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esktop\Yerevan Parking Analysis\"/>
    </mc:Choice>
  </mc:AlternateContent>
  <xr:revisionPtr revIDLastSave="0" documentId="13_ncr:1_{817DEA18-9E4E-49A1-AFF3-3BECD5CDF823}" xr6:coauthVersionLast="47" xr6:coauthVersionMax="47" xr10:uidLastSave="{00000000-0000-0000-0000-000000000000}"/>
  <bookViews>
    <workbookView xWindow="-120" yWindow="-120" windowWidth="29040" windowHeight="15720" tabRatio="970" activeTab="33" xr2:uid="{00000000-000D-0000-FFFF-FFFF00000000}"/>
  </bookViews>
  <sheets>
    <sheet name="25" sheetId="1" r:id="rId1"/>
    <sheet name="26" sheetId="2" r:id="rId2"/>
    <sheet name="27" sheetId="3" r:id="rId3"/>
    <sheet name="28" sheetId="4" r:id="rId4"/>
    <sheet name="29" sheetId="5" r:id="rId5"/>
    <sheet name="30" sheetId="6" r:id="rId6"/>
    <sheet name="31" sheetId="7" r:id="rId7"/>
    <sheet name="32" sheetId="8" r:id="rId8"/>
    <sheet name="33" sheetId="9" r:id="rId9"/>
    <sheet name="34" sheetId="10" r:id="rId10"/>
    <sheet name="35" sheetId="11" r:id="rId11"/>
    <sheet name="36" sheetId="12" r:id="rId12"/>
    <sheet name="37" sheetId="13" r:id="rId13"/>
    <sheet name="38" sheetId="14" r:id="rId14"/>
    <sheet name="39" sheetId="15" r:id="rId15"/>
    <sheet name="40" sheetId="16" r:id="rId16"/>
    <sheet name="41" sheetId="17" r:id="rId17"/>
    <sheet name="42" sheetId="18" r:id="rId18"/>
    <sheet name="43" sheetId="19" r:id="rId19"/>
    <sheet name="44" sheetId="20" r:id="rId20"/>
    <sheet name="45" sheetId="21" r:id="rId21"/>
    <sheet name="46" sheetId="22" r:id="rId22"/>
    <sheet name="47" sheetId="23" r:id="rId23"/>
    <sheet name="48" sheetId="24" r:id="rId24"/>
    <sheet name="49" sheetId="25" r:id="rId25"/>
    <sheet name="50" sheetId="26" r:id="rId26"/>
    <sheet name="51" sheetId="27" r:id="rId27"/>
    <sheet name="52" sheetId="28" r:id="rId28"/>
    <sheet name="53" sheetId="29" r:id="rId29"/>
    <sheet name="54" sheetId="30" r:id="rId30"/>
    <sheet name="55" sheetId="31" r:id="rId31"/>
    <sheet name="56" sheetId="32" r:id="rId32"/>
    <sheet name="OFF" sheetId="33" r:id="rId33"/>
    <sheet name="United Data" sheetId="34" r:id="rId34"/>
    <sheet name="ANALYSIS" sheetId="35" r:id="rId35"/>
    <sheet name="CALC Combined" sheetId="36" r:id="rId36"/>
    <sheet name="CALC On-Street" sheetId="37" r:id="rId37"/>
    <sheet name="CALC Off-Street" sheetId="38" r:id="rId38"/>
  </sheets>
  <definedNames>
    <definedName name="_xlnm._FilterDatabase" localSheetId="33" hidden="1">'United Data'!$A$2:$G$3390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71" i="38" l="1"/>
  <c r="Q71" i="38"/>
  <c r="P71" i="38"/>
  <c r="O71" i="38"/>
  <c r="N71" i="38"/>
  <c r="M71" i="38"/>
  <c r="L71" i="38"/>
  <c r="K71" i="38"/>
  <c r="J71" i="38"/>
  <c r="I71" i="38"/>
  <c r="H71" i="38"/>
  <c r="G71" i="38"/>
  <c r="F71" i="38"/>
  <c r="E71" i="38"/>
  <c r="D71" i="38"/>
  <c r="C71" i="38"/>
  <c r="B71" i="38"/>
  <c r="R70" i="38"/>
  <c r="Q70" i="38"/>
  <c r="P70" i="38"/>
  <c r="O70" i="38"/>
  <c r="N70" i="38"/>
  <c r="M70" i="38"/>
  <c r="L70" i="38"/>
  <c r="K70" i="38"/>
  <c r="J70" i="38"/>
  <c r="I70" i="38"/>
  <c r="H70" i="38"/>
  <c r="G70" i="38"/>
  <c r="F70" i="38"/>
  <c r="E70" i="38"/>
  <c r="D70" i="38"/>
  <c r="C70" i="38"/>
  <c r="B70" i="38"/>
  <c r="R69" i="38"/>
  <c r="Q69" i="38"/>
  <c r="P69" i="38"/>
  <c r="O69" i="38"/>
  <c r="N69" i="38"/>
  <c r="M69" i="38"/>
  <c r="L69" i="38"/>
  <c r="K69" i="38"/>
  <c r="J69" i="38"/>
  <c r="I69" i="38"/>
  <c r="H69" i="38"/>
  <c r="G69" i="38"/>
  <c r="F69" i="38"/>
  <c r="E69" i="38"/>
  <c r="D69" i="38"/>
  <c r="C69" i="38"/>
  <c r="B69" i="38"/>
  <c r="R68" i="38"/>
  <c r="Q68" i="38"/>
  <c r="P68" i="38"/>
  <c r="O68" i="38"/>
  <c r="N68" i="38"/>
  <c r="M68" i="38"/>
  <c r="L68" i="38"/>
  <c r="K68" i="38"/>
  <c r="J68" i="38"/>
  <c r="I68" i="38"/>
  <c r="H68" i="38"/>
  <c r="G68" i="38"/>
  <c r="F68" i="38"/>
  <c r="E68" i="38"/>
  <c r="D68" i="38"/>
  <c r="C68" i="38"/>
  <c r="B68" i="38"/>
  <c r="R67" i="38"/>
  <c r="Q67" i="38"/>
  <c r="P67" i="38"/>
  <c r="O67" i="38"/>
  <c r="N67" i="38"/>
  <c r="M67" i="38"/>
  <c r="L67" i="38"/>
  <c r="K67" i="38"/>
  <c r="J67" i="38"/>
  <c r="I67" i="38"/>
  <c r="H67" i="38"/>
  <c r="G67" i="38"/>
  <c r="F67" i="38"/>
  <c r="E67" i="38"/>
  <c r="D67" i="38"/>
  <c r="C67" i="38"/>
  <c r="B67" i="38"/>
  <c r="R66" i="38"/>
  <c r="Q66" i="38"/>
  <c r="P66" i="38"/>
  <c r="O66" i="38"/>
  <c r="N66" i="38"/>
  <c r="M66" i="38"/>
  <c r="L66" i="38"/>
  <c r="K66" i="38"/>
  <c r="J66" i="38"/>
  <c r="I66" i="38"/>
  <c r="H66" i="38"/>
  <c r="G66" i="38"/>
  <c r="F66" i="38"/>
  <c r="E66" i="38"/>
  <c r="D66" i="38"/>
  <c r="C66" i="38"/>
  <c r="B66" i="38"/>
  <c r="R65" i="38"/>
  <c r="Q65" i="38"/>
  <c r="P65" i="38"/>
  <c r="O65" i="38"/>
  <c r="N65" i="38"/>
  <c r="M65" i="38"/>
  <c r="L65" i="38"/>
  <c r="K65" i="38"/>
  <c r="J65" i="38"/>
  <c r="I65" i="38"/>
  <c r="H65" i="38"/>
  <c r="G65" i="38"/>
  <c r="F65" i="38"/>
  <c r="E65" i="38"/>
  <c r="D65" i="38"/>
  <c r="C65" i="38"/>
  <c r="B65" i="38"/>
  <c r="R64" i="38"/>
  <c r="Q64" i="38"/>
  <c r="P64" i="38"/>
  <c r="O64" i="38"/>
  <c r="N64" i="38"/>
  <c r="M64" i="38"/>
  <c r="L64" i="38"/>
  <c r="K64" i="38"/>
  <c r="J64" i="38"/>
  <c r="I64" i="38"/>
  <c r="H64" i="38"/>
  <c r="G64" i="38"/>
  <c r="F64" i="38"/>
  <c r="E64" i="38"/>
  <c r="D64" i="38"/>
  <c r="C64" i="38"/>
  <c r="B64" i="38"/>
  <c r="R63" i="38"/>
  <c r="Q63" i="38"/>
  <c r="P63" i="38"/>
  <c r="O63" i="38"/>
  <c r="N63" i="38"/>
  <c r="M63" i="38"/>
  <c r="L63" i="38"/>
  <c r="K63" i="38"/>
  <c r="J63" i="38"/>
  <c r="I63" i="38"/>
  <c r="H63" i="38"/>
  <c r="G63" i="38"/>
  <c r="F63" i="38"/>
  <c r="E63" i="38"/>
  <c r="D63" i="38"/>
  <c r="C63" i="38"/>
  <c r="B63" i="38"/>
  <c r="R62" i="38"/>
  <c r="Q62" i="38"/>
  <c r="P62" i="38"/>
  <c r="O62" i="38"/>
  <c r="N62" i="38"/>
  <c r="M62" i="38"/>
  <c r="L62" i="38"/>
  <c r="K62" i="38"/>
  <c r="J62" i="38"/>
  <c r="I62" i="38"/>
  <c r="H62" i="38"/>
  <c r="G62" i="38"/>
  <c r="F62" i="38"/>
  <c r="E62" i="38"/>
  <c r="D62" i="38"/>
  <c r="C62" i="38"/>
  <c r="B62" i="38"/>
  <c r="R61" i="38"/>
  <c r="Q61" i="38"/>
  <c r="P61" i="38"/>
  <c r="O61" i="38"/>
  <c r="N61" i="38"/>
  <c r="M61" i="38"/>
  <c r="L61" i="38"/>
  <c r="K61" i="38"/>
  <c r="J61" i="38"/>
  <c r="I61" i="38"/>
  <c r="H61" i="38"/>
  <c r="G61" i="38"/>
  <c r="F61" i="38"/>
  <c r="E61" i="38"/>
  <c r="D61" i="38"/>
  <c r="C61" i="38"/>
  <c r="B61" i="38"/>
  <c r="R60" i="38"/>
  <c r="Q60" i="38"/>
  <c r="P60" i="38"/>
  <c r="O60" i="38"/>
  <c r="N60" i="38"/>
  <c r="M60" i="38"/>
  <c r="L60" i="38"/>
  <c r="K60" i="38"/>
  <c r="J60" i="38"/>
  <c r="I60" i="38"/>
  <c r="H60" i="38"/>
  <c r="G60" i="38"/>
  <c r="F60" i="38"/>
  <c r="E60" i="38"/>
  <c r="D60" i="38"/>
  <c r="C60" i="38"/>
  <c r="B60" i="38"/>
  <c r="R59" i="38"/>
  <c r="Q59" i="38"/>
  <c r="P59" i="38"/>
  <c r="O59" i="38"/>
  <c r="N59" i="38"/>
  <c r="M59" i="38"/>
  <c r="L59" i="38"/>
  <c r="K59" i="38"/>
  <c r="J59" i="38"/>
  <c r="I59" i="38"/>
  <c r="H59" i="38"/>
  <c r="G59" i="38"/>
  <c r="F59" i="38"/>
  <c r="E59" i="38"/>
  <c r="D59" i="38"/>
  <c r="C59" i="38"/>
  <c r="B59" i="38"/>
  <c r="R58" i="38"/>
  <c r="Q58" i="38"/>
  <c r="P58" i="38"/>
  <c r="O58" i="38"/>
  <c r="N58" i="38"/>
  <c r="M58" i="38"/>
  <c r="L58" i="38"/>
  <c r="K58" i="38"/>
  <c r="J58" i="38"/>
  <c r="I58" i="38"/>
  <c r="H58" i="38"/>
  <c r="G58" i="38"/>
  <c r="F58" i="38"/>
  <c r="E58" i="38"/>
  <c r="D58" i="38"/>
  <c r="C58" i="38"/>
  <c r="B58" i="38"/>
  <c r="R57" i="38"/>
  <c r="Q57" i="38"/>
  <c r="P57" i="38"/>
  <c r="O57" i="38"/>
  <c r="N57" i="38"/>
  <c r="M57" i="38"/>
  <c r="L57" i="38"/>
  <c r="K57" i="38"/>
  <c r="J57" i="38"/>
  <c r="I57" i="38"/>
  <c r="H57" i="38"/>
  <c r="G57" i="38"/>
  <c r="F57" i="38"/>
  <c r="E57" i="38"/>
  <c r="D57" i="38"/>
  <c r="C57" i="38"/>
  <c r="B57" i="38"/>
  <c r="R56" i="38"/>
  <c r="Q56" i="38"/>
  <c r="P56" i="38"/>
  <c r="O56" i="38"/>
  <c r="N56" i="38"/>
  <c r="M56" i="38"/>
  <c r="L56" i="38"/>
  <c r="K56" i="38"/>
  <c r="J56" i="38"/>
  <c r="I56" i="38"/>
  <c r="H56" i="38"/>
  <c r="G56" i="38"/>
  <c r="F56" i="38"/>
  <c r="E56" i="38"/>
  <c r="D56" i="38"/>
  <c r="C56" i="38"/>
  <c r="B56" i="38"/>
  <c r="R55" i="38"/>
  <c r="Q55" i="38"/>
  <c r="P55" i="38"/>
  <c r="O55" i="38"/>
  <c r="N55" i="38"/>
  <c r="M55" i="38"/>
  <c r="L55" i="38"/>
  <c r="K55" i="38"/>
  <c r="J55" i="38"/>
  <c r="I55" i="38"/>
  <c r="H55" i="38"/>
  <c r="G55" i="38"/>
  <c r="F55" i="38"/>
  <c r="E55" i="38"/>
  <c r="D55" i="38"/>
  <c r="C55" i="38"/>
  <c r="B55" i="38"/>
  <c r="R54" i="38"/>
  <c r="Q54" i="38"/>
  <c r="P54" i="38"/>
  <c r="O54" i="38"/>
  <c r="N54" i="38"/>
  <c r="M54" i="38"/>
  <c r="L54" i="38"/>
  <c r="K54" i="38"/>
  <c r="J54" i="38"/>
  <c r="I54" i="38"/>
  <c r="H54" i="38"/>
  <c r="G54" i="38"/>
  <c r="F54" i="38"/>
  <c r="E54" i="38"/>
  <c r="D54" i="38"/>
  <c r="C54" i="38"/>
  <c r="B54" i="38"/>
  <c r="R53" i="38"/>
  <c r="Q53" i="38"/>
  <c r="P53" i="38"/>
  <c r="O53" i="38"/>
  <c r="N53" i="38"/>
  <c r="M53" i="38"/>
  <c r="L53" i="38"/>
  <c r="K53" i="38"/>
  <c r="J53" i="38"/>
  <c r="I53" i="38"/>
  <c r="H53" i="38"/>
  <c r="G53" i="38"/>
  <c r="F53" i="38"/>
  <c r="E53" i="38"/>
  <c r="D53" i="38"/>
  <c r="C53" i="38"/>
  <c r="B53" i="38"/>
  <c r="R52" i="38"/>
  <c r="Q52" i="38"/>
  <c r="P52" i="38"/>
  <c r="O52" i="38"/>
  <c r="N52" i="38"/>
  <c r="M52" i="38"/>
  <c r="L52" i="38"/>
  <c r="K52" i="38"/>
  <c r="J52" i="38"/>
  <c r="I52" i="38"/>
  <c r="H52" i="38"/>
  <c r="G52" i="38"/>
  <c r="F52" i="38"/>
  <c r="E52" i="38"/>
  <c r="D52" i="38"/>
  <c r="C52" i="38"/>
  <c r="B52" i="38"/>
  <c r="R51" i="38"/>
  <c r="Q51" i="38"/>
  <c r="P51" i="38"/>
  <c r="O51" i="38"/>
  <c r="N51" i="38"/>
  <c r="M51" i="38"/>
  <c r="L51" i="38"/>
  <c r="K51" i="38"/>
  <c r="J51" i="38"/>
  <c r="I51" i="38"/>
  <c r="H51" i="38"/>
  <c r="G51" i="38"/>
  <c r="F51" i="38"/>
  <c r="E51" i="38"/>
  <c r="D51" i="38"/>
  <c r="C51" i="38"/>
  <c r="B51" i="38"/>
  <c r="R50" i="38"/>
  <c r="Q50" i="38"/>
  <c r="P50" i="38"/>
  <c r="O50" i="38"/>
  <c r="N50" i="38"/>
  <c r="M50" i="38"/>
  <c r="L50" i="38"/>
  <c r="K50" i="38"/>
  <c r="J50" i="38"/>
  <c r="I50" i="38"/>
  <c r="H50" i="38"/>
  <c r="G50" i="38"/>
  <c r="F50" i="38"/>
  <c r="E50" i="38"/>
  <c r="D50" i="38"/>
  <c r="C50" i="38"/>
  <c r="B50" i="38"/>
  <c r="R49" i="38"/>
  <c r="Q49" i="38"/>
  <c r="P49" i="38"/>
  <c r="O49" i="38"/>
  <c r="N49" i="38"/>
  <c r="M49" i="38"/>
  <c r="L49" i="38"/>
  <c r="K49" i="38"/>
  <c r="J49" i="38"/>
  <c r="I49" i="38"/>
  <c r="H49" i="38"/>
  <c r="G49" i="38"/>
  <c r="F49" i="38"/>
  <c r="E49" i="38"/>
  <c r="D49" i="38"/>
  <c r="C49" i="38"/>
  <c r="B49" i="38"/>
  <c r="R48" i="38"/>
  <c r="Q48" i="38"/>
  <c r="P48" i="38"/>
  <c r="O48" i="38"/>
  <c r="N48" i="38"/>
  <c r="M48" i="38"/>
  <c r="L48" i="38"/>
  <c r="K48" i="38"/>
  <c r="J48" i="38"/>
  <c r="I48" i="38"/>
  <c r="H48" i="38"/>
  <c r="G48" i="38"/>
  <c r="F48" i="38"/>
  <c r="E48" i="38"/>
  <c r="D48" i="38"/>
  <c r="C48" i="38"/>
  <c r="B48" i="38"/>
  <c r="R47" i="38"/>
  <c r="Q47" i="38"/>
  <c r="P47" i="38"/>
  <c r="O47" i="38"/>
  <c r="N47" i="38"/>
  <c r="M47" i="38"/>
  <c r="L47" i="38"/>
  <c r="K47" i="38"/>
  <c r="J47" i="38"/>
  <c r="I47" i="38"/>
  <c r="H47" i="38"/>
  <c r="G47" i="38"/>
  <c r="F47" i="38"/>
  <c r="E47" i="38"/>
  <c r="D47" i="38"/>
  <c r="C47" i="38"/>
  <c r="B47" i="38"/>
  <c r="R46" i="38"/>
  <c r="Q46" i="38"/>
  <c r="P46" i="38"/>
  <c r="O46" i="38"/>
  <c r="N46" i="38"/>
  <c r="M46" i="38"/>
  <c r="L46" i="38"/>
  <c r="K46" i="38"/>
  <c r="J46" i="38"/>
  <c r="I46" i="38"/>
  <c r="H46" i="38"/>
  <c r="G46" i="38"/>
  <c r="F46" i="38"/>
  <c r="E46" i="38"/>
  <c r="D46" i="38"/>
  <c r="C46" i="38"/>
  <c r="B46" i="38"/>
  <c r="R45" i="38"/>
  <c r="Q45" i="38"/>
  <c r="P45" i="38"/>
  <c r="O45" i="38"/>
  <c r="N45" i="38"/>
  <c r="M45" i="38"/>
  <c r="L45" i="38"/>
  <c r="K45" i="38"/>
  <c r="J45" i="38"/>
  <c r="I45" i="38"/>
  <c r="H45" i="38"/>
  <c r="G45" i="38"/>
  <c r="F45" i="38"/>
  <c r="E45" i="38"/>
  <c r="D45" i="38"/>
  <c r="C45" i="38"/>
  <c r="B45" i="38"/>
  <c r="R44" i="38"/>
  <c r="Q44" i="38"/>
  <c r="P44" i="38"/>
  <c r="O44" i="38"/>
  <c r="N44" i="38"/>
  <c r="M44" i="38"/>
  <c r="L44" i="38"/>
  <c r="K44" i="38"/>
  <c r="J44" i="38"/>
  <c r="I44" i="38"/>
  <c r="H44" i="38"/>
  <c r="G44" i="38"/>
  <c r="F44" i="38"/>
  <c r="E44" i="38"/>
  <c r="D44" i="38"/>
  <c r="C44" i="38"/>
  <c r="B44" i="38"/>
  <c r="R43" i="38"/>
  <c r="Q43" i="38"/>
  <c r="P43" i="38"/>
  <c r="O43" i="38"/>
  <c r="N43" i="38"/>
  <c r="M43" i="38"/>
  <c r="L43" i="38"/>
  <c r="K43" i="38"/>
  <c r="J43" i="38"/>
  <c r="I43" i="38"/>
  <c r="H43" i="38"/>
  <c r="G43" i="38"/>
  <c r="F43" i="38"/>
  <c r="E43" i="38"/>
  <c r="D43" i="38"/>
  <c r="C43" i="38"/>
  <c r="B43" i="38"/>
  <c r="R42" i="38"/>
  <c r="Q42" i="38"/>
  <c r="P42" i="38"/>
  <c r="O42" i="38"/>
  <c r="N42" i="38"/>
  <c r="M42" i="38"/>
  <c r="L42" i="38"/>
  <c r="K42" i="38"/>
  <c r="J42" i="38"/>
  <c r="I42" i="38"/>
  <c r="H42" i="38"/>
  <c r="G42" i="38"/>
  <c r="F42" i="38"/>
  <c r="E42" i="38"/>
  <c r="D42" i="38"/>
  <c r="C42" i="38"/>
  <c r="B42" i="38"/>
  <c r="R41" i="38"/>
  <c r="Q41" i="38"/>
  <c r="P41" i="38"/>
  <c r="O41" i="38"/>
  <c r="N41" i="38"/>
  <c r="M41" i="38"/>
  <c r="L41" i="38"/>
  <c r="K41" i="38"/>
  <c r="J41" i="38"/>
  <c r="I41" i="38"/>
  <c r="H41" i="38"/>
  <c r="G41" i="38"/>
  <c r="F41" i="38"/>
  <c r="E41" i="38"/>
  <c r="D41" i="38"/>
  <c r="C41" i="38"/>
  <c r="B41" i="38"/>
  <c r="R40" i="38"/>
  <c r="Q40" i="38"/>
  <c r="P40" i="38"/>
  <c r="O40" i="38"/>
  <c r="N40" i="38"/>
  <c r="M40" i="38"/>
  <c r="L40" i="38"/>
  <c r="K40" i="38"/>
  <c r="J40" i="38"/>
  <c r="I40" i="38"/>
  <c r="H40" i="38"/>
  <c r="G40" i="38"/>
  <c r="F40" i="38"/>
  <c r="E40" i="38"/>
  <c r="D40" i="38"/>
  <c r="C40" i="38"/>
  <c r="B40" i="38"/>
  <c r="R39" i="38"/>
  <c r="Q39" i="38"/>
  <c r="P39" i="38"/>
  <c r="O39" i="38"/>
  <c r="N39" i="38"/>
  <c r="M39" i="38"/>
  <c r="L39" i="38"/>
  <c r="K39" i="38"/>
  <c r="J39" i="38"/>
  <c r="I39" i="38"/>
  <c r="H39" i="38"/>
  <c r="G39" i="38"/>
  <c r="F39" i="38"/>
  <c r="E39" i="38"/>
  <c r="D39" i="38"/>
  <c r="C39" i="38"/>
  <c r="B39" i="38"/>
  <c r="R38" i="38"/>
  <c r="Q38" i="38"/>
  <c r="P38" i="38"/>
  <c r="O38" i="38"/>
  <c r="N38" i="38"/>
  <c r="M38" i="38"/>
  <c r="L38" i="38"/>
  <c r="K38" i="38"/>
  <c r="J38" i="38"/>
  <c r="I38" i="38"/>
  <c r="H38" i="38"/>
  <c r="G38" i="38"/>
  <c r="F38" i="38"/>
  <c r="E38" i="38"/>
  <c r="D38" i="38"/>
  <c r="C38" i="38"/>
  <c r="B38" i="38"/>
  <c r="R37" i="38"/>
  <c r="Q37" i="38"/>
  <c r="P37" i="38"/>
  <c r="O37" i="38"/>
  <c r="N37" i="38"/>
  <c r="M37" i="38"/>
  <c r="L37" i="38"/>
  <c r="K37" i="38"/>
  <c r="J37" i="38"/>
  <c r="I37" i="38"/>
  <c r="H37" i="38"/>
  <c r="G37" i="38"/>
  <c r="F37" i="38"/>
  <c r="E37" i="38"/>
  <c r="D37" i="38"/>
  <c r="C37" i="38"/>
  <c r="B37" i="38"/>
  <c r="R36" i="38"/>
  <c r="Q36" i="38"/>
  <c r="P36" i="38"/>
  <c r="O36" i="38"/>
  <c r="N36" i="38"/>
  <c r="M36" i="38"/>
  <c r="L36" i="38"/>
  <c r="K36" i="38"/>
  <c r="J36" i="38"/>
  <c r="I36" i="38"/>
  <c r="H36" i="38"/>
  <c r="G36" i="38"/>
  <c r="F36" i="38"/>
  <c r="E36" i="38"/>
  <c r="D36" i="38"/>
  <c r="C36" i="38"/>
  <c r="B36" i="38"/>
  <c r="R35" i="38"/>
  <c r="Q35" i="38"/>
  <c r="P35" i="38"/>
  <c r="O35" i="38"/>
  <c r="N35" i="38"/>
  <c r="M35" i="38"/>
  <c r="L35" i="38"/>
  <c r="K35" i="38"/>
  <c r="J35" i="38"/>
  <c r="I35" i="38"/>
  <c r="H35" i="38"/>
  <c r="G35" i="38"/>
  <c r="F35" i="38"/>
  <c r="E35" i="38"/>
  <c r="D35" i="38"/>
  <c r="C35" i="38"/>
  <c r="B35" i="38"/>
  <c r="R34" i="38"/>
  <c r="Q34" i="38"/>
  <c r="P34" i="38"/>
  <c r="O34" i="38"/>
  <c r="N34" i="38"/>
  <c r="M34" i="38"/>
  <c r="L34" i="38"/>
  <c r="K34" i="38"/>
  <c r="J34" i="38"/>
  <c r="I34" i="38"/>
  <c r="H34" i="38"/>
  <c r="G34" i="38"/>
  <c r="F34" i="38"/>
  <c r="E34" i="38"/>
  <c r="D34" i="38"/>
  <c r="C34" i="38"/>
  <c r="B34" i="38"/>
  <c r="R33" i="38"/>
  <c r="Q33" i="38"/>
  <c r="P33" i="38"/>
  <c r="O33" i="38"/>
  <c r="N33" i="38"/>
  <c r="M33" i="38"/>
  <c r="L33" i="38"/>
  <c r="K33" i="38"/>
  <c r="J33" i="38"/>
  <c r="I33" i="38"/>
  <c r="H33" i="38"/>
  <c r="G33" i="38"/>
  <c r="F33" i="38"/>
  <c r="E33" i="38"/>
  <c r="D33" i="38"/>
  <c r="C33" i="38"/>
  <c r="B33" i="38"/>
  <c r="R32" i="38"/>
  <c r="Q32" i="38"/>
  <c r="P32" i="38"/>
  <c r="O32" i="38"/>
  <c r="N32" i="38"/>
  <c r="M32" i="38"/>
  <c r="L32" i="38"/>
  <c r="K32" i="38"/>
  <c r="J32" i="38"/>
  <c r="I32" i="38"/>
  <c r="H32" i="38"/>
  <c r="G32" i="38"/>
  <c r="F32" i="38"/>
  <c r="E32" i="38"/>
  <c r="D32" i="38"/>
  <c r="C32" i="38"/>
  <c r="B32" i="38"/>
  <c r="R31" i="38"/>
  <c r="Q31" i="38"/>
  <c r="P31" i="38"/>
  <c r="O31" i="38"/>
  <c r="N31" i="38"/>
  <c r="M31" i="38"/>
  <c r="L31" i="38"/>
  <c r="K31" i="38"/>
  <c r="J31" i="38"/>
  <c r="I31" i="38"/>
  <c r="H31" i="38"/>
  <c r="G31" i="38"/>
  <c r="F31" i="38"/>
  <c r="E31" i="38"/>
  <c r="D31" i="38"/>
  <c r="C31" i="38"/>
  <c r="B31" i="38"/>
  <c r="R30" i="38"/>
  <c r="Q30" i="38"/>
  <c r="P30" i="38"/>
  <c r="O30" i="38"/>
  <c r="N30" i="38"/>
  <c r="M30" i="38"/>
  <c r="L30" i="38"/>
  <c r="K30" i="38"/>
  <c r="J30" i="38"/>
  <c r="I30" i="38"/>
  <c r="H30" i="38"/>
  <c r="G30" i="38"/>
  <c r="F30" i="38"/>
  <c r="E30" i="38"/>
  <c r="D30" i="38"/>
  <c r="C30" i="38"/>
  <c r="B30" i="38"/>
  <c r="R29" i="38"/>
  <c r="Q29" i="38"/>
  <c r="P29" i="38"/>
  <c r="O29" i="38"/>
  <c r="N29" i="38"/>
  <c r="M29" i="38"/>
  <c r="L29" i="38"/>
  <c r="K29" i="38"/>
  <c r="J29" i="38"/>
  <c r="I29" i="38"/>
  <c r="H29" i="38"/>
  <c r="G29" i="38"/>
  <c r="F29" i="38"/>
  <c r="E29" i="38"/>
  <c r="D29" i="38"/>
  <c r="C29" i="38"/>
  <c r="B29" i="38"/>
  <c r="R28" i="38"/>
  <c r="Q28" i="38"/>
  <c r="P28" i="38"/>
  <c r="O28" i="38"/>
  <c r="N28" i="38"/>
  <c r="M28" i="38"/>
  <c r="L28" i="38"/>
  <c r="K28" i="38"/>
  <c r="J28" i="38"/>
  <c r="I28" i="38"/>
  <c r="H28" i="38"/>
  <c r="G28" i="38"/>
  <c r="F28" i="38"/>
  <c r="E28" i="38"/>
  <c r="D28" i="38"/>
  <c r="C28" i="38"/>
  <c r="B28" i="38"/>
  <c r="R27" i="38"/>
  <c r="Q27" i="38"/>
  <c r="P27" i="38"/>
  <c r="O27" i="38"/>
  <c r="N27" i="38"/>
  <c r="M27" i="38"/>
  <c r="L27" i="38"/>
  <c r="K27" i="38"/>
  <c r="J27" i="38"/>
  <c r="I27" i="38"/>
  <c r="H27" i="38"/>
  <c r="G27" i="38"/>
  <c r="F27" i="38"/>
  <c r="E27" i="38"/>
  <c r="D27" i="38"/>
  <c r="C27" i="38"/>
  <c r="B27" i="38"/>
  <c r="R26" i="38"/>
  <c r="Q26" i="38"/>
  <c r="P26" i="38"/>
  <c r="O26" i="38"/>
  <c r="N26" i="38"/>
  <c r="M26" i="38"/>
  <c r="L26" i="38"/>
  <c r="K26" i="38"/>
  <c r="J26" i="38"/>
  <c r="I26" i="38"/>
  <c r="H26" i="38"/>
  <c r="G26" i="38"/>
  <c r="F26" i="38"/>
  <c r="E26" i="38"/>
  <c r="D26" i="38"/>
  <c r="C26" i="38"/>
  <c r="B26" i="38"/>
  <c r="R25" i="38"/>
  <c r="Q25" i="38"/>
  <c r="P25" i="38"/>
  <c r="O25" i="38"/>
  <c r="N25" i="38"/>
  <c r="M25" i="38"/>
  <c r="L25" i="38"/>
  <c r="K25" i="38"/>
  <c r="J25" i="38"/>
  <c r="I25" i="38"/>
  <c r="H25" i="38"/>
  <c r="G25" i="38"/>
  <c r="F25" i="38"/>
  <c r="E25" i="38"/>
  <c r="D25" i="38"/>
  <c r="C25" i="38"/>
  <c r="B25" i="38"/>
  <c r="R24" i="38"/>
  <c r="Q24" i="38"/>
  <c r="P24" i="38"/>
  <c r="O24" i="38"/>
  <c r="N24" i="38"/>
  <c r="M24" i="38"/>
  <c r="L24" i="38"/>
  <c r="K24" i="38"/>
  <c r="J24" i="38"/>
  <c r="I24" i="38"/>
  <c r="H24" i="38"/>
  <c r="G24" i="38"/>
  <c r="F24" i="38"/>
  <c r="E24" i="38"/>
  <c r="D24" i="38"/>
  <c r="C24" i="38"/>
  <c r="B24" i="38"/>
  <c r="R23" i="38"/>
  <c r="Q23" i="38"/>
  <c r="P23" i="38"/>
  <c r="O23" i="38"/>
  <c r="N23" i="38"/>
  <c r="M23" i="38"/>
  <c r="L23" i="38"/>
  <c r="K23" i="38"/>
  <c r="J23" i="38"/>
  <c r="I23" i="38"/>
  <c r="H23" i="38"/>
  <c r="G23" i="38"/>
  <c r="F23" i="38"/>
  <c r="E23" i="38"/>
  <c r="D23" i="38"/>
  <c r="C23" i="38"/>
  <c r="B23" i="38"/>
  <c r="R22" i="38"/>
  <c r="Q22" i="38"/>
  <c r="P22" i="38"/>
  <c r="O22" i="38"/>
  <c r="N22" i="38"/>
  <c r="M22" i="38"/>
  <c r="L22" i="38"/>
  <c r="K22" i="38"/>
  <c r="J22" i="38"/>
  <c r="I22" i="38"/>
  <c r="H22" i="38"/>
  <c r="G22" i="38"/>
  <c r="F22" i="38"/>
  <c r="E22" i="38"/>
  <c r="D22" i="38"/>
  <c r="C22" i="38"/>
  <c r="B22" i="38"/>
  <c r="R21" i="38"/>
  <c r="Q21" i="38"/>
  <c r="P21" i="38"/>
  <c r="O21" i="38"/>
  <c r="N21" i="38"/>
  <c r="M21" i="38"/>
  <c r="L21" i="38"/>
  <c r="K21" i="38"/>
  <c r="J21" i="38"/>
  <c r="I21" i="38"/>
  <c r="H21" i="38"/>
  <c r="G21" i="38"/>
  <c r="F21" i="38"/>
  <c r="E21" i="38"/>
  <c r="D21" i="38"/>
  <c r="C21" i="38"/>
  <c r="B21" i="38"/>
  <c r="R20" i="38"/>
  <c r="Q20" i="38"/>
  <c r="P20" i="38"/>
  <c r="O20" i="38"/>
  <c r="N20" i="38"/>
  <c r="M20" i="38"/>
  <c r="L20" i="38"/>
  <c r="K20" i="38"/>
  <c r="J20" i="38"/>
  <c r="I20" i="38"/>
  <c r="H20" i="38"/>
  <c r="G20" i="38"/>
  <c r="F20" i="38"/>
  <c r="E20" i="38"/>
  <c r="D20" i="38"/>
  <c r="C20" i="38"/>
  <c r="B20" i="38"/>
  <c r="R19" i="38"/>
  <c r="Q19" i="38"/>
  <c r="P19" i="38"/>
  <c r="O19" i="38"/>
  <c r="N19" i="38"/>
  <c r="M19" i="38"/>
  <c r="L19" i="38"/>
  <c r="K19" i="38"/>
  <c r="J19" i="38"/>
  <c r="I19" i="38"/>
  <c r="H19" i="38"/>
  <c r="G19" i="38"/>
  <c r="F19" i="38"/>
  <c r="E19" i="38"/>
  <c r="D19" i="38"/>
  <c r="C19" i="38"/>
  <c r="B19" i="38"/>
  <c r="R18" i="38"/>
  <c r="Q18" i="38"/>
  <c r="P18" i="38"/>
  <c r="O18" i="38"/>
  <c r="N18" i="38"/>
  <c r="M18" i="38"/>
  <c r="L18" i="38"/>
  <c r="K18" i="38"/>
  <c r="J18" i="38"/>
  <c r="I18" i="38"/>
  <c r="H18" i="38"/>
  <c r="G18" i="38"/>
  <c r="F18" i="38"/>
  <c r="E18" i="38"/>
  <c r="D18" i="38"/>
  <c r="C18" i="38"/>
  <c r="B18" i="38"/>
  <c r="R17" i="38"/>
  <c r="Q17" i="38"/>
  <c r="P17" i="38"/>
  <c r="O17" i="38"/>
  <c r="N17" i="38"/>
  <c r="M17" i="38"/>
  <c r="L17" i="38"/>
  <c r="K17" i="38"/>
  <c r="J17" i="38"/>
  <c r="I17" i="38"/>
  <c r="H17" i="38"/>
  <c r="G17" i="38"/>
  <c r="F17" i="38"/>
  <c r="E17" i="38"/>
  <c r="D17" i="38"/>
  <c r="C17" i="38"/>
  <c r="B17" i="38"/>
  <c r="R16" i="38"/>
  <c r="Q16" i="38"/>
  <c r="P16" i="38"/>
  <c r="O16" i="38"/>
  <c r="N16" i="38"/>
  <c r="M16" i="38"/>
  <c r="L16" i="38"/>
  <c r="K16" i="38"/>
  <c r="J16" i="38"/>
  <c r="I16" i="38"/>
  <c r="H16" i="38"/>
  <c r="G16" i="38"/>
  <c r="F16" i="38"/>
  <c r="E16" i="38"/>
  <c r="D16" i="38"/>
  <c r="C16" i="38"/>
  <c r="B16" i="38"/>
  <c r="R15" i="38"/>
  <c r="Q15" i="38"/>
  <c r="P15" i="38"/>
  <c r="O15" i="38"/>
  <c r="N15" i="38"/>
  <c r="M15" i="38"/>
  <c r="L15" i="38"/>
  <c r="K15" i="38"/>
  <c r="J15" i="38"/>
  <c r="I15" i="38"/>
  <c r="H15" i="38"/>
  <c r="G15" i="38"/>
  <c r="F15" i="38"/>
  <c r="E15" i="38"/>
  <c r="D15" i="38"/>
  <c r="C15" i="38"/>
  <c r="B15" i="38"/>
  <c r="R14" i="38"/>
  <c r="Q14" i="38"/>
  <c r="P14" i="38"/>
  <c r="O14" i="38"/>
  <c r="N14" i="38"/>
  <c r="M14" i="38"/>
  <c r="L14" i="38"/>
  <c r="K14" i="38"/>
  <c r="J14" i="38"/>
  <c r="I14" i="38"/>
  <c r="H14" i="38"/>
  <c r="G14" i="38"/>
  <c r="F14" i="38"/>
  <c r="E14" i="38"/>
  <c r="D14" i="38"/>
  <c r="C14" i="38"/>
  <c r="B14" i="38"/>
  <c r="R13" i="38"/>
  <c r="Q13" i="38"/>
  <c r="P13" i="38"/>
  <c r="O13" i="38"/>
  <c r="N13" i="38"/>
  <c r="M13" i="38"/>
  <c r="L13" i="38"/>
  <c r="K13" i="38"/>
  <c r="J13" i="38"/>
  <c r="I13" i="38"/>
  <c r="H13" i="38"/>
  <c r="G13" i="38"/>
  <c r="F13" i="38"/>
  <c r="E13" i="38"/>
  <c r="D13" i="38"/>
  <c r="C13" i="38"/>
  <c r="B13" i="38"/>
  <c r="R12" i="38"/>
  <c r="Q12" i="38"/>
  <c r="P12" i="38"/>
  <c r="O12" i="38"/>
  <c r="N12" i="38"/>
  <c r="M12" i="38"/>
  <c r="L12" i="38"/>
  <c r="K12" i="38"/>
  <c r="J12" i="38"/>
  <c r="I12" i="38"/>
  <c r="H12" i="38"/>
  <c r="G12" i="38"/>
  <c r="F12" i="38"/>
  <c r="E12" i="38"/>
  <c r="D12" i="38"/>
  <c r="C12" i="38"/>
  <c r="B12" i="38"/>
  <c r="R11" i="38"/>
  <c r="Q11" i="38"/>
  <c r="P11" i="38"/>
  <c r="O11" i="38"/>
  <c r="N11" i="38"/>
  <c r="M11" i="38"/>
  <c r="L11" i="38"/>
  <c r="K11" i="38"/>
  <c r="J11" i="38"/>
  <c r="I11" i="38"/>
  <c r="H11" i="38"/>
  <c r="G11" i="38"/>
  <c r="F11" i="38"/>
  <c r="E11" i="38"/>
  <c r="D11" i="38"/>
  <c r="C11" i="38"/>
  <c r="B11" i="38"/>
  <c r="R10" i="38"/>
  <c r="Q10" i="38"/>
  <c r="P10" i="38"/>
  <c r="O10" i="38"/>
  <c r="N10" i="38"/>
  <c r="M10" i="38"/>
  <c r="L10" i="38"/>
  <c r="K10" i="38"/>
  <c r="J10" i="38"/>
  <c r="I10" i="38"/>
  <c r="H10" i="38"/>
  <c r="G10" i="38"/>
  <c r="F10" i="38"/>
  <c r="E10" i="38"/>
  <c r="D10" i="38"/>
  <c r="C10" i="38"/>
  <c r="B10" i="38"/>
  <c r="R9" i="38"/>
  <c r="Q9" i="38"/>
  <c r="P9" i="38"/>
  <c r="O9" i="38"/>
  <c r="N9" i="38"/>
  <c r="M9" i="38"/>
  <c r="L9" i="38"/>
  <c r="K9" i="38"/>
  <c r="J9" i="38"/>
  <c r="I9" i="38"/>
  <c r="H9" i="38"/>
  <c r="G9" i="38"/>
  <c r="F9" i="38"/>
  <c r="E9" i="38"/>
  <c r="D9" i="38"/>
  <c r="C9" i="38"/>
  <c r="B9" i="38"/>
  <c r="R8" i="38"/>
  <c r="Q8" i="38"/>
  <c r="P8" i="38"/>
  <c r="O8" i="38"/>
  <c r="N8" i="38"/>
  <c r="M8" i="38"/>
  <c r="L8" i="38"/>
  <c r="K8" i="38"/>
  <c r="J8" i="38"/>
  <c r="I8" i="38"/>
  <c r="H8" i="38"/>
  <c r="G8" i="38"/>
  <c r="F8" i="38"/>
  <c r="E8" i="38"/>
  <c r="D8" i="38"/>
  <c r="C8" i="38"/>
  <c r="B8" i="38"/>
  <c r="R7" i="38"/>
  <c r="Q7" i="38"/>
  <c r="P7" i="38"/>
  <c r="O7" i="38"/>
  <c r="N7" i="38"/>
  <c r="M7" i="38"/>
  <c r="L7" i="38"/>
  <c r="K7" i="38"/>
  <c r="J7" i="38"/>
  <c r="I7" i="38"/>
  <c r="H7" i="38"/>
  <c r="G7" i="38"/>
  <c r="F7" i="38"/>
  <c r="E7" i="38"/>
  <c r="D7" i="38"/>
  <c r="C7" i="38"/>
  <c r="B7" i="38"/>
  <c r="R6" i="38"/>
  <c r="Q6" i="38"/>
  <c r="P6" i="38"/>
  <c r="O6" i="38"/>
  <c r="N6" i="38"/>
  <c r="M6" i="38"/>
  <c r="L6" i="38"/>
  <c r="K6" i="38"/>
  <c r="J6" i="38"/>
  <c r="I6" i="38"/>
  <c r="H6" i="38"/>
  <c r="G6" i="38"/>
  <c r="F6" i="38"/>
  <c r="E6" i="38"/>
  <c r="D6" i="38"/>
  <c r="C6" i="38"/>
  <c r="B6" i="38"/>
  <c r="R5" i="38"/>
  <c r="Q5" i="38"/>
  <c r="P5" i="38"/>
  <c r="O5" i="38"/>
  <c r="N5" i="38"/>
  <c r="M5" i="38"/>
  <c r="L5" i="38"/>
  <c r="K5" i="38"/>
  <c r="J5" i="38"/>
  <c r="I5" i="38"/>
  <c r="H5" i="38"/>
  <c r="G5" i="38"/>
  <c r="F5" i="38"/>
  <c r="E5" i="38"/>
  <c r="D5" i="38"/>
  <c r="C5" i="38"/>
  <c r="B5" i="38"/>
  <c r="R4" i="38"/>
  <c r="Q4" i="38"/>
  <c r="P4" i="38"/>
  <c r="O4" i="38"/>
  <c r="N4" i="38"/>
  <c r="M4" i="38"/>
  <c r="L4" i="38"/>
  <c r="K4" i="38"/>
  <c r="J4" i="38"/>
  <c r="I4" i="38"/>
  <c r="H4" i="38"/>
  <c r="G4" i="38"/>
  <c r="F4" i="38"/>
  <c r="E4" i="38"/>
  <c r="D4" i="38"/>
  <c r="C4" i="38"/>
  <c r="B4" i="38"/>
  <c r="R3" i="38"/>
  <c r="Q3" i="38"/>
  <c r="P3" i="38"/>
  <c r="O3" i="38"/>
  <c r="N3" i="38"/>
  <c r="M3" i="38"/>
  <c r="L3" i="38"/>
  <c r="K3" i="38"/>
  <c r="J3" i="38"/>
  <c r="I3" i="38"/>
  <c r="H3" i="38"/>
  <c r="G3" i="38"/>
  <c r="F3" i="38"/>
  <c r="E3" i="38"/>
  <c r="D3" i="38"/>
  <c r="C3" i="38"/>
  <c r="B3" i="38"/>
  <c r="R2" i="38"/>
  <c r="Q2" i="38"/>
  <c r="P2" i="38"/>
  <c r="O2" i="38"/>
  <c r="N2" i="38"/>
  <c r="M2" i="38"/>
  <c r="L2" i="38"/>
  <c r="K2" i="38"/>
  <c r="J2" i="38"/>
  <c r="I2" i="38"/>
  <c r="H2" i="38"/>
  <c r="G2" i="38"/>
  <c r="F2" i="38"/>
  <c r="E2" i="38"/>
  <c r="D2" i="38"/>
  <c r="C2" i="38"/>
  <c r="B2" i="38"/>
  <c r="R1675" i="37"/>
  <c r="Q1675" i="37"/>
  <c r="P1675" i="37"/>
  <c r="O1675" i="37"/>
  <c r="N1675" i="37"/>
  <c r="M1675" i="37"/>
  <c r="L1675" i="37"/>
  <c r="K1675" i="37"/>
  <c r="J1675" i="37"/>
  <c r="I1675" i="37"/>
  <c r="H1675" i="37"/>
  <c r="G1675" i="37"/>
  <c r="F1675" i="37"/>
  <c r="E1675" i="37"/>
  <c r="D1675" i="37"/>
  <c r="C1675" i="37"/>
  <c r="B1675" i="37"/>
  <c r="R1674" i="37"/>
  <c r="Q1674" i="37"/>
  <c r="P1674" i="37"/>
  <c r="O1674" i="37"/>
  <c r="N1674" i="37"/>
  <c r="M1674" i="37"/>
  <c r="L1674" i="37"/>
  <c r="K1674" i="37"/>
  <c r="J1674" i="37"/>
  <c r="I1674" i="37"/>
  <c r="H1674" i="37"/>
  <c r="G1674" i="37"/>
  <c r="F1674" i="37"/>
  <c r="E1674" i="37"/>
  <c r="D1674" i="37"/>
  <c r="C1674" i="37"/>
  <c r="B1674" i="37"/>
  <c r="R1673" i="37"/>
  <c r="Q1673" i="37"/>
  <c r="P1673" i="37"/>
  <c r="O1673" i="37"/>
  <c r="N1673" i="37"/>
  <c r="M1673" i="37"/>
  <c r="L1673" i="37"/>
  <c r="K1673" i="37"/>
  <c r="J1673" i="37"/>
  <c r="I1673" i="37"/>
  <c r="H1673" i="37"/>
  <c r="G1673" i="37"/>
  <c r="F1673" i="37"/>
  <c r="E1673" i="37"/>
  <c r="D1673" i="37"/>
  <c r="C1673" i="37"/>
  <c r="B1673" i="37"/>
  <c r="R1672" i="37"/>
  <c r="Q1672" i="37"/>
  <c r="P1672" i="37"/>
  <c r="O1672" i="37"/>
  <c r="N1672" i="37"/>
  <c r="M1672" i="37"/>
  <c r="L1672" i="37"/>
  <c r="K1672" i="37"/>
  <c r="J1672" i="37"/>
  <c r="I1672" i="37"/>
  <c r="H1672" i="37"/>
  <c r="G1672" i="37"/>
  <c r="F1672" i="37"/>
  <c r="E1672" i="37"/>
  <c r="D1672" i="37"/>
  <c r="C1672" i="37"/>
  <c r="B1672" i="37"/>
  <c r="R1671" i="37"/>
  <c r="Q1671" i="37"/>
  <c r="P1671" i="37"/>
  <c r="O1671" i="37"/>
  <c r="N1671" i="37"/>
  <c r="M1671" i="37"/>
  <c r="L1671" i="37"/>
  <c r="K1671" i="37"/>
  <c r="J1671" i="37"/>
  <c r="I1671" i="37"/>
  <c r="H1671" i="37"/>
  <c r="G1671" i="37"/>
  <c r="F1671" i="37"/>
  <c r="E1671" i="37"/>
  <c r="D1671" i="37"/>
  <c r="C1671" i="37"/>
  <c r="B1671" i="37"/>
  <c r="R1670" i="37"/>
  <c r="Q1670" i="37"/>
  <c r="P1670" i="37"/>
  <c r="O1670" i="37"/>
  <c r="N1670" i="37"/>
  <c r="M1670" i="37"/>
  <c r="L1670" i="37"/>
  <c r="K1670" i="37"/>
  <c r="J1670" i="37"/>
  <c r="I1670" i="37"/>
  <c r="H1670" i="37"/>
  <c r="G1670" i="37"/>
  <c r="F1670" i="37"/>
  <c r="E1670" i="37"/>
  <c r="D1670" i="37"/>
  <c r="C1670" i="37"/>
  <c r="B1670" i="37"/>
  <c r="R1669" i="37"/>
  <c r="Q1669" i="37"/>
  <c r="P1669" i="37"/>
  <c r="O1669" i="37"/>
  <c r="N1669" i="37"/>
  <c r="M1669" i="37"/>
  <c r="L1669" i="37"/>
  <c r="K1669" i="37"/>
  <c r="J1669" i="37"/>
  <c r="I1669" i="37"/>
  <c r="H1669" i="37"/>
  <c r="G1669" i="37"/>
  <c r="F1669" i="37"/>
  <c r="E1669" i="37"/>
  <c r="D1669" i="37"/>
  <c r="C1669" i="37"/>
  <c r="B1669" i="37"/>
  <c r="R1668" i="37"/>
  <c r="Q1668" i="37"/>
  <c r="P1668" i="37"/>
  <c r="O1668" i="37"/>
  <c r="N1668" i="37"/>
  <c r="M1668" i="37"/>
  <c r="L1668" i="37"/>
  <c r="K1668" i="37"/>
  <c r="J1668" i="37"/>
  <c r="I1668" i="37"/>
  <c r="H1668" i="37"/>
  <c r="G1668" i="37"/>
  <c r="F1668" i="37"/>
  <c r="E1668" i="37"/>
  <c r="D1668" i="37"/>
  <c r="C1668" i="37"/>
  <c r="B1668" i="37"/>
  <c r="R1667" i="37"/>
  <c r="Q1667" i="37"/>
  <c r="P1667" i="37"/>
  <c r="O1667" i="37"/>
  <c r="N1667" i="37"/>
  <c r="M1667" i="37"/>
  <c r="L1667" i="37"/>
  <c r="K1667" i="37"/>
  <c r="J1667" i="37"/>
  <c r="I1667" i="37"/>
  <c r="H1667" i="37"/>
  <c r="G1667" i="37"/>
  <c r="F1667" i="37"/>
  <c r="E1667" i="37"/>
  <c r="D1667" i="37"/>
  <c r="C1667" i="37"/>
  <c r="B1667" i="37"/>
  <c r="R1666" i="37"/>
  <c r="Q1666" i="37"/>
  <c r="P1666" i="37"/>
  <c r="O1666" i="37"/>
  <c r="N1666" i="37"/>
  <c r="M1666" i="37"/>
  <c r="L1666" i="37"/>
  <c r="K1666" i="37"/>
  <c r="J1666" i="37"/>
  <c r="I1666" i="37"/>
  <c r="H1666" i="37"/>
  <c r="G1666" i="37"/>
  <c r="F1666" i="37"/>
  <c r="E1666" i="37"/>
  <c r="D1666" i="37"/>
  <c r="C1666" i="37"/>
  <c r="B1666" i="37"/>
  <c r="R1665" i="37"/>
  <c r="Q1665" i="37"/>
  <c r="P1665" i="37"/>
  <c r="O1665" i="37"/>
  <c r="N1665" i="37"/>
  <c r="M1665" i="37"/>
  <c r="L1665" i="37"/>
  <c r="K1665" i="37"/>
  <c r="J1665" i="37"/>
  <c r="I1665" i="37"/>
  <c r="H1665" i="37"/>
  <c r="G1665" i="37"/>
  <c r="F1665" i="37"/>
  <c r="E1665" i="37"/>
  <c r="D1665" i="37"/>
  <c r="C1665" i="37"/>
  <c r="B1665" i="37"/>
  <c r="R1664" i="37"/>
  <c r="Q1664" i="37"/>
  <c r="P1664" i="37"/>
  <c r="O1664" i="37"/>
  <c r="N1664" i="37"/>
  <c r="M1664" i="37"/>
  <c r="L1664" i="37"/>
  <c r="K1664" i="37"/>
  <c r="J1664" i="37"/>
  <c r="I1664" i="37"/>
  <c r="H1664" i="37"/>
  <c r="G1664" i="37"/>
  <c r="F1664" i="37"/>
  <c r="E1664" i="37"/>
  <c r="D1664" i="37"/>
  <c r="C1664" i="37"/>
  <c r="B1664" i="37"/>
  <c r="R1663" i="37"/>
  <c r="Q1663" i="37"/>
  <c r="P1663" i="37"/>
  <c r="O1663" i="37"/>
  <c r="N1663" i="37"/>
  <c r="M1663" i="37"/>
  <c r="L1663" i="37"/>
  <c r="K1663" i="37"/>
  <c r="J1663" i="37"/>
  <c r="I1663" i="37"/>
  <c r="H1663" i="37"/>
  <c r="G1663" i="37"/>
  <c r="F1663" i="37"/>
  <c r="E1663" i="37"/>
  <c r="D1663" i="37"/>
  <c r="C1663" i="37"/>
  <c r="B1663" i="37"/>
  <c r="R1662" i="37"/>
  <c r="Q1662" i="37"/>
  <c r="P1662" i="37"/>
  <c r="O1662" i="37"/>
  <c r="N1662" i="37"/>
  <c r="M1662" i="37"/>
  <c r="L1662" i="37"/>
  <c r="K1662" i="37"/>
  <c r="J1662" i="37"/>
  <c r="I1662" i="37"/>
  <c r="H1662" i="37"/>
  <c r="G1662" i="37"/>
  <c r="F1662" i="37"/>
  <c r="E1662" i="37"/>
  <c r="D1662" i="37"/>
  <c r="C1662" i="37"/>
  <c r="B1662" i="37"/>
  <c r="R1661" i="37"/>
  <c r="Q1661" i="37"/>
  <c r="P1661" i="37"/>
  <c r="O1661" i="37"/>
  <c r="N1661" i="37"/>
  <c r="M1661" i="37"/>
  <c r="L1661" i="37"/>
  <c r="K1661" i="37"/>
  <c r="J1661" i="37"/>
  <c r="I1661" i="37"/>
  <c r="H1661" i="37"/>
  <c r="G1661" i="37"/>
  <c r="F1661" i="37"/>
  <c r="E1661" i="37"/>
  <c r="D1661" i="37"/>
  <c r="C1661" i="37"/>
  <c r="B1661" i="37"/>
  <c r="R1660" i="37"/>
  <c r="Q1660" i="37"/>
  <c r="P1660" i="37"/>
  <c r="O1660" i="37"/>
  <c r="N1660" i="37"/>
  <c r="M1660" i="37"/>
  <c r="L1660" i="37"/>
  <c r="K1660" i="37"/>
  <c r="J1660" i="37"/>
  <c r="I1660" i="37"/>
  <c r="H1660" i="37"/>
  <c r="G1660" i="37"/>
  <c r="F1660" i="37"/>
  <c r="E1660" i="37"/>
  <c r="D1660" i="37"/>
  <c r="C1660" i="37"/>
  <c r="B1660" i="37"/>
  <c r="R1659" i="37"/>
  <c r="Q1659" i="37"/>
  <c r="P1659" i="37"/>
  <c r="O1659" i="37"/>
  <c r="N1659" i="37"/>
  <c r="M1659" i="37"/>
  <c r="L1659" i="37"/>
  <c r="K1659" i="37"/>
  <c r="J1659" i="37"/>
  <c r="I1659" i="37"/>
  <c r="H1659" i="37"/>
  <c r="G1659" i="37"/>
  <c r="F1659" i="37"/>
  <c r="E1659" i="37"/>
  <c r="D1659" i="37"/>
  <c r="C1659" i="37"/>
  <c r="B1659" i="37"/>
  <c r="R1658" i="37"/>
  <c r="Q1658" i="37"/>
  <c r="P1658" i="37"/>
  <c r="O1658" i="37"/>
  <c r="N1658" i="37"/>
  <c r="M1658" i="37"/>
  <c r="L1658" i="37"/>
  <c r="K1658" i="37"/>
  <c r="J1658" i="37"/>
  <c r="I1658" i="37"/>
  <c r="H1658" i="37"/>
  <c r="G1658" i="37"/>
  <c r="F1658" i="37"/>
  <c r="E1658" i="37"/>
  <c r="D1658" i="37"/>
  <c r="C1658" i="37"/>
  <c r="B1658" i="37"/>
  <c r="R1657" i="37"/>
  <c r="Q1657" i="37"/>
  <c r="P1657" i="37"/>
  <c r="O1657" i="37"/>
  <c r="N1657" i="37"/>
  <c r="M1657" i="37"/>
  <c r="L1657" i="37"/>
  <c r="K1657" i="37"/>
  <c r="J1657" i="37"/>
  <c r="I1657" i="37"/>
  <c r="H1657" i="37"/>
  <c r="G1657" i="37"/>
  <c r="F1657" i="37"/>
  <c r="E1657" i="37"/>
  <c r="D1657" i="37"/>
  <c r="C1657" i="37"/>
  <c r="B1657" i="37"/>
  <c r="R1656" i="37"/>
  <c r="Q1656" i="37"/>
  <c r="P1656" i="37"/>
  <c r="O1656" i="37"/>
  <c r="N1656" i="37"/>
  <c r="M1656" i="37"/>
  <c r="L1656" i="37"/>
  <c r="K1656" i="37"/>
  <c r="J1656" i="37"/>
  <c r="I1656" i="37"/>
  <c r="H1656" i="37"/>
  <c r="G1656" i="37"/>
  <c r="F1656" i="37"/>
  <c r="E1656" i="37"/>
  <c r="D1656" i="37"/>
  <c r="C1656" i="37"/>
  <c r="B1656" i="37"/>
  <c r="R1655" i="37"/>
  <c r="Q1655" i="37"/>
  <c r="P1655" i="37"/>
  <c r="O1655" i="37"/>
  <c r="N1655" i="37"/>
  <c r="M1655" i="37"/>
  <c r="L1655" i="37"/>
  <c r="K1655" i="37"/>
  <c r="J1655" i="37"/>
  <c r="I1655" i="37"/>
  <c r="H1655" i="37"/>
  <c r="G1655" i="37"/>
  <c r="F1655" i="37"/>
  <c r="E1655" i="37"/>
  <c r="D1655" i="37"/>
  <c r="C1655" i="37"/>
  <c r="B1655" i="37"/>
  <c r="R1654" i="37"/>
  <c r="Q1654" i="37"/>
  <c r="P1654" i="37"/>
  <c r="O1654" i="37"/>
  <c r="N1654" i="37"/>
  <c r="M1654" i="37"/>
  <c r="L1654" i="37"/>
  <c r="K1654" i="37"/>
  <c r="J1654" i="37"/>
  <c r="I1654" i="37"/>
  <c r="H1654" i="37"/>
  <c r="G1654" i="37"/>
  <c r="F1654" i="37"/>
  <c r="E1654" i="37"/>
  <c r="D1654" i="37"/>
  <c r="C1654" i="37"/>
  <c r="B1654" i="37"/>
  <c r="R1653" i="37"/>
  <c r="Q1653" i="37"/>
  <c r="P1653" i="37"/>
  <c r="O1653" i="37"/>
  <c r="N1653" i="37"/>
  <c r="M1653" i="37"/>
  <c r="L1653" i="37"/>
  <c r="K1653" i="37"/>
  <c r="J1653" i="37"/>
  <c r="I1653" i="37"/>
  <c r="H1653" i="37"/>
  <c r="G1653" i="37"/>
  <c r="F1653" i="37"/>
  <c r="E1653" i="37"/>
  <c r="D1653" i="37"/>
  <c r="C1653" i="37"/>
  <c r="B1653" i="37"/>
  <c r="R1652" i="37"/>
  <c r="Q1652" i="37"/>
  <c r="P1652" i="37"/>
  <c r="O1652" i="37"/>
  <c r="N1652" i="37"/>
  <c r="M1652" i="37"/>
  <c r="L1652" i="37"/>
  <c r="K1652" i="37"/>
  <c r="J1652" i="37"/>
  <c r="I1652" i="37"/>
  <c r="H1652" i="37"/>
  <c r="G1652" i="37"/>
  <c r="F1652" i="37"/>
  <c r="E1652" i="37"/>
  <c r="D1652" i="37"/>
  <c r="C1652" i="37"/>
  <c r="B1652" i="37"/>
  <c r="R1651" i="37"/>
  <c r="Q1651" i="37"/>
  <c r="P1651" i="37"/>
  <c r="O1651" i="37"/>
  <c r="N1651" i="37"/>
  <c r="M1651" i="37"/>
  <c r="L1651" i="37"/>
  <c r="K1651" i="37"/>
  <c r="J1651" i="37"/>
  <c r="I1651" i="37"/>
  <c r="H1651" i="37"/>
  <c r="G1651" i="37"/>
  <c r="F1651" i="37"/>
  <c r="E1651" i="37"/>
  <c r="D1651" i="37"/>
  <c r="C1651" i="37"/>
  <c r="B1651" i="37"/>
  <c r="R1650" i="37"/>
  <c r="Q1650" i="37"/>
  <c r="P1650" i="37"/>
  <c r="O1650" i="37"/>
  <c r="N1650" i="37"/>
  <c r="M1650" i="37"/>
  <c r="L1650" i="37"/>
  <c r="K1650" i="37"/>
  <c r="J1650" i="37"/>
  <c r="I1650" i="37"/>
  <c r="H1650" i="37"/>
  <c r="G1650" i="37"/>
  <c r="F1650" i="37"/>
  <c r="E1650" i="37"/>
  <c r="D1650" i="37"/>
  <c r="C1650" i="37"/>
  <c r="B1650" i="37"/>
  <c r="R1649" i="37"/>
  <c r="Q1649" i="37"/>
  <c r="P1649" i="37"/>
  <c r="O1649" i="37"/>
  <c r="N1649" i="37"/>
  <c r="M1649" i="37"/>
  <c r="L1649" i="37"/>
  <c r="K1649" i="37"/>
  <c r="J1649" i="37"/>
  <c r="I1649" i="37"/>
  <c r="H1649" i="37"/>
  <c r="G1649" i="37"/>
  <c r="F1649" i="37"/>
  <c r="E1649" i="37"/>
  <c r="D1649" i="37"/>
  <c r="C1649" i="37"/>
  <c r="B1649" i="37"/>
  <c r="R1648" i="37"/>
  <c r="Q1648" i="37"/>
  <c r="P1648" i="37"/>
  <c r="O1648" i="37"/>
  <c r="N1648" i="37"/>
  <c r="M1648" i="37"/>
  <c r="L1648" i="37"/>
  <c r="K1648" i="37"/>
  <c r="J1648" i="37"/>
  <c r="I1648" i="37"/>
  <c r="H1648" i="37"/>
  <c r="G1648" i="37"/>
  <c r="F1648" i="37"/>
  <c r="E1648" i="37"/>
  <c r="D1648" i="37"/>
  <c r="C1648" i="37"/>
  <c r="B1648" i="37"/>
  <c r="R1647" i="37"/>
  <c r="Q1647" i="37"/>
  <c r="P1647" i="37"/>
  <c r="O1647" i="37"/>
  <c r="N1647" i="37"/>
  <c r="M1647" i="37"/>
  <c r="L1647" i="37"/>
  <c r="K1647" i="37"/>
  <c r="J1647" i="37"/>
  <c r="I1647" i="37"/>
  <c r="H1647" i="37"/>
  <c r="G1647" i="37"/>
  <c r="F1647" i="37"/>
  <c r="E1647" i="37"/>
  <c r="D1647" i="37"/>
  <c r="C1647" i="37"/>
  <c r="B1647" i="37"/>
  <c r="R1646" i="37"/>
  <c r="Q1646" i="37"/>
  <c r="P1646" i="37"/>
  <c r="O1646" i="37"/>
  <c r="N1646" i="37"/>
  <c r="M1646" i="37"/>
  <c r="L1646" i="37"/>
  <c r="K1646" i="37"/>
  <c r="J1646" i="37"/>
  <c r="I1646" i="37"/>
  <c r="H1646" i="37"/>
  <c r="G1646" i="37"/>
  <c r="F1646" i="37"/>
  <c r="E1646" i="37"/>
  <c r="D1646" i="37"/>
  <c r="C1646" i="37"/>
  <c r="B1646" i="37"/>
  <c r="R1645" i="37"/>
  <c r="Q1645" i="37"/>
  <c r="P1645" i="37"/>
  <c r="O1645" i="37"/>
  <c r="N1645" i="37"/>
  <c r="M1645" i="37"/>
  <c r="L1645" i="37"/>
  <c r="K1645" i="37"/>
  <c r="J1645" i="37"/>
  <c r="I1645" i="37"/>
  <c r="H1645" i="37"/>
  <c r="G1645" i="37"/>
  <c r="F1645" i="37"/>
  <c r="E1645" i="37"/>
  <c r="D1645" i="37"/>
  <c r="C1645" i="37"/>
  <c r="B1645" i="37"/>
  <c r="R1644" i="37"/>
  <c r="Q1644" i="37"/>
  <c r="P1644" i="37"/>
  <c r="O1644" i="37"/>
  <c r="N1644" i="37"/>
  <c r="M1644" i="37"/>
  <c r="L1644" i="37"/>
  <c r="K1644" i="37"/>
  <c r="J1644" i="37"/>
  <c r="I1644" i="37"/>
  <c r="H1644" i="37"/>
  <c r="G1644" i="37"/>
  <c r="F1644" i="37"/>
  <c r="E1644" i="37"/>
  <c r="D1644" i="37"/>
  <c r="C1644" i="37"/>
  <c r="B1644" i="37"/>
  <c r="R1643" i="37"/>
  <c r="Q1643" i="37"/>
  <c r="P1643" i="37"/>
  <c r="O1643" i="37"/>
  <c r="N1643" i="37"/>
  <c r="M1643" i="37"/>
  <c r="L1643" i="37"/>
  <c r="K1643" i="37"/>
  <c r="J1643" i="37"/>
  <c r="I1643" i="37"/>
  <c r="H1643" i="37"/>
  <c r="G1643" i="37"/>
  <c r="F1643" i="37"/>
  <c r="E1643" i="37"/>
  <c r="D1643" i="37"/>
  <c r="C1643" i="37"/>
  <c r="B1643" i="37"/>
  <c r="R1642" i="37"/>
  <c r="Q1642" i="37"/>
  <c r="P1642" i="37"/>
  <c r="O1642" i="37"/>
  <c r="N1642" i="37"/>
  <c r="M1642" i="37"/>
  <c r="L1642" i="37"/>
  <c r="K1642" i="37"/>
  <c r="J1642" i="37"/>
  <c r="I1642" i="37"/>
  <c r="H1642" i="37"/>
  <c r="G1642" i="37"/>
  <c r="F1642" i="37"/>
  <c r="E1642" i="37"/>
  <c r="D1642" i="37"/>
  <c r="C1642" i="37"/>
  <c r="B1642" i="37"/>
  <c r="R1641" i="37"/>
  <c r="Q1641" i="37"/>
  <c r="P1641" i="37"/>
  <c r="O1641" i="37"/>
  <c r="N1641" i="37"/>
  <c r="M1641" i="37"/>
  <c r="L1641" i="37"/>
  <c r="K1641" i="37"/>
  <c r="J1641" i="37"/>
  <c r="I1641" i="37"/>
  <c r="H1641" i="37"/>
  <c r="G1641" i="37"/>
  <c r="F1641" i="37"/>
  <c r="E1641" i="37"/>
  <c r="D1641" i="37"/>
  <c r="C1641" i="37"/>
  <c r="B1641" i="37"/>
  <c r="R1640" i="37"/>
  <c r="Q1640" i="37"/>
  <c r="P1640" i="37"/>
  <c r="O1640" i="37"/>
  <c r="N1640" i="37"/>
  <c r="M1640" i="37"/>
  <c r="L1640" i="37"/>
  <c r="K1640" i="37"/>
  <c r="J1640" i="37"/>
  <c r="I1640" i="37"/>
  <c r="H1640" i="37"/>
  <c r="G1640" i="37"/>
  <c r="F1640" i="37"/>
  <c r="E1640" i="37"/>
  <c r="D1640" i="37"/>
  <c r="C1640" i="37"/>
  <c r="B1640" i="37"/>
  <c r="R1639" i="37"/>
  <c r="Q1639" i="37"/>
  <c r="P1639" i="37"/>
  <c r="O1639" i="37"/>
  <c r="N1639" i="37"/>
  <c r="M1639" i="37"/>
  <c r="L1639" i="37"/>
  <c r="K1639" i="37"/>
  <c r="J1639" i="37"/>
  <c r="I1639" i="37"/>
  <c r="H1639" i="37"/>
  <c r="G1639" i="37"/>
  <c r="F1639" i="37"/>
  <c r="E1639" i="37"/>
  <c r="D1639" i="37"/>
  <c r="C1639" i="37"/>
  <c r="B1639" i="37"/>
  <c r="R1638" i="37"/>
  <c r="Q1638" i="37"/>
  <c r="P1638" i="37"/>
  <c r="O1638" i="37"/>
  <c r="N1638" i="37"/>
  <c r="M1638" i="37"/>
  <c r="L1638" i="37"/>
  <c r="K1638" i="37"/>
  <c r="J1638" i="37"/>
  <c r="I1638" i="37"/>
  <c r="H1638" i="37"/>
  <c r="G1638" i="37"/>
  <c r="F1638" i="37"/>
  <c r="E1638" i="37"/>
  <c r="D1638" i="37"/>
  <c r="C1638" i="37"/>
  <c r="B1638" i="37"/>
  <c r="R1637" i="37"/>
  <c r="Q1637" i="37"/>
  <c r="P1637" i="37"/>
  <c r="O1637" i="37"/>
  <c r="N1637" i="37"/>
  <c r="M1637" i="37"/>
  <c r="L1637" i="37"/>
  <c r="K1637" i="37"/>
  <c r="J1637" i="37"/>
  <c r="I1637" i="37"/>
  <c r="H1637" i="37"/>
  <c r="G1637" i="37"/>
  <c r="F1637" i="37"/>
  <c r="E1637" i="37"/>
  <c r="D1637" i="37"/>
  <c r="C1637" i="37"/>
  <c r="B1637" i="37"/>
  <c r="R1636" i="37"/>
  <c r="Q1636" i="37"/>
  <c r="P1636" i="37"/>
  <c r="O1636" i="37"/>
  <c r="N1636" i="37"/>
  <c r="M1636" i="37"/>
  <c r="L1636" i="37"/>
  <c r="K1636" i="37"/>
  <c r="J1636" i="37"/>
  <c r="I1636" i="37"/>
  <c r="H1636" i="37"/>
  <c r="G1636" i="37"/>
  <c r="F1636" i="37"/>
  <c r="E1636" i="37"/>
  <c r="D1636" i="37"/>
  <c r="C1636" i="37"/>
  <c r="B1636" i="37"/>
  <c r="R1635" i="37"/>
  <c r="Q1635" i="37"/>
  <c r="P1635" i="37"/>
  <c r="O1635" i="37"/>
  <c r="N1635" i="37"/>
  <c r="M1635" i="37"/>
  <c r="L1635" i="37"/>
  <c r="K1635" i="37"/>
  <c r="J1635" i="37"/>
  <c r="I1635" i="37"/>
  <c r="H1635" i="37"/>
  <c r="G1635" i="37"/>
  <c r="F1635" i="37"/>
  <c r="E1635" i="37"/>
  <c r="D1635" i="37"/>
  <c r="C1635" i="37"/>
  <c r="B1635" i="37"/>
  <c r="R1634" i="37"/>
  <c r="Q1634" i="37"/>
  <c r="P1634" i="37"/>
  <c r="O1634" i="37"/>
  <c r="N1634" i="37"/>
  <c r="M1634" i="37"/>
  <c r="L1634" i="37"/>
  <c r="K1634" i="37"/>
  <c r="J1634" i="37"/>
  <c r="I1634" i="37"/>
  <c r="H1634" i="37"/>
  <c r="G1634" i="37"/>
  <c r="F1634" i="37"/>
  <c r="E1634" i="37"/>
  <c r="D1634" i="37"/>
  <c r="C1634" i="37"/>
  <c r="B1634" i="37"/>
  <c r="R1633" i="37"/>
  <c r="Q1633" i="37"/>
  <c r="P1633" i="37"/>
  <c r="O1633" i="37"/>
  <c r="N1633" i="37"/>
  <c r="M1633" i="37"/>
  <c r="L1633" i="37"/>
  <c r="K1633" i="37"/>
  <c r="J1633" i="37"/>
  <c r="I1633" i="37"/>
  <c r="H1633" i="37"/>
  <c r="G1633" i="37"/>
  <c r="F1633" i="37"/>
  <c r="E1633" i="37"/>
  <c r="D1633" i="37"/>
  <c r="C1633" i="37"/>
  <c r="B1633" i="37"/>
  <c r="R1632" i="37"/>
  <c r="Q1632" i="37"/>
  <c r="P1632" i="37"/>
  <c r="O1632" i="37"/>
  <c r="N1632" i="37"/>
  <c r="M1632" i="37"/>
  <c r="L1632" i="37"/>
  <c r="K1632" i="37"/>
  <c r="J1632" i="37"/>
  <c r="I1632" i="37"/>
  <c r="H1632" i="37"/>
  <c r="G1632" i="37"/>
  <c r="F1632" i="37"/>
  <c r="E1632" i="37"/>
  <c r="D1632" i="37"/>
  <c r="C1632" i="37"/>
  <c r="B1632" i="37"/>
  <c r="R1631" i="37"/>
  <c r="Q1631" i="37"/>
  <c r="P1631" i="37"/>
  <c r="O1631" i="37"/>
  <c r="N1631" i="37"/>
  <c r="M1631" i="37"/>
  <c r="L1631" i="37"/>
  <c r="K1631" i="37"/>
  <c r="J1631" i="37"/>
  <c r="I1631" i="37"/>
  <c r="H1631" i="37"/>
  <c r="G1631" i="37"/>
  <c r="F1631" i="37"/>
  <c r="E1631" i="37"/>
  <c r="D1631" i="37"/>
  <c r="C1631" i="37"/>
  <c r="B1631" i="37"/>
  <c r="R1630" i="37"/>
  <c r="Q1630" i="37"/>
  <c r="P1630" i="37"/>
  <c r="O1630" i="37"/>
  <c r="N1630" i="37"/>
  <c r="M1630" i="37"/>
  <c r="L1630" i="37"/>
  <c r="K1630" i="37"/>
  <c r="J1630" i="37"/>
  <c r="I1630" i="37"/>
  <c r="H1630" i="37"/>
  <c r="G1630" i="37"/>
  <c r="F1630" i="37"/>
  <c r="E1630" i="37"/>
  <c r="D1630" i="37"/>
  <c r="C1630" i="37"/>
  <c r="B1630" i="37"/>
  <c r="R1629" i="37"/>
  <c r="Q1629" i="37"/>
  <c r="P1629" i="37"/>
  <c r="O1629" i="37"/>
  <c r="N1629" i="37"/>
  <c r="M1629" i="37"/>
  <c r="L1629" i="37"/>
  <c r="K1629" i="37"/>
  <c r="J1629" i="37"/>
  <c r="I1629" i="37"/>
  <c r="H1629" i="37"/>
  <c r="G1629" i="37"/>
  <c r="F1629" i="37"/>
  <c r="E1629" i="37"/>
  <c r="D1629" i="37"/>
  <c r="C1629" i="37"/>
  <c r="B1629" i="37"/>
  <c r="R1628" i="37"/>
  <c r="Q1628" i="37"/>
  <c r="P1628" i="37"/>
  <c r="O1628" i="37"/>
  <c r="N1628" i="37"/>
  <c r="M1628" i="37"/>
  <c r="L1628" i="37"/>
  <c r="K1628" i="37"/>
  <c r="J1628" i="37"/>
  <c r="I1628" i="37"/>
  <c r="H1628" i="37"/>
  <c r="G1628" i="37"/>
  <c r="F1628" i="37"/>
  <c r="E1628" i="37"/>
  <c r="D1628" i="37"/>
  <c r="C1628" i="37"/>
  <c r="B1628" i="37"/>
  <c r="R1627" i="37"/>
  <c r="Q1627" i="37"/>
  <c r="P1627" i="37"/>
  <c r="O1627" i="37"/>
  <c r="N1627" i="37"/>
  <c r="M1627" i="37"/>
  <c r="L1627" i="37"/>
  <c r="K1627" i="37"/>
  <c r="J1627" i="37"/>
  <c r="I1627" i="37"/>
  <c r="H1627" i="37"/>
  <c r="G1627" i="37"/>
  <c r="F1627" i="37"/>
  <c r="E1627" i="37"/>
  <c r="D1627" i="37"/>
  <c r="C1627" i="37"/>
  <c r="B1627" i="37"/>
  <c r="R1626" i="37"/>
  <c r="Q1626" i="37"/>
  <c r="P1626" i="37"/>
  <c r="O1626" i="37"/>
  <c r="N1626" i="37"/>
  <c r="M1626" i="37"/>
  <c r="L1626" i="37"/>
  <c r="K1626" i="37"/>
  <c r="J1626" i="37"/>
  <c r="I1626" i="37"/>
  <c r="H1626" i="37"/>
  <c r="G1626" i="37"/>
  <c r="F1626" i="37"/>
  <c r="E1626" i="37"/>
  <c r="D1626" i="37"/>
  <c r="C1626" i="37"/>
  <c r="B1626" i="37"/>
  <c r="R1625" i="37"/>
  <c r="Q1625" i="37"/>
  <c r="P1625" i="37"/>
  <c r="O1625" i="37"/>
  <c r="N1625" i="37"/>
  <c r="M1625" i="37"/>
  <c r="L1625" i="37"/>
  <c r="K1625" i="37"/>
  <c r="J1625" i="37"/>
  <c r="I1625" i="37"/>
  <c r="H1625" i="37"/>
  <c r="G1625" i="37"/>
  <c r="F1625" i="37"/>
  <c r="E1625" i="37"/>
  <c r="D1625" i="37"/>
  <c r="C1625" i="37"/>
  <c r="B1625" i="37"/>
  <c r="R1624" i="37"/>
  <c r="Q1624" i="37"/>
  <c r="P1624" i="37"/>
  <c r="O1624" i="37"/>
  <c r="N1624" i="37"/>
  <c r="M1624" i="37"/>
  <c r="L1624" i="37"/>
  <c r="K1624" i="37"/>
  <c r="J1624" i="37"/>
  <c r="I1624" i="37"/>
  <c r="H1624" i="37"/>
  <c r="G1624" i="37"/>
  <c r="F1624" i="37"/>
  <c r="E1624" i="37"/>
  <c r="D1624" i="37"/>
  <c r="C1624" i="37"/>
  <c r="B1624" i="37"/>
  <c r="R1623" i="37"/>
  <c r="Q1623" i="37"/>
  <c r="P1623" i="37"/>
  <c r="O1623" i="37"/>
  <c r="N1623" i="37"/>
  <c r="M1623" i="37"/>
  <c r="L1623" i="37"/>
  <c r="K1623" i="37"/>
  <c r="J1623" i="37"/>
  <c r="I1623" i="37"/>
  <c r="H1623" i="37"/>
  <c r="G1623" i="37"/>
  <c r="F1623" i="37"/>
  <c r="E1623" i="37"/>
  <c r="D1623" i="37"/>
  <c r="C1623" i="37"/>
  <c r="B1623" i="37"/>
  <c r="R1622" i="37"/>
  <c r="Q1622" i="37"/>
  <c r="P1622" i="37"/>
  <c r="O1622" i="37"/>
  <c r="N1622" i="37"/>
  <c r="M1622" i="37"/>
  <c r="L1622" i="37"/>
  <c r="K1622" i="37"/>
  <c r="J1622" i="37"/>
  <c r="I1622" i="37"/>
  <c r="H1622" i="37"/>
  <c r="G1622" i="37"/>
  <c r="F1622" i="37"/>
  <c r="E1622" i="37"/>
  <c r="D1622" i="37"/>
  <c r="C1622" i="37"/>
  <c r="B1622" i="37"/>
  <c r="R1621" i="37"/>
  <c r="Q1621" i="37"/>
  <c r="P1621" i="37"/>
  <c r="O1621" i="37"/>
  <c r="N1621" i="37"/>
  <c r="M1621" i="37"/>
  <c r="L1621" i="37"/>
  <c r="K1621" i="37"/>
  <c r="J1621" i="37"/>
  <c r="I1621" i="37"/>
  <c r="H1621" i="37"/>
  <c r="G1621" i="37"/>
  <c r="F1621" i="37"/>
  <c r="E1621" i="37"/>
  <c r="D1621" i="37"/>
  <c r="C1621" i="37"/>
  <c r="B1621" i="37"/>
  <c r="R1620" i="37"/>
  <c r="Q1620" i="37"/>
  <c r="P1620" i="37"/>
  <c r="O1620" i="37"/>
  <c r="N1620" i="37"/>
  <c r="M1620" i="37"/>
  <c r="L1620" i="37"/>
  <c r="K1620" i="37"/>
  <c r="J1620" i="37"/>
  <c r="I1620" i="37"/>
  <c r="H1620" i="37"/>
  <c r="G1620" i="37"/>
  <c r="F1620" i="37"/>
  <c r="E1620" i="37"/>
  <c r="D1620" i="37"/>
  <c r="C1620" i="37"/>
  <c r="B1620" i="37"/>
  <c r="R1619" i="37"/>
  <c r="Q1619" i="37"/>
  <c r="P1619" i="37"/>
  <c r="O1619" i="37"/>
  <c r="N1619" i="37"/>
  <c r="M1619" i="37"/>
  <c r="L1619" i="37"/>
  <c r="K1619" i="37"/>
  <c r="J1619" i="37"/>
  <c r="I1619" i="37"/>
  <c r="H1619" i="37"/>
  <c r="G1619" i="37"/>
  <c r="F1619" i="37"/>
  <c r="E1619" i="37"/>
  <c r="D1619" i="37"/>
  <c r="C1619" i="37"/>
  <c r="B1619" i="37"/>
  <c r="R1618" i="37"/>
  <c r="Q1618" i="37"/>
  <c r="P1618" i="37"/>
  <c r="O1618" i="37"/>
  <c r="N1618" i="37"/>
  <c r="M1618" i="37"/>
  <c r="L1618" i="37"/>
  <c r="K1618" i="37"/>
  <c r="J1618" i="37"/>
  <c r="I1618" i="37"/>
  <c r="H1618" i="37"/>
  <c r="G1618" i="37"/>
  <c r="F1618" i="37"/>
  <c r="E1618" i="37"/>
  <c r="D1618" i="37"/>
  <c r="C1618" i="37"/>
  <c r="B1618" i="37"/>
  <c r="R1617" i="37"/>
  <c r="Q1617" i="37"/>
  <c r="P1617" i="37"/>
  <c r="O1617" i="37"/>
  <c r="N1617" i="37"/>
  <c r="M1617" i="37"/>
  <c r="L1617" i="37"/>
  <c r="K1617" i="37"/>
  <c r="J1617" i="37"/>
  <c r="I1617" i="37"/>
  <c r="H1617" i="37"/>
  <c r="G1617" i="37"/>
  <c r="F1617" i="37"/>
  <c r="E1617" i="37"/>
  <c r="D1617" i="37"/>
  <c r="C1617" i="37"/>
  <c r="B1617" i="37"/>
  <c r="R1616" i="37"/>
  <c r="Q1616" i="37"/>
  <c r="P1616" i="37"/>
  <c r="O1616" i="37"/>
  <c r="N1616" i="37"/>
  <c r="M1616" i="37"/>
  <c r="L1616" i="37"/>
  <c r="K1616" i="37"/>
  <c r="J1616" i="37"/>
  <c r="I1616" i="37"/>
  <c r="H1616" i="37"/>
  <c r="G1616" i="37"/>
  <c r="F1616" i="37"/>
  <c r="E1616" i="37"/>
  <c r="D1616" i="37"/>
  <c r="C1616" i="37"/>
  <c r="B1616" i="37"/>
  <c r="R1615" i="37"/>
  <c r="Q1615" i="37"/>
  <c r="P1615" i="37"/>
  <c r="O1615" i="37"/>
  <c r="N1615" i="37"/>
  <c r="M1615" i="37"/>
  <c r="L1615" i="37"/>
  <c r="K1615" i="37"/>
  <c r="J1615" i="37"/>
  <c r="I1615" i="37"/>
  <c r="H1615" i="37"/>
  <c r="G1615" i="37"/>
  <c r="F1615" i="37"/>
  <c r="E1615" i="37"/>
  <c r="D1615" i="37"/>
  <c r="C1615" i="37"/>
  <c r="B1615" i="37"/>
  <c r="R1614" i="37"/>
  <c r="Q1614" i="37"/>
  <c r="P1614" i="37"/>
  <c r="O1614" i="37"/>
  <c r="N1614" i="37"/>
  <c r="M1614" i="37"/>
  <c r="L1614" i="37"/>
  <c r="K1614" i="37"/>
  <c r="J1614" i="37"/>
  <c r="I1614" i="37"/>
  <c r="H1614" i="37"/>
  <c r="G1614" i="37"/>
  <c r="F1614" i="37"/>
  <c r="E1614" i="37"/>
  <c r="D1614" i="37"/>
  <c r="C1614" i="37"/>
  <c r="B1614" i="37"/>
  <c r="R1613" i="37"/>
  <c r="Q1613" i="37"/>
  <c r="P1613" i="37"/>
  <c r="O1613" i="37"/>
  <c r="N1613" i="37"/>
  <c r="M1613" i="37"/>
  <c r="L1613" i="37"/>
  <c r="K1613" i="37"/>
  <c r="J1613" i="37"/>
  <c r="I1613" i="37"/>
  <c r="H1613" i="37"/>
  <c r="G1613" i="37"/>
  <c r="F1613" i="37"/>
  <c r="E1613" i="37"/>
  <c r="D1613" i="37"/>
  <c r="C1613" i="37"/>
  <c r="B1613" i="37"/>
  <c r="R1612" i="37"/>
  <c r="Q1612" i="37"/>
  <c r="P1612" i="37"/>
  <c r="O1612" i="37"/>
  <c r="N1612" i="37"/>
  <c r="M1612" i="37"/>
  <c r="L1612" i="37"/>
  <c r="K1612" i="37"/>
  <c r="J1612" i="37"/>
  <c r="I1612" i="37"/>
  <c r="H1612" i="37"/>
  <c r="G1612" i="37"/>
  <c r="F1612" i="37"/>
  <c r="E1612" i="37"/>
  <c r="D1612" i="37"/>
  <c r="C1612" i="37"/>
  <c r="B1612" i="37"/>
  <c r="R1611" i="37"/>
  <c r="Q1611" i="37"/>
  <c r="P1611" i="37"/>
  <c r="O1611" i="37"/>
  <c r="N1611" i="37"/>
  <c r="M1611" i="37"/>
  <c r="L1611" i="37"/>
  <c r="K1611" i="37"/>
  <c r="J1611" i="37"/>
  <c r="I1611" i="37"/>
  <c r="H1611" i="37"/>
  <c r="G1611" i="37"/>
  <c r="F1611" i="37"/>
  <c r="E1611" i="37"/>
  <c r="D1611" i="37"/>
  <c r="C1611" i="37"/>
  <c r="B1611" i="37"/>
  <c r="R1610" i="37"/>
  <c r="Q1610" i="37"/>
  <c r="P1610" i="37"/>
  <c r="O1610" i="37"/>
  <c r="N1610" i="37"/>
  <c r="M1610" i="37"/>
  <c r="L1610" i="37"/>
  <c r="K1610" i="37"/>
  <c r="J1610" i="37"/>
  <c r="I1610" i="37"/>
  <c r="H1610" i="37"/>
  <c r="G1610" i="37"/>
  <c r="F1610" i="37"/>
  <c r="E1610" i="37"/>
  <c r="D1610" i="37"/>
  <c r="C1610" i="37"/>
  <c r="B1610" i="37"/>
  <c r="R1609" i="37"/>
  <c r="Q1609" i="37"/>
  <c r="P1609" i="37"/>
  <c r="O1609" i="37"/>
  <c r="N1609" i="37"/>
  <c r="M1609" i="37"/>
  <c r="L1609" i="37"/>
  <c r="K1609" i="37"/>
  <c r="J1609" i="37"/>
  <c r="I1609" i="37"/>
  <c r="H1609" i="37"/>
  <c r="G1609" i="37"/>
  <c r="F1609" i="37"/>
  <c r="E1609" i="37"/>
  <c r="D1609" i="37"/>
  <c r="C1609" i="37"/>
  <c r="B1609" i="37"/>
  <c r="R1608" i="37"/>
  <c r="Q1608" i="37"/>
  <c r="P1608" i="37"/>
  <c r="O1608" i="37"/>
  <c r="N1608" i="37"/>
  <c r="M1608" i="37"/>
  <c r="L1608" i="37"/>
  <c r="K1608" i="37"/>
  <c r="J1608" i="37"/>
  <c r="I1608" i="37"/>
  <c r="H1608" i="37"/>
  <c r="G1608" i="37"/>
  <c r="F1608" i="37"/>
  <c r="E1608" i="37"/>
  <c r="D1608" i="37"/>
  <c r="C1608" i="37"/>
  <c r="B1608" i="37"/>
  <c r="R1607" i="37"/>
  <c r="Q1607" i="37"/>
  <c r="P1607" i="37"/>
  <c r="O1607" i="37"/>
  <c r="N1607" i="37"/>
  <c r="M1607" i="37"/>
  <c r="L1607" i="37"/>
  <c r="K1607" i="37"/>
  <c r="J1607" i="37"/>
  <c r="I1607" i="37"/>
  <c r="H1607" i="37"/>
  <c r="G1607" i="37"/>
  <c r="F1607" i="37"/>
  <c r="E1607" i="37"/>
  <c r="D1607" i="37"/>
  <c r="C1607" i="37"/>
  <c r="B1607" i="37"/>
  <c r="R1606" i="37"/>
  <c r="Q1606" i="37"/>
  <c r="P1606" i="37"/>
  <c r="O1606" i="37"/>
  <c r="N1606" i="37"/>
  <c r="M1606" i="37"/>
  <c r="L1606" i="37"/>
  <c r="K1606" i="37"/>
  <c r="J1606" i="37"/>
  <c r="I1606" i="37"/>
  <c r="H1606" i="37"/>
  <c r="G1606" i="37"/>
  <c r="F1606" i="37"/>
  <c r="E1606" i="37"/>
  <c r="D1606" i="37"/>
  <c r="C1606" i="37"/>
  <c r="B1606" i="37"/>
  <c r="R1605" i="37"/>
  <c r="Q1605" i="37"/>
  <c r="P1605" i="37"/>
  <c r="O1605" i="37"/>
  <c r="N1605" i="37"/>
  <c r="M1605" i="37"/>
  <c r="L1605" i="37"/>
  <c r="K1605" i="37"/>
  <c r="J1605" i="37"/>
  <c r="I1605" i="37"/>
  <c r="H1605" i="37"/>
  <c r="G1605" i="37"/>
  <c r="F1605" i="37"/>
  <c r="E1605" i="37"/>
  <c r="D1605" i="37"/>
  <c r="C1605" i="37"/>
  <c r="B1605" i="37"/>
  <c r="R1604" i="37"/>
  <c r="Q1604" i="37"/>
  <c r="P1604" i="37"/>
  <c r="O1604" i="37"/>
  <c r="N1604" i="37"/>
  <c r="M1604" i="37"/>
  <c r="L1604" i="37"/>
  <c r="K1604" i="37"/>
  <c r="J1604" i="37"/>
  <c r="I1604" i="37"/>
  <c r="H1604" i="37"/>
  <c r="G1604" i="37"/>
  <c r="F1604" i="37"/>
  <c r="E1604" i="37"/>
  <c r="D1604" i="37"/>
  <c r="C1604" i="37"/>
  <c r="B1604" i="37"/>
  <c r="R1603" i="37"/>
  <c r="Q1603" i="37"/>
  <c r="P1603" i="37"/>
  <c r="O1603" i="37"/>
  <c r="N1603" i="37"/>
  <c r="M1603" i="37"/>
  <c r="L1603" i="37"/>
  <c r="K1603" i="37"/>
  <c r="J1603" i="37"/>
  <c r="I1603" i="37"/>
  <c r="H1603" i="37"/>
  <c r="G1603" i="37"/>
  <c r="F1603" i="37"/>
  <c r="E1603" i="37"/>
  <c r="D1603" i="37"/>
  <c r="C1603" i="37"/>
  <c r="B1603" i="37"/>
  <c r="R1602" i="37"/>
  <c r="Q1602" i="37"/>
  <c r="P1602" i="37"/>
  <c r="O1602" i="37"/>
  <c r="N1602" i="37"/>
  <c r="M1602" i="37"/>
  <c r="L1602" i="37"/>
  <c r="K1602" i="37"/>
  <c r="J1602" i="37"/>
  <c r="I1602" i="37"/>
  <c r="H1602" i="37"/>
  <c r="G1602" i="37"/>
  <c r="F1602" i="37"/>
  <c r="E1602" i="37"/>
  <c r="D1602" i="37"/>
  <c r="C1602" i="37"/>
  <c r="B1602" i="37"/>
  <c r="R1601" i="37"/>
  <c r="Q1601" i="37"/>
  <c r="P1601" i="37"/>
  <c r="O1601" i="37"/>
  <c r="N1601" i="37"/>
  <c r="M1601" i="37"/>
  <c r="L1601" i="37"/>
  <c r="K1601" i="37"/>
  <c r="J1601" i="37"/>
  <c r="I1601" i="37"/>
  <c r="H1601" i="37"/>
  <c r="G1601" i="37"/>
  <c r="F1601" i="37"/>
  <c r="E1601" i="37"/>
  <c r="D1601" i="37"/>
  <c r="C1601" i="37"/>
  <c r="B1601" i="37"/>
  <c r="R1600" i="37"/>
  <c r="Q1600" i="37"/>
  <c r="P1600" i="37"/>
  <c r="O1600" i="37"/>
  <c r="N1600" i="37"/>
  <c r="M1600" i="37"/>
  <c r="L1600" i="37"/>
  <c r="K1600" i="37"/>
  <c r="J1600" i="37"/>
  <c r="I1600" i="37"/>
  <c r="H1600" i="37"/>
  <c r="G1600" i="37"/>
  <c r="F1600" i="37"/>
  <c r="E1600" i="37"/>
  <c r="D1600" i="37"/>
  <c r="C1600" i="37"/>
  <c r="B1600" i="37"/>
  <c r="R1599" i="37"/>
  <c r="Q1599" i="37"/>
  <c r="P1599" i="37"/>
  <c r="O1599" i="37"/>
  <c r="N1599" i="37"/>
  <c r="M1599" i="37"/>
  <c r="L1599" i="37"/>
  <c r="K1599" i="37"/>
  <c r="J1599" i="37"/>
  <c r="I1599" i="37"/>
  <c r="H1599" i="37"/>
  <c r="G1599" i="37"/>
  <c r="F1599" i="37"/>
  <c r="E1599" i="37"/>
  <c r="D1599" i="37"/>
  <c r="C1599" i="37"/>
  <c r="B1599" i="37"/>
  <c r="R1598" i="37"/>
  <c r="Q1598" i="37"/>
  <c r="P1598" i="37"/>
  <c r="O1598" i="37"/>
  <c r="N1598" i="37"/>
  <c r="M1598" i="37"/>
  <c r="L1598" i="37"/>
  <c r="K1598" i="37"/>
  <c r="J1598" i="37"/>
  <c r="I1598" i="37"/>
  <c r="H1598" i="37"/>
  <c r="G1598" i="37"/>
  <c r="F1598" i="37"/>
  <c r="E1598" i="37"/>
  <c r="D1598" i="37"/>
  <c r="C1598" i="37"/>
  <c r="B1598" i="37"/>
  <c r="R1597" i="37"/>
  <c r="Q1597" i="37"/>
  <c r="P1597" i="37"/>
  <c r="O1597" i="37"/>
  <c r="N1597" i="37"/>
  <c r="M1597" i="37"/>
  <c r="L1597" i="37"/>
  <c r="K1597" i="37"/>
  <c r="J1597" i="37"/>
  <c r="I1597" i="37"/>
  <c r="H1597" i="37"/>
  <c r="G1597" i="37"/>
  <c r="F1597" i="37"/>
  <c r="E1597" i="37"/>
  <c r="D1597" i="37"/>
  <c r="C1597" i="37"/>
  <c r="B1597" i="37"/>
  <c r="R1596" i="37"/>
  <c r="Q1596" i="37"/>
  <c r="P1596" i="37"/>
  <c r="O1596" i="37"/>
  <c r="N1596" i="37"/>
  <c r="M1596" i="37"/>
  <c r="L1596" i="37"/>
  <c r="K1596" i="37"/>
  <c r="J1596" i="37"/>
  <c r="I1596" i="37"/>
  <c r="H1596" i="37"/>
  <c r="G1596" i="37"/>
  <c r="F1596" i="37"/>
  <c r="E1596" i="37"/>
  <c r="D1596" i="37"/>
  <c r="C1596" i="37"/>
  <c r="B1596" i="37"/>
  <c r="R1595" i="37"/>
  <c r="Q1595" i="37"/>
  <c r="P1595" i="37"/>
  <c r="O1595" i="37"/>
  <c r="N1595" i="37"/>
  <c r="M1595" i="37"/>
  <c r="L1595" i="37"/>
  <c r="K1595" i="37"/>
  <c r="J1595" i="37"/>
  <c r="I1595" i="37"/>
  <c r="H1595" i="37"/>
  <c r="G1595" i="37"/>
  <c r="F1595" i="37"/>
  <c r="E1595" i="37"/>
  <c r="D1595" i="37"/>
  <c r="C1595" i="37"/>
  <c r="B1595" i="37"/>
  <c r="R1594" i="37"/>
  <c r="Q1594" i="37"/>
  <c r="P1594" i="37"/>
  <c r="O1594" i="37"/>
  <c r="N1594" i="37"/>
  <c r="M1594" i="37"/>
  <c r="L1594" i="37"/>
  <c r="K1594" i="37"/>
  <c r="J1594" i="37"/>
  <c r="I1594" i="37"/>
  <c r="H1594" i="37"/>
  <c r="G1594" i="37"/>
  <c r="F1594" i="37"/>
  <c r="E1594" i="37"/>
  <c r="D1594" i="37"/>
  <c r="C1594" i="37"/>
  <c r="B1594" i="37"/>
  <c r="R1593" i="37"/>
  <c r="Q1593" i="37"/>
  <c r="P1593" i="37"/>
  <c r="O1593" i="37"/>
  <c r="N1593" i="37"/>
  <c r="M1593" i="37"/>
  <c r="L1593" i="37"/>
  <c r="K1593" i="37"/>
  <c r="J1593" i="37"/>
  <c r="I1593" i="37"/>
  <c r="H1593" i="37"/>
  <c r="G1593" i="37"/>
  <c r="F1593" i="37"/>
  <c r="E1593" i="37"/>
  <c r="D1593" i="37"/>
  <c r="C1593" i="37"/>
  <c r="B1593" i="37"/>
  <c r="R1592" i="37"/>
  <c r="Q1592" i="37"/>
  <c r="P1592" i="37"/>
  <c r="O1592" i="37"/>
  <c r="N1592" i="37"/>
  <c r="M1592" i="37"/>
  <c r="L1592" i="37"/>
  <c r="K1592" i="37"/>
  <c r="J1592" i="37"/>
  <c r="I1592" i="37"/>
  <c r="H1592" i="37"/>
  <c r="G1592" i="37"/>
  <c r="F1592" i="37"/>
  <c r="E1592" i="37"/>
  <c r="D1592" i="37"/>
  <c r="C1592" i="37"/>
  <c r="B1592" i="37"/>
  <c r="R1591" i="37"/>
  <c r="Q1591" i="37"/>
  <c r="P1591" i="37"/>
  <c r="O1591" i="37"/>
  <c r="N1591" i="37"/>
  <c r="M1591" i="37"/>
  <c r="L1591" i="37"/>
  <c r="K1591" i="37"/>
  <c r="J1591" i="37"/>
  <c r="I1591" i="37"/>
  <c r="H1591" i="37"/>
  <c r="G1591" i="37"/>
  <c r="F1591" i="37"/>
  <c r="E1591" i="37"/>
  <c r="D1591" i="37"/>
  <c r="C1591" i="37"/>
  <c r="B1591" i="37"/>
  <c r="R1590" i="37"/>
  <c r="Q1590" i="37"/>
  <c r="P1590" i="37"/>
  <c r="O1590" i="37"/>
  <c r="N1590" i="37"/>
  <c r="M1590" i="37"/>
  <c r="L1590" i="37"/>
  <c r="K1590" i="37"/>
  <c r="J1590" i="37"/>
  <c r="I1590" i="37"/>
  <c r="H1590" i="37"/>
  <c r="G1590" i="37"/>
  <c r="F1590" i="37"/>
  <c r="E1590" i="37"/>
  <c r="D1590" i="37"/>
  <c r="C1590" i="37"/>
  <c r="B1590" i="37"/>
  <c r="R1589" i="37"/>
  <c r="Q1589" i="37"/>
  <c r="P1589" i="37"/>
  <c r="O1589" i="37"/>
  <c r="N1589" i="37"/>
  <c r="M1589" i="37"/>
  <c r="L1589" i="37"/>
  <c r="K1589" i="37"/>
  <c r="J1589" i="37"/>
  <c r="I1589" i="37"/>
  <c r="H1589" i="37"/>
  <c r="G1589" i="37"/>
  <c r="F1589" i="37"/>
  <c r="E1589" i="37"/>
  <c r="D1589" i="37"/>
  <c r="C1589" i="37"/>
  <c r="B1589" i="37"/>
  <c r="R1588" i="37"/>
  <c r="Q1588" i="37"/>
  <c r="P1588" i="37"/>
  <c r="O1588" i="37"/>
  <c r="N1588" i="37"/>
  <c r="M1588" i="37"/>
  <c r="L1588" i="37"/>
  <c r="K1588" i="37"/>
  <c r="J1588" i="37"/>
  <c r="I1588" i="37"/>
  <c r="H1588" i="37"/>
  <c r="G1588" i="37"/>
  <c r="F1588" i="37"/>
  <c r="E1588" i="37"/>
  <c r="D1588" i="37"/>
  <c r="C1588" i="37"/>
  <c r="B1588" i="37"/>
  <c r="R1587" i="37"/>
  <c r="Q1587" i="37"/>
  <c r="P1587" i="37"/>
  <c r="O1587" i="37"/>
  <c r="N1587" i="37"/>
  <c r="M1587" i="37"/>
  <c r="L1587" i="37"/>
  <c r="K1587" i="37"/>
  <c r="J1587" i="37"/>
  <c r="I1587" i="37"/>
  <c r="H1587" i="37"/>
  <c r="G1587" i="37"/>
  <c r="F1587" i="37"/>
  <c r="E1587" i="37"/>
  <c r="D1587" i="37"/>
  <c r="C1587" i="37"/>
  <c r="B1587" i="37"/>
  <c r="R1586" i="37"/>
  <c r="Q1586" i="37"/>
  <c r="P1586" i="37"/>
  <c r="O1586" i="37"/>
  <c r="N1586" i="37"/>
  <c r="M1586" i="37"/>
  <c r="L1586" i="37"/>
  <c r="K1586" i="37"/>
  <c r="J1586" i="37"/>
  <c r="I1586" i="37"/>
  <c r="H1586" i="37"/>
  <c r="G1586" i="37"/>
  <c r="F1586" i="37"/>
  <c r="E1586" i="37"/>
  <c r="D1586" i="37"/>
  <c r="C1586" i="37"/>
  <c r="B1586" i="37"/>
  <c r="R1585" i="37"/>
  <c r="Q1585" i="37"/>
  <c r="P1585" i="37"/>
  <c r="O1585" i="37"/>
  <c r="N1585" i="37"/>
  <c r="M1585" i="37"/>
  <c r="L1585" i="37"/>
  <c r="K1585" i="37"/>
  <c r="J1585" i="37"/>
  <c r="I1585" i="37"/>
  <c r="H1585" i="37"/>
  <c r="G1585" i="37"/>
  <c r="F1585" i="37"/>
  <c r="E1585" i="37"/>
  <c r="D1585" i="37"/>
  <c r="C1585" i="37"/>
  <c r="B1585" i="37"/>
  <c r="R1584" i="37"/>
  <c r="Q1584" i="37"/>
  <c r="P1584" i="37"/>
  <c r="O1584" i="37"/>
  <c r="N1584" i="37"/>
  <c r="M1584" i="37"/>
  <c r="L1584" i="37"/>
  <c r="K1584" i="37"/>
  <c r="J1584" i="37"/>
  <c r="I1584" i="37"/>
  <c r="H1584" i="37"/>
  <c r="G1584" i="37"/>
  <c r="F1584" i="37"/>
  <c r="E1584" i="37"/>
  <c r="D1584" i="37"/>
  <c r="C1584" i="37"/>
  <c r="B1584" i="37"/>
  <c r="R1583" i="37"/>
  <c r="Q1583" i="37"/>
  <c r="P1583" i="37"/>
  <c r="O1583" i="37"/>
  <c r="N1583" i="37"/>
  <c r="M1583" i="37"/>
  <c r="L1583" i="37"/>
  <c r="K1583" i="37"/>
  <c r="J1583" i="37"/>
  <c r="I1583" i="37"/>
  <c r="H1583" i="37"/>
  <c r="G1583" i="37"/>
  <c r="F1583" i="37"/>
  <c r="E1583" i="37"/>
  <c r="D1583" i="37"/>
  <c r="C1583" i="37"/>
  <c r="B1583" i="37"/>
  <c r="R1582" i="37"/>
  <c r="Q1582" i="37"/>
  <c r="P1582" i="37"/>
  <c r="O1582" i="37"/>
  <c r="N1582" i="37"/>
  <c r="M1582" i="37"/>
  <c r="L1582" i="37"/>
  <c r="K1582" i="37"/>
  <c r="J1582" i="37"/>
  <c r="I1582" i="37"/>
  <c r="H1582" i="37"/>
  <c r="G1582" i="37"/>
  <c r="F1582" i="37"/>
  <c r="E1582" i="37"/>
  <c r="D1582" i="37"/>
  <c r="C1582" i="37"/>
  <c r="B1582" i="37"/>
  <c r="R1581" i="37"/>
  <c r="Q1581" i="37"/>
  <c r="P1581" i="37"/>
  <c r="O1581" i="37"/>
  <c r="N1581" i="37"/>
  <c r="M1581" i="37"/>
  <c r="L1581" i="37"/>
  <c r="K1581" i="37"/>
  <c r="J1581" i="37"/>
  <c r="I1581" i="37"/>
  <c r="H1581" i="37"/>
  <c r="G1581" i="37"/>
  <c r="F1581" i="37"/>
  <c r="E1581" i="37"/>
  <c r="D1581" i="37"/>
  <c r="C1581" i="37"/>
  <c r="B1581" i="37"/>
  <c r="R1580" i="37"/>
  <c r="Q1580" i="37"/>
  <c r="P1580" i="37"/>
  <c r="O1580" i="37"/>
  <c r="N1580" i="37"/>
  <c r="M1580" i="37"/>
  <c r="L1580" i="37"/>
  <c r="K1580" i="37"/>
  <c r="J1580" i="37"/>
  <c r="I1580" i="37"/>
  <c r="H1580" i="37"/>
  <c r="G1580" i="37"/>
  <c r="F1580" i="37"/>
  <c r="E1580" i="37"/>
  <c r="D1580" i="37"/>
  <c r="C1580" i="37"/>
  <c r="B1580" i="37"/>
  <c r="R1579" i="37"/>
  <c r="Q1579" i="37"/>
  <c r="P1579" i="37"/>
  <c r="O1579" i="37"/>
  <c r="N1579" i="37"/>
  <c r="M1579" i="37"/>
  <c r="L1579" i="37"/>
  <c r="K1579" i="37"/>
  <c r="J1579" i="37"/>
  <c r="I1579" i="37"/>
  <c r="H1579" i="37"/>
  <c r="G1579" i="37"/>
  <c r="F1579" i="37"/>
  <c r="E1579" i="37"/>
  <c r="D1579" i="37"/>
  <c r="C1579" i="37"/>
  <c r="B1579" i="37"/>
  <c r="R1578" i="37"/>
  <c r="Q1578" i="37"/>
  <c r="P1578" i="37"/>
  <c r="O1578" i="37"/>
  <c r="N1578" i="37"/>
  <c r="M1578" i="37"/>
  <c r="L1578" i="37"/>
  <c r="K1578" i="37"/>
  <c r="J1578" i="37"/>
  <c r="I1578" i="37"/>
  <c r="H1578" i="37"/>
  <c r="G1578" i="37"/>
  <c r="F1578" i="37"/>
  <c r="E1578" i="37"/>
  <c r="D1578" i="37"/>
  <c r="C1578" i="37"/>
  <c r="B1578" i="37"/>
  <c r="R1577" i="37"/>
  <c r="Q1577" i="37"/>
  <c r="P1577" i="37"/>
  <c r="O1577" i="37"/>
  <c r="N1577" i="37"/>
  <c r="M1577" i="37"/>
  <c r="L1577" i="37"/>
  <c r="K1577" i="37"/>
  <c r="J1577" i="37"/>
  <c r="I1577" i="37"/>
  <c r="H1577" i="37"/>
  <c r="G1577" i="37"/>
  <c r="F1577" i="37"/>
  <c r="E1577" i="37"/>
  <c r="D1577" i="37"/>
  <c r="C1577" i="37"/>
  <c r="B1577" i="37"/>
  <c r="R1576" i="37"/>
  <c r="Q1576" i="37"/>
  <c r="P1576" i="37"/>
  <c r="O1576" i="37"/>
  <c r="N1576" i="37"/>
  <c r="M1576" i="37"/>
  <c r="L1576" i="37"/>
  <c r="K1576" i="37"/>
  <c r="J1576" i="37"/>
  <c r="I1576" i="37"/>
  <c r="H1576" i="37"/>
  <c r="G1576" i="37"/>
  <c r="F1576" i="37"/>
  <c r="E1576" i="37"/>
  <c r="D1576" i="37"/>
  <c r="C1576" i="37"/>
  <c r="B1576" i="37"/>
  <c r="R1575" i="37"/>
  <c r="Q1575" i="37"/>
  <c r="P1575" i="37"/>
  <c r="O1575" i="37"/>
  <c r="N1575" i="37"/>
  <c r="M1575" i="37"/>
  <c r="L1575" i="37"/>
  <c r="K1575" i="37"/>
  <c r="J1575" i="37"/>
  <c r="I1575" i="37"/>
  <c r="H1575" i="37"/>
  <c r="G1575" i="37"/>
  <c r="F1575" i="37"/>
  <c r="E1575" i="37"/>
  <c r="D1575" i="37"/>
  <c r="C1575" i="37"/>
  <c r="B1575" i="37"/>
  <c r="R1574" i="37"/>
  <c r="Q1574" i="37"/>
  <c r="P1574" i="37"/>
  <c r="O1574" i="37"/>
  <c r="N1574" i="37"/>
  <c r="M1574" i="37"/>
  <c r="L1574" i="37"/>
  <c r="K1574" i="37"/>
  <c r="J1574" i="37"/>
  <c r="I1574" i="37"/>
  <c r="H1574" i="37"/>
  <c r="G1574" i="37"/>
  <c r="F1574" i="37"/>
  <c r="E1574" i="37"/>
  <c r="D1574" i="37"/>
  <c r="C1574" i="37"/>
  <c r="B1574" i="37"/>
  <c r="R1573" i="37"/>
  <c r="Q1573" i="37"/>
  <c r="P1573" i="37"/>
  <c r="O1573" i="37"/>
  <c r="N1573" i="37"/>
  <c r="M1573" i="37"/>
  <c r="L1573" i="37"/>
  <c r="K1573" i="37"/>
  <c r="J1573" i="37"/>
  <c r="I1573" i="37"/>
  <c r="H1573" i="37"/>
  <c r="G1573" i="37"/>
  <c r="F1573" i="37"/>
  <c r="E1573" i="37"/>
  <c r="D1573" i="37"/>
  <c r="C1573" i="37"/>
  <c r="B1573" i="37"/>
  <c r="R1572" i="37"/>
  <c r="Q1572" i="37"/>
  <c r="P1572" i="37"/>
  <c r="O1572" i="37"/>
  <c r="N1572" i="37"/>
  <c r="M1572" i="37"/>
  <c r="L1572" i="37"/>
  <c r="K1572" i="37"/>
  <c r="J1572" i="37"/>
  <c r="I1572" i="37"/>
  <c r="H1572" i="37"/>
  <c r="G1572" i="37"/>
  <c r="F1572" i="37"/>
  <c r="E1572" i="37"/>
  <c r="D1572" i="37"/>
  <c r="C1572" i="37"/>
  <c r="B1572" i="37"/>
  <c r="R1571" i="37"/>
  <c r="Q1571" i="37"/>
  <c r="P1571" i="37"/>
  <c r="O1571" i="37"/>
  <c r="N1571" i="37"/>
  <c r="M1571" i="37"/>
  <c r="L1571" i="37"/>
  <c r="K1571" i="37"/>
  <c r="J1571" i="37"/>
  <c r="I1571" i="37"/>
  <c r="H1571" i="37"/>
  <c r="G1571" i="37"/>
  <c r="F1571" i="37"/>
  <c r="E1571" i="37"/>
  <c r="D1571" i="37"/>
  <c r="C1571" i="37"/>
  <c r="B1571" i="37"/>
  <c r="R1570" i="37"/>
  <c r="Q1570" i="37"/>
  <c r="P1570" i="37"/>
  <c r="O1570" i="37"/>
  <c r="N1570" i="37"/>
  <c r="M1570" i="37"/>
  <c r="L1570" i="37"/>
  <c r="K1570" i="37"/>
  <c r="J1570" i="37"/>
  <c r="I1570" i="37"/>
  <c r="H1570" i="37"/>
  <c r="G1570" i="37"/>
  <c r="F1570" i="37"/>
  <c r="E1570" i="37"/>
  <c r="D1570" i="37"/>
  <c r="C1570" i="37"/>
  <c r="B1570" i="37"/>
  <c r="R1569" i="37"/>
  <c r="Q1569" i="37"/>
  <c r="P1569" i="37"/>
  <c r="O1569" i="37"/>
  <c r="N1569" i="37"/>
  <c r="M1569" i="37"/>
  <c r="L1569" i="37"/>
  <c r="K1569" i="37"/>
  <c r="J1569" i="37"/>
  <c r="I1569" i="37"/>
  <c r="H1569" i="37"/>
  <c r="G1569" i="37"/>
  <c r="F1569" i="37"/>
  <c r="E1569" i="37"/>
  <c r="D1569" i="37"/>
  <c r="C1569" i="37"/>
  <c r="B1569" i="37"/>
  <c r="R1568" i="37"/>
  <c r="Q1568" i="37"/>
  <c r="P1568" i="37"/>
  <c r="O1568" i="37"/>
  <c r="N1568" i="37"/>
  <c r="M1568" i="37"/>
  <c r="L1568" i="37"/>
  <c r="K1568" i="37"/>
  <c r="J1568" i="37"/>
  <c r="I1568" i="37"/>
  <c r="H1568" i="37"/>
  <c r="G1568" i="37"/>
  <c r="F1568" i="37"/>
  <c r="E1568" i="37"/>
  <c r="D1568" i="37"/>
  <c r="C1568" i="37"/>
  <c r="B1568" i="37"/>
  <c r="R1567" i="37"/>
  <c r="Q1567" i="37"/>
  <c r="P1567" i="37"/>
  <c r="O1567" i="37"/>
  <c r="N1567" i="37"/>
  <c r="M1567" i="37"/>
  <c r="L1567" i="37"/>
  <c r="K1567" i="37"/>
  <c r="J1567" i="37"/>
  <c r="I1567" i="37"/>
  <c r="H1567" i="37"/>
  <c r="G1567" i="37"/>
  <c r="F1567" i="37"/>
  <c r="E1567" i="37"/>
  <c r="D1567" i="37"/>
  <c r="C1567" i="37"/>
  <c r="B1567" i="37"/>
  <c r="R1566" i="37"/>
  <c r="Q1566" i="37"/>
  <c r="P1566" i="37"/>
  <c r="O1566" i="37"/>
  <c r="N1566" i="37"/>
  <c r="M1566" i="37"/>
  <c r="L1566" i="37"/>
  <c r="K1566" i="37"/>
  <c r="J1566" i="37"/>
  <c r="I1566" i="37"/>
  <c r="H1566" i="37"/>
  <c r="G1566" i="37"/>
  <c r="F1566" i="37"/>
  <c r="E1566" i="37"/>
  <c r="D1566" i="37"/>
  <c r="C1566" i="37"/>
  <c r="B1566" i="37"/>
  <c r="R1565" i="37"/>
  <c r="Q1565" i="37"/>
  <c r="P1565" i="37"/>
  <c r="O1565" i="37"/>
  <c r="N1565" i="37"/>
  <c r="M1565" i="37"/>
  <c r="L1565" i="37"/>
  <c r="K1565" i="37"/>
  <c r="J1565" i="37"/>
  <c r="I1565" i="37"/>
  <c r="H1565" i="37"/>
  <c r="G1565" i="37"/>
  <c r="F1565" i="37"/>
  <c r="E1565" i="37"/>
  <c r="D1565" i="37"/>
  <c r="C1565" i="37"/>
  <c r="B1565" i="37"/>
  <c r="R1564" i="37"/>
  <c r="Q1564" i="37"/>
  <c r="P1564" i="37"/>
  <c r="O1564" i="37"/>
  <c r="N1564" i="37"/>
  <c r="M1564" i="37"/>
  <c r="L1564" i="37"/>
  <c r="K1564" i="37"/>
  <c r="J1564" i="37"/>
  <c r="I1564" i="37"/>
  <c r="H1564" i="37"/>
  <c r="G1564" i="37"/>
  <c r="F1564" i="37"/>
  <c r="E1564" i="37"/>
  <c r="D1564" i="37"/>
  <c r="C1564" i="37"/>
  <c r="B1564" i="37"/>
  <c r="R1563" i="37"/>
  <c r="Q1563" i="37"/>
  <c r="P1563" i="37"/>
  <c r="O1563" i="37"/>
  <c r="N1563" i="37"/>
  <c r="M1563" i="37"/>
  <c r="L1563" i="37"/>
  <c r="K1563" i="37"/>
  <c r="J1563" i="37"/>
  <c r="I1563" i="37"/>
  <c r="H1563" i="37"/>
  <c r="G1563" i="37"/>
  <c r="F1563" i="37"/>
  <c r="E1563" i="37"/>
  <c r="D1563" i="37"/>
  <c r="C1563" i="37"/>
  <c r="B1563" i="37"/>
  <c r="R1562" i="37"/>
  <c r="Q1562" i="37"/>
  <c r="P1562" i="37"/>
  <c r="O1562" i="37"/>
  <c r="N1562" i="37"/>
  <c r="M1562" i="37"/>
  <c r="L1562" i="37"/>
  <c r="K1562" i="37"/>
  <c r="J1562" i="37"/>
  <c r="I1562" i="37"/>
  <c r="H1562" i="37"/>
  <c r="G1562" i="37"/>
  <c r="F1562" i="37"/>
  <c r="E1562" i="37"/>
  <c r="D1562" i="37"/>
  <c r="C1562" i="37"/>
  <c r="B1562" i="37"/>
  <c r="R1561" i="37"/>
  <c r="Q1561" i="37"/>
  <c r="P1561" i="37"/>
  <c r="O1561" i="37"/>
  <c r="N1561" i="37"/>
  <c r="M1561" i="37"/>
  <c r="L1561" i="37"/>
  <c r="K1561" i="37"/>
  <c r="J1561" i="37"/>
  <c r="I1561" i="37"/>
  <c r="H1561" i="37"/>
  <c r="G1561" i="37"/>
  <c r="F1561" i="37"/>
  <c r="E1561" i="37"/>
  <c r="D1561" i="37"/>
  <c r="C1561" i="37"/>
  <c r="B1561" i="37"/>
  <c r="R1560" i="37"/>
  <c r="Q1560" i="37"/>
  <c r="P1560" i="37"/>
  <c r="O1560" i="37"/>
  <c r="N1560" i="37"/>
  <c r="M1560" i="37"/>
  <c r="L1560" i="37"/>
  <c r="K1560" i="37"/>
  <c r="J1560" i="37"/>
  <c r="I1560" i="37"/>
  <c r="H1560" i="37"/>
  <c r="G1560" i="37"/>
  <c r="F1560" i="37"/>
  <c r="E1560" i="37"/>
  <c r="D1560" i="37"/>
  <c r="C1560" i="37"/>
  <c r="B1560" i="37"/>
  <c r="R1559" i="37"/>
  <c r="Q1559" i="37"/>
  <c r="P1559" i="37"/>
  <c r="O1559" i="37"/>
  <c r="N1559" i="37"/>
  <c r="M1559" i="37"/>
  <c r="L1559" i="37"/>
  <c r="K1559" i="37"/>
  <c r="J1559" i="37"/>
  <c r="I1559" i="37"/>
  <c r="H1559" i="37"/>
  <c r="G1559" i="37"/>
  <c r="F1559" i="37"/>
  <c r="E1559" i="37"/>
  <c r="D1559" i="37"/>
  <c r="C1559" i="37"/>
  <c r="B1559" i="37"/>
  <c r="R1558" i="37"/>
  <c r="Q1558" i="37"/>
  <c r="P1558" i="37"/>
  <c r="O1558" i="37"/>
  <c r="N1558" i="37"/>
  <c r="M1558" i="37"/>
  <c r="L1558" i="37"/>
  <c r="K1558" i="37"/>
  <c r="J1558" i="37"/>
  <c r="I1558" i="37"/>
  <c r="H1558" i="37"/>
  <c r="G1558" i="37"/>
  <c r="F1558" i="37"/>
  <c r="E1558" i="37"/>
  <c r="D1558" i="37"/>
  <c r="C1558" i="37"/>
  <c r="B1558" i="37"/>
  <c r="R1557" i="37"/>
  <c r="Q1557" i="37"/>
  <c r="P1557" i="37"/>
  <c r="O1557" i="37"/>
  <c r="N1557" i="37"/>
  <c r="M1557" i="37"/>
  <c r="L1557" i="37"/>
  <c r="K1557" i="37"/>
  <c r="J1557" i="37"/>
  <c r="I1557" i="37"/>
  <c r="H1557" i="37"/>
  <c r="G1557" i="37"/>
  <c r="F1557" i="37"/>
  <c r="E1557" i="37"/>
  <c r="D1557" i="37"/>
  <c r="C1557" i="37"/>
  <c r="B1557" i="37"/>
  <c r="R1556" i="37"/>
  <c r="Q1556" i="37"/>
  <c r="P1556" i="37"/>
  <c r="O1556" i="37"/>
  <c r="N1556" i="37"/>
  <c r="M1556" i="37"/>
  <c r="L1556" i="37"/>
  <c r="K1556" i="37"/>
  <c r="J1556" i="37"/>
  <c r="I1556" i="37"/>
  <c r="H1556" i="37"/>
  <c r="G1556" i="37"/>
  <c r="F1556" i="37"/>
  <c r="E1556" i="37"/>
  <c r="D1556" i="37"/>
  <c r="C1556" i="37"/>
  <c r="B1556" i="37"/>
  <c r="R1555" i="37"/>
  <c r="Q1555" i="37"/>
  <c r="P1555" i="37"/>
  <c r="O1555" i="37"/>
  <c r="N1555" i="37"/>
  <c r="M1555" i="37"/>
  <c r="L1555" i="37"/>
  <c r="K1555" i="37"/>
  <c r="J1555" i="37"/>
  <c r="I1555" i="37"/>
  <c r="H1555" i="37"/>
  <c r="G1555" i="37"/>
  <c r="F1555" i="37"/>
  <c r="E1555" i="37"/>
  <c r="D1555" i="37"/>
  <c r="C1555" i="37"/>
  <c r="B1555" i="37"/>
  <c r="R1554" i="37"/>
  <c r="Q1554" i="37"/>
  <c r="P1554" i="37"/>
  <c r="O1554" i="37"/>
  <c r="N1554" i="37"/>
  <c r="M1554" i="37"/>
  <c r="L1554" i="37"/>
  <c r="K1554" i="37"/>
  <c r="J1554" i="37"/>
  <c r="I1554" i="37"/>
  <c r="H1554" i="37"/>
  <c r="G1554" i="37"/>
  <c r="F1554" i="37"/>
  <c r="E1554" i="37"/>
  <c r="D1554" i="37"/>
  <c r="C1554" i="37"/>
  <c r="B1554" i="37"/>
  <c r="R1553" i="37"/>
  <c r="Q1553" i="37"/>
  <c r="P1553" i="37"/>
  <c r="O1553" i="37"/>
  <c r="N1553" i="37"/>
  <c r="M1553" i="37"/>
  <c r="L1553" i="37"/>
  <c r="K1553" i="37"/>
  <c r="J1553" i="37"/>
  <c r="I1553" i="37"/>
  <c r="H1553" i="37"/>
  <c r="G1553" i="37"/>
  <c r="F1553" i="37"/>
  <c r="E1553" i="37"/>
  <c r="D1553" i="37"/>
  <c r="C1553" i="37"/>
  <c r="B1553" i="37"/>
  <c r="R1552" i="37"/>
  <c r="Q1552" i="37"/>
  <c r="P1552" i="37"/>
  <c r="O1552" i="37"/>
  <c r="N1552" i="37"/>
  <c r="M1552" i="37"/>
  <c r="L1552" i="37"/>
  <c r="K1552" i="37"/>
  <c r="J1552" i="37"/>
  <c r="I1552" i="37"/>
  <c r="H1552" i="37"/>
  <c r="G1552" i="37"/>
  <c r="F1552" i="37"/>
  <c r="E1552" i="37"/>
  <c r="D1552" i="37"/>
  <c r="C1552" i="37"/>
  <c r="B1552" i="37"/>
  <c r="R1551" i="37"/>
  <c r="Q1551" i="37"/>
  <c r="P1551" i="37"/>
  <c r="O1551" i="37"/>
  <c r="N1551" i="37"/>
  <c r="M1551" i="37"/>
  <c r="L1551" i="37"/>
  <c r="K1551" i="37"/>
  <c r="J1551" i="37"/>
  <c r="I1551" i="37"/>
  <c r="H1551" i="37"/>
  <c r="G1551" i="37"/>
  <c r="F1551" i="37"/>
  <c r="E1551" i="37"/>
  <c r="D1551" i="37"/>
  <c r="C1551" i="37"/>
  <c r="B1551" i="37"/>
  <c r="R1550" i="37"/>
  <c r="Q1550" i="37"/>
  <c r="P1550" i="37"/>
  <c r="O1550" i="37"/>
  <c r="N1550" i="37"/>
  <c r="M1550" i="37"/>
  <c r="L1550" i="37"/>
  <c r="K1550" i="37"/>
  <c r="J1550" i="37"/>
  <c r="I1550" i="37"/>
  <c r="H1550" i="37"/>
  <c r="G1550" i="37"/>
  <c r="F1550" i="37"/>
  <c r="E1550" i="37"/>
  <c r="D1550" i="37"/>
  <c r="C1550" i="37"/>
  <c r="B1550" i="37"/>
  <c r="R1549" i="37"/>
  <c r="Q1549" i="37"/>
  <c r="P1549" i="37"/>
  <c r="O1549" i="37"/>
  <c r="N1549" i="37"/>
  <c r="M1549" i="37"/>
  <c r="L1549" i="37"/>
  <c r="K1549" i="37"/>
  <c r="J1549" i="37"/>
  <c r="I1549" i="37"/>
  <c r="H1549" i="37"/>
  <c r="G1549" i="37"/>
  <c r="F1549" i="37"/>
  <c r="E1549" i="37"/>
  <c r="D1549" i="37"/>
  <c r="C1549" i="37"/>
  <c r="B1549" i="37"/>
  <c r="R1548" i="37"/>
  <c r="Q1548" i="37"/>
  <c r="P1548" i="37"/>
  <c r="O1548" i="37"/>
  <c r="N1548" i="37"/>
  <c r="M1548" i="37"/>
  <c r="L1548" i="37"/>
  <c r="K1548" i="37"/>
  <c r="J1548" i="37"/>
  <c r="I1548" i="37"/>
  <c r="H1548" i="37"/>
  <c r="G1548" i="37"/>
  <c r="F1548" i="37"/>
  <c r="E1548" i="37"/>
  <c r="D1548" i="37"/>
  <c r="C1548" i="37"/>
  <c r="B1548" i="37"/>
  <c r="R1547" i="37"/>
  <c r="Q1547" i="37"/>
  <c r="P1547" i="37"/>
  <c r="O1547" i="37"/>
  <c r="N1547" i="37"/>
  <c r="M1547" i="37"/>
  <c r="L1547" i="37"/>
  <c r="K1547" i="37"/>
  <c r="J1547" i="37"/>
  <c r="I1547" i="37"/>
  <c r="H1547" i="37"/>
  <c r="G1547" i="37"/>
  <c r="F1547" i="37"/>
  <c r="E1547" i="37"/>
  <c r="D1547" i="37"/>
  <c r="C1547" i="37"/>
  <c r="B1547" i="37"/>
  <c r="R1546" i="37"/>
  <c r="Q1546" i="37"/>
  <c r="P1546" i="37"/>
  <c r="O1546" i="37"/>
  <c r="N1546" i="37"/>
  <c r="M1546" i="37"/>
  <c r="L1546" i="37"/>
  <c r="K1546" i="37"/>
  <c r="J1546" i="37"/>
  <c r="I1546" i="37"/>
  <c r="H1546" i="37"/>
  <c r="G1546" i="37"/>
  <c r="F1546" i="37"/>
  <c r="E1546" i="37"/>
  <c r="D1546" i="37"/>
  <c r="C1546" i="37"/>
  <c r="B1546" i="37"/>
  <c r="R1545" i="37"/>
  <c r="Q1545" i="37"/>
  <c r="P1545" i="37"/>
  <c r="O1545" i="37"/>
  <c r="N1545" i="37"/>
  <c r="M1545" i="37"/>
  <c r="L1545" i="37"/>
  <c r="K1545" i="37"/>
  <c r="J1545" i="37"/>
  <c r="I1545" i="37"/>
  <c r="H1545" i="37"/>
  <c r="G1545" i="37"/>
  <c r="F1545" i="37"/>
  <c r="E1545" i="37"/>
  <c r="D1545" i="37"/>
  <c r="C1545" i="37"/>
  <c r="B1545" i="37"/>
  <c r="R1544" i="37"/>
  <c r="Q1544" i="37"/>
  <c r="P1544" i="37"/>
  <c r="O1544" i="37"/>
  <c r="N1544" i="37"/>
  <c r="M1544" i="37"/>
  <c r="L1544" i="37"/>
  <c r="K1544" i="37"/>
  <c r="J1544" i="37"/>
  <c r="I1544" i="37"/>
  <c r="H1544" i="37"/>
  <c r="G1544" i="37"/>
  <c r="F1544" i="37"/>
  <c r="E1544" i="37"/>
  <c r="D1544" i="37"/>
  <c r="C1544" i="37"/>
  <c r="B1544" i="37"/>
  <c r="R1543" i="37"/>
  <c r="Q1543" i="37"/>
  <c r="P1543" i="37"/>
  <c r="O1543" i="37"/>
  <c r="N1543" i="37"/>
  <c r="M1543" i="37"/>
  <c r="L1543" i="37"/>
  <c r="K1543" i="37"/>
  <c r="J1543" i="37"/>
  <c r="I1543" i="37"/>
  <c r="H1543" i="37"/>
  <c r="G1543" i="37"/>
  <c r="F1543" i="37"/>
  <c r="E1543" i="37"/>
  <c r="D1543" i="37"/>
  <c r="C1543" i="37"/>
  <c r="B1543" i="37"/>
  <c r="R1542" i="37"/>
  <c r="Q1542" i="37"/>
  <c r="P1542" i="37"/>
  <c r="O1542" i="37"/>
  <c r="N1542" i="37"/>
  <c r="M1542" i="37"/>
  <c r="L1542" i="37"/>
  <c r="K1542" i="37"/>
  <c r="J1542" i="37"/>
  <c r="I1542" i="37"/>
  <c r="H1542" i="37"/>
  <c r="G1542" i="37"/>
  <c r="F1542" i="37"/>
  <c r="E1542" i="37"/>
  <c r="D1542" i="37"/>
  <c r="C1542" i="37"/>
  <c r="B1542" i="37"/>
  <c r="R1541" i="37"/>
  <c r="Q1541" i="37"/>
  <c r="P1541" i="37"/>
  <c r="O1541" i="37"/>
  <c r="N1541" i="37"/>
  <c r="M1541" i="37"/>
  <c r="L1541" i="37"/>
  <c r="K1541" i="37"/>
  <c r="J1541" i="37"/>
  <c r="I1541" i="37"/>
  <c r="H1541" i="37"/>
  <c r="G1541" i="37"/>
  <c r="F1541" i="37"/>
  <c r="E1541" i="37"/>
  <c r="D1541" i="37"/>
  <c r="C1541" i="37"/>
  <c r="B1541" i="37"/>
  <c r="R1540" i="37"/>
  <c r="Q1540" i="37"/>
  <c r="P1540" i="37"/>
  <c r="O1540" i="37"/>
  <c r="N1540" i="37"/>
  <c r="M1540" i="37"/>
  <c r="L1540" i="37"/>
  <c r="K1540" i="37"/>
  <c r="J1540" i="37"/>
  <c r="I1540" i="37"/>
  <c r="H1540" i="37"/>
  <c r="G1540" i="37"/>
  <c r="F1540" i="37"/>
  <c r="E1540" i="37"/>
  <c r="D1540" i="37"/>
  <c r="C1540" i="37"/>
  <c r="B1540" i="37"/>
  <c r="R1539" i="37"/>
  <c r="Q1539" i="37"/>
  <c r="P1539" i="37"/>
  <c r="O1539" i="37"/>
  <c r="N1539" i="37"/>
  <c r="M1539" i="37"/>
  <c r="L1539" i="37"/>
  <c r="K1539" i="37"/>
  <c r="J1539" i="37"/>
  <c r="I1539" i="37"/>
  <c r="H1539" i="37"/>
  <c r="G1539" i="37"/>
  <c r="F1539" i="37"/>
  <c r="E1539" i="37"/>
  <c r="D1539" i="37"/>
  <c r="C1539" i="37"/>
  <c r="B1539" i="37"/>
  <c r="R1538" i="37"/>
  <c r="Q1538" i="37"/>
  <c r="P1538" i="37"/>
  <c r="O1538" i="37"/>
  <c r="N1538" i="37"/>
  <c r="M1538" i="37"/>
  <c r="L1538" i="37"/>
  <c r="K1538" i="37"/>
  <c r="J1538" i="37"/>
  <c r="I1538" i="37"/>
  <c r="H1538" i="37"/>
  <c r="G1538" i="37"/>
  <c r="F1538" i="37"/>
  <c r="E1538" i="37"/>
  <c r="D1538" i="37"/>
  <c r="C1538" i="37"/>
  <c r="B1538" i="37"/>
  <c r="R1537" i="37"/>
  <c r="Q1537" i="37"/>
  <c r="P1537" i="37"/>
  <c r="O1537" i="37"/>
  <c r="N1537" i="37"/>
  <c r="M1537" i="37"/>
  <c r="L1537" i="37"/>
  <c r="K1537" i="37"/>
  <c r="J1537" i="37"/>
  <c r="I1537" i="37"/>
  <c r="H1537" i="37"/>
  <c r="G1537" i="37"/>
  <c r="F1537" i="37"/>
  <c r="E1537" i="37"/>
  <c r="D1537" i="37"/>
  <c r="C1537" i="37"/>
  <c r="B1537" i="37"/>
  <c r="R1536" i="37"/>
  <c r="Q1536" i="37"/>
  <c r="P1536" i="37"/>
  <c r="O1536" i="37"/>
  <c r="N1536" i="37"/>
  <c r="M1536" i="37"/>
  <c r="L1536" i="37"/>
  <c r="K1536" i="37"/>
  <c r="J1536" i="37"/>
  <c r="I1536" i="37"/>
  <c r="H1536" i="37"/>
  <c r="G1536" i="37"/>
  <c r="F1536" i="37"/>
  <c r="E1536" i="37"/>
  <c r="D1536" i="37"/>
  <c r="C1536" i="37"/>
  <c r="B1536" i="37"/>
  <c r="R1535" i="37"/>
  <c r="Q1535" i="37"/>
  <c r="P1535" i="37"/>
  <c r="O1535" i="37"/>
  <c r="N1535" i="37"/>
  <c r="M1535" i="37"/>
  <c r="L1535" i="37"/>
  <c r="K1535" i="37"/>
  <c r="J1535" i="37"/>
  <c r="I1535" i="37"/>
  <c r="H1535" i="37"/>
  <c r="G1535" i="37"/>
  <c r="F1535" i="37"/>
  <c r="E1535" i="37"/>
  <c r="D1535" i="37"/>
  <c r="C1535" i="37"/>
  <c r="B1535" i="37"/>
  <c r="R1534" i="37"/>
  <c r="Q1534" i="37"/>
  <c r="P1534" i="37"/>
  <c r="O1534" i="37"/>
  <c r="N1534" i="37"/>
  <c r="M1534" i="37"/>
  <c r="L1534" i="37"/>
  <c r="K1534" i="37"/>
  <c r="J1534" i="37"/>
  <c r="I1534" i="37"/>
  <c r="H1534" i="37"/>
  <c r="G1534" i="37"/>
  <c r="F1534" i="37"/>
  <c r="E1534" i="37"/>
  <c r="D1534" i="37"/>
  <c r="C1534" i="37"/>
  <c r="B1534" i="37"/>
  <c r="R1533" i="37"/>
  <c r="Q1533" i="37"/>
  <c r="P1533" i="37"/>
  <c r="O1533" i="37"/>
  <c r="N1533" i="37"/>
  <c r="M1533" i="37"/>
  <c r="L1533" i="37"/>
  <c r="K1533" i="37"/>
  <c r="J1533" i="37"/>
  <c r="I1533" i="37"/>
  <c r="H1533" i="37"/>
  <c r="G1533" i="37"/>
  <c r="F1533" i="37"/>
  <c r="E1533" i="37"/>
  <c r="D1533" i="37"/>
  <c r="C1533" i="37"/>
  <c r="B1533" i="37"/>
  <c r="R1532" i="37"/>
  <c r="Q1532" i="37"/>
  <c r="P1532" i="37"/>
  <c r="O1532" i="37"/>
  <c r="N1532" i="37"/>
  <c r="M1532" i="37"/>
  <c r="L1532" i="37"/>
  <c r="K1532" i="37"/>
  <c r="J1532" i="37"/>
  <c r="I1532" i="37"/>
  <c r="H1532" i="37"/>
  <c r="G1532" i="37"/>
  <c r="F1532" i="37"/>
  <c r="E1532" i="37"/>
  <c r="D1532" i="37"/>
  <c r="C1532" i="37"/>
  <c r="B1532" i="37"/>
  <c r="R1531" i="37"/>
  <c r="Q1531" i="37"/>
  <c r="P1531" i="37"/>
  <c r="O1531" i="37"/>
  <c r="N1531" i="37"/>
  <c r="M1531" i="37"/>
  <c r="L1531" i="37"/>
  <c r="K1531" i="37"/>
  <c r="J1531" i="37"/>
  <c r="I1531" i="37"/>
  <c r="H1531" i="37"/>
  <c r="G1531" i="37"/>
  <c r="F1531" i="37"/>
  <c r="E1531" i="37"/>
  <c r="D1531" i="37"/>
  <c r="C1531" i="37"/>
  <c r="B1531" i="37"/>
  <c r="R1530" i="37"/>
  <c r="Q1530" i="37"/>
  <c r="P1530" i="37"/>
  <c r="O1530" i="37"/>
  <c r="N1530" i="37"/>
  <c r="M1530" i="37"/>
  <c r="L1530" i="37"/>
  <c r="K1530" i="37"/>
  <c r="J1530" i="37"/>
  <c r="I1530" i="37"/>
  <c r="H1530" i="37"/>
  <c r="G1530" i="37"/>
  <c r="F1530" i="37"/>
  <c r="E1530" i="37"/>
  <c r="D1530" i="37"/>
  <c r="C1530" i="37"/>
  <c r="B1530" i="37"/>
  <c r="R1529" i="37"/>
  <c r="Q1529" i="37"/>
  <c r="P1529" i="37"/>
  <c r="O1529" i="37"/>
  <c r="N1529" i="37"/>
  <c r="M1529" i="37"/>
  <c r="L1529" i="37"/>
  <c r="K1529" i="37"/>
  <c r="J1529" i="37"/>
  <c r="I1529" i="37"/>
  <c r="H1529" i="37"/>
  <c r="G1529" i="37"/>
  <c r="F1529" i="37"/>
  <c r="E1529" i="37"/>
  <c r="D1529" i="37"/>
  <c r="C1529" i="37"/>
  <c r="B1529" i="37"/>
  <c r="R1528" i="37"/>
  <c r="Q1528" i="37"/>
  <c r="P1528" i="37"/>
  <c r="O1528" i="37"/>
  <c r="N1528" i="37"/>
  <c r="M1528" i="37"/>
  <c r="L1528" i="37"/>
  <c r="K1528" i="37"/>
  <c r="J1528" i="37"/>
  <c r="I1528" i="37"/>
  <c r="H1528" i="37"/>
  <c r="G1528" i="37"/>
  <c r="F1528" i="37"/>
  <c r="E1528" i="37"/>
  <c r="D1528" i="37"/>
  <c r="C1528" i="37"/>
  <c r="B1528" i="37"/>
  <c r="R1527" i="37"/>
  <c r="Q1527" i="37"/>
  <c r="P1527" i="37"/>
  <c r="O1527" i="37"/>
  <c r="N1527" i="37"/>
  <c r="M1527" i="37"/>
  <c r="L1527" i="37"/>
  <c r="K1527" i="37"/>
  <c r="J1527" i="37"/>
  <c r="I1527" i="37"/>
  <c r="H1527" i="37"/>
  <c r="G1527" i="37"/>
  <c r="F1527" i="37"/>
  <c r="E1527" i="37"/>
  <c r="D1527" i="37"/>
  <c r="C1527" i="37"/>
  <c r="B1527" i="37"/>
  <c r="R1526" i="37"/>
  <c r="Q1526" i="37"/>
  <c r="P1526" i="37"/>
  <c r="O1526" i="37"/>
  <c r="N1526" i="37"/>
  <c r="M1526" i="37"/>
  <c r="L1526" i="37"/>
  <c r="K1526" i="37"/>
  <c r="J1526" i="37"/>
  <c r="I1526" i="37"/>
  <c r="H1526" i="37"/>
  <c r="G1526" i="37"/>
  <c r="F1526" i="37"/>
  <c r="E1526" i="37"/>
  <c r="D1526" i="37"/>
  <c r="C1526" i="37"/>
  <c r="B1526" i="37"/>
  <c r="R1525" i="37"/>
  <c r="Q1525" i="37"/>
  <c r="P1525" i="37"/>
  <c r="O1525" i="37"/>
  <c r="N1525" i="37"/>
  <c r="M1525" i="37"/>
  <c r="L1525" i="37"/>
  <c r="K1525" i="37"/>
  <c r="J1525" i="37"/>
  <c r="I1525" i="37"/>
  <c r="H1525" i="37"/>
  <c r="G1525" i="37"/>
  <c r="F1525" i="37"/>
  <c r="E1525" i="37"/>
  <c r="D1525" i="37"/>
  <c r="C1525" i="37"/>
  <c r="B1525" i="37"/>
  <c r="R1524" i="37"/>
  <c r="Q1524" i="37"/>
  <c r="P1524" i="37"/>
  <c r="O1524" i="37"/>
  <c r="N1524" i="37"/>
  <c r="M1524" i="37"/>
  <c r="L1524" i="37"/>
  <c r="K1524" i="37"/>
  <c r="J1524" i="37"/>
  <c r="I1524" i="37"/>
  <c r="H1524" i="37"/>
  <c r="G1524" i="37"/>
  <c r="F1524" i="37"/>
  <c r="E1524" i="37"/>
  <c r="D1524" i="37"/>
  <c r="C1524" i="37"/>
  <c r="B1524" i="37"/>
  <c r="R1523" i="37"/>
  <c r="Q1523" i="37"/>
  <c r="P1523" i="37"/>
  <c r="O1523" i="37"/>
  <c r="N1523" i="37"/>
  <c r="M1523" i="37"/>
  <c r="L1523" i="37"/>
  <c r="K1523" i="37"/>
  <c r="J1523" i="37"/>
  <c r="I1523" i="37"/>
  <c r="H1523" i="37"/>
  <c r="G1523" i="37"/>
  <c r="F1523" i="37"/>
  <c r="E1523" i="37"/>
  <c r="D1523" i="37"/>
  <c r="C1523" i="37"/>
  <c r="B1523" i="37"/>
  <c r="R1522" i="37"/>
  <c r="Q1522" i="37"/>
  <c r="P1522" i="37"/>
  <c r="O1522" i="37"/>
  <c r="N1522" i="37"/>
  <c r="M1522" i="37"/>
  <c r="L1522" i="37"/>
  <c r="K1522" i="37"/>
  <c r="J1522" i="37"/>
  <c r="I1522" i="37"/>
  <c r="H1522" i="37"/>
  <c r="G1522" i="37"/>
  <c r="F1522" i="37"/>
  <c r="E1522" i="37"/>
  <c r="D1522" i="37"/>
  <c r="C1522" i="37"/>
  <c r="B1522" i="37"/>
  <c r="R1521" i="37"/>
  <c r="Q1521" i="37"/>
  <c r="P1521" i="37"/>
  <c r="O1521" i="37"/>
  <c r="N1521" i="37"/>
  <c r="M1521" i="37"/>
  <c r="L1521" i="37"/>
  <c r="K1521" i="37"/>
  <c r="J1521" i="37"/>
  <c r="I1521" i="37"/>
  <c r="H1521" i="37"/>
  <c r="G1521" i="37"/>
  <c r="F1521" i="37"/>
  <c r="E1521" i="37"/>
  <c r="D1521" i="37"/>
  <c r="C1521" i="37"/>
  <c r="B1521" i="37"/>
  <c r="R1520" i="37"/>
  <c r="Q1520" i="37"/>
  <c r="P1520" i="37"/>
  <c r="O1520" i="37"/>
  <c r="N1520" i="37"/>
  <c r="M1520" i="37"/>
  <c r="L1520" i="37"/>
  <c r="K1520" i="37"/>
  <c r="J1520" i="37"/>
  <c r="I1520" i="37"/>
  <c r="H1520" i="37"/>
  <c r="G1520" i="37"/>
  <c r="F1520" i="37"/>
  <c r="E1520" i="37"/>
  <c r="D1520" i="37"/>
  <c r="C1520" i="37"/>
  <c r="B1520" i="37"/>
  <c r="R1519" i="37"/>
  <c r="Q1519" i="37"/>
  <c r="P1519" i="37"/>
  <c r="O1519" i="37"/>
  <c r="N1519" i="37"/>
  <c r="M1519" i="37"/>
  <c r="L1519" i="37"/>
  <c r="K1519" i="37"/>
  <c r="J1519" i="37"/>
  <c r="I1519" i="37"/>
  <c r="H1519" i="37"/>
  <c r="G1519" i="37"/>
  <c r="F1519" i="37"/>
  <c r="E1519" i="37"/>
  <c r="D1519" i="37"/>
  <c r="C1519" i="37"/>
  <c r="B1519" i="37"/>
  <c r="R1518" i="37"/>
  <c r="Q1518" i="37"/>
  <c r="P1518" i="37"/>
  <c r="O1518" i="37"/>
  <c r="N1518" i="37"/>
  <c r="M1518" i="37"/>
  <c r="L1518" i="37"/>
  <c r="K1518" i="37"/>
  <c r="J1518" i="37"/>
  <c r="I1518" i="37"/>
  <c r="H1518" i="37"/>
  <c r="G1518" i="37"/>
  <c r="F1518" i="37"/>
  <c r="E1518" i="37"/>
  <c r="D1518" i="37"/>
  <c r="C1518" i="37"/>
  <c r="B1518" i="37"/>
  <c r="R1517" i="37"/>
  <c r="Q1517" i="37"/>
  <c r="P1517" i="37"/>
  <c r="O1517" i="37"/>
  <c r="N1517" i="37"/>
  <c r="M1517" i="37"/>
  <c r="L1517" i="37"/>
  <c r="K1517" i="37"/>
  <c r="J1517" i="37"/>
  <c r="I1517" i="37"/>
  <c r="H1517" i="37"/>
  <c r="G1517" i="37"/>
  <c r="F1517" i="37"/>
  <c r="E1517" i="37"/>
  <c r="D1517" i="37"/>
  <c r="C1517" i="37"/>
  <c r="B1517" i="37"/>
  <c r="R1516" i="37"/>
  <c r="Q1516" i="37"/>
  <c r="P1516" i="37"/>
  <c r="O1516" i="37"/>
  <c r="N1516" i="37"/>
  <c r="M1516" i="37"/>
  <c r="L1516" i="37"/>
  <c r="K1516" i="37"/>
  <c r="J1516" i="37"/>
  <c r="I1516" i="37"/>
  <c r="H1516" i="37"/>
  <c r="G1516" i="37"/>
  <c r="F1516" i="37"/>
  <c r="E1516" i="37"/>
  <c r="D1516" i="37"/>
  <c r="C1516" i="37"/>
  <c r="B1516" i="37"/>
  <c r="R1515" i="37"/>
  <c r="Q1515" i="37"/>
  <c r="P1515" i="37"/>
  <c r="O1515" i="37"/>
  <c r="N1515" i="37"/>
  <c r="M1515" i="37"/>
  <c r="L1515" i="37"/>
  <c r="K1515" i="37"/>
  <c r="J1515" i="37"/>
  <c r="I1515" i="37"/>
  <c r="H1515" i="37"/>
  <c r="G1515" i="37"/>
  <c r="F1515" i="37"/>
  <c r="E1515" i="37"/>
  <c r="D1515" i="37"/>
  <c r="C1515" i="37"/>
  <c r="B1515" i="37"/>
  <c r="R1514" i="37"/>
  <c r="Q1514" i="37"/>
  <c r="P1514" i="37"/>
  <c r="O1514" i="37"/>
  <c r="N1514" i="37"/>
  <c r="M1514" i="37"/>
  <c r="L1514" i="37"/>
  <c r="K1514" i="37"/>
  <c r="J1514" i="37"/>
  <c r="I1514" i="37"/>
  <c r="H1514" i="37"/>
  <c r="G1514" i="37"/>
  <c r="F1514" i="37"/>
  <c r="E1514" i="37"/>
  <c r="D1514" i="37"/>
  <c r="C1514" i="37"/>
  <c r="B1514" i="37"/>
  <c r="R1513" i="37"/>
  <c r="Q1513" i="37"/>
  <c r="P1513" i="37"/>
  <c r="O1513" i="37"/>
  <c r="N1513" i="37"/>
  <c r="M1513" i="37"/>
  <c r="L1513" i="37"/>
  <c r="K1513" i="37"/>
  <c r="J1513" i="37"/>
  <c r="I1513" i="37"/>
  <c r="H1513" i="37"/>
  <c r="G1513" i="37"/>
  <c r="F1513" i="37"/>
  <c r="E1513" i="37"/>
  <c r="D1513" i="37"/>
  <c r="C1513" i="37"/>
  <c r="B1513" i="37"/>
  <c r="R1512" i="37"/>
  <c r="Q1512" i="37"/>
  <c r="P1512" i="37"/>
  <c r="O1512" i="37"/>
  <c r="N1512" i="37"/>
  <c r="M1512" i="37"/>
  <c r="L1512" i="37"/>
  <c r="K1512" i="37"/>
  <c r="J1512" i="37"/>
  <c r="I1512" i="37"/>
  <c r="H1512" i="37"/>
  <c r="G1512" i="37"/>
  <c r="F1512" i="37"/>
  <c r="E1512" i="37"/>
  <c r="D1512" i="37"/>
  <c r="C1512" i="37"/>
  <c r="B1512" i="37"/>
  <c r="R1511" i="37"/>
  <c r="Q1511" i="37"/>
  <c r="P1511" i="37"/>
  <c r="O1511" i="37"/>
  <c r="N1511" i="37"/>
  <c r="M1511" i="37"/>
  <c r="L1511" i="37"/>
  <c r="K1511" i="37"/>
  <c r="J1511" i="37"/>
  <c r="I1511" i="37"/>
  <c r="H1511" i="37"/>
  <c r="G1511" i="37"/>
  <c r="F1511" i="37"/>
  <c r="E1511" i="37"/>
  <c r="D1511" i="37"/>
  <c r="C1511" i="37"/>
  <c r="B1511" i="37"/>
  <c r="R1510" i="37"/>
  <c r="Q1510" i="37"/>
  <c r="P1510" i="37"/>
  <c r="O1510" i="37"/>
  <c r="N1510" i="37"/>
  <c r="M1510" i="37"/>
  <c r="L1510" i="37"/>
  <c r="K1510" i="37"/>
  <c r="J1510" i="37"/>
  <c r="I1510" i="37"/>
  <c r="H1510" i="37"/>
  <c r="G1510" i="37"/>
  <c r="F1510" i="37"/>
  <c r="E1510" i="37"/>
  <c r="D1510" i="37"/>
  <c r="C1510" i="37"/>
  <c r="B1510" i="37"/>
  <c r="R1509" i="37"/>
  <c r="Q1509" i="37"/>
  <c r="P1509" i="37"/>
  <c r="O1509" i="37"/>
  <c r="N1509" i="37"/>
  <c r="M1509" i="37"/>
  <c r="L1509" i="37"/>
  <c r="K1509" i="37"/>
  <c r="J1509" i="37"/>
  <c r="I1509" i="37"/>
  <c r="H1509" i="37"/>
  <c r="G1509" i="37"/>
  <c r="F1509" i="37"/>
  <c r="E1509" i="37"/>
  <c r="D1509" i="37"/>
  <c r="C1509" i="37"/>
  <c r="B1509" i="37"/>
  <c r="R1508" i="37"/>
  <c r="Q1508" i="37"/>
  <c r="P1508" i="37"/>
  <c r="O1508" i="37"/>
  <c r="N1508" i="37"/>
  <c r="M1508" i="37"/>
  <c r="L1508" i="37"/>
  <c r="K1508" i="37"/>
  <c r="J1508" i="37"/>
  <c r="I1508" i="37"/>
  <c r="H1508" i="37"/>
  <c r="G1508" i="37"/>
  <c r="F1508" i="37"/>
  <c r="E1508" i="37"/>
  <c r="D1508" i="37"/>
  <c r="C1508" i="37"/>
  <c r="B1508" i="37"/>
  <c r="R1507" i="37"/>
  <c r="Q1507" i="37"/>
  <c r="P1507" i="37"/>
  <c r="O1507" i="37"/>
  <c r="N1507" i="37"/>
  <c r="M1507" i="37"/>
  <c r="L1507" i="37"/>
  <c r="K1507" i="37"/>
  <c r="J1507" i="37"/>
  <c r="I1507" i="37"/>
  <c r="H1507" i="37"/>
  <c r="G1507" i="37"/>
  <c r="F1507" i="37"/>
  <c r="E1507" i="37"/>
  <c r="D1507" i="37"/>
  <c r="C1507" i="37"/>
  <c r="B1507" i="37"/>
  <c r="R1506" i="37"/>
  <c r="Q1506" i="37"/>
  <c r="P1506" i="37"/>
  <c r="O1506" i="37"/>
  <c r="N1506" i="37"/>
  <c r="M1506" i="37"/>
  <c r="L1506" i="37"/>
  <c r="K1506" i="37"/>
  <c r="J1506" i="37"/>
  <c r="I1506" i="37"/>
  <c r="H1506" i="37"/>
  <c r="G1506" i="37"/>
  <c r="F1506" i="37"/>
  <c r="E1506" i="37"/>
  <c r="D1506" i="37"/>
  <c r="C1506" i="37"/>
  <c r="B1506" i="37"/>
  <c r="R1505" i="37"/>
  <c r="Q1505" i="37"/>
  <c r="P1505" i="37"/>
  <c r="O1505" i="37"/>
  <c r="N1505" i="37"/>
  <c r="M1505" i="37"/>
  <c r="L1505" i="37"/>
  <c r="K1505" i="37"/>
  <c r="J1505" i="37"/>
  <c r="I1505" i="37"/>
  <c r="H1505" i="37"/>
  <c r="G1505" i="37"/>
  <c r="F1505" i="37"/>
  <c r="E1505" i="37"/>
  <c r="D1505" i="37"/>
  <c r="C1505" i="37"/>
  <c r="B1505" i="37"/>
  <c r="R1504" i="37"/>
  <c r="Q1504" i="37"/>
  <c r="P1504" i="37"/>
  <c r="O1504" i="37"/>
  <c r="N1504" i="37"/>
  <c r="M1504" i="37"/>
  <c r="L1504" i="37"/>
  <c r="K1504" i="37"/>
  <c r="J1504" i="37"/>
  <c r="I1504" i="37"/>
  <c r="H1504" i="37"/>
  <c r="G1504" i="37"/>
  <c r="F1504" i="37"/>
  <c r="E1504" i="37"/>
  <c r="D1504" i="37"/>
  <c r="C1504" i="37"/>
  <c r="B1504" i="37"/>
  <c r="R1503" i="37"/>
  <c r="Q1503" i="37"/>
  <c r="P1503" i="37"/>
  <c r="O1503" i="37"/>
  <c r="N1503" i="37"/>
  <c r="M1503" i="37"/>
  <c r="L1503" i="37"/>
  <c r="K1503" i="37"/>
  <c r="J1503" i="37"/>
  <c r="I1503" i="37"/>
  <c r="H1503" i="37"/>
  <c r="G1503" i="37"/>
  <c r="F1503" i="37"/>
  <c r="E1503" i="37"/>
  <c r="D1503" i="37"/>
  <c r="C1503" i="37"/>
  <c r="B1503" i="37"/>
  <c r="R1502" i="37"/>
  <c r="Q1502" i="37"/>
  <c r="P1502" i="37"/>
  <c r="O1502" i="37"/>
  <c r="N1502" i="37"/>
  <c r="M1502" i="37"/>
  <c r="L1502" i="37"/>
  <c r="K1502" i="37"/>
  <c r="J1502" i="37"/>
  <c r="I1502" i="37"/>
  <c r="H1502" i="37"/>
  <c r="G1502" i="37"/>
  <c r="F1502" i="37"/>
  <c r="E1502" i="37"/>
  <c r="D1502" i="37"/>
  <c r="C1502" i="37"/>
  <c r="B1502" i="37"/>
  <c r="R1501" i="37"/>
  <c r="Q1501" i="37"/>
  <c r="P1501" i="37"/>
  <c r="O1501" i="37"/>
  <c r="N1501" i="37"/>
  <c r="M1501" i="37"/>
  <c r="L1501" i="37"/>
  <c r="K1501" i="37"/>
  <c r="J1501" i="37"/>
  <c r="I1501" i="37"/>
  <c r="H1501" i="37"/>
  <c r="G1501" i="37"/>
  <c r="F1501" i="37"/>
  <c r="E1501" i="37"/>
  <c r="D1501" i="37"/>
  <c r="C1501" i="37"/>
  <c r="B1501" i="37"/>
  <c r="R1500" i="37"/>
  <c r="Q1500" i="37"/>
  <c r="P1500" i="37"/>
  <c r="O1500" i="37"/>
  <c r="N1500" i="37"/>
  <c r="M1500" i="37"/>
  <c r="L1500" i="37"/>
  <c r="K1500" i="37"/>
  <c r="J1500" i="37"/>
  <c r="I1500" i="37"/>
  <c r="H1500" i="37"/>
  <c r="G1500" i="37"/>
  <c r="F1500" i="37"/>
  <c r="E1500" i="37"/>
  <c r="D1500" i="37"/>
  <c r="C1500" i="37"/>
  <c r="B1500" i="37"/>
  <c r="R1499" i="37"/>
  <c r="Q1499" i="37"/>
  <c r="P1499" i="37"/>
  <c r="O1499" i="37"/>
  <c r="N1499" i="37"/>
  <c r="M1499" i="37"/>
  <c r="L1499" i="37"/>
  <c r="K1499" i="37"/>
  <c r="J1499" i="37"/>
  <c r="I1499" i="37"/>
  <c r="H1499" i="37"/>
  <c r="G1499" i="37"/>
  <c r="F1499" i="37"/>
  <c r="E1499" i="37"/>
  <c r="D1499" i="37"/>
  <c r="C1499" i="37"/>
  <c r="B1499" i="37"/>
  <c r="R1498" i="37"/>
  <c r="Q1498" i="37"/>
  <c r="P1498" i="37"/>
  <c r="O1498" i="37"/>
  <c r="N1498" i="37"/>
  <c r="M1498" i="37"/>
  <c r="L1498" i="37"/>
  <c r="K1498" i="37"/>
  <c r="J1498" i="37"/>
  <c r="I1498" i="37"/>
  <c r="H1498" i="37"/>
  <c r="G1498" i="37"/>
  <c r="F1498" i="37"/>
  <c r="E1498" i="37"/>
  <c r="D1498" i="37"/>
  <c r="C1498" i="37"/>
  <c r="B1498" i="37"/>
  <c r="R1497" i="37"/>
  <c r="Q1497" i="37"/>
  <c r="P1497" i="37"/>
  <c r="O1497" i="37"/>
  <c r="N1497" i="37"/>
  <c r="M1497" i="37"/>
  <c r="L1497" i="37"/>
  <c r="K1497" i="37"/>
  <c r="J1497" i="37"/>
  <c r="I1497" i="37"/>
  <c r="H1497" i="37"/>
  <c r="G1497" i="37"/>
  <c r="F1497" i="37"/>
  <c r="E1497" i="37"/>
  <c r="D1497" i="37"/>
  <c r="C1497" i="37"/>
  <c r="B1497" i="37"/>
  <c r="R1496" i="37"/>
  <c r="Q1496" i="37"/>
  <c r="P1496" i="37"/>
  <c r="O1496" i="37"/>
  <c r="N1496" i="37"/>
  <c r="M1496" i="37"/>
  <c r="L1496" i="37"/>
  <c r="K1496" i="37"/>
  <c r="J1496" i="37"/>
  <c r="I1496" i="37"/>
  <c r="H1496" i="37"/>
  <c r="G1496" i="37"/>
  <c r="F1496" i="37"/>
  <c r="E1496" i="37"/>
  <c r="D1496" i="37"/>
  <c r="C1496" i="37"/>
  <c r="B1496" i="37"/>
  <c r="R1495" i="37"/>
  <c r="Q1495" i="37"/>
  <c r="P1495" i="37"/>
  <c r="O1495" i="37"/>
  <c r="N1495" i="37"/>
  <c r="M1495" i="37"/>
  <c r="L1495" i="37"/>
  <c r="K1495" i="37"/>
  <c r="J1495" i="37"/>
  <c r="I1495" i="37"/>
  <c r="H1495" i="37"/>
  <c r="G1495" i="37"/>
  <c r="F1495" i="37"/>
  <c r="E1495" i="37"/>
  <c r="D1495" i="37"/>
  <c r="C1495" i="37"/>
  <c r="B1495" i="37"/>
  <c r="R1494" i="37"/>
  <c r="Q1494" i="37"/>
  <c r="P1494" i="37"/>
  <c r="O1494" i="37"/>
  <c r="N1494" i="37"/>
  <c r="M1494" i="37"/>
  <c r="L1494" i="37"/>
  <c r="K1494" i="37"/>
  <c r="J1494" i="37"/>
  <c r="I1494" i="37"/>
  <c r="H1494" i="37"/>
  <c r="G1494" i="37"/>
  <c r="F1494" i="37"/>
  <c r="E1494" i="37"/>
  <c r="D1494" i="37"/>
  <c r="C1494" i="37"/>
  <c r="B1494" i="37"/>
  <c r="R1493" i="37"/>
  <c r="Q1493" i="37"/>
  <c r="P1493" i="37"/>
  <c r="O1493" i="37"/>
  <c r="N1493" i="37"/>
  <c r="M1493" i="37"/>
  <c r="L1493" i="37"/>
  <c r="K1493" i="37"/>
  <c r="J1493" i="37"/>
  <c r="I1493" i="37"/>
  <c r="H1493" i="37"/>
  <c r="G1493" i="37"/>
  <c r="F1493" i="37"/>
  <c r="E1493" i="37"/>
  <c r="D1493" i="37"/>
  <c r="C1493" i="37"/>
  <c r="B1493" i="37"/>
  <c r="R1492" i="37"/>
  <c r="Q1492" i="37"/>
  <c r="P1492" i="37"/>
  <c r="O1492" i="37"/>
  <c r="N1492" i="37"/>
  <c r="M1492" i="37"/>
  <c r="L1492" i="37"/>
  <c r="K1492" i="37"/>
  <c r="J1492" i="37"/>
  <c r="I1492" i="37"/>
  <c r="H1492" i="37"/>
  <c r="G1492" i="37"/>
  <c r="F1492" i="37"/>
  <c r="E1492" i="37"/>
  <c r="D1492" i="37"/>
  <c r="C1492" i="37"/>
  <c r="B1492" i="37"/>
  <c r="R1491" i="37"/>
  <c r="Q1491" i="37"/>
  <c r="P1491" i="37"/>
  <c r="O1491" i="37"/>
  <c r="N1491" i="37"/>
  <c r="M1491" i="37"/>
  <c r="L1491" i="37"/>
  <c r="K1491" i="37"/>
  <c r="J1491" i="37"/>
  <c r="I1491" i="37"/>
  <c r="H1491" i="37"/>
  <c r="G1491" i="37"/>
  <c r="F1491" i="37"/>
  <c r="E1491" i="37"/>
  <c r="D1491" i="37"/>
  <c r="C1491" i="37"/>
  <c r="B1491" i="37"/>
  <c r="R1490" i="37"/>
  <c r="Q1490" i="37"/>
  <c r="P1490" i="37"/>
  <c r="O1490" i="37"/>
  <c r="N1490" i="37"/>
  <c r="M1490" i="37"/>
  <c r="L1490" i="37"/>
  <c r="K1490" i="37"/>
  <c r="J1490" i="37"/>
  <c r="I1490" i="37"/>
  <c r="H1490" i="37"/>
  <c r="G1490" i="37"/>
  <c r="F1490" i="37"/>
  <c r="E1490" i="37"/>
  <c r="D1490" i="37"/>
  <c r="C1490" i="37"/>
  <c r="B1490" i="37"/>
  <c r="R1489" i="37"/>
  <c r="Q1489" i="37"/>
  <c r="P1489" i="37"/>
  <c r="O1489" i="37"/>
  <c r="N1489" i="37"/>
  <c r="M1489" i="37"/>
  <c r="L1489" i="37"/>
  <c r="K1489" i="37"/>
  <c r="J1489" i="37"/>
  <c r="I1489" i="37"/>
  <c r="H1489" i="37"/>
  <c r="G1489" i="37"/>
  <c r="F1489" i="37"/>
  <c r="E1489" i="37"/>
  <c r="D1489" i="37"/>
  <c r="C1489" i="37"/>
  <c r="B1489" i="37"/>
  <c r="R1488" i="37"/>
  <c r="Q1488" i="37"/>
  <c r="P1488" i="37"/>
  <c r="O1488" i="37"/>
  <c r="N1488" i="37"/>
  <c r="M1488" i="37"/>
  <c r="L1488" i="37"/>
  <c r="K1488" i="37"/>
  <c r="J1488" i="37"/>
  <c r="I1488" i="37"/>
  <c r="H1488" i="37"/>
  <c r="G1488" i="37"/>
  <c r="F1488" i="37"/>
  <c r="E1488" i="37"/>
  <c r="D1488" i="37"/>
  <c r="C1488" i="37"/>
  <c r="B1488" i="37"/>
  <c r="R1487" i="37"/>
  <c r="Q1487" i="37"/>
  <c r="P1487" i="37"/>
  <c r="O1487" i="37"/>
  <c r="N1487" i="37"/>
  <c r="M1487" i="37"/>
  <c r="L1487" i="37"/>
  <c r="K1487" i="37"/>
  <c r="J1487" i="37"/>
  <c r="I1487" i="37"/>
  <c r="H1487" i="37"/>
  <c r="G1487" i="37"/>
  <c r="F1487" i="37"/>
  <c r="E1487" i="37"/>
  <c r="D1487" i="37"/>
  <c r="C1487" i="37"/>
  <c r="B1487" i="37"/>
  <c r="R1486" i="37"/>
  <c r="Q1486" i="37"/>
  <c r="P1486" i="37"/>
  <c r="O1486" i="37"/>
  <c r="N1486" i="37"/>
  <c r="M1486" i="37"/>
  <c r="L1486" i="37"/>
  <c r="K1486" i="37"/>
  <c r="J1486" i="37"/>
  <c r="I1486" i="37"/>
  <c r="H1486" i="37"/>
  <c r="G1486" i="37"/>
  <c r="F1486" i="37"/>
  <c r="E1486" i="37"/>
  <c r="D1486" i="37"/>
  <c r="C1486" i="37"/>
  <c r="B1486" i="37"/>
  <c r="R1485" i="37"/>
  <c r="Q1485" i="37"/>
  <c r="P1485" i="37"/>
  <c r="O1485" i="37"/>
  <c r="N1485" i="37"/>
  <c r="M1485" i="37"/>
  <c r="L1485" i="37"/>
  <c r="K1485" i="37"/>
  <c r="J1485" i="37"/>
  <c r="I1485" i="37"/>
  <c r="H1485" i="37"/>
  <c r="G1485" i="37"/>
  <c r="F1485" i="37"/>
  <c r="E1485" i="37"/>
  <c r="D1485" i="37"/>
  <c r="C1485" i="37"/>
  <c r="B1485" i="37"/>
  <c r="R1484" i="37"/>
  <c r="Q1484" i="37"/>
  <c r="P1484" i="37"/>
  <c r="O1484" i="37"/>
  <c r="N1484" i="37"/>
  <c r="M1484" i="37"/>
  <c r="L1484" i="37"/>
  <c r="K1484" i="37"/>
  <c r="J1484" i="37"/>
  <c r="I1484" i="37"/>
  <c r="H1484" i="37"/>
  <c r="G1484" i="37"/>
  <c r="F1484" i="37"/>
  <c r="E1484" i="37"/>
  <c r="D1484" i="37"/>
  <c r="C1484" i="37"/>
  <c r="B1484" i="37"/>
  <c r="R1483" i="37"/>
  <c r="Q1483" i="37"/>
  <c r="P1483" i="37"/>
  <c r="O1483" i="37"/>
  <c r="N1483" i="37"/>
  <c r="M1483" i="37"/>
  <c r="L1483" i="37"/>
  <c r="K1483" i="37"/>
  <c r="J1483" i="37"/>
  <c r="I1483" i="37"/>
  <c r="H1483" i="37"/>
  <c r="G1483" i="37"/>
  <c r="F1483" i="37"/>
  <c r="E1483" i="37"/>
  <c r="D1483" i="37"/>
  <c r="C1483" i="37"/>
  <c r="B1483" i="37"/>
  <c r="R1482" i="37"/>
  <c r="Q1482" i="37"/>
  <c r="P1482" i="37"/>
  <c r="O1482" i="37"/>
  <c r="N1482" i="37"/>
  <c r="M1482" i="37"/>
  <c r="L1482" i="37"/>
  <c r="K1482" i="37"/>
  <c r="J1482" i="37"/>
  <c r="I1482" i="37"/>
  <c r="H1482" i="37"/>
  <c r="G1482" i="37"/>
  <c r="F1482" i="37"/>
  <c r="E1482" i="37"/>
  <c r="D1482" i="37"/>
  <c r="C1482" i="37"/>
  <c r="B1482" i="37"/>
  <c r="R1481" i="37"/>
  <c r="Q1481" i="37"/>
  <c r="P1481" i="37"/>
  <c r="O1481" i="37"/>
  <c r="N1481" i="37"/>
  <c r="M1481" i="37"/>
  <c r="L1481" i="37"/>
  <c r="K1481" i="37"/>
  <c r="J1481" i="37"/>
  <c r="I1481" i="37"/>
  <c r="H1481" i="37"/>
  <c r="G1481" i="37"/>
  <c r="F1481" i="37"/>
  <c r="E1481" i="37"/>
  <c r="D1481" i="37"/>
  <c r="C1481" i="37"/>
  <c r="B1481" i="37"/>
  <c r="R1480" i="37"/>
  <c r="Q1480" i="37"/>
  <c r="P1480" i="37"/>
  <c r="O1480" i="37"/>
  <c r="N1480" i="37"/>
  <c r="M1480" i="37"/>
  <c r="L1480" i="37"/>
  <c r="K1480" i="37"/>
  <c r="J1480" i="37"/>
  <c r="I1480" i="37"/>
  <c r="H1480" i="37"/>
  <c r="G1480" i="37"/>
  <c r="F1480" i="37"/>
  <c r="E1480" i="37"/>
  <c r="D1480" i="37"/>
  <c r="C1480" i="37"/>
  <c r="B1480" i="37"/>
  <c r="R1479" i="37"/>
  <c r="Q1479" i="37"/>
  <c r="P1479" i="37"/>
  <c r="O1479" i="37"/>
  <c r="N1479" i="37"/>
  <c r="M1479" i="37"/>
  <c r="L1479" i="37"/>
  <c r="K1479" i="37"/>
  <c r="J1479" i="37"/>
  <c r="I1479" i="37"/>
  <c r="H1479" i="37"/>
  <c r="G1479" i="37"/>
  <c r="F1479" i="37"/>
  <c r="E1479" i="37"/>
  <c r="D1479" i="37"/>
  <c r="C1479" i="37"/>
  <c r="B1479" i="37"/>
  <c r="R1478" i="37"/>
  <c r="Q1478" i="37"/>
  <c r="P1478" i="37"/>
  <c r="O1478" i="37"/>
  <c r="N1478" i="37"/>
  <c r="M1478" i="37"/>
  <c r="L1478" i="37"/>
  <c r="K1478" i="37"/>
  <c r="J1478" i="37"/>
  <c r="I1478" i="37"/>
  <c r="H1478" i="37"/>
  <c r="G1478" i="37"/>
  <c r="F1478" i="37"/>
  <c r="E1478" i="37"/>
  <c r="D1478" i="37"/>
  <c r="C1478" i="37"/>
  <c r="B1478" i="37"/>
  <c r="R1477" i="37"/>
  <c r="Q1477" i="37"/>
  <c r="P1477" i="37"/>
  <c r="O1477" i="37"/>
  <c r="N1477" i="37"/>
  <c r="M1477" i="37"/>
  <c r="L1477" i="37"/>
  <c r="K1477" i="37"/>
  <c r="J1477" i="37"/>
  <c r="I1477" i="37"/>
  <c r="H1477" i="37"/>
  <c r="G1477" i="37"/>
  <c r="F1477" i="37"/>
  <c r="E1477" i="37"/>
  <c r="D1477" i="37"/>
  <c r="C1477" i="37"/>
  <c r="B1477" i="37"/>
  <c r="R1476" i="37"/>
  <c r="Q1476" i="37"/>
  <c r="P1476" i="37"/>
  <c r="O1476" i="37"/>
  <c r="N1476" i="37"/>
  <c r="M1476" i="37"/>
  <c r="L1476" i="37"/>
  <c r="K1476" i="37"/>
  <c r="J1476" i="37"/>
  <c r="I1476" i="37"/>
  <c r="H1476" i="37"/>
  <c r="G1476" i="37"/>
  <c r="F1476" i="37"/>
  <c r="E1476" i="37"/>
  <c r="D1476" i="37"/>
  <c r="C1476" i="37"/>
  <c r="B1476" i="37"/>
  <c r="R1475" i="37"/>
  <c r="Q1475" i="37"/>
  <c r="P1475" i="37"/>
  <c r="O1475" i="37"/>
  <c r="N1475" i="37"/>
  <c r="M1475" i="37"/>
  <c r="L1475" i="37"/>
  <c r="K1475" i="37"/>
  <c r="J1475" i="37"/>
  <c r="I1475" i="37"/>
  <c r="H1475" i="37"/>
  <c r="G1475" i="37"/>
  <c r="F1475" i="37"/>
  <c r="E1475" i="37"/>
  <c r="D1475" i="37"/>
  <c r="C1475" i="37"/>
  <c r="B1475" i="37"/>
  <c r="R1474" i="37"/>
  <c r="Q1474" i="37"/>
  <c r="P1474" i="37"/>
  <c r="O1474" i="37"/>
  <c r="N1474" i="37"/>
  <c r="M1474" i="37"/>
  <c r="L1474" i="37"/>
  <c r="K1474" i="37"/>
  <c r="J1474" i="37"/>
  <c r="I1474" i="37"/>
  <c r="H1474" i="37"/>
  <c r="G1474" i="37"/>
  <c r="F1474" i="37"/>
  <c r="E1474" i="37"/>
  <c r="D1474" i="37"/>
  <c r="C1474" i="37"/>
  <c r="B1474" i="37"/>
  <c r="R1473" i="37"/>
  <c r="Q1473" i="37"/>
  <c r="P1473" i="37"/>
  <c r="O1473" i="37"/>
  <c r="N1473" i="37"/>
  <c r="M1473" i="37"/>
  <c r="L1473" i="37"/>
  <c r="K1473" i="37"/>
  <c r="J1473" i="37"/>
  <c r="I1473" i="37"/>
  <c r="H1473" i="37"/>
  <c r="G1473" i="37"/>
  <c r="F1473" i="37"/>
  <c r="E1473" i="37"/>
  <c r="D1473" i="37"/>
  <c r="C1473" i="37"/>
  <c r="B1473" i="37"/>
  <c r="R1472" i="37"/>
  <c r="Q1472" i="37"/>
  <c r="P1472" i="37"/>
  <c r="O1472" i="37"/>
  <c r="N1472" i="37"/>
  <c r="M1472" i="37"/>
  <c r="L1472" i="37"/>
  <c r="K1472" i="37"/>
  <c r="J1472" i="37"/>
  <c r="I1472" i="37"/>
  <c r="H1472" i="37"/>
  <c r="G1472" i="37"/>
  <c r="F1472" i="37"/>
  <c r="E1472" i="37"/>
  <c r="D1472" i="37"/>
  <c r="C1472" i="37"/>
  <c r="B1472" i="37"/>
  <c r="R1471" i="37"/>
  <c r="Q1471" i="37"/>
  <c r="P1471" i="37"/>
  <c r="O1471" i="37"/>
  <c r="N1471" i="37"/>
  <c r="M1471" i="37"/>
  <c r="L1471" i="37"/>
  <c r="K1471" i="37"/>
  <c r="J1471" i="37"/>
  <c r="I1471" i="37"/>
  <c r="H1471" i="37"/>
  <c r="G1471" i="37"/>
  <c r="F1471" i="37"/>
  <c r="E1471" i="37"/>
  <c r="D1471" i="37"/>
  <c r="C1471" i="37"/>
  <c r="B1471" i="37"/>
  <c r="R1470" i="37"/>
  <c r="Q1470" i="37"/>
  <c r="P1470" i="37"/>
  <c r="O1470" i="37"/>
  <c r="N1470" i="37"/>
  <c r="M1470" i="37"/>
  <c r="L1470" i="37"/>
  <c r="K1470" i="37"/>
  <c r="J1470" i="37"/>
  <c r="I1470" i="37"/>
  <c r="H1470" i="37"/>
  <c r="G1470" i="37"/>
  <c r="F1470" i="37"/>
  <c r="E1470" i="37"/>
  <c r="D1470" i="37"/>
  <c r="C1470" i="37"/>
  <c r="B1470" i="37"/>
  <c r="R1469" i="37"/>
  <c r="Q1469" i="37"/>
  <c r="P1469" i="37"/>
  <c r="O1469" i="37"/>
  <c r="N1469" i="37"/>
  <c r="M1469" i="37"/>
  <c r="L1469" i="37"/>
  <c r="K1469" i="37"/>
  <c r="J1469" i="37"/>
  <c r="I1469" i="37"/>
  <c r="H1469" i="37"/>
  <c r="G1469" i="37"/>
  <c r="F1469" i="37"/>
  <c r="E1469" i="37"/>
  <c r="D1469" i="37"/>
  <c r="C1469" i="37"/>
  <c r="B1469" i="37"/>
  <c r="R1468" i="37"/>
  <c r="Q1468" i="37"/>
  <c r="P1468" i="37"/>
  <c r="O1468" i="37"/>
  <c r="N1468" i="37"/>
  <c r="M1468" i="37"/>
  <c r="L1468" i="37"/>
  <c r="K1468" i="37"/>
  <c r="J1468" i="37"/>
  <c r="I1468" i="37"/>
  <c r="H1468" i="37"/>
  <c r="G1468" i="37"/>
  <c r="F1468" i="37"/>
  <c r="E1468" i="37"/>
  <c r="D1468" i="37"/>
  <c r="C1468" i="37"/>
  <c r="B1468" i="37"/>
  <c r="R1467" i="37"/>
  <c r="Q1467" i="37"/>
  <c r="P1467" i="37"/>
  <c r="O1467" i="37"/>
  <c r="N1467" i="37"/>
  <c r="M1467" i="37"/>
  <c r="L1467" i="37"/>
  <c r="K1467" i="37"/>
  <c r="J1467" i="37"/>
  <c r="I1467" i="37"/>
  <c r="H1467" i="37"/>
  <c r="G1467" i="37"/>
  <c r="F1467" i="37"/>
  <c r="E1467" i="37"/>
  <c r="D1467" i="37"/>
  <c r="C1467" i="37"/>
  <c r="B1467" i="37"/>
  <c r="R1466" i="37"/>
  <c r="Q1466" i="37"/>
  <c r="P1466" i="37"/>
  <c r="O1466" i="37"/>
  <c r="N1466" i="37"/>
  <c r="M1466" i="37"/>
  <c r="L1466" i="37"/>
  <c r="K1466" i="37"/>
  <c r="J1466" i="37"/>
  <c r="I1466" i="37"/>
  <c r="H1466" i="37"/>
  <c r="G1466" i="37"/>
  <c r="F1466" i="37"/>
  <c r="E1466" i="37"/>
  <c r="D1466" i="37"/>
  <c r="C1466" i="37"/>
  <c r="B1466" i="37"/>
  <c r="R1465" i="37"/>
  <c r="Q1465" i="37"/>
  <c r="P1465" i="37"/>
  <c r="O1465" i="37"/>
  <c r="N1465" i="37"/>
  <c r="M1465" i="37"/>
  <c r="L1465" i="37"/>
  <c r="K1465" i="37"/>
  <c r="J1465" i="37"/>
  <c r="I1465" i="37"/>
  <c r="H1465" i="37"/>
  <c r="G1465" i="37"/>
  <c r="F1465" i="37"/>
  <c r="E1465" i="37"/>
  <c r="D1465" i="37"/>
  <c r="C1465" i="37"/>
  <c r="B1465" i="37"/>
  <c r="R1464" i="37"/>
  <c r="Q1464" i="37"/>
  <c r="P1464" i="37"/>
  <c r="O1464" i="37"/>
  <c r="N1464" i="37"/>
  <c r="M1464" i="37"/>
  <c r="L1464" i="37"/>
  <c r="K1464" i="37"/>
  <c r="J1464" i="37"/>
  <c r="I1464" i="37"/>
  <c r="H1464" i="37"/>
  <c r="G1464" i="37"/>
  <c r="F1464" i="37"/>
  <c r="E1464" i="37"/>
  <c r="D1464" i="37"/>
  <c r="C1464" i="37"/>
  <c r="B1464" i="37"/>
  <c r="R1463" i="37"/>
  <c r="Q1463" i="37"/>
  <c r="P1463" i="37"/>
  <c r="O1463" i="37"/>
  <c r="N1463" i="37"/>
  <c r="M1463" i="37"/>
  <c r="L1463" i="37"/>
  <c r="K1463" i="37"/>
  <c r="J1463" i="37"/>
  <c r="I1463" i="37"/>
  <c r="H1463" i="37"/>
  <c r="G1463" i="37"/>
  <c r="F1463" i="37"/>
  <c r="E1463" i="37"/>
  <c r="D1463" i="37"/>
  <c r="C1463" i="37"/>
  <c r="B1463" i="37"/>
  <c r="R1462" i="37"/>
  <c r="Q1462" i="37"/>
  <c r="P1462" i="37"/>
  <c r="O1462" i="37"/>
  <c r="N1462" i="37"/>
  <c r="M1462" i="37"/>
  <c r="L1462" i="37"/>
  <c r="K1462" i="37"/>
  <c r="J1462" i="37"/>
  <c r="I1462" i="37"/>
  <c r="H1462" i="37"/>
  <c r="G1462" i="37"/>
  <c r="F1462" i="37"/>
  <c r="E1462" i="37"/>
  <c r="D1462" i="37"/>
  <c r="C1462" i="37"/>
  <c r="B1462" i="37"/>
  <c r="R1461" i="37"/>
  <c r="Q1461" i="37"/>
  <c r="P1461" i="37"/>
  <c r="O1461" i="37"/>
  <c r="N1461" i="37"/>
  <c r="M1461" i="37"/>
  <c r="L1461" i="37"/>
  <c r="K1461" i="37"/>
  <c r="J1461" i="37"/>
  <c r="I1461" i="37"/>
  <c r="H1461" i="37"/>
  <c r="G1461" i="37"/>
  <c r="F1461" i="37"/>
  <c r="E1461" i="37"/>
  <c r="D1461" i="37"/>
  <c r="C1461" i="37"/>
  <c r="B1461" i="37"/>
  <c r="R1460" i="37"/>
  <c r="Q1460" i="37"/>
  <c r="P1460" i="37"/>
  <c r="O1460" i="37"/>
  <c r="N1460" i="37"/>
  <c r="M1460" i="37"/>
  <c r="L1460" i="37"/>
  <c r="K1460" i="37"/>
  <c r="J1460" i="37"/>
  <c r="I1460" i="37"/>
  <c r="H1460" i="37"/>
  <c r="G1460" i="37"/>
  <c r="F1460" i="37"/>
  <c r="E1460" i="37"/>
  <c r="D1460" i="37"/>
  <c r="C1460" i="37"/>
  <c r="B1460" i="37"/>
  <c r="R1459" i="37"/>
  <c r="Q1459" i="37"/>
  <c r="P1459" i="37"/>
  <c r="O1459" i="37"/>
  <c r="N1459" i="37"/>
  <c r="M1459" i="37"/>
  <c r="L1459" i="37"/>
  <c r="K1459" i="37"/>
  <c r="J1459" i="37"/>
  <c r="I1459" i="37"/>
  <c r="H1459" i="37"/>
  <c r="G1459" i="37"/>
  <c r="F1459" i="37"/>
  <c r="E1459" i="37"/>
  <c r="D1459" i="37"/>
  <c r="C1459" i="37"/>
  <c r="B1459" i="37"/>
  <c r="R1458" i="37"/>
  <c r="Q1458" i="37"/>
  <c r="P1458" i="37"/>
  <c r="O1458" i="37"/>
  <c r="N1458" i="37"/>
  <c r="M1458" i="37"/>
  <c r="L1458" i="37"/>
  <c r="K1458" i="37"/>
  <c r="J1458" i="37"/>
  <c r="I1458" i="37"/>
  <c r="H1458" i="37"/>
  <c r="G1458" i="37"/>
  <c r="F1458" i="37"/>
  <c r="E1458" i="37"/>
  <c r="D1458" i="37"/>
  <c r="C1458" i="37"/>
  <c r="B1458" i="37"/>
  <c r="R1457" i="37"/>
  <c r="Q1457" i="37"/>
  <c r="P1457" i="37"/>
  <c r="O1457" i="37"/>
  <c r="N1457" i="37"/>
  <c r="M1457" i="37"/>
  <c r="L1457" i="37"/>
  <c r="K1457" i="37"/>
  <c r="J1457" i="37"/>
  <c r="I1457" i="37"/>
  <c r="H1457" i="37"/>
  <c r="G1457" i="37"/>
  <c r="F1457" i="37"/>
  <c r="E1457" i="37"/>
  <c r="D1457" i="37"/>
  <c r="C1457" i="37"/>
  <c r="B1457" i="37"/>
  <c r="R1456" i="37"/>
  <c r="Q1456" i="37"/>
  <c r="P1456" i="37"/>
  <c r="O1456" i="37"/>
  <c r="N1456" i="37"/>
  <c r="M1456" i="37"/>
  <c r="L1456" i="37"/>
  <c r="K1456" i="37"/>
  <c r="J1456" i="37"/>
  <c r="I1456" i="37"/>
  <c r="H1456" i="37"/>
  <c r="G1456" i="37"/>
  <c r="F1456" i="37"/>
  <c r="E1456" i="37"/>
  <c r="D1456" i="37"/>
  <c r="C1456" i="37"/>
  <c r="B1456" i="37"/>
  <c r="R1455" i="37"/>
  <c r="Q1455" i="37"/>
  <c r="P1455" i="37"/>
  <c r="O1455" i="37"/>
  <c r="N1455" i="37"/>
  <c r="M1455" i="37"/>
  <c r="L1455" i="37"/>
  <c r="K1455" i="37"/>
  <c r="J1455" i="37"/>
  <c r="I1455" i="37"/>
  <c r="H1455" i="37"/>
  <c r="G1455" i="37"/>
  <c r="F1455" i="37"/>
  <c r="E1455" i="37"/>
  <c r="D1455" i="37"/>
  <c r="C1455" i="37"/>
  <c r="B1455" i="37"/>
  <c r="R1454" i="37"/>
  <c r="Q1454" i="37"/>
  <c r="P1454" i="37"/>
  <c r="O1454" i="37"/>
  <c r="N1454" i="37"/>
  <c r="M1454" i="37"/>
  <c r="L1454" i="37"/>
  <c r="K1454" i="37"/>
  <c r="J1454" i="37"/>
  <c r="I1454" i="37"/>
  <c r="H1454" i="37"/>
  <c r="G1454" i="37"/>
  <c r="F1454" i="37"/>
  <c r="E1454" i="37"/>
  <c r="D1454" i="37"/>
  <c r="C1454" i="37"/>
  <c r="B1454" i="37"/>
  <c r="R1453" i="37"/>
  <c r="Q1453" i="37"/>
  <c r="P1453" i="37"/>
  <c r="O1453" i="37"/>
  <c r="N1453" i="37"/>
  <c r="M1453" i="37"/>
  <c r="L1453" i="37"/>
  <c r="K1453" i="37"/>
  <c r="J1453" i="37"/>
  <c r="I1453" i="37"/>
  <c r="H1453" i="37"/>
  <c r="G1453" i="37"/>
  <c r="F1453" i="37"/>
  <c r="E1453" i="37"/>
  <c r="D1453" i="37"/>
  <c r="C1453" i="37"/>
  <c r="B1453" i="37"/>
  <c r="R1452" i="37"/>
  <c r="Q1452" i="37"/>
  <c r="P1452" i="37"/>
  <c r="O1452" i="37"/>
  <c r="N1452" i="37"/>
  <c r="M1452" i="37"/>
  <c r="L1452" i="37"/>
  <c r="K1452" i="37"/>
  <c r="J1452" i="37"/>
  <c r="I1452" i="37"/>
  <c r="H1452" i="37"/>
  <c r="G1452" i="37"/>
  <c r="F1452" i="37"/>
  <c r="E1452" i="37"/>
  <c r="D1452" i="37"/>
  <c r="C1452" i="37"/>
  <c r="B1452" i="37"/>
  <c r="R1451" i="37"/>
  <c r="Q1451" i="37"/>
  <c r="P1451" i="37"/>
  <c r="O1451" i="37"/>
  <c r="N1451" i="37"/>
  <c r="M1451" i="37"/>
  <c r="L1451" i="37"/>
  <c r="K1451" i="37"/>
  <c r="J1451" i="37"/>
  <c r="I1451" i="37"/>
  <c r="H1451" i="37"/>
  <c r="G1451" i="37"/>
  <c r="F1451" i="37"/>
  <c r="E1451" i="37"/>
  <c r="D1451" i="37"/>
  <c r="C1451" i="37"/>
  <c r="B1451" i="37"/>
  <c r="R1450" i="37"/>
  <c r="Q1450" i="37"/>
  <c r="P1450" i="37"/>
  <c r="O1450" i="37"/>
  <c r="N1450" i="37"/>
  <c r="M1450" i="37"/>
  <c r="L1450" i="37"/>
  <c r="K1450" i="37"/>
  <c r="J1450" i="37"/>
  <c r="I1450" i="37"/>
  <c r="H1450" i="37"/>
  <c r="G1450" i="37"/>
  <c r="F1450" i="37"/>
  <c r="E1450" i="37"/>
  <c r="D1450" i="37"/>
  <c r="C1450" i="37"/>
  <c r="B1450" i="37"/>
  <c r="R1449" i="37"/>
  <c r="Q1449" i="37"/>
  <c r="P1449" i="37"/>
  <c r="O1449" i="37"/>
  <c r="N1449" i="37"/>
  <c r="M1449" i="37"/>
  <c r="L1449" i="37"/>
  <c r="K1449" i="37"/>
  <c r="J1449" i="37"/>
  <c r="I1449" i="37"/>
  <c r="H1449" i="37"/>
  <c r="G1449" i="37"/>
  <c r="F1449" i="37"/>
  <c r="E1449" i="37"/>
  <c r="D1449" i="37"/>
  <c r="C1449" i="37"/>
  <c r="B1449" i="37"/>
  <c r="R1448" i="37"/>
  <c r="Q1448" i="37"/>
  <c r="P1448" i="37"/>
  <c r="O1448" i="37"/>
  <c r="N1448" i="37"/>
  <c r="M1448" i="37"/>
  <c r="L1448" i="37"/>
  <c r="K1448" i="37"/>
  <c r="J1448" i="37"/>
  <c r="I1448" i="37"/>
  <c r="H1448" i="37"/>
  <c r="G1448" i="37"/>
  <c r="F1448" i="37"/>
  <c r="E1448" i="37"/>
  <c r="D1448" i="37"/>
  <c r="C1448" i="37"/>
  <c r="B1448" i="37"/>
  <c r="R1447" i="37"/>
  <c r="Q1447" i="37"/>
  <c r="P1447" i="37"/>
  <c r="O1447" i="37"/>
  <c r="N1447" i="37"/>
  <c r="M1447" i="37"/>
  <c r="L1447" i="37"/>
  <c r="K1447" i="37"/>
  <c r="J1447" i="37"/>
  <c r="I1447" i="37"/>
  <c r="H1447" i="37"/>
  <c r="G1447" i="37"/>
  <c r="F1447" i="37"/>
  <c r="E1447" i="37"/>
  <c r="D1447" i="37"/>
  <c r="C1447" i="37"/>
  <c r="B1447" i="37"/>
  <c r="R1446" i="37"/>
  <c r="Q1446" i="37"/>
  <c r="P1446" i="37"/>
  <c r="O1446" i="37"/>
  <c r="N1446" i="37"/>
  <c r="M1446" i="37"/>
  <c r="L1446" i="37"/>
  <c r="K1446" i="37"/>
  <c r="J1446" i="37"/>
  <c r="I1446" i="37"/>
  <c r="H1446" i="37"/>
  <c r="G1446" i="37"/>
  <c r="F1446" i="37"/>
  <c r="E1446" i="37"/>
  <c r="D1446" i="37"/>
  <c r="C1446" i="37"/>
  <c r="B1446" i="37"/>
  <c r="R1445" i="37"/>
  <c r="Q1445" i="37"/>
  <c r="P1445" i="37"/>
  <c r="O1445" i="37"/>
  <c r="N1445" i="37"/>
  <c r="M1445" i="37"/>
  <c r="L1445" i="37"/>
  <c r="K1445" i="37"/>
  <c r="J1445" i="37"/>
  <c r="I1445" i="37"/>
  <c r="H1445" i="37"/>
  <c r="G1445" i="37"/>
  <c r="F1445" i="37"/>
  <c r="E1445" i="37"/>
  <c r="D1445" i="37"/>
  <c r="C1445" i="37"/>
  <c r="B1445" i="37"/>
  <c r="R1444" i="37"/>
  <c r="Q1444" i="37"/>
  <c r="P1444" i="37"/>
  <c r="O1444" i="37"/>
  <c r="N1444" i="37"/>
  <c r="M1444" i="37"/>
  <c r="L1444" i="37"/>
  <c r="K1444" i="37"/>
  <c r="J1444" i="37"/>
  <c r="I1444" i="37"/>
  <c r="H1444" i="37"/>
  <c r="G1444" i="37"/>
  <c r="F1444" i="37"/>
  <c r="E1444" i="37"/>
  <c r="D1444" i="37"/>
  <c r="C1444" i="37"/>
  <c r="B1444" i="37"/>
  <c r="R1443" i="37"/>
  <c r="Q1443" i="37"/>
  <c r="P1443" i="37"/>
  <c r="O1443" i="37"/>
  <c r="N1443" i="37"/>
  <c r="M1443" i="37"/>
  <c r="L1443" i="37"/>
  <c r="K1443" i="37"/>
  <c r="J1443" i="37"/>
  <c r="I1443" i="37"/>
  <c r="H1443" i="37"/>
  <c r="G1443" i="37"/>
  <c r="F1443" i="37"/>
  <c r="E1443" i="37"/>
  <c r="D1443" i="37"/>
  <c r="C1443" i="37"/>
  <c r="B1443" i="37"/>
  <c r="R1442" i="37"/>
  <c r="Q1442" i="37"/>
  <c r="P1442" i="37"/>
  <c r="O1442" i="37"/>
  <c r="N1442" i="37"/>
  <c r="M1442" i="37"/>
  <c r="L1442" i="37"/>
  <c r="K1442" i="37"/>
  <c r="J1442" i="37"/>
  <c r="I1442" i="37"/>
  <c r="H1442" i="37"/>
  <c r="G1442" i="37"/>
  <c r="F1442" i="37"/>
  <c r="E1442" i="37"/>
  <c r="D1442" i="37"/>
  <c r="C1442" i="37"/>
  <c r="B1442" i="37"/>
  <c r="R1441" i="37"/>
  <c r="Q1441" i="37"/>
  <c r="P1441" i="37"/>
  <c r="O1441" i="37"/>
  <c r="N1441" i="37"/>
  <c r="M1441" i="37"/>
  <c r="L1441" i="37"/>
  <c r="K1441" i="37"/>
  <c r="J1441" i="37"/>
  <c r="I1441" i="37"/>
  <c r="H1441" i="37"/>
  <c r="G1441" i="37"/>
  <c r="F1441" i="37"/>
  <c r="E1441" i="37"/>
  <c r="D1441" i="37"/>
  <c r="C1441" i="37"/>
  <c r="B1441" i="37"/>
  <c r="R1440" i="37"/>
  <c r="Q1440" i="37"/>
  <c r="P1440" i="37"/>
  <c r="O1440" i="37"/>
  <c r="N1440" i="37"/>
  <c r="M1440" i="37"/>
  <c r="L1440" i="37"/>
  <c r="K1440" i="37"/>
  <c r="J1440" i="37"/>
  <c r="I1440" i="37"/>
  <c r="H1440" i="37"/>
  <c r="G1440" i="37"/>
  <c r="F1440" i="37"/>
  <c r="E1440" i="37"/>
  <c r="D1440" i="37"/>
  <c r="C1440" i="37"/>
  <c r="B1440" i="37"/>
  <c r="R1439" i="37"/>
  <c r="Q1439" i="37"/>
  <c r="P1439" i="37"/>
  <c r="O1439" i="37"/>
  <c r="N1439" i="37"/>
  <c r="M1439" i="37"/>
  <c r="L1439" i="37"/>
  <c r="K1439" i="37"/>
  <c r="J1439" i="37"/>
  <c r="I1439" i="37"/>
  <c r="H1439" i="37"/>
  <c r="G1439" i="37"/>
  <c r="F1439" i="37"/>
  <c r="E1439" i="37"/>
  <c r="D1439" i="37"/>
  <c r="C1439" i="37"/>
  <c r="B1439" i="37"/>
  <c r="R1438" i="37"/>
  <c r="Q1438" i="37"/>
  <c r="P1438" i="37"/>
  <c r="O1438" i="37"/>
  <c r="N1438" i="37"/>
  <c r="M1438" i="37"/>
  <c r="L1438" i="37"/>
  <c r="K1438" i="37"/>
  <c r="J1438" i="37"/>
  <c r="I1438" i="37"/>
  <c r="H1438" i="37"/>
  <c r="G1438" i="37"/>
  <c r="F1438" i="37"/>
  <c r="E1438" i="37"/>
  <c r="D1438" i="37"/>
  <c r="C1438" i="37"/>
  <c r="B1438" i="37"/>
  <c r="R1437" i="37"/>
  <c r="Q1437" i="37"/>
  <c r="P1437" i="37"/>
  <c r="O1437" i="37"/>
  <c r="N1437" i="37"/>
  <c r="M1437" i="37"/>
  <c r="L1437" i="37"/>
  <c r="K1437" i="37"/>
  <c r="J1437" i="37"/>
  <c r="I1437" i="37"/>
  <c r="H1437" i="37"/>
  <c r="G1437" i="37"/>
  <c r="F1437" i="37"/>
  <c r="E1437" i="37"/>
  <c r="D1437" i="37"/>
  <c r="C1437" i="37"/>
  <c r="B1437" i="37"/>
  <c r="R1436" i="37"/>
  <c r="Q1436" i="37"/>
  <c r="P1436" i="37"/>
  <c r="O1436" i="37"/>
  <c r="N1436" i="37"/>
  <c r="M1436" i="37"/>
  <c r="L1436" i="37"/>
  <c r="K1436" i="37"/>
  <c r="J1436" i="37"/>
  <c r="I1436" i="37"/>
  <c r="H1436" i="37"/>
  <c r="G1436" i="37"/>
  <c r="F1436" i="37"/>
  <c r="E1436" i="37"/>
  <c r="D1436" i="37"/>
  <c r="C1436" i="37"/>
  <c r="B1436" i="37"/>
  <c r="R1435" i="37"/>
  <c r="Q1435" i="37"/>
  <c r="P1435" i="37"/>
  <c r="O1435" i="37"/>
  <c r="N1435" i="37"/>
  <c r="M1435" i="37"/>
  <c r="L1435" i="37"/>
  <c r="K1435" i="37"/>
  <c r="J1435" i="37"/>
  <c r="I1435" i="37"/>
  <c r="H1435" i="37"/>
  <c r="G1435" i="37"/>
  <c r="F1435" i="37"/>
  <c r="E1435" i="37"/>
  <c r="D1435" i="37"/>
  <c r="C1435" i="37"/>
  <c r="B1435" i="37"/>
  <c r="R1434" i="37"/>
  <c r="Q1434" i="37"/>
  <c r="P1434" i="37"/>
  <c r="O1434" i="37"/>
  <c r="N1434" i="37"/>
  <c r="M1434" i="37"/>
  <c r="L1434" i="37"/>
  <c r="K1434" i="37"/>
  <c r="J1434" i="37"/>
  <c r="I1434" i="37"/>
  <c r="H1434" i="37"/>
  <c r="G1434" i="37"/>
  <c r="F1434" i="37"/>
  <c r="E1434" i="37"/>
  <c r="D1434" i="37"/>
  <c r="C1434" i="37"/>
  <c r="B1434" i="37"/>
  <c r="R1433" i="37"/>
  <c r="Q1433" i="37"/>
  <c r="P1433" i="37"/>
  <c r="O1433" i="37"/>
  <c r="N1433" i="37"/>
  <c r="M1433" i="37"/>
  <c r="L1433" i="37"/>
  <c r="K1433" i="37"/>
  <c r="J1433" i="37"/>
  <c r="I1433" i="37"/>
  <c r="H1433" i="37"/>
  <c r="G1433" i="37"/>
  <c r="F1433" i="37"/>
  <c r="E1433" i="37"/>
  <c r="D1433" i="37"/>
  <c r="C1433" i="37"/>
  <c r="B1433" i="37"/>
  <c r="R1432" i="37"/>
  <c r="Q1432" i="37"/>
  <c r="P1432" i="37"/>
  <c r="O1432" i="37"/>
  <c r="N1432" i="37"/>
  <c r="M1432" i="37"/>
  <c r="L1432" i="37"/>
  <c r="K1432" i="37"/>
  <c r="J1432" i="37"/>
  <c r="I1432" i="37"/>
  <c r="H1432" i="37"/>
  <c r="G1432" i="37"/>
  <c r="F1432" i="37"/>
  <c r="E1432" i="37"/>
  <c r="D1432" i="37"/>
  <c r="C1432" i="37"/>
  <c r="B1432" i="37"/>
  <c r="R1431" i="37"/>
  <c r="Q1431" i="37"/>
  <c r="P1431" i="37"/>
  <c r="O1431" i="37"/>
  <c r="N1431" i="37"/>
  <c r="M1431" i="37"/>
  <c r="L1431" i="37"/>
  <c r="K1431" i="37"/>
  <c r="J1431" i="37"/>
  <c r="I1431" i="37"/>
  <c r="H1431" i="37"/>
  <c r="G1431" i="37"/>
  <c r="F1431" i="37"/>
  <c r="E1431" i="37"/>
  <c r="D1431" i="37"/>
  <c r="C1431" i="37"/>
  <c r="B1431" i="37"/>
  <c r="R1430" i="37"/>
  <c r="Q1430" i="37"/>
  <c r="P1430" i="37"/>
  <c r="O1430" i="37"/>
  <c r="N1430" i="37"/>
  <c r="M1430" i="37"/>
  <c r="L1430" i="37"/>
  <c r="K1430" i="37"/>
  <c r="J1430" i="37"/>
  <c r="I1430" i="37"/>
  <c r="H1430" i="37"/>
  <c r="G1430" i="37"/>
  <c r="F1430" i="37"/>
  <c r="E1430" i="37"/>
  <c r="D1430" i="37"/>
  <c r="C1430" i="37"/>
  <c r="B1430" i="37"/>
  <c r="R1429" i="37"/>
  <c r="Q1429" i="37"/>
  <c r="P1429" i="37"/>
  <c r="O1429" i="37"/>
  <c r="N1429" i="37"/>
  <c r="M1429" i="37"/>
  <c r="L1429" i="37"/>
  <c r="K1429" i="37"/>
  <c r="J1429" i="37"/>
  <c r="I1429" i="37"/>
  <c r="H1429" i="37"/>
  <c r="G1429" i="37"/>
  <c r="F1429" i="37"/>
  <c r="E1429" i="37"/>
  <c r="D1429" i="37"/>
  <c r="C1429" i="37"/>
  <c r="B1429" i="37"/>
  <c r="R1428" i="37"/>
  <c r="Q1428" i="37"/>
  <c r="P1428" i="37"/>
  <c r="O1428" i="37"/>
  <c r="N1428" i="37"/>
  <c r="M1428" i="37"/>
  <c r="L1428" i="37"/>
  <c r="K1428" i="37"/>
  <c r="J1428" i="37"/>
  <c r="I1428" i="37"/>
  <c r="H1428" i="37"/>
  <c r="G1428" i="37"/>
  <c r="F1428" i="37"/>
  <c r="E1428" i="37"/>
  <c r="D1428" i="37"/>
  <c r="C1428" i="37"/>
  <c r="B1428" i="37"/>
  <c r="R1427" i="37"/>
  <c r="Q1427" i="37"/>
  <c r="P1427" i="37"/>
  <c r="O1427" i="37"/>
  <c r="N1427" i="37"/>
  <c r="M1427" i="37"/>
  <c r="L1427" i="37"/>
  <c r="K1427" i="37"/>
  <c r="J1427" i="37"/>
  <c r="I1427" i="37"/>
  <c r="H1427" i="37"/>
  <c r="G1427" i="37"/>
  <c r="F1427" i="37"/>
  <c r="E1427" i="37"/>
  <c r="D1427" i="37"/>
  <c r="C1427" i="37"/>
  <c r="B1427" i="37"/>
  <c r="R1426" i="37"/>
  <c r="Q1426" i="37"/>
  <c r="P1426" i="37"/>
  <c r="O1426" i="37"/>
  <c r="N1426" i="37"/>
  <c r="M1426" i="37"/>
  <c r="L1426" i="37"/>
  <c r="K1426" i="37"/>
  <c r="J1426" i="37"/>
  <c r="I1426" i="37"/>
  <c r="H1426" i="37"/>
  <c r="G1426" i="37"/>
  <c r="F1426" i="37"/>
  <c r="E1426" i="37"/>
  <c r="D1426" i="37"/>
  <c r="C1426" i="37"/>
  <c r="B1426" i="37"/>
  <c r="R1425" i="37"/>
  <c r="Q1425" i="37"/>
  <c r="P1425" i="37"/>
  <c r="O1425" i="37"/>
  <c r="N1425" i="37"/>
  <c r="M1425" i="37"/>
  <c r="L1425" i="37"/>
  <c r="K1425" i="37"/>
  <c r="J1425" i="37"/>
  <c r="I1425" i="37"/>
  <c r="H1425" i="37"/>
  <c r="G1425" i="37"/>
  <c r="F1425" i="37"/>
  <c r="E1425" i="37"/>
  <c r="D1425" i="37"/>
  <c r="C1425" i="37"/>
  <c r="B1425" i="37"/>
  <c r="R1424" i="37"/>
  <c r="Q1424" i="37"/>
  <c r="P1424" i="37"/>
  <c r="O1424" i="37"/>
  <c r="N1424" i="37"/>
  <c r="M1424" i="37"/>
  <c r="L1424" i="37"/>
  <c r="K1424" i="37"/>
  <c r="J1424" i="37"/>
  <c r="I1424" i="37"/>
  <c r="H1424" i="37"/>
  <c r="G1424" i="37"/>
  <c r="F1424" i="37"/>
  <c r="E1424" i="37"/>
  <c r="D1424" i="37"/>
  <c r="C1424" i="37"/>
  <c r="B1424" i="37"/>
  <c r="R1423" i="37"/>
  <c r="Q1423" i="37"/>
  <c r="P1423" i="37"/>
  <c r="O1423" i="37"/>
  <c r="N1423" i="37"/>
  <c r="M1423" i="37"/>
  <c r="L1423" i="37"/>
  <c r="K1423" i="37"/>
  <c r="J1423" i="37"/>
  <c r="I1423" i="37"/>
  <c r="H1423" i="37"/>
  <c r="G1423" i="37"/>
  <c r="F1423" i="37"/>
  <c r="E1423" i="37"/>
  <c r="D1423" i="37"/>
  <c r="C1423" i="37"/>
  <c r="B1423" i="37"/>
  <c r="R1422" i="37"/>
  <c r="Q1422" i="37"/>
  <c r="P1422" i="37"/>
  <c r="O1422" i="37"/>
  <c r="N1422" i="37"/>
  <c r="M1422" i="37"/>
  <c r="L1422" i="37"/>
  <c r="K1422" i="37"/>
  <c r="J1422" i="37"/>
  <c r="I1422" i="37"/>
  <c r="H1422" i="37"/>
  <c r="G1422" i="37"/>
  <c r="F1422" i="37"/>
  <c r="E1422" i="37"/>
  <c r="D1422" i="37"/>
  <c r="C1422" i="37"/>
  <c r="B1422" i="37"/>
  <c r="R1421" i="37"/>
  <c r="Q1421" i="37"/>
  <c r="P1421" i="37"/>
  <c r="O1421" i="37"/>
  <c r="N1421" i="37"/>
  <c r="M1421" i="37"/>
  <c r="L1421" i="37"/>
  <c r="K1421" i="37"/>
  <c r="J1421" i="37"/>
  <c r="I1421" i="37"/>
  <c r="H1421" i="37"/>
  <c r="G1421" i="37"/>
  <c r="F1421" i="37"/>
  <c r="E1421" i="37"/>
  <c r="D1421" i="37"/>
  <c r="C1421" i="37"/>
  <c r="B1421" i="37"/>
  <c r="R1420" i="37"/>
  <c r="Q1420" i="37"/>
  <c r="P1420" i="37"/>
  <c r="O1420" i="37"/>
  <c r="N1420" i="37"/>
  <c r="M1420" i="37"/>
  <c r="L1420" i="37"/>
  <c r="K1420" i="37"/>
  <c r="J1420" i="37"/>
  <c r="I1420" i="37"/>
  <c r="H1420" i="37"/>
  <c r="G1420" i="37"/>
  <c r="F1420" i="37"/>
  <c r="E1420" i="37"/>
  <c r="D1420" i="37"/>
  <c r="C1420" i="37"/>
  <c r="B1420" i="37"/>
  <c r="R1419" i="37"/>
  <c r="Q1419" i="37"/>
  <c r="P1419" i="37"/>
  <c r="O1419" i="37"/>
  <c r="N1419" i="37"/>
  <c r="M1419" i="37"/>
  <c r="L1419" i="37"/>
  <c r="K1419" i="37"/>
  <c r="J1419" i="37"/>
  <c r="I1419" i="37"/>
  <c r="H1419" i="37"/>
  <c r="G1419" i="37"/>
  <c r="F1419" i="37"/>
  <c r="E1419" i="37"/>
  <c r="D1419" i="37"/>
  <c r="C1419" i="37"/>
  <c r="B1419" i="37"/>
  <c r="R1418" i="37"/>
  <c r="Q1418" i="37"/>
  <c r="P1418" i="37"/>
  <c r="O1418" i="37"/>
  <c r="N1418" i="37"/>
  <c r="M1418" i="37"/>
  <c r="L1418" i="37"/>
  <c r="K1418" i="37"/>
  <c r="J1418" i="37"/>
  <c r="I1418" i="37"/>
  <c r="H1418" i="37"/>
  <c r="G1418" i="37"/>
  <c r="F1418" i="37"/>
  <c r="E1418" i="37"/>
  <c r="D1418" i="37"/>
  <c r="C1418" i="37"/>
  <c r="B1418" i="37"/>
  <c r="R1417" i="37"/>
  <c r="Q1417" i="37"/>
  <c r="P1417" i="37"/>
  <c r="O1417" i="37"/>
  <c r="N1417" i="37"/>
  <c r="M1417" i="37"/>
  <c r="L1417" i="37"/>
  <c r="K1417" i="37"/>
  <c r="J1417" i="37"/>
  <c r="I1417" i="37"/>
  <c r="H1417" i="37"/>
  <c r="G1417" i="37"/>
  <c r="F1417" i="37"/>
  <c r="E1417" i="37"/>
  <c r="D1417" i="37"/>
  <c r="C1417" i="37"/>
  <c r="B1417" i="37"/>
  <c r="R1416" i="37"/>
  <c r="Q1416" i="37"/>
  <c r="P1416" i="37"/>
  <c r="O1416" i="37"/>
  <c r="N1416" i="37"/>
  <c r="M1416" i="37"/>
  <c r="L1416" i="37"/>
  <c r="K1416" i="37"/>
  <c r="J1416" i="37"/>
  <c r="I1416" i="37"/>
  <c r="H1416" i="37"/>
  <c r="G1416" i="37"/>
  <c r="F1416" i="37"/>
  <c r="E1416" i="37"/>
  <c r="D1416" i="37"/>
  <c r="C1416" i="37"/>
  <c r="B1416" i="37"/>
  <c r="R1415" i="37"/>
  <c r="Q1415" i="37"/>
  <c r="P1415" i="37"/>
  <c r="O1415" i="37"/>
  <c r="N1415" i="37"/>
  <c r="M1415" i="37"/>
  <c r="L1415" i="37"/>
  <c r="K1415" i="37"/>
  <c r="J1415" i="37"/>
  <c r="I1415" i="37"/>
  <c r="H1415" i="37"/>
  <c r="G1415" i="37"/>
  <c r="F1415" i="37"/>
  <c r="E1415" i="37"/>
  <c r="D1415" i="37"/>
  <c r="C1415" i="37"/>
  <c r="B1415" i="37"/>
  <c r="R1414" i="37"/>
  <c r="Q1414" i="37"/>
  <c r="P1414" i="37"/>
  <c r="O1414" i="37"/>
  <c r="N1414" i="37"/>
  <c r="M1414" i="37"/>
  <c r="L1414" i="37"/>
  <c r="K1414" i="37"/>
  <c r="J1414" i="37"/>
  <c r="I1414" i="37"/>
  <c r="H1414" i="37"/>
  <c r="G1414" i="37"/>
  <c r="F1414" i="37"/>
  <c r="E1414" i="37"/>
  <c r="D1414" i="37"/>
  <c r="C1414" i="37"/>
  <c r="B1414" i="37"/>
  <c r="R1413" i="37"/>
  <c r="Q1413" i="37"/>
  <c r="P1413" i="37"/>
  <c r="O1413" i="37"/>
  <c r="N1413" i="37"/>
  <c r="M1413" i="37"/>
  <c r="L1413" i="37"/>
  <c r="K1413" i="37"/>
  <c r="J1413" i="37"/>
  <c r="I1413" i="37"/>
  <c r="H1413" i="37"/>
  <c r="G1413" i="37"/>
  <c r="F1413" i="37"/>
  <c r="E1413" i="37"/>
  <c r="D1413" i="37"/>
  <c r="C1413" i="37"/>
  <c r="B1413" i="37"/>
  <c r="R1412" i="37"/>
  <c r="Q1412" i="37"/>
  <c r="P1412" i="37"/>
  <c r="O1412" i="37"/>
  <c r="N1412" i="37"/>
  <c r="M1412" i="37"/>
  <c r="L1412" i="37"/>
  <c r="K1412" i="37"/>
  <c r="J1412" i="37"/>
  <c r="I1412" i="37"/>
  <c r="H1412" i="37"/>
  <c r="G1412" i="37"/>
  <c r="F1412" i="37"/>
  <c r="E1412" i="37"/>
  <c r="D1412" i="37"/>
  <c r="C1412" i="37"/>
  <c r="B1412" i="37"/>
  <c r="R1411" i="37"/>
  <c r="Q1411" i="37"/>
  <c r="P1411" i="37"/>
  <c r="O1411" i="37"/>
  <c r="N1411" i="37"/>
  <c r="M1411" i="37"/>
  <c r="L1411" i="37"/>
  <c r="K1411" i="37"/>
  <c r="J1411" i="37"/>
  <c r="I1411" i="37"/>
  <c r="H1411" i="37"/>
  <c r="G1411" i="37"/>
  <c r="F1411" i="37"/>
  <c r="E1411" i="37"/>
  <c r="D1411" i="37"/>
  <c r="C1411" i="37"/>
  <c r="B1411" i="37"/>
  <c r="R1410" i="37"/>
  <c r="Q1410" i="37"/>
  <c r="P1410" i="37"/>
  <c r="O1410" i="37"/>
  <c r="N1410" i="37"/>
  <c r="M1410" i="37"/>
  <c r="L1410" i="37"/>
  <c r="K1410" i="37"/>
  <c r="J1410" i="37"/>
  <c r="I1410" i="37"/>
  <c r="H1410" i="37"/>
  <c r="G1410" i="37"/>
  <c r="F1410" i="37"/>
  <c r="E1410" i="37"/>
  <c r="D1410" i="37"/>
  <c r="C1410" i="37"/>
  <c r="B1410" i="37"/>
  <c r="R1409" i="37"/>
  <c r="Q1409" i="37"/>
  <c r="P1409" i="37"/>
  <c r="O1409" i="37"/>
  <c r="N1409" i="37"/>
  <c r="M1409" i="37"/>
  <c r="L1409" i="37"/>
  <c r="K1409" i="37"/>
  <c r="J1409" i="37"/>
  <c r="I1409" i="37"/>
  <c r="H1409" i="37"/>
  <c r="G1409" i="37"/>
  <c r="F1409" i="37"/>
  <c r="E1409" i="37"/>
  <c r="D1409" i="37"/>
  <c r="C1409" i="37"/>
  <c r="B1409" i="37"/>
  <c r="R1408" i="37"/>
  <c r="Q1408" i="37"/>
  <c r="P1408" i="37"/>
  <c r="O1408" i="37"/>
  <c r="N1408" i="37"/>
  <c r="M1408" i="37"/>
  <c r="L1408" i="37"/>
  <c r="K1408" i="37"/>
  <c r="J1408" i="37"/>
  <c r="I1408" i="37"/>
  <c r="H1408" i="37"/>
  <c r="G1408" i="37"/>
  <c r="F1408" i="37"/>
  <c r="E1408" i="37"/>
  <c r="D1408" i="37"/>
  <c r="C1408" i="37"/>
  <c r="B1408" i="37"/>
  <c r="R1407" i="37"/>
  <c r="Q1407" i="37"/>
  <c r="P1407" i="37"/>
  <c r="O1407" i="37"/>
  <c r="N1407" i="37"/>
  <c r="M1407" i="37"/>
  <c r="L1407" i="37"/>
  <c r="K1407" i="37"/>
  <c r="J1407" i="37"/>
  <c r="I1407" i="37"/>
  <c r="H1407" i="37"/>
  <c r="G1407" i="37"/>
  <c r="F1407" i="37"/>
  <c r="E1407" i="37"/>
  <c r="D1407" i="37"/>
  <c r="C1407" i="37"/>
  <c r="B1407" i="37"/>
  <c r="R1406" i="37"/>
  <c r="Q1406" i="37"/>
  <c r="P1406" i="37"/>
  <c r="O1406" i="37"/>
  <c r="N1406" i="37"/>
  <c r="M1406" i="37"/>
  <c r="L1406" i="37"/>
  <c r="K1406" i="37"/>
  <c r="J1406" i="37"/>
  <c r="I1406" i="37"/>
  <c r="H1406" i="37"/>
  <c r="G1406" i="37"/>
  <c r="F1406" i="37"/>
  <c r="E1406" i="37"/>
  <c r="D1406" i="37"/>
  <c r="C1406" i="37"/>
  <c r="B1406" i="37"/>
  <c r="R1405" i="37"/>
  <c r="Q1405" i="37"/>
  <c r="P1405" i="37"/>
  <c r="O1405" i="37"/>
  <c r="N1405" i="37"/>
  <c r="M1405" i="37"/>
  <c r="L1405" i="37"/>
  <c r="K1405" i="37"/>
  <c r="J1405" i="37"/>
  <c r="I1405" i="37"/>
  <c r="H1405" i="37"/>
  <c r="G1405" i="37"/>
  <c r="F1405" i="37"/>
  <c r="E1405" i="37"/>
  <c r="D1405" i="37"/>
  <c r="C1405" i="37"/>
  <c r="B1405" i="37"/>
  <c r="R1404" i="37"/>
  <c r="Q1404" i="37"/>
  <c r="P1404" i="37"/>
  <c r="O1404" i="37"/>
  <c r="N1404" i="37"/>
  <c r="M1404" i="37"/>
  <c r="L1404" i="37"/>
  <c r="K1404" i="37"/>
  <c r="J1404" i="37"/>
  <c r="I1404" i="37"/>
  <c r="H1404" i="37"/>
  <c r="G1404" i="37"/>
  <c r="F1404" i="37"/>
  <c r="E1404" i="37"/>
  <c r="D1404" i="37"/>
  <c r="C1404" i="37"/>
  <c r="B1404" i="37"/>
  <c r="R1403" i="37"/>
  <c r="Q1403" i="37"/>
  <c r="P1403" i="37"/>
  <c r="O1403" i="37"/>
  <c r="N1403" i="37"/>
  <c r="M1403" i="37"/>
  <c r="L1403" i="37"/>
  <c r="K1403" i="37"/>
  <c r="J1403" i="37"/>
  <c r="I1403" i="37"/>
  <c r="H1403" i="37"/>
  <c r="G1403" i="37"/>
  <c r="F1403" i="37"/>
  <c r="E1403" i="37"/>
  <c r="D1403" i="37"/>
  <c r="C1403" i="37"/>
  <c r="B1403" i="37"/>
  <c r="R1402" i="37"/>
  <c r="Q1402" i="37"/>
  <c r="P1402" i="37"/>
  <c r="O1402" i="37"/>
  <c r="N1402" i="37"/>
  <c r="M1402" i="37"/>
  <c r="L1402" i="37"/>
  <c r="K1402" i="37"/>
  <c r="J1402" i="37"/>
  <c r="I1402" i="37"/>
  <c r="H1402" i="37"/>
  <c r="G1402" i="37"/>
  <c r="F1402" i="37"/>
  <c r="E1402" i="37"/>
  <c r="D1402" i="37"/>
  <c r="C1402" i="37"/>
  <c r="B1402" i="37"/>
  <c r="R1401" i="37"/>
  <c r="Q1401" i="37"/>
  <c r="P1401" i="37"/>
  <c r="O1401" i="37"/>
  <c r="N1401" i="37"/>
  <c r="M1401" i="37"/>
  <c r="L1401" i="37"/>
  <c r="K1401" i="37"/>
  <c r="J1401" i="37"/>
  <c r="I1401" i="37"/>
  <c r="H1401" i="37"/>
  <c r="G1401" i="37"/>
  <c r="F1401" i="37"/>
  <c r="E1401" i="37"/>
  <c r="D1401" i="37"/>
  <c r="C1401" i="37"/>
  <c r="B1401" i="37"/>
  <c r="R1400" i="37"/>
  <c r="Q1400" i="37"/>
  <c r="P1400" i="37"/>
  <c r="O1400" i="37"/>
  <c r="N1400" i="37"/>
  <c r="M1400" i="37"/>
  <c r="L1400" i="37"/>
  <c r="K1400" i="37"/>
  <c r="J1400" i="37"/>
  <c r="I1400" i="37"/>
  <c r="H1400" i="37"/>
  <c r="G1400" i="37"/>
  <c r="F1400" i="37"/>
  <c r="E1400" i="37"/>
  <c r="D1400" i="37"/>
  <c r="C1400" i="37"/>
  <c r="B1400" i="37"/>
  <c r="R1399" i="37"/>
  <c r="Q1399" i="37"/>
  <c r="P1399" i="37"/>
  <c r="O1399" i="37"/>
  <c r="N1399" i="37"/>
  <c r="M1399" i="37"/>
  <c r="L1399" i="37"/>
  <c r="K1399" i="37"/>
  <c r="J1399" i="37"/>
  <c r="I1399" i="37"/>
  <c r="H1399" i="37"/>
  <c r="G1399" i="37"/>
  <c r="F1399" i="37"/>
  <c r="E1399" i="37"/>
  <c r="D1399" i="37"/>
  <c r="C1399" i="37"/>
  <c r="B1399" i="37"/>
  <c r="R1398" i="37"/>
  <c r="Q1398" i="37"/>
  <c r="P1398" i="37"/>
  <c r="O1398" i="37"/>
  <c r="N1398" i="37"/>
  <c r="M1398" i="37"/>
  <c r="L1398" i="37"/>
  <c r="K1398" i="37"/>
  <c r="J1398" i="37"/>
  <c r="I1398" i="37"/>
  <c r="H1398" i="37"/>
  <c r="G1398" i="37"/>
  <c r="F1398" i="37"/>
  <c r="E1398" i="37"/>
  <c r="D1398" i="37"/>
  <c r="C1398" i="37"/>
  <c r="B1398" i="37"/>
  <c r="R1397" i="37"/>
  <c r="Q1397" i="37"/>
  <c r="P1397" i="37"/>
  <c r="O1397" i="37"/>
  <c r="N1397" i="37"/>
  <c r="M1397" i="37"/>
  <c r="L1397" i="37"/>
  <c r="K1397" i="37"/>
  <c r="J1397" i="37"/>
  <c r="I1397" i="37"/>
  <c r="H1397" i="37"/>
  <c r="G1397" i="37"/>
  <c r="F1397" i="37"/>
  <c r="E1397" i="37"/>
  <c r="D1397" i="37"/>
  <c r="C1397" i="37"/>
  <c r="B1397" i="37"/>
  <c r="R1396" i="37"/>
  <c r="Q1396" i="37"/>
  <c r="P1396" i="37"/>
  <c r="O1396" i="37"/>
  <c r="N1396" i="37"/>
  <c r="M1396" i="37"/>
  <c r="L1396" i="37"/>
  <c r="K1396" i="37"/>
  <c r="J1396" i="37"/>
  <c r="I1396" i="37"/>
  <c r="H1396" i="37"/>
  <c r="G1396" i="37"/>
  <c r="F1396" i="37"/>
  <c r="E1396" i="37"/>
  <c r="D1396" i="37"/>
  <c r="C1396" i="37"/>
  <c r="B1396" i="37"/>
  <c r="R1395" i="37"/>
  <c r="Q1395" i="37"/>
  <c r="P1395" i="37"/>
  <c r="O1395" i="37"/>
  <c r="N1395" i="37"/>
  <c r="M1395" i="37"/>
  <c r="L1395" i="37"/>
  <c r="K1395" i="37"/>
  <c r="J1395" i="37"/>
  <c r="I1395" i="37"/>
  <c r="H1395" i="37"/>
  <c r="G1395" i="37"/>
  <c r="F1395" i="37"/>
  <c r="E1395" i="37"/>
  <c r="D1395" i="37"/>
  <c r="C1395" i="37"/>
  <c r="B1395" i="37"/>
  <c r="R1394" i="37"/>
  <c r="Q1394" i="37"/>
  <c r="P1394" i="37"/>
  <c r="O1394" i="37"/>
  <c r="N1394" i="37"/>
  <c r="M1394" i="37"/>
  <c r="L1394" i="37"/>
  <c r="K1394" i="37"/>
  <c r="J1394" i="37"/>
  <c r="I1394" i="37"/>
  <c r="H1394" i="37"/>
  <c r="G1394" i="37"/>
  <c r="F1394" i="37"/>
  <c r="E1394" i="37"/>
  <c r="D1394" i="37"/>
  <c r="C1394" i="37"/>
  <c r="B1394" i="37"/>
  <c r="R1393" i="37"/>
  <c r="Q1393" i="37"/>
  <c r="P1393" i="37"/>
  <c r="O1393" i="37"/>
  <c r="N1393" i="37"/>
  <c r="M1393" i="37"/>
  <c r="L1393" i="37"/>
  <c r="K1393" i="37"/>
  <c r="J1393" i="37"/>
  <c r="I1393" i="37"/>
  <c r="H1393" i="37"/>
  <c r="G1393" i="37"/>
  <c r="F1393" i="37"/>
  <c r="E1393" i="37"/>
  <c r="D1393" i="37"/>
  <c r="C1393" i="37"/>
  <c r="B1393" i="37"/>
  <c r="R1392" i="37"/>
  <c r="Q1392" i="37"/>
  <c r="P1392" i="37"/>
  <c r="O1392" i="37"/>
  <c r="N1392" i="37"/>
  <c r="M1392" i="37"/>
  <c r="L1392" i="37"/>
  <c r="K1392" i="37"/>
  <c r="J1392" i="37"/>
  <c r="I1392" i="37"/>
  <c r="H1392" i="37"/>
  <c r="G1392" i="37"/>
  <c r="F1392" i="37"/>
  <c r="E1392" i="37"/>
  <c r="D1392" i="37"/>
  <c r="C1392" i="37"/>
  <c r="B1392" i="37"/>
  <c r="R1391" i="37"/>
  <c r="Q1391" i="37"/>
  <c r="P1391" i="37"/>
  <c r="O1391" i="37"/>
  <c r="N1391" i="37"/>
  <c r="M1391" i="37"/>
  <c r="L1391" i="37"/>
  <c r="K1391" i="37"/>
  <c r="J1391" i="37"/>
  <c r="I1391" i="37"/>
  <c r="H1391" i="37"/>
  <c r="G1391" i="37"/>
  <c r="F1391" i="37"/>
  <c r="E1391" i="37"/>
  <c r="D1391" i="37"/>
  <c r="C1391" i="37"/>
  <c r="B1391" i="37"/>
  <c r="R1390" i="37"/>
  <c r="Q1390" i="37"/>
  <c r="P1390" i="37"/>
  <c r="O1390" i="37"/>
  <c r="N1390" i="37"/>
  <c r="M1390" i="37"/>
  <c r="L1390" i="37"/>
  <c r="K1390" i="37"/>
  <c r="J1390" i="37"/>
  <c r="I1390" i="37"/>
  <c r="H1390" i="37"/>
  <c r="G1390" i="37"/>
  <c r="F1390" i="37"/>
  <c r="E1390" i="37"/>
  <c r="D1390" i="37"/>
  <c r="C1390" i="37"/>
  <c r="B1390" i="37"/>
  <c r="R1389" i="37"/>
  <c r="Q1389" i="37"/>
  <c r="P1389" i="37"/>
  <c r="O1389" i="37"/>
  <c r="N1389" i="37"/>
  <c r="M1389" i="37"/>
  <c r="L1389" i="37"/>
  <c r="K1389" i="37"/>
  <c r="J1389" i="37"/>
  <c r="I1389" i="37"/>
  <c r="H1389" i="37"/>
  <c r="G1389" i="37"/>
  <c r="F1389" i="37"/>
  <c r="E1389" i="37"/>
  <c r="D1389" i="37"/>
  <c r="C1389" i="37"/>
  <c r="B1389" i="37"/>
  <c r="R1388" i="37"/>
  <c r="Q1388" i="37"/>
  <c r="P1388" i="37"/>
  <c r="O1388" i="37"/>
  <c r="N1388" i="37"/>
  <c r="M1388" i="37"/>
  <c r="L1388" i="37"/>
  <c r="K1388" i="37"/>
  <c r="J1388" i="37"/>
  <c r="I1388" i="37"/>
  <c r="H1388" i="37"/>
  <c r="G1388" i="37"/>
  <c r="F1388" i="37"/>
  <c r="E1388" i="37"/>
  <c r="D1388" i="37"/>
  <c r="C1388" i="37"/>
  <c r="B1388" i="37"/>
  <c r="R1387" i="37"/>
  <c r="Q1387" i="37"/>
  <c r="P1387" i="37"/>
  <c r="O1387" i="37"/>
  <c r="N1387" i="37"/>
  <c r="M1387" i="37"/>
  <c r="L1387" i="37"/>
  <c r="K1387" i="37"/>
  <c r="J1387" i="37"/>
  <c r="I1387" i="37"/>
  <c r="H1387" i="37"/>
  <c r="G1387" i="37"/>
  <c r="F1387" i="37"/>
  <c r="E1387" i="37"/>
  <c r="D1387" i="37"/>
  <c r="C1387" i="37"/>
  <c r="B1387" i="37"/>
  <c r="R1386" i="37"/>
  <c r="Q1386" i="37"/>
  <c r="P1386" i="37"/>
  <c r="O1386" i="37"/>
  <c r="N1386" i="37"/>
  <c r="M1386" i="37"/>
  <c r="L1386" i="37"/>
  <c r="K1386" i="37"/>
  <c r="J1386" i="37"/>
  <c r="I1386" i="37"/>
  <c r="H1386" i="37"/>
  <c r="G1386" i="37"/>
  <c r="F1386" i="37"/>
  <c r="E1386" i="37"/>
  <c r="D1386" i="37"/>
  <c r="C1386" i="37"/>
  <c r="B1386" i="37"/>
  <c r="R1385" i="37"/>
  <c r="Q1385" i="37"/>
  <c r="P1385" i="37"/>
  <c r="O1385" i="37"/>
  <c r="N1385" i="37"/>
  <c r="M1385" i="37"/>
  <c r="L1385" i="37"/>
  <c r="K1385" i="37"/>
  <c r="J1385" i="37"/>
  <c r="I1385" i="37"/>
  <c r="H1385" i="37"/>
  <c r="G1385" i="37"/>
  <c r="F1385" i="37"/>
  <c r="E1385" i="37"/>
  <c r="D1385" i="37"/>
  <c r="C1385" i="37"/>
  <c r="B1385" i="37"/>
  <c r="R1384" i="37"/>
  <c r="Q1384" i="37"/>
  <c r="P1384" i="37"/>
  <c r="O1384" i="37"/>
  <c r="N1384" i="37"/>
  <c r="M1384" i="37"/>
  <c r="L1384" i="37"/>
  <c r="K1384" i="37"/>
  <c r="J1384" i="37"/>
  <c r="I1384" i="37"/>
  <c r="H1384" i="37"/>
  <c r="G1384" i="37"/>
  <c r="F1384" i="37"/>
  <c r="E1384" i="37"/>
  <c r="D1384" i="37"/>
  <c r="C1384" i="37"/>
  <c r="B1384" i="37"/>
  <c r="R1383" i="37"/>
  <c r="Q1383" i="37"/>
  <c r="P1383" i="37"/>
  <c r="O1383" i="37"/>
  <c r="N1383" i="37"/>
  <c r="M1383" i="37"/>
  <c r="L1383" i="37"/>
  <c r="K1383" i="37"/>
  <c r="J1383" i="37"/>
  <c r="I1383" i="37"/>
  <c r="H1383" i="37"/>
  <c r="G1383" i="37"/>
  <c r="F1383" i="37"/>
  <c r="E1383" i="37"/>
  <c r="D1383" i="37"/>
  <c r="C1383" i="37"/>
  <c r="B1383" i="37"/>
  <c r="R1382" i="37"/>
  <c r="Q1382" i="37"/>
  <c r="P1382" i="37"/>
  <c r="O1382" i="37"/>
  <c r="N1382" i="37"/>
  <c r="M1382" i="37"/>
  <c r="L1382" i="37"/>
  <c r="K1382" i="37"/>
  <c r="J1382" i="37"/>
  <c r="I1382" i="37"/>
  <c r="H1382" i="37"/>
  <c r="G1382" i="37"/>
  <c r="F1382" i="37"/>
  <c r="E1382" i="37"/>
  <c r="D1382" i="37"/>
  <c r="C1382" i="37"/>
  <c r="B1382" i="37"/>
  <c r="R1381" i="37"/>
  <c r="Q1381" i="37"/>
  <c r="P1381" i="37"/>
  <c r="O1381" i="37"/>
  <c r="N1381" i="37"/>
  <c r="M1381" i="37"/>
  <c r="L1381" i="37"/>
  <c r="K1381" i="37"/>
  <c r="J1381" i="37"/>
  <c r="I1381" i="37"/>
  <c r="H1381" i="37"/>
  <c r="G1381" i="37"/>
  <c r="F1381" i="37"/>
  <c r="E1381" i="37"/>
  <c r="D1381" i="37"/>
  <c r="C1381" i="37"/>
  <c r="B1381" i="37"/>
  <c r="R1380" i="37"/>
  <c r="Q1380" i="37"/>
  <c r="P1380" i="37"/>
  <c r="O1380" i="37"/>
  <c r="N1380" i="37"/>
  <c r="M1380" i="37"/>
  <c r="L1380" i="37"/>
  <c r="K1380" i="37"/>
  <c r="J1380" i="37"/>
  <c r="I1380" i="37"/>
  <c r="H1380" i="37"/>
  <c r="G1380" i="37"/>
  <c r="F1380" i="37"/>
  <c r="E1380" i="37"/>
  <c r="D1380" i="37"/>
  <c r="C1380" i="37"/>
  <c r="B1380" i="37"/>
  <c r="R1379" i="37"/>
  <c r="Q1379" i="37"/>
  <c r="P1379" i="37"/>
  <c r="O1379" i="37"/>
  <c r="N1379" i="37"/>
  <c r="M1379" i="37"/>
  <c r="L1379" i="37"/>
  <c r="K1379" i="37"/>
  <c r="J1379" i="37"/>
  <c r="I1379" i="37"/>
  <c r="H1379" i="37"/>
  <c r="G1379" i="37"/>
  <c r="F1379" i="37"/>
  <c r="E1379" i="37"/>
  <c r="D1379" i="37"/>
  <c r="C1379" i="37"/>
  <c r="B1379" i="37"/>
  <c r="R1378" i="37"/>
  <c r="Q1378" i="37"/>
  <c r="P1378" i="37"/>
  <c r="O1378" i="37"/>
  <c r="N1378" i="37"/>
  <c r="M1378" i="37"/>
  <c r="L1378" i="37"/>
  <c r="K1378" i="37"/>
  <c r="J1378" i="37"/>
  <c r="I1378" i="37"/>
  <c r="H1378" i="37"/>
  <c r="G1378" i="37"/>
  <c r="F1378" i="37"/>
  <c r="E1378" i="37"/>
  <c r="D1378" i="37"/>
  <c r="C1378" i="37"/>
  <c r="B1378" i="37"/>
  <c r="R1377" i="37"/>
  <c r="Q1377" i="37"/>
  <c r="P1377" i="37"/>
  <c r="O1377" i="37"/>
  <c r="N1377" i="37"/>
  <c r="M1377" i="37"/>
  <c r="L1377" i="37"/>
  <c r="K1377" i="37"/>
  <c r="J1377" i="37"/>
  <c r="I1377" i="37"/>
  <c r="H1377" i="37"/>
  <c r="G1377" i="37"/>
  <c r="F1377" i="37"/>
  <c r="E1377" i="37"/>
  <c r="D1377" i="37"/>
  <c r="C1377" i="37"/>
  <c r="B1377" i="37"/>
  <c r="R1376" i="37"/>
  <c r="Q1376" i="37"/>
  <c r="P1376" i="37"/>
  <c r="O1376" i="37"/>
  <c r="N1376" i="37"/>
  <c r="M1376" i="37"/>
  <c r="L1376" i="37"/>
  <c r="K1376" i="37"/>
  <c r="J1376" i="37"/>
  <c r="I1376" i="37"/>
  <c r="H1376" i="37"/>
  <c r="G1376" i="37"/>
  <c r="F1376" i="37"/>
  <c r="E1376" i="37"/>
  <c r="D1376" i="37"/>
  <c r="C1376" i="37"/>
  <c r="B1376" i="37"/>
  <c r="R1375" i="37"/>
  <c r="Q1375" i="37"/>
  <c r="P1375" i="37"/>
  <c r="O1375" i="37"/>
  <c r="N1375" i="37"/>
  <c r="M1375" i="37"/>
  <c r="L1375" i="37"/>
  <c r="K1375" i="37"/>
  <c r="J1375" i="37"/>
  <c r="I1375" i="37"/>
  <c r="H1375" i="37"/>
  <c r="G1375" i="37"/>
  <c r="F1375" i="37"/>
  <c r="E1375" i="37"/>
  <c r="D1375" i="37"/>
  <c r="C1375" i="37"/>
  <c r="B1375" i="37"/>
  <c r="R1374" i="37"/>
  <c r="Q1374" i="37"/>
  <c r="P1374" i="37"/>
  <c r="O1374" i="37"/>
  <c r="N1374" i="37"/>
  <c r="M1374" i="37"/>
  <c r="L1374" i="37"/>
  <c r="K1374" i="37"/>
  <c r="J1374" i="37"/>
  <c r="I1374" i="37"/>
  <c r="H1374" i="37"/>
  <c r="G1374" i="37"/>
  <c r="F1374" i="37"/>
  <c r="E1374" i="37"/>
  <c r="D1374" i="37"/>
  <c r="C1374" i="37"/>
  <c r="B1374" i="37"/>
  <c r="R1373" i="37"/>
  <c r="Q1373" i="37"/>
  <c r="P1373" i="37"/>
  <c r="O1373" i="37"/>
  <c r="N1373" i="37"/>
  <c r="M1373" i="37"/>
  <c r="L1373" i="37"/>
  <c r="K1373" i="37"/>
  <c r="J1373" i="37"/>
  <c r="I1373" i="37"/>
  <c r="H1373" i="37"/>
  <c r="G1373" i="37"/>
  <c r="F1373" i="37"/>
  <c r="E1373" i="37"/>
  <c r="D1373" i="37"/>
  <c r="C1373" i="37"/>
  <c r="B1373" i="37"/>
  <c r="R1372" i="37"/>
  <c r="Q1372" i="37"/>
  <c r="P1372" i="37"/>
  <c r="O1372" i="37"/>
  <c r="N1372" i="37"/>
  <c r="M1372" i="37"/>
  <c r="L1372" i="37"/>
  <c r="K1372" i="37"/>
  <c r="J1372" i="37"/>
  <c r="I1372" i="37"/>
  <c r="H1372" i="37"/>
  <c r="G1372" i="37"/>
  <c r="F1372" i="37"/>
  <c r="E1372" i="37"/>
  <c r="D1372" i="37"/>
  <c r="C1372" i="37"/>
  <c r="B1372" i="37"/>
  <c r="R1371" i="37"/>
  <c r="Q1371" i="37"/>
  <c r="P1371" i="37"/>
  <c r="O1371" i="37"/>
  <c r="N1371" i="37"/>
  <c r="M1371" i="37"/>
  <c r="L1371" i="37"/>
  <c r="K1371" i="37"/>
  <c r="J1371" i="37"/>
  <c r="I1371" i="37"/>
  <c r="H1371" i="37"/>
  <c r="G1371" i="37"/>
  <c r="F1371" i="37"/>
  <c r="E1371" i="37"/>
  <c r="D1371" i="37"/>
  <c r="C1371" i="37"/>
  <c r="B1371" i="37"/>
  <c r="R1370" i="37"/>
  <c r="Q1370" i="37"/>
  <c r="P1370" i="37"/>
  <c r="O1370" i="37"/>
  <c r="N1370" i="37"/>
  <c r="M1370" i="37"/>
  <c r="L1370" i="37"/>
  <c r="K1370" i="37"/>
  <c r="J1370" i="37"/>
  <c r="I1370" i="37"/>
  <c r="H1370" i="37"/>
  <c r="G1370" i="37"/>
  <c r="F1370" i="37"/>
  <c r="E1370" i="37"/>
  <c r="D1370" i="37"/>
  <c r="C1370" i="37"/>
  <c r="B1370" i="37"/>
  <c r="R1369" i="37"/>
  <c r="Q1369" i="37"/>
  <c r="P1369" i="37"/>
  <c r="O1369" i="37"/>
  <c r="N1369" i="37"/>
  <c r="M1369" i="37"/>
  <c r="L1369" i="37"/>
  <c r="K1369" i="37"/>
  <c r="J1369" i="37"/>
  <c r="I1369" i="37"/>
  <c r="H1369" i="37"/>
  <c r="G1369" i="37"/>
  <c r="F1369" i="37"/>
  <c r="E1369" i="37"/>
  <c r="D1369" i="37"/>
  <c r="C1369" i="37"/>
  <c r="B1369" i="37"/>
  <c r="R1368" i="37"/>
  <c r="Q1368" i="37"/>
  <c r="P1368" i="37"/>
  <c r="O1368" i="37"/>
  <c r="N1368" i="37"/>
  <c r="M1368" i="37"/>
  <c r="L1368" i="37"/>
  <c r="K1368" i="37"/>
  <c r="J1368" i="37"/>
  <c r="I1368" i="37"/>
  <c r="H1368" i="37"/>
  <c r="G1368" i="37"/>
  <c r="F1368" i="37"/>
  <c r="E1368" i="37"/>
  <c r="D1368" i="37"/>
  <c r="C1368" i="37"/>
  <c r="B1368" i="37"/>
  <c r="R1367" i="37"/>
  <c r="Q1367" i="37"/>
  <c r="P1367" i="37"/>
  <c r="O1367" i="37"/>
  <c r="N1367" i="37"/>
  <c r="M1367" i="37"/>
  <c r="L1367" i="37"/>
  <c r="K1367" i="37"/>
  <c r="J1367" i="37"/>
  <c r="I1367" i="37"/>
  <c r="H1367" i="37"/>
  <c r="G1367" i="37"/>
  <c r="F1367" i="37"/>
  <c r="E1367" i="37"/>
  <c r="D1367" i="37"/>
  <c r="C1367" i="37"/>
  <c r="B1367" i="37"/>
  <c r="R1366" i="37"/>
  <c r="Q1366" i="37"/>
  <c r="P1366" i="37"/>
  <c r="O1366" i="37"/>
  <c r="N1366" i="37"/>
  <c r="M1366" i="37"/>
  <c r="L1366" i="37"/>
  <c r="K1366" i="37"/>
  <c r="J1366" i="37"/>
  <c r="I1366" i="37"/>
  <c r="H1366" i="37"/>
  <c r="G1366" i="37"/>
  <c r="F1366" i="37"/>
  <c r="E1366" i="37"/>
  <c r="D1366" i="37"/>
  <c r="C1366" i="37"/>
  <c r="B1366" i="37"/>
  <c r="R1365" i="37"/>
  <c r="Q1365" i="37"/>
  <c r="P1365" i="37"/>
  <c r="O1365" i="37"/>
  <c r="N1365" i="37"/>
  <c r="M1365" i="37"/>
  <c r="L1365" i="37"/>
  <c r="K1365" i="37"/>
  <c r="J1365" i="37"/>
  <c r="I1365" i="37"/>
  <c r="H1365" i="37"/>
  <c r="G1365" i="37"/>
  <c r="F1365" i="37"/>
  <c r="E1365" i="37"/>
  <c r="D1365" i="37"/>
  <c r="C1365" i="37"/>
  <c r="B1365" i="37"/>
  <c r="R1364" i="37"/>
  <c r="Q1364" i="37"/>
  <c r="P1364" i="37"/>
  <c r="O1364" i="37"/>
  <c r="N1364" i="37"/>
  <c r="M1364" i="37"/>
  <c r="L1364" i="37"/>
  <c r="K1364" i="37"/>
  <c r="J1364" i="37"/>
  <c r="I1364" i="37"/>
  <c r="H1364" i="37"/>
  <c r="G1364" i="37"/>
  <c r="F1364" i="37"/>
  <c r="E1364" i="37"/>
  <c r="D1364" i="37"/>
  <c r="C1364" i="37"/>
  <c r="B1364" i="37"/>
  <c r="R1363" i="37"/>
  <c r="Q1363" i="37"/>
  <c r="P1363" i="37"/>
  <c r="O1363" i="37"/>
  <c r="N1363" i="37"/>
  <c r="M1363" i="37"/>
  <c r="L1363" i="37"/>
  <c r="K1363" i="37"/>
  <c r="J1363" i="37"/>
  <c r="I1363" i="37"/>
  <c r="H1363" i="37"/>
  <c r="G1363" i="37"/>
  <c r="F1363" i="37"/>
  <c r="E1363" i="37"/>
  <c r="D1363" i="37"/>
  <c r="C1363" i="37"/>
  <c r="B1363" i="37"/>
  <c r="R1362" i="37"/>
  <c r="Q1362" i="37"/>
  <c r="P1362" i="37"/>
  <c r="O1362" i="37"/>
  <c r="N1362" i="37"/>
  <c r="M1362" i="37"/>
  <c r="L1362" i="37"/>
  <c r="K1362" i="37"/>
  <c r="J1362" i="37"/>
  <c r="I1362" i="37"/>
  <c r="H1362" i="37"/>
  <c r="G1362" i="37"/>
  <c r="F1362" i="37"/>
  <c r="E1362" i="37"/>
  <c r="D1362" i="37"/>
  <c r="C1362" i="37"/>
  <c r="B1362" i="37"/>
  <c r="R1361" i="37"/>
  <c r="Q1361" i="37"/>
  <c r="P1361" i="37"/>
  <c r="O1361" i="37"/>
  <c r="N1361" i="37"/>
  <c r="M1361" i="37"/>
  <c r="L1361" i="37"/>
  <c r="K1361" i="37"/>
  <c r="J1361" i="37"/>
  <c r="I1361" i="37"/>
  <c r="H1361" i="37"/>
  <c r="G1361" i="37"/>
  <c r="F1361" i="37"/>
  <c r="E1361" i="37"/>
  <c r="D1361" i="37"/>
  <c r="C1361" i="37"/>
  <c r="B1361" i="37"/>
  <c r="R1360" i="37"/>
  <c r="Q1360" i="37"/>
  <c r="P1360" i="37"/>
  <c r="O1360" i="37"/>
  <c r="N1360" i="37"/>
  <c r="M1360" i="37"/>
  <c r="L1360" i="37"/>
  <c r="K1360" i="37"/>
  <c r="J1360" i="37"/>
  <c r="I1360" i="37"/>
  <c r="H1360" i="37"/>
  <c r="G1360" i="37"/>
  <c r="F1360" i="37"/>
  <c r="E1360" i="37"/>
  <c r="D1360" i="37"/>
  <c r="C1360" i="37"/>
  <c r="B1360" i="37"/>
  <c r="R1359" i="37"/>
  <c r="Q1359" i="37"/>
  <c r="P1359" i="37"/>
  <c r="O1359" i="37"/>
  <c r="N1359" i="37"/>
  <c r="M1359" i="37"/>
  <c r="L1359" i="37"/>
  <c r="K1359" i="37"/>
  <c r="J1359" i="37"/>
  <c r="I1359" i="37"/>
  <c r="H1359" i="37"/>
  <c r="G1359" i="37"/>
  <c r="F1359" i="37"/>
  <c r="E1359" i="37"/>
  <c r="D1359" i="37"/>
  <c r="C1359" i="37"/>
  <c r="B1359" i="37"/>
  <c r="R1358" i="37"/>
  <c r="Q1358" i="37"/>
  <c r="P1358" i="37"/>
  <c r="O1358" i="37"/>
  <c r="N1358" i="37"/>
  <c r="M1358" i="37"/>
  <c r="L1358" i="37"/>
  <c r="K1358" i="37"/>
  <c r="J1358" i="37"/>
  <c r="I1358" i="37"/>
  <c r="H1358" i="37"/>
  <c r="G1358" i="37"/>
  <c r="F1358" i="37"/>
  <c r="E1358" i="37"/>
  <c r="D1358" i="37"/>
  <c r="C1358" i="37"/>
  <c r="B1358" i="37"/>
  <c r="R1357" i="37"/>
  <c r="Q1357" i="37"/>
  <c r="P1357" i="37"/>
  <c r="O1357" i="37"/>
  <c r="N1357" i="37"/>
  <c r="M1357" i="37"/>
  <c r="L1357" i="37"/>
  <c r="K1357" i="37"/>
  <c r="J1357" i="37"/>
  <c r="I1357" i="37"/>
  <c r="H1357" i="37"/>
  <c r="G1357" i="37"/>
  <c r="F1357" i="37"/>
  <c r="E1357" i="37"/>
  <c r="D1357" i="37"/>
  <c r="C1357" i="37"/>
  <c r="B1357" i="37"/>
  <c r="R1356" i="37"/>
  <c r="Q1356" i="37"/>
  <c r="P1356" i="37"/>
  <c r="O1356" i="37"/>
  <c r="N1356" i="37"/>
  <c r="M1356" i="37"/>
  <c r="L1356" i="37"/>
  <c r="K1356" i="37"/>
  <c r="J1356" i="37"/>
  <c r="I1356" i="37"/>
  <c r="H1356" i="37"/>
  <c r="G1356" i="37"/>
  <c r="F1356" i="37"/>
  <c r="E1356" i="37"/>
  <c r="D1356" i="37"/>
  <c r="C1356" i="37"/>
  <c r="B1356" i="37"/>
  <c r="R1355" i="37"/>
  <c r="Q1355" i="37"/>
  <c r="P1355" i="37"/>
  <c r="O1355" i="37"/>
  <c r="N1355" i="37"/>
  <c r="M1355" i="37"/>
  <c r="L1355" i="37"/>
  <c r="K1355" i="37"/>
  <c r="J1355" i="37"/>
  <c r="I1355" i="37"/>
  <c r="H1355" i="37"/>
  <c r="G1355" i="37"/>
  <c r="F1355" i="37"/>
  <c r="E1355" i="37"/>
  <c r="D1355" i="37"/>
  <c r="C1355" i="37"/>
  <c r="B1355" i="37"/>
  <c r="R1354" i="37"/>
  <c r="Q1354" i="37"/>
  <c r="P1354" i="37"/>
  <c r="O1354" i="37"/>
  <c r="N1354" i="37"/>
  <c r="M1354" i="37"/>
  <c r="L1354" i="37"/>
  <c r="K1354" i="37"/>
  <c r="J1354" i="37"/>
  <c r="I1354" i="37"/>
  <c r="H1354" i="37"/>
  <c r="G1354" i="37"/>
  <c r="F1354" i="37"/>
  <c r="E1354" i="37"/>
  <c r="D1354" i="37"/>
  <c r="C1354" i="37"/>
  <c r="B1354" i="37"/>
  <c r="R1353" i="37"/>
  <c r="Q1353" i="37"/>
  <c r="P1353" i="37"/>
  <c r="O1353" i="37"/>
  <c r="N1353" i="37"/>
  <c r="M1353" i="37"/>
  <c r="L1353" i="37"/>
  <c r="K1353" i="37"/>
  <c r="J1353" i="37"/>
  <c r="I1353" i="37"/>
  <c r="H1353" i="37"/>
  <c r="G1353" i="37"/>
  <c r="F1353" i="37"/>
  <c r="E1353" i="37"/>
  <c r="D1353" i="37"/>
  <c r="C1353" i="37"/>
  <c r="B1353" i="37"/>
  <c r="R1352" i="37"/>
  <c r="Q1352" i="37"/>
  <c r="P1352" i="37"/>
  <c r="O1352" i="37"/>
  <c r="N1352" i="37"/>
  <c r="M1352" i="37"/>
  <c r="L1352" i="37"/>
  <c r="K1352" i="37"/>
  <c r="J1352" i="37"/>
  <c r="I1352" i="37"/>
  <c r="H1352" i="37"/>
  <c r="G1352" i="37"/>
  <c r="F1352" i="37"/>
  <c r="E1352" i="37"/>
  <c r="D1352" i="37"/>
  <c r="C1352" i="37"/>
  <c r="B1352" i="37"/>
  <c r="R1351" i="37"/>
  <c r="Q1351" i="37"/>
  <c r="P1351" i="37"/>
  <c r="O1351" i="37"/>
  <c r="N1351" i="37"/>
  <c r="M1351" i="37"/>
  <c r="L1351" i="37"/>
  <c r="K1351" i="37"/>
  <c r="J1351" i="37"/>
  <c r="I1351" i="37"/>
  <c r="H1351" i="37"/>
  <c r="G1351" i="37"/>
  <c r="F1351" i="37"/>
  <c r="E1351" i="37"/>
  <c r="D1351" i="37"/>
  <c r="C1351" i="37"/>
  <c r="B1351" i="37"/>
  <c r="R1350" i="37"/>
  <c r="Q1350" i="37"/>
  <c r="P1350" i="37"/>
  <c r="O1350" i="37"/>
  <c r="N1350" i="37"/>
  <c r="M1350" i="37"/>
  <c r="L1350" i="37"/>
  <c r="K1350" i="37"/>
  <c r="J1350" i="37"/>
  <c r="I1350" i="37"/>
  <c r="H1350" i="37"/>
  <c r="G1350" i="37"/>
  <c r="F1350" i="37"/>
  <c r="E1350" i="37"/>
  <c r="D1350" i="37"/>
  <c r="C1350" i="37"/>
  <c r="B1350" i="37"/>
  <c r="R1349" i="37"/>
  <c r="Q1349" i="37"/>
  <c r="P1349" i="37"/>
  <c r="O1349" i="37"/>
  <c r="N1349" i="37"/>
  <c r="M1349" i="37"/>
  <c r="L1349" i="37"/>
  <c r="K1349" i="37"/>
  <c r="J1349" i="37"/>
  <c r="I1349" i="37"/>
  <c r="H1349" i="37"/>
  <c r="G1349" i="37"/>
  <c r="F1349" i="37"/>
  <c r="E1349" i="37"/>
  <c r="D1349" i="37"/>
  <c r="C1349" i="37"/>
  <c r="B1349" i="37"/>
  <c r="R1348" i="37"/>
  <c r="Q1348" i="37"/>
  <c r="P1348" i="37"/>
  <c r="O1348" i="37"/>
  <c r="N1348" i="37"/>
  <c r="M1348" i="37"/>
  <c r="L1348" i="37"/>
  <c r="K1348" i="37"/>
  <c r="J1348" i="37"/>
  <c r="I1348" i="37"/>
  <c r="H1348" i="37"/>
  <c r="G1348" i="37"/>
  <c r="F1348" i="37"/>
  <c r="E1348" i="37"/>
  <c r="D1348" i="37"/>
  <c r="C1348" i="37"/>
  <c r="B1348" i="37"/>
  <c r="R1347" i="37"/>
  <c r="Q1347" i="37"/>
  <c r="P1347" i="37"/>
  <c r="O1347" i="37"/>
  <c r="N1347" i="37"/>
  <c r="M1347" i="37"/>
  <c r="L1347" i="37"/>
  <c r="K1347" i="37"/>
  <c r="J1347" i="37"/>
  <c r="I1347" i="37"/>
  <c r="H1347" i="37"/>
  <c r="G1347" i="37"/>
  <c r="F1347" i="37"/>
  <c r="E1347" i="37"/>
  <c r="D1347" i="37"/>
  <c r="C1347" i="37"/>
  <c r="B1347" i="37"/>
  <c r="R1346" i="37"/>
  <c r="Q1346" i="37"/>
  <c r="P1346" i="37"/>
  <c r="O1346" i="37"/>
  <c r="N1346" i="37"/>
  <c r="M1346" i="37"/>
  <c r="L1346" i="37"/>
  <c r="K1346" i="37"/>
  <c r="J1346" i="37"/>
  <c r="I1346" i="37"/>
  <c r="H1346" i="37"/>
  <c r="G1346" i="37"/>
  <c r="F1346" i="37"/>
  <c r="E1346" i="37"/>
  <c r="D1346" i="37"/>
  <c r="C1346" i="37"/>
  <c r="B1346" i="37"/>
  <c r="R1345" i="37"/>
  <c r="Q1345" i="37"/>
  <c r="P1345" i="37"/>
  <c r="O1345" i="37"/>
  <c r="N1345" i="37"/>
  <c r="M1345" i="37"/>
  <c r="L1345" i="37"/>
  <c r="K1345" i="37"/>
  <c r="J1345" i="37"/>
  <c r="I1345" i="37"/>
  <c r="H1345" i="37"/>
  <c r="G1345" i="37"/>
  <c r="F1345" i="37"/>
  <c r="E1345" i="37"/>
  <c r="D1345" i="37"/>
  <c r="C1345" i="37"/>
  <c r="B1345" i="37"/>
  <c r="R1344" i="37"/>
  <c r="Q1344" i="37"/>
  <c r="P1344" i="37"/>
  <c r="O1344" i="37"/>
  <c r="N1344" i="37"/>
  <c r="M1344" i="37"/>
  <c r="L1344" i="37"/>
  <c r="K1344" i="37"/>
  <c r="J1344" i="37"/>
  <c r="I1344" i="37"/>
  <c r="H1344" i="37"/>
  <c r="G1344" i="37"/>
  <c r="F1344" i="37"/>
  <c r="E1344" i="37"/>
  <c r="D1344" i="37"/>
  <c r="C1344" i="37"/>
  <c r="B1344" i="37"/>
  <c r="R1343" i="37"/>
  <c r="Q1343" i="37"/>
  <c r="P1343" i="37"/>
  <c r="O1343" i="37"/>
  <c r="N1343" i="37"/>
  <c r="M1343" i="37"/>
  <c r="L1343" i="37"/>
  <c r="K1343" i="37"/>
  <c r="J1343" i="37"/>
  <c r="I1343" i="37"/>
  <c r="H1343" i="37"/>
  <c r="G1343" i="37"/>
  <c r="F1343" i="37"/>
  <c r="E1343" i="37"/>
  <c r="D1343" i="37"/>
  <c r="C1343" i="37"/>
  <c r="B1343" i="37"/>
  <c r="R1342" i="37"/>
  <c r="Q1342" i="37"/>
  <c r="P1342" i="37"/>
  <c r="O1342" i="37"/>
  <c r="N1342" i="37"/>
  <c r="M1342" i="37"/>
  <c r="L1342" i="37"/>
  <c r="K1342" i="37"/>
  <c r="J1342" i="37"/>
  <c r="I1342" i="37"/>
  <c r="H1342" i="37"/>
  <c r="G1342" i="37"/>
  <c r="F1342" i="37"/>
  <c r="E1342" i="37"/>
  <c r="D1342" i="37"/>
  <c r="C1342" i="37"/>
  <c r="B1342" i="37"/>
  <c r="R1341" i="37"/>
  <c r="Q1341" i="37"/>
  <c r="P1341" i="37"/>
  <c r="O1341" i="37"/>
  <c r="N1341" i="37"/>
  <c r="M1341" i="37"/>
  <c r="L1341" i="37"/>
  <c r="K1341" i="37"/>
  <c r="J1341" i="37"/>
  <c r="I1341" i="37"/>
  <c r="H1341" i="37"/>
  <c r="G1341" i="37"/>
  <c r="F1341" i="37"/>
  <c r="E1341" i="37"/>
  <c r="D1341" i="37"/>
  <c r="C1341" i="37"/>
  <c r="B1341" i="37"/>
  <c r="R1340" i="37"/>
  <c r="Q1340" i="37"/>
  <c r="P1340" i="37"/>
  <c r="O1340" i="37"/>
  <c r="N1340" i="37"/>
  <c r="M1340" i="37"/>
  <c r="L1340" i="37"/>
  <c r="K1340" i="37"/>
  <c r="J1340" i="37"/>
  <c r="I1340" i="37"/>
  <c r="H1340" i="37"/>
  <c r="G1340" i="37"/>
  <c r="F1340" i="37"/>
  <c r="E1340" i="37"/>
  <c r="D1340" i="37"/>
  <c r="C1340" i="37"/>
  <c r="B1340" i="37"/>
  <c r="R1339" i="37"/>
  <c r="Q1339" i="37"/>
  <c r="P1339" i="37"/>
  <c r="O1339" i="37"/>
  <c r="N1339" i="37"/>
  <c r="M1339" i="37"/>
  <c r="L1339" i="37"/>
  <c r="K1339" i="37"/>
  <c r="J1339" i="37"/>
  <c r="I1339" i="37"/>
  <c r="H1339" i="37"/>
  <c r="G1339" i="37"/>
  <c r="F1339" i="37"/>
  <c r="E1339" i="37"/>
  <c r="D1339" i="37"/>
  <c r="C1339" i="37"/>
  <c r="B1339" i="37"/>
  <c r="R1338" i="37"/>
  <c r="Q1338" i="37"/>
  <c r="P1338" i="37"/>
  <c r="O1338" i="37"/>
  <c r="N1338" i="37"/>
  <c r="M1338" i="37"/>
  <c r="L1338" i="37"/>
  <c r="K1338" i="37"/>
  <c r="J1338" i="37"/>
  <c r="I1338" i="37"/>
  <c r="H1338" i="37"/>
  <c r="G1338" i="37"/>
  <c r="F1338" i="37"/>
  <c r="E1338" i="37"/>
  <c r="D1338" i="37"/>
  <c r="C1338" i="37"/>
  <c r="B1338" i="37"/>
  <c r="R1337" i="37"/>
  <c r="Q1337" i="37"/>
  <c r="P1337" i="37"/>
  <c r="O1337" i="37"/>
  <c r="N1337" i="37"/>
  <c r="M1337" i="37"/>
  <c r="L1337" i="37"/>
  <c r="K1337" i="37"/>
  <c r="J1337" i="37"/>
  <c r="I1337" i="37"/>
  <c r="H1337" i="37"/>
  <c r="G1337" i="37"/>
  <c r="F1337" i="37"/>
  <c r="E1337" i="37"/>
  <c r="D1337" i="37"/>
  <c r="C1337" i="37"/>
  <c r="B1337" i="37"/>
  <c r="R1336" i="37"/>
  <c r="Q1336" i="37"/>
  <c r="P1336" i="37"/>
  <c r="O1336" i="37"/>
  <c r="N1336" i="37"/>
  <c r="M1336" i="37"/>
  <c r="L1336" i="37"/>
  <c r="K1336" i="37"/>
  <c r="J1336" i="37"/>
  <c r="I1336" i="37"/>
  <c r="H1336" i="37"/>
  <c r="G1336" i="37"/>
  <c r="F1336" i="37"/>
  <c r="E1336" i="37"/>
  <c r="D1336" i="37"/>
  <c r="C1336" i="37"/>
  <c r="B1336" i="37"/>
  <c r="R1335" i="37"/>
  <c r="Q1335" i="37"/>
  <c r="P1335" i="37"/>
  <c r="O1335" i="37"/>
  <c r="N1335" i="37"/>
  <c r="M1335" i="37"/>
  <c r="L1335" i="37"/>
  <c r="K1335" i="37"/>
  <c r="J1335" i="37"/>
  <c r="I1335" i="37"/>
  <c r="H1335" i="37"/>
  <c r="G1335" i="37"/>
  <c r="F1335" i="37"/>
  <c r="E1335" i="37"/>
  <c r="D1335" i="37"/>
  <c r="C1335" i="37"/>
  <c r="B1335" i="37"/>
  <c r="R1334" i="37"/>
  <c r="Q1334" i="37"/>
  <c r="P1334" i="37"/>
  <c r="O1334" i="37"/>
  <c r="N1334" i="37"/>
  <c r="M1334" i="37"/>
  <c r="L1334" i="37"/>
  <c r="K1334" i="37"/>
  <c r="J1334" i="37"/>
  <c r="I1334" i="37"/>
  <c r="H1334" i="37"/>
  <c r="G1334" i="37"/>
  <c r="F1334" i="37"/>
  <c r="E1334" i="37"/>
  <c r="D1334" i="37"/>
  <c r="C1334" i="37"/>
  <c r="B1334" i="37"/>
  <c r="R1333" i="37"/>
  <c r="Q1333" i="37"/>
  <c r="P1333" i="37"/>
  <c r="O1333" i="37"/>
  <c r="N1333" i="37"/>
  <c r="M1333" i="37"/>
  <c r="L1333" i="37"/>
  <c r="K1333" i="37"/>
  <c r="J1333" i="37"/>
  <c r="I1333" i="37"/>
  <c r="H1333" i="37"/>
  <c r="G1333" i="37"/>
  <c r="F1333" i="37"/>
  <c r="E1333" i="37"/>
  <c r="D1333" i="37"/>
  <c r="C1333" i="37"/>
  <c r="B1333" i="37"/>
  <c r="R1332" i="37"/>
  <c r="Q1332" i="37"/>
  <c r="P1332" i="37"/>
  <c r="O1332" i="37"/>
  <c r="N1332" i="37"/>
  <c r="M1332" i="37"/>
  <c r="L1332" i="37"/>
  <c r="K1332" i="37"/>
  <c r="J1332" i="37"/>
  <c r="I1332" i="37"/>
  <c r="H1332" i="37"/>
  <c r="G1332" i="37"/>
  <c r="F1332" i="37"/>
  <c r="E1332" i="37"/>
  <c r="D1332" i="37"/>
  <c r="C1332" i="37"/>
  <c r="B1332" i="37"/>
  <c r="R1331" i="37"/>
  <c r="Q1331" i="37"/>
  <c r="P1331" i="37"/>
  <c r="O1331" i="37"/>
  <c r="N1331" i="37"/>
  <c r="M1331" i="37"/>
  <c r="L1331" i="37"/>
  <c r="K1331" i="37"/>
  <c r="J1331" i="37"/>
  <c r="I1331" i="37"/>
  <c r="H1331" i="37"/>
  <c r="G1331" i="37"/>
  <c r="F1331" i="37"/>
  <c r="E1331" i="37"/>
  <c r="D1331" i="37"/>
  <c r="C1331" i="37"/>
  <c r="B1331" i="37"/>
  <c r="R1330" i="37"/>
  <c r="Q1330" i="37"/>
  <c r="P1330" i="37"/>
  <c r="O1330" i="37"/>
  <c r="N1330" i="37"/>
  <c r="M1330" i="37"/>
  <c r="L1330" i="37"/>
  <c r="K1330" i="37"/>
  <c r="J1330" i="37"/>
  <c r="I1330" i="37"/>
  <c r="H1330" i="37"/>
  <c r="G1330" i="37"/>
  <c r="F1330" i="37"/>
  <c r="E1330" i="37"/>
  <c r="D1330" i="37"/>
  <c r="C1330" i="37"/>
  <c r="B1330" i="37"/>
  <c r="R1329" i="37"/>
  <c r="Q1329" i="37"/>
  <c r="P1329" i="37"/>
  <c r="O1329" i="37"/>
  <c r="N1329" i="37"/>
  <c r="M1329" i="37"/>
  <c r="L1329" i="37"/>
  <c r="K1329" i="37"/>
  <c r="J1329" i="37"/>
  <c r="I1329" i="37"/>
  <c r="H1329" i="37"/>
  <c r="G1329" i="37"/>
  <c r="F1329" i="37"/>
  <c r="E1329" i="37"/>
  <c r="D1329" i="37"/>
  <c r="C1329" i="37"/>
  <c r="B1329" i="37"/>
  <c r="R1328" i="37"/>
  <c r="Q1328" i="37"/>
  <c r="P1328" i="37"/>
  <c r="O1328" i="37"/>
  <c r="N1328" i="37"/>
  <c r="M1328" i="37"/>
  <c r="L1328" i="37"/>
  <c r="K1328" i="37"/>
  <c r="J1328" i="37"/>
  <c r="I1328" i="37"/>
  <c r="H1328" i="37"/>
  <c r="G1328" i="37"/>
  <c r="F1328" i="37"/>
  <c r="E1328" i="37"/>
  <c r="D1328" i="37"/>
  <c r="C1328" i="37"/>
  <c r="B1328" i="37"/>
  <c r="R1327" i="37"/>
  <c r="Q1327" i="37"/>
  <c r="P1327" i="37"/>
  <c r="O1327" i="37"/>
  <c r="N1327" i="37"/>
  <c r="M1327" i="37"/>
  <c r="L1327" i="37"/>
  <c r="K1327" i="37"/>
  <c r="J1327" i="37"/>
  <c r="I1327" i="37"/>
  <c r="H1327" i="37"/>
  <c r="G1327" i="37"/>
  <c r="F1327" i="37"/>
  <c r="E1327" i="37"/>
  <c r="D1327" i="37"/>
  <c r="C1327" i="37"/>
  <c r="B1327" i="37"/>
  <c r="R1326" i="37"/>
  <c r="Q1326" i="37"/>
  <c r="P1326" i="37"/>
  <c r="O1326" i="37"/>
  <c r="N1326" i="37"/>
  <c r="M1326" i="37"/>
  <c r="L1326" i="37"/>
  <c r="K1326" i="37"/>
  <c r="J1326" i="37"/>
  <c r="I1326" i="37"/>
  <c r="H1326" i="37"/>
  <c r="G1326" i="37"/>
  <c r="F1326" i="37"/>
  <c r="E1326" i="37"/>
  <c r="D1326" i="37"/>
  <c r="C1326" i="37"/>
  <c r="B1326" i="37"/>
  <c r="R1325" i="37"/>
  <c r="Q1325" i="37"/>
  <c r="P1325" i="37"/>
  <c r="O1325" i="37"/>
  <c r="N1325" i="37"/>
  <c r="M1325" i="37"/>
  <c r="L1325" i="37"/>
  <c r="K1325" i="37"/>
  <c r="J1325" i="37"/>
  <c r="I1325" i="37"/>
  <c r="H1325" i="37"/>
  <c r="G1325" i="37"/>
  <c r="F1325" i="37"/>
  <c r="E1325" i="37"/>
  <c r="D1325" i="37"/>
  <c r="C1325" i="37"/>
  <c r="B1325" i="37"/>
  <c r="R1324" i="37"/>
  <c r="Q1324" i="37"/>
  <c r="P1324" i="37"/>
  <c r="O1324" i="37"/>
  <c r="N1324" i="37"/>
  <c r="M1324" i="37"/>
  <c r="L1324" i="37"/>
  <c r="K1324" i="37"/>
  <c r="J1324" i="37"/>
  <c r="I1324" i="37"/>
  <c r="H1324" i="37"/>
  <c r="G1324" i="37"/>
  <c r="F1324" i="37"/>
  <c r="E1324" i="37"/>
  <c r="D1324" i="37"/>
  <c r="C1324" i="37"/>
  <c r="B1324" i="37"/>
  <c r="R1323" i="37"/>
  <c r="Q1323" i="37"/>
  <c r="P1323" i="37"/>
  <c r="O1323" i="37"/>
  <c r="N1323" i="37"/>
  <c r="M1323" i="37"/>
  <c r="L1323" i="37"/>
  <c r="K1323" i="37"/>
  <c r="J1323" i="37"/>
  <c r="I1323" i="37"/>
  <c r="H1323" i="37"/>
  <c r="G1323" i="37"/>
  <c r="F1323" i="37"/>
  <c r="E1323" i="37"/>
  <c r="D1323" i="37"/>
  <c r="C1323" i="37"/>
  <c r="B1323" i="37"/>
  <c r="R1322" i="37"/>
  <c r="Q1322" i="37"/>
  <c r="P1322" i="37"/>
  <c r="O1322" i="37"/>
  <c r="N1322" i="37"/>
  <c r="M1322" i="37"/>
  <c r="L1322" i="37"/>
  <c r="K1322" i="37"/>
  <c r="J1322" i="37"/>
  <c r="I1322" i="37"/>
  <c r="H1322" i="37"/>
  <c r="G1322" i="37"/>
  <c r="F1322" i="37"/>
  <c r="E1322" i="37"/>
  <c r="D1322" i="37"/>
  <c r="C1322" i="37"/>
  <c r="B1322" i="37"/>
  <c r="R1321" i="37"/>
  <c r="Q1321" i="37"/>
  <c r="P1321" i="37"/>
  <c r="O1321" i="37"/>
  <c r="N1321" i="37"/>
  <c r="M1321" i="37"/>
  <c r="L1321" i="37"/>
  <c r="K1321" i="37"/>
  <c r="J1321" i="37"/>
  <c r="I1321" i="37"/>
  <c r="H1321" i="37"/>
  <c r="G1321" i="37"/>
  <c r="F1321" i="37"/>
  <c r="E1321" i="37"/>
  <c r="D1321" i="37"/>
  <c r="C1321" i="37"/>
  <c r="B1321" i="37"/>
  <c r="R1320" i="37"/>
  <c r="Q1320" i="37"/>
  <c r="P1320" i="37"/>
  <c r="O1320" i="37"/>
  <c r="N1320" i="37"/>
  <c r="M1320" i="37"/>
  <c r="L1320" i="37"/>
  <c r="K1320" i="37"/>
  <c r="J1320" i="37"/>
  <c r="I1320" i="37"/>
  <c r="H1320" i="37"/>
  <c r="G1320" i="37"/>
  <c r="F1320" i="37"/>
  <c r="E1320" i="37"/>
  <c r="D1320" i="37"/>
  <c r="C1320" i="37"/>
  <c r="B1320" i="37"/>
  <c r="R1319" i="37"/>
  <c r="Q1319" i="37"/>
  <c r="P1319" i="37"/>
  <c r="O1319" i="37"/>
  <c r="N1319" i="37"/>
  <c r="M1319" i="37"/>
  <c r="L1319" i="37"/>
  <c r="K1319" i="37"/>
  <c r="J1319" i="37"/>
  <c r="I1319" i="37"/>
  <c r="H1319" i="37"/>
  <c r="G1319" i="37"/>
  <c r="F1319" i="37"/>
  <c r="E1319" i="37"/>
  <c r="D1319" i="37"/>
  <c r="C1319" i="37"/>
  <c r="B1319" i="37"/>
  <c r="R1318" i="37"/>
  <c r="Q1318" i="37"/>
  <c r="P1318" i="37"/>
  <c r="O1318" i="37"/>
  <c r="N1318" i="37"/>
  <c r="M1318" i="37"/>
  <c r="L1318" i="37"/>
  <c r="K1318" i="37"/>
  <c r="J1318" i="37"/>
  <c r="I1318" i="37"/>
  <c r="H1318" i="37"/>
  <c r="G1318" i="37"/>
  <c r="F1318" i="37"/>
  <c r="E1318" i="37"/>
  <c r="D1318" i="37"/>
  <c r="C1318" i="37"/>
  <c r="B1318" i="37"/>
  <c r="R1317" i="37"/>
  <c r="Q1317" i="37"/>
  <c r="P1317" i="37"/>
  <c r="O1317" i="37"/>
  <c r="N1317" i="37"/>
  <c r="M1317" i="37"/>
  <c r="L1317" i="37"/>
  <c r="K1317" i="37"/>
  <c r="J1317" i="37"/>
  <c r="I1317" i="37"/>
  <c r="H1317" i="37"/>
  <c r="G1317" i="37"/>
  <c r="F1317" i="37"/>
  <c r="E1317" i="37"/>
  <c r="D1317" i="37"/>
  <c r="C1317" i="37"/>
  <c r="B1317" i="37"/>
  <c r="R1316" i="37"/>
  <c r="Q1316" i="37"/>
  <c r="P1316" i="37"/>
  <c r="O1316" i="37"/>
  <c r="N1316" i="37"/>
  <c r="M1316" i="37"/>
  <c r="L1316" i="37"/>
  <c r="K1316" i="37"/>
  <c r="J1316" i="37"/>
  <c r="I1316" i="37"/>
  <c r="H1316" i="37"/>
  <c r="G1316" i="37"/>
  <c r="F1316" i="37"/>
  <c r="E1316" i="37"/>
  <c r="D1316" i="37"/>
  <c r="C1316" i="37"/>
  <c r="B1316" i="37"/>
  <c r="R1315" i="37"/>
  <c r="Q1315" i="37"/>
  <c r="P1315" i="37"/>
  <c r="O1315" i="37"/>
  <c r="N1315" i="37"/>
  <c r="M1315" i="37"/>
  <c r="L1315" i="37"/>
  <c r="K1315" i="37"/>
  <c r="J1315" i="37"/>
  <c r="I1315" i="37"/>
  <c r="H1315" i="37"/>
  <c r="G1315" i="37"/>
  <c r="F1315" i="37"/>
  <c r="E1315" i="37"/>
  <c r="D1315" i="37"/>
  <c r="C1315" i="37"/>
  <c r="B1315" i="37"/>
  <c r="R1314" i="37"/>
  <c r="Q1314" i="37"/>
  <c r="P1314" i="37"/>
  <c r="O1314" i="37"/>
  <c r="N1314" i="37"/>
  <c r="M1314" i="37"/>
  <c r="L1314" i="37"/>
  <c r="K1314" i="37"/>
  <c r="J1314" i="37"/>
  <c r="I1314" i="37"/>
  <c r="H1314" i="37"/>
  <c r="G1314" i="37"/>
  <c r="F1314" i="37"/>
  <c r="E1314" i="37"/>
  <c r="D1314" i="37"/>
  <c r="C1314" i="37"/>
  <c r="B1314" i="37"/>
  <c r="R1313" i="37"/>
  <c r="Q1313" i="37"/>
  <c r="P1313" i="37"/>
  <c r="O1313" i="37"/>
  <c r="N1313" i="37"/>
  <c r="M1313" i="37"/>
  <c r="L1313" i="37"/>
  <c r="K1313" i="37"/>
  <c r="J1313" i="37"/>
  <c r="I1313" i="37"/>
  <c r="H1313" i="37"/>
  <c r="G1313" i="37"/>
  <c r="F1313" i="37"/>
  <c r="E1313" i="37"/>
  <c r="D1313" i="37"/>
  <c r="C1313" i="37"/>
  <c r="B1313" i="37"/>
  <c r="R1312" i="37"/>
  <c r="Q1312" i="37"/>
  <c r="P1312" i="37"/>
  <c r="O1312" i="37"/>
  <c r="N1312" i="37"/>
  <c r="M1312" i="37"/>
  <c r="L1312" i="37"/>
  <c r="K1312" i="37"/>
  <c r="J1312" i="37"/>
  <c r="I1312" i="37"/>
  <c r="H1312" i="37"/>
  <c r="G1312" i="37"/>
  <c r="F1312" i="37"/>
  <c r="E1312" i="37"/>
  <c r="D1312" i="37"/>
  <c r="C1312" i="37"/>
  <c r="B1312" i="37"/>
  <c r="R1311" i="37"/>
  <c r="Q1311" i="37"/>
  <c r="P1311" i="37"/>
  <c r="O1311" i="37"/>
  <c r="N1311" i="37"/>
  <c r="M1311" i="37"/>
  <c r="L1311" i="37"/>
  <c r="K1311" i="37"/>
  <c r="J1311" i="37"/>
  <c r="I1311" i="37"/>
  <c r="H1311" i="37"/>
  <c r="G1311" i="37"/>
  <c r="F1311" i="37"/>
  <c r="E1311" i="37"/>
  <c r="D1311" i="37"/>
  <c r="C1311" i="37"/>
  <c r="B1311" i="37"/>
  <c r="R1310" i="37"/>
  <c r="Q1310" i="37"/>
  <c r="P1310" i="37"/>
  <c r="O1310" i="37"/>
  <c r="N1310" i="37"/>
  <c r="M1310" i="37"/>
  <c r="L1310" i="37"/>
  <c r="K1310" i="37"/>
  <c r="J1310" i="37"/>
  <c r="I1310" i="37"/>
  <c r="H1310" i="37"/>
  <c r="G1310" i="37"/>
  <c r="F1310" i="37"/>
  <c r="E1310" i="37"/>
  <c r="D1310" i="37"/>
  <c r="C1310" i="37"/>
  <c r="B1310" i="37"/>
  <c r="R1309" i="37"/>
  <c r="Q1309" i="37"/>
  <c r="P1309" i="37"/>
  <c r="O1309" i="37"/>
  <c r="N1309" i="37"/>
  <c r="M1309" i="37"/>
  <c r="L1309" i="37"/>
  <c r="K1309" i="37"/>
  <c r="J1309" i="37"/>
  <c r="I1309" i="37"/>
  <c r="H1309" i="37"/>
  <c r="G1309" i="37"/>
  <c r="F1309" i="37"/>
  <c r="E1309" i="37"/>
  <c r="D1309" i="37"/>
  <c r="C1309" i="37"/>
  <c r="B1309" i="37"/>
  <c r="R1308" i="37"/>
  <c r="Q1308" i="37"/>
  <c r="P1308" i="37"/>
  <c r="O1308" i="37"/>
  <c r="N1308" i="37"/>
  <c r="M1308" i="37"/>
  <c r="L1308" i="37"/>
  <c r="K1308" i="37"/>
  <c r="J1308" i="37"/>
  <c r="I1308" i="37"/>
  <c r="H1308" i="37"/>
  <c r="G1308" i="37"/>
  <c r="F1308" i="37"/>
  <c r="E1308" i="37"/>
  <c r="D1308" i="37"/>
  <c r="C1308" i="37"/>
  <c r="B1308" i="37"/>
  <c r="R1307" i="37"/>
  <c r="Q1307" i="37"/>
  <c r="P1307" i="37"/>
  <c r="O1307" i="37"/>
  <c r="N1307" i="37"/>
  <c r="M1307" i="37"/>
  <c r="L1307" i="37"/>
  <c r="K1307" i="37"/>
  <c r="J1307" i="37"/>
  <c r="I1307" i="37"/>
  <c r="H1307" i="37"/>
  <c r="G1307" i="37"/>
  <c r="F1307" i="37"/>
  <c r="E1307" i="37"/>
  <c r="D1307" i="37"/>
  <c r="C1307" i="37"/>
  <c r="B1307" i="37"/>
  <c r="R1306" i="37"/>
  <c r="Q1306" i="37"/>
  <c r="P1306" i="37"/>
  <c r="O1306" i="37"/>
  <c r="N1306" i="37"/>
  <c r="M1306" i="37"/>
  <c r="L1306" i="37"/>
  <c r="K1306" i="37"/>
  <c r="J1306" i="37"/>
  <c r="I1306" i="37"/>
  <c r="H1306" i="37"/>
  <c r="G1306" i="37"/>
  <c r="F1306" i="37"/>
  <c r="E1306" i="37"/>
  <c r="D1306" i="37"/>
  <c r="C1306" i="37"/>
  <c r="B1306" i="37"/>
  <c r="R1305" i="37"/>
  <c r="Q1305" i="37"/>
  <c r="P1305" i="37"/>
  <c r="O1305" i="37"/>
  <c r="N1305" i="37"/>
  <c r="M1305" i="37"/>
  <c r="L1305" i="37"/>
  <c r="K1305" i="37"/>
  <c r="J1305" i="37"/>
  <c r="I1305" i="37"/>
  <c r="H1305" i="37"/>
  <c r="G1305" i="37"/>
  <c r="F1305" i="37"/>
  <c r="E1305" i="37"/>
  <c r="D1305" i="37"/>
  <c r="C1305" i="37"/>
  <c r="B1305" i="37"/>
  <c r="R1304" i="37"/>
  <c r="Q1304" i="37"/>
  <c r="P1304" i="37"/>
  <c r="O1304" i="37"/>
  <c r="N1304" i="37"/>
  <c r="M1304" i="37"/>
  <c r="L1304" i="37"/>
  <c r="K1304" i="37"/>
  <c r="J1304" i="37"/>
  <c r="I1304" i="37"/>
  <c r="H1304" i="37"/>
  <c r="G1304" i="37"/>
  <c r="F1304" i="37"/>
  <c r="E1304" i="37"/>
  <c r="D1304" i="37"/>
  <c r="C1304" i="37"/>
  <c r="B1304" i="37"/>
  <c r="R1303" i="37"/>
  <c r="Q1303" i="37"/>
  <c r="P1303" i="37"/>
  <c r="O1303" i="37"/>
  <c r="N1303" i="37"/>
  <c r="M1303" i="37"/>
  <c r="L1303" i="37"/>
  <c r="K1303" i="37"/>
  <c r="J1303" i="37"/>
  <c r="I1303" i="37"/>
  <c r="H1303" i="37"/>
  <c r="G1303" i="37"/>
  <c r="F1303" i="37"/>
  <c r="E1303" i="37"/>
  <c r="D1303" i="37"/>
  <c r="C1303" i="37"/>
  <c r="B1303" i="37"/>
  <c r="R1302" i="37"/>
  <c r="Q1302" i="37"/>
  <c r="P1302" i="37"/>
  <c r="O1302" i="37"/>
  <c r="N1302" i="37"/>
  <c r="M1302" i="37"/>
  <c r="L1302" i="37"/>
  <c r="K1302" i="37"/>
  <c r="J1302" i="37"/>
  <c r="I1302" i="37"/>
  <c r="H1302" i="37"/>
  <c r="G1302" i="37"/>
  <c r="F1302" i="37"/>
  <c r="E1302" i="37"/>
  <c r="D1302" i="37"/>
  <c r="C1302" i="37"/>
  <c r="B1302" i="37"/>
  <c r="R1301" i="37"/>
  <c r="Q1301" i="37"/>
  <c r="P1301" i="37"/>
  <c r="O1301" i="37"/>
  <c r="N1301" i="37"/>
  <c r="M1301" i="37"/>
  <c r="L1301" i="37"/>
  <c r="K1301" i="37"/>
  <c r="J1301" i="37"/>
  <c r="I1301" i="37"/>
  <c r="H1301" i="37"/>
  <c r="G1301" i="37"/>
  <c r="F1301" i="37"/>
  <c r="E1301" i="37"/>
  <c r="D1301" i="37"/>
  <c r="C1301" i="37"/>
  <c r="B1301" i="37"/>
  <c r="R1300" i="37"/>
  <c r="Q1300" i="37"/>
  <c r="P1300" i="37"/>
  <c r="O1300" i="37"/>
  <c r="N1300" i="37"/>
  <c r="M1300" i="37"/>
  <c r="L1300" i="37"/>
  <c r="K1300" i="37"/>
  <c r="J1300" i="37"/>
  <c r="I1300" i="37"/>
  <c r="H1300" i="37"/>
  <c r="G1300" i="37"/>
  <c r="F1300" i="37"/>
  <c r="E1300" i="37"/>
  <c r="D1300" i="37"/>
  <c r="C1300" i="37"/>
  <c r="B1300" i="37"/>
  <c r="R1299" i="37"/>
  <c r="Q1299" i="37"/>
  <c r="P1299" i="37"/>
  <c r="O1299" i="37"/>
  <c r="N1299" i="37"/>
  <c r="M1299" i="37"/>
  <c r="L1299" i="37"/>
  <c r="K1299" i="37"/>
  <c r="J1299" i="37"/>
  <c r="I1299" i="37"/>
  <c r="H1299" i="37"/>
  <c r="G1299" i="37"/>
  <c r="F1299" i="37"/>
  <c r="E1299" i="37"/>
  <c r="D1299" i="37"/>
  <c r="C1299" i="37"/>
  <c r="B1299" i="37"/>
  <c r="R1298" i="37"/>
  <c r="Q1298" i="37"/>
  <c r="P1298" i="37"/>
  <c r="O1298" i="37"/>
  <c r="N1298" i="37"/>
  <c r="M1298" i="37"/>
  <c r="L1298" i="37"/>
  <c r="K1298" i="37"/>
  <c r="J1298" i="37"/>
  <c r="I1298" i="37"/>
  <c r="H1298" i="37"/>
  <c r="G1298" i="37"/>
  <c r="F1298" i="37"/>
  <c r="E1298" i="37"/>
  <c r="D1298" i="37"/>
  <c r="C1298" i="37"/>
  <c r="B1298" i="37"/>
  <c r="R1297" i="37"/>
  <c r="Q1297" i="37"/>
  <c r="P1297" i="37"/>
  <c r="O1297" i="37"/>
  <c r="N1297" i="37"/>
  <c r="M1297" i="37"/>
  <c r="L1297" i="37"/>
  <c r="K1297" i="37"/>
  <c r="J1297" i="37"/>
  <c r="I1297" i="37"/>
  <c r="H1297" i="37"/>
  <c r="G1297" i="37"/>
  <c r="F1297" i="37"/>
  <c r="E1297" i="37"/>
  <c r="D1297" i="37"/>
  <c r="C1297" i="37"/>
  <c r="B1297" i="37"/>
  <c r="R1296" i="37"/>
  <c r="Q1296" i="37"/>
  <c r="P1296" i="37"/>
  <c r="O1296" i="37"/>
  <c r="N1296" i="37"/>
  <c r="M1296" i="37"/>
  <c r="L1296" i="37"/>
  <c r="K1296" i="37"/>
  <c r="J1296" i="37"/>
  <c r="I1296" i="37"/>
  <c r="H1296" i="37"/>
  <c r="G1296" i="37"/>
  <c r="F1296" i="37"/>
  <c r="E1296" i="37"/>
  <c r="D1296" i="37"/>
  <c r="C1296" i="37"/>
  <c r="B1296" i="37"/>
  <c r="R1295" i="37"/>
  <c r="Q1295" i="37"/>
  <c r="P1295" i="37"/>
  <c r="O1295" i="37"/>
  <c r="N1295" i="37"/>
  <c r="M1295" i="37"/>
  <c r="L1295" i="37"/>
  <c r="K1295" i="37"/>
  <c r="J1295" i="37"/>
  <c r="I1295" i="37"/>
  <c r="H1295" i="37"/>
  <c r="G1295" i="37"/>
  <c r="F1295" i="37"/>
  <c r="E1295" i="37"/>
  <c r="D1295" i="37"/>
  <c r="C1295" i="37"/>
  <c r="B1295" i="37"/>
  <c r="R1294" i="37"/>
  <c r="Q1294" i="37"/>
  <c r="P1294" i="37"/>
  <c r="O1294" i="37"/>
  <c r="N1294" i="37"/>
  <c r="M1294" i="37"/>
  <c r="L1294" i="37"/>
  <c r="K1294" i="37"/>
  <c r="J1294" i="37"/>
  <c r="I1294" i="37"/>
  <c r="H1294" i="37"/>
  <c r="G1294" i="37"/>
  <c r="F1294" i="37"/>
  <c r="E1294" i="37"/>
  <c r="D1294" i="37"/>
  <c r="C1294" i="37"/>
  <c r="B1294" i="37"/>
  <c r="R1293" i="37"/>
  <c r="Q1293" i="37"/>
  <c r="P1293" i="37"/>
  <c r="O1293" i="37"/>
  <c r="N1293" i="37"/>
  <c r="M1293" i="37"/>
  <c r="L1293" i="37"/>
  <c r="K1293" i="37"/>
  <c r="J1293" i="37"/>
  <c r="I1293" i="37"/>
  <c r="H1293" i="37"/>
  <c r="G1293" i="37"/>
  <c r="F1293" i="37"/>
  <c r="E1293" i="37"/>
  <c r="D1293" i="37"/>
  <c r="C1293" i="37"/>
  <c r="B1293" i="37"/>
  <c r="R1292" i="37"/>
  <c r="Q1292" i="37"/>
  <c r="P1292" i="37"/>
  <c r="O1292" i="37"/>
  <c r="N1292" i="37"/>
  <c r="M1292" i="37"/>
  <c r="L1292" i="37"/>
  <c r="K1292" i="37"/>
  <c r="J1292" i="37"/>
  <c r="I1292" i="37"/>
  <c r="H1292" i="37"/>
  <c r="G1292" i="37"/>
  <c r="F1292" i="37"/>
  <c r="E1292" i="37"/>
  <c r="D1292" i="37"/>
  <c r="C1292" i="37"/>
  <c r="B1292" i="37"/>
  <c r="R1291" i="37"/>
  <c r="Q1291" i="37"/>
  <c r="P1291" i="37"/>
  <c r="O1291" i="37"/>
  <c r="N1291" i="37"/>
  <c r="M1291" i="37"/>
  <c r="L1291" i="37"/>
  <c r="K1291" i="37"/>
  <c r="J1291" i="37"/>
  <c r="I1291" i="37"/>
  <c r="H1291" i="37"/>
  <c r="G1291" i="37"/>
  <c r="F1291" i="37"/>
  <c r="E1291" i="37"/>
  <c r="D1291" i="37"/>
  <c r="C1291" i="37"/>
  <c r="B1291" i="37"/>
  <c r="R1290" i="37"/>
  <c r="Q1290" i="37"/>
  <c r="P1290" i="37"/>
  <c r="O1290" i="37"/>
  <c r="N1290" i="37"/>
  <c r="M1290" i="37"/>
  <c r="L1290" i="37"/>
  <c r="K1290" i="37"/>
  <c r="J1290" i="37"/>
  <c r="I1290" i="37"/>
  <c r="H1290" i="37"/>
  <c r="G1290" i="37"/>
  <c r="F1290" i="37"/>
  <c r="E1290" i="37"/>
  <c r="D1290" i="37"/>
  <c r="C1290" i="37"/>
  <c r="B1290" i="37"/>
  <c r="R1289" i="37"/>
  <c r="Q1289" i="37"/>
  <c r="P1289" i="37"/>
  <c r="O1289" i="37"/>
  <c r="N1289" i="37"/>
  <c r="M1289" i="37"/>
  <c r="L1289" i="37"/>
  <c r="K1289" i="37"/>
  <c r="J1289" i="37"/>
  <c r="I1289" i="37"/>
  <c r="H1289" i="37"/>
  <c r="G1289" i="37"/>
  <c r="F1289" i="37"/>
  <c r="E1289" i="37"/>
  <c r="D1289" i="37"/>
  <c r="C1289" i="37"/>
  <c r="B1289" i="37"/>
  <c r="R1288" i="37"/>
  <c r="Q1288" i="37"/>
  <c r="P1288" i="37"/>
  <c r="O1288" i="37"/>
  <c r="N1288" i="37"/>
  <c r="M1288" i="37"/>
  <c r="L1288" i="37"/>
  <c r="K1288" i="37"/>
  <c r="J1288" i="37"/>
  <c r="I1288" i="37"/>
  <c r="H1288" i="37"/>
  <c r="G1288" i="37"/>
  <c r="F1288" i="37"/>
  <c r="E1288" i="37"/>
  <c r="D1288" i="37"/>
  <c r="C1288" i="37"/>
  <c r="B1288" i="37"/>
  <c r="R1287" i="37"/>
  <c r="Q1287" i="37"/>
  <c r="P1287" i="37"/>
  <c r="O1287" i="37"/>
  <c r="N1287" i="37"/>
  <c r="M1287" i="37"/>
  <c r="L1287" i="37"/>
  <c r="K1287" i="37"/>
  <c r="J1287" i="37"/>
  <c r="I1287" i="37"/>
  <c r="H1287" i="37"/>
  <c r="G1287" i="37"/>
  <c r="F1287" i="37"/>
  <c r="E1287" i="37"/>
  <c r="D1287" i="37"/>
  <c r="C1287" i="37"/>
  <c r="B1287" i="37"/>
  <c r="R1286" i="37"/>
  <c r="Q1286" i="37"/>
  <c r="P1286" i="37"/>
  <c r="O1286" i="37"/>
  <c r="N1286" i="37"/>
  <c r="M1286" i="37"/>
  <c r="L1286" i="37"/>
  <c r="K1286" i="37"/>
  <c r="J1286" i="37"/>
  <c r="I1286" i="37"/>
  <c r="H1286" i="37"/>
  <c r="G1286" i="37"/>
  <c r="F1286" i="37"/>
  <c r="E1286" i="37"/>
  <c r="D1286" i="37"/>
  <c r="C1286" i="37"/>
  <c r="B1286" i="37"/>
  <c r="R1285" i="37"/>
  <c r="Q1285" i="37"/>
  <c r="P1285" i="37"/>
  <c r="O1285" i="37"/>
  <c r="N1285" i="37"/>
  <c r="M1285" i="37"/>
  <c r="L1285" i="37"/>
  <c r="K1285" i="37"/>
  <c r="J1285" i="37"/>
  <c r="I1285" i="37"/>
  <c r="H1285" i="37"/>
  <c r="G1285" i="37"/>
  <c r="F1285" i="37"/>
  <c r="E1285" i="37"/>
  <c r="D1285" i="37"/>
  <c r="C1285" i="37"/>
  <c r="B1285" i="37"/>
  <c r="R1284" i="37"/>
  <c r="Q1284" i="37"/>
  <c r="P1284" i="37"/>
  <c r="O1284" i="37"/>
  <c r="N1284" i="37"/>
  <c r="M1284" i="37"/>
  <c r="L1284" i="37"/>
  <c r="K1284" i="37"/>
  <c r="J1284" i="37"/>
  <c r="I1284" i="37"/>
  <c r="H1284" i="37"/>
  <c r="G1284" i="37"/>
  <c r="F1284" i="37"/>
  <c r="E1284" i="37"/>
  <c r="D1284" i="37"/>
  <c r="C1284" i="37"/>
  <c r="B1284" i="37"/>
  <c r="R1283" i="37"/>
  <c r="Q1283" i="37"/>
  <c r="P1283" i="37"/>
  <c r="O1283" i="37"/>
  <c r="N1283" i="37"/>
  <c r="M1283" i="37"/>
  <c r="L1283" i="37"/>
  <c r="K1283" i="37"/>
  <c r="J1283" i="37"/>
  <c r="I1283" i="37"/>
  <c r="H1283" i="37"/>
  <c r="G1283" i="37"/>
  <c r="F1283" i="37"/>
  <c r="E1283" i="37"/>
  <c r="D1283" i="37"/>
  <c r="C1283" i="37"/>
  <c r="B1283" i="37"/>
  <c r="R1282" i="37"/>
  <c r="Q1282" i="37"/>
  <c r="P1282" i="37"/>
  <c r="O1282" i="37"/>
  <c r="N1282" i="37"/>
  <c r="M1282" i="37"/>
  <c r="L1282" i="37"/>
  <c r="K1282" i="37"/>
  <c r="J1282" i="37"/>
  <c r="I1282" i="37"/>
  <c r="H1282" i="37"/>
  <c r="G1282" i="37"/>
  <c r="F1282" i="37"/>
  <c r="E1282" i="37"/>
  <c r="D1282" i="37"/>
  <c r="C1282" i="37"/>
  <c r="B1282" i="37"/>
  <c r="R1281" i="37"/>
  <c r="Q1281" i="37"/>
  <c r="P1281" i="37"/>
  <c r="O1281" i="37"/>
  <c r="N1281" i="37"/>
  <c r="M1281" i="37"/>
  <c r="L1281" i="37"/>
  <c r="K1281" i="37"/>
  <c r="J1281" i="37"/>
  <c r="I1281" i="37"/>
  <c r="H1281" i="37"/>
  <c r="G1281" i="37"/>
  <c r="F1281" i="37"/>
  <c r="E1281" i="37"/>
  <c r="D1281" i="37"/>
  <c r="C1281" i="37"/>
  <c r="B1281" i="37"/>
  <c r="R1280" i="37"/>
  <c r="Q1280" i="37"/>
  <c r="P1280" i="37"/>
  <c r="O1280" i="37"/>
  <c r="N1280" i="37"/>
  <c r="M1280" i="37"/>
  <c r="L1280" i="37"/>
  <c r="K1280" i="37"/>
  <c r="J1280" i="37"/>
  <c r="I1280" i="37"/>
  <c r="H1280" i="37"/>
  <c r="G1280" i="37"/>
  <c r="F1280" i="37"/>
  <c r="E1280" i="37"/>
  <c r="D1280" i="37"/>
  <c r="C1280" i="37"/>
  <c r="B1280" i="37"/>
  <c r="R1279" i="37"/>
  <c r="Q1279" i="37"/>
  <c r="P1279" i="37"/>
  <c r="O1279" i="37"/>
  <c r="N1279" i="37"/>
  <c r="M1279" i="37"/>
  <c r="L1279" i="37"/>
  <c r="K1279" i="37"/>
  <c r="J1279" i="37"/>
  <c r="I1279" i="37"/>
  <c r="H1279" i="37"/>
  <c r="G1279" i="37"/>
  <c r="F1279" i="37"/>
  <c r="E1279" i="37"/>
  <c r="D1279" i="37"/>
  <c r="C1279" i="37"/>
  <c r="B1279" i="37"/>
  <c r="R1278" i="37"/>
  <c r="Q1278" i="37"/>
  <c r="P1278" i="37"/>
  <c r="O1278" i="37"/>
  <c r="N1278" i="37"/>
  <c r="M1278" i="37"/>
  <c r="L1278" i="37"/>
  <c r="K1278" i="37"/>
  <c r="J1278" i="37"/>
  <c r="I1278" i="37"/>
  <c r="H1278" i="37"/>
  <c r="G1278" i="37"/>
  <c r="F1278" i="37"/>
  <c r="E1278" i="37"/>
  <c r="D1278" i="37"/>
  <c r="C1278" i="37"/>
  <c r="B1278" i="37"/>
  <c r="R1277" i="37"/>
  <c r="Q1277" i="37"/>
  <c r="P1277" i="37"/>
  <c r="O1277" i="37"/>
  <c r="N1277" i="37"/>
  <c r="M1277" i="37"/>
  <c r="L1277" i="37"/>
  <c r="K1277" i="37"/>
  <c r="J1277" i="37"/>
  <c r="I1277" i="37"/>
  <c r="H1277" i="37"/>
  <c r="G1277" i="37"/>
  <c r="F1277" i="37"/>
  <c r="E1277" i="37"/>
  <c r="D1277" i="37"/>
  <c r="C1277" i="37"/>
  <c r="B1277" i="37"/>
  <c r="R1276" i="37"/>
  <c r="Q1276" i="37"/>
  <c r="P1276" i="37"/>
  <c r="O1276" i="37"/>
  <c r="N1276" i="37"/>
  <c r="M1276" i="37"/>
  <c r="L1276" i="37"/>
  <c r="K1276" i="37"/>
  <c r="J1276" i="37"/>
  <c r="I1276" i="37"/>
  <c r="H1276" i="37"/>
  <c r="G1276" i="37"/>
  <c r="F1276" i="37"/>
  <c r="E1276" i="37"/>
  <c r="D1276" i="37"/>
  <c r="C1276" i="37"/>
  <c r="B1276" i="37"/>
  <c r="R1275" i="37"/>
  <c r="Q1275" i="37"/>
  <c r="P1275" i="37"/>
  <c r="O1275" i="37"/>
  <c r="N1275" i="37"/>
  <c r="M1275" i="37"/>
  <c r="L1275" i="37"/>
  <c r="K1275" i="37"/>
  <c r="J1275" i="37"/>
  <c r="I1275" i="37"/>
  <c r="H1275" i="37"/>
  <c r="G1275" i="37"/>
  <c r="F1275" i="37"/>
  <c r="E1275" i="37"/>
  <c r="D1275" i="37"/>
  <c r="C1275" i="37"/>
  <c r="B1275" i="37"/>
  <c r="R1274" i="37"/>
  <c r="Q1274" i="37"/>
  <c r="P1274" i="37"/>
  <c r="O1274" i="37"/>
  <c r="N1274" i="37"/>
  <c r="M1274" i="37"/>
  <c r="L1274" i="37"/>
  <c r="K1274" i="37"/>
  <c r="J1274" i="37"/>
  <c r="I1274" i="37"/>
  <c r="H1274" i="37"/>
  <c r="G1274" i="37"/>
  <c r="F1274" i="37"/>
  <c r="E1274" i="37"/>
  <c r="D1274" i="37"/>
  <c r="C1274" i="37"/>
  <c r="B1274" i="37"/>
  <c r="R1273" i="37"/>
  <c r="Q1273" i="37"/>
  <c r="P1273" i="37"/>
  <c r="O1273" i="37"/>
  <c r="N1273" i="37"/>
  <c r="M1273" i="37"/>
  <c r="L1273" i="37"/>
  <c r="K1273" i="37"/>
  <c r="J1273" i="37"/>
  <c r="I1273" i="37"/>
  <c r="H1273" i="37"/>
  <c r="G1273" i="37"/>
  <c r="F1273" i="37"/>
  <c r="E1273" i="37"/>
  <c r="D1273" i="37"/>
  <c r="C1273" i="37"/>
  <c r="B1273" i="37"/>
  <c r="R1272" i="37"/>
  <c r="Q1272" i="37"/>
  <c r="P1272" i="37"/>
  <c r="O1272" i="37"/>
  <c r="N1272" i="37"/>
  <c r="M1272" i="37"/>
  <c r="L1272" i="37"/>
  <c r="K1272" i="37"/>
  <c r="J1272" i="37"/>
  <c r="I1272" i="37"/>
  <c r="H1272" i="37"/>
  <c r="G1272" i="37"/>
  <c r="F1272" i="37"/>
  <c r="E1272" i="37"/>
  <c r="D1272" i="37"/>
  <c r="C1272" i="37"/>
  <c r="B1272" i="37"/>
  <c r="R1271" i="37"/>
  <c r="Q1271" i="37"/>
  <c r="P1271" i="37"/>
  <c r="O1271" i="37"/>
  <c r="N1271" i="37"/>
  <c r="M1271" i="37"/>
  <c r="L1271" i="37"/>
  <c r="K1271" i="37"/>
  <c r="J1271" i="37"/>
  <c r="I1271" i="37"/>
  <c r="H1271" i="37"/>
  <c r="G1271" i="37"/>
  <c r="F1271" i="37"/>
  <c r="E1271" i="37"/>
  <c r="D1271" i="37"/>
  <c r="C1271" i="37"/>
  <c r="B1271" i="37"/>
  <c r="R1270" i="37"/>
  <c r="Q1270" i="37"/>
  <c r="P1270" i="37"/>
  <c r="O1270" i="37"/>
  <c r="N1270" i="37"/>
  <c r="M1270" i="37"/>
  <c r="L1270" i="37"/>
  <c r="K1270" i="37"/>
  <c r="J1270" i="37"/>
  <c r="I1270" i="37"/>
  <c r="H1270" i="37"/>
  <c r="G1270" i="37"/>
  <c r="F1270" i="37"/>
  <c r="E1270" i="37"/>
  <c r="D1270" i="37"/>
  <c r="C1270" i="37"/>
  <c r="B1270" i="37"/>
  <c r="R1269" i="37"/>
  <c r="Q1269" i="37"/>
  <c r="P1269" i="37"/>
  <c r="O1269" i="37"/>
  <c r="N1269" i="37"/>
  <c r="M1269" i="37"/>
  <c r="L1269" i="37"/>
  <c r="K1269" i="37"/>
  <c r="J1269" i="37"/>
  <c r="I1269" i="37"/>
  <c r="H1269" i="37"/>
  <c r="G1269" i="37"/>
  <c r="F1269" i="37"/>
  <c r="E1269" i="37"/>
  <c r="D1269" i="37"/>
  <c r="C1269" i="37"/>
  <c r="B1269" i="37"/>
  <c r="R1268" i="37"/>
  <c r="Q1268" i="37"/>
  <c r="P1268" i="37"/>
  <c r="O1268" i="37"/>
  <c r="N1268" i="37"/>
  <c r="M1268" i="37"/>
  <c r="L1268" i="37"/>
  <c r="K1268" i="37"/>
  <c r="J1268" i="37"/>
  <c r="I1268" i="37"/>
  <c r="H1268" i="37"/>
  <c r="G1268" i="37"/>
  <c r="F1268" i="37"/>
  <c r="E1268" i="37"/>
  <c r="D1268" i="37"/>
  <c r="C1268" i="37"/>
  <c r="B1268" i="37"/>
  <c r="R1267" i="37"/>
  <c r="Q1267" i="37"/>
  <c r="P1267" i="37"/>
  <c r="O1267" i="37"/>
  <c r="N1267" i="37"/>
  <c r="M1267" i="37"/>
  <c r="L1267" i="37"/>
  <c r="K1267" i="37"/>
  <c r="J1267" i="37"/>
  <c r="I1267" i="37"/>
  <c r="H1267" i="37"/>
  <c r="G1267" i="37"/>
  <c r="F1267" i="37"/>
  <c r="E1267" i="37"/>
  <c r="D1267" i="37"/>
  <c r="C1267" i="37"/>
  <c r="B1267" i="37"/>
  <c r="R1266" i="37"/>
  <c r="Q1266" i="37"/>
  <c r="P1266" i="37"/>
  <c r="O1266" i="37"/>
  <c r="N1266" i="37"/>
  <c r="M1266" i="37"/>
  <c r="L1266" i="37"/>
  <c r="K1266" i="37"/>
  <c r="J1266" i="37"/>
  <c r="I1266" i="37"/>
  <c r="H1266" i="37"/>
  <c r="G1266" i="37"/>
  <c r="F1266" i="37"/>
  <c r="E1266" i="37"/>
  <c r="D1266" i="37"/>
  <c r="C1266" i="37"/>
  <c r="B1266" i="37"/>
  <c r="R1265" i="37"/>
  <c r="Q1265" i="37"/>
  <c r="P1265" i="37"/>
  <c r="O1265" i="37"/>
  <c r="N1265" i="37"/>
  <c r="M1265" i="37"/>
  <c r="L1265" i="37"/>
  <c r="K1265" i="37"/>
  <c r="J1265" i="37"/>
  <c r="I1265" i="37"/>
  <c r="H1265" i="37"/>
  <c r="G1265" i="37"/>
  <c r="F1265" i="37"/>
  <c r="E1265" i="37"/>
  <c r="D1265" i="37"/>
  <c r="C1265" i="37"/>
  <c r="B1265" i="37"/>
  <c r="R1264" i="37"/>
  <c r="Q1264" i="37"/>
  <c r="P1264" i="37"/>
  <c r="O1264" i="37"/>
  <c r="N1264" i="37"/>
  <c r="M1264" i="37"/>
  <c r="L1264" i="37"/>
  <c r="K1264" i="37"/>
  <c r="J1264" i="37"/>
  <c r="I1264" i="37"/>
  <c r="H1264" i="37"/>
  <c r="G1264" i="37"/>
  <c r="F1264" i="37"/>
  <c r="E1264" i="37"/>
  <c r="D1264" i="37"/>
  <c r="C1264" i="37"/>
  <c r="B1264" i="37"/>
  <c r="R1263" i="37"/>
  <c r="Q1263" i="37"/>
  <c r="P1263" i="37"/>
  <c r="O1263" i="37"/>
  <c r="N1263" i="37"/>
  <c r="M1263" i="37"/>
  <c r="L1263" i="37"/>
  <c r="K1263" i="37"/>
  <c r="J1263" i="37"/>
  <c r="I1263" i="37"/>
  <c r="H1263" i="37"/>
  <c r="G1263" i="37"/>
  <c r="F1263" i="37"/>
  <c r="E1263" i="37"/>
  <c r="D1263" i="37"/>
  <c r="C1263" i="37"/>
  <c r="B1263" i="37"/>
  <c r="R1262" i="37"/>
  <c r="Q1262" i="37"/>
  <c r="P1262" i="37"/>
  <c r="O1262" i="37"/>
  <c r="N1262" i="37"/>
  <c r="M1262" i="37"/>
  <c r="L1262" i="37"/>
  <c r="K1262" i="37"/>
  <c r="J1262" i="37"/>
  <c r="I1262" i="37"/>
  <c r="H1262" i="37"/>
  <c r="G1262" i="37"/>
  <c r="F1262" i="37"/>
  <c r="E1262" i="37"/>
  <c r="D1262" i="37"/>
  <c r="C1262" i="37"/>
  <c r="B1262" i="37"/>
  <c r="R1261" i="37"/>
  <c r="Q1261" i="37"/>
  <c r="P1261" i="37"/>
  <c r="O1261" i="37"/>
  <c r="N1261" i="37"/>
  <c r="M1261" i="37"/>
  <c r="L1261" i="37"/>
  <c r="K1261" i="37"/>
  <c r="J1261" i="37"/>
  <c r="I1261" i="37"/>
  <c r="H1261" i="37"/>
  <c r="G1261" i="37"/>
  <c r="F1261" i="37"/>
  <c r="E1261" i="37"/>
  <c r="D1261" i="37"/>
  <c r="C1261" i="37"/>
  <c r="B1261" i="37"/>
  <c r="R1260" i="37"/>
  <c r="Q1260" i="37"/>
  <c r="P1260" i="37"/>
  <c r="O1260" i="37"/>
  <c r="N1260" i="37"/>
  <c r="M1260" i="37"/>
  <c r="L1260" i="37"/>
  <c r="K1260" i="37"/>
  <c r="J1260" i="37"/>
  <c r="I1260" i="37"/>
  <c r="H1260" i="37"/>
  <c r="G1260" i="37"/>
  <c r="F1260" i="37"/>
  <c r="E1260" i="37"/>
  <c r="D1260" i="37"/>
  <c r="C1260" i="37"/>
  <c r="B1260" i="37"/>
  <c r="R1259" i="37"/>
  <c r="Q1259" i="37"/>
  <c r="P1259" i="37"/>
  <c r="O1259" i="37"/>
  <c r="N1259" i="37"/>
  <c r="M1259" i="37"/>
  <c r="L1259" i="37"/>
  <c r="K1259" i="37"/>
  <c r="J1259" i="37"/>
  <c r="I1259" i="37"/>
  <c r="H1259" i="37"/>
  <c r="G1259" i="37"/>
  <c r="F1259" i="37"/>
  <c r="E1259" i="37"/>
  <c r="D1259" i="37"/>
  <c r="C1259" i="37"/>
  <c r="B1259" i="37"/>
  <c r="R1258" i="37"/>
  <c r="Q1258" i="37"/>
  <c r="P1258" i="37"/>
  <c r="O1258" i="37"/>
  <c r="N1258" i="37"/>
  <c r="M1258" i="37"/>
  <c r="L1258" i="37"/>
  <c r="K1258" i="37"/>
  <c r="J1258" i="37"/>
  <c r="I1258" i="37"/>
  <c r="H1258" i="37"/>
  <c r="G1258" i="37"/>
  <c r="F1258" i="37"/>
  <c r="E1258" i="37"/>
  <c r="D1258" i="37"/>
  <c r="C1258" i="37"/>
  <c r="B1258" i="37"/>
  <c r="R1257" i="37"/>
  <c r="Q1257" i="37"/>
  <c r="P1257" i="37"/>
  <c r="O1257" i="37"/>
  <c r="N1257" i="37"/>
  <c r="M1257" i="37"/>
  <c r="L1257" i="37"/>
  <c r="K1257" i="37"/>
  <c r="J1257" i="37"/>
  <c r="I1257" i="37"/>
  <c r="H1257" i="37"/>
  <c r="G1257" i="37"/>
  <c r="F1257" i="37"/>
  <c r="E1257" i="37"/>
  <c r="D1257" i="37"/>
  <c r="C1257" i="37"/>
  <c r="B1257" i="37"/>
  <c r="R1256" i="37"/>
  <c r="Q1256" i="37"/>
  <c r="P1256" i="37"/>
  <c r="O1256" i="37"/>
  <c r="N1256" i="37"/>
  <c r="M1256" i="37"/>
  <c r="L1256" i="37"/>
  <c r="K1256" i="37"/>
  <c r="J1256" i="37"/>
  <c r="I1256" i="37"/>
  <c r="H1256" i="37"/>
  <c r="G1256" i="37"/>
  <c r="F1256" i="37"/>
  <c r="E1256" i="37"/>
  <c r="D1256" i="37"/>
  <c r="C1256" i="37"/>
  <c r="B1256" i="37"/>
  <c r="R1255" i="37"/>
  <c r="Q1255" i="37"/>
  <c r="P1255" i="37"/>
  <c r="O1255" i="37"/>
  <c r="N1255" i="37"/>
  <c r="M1255" i="37"/>
  <c r="L1255" i="37"/>
  <c r="K1255" i="37"/>
  <c r="J1255" i="37"/>
  <c r="I1255" i="37"/>
  <c r="H1255" i="37"/>
  <c r="G1255" i="37"/>
  <c r="F1255" i="37"/>
  <c r="E1255" i="37"/>
  <c r="D1255" i="37"/>
  <c r="C1255" i="37"/>
  <c r="B1255" i="37"/>
  <c r="R1254" i="37"/>
  <c r="Q1254" i="37"/>
  <c r="P1254" i="37"/>
  <c r="O1254" i="37"/>
  <c r="N1254" i="37"/>
  <c r="M1254" i="37"/>
  <c r="L1254" i="37"/>
  <c r="K1254" i="37"/>
  <c r="J1254" i="37"/>
  <c r="I1254" i="37"/>
  <c r="H1254" i="37"/>
  <c r="G1254" i="37"/>
  <c r="F1254" i="37"/>
  <c r="E1254" i="37"/>
  <c r="D1254" i="37"/>
  <c r="C1254" i="37"/>
  <c r="B1254" i="37"/>
  <c r="R1253" i="37"/>
  <c r="Q1253" i="37"/>
  <c r="P1253" i="37"/>
  <c r="O1253" i="37"/>
  <c r="N1253" i="37"/>
  <c r="M1253" i="37"/>
  <c r="L1253" i="37"/>
  <c r="K1253" i="37"/>
  <c r="J1253" i="37"/>
  <c r="I1253" i="37"/>
  <c r="H1253" i="37"/>
  <c r="G1253" i="37"/>
  <c r="F1253" i="37"/>
  <c r="E1253" i="37"/>
  <c r="D1253" i="37"/>
  <c r="C1253" i="37"/>
  <c r="B1253" i="37"/>
  <c r="R1252" i="37"/>
  <c r="Q1252" i="37"/>
  <c r="P1252" i="37"/>
  <c r="O1252" i="37"/>
  <c r="N1252" i="37"/>
  <c r="M1252" i="37"/>
  <c r="L1252" i="37"/>
  <c r="K1252" i="37"/>
  <c r="J1252" i="37"/>
  <c r="I1252" i="37"/>
  <c r="H1252" i="37"/>
  <c r="G1252" i="37"/>
  <c r="F1252" i="37"/>
  <c r="E1252" i="37"/>
  <c r="D1252" i="37"/>
  <c r="C1252" i="37"/>
  <c r="B1252" i="37"/>
  <c r="R1251" i="37"/>
  <c r="Q1251" i="37"/>
  <c r="P1251" i="37"/>
  <c r="O1251" i="37"/>
  <c r="N1251" i="37"/>
  <c r="M1251" i="37"/>
  <c r="L1251" i="37"/>
  <c r="K1251" i="37"/>
  <c r="J1251" i="37"/>
  <c r="I1251" i="37"/>
  <c r="H1251" i="37"/>
  <c r="G1251" i="37"/>
  <c r="F1251" i="37"/>
  <c r="E1251" i="37"/>
  <c r="D1251" i="37"/>
  <c r="C1251" i="37"/>
  <c r="B1251" i="37"/>
  <c r="R1250" i="37"/>
  <c r="Q1250" i="37"/>
  <c r="P1250" i="37"/>
  <c r="O1250" i="37"/>
  <c r="N1250" i="37"/>
  <c r="M1250" i="37"/>
  <c r="L1250" i="37"/>
  <c r="K1250" i="37"/>
  <c r="J1250" i="37"/>
  <c r="I1250" i="37"/>
  <c r="H1250" i="37"/>
  <c r="G1250" i="37"/>
  <c r="F1250" i="37"/>
  <c r="E1250" i="37"/>
  <c r="D1250" i="37"/>
  <c r="C1250" i="37"/>
  <c r="B1250" i="37"/>
  <c r="R1249" i="37"/>
  <c r="Q1249" i="37"/>
  <c r="P1249" i="37"/>
  <c r="O1249" i="37"/>
  <c r="N1249" i="37"/>
  <c r="M1249" i="37"/>
  <c r="L1249" i="37"/>
  <c r="K1249" i="37"/>
  <c r="J1249" i="37"/>
  <c r="I1249" i="37"/>
  <c r="H1249" i="37"/>
  <c r="G1249" i="37"/>
  <c r="F1249" i="37"/>
  <c r="E1249" i="37"/>
  <c r="D1249" i="37"/>
  <c r="C1249" i="37"/>
  <c r="B1249" i="37"/>
  <c r="R1248" i="37"/>
  <c r="Q1248" i="37"/>
  <c r="P1248" i="37"/>
  <c r="O1248" i="37"/>
  <c r="N1248" i="37"/>
  <c r="M1248" i="37"/>
  <c r="L1248" i="37"/>
  <c r="K1248" i="37"/>
  <c r="J1248" i="37"/>
  <c r="I1248" i="37"/>
  <c r="H1248" i="37"/>
  <c r="G1248" i="37"/>
  <c r="F1248" i="37"/>
  <c r="E1248" i="37"/>
  <c r="D1248" i="37"/>
  <c r="C1248" i="37"/>
  <c r="B1248" i="37"/>
  <c r="R1247" i="37"/>
  <c r="Q1247" i="37"/>
  <c r="P1247" i="37"/>
  <c r="O1247" i="37"/>
  <c r="N1247" i="37"/>
  <c r="M1247" i="37"/>
  <c r="L1247" i="37"/>
  <c r="K1247" i="37"/>
  <c r="J1247" i="37"/>
  <c r="I1247" i="37"/>
  <c r="H1247" i="37"/>
  <c r="G1247" i="37"/>
  <c r="F1247" i="37"/>
  <c r="E1247" i="37"/>
  <c r="D1247" i="37"/>
  <c r="C1247" i="37"/>
  <c r="B1247" i="37"/>
  <c r="R1246" i="37"/>
  <c r="Q1246" i="37"/>
  <c r="P1246" i="37"/>
  <c r="O1246" i="37"/>
  <c r="N1246" i="37"/>
  <c r="M1246" i="37"/>
  <c r="L1246" i="37"/>
  <c r="K1246" i="37"/>
  <c r="J1246" i="37"/>
  <c r="I1246" i="37"/>
  <c r="H1246" i="37"/>
  <c r="G1246" i="37"/>
  <c r="F1246" i="37"/>
  <c r="E1246" i="37"/>
  <c r="D1246" i="37"/>
  <c r="C1246" i="37"/>
  <c r="B1246" i="37"/>
  <c r="R1245" i="37"/>
  <c r="Q1245" i="37"/>
  <c r="P1245" i="37"/>
  <c r="O1245" i="37"/>
  <c r="N1245" i="37"/>
  <c r="M1245" i="37"/>
  <c r="L1245" i="37"/>
  <c r="K1245" i="37"/>
  <c r="J1245" i="37"/>
  <c r="I1245" i="37"/>
  <c r="H1245" i="37"/>
  <c r="G1245" i="37"/>
  <c r="F1245" i="37"/>
  <c r="E1245" i="37"/>
  <c r="D1245" i="37"/>
  <c r="C1245" i="37"/>
  <c r="B1245" i="37"/>
  <c r="R1244" i="37"/>
  <c r="Q1244" i="37"/>
  <c r="P1244" i="37"/>
  <c r="O1244" i="37"/>
  <c r="N1244" i="37"/>
  <c r="M1244" i="37"/>
  <c r="L1244" i="37"/>
  <c r="K1244" i="37"/>
  <c r="J1244" i="37"/>
  <c r="I1244" i="37"/>
  <c r="H1244" i="37"/>
  <c r="G1244" i="37"/>
  <c r="F1244" i="37"/>
  <c r="E1244" i="37"/>
  <c r="D1244" i="37"/>
  <c r="C1244" i="37"/>
  <c r="B1244" i="37"/>
  <c r="R1243" i="37"/>
  <c r="Q1243" i="37"/>
  <c r="P1243" i="37"/>
  <c r="O1243" i="37"/>
  <c r="N1243" i="37"/>
  <c r="M1243" i="37"/>
  <c r="L1243" i="37"/>
  <c r="K1243" i="37"/>
  <c r="J1243" i="37"/>
  <c r="I1243" i="37"/>
  <c r="H1243" i="37"/>
  <c r="G1243" i="37"/>
  <c r="F1243" i="37"/>
  <c r="E1243" i="37"/>
  <c r="D1243" i="37"/>
  <c r="C1243" i="37"/>
  <c r="B1243" i="37"/>
  <c r="R1242" i="37"/>
  <c r="Q1242" i="37"/>
  <c r="P1242" i="37"/>
  <c r="O1242" i="37"/>
  <c r="N1242" i="37"/>
  <c r="M1242" i="37"/>
  <c r="L1242" i="37"/>
  <c r="K1242" i="37"/>
  <c r="J1242" i="37"/>
  <c r="I1242" i="37"/>
  <c r="H1242" i="37"/>
  <c r="G1242" i="37"/>
  <c r="F1242" i="37"/>
  <c r="E1242" i="37"/>
  <c r="D1242" i="37"/>
  <c r="C1242" i="37"/>
  <c r="B1242" i="37"/>
  <c r="R1241" i="37"/>
  <c r="Q1241" i="37"/>
  <c r="P1241" i="37"/>
  <c r="O1241" i="37"/>
  <c r="N1241" i="37"/>
  <c r="M1241" i="37"/>
  <c r="L1241" i="37"/>
  <c r="K1241" i="37"/>
  <c r="J1241" i="37"/>
  <c r="I1241" i="37"/>
  <c r="H1241" i="37"/>
  <c r="G1241" i="37"/>
  <c r="F1241" i="37"/>
  <c r="E1241" i="37"/>
  <c r="D1241" i="37"/>
  <c r="C1241" i="37"/>
  <c r="B1241" i="37"/>
  <c r="R1240" i="37"/>
  <c r="Q1240" i="37"/>
  <c r="P1240" i="37"/>
  <c r="O1240" i="37"/>
  <c r="N1240" i="37"/>
  <c r="M1240" i="37"/>
  <c r="L1240" i="37"/>
  <c r="K1240" i="37"/>
  <c r="J1240" i="37"/>
  <c r="I1240" i="37"/>
  <c r="H1240" i="37"/>
  <c r="G1240" i="37"/>
  <c r="F1240" i="37"/>
  <c r="E1240" i="37"/>
  <c r="D1240" i="37"/>
  <c r="C1240" i="37"/>
  <c r="B1240" i="37"/>
  <c r="R1239" i="37"/>
  <c r="Q1239" i="37"/>
  <c r="P1239" i="37"/>
  <c r="O1239" i="37"/>
  <c r="N1239" i="37"/>
  <c r="M1239" i="37"/>
  <c r="L1239" i="37"/>
  <c r="K1239" i="37"/>
  <c r="J1239" i="37"/>
  <c r="I1239" i="37"/>
  <c r="H1239" i="37"/>
  <c r="G1239" i="37"/>
  <c r="F1239" i="37"/>
  <c r="E1239" i="37"/>
  <c r="D1239" i="37"/>
  <c r="C1239" i="37"/>
  <c r="B1239" i="37"/>
  <c r="R1238" i="37"/>
  <c r="Q1238" i="37"/>
  <c r="P1238" i="37"/>
  <c r="O1238" i="37"/>
  <c r="N1238" i="37"/>
  <c r="M1238" i="37"/>
  <c r="L1238" i="37"/>
  <c r="K1238" i="37"/>
  <c r="J1238" i="37"/>
  <c r="I1238" i="37"/>
  <c r="H1238" i="37"/>
  <c r="G1238" i="37"/>
  <c r="F1238" i="37"/>
  <c r="E1238" i="37"/>
  <c r="D1238" i="37"/>
  <c r="C1238" i="37"/>
  <c r="B1238" i="37"/>
  <c r="R1237" i="37"/>
  <c r="Q1237" i="37"/>
  <c r="P1237" i="37"/>
  <c r="O1237" i="37"/>
  <c r="N1237" i="37"/>
  <c r="M1237" i="37"/>
  <c r="L1237" i="37"/>
  <c r="K1237" i="37"/>
  <c r="J1237" i="37"/>
  <c r="I1237" i="37"/>
  <c r="H1237" i="37"/>
  <c r="G1237" i="37"/>
  <c r="F1237" i="37"/>
  <c r="E1237" i="37"/>
  <c r="D1237" i="37"/>
  <c r="C1237" i="37"/>
  <c r="B1237" i="37"/>
  <c r="R1236" i="37"/>
  <c r="Q1236" i="37"/>
  <c r="P1236" i="37"/>
  <c r="O1236" i="37"/>
  <c r="N1236" i="37"/>
  <c r="M1236" i="37"/>
  <c r="L1236" i="37"/>
  <c r="K1236" i="37"/>
  <c r="J1236" i="37"/>
  <c r="I1236" i="37"/>
  <c r="H1236" i="37"/>
  <c r="G1236" i="37"/>
  <c r="F1236" i="37"/>
  <c r="E1236" i="37"/>
  <c r="D1236" i="37"/>
  <c r="C1236" i="37"/>
  <c r="B1236" i="37"/>
  <c r="R1235" i="37"/>
  <c r="Q1235" i="37"/>
  <c r="P1235" i="37"/>
  <c r="O1235" i="37"/>
  <c r="N1235" i="37"/>
  <c r="M1235" i="37"/>
  <c r="L1235" i="37"/>
  <c r="K1235" i="37"/>
  <c r="J1235" i="37"/>
  <c r="I1235" i="37"/>
  <c r="H1235" i="37"/>
  <c r="G1235" i="37"/>
  <c r="F1235" i="37"/>
  <c r="E1235" i="37"/>
  <c r="D1235" i="37"/>
  <c r="C1235" i="37"/>
  <c r="B1235" i="37"/>
  <c r="R1234" i="37"/>
  <c r="Q1234" i="37"/>
  <c r="P1234" i="37"/>
  <c r="O1234" i="37"/>
  <c r="N1234" i="37"/>
  <c r="M1234" i="37"/>
  <c r="L1234" i="37"/>
  <c r="K1234" i="37"/>
  <c r="J1234" i="37"/>
  <c r="I1234" i="37"/>
  <c r="H1234" i="37"/>
  <c r="G1234" i="37"/>
  <c r="F1234" i="37"/>
  <c r="E1234" i="37"/>
  <c r="D1234" i="37"/>
  <c r="C1234" i="37"/>
  <c r="B1234" i="37"/>
  <c r="R1233" i="37"/>
  <c r="Q1233" i="37"/>
  <c r="P1233" i="37"/>
  <c r="O1233" i="37"/>
  <c r="N1233" i="37"/>
  <c r="M1233" i="37"/>
  <c r="L1233" i="37"/>
  <c r="K1233" i="37"/>
  <c r="J1233" i="37"/>
  <c r="I1233" i="37"/>
  <c r="H1233" i="37"/>
  <c r="G1233" i="37"/>
  <c r="F1233" i="37"/>
  <c r="E1233" i="37"/>
  <c r="D1233" i="37"/>
  <c r="C1233" i="37"/>
  <c r="B1233" i="37"/>
  <c r="R1232" i="37"/>
  <c r="Q1232" i="37"/>
  <c r="P1232" i="37"/>
  <c r="O1232" i="37"/>
  <c r="N1232" i="37"/>
  <c r="M1232" i="37"/>
  <c r="L1232" i="37"/>
  <c r="K1232" i="37"/>
  <c r="J1232" i="37"/>
  <c r="I1232" i="37"/>
  <c r="H1232" i="37"/>
  <c r="G1232" i="37"/>
  <c r="F1232" i="37"/>
  <c r="E1232" i="37"/>
  <c r="D1232" i="37"/>
  <c r="C1232" i="37"/>
  <c r="B1232" i="37"/>
  <c r="R1231" i="37"/>
  <c r="Q1231" i="37"/>
  <c r="P1231" i="37"/>
  <c r="O1231" i="37"/>
  <c r="N1231" i="37"/>
  <c r="M1231" i="37"/>
  <c r="L1231" i="37"/>
  <c r="K1231" i="37"/>
  <c r="J1231" i="37"/>
  <c r="I1231" i="37"/>
  <c r="H1231" i="37"/>
  <c r="G1231" i="37"/>
  <c r="F1231" i="37"/>
  <c r="E1231" i="37"/>
  <c r="D1231" i="37"/>
  <c r="C1231" i="37"/>
  <c r="B1231" i="37"/>
  <c r="R1230" i="37"/>
  <c r="Q1230" i="37"/>
  <c r="P1230" i="37"/>
  <c r="O1230" i="37"/>
  <c r="N1230" i="37"/>
  <c r="M1230" i="37"/>
  <c r="L1230" i="37"/>
  <c r="K1230" i="37"/>
  <c r="J1230" i="37"/>
  <c r="I1230" i="37"/>
  <c r="H1230" i="37"/>
  <c r="G1230" i="37"/>
  <c r="F1230" i="37"/>
  <c r="E1230" i="37"/>
  <c r="D1230" i="37"/>
  <c r="C1230" i="37"/>
  <c r="B1230" i="37"/>
  <c r="R1229" i="37"/>
  <c r="Q1229" i="37"/>
  <c r="P1229" i="37"/>
  <c r="O1229" i="37"/>
  <c r="N1229" i="37"/>
  <c r="M1229" i="37"/>
  <c r="L1229" i="37"/>
  <c r="K1229" i="37"/>
  <c r="J1229" i="37"/>
  <c r="I1229" i="37"/>
  <c r="H1229" i="37"/>
  <c r="G1229" i="37"/>
  <c r="F1229" i="37"/>
  <c r="E1229" i="37"/>
  <c r="D1229" i="37"/>
  <c r="C1229" i="37"/>
  <c r="B1229" i="37"/>
  <c r="R1228" i="37"/>
  <c r="Q1228" i="37"/>
  <c r="P1228" i="37"/>
  <c r="O1228" i="37"/>
  <c r="N1228" i="37"/>
  <c r="M1228" i="37"/>
  <c r="L1228" i="37"/>
  <c r="K1228" i="37"/>
  <c r="J1228" i="37"/>
  <c r="I1228" i="37"/>
  <c r="H1228" i="37"/>
  <c r="G1228" i="37"/>
  <c r="F1228" i="37"/>
  <c r="E1228" i="37"/>
  <c r="D1228" i="37"/>
  <c r="C1228" i="37"/>
  <c r="B1228" i="37"/>
  <c r="R1227" i="37"/>
  <c r="Q1227" i="37"/>
  <c r="P1227" i="37"/>
  <c r="O1227" i="37"/>
  <c r="N1227" i="37"/>
  <c r="M1227" i="37"/>
  <c r="L1227" i="37"/>
  <c r="K1227" i="37"/>
  <c r="J1227" i="37"/>
  <c r="I1227" i="37"/>
  <c r="H1227" i="37"/>
  <c r="G1227" i="37"/>
  <c r="F1227" i="37"/>
  <c r="E1227" i="37"/>
  <c r="D1227" i="37"/>
  <c r="C1227" i="37"/>
  <c r="B1227" i="37"/>
  <c r="R1226" i="37"/>
  <c r="Q1226" i="37"/>
  <c r="P1226" i="37"/>
  <c r="O1226" i="37"/>
  <c r="N1226" i="37"/>
  <c r="M1226" i="37"/>
  <c r="L1226" i="37"/>
  <c r="K1226" i="37"/>
  <c r="J1226" i="37"/>
  <c r="I1226" i="37"/>
  <c r="H1226" i="37"/>
  <c r="G1226" i="37"/>
  <c r="F1226" i="37"/>
  <c r="E1226" i="37"/>
  <c r="D1226" i="37"/>
  <c r="C1226" i="37"/>
  <c r="B1226" i="37"/>
  <c r="R1225" i="37"/>
  <c r="Q1225" i="37"/>
  <c r="P1225" i="37"/>
  <c r="O1225" i="37"/>
  <c r="N1225" i="37"/>
  <c r="M1225" i="37"/>
  <c r="L1225" i="37"/>
  <c r="K1225" i="37"/>
  <c r="J1225" i="37"/>
  <c r="I1225" i="37"/>
  <c r="H1225" i="37"/>
  <c r="G1225" i="37"/>
  <c r="F1225" i="37"/>
  <c r="E1225" i="37"/>
  <c r="D1225" i="37"/>
  <c r="C1225" i="37"/>
  <c r="B1225" i="37"/>
  <c r="R1224" i="37"/>
  <c r="Q1224" i="37"/>
  <c r="P1224" i="37"/>
  <c r="O1224" i="37"/>
  <c r="N1224" i="37"/>
  <c r="M1224" i="37"/>
  <c r="L1224" i="37"/>
  <c r="K1224" i="37"/>
  <c r="J1224" i="37"/>
  <c r="I1224" i="37"/>
  <c r="H1224" i="37"/>
  <c r="G1224" i="37"/>
  <c r="F1224" i="37"/>
  <c r="E1224" i="37"/>
  <c r="D1224" i="37"/>
  <c r="C1224" i="37"/>
  <c r="B1224" i="37"/>
  <c r="R1223" i="37"/>
  <c r="Q1223" i="37"/>
  <c r="P1223" i="37"/>
  <c r="O1223" i="37"/>
  <c r="N1223" i="37"/>
  <c r="M1223" i="37"/>
  <c r="L1223" i="37"/>
  <c r="K1223" i="37"/>
  <c r="J1223" i="37"/>
  <c r="I1223" i="37"/>
  <c r="H1223" i="37"/>
  <c r="G1223" i="37"/>
  <c r="F1223" i="37"/>
  <c r="E1223" i="37"/>
  <c r="D1223" i="37"/>
  <c r="C1223" i="37"/>
  <c r="B1223" i="37"/>
  <c r="R1222" i="37"/>
  <c r="Q1222" i="37"/>
  <c r="P1222" i="37"/>
  <c r="O1222" i="37"/>
  <c r="N1222" i="37"/>
  <c r="M1222" i="37"/>
  <c r="L1222" i="37"/>
  <c r="K1222" i="37"/>
  <c r="J1222" i="37"/>
  <c r="I1222" i="37"/>
  <c r="H1222" i="37"/>
  <c r="G1222" i="37"/>
  <c r="F1222" i="37"/>
  <c r="E1222" i="37"/>
  <c r="D1222" i="37"/>
  <c r="C1222" i="37"/>
  <c r="B1222" i="37"/>
  <c r="R1221" i="37"/>
  <c r="Q1221" i="37"/>
  <c r="P1221" i="37"/>
  <c r="O1221" i="37"/>
  <c r="N1221" i="37"/>
  <c r="M1221" i="37"/>
  <c r="L1221" i="37"/>
  <c r="K1221" i="37"/>
  <c r="J1221" i="37"/>
  <c r="I1221" i="37"/>
  <c r="H1221" i="37"/>
  <c r="G1221" i="37"/>
  <c r="F1221" i="37"/>
  <c r="E1221" i="37"/>
  <c r="D1221" i="37"/>
  <c r="C1221" i="37"/>
  <c r="B1221" i="37"/>
  <c r="R1220" i="37"/>
  <c r="Q1220" i="37"/>
  <c r="P1220" i="37"/>
  <c r="O1220" i="37"/>
  <c r="N1220" i="37"/>
  <c r="M1220" i="37"/>
  <c r="L1220" i="37"/>
  <c r="K1220" i="37"/>
  <c r="J1220" i="37"/>
  <c r="I1220" i="37"/>
  <c r="H1220" i="37"/>
  <c r="G1220" i="37"/>
  <c r="F1220" i="37"/>
  <c r="E1220" i="37"/>
  <c r="D1220" i="37"/>
  <c r="C1220" i="37"/>
  <c r="B1220" i="37"/>
  <c r="R1219" i="37"/>
  <c r="Q1219" i="37"/>
  <c r="P1219" i="37"/>
  <c r="O1219" i="37"/>
  <c r="N1219" i="37"/>
  <c r="M1219" i="37"/>
  <c r="L1219" i="37"/>
  <c r="K1219" i="37"/>
  <c r="J1219" i="37"/>
  <c r="I1219" i="37"/>
  <c r="H1219" i="37"/>
  <c r="G1219" i="37"/>
  <c r="F1219" i="37"/>
  <c r="E1219" i="37"/>
  <c r="D1219" i="37"/>
  <c r="C1219" i="37"/>
  <c r="B1219" i="37"/>
  <c r="R1218" i="37"/>
  <c r="Q1218" i="37"/>
  <c r="P1218" i="37"/>
  <c r="O1218" i="37"/>
  <c r="N1218" i="37"/>
  <c r="M1218" i="37"/>
  <c r="L1218" i="37"/>
  <c r="K1218" i="37"/>
  <c r="J1218" i="37"/>
  <c r="I1218" i="37"/>
  <c r="H1218" i="37"/>
  <c r="G1218" i="37"/>
  <c r="F1218" i="37"/>
  <c r="E1218" i="37"/>
  <c r="D1218" i="37"/>
  <c r="C1218" i="37"/>
  <c r="B1218" i="37"/>
  <c r="R1217" i="37"/>
  <c r="Q1217" i="37"/>
  <c r="P1217" i="37"/>
  <c r="O1217" i="37"/>
  <c r="N1217" i="37"/>
  <c r="M1217" i="37"/>
  <c r="L1217" i="37"/>
  <c r="K1217" i="37"/>
  <c r="J1217" i="37"/>
  <c r="I1217" i="37"/>
  <c r="H1217" i="37"/>
  <c r="G1217" i="37"/>
  <c r="F1217" i="37"/>
  <c r="E1217" i="37"/>
  <c r="D1217" i="37"/>
  <c r="C1217" i="37"/>
  <c r="B1217" i="37"/>
  <c r="R1216" i="37"/>
  <c r="Q1216" i="37"/>
  <c r="P1216" i="37"/>
  <c r="O1216" i="37"/>
  <c r="N1216" i="37"/>
  <c r="M1216" i="37"/>
  <c r="L1216" i="37"/>
  <c r="K1216" i="37"/>
  <c r="J1216" i="37"/>
  <c r="I1216" i="37"/>
  <c r="H1216" i="37"/>
  <c r="G1216" i="37"/>
  <c r="F1216" i="37"/>
  <c r="E1216" i="37"/>
  <c r="D1216" i="37"/>
  <c r="C1216" i="37"/>
  <c r="B1216" i="37"/>
  <c r="R1215" i="37"/>
  <c r="Q1215" i="37"/>
  <c r="P1215" i="37"/>
  <c r="O1215" i="37"/>
  <c r="N1215" i="37"/>
  <c r="M1215" i="37"/>
  <c r="L1215" i="37"/>
  <c r="K1215" i="37"/>
  <c r="J1215" i="37"/>
  <c r="I1215" i="37"/>
  <c r="H1215" i="37"/>
  <c r="G1215" i="37"/>
  <c r="F1215" i="37"/>
  <c r="E1215" i="37"/>
  <c r="D1215" i="37"/>
  <c r="C1215" i="37"/>
  <c r="B1215" i="37"/>
  <c r="R1214" i="37"/>
  <c r="Q1214" i="37"/>
  <c r="P1214" i="37"/>
  <c r="O1214" i="37"/>
  <c r="N1214" i="37"/>
  <c r="M1214" i="37"/>
  <c r="L1214" i="37"/>
  <c r="K1214" i="37"/>
  <c r="J1214" i="37"/>
  <c r="I1214" i="37"/>
  <c r="H1214" i="37"/>
  <c r="G1214" i="37"/>
  <c r="F1214" i="37"/>
  <c r="E1214" i="37"/>
  <c r="D1214" i="37"/>
  <c r="C1214" i="37"/>
  <c r="B1214" i="37"/>
  <c r="R1213" i="37"/>
  <c r="Q1213" i="37"/>
  <c r="P1213" i="37"/>
  <c r="O1213" i="37"/>
  <c r="N1213" i="37"/>
  <c r="M1213" i="37"/>
  <c r="L1213" i="37"/>
  <c r="K1213" i="37"/>
  <c r="J1213" i="37"/>
  <c r="I1213" i="37"/>
  <c r="H1213" i="37"/>
  <c r="G1213" i="37"/>
  <c r="F1213" i="37"/>
  <c r="E1213" i="37"/>
  <c r="D1213" i="37"/>
  <c r="C1213" i="37"/>
  <c r="B1213" i="37"/>
  <c r="R1212" i="37"/>
  <c r="Q1212" i="37"/>
  <c r="P1212" i="37"/>
  <c r="O1212" i="37"/>
  <c r="N1212" i="37"/>
  <c r="M1212" i="37"/>
  <c r="L1212" i="37"/>
  <c r="K1212" i="37"/>
  <c r="J1212" i="37"/>
  <c r="I1212" i="37"/>
  <c r="H1212" i="37"/>
  <c r="G1212" i="37"/>
  <c r="F1212" i="37"/>
  <c r="E1212" i="37"/>
  <c r="D1212" i="37"/>
  <c r="C1212" i="37"/>
  <c r="B1212" i="37"/>
  <c r="R1211" i="37"/>
  <c r="Q1211" i="37"/>
  <c r="P1211" i="37"/>
  <c r="O1211" i="37"/>
  <c r="N1211" i="37"/>
  <c r="M1211" i="37"/>
  <c r="L1211" i="37"/>
  <c r="K1211" i="37"/>
  <c r="J1211" i="37"/>
  <c r="I1211" i="37"/>
  <c r="H1211" i="37"/>
  <c r="G1211" i="37"/>
  <c r="F1211" i="37"/>
  <c r="E1211" i="37"/>
  <c r="D1211" i="37"/>
  <c r="C1211" i="37"/>
  <c r="B1211" i="37"/>
  <c r="R1210" i="37"/>
  <c r="Q1210" i="37"/>
  <c r="P1210" i="37"/>
  <c r="O1210" i="37"/>
  <c r="N1210" i="37"/>
  <c r="M1210" i="37"/>
  <c r="L1210" i="37"/>
  <c r="K1210" i="37"/>
  <c r="J1210" i="37"/>
  <c r="I1210" i="37"/>
  <c r="H1210" i="37"/>
  <c r="G1210" i="37"/>
  <c r="F1210" i="37"/>
  <c r="E1210" i="37"/>
  <c r="D1210" i="37"/>
  <c r="C1210" i="37"/>
  <c r="B1210" i="37"/>
  <c r="R1209" i="37"/>
  <c r="Q1209" i="37"/>
  <c r="P1209" i="37"/>
  <c r="O1209" i="37"/>
  <c r="N1209" i="37"/>
  <c r="M1209" i="37"/>
  <c r="L1209" i="37"/>
  <c r="K1209" i="37"/>
  <c r="J1209" i="37"/>
  <c r="I1209" i="37"/>
  <c r="H1209" i="37"/>
  <c r="G1209" i="37"/>
  <c r="F1209" i="37"/>
  <c r="E1209" i="37"/>
  <c r="D1209" i="37"/>
  <c r="C1209" i="37"/>
  <c r="B1209" i="37"/>
  <c r="R1208" i="37"/>
  <c r="Q1208" i="37"/>
  <c r="P1208" i="37"/>
  <c r="O1208" i="37"/>
  <c r="N1208" i="37"/>
  <c r="M1208" i="37"/>
  <c r="L1208" i="37"/>
  <c r="K1208" i="37"/>
  <c r="J1208" i="37"/>
  <c r="I1208" i="37"/>
  <c r="H1208" i="37"/>
  <c r="G1208" i="37"/>
  <c r="F1208" i="37"/>
  <c r="E1208" i="37"/>
  <c r="D1208" i="37"/>
  <c r="C1208" i="37"/>
  <c r="B1208" i="37"/>
  <c r="R1207" i="37"/>
  <c r="Q1207" i="37"/>
  <c r="P1207" i="37"/>
  <c r="O1207" i="37"/>
  <c r="N1207" i="37"/>
  <c r="M1207" i="37"/>
  <c r="L1207" i="37"/>
  <c r="K1207" i="37"/>
  <c r="J1207" i="37"/>
  <c r="I1207" i="37"/>
  <c r="H1207" i="37"/>
  <c r="G1207" i="37"/>
  <c r="F1207" i="37"/>
  <c r="E1207" i="37"/>
  <c r="D1207" i="37"/>
  <c r="C1207" i="37"/>
  <c r="B1207" i="37"/>
  <c r="R1206" i="37"/>
  <c r="Q1206" i="37"/>
  <c r="P1206" i="37"/>
  <c r="O1206" i="37"/>
  <c r="N1206" i="37"/>
  <c r="M1206" i="37"/>
  <c r="L1206" i="37"/>
  <c r="K1206" i="37"/>
  <c r="J1206" i="37"/>
  <c r="I1206" i="37"/>
  <c r="H1206" i="37"/>
  <c r="G1206" i="37"/>
  <c r="F1206" i="37"/>
  <c r="E1206" i="37"/>
  <c r="D1206" i="37"/>
  <c r="C1206" i="37"/>
  <c r="B1206" i="37"/>
  <c r="R1205" i="37"/>
  <c r="Q1205" i="37"/>
  <c r="P1205" i="37"/>
  <c r="O1205" i="37"/>
  <c r="N1205" i="37"/>
  <c r="M1205" i="37"/>
  <c r="L1205" i="37"/>
  <c r="K1205" i="37"/>
  <c r="J1205" i="37"/>
  <c r="I1205" i="37"/>
  <c r="H1205" i="37"/>
  <c r="G1205" i="37"/>
  <c r="F1205" i="37"/>
  <c r="E1205" i="37"/>
  <c r="D1205" i="37"/>
  <c r="C1205" i="37"/>
  <c r="B1205" i="37"/>
  <c r="R1204" i="37"/>
  <c r="Q1204" i="37"/>
  <c r="P1204" i="37"/>
  <c r="O1204" i="37"/>
  <c r="N1204" i="37"/>
  <c r="M1204" i="37"/>
  <c r="L1204" i="37"/>
  <c r="K1204" i="37"/>
  <c r="J1204" i="37"/>
  <c r="I1204" i="37"/>
  <c r="H1204" i="37"/>
  <c r="G1204" i="37"/>
  <c r="F1204" i="37"/>
  <c r="E1204" i="37"/>
  <c r="D1204" i="37"/>
  <c r="C1204" i="37"/>
  <c r="B1204" i="37"/>
  <c r="R1203" i="37"/>
  <c r="Q1203" i="37"/>
  <c r="P1203" i="37"/>
  <c r="O1203" i="37"/>
  <c r="N1203" i="37"/>
  <c r="M1203" i="37"/>
  <c r="L1203" i="37"/>
  <c r="K1203" i="37"/>
  <c r="J1203" i="37"/>
  <c r="I1203" i="37"/>
  <c r="H1203" i="37"/>
  <c r="G1203" i="37"/>
  <c r="F1203" i="37"/>
  <c r="E1203" i="37"/>
  <c r="D1203" i="37"/>
  <c r="C1203" i="37"/>
  <c r="B1203" i="37"/>
  <c r="R1202" i="37"/>
  <c r="Q1202" i="37"/>
  <c r="P1202" i="37"/>
  <c r="O1202" i="37"/>
  <c r="N1202" i="37"/>
  <c r="M1202" i="37"/>
  <c r="L1202" i="37"/>
  <c r="K1202" i="37"/>
  <c r="J1202" i="37"/>
  <c r="I1202" i="37"/>
  <c r="H1202" i="37"/>
  <c r="G1202" i="37"/>
  <c r="F1202" i="37"/>
  <c r="E1202" i="37"/>
  <c r="D1202" i="37"/>
  <c r="C1202" i="37"/>
  <c r="B1202" i="37"/>
  <c r="R1201" i="37"/>
  <c r="Q1201" i="37"/>
  <c r="P1201" i="37"/>
  <c r="O1201" i="37"/>
  <c r="N1201" i="37"/>
  <c r="M1201" i="37"/>
  <c r="L1201" i="37"/>
  <c r="K1201" i="37"/>
  <c r="J1201" i="37"/>
  <c r="I1201" i="37"/>
  <c r="H1201" i="37"/>
  <c r="G1201" i="37"/>
  <c r="F1201" i="37"/>
  <c r="E1201" i="37"/>
  <c r="D1201" i="37"/>
  <c r="C1201" i="37"/>
  <c r="B1201" i="37"/>
  <c r="R1200" i="37"/>
  <c r="Q1200" i="37"/>
  <c r="P1200" i="37"/>
  <c r="O1200" i="37"/>
  <c r="N1200" i="37"/>
  <c r="M1200" i="37"/>
  <c r="L1200" i="37"/>
  <c r="K1200" i="37"/>
  <c r="J1200" i="37"/>
  <c r="I1200" i="37"/>
  <c r="H1200" i="37"/>
  <c r="G1200" i="37"/>
  <c r="F1200" i="37"/>
  <c r="E1200" i="37"/>
  <c r="D1200" i="37"/>
  <c r="C1200" i="37"/>
  <c r="B1200" i="37"/>
  <c r="R1199" i="37"/>
  <c r="Q1199" i="37"/>
  <c r="P1199" i="37"/>
  <c r="O1199" i="37"/>
  <c r="N1199" i="37"/>
  <c r="M1199" i="37"/>
  <c r="L1199" i="37"/>
  <c r="K1199" i="37"/>
  <c r="J1199" i="37"/>
  <c r="I1199" i="37"/>
  <c r="H1199" i="37"/>
  <c r="G1199" i="37"/>
  <c r="F1199" i="37"/>
  <c r="E1199" i="37"/>
  <c r="D1199" i="37"/>
  <c r="C1199" i="37"/>
  <c r="B1199" i="37"/>
  <c r="R1198" i="37"/>
  <c r="Q1198" i="37"/>
  <c r="P1198" i="37"/>
  <c r="O1198" i="37"/>
  <c r="N1198" i="37"/>
  <c r="M1198" i="37"/>
  <c r="L1198" i="37"/>
  <c r="K1198" i="37"/>
  <c r="J1198" i="37"/>
  <c r="I1198" i="37"/>
  <c r="H1198" i="37"/>
  <c r="G1198" i="37"/>
  <c r="F1198" i="37"/>
  <c r="E1198" i="37"/>
  <c r="D1198" i="37"/>
  <c r="C1198" i="37"/>
  <c r="B1198" i="37"/>
  <c r="R1197" i="37"/>
  <c r="Q1197" i="37"/>
  <c r="P1197" i="37"/>
  <c r="O1197" i="37"/>
  <c r="N1197" i="37"/>
  <c r="M1197" i="37"/>
  <c r="L1197" i="37"/>
  <c r="K1197" i="37"/>
  <c r="J1197" i="37"/>
  <c r="I1197" i="37"/>
  <c r="H1197" i="37"/>
  <c r="G1197" i="37"/>
  <c r="F1197" i="37"/>
  <c r="E1197" i="37"/>
  <c r="D1197" i="37"/>
  <c r="C1197" i="37"/>
  <c r="B1197" i="37"/>
  <c r="R1196" i="37"/>
  <c r="Q1196" i="37"/>
  <c r="P1196" i="37"/>
  <c r="O1196" i="37"/>
  <c r="N1196" i="37"/>
  <c r="M1196" i="37"/>
  <c r="L1196" i="37"/>
  <c r="K1196" i="37"/>
  <c r="J1196" i="37"/>
  <c r="I1196" i="37"/>
  <c r="H1196" i="37"/>
  <c r="G1196" i="37"/>
  <c r="F1196" i="37"/>
  <c r="E1196" i="37"/>
  <c r="D1196" i="37"/>
  <c r="C1196" i="37"/>
  <c r="B1196" i="37"/>
  <c r="R1195" i="37"/>
  <c r="Q1195" i="37"/>
  <c r="P1195" i="37"/>
  <c r="O1195" i="37"/>
  <c r="N1195" i="37"/>
  <c r="M1195" i="37"/>
  <c r="L1195" i="37"/>
  <c r="K1195" i="37"/>
  <c r="J1195" i="37"/>
  <c r="I1195" i="37"/>
  <c r="H1195" i="37"/>
  <c r="G1195" i="37"/>
  <c r="F1195" i="37"/>
  <c r="E1195" i="37"/>
  <c r="D1195" i="37"/>
  <c r="C1195" i="37"/>
  <c r="B1195" i="37"/>
  <c r="R1194" i="37"/>
  <c r="Q1194" i="37"/>
  <c r="P1194" i="37"/>
  <c r="O1194" i="37"/>
  <c r="N1194" i="37"/>
  <c r="M1194" i="37"/>
  <c r="L1194" i="37"/>
  <c r="K1194" i="37"/>
  <c r="J1194" i="37"/>
  <c r="I1194" i="37"/>
  <c r="H1194" i="37"/>
  <c r="G1194" i="37"/>
  <c r="F1194" i="37"/>
  <c r="E1194" i="37"/>
  <c r="D1194" i="37"/>
  <c r="C1194" i="37"/>
  <c r="B1194" i="37"/>
  <c r="R1193" i="37"/>
  <c r="Q1193" i="37"/>
  <c r="P1193" i="37"/>
  <c r="O1193" i="37"/>
  <c r="N1193" i="37"/>
  <c r="M1193" i="37"/>
  <c r="L1193" i="37"/>
  <c r="K1193" i="37"/>
  <c r="J1193" i="37"/>
  <c r="I1193" i="37"/>
  <c r="H1193" i="37"/>
  <c r="G1193" i="37"/>
  <c r="F1193" i="37"/>
  <c r="E1193" i="37"/>
  <c r="D1193" i="37"/>
  <c r="C1193" i="37"/>
  <c r="B1193" i="37"/>
  <c r="R1192" i="37"/>
  <c r="Q1192" i="37"/>
  <c r="P1192" i="37"/>
  <c r="O1192" i="37"/>
  <c r="N1192" i="37"/>
  <c r="M1192" i="37"/>
  <c r="L1192" i="37"/>
  <c r="K1192" i="37"/>
  <c r="J1192" i="37"/>
  <c r="I1192" i="37"/>
  <c r="H1192" i="37"/>
  <c r="G1192" i="37"/>
  <c r="F1192" i="37"/>
  <c r="E1192" i="37"/>
  <c r="D1192" i="37"/>
  <c r="C1192" i="37"/>
  <c r="B1192" i="37"/>
  <c r="R1191" i="37"/>
  <c r="Q1191" i="37"/>
  <c r="P1191" i="37"/>
  <c r="O1191" i="37"/>
  <c r="N1191" i="37"/>
  <c r="M1191" i="37"/>
  <c r="L1191" i="37"/>
  <c r="K1191" i="37"/>
  <c r="J1191" i="37"/>
  <c r="I1191" i="37"/>
  <c r="H1191" i="37"/>
  <c r="G1191" i="37"/>
  <c r="F1191" i="37"/>
  <c r="E1191" i="37"/>
  <c r="D1191" i="37"/>
  <c r="C1191" i="37"/>
  <c r="B1191" i="37"/>
  <c r="R1190" i="37"/>
  <c r="Q1190" i="37"/>
  <c r="P1190" i="37"/>
  <c r="O1190" i="37"/>
  <c r="N1190" i="37"/>
  <c r="M1190" i="37"/>
  <c r="L1190" i="37"/>
  <c r="K1190" i="37"/>
  <c r="J1190" i="37"/>
  <c r="I1190" i="37"/>
  <c r="H1190" i="37"/>
  <c r="G1190" i="37"/>
  <c r="F1190" i="37"/>
  <c r="E1190" i="37"/>
  <c r="D1190" i="37"/>
  <c r="C1190" i="37"/>
  <c r="B1190" i="37"/>
  <c r="R1189" i="37"/>
  <c r="Q1189" i="37"/>
  <c r="P1189" i="37"/>
  <c r="O1189" i="37"/>
  <c r="N1189" i="37"/>
  <c r="M1189" i="37"/>
  <c r="L1189" i="37"/>
  <c r="K1189" i="37"/>
  <c r="J1189" i="37"/>
  <c r="I1189" i="37"/>
  <c r="H1189" i="37"/>
  <c r="G1189" i="37"/>
  <c r="F1189" i="37"/>
  <c r="E1189" i="37"/>
  <c r="D1189" i="37"/>
  <c r="C1189" i="37"/>
  <c r="B1189" i="37"/>
  <c r="R1188" i="37"/>
  <c r="Q1188" i="37"/>
  <c r="P1188" i="37"/>
  <c r="O1188" i="37"/>
  <c r="N1188" i="37"/>
  <c r="M1188" i="37"/>
  <c r="L1188" i="37"/>
  <c r="K1188" i="37"/>
  <c r="J1188" i="37"/>
  <c r="I1188" i="37"/>
  <c r="H1188" i="37"/>
  <c r="G1188" i="37"/>
  <c r="F1188" i="37"/>
  <c r="E1188" i="37"/>
  <c r="D1188" i="37"/>
  <c r="C1188" i="37"/>
  <c r="B1188" i="37"/>
  <c r="R1187" i="37"/>
  <c r="Q1187" i="37"/>
  <c r="P1187" i="37"/>
  <c r="O1187" i="37"/>
  <c r="N1187" i="37"/>
  <c r="M1187" i="37"/>
  <c r="L1187" i="37"/>
  <c r="K1187" i="37"/>
  <c r="J1187" i="37"/>
  <c r="I1187" i="37"/>
  <c r="H1187" i="37"/>
  <c r="G1187" i="37"/>
  <c r="F1187" i="37"/>
  <c r="E1187" i="37"/>
  <c r="D1187" i="37"/>
  <c r="C1187" i="37"/>
  <c r="B1187" i="37"/>
  <c r="R1186" i="37"/>
  <c r="Q1186" i="37"/>
  <c r="P1186" i="37"/>
  <c r="O1186" i="37"/>
  <c r="N1186" i="37"/>
  <c r="M1186" i="37"/>
  <c r="L1186" i="37"/>
  <c r="K1186" i="37"/>
  <c r="J1186" i="37"/>
  <c r="I1186" i="37"/>
  <c r="H1186" i="37"/>
  <c r="G1186" i="37"/>
  <c r="F1186" i="37"/>
  <c r="E1186" i="37"/>
  <c r="D1186" i="37"/>
  <c r="C1186" i="37"/>
  <c r="B1186" i="37"/>
  <c r="R1185" i="37"/>
  <c r="Q1185" i="37"/>
  <c r="P1185" i="37"/>
  <c r="O1185" i="37"/>
  <c r="N1185" i="37"/>
  <c r="M1185" i="37"/>
  <c r="L1185" i="37"/>
  <c r="K1185" i="37"/>
  <c r="J1185" i="37"/>
  <c r="I1185" i="37"/>
  <c r="H1185" i="37"/>
  <c r="G1185" i="37"/>
  <c r="F1185" i="37"/>
  <c r="E1185" i="37"/>
  <c r="D1185" i="37"/>
  <c r="C1185" i="37"/>
  <c r="B1185" i="37"/>
  <c r="R1184" i="37"/>
  <c r="Q1184" i="37"/>
  <c r="P1184" i="37"/>
  <c r="O1184" i="37"/>
  <c r="N1184" i="37"/>
  <c r="M1184" i="37"/>
  <c r="L1184" i="37"/>
  <c r="K1184" i="37"/>
  <c r="J1184" i="37"/>
  <c r="I1184" i="37"/>
  <c r="H1184" i="37"/>
  <c r="G1184" i="37"/>
  <c r="F1184" i="37"/>
  <c r="E1184" i="37"/>
  <c r="D1184" i="37"/>
  <c r="C1184" i="37"/>
  <c r="B1184" i="37"/>
  <c r="R1183" i="37"/>
  <c r="Q1183" i="37"/>
  <c r="P1183" i="37"/>
  <c r="O1183" i="37"/>
  <c r="N1183" i="37"/>
  <c r="M1183" i="37"/>
  <c r="L1183" i="37"/>
  <c r="K1183" i="37"/>
  <c r="J1183" i="37"/>
  <c r="I1183" i="37"/>
  <c r="H1183" i="37"/>
  <c r="G1183" i="37"/>
  <c r="F1183" i="37"/>
  <c r="E1183" i="37"/>
  <c r="D1183" i="37"/>
  <c r="C1183" i="37"/>
  <c r="B1183" i="37"/>
  <c r="R1182" i="37"/>
  <c r="Q1182" i="37"/>
  <c r="P1182" i="37"/>
  <c r="O1182" i="37"/>
  <c r="N1182" i="37"/>
  <c r="M1182" i="37"/>
  <c r="L1182" i="37"/>
  <c r="K1182" i="37"/>
  <c r="J1182" i="37"/>
  <c r="I1182" i="37"/>
  <c r="H1182" i="37"/>
  <c r="G1182" i="37"/>
  <c r="F1182" i="37"/>
  <c r="E1182" i="37"/>
  <c r="D1182" i="37"/>
  <c r="C1182" i="37"/>
  <c r="B1182" i="37"/>
  <c r="R1181" i="37"/>
  <c r="Q1181" i="37"/>
  <c r="P1181" i="37"/>
  <c r="O1181" i="37"/>
  <c r="N1181" i="37"/>
  <c r="M1181" i="37"/>
  <c r="L1181" i="37"/>
  <c r="K1181" i="37"/>
  <c r="J1181" i="37"/>
  <c r="I1181" i="37"/>
  <c r="H1181" i="37"/>
  <c r="G1181" i="37"/>
  <c r="F1181" i="37"/>
  <c r="E1181" i="37"/>
  <c r="D1181" i="37"/>
  <c r="C1181" i="37"/>
  <c r="B1181" i="37"/>
  <c r="R1180" i="37"/>
  <c r="Q1180" i="37"/>
  <c r="P1180" i="37"/>
  <c r="O1180" i="37"/>
  <c r="N1180" i="37"/>
  <c r="M1180" i="37"/>
  <c r="L1180" i="37"/>
  <c r="K1180" i="37"/>
  <c r="J1180" i="37"/>
  <c r="I1180" i="37"/>
  <c r="H1180" i="37"/>
  <c r="G1180" i="37"/>
  <c r="F1180" i="37"/>
  <c r="E1180" i="37"/>
  <c r="D1180" i="37"/>
  <c r="C1180" i="37"/>
  <c r="B1180" i="37"/>
  <c r="R1179" i="37"/>
  <c r="Q1179" i="37"/>
  <c r="P1179" i="37"/>
  <c r="O1179" i="37"/>
  <c r="N1179" i="37"/>
  <c r="M1179" i="37"/>
  <c r="L1179" i="37"/>
  <c r="K1179" i="37"/>
  <c r="J1179" i="37"/>
  <c r="I1179" i="37"/>
  <c r="H1179" i="37"/>
  <c r="G1179" i="37"/>
  <c r="F1179" i="37"/>
  <c r="E1179" i="37"/>
  <c r="D1179" i="37"/>
  <c r="C1179" i="37"/>
  <c r="B1179" i="37"/>
  <c r="R1178" i="37"/>
  <c r="Q1178" i="37"/>
  <c r="P1178" i="37"/>
  <c r="O1178" i="37"/>
  <c r="N1178" i="37"/>
  <c r="M1178" i="37"/>
  <c r="L1178" i="37"/>
  <c r="K1178" i="37"/>
  <c r="J1178" i="37"/>
  <c r="I1178" i="37"/>
  <c r="H1178" i="37"/>
  <c r="G1178" i="37"/>
  <c r="F1178" i="37"/>
  <c r="E1178" i="37"/>
  <c r="D1178" i="37"/>
  <c r="C1178" i="37"/>
  <c r="B1178" i="37"/>
  <c r="R1177" i="37"/>
  <c r="Q1177" i="37"/>
  <c r="P1177" i="37"/>
  <c r="O1177" i="37"/>
  <c r="N1177" i="37"/>
  <c r="M1177" i="37"/>
  <c r="L1177" i="37"/>
  <c r="K1177" i="37"/>
  <c r="J1177" i="37"/>
  <c r="I1177" i="37"/>
  <c r="H1177" i="37"/>
  <c r="G1177" i="37"/>
  <c r="F1177" i="37"/>
  <c r="E1177" i="37"/>
  <c r="D1177" i="37"/>
  <c r="C1177" i="37"/>
  <c r="B1177" i="37"/>
  <c r="R1176" i="37"/>
  <c r="Q1176" i="37"/>
  <c r="P1176" i="37"/>
  <c r="O1176" i="37"/>
  <c r="N1176" i="37"/>
  <c r="M1176" i="37"/>
  <c r="L1176" i="37"/>
  <c r="K1176" i="37"/>
  <c r="J1176" i="37"/>
  <c r="I1176" i="37"/>
  <c r="H1176" i="37"/>
  <c r="G1176" i="37"/>
  <c r="F1176" i="37"/>
  <c r="E1176" i="37"/>
  <c r="D1176" i="37"/>
  <c r="C1176" i="37"/>
  <c r="B1176" i="37"/>
  <c r="R1175" i="37"/>
  <c r="Q1175" i="37"/>
  <c r="P1175" i="37"/>
  <c r="O1175" i="37"/>
  <c r="N1175" i="37"/>
  <c r="M1175" i="37"/>
  <c r="L1175" i="37"/>
  <c r="K1175" i="37"/>
  <c r="J1175" i="37"/>
  <c r="I1175" i="37"/>
  <c r="H1175" i="37"/>
  <c r="G1175" i="37"/>
  <c r="F1175" i="37"/>
  <c r="E1175" i="37"/>
  <c r="D1175" i="37"/>
  <c r="C1175" i="37"/>
  <c r="B1175" i="37"/>
  <c r="R1174" i="37"/>
  <c r="Q1174" i="37"/>
  <c r="P1174" i="37"/>
  <c r="O1174" i="37"/>
  <c r="N1174" i="37"/>
  <c r="M1174" i="37"/>
  <c r="L1174" i="37"/>
  <c r="K1174" i="37"/>
  <c r="J1174" i="37"/>
  <c r="I1174" i="37"/>
  <c r="H1174" i="37"/>
  <c r="G1174" i="37"/>
  <c r="F1174" i="37"/>
  <c r="E1174" i="37"/>
  <c r="D1174" i="37"/>
  <c r="C1174" i="37"/>
  <c r="B1174" i="37"/>
  <c r="R1173" i="37"/>
  <c r="Q1173" i="37"/>
  <c r="P1173" i="37"/>
  <c r="O1173" i="37"/>
  <c r="N1173" i="37"/>
  <c r="M1173" i="37"/>
  <c r="L1173" i="37"/>
  <c r="K1173" i="37"/>
  <c r="J1173" i="37"/>
  <c r="I1173" i="37"/>
  <c r="H1173" i="37"/>
  <c r="G1173" i="37"/>
  <c r="F1173" i="37"/>
  <c r="E1173" i="37"/>
  <c r="D1173" i="37"/>
  <c r="C1173" i="37"/>
  <c r="B1173" i="37"/>
  <c r="R1172" i="37"/>
  <c r="Q1172" i="37"/>
  <c r="P1172" i="37"/>
  <c r="O1172" i="37"/>
  <c r="N1172" i="37"/>
  <c r="M1172" i="37"/>
  <c r="L1172" i="37"/>
  <c r="K1172" i="37"/>
  <c r="J1172" i="37"/>
  <c r="I1172" i="37"/>
  <c r="H1172" i="37"/>
  <c r="G1172" i="37"/>
  <c r="F1172" i="37"/>
  <c r="E1172" i="37"/>
  <c r="D1172" i="37"/>
  <c r="C1172" i="37"/>
  <c r="B1172" i="37"/>
  <c r="R1171" i="37"/>
  <c r="Q1171" i="37"/>
  <c r="P1171" i="37"/>
  <c r="O1171" i="37"/>
  <c r="N1171" i="37"/>
  <c r="M1171" i="37"/>
  <c r="L1171" i="37"/>
  <c r="K1171" i="37"/>
  <c r="J1171" i="37"/>
  <c r="I1171" i="37"/>
  <c r="H1171" i="37"/>
  <c r="G1171" i="37"/>
  <c r="F1171" i="37"/>
  <c r="E1171" i="37"/>
  <c r="D1171" i="37"/>
  <c r="C1171" i="37"/>
  <c r="B1171" i="37"/>
  <c r="R1170" i="37"/>
  <c r="Q1170" i="37"/>
  <c r="P1170" i="37"/>
  <c r="O1170" i="37"/>
  <c r="N1170" i="37"/>
  <c r="M1170" i="37"/>
  <c r="L1170" i="37"/>
  <c r="K1170" i="37"/>
  <c r="J1170" i="37"/>
  <c r="I1170" i="37"/>
  <c r="H1170" i="37"/>
  <c r="G1170" i="37"/>
  <c r="F1170" i="37"/>
  <c r="E1170" i="37"/>
  <c r="D1170" i="37"/>
  <c r="C1170" i="37"/>
  <c r="B1170" i="37"/>
  <c r="R1169" i="37"/>
  <c r="Q1169" i="37"/>
  <c r="P1169" i="37"/>
  <c r="O1169" i="37"/>
  <c r="N1169" i="37"/>
  <c r="M1169" i="37"/>
  <c r="L1169" i="37"/>
  <c r="K1169" i="37"/>
  <c r="J1169" i="37"/>
  <c r="I1169" i="37"/>
  <c r="H1169" i="37"/>
  <c r="G1169" i="37"/>
  <c r="F1169" i="37"/>
  <c r="E1169" i="37"/>
  <c r="D1169" i="37"/>
  <c r="C1169" i="37"/>
  <c r="B1169" i="37"/>
  <c r="R1168" i="37"/>
  <c r="Q1168" i="37"/>
  <c r="P1168" i="37"/>
  <c r="O1168" i="37"/>
  <c r="N1168" i="37"/>
  <c r="M1168" i="37"/>
  <c r="L1168" i="37"/>
  <c r="K1168" i="37"/>
  <c r="J1168" i="37"/>
  <c r="I1168" i="37"/>
  <c r="H1168" i="37"/>
  <c r="G1168" i="37"/>
  <c r="F1168" i="37"/>
  <c r="E1168" i="37"/>
  <c r="D1168" i="37"/>
  <c r="C1168" i="37"/>
  <c r="B1168" i="37"/>
  <c r="R1167" i="37"/>
  <c r="Q1167" i="37"/>
  <c r="P1167" i="37"/>
  <c r="O1167" i="37"/>
  <c r="N1167" i="37"/>
  <c r="M1167" i="37"/>
  <c r="L1167" i="37"/>
  <c r="K1167" i="37"/>
  <c r="J1167" i="37"/>
  <c r="I1167" i="37"/>
  <c r="H1167" i="37"/>
  <c r="G1167" i="37"/>
  <c r="F1167" i="37"/>
  <c r="E1167" i="37"/>
  <c r="D1167" i="37"/>
  <c r="C1167" i="37"/>
  <c r="B1167" i="37"/>
  <c r="R1166" i="37"/>
  <c r="Q1166" i="37"/>
  <c r="P1166" i="37"/>
  <c r="O1166" i="37"/>
  <c r="N1166" i="37"/>
  <c r="M1166" i="37"/>
  <c r="L1166" i="37"/>
  <c r="K1166" i="37"/>
  <c r="J1166" i="37"/>
  <c r="I1166" i="37"/>
  <c r="H1166" i="37"/>
  <c r="G1166" i="37"/>
  <c r="F1166" i="37"/>
  <c r="E1166" i="37"/>
  <c r="D1166" i="37"/>
  <c r="C1166" i="37"/>
  <c r="B1166" i="37"/>
  <c r="R1165" i="37"/>
  <c r="Q1165" i="37"/>
  <c r="P1165" i="37"/>
  <c r="O1165" i="37"/>
  <c r="N1165" i="37"/>
  <c r="M1165" i="37"/>
  <c r="L1165" i="37"/>
  <c r="K1165" i="37"/>
  <c r="J1165" i="37"/>
  <c r="I1165" i="37"/>
  <c r="H1165" i="37"/>
  <c r="G1165" i="37"/>
  <c r="F1165" i="37"/>
  <c r="E1165" i="37"/>
  <c r="D1165" i="37"/>
  <c r="C1165" i="37"/>
  <c r="B1165" i="37"/>
  <c r="R1164" i="37"/>
  <c r="Q1164" i="37"/>
  <c r="P1164" i="37"/>
  <c r="O1164" i="37"/>
  <c r="N1164" i="37"/>
  <c r="M1164" i="37"/>
  <c r="L1164" i="37"/>
  <c r="K1164" i="37"/>
  <c r="J1164" i="37"/>
  <c r="I1164" i="37"/>
  <c r="H1164" i="37"/>
  <c r="G1164" i="37"/>
  <c r="F1164" i="37"/>
  <c r="E1164" i="37"/>
  <c r="D1164" i="37"/>
  <c r="C1164" i="37"/>
  <c r="B1164" i="37"/>
  <c r="R1163" i="37"/>
  <c r="Q1163" i="37"/>
  <c r="P1163" i="37"/>
  <c r="O1163" i="37"/>
  <c r="N1163" i="37"/>
  <c r="M1163" i="37"/>
  <c r="L1163" i="37"/>
  <c r="K1163" i="37"/>
  <c r="J1163" i="37"/>
  <c r="I1163" i="37"/>
  <c r="H1163" i="37"/>
  <c r="G1163" i="37"/>
  <c r="F1163" i="37"/>
  <c r="E1163" i="37"/>
  <c r="D1163" i="37"/>
  <c r="C1163" i="37"/>
  <c r="B1163" i="37"/>
  <c r="R1162" i="37"/>
  <c r="Q1162" i="37"/>
  <c r="P1162" i="37"/>
  <c r="O1162" i="37"/>
  <c r="N1162" i="37"/>
  <c r="M1162" i="37"/>
  <c r="L1162" i="37"/>
  <c r="K1162" i="37"/>
  <c r="J1162" i="37"/>
  <c r="I1162" i="37"/>
  <c r="H1162" i="37"/>
  <c r="G1162" i="37"/>
  <c r="F1162" i="37"/>
  <c r="E1162" i="37"/>
  <c r="D1162" i="37"/>
  <c r="C1162" i="37"/>
  <c r="B1162" i="37"/>
  <c r="R1161" i="37"/>
  <c r="Q1161" i="37"/>
  <c r="P1161" i="37"/>
  <c r="O1161" i="37"/>
  <c r="N1161" i="37"/>
  <c r="M1161" i="37"/>
  <c r="L1161" i="37"/>
  <c r="K1161" i="37"/>
  <c r="J1161" i="37"/>
  <c r="I1161" i="37"/>
  <c r="H1161" i="37"/>
  <c r="G1161" i="37"/>
  <c r="F1161" i="37"/>
  <c r="E1161" i="37"/>
  <c r="D1161" i="37"/>
  <c r="C1161" i="37"/>
  <c r="B1161" i="37"/>
  <c r="R1160" i="37"/>
  <c r="Q1160" i="37"/>
  <c r="P1160" i="37"/>
  <c r="O1160" i="37"/>
  <c r="N1160" i="37"/>
  <c r="M1160" i="37"/>
  <c r="L1160" i="37"/>
  <c r="K1160" i="37"/>
  <c r="J1160" i="37"/>
  <c r="I1160" i="37"/>
  <c r="H1160" i="37"/>
  <c r="G1160" i="37"/>
  <c r="F1160" i="37"/>
  <c r="E1160" i="37"/>
  <c r="D1160" i="37"/>
  <c r="C1160" i="37"/>
  <c r="B1160" i="37"/>
  <c r="R1159" i="37"/>
  <c r="Q1159" i="37"/>
  <c r="P1159" i="37"/>
  <c r="O1159" i="37"/>
  <c r="N1159" i="37"/>
  <c r="M1159" i="37"/>
  <c r="L1159" i="37"/>
  <c r="K1159" i="37"/>
  <c r="J1159" i="37"/>
  <c r="I1159" i="37"/>
  <c r="H1159" i="37"/>
  <c r="G1159" i="37"/>
  <c r="F1159" i="37"/>
  <c r="E1159" i="37"/>
  <c r="D1159" i="37"/>
  <c r="C1159" i="37"/>
  <c r="B1159" i="37"/>
  <c r="R1158" i="37"/>
  <c r="Q1158" i="37"/>
  <c r="P1158" i="37"/>
  <c r="O1158" i="37"/>
  <c r="N1158" i="37"/>
  <c r="M1158" i="37"/>
  <c r="L1158" i="37"/>
  <c r="K1158" i="37"/>
  <c r="J1158" i="37"/>
  <c r="I1158" i="37"/>
  <c r="H1158" i="37"/>
  <c r="G1158" i="37"/>
  <c r="F1158" i="37"/>
  <c r="E1158" i="37"/>
  <c r="D1158" i="37"/>
  <c r="C1158" i="37"/>
  <c r="B1158" i="37"/>
  <c r="R1157" i="37"/>
  <c r="Q1157" i="37"/>
  <c r="P1157" i="37"/>
  <c r="O1157" i="37"/>
  <c r="N1157" i="37"/>
  <c r="M1157" i="37"/>
  <c r="L1157" i="37"/>
  <c r="K1157" i="37"/>
  <c r="J1157" i="37"/>
  <c r="I1157" i="37"/>
  <c r="H1157" i="37"/>
  <c r="G1157" i="37"/>
  <c r="F1157" i="37"/>
  <c r="E1157" i="37"/>
  <c r="D1157" i="37"/>
  <c r="C1157" i="37"/>
  <c r="B1157" i="37"/>
  <c r="R1156" i="37"/>
  <c r="Q1156" i="37"/>
  <c r="P1156" i="37"/>
  <c r="O1156" i="37"/>
  <c r="N1156" i="37"/>
  <c r="M1156" i="37"/>
  <c r="L1156" i="37"/>
  <c r="K1156" i="37"/>
  <c r="J1156" i="37"/>
  <c r="I1156" i="37"/>
  <c r="H1156" i="37"/>
  <c r="G1156" i="37"/>
  <c r="F1156" i="37"/>
  <c r="E1156" i="37"/>
  <c r="D1156" i="37"/>
  <c r="C1156" i="37"/>
  <c r="B1156" i="37"/>
  <c r="R1155" i="37"/>
  <c r="Q1155" i="37"/>
  <c r="P1155" i="37"/>
  <c r="O1155" i="37"/>
  <c r="N1155" i="37"/>
  <c r="M1155" i="37"/>
  <c r="L1155" i="37"/>
  <c r="K1155" i="37"/>
  <c r="J1155" i="37"/>
  <c r="I1155" i="37"/>
  <c r="H1155" i="37"/>
  <c r="G1155" i="37"/>
  <c r="F1155" i="37"/>
  <c r="E1155" i="37"/>
  <c r="D1155" i="37"/>
  <c r="C1155" i="37"/>
  <c r="B1155" i="37"/>
  <c r="R1154" i="37"/>
  <c r="Q1154" i="37"/>
  <c r="P1154" i="37"/>
  <c r="O1154" i="37"/>
  <c r="N1154" i="37"/>
  <c r="M1154" i="37"/>
  <c r="L1154" i="37"/>
  <c r="K1154" i="37"/>
  <c r="J1154" i="37"/>
  <c r="I1154" i="37"/>
  <c r="H1154" i="37"/>
  <c r="G1154" i="37"/>
  <c r="F1154" i="37"/>
  <c r="E1154" i="37"/>
  <c r="D1154" i="37"/>
  <c r="C1154" i="37"/>
  <c r="B1154" i="37"/>
  <c r="R1153" i="37"/>
  <c r="Q1153" i="37"/>
  <c r="P1153" i="37"/>
  <c r="O1153" i="37"/>
  <c r="N1153" i="37"/>
  <c r="M1153" i="37"/>
  <c r="L1153" i="37"/>
  <c r="K1153" i="37"/>
  <c r="J1153" i="37"/>
  <c r="I1153" i="37"/>
  <c r="H1153" i="37"/>
  <c r="G1153" i="37"/>
  <c r="F1153" i="37"/>
  <c r="E1153" i="37"/>
  <c r="D1153" i="37"/>
  <c r="C1153" i="37"/>
  <c r="B1153" i="37"/>
  <c r="R1152" i="37"/>
  <c r="Q1152" i="37"/>
  <c r="P1152" i="37"/>
  <c r="O1152" i="37"/>
  <c r="N1152" i="37"/>
  <c r="M1152" i="37"/>
  <c r="L1152" i="37"/>
  <c r="K1152" i="37"/>
  <c r="J1152" i="37"/>
  <c r="I1152" i="37"/>
  <c r="H1152" i="37"/>
  <c r="G1152" i="37"/>
  <c r="F1152" i="37"/>
  <c r="E1152" i="37"/>
  <c r="D1152" i="37"/>
  <c r="C1152" i="37"/>
  <c r="B1152" i="37"/>
  <c r="R1151" i="37"/>
  <c r="Q1151" i="37"/>
  <c r="P1151" i="37"/>
  <c r="O1151" i="37"/>
  <c r="N1151" i="37"/>
  <c r="M1151" i="37"/>
  <c r="L1151" i="37"/>
  <c r="K1151" i="37"/>
  <c r="J1151" i="37"/>
  <c r="I1151" i="37"/>
  <c r="H1151" i="37"/>
  <c r="G1151" i="37"/>
  <c r="F1151" i="37"/>
  <c r="E1151" i="37"/>
  <c r="D1151" i="37"/>
  <c r="C1151" i="37"/>
  <c r="B1151" i="37"/>
  <c r="R1150" i="37"/>
  <c r="Q1150" i="37"/>
  <c r="P1150" i="37"/>
  <c r="O1150" i="37"/>
  <c r="N1150" i="37"/>
  <c r="M1150" i="37"/>
  <c r="L1150" i="37"/>
  <c r="K1150" i="37"/>
  <c r="J1150" i="37"/>
  <c r="I1150" i="37"/>
  <c r="H1150" i="37"/>
  <c r="G1150" i="37"/>
  <c r="F1150" i="37"/>
  <c r="E1150" i="37"/>
  <c r="D1150" i="37"/>
  <c r="C1150" i="37"/>
  <c r="B1150" i="37"/>
  <c r="R1149" i="37"/>
  <c r="Q1149" i="37"/>
  <c r="P1149" i="37"/>
  <c r="O1149" i="37"/>
  <c r="N1149" i="37"/>
  <c r="M1149" i="37"/>
  <c r="L1149" i="37"/>
  <c r="K1149" i="37"/>
  <c r="J1149" i="37"/>
  <c r="I1149" i="37"/>
  <c r="H1149" i="37"/>
  <c r="G1149" i="37"/>
  <c r="F1149" i="37"/>
  <c r="E1149" i="37"/>
  <c r="D1149" i="37"/>
  <c r="C1149" i="37"/>
  <c r="B1149" i="37"/>
  <c r="R1148" i="37"/>
  <c r="Q1148" i="37"/>
  <c r="P1148" i="37"/>
  <c r="O1148" i="37"/>
  <c r="N1148" i="37"/>
  <c r="M1148" i="37"/>
  <c r="L1148" i="37"/>
  <c r="K1148" i="37"/>
  <c r="J1148" i="37"/>
  <c r="I1148" i="37"/>
  <c r="H1148" i="37"/>
  <c r="G1148" i="37"/>
  <c r="F1148" i="37"/>
  <c r="E1148" i="37"/>
  <c r="D1148" i="37"/>
  <c r="C1148" i="37"/>
  <c r="B1148" i="37"/>
  <c r="R1147" i="37"/>
  <c r="Q1147" i="37"/>
  <c r="P1147" i="37"/>
  <c r="O1147" i="37"/>
  <c r="N1147" i="37"/>
  <c r="M1147" i="37"/>
  <c r="L1147" i="37"/>
  <c r="K1147" i="37"/>
  <c r="J1147" i="37"/>
  <c r="I1147" i="37"/>
  <c r="H1147" i="37"/>
  <c r="G1147" i="37"/>
  <c r="F1147" i="37"/>
  <c r="E1147" i="37"/>
  <c r="D1147" i="37"/>
  <c r="C1147" i="37"/>
  <c r="B1147" i="37"/>
  <c r="R1146" i="37"/>
  <c r="Q1146" i="37"/>
  <c r="P1146" i="37"/>
  <c r="O1146" i="37"/>
  <c r="N1146" i="37"/>
  <c r="M1146" i="37"/>
  <c r="L1146" i="37"/>
  <c r="K1146" i="37"/>
  <c r="J1146" i="37"/>
  <c r="I1146" i="37"/>
  <c r="H1146" i="37"/>
  <c r="G1146" i="37"/>
  <c r="F1146" i="37"/>
  <c r="E1146" i="37"/>
  <c r="D1146" i="37"/>
  <c r="C1146" i="37"/>
  <c r="B1146" i="37"/>
  <c r="R1145" i="37"/>
  <c r="Q1145" i="37"/>
  <c r="P1145" i="37"/>
  <c r="O1145" i="37"/>
  <c r="N1145" i="37"/>
  <c r="M1145" i="37"/>
  <c r="L1145" i="37"/>
  <c r="K1145" i="37"/>
  <c r="J1145" i="37"/>
  <c r="I1145" i="37"/>
  <c r="H1145" i="37"/>
  <c r="G1145" i="37"/>
  <c r="F1145" i="37"/>
  <c r="E1145" i="37"/>
  <c r="D1145" i="37"/>
  <c r="C1145" i="37"/>
  <c r="B1145" i="37"/>
  <c r="R1144" i="37"/>
  <c r="Q1144" i="37"/>
  <c r="P1144" i="37"/>
  <c r="O1144" i="37"/>
  <c r="N1144" i="37"/>
  <c r="M1144" i="37"/>
  <c r="L1144" i="37"/>
  <c r="K1144" i="37"/>
  <c r="J1144" i="37"/>
  <c r="I1144" i="37"/>
  <c r="H1144" i="37"/>
  <c r="G1144" i="37"/>
  <c r="F1144" i="37"/>
  <c r="E1144" i="37"/>
  <c r="D1144" i="37"/>
  <c r="C1144" i="37"/>
  <c r="B1144" i="37"/>
  <c r="R1143" i="37"/>
  <c r="Q1143" i="37"/>
  <c r="P1143" i="37"/>
  <c r="O1143" i="37"/>
  <c r="N1143" i="37"/>
  <c r="M1143" i="37"/>
  <c r="L1143" i="37"/>
  <c r="K1143" i="37"/>
  <c r="J1143" i="37"/>
  <c r="I1143" i="37"/>
  <c r="H1143" i="37"/>
  <c r="G1143" i="37"/>
  <c r="F1143" i="37"/>
  <c r="E1143" i="37"/>
  <c r="D1143" i="37"/>
  <c r="C1143" i="37"/>
  <c r="B1143" i="37"/>
  <c r="R1142" i="37"/>
  <c r="Q1142" i="37"/>
  <c r="P1142" i="37"/>
  <c r="O1142" i="37"/>
  <c r="N1142" i="37"/>
  <c r="M1142" i="37"/>
  <c r="L1142" i="37"/>
  <c r="K1142" i="37"/>
  <c r="J1142" i="37"/>
  <c r="I1142" i="37"/>
  <c r="H1142" i="37"/>
  <c r="G1142" i="37"/>
  <c r="F1142" i="37"/>
  <c r="E1142" i="37"/>
  <c r="D1142" i="37"/>
  <c r="C1142" i="37"/>
  <c r="B1142" i="37"/>
  <c r="R1141" i="37"/>
  <c r="Q1141" i="37"/>
  <c r="P1141" i="37"/>
  <c r="O1141" i="37"/>
  <c r="N1141" i="37"/>
  <c r="M1141" i="37"/>
  <c r="L1141" i="37"/>
  <c r="K1141" i="37"/>
  <c r="J1141" i="37"/>
  <c r="I1141" i="37"/>
  <c r="H1141" i="37"/>
  <c r="G1141" i="37"/>
  <c r="F1141" i="37"/>
  <c r="E1141" i="37"/>
  <c r="D1141" i="37"/>
  <c r="C1141" i="37"/>
  <c r="B1141" i="37"/>
  <c r="R1140" i="37"/>
  <c r="Q1140" i="37"/>
  <c r="P1140" i="37"/>
  <c r="O1140" i="37"/>
  <c r="N1140" i="37"/>
  <c r="M1140" i="37"/>
  <c r="L1140" i="37"/>
  <c r="K1140" i="37"/>
  <c r="J1140" i="37"/>
  <c r="I1140" i="37"/>
  <c r="H1140" i="37"/>
  <c r="G1140" i="37"/>
  <c r="F1140" i="37"/>
  <c r="E1140" i="37"/>
  <c r="D1140" i="37"/>
  <c r="C1140" i="37"/>
  <c r="B1140" i="37"/>
  <c r="R1139" i="37"/>
  <c r="Q1139" i="37"/>
  <c r="P1139" i="37"/>
  <c r="O1139" i="37"/>
  <c r="N1139" i="37"/>
  <c r="M1139" i="37"/>
  <c r="L1139" i="37"/>
  <c r="K1139" i="37"/>
  <c r="J1139" i="37"/>
  <c r="I1139" i="37"/>
  <c r="H1139" i="37"/>
  <c r="G1139" i="37"/>
  <c r="F1139" i="37"/>
  <c r="E1139" i="37"/>
  <c r="D1139" i="37"/>
  <c r="C1139" i="37"/>
  <c r="B1139" i="37"/>
  <c r="R1138" i="37"/>
  <c r="Q1138" i="37"/>
  <c r="P1138" i="37"/>
  <c r="O1138" i="37"/>
  <c r="N1138" i="37"/>
  <c r="M1138" i="37"/>
  <c r="L1138" i="37"/>
  <c r="K1138" i="37"/>
  <c r="J1138" i="37"/>
  <c r="I1138" i="37"/>
  <c r="H1138" i="37"/>
  <c r="G1138" i="37"/>
  <c r="F1138" i="37"/>
  <c r="E1138" i="37"/>
  <c r="D1138" i="37"/>
  <c r="C1138" i="37"/>
  <c r="B1138" i="37"/>
  <c r="R1137" i="37"/>
  <c r="Q1137" i="37"/>
  <c r="P1137" i="37"/>
  <c r="O1137" i="37"/>
  <c r="N1137" i="37"/>
  <c r="M1137" i="37"/>
  <c r="L1137" i="37"/>
  <c r="K1137" i="37"/>
  <c r="J1137" i="37"/>
  <c r="I1137" i="37"/>
  <c r="H1137" i="37"/>
  <c r="G1137" i="37"/>
  <c r="F1137" i="37"/>
  <c r="E1137" i="37"/>
  <c r="D1137" i="37"/>
  <c r="C1137" i="37"/>
  <c r="B1137" i="37"/>
  <c r="R1136" i="37"/>
  <c r="Q1136" i="37"/>
  <c r="P1136" i="37"/>
  <c r="O1136" i="37"/>
  <c r="N1136" i="37"/>
  <c r="M1136" i="37"/>
  <c r="L1136" i="37"/>
  <c r="K1136" i="37"/>
  <c r="J1136" i="37"/>
  <c r="I1136" i="37"/>
  <c r="H1136" i="37"/>
  <c r="G1136" i="37"/>
  <c r="F1136" i="37"/>
  <c r="E1136" i="37"/>
  <c r="D1136" i="37"/>
  <c r="C1136" i="37"/>
  <c r="B1136" i="37"/>
  <c r="R1135" i="37"/>
  <c r="Q1135" i="37"/>
  <c r="P1135" i="37"/>
  <c r="O1135" i="37"/>
  <c r="N1135" i="37"/>
  <c r="M1135" i="37"/>
  <c r="L1135" i="37"/>
  <c r="K1135" i="37"/>
  <c r="J1135" i="37"/>
  <c r="I1135" i="37"/>
  <c r="H1135" i="37"/>
  <c r="G1135" i="37"/>
  <c r="F1135" i="37"/>
  <c r="E1135" i="37"/>
  <c r="D1135" i="37"/>
  <c r="C1135" i="37"/>
  <c r="B1135" i="37"/>
  <c r="R1134" i="37"/>
  <c r="Q1134" i="37"/>
  <c r="P1134" i="37"/>
  <c r="O1134" i="37"/>
  <c r="N1134" i="37"/>
  <c r="M1134" i="37"/>
  <c r="L1134" i="37"/>
  <c r="K1134" i="37"/>
  <c r="J1134" i="37"/>
  <c r="I1134" i="37"/>
  <c r="H1134" i="37"/>
  <c r="G1134" i="37"/>
  <c r="F1134" i="37"/>
  <c r="E1134" i="37"/>
  <c r="D1134" i="37"/>
  <c r="C1134" i="37"/>
  <c r="B1134" i="37"/>
  <c r="R1133" i="37"/>
  <c r="Q1133" i="37"/>
  <c r="P1133" i="37"/>
  <c r="O1133" i="37"/>
  <c r="N1133" i="37"/>
  <c r="M1133" i="37"/>
  <c r="L1133" i="37"/>
  <c r="K1133" i="37"/>
  <c r="J1133" i="37"/>
  <c r="I1133" i="37"/>
  <c r="H1133" i="37"/>
  <c r="G1133" i="37"/>
  <c r="F1133" i="37"/>
  <c r="E1133" i="37"/>
  <c r="D1133" i="37"/>
  <c r="C1133" i="37"/>
  <c r="B1133" i="37"/>
  <c r="R1132" i="37"/>
  <c r="Q1132" i="37"/>
  <c r="P1132" i="37"/>
  <c r="O1132" i="37"/>
  <c r="N1132" i="37"/>
  <c r="M1132" i="37"/>
  <c r="L1132" i="37"/>
  <c r="K1132" i="37"/>
  <c r="J1132" i="37"/>
  <c r="I1132" i="37"/>
  <c r="H1132" i="37"/>
  <c r="G1132" i="37"/>
  <c r="F1132" i="37"/>
  <c r="E1132" i="37"/>
  <c r="D1132" i="37"/>
  <c r="C1132" i="37"/>
  <c r="B1132" i="37"/>
  <c r="R1131" i="37"/>
  <c r="Q1131" i="37"/>
  <c r="P1131" i="37"/>
  <c r="O1131" i="37"/>
  <c r="N1131" i="37"/>
  <c r="M1131" i="37"/>
  <c r="L1131" i="37"/>
  <c r="K1131" i="37"/>
  <c r="J1131" i="37"/>
  <c r="I1131" i="37"/>
  <c r="H1131" i="37"/>
  <c r="G1131" i="37"/>
  <c r="F1131" i="37"/>
  <c r="E1131" i="37"/>
  <c r="D1131" i="37"/>
  <c r="C1131" i="37"/>
  <c r="B1131" i="37"/>
  <c r="R1130" i="37"/>
  <c r="Q1130" i="37"/>
  <c r="P1130" i="37"/>
  <c r="O1130" i="37"/>
  <c r="N1130" i="37"/>
  <c r="M1130" i="37"/>
  <c r="L1130" i="37"/>
  <c r="K1130" i="37"/>
  <c r="J1130" i="37"/>
  <c r="I1130" i="37"/>
  <c r="H1130" i="37"/>
  <c r="G1130" i="37"/>
  <c r="F1130" i="37"/>
  <c r="E1130" i="37"/>
  <c r="D1130" i="37"/>
  <c r="C1130" i="37"/>
  <c r="B1130" i="37"/>
  <c r="R1129" i="37"/>
  <c r="Q1129" i="37"/>
  <c r="P1129" i="37"/>
  <c r="O1129" i="37"/>
  <c r="N1129" i="37"/>
  <c r="M1129" i="37"/>
  <c r="L1129" i="37"/>
  <c r="K1129" i="37"/>
  <c r="J1129" i="37"/>
  <c r="I1129" i="37"/>
  <c r="H1129" i="37"/>
  <c r="G1129" i="37"/>
  <c r="F1129" i="37"/>
  <c r="E1129" i="37"/>
  <c r="D1129" i="37"/>
  <c r="C1129" i="37"/>
  <c r="B1129" i="37"/>
  <c r="R1128" i="37"/>
  <c r="Q1128" i="37"/>
  <c r="P1128" i="37"/>
  <c r="O1128" i="37"/>
  <c r="N1128" i="37"/>
  <c r="M1128" i="37"/>
  <c r="L1128" i="37"/>
  <c r="K1128" i="37"/>
  <c r="J1128" i="37"/>
  <c r="I1128" i="37"/>
  <c r="H1128" i="37"/>
  <c r="G1128" i="37"/>
  <c r="F1128" i="37"/>
  <c r="E1128" i="37"/>
  <c r="D1128" i="37"/>
  <c r="C1128" i="37"/>
  <c r="B1128" i="37"/>
  <c r="R1127" i="37"/>
  <c r="Q1127" i="37"/>
  <c r="P1127" i="37"/>
  <c r="O1127" i="37"/>
  <c r="N1127" i="37"/>
  <c r="M1127" i="37"/>
  <c r="L1127" i="37"/>
  <c r="K1127" i="37"/>
  <c r="J1127" i="37"/>
  <c r="I1127" i="37"/>
  <c r="H1127" i="37"/>
  <c r="G1127" i="37"/>
  <c r="F1127" i="37"/>
  <c r="E1127" i="37"/>
  <c r="D1127" i="37"/>
  <c r="C1127" i="37"/>
  <c r="B1127" i="37"/>
  <c r="R1126" i="37"/>
  <c r="Q1126" i="37"/>
  <c r="P1126" i="37"/>
  <c r="O1126" i="37"/>
  <c r="N1126" i="37"/>
  <c r="M1126" i="37"/>
  <c r="L1126" i="37"/>
  <c r="K1126" i="37"/>
  <c r="J1126" i="37"/>
  <c r="I1126" i="37"/>
  <c r="H1126" i="37"/>
  <c r="G1126" i="37"/>
  <c r="F1126" i="37"/>
  <c r="E1126" i="37"/>
  <c r="D1126" i="37"/>
  <c r="C1126" i="37"/>
  <c r="B1126" i="37"/>
  <c r="R1125" i="37"/>
  <c r="Q1125" i="37"/>
  <c r="P1125" i="37"/>
  <c r="O1125" i="37"/>
  <c r="N1125" i="37"/>
  <c r="M1125" i="37"/>
  <c r="L1125" i="37"/>
  <c r="K1125" i="37"/>
  <c r="J1125" i="37"/>
  <c r="I1125" i="37"/>
  <c r="H1125" i="37"/>
  <c r="G1125" i="37"/>
  <c r="F1125" i="37"/>
  <c r="E1125" i="37"/>
  <c r="D1125" i="37"/>
  <c r="C1125" i="37"/>
  <c r="B1125" i="37"/>
  <c r="R1124" i="37"/>
  <c r="Q1124" i="37"/>
  <c r="P1124" i="37"/>
  <c r="O1124" i="37"/>
  <c r="N1124" i="37"/>
  <c r="M1124" i="37"/>
  <c r="L1124" i="37"/>
  <c r="K1124" i="37"/>
  <c r="J1124" i="37"/>
  <c r="I1124" i="37"/>
  <c r="H1124" i="37"/>
  <c r="G1124" i="37"/>
  <c r="F1124" i="37"/>
  <c r="E1124" i="37"/>
  <c r="D1124" i="37"/>
  <c r="C1124" i="37"/>
  <c r="B1124" i="37"/>
  <c r="R1123" i="37"/>
  <c r="Q1123" i="37"/>
  <c r="P1123" i="37"/>
  <c r="O1123" i="37"/>
  <c r="N1123" i="37"/>
  <c r="M1123" i="37"/>
  <c r="L1123" i="37"/>
  <c r="K1123" i="37"/>
  <c r="J1123" i="37"/>
  <c r="I1123" i="37"/>
  <c r="H1123" i="37"/>
  <c r="G1123" i="37"/>
  <c r="F1123" i="37"/>
  <c r="E1123" i="37"/>
  <c r="D1123" i="37"/>
  <c r="C1123" i="37"/>
  <c r="B1123" i="37"/>
  <c r="R1122" i="37"/>
  <c r="Q1122" i="37"/>
  <c r="P1122" i="37"/>
  <c r="O1122" i="37"/>
  <c r="N1122" i="37"/>
  <c r="M1122" i="37"/>
  <c r="L1122" i="37"/>
  <c r="K1122" i="37"/>
  <c r="J1122" i="37"/>
  <c r="I1122" i="37"/>
  <c r="H1122" i="37"/>
  <c r="G1122" i="37"/>
  <c r="F1122" i="37"/>
  <c r="E1122" i="37"/>
  <c r="D1122" i="37"/>
  <c r="C1122" i="37"/>
  <c r="B1122" i="37"/>
  <c r="R1121" i="37"/>
  <c r="Q1121" i="37"/>
  <c r="P1121" i="37"/>
  <c r="O1121" i="37"/>
  <c r="N1121" i="37"/>
  <c r="M1121" i="37"/>
  <c r="L1121" i="37"/>
  <c r="K1121" i="37"/>
  <c r="J1121" i="37"/>
  <c r="I1121" i="37"/>
  <c r="H1121" i="37"/>
  <c r="G1121" i="37"/>
  <c r="F1121" i="37"/>
  <c r="E1121" i="37"/>
  <c r="D1121" i="37"/>
  <c r="C1121" i="37"/>
  <c r="B1121" i="37"/>
  <c r="R1120" i="37"/>
  <c r="Q1120" i="37"/>
  <c r="P1120" i="37"/>
  <c r="O1120" i="37"/>
  <c r="N1120" i="37"/>
  <c r="M1120" i="37"/>
  <c r="L1120" i="37"/>
  <c r="K1120" i="37"/>
  <c r="J1120" i="37"/>
  <c r="I1120" i="37"/>
  <c r="H1120" i="37"/>
  <c r="G1120" i="37"/>
  <c r="F1120" i="37"/>
  <c r="E1120" i="37"/>
  <c r="D1120" i="37"/>
  <c r="C1120" i="37"/>
  <c r="B1120" i="37"/>
  <c r="R1119" i="37"/>
  <c r="Q1119" i="37"/>
  <c r="P1119" i="37"/>
  <c r="O1119" i="37"/>
  <c r="N1119" i="37"/>
  <c r="M1119" i="37"/>
  <c r="L1119" i="37"/>
  <c r="K1119" i="37"/>
  <c r="J1119" i="37"/>
  <c r="I1119" i="37"/>
  <c r="H1119" i="37"/>
  <c r="G1119" i="37"/>
  <c r="F1119" i="37"/>
  <c r="E1119" i="37"/>
  <c r="D1119" i="37"/>
  <c r="C1119" i="37"/>
  <c r="B1119" i="37"/>
  <c r="R1118" i="37"/>
  <c r="Q1118" i="37"/>
  <c r="P1118" i="37"/>
  <c r="O1118" i="37"/>
  <c r="N1118" i="37"/>
  <c r="M1118" i="37"/>
  <c r="L1118" i="37"/>
  <c r="K1118" i="37"/>
  <c r="J1118" i="37"/>
  <c r="I1118" i="37"/>
  <c r="H1118" i="37"/>
  <c r="G1118" i="37"/>
  <c r="F1118" i="37"/>
  <c r="E1118" i="37"/>
  <c r="D1118" i="37"/>
  <c r="C1118" i="37"/>
  <c r="B1118" i="37"/>
  <c r="R1117" i="37"/>
  <c r="Q1117" i="37"/>
  <c r="P1117" i="37"/>
  <c r="O1117" i="37"/>
  <c r="N1117" i="37"/>
  <c r="M1117" i="37"/>
  <c r="L1117" i="37"/>
  <c r="K1117" i="37"/>
  <c r="J1117" i="37"/>
  <c r="I1117" i="37"/>
  <c r="H1117" i="37"/>
  <c r="G1117" i="37"/>
  <c r="F1117" i="37"/>
  <c r="E1117" i="37"/>
  <c r="D1117" i="37"/>
  <c r="C1117" i="37"/>
  <c r="B1117" i="37"/>
  <c r="R1116" i="37"/>
  <c r="Q1116" i="37"/>
  <c r="P1116" i="37"/>
  <c r="O1116" i="37"/>
  <c r="N1116" i="37"/>
  <c r="M1116" i="37"/>
  <c r="L1116" i="37"/>
  <c r="K1116" i="37"/>
  <c r="J1116" i="37"/>
  <c r="I1116" i="37"/>
  <c r="H1116" i="37"/>
  <c r="G1116" i="37"/>
  <c r="F1116" i="37"/>
  <c r="E1116" i="37"/>
  <c r="D1116" i="37"/>
  <c r="C1116" i="37"/>
  <c r="B1116" i="37"/>
  <c r="R1115" i="37"/>
  <c r="Q1115" i="37"/>
  <c r="P1115" i="37"/>
  <c r="O1115" i="37"/>
  <c r="N1115" i="37"/>
  <c r="M1115" i="37"/>
  <c r="L1115" i="37"/>
  <c r="K1115" i="37"/>
  <c r="J1115" i="37"/>
  <c r="I1115" i="37"/>
  <c r="H1115" i="37"/>
  <c r="G1115" i="37"/>
  <c r="F1115" i="37"/>
  <c r="E1115" i="37"/>
  <c r="D1115" i="37"/>
  <c r="C1115" i="37"/>
  <c r="B1115" i="37"/>
  <c r="R1114" i="37"/>
  <c r="Q1114" i="37"/>
  <c r="P1114" i="37"/>
  <c r="O1114" i="37"/>
  <c r="N1114" i="37"/>
  <c r="M1114" i="37"/>
  <c r="L1114" i="37"/>
  <c r="K1114" i="37"/>
  <c r="J1114" i="37"/>
  <c r="I1114" i="37"/>
  <c r="H1114" i="37"/>
  <c r="G1114" i="37"/>
  <c r="F1114" i="37"/>
  <c r="E1114" i="37"/>
  <c r="D1114" i="37"/>
  <c r="C1114" i="37"/>
  <c r="B1114" i="37"/>
  <c r="R1113" i="37"/>
  <c r="Q1113" i="37"/>
  <c r="P1113" i="37"/>
  <c r="O1113" i="37"/>
  <c r="N1113" i="37"/>
  <c r="M1113" i="37"/>
  <c r="L1113" i="37"/>
  <c r="K1113" i="37"/>
  <c r="J1113" i="37"/>
  <c r="I1113" i="37"/>
  <c r="H1113" i="37"/>
  <c r="G1113" i="37"/>
  <c r="F1113" i="37"/>
  <c r="E1113" i="37"/>
  <c r="D1113" i="37"/>
  <c r="C1113" i="37"/>
  <c r="B1113" i="37"/>
  <c r="R1112" i="37"/>
  <c r="Q1112" i="37"/>
  <c r="P1112" i="37"/>
  <c r="O1112" i="37"/>
  <c r="N1112" i="37"/>
  <c r="M1112" i="37"/>
  <c r="L1112" i="37"/>
  <c r="K1112" i="37"/>
  <c r="J1112" i="37"/>
  <c r="I1112" i="37"/>
  <c r="H1112" i="37"/>
  <c r="G1112" i="37"/>
  <c r="F1112" i="37"/>
  <c r="E1112" i="37"/>
  <c r="D1112" i="37"/>
  <c r="C1112" i="37"/>
  <c r="B1112" i="37"/>
  <c r="R1111" i="37"/>
  <c r="Q1111" i="37"/>
  <c r="P1111" i="37"/>
  <c r="O1111" i="37"/>
  <c r="N1111" i="37"/>
  <c r="M1111" i="37"/>
  <c r="L1111" i="37"/>
  <c r="K1111" i="37"/>
  <c r="J1111" i="37"/>
  <c r="I1111" i="37"/>
  <c r="H1111" i="37"/>
  <c r="G1111" i="37"/>
  <c r="F1111" i="37"/>
  <c r="E1111" i="37"/>
  <c r="D1111" i="37"/>
  <c r="C1111" i="37"/>
  <c r="B1111" i="37"/>
  <c r="R1110" i="37"/>
  <c r="Q1110" i="37"/>
  <c r="P1110" i="37"/>
  <c r="O1110" i="37"/>
  <c r="N1110" i="37"/>
  <c r="M1110" i="37"/>
  <c r="L1110" i="37"/>
  <c r="K1110" i="37"/>
  <c r="J1110" i="37"/>
  <c r="I1110" i="37"/>
  <c r="H1110" i="37"/>
  <c r="G1110" i="37"/>
  <c r="F1110" i="37"/>
  <c r="E1110" i="37"/>
  <c r="D1110" i="37"/>
  <c r="C1110" i="37"/>
  <c r="B1110" i="37"/>
  <c r="R1109" i="37"/>
  <c r="Q1109" i="37"/>
  <c r="P1109" i="37"/>
  <c r="O1109" i="37"/>
  <c r="N1109" i="37"/>
  <c r="M1109" i="37"/>
  <c r="L1109" i="37"/>
  <c r="K1109" i="37"/>
  <c r="J1109" i="37"/>
  <c r="I1109" i="37"/>
  <c r="H1109" i="37"/>
  <c r="G1109" i="37"/>
  <c r="F1109" i="37"/>
  <c r="E1109" i="37"/>
  <c r="D1109" i="37"/>
  <c r="C1109" i="37"/>
  <c r="B1109" i="37"/>
  <c r="R1108" i="37"/>
  <c r="Q1108" i="37"/>
  <c r="P1108" i="37"/>
  <c r="O1108" i="37"/>
  <c r="N1108" i="37"/>
  <c r="M1108" i="37"/>
  <c r="L1108" i="37"/>
  <c r="K1108" i="37"/>
  <c r="J1108" i="37"/>
  <c r="I1108" i="37"/>
  <c r="H1108" i="37"/>
  <c r="G1108" i="37"/>
  <c r="F1108" i="37"/>
  <c r="E1108" i="37"/>
  <c r="D1108" i="37"/>
  <c r="C1108" i="37"/>
  <c r="B1108" i="37"/>
  <c r="R1107" i="37"/>
  <c r="Q1107" i="37"/>
  <c r="P1107" i="37"/>
  <c r="O1107" i="37"/>
  <c r="N1107" i="37"/>
  <c r="M1107" i="37"/>
  <c r="L1107" i="37"/>
  <c r="K1107" i="37"/>
  <c r="J1107" i="37"/>
  <c r="I1107" i="37"/>
  <c r="H1107" i="37"/>
  <c r="G1107" i="37"/>
  <c r="F1107" i="37"/>
  <c r="E1107" i="37"/>
  <c r="D1107" i="37"/>
  <c r="C1107" i="37"/>
  <c r="B1107" i="37"/>
  <c r="R1106" i="37"/>
  <c r="Q1106" i="37"/>
  <c r="P1106" i="37"/>
  <c r="O1106" i="37"/>
  <c r="N1106" i="37"/>
  <c r="M1106" i="37"/>
  <c r="L1106" i="37"/>
  <c r="K1106" i="37"/>
  <c r="J1106" i="37"/>
  <c r="I1106" i="37"/>
  <c r="H1106" i="37"/>
  <c r="G1106" i="37"/>
  <c r="F1106" i="37"/>
  <c r="E1106" i="37"/>
  <c r="D1106" i="37"/>
  <c r="C1106" i="37"/>
  <c r="B1106" i="37"/>
  <c r="R1105" i="37"/>
  <c r="Q1105" i="37"/>
  <c r="P1105" i="37"/>
  <c r="O1105" i="37"/>
  <c r="N1105" i="37"/>
  <c r="M1105" i="37"/>
  <c r="L1105" i="37"/>
  <c r="K1105" i="37"/>
  <c r="J1105" i="37"/>
  <c r="I1105" i="37"/>
  <c r="H1105" i="37"/>
  <c r="G1105" i="37"/>
  <c r="F1105" i="37"/>
  <c r="E1105" i="37"/>
  <c r="D1105" i="37"/>
  <c r="C1105" i="37"/>
  <c r="B1105" i="37"/>
  <c r="R1104" i="37"/>
  <c r="Q1104" i="37"/>
  <c r="P1104" i="37"/>
  <c r="O1104" i="37"/>
  <c r="N1104" i="37"/>
  <c r="M1104" i="37"/>
  <c r="L1104" i="37"/>
  <c r="K1104" i="37"/>
  <c r="J1104" i="37"/>
  <c r="I1104" i="37"/>
  <c r="H1104" i="37"/>
  <c r="G1104" i="37"/>
  <c r="F1104" i="37"/>
  <c r="E1104" i="37"/>
  <c r="D1104" i="37"/>
  <c r="C1104" i="37"/>
  <c r="B1104" i="37"/>
  <c r="R1103" i="37"/>
  <c r="Q1103" i="37"/>
  <c r="P1103" i="37"/>
  <c r="O1103" i="37"/>
  <c r="N1103" i="37"/>
  <c r="M1103" i="37"/>
  <c r="L1103" i="37"/>
  <c r="K1103" i="37"/>
  <c r="J1103" i="37"/>
  <c r="I1103" i="37"/>
  <c r="H1103" i="37"/>
  <c r="G1103" i="37"/>
  <c r="F1103" i="37"/>
  <c r="E1103" i="37"/>
  <c r="D1103" i="37"/>
  <c r="C1103" i="37"/>
  <c r="B1103" i="37"/>
  <c r="R1102" i="37"/>
  <c r="Q1102" i="37"/>
  <c r="P1102" i="37"/>
  <c r="O1102" i="37"/>
  <c r="N1102" i="37"/>
  <c r="M1102" i="37"/>
  <c r="L1102" i="37"/>
  <c r="K1102" i="37"/>
  <c r="J1102" i="37"/>
  <c r="I1102" i="37"/>
  <c r="H1102" i="37"/>
  <c r="G1102" i="37"/>
  <c r="F1102" i="37"/>
  <c r="E1102" i="37"/>
  <c r="D1102" i="37"/>
  <c r="C1102" i="37"/>
  <c r="B1102" i="37"/>
  <c r="R1101" i="37"/>
  <c r="Q1101" i="37"/>
  <c r="P1101" i="37"/>
  <c r="O1101" i="37"/>
  <c r="N1101" i="37"/>
  <c r="M1101" i="37"/>
  <c r="L1101" i="37"/>
  <c r="K1101" i="37"/>
  <c r="J1101" i="37"/>
  <c r="I1101" i="37"/>
  <c r="H1101" i="37"/>
  <c r="G1101" i="37"/>
  <c r="F1101" i="37"/>
  <c r="E1101" i="37"/>
  <c r="D1101" i="37"/>
  <c r="C1101" i="37"/>
  <c r="B1101" i="37"/>
  <c r="R1100" i="37"/>
  <c r="Q1100" i="37"/>
  <c r="P1100" i="37"/>
  <c r="O1100" i="37"/>
  <c r="N1100" i="37"/>
  <c r="M1100" i="37"/>
  <c r="L1100" i="37"/>
  <c r="K1100" i="37"/>
  <c r="J1100" i="37"/>
  <c r="I1100" i="37"/>
  <c r="H1100" i="37"/>
  <c r="G1100" i="37"/>
  <c r="F1100" i="37"/>
  <c r="E1100" i="37"/>
  <c r="D1100" i="37"/>
  <c r="C1100" i="37"/>
  <c r="B1100" i="37"/>
  <c r="R1099" i="37"/>
  <c r="Q1099" i="37"/>
  <c r="P1099" i="37"/>
  <c r="O1099" i="37"/>
  <c r="N1099" i="37"/>
  <c r="M1099" i="37"/>
  <c r="L1099" i="37"/>
  <c r="K1099" i="37"/>
  <c r="J1099" i="37"/>
  <c r="I1099" i="37"/>
  <c r="H1099" i="37"/>
  <c r="G1099" i="37"/>
  <c r="F1099" i="37"/>
  <c r="E1099" i="37"/>
  <c r="D1099" i="37"/>
  <c r="C1099" i="37"/>
  <c r="B1099" i="37"/>
  <c r="R1098" i="37"/>
  <c r="Q1098" i="37"/>
  <c r="P1098" i="37"/>
  <c r="O1098" i="37"/>
  <c r="N1098" i="37"/>
  <c r="M1098" i="37"/>
  <c r="L1098" i="37"/>
  <c r="K1098" i="37"/>
  <c r="J1098" i="37"/>
  <c r="I1098" i="37"/>
  <c r="H1098" i="37"/>
  <c r="G1098" i="37"/>
  <c r="F1098" i="37"/>
  <c r="E1098" i="37"/>
  <c r="D1098" i="37"/>
  <c r="C1098" i="37"/>
  <c r="B1098" i="37"/>
  <c r="R1097" i="37"/>
  <c r="Q1097" i="37"/>
  <c r="P1097" i="37"/>
  <c r="O1097" i="37"/>
  <c r="N1097" i="37"/>
  <c r="M1097" i="37"/>
  <c r="L1097" i="37"/>
  <c r="K1097" i="37"/>
  <c r="J1097" i="37"/>
  <c r="I1097" i="37"/>
  <c r="H1097" i="37"/>
  <c r="G1097" i="37"/>
  <c r="F1097" i="37"/>
  <c r="E1097" i="37"/>
  <c r="D1097" i="37"/>
  <c r="C1097" i="37"/>
  <c r="B1097" i="37"/>
  <c r="R1096" i="37"/>
  <c r="Q1096" i="37"/>
  <c r="P1096" i="37"/>
  <c r="O1096" i="37"/>
  <c r="N1096" i="37"/>
  <c r="M1096" i="37"/>
  <c r="L1096" i="37"/>
  <c r="K1096" i="37"/>
  <c r="J1096" i="37"/>
  <c r="I1096" i="37"/>
  <c r="H1096" i="37"/>
  <c r="G1096" i="37"/>
  <c r="F1096" i="37"/>
  <c r="E1096" i="37"/>
  <c r="D1096" i="37"/>
  <c r="C1096" i="37"/>
  <c r="B1096" i="37"/>
  <c r="R1095" i="37"/>
  <c r="Q1095" i="37"/>
  <c r="P1095" i="37"/>
  <c r="O1095" i="37"/>
  <c r="N1095" i="37"/>
  <c r="M1095" i="37"/>
  <c r="L1095" i="37"/>
  <c r="K1095" i="37"/>
  <c r="J1095" i="37"/>
  <c r="I1095" i="37"/>
  <c r="H1095" i="37"/>
  <c r="G1095" i="37"/>
  <c r="F1095" i="37"/>
  <c r="E1095" i="37"/>
  <c r="D1095" i="37"/>
  <c r="C1095" i="37"/>
  <c r="B1095" i="37"/>
  <c r="R1094" i="37"/>
  <c r="Q1094" i="37"/>
  <c r="P1094" i="37"/>
  <c r="O1094" i="37"/>
  <c r="N1094" i="37"/>
  <c r="M1094" i="37"/>
  <c r="L1094" i="37"/>
  <c r="K1094" i="37"/>
  <c r="J1094" i="37"/>
  <c r="I1094" i="37"/>
  <c r="H1094" i="37"/>
  <c r="G1094" i="37"/>
  <c r="F1094" i="37"/>
  <c r="E1094" i="37"/>
  <c r="D1094" i="37"/>
  <c r="C1094" i="37"/>
  <c r="B1094" i="37"/>
  <c r="R1093" i="37"/>
  <c r="Q1093" i="37"/>
  <c r="P1093" i="37"/>
  <c r="O1093" i="37"/>
  <c r="N1093" i="37"/>
  <c r="M1093" i="37"/>
  <c r="L1093" i="37"/>
  <c r="K1093" i="37"/>
  <c r="J1093" i="37"/>
  <c r="I1093" i="37"/>
  <c r="H1093" i="37"/>
  <c r="G1093" i="37"/>
  <c r="F1093" i="37"/>
  <c r="E1093" i="37"/>
  <c r="D1093" i="37"/>
  <c r="C1093" i="37"/>
  <c r="B1093" i="37"/>
  <c r="R1092" i="37"/>
  <c r="Q1092" i="37"/>
  <c r="P1092" i="37"/>
  <c r="O1092" i="37"/>
  <c r="N1092" i="37"/>
  <c r="M1092" i="37"/>
  <c r="L1092" i="37"/>
  <c r="K1092" i="37"/>
  <c r="J1092" i="37"/>
  <c r="I1092" i="37"/>
  <c r="H1092" i="37"/>
  <c r="G1092" i="37"/>
  <c r="F1092" i="37"/>
  <c r="E1092" i="37"/>
  <c r="D1092" i="37"/>
  <c r="C1092" i="37"/>
  <c r="B1092" i="37"/>
  <c r="R1091" i="37"/>
  <c r="Q1091" i="37"/>
  <c r="P1091" i="37"/>
  <c r="O1091" i="37"/>
  <c r="N1091" i="37"/>
  <c r="M1091" i="37"/>
  <c r="L1091" i="37"/>
  <c r="K1091" i="37"/>
  <c r="J1091" i="37"/>
  <c r="I1091" i="37"/>
  <c r="H1091" i="37"/>
  <c r="G1091" i="37"/>
  <c r="F1091" i="37"/>
  <c r="E1091" i="37"/>
  <c r="D1091" i="37"/>
  <c r="C1091" i="37"/>
  <c r="B1091" i="37"/>
  <c r="R1090" i="37"/>
  <c r="Q1090" i="37"/>
  <c r="P1090" i="37"/>
  <c r="O1090" i="37"/>
  <c r="N1090" i="37"/>
  <c r="M1090" i="37"/>
  <c r="L1090" i="37"/>
  <c r="K1090" i="37"/>
  <c r="J1090" i="37"/>
  <c r="I1090" i="37"/>
  <c r="H1090" i="37"/>
  <c r="G1090" i="37"/>
  <c r="F1090" i="37"/>
  <c r="E1090" i="37"/>
  <c r="D1090" i="37"/>
  <c r="C1090" i="37"/>
  <c r="B1090" i="37"/>
  <c r="R1089" i="37"/>
  <c r="Q1089" i="37"/>
  <c r="P1089" i="37"/>
  <c r="O1089" i="37"/>
  <c r="N1089" i="37"/>
  <c r="M1089" i="37"/>
  <c r="L1089" i="37"/>
  <c r="K1089" i="37"/>
  <c r="J1089" i="37"/>
  <c r="I1089" i="37"/>
  <c r="H1089" i="37"/>
  <c r="G1089" i="37"/>
  <c r="F1089" i="37"/>
  <c r="E1089" i="37"/>
  <c r="D1089" i="37"/>
  <c r="C1089" i="37"/>
  <c r="B1089" i="37"/>
  <c r="R1088" i="37"/>
  <c r="Q1088" i="37"/>
  <c r="P1088" i="37"/>
  <c r="O1088" i="37"/>
  <c r="N1088" i="37"/>
  <c r="M1088" i="37"/>
  <c r="L1088" i="37"/>
  <c r="K1088" i="37"/>
  <c r="J1088" i="37"/>
  <c r="I1088" i="37"/>
  <c r="H1088" i="37"/>
  <c r="G1088" i="37"/>
  <c r="F1088" i="37"/>
  <c r="E1088" i="37"/>
  <c r="D1088" i="37"/>
  <c r="C1088" i="37"/>
  <c r="B1088" i="37"/>
  <c r="R1087" i="37"/>
  <c r="Q1087" i="37"/>
  <c r="P1087" i="37"/>
  <c r="O1087" i="37"/>
  <c r="N1087" i="37"/>
  <c r="M1087" i="37"/>
  <c r="L1087" i="37"/>
  <c r="K1087" i="37"/>
  <c r="J1087" i="37"/>
  <c r="I1087" i="37"/>
  <c r="H1087" i="37"/>
  <c r="G1087" i="37"/>
  <c r="F1087" i="37"/>
  <c r="E1087" i="37"/>
  <c r="D1087" i="37"/>
  <c r="C1087" i="37"/>
  <c r="B1087" i="37"/>
  <c r="R1086" i="37"/>
  <c r="Q1086" i="37"/>
  <c r="P1086" i="37"/>
  <c r="O1086" i="37"/>
  <c r="N1086" i="37"/>
  <c r="M1086" i="37"/>
  <c r="L1086" i="37"/>
  <c r="K1086" i="37"/>
  <c r="J1086" i="37"/>
  <c r="I1086" i="37"/>
  <c r="H1086" i="37"/>
  <c r="G1086" i="37"/>
  <c r="F1086" i="37"/>
  <c r="E1086" i="37"/>
  <c r="D1086" i="37"/>
  <c r="C1086" i="37"/>
  <c r="B1086" i="37"/>
  <c r="R1085" i="37"/>
  <c r="Q1085" i="37"/>
  <c r="P1085" i="37"/>
  <c r="O1085" i="37"/>
  <c r="N1085" i="37"/>
  <c r="M1085" i="37"/>
  <c r="L1085" i="37"/>
  <c r="K1085" i="37"/>
  <c r="J1085" i="37"/>
  <c r="I1085" i="37"/>
  <c r="H1085" i="37"/>
  <c r="G1085" i="37"/>
  <c r="F1085" i="37"/>
  <c r="E1085" i="37"/>
  <c r="D1085" i="37"/>
  <c r="C1085" i="37"/>
  <c r="B1085" i="37"/>
  <c r="R1084" i="37"/>
  <c r="Q1084" i="37"/>
  <c r="P1084" i="37"/>
  <c r="O1084" i="37"/>
  <c r="N1084" i="37"/>
  <c r="M1084" i="37"/>
  <c r="L1084" i="37"/>
  <c r="K1084" i="37"/>
  <c r="J1084" i="37"/>
  <c r="I1084" i="37"/>
  <c r="H1084" i="37"/>
  <c r="G1084" i="37"/>
  <c r="F1084" i="37"/>
  <c r="E1084" i="37"/>
  <c r="D1084" i="37"/>
  <c r="C1084" i="37"/>
  <c r="B1084" i="37"/>
  <c r="R1083" i="37"/>
  <c r="Q1083" i="37"/>
  <c r="P1083" i="37"/>
  <c r="O1083" i="37"/>
  <c r="N1083" i="37"/>
  <c r="M1083" i="37"/>
  <c r="L1083" i="37"/>
  <c r="K1083" i="37"/>
  <c r="J1083" i="37"/>
  <c r="I1083" i="37"/>
  <c r="H1083" i="37"/>
  <c r="G1083" i="37"/>
  <c r="F1083" i="37"/>
  <c r="E1083" i="37"/>
  <c r="D1083" i="37"/>
  <c r="C1083" i="37"/>
  <c r="B1083" i="37"/>
  <c r="R1082" i="37"/>
  <c r="Q1082" i="37"/>
  <c r="P1082" i="37"/>
  <c r="O1082" i="37"/>
  <c r="N1082" i="37"/>
  <c r="M1082" i="37"/>
  <c r="L1082" i="37"/>
  <c r="K1082" i="37"/>
  <c r="J1082" i="37"/>
  <c r="I1082" i="37"/>
  <c r="H1082" i="37"/>
  <c r="G1082" i="37"/>
  <c r="F1082" i="37"/>
  <c r="E1082" i="37"/>
  <c r="D1082" i="37"/>
  <c r="C1082" i="37"/>
  <c r="B1082" i="37"/>
  <c r="R1081" i="37"/>
  <c r="Q1081" i="37"/>
  <c r="P1081" i="37"/>
  <c r="O1081" i="37"/>
  <c r="N1081" i="37"/>
  <c r="M1081" i="37"/>
  <c r="L1081" i="37"/>
  <c r="K1081" i="37"/>
  <c r="J1081" i="37"/>
  <c r="I1081" i="37"/>
  <c r="H1081" i="37"/>
  <c r="G1081" i="37"/>
  <c r="F1081" i="37"/>
  <c r="E1081" i="37"/>
  <c r="D1081" i="37"/>
  <c r="C1081" i="37"/>
  <c r="B1081" i="37"/>
  <c r="R1080" i="37"/>
  <c r="Q1080" i="37"/>
  <c r="P1080" i="37"/>
  <c r="O1080" i="37"/>
  <c r="N1080" i="37"/>
  <c r="M1080" i="37"/>
  <c r="L1080" i="37"/>
  <c r="K1080" i="37"/>
  <c r="J1080" i="37"/>
  <c r="I1080" i="37"/>
  <c r="H1080" i="37"/>
  <c r="G1080" i="37"/>
  <c r="F1080" i="37"/>
  <c r="E1080" i="37"/>
  <c r="D1080" i="37"/>
  <c r="C1080" i="37"/>
  <c r="B1080" i="37"/>
  <c r="R1079" i="37"/>
  <c r="Q1079" i="37"/>
  <c r="P1079" i="37"/>
  <c r="O1079" i="37"/>
  <c r="N1079" i="37"/>
  <c r="M1079" i="37"/>
  <c r="L1079" i="37"/>
  <c r="K1079" i="37"/>
  <c r="J1079" i="37"/>
  <c r="I1079" i="37"/>
  <c r="H1079" i="37"/>
  <c r="G1079" i="37"/>
  <c r="F1079" i="37"/>
  <c r="E1079" i="37"/>
  <c r="D1079" i="37"/>
  <c r="C1079" i="37"/>
  <c r="B1079" i="37"/>
  <c r="R1078" i="37"/>
  <c r="Q1078" i="37"/>
  <c r="P1078" i="37"/>
  <c r="O1078" i="37"/>
  <c r="N1078" i="37"/>
  <c r="M1078" i="37"/>
  <c r="L1078" i="37"/>
  <c r="K1078" i="37"/>
  <c r="J1078" i="37"/>
  <c r="I1078" i="37"/>
  <c r="H1078" i="37"/>
  <c r="G1078" i="37"/>
  <c r="F1078" i="37"/>
  <c r="E1078" i="37"/>
  <c r="D1078" i="37"/>
  <c r="C1078" i="37"/>
  <c r="B1078" i="37"/>
  <c r="R1077" i="37"/>
  <c r="Q1077" i="37"/>
  <c r="P1077" i="37"/>
  <c r="O1077" i="37"/>
  <c r="N1077" i="37"/>
  <c r="M1077" i="37"/>
  <c r="L1077" i="37"/>
  <c r="K1077" i="37"/>
  <c r="J1077" i="37"/>
  <c r="I1077" i="37"/>
  <c r="H1077" i="37"/>
  <c r="G1077" i="37"/>
  <c r="F1077" i="37"/>
  <c r="E1077" i="37"/>
  <c r="D1077" i="37"/>
  <c r="C1077" i="37"/>
  <c r="B1077" i="37"/>
  <c r="R1076" i="37"/>
  <c r="Q1076" i="37"/>
  <c r="P1076" i="37"/>
  <c r="O1076" i="37"/>
  <c r="N1076" i="37"/>
  <c r="M1076" i="37"/>
  <c r="L1076" i="37"/>
  <c r="K1076" i="37"/>
  <c r="J1076" i="37"/>
  <c r="I1076" i="37"/>
  <c r="H1076" i="37"/>
  <c r="G1076" i="37"/>
  <c r="F1076" i="37"/>
  <c r="E1076" i="37"/>
  <c r="D1076" i="37"/>
  <c r="C1076" i="37"/>
  <c r="B1076" i="37"/>
  <c r="R1075" i="37"/>
  <c r="Q1075" i="37"/>
  <c r="P1075" i="37"/>
  <c r="O1075" i="37"/>
  <c r="N1075" i="37"/>
  <c r="M1075" i="37"/>
  <c r="L1075" i="37"/>
  <c r="K1075" i="37"/>
  <c r="J1075" i="37"/>
  <c r="I1075" i="37"/>
  <c r="H1075" i="37"/>
  <c r="G1075" i="37"/>
  <c r="F1075" i="37"/>
  <c r="E1075" i="37"/>
  <c r="D1075" i="37"/>
  <c r="C1075" i="37"/>
  <c r="B1075" i="37"/>
  <c r="R1074" i="37"/>
  <c r="Q1074" i="37"/>
  <c r="P1074" i="37"/>
  <c r="O1074" i="37"/>
  <c r="N1074" i="37"/>
  <c r="M1074" i="37"/>
  <c r="L1074" i="37"/>
  <c r="K1074" i="37"/>
  <c r="J1074" i="37"/>
  <c r="I1074" i="37"/>
  <c r="H1074" i="37"/>
  <c r="G1074" i="37"/>
  <c r="F1074" i="37"/>
  <c r="E1074" i="37"/>
  <c r="D1074" i="37"/>
  <c r="C1074" i="37"/>
  <c r="B1074" i="37"/>
  <c r="R1073" i="37"/>
  <c r="Q1073" i="37"/>
  <c r="P1073" i="37"/>
  <c r="O1073" i="37"/>
  <c r="N1073" i="37"/>
  <c r="M1073" i="37"/>
  <c r="L1073" i="37"/>
  <c r="K1073" i="37"/>
  <c r="J1073" i="37"/>
  <c r="I1073" i="37"/>
  <c r="H1073" i="37"/>
  <c r="G1073" i="37"/>
  <c r="F1073" i="37"/>
  <c r="E1073" i="37"/>
  <c r="D1073" i="37"/>
  <c r="C1073" i="37"/>
  <c r="B1073" i="37"/>
  <c r="R1072" i="37"/>
  <c r="Q1072" i="37"/>
  <c r="P1072" i="37"/>
  <c r="O1072" i="37"/>
  <c r="N1072" i="37"/>
  <c r="M1072" i="37"/>
  <c r="L1072" i="37"/>
  <c r="K1072" i="37"/>
  <c r="J1072" i="37"/>
  <c r="I1072" i="37"/>
  <c r="H1072" i="37"/>
  <c r="G1072" i="37"/>
  <c r="F1072" i="37"/>
  <c r="E1072" i="37"/>
  <c r="D1072" i="37"/>
  <c r="C1072" i="37"/>
  <c r="B1072" i="37"/>
  <c r="R1071" i="37"/>
  <c r="Q1071" i="37"/>
  <c r="P1071" i="37"/>
  <c r="O1071" i="37"/>
  <c r="N1071" i="37"/>
  <c r="M1071" i="37"/>
  <c r="L1071" i="37"/>
  <c r="K1071" i="37"/>
  <c r="J1071" i="37"/>
  <c r="I1071" i="37"/>
  <c r="H1071" i="37"/>
  <c r="G1071" i="37"/>
  <c r="F1071" i="37"/>
  <c r="E1071" i="37"/>
  <c r="D1071" i="37"/>
  <c r="C1071" i="37"/>
  <c r="B1071" i="37"/>
  <c r="R1070" i="37"/>
  <c r="Q1070" i="37"/>
  <c r="P1070" i="37"/>
  <c r="O1070" i="37"/>
  <c r="N1070" i="37"/>
  <c r="M1070" i="37"/>
  <c r="L1070" i="37"/>
  <c r="K1070" i="37"/>
  <c r="J1070" i="37"/>
  <c r="I1070" i="37"/>
  <c r="H1070" i="37"/>
  <c r="G1070" i="37"/>
  <c r="F1070" i="37"/>
  <c r="E1070" i="37"/>
  <c r="D1070" i="37"/>
  <c r="C1070" i="37"/>
  <c r="B1070" i="37"/>
  <c r="R1069" i="37"/>
  <c r="Q1069" i="37"/>
  <c r="P1069" i="37"/>
  <c r="O1069" i="37"/>
  <c r="N1069" i="37"/>
  <c r="M1069" i="37"/>
  <c r="L1069" i="37"/>
  <c r="K1069" i="37"/>
  <c r="J1069" i="37"/>
  <c r="I1069" i="37"/>
  <c r="H1069" i="37"/>
  <c r="G1069" i="37"/>
  <c r="F1069" i="37"/>
  <c r="E1069" i="37"/>
  <c r="D1069" i="37"/>
  <c r="C1069" i="37"/>
  <c r="B1069" i="37"/>
  <c r="R1068" i="37"/>
  <c r="Q1068" i="37"/>
  <c r="P1068" i="37"/>
  <c r="O1068" i="37"/>
  <c r="N1068" i="37"/>
  <c r="M1068" i="37"/>
  <c r="L1068" i="37"/>
  <c r="K1068" i="37"/>
  <c r="J1068" i="37"/>
  <c r="I1068" i="37"/>
  <c r="H1068" i="37"/>
  <c r="G1068" i="37"/>
  <c r="F1068" i="37"/>
  <c r="E1068" i="37"/>
  <c r="D1068" i="37"/>
  <c r="C1068" i="37"/>
  <c r="B1068" i="37"/>
  <c r="R1067" i="37"/>
  <c r="Q1067" i="37"/>
  <c r="P1067" i="37"/>
  <c r="O1067" i="37"/>
  <c r="N1067" i="37"/>
  <c r="M1067" i="37"/>
  <c r="L1067" i="37"/>
  <c r="K1067" i="37"/>
  <c r="J1067" i="37"/>
  <c r="I1067" i="37"/>
  <c r="H1067" i="37"/>
  <c r="G1067" i="37"/>
  <c r="F1067" i="37"/>
  <c r="E1067" i="37"/>
  <c r="D1067" i="37"/>
  <c r="C1067" i="37"/>
  <c r="B1067" i="37"/>
  <c r="R1066" i="37"/>
  <c r="Q1066" i="37"/>
  <c r="P1066" i="37"/>
  <c r="O1066" i="37"/>
  <c r="N1066" i="37"/>
  <c r="M1066" i="37"/>
  <c r="L1066" i="37"/>
  <c r="K1066" i="37"/>
  <c r="J1066" i="37"/>
  <c r="I1066" i="37"/>
  <c r="H1066" i="37"/>
  <c r="G1066" i="37"/>
  <c r="F1066" i="37"/>
  <c r="E1066" i="37"/>
  <c r="D1066" i="37"/>
  <c r="C1066" i="37"/>
  <c r="B1066" i="37"/>
  <c r="R1065" i="37"/>
  <c r="Q1065" i="37"/>
  <c r="P1065" i="37"/>
  <c r="O1065" i="37"/>
  <c r="N1065" i="37"/>
  <c r="M1065" i="37"/>
  <c r="L1065" i="37"/>
  <c r="K1065" i="37"/>
  <c r="J1065" i="37"/>
  <c r="I1065" i="37"/>
  <c r="H1065" i="37"/>
  <c r="G1065" i="37"/>
  <c r="F1065" i="37"/>
  <c r="E1065" i="37"/>
  <c r="D1065" i="37"/>
  <c r="C1065" i="37"/>
  <c r="B1065" i="37"/>
  <c r="R1064" i="37"/>
  <c r="Q1064" i="37"/>
  <c r="P1064" i="37"/>
  <c r="O1064" i="37"/>
  <c r="N1064" i="37"/>
  <c r="M1064" i="37"/>
  <c r="L1064" i="37"/>
  <c r="K1064" i="37"/>
  <c r="J1064" i="37"/>
  <c r="I1064" i="37"/>
  <c r="H1064" i="37"/>
  <c r="G1064" i="37"/>
  <c r="F1064" i="37"/>
  <c r="E1064" i="37"/>
  <c r="D1064" i="37"/>
  <c r="C1064" i="37"/>
  <c r="B1064" i="37"/>
  <c r="R1063" i="37"/>
  <c r="Q1063" i="37"/>
  <c r="P1063" i="37"/>
  <c r="O1063" i="37"/>
  <c r="N1063" i="37"/>
  <c r="M1063" i="37"/>
  <c r="L1063" i="37"/>
  <c r="K1063" i="37"/>
  <c r="J1063" i="37"/>
  <c r="I1063" i="37"/>
  <c r="H1063" i="37"/>
  <c r="G1063" i="37"/>
  <c r="F1063" i="37"/>
  <c r="E1063" i="37"/>
  <c r="D1063" i="37"/>
  <c r="C1063" i="37"/>
  <c r="B1063" i="37"/>
  <c r="R1062" i="37"/>
  <c r="Q1062" i="37"/>
  <c r="P1062" i="37"/>
  <c r="O1062" i="37"/>
  <c r="N1062" i="37"/>
  <c r="M1062" i="37"/>
  <c r="L1062" i="37"/>
  <c r="K1062" i="37"/>
  <c r="J1062" i="37"/>
  <c r="I1062" i="37"/>
  <c r="H1062" i="37"/>
  <c r="G1062" i="37"/>
  <c r="F1062" i="37"/>
  <c r="E1062" i="37"/>
  <c r="D1062" i="37"/>
  <c r="C1062" i="37"/>
  <c r="B1062" i="37"/>
  <c r="R1061" i="37"/>
  <c r="Q1061" i="37"/>
  <c r="P1061" i="37"/>
  <c r="O1061" i="37"/>
  <c r="N1061" i="37"/>
  <c r="M1061" i="37"/>
  <c r="L1061" i="37"/>
  <c r="K1061" i="37"/>
  <c r="J1061" i="37"/>
  <c r="I1061" i="37"/>
  <c r="H1061" i="37"/>
  <c r="G1061" i="37"/>
  <c r="F1061" i="37"/>
  <c r="E1061" i="37"/>
  <c r="D1061" i="37"/>
  <c r="C1061" i="37"/>
  <c r="B1061" i="37"/>
  <c r="R1060" i="37"/>
  <c r="Q1060" i="37"/>
  <c r="P1060" i="37"/>
  <c r="O1060" i="37"/>
  <c r="N1060" i="37"/>
  <c r="M1060" i="37"/>
  <c r="L1060" i="37"/>
  <c r="K1060" i="37"/>
  <c r="J1060" i="37"/>
  <c r="I1060" i="37"/>
  <c r="H1060" i="37"/>
  <c r="G1060" i="37"/>
  <c r="F1060" i="37"/>
  <c r="E1060" i="37"/>
  <c r="D1060" i="37"/>
  <c r="C1060" i="37"/>
  <c r="B1060" i="37"/>
  <c r="R1059" i="37"/>
  <c r="Q1059" i="37"/>
  <c r="P1059" i="37"/>
  <c r="O1059" i="37"/>
  <c r="N1059" i="37"/>
  <c r="M1059" i="37"/>
  <c r="L1059" i="37"/>
  <c r="K1059" i="37"/>
  <c r="J1059" i="37"/>
  <c r="I1059" i="37"/>
  <c r="H1059" i="37"/>
  <c r="G1059" i="37"/>
  <c r="F1059" i="37"/>
  <c r="E1059" i="37"/>
  <c r="D1059" i="37"/>
  <c r="C1059" i="37"/>
  <c r="B1059" i="37"/>
  <c r="R1058" i="37"/>
  <c r="Q1058" i="37"/>
  <c r="P1058" i="37"/>
  <c r="O1058" i="37"/>
  <c r="N1058" i="37"/>
  <c r="M1058" i="37"/>
  <c r="L1058" i="37"/>
  <c r="K1058" i="37"/>
  <c r="J1058" i="37"/>
  <c r="I1058" i="37"/>
  <c r="H1058" i="37"/>
  <c r="G1058" i="37"/>
  <c r="F1058" i="37"/>
  <c r="E1058" i="37"/>
  <c r="D1058" i="37"/>
  <c r="C1058" i="37"/>
  <c r="B1058" i="37"/>
  <c r="R1057" i="37"/>
  <c r="Q1057" i="37"/>
  <c r="P1057" i="37"/>
  <c r="O1057" i="37"/>
  <c r="N1057" i="37"/>
  <c r="M1057" i="37"/>
  <c r="L1057" i="37"/>
  <c r="K1057" i="37"/>
  <c r="J1057" i="37"/>
  <c r="I1057" i="37"/>
  <c r="H1057" i="37"/>
  <c r="G1057" i="37"/>
  <c r="F1057" i="37"/>
  <c r="E1057" i="37"/>
  <c r="D1057" i="37"/>
  <c r="C1057" i="37"/>
  <c r="B1057" i="37"/>
  <c r="R1056" i="37"/>
  <c r="Q1056" i="37"/>
  <c r="P1056" i="37"/>
  <c r="O1056" i="37"/>
  <c r="N1056" i="37"/>
  <c r="M1056" i="37"/>
  <c r="L1056" i="37"/>
  <c r="K1056" i="37"/>
  <c r="J1056" i="37"/>
  <c r="I1056" i="37"/>
  <c r="H1056" i="37"/>
  <c r="G1056" i="37"/>
  <c r="F1056" i="37"/>
  <c r="E1056" i="37"/>
  <c r="D1056" i="37"/>
  <c r="C1056" i="37"/>
  <c r="B1056" i="37"/>
  <c r="R1055" i="37"/>
  <c r="Q1055" i="37"/>
  <c r="P1055" i="37"/>
  <c r="O1055" i="37"/>
  <c r="N1055" i="37"/>
  <c r="M1055" i="37"/>
  <c r="L1055" i="37"/>
  <c r="K1055" i="37"/>
  <c r="J1055" i="37"/>
  <c r="I1055" i="37"/>
  <c r="H1055" i="37"/>
  <c r="G1055" i="37"/>
  <c r="F1055" i="37"/>
  <c r="E1055" i="37"/>
  <c r="D1055" i="37"/>
  <c r="C1055" i="37"/>
  <c r="B1055" i="37"/>
  <c r="R1054" i="37"/>
  <c r="Q1054" i="37"/>
  <c r="P1054" i="37"/>
  <c r="O1054" i="37"/>
  <c r="N1054" i="37"/>
  <c r="M1054" i="37"/>
  <c r="L1054" i="37"/>
  <c r="K1054" i="37"/>
  <c r="J1054" i="37"/>
  <c r="I1054" i="37"/>
  <c r="H1054" i="37"/>
  <c r="G1054" i="37"/>
  <c r="F1054" i="37"/>
  <c r="E1054" i="37"/>
  <c r="D1054" i="37"/>
  <c r="C1054" i="37"/>
  <c r="B1054" i="37"/>
  <c r="R1053" i="37"/>
  <c r="Q1053" i="37"/>
  <c r="P1053" i="37"/>
  <c r="O1053" i="37"/>
  <c r="N1053" i="37"/>
  <c r="M1053" i="37"/>
  <c r="L1053" i="37"/>
  <c r="K1053" i="37"/>
  <c r="J1053" i="37"/>
  <c r="I1053" i="37"/>
  <c r="H1053" i="37"/>
  <c r="G1053" i="37"/>
  <c r="F1053" i="37"/>
  <c r="E1053" i="37"/>
  <c r="D1053" i="37"/>
  <c r="C1053" i="37"/>
  <c r="B1053" i="37"/>
  <c r="R1052" i="37"/>
  <c r="Q1052" i="37"/>
  <c r="P1052" i="37"/>
  <c r="O1052" i="37"/>
  <c r="N1052" i="37"/>
  <c r="M1052" i="37"/>
  <c r="L1052" i="37"/>
  <c r="K1052" i="37"/>
  <c r="J1052" i="37"/>
  <c r="I1052" i="37"/>
  <c r="H1052" i="37"/>
  <c r="G1052" i="37"/>
  <c r="F1052" i="37"/>
  <c r="E1052" i="37"/>
  <c r="D1052" i="37"/>
  <c r="C1052" i="37"/>
  <c r="B1052" i="37"/>
  <c r="R1051" i="37"/>
  <c r="Q1051" i="37"/>
  <c r="P1051" i="37"/>
  <c r="O1051" i="37"/>
  <c r="N1051" i="37"/>
  <c r="M1051" i="37"/>
  <c r="L1051" i="37"/>
  <c r="K1051" i="37"/>
  <c r="J1051" i="37"/>
  <c r="I1051" i="37"/>
  <c r="H1051" i="37"/>
  <c r="G1051" i="37"/>
  <c r="F1051" i="37"/>
  <c r="E1051" i="37"/>
  <c r="D1051" i="37"/>
  <c r="C1051" i="37"/>
  <c r="B1051" i="37"/>
  <c r="R1050" i="37"/>
  <c r="Q1050" i="37"/>
  <c r="P1050" i="37"/>
  <c r="O1050" i="37"/>
  <c r="N1050" i="37"/>
  <c r="M1050" i="37"/>
  <c r="L1050" i="37"/>
  <c r="K1050" i="37"/>
  <c r="J1050" i="37"/>
  <c r="I1050" i="37"/>
  <c r="H1050" i="37"/>
  <c r="G1050" i="37"/>
  <c r="F1050" i="37"/>
  <c r="E1050" i="37"/>
  <c r="D1050" i="37"/>
  <c r="C1050" i="37"/>
  <c r="B1050" i="37"/>
  <c r="R1049" i="37"/>
  <c r="Q1049" i="37"/>
  <c r="P1049" i="37"/>
  <c r="O1049" i="37"/>
  <c r="N1049" i="37"/>
  <c r="M1049" i="37"/>
  <c r="L1049" i="37"/>
  <c r="K1049" i="37"/>
  <c r="J1049" i="37"/>
  <c r="I1049" i="37"/>
  <c r="H1049" i="37"/>
  <c r="G1049" i="37"/>
  <c r="F1049" i="37"/>
  <c r="E1049" i="37"/>
  <c r="D1049" i="37"/>
  <c r="C1049" i="37"/>
  <c r="B1049" i="37"/>
  <c r="R1048" i="37"/>
  <c r="Q1048" i="37"/>
  <c r="P1048" i="37"/>
  <c r="O1048" i="37"/>
  <c r="N1048" i="37"/>
  <c r="M1048" i="37"/>
  <c r="L1048" i="37"/>
  <c r="K1048" i="37"/>
  <c r="J1048" i="37"/>
  <c r="I1048" i="37"/>
  <c r="H1048" i="37"/>
  <c r="G1048" i="37"/>
  <c r="F1048" i="37"/>
  <c r="E1048" i="37"/>
  <c r="D1048" i="37"/>
  <c r="C1048" i="37"/>
  <c r="B1048" i="37"/>
  <c r="R1047" i="37"/>
  <c r="Q1047" i="37"/>
  <c r="P1047" i="37"/>
  <c r="O1047" i="37"/>
  <c r="N1047" i="37"/>
  <c r="M1047" i="37"/>
  <c r="L1047" i="37"/>
  <c r="K1047" i="37"/>
  <c r="J1047" i="37"/>
  <c r="I1047" i="37"/>
  <c r="H1047" i="37"/>
  <c r="G1047" i="37"/>
  <c r="F1047" i="37"/>
  <c r="E1047" i="37"/>
  <c r="D1047" i="37"/>
  <c r="C1047" i="37"/>
  <c r="B1047" i="37"/>
  <c r="R1046" i="37"/>
  <c r="Q1046" i="37"/>
  <c r="P1046" i="37"/>
  <c r="O1046" i="37"/>
  <c r="N1046" i="37"/>
  <c r="M1046" i="37"/>
  <c r="L1046" i="37"/>
  <c r="K1046" i="37"/>
  <c r="J1046" i="37"/>
  <c r="I1046" i="37"/>
  <c r="H1046" i="37"/>
  <c r="G1046" i="37"/>
  <c r="F1046" i="37"/>
  <c r="E1046" i="37"/>
  <c r="D1046" i="37"/>
  <c r="C1046" i="37"/>
  <c r="B1046" i="37"/>
  <c r="R1045" i="37"/>
  <c r="Q1045" i="37"/>
  <c r="P1045" i="37"/>
  <c r="O1045" i="37"/>
  <c r="N1045" i="37"/>
  <c r="M1045" i="37"/>
  <c r="L1045" i="37"/>
  <c r="K1045" i="37"/>
  <c r="J1045" i="37"/>
  <c r="I1045" i="37"/>
  <c r="H1045" i="37"/>
  <c r="G1045" i="37"/>
  <c r="F1045" i="37"/>
  <c r="E1045" i="37"/>
  <c r="D1045" i="37"/>
  <c r="C1045" i="37"/>
  <c r="B1045" i="37"/>
  <c r="R1044" i="37"/>
  <c r="Q1044" i="37"/>
  <c r="P1044" i="37"/>
  <c r="O1044" i="37"/>
  <c r="N1044" i="37"/>
  <c r="M1044" i="37"/>
  <c r="L1044" i="37"/>
  <c r="K1044" i="37"/>
  <c r="J1044" i="37"/>
  <c r="I1044" i="37"/>
  <c r="H1044" i="37"/>
  <c r="G1044" i="37"/>
  <c r="F1044" i="37"/>
  <c r="E1044" i="37"/>
  <c r="D1044" i="37"/>
  <c r="C1044" i="37"/>
  <c r="B1044" i="37"/>
  <c r="R1043" i="37"/>
  <c r="Q1043" i="37"/>
  <c r="P1043" i="37"/>
  <c r="O1043" i="37"/>
  <c r="N1043" i="37"/>
  <c r="M1043" i="37"/>
  <c r="L1043" i="37"/>
  <c r="K1043" i="37"/>
  <c r="J1043" i="37"/>
  <c r="I1043" i="37"/>
  <c r="H1043" i="37"/>
  <c r="G1043" i="37"/>
  <c r="F1043" i="37"/>
  <c r="E1043" i="37"/>
  <c r="D1043" i="37"/>
  <c r="C1043" i="37"/>
  <c r="B1043" i="37"/>
  <c r="R1042" i="37"/>
  <c r="Q1042" i="37"/>
  <c r="P1042" i="37"/>
  <c r="O1042" i="37"/>
  <c r="N1042" i="37"/>
  <c r="M1042" i="37"/>
  <c r="L1042" i="37"/>
  <c r="K1042" i="37"/>
  <c r="J1042" i="37"/>
  <c r="I1042" i="37"/>
  <c r="H1042" i="37"/>
  <c r="G1042" i="37"/>
  <c r="F1042" i="37"/>
  <c r="E1042" i="37"/>
  <c r="D1042" i="37"/>
  <c r="C1042" i="37"/>
  <c r="B1042" i="37"/>
  <c r="R1041" i="37"/>
  <c r="Q1041" i="37"/>
  <c r="P1041" i="37"/>
  <c r="O1041" i="37"/>
  <c r="N1041" i="37"/>
  <c r="M1041" i="37"/>
  <c r="L1041" i="37"/>
  <c r="K1041" i="37"/>
  <c r="J1041" i="37"/>
  <c r="I1041" i="37"/>
  <c r="H1041" i="37"/>
  <c r="G1041" i="37"/>
  <c r="F1041" i="37"/>
  <c r="E1041" i="37"/>
  <c r="D1041" i="37"/>
  <c r="C1041" i="37"/>
  <c r="B1041" i="37"/>
  <c r="R1040" i="37"/>
  <c r="Q1040" i="37"/>
  <c r="P1040" i="37"/>
  <c r="O1040" i="37"/>
  <c r="N1040" i="37"/>
  <c r="M1040" i="37"/>
  <c r="L1040" i="37"/>
  <c r="K1040" i="37"/>
  <c r="J1040" i="37"/>
  <c r="I1040" i="37"/>
  <c r="H1040" i="37"/>
  <c r="G1040" i="37"/>
  <c r="F1040" i="37"/>
  <c r="E1040" i="37"/>
  <c r="D1040" i="37"/>
  <c r="C1040" i="37"/>
  <c r="B1040" i="37"/>
  <c r="R1039" i="37"/>
  <c r="Q1039" i="37"/>
  <c r="P1039" i="37"/>
  <c r="O1039" i="37"/>
  <c r="N1039" i="37"/>
  <c r="M1039" i="37"/>
  <c r="L1039" i="37"/>
  <c r="K1039" i="37"/>
  <c r="J1039" i="37"/>
  <c r="I1039" i="37"/>
  <c r="H1039" i="37"/>
  <c r="G1039" i="37"/>
  <c r="F1039" i="37"/>
  <c r="E1039" i="37"/>
  <c r="D1039" i="37"/>
  <c r="C1039" i="37"/>
  <c r="B1039" i="37"/>
  <c r="R1038" i="37"/>
  <c r="Q1038" i="37"/>
  <c r="P1038" i="37"/>
  <c r="O1038" i="37"/>
  <c r="N1038" i="37"/>
  <c r="M1038" i="37"/>
  <c r="L1038" i="37"/>
  <c r="K1038" i="37"/>
  <c r="J1038" i="37"/>
  <c r="I1038" i="37"/>
  <c r="H1038" i="37"/>
  <c r="G1038" i="37"/>
  <c r="F1038" i="37"/>
  <c r="E1038" i="37"/>
  <c r="D1038" i="37"/>
  <c r="C1038" i="37"/>
  <c r="B1038" i="37"/>
  <c r="R1037" i="37"/>
  <c r="Q1037" i="37"/>
  <c r="P1037" i="37"/>
  <c r="O1037" i="37"/>
  <c r="N1037" i="37"/>
  <c r="M1037" i="37"/>
  <c r="L1037" i="37"/>
  <c r="K1037" i="37"/>
  <c r="J1037" i="37"/>
  <c r="I1037" i="37"/>
  <c r="H1037" i="37"/>
  <c r="G1037" i="37"/>
  <c r="F1037" i="37"/>
  <c r="E1037" i="37"/>
  <c r="D1037" i="37"/>
  <c r="C1037" i="37"/>
  <c r="B1037" i="37"/>
  <c r="R1036" i="37"/>
  <c r="Q1036" i="37"/>
  <c r="P1036" i="37"/>
  <c r="O1036" i="37"/>
  <c r="N1036" i="37"/>
  <c r="M1036" i="37"/>
  <c r="L1036" i="37"/>
  <c r="K1036" i="37"/>
  <c r="J1036" i="37"/>
  <c r="I1036" i="37"/>
  <c r="H1036" i="37"/>
  <c r="G1036" i="37"/>
  <c r="F1036" i="37"/>
  <c r="E1036" i="37"/>
  <c r="D1036" i="37"/>
  <c r="C1036" i="37"/>
  <c r="B1036" i="37"/>
  <c r="R1035" i="37"/>
  <c r="Q1035" i="37"/>
  <c r="P1035" i="37"/>
  <c r="O1035" i="37"/>
  <c r="N1035" i="37"/>
  <c r="M1035" i="37"/>
  <c r="L1035" i="37"/>
  <c r="K1035" i="37"/>
  <c r="J1035" i="37"/>
  <c r="I1035" i="37"/>
  <c r="H1035" i="37"/>
  <c r="G1035" i="37"/>
  <c r="F1035" i="37"/>
  <c r="E1035" i="37"/>
  <c r="D1035" i="37"/>
  <c r="C1035" i="37"/>
  <c r="B1035" i="37"/>
  <c r="R1034" i="37"/>
  <c r="Q1034" i="37"/>
  <c r="P1034" i="37"/>
  <c r="O1034" i="37"/>
  <c r="N1034" i="37"/>
  <c r="M1034" i="37"/>
  <c r="L1034" i="37"/>
  <c r="K1034" i="37"/>
  <c r="J1034" i="37"/>
  <c r="I1034" i="37"/>
  <c r="H1034" i="37"/>
  <c r="G1034" i="37"/>
  <c r="F1034" i="37"/>
  <c r="E1034" i="37"/>
  <c r="D1034" i="37"/>
  <c r="C1034" i="37"/>
  <c r="B1034" i="37"/>
  <c r="R1033" i="37"/>
  <c r="Q1033" i="37"/>
  <c r="P1033" i="37"/>
  <c r="O1033" i="37"/>
  <c r="N1033" i="37"/>
  <c r="M1033" i="37"/>
  <c r="L1033" i="37"/>
  <c r="K1033" i="37"/>
  <c r="J1033" i="37"/>
  <c r="I1033" i="37"/>
  <c r="H1033" i="37"/>
  <c r="G1033" i="37"/>
  <c r="F1033" i="37"/>
  <c r="E1033" i="37"/>
  <c r="D1033" i="37"/>
  <c r="C1033" i="37"/>
  <c r="B1033" i="37"/>
  <c r="R1032" i="37"/>
  <c r="Q1032" i="37"/>
  <c r="P1032" i="37"/>
  <c r="O1032" i="37"/>
  <c r="N1032" i="37"/>
  <c r="M1032" i="37"/>
  <c r="L1032" i="37"/>
  <c r="K1032" i="37"/>
  <c r="J1032" i="37"/>
  <c r="I1032" i="37"/>
  <c r="H1032" i="37"/>
  <c r="G1032" i="37"/>
  <c r="F1032" i="37"/>
  <c r="E1032" i="37"/>
  <c r="D1032" i="37"/>
  <c r="C1032" i="37"/>
  <c r="B1032" i="37"/>
  <c r="R1031" i="37"/>
  <c r="Q1031" i="37"/>
  <c r="P1031" i="37"/>
  <c r="O1031" i="37"/>
  <c r="N1031" i="37"/>
  <c r="M1031" i="37"/>
  <c r="L1031" i="37"/>
  <c r="K1031" i="37"/>
  <c r="J1031" i="37"/>
  <c r="I1031" i="37"/>
  <c r="H1031" i="37"/>
  <c r="G1031" i="37"/>
  <c r="F1031" i="37"/>
  <c r="E1031" i="37"/>
  <c r="D1031" i="37"/>
  <c r="C1031" i="37"/>
  <c r="B1031" i="37"/>
  <c r="R1030" i="37"/>
  <c r="Q1030" i="37"/>
  <c r="P1030" i="37"/>
  <c r="O1030" i="37"/>
  <c r="N1030" i="37"/>
  <c r="M1030" i="37"/>
  <c r="L1030" i="37"/>
  <c r="K1030" i="37"/>
  <c r="J1030" i="37"/>
  <c r="I1030" i="37"/>
  <c r="H1030" i="37"/>
  <c r="G1030" i="37"/>
  <c r="F1030" i="37"/>
  <c r="E1030" i="37"/>
  <c r="D1030" i="37"/>
  <c r="C1030" i="37"/>
  <c r="B1030" i="37"/>
  <c r="R1029" i="37"/>
  <c r="Q1029" i="37"/>
  <c r="P1029" i="37"/>
  <c r="O1029" i="37"/>
  <c r="N1029" i="37"/>
  <c r="M1029" i="37"/>
  <c r="L1029" i="37"/>
  <c r="K1029" i="37"/>
  <c r="J1029" i="37"/>
  <c r="I1029" i="37"/>
  <c r="H1029" i="37"/>
  <c r="G1029" i="37"/>
  <c r="F1029" i="37"/>
  <c r="E1029" i="37"/>
  <c r="D1029" i="37"/>
  <c r="C1029" i="37"/>
  <c r="B1029" i="37"/>
  <c r="R1028" i="37"/>
  <c r="Q1028" i="37"/>
  <c r="P1028" i="37"/>
  <c r="O1028" i="37"/>
  <c r="N1028" i="37"/>
  <c r="M1028" i="37"/>
  <c r="L1028" i="37"/>
  <c r="K1028" i="37"/>
  <c r="J1028" i="37"/>
  <c r="I1028" i="37"/>
  <c r="H1028" i="37"/>
  <c r="G1028" i="37"/>
  <c r="F1028" i="37"/>
  <c r="E1028" i="37"/>
  <c r="D1028" i="37"/>
  <c r="C1028" i="37"/>
  <c r="B1028" i="37"/>
  <c r="R1027" i="37"/>
  <c r="Q1027" i="37"/>
  <c r="P1027" i="37"/>
  <c r="O1027" i="37"/>
  <c r="N1027" i="37"/>
  <c r="M1027" i="37"/>
  <c r="L1027" i="37"/>
  <c r="K1027" i="37"/>
  <c r="J1027" i="37"/>
  <c r="I1027" i="37"/>
  <c r="H1027" i="37"/>
  <c r="G1027" i="37"/>
  <c r="F1027" i="37"/>
  <c r="E1027" i="37"/>
  <c r="D1027" i="37"/>
  <c r="C1027" i="37"/>
  <c r="B1027" i="37"/>
  <c r="R1026" i="37"/>
  <c r="Q1026" i="37"/>
  <c r="P1026" i="37"/>
  <c r="O1026" i="37"/>
  <c r="N1026" i="37"/>
  <c r="M1026" i="37"/>
  <c r="L1026" i="37"/>
  <c r="K1026" i="37"/>
  <c r="J1026" i="37"/>
  <c r="I1026" i="37"/>
  <c r="H1026" i="37"/>
  <c r="G1026" i="37"/>
  <c r="F1026" i="37"/>
  <c r="E1026" i="37"/>
  <c r="D1026" i="37"/>
  <c r="C1026" i="37"/>
  <c r="B1026" i="37"/>
  <c r="R1025" i="37"/>
  <c r="Q1025" i="37"/>
  <c r="P1025" i="37"/>
  <c r="O1025" i="37"/>
  <c r="N1025" i="37"/>
  <c r="M1025" i="37"/>
  <c r="L1025" i="37"/>
  <c r="K1025" i="37"/>
  <c r="J1025" i="37"/>
  <c r="I1025" i="37"/>
  <c r="H1025" i="37"/>
  <c r="G1025" i="37"/>
  <c r="F1025" i="37"/>
  <c r="E1025" i="37"/>
  <c r="D1025" i="37"/>
  <c r="C1025" i="37"/>
  <c r="B1025" i="37"/>
  <c r="R1024" i="37"/>
  <c r="Q1024" i="37"/>
  <c r="P1024" i="37"/>
  <c r="O1024" i="37"/>
  <c r="N1024" i="37"/>
  <c r="M1024" i="37"/>
  <c r="L1024" i="37"/>
  <c r="K1024" i="37"/>
  <c r="J1024" i="37"/>
  <c r="I1024" i="37"/>
  <c r="H1024" i="37"/>
  <c r="G1024" i="37"/>
  <c r="F1024" i="37"/>
  <c r="E1024" i="37"/>
  <c r="D1024" i="37"/>
  <c r="C1024" i="37"/>
  <c r="B1024" i="37"/>
  <c r="R1023" i="37"/>
  <c r="Q1023" i="37"/>
  <c r="P1023" i="37"/>
  <c r="O1023" i="37"/>
  <c r="N1023" i="37"/>
  <c r="M1023" i="37"/>
  <c r="L1023" i="37"/>
  <c r="K1023" i="37"/>
  <c r="J1023" i="37"/>
  <c r="I1023" i="37"/>
  <c r="H1023" i="37"/>
  <c r="G1023" i="37"/>
  <c r="F1023" i="37"/>
  <c r="E1023" i="37"/>
  <c r="D1023" i="37"/>
  <c r="C1023" i="37"/>
  <c r="B1023" i="37"/>
  <c r="R1022" i="37"/>
  <c r="Q1022" i="37"/>
  <c r="P1022" i="37"/>
  <c r="O1022" i="37"/>
  <c r="N1022" i="37"/>
  <c r="M1022" i="37"/>
  <c r="L1022" i="37"/>
  <c r="K1022" i="37"/>
  <c r="J1022" i="37"/>
  <c r="I1022" i="37"/>
  <c r="H1022" i="37"/>
  <c r="G1022" i="37"/>
  <c r="F1022" i="37"/>
  <c r="E1022" i="37"/>
  <c r="D1022" i="37"/>
  <c r="C1022" i="37"/>
  <c r="B1022" i="37"/>
  <c r="R1021" i="37"/>
  <c r="Q1021" i="37"/>
  <c r="P1021" i="37"/>
  <c r="O1021" i="37"/>
  <c r="N1021" i="37"/>
  <c r="M1021" i="37"/>
  <c r="L1021" i="37"/>
  <c r="K1021" i="37"/>
  <c r="J1021" i="37"/>
  <c r="I1021" i="37"/>
  <c r="H1021" i="37"/>
  <c r="G1021" i="37"/>
  <c r="F1021" i="37"/>
  <c r="E1021" i="37"/>
  <c r="D1021" i="37"/>
  <c r="C1021" i="37"/>
  <c r="B1021" i="37"/>
  <c r="R1020" i="37"/>
  <c r="Q1020" i="37"/>
  <c r="P1020" i="37"/>
  <c r="O1020" i="37"/>
  <c r="N1020" i="37"/>
  <c r="M1020" i="37"/>
  <c r="L1020" i="37"/>
  <c r="K1020" i="37"/>
  <c r="J1020" i="37"/>
  <c r="I1020" i="37"/>
  <c r="H1020" i="37"/>
  <c r="G1020" i="37"/>
  <c r="F1020" i="37"/>
  <c r="E1020" i="37"/>
  <c r="D1020" i="37"/>
  <c r="C1020" i="37"/>
  <c r="B1020" i="37"/>
  <c r="R1019" i="37"/>
  <c r="Q1019" i="37"/>
  <c r="P1019" i="37"/>
  <c r="O1019" i="37"/>
  <c r="N1019" i="37"/>
  <c r="M1019" i="37"/>
  <c r="L1019" i="37"/>
  <c r="K1019" i="37"/>
  <c r="J1019" i="37"/>
  <c r="I1019" i="37"/>
  <c r="H1019" i="37"/>
  <c r="G1019" i="37"/>
  <c r="F1019" i="37"/>
  <c r="E1019" i="37"/>
  <c r="D1019" i="37"/>
  <c r="C1019" i="37"/>
  <c r="B1019" i="37"/>
  <c r="R1018" i="37"/>
  <c r="Q1018" i="37"/>
  <c r="P1018" i="37"/>
  <c r="O1018" i="37"/>
  <c r="N1018" i="37"/>
  <c r="M1018" i="37"/>
  <c r="L1018" i="37"/>
  <c r="K1018" i="37"/>
  <c r="J1018" i="37"/>
  <c r="I1018" i="37"/>
  <c r="H1018" i="37"/>
  <c r="G1018" i="37"/>
  <c r="F1018" i="37"/>
  <c r="E1018" i="37"/>
  <c r="D1018" i="37"/>
  <c r="C1018" i="37"/>
  <c r="B1018" i="37"/>
  <c r="R1017" i="37"/>
  <c r="Q1017" i="37"/>
  <c r="P1017" i="37"/>
  <c r="O1017" i="37"/>
  <c r="N1017" i="37"/>
  <c r="M1017" i="37"/>
  <c r="L1017" i="37"/>
  <c r="K1017" i="37"/>
  <c r="J1017" i="37"/>
  <c r="I1017" i="37"/>
  <c r="H1017" i="37"/>
  <c r="G1017" i="37"/>
  <c r="F1017" i="37"/>
  <c r="E1017" i="37"/>
  <c r="D1017" i="37"/>
  <c r="C1017" i="37"/>
  <c r="B1017" i="37"/>
  <c r="R1016" i="37"/>
  <c r="Q1016" i="37"/>
  <c r="P1016" i="37"/>
  <c r="O1016" i="37"/>
  <c r="N1016" i="37"/>
  <c r="M1016" i="37"/>
  <c r="L1016" i="37"/>
  <c r="K1016" i="37"/>
  <c r="J1016" i="37"/>
  <c r="I1016" i="37"/>
  <c r="H1016" i="37"/>
  <c r="G1016" i="37"/>
  <c r="F1016" i="37"/>
  <c r="E1016" i="37"/>
  <c r="D1016" i="37"/>
  <c r="C1016" i="37"/>
  <c r="B1016" i="37"/>
  <c r="R1015" i="37"/>
  <c r="Q1015" i="37"/>
  <c r="P1015" i="37"/>
  <c r="O1015" i="37"/>
  <c r="N1015" i="37"/>
  <c r="M1015" i="37"/>
  <c r="L1015" i="37"/>
  <c r="K1015" i="37"/>
  <c r="J1015" i="37"/>
  <c r="I1015" i="37"/>
  <c r="H1015" i="37"/>
  <c r="G1015" i="37"/>
  <c r="F1015" i="37"/>
  <c r="E1015" i="37"/>
  <c r="D1015" i="37"/>
  <c r="C1015" i="37"/>
  <c r="B1015" i="37"/>
  <c r="R1014" i="37"/>
  <c r="Q1014" i="37"/>
  <c r="P1014" i="37"/>
  <c r="O1014" i="37"/>
  <c r="N1014" i="37"/>
  <c r="M1014" i="37"/>
  <c r="L1014" i="37"/>
  <c r="K1014" i="37"/>
  <c r="J1014" i="37"/>
  <c r="I1014" i="37"/>
  <c r="H1014" i="37"/>
  <c r="G1014" i="37"/>
  <c r="F1014" i="37"/>
  <c r="E1014" i="37"/>
  <c r="D1014" i="37"/>
  <c r="C1014" i="37"/>
  <c r="B1014" i="37"/>
  <c r="R1013" i="37"/>
  <c r="Q1013" i="37"/>
  <c r="P1013" i="37"/>
  <c r="O1013" i="37"/>
  <c r="N1013" i="37"/>
  <c r="M1013" i="37"/>
  <c r="L1013" i="37"/>
  <c r="K1013" i="37"/>
  <c r="J1013" i="37"/>
  <c r="I1013" i="37"/>
  <c r="H1013" i="37"/>
  <c r="G1013" i="37"/>
  <c r="F1013" i="37"/>
  <c r="E1013" i="37"/>
  <c r="D1013" i="37"/>
  <c r="C1013" i="37"/>
  <c r="B1013" i="37"/>
  <c r="R1012" i="37"/>
  <c r="Q1012" i="37"/>
  <c r="P1012" i="37"/>
  <c r="O1012" i="37"/>
  <c r="N1012" i="37"/>
  <c r="M1012" i="37"/>
  <c r="L1012" i="37"/>
  <c r="K1012" i="37"/>
  <c r="J1012" i="37"/>
  <c r="I1012" i="37"/>
  <c r="H1012" i="37"/>
  <c r="G1012" i="37"/>
  <c r="F1012" i="37"/>
  <c r="E1012" i="37"/>
  <c r="D1012" i="37"/>
  <c r="C1012" i="37"/>
  <c r="B1012" i="37"/>
  <c r="R1011" i="37"/>
  <c r="Q1011" i="37"/>
  <c r="P1011" i="37"/>
  <c r="O1011" i="37"/>
  <c r="N1011" i="37"/>
  <c r="M1011" i="37"/>
  <c r="L1011" i="37"/>
  <c r="K1011" i="37"/>
  <c r="J1011" i="37"/>
  <c r="I1011" i="37"/>
  <c r="H1011" i="37"/>
  <c r="G1011" i="37"/>
  <c r="F1011" i="37"/>
  <c r="E1011" i="37"/>
  <c r="D1011" i="37"/>
  <c r="C1011" i="37"/>
  <c r="B1011" i="37"/>
  <c r="R1010" i="37"/>
  <c r="Q1010" i="37"/>
  <c r="P1010" i="37"/>
  <c r="O1010" i="37"/>
  <c r="N1010" i="37"/>
  <c r="M1010" i="37"/>
  <c r="L1010" i="37"/>
  <c r="K1010" i="37"/>
  <c r="J1010" i="37"/>
  <c r="I1010" i="37"/>
  <c r="H1010" i="37"/>
  <c r="G1010" i="37"/>
  <c r="F1010" i="37"/>
  <c r="E1010" i="37"/>
  <c r="D1010" i="37"/>
  <c r="C1010" i="37"/>
  <c r="B1010" i="37"/>
  <c r="R1009" i="37"/>
  <c r="Q1009" i="37"/>
  <c r="P1009" i="37"/>
  <c r="O1009" i="37"/>
  <c r="N1009" i="37"/>
  <c r="M1009" i="37"/>
  <c r="L1009" i="37"/>
  <c r="K1009" i="37"/>
  <c r="J1009" i="37"/>
  <c r="I1009" i="37"/>
  <c r="H1009" i="37"/>
  <c r="G1009" i="37"/>
  <c r="F1009" i="37"/>
  <c r="E1009" i="37"/>
  <c r="D1009" i="37"/>
  <c r="C1009" i="37"/>
  <c r="B1009" i="37"/>
  <c r="R1008" i="37"/>
  <c r="Q1008" i="37"/>
  <c r="P1008" i="37"/>
  <c r="O1008" i="37"/>
  <c r="N1008" i="37"/>
  <c r="M1008" i="37"/>
  <c r="L1008" i="37"/>
  <c r="K1008" i="37"/>
  <c r="J1008" i="37"/>
  <c r="I1008" i="37"/>
  <c r="H1008" i="37"/>
  <c r="G1008" i="37"/>
  <c r="F1008" i="37"/>
  <c r="E1008" i="37"/>
  <c r="D1008" i="37"/>
  <c r="C1008" i="37"/>
  <c r="B1008" i="37"/>
  <c r="R1007" i="37"/>
  <c r="Q1007" i="37"/>
  <c r="P1007" i="37"/>
  <c r="O1007" i="37"/>
  <c r="N1007" i="37"/>
  <c r="M1007" i="37"/>
  <c r="L1007" i="37"/>
  <c r="K1007" i="37"/>
  <c r="J1007" i="37"/>
  <c r="I1007" i="37"/>
  <c r="H1007" i="37"/>
  <c r="G1007" i="37"/>
  <c r="F1007" i="37"/>
  <c r="E1007" i="37"/>
  <c r="D1007" i="37"/>
  <c r="C1007" i="37"/>
  <c r="B1007" i="37"/>
  <c r="R1006" i="37"/>
  <c r="Q1006" i="37"/>
  <c r="P1006" i="37"/>
  <c r="O1006" i="37"/>
  <c r="N1006" i="37"/>
  <c r="M1006" i="37"/>
  <c r="L1006" i="37"/>
  <c r="K1006" i="37"/>
  <c r="J1006" i="37"/>
  <c r="I1006" i="37"/>
  <c r="H1006" i="37"/>
  <c r="G1006" i="37"/>
  <c r="F1006" i="37"/>
  <c r="E1006" i="37"/>
  <c r="D1006" i="37"/>
  <c r="C1006" i="37"/>
  <c r="B1006" i="37"/>
  <c r="R1005" i="37"/>
  <c r="Q1005" i="37"/>
  <c r="P1005" i="37"/>
  <c r="O1005" i="37"/>
  <c r="N1005" i="37"/>
  <c r="M1005" i="37"/>
  <c r="L1005" i="37"/>
  <c r="K1005" i="37"/>
  <c r="J1005" i="37"/>
  <c r="I1005" i="37"/>
  <c r="H1005" i="37"/>
  <c r="G1005" i="37"/>
  <c r="F1005" i="37"/>
  <c r="E1005" i="37"/>
  <c r="D1005" i="37"/>
  <c r="C1005" i="37"/>
  <c r="B1005" i="37"/>
  <c r="R1004" i="37"/>
  <c r="Q1004" i="37"/>
  <c r="P1004" i="37"/>
  <c r="O1004" i="37"/>
  <c r="N1004" i="37"/>
  <c r="M1004" i="37"/>
  <c r="L1004" i="37"/>
  <c r="K1004" i="37"/>
  <c r="J1004" i="37"/>
  <c r="I1004" i="37"/>
  <c r="H1004" i="37"/>
  <c r="G1004" i="37"/>
  <c r="F1004" i="37"/>
  <c r="E1004" i="37"/>
  <c r="D1004" i="37"/>
  <c r="C1004" i="37"/>
  <c r="B1004" i="37"/>
  <c r="R1003" i="37"/>
  <c r="Q1003" i="37"/>
  <c r="P1003" i="37"/>
  <c r="O1003" i="37"/>
  <c r="N1003" i="37"/>
  <c r="M1003" i="37"/>
  <c r="L1003" i="37"/>
  <c r="K1003" i="37"/>
  <c r="J1003" i="37"/>
  <c r="I1003" i="37"/>
  <c r="H1003" i="37"/>
  <c r="G1003" i="37"/>
  <c r="F1003" i="37"/>
  <c r="E1003" i="37"/>
  <c r="D1003" i="37"/>
  <c r="C1003" i="37"/>
  <c r="B1003" i="37"/>
  <c r="R1002" i="37"/>
  <c r="Q1002" i="37"/>
  <c r="P1002" i="37"/>
  <c r="O1002" i="37"/>
  <c r="N1002" i="37"/>
  <c r="M1002" i="37"/>
  <c r="L1002" i="37"/>
  <c r="K1002" i="37"/>
  <c r="J1002" i="37"/>
  <c r="I1002" i="37"/>
  <c r="H1002" i="37"/>
  <c r="G1002" i="37"/>
  <c r="F1002" i="37"/>
  <c r="E1002" i="37"/>
  <c r="D1002" i="37"/>
  <c r="C1002" i="37"/>
  <c r="B1002" i="37"/>
  <c r="R1001" i="37"/>
  <c r="Q1001" i="37"/>
  <c r="P1001" i="37"/>
  <c r="O1001" i="37"/>
  <c r="N1001" i="37"/>
  <c r="M1001" i="37"/>
  <c r="L1001" i="37"/>
  <c r="K1001" i="37"/>
  <c r="J1001" i="37"/>
  <c r="I1001" i="37"/>
  <c r="H1001" i="37"/>
  <c r="G1001" i="37"/>
  <c r="F1001" i="37"/>
  <c r="E1001" i="37"/>
  <c r="D1001" i="37"/>
  <c r="C1001" i="37"/>
  <c r="B1001" i="37"/>
  <c r="R1000" i="37"/>
  <c r="Q1000" i="37"/>
  <c r="P1000" i="37"/>
  <c r="O1000" i="37"/>
  <c r="N1000" i="37"/>
  <c r="M1000" i="37"/>
  <c r="L1000" i="37"/>
  <c r="K1000" i="37"/>
  <c r="J1000" i="37"/>
  <c r="I1000" i="37"/>
  <c r="H1000" i="37"/>
  <c r="G1000" i="37"/>
  <c r="F1000" i="37"/>
  <c r="E1000" i="37"/>
  <c r="D1000" i="37"/>
  <c r="C1000" i="37"/>
  <c r="B1000" i="37"/>
  <c r="R999" i="37"/>
  <c r="Q999" i="37"/>
  <c r="P999" i="37"/>
  <c r="O999" i="37"/>
  <c r="N999" i="37"/>
  <c r="M999" i="37"/>
  <c r="L999" i="37"/>
  <c r="K999" i="37"/>
  <c r="J999" i="37"/>
  <c r="I999" i="37"/>
  <c r="H999" i="37"/>
  <c r="G999" i="37"/>
  <c r="F999" i="37"/>
  <c r="E999" i="37"/>
  <c r="D999" i="37"/>
  <c r="C999" i="37"/>
  <c r="B999" i="37"/>
  <c r="R998" i="37"/>
  <c r="Q998" i="37"/>
  <c r="P998" i="37"/>
  <c r="O998" i="37"/>
  <c r="N998" i="37"/>
  <c r="M998" i="37"/>
  <c r="L998" i="37"/>
  <c r="K998" i="37"/>
  <c r="J998" i="37"/>
  <c r="I998" i="37"/>
  <c r="H998" i="37"/>
  <c r="G998" i="37"/>
  <c r="F998" i="37"/>
  <c r="E998" i="37"/>
  <c r="D998" i="37"/>
  <c r="C998" i="37"/>
  <c r="B998" i="37"/>
  <c r="R997" i="37"/>
  <c r="Q997" i="37"/>
  <c r="P997" i="37"/>
  <c r="O997" i="37"/>
  <c r="N997" i="37"/>
  <c r="M997" i="37"/>
  <c r="L997" i="37"/>
  <c r="K997" i="37"/>
  <c r="J997" i="37"/>
  <c r="I997" i="37"/>
  <c r="H997" i="37"/>
  <c r="G997" i="37"/>
  <c r="F997" i="37"/>
  <c r="E997" i="37"/>
  <c r="D997" i="37"/>
  <c r="C997" i="37"/>
  <c r="B997" i="37"/>
  <c r="R996" i="37"/>
  <c r="Q996" i="37"/>
  <c r="P996" i="37"/>
  <c r="O996" i="37"/>
  <c r="N996" i="37"/>
  <c r="M996" i="37"/>
  <c r="L996" i="37"/>
  <c r="K996" i="37"/>
  <c r="J996" i="37"/>
  <c r="I996" i="37"/>
  <c r="H996" i="37"/>
  <c r="G996" i="37"/>
  <c r="F996" i="37"/>
  <c r="E996" i="37"/>
  <c r="D996" i="37"/>
  <c r="C996" i="37"/>
  <c r="B996" i="37"/>
  <c r="R995" i="37"/>
  <c r="Q995" i="37"/>
  <c r="P995" i="37"/>
  <c r="O995" i="37"/>
  <c r="N995" i="37"/>
  <c r="M995" i="37"/>
  <c r="L995" i="37"/>
  <c r="K995" i="37"/>
  <c r="J995" i="37"/>
  <c r="I995" i="37"/>
  <c r="H995" i="37"/>
  <c r="G995" i="37"/>
  <c r="F995" i="37"/>
  <c r="E995" i="37"/>
  <c r="D995" i="37"/>
  <c r="C995" i="37"/>
  <c r="B995" i="37"/>
  <c r="R994" i="37"/>
  <c r="Q994" i="37"/>
  <c r="P994" i="37"/>
  <c r="O994" i="37"/>
  <c r="N994" i="37"/>
  <c r="M994" i="37"/>
  <c r="L994" i="37"/>
  <c r="K994" i="37"/>
  <c r="J994" i="37"/>
  <c r="I994" i="37"/>
  <c r="H994" i="37"/>
  <c r="G994" i="37"/>
  <c r="F994" i="37"/>
  <c r="E994" i="37"/>
  <c r="D994" i="37"/>
  <c r="C994" i="37"/>
  <c r="B994" i="37"/>
  <c r="R993" i="37"/>
  <c r="Q993" i="37"/>
  <c r="P993" i="37"/>
  <c r="O993" i="37"/>
  <c r="N993" i="37"/>
  <c r="M993" i="37"/>
  <c r="L993" i="37"/>
  <c r="K993" i="37"/>
  <c r="J993" i="37"/>
  <c r="I993" i="37"/>
  <c r="H993" i="37"/>
  <c r="G993" i="37"/>
  <c r="F993" i="37"/>
  <c r="E993" i="37"/>
  <c r="D993" i="37"/>
  <c r="C993" i="37"/>
  <c r="B993" i="37"/>
  <c r="R992" i="37"/>
  <c r="Q992" i="37"/>
  <c r="P992" i="37"/>
  <c r="O992" i="37"/>
  <c r="N992" i="37"/>
  <c r="M992" i="37"/>
  <c r="L992" i="37"/>
  <c r="K992" i="37"/>
  <c r="J992" i="37"/>
  <c r="I992" i="37"/>
  <c r="H992" i="37"/>
  <c r="G992" i="37"/>
  <c r="F992" i="37"/>
  <c r="E992" i="37"/>
  <c r="D992" i="37"/>
  <c r="C992" i="37"/>
  <c r="B992" i="37"/>
  <c r="R991" i="37"/>
  <c r="Q991" i="37"/>
  <c r="P991" i="37"/>
  <c r="O991" i="37"/>
  <c r="N991" i="37"/>
  <c r="M991" i="37"/>
  <c r="L991" i="37"/>
  <c r="K991" i="37"/>
  <c r="J991" i="37"/>
  <c r="I991" i="37"/>
  <c r="H991" i="37"/>
  <c r="G991" i="37"/>
  <c r="F991" i="37"/>
  <c r="E991" i="37"/>
  <c r="D991" i="37"/>
  <c r="C991" i="37"/>
  <c r="B991" i="37"/>
  <c r="R990" i="37"/>
  <c r="Q990" i="37"/>
  <c r="P990" i="37"/>
  <c r="O990" i="37"/>
  <c r="N990" i="37"/>
  <c r="M990" i="37"/>
  <c r="L990" i="37"/>
  <c r="K990" i="37"/>
  <c r="J990" i="37"/>
  <c r="I990" i="37"/>
  <c r="H990" i="37"/>
  <c r="G990" i="37"/>
  <c r="F990" i="37"/>
  <c r="E990" i="37"/>
  <c r="D990" i="37"/>
  <c r="C990" i="37"/>
  <c r="B990" i="37"/>
  <c r="R989" i="37"/>
  <c r="Q989" i="37"/>
  <c r="P989" i="37"/>
  <c r="O989" i="37"/>
  <c r="N989" i="37"/>
  <c r="M989" i="37"/>
  <c r="L989" i="37"/>
  <c r="K989" i="37"/>
  <c r="J989" i="37"/>
  <c r="I989" i="37"/>
  <c r="H989" i="37"/>
  <c r="G989" i="37"/>
  <c r="F989" i="37"/>
  <c r="E989" i="37"/>
  <c r="D989" i="37"/>
  <c r="C989" i="37"/>
  <c r="B989" i="37"/>
  <c r="R988" i="37"/>
  <c r="Q988" i="37"/>
  <c r="P988" i="37"/>
  <c r="O988" i="37"/>
  <c r="N988" i="37"/>
  <c r="M988" i="37"/>
  <c r="L988" i="37"/>
  <c r="K988" i="37"/>
  <c r="J988" i="37"/>
  <c r="I988" i="37"/>
  <c r="H988" i="37"/>
  <c r="G988" i="37"/>
  <c r="F988" i="37"/>
  <c r="E988" i="37"/>
  <c r="D988" i="37"/>
  <c r="C988" i="37"/>
  <c r="B988" i="37"/>
  <c r="R987" i="37"/>
  <c r="Q987" i="37"/>
  <c r="P987" i="37"/>
  <c r="O987" i="37"/>
  <c r="N987" i="37"/>
  <c r="M987" i="37"/>
  <c r="L987" i="37"/>
  <c r="K987" i="37"/>
  <c r="J987" i="37"/>
  <c r="I987" i="37"/>
  <c r="H987" i="37"/>
  <c r="G987" i="37"/>
  <c r="F987" i="37"/>
  <c r="E987" i="37"/>
  <c r="D987" i="37"/>
  <c r="C987" i="37"/>
  <c r="B987" i="37"/>
  <c r="R986" i="37"/>
  <c r="Q986" i="37"/>
  <c r="P986" i="37"/>
  <c r="O986" i="37"/>
  <c r="N986" i="37"/>
  <c r="M986" i="37"/>
  <c r="L986" i="37"/>
  <c r="K986" i="37"/>
  <c r="J986" i="37"/>
  <c r="I986" i="37"/>
  <c r="H986" i="37"/>
  <c r="G986" i="37"/>
  <c r="F986" i="37"/>
  <c r="E986" i="37"/>
  <c r="D986" i="37"/>
  <c r="C986" i="37"/>
  <c r="B986" i="37"/>
  <c r="R985" i="37"/>
  <c r="Q985" i="37"/>
  <c r="P985" i="37"/>
  <c r="O985" i="37"/>
  <c r="N985" i="37"/>
  <c r="M985" i="37"/>
  <c r="L985" i="37"/>
  <c r="K985" i="37"/>
  <c r="J985" i="37"/>
  <c r="I985" i="37"/>
  <c r="H985" i="37"/>
  <c r="G985" i="37"/>
  <c r="F985" i="37"/>
  <c r="E985" i="37"/>
  <c r="D985" i="37"/>
  <c r="C985" i="37"/>
  <c r="B985" i="37"/>
  <c r="R984" i="37"/>
  <c r="Q984" i="37"/>
  <c r="P984" i="37"/>
  <c r="O984" i="37"/>
  <c r="N984" i="37"/>
  <c r="M984" i="37"/>
  <c r="L984" i="37"/>
  <c r="K984" i="37"/>
  <c r="J984" i="37"/>
  <c r="I984" i="37"/>
  <c r="H984" i="37"/>
  <c r="G984" i="37"/>
  <c r="F984" i="37"/>
  <c r="E984" i="37"/>
  <c r="D984" i="37"/>
  <c r="C984" i="37"/>
  <c r="B984" i="37"/>
  <c r="R983" i="37"/>
  <c r="Q983" i="37"/>
  <c r="P983" i="37"/>
  <c r="O983" i="37"/>
  <c r="N983" i="37"/>
  <c r="M983" i="37"/>
  <c r="L983" i="37"/>
  <c r="K983" i="37"/>
  <c r="J983" i="37"/>
  <c r="I983" i="37"/>
  <c r="H983" i="37"/>
  <c r="G983" i="37"/>
  <c r="F983" i="37"/>
  <c r="E983" i="37"/>
  <c r="D983" i="37"/>
  <c r="C983" i="37"/>
  <c r="B983" i="37"/>
  <c r="R982" i="37"/>
  <c r="Q982" i="37"/>
  <c r="P982" i="37"/>
  <c r="O982" i="37"/>
  <c r="N982" i="37"/>
  <c r="M982" i="37"/>
  <c r="L982" i="37"/>
  <c r="K982" i="37"/>
  <c r="J982" i="37"/>
  <c r="I982" i="37"/>
  <c r="H982" i="37"/>
  <c r="G982" i="37"/>
  <c r="F982" i="37"/>
  <c r="E982" i="37"/>
  <c r="D982" i="37"/>
  <c r="C982" i="37"/>
  <c r="B982" i="37"/>
  <c r="R981" i="37"/>
  <c r="Q981" i="37"/>
  <c r="P981" i="37"/>
  <c r="O981" i="37"/>
  <c r="N981" i="37"/>
  <c r="M981" i="37"/>
  <c r="L981" i="37"/>
  <c r="K981" i="37"/>
  <c r="J981" i="37"/>
  <c r="I981" i="37"/>
  <c r="H981" i="37"/>
  <c r="G981" i="37"/>
  <c r="F981" i="37"/>
  <c r="E981" i="37"/>
  <c r="D981" i="37"/>
  <c r="C981" i="37"/>
  <c r="B981" i="37"/>
  <c r="R980" i="37"/>
  <c r="Q980" i="37"/>
  <c r="P980" i="37"/>
  <c r="O980" i="37"/>
  <c r="N980" i="37"/>
  <c r="M980" i="37"/>
  <c r="L980" i="37"/>
  <c r="K980" i="37"/>
  <c r="J980" i="37"/>
  <c r="I980" i="37"/>
  <c r="H980" i="37"/>
  <c r="G980" i="37"/>
  <c r="F980" i="37"/>
  <c r="E980" i="37"/>
  <c r="D980" i="37"/>
  <c r="C980" i="37"/>
  <c r="B980" i="37"/>
  <c r="R979" i="37"/>
  <c r="Q979" i="37"/>
  <c r="P979" i="37"/>
  <c r="O979" i="37"/>
  <c r="N979" i="37"/>
  <c r="M979" i="37"/>
  <c r="L979" i="37"/>
  <c r="K979" i="37"/>
  <c r="J979" i="37"/>
  <c r="I979" i="37"/>
  <c r="H979" i="37"/>
  <c r="G979" i="37"/>
  <c r="F979" i="37"/>
  <c r="E979" i="37"/>
  <c r="D979" i="37"/>
  <c r="C979" i="37"/>
  <c r="B979" i="37"/>
  <c r="R978" i="37"/>
  <c r="Q978" i="37"/>
  <c r="P978" i="37"/>
  <c r="O978" i="37"/>
  <c r="N978" i="37"/>
  <c r="M978" i="37"/>
  <c r="L978" i="37"/>
  <c r="K978" i="37"/>
  <c r="J978" i="37"/>
  <c r="I978" i="37"/>
  <c r="H978" i="37"/>
  <c r="G978" i="37"/>
  <c r="F978" i="37"/>
  <c r="E978" i="37"/>
  <c r="D978" i="37"/>
  <c r="C978" i="37"/>
  <c r="B978" i="37"/>
  <c r="R977" i="37"/>
  <c r="Q977" i="37"/>
  <c r="P977" i="37"/>
  <c r="O977" i="37"/>
  <c r="N977" i="37"/>
  <c r="M977" i="37"/>
  <c r="L977" i="37"/>
  <c r="K977" i="37"/>
  <c r="J977" i="37"/>
  <c r="I977" i="37"/>
  <c r="H977" i="37"/>
  <c r="G977" i="37"/>
  <c r="F977" i="37"/>
  <c r="E977" i="37"/>
  <c r="D977" i="37"/>
  <c r="C977" i="37"/>
  <c r="B977" i="37"/>
  <c r="R976" i="37"/>
  <c r="Q976" i="37"/>
  <c r="P976" i="37"/>
  <c r="O976" i="37"/>
  <c r="N976" i="37"/>
  <c r="M976" i="37"/>
  <c r="L976" i="37"/>
  <c r="K976" i="37"/>
  <c r="J976" i="37"/>
  <c r="I976" i="37"/>
  <c r="H976" i="37"/>
  <c r="G976" i="37"/>
  <c r="F976" i="37"/>
  <c r="E976" i="37"/>
  <c r="D976" i="37"/>
  <c r="C976" i="37"/>
  <c r="B976" i="37"/>
  <c r="R975" i="37"/>
  <c r="Q975" i="37"/>
  <c r="P975" i="37"/>
  <c r="O975" i="37"/>
  <c r="N975" i="37"/>
  <c r="M975" i="37"/>
  <c r="L975" i="37"/>
  <c r="K975" i="37"/>
  <c r="J975" i="37"/>
  <c r="I975" i="37"/>
  <c r="H975" i="37"/>
  <c r="G975" i="37"/>
  <c r="F975" i="37"/>
  <c r="E975" i="37"/>
  <c r="D975" i="37"/>
  <c r="C975" i="37"/>
  <c r="B975" i="37"/>
  <c r="R974" i="37"/>
  <c r="Q974" i="37"/>
  <c r="P974" i="37"/>
  <c r="O974" i="37"/>
  <c r="N974" i="37"/>
  <c r="M974" i="37"/>
  <c r="L974" i="37"/>
  <c r="K974" i="37"/>
  <c r="J974" i="37"/>
  <c r="I974" i="37"/>
  <c r="H974" i="37"/>
  <c r="G974" i="37"/>
  <c r="F974" i="37"/>
  <c r="E974" i="37"/>
  <c r="D974" i="37"/>
  <c r="C974" i="37"/>
  <c r="B974" i="37"/>
  <c r="R973" i="37"/>
  <c r="Q973" i="37"/>
  <c r="P973" i="37"/>
  <c r="O973" i="37"/>
  <c r="N973" i="37"/>
  <c r="M973" i="37"/>
  <c r="L973" i="37"/>
  <c r="K973" i="37"/>
  <c r="J973" i="37"/>
  <c r="I973" i="37"/>
  <c r="H973" i="37"/>
  <c r="G973" i="37"/>
  <c r="F973" i="37"/>
  <c r="E973" i="37"/>
  <c r="D973" i="37"/>
  <c r="C973" i="37"/>
  <c r="B973" i="37"/>
  <c r="R972" i="37"/>
  <c r="Q972" i="37"/>
  <c r="P972" i="37"/>
  <c r="O972" i="37"/>
  <c r="N972" i="37"/>
  <c r="M972" i="37"/>
  <c r="L972" i="37"/>
  <c r="K972" i="37"/>
  <c r="J972" i="37"/>
  <c r="I972" i="37"/>
  <c r="H972" i="37"/>
  <c r="G972" i="37"/>
  <c r="F972" i="37"/>
  <c r="E972" i="37"/>
  <c r="D972" i="37"/>
  <c r="C972" i="37"/>
  <c r="B972" i="37"/>
  <c r="R971" i="37"/>
  <c r="Q971" i="37"/>
  <c r="P971" i="37"/>
  <c r="O971" i="37"/>
  <c r="N971" i="37"/>
  <c r="M971" i="37"/>
  <c r="L971" i="37"/>
  <c r="K971" i="37"/>
  <c r="J971" i="37"/>
  <c r="I971" i="37"/>
  <c r="H971" i="37"/>
  <c r="G971" i="37"/>
  <c r="F971" i="37"/>
  <c r="E971" i="37"/>
  <c r="D971" i="37"/>
  <c r="C971" i="37"/>
  <c r="B971" i="37"/>
  <c r="R970" i="37"/>
  <c r="Q970" i="37"/>
  <c r="P970" i="37"/>
  <c r="O970" i="37"/>
  <c r="N970" i="37"/>
  <c r="M970" i="37"/>
  <c r="L970" i="37"/>
  <c r="K970" i="37"/>
  <c r="J970" i="37"/>
  <c r="I970" i="37"/>
  <c r="H970" i="37"/>
  <c r="G970" i="37"/>
  <c r="F970" i="37"/>
  <c r="E970" i="37"/>
  <c r="D970" i="37"/>
  <c r="C970" i="37"/>
  <c r="B970" i="37"/>
  <c r="R969" i="37"/>
  <c r="Q969" i="37"/>
  <c r="P969" i="37"/>
  <c r="O969" i="37"/>
  <c r="N969" i="37"/>
  <c r="M969" i="37"/>
  <c r="L969" i="37"/>
  <c r="K969" i="37"/>
  <c r="J969" i="37"/>
  <c r="I969" i="37"/>
  <c r="H969" i="37"/>
  <c r="G969" i="37"/>
  <c r="F969" i="37"/>
  <c r="E969" i="37"/>
  <c r="D969" i="37"/>
  <c r="C969" i="37"/>
  <c r="B969" i="37"/>
  <c r="R968" i="37"/>
  <c r="Q968" i="37"/>
  <c r="P968" i="37"/>
  <c r="O968" i="37"/>
  <c r="N968" i="37"/>
  <c r="M968" i="37"/>
  <c r="L968" i="37"/>
  <c r="K968" i="37"/>
  <c r="J968" i="37"/>
  <c r="I968" i="37"/>
  <c r="H968" i="37"/>
  <c r="G968" i="37"/>
  <c r="F968" i="37"/>
  <c r="E968" i="37"/>
  <c r="D968" i="37"/>
  <c r="C968" i="37"/>
  <c r="B968" i="37"/>
  <c r="R967" i="37"/>
  <c r="Q967" i="37"/>
  <c r="P967" i="37"/>
  <c r="O967" i="37"/>
  <c r="N967" i="37"/>
  <c r="M967" i="37"/>
  <c r="L967" i="37"/>
  <c r="K967" i="37"/>
  <c r="J967" i="37"/>
  <c r="I967" i="37"/>
  <c r="H967" i="37"/>
  <c r="G967" i="37"/>
  <c r="F967" i="37"/>
  <c r="E967" i="37"/>
  <c r="D967" i="37"/>
  <c r="C967" i="37"/>
  <c r="B967" i="37"/>
  <c r="R966" i="37"/>
  <c r="Q966" i="37"/>
  <c r="P966" i="37"/>
  <c r="O966" i="37"/>
  <c r="N966" i="37"/>
  <c r="M966" i="37"/>
  <c r="L966" i="37"/>
  <c r="K966" i="37"/>
  <c r="J966" i="37"/>
  <c r="I966" i="37"/>
  <c r="H966" i="37"/>
  <c r="G966" i="37"/>
  <c r="F966" i="37"/>
  <c r="E966" i="37"/>
  <c r="D966" i="37"/>
  <c r="C966" i="37"/>
  <c r="B966" i="37"/>
  <c r="R965" i="37"/>
  <c r="Q965" i="37"/>
  <c r="P965" i="37"/>
  <c r="O965" i="37"/>
  <c r="N965" i="37"/>
  <c r="M965" i="37"/>
  <c r="L965" i="37"/>
  <c r="K965" i="37"/>
  <c r="J965" i="37"/>
  <c r="I965" i="37"/>
  <c r="H965" i="37"/>
  <c r="G965" i="37"/>
  <c r="F965" i="37"/>
  <c r="E965" i="37"/>
  <c r="D965" i="37"/>
  <c r="C965" i="37"/>
  <c r="B965" i="37"/>
  <c r="R964" i="37"/>
  <c r="Q964" i="37"/>
  <c r="P964" i="37"/>
  <c r="O964" i="37"/>
  <c r="N964" i="37"/>
  <c r="M964" i="37"/>
  <c r="L964" i="37"/>
  <c r="K964" i="37"/>
  <c r="J964" i="37"/>
  <c r="I964" i="37"/>
  <c r="H964" i="37"/>
  <c r="G964" i="37"/>
  <c r="F964" i="37"/>
  <c r="E964" i="37"/>
  <c r="D964" i="37"/>
  <c r="C964" i="37"/>
  <c r="B964" i="37"/>
  <c r="R963" i="37"/>
  <c r="Q963" i="37"/>
  <c r="P963" i="37"/>
  <c r="O963" i="37"/>
  <c r="N963" i="37"/>
  <c r="M963" i="37"/>
  <c r="L963" i="37"/>
  <c r="K963" i="37"/>
  <c r="J963" i="37"/>
  <c r="I963" i="37"/>
  <c r="H963" i="37"/>
  <c r="G963" i="37"/>
  <c r="F963" i="37"/>
  <c r="E963" i="37"/>
  <c r="D963" i="37"/>
  <c r="C963" i="37"/>
  <c r="B963" i="37"/>
  <c r="R962" i="37"/>
  <c r="Q962" i="37"/>
  <c r="P962" i="37"/>
  <c r="O962" i="37"/>
  <c r="N962" i="37"/>
  <c r="M962" i="37"/>
  <c r="L962" i="37"/>
  <c r="K962" i="37"/>
  <c r="J962" i="37"/>
  <c r="I962" i="37"/>
  <c r="H962" i="37"/>
  <c r="G962" i="37"/>
  <c r="F962" i="37"/>
  <c r="E962" i="37"/>
  <c r="D962" i="37"/>
  <c r="C962" i="37"/>
  <c r="B962" i="37"/>
  <c r="R961" i="37"/>
  <c r="Q961" i="37"/>
  <c r="P961" i="37"/>
  <c r="O961" i="37"/>
  <c r="N961" i="37"/>
  <c r="M961" i="37"/>
  <c r="L961" i="37"/>
  <c r="K961" i="37"/>
  <c r="J961" i="37"/>
  <c r="I961" i="37"/>
  <c r="H961" i="37"/>
  <c r="G961" i="37"/>
  <c r="F961" i="37"/>
  <c r="E961" i="37"/>
  <c r="D961" i="37"/>
  <c r="C961" i="37"/>
  <c r="B961" i="37"/>
  <c r="R960" i="37"/>
  <c r="Q960" i="37"/>
  <c r="P960" i="37"/>
  <c r="O960" i="37"/>
  <c r="N960" i="37"/>
  <c r="M960" i="37"/>
  <c r="L960" i="37"/>
  <c r="K960" i="37"/>
  <c r="J960" i="37"/>
  <c r="I960" i="37"/>
  <c r="H960" i="37"/>
  <c r="G960" i="37"/>
  <c r="F960" i="37"/>
  <c r="E960" i="37"/>
  <c r="D960" i="37"/>
  <c r="C960" i="37"/>
  <c r="B960" i="37"/>
  <c r="R959" i="37"/>
  <c r="Q959" i="37"/>
  <c r="P959" i="37"/>
  <c r="O959" i="37"/>
  <c r="N959" i="37"/>
  <c r="M959" i="37"/>
  <c r="L959" i="37"/>
  <c r="K959" i="37"/>
  <c r="J959" i="37"/>
  <c r="I959" i="37"/>
  <c r="H959" i="37"/>
  <c r="G959" i="37"/>
  <c r="F959" i="37"/>
  <c r="E959" i="37"/>
  <c r="D959" i="37"/>
  <c r="C959" i="37"/>
  <c r="B959" i="37"/>
  <c r="R958" i="37"/>
  <c r="Q958" i="37"/>
  <c r="P958" i="37"/>
  <c r="O958" i="37"/>
  <c r="N958" i="37"/>
  <c r="M958" i="37"/>
  <c r="L958" i="37"/>
  <c r="K958" i="37"/>
  <c r="J958" i="37"/>
  <c r="I958" i="37"/>
  <c r="H958" i="37"/>
  <c r="G958" i="37"/>
  <c r="F958" i="37"/>
  <c r="E958" i="37"/>
  <c r="D958" i="37"/>
  <c r="C958" i="37"/>
  <c r="B958" i="37"/>
  <c r="R957" i="37"/>
  <c r="Q957" i="37"/>
  <c r="P957" i="37"/>
  <c r="O957" i="37"/>
  <c r="N957" i="37"/>
  <c r="M957" i="37"/>
  <c r="L957" i="37"/>
  <c r="K957" i="37"/>
  <c r="J957" i="37"/>
  <c r="I957" i="37"/>
  <c r="H957" i="37"/>
  <c r="G957" i="37"/>
  <c r="F957" i="37"/>
  <c r="E957" i="37"/>
  <c r="D957" i="37"/>
  <c r="C957" i="37"/>
  <c r="B957" i="37"/>
  <c r="R956" i="37"/>
  <c r="Q956" i="37"/>
  <c r="P956" i="37"/>
  <c r="O956" i="37"/>
  <c r="N956" i="37"/>
  <c r="M956" i="37"/>
  <c r="L956" i="37"/>
  <c r="K956" i="37"/>
  <c r="J956" i="37"/>
  <c r="I956" i="37"/>
  <c r="H956" i="37"/>
  <c r="G956" i="37"/>
  <c r="F956" i="37"/>
  <c r="E956" i="37"/>
  <c r="D956" i="37"/>
  <c r="C956" i="37"/>
  <c r="B956" i="37"/>
  <c r="R955" i="37"/>
  <c r="Q955" i="37"/>
  <c r="P955" i="37"/>
  <c r="O955" i="37"/>
  <c r="N955" i="37"/>
  <c r="M955" i="37"/>
  <c r="L955" i="37"/>
  <c r="K955" i="37"/>
  <c r="J955" i="37"/>
  <c r="I955" i="37"/>
  <c r="H955" i="37"/>
  <c r="G955" i="37"/>
  <c r="F955" i="37"/>
  <c r="E955" i="37"/>
  <c r="D955" i="37"/>
  <c r="C955" i="37"/>
  <c r="B955" i="37"/>
  <c r="R954" i="37"/>
  <c r="Q954" i="37"/>
  <c r="P954" i="37"/>
  <c r="O954" i="37"/>
  <c r="N954" i="37"/>
  <c r="M954" i="37"/>
  <c r="L954" i="37"/>
  <c r="K954" i="37"/>
  <c r="J954" i="37"/>
  <c r="I954" i="37"/>
  <c r="H954" i="37"/>
  <c r="G954" i="37"/>
  <c r="F954" i="37"/>
  <c r="E954" i="37"/>
  <c r="D954" i="37"/>
  <c r="C954" i="37"/>
  <c r="B954" i="37"/>
  <c r="R953" i="37"/>
  <c r="Q953" i="37"/>
  <c r="P953" i="37"/>
  <c r="O953" i="37"/>
  <c r="N953" i="37"/>
  <c r="M953" i="37"/>
  <c r="L953" i="37"/>
  <c r="K953" i="37"/>
  <c r="J953" i="37"/>
  <c r="I953" i="37"/>
  <c r="H953" i="37"/>
  <c r="G953" i="37"/>
  <c r="F953" i="37"/>
  <c r="E953" i="37"/>
  <c r="D953" i="37"/>
  <c r="C953" i="37"/>
  <c r="B953" i="37"/>
  <c r="R952" i="37"/>
  <c r="Q952" i="37"/>
  <c r="P952" i="37"/>
  <c r="O952" i="37"/>
  <c r="N952" i="37"/>
  <c r="M952" i="37"/>
  <c r="L952" i="37"/>
  <c r="K952" i="37"/>
  <c r="J952" i="37"/>
  <c r="I952" i="37"/>
  <c r="H952" i="37"/>
  <c r="G952" i="37"/>
  <c r="F952" i="37"/>
  <c r="E952" i="37"/>
  <c r="D952" i="37"/>
  <c r="C952" i="37"/>
  <c r="B952" i="37"/>
  <c r="R951" i="37"/>
  <c r="Q951" i="37"/>
  <c r="P951" i="37"/>
  <c r="O951" i="37"/>
  <c r="N951" i="37"/>
  <c r="M951" i="37"/>
  <c r="L951" i="37"/>
  <c r="K951" i="37"/>
  <c r="J951" i="37"/>
  <c r="I951" i="37"/>
  <c r="H951" i="37"/>
  <c r="G951" i="37"/>
  <c r="F951" i="37"/>
  <c r="E951" i="37"/>
  <c r="D951" i="37"/>
  <c r="C951" i="37"/>
  <c r="B951" i="37"/>
  <c r="R950" i="37"/>
  <c r="Q950" i="37"/>
  <c r="P950" i="37"/>
  <c r="O950" i="37"/>
  <c r="N950" i="37"/>
  <c r="M950" i="37"/>
  <c r="L950" i="37"/>
  <c r="K950" i="37"/>
  <c r="J950" i="37"/>
  <c r="I950" i="37"/>
  <c r="H950" i="37"/>
  <c r="G950" i="37"/>
  <c r="F950" i="37"/>
  <c r="E950" i="37"/>
  <c r="D950" i="37"/>
  <c r="C950" i="37"/>
  <c r="B950" i="37"/>
  <c r="R949" i="37"/>
  <c r="Q949" i="37"/>
  <c r="P949" i="37"/>
  <c r="O949" i="37"/>
  <c r="N949" i="37"/>
  <c r="M949" i="37"/>
  <c r="L949" i="37"/>
  <c r="K949" i="37"/>
  <c r="J949" i="37"/>
  <c r="I949" i="37"/>
  <c r="H949" i="37"/>
  <c r="G949" i="37"/>
  <c r="F949" i="37"/>
  <c r="E949" i="37"/>
  <c r="D949" i="37"/>
  <c r="C949" i="37"/>
  <c r="B949" i="37"/>
  <c r="R948" i="37"/>
  <c r="Q948" i="37"/>
  <c r="P948" i="37"/>
  <c r="O948" i="37"/>
  <c r="N948" i="37"/>
  <c r="M948" i="37"/>
  <c r="L948" i="37"/>
  <c r="K948" i="37"/>
  <c r="J948" i="37"/>
  <c r="I948" i="37"/>
  <c r="H948" i="37"/>
  <c r="G948" i="37"/>
  <c r="F948" i="37"/>
  <c r="E948" i="37"/>
  <c r="D948" i="37"/>
  <c r="C948" i="37"/>
  <c r="B948" i="37"/>
  <c r="R947" i="37"/>
  <c r="Q947" i="37"/>
  <c r="P947" i="37"/>
  <c r="O947" i="37"/>
  <c r="N947" i="37"/>
  <c r="M947" i="37"/>
  <c r="L947" i="37"/>
  <c r="K947" i="37"/>
  <c r="J947" i="37"/>
  <c r="I947" i="37"/>
  <c r="H947" i="37"/>
  <c r="G947" i="37"/>
  <c r="F947" i="37"/>
  <c r="E947" i="37"/>
  <c r="D947" i="37"/>
  <c r="C947" i="37"/>
  <c r="B947" i="37"/>
  <c r="R946" i="37"/>
  <c r="Q946" i="37"/>
  <c r="P946" i="37"/>
  <c r="O946" i="37"/>
  <c r="N946" i="37"/>
  <c r="M946" i="37"/>
  <c r="L946" i="37"/>
  <c r="K946" i="37"/>
  <c r="J946" i="37"/>
  <c r="I946" i="37"/>
  <c r="H946" i="37"/>
  <c r="G946" i="37"/>
  <c r="F946" i="37"/>
  <c r="E946" i="37"/>
  <c r="D946" i="37"/>
  <c r="C946" i="37"/>
  <c r="B946" i="37"/>
  <c r="R945" i="37"/>
  <c r="Q945" i="37"/>
  <c r="P945" i="37"/>
  <c r="O945" i="37"/>
  <c r="N945" i="37"/>
  <c r="M945" i="37"/>
  <c r="L945" i="37"/>
  <c r="K945" i="37"/>
  <c r="J945" i="37"/>
  <c r="I945" i="37"/>
  <c r="H945" i="37"/>
  <c r="G945" i="37"/>
  <c r="F945" i="37"/>
  <c r="E945" i="37"/>
  <c r="D945" i="37"/>
  <c r="C945" i="37"/>
  <c r="B945" i="37"/>
  <c r="R944" i="37"/>
  <c r="Q944" i="37"/>
  <c r="P944" i="37"/>
  <c r="O944" i="37"/>
  <c r="N944" i="37"/>
  <c r="M944" i="37"/>
  <c r="L944" i="37"/>
  <c r="K944" i="37"/>
  <c r="J944" i="37"/>
  <c r="I944" i="37"/>
  <c r="H944" i="37"/>
  <c r="G944" i="37"/>
  <c r="F944" i="37"/>
  <c r="E944" i="37"/>
  <c r="D944" i="37"/>
  <c r="C944" i="37"/>
  <c r="B944" i="37"/>
  <c r="R943" i="37"/>
  <c r="Q943" i="37"/>
  <c r="P943" i="37"/>
  <c r="O943" i="37"/>
  <c r="N943" i="37"/>
  <c r="M943" i="37"/>
  <c r="L943" i="37"/>
  <c r="K943" i="37"/>
  <c r="J943" i="37"/>
  <c r="I943" i="37"/>
  <c r="H943" i="37"/>
  <c r="G943" i="37"/>
  <c r="F943" i="37"/>
  <c r="E943" i="37"/>
  <c r="D943" i="37"/>
  <c r="C943" i="37"/>
  <c r="B943" i="37"/>
  <c r="R942" i="37"/>
  <c r="Q942" i="37"/>
  <c r="P942" i="37"/>
  <c r="O942" i="37"/>
  <c r="N942" i="37"/>
  <c r="M942" i="37"/>
  <c r="L942" i="37"/>
  <c r="K942" i="37"/>
  <c r="J942" i="37"/>
  <c r="I942" i="37"/>
  <c r="H942" i="37"/>
  <c r="G942" i="37"/>
  <c r="F942" i="37"/>
  <c r="E942" i="37"/>
  <c r="D942" i="37"/>
  <c r="C942" i="37"/>
  <c r="B942" i="37"/>
  <c r="R941" i="37"/>
  <c r="Q941" i="37"/>
  <c r="P941" i="37"/>
  <c r="O941" i="37"/>
  <c r="N941" i="37"/>
  <c r="M941" i="37"/>
  <c r="L941" i="37"/>
  <c r="K941" i="37"/>
  <c r="J941" i="37"/>
  <c r="I941" i="37"/>
  <c r="H941" i="37"/>
  <c r="G941" i="37"/>
  <c r="F941" i="37"/>
  <c r="E941" i="37"/>
  <c r="D941" i="37"/>
  <c r="C941" i="37"/>
  <c r="B941" i="37"/>
  <c r="R940" i="37"/>
  <c r="Q940" i="37"/>
  <c r="P940" i="37"/>
  <c r="O940" i="37"/>
  <c r="N940" i="37"/>
  <c r="M940" i="37"/>
  <c r="L940" i="37"/>
  <c r="K940" i="37"/>
  <c r="J940" i="37"/>
  <c r="I940" i="37"/>
  <c r="H940" i="37"/>
  <c r="G940" i="37"/>
  <c r="F940" i="37"/>
  <c r="E940" i="37"/>
  <c r="D940" i="37"/>
  <c r="C940" i="37"/>
  <c r="B940" i="37"/>
  <c r="R939" i="37"/>
  <c r="Q939" i="37"/>
  <c r="P939" i="37"/>
  <c r="O939" i="37"/>
  <c r="N939" i="37"/>
  <c r="M939" i="37"/>
  <c r="L939" i="37"/>
  <c r="K939" i="37"/>
  <c r="J939" i="37"/>
  <c r="I939" i="37"/>
  <c r="H939" i="37"/>
  <c r="G939" i="37"/>
  <c r="F939" i="37"/>
  <c r="E939" i="37"/>
  <c r="D939" i="37"/>
  <c r="C939" i="37"/>
  <c r="B939" i="37"/>
  <c r="R938" i="37"/>
  <c r="Q938" i="37"/>
  <c r="P938" i="37"/>
  <c r="O938" i="37"/>
  <c r="N938" i="37"/>
  <c r="M938" i="37"/>
  <c r="L938" i="37"/>
  <c r="K938" i="37"/>
  <c r="J938" i="37"/>
  <c r="I938" i="37"/>
  <c r="H938" i="37"/>
  <c r="G938" i="37"/>
  <c r="F938" i="37"/>
  <c r="E938" i="37"/>
  <c r="D938" i="37"/>
  <c r="C938" i="37"/>
  <c r="B938" i="37"/>
  <c r="R937" i="37"/>
  <c r="Q937" i="37"/>
  <c r="P937" i="37"/>
  <c r="O937" i="37"/>
  <c r="N937" i="37"/>
  <c r="M937" i="37"/>
  <c r="L937" i="37"/>
  <c r="K937" i="37"/>
  <c r="J937" i="37"/>
  <c r="I937" i="37"/>
  <c r="H937" i="37"/>
  <c r="G937" i="37"/>
  <c r="F937" i="37"/>
  <c r="E937" i="37"/>
  <c r="D937" i="37"/>
  <c r="C937" i="37"/>
  <c r="B937" i="37"/>
  <c r="R936" i="37"/>
  <c r="Q936" i="37"/>
  <c r="P936" i="37"/>
  <c r="O936" i="37"/>
  <c r="N936" i="37"/>
  <c r="M936" i="37"/>
  <c r="L936" i="37"/>
  <c r="K936" i="37"/>
  <c r="J936" i="37"/>
  <c r="I936" i="37"/>
  <c r="H936" i="37"/>
  <c r="G936" i="37"/>
  <c r="F936" i="37"/>
  <c r="E936" i="37"/>
  <c r="D936" i="37"/>
  <c r="C936" i="37"/>
  <c r="B936" i="37"/>
  <c r="R935" i="37"/>
  <c r="Q935" i="37"/>
  <c r="P935" i="37"/>
  <c r="O935" i="37"/>
  <c r="N935" i="37"/>
  <c r="M935" i="37"/>
  <c r="L935" i="37"/>
  <c r="K935" i="37"/>
  <c r="J935" i="37"/>
  <c r="I935" i="37"/>
  <c r="H935" i="37"/>
  <c r="G935" i="37"/>
  <c r="F935" i="37"/>
  <c r="E935" i="37"/>
  <c r="D935" i="37"/>
  <c r="C935" i="37"/>
  <c r="B935" i="37"/>
  <c r="R934" i="37"/>
  <c r="Q934" i="37"/>
  <c r="P934" i="37"/>
  <c r="O934" i="37"/>
  <c r="N934" i="37"/>
  <c r="M934" i="37"/>
  <c r="L934" i="37"/>
  <c r="K934" i="37"/>
  <c r="J934" i="37"/>
  <c r="I934" i="37"/>
  <c r="H934" i="37"/>
  <c r="G934" i="37"/>
  <c r="F934" i="37"/>
  <c r="E934" i="37"/>
  <c r="D934" i="37"/>
  <c r="C934" i="37"/>
  <c r="B934" i="37"/>
  <c r="R933" i="37"/>
  <c r="Q933" i="37"/>
  <c r="P933" i="37"/>
  <c r="O933" i="37"/>
  <c r="N933" i="37"/>
  <c r="M933" i="37"/>
  <c r="L933" i="37"/>
  <c r="K933" i="37"/>
  <c r="J933" i="37"/>
  <c r="I933" i="37"/>
  <c r="H933" i="37"/>
  <c r="G933" i="37"/>
  <c r="F933" i="37"/>
  <c r="E933" i="37"/>
  <c r="D933" i="37"/>
  <c r="C933" i="37"/>
  <c r="B933" i="37"/>
  <c r="R932" i="37"/>
  <c r="Q932" i="37"/>
  <c r="P932" i="37"/>
  <c r="O932" i="37"/>
  <c r="N932" i="37"/>
  <c r="M932" i="37"/>
  <c r="L932" i="37"/>
  <c r="K932" i="37"/>
  <c r="J932" i="37"/>
  <c r="I932" i="37"/>
  <c r="H932" i="37"/>
  <c r="G932" i="37"/>
  <c r="F932" i="37"/>
  <c r="E932" i="37"/>
  <c r="D932" i="37"/>
  <c r="C932" i="37"/>
  <c r="B932" i="37"/>
  <c r="R931" i="37"/>
  <c r="Q931" i="37"/>
  <c r="P931" i="37"/>
  <c r="O931" i="37"/>
  <c r="N931" i="37"/>
  <c r="M931" i="37"/>
  <c r="L931" i="37"/>
  <c r="K931" i="37"/>
  <c r="J931" i="37"/>
  <c r="I931" i="37"/>
  <c r="H931" i="37"/>
  <c r="G931" i="37"/>
  <c r="F931" i="37"/>
  <c r="E931" i="37"/>
  <c r="D931" i="37"/>
  <c r="C931" i="37"/>
  <c r="B931" i="37"/>
  <c r="R930" i="37"/>
  <c r="Q930" i="37"/>
  <c r="P930" i="37"/>
  <c r="O930" i="37"/>
  <c r="N930" i="37"/>
  <c r="M930" i="37"/>
  <c r="L930" i="37"/>
  <c r="K930" i="37"/>
  <c r="J930" i="37"/>
  <c r="I930" i="37"/>
  <c r="H930" i="37"/>
  <c r="G930" i="37"/>
  <c r="F930" i="37"/>
  <c r="E930" i="37"/>
  <c r="D930" i="37"/>
  <c r="C930" i="37"/>
  <c r="B930" i="37"/>
  <c r="R929" i="37"/>
  <c r="Q929" i="37"/>
  <c r="P929" i="37"/>
  <c r="O929" i="37"/>
  <c r="N929" i="37"/>
  <c r="M929" i="37"/>
  <c r="L929" i="37"/>
  <c r="K929" i="37"/>
  <c r="J929" i="37"/>
  <c r="I929" i="37"/>
  <c r="H929" i="37"/>
  <c r="G929" i="37"/>
  <c r="F929" i="37"/>
  <c r="E929" i="37"/>
  <c r="D929" i="37"/>
  <c r="C929" i="37"/>
  <c r="B929" i="37"/>
  <c r="R928" i="37"/>
  <c r="Q928" i="37"/>
  <c r="P928" i="37"/>
  <c r="O928" i="37"/>
  <c r="N928" i="37"/>
  <c r="M928" i="37"/>
  <c r="L928" i="37"/>
  <c r="K928" i="37"/>
  <c r="J928" i="37"/>
  <c r="I928" i="37"/>
  <c r="H928" i="37"/>
  <c r="G928" i="37"/>
  <c r="F928" i="37"/>
  <c r="E928" i="37"/>
  <c r="D928" i="37"/>
  <c r="C928" i="37"/>
  <c r="B928" i="37"/>
  <c r="R927" i="37"/>
  <c r="Q927" i="37"/>
  <c r="P927" i="37"/>
  <c r="O927" i="37"/>
  <c r="N927" i="37"/>
  <c r="M927" i="37"/>
  <c r="L927" i="37"/>
  <c r="K927" i="37"/>
  <c r="J927" i="37"/>
  <c r="I927" i="37"/>
  <c r="H927" i="37"/>
  <c r="G927" i="37"/>
  <c r="F927" i="37"/>
  <c r="E927" i="37"/>
  <c r="D927" i="37"/>
  <c r="C927" i="37"/>
  <c r="B927" i="37"/>
  <c r="R926" i="37"/>
  <c r="Q926" i="37"/>
  <c r="P926" i="37"/>
  <c r="O926" i="37"/>
  <c r="N926" i="37"/>
  <c r="M926" i="37"/>
  <c r="L926" i="37"/>
  <c r="K926" i="37"/>
  <c r="J926" i="37"/>
  <c r="I926" i="37"/>
  <c r="H926" i="37"/>
  <c r="G926" i="37"/>
  <c r="F926" i="37"/>
  <c r="E926" i="37"/>
  <c r="D926" i="37"/>
  <c r="C926" i="37"/>
  <c r="B926" i="37"/>
  <c r="R925" i="37"/>
  <c r="Q925" i="37"/>
  <c r="P925" i="37"/>
  <c r="O925" i="37"/>
  <c r="N925" i="37"/>
  <c r="M925" i="37"/>
  <c r="L925" i="37"/>
  <c r="K925" i="37"/>
  <c r="J925" i="37"/>
  <c r="I925" i="37"/>
  <c r="H925" i="37"/>
  <c r="G925" i="37"/>
  <c r="F925" i="37"/>
  <c r="E925" i="37"/>
  <c r="D925" i="37"/>
  <c r="C925" i="37"/>
  <c r="B925" i="37"/>
  <c r="R924" i="37"/>
  <c r="Q924" i="37"/>
  <c r="P924" i="37"/>
  <c r="O924" i="37"/>
  <c r="N924" i="37"/>
  <c r="M924" i="37"/>
  <c r="L924" i="37"/>
  <c r="K924" i="37"/>
  <c r="J924" i="37"/>
  <c r="I924" i="37"/>
  <c r="H924" i="37"/>
  <c r="G924" i="37"/>
  <c r="F924" i="37"/>
  <c r="E924" i="37"/>
  <c r="D924" i="37"/>
  <c r="C924" i="37"/>
  <c r="B924" i="37"/>
  <c r="R923" i="37"/>
  <c r="Q923" i="37"/>
  <c r="P923" i="37"/>
  <c r="O923" i="37"/>
  <c r="N923" i="37"/>
  <c r="M923" i="37"/>
  <c r="L923" i="37"/>
  <c r="K923" i="37"/>
  <c r="J923" i="37"/>
  <c r="I923" i="37"/>
  <c r="H923" i="37"/>
  <c r="G923" i="37"/>
  <c r="F923" i="37"/>
  <c r="E923" i="37"/>
  <c r="D923" i="37"/>
  <c r="C923" i="37"/>
  <c r="B923" i="37"/>
  <c r="R922" i="37"/>
  <c r="Q922" i="37"/>
  <c r="P922" i="37"/>
  <c r="O922" i="37"/>
  <c r="N922" i="37"/>
  <c r="M922" i="37"/>
  <c r="L922" i="37"/>
  <c r="K922" i="37"/>
  <c r="J922" i="37"/>
  <c r="I922" i="37"/>
  <c r="H922" i="37"/>
  <c r="G922" i="37"/>
  <c r="F922" i="37"/>
  <c r="E922" i="37"/>
  <c r="D922" i="37"/>
  <c r="C922" i="37"/>
  <c r="B922" i="37"/>
  <c r="R921" i="37"/>
  <c r="Q921" i="37"/>
  <c r="P921" i="37"/>
  <c r="O921" i="37"/>
  <c r="N921" i="37"/>
  <c r="M921" i="37"/>
  <c r="L921" i="37"/>
  <c r="K921" i="37"/>
  <c r="J921" i="37"/>
  <c r="I921" i="37"/>
  <c r="H921" i="37"/>
  <c r="G921" i="37"/>
  <c r="F921" i="37"/>
  <c r="E921" i="37"/>
  <c r="D921" i="37"/>
  <c r="C921" i="37"/>
  <c r="B921" i="37"/>
  <c r="R920" i="37"/>
  <c r="Q920" i="37"/>
  <c r="P920" i="37"/>
  <c r="O920" i="37"/>
  <c r="N920" i="37"/>
  <c r="M920" i="37"/>
  <c r="L920" i="37"/>
  <c r="K920" i="37"/>
  <c r="J920" i="37"/>
  <c r="I920" i="37"/>
  <c r="H920" i="37"/>
  <c r="G920" i="37"/>
  <c r="F920" i="37"/>
  <c r="E920" i="37"/>
  <c r="D920" i="37"/>
  <c r="C920" i="37"/>
  <c r="B920" i="37"/>
  <c r="R919" i="37"/>
  <c r="Q919" i="37"/>
  <c r="P919" i="37"/>
  <c r="O919" i="37"/>
  <c r="N919" i="37"/>
  <c r="M919" i="37"/>
  <c r="L919" i="37"/>
  <c r="K919" i="37"/>
  <c r="J919" i="37"/>
  <c r="I919" i="37"/>
  <c r="H919" i="37"/>
  <c r="G919" i="37"/>
  <c r="F919" i="37"/>
  <c r="E919" i="37"/>
  <c r="D919" i="37"/>
  <c r="C919" i="37"/>
  <c r="B919" i="37"/>
  <c r="R918" i="37"/>
  <c r="Q918" i="37"/>
  <c r="P918" i="37"/>
  <c r="O918" i="37"/>
  <c r="N918" i="37"/>
  <c r="M918" i="37"/>
  <c r="L918" i="37"/>
  <c r="K918" i="37"/>
  <c r="J918" i="37"/>
  <c r="I918" i="37"/>
  <c r="H918" i="37"/>
  <c r="G918" i="37"/>
  <c r="F918" i="37"/>
  <c r="E918" i="37"/>
  <c r="D918" i="37"/>
  <c r="C918" i="37"/>
  <c r="B918" i="37"/>
  <c r="R917" i="37"/>
  <c r="Q917" i="37"/>
  <c r="P917" i="37"/>
  <c r="O917" i="37"/>
  <c r="N917" i="37"/>
  <c r="M917" i="37"/>
  <c r="L917" i="37"/>
  <c r="K917" i="37"/>
  <c r="J917" i="37"/>
  <c r="I917" i="37"/>
  <c r="H917" i="37"/>
  <c r="G917" i="37"/>
  <c r="F917" i="37"/>
  <c r="E917" i="37"/>
  <c r="D917" i="37"/>
  <c r="C917" i="37"/>
  <c r="B917" i="37"/>
  <c r="R916" i="37"/>
  <c r="Q916" i="37"/>
  <c r="P916" i="37"/>
  <c r="O916" i="37"/>
  <c r="N916" i="37"/>
  <c r="M916" i="37"/>
  <c r="L916" i="37"/>
  <c r="K916" i="37"/>
  <c r="J916" i="37"/>
  <c r="I916" i="37"/>
  <c r="H916" i="37"/>
  <c r="G916" i="37"/>
  <c r="F916" i="37"/>
  <c r="E916" i="37"/>
  <c r="D916" i="37"/>
  <c r="C916" i="37"/>
  <c r="B916" i="37"/>
  <c r="R915" i="37"/>
  <c r="Q915" i="37"/>
  <c r="P915" i="37"/>
  <c r="O915" i="37"/>
  <c r="N915" i="37"/>
  <c r="M915" i="37"/>
  <c r="L915" i="37"/>
  <c r="K915" i="37"/>
  <c r="J915" i="37"/>
  <c r="I915" i="37"/>
  <c r="H915" i="37"/>
  <c r="G915" i="37"/>
  <c r="F915" i="37"/>
  <c r="E915" i="37"/>
  <c r="D915" i="37"/>
  <c r="C915" i="37"/>
  <c r="B915" i="37"/>
  <c r="R914" i="37"/>
  <c r="Q914" i="37"/>
  <c r="P914" i="37"/>
  <c r="O914" i="37"/>
  <c r="N914" i="37"/>
  <c r="M914" i="37"/>
  <c r="L914" i="37"/>
  <c r="K914" i="37"/>
  <c r="J914" i="37"/>
  <c r="I914" i="37"/>
  <c r="H914" i="37"/>
  <c r="G914" i="37"/>
  <c r="F914" i="37"/>
  <c r="E914" i="37"/>
  <c r="D914" i="37"/>
  <c r="C914" i="37"/>
  <c r="B914" i="37"/>
  <c r="R913" i="37"/>
  <c r="Q913" i="37"/>
  <c r="P913" i="37"/>
  <c r="O913" i="37"/>
  <c r="N913" i="37"/>
  <c r="M913" i="37"/>
  <c r="L913" i="37"/>
  <c r="K913" i="37"/>
  <c r="J913" i="37"/>
  <c r="I913" i="37"/>
  <c r="H913" i="37"/>
  <c r="G913" i="37"/>
  <c r="F913" i="37"/>
  <c r="E913" i="37"/>
  <c r="D913" i="37"/>
  <c r="C913" i="37"/>
  <c r="B913" i="37"/>
  <c r="R912" i="37"/>
  <c r="Q912" i="37"/>
  <c r="P912" i="37"/>
  <c r="O912" i="37"/>
  <c r="N912" i="37"/>
  <c r="M912" i="37"/>
  <c r="L912" i="37"/>
  <c r="K912" i="37"/>
  <c r="J912" i="37"/>
  <c r="I912" i="37"/>
  <c r="H912" i="37"/>
  <c r="G912" i="37"/>
  <c r="F912" i="37"/>
  <c r="E912" i="37"/>
  <c r="D912" i="37"/>
  <c r="C912" i="37"/>
  <c r="B912" i="37"/>
  <c r="R911" i="37"/>
  <c r="Q911" i="37"/>
  <c r="P911" i="37"/>
  <c r="O911" i="37"/>
  <c r="N911" i="37"/>
  <c r="M911" i="37"/>
  <c r="L911" i="37"/>
  <c r="K911" i="37"/>
  <c r="J911" i="37"/>
  <c r="I911" i="37"/>
  <c r="H911" i="37"/>
  <c r="G911" i="37"/>
  <c r="F911" i="37"/>
  <c r="E911" i="37"/>
  <c r="D911" i="37"/>
  <c r="C911" i="37"/>
  <c r="B911" i="37"/>
  <c r="R910" i="37"/>
  <c r="Q910" i="37"/>
  <c r="P910" i="37"/>
  <c r="O910" i="37"/>
  <c r="N910" i="37"/>
  <c r="M910" i="37"/>
  <c r="L910" i="37"/>
  <c r="K910" i="37"/>
  <c r="J910" i="37"/>
  <c r="I910" i="37"/>
  <c r="H910" i="37"/>
  <c r="G910" i="37"/>
  <c r="F910" i="37"/>
  <c r="E910" i="37"/>
  <c r="D910" i="37"/>
  <c r="C910" i="37"/>
  <c r="B910" i="37"/>
  <c r="R909" i="37"/>
  <c r="Q909" i="37"/>
  <c r="P909" i="37"/>
  <c r="O909" i="37"/>
  <c r="N909" i="37"/>
  <c r="M909" i="37"/>
  <c r="L909" i="37"/>
  <c r="K909" i="37"/>
  <c r="J909" i="37"/>
  <c r="I909" i="37"/>
  <c r="H909" i="37"/>
  <c r="G909" i="37"/>
  <c r="F909" i="37"/>
  <c r="E909" i="37"/>
  <c r="D909" i="37"/>
  <c r="C909" i="37"/>
  <c r="B909" i="37"/>
  <c r="R908" i="37"/>
  <c r="Q908" i="37"/>
  <c r="P908" i="37"/>
  <c r="O908" i="37"/>
  <c r="N908" i="37"/>
  <c r="M908" i="37"/>
  <c r="L908" i="37"/>
  <c r="K908" i="37"/>
  <c r="J908" i="37"/>
  <c r="I908" i="37"/>
  <c r="H908" i="37"/>
  <c r="G908" i="37"/>
  <c r="F908" i="37"/>
  <c r="E908" i="37"/>
  <c r="D908" i="37"/>
  <c r="C908" i="37"/>
  <c r="B908" i="37"/>
  <c r="R907" i="37"/>
  <c r="Q907" i="37"/>
  <c r="P907" i="37"/>
  <c r="O907" i="37"/>
  <c r="N907" i="37"/>
  <c r="M907" i="37"/>
  <c r="L907" i="37"/>
  <c r="K907" i="37"/>
  <c r="J907" i="37"/>
  <c r="I907" i="37"/>
  <c r="H907" i="37"/>
  <c r="G907" i="37"/>
  <c r="F907" i="37"/>
  <c r="E907" i="37"/>
  <c r="D907" i="37"/>
  <c r="C907" i="37"/>
  <c r="B907" i="37"/>
  <c r="R906" i="37"/>
  <c r="Q906" i="37"/>
  <c r="P906" i="37"/>
  <c r="O906" i="37"/>
  <c r="N906" i="37"/>
  <c r="M906" i="37"/>
  <c r="L906" i="37"/>
  <c r="K906" i="37"/>
  <c r="J906" i="37"/>
  <c r="I906" i="37"/>
  <c r="H906" i="37"/>
  <c r="G906" i="37"/>
  <c r="F906" i="37"/>
  <c r="E906" i="37"/>
  <c r="D906" i="37"/>
  <c r="C906" i="37"/>
  <c r="B906" i="37"/>
  <c r="R905" i="37"/>
  <c r="Q905" i="37"/>
  <c r="P905" i="37"/>
  <c r="O905" i="37"/>
  <c r="N905" i="37"/>
  <c r="M905" i="37"/>
  <c r="L905" i="37"/>
  <c r="K905" i="37"/>
  <c r="J905" i="37"/>
  <c r="I905" i="37"/>
  <c r="H905" i="37"/>
  <c r="G905" i="37"/>
  <c r="F905" i="37"/>
  <c r="E905" i="37"/>
  <c r="D905" i="37"/>
  <c r="C905" i="37"/>
  <c r="B905" i="37"/>
  <c r="R904" i="37"/>
  <c r="Q904" i="37"/>
  <c r="P904" i="37"/>
  <c r="O904" i="37"/>
  <c r="N904" i="37"/>
  <c r="M904" i="37"/>
  <c r="L904" i="37"/>
  <c r="K904" i="37"/>
  <c r="J904" i="37"/>
  <c r="I904" i="37"/>
  <c r="H904" i="37"/>
  <c r="G904" i="37"/>
  <c r="F904" i="37"/>
  <c r="E904" i="37"/>
  <c r="D904" i="37"/>
  <c r="C904" i="37"/>
  <c r="B904" i="37"/>
  <c r="R903" i="37"/>
  <c r="Q903" i="37"/>
  <c r="P903" i="37"/>
  <c r="O903" i="37"/>
  <c r="N903" i="37"/>
  <c r="M903" i="37"/>
  <c r="L903" i="37"/>
  <c r="K903" i="37"/>
  <c r="J903" i="37"/>
  <c r="I903" i="37"/>
  <c r="H903" i="37"/>
  <c r="G903" i="37"/>
  <c r="F903" i="37"/>
  <c r="E903" i="37"/>
  <c r="D903" i="37"/>
  <c r="C903" i="37"/>
  <c r="B903" i="37"/>
  <c r="R902" i="37"/>
  <c r="Q902" i="37"/>
  <c r="P902" i="37"/>
  <c r="O902" i="37"/>
  <c r="N902" i="37"/>
  <c r="M902" i="37"/>
  <c r="L902" i="37"/>
  <c r="K902" i="37"/>
  <c r="J902" i="37"/>
  <c r="I902" i="37"/>
  <c r="H902" i="37"/>
  <c r="G902" i="37"/>
  <c r="F902" i="37"/>
  <c r="E902" i="37"/>
  <c r="D902" i="37"/>
  <c r="C902" i="37"/>
  <c r="B902" i="37"/>
  <c r="R901" i="37"/>
  <c r="Q901" i="37"/>
  <c r="P901" i="37"/>
  <c r="O901" i="37"/>
  <c r="N901" i="37"/>
  <c r="M901" i="37"/>
  <c r="L901" i="37"/>
  <c r="K901" i="37"/>
  <c r="J901" i="37"/>
  <c r="I901" i="37"/>
  <c r="H901" i="37"/>
  <c r="G901" i="37"/>
  <c r="F901" i="37"/>
  <c r="E901" i="37"/>
  <c r="D901" i="37"/>
  <c r="C901" i="37"/>
  <c r="B901" i="37"/>
  <c r="R900" i="37"/>
  <c r="Q900" i="37"/>
  <c r="P900" i="37"/>
  <c r="O900" i="37"/>
  <c r="N900" i="37"/>
  <c r="M900" i="37"/>
  <c r="L900" i="37"/>
  <c r="K900" i="37"/>
  <c r="J900" i="37"/>
  <c r="I900" i="37"/>
  <c r="H900" i="37"/>
  <c r="G900" i="37"/>
  <c r="F900" i="37"/>
  <c r="E900" i="37"/>
  <c r="D900" i="37"/>
  <c r="C900" i="37"/>
  <c r="B900" i="37"/>
  <c r="R899" i="37"/>
  <c r="Q899" i="37"/>
  <c r="P899" i="37"/>
  <c r="O899" i="37"/>
  <c r="N899" i="37"/>
  <c r="M899" i="37"/>
  <c r="L899" i="37"/>
  <c r="K899" i="37"/>
  <c r="J899" i="37"/>
  <c r="I899" i="37"/>
  <c r="H899" i="37"/>
  <c r="G899" i="37"/>
  <c r="F899" i="37"/>
  <c r="E899" i="37"/>
  <c r="D899" i="37"/>
  <c r="C899" i="37"/>
  <c r="B899" i="37"/>
  <c r="R898" i="37"/>
  <c r="Q898" i="37"/>
  <c r="P898" i="37"/>
  <c r="O898" i="37"/>
  <c r="N898" i="37"/>
  <c r="M898" i="37"/>
  <c r="L898" i="37"/>
  <c r="K898" i="37"/>
  <c r="J898" i="37"/>
  <c r="I898" i="37"/>
  <c r="H898" i="37"/>
  <c r="G898" i="37"/>
  <c r="F898" i="37"/>
  <c r="E898" i="37"/>
  <c r="D898" i="37"/>
  <c r="C898" i="37"/>
  <c r="B898" i="37"/>
  <c r="R897" i="37"/>
  <c r="Q897" i="37"/>
  <c r="P897" i="37"/>
  <c r="O897" i="37"/>
  <c r="N897" i="37"/>
  <c r="M897" i="37"/>
  <c r="L897" i="37"/>
  <c r="K897" i="37"/>
  <c r="J897" i="37"/>
  <c r="I897" i="37"/>
  <c r="H897" i="37"/>
  <c r="G897" i="37"/>
  <c r="F897" i="37"/>
  <c r="E897" i="37"/>
  <c r="D897" i="37"/>
  <c r="C897" i="37"/>
  <c r="B897" i="37"/>
  <c r="R896" i="37"/>
  <c r="Q896" i="37"/>
  <c r="P896" i="37"/>
  <c r="O896" i="37"/>
  <c r="N896" i="37"/>
  <c r="M896" i="37"/>
  <c r="L896" i="37"/>
  <c r="K896" i="37"/>
  <c r="J896" i="37"/>
  <c r="I896" i="37"/>
  <c r="H896" i="37"/>
  <c r="G896" i="37"/>
  <c r="F896" i="37"/>
  <c r="E896" i="37"/>
  <c r="D896" i="37"/>
  <c r="C896" i="37"/>
  <c r="B896" i="37"/>
  <c r="R895" i="37"/>
  <c r="Q895" i="37"/>
  <c r="P895" i="37"/>
  <c r="O895" i="37"/>
  <c r="N895" i="37"/>
  <c r="M895" i="37"/>
  <c r="L895" i="37"/>
  <c r="K895" i="37"/>
  <c r="J895" i="37"/>
  <c r="I895" i="37"/>
  <c r="H895" i="37"/>
  <c r="G895" i="37"/>
  <c r="F895" i="37"/>
  <c r="E895" i="37"/>
  <c r="D895" i="37"/>
  <c r="C895" i="37"/>
  <c r="B895" i="37"/>
  <c r="R894" i="37"/>
  <c r="Q894" i="37"/>
  <c r="P894" i="37"/>
  <c r="O894" i="37"/>
  <c r="N894" i="37"/>
  <c r="M894" i="37"/>
  <c r="L894" i="37"/>
  <c r="K894" i="37"/>
  <c r="J894" i="37"/>
  <c r="I894" i="37"/>
  <c r="H894" i="37"/>
  <c r="G894" i="37"/>
  <c r="F894" i="37"/>
  <c r="E894" i="37"/>
  <c r="D894" i="37"/>
  <c r="C894" i="37"/>
  <c r="B894" i="37"/>
  <c r="R893" i="37"/>
  <c r="Q893" i="37"/>
  <c r="P893" i="37"/>
  <c r="O893" i="37"/>
  <c r="N893" i="37"/>
  <c r="M893" i="37"/>
  <c r="L893" i="37"/>
  <c r="K893" i="37"/>
  <c r="J893" i="37"/>
  <c r="I893" i="37"/>
  <c r="H893" i="37"/>
  <c r="G893" i="37"/>
  <c r="F893" i="37"/>
  <c r="E893" i="37"/>
  <c r="D893" i="37"/>
  <c r="C893" i="37"/>
  <c r="B893" i="37"/>
  <c r="R892" i="37"/>
  <c r="Q892" i="37"/>
  <c r="P892" i="37"/>
  <c r="O892" i="37"/>
  <c r="N892" i="37"/>
  <c r="M892" i="37"/>
  <c r="L892" i="37"/>
  <c r="K892" i="37"/>
  <c r="J892" i="37"/>
  <c r="I892" i="37"/>
  <c r="H892" i="37"/>
  <c r="G892" i="37"/>
  <c r="F892" i="37"/>
  <c r="E892" i="37"/>
  <c r="D892" i="37"/>
  <c r="C892" i="37"/>
  <c r="B892" i="37"/>
  <c r="R891" i="37"/>
  <c r="Q891" i="37"/>
  <c r="P891" i="37"/>
  <c r="O891" i="37"/>
  <c r="N891" i="37"/>
  <c r="M891" i="37"/>
  <c r="L891" i="37"/>
  <c r="K891" i="37"/>
  <c r="J891" i="37"/>
  <c r="I891" i="37"/>
  <c r="H891" i="37"/>
  <c r="G891" i="37"/>
  <c r="F891" i="37"/>
  <c r="E891" i="37"/>
  <c r="D891" i="37"/>
  <c r="C891" i="37"/>
  <c r="B891" i="37"/>
  <c r="R890" i="37"/>
  <c r="Q890" i="37"/>
  <c r="P890" i="37"/>
  <c r="O890" i="37"/>
  <c r="N890" i="37"/>
  <c r="M890" i="37"/>
  <c r="L890" i="37"/>
  <c r="K890" i="37"/>
  <c r="J890" i="37"/>
  <c r="I890" i="37"/>
  <c r="H890" i="37"/>
  <c r="G890" i="37"/>
  <c r="F890" i="37"/>
  <c r="E890" i="37"/>
  <c r="D890" i="37"/>
  <c r="C890" i="37"/>
  <c r="B890" i="37"/>
  <c r="R889" i="37"/>
  <c r="Q889" i="37"/>
  <c r="P889" i="37"/>
  <c r="O889" i="37"/>
  <c r="N889" i="37"/>
  <c r="M889" i="37"/>
  <c r="L889" i="37"/>
  <c r="K889" i="37"/>
  <c r="J889" i="37"/>
  <c r="I889" i="37"/>
  <c r="H889" i="37"/>
  <c r="G889" i="37"/>
  <c r="F889" i="37"/>
  <c r="E889" i="37"/>
  <c r="D889" i="37"/>
  <c r="C889" i="37"/>
  <c r="B889" i="37"/>
  <c r="R888" i="37"/>
  <c r="Q888" i="37"/>
  <c r="P888" i="37"/>
  <c r="O888" i="37"/>
  <c r="N888" i="37"/>
  <c r="M888" i="37"/>
  <c r="L888" i="37"/>
  <c r="K888" i="37"/>
  <c r="J888" i="37"/>
  <c r="I888" i="37"/>
  <c r="H888" i="37"/>
  <c r="G888" i="37"/>
  <c r="F888" i="37"/>
  <c r="E888" i="37"/>
  <c r="D888" i="37"/>
  <c r="C888" i="37"/>
  <c r="B888" i="37"/>
  <c r="R887" i="37"/>
  <c r="Q887" i="37"/>
  <c r="P887" i="37"/>
  <c r="O887" i="37"/>
  <c r="N887" i="37"/>
  <c r="M887" i="37"/>
  <c r="L887" i="37"/>
  <c r="K887" i="37"/>
  <c r="J887" i="37"/>
  <c r="I887" i="37"/>
  <c r="H887" i="37"/>
  <c r="G887" i="37"/>
  <c r="F887" i="37"/>
  <c r="E887" i="37"/>
  <c r="D887" i="37"/>
  <c r="C887" i="37"/>
  <c r="B887" i="37"/>
  <c r="R886" i="37"/>
  <c r="Q886" i="37"/>
  <c r="P886" i="37"/>
  <c r="O886" i="37"/>
  <c r="N886" i="37"/>
  <c r="M886" i="37"/>
  <c r="L886" i="37"/>
  <c r="K886" i="37"/>
  <c r="J886" i="37"/>
  <c r="I886" i="37"/>
  <c r="H886" i="37"/>
  <c r="G886" i="37"/>
  <c r="F886" i="37"/>
  <c r="E886" i="37"/>
  <c r="D886" i="37"/>
  <c r="C886" i="37"/>
  <c r="B886" i="37"/>
  <c r="R885" i="37"/>
  <c r="Q885" i="37"/>
  <c r="P885" i="37"/>
  <c r="O885" i="37"/>
  <c r="N885" i="37"/>
  <c r="M885" i="37"/>
  <c r="L885" i="37"/>
  <c r="K885" i="37"/>
  <c r="J885" i="37"/>
  <c r="I885" i="37"/>
  <c r="H885" i="37"/>
  <c r="G885" i="37"/>
  <c r="F885" i="37"/>
  <c r="E885" i="37"/>
  <c r="D885" i="37"/>
  <c r="C885" i="37"/>
  <c r="B885" i="37"/>
  <c r="R884" i="37"/>
  <c r="Q884" i="37"/>
  <c r="P884" i="37"/>
  <c r="O884" i="37"/>
  <c r="N884" i="37"/>
  <c r="M884" i="37"/>
  <c r="L884" i="37"/>
  <c r="K884" i="37"/>
  <c r="J884" i="37"/>
  <c r="I884" i="37"/>
  <c r="H884" i="37"/>
  <c r="G884" i="37"/>
  <c r="F884" i="37"/>
  <c r="E884" i="37"/>
  <c r="D884" i="37"/>
  <c r="C884" i="37"/>
  <c r="B884" i="37"/>
  <c r="R883" i="37"/>
  <c r="Q883" i="37"/>
  <c r="P883" i="37"/>
  <c r="O883" i="37"/>
  <c r="N883" i="37"/>
  <c r="M883" i="37"/>
  <c r="L883" i="37"/>
  <c r="K883" i="37"/>
  <c r="J883" i="37"/>
  <c r="I883" i="37"/>
  <c r="H883" i="37"/>
  <c r="G883" i="37"/>
  <c r="F883" i="37"/>
  <c r="E883" i="37"/>
  <c r="D883" i="37"/>
  <c r="C883" i="37"/>
  <c r="B883" i="37"/>
  <c r="R882" i="37"/>
  <c r="Q882" i="37"/>
  <c r="P882" i="37"/>
  <c r="O882" i="37"/>
  <c r="N882" i="37"/>
  <c r="M882" i="37"/>
  <c r="L882" i="37"/>
  <c r="K882" i="37"/>
  <c r="J882" i="37"/>
  <c r="I882" i="37"/>
  <c r="H882" i="37"/>
  <c r="G882" i="37"/>
  <c r="F882" i="37"/>
  <c r="E882" i="37"/>
  <c r="D882" i="37"/>
  <c r="C882" i="37"/>
  <c r="B882" i="37"/>
  <c r="R881" i="37"/>
  <c r="Q881" i="37"/>
  <c r="P881" i="37"/>
  <c r="O881" i="37"/>
  <c r="N881" i="37"/>
  <c r="M881" i="37"/>
  <c r="L881" i="37"/>
  <c r="K881" i="37"/>
  <c r="J881" i="37"/>
  <c r="I881" i="37"/>
  <c r="H881" i="37"/>
  <c r="G881" i="37"/>
  <c r="F881" i="37"/>
  <c r="E881" i="37"/>
  <c r="D881" i="37"/>
  <c r="C881" i="37"/>
  <c r="B881" i="37"/>
  <c r="R880" i="37"/>
  <c r="Q880" i="37"/>
  <c r="P880" i="37"/>
  <c r="O880" i="37"/>
  <c r="N880" i="37"/>
  <c r="M880" i="37"/>
  <c r="L880" i="37"/>
  <c r="K880" i="37"/>
  <c r="J880" i="37"/>
  <c r="I880" i="37"/>
  <c r="H880" i="37"/>
  <c r="G880" i="37"/>
  <c r="F880" i="37"/>
  <c r="E880" i="37"/>
  <c r="D880" i="37"/>
  <c r="C880" i="37"/>
  <c r="B880" i="37"/>
  <c r="R879" i="37"/>
  <c r="Q879" i="37"/>
  <c r="P879" i="37"/>
  <c r="O879" i="37"/>
  <c r="N879" i="37"/>
  <c r="M879" i="37"/>
  <c r="L879" i="37"/>
  <c r="K879" i="37"/>
  <c r="J879" i="37"/>
  <c r="I879" i="37"/>
  <c r="H879" i="37"/>
  <c r="G879" i="37"/>
  <c r="F879" i="37"/>
  <c r="E879" i="37"/>
  <c r="D879" i="37"/>
  <c r="C879" i="37"/>
  <c r="B879" i="37"/>
  <c r="R878" i="37"/>
  <c r="Q878" i="37"/>
  <c r="P878" i="37"/>
  <c r="O878" i="37"/>
  <c r="N878" i="37"/>
  <c r="M878" i="37"/>
  <c r="L878" i="37"/>
  <c r="K878" i="37"/>
  <c r="J878" i="37"/>
  <c r="I878" i="37"/>
  <c r="H878" i="37"/>
  <c r="G878" i="37"/>
  <c r="F878" i="37"/>
  <c r="E878" i="37"/>
  <c r="D878" i="37"/>
  <c r="C878" i="37"/>
  <c r="B878" i="37"/>
  <c r="R877" i="37"/>
  <c r="Q877" i="37"/>
  <c r="P877" i="37"/>
  <c r="O877" i="37"/>
  <c r="N877" i="37"/>
  <c r="M877" i="37"/>
  <c r="L877" i="37"/>
  <c r="K877" i="37"/>
  <c r="J877" i="37"/>
  <c r="I877" i="37"/>
  <c r="H877" i="37"/>
  <c r="G877" i="37"/>
  <c r="F877" i="37"/>
  <c r="E877" i="37"/>
  <c r="D877" i="37"/>
  <c r="C877" i="37"/>
  <c r="B877" i="37"/>
  <c r="R876" i="37"/>
  <c r="Q876" i="37"/>
  <c r="P876" i="37"/>
  <c r="O876" i="37"/>
  <c r="N876" i="37"/>
  <c r="M876" i="37"/>
  <c r="L876" i="37"/>
  <c r="K876" i="37"/>
  <c r="J876" i="37"/>
  <c r="I876" i="37"/>
  <c r="H876" i="37"/>
  <c r="G876" i="37"/>
  <c r="F876" i="37"/>
  <c r="E876" i="37"/>
  <c r="D876" i="37"/>
  <c r="C876" i="37"/>
  <c r="B876" i="37"/>
  <c r="R875" i="37"/>
  <c r="Q875" i="37"/>
  <c r="P875" i="37"/>
  <c r="O875" i="37"/>
  <c r="N875" i="37"/>
  <c r="M875" i="37"/>
  <c r="L875" i="37"/>
  <c r="K875" i="37"/>
  <c r="J875" i="37"/>
  <c r="I875" i="37"/>
  <c r="H875" i="37"/>
  <c r="G875" i="37"/>
  <c r="F875" i="37"/>
  <c r="E875" i="37"/>
  <c r="D875" i="37"/>
  <c r="C875" i="37"/>
  <c r="B875" i="37"/>
  <c r="R874" i="37"/>
  <c r="Q874" i="37"/>
  <c r="P874" i="37"/>
  <c r="O874" i="37"/>
  <c r="N874" i="37"/>
  <c r="M874" i="37"/>
  <c r="L874" i="37"/>
  <c r="K874" i="37"/>
  <c r="J874" i="37"/>
  <c r="I874" i="37"/>
  <c r="H874" i="37"/>
  <c r="G874" i="37"/>
  <c r="F874" i="37"/>
  <c r="E874" i="37"/>
  <c r="D874" i="37"/>
  <c r="C874" i="37"/>
  <c r="B874" i="37"/>
  <c r="R873" i="37"/>
  <c r="Q873" i="37"/>
  <c r="P873" i="37"/>
  <c r="O873" i="37"/>
  <c r="N873" i="37"/>
  <c r="M873" i="37"/>
  <c r="L873" i="37"/>
  <c r="K873" i="37"/>
  <c r="J873" i="37"/>
  <c r="I873" i="37"/>
  <c r="H873" i="37"/>
  <c r="G873" i="37"/>
  <c r="F873" i="37"/>
  <c r="E873" i="37"/>
  <c r="D873" i="37"/>
  <c r="C873" i="37"/>
  <c r="B873" i="37"/>
  <c r="R872" i="37"/>
  <c r="Q872" i="37"/>
  <c r="P872" i="37"/>
  <c r="O872" i="37"/>
  <c r="N872" i="37"/>
  <c r="M872" i="37"/>
  <c r="L872" i="37"/>
  <c r="K872" i="37"/>
  <c r="J872" i="37"/>
  <c r="I872" i="37"/>
  <c r="H872" i="37"/>
  <c r="G872" i="37"/>
  <c r="F872" i="37"/>
  <c r="E872" i="37"/>
  <c r="D872" i="37"/>
  <c r="C872" i="37"/>
  <c r="B872" i="37"/>
  <c r="R871" i="37"/>
  <c r="Q871" i="37"/>
  <c r="P871" i="37"/>
  <c r="O871" i="37"/>
  <c r="N871" i="37"/>
  <c r="M871" i="37"/>
  <c r="L871" i="37"/>
  <c r="K871" i="37"/>
  <c r="J871" i="37"/>
  <c r="I871" i="37"/>
  <c r="H871" i="37"/>
  <c r="G871" i="37"/>
  <c r="F871" i="37"/>
  <c r="E871" i="37"/>
  <c r="D871" i="37"/>
  <c r="C871" i="37"/>
  <c r="B871" i="37"/>
  <c r="R870" i="37"/>
  <c r="Q870" i="37"/>
  <c r="P870" i="37"/>
  <c r="O870" i="37"/>
  <c r="N870" i="37"/>
  <c r="M870" i="37"/>
  <c r="L870" i="37"/>
  <c r="K870" i="37"/>
  <c r="J870" i="37"/>
  <c r="I870" i="37"/>
  <c r="H870" i="37"/>
  <c r="G870" i="37"/>
  <c r="F870" i="37"/>
  <c r="E870" i="37"/>
  <c r="D870" i="37"/>
  <c r="C870" i="37"/>
  <c r="B870" i="37"/>
  <c r="R869" i="37"/>
  <c r="Q869" i="37"/>
  <c r="P869" i="37"/>
  <c r="O869" i="37"/>
  <c r="N869" i="37"/>
  <c r="M869" i="37"/>
  <c r="L869" i="37"/>
  <c r="K869" i="37"/>
  <c r="J869" i="37"/>
  <c r="I869" i="37"/>
  <c r="H869" i="37"/>
  <c r="G869" i="37"/>
  <c r="F869" i="37"/>
  <c r="E869" i="37"/>
  <c r="D869" i="37"/>
  <c r="C869" i="37"/>
  <c r="B869" i="37"/>
  <c r="R868" i="37"/>
  <c r="Q868" i="37"/>
  <c r="P868" i="37"/>
  <c r="O868" i="37"/>
  <c r="N868" i="37"/>
  <c r="M868" i="37"/>
  <c r="L868" i="37"/>
  <c r="K868" i="37"/>
  <c r="J868" i="37"/>
  <c r="I868" i="37"/>
  <c r="H868" i="37"/>
  <c r="G868" i="37"/>
  <c r="F868" i="37"/>
  <c r="E868" i="37"/>
  <c r="D868" i="37"/>
  <c r="C868" i="37"/>
  <c r="B868" i="37"/>
  <c r="R867" i="37"/>
  <c r="Q867" i="37"/>
  <c r="P867" i="37"/>
  <c r="O867" i="37"/>
  <c r="N867" i="37"/>
  <c r="M867" i="37"/>
  <c r="L867" i="37"/>
  <c r="K867" i="37"/>
  <c r="J867" i="37"/>
  <c r="I867" i="37"/>
  <c r="H867" i="37"/>
  <c r="G867" i="37"/>
  <c r="F867" i="37"/>
  <c r="E867" i="37"/>
  <c r="D867" i="37"/>
  <c r="C867" i="37"/>
  <c r="B867" i="37"/>
  <c r="R866" i="37"/>
  <c r="Q866" i="37"/>
  <c r="P866" i="37"/>
  <c r="O866" i="37"/>
  <c r="N866" i="37"/>
  <c r="M866" i="37"/>
  <c r="L866" i="37"/>
  <c r="K866" i="37"/>
  <c r="J866" i="37"/>
  <c r="I866" i="37"/>
  <c r="H866" i="37"/>
  <c r="G866" i="37"/>
  <c r="F866" i="37"/>
  <c r="E866" i="37"/>
  <c r="D866" i="37"/>
  <c r="C866" i="37"/>
  <c r="B866" i="37"/>
  <c r="R865" i="37"/>
  <c r="Q865" i="37"/>
  <c r="P865" i="37"/>
  <c r="O865" i="37"/>
  <c r="N865" i="37"/>
  <c r="M865" i="37"/>
  <c r="L865" i="37"/>
  <c r="K865" i="37"/>
  <c r="J865" i="37"/>
  <c r="I865" i="37"/>
  <c r="H865" i="37"/>
  <c r="G865" i="37"/>
  <c r="F865" i="37"/>
  <c r="E865" i="37"/>
  <c r="D865" i="37"/>
  <c r="C865" i="37"/>
  <c r="B865" i="37"/>
  <c r="R864" i="37"/>
  <c r="Q864" i="37"/>
  <c r="P864" i="37"/>
  <c r="O864" i="37"/>
  <c r="N864" i="37"/>
  <c r="M864" i="37"/>
  <c r="L864" i="37"/>
  <c r="K864" i="37"/>
  <c r="J864" i="37"/>
  <c r="I864" i="37"/>
  <c r="H864" i="37"/>
  <c r="G864" i="37"/>
  <c r="F864" i="37"/>
  <c r="E864" i="37"/>
  <c r="D864" i="37"/>
  <c r="C864" i="37"/>
  <c r="B864" i="37"/>
  <c r="R863" i="37"/>
  <c r="Q863" i="37"/>
  <c r="P863" i="37"/>
  <c r="O863" i="37"/>
  <c r="N863" i="37"/>
  <c r="M863" i="37"/>
  <c r="L863" i="37"/>
  <c r="K863" i="37"/>
  <c r="J863" i="37"/>
  <c r="I863" i="37"/>
  <c r="H863" i="37"/>
  <c r="G863" i="37"/>
  <c r="F863" i="37"/>
  <c r="E863" i="37"/>
  <c r="D863" i="37"/>
  <c r="C863" i="37"/>
  <c r="B863" i="37"/>
  <c r="R862" i="37"/>
  <c r="Q862" i="37"/>
  <c r="P862" i="37"/>
  <c r="O862" i="37"/>
  <c r="N862" i="37"/>
  <c r="M862" i="37"/>
  <c r="L862" i="37"/>
  <c r="K862" i="37"/>
  <c r="J862" i="37"/>
  <c r="I862" i="37"/>
  <c r="H862" i="37"/>
  <c r="G862" i="37"/>
  <c r="F862" i="37"/>
  <c r="E862" i="37"/>
  <c r="D862" i="37"/>
  <c r="C862" i="37"/>
  <c r="B862" i="37"/>
  <c r="R861" i="37"/>
  <c r="Q861" i="37"/>
  <c r="P861" i="37"/>
  <c r="O861" i="37"/>
  <c r="N861" i="37"/>
  <c r="M861" i="37"/>
  <c r="L861" i="37"/>
  <c r="K861" i="37"/>
  <c r="J861" i="37"/>
  <c r="I861" i="37"/>
  <c r="H861" i="37"/>
  <c r="G861" i="37"/>
  <c r="F861" i="37"/>
  <c r="E861" i="37"/>
  <c r="D861" i="37"/>
  <c r="C861" i="37"/>
  <c r="B861" i="37"/>
  <c r="R860" i="37"/>
  <c r="Q860" i="37"/>
  <c r="P860" i="37"/>
  <c r="O860" i="37"/>
  <c r="N860" i="37"/>
  <c r="M860" i="37"/>
  <c r="L860" i="37"/>
  <c r="K860" i="37"/>
  <c r="J860" i="37"/>
  <c r="I860" i="37"/>
  <c r="H860" i="37"/>
  <c r="G860" i="37"/>
  <c r="F860" i="37"/>
  <c r="E860" i="37"/>
  <c r="D860" i="37"/>
  <c r="C860" i="37"/>
  <c r="B860" i="37"/>
  <c r="R859" i="37"/>
  <c r="Q859" i="37"/>
  <c r="P859" i="37"/>
  <c r="O859" i="37"/>
  <c r="N859" i="37"/>
  <c r="M859" i="37"/>
  <c r="L859" i="37"/>
  <c r="K859" i="37"/>
  <c r="J859" i="37"/>
  <c r="I859" i="37"/>
  <c r="H859" i="37"/>
  <c r="G859" i="37"/>
  <c r="F859" i="37"/>
  <c r="E859" i="37"/>
  <c r="D859" i="37"/>
  <c r="C859" i="37"/>
  <c r="B859" i="37"/>
  <c r="R858" i="37"/>
  <c r="Q858" i="37"/>
  <c r="P858" i="37"/>
  <c r="O858" i="37"/>
  <c r="N858" i="37"/>
  <c r="M858" i="37"/>
  <c r="L858" i="37"/>
  <c r="K858" i="37"/>
  <c r="J858" i="37"/>
  <c r="I858" i="37"/>
  <c r="H858" i="37"/>
  <c r="G858" i="37"/>
  <c r="F858" i="37"/>
  <c r="E858" i="37"/>
  <c r="D858" i="37"/>
  <c r="C858" i="37"/>
  <c r="B858" i="37"/>
  <c r="R857" i="37"/>
  <c r="Q857" i="37"/>
  <c r="P857" i="37"/>
  <c r="O857" i="37"/>
  <c r="N857" i="37"/>
  <c r="M857" i="37"/>
  <c r="L857" i="37"/>
  <c r="K857" i="37"/>
  <c r="J857" i="37"/>
  <c r="I857" i="37"/>
  <c r="H857" i="37"/>
  <c r="G857" i="37"/>
  <c r="F857" i="37"/>
  <c r="E857" i="37"/>
  <c r="D857" i="37"/>
  <c r="C857" i="37"/>
  <c r="B857" i="37"/>
  <c r="R856" i="37"/>
  <c r="Q856" i="37"/>
  <c r="P856" i="37"/>
  <c r="O856" i="37"/>
  <c r="N856" i="37"/>
  <c r="M856" i="37"/>
  <c r="L856" i="37"/>
  <c r="K856" i="37"/>
  <c r="J856" i="37"/>
  <c r="I856" i="37"/>
  <c r="H856" i="37"/>
  <c r="G856" i="37"/>
  <c r="F856" i="37"/>
  <c r="E856" i="37"/>
  <c r="D856" i="37"/>
  <c r="C856" i="37"/>
  <c r="B856" i="37"/>
  <c r="R855" i="37"/>
  <c r="Q855" i="37"/>
  <c r="P855" i="37"/>
  <c r="O855" i="37"/>
  <c r="N855" i="37"/>
  <c r="M855" i="37"/>
  <c r="L855" i="37"/>
  <c r="K855" i="37"/>
  <c r="J855" i="37"/>
  <c r="I855" i="37"/>
  <c r="H855" i="37"/>
  <c r="G855" i="37"/>
  <c r="F855" i="37"/>
  <c r="E855" i="37"/>
  <c r="D855" i="37"/>
  <c r="C855" i="37"/>
  <c r="B855" i="37"/>
  <c r="R854" i="37"/>
  <c r="Q854" i="37"/>
  <c r="P854" i="37"/>
  <c r="O854" i="37"/>
  <c r="N854" i="37"/>
  <c r="M854" i="37"/>
  <c r="L854" i="37"/>
  <c r="K854" i="37"/>
  <c r="J854" i="37"/>
  <c r="I854" i="37"/>
  <c r="H854" i="37"/>
  <c r="G854" i="37"/>
  <c r="F854" i="37"/>
  <c r="E854" i="37"/>
  <c r="D854" i="37"/>
  <c r="C854" i="37"/>
  <c r="B854" i="37"/>
  <c r="R853" i="37"/>
  <c r="Q853" i="37"/>
  <c r="P853" i="37"/>
  <c r="O853" i="37"/>
  <c r="N853" i="37"/>
  <c r="M853" i="37"/>
  <c r="L853" i="37"/>
  <c r="K853" i="37"/>
  <c r="J853" i="37"/>
  <c r="I853" i="37"/>
  <c r="H853" i="37"/>
  <c r="G853" i="37"/>
  <c r="F853" i="37"/>
  <c r="E853" i="37"/>
  <c r="D853" i="37"/>
  <c r="C853" i="37"/>
  <c r="B853" i="37"/>
  <c r="R852" i="37"/>
  <c r="Q852" i="37"/>
  <c r="P852" i="37"/>
  <c r="O852" i="37"/>
  <c r="N852" i="37"/>
  <c r="M852" i="37"/>
  <c r="L852" i="37"/>
  <c r="K852" i="37"/>
  <c r="J852" i="37"/>
  <c r="I852" i="37"/>
  <c r="H852" i="37"/>
  <c r="G852" i="37"/>
  <c r="F852" i="37"/>
  <c r="E852" i="37"/>
  <c r="D852" i="37"/>
  <c r="C852" i="37"/>
  <c r="B852" i="37"/>
  <c r="R851" i="37"/>
  <c r="Q851" i="37"/>
  <c r="P851" i="37"/>
  <c r="O851" i="37"/>
  <c r="N851" i="37"/>
  <c r="M851" i="37"/>
  <c r="L851" i="37"/>
  <c r="K851" i="37"/>
  <c r="J851" i="37"/>
  <c r="I851" i="37"/>
  <c r="H851" i="37"/>
  <c r="G851" i="37"/>
  <c r="F851" i="37"/>
  <c r="E851" i="37"/>
  <c r="D851" i="37"/>
  <c r="C851" i="37"/>
  <c r="B851" i="37"/>
  <c r="R850" i="37"/>
  <c r="Q850" i="37"/>
  <c r="P850" i="37"/>
  <c r="O850" i="37"/>
  <c r="N850" i="37"/>
  <c r="M850" i="37"/>
  <c r="L850" i="37"/>
  <c r="K850" i="37"/>
  <c r="J850" i="37"/>
  <c r="I850" i="37"/>
  <c r="H850" i="37"/>
  <c r="G850" i="37"/>
  <c r="F850" i="37"/>
  <c r="E850" i="37"/>
  <c r="D850" i="37"/>
  <c r="C850" i="37"/>
  <c r="B850" i="37"/>
  <c r="R849" i="37"/>
  <c r="Q849" i="37"/>
  <c r="P849" i="37"/>
  <c r="O849" i="37"/>
  <c r="N849" i="37"/>
  <c r="M849" i="37"/>
  <c r="L849" i="37"/>
  <c r="K849" i="37"/>
  <c r="J849" i="37"/>
  <c r="I849" i="37"/>
  <c r="H849" i="37"/>
  <c r="G849" i="37"/>
  <c r="F849" i="37"/>
  <c r="E849" i="37"/>
  <c r="D849" i="37"/>
  <c r="C849" i="37"/>
  <c r="B849" i="37"/>
  <c r="R848" i="37"/>
  <c r="Q848" i="37"/>
  <c r="P848" i="37"/>
  <c r="O848" i="37"/>
  <c r="N848" i="37"/>
  <c r="M848" i="37"/>
  <c r="L848" i="37"/>
  <c r="K848" i="37"/>
  <c r="J848" i="37"/>
  <c r="I848" i="37"/>
  <c r="H848" i="37"/>
  <c r="G848" i="37"/>
  <c r="F848" i="37"/>
  <c r="E848" i="37"/>
  <c r="D848" i="37"/>
  <c r="C848" i="37"/>
  <c r="B848" i="37"/>
  <c r="R847" i="37"/>
  <c r="Q847" i="37"/>
  <c r="P847" i="37"/>
  <c r="O847" i="37"/>
  <c r="N847" i="37"/>
  <c r="M847" i="37"/>
  <c r="L847" i="37"/>
  <c r="K847" i="37"/>
  <c r="J847" i="37"/>
  <c r="I847" i="37"/>
  <c r="H847" i="37"/>
  <c r="G847" i="37"/>
  <c r="F847" i="37"/>
  <c r="E847" i="37"/>
  <c r="D847" i="37"/>
  <c r="C847" i="37"/>
  <c r="B847" i="37"/>
  <c r="R846" i="37"/>
  <c r="Q846" i="37"/>
  <c r="P846" i="37"/>
  <c r="O846" i="37"/>
  <c r="N846" i="37"/>
  <c r="M846" i="37"/>
  <c r="L846" i="37"/>
  <c r="K846" i="37"/>
  <c r="J846" i="37"/>
  <c r="I846" i="37"/>
  <c r="H846" i="37"/>
  <c r="G846" i="37"/>
  <c r="F846" i="37"/>
  <c r="E846" i="37"/>
  <c r="D846" i="37"/>
  <c r="C846" i="37"/>
  <c r="B846" i="37"/>
  <c r="R845" i="37"/>
  <c r="Q845" i="37"/>
  <c r="P845" i="37"/>
  <c r="O845" i="37"/>
  <c r="N845" i="37"/>
  <c r="M845" i="37"/>
  <c r="L845" i="37"/>
  <c r="K845" i="37"/>
  <c r="J845" i="37"/>
  <c r="I845" i="37"/>
  <c r="H845" i="37"/>
  <c r="G845" i="37"/>
  <c r="F845" i="37"/>
  <c r="E845" i="37"/>
  <c r="D845" i="37"/>
  <c r="C845" i="37"/>
  <c r="B845" i="37"/>
  <c r="R844" i="37"/>
  <c r="Q844" i="37"/>
  <c r="P844" i="37"/>
  <c r="O844" i="37"/>
  <c r="N844" i="37"/>
  <c r="M844" i="37"/>
  <c r="L844" i="37"/>
  <c r="K844" i="37"/>
  <c r="J844" i="37"/>
  <c r="I844" i="37"/>
  <c r="H844" i="37"/>
  <c r="G844" i="37"/>
  <c r="F844" i="37"/>
  <c r="E844" i="37"/>
  <c r="D844" i="37"/>
  <c r="C844" i="37"/>
  <c r="B844" i="37"/>
  <c r="R843" i="37"/>
  <c r="Q843" i="37"/>
  <c r="P843" i="37"/>
  <c r="O843" i="37"/>
  <c r="N843" i="37"/>
  <c r="M843" i="37"/>
  <c r="L843" i="37"/>
  <c r="K843" i="37"/>
  <c r="J843" i="37"/>
  <c r="I843" i="37"/>
  <c r="H843" i="37"/>
  <c r="G843" i="37"/>
  <c r="F843" i="37"/>
  <c r="E843" i="37"/>
  <c r="D843" i="37"/>
  <c r="C843" i="37"/>
  <c r="B843" i="37"/>
  <c r="R842" i="37"/>
  <c r="Q842" i="37"/>
  <c r="P842" i="37"/>
  <c r="O842" i="37"/>
  <c r="N842" i="37"/>
  <c r="M842" i="37"/>
  <c r="L842" i="37"/>
  <c r="K842" i="37"/>
  <c r="J842" i="37"/>
  <c r="I842" i="37"/>
  <c r="H842" i="37"/>
  <c r="G842" i="37"/>
  <c r="F842" i="37"/>
  <c r="E842" i="37"/>
  <c r="D842" i="37"/>
  <c r="C842" i="37"/>
  <c r="B842" i="37"/>
  <c r="R841" i="37"/>
  <c r="Q841" i="37"/>
  <c r="P841" i="37"/>
  <c r="O841" i="37"/>
  <c r="N841" i="37"/>
  <c r="M841" i="37"/>
  <c r="L841" i="37"/>
  <c r="K841" i="37"/>
  <c r="J841" i="37"/>
  <c r="I841" i="37"/>
  <c r="H841" i="37"/>
  <c r="G841" i="37"/>
  <c r="F841" i="37"/>
  <c r="E841" i="37"/>
  <c r="D841" i="37"/>
  <c r="C841" i="37"/>
  <c r="B841" i="37"/>
  <c r="R840" i="37"/>
  <c r="Q840" i="37"/>
  <c r="P840" i="37"/>
  <c r="O840" i="37"/>
  <c r="N840" i="37"/>
  <c r="M840" i="37"/>
  <c r="L840" i="37"/>
  <c r="K840" i="37"/>
  <c r="J840" i="37"/>
  <c r="I840" i="37"/>
  <c r="H840" i="37"/>
  <c r="G840" i="37"/>
  <c r="F840" i="37"/>
  <c r="E840" i="37"/>
  <c r="D840" i="37"/>
  <c r="C840" i="37"/>
  <c r="B840" i="37"/>
  <c r="R839" i="37"/>
  <c r="Q839" i="37"/>
  <c r="P839" i="37"/>
  <c r="O839" i="37"/>
  <c r="N839" i="37"/>
  <c r="M839" i="37"/>
  <c r="L839" i="37"/>
  <c r="K839" i="37"/>
  <c r="J839" i="37"/>
  <c r="I839" i="37"/>
  <c r="H839" i="37"/>
  <c r="G839" i="37"/>
  <c r="F839" i="37"/>
  <c r="E839" i="37"/>
  <c r="D839" i="37"/>
  <c r="C839" i="37"/>
  <c r="B839" i="37"/>
  <c r="R838" i="37"/>
  <c r="Q838" i="37"/>
  <c r="P838" i="37"/>
  <c r="O838" i="37"/>
  <c r="N838" i="37"/>
  <c r="M838" i="37"/>
  <c r="L838" i="37"/>
  <c r="K838" i="37"/>
  <c r="J838" i="37"/>
  <c r="I838" i="37"/>
  <c r="H838" i="37"/>
  <c r="G838" i="37"/>
  <c r="F838" i="37"/>
  <c r="E838" i="37"/>
  <c r="D838" i="37"/>
  <c r="C838" i="37"/>
  <c r="B838" i="37"/>
  <c r="R837" i="37"/>
  <c r="Q837" i="37"/>
  <c r="P837" i="37"/>
  <c r="O837" i="37"/>
  <c r="N837" i="37"/>
  <c r="M837" i="37"/>
  <c r="L837" i="37"/>
  <c r="K837" i="37"/>
  <c r="J837" i="37"/>
  <c r="I837" i="37"/>
  <c r="H837" i="37"/>
  <c r="G837" i="37"/>
  <c r="F837" i="37"/>
  <c r="E837" i="37"/>
  <c r="D837" i="37"/>
  <c r="C837" i="37"/>
  <c r="B837" i="37"/>
  <c r="R836" i="37"/>
  <c r="Q836" i="37"/>
  <c r="P836" i="37"/>
  <c r="O836" i="37"/>
  <c r="N836" i="37"/>
  <c r="M836" i="37"/>
  <c r="L836" i="37"/>
  <c r="K836" i="37"/>
  <c r="J836" i="37"/>
  <c r="I836" i="37"/>
  <c r="H836" i="37"/>
  <c r="G836" i="37"/>
  <c r="F836" i="37"/>
  <c r="E836" i="37"/>
  <c r="D836" i="37"/>
  <c r="C836" i="37"/>
  <c r="B836" i="37"/>
  <c r="R835" i="37"/>
  <c r="Q835" i="37"/>
  <c r="P835" i="37"/>
  <c r="O835" i="37"/>
  <c r="N835" i="37"/>
  <c r="M835" i="37"/>
  <c r="L835" i="37"/>
  <c r="K835" i="37"/>
  <c r="J835" i="37"/>
  <c r="I835" i="37"/>
  <c r="H835" i="37"/>
  <c r="G835" i="37"/>
  <c r="F835" i="37"/>
  <c r="E835" i="37"/>
  <c r="D835" i="37"/>
  <c r="C835" i="37"/>
  <c r="B835" i="37"/>
  <c r="R834" i="37"/>
  <c r="Q834" i="37"/>
  <c r="P834" i="37"/>
  <c r="O834" i="37"/>
  <c r="N834" i="37"/>
  <c r="M834" i="37"/>
  <c r="L834" i="37"/>
  <c r="K834" i="37"/>
  <c r="J834" i="37"/>
  <c r="I834" i="37"/>
  <c r="H834" i="37"/>
  <c r="G834" i="37"/>
  <c r="F834" i="37"/>
  <c r="E834" i="37"/>
  <c r="D834" i="37"/>
  <c r="C834" i="37"/>
  <c r="B834" i="37"/>
  <c r="R833" i="37"/>
  <c r="Q833" i="37"/>
  <c r="P833" i="37"/>
  <c r="O833" i="37"/>
  <c r="N833" i="37"/>
  <c r="M833" i="37"/>
  <c r="L833" i="37"/>
  <c r="K833" i="37"/>
  <c r="J833" i="37"/>
  <c r="I833" i="37"/>
  <c r="H833" i="37"/>
  <c r="G833" i="37"/>
  <c r="F833" i="37"/>
  <c r="E833" i="37"/>
  <c r="D833" i="37"/>
  <c r="C833" i="37"/>
  <c r="B833" i="37"/>
  <c r="R832" i="37"/>
  <c r="Q832" i="37"/>
  <c r="P832" i="37"/>
  <c r="O832" i="37"/>
  <c r="N832" i="37"/>
  <c r="M832" i="37"/>
  <c r="L832" i="37"/>
  <c r="K832" i="37"/>
  <c r="J832" i="37"/>
  <c r="I832" i="37"/>
  <c r="H832" i="37"/>
  <c r="G832" i="37"/>
  <c r="F832" i="37"/>
  <c r="E832" i="37"/>
  <c r="D832" i="37"/>
  <c r="C832" i="37"/>
  <c r="B832" i="37"/>
  <c r="R831" i="37"/>
  <c r="Q831" i="37"/>
  <c r="P831" i="37"/>
  <c r="O831" i="37"/>
  <c r="N831" i="37"/>
  <c r="M831" i="37"/>
  <c r="L831" i="37"/>
  <c r="K831" i="37"/>
  <c r="J831" i="37"/>
  <c r="I831" i="37"/>
  <c r="H831" i="37"/>
  <c r="G831" i="37"/>
  <c r="F831" i="37"/>
  <c r="E831" i="37"/>
  <c r="D831" i="37"/>
  <c r="C831" i="37"/>
  <c r="B831" i="37"/>
  <c r="R830" i="37"/>
  <c r="Q830" i="37"/>
  <c r="P830" i="37"/>
  <c r="O830" i="37"/>
  <c r="N830" i="37"/>
  <c r="M830" i="37"/>
  <c r="L830" i="37"/>
  <c r="K830" i="37"/>
  <c r="J830" i="37"/>
  <c r="I830" i="37"/>
  <c r="H830" i="37"/>
  <c r="G830" i="37"/>
  <c r="F830" i="37"/>
  <c r="E830" i="37"/>
  <c r="D830" i="37"/>
  <c r="C830" i="37"/>
  <c r="B830" i="37"/>
  <c r="R829" i="37"/>
  <c r="Q829" i="37"/>
  <c r="P829" i="37"/>
  <c r="O829" i="37"/>
  <c r="N829" i="37"/>
  <c r="M829" i="37"/>
  <c r="L829" i="37"/>
  <c r="K829" i="37"/>
  <c r="J829" i="37"/>
  <c r="I829" i="37"/>
  <c r="H829" i="37"/>
  <c r="G829" i="37"/>
  <c r="F829" i="37"/>
  <c r="E829" i="37"/>
  <c r="D829" i="37"/>
  <c r="C829" i="37"/>
  <c r="B829" i="37"/>
  <c r="R828" i="37"/>
  <c r="Q828" i="37"/>
  <c r="P828" i="37"/>
  <c r="O828" i="37"/>
  <c r="N828" i="37"/>
  <c r="M828" i="37"/>
  <c r="L828" i="37"/>
  <c r="K828" i="37"/>
  <c r="J828" i="37"/>
  <c r="I828" i="37"/>
  <c r="H828" i="37"/>
  <c r="G828" i="37"/>
  <c r="F828" i="37"/>
  <c r="E828" i="37"/>
  <c r="D828" i="37"/>
  <c r="C828" i="37"/>
  <c r="B828" i="37"/>
  <c r="R827" i="37"/>
  <c r="Q827" i="37"/>
  <c r="P827" i="37"/>
  <c r="O827" i="37"/>
  <c r="N827" i="37"/>
  <c r="M827" i="37"/>
  <c r="L827" i="37"/>
  <c r="K827" i="37"/>
  <c r="J827" i="37"/>
  <c r="I827" i="37"/>
  <c r="H827" i="37"/>
  <c r="G827" i="37"/>
  <c r="F827" i="37"/>
  <c r="E827" i="37"/>
  <c r="D827" i="37"/>
  <c r="C827" i="37"/>
  <c r="B827" i="37"/>
  <c r="R826" i="37"/>
  <c r="Q826" i="37"/>
  <c r="P826" i="37"/>
  <c r="O826" i="37"/>
  <c r="N826" i="37"/>
  <c r="M826" i="37"/>
  <c r="L826" i="37"/>
  <c r="K826" i="37"/>
  <c r="J826" i="37"/>
  <c r="I826" i="37"/>
  <c r="H826" i="37"/>
  <c r="G826" i="37"/>
  <c r="F826" i="37"/>
  <c r="E826" i="37"/>
  <c r="D826" i="37"/>
  <c r="C826" i="37"/>
  <c r="B826" i="37"/>
  <c r="R825" i="37"/>
  <c r="Q825" i="37"/>
  <c r="P825" i="37"/>
  <c r="O825" i="37"/>
  <c r="N825" i="37"/>
  <c r="M825" i="37"/>
  <c r="L825" i="37"/>
  <c r="K825" i="37"/>
  <c r="J825" i="37"/>
  <c r="I825" i="37"/>
  <c r="H825" i="37"/>
  <c r="G825" i="37"/>
  <c r="F825" i="37"/>
  <c r="E825" i="37"/>
  <c r="D825" i="37"/>
  <c r="C825" i="37"/>
  <c r="B825" i="37"/>
  <c r="R824" i="37"/>
  <c r="Q824" i="37"/>
  <c r="P824" i="37"/>
  <c r="O824" i="37"/>
  <c r="N824" i="37"/>
  <c r="M824" i="37"/>
  <c r="L824" i="37"/>
  <c r="K824" i="37"/>
  <c r="J824" i="37"/>
  <c r="I824" i="37"/>
  <c r="H824" i="37"/>
  <c r="G824" i="37"/>
  <c r="F824" i="37"/>
  <c r="E824" i="37"/>
  <c r="D824" i="37"/>
  <c r="C824" i="37"/>
  <c r="B824" i="37"/>
  <c r="R823" i="37"/>
  <c r="Q823" i="37"/>
  <c r="P823" i="37"/>
  <c r="O823" i="37"/>
  <c r="N823" i="37"/>
  <c r="M823" i="37"/>
  <c r="L823" i="37"/>
  <c r="K823" i="37"/>
  <c r="J823" i="37"/>
  <c r="I823" i="37"/>
  <c r="H823" i="37"/>
  <c r="G823" i="37"/>
  <c r="F823" i="37"/>
  <c r="E823" i="37"/>
  <c r="D823" i="37"/>
  <c r="C823" i="37"/>
  <c r="B823" i="37"/>
  <c r="R822" i="37"/>
  <c r="Q822" i="37"/>
  <c r="P822" i="37"/>
  <c r="O822" i="37"/>
  <c r="N822" i="37"/>
  <c r="M822" i="37"/>
  <c r="L822" i="37"/>
  <c r="K822" i="37"/>
  <c r="J822" i="37"/>
  <c r="I822" i="37"/>
  <c r="H822" i="37"/>
  <c r="G822" i="37"/>
  <c r="F822" i="37"/>
  <c r="E822" i="37"/>
  <c r="D822" i="37"/>
  <c r="C822" i="37"/>
  <c r="B822" i="37"/>
  <c r="R821" i="37"/>
  <c r="Q821" i="37"/>
  <c r="P821" i="37"/>
  <c r="O821" i="37"/>
  <c r="N821" i="37"/>
  <c r="M821" i="37"/>
  <c r="L821" i="37"/>
  <c r="K821" i="37"/>
  <c r="J821" i="37"/>
  <c r="I821" i="37"/>
  <c r="H821" i="37"/>
  <c r="G821" i="37"/>
  <c r="F821" i="37"/>
  <c r="E821" i="37"/>
  <c r="D821" i="37"/>
  <c r="C821" i="37"/>
  <c r="B821" i="37"/>
  <c r="R820" i="37"/>
  <c r="Q820" i="37"/>
  <c r="P820" i="37"/>
  <c r="O820" i="37"/>
  <c r="N820" i="37"/>
  <c r="M820" i="37"/>
  <c r="L820" i="37"/>
  <c r="K820" i="37"/>
  <c r="J820" i="37"/>
  <c r="I820" i="37"/>
  <c r="H820" i="37"/>
  <c r="G820" i="37"/>
  <c r="F820" i="37"/>
  <c r="E820" i="37"/>
  <c r="D820" i="37"/>
  <c r="C820" i="37"/>
  <c r="B820" i="37"/>
  <c r="R819" i="37"/>
  <c r="Q819" i="37"/>
  <c r="P819" i="37"/>
  <c r="O819" i="37"/>
  <c r="N819" i="37"/>
  <c r="M819" i="37"/>
  <c r="L819" i="37"/>
  <c r="K819" i="37"/>
  <c r="J819" i="37"/>
  <c r="I819" i="37"/>
  <c r="H819" i="37"/>
  <c r="G819" i="37"/>
  <c r="F819" i="37"/>
  <c r="E819" i="37"/>
  <c r="D819" i="37"/>
  <c r="C819" i="37"/>
  <c r="B819" i="37"/>
  <c r="R818" i="37"/>
  <c r="Q818" i="37"/>
  <c r="P818" i="37"/>
  <c r="O818" i="37"/>
  <c r="N818" i="37"/>
  <c r="M818" i="37"/>
  <c r="L818" i="37"/>
  <c r="K818" i="37"/>
  <c r="J818" i="37"/>
  <c r="I818" i="37"/>
  <c r="H818" i="37"/>
  <c r="G818" i="37"/>
  <c r="F818" i="37"/>
  <c r="E818" i="37"/>
  <c r="D818" i="37"/>
  <c r="C818" i="37"/>
  <c r="B818" i="37"/>
  <c r="R817" i="37"/>
  <c r="Q817" i="37"/>
  <c r="P817" i="37"/>
  <c r="O817" i="37"/>
  <c r="N817" i="37"/>
  <c r="M817" i="37"/>
  <c r="L817" i="37"/>
  <c r="K817" i="37"/>
  <c r="J817" i="37"/>
  <c r="I817" i="37"/>
  <c r="H817" i="37"/>
  <c r="G817" i="37"/>
  <c r="F817" i="37"/>
  <c r="E817" i="37"/>
  <c r="D817" i="37"/>
  <c r="C817" i="37"/>
  <c r="B817" i="37"/>
  <c r="R816" i="37"/>
  <c r="Q816" i="37"/>
  <c r="P816" i="37"/>
  <c r="O816" i="37"/>
  <c r="N816" i="37"/>
  <c r="M816" i="37"/>
  <c r="L816" i="37"/>
  <c r="K816" i="37"/>
  <c r="J816" i="37"/>
  <c r="I816" i="37"/>
  <c r="H816" i="37"/>
  <c r="G816" i="37"/>
  <c r="F816" i="37"/>
  <c r="E816" i="37"/>
  <c r="D816" i="37"/>
  <c r="C816" i="37"/>
  <c r="B816" i="37"/>
  <c r="R815" i="37"/>
  <c r="Q815" i="37"/>
  <c r="P815" i="37"/>
  <c r="O815" i="37"/>
  <c r="N815" i="37"/>
  <c r="M815" i="37"/>
  <c r="L815" i="37"/>
  <c r="K815" i="37"/>
  <c r="J815" i="37"/>
  <c r="I815" i="37"/>
  <c r="H815" i="37"/>
  <c r="G815" i="37"/>
  <c r="F815" i="37"/>
  <c r="E815" i="37"/>
  <c r="D815" i="37"/>
  <c r="C815" i="37"/>
  <c r="B815" i="37"/>
  <c r="R814" i="37"/>
  <c r="Q814" i="37"/>
  <c r="P814" i="37"/>
  <c r="O814" i="37"/>
  <c r="N814" i="37"/>
  <c r="M814" i="37"/>
  <c r="L814" i="37"/>
  <c r="K814" i="37"/>
  <c r="J814" i="37"/>
  <c r="I814" i="37"/>
  <c r="H814" i="37"/>
  <c r="G814" i="37"/>
  <c r="F814" i="37"/>
  <c r="E814" i="37"/>
  <c r="D814" i="37"/>
  <c r="C814" i="37"/>
  <c r="B814" i="37"/>
  <c r="R813" i="37"/>
  <c r="Q813" i="37"/>
  <c r="P813" i="37"/>
  <c r="O813" i="37"/>
  <c r="N813" i="37"/>
  <c r="M813" i="37"/>
  <c r="L813" i="37"/>
  <c r="K813" i="37"/>
  <c r="J813" i="37"/>
  <c r="I813" i="37"/>
  <c r="H813" i="37"/>
  <c r="G813" i="37"/>
  <c r="F813" i="37"/>
  <c r="E813" i="37"/>
  <c r="D813" i="37"/>
  <c r="C813" i="37"/>
  <c r="B813" i="37"/>
  <c r="R812" i="37"/>
  <c r="Q812" i="37"/>
  <c r="P812" i="37"/>
  <c r="O812" i="37"/>
  <c r="N812" i="37"/>
  <c r="M812" i="37"/>
  <c r="L812" i="37"/>
  <c r="K812" i="37"/>
  <c r="J812" i="37"/>
  <c r="I812" i="37"/>
  <c r="H812" i="37"/>
  <c r="G812" i="37"/>
  <c r="F812" i="37"/>
  <c r="E812" i="37"/>
  <c r="D812" i="37"/>
  <c r="C812" i="37"/>
  <c r="B812" i="37"/>
  <c r="R811" i="37"/>
  <c r="Q811" i="37"/>
  <c r="P811" i="37"/>
  <c r="O811" i="37"/>
  <c r="N811" i="37"/>
  <c r="M811" i="37"/>
  <c r="L811" i="37"/>
  <c r="K811" i="37"/>
  <c r="J811" i="37"/>
  <c r="I811" i="37"/>
  <c r="H811" i="37"/>
  <c r="G811" i="37"/>
  <c r="F811" i="37"/>
  <c r="E811" i="37"/>
  <c r="D811" i="37"/>
  <c r="C811" i="37"/>
  <c r="B811" i="37"/>
  <c r="R810" i="37"/>
  <c r="Q810" i="37"/>
  <c r="P810" i="37"/>
  <c r="O810" i="37"/>
  <c r="N810" i="37"/>
  <c r="M810" i="37"/>
  <c r="L810" i="37"/>
  <c r="K810" i="37"/>
  <c r="J810" i="37"/>
  <c r="I810" i="37"/>
  <c r="H810" i="37"/>
  <c r="G810" i="37"/>
  <c r="F810" i="37"/>
  <c r="E810" i="37"/>
  <c r="D810" i="37"/>
  <c r="C810" i="37"/>
  <c r="B810" i="37"/>
  <c r="R809" i="37"/>
  <c r="Q809" i="37"/>
  <c r="P809" i="37"/>
  <c r="O809" i="37"/>
  <c r="N809" i="37"/>
  <c r="M809" i="37"/>
  <c r="L809" i="37"/>
  <c r="K809" i="37"/>
  <c r="J809" i="37"/>
  <c r="I809" i="37"/>
  <c r="H809" i="37"/>
  <c r="G809" i="37"/>
  <c r="F809" i="37"/>
  <c r="E809" i="37"/>
  <c r="D809" i="37"/>
  <c r="C809" i="37"/>
  <c r="B809" i="37"/>
  <c r="R808" i="37"/>
  <c r="Q808" i="37"/>
  <c r="P808" i="37"/>
  <c r="O808" i="37"/>
  <c r="N808" i="37"/>
  <c r="M808" i="37"/>
  <c r="L808" i="37"/>
  <c r="K808" i="37"/>
  <c r="J808" i="37"/>
  <c r="I808" i="37"/>
  <c r="H808" i="37"/>
  <c r="G808" i="37"/>
  <c r="F808" i="37"/>
  <c r="E808" i="37"/>
  <c r="D808" i="37"/>
  <c r="C808" i="37"/>
  <c r="B808" i="37"/>
  <c r="R807" i="37"/>
  <c r="Q807" i="37"/>
  <c r="P807" i="37"/>
  <c r="O807" i="37"/>
  <c r="N807" i="37"/>
  <c r="M807" i="37"/>
  <c r="L807" i="37"/>
  <c r="K807" i="37"/>
  <c r="J807" i="37"/>
  <c r="I807" i="37"/>
  <c r="H807" i="37"/>
  <c r="G807" i="37"/>
  <c r="F807" i="37"/>
  <c r="E807" i="37"/>
  <c r="D807" i="37"/>
  <c r="C807" i="37"/>
  <c r="B807" i="37"/>
  <c r="R806" i="37"/>
  <c r="Q806" i="37"/>
  <c r="P806" i="37"/>
  <c r="O806" i="37"/>
  <c r="N806" i="37"/>
  <c r="M806" i="37"/>
  <c r="L806" i="37"/>
  <c r="K806" i="37"/>
  <c r="J806" i="37"/>
  <c r="I806" i="37"/>
  <c r="H806" i="37"/>
  <c r="G806" i="37"/>
  <c r="F806" i="37"/>
  <c r="E806" i="37"/>
  <c r="D806" i="37"/>
  <c r="C806" i="37"/>
  <c r="B806" i="37"/>
  <c r="R805" i="37"/>
  <c r="Q805" i="37"/>
  <c r="P805" i="37"/>
  <c r="O805" i="37"/>
  <c r="N805" i="37"/>
  <c r="M805" i="37"/>
  <c r="L805" i="37"/>
  <c r="K805" i="37"/>
  <c r="J805" i="37"/>
  <c r="I805" i="37"/>
  <c r="H805" i="37"/>
  <c r="G805" i="37"/>
  <c r="F805" i="37"/>
  <c r="E805" i="37"/>
  <c r="D805" i="37"/>
  <c r="C805" i="37"/>
  <c r="B805" i="37"/>
  <c r="R804" i="37"/>
  <c r="Q804" i="37"/>
  <c r="P804" i="37"/>
  <c r="O804" i="37"/>
  <c r="N804" i="37"/>
  <c r="M804" i="37"/>
  <c r="L804" i="37"/>
  <c r="K804" i="37"/>
  <c r="J804" i="37"/>
  <c r="I804" i="37"/>
  <c r="H804" i="37"/>
  <c r="G804" i="37"/>
  <c r="F804" i="37"/>
  <c r="E804" i="37"/>
  <c r="D804" i="37"/>
  <c r="C804" i="37"/>
  <c r="B804" i="37"/>
  <c r="R803" i="37"/>
  <c r="Q803" i="37"/>
  <c r="P803" i="37"/>
  <c r="O803" i="37"/>
  <c r="N803" i="37"/>
  <c r="M803" i="37"/>
  <c r="L803" i="37"/>
  <c r="K803" i="37"/>
  <c r="J803" i="37"/>
  <c r="I803" i="37"/>
  <c r="H803" i="37"/>
  <c r="G803" i="37"/>
  <c r="F803" i="37"/>
  <c r="E803" i="37"/>
  <c r="D803" i="37"/>
  <c r="C803" i="37"/>
  <c r="B803" i="37"/>
  <c r="R802" i="37"/>
  <c r="Q802" i="37"/>
  <c r="P802" i="37"/>
  <c r="O802" i="37"/>
  <c r="N802" i="37"/>
  <c r="M802" i="37"/>
  <c r="L802" i="37"/>
  <c r="K802" i="37"/>
  <c r="J802" i="37"/>
  <c r="I802" i="37"/>
  <c r="H802" i="37"/>
  <c r="G802" i="37"/>
  <c r="F802" i="37"/>
  <c r="E802" i="37"/>
  <c r="D802" i="37"/>
  <c r="C802" i="37"/>
  <c r="B802" i="37"/>
  <c r="R801" i="37"/>
  <c r="Q801" i="37"/>
  <c r="P801" i="37"/>
  <c r="O801" i="37"/>
  <c r="N801" i="37"/>
  <c r="M801" i="37"/>
  <c r="L801" i="37"/>
  <c r="K801" i="37"/>
  <c r="J801" i="37"/>
  <c r="I801" i="37"/>
  <c r="H801" i="37"/>
  <c r="G801" i="37"/>
  <c r="F801" i="37"/>
  <c r="E801" i="37"/>
  <c r="D801" i="37"/>
  <c r="C801" i="37"/>
  <c r="B801" i="37"/>
  <c r="R800" i="37"/>
  <c r="Q800" i="37"/>
  <c r="P800" i="37"/>
  <c r="O800" i="37"/>
  <c r="N800" i="37"/>
  <c r="M800" i="37"/>
  <c r="L800" i="37"/>
  <c r="K800" i="37"/>
  <c r="J800" i="37"/>
  <c r="I800" i="37"/>
  <c r="H800" i="37"/>
  <c r="G800" i="37"/>
  <c r="F800" i="37"/>
  <c r="E800" i="37"/>
  <c r="D800" i="37"/>
  <c r="C800" i="37"/>
  <c r="B800" i="37"/>
  <c r="R799" i="37"/>
  <c r="Q799" i="37"/>
  <c r="P799" i="37"/>
  <c r="O799" i="37"/>
  <c r="N799" i="37"/>
  <c r="M799" i="37"/>
  <c r="L799" i="37"/>
  <c r="K799" i="37"/>
  <c r="J799" i="37"/>
  <c r="I799" i="37"/>
  <c r="H799" i="37"/>
  <c r="G799" i="37"/>
  <c r="F799" i="37"/>
  <c r="E799" i="37"/>
  <c r="D799" i="37"/>
  <c r="C799" i="37"/>
  <c r="B799" i="37"/>
  <c r="R798" i="37"/>
  <c r="Q798" i="37"/>
  <c r="P798" i="37"/>
  <c r="O798" i="37"/>
  <c r="N798" i="37"/>
  <c r="M798" i="37"/>
  <c r="L798" i="37"/>
  <c r="K798" i="37"/>
  <c r="J798" i="37"/>
  <c r="I798" i="37"/>
  <c r="H798" i="37"/>
  <c r="G798" i="37"/>
  <c r="F798" i="37"/>
  <c r="E798" i="37"/>
  <c r="D798" i="37"/>
  <c r="C798" i="37"/>
  <c r="B798" i="37"/>
  <c r="R797" i="37"/>
  <c r="Q797" i="37"/>
  <c r="P797" i="37"/>
  <c r="O797" i="37"/>
  <c r="N797" i="37"/>
  <c r="M797" i="37"/>
  <c r="L797" i="37"/>
  <c r="K797" i="37"/>
  <c r="J797" i="37"/>
  <c r="I797" i="37"/>
  <c r="H797" i="37"/>
  <c r="G797" i="37"/>
  <c r="F797" i="37"/>
  <c r="E797" i="37"/>
  <c r="D797" i="37"/>
  <c r="C797" i="37"/>
  <c r="B797" i="37"/>
  <c r="R796" i="37"/>
  <c r="Q796" i="37"/>
  <c r="P796" i="37"/>
  <c r="O796" i="37"/>
  <c r="N796" i="37"/>
  <c r="M796" i="37"/>
  <c r="L796" i="37"/>
  <c r="K796" i="37"/>
  <c r="J796" i="37"/>
  <c r="I796" i="37"/>
  <c r="H796" i="37"/>
  <c r="G796" i="37"/>
  <c r="F796" i="37"/>
  <c r="E796" i="37"/>
  <c r="D796" i="37"/>
  <c r="C796" i="37"/>
  <c r="B796" i="37"/>
  <c r="R795" i="37"/>
  <c r="Q795" i="37"/>
  <c r="P795" i="37"/>
  <c r="O795" i="37"/>
  <c r="N795" i="37"/>
  <c r="M795" i="37"/>
  <c r="L795" i="37"/>
  <c r="K795" i="37"/>
  <c r="J795" i="37"/>
  <c r="I795" i="37"/>
  <c r="H795" i="37"/>
  <c r="G795" i="37"/>
  <c r="F795" i="37"/>
  <c r="E795" i="37"/>
  <c r="D795" i="37"/>
  <c r="C795" i="37"/>
  <c r="B795" i="37"/>
  <c r="R794" i="37"/>
  <c r="Q794" i="37"/>
  <c r="P794" i="37"/>
  <c r="O794" i="37"/>
  <c r="N794" i="37"/>
  <c r="M794" i="37"/>
  <c r="L794" i="37"/>
  <c r="K794" i="37"/>
  <c r="J794" i="37"/>
  <c r="I794" i="37"/>
  <c r="H794" i="37"/>
  <c r="G794" i="37"/>
  <c r="F794" i="37"/>
  <c r="E794" i="37"/>
  <c r="D794" i="37"/>
  <c r="C794" i="37"/>
  <c r="B794" i="37"/>
  <c r="R793" i="37"/>
  <c r="Q793" i="37"/>
  <c r="P793" i="37"/>
  <c r="O793" i="37"/>
  <c r="N793" i="37"/>
  <c r="M793" i="37"/>
  <c r="L793" i="37"/>
  <c r="K793" i="37"/>
  <c r="J793" i="37"/>
  <c r="I793" i="37"/>
  <c r="H793" i="37"/>
  <c r="G793" i="37"/>
  <c r="F793" i="37"/>
  <c r="E793" i="37"/>
  <c r="D793" i="37"/>
  <c r="C793" i="37"/>
  <c r="B793" i="37"/>
  <c r="R792" i="37"/>
  <c r="Q792" i="37"/>
  <c r="P792" i="37"/>
  <c r="O792" i="37"/>
  <c r="N792" i="37"/>
  <c r="M792" i="37"/>
  <c r="L792" i="37"/>
  <c r="K792" i="37"/>
  <c r="J792" i="37"/>
  <c r="I792" i="37"/>
  <c r="H792" i="37"/>
  <c r="G792" i="37"/>
  <c r="F792" i="37"/>
  <c r="E792" i="37"/>
  <c r="D792" i="37"/>
  <c r="C792" i="37"/>
  <c r="B792" i="37"/>
  <c r="R791" i="37"/>
  <c r="Q791" i="37"/>
  <c r="P791" i="37"/>
  <c r="O791" i="37"/>
  <c r="N791" i="37"/>
  <c r="M791" i="37"/>
  <c r="L791" i="37"/>
  <c r="K791" i="37"/>
  <c r="J791" i="37"/>
  <c r="I791" i="37"/>
  <c r="H791" i="37"/>
  <c r="G791" i="37"/>
  <c r="F791" i="37"/>
  <c r="E791" i="37"/>
  <c r="D791" i="37"/>
  <c r="C791" i="37"/>
  <c r="B791" i="37"/>
  <c r="R790" i="37"/>
  <c r="Q790" i="37"/>
  <c r="P790" i="37"/>
  <c r="O790" i="37"/>
  <c r="N790" i="37"/>
  <c r="M790" i="37"/>
  <c r="L790" i="37"/>
  <c r="K790" i="37"/>
  <c r="J790" i="37"/>
  <c r="I790" i="37"/>
  <c r="H790" i="37"/>
  <c r="G790" i="37"/>
  <c r="F790" i="37"/>
  <c r="E790" i="37"/>
  <c r="D790" i="37"/>
  <c r="C790" i="37"/>
  <c r="B790" i="37"/>
  <c r="R789" i="37"/>
  <c r="Q789" i="37"/>
  <c r="P789" i="37"/>
  <c r="O789" i="37"/>
  <c r="N789" i="37"/>
  <c r="M789" i="37"/>
  <c r="L789" i="37"/>
  <c r="K789" i="37"/>
  <c r="J789" i="37"/>
  <c r="I789" i="37"/>
  <c r="H789" i="37"/>
  <c r="G789" i="37"/>
  <c r="F789" i="37"/>
  <c r="E789" i="37"/>
  <c r="D789" i="37"/>
  <c r="C789" i="37"/>
  <c r="B789" i="37"/>
  <c r="R788" i="37"/>
  <c r="Q788" i="37"/>
  <c r="P788" i="37"/>
  <c r="O788" i="37"/>
  <c r="N788" i="37"/>
  <c r="M788" i="37"/>
  <c r="L788" i="37"/>
  <c r="K788" i="37"/>
  <c r="J788" i="37"/>
  <c r="I788" i="37"/>
  <c r="H788" i="37"/>
  <c r="G788" i="37"/>
  <c r="F788" i="37"/>
  <c r="E788" i="37"/>
  <c r="D788" i="37"/>
  <c r="C788" i="37"/>
  <c r="B788" i="37"/>
  <c r="R787" i="37"/>
  <c r="Q787" i="37"/>
  <c r="P787" i="37"/>
  <c r="O787" i="37"/>
  <c r="N787" i="37"/>
  <c r="M787" i="37"/>
  <c r="L787" i="37"/>
  <c r="K787" i="37"/>
  <c r="J787" i="37"/>
  <c r="I787" i="37"/>
  <c r="H787" i="37"/>
  <c r="G787" i="37"/>
  <c r="F787" i="37"/>
  <c r="E787" i="37"/>
  <c r="D787" i="37"/>
  <c r="C787" i="37"/>
  <c r="B787" i="37"/>
  <c r="R786" i="37"/>
  <c r="Q786" i="37"/>
  <c r="P786" i="37"/>
  <c r="O786" i="37"/>
  <c r="N786" i="37"/>
  <c r="M786" i="37"/>
  <c r="L786" i="37"/>
  <c r="K786" i="37"/>
  <c r="J786" i="37"/>
  <c r="I786" i="37"/>
  <c r="H786" i="37"/>
  <c r="G786" i="37"/>
  <c r="F786" i="37"/>
  <c r="E786" i="37"/>
  <c r="D786" i="37"/>
  <c r="C786" i="37"/>
  <c r="B786" i="37"/>
  <c r="R785" i="37"/>
  <c r="Q785" i="37"/>
  <c r="P785" i="37"/>
  <c r="O785" i="37"/>
  <c r="N785" i="37"/>
  <c r="M785" i="37"/>
  <c r="L785" i="37"/>
  <c r="K785" i="37"/>
  <c r="J785" i="37"/>
  <c r="I785" i="37"/>
  <c r="H785" i="37"/>
  <c r="G785" i="37"/>
  <c r="F785" i="37"/>
  <c r="E785" i="37"/>
  <c r="D785" i="37"/>
  <c r="C785" i="37"/>
  <c r="B785" i="37"/>
  <c r="R784" i="37"/>
  <c r="Q784" i="37"/>
  <c r="P784" i="37"/>
  <c r="O784" i="37"/>
  <c r="N784" i="37"/>
  <c r="M784" i="37"/>
  <c r="L784" i="37"/>
  <c r="K784" i="37"/>
  <c r="J784" i="37"/>
  <c r="I784" i="37"/>
  <c r="H784" i="37"/>
  <c r="G784" i="37"/>
  <c r="F784" i="37"/>
  <c r="E784" i="37"/>
  <c r="D784" i="37"/>
  <c r="C784" i="37"/>
  <c r="B784" i="37"/>
  <c r="R783" i="37"/>
  <c r="Q783" i="37"/>
  <c r="P783" i="37"/>
  <c r="O783" i="37"/>
  <c r="N783" i="37"/>
  <c r="M783" i="37"/>
  <c r="L783" i="37"/>
  <c r="K783" i="37"/>
  <c r="J783" i="37"/>
  <c r="I783" i="37"/>
  <c r="H783" i="37"/>
  <c r="G783" i="37"/>
  <c r="F783" i="37"/>
  <c r="E783" i="37"/>
  <c r="D783" i="37"/>
  <c r="C783" i="37"/>
  <c r="B783" i="37"/>
  <c r="R782" i="37"/>
  <c r="Q782" i="37"/>
  <c r="P782" i="37"/>
  <c r="O782" i="37"/>
  <c r="N782" i="37"/>
  <c r="M782" i="37"/>
  <c r="L782" i="37"/>
  <c r="K782" i="37"/>
  <c r="J782" i="37"/>
  <c r="I782" i="37"/>
  <c r="H782" i="37"/>
  <c r="G782" i="37"/>
  <c r="F782" i="37"/>
  <c r="E782" i="37"/>
  <c r="D782" i="37"/>
  <c r="C782" i="37"/>
  <c r="B782" i="37"/>
  <c r="R781" i="37"/>
  <c r="Q781" i="37"/>
  <c r="P781" i="37"/>
  <c r="O781" i="37"/>
  <c r="N781" i="37"/>
  <c r="M781" i="37"/>
  <c r="L781" i="37"/>
  <c r="K781" i="37"/>
  <c r="J781" i="37"/>
  <c r="I781" i="37"/>
  <c r="H781" i="37"/>
  <c r="G781" i="37"/>
  <c r="F781" i="37"/>
  <c r="E781" i="37"/>
  <c r="D781" i="37"/>
  <c r="C781" i="37"/>
  <c r="B781" i="37"/>
  <c r="R780" i="37"/>
  <c r="Q780" i="37"/>
  <c r="P780" i="37"/>
  <c r="O780" i="37"/>
  <c r="N780" i="37"/>
  <c r="M780" i="37"/>
  <c r="L780" i="37"/>
  <c r="K780" i="37"/>
  <c r="J780" i="37"/>
  <c r="I780" i="37"/>
  <c r="H780" i="37"/>
  <c r="G780" i="37"/>
  <c r="F780" i="37"/>
  <c r="E780" i="37"/>
  <c r="D780" i="37"/>
  <c r="C780" i="37"/>
  <c r="B780" i="37"/>
  <c r="R779" i="37"/>
  <c r="Q779" i="37"/>
  <c r="P779" i="37"/>
  <c r="O779" i="37"/>
  <c r="N779" i="37"/>
  <c r="M779" i="37"/>
  <c r="L779" i="37"/>
  <c r="K779" i="37"/>
  <c r="J779" i="37"/>
  <c r="I779" i="37"/>
  <c r="H779" i="37"/>
  <c r="G779" i="37"/>
  <c r="F779" i="37"/>
  <c r="E779" i="37"/>
  <c r="D779" i="37"/>
  <c r="C779" i="37"/>
  <c r="B779" i="37"/>
  <c r="R778" i="37"/>
  <c r="Q778" i="37"/>
  <c r="P778" i="37"/>
  <c r="O778" i="37"/>
  <c r="N778" i="37"/>
  <c r="M778" i="37"/>
  <c r="L778" i="37"/>
  <c r="K778" i="37"/>
  <c r="J778" i="37"/>
  <c r="I778" i="37"/>
  <c r="H778" i="37"/>
  <c r="G778" i="37"/>
  <c r="F778" i="37"/>
  <c r="E778" i="37"/>
  <c r="D778" i="37"/>
  <c r="C778" i="37"/>
  <c r="B778" i="37"/>
  <c r="R777" i="37"/>
  <c r="Q777" i="37"/>
  <c r="P777" i="37"/>
  <c r="O777" i="37"/>
  <c r="N777" i="37"/>
  <c r="M777" i="37"/>
  <c r="L777" i="37"/>
  <c r="K777" i="37"/>
  <c r="J777" i="37"/>
  <c r="I777" i="37"/>
  <c r="H777" i="37"/>
  <c r="G777" i="37"/>
  <c r="F777" i="37"/>
  <c r="E777" i="37"/>
  <c r="D777" i="37"/>
  <c r="C777" i="37"/>
  <c r="B777" i="37"/>
  <c r="R776" i="37"/>
  <c r="Q776" i="37"/>
  <c r="P776" i="37"/>
  <c r="O776" i="37"/>
  <c r="N776" i="37"/>
  <c r="M776" i="37"/>
  <c r="L776" i="37"/>
  <c r="K776" i="37"/>
  <c r="J776" i="37"/>
  <c r="I776" i="37"/>
  <c r="H776" i="37"/>
  <c r="G776" i="37"/>
  <c r="F776" i="37"/>
  <c r="E776" i="37"/>
  <c r="D776" i="37"/>
  <c r="C776" i="37"/>
  <c r="B776" i="37"/>
  <c r="R775" i="37"/>
  <c r="Q775" i="37"/>
  <c r="P775" i="37"/>
  <c r="O775" i="37"/>
  <c r="N775" i="37"/>
  <c r="M775" i="37"/>
  <c r="L775" i="37"/>
  <c r="K775" i="37"/>
  <c r="J775" i="37"/>
  <c r="I775" i="37"/>
  <c r="H775" i="37"/>
  <c r="G775" i="37"/>
  <c r="F775" i="37"/>
  <c r="E775" i="37"/>
  <c r="D775" i="37"/>
  <c r="C775" i="37"/>
  <c r="B775" i="37"/>
  <c r="R774" i="37"/>
  <c r="Q774" i="37"/>
  <c r="P774" i="37"/>
  <c r="O774" i="37"/>
  <c r="N774" i="37"/>
  <c r="M774" i="37"/>
  <c r="L774" i="37"/>
  <c r="K774" i="37"/>
  <c r="J774" i="37"/>
  <c r="I774" i="37"/>
  <c r="H774" i="37"/>
  <c r="G774" i="37"/>
  <c r="F774" i="37"/>
  <c r="E774" i="37"/>
  <c r="D774" i="37"/>
  <c r="C774" i="37"/>
  <c r="B774" i="37"/>
  <c r="R773" i="37"/>
  <c r="Q773" i="37"/>
  <c r="P773" i="37"/>
  <c r="O773" i="37"/>
  <c r="N773" i="37"/>
  <c r="M773" i="37"/>
  <c r="L773" i="37"/>
  <c r="K773" i="37"/>
  <c r="J773" i="37"/>
  <c r="I773" i="37"/>
  <c r="H773" i="37"/>
  <c r="G773" i="37"/>
  <c r="F773" i="37"/>
  <c r="E773" i="37"/>
  <c r="D773" i="37"/>
  <c r="C773" i="37"/>
  <c r="B773" i="37"/>
  <c r="R772" i="37"/>
  <c r="Q772" i="37"/>
  <c r="P772" i="37"/>
  <c r="O772" i="37"/>
  <c r="N772" i="37"/>
  <c r="M772" i="37"/>
  <c r="L772" i="37"/>
  <c r="K772" i="37"/>
  <c r="J772" i="37"/>
  <c r="I772" i="37"/>
  <c r="H772" i="37"/>
  <c r="G772" i="37"/>
  <c r="F772" i="37"/>
  <c r="E772" i="37"/>
  <c r="D772" i="37"/>
  <c r="C772" i="37"/>
  <c r="B772" i="37"/>
  <c r="R771" i="37"/>
  <c r="Q771" i="37"/>
  <c r="P771" i="37"/>
  <c r="O771" i="37"/>
  <c r="N771" i="37"/>
  <c r="M771" i="37"/>
  <c r="L771" i="37"/>
  <c r="K771" i="37"/>
  <c r="J771" i="37"/>
  <c r="I771" i="37"/>
  <c r="H771" i="37"/>
  <c r="G771" i="37"/>
  <c r="F771" i="37"/>
  <c r="E771" i="37"/>
  <c r="D771" i="37"/>
  <c r="C771" i="37"/>
  <c r="B771" i="37"/>
  <c r="R770" i="37"/>
  <c r="Q770" i="37"/>
  <c r="P770" i="37"/>
  <c r="O770" i="37"/>
  <c r="N770" i="37"/>
  <c r="M770" i="37"/>
  <c r="L770" i="37"/>
  <c r="K770" i="37"/>
  <c r="J770" i="37"/>
  <c r="I770" i="37"/>
  <c r="H770" i="37"/>
  <c r="G770" i="37"/>
  <c r="F770" i="37"/>
  <c r="E770" i="37"/>
  <c r="D770" i="37"/>
  <c r="C770" i="37"/>
  <c r="B770" i="37"/>
  <c r="R769" i="37"/>
  <c r="Q769" i="37"/>
  <c r="P769" i="37"/>
  <c r="O769" i="37"/>
  <c r="N769" i="37"/>
  <c r="M769" i="37"/>
  <c r="L769" i="37"/>
  <c r="K769" i="37"/>
  <c r="J769" i="37"/>
  <c r="I769" i="37"/>
  <c r="H769" i="37"/>
  <c r="G769" i="37"/>
  <c r="F769" i="37"/>
  <c r="E769" i="37"/>
  <c r="D769" i="37"/>
  <c r="C769" i="37"/>
  <c r="B769" i="37"/>
  <c r="R768" i="37"/>
  <c r="Q768" i="37"/>
  <c r="P768" i="37"/>
  <c r="O768" i="37"/>
  <c r="N768" i="37"/>
  <c r="M768" i="37"/>
  <c r="L768" i="37"/>
  <c r="K768" i="37"/>
  <c r="J768" i="37"/>
  <c r="I768" i="37"/>
  <c r="H768" i="37"/>
  <c r="G768" i="37"/>
  <c r="F768" i="37"/>
  <c r="E768" i="37"/>
  <c r="D768" i="37"/>
  <c r="C768" i="37"/>
  <c r="B768" i="37"/>
  <c r="R767" i="37"/>
  <c r="Q767" i="37"/>
  <c r="P767" i="37"/>
  <c r="O767" i="37"/>
  <c r="N767" i="37"/>
  <c r="M767" i="37"/>
  <c r="L767" i="37"/>
  <c r="K767" i="37"/>
  <c r="J767" i="37"/>
  <c r="I767" i="37"/>
  <c r="H767" i="37"/>
  <c r="G767" i="37"/>
  <c r="F767" i="37"/>
  <c r="E767" i="37"/>
  <c r="D767" i="37"/>
  <c r="C767" i="37"/>
  <c r="B767" i="37"/>
  <c r="R766" i="37"/>
  <c r="Q766" i="37"/>
  <c r="P766" i="37"/>
  <c r="O766" i="37"/>
  <c r="N766" i="37"/>
  <c r="M766" i="37"/>
  <c r="L766" i="37"/>
  <c r="K766" i="37"/>
  <c r="J766" i="37"/>
  <c r="I766" i="37"/>
  <c r="H766" i="37"/>
  <c r="G766" i="37"/>
  <c r="F766" i="37"/>
  <c r="E766" i="37"/>
  <c r="D766" i="37"/>
  <c r="C766" i="37"/>
  <c r="B766" i="37"/>
  <c r="R765" i="37"/>
  <c r="Q765" i="37"/>
  <c r="P765" i="37"/>
  <c r="O765" i="37"/>
  <c r="N765" i="37"/>
  <c r="M765" i="37"/>
  <c r="L765" i="37"/>
  <c r="K765" i="37"/>
  <c r="J765" i="37"/>
  <c r="I765" i="37"/>
  <c r="H765" i="37"/>
  <c r="G765" i="37"/>
  <c r="F765" i="37"/>
  <c r="E765" i="37"/>
  <c r="D765" i="37"/>
  <c r="C765" i="37"/>
  <c r="B765" i="37"/>
  <c r="R764" i="37"/>
  <c r="Q764" i="37"/>
  <c r="P764" i="37"/>
  <c r="O764" i="37"/>
  <c r="N764" i="37"/>
  <c r="M764" i="37"/>
  <c r="L764" i="37"/>
  <c r="K764" i="37"/>
  <c r="J764" i="37"/>
  <c r="I764" i="37"/>
  <c r="H764" i="37"/>
  <c r="G764" i="37"/>
  <c r="F764" i="37"/>
  <c r="E764" i="37"/>
  <c r="D764" i="37"/>
  <c r="C764" i="37"/>
  <c r="B764" i="37"/>
  <c r="R763" i="37"/>
  <c r="Q763" i="37"/>
  <c r="P763" i="37"/>
  <c r="O763" i="37"/>
  <c r="N763" i="37"/>
  <c r="M763" i="37"/>
  <c r="L763" i="37"/>
  <c r="K763" i="37"/>
  <c r="J763" i="37"/>
  <c r="I763" i="37"/>
  <c r="H763" i="37"/>
  <c r="G763" i="37"/>
  <c r="F763" i="37"/>
  <c r="E763" i="37"/>
  <c r="D763" i="37"/>
  <c r="C763" i="37"/>
  <c r="B763" i="37"/>
  <c r="R762" i="37"/>
  <c r="Q762" i="37"/>
  <c r="P762" i="37"/>
  <c r="O762" i="37"/>
  <c r="N762" i="37"/>
  <c r="M762" i="37"/>
  <c r="L762" i="37"/>
  <c r="K762" i="37"/>
  <c r="J762" i="37"/>
  <c r="I762" i="37"/>
  <c r="H762" i="37"/>
  <c r="G762" i="37"/>
  <c r="F762" i="37"/>
  <c r="E762" i="37"/>
  <c r="D762" i="37"/>
  <c r="C762" i="37"/>
  <c r="B762" i="37"/>
  <c r="R761" i="37"/>
  <c r="Q761" i="37"/>
  <c r="P761" i="37"/>
  <c r="O761" i="37"/>
  <c r="N761" i="37"/>
  <c r="M761" i="37"/>
  <c r="L761" i="37"/>
  <c r="K761" i="37"/>
  <c r="J761" i="37"/>
  <c r="I761" i="37"/>
  <c r="H761" i="37"/>
  <c r="G761" i="37"/>
  <c r="F761" i="37"/>
  <c r="E761" i="37"/>
  <c r="D761" i="37"/>
  <c r="C761" i="37"/>
  <c r="B761" i="37"/>
  <c r="R760" i="37"/>
  <c r="Q760" i="37"/>
  <c r="P760" i="37"/>
  <c r="O760" i="37"/>
  <c r="N760" i="37"/>
  <c r="M760" i="37"/>
  <c r="L760" i="37"/>
  <c r="K760" i="37"/>
  <c r="J760" i="37"/>
  <c r="I760" i="37"/>
  <c r="H760" i="37"/>
  <c r="G760" i="37"/>
  <c r="F760" i="37"/>
  <c r="E760" i="37"/>
  <c r="D760" i="37"/>
  <c r="C760" i="37"/>
  <c r="B760" i="37"/>
  <c r="R759" i="37"/>
  <c r="Q759" i="37"/>
  <c r="P759" i="37"/>
  <c r="O759" i="37"/>
  <c r="N759" i="37"/>
  <c r="M759" i="37"/>
  <c r="L759" i="37"/>
  <c r="K759" i="37"/>
  <c r="J759" i="37"/>
  <c r="I759" i="37"/>
  <c r="H759" i="37"/>
  <c r="G759" i="37"/>
  <c r="F759" i="37"/>
  <c r="E759" i="37"/>
  <c r="D759" i="37"/>
  <c r="C759" i="37"/>
  <c r="B759" i="37"/>
  <c r="R758" i="37"/>
  <c r="Q758" i="37"/>
  <c r="P758" i="37"/>
  <c r="O758" i="37"/>
  <c r="N758" i="37"/>
  <c r="M758" i="37"/>
  <c r="L758" i="37"/>
  <c r="K758" i="37"/>
  <c r="J758" i="37"/>
  <c r="I758" i="37"/>
  <c r="H758" i="37"/>
  <c r="G758" i="37"/>
  <c r="F758" i="37"/>
  <c r="E758" i="37"/>
  <c r="D758" i="37"/>
  <c r="C758" i="37"/>
  <c r="B758" i="37"/>
  <c r="R757" i="37"/>
  <c r="Q757" i="37"/>
  <c r="P757" i="37"/>
  <c r="O757" i="37"/>
  <c r="N757" i="37"/>
  <c r="M757" i="37"/>
  <c r="L757" i="37"/>
  <c r="K757" i="37"/>
  <c r="J757" i="37"/>
  <c r="I757" i="37"/>
  <c r="H757" i="37"/>
  <c r="G757" i="37"/>
  <c r="F757" i="37"/>
  <c r="E757" i="37"/>
  <c r="D757" i="37"/>
  <c r="C757" i="37"/>
  <c r="B757" i="37"/>
  <c r="R756" i="37"/>
  <c r="Q756" i="37"/>
  <c r="P756" i="37"/>
  <c r="O756" i="37"/>
  <c r="N756" i="37"/>
  <c r="M756" i="37"/>
  <c r="L756" i="37"/>
  <c r="K756" i="37"/>
  <c r="J756" i="37"/>
  <c r="I756" i="37"/>
  <c r="H756" i="37"/>
  <c r="G756" i="37"/>
  <c r="F756" i="37"/>
  <c r="E756" i="37"/>
  <c r="D756" i="37"/>
  <c r="C756" i="37"/>
  <c r="B756" i="37"/>
  <c r="R755" i="37"/>
  <c r="Q755" i="37"/>
  <c r="P755" i="37"/>
  <c r="O755" i="37"/>
  <c r="N755" i="37"/>
  <c r="M755" i="37"/>
  <c r="L755" i="37"/>
  <c r="K755" i="37"/>
  <c r="J755" i="37"/>
  <c r="I755" i="37"/>
  <c r="H755" i="37"/>
  <c r="G755" i="37"/>
  <c r="F755" i="37"/>
  <c r="E755" i="37"/>
  <c r="D755" i="37"/>
  <c r="C755" i="37"/>
  <c r="B755" i="37"/>
  <c r="R754" i="37"/>
  <c r="Q754" i="37"/>
  <c r="P754" i="37"/>
  <c r="O754" i="37"/>
  <c r="N754" i="37"/>
  <c r="M754" i="37"/>
  <c r="L754" i="37"/>
  <c r="K754" i="37"/>
  <c r="J754" i="37"/>
  <c r="I754" i="37"/>
  <c r="H754" i="37"/>
  <c r="G754" i="37"/>
  <c r="F754" i="37"/>
  <c r="E754" i="37"/>
  <c r="D754" i="37"/>
  <c r="C754" i="37"/>
  <c r="B754" i="37"/>
  <c r="R753" i="37"/>
  <c r="Q753" i="37"/>
  <c r="P753" i="37"/>
  <c r="O753" i="37"/>
  <c r="N753" i="37"/>
  <c r="M753" i="37"/>
  <c r="L753" i="37"/>
  <c r="K753" i="37"/>
  <c r="J753" i="37"/>
  <c r="I753" i="37"/>
  <c r="H753" i="37"/>
  <c r="G753" i="37"/>
  <c r="F753" i="37"/>
  <c r="E753" i="37"/>
  <c r="D753" i="37"/>
  <c r="C753" i="37"/>
  <c r="B753" i="37"/>
  <c r="R752" i="37"/>
  <c r="Q752" i="37"/>
  <c r="P752" i="37"/>
  <c r="O752" i="37"/>
  <c r="N752" i="37"/>
  <c r="M752" i="37"/>
  <c r="L752" i="37"/>
  <c r="K752" i="37"/>
  <c r="J752" i="37"/>
  <c r="I752" i="37"/>
  <c r="H752" i="37"/>
  <c r="G752" i="37"/>
  <c r="F752" i="37"/>
  <c r="E752" i="37"/>
  <c r="D752" i="37"/>
  <c r="C752" i="37"/>
  <c r="B752" i="37"/>
  <c r="R751" i="37"/>
  <c r="Q751" i="37"/>
  <c r="P751" i="37"/>
  <c r="O751" i="37"/>
  <c r="N751" i="37"/>
  <c r="M751" i="37"/>
  <c r="L751" i="37"/>
  <c r="K751" i="37"/>
  <c r="J751" i="37"/>
  <c r="I751" i="37"/>
  <c r="H751" i="37"/>
  <c r="G751" i="37"/>
  <c r="F751" i="37"/>
  <c r="E751" i="37"/>
  <c r="D751" i="37"/>
  <c r="C751" i="37"/>
  <c r="B751" i="37"/>
  <c r="R750" i="37"/>
  <c r="Q750" i="37"/>
  <c r="P750" i="37"/>
  <c r="O750" i="37"/>
  <c r="N750" i="37"/>
  <c r="M750" i="37"/>
  <c r="L750" i="37"/>
  <c r="K750" i="37"/>
  <c r="J750" i="37"/>
  <c r="I750" i="37"/>
  <c r="H750" i="37"/>
  <c r="G750" i="37"/>
  <c r="F750" i="37"/>
  <c r="E750" i="37"/>
  <c r="D750" i="37"/>
  <c r="C750" i="37"/>
  <c r="B750" i="37"/>
  <c r="R749" i="37"/>
  <c r="Q749" i="37"/>
  <c r="P749" i="37"/>
  <c r="O749" i="37"/>
  <c r="N749" i="37"/>
  <c r="M749" i="37"/>
  <c r="L749" i="37"/>
  <c r="K749" i="37"/>
  <c r="J749" i="37"/>
  <c r="I749" i="37"/>
  <c r="H749" i="37"/>
  <c r="G749" i="37"/>
  <c r="F749" i="37"/>
  <c r="E749" i="37"/>
  <c r="D749" i="37"/>
  <c r="C749" i="37"/>
  <c r="B749" i="37"/>
  <c r="R748" i="37"/>
  <c r="Q748" i="37"/>
  <c r="P748" i="37"/>
  <c r="O748" i="37"/>
  <c r="N748" i="37"/>
  <c r="M748" i="37"/>
  <c r="L748" i="37"/>
  <c r="K748" i="37"/>
  <c r="J748" i="37"/>
  <c r="I748" i="37"/>
  <c r="H748" i="37"/>
  <c r="G748" i="37"/>
  <c r="F748" i="37"/>
  <c r="E748" i="37"/>
  <c r="D748" i="37"/>
  <c r="C748" i="37"/>
  <c r="B748" i="37"/>
  <c r="R747" i="37"/>
  <c r="Q747" i="37"/>
  <c r="P747" i="37"/>
  <c r="O747" i="37"/>
  <c r="N747" i="37"/>
  <c r="M747" i="37"/>
  <c r="L747" i="37"/>
  <c r="K747" i="37"/>
  <c r="J747" i="37"/>
  <c r="I747" i="37"/>
  <c r="H747" i="37"/>
  <c r="G747" i="37"/>
  <c r="F747" i="37"/>
  <c r="E747" i="37"/>
  <c r="D747" i="37"/>
  <c r="C747" i="37"/>
  <c r="B747" i="37"/>
  <c r="R746" i="37"/>
  <c r="Q746" i="37"/>
  <c r="P746" i="37"/>
  <c r="O746" i="37"/>
  <c r="N746" i="37"/>
  <c r="M746" i="37"/>
  <c r="L746" i="37"/>
  <c r="K746" i="37"/>
  <c r="J746" i="37"/>
  <c r="I746" i="37"/>
  <c r="H746" i="37"/>
  <c r="G746" i="37"/>
  <c r="F746" i="37"/>
  <c r="E746" i="37"/>
  <c r="D746" i="37"/>
  <c r="C746" i="37"/>
  <c r="B746" i="37"/>
  <c r="R745" i="37"/>
  <c r="Q745" i="37"/>
  <c r="P745" i="37"/>
  <c r="O745" i="37"/>
  <c r="N745" i="37"/>
  <c r="M745" i="37"/>
  <c r="L745" i="37"/>
  <c r="K745" i="37"/>
  <c r="J745" i="37"/>
  <c r="I745" i="37"/>
  <c r="H745" i="37"/>
  <c r="G745" i="37"/>
  <c r="F745" i="37"/>
  <c r="E745" i="37"/>
  <c r="D745" i="37"/>
  <c r="C745" i="37"/>
  <c r="B745" i="37"/>
  <c r="R744" i="37"/>
  <c r="Q744" i="37"/>
  <c r="P744" i="37"/>
  <c r="O744" i="37"/>
  <c r="N744" i="37"/>
  <c r="M744" i="37"/>
  <c r="L744" i="37"/>
  <c r="K744" i="37"/>
  <c r="J744" i="37"/>
  <c r="I744" i="37"/>
  <c r="H744" i="37"/>
  <c r="G744" i="37"/>
  <c r="F744" i="37"/>
  <c r="E744" i="37"/>
  <c r="D744" i="37"/>
  <c r="C744" i="37"/>
  <c r="B744" i="37"/>
  <c r="R743" i="37"/>
  <c r="Q743" i="37"/>
  <c r="P743" i="37"/>
  <c r="O743" i="37"/>
  <c r="N743" i="37"/>
  <c r="M743" i="37"/>
  <c r="L743" i="37"/>
  <c r="K743" i="37"/>
  <c r="J743" i="37"/>
  <c r="I743" i="37"/>
  <c r="H743" i="37"/>
  <c r="G743" i="37"/>
  <c r="F743" i="37"/>
  <c r="E743" i="37"/>
  <c r="D743" i="37"/>
  <c r="C743" i="37"/>
  <c r="B743" i="37"/>
  <c r="R742" i="37"/>
  <c r="Q742" i="37"/>
  <c r="P742" i="37"/>
  <c r="O742" i="37"/>
  <c r="N742" i="37"/>
  <c r="M742" i="37"/>
  <c r="L742" i="37"/>
  <c r="K742" i="37"/>
  <c r="J742" i="37"/>
  <c r="I742" i="37"/>
  <c r="H742" i="37"/>
  <c r="G742" i="37"/>
  <c r="F742" i="37"/>
  <c r="E742" i="37"/>
  <c r="D742" i="37"/>
  <c r="C742" i="37"/>
  <c r="B742" i="37"/>
  <c r="R741" i="37"/>
  <c r="Q741" i="37"/>
  <c r="P741" i="37"/>
  <c r="O741" i="37"/>
  <c r="N741" i="37"/>
  <c r="M741" i="37"/>
  <c r="L741" i="37"/>
  <c r="K741" i="37"/>
  <c r="J741" i="37"/>
  <c r="I741" i="37"/>
  <c r="H741" i="37"/>
  <c r="G741" i="37"/>
  <c r="F741" i="37"/>
  <c r="E741" i="37"/>
  <c r="D741" i="37"/>
  <c r="C741" i="37"/>
  <c r="B741" i="37"/>
  <c r="R740" i="37"/>
  <c r="Q740" i="37"/>
  <c r="P740" i="37"/>
  <c r="O740" i="37"/>
  <c r="N740" i="37"/>
  <c r="M740" i="37"/>
  <c r="L740" i="37"/>
  <c r="K740" i="37"/>
  <c r="J740" i="37"/>
  <c r="I740" i="37"/>
  <c r="H740" i="37"/>
  <c r="G740" i="37"/>
  <c r="F740" i="37"/>
  <c r="E740" i="37"/>
  <c r="D740" i="37"/>
  <c r="C740" i="37"/>
  <c r="B740" i="37"/>
  <c r="R739" i="37"/>
  <c r="Q739" i="37"/>
  <c r="P739" i="37"/>
  <c r="O739" i="37"/>
  <c r="N739" i="37"/>
  <c r="M739" i="37"/>
  <c r="L739" i="37"/>
  <c r="K739" i="37"/>
  <c r="J739" i="37"/>
  <c r="I739" i="37"/>
  <c r="H739" i="37"/>
  <c r="G739" i="37"/>
  <c r="F739" i="37"/>
  <c r="E739" i="37"/>
  <c r="D739" i="37"/>
  <c r="C739" i="37"/>
  <c r="B739" i="37"/>
  <c r="R738" i="37"/>
  <c r="Q738" i="37"/>
  <c r="P738" i="37"/>
  <c r="O738" i="37"/>
  <c r="N738" i="37"/>
  <c r="M738" i="37"/>
  <c r="L738" i="37"/>
  <c r="K738" i="37"/>
  <c r="J738" i="37"/>
  <c r="I738" i="37"/>
  <c r="H738" i="37"/>
  <c r="G738" i="37"/>
  <c r="F738" i="37"/>
  <c r="E738" i="37"/>
  <c r="D738" i="37"/>
  <c r="C738" i="37"/>
  <c r="B738" i="37"/>
  <c r="R737" i="37"/>
  <c r="Q737" i="37"/>
  <c r="P737" i="37"/>
  <c r="O737" i="37"/>
  <c r="N737" i="37"/>
  <c r="M737" i="37"/>
  <c r="L737" i="37"/>
  <c r="K737" i="37"/>
  <c r="J737" i="37"/>
  <c r="I737" i="37"/>
  <c r="H737" i="37"/>
  <c r="G737" i="37"/>
  <c r="F737" i="37"/>
  <c r="E737" i="37"/>
  <c r="D737" i="37"/>
  <c r="C737" i="37"/>
  <c r="B737" i="37"/>
  <c r="R736" i="37"/>
  <c r="Q736" i="37"/>
  <c r="P736" i="37"/>
  <c r="O736" i="37"/>
  <c r="N736" i="37"/>
  <c r="M736" i="37"/>
  <c r="L736" i="37"/>
  <c r="K736" i="37"/>
  <c r="J736" i="37"/>
  <c r="I736" i="37"/>
  <c r="H736" i="37"/>
  <c r="G736" i="37"/>
  <c r="F736" i="37"/>
  <c r="E736" i="37"/>
  <c r="D736" i="37"/>
  <c r="C736" i="37"/>
  <c r="B736" i="37"/>
  <c r="R735" i="37"/>
  <c r="Q735" i="37"/>
  <c r="P735" i="37"/>
  <c r="O735" i="37"/>
  <c r="N735" i="37"/>
  <c r="M735" i="37"/>
  <c r="L735" i="37"/>
  <c r="K735" i="37"/>
  <c r="J735" i="37"/>
  <c r="I735" i="37"/>
  <c r="H735" i="37"/>
  <c r="G735" i="37"/>
  <c r="F735" i="37"/>
  <c r="E735" i="37"/>
  <c r="D735" i="37"/>
  <c r="C735" i="37"/>
  <c r="B735" i="37"/>
  <c r="R734" i="37"/>
  <c r="Q734" i="37"/>
  <c r="P734" i="37"/>
  <c r="O734" i="37"/>
  <c r="N734" i="37"/>
  <c r="M734" i="37"/>
  <c r="L734" i="37"/>
  <c r="K734" i="37"/>
  <c r="J734" i="37"/>
  <c r="I734" i="37"/>
  <c r="H734" i="37"/>
  <c r="G734" i="37"/>
  <c r="F734" i="37"/>
  <c r="E734" i="37"/>
  <c r="D734" i="37"/>
  <c r="C734" i="37"/>
  <c r="B734" i="37"/>
  <c r="R733" i="37"/>
  <c r="Q733" i="37"/>
  <c r="P733" i="37"/>
  <c r="O733" i="37"/>
  <c r="N733" i="37"/>
  <c r="M733" i="37"/>
  <c r="L733" i="37"/>
  <c r="K733" i="37"/>
  <c r="J733" i="37"/>
  <c r="I733" i="37"/>
  <c r="H733" i="37"/>
  <c r="G733" i="37"/>
  <c r="F733" i="37"/>
  <c r="E733" i="37"/>
  <c r="D733" i="37"/>
  <c r="C733" i="37"/>
  <c r="B733" i="37"/>
  <c r="R732" i="37"/>
  <c r="Q732" i="37"/>
  <c r="P732" i="37"/>
  <c r="O732" i="37"/>
  <c r="N732" i="37"/>
  <c r="M732" i="37"/>
  <c r="L732" i="37"/>
  <c r="K732" i="37"/>
  <c r="J732" i="37"/>
  <c r="I732" i="37"/>
  <c r="H732" i="37"/>
  <c r="G732" i="37"/>
  <c r="F732" i="37"/>
  <c r="E732" i="37"/>
  <c r="D732" i="37"/>
  <c r="C732" i="37"/>
  <c r="B732" i="37"/>
  <c r="R731" i="37"/>
  <c r="Q731" i="37"/>
  <c r="P731" i="37"/>
  <c r="O731" i="37"/>
  <c r="N731" i="37"/>
  <c r="M731" i="37"/>
  <c r="L731" i="37"/>
  <c r="K731" i="37"/>
  <c r="J731" i="37"/>
  <c r="I731" i="37"/>
  <c r="H731" i="37"/>
  <c r="G731" i="37"/>
  <c r="F731" i="37"/>
  <c r="E731" i="37"/>
  <c r="D731" i="37"/>
  <c r="C731" i="37"/>
  <c r="B731" i="37"/>
  <c r="R730" i="37"/>
  <c r="Q730" i="37"/>
  <c r="P730" i="37"/>
  <c r="O730" i="37"/>
  <c r="N730" i="37"/>
  <c r="M730" i="37"/>
  <c r="L730" i="37"/>
  <c r="K730" i="37"/>
  <c r="J730" i="37"/>
  <c r="I730" i="37"/>
  <c r="H730" i="37"/>
  <c r="G730" i="37"/>
  <c r="F730" i="37"/>
  <c r="E730" i="37"/>
  <c r="D730" i="37"/>
  <c r="C730" i="37"/>
  <c r="B730" i="37"/>
  <c r="R729" i="37"/>
  <c r="Q729" i="37"/>
  <c r="P729" i="37"/>
  <c r="O729" i="37"/>
  <c r="N729" i="37"/>
  <c r="M729" i="37"/>
  <c r="L729" i="37"/>
  <c r="K729" i="37"/>
  <c r="J729" i="37"/>
  <c r="I729" i="37"/>
  <c r="H729" i="37"/>
  <c r="G729" i="37"/>
  <c r="F729" i="37"/>
  <c r="E729" i="37"/>
  <c r="D729" i="37"/>
  <c r="C729" i="37"/>
  <c r="B729" i="37"/>
  <c r="R728" i="37"/>
  <c r="Q728" i="37"/>
  <c r="P728" i="37"/>
  <c r="O728" i="37"/>
  <c r="N728" i="37"/>
  <c r="M728" i="37"/>
  <c r="L728" i="37"/>
  <c r="K728" i="37"/>
  <c r="J728" i="37"/>
  <c r="I728" i="37"/>
  <c r="H728" i="37"/>
  <c r="G728" i="37"/>
  <c r="F728" i="37"/>
  <c r="E728" i="37"/>
  <c r="D728" i="37"/>
  <c r="C728" i="37"/>
  <c r="B728" i="37"/>
  <c r="R727" i="37"/>
  <c r="Q727" i="37"/>
  <c r="P727" i="37"/>
  <c r="O727" i="37"/>
  <c r="N727" i="37"/>
  <c r="M727" i="37"/>
  <c r="L727" i="37"/>
  <c r="K727" i="37"/>
  <c r="J727" i="37"/>
  <c r="I727" i="37"/>
  <c r="H727" i="37"/>
  <c r="G727" i="37"/>
  <c r="F727" i="37"/>
  <c r="E727" i="37"/>
  <c r="D727" i="37"/>
  <c r="C727" i="37"/>
  <c r="B727" i="37"/>
  <c r="R726" i="37"/>
  <c r="Q726" i="37"/>
  <c r="P726" i="37"/>
  <c r="O726" i="37"/>
  <c r="N726" i="37"/>
  <c r="M726" i="37"/>
  <c r="L726" i="37"/>
  <c r="K726" i="37"/>
  <c r="J726" i="37"/>
  <c r="I726" i="37"/>
  <c r="H726" i="37"/>
  <c r="G726" i="37"/>
  <c r="F726" i="37"/>
  <c r="E726" i="37"/>
  <c r="D726" i="37"/>
  <c r="C726" i="37"/>
  <c r="B726" i="37"/>
  <c r="R725" i="37"/>
  <c r="Q725" i="37"/>
  <c r="P725" i="37"/>
  <c r="O725" i="37"/>
  <c r="N725" i="37"/>
  <c r="M725" i="37"/>
  <c r="L725" i="37"/>
  <c r="K725" i="37"/>
  <c r="J725" i="37"/>
  <c r="I725" i="37"/>
  <c r="H725" i="37"/>
  <c r="G725" i="37"/>
  <c r="F725" i="37"/>
  <c r="E725" i="37"/>
  <c r="D725" i="37"/>
  <c r="C725" i="37"/>
  <c r="B725" i="37"/>
  <c r="R724" i="37"/>
  <c r="Q724" i="37"/>
  <c r="P724" i="37"/>
  <c r="O724" i="37"/>
  <c r="N724" i="37"/>
  <c r="M724" i="37"/>
  <c r="L724" i="37"/>
  <c r="K724" i="37"/>
  <c r="J724" i="37"/>
  <c r="I724" i="37"/>
  <c r="H724" i="37"/>
  <c r="G724" i="37"/>
  <c r="F724" i="37"/>
  <c r="E724" i="37"/>
  <c r="D724" i="37"/>
  <c r="C724" i="37"/>
  <c r="B724" i="37"/>
  <c r="R723" i="37"/>
  <c r="Q723" i="37"/>
  <c r="P723" i="37"/>
  <c r="O723" i="37"/>
  <c r="N723" i="37"/>
  <c r="M723" i="37"/>
  <c r="L723" i="37"/>
  <c r="K723" i="37"/>
  <c r="J723" i="37"/>
  <c r="I723" i="37"/>
  <c r="H723" i="37"/>
  <c r="G723" i="37"/>
  <c r="F723" i="37"/>
  <c r="E723" i="37"/>
  <c r="D723" i="37"/>
  <c r="C723" i="37"/>
  <c r="B723" i="37"/>
  <c r="R722" i="37"/>
  <c r="Q722" i="37"/>
  <c r="P722" i="37"/>
  <c r="O722" i="37"/>
  <c r="N722" i="37"/>
  <c r="M722" i="37"/>
  <c r="L722" i="37"/>
  <c r="K722" i="37"/>
  <c r="J722" i="37"/>
  <c r="I722" i="37"/>
  <c r="H722" i="37"/>
  <c r="G722" i="37"/>
  <c r="F722" i="37"/>
  <c r="E722" i="37"/>
  <c r="D722" i="37"/>
  <c r="C722" i="37"/>
  <c r="B722" i="37"/>
  <c r="R721" i="37"/>
  <c r="Q721" i="37"/>
  <c r="P721" i="37"/>
  <c r="O721" i="37"/>
  <c r="N721" i="37"/>
  <c r="M721" i="37"/>
  <c r="L721" i="37"/>
  <c r="K721" i="37"/>
  <c r="J721" i="37"/>
  <c r="I721" i="37"/>
  <c r="H721" i="37"/>
  <c r="G721" i="37"/>
  <c r="F721" i="37"/>
  <c r="E721" i="37"/>
  <c r="D721" i="37"/>
  <c r="C721" i="37"/>
  <c r="B721" i="37"/>
  <c r="R720" i="37"/>
  <c r="Q720" i="37"/>
  <c r="P720" i="37"/>
  <c r="O720" i="37"/>
  <c r="N720" i="37"/>
  <c r="M720" i="37"/>
  <c r="L720" i="37"/>
  <c r="K720" i="37"/>
  <c r="J720" i="37"/>
  <c r="I720" i="37"/>
  <c r="H720" i="37"/>
  <c r="G720" i="37"/>
  <c r="F720" i="37"/>
  <c r="E720" i="37"/>
  <c r="D720" i="37"/>
  <c r="C720" i="37"/>
  <c r="B720" i="37"/>
  <c r="R719" i="37"/>
  <c r="Q719" i="37"/>
  <c r="P719" i="37"/>
  <c r="O719" i="37"/>
  <c r="N719" i="37"/>
  <c r="M719" i="37"/>
  <c r="L719" i="37"/>
  <c r="K719" i="37"/>
  <c r="J719" i="37"/>
  <c r="I719" i="37"/>
  <c r="H719" i="37"/>
  <c r="G719" i="37"/>
  <c r="F719" i="37"/>
  <c r="E719" i="37"/>
  <c r="D719" i="37"/>
  <c r="C719" i="37"/>
  <c r="B719" i="37"/>
  <c r="R718" i="37"/>
  <c r="Q718" i="37"/>
  <c r="P718" i="37"/>
  <c r="O718" i="37"/>
  <c r="N718" i="37"/>
  <c r="M718" i="37"/>
  <c r="L718" i="37"/>
  <c r="K718" i="37"/>
  <c r="J718" i="37"/>
  <c r="I718" i="37"/>
  <c r="H718" i="37"/>
  <c r="G718" i="37"/>
  <c r="F718" i="37"/>
  <c r="E718" i="37"/>
  <c r="D718" i="37"/>
  <c r="C718" i="37"/>
  <c r="B718" i="37"/>
  <c r="R717" i="37"/>
  <c r="Q717" i="37"/>
  <c r="P717" i="37"/>
  <c r="O717" i="37"/>
  <c r="N717" i="37"/>
  <c r="M717" i="37"/>
  <c r="L717" i="37"/>
  <c r="K717" i="37"/>
  <c r="J717" i="37"/>
  <c r="I717" i="37"/>
  <c r="H717" i="37"/>
  <c r="G717" i="37"/>
  <c r="F717" i="37"/>
  <c r="E717" i="37"/>
  <c r="D717" i="37"/>
  <c r="C717" i="37"/>
  <c r="B717" i="37"/>
  <c r="R716" i="37"/>
  <c r="Q716" i="37"/>
  <c r="P716" i="37"/>
  <c r="O716" i="37"/>
  <c r="N716" i="37"/>
  <c r="M716" i="37"/>
  <c r="L716" i="37"/>
  <c r="K716" i="37"/>
  <c r="J716" i="37"/>
  <c r="I716" i="37"/>
  <c r="H716" i="37"/>
  <c r="G716" i="37"/>
  <c r="F716" i="37"/>
  <c r="E716" i="37"/>
  <c r="D716" i="37"/>
  <c r="C716" i="37"/>
  <c r="B716" i="37"/>
  <c r="R715" i="37"/>
  <c r="Q715" i="37"/>
  <c r="P715" i="37"/>
  <c r="O715" i="37"/>
  <c r="N715" i="37"/>
  <c r="M715" i="37"/>
  <c r="L715" i="37"/>
  <c r="K715" i="37"/>
  <c r="J715" i="37"/>
  <c r="I715" i="37"/>
  <c r="H715" i="37"/>
  <c r="G715" i="37"/>
  <c r="F715" i="37"/>
  <c r="E715" i="37"/>
  <c r="D715" i="37"/>
  <c r="C715" i="37"/>
  <c r="B715" i="37"/>
  <c r="R714" i="37"/>
  <c r="Q714" i="37"/>
  <c r="P714" i="37"/>
  <c r="O714" i="37"/>
  <c r="N714" i="37"/>
  <c r="M714" i="37"/>
  <c r="L714" i="37"/>
  <c r="K714" i="37"/>
  <c r="J714" i="37"/>
  <c r="I714" i="37"/>
  <c r="H714" i="37"/>
  <c r="G714" i="37"/>
  <c r="F714" i="37"/>
  <c r="E714" i="37"/>
  <c r="D714" i="37"/>
  <c r="C714" i="37"/>
  <c r="B714" i="37"/>
  <c r="R713" i="37"/>
  <c r="Q713" i="37"/>
  <c r="P713" i="37"/>
  <c r="O713" i="37"/>
  <c r="N713" i="37"/>
  <c r="M713" i="37"/>
  <c r="L713" i="37"/>
  <c r="K713" i="37"/>
  <c r="J713" i="37"/>
  <c r="I713" i="37"/>
  <c r="H713" i="37"/>
  <c r="G713" i="37"/>
  <c r="F713" i="37"/>
  <c r="E713" i="37"/>
  <c r="D713" i="37"/>
  <c r="C713" i="37"/>
  <c r="B713" i="37"/>
  <c r="R712" i="37"/>
  <c r="Q712" i="37"/>
  <c r="P712" i="37"/>
  <c r="O712" i="37"/>
  <c r="N712" i="37"/>
  <c r="M712" i="37"/>
  <c r="L712" i="37"/>
  <c r="K712" i="37"/>
  <c r="J712" i="37"/>
  <c r="I712" i="37"/>
  <c r="H712" i="37"/>
  <c r="G712" i="37"/>
  <c r="F712" i="37"/>
  <c r="E712" i="37"/>
  <c r="D712" i="37"/>
  <c r="C712" i="37"/>
  <c r="B712" i="37"/>
  <c r="R711" i="37"/>
  <c r="Q711" i="37"/>
  <c r="P711" i="37"/>
  <c r="O711" i="37"/>
  <c r="N711" i="37"/>
  <c r="M711" i="37"/>
  <c r="L711" i="37"/>
  <c r="K711" i="37"/>
  <c r="J711" i="37"/>
  <c r="I711" i="37"/>
  <c r="H711" i="37"/>
  <c r="G711" i="37"/>
  <c r="F711" i="37"/>
  <c r="E711" i="37"/>
  <c r="D711" i="37"/>
  <c r="C711" i="37"/>
  <c r="B711" i="37"/>
  <c r="R710" i="37"/>
  <c r="Q710" i="37"/>
  <c r="P710" i="37"/>
  <c r="O710" i="37"/>
  <c r="N710" i="37"/>
  <c r="M710" i="37"/>
  <c r="L710" i="37"/>
  <c r="K710" i="37"/>
  <c r="J710" i="37"/>
  <c r="I710" i="37"/>
  <c r="H710" i="37"/>
  <c r="G710" i="37"/>
  <c r="F710" i="37"/>
  <c r="E710" i="37"/>
  <c r="D710" i="37"/>
  <c r="C710" i="37"/>
  <c r="B710" i="37"/>
  <c r="R709" i="37"/>
  <c r="Q709" i="37"/>
  <c r="P709" i="37"/>
  <c r="O709" i="37"/>
  <c r="N709" i="37"/>
  <c r="M709" i="37"/>
  <c r="L709" i="37"/>
  <c r="K709" i="37"/>
  <c r="J709" i="37"/>
  <c r="I709" i="37"/>
  <c r="H709" i="37"/>
  <c r="G709" i="37"/>
  <c r="F709" i="37"/>
  <c r="E709" i="37"/>
  <c r="D709" i="37"/>
  <c r="C709" i="37"/>
  <c r="B709" i="37"/>
  <c r="R708" i="37"/>
  <c r="Q708" i="37"/>
  <c r="P708" i="37"/>
  <c r="O708" i="37"/>
  <c r="N708" i="37"/>
  <c r="M708" i="37"/>
  <c r="L708" i="37"/>
  <c r="K708" i="37"/>
  <c r="J708" i="37"/>
  <c r="I708" i="37"/>
  <c r="H708" i="37"/>
  <c r="G708" i="37"/>
  <c r="F708" i="37"/>
  <c r="E708" i="37"/>
  <c r="D708" i="37"/>
  <c r="C708" i="37"/>
  <c r="B708" i="37"/>
  <c r="R707" i="37"/>
  <c r="Q707" i="37"/>
  <c r="P707" i="37"/>
  <c r="O707" i="37"/>
  <c r="N707" i="37"/>
  <c r="M707" i="37"/>
  <c r="L707" i="37"/>
  <c r="K707" i="37"/>
  <c r="J707" i="37"/>
  <c r="I707" i="37"/>
  <c r="H707" i="37"/>
  <c r="G707" i="37"/>
  <c r="F707" i="37"/>
  <c r="E707" i="37"/>
  <c r="D707" i="37"/>
  <c r="C707" i="37"/>
  <c r="B707" i="37"/>
  <c r="R706" i="37"/>
  <c r="Q706" i="37"/>
  <c r="P706" i="37"/>
  <c r="O706" i="37"/>
  <c r="N706" i="37"/>
  <c r="M706" i="37"/>
  <c r="L706" i="37"/>
  <c r="K706" i="37"/>
  <c r="J706" i="37"/>
  <c r="I706" i="37"/>
  <c r="H706" i="37"/>
  <c r="G706" i="37"/>
  <c r="F706" i="37"/>
  <c r="E706" i="37"/>
  <c r="D706" i="37"/>
  <c r="C706" i="37"/>
  <c r="B706" i="37"/>
  <c r="R705" i="37"/>
  <c r="Q705" i="37"/>
  <c r="P705" i="37"/>
  <c r="O705" i="37"/>
  <c r="N705" i="37"/>
  <c r="M705" i="37"/>
  <c r="L705" i="37"/>
  <c r="K705" i="37"/>
  <c r="J705" i="37"/>
  <c r="I705" i="37"/>
  <c r="H705" i="37"/>
  <c r="G705" i="37"/>
  <c r="F705" i="37"/>
  <c r="E705" i="37"/>
  <c r="D705" i="37"/>
  <c r="C705" i="37"/>
  <c r="B705" i="37"/>
  <c r="R704" i="37"/>
  <c r="Q704" i="37"/>
  <c r="P704" i="37"/>
  <c r="O704" i="37"/>
  <c r="N704" i="37"/>
  <c r="M704" i="37"/>
  <c r="L704" i="37"/>
  <c r="K704" i="37"/>
  <c r="J704" i="37"/>
  <c r="I704" i="37"/>
  <c r="H704" i="37"/>
  <c r="G704" i="37"/>
  <c r="F704" i="37"/>
  <c r="E704" i="37"/>
  <c r="D704" i="37"/>
  <c r="C704" i="37"/>
  <c r="B704" i="37"/>
  <c r="R703" i="37"/>
  <c r="Q703" i="37"/>
  <c r="P703" i="37"/>
  <c r="O703" i="37"/>
  <c r="N703" i="37"/>
  <c r="M703" i="37"/>
  <c r="L703" i="37"/>
  <c r="K703" i="37"/>
  <c r="J703" i="37"/>
  <c r="I703" i="37"/>
  <c r="H703" i="37"/>
  <c r="G703" i="37"/>
  <c r="F703" i="37"/>
  <c r="E703" i="37"/>
  <c r="D703" i="37"/>
  <c r="C703" i="37"/>
  <c r="B703" i="37"/>
  <c r="R702" i="37"/>
  <c r="Q702" i="37"/>
  <c r="P702" i="37"/>
  <c r="O702" i="37"/>
  <c r="N702" i="37"/>
  <c r="M702" i="37"/>
  <c r="L702" i="37"/>
  <c r="K702" i="37"/>
  <c r="J702" i="37"/>
  <c r="I702" i="37"/>
  <c r="H702" i="37"/>
  <c r="G702" i="37"/>
  <c r="F702" i="37"/>
  <c r="E702" i="37"/>
  <c r="D702" i="37"/>
  <c r="C702" i="37"/>
  <c r="B702" i="37"/>
  <c r="R701" i="37"/>
  <c r="Q701" i="37"/>
  <c r="P701" i="37"/>
  <c r="O701" i="37"/>
  <c r="N701" i="37"/>
  <c r="M701" i="37"/>
  <c r="L701" i="37"/>
  <c r="K701" i="37"/>
  <c r="J701" i="37"/>
  <c r="I701" i="37"/>
  <c r="H701" i="37"/>
  <c r="G701" i="37"/>
  <c r="F701" i="37"/>
  <c r="E701" i="37"/>
  <c r="D701" i="37"/>
  <c r="C701" i="37"/>
  <c r="B701" i="37"/>
  <c r="R700" i="37"/>
  <c r="Q700" i="37"/>
  <c r="P700" i="37"/>
  <c r="O700" i="37"/>
  <c r="N700" i="37"/>
  <c r="M700" i="37"/>
  <c r="L700" i="37"/>
  <c r="K700" i="37"/>
  <c r="J700" i="37"/>
  <c r="I700" i="37"/>
  <c r="H700" i="37"/>
  <c r="G700" i="37"/>
  <c r="F700" i="37"/>
  <c r="E700" i="37"/>
  <c r="D700" i="37"/>
  <c r="C700" i="37"/>
  <c r="B700" i="37"/>
  <c r="R699" i="37"/>
  <c r="Q699" i="37"/>
  <c r="P699" i="37"/>
  <c r="O699" i="37"/>
  <c r="N699" i="37"/>
  <c r="M699" i="37"/>
  <c r="L699" i="37"/>
  <c r="K699" i="37"/>
  <c r="J699" i="37"/>
  <c r="I699" i="37"/>
  <c r="H699" i="37"/>
  <c r="G699" i="37"/>
  <c r="F699" i="37"/>
  <c r="E699" i="37"/>
  <c r="D699" i="37"/>
  <c r="C699" i="37"/>
  <c r="B699" i="37"/>
  <c r="R698" i="37"/>
  <c r="Q698" i="37"/>
  <c r="P698" i="37"/>
  <c r="O698" i="37"/>
  <c r="N698" i="37"/>
  <c r="M698" i="37"/>
  <c r="L698" i="37"/>
  <c r="K698" i="37"/>
  <c r="J698" i="37"/>
  <c r="I698" i="37"/>
  <c r="H698" i="37"/>
  <c r="G698" i="37"/>
  <c r="F698" i="37"/>
  <c r="E698" i="37"/>
  <c r="D698" i="37"/>
  <c r="C698" i="37"/>
  <c r="B698" i="37"/>
  <c r="R697" i="37"/>
  <c r="Q697" i="37"/>
  <c r="P697" i="37"/>
  <c r="O697" i="37"/>
  <c r="N697" i="37"/>
  <c r="M697" i="37"/>
  <c r="L697" i="37"/>
  <c r="K697" i="37"/>
  <c r="J697" i="37"/>
  <c r="I697" i="37"/>
  <c r="H697" i="37"/>
  <c r="G697" i="37"/>
  <c r="F697" i="37"/>
  <c r="E697" i="37"/>
  <c r="D697" i="37"/>
  <c r="C697" i="37"/>
  <c r="B697" i="37"/>
  <c r="R696" i="37"/>
  <c r="Q696" i="37"/>
  <c r="P696" i="37"/>
  <c r="O696" i="37"/>
  <c r="N696" i="37"/>
  <c r="M696" i="37"/>
  <c r="L696" i="37"/>
  <c r="K696" i="37"/>
  <c r="J696" i="37"/>
  <c r="I696" i="37"/>
  <c r="H696" i="37"/>
  <c r="G696" i="37"/>
  <c r="F696" i="37"/>
  <c r="E696" i="37"/>
  <c r="D696" i="37"/>
  <c r="C696" i="37"/>
  <c r="B696" i="37"/>
  <c r="R695" i="37"/>
  <c r="Q695" i="37"/>
  <c r="P695" i="37"/>
  <c r="O695" i="37"/>
  <c r="N695" i="37"/>
  <c r="M695" i="37"/>
  <c r="L695" i="37"/>
  <c r="K695" i="37"/>
  <c r="J695" i="37"/>
  <c r="I695" i="37"/>
  <c r="H695" i="37"/>
  <c r="G695" i="37"/>
  <c r="F695" i="37"/>
  <c r="E695" i="37"/>
  <c r="D695" i="37"/>
  <c r="C695" i="37"/>
  <c r="B695" i="37"/>
  <c r="R694" i="37"/>
  <c r="Q694" i="37"/>
  <c r="P694" i="37"/>
  <c r="O694" i="37"/>
  <c r="N694" i="37"/>
  <c r="M694" i="37"/>
  <c r="L694" i="37"/>
  <c r="K694" i="37"/>
  <c r="J694" i="37"/>
  <c r="I694" i="37"/>
  <c r="H694" i="37"/>
  <c r="G694" i="37"/>
  <c r="F694" i="37"/>
  <c r="E694" i="37"/>
  <c r="D694" i="37"/>
  <c r="C694" i="37"/>
  <c r="B694" i="37"/>
  <c r="R693" i="37"/>
  <c r="Q693" i="37"/>
  <c r="P693" i="37"/>
  <c r="O693" i="37"/>
  <c r="N693" i="37"/>
  <c r="M693" i="37"/>
  <c r="L693" i="37"/>
  <c r="K693" i="37"/>
  <c r="J693" i="37"/>
  <c r="I693" i="37"/>
  <c r="H693" i="37"/>
  <c r="G693" i="37"/>
  <c r="F693" i="37"/>
  <c r="E693" i="37"/>
  <c r="D693" i="37"/>
  <c r="C693" i="37"/>
  <c r="B693" i="37"/>
  <c r="R692" i="37"/>
  <c r="Q692" i="37"/>
  <c r="P692" i="37"/>
  <c r="O692" i="37"/>
  <c r="N692" i="37"/>
  <c r="M692" i="37"/>
  <c r="L692" i="37"/>
  <c r="K692" i="37"/>
  <c r="J692" i="37"/>
  <c r="I692" i="37"/>
  <c r="H692" i="37"/>
  <c r="G692" i="37"/>
  <c r="F692" i="37"/>
  <c r="E692" i="37"/>
  <c r="D692" i="37"/>
  <c r="C692" i="37"/>
  <c r="B692" i="37"/>
  <c r="R691" i="37"/>
  <c r="Q691" i="37"/>
  <c r="P691" i="37"/>
  <c r="O691" i="37"/>
  <c r="N691" i="37"/>
  <c r="M691" i="37"/>
  <c r="L691" i="37"/>
  <c r="K691" i="37"/>
  <c r="J691" i="37"/>
  <c r="I691" i="37"/>
  <c r="H691" i="37"/>
  <c r="G691" i="37"/>
  <c r="F691" i="37"/>
  <c r="E691" i="37"/>
  <c r="D691" i="37"/>
  <c r="C691" i="37"/>
  <c r="B691" i="37"/>
  <c r="R690" i="37"/>
  <c r="Q690" i="37"/>
  <c r="P690" i="37"/>
  <c r="O690" i="37"/>
  <c r="N690" i="37"/>
  <c r="M690" i="37"/>
  <c r="L690" i="37"/>
  <c r="K690" i="37"/>
  <c r="J690" i="37"/>
  <c r="I690" i="37"/>
  <c r="H690" i="37"/>
  <c r="G690" i="37"/>
  <c r="F690" i="37"/>
  <c r="E690" i="37"/>
  <c r="D690" i="37"/>
  <c r="C690" i="37"/>
  <c r="B690" i="37"/>
  <c r="R689" i="37"/>
  <c r="Q689" i="37"/>
  <c r="P689" i="37"/>
  <c r="O689" i="37"/>
  <c r="N689" i="37"/>
  <c r="M689" i="37"/>
  <c r="L689" i="37"/>
  <c r="K689" i="37"/>
  <c r="J689" i="37"/>
  <c r="I689" i="37"/>
  <c r="H689" i="37"/>
  <c r="G689" i="37"/>
  <c r="F689" i="37"/>
  <c r="E689" i="37"/>
  <c r="D689" i="37"/>
  <c r="C689" i="37"/>
  <c r="B689" i="37"/>
  <c r="R688" i="37"/>
  <c r="Q688" i="37"/>
  <c r="P688" i="37"/>
  <c r="O688" i="37"/>
  <c r="N688" i="37"/>
  <c r="M688" i="37"/>
  <c r="L688" i="37"/>
  <c r="K688" i="37"/>
  <c r="J688" i="37"/>
  <c r="I688" i="37"/>
  <c r="H688" i="37"/>
  <c r="G688" i="37"/>
  <c r="F688" i="37"/>
  <c r="E688" i="37"/>
  <c r="D688" i="37"/>
  <c r="C688" i="37"/>
  <c r="B688" i="37"/>
  <c r="R687" i="37"/>
  <c r="Q687" i="37"/>
  <c r="P687" i="37"/>
  <c r="O687" i="37"/>
  <c r="N687" i="37"/>
  <c r="M687" i="37"/>
  <c r="L687" i="37"/>
  <c r="K687" i="37"/>
  <c r="J687" i="37"/>
  <c r="I687" i="37"/>
  <c r="H687" i="37"/>
  <c r="G687" i="37"/>
  <c r="F687" i="37"/>
  <c r="E687" i="37"/>
  <c r="D687" i="37"/>
  <c r="C687" i="37"/>
  <c r="B687" i="37"/>
  <c r="R686" i="37"/>
  <c r="Q686" i="37"/>
  <c r="P686" i="37"/>
  <c r="O686" i="37"/>
  <c r="N686" i="37"/>
  <c r="M686" i="37"/>
  <c r="L686" i="37"/>
  <c r="K686" i="37"/>
  <c r="J686" i="37"/>
  <c r="I686" i="37"/>
  <c r="H686" i="37"/>
  <c r="G686" i="37"/>
  <c r="F686" i="37"/>
  <c r="E686" i="37"/>
  <c r="D686" i="37"/>
  <c r="C686" i="37"/>
  <c r="B686" i="37"/>
  <c r="R685" i="37"/>
  <c r="Q685" i="37"/>
  <c r="P685" i="37"/>
  <c r="O685" i="37"/>
  <c r="N685" i="37"/>
  <c r="M685" i="37"/>
  <c r="L685" i="37"/>
  <c r="K685" i="37"/>
  <c r="J685" i="37"/>
  <c r="I685" i="37"/>
  <c r="H685" i="37"/>
  <c r="G685" i="37"/>
  <c r="F685" i="37"/>
  <c r="E685" i="37"/>
  <c r="D685" i="37"/>
  <c r="C685" i="37"/>
  <c r="B685" i="37"/>
  <c r="R684" i="37"/>
  <c r="Q684" i="37"/>
  <c r="P684" i="37"/>
  <c r="O684" i="37"/>
  <c r="N684" i="37"/>
  <c r="M684" i="37"/>
  <c r="L684" i="37"/>
  <c r="K684" i="37"/>
  <c r="J684" i="37"/>
  <c r="I684" i="37"/>
  <c r="H684" i="37"/>
  <c r="G684" i="37"/>
  <c r="F684" i="37"/>
  <c r="E684" i="37"/>
  <c r="D684" i="37"/>
  <c r="C684" i="37"/>
  <c r="B684" i="37"/>
  <c r="R683" i="37"/>
  <c r="Q683" i="37"/>
  <c r="P683" i="37"/>
  <c r="O683" i="37"/>
  <c r="N683" i="37"/>
  <c r="M683" i="37"/>
  <c r="L683" i="37"/>
  <c r="K683" i="37"/>
  <c r="J683" i="37"/>
  <c r="I683" i="37"/>
  <c r="H683" i="37"/>
  <c r="G683" i="37"/>
  <c r="F683" i="37"/>
  <c r="E683" i="37"/>
  <c r="D683" i="37"/>
  <c r="C683" i="37"/>
  <c r="B683" i="37"/>
  <c r="R682" i="37"/>
  <c r="Q682" i="37"/>
  <c r="P682" i="37"/>
  <c r="O682" i="37"/>
  <c r="N682" i="37"/>
  <c r="M682" i="37"/>
  <c r="L682" i="37"/>
  <c r="K682" i="37"/>
  <c r="J682" i="37"/>
  <c r="I682" i="37"/>
  <c r="H682" i="37"/>
  <c r="G682" i="37"/>
  <c r="F682" i="37"/>
  <c r="E682" i="37"/>
  <c r="D682" i="37"/>
  <c r="C682" i="37"/>
  <c r="B682" i="37"/>
  <c r="R681" i="37"/>
  <c r="Q681" i="37"/>
  <c r="P681" i="37"/>
  <c r="O681" i="37"/>
  <c r="N681" i="37"/>
  <c r="M681" i="37"/>
  <c r="L681" i="37"/>
  <c r="K681" i="37"/>
  <c r="J681" i="37"/>
  <c r="I681" i="37"/>
  <c r="H681" i="37"/>
  <c r="G681" i="37"/>
  <c r="F681" i="37"/>
  <c r="E681" i="37"/>
  <c r="D681" i="37"/>
  <c r="C681" i="37"/>
  <c r="B681" i="37"/>
  <c r="R680" i="37"/>
  <c r="Q680" i="37"/>
  <c r="P680" i="37"/>
  <c r="O680" i="37"/>
  <c r="N680" i="37"/>
  <c r="M680" i="37"/>
  <c r="L680" i="37"/>
  <c r="K680" i="37"/>
  <c r="J680" i="37"/>
  <c r="I680" i="37"/>
  <c r="H680" i="37"/>
  <c r="G680" i="37"/>
  <c r="F680" i="37"/>
  <c r="E680" i="37"/>
  <c r="D680" i="37"/>
  <c r="C680" i="37"/>
  <c r="B680" i="37"/>
  <c r="R679" i="37"/>
  <c r="Q679" i="37"/>
  <c r="P679" i="37"/>
  <c r="O679" i="37"/>
  <c r="N679" i="37"/>
  <c r="M679" i="37"/>
  <c r="L679" i="37"/>
  <c r="K679" i="37"/>
  <c r="J679" i="37"/>
  <c r="I679" i="37"/>
  <c r="H679" i="37"/>
  <c r="G679" i="37"/>
  <c r="F679" i="37"/>
  <c r="E679" i="37"/>
  <c r="D679" i="37"/>
  <c r="C679" i="37"/>
  <c r="B679" i="37"/>
  <c r="R678" i="37"/>
  <c r="Q678" i="37"/>
  <c r="P678" i="37"/>
  <c r="O678" i="37"/>
  <c r="N678" i="37"/>
  <c r="M678" i="37"/>
  <c r="L678" i="37"/>
  <c r="K678" i="37"/>
  <c r="J678" i="37"/>
  <c r="I678" i="37"/>
  <c r="H678" i="37"/>
  <c r="G678" i="37"/>
  <c r="F678" i="37"/>
  <c r="E678" i="37"/>
  <c r="D678" i="37"/>
  <c r="C678" i="37"/>
  <c r="B678" i="37"/>
  <c r="R677" i="37"/>
  <c r="Q677" i="37"/>
  <c r="P677" i="37"/>
  <c r="O677" i="37"/>
  <c r="N677" i="37"/>
  <c r="M677" i="37"/>
  <c r="L677" i="37"/>
  <c r="K677" i="37"/>
  <c r="J677" i="37"/>
  <c r="I677" i="37"/>
  <c r="H677" i="37"/>
  <c r="G677" i="37"/>
  <c r="F677" i="37"/>
  <c r="E677" i="37"/>
  <c r="D677" i="37"/>
  <c r="C677" i="37"/>
  <c r="B677" i="37"/>
  <c r="R676" i="37"/>
  <c r="Q676" i="37"/>
  <c r="P676" i="37"/>
  <c r="O676" i="37"/>
  <c r="N676" i="37"/>
  <c r="M676" i="37"/>
  <c r="L676" i="37"/>
  <c r="K676" i="37"/>
  <c r="J676" i="37"/>
  <c r="I676" i="37"/>
  <c r="H676" i="37"/>
  <c r="G676" i="37"/>
  <c r="F676" i="37"/>
  <c r="E676" i="37"/>
  <c r="D676" i="37"/>
  <c r="C676" i="37"/>
  <c r="B676" i="37"/>
  <c r="R675" i="37"/>
  <c r="Q675" i="37"/>
  <c r="P675" i="37"/>
  <c r="O675" i="37"/>
  <c r="N675" i="37"/>
  <c r="M675" i="37"/>
  <c r="L675" i="37"/>
  <c r="K675" i="37"/>
  <c r="J675" i="37"/>
  <c r="I675" i="37"/>
  <c r="H675" i="37"/>
  <c r="G675" i="37"/>
  <c r="F675" i="37"/>
  <c r="E675" i="37"/>
  <c r="D675" i="37"/>
  <c r="C675" i="37"/>
  <c r="B675" i="37"/>
  <c r="R674" i="37"/>
  <c r="Q674" i="37"/>
  <c r="P674" i="37"/>
  <c r="O674" i="37"/>
  <c r="N674" i="37"/>
  <c r="M674" i="37"/>
  <c r="L674" i="37"/>
  <c r="K674" i="37"/>
  <c r="J674" i="37"/>
  <c r="I674" i="37"/>
  <c r="H674" i="37"/>
  <c r="G674" i="37"/>
  <c r="F674" i="37"/>
  <c r="E674" i="37"/>
  <c r="D674" i="37"/>
  <c r="C674" i="37"/>
  <c r="B674" i="37"/>
  <c r="R673" i="37"/>
  <c r="Q673" i="37"/>
  <c r="P673" i="37"/>
  <c r="O673" i="37"/>
  <c r="N673" i="37"/>
  <c r="M673" i="37"/>
  <c r="L673" i="37"/>
  <c r="K673" i="37"/>
  <c r="J673" i="37"/>
  <c r="I673" i="37"/>
  <c r="H673" i="37"/>
  <c r="G673" i="37"/>
  <c r="F673" i="37"/>
  <c r="E673" i="37"/>
  <c r="D673" i="37"/>
  <c r="C673" i="37"/>
  <c r="B673" i="37"/>
  <c r="R672" i="37"/>
  <c r="Q672" i="37"/>
  <c r="P672" i="37"/>
  <c r="O672" i="37"/>
  <c r="N672" i="37"/>
  <c r="M672" i="37"/>
  <c r="L672" i="37"/>
  <c r="K672" i="37"/>
  <c r="J672" i="37"/>
  <c r="I672" i="37"/>
  <c r="H672" i="37"/>
  <c r="G672" i="37"/>
  <c r="F672" i="37"/>
  <c r="E672" i="37"/>
  <c r="D672" i="37"/>
  <c r="C672" i="37"/>
  <c r="B672" i="37"/>
  <c r="R671" i="37"/>
  <c r="Q671" i="37"/>
  <c r="P671" i="37"/>
  <c r="O671" i="37"/>
  <c r="N671" i="37"/>
  <c r="M671" i="37"/>
  <c r="L671" i="37"/>
  <c r="K671" i="37"/>
  <c r="J671" i="37"/>
  <c r="I671" i="37"/>
  <c r="H671" i="37"/>
  <c r="G671" i="37"/>
  <c r="F671" i="37"/>
  <c r="E671" i="37"/>
  <c r="D671" i="37"/>
  <c r="C671" i="37"/>
  <c r="B671" i="37"/>
  <c r="R670" i="37"/>
  <c r="Q670" i="37"/>
  <c r="P670" i="37"/>
  <c r="O670" i="37"/>
  <c r="N670" i="37"/>
  <c r="M670" i="37"/>
  <c r="L670" i="37"/>
  <c r="K670" i="37"/>
  <c r="J670" i="37"/>
  <c r="I670" i="37"/>
  <c r="H670" i="37"/>
  <c r="G670" i="37"/>
  <c r="F670" i="37"/>
  <c r="E670" i="37"/>
  <c r="D670" i="37"/>
  <c r="C670" i="37"/>
  <c r="B670" i="37"/>
  <c r="R669" i="37"/>
  <c r="Q669" i="37"/>
  <c r="P669" i="37"/>
  <c r="O669" i="37"/>
  <c r="N669" i="37"/>
  <c r="M669" i="37"/>
  <c r="L669" i="37"/>
  <c r="K669" i="37"/>
  <c r="J669" i="37"/>
  <c r="I669" i="37"/>
  <c r="H669" i="37"/>
  <c r="G669" i="37"/>
  <c r="F669" i="37"/>
  <c r="E669" i="37"/>
  <c r="D669" i="37"/>
  <c r="C669" i="37"/>
  <c r="B669" i="37"/>
  <c r="R668" i="37"/>
  <c r="Q668" i="37"/>
  <c r="P668" i="37"/>
  <c r="O668" i="37"/>
  <c r="N668" i="37"/>
  <c r="M668" i="37"/>
  <c r="L668" i="37"/>
  <c r="K668" i="37"/>
  <c r="J668" i="37"/>
  <c r="I668" i="37"/>
  <c r="H668" i="37"/>
  <c r="G668" i="37"/>
  <c r="F668" i="37"/>
  <c r="E668" i="37"/>
  <c r="D668" i="37"/>
  <c r="C668" i="37"/>
  <c r="B668" i="37"/>
  <c r="R667" i="37"/>
  <c r="Q667" i="37"/>
  <c r="P667" i="37"/>
  <c r="O667" i="37"/>
  <c r="N667" i="37"/>
  <c r="M667" i="37"/>
  <c r="L667" i="37"/>
  <c r="K667" i="37"/>
  <c r="J667" i="37"/>
  <c r="I667" i="37"/>
  <c r="H667" i="37"/>
  <c r="G667" i="37"/>
  <c r="F667" i="37"/>
  <c r="E667" i="37"/>
  <c r="D667" i="37"/>
  <c r="C667" i="37"/>
  <c r="B667" i="37"/>
  <c r="R666" i="37"/>
  <c r="Q666" i="37"/>
  <c r="P666" i="37"/>
  <c r="O666" i="37"/>
  <c r="N666" i="37"/>
  <c r="M666" i="37"/>
  <c r="L666" i="37"/>
  <c r="K666" i="37"/>
  <c r="J666" i="37"/>
  <c r="I666" i="37"/>
  <c r="H666" i="37"/>
  <c r="G666" i="37"/>
  <c r="F666" i="37"/>
  <c r="E666" i="37"/>
  <c r="D666" i="37"/>
  <c r="C666" i="37"/>
  <c r="B666" i="37"/>
  <c r="R665" i="37"/>
  <c r="Q665" i="37"/>
  <c r="P665" i="37"/>
  <c r="O665" i="37"/>
  <c r="N665" i="37"/>
  <c r="M665" i="37"/>
  <c r="L665" i="37"/>
  <c r="K665" i="37"/>
  <c r="J665" i="37"/>
  <c r="I665" i="37"/>
  <c r="H665" i="37"/>
  <c r="G665" i="37"/>
  <c r="F665" i="37"/>
  <c r="E665" i="37"/>
  <c r="D665" i="37"/>
  <c r="C665" i="37"/>
  <c r="B665" i="37"/>
  <c r="R664" i="37"/>
  <c r="Q664" i="37"/>
  <c r="P664" i="37"/>
  <c r="O664" i="37"/>
  <c r="N664" i="37"/>
  <c r="M664" i="37"/>
  <c r="L664" i="37"/>
  <c r="K664" i="37"/>
  <c r="J664" i="37"/>
  <c r="I664" i="37"/>
  <c r="H664" i="37"/>
  <c r="G664" i="37"/>
  <c r="F664" i="37"/>
  <c r="E664" i="37"/>
  <c r="D664" i="37"/>
  <c r="C664" i="37"/>
  <c r="B664" i="37"/>
  <c r="R663" i="37"/>
  <c r="Q663" i="37"/>
  <c r="P663" i="37"/>
  <c r="O663" i="37"/>
  <c r="N663" i="37"/>
  <c r="M663" i="37"/>
  <c r="L663" i="37"/>
  <c r="K663" i="37"/>
  <c r="J663" i="37"/>
  <c r="I663" i="37"/>
  <c r="H663" i="37"/>
  <c r="G663" i="37"/>
  <c r="F663" i="37"/>
  <c r="E663" i="37"/>
  <c r="D663" i="37"/>
  <c r="C663" i="37"/>
  <c r="B663" i="37"/>
  <c r="R662" i="37"/>
  <c r="Q662" i="37"/>
  <c r="P662" i="37"/>
  <c r="O662" i="37"/>
  <c r="N662" i="37"/>
  <c r="M662" i="37"/>
  <c r="L662" i="37"/>
  <c r="K662" i="37"/>
  <c r="J662" i="37"/>
  <c r="I662" i="37"/>
  <c r="H662" i="37"/>
  <c r="G662" i="37"/>
  <c r="F662" i="37"/>
  <c r="E662" i="37"/>
  <c r="D662" i="37"/>
  <c r="C662" i="37"/>
  <c r="B662" i="37"/>
  <c r="R661" i="37"/>
  <c r="Q661" i="37"/>
  <c r="P661" i="37"/>
  <c r="O661" i="37"/>
  <c r="N661" i="37"/>
  <c r="M661" i="37"/>
  <c r="L661" i="37"/>
  <c r="K661" i="37"/>
  <c r="J661" i="37"/>
  <c r="I661" i="37"/>
  <c r="H661" i="37"/>
  <c r="G661" i="37"/>
  <c r="F661" i="37"/>
  <c r="E661" i="37"/>
  <c r="D661" i="37"/>
  <c r="C661" i="37"/>
  <c r="B661" i="37"/>
  <c r="R660" i="37"/>
  <c r="Q660" i="37"/>
  <c r="P660" i="37"/>
  <c r="O660" i="37"/>
  <c r="N660" i="37"/>
  <c r="M660" i="37"/>
  <c r="L660" i="37"/>
  <c r="K660" i="37"/>
  <c r="J660" i="37"/>
  <c r="I660" i="37"/>
  <c r="H660" i="37"/>
  <c r="G660" i="37"/>
  <c r="F660" i="37"/>
  <c r="E660" i="37"/>
  <c r="D660" i="37"/>
  <c r="C660" i="37"/>
  <c r="B660" i="37"/>
  <c r="R659" i="37"/>
  <c r="Q659" i="37"/>
  <c r="P659" i="37"/>
  <c r="O659" i="37"/>
  <c r="N659" i="37"/>
  <c r="M659" i="37"/>
  <c r="L659" i="37"/>
  <c r="K659" i="37"/>
  <c r="J659" i="37"/>
  <c r="I659" i="37"/>
  <c r="H659" i="37"/>
  <c r="G659" i="37"/>
  <c r="F659" i="37"/>
  <c r="E659" i="37"/>
  <c r="D659" i="37"/>
  <c r="C659" i="37"/>
  <c r="B659" i="37"/>
  <c r="R658" i="37"/>
  <c r="Q658" i="37"/>
  <c r="P658" i="37"/>
  <c r="O658" i="37"/>
  <c r="N658" i="37"/>
  <c r="M658" i="37"/>
  <c r="L658" i="37"/>
  <c r="K658" i="37"/>
  <c r="J658" i="37"/>
  <c r="I658" i="37"/>
  <c r="H658" i="37"/>
  <c r="G658" i="37"/>
  <c r="F658" i="37"/>
  <c r="E658" i="37"/>
  <c r="D658" i="37"/>
  <c r="C658" i="37"/>
  <c r="B658" i="37"/>
  <c r="R657" i="37"/>
  <c r="Q657" i="37"/>
  <c r="P657" i="37"/>
  <c r="O657" i="37"/>
  <c r="N657" i="37"/>
  <c r="M657" i="37"/>
  <c r="L657" i="37"/>
  <c r="K657" i="37"/>
  <c r="J657" i="37"/>
  <c r="I657" i="37"/>
  <c r="H657" i="37"/>
  <c r="G657" i="37"/>
  <c r="F657" i="37"/>
  <c r="E657" i="37"/>
  <c r="D657" i="37"/>
  <c r="C657" i="37"/>
  <c r="B657" i="37"/>
  <c r="R656" i="37"/>
  <c r="Q656" i="37"/>
  <c r="P656" i="37"/>
  <c r="O656" i="37"/>
  <c r="N656" i="37"/>
  <c r="M656" i="37"/>
  <c r="L656" i="37"/>
  <c r="K656" i="37"/>
  <c r="J656" i="37"/>
  <c r="I656" i="37"/>
  <c r="H656" i="37"/>
  <c r="G656" i="37"/>
  <c r="F656" i="37"/>
  <c r="E656" i="37"/>
  <c r="D656" i="37"/>
  <c r="C656" i="37"/>
  <c r="B656" i="37"/>
  <c r="R655" i="37"/>
  <c r="Q655" i="37"/>
  <c r="P655" i="37"/>
  <c r="O655" i="37"/>
  <c r="N655" i="37"/>
  <c r="M655" i="37"/>
  <c r="L655" i="37"/>
  <c r="K655" i="37"/>
  <c r="J655" i="37"/>
  <c r="I655" i="37"/>
  <c r="H655" i="37"/>
  <c r="G655" i="37"/>
  <c r="F655" i="37"/>
  <c r="E655" i="37"/>
  <c r="D655" i="37"/>
  <c r="C655" i="37"/>
  <c r="B655" i="37"/>
  <c r="R654" i="37"/>
  <c r="Q654" i="37"/>
  <c r="P654" i="37"/>
  <c r="O654" i="37"/>
  <c r="N654" i="37"/>
  <c r="M654" i="37"/>
  <c r="L654" i="37"/>
  <c r="K654" i="37"/>
  <c r="J654" i="37"/>
  <c r="I654" i="37"/>
  <c r="H654" i="37"/>
  <c r="G654" i="37"/>
  <c r="F654" i="37"/>
  <c r="E654" i="37"/>
  <c r="D654" i="37"/>
  <c r="C654" i="37"/>
  <c r="B654" i="37"/>
  <c r="R653" i="37"/>
  <c r="Q653" i="37"/>
  <c r="P653" i="37"/>
  <c r="O653" i="37"/>
  <c r="N653" i="37"/>
  <c r="M653" i="37"/>
  <c r="L653" i="37"/>
  <c r="K653" i="37"/>
  <c r="J653" i="37"/>
  <c r="I653" i="37"/>
  <c r="H653" i="37"/>
  <c r="G653" i="37"/>
  <c r="F653" i="37"/>
  <c r="E653" i="37"/>
  <c r="D653" i="37"/>
  <c r="C653" i="37"/>
  <c r="B653" i="37"/>
  <c r="R652" i="37"/>
  <c r="Q652" i="37"/>
  <c r="P652" i="37"/>
  <c r="O652" i="37"/>
  <c r="N652" i="37"/>
  <c r="M652" i="37"/>
  <c r="L652" i="37"/>
  <c r="K652" i="37"/>
  <c r="J652" i="37"/>
  <c r="I652" i="37"/>
  <c r="H652" i="37"/>
  <c r="G652" i="37"/>
  <c r="F652" i="37"/>
  <c r="E652" i="37"/>
  <c r="D652" i="37"/>
  <c r="C652" i="37"/>
  <c r="B652" i="37"/>
  <c r="R651" i="37"/>
  <c r="Q651" i="37"/>
  <c r="P651" i="37"/>
  <c r="O651" i="37"/>
  <c r="N651" i="37"/>
  <c r="M651" i="37"/>
  <c r="L651" i="37"/>
  <c r="K651" i="37"/>
  <c r="J651" i="37"/>
  <c r="I651" i="37"/>
  <c r="H651" i="37"/>
  <c r="G651" i="37"/>
  <c r="F651" i="37"/>
  <c r="E651" i="37"/>
  <c r="D651" i="37"/>
  <c r="C651" i="37"/>
  <c r="B651" i="37"/>
  <c r="R650" i="37"/>
  <c r="Q650" i="37"/>
  <c r="P650" i="37"/>
  <c r="O650" i="37"/>
  <c r="N650" i="37"/>
  <c r="M650" i="37"/>
  <c r="L650" i="37"/>
  <c r="K650" i="37"/>
  <c r="J650" i="37"/>
  <c r="I650" i="37"/>
  <c r="H650" i="37"/>
  <c r="G650" i="37"/>
  <c r="F650" i="37"/>
  <c r="E650" i="37"/>
  <c r="D650" i="37"/>
  <c r="C650" i="37"/>
  <c r="B650" i="37"/>
  <c r="R649" i="37"/>
  <c r="Q649" i="37"/>
  <c r="P649" i="37"/>
  <c r="O649" i="37"/>
  <c r="N649" i="37"/>
  <c r="M649" i="37"/>
  <c r="L649" i="37"/>
  <c r="K649" i="37"/>
  <c r="J649" i="37"/>
  <c r="I649" i="37"/>
  <c r="H649" i="37"/>
  <c r="G649" i="37"/>
  <c r="F649" i="37"/>
  <c r="E649" i="37"/>
  <c r="D649" i="37"/>
  <c r="C649" i="37"/>
  <c r="B649" i="37"/>
  <c r="R648" i="37"/>
  <c r="Q648" i="37"/>
  <c r="P648" i="37"/>
  <c r="O648" i="37"/>
  <c r="N648" i="37"/>
  <c r="M648" i="37"/>
  <c r="L648" i="37"/>
  <c r="K648" i="37"/>
  <c r="J648" i="37"/>
  <c r="I648" i="37"/>
  <c r="H648" i="37"/>
  <c r="G648" i="37"/>
  <c r="F648" i="37"/>
  <c r="E648" i="37"/>
  <c r="D648" i="37"/>
  <c r="C648" i="37"/>
  <c r="B648" i="37"/>
  <c r="R647" i="37"/>
  <c r="Q647" i="37"/>
  <c r="P647" i="37"/>
  <c r="O647" i="37"/>
  <c r="N647" i="37"/>
  <c r="M647" i="37"/>
  <c r="L647" i="37"/>
  <c r="K647" i="37"/>
  <c r="J647" i="37"/>
  <c r="I647" i="37"/>
  <c r="H647" i="37"/>
  <c r="G647" i="37"/>
  <c r="F647" i="37"/>
  <c r="E647" i="37"/>
  <c r="D647" i="37"/>
  <c r="C647" i="37"/>
  <c r="B647" i="37"/>
  <c r="R646" i="37"/>
  <c r="Q646" i="37"/>
  <c r="P646" i="37"/>
  <c r="O646" i="37"/>
  <c r="N646" i="37"/>
  <c r="M646" i="37"/>
  <c r="L646" i="37"/>
  <c r="K646" i="37"/>
  <c r="J646" i="37"/>
  <c r="I646" i="37"/>
  <c r="H646" i="37"/>
  <c r="G646" i="37"/>
  <c r="F646" i="37"/>
  <c r="E646" i="37"/>
  <c r="D646" i="37"/>
  <c r="C646" i="37"/>
  <c r="B646" i="37"/>
  <c r="R645" i="37"/>
  <c r="Q645" i="37"/>
  <c r="P645" i="37"/>
  <c r="O645" i="37"/>
  <c r="N645" i="37"/>
  <c r="M645" i="37"/>
  <c r="L645" i="37"/>
  <c r="K645" i="37"/>
  <c r="J645" i="37"/>
  <c r="I645" i="37"/>
  <c r="H645" i="37"/>
  <c r="G645" i="37"/>
  <c r="F645" i="37"/>
  <c r="E645" i="37"/>
  <c r="D645" i="37"/>
  <c r="C645" i="37"/>
  <c r="B645" i="37"/>
  <c r="R644" i="37"/>
  <c r="Q644" i="37"/>
  <c r="P644" i="37"/>
  <c r="O644" i="37"/>
  <c r="N644" i="37"/>
  <c r="M644" i="37"/>
  <c r="L644" i="37"/>
  <c r="K644" i="37"/>
  <c r="J644" i="37"/>
  <c r="I644" i="37"/>
  <c r="H644" i="37"/>
  <c r="G644" i="37"/>
  <c r="F644" i="37"/>
  <c r="E644" i="37"/>
  <c r="D644" i="37"/>
  <c r="C644" i="37"/>
  <c r="B644" i="37"/>
  <c r="R643" i="37"/>
  <c r="Q643" i="37"/>
  <c r="P643" i="37"/>
  <c r="O643" i="37"/>
  <c r="N643" i="37"/>
  <c r="M643" i="37"/>
  <c r="L643" i="37"/>
  <c r="K643" i="37"/>
  <c r="J643" i="37"/>
  <c r="I643" i="37"/>
  <c r="H643" i="37"/>
  <c r="G643" i="37"/>
  <c r="F643" i="37"/>
  <c r="E643" i="37"/>
  <c r="D643" i="37"/>
  <c r="C643" i="37"/>
  <c r="B643" i="37"/>
  <c r="R642" i="37"/>
  <c r="Q642" i="37"/>
  <c r="P642" i="37"/>
  <c r="O642" i="37"/>
  <c r="N642" i="37"/>
  <c r="M642" i="37"/>
  <c r="L642" i="37"/>
  <c r="K642" i="37"/>
  <c r="J642" i="37"/>
  <c r="I642" i="37"/>
  <c r="H642" i="37"/>
  <c r="G642" i="37"/>
  <c r="F642" i="37"/>
  <c r="E642" i="37"/>
  <c r="D642" i="37"/>
  <c r="C642" i="37"/>
  <c r="B642" i="37"/>
  <c r="R641" i="37"/>
  <c r="Q641" i="37"/>
  <c r="P641" i="37"/>
  <c r="O641" i="37"/>
  <c r="N641" i="37"/>
  <c r="M641" i="37"/>
  <c r="L641" i="37"/>
  <c r="K641" i="37"/>
  <c r="J641" i="37"/>
  <c r="I641" i="37"/>
  <c r="H641" i="37"/>
  <c r="G641" i="37"/>
  <c r="F641" i="37"/>
  <c r="E641" i="37"/>
  <c r="D641" i="37"/>
  <c r="C641" i="37"/>
  <c r="B641" i="37"/>
  <c r="R640" i="37"/>
  <c r="Q640" i="37"/>
  <c r="P640" i="37"/>
  <c r="O640" i="37"/>
  <c r="N640" i="37"/>
  <c r="M640" i="37"/>
  <c r="L640" i="37"/>
  <c r="K640" i="37"/>
  <c r="J640" i="37"/>
  <c r="I640" i="37"/>
  <c r="H640" i="37"/>
  <c r="G640" i="37"/>
  <c r="F640" i="37"/>
  <c r="E640" i="37"/>
  <c r="D640" i="37"/>
  <c r="C640" i="37"/>
  <c r="B640" i="37"/>
  <c r="R639" i="37"/>
  <c r="Q639" i="37"/>
  <c r="P639" i="37"/>
  <c r="O639" i="37"/>
  <c r="N639" i="37"/>
  <c r="M639" i="37"/>
  <c r="L639" i="37"/>
  <c r="K639" i="37"/>
  <c r="J639" i="37"/>
  <c r="I639" i="37"/>
  <c r="H639" i="37"/>
  <c r="G639" i="37"/>
  <c r="F639" i="37"/>
  <c r="E639" i="37"/>
  <c r="D639" i="37"/>
  <c r="C639" i="37"/>
  <c r="B639" i="37"/>
  <c r="R638" i="37"/>
  <c r="Q638" i="37"/>
  <c r="P638" i="37"/>
  <c r="O638" i="37"/>
  <c r="N638" i="37"/>
  <c r="M638" i="37"/>
  <c r="L638" i="37"/>
  <c r="K638" i="37"/>
  <c r="J638" i="37"/>
  <c r="I638" i="37"/>
  <c r="H638" i="37"/>
  <c r="G638" i="37"/>
  <c r="F638" i="37"/>
  <c r="E638" i="37"/>
  <c r="D638" i="37"/>
  <c r="C638" i="37"/>
  <c r="B638" i="37"/>
  <c r="R637" i="37"/>
  <c r="Q637" i="37"/>
  <c r="P637" i="37"/>
  <c r="O637" i="37"/>
  <c r="N637" i="37"/>
  <c r="M637" i="37"/>
  <c r="L637" i="37"/>
  <c r="K637" i="37"/>
  <c r="J637" i="37"/>
  <c r="I637" i="37"/>
  <c r="H637" i="37"/>
  <c r="G637" i="37"/>
  <c r="F637" i="37"/>
  <c r="E637" i="37"/>
  <c r="D637" i="37"/>
  <c r="C637" i="37"/>
  <c r="B637" i="37"/>
  <c r="R636" i="37"/>
  <c r="Q636" i="37"/>
  <c r="P636" i="37"/>
  <c r="O636" i="37"/>
  <c r="N636" i="37"/>
  <c r="M636" i="37"/>
  <c r="L636" i="37"/>
  <c r="K636" i="37"/>
  <c r="J636" i="37"/>
  <c r="I636" i="37"/>
  <c r="H636" i="37"/>
  <c r="G636" i="37"/>
  <c r="F636" i="37"/>
  <c r="E636" i="37"/>
  <c r="D636" i="37"/>
  <c r="C636" i="37"/>
  <c r="B636" i="37"/>
  <c r="R635" i="37"/>
  <c r="Q635" i="37"/>
  <c r="P635" i="37"/>
  <c r="O635" i="37"/>
  <c r="N635" i="37"/>
  <c r="M635" i="37"/>
  <c r="L635" i="37"/>
  <c r="K635" i="37"/>
  <c r="J635" i="37"/>
  <c r="I635" i="37"/>
  <c r="H635" i="37"/>
  <c r="G635" i="37"/>
  <c r="F635" i="37"/>
  <c r="E635" i="37"/>
  <c r="D635" i="37"/>
  <c r="C635" i="37"/>
  <c r="B635" i="37"/>
  <c r="R634" i="37"/>
  <c r="Q634" i="37"/>
  <c r="P634" i="37"/>
  <c r="O634" i="37"/>
  <c r="N634" i="37"/>
  <c r="M634" i="37"/>
  <c r="L634" i="37"/>
  <c r="K634" i="37"/>
  <c r="J634" i="37"/>
  <c r="I634" i="37"/>
  <c r="H634" i="37"/>
  <c r="G634" i="37"/>
  <c r="F634" i="37"/>
  <c r="E634" i="37"/>
  <c r="D634" i="37"/>
  <c r="C634" i="37"/>
  <c r="B634" i="37"/>
  <c r="R633" i="37"/>
  <c r="Q633" i="37"/>
  <c r="P633" i="37"/>
  <c r="O633" i="37"/>
  <c r="N633" i="37"/>
  <c r="M633" i="37"/>
  <c r="L633" i="37"/>
  <c r="K633" i="37"/>
  <c r="J633" i="37"/>
  <c r="I633" i="37"/>
  <c r="H633" i="37"/>
  <c r="G633" i="37"/>
  <c r="F633" i="37"/>
  <c r="E633" i="37"/>
  <c r="D633" i="37"/>
  <c r="C633" i="37"/>
  <c r="B633" i="37"/>
  <c r="R632" i="37"/>
  <c r="Q632" i="37"/>
  <c r="P632" i="37"/>
  <c r="O632" i="37"/>
  <c r="N632" i="37"/>
  <c r="M632" i="37"/>
  <c r="L632" i="37"/>
  <c r="K632" i="37"/>
  <c r="J632" i="37"/>
  <c r="I632" i="37"/>
  <c r="H632" i="37"/>
  <c r="G632" i="37"/>
  <c r="F632" i="37"/>
  <c r="E632" i="37"/>
  <c r="D632" i="37"/>
  <c r="C632" i="37"/>
  <c r="B632" i="37"/>
  <c r="R631" i="37"/>
  <c r="Q631" i="37"/>
  <c r="P631" i="37"/>
  <c r="O631" i="37"/>
  <c r="N631" i="37"/>
  <c r="M631" i="37"/>
  <c r="L631" i="37"/>
  <c r="K631" i="37"/>
  <c r="J631" i="37"/>
  <c r="I631" i="37"/>
  <c r="H631" i="37"/>
  <c r="G631" i="37"/>
  <c r="F631" i="37"/>
  <c r="E631" i="37"/>
  <c r="D631" i="37"/>
  <c r="C631" i="37"/>
  <c r="B631" i="37"/>
  <c r="R630" i="37"/>
  <c r="Q630" i="37"/>
  <c r="P630" i="37"/>
  <c r="O630" i="37"/>
  <c r="N630" i="37"/>
  <c r="M630" i="37"/>
  <c r="L630" i="37"/>
  <c r="K630" i="37"/>
  <c r="J630" i="37"/>
  <c r="I630" i="37"/>
  <c r="H630" i="37"/>
  <c r="G630" i="37"/>
  <c r="F630" i="37"/>
  <c r="E630" i="37"/>
  <c r="D630" i="37"/>
  <c r="C630" i="37"/>
  <c r="B630" i="37"/>
  <c r="R629" i="37"/>
  <c r="Q629" i="37"/>
  <c r="P629" i="37"/>
  <c r="O629" i="37"/>
  <c r="N629" i="37"/>
  <c r="M629" i="37"/>
  <c r="L629" i="37"/>
  <c r="K629" i="37"/>
  <c r="J629" i="37"/>
  <c r="I629" i="37"/>
  <c r="H629" i="37"/>
  <c r="G629" i="37"/>
  <c r="F629" i="37"/>
  <c r="E629" i="37"/>
  <c r="D629" i="37"/>
  <c r="C629" i="37"/>
  <c r="B629" i="37"/>
  <c r="R628" i="37"/>
  <c r="Q628" i="37"/>
  <c r="P628" i="37"/>
  <c r="O628" i="37"/>
  <c r="N628" i="37"/>
  <c r="M628" i="37"/>
  <c r="L628" i="37"/>
  <c r="K628" i="37"/>
  <c r="J628" i="37"/>
  <c r="I628" i="37"/>
  <c r="H628" i="37"/>
  <c r="G628" i="37"/>
  <c r="F628" i="37"/>
  <c r="E628" i="37"/>
  <c r="D628" i="37"/>
  <c r="C628" i="37"/>
  <c r="B628" i="37"/>
  <c r="R627" i="37"/>
  <c r="Q627" i="37"/>
  <c r="P627" i="37"/>
  <c r="O627" i="37"/>
  <c r="N627" i="37"/>
  <c r="M627" i="37"/>
  <c r="L627" i="37"/>
  <c r="K627" i="37"/>
  <c r="J627" i="37"/>
  <c r="I627" i="37"/>
  <c r="H627" i="37"/>
  <c r="G627" i="37"/>
  <c r="F627" i="37"/>
  <c r="E627" i="37"/>
  <c r="D627" i="37"/>
  <c r="C627" i="37"/>
  <c r="B627" i="37"/>
  <c r="R626" i="37"/>
  <c r="Q626" i="37"/>
  <c r="P626" i="37"/>
  <c r="O626" i="37"/>
  <c r="N626" i="37"/>
  <c r="M626" i="37"/>
  <c r="L626" i="37"/>
  <c r="K626" i="37"/>
  <c r="J626" i="37"/>
  <c r="I626" i="37"/>
  <c r="H626" i="37"/>
  <c r="G626" i="37"/>
  <c r="F626" i="37"/>
  <c r="E626" i="37"/>
  <c r="D626" i="37"/>
  <c r="C626" i="37"/>
  <c r="B626" i="37"/>
  <c r="R625" i="37"/>
  <c r="Q625" i="37"/>
  <c r="P625" i="37"/>
  <c r="O625" i="37"/>
  <c r="N625" i="37"/>
  <c r="M625" i="37"/>
  <c r="L625" i="37"/>
  <c r="K625" i="37"/>
  <c r="J625" i="37"/>
  <c r="I625" i="37"/>
  <c r="H625" i="37"/>
  <c r="G625" i="37"/>
  <c r="F625" i="37"/>
  <c r="E625" i="37"/>
  <c r="D625" i="37"/>
  <c r="C625" i="37"/>
  <c r="B625" i="37"/>
  <c r="R624" i="37"/>
  <c r="Q624" i="37"/>
  <c r="P624" i="37"/>
  <c r="O624" i="37"/>
  <c r="N624" i="37"/>
  <c r="M624" i="37"/>
  <c r="L624" i="37"/>
  <c r="K624" i="37"/>
  <c r="J624" i="37"/>
  <c r="I624" i="37"/>
  <c r="H624" i="37"/>
  <c r="G624" i="37"/>
  <c r="F624" i="37"/>
  <c r="E624" i="37"/>
  <c r="D624" i="37"/>
  <c r="C624" i="37"/>
  <c r="B624" i="37"/>
  <c r="R623" i="37"/>
  <c r="Q623" i="37"/>
  <c r="P623" i="37"/>
  <c r="O623" i="37"/>
  <c r="N623" i="37"/>
  <c r="M623" i="37"/>
  <c r="L623" i="37"/>
  <c r="K623" i="37"/>
  <c r="J623" i="37"/>
  <c r="I623" i="37"/>
  <c r="H623" i="37"/>
  <c r="G623" i="37"/>
  <c r="F623" i="37"/>
  <c r="E623" i="37"/>
  <c r="D623" i="37"/>
  <c r="C623" i="37"/>
  <c r="B623" i="37"/>
  <c r="R622" i="37"/>
  <c r="Q622" i="37"/>
  <c r="P622" i="37"/>
  <c r="O622" i="37"/>
  <c r="N622" i="37"/>
  <c r="M622" i="37"/>
  <c r="L622" i="37"/>
  <c r="K622" i="37"/>
  <c r="J622" i="37"/>
  <c r="I622" i="37"/>
  <c r="H622" i="37"/>
  <c r="G622" i="37"/>
  <c r="F622" i="37"/>
  <c r="E622" i="37"/>
  <c r="D622" i="37"/>
  <c r="C622" i="37"/>
  <c r="B622" i="37"/>
  <c r="R621" i="37"/>
  <c r="Q621" i="37"/>
  <c r="P621" i="37"/>
  <c r="O621" i="37"/>
  <c r="N621" i="37"/>
  <c r="M621" i="37"/>
  <c r="L621" i="37"/>
  <c r="K621" i="37"/>
  <c r="J621" i="37"/>
  <c r="I621" i="37"/>
  <c r="H621" i="37"/>
  <c r="G621" i="37"/>
  <c r="F621" i="37"/>
  <c r="E621" i="37"/>
  <c r="D621" i="37"/>
  <c r="C621" i="37"/>
  <c r="B621" i="37"/>
  <c r="R620" i="37"/>
  <c r="Q620" i="37"/>
  <c r="P620" i="37"/>
  <c r="O620" i="37"/>
  <c r="N620" i="37"/>
  <c r="M620" i="37"/>
  <c r="L620" i="37"/>
  <c r="K620" i="37"/>
  <c r="J620" i="37"/>
  <c r="I620" i="37"/>
  <c r="H620" i="37"/>
  <c r="G620" i="37"/>
  <c r="F620" i="37"/>
  <c r="E620" i="37"/>
  <c r="D620" i="37"/>
  <c r="C620" i="37"/>
  <c r="B620" i="37"/>
  <c r="R619" i="37"/>
  <c r="Q619" i="37"/>
  <c r="P619" i="37"/>
  <c r="O619" i="37"/>
  <c r="N619" i="37"/>
  <c r="M619" i="37"/>
  <c r="L619" i="37"/>
  <c r="K619" i="37"/>
  <c r="J619" i="37"/>
  <c r="I619" i="37"/>
  <c r="H619" i="37"/>
  <c r="G619" i="37"/>
  <c r="F619" i="37"/>
  <c r="E619" i="37"/>
  <c r="D619" i="37"/>
  <c r="C619" i="37"/>
  <c r="B619" i="37"/>
  <c r="R618" i="37"/>
  <c r="Q618" i="37"/>
  <c r="P618" i="37"/>
  <c r="O618" i="37"/>
  <c r="N618" i="37"/>
  <c r="M618" i="37"/>
  <c r="L618" i="37"/>
  <c r="K618" i="37"/>
  <c r="J618" i="37"/>
  <c r="I618" i="37"/>
  <c r="H618" i="37"/>
  <c r="G618" i="37"/>
  <c r="F618" i="37"/>
  <c r="E618" i="37"/>
  <c r="D618" i="37"/>
  <c r="C618" i="37"/>
  <c r="B618" i="37"/>
  <c r="R617" i="37"/>
  <c r="Q617" i="37"/>
  <c r="P617" i="37"/>
  <c r="O617" i="37"/>
  <c r="N617" i="37"/>
  <c r="M617" i="37"/>
  <c r="L617" i="37"/>
  <c r="K617" i="37"/>
  <c r="J617" i="37"/>
  <c r="I617" i="37"/>
  <c r="H617" i="37"/>
  <c r="G617" i="37"/>
  <c r="F617" i="37"/>
  <c r="E617" i="37"/>
  <c r="D617" i="37"/>
  <c r="C617" i="37"/>
  <c r="B617" i="37"/>
  <c r="R616" i="37"/>
  <c r="Q616" i="37"/>
  <c r="P616" i="37"/>
  <c r="O616" i="37"/>
  <c r="N616" i="37"/>
  <c r="M616" i="37"/>
  <c r="L616" i="37"/>
  <c r="K616" i="37"/>
  <c r="J616" i="37"/>
  <c r="I616" i="37"/>
  <c r="H616" i="37"/>
  <c r="G616" i="37"/>
  <c r="F616" i="37"/>
  <c r="E616" i="37"/>
  <c r="D616" i="37"/>
  <c r="C616" i="37"/>
  <c r="B616" i="37"/>
  <c r="R615" i="37"/>
  <c r="Q615" i="37"/>
  <c r="P615" i="37"/>
  <c r="O615" i="37"/>
  <c r="N615" i="37"/>
  <c r="M615" i="37"/>
  <c r="L615" i="37"/>
  <c r="K615" i="37"/>
  <c r="J615" i="37"/>
  <c r="I615" i="37"/>
  <c r="H615" i="37"/>
  <c r="G615" i="37"/>
  <c r="F615" i="37"/>
  <c r="E615" i="37"/>
  <c r="D615" i="37"/>
  <c r="C615" i="37"/>
  <c r="B615" i="37"/>
  <c r="R614" i="37"/>
  <c r="Q614" i="37"/>
  <c r="P614" i="37"/>
  <c r="O614" i="37"/>
  <c r="N614" i="37"/>
  <c r="M614" i="37"/>
  <c r="L614" i="37"/>
  <c r="K614" i="37"/>
  <c r="J614" i="37"/>
  <c r="I614" i="37"/>
  <c r="H614" i="37"/>
  <c r="G614" i="37"/>
  <c r="F614" i="37"/>
  <c r="E614" i="37"/>
  <c r="D614" i="37"/>
  <c r="C614" i="37"/>
  <c r="B614" i="37"/>
  <c r="R613" i="37"/>
  <c r="Q613" i="37"/>
  <c r="P613" i="37"/>
  <c r="O613" i="37"/>
  <c r="N613" i="37"/>
  <c r="M613" i="37"/>
  <c r="L613" i="37"/>
  <c r="K613" i="37"/>
  <c r="J613" i="37"/>
  <c r="I613" i="37"/>
  <c r="H613" i="37"/>
  <c r="G613" i="37"/>
  <c r="F613" i="37"/>
  <c r="E613" i="37"/>
  <c r="D613" i="37"/>
  <c r="C613" i="37"/>
  <c r="B613" i="37"/>
  <c r="R612" i="37"/>
  <c r="Q612" i="37"/>
  <c r="P612" i="37"/>
  <c r="O612" i="37"/>
  <c r="N612" i="37"/>
  <c r="M612" i="37"/>
  <c r="L612" i="37"/>
  <c r="K612" i="37"/>
  <c r="J612" i="37"/>
  <c r="I612" i="37"/>
  <c r="H612" i="37"/>
  <c r="G612" i="37"/>
  <c r="F612" i="37"/>
  <c r="E612" i="37"/>
  <c r="D612" i="37"/>
  <c r="C612" i="37"/>
  <c r="B612" i="37"/>
  <c r="R611" i="37"/>
  <c r="Q611" i="37"/>
  <c r="P611" i="37"/>
  <c r="O611" i="37"/>
  <c r="N611" i="37"/>
  <c r="M611" i="37"/>
  <c r="L611" i="37"/>
  <c r="K611" i="37"/>
  <c r="J611" i="37"/>
  <c r="I611" i="37"/>
  <c r="H611" i="37"/>
  <c r="G611" i="37"/>
  <c r="F611" i="37"/>
  <c r="E611" i="37"/>
  <c r="D611" i="37"/>
  <c r="C611" i="37"/>
  <c r="B611" i="37"/>
  <c r="R610" i="37"/>
  <c r="Q610" i="37"/>
  <c r="P610" i="37"/>
  <c r="O610" i="37"/>
  <c r="N610" i="37"/>
  <c r="M610" i="37"/>
  <c r="L610" i="37"/>
  <c r="K610" i="37"/>
  <c r="J610" i="37"/>
  <c r="I610" i="37"/>
  <c r="H610" i="37"/>
  <c r="G610" i="37"/>
  <c r="F610" i="37"/>
  <c r="E610" i="37"/>
  <c r="D610" i="37"/>
  <c r="C610" i="37"/>
  <c r="B610" i="37"/>
  <c r="R609" i="37"/>
  <c r="Q609" i="37"/>
  <c r="P609" i="37"/>
  <c r="O609" i="37"/>
  <c r="N609" i="37"/>
  <c r="M609" i="37"/>
  <c r="L609" i="37"/>
  <c r="K609" i="37"/>
  <c r="J609" i="37"/>
  <c r="I609" i="37"/>
  <c r="H609" i="37"/>
  <c r="G609" i="37"/>
  <c r="F609" i="37"/>
  <c r="E609" i="37"/>
  <c r="D609" i="37"/>
  <c r="C609" i="37"/>
  <c r="B609" i="37"/>
  <c r="R608" i="37"/>
  <c r="Q608" i="37"/>
  <c r="P608" i="37"/>
  <c r="O608" i="37"/>
  <c r="N608" i="37"/>
  <c r="M608" i="37"/>
  <c r="L608" i="37"/>
  <c r="K608" i="37"/>
  <c r="J608" i="37"/>
  <c r="I608" i="37"/>
  <c r="H608" i="37"/>
  <c r="G608" i="37"/>
  <c r="F608" i="37"/>
  <c r="E608" i="37"/>
  <c r="D608" i="37"/>
  <c r="C608" i="37"/>
  <c r="B608" i="37"/>
  <c r="R607" i="37"/>
  <c r="Q607" i="37"/>
  <c r="P607" i="37"/>
  <c r="O607" i="37"/>
  <c r="N607" i="37"/>
  <c r="M607" i="37"/>
  <c r="L607" i="37"/>
  <c r="K607" i="37"/>
  <c r="J607" i="37"/>
  <c r="I607" i="37"/>
  <c r="H607" i="37"/>
  <c r="G607" i="37"/>
  <c r="F607" i="37"/>
  <c r="E607" i="37"/>
  <c r="D607" i="37"/>
  <c r="C607" i="37"/>
  <c r="B607" i="37"/>
  <c r="R606" i="37"/>
  <c r="Q606" i="37"/>
  <c r="P606" i="37"/>
  <c r="O606" i="37"/>
  <c r="N606" i="37"/>
  <c r="M606" i="37"/>
  <c r="L606" i="37"/>
  <c r="K606" i="37"/>
  <c r="J606" i="37"/>
  <c r="I606" i="37"/>
  <c r="H606" i="37"/>
  <c r="G606" i="37"/>
  <c r="F606" i="37"/>
  <c r="E606" i="37"/>
  <c r="D606" i="37"/>
  <c r="C606" i="37"/>
  <c r="B606" i="37"/>
  <c r="R605" i="37"/>
  <c r="Q605" i="37"/>
  <c r="P605" i="37"/>
  <c r="O605" i="37"/>
  <c r="N605" i="37"/>
  <c r="M605" i="37"/>
  <c r="L605" i="37"/>
  <c r="K605" i="37"/>
  <c r="J605" i="37"/>
  <c r="I605" i="37"/>
  <c r="H605" i="37"/>
  <c r="G605" i="37"/>
  <c r="F605" i="37"/>
  <c r="E605" i="37"/>
  <c r="D605" i="37"/>
  <c r="C605" i="37"/>
  <c r="B605" i="37"/>
  <c r="R604" i="37"/>
  <c r="Q604" i="37"/>
  <c r="P604" i="37"/>
  <c r="O604" i="37"/>
  <c r="N604" i="37"/>
  <c r="M604" i="37"/>
  <c r="L604" i="37"/>
  <c r="K604" i="37"/>
  <c r="J604" i="37"/>
  <c r="I604" i="37"/>
  <c r="H604" i="37"/>
  <c r="G604" i="37"/>
  <c r="F604" i="37"/>
  <c r="E604" i="37"/>
  <c r="D604" i="37"/>
  <c r="C604" i="37"/>
  <c r="B604" i="37"/>
  <c r="R603" i="37"/>
  <c r="Q603" i="37"/>
  <c r="P603" i="37"/>
  <c r="O603" i="37"/>
  <c r="N603" i="37"/>
  <c r="M603" i="37"/>
  <c r="L603" i="37"/>
  <c r="K603" i="37"/>
  <c r="J603" i="37"/>
  <c r="I603" i="37"/>
  <c r="H603" i="37"/>
  <c r="G603" i="37"/>
  <c r="F603" i="37"/>
  <c r="E603" i="37"/>
  <c r="D603" i="37"/>
  <c r="C603" i="37"/>
  <c r="B603" i="37"/>
  <c r="R602" i="37"/>
  <c r="Q602" i="37"/>
  <c r="P602" i="37"/>
  <c r="O602" i="37"/>
  <c r="N602" i="37"/>
  <c r="M602" i="37"/>
  <c r="L602" i="37"/>
  <c r="K602" i="37"/>
  <c r="J602" i="37"/>
  <c r="I602" i="37"/>
  <c r="H602" i="37"/>
  <c r="G602" i="37"/>
  <c r="F602" i="37"/>
  <c r="E602" i="37"/>
  <c r="D602" i="37"/>
  <c r="C602" i="37"/>
  <c r="B602" i="37"/>
  <c r="R601" i="37"/>
  <c r="Q601" i="37"/>
  <c r="P601" i="37"/>
  <c r="O601" i="37"/>
  <c r="N601" i="37"/>
  <c r="M601" i="37"/>
  <c r="L601" i="37"/>
  <c r="K601" i="37"/>
  <c r="J601" i="37"/>
  <c r="I601" i="37"/>
  <c r="H601" i="37"/>
  <c r="G601" i="37"/>
  <c r="F601" i="37"/>
  <c r="E601" i="37"/>
  <c r="D601" i="37"/>
  <c r="C601" i="37"/>
  <c r="B601" i="37"/>
  <c r="R600" i="37"/>
  <c r="Q600" i="37"/>
  <c r="P600" i="37"/>
  <c r="O600" i="37"/>
  <c r="N600" i="37"/>
  <c r="M600" i="37"/>
  <c r="L600" i="37"/>
  <c r="K600" i="37"/>
  <c r="J600" i="37"/>
  <c r="I600" i="37"/>
  <c r="H600" i="37"/>
  <c r="G600" i="37"/>
  <c r="F600" i="37"/>
  <c r="E600" i="37"/>
  <c r="D600" i="37"/>
  <c r="C600" i="37"/>
  <c r="B600" i="37"/>
  <c r="R599" i="37"/>
  <c r="Q599" i="37"/>
  <c r="P599" i="37"/>
  <c r="O599" i="37"/>
  <c r="N599" i="37"/>
  <c r="M599" i="37"/>
  <c r="L599" i="37"/>
  <c r="K599" i="37"/>
  <c r="J599" i="37"/>
  <c r="I599" i="37"/>
  <c r="H599" i="37"/>
  <c r="G599" i="37"/>
  <c r="F599" i="37"/>
  <c r="E599" i="37"/>
  <c r="D599" i="37"/>
  <c r="C599" i="37"/>
  <c r="B599" i="37"/>
  <c r="R598" i="37"/>
  <c r="Q598" i="37"/>
  <c r="P598" i="37"/>
  <c r="O598" i="37"/>
  <c r="N598" i="37"/>
  <c r="M598" i="37"/>
  <c r="L598" i="37"/>
  <c r="K598" i="37"/>
  <c r="J598" i="37"/>
  <c r="I598" i="37"/>
  <c r="H598" i="37"/>
  <c r="G598" i="37"/>
  <c r="F598" i="37"/>
  <c r="E598" i="37"/>
  <c r="D598" i="37"/>
  <c r="C598" i="37"/>
  <c r="B598" i="37"/>
  <c r="R597" i="37"/>
  <c r="Q597" i="37"/>
  <c r="P597" i="37"/>
  <c r="O597" i="37"/>
  <c r="N597" i="37"/>
  <c r="M597" i="37"/>
  <c r="L597" i="37"/>
  <c r="K597" i="37"/>
  <c r="J597" i="37"/>
  <c r="I597" i="37"/>
  <c r="H597" i="37"/>
  <c r="G597" i="37"/>
  <c r="F597" i="37"/>
  <c r="E597" i="37"/>
  <c r="D597" i="37"/>
  <c r="C597" i="37"/>
  <c r="B597" i="37"/>
  <c r="R596" i="37"/>
  <c r="Q596" i="37"/>
  <c r="P596" i="37"/>
  <c r="O596" i="37"/>
  <c r="N596" i="37"/>
  <c r="M596" i="37"/>
  <c r="L596" i="37"/>
  <c r="K596" i="37"/>
  <c r="J596" i="37"/>
  <c r="I596" i="37"/>
  <c r="H596" i="37"/>
  <c r="G596" i="37"/>
  <c r="F596" i="37"/>
  <c r="E596" i="37"/>
  <c r="D596" i="37"/>
  <c r="C596" i="37"/>
  <c r="B596" i="37"/>
  <c r="R595" i="37"/>
  <c r="Q595" i="37"/>
  <c r="P595" i="37"/>
  <c r="O595" i="37"/>
  <c r="N595" i="37"/>
  <c r="M595" i="37"/>
  <c r="L595" i="37"/>
  <c r="K595" i="37"/>
  <c r="J595" i="37"/>
  <c r="I595" i="37"/>
  <c r="H595" i="37"/>
  <c r="G595" i="37"/>
  <c r="F595" i="37"/>
  <c r="E595" i="37"/>
  <c r="D595" i="37"/>
  <c r="C595" i="37"/>
  <c r="B595" i="37"/>
  <c r="R594" i="37"/>
  <c r="Q594" i="37"/>
  <c r="P594" i="37"/>
  <c r="O594" i="37"/>
  <c r="N594" i="37"/>
  <c r="M594" i="37"/>
  <c r="L594" i="37"/>
  <c r="K594" i="37"/>
  <c r="J594" i="37"/>
  <c r="I594" i="37"/>
  <c r="H594" i="37"/>
  <c r="G594" i="37"/>
  <c r="F594" i="37"/>
  <c r="E594" i="37"/>
  <c r="D594" i="37"/>
  <c r="C594" i="37"/>
  <c r="B594" i="37"/>
  <c r="R593" i="37"/>
  <c r="Q593" i="37"/>
  <c r="P593" i="37"/>
  <c r="O593" i="37"/>
  <c r="N593" i="37"/>
  <c r="M593" i="37"/>
  <c r="L593" i="37"/>
  <c r="K593" i="37"/>
  <c r="J593" i="37"/>
  <c r="I593" i="37"/>
  <c r="H593" i="37"/>
  <c r="G593" i="37"/>
  <c r="F593" i="37"/>
  <c r="E593" i="37"/>
  <c r="D593" i="37"/>
  <c r="C593" i="37"/>
  <c r="B593" i="37"/>
  <c r="R592" i="37"/>
  <c r="Q592" i="37"/>
  <c r="P592" i="37"/>
  <c r="O592" i="37"/>
  <c r="N592" i="37"/>
  <c r="M592" i="37"/>
  <c r="L592" i="37"/>
  <c r="K592" i="37"/>
  <c r="J592" i="37"/>
  <c r="I592" i="37"/>
  <c r="H592" i="37"/>
  <c r="G592" i="37"/>
  <c r="F592" i="37"/>
  <c r="E592" i="37"/>
  <c r="D592" i="37"/>
  <c r="C592" i="37"/>
  <c r="B592" i="37"/>
  <c r="R591" i="37"/>
  <c r="Q591" i="37"/>
  <c r="P591" i="37"/>
  <c r="O591" i="37"/>
  <c r="N591" i="37"/>
  <c r="M591" i="37"/>
  <c r="L591" i="37"/>
  <c r="K591" i="37"/>
  <c r="J591" i="37"/>
  <c r="I591" i="37"/>
  <c r="H591" i="37"/>
  <c r="G591" i="37"/>
  <c r="F591" i="37"/>
  <c r="E591" i="37"/>
  <c r="D591" i="37"/>
  <c r="C591" i="37"/>
  <c r="B591" i="37"/>
  <c r="R590" i="37"/>
  <c r="Q590" i="37"/>
  <c r="P590" i="37"/>
  <c r="O590" i="37"/>
  <c r="N590" i="37"/>
  <c r="M590" i="37"/>
  <c r="L590" i="37"/>
  <c r="K590" i="37"/>
  <c r="J590" i="37"/>
  <c r="I590" i="37"/>
  <c r="H590" i="37"/>
  <c r="G590" i="37"/>
  <c r="F590" i="37"/>
  <c r="E590" i="37"/>
  <c r="D590" i="37"/>
  <c r="C590" i="37"/>
  <c r="B590" i="37"/>
  <c r="R589" i="37"/>
  <c r="Q589" i="37"/>
  <c r="P589" i="37"/>
  <c r="O589" i="37"/>
  <c r="N589" i="37"/>
  <c r="M589" i="37"/>
  <c r="L589" i="37"/>
  <c r="K589" i="37"/>
  <c r="J589" i="37"/>
  <c r="I589" i="37"/>
  <c r="H589" i="37"/>
  <c r="G589" i="37"/>
  <c r="F589" i="37"/>
  <c r="E589" i="37"/>
  <c r="D589" i="37"/>
  <c r="C589" i="37"/>
  <c r="B589" i="37"/>
  <c r="R588" i="37"/>
  <c r="Q588" i="37"/>
  <c r="P588" i="37"/>
  <c r="O588" i="37"/>
  <c r="N588" i="37"/>
  <c r="M588" i="37"/>
  <c r="L588" i="37"/>
  <c r="K588" i="37"/>
  <c r="J588" i="37"/>
  <c r="I588" i="37"/>
  <c r="H588" i="37"/>
  <c r="G588" i="37"/>
  <c r="F588" i="37"/>
  <c r="E588" i="37"/>
  <c r="D588" i="37"/>
  <c r="C588" i="37"/>
  <c r="B588" i="37"/>
  <c r="R587" i="37"/>
  <c r="Q587" i="37"/>
  <c r="P587" i="37"/>
  <c r="O587" i="37"/>
  <c r="N587" i="37"/>
  <c r="M587" i="37"/>
  <c r="L587" i="37"/>
  <c r="K587" i="37"/>
  <c r="J587" i="37"/>
  <c r="I587" i="37"/>
  <c r="H587" i="37"/>
  <c r="G587" i="37"/>
  <c r="F587" i="37"/>
  <c r="E587" i="37"/>
  <c r="D587" i="37"/>
  <c r="C587" i="37"/>
  <c r="B587" i="37"/>
  <c r="R586" i="37"/>
  <c r="Q586" i="37"/>
  <c r="P586" i="37"/>
  <c r="O586" i="37"/>
  <c r="N586" i="37"/>
  <c r="M586" i="37"/>
  <c r="L586" i="37"/>
  <c r="K586" i="37"/>
  <c r="J586" i="37"/>
  <c r="I586" i="37"/>
  <c r="H586" i="37"/>
  <c r="G586" i="37"/>
  <c r="F586" i="37"/>
  <c r="E586" i="37"/>
  <c r="D586" i="37"/>
  <c r="C586" i="37"/>
  <c r="B586" i="37"/>
  <c r="R585" i="37"/>
  <c r="Q585" i="37"/>
  <c r="P585" i="37"/>
  <c r="O585" i="37"/>
  <c r="N585" i="37"/>
  <c r="M585" i="37"/>
  <c r="L585" i="37"/>
  <c r="K585" i="37"/>
  <c r="J585" i="37"/>
  <c r="I585" i="37"/>
  <c r="H585" i="37"/>
  <c r="G585" i="37"/>
  <c r="F585" i="37"/>
  <c r="E585" i="37"/>
  <c r="D585" i="37"/>
  <c r="C585" i="37"/>
  <c r="B585" i="37"/>
  <c r="R584" i="37"/>
  <c r="Q584" i="37"/>
  <c r="P584" i="37"/>
  <c r="O584" i="37"/>
  <c r="N584" i="37"/>
  <c r="M584" i="37"/>
  <c r="L584" i="37"/>
  <c r="K584" i="37"/>
  <c r="J584" i="37"/>
  <c r="I584" i="37"/>
  <c r="H584" i="37"/>
  <c r="G584" i="37"/>
  <c r="F584" i="37"/>
  <c r="E584" i="37"/>
  <c r="D584" i="37"/>
  <c r="C584" i="37"/>
  <c r="B584" i="37"/>
  <c r="R583" i="37"/>
  <c r="Q583" i="37"/>
  <c r="P583" i="37"/>
  <c r="O583" i="37"/>
  <c r="N583" i="37"/>
  <c r="M583" i="37"/>
  <c r="L583" i="37"/>
  <c r="K583" i="37"/>
  <c r="J583" i="37"/>
  <c r="I583" i="37"/>
  <c r="H583" i="37"/>
  <c r="G583" i="37"/>
  <c r="F583" i="37"/>
  <c r="E583" i="37"/>
  <c r="D583" i="37"/>
  <c r="C583" i="37"/>
  <c r="B583" i="37"/>
  <c r="R582" i="37"/>
  <c r="Q582" i="37"/>
  <c r="P582" i="37"/>
  <c r="O582" i="37"/>
  <c r="N582" i="37"/>
  <c r="M582" i="37"/>
  <c r="L582" i="37"/>
  <c r="K582" i="37"/>
  <c r="J582" i="37"/>
  <c r="I582" i="37"/>
  <c r="H582" i="37"/>
  <c r="G582" i="37"/>
  <c r="F582" i="37"/>
  <c r="E582" i="37"/>
  <c r="D582" i="37"/>
  <c r="C582" i="37"/>
  <c r="B582" i="37"/>
  <c r="R581" i="37"/>
  <c r="Q581" i="37"/>
  <c r="P581" i="37"/>
  <c r="O581" i="37"/>
  <c r="N581" i="37"/>
  <c r="M581" i="37"/>
  <c r="L581" i="37"/>
  <c r="K581" i="37"/>
  <c r="J581" i="37"/>
  <c r="I581" i="37"/>
  <c r="H581" i="37"/>
  <c r="G581" i="37"/>
  <c r="F581" i="37"/>
  <c r="E581" i="37"/>
  <c r="D581" i="37"/>
  <c r="C581" i="37"/>
  <c r="B581" i="37"/>
  <c r="R580" i="37"/>
  <c r="Q580" i="37"/>
  <c r="P580" i="37"/>
  <c r="O580" i="37"/>
  <c r="N580" i="37"/>
  <c r="M580" i="37"/>
  <c r="L580" i="37"/>
  <c r="K580" i="37"/>
  <c r="J580" i="37"/>
  <c r="I580" i="37"/>
  <c r="H580" i="37"/>
  <c r="G580" i="37"/>
  <c r="F580" i="37"/>
  <c r="E580" i="37"/>
  <c r="D580" i="37"/>
  <c r="C580" i="37"/>
  <c r="B580" i="37"/>
  <c r="R579" i="37"/>
  <c r="Q579" i="37"/>
  <c r="P579" i="37"/>
  <c r="O579" i="37"/>
  <c r="N579" i="37"/>
  <c r="M579" i="37"/>
  <c r="L579" i="37"/>
  <c r="K579" i="37"/>
  <c r="J579" i="37"/>
  <c r="I579" i="37"/>
  <c r="H579" i="37"/>
  <c r="G579" i="37"/>
  <c r="F579" i="37"/>
  <c r="E579" i="37"/>
  <c r="D579" i="37"/>
  <c r="C579" i="37"/>
  <c r="B579" i="37"/>
  <c r="R578" i="37"/>
  <c r="Q578" i="37"/>
  <c r="P578" i="37"/>
  <c r="O578" i="37"/>
  <c r="N578" i="37"/>
  <c r="M578" i="37"/>
  <c r="L578" i="37"/>
  <c r="K578" i="37"/>
  <c r="J578" i="37"/>
  <c r="I578" i="37"/>
  <c r="H578" i="37"/>
  <c r="G578" i="37"/>
  <c r="F578" i="37"/>
  <c r="E578" i="37"/>
  <c r="D578" i="37"/>
  <c r="C578" i="37"/>
  <c r="B578" i="37"/>
  <c r="R577" i="37"/>
  <c r="Q577" i="37"/>
  <c r="P577" i="37"/>
  <c r="O577" i="37"/>
  <c r="N577" i="37"/>
  <c r="M577" i="37"/>
  <c r="L577" i="37"/>
  <c r="K577" i="37"/>
  <c r="J577" i="37"/>
  <c r="I577" i="37"/>
  <c r="H577" i="37"/>
  <c r="G577" i="37"/>
  <c r="F577" i="37"/>
  <c r="E577" i="37"/>
  <c r="D577" i="37"/>
  <c r="C577" i="37"/>
  <c r="B577" i="37"/>
  <c r="R576" i="37"/>
  <c r="Q576" i="37"/>
  <c r="P576" i="37"/>
  <c r="O576" i="37"/>
  <c r="N576" i="37"/>
  <c r="M576" i="37"/>
  <c r="L576" i="37"/>
  <c r="K576" i="37"/>
  <c r="J576" i="37"/>
  <c r="I576" i="37"/>
  <c r="H576" i="37"/>
  <c r="G576" i="37"/>
  <c r="F576" i="37"/>
  <c r="E576" i="37"/>
  <c r="D576" i="37"/>
  <c r="C576" i="37"/>
  <c r="B576" i="37"/>
  <c r="R575" i="37"/>
  <c r="Q575" i="37"/>
  <c r="P575" i="37"/>
  <c r="O575" i="37"/>
  <c r="N575" i="37"/>
  <c r="M575" i="37"/>
  <c r="L575" i="37"/>
  <c r="K575" i="37"/>
  <c r="J575" i="37"/>
  <c r="I575" i="37"/>
  <c r="H575" i="37"/>
  <c r="G575" i="37"/>
  <c r="F575" i="37"/>
  <c r="E575" i="37"/>
  <c r="D575" i="37"/>
  <c r="C575" i="37"/>
  <c r="B575" i="37"/>
  <c r="R574" i="37"/>
  <c r="Q574" i="37"/>
  <c r="P574" i="37"/>
  <c r="O574" i="37"/>
  <c r="N574" i="37"/>
  <c r="M574" i="37"/>
  <c r="L574" i="37"/>
  <c r="K574" i="37"/>
  <c r="J574" i="37"/>
  <c r="I574" i="37"/>
  <c r="H574" i="37"/>
  <c r="G574" i="37"/>
  <c r="F574" i="37"/>
  <c r="E574" i="37"/>
  <c r="D574" i="37"/>
  <c r="C574" i="37"/>
  <c r="B574" i="37"/>
  <c r="R573" i="37"/>
  <c r="Q573" i="37"/>
  <c r="P573" i="37"/>
  <c r="O573" i="37"/>
  <c r="N573" i="37"/>
  <c r="M573" i="37"/>
  <c r="L573" i="37"/>
  <c r="K573" i="37"/>
  <c r="J573" i="37"/>
  <c r="I573" i="37"/>
  <c r="H573" i="37"/>
  <c r="G573" i="37"/>
  <c r="F573" i="37"/>
  <c r="E573" i="37"/>
  <c r="D573" i="37"/>
  <c r="C573" i="37"/>
  <c r="B573" i="37"/>
  <c r="R572" i="37"/>
  <c r="Q572" i="37"/>
  <c r="P572" i="37"/>
  <c r="O572" i="37"/>
  <c r="N572" i="37"/>
  <c r="M572" i="37"/>
  <c r="L572" i="37"/>
  <c r="K572" i="37"/>
  <c r="J572" i="37"/>
  <c r="I572" i="37"/>
  <c r="H572" i="37"/>
  <c r="G572" i="37"/>
  <c r="F572" i="37"/>
  <c r="E572" i="37"/>
  <c r="D572" i="37"/>
  <c r="C572" i="37"/>
  <c r="B572" i="37"/>
  <c r="R571" i="37"/>
  <c r="Q571" i="37"/>
  <c r="P571" i="37"/>
  <c r="O571" i="37"/>
  <c r="N571" i="37"/>
  <c r="M571" i="37"/>
  <c r="L571" i="37"/>
  <c r="K571" i="37"/>
  <c r="J571" i="37"/>
  <c r="I571" i="37"/>
  <c r="H571" i="37"/>
  <c r="G571" i="37"/>
  <c r="F571" i="37"/>
  <c r="E571" i="37"/>
  <c r="D571" i="37"/>
  <c r="C571" i="37"/>
  <c r="B571" i="37"/>
  <c r="R570" i="37"/>
  <c r="Q570" i="37"/>
  <c r="P570" i="37"/>
  <c r="O570" i="37"/>
  <c r="N570" i="37"/>
  <c r="M570" i="37"/>
  <c r="L570" i="37"/>
  <c r="K570" i="37"/>
  <c r="J570" i="37"/>
  <c r="I570" i="37"/>
  <c r="H570" i="37"/>
  <c r="G570" i="37"/>
  <c r="F570" i="37"/>
  <c r="E570" i="37"/>
  <c r="D570" i="37"/>
  <c r="C570" i="37"/>
  <c r="B570" i="37"/>
  <c r="R569" i="37"/>
  <c r="Q569" i="37"/>
  <c r="P569" i="37"/>
  <c r="O569" i="37"/>
  <c r="N569" i="37"/>
  <c r="M569" i="37"/>
  <c r="L569" i="37"/>
  <c r="K569" i="37"/>
  <c r="J569" i="37"/>
  <c r="I569" i="37"/>
  <c r="H569" i="37"/>
  <c r="G569" i="37"/>
  <c r="F569" i="37"/>
  <c r="E569" i="37"/>
  <c r="D569" i="37"/>
  <c r="C569" i="37"/>
  <c r="B569" i="37"/>
  <c r="R568" i="37"/>
  <c r="Q568" i="37"/>
  <c r="P568" i="37"/>
  <c r="O568" i="37"/>
  <c r="N568" i="37"/>
  <c r="M568" i="37"/>
  <c r="L568" i="37"/>
  <c r="K568" i="37"/>
  <c r="J568" i="37"/>
  <c r="I568" i="37"/>
  <c r="H568" i="37"/>
  <c r="G568" i="37"/>
  <c r="F568" i="37"/>
  <c r="E568" i="37"/>
  <c r="D568" i="37"/>
  <c r="C568" i="37"/>
  <c r="B568" i="37"/>
  <c r="R567" i="37"/>
  <c r="Q567" i="37"/>
  <c r="P567" i="37"/>
  <c r="O567" i="37"/>
  <c r="N567" i="37"/>
  <c r="M567" i="37"/>
  <c r="L567" i="37"/>
  <c r="K567" i="37"/>
  <c r="J567" i="37"/>
  <c r="I567" i="37"/>
  <c r="H567" i="37"/>
  <c r="G567" i="37"/>
  <c r="F567" i="37"/>
  <c r="E567" i="37"/>
  <c r="D567" i="37"/>
  <c r="C567" i="37"/>
  <c r="B567" i="37"/>
  <c r="R566" i="37"/>
  <c r="Q566" i="37"/>
  <c r="P566" i="37"/>
  <c r="O566" i="37"/>
  <c r="N566" i="37"/>
  <c r="M566" i="37"/>
  <c r="L566" i="37"/>
  <c r="K566" i="37"/>
  <c r="J566" i="37"/>
  <c r="I566" i="37"/>
  <c r="H566" i="37"/>
  <c r="G566" i="37"/>
  <c r="F566" i="37"/>
  <c r="E566" i="37"/>
  <c r="D566" i="37"/>
  <c r="C566" i="37"/>
  <c r="B566" i="37"/>
  <c r="R565" i="37"/>
  <c r="Q565" i="37"/>
  <c r="P565" i="37"/>
  <c r="O565" i="37"/>
  <c r="N565" i="37"/>
  <c r="M565" i="37"/>
  <c r="L565" i="37"/>
  <c r="K565" i="37"/>
  <c r="J565" i="37"/>
  <c r="I565" i="37"/>
  <c r="H565" i="37"/>
  <c r="G565" i="37"/>
  <c r="F565" i="37"/>
  <c r="E565" i="37"/>
  <c r="D565" i="37"/>
  <c r="C565" i="37"/>
  <c r="B565" i="37"/>
  <c r="R564" i="37"/>
  <c r="Q564" i="37"/>
  <c r="P564" i="37"/>
  <c r="O564" i="37"/>
  <c r="N564" i="37"/>
  <c r="M564" i="37"/>
  <c r="L564" i="37"/>
  <c r="K564" i="37"/>
  <c r="J564" i="37"/>
  <c r="I564" i="37"/>
  <c r="H564" i="37"/>
  <c r="G564" i="37"/>
  <c r="F564" i="37"/>
  <c r="E564" i="37"/>
  <c r="D564" i="37"/>
  <c r="C564" i="37"/>
  <c r="B564" i="37"/>
  <c r="R563" i="37"/>
  <c r="Q563" i="37"/>
  <c r="P563" i="37"/>
  <c r="O563" i="37"/>
  <c r="N563" i="37"/>
  <c r="M563" i="37"/>
  <c r="L563" i="37"/>
  <c r="K563" i="37"/>
  <c r="J563" i="37"/>
  <c r="I563" i="37"/>
  <c r="H563" i="37"/>
  <c r="G563" i="37"/>
  <c r="F563" i="37"/>
  <c r="E563" i="37"/>
  <c r="D563" i="37"/>
  <c r="C563" i="37"/>
  <c r="B563" i="37"/>
  <c r="R562" i="37"/>
  <c r="Q562" i="37"/>
  <c r="P562" i="37"/>
  <c r="O562" i="37"/>
  <c r="N562" i="37"/>
  <c r="M562" i="37"/>
  <c r="L562" i="37"/>
  <c r="K562" i="37"/>
  <c r="J562" i="37"/>
  <c r="I562" i="37"/>
  <c r="H562" i="37"/>
  <c r="G562" i="37"/>
  <c r="F562" i="37"/>
  <c r="E562" i="37"/>
  <c r="D562" i="37"/>
  <c r="C562" i="37"/>
  <c r="B562" i="37"/>
  <c r="R561" i="37"/>
  <c r="Q561" i="37"/>
  <c r="P561" i="37"/>
  <c r="O561" i="37"/>
  <c r="N561" i="37"/>
  <c r="M561" i="37"/>
  <c r="L561" i="37"/>
  <c r="K561" i="37"/>
  <c r="J561" i="37"/>
  <c r="I561" i="37"/>
  <c r="H561" i="37"/>
  <c r="G561" i="37"/>
  <c r="F561" i="37"/>
  <c r="E561" i="37"/>
  <c r="D561" i="37"/>
  <c r="C561" i="37"/>
  <c r="B561" i="37"/>
  <c r="R560" i="37"/>
  <c r="Q560" i="37"/>
  <c r="P560" i="37"/>
  <c r="O560" i="37"/>
  <c r="N560" i="37"/>
  <c r="M560" i="37"/>
  <c r="L560" i="37"/>
  <c r="K560" i="37"/>
  <c r="J560" i="37"/>
  <c r="I560" i="37"/>
  <c r="H560" i="37"/>
  <c r="G560" i="37"/>
  <c r="F560" i="37"/>
  <c r="E560" i="37"/>
  <c r="D560" i="37"/>
  <c r="C560" i="37"/>
  <c r="B560" i="37"/>
  <c r="R559" i="37"/>
  <c r="Q559" i="37"/>
  <c r="P559" i="37"/>
  <c r="O559" i="37"/>
  <c r="N559" i="37"/>
  <c r="M559" i="37"/>
  <c r="L559" i="37"/>
  <c r="K559" i="37"/>
  <c r="J559" i="37"/>
  <c r="I559" i="37"/>
  <c r="H559" i="37"/>
  <c r="G559" i="37"/>
  <c r="F559" i="37"/>
  <c r="E559" i="37"/>
  <c r="D559" i="37"/>
  <c r="C559" i="37"/>
  <c r="B559" i="37"/>
  <c r="R558" i="37"/>
  <c r="Q558" i="37"/>
  <c r="P558" i="37"/>
  <c r="O558" i="37"/>
  <c r="N558" i="37"/>
  <c r="M558" i="37"/>
  <c r="L558" i="37"/>
  <c r="K558" i="37"/>
  <c r="J558" i="37"/>
  <c r="I558" i="37"/>
  <c r="H558" i="37"/>
  <c r="G558" i="37"/>
  <c r="F558" i="37"/>
  <c r="E558" i="37"/>
  <c r="D558" i="37"/>
  <c r="C558" i="37"/>
  <c r="B558" i="37"/>
  <c r="R557" i="37"/>
  <c r="Q557" i="37"/>
  <c r="P557" i="37"/>
  <c r="O557" i="37"/>
  <c r="N557" i="37"/>
  <c r="M557" i="37"/>
  <c r="L557" i="37"/>
  <c r="K557" i="37"/>
  <c r="J557" i="37"/>
  <c r="I557" i="37"/>
  <c r="H557" i="37"/>
  <c r="G557" i="37"/>
  <c r="F557" i="37"/>
  <c r="E557" i="37"/>
  <c r="D557" i="37"/>
  <c r="C557" i="37"/>
  <c r="B557" i="37"/>
  <c r="R556" i="37"/>
  <c r="Q556" i="37"/>
  <c r="P556" i="37"/>
  <c r="O556" i="37"/>
  <c r="N556" i="37"/>
  <c r="M556" i="37"/>
  <c r="L556" i="37"/>
  <c r="K556" i="37"/>
  <c r="J556" i="37"/>
  <c r="I556" i="37"/>
  <c r="H556" i="37"/>
  <c r="G556" i="37"/>
  <c r="F556" i="37"/>
  <c r="E556" i="37"/>
  <c r="D556" i="37"/>
  <c r="C556" i="37"/>
  <c r="B556" i="37"/>
  <c r="R555" i="37"/>
  <c r="Q555" i="37"/>
  <c r="P555" i="37"/>
  <c r="O555" i="37"/>
  <c r="N555" i="37"/>
  <c r="M555" i="37"/>
  <c r="L555" i="37"/>
  <c r="K555" i="37"/>
  <c r="J555" i="37"/>
  <c r="I555" i="37"/>
  <c r="H555" i="37"/>
  <c r="G555" i="37"/>
  <c r="F555" i="37"/>
  <c r="E555" i="37"/>
  <c r="D555" i="37"/>
  <c r="C555" i="37"/>
  <c r="B555" i="37"/>
  <c r="R554" i="37"/>
  <c r="Q554" i="37"/>
  <c r="P554" i="37"/>
  <c r="O554" i="37"/>
  <c r="N554" i="37"/>
  <c r="M554" i="37"/>
  <c r="L554" i="37"/>
  <c r="K554" i="37"/>
  <c r="J554" i="37"/>
  <c r="I554" i="37"/>
  <c r="H554" i="37"/>
  <c r="G554" i="37"/>
  <c r="F554" i="37"/>
  <c r="E554" i="37"/>
  <c r="D554" i="37"/>
  <c r="C554" i="37"/>
  <c r="B554" i="37"/>
  <c r="R553" i="37"/>
  <c r="Q553" i="37"/>
  <c r="P553" i="37"/>
  <c r="O553" i="37"/>
  <c r="N553" i="37"/>
  <c r="M553" i="37"/>
  <c r="L553" i="37"/>
  <c r="K553" i="37"/>
  <c r="J553" i="37"/>
  <c r="I553" i="37"/>
  <c r="H553" i="37"/>
  <c r="G553" i="37"/>
  <c r="F553" i="37"/>
  <c r="E553" i="37"/>
  <c r="D553" i="37"/>
  <c r="C553" i="37"/>
  <c r="B553" i="37"/>
  <c r="R552" i="37"/>
  <c r="Q552" i="37"/>
  <c r="P552" i="37"/>
  <c r="O552" i="37"/>
  <c r="N552" i="37"/>
  <c r="M552" i="37"/>
  <c r="L552" i="37"/>
  <c r="K552" i="37"/>
  <c r="J552" i="37"/>
  <c r="I552" i="37"/>
  <c r="H552" i="37"/>
  <c r="G552" i="37"/>
  <c r="F552" i="37"/>
  <c r="E552" i="37"/>
  <c r="D552" i="37"/>
  <c r="C552" i="37"/>
  <c r="B552" i="37"/>
  <c r="R551" i="37"/>
  <c r="Q551" i="37"/>
  <c r="P551" i="37"/>
  <c r="O551" i="37"/>
  <c r="N551" i="37"/>
  <c r="M551" i="37"/>
  <c r="L551" i="37"/>
  <c r="K551" i="37"/>
  <c r="J551" i="37"/>
  <c r="I551" i="37"/>
  <c r="H551" i="37"/>
  <c r="G551" i="37"/>
  <c r="F551" i="37"/>
  <c r="E551" i="37"/>
  <c r="D551" i="37"/>
  <c r="C551" i="37"/>
  <c r="B551" i="37"/>
  <c r="R550" i="37"/>
  <c r="Q550" i="37"/>
  <c r="P550" i="37"/>
  <c r="O550" i="37"/>
  <c r="N550" i="37"/>
  <c r="M550" i="37"/>
  <c r="L550" i="37"/>
  <c r="K550" i="37"/>
  <c r="J550" i="37"/>
  <c r="I550" i="37"/>
  <c r="H550" i="37"/>
  <c r="G550" i="37"/>
  <c r="F550" i="37"/>
  <c r="E550" i="37"/>
  <c r="D550" i="37"/>
  <c r="C550" i="37"/>
  <c r="B550" i="37"/>
  <c r="R549" i="37"/>
  <c r="Q549" i="37"/>
  <c r="P549" i="37"/>
  <c r="O549" i="37"/>
  <c r="N549" i="37"/>
  <c r="M549" i="37"/>
  <c r="L549" i="37"/>
  <c r="K549" i="37"/>
  <c r="J549" i="37"/>
  <c r="I549" i="37"/>
  <c r="H549" i="37"/>
  <c r="G549" i="37"/>
  <c r="F549" i="37"/>
  <c r="E549" i="37"/>
  <c r="D549" i="37"/>
  <c r="C549" i="37"/>
  <c r="B549" i="37"/>
  <c r="R548" i="37"/>
  <c r="Q548" i="37"/>
  <c r="P548" i="37"/>
  <c r="O548" i="37"/>
  <c r="N548" i="37"/>
  <c r="M548" i="37"/>
  <c r="L548" i="37"/>
  <c r="K548" i="37"/>
  <c r="J548" i="37"/>
  <c r="I548" i="37"/>
  <c r="H548" i="37"/>
  <c r="G548" i="37"/>
  <c r="F548" i="37"/>
  <c r="E548" i="37"/>
  <c r="D548" i="37"/>
  <c r="C548" i="37"/>
  <c r="B548" i="37"/>
  <c r="R547" i="37"/>
  <c r="Q547" i="37"/>
  <c r="P547" i="37"/>
  <c r="O547" i="37"/>
  <c r="N547" i="37"/>
  <c r="M547" i="37"/>
  <c r="L547" i="37"/>
  <c r="K547" i="37"/>
  <c r="J547" i="37"/>
  <c r="I547" i="37"/>
  <c r="H547" i="37"/>
  <c r="G547" i="37"/>
  <c r="F547" i="37"/>
  <c r="E547" i="37"/>
  <c r="D547" i="37"/>
  <c r="C547" i="37"/>
  <c r="B547" i="37"/>
  <c r="R546" i="37"/>
  <c r="Q546" i="37"/>
  <c r="P546" i="37"/>
  <c r="O546" i="37"/>
  <c r="N546" i="37"/>
  <c r="M546" i="37"/>
  <c r="L546" i="37"/>
  <c r="K546" i="37"/>
  <c r="J546" i="37"/>
  <c r="I546" i="37"/>
  <c r="H546" i="37"/>
  <c r="G546" i="37"/>
  <c r="F546" i="37"/>
  <c r="E546" i="37"/>
  <c r="D546" i="37"/>
  <c r="C546" i="37"/>
  <c r="B546" i="37"/>
  <c r="R545" i="37"/>
  <c r="Q545" i="37"/>
  <c r="P545" i="37"/>
  <c r="O545" i="37"/>
  <c r="N545" i="37"/>
  <c r="M545" i="37"/>
  <c r="L545" i="37"/>
  <c r="K545" i="37"/>
  <c r="J545" i="37"/>
  <c r="I545" i="37"/>
  <c r="H545" i="37"/>
  <c r="G545" i="37"/>
  <c r="F545" i="37"/>
  <c r="E545" i="37"/>
  <c r="D545" i="37"/>
  <c r="C545" i="37"/>
  <c r="B545" i="37"/>
  <c r="R544" i="37"/>
  <c r="Q544" i="37"/>
  <c r="P544" i="37"/>
  <c r="O544" i="37"/>
  <c r="N544" i="37"/>
  <c r="M544" i="37"/>
  <c r="L544" i="37"/>
  <c r="K544" i="37"/>
  <c r="J544" i="37"/>
  <c r="I544" i="37"/>
  <c r="H544" i="37"/>
  <c r="G544" i="37"/>
  <c r="F544" i="37"/>
  <c r="E544" i="37"/>
  <c r="D544" i="37"/>
  <c r="C544" i="37"/>
  <c r="B544" i="37"/>
  <c r="R543" i="37"/>
  <c r="Q543" i="37"/>
  <c r="P543" i="37"/>
  <c r="O543" i="37"/>
  <c r="N543" i="37"/>
  <c r="M543" i="37"/>
  <c r="L543" i="37"/>
  <c r="K543" i="37"/>
  <c r="J543" i="37"/>
  <c r="I543" i="37"/>
  <c r="H543" i="37"/>
  <c r="G543" i="37"/>
  <c r="F543" i="37"/>
  <c r="E543" i="37"/>
  <c r="D543" i="37"/>
  <c r="C543" i="37"/>
  <c r="B543" i="37"/>
  <c r="R542" i="37"/>
  <c r="Q542" i="37"/>
  <c r="P542" i="37"/>
  <c r="O542" i="37"/>
  <c r="N542" i="37"/>
  <c r="M542" i="37"/>
  <c r="L542" i="37"/>
  <c r="K542" i="37"/>
  <c r="J542" i="37"/>
  <c r="I542" i="37"/>
  <c r="H542" i="37"/>
  <c r="G542" i="37"/>
  <c r="F542" i="37"/>
  <c r="E542" i="37"/>
  <c r="D542" i="37"/>
  <c r="C542" i="37"/>
  <c r="B542" i="37"/>
  <c r="R541" i="37"/>
  <c r="Q541" i="37"/>
  <c r="P541" i="37"/>
  <c r="O541" i="37"/>
  <c r="N541" i="37"/>
  <c r="M541" i="37"/>
  <c r="L541" i="37"/>
  <c r="K541" i="37"/>
  <c r="J541" i="37"/>
  <c r="I541" i="37"/>
  <c r="H541" i="37"/>
  <c r="G541" i="37"/>
  <c r="F541" i="37"/>
  <c r="E541" i="37"/>
  <c r="D541" i="37"/>
  <c r="C541" i="37"/>
  <c r="B541" i="37"/>
  <c r="R540" i="37"/>
  <c r="Q540" i="37"/>
  <c r="P540" i="37"/>
  <c r="O540" i="37"/>
  <c r="N540" i="37"/>
  <c r="M540" i="37"/>
  <c r="L540" i="37"/>
  <c r="K540" i="37"/>
  <c r="J540" i="37"/>
  <c r="I540" i="37"/>
  <c r="H540" i="37"/>
  <c r="G540" i="37"/>
  <c r="F540" i="37"/>
  <c r="E540" i="37"/>
  <c r="D540" i="37"/>
  <c r="C540" i="37"/>
  <c r="B540" i="37"/>
  <c r="R539" i="37"/>
  <c r="Q539" i="37"/>
  <c r="P539" i="37"/>
  <c r="O539" i="37"/>
  <c r="N539" i="37"/>
  <c r="M539" i="37"/>
  <c r="L539" i="37"/>
  <c r="K539" i="37"/>
  <c r="J539" i="37"/>
  <c r="I539" i="37"/>
  <c r="H539" i="37"/>
  <c r="G539" i="37"/>
  <c r="F539" i="37"/>
  <c r="E539" i="37"/>
  <c r="D539" i="37"/>
  <c r="C539" i="37"/>
  <c r="B539" i="37"/>
  <c r="R538" i="37"/>
  <c r="Q538" i="37"/>
  <c r="P538" i="37"/>
  <c r="O538" i="37"/>
  <c r="N538" i="37"/>
  <c r="M538" i="37"/>
  <c r="L538" i="37"/>
  <c r="K538" i="37"/>
  <c r="J538" i="37"/>
  <c r="I538" i="37"/>
  <c r="H538" i="37"/>
  <c r="G538" i="37"/>
  <c r="F538" i="37"/>
  <c r="E538" i="37"/>
  <c r="D538" i="37"/>
  <c r="C538" i="37"/>
  <c r="B538" i="37"/>
  <c r="R537" i="37"/>
  <c r="Q537" i="37"/>
  <c r="P537" i="37"/>
  <c r="O537" i="37"/>
  <c r="N537" i="37"/>
  <c r="M537" i="37"/>
  <c r="L537" i="37"/>
  <c r="K537" i="37"/>
  <c r="J537" i="37"/>
  <c r="I537" i="37"/>
  <c r="H537" i="37"/>
  <c r="G537" i="37"/>
  <c r="F537" i="37"/>
  <c r="E537" i="37"/>
  <c r="D537" i="37"/>
  <c r="C537" i="37"/>
  <c r="B537" i="37"/>
  <c r="R536" i="37"/>
  <c r="Q536" i="37"/>
  <c r="P536" i="37"/>
  <c r="O536" i="37"/>
  <c r="N536" i="37"/>
  <c r="M536" i="37"/>
  <c r="L536" i="37"/>
  <c r="K536" i="37"/>
  <c r="J536" i="37"/>
  <c r="I536" i="37"/>
  <c r="H536" i="37"/>
  <c r="G536" i="37"/>
  <c r="F536" i="37"/>
  <c r="E536" i="37"/>
  <c r="D536" i="37"/>
  <c r="C536" i="37"/>
  <c r="B536" i="37"/>
  <c r="R535" i="37"/>
  <c r="Q535" i="37"/>
  <c r="P535" i="37"/>
  <c r="O535" i="37"/>
  <c r="N535" i="37"/>
  <c r="M535" i="37"/>
  <c r="L535" i="37"/>
  <c r="K535" i="37"/>
  <c r="J535" i="37"/>
  <c r="I535" i="37"/>
  <c r="H535" i="37"/>
  <c r="G535" i="37"/>
  <c r="F535" i="37"/>
  <c r="E535" i="37"/>
  <c r="D535" i="37"/>
  <c r="C535" i="37"/>
  <c r="B535" i="37"/>
  <c r="R534" i="37"/>
  <c r="Q534" i="37"/>
  <c r="P534" i="37"/>
  <c r="O534" i="37"/>
  <c r="N534" i="37"/>
  <c r="M534" i="37"/>
  <c r="L534" i="37"/>
  <c r="K534" i="37"/>
  <c r="J534" i="37"/>
  <c r="I534" i="37"/>
  <c r="H534" i="37"/>
  <c r="G534" i="37"/>
  <c r="F534" i="37"/>
  <c r="E534" i="37"/>
  <c r="D534" i="37"/>
  <c r="C534" i="37"/>
  <c r="B534" i="37"/>
  <c r="R533" i="37"/>
  <c r="Q533" i="37"/>
  <c r="P533" i="37"/>
  <c r="O533" i="37"/>
  <c r="N533" i="37"/>
  <c r="M533" i="37"/>
  <c r="L533" i="37"/>
  <c r="K533" i="37"/>
  <c r="J533" i="37"/>
  <c r="I533" i="37"/>
  <c r="H533" i="37"/>
  <c r="G533" i="37"/>
  <c r="F533" i="37"/>
  <c r="E533" i="37"/>
  <c r="D533" i="37"/>
  <c r="C533" i="37"/>
  <c r="B533" i="37"/>
  <c r="R532" i="37"/>
  <c r="Q532" i="37"/>
  <c r="P532" i="37"/>
  <c r="O532" i="37"/>
  <c r="N532" i="37"/>
  <c r="M532" i="37"/>
  <c r="L532" i="37"/>
  <c r="K532" i="37"/>
  <c r="J532" i="37"/>
  <c r="I532" i="37"/>
  <c r="H532" i="37"/>
  <c r="G532" i="37"/>
  <c r="F532" i="37"/>
  <c r="E532" i="37"/>
  <c r="D532" i="37"/>
  <c r="C532" i="37"/>
  <c r="B532" i="37"/>
  <c r="R531" i="37"/>
  <c r="Q531" i="37"/>
  <c r="P531" i="37"/>
  <c r="O531" i="37"/>
  <c r="N531" i="37"/>
  <c r="M531" i="37"/>
  <c r="L531" i="37"/>
  <c r="K531" i="37"/>
  <c r="J531" i="37"/>
  <c r="I531" i="37"/>
  <c r="H531" i="37"/>
  <c r="G531" i="37"/>
  <c r="F531" i="37"/>
  <c r="E531" i="37"/>
  <c r="D531" i="37"/>
  <c r="C531" i="37"/>
  <c r="B531" i="37"/>
  <c r="R530" i="37"/>
  <c r="Q530" i="37"/>
  <c r="P530" i="37"/>
  <c r="O530" i="37"/>
  <c r="N530" i="37"/>
  <c r="M530" i="37"/>
  <c r="L530" i="37"/>
  <c r="K530" i="37"/>
  <c r="J530" i="37"/>
  <c r="I530" i="37"/>
  <c r="H530" i="37"/>
  <c r="G530" i="37"/>
  <c r="F530" i="37"/>
  <c r="E530" i="37"/>
  <c r="D530" i="37"/>
  <c r="C530" i="37"/>
  <c r="B530" i="37"/>
  <c r="R529" i="37"/>
  <c r="Q529" i="37"/>
  <c r="P529" i="37"/>
  <c r="O529" i="37"/>
  <c r="N529" i="37"/>
  <c r="M529" i="37"/>
  <c r="L529" i="37"/>
  <c r="K529" i="37"/>
  <c r="J529" i="37"/>
  <c r="I529" i="37"/>
  <c r="H529" i="37"/>
  <c r="G529" i="37"/>
  <c r="F529" i="37"/>
  <c r="E529" i="37"/>
  <c r="D529" i="37"/>
  <c r="C529" i="37"/>
  <c r="B529" i="37"/>
  <c r="R528" i="37"/>
  <c r="Q528" i="37"/>
  <c r="P528" i="37"/>
  <c r="O528" i="37"/>
  <c r="N528" i="37"/>
  <c r="M528" i="37"/>
  <c r="L528" i="37"/>
  <c r="K528" i="37"/>
  <c r="J528" i="37"/>
  <c r="I528" i="37"/>
  <c r="H528" i="37"/>
  <c r="G528" i="37"/>
  <c r="F528" i="37"/>
  <c r="E528" i="37"/>
  <c r="D528" i="37"/>
  <c r="C528" i="37"/>
  <c r="B528" i="37"/>
  <c r="R527" i="37"/>
  <c r="Q527" i="37"/>
  <c r="P527" i="37"/>
  <c r="O527" i="37"/>
  <c r="N527" i="37"/>
  <c r="M527" i="37"/>
  <c r="L527" i="37"/>
  <c r="K527" i="37"/>
  <c r="J527" i="37"/>
  <c r="I527" i="37"/>
  <c r="H527" i="37"/>
  <c r="G527" i="37"/>
  <c r="F527" i="37"/>
  <c r="E527" i="37"/>
  <c r="D527" i="37"/>
  <c r="C527" i="37"/>
  <c r="B527" i="37"/>
  <c r="R526" i="37"/>
  <c r="Q526" i="37"/>
  <c r="P526" i="37"/>
  <c r="O526" i="37"/>
  <c r="N526" i="37"/>
  <c r="M526" i="37"/>
  <c r="L526" i="37"/>
  <c r="K526" i="37"/>
  <c r="J526" i="37"/>
  <c r="I526" i="37"/>
  <c r="H526" i="37"/>
  <c r="G526" i="37"/>
  <c r="F526" i="37"/>
  <c r="E526" i="37"/>
  <c r="D526" i="37"/>
  <c r="C526" i="37"/>
  <c r="B526" i="37"/>
  <c r="R525" i="37"/>
  <c r="Q525" i="37"/>
  <c r="P525" i="37"/>
  <c r="O525" i="37"/>
  <c r="N525" i="37"/>
  <c r="M525" i="37"/>
  <c r="L525" i="37"/>
  <c r="K525" i="37"/>
  <c r="J525" i="37"/>
  <c r="I525" i="37"/>
  <c r="H525" i="37"/>
  <c r="G525" i="37"/>
  <c r="F525" i="37"/>
  <c r="E525" i="37"/>
  <c r="D525" i="37"/>
  <c r="C525" i="37"/>
  <c r="B525" i="37"/>
  <c r="R524" i="37"/>
  <c r="Q524" i="37"/>
  <c r="P524" i="37"/>
  <c r="O524" i="37"/>
  <c r="N524" i="37"/>
  <c r="M524" i="37"/>
  <c r="L524" i="37"/>
  <c r="K524" i="37"/>
  <c r="J524" i="37"/>
  <c r="I524" i="37"/>
  <c r="H524" i="37"/>
  <c r="G524" i="37"/>
  <c r="F524" i="37"/>
  <c r="E524" i="37"/>
  <c r="D524" i="37"/>
  <c r="C524" i="37"/>
  <c r="B524" i="37"/>
  <c r="R523" i="37"/>
  <c r="Q523" i="37"/>
  <c r="P523" i="37"/>
  <c r="O523" i="37"/>
  <c r="N523" i="37"/>
  <c r="M523" i="37"/>
  <c r="L523" i="37"/>
  <c r="K523" i="37"/>
  <c r="J523" i="37"/>
  <c r="I523" i="37"/>
  <c r="H523" i="37"/>
  <c r="G523" i="37"/>
  <c r="F523" i="37"/>
  <c r="E523" i="37"/>
  <c r="D523" i="37"/>
  <c r="C523" i="37"/>
  <c r="B523" i="37"/>
  <c r="R522" i="37"/>
  <c r="Q522" i="37"/>
  <c r="P522" i="37"/>
  <c r="O522" i="37"/>
  <c r="N522" i="37"/>
  <c r="M522" i="37"/>
  <c r="L522" i="37"/>
  <c r="K522" i="37"/>
  <c r="J522" i="37"/>
  <c r="I522" i="37"/>
  <c r="H522" i="37"/>
  <c r="G522" i="37"/>
  <c r="F522" i="37"/>
  <c r="E522" i="37"/>
  <c r="D522" i="37"/>
  <c r="C522" i="37"/>
  <c r="B522" i="37"/>
  <c r="R521" i="37"/>
  <c r="Q521" i="37"/>
  <c r="P521" i="37"/>
  <c r="O521" i="37"/>
  <c r="N521" i="37"/>
  <c r="M521" i="37"/>
  <c r="L521" i="37"/>
  <c r="K521" i="37"/>
  <c r="J521" i="37"/>
  <c r="I521" i="37"/>
  <c r="H521" i="37"/>
  <c r="G521" i="37"/>
  <c r="F521" i="37"/>
  <c r="E521" i="37"/>
  <c r="D521" i="37"/>
  <c r="C521" i="37"/>
  <c r="B521" i="37"/>
  <c r="R520" i="37"/>
  <c r="Q520" i="37"/>
  <c r="P520" i="37"/>
  <c r="O520" i="37"/>
  <c r="N520" i="37"/>
  <c r="M520" i="37"/>
  <c r="L520" i="37"/>
  <c r="K520" i="37"/>
  <c r="J520" i="37"/>
  <c r="I520" i="37"/>
  <c r="H520" i="37"/>
  <c r="G520" i="37"/>
  <c r="F520" i="37"/>
  <c r="E520" i="37"/>
  <c r="D520" i="37"/>
  <c r="C520" i="37"/>
  <c r="B520" i="37"/>
  <c r="R519" i="37"/>
  <c r="Q519" i="37"/>
  <c r="P519" i="37"/>
  <c r="O519" i="37"/>
  <c r="N519" i="37"/>
  <c r="M519" i="37"/>
  <c r="L519" i="37"/>
  <c r="K519" i="37"/>
  <c r="J519" i="37"/>
  <c r="I519" i="37"/>
  <c r="H519" i="37"/>
  <c r="G519" i="37"/>
  <c r="F519" i="37"/>
  <c r="E519" i="37"/>
  <c r="D519" i="37"/>
  <c r="C519" i="37"/>
  <c r="B519" i="37"/>
  <c r="R518" i="37"/>
  <c r="Q518" i="37"/>
  <c r="P518" i="37"/>
  <c r="O518" i="37"/>
  <c r="N518" i="37"/>
  <c r="M518" i="37"/>
  <c r="L518" i="37"/>
  <c r="K518" i="37"/>
  <c r="J518" i="37"/>
  <c r="I518" i="37"/>
  <c r="H518" i="37"/>
  <c r="G518" i="37"/>
  <c r="F518" i="37"/>
  <c r="E518" i="37"/>
  <c r="D518" i="37"/>
  <c r="C518" i="37"/>
  <c r="B518" i="37"/>
  <c r="R517" i="37"/>
  <c r="Q517" i="37"/>
  <c r="P517" i="37"/>
  <c r="O517" i="37"/>
  <c r="N517" i="37"/>
  <c r="M517" i="37"/>
  <c r="L517" i="37"/>
  <c r="K517" i="37"/>
  <c r="J517" i="37"/>
  <c r="I517" i="37"/>
  <c r="H517" i="37"/>
  <c r="G517" i="37"/>
  <c r="F517" i="37"/>
  <c r="E517" i="37"/>
  <c r="D517" i="37"/>
  <c r="C517" i="37"/>
  <c r="B517" i="37"/>
  <c r="R516" i="37"/>
  <c r="Q516" i="37"/>
  <c r="P516" i="37"/>
  <c r="O516" i="37"/>
  <c r="N516" i="37"/>
  <c r="M516" i="37"/>
  <c r="L516" i="37"/>
  <c r="K516" i="37"/>
  <c r="J516" i="37"/>
  <c r="I516" i="37"/>
  <c r="H516" i="37"/>
  <c r="G516" i="37"/>
  <c r="F516" i="37"/>
  <c r="E516" i="37"/>
  <c r="D516" i="37"/>
  <c r="C516" i="37"/>
  <c r="B516" i="37"/>
  <c r="R515" i="37"/>
  <c r="Q515" i="37"/>
  <c r="P515" i="37"/>
  <c r="O515" i="37"/>
  <c r="N515" i="37"/>
  <c r="M515" i="37"/>
  <c r="L515" i="37"/>
  <c r="K515" i="37"/>
  <c r="J515" i="37"/>
  <c r="I515" i="37"/>
  <c r="H515" i="37"/>
  <c r="G515" i="37"/>
  <c r="F515" i="37"/>
  <c r="E515" i="37"/>
  <c r="D515" i="37"/>
  <c r="C515" i="37"/>
  <c r="B515" i="37"/>
  <c r="R514" i="37"/>
  <c r="Q514" i="37"/>
  <c r="P514" i="37"/>
  <c r="O514" i="37"/>
  <c r="N514" i="37"/>
  <c r="M514" i="37"/>
  <c r="L514" i="37"/>
  <c r="K514" i="37"/>
  <c r="J514" i="37"/>
  <c r="I514" i="37"/>
  <c r="H514" i="37"/>
  <c r="G514" i="37"/>
  <c r="F514" i="37"/>
  <c r="E514" i="37"/>
  <c r="D514" i="37"/>
  <c r="C514" i="37"/>
  <c r="B514" i="37"/>
  <c r="R513" i="37"/>
  <c r="Q513" i="37"/>
  <c r="P513" i="37"/>
  <c r="O513" i="37"/>
  <c r="N513" i="37"/>
  <c r="M513" i="37"/>
  <c r="L513" i="37"/>
  <c r="K513" i="37"/>
  <c r="J513" i="37"/>
  <c r="I513" i="37"/>
  <c r="H513" i="37"/>
  <c r="G513" i="37"/>
  <c r="F513" i="37"/>
  <c r="E513" i="37"/>
  <c r="D513" i="37"/>
  <c r="C513" i="37"/>
  <c r="B513" i="37"/>
  <c r="R512" i="37"/>
  <c r="Q512" i="37"/>
  <c r="P512" i="37"/>
  <c r="O512" i="37"/>
  <c r="N512" i="37"/>
  <c r="M512" i="37"/>
  <c r="L512" i="37"/>
  <c r="K512" i="37"/>
  <c r="J512" i="37"/>
  <c r="I512" i="37"/>
  <c r="H512" i="37"/>
  <c r="G512" i="37"/>
  <c r="F512" i="37"/>
  <c r="E512" i="37"/>
  <c r="D512" i="37"/>
  <c r="C512" i="37"/>
  <c r="B512" i="37"/>
  <c r="R511" i="37"/>
  <c r="Q511" i="37"/>
  <c r="P511" i="37"/>
  <c r="O511" i="37"/>
  <c r="N511" i="37"/>
  <c r="M511" i="37"/>
  <c r="L511" i="37"/>
  <c r="K511" i="37"/>
  <c r="J511" i="37"/>
  <c r="I511" i="37"/>
  <c r="H511" i="37"/>
  <c r="G511" i="37"/>
  <c r="F511" i="37"/>
  <c r="E511" i="37"/>
  <c r="D511" i="37"/>
  <c r="C511" i="37"/>
  <c r="B511" i="37"/>
  <c r="R510" i="37"/>
  <c r="Q510" i="37"/>
  <c r="P510" i="37"/>
  <c r="O510" i="37"/>
  <c r="N510" i="37"/>
  <c r="M510" i="37"/>
  <c r="L510" i="37"/>
  <c r="K510" i="37"/>
  <c r="J510" i="37"/>
  <c r="I510" i="37"/>
  <c r="H510" i="37"/>
  <c r="G510" i="37"/>
  <c r="F510" i="37"/>
  <c r="E510" i="37"/>
  <c r="D510" i="37"/>
  <c r="C510" i="37"/>
  <c r="B510" i="37"/>
  <c r="R509" i="37"/>
  <c r="Q509" i="37"/>
  <c r="P509" i="37"/>
  <c r="O509" i="37"/>
  <c r="N509" i="37"/>
  <c r="M509" i="37"/>
  <c r="L509" i="37"/>
  <c r="K509" i="37"/>
  <c r="J509" i="37"/>
  <c r="I509" i="37"/>
  <c r="H509" i="37"/>
  <c r="G509" i="37"/>
  <c r="F509" i="37"/>
  <c r="E509" i="37"/>
  <c r="D509" i="37"/>
  <c r="C509" i="37"/>
  <c r="B509" i="37"/>
  <c r="R508" i="37"/>
  <c r="Q508" i="37"/>
  <c r="P508" i="37"/>
  <c r="O508" i="37"/>
  <c r="N508" i="37"/>
  <c r="M508" i="37"/>
  <c r="L508" i="37"/>
  <c r="K508" i="37"/>
  <c r="J508" i="37"/>
  <c r="I508" i="37"/>
  <c r="H508" i="37"/>
  <c r="G508" i="37"/>
  <c r="F508" i="37"/>
  <c r="E508" i="37"/>
  <c r="D508" i="37"/>
  <c r="C508" i="37"/>
  <c r="B508" i="37"/>
  <c r="R507" i="37"/>
  <c r="Q507" i="37"/>
  <c r="P507" i="37"/>
  <c r="O507" i="37"/>
  <c r="N507" i="37"/>
  <c r="M507" i="37"/>
  <c r="L507" i="37"/>
  <c r="K507" i="37"/>
  <c r="J507" i="37"/>
  <c r="I507" i="37"/>
  <c r="H507" i="37"/>
  <c r="G507" i="37"/>
  <c r="F507" i="37"/>
  <c r="E507" i="37"/>
  <c r="D507" i="37"/>
  <c r="C507" i="37"/>
  <c r="B507" i="37"/>
  <c r="R506" i="37"/>
  <c r="Q506" i="37"/>
  <c r="P506" i="37"/>
  <c r="O506" i="37"/>
  <c r="N506" i="37"/>
  <c r="M506" i="37"/>
  <c r="L506" i="37"/>
  <c r="K506" i="37"/>
  <c r="J506" i="37"/>
  <c r="I506" i="37"/>
  <c r="H506" i="37"/>
  <c r="G506" i="37"/>
  <c r="F506" i="37"/>
  <c r="E506" i="37"/>
  <c r="D506" i="37"/>
  <c r="C506" i="37"/>
  <c r="B506" i="37"/>
  <c r="R505" i="37"/>
  <c r="Q505" i="37"/>
  <c r="P505" i="37"/>
  <c r="O505" i="37"/>
  <c r="N505" i="37"/>
  <c r="M505" i="37"/>
  <c r="L505" i="37"/>
  <c r="K505" i="37"/>
  <c r="J505" i="37"/>
  <c r="I505" i="37"/>
  <c r="H505" i="37"/>
  <c r="G505" i="37"/>
  <c r="F505" i="37"/>
  <c r="E505" i="37"/>
  <c r="D505" i="37"/>
  <c r="C505" i="37"/>
  <c r="B505" i="37"/>
  <c r="R504" i="37"/>
  <c r="Q504" i="37"/>
  <c r="P504" i="37"/>
  <c r="O504" i="37"/>
  <c r="N504" i="37"/>
  <c r="M504" i="37"/>
  <c r="L504" i="37"/>
  <c r="K504" i="37"/>
  <c r="J504" i="37"/>
  <c r="I504" i="37"/>
  <c r="H504" i="37"/>
  <c r="G504" i="37"/>
  <c r="F504" i="37"/>
  <c r="E504" i="37"/>
  <c r="D504" i="37"/>
  <c r="C504" i="37"/>
  <c r="B504" i="37"/>
  <c r="R503" i="37"/>
  <c r="Q503" i="37"/>
  <c r="P503" i="37"/>
  <c r="O503" i="37"/>
  <c r="N503" i="37"/>
  <c r="M503" i="37"/>
  <c r="L503" i="37"/>
  <c r="K503" i="37"/>
  <c r="J503" i="37"/>
  <c r="I503" i="37"/>
  <c r="H503" i="37"/>
  <c r="G503" i="37"/>
  <c r="F503" i="37"/>
  <c r="E503" i="37"/>
  <c r="D503" i="37"/>
  <c r="C503" i="37"/>
  <c r="B503" i="37"/>
  <c r="R502" i="37"/>
  <c r="Q502" i="37"/>
  <c r="P502" i="37"/>
  <c r="O502" i="37"/>
  <c r="N502" i="37"/>
  <c r="M502" i="37"/>
  <c r="L502" i="37"/>
  <c r="K502" i="37"/>
  <c r="J502" i="37"/>
  <c r="I502" i="37"/>
  <c r="H502" i="37"/>
  <c r="G502" i="37"/>
  <c r="F502" i="37"/>
  <c r="E502" i="37"/>
  <c r="D502" i="37"/>
  <c r="C502" i="37"/>
  <c r="B502" i="37"/>
  <c r="R501" i="37"/>
  <c r="Q501" i="37"/>
  <c r="P501" i="37"/>
  <c r="O501" i="37"/>
  <c r="N501" i="37"/>
  <c r="M501" i="37"/>
  <c r="L501" i="37"/>
  <c r="K501" i="37"/>
  <c r="J501" i="37"/>
  <c r="I501" i="37"/>
  <c r="H501" i="37"/>
  <c r="G501" i="37"/>
  <c r="F501" i="37"/>
  <c r="E501" i="37"/>
  <c r="D501" i="37"/>
  <c r="C501" i="37"/>
  <c r="B501" i="37"/>
  <c r="R500" i="37"/>
  <c r="Q500" i="37"/>
  <c r="P500" i="37"/>
  <c r="O500" i="37"/>
  <c r="N500" i="37"/>
  <c r="M500" i="37"/>
  <c r="L500" i="37"/>
  <c r="K500" i="37"/>
  <c r="J500" i="37"/>
  <c r="I500" i="37"/>
  <c r="H500" i="37"/>
  <c r="G500" i="37"/>
  <c r="F500" i="37"/>
  <c r="E500" i="37"/>
  <c r="D500" i="37"/>
  <c r="C500" i="37"/>
  <c r="B500" i="37"/>
  <c r="R499" i="37"/>
  <c r="Q499" i="37"/>
  <c r="P499" i="37"/>
  <c r="O499" i="37"/>
  <c r="N499" i="37"/>
  <c r="M499" i="37"/>
  <c r="L499" i="37"/>
  <c r="K499" i="37"/>
  <c r="J499" i="37"/>
  <c r="I499" i="37"/>
  <c r="H499" i="37"/>
  <c r="G499" i="37"/>
  <c r="F499" i="37"/>
  <c r="E499" i="37"/>
  <c r="D499" i="37"/>
  <c r="C499" i="37"/>
  <c r="B499" i="37"/>
  <c r="R498" i="37"/>
  <c r="Q498" i="37"/>
  <c r="P498" i="37"/>
  <c r="O498" i="37"/>
  <c r="N498" i="37"/>
  <c r="M498" i="37"/>
  <c r="L498" i="37"/>
  <c r="K498" i="37"/>
  <c r="J498" i="37"/>
  <c r="I498" i="37"/>
  <c r="H498" i="37"/>
  <c r="G498" i="37"/>
  <c r="F498" i="37"/>
  <c r="E498" i="37"/>
  <c r="D498" i="37"/>
  <c r="C498" i="37"/>
  <c r="B498" i="37"/>
  <c r="R497" i="37"/>
  <c r="Q497" i="37"/>
  <c r="P497" i="37"/>
  <c r="O497" i="37"/>
  <c r="N497" i="37"/>
  <c r="M497" i="37"/>
  <c r="L497" i="37"/>
  <c r="K497" i="37"/>
  <c r="J497" i="37"/>
  <c r="I497" i="37"/>
  <c r="H497" i="37"/>
  <c r="G497" i="37"/>
  <c r="F497" i="37"/>
  <c r="E497" i="37"/>
  <c r="D497" i="37"/>
  <c r="C497" i="37"/>
  <c r="B497" i="37"/>
  <c r="R496" i="37"/>
  <c r="Q496" i="37"/>
  <c r="P496" i="37"/>
  <c r="O496" i="37"/>
  <c r="N496" i="37"/>
  <c r="M496" i="37"/>
  <c r="L496" i="37"/>
  <c r="K496" i="37"/>
  <c r="J496" i="37"/>
  <c r="I496" i="37"/>
  <c r="H496" i="37"/>
  <c r="G496" i="37"/>
  <c r="F496" i="37"/>
  <c r="E496" i="37"/>
  <c r="D496" i="37"/>
  <c r="C496" i="37"/>
  <c r="B496" i="37"/>
  <c r="R495" i="37"/>
  <c r="Q495" i="37"/>
  <c r="P495" i="37"/>
  <c r="O495" i="37"/>
  <c r="N495" i="37"/>
  <c r="M495" i="37"/>
  <c r="L495" i="37"/>
  <c r="K495" i="37"/>
  <c r="J495" i="37"/>
  <c r="I495" i="37"/>
  <c r="H495" i="37"/>
  <c r="G495" i="37"/>
  <c r="F495" i="37"/>
  <c r="E495" i="37"/>
  <c r="D495" i="37"/>
  <c r="C495" i="37"/>
  <c r="B495" i="37"/>
  <c r="R494" i="37"/>
  <c r="Q494" i="37"/>
  <c r="P494" i="37"/>
  <c r="O494" i="37"/>
  <c r="N494" i="37"/>
  <c r="M494" i="37"/>
  <c r="L494" i="37"/>
  <c r="K494" i="37"/>
  <c r="J494" i="37"/>
  <c r="I494" i="37"/>
  <c r="H494" i="37"/>
  <c r="G494" i="37"/>
  <c r="F494" i="37"/>
  <c r="E494" i="37"/>
  <c r="D494" i="37"/>
  <c r="C494" i="37"/>
  <c r="B494" i="37"/>
  <c r="R493" i="37"/>
  <c r="Q493" i="37"/>
  <c r="P493" i="37"/>
  <c r="O493" i="37"/>
  <c r="N493" i="37"/>
  <c r="M493" i="37"/>
  <c r="L493" i="37"/>
  <c r="K493" i="37"/>
  <c r="J493" i="37"/>
  <c r="I493" i="37"/>
  <c r="H493" i="37"/>
  <c r="G493" i="37"/>
  <c r="F493" i="37"/>
  <c r="E493" i="37"/>
  <c r="D493" i="37"/>
  <c r="C493" i="37"/>
  <c r="B493" i="37"/>
  <c r="R492" i="37"/>
  <c r="Q492" i="37"/>
  <c r="P492" i="37"/>
  <c r="O492" i="37"/>
  <c r="N492" i="37"/>
  <c r="M492" i="37"/>
  <c r="L492" i="37"/>
  <c r="K492" i="37"/>
  <c r="J492" i="37"/>
  <c r="I492" i="37"/>
  <c r="H492" i="37"/>
  <c r="G492" i="37"/>
  <c r="F492" i="37"/>
  <c r="E492" i="37"/>
  <c r="D492" i="37"/>
  <c r="C492" i="37"/>
  <c r="B492" i="37"/>
  <c r="R491" i="37"/>
  <c r="Q491" i="37"/>
  <c r="P491" i="37"/>
  <c r="O491" i="37"/>
  <c r="N491" i="37"/>
  <c r="M491" i="37"/>
  <c r="L491" i="37"/>
  <c r="K491" i="37"/>
  <c r="J491" i="37"/>
  <c r="I491" i="37"/>
  <c r="H491" i="37"/>
  <c r="G491" i="37"/>
  <c r="F491" i="37"/>
  <c r="E491" i="37"/>
  <c r="D491" i="37"/>
  <c r="C491" i="37"/>
  <c r="B491" i="37"/>
  <c r="R490" i="37"/>
  <c r="Q490" i="37"/>
  <c r="P490" i="37"/>
  <c r="O490" i="37"/>
  <c r="N490" i="37"/>
  <c r="M490" i="37"/>
  <c r="L490" i="37"/>
  <c r="K490" i="37"/>
  <c r="J490" i="37"/>
  <c r="I490" i="37"/>
  <c r="H490" i="37"/>
  <c r="G490" i="37"/>
  <c r="F490" i="37"/>
  <c r="E490" i="37"/>
  <c r="D490" i="37"/>
  <c r="C490" i="37"/>
  <c r="B490" i="37"/>
  <c r="R489" i="37"/>
  <c r="Q489" i="37"/>
  <c r="P489" i="37"/>
  <c r="O489" i="37"/>
  <c r="N489" i="37"/>
  <c r="M489" i="37"/>
  <c r="L489" i="37"/>
  <c r="K489" i="37"/>
  <c r="J489" i="37"/>
  <c r="I489" i="37"/>
  <c r="H489" i="37"/>
  <c r="G489" i="37"/>
  <c r="F489" i="37"/>
  <c r="E489" i="37"/>
  <c r="D489" i="37"/>
  <c r="C489" i="37"/>
  <c r="B489" i="37"/>
  <c r="R488" i="37"/>
  <c r="Q488" i="37"/>
  <c r="P488" i="37"/>
  <c r="O488" i="37"/>
  <c r="N488" i="37"/>
  <c r="M488" i="37"/>
  <c r="L488" i="37"/>
  <c r="K488" i="37"/>
  <c r="J488" i="37"/>
  <c r="I488" i="37"/>
  <c r="H488" i="37"/>
  <c r="G488" i="37"/>
  <c r="F488" i="37"/>
  <c r="E488" i="37"/>
  <c r="D488" i="37"/>
  <c r="C488" i="37"/>
  <c r="B488" i="37"/>
  <c r="R487" i="37"/>
  <c r="Q487" i="37"/>
  <c r="P487" i="37"/>
  <c r="O487" i="37"/>
  <c r="N487" i="37"/>
  <c r="M487" i="37"/>
  <c r="L487" i="37"/>
  <c r="K487" i="37"/>
  <c r="J487" i="37"/>
  <c r="I487" i="37"/>
  <c r="H487" i="37"/>
  <c r="G487" i="37"/>
  <c r="F487" i="37"/>
  <c r="E487" i="37"/>
  <c r="D487" i="37"/>
  <c r="C487" i="37"/>
  <c r="B487" i="37"/>
  <c r="R486" i="37"/>
  <c r="Q486" i="37"/>
  <c r="P486" i="37"/>
  <c r="O486" i="37"/>
  <c r="N486" i="37"/>
  <c r="M486" i="37"/>
  <c r="L486" i="37"/>
  <c r="K486" i="37"/>
  <c r="J486" i="37"/>
  <c r="I486" i="37"/>
  <c r="H486" i="37"/>
  <c r="G486" i="37"/>
  <c r="F486" i="37"/>
  <c r="E486" i="37"/>
  <c r="D486" i="37"/>
  <c r="C486" i="37"/>
  <c r="B486" i="37"/>
  <c r="R485" i="37"/>
  <c r="Q485" i="37"/>
  <c r="P485" i="37"/>
  <c r="O485" i="37"/>
  <c r="N485" i="37"/>
  <c r="M485" i="37"/>
  <c r="L485" i="37"/>
  <c r="K485" i="37"/>
  <c r="J485" i="37"/>
  <c r="I485" i="37"/>
  <c r="H485" i="37"/>
  <c r="G485" i="37"/>
  <c r="F485" i="37"/>
  <c r="E485" i="37"/>
  <c r="D485" i="37"/>
  <c r="C485" i="37"/>
  <c r="B485" i="37"/>
  <c r="R484" i="37"/>
  <c r="Q484" i="37"/>
  <c r="P484" i="37"/>
  <c r="O484" i="37"/>
  <c r="N484" i="37"/>
  <c r="M484" i="37"/>
  <c r="L484" i="37"/>
  <c r="K484" i="37"/>
  <c r="J484" i="37"/>
  <c r="I484" i="37"/>
  <c r="H484" i="37"/>
  <c r="G484" i="37"/>
  <c r="F484" i="37"/>
  <c r="E484" i="37"/>
  <c r="D484" i="37"/>
  <c r="C484" i="37"/>
  <c r="B484" i="37"/>
  <c r="R483" i="37"/>
  <c r="Q483" i="37"/>
  <c r="P483" i="37"/>
  <c r="O483" i="37"/>
  <c r="N483" i="37"/>
  <c r="M483" i="37"/>
  <c r="L483" i="37"/>
  <c r="K483" i="37"/>
  <c r="J483" i="37"/>
  <c r="I483" i="37"/>
  <c r="H483" i="37"/>
  <c r="G483" i="37"/>
  <c r="F483" i="37"/>
  <c r="E483" i="37"/>
  <c r="D483" i="37"/>
  <c r="C483" i="37"/>
  <c r="B483" i="37"/>
  <c r="R482" i="37"/>
  <c r="Q482" i="37"/>
  <c r="P482" i="37"/>
  <c r="O482" i="37"/>
  <c r="N482" i="37"/>
  <c r="M482" i="37"/>
  <c r="L482" i="37"/>
  <c r="K482" i="37"/>
  <c r="J482" i="37"/>
  <c r="I482" i="37"/>
  <c r="H482" i="37"/>
  <c r="G482" i="37"/>
  <c r="F482" i="37"/>
  <c r="E482" i="37"/>
  <c r="D482" i="37"/>
  <c r="C482" i="37"/>
  <c r="B482" i="37"/>
  <c r="R481" i="37"/>
  <c r="Q481" i="37"/>
  <c r="P481" i="37"/>
  <c r="O481" i="37"/>
  <c r="N481" i="37"/>
  <c r="M481" i="37"/>
  <c r="L481" i="37"/>
  <c r="K481" i="37"/>
  <c r="J481" i="37"/>
  <c r="I481" i="37"/>
  <c r="H481" i="37"/>
  <c r="G481" i="37"/>
  <c r="F481" i="37"/>
  <c r="E481" i="37"/>
  <c r="D481" i="37"/>
  <c r="C481" i="37"/>
  <c r="B481" i="37"/>
  <c r="R480" i="37"/>
  <c r="Q480" i="37"/>
  <c r="P480" i="37"/>
  <c r="O480" i="37"/>
  <c r="N480" i="37"/>
  <c r="M480" i="37"/>
  <c r="L480" i="37"/>
  <c r="K480" i="37"/>
  <c r="J480" i="37"/>
  <c r="I480" i="37"/>
  <c r="H480" i="37"/>
  <c r="G480" i="37"/>
  <c r="F480" i="37"/>
  <c r="E480" i="37"/>
  <c r="D480" i="37"/>
  <c r="C480" i="37"/>
  <c r="B480" i="37"/>
  <c r="R479" i="37"/>
  <c r="Q479" i="37"/>
  <c r="P479" i="37"/>
  <c r="O479" i="37"/>
  <c r="N479" i="37"/>
  <c r="M479" i="37"/>
  <c r="L479" i="37"/>
  <c r="K479" i="37"/>
  <c r="J479" i="37"/>
  <c r="I479" i="37"/>
  <c r="H479" i="37"/>
  <c r="G479" i="37"/>
  <c r="F479" i="37"/>
  <c r="E479" i="37"/>
  <c r="D479" i="37"/>
  <c r="C479" i="37"/>
  <c r="B479" i="37"/>
  <c r="R478" i="37"/>
  <c r="Q478" i="37"/>
  <c r="P478" i="37"/>
  <c r="O478" i="37"/>
  <c r="N478" i="37"/>
  <c r="M478" i="37"/>
  <c r="L478" i="37"/>
  <c r="K478" i="37"/>
  <c r="J478" i="37"/>
  <c r="I478" i="37"/>
  <c r="H478" i="37"/>
  <c r="G478" i="37"/>
  <c r="F478" i="37"/>
  <c r="E478" i="37"/>
  <c r="D478" i="37"/>
  <c r="C478" i="37"/>
  <c r="B478" i="37"/>
  <c r="R477" i="37"/>
  <c r="Q477" i="37"/>
  <c r="P477" i="37"/>
  <c r="O477" i="37"/>
  <c r="N477" i="37"/>
  <c r="M477" i="37"/>
  <c r="L477" i="37"/>
  <c r="K477" i="37"/>
  <c r="J477" i="37"/>
  <c r="I477" i="37"/>
  <c r="H477" i="37"/>
  <c r="G477" i="37"/>
  <c r="F477" i="37"/>
  <c r="E477" i="37"/>
  <c r="D477" i="37"/>
  <c r="C477" i="37"/>
  <c r="B477" i="37"/>
  <c r="R476" i="37"/>
  <c r="Q476" i="37"/>
  <c r="P476" i="37"/>
  <c r="O476" i="37"/>
  <c r="N476" i="37"/>
  <c r="M476" i="37"/>
  <c r="L476" i="37"/>
  <c r="K476" i="37"/>
  <c r="J476" i="37"/>
  <c r="I476" i="37"/>
  <c r="H476" i="37"/>
  <c r="G476" i="37"/>
  <c r="F476" i="37"/>
  <c r="E476" i="37"/>
  <c r="D476" i="37"/>
  <c r="C476" i="37"/>
  <c r="B476" i="37"/>
  <c r="R475" i="37"/>
  <c r="Q475" i="37"/>
  <c r="P475" i="37"/>
  <c r="O475" i="37"/>
  <c r="N475" i="37"/>
  <c r="M475" i="37"/>
  <c r="L475" i="37"/>
  <c r="K475" i="37"/>
  <c r="J475" i="37"/>
  <c r="I475" i="37"/>
  <c r="H475" i="37"/>
  <c r="G475" i="37"/>
  <c r="F475" i="37"/>
  <c r="E475" i="37"/>
  <c r="D475" i="37"/>
  <c r="C475" i="37"/>
  <c r="B475" i="37"/>
  <c r="R474" i="37"/>
  <c r="Q474" i="37"/>
  <c r="P474" i="37"/>
  <c r="O474" i="37"/>
  <c r="N474" i="37"/>
  <c r="M474" i="37"/>
  <c r="L474" i="37"/>
  <c r="K474" i="37"/>
  <c r="J474" i="37"/>
  <c r="I474" i="37"/>
  <c r="H474" i="37"/>
  <c r="G474" i="37"/>
  <c r="F474" i="37"/>
  <c r="E474" i="37"/>
  <c r="D474" i="37"/>
  <c r="C474" i="37"/>
  <c r="B474" i="37"/>
  <c r="R473" i="37"/>
  <c r="Q473" i="37"/>
  <c r="P473" i="37"/>
  <c r="O473" i="37"/>
  <c r="N473" i="37"/>
  <c r="M473" i="37"/>
  <c r="L473" i="37"/>
  <c r="K473" i="37"/>
  <c r="J473" i="37"/>
  <c r="I473" i="37"/>
  <c r="H473" i="37"/>
  <c r="G473" i="37"/>
  <c r="F473" i="37"/>
  <c r="E473" i="37"/>
  <c r="D473" i="37"/>
  <c r="C473" i="37"/>
  <c r="B473" i="37"/>
  <c r="R472" i="37"/>
  <c r="Q472" i="37"/>
  <c r="P472" i="37"/>
  <c r="O472" i="37"/>
  <c r="N472" i="37"/>
  <c r="M472" i="37"/>
  <c r="L472" i="37"/>
  <c r="K472" i="37"/>
  <c r="J472" i="37"/>
  <c r="I472" i="37"/>
  <c r="H472" i="37"/>
  <c r="G472" i="37"/>
  <c r="F472" i="37"/>
  <c r="E472" i="37"/>
  <c r="D472" i="37"/>
  <c r="C472" i="37"/>
  <c r="B472" i="37"/>
  <c r="R471" i="37"/>
  <c r="Q471" i="37"/>
  <c r="P471" i="37"/>
  <c r="O471" i="37"/>
  <c r="N471" i="37"/>
  <c r="M471" i="37"/>
  <c r="L471" i="37"/>
  <c r="K471" i="37"/>
  <c r="J471" i="37"/>
  <c r="I471" i="37"/>
  <c r="H471" i="37"/>
  <c r="G471" i="37"/>
  <c r="F471" i="37"/>
  <c r="E471" i="37"/>
  <c r="D471" i="37"/>
  <c r="C471" i="37"/>
  <c r="B471" i="37"/>
  <c r="R470" i="37"/>
  <c r="Q470" i="37"/>
  <c r="P470" i="37"/>
  <c r="O470" i="37"/>
  <c r="N470" i="37"/>
  <c r="M470" i="37"/>
  <c r="L470" i="37"/>
  <c r="K470" i="37"/>
  <c r="J470" i="37"/>
  <c r="I470" i="37"/>
  <c r="H470" i="37"/>
  <c r="G470" i="37"/>
  <c r="F470" i="37"/>
  <c r="E470" i="37"/>
  <c r="D470" i="37"/>
  <c r="C470" i="37"/>
  <c r="B470" i="37"/>
  <c r="R469" i="37"/>
  <c r="Q469" i="37"/>
  <c r="P469" i="37"/>
  <c r="O469" i="37"/>
  <c r="N469" i="37"/>
  <c r="M469" i="37"/>
  <c r="L469" i="37"/>
  <c r="K469" i="37"/>
  <c r="J469" i="37"/>
  <c r="I469" i="37"/>
  <c r="H469" i="37"/>
  <c r="G469" i="37"/>
  <c r="F469" i="37"/>
  <c r="E469" i="37"/>
  <c r="D469" i="37"/>
  <c r="C469" i="37"/>
  <c r="B469" i="37"/>
  <c r="R468" i="37"/>
  <c r="Q468" i="37"/>
  <c r="P468" i="37"/>
  <c r="O468" i="37"/>
  <c r="N468" i="37"/>
  <c r="M468" i="37"/>
  <c r="L468" i="37"/>
  <c r="K468" i="37"/>
  <c r="J468" i="37"/>
  <c r="I468" i="37"/>
  <c r="H468" i="37"/>
  <c r="G468" i="37"/>
  <c r="F468" i="37"/>
  <c r="E468" i="37"/>
  <c r="D468" i="37"/>
  <c r="C468" i="37"/>
  <c r="B468" i="37"/>
  <c r="R467" i="37"/>
  <c r="Q467" i="37"/>
  <c r="P467" i="37"/>
  <c r="O467" i="37"/>
  <c r="N467" i="37"/>
  <c r="M467" i="37"/>
  <c r="L467" i="37"/>
  <c r="K467" i="37"/>
  <c r="J467" i="37"/>
  <c r="I467" i="37"/>
  <c r="H467" i="37"/>
  <c r="G467" i="37"/>
  <c r="F467" i="37"/>
  <c r="E467" i="37"/>
  <c r="D467" i="37"/>
  <c r="C467" i="37"/>
  <c r="B467" i="37"/>
  <c r="R466" i="37"/>
  <c r="Q466" i="37"/>
  <c r="P466" i="37"/>
  <c r="O466" i="37"/>
  <c r="N466" i="37"/>
  <c r="M466" i="37"/>
  <c r="L466" i="37"/>
  <c r="K466" i="37"/>
  <c r="J466" i="37"/>
  <c r="I466" i="37"/>
  <c r="H466" i="37"/>
  <c r="G466" i="37"/>
  <c r="F466" i="37"/>
  <c r="E466" i="37"/>
  <c r="D466" i="37"/>
  <c r="C466" i="37"/>
  <c r="B466" i="37"/>
  <c r="R465" i="37"/>
  <c r="Q465" i="37"/>
  <c r="P465" i="37"/>
  <c r="O465" i="37"/>
  <c r="N465" i="37"/>
  <c r="M465" i="37"/>
  <c r="L465" i="37"/>
  <c r="K465" i="37"/>
  <c r="J465" i="37"/>
  <c r="I465" i="37"/>
  <c r="H465" i="37"/>
  <c r="G465" i="37"/>
  <c r="F465" i="37"/>
  <c r="E465" i="37"/>
  <c r="D465" i="37"/>
  <c r="C465" i="37"/>
  <c r="B465" i="37"/>
  <c r="R464" i="37"/>
  <c r="Q464" i="37"/>
  <c r="P464" i="37"/>
  <c r="O464" i="37"/>
  <c r="N464" i="37"/>
  <c r="M464" i="37"/>
  <c r="L464" i="37"/>
  <c r="K464" i="37"/>
  <c r="J464" i="37"/>
  <c r="I464" i="37"/>
  <c r="H464" i="37"/>
  <c r="G464" i="37"/>
  <c r="F464" i="37"/>
  <c r="E464" i="37"/>
  <c r="D464" i="37"/>
  <c r="C464" i="37"/>
  <c r="B464" i="37"/>
  <c r="R463" i="37"/>
  <c r="Q463" i="37"/>
  <c r="P463" i="37"/>
  <c r="O463" i="37"/>
  <c r="N463" i="37"/>
  <c r="M463" i="37"/>
  <c r="L463" i="37"/>
  <c r="K463" i="37"/>
  <c r="J463" i="37"/>
  <c r="I463" i="37"/>
  <c r="H463" i="37"/>
  <c r="G463" i="37"/>
  <c r="F463" i="37"/>
  <c r="E463" i="37"/>
  <c r="D463" i="37"/>
  <c r="C463" i="37"/>
  <c r="B463" i="37"/>
  <c r="R462" i="37"/>
  <c r="Q462" i="37"/>
  <c r="P462" i="37"/>
  <c r="O462" i="37"/>
  <c r="N462" i="37"/>
  <c r="M462" i="37"/>
  <c r="L462" i="37"/>
  <c r="K462" i="37"/>
  <c r="J462" i="37"/>
  <c r="I462" i="37"/>
  <c r="H462" i="37"/>
  <c r="G462" i="37"/>
  <c r="F462" i="37"/>
  <c r="E462" i="37"/>
  <c r="D462" i="37"/>
  <c r="C462" i="37"/>
  <c r="B462" i="37"/>
  <c r="R461" i="37"/>
  <c r="Q461" i="37"/>
  <c r="P461" i="37"/>
  <c r="O461" i="37"/>
  <c r="N461" i="37"/>
  <c r="M461" i="37"/>
  <c r="L461" i="37"/>
  <c r="K461" i="37"/>
  <c r="J461" i="37"/>
  <c r="I461" i="37"/>
  <c r="H461" i="37"/>
  <c r="G461" i="37"/>
  <c r="F461" i="37"/>
  <c r="E461" i="37"/>
  <c r="D461" i="37"/>
  <c r="C461" i="37"/>
  <c r="B461" i="37"/>
  <c r="R460" i="37"/>
  <c r="Q460" i="37"/>
  <c r="P460" i="37"/>
  <c r="O460" i="37"/>
  <c r="N460" i="37"/>
  <c r="M460" i="37"/>
  <c r="L460" i="37"/>
  <c r="K460" i="37"/>
  <c r="J460" i="37"/>
  <c r="I460" i="37"/>
  <c r="H460" i="37"/>
  <c r="G460" i="37"/>
  <c r="F460" i="37"/>
  <c r="E460" i="37"/>
  <c r="D460" i="37"/>
  <c r="C460" i="37"/>
  <c r="B460" i="37"/>
  <c r="R459" i="37"/>
  <c r="Q459" i="37"/>
  <c r="P459" i="37"/>
  <c r="O459" i="37"/>
  <c r="N459" i="37"/>
  <c r="M459" i="37"/>
  <c r="L459" i="37"/>
  <c r="K459" i="37"/>
  <c r="J459" i="37"/>
  <c r="I459" i="37"/>
  <c r="H459" i="37"/>
  <c r="G459" i="37"/>
  <c r="F459" i="37"/>
  <c r="E459" i="37"/>
  <c r="D459" i="37"/>
  <c r="C459" i="37"/>
  <c r="B459" i="37"/>
  <c r="R458" i="37"/>
  <c r="Q458" i="37"/>
  <c r="P458" i="37"/>
  <c r="O458" i="37"/>
  <c r="N458" i="37"/>
  <c r="M458" i="37"/>
  <c r="L458" i="37"/>
  <c r="K458" i="37"/>
  <c r="J458" i="37"/>
  <c r="I458" i="37"/>
  <c r="H458" i="37"/>
  <c r="G458" i="37"/>
  <c r="F458" i="37"/>
  <c r="E458" i="37"/>
  <c r="D458" i="37"/>
  <c r="C458" i="37"/>
  <c r="B458" i="37"/>
  <c r="R457" i="37"/>
  <c r="Q457" i="37"/>
  <c r="P457" i="37"/>
  <c r="O457" i="37"/>
  <c r="N457" i="37"/>
  <c r="M457" i="37"/>
  <c r="L457" i="37"/>
  <c r="K457" i="37"/>
  <c r="J457" i="37"/>
  <c r="I457" i="37"/>
  <c r="H457" i="37"/>
  <c r="G457" i="37"/>
  <c r="F457" i="37"/>
  <c r="E457" i="37"/>
  <c r="D457" i="37"/>
  <c r="C457" i="37"/>
  <c r="B457" i="37"/>
  <c r="R456" i="37"/>
  <c r="Q456" i="37"/>
  <c r="P456" i="37"/>
  <c r="O456" i="37"/>
  <c r="N456" i="37"/>
  <c r="M456" i="37"/>
  <c r="L456" i="37"/>
  <c r="K456" i="37"/>
  <c r="J456" i="37"/>
  <c r="I456" i="37"/>
  <c r="H456" i="37"/>
  <c r="G456" i="37"/>
  <c r="F456" i="37"/>
  <c r="E456" i="37"/>
  <c r="D456" i="37"/>
  <c r="C456" i="37"/>
  <c r="B456" i="37"/>
  <c r="R455" i="37"/>
  <c r="Q455" i="37"/>
  <c r="P455" i="37"/>
  <c r="O455" i="37"/>
  <c r="N455" i="37"/>
  <c r="M455" i="37"/>
  <c r="L455" i="37"/>
  <c r="K455" i="37"/>
  <c r="J455" i="37"/>
  <c r="I455" i="37"/>
  <c r="H455" i="37"/>
  <c r="G455" i="37"/>
  <c r="F455" i="37"/>
  <c r="E455" i="37"/>
  <c r="D455" i="37"/>
  <c r="C455" i="37"/>
  <c r="B455" i="37"/>
  <c r="R454" i="37"/>
  <c r="Q454" i="37"/>
  <c r="P454" i="37"/>
  <c r="O454" i="37"/>
  <c r="N454" i="37"/>
  <c r="M454" i="37"/>
  <c r="L454" i="37"/>
  <c r="K454" i="37"/>
  <c r="J454" i="37"/>
  <c r="I454" i="37"/>
  <c r="H454" i="37"/>
  <c r="G454" i="37"/>
  <c r="F454" i="37"/>
  <c r="E454" i="37"/>
  <c r="D454" i="37"/>
  <c r="C454" i="37"/>
  <c r="B454" i="37"/>
  <c r="R453" i="37"/>
  <c r="Q453" i="37"/>
  <c r="P453" i="37"/>
  <c r="O453" i="37"/>
  <c r="N453" i="37"/>
  <c r="M453" i="37"/>
  <c r="L453" i="37"/>
  <c r="K453" i="37"/>
  <c r="J453" i="37"/>
  <c r="I453" i="37"/>
  <c r="H453" i="37"/>
  <c r="G453" i="37"/>
  <c r="F453" i="37"/>
  <c r="E453" i="37"/>
  <c r="D453" i="37"/>
  <c r="C453" i="37"/>
  <c r="B453" i="37"/>
  <c r="R452" i="37"/>
  <c r="Q452" i="37"/>
  <c r="P452" i="37"/>
  <c r="O452" i="37"/>
  <c r="N452" i="37"/>
  <c r="M452" i="37"/>
  <c r="L452" i="37"/>
  <c r="K452" i="37"/>
  <c r="J452" i="37"/>
  <c r="I452" i="37"/>
  <c r="H452" i="37"/>
  <c r="G452" i="37"/>
  <c r="F452" i="37"/>
  <c r="E452" i="37"/>
  <c r="D452" i="37"/>
  <c r="C452" i="37"/>
  <c r="B452" i="37"/>
  <c r="R451" i="37"/>
  <c r="Q451" i="37"/>
  <c r="P451" i="37"/>
  <c r="O451" i="37"/>
  <c r="N451" i="37"/>
  <c r="M451" i="37"/>
  <c r="L451" i="37"/>
  <c r="K451" i="37"/>
  <c r="J451" i="37"/>
  <c r="I451" i="37"/>
  <c r="H451" i="37"/>
  <c r="G451" i="37"/>
  <c r="F451" i="37"/>
  <c r="E451" i="37"/>
  <c r="D451" i="37"/>
  <c r="C451" i="37"/>
  <c r="B451" i="37"/>
  <c r="R450" i="37"/>
  <c r="Q450" i="37"/>
  <c r="P450" i="37"/>
  <c r="O450" i="37"/>
  <c r="N450" i="37"/>
  <c r="M450" i="37"/>
  <c r="L450" i="37"/>
  <c r="K450" i="37"/>
  <c r="J450" i="37"/>
  <c r="I450" i="37"/>
  <c r="H450" i="37"/>
  <c r="G450" i="37"/>
  <c r="F450" i="37"/>
  <c r="E450" i="37"/>
  <c r="D450" i="37"/>
  <c r="C450" i="37"/>
  <c r="B450" i="37"/>
  <c r="R449" i="37"/>
  <c r="Q449" i="37"/>
  <c r="P449" i="37"/>
  <c r="O449" i="37"/>
  <c r="N449" i="37"/>
  <c r="M449" i="37"/>
  <c r="L449" i="37"/>
  <c r="K449" i="37"/>
  <c r="J449" i="37"/>
  <c r="I449" i="37"/>
  <c r="H449" i="37"/>
  <c r="G449" i="37"/>
  <c r="F449" i="37"/>
  <c r="E449" i="37"/>
  <c r="D449" i="37"/>
  <c r="C449" i="37"/>
  <c r="B449" i="37"/>
  <c r="R448" i="37"/>
  <c r="Q448" i="37"/>
  <c r="P448" i="37"/>
  <c r="O448" i="37"/>
  <c r="N448" i="37"/>
  <c r="M448" i="37"/>
  <c r="L448" i="37"/>
  <c r="K448" i="37"/>
  <c r="J448" i="37"/>
  <c r="I448" i="37"/>
  <c r="H448" i="37"/>
  <c r="G448" i="37"/>
  <c r="F448" i="37"/>
  <c r="E448" i="37"/>
  <c r="D448" i="37"/>
  <c r="C448" i="37"/>
  <c r="B448" i="37"/>
  <c r="R447" i="37"/>
  <c r="Q447" i="37"/>
  <c r="P447" i="37"/>
  <c r="O447" i="37"/>
  <c r="N447" i="37"/>
  <c r="M447" i="37"/>
  <c r="L447" i="37"/>
  <c r="K447" i="37"/>
  <c r="J447" i="37"/>
  <c r="I447" i="37"/>
  <c r="H447" i="37"/>
  <c r="G447" i="37"/>
  <c r="F447" i="37"/>
  <c r="E447" i="37"/>
  <c r="D447" i="37"/>
  <c r="C447" i="37"/>
  <c r="B447" i="37"/>
  <c r="R446" i="37"/>
  <c r="Q446" i="37"/>
  <c r="P446" i="37"/>
  <c r="O446" i="37"/>
  <c r="N446" i="37"/>
  <c r="M446" i="37"/>
  <c r="L446" i="37"/>
  <c r="K446" i="37"/>
  <c r="J446" i="37"/>
  <c r="I446" i="37"/>
  <c r="H446" i="37"/>
  <c r="G446" i="37"/>
  <c r="F446" i="37"/>
  <c r="E446" i="37"/>
  <c r="D446" i="37"/>
  <c r="C446" i="37"/>
  <c r="B446" i="37"/>
  <c r="R445" i="37"/>
  <c r="Q445" i="37"/>
  <c r="P445" i="37"/>
  <c r="O445" i="37"/>
  <c r="N445" i="37"/>
  <c r="M445" i="37"/>
  <c r="L445" i="37"/>
  <c r="K445" i="37"/>
  <c r="J445" i="37"/>
  <c r="I445" i="37"/>
  <c r="H445" i="37"/>
  <c r="G445" i="37"/>
  <c r="F445" i="37"/>
  <c r="E445" i="37"/>
  <c r="D445" i="37"/>
  <c r="C445" i="37"/>
  <c r="B445" i="37"/>
  <c r="R444" i="37"/>
  <c r="Q444" i="37"/>
  <c r="P444" i="37"/>
  <c r="O444" i="37"/>
  <c r="N444" i="37"/>
  <c r="M444" i="37"/>
  <c r="L444" i="37"/>
  <c r="K444" i="37"/>
  <c r="J444" i="37"/>
  <c r="I444" i="37"/>
  <c r="H444" i="37"/>
  <c r="G444" i="37"/>
  <c r="F444" i="37"/>
  <c r="E444" i="37"/>
  <c r="D444" i="37"/>
  <c r="C444" i="37"/>
  <c r="B444" i="37"/>
  <c r="R443" i="37"/>
  <c r="Q443" i="37"/>
  <c r="P443" i="37"/>
  <c r="O443" i="37"/>
  <c r="N443" i="37"/>
  <c r="M443" i="37"/>
  <c r="L443" i="37"/>
  <c r="K443" i="37"/>
  <c r="J443" i="37"/>
  <c r="I443" i="37"/>
  <c r="H443" i="37"/>
  <c r="G443" i="37"/>
  <c r="F443" i="37"/>
  <c r="E443" i="37"/>
  <c r="D443" i="37"/>
  <c r="C443" i="37"/>
  <c r="B443" i="37"/>
  <c r="R442" i="37"/>
  <c r="Q442" i="37"/>
  <c r="P442" i="37"/>
  <c r="O442" i="37"/>
  <c r="N442" i="37"/>
  <c r="M442" i="37"/>
  <c r="L442" i="37"/>
  <c r="K442" i="37"/>
  <c r="J442" i="37"/>
  <c r="I442" i="37"/>
  <c r="H442" i="37"/>
  <c r="G442" i="37"/>
  <c r="F442" i="37"/>
  <c r="E442" i="37"/>
  <c r="D442" i="37"/>
  <c r="C442" i="37"/>
  <c r="B442" i="37"/>
  <c r="R441" i="37"/>
  <c r="Q441" i="37"/>
  <c r="P441" i="37"/>
  <c r="O441" i="37"/>
  <c r="N441" i="37"/>
  <c r="M441" i="37"/>
  <c r="L441" i="37"/>
  <c r="K441" i="37"/>
  <c r="J441" i="37"/>
  <c r="I441" i="37"/>
  <c r="H441" i="37"/>
  <c r="G441" i="37"/>
  <c r="F441" i="37"/>
  <c r="E441" i="37"/>
  <c r="D441" i="37"/>
  <c r="C441" i="37"/>
  <c r="B441" i="37"/>
  <c r="R440" i="37"/>
  <c r="Q440" i="37"/>
  <c r="P440" i="37"/>
  <c r="O440" i="37"/>
  <c r="N440" i="37"/>
  <c r="M440" i="37"/>
  <c r="L440" i="37"/>
  <c r="K440" i="37"/>
  <c r="J440" i="37"/>
  <c r="I440" i="37"/>
  <c r="H440" i="37"/>
  <c r="G440" i="37"/>
  <c r="F440" i="37"/>
  <c r="E440" i="37"/>
  <c r="D440" i="37"/>
  <c r="C440" i="37"/>
  <c r="B440" i="37"/>
  <c r="R439" i="37"/>
  <c r="Q439" i="37"/>
  <c r="P439" i="37"/>
  <c r="O439" i="37"/>
  <c r="N439" i="37"/>
  <c r="M439" i="37"/>
  <c r="L439" i="37"/>
  <c r="K439" i="37"/>
  <c r="J439" i="37"/>
  <c r="I439" i="37"/>
  <c r="H439" i="37"/>
  <c r="G439" i="37"/>
  <c r="F439" i="37"/>
  <c r="E439" i="37"/>
  <c r="D439" i="37"/>
  <c r="C439" i="37"/>
  <c r="B439" i="37"/>
  <c r="R438" i="37"/>
  <c r="Q438" i="37"/>
  <c r="P438" i="37"/>
  <c r="O438" i="37"/>
  <c r="N438" i="37"/>
  <c r="M438" i="37"/>
  <c r="L438" i="37"/>
  <c r="K438" i="37"/>
  <c r="J438" i="37"/>
  <c r="I438" i="37"/>
  <c r="H438" i="37"/>
  <c r="G438" i="37"/>
  <c r="F438" i="37"/>
  <c r="E438" i="37"/>
  <c r="D438" i="37"/>
  <c r="C438" i="37"/>
  <c r="B438" i="37"/>
  <c r="R437" i="37"/>
  <c r="Q437" i="37"/>
  <c r="P437" i="37"/>
  <c r="O437" i="37"/>
  <c r="N437" i="37"/>
  <c r="M437" i="37"/>
  <c r="L437" i="37"/>
  <c r="K437" i="37"/>
  <c r="J437" i="37"/>
  <c r="I437" i="37"/>
  <c r="H437" i="37"/>
  <c r="G437" i="37"/>
  <c r="F437" i="37"/>
  <c r="E437" i="37"/>
  <c r="D437" i="37"/>
  <c r="C437" i="37"/>
  <c r="B437" i="37"/>
  <c r="R436" i="37"/>
  <c r="Q436" i="37"/>
  <c r="P436" i="37"/>
  <c r="O436" i="37"/>
  <c r="N436" i="37"/>
  <c r="M436" i="37"/>
  <c r="L436" i="37"/>
  <c r="K436" i="37"/>
  <c r="J436" i="37"/>
  <c r="I436" i="37"/>
  <c r="H436" i="37"/>
  <c r="G436" i="37"/>
  <c r="F436" i="37"/>
  <c r="E436" i="37"/>
  <c r="D436" i="37"/>
  <c r="C436" i="37"/>
  <c r="B436" i="37"/>
  <c r="R435" i="37"/>
  <c r="Q435" i="37"/>
  <c r="P435" i="37"/>
  <c r="O435" i="37"/>
  <c r="N435" i="37"/>
  <c r="M435" i="37"/>
  <c r="L435" i="37"/>
  <c r="K435" i="37"/>
  <c r="J435" i="37"/>
  <c r="I435" i="37"/>
  <c r="H435" i="37"/>
  <c r="G435" i="37"/>
  <c r="F435" i="37"/>
  <c r="E435" i="37"/>
  <c r="D435" i="37"/>
  <c r="C435" i="37"/>
  <c r="B435" i="37"/>
  <c r="R434" i="37"/>
  <c r="Q434" i="37"/>
  <c r="P434" i="37"/>
  <c r="O434" i="37"/>
  <c r="N434" i="37"/>
  <c r="M434" i="37"/>
  <c r="L434" i="37"/>
  <c r="K434" i="37"/>
  <c r="J434" i="37"/>
  <c r="I434" i="37"/>
  <c r="H434" i="37"/>
  <c r="G434" i="37"/>
  <c r="F434" i="37"/>
  <c r="E434" i="37"/>
  <c r="D434" i="37"/>
  <c r="C434" i="37"/>
  <c r="B434" i="37"/>
  <c r="R433" i="37"/>
  <c r="Q433" i="37"/>
  <c r="P433" i="37"/>
  <c r="O433" i="37"/>
  <c r="N433" i="37"/>
  <c r="M433" i="37"/>
  <c r="L433" i="37"/>
  <c r="K433" i="37"/>
  <c r="J433" i="37"/>
  <c r="I433" i="37"/>
  <c r="H433" i="37"/>
  <c r="G433" i="37"/>
  <c r="F433" i="37"/>
  <c r="E433" i="37"/>
  <c r="D433" i="37"/>
  <c r="C433" i="37"/>
  <c r="B433" i="37"/>
  <c r="R432" i="37"/>
  <c r="Q432" i="37"/>
  <c r="P432" i="37"/>
  <c r="O432" i="37"/>
  <c r="N432" i="37"/>
  <c r="M432" i="37"/>
  <c r="L432" i="37"/>
  <c r="K432" i="37"/>
  <c r="J432" i="37"/>
  <c r="I432" i="37"/>
  <c r="H432" i="37"/>
  <c r="G432" i="37"/>
  <c r="F432" i="37"/>
  <c r="E432" i="37"/>
  <c r="D432" i="37"/>
  <c r="C432" i="37"/>
  <c r="B432" i="37"/>
  <c r="R431" i="37"/>
  <c r="Q431" i="37"/>
  <c r="P431" i="37"/>
  <c r="O431" i="37"/>
  <c r="N431" i="37"/>
  <c r="M431" i="37"/>
  <c r="L431" i="37"/>
  <c r="K431" i="37"/>
  <c r="J431" i="37"/>
  <c r="I431" i="37"/>
  <c r="H431" i="37"/>
  <c r="G431" i="37"/>
  <c r="F431" i="37"/>
  <c r="E431" i="37"/>
  <c r="D431" i="37"/>
  <c r="C431" i="37"/>
  <c r="B431" i="37"/>
  <c r="R430" i="37"/>
  <c r="Q430" i="37"/>
  <c r="P430" i="37"/>
  <c r="O430" i="37"/>
  <c r="N430" i="37"/>
  <c r="M430" i="37"/>
  <c r="L430" i="37"/>
  <c r="K430" i="37"/>
  <c r="J430" i="37"/>
  <c r="I430" i="37"/>
  <c r="H430" i="37"/>
  <c r="G430" i="37"/>
  <c r="F430" i="37"/>
  <c r="E430" i="37"/>
  <c r="D430" i="37"/>
  <c r="C430" i="37"/>
  <c r="B430" i="37"/>
  <c r="R429" i="37"/>
  <c r="Q429" i="37"/>
  <c r="P429" i="37"/>
  <c r="O429" i="37"/>
  <c r="N429" i="37"/>
  <c r="M429" i="37"/>
  <c r="L429" i="37"/>
  <c r="K429" i="37"/>
  <c r="J429" i="37"/>
  <c r="I429" i="37"/>
  <c r="H429" i="37"/>
  <c r="G429" i="37"/>
  <c r="F429" i="37"/>
  <c r="E429" i="37"/>
  <c r="D429" i="37"/>
  <c r="C429" i="37"/>
  <c r="B429" i="37"/>
  <c r="R428" i="37"/>
  <c r="Q428" i="37"/>
  <c r="P428" i="37"/>
  <c r="O428" i="37"/>
  <c r="N428" i="37"/>
  <c r="M428" i="37"/>
  <c r="L428" i="37"/>
  <c r="K428" i="37"/>
  <c r="J428" i="37"/>
  <c r="I428" i="37"/>
  <c r="H428" i="37"/>
  <c r="G428" i="37"/>
  <c r="F428" i="37"/>
  <c r="E428" i="37"/>
  <c r="D428" i="37"/>
  <c r="C428" i="37"/>
  <c r="B428" i="37"/>
  <c r="R427" i="37"/>
  <c r="Q427" i="37"/>
  <c r="P427" i="37"/>
  <c r="O427" i="37"/>
  <c r="N427" i="37"/>
  <c r="M427" i="37"/>
  <c r="L427" i="37"/>
  <c r="K427" i="37"/>
  <c r="J427" i="37"/>
  <c r="I427" i="37"/>
  <c r="H427" i="37"/>
  <c r="G427" i="37"/>
  <c r="F427" i="37"/>
  <c r="E427" i="37"/>
  <c r="D427" i="37"/>
  <c r="C427" i="37"/>
  <c r="B427" i="37"/>
  <c r="R426" i="37"/>
  <c r="Q426" i="37"/>
  <c r="P426" i="37"/>
  <c r="O426" i="37"/>
  <c r="N426" i="37"/>
  <c r="M426" i="37"/>
  <c r="L426" i="37"/>
  <c r="K426" i="37"/>
  <c r="J426" i="37"/>
  <c r="I426" i="37"/>
  <c r="H426" i="37"/>
  <c r="G426" i="37"/>
  <c r="F426" i="37"/>
  <c r="E426" i="37"/>
  <c r="D426" i="37"/>
  <c r="C426" i="37"/>
  <c r="B426" i="37"/>
  <c r="R425" i="37"/>
  <c r="Q425" i="37"/>
  <c r="P425" i="37"/>
  <c r="O425" i="37"/>
  <c r="N425" i="37"/>
  <c r="M425" i="37"/>
  <c r="L425" i="37"/>
  <c r="K425" i="37"/>
  <c r="J425" i="37"/>
  <c r="I425" i="37"/>
  <c r="H425" i="37"/>
  <c r="G425" i="37"/>
  <c r="F425" i="37"/>
  <c r="E425" i="37"/>
  <c r="D425" i="37"/>
  <c r="C425" i="37"/>
  <c r="B425" i="37"/>
  <c r="R424" i="37"/>
  <c r="Q424" i="37"/>
  <c r="P424" i="37"/>
  <c r="O424" i="37"/>
  <c r="N424" i="37"/>
  <c r="M424" i="37"/>
  <c r="L424" i="37"/>
  <c r="K424" i="37"/>
  <c r="J424" i="37"/>
  <c r="I424" i="37"/>
  <c r="H424" i="37"/>
  <c r="G424" i="37"/>
  <c r="F424" i="37"/>
  <c r="E424" i="37"/>
  <c r="D424" i="37"/>
  <c r="C424" i="37"/>
  <c r="B424" i="37"/>
  <c r="R423" i="37"/>
  <c r="Q423" i="37"/>
  <c r="P423" i="37"/>
  <c r="O423" i="37"/>
  <c r="N423" i="37"/>
  <c r="M423" i="37"/>
  <c r="L423" i="37"/>
  <c r="K423" i="37"/>
  <c r="J423" i="37"/>
  <c r="I423" i="37"/>
  <c r="H423" i="37"/>
  <c r="G423" i="37"/>
  <c r="F423" i="37"/>
  <c r="E423" i="37"/>
  <c r="D423" i="37"/>
  <c r="C423" i="37"/>
  <c r="B423" i="37"/>
  <c r="R422" i="37"/>
  <c r="Q422" i="37"/>
  <c r="P422" i="37"/>
  <c r="O422" i="37"/>
  <c r="N422" i="37"/>
  <c r="M422" i="37"/>
  <c r="L422" i="37"/>
  <c r="K422" i="37"/>
  <c r="J422" i="37"/>
  <c r="I422" i="37"/>
  <c r="H422" i="37"/>
  <c r="G422" i="37"/>
  <c r="F422" i="37"/>
  <c r="E422" i="37"/>
  <c r="D422" i="37"/>
  <c r="C422" i="37"/>
  <c r="B422" i="37"/>
  <c r="R421" i="37"/>
  <c r="Q421" i="37"/>
  <c r="P421" i="37"/>
  <c r="O421" i="37"/>
  <c r="N421" i="37"/>
  <c r="M421" i="37"/>
  <c r="L421" i="37"/>
  <c r="K421" i="37"/>
  <c r="J421" i="37"/>
  <c r="I421" i="37"/>
  <c r="H421" i="37"/>
  <c r="G421" i="37"/>
  <c r="F421" i="37"/>
  <c r="E421" i="37"/>
  <c r="D421" i="37"/>
  <c r="C421" i="37"/>
  <c r="B421" i="37"/>
  <c r="R420" i="37"/>
  <c r="Q420" i="37"/>
  <c r="P420" i="37"/>
  <c r="O420" i="37"/>
  <c r="N420" i="37"/>
  <c r="M420" i="37"/>
  <c r="L420" i="37"/>
  <c r="K420" i="37"/>
  <c r="J420" i="37"/>
  <c r="I420" i="37"/>
  <c r="H420" i="37"/>
  <c r="G420" i="37"/>
  <c r="F420" i="37"/>
  <c r="E420" i="37"/>
  <c r="D420" i="37"/>
  <c r="C420" i="37"/>
  <c r="B420" i="37"/>
  <c r="R419" i="37"/>
  <c r="Q419" i="37"/>
  <c r="P419" i="37"/>
  <c r="O419" i="37"/>
  <c r="N419" i="37"/>
  <c r="M419" i="37"/>
  <c r="L419" i="37"/>
  <c r="K419" i="37"/>
  <c r="J419" i="37"/>
  <c r="I419" i="37"/>
  <c r="H419" i="37"/>
  <c r="G419" i="37"/>
  <c r="F419" i="37"/>
  <c r="E419" i="37"/>
  <c r="D419" i="37"/>
  <c r="C419" i="37"/>
  <c r="B419" i="37"/>
  <c r="R418" i="37"/>
  <c r="Q418" i="37"/>
  <c r="P418" i="37"/>
  <c r="O418" i="37"/>
  <c r="N418" i="37"/>
  <c r="M418" i="37"/>
  <c r="L418" i="37"/>
  <c r="K418" i="37"/>
  <c r="J418" i="37"/>
  <c r="I418" i="37"/>
  <c r="H418" i="37"/>
  <c r="G418" i="37"/>
  <c r="F418" i="37"/>
  <c r="E418" i="37"/>
  <c r="D418" i="37"/>
  <c r="C418" i="37"/>
  <c r="B418" i="37"/>
  <c r="R417" i="37"/>
  <c r="Q417" i="37"/>
  <c r="P417" i="37"/>
  <c r="O417" i="37"/>
  <c r="N417" i="37"/>
  <c r="M417" i="37"/>
  <c r="L417" i="37"/>
  <c r="K417" i="37"/>
  <c r="J417" i="37"/>
  <c r="I417" i="37"/>
  <c r="H417" i="37"/>
  <c r="G417" i="37"/>
  <c r="F417" i="37"/>
  <c r="E417" i="37"/>
  <c r="D417" i="37"/>
  <c r="C417" i="37"/>
  <c r="B417" i="37"/>
  <c r="R416" i="37"/>
  <c r="Q416" i="37"/>
  <c r="P416" i="37"/>
  <c r="O416" i="37"/>
  <c r="N416" i="37"/>
  <c r="M416" i="37"/>
  <c r="L416" i="37"/>
  <c r="K416" i="37"/>
  <c r="J416" i="37"/>
  <c r="I416" i="37"/>
  <c r="H416" i="37"/>
  <c r="G416" i="37"/>
  <c r="F416" i="37"/>
  <c r="E416" i="37"/>
  <c r="D416" i="37"/>
  <c r="C416" i="37"/>
  <c r="B416" i="37"/>
  <c r="R415" i="37"/>
  <c r="Q415" i="37"/>
  <c r="P415" i="37"/>
  <c r="O415" i="37"/>
  <c r="N415" i="37"/>
  <c r="M415" i="37"/>
  <c r="L415" i="37"/>
  <c r="K415" i="37"/>
  <c r="J415" i="37"/>
  <c r="I415" i="37"/>
  <c r="H415" i="37"/>
  <c r="G415" i="37"/>
  <c r="F415" i="37"/>
  <c r="E415" i="37"/>
  <c r="D415" i="37"/>
  <c r="C415" i="37"/>
  <c r="B415" i="37"/>
  <c r="R414" i="37"/>
  <c r="Q414" i="37"/>
  <c r="P414" i="37"/>
  <c r="O414" i="37"/>
  <c r="N414" i="37"/>
  <c r="M414" i="37"/>
  <c r="L414" i="37"/>
  <c r="K414" i="37"/>
  <c r="J414" i="37"/>
  <c r="I414" i="37"/>
  <c r="H414" i="37"/>
  <c r="G414" i="37"/>
  <c r="F414" i="37"/>
  <c r="E414" i="37"/>
  <c r="D414" i="37"/>
  <c r="C414" i="37"/>
  <c r="B414" i="37"/>
  <c r="R413" i="37"/>
  <c r="Q413" i="37"/>
  <c r="P413" i="37"/>
  <c r="O413" i="37"/>
  <c r="N413" i="37"/>
  <c r="M413" i="37"/>
  <c r="L413" i="37"/>
  <c r="K413" i="37"/>
  <c r="J413" i="37"/>
  <c r="I413" i="37"/>
  <c r="H413" i="37"/>
  <c r="G413" i="37"/>
  <c r="F413" i="37"/>
  <c r="E413" i="37"/>
  <c r="D413" i="37"/>
  <c r="C413" i="37"/>
  <c r="B413" i="37"/>
  <c r="R412" i="37"/>
  <c r="Q412" i="37"/>
  <c r="P412" i="37"/>
  <c r="O412" i="37"/>
  <c r="N412" i="37"/>
  <c r="M412" i="37"/>
  <c r="L412" i="37"/>
  <c r="K412" i="37"/>
  <c r="J412" i="37"/>
  <c r="I412" i="37"/>
  <c r="H412" i="37"/>
  <c r="G412" i="37"/>
  <c r="F412" i="37"/>
  <c r="E412" i="37"/>
  <c r="D412" i="37"/>
  <c r="C412" i="37"/>
  <c r="B412" i="37"/>
  <c r="R411" i="37"/>
  <c r="Q411" i="37"/>
  <c r="P411" i="37"/>
  <c r="O411" i="37"/>
  <c r="N411" i="37"/>
  <c r="M411" i="37"/>
  <c r="L411" i="37"/>
  <c r="K411" i="37"/>
  <c r="J411" i="37"/>
  <c r="I411" i="37"/>
  <c r="H411" i="37"/>
  <c r="G411" i="37"/>
  <c r="F411" i="37"/>
  <c r="E411" i="37"/>
  <c r="D411" i="37"/>
  <c r="C411" i="37"/>
  <c r="B411" i="37"/>
  <c r="R410" i="37"/>
  <c r="Q410" i="37"/>
  <c r="P410" i="37"/>
  <c r="O410" i="37"/>
  <c r="N410" i="37"/>
  <c r="M410" i="37"/>
  <c r="L410" i="37"/>
  <c r="K410" i="37"/>
  <c r="J410" i="37"/>
  <c r="I410" i="37"/>
  <c r="H410" i="37"/>
  <c r="G410" i="37"/>
  <c r="F410" i="37"/>
  <c r="E410" i="37"/>
  <c r="D410" i="37"/>
  <c r="C410" i="37"/>
  <c r="B410" i="37"/>
  <c r="R409" i="37"/>
  <c r="Q409" i="37"/>
  <c r="P409" i="37"/>
  <c r="O409" i="37"/>
  <c r="N409" i="37"/>
  <c r="M409" i="37"/>
  <c r="L409" i="37"/>
  <c r="K409" i="37"/>
  <c r="J409" i="37"/>
  <c r="I409" i="37"/>
  <c r="H409" i="37"/>
  <c r="G409" i="37"/>
  <c r="F409" i="37"/>
  <c r="E409" i="37"/>
  <c r="D409" i="37"/>
  <c r="C409" i="37"/>
  <c r="B409" i="37"/>
  <c r="R408" i="37"/>
  <c r="Q408" i="37"/>
  <c r="P408" i="37"/>
  <c r="O408" i="37"/>
  <c r="N408" i="37"/>
  <c r="M408" i="37"/>
  <c r="L408" i="37"/>
  <c r="K408" i="37"/>
  <c r="J408" i="37"/>
  <c r="I408" i="37"/>
  <c r="H408" i="37"/>
  <c r="G408" i="37"/>
  <c r="F408" i="37"/>
  <c r="E408" i="37"/>
  <c r="D408" i="37"/>
  <c r="C408" i="37"/>
  <c r="B408" i="37"/>
  <c r="R407" i="37"/>
  <c r="Q407" i="37"/>
  <c r="P407" i="37"/>
  <c r="O407" i="37"/>
  <c r="N407" i="37"/>
  <c r="M407" i="37"/>
  <c r="L407" i="37"/>
  <c r="K407" i="37"/>
  <c r="J407" i="37"/>
  <c r="I407" i="37"/>
  <c r="H407" i="37"/>
  <c r="G407" i="37"/>
  <c r="F407" i="37"/>
  <c r="E407" i="37"/>
  <c r="D407" i="37"/>
  <c r="C407" i="37"/>
  <c r="B407" i="37"/>
  <c r="R406" i="37"/>
  <c r="Q406" i="37"/>
  <c r="P406" i="37"/>
  <c r="O406" i="37"/>
  <c r="N406" i="37"/>
  <c r="M406" i="37"/>
  <c r="L406" i="37"/>
  <c r="K406" i="37"/>
  <c r="J406" i="37"/>
  <c r="I406" i="37"/>
  <c r="H406" i="37"/>
  <c r="G406" i="37"/>
  <c r="F406" i="37"/>
  <c r="E406" i="37"/>
  <c r="D406" i="37"/>
  <c r="C406" i="37"/>
  <c r="B406" i="37"/>
  <c r="R405" i="37"/>
  <c r="Q405" i="37"/>
  <c r="P405" i="37"/>
  <c r="O405" i="37"/>
  <c r="N405" i="37"/>
  <c r="M405" i="37"/>
  <c r="L405" i="37"/>
  <c r="K405" i="37"/>
  <c r="J405" i="37"/>
  <c r="I405" i="37"/>
  <c r="H405" i="37"/>
  <c r="G405" i="37"/>
  <c r="F405" i="37"/>
  <c r="E405" i="37"/>
  <c r="D405" i="37"/>
  <c r="C405" i="37"/>
  <c r="B405" i="37"/>
  <c r="R404" i="37"/>
  <c r="Q404" i="37"/>
  <c r="P404" i="37"/>
  <c r="O404" i="37"/>
  <c r="N404" i="37"/>
  <c r="M404" i="37"/>
  <c r="L404" i="37"/>
  <c r="K404" i="37"/>
  <c r="J404" i="37"/>
  <c r="I404" i="37"/>
  <c r="H404" i="37"/>
  <c r="G404" i="37"/>
  <c r="F404" i="37"/>
  <c r="E404" i="37"/>
  <c r="D404" i="37"/>
  <c r="C404" i="37"/>
  <c r="B404" i="37"/>
  <c r="R403" i="37"/>
  <c r="Q403" i="37"/>
  <c r="P403" i="37"/>
  <c r="O403" i="37"/>
  <c r="N403" i="37"/>
  <c r="M403" i="37"/>
  <c r="L403" i="37"/>
  <c r="K403" i="37"/>
  <c r="J403" i="37"/>
  <c r="I403" i="37"/>
  <c r="H403" i="37"/>
  <c r="G403" i="37"/>
  <c r="F403" i="37"/>
  <c r="E403" i="37"/>
  <c r="D403" i="37"/>
  <c r="C403" i="37"/>
  <c r="B403" i="37"/>
  <c r="R402" i="37"/>
  <c r="Q402" i="37"/>
  <c r="P402" i="37"/>
  <c r="O402" i="37"/>
  <c r="N402" i="37"/>
  <c r="M402" i="37"/>
  <c r="L402" i="37"/>
  <c r="K402" i="37"/>
  <c r="J402" i="37"/>
  <c r="I402" i="37"/>
  <c r="H402" i="37"/>
  <c r="G402" i="37"/>
  <c r="F402" i="37"/>
  <c r="E402" i="37"/>
  <c r="D402" i="37"/>
  <c r="C402" i="37"/>
  <c r="B402" i="37"/>
  <c r="R401" i="37"/>
  <c r="Q401" i="37"/>
  <c r="P401" i="37"/>
  <c r="O401" i="37"/>
  <c r="N401" i="37"/>
  <c r="M401" i="37"/>
  <c r="L401" i="37"/>
  <c r="K401" i="37"/>
  <c r="J401" i="37"/>
  <c r="I401" i="37"/>
  <c r="H401" i="37"/>
  <c r="G401" i="37"/>
  <c r="F401" i="37"/>
  <c r="E401" i="37"/>
  <c r="D401" i="37"/>
  <c r="C401" i="37"/>
  <c r="B401" i="37"/>
  <c r="R400" i="37"/>
  <c r="Q400" i="37"/>
  <c r="P400" i="37"/>
  <c r="O400" i="37"/>
  <c r="N400" i="37"/>
  <c r="M400" i="37"/>
  <c r="L400" i="37"/>
  <c r="K400" i="37"/>
  <c r="J400" i="37"/>
  <c r="I400" i="37"/>
  <c r="H400" i="37"/>
  <c r="G400" i="37"/>
  <c r="F400" i="37"/>
  <c r="E400" i="37"/>
  <c r="D400" i="37"/>
  <c r="C400" i="37"/>
  <c r="B400" i="37"/>
  <c r="R399" i="37"/>
  <c r="Q399" i="37"/>
  <c r="P399" i="37"/>
  <c r="O399" i="37"/>
  <c r="N399" i="37"/>
  <c r="M399" i="37"/>
  <c r="L399" i="37"/>
  <c r="K399" i="37"/>
  <c r="J399" i="37"/>
  <c r="I399" i="37"/>
  <c r="H399" i="37"/>
  <c r="G399" i="37"/>
  <c r="F399" i="37"/>
  <c r="E399" i="37"/>
  <c r="D399" i="37"/>
  <c r="C399" i="37"/>
  <c r="B399" i="37"/>
  <c r="R398" i="37"/>
  <c r="Q398" i="37"/>
  <c r="P398" i="37"/>
  <c r="O398" i="37"/>
  <c r="N398" i="37"/>
  <c r="M398" i="37"/>
  <c r="L398" i="37"/>
  <c r="K398" i="37"/>
  <c r="J398" i="37"/>
  <c r="I398" i="37"/>
  <c r="H398" i="37"/>
  <c r="G398" i="37"/>
  <c r="F398" i="37"/>
  <c r="E398" i="37"/>
  <c r="D398" i="37"/>
  <c r="C398" i="37"/>
  <c r="B398" i="37"/>
  <c r="R397" i="37"/>
  <c r="Q397" i="37"/>
  <c r="P397" i="37"/>
  <c r="O397" i="37"/>
  <c r="N397" i="37"/>
  <c r="M397" i="37"/>
  <c r="L397" i="37"/>
  <c r="K397" i="37"/>
  <c r="J397" i="37"/>
  <c r="I397" i="37"/>
  <c r="H397" i="37"/>
  <c r="G397" i="37"/>
  <c r="F397" i="37"/>
  <c r="E397" i="37"/>
  <c r="D397" i="37"/>
  <c r="C397" i="37"/>
  <c r="B397" i="37"/>
  <c r="R396" i="37"/>
  <c r="Q396" i="37"/>
  <c r="P396" i="37"/>
  <c r="O396" i="37"/>
  <c r="N396" i="37"/>
  <c r="M396" i="37"/>
  <c r="L396" i="37"/>
  <c r="K396" i="37"/>
  <c r="J396" i="37"/>
  <c r="I396" i="37"/>
  <c r="H396" i="37"/>
  <c r="G396" i="37"/>
  <c r="F396" i="37"/>
  <c r="E396" i="37"/>
  <c r="D396" i="37"/>
  <c r="C396" i="37"/>
  <c r="B396" i="37"/>
  <c r="R395" i="37"/>
  <c r="Q395" i="37"/>
  <c r="P395" i="37"/>
  <c r="O395" i="37"/>
  <c r="N395" i="37"/>
  <c r="M395" i="37"/>
  <c r="L395" i="37"/>
  <c r="K395" i="37"/>
  <c r="J395" i="37"/>
  <c r="I395" i="37"/>
  <c r="H395" i="37"/>
  <c r="G395" i="37"/>
  <c r="F395" i="37"/>
  <c r="E395" i="37"/>
  <c r="D395" i="37"/>
  <c r="C395" i="37"/>
  <c r="B395" i="37"/>
  <c r="R394" i="37"/>
  <c r="Q394" i="37"/>
  <c r="P394" i="37"/>
  <c r="O394" i="37"/>
  <c r="N394" i="37"/>
  <c r="M394" i="37"/>
  <c r="L394" i="37"/>
  <c r="K394" i="37"/>
  <c r="J394" i="37"/>
  <c r="I394" i="37"/>
  <c r="H394" i="37"/>
  <c r="G394" i="37"/>
  <c r="F394" i="37"/>
  <c r="E394" i="37"/>
  <c r="D394" i="37"/>
  <c r="C394" i="37"/>
  <c r="B394" i="37"/>
  <c r="R393" i="37"/>
  <c r="Q393" i="37"/>
  <c r="P393" i="37"/>
  <c r="O393" i="37"/>
  <c r="N393" i="37"/>
  <c r="M393" i="37"/>
  <c r="L393" i="37"/>
  <c r="K393" i="37"/>
  <c r="J393" i="37"/>
  <c r="I393" i="37"/>
  <c r="H393" i="37"/>
  <c r="G393" i="37"/>
  <c r="F393" i="37"/>
  <c r="E393" i="37"/>
  <c r="D393" i="37"/>
  <c r="C393" i="37"/>
  <c r="B393" i="37"/>
  <c r="R392" i="37"/>
  <c r="Q392" i="37"/>
  <c r="P392" i="37"/>
  <c r="O392" i="37"/>
  <c r="N392" i="37"/>
  <c r="M392" i="37"/>
  <c r="L392" i="37"/>
  <c r="K392" i="37"/>
  <c r="J392" i="37"/>
  <c r="I392" i="37"/>
  <c r="H392" i="37"/>
  <c r="G392" i="37"/>
  <c r="F392" i="37"/>
  <c r="E392" i="37"/>
  <c r="D392" i="37"/>
  <c r="C392" i="37"/>
  <c r="B392" i="37"/>
  <c r="R391" i="37"/>
  <c r="Q391" i="37"/>
  <c r="P391" i="37"/>
  <c r="O391" i="37"/>
  <c r="N391" i="37"/>
  <c r="M391" i="37"/>
  <c r="L391" i="37"/>
  <c r="K391" i="37"/>
  <c r="J391" i="37"/>
  <c r="I391" i="37"/>
  <c r="H391" i="37"/>
  <c r="G391" i="37"/>
  <c r="F391" i="37"/>
  <c r="E391" i="37"/>
  <c r="D391" i="37"/>
  <c r="C391" i="37"/>
  <c r="B391" i="37"/>
  <c r="R390" i="37"/>
  <c r="Q390" i="37"/>
  <c r="P390" i="37"/>
  <c r="O390" i="37"/>
  <c r="N390" i="37"/>
  <c r="M390" i="37"/>
  <c r="L390" i="37"/>
  <c r="K390" i="37"/>
  <c r="J390" i="37"/>
  <c r="I390" i="37"/>
  <c r="H390" i="37"/>
  <c r="G390" i="37"/>
  <c r="F390" i="37"/>
  <c r="E390" i="37"/>
  <c r="D390" i="37"/>
  <c r="C390" i="37"/>
  <c r="B390" i="37"/>
  <c r="R389" i="37"/>
  <c r="Q389" i="37"/>
  <c r="P389" i="37"/>
  <c r="O389" i="37"/>
  <c r="N389" i="37"/>
  <c r="M389" i="37"/>
  <c r="L389" i="37"/>
  <c r="K389" i="37"/>
  <c r="J389" i="37"/>
  <c r="I389" i="37"/>
  <c r="H389" i="37"/>
  <c r="G389" i="37"/>
  <c r="F389" i="37"/>
  <c r="E389" i="37"/>
  <c r="D389" i="37"/>
  <c r="C389" i="37"/>
  <c r="B389" i="37"/>
  <c r="R388" i="37"/>
  <c r="Q388" i="37"/>
  <c r="P388" i="37"/>
  <c r="O388" i="37"/>
  <c r="N388" i="37"/>
  <c r="M388" i="37"/>
  <c r="L388" i="37"/>
  <c r="K388" i="37"/>
  <c r="J388" i="37"/>
  <c r="I388" i="37"/>
  <c r="H388" i="37"/>
  <c r="G388" i="37"/>
  <c r="F388" i="37"/>
  <c r="E388" i="37"/>
  <c r="D388" i="37"/>
  <c r="C388" i="37"/>
  <c r="B388" i="37"/>
  <c r="R387" i="37"/>
  <c r="Q387" i="37"/>
  <c r="P387" i="37"/>
  <c r="O387" i="37"/>
  <c r="N387" i="37"/>
  <c r="M387" i="37"/>
  <c r="L387" i="37"/>
  <c r="K387" i="37"/>
  <c r="J387" i="37"/>
  <c r="I387" i="37"/>
  <c r="H387" i="37"/>
  <c r="G387" i="37"/>
  <c r="F387" i="37"/>
  <c r="E387" i="37"/>
  <c r="D387" i="37"/>
  <c r="C387" i="37"/>
  <c r="B387" i="37"/>
  <c r="R386" i="37"/>
  <c r="Q386" i="37"/>
  <c r="P386" i="37"/>
  <c r="O386" i="37"/>
  <c r="N386" i="37"/>
  <c r="M386" i="37"/>
  <c r="L386" i="37"/>
  <c r="K386" i="37"/>
  <c r="J386" i="37"/>
  <c r="I386" i="37"/>
  <c r="H386" i="37"/>
  <c r="G386" i="37"/>
  <c r="F386" i="37"/>
  <c r="E386" i="37"/>
  <c r="D386" i="37"/>
  <c r="C386" i="37"/>
  <c r="B386" i="37"/>
  <c r="R385" i="37"/>
  <c r="Q385" i="37"/>
  <c r="P385" i="37"/>
  <c r="O385" i="37"/>
  <c r="N385" i="37"/>
  <c r="M385" i="37"/>
  <c r="L385" i="37"/>
  <c r="K385" i="37"/>
  <c r="J385" i="37"/>
  <c r="I385" i="37"/>
  <c r="H385" i="37"/>
  <c r="G385" i="37"/>
  <c r="F385" i="37"/>
  <c r="E385" i="37"/>
  <c r="D385" i="37"/>
  <c r="C385" i="37"/>
  <c r="B385" i="37"/>
  <c r="R384" i="37"/>
  <c r="Q384" i="37"/>
  <c r="P384" i="37"/>
  <c r="O384" i="37"/>
  <c r="N384" i="37"/>
  <c r="M384" i="37"/>
  <c r="L384" i="37"/>
  <c r="K384" i="37"/>
  <c r="J384" i="37"/>
  <c r="I384" i="37"/>
  <c r="H384" i="37"/>
  <c r="G384" i="37"/>
  <c r="F384" i="37"/>
  <c r="E384" i="37"/>
  <c r="D384" i="37"/>
  <c r="C384" i="37"/>
  <c r="B384" i="37"/>
  <c r="R383" i="37"/>
  <c r="Q383" i="37"/>
  <c r="P383" i="37"/>
  <c r="O383" i="37"/>
  <c r="N383" i="37"/>
  <c r="M383" i="37"/>
  <c r="L383" i="37"/>
  <c r="K383" i="37"/>
  <c r="J383" i="37"/>
  <c r="I383" i="37"/>
  <c r="H383" i="37"/>
  <c r="G383" i="37"/>
  <c r="F383" i="37"/>
  <c r="E383" i="37"/>
  <c r="D383" i="37"/>
  <c r="C383" i="37"/>
  <c r="B383" i="37"/>
  <c r="R382" i="37"/>
  <c r="Q382" i="37"/>
  <c r="P382" i="37"/>
  <c r="O382" i="37"/>
  <c r="N382" i="37"/>
  <c r="M382" i="37"/>
  <c r="L382" i="37"/>
  <c r="K382" i="37"/>
  <c r="J382" i="37"/>
  <c r="I382" i="37"/>
  <c r="H382" i="37"/>
  <c r="G382" i="37"/>
  <c r="F382" i="37"/>
  <c r="E382" i="37"/>
  <c r="D382" i="37"/>
  <c r="C382" i="37"/>
  <c r="B382" i="37"/>
  <c r="R381" i="37"/>
  <c r="Q381" i="37"/>
  <c r="P381" i="37"/>
  <c r="O381" i="37"/>
  <c r="N381" i="37"/>
  <c r="M381" i="37"/>
  <c r="L381" i="37"/>
  <c r="K381" i="37"/>
  <c r="J381" i="37"/>
  <c r="I381" i="37"/>
  <c r="H381" i="37"/>
  <c r="G381" i="37"/>
  <c r="F381" i="37"/>
  <c r="E381" i="37"/>
  <c r="D381" i="37"/>
  <c r="C381" i="37"/>
  <c r="B381" i="37"/>
  <c r="R380" i="37"/>
  <c r="Q380" i="37"/>
  <c r="P380" i="37"/>
  <c r="O380" i="37"/>
  <c r="N380" i="37"/>
  <c r="M380" i="37"/>
  <c r="L380" i="37"/>
  <c r="K380" i="37"/>
  <c r="J380" i="37"/>
  <c r="I380" i="37"/>
  <c r="H380" i="37"/>
  <c r="G380" i="37"/>
  <c r="F380" i="37"/>
  <c r="E380" i="37"/>
  <c r="D380" i="37"/>
  <c r="C380" i="37"/>
  <c r="B380" i="37"/>
  <c r="R379" i="37"/>
  <c r="Q379" i="37"/>
  <c r="P379" i="37"/>
  <c r="O379" i="37"/>
  <c r="N379" i="37"/>
  <c r="M379" i="37"/>
  <c r="L379" i="37"/>
  <c r="K379" i="37"/>
  <c r="J379" i="37"/>
  <c r="I379" i="37"/>
  <c r="H379" i="37"/>
  <c r="G379" i="37"/>
  <c r="F379" i="37"/>
  <c r="E379" i="37"/>
  <c r="D379" i="37"/>
  <c r="C379" i="37"/>
  <c r="B379" i="37"/>
  <c r="R378" i="37"/>
  <c r="Q378" i="37"/>
  <c r="P378" i="37"/>
  <c r="O378" i="37"/>
  <c r="N378" i="37"/>
  <c r="M378" i="37"/>
  <c r="L378" i="37"/>
  <c r="K378" i="37"/>
  <c r="J378" i="37"/>
  <c r="I378" i="37"/>
  <c r="H378" i="37"/>
  <c r="G378" i="37"/>
  <c r="F378" i="37"/>
  <c r="E378" i="37"/>
  <c r="D378" i="37"/>
  <c r="C378" i="37"/>
  <c r="B378" i="37"/>
  <c r="R377" i="37"/>
  <c r="Q377" i="37"/>
  <c r="P377" i="37"/>
  <c r="O377" i="37"/>
  <c r="N377" i="37"/>
  <c r="M377" i="37"/>
  <c r="L377" i="37"/>
  <c r="K377" i="37"/>
  <c r="J377" i="37"/>
  <c r="I377" i="37"/>
  <c r="H377" i="37"/>
  <c r="G377" i="37"/>
  <c r="F377" i="37"/>
  <c r="E377" i="37"/>
  <c r="D377" i="37"/>
  <c r="C377" i="37"/>
  <c r="B377" i="37"/>
  <c r="R376" i="37"/>
  <c r="Q376" i="37"/>
  <c r="P376" i="37"/>
  <c r="O376" i="37"/>
  <c r="N376" i="37"/>
  <c r="M376" i="37"/>
  <c r="L376" i="37"/>
  <c r="K376" i="37"/>
  <c r="J376" i="37"/>
  <c r="I376" i="37"/>
  <c r="H376" i="37"/>
  <c r="G376" i="37"/>
  <c r="F376" i="37"/>
  <c r="E376" i="37"/>
  <c r="D376" i="37"/>
  <c r="C376" i="37"/>
  <c r="B376" i="37"/>
  <c r="R375" i="37"/>
  <c r="Q375" i="37"/>
  <c r="P375" i="37"/>
  <c r="O375" i="37"/>
  <c r="N375" i="37"/>
  <c r="M375" i="37"/>
  <c r="L375" i="37"/>
  <c r="K375" i="37"/>
  <c r="J375" i="37"/>
  <c r="I375" i="37"/>
  <c r="H375" i="37"/>
  <c r="G375" i="37"/>
  <c r="F375" i="37"/>
  <c r="E375" i="37"/>
  <c r="D375" i="37"/>
  <c r="C375" i="37"/>
  <c r="B375" i="37"/>
  <c r="R374" i="37"/>
  <c r="Q374" i="37"/>
  <c r="P374" i="37"/>
  <c r="O374" i="37"/>
  <c r="N374" i="37"/>
  <c r="M374" i="37"/>
  <c r="L374" i="37"/>
  <c r="K374" i="37"/>
  <c r="J374" i="37"/>
  <c r="I374" i="37"/>
  <c r="H374" i="37"/>
  <c r="G374" i="37"/>
  <c r="F374" i="37"/>
  <c r="E374" i="37"/>
  <c r="D374" i="37"/>
  <c r="C374" i="37"/>
  <c r="B374" i="37"/>
  <c r="R373" i="37"/>
  <c r="Q373" i="37"/>
  <c r="P373" i="37"/>
  <c r="O373" i="37"/>
  <c r="N373" i="37"/>
  <c r="M373" i="37"/>
  <c r="L373" i="37"/>
  <c r="K373" i="37"/>
  <c r="J373" i="37"/>
  <c r="I373" i="37"/>
  <c r="H373" i="37"/>
  <c r="G373" i="37"/>
  <c r="F373" i="37"/>
  <c r="E373" i="37"/>
  <c r="D373" i="37"/>
  <c r="C373" i="37"/>
  <c r="B373" i="37"/>
  <c r="R372" i="37"/>
  <c r="Q372" i="37"/>
  <c r="P372" i="37"/>
  <c r="O372" i="37"/>
  <c r="N372" i="37"/>
  <c r="M372" i="37"/>
  <c r="L372" i="37"/>
  <c r="K372" i="37"/>
  <c r="J372" i="37"/>
  <c r="I372" i="37"/>
  <c r="H372" i="37"/>
  <c r="G372" i="37"/>
  <c r="F372" i="37"/>
  <c r="E372" i="37"/>
  <c r="D372" i="37"/>
  <c r="C372" i="37"/>
  <c r="B372" i="37"/>
  <c r="R371" i="37"/>
  <c r="Q371" i="37"/>
  <c r="P371" i="37"/>
  <c r="O371" i="37"/>
  <c r="N371" i="37"/>
  <c r="M371" i="37"/>
  <c r="L371" i="37"/>
  <c r="K371" i="37"/>
  <c r="J371" i="37"/>
  <c r="I371" i="37"/>
  <c r="H371" i="37"/>
  <c r="G371" i="37"/>
  <c r="F371" i="37"/>
  <c r="E371" i="37"/>
  <c r="D371" i="37"/>
  <c r="C371" i="37"/>
  <c r="B371" i="37"/>
  <c r="R370" i="37"/>
  <c r="Q370" i="37"/>
  <c r="P370" i="37"/>
  <c r="O370" i="37"/>
  <c r="N370" i="37"/>
  <c r="M370" i="37"/>
  <c r="L370" i="37"/>
  <c r="K370" i="37"/>
  <c r="J370" i="37"/>
  <c r="I370" i="37"/>
  <c r="H370" i="37"/>
  <c r="G370" i="37"/>
  <c r="F370" i="37"/>
  <c r="E370" i="37"/>
  <c r="D370" i="37"/>
  <c r="C370" i="37"/>
  <c r="B370" i="37"/>
  <c r="R369" i="37"/>
  <c r="Q369" i="37"/>
  <c r="P369" i="37"/>
  <c r="O369" i="37"/>
  <c r="N369" i="37"/>
  <c r="M369" i="37"/>
  <c r="L369" i="37"/>
  <c r="K369" i="37"/>
  <c r="J369" i="37"/>
  <c r="I369" i="37"/>
  <c r="H369" i="37"/>
  <c r="G369" i="37"/>
  <c r="F369" i="37"/>
  <c r="E369" i="37"/>
  <c r="D369" i="37"/>
  <c r="C369" i="37"/>
  <c r="B369" i="37"/>
  <c r="R368" i="37"/>
  <c r="Q368" i="37"/>
  <c r="P368" i="37"/>
  <c r="O368" i="37"/>
  <c r="N368" i="37"/>
  <c r="M368" i="37"/>
  <c r="L368" i="37"/>
  <c r="K368" i="37"/>
  <c r="J368" i="37"/>
  <c r="I368" i="37"/>
  <c r="H368" i="37"/>
  <c r="G368" i="37"/>
  <c r="F368" i="37"/>
  <c r="E368" i="37"/>
  <c r="D368" i="37"/>
  <c r="C368" i="37"/>
  <c r="B368" i="37"/>
  <c r="R367" i="37"/>
  <c r="Q367" i="37"/>
  <c r="P367" i="37"/>
  <c r="O367" i="37"/>
  <c r="N367" i="37"/>
  <c r="M367" i="37"/>
  <c r="L367" i="37"/>
  <c r="K367" i="37"/>
  <c r="J367" i="37"/>
  <c r="I367" i="37"/>
  <c r="H367" i="37"/>
  <c r="G367" i="37"/>
  <c r="F367" i="37"/>
  <c r="E367" i="37"/>
  <c r="D367" i="37"/>
  <c r="C367" i="37"/>
  <c r="B367" i="37"/>
  <c r="R366" i="37"/>
  <c r="Q366" i="37"/>
  <c r="P366" i="37"/>
  <c r="O366" i="37"/>
  <c r="N366" i="37"/>
  <c r="M366" i="37"/>
  <c r="L366" i="37"/>
  <c r="K366" i="37"/>
  <c r="J366" i="37"/>
  <c r="I366" i="37"/>
  <c r="H366" i="37"/>
  <c r="G366" i="37"/>
  <c r="F366" i="37"/>
  <c r="E366" i="37"/>
  <c r="D366" i="37"/>
  <c r="C366" i="37"/>
  <c r="B366" i="37"/>
  <c r="R365" i="37"/>
  <c r="Q365" i="37"/>
  <c r="P365" i="37"/>
  <c r="O365" i="37"/>
  <c r="N365" i="37"/>
  <c r="M365" i="37"/>
  <c r="L365" i="37"/>
  <c r="K365" i="37"/>
  <c r="J365" i="37"/>
  <c r="I365" i="37"/>
  <c r="H365" i="37"/>
  <c r="G365" i="37"/>
  <c r="F365" i="37"/>
  <c r="E365" i="37"/>
  <c r="D365" i="37"/>
  <c r="C365" i="37"/>
  <c r="B365" i="37"/>
  <c r="R364" i="37"/>
  <c r="Q364" i="37"/>
  <c r="P364" i="37"/>
  <c r="O364" i="37"/>
  <c r="N364" i="37"/>
  <c r="M364" i="37"/>
  <c r="L364" i="37"/>
  <c r="K364" i="37"/>
  <c r="J364" i="37"/>
  <c r="I364" i="37"/>
  <c r="H364" i="37"/>
  <c r="G364" i="37"/>
  <c r="F364" i="37"/>
  <c r="E364" i="37"/>
  <c r="D364" i="37"/>
  <c r="C364" i="37"/>
  <c r="B364" i="37"/>
  <c r="R363" i="37"/>
  <c r="Q363" i="37"/>
  <c r="P363" i="37"/>
  <c r="O363" i="37"/>
  <c r="N363" i="37"/>
  <c r="M363" i="37"/>
  <c r="L363" i="37"/>
  <c r="K363" i="37"/>
  <c r="J363" i="37"/>
  <c r="I363" i="37"/>
  <c r="H363" i="37"/>
  <c r="G363" i="37"/>
  <c r="F363" i="37"/>
  <c r="E363" i="37"/>
  <c r="D363" i="37"/>
  <c r="C363" i="37"/>
  <c r="B363" i="37"/>
  <c r="R362" i="37"/>
  <c r="Q362" i="37"/>
  <c r="P362" i="37"/>
  <c r="O362" i="37"/>
  <c r="N362" i="37"/>
  <c r="M362" i="37"/>
  <c r="L362" i="37"/>
  <c r="K362" i="37"/>
  <c r="J362" i="37"/>
  <c r="I362" i="37"/>
  <c r="H362" i="37"/>
  <c r="G362" i="37"/>
  <c r="F362" i="37"/>
  <c r="E362" i="37"/>
  <c r="D362" i="37"/>
  <c r="C362" i="37"/>
  <c r="B362" i="37"/>
  <c r="R361" i="37"/>
  <c r="Q361" i="37"/>
  <c r="P361" i="37"/>
  <c r="O361" i="37"/>
  <c r="N361" i="37"/>
  <c r="M361" i="37"/>
  <c r="L361" i="37"/>
  <c r="K361" i="37"/>
  <c r="J361" i="37"/>
  <c r="I361" i="37"/>
  <c r="H361" i="37"/>
  <c r="G361" i="37"/>
  <c r="F361" i="37"/>
  <c r="E361" i="37"/>
  <c r="D361" i="37"/>
  <c r="C361" i="37"/>
  <c r="B361" i="37"/>
  <c r="R360" i="37"/>
  <c r="Q360" i="37"/>
  <c r="P360" i="37"/>
  <c r="O360" i="37"/>
  <c r="N360" i="37"/>
  <c r="M360" i="37"/>
  <c r="L360" i="37"/>
  <c r="K360" i="37"/>
  <c r="J360" i="37"/>
  <c r="I360" i="37"/>
  <c r="H360" i="37"/>
  <c r="G360" i="37"/>
  <c r="F360" i="37"/>
  <c r="E360" i="37"/>
  <c r="D360" i="37"/>
  <c r="C360" i="37"/>
  <c r="B360" i="37"/>
  <c r="R359" i="37"/>
  <c r="Q359" i="37"/>
  <c r="P359" i="37"/>
  <c r="O359" i="37"/>
  <c r="N359" i="37"/>
  <c r="M359" i="37"/>
  <c r="L359" i="37"/>
  <c r="K359" i="37"/>
  <c r="J359" i="37"/>
  <c r="I359" i="37"/>
  <c r="H359" i="37"/>
  <c r="G359" i="37"/>
  <c r="F359" i="37"/>
  <c r="E359" i="37"/>
  <c r="D359" i="37"/>
  <c r="C359" i="37"/>
  <c r="B359" i="37"/>
  <c r="R358" i="37"/>
  <c r="Q358" i="37"/>
  <c r="P358" i="37"/>
  <c r="O358" i="37"/>
  <c r="N358" i="37"/>
  <c r="M358" i="37"/>
  <c r="L358" i="37"/>
  <c r="K358" i="37"/>
  <c r="J358" i="37"/>
  <c r="I358" i="37"/>
  <c r="H358" i="37"/>
  <c r="G358" i="37"/>
  <c r="F358" i="37"/>
  <c r="E358" i="37"/>
  <c r="D358" i="37"/>
  <c r="C358" i="37"/>
  <c r="B358" i="37"/>
  <c r="R357" i="37"/>
  <c r="Q357" i="37"/>
  <c r="P357" i="37"/>
  <c r="O357" i="37"/>
  <c r="N357" i="37"/>
  <c r="M357" i="37"/>
  <c r="L357" i="37"/>
  <c r="K357" i="37"/>
  <c r="J357" i="37"/>
  <c r="I357" i="37"/>
  <c r="H357" i="37"/>
  <c r="G357" i="37"/>
  <c r="F357" i="37"/>
  <c r="E357" i="37"/>
  <c r="D357" i="37"/>
  <c r="C357" i="37"/>
  <c r="B357" i="37"/>
  <c r="R356" i="37"/>
  <c r="Q356" i="37"/>
  <c r="P356" i="37"/>
  <c r="O356" i="37"/>
  <c r="N356" i="37"/>
  <c r="M356" i="37"/>
  <c r="L356" i="37"/>
  <c r="K356" i="37"/>
  <c r="J356" i="37"/>
  <c r="I356" i="37"/>
  <c r="H356" i="37"/>
  <c r="G356" i="37"/>
  <c r="F356" i="37"/>
  <c r="E356" i="37"/>
  <c r="D356" i="37"/>
  <c r="C356" i="37"/>
  <c r="B356" i="37"/>
  <c r="R355" i="37"/>
  <c r="Q355" i="37"/>
  <c r="P355" i="37"/>
  <c r="O355" i="37"/>
  <c r="N355" i="37"/>
  <c r="M355" i="37"/>
  <c r="L355" i="37"/>
  <c r="K355" i="37"/>
  <c r="J355" i="37"/>
  <c r="I355" i="37"/>
  <c r="H355" i="37"/>
  <c r="G355" i="37"/>
  <c r="F355" i="37"/>
  <c r="E355" i="37"/>
  <c r="D355" i="37"/>
  <c r="C355" i="37"/>
  <c r="B355" i="37"/>
  <c r="R354" i="37"/>
  <c r="Q354" i="37"/>
  <c r="P354" i="37"/>
  <c r="O354" i="37"/>
  <c r="N354" i="37"/>
  <c r="M354" i="37"/>
  <c r="L354" i="37"/>
  <c r="K354" i="37"/>
  <c r="J354" i="37"/>
  <c r="I354" i="37"/>
  <c r="H354" i="37"/>
  <c r="G354" i="37"/>
  <c r="F354" i="37"/>
  <c r="E354" i="37"/>
  <c r="D354" i="37"/>
  <c r="C354" i="37"/>
  <c r="B354" i="37"/>
  <c r="R353" i="37"/>
  <c r="Q353" i="37"/>
  <c r="P353" i="37"/>
  <c r="O353" i="37"/>
  <c r="N353" i="37"/>
  <c r="M353" i="37"/>
  <c r="L353" i="37"/>
  <c r="K353" i="37"/>
  <c r="J353" i="37"/>
  <c r="I353" i="37"/>
  <c r="H353" i="37"/>
  <c r="G353" i="37"/>
  <c r="F353" i="37"/>
  <c r="E353" i="37"/>
  <c r="D353" i="37"/>
  <c r="C353" i="37"/>
  <c r="B353" i="37"/>
  <c r="R352" i="37"/>
  <c r="Q352" i="37"/>
  <c r="P352" i="37"/>
  <c r="O352" i="37"/>
  <c r="N352" i="37"/>
  <c r="M352" i="37"/>
  <c r="L352" i="37"/>
  <c r="K352" i="37"/>
  <c r="J352" i="37"/>
  <c r="I352" i="37"/>
  <c r="H352" i="37"/>
  <c r="G352" i="37"/>
  <c r="F352" i="37"/>
  <c r="E352" i="37"/>
  <c r="D352" i="37"/>
  <c r="C352" i="37"/>
  <c r="B352" i="37"/>
  <c r="R351" i="37"/>
  <c r="Q351" i="37"/>
  <c r="P351" i="37"/>
  <c r="O351" i="37"/>
  <c r="N351" i="37"/>
  <c r="M351" i="37"/>
  <c r="L351" i="37"/>
  <c r="K351" i="37"/>
  <c r="J351" i="37"/>
  <c r="I351" i="37"/>
  <c r="H351" i="37"/>
  <c r="G351" i="37"/>
  <c r="F351" i="37"/>
  <c r="E351" i="37"/>
  <c r="D351" i="37"/>
  <c r="C351" i="37"/>
  <c r="B351" i="37"/>
  <c r="R350" i="37"/>
  <c r="Q350" i="37"/>
  <c r="P350" i="37"/>
  <c r="O350" i="37"/>
  <c r="N350" i="37"/>
  <c r="M350" i="37"/>
  <c r="L350" i="37"/>
  <c r="K350" i="37"/>
  <c r="J350" i="37"/>
  <c r="I350" i="37"/>
  <c r="H350" i="37"/>
  <c r="G350" i="37"/>
  <c r="F350" i="37"/>
  <c r="E350" i="37"/>
  <c r="D350" i="37"/>
  <c r="C350" i="37"/>
  <c r="B350" i="37"/>
  <c r="R349" i="37"/>
  <c r="Q349" i="37"/>
  <c r="P349" i="37"/>
  <c r="O349" i="37"/>
  <c r="N349" i="37"/>
  <c r="M349" i="37"/>
  <c r="L349" i="37"/>
  <c r="K349" i="37"/>
  <c r="J349" i="37"/>
  <c r="I349" i="37"/>
  <c r="H349" i="37"/>
  <c r="G349" i="37"/>
  <c r="F349" i="37"/>
  <c r="E349" i="37"/>
  <c r="D349" i="37"/>
  <c r="C349" i="37"/>
  <c r="B349" i="37"/>
  <c r="R348" i="37"/>
  <c r="Q348" i="37"/>
  <c r="P348" i="37"/>
  <c r="O348" i="37"/>
  <c r="N348" i="37"/>
  <c r="M348" i="37"/>
  <c r="L348" i="37"/>
  <c r="K348" i="37"/>
  <c r="J348" i="37"/>
  <c r="I348" i="37"/>
  <c r="H348" i="37"/>
  <c r="G348" i="37"/>
  <c r="F348" i="37"/>
  <c r="E348" i="37"/>
  <c r="D348" i="37"/>
  <c r="C348" i="37"/>
  <c r="B348" i="37"/>
  <c r="R347" i="37"/>
  <c r="Q347" i="37"/>
  <c r="P347" i="37"/>
  <c r="O347" i="37"/>
  <c r="N347" i="37"/>
  <c r="M347" i="37"/>
  <c r="L347" i="37"/>
  <c r="K347" i="37"/>
  <c r="J347" i="37"/>
  <c r="I347" i="37"/>
  <c r="H347" i="37"/>
  <c r="G347" i="37"/>
  <c r="F347" i="37"/>
  <c r="E347" i="37"/>
  <c r="D347" i="37"/>
  <c r="C347" i="37"/>
  <c r="B347" i="37"/>
  <c r="R346" i="37"/>
  <c r="Q346" i="37"/>
  <c r="P346" i="37"/>
  <c r="O346" i="37"/>
  <c r="N346" i="37"/>
  <c r="M346" i="37"/>
  <c r="L346" i="37"/>
  <c r="K346" i="37"/>
  <c r="J346" i="37"/>
  <c r="I346" i="37"/>
  <c r="H346" i="37"/>
  <c r="G346" i="37"/>
  <c r="F346" i="37"/>
  <c r="E346" i="37"/>
  <c r="D346" i="37"/>
  <c r="C346" i="37"/>
  <c r="B346" i="37"/>
  <c r="R345" i="37"/>
  <c r="Q345" i="37"/>
  <c r="P345" i="37"/>
  <c r="O345" i="37"/>
  <c r="N345" i="37"/>
  <c r="M345" i="37"/>
  <c r="L345" i="37"/>
  <c r="K345" i="37"/>
  <c r="J345" i="37"/>
  <c r="I345" i="37"/>
  <c r="H345" i="37"/>
  <c r="G345" i="37"/>
  <c r="F345" i="37"/>
  <c r="E345" i="37"/>
  <c r="D345" i="37"/>
  <c r="C345" i="37"/>
  <c r="B345" i="37"/>
  <c r="R344" i="37"/>
  <c r="Q344" i="37"/>
  <c r="P344" i="37"/>
  <c r="O344" i="37"/>
  <c r="N344" i="37"/>
  <c r="M344" i="37"/>
  <c r="L344" i="37"/>
  <c r="K344" i="37"/>
  <c r="J344" i="37"/>
  <c r="I344" i="37"/>
  <c r="H344" i="37"/>
  <c r="G344" i="37"/>
  <c r="F344" i="37"/>
  <c r="E344" i="37"/>
  <c r="D344" i="37"/>
  <c r="C344" i="37"/>
  <c r="B344" i="37"/>
  <c r="R343" i="37"/>
  <c r="Q343" i="37"/>
  <c r="P343" i="37"/>
  <c r="O343" i="37"/>
  <c r="N343" i="37"/>
  <c r="M343" i="37"/>
  <c r="L343" i="37"/>
  <c r="K343" i="37"/>
  <c r="J343" i="37"/>
  <c r="I343" i="37"/>
  <c r="H343" i="37"/>
  <c r="G343" i="37"/>
  <c r="F343" i="37"/>
  <c r="E343" i="37"/>
  <c r="D343" i="37"/>
  <c r="C343" i="37"/>
  <c r="B343" i="37"/>
  <c r="R342" i="37"/>
  <c r="Q342" i="37"/>
  <c r="P342" i="37"/>
  <c r="O342" i="37"/>
  <c r="N342" i="37"/>
  <c r="M342" i="37"/>
  <c r="L342" i="37"/>
  <c r="K342" i="37"/>
  <c r="J342" i="37"/>
  <c r="I342" i="37"/>
  <c r="H342" i="37"/>
  <c r="G342" i="37"/>
  <c r="F342" i="37"/>
  <c r="E342" i="37"/>
  <c r="D342" i="37"/>
  <c r="C342" i="37"/>
  <c r="B342" i="37"/>
  <c r="R341" i="37"/>
  <c r="Q341" i="37"/>
  <c r="P341" i="37"/>
  <c r="O341" i="37"/>
  <c r="N341" i="37"/>
  <c r="M341" i="37"/>
  <c r="L341" i="37"/>
  <c r="K341" i="37"/>
  <c r="J341" i="37"/>
  <c r="I341" i="37"/>
  <c r="H341" i="37"/>
  <c r="G341" i="37"/>
  <c r="F341" i="37"/>
  <c r="E341" i="37"/>
  <c r="D341" i="37"/>
  <c r="C341" i="37"/>
  <c r="B341" i="37"/>
  <c r="R340" i="37"/>
  <c r="Q340" i="37"/>
  <c r="P340" i="37"/>
  <c r="O340" i="37"/>
  <c r="N340" i="37"/>
  <c r="M340" i="37"/>
  <c r="L340" i="37"/>
  <c r="K340" i="37"/>
  <c r="J340" i="37"/>
  <c r="I340" i="37"/>
  <c r="H340" i="37"/>
  <c r="G340" i="37"/>
  <c r="F340" i="37"/>
  <c r="E340" i="37"/>
  <c r="D340" i="37"/>
  <c r="C340" i="37"/>
  <c r="B340" i="37"/>
  <c r="R339" i="37"/>
  <c r="Q339" i="37"/>
  <c r="P339" i="37"/>
  <c r="O339" i="37"/>
  <c r="N339" i="37"/>
  <c r="M339" i="37"/>
  <c r="L339" i="37"/>
  <c r="K339" i="37"/>
  <c r="J339" i="37"/>
  <c r="I339" i="37"/>
  <c r="H339" i="37"/>
  <c r="G339" i="37"/>
  <c r="F339" i="37"/>
  <c r="E339" i="37"/>
  <c r="D339" i="37"/>
  <c r="C339" i="37"/>
  <c r="B339" i="37"/>
  <c r="R338" i="37"/>
  <c r="Q338" i="37"/>
  <c r="P338" i="37"/>
  <c r="O338" i="37"/>
  <c r="N338" i="37"/>
  <c r="M338" i="37"/>
  <c r="L338" i="37"/>
  <c r="K338" i="37"/>
  <c r="J338" i="37"/>
  <c r="I338" i="37"/>
  <c r="H338" i="37"/>
  <c r="G338" i="37"/>
  <c r="F338" i="37"/>
  <c r="E338" i="37"/>
  <c r="D338" i="37"/>
  <c r="C338" i="37"/>
  <c r="B338" i="37"/>
  <c r="R337" i="37"/>
  <c r="Q337" i="37"/>
  <c r="P337" i="37"/>
  <c r="O337" i="37"/>
  <c r="N337" i="37"/>
  <c r="M337" i="37"/>
  <c r="L337" i="37"/>
  <c r="K337" i="37"/>
  <c r="J337" i="37"/>
  <c r="I337" i="37"/>
  <c r="H337" i="37"/>
  <c r="G337" i="37"/>
  <c r="F337" i="37"/>
  <c r="E337" i="37"/>
  <c r="D337" i="37"/>
  <c r="C337" i="37"/>
  <c r="B337" i="37"/>
  <c r="R336" i="37"/>
  <c r="Q336" i="37"/>
  <c r="P336" i="37"/>
  <c r="O336" i="37"/>
  <c r="N336" i="37"/>
  <c r="M336" i="37"/>
  <c r="L336" i="37"/>
  <c r="K336" i="37"/>
  <c r="J336" i="37"/>
  <c r="I336" i="37"/>
  <c r="H336" i="37"/>
  <c r="G336" i="37"/>
  <c r="F336" i="37"/>
  <c r="E336" i="37"/>
  <c r="D336" i="37"/>
  <c r="C336" i="37"/>
  <c r="B336" i="37"/>
  <c r="R335" i="37"/>
  <c r="Q335" i="37"/>
  <c r="P335" i="37"/>
  <c r="O335" i="37"/>
  <c r="N335" i="37"/>
  <c r="M335" i="37"/>
  <c r="L335" i="37"/>
  <c r="K335" i="37"/>
  <c r="J335" i="37"/>
  <c r="I335" i="37"/>
  <c r="H335" i="37"/>
  <c r="G335" i="37"/>
  <c r="F335" i="37"/>
  <c r="E335" i="37"/>
  <c r="D335" i="37"/>
  <c r="C335" i="37"/>
  <c r="B335" i="37"/>
  <c r="R334" i="37"/>
  <c r="Q334" i="37"/>
  <c r="P334" i="37"/>
  <c r="O334" i="37"/>
  <c r="N334" i="37"/>
  <c r="M334" i="37"/>
  <c r="L334" i="37"/>
  <c r="K334" i="37"/>
  <c r="J334" i="37"/>
  <c r="I334" i="37"/>
  <c r="H334" i="37"/>
  <c r="G334" i="37"/>
  <c r="F334" i="37"/>
  <c r="E334" i="37"/>
  <c r="D334" i="37"/>
  <c r="C334" i="37"/>
  <c r="B334" i="37"/>
  <c r="R333" i="37"/>
  <c r="Q333" i="37"/>
  <c r="P333" i="37"/>
  <c r="O333" i="37"/>
  <c r="N333" i="37"/>
  <c r="M333" i="37"/>
  <c r="L333" i="37"/>
  <c r="K333" i="37"/>
  <c r="J333" i="37"/>
  <c r="I333" i="37"/>
  <c r="H333" i="37"/>
  <c r="G333" i="37"/>
  <c r="F333" i="37"/>
  <c r="E333" i="37"/>
  <c r="D333" i="37"/>
  <c r="C333" i="37"/>
  <c r="B333" i="37"/>
  <c r="R332" i="37"/>
  <c r="Q332" i="37"/>
  <c r="P332" i="37"/>
  <c r="O332" i="37"/>
  <c r="N332" i="37"/>
  <c r="M332" i="37"/>
  <c r="L332" i="37"/>
  <c r="K332" i="37"/>
  <c r="J332" i="37"/>
  <c r="I332" i="37"/>
  <c r="H332" i="37"/>
  <c r="G332" i="37"/>
  <c r="F332" i="37"/>
  <c r="E332" i="37"/>
  <c r="D332" i="37"/>
  <c r="C332" i="37"/>
  <c r="B332" i="37"/>
  <c r="R331" i="37"/>
  <c r="Q331" i="37"/>
  <c r="P331" i="37"/>
  <c r="O331" i="37"/>
  <c r="N331" i="37"/>
  <c r="M331" i="37"/>
  <c r="L331" i="37"/>
  <c r="K331" i="37"/>
  <c r="J331" i="37"/>
  <c r="I331" i="37"/>
  <c r="H331" i="37"/>
  <c r="G331" i="37"/>
  <c r="F331" i="37"/>
  <c r="E331" i="37"/>
  <c r="D331" i="37"/>
  <c r="C331" i="37"/>
  <c r="B331" i="37"/>
  <c r="R330" i="37"/>
  <c r="Q330" i="37"/>
  <c r="P330" i="37"/>
  <c r="O330" i="37"/>
  <c r="N330" i="37"/>
  <c r="M330" i="37"/>
  <c r="L330" i="37"/>
  <c r="K330" i="37"/>
  <c r="J330" i="37"/>
  <c r="I330" i="37"/>
  <c r="H330" i="37"/>
  <c r="G330" i="37"/>
  <c r="F330" i="37"/>
  <c r="E330" i="37"/>
  <c r="D330" i="37"/>
  <c r="C330" i="37"/>
  <c r="B330" i="37"/>
  <c r="R329" i="37"/>
  <c r="Q329" i="37"/>
  <c r="P329" i="37"/>
  <c r="O329" i="37"/>
  <c r="N329" i="37"/>
  <c r="M329" i="37"/>
  <c r="L329" i="37"/>
  <c r="K329" i="37"/>
  <c r="J329" i="37"/>
  <c r="I329" i="37"/>
  <c r="H329" i="37"/>
  <c r="G329" i="37"/>
  <c r="F329" i="37"/>
  <c r="E329" i="37"/>
  <c r="D329" i="37"/>
  <c r="C329" i="37"/>
  <c r="B329" i="37"/>
  <c r="R328" i="37"/>
  <c r="Q328" i="37"/>
  <c r="P328" i="37"/>
  <c r="O328" i="37"/>
  <c r="N328" i="37"/>
  <c r="M328" i="37"/>
  <c r="L328" i="37"/>
  <c r="K328" i="37"/>
  <c r="J328" i="37"/>
  <c r="I328" i="37"/>
  <c r="H328" i="37"/>
  <c r="G328" i="37"/>
  <c r="F328" i="37"/>
  <c r="E328" i="37"/>
  <c r="D328" i="37"/>
  <c r="C328" i="37"/>
  <c r="B328" i="37"/>
  <c r="R327" i="37"/>
  <c r="Q327" i="37"/>
  <c r="P327" i="37"/>
  <c r="O327" i="37"/>
  <c r="N327" i="37"/>
  <c r="M327" i="37"/>
  <c r="L327" i="37"/>
  <c r="K327" i="37"/>
  <c r="J327" i="37"/>
  <c r="I327" i="37"/>
  <c r="H327" i="37"/>
  <c r="G327" i="37"/>
  <c r="F327" i="37"/>
  <c r="E327" i="37"/>
  <c r="D327" i="37"/>
  <c r="C327" i="37"/>
  <c r="B327" i="37"/>
  <c r="R326" i="37"/>
  <c r="Q326" i="37"/>
  <c r="P326" i="37"/>
  <c r="O326" i="37"/>
  <c r="N326" i="37"/>
  <c r="M326" i="37"/>
  <c r="L326" i="37"/>
  <c r="K326" i="37"/>
  <c r="J326" i="37"/>
  <c r="I326" i="37"/>
  <c r="H326" i="37"/>
  <c r="G326" i="37"/>
  <c r="F326" i="37"/>
  <c r="E326" i="37"/>
  <c r="D326" i="37"/>
  <c r="C326" i="37"/>
  <c r="B326" i="37"/>
  <c r="R325" i="37"/>
  <c r="Q325" i="37"/>
  <c r="P325" i="37"/>
  <c r="O325" i="37"/>
  <c r="N325" i="37"/>
  <c r="M325" i="37"/>
  <c r="L325" i="37"/>
  <c r="K325" i="37"/>
  <c r="J325" i="37"/>
  <c r="I325" i="37"/>
  <c r="H325" i="37"/>
  <c r="G325" i="37"/>
  <c r="F325" i="37"/>
  <c r="E325" i="37"/>
  <c r="D325" i="37"/>
  <c r="C325" i="37"/>
  <c r="B325" i="37"/>
  <c r="R324" i="37"/>
  <c r="Q324" i="37"/>
  <c r="P324" i="37"/>
  <c r="O324" i="37"/>
  <c r="N324" i="37"/>
  <c r="M324" i="37"/>
  <c r="L324" i="37"/>
  <c r="K324" i="37"/>
  <c r="J324" i="37"/>
  <c r="I324" i="37"/>
  <c r="H324" i="37"/>
  <c r="G324" i="37"/>
  <c r="F324" i="37"/>
  <c r="E324" i="37"/>
  <c r="D324" i="37"/>
  <c r="C324" i="37"/>
  <c r="B324" i="37"/>
  <c r="R323" i="37"/>
  <c r="Q323" i="37"/>
  <c r="P323" i="37"/>
  <c r="O323" i="37"/>
  <c r="N323" i="37"/>
  <c r="M323" i="37"/>
  <c r="L323" i="37"/>
  <c r="K323" i="37"/>
  <c r="J323" i="37"/>
  <c r="I323" i="37"/>
  <c r="H323" i="37"/>
  <c r="G323" i="37"/>
  <c r="F323" i="37"/>
  <c r="E323" i="37"/>
  <c r="D323" i="37"/>
  <c r="C323" i="37"/>
  <c r="B323" i="37"/>
  <c r="R322" i="37"/>
  <c r="Q322" i="37"/>
  <c r="P322" i="37"/>
  <c r="O322" i="37"/>
  <c r="N322" i="37"/>
  <c r="M322" i="37"/>
  <c r="L322" i="37"/>
  <c r="K322" i="37"/>
  <c r="J322" i="37"/>
  <c r="I322" i="37"/>
  <c r="H322" i="37"/>
  <c r="G322" i="37"/>
  <c r="F322" i="37"/>
  <c r="E322" i="37"/>
  <c r="D322" i="37"/>
  <c r="C322" i="37"/>
  <c r="B322" i="37"/>
  <c r="R321" i="37"/>
  <c r="Q321" i="37"/>
  <c r="P321" i="37"/>
  <c r="O321" i="37"/>
  <c r="N321" i="37"/>
  <c r="M321" i="37"/>
  <c r="L321" i="37"/>
  <c r="K321" i="37"/>
  <c r="J321" i="37"/>
  <c r="I321" i="37"/>
  <c r="H321" i="37"/>
  <c r="G321" i="37"/>
  <c r="F321" i="37"/>
  <c r="E321" i="37"/>
  <c r="D321" i="37"/>
  <c r="C321" i="37"/>
  <c r="B321" i="37"/>
  <c r="R320" i="37"/>
  <c r="Q320" i="37"/>
  <c r="P320" i="37"/>
  <c r="O320" i="37"/>
  <c r="N320" i="37"/>
  <c r="M320" i="37"/>
  <c r="L320" i="37"/>
  <c r="K320" i="37"/>
  <c r="J320" i="37"/>
  <c r="I320" i="37"/>
  <c r="H320" i="37"/>
  <c r="G320" i="37"/>
  <c r="F320" i="37"/>
  <c r="E320" i="37"/>
  <c r="D320" i="37"/>
  <c r="C320" i="37"/>
  <c r="B320" i="37"/>
  <c r="R319" i="37"/>
  <c r="Q319" i="37"/>
  <c r="P319" i="37"/>
  <c r="O319" i="37"/>
  <c r="N319" i="37"/>
  <c r="M319" i="37"/>
  <c r="L319" i="37"/>
  <c r="K319" i="37"/>
  <c r="J319" i="37"/>
  <c r="I319" i="37"/>
  <c r="H319" i="37"/>
  <c r="G319" i="37"/>
  <c r="F319" i="37"/>
  <c r="E319" i="37"/>
  <c r="D319" i="37"/>
  <c r="C319" i="37"/>
  <c r="B319" i="37"/>
  <c r="R318" i="37"/>
  <c r="Q318" i="37"/>
  <c r="P318" i="37"/>
  <c r="O318" i="37"/>
  <c r="N318" i="37"/>
  <c r="M318" i="37"/>
  <c r="L318" i="37"/>
  <c r="K318" i="37"/>
  <c r="J318" i="37"/>
  <c r="I318" i="37"/>
  <c r="H318" i="37"/>
  <c r="G318" i="37"/>
  <c r="F318" i="37"/>
  <c r="E318" i="37"/>
  <c r="D318" i="37"/>
  <c r="C318" i="37"/>
  <c r="B318" i="37"/>
  <c r="R317" i="37"/>
  <c r="Q317" i="37"/>
  <c r="P317" i="37"/>
  <c r="O317" i="37"/>
  <c r="N317" i="37"/>
  <c r="M317" i="37"/>
  <c r="L317" i="37"/>
  <c r="K317" i="37"/>
  <c r="J317" i="37"/>
  <c r="I317" i="37"/>
  <c r="H317" i="37"/>
  <c r="G317" i="37"/>
  <c r="F317" i="37"/>
  <c r="E317" i="37"/>
  <c r="D317" i="37"/>
  <c r="C317" i="37"/>
  <c r="B317" i="37"/>
  <c r="R316" i="37"/>
  <c r="Q316" i="37"/>
  <c r="P316" i="37"/>
  <c r="O316" i="37"/>
  <c r="N316" i="37"/>
  <c r="M316" i="37"/>
  <c r="L316" i="37"/>
  <c r="K316" i="37"/>
  <c r="J316" i="37"/>
  <c r="I316" i="37"/>
  <c r="H316" i="37"/>
  <c r="G316" i="37"/>
  <c r="F316" i="37"/>
  <c r="E316" i="37"/>
  <c r="D316" i="37"/>
  <c r="C316" i="37"/>
  <c r="B316" i="37"/>
  <c r="R315" i="37"/>
  <c r="Q315" i="37"/>
  <c r="P315" i="37"/>
  <c r="O315" i="37"/>
  <c r="N315" i="37"/>
  <c r="M315" i="37"/>
  <c r="L315" i="37"/>
  <c r="K315" i="37"/>
  <c r="J315" i="37"/>
  <c r="I315" i="37"/>
  <c r="H315" i="37"/>
  <c r="G315" i="37"/>
  <c r="F315" i="37"/>
  <c r="E315" i="37"/>
  <c r="D315" i="37"/>
  <c r="C315" i="37"/>
  <c r="B315" i="37"/>
  <c r="R314" i="37"/>
  <c r="Q314" i="37"/>
  <c r="P314" i="37"/>
  <c r="O314" i="37"/>
  <c r="N314" i="37"/>
  <c r="M314" i="37"/>
  <c r="L314" i="37"/>
  <c r="K314" i="37"/>
  <c r="J314" i="37"/>
  <c r="I314" i="37"/>
  <c r="H314" i="37"/>
  <c r="G314" i="37"/>
  <c r="F314" i="37"/>
  <c r="E314" i="37"/>
  <c r="D314" i="37"/>
  <c r="C314" i="37"/>
  <c r="B314" i="37"/>
  <c r="R313" i="37"/>
  <c r="Q313" i="37"/>
  <c r="P313" i="37"/>
  <c r="O313" i="37"/>
  <c r="N313" i="37"/>
  <c r="M313" i="37"/>
  <c r="L313" i="37"/>
  <c r="K313" i="37"/>
  <c r="J313" i="37"/>
  <c r="I313" i="37"/>
  <c r="H313" i="37"/>
  <c r="G313" i="37"/>
  <c r="F313" i="37"/>
  <c r="E313" i="37"/>
  <c r="D313" i="37"/>
  <c r="C313" i="37"/>
  <c r="B313" i="37"/>
  <c r="R312" i="37"/>
  <c r="Q312" i="37"/>
  <c r="P312" i="37"/>
  <c r="O312" i="37"/>
  <c r="N312" i="37"/>
  <c r="M312" i="37"/>
  <c r="L312" i="37"/>
  <c r="K312" i="37"/>
  <c r="J312" i="37"/>
  <c r="I312" i="37"/>
  <c r="H312" i="37"/>
  <c r="G312" i="37"/>
  <c r="F312" i="37"/>
  <c r="E312" i="37"/>
  <c r="D312" i="37"/>
  <c r="C312" i="37"/>
  <c r="B312" i="37"/>
  <c r="R311" i="37"/>
  <c r="Q311" i="37"/>
  <c r="P311" i="37"/>
  <c r="O311" i="37"/>
  <c r="N311" i="37"/>
  <c r="M311" i="37"/>
  <c r="L311" i="37"/>
  <c r="K311" i="37"/>
  <c r="J311" i="37"/>
  <c r="I311" i="37"/>
  <c r="H311" i="37"/>
  <c r="G311" i="37"/>
  <c r="F311" i="37"/>
  <c r="E311" i="37"/>
  <c r="D311" i="37"/>
  <c r="C311" i="37"/>
  <c r="B311" i="37"/>
  <c r="R310" i="37"/>
  <c r="Q310" i="37"/>
  <c r="P310" i="37"/>
  <c r="O310" i="37"/>
  <c r="N310" i="37"/>
  <c r="M310" i="37"/>
  <c r="L310" i="37"/>
  <c r="K310" i="37"/>
  <c r="J310" i="37"/>
  <c r="I310" i="37"/>
  <c r="H310" i="37"/>
  <c r="G310" i="37"/>
  <c r="F310" i="37"/>
  <c r="E310" i="37"/>
  <c r="D310" i="37"/>
  <c r="C310" i="37"/>
  <c r="B310" i="37"/>
  <c r="R309" i="37"/>
  <c r="Q309" i="37"/>
  <c r="P309" i="37"/>
  <c r="O309" i="37"/>
  <c r="N309" i="37"/>
  <c r="M309" i="37"/>
  <c r="L309" i="37"/>
  <c r="K309" i="37"/>
  <c r="J309" i="37"/>
  <c r="I309" i="37"/>
  <c r="H309" i="37"/>
  <c r="G309" i="37"/>
  <c r="F309" i="37"/>
  <c r="E309" i="37"/>
  <c r="D309" i="37"/>
  <c r="C309" i="37"/>
  <c r="B309" i="37"/>
  <c r="R308" i="37"/>
  <c r="Q308" i="37"/>
  <c r="P308" i="37"/>
  <c r="O308" i="37"/>
  <c r="N308" i="37"/>
  <c r="M308" i="37"/>
  <c r="L308" i="37"/>
  <c r="K308" i="37"/>
  <c r="J308" i="37"/>
  <c r="I308" i="37"/>
  <c r="H308" i="37"/>
  <c r="G308" i="37"/>
  <c r="F308" i="37"/>
  <c r="E308" i="37"/>
  <c r="D308" i="37"/>
  <c r="C308" i="37"/>
  <c r="B308" i="37"/>
  <c r="R307" i="37"/>
  <c r="Q307" i="37"/>
  <c r="P307" i="37"/>
  <c r="O307" i="37"/>
  <c r="N307" i="37"/>
  <c r="M307" i="37"/>
  <c r="L307" i="37"/>
  <c r="K307" i="37"/>
  <c r="J307" i="37"/>
  <c r="I307" i="37"/>
  <c r="H307" i="37"/>
  <c r="G307" i="37"/>
  <c r="F307" i="37"/>
  <c r="E307" i="37"/>
  <c r="D307" i="37"/>
  <c r="C307" i="37"/>
  <c r="B307" i="37"/>
  <c r="R306" i="37"/>
  <c r="Q306" i="37"/>
  <c r="P306" i="37"/>
  <c r="O306" i="37"/>
  <c r="N306" i="37"/>
  <c r="M306" i="37"/>
  <c r="L306" i="37"/>
  <c r="K306" i="37"/>
  <c r="J306" i="37"/>
  <c r="I306" i="37"/>
  <c r="H306" i="37"/>
  <c r="G306" i="37"/>
  <c r="F306" i="37"/>
  <c r="E306" i="37"/>
  <c r="D306" i="37"/>
  <c r="C306" i="37"/>
  <c r="B306" i="37"/>
  <c r="R305" i="37"/>
  <c r="Q305" i="37"/>
  <c r="P305" i="37"/>
  <c r="O305" i="37"/>
  <c r="N305" i="37"/>
  <c r="M305" i="37"/>
  <c r="L305" i="37"/>
  <c r="K305" i="37"/>
  <c r="J305" i="37"/>
  <c r="I305" i="37"/>
  <c r="H305" i="37"/>
  <c r="G305" i="37"/>
  <c r="F305" i="37"/>
  <c r="E305" i="37"/>
  <c r="D305" i="37"/>
  <c r="C305" i="37"/>
  <c r="B305" i="37"/>
  <c r="R304" i="37"/>
  <c r="Q304" i="37"/>
  <c r="P304" i="37"/>
  <c r="O304" i="37"/>
  <c r="N304" i="37"/>
  <c r="M304" i="37"/>
  <c r="L304" i="37"/>
  <c r="K304" i="37"/>
  <c r="J304" i="37"/>
  <c r="I304" i="37"/>
  <c r="H304" i="37"/>
  <c r="G304" i="37"/>
  <c r="F304" i="37"/>
  <c r="E304" i="37"/>
  <c r="D304" i="37"/>
  <c r="C304" i="37"/>
  <c r="B304" i="37"/>
  <c r="R303" i="37"/>
  <c r="Q303" i="37"/>
  <c r="P303" i="37"/>
  <c r="O303" i="37"/>
  <c r="N303" i="37"/>
  <c r="M303" i="37"/>
  <c r="L303" i="37"/>
  <c r="K303" i="37"/>
  <c r="J303" i="37"/>
  <c r="I303" i="37"/>
  <c r="H303" i="37"/>
  <c r="G303" i="37"/>
  <c r="F303" i="37"/>
  <c r="E303" i="37"/>
  <c r="D303" i="37"/>
  <c r="C303" i="37"/>
  <c r="B303" i="37"/>
  <c r="R302" i="37"/>
  <c r="Q302" i="37"/>
  <c r="P302" i="37"/>
  <c r="O302" i="37"/>
  <c r="N302" i="37"/>
  <c r="M302" i="37"/>
  <c r="L302" i="37"/>
  <c r="K302" i="37"/>
  <c r="J302" i="37"/>
  <c r="I302" i="37"/>
  <c r="H302" i="37"/>
  <c r="G302" i="37"/>
  <c r="F302" i="37"/>
  <c r="E302" i="37"/>
  <c r="D302" i="37"/>
  <c r="C302" i="37"/>
  <c r="B302" i="37"/>
  <c r="R301" i="37"/>
  <c r="Q301" i="37"/>
  <c r="P301" i="37"/>
  <c r="O301" i="37"/>
  <c r="N301" i="37"/>
  <c r="M301" i="37"/>
  <c r="L301" i="37"/>
  <c r="K301" i="37"/>
  <c r="J301" i="37"/>
  <c r="I301" i="37"/>
  <c r="H301" i="37"/>
  <c r="G301" i="37"/>
  <c r="F301" i="37"/>
  <c r="E301" i="37"/>
  <c r="D301" i="37"/>
  <c r="C301" i="37"/>
  <c r="B301" i="37"/>
  <c r="R300" i="37"/>
  <c r="Q300" i="37"/>
  <c r="P300" i="37"/>
  <c r="O300" i="37"/>
  <c r="N300" i="37"/>
  <c r="M300" i="37"/>
  <c r="L300" i="37"/>
  <c r="K300" i="37"/>
  <c r="J300" i="37"/>
  <c r="I300" i="37"/>
  <c r="H300" i="37"/>
  <c r="G300" i="37"/>
  <c r="F300" i="37"/>
  <c r="E300" i="37"/>
  <c r="D300" i="37"/>
  <c r="C300" i="37"/>
  <c r="B300" i="37"/>
  <c r="R299" i="37"/>
  <c r="Q299" i="37"/>
  <c r="P299" i="37"/>
  <c r="O299" i="37"/>
  <c r="N299" i="37"/>
  <c r="M299" i="37"/>
  <c r="L299" i="37"/>
  <c r="K299" i="37"/>
  <c r="J299" i="37"/>
  <c r="I299" i="37"/>
  <c r="H299" i="37"/>
  <c r="G299" i="37"/>
  <c r="F299" i="37"/>
  <c r="E299" i="37"/>
  <c r="D299" i="37"/>
  <c r="C299" i="37"/>
  <c r="B299" i="37"/>
  <c r="R298" i="37"/>
  <c r="Q298" i="37"/>
  <c r="P298" i="37"/>
  <c r="O298" i="37"/>
  <c r="N298" i="37"/>
  <c r="M298" i="37"/>
  <c r="L298" i="37"/>
  <c r="K298" i="37"/>
  <c r="J298" i="37"/>
  <c r="I298" i="37"/>
  <c r="H298" i="37"/>
  <c r="G298" i="37"/>
  <c r="F298" i="37"/>
  <c r="E298" i="37"/>
  <c r="D298" i="37"/>
  <c r="C298" i="37"/>
  <c r="B298" i="37"/>
  <c r="R297" i="37"/>
  <c r="Q297" i="37"/>
  <c r="P297" i="37"/>
  <c r="O297" i="37"/>
  <c r="N297" i="37"/>
  <c r="M297" i="37"/>
  <c r="L297" i="37"/>
  <c r="K297" i="37"/>
  <c r="J297" i="37"/>
  <c r="I297" i="37"/>
  <c r="H297" i="37"/>
  <c r="G297" i="37"/>
  <c r="F297" i="37"/>
  <c r="E297" i="37"/>
  <c r="D297" i="37"/>
  <c r="C297" i="37"/>
  <c r="B297" i="37"/>
  <c r="R296" i="37"/>
  <c r="Q296" i="37"/>
  <c r="P296" i="37"/>
  <c r="O296" i="37"/>
  <c r="N296" i="37"/>
  <c r="M296" i="37"/>
  <c r="L296" i="37"/>
  <c r="K296" i="37"/>
  <c r="J296" i="37"/>
  <c r="I296" i="37"/>
  <c r="H296" i="37"/>
  <c r="G296" i="37"/>
  <c r="F296" i="37"/>
  <c r="E296" i="37"/>
  <c r="D296" i="37"/>
  <c r="C296" i="37"/>
  <c r="B296" i="37"/>
  <c r="R295" i="37"/>
  <c r="Q295" i="37"/>
  <c r="P295" i="37"/>
  <c r="O295" i="37"/>
  <c r="N295" i="37"/>
  <c r="M295" i="37"/>
  <c r="L295" i="37"/>
  <c r="K295" i="37"/>
  <c r="J295" i="37"/>
  <c r="I295" i="37"/>
  <c r="H295" i="37"/>
  <c r="G295" i="37"/>
  <c r="F295" i="37"/>
  <c r="E295" i="37"/>
  <c r="D295" i="37"/>
  <c r="C295" i="37"/>
  <c r="B295" i="37"/>
  <c r="R294" i="37"/>
  <c r="Q294" i="37"/>
  <c r="P294" i="37"/>
  <c r="O294" i="37"/>
  <c r="N294" i="37"/>
  <c r="M294" i="37"/>
  <c r="L294" i="37"/>
  <c r="K294" i="37"/>
  <c r="J294" i="37"/>
  <c r="I294" i="37"/>
  <c r="H294" i="37"/>
  <c r="G294" i="37"/>
  <c r="F294" i="37"/>
  <c r="E294" i="37"/>
  <c r="D294" i="37"/>
  <c r="C294" i="37"/>
  <c r="B294" i="37"/>
  <c r="R293" i="37"/>
  <c r="Q293" i="37"/>
  <c r="P293" i="37"/>
  <c r="O293" i="37"/>
  <c r="N293" i="37"/>
  <c r="M293" i="37"/>
  <c r="L293" i="37"/>
  <c r="K293" i="37"/>
  <c r="J293" i="37"/>
  <c r="I293" i="37"/>
  <c r="H293" i="37"/>
  <c r="G293" i="37"/>
  <c r="F293" i="37"/>
  <c r="E293" i="37"/>
  <c r="D293" i="37"/>
  <c r="C293" i="37"/>
  <c r="B293" i="37"/>
  <c r="R292" i="37"/>
  <c r="Q292" i="37"/>
  <c r="P292" i="37"/>
  <c r="O292" i="37"/>
  <c r="N292" i="37"/>
  <c r="M292" i="37"/>
  <c r="L292" i="37"/>
  <c r="K292" i="37"/>
  <c r="J292" i="37"/>
  <c r="I292" i="37"/>
  <c r="H292" i="37"/>
  <c r="G292" i="37"/>
  <c r="F292" i="37"/>
  <c r="E292" i="37"/>
  <c r="D292" i="37"/>
  <c r="C292" i="37"/>
  <c r="B292" i="37"/>
  <c r="R291" i="37"/>
  <c r="Q291" i="37"/>
  <c r="P291" i="37"/>
  <c r="O291" i="37"/>
  <c r="N291" i="37"/>
  <c r="M291" i="37"/>
  <c r="L291" i="37"/>
  <c r="K291" i="37"/>
  <c r="J291" i="37"/>
  <c r="I291" i="37"/>
  <c r="H291" i="37"/>
  <c r="G291" i="37"/>
  <c r="F291" i="37"/>
  <c r="E291" i="37"/>
  <c r="D291" i="37"/>
  <c r="C291" i="37"/>
  <c r="B291" i="37"/>
  <c r="R290" i="37"/>
  <c r="Q290" i="37"/>
  <c r="P290" i="37"/>
  <c r="O290" i="37"/>
  <c r="N290" i="37"/>
  <c r="M290" i="37"/>
  <c r="L290" i="37"/>
  <c r="K290" i="37"/>
  <c r="J290" i="37"/>
  <c r="I290" i="37"/>
  <c r="H290" i="37"/>
  <c r="G290" i="37"/>
  <c r="F290" i="37"/>
  <c r="E290" i="37"/>
  <c r="D290" i="37"/>
  <c r="C290" i="37"/>
  <c r="B290" i="37"/>
  <c r="R289" i="37"/>
  <c r="Q289" i="37"/>
  <c r="P289" i="37"/>
  <c r="O289" i="37"/>
  <c r="N289" i="37"/>
  <c r="M289" i="37"/>
  <c r="L289" i="37"/>
  <c r="K289" i="37"/>
  <c r="J289" i="37"/>
  <c r="I289" i="37"/>
  <c r="H289" i="37"/>
  <c r="G289" i="37"/>
  <c r="F289" i="37"/>
  <c r="E289" i="37"/>
  <c r="D289" i="37"/>
  <c r="C289" i="37"/>
  <c r="B289" i="37"/>
  <c r="R288" i="37"/>
  <c r="Q288" i="37"/>
  <c r="P288" i="37"/>
  <c r="O288" i="37"/>
  <c r="N288" i="37"/>
  <c r="M288" i="37"/>
  <c r="L288" i="37"/>
  <c r="K288" i="37"/>
  <c r="J288" i="37"/>
  <c r="I288" i="37"/>
  <c r="H288" i="37"/>
  <c r="G288" i="37"/>
  <c r="F288" i="37"/>
  <c r="E288" i="37"/>
  <c r="D288" i="37"/>
  <c r="C288" i="37"/>
  <c r="B288" i="37"/>
  <c r="R287" i="37"/>
  <c r="Q287" i="37"/>
  <c r="P287" i="37"/>
  <c r="O287" i="37"/>
  <c r="N287" i="37"/>
  <c r="M287" i="37"/>
  <c r="L287" i="37"/>
  <c r="K287" i="37"/>
  <c r="J287" i="37"/>
  <c r="I287" i="37"/>
  <c r="H287" i="37"/>
  <c r="G287" i="37"/>
  <c r="F287" i="37"/>
  <c r="E287" i="37"/>
  <c r="D287" i="37"/>
  <c r="C287" i="37"/>
  <c r="B287" i="37"/>
  <c r="R286" i="37"/>
  <c r="Q286" i="37"/>
  <c r="P286" i="37"/>
  <c r="O286" i="37"/>
  <c r="N286" i="37"/>
  <c r="M286" i="37"/>
  <c r="L286" i="37"/>
  <c r="K286" i="37"/>
  <c r="J286" i="37"/>
  <c r="I286" i="37"/>
  <c r="H286" i="37"/>
  <c r="G286" i="37"/>
  <c r="F286" i="37"/>
  <c r="E286" i="37"/>
  <c r="D286" i="37"/>
  <c r="C286" i="37"/>
  <c r="B286" i="37"/>
  <c r="R285" i="37"/>
  <c r="Q285" i="37"/>
  <c r="P285" i="37"/>
  <c r="O285" i="37"/>
  <c r="N285" i="37"/>
  <c r="M285" i="37"/>
  <c r="L285" i="37"/>
  <c r="K285" i="37"/>
  <c r="J285" i="37"/>
  <c r="I285" i="37"/>
  <c r="H285" i="37"/>
  <c r="G285" i="37"/>
  <c r="F285" i="37"/>
  <c r="E285" i="37"/>
  <c r="D285" i="37"/>
  <c r="C285" i="37"/>
  <c r="B285" i="37"/>
  <c r="R284" i="37"/>
  <c r="Q284" i="37"/>
  <c r="P284" i="37"/>
  <c r="O284" i="37"/>
  <c r="N284" i="37"/>
  <c r="M284" i="37"/>
  <c r="L284" i="37"/>
  <c r="K284" i="37"/>
  <c r="J284" i="37"/>
  <c r="I284" i="37"/>
  <c r="H284" i="37"/>
  <c r="G284" i="37"/>
  <c r="F284" i="37"/>
  <c r="E284" i="37"/>
  <c r="D284" i="37"/>
  <c r="C284" i="37"/>
  <c r="B284" i="37"/>
  <c r="R283" i="37"/>
  <c r="Q283" i="37"/>
  <c r="P283" i="37"/>
  <c r="O283" i="37"/>
  <c r="N283" i="37"/>
  <c r="M283" i="37"/>
  <c r="L283" i="37"/>
  <c r="K283" i="37"/>
  <c r="J283" i="37"/>
  <c r="I283" i="37"/>
  <c r="H283" i="37"/>
  <c r="G283" i="37"/>
  <c r="F283" i="37"/>
  <c r="E283" i="37"/>
  <c r="D283" i="37"/>
  <c r="C283" i="37"/>
  <c r="B283" i="37"/>
  <c r="R282" i="37"/>
  <c r="Q282" i="37"/>
  <c r="P282" i="37"/>
  <c r="O282" i="37"/>
  <c r="N282" i="37"/>
  <c r="M282" i="37"/>
  <c r="L282" i="37"/>
  <c r="K282" i="37"/>
  <c r="J282" i="37"/>
  <c r="I282" i="37"/>
  <c r="H282" i="37"/>
  <c r="G282" i="37"/>
  <c r="F282" i="37"/>
  <c r="E282" i="37"/>
  <c r="D282" i="37"/>
  <c r="C282" i="37"/>
  <c r="B282" i="37"/>
  <c r="R281" i="37"/>
  <c r="Q281" i="37"/>
  <c r="P281" i="37"/>
  <c r="O281" i="37"/>
  <c r="N281" i="37"/>
  <c r="M281" i="37"/>
  <c r="L281" i="37"/>
  <c r="K281" i="37"/>
  <c r="J281" i="37"/>
  <c r="I281" i="37"/>
  <c r="H281" i="37"/>
  <c r="G281" i="37"/>
  <c r="F281" i="37"/>
  <c r="E281" i="37"/>
  <c r="D281" i="37"/>
  <c r="C281" i="37"/>
  <c r="B281" i="37"/>
  <c r="R280" i="37"/>
  <c r="Q280" i="37"/>
  <c r="P280" i="37"/>
  <c r="O280" i="37"/>
  <c r="N280" i="37"/>
  <c r="M280" i="37"/>
  <c r="L280" i="37"/>
  <c r="K280" i="37"/>
  <c r="J280" i="37"/>
  <c r="I280" i="37"/>
  <c r="H280" i="37"/>
  <c r="G280" i="37"/>
  <c r="F280" i="37"/>
  <c r="E280" i="37"/>
  <c r="D280" i="37"/>
  <c r="C280" i="37"/>
  <c r="B280" i="37"/>
  <c r="R279" i="37"/>
  <c r="Q279" i="37"/>
  <c r="P279" i="37"/>
  <c r="O279" i="37"/>
  <c r="N279" i="37"/>
  <c r="M279" i="37"/>
  <c r="L279" i="37"/>
  <c r="K279" i="37"/>
  <c r="J279" i="37"/>
  <c r="I279" i="37"/>
  <c r="H279" i="37"/>
  <c r="G279" i="37"/>
  <c r="F279" i="37"/>
  <c r="E279" i="37"/>
  <c r="D279" i="37"/>
  <c r="C279" i="37"/>
  <c r="B279" i="37"/>
  <c r="R278" i="37"/>
  <c r="Q278" i="37"/>
  <c r="P278" i="37"/>
  <c r="O278" i="37"/>
  <c r="N278" i="37"/>
  <c r="M278" i="37"/>
  <c r="L278" i="37"/>
  <c r="K278" i="37"/>
  <c r="J278" i="37"/>
  <c r="I278" i="37"/>
  <c r="H278" i="37"/>
  <c r="G278" i="37"/>
  <c r="F278" i="37"/>
  <c r="E278" i="37"/>
  <c r="D278" i="37"/>
  <c r="C278" i="37"/>
  <c r="B278" i="37"/>
  <c r="R277" i="37"/>
  <c r="Q277" i="37"/>
  <c r="P277" i="37"/>
  <c r="O277" i="37"/>
  <c r="N277" i="37"/>
  <c r="M277" i="37"/>
  <c r="L277" i="37"/>
  <c r="K277" i="37"/>
  <c r="J277" i="37"/>
  <c r="I277" i="37"/>
  <c r="H277" i="37"/>
  <c r="G277" i="37"/>
  <c r="F277" i="37"/>
  <c r="E277" i="37"/>
  <c r="D277" i="37"/>
  <c r="C277" i="37"/>
  <c r="B277" i="37"/>
  <c r="R276" i="37"/>
  <c r="Q276" i="37"/>
  <c r="P276" i="37"/>
  <c r="O276" i="37"/>
  <c r="N276" i="37"/>
  <c r="M276" i="37"/>
  <c r="L276" i="37"/>
  <c r="K276" i="37"/>
  <c r="J276" i="37"/>
  <c r="I276" i="37"/>
  <c r="H276" i="37"/>
  <c r="G276" i="37"/>
  <c r="F276" i="37"/>
  <c r="E276" i="37"/>
  <c r="D276" i="37"/>
  <c r="C276" i="37"/>
  <c r="B276" i="37"/>
  <c r="R275" i="37"/>
  <c r="Q275" i="37"/>
  <c r="P275" i="37"/>
  <c r="O275" i="37"/>
  <c r="N275" i="37"/>
  <c r="M275" i="37"/>
  <c r="L275" i="37"/>
  <c r="K275" i="37"/>
  <c r="J275" i="37"/>
  <c r="I275" i="37"/>
  <c r="H275" i="37"/>
  <c r="G275" i="37"/>
  <c r="F275" i="37"/>
  <c r="E275" i="37"/>
  <c r="D275" i="37"/>
  <c r="C275" i="37"/>
  <c r="B275" i="37"/>
  <c r="R274" i="37"/>
  <c r="Q274" i="37"/>
  <c r="P274" i="37"/>
  <c r="O274" i="37"/>
  <c r="N274" i="37"/>
  <c r="M274" i="37"/>
  <c r="L274" i="37"/>
  <c r="K274" i="37"/>
  <c r="J274" i="37"/>
  <c r="I274" i="37"/>
  <c r="H274" i="37"/>
  <c r="G274" i="37"/>
  <c r="F274" i="37"/>
  <c r="E274" i="37"/>
  <c r="D274" i="37"/>
  <c r="C274" i="37"/>
  <c r="B274" i="37"/>
  <c r="R273" i="37"/>
  <c r="Q273" i="37"/>
  <c r="P273" i="37"/>
  <c r="O273" i="37"/>
  <c r="N273" i="37"/>
  <c r="M273" i="37"/>
  <c r="L273" i="37"/>
  <c r="K273" i="37"/>
  <c r="J273" i="37"/>
  <c r="I273" i="37"/>
  <c r="H273" i="37"/>
  <c r="G273" i="37"/>
  <c r="F273" i="37"/>
  <c r="E273" i="37"/>
  <c r="D273" i="37"/>
  <c r="C273" i="37"/>
  <c r="B273" i="37"/>
  <c r="R272" i="37"/>
  <c r="Q272" i="37"/>
  <c r="P272" i="37"/>
  <c r="O272" i="37"/>
  <c r="N272" i="37"/>
  <c r="M272" i="37"/>
  <c r="L272" i="37"/>
  <c r="K272" i="37"/>
  <c r="J272" i="37"/>
  <c r="I272" i="37"/>
  <c r="H272" i="37"/>
  <c r="G272" i="37"/>
  <c r="F272" i="37"/>
  <c r="E272" i="37"/>
  <c r="D272" i="37"/>
  <c r="C272" i="37"/>
  <c r="B272" i="37"/>
  <c r="R271" i="37"/>
  <c r="Q271" i="37"/>
  <c r="P271" i="37"/>
  <c r="O271" i="37"/>
  <c r="N271" i="37"/>
  <c r="M271" i="37"/>
  <c r="L271" i="37"/>
  <c r="K271" i="37"/>
  <c r="J271" i="37"/>
  <c r="I271" i="37"/>
  <c r="H271" i="37"/>
  <c r="G271" i="37"/>
  <c r="F271" i="37"/>
  <c r="E271" i="37"/>
  <c r="D271" i="37"/>
  <c r="C271" i="37"/>
  <c r="B271" i="37"/>
  <c r="R270" i="37"/>
  <c r="Q270" i="37"/>
  <c r="P270" i="37"/>
  <c r="O270" i="37"/>
  <c r="N270" i="37"/>
  <c r="M270" i="37"/>
  <c r="L270" i="37"/>
  <c r="K270" i="37"/>
  <c r="J270" i="37"/>
  <c r="I270" i="37"/>
  <c r="H270" i="37"/>
  <c r="G270" i="37"/>
  <c r="F270" i="37"/>
  <c r="E270" i="37"/>
  <c r="D270" i="37"/>
  <c r="C270" i="37"/>
  <c r="B270" i="37"/>
  <c r="R269" i="37"/>
  <c r="Q269" i="37"/>
  <c r="P269" i="37"/>
  <c r="O269" i="37"/>
  <c r="N269" i="37"/>
  <c r="M269" i="37"/>
  <c r="L269" i="37"/>
  <c r="K269" i="37"/>
  <c r="J269" i="37"/>
  <c r="I269" i="37"/>
  <c r="H269" i="37"/>
  <c r="G269" i="37"/>
  <c r="F269" i="37"/>
  <c r="E269" i="37"/>
  <c r="D269" i="37"/>
  <c r="C269" i="37"/>
  <c r="B269" i="37"/>
  <c r="R268" i="37"/>
  <c r="Q268" i="37"/>
  <c r="P268" i="37"/>
  <c r="O268" i="37"/>
  <c r="N268" i="37"/>
  <c r="M268" i="37"/>
  <c r="L268" i="37"/>
  <c r="K268" i="37"/>
  <c r="J268" i="37"/>
  <c r="I268" i="37"/>
  <c r="H268" i="37"/>
  <c r="G268" i="37"/>
  <c r="F268" i="37"/>
  <c r="E268" i="37"/>
  <c r="D268" i="37"/>
  <c r="C268" i="37"/>
  <c r="B268" i="37"/>
  <c r="R267" i="37"/>
  <c r="Q267" i="37"/>
  <c r="P267" i="37"/>
  <c r="O267" i="37"/>
  <c r="N267" i="37"/>
  <c r="M267" i="37"/>
  <c r="L267" i="37"/>
  <c r="K267" i="37"/>
  <c r="J267" i="37"/>
  <c r="I267" i="37"/>
  <c r="H267" i="37"/>
  <c r="G267" i="37"/>
  <c r="F267" i="37"/>
  <c r="E267" i="37"/>
  <c r="D267" i="37"/>
  <c r="C267" i="37"/>
  <c r="B267" i="37"/>
  <c r="R266" i="37"/>
  <c r="Q266" i="37"/>
  <c r="P266" i="37"/>
  <c r="O266" i="37"/>
  <c r="N266" i="37"/>
  <c r="M266" i="37"/>
  <c r="L266" i="37"/>
  <c r="K266" i="37"/>
  <c r="J266" i="37"/>
  <c r="I266" i="37"/>
  <c r="H266" i="37"/>
  <c r="G266" i="37"/>
  <c r="F266" i="37"/>
  <c r="E266" i="37"/>
  <c r="D266" i="37"/>
  <c r="C266" i="37"/>
  <c r="B266" i="37"/>
  <c r="R265" i="37"/>
  <c r="Q265" i="37"/>
  <c r="P265" i="37"/>
  <c r="O265" i="37"/>
  <c r="N265" i="37"/>
  <c r="M265" i="37"/>
  <c r="L265" i="37"/>
  <c r="K265" i="37"/>
  <c r="J265" i="37"/>
  <c r="I265" i="37"/>
  <c r="H265" i="37"/>
  <c r="G265" i="37"/>
  <c r="F265" i="37"/>
  <c r="E265" i="37"/>
  <c r="D265" i="37"/>
  <c r="C265" i="37"/>
  <c r="B265" i="37"/>
  <c r="R264" i="37"/>
  <c r="Q264" i="37"/>
  <c r="P264" i="37"/>
  <c r="O264" i="37"/>
  <c r="N264" i="37"/>
  <c r="M264" i="37"/>
  <c r="L264" i="37"/>
  <c r="K264" i="37"/>
  <c r="J264" i="37"/>
  <c r="I264" i="37"/>
  <c r="H264" i="37"/>
  <c r="G264" i="37"/>
  <c r="F264" i="37"/>
  <c r="E264" i="37"/>
  <c r="D264" i="37"/>
  <c r="C264" i="37"/>
  <c r="B264" i="37"/>
  <c r="R263" i="37"/>
  <c r="Q263" i="37"/>
  <c r="P263" i="37"/>
  <c r="O263" i="37"/>
  <c r="N263" i="37"/>
  <c r="M263" i="37"/>
  <c r="L263" i="37"/>
  <c r="K263" i="37"/>
  <c r="J263" i="37"/>
  <c r="I263" i="37"/>
  <c r="H263" i="37"/>
  <c r="G263" i="37"/>
  <c r="F263" i="37"/>
  <c r="E263" i="37"/>
  <c r="D263" i="37"/>
  <c r="C263" i="37"/>
  <c r="B263" i="37"/>
  <c r="R262" i="37"/>
  <c r="Q262" i="37"/>
  <c r="P262" i="37"/>
  <c r="O262" i="37"/>
  <c r="N262" i="37"/>
  <c r="M262" i="37"/>
  <c r="L262" i="37"/>
  <c r="K262" i="37"/>
  <c r="J262" i="37"/>
  <c r="I262" i="37"/>
  <c r="H262" i="37"/>
  <c r="G262" i="37"/>
  <c r="F262" i="37"/>
  <c r="E262" i="37"/>
  <c r="D262" i="37"/>
  <c r="C262" i="37"/>
  <c r="B262" i="37"/>
  <c r="R261" i="37"/>
  <c r="Q261" i="37"/>
  <c r="P261" i="37"/>
  <c r="O261" i="37"/>
  <c r="N261" i="37"/>
  <c r="M261" i="37"/>
  <c r="L261" i="37"/>
  <c r="K261" i="37"/>
  <c r="J261" i="37"/>
  <c r="I261" i="37"/>
  <c r="H261" i="37"/>
  <c r="G261" i="37"/>
  <c r="F261" i="37"/>
  <c r="E261" i="37"/>
  <c r="D261" i="37"/>
  <c r="C261" i="37"/>
  <c r="B261" i="37"/>
  <c r="R260" i="37"/>
  <c r="Q260" i="37"/>
  <c r="P260" i="37"/>
  <c r="O260" i="37"/>
  <c r="N260" i="37"/>
  <c r="M260" i="37"/>
  <c r="L260" i="37"/>
  <c r="K260" i="37"/>
  <c r="J260" i="37"/>
  <c r="I260" i="37"/>
  <c r="H260" i="37"/>
  <c r="G260" i="37"/>
  <c r="F260" i="37"/>
  <c r="E260" i="37"/>
  <c r="D260" i="37"/>
  <c r="C260" i="37"/>
  <c r="B260" i="37"/>
  <c r="R259" i="37"/>
  <c r="Q259" i="37"/>
  <c r="P259" i="37"/>
  <c r="O259" i="37"/>
  <c r="N259" i="37"/>
  <c r="M259" i="37"/>
  <c r="L259" i="37"/>
  <c r="K259" i="37"/>
  <c r="J259" i="37"/>
  <c r="I259" i="37"/>
  <c r="H259" i="37"/>
  <c r="G259" i="37"/>
  <c r="F259" i="37"/>
  <c r="E259" i="37"/>
  <c r="D259" i="37"/>
  <c r="C259" i="37"/>
  <c r="B259" i="37"/>
  <c r="R258" i="37"/>
  <c r="Q258" i="37"/>
  <c r="P258" i="37"/>
  <c r="O258" i="37"/>
  <c r="N258" i="37"/>
  <c r="M258" i="37"/>
  <c r="L258" i="37"/>
  <c r="K258" i="37"/>
  <c r="J258" i="37"/>
  <c r="I258" i="37"/>
  <c r="H258" i="37"/>
  <c r="G258" i="37"/>
  <c r="F258" i="37"/>
  <c r="E258" i="37"/>
  <c r="D258" i="37"/>
  <c r="C258" i="37"/>
  <c r="B258" i="37"/>
  <c r="R257" i="37"/>
  <c r="Q257" i="37"/>
  <c r="P257" i="37"/>
  <c r="O257" i="37"/>
  <c r="N257" i="37"/>
  <c r="M257" i="37"/>
  <c r="L257" i="37"/>
  <c r="K257" i="37"/>
  <c r="J257" i="37"/>
  <c r="I257" i="37"/>
  <c r="H257" i="37"/>
  <c r="G257" i="37"/>
  <c r="F257" i="37"/>
  <c r="E257" i="37"/>
  <c r="D257" i="37"/>
  <c r="C257" i="37"/>
  <c r="B257" i="37"/>
  <c r="R256" i="37"/>
  <c r="Q256" i="37"/>
  <c r="P256" i="37"/>
  <c r="O256" i="37"/>
  <c r="N256" i="37"/>
  <c r="M256" i="37"/>
  <c r="L256" i="37"/>
  <c r="K256" i="37"/>
  <c r="J256" i="37"/>
  <c r="I256" i="37"/>
  <c r="H256" i="37"/>
  <c r="G256" i="37"/>
  <c r="F256" i="37"/>
  <c r="E256" i="37"/>
  <c r="D256" i="37"/>
  <c r="C256" i="37"/>
  <c r="B256" i="37"/>
  <c r="R255" i="37"/>
  <c r="Q255" i="37"/>
  <c r="P255" i="37"/>
  <c r="O255" i="37"/>
  <c r="N255" i="37"/>
  <c r="M255" i="37"/>
  <c r="L255" i="37"/>
  <c r="K255" i="37"/>
  <c r="J255" i="37"/>
  <c r="I255" i="37"/>
  <c r="H255" i="37"/>
  <c r="G255" i="37"/>
  <c r="F255" i="37"/>
  <c r="E255" i="37"/>
  <c r="D255" i="37"/>
  <c r="C255" i="37"/>
  <c r="B255" i="37"/>
  <c r="R254" i="37"/>
  <c r="Q254" i="37"/>
  <c r="P254" i="37"/>
  <c r="O254" i="37"/>
  <c r="N254" i="37"/>
  <c r="M254" i="37"/>
  <c r="L254" i="37"/>
  <c r="K254" i="37"/>
  <c r="J254" i="37"/>
  <c r="I254" i="37"/>
  <c r="H254" i="37"/>
  <c r="G254" i="37"/>
  <c r="F254" i="37"/>
  <c r="E254" i="37"/>
  <c r="D254" i="37"/>
  <c r="C254" i="37"/>
  <c r="B254" i="37"/>
  <c r="R253" i="37"/>
  <c r="Q253" i="37"/>
  <c r="P253" i="37"/>
  <c r="O253" i="37"/>
  <c r="N253" i="37"/>
  <c r="M253" i="37"/>
  <c r="L253" i="37"/>
  <c r="K253" i="37"/>
  <c r="J253" i="37"/>
  <c r="I253" i="37"/>
  <c r="H253" i="37"/>
  <c r="G253" i="37"/>
  <c r="F253" i="37"/>
  <c r="E253" i="37"/>
  <c r="D253" i="37"/>
  <c r="C253" i="37"/>
  <c r="B253" i="37"/>
  <c r="R252" i="37"/>
  <c r="Q252" i="37"/>
  <c r="P252" i="37"/>
  <c r="O252" i="37"/>
  <c r="N252" i="37"/>
  <c r="M252" i="37"/>
  <c r="L252" i="37"/>
  <c r="K252" i="37"/>
  <c r="J252" i="37"/>
  <c r="I252" i="37"/>
  <c r="H252" i="37"/>
  <c r="G252" i="37"/>
  <c r="F252" i="37"/>
  <c r="E252" i="37"/>
  <c r="D252" i="37"/>
  <c r="C252" i="37"/>
  <c r="B252" i="37"/>
  <c r="R251" i="37"/>
  <c r="Q251" i="37"/>
  <c r="P251" i="37"/>
  <c r="O251" i="37"/>
  <c r="N251" i="37"/>
  <c r="M251" i="37"/>
  <c r="L251" i="37"/>
  <c r="K251" i="37"/>
  <c r="J251" i="37"/>
  <c r="I251" i="37"/>
  <c r="H251" i="37"/>
  <c r="G251" i="37"/>
  <c r="F251" i="37"/>
  <c r="E251" i="37"/>
  <c r="D251" i="37"/>
  <c r="C251" i="37"/>
  <c r="B251" i="37"/>
  <c r="R250" i="37"/>
  <c r="Q250" i="37"/>
  <c r="P250" i="37"/>
  <c r="O250" i="37"/>
  <c r="N250" i="37"/>
  <c r="M250" i="37"/>
  <c r="L250" i="37"/>
  <c r="K250" i="37"/>
  <c r="J250" i="37"/>
  <c r="I250" i="37"/>
  <c r="H250" i="37"/>
  <c r="G250" i="37"/>
  <c r="F250" i="37"/>
  <c r="E250" i="37"/>
  <c r="D250" i="37"/>
  <c r="C250" i="37"/>
  <c r="B250" i="37"/>
  <c r="R249" i="37"/>
  <c r="Q249" i="37"/>
  <c r="P249" i="37"/>
  <c r="O249" i="37"/>
  <c r="N249" i="37"/>
  <c r="M249" i="37"/>
  <c r="L249" i="37"/>
  <c r="K249" i="37"/>
  <c r="J249" i="37"/>
  <c r="I249" i="37"/>
  <c r="H249" i="37"/>
  <c r="G249" i="37"/>
  <c r="F249" i="37"/>
  <c r="E249" i="37"/>
  <c r="D249" i="37"/>
  <c r="C249" i="37"/>
  <c r="B249" i="37"/>
  <c r="R248" i="37"/>
  <c r="Q248" i="37"/>
  <c r="P248" i="37"/>
  <c r="O248" i="37"/>
  <c r="N248" i="37"/>
  <c r="M248" i="37"/>
  <c r="L248" i="37"/>
  <c r="K248" i="37"/>
  <c r="J248" i="37"/>
  <c r="I248" i="37"/>
  <c r="H248" i="37"/>
  <c r="G248" i="37"/>
  <c r="F248" i="37"/>
  <c r="E248" i="37"/>
  <c r="D248" i="37"/>
  <c r="C248" i="37"/>
  <c r="B248" i="37"/>
  <c r="R247" i="37"/>
  <c r="Q247" i="37"/>
  <c r="P247" i="37"/>
  <c r="O247" i="37"/>
  <c r="N247" i="37"/>
  <c r="M247" i="37"/>
  <c r="L247" i="37"/>
  <c r="K247" i="37"/>
  <c r="J247" i="37"/>
  <c r="I247" i="37"/>
  <c r="H247" i="37"/>
  <c r="G247" i="37"/>
  <c r="F247" i="37"/>
  <c r="E247" i="37"/>
  <c r="D247" i="37"/>
  <c r="C247" i="37"/>
  <c r="B247" i="37"/>
  <c r="R246" i="37"/>
  <c r="Q246" i="37"/>
  <c r="P246" i="37"/>
  <c r="O246" i="37"/>
  <c r="N246" i="37"/>
  <c r="M246" i="37"/>
  <c r="L246" i="37"/>
  <c r="K246" i="37"/>
  <c r="J246" i="37"/>
  <c r="I246" i="37"/>
  <c r="H246" i="37"/>
  <c r="G246" i="37"/>
  <c r="F246" i="37"/>
  <c r="E246" i="37"/>
  <c r="D246" i="37"/>
  <c r="C246" i="37"/>
  <c r="B246" i="37"/>
  <c r="R245" i="37"/>
  <c r="Q245" i="37"/>
  <c r="P245" i="37"/>
  <c r="O245" i="37"/>
  <c r="N245" i="37"/>
  <c r="M245" i="37"/>
  <c r="L245" i="37"/>
  <c r="K245" i="37"/>
  <c r="J245" i="37"/>
  <c r="I245" i="37"/>
  <c r="H245" i="37"/>
  <c r="G245" i="37"/>
  <c r="F245" i="37"/>
  <c r="E245" i="37"/>
  <c r="D245" i="37"/>
  <c r="C245" i="37"/>
  <c r="B245" i="37"/>
  <c r="R244" i="37"/>
  <c r="Q244" i="37"/>
  <c r="P244" i="37"/>
  <c r="O244" i="37"/>
  <c r="N244" i="37"/>
  <c r="M244" i="37"/>
  <c r="L244" i="37"/>
  <c r="K244" i="37"/>
  <c r="J244" i="37"/>
  <c r="I244" i="37"/>
  <c r="H244" i="37"/>
  <c r="G244" i="37"/>
  <c r="F244" i="37"/>
  <c r="E244" i="37"/>
  <c r="D244" i="37"/>
  <c r="C244" i="37"/>
  <c r="B244" i="37"/>
  <c r="R243" i="37"/>
  <c r="Q243" i="37"/>
  <c r="P243" i="37"/>
  <c r="O243" i="37"/>
  <c r="N243" i="37"/>
  <c r="M243" i="37"/>
  <c r="L243" i="37"/>
  <c r="K243" i="37"/>
  <c r="J243" i="37"/>
  <c r="I243" i="37"/>
  <c r="H243" i="37"/>
  <c r="G243" i="37"/>
  <c r="F243" i="37"/>
  <c r="E243" i="37"/>
  <c r="D243" i="37"/>
  <c r="C243" i="37"/>
  <c r="B243" i="37"/>
  <c r="R242" i="37"/>
  <c r="Q242" i="37"/>
  <c r="P242" i="37"/>
  <c r="O242" i="37"/>
  <c r="N242" i="37"/>
  <c r="M242" i="37"/>
  <c r="L242" i="37"/>
  <c r="K242" i="37"/>
  <c r="J242" i="37"/>
  <c r="I242" i="37"/>
  <c r="H242" i="37"/>
  <c r="G242" i="37"/>
  <c r="F242" i="37"/>
  <c r="E242" i="37"/>
  <c r="D242" i="37"/>
  <c r="C242" i="37"/>
  <c r="B242" i="37"/>
  <c r="R241" i="37"/>
  <c r="Q241" i="37"/>
  <c r="P241" i="37"/>
  <c r="O241" i="37"/>
  <c r="N241" i="37"/>
  <c r="M241" i="37"/>
  <c r="L241" i="37"/>
  <c r="K241" i="37"/>
  <c r="J241" i="37"/>
  <c r="I241" i="37"/>
  <c r="H241" i="37"/>
  <c r="G241" i="37"/>
  <c r="F241" i="37"/>
  <c r="E241" i="37"/>
  <c r="D241" i="37"/>
  <c r="C241" i="37"/>
  <c r="B241" i="37"/>
  <c r="R240" i="37"/>
  <c r="Q240" i="37"/>
  <c r="P240" i="37"/>
  <c r="O240" i="37"/>
  <c r="N240" i="37"/>
  <c r="M240" i="37"/>
  <c r="L240" i="37"/>
  <c r="K240" i="37"/>
  <c r="J240" i="37"/>
  <c r="I240" i="37"/>
  <c r="H240" i="37"/>
  <c r="G240" i="37"/>
  <c r="F240" i="37"/>
  <c r="E240" i="37"/>
  <c r="D240" i="37"/>
  <c r="C240" i="37"/>
  <c r="B240" i="37"/>
  <c r="R239" i="37"/>
  <c r="Q239" i="37"/>
  <c r="P239" i="37"/>
  <c r="O239" i="37"/>
  <c r="N239" i="37"/>
  <c r="M239" i="37"/>
  <c r="L239" i="37"/>
  <c r="K239" i="37"/>
  <c r="J239" i="37"/>
  <c r="I239" i="37"/>
  <c r="H239" i="37"/>
  <c r="G239" i="37"/>
  <c r="F239" i="37"/>
  <c r="E239" i="37"/>
  <c r="D239" i="37"/>
  <c r="C239" i="37"/>
  <c r="B239" i="37"/>
  <c r="R238" i="37"/>
  <c r="Q238" i="37"/>
  <c r="P238" i="37"/>
  <c r="O238" i="37"/>
  <c r="N238" i="37"/>
  <c r="M238" i="37"/>
  <c r="L238" i="37"/>
  <c r="K238" i="37"/>
  <c r="J238" i="37"/>
  <c r="I238" i="37"/>
  <c r="H238" i="37"/>
  <c r="G238" i="37"/>
  <c r="F238" i="37"/>
  <c r="E238" i="37"/>
  <c r="D238" i="37"/>
  <c r="C238" i="37"/>
  <c r="B238" i="37"/>
  <c r="R237" i="37"/>
  <c r="Q237" i="37"/>
  <c r="P237" i="37"/>
  <c r="O237" i="37"/>
  <c r="N237" i="37"/>
  <c r="M237" i="37"/>
  <c r="L237" i="37"/>
  <c r="K237" i="37"/>
  <c r="J237" i="37"/>
  <c r="I237" i="37"/>
  <c r="H237" i="37"/>
  <c r="G237" i="37"/>
  <c r="F237" i="37"/>
  <c r="E237" i="37"/>
  <c r="D237" i="37"/>
  <c r="C237" i="37"/>
  <c r="B237" i="37"/>
  <c r="R236" i="37"/>
  <c r="Q236" i="37"/>
  <c r="P236" i="37"/>
  <c r="O236" i="37"/>
  <c r="N236" i="37"/>
  <c r="M236" i="37"/>
  <c r="L236" i="37"/>
  <c r="K236" i="37"/>
  <c r="J236" i="37"/>
  <c r="I236" i="37"/>
  <c r="H236" i="37"/>
  <c r="G236" i="37"/>
  <c r="F236" i="37"/>
  <c r="E236" i="37"/>
  <c r="D236" i="37"/>
  <c r="C236" i="37"/>
  <c r="B236" i="37"/>
  <c r="R235" i="37"/>
  <c r="Q235" i="37"/>
  <c r="P235" i="37"/>
  <c r="O235" i="37"/>
  <c r="N235" i="37"/>
  <c r="M235" i="37"/>
  <c r="L235" i="37"/>
  <c r="K235" i="37"/>
  <c r="J235" i="37"/>
  <c r="I235" i="37"/>
  <c r="H235" i="37"/>
  <c r="G235" i="37"/>
  <c r="F235" i="37"/>
  <c r="E235" i="37"/>
  <c r="D235" i="37"/>
  <c r="C235" i="37"/>
  <c r="B235" i="37"/>
  <c r="R234" i="37"/>
  <c r="Q234" i="37"/>
  <c r="P234" i="37"/>
  <c r="O234" i="37"/>
  <c r="N234" i="37"/>
  <c r="M234" i="37"/>
  <c r="L234" i="37"/>
  <c r="K234" i="37"/>
  <c r="J234" i="37"/>
  <c r="I234" i="37"/>
  <c r="H234" i="37"/>
  <c r="G234" i="37"/>
  <c r="F234" i="37"/>
  <c r="E234" i="37"/>
  <c r="D234" i="37"/>
  <c r="C234" i="37"/>
  <c r="B234" i="37"/>
  <c r="R233" i="37"/>
  <c r="Q233" i="37"/>
  <c r="P233" i="37"/>
  <c r="O233" i="37"/>
  <c r="N233" i="37"/>
  <c r="M233" i="37"/>
  <c r="L233" i="37"/>
  <c r="K233" i="37"/>
  <c r="J233" i="37"/>
  <c r="I233" i="37"/>
  <c r="H233" i="37"/>
  <c r="G233" i="37"/>
  <c r="F233" i="37"/>
  <c r="E233" i="37"/>
  <c r="D233" i="37"/>
  <c r="C233" i="37"/>
  <c r="B233" i="37"/>
  <c r="R232" i="37"/>
  <c r="Q232" i="37"/>
  <c r="P232" i="37"/>
  <c r="O232" i="37"/>
  <c r="N232" i="37"/>
  <c r="M232" i="37"/>
  <c r="L232" i="37"/>
  <c r="K232" i="37"/>
  <c r="J232" i="37"/>
  <c r="I232" i="37"/>
  <c r="H232" i="37"/>
  <c r="G232" i="37"/>
  <c r="F232" i="37"/>
  <c r="E232" i="37"/>
  <c r="D232" i="37"/>
  <c r="C232" i="37"/>
  <c r="B232" i="37"/>
  <c r="R231" i="37"/>
  <c r="Q231" i="37"/>
  <c r="P231" i="37"/>
  <c r="O231" i="37"/>
  <c r="N231" i="37"/>
  <c r="M231" i="37"/>
  <c r="L231" i="37"/>
  <c r="K231" i="37"/>
  <c r="J231" i="37"/>
  <c r="I231" i="37"/>
  <c r="H231" i="37"/>
  <c r="G231" i="37"/>
  <c r="F231" i="37"/>
  <c r="E231" i="37"/>
  <c r="D231" i="37"/>
  <c r="C231" i="37"/>
  <c r="B231" i="37"/>
  <c r="R230" i="37"/>
  <c r="Q230" i="37"/>
  <c r="P230" i="37"/>
  <c r="O230" i="37"/>
  <c r="N230" i="37"/>
  <c r="M230" i="37"/>
  <c r="L230" i="37"/>
  <c r="K230" i="37"/>
  <c r="J230" i="37"/>
  <c r="I230" i="37"/>
  <c r="H230" i="37"/>
  <c r="G230" i="37"/>
  <c r="F230" i="37"/>
  <c r="E230" i="37"/>
  <c r="D230" i="37"/>
  <c r="C230" i="37"/>
  <c r="B230" i="37"/>
  <c r="R229" i="37"/>
  <c r="Q229" i="37"/>
  <c r="P229" i="37"/>
  <c r="O229" i="37"/>
  <c r="N229" i="37"/>
  <c r="M229" i="37"/>
  <c r="L229" i="37"/>
  <c r="K229" i="37"/>
  <c r="J229" i="37"/>
  <c r="I229" i="37"/>
  <c r="H229" i="37"/>
  <c r="G229" i="37"/>
  <c r="F229" i="37"/>
  <c r="E229" i="37"/>
  <c r="D229" i="37"/>
  <c r="C229" i="37"/>
  <c r="B229" i="37"/>
  <c r="R228" i="37"/>
  <c r="Q228" i="37"/>
  <c r="P228" i="37"/>
  <c r="O228" i="37"/>
  <c r="N228" i="37"/>
  <c r="M228" i="37"/>
  <c r="L228" i="37"/>
  <c r="K228" i="37"/>
  <c r="J228" i="37"/>
  <c r="I228" i="37"/>
  <c r="H228" i="37"/>
  <c r="G228" i="37"/>
  <c r="F228" i="37"/>
  <c r="E228" i="37"/>
  <c r="D228" i="37"/>
  <c r="C228" i="37"/>
  <c r="B228" i="37"/>
  <c r="R227" i="37"/>
  <c r="Q227" i="37"/>
  <c r="P227" i="37"/>
  <c r="O227" i="37"/>
  <c r="N227" i="37"/>
  <c r="M227" i="37"/>
  <c r="L227" i="37"/>
  <c r="K227" i="37"/>
  <c r="J227" i="37"/>
  <c r="I227" i="37"/>
  <c r="H227" i="37"/>
  <c r="G227" i="37"/>
  <c r="F227" i="37"/>
  <c r="E227" i="37"/>
  <c r="D227" i="37"/>
  <c r="C227" i="37"/>
  <c r="B227" i="37"/>
  <c r="R226" i="37"/>
  <c r="Q226" i="37"/>
  <c r="P226" i="37"/>
  <c r="O226" i="37"/>
  <c r="N226" i="37"/>
  <c r="M226" i="37"/>
  <c r="L226" i="37"/>
  <c r="K226" i="37"/>
  <c r="J226" i="37"/>
  <c r="I226" i="37"/>
  <c r="H226" i="37"/>
  <c r="G226" i="37"/>
  <c r="F226" i="37"/>
  <c r="E226" i="37"/>
  <c r="D226" i="37"/>
  <c r="C226" i="37"/>
  <c r="B226" i="37"/>
  <c r="R225" i="37"/>
  <c r="Q225" i="37"/>
  <c r="P225" i="37"/>
  <c r="O225" i="37"/>
  <c r="N225" i="37"/>
  <c r="M225" i="37"/>
  <c r="L225" i="37"/>
  <c r="K225" i="37"/>
  <c r="J225" i="37"/>
  <c r="I225" i="37"/>
  <c r="H225" i="37"/>
  <c r="G225" i="37"/>
  <c r="F225" i="37"/>
  <c r="E225" i="37"/>
  <c r="D225" i="37"/>
  <c r="C225" i="37"/>
  <c r="B225" i="37"/>
  <c r="R224" i="37"/>
  <c r="Q224" i="37"/>
  <c r="P224" i="37"/>
  <c r="O224" i="37"/>
  <c r="N224" i="37"/>
  <c r="M224" i="37"/>
  <c r="L224" i="37"/>
  <c r="K224" i="37"/>
  <c r="J224" i="37"/>
  <c r="I224" i="37"/>
  <c r="H224" i="37"/>
  <c r="G224" i="37"/>
  <c r="F224" i="37"/>
  <c r="E224" i="37"/>
  <c r="D224" i="37"/>
  <c r="C224" i="37"/>
  <c r="B224" i="37"/>
  <c r="R223" i="37"/>
  <c r="Q223" i="37"/>
  <c r="P223" i="37"/>
  <c r="O223" i="37"/>
  <c r="N223" i="37"/>
  <c r="M223" i="37"/>
  <c r="L223" i="37"/>
  <c r="K223" i="37"/>
  <c r="J223" i="37"/>
  <c r="I223" i="37"/>
  <c r="H223" i="37"/>
  <c r="G223" i="37"/>
  <c r="F223" i="37"/>
  <c r="E223" i="37"/>
  <c r="D223" i="37"/>
  <c r="C223" i="37"/>
  <c r="B223" i="37"/>
  <c r="R222" i="37"/>
  <c r="Q222" i="37"/>
  <c r="P222" i="37"/>
  <c r="O222" i="37"/>
  <c r="N222" i="37"/>
  <c r="M222" i="37"/>
  <c r="L222" i="37"/>
  <c r="K222" i="37"/>
  <c r="J222" i="37"/>
  <c r="I222" i="37"/>
  <c r="H222" i="37"/>
  <c r="G222" i="37"/>
  <c r="F222" i="37"/>
  <c r="E222" i="37"/>
  <c r="D222" i="37"/>
  <c r="C222" i="37"/>
  <c r="B222" i="37"/>
  <c r="R221" i="37"/>
  <c r="Q221" i="37"/>
  <c r="P221" i="37"/>
  <c r="O221" i="37"/>
  <c r="N221" i="37"/>
  <c r="M221" i="37"/>
  <c r="L221" i="37"/>
  <c r="K221" i="37"/>
  <c r="J221" i="37"/>
  <c r="I221" i="37"/>
  <c r="H221" i="37"/>
  <c r="G221" i="37"/>
  <c r="F221" i="37"/>
  <c r="E221" i="37"/>
  <c r="D221" i="37"/>
  <c r="C221" i="37"/>
  <c r="B221" i="37"/>
  <c r="R220" i="37"/>
  <c r="Q220" i="37"/>
  <c r="P220" i="37"/>
  <c r="O220" i="37"/>
  <c r="N220" i="37"/>
  <c r="M220" i="37"/>
  <c r="L220" i="37"/>
  <c r="K220" i="37"/>
  <c r="J220" i="37"/>
  <c r="I220" i="37"/>
  <c r="H220" i="37"/>
  <c r="G220" i="37"/>
  <c r="F220" i="37"/>
  <c r="E220" i="37"/>
  <c r="D220" i="37"/>
  <c r="C220" i="37"/>
  <c r="B220" i="37"/>
  <c r="R219" i="37"/>
  <c r="Q219" i="37"/>
  <c r="P219" i="37"/>
  <c r="O219" i="37"/>
  <c r="N219" i="37"/>
  <c r="M219" i="37"/>
  <c r="L219" i="37"/>
  <c r="K219" i="37"/>
  <c r="J219" i="37"/>
  <c r="I219" i="37"/>
  <c r="H219" i="37"/>
  <c r="G219" i="37"/>
  <c r="F219" i="37"/>
  <c r="E219" i="37"/>
  <c r="D219" i="37"/>
  <c r="C219" i="37"/>
  <c r="B219" i="37"/>
  <c r="R218" i="37"/>
  <c r="Q218" i="37"/>
  <c r="P218" i="37"/>
  <c r="O218" i="37"/>
  <c r="N218" i="37"/>
  <c r="M218" i="37"/>
  <c r="L218" i="37"/>
  <c r="K218" i="37"/>
  <c r="J218" i="37"/>
  <c r="I218" i="37"/>
  <c r="H218" i="37"/>
  <c r="G218" i="37"/>
  <c r="F218" i="37"/>
  <c r="E218" i="37"/>
  <c r="D218" i="37"/>
  <c r="C218" i="37"/>
  <c r="B218" i="37"/>
  <c r="R217" i="37"/>
  <c r="Q217" i="37"/>
  <c r="P217" i="37"/>
  <c r="O217" i="37"/>
  <c r="N217" i="37"/>
  <c r="M217" i="37"/>
  <c r="L217" i="37"/>
  <c r="K217" i="37"/>
  <c r="J217" i="37"/>
  <c r="I217" i="37"/>
  <c r="H217" i="37"/>
  <c r="G217" i="37"/>
  <c r="F217" i="37"/>
  <c r="E217" i="37"/>
  <c r="D217" i="37"/>
  <c r="C217" i="37"/>
  <c r="B217" i="37"/>
  <c r="R216" i="37"/>
  <c r="Q216" i="37"/>
  <c r="P216" i="37"/>
  <c r="O216" i="37"/>
  <c r="N216" i="37"/>
  <c r="M216" i="37"/>
  <c r="L216" i="37"/>
  <c r="K216" i="37"/>
  <c r="J216" i="37"/>
  <c r="I216" i="37"/>
  <c r="H216" i="37"/>
  <c r="G216" i="37"/>
  <c r="F216" i="37"/>
  <c r="E216" i="37"/>
  <c r="D216" i="37"/>
  <c r="C216" i="37"/>
  <c r="B216" i="37"/>
  <c r="R215" i="37"/>
  <c r="Q215" i="37"/>
  <c r="P215" i="37"/>
  <c r="O215" i="37"/>
  <c r="N215" i="37"/>
  <c r="M215" i="37"/>
  <c r="L215" i="37"/>
  <c r="K215" i="37"/>
  <c r="J215" i="37"/>
  <c r="I215" i="37"/>
  <c r="H215" i="37"/>
  <c r="G215" i="37"/>
  <c r="F215" i="37"/>
  <c r="E215" i="37"/>
  <c r="D215" i="37"/>
  <c r="C215" i="37"/>
  <c r="B215" i="37"/>
  <c r="R214" i="37"/>
  <c r="Q214" i="37"/>
  <c r="P214" i="37"/>
  <c r="O214" i="37"/>
  <c r="N214" i="37"/>
  <c r="M214" i="37"/>
  <c r="L214" i="37"/>
  <c r="K214" i="37"/>
  <c r="J214" i="37"/>
  <c r="I214" i="37"/>
  <c r="H214" i="37"/>
  <c r="G214" i="37"/>
  <c r="F214" i="37"/>
  <c r="E214" i="37"/>
  <c r="D214" i="37"/>
  <c r="C214" i="37"/>
  <c r="B214" i="37"/>
  <c r="R213" i="37"/>
  <c r="Q213" i="37"/>
  <c r="P213" i="37"/>
  <c r="O213" i="37"/>
  <c r="N213" i="37"/>
  <c r="M213" i="37"/>
  <c r="L213" i="37"/>
  <c r="K213" i="37"/>
  <c r="J213" i="37"/>
  <c r="I213" i="37"/>
  <c r="H213" i="37"/>
  <c r="G213" i="37"/>
  <c r="F213" i="37"/>
  <c r="E213" i="37"/>
  <c r="D213" i="37"/>
  <c r="C213" i="37"/>
  <c r="B213" i="37"/>
  <c r="R212" i="37"/>
  <c r="Q212" i="37"/>
  <c r="P212" i="37"/>
  <c r="O212" i="37"/>
  <c r="N212" i="37"/>
  <c r="M212" i="37"/>
  <c r="L212" i="37"/>
  <c r="K212" i="37"/>
  <c r="J212" i="37"/>
  <c r="I212" i="37"/>
  <c r="H212" i="37"/>
  <c r="G212" i="37"/>
  <c r="F212" i="37"/>
  <c r="E212" i="37"/>
  <c r="D212" i="37"/>
  <c r="C212" i="37"/>
  <c r="B212" i="37"/>
  <c r="R211" i="37"/>
  <c r="Q211" i="37"/>
  <c r="P211" i="37"/>
  <c r="O211" i="37"/>
  <c r="N211" i="37"/>
  <c r="M211" i="37"/>
  <c r="L211" i="37"/>
  <c r="K211" i="37"/>
  <c r="J211" i="37"/>
  <c r="I211" i="37"/>
  <c r="H211" i="37"/>
  <c r="G211" i="37"/>
  <c r="F211" i="37"/>
  <c r="E211" i="37"/>
  <c r="D211" i="37"/>
  <c r="C211" i="37"/>
  <c r="B211" i="37"/>
  <c r="R210" i="37"/>
  <c r="Q210" i="37"/>
  <c r="P210" i="37"/>
  <c r="O210" i="37"/>
  <c r="N210" i="37"/>
  <c r="M210" i="37"/>
  <c r="L210" i="37"/>
  <c r="K210" i="37"/>
  <c r="J210" i="37"/>
  <c r="I210" i="37"/>
  <c r="H210" i="37"/>
  <c r="G210" i="37"/>
  <c r="F210" i="37"/>
  <c r="E210" i="37"/>
  <c r="D210" i="37"/>
  <c r="C210" i="37"/>
  <c r="B210" i="37"/>
  <c r="R209" i="37"/>
  <c r="Q209" i="37"/>
  <c r="P209" i="37"/>
  <c r="O209" i="37"/>
  <c r="N209" i="37"/>
  <c r="M209" i="37"/>
  <c r="L209" i="37"/>
  <c r="K209" i="37"/>
  <c r="J209" i="37"/>
  <c r="I209" i="37"/>
  <c r="H209" i="37"/>
  <c r="G209" i="37"/>
  <c r="F209" i="37"/>
  <c r="E209" i="37"/>
  <c r="D209" i="37"/>
  <c r="C209" i="37"/>
  <c r="B209" i="37"/>
  <c r="R208" i="37"/>
  <c r="Q208" i="37"/>
  <c r="P208" i="37"/>
  <c r="O208" i="37"/>
  <c r="N208" i="37"/>
  <c r="M208" i="37"/>
  <c r="L208" i="37"/>
  <c r="K208" i="37"/>
  <c r="J208" i="37"/>
  <c r="I208" i="37"/>
  <c r="H208" i="37"/>
  <c r="G208" i="37"/>
  <c r="F208" i="37"/>
  <c r="E208" i="37"/>
  <c r="D208" i="37"/>
  <c r="C208" i="37"/>
  <c r="B208" i="37"/>
  <c r="R207" i="37"/>
  <c r="Q207" i="37"/>
  <c r="P207" i="37"/>
  <c r="O207" i="37"/>
  <c r="N207" i="37"/>
  <c r="M207" i="37"/>
  <c r="L207" i="37"/>
  <c r="K207" i="37"/>
  <c r="J207" i="37"/>
  <c r="I207" i="37"/>
  <c r="H207" i="37"/>
  <c r="G207" i="37"/>
  <c r="F207" i="37"/>
  <c r="E207" i="37"/>
  <c r="D207" i="37"/>
  <c r="C207" i="37"/>
  <c r="B207" i="37"/>
  <c r="R206" i="37"/>
  <c r="Q206" i="37"/>
  <c r="P206" i="37"/>
  <c r="O206" i="37"/>
  <c r="N206" i="37"/>
  <c r="M206" i="37"/>
  <c r="L206" i="37"/>
  <c r="K206" i="37"/>
  <c r="J206" i="37"/>
  <c r="I206" i="37"/>
  <c r="H206" i="37"/>
  <c r="G206" i="37"/>
  <c r="F206" i="37"/>
  <c r="E206" i="37"/>
  <c r="D206" i="37"/>
  <c r="C206" i="37"/>
  <c r="B206" i="37"/>
  <c r="R205" i="37"/>
  <c r="Q205" i="37"/>
  <c r="P205" i="37"/>
  <c r="O205" i="37"/>
  <c r="N205" i="37"/>
  <c r="M205" i="37"/>
  <c r="L205" i="37"/>
  <c r="K205" i="37"/>
  <c r="J205" i="37"/>
  <c r="I205" i="37"/>
  <c r="H205" i="37"/>
  <c r="G205" i="37"/>
  <c r="F205" i="37"/>
  <c r="E205" i="37"/>
  <c r="D205" i="37"/>
  <c r="C205" i="37"/>
  <c r="B205" i="37"/>
  <c r="R204" i="37"/>
  <c r="Q204" i="37"/>
  <c r="P204" i="37"/>
  <c r="O204" i="37"/>
  <c r="N204" i="37"/>
  <c r="M204" i="37"/>
  <c r="L204" i="37"/>
  <c r="K204" i="37"/>
  <c r="J204" i="37"/>
  <c r="I204" i="37"/>
  <c r="H204" i="37"/>
  <c r="G204" i="37"/>
  <c r="F204" i="37"/>
  <c r="E204" i="37"/>
  <c r="D204" i="37"/>
  <c r="C204" i="37"/>
  <c r="B204" i="37"/>
  <c r="R203" i="37"/>
  <c r="Q203" i="37"/>
  <c r="P203" i="37"/>
  <c r="O203" i="37"/>
  <c r="N203" i="37"/>
  <c r="M203" i="37"/>
  <c r="L203" i="37"/>
  <c r="K203" i="37"/>
  <c r="J203" i="37"/>
  <c r="I203" i="37"/>
  <c r="H203" i="37"/>
  <c r="G203" i="37"/>
  <c r="F203" i="37"/>
  <c r="E203" i="37"/>
  <c r="D203" i="37"/>
  <c r="C203" i="37"/>
  <c r="B203" i="37"/>
  <c r="R202" i="37"/>
  <c r="Q202" i="37"/>
  <c r="P202" i="37"/>
  <c r="O202" i="37"/>
  <c r="N202" i="37"/>
  <c r="M202" i="37"/>
  <c r="L202" i="37"/>
  <c r="K202" i="37"/>
  <c r="J202" i="37"/>
  <c r="I202" i="37"/>
  <c r="H202" i="37"/>
  <c r="G202" i="37"/>
  <c r="F202" i="37"/>
  <c r="E202" i="37"/>
  <c r="D202" i="37"/>
  <c r="C202" i="37"/>
  <c r="B202" i="37"/>
  <c r="R201" i="37"/>
  <c r="Q201" i="37"/>
  <c r="P201" i="37"/>
  <c r="O201" i="37"/>
  <c r="N201" i="37"/>
  <c r="M201" i="37"/>
  <c r="L201" i="37"/>
  <c r="K201" i="37"/>
  <c r="J201" i="37"/>
  <c r="I201" i="37"/>
  <c r="H201" i="37"/>
  <c r="G201" i="37"/>
  <c r="F201" i="37"/>
  <c r="E201" i="37"/>
  <c r="D201" i="37"/>
  <c r="C201" i="37"/>
  <c r="B201" i="37"/>
  <c r="R200" i="37"/>
  <c r="Q200" i="37"/>
  <c r="P200" i="37"/>
  <c r="O200" i="37"/>
  <c r="N200" i="37"/>
  <c r="M200" i="37"/>
  <c r="L200" i="37"/>
  <c r="K200" i="37"/>
  <c r="J200" i="37"/>
  <c r="I200" i="37"/>
  <c r="H200" i="37"/>
  <c r="G200" i="37"/>
  <c r="F200" i="37"/>
  <c r="E200" i="37"/>
  <c r="D200" i="37"/>
  <c r="C200" i="37"/>
  <c r="B200" i="37"/>
  <c r="R199" i="37"/>
  <c r="Q199" i="37"/>
  <c r="P199" i="37"/>
  <c r="O199" i="37"/>
  <c r="N199" i="37"/>
  <c r="M199" i="37"/>
  <c r="L199" i="37"/>
  <c r="K199" i="37"/>
  <c r="J199" i="37"/>
  <c r="I199" i="37"/>
  <c r="H199" i="37"/>
  <c r="G199" i="37"/>
  <c r="F199" i="37"/>
  <c r="E199" i="37"/>
  <c r="D199" i="37"/>
  <c r="C199" i="37"/>
  <c r="B199" i="37"/>
  <c r="R198" i="37"/>
  <c r="Q198" i="37"/>
  <c r="P198" i="37"/>
  <c r="O198" i="37"/>
  <c r="N198" i="37"/>
  <c r="M198" i="37"/>
  <c r="L198" i="37"/>
  <c r="K198" i="37"/>
  <c r="J198" i="37"/>
  <c r="I198" i="37"/>
  <c r="H198" i="37"/>
  <c r="G198" i="37"/>
  <c r="F198" i="37"/>
  <c r="E198" i="37"/>
  <c r="D198" i="37"/>
  <c r="C198" i="37"/>
  <c r="B198" i="37"/>
  <c r="R197" i="37"/>
  <c r="Q197" i="37"/>
  <c r="P197" i="37"/>
  <c r="O197" i="37"/>
  <c r="N197" i="37"/>
  <c r="M197" i="37"/>
  <c r="L197" i="37"/>
  <c r="K197" i="37"/>
  <c r="J197" i="37"/>
  <c r="I197" i="37"/>
  <c r="H197" i="37"/>
  <c r="G197" i="37"/>
  <c r="F197" i="37"/>
  <c r="E197" i="37"/>
  <c r="D197" i="37"/>
  <c r="C197" i="37"/>
  <c r="B197" i="37"/>
  <c r="R196" i="37"/>
  <c r="Q196" i="37"/>
  <c r="P196" i="37"/>
  <c r="O196" i="37"/>
  <c r="N196" i="37"/>
  <c r="M196" i="37"/>
  <c r="L196" i="37"/>
  <c r="K196" i="37"/>
  <c r="J196" i="37"/>
  <c r="I196" i="37"/>
  <c r="H196" i="37"/>
  <c r="G196" i="37"/>
  <c r="F196" i="37"/>
  <c r="E196" i="37"/>
  <c r="D196" i="37"/>
  <c r="C196" i="37"/>
  <c r="B196" i="37"/>
  <c r="R195" i="37"/>
  <c r="Q195" i="37"/>
  <c r="P195" i="37"/>
  <c r="O195" i="37"/>
  <c r="N195" i="37"/>
  <c r="M195" i="37"/>
  <c r="L195" i="37"/>
  <c r="K195" i="37"/>
  <c r="J195" i="37"/>
  <c r="I195" i="37"/>
  <c r="H195" i="37"/>
  <c r="G195" i="37"/>
  <c r="F195" i="37"/>
  <c r="E195" i="37"/>
  <c r="D195" i="37"/>
  <c r="C195" i="37"/>
  <c r="B195" i="37"/>
  <c r="R194" i="37"/>
  <c r="Q194" i="37"/>
  <c r="P194" i="37"/>
  <c r="O194" i="37"/>
  <c r="N194" i="37"/>
  <c r="M194" i="37"/>
  <c r="L194" i="37"/>
  <c r="K194" i="37"/>
  <c r="J194" i="37"/>
  <c r="I194" i="37"/>
  <c r="H194" i="37"/>
  <c r="G194" i="37"/>
  <c r="F194" i="37"/>
  <c r="E194" i="37"/>
  <c r="D194" i="37"/>
  <c r="C194" i="37"/>
  <c r="B194" i="37"/>
  <c r="R193" i="37"/>
  <c r="Q193" i="37"/>
  <c r="P193" i="37"/>
  <c r="O193" i="37"/>
  <c r="N193" i="37"/>
  <c r="M193" i="37"/>
  <c r="L193" i="37"/>
  <c r="K193" i="37"/>
  <c r="J193" i="37"/>
  <c r="I193" i="37"/>
  <c r="H193" i="37"/>
  <c r="G193" i="37"/>
  <c r="F193" i="37"/>
  <c r="E193" i="37"/>
  <c r="D193" i="37"/>
  <c r="C193" i="37"/>
  <c r="B193" i="37"/>
  <c r="R192" i="37"/>
  <c r="Q192" i="37"/>
  <c r="P192" i="37"/>
  <c r="O192" i="37"/>
  <c r="N192" i="37"/>
  <c r="M192" i="37"/>
  <c r="L192" i="37"/>
  <c r="K192" i="37"/>
  <c r="J192" i="37"/>
  <c r="I192" i="37"/>
  <c r="H192" i="37"/>
  <c r="G192" i="37"/>
  <c r="F192" i="37"/>
  <c r="E192" i="37"/>
  <c r="D192" i="37"/>
  <c r="C192" i="37"/>
  <c r="B192" i="37"/>
  <c r="R191" i="37"/>
  <c r="Q191" i="37"/>
  <c r="P191" i="37"/>
  <c r="O191" i="37"/>
  <c r="N191" i="37"/>
  <c r="M191" i="37"/>
  <c r="L191" i="37"/>
  <c r="K191" i="37"/>
  <c r="J191" i="37"/>
  <c r="I191" i="37"/>
  <c r="H191" i="37"/>
  <c r="G191" i="37"/>
  <c r="F191" i="37"/>
  <c r="E191" i="37"/>
  <c r="D191" i="37"/>
  <c r="C191" i="37"/>
  <c r="B191" i="37"/>
  <c r="R190" i="37"/>
  <c r="Q190" i="37"/>
  <c r="P190" i="37"/>
  <c r="O190" i="37"/>
  <c r="N190" i="37"/>
  <c r="M190" i="37"/>
  <c r="L190" i="37"/>
  <c r="K190" i="37"/>
  <c r="J190" i="37"/>
  <c r="I190" i="37"/>
  <c r="H190" i="37"/>
  <c r="G190" i="37"/>
  <c r="F190" i="37"/>
  <c r="E190" i="37"/>
  <c r="D190" i="37"/>
  <c r="C190" i="37"/>
  <c r="B190" i="37"/>
  <c r="R189" i="37"/>
  <c r="Q189" i="37"/>
  <c r="P189" i="37"/>
  <c r="O189" i="37"/>
  <c r="N189" i="37"/>
  <c r="M189" i="37"/>
  <c r="L189" i="37"/>
  <c r="K189" i="37"/>
  <c r="J189" i="37"/>
  <c r="I189" i="37"/>
  <c r="H189" i="37"/>
  <c r="G189" i="37"/>
  <c r="F189" i="37"/>
  <c r="E189" i="37"/>
  <c r="D189" i="37"/>
  <c r="C189" i="37"/>
  <c r="B189" i="37"/>
  <c r="R188" i="37"/>
  <c r="Q188" i="37"/>
  <c r="P188" i="37"/>
  <c r="O188" i="37"/>
  <c r="N188" i="37"/>
  <c r="M188" i="37"/>
  <c r="L188" i="37"/>
  <c r="K188" i="37"/>
  <c r="J188" i="37"/>
  <c r="I188" i="37"/>
  <c r="H188" i="37"/>
  <c r="G188" i="37"/>
  <c r="F188" i="37"/>
  <c r="E188" i="37"/>
  <c r="D188" i="37"/>
  <c r="C188" i="37"/>
  <c r="B188" i="37"/>
  <c r="R187" i="37"/>
  <c r="Q187" i="37"/>
  <c r="P187" i="37"/>
  <c r="O187" i="37"/>
  <c r="N187" i="37"/>
  <c r="M187" i="37"/>
  <c r="L187" i="37"/>
  <c r="K187" i="37"/>
  <c r="J187" i="37"/>
  <c r="I187" i="37"/>
  <c r="H187" i="37"/>
  <c r="G187" i="37"/>
  <c r="F187" i="37"/>
  <c r="E187" i="37"/>
  <c r="D187" i="37"/>
  <c r="C187" i="37"/>
  <c r="B187" i="37"/>
  <c r="R186" i="37"/>
  <c r="Q186" i="37"/>
  <c r="P186" i="37"/>
  <c r="O186" i="37"/>
  <c r="N186" i="37"/>
  <c r="M186" i="37"/>
  <c r="L186" i="37"/>
  <c r="K186" i="37"/>
  <c r="J186" i="37"/>
  <c r="I186" i="37"/>
  <c r="H186" i="37"/>
  <c r="G186" i="37"/>
  <c r="F186" i="37"/>
  <c r="E186" i="37"/>
  <c r="D186" i="37"/>
  <c r="C186" i="37"/>
  <c r="B186" i="37"/>
  <c r="R185" i="37"/>
  <c r="Q185" i="37"/>
  <c r="P185" i="37"/>
  <c r="O185" i="37"/>
  <c r="N185" i="37"/>
  <c r="M185" i="37"/>
  <c r="L185" i="37"/>
  <c r="K185" i="37"/>
  <c r="J185" i="37"/>
  <c r="I185" i="37"/>
  <c r="H185" i="37"/>
  <c r="G185" i="37"/>
  <c r="F185" i="37"/>
  <c r="E185" i="37"/>
  <c r="D185" i="37"/>
  <c r="C185" i="37"/>
  <c r="B185" i="37"/>
  <c r="R184" i="37"/>
  <c r="Q184" i="37"/>
  <c r="P184" i="37"/>
  <c r="O184" i="37"/>
  <c r="N184" i="37"/>
  <c r="M184" i="37"/>
  <c r="L184" i="37"/>
  <c r="K184" i="37"/>
  <c r="J184" i="37"/>
  <c r="I184" i="37"/>
  <c r="H184" i="37"/>
  <c r="G184" i="37"/>
  <c r="F184" i="37"/>
  <c r="E184" i="37"/>
  <c r="D184" i="37"/>
  <c r="C184" i="37"/>
  <c r="B184" i="37"/>
  <c r="R183" i="37"/>
  <c r="Q183" i="37"/>
  <c r="P183" i="37"/>
  <c r="O183" i="37"/>
  <c r="N183" i="37"/>
  <c r="M183" i="37"/>
  <c r="L183" i="37"/>
  <c r="K183" i="37"/>
  <c r="J183" i="37"/>
  <c r="I183" i="37"/>
  <c r="H183" i="37"/>
  <c r="G183" i="37"/>
  <c r="F183" i="37"/>
  <c r="E183" i="37"/>
  <c r="D183" i="37"/>
  <c r="C183" i="37"/>
  <c r="B183" i="37"/>
  <c r="R182" i="37"/>
  <c r="Q182" i="37"/>
  <c r="P182" i="37"/>
  <c r="O182" i="37"/>
  <c r="N182" i="37"/>
  <c r="M182" i="37"/>
  <c r="L182" i="37"/>
  <c r="K182" i="37"/>
  <c r="J182" i="37"/>
  <c r="I182" i="37"/>
  <c r="H182" i="37"/>
  <c r="G182" i="37"/>
  <c r="F182" i="37"/>
  <c r="E182" i="37"/>
  <c r="D182" i="37"/>
  <c r="C182" i="37"/>
  <c r="B182" i="37"/>
  <c r="R181" i="37"/>
  <c r="Q181" i="37"/>
  <c r="P181" i="37"/>
  <c r="O181" i="37"/>
  <c r="N181" i="37"/>
  <c r="M181" i="37"/>
  <c r="L181" i="37"/>
  <c r="K181" i="37"/>
  <c r="J181" i="37"/>
  <c r="I181" i="37"/>
  <c r="H181" i="37"/>
  <c r="G181" i="37"/>
  <c r="F181" i="37"/>
  <c r="E181" i="37"/>
  <c r="D181" i="37"/>
  <c r="C181" i="37"/>
  <c r="B181" i="37"/>
  <c r="R180" i="37"/>
  <c r="Q180" i="37"/>
  <c r="P180" i="37"/>
  <c r="O180" i="37"/>
  <c r="N180" i="37"/>
  <c r="M180" i="37"/>
  <c r="L180" i="37"/>
  <c r="K180" i="37"/>
  <c r="J180" i="37"/>
  <c r="I180" i="37"/>
  <c r="H180" i="37"/>
  <c r="G180" i="37"/>
  <c r="F180" i="37"/>
  <c r="E180" i="37"/>
  <c r="D180" i="37"/>
  <c r="C180" i="37"/>
  <c r="B180" i="37"/>
  <c r="R179" i="37"/>
  <c r="Q179" i="37"/>
  <c r="P179" i="37"/>
  <c r="O179" i="37"/>
  <c r="N179" i="37"/>
  <c r="M179" i="37"/>
  <c r="L179" i="37"/>
  <c r="K179" i="37"/>
  <c r="J179" i="37"/>
  <c r="I179" i="37"/>
  <c r="H179" i="37"/>
  <c r="G179" i="37"/>
  <c r="F179" i="37"/>
  <c r="E179" i="37"/>
  <c r="D179" i="37"/>
  <c r="C179" i="37"/>
  <c r="B179" i="37"/>
  <c r="R178" i="37"/>
  <c r="Q178" i="37"/>
  <c r="P178" i="37"/>
  <c r="O178" i="37"/>
  <c r="N178" i="37"/>
  <c r="M178" i="37"/>
  <c r="L178" i="37"/>
  <c r="K178" i="37"/>
  <c r="J178" i="37"/>
  <c r="I178" i="37"/>
  <c r="H178" i="37"/>
  <c r="G178" i="37"/>
  <c r="F178" i="37"/>
  <c r="E178" i="37"/>
  <c r="D178" i="37"/>
  <c r="C178" i="37"/>
  <c r="B178" i="37"/>
  <c r="R177" i="37"/>
  <c r="Q177" i="37"/>
  <c r="P177" i="37"/>
  <c r="O177" i="37"/>
  <c r="N177" i="37"/>
  <c r="M177" i="37"/>
  <c r="L177" i="37"/>
  <c r="K177" i="37"/>
  <c r="J177" i="37"/>
  <c r="I177" i="37"/>
  <c r="H177" i="37"/>
  <c r="G177" i="37"/>
  <c r="F177" i="37"/>
  <c r="E177" i="37"/>
  <c r="D177" i="37"/>
  <c r="C177" i="37"/>
  <c r="B177" i="37"/>
  <c r="R176" i="37"/>
  <c r="Q176" i="37"/>
  <c r="P176" i="37"/>
  <c r="O176" i="37"/>
  <c r="N176" i="37"/>
  <c r="M176" i="37"/>
  <c r="L176" i="37"/>
  <c r="K176" i="37"/>
  <c r="J176" i="37"/>
  <c r="I176" i="37"/>
  <c r="H176" i="37"/>
  <c r="G176" i="37"/>
  <c r="F176" i="37"/>
  <c r="E176" i="37"/>
  <c r="D176" i="37"/>
  <c r="C176" i="37"/>
  <c r="B176" i="37"/>
  <c r="R175" i="37"/>
  <c r="Q175" i="37"/>
  <c r="P175" i="37"/>
  <c r="O175" i="37"/>
  <c r="N175" i="37"/>
  <c r="M175" i="37"/>
  <c r="L175" i="37"/>
  <c r="K175" i="37"/>
  <c r="J175" i="37"/>
  <c r="I175" i="37"/>
  <c r="H175" i="37"/>
  <c r="G175" i="37"/>
  <c r="F175" i="37"/>
  <c r="E175" i="37"/>
  <c r="D175" i="37"/>
  <c r="C175" i="37"/>
  <c r="B175" i="37"/>
  <c r="R174" i="37"/>
  <c r="Q174" i="37"/>
  <c r="P174" i="37"/>
  <c r="O174" i="37"/>
  <c r="N174" i="37"/>
  <c r="M174" i="37"/>
  <c r="L174" i="37"/>
  <c r="K174" i="37"/>
  <c r="J174" i="37"/>
  <c r="I174" i="37"/>
  <c r="H174" i="37"/>
  <c r="G174" i="37"/>
  <c r="F174" i="37"/>
  <c r="E174" i="37"/>
  <c r="D174" i="37"/>
  <c r="C174" i="37"/>
  <c r="B174" i="37"/>
  <c r="R173" i="37"/>
  <c r="Q173" i="37"/>
  <c r="P173" i="37"/>
  <c r="O173" i="37"/>
  <c r="N173" i="37"/>
  <c r="M173" i="37"/>
  <c r="L173" i="37"/>
  <c r="K173" i="37"/>
  <c r="J173" i="37"/>
  <c r="I173" i="37"/>
  <c r="H173" i="37"/>
  <c r="G173" i="37"/>
  <c r="F173" i="37"/>
  <c r="E173" i="37"/>
  <c r="D173" i="37"/>
  <c r="C173" i="37"/>
  <c r="B173" i="37"/>
  <c r="R172" i="37"/>
  <c r="Q172" i="37"/>
  <c r="P172" i="37"/>
  <c r="O172" i="37"/>
  <c r="N172" i="37"/>
  <c r="M172" i="37"/>
  <c r="L172" i="37"/>
  <c r="K172" i="37"/>
  <c r="J172" i="37"/>
  <c r="I172" i="37"/>
  <c r="H172" i="37"/>
  <c r="G172" i="37"/>
  <c r="F172" i="37"/>
  <c r="E172" i="37"/>
  <c r="D172" i="37"/>
  <c r="C172" i="37"/>
  <c r="B172" i="37"/>
  <c r="R171" i="37"/>
  <c r="Q171" i="37"/>
  <c r="P171" i="37"/>
  <c r="O171" i="37"/>
  <c r="N171" i="37"/>
  <c r="M171" i="37"/>
  <c r="L171" i="37"/>
  <c r="K171" i="37"/>
  <c r="J171" i="37"/>
  <c r="I171" i="37"/>
  <c r="H171" i="37"/>
  <c r="G171" i="37"/>
  <c r="F171" i="37"/>
  <c r="E171" i="37"/>
  <c r="D171" i="37"/>
  <c r="C171" i="37"/>
  <c r="B171" i="37"/>
  <c r="R170" i="37"/>
  <c r="Q170" i="37"/>
  <c r="P170" i="37"/>
  <c r="O170" i="37"/>
  <c r="N170" i="37"/>
  <c r="M170" i="37"/>
  <c r="L170" i="37"/>
  <c r="K170" i="37"/>
  <c r="J170" i="37"/>
  <c r="I170" i="37"/>
  <c r="H170" i="37"/>
  <c r="G170" i="37"/>
  <c r="F170" i="37"/>
  <c r="E170" i="37"/>
  <c r="D170" i="37"/>
  <c r="C170" i="37"/>
  <c r="B170" i="37"/>
  <c r="R169" i="37"/>
  <c r="Q169" i="37"/>
  <c r="P169" i="37"/>
  <c r="O169" i="37"/>
  <c r="N169" i="37"/>
  <c r="M169" i="37"/>
  <c r="L169" i="37"/>
  <c r="K169" i="37"/>
  <c r="J169" i="37"/>
  <c r="I169" i="37"/>
  <c r="H169" i="37"/>
  <c r="G169" i="37"/>
  <c r="F169" i="37"/>
  <c r="E169" i="37"/>
  <c r="D169" i="37"/>
  <c r="C169" i="37"/>
  <c r="B169" i="37"/>
  <c r="R168" i="37"/>
  <c r="Q168" i="37"/>
  <c r="P168" i="37"/>
  <c r="O168" i="37"/>
  <c r="N168" i="37"/>
  <c r="M168" i="37"/>
  <c r="L168" i="37"/>
  <c r="K168" i="37"/>
  <c r="J168" i="37"/>
  <c r="I168" i="37"/>
  <c r="H168" i="37"/>
  <c r="G168" i="37"/>
  <c r="F168" i="37"/>
  <c r="E168" i="37"/>
  <c r="D168" i="37"/>
  <c r="C168" i="37"/>
  <c r="B168" i="37"/>
  <c r="R167" i="37"/>
  <c r="Q167" i="37"/>
  <c r="P167" i="37"/>
  <c r="O167" i="37"/>
  <c r="N167" i="37"/>
  <c r="M167" i="37"/>
  <c r="L167" i="37"/>
  <c r="K167" i="37"/>
  <c r="J167" i="37"/>
  <c r="I167" i="37"/>
  <c r="H167" i="37"/>
  <c r="G167" i="37"/>
  <c r="F167" i="37"/>
  <c r="E167" i="37"/>
  <c r="D167" i="37"/>
  <c r="C167" i="37"/>
  <c r="B167" i="37"/>
  <c r="R166" i="37"/>
  <c r="Q166" i="37"/>
  <c r="P166" i="37"/>
  <c r="O166" i="37"/>
  <c r="N166" i="37"/>
  <c r="M166" i="37"/>
  <c r="L166" i="37"/>
  <c r="K166" i="37"/>
  <c r="J166" i="37"/>
  <c r="I166" i="37"/>
  <c r="H166" i="37"/>
  <c r="G166" i="37"/>
  <c r="F166" i="37"/>
  <c r="E166" i="37"/>
  <c r="D166" i="37"/>
  <c r="C166" i="37"/>
  <c r="B166" i="37"/>
  <c r="R165" i="37"/>
  <c r="Q165" i="37"/>
  <c r="P165" i="37"/>
  <c r="O165" i="37"/>
  <c r="N165" i="37"/>
  <c r="M165" i="37"/>
  <c r="L165" i="37"/>
  <c r="K165" i="37"/>
  <c r="J165" i="37"/>
  <c r="I165" i="37"/>
  <c r="H165" i="37"/>
  <c r="G165" i="37"/>
  <c r="F165" i="37"/>
  <c r="E165" i="37"/>
  <c r="D165" i="37"/>
  <c r="C165" i="37"/>
  <c r="B165" i="37"/>
  <c r="R164" i="37"/>
  <c r="Q164" i="37"/>
  <c r="P164" i="37"/>
  <c r="O164" i="37"/>
  <c r="N164" i="37"/>
  <c r="M164" i="37"/>
  <c r="L164" i="37"/>
  <c r="K164" i="37"/>
  <c r="J164" i="37"/>
  <c r="I164" i="37"/>
  <c r="H164" i="37"/>
  <c r="G164" i="37"/>
  <c r="F164" i="37"/>
  <c r="E164" i="37"/>
  <c r="D164" i="37"/>
  <c r="C164" i="37"/>
  <c r="B164" i="37"/>
  <c r="R163" i="37"/>
  <c r="Q163" i="37"/>
  <c r="P163" i="37"/>
  <c r="O163" i="37"/>
  <c r="N163" i="37"/>
  <c r="M163" i="37"/>
  <c r="L163" i="37"/>
  <c r="K163" i="37"/>
  <c r="J163" i="37"/>
  <c r="I163" i="37"/>
  <c r="H163" i="37"/>
  <c r="G163" i="37"/>
  <c r="F163" i="37"/>
  <c r="E163" i="37"/>
  <c r="D163" i="37"/>
  <c r="C163" i="37"/>
  <c r="B163" i="37"/>
  <c r="R162" i="37"/>
  <c r="Q162" i="37"/>
  <c r="P162" i="37"/>
  <c r="O162" i="37"/>
  <c r="N162" i="37"/>
  <c r="M162" i="37"/>
  <c r="L162" i="37"/>
  <c r="K162" i="37"/>
  <c r="J162" i="37"/>
  <c r="I162" i="37"/>
  <c r="H162" i="37"/>
  <c r="G162" i="37"/>
  <c r="F162" i="37"/>
  <c r="E162" i="37"/>
  <c r="D162" i="37"/>
  <c r="C162" i="37"/>
  <c r="B162" i="37"/>
  <c r="R161" i="37"/>
  <c r="Q161" i="37"/>
  <c r="P161" i="37"/>
  <c r="O161" i="37"/>
  <c r="N161" i="37"/>
  <c r="M161" i="37"/>
  <c r="L161" i="37"/>
  <c r="K161" i="37"/>
  <c r="J161" i="37"/>
  <c r="I161" i="37"/>
  <c r="H161" i="37"/>
  <c r="G161" i="37"/>
  <c r="F161" i="37"/>
  <c r="E161" i="37"/>
  <c r="D161" i="37"/>
  <c r="C161" i="37"/>
  <c r="B161" i="37"/>
  <c r="R160" i="37"/>
  <c r="Q160" i="37"/>
  <c r="P160" i="37"/>
  <c r="O160" i="37"/>
  <c r="N160" i="37"/>
  <c r="M160" i="37"/>
  <c r="L160" i="37"/>
  <c r="K160" i="37"/>
  <c r="J160" i="37"/>
  <c r="I160" i="37"/>
  <c r="H160" i="37"/>
  <c r="G160" i="37"/>
  <c r="F160" i="37"/>
  <c r="E160" i="37"/>
  <c r="D160" i="37"/>
  <c r="C160" i="37"/>
  <c r="B160" i="37"/>
  <c r="R159" i="37"/>
  <c r="Q159" i="37"/>
  <c r="P159" i="37"/>
  <c r="O159" i="37"/>
  <c r="N159" i="37"/>
  <c r="M159" i="37"/>
  <c r="L159" i="37"/>
  <c r="K159" i="37"/>
  <c r="J159" i="37"/>
  <c r="I159" i="37"/>
  <c r="H159" i="37"/>
  <c r="G159" i="37"/>
  <c r="F159" i="37"/>
  <c r="E159" i="37"/>
  <c r="D159" i="37"/>
  <c r="C159" i="37"/>
  <c r="B159" i="37"/>
  <c r="R158" i="37"/>
  <c r="Q158" i="37"/>
  <c r="P158" i="37"/>
  <c r="O158" i="37"/>
  <c r="N158" i="37"/>
  <c r="M158" i="37"/>
  <c r="L158" i="37"/>
  <c r="K158" i="37"/>
  <c r="J158" i="37"/>
  <c r="I158" i="37"/>
  <c r="H158" i="37"/>
  <c r="G158" i="37"/>
  <c r="F158" i="37"/>
  <c r="E158" i="37"/>
  <c r="D158" i="37"/>
  <c r="C158" i="37"/>
  <c r="B158" i="37"/>
  <c r="R157" i="37"/>
  <c r="Q157" i="37"/>
  <c r="P157" i="37"/>
  <c r="O157" i="37"/>
  <c r="N157" i="37"/>
  <c r="M157" i="37"/>
  <c r="L157" i="37"/>
  <c r="K157" i="37"/>
  <c r="J157" i="37"/>
  <c r="I157" i="37"/>
  <c r="H157" i="37"/>
  <c r="G157" i="37"/>
  <c r="F157" i="37"/>
  <c r="E157" i="37"/>
  <c r="D157" i="37"/>
  <c r="C157" i="37"/>
  <c r="B157" i="37"/>
  <c r="R156" i="37"/>
  <c r="Q156" i="37"/>
  <c r="P156" i="37"/>
  <c r="O156" i="37"/>
  <c r="N156" i="37"/>
  <c r="M156" i="37"/>
  <c r="L156" i="37"/>
  <c r="K156" i="37"/>
  <c r="J156" i="37"/>
  <c r="I156" i="37"/>
  <c r="H156" i="37"/>
  <c r="G156" i="37"/>
  <c r="F156" i="37"/>
  <c r="E156" i="37"/>
  <c r="D156" i="37"/>
  <c r="C156" i="37"/>
  <c r="B156" i="37"/>
  <c r="R155" i="37"/>
  <c r="Q155" i="37"/>
  <c r="P155" i="37"/>
  <c r="O155" i="37"/>
  <c r="N155" i="37"/>
  <c r="M155" i="37"/>
  <c r="L155" i="37"/>
  <c r="K155" i="37"/>
  <c r="J155" i="37"/>
  <c r="I155" i="37"/>
  <c r="H155" i="37"/>
  <c r="G155" i="37"/>
  <c r="F155" i="37"/>
  <c r="E155" i="37"/>
  <c r="D155" i="37"/>
  <c r="C155" i="37"/>
  <c r="B155" i="37"/>
  <c r="R154" i="37"/>
  <c r="Q154" i="37"/>
  <c r="P154" i="37"/>
  <c r="O154" i="37"/>
  <c r="N154" i="37"/>
  <c r="M154" i="37"/>
  <c r="L154" i="37"/>
  <c r="K154" i="37"/>
  <c r="J154" i="37"/>
  <c r="I154" i="37"/>
  <c r="H154" i="37"/>
  <c r="G154" i="37"/>
  <c r="F154" i="37"/>
  <c r="E154" i="37"/>
  <c r="D154" i="37"/>
  <c r="C154" i="37"/>
  <c r="B154" i="37"/>
  <c r="R153" i="37"/>
  <c r="Q153" i="37"/>
  <c r="P153" i="37"/>
  <c r="O153" i="37"/>
  <c r="N153" i="37"/>
  <c r="M153" i="37"/>
  <c r="L153" i="37"/>
  <c r="K153" i="37"/>
  <c r="J153" i="37"/>
  <c r="I153" i="37"/>
  <c r="H153" i="37"/>
  <c r="G153" i="37"/>
  <c r="F153" i="37"/>
  <c r="E153" i="37"/>
  <c r="D153" i="37"/>
  <c r="C153" i="37"/>
  <c r="B153" i="37"/>
  <c r="R152" i="37"/>
  <c r="Q152" i="37"/>
  <c r="P152" i="37"/>
  <c r="O152" i="37"/>
  <c r="N152" i="37"/>
  <c r="M152" i="37"/>
  <c r="L152" i="37"/>
  <c r="K152" i="37"/>
  <c r="J152" i="37"/>
  <c r="I152" i="37"/>
  <c r="H152" i="37"/>
  <c r="G152" i="37"/>
  <c r="F152" i="37"/>
  <c r="E152" i="37"/>
  <c r="D152" i="37"/>
  <c r="C152" i="37"/>
  <c r="B152" i="37"/>
  <c r="R151" i="37"/>
  <c r="Q151" i="37"/>
  <c r="P151" i="37"/>
  <c r="O151" i="37"/>
  <c r="N151" i="37"/>
  <c r="M151" i="37"/>
  <c r="L151" i="37"/>
  <c r="K151" i="37"/>
  <c r="J151" i="37"/>
  <c r="I151" i="37"/>
  <c r="H151" i="37"/>
  <c r="G151" i="37"/>
  <c r="F151" i="37"/>
  <c r="E151" i="37"/>
  <c r="D151" i="37"/>
  <c r="C151" i="37"/>
  <c r="B151" i="37"/>
  <c r="R150" i="37"/>
  <c r="Q150" i="37"/>
  <c r="P150" i="37"/>
  <c r="O150" i="37"/>
  <c r="N150" i="37"/>
  <c r="M150" i="37"/>
  <c r="L150" i="37"/>
  <c r="K150" i="37"/>
  <c r="J150" i="37"/>
  <c r="I150" i="37"/>
  <c r="H150" i="37"/>
  <c r="G150" i="37"/>
  <c r="F150" i="37"/>
  <c r="E150" i="37"/>
  <c r="D150" i="37"/>
  <c r="C150" i="37"/>
  <c r="B150" i="37"/>
  <c r="R149" i="37"/>
  <c r="Q149" i="37"/>
  <c r="P149" i="37"/>
  <c r="O149" i="37"/>
  <c r="N149" i="37"/>
  <c r="M149" i="37"/>
  <c r="L149" i="37"/>
  <c r="K149" i="37"/>
  <c r="J149" i="37"/>
  <c r="I149" i="37"/>
  <c r="H149" i="37"/>
  <c r="G149" i="37"/>
  <c r="F149" i="37"/>
  <c r="E149" i="37"/>
  <c r="D149" i="37"/>
  <c r="C149" i="37"/>
  <c r="B149" i="37"/>
  <c r="R148" i="37"/>
  <c r="Q148" i="37"/>
  <c r="P148" i="37"/>
  <c r="O148" i="37"/>
  <c r="N148" i="37"/>
  <c r="M148" i="37"/>
  <c r="L148" i="37"/>
  <c r="K148" i="37"/>
  <c r="J148" i="37"/>
  <c r="I148" i="37"/>
  <c r="H148" i="37"/>
  <c r="G148" i="37"/>
  <c r="F148" i="37"/>
  <c r="E148" i="37"/>
  <c r="D148" i="37"/>
  <c r="C148" i="37"/>
  <c r="B148" i="37"/>
  <c r="R147" i="37"/>
  <c r="Q147" i="37"/>
  <c r="P147" i="37"/>
  <c r="O147" i="37"/>
  <c r="N147" i="37"/>
  <c r="M147" i="37"/>
  <c r="L147" i="37"/>
  <c r="K147" i="37"/>
  <c r="J147" i="37"/>
  <c r="I147" i="37"/>
  <c r="H147" i="37"/>
  <c r="G147" i="37"/>
  <c r="F147" i="37"/>
  <c r="E147" i="37"/>
  <c r="D147" i="37"/>
  <c r="C147" i="37"/>
  <c r="B147" i="37"/>
  <c r="R146" i="37"/>
  <c r="Q146" i="37"/>
  <c r="P146" i="37"/>
  <c r="O146" i="37"/>
  <c r="N146" i="37"/>
  <c r="M146" i="37"/>
  <c r="L146" i="37"/>
  <c r="K146" i="37"/>
  <c r="J146" i="37"/>
  <c r="I146" i="37"/>
  <c r="H146" i="37"/>
  <c r="G146" i="37"/>
  <c r="F146" i="37"/>
  <c r="E146" i="37"/>
  <c r="D146" i="37"/>
  <c r="C146" i="37"/>
  <c r="B146" i="37"/>
  <c r="R145" i="37"/>
  <c r="Q145" i="37"/>
  <c r="P145" i="37"/>
  <c r="O145" i="37"/>
  <c r="N145" i="37"/>
  <c r="M145" i="37"/>
  <c r="L145" i="37"/>
  <c r="K145" i="37"/>
  <c r="J145" i="37"/>
  <c r="I145" i="37"/>
  <c r="H145" i="37"/>
  <c r="G145" i="37"/>
  <c r="F145" i="37"/>
  <c r="E145" i="37"/>
  <c r="D145" i="37"/>
  <c r="C145" i="37"/>
  <c r="B145" i="37"/>
  <c r="R144" i="37"/>
  <c r="Q144" i="37"/>
  <c r="P144" i="37"/>
  <c r="O144" i="37"/>
  <c r="N144" i="37"/>
  <c r="M144" i="37"/>
  <c r="L144" i="37"/>
  <c r="K144" i="37"/>
  <c r="J144" i="37"/>
  <c r="I144" i="37"/>
  <c r="H144" i="37"/>
  <c r="G144" i="37"/>
  <c r="F144" i="37"/>
  <c r="E144" i="37"/>
  <c r="D144" i="37"/>
  <c r="C144" i="37"/>
  <c r="B144" i="37"/>
  <c r="R143" i="37"/>
  <c r="Q143" i="37"/>
  <c r="P143" i="37"/>
  <c r="O143" i="37"/>
  <c r="N143" i="37"/>
  <c r="M143" i="37"/>
  <c r="L143" i="37"/>
  <c r="K143" i="37"/>
  <c r="J143" i="37"/>
  <c r="I143" i="37"/>
  <c r="H143" i="37"/>
  <c r="G143" i="37"/>
  <c r="F143" i="37"/>
  <c r="E143" i="37"/>
  <c r="D143" i="37"/>
  <c r="C143" i="37"/>
  <c r="B143" i="37"/>
  <c r="R142" i="37"/>
  <c r="Q142" i="37"/>
  <c r="P142" i="37"/>
  <c r="O142" i="37"/>
  <c r="N142" i="37"/>
  <c r="M142" i="37"/>
  <c r="L142" i="37"/>
  <c r="K142" i="37"/>
  <c r="J142" i="37"/>
  <c r="I142" i="37"/>
  <c r="H142" i="37"/>
  <c r="G142" i="37"/>
  <c r="F142" i="37"/>
  <c r="E142" i="37"/>
  <c r="D142" i="37"/>
  <c r="C142" i="37"/>
  <c r="B142" i="37"/>
  <c r="R141" i="37"/>
  <c r="Q141" i="37"/>
  <c r="P141" i="37"/>
  <c r="O141" i="37"/>
  <c r="N141" i="37"/>
  <c r="M141" i="37"/>
  <c r="L141" i="37"/>
  <c r="K141" i="37"/>
  <c r="J141" i="37"/>
  <c r="I141" i="37"/>
  <c r="H141" i="37"/>
  <c r="G141" i="37"/>
  <c r="F141" i="37"/>
  <c r="E141" i="37"/>
  <c r="D141" i="37"/>
  <c r="C141" i="37"/>
  <c r="B141" i="37"/>
  <c r="R140" i="37"/>
  <c r="Q140" i="37"/>
  <c r="P140" i="37"/>
  <c r="O140" i="37"/>
  <c r="N140" i="37"/>
  <c r="M140" i="37"/>
  <c r="L140" i="37"/>
  <c r="K140" i="37"/>
  <c r="J140" i="37"/>
  <c r="I140" i="37"/>
  <c r="H140" i="37"/>
  <c r="G140" i="37"/>
  <c r="F140" i="37"/>
  <c r="E140" i="37"/>
  <c r="D140" i="37"/>
  <c r="C140" i="37"/>
  <c r="B140" i="37"/>
  <c r="R139" i="37"/>
  <c r="Q139" i="37"/>
  <c r="P139" i="37"/>
  <c r="O139" i="37"/>
  <c r="N139" i="37"/>
  <c r="M139" i="37"/>
  <c r="L139" i="37"/>
  <c r="K139" i="37"/>
  <c r="J139" i="37"/>
  <c r="I139" i="37"/>
  <c r="H139" i="37"/>
  <c r="G139" i="37"/>
  <c r="F139" i="37"/>
  <c r="E139" i="37"/>
  <c r="D139" i="37"/>
  <c r="C139" i="37"/>
  <c r="B139" i="37"/>
  <c r="R138" i="37"/>
  <c r="Q138" i="37"/>
  <c r="P138" i="37"/>
  <c r="O138" i="37"/>
  <c r="N138" i="37"/>
  <c r="M138" i="37"/>
  <c r="L138" i="37"/>
  <c r="K138" i="37"/>
  <c r="J138" i="37"/>
  <c r="I138" i="37"/>
  <c r="H138" i="37"/>
  <c r="G138" i="37"/>
  <c r="F138" i="37"/>
  <c r="E138" i="37"/>
  <c r="D138" i="37"/>
  <c r="C138" i="37"/>
  <c r="B138" i="37"/>
  <c r="R137" i="37"/>
  <c r="Q137" i="37"/>
  <c r="P137" i="37"/>
  <c r="O137" i="37"/>
  <c r="N137" i="37"/>
  <c r="M137" i="37"/>
  <c r="L137" i="37"/>
  <c r="K137" i="37"/>
  <c r="J137" i="37"/>
  <c r="I137" i="37"/>
  <c r="H137" i="37"/>
  <c r="G137" i="37"/>
  <c r="F137" i="37"/>
  <c r="E137" i="37"/>
  <c r="D137" i="37"/>
  <c r="C137" i="37"/>
  <c r="B137" i="37"/>
  <c r="R136" i="37"/>
  <c r="Q136" i="37"/>
  <c r="P136" i="37"/>
  <c r="O136" i="37"/>
  <c r="N136" i="37"/>
  <c r="M136" i="37"/>
  <c r="L136" i="37"/>
  <c r="K136" i="37"/>
  <c r="J136" i="37"/>
  <c r="I136" i="37"/>
  <c r="H136" i="37"/>
  <c r="G136" i="37"/>
  <c r="F136" i="37"/>
  <c r="E136" i="37"/>
  <c r="D136" i="37"/>
  <c r="C136" i="37"/>
  <c r="B136" i="37"/>
  <c r="R135" i="37"/>
  <c r="Q135" i="37"/>
  <c r="P135" i="37"/>
  <c r="O135" i="37"/>
  <c r="N135" i="37"/>
  <c r="M135" i="37"/>
  <c r="L135" i="37"/>
  <c r="K135" i="37"/>
  <c r="J135" i="37"/>
  <c r="I135" i="37"/>
  <c r="H135" i="37"/>
  <c r="G135" i="37"/>
  <c r="F135" i="37"/>
  <c r="E135" i="37"/>
  <c r="D135" i="37"/>
  <c r="C135" i="37"/>
  <c r="B135" i="37"/>
  <c r="R134" i="37"/>
  <c r="Q134" i="37"/>
  <c r="P134" i="37"/>
  <c r="O134" i="37"/>
  <c r="N134" i="37"/>
  <c r="M134" i="37"/>
  <c r="L134" i="37"/>
  <c r="K134" i="37"/>
  <c r="J134" i="37"/>
  <c r="I134" i="37"/>
  <c r="H134" i="37"/>
  <c r="G134" i="37"/>
  <c r="F134" i="37"/>
  <c r="E134" i="37"/>
  <c r="D134" i="37"/>
  <c r="C134" i="37"/>
  <c r="B134" i="37"/>
  <c r="R133" i="37"/>
  <c r="Q133" i="37"/>
  <c r="P133" i="37"/>
  <c r="O133" i="37"/>
  <c r="N133" i="37"/>
  <c r="M133" i="37"/>
  <c r="L133" i="37"/>
  <c r="K133" i="37"/>
  <c r="J133" i="37"/>
  <c r="I133" i="37"/>
  <c r="H133" i="37"/>
  <c r="G133" i="37"/>
  <c r="F133" i="37"/>
  <c r="E133" i="37"/>
  <c r="D133" i="37"/>
  <c r="C133" i="37"/>
  <c r="B133" i="37"/>
  <c r="R132" i="37"/>
  <c r="Q132" i="37"/>
  <c r="P132" i="37"/>
  <c r="O132" i="37"/>
  <c r="N132" i="37"/>
  <c r="M132" i="37"/>
  <c r="L132" i="37"/>
  <c r="K132" i="37"/>
  <c r="J132" i="37"/>
  <c r="I132" i="37"/>
  <c r="H132" i="37"/>
  <c r="G132" i="37"/>
  <c r="F132" i="37"/>
  <c r="E132" i="37"/>
  <c r="D132" i="37"/>
  <c r="C132" i="37"/>
  <c r="B132" i="37"/>
  <c r="R131" i="37"/>
  <c r="Q131" i="37"/>
  <c r="P131" i="37"/>
  <c r="O131" i="37"/>
  <c r="N131" i="37"/>
  <c r="M131" i="37"/>
  <c r="L131" i="37"/>
  <c r="K131" i="37"/>
  <c r="J131" i="37"/>
  <c r="I131" i="37"/>
  <c r="H131" i="37"/>
  <c r="G131" i="37"/>
  <c r="F131" i="37"/>
  <c r="E131" i="37"/>
  <c r="D131" i="37"/>
  <c r="C131" i="37"/>
  <c r="B131" i="37"/>
  <c r="R130" i="37"/>
  <c r="Q130" i="37"/>
  <c r="P130" i="37"/>
  <c r="O130" i="37"/>
  <c r="N130" i="37"/>
  <c r="M130" i="37"/>
  <c r="L130" i="37"/>
  <c r="K130" i="37"/>
  <c r="J130" i="37"/>
  <c r="I130" i="37"/>
  <c r="H130" i="37"/>
  <c r="G130" i="37"/>
  <c r="F130" i="37"/>
  <c r="E130" i="37"/>
  <c r="D130" i="37"/>
  <c r="C130" i="37"/>
  <c r="B130" i="37"/>
  <c r="R129" i="37"/>
  <c r="Q129" i="37"/>
  <c r="P129" i="37"/>
  <c r="O129" i="37"/>
  <c r="N129" i="37"/>
  <c r="M129" i="37"/>
  <c r="L129" i="37"/>
  <c r="K129" i="37"/>
  <c r="J129" i="37"/>
  <c r="I129" i="37"/>
  <c r="H129" i="37"/>
  <c r="G129" i="37"/>
  <c r="F129" i="37"/>
  <c r="E129" i="37"/>
  <c r="D129" i="37"/>
  <c r="C129" i="37"/>
  <c r="B129" i="37"/>
  <c r="R128" i="37"/>
  <c r="Q128" i="37"/>
  <c r="P128" i="37"/>
  <c r="O128" i="37"/>
  <c r="N128" i="37"/>
  <c r="M128" i="37"/>
  <c r="L128" i="37"/>
  <c r="K128" i="37"/>
  <c r="J128" i="37"/>
  <c r="I128" i="37"/>
  <c r="H128" i="37"/>
  <c r="G128" i="37"/>
  <c r="F128" i="37"/>
  <c r="E128" i="37"/>
  <c r="D128" i="37"/>
  <c r="C128" i="37"/>
  <c r="B128" i="37"/>
  <c r="R127" i="37"/>
  <c r="Q127" i="37"/>
  <c r="P127" i="37"/>
  <c r="O127" i="37"/>
  <c r="N127" i="37"/>
  <c r="M127" i="37"/>
  <c r="L127" i="37"/>
  <c r="K127" i="37"/>
  <c r="J127" i="37"/>
  <c r="I127" i="37"/>
  <c r="H127" i="37"/>
  <c r="G127" i="37"/>
  <c r="F127" i="37"/>
  <c r="E127" i="37"/>
  <c r="D127" i="37"/>
  <c r="C127" i="37"/>
  <c r="B127" i="37"/>
  <c r="R126" i="37"/>
  <c r="Q126" i="37"/>
  <c r="P126" i="37"/>
  <c r="O126" i="37"/>
  <c r="N126" i="37"/>
  <c r="M126" i="37"/>
  <c r="L126" i="37"/>
  <c r="K126" i="37"/>
  <c r="J126" i="37"/>
  <c r="I126" i="37"/>
  <c r="H126" i="37"/>
  <c r="G126" i="37"/>
  <c r="F126" i="37"/>
  <c r="E126" i="37"/>
  <c r="D126" i="37"/>
  <c r="C126" i="37"/>
  <c r="B126" i="37"/>
  <c r="R125" i="37"/>
  <c r="Q125" i="37"/>
  <c r="P125" i="37"/>
  <c r="O125" i="37"/>
  <c r="N125" i="37"/>
  <c r="M125" i="37"/>
  <c r="L125" i="37"/>
  <c r="K125" i="37"/>
  <c r="J125" i="37"/>
  <c r="I125" i="37"/>
  <c r="H125" i="37"/>
  <c r="G125" i="37"/>
  <c r="F125" i="37"/>
  <c r="E125" i="37"/>
  <c r="D125" i="37"/>
  <c r="C125" i="37"/>
  <c r="B125" i="37"/>
  <c r="R124" i="37"/>
  <c r="Q124" i="37"/>
  <c r="P124" i="37"/>
  <c r="O124" i="37"/>
  <c r="N124" i="37"/>
  <c r="M124" i="37"/>
  <c r="L124" i="37"/>
  <c r="K124" i="37"/>
  <c r="J124" i="37"/>
  <c r="I124" i="37"/>
  <c r="H124" i="37"/>
  <c r="G124" i="37"/>
  <c r="F124" i="37"/>
  <c r="E124" i="37"/>
  <c r="D124" i="37"/>
  <c r="C124" i="37"/>
  <c r="B124" i="37"/>
  <c r="R123" i="37"/>
  <c r="Q123" i="37"/>
  <c r="P123" i="37"/>
  <c r="O123" i="37"/>
  <c r="N123" i="37"/>
  <c r="M123" i="37"/>
  <c r="L123" i="37"/>
  <c r="K123" i="37"/>
  <c r="J123" i="37"/>
  <c r="I123" i="37"/>
  <c r="H123" i="37"/>
  <c r="G123" i="37"/>
  <c r="F123" i="37"/>
  <c r="E123" i="37"/>
  <c r="D123" i="37"/>
  <c r="C123" i="37"/>
  <c r="B123" i="37"/>
  <c r="R122" i="37"/>
  <c r="Q122" i="37"/>
  <c r="P122" i="37"/>
  <c r="O122" i="37"/>
  <c r="N122" i="37"/>
  <c r="M122" i="37"/>
  <c r="L122" i="37"/>
  <c r="K122" i="37"/>
  <c r="J122" i="37"/>
  <c r="I122" i="37"/>
  <c r="H122" i="37"/>
  <c r="G122" i="37"/>
  <c r="F122" i="37"/>
  <c r="E122" i="37"/>
  <c r="D122" i="37"/>
  <c r="C122" i="37"/>
  <c r="B122" i="37"/>
  <c r="R121" i="37"/>
  <c r="Q121" i="37"/>
  <c r="P121" i="37"/>
  <c r="O121" i="37"/>
  <c r="N121" i="37"/>
  <c r="M121" i="37"/>
  <c r="L121" i="37"/>
  <c r="K121" i="37"/>
  <c r="J121" i="37"/>
  <c r="I121" i="37"/>
  <c r="H121" i="37"/>
  <c r="G121" i="37"/>
  <c r="F121" i="37"/>
  <c r="E121" i="37"/>
  <c r="D121" i="37"/>
  <c r="C121" i="37"/>
  <c r="B121" i="37"/>
  <c r="R120" i="37"/>
  <c r="Q120" i="37"/>
  <c r="P120" i="37"/>
  <c r="O120" i="37"/>
  <c r="N120" i="37"/>
  <c r="M120" i="37"/>
  <c r="L120" i="37"/>
  <c r="K120" i="37"/>
  <c r="J120" i="37"/>
  <c r="I120" i="37"/>
  <c r="H120" i="37"/>
  <c r="G120" i="37"/>
  <c r="F120" i="37"/>
  <c r="E120" i="37"/>
  <c r="D120" i="37"/>
  <c r="C120" i="37"/>
  <c r="B120" i="37"/>
  <c r="R119" i="37"/>
  <c r="Q119" i="37"/>
  <c r="P119" i="37"/>
  <c r="O119" i="37"/>
  <c r="N119" i="37"/>
  <c r="M119" i="37"/>
  <c r="L119" i="37"/>
  <c r="K119" i="37"/>
  <c r="J119" i="37"/>
  <c r="I119" i="37"/>
  <c r="H119" i="37"/>
  <c r="G119" i="37"/>
  <c r="F119" i="37"/>
  <c r="E119" i="37"/>
  <c r="D119" i="37"/>
  <c r="C119" i="37"/>
  <c r="B119" i="37"/>
  <c r="R118" i="37"/>
  <c r="Q118" i="37"/>
  <c r="P118" i="37"/>
  <c r="O118" i="37"/>
  <c r="N118" i="37"/>
  <c r="M118" i="37"/>
  <c r="L118" i="37"/>
  <c r="K118" i="37"/>
  <c r="J118" i="37"/>
  <c r="I118" i="37"/>
  <c r="H118" i="37"/>
  <c r="G118" i="37"/>
  <c r="F118" i="37"/>
  <c r="E118" i="37"/>
  <c r="D118" i="37"/>
  <c r="C118" i="37"/>
  <c r="B118" i="37"/>
  <c r="R117" i="37"/>
  <c r="Q117" i="37"/>
  <c r="P117" i="37"/>
  <c r="O117" i="37"/>
  <c r="N117" i="37"/>
  <c r="M117" i="37"/>
  <c r="L117" i="37"/>
  <c r="K117" i="37"/>
  <c r="J117" i="37"/>
  <c r="I117" i="37"/>
  <c r="H117" i="37"/>
  <c r="G117" i="37"/>
  <c r="F117" i="37"/>
  <c r="E117" i="37"/>
  <c r="D117" i="37"/>
  <c r="C117" i="37"/>
  <c r="B117" i="37"/>
  <c r="R116" i="37"/>
  <c r="Q116" i="37"/>
  <c r="P116" i="37"/>
  <c r="O116" i="37"/>
  <c r="N116" i="37"/>
  <c r="M116" i="37"/>
  <c r="L116" i="37"/>
  <c r="K116" i="37"/>
  <c r="J116" i="37"/>
  <c r="I116" i="37"/>
  <c r="H116" i="37"/>
  <c r="G116" i="37"/>
  <c r="F116" i="37"/>
  <c r="E116" i="37"/>
  <c r="D116" i="37"/>
  <c r="C116" i="37"/>
  <c r="B116" i="37"/>
  <c r="R115" i="37"/>
  <c r="Q115" i="37"/>
  <c r="P115" i="37"/>
  <c r="O115" i="37"/>
  <c r="N115" i="37"/>
  <c r="M115" i="37"/>
  <c r="L115" i="37"/>
  <c r="K115" i="37"/>
  <c r="J115" i="37"/>
  <c r="I115" i="37"/>
  <c r="H115" i="37"/>
  <c r="G115" i="37"/>
  <c r="F115" i="37"/>
  <c r="E115" i="37"/>
  <c r="D115" i="37"/>
  <c r="C115" i="37"/>
  <c r="B115" i="37"/>
  <c r="R114" i="37"/>
  <c r="Q114" i="37"/>
  <c r="P114" i="37"/>
  <c r="O114" i="37"/>
  <c r="N114" i="37"/>
  <c r="M114" i="37"/>
  <c r="L114" i="37"/>
  <c r="K114" i="37"/>
  <c r="J114" i="37"/>
  <c r="I114" i="37"/>
  <c r="H114" i="37"/>
  <c r="G114" i="37"/>
  <c r="F114" i="37"/>
  <c r="E114" i="37"/>
  <c r="D114" i="37"/>
  <c r="C114" i="37"/>
  <c r="B114" i="37"/>
  <c r="R113" i="37"/>
  <c r="Q113" i="37"/>
  <c r="P113" i="37"/>
  <c r="O113" i="37"/>
  <c r="N113" i="37"/>
  <c r="M113" i="37"/>
  <c r="L113" i="37"/>
  <c r="K113" i="37"/>
  <c r="J113" i="37"/>
  <c r="I113" i="37"/>
  <c r="H113" i="37"/>
  <c r="G113" i="37"/>
  <c r="F113" i="37"/>
  <c r="E113" i="37"/>
  <c r="D113" i="37"/>
  <c r="C113" i="37"/>
  <c r="B113" i="37"/>
  <c r="R112" i="37"/>
  <c r="Q112" i="37"/>
  <c r="P112" i="37"/>
  <c r="O112" i="37"/>
  <c r="N112" i="37"/>
  <c r="M112" i="37"/>
  <c r="L112" i="37"/>
  <c r="K112" i="37"/>
  <c r="J112" i="37"/>
  <c r="I112" i="37"/>
  <c r="H112" i="37"/>
  <c r="G112" i="37"/>
  <c r="F112" i="37"/>
  <c r="E112" i="37"/>
  <c r="D112" i="37"/>
  <c r="C112" i="37"/>
  <c r="B112" i="37"/>
  <c r="R111" i="37"/>
  <c r="Q111" i="37"/>
  <c r="P111" i="37"/>
  <c r="O111" i="37"/>
  <c r="N111" i="37"/>
  <c r="M111" i="37"/>
  <c r="L111" i="37"/>
  <c r="K111" i="37"/>
  <c r="J111" i="37"/>
  <c r="I111" i="37"/>
  <c r="H111" i="37"/>
  <c r="G111" i="37"/>
  <c r="F111" i="37"/>
  <c r="E111" i="37"/>
  <c r="D111" i="37"/>
  <c r="C111" i="37"/>
  <c r="B111" i="37"/>
  <c r="R110" i="37"/>
  <c r="Q110" i="37"/>
  <c r="P110" i="37"/>
  <c r="O110" i="37"/>
  <c r="N110" i="37"/>
  <c r="M110" i="37"/>
  <c r="L110" i="37"/>
  <c r="K110" i="37"/>
  <c r="J110" i="37"/>
  <c r="I110" i="37"/>
  <c r="H110" i="37"/>
  <c r="G110" i="37"/>
  <c r="F110" i="37"/>
  <c r="E110" i="37"/>
  <c r="D110" i="37"/>
  <c r="C110" i="37"/>
  <c r="B110" i="37"/>
  <c r="R109" i="37"/>
  <c r="Q109" i="37"/>
  <c r="P109" i="37"/>
  <c r="O109" i="37"/>
  <c r="N109" i="37"/>
  <c r="M109" i="37"/>
  <c r="L109" i="37"/>
  <c r="K109" i="37"/>
  <c r="J109" i="37"/>
  <c r="I109" i="37"/>
  <c r="H109" i="37"/>
  <c r="G109" i="37"/>
  <c r="F109" i="37"/>
  <c r="E109" i="37"/>
  <c r="D109" i="37"/>
  <c r="C109" i="37"/>
  <c r="B109" i="37"/>
  <c r="R108" i="37"/>
  <c r="Q108" i="37"/>
  <c r="P108" i="37"/>
  <c r="O108" i="37"/>
  <c r="N108" i="37"/>
  <c r="M108" i="37"/>
  <c r="L108" i="37"/>
  <c r="K108" i="37"/>
  <c r="J108" i="37"/>
  <c r="I108" i="37"/>
  <c r="H108" i="37"/>
  <c r="G108" i="37"/>
  <c r="F108" i="37"/>
  <c r="E108" i="37"/>
  <c r="D108" i="37"/>
  <c r="C108" i="37"/>
  <c r="B108" i="37"/>
  <c r="R107" i="37"/>
  <c r="Q107" i="37"/>
  <c r="P107" i="37"/>
  <c r="O107" i="37"/>
  <c r="N107" i="37"/>
  <c r="M107" i="37"/>
  <c r="L107" i="37"/>
  <c r="K107" i="37"/>
  <c r="J107" i="37"/>
  <c r="I107" i="37"/>
  <c r="H107" i="37"/>
  <c r="G107" i="37"/>
  <c r="F107" i="37"/>
  <c r="E107" i="37"/>
  <c r="D107" i="37"/>
  <c r="C107" i="37"/>
  <c r="B107" i="37"/>
  <c r="R106" i="37"/>
  <c r="Q106" i="37"/>
  <c r="P106" i="37"/>
  <c r="O106" i="37"/>
  <c r="N106" i="37"/>
  <c r="M106" i="37"/>
  <c r="L106" i="37"/>
  <c r="K106" i="37"/>
  <c r="J106" i="37"/>
  <c r="I106" i="37"/>
  <c r="H106" i="37"/>
  <c r="G106" i="37"/>
  <c r="F106" i="37"/>
  <c r="E106" i="37"/>
  <c r="D106" i="37"/>
  <c r="C106" i="37"/>
  <c r="B106" i="37"/>
  <c r="R105" i="37"/>
  <c r="Q105" i="37"/>
  <c r="P105" i="37"/>
  <c r="O105" i="37"/>
  <c r="N105" i="37"/>
  <c r="M105" i="37"/>
  <c r="L105" i="37"/>
  <c r="K105" i="37"/>
  <c r="J105" i="37"/>
  <c r="I105" i="37"/>
  <c r="H105" i="37"/>
  <c r="G105" i="37"/>
  <c r="F105" i="37"/>
  <c r="E105" i="37"/>
  <c r="D105" i="37"/>
  <c r="C105" i="37"/>
  <c r="B105" i="37"/>
  <c r="R104" i="37"/>
  <c r="Q104" i="37"/>
  <c r="P104" i="37"/>
  <c r="O104" i="37"/>
  <c r="N104" i="37"/>
  <c r="M104" i="37"/>
  <c r="L104" i="37"/>
  <c r="K104" i="37"/>
  <c r="J104" i="37"/>
  <c r="I104" i="37"/>
  <c r="H104" i="37"/>
  <c r="G104" i="37"/>
  <c r="F104" i="37"/>
  <c r="E104" i="37"/>
  <c r="D104" i="37"/>
  <c r="C104" i="37"/>
  <c r="B104" i="37"/>
  <c r="R103" i="37"/>
  <c r="Q103" i="37"/>
  <c r="P103" i="37"/>
  <c r="O103" i="37"/>
  <c r="N103" i="37"/>
  <c r="M103" i="37"/>
  <c r="L103" i="37"/>
  <c r="K103" i="37"/>
  <c r="J103" i="37"/>
  <c r="I103" i="37"/>
  <c r="H103" i="37"/>
  <c r="G103" i="37"/>
  <c r="F103" i="37"/>
  <c r="E103" i="37"/>
  <c r="D103" i="37"/>
  <c r="C103" i="37"/>
  <c r="B103" i="37"/>
  <c r="R102" i="37"/>
  <c r="Q102" i="37"/>
  <c r="P102" i="37"/>
  <c r="O102" i="37"/>
  <c r="N102" i="37"/>
  <c r="M102" i="37"/>
  <c r="L102" i="37"/>
  <c r="K102" i="37"/>
  <c r="J102" i="37"/>
  <c r="I102" i="37"/>
  <c r="H102" i="37"/>
  <c r="G102" i="37"/>
  <c r="F102" i="37"/>
  <c r="E102" i="37"/>
  <c r="D102" i="37"/>
  <c r="C102" i="37"/>
  <c r="B102" i="37"/>
  <c r="R101" i="37"/>
  <c r="Q101" i="37"/>
  <c r="P101" i="37"/>
  <c r="O101" i="37"/>
  <c r="N101" i="37"/>
  <c r="M101" i="37"/>
  <c r="L101" i="37"/>
  <c r="K101" i="37"/>
  <c r="J101" i="37"/>
  <c r="I101" i="37"/>
  <c r="H101" i="37"/>
  <c r="G101" i="37"/>
  <c r="F101" i="37"/>
  <c r="E101" i="37"/>
  <c r="D101" i="37"/>
  <c r="C101" i="37"/>
  <c r="B101" i="37"/>
  <c r="R100" i="37"/>
  <c r="Q100" i="37"/>
  <c r="P100" i="37"/>
  <c r="O100" i="37"/>
  <c r="N100" i="37"/>
  <c r="M100" i="37"/>
  <c r="L100" i="37"/>
  <c r="K100" i="37"/>
  <c r="J100" i="37"/>
  <c r="I100" i="37"/>
  <c r="H100" i="37"/>
  <c r="G100" i="37"/>
  <c r="F100" i="37"/>
  <c r="E100" i="37"/>
  <c r="D100" i="37"/>
  <c r="C100" i="37"/>
  <c r="B100" i="37"/>
  <c r="R99" i="37"/>
  <c r="Q99" i="37"/>
  <c r="P99" i="37"/>
  <c r="O99" i="37"/>
  <c r="N99" i="37"/>
  <c r="M99" i="37"/>
  <c r="L99" i="37"/>
  <c r="K99" i="37"/>
  <c r="J99" i="37"/>
  <c r="I99" i="37"/>
  <c r="H99" i="37"/>
  <c r="G99" i="37"/>
  <c r="F99" i="37"/>
  <c r="E99" i="37"/>
  <c r="D99" i="37"/>
  <c r="C99" i="37"/>
  <c r="B99" i="37"/>
  <c r="R98" i="37"/>
  <c r="Q98" i="37"/>
  <c r="P98" i="37"/>
  <c r="O98" i="37"/>
  <c r="N98" i="37"/>
  <c r="M98" i="37"/>
  <c r="L98" i="37"/>
  <c r="K98" i="37"/>
  <c r="J98" i="37"/>
  <c r="I98" i="37"/>
  <c r="H98" i="37"/>
  <c r="G98" i="37"/>
  <c r="F98" i="37"/>
  <c r="E98" i="37"/>
  <c r="D98" i="37"/>
  <c r="C98" i="37"/>
  <c r="B98" i="37"/>
  <c r="R97" i="37"/>
  <c r="Q97" i="37"/>
  <c r="P97" i="37"/>
  <c r="O97" i="37"/>
  <c r="N97" i="37"/>
  <c r="M97" i="37"/>
  <c r="L97" i="37"/>
  <c r="K97" i="37"/>
  <c r="J97" i="37"/>
  <c r="I97" i="37"/>
  <c r="H97" i="37"/>
  <c r="G97" i="37"/>
  <c r="F97" i="37"/>
  <c r="E97" i="37"/>
  <c r="D97" i="37"/>
  <c r="C97" i="37"/>
  <c r="B97" i="37"/>
  <c r="R96" i="37"/>
  <c r="Q96" i="37"/>
  <c r="P96" i="37"/>
  <c r="O96" i="37"/>
  <c r="N96" i="37"/>
  <c r="M96" i="37"/>
  <c r="L96" i="37"/>
  <c r="K96" i="37"/>
  <c r="J96" i="37"/>
  <c r="I96" i="37"/>
  <c r="H96" i="37"/>
  <c r="G96" i="37"/>
  <c r="F96" i="37"/>
  <c r="E96" i="37"/>
  <c r="D96" i="37"/>
  <c r="C96" i="37"/>
  <c r="B96" i="37"/>
  <c r="R95" i="37"/>
  <c r="Q95" i="37"/>
  <c r="P95" i="37"/>
  <c r="O95" i="37"/>
  <c r="N95" i="37"/>
  <c r="M95" i="37"/>
  <c r="L95" i="37"/>
  <c r="K95" i="37"/>
  <c r="J95" i="37"/>
  <c r="I95" i="37"/>
  <c r="H95" i="37"/>
  <c r="G95" i="37"/>
  <c r="F95" i="37"/>
  <c r="E95" i="37"/>
  <c r="D95" i="37"/>
  <c r="C95" i="37"/>
  <c r="B95" i="37"/>
  <c r="R94" i="37"/>
  <c r="Q94" i="37"/>
  <c r="P94" i="37"/>
  <c r="O94" i="37"/>
  <c r="N94" i="37"/>
  <c r="M94" i="37"/>
  <c r="L94" i="37"/>
  <c r="K94" i="37"/>
  <c r="J94" i="37"/>
  <c r="I94" i="37"/>
  <c r="H94" i="37"/>
  <c r="G94" i="37"/>
  <c r="F94" i="37"/>
  <c r="E94" i="37"/>
  <c r="D94" i="37"/>
  <c r="C94" i="37"/>
  <c r="B94" i="37"/>
  <c r="R93" i="37"/>
  <c r="Q93" i="37"/>
  <c r="P93" i="37"/>
  <c r="O93" i="37"/>
  <c r="N93" i="37"/>
  <c r="M93" i="37"/>
  <c r="L93" i="37"/>
  <c r="K93" i="37"/>
  <c r="J93" i="37"/>
  <c r="I93" i="37"/>
  <c r="H93" i="37"/>
  <c r="G93" i="37"/>
  <c r="F93" i="37"/>
  <c r="E93" i="37"/>
  <c r="D93" i="37"/>
  <c r="C93" i="37"/>
  <c r="B93" i="37"/>
  <c r="R92" i="37"/>
  <c r="Q92" i="37"/>
  <c r="P92" i="37"/>
  <c r="O92" i="37"/>
  <c r="N92" i="37"/>
  <c r="M92" i="37"/>
  <c r="L92" i="37"/>
  <c r="K92" i="37"/>
  <c r="J92" i="37"/>
  <c r="I92" i="37"/>
  <c r="H92" i="37"/>
  <c r="G92" i="37"/>
  <c r="F92" i="37"/>
  <c r="E92" i="37"/>
  <c r="D92" i="37"/>
  <c r="C92" i="37"/>
  <c r="B92" i="37"/>
  <c r="R91" i="37"/>
  <c r="Q91" i="37"/>
  <c r="P91" i="37"/>
  <c r="O91" i="37"/>
  <c r="N91" i="37"/>
  <c r="M91" i="37"/>
  <c r="L91" i="37"/>
  <c r="K91" i="37"/>
  <c r="J91" i="37"/>
  <c r="I91" i="37"/>
  <c r="H91" i="37"/>
  <c r="G91" i="37"/>
  <c r="F91" i="37"/>
  <c r="E91" i="37"/>
  <c r="D91" i="37"/>
  <c r="C91" i="37"/>
  <c r="B91" i="37"/>
  <c r="R90" i="37"/>
  <c r="Q90" i="37"/>
  <c r="P90" i="37"/>
  <c r="O90" i="37"/>
  <c r="N90" i="37"/>
  <c r="M90" i="37"/>
  <c r="L90" i="37"/>
  <c r="K90" i="37"/>
  <c r="J90" i="37"/>
  <c r="I90" i="37"/>
  <c r="H90" i="37"/>
  <c r="G90" i="37"/>
  <c r="F90" i="37"/>
  <c r="E90" i="37"/>
  <c r="D90" i="37"/>
  <c r="C90" i="37"/>
  <c r="B90" i="37"/>
  <c r="R89" i="37"/>
  <c r="Q89" i="37"/>
  <c r="P89" i="37"/>
  <c r="O89" i="37"/>
  <c r="N89" i="37"/>
  <c r="M89" i="37"/>
  <c r="L89" i="37"/>
  <c r="K89" i="37"/>
  <c r="J89" i="37"/>
  <c r="I89" i="37"/>
  <c r="H89" i="37"/>
  <c r="G89" i="37"/>
  <c r="F89" i="37"/>
  <c r="E89" i="37"/>
  <c r="D89" i="37"/>
  <c r="C89" i="37"/>
  <c r="B89" i="37"/>
  <c r="R88" i="37"/>
  <c r="Q88" i="37"/>
  <c r="P88" i="37"/>
  <c r="O88" i="37"/>
  <c r="N88" i="37"/>
  <c r="M88" i="37"/>
  <c r="L88" i="37"/>
  <c r="K88" i="37"/>
  <c r="J88" i="37"/>
  <c r="I88" i="37"/>
  <c r="H88" i="37"/>
  <c r="G88" i="37"/>
  <c r="F88" i="37"/>
  <c r="E88" i="37"/>
  <c r="D88" i="37"/>
  <c r="C88" i="37"/>
  <c r="B88" i="37"/>
  <c r="R87" i="37"/>
  <c r="Q87" i="37"/>
  <c r="P87" i="37"/>
  <c r="O87" i="37"/>
  <c r="N87" i="37"/>
  <c r="M87" i="37"/>
  <c r="L87" i="37"/>
  <c r="K87" i="37"/>
  <c r="J87" i="37"/>
  <c r="I87" i="37"/>
  <c r="H87" i="37"/>
  <c r="G87" i="37"/>
  <c r="F87" i="37"/>
  <c r="E87" i="37"/>
  <c r="D87" i="37"/>
  <c r="C87" i="37"/>
  <c r="B87" i="37"/>
  <c r="R86" i="37"/>
  <c r="Q86" i="37"/>
  <c r="P86" i="37"/>
  <c r="O86" i="37"/>
  <c r="N86" i="37"/>
  <c r="M86" i="37"/>
  <c r="L86" i="37"/>
  <c r="K86" i="37"/>
  <c r="J86" i="37"/>
  <c r="I86" i="37"/>
  <c r="H86" i="37"/>
  <c r="G86" i="37"/>
  <c r="F86" i="37"/>
  <c r="E86" i="37"/>
  <c r="D86" i="37"/>
  <c r="C86" i="37"/>
  <c r="B86" i="37"/>
  <c r="R85" i="37"/>
  <c r="Q85" i="37"/>
  <c r="P85" i="37"/>
  <c r="O85" i="37"/>
  <c r="N85" i="37"/>
  <c r="M85" i="37"/>
  <c r="L85" i="37"/>
  <c r="K85" i="37"/>
  <c r="J85" i="37"/>
  <c r="I85" i="37"/>
  <c r="H85" i="37"/>
  <c r="G85" i="37"/>
  <c r="F85" i="37"/>
  <c r="E85" i="37"/>
  <c r="D85" i="37"/>
  <c r="C85" i="37"/>
  <c r="B85" i="37"/>
  <c r="R84" i="37"/>
  <c r="Q84" i="37"/>
  <c r="P84" i="37"/>
  <c r="O84" i="37"/>
  <c r="N84" i="37"/>
  <c r="M84" i="37"/>
  <c r="L84" i="37"/>
  <c r="K84" i="37"/>
  <c r="J84" i="37"/>
  <c r="I84" i="37"/>
  <c r="H84" i="37"/>
  <c r="G84" i="37"/>
  <c r="F84" i="37"/>
  <c r="E84" i="37"/>
  <c r="D84" i="37"/>
  <c r="C84" i="37"/>
  <c r="B84" i="37"/>
  <c r="R83" i="37"/>
  <c r="Q83" i="37"/>
  <c r="P83" i="37"/>
  <c r="O83" i="37"/>
  <c r="N83" i="37"/>
  <c r="M83" i="37"/>
  <c r="L83" i="37"/>
  <c r="K83" i="37"/>
  <c r="J83" i="37"/>
  <c r="I83" i="37"/>
  <c r="H83" i="37"/>
  <c r="G83" i="37"/>
  <c r="F83" i="37"/>
  <c r="E83" i="37"/>
  <c r="D83" i="37"/>
  <c r="C83" i="37"/>
  <c r="B83" i="37"/>
  <c r="R82" i="37"/>
  <c r="Q82" i="37"/>
  <c r="P82" i="37"/>
  <c r="O82" i="37"/>
  <c r="N82" i="37"/>
  <c r="M82" i="37"/>
  <c r="L82" i="37"/>
  <c r="K82" i="37"/>
  <c r="J82" i="37"/>
  <c r="I82" i="37"/>
  <c r="H82" i="37"/>
  <c r="G82" i="37"/>
  <c r="F82" i="37"/>
  <c r="E82" i="37"/>
  <c r="D82" i="37"/>
  <c r="C82" i="37"/>
  <c r="B82" i="37"/>
  <c r="R81" i="37"/>
  <c r="Q81" i="37"/>
  <c r="P81" i="37"/>
  <c r="O81" i="37"/>
  <c r="N81" i="37"/>
  <c r="M81" i="37"/>
  <c r="L81" i="37"/>
  <c r="K81" i="37"/>
  <c r="J81" i="37"/>
  <c r="I81" i="37"/>
  <c r="H81" i="37"/>
  <c r="G81" i="37"/>
  <c r="F81" i="37"/>
  <c r="E81" i="37"/>
  <c r="D81" i="37"/>
  <c r="C81" i="37"/>
  <c r="B81" i="37"/>
  <c r="R80" i="37"/>
  <c r="Q80" i="37"/>
  <c r="P80" i="37"/>
  <c r="O80" i="37"/>
  <c r="N80" i="37"/>
  <c r="M80" i="37"/>
  <c r="L80" i="37"/>
  <c r="K80" i="37"/>
  <c r="J80" i="37"/>
  <c r="I80" i="37"/>
  <c r="H80" i="37"/>
  <c r="G80" i="37"/>
  <c r="F80" i="37"/>
  <c r="E80" i="37"/>
  <c r="D80" i="37"/>
  <c r="C80" i="37"/>
  <c r="B80" i="37"/>
  <c r="R79" i="37"/>
  <c r="Q79" i="37"/>
  <c r="P79" i="37"/>
  <c r="O79" i="37"/>
  <c r="N79" i="37"/>
  <c r="M79" i="37"/>
  <c r="L79" i="37"/>
  <c r="K79" i="37"/>
  <c r="J79" i="37"/>
  <c r="I79" i="37"/>
  <c r="H79" i="37"/>
  <c r="G79" i="37"/>
  <c r="F79" i="37"/>
  <c r="E79" i="37"/>
  <c r="D79" i="37"/>
  <c r="C79" i="37"/>
  <c r="B79" i="37"/>
  <c r="R78" i="37"/>
  <c r="Q78" i="37"/>
  <c r="P78" i="37"/>
  <c r="O78" i="37"/>
  <c r="N78" i="37"/>
  <c r="M78" i="37"/>
  <c r="L78" i="37"/>
  <c r="K78" i="37"/>
  <c r="J78" i="37"/>
  <c r="I78" i="37"/>
  <c r="H78" i="37"/>
  <c r="G78" i="37"/>
  <c r="F78" i="37"/>
  <c r="E78" i="37"/>
  <c r="D78" i="37"/>
  <c r="C78" i="37"/>
  <c r="B78" i="37"/>
  <c r="R77" i="37"/>
  <c r="Q77" i="37"/>
  <c r="P77" i="37"/>
  <c r="O77" i="37"/>
  <c r="N77" i="37"/>
  <c r="M77" i="37"/>
  <c r="L77" i="37"/>
  <c r="K77" i="37"/>
  <c r="J77" i="37"/>
  <c r="I77" i="37"/>
  <c r="H77" i="37"/>
  <c r="G77" i="37"/>
  <c r="F77" i="37"/>
  <c r="E77" i="37"/>
  <c r="D77" i="37"/>
  <c r="C77" i="37"/>
  <c r="B77" i="37"/>
  <c r="R76" i="37"/>
  <c r="Q76" i="37"/>
  <c r="P76" i="37"/>
  <c r="O76" i="37"/>
  <c r="N76" i="37"/>
  <c r="M76" i="37"/>
  <c r="L76" i="37"/>
  <c r="K76" i="37"/>
  <c r="J76" i="37"/>
  <c r="I76" i="37"/>
  <c r="H76" i="37"/>
  <c r="G76" i="37"/>
  <c r="F76" i="37"/>
  <c r="E76" i="37"/>
  <c r="D76" i="37"/>
  <c r="C76" i="37"/>
  <c r="B76" i="37"/>
  <c r="R75" i="37"/>
  <c r="Q75" i="37"/>
  <c r="P75" i="37"/>
  <c r="O75" i="37"/>
  <c r="N75" i="37"/>
  <c r="M75" i="37"/>
  <c r="L75" i="37"/>
  <c r="K75" i="37"/>
  <c r="J75" i="37"/>
  <c r="I75" i="37"/>
  <c r="H75" i="37"/>
  <c r="G75" i="37"/>
  <c r="F75" i="37"/>
  <c r="E75" i="37"/>
  <c r="D75" i="37"/>
  <c r="C75" i="37"/>
  <c r="B75" i="37"/>
  <c r="R74" i="37"/>
  <c r="Q74" i="37"/>
  <c r="P74" i="37"/>
  <c r="O74" i="37"/>
  <c r="N74" i="37"/>
  <c r="M74" i="37"/>
  <c r="L74" i="37"/>
  <c r="K74" i="37"/>
  <c r="J74" i="37"/>
  <c r="I74" i="37"/>
  <c r="H74" i="37"/>
  <c r="G74" i="37"/>
  <c r="F74" i="37"/>
  <c r="E74" i="37"/>
  <c r="D74" i="37"/>
  <c r="C74" i="37"/>
  <c r="B74" i="37"/>
  <c r="R73" i="37"/>
  <c r="Q73" i="37"/>
  <c r="P73" i="37"/>
  <c r="O73" i="37"/>
  <c r="N73" i="37"/>
  <c r="M73" i="37"/>
  <c r="L73" i="37"/>
  <c r="K73" i="37"/>
  <c r="J73" i="37"/>
  <c r="I73" i="37"/>
  <c r="H73" i="37"/>
  <c r="G73" i="37"/>
  <c r="F73" i="37"/>
  <c r="E73" i="37"/>
  <c r="D73" i="37"/>
  <c r="C73" i="37"/>
  <c r="B73" i="37"/>
  <c r="R72" i="37"/>
  <c r="Q72" i="37"/>
  <c r="P72" i="37"/>
  <c r="O72" i="37"/>
  <c r="N72" i="37"/>
  <c r="M72" i="37"/>
  <c r="L72" i="37"/>
  <c r="K72" i="37"/>
  <c r="J72" i="37"/>
  <c r="I72" i="37"/>
  <c r="H72" i="37"/>
  <c r="G72" i="37"/>
  <c r="F72" i="37"/>
  <c r="E72" i="37"/>
  <c r="D72" i="37"/>
  <c r="C72" i="37"/>
  <c r="B72" i="37"/>
  <c r="R71" i="37"/>
  <c r="Q71" i="37"/>
  <c r="P71" i="37"/>
  <c r="O71" i="37"/>
  <c r="N71" i="37"/>
  <c r="M71" i="37"/>
  <c r="L71" i="37"/>
  <c r="K71" i="37"/>
  <c r="J71" i="37"/>
  <c r="I71" i="37"/>
  <c r="H71" i="37"/>
  <c r="G71" i="37"/>
  <c r="F71" i="37"/>
  <c r="E71" i="37"/>
  <c r="D71" i="37"/>
  <c r="C71" i="37"/>
  <c r="B71" i="37"/>
  <c r="R70" i="37"/>
  <c r="Q70" i="37"/>
  <c r="P70" i="37"/>
  <c r="O70" i="37"/>
  <c r="N70" i="37"/>
  <c r="M70" i="37"/>
  <c r="L70" i="37"/>
  <c r="K70" i="37"/>
  <c r="J70" i="37"/>
  <c r="I70" i="37"/>
  <c r="H70" i="37"/>
  <c r="G70" i="37"/>
  <c r="F70" i="37"/>
  <c r="E70" i="37"/>
  <c r="D70" i="37"/>
  <c r="C70" i="37"/>
  <c r="B70" i="37"/>
  <c r="R69" i="37"/>
  <c r="Q69" i="37"/>
  <c r="P69" i="37"/>
  <c r="O69" i="37"/>
  <c r="N69" i="37"/>
  <c r="M69" i="37"/>
  <c r="L69" i="37"/>
  <c r="K69" i="37"/>
  <c r="J69" i="37"/>
  <c r="I69" i="37"/>
  <c r="H69" i="37"/>
  <c r="G69" i="37"/>
  <c r="F69" i="37"/>
  <c r="E69" i="37"/>
  <c r="D69" i="37"/>
  <c r="C69" i="37"/>
  <c r="B69" i="37"/>
  <c r="R68" i="37"/>
  <c r="Q68" i="37"/>
  <c r="P68" i="37"/>
  <c r="O68" i="37"/>
  <c r="N68" i="37"/>
  <c r="M68" i="37"/>
  <c r="L68" i="37"/>
  <c r="K68" i="37"/>
  <c r="J68" i="37"/>
  <c r="I68" i="37"/>
  <c r="H68" i="37"/>
  <c r="G68" i="37"/>
  <c r="F68" i="37"/>
  <c r="E68" i="37"/>
  <c r="D68" i="37"/>
  <c r="C68" i="37"/>
  <c r="B68" i="37"/>
  <c r="R67" i="37"/>
  <c r="Q67" i="37"/>
  <c r="P67" i="37"/>
  <c r="O67" i="37"/>
  <c r="N67" i="37"/>
  <c r="M67" i="37"/>
  <c r="L67" i="37"/>
  <c r="K67" i="37"/>
  <c r="J67" i="37"/>
  <c r="I67" i="37"/>
  <c r="H67" i="37"/>
  <c r="G67" i="37"/>
  <c r="F67" i="37"/>
  <c r="E67" i="37"/>
  <c r="D67" i="37"/>
  <c r="C67" i="37"/>
  <c r="B67" i="37"/>
  <c r="R66" i="37"/>
  <c r="Q66" i="37"/>
  <c r="P66" i="37"/>
  <c r="O66" i="37"/>
  <c r="N66" i="37"/>
  <c r="M66" i="37"/>
  <c r="L66" i="37"/>
  <c r="K66" i="37"/>
  <c r="J66" i="37"/>
  <c r="I66" i="37"/>
  <c r="H66" i="37"/>
  <c r="G66" i="37"/>
  <c r="F66" i="37"/>
  <c r="E66" i="37"/>
  <c r="D66" i="37"/>
  <c r="C66" i="37"/>
  <c r="B66" i="37"/>
  <c r="R65" i="37"/>
  <c r="Q65" i="37"/>
  <c r="P65" i="37"/>
  <c r="O65" i="37"/>
  <c r="N65" i="37"/>
  <c r="M65" i="37"/>
  <c r="L65" i="37"/>
  <c r="K65" i="37"/>
  <c r="J65" i="37"/>
  <c r="I65" i="37"/>
  <c r="H65" i="37"/>
  <c r="G65" i="37"/>
  <c r="F65" i="37"/>
  <c r="E65" i="37"/>
  <c r="D65" i="37"/>
  <c r="C65" i="37"/>
  <c r="B65" i="37"/>
  <c r="R64" i="37"/>
  <c r="Q64" i="37"/>
  <c r="P64" i="37"/>
  <c r="O64" i="37"/>
  <c r="N64" i="37"/>
  <c r="M64" i="37"/>
  <c r="L64" i="37"/>
  <c r="K64" i="37"/>
  <c r="J64" i="37"/>
  <c r="I64" i="37"/>
  <c r="H64" i="37"/>
  <c r="G64" i="37"/>
  <c r="F64" i="37"/>
  <c r="E64" i="37"/>
  <c r="D64" i="37"/>
  <c r="C64" i="37"/>
  <c r="B64" i="37"/>
  <c r="R63" i="37"/>
  <c r="Q63" i="37"/>
  <c r="P63" i="37"/>
  <c r="O63" i="37"/>
  <c r="N63" i="37"/>
  <c r="M63" i="37"/>
  <c r="L63" i="37"/>
  <c r="K63" i="37"/>
  <c r="J63" i="37"/>
  <c r="I63" i="37"/>
  <c r="H63" i="37"/>
  <c r="G63" i="37"/>
  <c r="F63" i="37"/>
  <c r="E63" i="37"/>
  <c r="D63" i="37"/>
  <c r="C63" i="37"/>
  <c r="B63" i="37"/>
  <c r="R62" i="37"/>
  <c r="Q62" i="37"/>
  <c r="P62" i="37"/>
  <c r="O62" i="37"/>
  <c r="N62" i="37"/>
  <c r="M62" i="37"/>
  <c r="L62" i="37"/>
  <c r="K62" i="37"/>
  <c r="J62" i="37"/>
  <c r="I62" i="37"/>
  <c r="H62" i="37"/>
  <c r="G62" i="37"/>
  <c r="F62" i="37"/>
  <c r="E62" i="37"/>
  <c r="D62" i="37"/>
  <c r="C62" i="37"/>
  <c r="B62" i="37"/>
  <c r="R61" i="37"/>
  <c r="Q61" i="37"/>
  <c r="P61" i="37"/>
  <c r="O61" i="37"/>
  <c r="N61" i="37"/>
  <c r="M61" i="37"/>
  <c r="L61" i="37"/>
  <c r="K61" i="37"/>
  <c r="J61" i="37"/>
  <c r="I61" i="37"/>
  <c r="H61" i="37"/>
  <c r="G61" i="37"/>
  <c r="F61" i="37"/>
  <c r="E61" i="37"/>
  <c r="D61" i="37"/>
  <c r="C61" i="37"/>
  <c r="B61" i="37"/>
  <c r="R60" i="37"/>
  <c r="Q60" i="37"/>
  <c r="P60" i="37"/>
  <c r="O60" i="37"/>
  <c r="N60" i="37"/>
  <c r="M60" i="37"/>
  <c r="L60" i="37"/>
  <c r="K60" i="37"/>
  <c r="J60" i="37"/>
  <c r="I60" i="37"/>
  <c r="H60" i="37"/>
  <c r="G60" i="37"/>
  <c r="F60" i="37"/>
  <c r="E60" i="37"/>
  <c r="D60" i="37"/>
  <c r="C60" i="37"/>
  <c r="B60" i="37"/>
  <c r="R59" i="37"/>
  <c r="Q59" i="37"/>
  <c r="P59" i="37"/>
  <c r="O59" i="37"/>
  <c r="N59" i="37"/>
  <c r="M59" i="37"/>
  <c r="L59" i="37"/>
  <c r="K59" i="37"/>
  <c r="J59" i="37"/>
  <c r="I59" i="37"/>
  <c r="H59" i="37"/>
  <c r="G59" i="37"/>
  <c r="F59" i="37"/>
  <c r="E59" i="37"/>
  <c r="D59" i="37"/>
  <c r="C59" i="37"/>
  <c r="B59" i="37"/>
  <c r="R58" i="37"/>
  <c r="Q58" i="37"/>
  <c r="P58" i="37"/>
  <c r="O58" i="37"/>
  <c r="N58" i="37"/>
  <c r="M58" i="37"/>
  <c r="L58" i="37"/>
  <c r="K58" i="37"/>
  <c r="J58" i="37"/>
  <c r="I58" i="37"/>
  <c r="H58" i="37"/>
  <c r="G58" i="37"/>
  <c r="F58" i="37"/>
  <c r="E58" i="37"/>
  <c r="D58" i="37"/>
  <c r="C58" i="37"/>
  <c r="B58" i="37"/>
  <c r="R57" i="37"/>
  <c r="Q57" i="37"/>
  <c r="P57" i="37"/>
  <c r="O57" i="37"/>
  <c r="N57" i="37"/>
  <c r="M57" i="37"/>
  <c r="L57" i="37"/>
  <c r="K57" i="37"/>
  <c r="J57" i="37"/>
  <c r="I57" i="37"/>
  <c r="H57" i="37"/>
  <c r="G57" i="37"/>
  <c r="F57" i="37"/>
  <c r="E57" i="37"/>
  <c r="D57" i="37"/>
  <c r="C57" i="37"/>
  <c r="B57" i="37"/>
  <c r="R56" i="37"/>
  <c r="Q56" i="37"/>
  <c r="P56" i="37"/>
  <c r="O56" i="37"/>
  <c r="N56" i="37"/>
  <c r="M56" i="37"/>
  <c r="L56" i="37"/>
  <c r="K56" i="37"/>
  <c r="J56" i="37"/>
  <c r="I56" i="37"/>
  <c r="H56" i="37"/>
  <c r="G56" i="37"/>
  <c r="F56" i="37"/>
  <c r="E56" i="37"/>
  <c r="D56" i="37"/>
  <c r="C56" i="37"/>
  <c r="B56" i="37"/>
  <c r="R55" i="37"/>
  <c r="Q55" i="37"/>
  <c r="P55" i="37"/>
  <c r="O55" i="37"/>
  <c r="N55" i="37"/>
  <c r="M55" i="37"/>
  <c r="L55" i="37"/>
  <c r="K55" i="37"/>
  <c r="J55" i="37"/>
  <c r="I55" i="37"/>
  <c r="H55" i="37"/>
  <c r="G55" i="37"/>
  <c r="F55" i="37"/>
  <c r="E55" i="37"/>
  <c r="D55" i="37"/>
  <c r="C55" i="37"/>
  <c r="B55" i="37"/>
  <c r="R54" i="37"/>
  <c r="Q54" i="37"/>
  <c r="P54" i="37"/>
  <c r="O54" i="37"/>
  <c r="N54" i="37"/>
  <c r="M54" i="37"/>
  <c r="L54" i="37"/>
  <c r="K54" i="37"/>
  <c r="J54" i="37"/>
  <c r="I54" i="37"/>
  <c r="H54" i="37"/>
  <c r="G54" i="37"/>
  <c r="F54" i="37"/>
  <c r="E54" i="37"/>
  <c r="D54" i="37"/>
  <c r="C54" i="37"/>
  <c r="B54" i="37"/>
  <c r="R53" i="37"/>
  <c r="Q53" i="37"/>
  <c r="P53" i="37"/>
  <c r="O53" i="37"/>
  <c r="N53" i="37"/>
  <c r="M53" i="37"/>
  <c r="L53" i="37"/>
  <c r="K53" i="37"/>
  <c r="J53" i="37"/>
  <c r="I53" i="37"/>
  <c r="H53" i="37"/>
  <c r="G53" i="37"/>
  <c r="F53" i="37"/>
  <c r="E53" i="37"/>
  <c r="D53" i="37"/>
  <c r="C53" i="37"/>
  <c r="B53" i="37"/>
  <c r="R52" i="37"/>
  <c r="Q52" i="37"/>
  <c r="P52" i="37"/>
  <c r="O52" i="37"/>
  <c r="N52" i="37"/>
  <c r="M52" i="37"/>
  <c r="L52" i="37"/>
  <c r="K52" i="37"/>
  <c r="J52" i="37"/>
  <c r="I52" i="37"/>
  <c r="H52" i="37"/>
  <c r="G52" i="37"/>
  <c r="F52" i="37"/>
  <c r="E52" i="37"/>
  <c r="D52" i="37"/>
  <c r="C52" i="37"/>
  <c r="B52" i="37"/>
  <c r="R51" i="37"/>
  <c r="Q51" i="37"/>
  <c r="P51" i="37"/>
  <c r="O51" i="37"/>
  <c r="N51" i="37"/>
  <c r="M51" i="37"/>
  <c r="L51" i="37"/>
  <c r="K51" i="37"/>
  <c r="J51" i="37"/>
  <c r="I51" i="37"/>
  <c r="H51" i="37"/>
  <c r="G51" i="37"/>
  <c r="F51" i="37"/>
  <c r="E51" i="37"/>
  <c r="D51" i="37"/>
  <c r="C51" i="37"/>
  <c r="B51" i="37"/>
  <c r="R50" i="37"/>
  <c r="Q50" i="37"/>
  <c r="P50" i="37"/>
  <c r="O50" i="37"/>
  <c r="N50" i="37"/>
  <c r="M50" i="37"/>
  <c r="L50" i="37"/>
  <c r="K50" i="37"/>
  <c r="J50" i="37"/>
  <c r="I50" i="37"/>
  <c r="H50" i="37"/>
  <c r="G50" i="37"/>
  <c r="F50" i="37"/>
  <c r="E50" i="37"/>
  <c r="D50" i="37"/>
  <c r="C50" i="37"/>
  <c r="B50" i="37"/>
  <c r="R49" i="37"/>
  <c r="Q49" i="37"/>
  <c r="P49" i="37"/>
  <c r="O49" i="37"/>
  <c r="N49" i="37"/>
  <c r="M49" i="37"/>
  <c r="L49" i="37"/>
  <c r="K49" i="37"/>
  <c r="J49" i="37"/>
  <c r="I49" i="37"/>
  <c r="H49" i="37"/>
  <c r="G49" i="37"/>
  <c r="F49" i="37"/>
  <c r="E49" i="37"/>
  <c r="D49" i="37"/>
  <c r="C49" i="37"/>
  <c r="B49" i="37"/>
  <c r="R48" i="37"/>
  <c r="Q48" i="37"/>
  <c r="P48" i="37"/>
  <c r="O48" i="37"/>
  <c r="N48" i="37"/>
  <c r="M48" i="37"/>
  <c r="L48" i="37"/>
  <c r="K48" i="37"/>
  <c r="J48" i="37"/>
  <c r="I48" i="37"/>
  <c r="H48" i="37"/>
  <c r="G48" i="37"/>
  <c r="F48" i="37"/>
  <c r="E48" i="37"/>
  <c r="D48" i="37"/>
  <c r="C48" i="37"/>
  <c r="B48" i="37"/>
  <c r="R47" i="37"/>
  <c r="Q47" i="37"/>
  <c r="P47" i="37"/>
  <c r="O47" i="37"/>
  <c r="N47" i="37"/>
  <c r="M47" i="37"/>
  <c r="L47" i="37"/>
  <c r="K47" i="37"/>
  <c r="J47" i="37"/>
  <c r="I47" i="37"/>
  <c r="H47" i="37"/>
  <c r="G47" i="37"/>
  <c r="F47" i="37"/>
  <c r="E47" i="37"/>
  <c r="D47" i="37"/>
  <c r="C47" i="37"/>
  <c r="B47" i="37"/>
  <c r="R46" i="37"/>
  <c r="Q46" i="37"/>
  <c r="P46" i="37"/>
  <c r="O46" i="37"/>
  <c r="N46" i="37"/>
  <c r="M46" i="37"/>
  <c r="L46" i="37"/>
  <c r="K46" i="37"/>
  <c r="J46" i="37"/>
  <c r="I46" i="37"/>
  <c r="H46" i="37"/>
  <c r="G46" i="37"/>
  <c r="F46" i="37"/>
  <c r="E46" i="37"/>
  <c r="D46" i="37"/>
  <c r="C46" i="37"/>
  <c r="B46" i="37"/>
  <c r="R45" i="37"/>
  <c r="Q45" i="37"/>
  <c r="P45" i="37"/>
  <c r="O45" i="37"/>
  <c r="N45" i="37"/>
  <c r="M45" i="37"/>
  <c r="L45" i="37"/>
  <c r="K45" i="37"/>
  <c r="J45" i="37"/>
  <c r="I45" i="37"/>
  <c r="H45" i="37"/>
  <c r="G45" i="37"/>
  <c r="F45" i="37"/>
  <c r="E45" i="37"/>
  <c r="D45" i="37"/>
  <c r="C45" i="37"/>
  <c r="B45" i="37"/>
  <c r="R44" i="37"/>
  <c r="Q44" i="37"/>
  <c r="P44" i="37"/>
  <c r="O44" i="37"/>
  <c r="N44" i="37"/>
  <c r="M44" i="37"/>
  <c r="L44" i="37"/>
  <c r="K44" i="37"/>
  <c r="J44" i="37"/>
  <c r="I44" i="37"/>
  <c r="H44" i="37"/>
  <c r="G44" i="37"/>
  <c r="F44" i="37"/>
  <c r="E44" i="37"/>
  <c r="D44" i="37"/>
  <c r="C44" i="37"/>
  <c r="B44" i="37"/>
  <c r="R43" i="37"/>
  <c r="Q43" i="37"/>
  <c r="P43" i="37"/>
  <c r="O43" i="37"/>
  <c r="N43" i="37"/>
  <c r="M43" i="37"/>
  <c r="L43" i="37"/>
  <c r="K43" i="37"/>
  <c r="J43" i="37"/>
  <c r="I43" i="37"/>
  <c r="H43" i="37"/>
  <c r="G43" i="37"/>
  <c r="F43" i="37"/>
  <c r="E43" i="37"/>
  <c r="D43" i="37"/>
  <c r="C43" i="37"/>
  <c r="B43" i="37"/>
  <c r="R42" i="37"/>
  <c r="Q42" i="37"/>
  <c r="P42" i="37"/>
  <c r="O42" i="37"/>
  <c r="N42" i="37"/>
  <c r="M42" i="37"/>
  <c r="L42" i="37"/>
  <c r="K42" i="37"/>
  <c r="J42" i="37"/>
  <c r="I42" i="37"/>
  <c r="H42" i="37"/>
  <c r="G42" i="37"/>
  <c r="F42" i="37"/>
  <c r="E42" i="37"/>
  <c r="D42" i="37"/>
  <c r="C42" i="37"/>
  <c r="B42" i="37"/>
  <c r="R41" i="37"/>
  <c r="Q41" i="37"/>
  <c r="P41" i="37"/>
  <c r="O41" i="37"/>
  <c r="N41" i="37"/>
  <c r="M41" i="37"/>
  <c r="L41" i="37"/>
  <c r="K41" i="37"/>
  <c r="J41" i="37"/>
  <c r="I41" i="37"/>
  <c r="H41" i="37"/>
  <c r="G41" i="37"/>
  <c r="F41" i="37"/>
  <c r="E41" i="37"/>
  <c r="D41" i="37"/>
  <c r="C41" i="37"/>
  <c r="B41" i="37"/>
  <c r="R40" i="37"/>
  <c r="Q40" i="37"/>
  <c r="P40" i="37"/>
  <c r="O40" i="37"/>
  <c r="N40" i="37"/>
  <c r="M40" i="37"/>
  <c r="L40" i="37"/>
  <c r="K40" i="37"/>
  <c r="J40" i="37"/>
  <c r="I40" i="37"/>
  <c r="H40" i="37"/>
  <c r="G40" i="37"/>
  <c r="F40" i="37"/>
  <c r="E40" i="37"/>
  <c r="D40" i="37"/>
  <c r="C40" i="37"/>
  <c r="B40" i="37"/>
  <c r="R39" i="37"/>
  <c r="Q39" i="37"/>
  <c r="P39" i="37"/>
  <c r="O39" i="37"/>
  <c r="N39" i="37"/>
  <c r="M39" i="37"/>
  <c r="L39" i="37"/>
  <c r="K39" i="37"/>
  <c r="J39" i="37"/>
  <c r="I39" i="37"/>
  <c r="H39" i="37"/>
  <c r="G39" i="37"/>
  <c r="F39" i="37"/>
  <c r="E39" i="37"/>
  <c r="D39" i="37"/>
  <c r="C39" i="37"/>
  <c r="B39" i="37"/>
  <c r="R38" i="37"/>
  <c r="Q38" i="37"/>
  <c r="P38" i="37"/>
  <c r="O38" i="37"/>
  <c r="N38" i="37"/>
  <c r="M38" i="37"/>
  <c r="L38" i="37"/>
  <c r="K38" i="37"/>
  <c r="J38" i="37"/>
  <c r="I38" i="37"/>
  <c r="H38" i="37"/>
  <c r="G38" i="37"/>
  <c r="F38" i="37"/>
  <c r="E38" i="37"/>
  <c r="D38" i="37"/>
  <c r="C38" i="37"/>
  <c r="B38" i="37"/>
  <c r="R37" i="37"/>
  <c r="Q37" i="37"/>
  <c r="P37" i="37"/>
  <c r="O37" i="37"/>
  <c r="N37" i="37"/>
  <c r="M37" i="37"/>
  <c r="L37" i="37"/>
  <c r="K37" i="37"/>
  <c r="J37" i="37"/>
  <c r="I37" i="37"/>
  <c r="H37" i="37"/>
  <c r="G37" i="37"/>
  <c r="F37" i="37"/>
  <c r="E37" i="37"/>
  <c r="D37" i="37"/>
  <c r="C37" i="37"/>
  <c r="B37" i="37"/>
  <c r="R36" i="37"/>
  <c r="Q36" i="37"/>
  <c r="P36" i="37"/>
  <c r="O36" i="37"/>
  <c r="N36" i="37"/>
  <c r="M36" i="37"/>
  <c r="L36" i="37"/>
  <c r="K36" i="37"/>
  <c r="J36" i="37"/>
  <c r="I36" i="37"/>
  <c r="H36" i="37"/>
  <c r="G36" i="37"/>
  <c r="F36" i="37"/>
  <c r="E36" i="37"/>
  <c r="D36" i="37"/>
  <c r="C36" i="37"/>
  <c r="B36" i="37"/>
  <c r="R35" i="37"/>
  <c r="Q35" i="37"/>
  <c r="P35" i="37"/>
  <c r="O35" i="37"/>
  <c r="N35" i="37"/>
  <c r="M35" i="37"/>
  <c r="L35" i="37"/>
  <c r="K35" i="37"/>
  <c r="J35" i="37"/>
  <c r="I35" i="37"/>
  <c r="H35" i="37"/>
  <c r="G35" i="37"/>
  <c r="F35" i="37"/>
  <c r="E35" i="37"/>
  <c r="D35" i="37"/>
  <c r="C35" i="37"/>
  <c r="B35" i="37"/>
  <c r="R34" i="37"/>
  <c r="Q34" i="37"/>
  <c r="P34" i="37"/>
  <c r="O34" i="37"/>
  <c r="N34" i="37"/>
  <c r="M34" i="37"/>
  <c r="L34" i="37"/>
  <c r="K34" i="37"/>
  <c r="J34" i="37"/>
  <c r="I34" i="37"/>
  <c r="H34" i="37"/>
  <c r="G34" i="37"/>
  <c r="F34" i="37"/>
  <c r="E34" i="37"/>
  <c r="D34" i="37"/>
  <c r="C34" i="37"/>
  <c r="B34" i="37"/>
  <c r="R33" i="37"/>
  <c r="Q33" i="37"/>
  <c r="P33" i="37"/>
  <c r="O33" i="37"/>
  <c r="N33" i="37"/>
  <c r="M33" i="37"/>
  <c r="L33" i="37"/>
  <c r="K33" i="37"/>
  <c r="J33" i="37"/>
  <c r="I33" i="37"/>
  <c r="H33" i="37"/>
  <c r="G33" i="37"/>
  <c r="F33" i="37"/>
  <c r="E33" i="37"/>
  <c r="D33" i="37"/>
  <c r="C33" i="37"/>
  <c r="B33" i="37"/>
  <c r="R32" i="37"/>
  <c r="Q32" i="37"/>
  <c r="P32" i="37"/>
  <c r="O32" i="37"/>
  <c r="N32" i="37"/>
  <c r="M32" i="37"/>
  <c r="L32" i="37"/>
  <c r="K32" i="37"/>
  <c r="J32" i="37"/>
  <c r="I32" i="37"/>
  <c r="H32" i="37"/>
  <c r="G32" i="37"/>
  <c r="F32" i="37"/>
  <c r="E32" i="37"/>
  <c r="D32" i="37"/>
  <c r="C32" i="37"/>
  <c r="B32" i="37"/>
  <c r="R31" i="37"/>
  <c r="Q31" i="37"/>
  <c r="P31" i="37"/>
  <c r="O31" i="37"/>
  <c r="N31" i="37"/>
  <c r="M31" i="37"/>
  <c r="L31" i="37"/>
  <c r="K31" i="37"/>
  <c r="J31" i="37"/>
  <c r="I31" i="37"/>
  <c r="H31" i="37"/>
  <c r="G31" i="37"/>
  <c r="F31" i="37"/>
  <c r="E31" i="37"/>
  <c r="D31" i="37"/>
  <c r="C31" i="37"/>
  <c r="B31" i="37"/>
  <c r="R30" i="37"/>
  <c r="Q30" i="37"/>
  <c r="P30" i="37"/>
  <c r="O30" i="37"/>
  <c r="N30" i="37"/>
  <c r="M30" i="37"/>
  <c r="L30" i="37"/>
  <c r="K30" i="37"/>
  <c r="J30" i="37"/>
  <c r="I30" i="37"/>
  <c r="H30" i="37"/>
  <c r="G30" i="37"/>
  <c r="F30" i="37"/>
  <c r="E30" i="37"/>
  <c r="D30" i="37"/>
  <c r="C30" i="37"/>
  <c r="B30" i="37"/>
  <c r="R29" i="37"/>
  <c r="Q29" i="37"/>
  <c r="P29" i="37"/>
  <c r="O29" i="37"/>
  <c r="N29" i="37"/>
  <c r="M29" i="37"/>
  <c r="L29" i="37"/>
  <c r="K29" i="37"/>
  <c r="J29" i="37"/>
  <c r="I29" i="37"/>
  <c r="H29" i="37"/>
  <c r="G29" i="37"/>
  <c r="F29" i="37"/>
  <c r="E29" i="37"/>
  <c r="D29" i="37"/>
  <c r="C29" i="37"/>
  <c r="B29" i="37"/>
  <c r="R28" i="37"/>
  <c r="Q28" i="37"/>
  <c r="P28" i="37"/>
  <c r="O28" i="37"/>
  <c r="N28" i="37"/>
  <c r="M28" i="37"/>
  <c r="L28" i="37"/>
  <c r="K28" i="37"/>
  <c r="J28" i="37"/>
  <c r="I28" i="37"/>
  <c r="H28" i="37"/>
  <c r="G28" i="37"/>
  <c r="F28" i="37"/>
  <c r="E28" i="37"/>
  <c r="D28" i="37"/>
  <c r="C28" i="37"/>
  <c r="B28" i="37"/>
  <c r="R27" i="37"/>
  <c r="Q27" i="37"/>
  <c r="P27" i="37"/>
  <c r="O27" i="37"/>
  <c r="N27" i="37"/>
  <c r="M27" i="37"/>
  <c r="L27" i="37"/>
  <c r="K27" i="37"/>
  <c r="J27" i="37"/>
  <c r="I27" i="37"/>
  <c r="H27" i="37"/>
  <c r="G27" i="37"/>
  <c r="F27" i="37"/>
  <c r="E27" i="37"/>
  <c r="D27" i="37"/>
  <c r="C27" i="37"/>
  <c r="B27" i="37"/>
  <c r="R26" i="37"/>
  <c r="Q26" i="37"/>
  <c r="P26" i="37"/>
  <c r="O26" i="37"/>
  <c r="N26" i="37"/>
  <c r="M26" i="37"/>
  <c r="L26" i="37"/>
  <c r="K26" i="37"/>
  <c r="J26" i="37"/>
  <c r="I26" i="37"/>
  <c r="H26" i="37"/>
  <c r="G26" i="37"/>
  <c r="F26" i="37"/>
  <c r="E26" i="37"/>
  <c r="D26" i="37"/>
  <c r="C26" i="37"/>
  <c r="B26" i="37"/>
  <c r="R25" i="37"/>
  <c r="Q25" i="37"/>
  <c r="P25" i="37"/>
  <c r="O25" i="37"/>
  <c r="N25" i="37"/>
  <c r="M25" i="37"/>
  <c r="L25" i="37"/>
  <c r="K25" i="37"/>
  <c r="J25" i="37"/>
  <c r="I25" i="37"/>
  <c r="H25" i="37"/>
  <c r="G25" i="37"/>
  <c r="F25" i="37"/>
  <c r="E25" i="37"/>
  <c r="D25" i="37"/>
  <c r="C25" i="37"/>
  <c r="B25" i="37"/>
  <c r="R24" i="37"/>
  <c r="Q24" i="37"/>
  <c r="P24" i="37"/>
  <c r="O24" i="37"/>
  <c r="N24" i="37"/>
  <c r="M24" i="37"/>
  <c r="L24" i="37"/>
  <c r="K24" i="37"/>
  <c r="J24" i="37"/>
  <c r="I24" i="37"/>
  <c r="H24" i="37"/>
  <c r="G24" i="37"/>
  <c r="F24" i="37"/>
  <c r="E24" i="37"/>
  <c r="D24" i="37"/>
  <c r="C24" i="37"/>
  <c r="B24" i="37"/>
  <c r="R23" i="37"/>
  <c r="Q23" i="37"/>
  <c r="P23" i="37"/>
  <c r="O23" i="37"/>
  <c r="N23" i="37"/>
  <c r="M23" i="37"/>
  <c r="L23" i="37"/>
  <c r="K23" i="37"/>
  <c r="J23" i="37"/>
  <c r="I23" i="37"/>
  <c r="H23" i="37"/>
  <c r="G23" i="37"/>
  <c r="F23" i="37"/>
  <c r="E23" i="37"/>
  <c r="D23" i="37"/>
  <c r="C23" i="37"/>
  <c r="B23" i="37"/>
  <c r="R22" i="37"/>
  <c r="Q22" i="37"/>
  <c r="P22" i="37"/>
  <c r="O22" i="37"/>
  <c r="N22" i="37"/>
  <c r="M22" i="37"/>
  <c r="L22" i="37"/>
  <c r="K22" i="37"/>
  <c r="J22" i="37"/>
  <c r="I22" i="37"/>
  <c r="H22" i="37"/>
  <c r="G22" i="37"/>
  <c r="F22" i="37"/>
  <c r="E22" i="37"/>
  <c r="D22" i="37"/>
  <c r="C22" i="37"/>
  <c r="B22" i="37"/>
  <c r="R21" i="37"/>
  <c r="Q21" i="37"/>
  <c r="P21" i="37"/>
  <c r="O21" i="37"/>
  <c r="N21" i="37"/>
  <c r="M21" i="37"/>
  <c r="L21" i="37"/>
  <c r="K21" i="37"/>
  <c r="J21" i="37"/>
  <c r="I21" i="37"/>
  <c r="H21" i="37"/>
  <c r="G21" i="37"/>
  <c r="F21" i="37"/>
  <c r="E21" i="37"/>
  <c r="D21" i="37"/>
  <c r="C21" i="37"/>
  <c r="B21" i="37"/>
  <c r="R20" i="37"/>
  <c r="Q20" i="37"/>
  <c r="P20" i="37"/>
  <c r="O20" i="37"/>
  <c r="N20" i="37"/>
  <c r="M20" i="37"/>
  <c r="L20" i="37"/>
  <c r="K20" i="37"/>
  <c r="J20" i="37"/>
  <c r="I20" i="37"/>
  <c r="H20" i="37"/>
  <c r="G20" i="37"/>
  <c r="F20" i="37"/>
  <c r="E20" i="37"/>
  <c r="D20" i="37"/>
  <c r="C20" i="37"/>
  <c r="B20" i="37"/>
  <c r="R19" i="37"/>
  <c r="Q19" i="37"/>
  <c r="P19" i="37"/>
  <c r="O19" i="37"/>
  <c r="N19" i="37"/>
  <c r="M19" i="37"/>
  <c r="L19" i="37"/>
  <c r="K19" i="37"/>
  <c r="J19" i="37"/>
  <c r="I19" i="37"/>
  <c r="H19" i="37"/>
  <c r="G19" i="37"/>
  <c r="F19" i="37"/>
  <c r="E19" i="37"/>
  <c r="D19" i="37"/>
  <c r="C19" i="37"/>
  <c r="B19" i="37"/>
  <c r="R18" i="37"/>
  <c r="Q18" i="37"/>
  <c r="P18" i="37"/>
  <c r="O18" i="37"/>
  <c r="N18" i="37"/>
  <c r="M18" i="37"/>
  <c r="L18" i="37"/>
  <c r="K18" i="37"/>
  <c r="J18" i="37"/>
  <c r="I18" i="37"/>
  <c r="H18" i="37"/>
  <c r="G18" i="37"/>
  <c r="F18" i="37"/>
  <c r="E18" i="37"/>
  <c r="D18" i="37"/>
  <c r="C18" i="37"/>
  <c r="B18" i="37"/>
  <c r="R17" i="37"/>
  <c r="Q17" i="37"/>
  <c r="P17" i="37"/>
  <c r="O17" i="37"/>
  <c r="N17" i="37"/>
  <c r="M17" i="37"/>
  <c r="L17" i="37"/>
  <c r="K17" i="37"/>
  <c r="J17" i="37"/>
  <c r="I17" i="37"/>
  <c r="H17" i="37"/>
  <c r="G17" i="37"/>
  <c r="F17" i="37"/>
  <c r="E17" i="37"/>
  <c r="D17" i="37"/>
  <c r="C17" i="37"/>
  <c r="B17" i="37"/>
  <c r="R16" i="37"/>
  <c r="Q16" i="37"/>
  <c r="P16" i="37"/>
  <c r="O16" i="37"/>
  <c r="N16" i="37"/>
  <c r="M16" i="37"/>
  <c r="L16" i="37"/>
  <c r="K16" i="37"/>
  <c r="J16" i="37"/>
  <c r="I16" i="37"/>
  <c r="H16" i="37"/>
  <c r="G16" i="37"/>
  <c r="F16" i="37"/>
  <c r="E16" i="37"/>
  <c r="D16" i="37"/>
  <c r="C16" i="37"/>
  <c r="B16" i="37"/>
  <c r="R15" i="37"/>
  <c r="Q15" i="37"/>
  <c r="P15" i="37"/>
  <c r="O15" i="37"/>
  <c r="N15" i="37"/>
  <c r="M15" i="37"/>
  <c r="L15" i="37"/>
  <c r="K15" i="37"/>
  <c r="J15" i="37"/>
  <c r="I15" i="37"/>
  <c r="H15" i="37"/>
  <c r="G15" i="37"/>
  <c r="F15" i="37"/>
  <c r="E15" i="37"/>
  <c r="D15" i="37"/>
  <c r="C15" i="37"/>
  <c r="B15" i="37"/>
  <c r="R14" i="37"/>
  <c r="Q14" i="37"/>
  <c r="P14" i="37"/>
  <c r="O14" i="37"/>
  <c r="N14" i="37"/>
  <c r="M14" i="37"/>
  <c r="L14" i="37"/>
  <c r="K14" i="37"/>
  <c r="J14" i="37"/>
  <c r="I14" i="37"/>
  <c r="H14" i="37"/>
  <c r="G14" i="37"/>
  <c r="F14" i="37"/>
  <c r="E14" i="37"/>
  <c r="D14" i="37"/>
  <c r="C14" i="37"/>
  <c r="B14" i="37"/>
  <c r="R13" i="37"/>
  <c r="Q13" i="37"/>
  <c r="P13" i="37"/>
  <c r="O13" i="37"/>
  <c r="N13" i="37"/>
  <c r="M13" i="37"/>
  <c r="L13" i="37"/>
  <c r="K13" i="37"/>
  <c r="J13" i="37"/>
  <c r="I13" i="37"/>
  <c r="H13" i="37"/>
  <c r="G13" i="37"/>
  <c r="F13" i="37"/>
  <c r="E13" i="37"/>
  <c r="D13" i="37"/>
  <c r="C13" i="37"/>
  <c r="B13" i="37"/>
  <c r="R12" i="37"/>
  <c r="Q12" i="37"/>
  <c r="P12" i="37"/>
  <c r="O12" i="37"/>
  <c r="N12" i="37"/>
  <c r="M12" i="37"/>
  <c r="L12" i="37"/>
  <c r="K12" i="37"/>
  <c r="J12" i="37"/>
  <c r="I12" i="37"/>
  <c r="H12" i="37"/>
  <c r="G12" i="37"/>
  <c r="F12" i="37"/>
  <c r="E12" i="37"/>
  <c r="D12" i="37"/>
  <c r="C12" i="37"/>
  <c r="B12" i="37"/>
  <c r="R11" i="37"/>
  <c r="Q11" i="37"/>
  <c r="P11" i="37"/>
  <c r="O11" i="37"/>
  <c r="N11" i="37"/>
  <c r="M11" i="37"/>
  <c r="L11" i="37"/>
  <c r="K11" i="37"/>
  <c r="J11" i="37"/>
  <c r="I11" i="37"/>
  <c r="H11" i="37"/>
  <c r="G11" i="37"/>
  <c r="F11" i="37"/>
  <c r="E11" i="37"/>
  <c r="D11" i="37"/>
  <c r="C11" i="37"/>
  <c r="B11" i="37"/>
  <c r="R10" i="37"/>
  <c r="Q10" i="37"/>
  <c r="P10" i="37"/>
  <c r="O10" i="37"/>
  <c r="N10" i="37"/>
  <c r="M10" i="37"/>
  <c r="L10" i="37"/>
  <c r="K10" i="37"/>
  <c r="J10" i="37"/>
  <c r="I10" i="37"/>
  <c r="H10" i="37"/>
  <c r="G10" i="37"/>
  <c r="F10" i="37"/>
  <c r="E10" i="37"/>
  <c r="D10" i="37"/>
  <c r="C10" i="37"/>
  <c r="B10" i="37"/>
  <c r="R9" i="37"/>
  <c r="Q9" i="37"/>
  <c r="P9" i="37"/>
  <c r="O9" i="37"/>
  <c r="N9" i="37"/>
  <c r="M9" i="37"/>
  <c r="L9" i="37"/>
  <c r="K9" i="37"/>
  <c r="J9" i="37"/>
  <c r="I9" i="37"/>
  <c r="H9" i="37"/>
  <c r="G9" i="37"/>
  <c r="F9" i="37"/>
  <c r="E9" i="37"/>
  <c r="D9" i="37"/>
  <c r="C9" i="37"/>
  <c r="B9" i="37"/>
  <c r="R8" i="37"/>
  <c r="Q8" i="37"/>
  <c r="P8" i="37"/>
  <c r="O8" i="37"/>
  <c r="N8" i="37"/>
  <c r="M8" i="37"/>
  <c r="L8" i="37"/>
  <c r="K8" i="37"/>
  <c r="J8" i="37"/>
  <c r="I8" i="37"/>
  <c r="H8" i="37"/>
  <c r="G8" i="37"/>
  <c r="F8" i="37"/>
  <c r="E8" i="37"/>
  <c r="D8" i="37"/>
  <c r="C8" i="37"/>
  <c r="B8" i="37"/>
  <c r="R7" i="37"/>
  <c r="Q7" i="37"/>
  <c r="P7" i="37"/>
  <c r="O7" i="37"/>
  <c r="N7" i="37"/>
  <c r="M7" i="37"/>
  <c r="L7" i="37"/>
  <c r="K7" i="37"/>
  <c r="J7" i="37"/>
  <c r="I7" i="37"/>
  <c r="H7" i="37"/>
  <c r="G7" i="37"/>
  <c r="F7" i="37"/>
  <c r="E7" i="37"/>
  <c r="D7" i="37"/>
  <c r="C7" i="37"/>
  <c r="B7" i="37"/>
  <c r="R6" i="37"/>
  <c r="Q6" i="37"/>
  <c r="P6" i="37"/>
  <c r="O6" i="37"/>
  <c r="N6" i="37"/>
  <c r="M6" i="37"/>
  <c r="L6" i="37"/>
  <c r="K6" i="37"/>
  <c r="J6" i="37"/>
  <c r="I6" i="37"/>
  <c r="H6" i="37"/>
  <c r="G6" i="37"/>
  <c r="F6" i="37"/>
  <c r="E6" i="37"/>
  <c r="D6" i="37"/>
  <c r="C6" i="37"/>
  <c r="B6" i="37"/>
  <c r="R5" i="37"/>
  <c r="Q5" i="37"/>
  <c r="P5" i="37"/>
  <c r="O5" i="37"/>
  <c r="N5" i="37"/>
  <c r="M5" i="37"/>
  <c r="L5" i="37"/>
  <c r="K5" i="37"/>
  <c r="J5" i="37"/>
  <c r="I5" i="37"/>
  <c r="H5" i="37"/>
  <c r="G5" i="37"/>
  <c r="F5" i="37"/>
  <c r="E5" i="37"/>
  <c r="D5" i="37"/>
  <c r="C5" i="37"/>
  <c r="B5" i="37"/>
  <c r="R4" i="37"/>
  <c r="Q4" i="37"/>
  <c r="P4" i="37"/>
  <c r="O4" i="37"/>
  <c r="N4" i="37"/>
  <c r="M4" i="37"/>
  <c r="L4" i="37"/>
  <c r="K4" i="37"/>
  <c r="J4" i="37"/>
  <c r="I4" i="37"/>
  <c r="H4" i="37"/>
  <c r="G4" i="37"/>
  <c r="F4" i="37"/>
  <c r="E4" i="37"/>
  <c r="D4" i="37"/>
  <c r="C4" i="37"/>
  <c r="B4" i="37"/>
  <c r="R3" i="37"/>
  <c r="Q3" i="37"/>
  <c r="P3" i="37"/>
  <c r="O3" i="37"/>
  <c r="N3" i="37"/>
  <c r="M3" i="37"/>
  <c r="L3" i="37"/>
  <c r="K3" i="37"/>
  <c r="J3" i="37"/>
  <c r="I3" i="37"/>
  <c r="H3" i="37"/>
  <c r="G3" i="37"/>
  <c r="F3" i="37"/>
  <c r="E3" i="37"/>
  <c r="D3" i="37"/>
  <c r="C3" i="37"/>
  <c r="B3" i="37"/>
  <c r="R2" i="37"/>
  <c r="Q2" i="37"/>
  <c r="P2" i="37"/>
  <c r="O2" i="37"/>
  <c r="N2" i="37"/>
  <c r="M2" i="37"/>
  <c r="L2" i="37"/>
  <c r="K2" i="37"/>
  <c r="J2" i="37"/>
  <c r="I2" i="37"/>
  <c r="H2" i="37"/>
  <c r="G2" i="37"/>
  <c r="F2" i="37"/>
  <c r="E2" i="37"/>
  <c r="D2" i="37"/>
  <c r="C2" i="37"/>
  <c r="B2" i="37"/>
  <c r="R1743" i="36"/>
  <c r="Q1743" i="36"/>
  <c r="P1743" i="36"/>
  <c r="O1743" i="36"/>
  <c r="N1743" i="36"/>
  <c r="M1743" i="36"/>
  <c r="L1743" i="36"/>
  <c r="K1743" i="36"/>
  <c r="J1743" i="36"/>
  <c r="I1743" i="36"/>
  <c r="H1743" i="36"/>
  <c r="G1743" i="36"/>
  <c r="F1743" i="36"/>
  <c r="E1743" i="36"/>
  <c r="D1743" i="36"/>
  <c r="C1743" i="36"/>
  <c r="B1743" i="36"/>
  <c r="R1742" i="36"/>
  <c r="Q1742" i="36"/>
  <c r="P1742" i="36"/>
  <c r="O1742" i="36"/>
  <c r="N1742" i="36"/>
  <c r="M1742" i="36"/>
  <c r="L1742" i="36"/>
  <c r="K1742" i="36"/>
  <c r="J1742" i="36"/>
  <c r="I1742" i="36"/>
  <c r="H1742" i="36"/>
  <c r="G1742" i="36"/>
  <c r="F1742" i="36"/>
  <c r="E1742" i="36"/>
  <c r="D1742" i="36"/>
  <c r="C1742" i="36"/>
  <c r="B1742" i="36"/>
  <c r="R1741" i="36"/>
  <c r="Q1741" i="36"/>
  <c r="P1741" i="36"/>
  <c r="O1741" i="36"/>
  <c r="N1741" i="36"/>
  <c r="M1741" i="36"/>
  <c r="L1741" i="36"/>
  <c r="K1741" i="36"/>
  <c r="J1741" i="36"/>
  <c r="I1741" i="36"/>
  <c r="H1741" i="36"/>
  <c r="G1741" i="36"/>
  <c r="F1741" i="36"/>
  <c r="E1741" i="36"/>
  <c r="D1741" i="36"/>
  <c r="C1741" i="36"/>
  <c r="B1741" i="36"/>
  <c r="R1740" i="36"/>
  <c r="Q1740" i="36"/>
  <c r="P1740" i="36"/>
  <c r="O1740" i="36"/>
  <c r="N1740" i="36"/>
  <c r="M1740" i="36"/>
  <c r="L1740" i="36"/>
  <c r="K1740" i="36"/>
  <c r="J1740" i="36"/>
  <c r="I1740" i="36"/>
  <c r="H1740" i="36"/>
  <c r="G1740" i="36"/>
  <c r="F1740" i="36"/>
  <c r="E1740" i="36"/>
  <c r="D1740" i="36"/>
  <c r="C1740" i="36"/>
  <c r="B1740" i="36"/>
  <c r="R1739" i="36"/>
  <c r="Q1739" i="36"/>
  <c r="P1739" i="36"/>
  <c r="O1739" i="36"/>
  <c r="N1739" i="36"/>
  <c r="M1739" i="36"/>
  <c r="L1739" i="36"/>
  <c r="K1739" i="36"/>
  <c r="J1739" i="36"/>
  <c r="I1739" i="36"/>
  <c r="H1739" i="36"/>
  <c r="G1739" i="36"/>
  <c r="F1739" i="36"/>
  <c r="E1739" i="36"/>
  <c r="D1739" i="36"/>
  <c r="C1739" i="36"/>
  <c r="B1739" i="36"/>
  <c r="R1738" i="36"/>
  <c r="Q1738" i="36"/>
  <c r="P1738" i="36"/>
  <c r="O1738" i="36"/>
  <c r="N1738" i="36"/>
  <c r="M1738" i="36"/>
  <c r="L1738" i="36"/>
  <c r="K1738" i="36"/>
  <c r="J1738" i="36"/>
  <c r="I1738" i="36"/>
  <c r="H1738" i="36"/>
  <c r="G1738" i="36"/>
  <c r="F1738" i="36"/>
  <c r="E1738" i="36"/>
  <c r="D1738" i="36"/>
  <c r="C1738" i="36"/>
  <c r="B1738" i="36"/>
  <c r="R1737" i="36"/>
  <c r="Q1737" i="36"/>
  <c r="P1737" i="36"/>
  <c r="O1737" i="36"/>
  <c r="N1737" i="36"/>
  <c r="M1737" i="36"/>
  <c r="L1737" i="36"/>
  <c r="K1737" i="36"/>
  <c r="J1737" i="36"/>
  <c r="I1737" i="36"/>
  <c r="H1737" i="36"/>
  <c r="G1737" i="36"/>
  <c r="F1737" i="36"/>
  <c r="E1737" i="36"/>
  <c r="D1737" i="36"/>
  <c r="C1737" i="36"/>
  <c r="B1737" i="36"/>
  <c r="R1736" i="36"/>
  <c r="Q1736" i="36"/>
  <c r="P1736" i="36"/>
  <c r="O1736" i="36"/>
  <c r="N1736" i="36"/>
  <c r="M1736" i="36"/>
  <c r="L1736" i="36"/>
  <c r="K1736" i="36"/>
  <c r="J1736" i="36"/>
  <c r="I1736" i="36"/>
  <c r="H1736" i="36"/>
  <c r="G1736" i="36"/>
  <c r="F1736" i="36"/>
  <c r="E1736" i="36"/>
  <c r="D1736" i="36"/>
  <c r="C1736" i="36"/>
  <c r="B1736" i="36"/>
  <c r="R1735" i="36"/>
  <c r="Q1735" i="36"/>
  <c r="P1735" i="36"/>
  <c r="O1735" i="36"/>
  <c r="N1735" i="36"/>
  <c r="M1735" i="36"/>
  <c r="L1735" i="36"/>
  <c r="K1735" i="36"/>
  <c r="J1735" i="36"/>
  <c r="I1735" i="36"/>
  <c r="H1735" i="36"/>
  <c r="G1735" i="36"/>
  <c r="F1735" i="36"/>
  <c r="E1735" i="36"/>
  <c r="D1735" i="36"/>
  <c r="C1735" i="36"/>
  <c r="B1735" i="36"/>
  <c r="R1734" i="36"/>
  <c r="Q1734" i="36"/>
  <c r="P1734" i="36"/>
  <c r="O1734" i="36"/>
  <c r="N1734" i="36"/>
  <c r="M1734" i="36"/>
  <c r="L1734" i="36"/>
  <c r="K1734" i="36"/>
  <c r="J1734" i="36"/>
  <c r="I1734" i="36"/>
  <c r="H1734" i="36"/>
  <c r="G1734" i="36"/>
  <c r="F1734" i="36"/>
  <c r="E1734" i="36"/>
  <c r="D1734" i="36"/>
  <c r="C1734" i="36"/>
  <c r="B1734" i="36"/>
  <c r="R1733" i="36"/>
  <c r="Q1733" i="36"/>
  <c r="P1733" i="36"/>
  <c r="O1733" i="36"/>
  <c r="N1733" i="36"/>
  <c r="M1733" i="36"/>
  <c r="L1733" i="36"/>
  <c r="K1733" i="36"/>
  <c r="J1733" i="36"/>
  <c r="I1733" i="36"/>
  <c r="H1733" i="36"/>
  <c r="G1733" i="36"/>
  <c r="F1733" i="36"/>
  <c r="E1733" i="36"/>
  <c r="D1733" i="36"/>
  <c r="C1733" i="36"/>
  <c r="B1733" i="36"/>
  <c r="R1732" i="36"/>
  <c r="Q1732" i="36"/>
  <c r="P1732" i="36"/>
  <c r="O1732" i="36"/>
  <c r="N1732" i="36"/>
  <c r="M1732" i="36"/>
  <c r="L1732" i="36"/>
  <c r="K1732" i="36"/>
  <c r="J1732" i="36"/>
  <c r="I1732" i="36"/>
  <c r="H1732" i="36"/>
  <c r="G1732" i="36"/>
  <c r="F1732" i="36"/>
  <c r="E1732" i="36"/>
  <c r="D1732" i="36"/>
  <c r="C1732" i="36"/>
  <c r="B1732" i="36"/>
  <c r="R1731" i="36"/>
  <c r="Q1731" i="36"/>
  <c r="P1731" i="36"/>
  <c r="O1731" i="36"/>
  <c r="N1731" i="36"/>
  <c r="M1731" i="36"/>
  <c r="L1731" i="36"/>
  <c r="K1731" i="36"/>
  <c r="J1731" i="36"/>
  <c r="I1731" i="36"/>
  <c r="H1731" i="36"/>
  <c r="G1731" i="36"/>
  <c r="F1731" i="36"/>
  <c r="E1731" i="36"/>
  <c r="D1731" i="36"/>
  <c r="C1731" i="36"/>
  <c r="B1731" i="36"/>
  <c r="R1730" i="36"/>
  <c r="Q1730" i="36"/>
  <c r="P1730" i="36"/>
  <c r="O1730" i="36"/>
  <c r="N1730" i="36"/>
  <c r="M1730" i="36"/>
  <c r="L1730" i="36"/>
  <c r="K1730" i="36"/>
  <c r="J1730" i="36"/>
  <c r="I1730" i="36"/>
  <c r="H1730" i="36"/>
  <c r="G1730" i="36"/>
  <c r="F1730" i="36"/>
  <c r="E1730" i="36"/>
  <c r="D1730" i="36"/>
  <c r="C1730" i="36"/>
  <c r="B1730" i="36"/>
  <c r="R1729" i="36"/>
  <c r="Q1729" i="36"/>
  <c r="P1729" i="36"/>
  <c r="O1729" i="36"/>
  <c r="N1729" i="36"/>
  <c r="M1729" i="36"/>
  <c r="L1729" i="36"/>
  <c r="K1729" i="36"/>
  <c r="J1729" i="36"/>
  <c r="I1729" i="36"/>
  <c r="H1729" i="36"/>
  <c r="G1729" i="36"/>
  <c r="F1729" i="36"/>
  <c r="E1729" i="36"/>
  <c r="D1729" i="36"/>
  <c r="C1729" i="36"/>
  <c r="B1729" i="36"/>
  <c r="R1728" i="36"/>
  <c r="Q1728" i="36"/>
  <c r="P1728" i="36"/>
  <c r="O1728" i="36"/>
  <c r="N1728" i="36"/>
  <c r="M1728" i="36"/>
  <c r="L1728" i="36"/>
  <c r="K1728" i="36"/>
  <c r="J1728" i="36"/>
  <c r="I1728" i="36"/>
  <c r="H1728" i="36"/>
  <c r="G1728" i="36"/>
  <c r="F1728" i="36"/>
  <c r="E1728" i="36"/>
  <c r="D1728" i="36"/>
  <c r="C1728" i="36"/>
  <c r="B1728" i="36"/>
  <c r="R1727" i="36"/>
  <c r="Q1727" i="36"/>
  <c r="P1727" i="36"/>
  <c r="O1727" i="36"/>
  <c r="N1727" i="36"/>
  <c r="M1727" i="36"/>
  <c r="L1727" i="36"/>
  <c r="K1727" i="36"/>
  <c r="J1727" i="36"/>
  <c r="I1727" i="36"/>
  <c r="H1727" i="36"/>
  <c r="G1727" i="36"/>
  <c r="F1727" i="36"/>
  <c r="E1727" i="36"/>
  <c r="D1727" i="36"/>
  <c r="C1727" i="36"/>
  <c r="B1727" i="36"/>
  <c r="R1726" i="36"/>
  <c r="Q1726" i="36"/>
  <c r="P1726" i="36"/>
  <c r="O1726" i="36"/>
  <c r="N1726" i="36"/>
  <c r="M1726" i="36"/>
  <c r="L1726" i="36"/>
  <c r="K1726" i="36"/>
  <c r="J1726" i="36"/>
  <c r="I1726" i="36"/>
  <c r="H1726" i="36"/>
  <c r="G1726" i="36"/>
  <c r="F1726" i="36"/>
  <c r="E1726" i="36"/>
  <c r="D1726" i="36"/>
  <c r="C1726" i="36"/>
  <c r="B1726" i="36"/>
  <c r="R1725" i="36"/>
  <c r="Q1725" i="36"/>
  <c r="P1725" i="36"/>
  <c r="O1725" i="36"/>
  <c r="N1725" i="36"/>
  <c r="M1725" i="36"/>
  <c r="L1725" i="36"/>
  <c r="K1725" i="36"/>
  <c r="J1725" i="36"/>
  <c r="I1725" i="36"/>
  <c r="H1725" i="36"/>
  <c r="G1725" i="36"/>
  <c r="F1725" i="36"/>
  <c r="E1725" i="36"/>
  <c r="D1725" i="36"/>
  <c r="C1725" i="36"/>
  <c r="B1725" i="36"/>
  <c r="R1724" i="36"/>
  <c r="Q1724" i="36"/>
  <c r="P1724" i="36"/>
  <c r="O1724" i="36"/>
  <c r="N1724" i="36"/>
  <c r="M1724" i="36"/>
  <c r="L1724" i="36"/>
  <c r="K1724" i="36"/>
  <c r="J1724" i="36"/>
  <c r="I1724" i="36"/>
  <c r="H1724" i="36"/>
  <c r="G1724" i="36"/>
  <c r="F1724" i="36"/>
  <c r="E1724" i="36"/>
  <c r="D1724" i="36"/>
  <c r="C1724" i="36"/>
  <c r="B1724" i="36"/>
  <c r="R1723" i="36"/>
  <c r="Q1723" i="36"/>
  <c r="P1723" i="36"/>
  <c r="O1723" i="36"/>
  <c r="N1723" i="36"/>
  <c r="M1723" i="36"/>
  <c r="L1723" i="36"/>
  <c r="K1723" i="36"/>
  <c r="J1723" i="36"/>
  <c r="I1723" i="36"/>
  <c r="H1723" i="36"/>
  <c r="G1723" i="36"/>
  <c r="F1723" i="36"/>
  <c r="E1723" i="36"/>
  <c r="D1723" i="36"/>
  <c r="C1723" i="36"/>
  <c r="B1723" i="36"/>
  <c r="R1722" i="36"/>
  <c r="Q1722" i="36"/>
  <c r="P1722" i="36"/>
  <c r="O1722" i="36"/>
  <c r="N1722" i="36"/>
  <c r="M1722" i="36"/>
  <c r="L1722" i="36"/>
  <c r="K1722" i="36"/>
  <c r="J1722" i="36"/>
  <c r="I1722" i="36"/>
  <c r="H1722" i="36"/>
  <c r="G1722" i="36"/>
  <c r="F1722" i="36"/>
  <c r="E1722" i="36"/>
  <c r="D1722" i="36"/>
  <c r="C1722" i="36"/>
  <c r="B1722" i="36"/>
  <c r="R1721" i="36"/>
  <c r="Q1721" i="36"/>
  <c r="P1721" i="36"/>
  <c r="O1721" i="36"/>
  <c r="N1721" i="36"/>
  <c r="M1721" i="36"/>
  <c r="L1721" i="36"/>
  <c r="K1721" i="36"/>
  <c r="J1721" i="36"/>
  <c r="I1721" i="36"/>
  <c r="H1721" i="36"/>
  <c r="G1721" i="36"/>
  <c r="F1721" i="36"/>
  <c r="E1721" i="36"/>
  <c r="D1721" i="36"/>
  <c r="C1721" i="36"/>
  <c r="B1721" i="36"/>
  <c r="R1720" i="36"/>
  <c r="Q1720" i="36"/>
  <c r="P1720" i="36"/>
  <c r="O1720" i="36"/>
  <c r="N1720" i="36"/>
  <c r="M1720" i="36"/>
  <c r="L1720" i="36"/>
  <c r="K1720" i="36"/>
  <c r="J1720" i="36"/>
  <c r="I1720" i="36"/>
  <c r="H1720" i="36"/>
  <c r="G1720" i="36"/>
  <c r="F1720" i="36"/>
  <c r="E1720" i="36"/>
  <c r="D1720" i="36"/>
  <c r="C1720" i="36"/>
  <c r="B1720" i="36"/>
  <c r="R1719" i="36"/>
  <c r="Q1719" i="36"/>
  <c r="P1719" i="36"/>
  <c r="O1719" i="36"/>
  <c r="N1719" i="36"/>
  <c r="M1719" i="36"/>
  <c r="L1719" i="36"/>
  <c r="K1719" i="36"/>
  <c r="J1719" i="36"/>
  <c r="I1719" i="36"/>
  <c r="H1719" i="36"/>
  <c r="G1719" i="36"/>
  <c r="F1719" i="36"/>
  <c r="E1719" i="36"/>
  <c r="D1719" i="36"/>
  <c r="C1719" i="36"/>
  <c r="B1719" i="36"/>
  <c r="R1718" i="36"/>
  <c r="Q1718" i="36"/>
  <c r="P1718" i="36"/>
  <c r="O1718" i="36"/>
  <c r="N1718" i="36"/>
  <c r="M1718" i="36"/>
  <c r="L1718" i="36"/>
  <c r="K1718" i="36"/>
  <c r="J1718" i="36"/>
  <c r="I1718" i="36"/>
  <c r="H1718" i="36"/>
  <c r="G1718" i="36"/>
  <c r="F1718" i="36"/>
  <c r="E1718" i="36"/>
  <c r="D1718" i="36"/>
  <c r="C1718" i="36"/>
  <c r="B1718" i="36"/>
  <c r="R1717" i="36"/>
  <c r="Q1717" i="36"/>
  <c r="P1717" i="36"/>
  <c r="O1717" i="36"/>
  <c r="N1717" i="36"/>
  <c r="M1717" i="36"/>
  <c r="L1717" i="36"/>
  <c r="K1717" i="36"/>
  <c r="J1717" i="36"/>
  <c r="I1717" i="36"/>
  <c r="H1717" i="36"/>
  <c r="G1717" i="36"/>
  <c r="F1717" i="36"/>
  <c r="E1717" i="36"/>
  <c r="D1717" i="36"/>
  <c r="C1717" i="36"/>
  <c r="B1717" i="36"/>
  <c r="R1716" i="36"/>
  <c r="Q1716" i="36"/>
  <c r="P1716" i="36"/>
  <c r="O1716" i="36"/>
  <c r="N1716" i="36"/>
  <c r="M1716" i="36"/>
  <c r="L1716" i="36"/>
  <c r="K1716" i="36"/>
  <c r="J1716" i="36"/>
  <c r="I1716" i="36"/>
  <c r="H1716" i="36"/>
  <c r="G1716" i="36"/>
  <c r="F1716" i="36"/>
  <c r="E1716" i="36"/>
  <c r="D1716" i="36"/>
  <c r="C1716" i="36"/>
  <c r="B1716" i="36"/>
  <c r="R1715" i="36"/>
  <c r="Q1715" i="36"/>
  <c r="P1715" i="36"/>
  <c r="O1715" i="36"/>
  <c r="N1715" i="36"/>
  <c r="M1715" i="36"/>
  <c r="L1715" i="36"/>
  <c r="K1715" i="36"/>
  <c r="J1715" i="36"/>
  <c r="I1715" i="36"/>
  <c r="H1715" i="36"/>
  <c r="G1715" i="36"/>
  <c r="F1715" i="36"/>
  <c r="E1715" i="36"/>
  <c r="D1715" i="36"/>
  <c r="C1715" i="36"/>
  <c r="B1715" i="36"/>
  <c r="R1714" i="36"/>
  <c r="Q1714" i="36"/>
  <c r="P1714" i="36"/>
  <c r="O1714" i="36"/>
  <c r="N1714" i="36"/>
  <c r="M1714" i="36"/>
  <c r="L1714" i="36"/>
  <c r="K1714" i="36"/>
  <c r="J1714" i="36"/>
  <c r="I1714" i="36"/>
  <c r="H1714" i="36"/>
  <c r="G1714" i="36"/>
  <c r="F1714" i="36"/>
  <c r="E1714" i="36"/>
  <c r="D1714" i="36"/>
  <c r="C1714" i="36"/>
  <c r="B1714" i="36"/>
  <c r="R1713" i="36"/>
  <c r="Q1713" i="36"/>
  <c r="P1713" i="36"/>
  <c r="O1713" i="36"/>
  <c r="N1713" i="36"/>
  <c r="M1713" i="36"/>
  <c r="L1713" i="36"/>
  <c r="K1713" i="36"/>
  <c r="J1713" i="36"/>
  <c r="I1713" i="36"/>
  <c r="H1713" i="36"/>
  <c r="G1713" i="36"/>
  <c r="F1713" i="36"/>
  <c r="E1713" i="36"/>
  <c r="D1713" i="36"/>
  <c r="C1713" i="36"/>
  <c r="B1713" i="36"/>
  <c r="R1712" i="36"/>
  <c r="Q1712" i="36"/>
  <c r="P1712" i="36"/>
  <c r="O1712" i="36"/>
  <c r="N1712" i="36"/>
  <c r="M1712" i="36"/>
  <c r="L1712" i="36"/>
  <c r="K1712" i="36"/>
  <c r="J1712" i="36"/>
  <c r="I1712" i="36"/>
  <c r="H1712" i="36"/>
  <c r="G1712" i="36"/>
  <c r="F1712" i="36"/>
  <c r="E1712" i="36"/>
  <c r="D1712" i="36"/>
  <c r="C1712" i="36"/>
  <c r="B1712" i="36"/>
  <c r="R1711" i="36"/>
  <c r="Q1711" i="36"/>
  <c r="P1711" i="36"/>
  <c r="O1711" i="36"/>
  <c r="N1711" i="36"/>
  <c r="M1711" i="36"/>
  <c r="L1711" i="36"/>
  <c r="K1711" i="36"/>
  <c r="J1711" i="36"/>
  <c r="I1711" i="36"/>
  <c r="H1711" i="36"/>
  <c r="G1711" i="36"/>
  <c r="F1711" i="36"/>
  <c r="E1711" i="36"/>
  <c r="D1711" i="36"/>
  <c r="C1711" i="36"/>
  <c r="B1711" i="36"/>
  <c r="R1710" i="36"/>
  <c r="Q1710" i="36"/>
  <c r="P1710" i="36"/>
  <c r="O1710" i="36"/>
  <c r="N1710" i="36"/>
  <c r="M1710" i="36"/>
  <c r="L1710" i="36"/>
  <c r="K1710" i="36"/>
  <c r="J1710" i="36"/>
  <c r="I1710" i="36"/>
  <c r="H1710" i="36"/>
  <c r="G1710" i="36"/>
  <c r="F1710" i="36"/>
  <c r="E1710" i="36"/>
  <c r="D1710" i="36"/>
  <c r="C1710" i="36"/>
  <c r="B1710" i="36"/>
  <c r="R1709" i="36"/>
  <c r="Q1709" i="36"/>
  <c r="P1709" i="36"/>
  <c r="O1709" i="36"/>
  <c r="N1709" i="36"/>
  <c r="M1709" i="36"/>
  <c r="L1709" i="36"/>
  <c r="K1709" i="36"/>
  <c r="J1709" i="36"/>
  <c r="I1709" i="36"/>
  <c r="H1709" i="36"/>
  <c r="G1709" i="36"/>
  <c r="F1709" i="36"/>
  <c r="E1709" i="36"/>
  <c r="D1709" i="36"/>
  <c r="C1709" i="36"/>
  <c r="B1709" i="36"/>
  <c r="R1708" i="36"/>
  <c r="Q1708" i="36"/>
  <c r="P1708" i="36"/>
  <c r="O1708" i="36"/>
  <c r="N1708" i="36"/>
  <c r="M1708" i="36"/>
  <c r="L1708" i="36"/>
  <c r="K1708" i="36"/>
  <c r="J1708" i="36"/>
  <c r="I1708" i="36"/>
  <c r="H1708" i="36"/>
  <c r="G1708" i="36"/>
  <c r="F1708" i="36"/>
  <c r="E1708" i="36"/>
  <c r="D1708" i="36"/>
  <c r="C1708" i="36"/>
  <c r="B1708" i="36"/>
  <c r="R1707" i="36"/>
  <c r="Q1707" i="36"/>
  <c r="P1707" i="36"/>
  <c r="O1707" i="36"/>
  <c r="N1707" i="36"/>
  <c r="M1707" i="36"/>
  <c r="L1707" i="36"/>
  <c r="K1707" i="36"/>
  <c r="J1707" i="36"/>
  <c r="I1707" i="36"/>
  <c r="H1707" i="36"/>
  <c r="G1707" i="36"/>
  <c r="F1707" i="36"/>
  <c r="E1707" i="36"/>
  <c r="D1707" i="36"/>
  <c r="C1707" i="36"/>
  <c r="B1707" i="36"/>
  <c r="R1706" i="36"/>
  <c r="Q1706" i="36"/>
  <c r="P1706" i="36"/>
  <c r="O1706" i="36"/>
  <c r="N1706" i="36"/>
  <c r="M1706" i="36"/>
  <c r="L1706" i="36"/>
  <c r="K1706" i="36"/>
  <c r="J1706" i="36"/>
  <c r="I1706" i="36"/>
  <c r="H1706" i="36"/>
  <c r="G1706" i="36"/>
  <c r="F1706" i="36"/>
  <c r="E1706" i="36"/>
  <c r="D1706" i="36"/>
  <c r="C1706" i="36"/>
  <c r="B1706" i="36"/>
  <c r="R1705" i="36"/>
  <c r="Q1705" i="36"/>
  <c r="P1705" i="36"/>
  <c r="O1705" i="36"/>
  <c r="N1705" i="36"/>
  <c r="M1705" i="36"/>
  <c r="L1705" i="36"/>
  <c r="K1705" i="36"/>
  <c r="J1705" i="36"/>
  <c r="I1705" i="36"/>
  <c r="H1705" i="36"/>
  <c r="G1705" i="36"/>
  <c r="F1705" i="36"/>
  <c r="E1705" i="36"/>
  <c r="D1705" i="36"/>
  <c r="C1705" i="36"/>
  <c r="B1705" i="36"/>
  <c r="R1704" i="36"/>
  <c r="Q1704" i="36"/>
  <c r="P1704" i="36"/>
  <c r="O1704" i="36"/>
  <c r="N1704" i="36"/>
  <c r="M1704" i="36"/>
  <c r="L1704" i="36"/>
  <c r="K1704" i="36"/>
  <c r="J1704" i="36"/>
  <c r="I1704" i="36"/>
  <c r="H1704" i="36"/>
  <c r="G1704" i="36"/>
  <c r="F1704" i="36"/>
  <c r="E1704" i="36"/>
  <c r="D1704" i="36"/>
  <c r="C1704" i="36"/>
  <c r="B1704" i="36"/>
  <c r="R1703" i="36"/>
  <c r="Q1703" i="36"/>
  <c r="P1703" i="36"/>
  <c r="O1703" i="36"/>
  <c r="N1703" i="36"/>
  <c r="M1703" i="36"/>
  <c r="L1703" i="36"/>
  <c r="K1703" i="36"/>
  <c r="J1703" i="36"/>
  <c r="I1703" i="36"/>
  <c r="H1703" i="36"/>
  <c r="G1703" i="36"/>
  <c r="F1703" i="36"/>
  <c r="E1703" i="36"/>
  <c r="D1703" i="36"/>
  <c r="C1703" i="36"/>
  <c r="B1703" i="36"/>
  <c r="R1702" i="36"/>
  <c r="Q1702" i="36"/>
  <c r="P1702" i="36"/>
  <c r="O1702" i="36"/>
  <c r="N1702" i="36"/>
  <c r="M1702" i="36"/>
  <c r="L1702" i="36"/>
  <c r="K1702" i="36"/>
  <c r="J1702" i="36"/>
  <c r="I1702" i="36"/>
  <c r="H1702" i="36"/>
  <c r="G1702" i="36"/>
  <c r="F1702" i="36"/>
  <c r="E1702" i="36"/>
  <c r="D1702" i="36"/>
  <c r="C1702" i="36"/>
  <c r="B1702" i="36"/>
  <c r="R1701" i="36"/>
  <c r="Q1701" i="36"/>
  <c r="P1701" i="36"/>
  <c r="O1701" i="36"/>
  <c r="N1701" i="36"/>
  <c r="M1701" i="36"/>
  <c r="L1701" i="36"/>
  <c r="K1701" i="36"/>
  <c r="J1701" i="36"/>
  <c r="I1701" i="36"/>
  <c r="H1701" i="36"/>
  <c r="G1701" i="36"/>
  <c r="F1701" i="36"/>
  <c r="E1701" i="36"/>
  <c r="D1701" i="36"/>
  <c r="C1701" i="36"/>
  <c r="B1701" i="36"/>
  <c r="R1700" i="36"/>
  <c r="Q1700" i="36"/>
  <c r="P1700" i="36"/>
  <c r="O1700" i="36"/>
  <c r="N1700" i="36"/>
  <c r="M1700" i="36"/>
  <c r="L1700" i="36"/>
  <c r="K1700" i="36"/>
  <c r="J1700" i="36"/>
  <c r="I1700" i="36"/>
  <c r="H1700" i="36"/>
  <c r="G1700" i="36"/>
  <c r="F1700" i="36"/>
  <c r="E1700" i="36"/>
  <c r="D1700" i="36"/>
  <c r="C1700" i="36"/>
  <c r="B1700" i="36"/>
  <c r="R1699" i="36"/>
  <c r="Q1699" i="36"/>
  <c r="P1699" i="36"/>
  <c r="O1699" i="36"/>
  <c r="N1699" i="36"/>
  <c r="M1699" i="36"/>
  <c r="L1699" i="36"/>
  <c r="K1699" i="36"/>
  <c r="J1699" i="36"/>
  <c r="I1699" i="36"/>
  <c r="H1699" i="36"/>
  <c r="G1699" i="36"/>
  <c r="F1699" i="36"/>
  <c r="E1699" i="36"/>
  <c r="D1699" i="36"/>
  <c r="C1699" i="36"/>
  <c r="B1699" i="36"/>
  <c r="R1698" i="36"/>
  <c r="Q1698" i="36"/>
  <c r="P1698" i="36"/>
  <c r="O1698" i="36"/>
  <c r="N1698" i="36"/>
  <c r="M1698" i="36"/>
  <c r="L1698" i="36"/>
  <c r="K1698" i="36"/>
  <c r="J1698" i="36"/>
  <c r="I1698" i="36"/>
  <c r="H1698" i="36"/>
  <c r="G1698" i="36"/>
  <c r="F1698" i="36"/>
  <c r="E1698" i="36"/>
  <c r="D1698" i="36"/>
  <c r="C1698" i="36"/>
  <c r="B1698" i="36"/>
  <c r="R1697" i="36"/>
  <c r="Q1697" i="36"/>
  <c r="P1697" i="36"/>
  <c r="O1697" i="36"/>
  <c r="N1697" i="36"/>
  <c r="M1697" i="36"/>
  <c r="L1697" i="36"/>
  <c r="K1697" i="36"/>
  <c r="J1697" i="36"/>
  <c r="I1697" i="36"/>
  <c r="H1697" i="36"/>
  <c r="G1697" i="36"/>
  <c r="F1697" i="36"/>
  <c r="E1697" i="36"/>
  <c r="D1697" i="36"/>
  <c r="C1697" i="36"/>
  <c r="B1697" i="36"/>
  <c r="R1696" i="36"/>
  <c r="Q1696" i="36"/>
  <c r="P1696" i="36"/>
  <c r="O1696" i="36"/>
  <c r="N1696" i="36"/>
  <c r="M1696" i="36"/>
  <c r="L1696" i="36"/>
  <c r="K1696" i="36"/>
  <c r="J1696" i="36"/>
  <c r="I1696" i="36"/>
  <c r="H1696" i="36"/>
  <c r="G1696" i="36"/>
  <c r="F1696" i="36"/>
  <c r="E1696" i="36"/>
  <c r="D1696" i="36"/>
  <c r="C1696" i="36"/>
  <c r="B1696" i="36"/>
  <c r="R1695" i="36"/>
  <c r="Q1695" i="36"/>
  <c r="P1695" i="36"/>
  <c r="O1695" i="36"/>
  <c r="N1695" i="36"/>
  <c r="M1695" i="36"/>
  <c r="L1695" i="36"/>
  <c r="K1695" i="36"/>
  <c r="J1695" i="36"/>
  <c r="I1695" i="36"/>
  <c r="H1695" i="36"/>
  <c r="G1695" i="36"/>
  <c r="F1695" i="36"/>
  <c r="E1695" i="36"/>
  <c r="D1695" i="36"/>
  <c r="C1695" i="36"/>
  <c r="B1695" i="36"/>
  <c r="R1694" i="36"/>
  <c r="Q1694" i="36"/>
  <c r="P1694" i="36"/>
  <c r="O1694" i="36"/>
  <c r="N1694" i="36"/>
  <c r="M1694" i="36"/>
  <c r="L1694" i="36"/>
  <c r="K1694" i="36"/>
  <c r="J1694" i="36"/>
  <c r="I1694" i="36"/>
  <c r="H1694" i="36"/>
  <c r="G1694" i="36"/>
  <c r="F1694" i="36"/>
  <c r="E1694" i="36"/>
  <c r="D1694" i="36"/>
  <c r="C1694" i="36"/>
  <c r="B1694" i="36"/>
  <c r="R1693" i="36"/>
  <c r="Q1693" i="36"/>
  <c r="P1693" i="36"/>
  <c r="O1693" i="36"/>
  <c r="N1693" i="36"/>
  <c r="M1693" i="36"/>
  <c r="L1693" i="36"/>
  <c r="K1693" i="36"/>
  <c r="J1693" i="36"/>
  <c r="I1693" i="36"/>
  <c r="H1693" i="36"/>
  <c r="G1693" i="36"/>
  <c r="F1693" i="36"/>
  <c r="E1693" i="36"/>
  <c r="D1693" i="36"/>
  <c r="C1693" i="36"/>
  <c r="B1693" i="36"/>
  <c r="R1692" i="36"/>
  <c r="Q1692" i="36"/>
  <c r="P1692" i="36"/>
  <c r="O1692" i="36"/>
  <c r="N1692" i="36"/>
  <c r="M1692" i="36"/>
  <c r="L1692" i="36"/>
  <c r="K1692" i="36"/>
  <c r="J1692" i="36"/>
  <c r="I1692" i="36"/>
  <c r="H1692" i="36"/>
  <c r="G1692" i="36"/>
  <c r="F1692" i="36"/>
  <c r="E1692" i="36"/>
  <c r="D1692" i="36"/>
  <c r="C1692" i="36"/>
  <c r="B1692" i="36"/>
  <c r="R1691" i="36"/>
  <c r="Q1691" i="36"/>
  <c r="P1691" i="36"/>
  <c r="O1691" i="36"/>
  <c r="N1691" i="36"/>
  <c r="M1691" i="36"/>
  <c r="L1691" i="36"/>
  <c r="K1691" i="36"/>
  <c r="J1691" i="36"/>
  <c r="I1691" i="36"/>
  <c r="H1691" i="36"/>
  <c r="G1691" i="36"/>
  <c r="F1691" i="36"/>
  <c r="E1691" i="36"/>
  <c r="D1691" i="36"/>
  <c r="C1691" i="36"/>
  <c r="B1691" i="36"/>
  <c r="R1690" i="36"/>
  <c r="Q1690" i="36"/>
  <c r="P1690" i="36"/>
  <c r="O1690" i="36"/>
  <c r="N1690" i="36"/>
  <c r="M1690" i="36"/>
  <c r="L1690" i="36"/>
  <c r="K1690" i="36"/>
  <c r="J1690" i="36"/>
  <c r="I1690" i="36"/>
  <c r="H1690" i="36"/>
  <c r="G1690" i="36"/>
  <c r="F1690" i="36"/>
  <c r="E1690" i="36"/>
  <c r="D1690" i="36"/>
  <c r="C1690" i="36"/>
  <c r="B1690" i="36"/>
  <c r="R1689" i="36"/>
  <c r="Q1689" i="36"/>
  <c r="P1689" i="36"/>
  <c r="O1689" i="36"/>
  <c r="N1689" i="36"/>
  <c r="M1689" i="36"/>
  <c r="L1689" i="36"/>
  <c r="K1689" i="36"/>
  <c r="J1689" i="36"/>
  <c r="I1689" i="36"/>
  <c r="H1689" i="36"/>
  <c r="G1689" i="36"/>
  <c r="F1689" i="36"/>
  <c r="E1689" i="36"/>
  <c r="D1689" i="36"/>
  <c r="C1689" i="36"/>
  <c r="B1689" i="36"/>
  <c r="R1688" i="36"/>
  <c r="Q1688" i="36"/>
  <c r="P1688" i="36"/>
  <c r="O1688" i="36"/>
  <c r="N1688" i="36"/>
  <c r="M1688" i="36"/>
  <c r="L1688" i="36"/>
  <c r="K1688" i="36"/>
  <c r="J1688" i="36"/>
  <c r="I1688" i="36"/>
  <c r="H1688" i="36"/>
  <c r="G1688" i="36"/>
  <c r="F1688" i="36"/>
  <c r="E1688" i="36"/>
  <c r="D1688" i="36"/>
  <c r="C1688" i="36"/>
  <c r="B1688" i="36"/>
  <c r="R1687" i="36"/>
  <c r="Q1687" i="36"/>
  <c r="P1687" i="36"/>
  <c r="O1687" i="36"/>
  <c r="N1687" i="36"/>
  <c r="M1687" i="36"/>
  <c r="L1687" i="36"/>
  <c r="K1687" i="36"/>
  <c r="J1687" i="36"/>
  <c r="I1687" i="36"/>
  <c r="H1687" i="36"/>
  <c r="G1687" i="36"/>
  <c r="F1687" i="36"/>
  <c r="E1687" i="36"/>
  <c r="D1687" i="36"/>
  <c r="C1687" i="36"/>
  <c r="B1687" i="36"/>
  <c r="R1686" i="36"/>
  <c r="Q1686" i="36"/>
  <c r="P1686" i="36"/>
  <c r="O1686" i="36"/>
  <c r="N1686" i="36"/>
  <c r="M1686" i="36"/>
  <c r="L1686" i="36"/>
  <c r="K1686" i="36"/>
  <c r="J1686" i="36"/>
  <c r="I1686" i="36"/>
  <c r="H1686" i="36"/>
  <c r="G1686" i="36"/>
  <c r="F1686" i="36"/>
  <c r="E1686" i="36"/>
  <c r="D1686" i="36"/>
  <c r="C1686" i="36"/>
  <c r="B1686" i="36"/>
  <c r="R1685" i="36"/>
  <c r="Q1685" i="36"/>
  <c r="P1685" i="36"/>
  <c r="O1685" i="36"/>
  <c r="N1685" i="36"/>
  <c r="M1685" i="36"/>
  <c r="L1685" i="36"/>
  <c r="K1685" i="36"/>
  <c r="J1685" i="36"/>
  <c r="I1685" i="36"/>
  <c r="H1685" i="36"/>
  <c r="G1685" i="36"/>
  <c r="F1685" i="36"/>
  <c r="E1685" i="36"/>
  <c r="D1685" i="36"/>
  <c r="C1685" i="36"/>
  <c r="B1685" i="36"/>
  <c r="R1684" i="36"/>
  <c r="Q1684" i="36"/>
  <c r="P1684" i="36"/>
  <c r="O1684" i="36"/>
  <c r="N1684" i="36"/>
  <c r="M1684" i="36"/>
  <c r="L1684" i="36"/>
  <c r="K1684" i="36"/>
  <c r="J1684" i="36"/>
  <c r="I1684" i="36"/>
  <c r="H1684" i="36"/>
  <c r="G1684" i="36"/>
  <c r="F1684" i="36"/>
  <c r="E1684" i="36"/>
  <c r="D1684" i="36"/>
  <c r="C1684" i="36"/>
  <c r="B1684" i="36"/>
  <c r="R1683" i="36"/>
  <c r="Q1683" i="36"/>
  <c r="P1683" i="36"/>
  <c r="O1683" i="36"/>
  <c r="N1683" i="36"/>
  <c r="M1683" i="36"/>
  <c r="L1683" i="36"/>
  <c r="K1683" i="36"/>
  <c r="J1683" i="36"/>
  <c r="I1683" i="36"/>
  <c r="H1683" i="36"/>
  <c r="G1683" i="36"/>
  <c r="F1683" i="36"/>
  <c r="E1683" i="36"/>
  <c r="D1683" i="36"/>
  <c r="C1683" i="36"/>
  <c r="B1683" i="36"/>
  <c r="R1682" i="36"/>
  <c r="Q1682" i="36"/>
  <c r="P1682" i="36"/>
  <c r="O1682" i="36"/>
  <c r="N1682" i="36"/>
  <c r="M1682" i="36"/>
  <c r="L1682" i="36"/>
  <c r="K1682" i="36"/>
  <c r="J1682" i="36"/>
  <c r="I1682" i="36"/>
  <c r="H1682" i="36"/>
  <c r="G1682" i="36"/>
  <c r="F1682" i="36"/>
  <c r="E1682" i="36"/>
  <c r="D1682" i="36"/>
  <c r="C1682" i="36"/>
  <c r="B1682" i="36"/>
  <c r="R1681" i="36"/>
  <c r="Q1681" i="36"/>
  <c r="P1681" i="36"/>
  <c r="O1681" i="36"/>
  <c r="N1681" i="36"/>
  <c r="M1681" i="36"/>
  <c r="L1681" i="36"/>
  <c r="K1681" i="36"/>
  <c r="J1681" i="36"/>
  <c r="I1681" i="36"/>
  <c r="H1681" i="36"/>
  <c r="G1681" i="36"/>
  <c r="F1681" i="36"/>
  <c r="E1681" i="36"/>
  <c r="D1681" i="36"/>
  <c r="C1681" i="36"/>
  <c r="B1681" i="36"/>
  <c r="R1680" i="36"/>
  <c r="Q1680" i="36"/>
  <c r="P1680" i="36"/>
  <c r="O1680" i="36"/>
  <c r="N1680" i="36"/>
  <c r="M1680" i="36"/>
  <c r="L1680" i="36"/>
  <c r="K1680" i="36"/>
  <c r="J1680" i="36"/>
  <c r="I1680" i="36"/>
  <c r="H1680" i="36"/>
  <c r="G1680" i="36"/>
  <c r="F1680" i="36"/>
  <c r="E1680" i="36"/>
  <c r="D1680" i="36"/>
  <c r="C1680" i="36"/>
  <c r="B1680" i="36"/>
  <c r="R1679" i="36"/>
  <c r="Q1679" i="36"/>
  <c r="P1679" i="36"/>
  <c r="O1679" i="36"/>
  <c r="N1679" i="36"/>
  <c r="M1679" i="36"/>
  <c r="L1679" i="36"/>
  <c r="K1679" i="36"/>
  <c r="J1679" i="36"/>
  <c r="I1679" i="36"/>
  <c r="H1679" i="36"/>
  <c r="G1679" i="36"/>
  <c r="F1679" i="36"/>
  <c r="E1679" i="36"/>
  <c r="D1679" i="36"/>
  <c r="C1679" i="36"/>
  <c r="B1679" i="36"/>
  <c r="R1678" i="36"/>
  <c r="Q1678" i="36"/>
  <c r="P1678" i="36"/>
  <c r="O1678" i="36"/>
  <c r="N1678" i="36"/>
  <c r="M1678" i="36"/>
  <c r="L1678" i="36"/>
  <c r="K1678" i="36"/>
  <c r="J1678" i="36"/>
  <c r="I1678" i="36"/>
  <c r="H1678" i="36"/>
  <c r="G1678" i="36"/>
  <c r="F1678" i="36"/>
  <c r="E1678" i="36"/>
  <c r="D1678" i="36"/>
  <c r="C1678" i="36"/>
  <c r="B1678" i="36"/>
  <c r="R1677" i="36"/>
  <c r="Q1677" i="36"/>
  <c r="P1677" i="36"/>
  <c r="O1677" i="36"/>
  <c r="N1677" i="36"/>
  <c r="M1677" i="36"/>
  <c r="L1677" i="36"/>
  <c r="K1677" i="36"/>
  <c r="J1677" i="36"/>
  <c r="I1677" i="36"/>
  <c r="H1677" i="36"/>
  <c r="G1677" i="36"/>
  <c r="F1677" i="36"/>
  <c r="E1677" i="36"/>
  <c r="D1677" i="36"/>
  <c r="C1677" i="36"/>
  <c r="B1677" i="36"/>
  <c r="R1676" i="36"/>
  <c r="Q1676" i="36"/>
  <c r="P1676" i="36"/>
  <c r="O1676" i="36"/>
  <c r="N1676" i="36"/>
  <c r="M1676" i="36"/>
  <c r="L1676" i="36"/>
  <c r="K1676" i="36"/>
  <c r="J1676" i="36"/>
  <c r="I1676" i="36"/>
  <c r="H1676" i="36"/>
  <c r="G1676" i="36"/>
  <c r="F1676" i="36"/>
  <c r="E1676" i="36"/>
  <c r="D1676" i="36"/>
  <c r="C1676" i="36"/>
  <c r="B1676" i="36"/>
  <c r="R1675" i="36"/>
  <c r="Q1675" i="36"/>
  <c r="P1675" i="36"/>
  <c r="O1675" i="36"/>
  <c r="N1675" i="36"/>
  <c r="M1675" i="36"/>
  <c r="L1675" i="36"/>
  <c r="K1675" i="36"/>
  <c r="J1675" i="36"/>
  <c r="I1675" i="36"/>
  <c r="H1675" i="36"/>
  <c r="G1675" i="36"/>
  <c r="F1675" i="36"/>
  <c r="E1675" i="36"/>
  <c r="D1675" i="36"/>
  <c r="C1675" i="36"/>
  <c r="B1675" i="36"/>
  <c r="R1674" i="36"/>
  <c r="Q1674" i="36"/>
  <c r="P1674" i="36"/>
  <c r="O1674" i="36"/>
  <c r="N1674" i="36"/>
  <c r="M1674" i="36"/>
  <c r="L1674" i="36"/>
  <c r="K1674" i="36"/>
  <c r="J1674" i="36"/>
  <c r="I1674" i="36"/>
  <c r="H1674" i="36"/>
  <c r="G1674" i="36"/>
  <c r="F1674" i="36"/>
  <c r="E1674" i="36"/>
  <c r="D1674" i="36"/>
  <c r="C1674" i="36"/>
  <c r="B1674" i="36"/>
  <c r="R1673" i="36"/>
  <c r="Q1673" i="36"/>
  <c r="P1673" i="36"/>
  <c r="O1673" i="36"/>
  <c r="N1673" i="36"/>
  <c r="M1673" i="36"/>
  <c r="L1673" i="36"/>
  <c r="K1673" i="36"/>
  <c r="J1673" i="36"/>
  <c r="I1673" i="36"/>
  <c r="H1673" i="36"/>
  <c r="G1673" i="36"/>
  <c r="F1673" i="36"/>
  <c r="E1673" i="36"/>
  <c r="D1673" i="36"/>
  <c r="C1673" i="36"/>
  <c r="B1673" i="36"/>
  <c r="R1672" i="36"/>
  <c r="Q1672" i="36"/>
  <c r="P1672" i="36"/>
  <c r="O1672" i="36"/>
  <c r="N1672" i="36"/>
  <c r="M1672" i="36"/>
  <c r="L1672" i="36"/>
  <c r="K1672" i="36"/>
  <c r="J1672" i="36"/>
  <c r="I1672" i="36"/>
  <c r="H1672" i="36"/>
  <c r="G1672" i="36"/>
  <c r="F1672" i="36"/>
  <c r="E1672" i="36"/>
  <c r="D1672" i="36"/>
  <c r="C1672" i="36"/>
  <c r="B1672" i="36"/>
  <c r="R1671" i="36"/>
  <c r="Q1671" i="36"/>
  <c r="P1671" i="36"/>
  <c r="O1671" i="36"/>
  <c r="N1671" i="36"/>
  <c r="M1671" i="36"/>
  <c r="L1671" i="36"/>
  <c r="K1671" i="36"/>
  <c r="J1671" i="36"/>
  <c r="I1671" i="36"/>
  <c r="H1671" i="36"/>
  <c r="G1671" i="36"/>
  <c r="F1671" i="36"/>
  <c r="E1671" i="36"/>
  <c r="D1671" i="36"/>
  <c r="C1671" i="36"/>
  <c r="B1671" i="36"/>
  <c r="R1670" i="36"/>
  <c r="Q1670" i="36"/>
  <c r="P1670" i="36"/>
  <c r="O1670" i="36"/>
  <c r="N1670" i="36"/>
  <c r="M1670" i="36"/>
  <c r="L1670" i="36"/>
  <c r="K1670" i="36"/>
  <c r="J1670" i="36"/>
  <c r="I1670" i="36"/>
  <c r="H1670" i="36"/>
  <c r="G1670" i="36"/>
  <c r="F1670" i="36"/>
  <c r="E1670" i="36"/>
  <c r="D1670" i="36"/>
  <c r="C1670" i="36"/>
  <c r="B1670" i="36"/>
  <c r="R1669" i="36"/>
  <c r="Q1669" i="36"/>
  <c r="P1669" i="36"/>
  <c r="O1669" i="36"/>
  <c r="N1669" i="36"/>
  <c r="M1669" i="36"/>
  <c r="L1669" i="36"/>
  <c r="K1669" i="36"/>
  <c r="J1669" i="36"/>
  <c r="I1669" i="36"/>
  <c r="H1669" i="36"/>
  <c r="G1669" i="36"/>
  <c r="F1669" i="36"/>
  <c r="E1669" i="36"/>
  <c r="D1669" i="36"/>
  <c r="C1669" i="36"/>
  <c r="B1669" i="36"/>
  <c r="R1668" i="36"/>
  <c r="Q1668" i="36"/>
  <c r="P1668" i="36"/>
  <c r="O1668" i="36"/>
  <c r="N1668" i="36"/>
  <c r="M1668" i="36"/>
  <c r="L1668" i="36"/>
  <c r="K1668" i="36"/>
  <c r="J1668" i="36"/>
  <c r="I1668" i="36"/>
  <c r="H1668" i="36"/>
  <c r="G1668" i="36"/>
  <c r="F1668" i="36"/>
  <c r="E1668" i="36"/>
  <c r="D1668" i="36"/>
  <c r="C1668" i="36"/>
  <c r="B1668" i="36"/>
  <c r="R1667" i="36"/>
  <c r="Q1667" i="36"/>
  <c r="P1667" i="36"/>
  <c r="O1667" i="36"/>
  <c r="N1667" i="36"/>
  <c r="M1667" i="36"/>
  <c r="L1667" i="36"/>
  <c r="K1667" i="36"/>
  <c r="J1667" i="36"/>
  <c r="I1667" i="36"/>
  <c r="H1667" i="36"/>
  <c r="G1667" i="36"/>
  <c r="F1667" i="36"/>
  <c r="E1667" i="36"/>
  <c r="D1667" i="36"/>
  <c r="C1667" i="36"/>
  <c r="B1667" i="36"/>
  <c r="R1666" i="36"/>
  <c r="Q1666" i="36"/>
  <c r="P1666" i="36"/>
  <c r="O1666" i="36"/>
  <c r="N1666" i="36"/>
  <c r="M1666" i="36"/>
  <c r="L1666" i="36"/>
  <c r="K1666" i="36"/>
  <c r="J1666" i="36"/>
  <c r="I1666" i="36"/>
  <c r="H1666" i="36"/>
  <c r="G1666" i="36"/>
  <c r="F1666" i="36"/>
  <c r="E1666" i="36"/>
  <c r="D1666" i="36"/>
  <c r="C1666" i="36"/>
  <c r="B1666" i="36"/>
  <c r="R1665" i="36"/>
  <c r="Q1665" i="36"/>
  <c r="P1665" i="36"/>
  <c r="O1665" i="36"/>
  <c r="N1665" i="36"/>
  <c r="M1665" i="36"/>
  <c r="L1665" i="36"/>
  <c r="K1665" i="36"/>
  <c r="J1665" i="36"/>
  <c r="I1665" i="36"/>
  <c r="H1665" i="36"/>
  <c r="G1665" i="36"/>
  <c r="F1665" i="36"/>
  <c r="E1665" i="36"/>
  <c r="D1665" i="36"/>
  <c r="C1665" i="36"/>
  <c r="B1665" i="36"/>
  <c r="R1664" i="36"/>
  <c r="Q1664" i="36"/>
  <c r="P1664" i="36"/>
  <c r="O1664" i="36"/>
  <c r="N1664" i="36"/>
  <c r="M1664" i="36"/>
  <c r="L1664" i="36"/>
  <c r="K1664" i="36"/>
  <c r="J1664" i="36"/>
  <c r="I1664" i="36"/>
  <c r="H1664" i="36"/>
  <c r="G1664" i="36"/>
  <c r="F1664" i="36"/>
  <c r="E1664" i="36"/>
  <c r="D1664" i="36"/>
  <c r="C1664" i="36"/>
  <c r="B1664" i="36"/>
  <c r="R1663" i="36"/>
  <c r="Q1663" i="36"/>
  <c r="P1663" i="36"/>
  <c r="O1663" i="36"/>
  <c r="N1663" i="36"/>
  <c r="M1663" i="36"/>
  <c r="L1663" i="36"/>
  <c r="K1663" i="36"/>
  <c r="J1663" i="36"/>
  <c r="I1663" i="36"/>
  <c r="H1663" i="36"/>
  <c r="G1663" i="36"/>
  <c r="F1663" i="36"/>
  <c r="E1663" i="36"/>
  <c r="D1663" i="36"/>
  <c r="C1663" i="36"/>
  <c r="B1663" i="36"/>
  <c r="R1662" i="36"/>
  <c r="Q1662" i="36"/>
  <c r="P1662" i="36"/>
  <c r="O1662" i="36"/>
  <c r="N1662" i="36"/>
  <c r="M1662" i="36"/>
  <c r="L1662" i="36"/>
  <c r="K1662" i="36"/>
  <c r="J1662" i="36"/>
  <c r="I1662" i="36"/>
  <c r="H1662" i="36"/>
  <c r="G1662" i="36"/>
  <c r="F1662" i="36"/>
  <c r="E1662" i="36"/>
  <c r="D1662" i="36"/>
  <c r="C1662" i="36"/>
  <c r="B1662" i="36"/>
  <c r="R1661" i="36"/>
  <c r="Q1661" i="36"/>
  <c r="P1661" i="36"/>
  <c r="O1661" i="36"/>
  <c r="N1661" i="36"/>
  <c r="M1661" i="36"/>
  <c r="L1661" i="36"/>
  <c r="K1661" i="36"/>
  <c r="J1661" i="36"/>
  <c r="I1661" i="36"/>
  <c r="H1661" i="36"/>
  <c r="G1661" i="36"/>
  <c r="F1661" i="36"/>
  <c r="E1661" i="36"/>
  <c r="D1661" i="36"/>
  <c r="C1661" i="36"/>
  <c r="B1661" i="36"/>
  <c r="R1660" i="36"/>
  <c r="Q1660" i="36"/>
  <c r="P1660" i="36"/>
  <c r="O1660" i="36"/>
  <c r="N1660" i="36"/>
  <c r="M1660" i="36"/>
  <c r="L1660" i="36"/>
  <c r="K1660" i="36"/>
  <c r="J1660" i="36"/>
  <c r="I1660" i="36"/>
  <c r="H1660" i="36"/>
  <c r="G1660" i="36"/>
  <c r="F1660" i="36"/>
  <c r="E1660" i="36"/>
  <c r="D1660" i="36"/>
  <c r="C1660" i="36"/>
  <c r="B1660" i="36"/>
  <c r="R1659" i="36"/>
  <c r="Q1659" i="36"/>
  <c r="P1659" i="36"/>
  <c r="O1659" i="36"/>
  <c r="N1659" i="36"/>
  <c r="M1659" i="36"/>
  <c r="L1659" i="36"/>
  <c r="K1659" i="36"/>
  <c r="J1659" i="36"/>
  <c r="I1659" i="36"/>
  <c r="H1659" i="36"/>
  <c r="G1659" i="36"/>
  <c r="F1659" i="36"/>
  <c r="E1659" i="36"/>
  <c r="D1659" i="36"/>
  <c r="C1659" i="36"/>
  <c r="B1659" i="36"/>
  <c r="R1658" i="36"/>
  <c r="Q1658" i="36"/>
  <c r="P1658" i="36"/>
  <c r="O1658" i="36"/>
  <c r="N1658" i="36"/>
  <c r="M1658" i="36"/>
  <c r="L1658" i="36"/>
  <c r="K1658" i="36"/>
  <c r="J1658" i="36"/>
  <c r="I1658" i="36"/>
  <c r="H1658" i="36"/>
  <c r="G1658" i="36"/>
  <c r="F1658" i="36"/>
  <c r="E1658" i="36"/>
  <c r="D1658" i="36"/>
  <c r="C1658" i="36"/>
  <c r="B1658" i="36"/>
  <c r="R1657" i="36"/>
  <c r="Q1657" i="36"/>
  <c r="P1657" i="36"/>
  <c r="O1657" i="36"/>
  <c r="N1657" i="36"/>
  <c r="M1657" i="36"/>
  <c r="L1657" i="36"/>
  <c r="K1657" i="36"/>
  <c r="J1657" i="36"/>
  <c r="I1657" i="36"/>
  <c r="H1657" i="36"/>
  <c r="G1657" i="36"/>
  <c r="F1657" i="36"/>
  <c r="E1657" i="36"/>
  <c r="D1657" i="36"/>
  <c r="C1657" i="36"/>
  <c r="B1657" i="36"/>
  <c r="R1656" i="36"/>
  <c r="Q1656" i="36"/>
  <c r="P1656" i="36"/>
  <c r="O1656" i="36"/>
  <c r="N1656" i="36"/>
  <c r="M1656" i="36"/>
  <c r="L1656" i="36"/>
  <c r="K1656" i="36"/>
  <c r="J1656" i="36"/>
  <c r="I1656" i="36"/>
  <c r="H1656" i="36"/>
  <c r="G1656" i="36"/>
  <c r="F1656" i="36"/>
  <c r="E1656" i="36"/>
  <c r="D1656" i="36"/>
  <c r="C1656" i="36"/>
  <c r="B1656" i="36"/>
  <c r="R1655" i="36"/>
  <c r="Q1655" i="36"/>
  <c r="P1655" i="36"/>
  <c r="O1655" i="36"/>
  <c r="N1655" i="36"/>
  <c r="M1655" i="36"/>
  <c r="L1655" i="36"/>
  <c r="K1655" i="36"/>
  <c r="J1655" i="36"/>
  <c r="I1655" i="36"/>
  <c r="H1655" i="36"/>
  <c r="G1655" i="36"/>
  <c r="F1655" i="36"/>
  <c r="E1655" i="36"/>
  <c r="D1655" i="36"/>
  <c r="C1655" i="36"/>
  <c r="B1655" i="36"/>
  <c r="R1654" i="36"/>
  <c r="Q1654" i="36"/>
  <c r="P1654" i="36"/>
  <c r="O1654" i="36"/>
  <c r="N1654" i="36"/>
  <c r="M1654" i="36"/>
  <c r="L1654" i="36"/>
  <c r="K1654" i="36"/>
  <c r="J1654" i="36"/>
  <c r="I1654" i="36"/>
  <c r="H1654" i="36"/>
  <c r="G1654" i="36"/>
  <c r="F1654" i="36"/>
  <c r="E1654" i="36"/>
  <c r="D1654" i="36"/>
  <c r="C1654" i="36"/>
  <c r="B1654" i="36"/>
  <c r="R1653" i="36"/>
  <c r="Q1653" i="36"/>
  <c r="P1653" i="36"/>
  <c r="O1653" i="36"/>
  <c r="N1653" i="36"/>
  <c r="M1653" i="36"/>
  <c r="L1653" i="36"/>
  <c r="K1653" i="36"/>
  <c r="J1653" i="36"/>
  <c r="I1653" i="36"/>
  <c r="H1653" i="36"/>
  <c r="G1653" i="36"/>
  <c r="F1653" i="36"/>
  <c r="E1653" i="36"/>
  <c r="D1653" i="36"/>
  <c r="C1653" i="36"/>
  <c r="B1653" i="36"/>
  <c r="R1652" i="36"/>
  <c r="Q1652" i="36"/>
  <c r="P1652" i="36"/>
  <c r="O1652" i="36"/>
  <c r="N1652" i="36"/>
  <c r="M1652" i="36"/>
  <c r="L1652" i="36"/>
  <c r="K1652" i="36"/>
  <c r="J1652" i="36"/>
  <c r="I1652" i="36"/>
  <c r="H1652" i="36"/>
  <c r="G1652" i="36"/>
  <c r="F1652" i="36"/>
  <c r="E1652" i="36"/>
  <c r="D1652" i="36"/>
  <c r="C1652" i="36"/>
  <c r="B1652" i="36"/>
  <c r="R1651" i="36"/>
  <c r="Q1651" i="36"/>
  <c r="P1651" i="36"/>
  <c r="O1651" i="36"/>
  <c r="N1651" i="36"/>
  <c r="M1651" i="36"/>
  <c r="L1651" i="36"/>
  <c r="K1651" i="36"/>
  <c r="J1651" i="36"/>
  <c r="I1651" i="36"/>
  <c r="H1651" i="36"/>
  <c r="G1651" i="36"/>
  <c r="F1651" i="36"/>
  <c r="E1651" i="36"/>
  <c r="D1651" i="36"/>
  <c r="C1651" i="36"/>
  <c r="B1651" i="36"/>
  <c r="R1650" i="36"/>
  <c r="Q1650" i="36"/>
  <c r="P1650" i="36"/>
  <c r="O1650" i="36"/>
  <c r="N1650" i="36"/>
  <c r="M1650" i="36"/>
  <c r="L1650" i="36"/>
  <c r="K1650" i="36"/>
  <c r="J1650" i="36"/>
  <c r="I1650" i="36"/>
  <c r="H1650" i="36"/>
  <c r="G1650" i="36"/>
  <c r="F1650" i="36"/>
  <c r="E1650" i="36"/>
  <c r="D1650" i="36"/>
  <c r="C1650" i="36"/>
  <c r="B1650" i="36"/>
  <c r="R1649" i="36"/>
  <c r="Q1649" i="36"/>
  <c r="P1649" i="36"/>
  <c r="O1649" i="36"/>
  <c r="N1649" i="36"/>
  <c r="M1649" i="36"/>
  <c r="L1649" i="36"/>
  <c r="K1649" i="36"/>
  <c r="J1649" i="36"/>
  <c r="I1649" i="36"/>
  <c r="H1649" i="36"/>
  <c r="G1649" i="36"/>
  <c r="F1649" i="36"/>
  <c r="E1649" i="36"/>
  <c r="D1649" i="36"/>
  <c r="C1649" i="36"/>
  <c r="B1649" i="36"/>
  <c r="R1648" i="36"/>
  <c r="Q1648" i="36"/>
  <c r="P1648" i="36"/>
  <c r="O1648" i="36"/>
  <c r="N1648" i="36"/>
  <c r="M1648" i="36"/>
  <c r="L1648" i="36"/>
  <c r="K1648" i="36"/>
  <c r="J1648" i="36"/>
  <c r="I1648" i="36"/>
  <c r="H1648" i="36"/>
  <c r="G1648" i="36"/>
  <c r="F1648" i="36"/>
  <c r="E1648" i="36"/>
  <c r="D1648" i="36"/>
  <c r="C1648" i="36"/>
  <c r="B1648" i="36"/>
  <c r="R1647" i="36"/>
  <c r="Q1647" i="36"/>
  <c r="P1647" i="36"/>
  <c r="O1647" i="36"/>
  <c r="N1647" i="36"/>
  <c r="M1647" i="36"/>
  <c r="L1647" i="36"/>
  <c r="K1647" i="36"/>
  <c r="J1647" i="36"/>
  <c r="I1647" i="36"/>
  <c r="H1647" i="36"/>
  <c r="G1647" i="36"/>
  <c r="F1647" i="36"/>
  <c r="E1647" i="36"/>
  <c r="D1647" i="36"/>
  <c r="C1647" i="36"/>
  <c r="B1647" i="36"/>
  <c r="R1646" i="36"/>
  <c r="Q1646" i="36"/>
  <c r="P1646" i="36"/>
  <c r="O1646" i="36"/>
  <c r="N1646" i="36"/>
  <c r="M1646" i="36"/>
  <c r="L1646" i="36"/>
  <c r="K1646" i="36"/>
  <c r="J1646" i="36"/>
  <c r="I1646" i="36"/>
  <c r="H1646" i="36"/>
  <c r="G1646" i="36"/>
  <c r="F1646" i="36"/>
  <c r="E1646" i="36"/>
  <c r="D1646" i="36"/>
  <c r="C1646" i="36"/>
  <c r="B1646" i="36"/>
  <c r="R1645" i="36"/>
  <c r="Q1645" i="36"/>
  <c r="P1645" i="36"/>
  <c r="O1645" i="36"/>
  <c r="N1645" i="36"/>
  <c r="M1645" i="36"/>
  <c r="L1645" i="36"/>
  <c r="K1645" i="36"/>
  <c r="J1645" i="36"/>
  <c r="I1645" i="36"/>
  <c r="H1645" i="36"/>
  <c r="G1645" i="36"/>
  <c r="F1645" i="36"/>
  <c r="E1645" i="36"/>
  <c r="D1645" i="36"/>
  <c r="C1645" i="36"/>
  <c r="B1645" i="36"/>
  <c r="R1644" i="36"/>
  <c r="Q1644" i="36"/>
  <c r="P1644" i="36"/>
  <c r="O1644" i="36"/>
  <c r="N1644" i="36"/>
  <c r="M1644" i="36"/>
  <c r="L1644" i="36"/>
  <c r="K1644" i="36"/>
  <c r="J1644" i="36"/>
  <c r="I1644" i="36"/>
  <c r="H1644" i="36"/>
  <c r="G1644" i="36"/>
  <c r="F1644" i="36"/>
  <c r="E1644" i="36"/>
  <c r="D1644" i="36"/>
  <c r="C1644" i="36"/>
  <c r="B1644" i="36"/>
  <c r="R1643" i="36"/>
  <c r="Q1643" i="36"/>
  <c r="P1643" i="36"/>
  <c r="O1643" i="36"/>
  <c r="N1643" i="36"/>
  <c r="M1643" i="36"/>
  <c r="L1643" i="36"/>
  <c r="K1643" i="36"/>
  <c r="J1643" i="36"/>
  <c r="I1643" i="36"/>
  <c r="H1643" i="36"/>
  <c r="G1643" i="36"/>
  <c r="F1643" i="36"/>
  <c r="E1643" i="36"/>
  <c r="D1643" i="36"/>
  <c r="C1643" i="36"/>
  <c r="B1643" i="36"/>
  <c r="R1642" i="36"/>
  <c r="Q1642" i="36"/>
  <c r="P1642" i="36"/>
  <c r="O1642" i="36"/>
  <c r="N1642" i="36"/>
  <c r="M1642" i="36"/>
  <c r="L1642" i="36"/>
  <c r="K1642" i="36"/>
  <c r="J1642" i="36"/>
  <c r="I1642" i="36"/>
  <c r="H1642" i="36"/>
  <c r="G1642" i="36"/>
  <c r="F1642" i="36"/>
  <c r="E1642" i="36"/>
  <c r="D1642" i="36"/>
  <c r="C1642" i="36"/>
  <c r="B1642" i="36"/>
  <c r="R1641" i="36"/>
  <c r="Q1641" i="36"/>
  <c r="P1641" i="36"/>
  <c r="O1641" i="36"/>
  <c r="N1641" i="36"/>
  <c r="M1641" i="36"/>
  <c r="L1641" i="36"/>
  <c r="K1641" i="36"/>
  <c r="J1641" i="36"/>
  <c r="I1641" i="36"/>
  <c r="H1641" i="36"/>
  <c r="G1641" i="36"/>
  <c r="F1641" i="36"/>
  <c r="E1641" i="36"/>
  <c r="D1641" i="36"/>
  <c r="C1641" i="36"/>
  <c r="B1641" i="36"/>
  <c r="R1640" i="36"/>
  <c r="Q1640" i="36"/>
  <c r="P1640" i="36"/>
  <c r="O1640" i="36"/>
  <c r="N1640" i="36"/>
  <c r="M1640" i="36"/>
  <c r="L1640" i="36"/>
  <c r="K1640" i="36"/>
  <c r="J1640" i="36"/>
  <c r="I1640" i="36"/>
  <c r="H1640" i="36"/>
  <c r="G1640" i="36"/>
  <c r="F1640" i="36"/>
  <c r="E1640" i="36"/>
  <c r="D1640" i="36"/>
  <c r="C1640" i="36"/>
  <c r="B1640" i="36"/>
  <c r="R1639" i="36"/>
  <c r="Q1639" i="36"/>
  <c r="P1639" i="36"/>
  <c r="O1639" i="36"/>
  <c r="N1639" i="36"/>
  <c r="M1639" i="36"/>
  <c r="L1639" i="36"/>
  <c r="K1639" i="36"/>
  <c r="J1639" i="36"/>
  <c r="I1639" i="36"/>
  <c r="H1639" i="36"/>
  <c r="G1639" i="36"/>
  <c r="F1639" i="36"/>
  <c r="E1639" i="36"/>
  <c r="D1639" i="36"/>
  <c r="C1639" i="36"/>
  <c r="B1639" i="36"/>
  <c r="R1638" i="36"/>
  <c r="Q1638" i="36"/>
  <c r="P1638" i="36"/>
  <c r="O1638" i="36"/>
  <c r="N1638" i="36"/>
  <c r="M1638" i="36"/>
  <c r="L1638" i="36"/>
  <c r="K1638" i="36"/>
  <c r="J1638" i="36"/>
  <c r="I1638" i="36"/>
  <c r="H1638" i="36"/>
  <c r="G1638" i="36"/>
  <c r="F1638" i="36"/>
  <c r="E1638" i="36"/>
  <c r="D1638" i="36"/>
  <c r="C1638" i="36"/>
  <c r="B1638" i="36"/>
  <c r="R1637" i="36"/>
  <c r="Q1637" i="36"/>
  <c r="P1637" i="36"/>
  <c r="O1637" i="36"/>
  <c r="N1637" i="36"/>
  <c r="M1637" i="36"/>
  <c r="L1637" i="36"/>
  <c r="K1637" i="36"/>
  <c r="J1637" i="36"/>
  <c r="I1637" i="36"/>
  <c r="H1637" i="36"/>
  <c r="G1637" i="36"/>
  <c r="F1637" i="36"/>
  <c r="E1637" i="36"/>
  <c r="D1637" i="36"/>
  <c r="C1637" i="36"/>
  <c r="B1637" i="36"/>
  <c r="R1636" i="36"/>
  <c r="Q1636" i="36"/>
  <c r="P1636" i="36"/>
  <c r="O1636" i="36"/>
  <c r="N1636" i="36"/>
  <c r="M1636" i="36"/>
  <c r="L1636" i="36"/>
  <c r="K1636" i="36"/>
  <c r="J1636" i="36"/>
  <c r="I1636" i="36"/>
  <c r="H1636" i="36"/>
  <c r="G1636" i="36"/>
  <c r="F1636" i="36"/>
  <c r="E1636" i="36"/>
  <c r="D1636" i="36"/>
  <c r="C1636" i="36"/>
  <c r="B1636" i="36"/>
  <c r="R1635" i="36"/>
  <c r="Q1635" i="36"/>
  <c r="P1635" i="36"/>
  <c r="O1635" i="36"/>
  <c r="N1635" i="36"/>
  <c r="M1635" i="36"/>
  <c r="L1635" i="36"/>
  <c r="K1635" i="36"/>
  <c r="J1635" i="36"/>
  <c r="I1635" i="36"/>
  <c r="H1635" i="36"/>
  <c r="G1635" i="36"/>
  <c r="F1635" i="36"/>
  <c r="E1635" i="36"/>
  <c r="D1635" i="36"/>
  <c r="C1635" i="36"/>
  <c r="B1635" i="36"/>
  <c r="R1634" i="36"/>
  <c r="Q1634" i="36"/>
  <c r="P1634" i="36"/>
  <c r="O1634" i="36"/>
  <c r="N1634" i="36"/>
  <c r="M1634" i="36"/>
  <c r="L1634" i="36"/>
  <c r="K1634" i="36"/>
  <c r="J1634" i="36"/>
  <c r="I1634" i="36"/>
  <c r="H1634" i="36"/>
  <c r="G1634" i="36"/>
  <c r="F1634" i="36"/>
  <c r="E1634" i="36"/>
  <c r="D1634" i="36"/>
  <c r="C1634" i="36"/>
  <c r="B1634" i="36"/>
  <c r="R1633" i="36"/>
  <c r="Q1633" i="36"/>
  <c r="P1633" i="36"/>
  <c r="O1633" i="36"/>
  <c r="N1633" i="36"/>
  <c r="M1633" i="36"/>
  <c r="L1633" i="36"/>
  <c r="K1633" i="36"/>
  <c r="J1633" i="36"/>
  <c r="I1633" i="36"/>
  <c r="H1633" i="36"/>
  <c r="G1633" i="36"/>
  <c r="F1633" i="36"/>
  <c r="E1633" i="36"/>
  <c r="D1633" i="36"/>
  <c r="C1633" i="36"/>
  <c r="B1633" i="36"/>
  <c r="R1632" i="36"/>
  <c r="Q1632" i="36"/>
  <c r="P1632" i="36"/>
  <c r="O1632" i="36"/>
  <c r="N1632" i="36"/>
  <c r="M1632" i="36"/>
  <c r="L1632" i="36"/>
  <c r="K1632" i="36"/>
  <c r="J1632" i="36"/>
  <c r="I1632" i="36"/>
  <c r="H1632" i="36"/>
  <c r="G1632" i="36"/>
  <c r="F1632" i="36"/>
  <c r="E1632" i="36"/>
  <c r="D1632" i="36"/>
  <c r="C1632" i="36"/>
  <c r="B1632" i="36"/>
  <c r="R1631" i="36"/>
  <c r="Q1631" i="36"/>
  <c r="P1631" i="36"/>
  <c r="O1631" i="36"/>
  <c r="N1631" i="36"/>
  <c r="M1631" i="36"/>
  <c r="L1631" i="36"/>
  <c r="K1631" i="36"/>
  <c r="J1631" i="36"/>
  <c r="I1631" i="36"/>
  <c r="H1631" i="36"/>
  <c r="G1631" i="36"/>
  <c r="F1631" i="36"/>
  <c r="E1631" i="36"/>
  <c r="D1631" i="36"/>
  <c r="C1631" i="36"/>
  <c r="B1631" i="36"/>
  <c r="R1630" i="36"/>
  <c r="Q1630" i="36"/>
  <c r="P1630" i="36"/>
  <c r="O1630" i="36"/>
  <c r="N1630" i="36"/>
  <c r="M1630" i="36"/>
  <c r="L1630" i="36"/>
  <c r="K1630" i="36"/>
  <c r="J1630" i="36"/>
  <c r="I1630" i="36"/>
  <c r="H1630" i="36"/>
  <c r="G1630" i="36"/>
  <c r="F1630" i="36"/>
  <c r="E1630" i="36"/>
  <c r="D1630" i="36"/>
  <c r="C1630" i="36"/>
  <c r="B1630" i="36"/>
  <c r="R1629" i="36"/>
  <c r="Q1629" i="36"/>
  <c r="P1629" i="36"/>
  <c r="O1629" i="36"/>
  <c r="N1629" i="36"/>
  <c r="M1629" i="36"/>
  <c r="L1629" i="36"/>
  <c r="K1629" i="36"/>
  <c r="J1629" i="36"/>
  <c r="I1629" i="36"/>
  <c r="H1629" i="36"/>
  <c r="G1629" i="36"/>
  <c r="F1629" i="36"/>
  <c r="E1629" i="36"/>
  <c r="D1629" i="36"/>
  <c r="C1629" i="36"/>
  <c r="B1629" i="36"/>
  <c r="R1628" i="36"/>
  <c r="Q1628" i="36"/>
  <c r="P1628" i="36"/>
  <c r="O1628" i="36"/>
  <c r="N1628" i="36"/>
  <c r="M1628" i="36"/>
  <c r="L1628" i="36"/>
  <c r="K1628" i="36"/>
  <c r="J1628" i="36"/>
  <c r="I1628" i="36"/>
  <c r="H1628" i="36"/>
  <c r="G1628" i="36"/>
  <c r="F1628" i="36"/>
  <c r="E1628" i="36"/>
  <c r="D1628" i="36"/>
  <c r="C1628" i="36"/>
  <c r="B1628" i="36"/>
  <c r="R1627" i="36"/>
  <c r="Q1627" i="36"/>
  <c r="P1627" i="36"/>
  <c r="O1627" i="36"/>
  <c r="N1627" i="36"/>
  <c r="M1627" i="36"/>
  <c r="L1627" i="36"/>
  <c r="K1627" i="36"/>
  <c r="J1627" i="36"/>
  <c r="I1627" i="36"/>
  <c r="H1627" i="36"/>
  <c r="G1627" i="36"/>
  <c r="F1627" i="36"/>
  <c r="E1627" i="36"/>
  <c r="D1627" i="36"/>
  <c r="C1627" i="36"/>
  <c r="B1627" i="36"/>
  <c r="R1626" i="36"/>
  <c r="Q1626" i="36"/>
  <c r="P1626" i="36"/>
  <c r="O1626" i="36"/>
  <c r="N1626" i="36"/>
  <c r="M1626" i="36"/>
  <c r="L1626" i="36"/>
  <c r="K1626" i="36"/>
  <c r="J1626" i="36"/>
  <c r="I1626" i="36"/>
  <c r="H1626" i="36"/>
  <c r="G1626" i="36"/>
  <c r="F1626" i="36"/>
  <c r="E1626" i="36"/>
  <c r="D1626" i="36"/>
  <c r="C1626" i="36"/>
  <c r="B1626" i="36"/>
  <c r="R1625" i="36"/>
  <c r="Q1625" i="36"/>
  <c r="P1625" i="36"/>
  <c r="O1625" i="36"/>
  <c r="N1625" i="36"/>
  <c r="M1625" i="36"/>
  <c r="L1625" i="36"/>
  <c r="K1625" i="36"/>
  <c r="J1625" i="36"/>
  <c r="I1625" i="36"/>
  <c r="H1625" i="36"/>
  <c r="G1625" i="36"/>
  <c r="F1625" i="36"/>
  <c r="E1625" i="36"/>
  <c r="D1625" i="36"/>
  <c r="C1625" i="36"/>
  <c r="B1625" i="36"/>
  <c r="R1624" i="36"/>
  <c r="Q1624" i="36"/>
  <c r="P1624" i="36"/>
  <c r="O1624" i="36"/>
  <c r="N1624" i="36"/>
  <c r="M1624" i="36"/>
  <c r="L1624" i="36"/>
  <c r="K1624" i="36"/>
  <c r="J1624" i="36"/>
  <c r="I1624" i="36"/>
  <c r="H1624" i="36"/>
  <c r="G1624" i="36"/>
  <c r="F1624" i="36"/>
  <c r="E1624" i="36"/>
  <c r="D1624" i="36"/>
  <c r="C1624" i="36"/>
  <c r="B1624" i="36"/>
  <c r="R1623" i="36"/>
  <c r="Q1623" i="36"/>
  <c r="P1623" i="36"/>
  <c r="O1623" i="36"/>
  <c r="N1623" i="36"/>
  <c r="M1623" i="36"/>
  <c r="L1623" i="36"/>
  <c r="K1623" i="36"/>
  <c r="J1623" i="36"/>
  <c r="I1623" i="36"/>
  <c r="H1623" i="36"/>
  <c r="G1623" i="36"/>
  <c r="F1623" i="36"/>
  <c r="E1623" i="36"/>
  <c r="D1623" i="36"/>
  <c r="C1623" i="36"/>
  <c r="B1623" i="36"/>
  <c r="R1622" i="36"/>
  <c r="Q1622" i="36"/>
  <c r="P1622" i="36"/>
  <c r="O1622" i="36"/>
  <c r="N1622" i="36"/>
  <c r="M1622" i="36"/>
  <c r="L1622" i="36"/>
  <c r="K1622" i="36"/>
  <c r="J1622" i="36"/>
  <c r="I1622" i="36"/>
  <c r="H1622" i="36"/>
  <c r="G1622" i="36"/>
  <c r="F1622" i="36"/>
  <c r="E1622" i="36"/>
  <c r="D1622" i="36"/>
  <c r="C1622" i="36"/>
  <c r="B1622" i="36"/>
  <c r="R1621" i="36"/>
  <c r="Q1621" i="36"/>
  <c r="P1621" i="36"/>
  <c r="O1621" i="36"/>
  <c r="N1621" i="36"/>
  <c r="M1621" i="36"/>
  <c r="L1621" i="36"/>
  <c r="K1621" i="36"/>
  <c r="J1621" i="36"/>
  <c r="I1621" i="36"/>
  <c r="H1621" i="36"/>
  <c r="G1621" i="36"/>
  <c r="F1621" i="36"/>
  <c r="E1621" i="36"/>
  <c r="D1621" i="36"/>
  <c r="C1621" i="36"/>
  <c r="B1621" i="36"/>
  <c r="R1620" i="36"/>
  <c r="Q1620" i="36"/>
  <c r="P1620" i="36"/>
  <c r="O1620" i="36"/>
  <c r="N1620" i="36"/>
  <c r="M1620" i="36"/>
  <c r="L1620" i="36"/>
  <c r="K1620" i="36"/>
  <c r="J1620" i="36"/>
  <c r="I1620" i="36"/>
  <c r="H1620" i="36"/>
  <c r="G1620" i="36"/>
  <c r="F1620" i="36"/>
  <c r="E1620" i="36"/>
  <c r="D1620" i="36"/>
  <c r="C1620" i="36"/>
  <c r="B1620" i="36"/>
  <c r="R1619" i="36"/>
  <c r="Q1619" i="36"/>
  <c r="P1619" i="36"/>
  <c r="O1619" i="36"/>
  <c r="N1619" i="36"/>
  <c r="M1619" i="36"/>
  <c r="L1619" i="36"/>
  <c r="K1619" i="36"/>
  <c r="J1619" i="36"/>
  <c r="I1619" i="36"/>
  <c r="H1619" i="36"/>
  <c r="G1619" i="36"/>
  <c r="F1619" i="36"/>
  <c r="E1619" i="36"/>
  <c r="D1619" i="36"/>
  <c r="C1619" i="36"/>
  <c r="B1619" i="36"/>
  <c r="R1618" i="36"/>
  <c r="Q1618" i="36"/>
  <c r="P1618" i="36"/>
  <c r="O1618" i="36"/>
  <c r="N1618" i="36"/>
  <c r="M1618" i="36"/>
  <c r="L1618" i="36"/>
  <c r="K1618" i="36"/>
  <c r="J1618" i="36"/>
  <c r="I1618" i="36"/>
  <c r="H1618" i="36"/>
  <c r="G1618" i="36"/>
  <c r="F1618" i="36"/>
  <c r="E1618" i="36"/>
  <c r="D1618" i="36"/>
  <c r="C1618" i="36"/>
  <c r="B1618" i="36"/>
  <c r="R1617" i="36"/>
  <c r="Q1617" i="36"/>
  <c r="P1617" i="36"/>
  <c r="O1617" i="36"/>
  <c r="N1617" i="36"/>
  <c r="M1617" i="36"/>
  <c r="L1617" i="36"/>
  <c r="K1617" i="36"/>
  <c r="J1617" i="36"/>
  <c r="I1617" i="36"/>
  <c r="H1617" i="36"/>
  <c r="G1617" i="36"/>
  <c r="F1617" i="36"/>
  <c r="E1617" i="36"/>
  <c r="D1617" i="36"/>
  <c r="C1617" i="36"/>
  <c r="B1617" i="36"/>
  <c r="R1616" i="36"/>
  <c r="Q1616" i="36"/>
  <c r="P1616" i="36"/>
  <c r="O1616" i="36"/>
  <c r="N1616" i="36"/>
  <c r="M1616" i="36"/>
  <c r="L1616" i="36"/>
  <c r="K1616" i="36"/>
  <c r="J1616" i="36"/>
  <c r="I1616" i="36"/>
  <c r="H1616" i="36"/>
  <c r="G1616" i="36"/>
  <c r="F1616" i="36"/>
  <c r="E1616" i="36"/>
  <c r="D1616" i="36"/>
  <c r="C1616" i="36"/>
  <c r="B1616" i="36"/>
  <c r="R1615" i="36"/>
  <c r="Q1615" i="36"/>
  <c r="P1615" i="36"/>
  <c r="O1615" i="36"/>
  <c r="N1615" i="36"/>
  <c r="M1615" i="36"/>
  <c r="L1615" i="36"/>
  <c r="K1615" i="36"/>
  <c r="J1615" i="36"/>
  <c r="I1615" i="36"/>
  <c r="H1615" i="36"/>
  <c r="G1615" i="36"/>
  <c r="F1615" i="36"/>
  <c r="E1615" i="36"/>
  <c r="D1615" i="36"/>
  <c r="C1615" i="36"/>
  <c r="B1615" i="36"/>
  <c r="R1614" i="36"/>
  <c r="Q1614" i="36"/>
  <c r="P1614" i="36"/>
  <c r="O1614" i="36"/>
  <c r="N1614" i="36"/>
  <c r="M1614" i="36"/>
  <c r="L1614" i="36"/>
  <c r="K1614" i="36"/>
  <c r="J1614" i="36"/>
  <c r="I1614" i="36"/>
  <c r="H1614" i="36"/>
  <c r="G1614" i="36"/>
  <c r="F1614" i="36"/>
  <c r="E1614" i="36"/>
  <c r="D1614" i="36"/>
  <c r="C1614" i="36"/>
  <c r="B1614" i="36"/>
  <c r="R1613" i="36"/>
  <c r="Q1613" i="36"/>
  <c r="P1613" i="36"/>
  <c r="O1613" i="36"/>
  <c r="N1613" i="36"/>
  <c r="M1613" i="36"/>
  <c r="L1613" i="36"/>
  <c r="K1613" i="36"/>
  <c r="J1613" i="36"/>
  <c r="I1613" i="36"/>
  <c r="H1613" i="36"/>
  <c r="G1613" i="36"/>
  <c r="F1613" i="36"/>
  <c r="E1613" i="36"/>
  <c r="D1613" i="36"/>
  <c r="C1613" i="36"/>
  <c r="B1613" i="36"/>
  <c r="R1612" i="36"/>
  <c r="Q1612" i="36"/>
  <c r="P1612" i="36"/>
  <c r="O1612" i="36"/>
  <c r="N1612" i="36"/>
  <c r="M1612" i="36"/>
  <c r="L1612" i="36"/>
  <c r="K1612" i="36"/>
  <c r="J1612" i="36"/>
  <c r="I1612" i="36"/>
  <c r="H1612" i="36"/>
  <c r="G1612" i="36"/>
  <c r="F1612" i="36"/>
  <c r="E1612" i="36"/>
  <c r="D1612" i="36"/>
  <c r="C1612" i="36"/>
  <c r="B1612" i="36"/>
  <c r="R1611" i="36"/>
  <c r="Q1611" i="36"/>
  <c r="P1611" i="36"/>
  <c r="O1611" i="36"/>
  <c r="N1611" i="36"/>
  <c r="M1611" i="36"/>
  <c r="L1611" i="36"/>
  <c r="K1611" i="36"/>
  <c r="J1611" i="36"/>
  <c r="I1611" i="36"/>
  <c r="H1611" i="36"/>
  <c r="G1611" i="36"/>
  <c r="F1611" i="36"/>
  <c r="E1611" i="36"/>
  <c r="D1611" i="36"/>
  <c r="C1611" i="36"/>
  <c r="B1611" i="36"/>
  <c r="R1610" i="36"/>
  <c r="Q1610" i="36"/>
  <c r="P1610" i="36"/>
  <c r="O1610" i="36"/>
  <c r="N1610" i="36"/>
  <c r="M1610" i="36"/>
  <c r="L1610" i="36"/>
  <c r="K1610" i="36"/>
  <c r="J1610" i="36"/>
  <c r="I1610" i="36"/>
  <c r="H1610" i="36"/>
  <c r="G1610" i="36"/>
  <c r="F1610" i="36"/>
  <c r="E1610" i="36"/>
  <c r="D1610" i="36"/>
  <c r="C1610" i="36"/>
  <c r="B1610" i="36"/>
  <c r="R1609" i="36"/>
  <c r="Q1609" i="36"/>
  <c r="P1609" i="36"/>
  <c r="O1609" i="36"/>
  <c r="N1609" i="36"/>
  <c r="M1609" i="36"/>
  <c r="L1609" i="36"/>
  <c r="K1609" i="36"/>
  <c r="J1609" i="36"/>
  <c r="I1609" i="36"/>
  <c r="H1609" i="36"/>
  <c r="G1609" i="36"/>
  <c r="F1609" i="36"/>
  <c r="E1609" i="36"/>
  <c r="D1609" i="36"/>
  <c r="C1609" i="36"/>
  <c r="B1609" i="36"/>
  <c r="R1608" i="36"/>
  <c r="Q1608" i="36"/>
  <c r="P1608" i="36"/>
  <c r="O1608" i="36"/>
  <c r="N1608" i="36"/>
  <c r="M1608" i="36"/>
  <c r="L1608" i="36"/>
  <c r="K1608" i="36"/>
  <c r="J1608" i="36"/>
  <c r="I1608" i="36"/>
  <c r="H1608" i="36"/>
  <c r="G1608" i="36"/>
  <c r="F1608" i="36"/>
  <c r="E1608" i="36"/>
  <c r="D1608" i="36"/>
  <c r="C1608" i="36"/>
  <c r="B1608" i="36"/>
  <c r="R1607" i="36"/>
  <c r="Q1607" i="36"/>
  <c r="P1607" i="36"/>
  <c r="O1607" i="36"/>
  <c r="N1607" i="36"/>
  <c r="M1607" i="36"/>
  <c r="L1607" i="36"/>
  <c r="K1607" i="36"/>
  <c r="J1607" i="36"/>
  <c r="I1607" i="36"/>
  <c r="H1607" i="36"/>
  <c r="G1607" i="36"/>
  <c r="F1607" i="36"/>
  <c r="E1607" i="36"/>
  <c r="D1607" i="36"/>
  <c r="C1607" i="36"/>
  <c r="B1607" i="36"/>
  <c r="R1606" i="36"/>
  <c r="Q1606" i="36"/>
  <c r="P1606" i="36"/>
  <c r="O1606" i="36"/>
  <c r="N1606" i="36"/>
  <c r="M1606" i="36"/>
  <c r="L1606" i="36"/>
  <c r="K1606" i="36"/>
  <c r="J1606" i="36"/>
  <c r="I1606" i="36"/>
  <c r="H1606" i="36"/>
  <c r="G1606" i="36"/>
  <c r="F1606" i="36"/>
  <c r="E1606" i="36"/>
  <c r="D1606" i="36"/>
  <c r="C1606" i="36"/>
  <c r="B1606" i="36"/>
  <c r="R1605" i="36"/>
  <c r="Q1605" i="36"/>
  <c r="P1605" i="36"/>
  <c r="O1605" i="36"/>
  <c r="N1605" i="36"/>
  <c r="M1605" i="36"/>
  <c r="L1605" i="36"/>
  <c r="K1605" i="36"/>
  <c r="J1605" i="36"/>
  <c r="I1605" i="36"/>
  <c r="H1605" i="36"/>
  <c r="G1605" i="36"/>
  <c r="F1605" i="36"/>
  <c r="E1605" i="36"/>
  <c r="D1605" i="36"/>
  <c r="C1605" i="36"/>
  <c r="B1605" i="36"/>
  <c r="R1604" i="36"/>
  <c r="Q1604" i="36"/>
  <c r="P1604" i="36"/>
  <c r="O1604" i="36"/>
  <c r="N1604" i="36"/>
  <c r="M1604" i="36"/>
  <c r="L1604" i="36"/>
  <c r="K1604" i="36"/>
  <c r="J1604" i="36"/>
  <c r="I1604" i="36"/>
  <c r="H1604" i="36"/>
  <c r="G1604" i="36"/>
  <c r="F1604" i="36"/>
  <c r="E1604" i="36"/>
  <c r="D1604" i="36"/>
  <c r="C1604" i="36"/>
  <c r="B1604" i="36"/>
  <c r="R1603" i="36"/>
  <c r="Q1603" i="36"/>
  <c r="P1603" i="36"/>
  <c r="O1603" i="36"/>
  <c r="N1603" i="36"/>
  <c r="M1603" i="36"/>
  <c r="L1603" i="36"/>
  <c r="K1603" i="36"/>
  <c r="J1603" i="36"/>
  <c r="I1603" i="36"/>
  <c r="H1603" i="36"/>
  <c r="G1603" i="36"/>
  <c r="F1603" i="36"/>
  <c r="E1603" i="36"/>
  <c r="D1603" i="36"/>
  <c r="C1603" i="36"/>
  <c r="B1603" i="36"/>
  <c r="R1602" i="36"/>
  <c r="Q1602" i="36"/>
  <c r="P1602" i="36"/>
  <c r="O1602" i="36"/>
  <c r="N1602" i="36"/>
  <c r="M1602" i="36"/>
  <c r="L1602" i="36"/>
  <c r="K1602" i="36"/>
  <c r="J1602" i="36"/>
  <c r="I1602" i="36"/>
  <c r="H1602" i="36"/>
  <c r="G1602" i="36"/>
  <c r="F1602" i="36"/>
  <c r="E1602" i="36"/>
  <c r="D1602" i="36"/>
  <c r="C1602" i="36"/>
  <c r="B1602" i="36"/>
  <c r="R1601" i="36"/>
  <c r="Q1601" i="36"/>
  <c r="P1601" i="36"/>
  <c r="O1601" i="36"/>
  <c r="N1601" i="36"/>
  <c r="M1601" i="36"/>
  <c r="L1601" i="36"/>
  <c r="K1601" i="36"/>
  <c r="J1601" i="36"/>
  <c r="I1601" i="36"/>
  <c r="H1601" i="36"/>
  <c r="G1601" i="36"/>
  <c r="F1601" i="36"/>
  <c r="E1601" i="36"/>
  <c r="D1601" i="36"/>
  <c r="C1601" i="36"/>
  <c r="B1601" i="36"/>
  <c r="R1600" i="36"/>
  <c r="Q1600" i="36"/>
  <c r="P1600" i="36"/>
  <c r="O1600" i="36"/>
  <c r="N1600" i="36"/>
  <c r="M1600" i="36"/>
  <c r="L1600" i="36"/>
  <c r="K1600" i="36"/>
  <c r="J1600" i="36"/>
  <c r="I1600" i="36"/>
  <c r="H1600" i="36"/>
  <c r="G1600" i="36"/>
  <c r="F1600" i="36"/>
  <c r="E1600" i="36"/>
  <c r="D1600" i="36"/>
  <c r="C1600" i="36"/>
  <c r="B1600" i="36"/>
  <c r="R1599" i="36"/>
  <c r="Q1599" i="36"/>
  <c r="P1599" i="36"/>
  <c r="O1599" i="36"/>
  <c r="N1599" i="36"/>
  <c r="M1599" i="36"/>
  <c r="L1599" i="36"/>
  <c r="K1599" i="36"/>
  <c r="J1599" i="36"/>
  <c r="I1599" i="36"/>
  <c r="H1599" i="36"/>
  <c r="G1599" i="36"/>
  <c r="F1599" i="36"/>
  <c r="E1599" i="36"/>
  <c r="D1599" i="36"/>
  <c r="C1599" i="36"/>
  <c r="B1599" i="36"/>
  <c r="R1598" i="36"/>
  <c r="Q1598" i="36"/>
  <c r="P1598" i="36"/>
  <c r="O1598" i="36"/>
  <c r="N1598" i="36"/>
  <c r="M1598" i="36"/>
  <c r="L1598" i="36"/>
  <c r="K1598" i="36"/>
  <c r="J1598" i="36"/>
  <c r="I1598" i="36"/>
  <c r="H1598" i="36"/>
  <c r="G1598" i="36"/>
  <c r="F1598" i="36"/>
  <c r="E1598" i="36"/>
  <c r="D1598" i="36"/>
  <c r="C1598" i="36"/>
  <c r="B1598" i="36"/>
  <c r="R1597" i="36"/>
  <c r="Q1597" i="36"/>
  <c r="P1597" i="36"/>
  <c r="O1597" i="36"/>
  <c r="N1597" i="36"/>
  <c r="M1597" i="36"/>
  <c r="L1597" i="36"/>
  <c r="K1597" i="36"/>
  <c r="J1597" i="36"/>
  <c r="I1597" i="36"/>
  <c r="H1597" i="36"/>
  <c r="G1597" i="36"/>
  <c r="F1597" i="36"/>
  <c r="E1597" i="36"/>
  <c r="D1597" i="36"/>
  <c r="C1597" i="36"/>
  <c r="B1597" i="36"/>
  <c r="R1596" i="36"/>
  <c r="Q1596" i="36"/>
  <c r="P1596" i="36"/>
  <c r="O1596" i="36"/>
  <c r="N1596" i="36"/>
  <c r="M1596" i="36"/>
  <c r="L1596" i="36"/>
  <c r="K1596" i="36"/>
  <c r="J1596" i="36"/>
  <c r="I1596" i="36"/>
  <c r="H1596" i="36"/>
  <c r="G1596" i="36"/>
  <c r="F1596" i="36"/>
  <c r="E1596" i="36"/>
  <c r="D1596" i="36"/>
  <c r="C1596" i="36"/>
  <c r="B1596" i="36"/>
  <c r="R1595" i="36"/>
  <c r="Q1595" i="36"/>
  <c r="P1595" i="36"/>
  <c r="O1595" i="36"/>
  <c r="N1595" i="36"/>
  <c r="M1595" i="36"/>
  <c r="L1595" i="36"/>
  <c r="K1595" i="36"/>
  <c r="J1595" i="36"/>
  <c r="I1595" i="36"/>
  <c r="H1595" i="36"/>
  <c r="G1595" i="36"/>
  <c r="F1595" i="36"/>
  <c r="E1595" i="36"/>
  <c r="D1595" i="36"/>
  <c r="C1595" i="36"/>
  <c r="B1595" i="36"/>
  <c r="R1594" i="36"/>
  <c r="Q1594" i="36"/>
  <c r="P1594" i="36"/>
  <c r="O1594" i="36"/>
  <c r="N1594" i="36"/>
  <c r="M1594" i="36"/>
  <c r="L1594" i="36"/>
  <c r="K1594" i="36"/>
  <c r="J1594" i="36"/>
  <c r="I1594" i="36"/>
  <c r="H1594" i="36"/>
  <c r="G1594" i="36"/>
  <c r="F1594" i="36"/>
  <c r="E1594" i="36"/>
  <c r="D1594" i="36"/>
  <c r="C1594" i="36"/>
  <c r="B1594" i="36"/>
  <c r="R1593" i="36"/>
  <c r="Q1593" i="36"/>
  <c r="P1593" i="36"/>
  <c r="O1593" i="36"/>
  <c r="N1593" i="36"/>
  <c r="M1593" i="36"/>
  <c r="L1593" i="36"/>
  <c r="K1593" i="36"/>
  <c r="J1593" i="36"/>
  <c r="I1593" i="36"/>
  <c r="H1593" i="36"/>
  <c r="G1593" i="36"/>
  <c r="F1593" i="36"/>
  <c r="E1593" i="36"/>
  <c r="D1593" i="36"/>
  <c r="C1593" i="36"/>
  <c r="B1593" i="36"/>
  <c r="R1592" i="36"/>
  <c r="Q1592" i="36"/>
  <c r="P1592" i="36"/>
  <c r="O1592" i="36"/>
  <c r="N1592" i="36"/>
  <c r="M1592" i="36"/>
  <c r="L1592" i="36"/>
  <c r="K1592" i="36"/>
  <c r="J1592" i="36"/>
  <c r="I1592" i="36"/>
  <c r="H1592" i="36"/>
  <c r="G1592" i="36"/>
  <c r="F1592" i="36"/>
  <c r="E1592" i="36"/>
  <c r="D1592" i="36"/>
  <c r="C1592" i="36"/>
  <c r="B1592" i="36"/>
  <c r="R1591" i="36"/>
  <c r="Q1591" i="36"/>
  <c r="P1591" i="36"/>
  <c r="O1591" i="36"/>
  <c r="N1591" i="36"/>
  <c r="M1591" i="36"/>
  <c r="L1591" i="36"/>
  <c r="K1591" i="36"/>
  <c r="J1591" i="36"/>
  <c r="I1591" i="36"/>
  <c r="H1591" i="36"/>
  <c r="G1591" i="36"/>
  <c r="F1591" i="36"/>
  <c r="E1591" i="36"/>
  <c r="D1591" i="36"/>
  <c r="C1591" i="36"/>
  <c r="B1591" i="36"/>
  <c r="R1590" i="36"/>
  <c r="Q1590" i="36"/>
  <c r="P1590" i="36"/>
  <c r="O1590" i="36"/>
  <c r="N1590" i="36"/>
  <c r="M1590" i="36"/>
  <c r="L1590" i="36"/>
  <c r="K1590" i="36"/>
  <c r="J1590" i="36"/>
  <c r="I1590" i="36"/>
  <c r="H1590" i="36"/>
  <c r="G1590" i="36"/>
  <c r="F1590" i="36"/>
  <c r="E1590" i="36"/>
  <c r="D1590" i="36"/>
  <c r="C1590" i="36"/>
  <c r="B1590" i="36"/>
  <c r="R1589" i="36"/>
  <c r="Q1589" i="36"/>
  <c r="P1589" i="36"/>
  <c r="O1589" i="36"/>
  <c r="N1589" i="36"/>
  <c r="M1589" i="36"/>
  <c r="L1589" i="36"/>
  <c r="K1589" i="36"/>
  <c r="J1589" i="36"/>
  <c r="I1589" i="36"/>
  <c r="H1589" i="36"/>
  <c r="G1589" i="36"/>
  <c r="F1589" i="36"/>
  <c r="E1589" i="36"/>
  <c r="D1589" i="36"/>
  <c r="C1589" i="36"/>
  <c r="B1589" i="36"/>
  <c r="R1588" i="36"/>
  <c r="Q1588" i="36"/>
  <c r="P1588" i="36"/>
  <c r="O1588" i="36"/>
  <c r="N1588" i="36"/>
  <c r="M1588" i="36"/>
  <c r="L1588" i="36"/>
  <c r="K1588" i="36"/>
  <c r="J1588" i="36"/>
  <c r="I1588" i="36"/>
  <c r="H1588" i="36"/>
  <c r="G1588" i="36"/>
  <c r="F1588" i="36"/>
  <c r="E1588" i="36"/>
  <c r="D1588" i="36"/>
  <c r="C1588" i="36"/>
  <c r="B1588" i="36"/>
  <c r="R1587" i="36"/>
  <c r="Q1587" i="36"/>
  <c r="P1587" i="36"/>
  <c r="O1587" i="36"/>
  <c r="N1587" i="36"/>
  <c r="M1587" i="36"/>
  <c r="L1587" i="36"/>
  <c r="K1587" i="36"/>
  <c r="J1587" i="36"/>
  <c r="I1587" i="36"/>
  <c r="H1587" i="36"/>
  <c r="G1587" i="36"/>
  <c r="F1587" i="36"/>
  <c r="E1587" i="36"/>
  <c r="D1587" i="36"/>
  <c r="C1587" i="36"/>
  <c r="B1587" i="36"/>
  <c r="R1586" i="36"/>
  <c r="Q1586" i="36"/>
  <c r="P1586" i="36"/>
  <c r="O1586" i="36"/>
  <c r="N1586" i="36"/>
  <c r="M1586" i="36"/>
  <c r="L1586" i="36"/>
  <c r="K1586" i="36"/>
  <c r="J1586" i="36"/>
  <c r="I1586" i="36"/>
  <c r="H1586" i="36"/>
  <c r="G1586" i="36"/>
  <c r="F1586" i="36"/>
  <c r="E1586" i="36"/>
  <c r="D1586" i="36"/>
  <c r="C1586" i="36"/>
  <c r="B1586" i="36"/>
  <c r="R1585" i="36"/>
  <c r="Q1585" i="36"/>
  <c r="P1585" i="36"/>
  <c r="O1585" i="36"/>
  <c r="N1585" i="36"/>
  <c r="M1585" i="36"/>
  <c r="L1585" i="36"/>
  <c r="K1585" i="36"/>
  <c r="J1585" i="36"/>
  <c r="I1585" i="36"/>
  <c r="H1585" i="36"/>
  <c r="G1585" i="36"/>
  <c r="F1585" i="36"/>
  <c r="E1585" i="36"/>
  <c r="D1585" i="36"/>
  <c r="C1585" i="36"/>
  <c r="B1585" i="36"/>
  <c r="R1584" i="36"/>
  <c r="Q1584" i="36"/>
  <c r="P1584" i="36"/>
  <c r="O1584" i="36"/>
  <c r="N1584" i="36"/>
  <c r="M1584" i="36"/>
  <c r="L1584" i="36"/>
  <c r="K1584" i="36"/>
  <c r="J1584" i="36"/>
  <c r="I1584" i="36"/>
  <c r="H1584" i="36"/>
  <c r="G1584" i="36"/>
  <c r="F1584" i="36"/>
  <c r="E1584" i="36"/>
  <c r="D1584" i="36"/>
  <c r="C1584" i="36"/>
  <c r="B1584" i="36"/>
  <c r="R1583" i="36"/>
  <c r="Q1583" i="36"/>
  <c r="P1583" i="36"/>
  <c r="O1583" i="36"/>
  <c r="N1583" i="36"/>
  <c r="M1583" i="36"/>
  <c r="L1583" i="36"/>
  <c r="K1583" i="36"/>
  <c r="J1583" i="36"/>
  <c r="I1583" i="36"/>
  <c r="H1583" i="36"/>
  <c r="G1583" i="36"/>
  <c r="F1583" i="36"/>
  <c r="E1583" i="36"/>
  <c r="D1583" i="36"/>
  <c r="C1583" i="36"/>
  <c r="B1583" i="36"/>
  <c r="R1582" i="36"/>
  <c r="Q1582" i="36"/>
  <c r="P1582" i="36"/>
  <c r="O1582" i="36"/>
  <c r="N1582" i="36"/>
  <c r="M1582" i="36"/>
  <c r="L1582" i="36"/>
  <c r="K1582" i="36"/>
  <c r="J1582" i="36"/>
  <c r="I1582" i="36"/>
  <c r="H1582" i="36"/>
  <c r="G1582" i="36"/>
  <c r="F1582" i="36"/>
  <c r="E1582" i="36"/>
  <c r="D1582" i="36"/>
  <c r="C1582" i="36"/>
  <c r="B1582" i="36"/>
  <c r="R1581" i="36"/>
  <c r="Q1581" i="36"/>
  <c r="P1581" i="36"/>
  <c r="O1581" i="36"/>
  <c r="N1581" i="36"/>
  <c r="M1581" i="36"/>
  <c r="L1581" i="36"/>
  <c r="K1581" i="36"/>
  <c r="J1581" i="36"/>
  <c r="I1581" i="36"/>
  <c r="H1581" i="36"/>
  <c r="G1581" i="36"/>
  <c r="F1581" i="36"/>
  <c r="E1581" i="36"/>
  <c r="D1581" i="36"/>
  <c r="C1581" i="36"/>
  <c r="B1581" i="36"/>
  <c r="R1580" i="36"/>
  <c r="Q1580" i="36"/>
  <c r="P1580" i="36"/>
  <c r="O1580" i="36"/>
  <c r="N1580" i="36"/>
  <c r="M1580" i="36"/>
  <c r="L1580" i="36"/>
  <c r="K1580" i="36"/>
  <c r="J1580" i="36"/>
  <c r="I1580" i="36"/>
  <c r="H1580" i="36"/>
  <c r="G1580" i="36"/>
  <c r="F1580" i="36"/>
  <c r="E1580" i="36"/>
  <c r="D1580" i="36"/>
  <c r="C1580" i="36"/>
  <c r="B1580" i="36"/>
  <c r="R1579" i="36"/>
  <c r="Q1579" i="36"/>
  <c r="P1579" i="36"/>
  <c r="O1579" i="36"/>
  <c r="N1579" i="36"/>
  <c r="M1579" i="36"/>
  <c r="L1579" i="36"/>
  <c r="K1579" i="36"/>
  <c r="J1579" i="36"/>
  <c r="I1579" i="36"/>
  <c r="H1579" i="36"/>
  <c r="G1579" i="36"/>
  <c r="F1579" i="36"/>
  <c r="E1579" i="36"/>
  <c r="D1579" i="36"/>
  <c r="C1579" i="36"/>
  <c r="B1579" i="36"/>
  <c r="R1578" i="36"/>
  <c r="Q1578" i="36"/>
  <c r="P1578" i="36"/>
  <c r="O1578" i="36"/>
  <c r="N1578" i="36"/>
  <c r="M1578" i="36"/>
  <c r="L1578" i="36"/>
  <c r="K1578" i="36"/>
  <c r="J1578" i="36"/>
  <c r="I1578" i="36"/>
  <c r="H1578" i="36"/>
  <c r="G1578" i="36"/>
  <c r="F1578" i="36"/>
  <c r="E1578" i="36"/>
  <c r="D1578" i="36"/>
  <c r="C1578" i="36"/>
  <c r="B1578" i="36"/>
  <c r="R1577" i="36"/>
  <c r="Q1577" i="36"/>
  <c r="P1577" i="36"/>
  <c r="O1577" i="36"/>
  <c r="N1577" i="36"/>
  <c r="M1577" i="36"/>
  <c r="L1577" i="36"/>
  <c r="K1577" i="36"/>
  <c r="J1577" i="36"/>
  <c r="I1577" i="36"/>
  <c r="H1577" i="36"/>
  <c r="G1577" i="36"/>
  <c r="F1577" i="36"/>
  <c r="E1577" i="36"/>
  <c r="D1577" i="36"/>
  <c r="C1577" i="36"/>
  <c r="B1577" i="36"/>
  <c r="R1576" i="36"/>
  <c r="Q1576" i="36"/>
  <c r="P1576" i="36"/>
  <c r="O1576" i="36"/>
  <c r="N1576" i="36"/>
  <c r="M1576" i="36"/>
  <c r="L1576" i="36"/>
  <c r="K1576" i="36"/>
  <c r="J1576" i="36"/>
  <c r="I1576" i="36"/>
  <c r="H1576" i="36"/>
  <c r="G1576" i="36"/>
  <c r="F1576" i="36"/>
  <c r="E1576" i="36"/>
  <c r="D1576" i="36"/>
  <c r="C1576" i="36"/>
  <c r="B1576" i="36"/>
  <c r="R1575" i="36"/>
  <c r="Q1575" i="36"/>
  <c r="P1575" i="36"/>
  <c r="O1575" i="36"/>
  <c r="N1575" i="36"/>
  <c r="M1575" i="36"/>
  <c r="L1575" i="36"/>
  <c r="K1575" i="36"/>
  <c r="J1575" i="36"/>
  <c r="I1575" i="36"/>
  <c r="H1575" i="36"/>
  <c r="G1575" i="36"/>
  <c r="F1575" i="36"/>
  <c r="E1575" i="36"/>
  <c r="D1575" i="36"/>
  <c r="C1575" i="36"/>
  <c r="B1575" i="36"/>
  <c r="R1574" i="36"/>
  <c r="Q1574" i="36"/>
  <c r="P1574" i="36"/>
  <c r="O1574" i="36"/>
  <c r="N1574" i="36"/>
  <c r="M1574" i="36"/>
  <c r="L1574" i="36"/>
  <c r="K1574" i="36"/>
  <c r="J1574" i="36"/>
  <c r="I1574" i="36"/>
  <c r="H1574" i="36"/>
  <c r="G1574" i="36"/>
  <c r="F1574" i="36"/>
  <c r="E1574" i="36"/>
  <c r="D1574" i="36"/>
  <c r="C1574" i="36"/>
  <c r="B1574" i="36"/>
  <c r="R1573" i="36"/>
  <c r="Q1573" i="36"/>
  <c r="P1573" i="36"/>
  <c r="O1573" i="36"/>
  <c r="N1573" i="36"/>
  <c r="M1573" i="36"/>
  <c r="L1573" i="36"/>
  <c r="K1573" i="36"/>
  <c r="J1573" i="36"/>
  <c r="I1573" i="36"/>
  <c r="H1573" i="36"/>
  <c r="G1573" i="36"/>
  <c r="F1573" i="36"/>
  <c r="E1573" i="36"/>
  <c r="D1573" i="36"/>
  <c r="C1573" i="36"/>
  <c r="B1573" i="36"/>
  <c r="R1572" i="36"/>
  <c r="Q1572" i="36"/>
  <c r="P1572" i="36"/>
  <c r="O1572" i="36"/>
  <c r="N1572" i="36"/>
  <c r="M1572" i="36"/>
  <c r="L1572" i="36"/>
  <c r="K1572" i="36"/>
  <c r="J1572" i="36"/>
  <c r="I1572" i="36"/>
  <c r="H1572" i="36"/>
  <c r="G1572" i="36"/>
  <c r="F1572" i="36"/>
  <c r="E1572" i="36"/>
  <c r="D1572" i="36"/>
  <c r="C1572" i="36"/>
  <c r="B1572" i="36"/>
  <c r="R1571" i="36"/>
  <c r="Q1571" i="36"/>
  <c r="P1571" i="36"/>
  <c r="O1571" i="36"/>
  <c r="N1571" i="36"/>
  <c r="M1571" i="36"/>
  <c r="L1571" i="36"/>
  <c r="K1571" i="36"/>
  <c r="J1571" i="36"/>
  <c r="I1571" i="36"/>
  <c r="H1571" i="36"/>
  <c r="G1571" i="36"/>
  <c r="F1571" i="36"/>
  <c r="E1571" i="36"/>
  <c r="D1571" i="36"/>
  <c r="C1571" i="36"/>
  <c r="B1571" i="36"/>
  <c r="R1570" i="36"/>
  <c r="Q1570" i="36"/>
  <c r="P1570" i="36"/>
  <c r="O1570" i="36"/>
  <c r="N1570" i="36"/>
  <c r="M1570" i="36"/>
  <c r="L1570" i="36"/>
  <c r="K1570" i="36"/>
  <c r="J1570" i="36"/>
  <c r="I1570" i="36"/>
  <c r="H1570" i="36"/>
  <c r="G1570" i="36"/>
  <c r="F1570" i="36"/>
  <c r="E1570" i="36"/>
  <c r="D1570" i="36"/>
  <c r="C1570" i="36"/>
  <c r="B1570" i="36"/>
  <c r="R1569" i="36"/>
  <c r="Q1569" i="36"/>
  <c r="P1569" i="36"/>
  <c r="O1569" i="36"/>
  <c r="N1569" i="36"/>
  <c r="M1569" i="36"/>
  <c r="L1569" i="36"/>
  <c r="K1569" i="36"/>
  <c r="J1569" i="36"/>
  <c r="I1569" i="36"/>
  <c r="H1569" i="36"/>
  <c r="G1569" i="36"/>
  <c r="F1569" i="36"/>
  <c r="E1569" i="36"/>
  <c r="D1569" i="36"/>
  <c r="C1569" i="36"/>
  <c r="B1569" i="36"/>
  <c r="R1568" i="36"/>
  <c r="Q1568" i="36"/>
  <c r="P1568" i="36"/>
  <c r="O1568" i="36"/>
  <c r="N1568" i="36"/>
  <c r="M1568" i="36"/>
  <c r="L1568" i="36"/>
  <c r="K1568" i="36"/>
  <c r="J1568" i="36"/>
  <c r="I1568" i="36"/>
  <c r="H1568" i="36"/>
  <c r="G1568" i="36"/>
  <c r="F1568" i="36"/>
  <c r="E1568" i="36"/>
  <c r="D1568" i="36"/>
  <c r="C1568" i="36"/>
  <c r="B1568" i="36"/>
  <c r="R1567" i="36"/>
  <c r="Q1567" i="36"/>
  <c r="P1567" i="36"/>
  <c r="O1567" i="36"/>
  <c r="N1567" i="36"/>
  <c r="M1567" i="36"/>
  <c r="L1567" i="36"/>
  <c r="K1567" i="36"/>
  <c r="J1567" i="36"/>
  <c r="I1567" i="36"/>
  <c r="H1567" i="36"/>
  <c r="G1567" i="36"/>
  <c r="F1567" i="36"/>
  <c r="E1567" i="36"/>
  <c r="D1567" i="36"/>
  <c r="C1567" i="36"/>
  <c r="B1567" i="36"/>
  <c r="R1566" i="36"/>
  <c r="Q1566" i="36"/>
  <c r="P1566" i="36"/>
  <c r="O1566" i="36"/>
  <c r="N1566" i="36"/>
  <c r="M1566" i="36"/>
  <c r="L1566" i="36"/>
  <c r="K1566" i="36"/>
  <c r="J1566" i="36"/>
  <c r="I1566" i="36"/>
  <c r="H1566" i="36"/>
  <c r="G1566" i="36"/>
  <c r="F1566" i="36"/>
  <c r="E1566" i="36"/>
  <c r="D1566" i="36"/>
  <c r="C1566" i="36"/>
  <c r="B1566" i="36"/>
  <c r="R1565" i="36"/>
  <c r="Q1565" i="36"/>
  <c r="P1565" i="36"/>
  <c r="O1565" i="36"/>
  <c r="N1565" i="36"/>
  <c r="M1565" i="36"/>
  <c r="L1565" i="36"/>
  <c r="K1565" i="36"/>
  <c r="J1565" i="36"/>
  <c r="I1565" i="36"/>
  <c r="H1565" i="36"/>
  <c r="G1565" i="36"/>
  <c r="F1565" i="36"/>
  <c r="E1565" i="36"/>
  <c r="D1565" i="36"/>
  <c r="C1565" i="36"/>
  <c r="B1565" i="36"/>
  <c r="R1564" i="36"/>
  <c r="Q1564" i="36"/>
  <c r="P1564" i="36"/>
  <c r="O1564" i="36"/>
  <c r="N1564" i="36"/>
  <c r="M1564" i="36"/>
  <c r="L1564" i="36"/>
  <c r="K1564" i="36"/>
  <c r="J1564" i="36"/>
  <c r="I1564" i="36"/>
  <c r="H1564" i="36"/>
  <c r="G1564" i="36"/>
  <c r="F1564" i="36"/>
  <c r="E1564" i="36"/>
  <c r="D1564" i="36"/>
  <c r="C1564" i="36"/>
  <c r="B1564" i="36"/>
  <c r="R1563" i="36"/>
  <c r="Q1563" i="36"/>
  <c r="P1563" i="36"/>
  <c r="O1563" i="36"/>
  <c r="N1563" i="36"/>
  <c r="M1563" i="36"/>
  <c r="L1563" i="36"/>
  <c r="K1563" i="36"/>
  <c r="J1563" i="36"/>
  <c r="I1563" i="36"/>
  <c r="H1563" i="36"/>
  <c r="G1563" i="36"/>
  <c r="F1563" i="36"/>
  <c r="E1563" i="36"/>
  <c r="D1563" i="36"/>
  <c r="C1563" i="36"/>
  <c r="B1563" i="36"/>
  <c r="R1562" i="36"/>
  <c r="Q1562" i="36"/>
  <c r="P1562" i="36"/>
  <c r="O1562" i="36"/>
  <c r="N1562" i="36"/>
  <c r="M1562" i="36"/>
  <c r="L1562" i="36"/>
  <c r="K1562" i="36"/>
  <c r="J1562" i="36"/>
  <c r="I1562" i="36"/>
  <c r="H1562" i="36"/>
  <c r="G1562" i="36"/>
  <c r="F1562" i="36"/>
  <c r="E1562" i="36"/>
  <c r="D1562" i="36"/>
  <c r="C1562" i="36"/>
  <c r="B1562" i="36"/>
  <c r="R1561" i="36"/>
  <c r="Q1561" i="36"/>
  <c r="P1561" i="36"/>
  <c r="O1561" i="36"/>
  <c r="N1561" i="36"/>
  <c r="M1561" i="36"/>
  <c r="L1561" i="36"/>
  <c r="K1561" i="36"/>
  <c r="J1561" i="36"/>
  <c r="I1561" i="36"/>
  <c r="H1561" i="36"/>
  <c r="G1561" i="36"/>
  <c r="F1561" i="36"/>
  <c r="E1561" i="36"/>
  <c r="D1561" i="36"/>
  <c r="C1561" i="36"/>
  <c r="B1561" i="36"/>
  <c r="R1560" i="36"/>
  <c r="Q1560" i="36"/>
  <c r="P1560" i="36"/>
  <c r="O1560" i="36"/>
  <c r="N1560" i="36"/>
  <c r="M1560" i="36"/>
  <c r="L1560" i="36"/>
  <c r="K1560" i="36"/>
  <c r="J1560" i="36"/>
  <c r="I1560" i="36"/>
  <c r="H1560" i="36"/>
  <c r="G1560" i="36"/>
  <c r="F1560" i="36"/>
  <c r="E1560" i="36"/>
  <c r="D1560" i="36"/>
  <c r="C1560" i="36"/>
  <c r="B1560" i="36"/>
  <c r="R1559" i="36"/>
  <c r="Q1559" i="36"/>
  <c r="P1559" i="36"/>
  <c r="O1559" i="36"/>
  <c r="N1559" i="36"/>
  <c r="M1559" i="36"/>
  <c r="L1559" i="36"/>
  <c r="K1559" i="36"/>
  <c r="J1559" i="36"/>
  <c r="I1559" i="36"/>
  <c r="H1559" i="36"/>
  <c r="G1559" i="36"/>
  <c r="F1559" i="36"/>
  <c r="E1559" i="36"/>
  <c r="D1559" i="36"/>
  <c r="C1559" i="36"/>
  <c r="B1559" i="36"/>
  <c r="R1558" i="36"/>
  <c r="Q1558" i="36"/>
  <c r="P1558" i="36"/>
  <c r="O1558" i="36"/>
  <c r="N1558" i="36"/>
  <c r="M1558" i="36"/>
  <c r="L1558" i="36"/>
  <c r="K1558" i="36"/>
  <c r="J1558" i="36"/>
  <c r="I1558" i="36"/>
  <c r="H1558" i="36"/>
  <c r="G1558" i="36"/>
  <c r="F1558" i="36"/>
  <c r="E1558" i="36"/>
  <c r="D1558" i="36"/>
  <c r="C1558" i="36"/>
  <c r="B1558" i="36"/>
  <c r="R1557" i="36"/>
  <c r="Q1557" i="36"/>
  <c r="P1557" i="36"/>
  <c r="O1557" i="36"/>
  <c r="N1557" i="36"/>
  <c r="M1557" i="36"/>
  <c r="L1557" i="36"/>
  <c r="K1557" i="36"/>
  <c r="J1557" i="36"/>
  <c r="I1557" i="36"/>
  <c r="H1557" i="36"/>
  <c r="G1557" i="36"/>
  <c r="F1557" i="36"/>
  <c r="E1557" i="36"/>
  <c r="D1557" i="36"/>
  <c r="C1557" i="36"/>
  <c r="B1557" i="36"/>
  <c r="R1556" i="36"/>
  <c r="Q1556" i="36"/>
  <c r="P1556" i="36"/>
  <c r="O1556" i="36"/>
  <c r="N1556" i="36"/>
  <c r="M1556" i="36"/>
  <c r="L1556" i="36"/>
  <c r="K1556" i="36"/>
  <c r="J1556" i="36"/>
  <c r="I1556" i="36"/>
  <c r="H1556" i="36"/>
  <c r="G1556" i="36"/>
  <c r="F1556" i="36"/>
  <c r="E1556" i="36"/>
  <c r="D1556" i="36"/>
  <c r="C1556" i="36"/>
  <c r="B1556" i="36"/>
  <c r="R1555" i="36"/>
  <c r="Q1555" i="36"/>
  <c r="P1555" i="36"/>
  <c r="O1555" i="36"/>
  <c r="N1555" i="36"/>
  <c r="M1555" i="36"/>
  <c r="L1555" i="36"/>
  <c r="K1555" i="36"/>
  <c r="J1555" i="36"/>
  <c r="I1555" i="36"/>
  <c r="H1555" i="36"/>
  <c r="G1555" i="36"/>
  <c r="F1555" i="36"/>
  <c r="E1555" i="36"/>
  <c r="D1555" i="36"/>
  <c r="C1555" i="36"/>
  <c r="B1555" i="36"/>
  <c r="R1554" i="36"/>
  <c r="Q1554" i="36"/>
  <c r="P1554" i="36"/>
  <c r="O1554" i="36"/>
  <c r="N1554" i="36"/>
  <c r="M1554" i="36"/>
  <c r="L1554" i="36"/>
  <c r="K1554" i="36"/>
  <c r="J1554" i="36"/>
  <c r="I1554" i="36"/>
  <c r="H1554" i="36"/>
  <c r="G1554" i="36"/>
  <c r="F1554" i="36"/>
  <c r="E1554" i="36"/>
  <c r="D1554" i="36"/>
  <c r="C1554" i="36"/>
  <c r="B1554" i="36"/>
  <c r="R1553" i="36"/>
  <c r="Q1553" i="36"/>
  <c r="P1553" i="36"/>
  <c r="O1553" i="36"/>
  <c r="N1553" i="36"/>
  <c r="M1553" i="36"/>
  <c r="L1553" i="36"/>
  <c r="K1553" i="36"/>
  <c r="J1553" i="36"/>
  <c r="I1553" i="36"/>
  <c r="H1553" i="36"/>
  <c r="G1553" i="36"/>
  <c r="F1553" i="36"/>
  <c r="E1553" i="36"/>
  <c r="D1553" i="36"/>
  <c r="C1553" i="36"/>
  <c r="B1553" i="36"/>
  <c r="R1552" i="36"/>
  <c r="Q1552" i="36"/>
  <c r="P1552" i="36"/>
  <c r="O1552" i="36"/>
  <c r="N1552" i="36"/>
  <c r="M1552" i="36"/>
  <c r="L1552" i="36"/>
  <c r="K1552" i="36"/>
  <c r="J1552" i="36"/>
  <c r="I1552" i="36"/>
  <c r="H1552" i="36"/>
  <c r="G1552" i="36"/>
  <c r="F1552" i="36"/>
  <c r="E1552" i="36"/>
  <c r="D1552" i="36"/>
  <c r="C1552" i="36"/>
  <c r="B1552" i="36"/>
  <c r="R1551" i="36"/>
  <c r="Q1551" i="36"/>
  <c r="P1551" i="36"/>
  <c r="O1551" i="36"/>
  <c r="N1551" i="36"/>
  <c r="M1551" i="36"/>
  <c r="L1551" i="36"/>
  <c r="K1551" i="36"/>
  <c r="J1551" i="36"/>
  <c r="I1551" i="36"/>
  <c r="H1551" i="36"/>
  <c r="G1551" i="36"/>
  <c r="F1551" i="36"/>
  <c r="E1551" i="36"/>
  <c r="D1551" i="36"/>
  <c r="C1551" i="36"/>
  <c r="B1551" i="36"/>
  <c r="R1550" i="36"/>
  <c r="Q1550" i="36"/>
  <c r="P1550" i="36"/>
  <c r="O1550" i="36"/>
  <c r="N1550" i="36"/>
  <c r="M1550" i="36"/>
  <c r="L1550" i="36"/>
  <c r="K1550" i="36"/>
  <c r="J1550" i="36"/>
  <c r="I1550" i="36"/>
  <c r="H1550" i="36"/>
  <c r="G1550" i="36"/>
  <c r="F1550" i="36"/>
  <c r="E1550" i="36"/>
  <c r="D1550" i="36"/>
  <c r="C1550" i="36"/>
  <c r="B1550" i="36"/>
  <c r="R1549" i="36"/>
  <c r="Q1549" i="36"/>
  <c r="P1549" i="36"/>
  <c r="O1549" i="36"/>
  <c r="N1549" i="36"/>
  <c r="M1549" i="36"/>
  <c r="L1549" i="36"/>
  <c r="K1549" i="36"/>
  <c r="J1549" i="36"/>
  <c r="I1549" i="36"/>
  <c r="H1549" i="36"/>
  <c r="G1549" i="36"/>
  <c r="F1549" i="36"/>
  <c r="E1549" i="36"/>
  <c r="D1549" i="36"/>
  <c r="C1549" i="36"/>
  <c r="B1549" i="36"/>
  <c r="R1548" i="36"/>
  <c r="Q1548" i="36"/>
  <c r="P1548" i="36"/>
  <c r="O1548" i="36"/>
  <c r="N1548" i="36"/>
  <c r="M1548" i="36"/>
  <c r="L1548" i="36"/>
  <c r="K1548" i="36"/>
  <c r="J1548" i="36"/>
  <c r="I1548" i="36"/>
  <c r="H1548" i="36"/>
  <c r="G1548" i="36"/>
  <c r="F1548" i="36"/>
  <c r="E1548" i="36"/>
  <c r="D1548" i="36"/>
  <c r="C1548" i="36"/>
  <c r="B1548" i="36"/>
  <c r="R1547" i="36"/>
  <c r="Q1547" i="36"/>
  <c r="P1547" i="36"/>
  <c r="O1547" i="36"/>
  <c r="N1547" i="36"/>
  <c r="M1547" i="36"/>
  <c r="L1547" i="36"/>
  <c r="K1547" i="36"/>
  <c r="J1547" i="36"/>
  <c r="I1547" i="36"/>
  <c r="H1547" i="36"/>
  <c r="G1547" i="36"/>
  <c r="F1547" i="36"/>
  <c r="E1547" i="36"/>
  <c r="D1547" i="36"/>
  <c r="C1547" i="36"/>
  <c r="B1547" i="36"/>
  <c r="R1546" i="36"/>
  <c r="Q1546" i="36"/>
  <c r="P1546" i="36"/>
  <c r="O1546" i="36"/>
  <c r="N1546" i="36"/>
  <c r="M1546" i="36"/>
  <c r="L1546" i="36"/>
  <c r="K1546" i="36"/>
  <c r="J1546" i="36"/>
  <c r="I1546" i="36"/>
  <c r="H1546" i="36"/>
  <c r="G1546" i="36"/>
  <c r="F1546" i="36"/>
  <c r="E1546" i="36"/>
  <c r="D1546" i="36"/>
  <c r="C1546" i="36"/>
  <c r="B1546" i="36"/>
  <c r="R1545" i="36"/>
  <c r="Q1545" i="36"/>
  <c r="P1545" i="36"/>
  <c r="O1545" i="36"/>
  <c r="N1545" i="36"/>
  <c r="M1545" i="36"/>
  <c r="L1545" i="36"/>
  <c r="K1545" i="36"/>
  <c r="J1545" i="36"/>
  <c r="I1545" i="36"/>
  <c r="H1545" i="36"/>
  <c r="G1545" i="36"/>
  <c r="F1545" i="36"/>
  <c r="E1545" i="36"/>
  <c r="D1545" i="36"/>
  <c r="C1545" i="36"/>
  <c r="B1545" i="36"/>
  <c r="R1544" i="36"/>
  <c r="Q1544" i="36"/>
  <c r="P1544" i="36"/>
  <c r="O1544" i="36"/>
  <c r="N1544" i="36"/>
  <c r="M1544" i="36"/>
  <c r="L1544" i="36"/>
  <c r="K1544" i="36"/>
  <c r="J1544" i="36"/>
  <c r="I1544" i="36"/>
  <c r="H1544" i="36"/>
  <c r="G1544" i="36"/>
  <c r="F1544" i="36"/>
  <c r="E1544" i="36"/>
  <c r="D1544" i="36"/>
  <c r="C1544" i="36"/>
  <c r="B1544" i="36"/>
  <c r="R1543" i="36"/>
  <c r="Q1543" i="36"/>
  <c r="P1543" i="36"/>
  <c r="O1543" i="36"/>
  <c r="N1543" i="36"/>
  <c r="M1543" i="36"/>
  <c r="L1543" i="36"/>
  <c r="K1543" i="36"/>
  <c r="J1543" i="36"/>
  <c r="I1543" i="36"/>
  <c r="H1543" i="36"/>
  <c r="G1543" i="36"/>
  <c r="F1543" i="36"/>
  <c r="E1543" i="36"/>
  <c r="D1543" i="36"/>
  <c r="C1543" i="36"/>
  <c r="B1543" i="36"/>
  <c r="R1542" i="36"/>
  <c r="Q1542" i="36"/>
  <c r="P1542" i="36"/>
  <c r="O1542" i="36"/>
  <c r="N1542" i="36"/>
  <c r="M1542" i="36"/>
  <c r="L1542" i="36"/>
  <c r="K1542" i="36"/>
  <c r="J1542" i="36"/>
  <c r="I1542" i="36"/>
  <c r="H1542" i="36"/>
  <c r="G1542" i="36"/>
  <c r="F1542" i="36"/>
  <c r="E1542" i="36"/>
  <c r="D1542" i="36"/>
  <c r="C1542" i="36"/>
  <c r="B1542" i="36"/>
  <c r="R1541" i="36"/>
  <c r="Q1541" i="36"/>
  <c r="P1541" i="36"/>
  <c r="O1541" i="36"/>
  <c r="N1541" i="36"/>
  <c r="M1541" i="36"/>
  <c r="L1541" i="36"/>
  <c r="K1541" i="36"/>
  <c r="J1541" i="36"/>
  <c r="I1541" i="36"/>
  <c r="H1541" i="36"/>
  <c r="G1541" i="36"/>
  <c r="F1541" i="36"/>
  <c r="E1541" i="36"/>
  <c r="D1541" i="36"/>
  <c r="C1541" i="36"/>
  <c r="B1541" i="36"/>
  <c r="R1540" i="36"/>
  <c r="Q1540" i="36"/>
  <c r="P1540" i="36"/>
  <c r="O1540" i="36"/>
  <c r="N1540" i="36"/>
  <c r="M1540" i="36"/>
  <c r="L1540" i="36"/>
  <c r="K1540" i="36"/>
  <c r="J1540" i="36"/>
  <c r="I1540" i="36"/>
  <c r="H1540" i="36"/>
  <c r="G1540" i="36"/>
  <c r="F1540" i="36"/>
  <c r="E1540" i="36"/>
  <c r="D1540" i="36"/>
  <c r="C1540" i="36"/>
  <c r="B1540" i="36"/>
  <c r="R1539" i="36"/>
  <c r="Q1539" i="36"/>
  <c r="P1539" i="36"/>
  <c r="O1539" i="36"/>
  <c r="N1539" i="36"/>
  <c r="M1539" i="36"/>
  <c r="L1539" i="36"/>
  <c r="K1539" i="36"/>
  <c r="J1539" i="36"/>
  <c r="I1539" i="36"/>
  <c r="H1539" i="36"/>
  <c r="G1539" i="36"/>
  <c r="F1539" i="36"/>
  <c r="E1539" i="36"/>
  <c r="D1539" i="36"/>
  <c r="C1539" i="36"/>
  <c r="B1539" i="36"/>
  <c r="R1538" i="36"/>
  <c r="Q1538" i="36"/>
  <c r="P1538" i="36"/>
  <c r="O1538" i="36"/>
  <c r="N1538" i="36"/>
  <c r="M1538" i="36"/>
  <c r="L1538" i="36"/>
  <c r="K1538" i="36"/>
  <c r="J1538" i="36"/>
  <c r="I1538" i="36"/>
  <c r="H1538" i="36"/>
  <c r="G1538" i="36"/>
  <c r="F1538" i="36"/>
  <c r="E1538" i="36"/>
  <c r="D1538" i="36"/>
  <c r="C1538" i="36"/>
  <c r="B1538" i="36"/>
  <c r="R1537" i="36"/>
  <c r="Q1537" i="36"/>
  <c r="P1537" i="36"/>
  <c r="O1537" i="36"/>
  <c r="N1537" i="36"/>
  <c r="M1537" i="36"/>
  <c r="L1537" i="36"/>
  <c r="K1537" i="36"/>
  <c r="J1537" i="36"/>
  <c r="I1537" i="36"/>
  <c r="H1537" i="36"/>
  <c r="G1537" i="36"/>
  <c r="F1537" i="36"/>
  <c r="E1537" i="36"/>
  <c r="D1537" i="36"/>
  <c r="C1537" i="36"/>
  <c r="B1537" i="36"/>
  <c r="R1536" i="36"/>
  <c r="Q1536" i="36"/>
  <c r="P1536" i="36"/>
  <c r="O1536" i="36"/>
  <c r="N1536" i="36"/>
  <c r="M1536" i="36"/>
  <c r="L1536" i="36"/>
  <c r="K1536" i="36"/>
  <c r="J1536" i="36"/>
  <c r="I1536" i="36"/>
  <c r="H1536" i="36"/>
  <c r="G1536" i="36"/>
  <c r="F1536" i="36"/>
  <c r="E1536" i="36"/>
  <c r="D1536" i="36"/>
  <c r="C1536" i="36"/>
  <c r="B1536" i="36"/>
  <c r="R1535" i="36"/>
  <c r="Q1535" i="36"/>
  <c r="P1535" i="36"/>
  <c r="O1535" i="36"/>
  <c r="N1535" i="36"/>
  <c r="M1535" i="36"/>
  <c r="L1535" i="36"/>
  <c r="K1535" i="36"/>
  <c r="J1535" i="36"/>
  <c r="I1535" i="36"/>
  <c r="H1535" i="36"/>
  <c r="G1535" i="36"/>
  <c r="F1535" i="36"/>
  <c r="E1535" i="36"/>
  <c r="D1535" i="36"/>
  <c r="C1535" i="36"/>
  <c r="B1535" i="36"/>
  <c r="R1534" i="36"/>
  <c r="Q1534" i="36"/>
  <c r="P1534" i="36"/>
  <c r="O1534" i="36"/>
  <c r="N1534" i="36"/>
  <c r="M1534" i="36"/>
  <c r="L1534" i="36"/>
  <c r="K1534" i="36"/>
  <c r="J1534" i="36"/>
  <c r="I1534" i="36"/>
  <c r="H1534" i="36"/>
  <c r="G1534" i="36"/>
  <c r="F1534" i="36"/>
  <c r="E1534" i="36"/>
  <c r="D1534" i="36"/>
  <c r="C1534" i="36"/>
  <c r="B1534" i="36"/>
  <c r="R1533" i="36"/>
  <c r="Q1533" i="36"/>
  <c r="P1533" i="36"/>
  <c r="O1533" i="36"/>
  <c r="N1533" i="36"/>
  <c r="M1533" i="36"/>
  <c r="L1533" i="36"/>
  <c r="K1533" i="36"/>
  <c r="J1533" i="36"/>
  <c r="I1533" i="36"/>
  <c r="H1533" i="36"/>
  <c r="G1533" i="36"/>
  <c r="F1533" i="36"/>
  <c r="E1533" i="36"/>
  <c r="D1533" i="36"/>
  <c r="C1533" i="36"/>
  <c r="B1533" i="36"/>
  <c r="R1532" i="36"/>
  <c r="Q1532" i="36"/>
  <c r="P1532" i="36"/>
  <c r="O1532" i="36"/>
  <c r="N1532" i="36"/>
  <c r="M1532" i="36"/>
  <c r="L1532" i="36"/>
  <c r="K1532" i="36"/>
  <c r="J1532" i="36"/>
  <c r="I1532" i="36"/>
  <c r="H1532" i="36"/>
  <c r="G1532" i="36"/>
  <c r="F1532" i="36"/>
  <c r="E1532" i="36"/>
  <c r="D1532" i="36"/>
  <c r="C1532" i="36"/>
  <c r="B1532" i="36"/>
  <c r="R1531" i="36"/>
  <c r="Q1531" i="36"/>
  <c r="P1531" i="36"/>
  <c r="O1531" i="36"/>
  <c r="N1531" i="36"/>
  <c r="M1531" i="36"/>
  <c r="L1531" i="36"/>
  <c r="K1531" i="36"/>
  <c r="J1531" i="36"/>
  <c r="I1531" i="36"/>
  <c r="H1531" i="36"/>
  <c r="G1531" i="36"/>
  <c r="F1531" i="36"/>
  <c r="E1531" i="36"/>
  <c r="D1531" i="36"/>
  <c r="C1531" i="36"/>
  <c r="B1531" i="36"/>
  <c r="R1530" i="36"/>
  <c r="Q1530" i="36"/>
  <c r="P1530" i="36"/>
  <c r="O1530" i="36"/>
  <c r="N1530" i="36"/>
  <c r="M1530" i="36"/>
  <c r="L1530" i="36"/>
  <c r="K1530" i="36"/>
  <c r="J1530" i="36"/>
  <c r="I1530" i="36"/>
  <c r="H1530" i="36"/>
  <c r="G1530" i="36"/>
  <c r="F1530" i="36"/>
  <c r="E1530" i="36"/>
  <c r="D1530" i="36"/>
  <c r="C1530" i="36"/>
  <c r="B1530" i="36"/>
  <c r="R1529" i="36"/>
  <c r="Q1529" i="36"/>
  <c r="P1529" i="36"/>
  <c r="O1529" i="36"/>
  <c r="N1529" i="36"/>
  <c r="M1529" i="36"/>
  <c r="L1529" i="36"/>
  <c r="K1529" i="36"/>
  <c r="J1529" i="36"/>
  <c r="I1529" i="36"/>
  <c r="H1529" i="36"/>
  <c r="G1529" i="36"/>
  <c r="F1529" i="36"/>
  <c r="E1529" i="36"/>
  <c r="D1529" i="36"/>
  <c r="C1529" i="36"/>
  <c r="B1529" i="36"/>
  <c r="R1528" i="36"/>
  <c r="Q1528" i="36"/>
  <c r="P1528" i="36"/>
  <c r="O1528" i="36"/>
  <c r="N1528" i="36"/>
  <c r="M1528" i="36"/>
  <c r="L1528" i="36"/>
  <c r="K1528" i="36"/>
  <c r="J1528" i="36"/>
  <c r="I1528" i="36"/>
  <c r="H1528" i="36"/>
  <c r="G1528" i="36"/>
  <c r="F1528" i="36"/>
  <c r="E1528" i="36"/>
  <c r="D1528" i="36"/>
  <c r="C1528" i="36"/>
  <c r="B1528" i="36"/>
  <c r="R1527" i="36"/>
  <c r="Q1527" i="36"/>
  <c r="P1527" i="36"/>
  <c r="O1527" i="36"/>
  <c r="N1527" i="36"/>
  <c r="M1527" i="36"/>
  <c r="L1527" i="36"/>
  <c r="K1527" i="36"/>
  <c r="J1527" i="36"/>
  <c r="I1527" i="36"/>
  <c r="H1527" i="36"/>
  <c r="G1527" i="36"/>
  <c r="F1527" i="36"/>
  <c r="E1527" i="36"/>
  <c r="D1527" i="36"/>
  <c r="C1527" i="36"/>
  <c r="B1527" i="36"/>
  <c r="R1526" i="36"/>
  <c r="Q1526" i="36"/>
  <c r="P1526" i="36"/>
  <c r="O1526" i="36"/>
  <c r="N1526" i="36"/>
  <c r="M1526" i="36"/>
  <c r="L1526" i="36"/>
  <c r="K1526" i="36"/>
  <c r="J1526" i="36"/>
  <c r="I1526" i="36"/>
  <c r="H1526" i="36"/>
  <c r="G1526" i="36"/>
  <c r="F1526" i="36"/>
  <c r="E1526" i="36"/>
  <c r="D1526" i="36"/>
  <c r="C1526" i="36"/>
  <c r="B1526" i="36"/>
  <c r="R1525" i="36"/>
  <c r="Q1525" i="36"/>
  <c r="P1525" i="36"/>
  <c r="O1525" i="36"/>
  <c r="N1525" i="36"/>
  <c r="M1525" i="36"/>
  <c r="L1525" i="36"/>
  <c r="K1525" i="36"/>
  <c r="J1525" i="36"/>
  <c r="I1525" i="36"/>
  <c r="H1525" i="36"/>
  <c r="G1525" i="36"/>
  <c r="F1525" i="36"/>
  <c r="E1525" i="36"/>
  <c r="D1525" i="36"/>
  <c r="C1525" i="36"/>
  <c r="B1525" i="36"/>
  <c r="R1524" i="36"/>
  <c r="Q1524" i="36"/>
  <c r="P1524" i="36"/>
  <c r="O1524" i="36"/>
  <c r="N1524" i="36"/>
  <c r="M1524" i="36"/>
  <c r="L1524" i="36"/>
  <c r="K1524" i="36"/>
  <c r="J1524" i="36"/>
  <c r="I1524" i="36"/>
  <c r="H1524" i="36"/>
  <c r="G1524" i="36"/>
  <c r="F1524" i="36"/>
  <c r="E1524" i="36"/>
  <c r="D1524" i="36"/>
  <c r="C1524" i="36"/>
  <c r="B1524" i="36"/>
  <c r="R1523" i="36"/>
  <c r="Q1523" i="36"/>
  <c r="P1523" i="36"/>
  <c r="O1523" i="36"/>
  <c r="N1523" i="36"/>
  <c r="M1523" i="36"/>
  <c r="L1523" i="36"/>
  <c r="K1523" i="36"/>
  <c r="J1523" i="36"/>
  <c r="I1523" i="36"/>
  <c r="H1523" i="36"/>
  <c r="G1523" i="36"/>
  <c r="F1523" i="36"/>
  <c r="E1523" i="36"/>
  <c r="D1523" i="36"/>
  <c r="C1523" i="36"/>
  <c r="B1523" i="36"/>
  <c r="R1522" i="36"/>
  <c r="Q1522" i="36"/>
  <c r="P1522" i="36"/>
  <c r="O1522" i="36"/>
  <c r="N1522" i="36"/>
  <c r="M1522" i="36"/>
  <c r="L1522" i="36"/>
  <c r="K1522" i="36"/>
  <c r="J1522" i="36"/>
  <c r="I1522" i="36"/>
  <c r="H1522" i="36"/>
  <c r="G1522" i="36"/>
  <c r="F1522" i="36"/>
  <c r="E1522" i="36"/>
  <c r="D1522" i="36"/>
  <c r="C1522" i="36"/>
  <c r="B1522" i="36"/>
  <c r="R1521" i="36"/>
  <c r="Q1521" i="36"/>
  <c r="P1521" i="36"/>
  <c r="O1521" i="36"/>
  <c r="N1521" i="36"/>
  <c r="M1521" i="36"/>
  <c r="L1521" i="36"/>
  <c r="K1521" i="36"/>
  <c r="J1521" i="36"/>
  <c r="I1521" i="36"/>
  <c r="H1521" i="36"/>
  <c r="G1521" i="36"/>
  <c r="F1521" i="36"/>
  <c r="E1521" i="36"/>
  <c r="D1521" i="36"/>
  <c r="C1521" i="36"/>
  <c r="B1521" i="36"/>
  <c r="R1520" i="36"/>
  <c r="Q1520" i="36"/>
  <c r="P1520" i="36"/>
  <c r="O1520" i="36"/>
  <c r="N1520" i="36"/>
  <c r="M1520" i="36"/>
  <c r="L1520" i="36"/>
  <c r="K1520" i="36"/>
  <c r="J1520" i="36"/>
  <c r="I1520" i="36"/>
  <c r="H1520" i="36"/>
  <c r="G1520" i="36"/>
  <c r="F1520" i="36"/>
  <c r="E1520" i="36"/>
  <c r="D1520" i="36"/>
  <c r="C1520" i="36"/>
  <c r="B1520" i="36"/>
  <c r="R1519" i="36"/>
  <c r="Q1519" i="36"/>
  <c r="P1519" i="36"/>
  <c r="O1519" i="36"/>
  <c r="N1519" i="36"/>
  <c r="M1519" i="36"/>
  <c r="L1519" i="36"/>
  <c r="K1519" i="36"/>
  <c r="J1519" i="36"/>
  <c r="I1519" i="36"/>
  <c r="H1519" i="36"/>
  <c r="G1519" i="36"/>
  <c r="F1519" i="36"/>
  <c r="E1519" i="36"/>
  <c r="D1519" i="36"/>
  <c r="C1519" i="36"/>
  <c r="B1519" i="36"/>
  <c r="R1518" i="36"/>
  <c r="Q1518" i="36"/>
  <c r="P1518" i="36"/>
  <c r="O1518" i="36"/>
  <c r="N1518" i="36"/>
  <c r="M1518" i="36"/>
  <c r="L1518" i="36"/>
  <c r="K1518" i="36"/>
  <c r="J1518" i="36"/>
  <c r="I1518" i="36"/>
  <c r="H1518" i="36"/>
  <c r="G1518" i="36"/>
  <c r="F1518" i="36"/>
  <c r="E1518" i="36"/>
  <c r="D1518" i="36"/>
  <c r="C1518" i="36"/>
  <c r="B1518" i="36"/>
  <c r="R1517" i="36"/>
  <c r="Q1517" i="36"/>
  <c r="P1517" i="36"/>
  <c r="O1517" i="36"/>
  <c r="N1517" i="36"/>
  <c r="M1517" i="36"/>
  <c r="L1517" i="36"/>
  <c r="K1517" i="36"/>
  <c r="J1517" i="36"/>
  <c r="I1517" i="36"/>
  <c r="H1517" i="36"/>
  <c r="G1517" i="36"/>
  <c r="F1517" i="36"/>
  <c r="E1517" i="36"/>
  <c r="D1517" i="36"/>
  <c r="C1517" i="36"/>
  <c r="B1517" i="36"/>
  <c r="R1516" i="36"/>
  <c r="Q1516" i="36"/>
  <c r="P1516" i="36"/>
  <c r="O1516" i="36"/>
  <c r="N1516" i="36"/>
  <c r="M1516" i="36"/>
  <c r="L1516" i="36"/>
  <c r="K1516" i="36"/>
  <c r="J1516" i="36"/>
  <c r="I1516" i="36"/>
  <c r="H1516" i="36"/>
  <c r="G1516" i="36"/>
  <c r="F1516" i="36"/>
  <c r="E1516" i="36"/>
  <c r="D1516" i="36"/>
  <c r="C1516" i="36"/>
  <c r="B1516" i="36"/>
  <c r="R1515" i="36"/>
  <c r="Q1515" i="36"/>
  <c r="P1515" i="36"/>
  <c r="O1515" i="36"/>
  <c r="N1515" i="36"/>
  <c r="M1515" i="36"/>
  <c r="L1515" i="36"/>
  <c r="K1515" i="36"/>
  <c r="J1515" i="36"/>
  <c r="I1515" i="36"/>
  <c r="H1515" i="36"/>
  <c r="G1515" i="36"/>
  <c r="F1515" i="36"/>
  <c r="E1515" i="36"/>
  <c r="D1515" i="36"/>
  <c r="C1515" i="36"/>
  <c r="B1515" i="36"/>
  <c r="R1514" i="36"/>
  <c r="Q1514" i="36"/>
  <c r="P1514" i="36"/>
  <c r="O1514" i="36"/>
  <c r="N1514" i="36"/>
  <c r="M1514" i="36"/>
  <c r="L1514" i="36"/>
  <c r="K1514" i="36"/>
  <c r="J1514" i="36"/>
  <c r="I1514" i="36"/>
  <c r="H1514" i="36"/>
  <c r="G1514" i="36"/>
  <c r="F1514" i="36"/>
  <c r="E1514" i="36"/>
  <c r="D1514" i="36"/>
  <c r="C1514" i="36"/>
  <c r="B1514" i="36"/>
  <c r="R1513" i="36"/>
  <c r="Q1513" i="36"/>
  <c r="P1513" i="36"/>
  <c r="O1513" i="36"/>
  <c r="N1513" i="36"/>
  <c r="M1513" i="36"/>
  <c r="L1513" i="36"/>
  <c r="K1513" i="36"/>
  <c r="J1513" i="36"/>
  <c r="I1513" i="36"/>
  <c r="H1513" i="36"/>
  <c r="G1513" i="36"/>
  <c r="F1513" i="36"/>
  <c r="E1513" i="36"/>
  <c r="D1513" i="36"/>
  <c r="C1513" i="36"/>
  <c r="B1513" i="36"/>
  <c r="R1512" i="36"/>
  <c r="Q1512" i="36"/>
  <c r="P1512" i="36"/>
  <c r="O1512" i="36"/>
  <c r="N1512" i="36"/>
  <c r="M1512" i="36"/>
  <c r="L1512" i="36"/>
  <c r="K1512" i="36"/>
  <c r="J1512" i="36"/>
  <c r="I1512" i="36"/>
  <c r="H1512" i="36"/>
  <c r="G1512" i="36"/>
  <c r="F1512" i="36"/>
  <c r="E1512" i="36"/>
  <c r="D1512" i="36"/>
  <c r="C1512" i="36"/>
  <c r="B1512" i="36"/>
  <c r="R1511" i="36"/>
  <c r="Q1511" i="36"/>
  <c r="P1511" i="36"/>
  <c r="O1511" i="36"/>
  <c r="N1511" i="36"/>
  <c r="M1511" i="36"/>
  <c r="L1511" i="36"/>
  <c r="K1511" i="36"/>
  <c r="J1511" i="36"/>
  <c r="I1511" i="36"/>
  <c r="H1511" i="36"/>
  <c r="G1511" i="36"/>
  <c r="F1511" i="36"/>
  <c r="E1511" i="36"/>
  <c r="D1511" i="36"/>
  <c r="C1511" i="36"/>
  <c r="B1511" i="36"/>
  <c r="R1510" i="36"/>
  <c r="Q1510" i="36"/>
  <c r="P1510" i="36"/>
  <c r="O1510" i="36"/>
  <c r="N1510" i="36"/>
  <c r="M1510" i="36"/>
  <c r="L1510" i="36"/>
  <c r="K1510" i="36"/>
  <c r="J1510" i="36"/>
  <c r="I1510" i="36"/>
  <c r="H1510" i="36"/>
  <c r="G1510" i="36"/>
  <c r="F1510" i="36"/>
  <c r="E1510" i="36"/>
  <c r="D1510" i="36"/>
  <c r="C1510" i="36"/>
  <c r="B1510" i="36"/>
  <c r="R1509" i="36"/>
  <c r="Q1509" i="36"/>
  <c r="P1509" i="36"/>
  <c r="O1509" i="36"/>
  <c r="N1509" i="36"/>
  <c r="M1509" i="36"/>
  <c r="L1509" i="36"/>
  <c r="K1509" i="36"/>
  <c r="J1509" i="36"/>
  <c r="I1509" i="36"/>
  <c r="H1509" i="36"/>
  <c r="G1509" i="36"/>
  <c r="F1509" i="36"/>
  <c r="E1509" i="36"/>
  <c r="D1509" i="36"/>
  <c r="C1509" i="36"/>
  <c r="B1509" i="36"/>
  <c r="R1508" i="36"/>
  <c r="Q1508" i="36"/>
  <c r="P1508" i="36"/>
  <c r="O1508" i="36"/>
  <c r="N1508" i="36"/>
  <c r="M1508" i="36"/>
  <c r="L1508" i="36"/>
  <c r="K1508" i="36"/>
  <c r="J1508" i="36"/>
  <c r="I1508" i="36"/>
  <c r="H1508" i="36"/>
  <c r="G1508" i="36"/>
  <c r="F1508" i="36"/>
  <c r="E1508" i="36"/>
  <c r="D1508" i="36"/>
  <c r="C1508" i="36"/>
  <c r="B1508" i="36"/>
  <c r="R1507" i="36"/>
  <c r="Q1507" i="36"/>
  <c r="P1507" i="36"/>
  <c r="O1507" i="36"/>
  <c r="N1507" i="36"/>
  <c r="M1507" i="36"/>
  <c r="L1507" i="36"/>
  <c r="K1507" i="36"/>
  <c r="J1507" i="36"/>
  <c r="I1507" i="36"/>
  <c r="H1507" i="36"/>
  <c r="G1507" i="36"/>
  <c r="F1507" i="36"/>
  <c r="E1507" i="36"/>
  <c r="D1507" i="36"/>
  <c r="C1507" i="36"/>
  <c r="B1507" i="36"/>
  <c r="R1506" i="36"/>
  <c r="Q1506" i="36"/>
  <c r="P1506" i="36"/>
  <c r="O1506" i="36"/>
  <c r="N1506" i="36"/>
  <c r="M1506" i="36"/>
  <c r="L1506" i="36"/>
  <c r="K1506" i="36"/>
  <c r="J1506" i="36"/>
  <c r="I1506" i="36"/>
  <c r="H1506" i="36"/>
  <c r="G1506" i="36"/>
  <c r="F1506" i="36"/>
  <c r="E1506" i="36"/>
  <c r="D1506" i="36"/>
  <c r="C1506" i="36"/>
  <c r="B1506" i="36"/>
  <c r="R1505" i="36"/>
  <c r="Q1505" i="36"/>
  <c r="P1505" i="36"/>
  <c r="O1505" i="36"/>
  <c r="N1505" i="36"/>
  <c r="M1505" i="36"/>
  <c r="L1505" i="36"/>
  <c r="K1505" i="36"/>
  <c r="J1505" i="36"/>
  <c r="I1505" i="36"/>
  <c r="H1505" i="36"/>
  <c r="G1505" i="36"/>
  <c r="F1505" i="36"/>
  <c r="E1505" i="36"/>
  <c r="D1505" i="36"/>
  <c r="C1505" i="36"/>
  <c r="B1505" i="36"/>
  <c r="R1504" i="36"/>
  <c r="Q1504" i="36"/>
  <c r="P1504" i="36"/>
  <c r="O1504" i="36"/>
  <c r="N1504" i="36"/>
  <c r="M1504" i="36"/>
  <c r="L1504" i="36"/>
  <c r="K1504" i="36"/>
  <c r="J1504" i="36"/>
  <c r="I1504" i="36"/>
  <c r="H1504" i="36"/>
  <c r="G1504" i="36"/>
  <c r="F1504" i="36"/>
  <c r="E1504" i="36"/>
  <c r="D1504" i="36"/>
  <c r="C1504" i="36"/>
  <c r="B1504" i="36"/>
  <c r="R1503" i="36"/>
  <c r="Q1503" i="36"/>
  <c r="P1503" i="36"/>
  <c r="O1503" i="36"/>
  <c r="N1503" i="36"/>
  <c r="M1503" i="36"/>
  <c r="L1503" i="36"/>
  <c r="K1503" i="36"/>
  <c r="J1503" i="36"/>
  <c r="I1503" i="36"/>
  <c r="H1503" i="36"/>
  <c r="G1503" i="36"/>
  <c r="F1503" i="36"/>
  <c r="E1503" i="36"/>
  <c r="D1503" i="36"/>
  <c r="C1503" i="36"/>
  <c r="B1503" i="36"/>
  <c r="R1502" i="36"/>
  <c r="Q1502" i="36"/>
  <c r="P1502" i="36"/>
  <c r="O1502" i="36"/>
  <c r="N1502" i="36"/>
  <c r="M1502" i="36"/>
  <c r="L1502" i="36"/>
  <c r="K1502" i="36"/>
  <c r="J1502" i="36"/>
  <c r="I1502" i="36"/>
  <c r="H1502" i="36"/>
  <c r="G1502" i="36"/>
  <c r="F1502" i="36"/>
  <c r="E1502" i="36"/>
  <c r="D1502" i="36"/>
  <c r="C1502" i="36"/>
  <c r="B1502" i="36"/>
  <c r="R1501" i="36"/>
  <c r="Q1501" i="36"/>
  <c r="P1501" i="36"/>
  <c r="O1501" i="36"/>
  <c r="N1501" i="36"/>
  <c r="M1501" i="36"/>
  <c r="L1501" i="36"/>
  <c r="K1501" i="36"/>
  <c r="J1501" i="36"/>
  <c r="I1501" i="36"/>
  <c r="H1501" i="36"/>
  <c r="G1501" i="36"/>
  <c r="F1501" i="36"/>
  <c r="E1501" i="36"/>
  <c r="D1501" i="36"/>
  <c r="C1501" i="36"/>
  <c r="B1501" i="36"/>
  <c r="R1500" i="36"/>
  <c r="Q1500" i="36"/>
  <c r="P1500" i="36"/>
  <c r="O1500" i="36"/>
  <c r="N1500" i="36"/>
  <c r="M1500" i="36"/>
  <c r="L1500" i="36"/>
  <c r="K1500" i="36"/>
  <c r="J1500" i="36"/>
  <c r="I1500" i="36"/>
  <c r="H1500" i="36"/>
  <c r="G1500" i="36"/>
  <c r="F1500" i="36"/>
  <c r="E1500" i="36"/>
  <c r="D1500" i="36"/>
  <c r="C1500" i="36"/>
  <c r="B1500" i="36"/>
  <c r="R1499" i="36"/>
  <c r="Q1499" i="36"/>
  <c r="P1499" i="36"/>
  <c r="O1499" i="36"/>
  <c r="N1499" i="36"/>
  <c r="M1499" i="36"/>
  <c r="L1499" i="36"/>
  <c r="K1499" i="36"/>
  <c r="J1499" i="36"/>
  <c r="I1499" i="36"/>
  <c r="H1499" i="36"/>
  <c r="G1499" i="36"/>
  <c r="F1499" i="36"/>
  <c r="E1499" i="36"/>
  <c r="D1499" i="36"/>
  <c r="C1499" i="36"/>
  <c r="B1499" i="36"/>
  <c r="R1498" i="36"/>
  <c r="Q1498" i="36"/>
  <c r="P1498" i="36"/>
  <c r="O1498" i="36"/>
  <c r="N1498" i="36"/>
  <c r="M1498" i="36"/>
  <c r="L1498" i="36"/>
  <c r="K1498" i="36"/>
  <c r="J1498" i="36"/>
  <c r="I1498" i="36"/>
  <c r="H1498" i="36"/>
  <c r="G1498" i="36"/>
  <c r="F1498" i="36"/>
  <c r="E1498" i="36"/>
  <c r="D1498" i="36"/>
  <c r="C1498" i="36"/>
  <c r="B1498" i="36"/>
  <c r="R1497" i="36"/>
  <c r="Q1497" i="36"/>
  <c r="P1497" i="36"/>
  <c r="O1497" i="36"/>
  <c r="N1497" i="36"/>
  <c r="M1497" i="36"/>
  <c r="L1497" i="36"/>
  <c r="K1497" i="36"/>
  <c r="J1497" i="36"/>
  <c r="I1497" i="36"/>
  <c r="H1497" i="36"/>
  <c r="G1497" i="36"/>
  <c r="F1497" i="36"/>
  <c r="E1497" i="36"/>
  <c r="D1497" i="36"/>
  <c r="C1497" i="36"/>
  <c r="B1497" i="36"/>
  <c r="R1496" i="36"/>
  <c r="Q1496" i="36"/>
  <c r="P1496" i="36"/>
  <c r="O1496" i="36"/>
  <c r="N1496" i="36"/>
  <c r="M1496" i="36"/>
  <c r="L1496" i="36"/>
  <c r="K1496" i="36"/>
  <c r="J1496" i="36"/>
  <c r="I1496" i="36"/>
  <c r="H1496" i="36"/>
  <c r="G1496" i="36"/>
  <c r="F1496" i="36"/>
  <c r="E1496" i="36"/>
  <c r="D1496" i="36"/>
  <c r="C1496" i="36"/>
  <c r="B1496" i="36"/>
  <c r="R1495" i="36"/>
  <c r="Q1495" i="36"/>
  <c r="P1495" i="36"/>
  <c r="O1495" i="36"/>
  <c r="N1495" i="36"/>
  <c r="M1495" i="36"/>
  <c r="L1495" i="36"/>
  <c r="K1495" i="36"/>
  <c r="J1495" i="36"/>
  <c r="I1495" i="36"/>
  <c r="H1495" i="36"/>
  <c r="G1495" i="36"/>
  <c r="F1495" i="36"/>
  <c r="E1495" i="36"/>
  <c r="D1495" i="36"/>
  <c r="C1495" i="36"/>
  <c r="B1495" i="36"/>
  <c r="R1494" i="36"/>
  <c r="Q1494" i="36"/>
  <c r="P1494" i="36"/>
  <c r="O1494" i="36"/>
  <c r="N1494" i="36"/>
  <c r="M1494" i="36"/>
  <c r="L1494" i="36"/>
  <c r="K1494" i="36"/>
  <c r="J1494" i="36"/>
  <c r="I1494" i="36"/>
  <c r="H1494" i="36"/>
  <c r="G1494" i="36"/>
  <c r="F1494" i="36"/>
  <c r="E1494" i="36"/>
  <c r="D1494" i="36"/>
  <c r="C1494" i="36"/>
  <c r="B1494" i="36"/>
  <c r="R1493" i="36"/>
  <c r="Q1493" i="36"/>
  <c r="P1493" i="36"/>
  <c r="O1493" i="36"/>
  <c r="N1493" i="36"/>
  <c r="M1493" i="36"/>
  <c r="L1493" i="36"/>
  <c r="K1493" i="36"/>
  <c r="J1493" i="36"/>
  <c r="I1493" i="36"/>
  <c r="H1493" i="36"/>
  <c r="G1493" i="36"/>
  <c r="F1493" i="36"/>
  <c r="E1493" i="36"/>
  <c r="D1493" i="36"/>
  <c r="C1493" i="36"/>
  <c r="B1493" i="36"/>
  <c r="R1492" i="36"/>
  <c r="Q1492" i="36"/>
  <c r="P1492" i="36"/>
  <c r="O1492" i="36"/>
  <c r="N1492" i="36"/>
  <c r="M1492" i="36"/>
  <c r="L1492" i="36"/>
  <c r="K1492" i="36"/>
  <c r="J1492" i="36"/>
  <c r="I1492" i="36"/>
  <c r="H1492" i="36"/>
  <c r="G1492" i="36"/>
  <c r="F1492" i="36"/>
  <c r="E1492" i="36"/>
  <c r="D1492" i="36"/>
  <c r="C1492" i="36"/>
  <c r="B1492" i="36"/>
  <c r="R1491" i="36"/>
  <c r="Q1491" i="36"/>
  <c r="P1491" i="36"/>
  <c r="O1491" i="36"/>
  <c r="N1491" i="36"/>
  <c r="M1491" i="36"/>
  <c r="L1491" i="36"/>
  <c r="K1491" i="36"/>
  <c r="J1491" i="36"/>
  <c r="I1491" i="36"/>
  <c r="H1491" i="36"/>
  <c r="G1491" i="36"/>
  <c r="F1491" i="36"/>
  <c r="E1491" i="36"/>
  <c r="D1491" i="36"/>
  <c r="C1491" i="36"/>
  <c r="B1491" i="36"/>
  <c r="R1490" i="36"/>
  <c r="Q1490" i="36"/>
  <c r="P1490" i="36"/>
  <c r="O1490" i="36"/>
  <c r="N1490" i="36"/>
  <c r="M1490" i="36"/>
  <c r="L1490" i="36"/>
  <c r="K1490" i="36"/>
  <c r="J1490" i="36"/>
  <c r="I1490" i="36"/>
  <c r="H1490" i="36"/>
  <c r="G1490" i="36"/>
  <c r="F1490" i="36"/>
  <c r="E1490" i="36"/>
  <c r="D1490" i="36"/>
  <c r="C1490" i="36"/>
  <c r="B1490" i="36"/>
  <c r="R1489" i="36"/>
  <c r="Q1489" i="36"/>
  <c r="P1489" i="36"/>
  <c r="O1489" i="36"/>
  <c r="N1489" i="36"/>
  <c r="M1489" i="36"/>
  <c r="L1489" i="36"/>
  <c r="K1489" i="36"/>
  <c r="J1489" i="36"/>
  <c r="I1489" i="36"/>
  <c r="H1489" i="36"/>
  <c r="G1489" i="36"/>
  <c r="F1489" i="36"/>
  <c r="E1489" i="36"/>
  <c r="D1489" i="36"/>
  <c r="C1489" i="36"/>
  <c r="B1489" i="36"/>
  <c r="R1488" i="36"/>
  <c r="Q1488" i="36"/>
  <c r="P1488" i="36"/>
  <c r="O1488" i="36"/>
  <c r="N1488" i="36"/>
  <c r="M1488" i="36"/>
  <c r="L1488" i="36"/>
  <c r="K1488" i="36"/>
  <c r="J1488" i="36"/>
  <c r="I1488" i="36"/>
  <c r="H1488" i="36"/>
  <c r="G1488" i="36"/>
  <c r="F1488" i="36"/>
  <c r="E1488" i="36"/>
  <c r="D1488" i="36"/>
  <c r="C1488" i="36"/>
  <c r="B1488" i="36"/>
  <c r="R1487" i="36"/>
  <c r="Q1487" i="36"/>
  <c r="P1487" i="36"/>
  <c r="O1487" i="36"/>
  <c r="N1487" i="36"/>
  <c r="M1487" i="36"/>
  <c r="L1487" i="36"/>
  <c r="K1487" i="36"/>
  <c r="J1487" i="36"/>
  <c r="I1487" i="36"/>
  <c r="H1487" i="36"/>
  <c r="G1487" i="36"/>
  <c r="F1487" i="36"/>
  <c r="E1487" i="36"/>
  <c r="D1487" i="36"/>
  <c r="C1487" i="36"/>
  <c r="B1487" i="36"/>
  <c r="R1486" i="36"/>
  <c r="Q1486" i="36"/>
  <c r="P1486" i="36"/>
  <c r="O1486" i="36"/>
  <c r="N1486" i="36"/>
  <c r="M1486" i="36"/>
  <c r="L1486" i="36"/>
  <c r="K1486" i="36"/>
  <c r="J1486" i="36"/>
  <c r="I1486" i="36"/>
  <c r="H1486" i="36"/>
  <c r="G1486" i="36"/>
  <c r="F1486" i="36"/>
  <c r="E1486" i="36"/>
  <c r="D1486" i="36"/>
  <c r="C1486" i="36"/>
  <c r="B1486" i="36"/>
  <c r="R1485" i="36"/>
  <c r="Q1485" i="36"/>
  <c r="P1485" i="36"/>
  <c r="O1485" i="36"/>
  <c r="N1485" i="36"/>
  <c r="M1485" i="36"/>
  <c r="L1485" i="36"/>
  <c r="K1485" i="36"/>
  <c r="J1485" i="36"/>
  <c r="I1485" i="36"/>
  <c r="H1485" i="36"/>
  <c r="G1485" i="36"/>
  <c r="F1485" i="36"/>
  <c r="E1485" i="36"/>
  <c r="D1485" i="36"/>
  <c r="C1485" i="36"/>
  <c r="B1485" i="36"/>
  <c r="R1484" i="36"/>
  <c r="Q1484" i="36"/>
  <c r="P1484" i="36"/>
  <c r="O1484" i="36"/>
  <c r="N1484" i="36"/>
  <c r="M1484" i="36"/>
  <c r="L1484" i="36"/>
  <c r="K1484" i="36"/>
  <c r="J1484" i="36"/>
  <c r="I1484" i="36"/>
  <c r="H1484" i="36"/>
  <c r="G1484" i="36"/>
  <c r="F1484" i="36"/>
  <c r="E1484" i="36"/>
  <c r="D1484" i="36"/>
  <c r="C1484" i="36"/>
  <c r="B1484" i="36"/>
  <c r="R1483" i="36"/>
  <c r="Q1483" i="36"/>
  <c r="P1483" i="36"/>
  <c r="O1483" i="36"/>
  <c r="N1483" i="36"/>
  <c r="M1483" i="36"/>
  <c r="L1483" i="36"/>
  <c r="K1483" i="36"/>
  <c r="J1483" i="36"/>
  <c r="I1483" i="36"/>
  <c r="H1483" i="36"/>
  <c r="G1483" i="36"/>
  <c r="F1483" i="36"/>
  <c r="E1483" i="36"/>
  <c r="D1483" i="36"/>
  <c r="C1483" i="36"/>
  <c r="B1483" i="36"/>
  <c r="R1482" i="36"/>
  <c r="Q1482" i="36"/>
  <c r="P1482" i="36"/>
  <c r="O1482" i="36"/>
  <c r="N1482" i="36"/>
  <c r="M1482" i="36"/>
  <c r="L1482" i="36"/>
  <c r="K1482" i="36"/>
  <c r="J1482" i="36"/>
  <c r="I1482" i="36"/>
  <c r="H1482" i="36"/>
  <c r="G1482" i="36"/>
  <c r="F1482" i="36"/>
  <c r="E1482" i="36"/>
  <c r="D1482" i="36"/>
  <c r="C1482" i="36"/>
  <c r="B1482" i="36"/>
  <c r="R1481" i="36"/>
  <c r="Q1481" i="36"/>
  <c r="P1481" i="36"/>
  <c r="O1481" i="36"/>
  <c r="N1481" i="36"/>
  <c r="M1481" i="36"/>
  <c r="L1481" i="36"/>
  <c r="K1481" i="36"/>
  <c r="J1481" i="36"/>
  <c r="I1481" i="36"/>
  <c r="H1481" i="36"/>
  <c r="G1481" i="36"/>
  <c r="F1481" i="36"/>
  <c r="E1481" i="36"/>
  <c r="D1481" i="36"/>
  <c r="C1481" i="36"/>
  <c r="B1481" i="36"/>
  <c r="R1480" i="36"/>
  <c r="Q1480" i="36"/>
  <c r="P1480" i="36"/>
  <c r="O1480" i="36"/>
  <c r="N1480" i="36"/>
  <c r="M1480" i="36"/>
  <c r="L1480" i="36"/>
  <c r="K1480" i="36"/>
  <c r="J1480" i="36"/>
  <c r="I1480" i="36"/>
  <c r="H1480" i="36"/>
  <c r="G1480" i="36"/>
  <c r="F1480" i="36"/>
  <c r="E1480" i="36"/>
  <c r="D1480" i="36"/>
  <c r="C1480" i="36"/>
  <c r="B1480" i="36"/>
  <c r="R1479" i="36"/>
  <c r="Q1479" i="36"/>
  <c r="P1479" i="36"/>
  <c r="O1479" i="36"/>
  <c r="N1479" i="36"/>
  <c r="M1479" i="36"/>
  <c r="L1479" i="36"/>
  <c r="K1479" i="36"/>
  <c r="J1479" i="36"/>
  <c r="I1479" i="36"/>
  <c r="H1479" i="36"/>
  <c r="G1479" i="36"/>
  <c r="F1479" i="36"/>
  <c r="E1479" i="36"/>
  <c r="D1479" i="36"/>
  <c r="C1479" i="36"/>
  <c r="B1479" i="36"/>
  <c r="R1478" i="36"/>
  <c r="Q1478" i="36"/>
  <c r="P1478" i="36"/>
  <c r="O1478" i="36"/>
  <c r="N1478" i="36"/>
  <c r="M1478" i="36"/>
  <c r="L1478" i="36"/>
  <c r="K1478" i="36"/>
  <c r="J1478" i="36"/>
  <c r="I1478" i="36"/>
  <c r="H1478" i="36"/>
  <c r="G1478" i="36"/>
  <c r="F1478" i="36"/>
  <c r="E1478" i="36"/>
  <c r="D1478" i="36"/>
  <c r="C1478" i="36"/>
  <c r="B1478" i="36"/>
  <c r="R1477" i="36"/>
  <c r="Q1477" i="36"/>
  <c r="P1477" i="36"/>
  <c r="O1477" i="36"/>
  <c r="N1477" i="36"/>
  <c r="M1477" i="36"/>
  <c r="L1477" i="36"/>
  <c r="K1477" i="36"/>
  <c r="J1477" i="36"/>
  <c r="I1477" i="36"/>
  <c r="H1477" i="36"/>
  <c r="G1477" i="36"/>
  <c r="F1477" i="36"/>
  <c r="E1477" i="36"/>
  <c r="D1477" i="36"/>
  <c r="C1477" i="36"/>
  <c r="B1477" i="36"/>
  <c r="R1476" i="36"/>
  <c r="Q1476" i="36"/>
  <c r="P1476" i="36"/>
  <c r="O1476" i="36"/>
  <c r="N1476" i="36"/>
  <c r="M1476" i="36"/>
  <c r="L1476" i="36"/>
  <c r="K1476" i="36"/>
  <c r="J1476" i="36"/>
  <c r="I1476" i="36"/>
  <c r="H1476" i="36"/>
  <c r="G1476" i="36"/>
  <c r="F1476" i="36"/>
  <c r="E1476" i="36"/>
  <c r="D1476" i="36"/>
  <c r="C1476" i="36"/>
  <c r="B1476" i="36"/>
  <c r="R1475" i="36"/>
  <c r="Q1475" i="36"/>
  <c r="P1475" i="36"/>
  <c r="O1475" i="36"/>
  <c r="N1475" i="36"/>
  <c r="M1475" i="36"/>
  <c r="L1475" i="36"/>
  <c r="K1475" i="36"/>
  <c r="J1475" i="36"/>
  <c r="I1475" i="36"/>
  <c r="H1475" i="36"/>
  <c r="G1475" i="36"/>
  <c r="F1475" i="36"/>
  <c r="E1475" i="36"/>
  <c r="D1475" i="36"/>
  <c r="C1475" i="36"/>
  <c r="B1475" i="36"/>
  <c r="R1474" i="36"/>
  <c r="Q1474" i="36"/>
  <c r="P1474" i="36"/>
  <c r="O1474" i="36"/>
  <c r="N1474" i="36"/>
  <c r="M1474" i="36"/>
  <c r="L1474" i="36"/>
  <c r="K1474" i="36"/>
  <c r="J1474" i="36"/>
  <c r="I1474" i="36"/>
  <c r="H1474" i="36"/>
  <c r="G1474" i="36"/>
  <c r="F1474" i="36"/>
  <c r="E1474" i="36"/>
  <c r="D1474" i="36"/>
  <c r="C1474" i="36"/>
  <c r="B1474" i="36"/>
  <c r="R1473" i="36"/>
  <c r="Q1473" i="36"/>
  <c r="P1473" i="36"/>
  <c r="O1473" i="36"/>
  <c r="N1473" i="36"/>
  <c r="M1473" i="36"/>
  <c r="L1473" i="36"/>
  <c r="K1473" i="36"/>
  <c r="J1473" i="36"/>
  <c r="I1473" i="36"/>
  <c r="H1473" i="36"/>
  <c r="G1473" i="36"/>
  <c r="F1473" i="36"/>
  <c r="E1473" i="36"/>
  <c r="D1473" i="36"/>
  <c r="C1473" i="36"/>
  <c r="B1473" i="36"/>
  <c r="R1472" i="36"/>
  <c r="Q1472" i="36"/>
  <c r="P1472" i="36"/>
  <c r="O1472" i="36"/>
  <c r="N1472" i="36"/>
  <c r="M1472" i="36"/>
  <c r="L1472" i="36"/>
  <c r="K1472" i="36"/>
  <c r="J1472" i="36"/>
  <c r="I1472" i="36"/>
  <c r="H1472" i="36"/>
  <c r="G1472" i="36"/>
  <c r="F1472" i="36"/>
  <c r="E1472" i="36"/>
  <c r="D1472" i="36"/>
  <c r="C1472" i="36"/>
  <c r="B1472" i="36"/>
  <c r="R1471" i="36"/>
  <c r="Q1471" i="36"/>
  <c r="P1471" i="36"/>
  <c r="O1471" i="36"/>
  <c r="N1471" i="36"/>
  <c r="M1471" i="36"/>
  <c r="L1471" i="36"/>
  <c r="K1471" i="36"/>
  <c r="J1471" i="36"/>
  <c r="I1471" i="36"/>
  <c r="H1471" i="36"/>
  <c r="G1471" i="36"/>
  <c r="F1471" i="36"/>
  <c r="E1471" i="36"/>
  <c r="D1471" i="36"/>
  <c r="C1471" i="36"/>
  <c r="B1471" i="36"/>
  <c r="R1470" i="36"/>
  <c r="Q1470" i="36"/>
  <c r="P1470" i="36"/>
  <c r="O1470" i="36"/>
  <c r="N1470" i="36"/>
  <c r="M1470" i="36"/>
  <c r="L1470" i="36"/>
  <c r="K1470" i="36"/>
  <c r="J1470" i="36"/>
  <c r="I1470" i="36"/>
  <c r="H1470" i="36"/>
  <c r="G1470" i="36"/>
  <c r="F1470" i="36"/>
  <c r="E1470" i="36"/>
  <c r="D1470" i="36"/>
  <c r="C1470" i="36"/>
  <c r="B1470" i="36"/>
  <c r="R1469" i="36"/>
  <c r="Q1469" i="36"/>
  <c r="P1469" i="36"/>
  <c r="O1469" i="36"/>
  <c r="N1469" i="36"/>
  <c r="M1469" i="36"/>
  <c r="L1469" i="36"/>
  <c r="K1469" i="36"/>
  <c r="J1469" i="36"/>
  <c r="I1469" i="36"/>
  <c r="H1469" i="36"/>
  <c r="G1469" i="36"/>
  <c r="F1469" i="36"/>
  <c r="E1469" i="36"/>
  <c r="D1469" i="36"/>
  <c r="C1469" i="36"/>
  <c r="B1469" i="36"/>
  <c r="R1468" i="36"/>
  <c r="Q1468" i="36"/>
  <c r="P1468" i="36"/>
  <c r="O1468" i="36"/>
  <c r="N1468" i="36"/>
  <c r="M1468" i="36"/>
  <c r="L1468" i="36"/>
  <c r="K1468" i="36"/>
  <c r="J1468" i="36"/>
  <c r="I1468" i="36"/>
  <c r="H1468" i="36"/>
  <c r="G1468" i="36"/>
  <c r="F1468" i="36"/>
  <c r="E1468" i="36"/>
  <c r="D1468" i="36"/>
  <c r="C1468" i="36"/>
  <c r="B1468" i="36"/>
  <c r="R1467" i="36"/>
  <c r="Q1467" i="36"/>
  <c r="P1467" i="36"/>
  <c r="O1467" i="36"/>
  <c r="N1467" i="36"/>
  <c r="M1467" i="36"/>
  <c r="L1467" i="36"/>
  <c r="K1467" i="36"/>
  <c r="J1467" i="36"/>
  <c r="I1467" i="36"/>
  <c r="H1467" i="36"/>
  <c r="G1467" i="36"/>
  <c r="F1467" i="36"/>
  <c r="E1467" i="36"/>
  <c r="D1467" i="36"/>
  <c r="C1467" i="36"/>
  <c r="B1467" i="36"/>
  <c r="R1466" i="36"/>
  <c r="Q1466" i="36"/>
  <c r="P1466" i="36"/>
  <c r="O1466" i="36"/>
  <c r="N1466" i="36"/>
  <c r="M1466" i="36"/>
  <c r="L1466" i="36"/>
  <c r="K1466" i="36"/>
  <c r="J1466" i="36"/>
  <c r="I1466" i="36"/>
  <c r="H1466" i="36"/>
  <c r="G1466" i="36"/>
  <c r="F1466" i="36"/>
  <c r="E1466" i="36"/>
  <c r="D1466" i="36"/>
  <c r="C1466" i="36"/>
  <c r="B1466" i="36"/>
  <c r="R1465" i="36"/>
  <c r="Q1465" i="36"/>
  <c r="P1465" i="36"/>
  <c r="O1465" i="36"/>
  <c r="N1465" i="36"/>
  <c r="M1465" i="36"/>
  <c r="L1465" i="36"/>
  <c r="K1465" i="36"/>
  <c r="J1465" i="36"/>
  <c r="I1465" i="36"/>
  <c r="H1465" i="36"/>
  <c r="G1465" i="36"/>
  <c r="F1465" i="36"/>
  <c r="E1465" i="36"/>
  <c r="D1465" i="36"/>
  <c r="C1465" i="36"/>
  <c r="B1465" i="36"/>
  <c r="R1464" i="36"/>
  <c r="Q1464" i="36"/>
  <c r="P1464" i="36"/>
  <c r="O1464" i="36"/>
  <c r="N1464" i="36"/>
  <c r="M1464" i="36"/>
  <c r="L1464" i="36"/>
  <c r="K1464" i="36"/>
  <c r="J1464" i="36"/>
  <c r="I1464" i="36"/>
  <c r="H1464" i="36"/>
  <c r="G1464" i="36"/>
  <c r="F1464" i="36"/>
  <c r="E1464" i="36"/>
  <c r="D1464" i="36"/>
  <c r="C1464" i="36"/>
  <c r="B1464" i="36"/>
  <c r="R1463" i="36"/>
  <c r="Q1463" i="36"/>
  <c r="P1463" i="36"/>
  <c r="O1463" i="36"/>
  <c r="N1463" i="36"/>
  <c r="M1463" i="36"/>
  <c r="L1463" i="36"/>
  <c r="K1463" i="36"/>
  <c r="J1463" i="36"/>
  <c r="I1463" i="36"/>
  <c r="H1463" i="36"/>
  <c r="G1463" i="36"/>
  <c r="F1463" i="36"/>
  <c r="E1463" i="36"/>
  <c r="D1463" i="36"/>
  <c r="C1463" i="36"/>
  <c r="B1463" i="36"/>
  <c r="R1462" i="36"/>
  <c r="Q1462" i="36"/>
  <c r="P1462" i="36"/>
  <c r="O1462" i="36"/>
  <c r="N1462" i="36"/>
  <c r="M1462" i="36"/>
  <c r="L1462" i="36"/>
  <c r="K1462" i="36"/>
  <c r="J1462" i="36"/>
  <c r="I1462" i="36"/>
  <c r="H1462" i="36"/>
  <c r="G1462" i="36"/>
  <c r="F1462" i="36"/>
  <c r="E1462" i="36"/>
  <c r="D1462" i="36"/>
  <c r="C1462" i="36"/>
  <c r="B1462" i="36"/>
  <c r="R1461" i="36"/>
  <c r="Q1461" i="36"/>
  <c r="P1461" i="36"/>
  <c r="O1461" i="36"/>
  <c r="N1461" i="36"/>
  <c r="M1461" i="36"/>
  <c r="L1461" i="36"/>
  <c r="K1461" i="36"/>
  <c r="J1461" i="36"/>
  <c r="I1461" i="36"/>
  <c r="H1461" i="36"/>
  <c r="G1461" i="36"/>
  <c r="F1461" i="36"/>
  <c r="E1461" i="36"/>
  <c r="D1461" i="36"/>
  <c r="C1461" i="36"/>
  <c r="B1461" i="36"/>
  <c r="R1460" i="36"/>
  <c r="Q1460" i="36"/>
  <c r="P1460" i="36"/>
  <c r="O1460" i="36"/>
  <c r="N1460" i="36"/>
  <c r="M1460" i="36"/>
  <c r="L1460" i="36"/>
  <c r="K1460" i="36"/>
  <c r="J1460" i="36"/>
  <c r="I1460" i="36"/>
  <c r="H1460" i="36"/>
  <c r="G1460" i="36"/>
  <c r="F1460" i="36"/>
  <c r="E1460" i="36"/>
  <c r="D1460" i="36"/>
  <c r="C1460" i="36"/>
  <c r="B1460" i="36"/>
  <c r="R1459" i="36"/>
  <c r="Q1459" i="36"/>
  <c r="P1459" i="36"/>
  <c r="O1459" i="36"/>
  <c r="N1459" i="36"/>
  <c r="M1459" i="36"/>
  <c r="L1459" i="36"/>
  <c r="K1459" i="36"/>
  <c r="J1459" i="36"/>
  <c r="I1459" i="36"/>
  <c r="H1459" i="36"/>
  <c r="G1459" i="36"/>
  <c r="F1459" i="36"/>
  <c r="E1459" i="36"/>
  <c r="D1459" i="36"/>
  <c r="C1459" i="36"/>
  <c r="B1459" i="36"/>
  <c r="R1458" i="36"/>
  <c r="Q1458" i="36"/>
  <c r="P1458" i="36"/>
  <c r="O1458" i="36"/>
  <c r="N1458" i="36"/>
  <c r="M1458" i="36"/>
  <c r="L1458" i="36"/>
  <c r="K1458" i="36"/>
  <c r="J1458" i="36"/>
  <c r="I1458" i="36"/>
  <c r="H1458" i="36"/>
  <c r="G1458" i="36"/>
  <c r="F1458" i="36"/>
  <c r="E1458" i="36"/>
  <c r="D1458" i="36"/>
  <c r="C1458" i="36"/>
  <c r="B1458" i="36"/>
  <c r="R1457" i="36"/>
  <c r="Q1457" i="36"/>
  <c r="P1457" i="36"/>
  <c r="O1457" i="36"/>
  <c r="N1457" i="36"/>
  <c r="M1457" i="36"/>
  <c r="L1457" i="36"/>
  <c r="K1457" i="36"/>
  <c r="J1457" i="36"/>
  <c r="I1457" i="36"/>
  <c r="H1457" i="36"/>
  <c r="G1457" i="36"/>
  <c r="F1457" i="36"/>
  <c r="E1457" i="36"/>
  <c r="D1457" i="36"/>
  <c r="C1457" i="36"/>
  <c r="B1457" i="36"/>
  <c r="R1456" i="36"/>
  <c r="Q1456" i="36"/>
  <c r="P1456" i="36"/>
  <c r="O1456" i="36"/>
  <c r="N1456" i="36"/>
  <c r="M1456" i="36"/>
  <c r="L1456" i="36"/>
  <c r="K1456" i="36"/>
  <c r="J1456" i="36"/>
  <c r="I1456" i="36"/>
  <c r="H1456" i="36"/>
  <c r="G1456" i="36"/>
  <c r="F1456" i="36"/>
  <c r="E1456" i="36"/>
  <c r="D1456" i="36"/>
  <c r="C1456" i="36"/>
  <c r="B1456" i="36"/>
  <c r="R1455" i="36"/>
  <c r="Q1455" i="36"/>
  <c r="P1455" i="36"/>
  <c r="O1455" i="36"/>
  <c r="N1455" i="36"/>
  <c r="M1455" i="36"/>
  <c r="L1455" i="36"/>
  <c r="K1455" i="36"/>
  <c r="J1455" i="36"/>
  <c r="I1455" i="36"/>
  <c r="H1455" i="36"/>
  <c r="G1455" i="36"/>
  <c r="F1455" i="36"/>
  <c r="E1455" i="36"/>
  <c r="D1455" i="36"/>
  <c r="C1455" i="36"/>
  <c r="B1455" i="36"/>
  <c r="R1454" i="36"/>
  <c r="Q1454" i="36"/>
  <c r="P1454" i="36"/>
  <c r="O1454" i="36"/>
  <c r="N1454" i="36"/>
  <c r="M1454" i="36"/>
  <c r="L1454" i="36"/>
  <c r="K1454" i="36"/>
  <c r="J1454" i="36"/>
  <c r="I1454" i="36"/>
  <c r="H1454" i="36"/>
  <c r="G1454" i="36"/>
  <c r="F1454" i="36"/>
  <c r="E1454" i="36"/>
  <c r="D1454" i="36"/>
  <c r="C1454" i="36"/>
  <c r="B1454" i="36"/>
  <c r="R1453" i="36"/>
  <c r="Q1453" i="36"/>
  <c r="P1453" i="36"/>
  <c r="O1453" i="36"/>
  <c r="N1453" i="36"/>
  <c r="M1453" i="36"/>
  <c r="L1453" i="36"/>
  <c r="K1453" i="36"/>
  <c r="J1453" i="36"/>
  <c r="I1453" i="36"/>
  <c r="H1453" i="36"/>
  <c r="G1453" i="36"/>
  <c r="F1453" i="36"/>
  <c r="E1453" i="36"/>
  <c r="D1453" i="36"/>
  <c r="C1453" i="36"/>
  <c r="B1453" i="36"/>
  <c r="R1452" i="36"/>
  <c r="Q1452" i="36"/>
  <c r="P1452" i="36"/>
  <c r="O1452" i="36"/>
  <c r="N1452" i="36"/>
  <c r="M1452" i="36"/>
  <c r="L1452" i="36"/>
  <c r="K1452" i="36"/>
  <c r="J1452" i="36"/>
  <c r="I1452" i="36"/>
  <c r="H1452" i="36"/>
  <c r="G1452" i="36"/>
  <c r="F1452" i="36"/>
  <c r="E1452" i="36"/>
  <c r="D1452" i="36"/>
  <c r="C1452" i="36"/>
  <c r="B1452" i="36"/>
  <c r="R1451" i="36"/>
  <c r="Q1451" i="36"/>
  <c r="P1451" i="36"/>
  <c r="O1451" i="36"/>
  <c r="N1451" i="36"/>
  <c r="M1451" i="36"/>
  <c r="L1451" i="36"/>
  <c r="K1451" i="36"/>
  <c r="J1451" i="36"/>
  <c r="I1451" i="36"/>
  <c r="H1451" i="36"/>
  <c r="G1451" i="36"/>
  <c r="F1451" i="36"/>
  <c r="E1451" i="36"/>
  <c r="D1451" i="36"/>
  <c r="C1451" i="36"/>
  <c r="B1451" i="36"/>
  <c r="R1450" i="36"/>
  <c r="Q1450" i="36"/>
  <c r="P1450" i="36"/>
  <c r="O1450" i="36"/>
  <c r="N1450" i="36"/>
  <c r="M1450" i="36"/>
  <c r="L1450" i="36"/>
  <c r="K1450" i="36"/>
  <c r="J1450" i="36"/>
  <c r="I1450" i="36"/>
  <c r="H1450" i="36"/>
  <c r="G1450" i="36"/>
  <c r="F1450" i="36"/>
  <c r="E1450" i="36"/>
  <c r="D1450" i="36"/>
  <c r="C1450" i="36"/>
  <c r="B1450" i="36"/>
  <c r="R1449" i="36"/>
  <c r="Q1449" i="36"/>
  <c r="P1449" i="36"/>
  <c r="O1449" i="36"/>
  <c r="N1449" i="36"/>
  <c r="M1449" i="36"/>
  <c r="L1449" i="36"/>
  <c r="K1449" i="36"/>
  <c r="J1449" i="36"/>
  <c r="I1449" i="36"/>
  <c r="H1449" i="36"/>
  <c r="G1449" i="36"/>
  <c r="F1449" i="36"/>
  <c r="E1449" i="36"/>
  <c r="D1449" i="36"/>
  <c r="C1449" i="36"/>
  <c r="B1449" i="36"/>
  <c r="R1448" i="36"/>
  <c r="Q1448" i="36"/>
  <c r="P1448" i="36"/>
  <c r="O1448" i="36"/>
  <c r="N1448" i="36"/>
  <c r="M1448" i="36"/>
  <c r="L1448" i="36"/>
  <c r="K1448" i="36"/>
  <c r="J1448" i="36"/>
  <c r="I1448" i="36"/>
  <c r="H1448" i="36"/>
  <c r="G1448" i="36"/>
  <c r="F1448" i="36"/>
  <c r="E1448" i="36"/>
  <c r="D1448" i="36"/>
  <c r="C1448" i="36"/>
  <c r="B1448" i="36"/>
  <c r="R1447" i="36"/>
  <c r="Q1447" i="36"/>
  <c r="P1447" i="36"/>
  <c r="O1447" i="36"/>
  <c r="N1447" i="36"/>
  <c r="M1447" i="36"/>
  <c r="L1447" i="36"/>
  <c r="K1447" i="36"/>
  <c r="J1447" i="36"/>
  <c r="I1447" i="36"/>
  <c r="H1447" i="36"/>
  <c r="G1447" i="36"/>
  <c r="F1447" i="36"/>
  <c r="E1447" i="36"/>
  <c r="D1447" i="36"/>
  <c r="C1447" i="36"/>
  <c r="B1447" i="36"/>
  <c r="R1446" i="36"/>
  <c r="Q1446" i="36"/>
  <c r="P1446" i="36"/>
  <c r="O1446" i="36"/>
  <c r="N1446" i="36"/>
  <c r="M1446" i="36"/>
  <c r="L1446" i="36"/>
  <c r="K1446" i="36"/>
  <c r="J1446" i="36"/>
  <c r="I1446" i="36"/>
  <c r="H1446" i="36"/>
  <c r="G1446" i="36"/>
  <c r="F1446" i="36"/>
  <c r="E1446" i="36"/>
  <c r="D1446" i="36"/>
  <c r="C1446" i="36"/>
  <c r="B1446" i="36"/>
  <c r="R1445" i="36"/>
  <c r="Q1445" i="36"/>
  <c r="P1445" i="36"/>
  <c r="O1445" i="36"/>
  <c r="N1445" i="36"/>
  <c r="M1445" i="36"/>
  <c r="L1445" i="36"/>
  <c r="K1445" i="36"/>
  <c r="J1445" i="36"/>
  <c r="I1445" i="36"/>
  <c r="H1445" i="36"/>
  <c r="G1445" i="36"/>
  <c r="F1445" i="36"/>
  <c r="E1445" i="36"/>
  <c r="D1445" i="36"/>
  <c r="C1445" i="36"/>
  <c r="B1445" i="36"/>
  <c r="R1444" i="36"/>
  <c r="Q1444" i="36"/>
  <c r="P1444" i="36"/>
  <c r="O1444" i="36"/>
  <c r="N1444" i="36"/>
  <c r="M1444" i="36"/>
  <c r="L1444" i="36"/>
  <c r="K1444" i="36"/>
  <c r="J1444" i="36"/>
  <c r="I1444" i="36"/>
  <c r="H1444" i="36"/>
  <c r="G1444" i="36"/>
  <c r="F1444" i="36"/>
  <c r="E1444" i="36"/>
  <c r="D1444" i="36"/>
  <c r="C1444" i="36"/>
  <c r="B1444" i="36"/>
  <c r="R1443" i="36"/>
  <c r="Q1443" i="36"/>
  <c r="P1443" i="36"/>
  <c r="O1443" i="36"/>
  <c r="N1443" i="36"/>
  <c r="M1443" i="36"/>
  <c r="L1443" i="36"/>
  <c r="K1443" i="36"/>
  <c r="J1443" i="36"/>
  <c r="I1443" i="36"/>
  <c r="H1443" i="36"/>
  <c r="G1443" i="36"/>
  <c r="F1443" i="36"/>
  <c r="E1443" i="36"/>
  <c r="D1443" i="36"/>
  <c r="C1443" i="36"/>
  <c r="B1443" i="36"/>
  <c r="R1442" i="36"/>
  <c r="Q1442" i="36"/>
  <c r="P1442" i="36"/>
  <c r="O1442" i="36"/>
  <c r="N1442" i="36"/>
  <c r="M1442" i="36"/>
  <c r="L1442" i="36"/>
  <c r="K1442" i="36"/>
  <c r="J1442" i="36"/>
  <c r="I1442" i="36"/>
  <c r="H1442" i="36"/>
  <c r="G1442" i="36"/>
  <c r="F1442" i="36"/>
  <c r="E1442" i="36"/>
  <c r="D1442" i="36"/>
  <c r="C1442" i="36"/>
  <c r="B1442" i="36"/>
  <c r="R1441" i="36"/>
  <c r="Q1441" i="36"/>
  <c r="P1441" i="36"/>
  <c r="O1441" i="36"/>
  <c r="N1441" i="36"/>
  <c r="M1441" i="36"/>
  <c r="L1441" i="36"/>
  <c r="K1441" i="36"/>
  <c r="J1441" i="36"/>
  <c r="I1441" i="36"/>
  <c r="H1441" i="36"/>
  <c r="G1441" i="36"/>
  <c r="F1441" i="36"/>
  <c r="E1441" i="36"/>
  <c r="D1441" i="36"/>
  <c r="C1441" i="36"/>
  <c r="B1441" i="36"/>
  <c r="R1440" i="36"/>
  <c r="Q1440" i="36"/>
  <c r="P1440" i="36"/>
  <c r="O1440" i="36"/>
  <c r="N1440" i="36"/>
  <c r="M1440" i="36"/>
  <c r="L1440" i="36"/>
  <c r="K1440" i="36"/>
  <c r="J1440" i="36"/>
  <c r="I1440" i="36"/>
  <c r="H1440" i="36"/>
  <c r="G1440" i="36"/>
  <c r="F1440" i="36"/>
  <c r="E1440" i="36"/>
  <c r="D1440" i="36"/>
  <c r="C1440" i="36"/>
  <c r="B1440" i="36"/>
  <c r="R1439" i="36"/>
  <c r="Q1439" i="36"/>
  <c r="P1439" i="36"/>
  <c r="O1439" i="36"/>
  <c r="N1439" i="36"/>
  <c r="M1439" i="36"/>
  <c r="L1439" i="36"/>
  <c r="K1439" i="36"/>
  <c r="J1439" i="36"/>
  <c r="I1439" i="36"/>
  <c r="H1439" i="36"/>
  <c r="G1439" i="36"/>
  <c r="F1439" i="36"/>
  <c r="E1439" i="36"/>
  <c r="D1439" i="36"/>
  <c r="C1439" i="36"/>
  <c r="B1439" i="36"/>
  <c r="R1438" i="36"/>
  <c r="Q1438" i="36"/>
  <c r="P1438" i="36"/>
  <c r="O1438" i="36"/>
  <c r="N1438" i="36"/>
  <c r="M1438" i="36"/>
  <c r="L1438" i="36"/>
  <c r="K1438" i="36"/>
  <c r="J1438" i="36"/>
  <c r="I1438" i="36"/>
  <c r="H1438" i="36"/>
  <c r="G1438" i="36"/>
  <c r="F1438" i="36"/>
  <c r="E1438" i="36"/>
  <c r="D1438" i="36"/>
  <c r="C1438" i="36"/>
  <c r="B1438" i="36"/>
  <c r="R1437" i="36"/>
  <c r="Q1437" i="36"/>
  <c r="P1437" i="36"/>
  <c r="O1437" i="36"/>
  <c r="N1437" i="36"/>
  <c r="M1437" i="36"/>
  <c r="L1437" i="36"/>
  <c r="K1437" i="36"/>
  <c r="J1437" i="36"/>
  <c r="I1437" i="36"/>
  <c r="H1437" i="36"/>
  <c r="G1437" i="36"/>
  <c r="F1437" i="36"/>
  <c r="E1437" i="36"/>
  <c r="D1437" i="36"/>
  <c r="C1437" i="36"/>
  <c r="B1437" i="36"/>
  <c r="R1436" i="36"/>
  <c r="Q1436" i="36"/>
  <c r="P1436" i="36"/>
  <c r="O1436" i="36"/>
  <c r="N1436" i="36"/>
  <c r="M1436" i="36"/>
  <c r="L1436" i="36"/>
  <c r="K1436" i="36"/>
  <c r="J1436" i="36"/>
  <c r="I1436" i="36"/>
  <c r="H1436" i="36"/>
  <c r="G1436" i="36"/>
  <c r="F1436" i="36"/>
  <c r="E1436" i="36"/>
  <c r="D1436" i="36"/>
  <c r="C1436" i="36"/>
  <c r="B1436" i="36"/>
  <c r="R1435" i="36"/>
  <c r="Q1435" i="36"/>
  <c r="P1435" i="36"/>
  <c r="O1435" i="36"/>
  <c r="N1435" i="36"/>
  <c r="M1435" i="36"/>
  <c r="L1435" i="36"/>
  <c r="K1435" i="36"/>
  <c r="J1435" i="36"/>
  <c r="I1435" i="36"/>
  <c r="H1435" i="36"/>
  <c r="G1435" i="36"/>
  <c r="F1435" i="36"/>
  <c r="E1435" i="36"/>
  <c r="D1435" i="36"/>
  <c r="C1435" i="36"/>
  <c r="B1435" i="36"/>
  <c r="R1434" i="36"/>
  <c r="Q1434" i="36"/>
  <c r="P1434" i="36"/>
  <c r="O1434" i="36"/>
  <c r="N1434" i="36"/>
  <c r="M1434" i="36"/>
  <c r="L1434" i="36"/>
  <c r="K1434" i="36"/>
  <c r="J1434" i="36"/>
  <c r="I1434" i="36"/>
  <c r="H1434" i="36"/>
  <c r="G1434" i="36"/>
  <c r="F1434" i="36"/>
  <c r="E1434" i="36"/>
  <c r="D1434" i="36"/>
  <c r="C1434" i="36"/>
  <c r="B1434" i="36"/>
  <c r="R1433" i="36"/>
  <c r="Q1433" i="36"/>
  <c r="P1433" i="36"/>
  <c r="O1433" i="36"/>
  <c r="N1433" i="36"/>
  <c r="M1433" i="36"/>
  <c r="L1433" i="36"/>
  <c r="K1433" i="36"/>
  <c r="J1433" i="36"/>
  <c r="I1433" i="36"/>
  <c r="H1433" i="36"/>
  <c r="G1433" i="36"/>
  <c r="F1433" i="36"/>
  <c r="E1433" i="36"/>
  <c r="D1433" i="36"/>
  <c r="C1433" i="36"/>
  <c r="B1433" i="36"/>
  <c r="R1432" i="36"/>
  <c r="Q1432" i="36"/>
  <c r="P1432" i="36"/>
  <c r="O1432" i="36"/>
  <c r="N1432" i="36"/>
  <c r="M1432" i="36"/>
  <c r="L1432" i="36"/>
  <c r="K1432" i="36"/>
  <c r="J1432" i="36"/>
  <c r="I1432" i="36"/>
  <c r="H1432" i="36"/>
  <c r="G1432" i="36"/>
  <c r="F1432" i="36"/>
  <c r="E1432" i="36"/>
  <c r="D1432" i="36"/>
  <c r="C1432" i="36"/>
  <c r="B1432" i="36"/>
  <c r="R1431" i="36"/>
  <c r="Q1431" i="36"/>
  <c r="P1431" i="36"/>
  <c r="O1431" i="36"/>
  <c r="N1431" i="36"/>
  <c r="M1431" i="36"/>
  <c r="L1431" i="36"/>
  <c r="K1431" i="36"/>
  <c r="J1431" i="36"/>
  <c r="I1431" i="36"/>
  <c r="H1431" i="36"/>
  <c r="G1431" i="36"/>
  <c r="F1431" i="36"/>
  <c r="E1431" i="36"/>
  <c r="D1431" i="36"/>
  <c r="C1431" i="36"/>
  <c r="B1431" i="36"/>
  <c r="R1430" i="36"/>
  <c r="Q1430" i="36"/>
  <c r="P1430" i="36"/>
  <c r="O1430" i="36"/>
  <c r="N1430" i="36"/>
  <c r="M1430" i="36"/>
  <c r="L1430" i="36"/>
  <c r="K1430" i="36"/>
  <c r="J1430" i="36"/>
  <c r="I1430" i="36"/>
  <c r="H1430" i="36"/>
  <c r="G1430" i="36"/>
  <c r="F1430" i="36"/>
  <c r="E1430" i="36"/>
  <c r="D1430" i="36"/>
  <c r="C1430" i="36"/>
  <c r="B1430" i="36"/>
  <c r="R1429" i="36"/>
  <c r="Q1429" i="36"/>
  <c r="P1429" i="36"/>
  <c r="O1429" i="36"/>
  <c r="N1429" i="36"/>
  <c r="M1429" i="36"/>
  <c r="L1429" i="36"/>
  <c r="K1429" i="36"/>
  <c r="J1429" i="36"/>
  <c r="I1429" i="36"/>
  <c r="H1429" i="36"/>
  <c r="G1429" i="36"/>
  <c r="F1429" i="36"/>
  <c r="E1429" i="36"/>
  <c r="D1429" i="36"/>
  <c r="C1429" i="36"/>
  <c r="B1429" i="36"/>
  <c r="R1428" i="36"/>
  <c r="Q1428" i="36"/>
  <c r="P1428" i="36"/>
  <c r="O1428" i="36"/>
  <c r="N1428" i="36"/>
  <c r="M1428" i="36"/>
  <c r="L1428" i="36"/>
  <c r="K1428" i="36"/>
  <c r="J1428" i="36"/>
  <c r="I1428" i="36"/>
  <c r="H1428" i="36"/>
  <c r="G1428" i="36"/>
  <c r="F1428" i="36"/>
  <c r="E1428" i="36"/>
  <c r="D1428" i="36"/>
  <c r="C1428" i="36"/>
  <c r="B1428" i="36"/>
  <c r="R1427" i="36"/>
  <c r="Q1427" i="36"/>
  <c r="P1427" i="36"/>
  <c r="O1427" i="36"/>
  <c r="N1427" i="36"/>
  <c r="M1427" i="36"/>
  <c r="L1427" i="36"/>
  <c r="K1427" i="36"/>
  <c r="J1427" i="36"/>
  <c r="I1427" i="36"/>
  <c r="H1427" i="36"/>
  <c r="G1427" i="36"/>
  <c r="F1427" i="36"/>
  <c r="E1427" i="36"/>
  <c r="D1427" i="36"/>
  <c r="C1427" i="36"/>
  <c r="B1427" i="36"/>
  <c r="R1426" i="36"/>
  <c r="Q1426" i="36"/>
  <c r="P1426" i="36"/>
  <c r="O1426" i="36"/>
  <c r="N1426" i="36"/>
  <c r="M1426" i="36"/>
  <c r="L1426" i="36"/>
  <c r="K1426" i="36"/>
  <c r="J1426" i="36"/>
  <c r="I1426" i="36"/>
  <c r="H1426" i="36"/>
  <c r="G1426" i="36"/>
  <c r="F1426" i="36"/>
  <c r="E1426" i="36"/>
  <c r="D1426" i="36"/>
  <c r="C1426" i="36"/>
  <c r="B1426" i="36"/>
  <c r="R1425" i="36"/>
  <c r="Q1425" i="36"/>
  <c r="P1425" i="36"/>
  <c r="O1425" i="36"/>
  <c r="N1425" i="36"/>
  <c r="M1425" i="36"/>
  <c r="L1425" i="36"/>
  <c r="K1425" i="36"/>
  <c r="J1425" i="36"/>
  <c r="I1425" i="36"/>
  <c r="H1425" i="36"/>
  <c r="G1425" i="36"/>
  <c r="F1425" i="36"/>
  <c r="E1425" i="36"/>
  <c r="D1425" i="36"/>
  <c r="C1425" i="36"/>
  <c r="B1425" i="36"/>
  <c r="R1424" i="36"/>
  <c r="Q1424" i="36"/>
  <c r="P1424" i="36"/>
  <c r="O1424" i="36"/>
  <c r="N1424" i="36"/>
  <c r="M1424" i="36"/>
  <c r="L1424" i="36"/>
  <c r="K1424" i="36"/>
  <c r="J1424" i="36"/>
  <c r="I1424" i="36"/>
  <c r="H1424" i="36"/>
  <c r="G1424" i="36"/>
  <c r="F1424" i="36"/>
  <c r="E1424" i="36"/>
  <c r="D1424" i="36"/>
  <c r="C1424" i="36"/>
  <c r="B1424" i="36"/>
  <c r="R1423" i="36"/>
  <c r="Q1423" i="36"/>
  <c r="P1423" i="36"/>
  <c r="O1423" i="36"/>
  <c r="N1423" i="36"/>
  <c r="M1423" i="36"/>
  <c r="L1423" i="36"/>
  <c r="K1423" i="36"/>
  <c r="J1423" i="36"/>
  <c r="I1423" i="36"/>
  <c r="H1423" i="36"/>
  <c r="G1423" i="36"/>
  <c r="F1423" i="36"/>
  <c r="E1423" i="36"/>
  <c r="D1423" i="36"/>
  <c r="C1423" i="36"/>
  <c r="B1423" i="36"/>
  <c r="R1422" i="36"/>
  <c r="Q1422" i="36"/>
  <c r="P1422" i="36"/>
  <c r="O1422" i="36"/>
  <c r="N1422" i="36"/>
  <c r="M1422" i="36"/>
  <c r="L1422" i="36"/>
  <c r="K1422" i="36"/>
  <c r="J1422" i="36"/>
  <c r="I1422" i="36"/>
  <c r="H1422" i="36"/>
  <c r="G1422" i="36"/>
  <c r="F1422" i="36"/>
  <c r="E1422" i="36"/>
  <c r="D1422" i="36"/>
  <c r="C1422" i="36"/>
  <c r="B1422" i="36"/>
  <c r="R1421" i="36"/>
  <c r="Q1421" i="36"/>
  <c r="P1421" i="36"/>
  <c r="O1421" i="36"/>
  <c r="N1421" i="36"/>
  <c r="M1421" i="36"/>
  <c r="L1421" i="36"/>
  <c r="K1421" i="36"/>
  <c r="J1421" i="36"/>
  <c r="I1421" i="36"/>
  <c r="H1421" i="36"/>
  <c r="G1421" i="36"/>
  <c r="F1421" i="36"/>
  <c r="E1421" i="36"/>
  <c r="D1421" i="36"/>
  <c r="C1421" i="36"/>
  <c r="B1421" i="36"/>
  <c r="R1420" i="36"/>
  <c r="Q1420" i="36"/>
  <c r="P1420" i="36"/>
  <c r="O1420" i="36"/>
  <c r="N1420" i="36"/>
  <c r="M1420" i="36"/>
  <c r="L1420" i="36"/>
  <c r="K1420" i="36"/>
  <c r="J1420" i="36"/>
  <c r="I1420" i="36"/>
  <c r="H1420" i="36"/>
  <c r="G1420" i="36"/>
  <c r="F1420" i="36"/>
  <c r="E1420" i="36"/>
  <c r="D1420" i="36"/>
  <c r="C1420" i="36"/>
  <c r="B1420" i="36"/>
  <c r="R1419" i="36"/>
  <c r="Q1419" i="36"/>
  <c r="P1419" i="36"/>
  <c r="O1419" i="36"/>
  <c r="N1419" i="36"/>
  <c r="M1419" i="36"/>
  <c r="L1419" i="36"/>
  <c r="K1419" i="36"/>
  <c r="J1419" i="36"/>
  <c r="I1419" i="36"/>
  <c r="H1419" i="36"/>
  <c r="G1419" i="36"/>
  <c r="F1419" i="36"/>
  <c r="E1419" i="36"/>
  <c r="D1419" i="36"/>
  <c r="C1419" i="36"/>
  <c r="B1419" i="36"/>
  <c r="R1418" i="36"/>
  <c r="Q1418" i="36"/>
  <c r="P1418" i="36"/>
  <c r="O1418" i="36"/>
  <c r="N1418" i="36"/>
  <c r="M1418" i="36"/>
  <c r="L1418" i="36"/>
  <c r="K1418" i="36"/>
  <c r="J1418" i="36"/>
  <c r="I1418" i="36"/>
  <c r="H1418" i="36"/>
  <c r="G1418" i="36"/>
  <c r="F1418" i="36"/>
  <c r="E1418" i="36"/>
  <c r="D1418" i="36"/>
  <c r="C1418" i="36"/>
  <c r="B1418" i="36"/>
  <c r="R1417" i="36"/>
  <c r="Q1417" i="36"/>
  <c r="P1417" i="36"/>
  <c r="O1417" i="36"/>
  <c r="N1417" i="36"/>
  <c r="M1417" i="36"/>
  <c r="L1417" i="36"/>
  <c r="K1417" i="36"/>
  <c r="J1417" i="36"/>
  <c r="I1417" i="36"/>
  <c r="H1417" i="36"/>
  <c r="G1417" i="36"/>
  <c r="F1417" i="36"/>
  <c r="E1417" i="36"/>
  <c r="D1417" i="36"/>
  <c r="C1417" i="36"/>
  <c r="B1417" i="36"/>
  <c r="R1416" i="36"/>
  <c r="Q1416" i="36"/>
  <c r="P1416" i="36"/>
  <c r="O1416" i="36"/>
  <c r="N1416" i="36"/>
  <c r="M1416" i="36"/>
  <c r="L1416" i="36"/>
  <c r="K1416" i="36"/>
  <c r="J1416" i="36"/>
  <c r="I1416" i="36"/>
  <c r="H1416" i="36"/>
  <c r="G1416" i="36"/>
  <c r="F1416" i="36"/>
  <c r="E1416" i="36"/>
  <c r="D1416" i="36"/>
  <c r="C1416" i="36"/>
  <c r="B1416" i="36"/>
  <c r="R1415" i="36"/>
  <c r="Q1415" i="36"/>
  <c r="P1415" i="36"/>
  <c r="O1415" i="36"/>
  <c r="N1415" i="36"/>
  <c r="M1415" i="36"/>
  <c r="L1415" i="36"/>
  <c r="K1415" i="36"/>
  <c r="J1415" i="36"/>
  <c r="I1415" i="36"/>
  <c r="H1415" i="36"/>
  <c r="G1415" i="36"/>
  <c r="F1415" i="36"/>
  <c r="E1415" i="36"/>
  <c r="D1415" i="36"/>
  <c r="C1415" i="36"/>
  <c r="B1415" i="36"/>
  <c r="R1414" i="36"/>
  <c r="Q1414" i="36"/>
  <c r="P1414" i="36"/>
  <c r="O1414" i="36"/>
  <c r="N1414" i="36"/>
  <c r="M1414" i="36"/>
  <c r="L1414" i="36"/>
  <c r="K1414" i="36"/>
  <c r="J1414" i="36"/>
  <c r="I1414" i="36"/>
  <c r="H1414" i="36"/>
  <c r="G1414" i="36"/>
  <c r="F1414" i="36"/>
  <c r="E1414" i="36"/>
  <c r="D1414" i="36"/>
  <c r="C1414" i="36"/>
  <c r="B1414" i="36"/>
  <c r="R1413" i="36"/>
  <c r="Q1413" i="36"/>
  <c r="P1413" i="36"/>
  <c r="O1413" i="36"/>
  <c r="N1413" i="36"/>
  <c r="M1413" i="36"/>
  <c r="L1413" i="36"/>
  <c r="K1413" i="36"/>
  <c r="J1413" i="36"/>
  <c r="I1413" i="36"/>
  <c r="H1413" i="36"/>
  <c r="G1413" i="36"/>
  <c r="F1413" i="36"/>
  <c r="E1413" i="36"/>
  <c r="D1413" i="36"/>
  <c r="C1413" i="36"/>
  <c r="B1413" i="36"/>
  <c r="R1412" i="36"/>
  <c r="Q1412" i="36"/>
  <c r="P1412" i="36"/>
  <c r="O1412" i="36"/>
  <c r="N1412" i="36"/>
  <c r="M1412" i="36"/>
  <c r="L1412" i="36"/>
  <c r="K1412" i="36"/>
  <c r="J1412" i="36"/>
  <c r="I1412" i="36"/>
  <c r="H1412" i="36"/>
  <c r="G1412" i="36"/>
  <c r="F1412" i="36"/>
  <c r="E1412" i="36"/>
  <c r="D1412" i="36"/>
  <c r="C1412" i="36"/>
  <c r="B1412" i="36"/>
  <c r="R1411" i="36"/>
  <c r="Q1411" i="36"/>
  <c r="P1411" i="36"/>
  <c r="O1411" i="36"/>
  <c r="N1411" i="36"/>
  <c r="M1411" i="36"/>
  <c r="L1411" i="36"/>
  <c r="K1411" i="36"/>
  <c r="J1411" i="36"/>
  <c r="I1411" i="36"/>
  <c r="H1411" i="36"/>
  <c r="G1411" i="36"/>
  <c r="F1411" i="36"/>
  <c r="E1411" i="36"/>
  <c r="D1411" i="36"/>
  <c r="C1411" i="36"/>
  <c r="B1411" i="36"/>
  <c r="R1410" i="36"/>
  <c r="Q1410" i="36"/>
  <c r="P1410" i="36"/>
  <c r="O1410" i="36"/>
  <c r="N1410" i="36"/>
  <c r="M1410" i="36"/>
  <c r="L1410" i="36"/>
  <c r="K1410" i="36"/>
  <c r="J1410" i="36"/>
  <c r="I1410" i="36"/>
  <c r="H1410" i="36"/>
  <c r="G1410" i="36"/>
  <c r="F1410" i="36"/>
  <c r="E1410" i="36"/>
  <c r="D1410" i="36"/>
  <c r="C1410" i="36"/>
  <c r="B1410" i="36"/>
  <c r="R1409" i="36"/>
  <c r="Q1409" i="36"/>
  <c r="P1409" i="36"/>
  <c r="O1409" i="36"/>
  <c r="N1409" i="36"/>
  <c r="M1409" i="36"/>
  <c r="L1409" i="36"/>
  <c r="K1409" i="36"/>
  <c r="J1409" i="36"/>
  <c r="I1409" i="36"/>
  <c r="H1409" i="36"/>
  <c r="G1409" i="36"/>
  <c r="F1409" i="36"/>
  <c r="E1409" i="36"/>
  <c r="D1409" i="36"/>
  <c r="C1409" i="36"/>
  <c r="B1409" i="36"/>
  <c r="R1408" i="36"/>
  <c r="Q1408" i="36"/>
  <c r="P1408" i="36"/>
  <c r="O1408" i="36"/>
  <c r="N1408" i="36"/>
  <c r="M1408" i="36"/>
  <c r="L1408" i="36"/>
  <c r="K1408" i="36"/>
  <c r="J1408" i="36"/>
  <c r="I1408" i="36"/>
  <c r="H1408" i="36"/>
  <c r="G1408" i="36"/>
  <c r="F1408" i="36"/>
  <c r="E1408" i="36"/>
  <c r="D1408" i="36"/>
  <c r="C1408" i="36"/>
  <c r="B1408" i="36"/>
  <c r="R1407" i="36"/>
  <c r="Q1407" i="36"/>
  <c r="P1407" i="36"/>
  <c r="O1407" i="36"/>
  <c r="N1407" i="36"/>
  <c r="M1407" i="36"/>
  <c r="L1407" i="36"/>
  <c r="K1407" i="36"/>
  <c r="J1407" i="36"/>
  <c r="I1407" i="36"/>
  <c r="H1407" i="36"/>
  <c r="G1407" i="36"/>
  <c r="F1407" i="36"/>
  <c r="E1407" i="36"/>
  <c r="D1407" i="36"/>
  <c r="C1407" i="36"/>
  <c r="B1407" i="36"/>
  <c r="R1406" i="36"/>
  <c r="Q1406" i="36"/>
  <c r="P1406" i="36"/>
  <c r="O1406" i="36"/>
  <c r="N1406" i="36"/>
  <c r="M1406" i="36"/>
  <c r="L1406" i="36"/>
  <c r="K1406" i="36"/>
  <c r="J1406" i="36"/>
  <c r="I1406" i="36"/>
  <c r="H1406" i="36"/>
  <c r="G1406" i="36"/>
  <c r="F1406" i="36"/>
  <c r="E1406" i="36"/>
  <c r="D1406" i="36"/>
  <c r="C1406" i="36"/>
  <c r="B1406" i="36"/>
  <c r="R1405" i="36"/>
  <c r="Q1405" i="36"/>
  <c r="P1405" i="36"/>
  <c r="O1405" i="36"/>
  <c r="N1405" i="36"/>
  <c r="M1405" i="36"/>
  <c r="L1405" i="36"/>
  <c r="K1405" i="36"/>
  <c r="J1405" i="36"/>
  <c r="I1405" i="36"/>
  <c r="H1405" i="36"/>
  <c r="G1405" i="36"/>
  <c r="F1405" i="36"/>
  <c r="E1405" i="36"/>
  <c r="D1405" i="36"/>
  <c r="C1405" i="36"/>
  <c r="B1405" i="36"/>
  <c r="R1404" i="36"/>
  <c r="Q1404" i="36"/>
  <c r="P1404" i="36"/>
  <c r="O1404" i="36"/>
  <c r="N1404" i="36"/>
  <c r="M1404" i="36"/>
  <c r="L1404" i="36"/>
  <c r="K1404" i="36"/>
  <c r="J1404" i="36"/>
  <c r="I1404" i="36"/>
  <c r="H1404" i="36"/>
  <c r="G1404" i="36"/>
  <c r="F1404" i="36"/>
  <c r="E1404" i="36"/>
  <c r="D1404" i="36"/>
  <c r="C1404" i="36"/>
  <c r="B1404" i="36"/>
  <c r="R1403" i="36"/>
  <c r="Q1403" i="36"/>
  <c r="P1403" i="36"/>
  <c r="O1403" i="36"/>
  <c r="N1403" i="36"/>
  <c r="M1403" i="36"/>
  <c r="L1403" i="36"/>
  <c r="K1403" i="36"/>
  <c r="J1403" i="36"/>
  <c r="I1403" i="36"/>
  <c r="H1403" i="36"/>
  <c r="G1403" i="36"/>
  <c r="F1403" i="36"/>
  <c r="E1403" i="36"/>
  <c r="D1403" i="36"/>
  <c r="C1403" i="36"/>
  <c r="B1403" i="36"/>
  <c r="R1402" i="36"/>
  <c r="Q1402" i="36"/>
  <c r="P1402" i="36"/>
  <c r="O1402" i="36"/>
  <c r="N1402" i="36"/>
  <c r="M1402" i="36"/>
  <c r="L1402" i="36"/>
  <c r="K1402" i="36"/>
  <c r="J1402" i="36"/>
  <c r="I1402" i="36"/>
  <c r="H1402" i="36"/>
  <c r="G1402" i="36"/>
  <c r="F1402" i="36"/>
  <c r="E1402" i="36"/>
  <c r="D1402" i="36"/>
  <c r="C1402" i="36"/>
  <c r="B1402" i="36"/>
  <c r="R1401" i="36"/>
  <c r="Q1401" i="36"/>
  <c r="P1401" i="36"/>
  <c r="O1401" i="36"/>
  <c r="N1401" i="36"/>
  <c r="M1401" i="36"/>
  <c r="L1401" i="36"/>
  <c r="K1401" i="36"/>
  <c r="J1401" i="36"/>
  <c r="I1401" i="36"/>
  <c r="H1401" i="36"/>
  <c r="G1401" i="36"/>
  <c r="F1401" i="36"/>
  <c r="E1401" i="36"/>
  <c r="D1401" i="36"/>
  <c r="C1401" i="36"/>
  <c r="B1401" i="36"/>
  <c r="R1400" i="36"/>
  <c r="Q1400" i="36"/>
  <c r="P1400" i="36"/>
  <c r="O1400" i="36"/>
  <c r="N1400" i="36"/>
  <c r="M1400" i="36"/>
  <c r="L1400" i="36"/>
  <c r="K1400" i="36"/>
  <c r="J1400" i="36"/>
  <c r="I1400" i="36"/>
  <c r="H1400" i="36"/>
  <c r="G1400" i="36"/>
  <c r="F1400" i="36"/>
  <c r="E1400" i="36"/>
  <c r="D1400" i="36"/>
  <c r="C1400" i="36"/>
  <c r="B1400" i="36"/>
  <c r="R1399" i="36"/>
  <c r="Q1399" i="36"/>
  <c r="P1399" i="36"/>
  <c r="O1399" i="36"/>
  <c r="N1399" i="36"/>
  <c r="M1399" i="36"/>
  <c r="L1399" i="36"/>
  <c r="K1399" i="36"/>
  <c r="J1399" i="36"/>
  <c r="I1399" i="36"/>
  <c r="H1399" i="36"/>
  <c r="G1399" i="36"/>
  <c r="F1399" i="36"/>
  <c r="E1399" i="36"/>
  <c r="D1399" i="36"/>
  <c r="C1399" i="36"/>
  <c r="B1399" i="36"/>
  <c r="R1398" i="36"/>
  <c r="Q1398" i="36"/>
  <c r="P1398" i="36"/>
  <c r="O1398" i="36"/>
  <c r="N1398" i="36"/>
  <c r="M1398" i="36"/>
  <c r="L1398" i="36"/>
  <c r="K1398" i="36"/>
  <c r="J1398" i="36"/>
  <c r="I1398" i="36"/>
  <c r="H1398" i="36"/>
  <c r="G1398" i="36"/>
  <c r="F1398" i="36"/>
  <c r="E1398" i="36"/>
  <c r="D1398" i="36"/>
  <c r="C1398" i="36"/>
  <c r="B1398" i="36"/>
  <c r="R1397" i="36"/>
  <c r="Q1397" i="36"/>
  <c r="P1397" i="36"/>
  <c r="O1397" i="36"/>
  <c r="N1397" i="36"/>
  <c r="M1397" i="36"/>
  <c r="L1397" i="36"/>
  <c r="K1397" i="36"/>
  <c r="J1397" i="36"/>
  <c r="I1397" i="36"/>
  <c r="H1397" i="36"/>
  <c r="G1397" i="36"/>
  <c r="F1397" i="36"/>
  <c r="E1397" i="36"/>
  <c r="D1397" i="36"/>
  <c r="C1397" i="36"/>
  <c r="B1397" i="36"/>
  <c r="R1396" i="36"/>
  <c r="Q1396" i="36"/>
  <c r="P1396" i="36"/>
  <c r="O1396" i="36"/>
  <c r="N1396" i="36"/>
  <c r="M1396" i="36"/>
  <c r="L1396" i="36"/>
  <c r="K1396" i="36"/>
  <c r="J1396" i="36"/>
  <c r="I1396" i="36"/>
  <c r="H1396" i="36"/>
  <c r="G1396" i="36"/>
  <c r="F1396" i="36"/>
  <c r="E1396" i="36"/>
  <c r="D1396" i="36"/>
  <c r="C1396" i="36"/>
  <c r="B1396" i="36"/>
  <c r="R1395" i="36"/>
  <c r="Q1395" i="36"/>
  <c r="P1395" i="36"/>
  <c r="O1395" i="36"/>
  <c r="N1395" i="36"/>
  <c r="M1395" i="36"/>
  <c r="L1395" i="36"/>
  <c r="K1395" i="36"/>
  <c r="J1395" i="36"/>
  <c r="I1395" i="36"/>
  <c r="H1395" i="36"/>
  <c r="G1395" i="36"/>
  <c r="F1395" i="36"/>
  <c r="E1395" i="36"/>
  <c r="D1395" i="36"/>
  <c r="C1395" i="36"/>
  <c r="B1395" i="36"/>
  <c r="R1394" i="36"/>
  <c r="Q1394" i="36"/>
  <c r="P1394" i="36"/>
  <c r="O1394" i="36"/>
  <c r="N1394" i="36"/>
  <c r="M1394" i="36"/>
  <c r="L1394" i="36"/>
  <c r="K1394" i="36"/>
  <c r="J1394" i="36"/>
  <c r="I1394" i="36"/>
  <c r="H1394" i="36"/>
  <c r="G1394" i="36"/>
  <c r="F1394" i="36"/>
  <c r="E1394" i="36"/>
  <c r="D1394" i="36"/>
  <c r="C1394" i="36"/>
  <c r="B1394" i="36"/>
  <c r="R1393" i="36"/>
  <c r="Q1393" i="36"/>
  <c r="P1393" i="36"/>
  <c r="O1393" i="36"/>
  <c r="N1393" i="36"/>
  <c r="M1393" i="36"/>
  <c r="L1393" i="36"/>
  <c r="K1393" i="36"/>
  <c r="J1393" i="36"/>
  <c r="I1393" i="36"/>
  <c r="H1393" i="36"/>
  <c r="G1393" i="36"/>
  <c r="F1393" i="36"/>
  <c r="E1393" i="36"/>
  <c r="D1393" i="36"/>
  <c r="C1393" i="36"/>
  <c r="B1393" i="36"/>
  <c r="R1392" i="36"/>
  <c r="Q1392" i="36"/>
  <c r="P1392" i="36"/>
  <c r="O1392" i="36"/>
  <c r="N1392" i="36"/>
  <c r="M1392" i="36"/>
  <c r="L1392" i="36"/>
  <c r="K1392" i="36"/>
  <c r="J1392" i="36"/>
  <c r="I1392" i="36"/>
  <c r="H1392" i="36"/>
  <c r="G1392" i="36"/>
  <c r="F1392" i="36"/>
  <c r="E1392" i="36"/>
  <c r="D1392" i="36"/>
  <c r="C1392" i="36"/>
  <c r="B1392" i="36"/>
  <c r="R1391" i="36"/>
  <c r="Q1391" i="36"/>
  <c r="P1391" i="36"/>
  <c r="O1391" i="36"/>
  <c r="N1391" i="36"/>
  <c r="M1391" i="36"/>
  <c r="L1391" i="36"/>
  <c r="K1391" i="36"/>
  <c r="J1391" i="36"/>
  <c r="I1391" i="36"/>
  <c r="H1391" i="36"/>
  <c r="G1391" i="36"/>
  <c r="F1391" i="36"/>
  <c r="E1391" i="36"/>
  <c r="D1391" i="36"/>
  <c r="C1391" i="36"/>
  <c r="B1391" i="36"/>
  <c r="R1390" i="36"/>
  <c r="Q1390" i="36"/>
  <c r="P1390" i="36"/>
  <c r="O1390" i="36"/>
  <c r="N1390" i="36"/>
  <c r="M1390" i="36"/>
  <c r="L1390" i="36"/>
  <c r="K1390" i="36"/>
  <c r="J1390" i="36"/>
  <c r="I1390" i="36"/>
  <c r="H1390" i="36"/>
  <c r="G1390" i="36"/>
  <c r="F1390" i="36"/>
  <c r="E1390" i="36"/>
  <c r="D1390" i="36"/>
  <c r="C1390" i="36"/>
  <c r="B1390" i="36"/>
  <c r="R1389" i="36"/>
  <c r="Q1389" i="36"/>
  <c r="P1389" i="36"/>
  <c r="O1389" i="36"/>
  <c r="N1389" i="36"/>
  <c r="M1389" i="36"/>
  <c r="L1389" i="36"/>
  <c r="K1389" i="36"/>
  <c r="J1389" i="36"/>
  <c r="I1389" i="36"/>
  <c r="H1389" i="36"/>
  <c r="G1389" i="36"/>
  <c r="F1389" i="36"/>
  <c r="E1389" i="36"/>
  <c r="D1389" i="36"/>
  <c r="C1389" i="36"/>
  <c r="B1389" i="36"/>
  <c r="R1388" i="36"/>
  <c r="Q1388" i="36"/>
  <c r="P1388" i="36"/>
  <c r="O1388" i="36"/>
  <c r="N1388" i="36"/>
  <c r="M1388" i="36"/>
  <c r="L1388" i="36"/>
  <c r="K1388" i="36"/>
  <c r="J1388" i="36"/>
  <c r="I1388" i="36"/>
  <c r="H1388" i="36"/>
  <c r="G1388" i="36"/>
  <c r="F1388" i="36"/>
  <c r="E1388" i="36"/>
  <c r="D1388" i="36"/>
  <c r="C1388" i="36"/>
  <c r="B1388" i="36"/>
  <c r="R1387" i="36"/>
  <c r="Q1387" i="36"/>
  <c r="P1387" i="36"/>
  <c r="O1387" i="36"/>
  <c r="N1387" i="36"/>
  <c r="M1387" i="36"/>
  <c r="L1387" i="36"/>
  <c r="K1387" i="36"/>
  <c r="J1387" i="36"/>
  <c r="I1387" i="36"/>
  <c r="H1387" i="36"/>
  <c r="G1387" i="36"/>
  <c r="F1387" i="36"/>
  <c r="E1387" i="36"/>
  <c r="D1387" i="36"/>
  <c r="C1387" i="36"/>
  <c r="B1387" i="36"/>
  <c r="R1386" i="36"/>
  <c r="Q1386" i="36"/>
  <c r="P1386" i="36"/>
  <c r="O1386" i="36"/>
  <c r="N1386" i="36"/>
  <c r="M1386" i="36"/>
  <c r="L1386" i="36"/>
  <c r="K1386" i="36"/>
  <c r="J1386" i="36"/>
  <c r="I1386" i="36"/>
  <c r="H1386" i="36"/>
  <c r="G1386" i="36"/>
  <c r="F1386" i="36"/>
  <c r="E1386" i="36"/>
  <c r="D1386" i="36"/>
  <c r="C1386" i="36"/>
  <c r="B1386" i="36"/>
  <c r="R1385" i="36"/>
  <c r="Q1385" i="36"/>
  <c r="P1385" i="36"/>
  <c r="O1385" i="36"/>
  <c r="N1385" i="36"/>
  <c r="M1385" i="36"/>
  <c r="L1385" i="36"/>
  <c r="K1385" i="36"/>
  <c r="J1385" i="36"/>
  <c r="I1385" i="36"/>
  <c r="H1385" i="36"/>
  <c r="G1385" i="36"/>
  <c r="F1385" i="36"/>
  <c r="E1385" i="36"/>
  <c r="D1385" i="36"/>
  <c r="C1385" i="36"/>
  <c r="B1385" i="36"/>
  <c r="R1384" i="36"/>
  <c r="Q1384" i="36"/>
  <c r="P1384" i="36"/>
  <c r="O1384" i="36"/>
  <c r="N1384" i="36"/>
  <c r="M1384" i="36"/>
  <c r="L1384" i="36"/>
  <c r="K1384" i="36"/>
  <c r="J1384" i="36"/>
  <c r="I1384" i="36"/>
  <c r="H1384" i="36"/>
  <c r="G1384" i="36"/>
  <c r="F1384" i="36"/>
  <c r="E1384" i="36"/>
  <c r="D1384" i="36"/>
  <c r="C1384" i="36"/>
  <c r="B1384" i="36"/>
  <c r="R1383" i="36"/>
  <c r="Q1383" i="36"/>
  <c r="P1383" i="36"/>
  <c r="O1383" i="36"/>
  <c r="N1383" i="36"/>
  <c r="M1383" i="36"/>
  <c r="L1383" i="36"/>
  <c r="K1383" i="36"/>
  <c r="J1383" i="36"/>
  <c r="I1383" i="36"/>
  <c r="H1383" i="36"/>
  <c r="G1383" i="36"/>
  <c r="F1383" i="36"/>
  <c r="E1383" i="36"/>
  <c r="D1383" i="36"/>
  <c r="C1383" i="36"/>
  <c r="B1383" i="36"/>
  <c r="R1382" i="36"/>
  <c r="Q1382" i="36"/>
  <c r="P1382" i="36"/>
  <c r="O1382" i="36"/>
  <c r="N1382" i="36"/>
  <c r="M1382" i="36"/>
  <c r="L1382" i="36"/>
  <c r="K1382" i="36"/>
  <c r="J1382" i="36"/>
  <c r="I1382" i="36"/>
  <c r="H1382" i="36"/>
  <c r="G1382" i="36"/>
  <c r="F1382" i="36"/>
  <c r="E1382" i="36"/>
  <c r="D1382" i="36"/>
  <c r="C1382" i="36"/>
  <c r="B1382" i="36"/>
  <c r="R1381" i="36"/>
  <c r="Q1381" i="36"/>
  <c r="P1381" i="36"/>
  <c r="O1381" i="36"/>
  <c r="N1381" i="36"/>
  <c r="M1381" i="36"/>
  <c r="L1381" i="36"/>
  <c r="K1381" i="36"/>
  <c r="J1381" i="36"/>
  <c r="I1381" i="36"/>
  <c r="H1381" i="36"/>
  <c r="G1381" i="36"/>
  <c r="F1381" i="36"/>
  <c r="E1381" i="36"/>
  <c r="D1381" i="36"/>
  <c r="C1381" i="36"/>
  <c r="B1381" i="36"/>
  <c r="R1380" i="36"/>
  <c r="Q1380" i="36"/>
  <c r="P1380" i="36"/>
  <c r="O1380" i="36"/>
  <c r="N1380" i="36"/>
  <c r="M1380" i="36"/>
  <c r="L1380" i="36"/>
  <c r="K1380" i="36"/>
  <c r="J1380" i="36"/>
  <c r="I1380" i="36"/>
  <c r="H1380" i="36"/>
  <c r="G1380" i="36"/>
  <c r="F1380" i="36"/>
  <c r="E1380" i="36"/>
  <c r="D1380" i="36"/>
  <c r="C1380" i="36"/>
  <c r="B1380" i="36"/>
  <c r="R1379" i="36"/>
  <c r="Q1379" i="36"/>
  <c r="P1379" i="36"/>
  <c r="O1379" i="36"/>
  <c r="N1379" i="36"/>
  <c r="M1379" i="36"/>
  <c r="L1379" i="36"/>
  <c r="K1379" i="36"/>
  <c r="J1379" i="36"/>
  <c r="I1379" i="36"/>
  <c r="H1379" i="36"/>
  <c r="G1379" i="36"/>
  <c r="F1379" i="36"/>
  <c r="E1379" i="36"/>
  <c r="D1379" i="36"/>
  <c r="C1379" i="36"/>
  <c r="B1379" i="36"/>
  <c r="R1378" i="36"/>
  <c r="Q1378" i="36"/>
  <c r="P1378" i="36"/>
  <c r="O1378" i="36"/>
  <c r="N1378" i="36"/>
  <c r="M1378" i="36"/>
  <c r="L1378" i="36"/>
  <c r="K1378" i="36"/>
  <c r="J1378" i="36"/>
  <c r="I1378" i="36"/>
  <c r="H1378" i="36"/>
  <c r="G1378" i="36"/>
  <c r="F1378" i="36"/>
  <c r="E1378" i="36"/>
  <c r="D1378" i="36"/>
  <c r="C1378" i="36"/>
  <c r="B1378" i="36"/>
  <c r="R1377" i="36"/>
  <c r="Q1377" i="36"/>
  <c r="P1377" i="36"/>
  <c r="O1377" i="36"/>
  <c r="N1377" i="36"/>
  <c r="M1377" i="36"/>
  <c r="L1377" i="36"/>
  <c r="K1377" i="36"/>
  <c r="J1377" i="36"/>
  <c r="I1377" i="36"/>
  <c r="H1377" i="36"/>
  <c r="G1377" i="36"/>
  <c r="F1377" i="36"/>
  <c r="E1377" i="36"/>
  <c r="D1377" i="36"/>
  <c r="C1377" i="36"/>
  <c r="B1377" i="36"/>
  <c r="R1376" i="36"/>
  <c r="Q1376" i="36"/>
  <c r="P1376" i="36"/>
  <c r="O1376" i="36"/>
  <c r="N1376" i="36"/>
  <c r="M1376" i="36"/>
  <c r="L1376" i="36"/>
  <c r="K1376" i="36"/>
  <c r="J1376" i="36"/>
  <c r="I1376" i="36"/>
  <c r="H1376" i="36"/>
  <c r="G1376" i="36"/>
  <c r="F1376" i="36"/>
  <c r="E1376" i="36"/>
  <c r="D1376" i="36"/>
  <c r="C1376" i="36"/>
  <c r="B1376" i="36"/>
  <c r="R1375" i="36"/>
  <c r="Q1375" i="36"/>
  <c r="P1375" i="36"/>
  <c r="O1375" i="36"/>
  <c r="N1375" i="36"/>
  <c r="M1375" i="36"/>
  <c r="L1375" i="36"/>
  <c r="K1375" i="36"/>
  <c r="J1375" i="36"/>
  <c r="I1375" i="36"/>
  <c r="H1375" i="36"/>
  <c r="G1375" i="36"/>
  <c r="F1375" i="36"/>
  <c r="E1375" i="36"/>
  <c r="D1375" i="36"/>
  <c r="C1375" i="36"/>
  <c r="B1375" i="36"/>
  <c r="R1374" i="36"/>
  <c r="Q1374" i="36"/>
  <c r="P1374" i="36"/>
  <c r="O1374" i="36"/>
  <c r="N1374" i="36"/>
  <c r="M1374" i="36"/>
  <c r="L1374" i="36"/>
  <c r="K1374" i="36"/>
  <c r="J1374" i="36"/>
  <c r="I1374" i="36"/>
  <c r="H1374" i="36"/>
  <c r="G1374" i="36"/>
  <c r="F1374" i="36"/>
  <c r="E1374" i="36"/>
  <c r="D1374" i="36"/>
  <c r="C1374" i="36"/>
  <c r="B1374" i="36"/>
  <c r="R1373" i="36"/>
  <c r="Q1373" i="36"/>
  <c r="P1373" i="36"/>
  <c r="O1373" i="36"/>
  <c r="N1373" i="36"/>
  <c r="M1373" i="36"/>
  <c r="L1373" i="36"/>
  <c r="K1373" i="36"/>
  <c r="J1373" i="36"/>
  <c r="I1373" i="36"/>
  <c r="H1373" i="36"/>
  <c r="G1373" i="36"/>
  <c r="F1373" i="36"/>
  <c r="E1373" i="36"/>
  <c r="D1373" i="36"/>
  <c r="C1373" i="36"/>
  <c r="B1373" i="36"/>
  <c r="R1372" i="36"/>
  <c r="Q1372" i="36"/>
  <c r="P1372" i="36"/>
  <c r="O1372" i="36"/>
  <c r="N1372" i="36"/>
  <c r="M1372" i="36"/>
  <c r="L1372" i="36"/>
  <c r="K1372" i="36"/>
  <c r="J1372" i="36"/>
  <c r="I1372" i="36"/>
  <c r="H1372" i="36"/>
  <c r="G1372" i="36"/>
  <c r="F1372" i="36"/>
  <c r="E1372" i="36"/>
  <c r="D1372" i="36"/>
  <c r="C1372" i="36"/>
  <c r="B1372" i="36"/>
  <c r="R1371" i="36"/>
  <c r="Q1371" i="36"/>
  <c r="P1371" i="36"/>
  <c r="O1371" i="36"/>
  <c r="N1371" i="36"/>
  <c r="M1371" i="36"/>
  <c r="L1371" i="36"/>
  <c r="K1371" i="36"/>
  <c r="J1371" i="36"/>
  <c r="I1371" i="36"/>
  <c r="H1371" i="36"/>
  <c r="G1371" i="36"/>
  <c r="F1371" i="36"/>
  <c r="E1371" i="36"/>
  <c r="D1371" i="36"/>
  <c r="C1371" i="36"/>
  <c r="B1371" i="36"/>
  <c r="R1370" i="36"/>
  <c r="Q1370" i="36"/>
  <c r="P1370" i="36"/>
  <c r="O1370" i="36"/>
  <c r="N1370" i="36"/>
  <c r="M1370" i="36"/>
  <c r="L1370" i="36"/>
  <c r="K1370" i="36"/>
  <c r="J1370" i="36"/>
  <c r="I1370" i="36"/>
  <c r="H1370" i="36"/>
  <c r="G1370" i="36"/>
  <c r="F1370" i="36"/>
  <c r="E1370" i="36"/>
  <c r="D1370" i="36"/>
  <c r="C1370" i="36"/>
  <c r="B1370" i="36"/>
  <c r="R1369" i="36"/>
  <c r="Q1369" i="36"/>
  <c r="P1369" i="36"/>
  <c r="O1369" i="36"/>
  <c r="N1369" i="36"/>
  <c r="M1369" i="36"/>
  <c r="L1369" i="36"/>
  <c r="K1369" i="36"/>
  <c r="J1369" i="36"/>
  <c r="I1369" i="36"/>
  <c r="H1369" i="36"/>
  <c r="G1369" i="36"/>
  <c r="F1369" i="36"/>
  <c r="E1369" i="36"/>
  <c r="D1369" i="36"/>
  <c r="C1369" i="36"/>
  <c r="B1369" i="36"/>
  <c r="R1368" i="36"/>
  <c r="Q1368" i="36"/>
  <c r="P1368" i="36"/>
  <c r="O1368" i="36"/>
  <c r="N1368" i="36"/>
  <c r="M1368" i="36"/>
  <c r="L1368" i="36"/>
  <c r="K1368" i="36"/>
  <c r="J1368" i="36"/>
  <c r="I1368" i="36"/>
  <c r="H1368" i="36"/>
  <c r="G1368" i="36"/>
  <c r="F1368" i="36"/>
  <c r="E1368" i="36"/>
  <c r="D1368" i="36"/>
  <c r="C1368" i="36"/>
  <c r="B1368" i="36"/>
  <c r="R1367" i="36"/>
  <c r="Q1367" i="36"/>
  <c r="P1367" i="36"/>
  <c r="O1367" i="36"/>
  <c r="N1367" i="36"/>
  <c r="M1367" i="36"/>
  <c r="L1367" i="36"/>
  <c r="K1367" i="36"/>
  <c r="J1367" i="36"/>
  <c r="I1367" i="36"/>
  <c r="H1367" i="36"/>
  <c r="G1367" i="36"/>
  <c r="F1367" i="36"/>
  <c r="E1367" i="36"/>
  <c r="D1367" i="36"/>
  <c r="C1367" i="36"/>
  <c r="B1367" i="36"/>
  <c r="R1366" i="36"/>
  <c r="Q1366" i="36"/>
  <c r="P1366" i="36"/>
  <c r="O1366" i="36"/>
  <c r="N1366" i="36"/>
  <c r="M1366" i="36"/>
  <c r="L1366" i="36"/>
  <c r="K1366" i="36"/>
  <c r="J1366" i="36"/>
  <c r="I1366" i="36"/>
  <c r="H1366" i="36"/>
  <c r="G1366" i="36"/>
  <c r="F1366" i="36"/>
  <c r="E1366" i="36"/>
  <c r="D1366" i="36"/>
  <c r="C1366" i="36"/>
  <c r="B1366" i="36"/>
  <c r="R1365" i="36"/>
  <c r="Q1365" i="36"/>
  <c r="P1365" i="36"/>
  <c r="O1365" i="36"/>
  <c r="N1365" i="36"/>
  <c r="M1365" i="36"/>
  <c r="L1365" i="36"/>
  <c r="K1365" i="36"/>
  <c r="J1365" i="36"/>
  <c r="I1365" i="36"/>
  <c r="H1365" i="36"/>
  <c r="G1365" i="36"/>
  <c r="F1365" i="36"/>
  <c r="E1365" i="36"/>
  <c r="D1365" i="36"/>
  <c r="C1365" i="36"/>
  <c r="B1365" i="36"/>
  <c r="R1364" i="36"/>
  <c r="Q1364" i="36"/>
  <c r="P1364" i="36"/>
  <c r="O1364" i="36"/>
  <c r="N1364" i="36"/>
  <c r="M1364" i="36"/>
  <c r="L1364" i="36"/>
  <c r="K1364" i="36"/>
  <c r="J1364" i="36"/>
  <c r="I1364" i="36"/>
  <c r="H1364" i="36"/>
  <c r="G1364" i="36"/>
  <c r="F1364" i="36"/>
  <c r="E1364" i="36"/>
  <c r="D1364" i="36"/>
  <c r="C1364" i="36"/>
  <c r="B1364" i="36"/>
  <c r="R1363" i="36"/>
  <c r="Q1363" i="36"/>
  <c r="P1363" i="36"/>
  <c r="O1363" i="36"/>
  <c r="N1363" i="36"/>
  <c r="M1363" i="36"/>
  <c r="L1363" i="36"/>
  <c r="K1363" i="36"/>
  <c r="J1363" i="36"/>
  <c r="I1363" i="36"/>
  <c r="H1363" i="36"/>
  <c r="G1363" i="36"/>
  <c r="F1363" i="36"/>
  <c r="E1363" i="36"/>
  <c r="D1363" i="36"/>
  <c r="C1363" i="36"/>
  <c r="B1363" i="36"/>
  <c r="R1362" i="36"/>
  <c r="Q1362" i="36"/>
  <c r="P1362" i="36"/>
  <c r="O1362" i="36"/>
  <c r="N1362" i="36"/>
  <c r="M1362" i="36"/>
  <c r="L1362" i="36"/>
  <c r="K1362" i="36"/>
  <c r="J1362" i="36"/>
  <c r="I1362" i="36"/>
  <c r="H1362" i="36"/>
  <c r="G1362" i="36"/>
  <c r="F1362" i="36"/>
  <c r="E1362" i="36"/>
  <c r="D1362" i="36"/>
  <c r="C1362" i="36"/>
  <c r="B1362" i="36"/>
  <c r="R1361" i="36"/>
  <c r="Q1361" i="36"/>
  <c r="P1361" i="36"/>
  <c r="O1361" i="36"/>
  <c r="N1361" i="36"/>
  <c r="M1361" i="36"/>
  <c r="L1361" i="36"/>
  <c r="K1361" i="36"/>
  <c r="J1361" i="36"/>
  <c r="I1361" i="36"/>
  <c r="H1361" i="36"/>
  <c r="G1361" i="36"/>
  <c r="F1361" i="36"/>
  <c r="E1361" i="36"/>
  <c r="D1361" i="36"/>
  <c r="C1361" i="36"/>
  <c r="B1361" i="36"/>
  <c r="R1360" i="36"/>
  <c r="Q1360" i="36"/>
  <c r="P1360" i="36"/>
  <c r="O1360" i="36"/>
  <c r="N1360" i="36"/>
  <c r="M1360" i="36"/>
  <c r="L1360" i="36"/>
  <c r="K1360" i="36"/>
  <c r="J1360" i="36"/>
  <c r="I1360" i="36"/>
  <c r="H1360" i="36"/>
  <c r="G1360" i="36"/>
  <c r="F1360" i="36"/>
  <c r="E1360" i="36"/>
  <c r="D1360" i="36"/>
  <c r="C1360" i="36"/>
  <c r="B1360" i="36"/>
  <c r="R1359" i="36"/>
  <c r="Q1359" i="36"/>
  <c r="P1359" i="36"/>
  <c r="O1359" i="36"/>
  <c r="N1359" i="36"/>
  <c r="M1359" i="36"/>
  <c r="L1359" i="36"/>
  <c r="K1359" i="36"/>
  <c r="J1359" i="36"/>
  <c r="I1359" i="36"/>
  <c r="H1359" i="36"/>
  <c r="G1359" i="36"/>
  <c r="F1359" i="36"/>
  <c r="E1359" i="36"/>
  <c r="D1359" i="36"/>
  <c r="C1359" i="36"/>
  <c r="B1359" i="36"/>
  <c r="R1358" i="36"/>
  <c r="Q1358" i="36"/>
  <c r="P1358" i="36"/>
  <c r="O1358" i="36"/>
  <c r="N1358" i="36"/>
  <c r="M1358" i="36"/>
  <c r="L1358" i="36"/>
  <c r="K1358" i="36"/>
  <c r="J1358" i="36"/>
  <c r="I1358" i="36"/>
  <c r="H1358" i="36"/>
  <c r="G1358" i="36"/>
  <c r="F1358" i="36"/>
  <c r="E1358" i="36"/>
  <c r="D1358" i="36"/>
  <c r="C1358" i="36"/>
  <c r="B1358" i="36"/>
  <c r="R1357" i="36"/>
  <c r="Q1357" i="36"/>
  <c r="P1357" i="36"/>
  <c r="O1357" i="36"/>
  <c r="N1357" i="36"/>
  <c r="M1357" i="36"/>
  <c r="L1357" i="36"/>
  <c r="K1357" i="36"/>
  <c r="J1357" i="36"/>
  <c r="I1357" i="36"/>
  <c r="H1357" i="36"/>
  <c r="G1357" i="36"/>
  <c r="F1357" i="36"/>
  <c r="E1357" i="36"/>
  <c r="D1357" i="36"/>
  <c r="C1357" i="36"/>
  <c r="B1357" i="36"/>
  <c r="R1356" i="36"/>
  <c r="Q1356" i="36"/>
  <c r="P1356" i="36"/>
  <c r="O1356" i="36"/>
  <c r="N1356" i="36"/>
  <c r="M1356" i="36"/>
  <c r="L1356" i="36"/>
  <c r="K1356" i="36"/>
  <c r="J1356" i="36"/>
  <c r="I1356" i="36"/>
  <c r="H1356" i="36"/>
  <c r="G1356" i="36"/>
  <c r="F1356" i="36"/>
  <c r="E1356" i="36"/>
  <c r="D1356" i="36"/>
  <c r="C1356" i="36"/>
  <c r="B1356" i="36"/>
  <c r="R1355" i="36"/>
  <c r="Q1355" i="36"/>
  <c r="P1355" i="36"/>
  <c r="O1355" i="36"/>
  <c r="N1355" i="36"/>
  <c r="M1355" i="36"/>
  <c r="L1355" i="36"/>
  <c r="K1355" i="36"/>
  <c r="J1355" i="36"/>
  <c r="I1355" i="36"/>
  <c r="H1355" i="36"/>
  <c r="G1355" i="36"/>
  <c r="F1355" i="36"/>
  <c r="E1355" i="36"/>
  <c r="D1355" i="36"/>
  <c r="C1355" i="36"/>
  <c r="B1355" i="36"/>
  <c r="R1354" i="36"/>
  <c r="Q1354" i="36"/>
  <c r="P1354" i="36"/>
  <c r="O1354" i="36"/>
  <c r="N1354" i="36"/>
  <c r="M1354" i="36"/>
  <c r="L1354" i="36"/>
  <c r="K1354" i="36"/>
  <c r="J1354" i="36"/>
  <c r="I1354" i="36"/>
  <c r="H1354" i="36"/>
  <c r="G1354" i="36"/>
  <c r="F1354" i="36"/>
  <c r="E1354" i="36"/>
  <c r="D1354" i="36"/>
  <c r="C1354" i="36"/>
  <c r="B1354" i="36"/>
  <c r="R1353" i="36"/>
  <c r="Q1353" i="36"/>
  <c r="P1353" i="36"/>
  <c r="O1353" i="36"/>
  <c r="N1353" i="36"/>
  <c r="M1353" i="36"/>
  <c r="L1353" i="36"/>
  <c r="K1353" i="36"/>
  <c r="J1353" i="36"/>
  <c r="I1353" i="36"/>
  <c r="H1353" i="36"/>
  <c r="G1353" i="36"/>
  <c r="F1353" i="36"/>
  <c r="E1353" i="36"/>
  <c r="D1353" i="36"/>
  <c r="C1353" i="36"/>
  <c r="B1353" i="36"/>
  <c r="R1352" i="36"/>
  <c r="Q1352" i="36"/>
  <c r="P1352" i="36"/>
  <c r="O1352" i="36"/>
  <c r="N1352" i="36"/>
  <c r="M1352" i="36"/>
  <c r="L1352" i="36"/>
  <c r="K1352" i="36"/>
  <c r="J1352" i="36"/>
  <c r="I1352" i="36"/>
  <c r="H1352" i="36"/>
  <c r="G1352" i="36"/>
  <c r="F1352" i="36"/>
  <c r="E1352" i="36"/>
  <c r="D1352" i="36"/>
  <c r="C1352" i="36"/>
  <c r="B1352" i="36"/>
  <c r="R1351" i="36"/>
  <c r="Q1351" i="36"/>
  <c r="P1351" i="36"/>
  <c r="O1351" i="36"/>
  <c r="N1351" i="36"/>
  <c r="M1351" i="36"/>
  <c r="L1351" i="36"/>
  <c r="K1351" i="36"/>
  <c r="J1351" i="36"/>
  <c r="I1351" i="36"/>
  <c r="H1351" i="36"/>
  <c r="G1351" i="36"/>
  <c r="F1351" i="36"/>
  <c r="E1351" i="36"/>
  <c r="D1351" i="36"/>
  <c r="C1351" i="36"/>
  <c r="B1351" i="36"/>
  <c r="R1350" i="36"/>
  <c r="Q1350" i="36"/>
  <c r="P1350" i="36"/>
  <c r="O1350" i="36"/>
  <c r="N1350" i="36"/>
  <c r="M1350" i="36"/>
  <c r="L1350" i="36"/>
  <c r="K1350" i="36"/>
  <c r="J1350" i="36"/>
  <c r="I1350" i="36"/>
  <c r="H1350" i="36"/>
  <c r="G1350" i="36"/>
  <c r="F1350" i="36"/>
  <c r="E1350" i="36"/>
  <c r="D1350" i="36"/>
  <c r="C1350" i="36"/>
  <c r="B1350" i="36"/>
  <c r="R1349" i="36"/>
  <c r="Q1349" i="36"/>
  <c r="P1349" i="36"/>
  <c r="O1349" i="36"/>
  <c r="N1349" i="36"/>
  <c r="M1349" i="36"/>
  <c r="L1349" i="36"/>
  <c r="K1349" i="36"/>
  <c r="J1349" i="36"/>
  <c r="I1349" i="36"/>
  <c r="H1349" i="36"/>
  <c r="G1349" i="36"/>
  <c r="F1349" i="36"/>
  <c r="E1349" i="36"/>
  <c r="D1349" i="36"/>
  <c r="C1349" i="36"/>
  <c r="B1349" i="36"/>
  <c r="R1348" i="36"/>
  <c r="Q1348" i="36"/>
  <c r="P1348" i="36"/>
  <c r="O1348" i="36"/>
  <c r="N1348" i="36"/>
  <c r="M1348" i="36"/>
  <c r="L1348" i="36"/>
  <c r="K1348" i="36"/>
  <c r="J1348" i="36"/>
  <c r="I1348" i="36"/>
  <c r="H1348" i="36"/>
  <c r="G1348" i="36"/>
  <c r="F1348" i="36"/>
  <c r="E1348" i="36"/>
  <c r="D1348" i="36"/>
  <c r="C1348" i="36"/>
  <c r="B1348" i="36"/>
  <c r="R1347" i="36"/>
  <c r="Q1347" i="36"/>
  <c r="P1347" i="36"/>
  <c r="O1347" i="36"/>
  <c r="N1347" i="36"/>
  <c r="M1347" i="36"/>
  <c r="L1347" i="36"/>
  <c r="K1347" i="36"/>
  <c r="J1347" i="36"/>
  <c r="I1347" i="36"/>
  <c r="H1347" i="36"/>
  <c r="G1347" i="36"/>
  <c r="F1347" i="36"/>
  <c r="E1347" i="36"/>
  <c r="D1347" i="36"/>
  <c r="C1347" i="36"/>
  <c r="B1347" i="36"/>
  <c r="R1346" i="36"/>
  <c r="Q1346" i="36"/>
  <c r="P1346" i="36"/>
  <c r="O1346" i="36"/>
  <c r="N1346" i="36"/>
  <c r="M1346" i="36"/>
  <c r="L1346" i="36"/>
  <c r="K1346" i="36"/>
  <c r="J1346" i="36"/>
  <c r="I1346" i="36"/>
  <c r="H1346" i="36"/>
  <c r="G1346" i="36"/>
  <c r="F1346" i="36"/>
  <c r="E1346" i="36"/>
  <c r="D1346" i="36"/>
  <c r="C1346" i="36"/>
  <c r="B1346" i="36"/>
  <c r="R1345" i="36"/>
  <c r="Q1345" i="36"/>
  <c r="P1345" i="36"/>
  <c r="O1345" i="36"/>
  <c r="N1345" i="36"/>
  <c r="M1345" i="36"/>
  <c r="L1345" i="36"/>
  <c r="K1345" i="36"/>
  <c r="J1345" i="36"/>
  <c r="I1345" i="36"/>
  <c r="H1345" i="36"/>
  <c r="G1345" i="36"/>
  <c r="F1345" i="36"/>
  <c r="E1345" i="36"/>
  <c r="D1345" i="36"/>
  <c r="C1345" i="36"/>
  <c r="B1345" i="36"/>
  <c r="R1344" i="36"/>
  <c r="Q1344" i="36"/>
  <c r="P1344" i="36"/>
  <c r="O1344" i="36"/>
  <c r="N1344" i="36"/>
  <c r="M1344" i="36"/>
  <c r="L1344" i="36"/>
  <c r="K1344" i="36"/>
  <c r="J1344" i="36"/>
  <c r="I1344" i="36"/>
  <c r="H1344" i="36"/>
  <c r="G1344" i="36"/>
  <c r="F1344" i="36"/>
  <c r="E1344" i="36"/>
  <c r="D1344" i="36"/>
  <c r="C1344" i="36"/>
  <c r="B1344" i="36"/>
  <c r="R1343" i="36"/>
  <c r="Q1343" i="36"/>
  <c r="P1343" i="36"/>
  <c r="O1343" i="36"/>
  <c r="N1343" i="36"/>
  <c r="M1343" i="36"/>
  <c r="L1343" i="36"/>
  <c r="K1343" i="36"/>
  <c r="J1343" i="36"/>
  <c r="I1343" i="36"/>
  <c r="H1343" i="36"/>
  <c r="G1343" i="36"/>
  <c r="F1343" i="36"/>
  <c r="E1343" i="36"/>
  <c r="D1343" i="36"/>
  <c r="C1343" i="36"/>
  <c r="B1343" i="36"/>
  <c r="R1342" i="36"/>
  <c r="Q1342" i="36"/>
  <c r="P1342" i="36"/>
  <c r="O1342" i="36"/>
  <c r="N1342" i="36"/>
  <c r="M1342" i="36"/>
  <c r="L1342" i="36"/>
  <c r="K1342" i="36"/>
  <c r="J1342" i="36"/>
  <c r="I1342" i="36"/>
  <c r="H1342" i="36"/>
  <c r="G1342" i="36"/>
  <c r="F1342" i="36"/>
  <c r="E1342" i="36"/>
  <c r="D1342" i="36"/>
  <c r="C1342" i="36"/>
  <c r="B1342" i="36"/>
  <c r="R1341" i="36"/>
  <c r="Q1341" i="36"/>
  <c r="P1341" i="36"/>
  <c r="O1341" i="36"/>
  <c r="N1341" i="36"/>
  <c r="M1341" i="36"/>
  <c r="L1341" i="36"/>
  <c r="K1341" i="36"/>
  <c r="J1341" i="36"/>
  <c r="I1341" i="36"/>
  <c r="H1341" i="36"/>
  <c r="G1341" i="36"/>
  <c r="F1341" i="36"/>
  <c r="E1341" i="36"/>
  <c r="D1341" i="36"/>
  <c r="C1341" i="36"/>
  <c r="B1341" i="36"/>
  <c r="R1340" i="36"/>
  <c r="Q1340" i="36"/>
  <c r="P1340" i="36"/>
  <c r="O1340" i="36"/>
  <c r="N1340" i="36"/>
  <c r="M1340" i="36"/>
  <c r="L1340" i="36"/>
  <c r="K1340" i="36"/>
  <c r="J1340" i="36"/>
  <c r="I1340" i="36"/>
  <c r="H1340" i="36"/>
  <c r="G1340" i="36"/>
  <c r="F1340" i="36"/>
  <c r="E1340" i="36"/>
  <c r="D1340" i="36"/>
  <c r="C1340" i="36"/>
  <c r="B1340" i="36"/>
  <c r="R1339" i="36"/>
  <c r="Q1339" i="36"/>
  <c r="P1339" i="36"/>
  <c r="O1339" i="36"/>
  <c r="N1339" i="36"/>
  <c r="M1339" i="36"/>
  <c r="L1339" i="36"/>
  <c r="K1339" i="36"/>
  <c r="J1339" i="36"/>
  <c r="I1339" i="36"/>
  <c r="H1339" i="36"/>
  <c r="G1339" i="36"/>
  <c r="F1339" i="36"/>
  <c r="E1339" i="36"/>
  <c r="D1339" i="36"/>
  <c r="C1339" i="36"/>
  <c r="B1339" i="36"/>
  <c r="R1338" i="36"/>
  <c r="Q1338" i="36"/>
  <c r="P1338" i="36"/>
  <c r="O1338" i="36"/>
  <c r="N1338" i="36"/>
  <c r="M1338" i="36"/>
  <c r="L1338" i="36"/>
  <c r="K1338" i="36"/>
  <c r="J1338" i="36"/>
  <c r="I1338" i="36"/>
  <c r="H1338" i="36"/>
  <c r="G1338" i="36"/>
  <c r="F1338" i="36"/>
  <c r="E1338" i="36"/>
  <c r="D1338" i="36"/>
  <c r="C1338" i="36"/>
  <c r="B1338" i="36"/>
  <c r="R1337" i="36"/>
  <c r="Q1337" i="36"/>
  <c r="P1337" i="36"/>
  <c r="O1337" i="36"/>
  <c r="N1337" i="36"/>
  <c r="M1337" i="36"/>
  <c r="L1337" i="36"/>
  <c r="K1337" i="36"/>
  <c r="J1337" i="36"/>
  <c r="I1337" i="36"/>
  <c r="H1337" i="36"/>
  <c r="G1337" i="36"/>
  <c r="F1337" i="36"/>
  <c r="E1337" i="36"/>
  <c r="D1337" i="36"/>
  <c r="C1337" i="36"/>
  <c r="B1337" i="36"/>
  <c r="R1336" i="36"/>
  <c r="Q1336" i="36"/>
  <c r="P1336" i="36"/>
  <c r="O1336" i="36"/>
  <c r="N1336" i="36"/>
  <c r="M1336" i="36"/>
  <c r="L1336" i="36"/>
  <c r="K1336" i="36"/>
  <c r="J1336" i="36"/>
  <c r="I1336" i="36"/>
  <c r="H1336" i="36"/>
  <c r="G1336" i="36"/>
  <c r="F1336" i="36"/>
  <c r="E1336" i="36"/>
  <c r="D1336" i="36"/>
  <c r="C1336" i="36"/>
  <c r="B1336" i="36"/>
  <c r="R1335" i="36"/>
  <c r="Q1335" i="36"/>
  <c r="P1335" i="36"/>
  <c r="O1335" i="36"/>
  <c r="N1335" i="36"/>
  <c r="M1335" i="36"/>
  <c r="L1335" i="36"/>
  <c r="K1335" i="36"/>
  <c r="J1335" i="36"/>
  <c r="I1335" i="36"/>
  <c r="H1335" i="36"/>
  <c r="G1335" i="36"/>
  <c r="F1335" i="36"/>
  <c r="E1335" i="36"/>
  <c r="D1335" i="36"/>
  <c r="C1335" i="36"/>
  <c r="B1335" i="36"/>
  <c r="R1334" i="36"/>
  <c r="Q1334" i="36"/>
  <c r="P1334" i="36"/>
  <c r="O1334" i="36"/>
  <c r="N1334" i="36"/>
  <c r="M1334" i="36"/>
  <c r="L1334" i="36"/>
  <c r="K1334" i="36"/>
  <c r="J1334" i="36"/>
  <c r="I1334" i="36"/>
  <c r="H1334" i="36"/>
  <c r="G1334" i="36"/>
  <c r="F1334" i="36"/>
  <c r="E1334" i="36"/>
  <c r="D1334" i="36"/>
  <c r="C1334" i="36"/>
  <c r="B1334" i="36"/>
  <c r="R1333" i="36"/>
  <c r="Q1333" i="36"/>
  <c r="P1333" i="36"/>
  <c r="O1333" i="36"/>
  <c r="N1333" i="36"/>
  <c r="M1333" i="36"/>
  <c r="L1333" i="36"/>
  <c r="K1333" i="36"/>
  <c r="J1333" i="36"/>
  <c r="I1333" i="36"/>
  <c r="H1333" i="36"/>
  <c r="G1333" i="36"/>
  <c r="F1333" i="36"/>
  <c r="E1333" i="36"/>
  <c r="D1333" i="36"/>
  <c r="C1333" i="36"/>
  <c r="B1333" i="36"/>
  <c r="R1332" i="36"/>
  <c r="Q1332" i="36"/>
  <c r="P1332" i="36"/>
  <c r="O1332" i="36"/>
  <c r="N1332" i="36"/>
  <c r="M1332" i="36"/>
  <c r="L1332" i="36"/>
  <c r="K1332" i="36"/>
  <c r="J1332" i="36"/>
  <c r="I1332" i="36"/>
  <c r="H1332" i="36"/>
  <c r="G1332" i="36"/>
  <c r="F1332" i="36"/>
  <c r="E1332" i="36"/>
  <c r="D1332" i="36"/>
  <c r="C1332" i="36"/>
  <c r="B1332" i="36"/>
  <c r="R1331" i="36"/>
  <c r="Q1331" i="36"/>
  <c r="P1331" i="36"/>
  <c r="O1331" i="36"/>
  <c r="N1331" i="36"/>
  <c r="M1331" i="36"/>
  <c r="L1331" i="36"/>
  <c r="K1331" i="36"/>
  <c r="J1331" i="36"/>
  <c r="I1331" i="36"/>
  <c r="H1331" i="36"/>
  <c r="G1331" i="36"/>
  <c r="F1331" i="36"/>
  <c r="E1331" i="36"/>
  <c r="D1331" i="36"/>
  <c r="C1331" i="36"/>
  <c r="B1331" i="36"/>
  <c r="R1330" i="36"/>
  <c r="Q1330" i="36"/>
  <c r="P1330" i="36"/>
  <c r="O1330" i="36"/>
  <c r="N1330" i="36"/>
  <c r="M1330" i="36"/>
  <c r="L1330" i="36"/>
  <c r="K1330" i="36"/>
  <c r="J1330" i="36"/>
  <c r="I1330" i="36"/>
  <c r="H1330" i="36"/>
  <c r="G1330" i="36"/>
  <c r="F1330" i="36"/>
  <c r="E1330" i="36"/>
  <c r="D1330" i="36"/>
  <c r="C1330" i="36"/>
  <c r="B1330" i="36"/>
  <c r="R1329" i="36"/>
  <c r="Q1329" i="36"/>
  <c r="P1329" i="36"/>
  <c r="O1329" i="36"/>
  <c r="N1329" i="36"/>
  <c r="M1329" i="36"/>
  <c r="L1329" i="36"/>
  <c r="K1329" i="36"/>
  <c r="J1329" i="36"/>
  <c r="I1329" i="36"/>
  <c r="H1329" i="36"/>
  <c r="G1329" i="36"/>
  <c r="F1329" i="36"/>
  <c r="E1329" i="36"/>
  <c r="D1329" i="36"/>
  <c r="C1329" i="36"/>
  <c r="B1329" i="36"/>
  <c r="R1328" i="36"/>
  <c r="Q1328" i="36"/>
  <c r="P1328" i="36"/>
  <c r="O1328" i="36"/>
  <c r="N1328" i="36"/>
  <c r="M1328" i="36"/>
  <c r="L1328" i="36"/>
  <c r="K1328" i="36"/>
  <c r="J1328" i="36"/>
  <c r="I1328" i="36"/>
  <c r="H1328" i="36"/>
  <c r="G1328" i="36"/>
  <c r="F1328" i="36"/>
  <c r="E1328" i="36"/>
  <c r="D1328" i="36"/>
  <c r="C1328" i="36"/>
  <c r="B1328" i="36"/>
  <c r="R1327" i="36"/>
  <c r="Q1327" i="36"/>
  <c r="P1327" i="36"/>
  <c r="O1327" i="36"/>
  <c r="N1327" i="36"/>
  <c r="M1327" i="36"/>
  <c r="L1327" i="36"/>
  <c r="K1327" i="36"/>
  <c r="J1327" i="36"/>
  <c r="I1327" i="36"/>
  <c r="H1327" i="36"/>
  <c r="G1327" i="36"/>
  <c r="F1327" i="36"/>
  <c r="E1327" i="36"/>
  <c r="D1327" i="36"/>
  <c r="C1327" i="36"/>
  <c r="B1327" i="36"/>
  <c r="R1326" i="36"/>
  <c r="Q1326" i="36"/>
  <c r="P1326" i="36"/>
  <c r="O1326" i="36"/>
  <c r="N1326" i="36"/>
  <c r="M1326" i="36"/>
  <c r="L1326" i="36"/>
  <c r="K1326" i="36"/>
  <c r="J1326" i="36"/>
  <c r="I1326" i="36"/>
  <c r="H1326" i="36"/>
  <c r="G1326" i="36"/>
  <c r="F1326" i="36"/>
  <c r="E1326" i="36"/>
  <c r="D1326" i="36"/>
  <c r="C1326" i="36"/>
  <c r="B1326" i="36"/>
  <c r="R1325" i="36"/>
  <c r="Q1325" i="36"/>
  <c r="P1325" i="36"/>
  <c r="O1325" i="36"/>
  <c r="N1325" i="36"/>
  <c r="M1325" i="36"/>
  <c r="L1325" i="36"/>
  <c r="K1325" i="36"/>
  <c r="J1325" i="36"/>
  <c r="I1325" i="36"/>
  <c r="H1325" i="36"/>
  <c r="G1325" i="36"/>
  <c r="F1325" i="36"/>
  <c r="E1325" i="36"/>
  <c r="D1325" i="36"/>
  <c r="C1325" i="36"/>
  <c r="B1325" i="36"/>
  <c r="R1324" i="36"/>
  <c r="Q1324" i="36"/>
  <c r="P1324" i="36"/>
  <c r="O1324" i="36"/>
  <c r="N1324" i="36"/>
  <c r="M1324" i="36"/>
  <c r="L1324" i="36"/>
  <c r="K1324" i="36"/>
  <c r="J1324" i="36"/>
  <c r="I1324" i="36"/>
  <c r="H1324" i="36"/>
  <c r="G1324" i="36"/>
  <c r="F1324" i="36"/>
  <c r="E1324" i="36"/>
  <c r="D1324" i="36"/>
  <c r="C1324" i="36"/>
  <c r="B1324" i="36"/>
  <c r="R1323" i="36"/>
  <c r="Q1323" i="36"/>
  <c r="P1323" i="36"/>
  <c r="O1323" i="36"/>
  <c r="N1323" i="36"/>
  <c r="M1323" i="36"/>
  <c r="L1323" i="36"/>
  <c r="K1323" i="36"/>
  <c r="J1323" i="36"/>
  <c r="I1323" i="36"/>
  <c r="H1323" i="36"/>
  <c r="G1323" i="36"/>
  <c r="F1323" i="36"/>
  <c r="E1323" i="36"/>
  <c r="D1323" i="36"/>
  <c r="C1323" i="36"/>
  <c r="B1323" i="36"/>
  <c r="R1322" i="36"/>
  <c r="Q1322" i="36"/>
  <c r="P1322" i="36"/>
  <c r="O1322" i="36"/>
  <c r="N1322" i="36"/>
  <c r="M1322" i="36"/>
  <c r="L1322" i="36"/>
  <c r="K1322" i="36"/>
  <c r="J1322" i="36"/>
  <c r="I1322" i="36"/>
  <c r="H1322" i="36"/>
  <c r="G1322" i="36"/>
  <c r="F1322" i="36"/>
  <c r="E1322" i="36"/>
  <c r="D1322" i="36"/>
  <c r="C1322" i="36"/>
  <c r="B1322" i="36"/>
  <c r="R1321" i="36"/>
  <c r="Q1321" i="36"/>
  <c r="P1321" i="36"/>
  <c r="O1321" i="36"/>
  <c r="N1321" i="36"/>
  <c r="M1321" i="36"/>
  <c r="L1321" i="36"/>
  <c r="K1321" i="36"/>
  <c r="J1321" i="36"/>
  <c r="I1321" i="36"/>
  <c r="H1321" i="36"/>
  <c r="G1321" i="36"/>
  <c r="F1321" i="36"/>
  <c r="E1321" i="36"/>
  <c r="D1321" i="36"/>
  <c r="C1321" i="36"/>
  <c r="B1321" i="36"/>
  <c r="R1320" i="36"/>
  <c r="Q1320" i="36"/>
  <c r="P1320" i="36"/>
  <c r="O1320" i="36"/>
  <c r="N1320" i="36"/>
  <c r="M1320" i="36"/>
  <c r="L1320" i="36"/>
  <c r="K1320" i="36"/>
  <c r="J1320" i="36"/>
  <c r="I1320" i="36"/>
  <c r="H1320" i="36"/>
  <c r="G1320" i="36"/>
  <c r="F1320" i="36"/>
  <c r="E1320" i="36"/>
  <c r="D1320" i="36"/>
  <c r="C1320" i="36"/>
  <c r="B1320" i="36"/>
  <c r="R1319" i="36"/>
  <c r="Q1319" i="36"/>
  <c r="P1319" i="36"/>
  <c r="O1319" i="36"/>
  <c r="N1319" i="36"/>
  <c r="M1319" i="36"/>
  <c r="L1319" i="36"/>
  <c r="K1319" i="36"/>
  <c r="J1319" i="36"/>
  <c r="I1319" i="36"/>
  <c r="H1319" i="36"/>
  <c r="G1319" i="36"/>
  <c r="F1319" i="36"/>
  <c r="E1319" i="36"/>
  <c r="D1319" i="36"/>
  <c r="C1319" i="36"/>
  <c r="B1319" i="36"/>
  <c r="R1318" i="36"/>
  <c r="Q1318" i="36"/>
  <c r="P1318" i="36"/>
  <c r="O1318" i="36"/>
  <c r="N1318" i="36"/>
  <c r="M1318" i="36"/>
  <c r="L1318" i="36"/>
  <c r="K1318" i="36"/>
  <c r="J1318" i="36"/>
  <c r="I1318" i="36"/>
  <c r="H1318" i="36"/>
  <c r="G1318" i="36"/>
  <c r="F1318" i="36"/>
  <c r="E1318" i="36"/>
  <c r="D1318" i="36"/>
  <c r="C1318" i="36"/>
  <c r="B1318" i="36"/>
  <c r="R1317" i="36"/>
  <c r="Q1317" i="36"/>
  <c r="P1317" i="36"/>
  <c r="O1317" i="36"/>
  <c r="N1317" i="36"/>
  <c r="M1317" i="36"/>
  <c r="L1317" i="36"/>
  <c r="K1317" i="36"/>
  <c r="J1317" i="36"/>
  <c r="I1317" i="36"/>
  <c r="H1317" i="36"/>
  <c r="G1317" i="36"/>
  <c r="F1317" i="36"/>
  <c r="E1317" i="36"/>
  <c r="D1317" i="36"/>
  <c r="C1317" i="36"/>
  <c r="B1317" i="36"/>
  <c r="R1316" i="36"/>
  <c r="Q1316" i="36"/>
  <c r="P1316" i="36"/>
  <c r="O1316" i="36"/>
  <c r="N1316" i="36"/>
  <c r="M1316" i="36"/>
  <c r="L1316" i="36"/>
  <c r="K1316" i="36"/>
  <c r="J1316" i="36"/>
  <c r="I1316" i="36"/>
  <c r="H1316" i="36"/>
  <c r="G1316" i="36"/>
  <c r="F1316" i="36"/>
  <c r="E1316" i="36"/>
  <c r="D1316" i="36"/>
  <c r="C1316" i="36"/>
  <c r="B1316" i="36"/>
  <c r="R1315" i="36"/>
  <c r="Q1315" i="36"/>
  <c r="P1315" i="36"/>
  <c r="O1315" i="36"/>
  <c r="N1315" i="36"/>
  <c r="M1315" i="36"/>
  <c r="L1315" i="36"/>
  <c r="K1315" i="36"/>
  <c r="J1315" i="36"/>
  <c r="I1315" i="36"/>
  <c r="H1315" i="36"/>
  <c r="G1315" i="36"/>
  <c r="F1315" i="36"/>
  <c r="E1315" i="36"/>
  <c r="D1315" i="36"/>
  <c r="C1315" i="36"/>
  <c r="B1315" i="36"/>
  <c r="R1314" i="36"/>
  <c r="Q1314" i="36"/>
  <c r="P1314" i="36"/>
  <c r="O1314" i="36"/>
  <c r="N1314" i="36"/>
  <c r="M1314" i="36"/>
  <c r="L1314" i="36"/>
  <c r="K1314" i="36"/>
  <c r="J1314" i="36"/>
  <c r="I1314" i="36"/>
  <c r="H1314" i="36"/>
  <c r="G1314" i="36"/>
  <c r="F1314" i="36"/>
  <c r="E1314" i="36"/>
  <c r="D1314" i="36"/>
  <c r="C1314" i="36"/>
  <c r="B1314" i="36"/>
  <c r="R1313" i="36"/>
  <c r="Q1313" i="36"/>
  <c r="P1313" i="36"/>
  <c r="O1313" i="36"/>
  <c r="N1313" i="36"/>
  <c r="M1313" i="36"/>
  <c r="L1313" i="36"/>
  <c r="K1313" i="36"/>
  <c r="J1313" i="36"/>
  <c r="I1313" i="36"/>
  <c r="H1313" i="36"/>
  <c r="G1313" i="36"/>
  <c r="F1313" i="36"/>
  <c r="E1313" i="36"/>
  <c r="D1313" i="36"/>
  <c r="C1313" i="36"/>
  <c r="B1313" i="36"/>
  <c r="R1312" i="36"/>
  <c r="Q1312" i="36"/>
  <c r="P1312" i="36"/>
  <c r="O1312" i="36"/>
  <c r="N1312" i="36"/>
  <c r="M1312" i="36"/>
  <c r="L1312" i="36"/>
  <c r="K1312" i="36"/>
  <c r="J1312" i="36"/>
  <c r="I1312" i="36"/>
  <c r="H1312" i="36"/>
  <c r="G1312" i="36"/>
  <c r="F1312" i="36"/>
  <c r="E1312" i="36"/>
  <c r="D1312" i="36"/>
  <c r="C1312" i="36"/>
  <c r="B1312" i="36"/>
  <c r="R1311" i="36"/>
  <c r="Q1311" i="36"/>
  <c r="P1311" i="36"/>
  <c r="O1311" i="36"/>
  <c r="N1311" i="36"/>
  <c r="M1311" i="36"/>
  <c r="L1311" i="36"/>
  <c r="K1311" i="36"/>
  <c r="J1311" i="36"/>
  <c r="I1311" i="36"/>
  <c r="H1311" i="36"/>
  <c r="G1311" i="36"/>
  <c r="F1311" i="36"/>
  <c r="E1311" i="36"/>
  <c r="D1311" i="36"/>
  <c r="C1311" i="36"/>
  <c r="B1311" i="36"/>
  <c r="R1310" i="36"/>
  <c r="Q1310" i="36"/>
  <c r="P1310" i="36"/>
  <c r="O1310" i="36"/>
  <c r="N1310" i="36"/>
  <c r="M1310" i="36"/>
  <c r="L1310" i="36"/>
  <c r="K1310" i="36"/>
  <c r="J1310" i="36"/>
  <c r="I1310" i="36"/>
  <c r="H1310" i="36"/>
  <c r="G1310" i="36"/>
  <c r="F1310" i="36"/>
  <c r="E1310" i="36"/>
  <c r="D1310" i="36"/>
  <c r="C1310" i="36"/>
  <c r="B1310" i="36"/>
  <c r="R1309" i="36"/>
  <c r="Q1309" i="36"/>
  <c r="P1309" i="36"/>
  <c r="O1309" i="36"/>
  <c r="N1309" i="36"/>
  <c r="M1309" i="36"/>
  <c r="L1309" i="36"/>
  <c r="K1309" i="36"/>
  <c r="J1309" i="36"/>
  <c r="I1309" i="36"/>
  <c r="H1309" i="36"/>
  <c r="G1309" i="36"/>
  <c r="F1309" i="36"/>
  <c r="E1309" i="36"/>
  <c r="D1309" i="36"/>
  <c r="C1309" i="36"/>
  <c r="B1309" i="36"/>
  <c r="R1308" i="36"/>
  <c r="Q1308" i="36"/>
  <c r="P1308" i="36"/>
  <c r="O1308" i="36"/>
  <c r="N1308" i="36"/>
  <c r="M1308" i="36"/>
  <c r="L1308" i="36"/>
  <c r="K1308" i="36"/>
  <c r="J1308" i="36"/>
  <c r="I1308" i="36"/>
  <c r="H1308" i="36"/>
  <c r="G1308" i="36"/>
  <c r="F1308" i="36"/>
  <c r="E1308" i="36"/>
  <c r="D1308" i="36"/>
  <c r="C1308" i="36"/>
  <c r="B1308" i="36"/>
  <c r="R1307" i="36"/>
  <c r="Q1307" i="36"/>
  <c r="P1307" i="36"/>
  <c r="O1307" i="36"/>
  <c r="N1307" i="36"/>
  <c r="M1307" i="36"/>
  <c r="L1307" i="36"/>
  <c r="K1307" i="36"/>
  <c r="J1307" i="36"/>
  <c r="I1307" i="36"/>
  <c r="H1307" i="36"/>
  <c r="G1307" i="36"/>
  <c r="F1307" i="36"/>
  <c r="E1307" i="36"/>
  <c r="D1307" i="36"/>
  <c r="C1307" i="36"/>
  <c r="B1307" i="36"/>
  <c r="R1306" i="36"/>
  <c r="Q1306" i="36"/>
  <c r="P1306" i="36"/>
  <c r="O1306" i="36"/>
  <c r="N1306" i="36"/>
  <c r="M1306" i="36"/>
  <c r="L1306" i="36"/>
  <c r="K1306" i="36"/>
  <c r="J1306" i="36"/>
  <c r="I1306" i="36"/>
  <c r="H1306" i="36"/>
  <c r="G1306" i="36"/>
  <c r="F1306" i="36"/>
  <c r="E1306" i="36"/>
  <c r="D1306" i="36"/>
  <c r="C1306" i="36"/>
  <c r="B1306" i="36"/>
  <c r="R1305" i="36"/>
  <c r="Q1305" i="36"/>
  <c r="P1305" i="36"/>
  <c r="O1305" i="36"/>
  <c r="N1305" i="36"/>
  <c r="M1305" i="36"/>
  <c r="L1305" i="36"/>
  <c r="K1305" i="36"/>
  <c r="J1305" i="36"/>
  <c r="I1305" i="36"/>
  <c r="H1305" i="36"/>
  <c r="G1305" i="36"/>
  <c r="F1305" i="36"/>
  <c r="E1305" i="36"/>
  <c r="D1305" i="36"/>
  <c r="C1305" i="36"/>
  <c r="B1305" i="36"/>
  <c r="R1304" i="36"/>
  <c r="Q1304" i="36"/>
  <c r="P1304" i="36"/>
  <c r="O1304" i="36"/>
  <c r="N1304" i="36"/>
  <c r="M1304" i="36"/>
  <c r="L1304" i="36"/>
  <c r="K1304" i="36"/>
  <c r="J1304" i="36"/>
  <c r="I1304" i="36"/>
  <c r="H1304" i="36"/>
  <c r="G1304" i="36"/>
  <c r="F1304" i="36"/>
  <c r="E1304" i="36"/>
  <c r="D1304" i="36"/>
  <c r="C1304" i="36"/>
  <c r="B1304" i="36"/>
  <c r="R1303" i="36"/>
  <c r="Q1303" i="36"/>
  <c r="P1303" i="36"/>
  <c r="O1303" i="36"/>
  <c r="N1303" i="36"/>
  <c r="M1303" i="36"/>
  <c r="L1303" i="36"/>
  <c r="K1303" i="36"/>
  <c r="J1303" i="36"/>
  <c r="I1303" i="36"/>
  <c r="H1303" i="36"/>
  <c r="G1303" i="36"/>
  <c r="F1303" i="36"/>
  <c r="E1303" i="36"/>
  <c r="D1303" i="36"/>
  <c r="C1303" i="36"/>
  <c r="B1303" i="36"/>
  <c r="R1302" i="36"/>
  <c r="Q1302" i="36"/>
  <c r="P1302" i="36"/>
  <c r="O1302" i="36"/>
  <c r="N1302" i="36"/>
  <c r="M1302" i="36"/>
  <c r="L1302" i="36"/>
  <c r="K1302" i="36"/>
  <c r="J1302" i="36"/>
  <c r="I1302" i="36"/>
  <c r="H1302" i="36"/>
  <c r="G1302" i="36"/>
  <c r="F1302" i="36"/>
  <c r="E1302" i="36"/>
  <c r="D1302" i="36"/>
  <c r="C1302" i="36"/>
  <c r="B1302" i="36"/>
  <c r="R1301" i="36"/>
  <c r="Q1301" i="36"/>
  <c r="P1301" i="36"/>
  <c r="O1301" i="36"/>
  <c r="N1301" i="36"/>
  <c r="M1301" i="36"/>
  <c r="L1301" i="36"/>
  <c r="K1301" i="36"/>
  <c r="J1301" i="36"/>
  <c r="I1301" i="36"/>
  <c r="H1301" i="36"/>
  <c r="G1301" i="36"/>
  <c r="F1301" i="36"/>
  <c r="E1301" i="36"/>
  <c r="D1301" i="36"/>
  <c r="C1301" i="36"/>
  <c r="B1301" i="36"/>
  <c r="R1300" i="36"/>
  <c r="Q1300" i="36"/>
  <c r="P1300" i="36"/>
  <c r="O1300" i="36"/>
  <c r="N1300" i="36"/>
  <c r="M1300" i="36"/>
  <c r="L1300" i="36"/>
  <c r="K1300" i="36"/>
  <c r="J1300" i="36"/>
  <c r="I1300" i="36"/>
  <c r="H1300" i="36"/>
  <c r="G1300" i="36"/>
  <c r="F1300" i="36"/>
  <c r="E1300" i="36"/>
  <c r="D1300" i="36"/>
  <c r="C1300" i="36"/>
  <c r="B1300" i="36"/>
  <c r="R1299" i="36"/>
  <c r="Q1299" i="36"/>
  <c r="P1299" i="36"/>
  <c r="O1299" i="36"/>
  <c r="N1299" i="36"/>
  <c r="M1299" i="36"/>
  <c r="L1299" i="36"/>
  <c r="K1299" i="36"/>
  <c r="J1299" i="36"/>
  <c r="I1299" i="36"/>
  <c r="H1299" i="36"/>
  <c r="G1299" i="36"/>
  <c r="F1299" i="36"/>
  <c r="E1299" i="36"/>
  <c r="D1299" i="36"/>
  <c r="C1299" i="36"/>
  <c r="B1299" i="36"/>
  <c r="R1298" i="36"/>
  <c r="Q1298" i="36"/>
  <c r="P1298" i="36"/>
  <c r="O1298" i="36"/>
  <c r="N1298" i="36"/>
  <c r="M1298" i="36"/>
  <c r="L1298" i="36"/>
  <c r="K1298" i="36"/>
  <c r="J1298" i="36"/>
  <c r="I1298" i="36"/>
  <c r="H1298" i="36"/>
  <c r="G1298" i="36"/>
  <c r="F1298" i="36"/>
  <c r="E1298" i="36"/>
  <c r="D1298" i="36"/>
  <c r="C1298" i="36"/>
  <c r="B1298" i="36"/>
  <c r="R1297" i="36"/>
  <c r="Q1297" i="36"/>
  <c r="P1297" i="36"/>
  <c r="O1297" i="36"/>
  <c r="N1297" i="36"/>
  <c r="M1297" i="36"/>
  <c r="L1297" i="36"/>
  <c r="K1297" i="36"/>
  <c r="J1297" i="36"/>
  <c r="I1297" i="36"/>
  <c r="H1297" i="36"/>
  <c r="G1297" i="36"/>
  <c r="F1297" i="36"/>
  <c r="E1297" i="36"/>
  <c r="D1297" i="36"/>
  <c r="C1297" i="36"/>
  <c r="B1297" i="36"/>
  <c r="R1296" i="36"/>
  <c r="Q1296" i="36"/>
  <c r="P1296" i="36"/>
  <c r="O1296" i="36"/>
  <c r="N1296" i="36"/>
  <c r="M1296" i="36"/>
  <c r="L1296" i="36"/>
  <c r="K1296" i="36"/>
  <c r="J1296" i="36"/>
  <c r="I1296" i="36"/>
  <c r="H1296" i="36"/>
  <c r="G1296" i="36"/>
  <c r="F1296" i="36"/>
  <c r="E1296" i="36"/>
  <c r="D1296" i="36"/>
  <c r="C1296" i="36"/>
  <c r="B1296" i="36"/>
  <c r="R1295" i="36"/>
  <c r="Q1295" i="36"/>
  <c r="P1295" i="36"/>
  <c r="O1295" i="36"/>
  <c r="N1295" i="36"/>
  <c r="M1295" i="36"/>
  <c r="L1295" i="36"/>
  <c r="K1295" i="36"/>
  <c r="J1295" i="36"/>
  <c r="I1295" i="36"/>
  <c r="H1295" i="36"/>
  <c r="G1295" i="36"/>
  <c r="F1295" i="36"/>
  <c r="E1295" i="36"/>
  <c r="D1295" i="36"/>
  <c r="C1295" i="36"/>
  <c r="B1295" i="36"/>
  <c r="R1294" i="36"/>
  <c r="Q1294" i="36"/>
  <c r="P1294" i="36"/>
  <c r="O1294" i="36"/>
  <c r="N1294" i="36"/>
  <c r="M1294" i="36"/>
  <c r="L1294" i="36"/>
  <c r="K1294" i="36"/>
  <c r="J1294" i="36"/>
  <c r="I1294" i="36"/>
  <c r="H1294" i="36"/>
  <c r="G1294" i="36"/>
  <c r="F1294" i="36"/>
  <c r="E1294" i="36"/>
  <c r="D1294" i="36"/>
  <c r="C1294" i="36"/>
  <c r="B1294" i="36"/>
  <c r="R1293" i="36"/>
  <c r="Q1293" i="36"/>
  <c r="P1293" i="36"/>
  <c r="O1293" i="36"/>
  <c r="N1293" i="36"/>
  <c r="M1293" i="36"/>
  <c r="L1293" i="36"/>
  <c r="K1293" i="36"/>
  <c r="J1293" i="36"/>
  <c r="I1293" i="36"/>
  <c r="H1293" i="36"/>
  <c r="G1293" i="36"/>
  <c r="F1293" i="36"/>
  <c r="E1293" i="36"/>
  <c r="D1293" i="36"/>
  <c r="C1293" i="36"/>
  <c r="B1293" i="36"/>
  <c r="R1292" i="36"/>
  <c r="Q1292" i="36"/>
  <c r="P1292" i="36"/>
  <c r="O1292" i="36"/>
  <c r="N1292" i="36"/>
  <c r="M1292" i="36"/>
  <c r="L1292" i="36"/>
  <c r="K1292" i="36"/>
  <c r="J1292" i="36"/>
  <c r="I1292" i="36"/>
  <c r="H1292" i="36"/>
  <c r="G1292" i="36"/>
  <c r="F1292" i="36"/>
  <c r="E1292" i="36"/>
  <c r="D1292" i="36"/>
  <c r="C1292" i="36"/>
  <c r="B1292" i="36"/>
  <c r="R1291" i="36"/>
  <c r="Q1291" i="36"/>
  <c r="P1291" i="36"/>
  <c r="O1291" i="36"/>
  <c r="N1291" i="36"/>
  <c r="M1291" i="36"/>
  <c r="L1291" i="36"/>
  <c r="K1291" i="36"/>
  <c r="J1291" i="36"/>
  <c r="I1291" i="36"/>
  <c r="H1291" i="36"/>
  <c r="G1291" i="36"/>
  <c r="F1291" i="36"/>
  <c r="E1291" i="36"/>
  <c r="D1291" i="36"/>
  <c r="C1291" i="36"/>
  <c r="B1291" i="36"/>
  <c r="R1290" i="36"/>
  <c r="Q1290" i="36"/>
  <c r="P1290" i="36"/>
  <c r="O1290" i="36"/>
  <c r="N1290" i="36"/>
  <c r="M1290" i="36"/>
  <c r="L1290" i="36"/>
  <c r="K1290" i="36"/>
  <c r="J1290" i="36"/>
  <c r="I1290" i="36"/>
  <c r="H1290" i="36"/>
  <c r="G1290" i="36"/>
  <c r="F1290" i="36"/>
  <c r="E1290" i="36"/>
  <c r="D1290" i="36"/>
  <c r="C1290" i="36"/>
  <c r="B1290" i="36"/>
  <c r="R1289" i="36"/>
  <c r="Q1289" i="36"/>
  <c r="P1289" i="36"/>
  <c r="O1289" i="36"/>
  <c r="N1289" i="36"/>
  <c r="M1289" i="36"/>
  <c r="L1289" i="36"/>
  <c r="K1289" i="36"/>
  <c r="J1289" i="36"/>
  <c r="I1289" i="36"/>
  <c r="H1289" i="36"/>
  <c r="G1289" i="36"/>
  <c r="F1289" i="36"/>
  <c r="E1289" i="36"/>
  <c r="D1289" i="36"/>
  <c r="C1289" i="36"/>
  <c r="B1289" i="36"/>
  <c r="R1288" i="36"/>
  <c r="Q1288" i="36"/>
  <c r="P1288" i="36"/>
  <c r="O1288" i="36"/>
  <c r="N1288" i="36"/>
  <c r="M1288" i="36"/>
  <c r="L1288" i="36"/>
  <c r="K1288" i="36"/>
  <c r="J1288" i="36"/>
  <c r="I1288" i="36"/>
  <c r="H1288" i="36"/>
  <c r="G1288" i="36"/>
  <c r="F1288" i="36"/>
  <c r="E1288" i="36"/>
  <c r="D1288" i="36"/>
  <c r="C1288" i="36"/>
  <c r="B1288" i="36"/>
  <c r="R1287" i="36"/>
  <c r="Q1287" i="36"/>
  <c r="P1287" i="36"/>
  <c r="O1287" i="36"/>
  <c r="N1287" i="36"/>
  <c r="M1287" i="36"/>
  <c r="L1287" i="36"/>
  <c r="K1287" i="36"/>
  <c r="J1287" i="36"/>
  <c r="I1287" i="36"/>
  <c r="H1287" i="36"/>
  <c r="G1287" i="36"/>
  <c r="F1287" i="36"/>
  <c r="E1287" i="36"/>
  <c r="D1287" i="36"/>
  <c r="C1287" i="36"/>
  <c r="B1287" i="36"/>
  <c r="R1286" i="36"/>
  <c r="Q1286" i="36"/>
  <c r="P1286" i="36"/>
  <c r="O1286" i="36"/>
  <c r="N1286" i="36"/>
  <c r="M1286" i="36"/>
  <c r="L1286" i="36"/>
  <c r="K1286" i="36"/>
  <c r="J1286" i="36"/>
  <c r="I1286" i="36"/>
  <c r="H1286" i="36"/>
  <c r="G1286" i="36"/>
  <c r="F1286" i="36"/>
  <c r="E1286" i="36"/>
  <c r="D1286" i="36"/>
  <c r="C1286" i="36"/>
  <c r="B1286" i="36"/>
  <c r="R1285" i="36"/>
  <c r="Q1285" i="36"/>
  <c r="P1285" i="36"/>
  <c r="O1285" i="36"/>
  <c r="N1285" i="36"/>
  <c r="M1285" i="36"/>
  <c r="L1285" i="36"/>
  <c r="K1285" i="36"/>
  <c r="J1285" i="36"/>
  <c r="I1285" i="36"/>
  <c r="H1285" i="36"/>
  <c r="G1285" i="36"/>
  <c r="F1285" i="36"/>
  <c r="E1285" i="36"/>
  <c r="D1285" i="36"/>
  <c r="C1285" i="36"/>
  <c r="B1285" i="36"/>
  <c r="R1284" i="36"/>
  <c r="Q1284" i="36"/>
  <c r="P1284" i="36"/>
  <c r="O1284" i="36"/>
  <c r="N1284" i="36"/>
  <c r="M1284" i="36"/>
  <c r="L1284" i="36"/>
  <c r="K1284" i="36"/>
  <c r="J1284" i="36"/>
  <c r="I1284" i="36"/>
  <c r="H1284" i="36"/>
  <c r="G1284" i="36"/>
  <c r="F1284" i="36"/>
  <c r="E1284" i="36"/>
  <c r="D1284" i="36"/>
  <c r="C1284" i="36"/>
  <c r="B1284" i="36"/>
  <c r="R1283" i="36"/>
  <c r="Q1283" i="36"/>
  <c r="P1283" i="36"/>
  <c r="O1283" i="36"/>
  <c r="N1283" i="36"/>
  <c r="M1283" i="36"/>
  <c r="L1283" i="36"/>
  <c r="K1283" i="36"/>
  <c r="J1283" i="36"/>
  <c r="I1283" i="36"/>
  <c r="H1283" i="36"/>
  <c r="G1283" i="36"/>
  <c r="F1283" i="36"/>
  <c r="E1283" i="36"/>
  <c r="D1283" i="36"/>
  <c r="C1283" i="36"/>
  <c r="B1283" i="36"/>
  <c r="R1282" i="36"/>
  <c r="Q1282" i="36"/>
  <c r="P1282" i="36"/>
  <c r="O1282" i="36"/>
  <c r="N1282" i="36"/>
  <c r="M1282" i="36"/>
  <c r="L1282" i="36"/>
  <c r="K1282" i="36"/>
  <c r="J1282" i="36"/>
  <c r="I1282" i="36"/>
  <c r="H1282" i="36"/>
  <c r="G1282" i="36"/>
  <c r="F1282" i="36"/>
  <c r="E1282" i="36"/>
  <c r="D1282" i="36"/>
  <c r="C1282" i="36"/>
  <c r="B1282" i="36"/>
  <c r="R1281" i="36"/>
  <c r="Q1281" i="36"/>
  <c r="P1281" i="36"/>
  <c r="O1281" i="36"/>
  <c r="N1281" i="36"/>
  <c r="M1281" i="36"/>
  <c r="L1281" i="36"/>
  <c r="K1281" i="36"/>
  <c r="J1281" i="36"/>
  <c r="I1281" i="36"/>
  <c r="H1281" i="36"/>
  <c r="G1281" i="36"/>
  <c r="F1281" i="36"/>
  <c r="E1281" i="36"/>
  <c r="D1281" i="36"/>
  <c r="C1281" i="36"/>
  <c r="B1281" i="36"/>
  <c r="R1280" i="36"/>
  <c r="Q1280" i="36"/>
  <c r="P1280" i="36"/>
  <c r="O1280" i="36"/>
  <c r="N1280" i="36"/>
  <c r="M1280" i="36"/>
  <c r="L1280" i="36"/>
  <c r="K1280" i="36"/>
  <c r="J1280" i="36"/>
  <c r="I1280" i="36"/>
  <c r="H1280" i="36"/>
  <c r="G1280" i="36"/>
  <c r="F1280" i="36"/>
  <c r="E1280" i="36"/>
  <c r="D1280" i="36"/>
  <c r="C1280" i="36"/>
  <c r="B1280" i="36"/>
  <c r="R1279" i="36"/>
  <c r="Q1279" i="36"/>
  <c r="P1279" i="36"/>
  <c r="O1279" i="36"/>
  <c r="N1279" i="36"/>
  <c r="M1279" i="36"/>
  <c r="L1279" i="36"/>
  <c r="K1279" i="36"/>
  <c r="J1279" i="36"/>
  <c r="I1279" i="36"/>
  <c r="H1279" i="36"/>
  <c r="G1279" i="36"/>
  <c r="F1279" i="36"/>
  <c r="E1279" i="36"/>
  <c r="D1279" i="36"/>
  <c r="C1279" i="36"/>
  <c r="B1279" i="36"/>
  <c r="R1278" i="36"/>
  <c r="Q1278" i="36"/>
  <c r="P1278" i="36"/>
  <c r="O1278" i="36"/>
  <c r="N1278" i="36"/>
  <c r="M1278" i="36"/>
  <c r="L1278" i="36"/>
  <c r="K1278" i="36"/>
  <c r="J1278" i="36"/>
  <c r="I1278" i="36"/>
  <c r="H1278" i="36"/>
  <c r="G1278" i="36"/>
  <c r="F1278" i="36"/>
  <c r="E1278" i="36"/>
  <c r="D1278" i="36"/>
  <c r="C1278" i="36"/>
  <c r="B1278" i="36"/>
  <c r="R1277" i="36"/>
  <c r="Q1277" i="36"/>
  <c r="P1277" i="36"/>
  <c r="O1277" i="36"/>
  <c r="N1277" i="36"/>
  <c r="M1277" i="36"/>
  <c r="L1277" i="36"/>
  <c r="K1277" i="36"/>
  <c r="J1277" i="36"/>
  <c r="I1277" i="36"/>
  <c r="H1277" i="36"/>
  <c r="G1277" i="36"/>
  <c r="F1277" i="36"/>
  <c r="E1277" i="36"/>
  <c r="D1277" i="36"/>
  <c r="C1277" i="36"/>
  <c r="B1277" i="36"/>
  <c r="R1276" i="36"/>
  <c r="Q1276" i="36"/>
  <c r="P1276" i="36"/>
  <c r="O1276" i="36"/>
  <c r="N1276" i="36"/>
  <c r="M1276" i="36"/>
  <c r="L1276" i="36"/>
  <c r="K1276" i="36"/>
  <c r="J1276" i="36"/>
  <c r="I1276" i="36"/>
  <c r="H1276" i="36"/>
  <c r="G1276" i="36"/>
  <c r="F1276" i="36"/>
  <c r="E1276" i="36"/>
  <c r="D1276" i="36"/>
  <c r="C1276" i="36"/>
  <c r="B1276" i="36"/>
  <c r="R1275" i="36"/>
  <c r="Q1275" i="36"/>
  <c r="P1275" i="36"/>
  <c r="O1275" i="36"/>
  <c r="N1275" i="36"/>
  <c r="M1275" i="36"/>
  <c r="L1275" i="36"/>
  <c r="K1275" i="36"/>
  <c r="J1275" i="36"/>
  <c r="I1275" i="36"/>
  <c r="H1275" i="36"/>
  <c r="G1275" i="36"/>
  <c r="F1275" i="36"/>
  <c r="E1275" i="36"/>
  <c r="D1275" i="36"/>
  <c r="C1275" i="36"/>
  <c r="B1275" i="36"/>
  <c r="R1274" i="36"/>
  <c r="Q1274" i="36"/>
  <c r="P1274" i="36"/>
  <c r="O1274" i="36"/>
  <c r="N1274" i="36"/>
  <c r="M1274" i="36"/>
  <c r="L1274" i="36"/>
  <c r="K1274" i="36"/>
  <c r="J1274" i="36"/>
  <c r="I1274" i="36"/>
  <c r="H1274" i="36"/>
  <c r="G1274" i="36"/>
  <c r="F1274" i="36"/>
  <c r="E1274" i="36"/>
  <c r="D1274" i="36"/>
  <c r="C1274" i="36"/>
  <c r="B1274" i="36"/>
  <c r="R1273" i="36"/>
  <c r="Q1273" i="36"/>
  <c r="P1273" i="36"/>
  <c r="O1273" i="36"/>
  <c r="N1273" i="36"/>
  <c r="M1273" i="36"/>
  <c r="L1273" i="36"/>
  <c r="K1273" i="36"/>
  <c r="J1273" i="36"/>
  <c r="I1273" i="36"/>
  <c r="H1273" i="36"/>
  <c r="G1273" i="36"/>
  <c r="F1273" i="36"/>
  <c r="E1273" i="36"/>
  <c r="D1273" i="36"/>
  <c r="C1273" i="36"/>
  <c r="B1273" i="36"/>
  <c r="R1272" i="36"/>
  <c r="Q1272" i="36"/>
  <c r="P1272" i="36"/>
  <c r="O1272" i="36"/>
  <c r="N1272" i="36"/>
  <c r="M1272" i="36"/>
  <c r="L1272" i="36"/>
  <c r="K1272" i="36"/>
  <c r="J1272" i="36"/>
  <c r="I1272" i="36"/>
  <c r="H1272" i="36"/>
  <c r="G1272" i="36"/>
  <c r="F1272" i="36"/>
  <c r="E1272" i="36"/>
  <c r="D1272" i="36"/>
  <c r="C1272" i="36"/>
  <c r="B1272" i="36"/>
  <c r="R1271" i="36"/>
  <c r="Q1271" i="36"/>
  <c r="P1271" i="36"/>
  <c r="O1271" i="36"/>
  <c r="N1271" i="36"/>
  <c r="M1271" i="36"/>
  <c r="L1271" i="36"/>
  <c r="K1271" i="36"/>
  <c r="J1271" i="36"/>
  <c r="I1271" i="36"/>
  <c r="H1271" i="36"/>
  <c r="G1271" i="36"/>
  <c r="F1271" i="36"/>
  <c r="E1271" i="36"/>
  <c r="D1271" i="36"/>
  <c r="C1271" i="36"/>
  <c r="B1271" i="36"/>
  <c r="R1270" i="36"/>
  <c r="Q1270" i="36"/>
  <c r="P1270" i="36"/>
  <c r="O1270" i="36"/>
  <c r="N1270" i="36"/>
  <c r="M1270" i="36"/>
  <c r="L1270" i="36"/>
  <c r="K1270" i="36"/>
  <c r="J1270" i="36"/>
  <c r="I1270" i="36"/>
  <c r="H1270" i="36"/>
  <c r="G1270" i="36"/>
  <c r="F1270" i="36"/>
  <c r="E1270" i="36"/>
  <c r="D1270" i="36"/>
  <c r="C1270" i="36"/>
  <c r="B1270" i="36"/>
  <c r="R1269" i="36"/>
  <c r="Q1269" i="36"/>
  <c r="P1269" i="36"/>
  <c r="O1269" i="36"/>
  <c r="N1269" i="36"/>
  <c r="M1269" i="36"/>
  <c r="L1269" i="36"/>
  <c r="K1269" i="36"/>
  <c r="J1269" i="36"/>
  <c r="I1269" i="36"/>
  <c r="H1269" i="36"/>
  <c r="G1269" i="36"/>
  <c r="F1269" i="36"/>
  <c r="E1269" i="36"/>
  <c r="D1269" i="36"/>
  <c r="C1269" i="36"/>
  <c r="B1269" i="36"/>
  <c r="R1268" i="36"/>
  <c r="Q1268" i="36"/>
  <c r="P1268" i="36"/>
  <c r="O1268" i="36"/>
  <c r="N1268" i="36"/>
  <c r="M1268" i="36"/>
  <c r="L1268" i="36"/>
  <c r="K1268" i="36"/>
  <c r="J1268" i="36"/>
  <c r="I1268" i="36"/>
  <c r="H1268" i="36"/>
  <c r="G1268" i="36"/>
  <c r="F1268" i="36"/>
  <c r="E1268" i="36"/>
  <c r="D1268" i="36"/>
  <c r="C1268" i="36"/>
  <c r="B1268" i="36"/>
  <c r="R1267" i="36"/>
  <c r="Q1267" i="36"/>
  <c r="P1267" i="36"/>
  <c r="O1267" i="36"/>
  <c r="N1267" i="36"/>
  <c r="M1267" i="36"/>
  <c r="L1267" i="36"/>
  <c r="K1267" i="36"/>
  <c r="J1267" i="36"/>
  <c r="I1267" i="36"/>
  <c r="H1267" i="36"/>
  <c r="G1267" i="36"/>
  <c r="F1267" i="36"/>
  <c r="E1267" i="36"/>
  <c r="D1267" i="36"/>
  <c r="C1267" i="36"/>
  <c r="B1267" i="36"/>
  <c r="R1266" i="36"/>
  <c r="Q1266" i="36"/>
  <c r="P1266" i="36"/>
  <c r="O1266" i="36"/>
  <c r="N1266" i="36"/>
  <c r="M1266" i="36"/>
  <c r="L1266" i="36"/>
  <c r="K1266" i="36"/>
  <c r="J1266" i="36"/>
  <c r="I1266" i="36"/>
  <c r="H1266" i="36"/>
  <c r="G1266" i="36"/>
  <c r="F1266" i="36"/>
  <c r="E1266" i="36"/>
  <c r="D1266" i="36"/>
  <c r="C1266" i="36"/>
  <c r="B1266" i="36"/>
  <c r="R1265" i="36"/>
  <c r="Q1265" i="36"/>
  <c r="P1265" i="36"/>
  <c r="O1265" i="36"/>
  <c r="N1265" i="36"/>
  <c r="M1265" i="36"/>
  <c r="L1265" i="36"/>
  <c r="K1265" i="36"/>
  <c r="J1265" i="36"/>
  <c r="I1265" i="36"/>
  <c r="H1265" i="36"/>
  <c r="G1265" i="36"/>
  <c r="F1265" i="36"/>
  <c r="E1265" i="36"/>
  <c r="D1265" i="36"/>
  <c r="C1265" i="36"/>
  <c r="B1265" i="36"/>
  <c r="R1264" i="36"/>
  <c r="Q1264" i="36"/>
  <c r="P1264" i="36"/>
  <c r="O1264" i="36"/>
  <c r="N1264" i="36"/>
  <c r="M1264" i="36"/>
  <c r="L1264" i="36"/>
  <c r="K1264" i="36"/>
  <c r="J1264" i="36"/>
  <c r="I1264" i="36"/>
  <c r="H1264" i="36"/>
  <c r="G1264" i="36"/>
  <c r="F1264" i="36"/>
  <c r="E1264" i="36"/>
  <c r="D1264" i="36"/>
  <c r="C1264" i="36"/>
  <c r="B1264" i="36"/>
  <c r="R1263" i="36"/>
  <c r="Q1263" i="36"/>
  <c r="P1263" i="36"/>
  <c r="O1263" i="36"/>
  <c r="N1263" i="36"/>
  <c r="M1263" i="36"/>
  <c r="L1263" i="36"/>
  <c r="K1263" i="36"/>
  <c r="J1263" i="36"/>
  <c r="I1263" i="36"/>
  <c r="H1263" i="36"/>
  <c r="G1263" i="36"/>
  <c r="F1263" i="36"/>
  <c r="E1263" i="36"/>
  <c r="D1263" i="36"/>
  <c r="C1263" i="36"/>
  <c r="B1263" i="36"/>
  <c r="R1262" i="36"/>
  <c r="Q1262" i="36"/>
  <c r="P1262" i="36"/>
  <c r="O1262" i="36"/>
  <c r="N1262" i="36"/>
  <c r="M1262" i="36"/>
  <c r="L1262" i="36"/>
  <c r="K1262" i="36"/>
  <c r="J1262" i="36"/>
  <c r="I1262" i="36"/>
  <c r="H1262" i="36"/>
  <c r="G1262" i="36"/>
  <c r="F1262" i="36"/>
  <c r="E1262" i="36"/>
  <c r="D1262" i="36"/>
  <c r="C1262" i="36"/>
  <c r="B1262" i="36"/>
  <c r="R1261" i="36"/>
  <c r="Q1261" i="36"/>
  <c r="P1261" i="36"/>
  <c r="O1261" i="36"/>
  <c r="N1261" i="36"/>
  <c r="M1261" i="36"/>
  <c r="L1261" i="36"/>
  <c r="K1261" i="36"/>
  <c r="J1261" i="36"/>
  <c r="I1261" i="36"/>
  <c r="H1261" i="36"/>
  <c r="G1261" i="36"/>
  <c r="F1261" i="36"/>
  <c r="E1261" i="36"/>
  <c r="D1261" i="36"/>
  <c r="C1261" i="36"/>
  <c r="B1261" i="36"/>
  <c r="R1260" i="36"/>
  <c r="Q1260" i="36"/>
  <c r="P1260" i="36"/>
  <c r="O1260" i="36"/>
  <c r="N1260" i="36"/>
  <c r="M1260" i="36"/>
  <c r="L1260" i="36"/>
  <c r="K1260" i="36"/>
  <c r="J1260" i="36"/>
  <c r="I1260" i="36"/>
  <c r="H1260" i="36"/>
  <c r="G1260" i="36"/>
  <c r="F1260" i="36"/>
  <c r="E1260" i="36"/>
  <c r="D1260" i="36"/>
  <c r="C1260" i="36"/>
  <c r="B1260" i="36"/>
  <c r="R1259" i="36"/>
  <c r="Q1259" i="36"/>
  <c r="P1259" i="36"/>
  <c r="O1259" i="36"/>
  <c r="N1259" i="36"/>
  <c r="M1259" i="36"/>
  <c r="L1259" i="36"/>
  <c r="K1259" i="36"/>
  <c r="J1259" i="36"/>
  <c r="I1259" i="36"/>
  <c r="H1259" i="36"/>
  <c r="G1259" i="36"/>
  <c r="F1259" i="36"/>
  <c r="E1259" i="36"/>
  <c r="D1259" i="36"/>
  <c r="C1259" i="36"/>
  <c r="B1259" i="36"/>
  <c r="R1258" i="36"/>
  <c r="Q1258" i="36"/>
  <c r="P1258" i="36"/>
  <c r="O1258" i="36"/>
  <c r="N1258" i="36"/>
  <c r="M1258" i="36"/>
  <c r="L1258" i="36"/>
  <c r="K1258" i="36"/>
  <c r="J1258" i="36"/>
  <c r="I1258" i="36"/>
  <c r="H1258" i="36"/>
  <c r="G1258" i="36"/>
  <c r="F1258" i="36"/>
  <c r="E1258" i="36"/>
  <c r="D1258" i="36"/>
  <c r="C1258" i="36"/>
  <c r="B1258" i="36"/>
  <c r="R1257" i="36"/>
  <c r="Q1257" i="36"/>
  <c r="P1257" i="36"/>
  <c r="O1257" i="36"/>
  <c r="N1257" i="36"/>
  <c r="M1257" i="36"/>
  <c r="L1257" i="36"/>
  <c r="K1257" i="36"/>
  <c r="J1257" i="36"/>
  <c r="I1257" i="36"/>
  <c r="H1257" i="36"/>
  <c r="G1257" i="36"/>
  <c r="F1257" i="36"/>
  <c r="E1257" i="36"/>
  <c r="D1257" i="36"/>
  <c r="C1257" i="36"/>
  <c r="B1257" i="36"/>
  <c r="R1256" i="36"/>
  <c r="Q1256" i="36"/>
  <c r="P1256" i="36"/>
  <c r="O1256" i="36"/>
  <c r="N1256" i="36"/>
  <c r="M1256" i="36"/>
  <c r="L1256" i="36"/>
  <c r="K1256" i="36"/>
  <c r="J1256" i="36"/>
  <c r="I1256" i="36"/>
  <c r="H1256" i="36"/>
  <c r="G1256" i="36"/>
  <c r="F1256" i="36"/>
  <c r="E1256" i="36"/>
  <c r="D1256" i="36"/>
  <c r="C1256" i="36"/>
  <c r="B1256" i="36"/>
  <c r="R1255" i="36"/>
  <c r="Q1255" i="36"/>
  <c r="P1255" i="36"/>
  <c r="O1255" i="36"/>
  <c r="N1255" i="36"/>
  <c r="M1255" i="36"/>
  <c r="L1255" i="36"/>
  <c r="K1255" i="36"/>
  <c r="J1255" i="36"/>
  <c r="I1255" i="36"/>
  <c r="H1255" i="36"/>
  <c r="G1255" i="36"/>
  <c r="F1255" i="36"/>
  <c r="E1255" i="36"/>
  <c r="D1255" i="36"/>
  <c r="C1255" i="36"/>
  <c r="B1255" i="36"/>
  <c r="R1254" i="36"/>
  <c r="Q1254" i="36"/>
  <c r="P1254" i="36"/>
  <c r="O1254" i="36"/>
  <c r="N1254" i="36"/>
  <c r="M1254" i="36"/>
  <c r="L1254" i="36"/>
  <c r="K1254" i="36"/>
  <c r="J1254" i="36"/>
  <c r="I1254" i="36"/>
  <c r="H1254" i="36"/>
  <c r="G1254" i="36"/>
  <c r="F1254" i="36"/>
  <c r="E1254" i="36"/>
  <c r="D1254" i="36"/>
  <c r="C1254" i="36"/>
  <c r="B1254" i="36"/>
  <c r="R1253" i="36"/>
  <c r="Q1253" i="36"/>
  <c r="P1253" i="36"/>
  <c r="O1253" i="36"/>
  <c r="N1253" i="36"/>
  <c r="M1253" i="36"/>
  <c r="L1253" i="36"/>
  <c r="K1253" i="36"/>
  <c r="J1253" i="36"/>
  <c r="I1253" i="36"/>
  <c r="H1253" i="36"/>
  <c r="G1253" i="36"/>
  <c r="F1253" i="36"/>
  <c r="E1253" i="36"/>
  <c r="D1253" i="36"/>
  <c r="C1253" i="36"/>
  <c r="B1253" i="36"/>
  <c r="R1252" i="36"/>
  <c r="Q1252" i="36"/>
  <c r="P1252" i="36"/>
  <c r="O1252" i="36"/>
  <c r="N1252" i="36"/>
  <c r="M1252" i="36"/>
  <c r="L1252" i="36"/>
  <c r="K1252" i="36"/>
  <c r="J1252" i="36"/>
  <c r="I1252" i="36"/>
  <c r="H1252" i="36"/>
  <c r="G1252" i="36"/>
  <c r="F1252" i="36"/>
  <c r="E1252" i="36"/>
  <c r="D1252" i="36"/>
  <c r="C1252" i="36"/>
  <c r="B1252" i="36"/>
  <c r="R1251" i="36"/>
  <c r="Q1251" i="36"/>
  <c r="P1251" i="36"/>
  <c r="O1251" i="36"/>
  <c r="N1251" i="36"/>
  <c r="M1251" i="36"/>
  <c r="L1251" i="36"/>
  <c r="K1251" i="36"/>
  <c r="J1251" i="36"/>
  <c r="I1251" i="36"/>
  <c r="H1251" i="36"/>
  <c r="G1251" i="36"/>
  <c r="F1251" i="36"/>
  <c r="E1251" i="36"/>
  <c r="D1251" i="36"/>
  <c r="C1251" i="36"/>
  <c r="B1251" i="36"/>
  <c r="R1250" i="36"/>
  <c r="Q1250" i="36"/>
  <c r="P1250" i="36"/>
  <c r="O1250" i="36"/>
  <c r="N1250" i="36"/>
  <c r="M1250" i="36"/>
  <c r="L1250" i="36"/>
  <c r="K1250" i="36"/>
  <c r="J1250" i="36"/>
  <c r="I1250" i="36"/>
  <c r="H1250" i="36"/>
  <c r="G1250" i="36"/>
  <c r="F1250" i="36"/>
  <c r="E1250" i="36"/>
  <c r="D1250" i="36"/>
  <c r="C1250" i="36"/>
  <c r="B1250" i="36"/>
  <c r="R1249" i="36"/>
  <c r="Q1249" i="36"/>
  <c r="P1249" i="36"/>
  <c r="O1249" i="36"/>
  <c r="N1249" i="36"/>
  <c r="M1249" i="36"/>
  <c r="L1249" i="36"/>
  <c r="K1249" i="36"/>
  <c r="J1249" i="36"/>
  <c r="I1249" i="36"/>
  <c r="H1249" i="36"/>
  <c r="G1249" i="36"/>
  <c r="F1249" i="36"/>
  <c r="E1249" i="36"/>
  <c r="D1249" i="36"/>
  <c r="C1249" i="36"/>
  <c r="B1249" i="36"/>
  <c r="R1248" i="36"/>
  <c r="Q1248" i="36"/>
  <c r="P1248" i="36"/>
  <c r="O1248" i="36"/>
  <c r="N1248" i="36"/>
  <c r="M1248" i="36"/>
  <c r="L1248" i="36"/>
  <c r="K1248" i="36"/>
  <c r="J1248" i="36"/>
  <c r="I1248" i="36"/>
  <c r="H1248" i="36"/>
  <c r="G1248" i="36"/>
  <c r="F1248" i="36"/>
  <c r="E1248" i="36"/>
  <c r="D1248" i="36"/>
  <c r="C1248" i="36"/>
  <c r="B1248" i="36"/>
  <c r="R1247" i="36"/>
  <c r="Q1247" i="36"/>
  <c r="P1247" i="36"/>
  <c r="O1247" i="36"/>
  <c r="N1247" i="36"/>
  <c r="M1247" i="36"/>
  <c r="L1247" i="36"/>
  <c r="K1247" i="36"/>
  <c r="J1247" i="36"/>
  <c r="I1247" i="36"/>
  <c r="H1247" i="36"/>
  <c r="G1247" i="36"/>
  <c r="F1247" i="36"/>
  <c r="E1247" i="36"/>
  <c r="D1247" i="36"/>
  <c r="C1247" i="36"/>
  <c r="B1247" i="36"/>
  <c r="R1246" i="36"/>
  <c r="Q1246" i="36"/>
  <c r="P1246" i="36"/>
  <c r="O1246" i="36"/>
  <c r="N1246" i="36"/>
  <c r="M1246" i="36"/>
  <c r="L1246" i="36"/>
  <c r="K1246" i="36"/>
  <c r="J1246" i="36"/>
  <c r="I1246" i="36"/>
  <c r="H1246" i="36"/>
  <c r="G1246" i="36"/>
  <c r="F1246" i="36"/>
  <c r="E1246" i="36"/>
  <c r="D1246" i="36"/>
  <c r="C1246" i="36"/>
  <c r="B1246" i="36"/>
  <c r="R1245" i="36"/>
  <c r="Q1245" i="36"/>
  <c r="P1245" i="36"/>
  <c r="O1245" i="36"/>
  <c r="N1245" i="36"/>
  <c r="M1245" i="36"/>
  <c r="L1245" i="36"/>
  <c r="K1245" i="36"/>
  <c r="J1245" i="36"/>
  <c r="I1245" i="36"/>
  <c r="H1245" i="36"/>
  <c r="G1245" i="36"/>
  <c r="F1245" i="36"/>
  <c r="E1245" i="36"/>
  <c r="D1245" i="36"/>
  <c r="C1245" i="36"/>
  <c r="B1245" i="36"/>
  <c r="R1244" i="36"/>
  <c r="Q1244" i="36"/>
  <c r="P1244" i="36"/>
  <c r="O1244" i="36"/>
  <c r="N1244" i="36"/>
  <c r="M1244" i="36"/>
  <c r="L1244" i="36"/>
  <c r="K1244" i="36"/>
  <c r="J1244" i="36"/>
  <c r="I1244" i="36"/>
  <c r="H1244" i="36"/>
  <c r="G1244" i="36"/>
  <c r="F1244" i="36"/>
  <c r="E1244" i="36"/>
  <c r="D1244" i="36"/>
  <c r="C1244" i="36"/>
  <c r="B1244" i="36"/>
  <c r="R1243" i="36"/>
  <c r="Q1243" i="36"/>
  <c r="P1243" i="36"/>
  <c r="O1243" i="36"/>
  <c r="N1243" i="36"/>
  <c r="M1243" i="36"/>
  <c r="L1243" i="36"/>
  <c r="K1243" i="36"/>
  <c r="J1243" i="36"/>
  <c r="I1243" i="36"/>
  <c r="H1243" i="36"/>
  <c r="G1243" i="36"/>
  <c r="F1243" i="36"/>
  <c r="E1243" i="36"/>
  <c r="D1243" i="36"/>
  <c r="C1243" i="36"/>
  <c r="B1243" i="36"/>
  <c r="R1242" i="36"/>
  <c r="Q1242" i="36"/>
  <c r="P1242" i="36"/>
  <c r="O1242" i="36"/>
  <c r="N1242" i="36"/>
  <c r="M1242" i="36"/>
  <c r="L1242" i="36"/>
  <c r="K1242" i="36"/>
  <c r="J1242" i="36"/>
  <c r="I1242" i="36"/>
  <c r="H1242" i="36"/>
  <c r="G1242" i="36"/>
  <c r="F1242" i="36"/>
  <c r="E1242" i="36"/>
  <c r="D1242" i="36"/>
  <c r="C1242" i="36"/>
  <c r="B1242" i="36"/>
  <c r="R1241" i="36"/>
  <c r="Q1241" i="36"/>
  <c r="P1241" i="36"/>
  <c r="O1241" i="36"/>
  <c r="N1241" i="36"/>
  <c r="M1241" i="36"/>
  <c r="L1241" i="36"/>
  <c r="K1241" i="36"/>
  <c r="J1241" i="36"/>
  <c r="I1241" i="36"/>
  <c r="H1241" i="36"/>
  <c r="G1241" i="36"/>
  <c r="F1241" i="36"/>
  <c r="E1241" i="36"/>
  <c r="D1241" i="36"/>
  <c r="C1241" i="36"/>
  <c r="B1241" i="36"/>
  <c r="R1240" i="36"/>
  <c r="Q1240" i="36"/>
  <c r="P1240" i="36"/>
  <c r="O1240" i="36"/>
  <c r="N1240" i="36"/>
  <c r="M1240" i="36"/>
  <c r="L1240" i="36"/>
  <c r="K1240" i="36"/>
  <c r="J1240" i="36"/>
  <c r="I1240" i="36"/>
  <c r="H1240" i="36"/>
  <c r="G1240" i="36"/>
  <c r="F1240" i="36"/>
  <c r="E1240" i="36"/>
  <c r="D1240" i="36"/>
  <c r="C1240" i="36"/>
  <c r="B1240" i="36"/>
  <c r="R1239" i="36"/>
  <c r="Q1239" i="36"/>
  <c r="P1239" i="36"/>
  <c r="O1239" i="36"/>
  <c r="N1239" i="36"/>
  <c r="M1239" i="36"/>
  <c r="L1239" i="36"/>
  <c r="K1239" i="36"/>
  <c r="J1239" i="36"/>
  <c r="I1239" i="36"/>
  <c r="H1239" i="36"/>
  <c r="G1239" i="36"/>
  <c r="F1239" i="36"/>
  <c r="E1239" i="36"/>
  <c r="D1239" i="36"/>
  <c r="C1239" i="36"/>
  <c r="B1239" i="36"/>
  <c r="R1238" i="36"/>
  <c r="Q1238" i="36"/>
  <c r="P1238" i="36"/>
  <c r="O1238" i="36"/>
  <c r="N1238" i="36"/>
  <c r="M1238" i="36"/>
  <c r="L1238" i="36"/>
  <c r="K1238" i="36"/>
  <c r="J1238" i="36"/>
  <c r="I1238" i="36"/>
  <c r="H1238" i="36"/>
  <c r="G1238" i="36"/>
  <c r="F1238" i="36"/>
  <c r="E1238" i="36"/>
  <c r="D1238" i="36"/>
  <c r="C1238" i="36"/>
  <c r="B1238" i="36"/>
  <c r="R1237" i="36"/>
  <c r="Q1237" i="36"/>
  <c r="P1237" i="36"/>
  <c r="O1237" i="36"/>
  <c r="N1237" i="36"/>
  <c r="M1237" i="36"/>
  <c r="L1237" i="36"/>
  <c r="K1237" i="36"/>
  <c r="J1237" i="36"/>
  <c r="I1237" i="36"/>
  <c r="H1237" i="36"/>
  <c r="G1237" i="36"/>
  <c r="F1237" i="36"/>
  <c r="E1237" i="36"/>
  <c r="D1237" i="36"/>
  <c r="C1237" i="36"/>
  <c r="B1237" i="36"/>
  <c r="R1236" i="36"/>
  <c r="Q1236" i="36"/>
  <c r="P1236" i="36"/>
  <c r="O1236" i="36"/>
  <c r="N1236" i="36"/>
  <c r="M1236" i="36"/>
  <c r="L1236" i="36"/>
  <c r="K1236" i="36"/>
  <c r="J1236" i="36"/>
  <c r="I1236" i="36"/>
  <c r="H1236" i="36"/>
  <c r="G1236" i="36"/>
  <c r="F1236" i="36"/>
  <c r="E1236" i="36"/>
  <c r="D1236" i="36"/>
  <c r="C1236" i="36"/>
  <c r="B1236" i="36"/>
  <c r="R1235" i="36"/>
  <c r="Q1235" i="36"/>
  <c r="P1235" i="36"/>
  <c r="O1235" i="36"/>
  <c r="N1235" i="36"/>
  <c r="M1235" i="36"/>
  <c r="L1235" i="36"/>
  <c r="K1235" i="36"/>
  <c r="J1235" i="36"/>
  <c r="I1235" i="36"/>
  <c r="H1235" i="36"/>
  <c r="G1235" i="36"/>
  <c r="F1235" i="36"/>
  <c r="E1235" i="36"/>
  <c r="D1235" i="36"/>
  <c r="C1235" i="36"/>
  <c r="B1235" i="36"/>
  <c r="R1234" i="36"/>
  <c r="Q1234" i="36"/>
  <c r="P1234" i="36"/>
  <c r="O1234" i="36"/>
  <c r="N1234" i="36"/>
  <c r="M1234" i="36"/>
  <c r="L1234" i="36"/>
  <c r="K1234" i="36"/>
  <c r="J1234" i="36"/>
  <c r="I1234" i="36"/>
  <c r="H1234" i="36"/>
  <c r="G1234" i="36"/>
  <c r="F1234" i="36"/>
  <c r="E1234" i="36"/>
  <c r="D1234" i="36"/>
  <c r="C1234" i="36"/>
  <c r="B1234" i="36"/>
  <c r="R1233" i="36"/>
  <c r="Q1233" i="36"/>
  <c r="P1233" i="36"/>
  <c r="O1233" i="36"/>
  <c r="N1233" i="36"/>
  <c r="M1233" i="36"/>
  <c r="L1233" i="36"/>
  <c r="K1233" i="36"/>
  <c r="J1233" i="36"/>
  <c r="I1233" i="36"/>
  <c r="H1233" i="36"/>
  <c r="G1233" i="36"/>
  <c r="F1233" i="36"/>
  <c r="E1233" i="36"/>
  <c r="D1233" i="36"/>
  <c r="C1233" i="36"/>
  <c r="B1233" i="36"/>
  <c r="R1232" i="36"/>
  <c r="Q1232" i="36"/>
  <c r="P1232" i="36"/>
  <c r="O1232" i="36"/>
  <c r="N1232" i="36"/>
  <c r="M1232" i="36"/>
  <c r="L1232" i="36"/>
  <c r="K1232" i="36"/>
  <c r="J1232" i="36"/>
  <c r="I1232" i="36"/>
  <c r="H1232" i="36"/>
  <c r="G1232" i="36"/>
  <c r="F1232" i="36"/>
  <c r="E1232" i="36"/>
  <c r="D1232" i="36"/>
  <c r="C1232" i="36"/>
  <c r="B1232" i="36"/>
  <c r="R1231" i="36"/>
  <c r="Q1231" i="36"/>
  <c r="P1231" i="36"/>
  <c r="O1231" i="36"/>
  <c r="N1231" i="36"/>
  <c r="M1231" i="36"/>
  <c r="L1231" i="36"/>
  <c r="K1231" i="36"/>
  <c r="J1231" i="36"/>
  <c r="I1231" i="36"/>
  <c r="H1231" i="36"/>
  <c r="G1231" i="36"/>
  <c r="F1231" i="36"/>
  <c r="E1231" i="36"/>
  <c r="D1231" i="36"/>
  <c r="C1231" i="36"/>
  <c r="B1231" i="36"/>
  <c r="R1230" i="36"/>
  <c r="Q1230" i="36"/>
  <c r="P1230" i="36"/>
  <c r="O1230" i="36"/>
  <c r="N1230" i="36"/>
  <c r="M1230" i="36"/>
  <c r="L1230" i="36"/>
  <c r="K1230" i="36"/>
  <c r="J1230" i="36"/>
  <c r="I1230" i="36"/>
  <c r="H1230" i="36"/>
  <c r="G1230" i="36"/>
  <c r="F1230" i="36"/>
  <c r="E1230" i="36"/>
  <c r="D1230" i="36"/>
  <c r="C1230" i="36"/>
  <c r="B1230" i="36"/>
  <c r="R1229" i="36"/>
  <c r="Q1229" i="36"/>
  <c r="P1229" i="36"/>
  <c r="O1229" i="36"/>
  <c r="N1229" i="36"/>
  <c r="M1229" i="36"/>
  <c r="L1229" i="36"/>
  <c r="K1229" i="36"/>
  <c r="J1229" i="36"/>
  <c r="I1229" i="36"/>
  <c r="H1229" i="36"/>
  <c r="G1229" i="36"/>
  <c r="F1229" i="36"/>
  <c r="E1229" i="36"/>
  <c r="D1229" i="36"/>
  <c r="C1229" i="36"/>
  <c r="B1229" i="36"/>
  <c r="R1228" i="36"/>
  <c r="Q1228" i="36"/>
  <c r="P1228" i="36"/>
  <c r="O1228" i="36"/>
  <c r="N1228" i="36"/>
  <c r="M1228" i="36"/>
  <c r="L1228" i="36"/>
  <c r="K1228" i="36"/>
  <c r="J1228" i="36"/>
  <c r="I1228" i="36"/>
  <c r="H1228" i="36"/>
  <c r="G1228" i="36"/>
  <c r="F1228" i="36"/>
  <c r="E1228" i="36"/>
  <c r="D1228" i="36"/>
  <c r="C1228" i="36"/>
  <c r="B1228" i="36"/>
  <c r="R1227" i="36"/>
  <c r="Q1227" i="36"/>
  <c r="P1227" i="36"/>
  <c r="O1227" i="36"/>
  <c r="N1227" i="36"/>
  <c r="M1227" i="36"/>
  <c r="L1227" i="36"/>
  <c r="K1227" i="36"/>
  <c r="J1227" i="36"/>
  <c r="I1227" i="36"/>
  <c r="H1227" i="36"/>
  <c r="G1227" i="36"/>
  <c r="F1227" i="36"/>
  <c r="E1227" i="36"/>
  <c r="D1227" i="36"/>
  <c r="C1227" i="36"/>
  <c r="B1227" i="36"/>
  <c r="R1226" i="36"/>
  <c r="Q1226" i="36"/>
  <c r="P1226" i="36"/>
  <c r="O1226" i="36"/>
  <c r="N1226" i="36"/>
  <c r="M1226" i="36"/>
  <c r="L1226" i="36"/>
  <c r="K1226" i="36"/>
  <c r="J1226" i="36"/>
  <c r="I1226" i="36"/>
  <c r="H1226" i="36"/>
  <c r="G1226" i="36"/>
  <c r="F1226" i="36"/>
  <c r="E1226" i="36"/>
  <c r="D1226" i="36"/>
  <c r="C1226" i="36"/>
  <c r="B1226" i="36"/>
  <c r="R1225" i="36"/>
  <c r="Q1225" i="36"/>
  <c r="P1225" i="36"/>
  <c r="O1225" i="36"/>
  <c r="N1225" i="36"/>
  <c r="M1225" i="36"/>
  <c r="L1225" i="36"/>
  <c r="K1225" i="36"/>
  <c r="J1225" i="36"/>
  <c r="I1225" i="36"/>
  <c r="H1225" i="36"/>
  <c r="G1225" i="36"/>
  <c r="F1225" i="36"/>
  <c r="E1225" i="36"/>
  <c r="D1225" i="36"/>
  <c r="C1225" i="36"/>
  <c r="B1225" i="36"/>
  <c r="R1224" i="36"/>
  <c r="Q1224" i="36"/>
  <c r="P1224" i="36"/>
  <c r="O1224" i="36"/>
  <c r="N1224" i="36"/>
  <c r="M1224" i="36"/>
  <c r="L1224" i="36"/>
  <c r="K1224" i="36"/>
  <c r="J1224" i="36"/>
  <c r="I1224" i="36"/>
  <c r="H1224" i="36"/>
  <c r="G1224" i="36"/>
  <c r="F1224" i="36"/>
  <c r="E1224" i="36"/>
  <c r="D1224" i="36"/>
  <c r="C1224" i="36"/>
  <c r="B1224" i="36"/>
  <c r="R1223" i="36"/>
  <c r="Q1223" i="36"/>
  <c r="P1223" i="36"/>
  <c r="O1223" i="36"/>
  <c r="N1223" i="36"/>
  <c r="M1223" i="36"/>
  <c r="L1223" i="36"/>
  <c r="K1223" i="36"/>
  <c r="J1223" i="36"/>
  <c r="I1223" i="36"/>
  <c r="H1223" i="36"/>
  <c r="G1223" i="36"/>
  <c r="F1223" i="36"/>
  <c r="E1223" i="36"/>
  <c r="D1223" i="36"/>
  <c r="C1223" i="36"/>
  <c r="B1223" i="36"/>
  <c r="R1222" i="36"/>
  <c r="Q1222" i="36"/>
  <c r="P1222" i="36"/>
  <c r="O1222" i="36"/>
  <c r="N1222" i="36"/>
  <c r="M1222" i="36"/>
  <c r="L1222" i="36"/>
  <c r="K1222" i="36"/>
  <c r="J1222" i="36"/>
  <c r="I1222" i="36"/>
  <c r="H1222" i="36"/>
  <c r="G1222" i="36"/>
  <c r="F1222" i="36"/>
  <c r="E1222" i="36"/>
  <c r="D1222" i="36"/>
  <c r="C1222" i="36"/>
  <c r="B1222" i="36"/>
  <c r="R1221" i="36"/>
  <c r="Q1221" i="36"/>
  <c r="P1221" i="36"/>
  <c r="O1221" i="36"/>
  <c r="N1221" i="36"/>
  <c r="M1221" i="36"/>
  <c r="L1221" i="36"/>
  <c r="K1221" i="36"/>
  <c r="J1221" i="36"/>
  <c r="I1221" i="36"/>
  <c r="H1221" i="36"/>
  <c r="G1221" i="36"/>
  <c r="F1221" i="36"/>
  <c r="E1221" i="36"/>
  <c r="D1221" i="36"/>
  <c r="C1221" i="36"/>
  <c r="B1221" i="36"/>
  <c r="R1220" i="36"/>
  <c r="Q1220" i="36"/>
  <c r="P1220" i="36"/>
  <c r="O1220" i="36"/>
  <c r="N1220" i="36"/>
  <c r="M1220" i="36"/>
  <c r="L1220" i="36"/>
  <c r="K1220" i="36"/>
  <c r="J1220" i="36"/>
  <c r="I1220" i="36"/>
  <c r="H1220" i="36"/>
  <c r="G1220" i="36"/>
  <c r="F1220" i="36"/>
  <c r="E1220" i="36"/>
  <c r="D1220" i="36"/>
  <c r="C1220" i="36"/>
  <c r="B1220" i="36"/>
  <c r="R1219" i="36"/>
  <c r="Q1219" i="36"/>
  <c r="P1219" i="36"/>
  <c r="O1219" i="36"/>
  <c r="N1219" i="36"/>
  <c r="M1219" i="36"/>
  <c r="L1219" i="36"/>
  <c r="K1219" i="36"/>
  <c r="J1219" i="36"/>
  <c r="I1219" i="36"/>
  <c r="H1219" i="36"/>
  <c r="G1219" i="36"/>
  <c r="F1219" i="36"/>
  <c r="E1219" i="36"/>
  <c r="D1219" i="36"/>
  <c r="C1219" i="36"/>
  <c r="B1219" i="36"/>
  <c r="R1218" i="36"/>
  <c r="Q1218" i="36"/>
  <c r="P1218" i="36"/>
  <c r="O1218" i="36"/>
  <c r="N1218" i="36"/>
  <c r="M1218" i="36"/>
  <c r="L1218" i="36"/>
  <c r="K1218" i="36"/>
  <c r="J1218" i="36"/>
  <c r="I1218" i="36"/>
  <c r="H1218" i="36"/>
  <c r="G1218" i="36"/>
  <c r="F1218" i="36"/>
  <c r="E1218" i="36"/>
  <c r="D1218" i="36"/>
  <c r="C1218" i="36"/>
  <c r="B1218" i="36"/>
  <c r="R1217" i="36"/>
  <c r="Q1217" i="36"/>
  <c r="P1217" i="36"/>
  <c r="O1217" i="36"/>
  <c r="N1217" i="36"/>
  <c r="M1217" i="36"/>
  <c r="L1217" i="36"/>
  <c r="K1217" i="36"/>
  <c r="J1217" i="36"/>
  <c r="I1217" i="36"/>
  <c r="H1217" i="36"/>
  <c r="G1217" i="36"/>
  <c r="F1217" i="36"/>
  <c r="E1217" i="36"/>
  <c r="D1217" i="36"/>
  <c r="C1217" i="36"/>
  <c r="B1217" i="36"/>
  <c r="R1216" i="36"/>
  <c r="Q1216" i="36"/>
  <c r="P1216" i="36"/>
  <c r="O1216" i="36"/>
  <c r="N1216" i="36"/>
  <c r="M1216" i="36"/>
  <c r="L1216" i="36"/>
  <c r="K1216" i="36"/>
  <c r="J1216" i="36"/>
  <c r="I1216" i="36"/>
  <c r="H1216" i="36"/>
  <c r="G1216" i="36"/>
  <c r="F1216" i="36"/>
  <c r="E1216" i="36"/>
  <c r="D1216" i="36"/>
  <c r="C1216" i="36"/>
  <c r="B1216" i="36"/>
  <c r="R1215" i="36"/>
  <c r="Q1215" i="36"/>
  <c r="P1215" i="36"/>
  <c r="O1215" i="36"/>
  <c r="N1215" i="36"/>
  <c r="M1215" i="36"/>
  <c r="L1215" i="36"/>
  <c r="K1215" i="36"/>
  <c r="J1215" i="36"/>
  <c r="I1215" i="36"/>
  <c r="H1215" i="36"/>
  <c r="G1215" i="36"/>
  <c r="F1215" i="36"/>
  <c r="E1215" i="36"/>
  <c r="D1215" i="36"/>
  <c r="C1215" i="36"/>
  <c r="B1215" i="36"/>
  <c r="R1214" i="36"/>
  <c r="Q1214" i="36"/>
  <c r="P1214" i="36"/>
  <c r="O1214" i="36"/>
  <c r="N1214" i="36"/>
  <c r="M1214" i="36"/>
  <c r="L1214" i="36"/>
  <c r="K1214" i="36"/>
  <c r="J1214" i="36"/>
  <c r="I1214" i="36"/>
  <c r="H1214" i="36"/>
  <c r="G1214" i="36"/>
  <c r="F1214" i="36"/>
  <c r="E1214" i="36"/>
  <c r="D1214" i="36"/>
  <c r="C1214" i="36"/>
  <c r="B1214" i="36"/>
  <c r="R1213" i="36"/>
  <c r="Q1213" i="36"/>
  <c r="P1213" i="36"/>
  <c r="O1213" i="36"/>
  <c r="N1213" i="36"/>
  <c r="M1213" i="36"/>
  <c r="L1213" i="36"/>
  <c r="K1213" i="36"/>
  <c r="J1213" i="36"/>
  <c r="I1213" i="36"/>
  <c r="H1213" i="36"/>
  <c r="G1213" i="36"/>
  <c r="F1213" i="36"/>
  <c r="E1213" i="36"/>
  <c r="D1213" i="36"/>
  <c r="C1213" i="36"/>
  <c r="B1213" i="36"/>
  <c r="R1212" i="36"/>
  <c r="Q1212" i="36"/>
  <c r="P1212" i="36"/>
  <c r="O1212" i="36"/>
  <c r="N1212" i="36"/>
  <c r="M1212" i="36"/>
  <c r="L1212" i="36"/>
  <c r="K1212" i="36"/>
  <c r="J1212" i="36"/>
  <c r="I1212" i="36"/>
  <c r="H1212" i="36"/>
  <c r="G1212" i="36"/>
  <c r="F1212" i="36"/>
  <c r="E1212" i="36"/>
  <c r="D1212" i="36"/>
  <c r="C1212" i="36"/>
  <c r="B1212" i="36"/>
  <c r="R1211" i="36"/>
  <c r="Q1211" i="36"/>
  <c r="P1211" i="36"/>
  <c r="O1211" i="36"/>
  <c r="N1211" i="36"/>
  <c r="M1211" i="36"/>
  <c r="L1211" i="36"/>
  <c r="K1211" i="36"/>
  <c r="J1211" i="36"/>
  <c r="I1211" i="36"/>
  <c r="H1211" i="36"/>
  <c r="G1211" i="36"/>
  <c r="F1211" i="36"/>
  <c r="E1211" i="36"/>
  <c r="D1211" i="36"/>
  <c r="C1211" i="36"/>
  <c r="B1211" i="36"/>
  <c r="R1210" i="36"/>
  <c r="Q1210" i="36"/>
  <c r="P1210" i="36"/>
  <c r="O1210" i="36"/>
  <c r="N1210" i="36"/>
  <c r="M1210" i="36"/>
  <c r="L1210" i="36"/>
  <c r="K1210" i="36"/>
  <c r="J1210" i="36"/>
  <c r="I1210" i="36"/>
  <c r="H1210" i="36"/>
  <c r="G1210" i="36"/>
  <c r="F1210" i="36"/>
  <c r="E1210" i="36"/>
  <c r="D1210" i="36"/>
  <c r="C1210" i="36"/>
  <c r="B1210" i="36"/>
  <c r="R1209" i="36"/>
  <c r="Q1209" i="36"/>
  <c r="P1209" i="36"/>
  <c r="O1209" i="36"/>
  <c r="N1209" i="36"/>
  <c r="M1209" i="36"/>
  <c r="L1209" i="36"/>
  <c r="K1209" i="36"/>
  <c r="J1209" i="36"/>
  <c r="I1209" i="36"/>
  <c r="H1209" i="36"/>
  <c r="G1209" i="36"/>
  <c r="F1209" i="36"/>
  <c r="E1209" i="36"/>
  <c r="D1209" i="36"/>
  <c r="C1209" i="36"/>
  <c r="B1209" i="36"/>
  <c r="R1208" i="36"/>
  <c r="Q1208" i="36"/>
  <c r="P1208" i="36"/>
  <c r="O1208" i="36"/>
  <c r="N1208" i="36"/>
  <c r="M1208" i="36"/>
  <c r="L1208" i="36"/>
  <c r="K1208" i="36"/>
  <c r="J1208" i="36"/>
  <c r="I1208" i="36"/>
  <c r="H1208" i="36"/>
  <c r="G1208" i="36"/>
  <c r="F1208" i="36"/>
  <c r="E1208" i="36"/>
  <c r="D1208" i="36"/>
  <c r="C1208" i="36"/>
  <c r="B1208" i="36"/>
  <c r="R1207" i="36"/>
  <c r="Q1207" i="36"/>
  <c r="P1207" i="36"/>
  <c r="O1207" i="36"/>
  <c r="N1207" i="36"/>
  <c r="M1207" i="36"/>
  <c r="L1207" i="36"/>
  <c r="K1207" i="36"/>
  <c r="J1207" i="36"/>
  <c r="I1207" i="36"/>
  <c r="H1207" i="36"/>
  <c r="G1207" i="36"/>
  <c r="F1207" i="36"/>
  <c r="E1207" i="36"/>
  <c r="D1207" i="36"/>
  <c r="C1207" i="36"/>
  <c r="B1207" i="36"/>
  <c r="R1206" i="36"/>
  <c r="Q1206" i="36"/>
  <c r="P1206" i="36"/>
  <c r="O1206" i="36"/>
  <c r="N1206" i="36"/>
  <c r="M1206" i="36"/>
  <c r="L1206" i="36"/>
  <c r="K1206" i="36"/>
  <c r="J1206" i="36"/>
  <c r="I1206" i="36"/>
  <c r="H1206" i="36"/>
  <c r="G1206" i="36"/>
  <c r="F1206" i="36"/>
  <c r="E1206" i="36"/>
  <c r="D1206" i="36"/>
  <c r="C1206" i="36"/>
  <c r="B1206" i="36"/>
  <c r="R1205" i="36"/>
  <c r="Q1205" i="36"/>
  <c r="P1205" i="36"/>
  <c r="O1205" i="36"/>
  <c r="N1205" i="36"/>
  <c r="M1205" i="36"/>
  <c r="L1205" i="36"/>
  <c r="K1205" i="36"/>
  <c r="J1205" i="36"/>
  <c r="I1205" i="36"/>
  <c r="H1205" i="36"/>
  <c r="G1205" i="36"/>
  <c r="F1205" i="36"/>
  <c r="E1205" i="36"/>
  <c r="D1205" i="36"/>
  <c r="C1205" i="36"/>
  <c r="B1205" i="36"/>
  <c r="R1204" i="36"/>
  <c r="Q1204" i="36"/>
  <c r="P1204" i="36"/>
  <c r="O1204" i="36"/>
  <c r="N1204" i="36"/>
  <c r="M1204" i="36"/>
  <c r="L1204" i="36"/>
  <c r="K1204" i="36"/>
  <c r="J1204" i="36"/>
  <c r="I1204" i="36"/>
  <c r="H1204" i="36"/>
  <c r="G1204" i="36"/>
  <c r="F1204" i="36"/>
  <c r="E1204" i="36"/>
  <c r="D1204" i="36"/>
  <c r="C1204" i="36"/>
  <c r="B1204" i="36"/>
  <c r="R1203" i="36"/>
  <c r="Q1203" i="36"/>
  <c r="P1203" i="36"/>
  <c r="O1203" i="36"/>
  <c r="N1203" i="36"/>
  <c r="M1203" i="36"/>
  <c r="L1203" i="36"/>
  <c r="K1203" i="36"/>
  <c r="J1203" i="36"/>
  <c r="I1203" i="36"/>
  <c r="H1203" i="36"/>
  <c r="G1203" i="36"/>
  <c r="F1203" i="36"/>
  <c r="E1203" i="36"/>
  <c r="D1203" i="36"/>
  <c r="C1203" i="36"/>
  <c r="B1203" i="36"/>
  <c r="R1202" i="36"/>
  <c r="Q1202" i="36"/>
  <c r="P1202" i="36"/>
  <c r="O1202" i="36"/>
  <c r="N1202" i="36"/>
  <c r="M1202" i="36"/>
  <c r="L1202" i="36"/>
  <c r="K1202" i="36"/>
  <c r="J1202" i="36"/>
  <c r="I1202" i="36"/>
  <c r="H1202" i="36"/>
  <c r="G1202" i="36"/>
  <c r="F1202" i="36"/>
  <c r="E1202" i="36"/>
  <c r="D1202" i="36"/>
  <c r="C1202" i="36"/>
  <c r="B1202" i="36"/>
  <c r="R1201" i="36"/>
  <c r="Q1201" i="36"/>
  <c r="P1201" i="36"/>
  <c r="O1201" i="36"/>
  <c r="N1201" i="36"/>
  <c r="M1201" i="36"/>
  <c r="L1201" i="36"/>
  <c r="K1201" i="36"/>
  <c r="J1201" i="36"/>
  <c r="I1201" i="36"/>
  <c r="H1201" i="36"/>
  <c r="G1201" i="36"/>
  <c r="F1201" i="36"/>
  <c r="E1201" i="36"/>
  <c r="D1201" i="36"/>
  <c r="C1201" i="36"/>
  <c r="B1201" i="36"/>
  <c r="R1200" i="36"/>
  <c r="Q1200" i="36"/>
  <c r="P1200" i="36"/>
  <c r="O1200" i="36"/>
  <c r="N1200" i="36"/>
  <c r="M1200" i="36"/>
  <c r="L1200" i="36"/>
  <c r="K1200" i="36"/>
  <c r="J1200" i="36"/>
  <c r="I1200" i="36"/>
  <c r="H1200" i="36"/>
  <c r="G1200" i="36"/>
  <c r="F1200" i="36"/>
  <c r="E1200" i="36"/>
  <c r="D1200" i="36"/>
  <c r="C1200" i="36"/>
  <c r="B1200" i="36"/>
  <c r="R1199" i="36"/>
  <c r="Q1199" i="36"/>
  <c r="P1199" i="36"/>
  <c r="O1199" i="36"/>
  <c r="N1199" i="36"/>
  <c r="M1199" i="36"/>
  <c r="L1199" i="36"/>
  <c r="K1199" i="36"/>
  <c r="J1199" i="36"/>
  <c r="I1199" i="36"/>
  <c r="H1199" i="36"/>
  <c r="G1199" i="36"/>
  <c r="F1199" i="36"/>
  <c r="E1199" i="36"/>
  <c r="D1199" i="36"/>
  <c r="C1199" i="36"/>
  <c r="B1199" i="36"/>
  <c r="R1198" i="36"/>
  <c r="Q1198" i="36"/>
  <c r="P1198" i="36"/>
  <c r="O1198" i="36"/>
  <c r="N1198" i="36"/>
  <c r="M1198" i="36"/>
  <c r="L1198" i="36"/>
  <c r="K1198" i="36"/>
  <c r="J1198" i="36"/>
  <c r="I1198" i="36"/>
  <c r="H1198" i="36"/>
  <c r="G1198" i="36"/>
  <c r="F1198" i="36"/>
  <c r="E1198" i="36"/>
  <c r="D1198" i="36"/>
  <c r="C1198" i="36"/>
  <c r="B1198" i="36"/>
  <c r="R1197" i="36"/>
  <c r="Q1197" i="36"/>
  <c r="P1197" i="36"/>
  <c r="O1197" i="36"/>
  <c r="N1197" i="36"/>
  <c r="M1197" i="36"/>
  <c r="L1197" i="36"/>
  <c r="K1197" i="36"/>
  <c r="J1197" i="36"/>
  <c r="I1197" i="36"/>
  <c r="H1197" i="36"/>
  <c r="G1197" i="36"/>
  <c r="F1197" i="36"/>
  <c r="E1197" i="36"/>
  <c r="D1197" i="36"/>
  <c r="C1197" i="36"/>
  <c r="B1197" i="36"/>
  <c r="R1196" i="36"/>
  <c r="Q1196" i="36"/>
  <c r="P1196" i="36"/>
  <c r="O1196" i="36"/>
  <c r="N1196" i="36"/>
  <c r="M1196" i="36"/>
  <c r="L1196" i="36"/>
  <c r="K1196" i="36"/>
  <c r="J1196" i="36"/>
  <c r="I1196" i="36"/>
  <c r="H1196" i="36"/>
  <c r="G1196" i="36"/>
  <c r="F1196" i="36"/>
  <c r="E1196" i="36"/>
  <c r="D1196" i="36"/>
  <c r="C1196" i="36"/>
  <c r="B1196" i="36"/>
  <c r="R1195" i="36"/>
  <c r="Q1195" i="36"/>
  <c r="P1195" i="36"/>
  <c r="O1195" i="36"/>
  <c r="N1195" i="36"/>
  <c r="M1195" i="36"/>
  <c r="L1195" i="36"/>
  <c r="K1195" i="36"/>
  <c r="J1195" i="36"/>
  <c r="I1195" i="36"/>
  <c r="H1195" i="36"/>
  <c r="G1195" i="36"/>
  <c r="F1195" i="36"/>
  <c r="E1195" i="36"/>
  <c r="D1195" i="36"/>
  <c r="C1195" i="36"/>
  <c r="B1195" i="36"/>
  <c r="R1194" i="36"/>
  <c r="Q1194" i="36"/>
  <c r="P1194" i="36"/>
  <c r="O1194" i="36"/>
  <c r="N1194" i="36"/>
  <c r="M1194" i="36"/>
  <c r="L1194" i="36"/>
  <c r="K1194" i="36"/>
  <c r="J1194" i="36"/>
  <c r="I1194" i="36"/>
  <c r="H1194" i="36"/>
  <c r="G1194" i="36"/>
  <c r="F1194" i="36"/>
  <c r="E1194" i="36"/>
  <c r="D1194" i="36"/>
  <c r="C1194" i="36"/>
  <c r="B1194" i="36"/>
  <c r="R1193" i="36"/>
  <c r="Q1193" i="36"/>
  <c r="P1193" i="36"/>
  <c r="O1193" i="36"/>
  <c r="N1193" i="36"/>
  <c r="M1193" i="36"/>
  <c r="L1193" i="36"/>
  <c r="K1193" i="36"/>
  <c r="J1193" i="36"/>
  <c r="I1193" i="36"/>
  <c r="H1193" i="36"/>
  <c r="G1193" i="36"/>
  <c r="F1193" i="36"/>
  <c r="E1193" i="36"/>
  <c r="D1193" i="36"/>
  <c r="C1193" i="36"/>
  <c r="B1193" i="36"/>
  <c r="R1192" i="36"/>
  <c r="Q1192" i="36"/>
  <c r="P1192" i="36"/>
  <c r="O1192" i="36"/>
  <c r="N1192" i="36"/>
  <c r="M1192" i="36"/>
  <c r="L1192" i="36"/>
  <c r="K1192" i="36"/>
  <c r="J1192" i="36"/>
  <c r="I1192" i="36"/>
  <c r="H1192" i="36"/>
  <c r="G1192" i="36"/>
  <c r="F1192" i="36"/>
  <c r="E1192" i="36"/>
  <c r="D1192" i="36"/>
  <c r="C1192" i="36"/>
  <c r="B1192" i="36"/>
  <c r="R1191" i="36"/>
  <c r="Q1191" i="36"/>
  <c r="P1191" i="36"/>
  <c r="O1191" i="36"/>
  <c r="N1191" i="36"/>
  <c r="M1191" i="36"/>
  <c r="L1191" i="36"/>
  <c r="K1191" i="36"/>
  <c r="J1191" i="36"/>
  <c r="I1191" i="36"/>
  <c r="H1191" i="36"/>
  <c r="G1191" i="36"/>
  <c r="F1191" i="36"/>
  <c r="E1191" i="36"/>
  <c r="D1191" i="36"/>
  <c r="C1191" i="36"/>
  <c r="B1191" i="36"/>
  <c r="R1190" i="36"/>
  <c r="Q1190" i="36"/>
  <c r="P1190" i="36"/>
  <c r="O1190" i="36"/>
  <c r="N1190" i="36"/>
  <c r="M1190" i="36"/>
  <c r="L1190" i="36"/>
  <c r="K1190" i="36"/>
  <c r="J1190" i="36"/>
  <c r="I1190" i="36"/>
  <c r="H1190" i="36"/>
  <c r="G1190" i="36"/>
  <c r="F1190" i="36"/>
  <c r="E1190" i="36"/>
  <c r="D1190" i="36"/>
  <c r="C1190" i="36"/>
  <c r="B1190" i="36"/>
  <c r="R1189" i="36"/>
  <c r="Q1189" i="36"/>
  <c r="P1189" i="36"/>
  <c r="O1189" i="36"/>
  <c r="N1189" i="36"/>
  <c r="M1189" i="36"/>
  <c r="L1189" i="36"/>
  <c r="K1189" i="36"/>
  <c r="J1189" i="36"/>
  <c r="I1189" i="36"/>
  <c r="H1189" i="36"/>
  <c r="G1189" i="36"/>
  <c r="F1189" i="36"/>
  <c r="E1189" i="36"/>
  <c r="D1189" i="36"/>
  <c r="C1189" i="36"/>
  <c r="B1189" i="36"/>
  <c r="R1188" i="36"/>
  <c r="Q1188" i="36"/>
  <c r="P1188" i="36"/>
  <c r="O1188" i="36"/>
  <c r="N1188" i="36"/>
  <c r="M1188" i="36"/>
  <c r="L1188" i="36"/>
  <c r="K1188" i="36"/>
  <c r="J1188" i="36"/>
  <c r="I1188" i="36"/>
  <c r="H1188" i="36"/>
  <c r="G1188" i="36"/>
  <c r="F1188" i="36"/>
  <c r="E1188" i="36"/>
  <c r="D1188" i="36"/>
  <c r="C1188" i="36"/>
  <c r="B1188" i="36"/>
  <c r="R1187" i="36"/>
  <c r="Q1187" i="36"/>
  <c r="P1187" i="36"/>
  <c r="O1187" i="36"/>
  <c r="N1187" i="36"/>
  <c r="M1187" i="36"/>
  <c r="L1187" i="36"/>
  <c r="K1187" i="36"/>
  <c r="J1187" i="36"/>
  <c r="I1187" i="36"/>
  <c r="H1187" i="36"/>
  <c r="G1187" i="36"/>
  <c r="F1187" i="36"/>
  <c r="E1187" i="36"/>
  <c r="D1187" i="36"/>
  <c r="C1187" i="36"/>
  <c r="B1187" i="36"/>
  <c r="R1186" i="36"/>
  <c r="Q1186" i="36"/>
  <c r="P1186" i="36"/>
  <c r="O1186" i="36"/>
  <c r="N1186" i="36"/>
  <c r="M1186" i="36"/>
  <c r="L1186" i="36"/>
  <c r="K1186" i="36"/>
  <c r="J1186" i="36"/>
  <c r="I1186" i="36"/>
  <c r="H1186" i="36"/>
  <c r="G1186" i="36"/>
  <c r="F1186" i="36"/>
  <c r="E1186" i="36"/>
  <c r="D1186" i="36"/>
  <c r="C1186" i="36"/>
  <c r="B1186" i="36"/>
  <c r="R1185" i="36"/>
  <c r="Q1185" i="36"/>
  <c r="P1185" i="36"/>
  <c r="O1185" i="36"/>
  <c r="N1185" i="36"/>
  <c r="M1185" i="36"/>
  <c r="L1185" i="36"/>
  <c r="K1185" i="36"/>
  <c r="J1185" i="36"/>
  <c r="I1185" i="36"/>
  <c r="H1185" i="36"/>
  <c r="G1185" i="36"/>
  <c r="F1185" i="36"/>
  <c r="E1185" i="36"/>
  <c r="D1185" i="36"/>
  <c r="C1185" i="36"/>
  <c r="B1185" i="36"/>
  <c r="R1184" i="36"/>
  <c r="Q1184" i="36"/>
  <c r="P1184" i="36"/>
  <c r="O1184" i="36"/>
  <c r="N1184" i="36"/>
  <c r="M1184" i="36"/>
  <c r="L1184" i="36"/>
  <c r="K1184" i="36"/>
  <c r="J1184" i="36"/>
  <c r="I1184" i="36"/>
  <c r="H1184" i="36"/>
  <c r="G1184" i="36"/>
  <c r="F1184" i="36"/>
  <c r="E1184" i="36"/>
  <c r="D1184" i="36"/>
  <c r="C1184" i="36"/>
  <c r="B1184" i="36"/>
  <c r="R1183" i="36"/>
  <c r="Q1183" i="36"/>
  <c r="P1183" i="36"/>
  <c r="O1183" i="36"/>
  <c r="N1183" i="36"/>
  <c r="M1183" i="36"/>
  <c r="L1183" i="36"/>
  <c r="K1183" i="36"/>
  <c r="J1183" i="36"/>
  <c r="I1183" i="36"/>
  <c r="H1183" i="36"/>
  <c r="G1183" i="36"/>
  <c r="F1183" i="36"/>
  <c r="E1183" i="36"/>
  <c r="D1183" i="36"/>
  <c r="C1183" i="36"/>
  <c r="B1183" i="36"/>
  <c r="R1182" i="36"/>
  <c r="Q1182" i="36"/>
  <c r="P1182" i="36"/>
  <c r="O1182" i="36"/>
  <c r="N1182" i="36"/>
  <c r="M1182" i="36"/>
  <c r="L1182" i="36"/>
  <c r="K1182" i="36"/>
  <c r="J1182" i="36"/>
  <c r="I1182" i="36"/>
  <c r="H1182" i="36"/>
  <c r="G1182" i="36"/>
  <c r="F1182" i="36"/>
  <c r="E1182" i="36"/>
  <c r="D1182" i="36"/>
  <c r="C1182" i="36"/>
  <c r="B1182" i="36"/>
  <c r="R1181" i="36"/>
  <c r="Q1181" i="36"/>
  <c r="P1181" i="36"/>
  <c r="O1181" i="36"/>
  <c r="N1181" i="36"/>
  <c r="M1181" i="36"/>
  <c r="L1181" i="36"/>
  <c r="K1181" i="36"/>
  <c r="J1181" i="36"/>
  <c r="I1181" i="36"/>
  <c r="H1181" i="36"/>
  <c r="G1181" i="36"/>
  <c r="F1181" i="36"/>
  <c r="E1181" i="36"/>
  <c r="D1181" i="36"/>
  <c r="C1181" i="36"/>
  <c r="B1181" i="36"/>
  <c r="R1180" i="36"/>
  <c r="Q1180" i="36"/>
  <c r="P1180" i="36"/>
  <c r="O1180" i="36"/>
  <c r="N1180" i="36"/>
  <c r="M1180" i="36"/>
  <c r="L1180" i="36"/>
  <c r="K1180" i="36"/>
  <c r="J1180" i="36"/>
  <c r="I1180" i="36"/>
  <c r="H1180" i="36"/>
  <c r="G1180" i="36"/>
  <c r="F1180" i="36"/>
  <c r="E1180" i="36"/>
  <c r="D1180" i="36"/>
  <c r="C1180" i="36"/>
  <c r="B1180" i="36"/>
  <c r="R1179" i="36"/>
  <c r="Q1179" i="36"/>
  <c r="P1179" i="36"/>
  <c r="O1179" i="36"/>
  <c r="N1179" i="36"/>
  <c r="M1179" i="36"/>
  <c r="L1179" i="36"/>
  <c r="K1179" i="36"/>
  <c r="J1179" i="36"/>
  <c r="I1179" i="36"/>
  <c r="H1179" i="36"/>
  <c r="G1179" i="36"/>
  <c r="F1179" i="36"/>
  <c r="E1179" i="36"/>
  <c r="D1179" i="36"/>
  <c r="C1179" i="36"/>
  <c r="B1179" i="36"/>
  <c r="R1178" i="36"/>
  <c r="Q1178" i="36"/>
  <c r="P1178" i="36"/>
  <c r="O1178" i="36"/>
  <c r="N1178" i="36"/>
  <c r="M1178" i="36"/>
  <c r="L1178" i="36"/>
  <c r="K1178" i="36"/>
  <c r="J1178" i="36"/>
  <c r="I1178" i="36"/>
  <c r="H1178" i="36"/>
  <c r="G1178" i="36"/>
  <c r="F1178" i="36"/>
  <c r="E1178" i="36"/>
  <c r="D1178" i="36"/>
  <c r="C1178" i="36"/>
  <c r="B1178" i="36"/>
  <c r="R1177" i="36"/>
  <c r="Q1177" i="36"/>
  <c r="P1177" i="36"/>
  <c r="O1177" i="36"/>
  <c r="N1177" i="36"/>
  <c r="M1177" i="36"/>
  <c r="L1177" i="36"/>
  <c r="K1177" i="36"/>
  <c r="J1177" i="36"/>
  <c r="I1177" i="36"/>
  <c r="H1177" i="36"/>
  <c r="G1177" i="36"/>
  <c r="F1177" i="36"/>
  <c r="E1177" i="36"/>
  <c r="D1177" i="36"/>
  <c r="C1177" i="36"/>
  <c r="B1177" i="36"/>
  <c r="R1176" i="36"/>
  <c r="Q1176" i="36"/>
  <c r="P1176" i="36"/>
  <c r="O1176" i="36"/>
  <c r="N1176" i="36"/>
  <c r="M1176" i="36"/>
  <c r="L1176" i="36"/>
  <c r="K1176" i="36"/>
  <c r="J1176" i="36"/>
  <c r="I1176" i="36"/>
  <c r="H1176" i="36"/>
  <c r="G1176" i="36"/>
  <c r="F1176" i="36"/>
  <c r="E1176" i="36"/>
  <c r="D1176" i="36"/>
  <c r="C1176" i="36"/>
  <c r="B1176" i="36"/>
  <c r="R1175" i="36"/>
  <c r="Q1175" i="36"/>
  <c r="P1175" i="36"/>
  <c r="O1175" i="36"/>
  <c r="N1175" i="36"/>
  <c r="M1175" i="36"/>
  <c r="L1175" i="36"/>
  <c r="K1175" i="36"/>
  <c r="J1175" i="36"/>
  <c r="I1175" i="36"/>
  <c r="H1175" i="36"/>
  <c r="G1175" i="36"/>
  <c r="F1175" i="36"/>
  <c r="E1175" i="36"/>
  <c r="D1175" i="36"/>
  <c r="C1175" i="36"/>
  <c r="B1175" i="36"/>
  <c r="R1174" i="36"/>
  <c r="Q1174" i="36"/>
  <c r="P1174" i="36"/>
  <c r="O1174" i="36"/>
  <c r="N1174" i="36"/>
  <c r="M1174" i="36"/>
  <c r="L1174" i="36"/>
  <c r="K1174" i="36"/>
  <c r="J1174" i="36"/>
  <c r="I1174" i="36"/>
  <c r="H1174" i="36"/>
  <c r="G1174" i="36"/>
  <c r="F1174" i="36"/>
  <c r="E1174" i="36"/>
  <c r="D1174" i="36"/>
  <c r="C1174" i="36"/>
  <c r="B1174" i="36"/>
  <c r="R1173" i="36"/>
  <c r="Q1173" i="36"/>
  <c r="P1173" i="36"/>
  <c r="O1173" i="36"/>
  <c r="N1173" i="36"/>
  <c r="M1173" i="36"/>
  <c r="L1173" i="36"/>
  <c r="K1173" i="36"/>
  <c r="J1173" i="36"/>
  <c r="I1173" i="36"/>
  <c r="H1173" i="36"/>
  <c r="G1173" i="36"/>
  <c r="F1173" i="36"/>
  <c r="E1173" i="36"/>
  <c r="D1173" i="36"/>
  <c r="C1173" i="36"/>
  <c r="B1173" i="36"/>
  <c r="R1172" i="36"/>
  <c r="Q1172" i="36"/>
  <c r="P1172" i="36"/>
  <c r="O1172" i="36"/>
  <c r="N1172" i="36"/>
  <c r="M1172" i="36"/>
  <c r="L1172" i="36"/>
  <c r="K1172" i="36"/>
  <c r="J1172" i="36"/>
  <c r="I1172" i="36"/>
  <c r="H1172" i="36"/>
  <c r="G1172" i="36"/>
  <c r="F1172" i="36"/>
  <c r="E1172" i="36"/>
  <c r="D1172" i="36"/>
  <c r="C1172" i="36"/>
  <c r="B1172" i="36"/>
  <c r="R1171" i="36"/>
  <c r="Q1171" i="36"/>
  <c r="P1171" i="36"/>
  <c r="O1171" i="36"/>
  <c r="N1171" i="36"/>
  <c r="M1171" i="36"/>
  <c r="L1171" i="36"/>
  <c r="K1171" i="36"/>
  <c r="J1171" i="36"/>
  <c r="I1171" i="36"/>
  <c r="H1171" i="36"/>
  <c r="G1171" i="36"/>
  <c r="F1171" i="36"/>
  <c r="E1171" i="36"/>
  <c r="D1171" i="36"/>
  <c r="C1171" i="36"/>
  <c r="B1171" i="36"/>
  <c r="R1170" i="36"/>
  <c r="Q1170" i="36"/>
  <c r="P1170" i="36"/>
  <c r="O1170" i="36"/>
  <c r="N1170" i="36"/>
  <c r="M1170" i="36"/>
  <c r="L1170" i="36"/>
  <c r="K1170" i="36"/>
  <c r="J1170" i="36"/>
  <c r="I1170" i="36"/>
  <c r="H1170" i="36"/>
  <c r="G1170" i="36"/>
  <c r="F1170" i="36"/>
  <c r="E1170" i="36"/>
  <c r="D1170" i="36"/>
  <c r="C1170" i="36"/>
  <c r="B1170" i="36"/>
  <c r="R1169" i="36"/>
  <c r="Q1169" i="36"/>
  <c r="P1169" i="36"/>
  <c r="O1169" i="36"/>
  <c r="N1169" i="36"/>
  <c r="M1169" i="36"/>
  <c r="L1169" i="36"/>
  <c r="K1169" i="36"/>
  <c r="J1169" i="36"/>
  <c r="I1169" i="36"/>
  <c r="H1169" i="36"/>
  <c r="G1169" i="36"/>
  <c r="F1169" i="36"/>
  <c r="E1169" i="36"/>
  <c r="D1169" i="36"/>
  <c r="C1169" i="36"/>
  <c r="B1169" i="36"/>
  <c r="R1168" i="36"/>
  <c r="Q1168" i="36"/>
  <c r="P1168" i="36"/>
  <c r="O1168" i="36"/>
  <c r="N1168" i="36"/>
  <c r="M1168" i="36"/>
  <c r="L1168" i="36"/>
  <c r="K1168" i="36"/>
  <c r="J1168" i="36"/>
  <c r="I1168" i="36"/>
  <c r="H1168" i="36"/>
  <c r="G1168" i="36"/>
  <c r="F1168" i="36"/>
  <c r="E1168" i="36"/>
  <c r="D1168" i="36"/>
  <c r="C1168" i="36"/>
  <c r="B1168" i="36"/>
  <c r="R1167" i="36"/>
  <c r="Q1167" i="36"/>
  <c r="P1167" i="36"/>
  <c r="O1167" i="36"/>
  <c r="N1167" i="36"/>
  <c r="M1167" i="36"/>
  <c r="L1167" i="36"/>
  <c r="K1167" i="36"/>
  <c r="J1167" i="36"/>
  <c r="I1167" i="36"/>
  <c r="H1167" i="36"/>
  <c r="G1167" i="36"/>
  <c r="F1167" i="36"/>
  <c r="E1167" i="36"/>
  <c r="D1167" i="36"/>
  <c r="C1167" i="36"/>
  <c r="B1167" i="36"/>
  <c r="R1166" i="36"/>
  <c r="Q1166" i="36"/>
  <c r="P1166" i="36"/>
  <c r="O1166" i="36"/>
  <c r="N1166" i="36"/>
  <c r="M1166" i="36"/>
  <c r="L1166" i="36"/>
  <c r="K1166" i="36"/>
  <c r="J1166" i="36"/>
  <c r="I1166" i="36"/>
  <c r="H1166" i="36"/>
  <c r="G1166" i="36"/>
  <c r="F1166" i="36"/>
  <c r="E1166" i="36"/>
  <c r="D1166" i="36"/>
  <c r="C1166" i="36"/>
  <c r="B1166" i="36"/>
  <c r="R1165" i="36"/>
  <c r="Q1165" i="36"/>
  <c r="P1165" i="36"/>
  <c r="O1165" i="36"/>
  <c r="N1165" i="36"/>
  <c r="M1165" i="36"/>
  <c r="L1165" i="36"/>
  <c r="K1165" i="36"/>
  <c r="J1165" i="36"/>
  <c r="I1165" i="36"/>
  <c r="H1165" i="36"/>
  <c r="G1165" i="36"/>
  <c r="F1165" i="36"/>
  <c r="E1165" i="36"/>
  <c r="D1165" i="36"/>
  <c r="C1165" i="36"/>
  <c r="B1165" i="36"/>
  <c r="R1164" i="36"/>
  <c r="Q1164" i="36"/>
  <c r="P1164" i="36"/>
  <c r="O1164" i="36"/>
  <c r="N1164" i="36"/>
  <c r="M1164" i="36"/>
  <c r="L1164" i="36"/>
  <c r="K1164" i="36"/>
  <c r="J1164" i="36"/>
  <c r="I1164" i="36"/>
  <c r="H1164" i="36"/>
  <c r="G1164" i="36"/>
  <c r="F1164" i="36"/>
  <c r="E1164" i="36"/>
  <c r="D1164" i="36"/>
  <c r="C1164" i="36"/>
  <c r="B1164" i="36"/>
  <c r="R1163" i="36"/>
  <c r="Q1163" i="36"/>
  <c r="P1163" i="36"/>
  <c r="O1163" i="36"/>
  <c r="N1163" i="36"/>
  <c r="M1163" i="36"/>
  <c r="L1163" i="36"/>
  <c r="K1163" i="36"/>
  <c r="J1163" i="36"/>
  <c r="I1163" i="36"/>
  <c r="H1163" i="36"/>
  <c r="G1163" i="36"/>
  <c r="F1163" i="36"/>
  <c r="E1163" i="36"/>
  <c r="D1163" i="36"/>
  <c r="C1163" i="36"/>
  <c r="B1163" i="36"/>
  <c r="R1162" i="36"/>
  <c r="Q1162" i="36"/>
  <c r="P1162" i="36"/>
  <c r="O1162" i="36"/>
  <c r="N1162" i="36"/>
  <c r="M1162" i="36"/>
  <c r="L1162" i="36"/>
  <c r="K1162" i="36"/>
  <c r="J1162" i="36"/>
  <c r="I1162" i="36"/>
  <c r="H1162" i="36"/>
  <c r="G1162" i="36"/>
  <c r="F1162" i="36"/>
  <c r="E1162" i="36"/>
  <c r="D1162" i="36"/>
  <c r="C1162" i="36"/>
  <c r="B1162" i="36"/>
  <c r="R1161" i="36"/>
  <c r="Q1161" i="36"/>
  <c r="P1161" i="36"/>
  <c r="O1161" i="36"/>
  <c r="N1161" i="36"/>
  <c r="M1161" i="36"/>
  <c r="L1161" i="36"/>
  <c r="K1161" i="36"/>
  <c r="J1161" i="36"/>
  <c r="I1161" i="36"/>
  <c r="H1161" i="36"/>
  <c r="G1161" i="36"/>
  <c r="F1161" i="36"/>
  <c r="E1161" i="36"/>
  <c r="D1161" i="36"/>
  <c r="C1161" i="36"/>
  <c r="B1161" i="36"/>
  <c r="R1160" i="36"/>
  <c r="Q1160" i="36"/>
  <c r="P1160" i="36"/>
  <c r="O1160" i="36"/>
  <c r="N1160" i="36"/>
  <c r="M1160" i="36"/>
  <c r="L1160" i="36"/>
  <c r="K1160" i="36"/>
  <c r="J1160" i="36"/>
  <c r="I1160" i="36"/>
  <c r="H1160" i="36"/>
  <c r="G1160" i="36"/>
  <c r="F1160" i="36"/>
  <c r="E1160" i="36"/>
  <c r="D1160" i="36"/>
  <c r="C1160" i="36"/>
  <c r="B1160" i="36"/>
  <c r="R1159" i="36"/>
  <c r="Q1159" i="36"/>
  <c r="P1159" i="36"/>
  <c r="O1159" i="36"/>
  <c r="N1159" i="36"/>
  <c r="M1159" i="36"/>
  <c r="L1159" i="36"/>
  <c r="K1159" i="36"/>
  <c r="J1159" i="36"/>
  <c r="I1159" i="36"/>
  <c r="H1159" i="36"/>
  <c r="G1159" i="36"/>
  <c r="F1159" i="36"/>
  <c r="E1159" i="36"/>
  <c r="D1159" i="36"/>
  <c r="C1159" i="36"/>
  <c r="B1159" i="36"/>
  <c r="R1158" i="36"/>
  <c r="Q1158" i="36"/>
  <c r="P1158" i="36"/>
  <c r="O1158" i="36"/>
  <c r="N1158" i="36"/>
  <c r="M1158" i="36"/>
  <c r="L1158" i="36"/>
  <c r="K1158" i="36"/>
  <c r="J1158" i="36"/>
  <c r="I1158" i="36"/>
  <c r="H1158" i="36"/>
  <c r="G1158" i="36"/>
  <c r="F1158" i="36"/>
  <c r="E1158" i="36"/>
  <c r="D1158" i="36"/>
  <c r="C1158" i="36"/>
  <c r="B1158" i="36"/>
  <c r="R1157" i="36"/>
  <c r="Q1157" i="36"/>
  <c r="P1157" i="36"/>
  <c r="O1157" i="36"/>
  <c r="N1157" i="36"/>
  <c r="M1157" i="36"/>
  <c r="L1157" i="36"/>
  <c r="K1157" i="36"/>
  <c r="J1157" i="36"/>
  <c r="I1157" i="36"/>
  <c r="H1157" i="36"/>
  <c r="G1157" i="36"/>
  <c r="F1157" i="36"/>
  <c r="E1157" i="36"/>
  <c r="D1157" i="36"/>
  <c r="C1157" i="36"/>
  <c r="B1157" i="36"/>
  <c r="R1156" i="36"/>
  <c r="Q1156" i="36"/>
  <c r="P1156" i="36"/>
  <c r="O1156" i="36"/>
  <c r="N1156" i="36"/>
  <c r="M1156" i="36"/>
  <c r="L1156" i="36"/>
  <c r="K1156" i="36"/>
  <c r="J1156" i="36"/>
  <c r="I1156" i="36"/>
  <c r="H1156" i="36"/>
  <c r="G1156" i="36"/>
  <c r="F1156" i="36"/>
  <c r="E1156" i="36"/>
  <c r="D1156" i="36"/>
  <c r="C1156" i="36"/>
  <c r="B1156" i="36"/>
  <c r="R1155" i="36"/>
  <c r="Q1155" i="36"/>
  <c r="P1155" i="36"/>
  <c r="O1155" i="36"/>
  <c r="N1155" i="36"/>
  <c r="M1155" i="36"/>
  <c r="L1155" i="36"/>
  <c r="K1155" i="36"/>
  <c r="J1155" i="36"/>
  <c r="I1155" i="36"/>
  <c r="H1155" i="36"/>
  <c r="G1155" i="36"/>
  <c r="F1155" i="36"/>
  <c r="E1155" i="36"/>
  <c r="D1155" i="36"/>
  <c r="C1155" i="36"/>
  <c r="B1155" i="36"/>
  <c r="R1154" i="36"/>
  <c r="Q1154" i="36"/>
  <c r="P1154" i="36"/>
  <c r="O1154" i="36"/>
  <c r="N1154" i="36"/>
  <c r="M1154" i="36"/>
  <c r="L1154" i="36"/>
  <c r="K1154" i="36"/>
  <c r="J1154" i="36"/>
  <c r="I1154" i="36"/>
  <c r="H1154" i="36"/>
  <c r="G1154" i="36"/>
  <c r="F1154" i="36"/>
  <c r="E1154" i="36"/>
  <c r="D1154" i="36"/>
  <c r="C1154" i="36"/>
  <c r="B1154" i="36"/>
  <c r="R1153" i="36"/>
  <c r="Q1153" i="36"/>
  <c r="P1153" i="36"/>
  <c r="O1153" i="36"/>
  <c r="N1153" i="36"/>
  <c r="M1153" i="36"/>
  <c r="L1153" i="36"/>
  <c r="K1153" i="36"/>
  <c r="J1153" i="36"/>
  <c r="I1153" i="36"/>
  <c r="H1153" i="36"/>
  <c r="G1153" i="36"/>
  <c r="F1153" i="36"/>
  <c r="E1153" i="36"/>
  <c r="D1153" i="36"/>
  <c r="C1153" i="36"/>
  <c r="B1153" i="36"/>
  <c r="R1152" i="36"/>
  <c r="Q1152" i="36"/>
  <c r="P1152" i="36"/>
  <c r="O1152" i="36"/>
  <c r="N1152" i="36"/>
  <c r="M1152" i="36"/>
  <c r="L1152" i="36"/>
  <c r="K1152" i="36"/>
  <c r="J1152" i="36"/>
  <c r="I1152" i="36"/>
  <c r="H1152" i="36"/>
  <c r="G1152" i="36"/>
  <c r="F1152" i="36"/>
  <c r="E1152" i="36"/>
  <c r="D1152" i="36"/>
  <c r="C1152" i="36"/>
  <c r="B1152" i="36"/>
  <c r="R1151" i="36"/>
  <c r="Q1151" i="36"/>
  <c r="P1151" i="36"/>
  <c r="O1151" i="36"/>
  <c r="N1151" i="36"/>
  <c r="M1151" i="36"/>
  <c r="L1151" i="36"/>
  <c r="K1151" i="36"/>
  <c r="J1151" i="36"/>
  <c r="I1151" i="36"/>
  <c r="H1151" i="36"/>
  <c r="G1151" i="36"/>
  <c r="F1151" i="36"/>
  <c r="E1151" i="36"/>
  <c r="D1151" i="36"/>
  <c r="C1151" i="36"/>
  <c r="B1151" i="36"/>
  <c r="R1150" i="36"/>
  <c r="Q1150" i="36"/>
  <c r="P1150" i="36"/>
  <c r="O1150" i="36"/>
  <c r="N1150" i="36"/>
  <c r="M1150" i="36"/>
  <c r="L1150" i="36"/>
  <c r="K1150" i="36"/>
  <c r="J1150" i="36"/>
  <c r="I1150" i="36"/>
  <c r="H1150" i="36"/>
  <c r="G1150" i="36"/>
  <c r="F1150" i="36"/>
  <c r="E1150" i="36"/>
  <c r="D1150" i="36"/>
  <c r="C1150" i="36"/>
  <c r="B1150" i="36"/>
  <c r="R1149" i="36"/>
  <c r="Q1149" i="36"/>
  <c r="P1149" i="36"/>
  <c r="O1149" i="36"/>
  <c r="N1149" i="36"/>
  <c r="M1149" i="36"/>
  <c r="L1149" i="36"/>
  <c r="K1149" i="36"/>
  <c r="J1149" i="36"/>
  <c r="I1149" i="36"/>
  <c r="H1149" i="36"/>
  <c r="G1149" i="36"/>
  <c r="F1149" i="36"/>
  <c r="E1149" i="36"/>
  <c r="D1149" i="36"/>
  <c r="C1149" i="36"/>
  <c r="B1149" i="36"/>
  <c r="R1148" i="36"/>
  <c r="Q1148" i="36"/>
  <c r="P1148" i="36"/>
  <c r="O1148" i="36"/>
  <c r="N1148" i="36"/>
  <c r="M1148" i="36"/>
  <c r="L1148" i="36"/>
  <c r="K1148" i="36"/>
  <c r="J1148" i="36"/>
  <c r="I1148" i="36"/>
  <c r="H1148" i="36"/>
  <c r="G1148" i="36"/>
  <c r="F1148" i="36"/>
  <c r="E1148" i="36"/>
  <c r="D1148" i="36"/>
  <c r="C1148" i="36"/>
  <c r="B1148" i="36"/>
  <c r="R1147" i="36"/>
  <c r="Q1147" i="36"/>
  <c r="P1147" i="36"/>
  <c r="O1147" i="36"/>
  <c r="N1147" i="36"/>
  <c r="M1147" i="36"/>
  <c r="L1147" i="36"/>
  <c r="K1147" i="36"/>
  <c r="J1147" i="36"/>
  <c r="I1147" i="36"/>
  <c r="H1147" i="36"/>
  <c r="G1147" i="36"/>
  <c r="F1147" i="36"/>
  <c r="E1147" i="36"/>
  <c r="D1147" i="36"/>
  <c r="C1147" i="36"/>
  <c r="B1147" i="36"/>
  <c r="R1146" i="36"/>
  <c r="Q1146" i="36"/>
  <c r="P1146" i="36"/>
  <c r="O1146" i="36"/>
  <c r="N1146" i="36"/>
  <c r="M1146" i="36"/>
  <c r="L1146" i="36"/>
  <c r="K1146" i="36"/>
  <c r="J1146" i="36"/>
  <c r="I1146" i="36"/>
  <c r="H1146" i="36"/>
  <c r="G1146" i="36"/>
  <c r="F1146" i="36"/>
  <c r="E1146" i="36"/>
  <c r="D1146" i="36"/>
  <c r="C1146" i="36"/>
  <c r="B1146" i="36"/>
  <c r="R1145" i="36"/>
  <c r="Q1145" i="36"/>
  <c r="P1145" i="36"/>
  <c r="O1145" i="36"/>
  <c r="N1145" i="36"/>
  <c r="M1145" i="36"/>
  <c r="L1145" i="36"/>
  <c r="K1145" i="36"/>
  <c r="J1145" i="36"/>
  <c r="I1145" i="36"/>
  <c r="H1145" i="36"/>
  <c r="G1145" i="36"/>
  <c r="F1145" i="36"/>
  <c r="E1145" i="36"/>
  <c r="D1145" i="36"/>
  <c r="C1145" i="36"/>
  <c r="B1145" i="36"/>
  <c r="R1144" i="36"/>
  <c r="Q1144" i="36"/>
  <c r="P1144" i="36"/>
  <c r="O1144" i="36"/>
  <c r="N1144" i="36"/>
  <c r="M1144" i="36"/>
  <c r="L1144" i="36"/>
  <c r="K1144" i="36"/>
  <c r="J1144" i="36"/>
  <c r="I1144" i="36"/>
  <c r="H1144" i="36"/>
  <c r="G1144" i="36"/>
  <c r="F1144" i="36"/>
  <c r="E1144" i="36"/>
  <c r="D1144" i="36"/>
  <c r="C1144" i="36"/>
  <c r="B1144" i="36"/>
  <c r="R1143" i="36"/>
  <c r="Q1143" i="36"/>
  <c r="P1143" i="36"/>
  <c r="O1143" i="36"/>
  <c r="N1143" i="36"/>
  <c r="M1143" i="36"/>
  <c r="L1143" i="36"/>
  <c r="K1143" i="36"/>
  <c r="J1143" i="36"/>
  <c r="I1143" i="36"/>
  <c r="H1143" i="36"/>
  <c r="G1143" i="36"/>
  <c r="F1143" i="36"/>
  <c r="E1143" i="36"/>
  <c r="D1143" i="36"/>
  <c r="C1143" i="36"/>
  <c r="B1143" i="36"/>
  <c r="R1142" i="36"/>
  <c r="Q1142" i="36"/>
  <c r="P1142" i="36"/>
  <c r="O1142" i="36"/>
  <c r="N1142" i="36"/>
  <c r="M1142" i="36"/>
  <c r="L1142" i="36"/>
  <c r="K1142" i="36"/>
  <c r="J1142" i="36"/>
  <c r="I1142" i="36"/>
  <c r="H1142" i="36"/>
  <c r="G1142" i="36"/>
  <c r="F1142" i="36"/>
  <c r="E1142" i="36"/>
  <c r="D1142" i="36"/>
  <c r="C1142" i="36"/>
  <c r="B1142" i="36"/>
  <c r="R1141" i="36"/>
  <c r="Q1141" i="36"/>
  <c r="P1141" i="36"/>
  <c r="O1141" i="36"/>
  <c r="N1141" i="36"/>
  <c r="M1141" i="36"/>
  <c r="L1141" i="36"/>
  <c r="K1141" i="36"/>
  <c r="J1141" i="36"/>
  <c r="I1141" i="36"/>
  <c r="H1141" i="36"/>
  <c r="G1141" i="36"/>
  <c r="F1141" i="36"/>
  <c r="E1141" i="36"/>
  <c r="D1141" i="36"/>
  <c r="C1141" i="36"/>
  <c r="B1141" i="36"/>
  <c r="R1140" i="36"/>
  <c r="Q1140" i="36"/>
  <c r="P1140" i="36"/>
  <c r="O1140" i="36"/>
  <c r="N1140" i="36"/>
  <c r="M1140" i="36"/>
  <c r="L1140" i="36"/>
  <c r="K1140" i="36"/>
  <c r="J1140" i="36"/>
  <c r="I1140" i="36"/>
  <c r="H1140" i="36"/>
  <c r="G1140" i="36"/>
  <c r="F1140" i="36"/>
  <c r="E1140" i="36"/>
  <c r="D1140" i="36"/>
  <c r="C1140" i="36"/>
  <c r="B1140" i="36"/>
  <c r="R1139" i="36"/>
  <c r="Q1139" i="36"/>
  <c r="P1139" i="36"/>
  <c r="O1139" i="36"/>
  <c r="N1139" i="36"/>
  <c r="M1139" i="36"/>
  <c r="L1139" i="36"/>
  <c r="K1139" i="36"/>
  <c r="J1139" i="36"/>
  <c r="I1139" i="36"/>
  <c r="H1139" i="36"/>
  <c r="G1139" i="36"/>
  <c r="F1139" i="36"/>
  <c r="E1139" i="36"/>
  <c r="D1139" i="36"/>
  <c r="C1139" i="36"/>
  <c r="B1139" i="36"/>
  <c r="R1138" i="36"/>
  <c r="Q1138" i="36"/>
  <c r="P1138" i="36"/>
  <c r="O1138" i="36"/>
  <c r="N1138" i="36"/>
  <c r="M1138" i="36"/>
  <c r="L1138" i="36"/>
  <c r="K1138" i="36"/>
  <c r="J1138" i="36"/>
  <c r="I1138" i="36"/>
  <c r="H1138" i="36"/>
  <c r="G1138" i="36"/>
  <c r="F1138" i="36"/>
  <c r="E1138" i="36"/>
  <c r="D1138" i="36"/>
  <c r="C1138" i="36"/>
  <c r="B1138" i="36"/>
  <c r="R1137" i="36"/>
  <c r="Q1137" i="36"/>
  <c r="P1137" i="36"/>
  <c r="O1137" i="36"/>
  <c r="N1137" i="36"/>
  <c r="M1137" i="36"/>
  <c r="L1137" i="36"/>
  <c r="K1137" i="36"/>
  <c r="J1137" i="36"/>
  <c r="I1137" i="36"/>
  <c r="H1137" i="36"/>
  <c r="G1137" i="36"/>
  <c r="F1137" i="36"/>
  <c r="E1137" i="36"/>
  <c r="D1137" i="36"/>
  <c r="C1137" i="36"/>
  <c r="B1137" i="36"/>
  <c r="R1136" i="36"/>
  <c r="Q1136" i="36"/>
  <c r="P1136" i="36"/>
  <c r="O1136" i="36"/>
  <c r="N1136" i="36"/>
  <c r="M1136" i="36"/>
  <c r="L1136" i="36"/>
  <c r="K1136" i="36"/>
  <c r="J1136" i="36"/>
  <c r="I1136" i="36"/>
  <c r="H1136" i="36"/>
  <c r="G1136" i="36"/>
  <c r="F1136" i="36"/>
  <c r="E1136" i="36"/>
  <c r="D1136" i="36"/>
  <c r="C1136" i="36"/>
  <c r="B1136" i="36"/>
  <c r="R1135" i="36"/>
  <c r="Q1135" i="36"/>
  <c r="P1135" i="36"/>
  <c r="O1135" i="36"/>
  <c r="N1135" i="36"/>
  <c r="M1135" i="36"/>
  <c r="L1135" i="36"/>
  <c r="K1135" i="36"/>
  <c r="J1135" i="36"/>
  <c r="I1135" i="36"/>
  <c r="H1135" i="36"/>
  <c r="G1135" i="36"/>
  <c r="F1135" i="36"/>
  <c r="E1135" i="36"/>
  <c r="D1135" i="36"/>
  <c r="C1135" i="36"/>
  <c r="B1135" i="36"/>
  <c r="R1134" i="36"/>
  <c r="Q1134" i="36"/>
  <c r="P1134" i="36"/>
  <c r="O1134" i="36"/>
  <c r="N1134" i="36"/>
  <c r="M1134" i="36"/>
  <c r="L1134" i="36"/>
  <c r="K1134" i="36"/>
  <c r="J1134" i="36"/>
  <c r="I1134" i="36"/>
  <c r="H1134" i="36"/>
  <c r="G1134" i="36"/>
  <c r="F1134" i="36"/>
  <c r="E1134" i="36"/>
  <c r="D1134" i="36"/>
  <c r="C1134" i="36"/>
  <c r="B1134" i="36"/>
  <c r="R1133" i="36"/>
  <c r="Q1133" i="36"/>
  <c r="P1133" i="36"/>
  <c r="O1133" i="36"/>
  <c r="N1133" i="36"/>
  <c r="M1133" i="36"/>
  <c r="L1133" i="36"/>
  <c r="K1133" i="36"/>
  <c r="J1133" i="36"/>
  <c r="I1133" i="36"/>
  <c r="H1133" i="36"/>
  <c r="G1133" i="36"/>
  <c r="F1133" i="36"/>
  <c r="E1133" i="36"/>
  <c r="D1133" i="36"/>
  <c r="C1133" i="36"/>
  <c r="B1133" i="36"/>
  <c r="R1132" i="36"/>
  <c r="Q1132" i="36"/>
  <c r="P1132" i="36"/>
  <c r="O1132" i="36"/>
  <c r="N1132" i="36"/>
  <c r="M1132" i="36"/>
  <c r="L1132" i="36"/>
  <c r="K1132" i="36"/>
  <c r="J1132" i="36"/>
  <c r="I1132" i="36"/>
  <c r="H1132" i="36"/>
  <c r="G1132" i="36"/>
  <c r="F1132" i="36"/>
  <c r="E1132" i="36"/>
  <c r="D1132" i="36"/>
  <c r="C1132" i="36"/>
  <c r="B1132" i="36"/>
  <c r="R1131" i="36"/>
  <c r="Q1131" i="36"/>
  <c r="P1131" i="36"/>
  <c r="O1131" i="36"/>
  <c r="N1131" i="36"/>
  <c r="M1131" i="36"/>
  <c r="L1131" i="36"/>
  <c r="K1131" i="36"/>
  <c r="J1131" i="36"/>
  <c r="I1131" i="36"/>
  <c r="H1131" i="36"/>
  <c r="G1131" i="36"/>
  <c r="F1131" i="36"/>
  <c r="E1131" i="36"/>
  <c r="D1131" i="36"/>
  <c r="C1131" i="36"/>
  <c r="B1131" i="36"/>
  <c r="R1130" i="36"/>
  <c r="Q1130" i="36"/>
  <c r="P1130" i="36"/>
  <c r="O1130" i="36"/>
  <c r="N1130" i="36"/>
  <c r="M1130" i="36"/>
  <c r="L1130" i="36"/>
  <c r="K1130" i="36"/>
  <c r="J1130" i="36"/>
  <c r="I1130" i="36"/>
  <c r="H1130" i="36"/>
  <c r="G1130" i="36"/>
  <c r="F1130" i="36"/>
  <c r="E1130" i="36"/>
  <c r="D1130" i="36"/>
  <c r="C1130" i="36"/>
  <c r="B1130" i="36"/>
  <c r="R1129" i="36"/>
  <c r="Q1129" i="36"/>
  <c r="P1129" i="36"/>
  <c r="O1129" i="36"/>
  <c r="N1129" i="36"/>
  <c r="M1129" i="36"/>
  <c r="L1129" i="36"/>
  <c r="K1129" i="36"/>
  <c r="J1129" i="36"/>
  <c r="I1129" i="36"/>
  <c r="H1129" i="36"/>
  <c r="G1129" i="36"/>
  <c r="F1129" i="36"/>
  <c r="E1129" i="36"/>
  <c r="D1129" i="36"/>
  <c r="C1129" i="36"/>
  <c r="B1129" i="36"/>
  <c r="R1128" i="36"/>
  <c r="Q1128" i="36"/>
  <c r="P1128" i="36"/>
  <c r="O1128" i="36"/>
  <c r="N1128" i="36"/>
  <c r="M1128" i="36"/>
  <c r="L1128" i="36"/>
  <c r="K1128" i="36"/>
  <c r="J1128" i="36"/>
  <c r="I1128" i="36"/>
  <c r="H1128" i="36"/>
  <c r="G1128" i="36"/>
  <c r="F1128" i="36"/>
  <c r="E1128" i="36"/>
  <c r="D1128" i="36"/>
  <c r="C1128" i="36"/>
  <c r="B1128" i="36"/>
  <c r="R1127" i="36"/>
  <c r="Q1127" i="36"/>
  <c r="P1127" i="36"/>
  <c r="O1127" i="36"/>
  <c r="N1127" i="36"/>
  <c r="M1127" i="36"/>
  <c r="L1127" i="36"/>
  <c r="K1127" i="36"/>
  <c r="J1127" i="36"/>
  <c r="I1127" i="36"/>
  <c r="H1127" i="36"/>
  <c r="G1127" i="36"/>
  <c r="F1127" i="36"/>
  <c r="E1127" i="36"/>
  <c r="D1127" i="36"/>
  <c r="C1127" i="36"/>
  <c r="B1127" i="36"/>
  <c r="R1126" i="36"/>
  <c r="Q1126" i="36"/>
  <c r="P1126" i="36"/>
  <c r="O1126" i="36"/>
  <c r="N1126" i="36"/>
  <c r="M1126" i="36"/>
  <c r="L1126" i="36"/>
  <c r="K1126" i="36"/>
  <c r="J1126" i="36"/>
  <c r="I1126" i="36"/>
  <c r="H1126" i="36"/>
  <c r="G1126" i="36"/>
  <c r="F1126" i="36"/>
  <c r="E1126" i="36"/>
  <c r="D1126" i="36"/>
  <c r="C1126" i="36"/>
  <c r="B1126" i="36"/>
  <c r="R1125" i="36"/>
  <c r="Q1125" i="36"/>
  <c r="P1125" i="36"/>
  <c r="O1125" i="36"/>
  <c r="N1125" i="36"/>
  <c r="M1125" i="36"/>
  <c r="L1125" i="36"/>
  <c r="K1125" i="36"/>
  <c r="J1125" i="36"/>
  <c r="I1125" i="36"/>
  <c r="H1125" i="36"/>
  <c r="G1125" i="36"/>
  <c r="F1125" i="36"/>
  <c r="E1125" i="36"/>
  <c r="D1125" i="36"/>
  <c r="C1125" i="36"/>
  <c r="B1125" i="36"/>
  <c r="R1124" i="36"/>
  <c r="Q1124" i="36"/>
  <c r="P1124" i="36"/>
  <c r="O1124" i="36"/>
  <c r="N1124" i="36"/>
  <c r="M1124" i="36"/>
  <c r="L1124" i="36"/>
  <c r="K1124" i="36"/>
  <c r="J1124" i="36"/>
  <c r="I1124" i="36"/>
  <c r="H1124" i="36"/>
  <c r="G1124" i="36"/>
  <c r="F1124" i="36"/>
  <c r="E1124" i="36"/>
  <c r="D1124" i="36"/>
  <c r="C1124" i="36"/>
  <c r="B1124" i="36"/>
  <c r="R1123" i="36"/>
  <c r="Q1123" i="36"/>
  <c r="P1123" i="36"/>
  <c r="O1123" i="36"/>
  <c r="N1123" i="36"/>
  <c r="M1123" i="36"/>
  <c r="L1123" i="36"/>
  <c r="K1123" i="36"/>
  <c r="J1123" i="36"/>
  <c r="I1123" i="36"/>
  <c r="H1123" i="36"/>
  <c r="G1123" i="36"/>
  <c r="F1123" i="36"/>
  <c r="E1123" i="36"/>
  <c r="D1123" i="36"/>
  <c r="C1123" i="36"/>
  <c r="B1123" i="36"/>
  <c r="R1122" i="36"/>
  <c r="Q1122" i="36"/>
  <c r="P1122" i="36"/>
  <c r="O1122" i="36"/>
  <c r="N1122" i="36"/>
  <c r="M1122" i="36"/>
  <c r="L1122" i="36"/>
  <c r="K1122" i="36"/>
  <c r="J1122" i="36"/>
  <c r="I1122" i="36"/>
  <c r="H1122" i="36"/>
  <c r="G1122" i="36"/>
  <c r="F1122" i="36"/>
  <c r="E1122" i="36"/>
  <c r="D1122" i="36"/>
  <c r="C1122" i="36"/>
  <c r="B1122" i="36"/>
  <c r="R1121" i="36"/>
  <c r="Q1121" i="36"/>
  <c r="P1121" i="36"/>
  <c r="O1121" i="36"/>
  <c r="N1121" i="36"/>
  <c r="M1121" i="36"/>
  <c r="L1121" i="36"/>
  <c r="K1121" i="36"/>
  <c r="J1121" i="36"/>
  <c r="I1121" i="36"/>
  <c r="H1121" i="36"/>
  <c r="G1121" i="36"/>
  <c r="F1121" i="36"/>
  <c r="E1121" i="36"/>
  <c r="D1121" i="36"/>
  <c r="C1121" i="36"/>
  <c r="B1121" i="36"/>
  <c r="R1120" i="36"/>
  <c r="Q1120" i="36"/>
  <c r="P1120" i="36"/>
  <c r="O1120" i="36"/>
  <c r="N1120" i="36"/>
  <c r="M1120" i="36"/>
  <c r="L1120" i="36"/>
  <c r="K1120" i="36"/>
  <c r="J1120" i="36"/>
  <c r="I1120" i="36"/>
  <c r="H1120" i="36"/>
  <c r="G1120" i="36"/>
  <c r="F1120" i="36"/>
  <c r="E1120" i="36"/>
  <c r="D1120" i="36"/>
  <c r="C1120" i="36"/>
  <c r="B1120" i="36"/>
  <c r="R1119" i="36"/>
  <c r="Q1119" i="36"/>
  <c r="P1119" i="36"/>
  <c r="O1119" i="36"/>
  <c r="N1119" i="36"/>
  <c r="M1119" i="36"/>
  <c r="L1119" i="36"/>
  <c r="K1119" i="36"/>
  <c r="J1119" i="36"/>
  <c r="I1119" i="36"/>
  <c r="H1119" i="36"/>
  <c r="G1119" i="36"/>
  <c r="F1119" i="36"/>
  <c r="E1119" i="36"/>
  <c r="D1119" i="36"/>
  <c r="C1119" i="36"/>
  <c r="B1119" i="36"/>
  <c r="R1118" i="36"/>
  <c r="Q1118" i="36"/>
  <c r="P1118" i="36"/>
  <c r="O1118" i="36"/>
  <c r="N1118" i="36"/>
  <c r="M1118" i="36"/>
  <c r="L1118" i="36"/>
  <c r="K1118" i="36"/>
  <c r="J1118" i="36"/>
  <c r="I1118" i="36"/>
  <c r="H1118" i="36"/>
  <c r="G1118" i="36"/>
  <c r="F1118" i="36"/>
  <c r="E1118" i="36"/>
  <c r="D1118" i="36"/>
  <c r="C1118" i="36"/>
  <c r="B1118" i="36"/>
  <c r="R1117" i="36"/>
  <c r="Q1117" i="36"/>
  <c r="P1117" i="36"/>
  <c r="O1117" i="36"/>
  <c r="N1117" i="36"/>
  <c r="M1117" i="36"/>
  <c r="L1117" i="36"/>
  <c r="K1117" i="36"/>
  <c r="J1117" i="36"/>
  <c r="I1117" i="36"/>
  <c r="H1117" i="36"/>
  <c r="G1117" i="36"/>
  <c r="F1117" i="36"/>
  <c r="E1117" i="36"/>
  <c r="D1117" i="36"/>
  <c r="C1117" i="36"/>
  <c r="B1117" i="36"/>
  <c r="R1116" i="36"/>
  <c r="Q1116" i="36"/>
  <c r="P1116" i="36"/>
  <c r="O1116" i="36"/>
  <c r="N1116" i="36"/>
  <c r="M1116" i="36"/>
  <c r="L1116" i="36"/>
  <c r="K1116" i="36"/>
  <c r="J1116" i="36"/>
  <c r="I1116" i="36"/>
  <c r="H1116" i="36"/>
  <c r="G1116" i="36"/>
  <c r="F1116" i="36"/>
  <c r="E1116" i="36"/>
  <c r="D1116" i="36"/>
  <c r="C1116" i="36"/>
  <c r="B1116" i="36"/>
  <c r="R1115" i="36"/>
  <c r="Q1115" i="36"/>
  <c r="P1115" i="36"/>
  <c r="O1115" i="36"/>
  <c r="N1115" i="36"/>
  <c r="M1115" i="36"/>
  <c r="L1115" i="36"/>
  <c r="K1115" i="36"/>
  <c r="J1115" i="36"/>
  <c r="I1115" i="36"/>
  <c r="H1115" i="36"/>
  <c r="G1115" i="36"/>
  <c r="F1115" i="36"/>
  <c r="E1115" i="36"/>
  <c r="D1115" i="36"/>
  <c r="C1115" i="36"/>
  <c r="B1115" i="36"/>
  <c r="R1114" i="36"/>
  <c r="Q1114" i="36"/>
  <c r="P1114" i="36"/>
  <c r="O1114" i="36"/>
  <c r="N1114" i="36"/>
  <c r="M1114" i="36"/>
  <c r="L1114" i="36"/>
  <c r="K1114" i="36"/>
  <c r="J1114" i="36"/>
  <c r="I1114" i="36"/>
  <c r="H1114" i="36"/>
  <c r="G1114" i="36"/>
  <c r="F1114" i="36"/>
  <c r="E1114" i="36"/>
  <c r="D1114" i="36"/>
  <c r="C1114" i="36"/>
  <c r="B1114" i="36"/>
  <c r="R1113" i="36"/>
  <c r="Q1113" i="36"/>
  <c r="P1113" i="36"/>
  <c r="O1113" i="36"/>
  <c r="N1113" i="36"/>
  <c r="M1113" i="36"/>
  <c r="L1113" i="36"/>
  <c r="K1113" i="36"/>
  <c r="J1113" i="36"/>
  <c r="I1113" i="36"/>
  <c r="H1113" i="36"/>
  <c r="G1113" i="36"/>
  <c r="F1113" i="36"/>
  <c r="E1113" i="36"/>
  <c r="D1113" i="36"/>
  <c r="C1113" i="36"/>
  <c r="B1113" i="36"/>
  <c r="R1112" i="36"/>
  <c r="Q1112" i="36"/>
  <c r="P1112" i="36"/>
  <c r="O1112" i="36"/>
  <c r="N1112" i="36"/>
  <c r="M1112" i="36"/>
  <c r="L1112" i="36"/>
  <c r="K1112" i="36"/>
  <c r="J1112" i="36"/>
  <c r="I1112" i="36"/>
  <c r="H1112" i="36"/>
  <c r="G1112" i="36"/>
  <c r="F1112" i="36"/>
  <c r="E1112" i="36"/>
  <c r="D1112" i="36"/>
  <c r="C1112" i="36"/>
  <c r="B1112" i="36"/>
  <c r="R1111" i="36"/>
  <c r="Q1111" i="36"/>
  <c r="P1111" i="36"/>
  <c r="O1111" i="36"/>
  <c r="N1111" i="36"/>
  <c r="M1111" i="36"/>
  <c r="L1111" i="36"/>
  <c r="K1111" i="36"/>
  <c r="J1111" i="36"/>
  <c r="I1111" i="36"/>
  <c r="H1111" i="36"/>
  <c r="G1111" i="36"/>
  <c r="F1111" i="36"/>
  <c r="E1111" i="36"/>
  <c r="D1111" i="36"/>
  <c r="C1111" i="36"/>
  <c r="B1111" i="36"/>
  <c r="R1110" i="36"/>
  <c r="Q1110" i="36"/>
  <c r="P1110" i="36"/>
  <c r="O1110" i="36"/>
  <c r="N1110" i="36"/>
  <c r="M1110" i="36"/>
  <c r="L1110" i="36"/>
  <c r="K1110" i="36"/>
  <c r="J1110" i="36"/>
  <c r="I1110" i="36"/>
  <c r="H1110" i="36"/>
  <c r="G1110" i="36"/>
  <c r="F1110" i="36"/>
  <c r="E1110" i="36"/>
  <c r="D1110" i="36"/>
  <c r="C1110" i="36"/>
  <c r="B1110" i="36"/>
  <c r="R1109" i="36"/>
  <c r="Q1109" i="36"/>
  <c r="P1109" i="36"/>
  <c r="O1109" i="36"/>
  <c r="N1109" i="36"/>
  <c r="M1109" i="36"/>
  <c r="L1109" i="36"/>
  <c r="K1109" i="36"/>
  <c r="J1109" i="36"/>
  <c r="I1109" i="36"/>
  <c r="H1109" i="36"/>
  <c r="G1109" i="36"/>
  <c r="F1109" i="36"/>
  <c r="E1109" i="36"/>
  <c r="D1109" i="36"/>
  <c r="C1109" i="36"/>
  <c r="B1109" i="36"/>
  <c r="R1108" i="36"/>
  <c r="Q1108" i="36"/>
  <c r="P1108" i="36"/>
  <c r="O1108" i="36"/>
  <c r="N1108" i="36"/>
  <c r="M1108" i="36"/>
  <c r="L1108" i="36"/>
  <c r="K1108" i="36"/>
  <c r="J1108" i="36"/>
  <c r="I1108" i="36"/>
  <c r="H1108" i="36"/>
  <c r="G1108" i="36"/>
  <c r="F1108" i="36"/>
  <c r="E1108" i="36"/>
  <c r="D1108" i="36"/>
  <c r="C1108" i="36"/>
  <c r="B1108" i="36"/>
  <c r="R1107" i="36"/>
  <c r="Q1107" i="36"/>
  <c r="P1107" i="36"/>
  <c r="O1107" i="36"/>
  <c r="N1107" i="36"/>
  <c r="M1107" i="36"/>
  <c r="L1107" i="36"/>
  <c r="K1107" i="36"/>
  <c r="J1107" i="36"/>
  <c r="I1107" i="36"/>
  <c r="H1107" i="36"/>
  <c r="G1107" i="36"/>
  <c r="F1107" i="36"/>
  <c r="E1107" i="36"/>
  <c r="D1107" i="36"/>
  <c r="C1107" i="36"/>
  <c r="B1107" i="36"/>
  <c r="R1106" i="36"/>
  <c r="Q1106" i="36"/>
  <c r="P1106" i="36"/>
  <c r="O1106" i="36"/>
  <c r="N1106" i="36"/>
  <c r="M1106" i="36"/>
  <c r="L1106" i="36"/>
  <c r="K1106" i="36"/>
  <c r="J1106" i="36"/>
  <c r="I1106" i="36"/>
  <c r="H1106" i="36"/>
  <c r="G1106" i="36"/>
  <c r="F1106" i="36"/>
  <c r="E1106" i="36"/>
  <c r="D1106" i="36"/>
  <c r="C1106" i="36"/>
  <c r="B1106" i="36"/>
  <c r="R1105" i="36"/>
  <c r="Q1105" i="36"/>
  <c r="P1105" i="36"/>
  <c r="O1105" i="36"/>
  <c r="N1105" i="36"/>
  <c r="M1105" i="36"/>
  <c r="L1105" i="36"/>
  <c r="K1105" i="36"/>
  <c r="J1105" i="36"/>
  <c r="I1105" i="36"/>
  <c r="H1105" i="36"/>
  <c r="G1105" i="36"/>
  <c r="F1105" i="36"/>
  <c r="E1105" i="36"/>
  <c r="D1105" i="36"/>
  <c r="C1105" i="36"/>
  <c r="B1105" i="36"/>
  <c r="R1104" i="36"/>
  <c r="Q1104" i="36"/>
  <c r="P1104" i="36"/>
  <c r="O1104" i="36"/>
  <c r="N1104" i="36"/>
  <c r="M1104" i="36"/>
  <c r="L1104" i="36"/>
  <c r="K1104" i="36"/>
  <c r="J1104" i="36"/>
  <c r="I1104" i="36"/>
  <c r="H1104" i="36"/>
  <c r="G1104" i="36"/>
  <c r="F1104" i="36"/>
  <c r="E1104" i="36"/>
  <c r="D1104" i="36"/>
  <c r="C1104" i="36"/>
  <c r="B1104" i="36"/>
  <c r="R1103" i="36"/>
  <c r="Q1103" i="36"/>
  <c r="P1103" i="36"/>
  <c r="O1103" i="36"/>
  <c r="N1103" i="36"/>
  <c r="M1103" i="36"/>
  <c r="L1103" i="36"/>
  <c r="K1103" i="36"/>
  <c r="J1103" i="36"/>
  <c r="I1103" i="36"/>
  <c r="H1103" i="36"/>
  <c r="G1103" i="36"/>
  <c r="F1103" i="36"/>
  <c r="E1103" i="36"/>
  <c r="D1103" i="36"/>
  <c r="C1103" i="36"/>
  <c r="B1103" i="36"/>
  <c r="R1102" i="36"/>
  <c r="Q1102" i="36"/>
  <c r="P1102" i="36"/>
  <c r="O1102" i="36"/>
  <c r="N1102" i="36"/>
  <c r="M1102" i="36"/>
  <c r="L1102" i="36"/>
  <c r="K1102" i="36"/>
  <c r="J1102" i="36"/>
  <c r="I1102" i="36"/>
  <c r="H1102" i="36"/>
  <c r="G1102" i="36"/>
  <c r="F1102" i="36"/>
  <c r="E1102" i="36"/>
  <c r="D1102" i="36"/>
  <c r="C1102" i="36"/>
  <c r="B1102" i="36"/>
  <c r="R1101" i="36"/>
  <c r="Q1101" i="36"/>
  <c r="P1101" i="36"/>
  <c r="O1101" i="36"/>
  <c r="N1101" i="36"/>
  <c r="M1101" i="36"/>
  <c r="L1101" i="36"/>
  <c r="K1101" i="36"/>
  <c r="J1101" i="36"/>
  <c r="I1101" i="36"/>
  <c r="H1101" i="36"/>
  <c r="G1101" i="36"/>
  <c r="F1101" i="36"/>
  <c r="E1101" i="36"/>
  <c r="D1101" i="36"/>
  <c r="C1101" i="36"/>
  <c r="B1101" i="36"/>
  <c r="R1100" i="36"/>
  <c r="Q1100" i="36"/>
  <c r="P1100" i="36"/>
  <c r="O1100" i="36"/>
  <c r="N1100" i="36"/>
  <c r="M1100" i="36"/>
  <c r="L1100" i="36"/>
  <c r="K1100" i="36"/>
  <c r="J1100" i="36"/>
  <c r="I1100" i="36"/>
  <c r="H1100" i="36"/>
  <c r="G1100" i="36"/>
  <c r="F1100" i="36"/>
  <c r="E1100" i="36"/>
  <c r="D1100" i="36"/>
  <c r="C1100" i="36"/>
  <c r="B1100" i="36"/>
  <c r="R1099" i="36"/>
  <c r="Q1099" i="36"/>
  <c r="P1099" i="36"/>
  <c r="O1099" i="36"/>
  <c r="N1099" i="36"/>
  <c r="M1099" i="36"/>
  <c r="L1099" i="36"/>
  <c r="K1099" i="36"/>
  <c r="J1099" i="36"/>
  <c r="I1099" i="36"/>
  <c r="H1099" i="36"/>
  <c r="G1099" i="36"/>
  <c r="F1099" i="36"/>
  <c r="E1099" i="36"/>
  <c r="D1099" i="36"/>
  <c r="C1099" i="36"/>
  <c r="B1099" i="36"/>
  <c r="R1098" i="36"/>
  <c r="Q1098" i="36"/>
  <c r="P1098" i="36"/>
  <c r="O1098" i="36"/>
  <c r="N1098" i="36"/>
  <c r="M1098" i="36"/>
  <c r="L1098" i="36"/>
  <c r="K1098" i="36"/>
  <c r="J1098" i="36"/>
  <c r="I1098" i="36"/>
  <c r="H1098" i="36"/>
  <c r="G1098" i="36"/>
  <c r="F1098" i="36"/>
  <c r="E1098" i="36"/>
  <c r="D1098" i="36"/>
  <c r="C1098" i="36"/>
  <c r="B1098" i="36"/>
  <c r="R1097" i="36"/>
  <c r="Q1097" i="36"/>
  <c r="P1097" i="36"/>
  <c r="O1097" i="36"/>
  <c r="N1097" i="36"/>
  <c r="M1097" i="36"/>
  <c r="L1097" i="36"/>
  <c r="K1097" i="36"/>
  <c r="J1097" i="36"/>
  <c r="I1097" i="36"/>
  <c r="H1097" i="36"/>
  <c r="G1097" i="36"/>
  <c r="F1097" i="36"/>
  <c r="E1097" i="36"/>
  <c r="D1097" i="36"/>
  <c r="C1097" i="36"/>
  <c r="B1097" i="36"/>
  <c r="R1096" i="36"/>
  <c r="Q1096" i="36"/>
  <c r="P1096" i="36"/>
  <c r="O1096" i="36"/>
  <c r="N1096" i="36"/>
  <c r="M1096" i="36"/>
  <c r="L1096" i="36"/>
  <c r="K1096" i="36"/>
  <c r="J1096" i="36"/>
  <c r="I1096" i="36"/>
  <c r="H1096" i="36"/>
  <c r="G1096" i="36"/>
  <c r="F1096" i="36"/>
  <c r="E1096" i="36"/>
  <c r="D1096" i="36"/>
  <c r="C1096" i="36"/>
  <c r="B1096" i="36"/>
  <c r="R1095" i="36"/>
  <c r="Q1095" i="36"/>
  <c r="P1095" i="36"/>
  <c r="O1095" i="36"/>
  <c r="N1095" i="36"/>
  <c r="M1095" i="36"/>
  <c r="L1095" i="36"/>
  <c r="K1095" i="36"/>
  <c r="J1095" i="36"/>
  <c r="I1095" i="36"/>
  <c r="H1095" i="36"/>
  <c r="G1095" i="36"/>
  <c r="F1095" i="36"/>
  <c r="E1095" i="36"/>
  <c r="D1095" i="36"/>
  <c r="C1095" i="36"/>
  <c r="B1095" i="36"/>
  <c r="R1094" i="36"/>
  <c r="Q1094" i="36"/>
  <c r="P1094" i="36"/>
  <c r="O1094" i="36"/>
  <c r="N1094" i="36"/>
  <c r="M1094" i="36"/>
  <c r="L1094" i="36"/>
  <c r="K1094" i="36"/>
  <c r="J1094" i="36"/>
  <c r="I1094" i="36"/>
  <c r="H1094" i="36"/>
  <c r="G1094" i="36"/>
  <c r="F1094" i="36"/>
  <c r="E1094" i="36"/>
  <c r="D1094" i="36"/>
  <c r="C1094" i="36"/>
  <c r="B1094" i="36"/>
  <c r="R1093" i="36"/>
  <c r="Q1093" i="36"/>
  <c r="P1093" i="36"/>
  <c r="O1093" i="36"/>
  <c r="N1093" i="36"/>
  <c r="M1093" i="36"/>
  <c r="L1093" i="36"/>
  <c r="K1093" i="36"/>
  <c r="J1093" i="36"/>
  <c r="I1093" i="36"/>
  <c r="H1093" i="36"/>
  <c r="G1093" i="36"/>
  <c r="F1093" i="36"/>
  <c r="E1093" i="36"/>
  <c r="D1093" i="36"/>
  <c r="C1093" i="36"/>
  <c r="B1093" i="36"/>
  <c r="R1092" i="36"/>
  <c r="Q1092" i="36"/>
  <c r="P1092" i="36"/>
  <c r="O1092" i="36"/>
  <c r="N1092" i="36"/>
  <c r="M1092" i="36"/>
  <c r="L1092" i="36"/>
  <c r="K1092" i="36"/>
  <c r="J1092" i="36"/>
  <c r="I1092" i="36"/>
  <c r="H1092" i="36"/>
  <c r="G1092" i="36"/>
  <c r="F1092" i="36"/>
  <c r="E1092" i="36"/>
  <c r="D1092" i="36"/>
  <c r="C1092" i="36"/>
  <c r="B1092" i="36"/>
  <c r="R1091" i="36"/>
  <c r="Q1091" i="36"/>
  <c r="P1091" i="36"/>
  <c r="O1091" i="36"/>
  <c r="N1091" i="36"/>
  <c r="M1091" i="36"/>
  <c r="L1091" i="36"/>
  <c r="K1091" i="36"/>
  <c r="J1091" i="36"/>
  <c r="I1091" i="36"/>
  <c r="H1091" i="36"/>
  <c r="G1091" i="36"/>
  <c r="F1091" i="36"/>
  <c r="E1091" i="36"/>
  <c r="D1091" i="36"/>
  <c r="C1091" i="36"/>
  <c r="B1091" i="36"/>
  <c r="R1090" i="36"/>
  <c r="Q1090" i="36"/>
  <c r="P1090" i="36"/>
  <c r="O1090" i="36"/>
  <c r="N1090" i="36"/>
  <c r="M1090" i="36"/>
  <c r="L1090" i="36"/>
  <c r="K1090" i="36"/>
  <c r="J1090" i="36"/>
  <c r="I1090" i="36"/>
  <c r="H1090" i="36"/>
  <c r="G1090" i="36"/>
  <c r="F1090" i="36"/>
  <c r="E1090" i="36"/>
  <c r="D1090" i="36"/>
  <c r="C1090" i="36"/>
  <c r="B1090" i="36"/>
  <c r="R1089" i="36"/>
  <c r="Q1089" i="36"/>
  <c r="P1089" i="36"/>
  <c r="O1089" i="36"/>
  <c r="N1089" i="36"/>
  <c r="M1089" i="36"/>
  <c r="L1089" i="36"/>
  <c r="K1089" i="36"/>
  <c r="J1089" i="36"/>
  <c r="I1089" i="36"/>
  <c r="H1089" i="36"/>
  <c r="G1089" i="36"/>
  <c r="F1089" i="36"/>
  <c r="E1089" i="36"/>
  <c r="D1089" i="36"/>
  <c r="C1089" i="36"/>
  <c r="B1089" i="36"/>
  <c r="R1088" i="36"/>
  <c r="Q1088" i="36"/>
  <c r="P1088" i="36"/>
  <c r="O1088" i="36"/>
  <c r="N1088" i="36"/>
  <c r="M1088" i="36"/>
  <c r="L1088" i="36"/>
  <c r="K1088" i="36"/>
  <c r="J1088" i="36"/>
  <c r="I1088" i="36"/>
  <c r="H1088" i="36"/>
  <c r="G1088" i="36"/>
  <c r="F1088" i="36"/>
  <c r="E1088" i="36"/>
  <c r="D1088" i="36"/>
  <c r="C1088" i="36"/>
  <c r="B1088" i="36"/>
  <c r="R1087" i="36"/>
  <c r="Q1087" i="36"/>
  <c r="P1087" i="36"/>
  <c r="O1087" i="36"/>
  <c r="N1087" i="36"/>
  <c r="M1087" i="36"/>
  <c r="L1087" i="36"/>
  <c r="K1087" i="36"/>
  <c r="J1087" i="36"/>
  <c r="I1087" i="36"/>
  <c r="H1087" i="36"/>
  <c r="G1087" i="36"/>
  <c r="F1087" i="36"/>
  <c r="E1087" i="36"/>
  <c r="D1087" i="36"/>
  <c r="C1087" i="36"/>
  <c r="B1087" i="36"/>
  <c r="R1086" i="36"/>
  <c r="Q1086" i="36"/>
  <c r="P1086" i="36"/>
  <c r="O1086" i="36"/>
  <c r="N1086" i="36"/>
  <c r="M1086" i="36"/>
  <c r="L1086" i="36"/>
  <c r="K1086" i="36"/>
  <c r="J1086" i="36"/>
  <c r="I1086" i="36"/>
  <c r="H1086" i="36"/>
  <c r="G1086" i="36"/>
  <c r="F1086" i="36"/>
  <c r="E1086" i="36"/>
  <c r="D1086" i="36"/>
  <c r="C1086" i="36"/>
  <c r="B1086" i="36"/>
  <c r="R1085" i="36"/>
  <c r="Q1085" i="36"/>
  <c r="P1085" i="36"/>
  <c r="O1085" i="36"/>
  <c r="N1085" i="36"/>
  <c r="M1085" i="36"/>
  <c r="L1085" i="36"/>
  <c r="K1085" i="36"/>
  <c r="J1085" i="36"/>
  <c r="I1085" i="36"/>
  <c r="H1085" i="36"/>
  <c r="G1085" i="36"/>
  <c r="F1085" i="36"/>
  <c r="E1085" i="36"/>
  <c r="D1085" i="36"/>
  <c r="C1085" i="36"/>
  <c r="B1085" i="36"/>
  <c r="R1084" i="36"/>
  <c r="Q1084" i="36"/>
  <c r="P1084" i="36"/>
  <c r="O1084" i="36"/>
  <c r="N1084" i="36"/>
  <c r="M1084" i="36"/>
  <c r="L1084" i="36"/>
  <c r="K1084" i="36"/>
  <c r="J1084" i="36"/>
  <c r="I1084" i="36"/>
  <c r="H1084" i="36"/>
  <c r="G1084" i="36"/>
  <c r="F1084" i="36"/>
  <c r="E1084" i="36"/>
  <c r="D1084" i="36"/>
  <c r="C1084" i="36"/>
  <c r="B1084" i="36"/>
  <c r="R1083" i="36"/>
  <c r="Q1083" i="36"/>
  <c r="P1083" i="36"/>
  <c r="O1083" i="36"/>
  <c r="N1083" i="36"/>
  <c r="M1083" i="36"/>
  <c r="L1083" i="36"/>
  <c r="K1083" i="36"/>
  <c r="J1083" i="36"/>
  <c r="I1083" i="36"/>
  <c r="H1083" i="36"/>
  <c r="G1083" i="36"/>
  <c r="F1083" i="36"/>
  <c r="E1083" i="36"/>
  <c r="D1083" i="36"/>
  <c r="C1083" i="36"/>
  <c r="B1083" i="36"/>
  <c r="R1082" i="36"/>
  <c r="Q1082" i="36"/>
  <c r="P1082" i="36"/>
  <c r="O1082" i="36"/>
  <c r="N1082" i="36"/>
  <c r="M1082" i="36"/>
  <c r="L1082" i="36"/>
  <c r="K1082" i="36"/>
  <c r="J1082" i="36"/>
  <c r="I1082" i="36"/>
  <c r="H1082" i="36"/>
  <c r="G1082" i="36"/>
  <c r="F1082" i="36"/>
  <c r="E1082" i="36"/>
  <c r="D1082" i="36"/>
  <c r="C1082" i="36"/>
  <c r="B1082" i="36"/>
  <c r="R1081" i="36"/>
  <c r="Q1081" i="36"/>
  <c r="P1081" i="36"/>
  <c r="O1081" i="36"/>
  <c r="N1081" i="36"/>
  <c r="M1081" i="36"/>
  <c r="L1081" i="36"/>
  <c r="K1081" i="36"/>
  <c r="J1081" i="36"/>
  <c r="I1081" i="36"/>
  <c r="H1081" i="36"/>
  <c r="G1081" i="36"/>
  <c r="F1081" i="36"/>
  <c r="E1081" i="36"/>
  <c r="D1081" i="36"/>
  <c r="C1081" i="36"/>
  <c r="B1081" i="36"/>
  <c r="R1080" i="36"/>
  <c r="Q1080" i="36"/>
  <c r="P1080" i="36"/>
  <c r="O1080" i="36"/>
  <c r="N1080" i="36"/>
  <c r="M1080" i="36"/>
  <c r="L1080" i="36"/>
  <c r="K1080" i="36"/>
  <c r="J1080" i="36"/>
  <c r="I1080" i="36"/>
  <c r="H1080" i="36"/>
  <c r="G1080" i="36"/>
  <c r="F1080" i="36"/>
  <c r="E1080" i="36"/>
  <c r="D1080" i="36"/>
  <c r="C1080" i="36"/>
  <c r="B1080" i="36"/>
  <c r="R1079" i="36"/>
  <c r="Q1079" i="36"/>
  <c r="P1079" i="36"/>
  <c r="O1079" i="36"/>
  <c r="N1079" i="36"/>
  <c r="M1079" i="36"/>
  <c r="L1079" i="36"/>
  <c r="K1079" i="36"/>
  <c r="J1079" i="36"/>
  <c r="I1079" i="36"/>
  <c r="H1079" i="36"/>
  <c r="G1079" i="36"/>
  <c r="F1079" i="36"/>
  <c r="E1079" i="36"/>
  <c r="D1079" i="36"/>
  <c r="C1079" i="36"/>
  <c r="B1079" i="36"/>
  <c r="R1078" i="36"/>
  <c r="Q1078" i="36"/>
  <c r="P1078" i="36"/>
  <c r="O1078" i="36"/>
  <c r="N1078" i="36"/>
  <c r="M1078" i="36"/>
  <c r="L1078" i="36"/>
  <c r="K1078" i="36"/>
  <c r="J1078" i="36"/>
  <c r="I1078" i="36"/>
  <c r="H1078" i="36"/>
  <c r="G1078" i="36"/>
  <c r="F1078" i="36"/>
  <c r="E1078" i="36"/>
  <c r="D1078" i="36"/>
  <c r="C1078" i="36"/>
  <c r="B1078" i="36"/>
  <c r="R1077" i="36"/>
  <c r="Q1077" i="36"/>
  <c r="P1077" i="36"/>
  <c r="O1077" i="36"/>
  <c r="N1077" i="36"/>
  <c r="M1077" i="36"/>
  <c r="L1077" i="36"/>
  <c r="K1077" i="36"/>
  <c r="J1077" i="36"/>
  <c r="I1077" i="36"/>
  <c r="H1077" i="36"/>
  <c r="G1077" i="36"/>
  <c r="F1077" i="36"/>
  <c r="E1077" i="36"/>
  <c r="D1077" i="36"/>
  <c r="C1077" i="36"/>
  <c r="B1077" i="36"/>
  <c r="R1076" i="36"/>
  <c r="Q1076" i="36"/>
  <c r="P1076" i="36"/>
  <c r="O1076" i="36"/>
  <c r="N1076" i="36"/>
  <c r="M1076" i="36"/>
  <c r="L1076" i="36"/>
  <c r="K1076" i="36"/>
  <c r="J1076" i="36"/>
  <c r="I1076" i="36"/>
  <c r="H1076" i="36"/>
  <c r="G1076" i="36"/>
  <c r="F1076" i="36"/>
  <c r="E1076" i="36"/>
  <c r="D1076" i="36"/>
  <c r="C1076" i="36"/>
  <c r="B1076" i="36"/>
  <c r="R1075" i="36"/>
  <c r="Q1075" i="36"/>
  <c r="P1075" i="36"/>
  <c r="O1075" i="36"/>
  <c r="N1075" i="36"/>
  <c r="M1075" i="36"/>
  <c r="L1075" i="36"/>
  <c r="K1075" i="36"/>
  <c r="J1075" i="36"/>
  <c r="I1075" i="36"/>
  <c r="H1075" i="36"/>
  <c r="G1075" i="36"/>
  <c r="F1075" i="36"/>
  <c r="E1075" i="36"/>
  <c r="D1075" i="36"/>
  <c r="C1075" i="36"/>
  <c r="B1075" i="36"/>
  <c r="R1074" i="36"/>
  <c r="Q1074" i="36"/>
  <c r="P1074" i="36"/>
  <c r="O1074" i="36"/>
  <c r="N1074" i="36"/>
  <c r="M1074" i="36"/>
  <c r="L1074" i="36"/>
  <c r="K1074" i="36"/>
  <c r="J1074" i="36"/>
  <c r="I1074" i="36"/>
  <c r="H1074" i="36"/>
  <c r="G1074" i="36"/>
  <c r="F1074" i="36"/>
  <c r="E1074" i="36"/>
  <c r="D1074" i="36"/>
  <c r="C1074" i="36"/>
  <c r="B1074" i="36"/>
  <c r="R1073" i="36"/>
  <c r="Q1073" i="36"/>
  <c r="P1073" i="36"/>
  <c r="O1073" i="36"/>
  <c r="N1073" i="36"/>
  <c r="M1073" i="36"/>
  <c r="L1073" i="36"/>
  <c r="K1073" i="36"/>
  <c r="J1073" i="36"/>
  <c r="I1073" i="36"/>
  <c r="H1073" i="36"/>
  <c r="G1073" i="36"/>
  <c r="F1073" i="36"/>
  <c r="E1073" i="36"/>
  <c r="D1073" i="36"/>
  <c r="C1073" i="36"/>
  <c r="B1073" i="36"/>
  <c r="R1072" i="36"/>
  <c r="Q1072" i="36"/>
  <c r="P1072" i="36"/>
  <c r="O1072" i="36"/>
  <c r="N1072" i="36"/>
  <c r="M1072" i="36"/>
  <c r="L1072" i="36"/>
  <c r="K1072" i="36"/>
  <c r="J1072" i="36"/>
  <c r="I1072" i="36"/>
  <c r="H1072" i="36"/>
  <c r="G1072" i="36"/>
  <c r="F1072" i="36"/>
  <c r="E1072" i="36"/>
  <c r="D1072" i="36"/>
  <c r="C1072" i="36"/>
  <c r="B1072" i="36"/>
  <c r="R1071" i="36"/>
  <c r="Q1071" i="36"/>
  <c r="P1071" i="36"/>
  <c r="O1071" i="36"/>
  <c r="N1071" i="36"/>
  <c r="M1071" i="36"/>
  <c r="L1071" i="36"/>
  <c r="K1071" i="36"/>
  <c r="J1071" i="36"/>
  <c r="I1071" i="36"/>
  <c r="H1071" i="36"/>
  <c r="G1071" i="36"/>
  <c r="F1071" i="36"/>
  <c r="E1071" i="36"/>
  <c r="D1071" i="36"/>
  <c r="C1071" i="36"/>
  <c r="B1071" i="36"/>
  <c r="R1070" i="36"/>
  <c r="Q1070" i="36"/>
  <c r="P1070" i="36"/>
  <c r="O1070" i="36"/>
  <c r="N1070" i="36"/>
  <c r="M1070" i="36"/>
  <c r="L1070" i="36"/>
  <c r="K1070" i="36"/>
  <c r="J1070" i="36"/>
  <c r="I1070" i="36"/>
  <c r="H1070" i="36"/>
  <c r="G1070" i="36"/>
  <c r="F1070" i="36"/>
  <c r="E1070" i="36"/>
  <c r="D1070" i="36"/>
  <c r="C1070" i="36"/>
  <c r="B1070" i="36"/>
  <c r="R1069" i="36"/>
  <c r="Q1069" i="36"/>
  <c r="P1069" i="36"/>
  <c r="O1069" i="36"/>
  <c r="N1069" i="36"/>
  <c r="M1069" i="36"/>
  <c r="L1069" i="36"/>
  <c r="K1069" i="36"/>
  <c r="J1069" i="36"/>
  <c r="I1069" i="36"/>
  <c r="H1069" i="36"/>
  <c r="G1069" i="36"/>
  <c r="F1069" i="36"/>
  <c r="E1069" i="36"/>
  <c r="D1069" i="36"/>
  <c r="C1069" i="36"/>
  <c r="B1069" i="36"/>
  <c r="R1068" i="36"/>
  <c r="Q1068" i="36"/>
  <c r="P1068" i="36"/>
  <c r="O1068" i="36"/>
  <c r="N1068" i="36"/>
  <c r="M1068" i="36"/>
  <c r="L1068" i="36"/>
  <c r="K1068" i="36"/>
  <c r="J1068" i="36"/>
  <c r="I1068" i="36"/>
  <c r="H1068" i="36"/>
  <c r="G1068" i="36"/>
  <c r="F1068" i="36"/>
  <c r="E1068" i="36"/>
  <c r="D1068" i="36"/>
  <c r="C1068" i="36"/>
  <c r="B1068" i="36"/>
  <c r="R1067" i="36"/>
  <c r="Q1067" i="36"/>
  <c r="P1067" i="36"/>
  <c r="O1067" i="36"/>
  <c r="N1067" i="36"/>
  <c r="M1067" i="36"/>
  <c r="L1067" i="36"/>
  <c r="K1067" i="36"/>
  <c r="J1067" i="36"/>
  <c r="I1067" i="36"/>
  <c r="H1067" i="36"/>
  <c r="G1067" i="36"/>
  <c r="F1067" i="36"/>
  <c r="E1067" i="36"/>
  <c r="D1067" i="36"/>
  <c r="C1067" i="36"/>
  <c r="B1067" i="36"/>
  <c r="R1066" i="36"/>
  <c r="Q1066" i="36"/>
  <c r="P1066" i="36"/>
  <c r="O1066" i="36"/>
  <c r="N1066" i="36"/>
  <c r="M1066" i="36"/>
  <c r="L1066" i="36"/>
  <c r="K1066" i="36"/>
  <c r="J1066" i="36"/>
  <c r="I1066" i="36"/>
  <c r="H1066" i="36"/>
  <c r="G1066" i="36"/>
  <c r="F1066" i="36"/>
  <c r="E1066" i="36"/>
  <c r="D1066" i="36"/>
  <c r="C1066" i="36"/>
  <c r="B1066" i="36"/>
  <c r="R1065" i="36"/>
  <c r="Q1065" i="36"/>
  <c r="P1065" i="36"/>
  <c r="O1065" i="36"/>
  <c r="N1065" i="36"/>
  <c r="M1065" i="36"/>
  <c r="L1065" i="36"/>
  <c r="K1065" i="36"/>
  <c r="J1065" i="36"/>
  <c r="I1065" i="36"/>
  <c r="H1065" i="36"/>
  <c r="G1065" i="36"/>
  <c r="F1065" i="36"/>
  <c r="E1065" i="36"/>
  <c r="D1065" i="36"/>
  <c r="C1065" i="36"/>
  <c r="B1065" i="36"/>
  <c r="R1064" i="36"/>
  <c r="Q1064" i="36"/>
  <c r="P1064" i="36"/>
  <c r="O1064" i="36"/>
  <c r="N1064" i="36"/>
  <c r="M1064" i="36"/>
  <c r="L1064" i="36"/>
  <c r="K1064" i="36"/>
  <c r="J1064" i="36"/>
  <c r="I1064" i="36"/>
  <c r="H1064" i="36"/>
  <c r="G1064" i="36"/>
  <c r="F1064" i="36"/>
  <c r="E1064" i="36"/>
  <c r="D1064" i="36"/>
  <c r="C1064" i="36"/>
  <c r="B1064" i="36"/>
  <c r="R1063" i="36"/>
  <c r="Q1063" i="36"/>
  <c r="P1063" i="36"/>
  <c r="O1063" i="36"/>
  <c r="N1063" i="36"/>
  <c r="M1063" i="36"/>
  <c r="L1063" i="36"/>
  <c r="K1063" i="36"/>
  <c r="J1063" i="36"/>
  <c r="I1063" i="36"/>
  <c r="H1063" i="36"/>
  <c r="G1063" i="36"/>
  <c r="F1063" i="36"/>
  <c r="E1063" i="36"/>
  <c r="D1063" i="36"/>
  <c r="C1063" i="36"/>
  <c r="B1063" i="36"/>
  <c r="R1062" i="36"/>
  <c r="Q1062" i="36"/>
  <c r="P1062" i="36"/>
  <c r="O1062" i="36"/>
  <c r="N1062" i="36"/>
  <c r="M1062" i="36"/>
  <c r="L1062" i="36"/>
  <c r="K1062" i="36"/>
  <c r="J1062" i="36"/>
  <c r="I1062" i="36"/>
  <c r="H1062" i="36"/>
  <c r="G1062" i="36"/>
  <c r="F1062" i="36"/>
  <c r="E1062" i="36"/>
  <c r="D1062" i="36"/>
  <c r="C1062" i="36"/>
  <c r="B1062" i="36"/>
  <c r="R1061" i="36"/>
  <c r="Q1061" i="36"/>
  <c r="P1061" i="36"/>
  <c r="O1061" i="36"/>
  <c r="N1061" i="36"/>
  <c r="M1061" i="36"/>
  <c r="L1061" i="36"/>
  <c r="K1061" i="36"/>
  <c r="J1061" i="36"/>
  <c r="I1061" i="36"/>
  <c r="H1061" i="36"/>
  <c r="G1061" i="36"/>
  <c r="F1061" i="36"/>
  <c r="E1061" i="36"/>
  <c r="D1061" i="36"/>
  <c r="C1061" i="36"/>
  <c r="B1061" i="36"/>
  <c r="R1060" i="36"/>
  <c r="Q1060" i="36"/>
  <c r="P1060" i="36"/>
  <c r="O1060" i="36"/>
  <c r="N1060" i="36"/>
  <c r="M1060" i="36"/>
  <c r="L1060" i="36"/>
  <c r="K1060" i="36"/>
  <c r="J1060" i="36"/>
  <c r="I1060" i="36"/>
  <c r="H1060" i="36"/>
  <c r="G1060" i="36"/>
  <c r="F1060" i="36"/>
  <c r="E1060" i="36"/>
  <c r="D1060" i="36"/>
  <c r="C1060" i="36"/>
  <c r="B1060" i="36"/>
  <c r="R1059" i="36"/>
  <c r="Q1059" i="36"/>
  <c r="P1059" i="36"/>
  <c r="O1059" i="36"/>
  <c r="N1059" i="36"/>
  <c r="M1059" i="36"/>
  <c r="L1059" i="36"/>
  <c r="K1059" i="36"/>
  <c r="J1059" i="36"/>
  <c r="I1059" i="36"/>
  <c r="H1059" i="36"/>
  <c r="G1059" i="36"/>
  <c r="F1059" i="36"/>
  <c r="E1059" i="36"/>
  <c r="D1059" i="36"/>
  <c r="C1059" i="36"/>
  <c r="B1059" i="36"/>
  <c r="R1058" i="36"/>
  <c r="Q1058" i="36"/>
  <c r="P1058" i="36"/>
  <c r="O1058" i="36"/>
  <c r="N1058" i="36"/>
  <c r="M1058" i="36"/>
  <c r="L1058" i="36"/>
  <c r="K1058" i="36"/>
  <c r="J1058" i="36"/>
  <c r="I1058" i="36"/>
  <c r="H1058" i="36"/>
  <c r="G1058" i="36"/>
  <c r="F1058" i="36"/>
  <c r="E1058" i="36"/>
  <c r="D1058" i="36"/>
  <c r="C1058" i="36"/>
  <c r="B1058" i="36"/>
  <c r="R1057" i="36"/>
  <c r="Q1057" i="36"/>
  <c r="P1057" i="36"/>
  <c r="O1057" i="36"/>
  <c r="N1057" i="36"/>
  <c r="M1057" i="36"/>
  <c r="L1057" i="36"/>
  <c r="K1057" i="36"/>
  <c r="J1057" i="36"/>
  <c r="I1057" i="36"/>
  <c r="H1057" i="36"/>
  <c r="G1057" i="36"/>
  <c r="F1057" i="36"/>
  <c r="E1057" i="36"/>
  <c r="D1057" i="36"/>
  <c r="C1057" i="36"/>
  <c r="B1057" i="36"/>
  <c r="R1056" i="36"/>
  <c r="Q1056" i="36"/>
  <c r="P1056" i="36"/>
  <c r="O1056" i="36"/>
  <c r="N1056" i="36"/>
  <c r="M1056" i="36"/>
  <c r="L1056" i="36"/>
  <c r="K1056" i="36"/>
  <c r="J1056" i="36"/>
  <c r="I1056" i="36"/>
  <c r="H1056" i="36"/>
  <c r="G1056" i="36"/>
  <c r="F1056" i="36"/>
  <c r="E1056" i="36"/>
  <c r="D1056" i="36"/>
  <c r="C1056" i="36"/>
  <c r="B1056" i="36"/>
  <c r="R1055" i="36"/>
  <c r="Q1055" i="36"/>
  <c r="P1055" i="36"/>
  <c r="O1055" i="36"/>
  <c r="N1055" i="36"/>
  <c r="M1055" i="36"/>
  <c r="L1055" i="36"/>
  <c r="K1055" i="36"/>
  <c r="J1055" i="36"/>
  <c r="I1055" i="36"/>
  <c r="H1055" i="36"/>
  <c r="G1055" i="36"/>
  <c r="F1055" i="36"/>
  <c r="E1055" i="36"/>
  <c r="D1055" i="36"/>
  <c r="C1055" i="36"/>
  <c r="B1055" i="36"/>
  <c r="R1054" i="36"/>
  <c r="Q1054" i="36"/>
  <c r="P1054" i="36"/>
  <c r="O1054" i="36"/>
  <c r="N1054" i="36"/>
  <c r="M1054" i="36"/>
  <c r="L1054" i="36"/>
  <c r="K1054" i="36"/>
  <c r="J1054" i="36"/>
  <c r="I1054" i="36"/>
  <c r="H1054" i="36"/>
  <c r="G1054" i="36"/>
  <c r="F1054" i="36"/>
  <c r="E1054" i="36"/>
  <c r="D1054" i="36"/>
  <c r="C1054" i="36"/>
  <c r="B1054" i="36"/>
  <c r="R1053" i="36"/>
  <c r="Q1053" i="36"/>
  <c r="P1053" i="36"/>
  <c r="O1053" i="36"/>
  <c r="N1053" i="36"/>
  <c r="M1053" i="36"/>
  <c r="L1053" i="36"/>
  <c r="K1053" i="36"/>
  <c r="J1053" i="36"/>
  <c r="I1053" i="36"/>
  <c r="H1053" i="36"/>
  <c r="G1053" i="36"/>
  <c r="F1053" i="36"/>
  <c r="E1053" i="36"/>
  <c r="D1053" i="36"/>
  <c r="C1053" i="36"/>
  <c r="B1053" i="36"/>
  <c r="R1052" i="36"/>
  <c r="Q1052" i="36"/>
  <c r="P1052" i="36"/>
  <c r="O1052" i="36"/>
  <c r="N1052" i="36"/>
  <c r="M1052" i="36"/>
  <c r="L1052" i="36"/>
  <c r="K1052" i="36"/>
  <c r="J1052" i="36"/>
  <c r="I1052" i="36"/>
  <c r="H1052" i="36"/>
  <c r="G1052" i="36"/>
  <c r="F1052" i="36"/>
  <c r="E1052" i="36"/>
  <c r="D1052" i="36"/>
  <c r="C1052" i="36"/>
  <c r="B1052" i="36"/>
  <c r="R1051" i="36"/>
  <c r="Q1051" i="36"/>
  <c r="P1051" i="36"/>
  <c r="O1051" i="36"/>
  <c r="N1051" i="36"/>
  <c r="M1051" i="36"/>
  <c r="L1051" i="36"/>
  <c r="K1051" i="36"/>
  <c r="J1051" i="36"/>
  <c r="I1051" i="36"/>
  <c r="H1051" i="36"/>
  <c r="G1051" i="36"/>
  <c r="F1051" i="36"/>
  <c r="E1051" i="36"/>
  <c r="D1051" i="36"/>
  <c r="C1051" i="36"/>
  <c r="B1051" i="36"/>
  <c r="R1050" i="36"/>
  <c r="Q1050" i="36"/>
  <c r="P1050" i="36"/>
  <c r="O1050" i="36"/>
  <c r="N1050" i="36"/>
  <c r="M1050" i="36"/>
  <c r="L1050" i="36"/>
  <c r="K1050" i="36"/>
  <c r="J1050" i="36"/>
  <c r="I1050" i="36"/>
  <c r="H1050" i="36"/>
  <c r="G1050" i="36"/>
  <c r="F1050" i="36"/>
  <c r="E1050" i="36"/>
  <c r="D1050" i="36"/>
  <c r="C1050" i="36"/>
  <c r="B1050" i="36"/>
  <c r="R1049" i="36"/>
  <c r="Q1049" i="36"/>
  <c r="P1049" i="36"/>
  <c r="O1049" i="36"/>
  <c r="N1049" i="36"/>
  <c r="M1049" i="36"/>
  <c r="L1049" i="36"/>
  <c r="K1049" i="36"/>
  <c r="J1049" i="36"/>
  <c r="I1049" i="36"/>
  <c r="H1049" i="36"/>
  <c r="G1049" i="36"/>
  <c r="F1049" i="36"/>
  <c r="E1049" i="36"/>
  <c r="D1049" i="36"/>
  <c r="C1049" i="36"/>
  <c r="B1049" i="36"/>
  <c r="R1048" i="36"/>
  <c r="Q1048" i="36"/>
  <c r="P1048" i="36"/>
  <c r="O1048" i="36"/>
  <c r="N1048" i="36"/>
  <c r="M1048" i="36"/>
  <c r="L1048" i="36"/>
  <c r="K1048" i="36"/>
  <c r="J1048" i="36"/>
  <c r="I1048" i="36"/>
  <c r="H1048" i="36"/>
  <c r="G1048" i="36"/>
  <c r="F1048" i="36"/>
  <c r="E1048" i="36"/>
  <c r="D1048" i="36"/>
  <c r="C1048" i="36"/>
  <c r="B1048" i="36"/>
  <c r="R1047" i="36"/>
  <c r="Q1047" i="36"/>
  <c r="P1047" i="36"/>
  <c r="O1047" i="36"/>
  <c r="N1047" i="36"/>
  <c r="M1047" i="36"/>
  <c r="L1047" i="36"/>
  <c r="K1047" i="36"/>
  <c r="J1047" i="36"/>
  <c r="I1047" i="36"/>
  <c r="H1047" i="36"/>
  <c r="G1047" i="36"/>
  <c r="F1047" i="36"/>
  <c r="E1047" i="36"/>
  <c r="D1047" i="36"/>
  <c r="C1047" i="36"/>
  <c r="B1047" i="36"/>
  <c r="R1046" i="36"/>
  <c r="Q1046" i="36"/>
  <c r="P1046" i="36"/>
  <c r="O1046" i="36"/>
  <c r="N1046" i="36"/>
  <c r="M1046" i="36"/>
  <c r="L1046" i="36"/>
  <c r="K1046" i="36"/>
  <c r="J1046" i="36"/>
  <c r="I1046" i="36"/>
  <c r="H1046" i="36"/>
  <c r="G1046" i="36"/>
  <c r="F1046" i="36"/>
  <c r="E1046" i="36"/>
  <c r="D1046" i="36"/>
  <c r="C1046" i="36"/>
  <c r="B1046" i="36"/>
  <c r="R1045" i="36"/>
  <c r="Q1045" i="36"/>
  <c r="P1045" i="36"/>
  <c r="O1045" i="36"/>
  <c r="N1045" i="36"/>
  <c r="M1045" i="36"/>
  <c r="L1045" i="36"/>
  <c r="K1045" i="36"/>
  <c r="J1045" i="36"/>
  <c r="I1045" i="36"/>
  <c r="H1045" i="36"/>
  <c r="G1045" i="36"/>
  <c r="F1045" i="36"/>
  <c r="E1045" i="36"/>
  <c r="D1045" i="36"/>
  <c r="C1045" i="36"/>
  <c r="B1045" i="36"/>
  <c r="R1044" i="36"/>
  <c r="Q1044" i="36"/>
  <c r="P1044" i="36"/>
  <c r="O1044" i="36"/>
  <c r="N1044" i="36"/>
  <c r="M1044" i="36"/>
  <c r="L1044" i="36"/>
  <c r="K1044" i="36"/>
  <c r="J1044" i="36"/>
  <c r="I1044" i="36"/>
  <c r="H1044" i="36"/>
  <c r="G1044" i="36"/>
  <c r="F1044" i="36"/>
  <c r="E1044" i="36"/>
  <c r="D1044" i="36"/>
  <c r="C1044" i="36"/>
  <c r="B1044" i="36"/>
  <c r="R1043" i="36"/>
  <c r="Q1043" i="36"/>
  <c r="P1043" i="36"/>
  <c r="O1043" i="36"/>
  <c r="N1043" i="36"/>
  <c r="M1043" i="36"/>
  <c r="L1043" i="36"/>
  <c r="K1043" i="36"/>
  <c r="J1043" i="36"/>
  <c r="I1043" i="36"/>
  <c r="H1043" i="36"/>
  <c r="G1043" i="36"/>
  <c r="F1043" i="36"/>
  <c r="E1043" i="36"/>
  <c r="D1043" i="36"/>
  <c r="C1043" i="36"/>
  <c r="B1043" i="36"/>
  <c r="R1042" i="36"/>
  <c r="Q1042" i="36"/>
  <c r="P1042" i="36"/>
  <c r="O1042" i="36"/>
  <c r="N1042" i="36"/>
  <c r="M1042" i="36"/>
  <c r="L1042" i="36"/>
  <c r="K1042" i="36"/>
  <c r="J1042" i="36"/>
  <c r="I1042" i="36"/>
  <c r="H1042" i="36"/>
  <c r="G1042" i="36"/>
  <c r="F1042" i="36"/>
  <c r="E1042" i="36"/>
  <c r="D1042" i="36"/>
  <c r="C1042" i="36"/>
  <c r="B1042" i="36"/>
  <c r="R1041" i="36"/>
  <c r="Q1041" i="36"/>
  <c r="P1041" i="36"/>
  <c r="O1041" i="36"/>
  <c r="N1041" i="36"/>
  <c r="M1041" i="36"/>
  <c r="L1041" i="36"/>
  <c r="K1041" i="36"/>
  <c r="J1041" i="36"/>
  <c r="I1041" i="36"/>
  <c r="H1041" i="36"/>
  <c r="G1041" i="36"/>
  <c r="F1041" i="36"/>
  <c r="E1041" i="36"/>
  <c r="D1041" i="36"/>
  <c r="C1041" i="36"/>
  <c r="B1041" i="36"/>
  <c r="R1040" i="36"/>
  <c r="Q1040" i="36"/>
  <c r="P1040" i="36"/>
  <c r="O1040" i="36"/>
  <c r="N1040" i="36"/>
  <c r="M1040" i="36"/>
  <c r="L1040" i="36"/>
  <c r="K1040" i="36"/>
  <c r="J1040" i="36"/>
  <c r="I1040" i="36"/>
  <c r="H1040" i="36"/>
  <c r="G1040" i="36"/>
  <c r="F1040" i="36"/>
  <c r="E1040" i="36"/>
  <c r="D1040" i="36"/>
  <c r="C1040" i="36"/>
  <c r="B1040" i="36"/>
  <c r="R1039" i="36"/>
  <c r="Q1039" i="36"/>
  <c r="P1039" i="36"/>
  <c r="O1039" i="36"/>
  <c r="N1039" i="36"/>
  <c r="M1039" i="36"/>
  <c r="L1039" i="36"/>
  <c r="K1039" i="36"/>
  <c r="J1039" i="36"/>
  <c r="I1039" i="36"/>
  <c r="H1039" i="36"/>
  <c r="G1039" i="36"/>
  <c r="F1039" i="36"/>
  <c r="E1039" i="36"/>
  <c r="D1039" i="36"/>
  <c r="C1039" i="36"/>
  <c r="B1039" i="36"/>
  <c r="R1038" i="36"/>
  <c r="Q1038" i="36"/>
  <c r="P1038" i="36"/>
  <c r="O1038" i="36"/>
  <c r="N1038" i="36"/>
  <c r="M1038" i="36"/>
  <c r="L1038" i="36"/>
  <c r="K1038" i="36"/>
  <c r="J1038" i="36"/>
  <c r="I1038" i="36"/>
  <c r="H1038" i="36"/>
  <c r="G1038" i="36"/>
  <c r="F1038" i="36"/>
  <c r="E1038" i="36"/>
  <c r="D1038" i="36"/>
  <c r="C1038" i="36"/>
  <c r="B1038" i="36"/>
  <c r="R1037" i="36"/>
  <c r="Q1037" i="36"/>
  <c r="P1037" i="36"/>
  <c r="O1037" i="36"/>
  <c r="N1037" i="36"/>
  <c r="M1037" i="36"/>
  <c r="L1037" i="36"/>
  <c r="K1037" i="36"/>
  <c r="J1037" i="36"/>
  <c r="I1037" i="36"/>
  <c r="H1037" i="36"/>
  <c r="G1037" i="36"/>
  <c r="F1037" i="36"/>
  <c r="E1037" i="36"/>
  <c r="D1037" i="36"/>
  <c r="C1037" i="36"/>
  <c r="B1037" i="36"/>
  <c r="R1036" i="36"/>
  <c r="Q1036" i="36"/>
  <c r="P1036" i="36"/>
  <c r="O1036" i="36"/>
  <c r="N1036" i="36"/>
  <c r="M1036" i="36"/>
  <c r="L1036" i="36"/>
  <c r="K1036" i="36"/>
  <c r="J1036" i="36"/>
  <c r="I1036" i="36"/>
  <c r="H1036" i="36"/>
  <c r="G1036" i="36"/>
  <c r="F1036" i="36"/>
  <c r="E1036" i="36"/>
  <c r="D1036" i="36"/>
  <c r="C1036" i="36"/>
  <c r="B1036" i="36"/>
  <c r="R1035" i="36"/>
  <c r="Q1035" i="36"/>
  <c r="P1035" i="36"/>
  <c r="O1035" i="36"/>
  <c r="N1035" i="36"/>
  <c r="M1035" i="36"/>
  <c r="L1035" i="36"/>
  <c r="K1035" i="36"/>
  <c r="J1035" i="36"/>
  <c r="I1035" i="36"/>
  <c r="H1035" i="36"/>
  <c r="G1035" i="36"/>
  <c r="F1035" i="36"/>
  <c r="E1035" i="36"/>
  <c r="D1035" i="36"/>
  <c r="C1035" i="36"/>
  <c r="B1035" i="36"/>
  <c r="R1034" i="36"/>
  <c r="Q1034" i="36"/>
  <c r="P1034" i="36"/>
  <c r="O1034" i="36"/>
  <c r="N1034" i="36"/>
  <c r="M1034" i="36"/>
  <c r="L1034" i="36"/>
  <c r="K1034" i="36"/>
  <c r="J1034" i="36"/>
  <c r="I1034" i="36"/>
  <c r="H1034" i="36"/>
  <c r="G1034" i="36"/>
  <c r="F1034" i="36"/>
  <c r="E1034" i="36"/>
  <c r="D1034" i="36"/>
  <c r="C1034" i="36"/>
  <c r="B1034" i="36"/>
  <c r="R1033" i="36"/>
  <c r="Q1033" i="36"/>
  <c r="P1033" i="36"/>
  <c r="O1033" i="36"/>
  <c r="N1033" i="36"/>
  <c r="M1033" i="36"/>
  <c r="L1033" i="36"/>
  <c r="K1033" i="36"/>
  <c r="J1033" i="36"/>
  <c r="I1033" i="36"/>
  <c r="H1033" i="36"/>
  <c r="G1033" i="36"/>
  <c r="F1033" i="36"/>
  <c r="E1033" i="36"/>
  <c r="D1033" i="36"/>
  <c r="C1033" i="36"/>
  <c r="B1033" i="36"/>
  <c r="R1032" i="36"/>
  <c r="Q1032" i="36"/>
  <c r="P1032" i="36"/>
  <c r="O1032" i="36"/>
  <c r="N1032" i="36"/>
  <c r="M1032" i="36"/>
  <c r="L1032" i="36"/>
  <c r="K1032" i="36"/>
  <c r="J1032" i="36"/>
  <c r="I1032" i="36"/>
  <c r="H1032" i="36"/>
  <c r="G1032" i="36"/>
  <c r="F1032" i="36"/>
  <c r="E1032" i="36"/>
  <c r="D1032" i="36"/>
  <c r="C1032" i="36"/>
  <c r="B1032" i="36"/>
  <c r="R1031" i="36"/>
  <c r="Q1031" i="36"/>
  <c r="P1031" i="36"/>
  <c r="O1031" i="36"/>
  <c r="N1031" i="36"/>
  <c r="M1031" i="36"/>
  <c r="L1031" i="36"/>
  <c r="K1031" i="36"/>
  <c r="J1031" i="36"/>
  <c r="I1031" i="36"/>
  <c r="H1031" i="36"/>
  <c r="G1031" i="36"/>
  <c r="F1031" i="36"/>
  <c r="E1031" i="36"/>
  <c r="D1031" i="36"/>
  <c r="C1031" i="36"/>
  <c r="B1031" i="36"/>
  <c r="R1030" i="36"/>
  <c r="Q1030" i="36"/>
  <c r="P1030" i="36"/>
  <c r="O1030" i="36"/>
  <c r="N1030" i="36"/>
  <c r="M1030" i="36"/>
  <c r="L1030" i="36"/>
  <c r="K1030" i="36"/>
  <c r="J1030" i="36"/>
  <c r="I1030" i="36"/>
  <c r="H1030" i="36"/>
  <c r="G1030" i="36"/>
  <c r="F1030" i="36"/>
  <c r="E1030" i="36"/>
  <c r="D1030" i="36"/>
  <c r="C1030" i="36"/>
  <c r="B1030" i="36"/>
  <c r="R1029" i="36"/>
  <c r="Q1029" i="36"/>
  <c r="P1029" i="36"/>
  <c r="O1029" i="36"/>
  <c r="N1029" i="36"/>
  <c r="M1029" i="36"/>
  <c r="L1029" i="36"/>
  <c r="K1029" i="36"/>
  <c r="J1029" i="36"/>
  <c r="I1029" i="36"/>
  <c r="H1029" i="36"/>
  <c r="G1029" i="36"/>
  <c r="F1029" i="36"/>
  <c r="E1029" i="36"/>
  <c r="D1029" i="36"/>
  <c r="C1029" i="36"/>
  <c r="B1029" i="36"/>
  <c r="R1028" i="36"/>
  <c r="Q1028" i="36"/>
  <c r="P1028" i="36"/>
  <c r="O1028" i="36"/>
  <c r="N1028" i="36"/>
  <c r="M1028" i="36"/>
  <c r="L1028" i="36"/>
  <c r="K1028" i="36"/>
  <c r="J1028" i="36"/>
  <c r="I1028" i="36"/>
  <c r="H1028" i="36"/>
  <c r="G1028" i="36"/>
  <c r="F1028" i="36"/>
  <c r="E1028" i="36"/>
  <c r="D1028" i="36"/>
  <c r="C1028" i="36"/>
  <c r="B1028" i="36"/>
  <c r="R1027" i="36"/>
  <c r="Q1027" i="36"/>
  <c r="P1027" i="36"/>
  <c r="O1027" i="36"/>
  <c r="N1027" i="36"/>
  <c r="M1027" i="36"/>
  <c r="L1027" i="36"/>
  <c r="K1027" i="36"/>
  <c r="J1027" i="36"/>
  <c r="I1027" i="36"/>
  <c r="H1027" i="36"/>
  <c r="G1027" i="36"/>
  <c r="F1027" i="36"/>
  <c r="E1027" i="36"/>
  <c r="D1027" i="36"/>
  <c r="C1027" i="36"/>
  <c r="B1027" i="36"/>
  <c r="R1026" i="36"/>
  <c r="Q1026" i="36"/>
  <c r="P1026" i="36"/>
  <c r="O1026" i="36"/>
  <c r="N1026" i="36"/>
  <c r="M1026" i="36"/>
  <c r="L1026" i="36"/>
  <c r="K1026" i="36"/>
  <c r="J1026" i="36"/>
  <c r="I1026" i="36"/>
  <c r="H1026" i="36"/>
  <c r="G1026" i="36"/>
  <c r="F1026" i="36"/>
  <c r="E1026" i="36"/>
  <c r="D1026" i="36"/>
  <c r="C1026" i="36"/>
  <c r="B1026" i="36"/>
  <c r="R1025" i="36"/>
  <c r="Q1025" i="36"/>
  <c r="P1025" i="36"/>
  <c r="O1025" i="36"/>
  <c r="N1025" i="36"/>
  <c r="M1025" i="36"/>
  <c r="L1025" i="36"/>
  <c r="K1025" i="36"/>
  <c r="J1025" i="36"/>
  <c r="I1025" i="36"/>
  <c r="H1025" i="36"/>
  <c r="G1025" i="36"/>
  <c r="F1025" i="36"/>
  <c r="E1025" i="36"/>
  <c r="D1025" i="36"/>
  <c r="C1025" i="36"/>
  <c r="B1025" i="36"/>
  <c r="R1024" i="36"/>
  <c r="Q1024" i="36"/>
  <c r="P1024" i="36"/>
  <c r="O1024" i="36"/>
  <c r="N1024" i="36"/>
  <c r="M1024" i="36"/>
  <c r="L1024" i="36"/>
  <c r="K1024" i="36"/>
  <c r="J1024" i="36"/>
  <c r="I1024" i="36"/>
  <c r="H1024" i="36"/>
  <c r="G1024" i="36"/>
  <c r="F1024" i="36"/>
  <c r="E1024" i="36"/>
  <c r="D1024" i="36"/>
  <c r="C1024" i="36"/>
  <c r="B1024" i="36"/>
  <c r="R1023" i="36"/>
  <c r="Q1023" i="36"/>
  <c r="P1023" i="36"/>
  <c r="O1023" i="36"/>
  <c r="N1023" i="36"/>
  <c r="M1023" i="36"/>
  <c r="L1023" i="36"/>
  <c r="K1023" i="36"/>
  <c r="J1023" i="36"/>
  <c r="I1023" i="36"/>
  <c r="H1023" i="36"/>
  <c r="G1023" i="36"/>
  <c r="F1023" i="36"/>
  <c r="E1023" i="36"/>
  <c r="D1023" i="36"/>
  <c r="C1023" i="36"/>
  <c r="B1023" i="36"/>
  <c r="R1022" i="36"/>
  <c r="Q1022" i="36"/>
  <c r="P1022" i="36"/>
  <c r="O1022" i="36"/>
  <c r="N1022" i="36"/>
  <c r="M1022" i="36"/>
  <c r="L1022" i="36"/>
  <c r="K1022" i="36"/>
  <c r="J1022" i="36"/>
  <c r="I1022" i="36"/>
  <c r="H1022" i="36"/>
  <c r="G1022" i="36"/>
  <c r="F1022" i="36"/>
  <c r="E1022" i="36"/>
  <c r="D1022" i="36"/>
  <c r="C1022" i="36"/>
  <c r="B1022" i="36"/>
  <c r="R1021" i="36"/>
  <c r="Q1021" i="36"/>
  <c r="P1021" i="36"/>
  <c r="O1021" i="36"/>
  <c r="N1021" i="36"/>
  <c r="M1021" i="36"/>
  <c r="L1021" i="36"/>
  <c r="K1021" i="36"/>
  <c r="J1021" i="36"/>
  <c r="I1021" i="36"/>
  <c r="H1021" i="36"/>
  <c r="G1021" i="36"/>
  <c r="F1021" i="36"/>
  <c r="E1021" i="36"/>
  <c r="D1021" i="36"/>
  <c r="C1021" i="36"/>
  <c r="B1021" i="36"/>
  <c r="R1020" i="36"/>
  <c r="Q1020" i="36"/>
  <c r="P1020" i="36"/>
  <c r="O1020" i="36"/>
  <c r="N1020" i="36"/>
  <c r="M1020" i="36"/>
  <c r="L1020" i="36"/>
  <c r="K1020" i="36"/>
  <c r="J1020" i="36"/>
  <c r="I1020" i="36"/>
  <c r="H1020" i="36"/>
  <c r="G1020" i="36"/>
  <c r="F1020" i="36"/>
  <c r="E1020" i="36"/>
  <c r="D1020" i="36"/>
  <c r="C1020" i="36"/>
  <c r="B1020" i="36"/>
  <c r="R1019" i="36"/>
  <c r="Q1019" i="36"/>
  <c r="P1019" i="36"/>
  <c r="O1019" i="36"/>
  <c r="N1019" i="36"/>
  <c r="M1019" i="36"/>
  <c r="L1019" i="36"/>
  <c r="K1019" i="36"/>
  <c r="J1019" i="36"/>
  <c r="I1019" i="36"/>
  <c r="H1019" i="36"/>
  <c r="G1019" i="36"/>
  <c r="F1019" i="36"/>
  <c r="E1019" i="36"/>
  <c r="D1019" i="36"/>
  <c r="C1019" i="36"/>
  <c r="B1019" i="36"/>
  <c r="R1018" i="36"/>
  <c r="Q1018" i="36"/>
  <c r="P1018" i="36"/>
  <c r="O1018" i="36"/>
  <c r="N1018" i="36"/>
  <c r="M1018" i="36"/>
  <c r="L1018" i="36"/>
  <c r="K1018" i="36"/>
  <c r="J1018" i="36"/>
  <c r="I1018" i="36"/>
  <c r="H1018" i="36"/>
  <c r="G1018" i="36"/>
  <c r="F1018" i="36"/>
  <c r="E1018" i="36"/>
  <c r="D1018" i="36"/>
  <c r="C1018" i="36"/>
  <c r="B1018" i="36"/>
  <c r="R1017" i="36"/>
  <c r="Q1017" i="36"/>
  <c r="P1017" i="36"/>
  <c r="O1017" i="36"/>
  <c r="N1017" i="36"/>
  <c r="M1017" i="36"/>
  <c r="L1017" i="36"/>
  <c r="K1017" i="36"/>
  <c r="J1017" i="36"/>
  <c r="I1017" i="36"/>
  <c r="H1017" i="36"/>
  <c r="G1017" i="36"/>
  <c r="F1017" i="36"/>
  <c r="E1017" i="36"/>
  <c r="D1017" i="36"/>
  <c r="C1017" i="36"/>
  <c r="B1017" i="36"/>
  <c r="R1016" i="36"/>
  <c r="Q1016" i="36"/>
  <c r="P1016" i="36"/>
  <c r="O1016" i="36"/>
  <c r="N1016" i="36"/>
  <c r="M1016" i="36"/>
  <c r="L1016" i="36"/>
  <c r="K1016" i="36"/>
  <c r="J1016" i="36"/>
  <c r="I1016" i="36"/>
  <c r="H1016" i="36"/>
  <c r="G1016" i="36"/>
  <c r="F1016" i="36"/>
  <c r="E1016" i="36"/>
  <c r="D1016" i="36"/>
  <c r="C1016" i="36"/>
  <c r="B1016" i="36"/>
  <c r="R1015" i="36"/>
  <c r="Q1015" i="36"/>
  <c r="P1015" i="36"/>
  <c r="O1015" i="36"/>
  <c r="N1015" i="36"/>
  <c r="M1015" i="36"/>
  <c r="L1015" i="36"/>
  <c r="K1015" i="36"/>
  <c r="J1015" i="36"/>
  <c r="I1015" i="36"/>
  <c r="H1015" i="36"/>
  <c r="G1015" i="36"/>
  <c r="F1015" i="36"/>
  <c r="E1015" i="36"/>
  <c r="D1015" i="36"/>
  <c r="C1015" i="36"/>
  <c r="B1015" i="36"/>
  <c r="R1014" i="36"/>
  <c r="Q1014" i="36"/>
  <c r="P1014" i="36"/>
  <c r="O1014" i="36"/>
  <c r="N1014" i="36"/>
  <c r="M1014" i="36"/>
  <c r="L1014" i="36"/>
  <c r="K1014" i="36"/>
  <c r="J1014" i="36"/>
  <c r="I1014" i="36"/>
  <c r="H1014" i="36"/>
  <c r="G1014" i="36"/>
  <c r="F1014" i="36"/>
  <c r="E1014" i="36"/>
  <c r="D1014" i="36"/>
  <c r="C1014" i="36"/>
  <c r="B1014" i="36"/>
  <c r="R1013" i="36"/>
  <c r="Q1013" i="36"/>
  <c r="P1013" i="36"/>
  <c r="O1013" i="36"/>
  <c r="N1013" i="36"/>
  <c r="M1013" i="36"/>
  <c r="L1013" i="36"/>
  <c r="K1013" i="36"/>
  <c r="J1013" i="36"/>
  <c r="I1013" i="36"/>
  <c r="H1013" i="36"/>
  <c r="G1013" i="36"/>
  <c r="F1013" i="36"/>
  <c r="E1013" i="36"/>
  <c r="D1013" i="36"/>
  <c r="C1013" i="36"/>
  <c r="B1013" i="36"/>
  <c r="R1012" i="36"/>
  <c r="Q1012" i="36"/>
  <c r="P1012" i="36"/>
  <c r="O1012" i="36"/>
  <c r="N1012" i="36"/>
  <c r="M1012" i="36"/>
  <c r="L1012" i="36"/>
  <c r="K1012" i="36"/>
  <c r="J1012" i="36"/>
  <c r="I1012" i="36"/>
  <c r="H1012" i="36"/>
  <c r="G1012" i="36"/>
  <c r="F1012" i="36"/>
  <c r="E1012" i="36"/>
  <c r="D1012" i="36"/>
  <c r="C1012" i="36"/>
  <c r="B1012" i="36"/>
  <c r="R1011" i="36"/>
  <c r="Q1011" i="36"/>
  <c r="P1011" i="36"/>
  <c r="O1011" i="36"/>
  <c r="N1011" i="36"/>
  <c r="M1011" i="36"/>
  <c r="L1011" i="36"/>
  <c r="K1011" i="36"/>
  <c r="J1011" i="36"/>
  <c r="I1011" i="36"/>
  <c r="H1011" i="36"/>
  <c r="G1011" i="36"/>
  <c r="F1011" i="36"/>
  <c r="E1011" i="36"/>
  <c r="D1011" i="36"/>
  <c r="C1011" i="36"/>
  <c r="B1011" i="36"/>
  <c r="R1010" i="36"/>
  <c r="Q1010" i="36"/>
  <c r="P1010" i="36"/>
  <c r="O1010" i="36"/>
  <c r="N1010" i="36"/>
  <c r="M1010" i="36"/>
  <c r="L1010" i="36"/>
  <c r="K1010" i="36"/>
  <c r="J1010" i="36"/>
  <c r="I1010" i="36"/>
  <c r="H1010" i="36"/>
  <c r="G1010" i="36"/>
  <c r="F1010" i="36"/>
  <c r="E1010" i="36"/>
  <c r="D1010" i="36"/>
  <c r="C1010" i="36"/>
  <c r="B1010" i="36"/>
  <c r="R1009" i="36"/>
  <c r="Q1009" i="36"/>
  <c r="P1009" i="36"/>
  <c r="O1009" i="36"/>
  <c r="N1009" i="36"/>
  <c r="M1009" i="36"/>
  <c r="L1009" i="36"/>
  <c r="K1009" i="36"/>
  <c r="J1009" i="36"/>
  <c r="I1009" i="36"/>
  <c r="H1009" i="36"/>
  <c r="G1009" i="36"/>
  <c r="F1009" i="36"/>
  <c r="E1009" i="36"/>
  <c r="D1009" i="36"/>
  <c r="C1009" i="36"/>
  <c r="B1009" i="36"/>
  <c r="R1008" i="36"/>
  <c r="Q1008" i="36"/>
  <c r="P1008" i="36"/>
  <c r="O1008" i="36"/>
  <c r="N1008" i="36"/>
  <c r="M1008" i="36"/>
  <c r="L1008" i="36"/>
  <c r="K1008" i="36"/>
  <c r="J1008" i="36"/>
  <c r="I1008" i="36"/>
  <c r="H1008" i="36"/>
  <c r="G1008" i="36"/>
  <c r="F1008" i="36"/>
  <c r="E1008" i="36"/>
  <c r="D1008" i="36"/>
  <c r="C1008" i="36"/>
  <c r="B1008" i="36"/>
  <c r="R1007" i="36"/>
  <c r="Q1007" i="36"/>
  <c r="P1007" i="36"/>
  <c r="O1007" i="36"/>
  <c r="N1007" i="36"/>
  <c r="M1007" i="36"/>
  <c r="L1007" i="36"/>
  <c r="K1007" i="36"/>
  <c r="J1007" i="36"/>
  <c r="I1007" i="36"/>
  <c r="H1007" i="36"/>
  <c r="G1007" i="36"/>
  <c r="F1007" i="36"/>
  <c r="E1007" i="36"/>
  <c r="D1007" i="36"/>
  <c r="C1007" i="36"/>
  <c r="B1007" i="36"/>
  <c r="R1006" i="36"/>
  <c r="Q1006" i="36"/>
  <c r="P1006" i="36"/>
  <c r="O1006" i="36"/>
  <c r="N1006" i="36"/>
  <c r="M1006" i="36"/>
  <c r="L1006" i="36"/>
  <c r="K1006" i="36"/>
  <c r="J1006" i="36"/>
  <c r="I1006" i="36"/>
  <c r="H1006" i="36"/>
  <c r="G1006" i="36"/>
  <c r="F1006" i="36"/>
  <c r="E1006" i="36"/>
  <c r="D1006" i="36"/>
  <c r="C1006" i="36"/>
  <c r="B1006" i="36"/>
  <c r="R1005" i="36"/>
  <c r="Q1005" i="36"/>
  <c r="P1005" i="36"/>
  <c r="O1005" i="36"/>
  <c r="N1005" i="36"/>
  <c r="M1005" i="36"/>
  <c r="L1005" i="36"/>
  <c r="K1005" i="36"/>
  <c r="J1005" i="36"/>
  <c r="I1005" i="36"/>
  <c r="H1005" i="36"/>
  <c r="G1005" i="36"/>
  <c r="F1005" i="36"/>
  <c r="E1005" i="36"/>
  <c r="D1005" i="36"/>
  <c r="C1005" i="36"/>
  <c r="B1005" i="36"/>
  <c r="R1004" i="36"/>
  <c r="Q1004" i="36"/>
  <c r="P1004" i="36"/>
  <c r="O1004" i="36"/>
  <c r="N1004" i="36"/>
  <c r="M1004" i="36"/>
  <c r="L1004" i="36"/>
  <c r="K1004" i="36"/>
  <c r="J1004" i="36"/>
  <c r="I1004" i="36"/>
  <c r="H1004" i="36"/>
  <c r="G1004" i="36"/>
  <c r="F1004" i="36"/>
  <c r="E1004" i="36"/>
  <c r="D1004" i="36"/>
  <c r="C1004" i="36"/>
  <c r="B1004" i="36"/>
  <c r="R1003" i="36"/>
  <c r="Q1003" i="36"/>
  <c r="P1003" i="36"/>
  <c r="O1003" i="36"/>
  <c r="N1003" i="36"/>
  <c r="M1003" i="36"/>
  <c r="L1003" i="36"/>
  <c r="K1003" i="36"/>
  <c r="J1003" i="36"/>
  <c r="I1003" i="36"/>
  <c r="H1003" i="36"/>
  <c r="G1003" i="36"/>
  <c r="F1003" i="36"/>
  <c r="E1003" i="36"/>
  <c r="D1003" i="36"/>
  <c r="C1003" i="36"/>
  <c r="B1003" i="36"/>
  <c r="R1002" i="36"/>
  <c r="Q1002" i="36"/>
  <c r="P1002" i="36"/>
  <c r="O1002" i="36"/>
  <c r="N1002" i="36"/>
  <c r="M1002" i="36"/>
  <c r="L1002" i="36"/>
  <c r="K1002" i="36"/>
  <c r="J1002" i="36"/>
  <c r="I1002" i="36"/>
  <c r="H1002" i="36"/>
  <c r="G1002" i="36"/>
  <c r="F1002" i="36"/>
  <c r="E1002" i="36"/>
  <c r="D1002" i="36"/>
  <c r="C1002" i="36"/>
  <c r="B1002" i="36"/>
  <c r="R1001" i="36"/>
  <c r="Q1001" i="36"/>
  <c r="P1001" i="36"/>
  <c r="O1001" i="36"/>
  <c r="N1001" i="36"/>
  <c r="M1001" i="36"/>
  <c r="L1001" i="36"/>
  <c r="K1001" i="36"/>
  <c r="J1001" i="36"/>
  <c r="I1001" i="36"/>
  <c r="H1001" i="36"/>
  <c r="G1001" i="36"/>
  <c r="F1001" i="36"/>
  <c r="E1001" i="36"/>
  <c r="D1001" i="36"/>
  <c r="C1001" i="36"/>
  <c r="B1001" i="36"/>
  <c r="R1000" i="36"/>
  <c r="Q1000" i="36"/>
  <c r="P1000" i="36"/>
  <c r="O1000" i="36"/>
  <c r="N1000" i="36"/>
  <c r="M1000" i="36"/>
  <c r="L1000" i="36"/>
  <c r="K1000" i="36"/>
  <c r="J1000" i="36"/>
  <c r="I1000" i="36"/>
  <c r="H1000" i="36"/>
  <c r="G1000" i="36"/>
  <c r="F1000" i="36"/>
  <c r="E1000" i="36"/>
  <c r="D1000" i="36"/>
  <c r="C1000" i="36"/>
  <c r="B1000" i="36"/>
  <c r="R999" i="36"/>
  <c r="Q999" i="36"/>
  <c r="P999" i="36"/>
  <c r="O999" i="36"/>
  <c r="N999" i="36"/>
  <c r="M999" i="36"/>
  <c r="L999" i="36"/>
  <c r="K999" i="36"/>
  <c r="J999" i="36"/>
  <c r="I999" i="36"/>
  <c r="H999" i="36"/>
  <c r="G999" i="36"/>
  <c r="F999" i="36"/>
  <c r="E999" i="36"/>
  <c r="D999" i="36"/>
  <c r="C999" i="36"/>
  <c r="B999" i="36"/>
  <c r="R998" i="36"/>
  <c r="Q998" i="36"/>
  <c r="P998" i="36"/>
  <c r="O998" i="36"/>
  <c r="N998" i="36"/>
  <c r="M998" i="36"/>
  <c r="L998" i="36"/>
  <c r="K998" i="36"/>
  <c r="J998" i="36"/>
  <c r="I998" i="36"/>
  <c r="H998" i="36"/>
  <c r="G998" i="36"/>
  <c r="F998" i="36"/>
  <c r="E998" i="36"/>
  <c r="D998" i="36"/>
  <c r="C998" i="36"/>
  <c r="B998" i="36"/>
  <c r="R997" i="36"/>
  <c r="Q997" i="36"/>
  <c r="P997" i="36"/>
  <c r="O997" i="36"/>
  <c r="N997" i="36"/>
  <c r="M997" i="36"/>
  <c r="L997" i="36"/>
  <c r="K997" i="36"/>
  <c r="J997" i="36"/>
  <c r="I997" i="36"/>
  <c r="H997" i="36"/>
  <c r="G997" i="36"/>
  <c r="F997" i="36"/>
  <c r="E997" i="36"/>
  <c r="D997" i="36"/>
  <c r="C997" i="36"/>
  <c r="B997" i="36"/>
  <c r="R996" i="36"/>
  <c r="Q996" i="36"/>
  <c r="P996" i="36"/>
  <c r="O996" i="36"/>
  <c r="N996" i="36"/>
  <c r="M996" i="36"/>
  <c r="L996" i="36"/>
  <c r="K996" i="36"/>
  <c r="J996" i="36"/>
  <c r="I996" i="36"/>
  <c r="H996" i="36"/>
  <c r="G996" i="36"/>
  <c r="F996" i="36"/>
  <c r="E996" i="36"/>
  <c r="D996" i="36"/>
  <c r="C996" i="36"/>
  <c r="B996" i="36"/>
  <c r="R995" i="36"/>
  <c r="Q995" i="36"/>
  <c r="P995" i="36"/>
  <c r="O995" i="36"/>
  <c r="N995" i="36"/>
  <c r="M995" i="36"/>
  <c r="L995" i="36"/>
  <c r="K995" i="36"/>
  <c r="J995" i="36"/>
  <c r="I995" i="36"/>
  <c r="H995" i="36"/>
  <c r="G995" i="36"/>
  <c r="F995" i="36"/>
  <c r="E995" i="36"/>
  <c r="D995" i="36"/>
  <c r="C995" i="36"/>
  <c r="B995" i="36"/>
  <c r="R994" i="36"/>
  <c r="Q994" i="36"/>
  <c r="P994" i="36"/>
  <c r="O994" i="36"/>
  <c r="N994" i="36"/>
  <c r="M994" i="36"/>
  <c r="L994" i="36"/>
  <c r="K994" i="36"/>
  <c r="J994" i="36"/>
  <c r="I994" i="36"/>
  <c r="H994" i="36"/>
  <c r="G994" i="36"/>
  <c r="F994" i="36"/>
  <c r="E994" i="36"/>
  <c r="D994" i="36"/>
  <c r="C994" i="36"/>
  <c r="B994" i="36"/>
  <c r="R993" i="36"/>
  <c r="Q993" i="36"/>
  <c r="P993" i="36"/>
  <c r="O993" i="36"/>
  <c r="N993" i="36"/>
  <c r="M993" i="36"/>
  <c r="L993" i="36"/>
  <c r="K993" i="36"/>
  <c r="J993" i="36"/>
  <c r="I993" i="36"/>
  <c r="H993" i="36"/>
  <c r="G993" i="36"/>
  <c r="F993" i="36"/>
  <c r="E993" i="36"/>
  <c r="D993" i="36"/>
  <c r="C993" i="36"/>
  <c r="B993" i="36"/>
  <c r="R992" i="36"/>
  <c r="Q992" i="36"/>
  <c r="P992" i="36"/>
  <c r="O992" i="36"/>
  <c r="N992" i="36"/>
  <c r="M992" i="36"/>
  <c r="L992" i="36"/>
  <c r="K992" i="36"/>
  <c r="J992" i="36"/>
  <c r="I992" i="36"/>
  <c r="H992" i="36"/>
  <c r="G992" i="36"/>
  <c r="F992" i="36"/>
  <c r="E992" i="36"/>
  <c r="D992" i="36"/>
  <c r="C992" i="36"/>
  <c r="B992" i="36"/>
  <c r="R991" i="36"/>
  <c r="Q991" i="36"/>
  <c r="P991" i="36"/>
  <c r="O991" i="36"/>
  <c r="N991" i="36"/>
  <c r="M991" i="36"/>
  <c r="L991" i="36"/>
  <c r="K991" i="36"/>
  <c r="J991" i="36"/>
  <c r="I991" i="36"/>
  <c r="H991" i="36"/>
  <c r="G991" i="36"/>
  <c r="F991" i="36"/>
  <c r="E991" i="36"/>
  <c r="D991" i="36"/>
  <c r="C991" i="36"/>
  <c r="B991" i="36"/>
  <c r="R990" i="36"/>
  <c r="Q990" i="36"/>
  <c r="P990" i="36"/>
  <c r="O990" i="36"/>
  <c r="N990" i="36"/>
  <c r="M990" i="36"/>
  <c r="L990" i="36"/>
  <c r="K990" i="36"/>
  <c r="J990" i="36"/>
  <c r="I990" i="36"/>
  <c r="H990" i="36"/>
  <c r="G990" i="36"/>
  <c r="F990" i="36"/>
  <c r="E990" i="36"/>
  <c r="D990" i="36"/>
  <c r="C990" i="36"/>
  <c r="B990" i="36"/>
  <c r="R989" i="36"/>
  <c r="Q989" i="36"/>
  <c r="P989" i="36"/>
  <c r="O989" i="36"/>
  <c r="N989" i="36"/>
  <c r="M989" i="36"/>
  <c r="L989" i="36"/>
  <c r="K989" i="36"/>
  <c r="J989" i="36"/>
  <c r="I989" i="36"/>
  <c r="H989" i="36"/>
  <c r="G989" i="36"/>
  <c r="F989" i="36"/>
  <c r="E989" i="36"/>
  <c r="D989" i="36"/>
  <c r="C989" i="36"/>
  <c r="B989" i="36"/>
  <c r="R988" i="36"/>
  <c r="Q988" i="36"/>
  <c r="P988" i="36"/>
  <c r="O988" i="36"/>
  <c r="N988" i="36"/>
  <c r="M988" i="36"/>
  <c r="L988" i="36"/>
  <c r="K988" i="36"/>
  <c r="J988" i="36"/>
  <c r="I988" i="36"/>
  <c r="H988" i="36"/>
  <c r="G988" i="36"/>
  <c r="F988" i="36"/>
  <c r="E988" i="36"/>
  <c r="D988" i="36"/>
  <c r="C988" i="36"/>
  <c r="B988" i="36"/>
  <c r="R987" i="36"/>
  <c r="Q987" i="36"/>
  <c r="P987" i="36"/>
  <c r="O987" i="36"/>
  <c r="N987" i="36"/>
  <c r="M987" i="36"/>
  <c r="L987" i="36"/>
  <c r="K987" i="36"/>
  <c r="J987" i="36"/>
  <c r="I987" i="36"/>
  <c r="H987" i="36"/>
  <c r="G987" i="36"/>
  <c r="F987" i="36"/>
  <c r="E987" i="36"/>
  <c r="D987" i="36"/>
  <c r="C987" i="36"/>
  <c r="B987" i="36"/>
  <c r="R986" i="36"/>
  <c r="Q986" i="36"/>
  <c r="P986" i="36"/>
  <c r="O986" i="36"/>
  <c r="N986" i="36"/>
  <c r="M986" i="36"/>
  <c r="L986" i="36"/>
  <c r="K986" i="36"/>
  <c r="J986" i="36"/>
  <c r="I986" i="36"/>
  <c r="H986" i="36"/>
  <c r="G986" i="36"/>
  <c r="F986" i="36"/>
  <c r="E986" i="36"/>
  <c r="D986" i="36"/>
  <c r="C986" i="36"/>
  <c r="B986" i="36"/>
  <c r="R985" i="36"/>
  <c r="Q985" i="36"/>
  <c r="P985" i="36"/>
  <c r="O985" i="36"/>
  <c r="N985" i="36"/>
  <c r="M985" i="36"/>
  <c r="L985" i="36"/>
  <c r="K985" i="36"/>
  <c r="J985" i="36"/>
  <c r="I985" i="36"/>
  <c r="H985" i="36"/>
  <c r="G985" i="36"/>
  <c r="F985" i="36"/>
  <c r="E985" i="36"/>
  <c r="D985" i="36"/>
  <c r="C985" i="36"/>
  <c r="B985" i="36"/>
  <c r="R984" i="36"/>
  <c r="Q984" i="36"/>
  <c r="P984" i="36"/>
  <c r="O984" i="36"/>
  <c r="N984" i="36"/>
  <c r="M984" i="36"/>
  <c r="L984" i="36"/>
  <c r="K984" i="36"/>
  <c r="J984" i="36"/>
  <c r="I984" i="36"/>
  <c r="H984" i="36"/>
  <c r="G984" i="36"/>
  <c r="F984" i="36"/>
  <c r="E984" i="36"/>
  <c r="D984" i="36"/>
  <c r="C984" i="36"/>
  <c r="B984" i="36"/>
  <c r="R983" i="36"/>
  <c r="Q983" i="36"/>
  <c r="P983" i="36"/>
  <c r="O983" i="36"/>
  <c r="N983" i="36"/>
  <c r="M983" i="36"/>
  <c r="L983" i="36"/>
  <c r="K983" i="36"/>
  <c r="J983" i="36"/>
  <c r="I983" i="36"/>
  <c r="H983" i="36"/>
  <c r="G983" i="36"/>
  <c r="F983" i="36"/>
  <c r="E983" i="36"/>
  <c r="D983" i="36"/>
  <c r="C983" i="36"/>
  <c r="B983" i="36"/>
  <c r="R982" i="36"/>
  <c r="Q982" i="36"/>
  <c r="P982" i="36"/>
  <c r="O982" i="36"/>
  <c r="N982" i="36"/>
  <c r="M982" i="36"/>
  <c r="L982" i="36"/>
  <c r="K982" i="36"/>
  <c r="J982" i="36"/>
  <c r="I982" i="36"/>
  <c r="H982" i="36"/>
  <c r="G982" i="36"/>
  <c r="F982" i="36"/>
  <c r="E982" i="36"/>
  <c r="D982" i="36"/>
  <c r="C982" i="36"/>
  <c r="B982" i="36"/>
  <c r="R981" i="36"/>
  <c r="Q981" i="36"/>
  <c r="P981" i="36"/>
  <c r="O981" i="36"/>
  <c r="N981" i="36"/>
  <c r="M981" i="36"/>
  <c r="L981" i="36"/>
  <c r="K981" i="36"/>
  <c r="J981" i="36"/>
  <c r="I981" i="36"/>
  <c r="H981" i="36"/>
  <c r="G981" i="36"/>
  <c r="F981" i="36"/>
  <c r="E981" i="36"/>
  <c r="D981" i="36"/>
  <c r="C981" i="36"/>
  <c r="B981" i="36"/>
  <c r="R980" i="36"/>
  <c r="Q980" i="36"/>
  <c r="P980" i="36"/>
  <c r="O980" i="36"/>
  <c r="N980" i="36"/>
  <c r="M980" i="36"/>
  <c r="L980" i="36"/>
  <c r="K980" i="36"/>
  <c r="J980" i="36"/>
  <c r="I980" i="36"/>
  <c r="H980" i="36"/>
  <c r="G980" i="36"/>
  <c r="F980" i="36"/>
  <c r="E980" i="36"/>
  <c r="D980" i="36"/>
  <c r="C980" i="36"/>
  <c r="B980" i="36"/>
  <c r="R979" i="36"/>
  <c r="Q979" i="36"/>
  <c r="P979" i="36"/>
  <c r="O979" i="36"/>
  <c r="N979" i="36"/>
  <c r="M979" i="36"/>
  <c r="L979" i="36"/>
  <c r="K979" i="36"/>
  <c r="J979" i="36"/>
  <c r="I979" i="36"/>
  <c r="H979" i="36"/>
  <c r="G979" i="36"/>
  <c r="F979" i="36"/>
  <c r="E979" i="36"/>
  <c r="D979" i="36"/>
  <c r="C979" i="36"/>
  <c r="B979" i="36"/>
  <c r="R978" i="36"/>
  <c r="Q978" i="36"/>
  <c r="P978" i="36"/>
  <c r="O978" i="36"/>
  <c r="N978" i="36"/>
  <c r="M978" i="36"/>
  <c r="L978" i="36"/>
  <c r="K978" i="36"/>
  <c r="J978" i="36"/>
  <c r="I978" i="36"/>
  <c r="H978" i="36"/>
  <c r="G978" i="36"/>
  <c r="F978" i="36"/>
  <c r="E978" i="36"/>
  <c r="D978" i="36"/>
  <c r="C978" i="36"/>
  <c r="B978" i="36"/>
  <c r="R977" i="36"/>
  <c r="Q977" i="36"/>
  <c r="P977" i="36"/>
  <c r="O977" i="36"/>
  <c r="N977" i="36"/>
  <c r="M977" i="36"/>
  <c r="L977" i="36"/>
  <c r="K977" i="36"/>
  <c r="J977" i="36"/>
  <c r="I977" i="36"/>
  <c r="H977" i="36"/>
  <c r="G977" i="36"/>
  <c r="F977" i="36"/>
  <c r="E977" i="36"/>
  <c r="D977" i="36"/>
  <c r="C977" i="36"/>
  <c r="B977" i="36"/>
  <c r="R976" i="36"/>
  <c r="Q976" i="36"/>
  <c r="P976" i="36"/>
  <c r="O976" i="36"/>
  <c r="N976" i="36"/>
  <c r="M976" i="36"/>
  <c r="L976" i="36"/>
  <c r="K976" i="36"/>
  <c r="J976" i="36"/>
  <c r="I976" i="36"/>
  <c r="H976" i="36"/>
  <c r="G976" i="36"/>
  <c r="F976" i="36"/>
  <c r="E976" i="36"/>
  <c r="D976" i="36"/>
  <c r="C976" i="36"/>
  <c r="B976" i="36"/>
  <c r="R975" i="36"/>
  <c r="Q975" i="36"/>
  <c r="P975" i="36"/>
  <c r="O975" i="36"/>
  <c r="N975" i="36"/>
  <c r="M975" i="36"/>
  <c r="L975" i="36"/>
  <c r="K975" i="36"/>
  <c r="J975" i="36"/>
  <c r="I975" i="36"/>
  <c r="H975" i="36"/>
  <c r="G975" i="36"/>
  <c r="F975" i="36"/>
  <c r="E975" i="36"/>
  <c r="D975" i="36"/>
  <c r="C975" i="36"/>
  <c r="B975" i="36"/>
  <c r="R974" i="36"/>
  <c r="Q974" i="36"/>
  <c r="P974" i="36"/>
  <c r="O974" i="36"/>
  <c r="N974" i="36"/>
  <c r="M974" i="36"/>
  <c r="L974" i="36"/>
  <c r="K974" i="36"/>
  <c r="J974" i="36"/>
  <c r="I974" i="36"/>
  <c r="H974" i="36"/>
  <c r="G974" i="36"/>
  <c r="F974" i="36"/>
  <c r="E974" i="36"/>
  <c r="D974" i="36"/>
  <c r="C974" i="36"/>
  <c r="B974" i="36"/>
  <c r="R973" i="36"/>
  <c r="Q973" i="36"/>
  <c r="P973" i="36"/>
  <c r="O973" i="36"/>
  <c r="N973" i="36"/>
  <c r="M973" i="36"/>
  <c r="L973" i="36"/>
  <c r="K973" i="36"/>
  <c r="J973" i="36"/>
  <c r="I973" i="36"/>
  <c r="H973" i="36"/>
  <c r="G973" i="36"/>
  <c r="F973" i="36"/>
  <c r="E973" i="36"/>
  <c r="D973" i="36"/>
  <c r="C973" i="36"/>
  <c r="B973" i="36"/>
  <c r="R972" i="36"/>
  <c r="Q972" i="36"/>
  <c r="P972" i="36"/>
  <c r="O972" i="36"/>
  <c r="N972" i="36"/>
  <c r="M972" i="36"/>
  <c r="L972" i="36"/>
  <c r="K972" i="36"/>
  <c r="J972" i="36"/>
  <c r="I972" i="36"/>
  <c r="H972" i="36"/>
  <c r="G972" i="36"/>
  <c r="F972" i="36"/>
  <c r="E972" i="36"/>
  <c r="D972" i="36"/>
  <c r="C972" i="36"/>
  <c r="B972" i="36"/>
  <c r="R971" i="36"/>
  <c r="Q971" i="36"/>
  <c r="P971" i="36"/>
  <c r="O971" i="36"/>
  <c r="N971" i="36"/>
  <c r="M971" i="36"/>
  <c r="L971" i="36"/>
  <c r="K971" i="36"/>
  <c r="J971" i="36"/>
  <c r="I971" i="36"/>
  <c r="H971" i="36"/>
  <c r="G971" i="36"/>
  <c r="F971" i="36"/>
  <c r="E971" i="36"/>
  <c r="D971" i="36"/>
  <c r="C971" i="36"/>
  <c r="B971" i="36"/>
  <c r="R970" i="36"/>
  <c r="Q970" i="36"/>
  <c r="P970" i="36"/>
  <c r="O970" i="36"/>
  <c r="N970" i="36"/>
  <c r="M970" i="36"/>
  <c r="L970" i="36"/>
  <c r="K970" i="36"/>
  <c r="J970" i="36"/>
  <c r="I970" i="36"/>
  <c r="H970" i="36"/>
  <c r="G970" i="36"/>
  <c r="F970" i="36"/>
  <c r="E970" i="36"/>
  <c r="D970" i="36"/>
  <c r="C970" i="36"/>
  <c r="B970" i="36"/>
  <c r="R969" i="36"/>
  <c r="Q969" i="36"/>
  <c r="P969" i="36"/>
  <c r="O969" i="36"/>
  <c r="N969" i="36"/>
  <c r="M969" i="36"/>
  <c r="L969" i="36"/>
  <c r="K969" i="36"/>
  <c r="J969" i="36"/>
  <c r="I969" i="36"/>
  <c r="H969" i="36"/>
  <c r="G969" i="36"/>
  <c r="F969" i="36"/>
  <c r="E969" i="36"/>
  <c r="D969" i="36"/>
  <c r="C969" i="36"/>
  <c r="B969" i="36"/>
  <c r="R968" i="36"/>
  <c r="Q968" i="36"/>
  <c r="P968" i="36"/>
  <c r="O968" i="36"/>
  <c r="N968" i="36"/>
  <c r="M968" i="36"/>
  <c r="L968" i="36"/>
  <c r="K968" i="36"/>
  <c r="J968" i="36"/>
  <c r="I968" i="36"/>
  <c r="H968" i="36"/>
  <c r="G968" i="36"/>
  <c r="F968" i="36"/>
  <c r="E968" i="36"/>
  <c r="D968" i="36"/>
  <c r="C968" i="36"/>
  <c r="B968" i="36"/>
  <c r="R967" i="36"/>
  <c r="Q967" i="36"/>
  <c r="P967" i="36"/>
  <c r="O967" i="36"/>
  <c r="N967" i="36"/>
  <c r="M967" i="36"/>
  <c r="L967" i="36"/>
  <c r="K967" i="36"/>
  <c r="J967" i="36"/>
  <c r="I967" i="36"/>
  <c r="H967" i="36"/>
  <c r="G967" i="36"/>
  <c r="F967" i="36"/>
  <c r="E967" i="36"/>
  <c r="D967" i="36"/>
  <c r="C967" i="36"/>
  <c r="B967" i="36"/>
  <c r="R966" i="36"/>
  <c r="Q966" i="36"/>
  <c r="P966" i="36"/>
  <c r="O966" i="36"/>
  <c r="N966" i="36"/>
  <c r="M966" i="36"/>
  <c r="L966" i="36"/>
  <c r="K966" i="36"/>
  <c r="J966" i="36"/>
  <c r="I966" i="36"/>
  <c r="H966" i="36"/>
  <c r="G966" i="36"/>
  <c r="F966" i="36"/>
  <c r="E966" i="36"/>
  <c r="D966" i="36"/>
  <c r="C966" i="36"/>
  <c r="B966" i="36"/>
  <c r="R965" i="36"/>
  <c r="Q965" i="36"/>
  <c r="P965" i="36"/>
  <c r="O965" i="36"/>
  <c r="N965" i="36"/>
  <c r="M965" i="36"/>
  <c r="L965" i="36"/>
  <c r="K965" i="36"/>
  <c r="J965" i="36"/>
  <c r="I965" i="36"/>
  <c r="H965" i="36"/>
  <c r="G965" i="36"/>
  <c r="F965" i="36"/>
  <c r="E965" i="36"/>
  <c r="D965" i="36"/>
  <c r="C965" i="36"/>
  <c r="B965" i="36"/>
  <c r="R964" i="36"/>
  <c r="Q964" i="36"/>
  <c r="P964" i="36"/>
  <c r="O964" i="36"/>
  <c r="N964" i="36"/>
  <c r="M964" i="36"/>
  <c r="L964" i="36"/>
  <c r="K964" i="36"/>
  <c r="J964" i="36"/>
  <c r="I964" i="36"/>
  <c r="H964" i="36"/>
  <c r="G964" i="36"/>
  <c r="F964" i="36"/>
  <c r="E964" i="36"/>
  <c r="D964" i="36"/>
  <c r="C964" i="36"/>
  <c r="B964" i="36"/>
  <c r="R963" i="36"/>
  <c r="Q963" i="36"/>
  <c r="P963" i="36"/>
  <c r="O963" i="36"/>
  <c r="N963" i="36"/>
  <c r="M963" i="36"/>
  <c r="L963" i="36"/>
  <c r="K963" i="36"/>
  <c r="J963" i="36"/>
  <c r="I963" i="36"/>
  <c r="H963" i="36"/>
  <c r="G963" i="36"/>
  <c r="F963" i="36"/>
  <c r="E963" i="36"/>
  <c r="D963" i="36"/>
  <c r="C963" i="36"/>
  <c r="B963" i="36"/>
  <c r="R962" i="36"/>
  <c r="Q962" i="36"/>
  <c r="P962" i="36"/>
  <c r="O962" i="36"/>
  <c r="N962" i="36"/>
  <c r="M962" i="36"/>
  <c r="L962" i="36"/>
  <c r="K962" i="36"/>
  <c r="J962" i="36"/>
  <c r="I962" i="36"/>
  <c r="H962" i="36"/>
  <c r="G962" i="36"/>
  <c r="F962" i="36"/>
  <c r="E962" i="36"/>
  <c r="D962" i="36"/>
  <c r="C962" i="36"/>
  <c r="B962" i="36"/>
  <c r="R961" i="36"/>
  <c r="Q961" i="36"/>
  <c r="P961" i="36"/>
  <c r="O961" i="36"/>
  <c r="N961" i="36"/>
  <c r="M961" i="36"/>
  <c r="L961" i="36"/>
  <c r="K961" i="36"/>
  <c r="J961" i="36"/>
  <c r="I961" i="36"/>
  <c r="H961" i="36"/>
  <c r="G961" i="36"/>
  <c r="F961" i="36"/>
  <c r="E961" i="36"/>
  <c r="D961" i="36"/>
  <c r="C961" i="36"/>
  <c r="B961" i="36"/>
  <c r="R960" i="36"/>
  <c r="Q960" i="36"/>
  <c r="P960" i="36"/>
  <c r="O960" i="36"/>
  <c r="N960" i="36"/>
  <c r="M960" i="36"/>
  <c r="L960" i="36"/>
  <c r="K960" i="36"/>
  <c r="J960" i="36"/>
  <c r="I960" i="36"/>
  <c r="H960" i="36"/>
  <c r="G960" i="36"/>
  <c r="F960" i="36"/>
  <c r="E960" i="36"/>
  <c r="D960" i="36"/>
  <c r="C960" i="36"/>
  <c r="B960" i="36"/>
  <c r="R959" i="36"/>
  <c r="Q959" i="36"/>
  <c r="P959" i="36"/>
  <c r="O959" i="36"/>
  <c r="N959" i="36"/>
  <c r="M959" i="36"/>
  <c r="L959" i="36"/>
  <c r="K959" i="36"/>
  <c r="J959" i="36"/>
  <c r="I959" i="36"/>
  <c r="H959" i="36"/>
  <c r="G959" i="36"/>
  <c r="F959" i="36"/>
  <c r="E959" i="36"/>
  <c r="D959" i="36"/>
  <c r="C959" i="36"/>
  <c r="B959" i="36"/>
  <c r="R958" i="36"/>
  <c r="Q958" i="36"/>
  <c r="P958" i="36"/>
  <c r="O958" i="36"/>
  <c r="N958" i="36"/>
  <c r="M958" i="36"/>
  <c r="L958" i="36"/>
  <c r="K958" i="36"/>
  <c r="J958" i="36"/>
  <c r="I958" i="36"/>
  <c r="H958" i="36"/>
  <c r="G958" i="36"/>
  <c r="F958" i="36"/>
  <c r="E958" i="36"/>
  <c r="D958" i="36"/>
  <c r="C958" i="36"/>
  <c r="B958" i="36"/>
  <c r="R957" i="36"/>
  <c r="Q957" i="36"/>
  <c r="P957" i="36"/>
  <c r="O957" i="36"/>
  <c r="N957" i="36"/>
  <c r="M957" i="36"/>
  <c r="L957" i="36"/>
  <c r="K957" i="36"/>
  <c r="J957" i="36"/>
  <c r="I957" i="36"/>
  <c r="H957" i="36"/>
  <c r="G957" i="36"/>
  <c r="F957" i="36"/>
  <c r="E957" i="36"/>
  <c r="D957" i="36"/>
  <c r="C957" i="36"/>
  <c r="B957" i="36"/>
  <c r="R956" i="36"/>
  <c r="Q956" i="36"/>
  <c r="P956" i="36"/>
  <c r="O956" i="36"/>
  <c r="N956" i="36"/>
  <c r="M956" i="36"/>
  <c r="L956" i="36"/>
  <c r="K956" i="36"/>
  <c r="J956" i="36"/>
  <c r="I956" i="36"/>
  <c r="H956" i="36"/>
  <c r="G956" i="36"/>
  <c r="F956" i="36"/>
  <c r="E956" i="36"/>
  <c r="D956" i="36"/>
  <c r="C956" i="36"/>
  <c r="B956" i="36"/>
  <c r="R955" i="36"/>
  <c r="Q955" i="36"/>
  <c r="P955" i="36"/>
  <c r="O955" i="36"/>
  <c r="N955" i="36"/>
  <c r="M955" i="36"/>
  <c r="L955" i="36"/>
  <c r="K955" i="36"/>
  <c r="J955" i="36"/>
  <c r="I955" i="36"/>
  <c r="H955" i="36"/>
  <c r="G955" i="36"/>
  <c r="F955" i="36"/>
  <c r="E955" i="36"/>
  <c r="D955" i="36"/>
  <c r="C955" i="36"/>
  <c r="B955" i="36"/>
  <c r="R954" i="36"/>
  <c r="Q954" i="36"/>
  <c r="P954" i="36"/>
  <c r="O954" i="36"/>
  <c r="N954" i="36"/>
  <c r="M954" i="36"/>
  <c r="L954" i="36"/>
  <c r="K954" i="36"/>
  <c r="J954" i="36"/>
  <c r="I954" i="36"/>
  <c r="H954" i="36"/>
  <c r="G954" i="36"/>
  <c r="F954" i="36"/>
  <c r="E954" i="36"/>
  <c r="D954" i="36"/>
  <c r="C954" i="36"/>
  <c r="B954" i="36"/>
  <c r="R953" i="36"/>
  <c r="Q953" i="36"/>
  <c r="P953" i="36"/>
  <c r="O953" i="36"/>
  <c r="N953" i="36"/>
  <c r="M953" i="36"/>
  <c r="L953" i="36"/>
  <c r="K953" i="36"/>
  <c r="J953" i="36"/>
  <c r="I953" i="36"/>
  <c r="H953" i="36"/>
  <c r="G953" i="36"/>
  <c r="F953" i="36"/>
  <c r="E953" i="36"/>
  <c r="D953" i="36"/>
  <c r="C953" i="36"/>
  <c r="B953" i="36"/>
  <c r="R952" i="36"/>
  <c r="Q952" i="36"/>
  <c r="P952" i="36"/>
  <c r="O952" i="36"/>
  <c r="N952" i="36"/>
  <c r="M952" i="36"/>
  <c r="L952" i="36"/>
  <c r="K952" i="36"/>
  <c r="J952" i="36"/>
  <c r="I952" i="36"/>
  <c r="H952" i="36"/>
  <c r="G952" i="36"/>
  <c r="F952" i="36"/>
  <c r="E952" i="36"/>
  <c r="D952" i="36"/>
  <c r="C952" i="36"/>
  <c r="B952" i="36"/>
  <c r="R951" i="36"/>
  <c r="Q951" i="36"/>
  <c r="P951" i="36"/>
  <c r="O951" i="36"/>
  <c r="N951" i="36"/>
  <c r="M951" i="36"/>
  <c r="L951" i="36"/>
  <c r="K951" i="36"/>
  <c r="J951" i="36"/>
  <c r="I951" i="36"/>
  <c r="H951" i="36"/>
  <c r="G951" i="36"/>
  <c r="F951" i="36"/>
  <c r="E951" i="36"/>
  <c r="D951" i="36"/>
  <c r="C951" i="36"/>
  <c r="B951" i="36"/>
  <c r="R950" i="36"/>
  <c r="Q950" i="36"/>
  <c r="P950" i="36"/>
  <c r="O950" i="36"/>
  <c r="N950" i="36"/>
  <c r="M950" i="36"/>
  <c r="L950" i="36"/>
  <c r="K950" i="36"/>
  <c r="J950" i="36"/>
  <c r="I950" i="36"/>
  <c r="H950" i="36"/>
  <c r="G950" i="36"/>
  <c r="F950" i="36"/>
  <c r="E950" i="36"/>
  <c r="D950" i="36"/>
  <c r="C950" i="36"/>
  <c r="B950" i="36"/>
  <c r="R949" i="36"/>
  <c r="Q949" i="36"/>
  <c r="P949" i="36"/>
  <c r="O949" i="36"/>
  <c r="N949" i="36"/>
  <c r="M949" i="36"/>
  <c r="L949" i="36"/>
  <c r="K949" i="36"/>
  <c r="J949" i="36"/>
  <c r="I949" i="36"/>
  <c r="H949" i="36"/>
  <c r="G949" i="36"/>
  <c r="F949" i="36"/>
  <c r="E949" i="36"/>
  <c r="D949" i="36"/>
  <c r="C949" i="36"/>
  <c r="B949" i="36"/>
  <c r="R948" i="36"/>
  <c r="Q948" i="36"/>
  <c r="P948" i="36"/>
  <c r="O948" i="36"/>
  <c r="N948" i="36"/>
  <c r="M948" i="36"/>
  <c r="L948" i="36"/>
  <c r="K948" i="36"/>
  <c r="J948" i="36"/>
  <c r="I948" i="36"/>
  <c r="H948" i="36"/>
  <c r="G948" i="36"/>
  <c r="F948" i="36"/>
  <c r="E948" i="36"/>
  <c r="D948" i="36"/>
  <c r="C948" i="36"/>
  <c r="B948" i="36"/>
  <c r="R947" i="36"/>
  <c r="Q947" i="36"/>
  <c r="P947" i="36"/>
  <c r="O947" i="36"/>
  <c r="N947" i="36"/>
  <c r="M947" i="36"/>
  <c r="L947" i="36"/>
  <c r="K947" i="36"/>
  <c r="J947" i="36"/>
  <c r="I947" i="36"/>
  <c r="H947" i="36"/>
  <c r="G947" i="36"/>
  <c r="F947" i="36"/>
  <c r="E947" i="36"/>
  <c r="D947" i="36"/>
  <c r="C947" i="36"/>
  <c r="B947" i="36"/>
  <c r="R946" i="36"/>
  <c r="Q946" i="36"/>
  <c r="P946" i="36"/>
  <c r="O946" i="36"/>
  <c r="N946" i="36"/>
  <c r="M946" i="36"/>
  <c r="L946" i="36"/>
  <c r="K946" i="36"/>
  <c r="J946" i="36"/>
  <c r="I946" i="36"/>
  <c r="H946" i="36"/>
  <c r="G946" i="36"/>
  <c r="F946" i="36"/>
  <c r="E946" i="36"/>
  <c r="D946" i="36"/>
  <c r="C946" i="36"/>
  <c r="B946" i="36"/>
  <c r="R945" i="36"/>
  <c r="Q945" i="36"/>
  <c r="P945" i="36"/>
  <c r="O945" i="36"/>
  <c r="N945" i="36"/>
  <c r="M945" i="36"/>
  <c r="L945" i="36"/>
  <c r="K945" i="36"/>
  <c r="J945" i="36"/>
  <c r="I945" i="36"/>
  <c r="H945" i="36"/>
  <c r="G945" i="36"/>
  <c r="F945" i="36"/>
  <c r="E945" i="36"/>
  <c r="D945" i="36"/>
  <c r="C945" i="36"/>
  <c r="B945" i="36"/>
  <c r="R944" i="36"/>
  <c r="Q944" i="36"/>
  <c r="P944" i="36"/>
  <c r="O944" i="36"/>
  <c r="N944" i="36"/>
  <c r="M944" i="36"/>
  <c r="L944" i="36"/>
  <c r="K944" i="36"/>
  <c r="J944" i="36"/>
  <c r="I944" i="36"/>
  <c r="H944" i="36"/>
  <c r="G944" i="36"/>
  <c r="F944" i="36"/>
  <c r="E944" i="36"/>
  <c r="D944" i="36"/>
  <c r="C944" i="36"/>
  <c r="B944" i="36"/>
  <c r="R943" i="36"/>
  <c r="Q943" i="36"/>
  <c r="P943" i="36"/>
  <c r="O943" i="36"/>
  <c r="N943" i="36"/>
  <c r="M943" i="36"/>
  <c r="L943" i="36"/>
  <c r="K943" i="36"/>
  <c r="J943" i="36"/>
  <c r="I943" i="36"/>
  <c r="H943" i="36"/>
  <c r="G943" i="36"/>
  <c r="F943" i="36"/>
  <c r="E943" i="36"/>
  <c r="D943" i="36"/>
  <c r="C943" i="36"/>
  <c r="B943" i="36"/>
  <c r="R942" i="36"/>
  <c r="Q942" i="36"/>
  <c r="P942" i="36"/>
  <c r="O942" i="36"/>
  <c r="N942" i="36"/>
  <c r="M942" i="36"/>
  <c r="L942" i="36"/>
  <c r="K942" i="36"/>
  <c r="J942" i="36"/>
  <c r="I942" i="36"/>
  <c r="H942" i="36"/>
  <c r="G942" i="36"/>
  <c r="F942" i="36"/>
  <c r="E942" i="36"/>
  <c r="D942" i="36"/>
  <c r="C942" i="36"/>
  <c r="B942" i="36"/>
  <c r="R941" i="36"/>
  <c r="Q941" i="36"/>
  <c r="P941" i="36"/>
  <c r="O941" i="36"/>
  <c r="N941" i="36"/>
  <c r="M941" i="36"/>
  <c r="L941" i="36"/>
  <c r="K941" i="36"/>
  <c r="J941" i="36"/>
  <c r="I941" i="36"/>
  <c r="H941" i="36"/>
  <c r="G941" i="36"/>
  <c r="F941" i="36"/>
  <c r="E941" i="36"/>
  <c r="D941" i="36"/>
  <c r="C941" i="36"/>
  <c r="B941" i="36"/>
  <c r="R940" i="36"/>
  <c r="Q940" i="36"/>
  <c r="P940" i="36"/>
  <c r="O940" i="36"/>
  <c r="N940" i="36"/>
  <c r="M940" i="36"/>
  <c r="L940" i="36"/>
  <c r="K940" i="36"/>
  <c r="J940" i="36"/>
  <c r="I940" i="36"/>
  <c r="H940" i="36"/>
  <c r="G940" i="36"/>
  <c r="F940" i="36"/>
  <c r="E940" i="36"/>
  <c r="D940" i="36"/>
  <c r="C940" i="36"/>
  <c r="B940" i="36"/>
  <c r="R939" i="36"/>
  <c r="Q939" i="36"/>
  <c r="P939" i="36"/>
  <c r="O939" i="36"/>
  <c r="N939" i="36"/>
  <c r="M939" i="36"/>
  <c r="L939" i="36"/>
  <c r="K939" i="36"/>
  <c r="J939" i="36"/>
  <c r="I939" i="36"/>
  <c r="H939" i="36"/>
  <c r="G939" i="36"/>
  <c r="F939" i="36"/>
  <c r="E939" i="36"/>
  <c r="D939" i="36"/>
  <c r="C939" i="36"/>
  <c r="B939" i="36"/>
  <c r="R938" i="36"/>
  <c r="Q938" i="36"/>
  <c r="P938" i="36"/>
  <c r="O938" i="36"/>
  <c r="N938" i="36"/>
  <c r="M938" i="36"/>
  <c r="L938" i="36"/>
  <c r="K938" i="36"/>
  <c r="J938" i="36"/>
  <c r="I938" i="36"/>
  <c r="H938" i="36"/>
  <c r="G938" i="36"/>
  <c r="F938" i="36"/>
  <c r="E938" i="36"/>
  <c r="D938" i="36"/>
  <c r="C938" i="36"/>
  <c r="B938" i="36"/>
  <c r="R937" i="36"/>
  <c r="Q937" i="36"/>
  <c r="P937" i="36"/>
  <c r="O937" i="36"/>
  <c r="N937" i="36"/>
  <c r="M937" i="36"/>
  <c r="L937" i="36"/>
  <c r="K937" i="36"/>
  <c r="J937" i="36"/>
  <c r="I937" i="36"/>
  <c r="H937" i="36"/>
  <c r="G937" i="36"/>
  <c r="F937" i="36"/>
  <c r="E937" i="36"/>
  <c r="D937" i="36"/>
  <c r="C937" i="36"/>
  <c r="B937" i="36"/>
  <c r="R936" i="36"/>
  <c r="Q936" i="36"/>
  <c r="P936" i="36"/>
  <c r="O936" i="36"/>
  <c r="N936" i="36"/>
  <c r="M936" i="36"/>
  <c r="L936" i="36"/>
  <c r="K936" i="36"/>
  <c r="J936" i="36"/>
  <c r="I936" i="36"/>
  <c r="H936" i="36"/>
  <c r="G936" i="36"/>
  <c r="F936" i="36"/>
  <c r="E936" i="36"/>
  <c r="D936" i="36"/>
  <c r="C936" i="36"/>
  <c r="B936" i="36"/>
  <c r="R935" i="36"/>
  <c r="Q935" i="36"/>
  <c r="P935" i="36"/>
  <c r="O935" i="36"/>
  <c r="N935" i="36"/>
  <c r="M935" i="36"/>
  <c r="L935" i="36"/>
  <c r="K935" i="36"/>
  <c r="J935" i="36"/>
  <c r="I935" i="36"/>
  <c r="H935" i="36"/>
  <c r="G935" i="36"/>
  <c r="F935" i="36"/>
  <c r="E935" i="36"/>
  <c r="D935" i="36"/>
  <c r="C935" i="36"/>
  <c r="B935" i="36"/>
  <c r="R934" i="36"/>
  <c r="Q934" i="36"/>
  <c r="P934" i="36"/>
  <c r="O934" i="36"/>
  <c r="N934" i="36"/>
  <c r="M934" i="36"/>
  <c r="L934" i="36"/>
  <c r="K934" i="36"/>
  <c r="J934" i="36"/>
  <c r="I934" i="36"/>
  <c r="H934" i="36"/>
  <c r="G934" i="36"/>
  <c r="F934" i="36"/>
  <c r="E934" i="36"/>
  <c r="D934" i="36"/>
  <c r="C934" i="36"/>
  <c r="B934" i="36"/>
  <c r="R933" i="36"/>
  <c r="Q933" i="36"/>
  <c r="P933" i="36"/>
  <c r="O933" i="36"/>
  <c r="N933" i="36"/>
  <c r="M933" i="36"/>
  <c r="L933" i="36"/>
  <c r="K933" i="36"/>
  <c r="J933" i="36"/>
  <c r="I933" i="36"/>
  <c r="H933" i="36"/>
  <c r="G933" i="36"/>
  <c r="F933" i="36"/>
  <c r="E933" i="36"/>
  <c r="D933" i="36"/>
  <c r="C933" i="36"/>
  <c r="B933" i="36"/>
  <c r="R932" i="36"/>
  <c r="Q932" i="36"/>
  <c r="P932" i="36"/>
  <c r="O932" i="36"/>
  <c r="N932" i="36"/>
  <c r="M932" i="36"/>
  <c r="L932" i="36"/>
  <c r="K932" i="36"/>
  <c r="J932" i="36"/>
  <c r="I932" i="36"/>
  <c r="H932" i="36"/>
  <c r="G932" i="36"/>
  <c r="F932" i="36"/>
  <c r="E932" i="36"/>
  <c r="D932" i="36"/>
  <c r="C932" i="36"/>
  <c r="B932" i="36"/>
  <c r="R931" i="36"/>
  <c r="Q931" i="36"/>
  <c r="P931" i="36"/>
  <c r="O931" i="36"/>
  <c r="N931" i="36"/>
  <c r="M931" i="36"/>
  <c r="L931" i="36"/>
  <c r="K931" i="36"/>
  <c r="J931" i="36"/>
  <c r="I931" i="36"/>
  <c r="H931" i="36"/>
  <c r="G931" i="36"/>
  <c r="F931" i="36"/>
  <c r="E931" i="36"/>
  <c r="D931" i="36"/>
  <c r="C931" i="36"/>
  <c r="B931" i="36"/>
  <c r="R930" i="36"/>
  <c r="Q930" i="36"/>
  <c r="P930" i="36"/>
  <c r="O930" i="36"/>
  <c r="N930" i="36"/>
  <c r="M930" i="36"/>
  <c r="L930" i="36"/>
  <c r="K930" i="36"/>
  <c r="J930" i="36"/>
  <c r="I930" i="36"/>
  <c r="H930" i="36"/>
  <c r="G930" i="36"/>
  <c r="F930" i="36"/>
  <c r="E930" i="36"/>
  <c r="D930" i="36"/>
  <c r="C930" i="36"/>
  <c r="B930" i="36"/>
  <c r="R929" i="36"/>
  <c r="Q929" i="36"/>
  <c r="P929" i="36"/>
  <c r="O929" i="36"/>
  <c r="N929" i="36"/>
  <c r="M929" i="36"/>
  <c r="L929" i="36"/>
  <c r="K929" i="36"/>
  <c r="J929" i="36"/>
  <c r="I929" i="36"/>
  <c r="H929" i="36"/>
  <c r="G929" i="36"/>
  <c r="F929" i="36"/>
  <c r="E929" i="36"/>
  <c r="D929" i="36"/>
  <c r="C929" i="36"/>
  <c r="B929" i="36"/>
  <c r="R928" i="36"/>
  <c r="Q928" i="36"/>
  <c r="P928" i="36"/>
  <c r="O928" i="36"/>
  <c r="N928" i="36"/>
  <c r="M928" i="36"/>
  <c r="L928" i="36"/>
  <c r="K928" i="36"/>
  <c r="J928" i="36"/>
  <c r="I928" i="36"/>
  <c r="H928" i="36"/>
  <c r="G928" i="36"/>
  <c r="F928" i="36"/>
  <c r="E928" i="36"/>
  <c r="D928" i="36"/>
  <c r="C928" i="36"/>
  <c r="B928" i="36"/>
  <c r="R927" i="36"/>
  <c r="Q927" i="36"/>
  <c r="P927" i="36"/>
  <c r="O927" i="36"/>
  <c r="N927" i="36"/>
  <c r="M927" i="36"/>
  <c r="L927" i="36"/>
  <c r="K927" i="36"/>
  <c r="J927" i="36"/>
  <c r="I927" i="36"/>
  <c r="H927" i="36"/>
  <c r="G927" i="36"/>
  <c r="F927" i="36"/>
  <c r="E927" i="36"/>
  <c r="D927" i="36"/>
  <c r="C927" i="36"/>
  <c r="B927" i="36"/>
  <c r="R926" i="36"/>
  <c r="Q926" i="36"/>
  <c r="P926" i="36"/>
  <c r="O926" i="36"/>
  <c r="N926" i="36"/>
  <c r="M926" i="36"/>
  <c r="L926" i="36"/>
  <c r="K926" i="36"/>
  <c r="J926" i="36"/>
  <c r="I926" i="36"/>
  <c r="H926" i="36"/>
  <c r="G926" i="36"/>
  <c r="F926" i="36"/>
  <c r="E926" i="36"/>
  <c r="D926" i="36"/>
  <c r="C926" i="36"/>
  <c r="B926" i="36"/>
  <c r="R925" i="36"/>
  <c r="Q925" i="36"/>
  <c r="P925" i="36"/>
  <c r="O925" i="36"/>
  <c r="N925" i="36"/>
  <c r="M925" i="36"/>
  <c r="L925" i="36"/>
  <c r="K925" i="36"/>
  <c r="J925" i="36"/>
  <c r="I925" i="36"/>
  <c r="H925" i="36"/>
  <c r="G925" i="36"/>
  <c r="F925" i="36"/>
  <c r="E925" i="36"/>
  <c r="D925" i="36"/>
  <c r="C925" i="36"/>
  <c r="B925" i="36"/>
  <c r="R924" i="36"/>
  <c r="Q924" i="36"/>
  <c r="P924" i="36"/>
  <c r="O924" i="36"/>
  <c r="N924" i="36"/>
  <c r="M924" i="36"/>
  <c r="L924" i="36"/>
  <c r="K924" i="36"/>
  <c r="J924" i="36"/>
  <c r="I924" i="36"/>
  <c r="H924" i="36"/>
  <c r="G924" i="36"/>
  <c r="F924" i="36"/>
  <c r="E924" i="36"/>
  <c r="D924" i="36"/>
  <c r="C924" i="36"/>
  <c r="B924" i="36"/>
  <c r="R923" i="36"/>
  <c r="Q923" i="36"/>
  <c r="P923" i="36"/>
  <c r="O923" i="36"/>
  <c r="N923" i="36"/>
  <c r="M923" i="36"/>
  <c r="L923" i="36"/>
  <c r="K923" i="36"/>
  <c r="J923" i="36"/>
  <c r="I923" i="36"/>
  <c r="H923" i="36"/>
  <c r="G923" i="36"/>
  <c r="F923" i="36"/>
  <c r="E923" i="36"/>
  <c r="D923" i="36"/>
  <c r="C923" i="36"/>
  <c r="B923" i="36"/>
  <c r="R922" i="36"/>
  <c r="Q922" i="36"/>
  <c r="P922" i="36"/>
  <c r="O922" i="36"/>
  <c r="N922" i="36"/>
  <c r="M922" i="36"/>
  <c r="L922" i="36"/>
  <c r="K922" i="36"/>
  <c r="J922" i="36"/>
  <c r="I922" i="36"/>
  <c r="H922" i="36"/>
  <c r="G922" i="36"/>
  <c r="F922" i="36"/>
  <c r="E922" i="36"/>
  <c r="D922" i="36"/>
  <c r="C922" i="36"/>
  <c r="B922" i="36"/>
  <c r="R921" i="36"/>
  <c r="Q921" i="36"/>
  <c r="P921" i="36"/>
  <c r="O921" i="36"/>
  <c r="N921" i="36"/>
  <c r="M921" i="36"/>
  <c r="L921" i="36"/>
  <c r="K921" i="36"/>
  <c r="J921" i="36"/>
  <c r="I921" i="36"/>
  <c r="H921" i="36"/>
  <c r="G921" i="36"/>
  <c r="F921" i="36"/>
  <c r="E921" i="36"/>
  <c r="D921" i="36"/>
  <c r="C921" i="36"/>
  <c r="B921" i="36"/>
  <c r="R920" i="36"/>
  <c r="Q920" i="36"/>
  <c r="P920" i="36"/>
  <c r="O920" i="36"/>
  <c r="N920" i="36"/>
  <c r="M920" i="36"/>
  <c r="L920" i="36"/>
  <c r="K920" i="36"/>
  <c r="J920" i="36"/>
  <c r="I920" i="36"/>
  <c r="H920" i="36"/>
  <c r="G920" i="36"/>
  <c r="F920" i="36"/>
  <c r="E920" i="36"/>
  <c r="D920" i="36"/>
  <c r="C920" i="36"/>
  <c r="B920" i="36"/>
  <c r="R919" i="36"/>
  <c r="Q919" i="36"/>
  <c r="P919" i="36"/>
  <c r="O919" i="36"/>
  <c r="N919" i="36"/>
  <c r="M919" i="36"/>
  <c r="L919" i="36"/>
  <c r="K919" i="36"/>
  <c r="J919" i="36"/>
  <c r="I919" i="36"/>
  <c r="H919" i="36"/>
  <c r="G919" i="36"/>
  <c r="F919" i="36"/>
  <c r="E919" i="36"/>
  <c r="D919" i="36"/>
  <c r="C919" i="36"/>
  <c r="B919" i="36"/>
  <c r="R918" i="36"/>
  <c r="Q918" i="36"/>
  <c r="P918" i="36"/>
  <c r="O918" i="36"/>
  <c r="N918" i="36"/>
  <c r="M918" i="36"/>
  <c r="L918" i="36"/>
  <c r="K918" i="36"/>
  <c r="J918" i="36"/>
  <c r="I918" i="36"/>
  <c r="H918" i="36"/>
  <c r="G918" i="36"/>
  <c r="F918" i="36"/>
  <c r="E918" i="36"/>
  <c r="D918" i="36"/>
  <c r="C918" i="36"/>
  <c r="B918" i="36"/>
  <c r="R917" i="36"/>
  <c r="Q917" i="36"/>
  <c r="P917" i="36"/>
  <c r="O917" i="36"/>
  <c r="N917" i="36"/>
  <c r="M917" i="36"/>
  <c r="L917" i="36"/>
  <c r="K917" i="36"/>
  <c r="J917" i="36"/>
  <c r="I917" i="36"/>
  <c r="H917" i="36"/>
  <c r="G917" i="36"/>
  <c r="F917" i="36"/>
  <c r="E917" i="36"/>
  <c r="D917" i="36"/>
  <c r="C917" i="36"/>
  <c r="B917" i="36"/>
  <c r="R916" i="36"/>
  <c r="Q916" i="36"/>
  <c r="P916" i="36"/>
  <c r="O916" i="36"/>
  <c r="N916" i="36"/>
  <c r="M916" i="36"/>
  <c r="L916" i="36"/>
  <c r="K916" i="36"/>
  <c r="J916" i="36"/>
  <c r="I916" i="36"/>
  <c r="H916" i="36"/>
  <c r="G916" i="36"/>
  <c r="F916" i="36"/>
  <c r="E916" i="36"/>
  <c r="D916" i="36"/>
  <c r="C916" i="36"/>
  <c r="B916" i="36"/>
  <c r="R915" i="36"/>
  <c r="Q915" i="36"/>
  <c r="P915" i="36"/>
  <c r="O915" i="36"/>
  <c r="N915" i="36"/>
  <c r="M915" i="36"/>
  <c r="L915" i="36"/>
  <c r="K915" i="36"/>
  <c r="J915" i="36"/>
  <c r="I915" i="36"/>
  <c r="H915" i="36"/>
  <c r="G915" i="36"/>
  <c r="F915" i="36"/>
  <c r="E915" i="36"/>
  <c r="D915" i="36"/>
  <c r="C915" i="36"/>
  <c r="B915" i="36"/>
  <c r="R914" i="36"/>
  <c r="Q914" i="36"/>
  <c r="P914" i="36"/>
  <c r="O914" i="36"/>
  <c r="N914" i="36"/>
  <c r="M914" i="36"/>
  <c r="L914" i="36"/>
  <c r="K914" i="36"/>
  <c r="J914" i="36"/>
  <c r="I914" i="36"/>
  <c r="H914" i="36"/>
  <c r="G914" i="36"/>
  <c r="F914" i="36"/>
  <c r="E914" i="36"/>
  <c r="D914" i="36"/>
  <c r="C914" i="36"/>
  <c r="B914" i="36"/>
  <c r="R913" i="36"/>
  <c r="Q913" i="36"/>
  <c r="P913" i="36"/>
  <c r="O913" i="36"/>
  <c r="N913" i="36"/>
  <c r="M913" i="36"/>
  <c r="L913" i="36"/>
  <c r="K913" i="36"/>
  <c r="J913" i="36"/>
  <c r="I913" i="36"/>
  <c r="H913" i="36"/>
  <c r="G913" i="36"/>
  <c r="F913" i="36"/>
  <c r="E913" i="36"/>
  <c r="D913" i="36"/>
  <c r="C913" i="36"/>
  <c r="B913" i="36"/>
  <c r="R912" i="36"/>
  <c r="Q912" i="36"/>
  <c r="P912" i="36"/>
  <c r="O912" i="36"/>
  <c r="N912" i="36"/>
  <c r="M912" i="36"/>
  <c r="L912" i="36"/>
  <c r="K912" i="36"/>
  <c r="J912" i="36"/>
  <c r="I912" i="36"/>
  <c r="H912" i="36"/>
  <c r="G912" i="36"/>
  <c r="F912" i="36"/>
  <c r="E912" i="36"/>
  <c r="D912" i="36"/>
  <c r="C912" i="36"/>
  <c r="B912" i="36"/>
  <c r="R911" i="36"/>
  <c r="Q911" i="36"/>
  <c r="P911" i="36"/>
  <c r="O911" i="36"/>
  <c r="N911" i="36"/>
  <c r="M911" i="36"/>
  <c r="L911" i="36"/>
  <c r="K911" i="36"/>
  <c r="J911" i="36"/>
  <c r="I911" i="36"/>
  <c r="H911" i="36"/>
  <c r="G911" i="36"/>
  <c r="F911" i="36"/>
  <c r="E911" i="36"/>
  <c r="D911" i="36"/>
  <c r="C911" i="36"/>
  <c r="B911" i="36"/>
  <c r="R910" i="36"/>
  <c r="Q910" i="36"/>
  <c r="P910" i="36"/>
  <c r="O910" i="36"/>
  <c r="N910" i="36"/>
  <c r="M910" i="36"/>
  <c r="L910" i="36"/>
  <c r="K910" i="36"/>
  <c r="J910" i="36"/>
  <c r="I910" i="36"/>
  <c r="H910" i="36"/>
  <c r="G910" i="36"/>
  <c r="F910" i="36"/>
  <c r="E910" i="36"/>
  <c r="D910" i="36"/>
  <c r="C910" i="36"/>
  <c r="B910" i="36"/>
  <c r="R909" i="36"/>
  <c r="Q909" i="36"/>
  <c r="P909" i="36"/>
  <c r="O909" i="36"/>
  <c r="N909" i="36"/>
  <c r="M909" i="36"/>
  <c r="L909" i="36"/>
  <c r="K909" i="36"/>
  <c r="J909" i="36"/>
  <c r="I909" i="36"/>
  <c r="H909" i="36"/>
  <c r="G909" i="36"/>
  <c r="F909" i="36"/>
  <c r="E909" i="36"/>
  <c r="D909" i="36"/>
  <c r="C909" i="36"/>
  <c r="B909" i="36"/>
  <c r="R908" i="36"/>
  <c r="Q908" i="36"/>
  <c r="P908" i="36"/>
  <c r="O908" i="36"/>
  <c r="N908" i="36"/>
  <c r="M908" i="36"/>
  <c r="L908" i="36"/>
  <c r="K908" i="36"/>
  <c r="J908" i="36"/>
  <c r="I908" i="36"/>
  <c r="H908" i="36"/>
  <c r="G908" i="36"/>
  <c r="F908" i="36"/>
  <c r="E908" i="36"/>
  <c r="D908" i="36"/>
  <c r="C908" i="36"/>
  <c r="B908" i="36"/>
  <c r="R907" i="36"/>
  <c r="Q907" i="36"/>
  <c r="P907" i="36"/>
  <c r="O907" i="36"/>
  <c r="N907" i="36"/>
  <c r="M907" i="36"/>
  <c r="L907" i="36"/>
  <c r="K907" i="36"/>
  <c r="J907" i="36"/>
  <c r="I907" i="36"/>
  <c r="H907" i="36"/>
  <c r="G907" i="36"/>
  <c r="F907" i="36"/>
  <c r="E907" i="36"/>
  <c r="D907" i="36"/>
  <c r="C907" i="36"/>
  <c r="B907" i="36"/>
  <c r="R906" i="36"/>
  <c r="Q906" i="36"/>
  <c r="P906" i="36"/>
  <c r="O906" i="36"/>
  <c r="N906" i="36"/>
  <c r="M906" i="36"/>
  <c r="L906" i="36"/>
  <c r="K906" i="36"/>
  <c r="J906" i="36"/>
  <c r="I906" i="36"/>
  <c r="H906" i="36"/>
  <c r="G906" i="36"/>
  <c r="F906" i="36"/>
  <c r="E906" i="36"/>
  <c r="D906" i="36"/>
  <c r="C906" i="36"/>
  <c r="B906" i="36"/>
  <c r="R905" i="36"/>
  <c r="Q905" i="36"/>
  <c r="P905" i="36"/>
  <c r="O905" i="36"/>
  <c r="N905" i="36"/>
  <c r="M905" i="36"/>
  <c r="L905" i="36"/>
  <c r="K905" i="36"/>
  <c r="J905" i="36"/>
  <c r="I905" i="36"/>
  <c r="H905" i="36"/>
  <c r="G905" i="36"/>
  <c r="F905" i="36"/>
  <c r="E905" i="36"/>
  <c r="D905" i="36"/>
  <c r="C905" i="36"/>
  <c r="B905" i="36"/>
  <c r="R904" i="36"/>
  <c r="Q904" i="36"/>
  <c r="P904" i="36"/>
  <c r="O904" i="36"/>
  <c r="N904" i="36"/>
  <c r="M904" i="36"/>
  <c r="L904" i="36"/>
  <c r="K904" i="36"/>
  <c r="J904" i="36"/>
  <c r="I904" i="36"/>
  <c r="H904" i="36"/>
  <c r="G904" i="36"/>
  <c r="F904" i="36"/>
  <c r="E904" i="36"/>
  <c r="D904" i="36"/>
  <c r="C904" i="36"/>
  <c r="B904" i="36"/>
  <c r="R903" i="36"/>
  <c r="Q903" i="36"/>
  <c r="P903" i="36"/>
  <c r="O903" i="36"/>
  <c r="N903" i="36"/>
  <c r="M903" i="36"/>
  <c r="L903" i="36"/>
  <c r="K903" i="36"/>
  <c r="J903" i="36"/>
  <c r="I903" i="36"/>
  <c r="H903" i="36"/>
  <c r="G903" i="36"/>
  <c r="F903" i="36"/>
  <c r="E903" i="36"/>
  <c r="D903" i="36"/>
  <c r="C903" i="36"/>
  <c r="B903" i="36"/>
  <c r="R902" i="36"/>
  <c r="Q902" i="36"/>
  <c r="P902" i="36"/>
  <c r="O902" i="36"/>
  <c r="N902" i="36"/>
  <c r="M902" i="36"/>
  <c r="L902" i="36"/>
  <c r="K902" i="36"/>
  <c r="J902" i="36"/>
  <c r="I902" i="36"/>
  <c r="H902" i="36"/>
  <c r="G902" i="36"/>
  <c r="F902" i="36"/>
  <c r="E902" i="36"/>
  <c r="D902" i="36"/>
  <c r="C902" i="36"/>
  <c r="B902" i="36"/>
  <c r="R901" i="36"/>
  <c r="Q901" i="36"/>
  <c r="P901" i="36"/>
  <c r="O901" i="36"/>
  <c r="N901" i="36"/>
  <c r="M901" i="36"/>
  <c r="L901" i="36"/>
  <c r="K901" i="36"/>
  <c r="J901" i="36"/>
  <c r="I901" i="36"/>
  <c r="H901" i="36"/>
  <c r="G901" i="36"/>
  <c r="F901" i="36"/>
  <c r="E901" i="36"/>
  <c r="D901" i="36"/>
  <c r="C901" i="36"/>
  <c r="B901" i="36"/>
  <c r="R900" i="36"/>
  <c r="Q900" i="36"/>
  <c r="P900" i="36"/>
  <c r="O900" i="36"/>
  <c r="N900" i="36"/>
  <c r="M900" i="36"/>
  <c r="L900" i="36"/>
  <c r="K900" i="36"/>
  <c r="J900" i="36"/>
  <c r="I900" i="36"/>
  <c r="H900" i="36"/>
  <c r="G900" i="36"/>
  <c r="F900" i="36"/>
  <c r="E900" i="36"/>
  <c r="D900" i="36"/>
  <c r="C900" i="36"/>
  <c r="B900" i="36"/>
  <c r="R899" i="36"/>
  <c r="Q899" i="36"/>
  <c r="P899" i="36"/>
  <c r="O899" i="36"/>
  <c r="N899" i="36"/>
  <c r="M899" i="36"/>
  <c r="L899" i="36"/>
  <c r="K899" i="36"/>
  <c r="J899" i="36"/>
  <c r="I899" i="36"/>
  <c r="H899" i="36"/>
  <c r="G899" i="36"/>
  <c r="F899" i="36"/>
  <c r="E899" i="36"/>
  <c r="D899" i="36"/>
  <c r="C899" i="36"/>
  <c r="B899" i="36"/>
  <c r="R898" i="36"/>
  <c r="Q898" i="36"/>
  <c r="P898" i="36"/>
  <c r="O898" i="36"/>
  <c r="N898" i="36"/>
  <c r="M898" i="36"/>
  <c r="L898" i="36"/>
  <c r="K898" i="36"/>
  <c r="J898" i="36"/>
  <c r="I898" i="36"/>
  <c r="H898" i="36"/>
  <c r="G898" i="36"/>
  <c r="F898" i="36"/>
  <c r="E898" i="36"/>
  <c r="D898" i="36"/>
  <c r="C898" i="36"/>
  <c r="B898" i="36"/>
  <c r="R897" i="36"/>
  <c r="Q897" i="36"/>
  <c r="P897" i="36"/>
  <c r="O897" i="36"/>
  <c r="N897" i="36"/>
  <c r="M897" i="36"/>
  <c r="L897" i="36"/>
  <c r="K897" i="36"/>
  <c r="J897" i="36"/>
  <c r="I897" i="36"/>
  <c r="H897" i="36"/>
  <c r="G897" i="36"/>
  <c r="F897" i="36"/>
  <c r="E897" i="36"/>
  <c r="D897" i="36"/>
  <c r="C897" i="36"/>
  <c r="B897" i="36"/>
  <c r="R896" i="36"/>
  <c r="Q896" i="36"/>
  <c r="P896" i="36"/>
  <c r="O896" i="36"/>
  <c r="N896" i="36"/>
  <c r="M896" i="36"/>
  <c r="L896" i="36"/>
  <c r="K896" i="36"/>
  <c r="J896" i="36"/>
  <c r="I896" i="36"/>
  <c r="H896" i="36"/>
  <c r="G896" i="36"/>
  <c r="F896" i="36"/>
  <c r="E896" i="36"/>
  <c r="D896" i="36"/>
  <c r="C896" i="36"/>
  <c r="B896" i="36"/>
  <c r="R895" i="36"/>
  <c r="Q895" i="36"/>
  <c r="P895" i="36"/>
  <c r="O895" i="36"/>
  <c r="N895" i="36"/>
  <c r="M895" i="36"/>
  <c r="L895" i="36"/>
  <c r="K895" i="36"/>
  <c r="J895" i="36"/>
  <c r="I895" i="36"/>
  <c r="H895" i="36"/>
  <c r="G895" i="36"/>
  <c r="F895" i="36"/>
  <c r="E895" i="36"/>
  <c r="D895" i="36"/>
  <c r="C895" i="36"/>
  <c r="B895" i="36"/>
  <c r="R894" i="36"/>
  <c r="Q894" i="36"/>
  <c r="P894" i="36"/>
  <c r="O894" i="36"/>
  <c r="N894" i="36"/>
  <c r="M894" i="36"/>
  <c r="L894" i="36"/>
  <c r="K894" i="36"/>
  <c r="J894" i="36"/>
  <c r="I894" i="36"/>
  <c r="H894" i="36"/>
  <c r="G894" i="36"/>
  <c r="F894" i="36"/>
  <c r="E894" i="36"/>
  <c r="D894" i="36"/>
  <c r="C894" i="36"/>
  <c r="B894" i="36"/>
  <c r="R893" i="36"/>
  <c r="Q893" i="36"/>
  <c r="P893" i="36"/>
  <c r="O893" i="36"/>
  <c r="N893" i="36"/>
  <c r="M893" i="36"/>
  <c r="L893" i="36"/>
  <c r="K893" i="36"/>
  <c r="J893" i="36"/>
  <c r="I893" i="36"/>
  <c r="H893" i="36"/>
  <c r="G893" i="36"/>
  <c r="F893" i="36"/>
  <c r="E893" i="36"/>
  <c r="D893" i="36"/>
  <c r="C893" i="36"/>
  <c r="B893" i="36"/>
  <c r="R892" i="36"/>
  <c r="Q892" i="36"/>
  <c r="P892" i="36"/>
  <c r="O892" i="36"/>
  <c r="N892" i="36"/>
  <c r="M892" i="36"/>
  <c r="L892" i="36"/>
  <c r="K892" i="36"/>
  <c r="J892" i="36"/>
  <c r="I892" i="36"/>
  <c r="H892" i="36"/>
  <c r="G892" i="36"/>
  <c r="F892" i="36"/>
  <c r="E892" i="36"/>
  <c r="D892" i="36"/>
  <c r="C892" i="36"/>
  <c r="B892" i="36"/>
  <c r="R891" i="36"/>
  <c r="Q891" i="36"/>
  <c r="P891" i="36"/>
  <c r="O891" i="36"/>
  <c r="N891" i="36"/>
  <c r="M891" i="36"/>
  <c r="L891" i="36"/>
  <c r="K891" i="36"/>
  <c r="J891" i="36"/>
  <c r="I891" i="36"/>
  <c r="H891" i="36"/>
  <c r="G891" i="36"/>
  <c r="F891" i="36"/>
  <c r="E891" i="36"/>
  <c r="D891" i="36"/>
  <c r="C891" i="36"/>
  <c r="B891" i="36"/>
  <c r="R890" i="36"/>
  <c r="Q890" i="36"/>
  <c r="P890" i="36"/>
  <c r="O890" i="36"/>
  <c r="N890" i="36"/>
  <c r="M890" i="36"/>
  <c r="L890" i="36"/>
  <c r="K890" i="36"/>
  <c r="J890" i="36"/>
  <c r="I890" i="36"/>
  <c r="H890" i="36"/>
  <c r="G890" i="36"/>
  <c r="F890" i="36"/>
  <c r="E890" i="36"/>
  <c r="D890" i="36"/>
  <c r="C890" i="36"/>
  <c r="B890" i="36"/>
  <c r="R889" i="36"/>
  <c r="Q889" i="36"/>
  <c r="P889" i="36"/>
  <c r="O889" i="36"/>
  <c r="N889" i="36"/>
  <c r="M889" i="36"/>
  <c r="L889" i="36"/>
  <c r="K889" i="36"/>
  <c r="J889" i="36"/>
  <c r="I889" i="36"/>
  <c r="H889" i="36"/>
  <c r="G889" i="36"/>
  <c r="F889" i="36"/>
  <c r="E889" i="36"/>
  <c r="D889" i="36"/>
  <c r="C889" i="36"/>
  <c r="B889" i="36"/>
  <c r="R888" i="36"/>
  <c r="Q888" i="36"/>
  <c r="P888" i="36"/>
  <c r="O888" i="36"/>
  <c r="N888" i="36"/>
  <c r="M888" i="36"/>
  <c r="L888" i="36"/>
  <c r="K888" i="36"/>
  <c r="J888" i="36"/>
  <c r="I888" i="36"/>
  <c r="H888" i="36"/>
  <c r="G888" i="36"/>
  <c r="F888" i="36"/>
  <c r="E888" i="36"/>
  <c r="D888" i="36"/>
  <c r="C888" i="36"/>
  <c r="B888" i="36"/>
  <c r="R887" i="36"/>
  <c r="Q887" i="36"/>
  <c r="P887" i="36"/>
  <c r="O887" i="36"/>
  <c r="N887" i="36"/>
  <c r="M887" i="36"/>
  <c r="L887" i="36"/>
  <c r="K887" i="36"/>
  <c r="J887" i="36"/>
  <c r="I887" i="36"/>
  <c r="H887" i="36"/>
  <c r="G887" i="36"/>
  <c r="F887" i="36"/>
  <c r="E887" i="36"/>
  <c r="D887" i="36"/>
  <c r="C887" i="36"/>
  <c r="B887" i="36"/>
  <c r="R886" i="36"/>
  <c r="Q886" i="36"/>
  <c r="P886" i="36"/>
  <c r="O886" i="36"/>
  <c r="N886" i="36"/>
  <c r="M886" i="36"/>
  <c r="L886" i="36"/>
  <c r="K886" i="36"/>
  <c r="J886" i="36"/>
  <c r="I886" i="36"/>
  <c r="H886" i="36"/>
  <c r="G886" i="36"/>
  <c r="F886" i="36"/>
  <c r="E886" i="36"/>
  <c r="D886" i="36"/>
  <c r="C886" i="36"/>
  <c r="B886" i="36"/>
  <c r="R885" i="36"/>
  <c r="Q885" i="36"/>
  <c r="P885" i="36"/>
  <c r="O885" i="36"/>
  <c r="N885" i="36"/>
  <c r="M885" i="36"/>
  <c r="L885" i="36"/>
  <c r="K885" i="36"/>
  <c r="J885" i="36"/>
  <c r="I885" i="36"/>
  <c r="H885" i="36"/>
  <c r="G885" i="36"/>
  <c r="F885" i="36"/>
  <c r="E885" i="36"/>
  <c r="D885" i="36"/>
  <c r="C885" i="36"/>
  <c r="B885" i="36"/>
  <c r="R884" i="36"/>
  <c r="Q884" i="36"/>
  <c r="P884" i="36"/>
  <c r="O884" i="36"/>
  <c r="N884" i="36"/>
  <c r="M884" i="36"/>
  <c r="L884" i="36"/>
  <c r="K884" i="36"/>
  <c r="J884" i="36"/>
  <c r="I884" i="36"/>
  <c r="H884" i="36"/>
  <c r="G884" i="36"/>
  <c r="F884" i="36"/>
  <c r="E884" i="36"/>
  <c r="D884" i="36"/>
  <c r="C884" i="36"/>
  <c r="B884" i="36"/>
  <c r="R883" i="36"/>
  <c r="Q883" i="36"/>
  <c r="P883" i="36"/>
  <c r="O883" i="36"/>
  <c r="N883" i="36"/>
  <c r="M883" i="36"/>
  <c r="L883" i="36"/>
  <c r="K883" i="36"/>
  <c r="J883" i="36"/>
  <c r="I883" i="36"/>
  <c r="H883" i="36"/>
  <c r="G883" i="36"/>
  <c r="F883" i="36"/>
  <c r="E883" i="36"/>
  <c r="D883" i="36"/>
  <c r="C883" i="36"/>
  <c r="B883" i="36"/>
  <c r="R882" i="36"/>
  <c r="Q882" i="36"/>
  <c r="P882" i="36"/>
  <c r="O882" i="36"/>
  <c r="N882" i="36"/>
  <c r="M882" i="36"/>
  <c r="L882" i="36"/>
  <c r="K882" i="36"/>
  <c r="J882" i="36"/>
  <c r="I882" i="36"/>
  <c r="H882" i="36"/>
  <c r="G882" i="36"/>
  <c r="F882" i="36"/>
  <c r="E882" i="36"/>
  <c r="D882" i="36"/>
  <c r="C882" i="36"/>
  <c r="B882" i="36"/>
  <c r="R881" i="36"/>
  <c r="Q881" i="36"/>
  <c r="P881" i="36"/>
  <c r="O881" i="36"/>
  <c r="N881" i="36"/>
  <c r="M881" i="36"/>
  <c r="L881" i="36"/>
  <c r="K881" i="36"/>
  <c r="J881" i="36"/>
  <c r="I881" i="36"/>
  <c r="H881" i="36"/>
  <c r="G881" i="36"/>
  <c r="F881" i="36"/>
  <c r="E881" i="36"/>
  <c r="D881" i="36"/>
  <c r="C881" i="36"/>
  <c r="B881" i="36"/>
  <c r="R880" i="36"/>
  <c r="Q880" i="36"/>
  <c r="P880" i="36"/>
  <c r="O880" i="36"/>
  <c r="N880" i="36"/>
  <c r="M880" i="36"/>
  <c r="L880" i="36"/>
  <c r="K880" i="36"/>
  <c r="J880" i="36"/>
  <c r="I880" i="36"/>
  <c r="H880" i="36"/>
  <c r="G880" i="36"/>
  <c r="F880" i="36"/>
  <c r="E880" i="36"/>
  <c r="D880" i="36"/>
  <c r="C880" i="36"/>
  <c r="B880" i="36"/>
  <c r="R879" i="36"/>
  <c r="Q879" i="36"/>
  <c r="P879" i="36"/>
  <c r="O879" i="36"/>
  <c r="N879" i="36"/>
  <c r="M879" i="36"/>
  <c r="L879" i="36"/>
  <c r="K879" i="36"/>
  <c r="J879" i="36"/>
  <c r="I879" i="36"/>
  <c r="H879" i="36"/>
  <c r="G879" i="36"/>
  <c r="F879" i="36"/>
  <c r="E879" i="36"/>
  <c r="D879" i="36"/>
  <c r="C879" i="36"/>
  <c r="B879" i="36"/>
  <c r="R878" i="36"/>
  <c r="Q878" i="36"/>
  <c r="P878" i="36"/>
  <c r="O878" i="36"/>
  <c r="N878" i="36"/>
  <c r="M878" i="36"/>
  <c r="L878" i="36"/>
  <c r="K878" i="36"/>
  <c r="J878" i="36"/>
  <c r="I878" i="36"/>
  <c r="H878" i="36"/>
  <c r="G878" i="36"/>
  <c r="F878" i="36"/>
  <c r="E878" i="36"/>
  <c r="D878" i="36"/>
  <c r="C878" i="36"/>
  <c r="B878" i="36"/>
  <c r="R877" i="36"/>
  <c r="Q877" i="36"/>
  <c r="P877" i="36"/>
  <c r="O877" i="36"/>
  <c r="N877" i="36"/>
  <c r="M877" i="36"/>
  <c r="L877" i="36"/>
  <c r="K877" i="36"/>
  <c r="J877" i="36"/>
  <c r="I877" i="36"/>
  <c r="H877" i="36"/>
  <c r="G877" i="36"/>
  <c r="F877" i="36"/>
  <c r="E877" i="36"/>
  <c r="D877" i="36"/>
  <c r="C877" i="36"/>
  <c r="B877" i="36"/>
  <c r="R876" i="36"/>
  <c r="Q876" i="36"/>
  <c r="P876" i="36"/>
  <c r="O876" i="36"/>
  <c r="N876" i="36"/>
  <c r="M876" i="36"/>
  <c r="L876" i="36"/>
  <c r="K876" i="36"/>
  <c r="J876" i="36"/>
  <c r="I876" i="36"/>
  <c r="H876" i="36"/>
  <c r="G876" i="36"/>
  <c r="F876" i="36"/>
  <c r="E876" i="36"/>
  <c r="D876" i="36"/>
  <c r="C876" i="36"/>
  <c r="B876" i="36"/>
  <c r="R875" i="36"/>
  <c r="Q875" i="36"/>
  <c r="P875" i="36"/>
  <c r="O875" i="36"/>
  <c r="N875" i="36"/>
  <c r="M875" i="36"/>
  <c r="L875" i="36"/>
  <c r="K875" i="36"/>
  <c r="J875" i="36"/>
  <c r="I875" i="36"/>
  <c r="H875" i="36"/>
  <c r="G875" i="36"/>
  <c r="F875" i="36"/>
  <c r="E875" i="36"/>
  <c r="D875" i="36"/>
  <c r="C875" i="36"/>
  <c r="B875" i="36"/>
  <c r="R874" i="36"/>
  <c r="Q874" i="36"/>
  <c r="P874" i="36"/>
  <c r="O874" i="36"/>
  <c r="N874" i="36"/>
  <c r="M874" i="36"/>
  <c r="L874" i="36"/>
  <c r="K874" i="36"/>
  <c r="J874" i="36"/>
  <c r="I874" i="36"/>
  <c r="H874" i="36"/>
  <c r="G874" i="36"/>
  <c r="F874" i="36"/>
  <c r="E874" i="36"/>
  <c r="D874" i="36"/>
  <c r="C874" i="36"/>
  <c r="B874" i="36"/>
  <c r="R873" i="36"/>
  <c r="Q873" i="36"/>
  <c r="P873" i="36"/>
  <c r="O873" i="36"/>
  <c r="N873" i="36"/>
  <c r="M873" i="36"/>
  <c r="L873" i="36"/>
  <c r="K873" i="36"/>
  <c r="J873" i="36"/>
  <c r="I873" i="36"/>
  <c r="H873" i="36"/>
  <c r="G873" i="36"/>
  <c r="F873" i="36"/>
  <c r="E873" i="36"/>
  <c r="D873" i="36"/>
  <c r="C873" i="36"/>
  <c r="B873" i="36"/>
  <c r="R872" i="36"/>
  <c r="Q872" i="36"/>
  <c r="P872" i="36"/>
  <c r="O872" i="36"/>
  <c r="N872" i="36"/>
  <c r="M872" i="36"/>
  <c r="L872" i="36"/>
  <c r="K872" i="36"/>
  <c r="J872" i="36"/>
  <c r="I872" i="36"/>
  <c r="H872" i="36"/>
  <c r="G872" i="36"/>
  <c r="F872" i="36"/>
  <c r="E872" i="36"/>
  <c r="D872" i="36"/>
  <c r="C872" i="36"/>
  <c r="B872" i="36"/>
  <c r="R871" i="36"/>
  <c r="Q871" i="36"/>
  <c r="P871" i="36"/>
  <c r="O871" i="36"/>
  <c r="N871" i="36"/>
  <c r="M871" i="36"/>
  <c r="L871" i="36"/>
  <c r="K871" i="36"/>
  <c r="J871" i="36"/>
  <c r="I871" i="36"/>
  <c r="H871" i="36"/>
  <c r="G871" i="36"/>
  <c r="F871" i="36"/>
  <c r="E871" i="36"/>
  <c r="D871" i="36"/>
  <c r="C871" i="36"/>
  <c r="B871" i="36"/>
  <c r="R870" i="36"/>
  <c r="Q870" i="36"/>
  <c r="P870" i="36"/>
  <c r="O870" i="36"/>
  <c r="N870" i="36"/>
  <c r="M870" i="36"/>
  <c r="L870" i="36"/>
  <c r="K870" i="36"/>
  <c r="J870" i="36"/>
  <c r="I870" i="36"/>
  <c r="H870" i="36"/>
  <c r="G870" i="36"/>
  <c r="F870" i="36"/>
  <c r="E870" i="36"/>
  <c r="D870" i="36"/>
  <c r="C870" i="36"/>
  <c r="B870" i="36"/>
  <c r="R869" i="36"/>
  <c r="Q869" i="36"/>
  <c r="P869" i="36"/>
  <c r="O869" i="36"/>
  <c r="N869" i="36"/>
  <c r="M869" i="36"/>
  <c r="L869" i="36"/>
  <c r="K869" i="36"/>
  <c r="J869" i="36"/>
  <c r="I869" i="36"/>
  <c r="H869" i="36"/>
  <c r="G869" i="36"/>
  <c r="F869" i="36"/>
  <c r="E869" i="36"/>
  <c r="D869" i="36"/>
  <c r="C869" i="36"/>
  <c r="B869" i="36"/>
  <c r="R868" i="36"/>
  <c r="Q868" i="36"/>
  <c r="P868" i="36"/>
  <c r="O868" i="36"/>
  <c r="N868" i="36"/>
  <c r="M868" i="36"/>
  <c r="L868" i="36"/>
  <c r="K868" i="36"/>
  <c r="J868" i="36"/>
  <c r="I868" i="36"/>
  <c r="H868" i="36"/>
  <c r="G868" i="36"/>
  <c r="F868" i="36"/>
  <c r="E868" i="36"/>
  <c r="D868" i="36"/>
  <c r="C868" i="36"/>
  <c r="B868" i="36"/>
  <c r="R867" i="36"/>
  <c r="Q867" i="36"/>
  <c r="P867" i="36"/>
  <c r="O867" i="36"/>
  <c r="N867" i="36"/>
  <c r="M867" i="36"/>
  <c r="L867" i="36"/>
  <c r="K867" i="36"/>
  <c r="J867" i="36"/>
  <c r="I867" i="36"/>
  <c r="H867" i="36"/>
  <c r="G867" i="36"/>
  <c r="F867" i="36"/>
  <c r="E867" i="36"/>
  <c r="D867" i="36"/>
  <c r="C867" i="36"/>
  <c r="B867" i="36"/>
  <c r="R866" i="36"/>
  <c r="Q866" i="36"/>
  <c r="P866" i="36"/>
  <c r="O866" i="36"/>
  <c r="N866" i="36"/>
  <c r="M866" i="36"/>
  <c r="L866" i="36"/>
  <c r="K866" i="36"/>
  <c r="J866" i="36"/>
  <c r="I866" i="36"/>
  <c r="H866" i="36"/>
  <c r="G866" i="36"/>
  <c r="F866" i="36"/>
  <c r="E866" i="36"/>
  <c r="D866" i="36"/>
  <c r="C866" i="36"/>
  <c r="B866" i="36"/>
  <c r="R865" i="36"/>
  <c r="Q865" i="36"/>
  <c r="P865" i="36"/>
  <c r="O865" i="36"/>
  <c r="N865" i="36"/>
  <c r="M865" i="36"/>
  <c r="L865" i="36"/>
  <c r="K865" i="36"/>
  <c r="J865" i="36"/>
  <c r="I865" i="36"/>
  <c r="H865" i="36"/>
  <c r="G865" i="36"/>
  <c r="F865" i="36"/>
  <c r="E865" i="36"/>
  <c r="D865" i="36"/>
  <c r="C865" i="36"/>
  <c r="B865" i="36"/>
  <c r="R864" i="36"/>
  <c r="Q864" i="36"/>
  <c r="P864" i="36"/>
  <c r="O864" i="36"/>
  <c r="N864" i="36"/>
  <c r="M864" i="36"/>
  <c r="L864" i="36"/>
  <c r="K864" i="36"/>
  <c r="J864" i="36"/>
  <c r="I864" i="36"/>
  <c r="H864" i="36"/>
  <c r="G864" i="36"/>
  <c r="F864" i="36"/>
  <c r="E864" i="36"/>
  <c r="D864" i="36"/>
  <c r="C864" i="36"/>
  <c r="B864" i="36"/>
  <c r="R863" i="36"/>
  <c r="Q863" i="36"/>
  <c r="P863" i="36"/>
  <c r="O863" i="36"/>
  <c r="N863" i="36"/>
  <c r="M863" i="36"/>
  <c r="L863" i="36"/>
  <c r="K863" i="36"/>
  <c r="J863" i="36"/>
  <c r="I863" i="36"/>
  <c r="H863" i="36"/>
  <c r="G863" i="36"/>
  <c r="F863" i="36"/>
  <c r="E863" i="36"/>
  <c r="D863" i="36"/>
  <c r="C863" i="36"/>
  <c r="B863" i="36"/>
  <c r="R862" i="36"/>
  <c r="Q862" i="36"/>
  <c r="P862" i="36"/>
  <c r="O862" i="36"/>
  <c r="N862" i="36"/>
  <c r="M862" i="36"/>
  <c r="L862" i="36"/>
  <c r="K862" i="36"/>
  <c r="J862" i="36"/>
  <c r="I862" i="36"/>
  <c r="H862" i="36"/>
  <c r="G862" i="36"/>
  <c r="F862" i="36"/>
  <c r="E862" i="36"/>
  <c r="D862" i="36"/>
  <c r="C862" i="36"/>
  <c r="B862" i="36"/>
  <c r="R861" i="36"/>
  <c r="Q861" i="36"/>
  <c r="P861" i="36"/>
  <c r="O861" i="36"/>
  <c r="N861" i="36"/>
  <c r="M861" i="36"/>
  <c r="L861" i="36"/>
  <c r="K861" i="36"/>
  <c r="J861" i="36"/>
  <c r="I861" i="36"/>
  <c r="H861" i="36"/>
  <c r="G861" i="36"/>
  <c r="F861" i="36"/>
  <c r="E861" i="36"/>
  <c r="D861" i="36"/>
  <c r="C861" i="36"/>
  <c r="B861" i="36"/>
  <c r="R860" i="36"/>
  <c r="Q860" i="36"/>
  <c r="P860" i="36"/>
  <c r="O860" i="36"/>
  <c r="N860" i="36"/>
  <c r="M860" i="36"/>
  <c r="L860" i="36"/>
  <c r="K860" i="36"/>
  <c r="J860" i="36"/>
  <c r="I860" i="36"/>
  <c r="H860" i="36"/>
  <c r="G860" i="36"/>
  <c r="F860" i="36"/>
  <c r="E860" i="36"/>
  <c r="D860" i="36"/>
  <c r="C860" i="36"/>
  <c r="B860" i="36"/>
  <c r="R859" i="36"/>
  <c r="Q859" i="36"/>
  <c r="P859" i="36"/>
  <c r="O859" i="36"/>
  <c r="N859" i="36"/>
  <c r="M859" i="36"/>
  <c r="L859" i="36"/>
  <c r="K859" i="36"/>
  <c r="J859" i="36"/>
  <c r="I859" i="36"/>
  <c r="H859" i="36"/>
  <c r="G859" i="36"/>
  <c r="F859" i="36"/>
  <c r="E859" i="36"/>
  <c r="D859" i="36"/>
  <c r="C859" i="36"/>
  <c r="B859" i="36"/>
  <c r="R858" i="36"/>
  <c r="Q858" i="36"/>
  <c r="P858" i="36"/>
  <c r="O858" i="36"/>
  <c r="N858" i="36"/>
  <c r="M858" i="36"/>
  <c r="L858" i="36"/>
  <c r="K858" i="36"/>
  <c r="J858" i="36"/>
  <c r="I858" i="36"/>
  <c r="H858" i="36"/>
  <c r="G858" i="36"/>
  <c r="F858" i="36"/>
  <c r="E858" i="36"/>
  <c r="D858" i="36"/>
  <c r="C858" i="36"/>
  <c r="B858" i="36"/>
  <c r="R857" i="36"/>
  <c r="Q857" i="36"/>
  <c r="P857" i="36"/>
  <c r="O857" i="36"/>
  <c r="N857" i="36"/>
  <c r="M857" i="36"/>
  <c r="L857" i="36"/>
  <c r="K857" i="36"/>
  <c r="J857" i="36"/>
  <c r="I857" i="36"/>
  <c r="H857" i="36"/>
  <c r="G857" i="36"/>
  <c r="F857" i="36"/>
  <c r="E857" i="36"/>
  <c r="D857" i="36"/>
  <c r="C857" i="36"/>
  <c r="B857" i="36"/>
  <c r="R856" i="36"/>
  <c r="Q856" i="36"/>
  <c r="P856" i="36"/>
  <c r="O856" i="36"/>
  <c r="N856" i="36"/>
  <c r="M856" i="36"/>
  <c r="L856" i="36"/>
  <c r="K856" i="36"/>
  <c r="J856" i="36"/>
  <c r="I856" i="36"/>
  <c r="H856" i="36"/>
  <c r="G856" i="36"/>
  <c r="F856" i="36"/>
  <c r="E856" i="36"/>
  <c r="D856" i="36"/>
  <c r="C856" i="36"/>
  <c r="B856" i="36"/>
  <c r="R855" i="36"/>
  <c r="Q855" i="36"/>
  <c r="P855" i="36"/>
  <c r="O855" i="36"/>
  <c r="N855" i="36"/>
  <c r="M855" i="36"/>
  <c r="L855" i="36"/>
  <c r="K855" i="36"/>
  <c r="J855" i="36"/>
  <c r="I855" i="36"/>
  <c r="H855" i="36"/>
  <c r="G855" i="36"/>
  <c r="F855" i="36"/>
  <c r="E855" i="36"/>
  <c r="D855" i="36"/>
  <c r="C855" i="36"/>
  <c r="B855" i="36"/>
  <c r="R854" i="36"/>
  <c r="Q854" i="36"/>
  <c r="P854" i="36"/>
  <c r="O854" i="36"/>
  <c r="N854" i="36"/>
  <c r="M854" i="36"/>
  <c r="L854" i="36"/>
  <c r="K854" i="36"/>
  <c r="J854" i="36"/>
  <c r="I854" i="36"/>
  <c r="H854" i="36"/>
  <c r="G854" i="36"/>
  <c r="F854" i="36"/>
  <c r="E854" i="36"/>
  <c r="D854" i="36"/>
  <c r="C854" i="36"/>
  <c r="B854" i="36"/>
  <c r="R853" i="36"/>
  <c r="Q853" i="36"/>
  <c r="P853" i="36"/>
  <c r="O853" i="36"/>
  <c r="N853" i="36"/>
  <c r="M853" i="36"/>
  <c r="L853" i="36"/>
  <c r="K853" i="36"/>
  <c r="J853" i="36"/>
  <c r="I853" i="36"/>
  <c r="H853" i="36"/>
  <c r="G853" i="36"/>
  <c r="F853" i="36"/>
  <c r="E853" i="36"/>
  <c r="D853" i="36"/>
  <c r="C853" i="36"/>
  <c r="B853" i="36"/>
  <c r="R852" i="36"/>
  <c r="Q852" i="36"/>
  <c r="P852" i="36"/>
  <c r="O852" i="36"/>
  <c r="N852" i="36"/>
  <c r="M852" i="36"/>
  <c r="L852" i="36"/>
  <c r="K852" i="36"/>
  <c r="J852" i="36"/>
  <c r="I852" i="36"/>
  <c r="H852" i="36"/>
  <c r="G852" i="36"/>
  <c r="F852" i="36"/>
  <c r="E852" i="36"/>
  <c r="D852" i="36"/>
  <c r="C852" i="36"/>
  <c r="B852" i="36"/>
  <c r="R851" i="36"/>
  <c r="Q851" i="36"/>
  <c r="P851" i="36"/>
  <c r="O851" i="36"/>
  <c r="N851" i="36"/>
  <c r="M851" i="36"/>
  <c r="L851" i="36"/>
  <c r="K851" i="36"/>
  <c r="J851" i="36"/>
  <c r="I851" i="36"/>
  <c r="H851" i="36"/>
  <c r="G851" i="36"/>
  <c r="F851" i="36"/>
  <c r="E851" i="36"/>
  <c r="D851" i="36"/>
  <c r="C851" i="36"/>
  <c r="B851" i="36"/>
  <c r="R850" i="36"/>
  <c r="Q850" i="36"/>
  <c r="P850" i="36"/>
  <c r="O850" i="36"/>
  <c r="N850" i="36"/>
  <c r="M850" i="36"/>
  <c r="L850" i="36"/>
  <c r="K850" i="36"/>
  <c r="J850" i="36"/>
  <c r="I850" i="36"/>
  <c r="H850" i="36"/>
  <c r="G850" i="36"/>
  <c r="F850" i="36"/>
  <c r="E850" i="36"/>
  <c r="D850" i="36"/>
  <c r="C850" i="36"/>
  <c r="B850" i="36"/>
  <c r="R849" i="36"/>
  <c r="Q849" i="36"/>
  <c r="P849" i="36"/>
  <c r="O849" i="36"/>
  <c r="N849" i="36"/>
  <c r="M849" i="36"/>
  <c r="L849" i="36"/>
  <c r="K849" i="36"/>
  <c r="J849" i="36"/>
  <c r="I849" i="36"/>
  <c r="H849" i="36"/>
  <c r="G849" i="36"/>
  <c r="F849" i="36"/>
  <c r="E849" i="36"/>
  <c r="D849" i="36"/>
  <c r="C849" i="36"/>
  <c r="B849" i="36"/>
  <c r="R848" i="36"/>
  <c r="Q848" i="36"/>
  <c r="P848" i="36"/>
  <c r="O848" i="36"/>
  <c r="N848" i="36"/>
  <c r="M848" i="36"/>
  <c r="L848" i="36"/>
  <c r="K848" i="36"/>
  <c r="J848" i="36"/>
  <c r="I848" i="36"/>
  <c r="H848" i="36"/>
  <c r="G848" i="36"/>
  <c r="F848" i="36"/>
  <c r="E848" i="36"/>
  <c r="D848" i="36"/>
  <c r="C848" i="36"/>
  <c r="B848" i="36"/>
  <c r="R847" i="36"/>
  <c r="Q847" i="36"/>
  <c r="P847" i="36"/>
  <c r="O847" i="36"/>
  <c r="N847" i="36"/>
  <c r="M847" i="36"/>
  <c r="L847" i="36"/>
  <c r="K847" i="36"/>
  <c r="J847" i="36"/>
  <c r="I847" i="36"/>
  <c r="H847" i="36"/>
  <c r="G847" i="36"/>
  <c r="F847" i="36"/>
  <c r="E847" i="36"/>
  <c r="D847" i="36"/>
  <c r="C847" i="36"/>
  <c r="B847" i="36"/>
  <c r="R846" i="36"/>
  <c r="Q846" i="36"/>
  <c r="P846" i="36"/>
  <c r="O846" i="36"/>
  <c r="N846" i="36"/>
  <c r="M846" i="36"/>
  <c r="L846" i="36"/>
  <c r="K846" i="36"/>
  <c r="J846" i="36"/>
  <c r="I846" i="36"/>
  <c r="H846" i="36"/>
  <c r="G846" i="36"/>
  <c r="F846" i="36"/>
  <c r="E846" i="36"/>
  <c r="D846" i="36"/>
  <c r="C846" i="36"/>
  <c r="B846" i="36"/>
  <c r="R845" i="36"/>
  <c r="Q845" i="36"/>
  <c r="P845" i="36"/>
  <c r="O845" i="36"/>
  <c r="N845" i="36"/>
  <c r="M845" i="36"/>
  <c r="L845" i="36"/>
  <c r="K845" i="36"/>
  <c r="J845" i="36"/>
  <c r="I845" i="36"/>
  <c r="H845" i="36"/>
  <c r="G845" i="36"/>
  <c r="F845" i="36"/>
  <c r="E845" i="36"/>
  <c r="D845" i="36"/>
  <c r="C845" i="36"/>
  <c r="B845" i="36"/>
  <c r="R844" i="36"/>
  <c r="Q844" i="36"/>
  <c r="P844" i="36"/>
  <c r="O844" i="36"/>
  <c r="N844" i="36"/>
  <c r="M844" i="36"/>
  <c r="L844" i="36"/>
  <c r="K844" i="36"/>
  <c r="J844" i="36"/>
  <c r="I844" i="36"/>
  <c r="H844" i="36"/>
  <c r="G844" i="36"/>
  <c r="F844" i="36"/>
  <c r="E844" i="36"/>
  <c r="D844" i="36"/>
  <c r="C844" i="36"/>
  <c r="B844" i="36"/>
  <c r="R843" i="36"/>
  <c r="Q843" i="36"/>
  <c r="P843" i="36"/>
  <c r="O843" i="36"/>
  <c r="N843" i="36"/>
  <c r="M843" i="36"/>
  <c r="L843" i="36"/>
  <c r="K843" i="36"/>
  <c r="J843" i="36"/>
  <c r="I843" i="36"/>
  <c r="H843" i="36"/>
  <c r="G843" i="36"/>
  <c r="F843" i="36"/>
  <c r="E843" i="36"/>
  <c r="D843" i="36"/>
  <c r="C843" i="36"/>
  <c r="B843" i="36"/>
  <c r="R842" i="36"/>
  <c r="Q842" i="36"/>
  <c r="P842" i="36"/>
  <c r="O842" i="36"/>
  <c r="N842" i="36"/>
  <c r="M842" i="36"/>
  <c r="L842" i="36"/>
  <c r="K842" i="36"/>
  <c r="J842" i="36"/>
  <c r="I842" i="36"/>
  <c r="H842" i="36"/>
  <c r="G842" i="36"/>
  <c r="F842" i="36"/>
  <c r="E842" i="36"/>
  <c r="D842" i="36"/>
  <c r="C842" i="36"/>
  <c r="B842" i="36"/>
  <c r="R841" i="36"/>
  <c r="Q841" i="36"/>
  <c r="P841" i="36"/>
  <c r="O841" i="36"/>
  <c r="N841" i="36"/>
  <c r="M841" i="36"/>
  <c r="L841" i="36"/>
  <c r="K841" i="36"/>
  <c r="J841" i="36"/>
  <c r="I841" i="36"/>
  <c r="H841" i="36"/>
  <c r="G841" i="36"/>
  <c r="F841" i="36"/>
  <c r="E841" i="36"/>
  <c r="D841" i="36"/>
  <c r="C841" i="36"/>
  <c r="B841" i="36"/>
  <c r="R840" i="36"/>
  <c r="Q840" i="36"/>
  <c r="P840" i="36"/>
  <c r="O840" i="36"/>
  <c r="N840" i="36"/>
  <c r="M840" i="36"/>
  <c r="L840" i="36"/>
  <c r="K840" i="36"/>
  <c r="J840" i="36"/>
  <c r="I840" i="36"/>
  <c r="H840" i="36"/>
  <c r="G840" i="36"/>
  <c r="F840" i="36"/>
  <c r="E840" i="36"/>
  <c r="D840" i="36"/>
  <c r="C840" i="36"/>
  <c r="B840" i="36"/>
  <c r="R839" i="36"/>
  <c r="Q839" i="36"/>
  <c r="P839" i="36"/>
  <c r="O839" i="36"/>
  <c r="N839" i="36"/>
  <c r="M839" i="36"/>
  <c r="L839" i="36"/>
  <c r="K839" i="36"/>
  <c r="J839" i="36"/>
  <c r="I839" i="36"/>
  <c r="H839" i="36"/>
  <c r="G839" i="36"/>
  <c r="F839" i="36"/>
  <c r="E839" i="36"/>
  <c r="D839" i="36"/>
  <c r="C839" i="36"/>
  <c r="B839" i="36"/>
  <c r="R838" i="36"/>
  <c r="Q838" i="36"/>
  <c r="P838" i="36"/>
  <c r="O838" i="36"/>
  <c r="N838" i="36"/>
  <c r="M838" i="36"/>
  <c r="L838" i="36"/>
  <c r="K838" i="36"/>
  <c r="J838" i="36"/>
  <c r="I838" i="36"/>
  <c r="H838" i="36"/>
  <c r="G838" i="36"/>
  <c r="F838" i="36"/>
  <c r="E838" i="36"/>
  <c r="D838" i="36"/>
  <c r="C838" i="36"/>
  <c r="B838" i="36"/>
  <c r="R837" i="36"/>
  <c r="Q837" i="36"/>
  <c r="P837" i="36"/>
  <c r="O837" i="36"/>
  <c r="N837" i="36"/>
  <c r="M837" i="36"/>
  <c r="L837" i="36"/>
  <c r="K837" i="36"/>
  <c r="J837" i="36"/>
  <c r="I837" i="36"/>
  <c r="H837" i="36"/>
  <c r="G837" i="36"/>
  <c r="F837" i="36"/>
  <c r="E837" i="36"/>
  <c r="D837" i="36"/>
  <c r="C837" i="36"/>
  <c r="B837" i="36"/>
  <c r="R836" i="36"/>
  <c r="Q836" i="36"/>
  <c r="P836" i="36"/>
  <c r="O836" i="36"/>
  <c r="N836" i="36"/>
  <c r="M836" i="36"/>
  <c r="L836" i="36"/>
  <c r="K836" i="36"/>
  <c r="J836" i="36"/>
  <c r="I836" i="36"/>
  <c r="H836" i="36"/>
  <c r="G836" i="36"/>
  <c r="F836" i="36"/>
  <c r="E836" i="36"/>
  <c r="D836" i="36"/>
  <c r="C836" i="36"/>
  <c r="B836" i="36"/>
  <c r="R835" i="36"/>
  <c r="Q835" i="36"/>
  <c r="P835" i="36"/>
  <c r="O835" i="36"/>
  <c r="N835" i="36"/>
  <c r="M835" i="36"/>
  <c r="L835" i="36"/>
  <c r="K835" i="36"/>
  <c r="J835" i="36"/>
  <c r="I835" i="36"/>
  <c r="H835" i="36"/>
  <c r="G835" i="36"/>
  <c r="F835" i="36"/>
  <c r="E835" i="36"/>
  <c r="D835" i="36"/>
  <c r="C835" i="36"/>
  <c r="B835" i="36"/>
  <c r="R834" i="36"/>
  <c r="Q834" i="36"/>
  <c r="P834" i="36"/>
  <c r="O834" i="36"/>
  <c r="N834" i="36"/>
  <c r="M834" i="36"/>
  <c r="L834" i="36"/>
  <c r="K834" i="36"/>
  <c r="J834" i="36"/>
  <c r="I834" i="36"/>
  <c r="H834" i="36"/>
  <c r="G834" i="36"/>
  <c r="F834" i="36"/>
  <c r="E834" i="36"/>
  <c r="D834" i="36"/>
  <c r="C834" i="36"/>
  <c r="B834" i="36"/>
  <c r="R833" i="36"/>
  <c r="Q833" i="36"/>
  <c r="P833" i="36"/>
  <c r="O833" i="36"/>
  <c r="N833" i="36"/>
  <c r="M833" i="36"/>
  <c r="L833" i="36"/>
  <c r="K833" i="36"/>
  <c r="J833" i="36"/>
  <c r="I833" i="36"/>
  <c r="H833" i="36"/>
  <c r="G833" i="36"/>
  <c r="F833" i="36"/>
  <c r="E833" i="36"/>
  <c r="D833" i="36"/>
  <c r="C833" i="36"/>
  <c r="B833" i="36"/>
  <c r="R832" i="36"/>
  <c r="Q832" i="36"/>
  <c r="P832" i="36"/>
  <c r="O832" i="36"/>
  <c r="N832" i="36"/>
  <c r="M832" i="36"/>
  <c r="L832" i="36"/>
  <c r="K832" i="36"/>
  <c r="J832" i="36"/>
  <c r="I832" i="36"/>
  <c r="H832" i="36"/>
  <c r="G832" i="36"/>
  <c r="F832" i="36"/>
  <c r="E832" i="36"/>
  <c r="D832" i="36"/>
  <c r="C832" i="36"/>
  <c r="B832" i="36"/>
  <c r="R831" i="36"/>
  <c r="Q831" i="36"/>
  <c r="P831" i="36"/>
  <c r="O831" i="36"/>
  <c r="N831" i="36"/>
  <c r="M831" i="36"/>
  <c r="L831" i="36"/>
  <c r="K831" i="36"/>
  <c r="J831" i="36"/>
  <c r="I831" i="36"/>
  <c r="H831" i="36"/>
  <c r="G831" i="36"/>
  <c r="F831" i="36"/>
  <c r="E831" i="36"/>
  <c r="D831" i="36"/>
  <c r="C831" i="36"/>
  <c r="B831" i="36"/>
  <c r="R830" i="36"/>
  <c r="Q830" i="36"/>
  <c r="P830" i="36"/>
  <c r="O830" i="36"/>
  <c r="N830" i="36"/>
  <c r="M830" i="36"/>
  <c r="L830" i="36"/>
  <c r="K830" i="36"/>
  <c r="J830" i="36"/>
  <c r="I830" i="36"/>
  <c r="H830" i="36"/>
  <c r="G830" i="36"/>
  <c r="F830" i="36"/>
  <c r="E830" i="36"/>
  <c r="D830" i="36"/>
  <c r="C830" i="36"/>
  <c r="B830" i="36"/>
  <c r="R829" i="36"/>
  <c r="Q829" i="36"/>
  <c r="P829" i="36"/>
  <c r="O829" i="36"/>
  <c r="N829" i="36"/>
  <c r="M829" i="36"/>
  <c r="L829" i="36"/>
  <c r="K829" i="36"/>
  <c r="J829" i="36"/>
  <c r="I829" i="36"/>
  <c r="H829" i="36"/>
  <c r="G829" i="36"/>
  <c r="F829" i="36"/>
  <c r="E829" i="36"/>
  <c r="D829" i="36"/>
  <c r="C829" i="36"/>
  <c r="B829" i="36"/>
  <c r="R828" i="36"/>
  <c r="Q828" i="36"/>
  <c r="P828" i="36"/>
  <c r="O828" i="36"/>
  <c r="N828" i="36"/>
  <c r="M828" i="36"/>
  <c r="L828" i="36"/>
  <c r="K828" i="36"/>
  <c r="J828" i="36"/>
  <c r="I828" i="36"/>
  <c r="H828" i="36"/>
  <c r="G828" i="36"/>
  <c r="F828" i="36"/>
  <c r="E828" i="36"/>
  <c r="D828" i="36"/>
  <c r="C828" i="36"/>
  <c r="B828" i="36"/>
  <c r="R827" i="36"/>
  <c r="Q827" i="36"/>
  <c r="P827" i="36"/>
  <c r="O827" i="36"/>
  <c r="N827" i="36"/>
  <c r="M827" i="36"/>
  <c r="L827" i="36"/>
  <c r="K827" i="36"/>
  <c r="J827" i="36"/>
  <c r="I827" i="36"/>
  <c r="H827" i="36"/>
  <c r="G827" i="36"/>
  <c r="F827" i="36"/>
  <c r="E827" i="36"/>
  <c r="D827" i="36"/>
  <c r="C827" i="36"/>
  <c r="B827" i="36"/>
  <c r="R826" i="36"/>
  <c r="Q826" i="36"/>
  <c r="P826" i="36"/>
  <c r="O826" i="36"/>
  <c r="N826" i="36"/>
  <c r="M826" i="36"/>
  <c r="L826" i="36"/>
  <c r="K826" i="36"/>
  <c r="J826" i="36"/>
  <c r="I826" i="36"/>
  <c r="H826" i="36"/>
  <c r="G826" i="36"/>
  <c r="F826" i="36"/>
  <c r="E826" i="36"/>
  <c r="D826" i="36"/>
  <c r="C826" i="36"/>
  <c r="B826" i="36"/>
  <c r="R825" i="36"/>
  <c r="Q825" i="36"/>
  <c r="P825" i="36"/>
  <c r="O825" i="36"/>
  <c r="N825" i="36"/>
  <c r="M825" i="36"/>
  <c r="L825" i="36"/>
  <c r="K825" i="36"/>
  <c r="J825" i="36"/>
  <c r="I825" i="36"/>
  <c r="H825" i="36"/>
  <c r="G825" i="36"/>
  <c r="F825" i="36"/>
  <c r="E825" i="36"/>
  <c r="D825" i="36"/>
  <c r="C825" i="36"/>
  <c r="B825" i="36"/>
  <c r="R824" i="36"/>
  <c r="Q824" i="36"/>
  <c r="P824" i="36"/>
  <c r="O824" i="36"/>
  <c r="N824" i="36"/>
  <c r="M824" i="36"/>
  <c r="L824" i="36"/>
  <c r="K824" i="36"/>
  <c r="J824" i="36"/>
  <c r="I824" i="36"/>
  <c r="H824" i="36"/>
  <c r="G824" i="36"/>
  <c r="F824" i="36"/>
  <c r="E824" i="36"/>
  <c r="D824" i="36"/>
  <c r="C824" i="36"/>
  <c r="B824" i="36"/>
  <c r="R823" i="36"/>
  <c r="Q823" i="36"/>
  <c r="P823" i="36"/>
  <c r="O823" i="36"/>
  <c r="N823" i="36"/>
  <c r="M823" i="36"/>
  <c r="L823" i="36"/>
  <c r="K823" i="36"/>
  <c r="J823" i="36"/>
  <c r="I823" i="36"/>
  <c r="H823" i="36"/>
  <c r="G823" i="36"/>
  <c r="F823" i="36"/>
  <c r="E823" i="36"/>
  <c r="D823" i="36"/>
  <c r="C823" i="36"/>
  <c r="B823" i="36"/>
  <c r="R822" i="36"/>
  <c r="Q822" i="36"/>
  <c r="P822" i="36"/>
  <c r="O822" i="36"/>
  <c r="N822" i="36"/>
  <c r="M822" i="36"/>
  <c r="L822" i="36"/>
  <c r="K822" i="36"/>
  <c r="J822" i="36"/>
  <c r="I822" i="36"/>
  <c r="H822" i="36"/>
  <c r="G822" i="36"/>
  <c r="F822" i="36"/>
  <c r="E822" i="36"/>
  <c r="D822" i="36"/>
  <c r="C822" i="36"/>
  <c r="B822" i="36"/>
  <c r="R821" i="36"/>
  <c r="Q821" i="36"/>
  <c r="P821" i="36"/>
  <c r="O821" i="36"/>
  <c r="N821" i="36"/>
  <c r="M821" i="36"/>
  <c r="L821" i="36"/>
  <c r="K821" i="36"/>
  <c r="J821" i="36"/>
  <c r="I821" i="36"/>
  <c r="H821" i="36"/>
  <c r="G821" i="36"/>
  <c r="F821" i="36"/>
  <c r="E821" i="36"/>
  <c r="D821" i="36"/>
  <c r="C821" i="36"/>
  <c r="B821" i="36"/>
  <c r="R820" i="36"/>
  <c r="Q820" i="36"/>
  <c r="P820" i="36"/>
  <c r="O820" i="36"/>
  <c r="N820" i="36"/>
  <c r="M820" i="36"/>
  <c r="L820" i="36"/>
  <c r="K820" i="36"/>
  <c r="J820" i="36"/>
  <c r="I820" i="36"/>
  <c r="H820" i="36"/>
  <c r="G820" i="36"/>
  <c r="F820" i="36"/>
  <c r="E820" i="36"/>
  <c r="D820" i="36"/>
  <c r="C820" i="36"/>
  <c r="B820" i="36"/>
  <c r="R819" i="36"/>
  <c r="Q819" i="36"/>
  <c r="P819" i="36"/>
  <c r="O819" i="36"/>
  <c r="N819" i="36"/>
  <c r="M819" i="36"/>
  <c r="L819" i="36"/>
  <c r="K819" i="36"/>
  <c r="J819" i="36"/>
  <c r="I819" i="36"/>
  <c r="H819" i="36"/>
  <c r="G819" i="36"/>
  <c r="F819" i="36"/>
  <c r="E819" i="36"/>
  <c r="D819" i="36"/>
  <c r="C819" i="36"/>
  <c r="B819" i="36"/>
  <c r="R818" i="36"/>
  <c r="Q818" i="36"/>
  <c r="P818" i="36"/>
  <c r="O818" i="36"/>
  <c r="N818" i="36"/>
  <c r="M818" i="36"/>
  <c r="L818" i="36"/>
  <c r="K818" i="36"/>
  <c r="J818" i="36"/>
  <c r="I818" i="36"/>
  <c r="H818" i="36"/>
  <c r="G818" i="36"/>
  <c r="F818" i="36"/>
  <c r="E818" i="36"/>
  <c r="D818" i="36"/>
  <c r="C818" i="36"/>
  <c r="B818" i="36"/>
  <c r="R817" i="36"/>
  <c r="Q817" i="36"/>
  <c r="P817" i="36"/>
  <c r="O817" i="36"/>
  <c r="N817" i="36"/>
  <c r="M817" i="36"/>
  <c r="L817" i="36"/>
  <c r="K817" i="36"/>
  <c r="J817" i="36"/>
  <c r="I817" i="36"/>
  <c r="H817" i="36"/>
  <c r="G817" i="36"/>
  <c r="F817" i="36"/>
  <c r="E817" i="36"/>
  <c r="D817" i="36"/>
  <c r="C817" i="36"/>
  <c r="B817" i="36"/>
  <c r="R816" i="36"/>
  <c r="Q816" i="36"/>
  <c r="P816" i="36"/>
  <c r="O816" i="36"/>
  <c r="N816" i="36"/>
  <c r="M816" i="36"/>
  <c r="L816" i="36"/>
  <c r="K816" i="36"/>
  <c r="J816" i="36"/>
  <c r="I816" i="36"/>
  <c r="H816" i="36"/>
  <c r="G816" i="36"/>
  <c r="F816" i="36"/>
  <c r="E816" i="36"/>
  <c r="D816" i="36"/>
  <c r="C816" i="36"/>
  <c r="B816" i="36"/>
  <c r="R815" i="36"/>
  <c r="Q815" i="36"/>
  <c r="P815" i="36"/>
  <c r="O815" i="36"/>
  <c r="N815" i="36"/>
  <c r="M815" i="36"/>
  <c r="L815" i="36"/>
  <c r="K815" i="36"/>
  <c r="J815" i="36"/>
  <c r="I815" i="36"/>
  <c r="H815" i="36"/>
  <c r="G815" i="36"/>
  <c r="F815" i="36"/>
  <c r="E815" i="36"/>
  <c r="D815" i="36"/>
  <c r="C815" i="36"/>
  <c r="B815" i="36"/>
  <c r="R814" i="36"/>
  <c r="Q814" i="36"/>
  <c r="P814" i="36"/>
  <c r="O814" i="36"/>
  <c r="N814" i="36"/>
  <c r="M814" i="36"/>
  <c r="L814" i="36"/>
  <c r="K814" i="36"/>
  <c r="J814" i="36"/>
  <c r="I814" i="36"/>
  <c r="H814" i="36"/>
  <c r="G814" i="36"/>
  <c r="F814" i="36"/>
  <c r="E814" i="36"/>
  <c r="D814" i="36"/>
  <c r="C814" i="36"/>
  <c r="B814" i="36"/>
  <c r="R813" i="36"/>
  <c r="Q813" i="36"/>
  <c r="P813" i="36"/>
  <c r="O813" i="36"/>
  <c r="N813" i="36"/>
  <c r="M813" i="36"/>
  <c r="L813" i="36"/>
  <c r="K813" i="36"/>
  <c r="J813" i="36"/>
  <c r="I813" i="36"/>
  <c r="H813" i="36"/>
  <c r="G813" i="36"/>
  <c r="F813" i="36"/>
  <c r="E813" i="36"/>
  <c r="D813" i="36"/>
  <c r="C813" i="36"/>
  <c r="B813" i="36"/>
  <c r="R812" i="36"/>
  <c r="Q812" i="36"/>
  <c r="P812" i="36"/>
  <c r="O812" i="36"/>
  <c r="N812" i="36"/>
  <c r="M812" i="36"/>
  <c r="L812" i="36"/>
  <c r="K812" i="36"/>
  <c r="J812" i="36"/>
  <c r="I812" i="36"/>
  <c r="H812" i="36"/>
  <c r="G812" i="36"/>
  <c r="F812" i="36"/>
  <c r="E812" i="36"/>
  <c r="D812" i="36"/>
  <c r="C812" i="36"/>
  <c r="B812" i="36"/>
  <c r="R811" i="36"/>
  <c r="Q811" i="36"/>
  <c r="P811" i="36"/>
  <c r="O811" i="36"/>
  <c r="N811" i="36"/>
  <c r="M811" i="36"/>
  <c r="L811" i="36"/>
  <c r="K811" i="36"/>
  <c r="J811" i="36"/>
  <c r="I811" i="36"/>
  <c r="H811" i="36"/>
  <c r="G811" i="36"/>
  <c r="F811" i="36"/>
  <c r="E811" i="36"/>
  <c r="D811" i="36"/>
  <c r="C811" i="36"/>
  <c r="B811" i="36"/>
  <c r="R810" i="36"/>
  <c r="Q810" i="36"/>
  <c r="P810" i="36"/>
  <c r="O810" i="36"/>
  <c r="N810" i="36"/>
  <c r="M810" i="36"/>
  <c r="L810" i="36"/>
  <c r="K810" i="36"/>
  <c r="J810" i="36"/>
  <c r="I810" i="36"/>
  <c r="H810" i="36"/>
  <c r="G810" i="36"/>
  <c r="F810" i="36"/>
  <c r="E810" i="36"/>
  <c r="D810" i="36"/>
  <c r="C810" i="36"/>
  <c r="B810" i="36"/>
  <c r="R809" i="36"/>
  <c r="Q809" i="36"/>
  <c r="P809" i="36"/>
  <c r="O809" i="36"/>
  <c r="N809" i="36"/>
  <c r="M809" i="36"/>
  <c r="L809" i="36"/>
  <c r="K809" i="36"/>
  <c r="J809" i="36"/>
  <c r="I809" i="36"/>
  <c r="H809" i="36"/>
  <c r="G809" i="36"/>
  <c r="F809" i="36"/>
  <c r="E809" i="36"/>
  <c r="D809" i="36"/>
  <c r="C809" i="36"/>
  <c r="B809" i="36"/>
  <c r="R808" i="36"/>
  <c r="Q808" i="36"/>
  <c r="P808" i="36"/>
  <c r="O808" i="36"/>
  <c r="N808" i="36"/>
  <c r="M808" i="36"/>
  <c r="L808" i="36"/>
  <c r="K808" i="36"/>
  <c r="J808" i="36"/>
  <c r="I808" i="36"/>
  <c r="H808" i="36"/>
  <c r="G808" i="36"/>
  <c r="F808" i="36"/>
  <c r="E808" i="36"/>
  <c r="D808" i="36"/>
  <c r="C808" i="36"/>
  <c r="B808" i="36"/>
  <c r="R807" i="36"/>
  <c r="Q807" i="36"/>
  <c r="P807" i="36"/>
  <c r="O807" i="36"/>
  <c r="N807" i="36"/>
  <c r="M807" i="36"/>
  <c r="L807" i="36"/>
  <c r="K807" i="36"/>
  <c r="J807" i="36"/>
  <c r="I807" i="36"/>
  <c r="H807" i="36"/>
  <c r="G807" i="36"/>
  <c r="F807" i="36"/>
  <c r="E807" i="36"/>
  <c r="D807" i="36"/>
  <c r="C807" i="36"/>
  <c r="B807" i="36"/>
  <c r="R806" i="36"/>
  <c r="Q806" i="36"/>
  <c r="P806" i="36"/>
  <c r="O806" i="36"/>
  <c r="N806" i="36"/>
  <c r="M806" i="36"/>
  <c r="L806" i="36"/>
  <c r="K806" i="36"/>
  <c r="J806" i="36"/>
  <c r="I806" i="36"/>
  <c r="H806" i="36"/>
  <c r="G806" i="36"/>
  <c r="F806" i="36"/>
  <c r="E806" i="36"/>
  <c r="D806" i="36"/>
  <c r="C806" i="36"/>
  <c r="B806" i="36"/>
  <c r="R805" i="36"/>
  <c r="Q805" i="36"/>
  <c r="P805" i="36"/>
  <c r="O805" i="36"/>
  <c r="N805" i="36"/>
  <c r="M805" i="36"/>
  <c r="L805" i="36"/>
  <c r="K805" i="36"/>
  <c r="J805" i="36"/>
  <c r="I805" i="36"/>
  <c r="H805" i="36"/>
  <c r="G805" i="36"/>
  <c r="F805" i="36"/>
  <c r="E805" i="36"/>
  <c r="D805" i="36"/>
  <c r="C805" i="36"/>
  <c r="B805" i="36"/>
  <c r="R804" i="36"/>
  <c r="Q804" i="36"/>
  <c r="P804" i="36"/>
  <c r="O804" i="36"/>
  <c r="N804" i="36"/>
  <c r="M804" i="36"/>
  <c r="L804" i="36"/>
  <c r="K804" i="36"/>
  <c r="J804" i="36"/>
  <c r="I804" i="36"/>
  <c r="H804" i="36"/>
  <c r="G804" i="36"/>
  <c r="F804" i="36"/>
  <c r="E804" i="36"/>
  <c r="D804" i="36"/>
  <c r="C804" i="36"/>
  <c r="B804" i="36"/>
  <c r="R803" i="36"/>
  <c r="Q803" i="36"/>
  <c r="P803" i="36"/>
  <c r="O803" i="36"/>
  <c r="N803" i="36"/>
  <c r="M803" i="36"/>
  <c r="L803" i="36"/>
  <c r="K803" i="36"/>
  <c r="J803" i="36"/>
  <c r="I803" i="36"/>
  <c r="H803" i="36"/>
  <c r="G803" i="36"/>
  <c r="F803" i="36"/>
  <c r="E803" i="36"/>
  <c r="D803" i="36"/>
  <c r="C803" i="36"/>
  <c r="B803" i="36"/>
  <c r="R802" i="36"/>
  <c r="Q802" i="36"/>
  <c r="P802" i="36"/>
  <c r="O802" i="36"/>
  <c r="N802" i="36"/>
  <c r="M802" i="36"/>
  <c r="L802" i="36"/>
  <c r="K802" i="36"/>
  <c r="J802" i="36"/>
  <c r="I802" i="36"/>
  <c r="H802" i="36"/>
  <c r="G802" i="36"/>
  <c r="F802" i="36"/>
  <c r="E802" i="36"/>
  <c r="D802" i="36"/>
  <c r="C802" i="36"/>
  <c r="B802" i="36"/>
  <c r="R801" i="36"/>
  <c r="Q801" i="36"/>
  <c r="P801" i="36"/>
  <c r="O801" i="36"/>
  <c r="N801" i="36"/>
  <c r="M801" i="36"/>
  <c r="L801" i="36"/>
  <c r="K801" i="36"/>
  <c r="J801" i="36"/>
  <c r="I801" i="36"/>
  <c r="H801" i="36"/>
  <c r="G801" i="36"/>
  <c r="F801" i="36"/>
  <c r="E801" i="36"/>
  <c r="D801" i="36"/>
  <c r="C801" i="36"/>
  <c r="B801" i="36"/>
  <c r="R800" i="36"/>
  <c r="Q800" i="36"/>
  <c r="P800" i="36"/>
  <c r="O800" i="36"/>
  <c r="N800" i="36"/>
  <c r="M800" i="36"/>
  <c r="L800" i="36"/>
  <c r="K800" i="36"/>
  <c r="J800" i="36"/>
  <c r="I800" i="36"/>
  <c r="H800" i="36"/>
  <c r="G800" i="36"/>
  <c r="F800" i="36"/>
  <c r="E800" i="36"/>
  <c r="D800" i="36"/>
  <c r="C800" i="36"/>
  <c r="B800" i="36"/>
  <c r="R799" i="36"/>
  <c r="Q799" i="36"/>
  <c r="P799" i="36"/>
  <c r="O799" i="36"/>
  <c r="N799" i="36"/>
  <c r="M799" i="36"/>
  <c r="L799" i="36"/>
  <c r="K799" i="36"/>
  <c r="J799" i="36"/>
  <c r="I799" i="36"/>
  <c r="H799" i="36"/>
  <c r="G799" i="36"/>
  <c r="F799" i="36"/>
  <c r="E799" i="36"/>
  <c r="D799" i="36"/>
  <c r="C799" i="36"/>
  <c r="B799" i="36"/>
  <c r="R798" i="36"/>
  <c r="Q798" i="36"/>
  <c r="P798" i="36"/>
  <c r="O798" i="36"/>
  <c r="N798" i="36"/>
  <c r="M798" i="36"/>
  <c r="L798" i="36"/>
  <c r="K798" i="36"/>
  <c r="J798" i="36"/>
  <c r="I798" i="36"/>
  <c r="H798" i="36"/>
  <c r="G798" i="36"/>
  <c r="F798" i="36"/>
  <c r="E798" i="36"/>
  <c r="D798" i="36"/>
  <c r="C798" i="36"/>
  <c r="B798" i="36"/>
  <c r="R797" i="36"/>
  <c r="Q797" i="36"/>
  <c r="P797" i="36"/>
  <c r="O797" i="36"/>
  <c r="N797" i="36"/>
  <c r="M797" i="36"/>
  <c r="L797" i="36"/>
  <c r="K797" i="36"/>
  <c r="J797" i="36"/>
  <c r="I797" i="36"/>
  <c r="H797" i="36"/>
  <c r="G797" i="36"/>
  <c r="F797" i="36"/>
  <c r="E797" i="36"/>
  <c r="D797" i="36"/>
  <c r="C797" i="36"/>
  <c r="B797" i="36"/>
  <c r="R796" i="36"/>
  <c r="Q796" i="36"/>
  <c r="P796" i="36"/>
  <c r="O796" i="36"/>
  <c r="N796" i="36"/>
  <c r="M796" i="36"/>
  <c r="L796" i="36"/>
  <c r="K796" i="36"/>
  <c r="J796" i="36"/>
  <c r="I796" i="36"/>
  <c r="H796" i="36"/>
  <c r="G796" i="36"/>
  <c r="F796" i="36"/>
  <c r="E796" i="36"/>
  <c r="D796" i="36"/>
  <c r="C796" i="36"/>
  <c r="B796" i="36"/>
  <c r="R795" i="36"/>
  <c r="Q795" i="36"/>
  <c r="P795" i="36"/>
  <c r="O795" i="36"/>
  <c r="N795" i="36"/>
  <c r="M795" i="36"/>
  <c r="L795" i="36"/>
  <c r="K795" i="36"/>
  <c r="J795" i="36"/>
  <c r="I795" i="36"/>
  <c r="H795" i="36"/>
  <c r="G795" i="36"/>
  <c r="F795" i="36"/>
  <c r="E795" i="36"/>
  <c r="D795" i="36"/>
  <c r="C795" i="36"/>
  <c r="B795" i="36"/>
  <c r="R794" i="36"/>
  <c r="Q794" i="36"/>
  <c r="P794" i="36"/>
  <c r="O794" i="36"/>
  <c r="N794" i="36"/>
  <c r="M794" i="36"/>
  <c r="L794" i="36"/>
  <c r="K794" i="36"/>
  <c r="J794" i="36"/>
  <c r="I794" i="36"/>
  <c r="H794" i="36"/>
  <c r="G794" i="36"/>
  <c r="F794" i="36"/>
  <c r="E794" i="36"/>
  <c r="D794" i="36"/>
  <c r="C794" i="36"/>
  <c r="B794" i="36"/>
  <c r="R793" i="36"/>
  <c r="Q793" i="36"/>
  <c r="P793" i="36"/>
  <c r="O793" i="36"/>
  <c r="N793" i="36"/>
  <c r="M793" i="36"/>
  <c r="L793" i="36"/>
  <c r="K793" i="36"/>
  <c r="J793" i="36"/>
  <c r="I793" i="36"/>
  <c r="H793" i="36"/>
  <c r="G793" i="36"/>
  <c r="F793" i="36"/>
  <c r="E793" i="36"/>
  <c r="D793" i="36"/>
  <c r="C793" i="36"/>
  <c r="B793" i="36"/>
  <c r="R792" i="36"/>
  <c r="Q792" i="36"/>
  <c r="P792" i="36"/>
  <c r="O792" i="36"/>
  <c r="N792" i="36"/>
  <c r="M792" i="36"/>
  <c r="L792" i="36"/>
  <c r="K792" i="36"/>
  <c r="J792" i="36"/>
  <c r="I792" i="36"/>
  <c r="H792" i="36"/>
  <c r="G792" i="36"/>
  <c r="F792" i="36"/>
  <c r="E792" i="36"/>
  <c r="D792" i="36"/>
  <c r="C792" i="36"/>
  <c r="B792" i="36"/>
  <c r="R791" i="36"/>
  <c r="Q791" i="36"/>
  <c r="P791" i="36"/>
  <c r="O791" i="36"/>
  <c r="N791" i="36"/>
  <c r="M791" i="36"/>
  <c r="L791" i="36"/>
  <c r="K791" i="36"/>
  <c r="J791" i="36"/>
  <c r="I791" i="36"/>
  <c r="H791" i="36"/>
  <c r="G791" i="36"/>
  <c r="F791" i="36"/>
  <c r="E791" i="36"/>
  <c r="D791" i="36"/>
  <c r="C791" i="36"/>
  <c r="B791" i="36"/>
  <c r="R790" i="36"/>
  <c r="Q790" i="36"/>
  <c r="P790" i="36"/>
  <c r="O790" i="36"/>
  <c r="N790" i="36"/>
  <c r="M790" i="36"/>
  <c r="L790" i="36"/>
  <c r="K790" i="36"/>
  <c r="J790" i="36"/>
  <c r="I790" i="36"/>
  <c r="H790" i="36"/>
  <c r="G790" i="36"/>
  <c r="F790" i="36"/>
  <c r="E790" i="36"/>
  <c r="D790" i="36"/>
  <c r="C790" i="36"/>
  <c r="B790" i="36"/>
  <c r="R789" i="36"/>
  <c r="Q789" i="36"/>
  <c r="P789" i="36"/>
  <c r="O789" i="36"/>
  <c r="N789" i="36"/>
  <c r="M789" i="36"/>
  <c r="L789" i="36"/>
  <c r="K789" i="36"/>
  <c r="J789" i="36"/>
  <c r="I789" i="36"/>
  <c r="H789" i="36"/>
  <c r="G789" i="36"/>
  <c r="F789" i="36"/>
  <c r="E789" i="36"/>
  <c r="D789" i="36"/>
  <c r="C789" i="36"/>
  <c r="B789" i="36"/>
  <c r="R788" i="36"/>
  <c r="Q788" i="36"/>
  <c r="P788" i="36"/>
  <c r="O788" i="36"/>
  <c r="N788" i="36"/>
  <c r="M788" i="36"/>
  <c r="L788" i="36"/>
  <c r="K788" i="36"/>
  <c r="J788" i="36"/>
  <c r="I788" i="36"/>
  <c r="H788" i="36"/>
  <c r="G788" i="36"/>
  <c r="F788" i="36"/>
  <c r="E788" i="36"/>
  <c r="D788" i="36"/>
  <c r="C788" i="36"/>
  <c r="B788" i="36"/>
  <c r="R787" i="36"/>
  <c r="Q787" i="36"/>
  <c r="P787" i="36"/>
  <c r="O787" i="36"/>
  <c r="N787" i="36"/>
  <c r="M787" i="36"/>
  <c r="L787" i="36"/>
  <c r="K787" i="36"/>
  <c r="J787" i="36"/>
  <c r="I787" i="36"/>
  <c r="H787" i="36"/>
  <c r="G787" i="36"/>
  <c r="F787" i="36"/>
  <c r="E787" i="36"/>
  <c r="D787" i="36"/>
  <c r="C787" i="36"/>
  <c r="B787" i="36"/>
  <c r="R786" i="36"/>
  <c r="Q786" i="36"/>
  <c r="P786" i="36"/>
  <c r="O786" i="36"/>
  <c r="N786" i="36"/>
  <c r="M786" i="36"/>
  <c r="L786" i="36"/>
  <c r="K786" i="36"/>
  <c r="J786" i="36"/>
  <c r="I786" i="36"/>
  <c r="H786" i="36"/>
  <c r="G786" i="36"/>
  <c r="F786" i="36"/>
  <c r="E786" i="36"/>
  <c r="D786" i="36"/>
  <c r="C786" i="36"/>
  <c r="B786" i="36"/>
  <c r="R785" i="36"/>
  <c r="Q785" i="36"/>
  <c r="P785" i="36"/>
  <c r="O785" i="36"/>
  <c r="N785" i="36"/>
  <c r="M785" i="36"/>
  <c r="L785" i="36"/>
  <c r="K785" i="36"/>
  <c r="J785" i="36"/>
  <c r="I785" i="36"/>
  <c r="H785" i="36"/>
  <c r="G785" i="36"/>
  <c r="F785" i="36"/>
  <c r="E785" i="36"/>
  <c r="D785" i="36"/>
  <c r="C785" i="36"/>
  <c r="B785" i="36"/>
  <c r="R784" i="36"/>
  <c r="Q784" i="36"/>
  <c r="P784" i="36"/>
  <c r="O784" i="36"/>
  <c r="N784" i="36"/>
  <c r="M784" i="36"/>
  <c r="L784" i="36"/>
  <c r="K784" i="36"/>
  <c r="J784" i="36"/>
  <c r="I784" i="36"/>
  <c r="H784" i="36"/>
  <c r="G784" i="36"/>
  <c r="F784" i="36"/>
  <c r="E784" i="36"/>
  <c r="D784" i="36"/>
  <c r="C784" i="36"/>
  <c r="B784" i="36"/>
  <c r="R783" i="36"/>
  <c r="Q783" i="36"/>
  <c r="P783" i="36"/>
  <c r="O783" i="36"/>
  <c r="N783" i="36"/>
  <c r="M783" i="36"/>
  <c r="L783" i="36"/>
  <c r="K783" i="36"/>
  <c r="J783" i="36"/>
  <c r="I783" i="36"/>
  <c r="H783" i="36"/>
  <c r="G783" i="36"/>
  <c r="F783" i="36"/>
  <c r="E783" i="36"/>
  <c r="D783" i="36"/>
  <c r="C783" i="36"/>
  <c r="B783" i="36"/>
  <c r="R782" i="36"/>
  <c r="Q782" i="36"/>
  <c r="P782" i="36"/>
  <c r="O782" i="36"/>
  <c r="N782" i="36"/>
  <c r="M782" i="36"/>
  <c r="L782" i="36"/>
  <c r="K782" i="36"/>
  <c r="J782" i="36"/>
  <c r="I782" i="36"/>
  <c r="H782" i="36"/>
  <c r="G782" i="36"/>
  <c r="F782" i="36"/>
  <c r="E782" i="36"/>
  <c r="D782" i="36"/>
  <c r="C782" i="36"/>
  <c r="B782" i="36"/>
  <c r="R781" i="36"/>
  <c r="Q781" i="36"/>
  <c r="P781" i="36"/>
  <c r="O781" i="36"/>
  <c r="N781" i="36"/>
  <c r="M781" i="36"/>
  <c r="L781" i="36"/>
  <c r="K781" i="36"/>
  <c r="J781" i="36"/>
  <c r="I781" i="36"/>
  <c r="H781" i="36"/>
  <c r="G781" i="36"/>
  <c r="F781" i="36"/>
  <c r="E781" i="36"/>
  <c r="D781" i="36"/>
  <c r="C781" i="36"/>
  <c r="B781" i="36"/>
  <c r="R780" i="36"/>
  <c r="Q780" i="36"/>
  <c r="P780" i="36"/>
  <c r="O780" i="36"/>
  <c r="N780" i="36"/>
  <c r="M780" i="36"/>
  <c r="L780" i="36"/>
  <c r="K780" i="36"/>
  <c r="J780" i="36"/>
  <c r="I780" i="36"/>
  <c r="H780" i="36"/>
  <c r="G780" i="36"/>
  <c r="F780" i="36"/>
  <c r="E780" i="36"/>
  <c r="D780" i="36"/>
  <c r="C780" i="36"/>
  <c r="B780" i="36"/>
  <c r="R779" i="36"/>
  <c r="Q779" i="36"/>
  <c r="P779" i="36"/>
  <c r="O779" i="36"/>
  <c r="N779" i="36"/>
  <c r="M779" i="36"/>
  <c r="L779" i="36"/>
  <c r="K779" i="36"/>
  <c r="J779" i="36"/>
  <c r="I779" i="36"/>
  <c r="H779" i="36"/>
  <c r="G779" i="36"/>
  <c r="F779" i="36"/>
  <c r="E779" i="36"/>
  <c r="D779" i="36"/>
  <c r="C779" i="36"/>
  <c r="B779" i="36"/>
  <c r="R778" i="36"/>
  <c r="Q778" i="36"/>
  <c r="P778" i="36"/>
  <c r="O778" i="36"/>
  <c r="N778" i="36"/>
  <c r="M778" i="36"/>
  <c r="L778" i="36"/>
  <c r="K778" i="36"/>
  <c r="J778" i="36"/>
  <c r="I778" i="36"/>
  <c r="H778" i="36"/>
  <c r="G778" i="36"/>
  <c r="F778" i="36"/>
  <c r="E778" i="36"/>
  <c r="D778" i="36"/>
  <c r="C778" i="36"/>
  <c r="B778" i="36"/>
  <c r="R777" i="36"/>
  <c r="Q777" i="36"/>
  <c r="P777" i="36"/>
  <c r="O777" i="36"/>
  <c r="N777" i="36"/>
  <c r="M777" i="36"/>
  <c r="L777" i="36"/>
  <c r="K777" i="36"/>
  <c r="J777" i="36"/>
  <c r="I777" i="36"/>
  <c r="H777" i="36"/>
  <c r="G777" i="36"/>
  <c r="F777" i="36"/>
  <c r="E777" i="36"/>
  <c r="D777" i="36"/>
  <c r="C777" i="36"/>
  <c r="B777" i="36"/>
  <c r="R776" i="36"/>
  <c r="Q776" i="36"/>
  <c r="P776" i="36"/>
  <c r="O776" i="36"/>
  <c r="N776" i="36"/>
  <c r="M776" i="36"/>
  <c r="L776" i="36"/>
  <c r="K776" i="36"/>
  <c r="J776" i="36"/>
  <c r="I776" i="36"/>
  <c r="H776" i="36"/>
  <c r="G776" i="36"/>
  <c r="F776" i="36"/>
  <c r="E776" i="36"/>
  <c r="D776" i="36"/>
  <c r="C776" i="36"/>
  <c r="B776" i="36"/>
  <c r="R775" i="36"/>
  <c r="Q775" i="36"/>
  <c r="P775" i="36"/>
  <c r="O775" i="36"/>
  <c r="N775" i="36"/>
  <c r="M775" i="36"/>
  <c r="L775" i="36"/>
  <c r="K775" i="36"/>
  <c r="J775" i="36"/>
  <c r="I775" i="36"/>
  <c r="H775" i="36"/>
  <c r="G775" i="36"/>
  <c r="F775" i="36"/>
  <c r="E775" i="36"/>
  <c r="D775" i="36"/>
  <c r="C775" i="36"/>
  <c r="B775" i="36"/>
  <c r="R774" i="36"/>
  <c r="Q774" i="36"/>
  <c r="P774" i="36"/>
  <c r="O774" i="36"/>
  <c r="N774" i="36"/>
  <c r="M774" i="36"/>
  <c r="L774" i="36"/>
  <c r="K774" i="36"/>
  <c r="J774" i="36"/>
  <c r="I774" i="36"/>
  <c r="H774" i="36"/>
  <c r="G774" i="36"/>
  <c r="F774" i="36"/>
  <c r="E774" i="36"/>
  <c r="D774" i="36"/>
  <c r="C774" i="36"/>
  <c r="B774" i="36"/>
  <c r="R773" i="36"/>
  <c r="Q773" i="36"/>
  <c r="P773" i="36"/>
  <c r="O773" i="36"/>
  <c r="N773" i="36"/>
  <c r="M773" i="36"/>
  <c r="L773" i="36"/>
  <c r="K773" i="36"/>
  <c r="J773" i="36"/>
  <c r="I773" i="36"/>
  <c r="H773" i="36"/>
  <c r="G773" i="36"/>
  <c r="F773" i="36"/>
  <c r="E773" i="36"/>
  <c r="D773" i="36"/>
  <c r="C773" i="36"/>
  <c r="B773" i="36"/>
  <c r="R772" i="36"/>
  <c r="Q772" i="36"/>
  <c r="P772" i="36"/>
  <c r="O772" i="36"/>
  <c r="N772" i="36"/>
  <c r="M772" i="36"/>
  <c r="L772" i="36"/>
  <c r="K772" i="36"/>
  <c r="J772" i="36"/>
  <c r="I772" i="36"/>
  <c r="H772" i="36"/>
  <c r="G772" i="36"/>
  <c r="F772" i="36"/>
  <c r="E772" i="36"/>
  <c r="D772" i="36"/>
  <c r="C772" i="36"/>
  <c r="B772" i="36"/>
  <c r="R771" i="36"/>
  <c r="Q771" i="36"/>
  <c r="P771" i="36"/>
  <c r="O771" i="36"/>
  <c r="N771" i="36"/>
  <c r="M771" i="36"/>
  <c r="L771" i="36"/>
  <c r="K771" i="36"/>
  <c r="J771" i="36"/>
  <c r="I771" i="36"/>
  <c r="H771" i="36"/>
  <c r="G771" i="36"/>
  <c r="F771" i="36"/>
  <c r="E771" i="36"/>
  <c r="D771" i="36"/>
  <c r="C771" i="36"/>
  <c r="B771" i="36"/>
  <c r="R770" i="36"/>
  <c r="Q770" i="36"/>
  <c r="P770" i="36"/>
  <c r="O770" i="36"/>
  <c r="N770" i="36"/>
  <c r="M770" i="36"/>
  <c r="L770" i="36"/>
  <c r="K770" i="36"/>
  <c r="J770" i="36"/>
  <c r="I770" i="36"/>
  <c r="H770" i="36"/>
  <c r="G770" i="36"/>
  <c r="F770" i="36"/>
  <c r="E770" i="36"/>
  <c r="D770" i="36"/>
  <c r="C770" i="36"/>
  <c r="B770" i="36"/>
  <c r="R769" i="36"/>
  <c r="Q769" i="36"/>
  <c r="P769" i="36"/>
  <c r="O769" i="36"/>
  <c r="N769" i="36"/>
  <c r="M769" i="36"/>
  <c r="L769" i="36"/>
  <c r="K769" i="36"/>
  <c r="J769" i="36"/>
  <c r="I769" i="36"/>
  <c r="H769" i="36"/>
  <c r="G769" i="36"/>
  <c r="F769" i="36"/>
  <c r="E769" i="36"/>
  <c r="D769" i="36"/>
  <c r="C769" i="36"/>
  <c r="B769" i="36"/>
  <c r="R768" i="36"/>
  <c r="Q768" i="36"/>
  <c r="P768" i="36"/>
  <c r="O768" i="36"/>
  <c r="N768" i="36"/>
  <c r="M768" i="36"/>
  <c r="L768" i="36"/>
  <c r="K768" i="36"/>
  <c r="J768" i="36"/>
  <c r="I768" i="36"/>
  <c r="H768" i="36"/>
  <c r="G768" i="36"/>
  <c r="F768" i="36"/>
  <c r="E768" i="36"/>
  <c r="D768" i="36"/>
  <c r="C768" i="36"/>
  <c r="B768" i="36"/>
  <c r="R767" i="36"/>
  <c r="Q767" i="36"/>
  <c r="P767" i="36"/>
  <c r="O767" i="36"/>
  <c r="N767" i="36"/>
  <c r="M767" i="36"/>
  <c r="L767" i="36"/>
  <c r="K767" i="36"/>
  <c r="J767" i="36"/>
  <c r="I767" i="36"/>
  <c r="H767" i="36"/>
  <c r="G767" i="36"/>
  <c r="F767" i="36"/>
  <c r="E767" i="36"/>
  <c r="D767" i="36"/>
  <c r="C767" i="36"/>
  <c r="B767" i="36"/>
  <c r="R766" i="36"/>
  <c r="Q766" i="36"/>
  <c r="P766" i="36"/>
  <c r="O766" i="36"/>
  <c r="N766" i="36"/>
  <c r="M766" i="36"/>
  <c r="L766" i="36"/>
  <c r="K766" i="36"/>
  <c r="J766" i="36"/>
  <c r="I766" i="36"/>
  <c r="H766" i="36"/>
  <c r="G766" i="36"/>
  <c r="F766" i="36"/>
  <c r="E766" i="36"/>
  <c r="D766" i="36"/>
  <c r="C766" i="36"/>
  <c r="B766" i="36"/>
  <c r="R765" i="36"/>
  <c r="Q765" i="36"/>
  <c r="P765" i="36"/>
  <c r="O765" i="36"/>
  <c r="N765" i="36"/>
  <c r="M765" i="36"/>
  <c r="L765" i="36"/>
  <c r="K765" i="36"/>
  <c r="J765" i="36"/>
  <c r="I765" i="36"/>
  <c r="H765" i="36"/>
  <c r="G765" i="36"/>
  <c r="F765" i="36"/>
  <c r="E765" i="36"/>
  <c r="D765" i="36"/>
  <c r="C765" i="36"/>
  <c r="B765" i="36"/>
  <c r="R764" i="36"/>
  <c r="Q764" i="36"/>
  <c r="P764" i="36"/>
  <c r="O764" i="36"/>
  <c r="N764" i="36"/>
  <c r="M764" i="36"/>
  <c r="L764" i="36"/>
  <c r="K764" i="36"/>
  <c r="J764" i="36"/>
  <c r="I764" i="36"/>
  <c r="H764" i="36"/>
  <c r="G764" i="36"/>
  <c r="F764" i="36"/>
  <c r="E764" i="36"/>
  <c r="D764" i="36"/>
  <c r="C764" i="36"/>
  <c r="B764" i="36"/>
  <c r="R763" i="36"/>
  <c r="Q763" i="36"/>
  <c r="P763" i="36"/>
  <c r="O763" i="36"/>
  <c r="N763" i="36"/>
  <c r="M763" i="36"/>
  <c r="L763" i="36"/>
  <c r="K763" i="36"/>
  <c r="J763" i="36"/>
  <c r="I763" i="36"/>
  <c r="H763" i="36"/>
  <c r="G763" i="36"/>
  <c r="F763" i="36"/>
  <c r="E763" i="36"/>
  <c r="D763" i="36"/>
  <c r="C763" i="36"/>
  <c r="B763" i="36"/>
  <c r="R762" i="36"/>
  <c r="Q762" i="36"/>
  <c r="P762" i="36"/>
  <c r="O762" i="36"/>
  <c r="N762" i="36"/>
  <c r="M762" i="36"/>
  <c r="L762" i="36"/>
  <c r="K762" i="36"/>
  <c r="J762" i="36"/>
  <c r="I762" i="36"/>
  <c r="H762" i="36"/>
  <c r="G762" i="36"/>
  <c r="F762" i="36"/>
  <c r="E762" i="36"/>
  <c r="D762" i="36"/>
  <c r="C762" i="36"/>
  <c r="B762" i="36"/>
  <c r="R761" i="36"/>
  <c r="Q761" i="36"/>
  <c r="P761" i="36"/>
  <c r="O761" i="36"/>
  <c r="N761" i="36"/>
  <c r="M761" i="36"/>
  <c r="L761" i="36"/>
  <c r="K761" i="36"/>
  <c r="J761" i="36"/>
  <c r="I761" i="36"/>
  <c r="H761" i="36"/>
  <c r="G761" i="36"/>
  <c r="F761" i="36"/>
  <c r="E761" i="36"/>
  <c r="D761" i="36"/>
  <c r="C761" i="36"/>
  <c r="B761" i="36"/>
  <c r="R760" i="36"/>
  <c r="Q760" i="36"/>
  <c r="P760" i="36"/>
  <c r="O760" i="36"/>
  <c r="N760" i="36"/>
  <c r="M760" i="36"/>
  <c r="L760" i="36"/>
  <c r="K760" i="36"/>
  <c r="J760" i="36"/>
  <c r="I760" i="36"/>
  <c r="H760" i="36"/>
  <c r="G760" i="36"/>
  <c r="F760" i="36"/>
  <c r="E760" i="36"/>
  <c r="D760" i="36"/>
  <c r="C760" i="36"/>
  <c r="B760" i="36"/>
  <c r="R759" i="36"/>
  <c r="Q759" i="36"/>
  <c r="P759" i="36"/>
  <c r="O759" i="36"/>
  <c r="N759" i="36"/>
  <c r="M759" i="36"/>
  <c r="L759" i="36"/>
  <c r="K759" i="36"/>
  <c r="J759" i="36"/>
  <c r="I759" i="36"/>
  <c r="H759" i="36"/>
  <c r="G759" i="36"/>
  <c r="F759" i="36"/>
  <c r="E759" i="36"/>
  <c r="D759" i="36"/>
  <c r="C759" i="36"/>
  <c r="B759" i="36"/>
  <c r="R758" i="36"/>
  <c r="Q758" i="36"/>
  <c r="P758" i="36"/>
  <c r="O758" i="36"/>
  <c r="N758" i="36"/>
  <c r="M758" i="36"/>
  <c r="L758" i="36"/>
  <c r="K758" i="36"/>
  <c r="J758" i="36"/>
  <c r="I758" i="36"/>
  <c r="H758" i="36"/>
  <c r="G758" i="36"/>
  <c r="F758" i="36"/>
  <c r="E758" i="36"/>
  <c r="D758" i="36"/>
  <c r="C758" i="36"/>
  <c r="B758" i="36"/>
  <c r="R757" i="36"/>
  <c r="Q757" i="36"/>
  <c r="P757" i="36"/>
  <c r="O757" i="36"/>
  <c r="N757" i="36"/>
  <c r="M757" i="36"/>
  <c r="L757" i="36"/>
  <c r="K757" i="36"/>
  <c r="J757" i="36"/>
  <c r="I757" i="36"/>
  <c r="H757" i="36"/>
  <c r="G757" i="36"/>
  <c r="F757" i="36"/>
  <c r="E757" i="36"/>
  <c r="D757" i="36"/>
  <c r="C757" i="36"/>
  <c r="B757" i="36"/>
  <c r="R756" i="36"/>
  <c r="Q756" i="36"/>
  <c r="P756" i="36"/>
  <c r="O756" i="36"/>
  <c r="N756" i="36"/>
  <c r="M756" i="36"/>
  <c r="L756" i="36"/>
  <c r="K756" i="36"/>
  <c r="J756" i="36"/>
  <c r="I756" i="36"/>
  <c r="H756" i="36"/>
  <c r="G756" i="36"/>
  <c r="F756" i="36"/>
  <c r="E756" i="36"/>
  <c r="D756" i="36"/>
  <c r="C756" i="36"/>
  <c r="B756" i="36"/>
  <c r="R755" i="36"/>
  <c r="Q755" i="36"/>
  <c r="P755" i="36"/>
  <c r="O755" i="36"/>
  <c r="N755" i="36"/>
  <c r="M755" i="36"/>
  <c r="L755" i="36"/>
  <c r="K755" i="36"/>
  <c r="J755" i="36"/>
  <c r="I755" i="36"/>
  <c r="H755" i="36"/>
  <c r="G755" i="36"/>
  <c r="F755" i="36"/>
  <c r="E755" i="36"/>
  <c r="D755" i="36"/>
  <c r="C755" i="36"/>
  <c r="B755" i="36"/>
  <c r="R754" i="36"/>
  <c r="Q754" i="36"/>
  <c r="P754" i="36"/>
  <c r="O754" i="36"/>
  <c r="N754" i="36"/>
  <c r="M754" i="36"/>
  <c r="L754" i="36"/>
  <c r="K754" i="36"/>
  <c r="J754" i="36"/>
  <c r="I754" i="36"/>
  <c r="H754" i="36"/>
  <c r="G754" i="36"/>
  <c r="F754" i="36"/>
  <c r="E754" i="36"/>
  <c r="D754" i="36"/>
  <c r="C754" i="36"/>
  <c r="B754" i="36"/>
  <c r="R753" i="36"/>
  <c r="Q753" i="36"/>
  <c r="P753" i="36"/>
  <c r="O753" i="36"/>
  <c r="N753" i="36"/>
  <c r="M753" i="36"/>
  <c r="L753" i="36"/>
  <c r="K753" i="36"/>
  <c r="J753" i="36"/>
  <c r="I753" i="36"/>
  <c r="H753" i="36"/>
  <c r="G753" i="36"/>
  <c r="F753" i="36"/>
  <c r="E753" i="36"/>
  <c r="D753" i="36"/>
  <c r="C753" i="36"/>
  <c r="B753" i="36"/>
  <c r="R752" i="36"/>
  <c r="Q752" i="36"/>
  <c r="P752" i="36"/>
  <c r="O752" i="36"/>
  <c r="N752" i="36"/>
  <c r="M752" i="36"/>
  <c r="L752" i="36"/>
  <c r="K752" i="36"/>
  <c r="J752" i="36"/>
  <c r="I752" i="36"/>
  <c r="H752" i="36"/>
  <c r="G752" i="36"/>
  <c r="F752" i="36"/>
  <c r="E752" i="36"/>
  <c r="D752" i="36"/>
  <c r="C752" i="36"/>
  <c r="B752" i="36"/>
  <c r="R751" i="36"/>
  <c r="Q751" i="36"/>
  <c r="P751" i="36"/>
  <c r="O751" i="36"/>
  <c r="N751" i="36"/>
  <c r="M751" i="36"/>
  <c r="L751" i="36"/>
  <c r="K751" i="36"/>
  <c r="J751" i="36"/>
  <c r="I751" i="36"/>
  <c r="H751" i="36"/>
  <c r="G751" i="36"/>
  <c r="F751" i="36"/>
  <c r="E751" i="36"/>
  <c r="D751" i="36"/>
  <c r="C751" i="36"/>
  <c r="B751" i="36"/>
  <c r="R750" i="36"/>
  <c r="Q750" i="36"/>
  <c r="P750" i="36"/>
  <c r="O750" i="36"/>
  <c r="N750" i="36"/>
  <c r="M750" i="36"/>
  <c r="L750" i="36"/>
  <c r="K750" i="36"/>
  <c r="J750" i="36"/>
  <c r="I750" i="36"/>
  <c r="H750" i="36"/>
  <c r="G750" i="36"/>
  <c r="F750" i="36"/>
  <c r="E750" i="36"/>
  <c r="D750" i="36"/>
  <c r="C750" i="36"/>
  <c r="B750" i="36"/>
  <c r="R749" i="36"/>
  <c r="Q749" i="36"/>
  <c r="P749" i="36"/>
  <c r="O749" i="36"/>
  <c r="N749" i="36"/>
  <c r="M749" i="36"/>
  <c r="L749" i="36"/>
  <c r="K749" i="36"/>
  <c r="J749" i="36"/>
  <c r="I749" i="36"/>
  <c r="H749" i="36"/>
  <c r="G749" i="36"/>
  <c r="F749" i="36"/>
  <c r="E749" i="36"/>
  <c r="D749" i="36"/>
  <c r="C749" i="36"/>
  <c r="B749" i="36"/>
  <c r="R748" i="36"/>
  <c r="Q748" i="36"/>
  <c r="P748" i="36"/>
  <c r="O748" i="36"/>
  <c r="N748" i="36"/>
  <c r="M748" i="36"/>
  <c r="L748" i="36"/>
  <c r="K748" i="36"/>
  <c r="J748" i="36"/>
  <c r="I748" i="36"/>
  <c r="H748" i="36"/>
  <c r="G748" i="36"/>
  <c r="F748" i="36"/>
  <c r="E748" i="36"/>
  <c r="D748" i="36"/>
  <c r="C748" i="36"/>
  <c r="B748" i="36"/>
  <c r="R747" i="36"/>
  <c r="Q747" i="36"/>
  <c r="P747" i="36"/>
  <c r="O747" i="36"/>
  <c r="N747" i="36"/>
  <c r="M747" i="36"/>
  <c r="L747" i="36"/>
  <c r="K747" i="36"/>
  <c r="J747" i="36"/>
  <c r="I747" i="36"/>
  <c r="H747" i="36"/>
  <c r="G747" i="36"/>
  <c r="F747" i="36"/>
  <c r="E747" i="36"/>
  <c r="D747" i="36"/>
  <c r="C747" i="36"/>
  <c r="B747" i="36"/>
  <c r="R746" i="36"/>
  <c r="Q746" i="36"/>
  <c r="P746" i="36"/>
  <c r="O746" i="36"/>
  <c r="N746" i="36"/>
  <c r="M746" i="36"/>
  <c r="L746" i="36"/>
  <c r="K746" i="36"/>
  <c r="J746" i="36"/>
  <c r="I746" i="36"/>
  <c r="H746" i="36"/>
  <c r="G746" i="36"/>
  <c r="F746" i="36"/>
  <c r="E746" i="36"/>
  <c r="D746" i="36"/>
  <c r="C746" i="36"/>
  <c r="B746" i="36"/>
  <c r="R745" i="36"/>
  <c r="Q745" i="36"/>
  <c r="P745" i="36"/>
  <c r="O745" i="36"/>
  <c r="N745" i="36"/>
  <c r="M745" i="36"/>
  <c r="L745" i="36"/>
  <c r="K745" i="36"/>
  <c r="J745" i="36"/>
  <c r="I745" i="36"/>
  <c r="H745" i="36"/>
  <c r="G745" i="36"/>
  <c r="F745" i="36"/>
  <c r="E745" i="36"/>
  <c r="D745" i="36"/>
  <c r="C745" i="36"/>
  <c r="B745" i="36"/>
  <c r="R744" i="36"/>
  <c r="Q744" i="36"/>
  <c r="P744" i="36"/>
  <c r="O744" i="36"/>
  <c r="N744" i="36"/>
  <c r="M744" i="36"/>
  <c r="L744" i="36"/>
  <c r="K744" i="36"/>
  <c r="J744" i="36"/>
  <c r="I744" i="36"/>
  <c r="H744" i="36"/>
  <c r="G744" i="36"/>
  <c r="F744" i="36"/>
  <c r="E744" i="36"/>
  <c r="D744" i="36"/>
  <c r="C744" i="36"/>
  <c r="B744" i="36"/>
  <c r="R743" i="36"/>
  <c r="Q743" i="36"/>
  <c r="P743" i="36"/>
  <c r="O743" i="36"/>
  <c r="N743" i="36"/>
  <c r="M743" i="36"/>
  <c r="L743" i="36"/>
  <c r="K743" i="36"/>
  <c r="J743" i="36"/>
  <c r="I743" i="36"/>
  <c r="H743" i="36"/>
  <c r="G743" i="36"/>
  <c r="F743" i="36"/>
  <c r="E743" i="36"/>
  <c r="D743" i="36"/>
  <c r="C743" i="36"/>
  <c r="B743" i="36"/>
  <c r="R742" i="36"/>
  <c r="Q742" i="36"/>
  <c r="P742" i="36"/>
  <c r="O742" i="36"/>
  <c r="N742" i="36"/>
  <c r="M742" i="36"/>
  <c r="L742" i="36"/>
  <c r="K742" i="36"/>
  <c r="J742" i="36"/>
  <c r="I742" i="36"/>
  <c r="H742" i="36"/>
  <c r="G742" i="36"/>
  <c r="F742" i="36"/>
  <c r="E742" i="36"/>
  <c r="D742" i="36"/>
  <c r="C742" i="36"/>
  <c r="B742" i="36"/>
  <c r="R741" i="36"/>
  <c r="Q741" i="36"/>
  <c r="P741" i="36"/>
  <c r="O741" i="36"/>
  <c r="N741" i="36"/>
  <c r="M741" i="36"/>
  <c r="L741" i="36"/>
  <c r="K741" i="36"/>
  <c r="J741" i="36"/>
  <c r="I741" i="36"/>
  <c r="H741" i="36"/>
  <c r="G741" i="36"/>
  <c r="F741" i="36"/>
  <c r="E741" i="36"/>
  <c r="D741" i="36"/>
  <c r="C741" i="36"/>
  <c r="B741" i="36"/>
  <c r="R740" i="36"/>
  <c r="Q740" i="36"/>
  <c r="P740" i="36"/>
  <c r="O740" i="36"/>
  <c r="N740" i="36"/>
  <c r="M740" i="36"/>
  <c r="L740" i="36"/>
  <c r="K740" i="36"/>
  <c r="J740" i="36"/>
  <c r="I740" i="36"/>
  <c r="H740" i="36"/>
  <c r="G740" i="36"/>
  <c r="F740" i="36"/>
  <c r="E740" i="36"/>
  <c r="D740" i="36"/>
  <c r="C740" i="36"/>
  <c r="B740" i="36"/>
  <c r="R739" i="36"/>
  <c r="Q739" i="36"/>
  <c r="P739" i="36"/>
  <c r="O739" i="36"/>
  <c r="N739" i="36"/>
  <c r="M739" i="36"/>
  <c r="L739" i="36"/>
  <c r="K739" i="36"/>
  <c r="J739" i="36"/>
  <c r="I739" i="36"/>
  <c r="H739" i="36"/>
  <c r="G739" i="36"/>
  <c r="F739" i="36"/>
  <c r="E739" i="36"/>
  <c r="D739" i="36"/>
  <c r="C739" i="36"/>
  <c r="B739" i="36"/>
  <c r="R738" i="36"/>
  <c r="Q738" i="36"/>
  <c r="P738" i="36"/>
  <c r="O738" i="36"/>
  <c r="N738" i="36"/>
  <c r="M738" i="36"/>
  <c r="L738" i="36"/>
  <c r="K738" i="36"/>
  <c r="J738" i="36"/>
  <c r="I738" i="36"/>
  <c r="H738" i="36"/>
  <c r="G738" i="36"/>
  <c r="F738" i="36"/>
  <c r="E738" i="36"/>
  <c r="D738" i="36"/>
  <c r="C738" i="36"/>
  <c r="B738" i="36"/>
  <c r="R737" i="36"/>
  <c r="Q737" i="36"/>
  <c r="P737" i="36"/>
  <c r="O737" i="36"/>
  <c r="N737" i="36"/>
  <c r="M737" i="36"/>
  <c r="L737" i="36"/>
  <c r="K737" i="36"/>
  <c r="J737" i="36"/>
  <c r="I737" i="36"/>
  <c r="H737" i="36"/>
  <c r="G737" i="36"/>
  <c r="F737" i="36"/>
  <c r="E737" i="36"/>
  <c r="D737" i="36"/>
  <c r="C737" i="36"/>
  <c r="B737" i="36"/>
  <c r="R736" i="36"/>
  <c r="Q736" i="36"/>
  <c r="P736" i="36"/>
  <c r="O736" i="36"/>
  <c r="N736" i="36"/>
  <c r="M736" i="36"/>
  <c r="L736" i="36"/>
  <c r="K736" i="36"/>
  <c r="J736" i="36"/>
  <c r="I736" i="36"/>
  <c r="H736" i="36"/>
  <c r="G736" i="36"/>
  <c r="F736" i="36"/>
  <c r="E736" i="36"/>
  <c r="D736" i="36"/>
  <c r="C736" i="36"/>
  <c r="B736" i="36"/>
  <c r="R735" i="36"/>
  <c r="Q735" i="36"/>
  <c r="P735" i="36"/>
  <c r="O735" i="36"/>
  <c r="N735" i="36"/>
  <c r="M735" i="36"/>
  <c r="L735" i="36"/>
  <c r="K735" i="36"/>
  <c r="J735" i="36"/>
  <c r="I735" i="36"/>
  <c r="H735" i="36"/>
  <c r="G735" i="36"/>
  <c r="F735" i="36"/>
  <c r="E735" i="36"/>
  <c r="D735" i="36"/>
  <c r="C735" i="36"/>
  <c r="B735" i="36"/>
  <c r="R734" i="36"/>
  <c r="Q734" i="36"/>
  <c r="P734" i="36"/>
  <c r="O734" i="36"/>
  <c r="N734" i="36"/>
  <c r="M734" i="36"/>
  <c r="L734" i="36"/>
  <c r="K734" i="36"/>
  <c r="J734" i="36"/>
  <c r="I734" i="36"/>
  <c r="H734" i="36"/>
  <c r="G734" i="36"/>
  <c r="F734" i="36"/>
  <c r="E734" i="36"/>
  <c r="D734" i="36"/>
  <c r="C734" i="36"/>
  <c r="B734" i="36"/>
  <c r="R733" i="36"/>
  <c r="Q733" i="36"/>
  <c r="P733" i="36"/>
  <c r="O733" i="36"/>
  <c r="N733" i="36"/>
  <c r="M733" i="36"/>
  <c r="L733" i="36"/>
  <c r="K733" i="36"/>
  <c r="J733" i="36"/>
  <c r="I733" i="36"/>
  <c r="H733" i="36"/>
  <c r="G733" i="36"/>
  <c r="F733" i="36"/>
  <c r="E733" i="36"/>
  <c r="D733" i="36"/>
  <c r="C733" i="36"/>
  <c r="B733" i="36"/>
  <c r="R732" i="36"/>
  <c r="Q732" i="36"/>
  <c r="P732" i="36"/>
  <c r="O732" i="36"/>
  <c r="N732" i="36"/>
  <c r="M732" i="36"/>
  <c r="L732" i="36"/>
  <c r="K732" i="36"/>
  <c r="J732" i="36"/>
  <c r="I732" i="36"/>
  <c r="H732" i="36"/>
  <c r="G732" i="36"/>
  <c r="F732" i="36"/>
  <c r="E732" i="36"/>
  <c r="D732" i="36"/>
  <c r="C732" i="36"/>
  <c r="B732" i="36"/>
  <c r="R731" i="36"/>
  <c r="Q731" i="36"/>
  <c r="P731" i="36"/>
  <c r="O731" i="36"/>
  <c r="N731" i="36"/>
  <c r="M731" i="36"/>
  <c r="L731" i="36"/>
  <c r="K731" i="36"/>
  <c r="J731" i="36"/>
  <c r="I731" i="36"/>
  <c r="H731" i="36"/>
  <c r="G731" i="36"/>
  <c r="F731" i="36"/>
  <c r="E731" i="36"/>
  <c r="D731" i="36"/>
  <c r="C731" i="36"/>
  <c r="B731" i="36"/>
  <c r="R730" i="36"/>
  <c r="Q730" i="36"/>
  <c r="P730" i="36"/>
  <c r="O730" i="36"/>
  <c r="N730" i="36"/>
  <c r="M730" i="36"/>
  <c r="L730" i="36"/>
  <c r="K730" i="36"/>
  <c r="J730" i="36"/>
  <c r="I730" i="36"/>
  <c r="H730" i="36"/>
  <c r="G730" i="36"/>
  <c r="F730" i="36"/>
  <c r="E730" i="36"/>
  <c r="D730" i="36"/>
  <c r="C730" i="36"/>
  <c r="B730" i="36"/>
  <c r="R729" i="36"/>
  <c r="Q729" i="36"/>
  <c r="P729" i="36"/>
  <c r="O729" i="36"/>
  <c r="N729" i="36"/>
  <c r="M729" i="36"/>
  <c r="L729" i="36"/>
  <c r="K729" i="36"/>
  <c r="J729" i="36"/>
  <c r="I729" i="36"/>
  <c r="H729" i="36"/>
  <c r="G729" i="36"/>
  <c r="F729" i="36"/>
  <c r="E729" i="36"/>
  <c r="D729" i="36"/>
  <c r="C729" i="36"/>
  <c r="B729" i="36"/>
  <c r="R728" i="36"/>
  <c r="Q728" i="36"/>
  <c r="P728" i="36"/>
  <c r="O728" i="36"/>
  <c r="N728" i="36"/>
  <c r="M728" i="36"/>
  <c r="L728" i="36"/>
  <c r="K728" i="36"/>
  <c r="J728" i="36"/>
  <c r="I728" i="36"/>
  <c r="H728" i="36"/>
  <c r="G728" i="36"/>
  <c r="F728" i="36"/>
  <c r="E728" i="36"/>
  <c r="D728" i="36"/>
  <c r="C728" i="36"/>
  <c r="B728" i="36"/>
  <c r="R727" i="36"/>
  <c r="Q727" i="36"/>
  <c r="P727" i="36"/>
  <c r="O727" i="36"/>
  <c r="N727" i="36"/>
  <c r="M727" i="36"/>
  <c r="L727" i="36"/>
  <c r="K727" i="36"/>
  <c r="J727" i="36"/>
  <c r="I727" i="36"/>
  <c r="H727" i="36"/>
  <c r="G727" i="36"/>
  <c r="F727" i="36"/>
  <c r="E727" i="36"/>
  <c r="D727" i="36"/>
  <c r="C727" i="36"/>
  <c r="B727" i="36"/>
  <c r="R726" i="36"/>
  <c r="Q726" i="36"/>
  <c r="P726" i="36"/>
  <c r="O726" i="36"/>
  <c r="N726" i="36"/>
  <c r="M726" i="36"/>
  <c r="L726" i="36"/>
  <c r="K726" i="36"/>
  <c r="J726" i="36"/>
  <c r="I726" i="36"/>
  <c r="H726" i="36"/>
  <c r="G726" i="36"/>
  <c r="F726" i="36"/>
  <c r="E726" i="36"/>
  <c r="D726" i="36"/>
  <c r="C726" i="36"/>
  <c r="B726" i="36"/>
  <c r="R725" i="36"/>
  <c r="Q725" i="36"/>
  <c r="P725" i="36"/>
  <c r="O725" i="36"/>
  <c r="N725" i="36"/>
  <c r="M725" i="36"/>
  <c r="L725" i="36"/>
  <c r="K725" i="36"/>
  <c r="J725" i="36"/>
  <c r="I725" i="36"/>
  <c r="H725" i="36"/>
  <c r="G725" i="36"/>
  <c r="F725" i="36"/>
  <c r="E725" i="36"/>
  <c r="D725" i="36"/>
  <c r="C725" i="36"/>
  <c r="B725" i="36"/>
  <c r="R724" i="36"/>
  <c r="Q724" i="36"/>
  <c r="P724" i="36"/>
  <c r="O724" i="36"/>
  <c r="N724" i="36"/>
  <c r="M724" i="36"/>
  <c r="L724" i="36"/>
  <c r="K724" i="36"/>
  <c r="J724" i="36"/>
  <c r="I724" i="36"/>
  <c r="H724" i="36"/>
  <c r="G724" i="36"/>
  <c r="F724" i="36"/>
  <c r="E724" i="36"/>
  <c r="D724" i="36"/>
  <c r="C724" i="36"/>
  <c r="B724" i="36"/>
  <c r="R723" i="36"/>
  <c r="Q723" i="36"/>
  <c r="P723" i="36"/>
  <c r="O723" i="36"/>
  <c r="N723" i="36"/>
  <c r="M723" i="36"/>
  <c r="L723" i="36"/>
  <c r="K723" i="36"/>
  <c r="J723" i="36"/>
  <c r="I723" i="36"/>
  <c r="H723" i="36"/>
  <c r="G723" i="36"/>
  <c r="F723" i="36"/>
  <c r="E723" i="36"/>
  <c r="D723" i="36"/>
  <c r="C723" i="36"/>
  <c r="B723" i="36"/>
  <c r="R722" i="36"/>
  <c r="Q722" i="36"/>
  <c r="P722" i="36"/>
  <c r="O722" i="36"/>
  <c r="N722" i="36"/>
  <c r="M722" i="36"/>
  <c r="L722" i="36"/>
  <c r="K722" i="36"/>
  <c r="J722" i="36"/>
  <c r="I722" i="36"/>
  <c r="H722" i="36"/>
  <c r="G722" i="36"/>
  <c r="F722" i="36"/>
  <c r="E722" i="36"/>
  <c r="D722" i="36"/>
  <c r="C722" i="36"/>
  <c r="B722" i="36"/>
  <c r="R721" i="36"/>
  <c r="Q721" i="36"/>
  <c r="P721" i="36"/>
  <c r="O721" i="36"/>
  <c r="N721" i="36"/>
  <c r="M721" i="36"/>
  <c r="L721" i="36"/>
  <c r="K721" i="36"/>
  <c r="J721" i="36"/>
  <c r="I721" i="36"/>
  <c r="H721" i="36"/>
  <c r="G721" i="36"/>
  <c r="F721" i="36"/>
  <c r="E721" i="36"/>
  <c r="D721" i="36"/>
  <c r="C721" i="36"/>
  <c r="B721" i="36"/>
  <c r="R720" i="36"/>
  <c r="Q720" i="36"/>
  <c r="P720" i="36"/>
  <c r="O720" i="36"/>
  <c r="N720" i="36"/>
  <c r="M720" i="36"/>
  <c r="L720" i="36"/>
  <c r="K720" i="36"/>
  <c r="J720" i="36"/>
  <c r="I720" i="36"/>
  <c r="H720" i="36"/>
  <c r="G720" i="36"/>
  <c r="F720" i="36"/>
  <c r="E720" i="36"/>
  <c r="D720" i="36"/>
  <c r="C720" i="36"/>
  <c r="B720" i="36"/>
  <c r="R719" i="36"/>
  <c r="Q719" i="36"/>
  <c r="P719" i="36"/>
  <c r="O719" i="36"/>
  <c r="N719" i="36"/>
  <c r="M719" i="36"/>
  <c r="L719" i="36"/>
  <c r="K719" i="36"/>
  <c r="J719" i="36"/>
  <c r="I719" i="36"/>
  <c r="H719" i="36"/>
  <c r="G719" i="36"/>
  <c r="F719" i="36"/>
  <c r="E719" i="36"/>
  <c r="D719" i="36"/>
  <c r="C719" i="36"/>
  <c r="B719" i="36"/>
  <c r="R718" i="36"/>
  <c r="Q718" i="36"/>
  <c r="P718" i="36"/>
  <c r="O718" i="36"/>
  <c r="N718" i="36"/>
  <c r="M718" i="36"/>
  <c r="L718" i="36"/>
  <c r="K718" i="36"/>
  <c r="J718" i="36"/>
  <c r="I718" i="36"/>
  <c r="H718" i="36"/>
  <c r="G718" i="36"/>
  <c r="F718" i="36"/>
  <c r="E718" i="36"/>
  <c r="D718" i="36"/>
  <c r="C718" i="36"/>
  <c r="B718" i="36"/>
  <c r="R717" i="36"/>
  <c r="Q717" i="36"/>
  <c r="P717" i="36"/>
  <c r="O717" i="36"/>
  <c r="N717" i="36"/>
  <c r="M717" i="36"/>
  <c r="L717" i="36"/>
  <c r="K717" i="36"/>
  <c r="J717" i="36"/>
  <c r="I717" i="36"/>
  <c r="H717" i="36"/>
  <c r="G717" i="36"/>
  <c r="F717" i="36"/>
  <c r="E717" i="36"/>
  <c r="D717" i="36"/>
  <c r="C717" i="36"/>
  <c r="B717" i="36"/>
  <c r="R716" i="36"/>
  <c r="Q716" i="36"/>
  <c r="P716" i="36"/>
  <c r="O716" i="36"/>
  <c r="N716" i="36"/>
  <c r="M716" i="36"/>
  <c r="L716" i="36"/>
  <c r="K716" i="36"/>
  <c r="J716" i="36"/>
  <c r="I716" i="36"/>
  <c r="H716" i="36"/>
  <c r="G716" i="36"/>
  <c r="F716" i="36"/>
  <c r="E716" i="36"/>
  <c r="D716" i="36"/>
  <c r="C716" i="36"/>
  <c r="B716" i="36"/>
  <c r="R715" i="36"/>
  <c r="Q715" i="36"/>
  <c r="P715" i="36"/>
  <c r="O715" i="36"/>
  <c r="N715" i="36"/>
  <c r="M715" i="36"/>
  <c r="L715" i="36"/>
  <c r="K715" i="36"/>
  <c r="J715" i="36"/>
  <c r="I715" i="36"/>
  <c r="H715" i="36"/>
  <c r="G715" i="36"/>
  <c r="F715" i="36"/>
  <c r="E715" i="36"/>
  <c r="D715" i="36"/>
  <c r="C715" i="36"/>
  <c r="B715" i="36"/>
  <c r="R714" i="36"/>
  <c r="Q714" i="36"/>
  <c r="P714" i="36"/>
  <c r="O714" i="36"/>
  <c r="N714" i="36"/>
  <c r="M714" i="36"/>
  <c r="L714" i="36"/>
  <c r="K714" i="36"/>
  <c r="J714" i="36"/>
  <c r="I714" i="36"/>
  <c r="H714" i="36"/>
  <c r="G714" i="36"/>
  <c r="F714" i="36"/>
  <c r="E714" i="36"/>
  <c r="D714" i="36"/>
  <c r="C714" i="36"/>
  <c r="B714" i="36"/>
  <c r="R713" i="36"/>
  <c r="Q713" i="36"/>
  <c r="P713" i="36"/>
  <c r="O713" i="36"/>
  <c r="N713" i="36"/>
  <c r="M713" i="36"/>
  <c r="L713" i="36"/>
  <c r="K713" i="36"/>
  <c r="J713" i="36"/>
  <c r="I713" i="36"/>
  <c r="H713" i="36"/>
  <c r="G713" i="36"/>
  <c r="F713" i="36"/>
  <c r="E713" i="36"/>
  <c r="D713" i="36"/>
  <c r="C713" i="36"/>
  <c r="B713" i="36"/>
  <c r="R712" i="36"/>
  <c r="Q712" i="36"/>
  <c r="P712" i="36"/>
  <c r="O712" i="36"/>
  <c r="N712" i="36"/>
  <c r="M712" i="36"/>
  <c r="L712" i="36"/>
  <c r="K712" i="36"/>
  <c r="J712" i="36"/>
  <c r="I712" i="36"/>
  <c r="H712" i="36"/>
  <c r="G712" i="36"/>
  <c r="F712" i="36"/>
  <c r="E712" i="36"/>
  <c r="D712" i="36"/>
  <c r="C712" i="36"/>
  <c r="B712" i="36"/>
  <c r="R711" i="36"/>
  <c r="Q711" i="36"/>
  <c r="P711" i="36"/>
  <c r="O711" i="36"/>
  <c r="N711" i="36"/>
  <c r="M711" i="36"/>
  <c r="L711" i="36"/>
  <c r="K711" i="36"/>
  <c r="J711" i="36"/>
  <c r="I711" i="36"/>
  <c r="H711" i="36"/>
  <c r="G711" i="36"/>
  <c r="F711" i="36"/>
  <c r="E711" i="36"/>
  <c r="D711" i="36"/>
  <c r="C711" i="36"/>
  <c r="B711" i="36"/>
  <c r="R710" i="36"/>
  <c r="Q710" i="36"/>
  <c r="P710" i="36"/>
  <c r="O710" i="36"/>
  <c r="N710" i="36"/>
  <c r="M710" i="36"/>
  <c r="L710" i="36"/>
  <c r="K710" i="36"/>
  <c r="J710" i="36"/>
  <c r="I710" i="36"/>
  <c r="H710" i="36"/>
  <c r="G710" i="36"/>
  <c r="F710" i="36"/>
  <c r="E710" i="36"/>
  <c r="D710" i="36"/>
  <c r="C710" i="36"/>
  <c r="B710" i="36"/>
  <c r="R709" i="36"/>
  <c r="Q709" i="36"/>
  <c r="P709" i="36"/>
  <c r="O709" i="36"/>
  <c r="N709" i="36"/>
  <c r="M709" i="36"/>
  <c r="L709" i="36"/>
  <c r="K709" i="36"/>
  <c r="J709" i="36"/>
  <c r="I709" i="36"/>
  <c r="H709" i="36"/>
  <c r="G709" i="36"/>
  <c r="F709" i="36"/>
  <c r="E709" i="36"/>
  <c r="D709" i="36"/>
  <c r="C709" i="36"/>
  <c r="B709" i="36"/>
  <c r="R708" i="36"/>
  <c r="Q708" i="36"/>
  <c r="P708" i="36"/>
  <c r="O708" i="36"/>
  <c r="N708" i="36"/>
  <c r="M708" i="36"/>
  <c r="L708" i="36"/>
  <c r="K708" i="36"/>
  <c r="J708" i="36"/>
  <c r="I708" i="36"/>
  <c r="H708" i="36"/>
  <c r="G708" i="36"/>
  <c r="F708" i="36"/>
  <c r="E708" i="36"/>
  <c r="D708" i="36"/>
  <c r="C708" i="36"/>
  <c r="B708" i="36"/>
  <c r="R707" i="36"/>
  <c r="Q707" i="36"/>
  <c r="P707" i="36"/>
  <c r="O707" i="36"/>
  <c r="N707" i="36"/>
  <c r="M707" i="36"/>
  <c r="L707" i="36"/>
  <c r="K707" i="36"/>
  <c r="J707" i="36"/>
  <c r="I707" i="36"/>
  <c r="H707" i="36"/>
  <c r="G707" i="36"/>
  <c r="F707" i="36"/>
  <c r="E707" i="36"/>
  <c r="D707" i="36"/>
  <c r="C707" i="36"/>
  <c r="B707" i="36"/>
  <c r="R706" i="36"/>
  <c r="Q706" i="36"/>
  <c r="P706" i="36"/>
  <c r="O706" i="36"/>
  <c r="N706" i="36"/>
  <c r="M706" i="36"/>
  <c r="L706" i="36"/>
  <c r="K706" i="36"/>
  <c r="J706" i="36"/>
  <c r="I706" i="36"/>
  <c r="H706" i="36"/>
  <c r="G706" i="36"/>
  <c r="F706" i="36"/>
  <c r="E706" i="36"/>
  <c r="D706" i="36"/>
  <c r="C706" i="36"/>
  <c r="B706" i="36"/>
  <c r="R705" i="36"/>
  <c r="Q705" i="36"/>
  <c r="P705" i="36"/>
  <c r="O705" i="36"/>
  <c r="N705" i="36"/>
  <c r="M705" i="36"/>
  <c r="L705" i="36"/>
  <c r="K705" i="36"/>
  <c r="J705" i="36"/>
  <c r="I705" i="36"/>
  <c r="H705" i="36"/>
  <c r="G705" i="36"/>
  <c r="F705" i="36"/>
  <c r="E705" i="36"/>
  <c r="D705" i="36"/>
  <c r="C705" i="36"/>
  <c r="B705" i="36"/>
  <c r="R704" i="36"/>
  <c r="Q704" i="36"/>
  <c r="P704" i="36"/>
  <c r="O704" i="36"/>
  <c r="N704" i="36"/>
  <c r="M704" i="36"/>
  <c r="L704" i="36"/>
  <c r="K704" i="36"/>
  <c r="J704" i="36"/>
  <c r="I704" i="36"/>
  <c r="H704" i="36"/>
  <c r="G704" i="36"/>
  <c r="F704" i="36"/>
  <c r="E704" i="36"/>
  <c r="D704" i="36"/>
  <c r="C704" i="36"/>
  <c r="B704" i="36"/>
  <c r="R703" i="36"/>
  <c r="Q703" i="36"/>
  <c r="P703" i="36"/>
  <c r="O703" i="36"/>
  <c r="N703" i="36"/>
  <c r="M703" i="36"/>
  <c r="L703" i="36"/>
  <c r="K703" i="36"/>
  <c r="J703" i="36"/>
  <c r="I703" i="36"/>
  <c r="H703" i="36"/>
  <c r="G703" i="36"/>
  <c r="F703" i="36"/>
  <c r="E703" i="36"/>
  <c r="D703" i="36"/>
  <c r="C703" i="36"/>
  <c r="B703" i="36"/>
  <c r="R702" i="36"/>
  <c r="Q702" i="36"/>
  <c r="P702" i="36"/>
  <c r="O702" i="36"/>
  <c r="N702" i="36"/>
  <c r="M702" i="36"/>
  <c r="L702" i="36"/>
  <c r="K702" i="36"/>
  <c r="J702" i="36"/>
  <c r="I702" i="36"/>
  <c r="H702" i="36"/>
  <c r="G702" i="36"/>
  <c r="F702" i="36"/>
  <c r="E702" i="36"/>
  <c r="D702" i="36"/>
  <c r="C702" i="36"/>
  <c r="B702" i="36"/>
  <c r="R701" i="36"/>
  <c r="Q701" i="36"/>
  <c r="P701" i="36"/>
  <c r="O701" i="36"/>
  <c r="N701" i="36"/>
  <c r="M701" i="36"/>
  <c r="L701" i="36"/>
  <c r="K701" i="36"/>
  <c r="J701" i="36"/>
  <c r="I701" i="36"/>
  <c r="H701" i="36"/>
  <c r="G701" i="36"/>
  <c r="F701" i="36"/>
  <c r="E701" i="36"/>
  <c r="D701" i="36"/>
  <c r="C701" i="36"/>
  <c r="B701" i="36"/>
  <c r="R700" i="36"/>
  <c r="Q700" i="36"/>
  <c r="P700" i="36"/>
  <c r="O700" i="36"/>
  <c r="N700" i="36"/>
  <c r="M700" i="36"/>
  <c r="L700" i="36"/>
  <c r="K700" i="36"/>
  <c r="J700" i="36"/>
  <c r="I700" i="36"/>
  <c r="H700" i="36"/>
  <c r="G700" i="36"/>
  <c r="F700" i="36"/>
  <c r="E700" i="36"/>
  <c r="D700" i="36"/>
  <c r="C700" i="36"/>
  <c r="B700" i="36"/>
  <c r="R699" i="36"/>
  <c r="Q699" i="36"/>
  <c r="P699" i="36"/>
  <c r="O699" i="36"/>
  <c r="N699" i="36"/>
  <c r="M699" i="36"/>
  <c r="L699" i="36"/>
  <c r="K699" i="36"/>
  <c r="J699" i="36"/>
  <c r="I699" i="36"/>
  <c r="H699" i="36"/>
  <c r="G699" i="36"/>
  <c r="F699" i="36"/>
  <c r="E699" i="36"/>
  <c r="D699" i="36"/>
  <c r="C699" i="36"/>
  <c r="B699" i="36"/>
  <c r="R698" i="36"/>
  <c r="Q698" i="36"/>
  <c r="P698" i="36"/>
  <c r="O698" i="36"/>
  <c r="N698" i="36"/>
  <c r="M698" i="36"/>
  <c r="L698" i="36"/>
  <c r="K698" i="36"/>
  <c r="J698" i="36"/>
  <c r="I698" i="36"/>
  <c r="H698" i="36"/>
  <c r="G698" i="36"/>
  <c r="F698" i="36"/>
  <c r="E698" i="36"/>
  <c r="D698" i="36"/>
  <c r="C698" i="36"/>
  <c r="B698" i="36"/>
  <c r="R697" i="36"/>
  <c r="Q697" i="36"/>
  <c r="P697" i="36"/>
  <c r="O697" i="36"/>
  <c r="N697" i="36"/>
  <c r="M697" i="36"/>
  <c r="L697" i="36"/>
  <c r="K697" i="36"/>
  <c r="J697" i="36"/>
  <c r="I697" i="36"/>
  <c r="H697" i="36"/>
  <c r="G697" i="36"/>
  <c r="F697" i="36"/>
  <c r="E697" i="36"/>
  <c r="D697" i="36"/>
  <c r="C697" i="36"/>
  <c r="B697" i="36"/>
  <c r="R696" i="36"/>
  <c r="Q696" i="36"/>
  <c r="P696" i="36"/>
  <c r="O696" i="36"/>
  <c r="N696" i="36"/>
  <c r="M696" i="36"/>
  <c r="L696" i="36"/>
  <c r="K696" i="36"/>
  <c r="J696" i="36"/>
  <c r="I696" i="36"/>
  <c r="H696" i="36"/>
  <c r="G696" i="36"/>
  <c r="F696" i="36"/>
  <c r="E696" i="36"/>
  <c r="D696" i="36"/>
  <c r="C696" i="36"/>
  <c r="B696" i="36"/>
  <c r="R695" i="36"/>
  <c r="Q695" i="36"/>
  <c r="P695" i="36"/>
  <c r="O695" i="36"/>
  <c r="N695" i="36"/>
  <c r="M695" i="36"/>
  <c r="L695" i="36"/>
  <c r="K695" i="36"/>
  <c r="J695" i="36"/>
  <c r="I695" i="36"/>
  <c r="H695" i="36"/>
  <c r="G695" i="36"/>
  <c r="F695" i="36"/>
  <c r="E695" i="36"/>
  <c r="D695" i="36"/>
  <c r="C695" i="36"/>
  <c r="B695" i="36"/>
  <c r="R694" i="36"/>
  <c r="Q694" i="36"/>
  <c r="P694" i="36"/>
  <c r="O694" i="36"/>
  <c r="N694" i="36"/>
  <c r="M694" i="36"/>
  <c r="L694" i="36"/>
  <c r="K694" i="36"/>
  <c r="J694" i="36"/>
  <c r="I694" i="36"/>
  <c r="H694" i="36"/>
  <c r="G694" i="36"/>
  <c r="F694" i="36"/>
  <c r="E694" i="36"/>
  <c r="D694" i="36"/>
  <c r="C694" i="36"/>
  <c r="B694" i="36"/>
  <c r="R693" i="36"/>
  <c r="Q693" i="36"/>
  <c r="P693" i="36"/>
  <c r="O693" i="36"/>
  <c r="N693" i="36"/>
  <c r="M693" i="36"/>
  <c r="L693" i="36"/>
  <c r="K693" i="36"/>
  <c r="J693" i="36"/>
  <c r="I693" i="36"/>
  <c r="H693" i="36"/>
  <c r="G693" i="36"/>
  <c r="F693" i="36"/>
  <c r="E693" i="36"/>
  <c r="D693" i="36"/>
  <c r="C693" i="36"/>
  <c r="B693" i="36"/>
  <c r="R692" i="36"/>
  <c r="Q692" i="36"/>
  <c r="P692" i="36"/>
  <c r="O692" i="36"/>
  <c r="N692" i="36"/>
  <c r="M692" i="36"/>
  <c r="L692" i="36"/>
  <c r="K692" i="36"/>
  <c r="J692" i="36"/>
  <c r="I692" i="36"/>
  <c r="H692" i="36"/>
  <c r="G692" i="36"/>
  <c r="F692" i="36"/>
  <c r="E692" i="36"/>
  <c r="D692" i="36"/>
  <c r="C692" i="36"/>
  <c r="B692" i="36"/>
  <c r="R691" i="36"/>
  <c r="Q691" i="36"/>
  <c r="P691" i="36"/>
  <c r="O691" i="36"/>
  <c r="N691" i="36"/>
  <c r="M691" i="36"/>
  <c r="L691" i="36"/>
  <c r="K691" i="36"/>
  <c r="J691" i="36"/>
  <c r="I691" i="36"/>
  <c r="H691" i="36"/>
  <c r="G691" i="36"/>
  <c r="F691" i="36"/>
  <c r="E691" i="36"/>
  <c r="D691" i="36"/>
  <c r="C691" i="36"/>
  <c r="B691" i="36"/>
  <c r="R690" i="36"/>
  <c r="Q690" i="36"/>
  <c r="P690" i="36"/>
  <c r="O690" i="36"/>
  <c r="N690" i="36"/>
  <c r="M690" i="36"/>
  <c r="L690" i="36"/>
  <c r="K690" i="36"/>
  <c r="J690" i="36"/>
  <c r="I690" i="36"/>
  <c r="H690" i="36"/>
  <c r="G690" i="36"/>
  <c r="F690" i="36"/>
  <c r="E690" i="36"/>
  <c r="D690" i="36"/>
  <c r="C690" i="36"/>
  <c r="B690" i="36"/>
  <c r="R689" i="36"/>
  <c r="Q689" i="36"/>
  <c r="P689" i="36"/>
  <c r="O689" i="36"/>
  <c r="N689" i="36"/>
  <c r="M689" i="36"/>
  <c r="L689" i="36"/>
  <c r="K689" i="36"/>
  <c r="J689" i="36"/>
  <c r="I689" i="36"/>
  <c r="H689" i="36"/>
  <c r="G689" i="36"/>
  <c r="F689" i="36"/>
  <c r="E689" i="36"/>
  <c r="D689" i="36"/>
  <c r="C689" i="36"/>
  <c r="B689" i="36"/>
  <c r="R688" i="36"/>
  <c r="Q688" i="36"/>
  <c r="P688" i="36"/>
  <c r="O688" i="36"/>
  <c r="N688" i="36"/>
  <c r="M688" i="36"/>
  <c r="L688" i="36"/>
  <c r="K688" i="36"/>
  <c r="J688" i="36"/>
  <c r="I688" i="36"/>
  <c r="H688" i="36"/>
  <c r="G688" i="36"/>
  <c r="F688" i="36"/>
  <c r="E688" i="36"/>
  <c r="D688" i="36"/>
  <c r="C688" i="36"/>
  <c r="B688" i="36"/>
  <c r="R687" i="36"/>
  <c r="Q687" i="36"/>
  <c r="P687" i="36"/>
  <c r="O687" i="36"/>
  <c r="N687" i="36"/>
  <c r="M687" i="36"/>
  <c r="L687" i="36"/>
  <c r="K687" i="36"/>
  <c r="J687" i="36"/>
  <c r="I687" i="36"/>
  <c r="H687" i="36"/>
  <c r="G687" i="36"/>
  <c r="F687" i="36"/>
  <c r="E687" i="36"/>
  <c r="D687" i="36"/>
  <c r="C687" i="36"/>
  <c r="B687" i="36"/>
  <c r="R686" i="36"/>
  <c r="Q686" i="36"/>
  <c r="P686" i="36"/>
  <c r="O686" i="36"/>
  <c r="N686" i="36"/>
  <c r="M686" i="36"/>
  <c r="L686" i="36"/>
  <c r="K686" i="36"/>
  <c r="J686" i="36"/>
  <c r="I686" i="36"/>
  <c r="H686" i="36"/>
  <c r="G686" i="36"/>
  <c r="F686" i="36"/>
  <c r="E686" i="36"/>
  <c r="D686" i="36"/>
  <c r="C686" i="36"/>
  <c r="B686" i="36"/>
  <c r="R685" i="36"/>
  <c r="Q685" i="36"/>
  <c r="P685" i="36"/>
  <c r="O685" i="36"/>
  <c r="N685" i="36"/>
  <c r="M685" i="36"/>
  <c r="L685" i="36"/>
  <c r="K685" i="36"/>
  <c r="J685" i="36"/>
  <c r="I685" i="36"/>
  <c r="H685" i="36"/>
  <c r="G685" i="36"/>
  <c r="F685" i="36"/>
  <c r="E685" i="36"/>
  <c r="D685" i="36"/>
  <c r="C685" i="36"/>
  <c r="B685" i="36"/>
  <c r="R684" i="36"/>
  <c r="Q684" i="36"/>
  <c r="P684" i="36"/>
  <c r="O684" i="36"/>
  <c r="N684" i="36"/>
  <c r="M684" i="36"/>
  <c r="L684" i="36"/>
  <c r="K684" i="36"/>
  <c r="J684" i="36"/>
  <c r="I684" i="36"/>
  <c r="H684" i="36"/>
  <c r="G684" i="36"/>
  <c r="F684" i="36"/>
  <c r="E684" i="36"/>
  <c r="D684" i="36"/>
  <c r="C684" i="36"/>
  <c r="B684" i="36"/>
  <c r="R683" i="36"/>
  <c r="Q683" i="36"/>
  <c r="P683" i="36"/>
  <c r="O683" i="36"/>
  <c r="N683" i="36"/>
  <c r="M683" i="36"/>
  <c r="L683" i="36"/>
  <c r="K683" i="36"/>
  <c r="J683" i="36"/>
  <c r="I683" i="36"/>
  <c r="H683" i="36"/>
  <c r="G683" i="36"/>
  <c r="F683" i="36"/>
  <c r="E683" i="36"/>
  <c r="D683" i="36"/>
  <c r="C683" i="36"/>
  <c r="B683" i="36"/>
  <c r="R682" i="36"/>
  <c r="Q682" i="36"/>
  <c r="P682" i="36"/>
  <c r="O682" i="36"/>
  <c r="N682" i="36"/>
  <c r="M682" i="36"/>
  <c r="L682" i="36"/>
  <c r="K682" i="36"/>
  <c r="J682" i="36"/>
  <c r="I682" i="36"/>
  <c r="H682" i="36"/>
  <c r="G682" i="36"/>
  <c r="F682" i="36"/>
  <c r="E682" i="36"/>
  <c r="D682" i="36"/>
  <c r="C682" i="36"/>
  <c r="B682" i="36"/>
  <c r="R681" i="36"/>
  <c r="Q681" i="36"/>
  <c r="P681" i="36"/>
  <c r="O681" i="36"/>
  <c r="N681" i="36"/>
  <c r="M681" i="36"/>
  <c r="L681" i="36"/>
  <c r="K681" i="36"/>
  <c r="J681" i="36"/>
  <c r="I681" i="36"/>
  <c r="H681" i="36"/>
  <c r="G681" i="36"/>
  <c r="F681" i="36"/>
  <c r="E681" i="36"/>
  <c r="D681" i="36"/>
  <c r="C681" i="36"/>
  <c r="B681" i="36"/>
  <c r="R680" i="36"/>
  <c r="Q680" i="36"/>
  <c r="P680" i="36"/>
  <c r="O680" i="36"/>
  <c r="N680" i="36"/>
  <c r="M680" i="36"/>
  <c r="L680" i="36"/>
  <c r="K680" i="36"/>
  <c r="J680" i="36"/>
  <c r="I680" i="36"/>
  <c r="H680" i="36"/>
  <c r="G680" i="36"/>
  <c r="F680" i="36"/>
  <c r="E680" i="36"/>
  <c r="D680" i="36"/>
  <c r="C680" i="36"/>
  <c r="B680" i="36"/>
  <c r="R679" i="36"/>
  <c r="Q679" i="36"/>
  <c r="P679" i="36"/>
  <c r="O679" i="36"/>
  <c r="N679" i="36"/>
  <c r="M679" i="36"/>
  <c r="L679" i="36"/>
  <c r="K679" i="36"/>
  <c r="J679" i="36"/>
  <c r="I679" i="36"/>
  <c r="H679" i="36"/>
  <c r="G679" i="36"/>
  <c r="F679" i="36"/>
  <c r="E679" i="36"/>
  <c r="D679" i="36"/>
  <c r="C679" i="36"/>
  <c r="B679" i="36"/>
  <c r="R678" i="36"/>
  <c r="Q678" i="36"/>
  <c r="P678" i="36"/>
  <c r="O678" i="36"/>
  <c r="N678" i="36"/>
  <c r="M678" i="36"/>
  <c r="L678" i="36"/>
  <c r="K678" i="36"/>
  <c r="J678" i="36"/>
  <c r="I678" i="36"/>
  <c r="H678" i="36"/>
  <c r="G678" i="36"/>
  <c r="F678" i="36"/>
  <c r="E678" i="36"/>
  <c r="D678" i="36"/>
  <c r="C678" i="36"/>
  <c r="B678" i="36"/>
  <c r="R677" i="36"/>
  <c r="Q677" i="36"/>
  <c r="P677" i="36"/>
  <c r="O677" i="36"/>
  <c r="N677" i="36"/>
  <c r="M677" i="36"/>
  <c r="L677" i="36"/>
  <c r="K677" i="36"/>
  <c r="J677" i="36"/>
  <c r="I677" i="36"/>
  <c r="H677" i="36"/>
  <c r="G677" i="36"/>
  <c r="F677" i="36"/>
  <c r="E677" i="36"/>
  <c r="D677" i="36"/>
  <c r="C677" i="36"/>
  <c r="B677" i="36"/>
  <c r="R676" i="36"/>
  <c r="Q676" i="36"/>
  <c r="P676" i="36"/>
  <c r="O676" i="36"/>
  <c r="N676" i="36"/>
  <c r="M676" i="36"/>
  <c r="L676" i="36"/>
  <c r="K676" i="36"/>
  <c r="J676" i="36"/>
  <c r="I676" i="36"/>
  <c r="H676" i="36"/>
  <c r="G676" i="36"/>
  <c r="F676" i="36"/>
  <c r="E676" i="36"/>
  <c r="D676" i="36"/>
  <c r="C676" i="36"/>
  <c r="B676" i="36"/>
  <c r="R675" i="36"/>
  <c r="Q675" i="36"/>
  <c r="P675" i="36"/>
  <c r="O675" i="36"/>
  <c r="N675" i="36"/>
  <c r="M675" i="36"/>
  <c r="L675" i="36"/>
  <c r="K675" i="36"/>
  <c r="J675" i="36"/>
  <c r="I675" i="36"/>
  <c r="H675" i="36"/>
  <c r="G675" i="36"/>
  <c r="F675" i="36"/>
  <c r="E675" i="36"/>
  <c r="D675" i="36"/>
  <c r="C675" i="36"/>
  <c r="B675" i="36"/>
  <c r="R674" i="36"/>
  <c r="Q674" i="36"/>
  <c r="P674" i="36"/>
  <c r="O674" i="36"/>
  <c r="N674" i="36"/>
  <c r="M674" i="36"/>
  <c r="L674" i="36"/>
  <c r="K674" i="36"/>
  <c r="J674" i="36"/>
  <c r="I674" i="36"/>
  <c r="H674" i="36"/>
  <c r="G674" i="36"/>
  <c r="F674" i="36"/>
  <c r="E674" i="36"/>
  <c r="D674" i="36"/>
  <c r="C674" i="36"/>
  <c r="B674" i="36"/>
  <c r="R673" i="36"/>
  <c r="Q673" i="36"/>
  <c r="P673" i="36"/>
  <c r="O673" i="36"/>
  <c r="N673" i="36"/>
  <c r="M673" i="36"/>
  <c r="L673" i="36"/>
  <c r="K673" i="36"/>
  <c r="J673" i="36"/>
  <c r="I673" i="36"/>
  <c r="H673" i="36"/>
  <c r="G673" i="36"/>
  <c r="F673" i="36"/>
  <c r="E673" i="36"/>
  <c r="D673" i="36"/>
  <c r="C673" i="36"/>
  <c r="B673" i="36"/>
  <c r="R672" i="36"/>
  <c r="Q672" i="36"/>
  <c r="P672" i="36"/>
  <c r="O672" i="36"/>
  <c r="N672" i="36"/>
  <c r="M672" i="36"/>
  <c r="L672" i="36"/>
  <c r="K672" i="36"/>
  <c r="J672" i="36"/>
  <c r="I672" i="36"/>
  <c r="H672" i="36"/>
  <c r="G672" i="36"/>
  <c r="F672" i="36"/>
  <c r="E672" i="36"/>
  <c r="D672" i="36"/>
  <c r="C672" i="36"/>
  <c r="B672" i="36"/>
  <c r="R671" i="36"/>
  <c r="Q671" i="36"/>
  <c r="P671" i="36"/>
  <c r="O671" i="36"/>
  <c r="N671" i="36"/>
  <c r="M671" i="36"/>
  <c r="L671" i="36"/>
  <c r="K671" i="36"/>
  <c r="J671" i="36"/>
  <c r="I671" i="36"/>
  <c r="H671" i="36"/>
  <c r="G671" i="36"/>
  <c r="F671" i="36"/>
  <c r="E671" i="36"/>
  <c r="D671" i="36"/>
  <c r="C671" i="36"/>
  <c r="B671" i="36"/>
  <c r="R670" i="36"/>
  <c r="Q670" i="36"/>
  <c r="P670" i="36"/>
  <c r="O670" i="36"/>
  <c r="N670" i="36"/>
  <c r="M670" i="36"/>
  <c r="L670" i="36"/>
  <c r="K670" i="36"/>
  <c r="J670" i="36"/>
  <c r="I670" i="36"/>
  <c r="H670" i="36"/>
  <c r="G670" i="36"/>
  <c r="F670" i="36"/>
  <c r="E670" i="36"/>
  <c r="D670" i="36"/>
  <c r="C670" i="36"/>
  <c r="B670" i="36"/>
  <c r="R669" i="36"/>
  <c r="Q669" i="36"/>
  <c r="P669" i="36"/>
  <c r="O669" i="36"/>
  <c r="N669" i="36"/>
  <c r="M669" i="36"/>
  <c r="L669" i="36"/>
  <c r="K669" i="36"/>
  <c r="J669" i="36"/>
  <c r="I669" i="36"/>
  <c r="H669" i="36"/>
  <c r="G669" i="36"/>
  <c r="F669" i="36"/>
  <c r="E669" i="36"/>
  <c r="D669" i="36"/>
  <c r="C669" i="36"/>
  <c r="B669" i="36"/>
  <c r="R668" i="36"/>
  <c r="Q668" i="36"/>
  <c r="P668" i="36"/>
  <c r="O668" i="36"/>
  <c r="N668" i="36"/>
  <c r="M668" i="36"/>
  <c r="L668" i="36"/>
  <c r="K668" i="36"/>
  <c r="J668" i="36"/>
  <c r="I668" i="36"/>
  <c r="H668" i="36"/>
  <c r="G668" i="36"/>
  <c r="F668" i="36"/>
  <c r="E668" i="36"/>
  <c r="D668" i="36"/>
  <c r="C668" i="36"/>
  <c r="B668" i="36"/>
  <c r="R667" i="36"/>
  <c r="Q667" i="36"/>
  <c r="P667" i="36"/>
  <c r="O667" i="36"/>
  <c r="N667" i="36"/>
  <c r="M667" i="36"/>
  <c r="L667" i="36"/>
  <c r="K667" i="36"/>
  <c r="J667" i="36"/>
  <c r="I667" i="36"/>
  <c r="H667" i="36"/>
  <c r="G667" i="36"/>
  <c r="F667" i="36"/>
  <c r="E667" i="36"/>
  <c r="D667" i="36"/>
  <c r="C667" i="36"/>
  <c r="B667" i="36"/>
  <c r="R666" i="36"/>
  <c r="Q666" i="36"/>
  <c r="P666" i="36"/>
  <c r="O666" i="36"/>
  <c r="N666" i="36"/>
  <c r="M666" i="36"/>
  <c r="L666" i="36"/>
  <c r="K666" i="36"/>
  <c r="J666" i="36"/>
  <c r="I666" i="36"/>
  <c r="H666" i="36"/>
  <c r="G666" i="36"/>
  <c r="F666" i="36"/>
  <c r="E666" i="36"/>
  <c r="D666" i="36"/>
  <c r="C666" i="36"/>
  <c r="B666" i="36"/>
  <c r="R665" i="36"/>
  <c r="Q665" i="36"/>
  <c r="P665" i="36"/>
  <c r="O665" i="36"/>
  <c r="N665" i="36"/>
  <c r="M665" i="36"/>
  <c r="L665" i="36"/>
  <c r="K665" i="36"/>
  <c r="J665" i="36"/>
  <c r="I665" i="36"/>
  <c r="H665" i="36"/>
  <c r="G665" i="36"/>
  <c r="F665" i="36"/>
  <c r="E665" i="36"/>
  <c r="D665" i="36"/>
  <c r="C665" i="36"/>
  <c r="B665" i="36"/>
  <c r="R664" i="36"/>
  <c r="Q664" i="36"/>
  <c r="P664" i="36"/>
  <c r="O664" i="36"/>
  <c r="N664" i="36"/>
  <c r="M664" i="36"/>
  <c r="L664" i="36"/>
  <c r="K664" i="36"/>
  <c r="J664" i="36"/>
  <c r="I664" i="36"/>
  <c r="H664" i="36"/>
  <c r="G664" i="36"/>
  <c r="F664" i="36"/>
  <c r="E664" i="36"/>
  <c r="D664" i="36"/>
  <c r="C664" i="36"/>
  <c r="B664" i="36"/>
  <c r="R663" i="36"/>
  <c r="Q663" i="36"/>
  <c r="P663" i="36"/>
  <c r="O663" i="36"/>
  <c r="N663" i="36"/>
  <c r="M663" i="36"/>
  <c r="L663" i="36"/>
  <c r="K663" i="36"/>
  <c r="J663" i="36"/>
  <c r="I663" i="36"/>
  <c r="H663" i="36"/>
  <c r="G663" i="36"/>
  <c r="F663" i="36"/>
  <c r="E663" i="36"/>
  <c r="D663" i="36"/>
  <c r="C663" i="36"/>
  <c r="B663" i="36"/>
  <c r="R662" i="36"/>
  <c r="Q662" i="36"/>
  <c r="P662" i="36"/>
  <c r="O662" i="36"/>
  <c r="N662" i="36"/>
  <c r="M662" i="36"/>
  <c r="L662" i="36"/>
  <c r="K662" i="36"/>
  <c r="J662" i="36"/>
  <c r="I662" i="36"/>
  <c r="H662" i="36"/>
  <c r="G662" i="36"/>
  <c r="F662" i="36"/>
  <c r="E662" i="36"/>
  <c r="D662" i="36"/>
  <c r="C662" i="36"/>
  <c r="B662" i="36"/>
  <c r="R661" i="36"/>
  <c r="Q661" i="36"/>
  <c r="P661" i="36"/>
  <c r="O661" i="36"/>
  <c r="N661" i="36"/>
  <c r="M661" i="36"/>
  <c r="L661" i="36"/>
  <c r="K661" i="36"/>
  <c r="J661" i="36"/>
  <c r="I661" i="36"/>
  <c r="H661" i="36"/>
  <c r="G661" i="36"/>
  <c r="F661" i="36"/>
  <c r="E661" i="36"/>
  <c r="D661" i="36"/>
  <c r="C661" i="36"/>
  <c r="B661" i="36"/>
  <c r="R660" i="36"/>
  <c r="Q660" i="36"/>
  <c r="P660" i="36"/>
  <c r="O660" i="36"/>
  <c r="N660" i="36"/>
  <c r="M660" i="36"/>
  <c r="L660" i="36"/>
  <c r="K660" i="36"/>
  <c r="J660" i="36"/>
  <c r="I660" i="36"/>
  <c r="H660" i="36"/>
  <c r="G660" i="36"/>
  <c r="F660" i="36"/>
  <c r="E660" i="36"/>
  <c r="D660" i="36"/>
  <c r="C660" i="36"/>
  <c r="B660" i="36"/>
  <c r="R659" i="36"/>
  <c r="Q659" i="36"/>
  <c r="P659" i="36"/>
  <c r="O659" i="36"/>
  <c r="N659" i="36"/>
  <c r="M659" i="36"/>
  <c r="L659" i="36"/>
  <c r="K659" i="36"/>
  <c r="J659" i="36"/>
  <c r="I659" i="36"/>
  <c r="H659" i="36"/>
  <c r="G659" i="36"/>
  <c r="F659" i="36"/>
  <c r="E659" i="36"/>
  <c r="D659" i="36"/>
  <c r="C659" i="36"/>
  <c r="B659" i="36"/>
  <c r="R658" i="36"/>
  <c r="Q658" i="36"/>
  <c r="P658" i="36"/>
  <c r="O658" i="36"/>
  <c r="N658" i="36"/>
  <c r="M658" i="36"/>
  <c r="L658" i="36"/>
  <c r="K658" i="36"/>
  <c r="J658" i="36"/>
  <c r="I658" i="36"/>
  <c r="H658" i="36"/>
  <c r="G658" i="36"/>
  <c r="F658" i="36"/>
  <c r="E658" i="36"/>
  <c r="D658" i="36"/>
  <c r="C658" i="36"/>
  <c r="B658" i="36"/>
  <c r="R657" i="36"/>
  <c r="Q657" i="36"/>
  <c r="P657" i="36"/>
  <c r="O657" i="36"/>
  <c r="N657" i="36"/>
  <c r="M657" i="36"/>
  <c r="L657" i="36"/>
  <c r="K657" i="36"/>
  <c r="J657" i="36"/>
  <c r="I657" i="36"/>
  <c r="H657" i="36"/>
  <c r="G657" i="36"/>
  <c r="F657" i="36"/>
  <c r="E657" i="36"/>
  <c r="D657" i="36"/>
  <c r="C657" i="36"/>
  <c r="B657" i="36"/>
  <c r="R656" i="36"/>
  <c r="Q656" i="36"/>
  <c r="P656" i="36"/>
  <c r="O656" i="36"/>
  <c r="N656" i="36"/>
  <c r="M656" i="36"/>
  <c r="L656" i="36"/>
  <c r="K656" i="36"/>
  <c r="J656" i="36"/>
  <c r="I656" i="36"/>
  <c r="H656" i="36"/>
  <c r="G656" i="36"/>
  <c r="F656" i="36"/>
  <c r="E656" i="36"/>
  <c r="D656" i="36"/>
  <c r="C656" i="36"/>
  <c r="B656" i="36"/>
  <c r="R655" i="36"/>
  <c r="Q655" i="36"/>
  <c r="P655" i="36"/>
  <c r="O655" i="36"/>
  <c r="N655" i="36"/>
  <c r="M655" i="36"/>
  <c r="L655" i="36"/>
  <c r="K655" i="36"/>
  <c r="J655" i="36"/>
  <c r="I655" i="36"/>
  <c r="H655" i="36"/>
  <c r="G655" i="36"/>
  <c r="F655" i="36"/>
  <c r="E655" i="36"/>
  <c r="D655" i="36"/>
  <c r="C655" i="36"/>
  <c r="B655" i="36"/>
  <c r="R654" i="36"/>
  <c r="Q654" i="36"/>
  <c r="P654" i="36"/>
  <c r="O654" i="36"/>
  <c r="N654" i="36"/>
  <c r="M654" i="36"/>
  <c r="L654" i="36"/>
  <c r="K654" i="36"/>
  <c r="J654" i="36"/>
  <c r="I654" i="36"/>
  <c r="H654" i="36"/>
  <c r="G654" i="36"/>
  <c r="F654" i="36"/>
  <c r="E654" i="36"/>
  <c r="D654" i="36"/>
  <c r="C654" i="36"/>
  <c r="B654" i="36"/>
  <c r="R653" i="36"/>
  <c r="Q653" i="36"/>
  <c r="P653" i="36"/>
  <c r="O653" i="36"/>
  <c r="N653" i="36"/>
  <c r="M653" i="36"/>
  <c r="L653" i="36"/>
  <c r="K653" i="36"/>
  <c r="J653" i="36"/>
  <c r="I653" i="36"/>
  <c r="H653" i="36"/>
  <c r="G653" i="36"/>
  <c r="F653" i="36"/>
  <c r="E653" i="36"/>
  <c r="D653" i="36"/>
  <c r="C653" i="36"/>
  <c r="B653" i="36"/>
  <c r="R652" i="36"/>
  <c r="Q652" i="36"/>
  <c r="P652" i="36"/>
  <c r="O652" i="36"/>
  <c r="N652" i="36"/>
  <c r="M652" i="36"/>
  <c r="L652" i="36"/>
  <c r="K652" i="36"/>
  <c r="J652" i="36"/>
  <c r="I652" i="36"/>
  <c r="H652" i="36"/>
  <c r="G652" i="36"/>
  <c r="F652" i="36"/>
  <c r="E652" i="36"/>
  <c r="D652" i="36"/>
  <c r="C652" i="36"/>
  <c r="B652" i="36"/>
  <c r="R651" i="36"/>
  <c r="Q651" i="36"/>
  <c r="P651" i="36"/>
  <c r="O651" i="36"/>
  <c r="N651" i="36"/>
  <c r="M651" i="36"/>
  <c r="L651" i="36"/>
  <c r="K651" i="36"/>
  <c r="J651" i="36"/>
  <c r="I651" i="36"/>
  <c r="H651" i="36"/>
  <c r="G651" i="36"/>
  <c r="F651" i="36"/>
  <c r="E651" i="36"/>
  <c r="D651" i="36"/>
  <c r="C651" i="36"/>
  <c r="B651" i="36"/>
  <c r="R650" i="36"/>
  <c r="Q650" i="36"/>
  <c r="P650" i="36"/>
  <c r="O650" i="36"/>
  <c r="N650" i="36"/>
  <c r="M650" i="36"/>
  <c r="L650" i="36"/>
  <c r="K650" i="36"/>
  <c r="J650" i="36"/>
  <c r="I650" i="36"/>
  <c r="H650" i="36"/>
  <c r="G650" i="36"/>
  <c r="F650" i="36"/>
  <c r="E650" i="36"/>
  <c r="D650" i="36"/>
  <c r="C650" i="36"/>
  <c r="B650" i="36"/>
  <c r="R649" i="36"/>
  <c r="Q649" i="36"/>
  <c r="P649" i="36"/>
  <c r="O649" i="36"/>
  <c r="N649" i="36"/>
  <c r="M649" i="36"/>
  <c r="L649" i="36"/>
  <c r="K649" i="36"/>
  <c r="J649" i="36"/>
  <c r="I649" i="36"/>
  <c r="H649" i="36"/>
  <c r="G649" i="36"/>
  <c r="F649" i="36"/>
  <c r="E649" i="36"/>
  <c r="D649" i="36"/>
  <c r="C649" i="36"/>
  <c r="B649" i="36"/>
  <c r="R648" i="36"/>
  <c r="Q648" i="36"/>
  <c r="P648" i="36"/>
  <c r="O648" i="36"/>
  <c r="N648" i="36"/>
  <c r="M648" i="36"/>
  <c r="L648" i="36"/>
  <c r="K648" i="36"/>
  <c r="J648" i="36"/>
  <c r="I648" i="36"/>
  <c r="H648" i="36"/>
  <c r="G648" i="36"/>
  <c r="F648" i="36"/>
  <c r="E648" i="36"/>
  <c r="D648" i="36"/>
  <c r="C648" i="36"/>
  <c r="B648" i="36"/>
  <c r="R647" i="36"/>
  <c r="Q647" i="36"/>
  <c r="P647" i="36"/>
  <c r="O647" i="36"/>
  <c r="N647" i="36"/>
  <c r="M647" i="36"/>
  <c r="L647" i="36"/>
  <c r="K647" i="36"/>
  <c r="J647" i="36"/>
  <c r="I647" i="36"/>
  <c r="H647" i="36"/>
  <c r="G647" i="36"/>
  <c r="F647" i="36"/>
  <c r="E647" i="36"/>
  <c r="D647" i="36"/>
  <c r="C647" i="36"/>
  <c r="B647" i="36"/>
  <c r="R646" i="36"/>
  <c r="Q646" i="36"/>
  <c r="P646" i="36"/>
  <c r="O646" i="36"/>
  <c r="N646" i="36"/>
  <c r="M646" i="36"/>
  <c r="L646" i="36"/>
  <c r="K646" i="36"/>
  <c r="J646" i="36"/>
  <c r="I646" i="36"/>
  <c r="H646" i="36"/>
  <c r="G646" i="36"/>
  <c r="F646" i="36"/>
  <c r="E646" i="36"/>
  <c r="D646" i="36"/>
  <c r="C646" i="36"/>
  <c r="B646" i="36"/>
  <c r="R645" i="36"/>
  <c r="Q645" i="36"/>
  <c r="P645" i="36"/>
  <c r="O645" i="36"/>
  <c r="N645" i="36"/>
  <c r="M645" i="36"/>
  <c r="L645" i="36"/>
  <c r="K645" i="36"/>
  <c r="J645" i="36"/>
  <c r="I645" i="36"/>
  <c r="H645" i="36"/>
  <c r="G645" i="36"/>
  <c r="F645" i="36"/>
  <c r="E645" i="36"/>
  <c r="D645" i="36"/>
  <c r="C645" i="36"/>
  <c r="B645" i="36"/>
  <c r="R644" i="36"/>
  <c r="Q644" i="36"/>
  <c r="P644" i="36"/>
  <c r="O644" i="36"/>
  <c r="N644" i="36"/>
  <c r="M644" i="36"/>
  <c r="L644" i="36"/>
  <c r="K644" i="36"/>
  <c r="J644" i="36"/>
  <c r="I644" i="36"/>
  <c r="H644" i="36"/>
  <c r="G644" i="36"/>
  <c r="F644" i="36"/>
  <c r="E644" i="36"/>
  <c r="D644" i="36"/>
  <c r="C644" i="36"/>
  <c r="B644" i="36"/>
  <c r="R643" i="36"/>
  <c r="Q643" i="36"/>
  <c r="P643" i="36"/>
  <c r="O643" i="36"/>
  <c r="N643" i="36"/>
  <c r="M643" i="36"/>
  <c r="L643" i="36"/>
  <c r="K643" i="36"/>
  <c r="J643" i="36"/>
  <c r="I643" i="36"/>
  <c r="H643" i="36"/>
  <c r="G643" i="36"/>
  <c r="F643" i="36"/>
  <c r="E643" i="36"/>
  <c r="D643" i="36"/>
  <c r="C643" i="36"/>
  <c r="B643" i="36"/>
  <c r="R642" i="36"/>
  <c r="Q642" i="36"/>
  <c r="P642" i="36"/>
  <c r="O642" i="36"/>
  <c r="N642" i="36"/>
  <c r="M642" i="36"/>
  <c r="L642" i="36"/>
  <c r="K642" i="36"/>
  <c r="J642" i="36"/>
  <c r="I642" i="36"/>
  <c r="H642" i="36"/>
  <c r="G642" i="36"/>
  <c r="F642" i="36"/>
  <c r="E642" i="36"/>
  <c r="D642" i="36"/>
  <c r="C642" i="36"/>
  <c r="B642" i="36"/>
  <c r="R641" i="36"/>
  <c r="Q641" i="36"/>
  <c r="P641" i="36"/>
  <c r="O641" i="36"/>
  <c r="N641" i="36"/>
  <c r="M641" i="36"/>
  <c r="L641" i="36"/>
  <c r="K641" i="36"/>
  <c r="J641" i="36"/>
  <c r="I641" i="36"/>
  <c r="H641" i="36"/>
  <c r="G641" i="36"/>
  <c r="F641" i="36"/>
  <c r="E641" i="36"/>
  <c r="D641" i="36"/>
  <c r="C641" i="36"/>
  <c r="B641" i="36"/>
  <c r="R640" i="36"/>
  <c r="Q640" i="36"/>
  <c r="P640" i="36"/>
  <c r="O640" i="36"/>
  <c r="N640" i="36"/>
  <c r="M640" i="36"/>
  <c r="L640" i="36"/>
  <c r="K640" i="36"/>
  <c r="J640" i="36"/>
  <c r="I640" i="36"/>
  <c r="H640" i="36"/>
  <c r="G640" i="36"/>
  <c r="F640" i="36"/>
  <c r="E640" i="36"/>
  <c r="D640" i="36"/>
  <c r="C640" i="36"/>
  <c r="B640" i="36"/>
  <c r="R639" i="36"/>
  <c r="Q639" i="36"/>
  <c r="P639" i="36"/>
  <c r="O639" i="36"/>
  <c r="N639" i="36"/>
  <c r="M639" i="36"/>
  <c r="L639" i="36"/>
  <c r="K639" i="36"/>
  <c r="J639" i="36"/>
  <c r="I639" i="36"/>
  <c r="H639" i="36"/>
  <c r="G639" i="36"/>
  <c r="F639" i="36"/>
  <c r="E639" i="36"/>
  <c r="D639" i="36"/>
  <c r="C639" i="36"/>
  <c r="B639" i="36"/>
  <c r="R638" i="36"/>
  <c r="Q638" i="36"/>
  <c r="P638" i="36"/>
  <c r="O638" i="36"/>
  <c r="N638" i="36"/>
  <c r="M638" i="36"/>
  <c r="L638" i="36"/>
  <c r="K638" i="36"/>
  <c r="J638" i="36"/>
  <c r="I638" i="36"/>
  <c r="H638" i="36"/>
  <c r="G638" i="36"/>
  <c r="F638" i="36"/>
  <c r="E638" i="36"/>
  <c r="D638" i="36"/>
  <c r="C638" i="36"/>
  <c r="B638" i="36"/>
  <c r="R637" i="36"/>
  <c r="Q637" i="36"/>
  <c r="P637" i="36"/>
  <c r="O637" i="36"/>
  <c r="N637" i="36"/>
  <c r="M637" i="36"/>
  <c r="L637" i="36"/>
  <c r="K637" i="36"/>
  <c r="J637" i="36"/>
  <c r="I637" i="36"/>
  <c r="H637" i="36"/>
  <c r="G637" i="36"/>
  <c r="F637" i="36"/>
  <c r="E637" i="36"/>
  <c r="D637" i="36"/>
  <c r="C637" i="36"/>
  <c r="B637" i="36"/>
  <c r="R636" i="36"/>
  <c r="Q636" i="36"/>
  <c r="P636" i="36"/>
  <c r="O636" i="36"/>
  <c r="N636" i="36"/>
  <c r="M636" i="36"/>
  <c r="L636" i="36"/>
  <c r="K636" i="36"/>
  <c r="J636" i="36"/>
  <c r="I636" i="36"/>
  <c r="H636" i="36"/>
  <c r="G636" i="36"/>
  <c r="F636" i="36"/>
  <c r="E636" i="36"/>
  <c r="D636" i="36"/>
  <c r="C636" i="36"/>
  <c r="B636" i="36"/>
  <c r="R635" i="36"/>
  <c r="Q635" i="36"/>
  <c r="P635" i="36"/>
  <c r="O635" i="36"/>
  <c r="N635" i="36"/>
  <c r="M635" i="36"/>
  <c r="L635" i="36"/>
  <c r="K635" i="36"/>
  <c r="J635" i="36"/>
  <c r="I635" i="36"/>
  <c r="H635" i="36"/>
  <c r="G635" i="36"/>
  <c r="F635" i="36"/>
  <c r="E635" i="36"/>
  <c r="D635" i="36"/>
  <c r="C635" i="36"/>
  <c r="B635" i="36"/>
  <c r="R634" i="36"/>
  <c r="Q634" i="36"/>
  <c r="P634" i="36"/>
  <c r="O634" i="36"/>
  <c r="N634" i="36"/>
  <c r="M634" i="36"/>
  <c r="L634" i="36"/>
  <c r="K634" i="36"/>
  <c r="J634" i="36"/>
  <c r="I634" i="36"/>
  <c r="H634" i="36"/>
  <c r="G634" i="36"/>
  <c r="F634" i="36"/>
  <c r="E634" i="36"/>
  <c r="D634" i="36"/>
  <c r="C634" i="36"/>
  <c r="B634" i="36"/>
  <c r="R633" i="36"/>
  <c r="Q633" i="36"/>
  <c r="P633" i="36"/>
  <c r="O633" i="36"/>
  <c r="N633" i="36"/>
  <c r="M633" i="36"/>
  <c r="L633" i="36"/>
  <c r="K633" i="36"/>
  <c r="J633" i="36"/>
  <c r="I633" i="36"/>
  <c r="H633" i="36"/>
  <c r="G633" i="36"/>
  <c r="F633" i="36"/>
  <c r="E633" i="36"/>
  <c r="D633" i="36"/>
  <c r="C633" i="36"/>
  <c r="B633" i="36"/>
  <c r="R632" i="36"/>
  <c r="Q632" i="36"/>
  <c r="P632" i="36"/>
  <c r="O632" i="36"/>
  <c r="N632" i="36"/>
  <c r="M632" i="36"/>
  <c r="L632" i="36"/>
  <c r="K632" i="36"/>
  <c r="J632" i="36"/>
  <c r="I632" i="36"/>
  <c r="H632" i="36"/>
  <c r="G632" i="36"/>
  <c r="F632" i="36"/>
  <c r="E632" i="36"/>
  <c r="D632" i="36"/>
  <c r="C632" i="36"/>
  <c r="B632" i="36"/>
  <c r="R631" i="36"/>
  <c r="Q631" i="36"/>
  <c r="P631" i="36"/>
  <c r="O631" i="36"/>
  <c r="N631" i="36"/>
  <c r="M631" i="36"/>
  <c r="L631" i="36"/>
  <c r="K631" i="36"/>
  <c r="J631" i="36"/>
  <c r="I631" i="36"/>
  <c r="H631" i="36"/>
  <c r="G631" i="36"/>
  <c r="F631" i="36"/>
  <c r="E631" i="36"/>
  <c r="D631" i="36"/>
  <c r="C631" i="36"/>
  <c r="B631" i="36"/>
  <c r="R630" i="36"/>
  <c r="Q630" i="36"/>
  <c r="P630" i="36"/>
  <c r="O630" i="36"/>
  <c r="N630" i="36"/>
  <c r="M630" i="36"/>
  <c r="L630" i="36"/>
  <c r="K630" i="36"/>
  <c r="J630" i="36"/>
  <c r="I630" i="36"/>
  <c r="H630" i="36"/>
  <c r="G630" i="36"/>
  <c r="F630" i="36"/>
  <c r="E630" i="36"/>
  <c r="D630" i="36"/>
  <c r="C630" i="36"/>
  <c r="B630" i="36"/>
  <c r="R629" i="36"/>
  <c r="Q629" i="36"/>
  <c r="P629" i="36"/>
  <c r="O629" i="36"/>
  <c r="N629" i="36"/>
  <c r="M629" i="36"/>
  <c r="L629" i="36"/>
  <c r="K629" i="36"/>
  <c r="J629" i="36"/>
  <c r="I629" i="36"/>
  <c r="H629" i="36"/>
  <c r="G629" i="36"/>
  <c r="F629" i="36"/>
  <c r="E629" i="36"/>
  <c r="D629" i="36"/>
  <c r="C629" i="36"/>
  <c r="B629" i="36"/>
  <c r="R628" i="36"/>
  <c r="Q628" i="36"/>
  <c r="P628" i="36"/>
  <c r="O628" i="36"/>
  <c r="N628" i="36"/>
  <c r="M628" i="36"/>
  <c r="L628" i="36"/>
  <c r="K628" i="36"/>
  <c r="J628" i="36"/>
  <c r="I628" i="36"/>
  <c r="H628" i="36"/>
  <c r="G628" i="36"/>
  <c r="F628" i="36"/>
  <c r="E628" i="36"/>
  <c r="D628" i="36"/>
  <c r="C628" i="36"/>
  <c r="B628" i="36"/>
  <c r="R627" i="36"/>
  <c r="Q627" i="36"/>
  <c r="P627" i="36"/>
  <c r="O627" i="36"/>
  <c r="N627" i="36"/>
  <c r="M627" i="36"/>
  <c r="L627" i="36"/>
  <c r="K627" i="36"/>
  <c r="J627" i="36"/>
  <c r="I627" i="36"/>
  <c r="H627" i="36"/>
  <c r="G627" i="36"/>
  <c r="F627" i="36"/>
  <c r="E627" i="36"/>
  <c r="D627" i="36"/>
  <c r="C627" i="36"/>
  <c r="B627" i="36"/>
  <c r="R626" i="36"/>
  <c r="Q626" i="36"/>
  <c r="P626" i="36"/>
  <c r="O626" i="36"/>
  <c r="N626" i="36"/>
  <c r="M626" i="36"/>
  <c r="L626" i="36"/>
  <c r="K626" i="36"/>
  <c r="J626" i="36"/>
  <c r="I626" i="36"/>
  <c r="H626" i="36"/>
  <c r="G626" i="36"/>
  <c r="F626" i="36"/>
  <c r="E626" i="36"/>
  <c r="D626" i="36"/>
  <c r="C626" i="36"/>
  <c r="B626" i="36"/>
  <c r="R625" i="36"/>
  <c r="Q625" i="36"/>
  <c r="P625" i="36"/>
  <c r="O625" i="36"/>
  <c r="N625" i="36"/>
  <c r="M625" i="36"/>
  <c r="L625" i="36"/>
  <c r="K625" i="36"/>
  <c r="J625" i="36"/>
  <c r="I625" i="36"/>
  <c r="H625" i="36"/>
  <c r="G625" i="36"/>
  <c r="F625" i="36"/>
  <c r="E625" i="36"/>
  <c r="D625" i="36"/>
  <c r="C625" i="36"/>
  <c r="B625" i="36"/>
  <c r="R624" i="36"/>
  <c r="Q624" i="36"/>
  <c r="P624" i="36"/>
  <c r="O624" i="36"/>
  <c r="N624" i="36"/>
  <c r="M624" i="36"/>
  <c r="L624" i="36"/>
  <c r="K624" i="36"/>
  <c r="J624" i="36"/>
  <c r="I624" i="36"/>
  <c r="H624" i="36"/>
  <c r="G624" i="36"/>
  <c r="F624" i="36"/>
  <c r="E624" i="36"/>
  <c r="D624" i="36"/>
  <c r="C624" i="36"/>
  <c r="B624" i="36"/>
  <c r="R623" i="36"/>
  <c r="Q623" i="36"/>
  <c r="P623" i="36"/>
  <c r="O623" i="36"/>
  <c r="N623" i="36"/>
  <c r="M623" i="36"/>
  <c r="L623" i="36"/>
  <c r="K623" i="36"/>
  <c r="J623" i="36"/>
  <c r="I623" i="36"/>
  <c r="H623" i="36"/>
  <c r="G623" i="36"/>
  <c r="F623" i="36"/>
  <c r="E623" i="36"/>
  <c r="D623" i="36"/>
  <c r="C623" i="36"/>
  <c r="B623" i="36"/>
  <c r="R622" i="36"/>
  <c r="Q622" i="36"/>
  <c r="P622" i="36"/>
  <c r="O622" i="36"/>
  <c r="N622" i="36"/>
  <c r="M622" i="36"/>
  <c r="L622" i="36"/>
  <c r="K622" i="36"/>
  <c r="J622" i="36"/>
  <c r="I622" i="36"/>
  <c r="H622" i="36"/>
  <c r="G622" i="36"/>
  <c r="F622" i="36"/>
  <c r="E622" i="36"/>
  <c r="D622" i="36"/>
  <c r="C622" i="36"/>
  <c r="B622" i="36"/>
  <c r="R621" i="36"/>
  <c r="Q621" i="36"/>
  <c r="P621" i="36"/>
  <c r="O621" i="36"/>
  <c r="N621" i="36"/>
  <c r="M621" i="36"/>
  <c r="L621" i="36"/>
  <c r="K621" i="36"/>
  <c r="J621" i="36"/>
  <c r="I621" i="36"/>
  <c r="H621" i="36"/>
  <c r="G621" i="36"/>
  <c r="F621" i="36"/>
  <c r="E621" i="36"/>
  <c r="D621" i="36"/>
  <c r="C621" i="36"/>
  <c r="B621" i="36"/>
  <c r="R620" i="36"/>
  <c r="Q620" i="36"/>
  <c r="P620" i="36"/>
  <c r="O620" i="36"/>
  <c r="N620" i="36"/>
  <c r="M620" i="36"/>
  <c r="L620" i="36"/>
  <c r="K620" i="36"/>
  <c r="J620" i="36"/>
  <c r="I620" i="36"/>
  <c r="H620" i="36"/>
  <c r="G620" i="36"/>
  <c r="F620" i="36"/>
  <c r="E620" i="36"/>
  <c r="D620" i="36"/>
  <c r="C620" i="36"/>
  <c r="B620" i="36"/>
  <c r="R619" i="36"/>
  <c r="Q619" i="36"/>
  <c r="P619" i="36"/>
  <c r="O619" i="36"/>
  <c r="N619" i="36"/>
  <c r="M619" i="36"/>
  <c r="L619" i="36"/>
  <c r="K619" i="36"/>
  <c r="J619" i="36"/>
  <c r="I619" i="36"/>
  <c r="H619" i="36"/>
  <c r="G619" i="36"/>
  <c r="F619" i="36"/>
  <c r="E619" i="36"/>
  <c r="D619" i="36"/>
  <c r="C619" i="36"/>
  <c r="B619" i="36"/>
  <c r="R618" i="36"/>
  <c r="Q618" i="36"/>
  <c r="P618" i="36"/>
  <c r="O618" i="36"/>
  <c r="N618" i="36"/>
  <c r="M618" i="36"/>
  <c r="L618" i="36"/>
  <c r="K618" i="36"/>
  <c r="J618" i="36"/>
  <c r="I618" i="36"/>
  <c r="H618" i="36"/>
  <c r="G618" i="36"/>
  <c r="F618" i="36"/>
  <c r="E618" i="36"/>
  <c r="D618" i="36"/>
  <c r="C618" i="36"/>
  <c r="B618" i="36"/>
  <c r="R617" i="36"/>
  <c r="Q617" i="36"/>
  <c r="P617" i="36"/>
  <c r="O617" i="36"/>
  <c r="N617" i="36"/>
  <c r="M617" i="36"/>
  <c r="L617" i="36"/>
  <c r="K617" i="36"/>
  <c r="J617" i="36"/>
  <c r="I617" i="36"/>
  <c r="H617" i="36"/>
  <c r="G617" i="36"/>
  <c r="F617" i="36"/>
  <c r="E617" i="36"/>
  <c r="D617" i="36"/>
  <c r="C617" i="36"/>
  <c r="B617" i="36"/>
  <c r="R616" i="36"/>
  <c r="Q616" i="36"/>
  <c r="P616" i="36"/>
  <c r="O616" i="36"/>
  <c r="N616" i="36"/>
  <c r="M616" i="36"/>
  <c r="L616" i="36"/>
  <c r="K616" i="36"/>
  <c r="J616" i="36"/>
  <c r="I616" i="36"/>
  <c r="H616" i="36"/>
  <c r="G616" i="36"/>
  <c r="F616" i="36"/>
  <c r="E616" i="36"/>
  <c r="D616" i="36"/>
  <c r="C616" i="36"/>
  <c r="B616" i="36"/>
  <c r="R615" i="36"/>
  <c r="Q615" i="36"/>
  <c r="P615" i="36"/>
  <c r="O615" i="36"/>
  <c r="N615" i="36"/>
  <c r="M615" i="36"/>
  <c r="L615" i="36"/>
  <c r="K615" i="36"/>
  <c r="J615" i="36"/>
  <c r="I615" i="36"/>
  <c r="H615" i="36"/>
  <c r="G615" i="36"/>
  <c r="F615" i="36"/>
  <c r="E615" i="36"/>
  <c r="D615" i="36"/>
  <c r="C615" i="36"/>
  <c r="B615" i="36"/>
  <c r="R614" i="36"/>
  <c r="Q614" i="36"/>
  <c r="P614" i="36"/>
  <c r="O614" i="36"/>
  <c r="N614" i="36"/>
  <c r="M614" i="36"/>
  <c r="L614" i="36"/>
  <c r="K614" i="36"/>
  <c r="J614" i="36"/>
  <c r="I614" i="36"/>
  <c r="H614" i="36"/>
  <c r="G614" i="36"/>
  <c r="F614" i="36"/>
  <c r="E614" i="36"/>
  <c r="D614" i="36"/>
  <c r="C614" i="36"/>
  <c r="B614" i="36"/>
  <c r="R613" i="36"/>
  <c r="Q613" i="36"/>
  <c r="P613" i="36"/>
  <c r="O613" i="36"/>
  <c r="N613" i="36"/>
  <c r="M613" i="36"/>
  <c r="L613" i="36"/>
  <c r="K613" i="36"/>
  <c r="J613" i="36"/>
  <c r="I613" i="36"/>
  <c r="H613" i="36"/>
  <c r="G613" i="36"/>
  <c r="F613" i="36"/>
  <c r="E613" i="36"/>
  <c r="D613" i="36"/>
  <c r="C613" i="36"/>
  <c r="B613" i="36"/>
  <c r="R612" i="36"/>
  <c r="Q612" i="36"/>
  <c r="P612" i="36"/>
  <c r="O612" i="36"/>
  <c r="N612" i="36"/>
  <c r="M612" i="36"/>
  <c r="L612" i="36"/>
  <c r="K612" i="36"/>
  <c r="J612" i="36"/>
  <c r="I612" i="36"/>
  <c r="H612" i="36"/>
  <c r="G612" i="36"/>
  <c r="F612" i="36"/>
  <c r="E612" i="36"/>
  <c r="D612" i="36"/>
  <c r="C612" i="36"/>
  <c r="B612" i="36"/>
  <c r="R611" i="36"/>
  <c r="Q611" i="36"/>
  <c r="P611" i="36"/>
  <c r="O611" i="36"/>
  <c r="N611" i="36"/>
  <c r="M611" i="36"/>
  <c r="L611" i="36"/>
  <c r="K611" i="36"/>
  <c r="J611" i="36"/>
  <c r="I611" i="36"/>
  <c r="H611" i="36"/>
  <c r="G611" i="36"/>
  <c r="F611" i="36"/>
  <c r="E611" i="36"/>
  <c r="D611" i="36"/>
  <c r="C611" i="36"/>
  <c r="B611" i="36"/>
  <c r="R610" i="36"/>
  <c r="Q610" i="36"/>
  <c r="P610" i="36"/>
  <c r="O610" i="36"/>
  <c r="N610" i="36"/>
  <c r="M610" i="36"/>
  <c r="L610" i="36"/>
  <c r="K610" i="36"/>
  <c r="J610" i="36"/>
  <c r="I610" i="36"/>
  <c r="H610" i="36"/>
  <c r="G610" i="36"/>
  <c r="F610" i="36"/>
  <c r="E610" i="36"/>
  <c r="D610" i="36"/>
  <c r="C610" i="36"/>
  <c r="B610" i="36"/>
  <c r="R609" i="36"/>
  <c r="Q609" i="36"/>
  <c r="P609" i="36"/>
  <c r="O609" i="36"/>
  <c r="N609" i="36"/>
  <c r="M609" i="36"/>
  <c r="L609" i="36"/>
  <c r="K609" i="36"/>
  <c r="J609" i="36"/>
  <c r="I609" i="36"/>
  <c r="H609" i="36"/>
  <c r="G609" i="36"/>
  <c r="F609" i="36"/>
  <c r="E609" i="36"/>
  <c r="D609" i="36"/>
  <c r="C609" i="36"/>
  <c r="B609" i="36"/>
  <c r="R608" i="36"/>
  <c r="Q608" i="36"/>
  <c r="P608" i="36"/>
  <c r="O608" i="36"/>
  <c r="N608" i="36"/>
  <c r="M608" i="36"/>
  <c r="L608" i="36"/>
  <c r="K608" i="36"/>
  <c r="J608" i="36"/>
  <c r="I608" i="36"/>
  <c r="H608" i="36"/>
  <c r="G608" i="36"/>
  <c r="F608" i="36"/>
  <c r="E608" i="36"/>
  <c r="D608" i="36"/>
  <c r="C608" i="36"/>
  <c r="B608" i="36"/>
  <c r="R607" i="36"/>
  <c r="Q607" i="36"/>
  <c r="P607" i="36"/>
  <c r="O607" i="36"/>
  <c r="N607" i="36"/>
  <c r="M607" i="36"/>
  <c r="L607" i="36"/>
  <c r="K607" i="36"/>
  <c r="J607" i="36"/>
  <c r="I607" i="36"/>
  <c r="H607" i="36"/>
  <c r="G607" i="36"/>
  <c r="F607" i="36"/>
  <c r="E607" i="36"/>
  <c r="D607" i="36"/>
  <c r="C607" i="36"/>
  <c r="B607" i="36"/>
  <c r="R606" i="36"/>
  <c r="Q606" i="36"/>
  <c r="P606" i="36"/>
  <c r="O606" i="36"/>
  <c r="N606" i="36"/>
  <c r="M606" i="36"/>
  <c r="L606" i="36"/>
  <c r="K606" i="36"/>
  <c r="J606" i="36"/>
  <c r="I606" i="36"/>
  <c r="H606" i="36"/>
  <c r="G606" i="36"/>
  <c r="F606" i="36"/>
  <c r="E606" i="36"/>
  <c r="D606" i="36"/>
  <c r="C606" i="36"/>
  <c r="B606" i="36"/>
  <c r="R605" i="36"/>
  <c r="Q605" i="36"/>
  <c r="P605" i="36"/>
  <c r="O605" i="36"/>
  <c r="N605" i="36"/>
  <c r="M605" i="36"/>
  <c r="L605" i="36"/>
  <c r="K605" i="36"/>
  <c r="J605" i="36"/>
  <c r="I605" i="36"/>
  <c r="H605" i="36"/>
  <c r="G605" i="36"/>
  <c r="F605" i="36"/>
  <c r="E605" i="36"/>
  <c r="D605" i="36"/>
  <c r="C605" i="36"/>
  <c r="B605" i="36"/>
  <c r="R604" i="36"/>
  <c r="Q604" i="36"/>
  <c r="P604" i="36"/>
  <c r="O604" i="36"/>
  <c r="N604" i="36"/>
  <c r="M604" i="36"/>
  <c r="L604" i="36"/>
  <c r="K604" i="36"/>
  <c r="J604" i="36"/>
  <c r="I604" i="36"/>
  <c r="H604" i="36"/>
  <c r="G604" i="36"/>
  <c r="F604" i="36"/>
  <c r="E604" i="36"/>
  <c r="D604" i="36"/>
  <c r="C604" i="36"/>
  <c r="B604" i="36"/>
  <c r="R603" i="36"/>
  <c r="Q603" i="36"/>
  <c r="P603" i="36"/>
  <c r="O603" i="36"/>
  <c r="N603" i="36"/>
  <c r="M603" i="36"/>
  <c r="L603" i="36"/>
  <c r="K603" i="36"/>
  <c r="J603" i="36"/>
  <c r="I603" i="36"/>
  <c r="H603" i="36"/>
  <c r="G603" i="36"/>
  <c r="F603" i="36"/>
  <c r="E603" i="36"/>
  <c r="D603" i="36"/>
  <c r="C603" i="36"/>
  <c r="B603" i="36"/>
  <c r="R602" i="36"/>
  <c r="Q602" i="36"/>
  <c r="P602" i="36"/>
  <c r="O602" i="36"/>
  <c r="N602" i="36"/>
  <c r="M602" i="36"/>
  <c r="L602" i="36"/>
  <c r="K602" i="36"/>
  <c r="J602" i="36"/>
  <c r="I602" i="36"/>
  <c r="H602" i="36"/>
  <c r="G602" i="36"/>
  <c r="F602" i="36"/>
  <c r="E602" i="36"/>
  <c r="D602" i="36"/>
  <c r="C602" i="36"/>
  <c r="B602" i="36"/>
  <c r="R601" i="36"/>
  <c r="Q601" i="36"/>
  <c r="P601" i="36"/>
  <c r="O601" i="36"/>
  <c r="N601" i="36"/>
  <c r="M601" i="36"/>
  <c r="L601" i="36"/>
  <c r="K601" i="36"/>
  <c r="J601" i="36"/>
  <c r="I601" i="36"/>
  <c r="H601" i="36"/>
  <c r="G601" i="36"/>
  <c r="F601" i="36"/>
  <c r="E601" i="36"/>
  <c r="D601" i="36"/>
  <c r="C601" i="36"/>
  <c r="B601" i="36"/>
  <c r="R600" i="36"/>
  <c r="Q600" i="36"/>
  <c r="P600" i="36"/>
  <c r="O600" i="36"/>
  <c r="N600" i="36"/>
  <c r="M600" i="36"/>
  <c r="L600" i="36"/>
  <c r="K600" i="36"/>
  <c r="J600" i="36"/>
  <c r="I600" i="36"/>
  <c r="H600" i="36"/>
  <c r="G600" i="36"/>
  <c r="F600" i="36"/>
  <c r="E600" i="36"/>
  <c r="D600" i="36"/>
  <c r="C600" i="36"/>
  <c r="B600" i="36"/>
  <c r="R599" i="36"/>
  <c r="Q599" i="36"/>
  <c r="P599" i="36"/>
  <c r="O599" i="36"/>
  <c r="N599" i="36"/>
  <c r="M599" i="36"/>
  <c r="L599" i="36"/>
  <c r="K599" i="36"/>
  <c r="J599" i="36"/>
  <c r="I599" i="36"/>
  <c r="H599" i="36"/>
  <c r="G599" i="36"/>
  <c r="F599" i="36"/>
  <c r="E599" i="36"/>
  <c r="D599" i="36"/>
  <c r="C599" i="36"/>
  <c r="B599" i="36"/>
  <c r="R598" i="36"/>
  <c r="Q598" i="36"/>
  <c r="P598" i="36"/>
  <c r="O598" i="36"/>
  <c r="N598" i="36"/>
  <c r="M598" i="36"/>
  <c r="L598" i="36"/>
  <c r="K598" i="36"/>
  <c r="J598" i="36"/>
  <c r="I598" i="36"/>
  <c r="H598" i="36"/>
  <c r="G598" i="36"/>
  <c r="F598" i="36"/>
  <c r="E598" i="36"/>
  <c r="D598" i="36"/>
  <c r="C598" i="36"/>
  <c r="B598" i="36"/>
  <c r="R597" i="36"/>
  <c r="Q597" i="36"/>
  <c r="P597" i="36"/>
  <c r="O597" i="36"/>
  <c r="N597" i="36"/>
  <c r="M597" i="36"/>
  <c r="L597" i="36"/>
  <c r="K597" i="36"/>
  <c r="J597" i="36"/>
  <c r="I597" i="36"/>
  <c r="H597" i="36"/>
  <c r="G597" i="36"/>
  <c r="F597" i="36"/>
  <c r="E597" i="36"/>
  <c r="D597" i="36"/>
  <c r="C597" i="36"/>
  <c r="B597" i="36"/>
  <c r="R596" i="36"/>
  <c r="Q596" i="36"/>
  <c r="P596" i="36"/>
  <c r="O596" i="36"/>
  <c r="N596" i="36"/>
  <c r="M596" i="36"/>
  <c r="L596" i="36"/>
  <c r="K596" i="36"/>
  <c r="J596" i="36"/>
  <c r="I596" i="36"/>
  <c r="H596" i="36"/>
  <c r="G596" i="36"/>
  <c r="F596" i="36"/>
  <c r="E596" i="36"/>
  <c r="D596" i="36"/>
  <c r="C596" i="36"/>
  <c r="B596" i="36"/>
  <c r="R595" i="36"/>
  <c r="Q595" i="36"/>
  <c r="P595" i="36"/>
  <c r="O595" i="36"/>
  <c r="N595" i="36"/>
  <c r="M595" i="36"/>
  <c r="L595" i="36"/>
  <c r="K595" i="36"/>
  <c r="J595" i="36"/>
  <c r="I595" i="36"/>
  <c r="H595" i="36"/>
  <c r="G595" i="36"/>
  <c r="F595" i="36"/>
  <c r="E595" i="36"/>
  <c r="D595" i="36"/>
  <c r="C595" i="36"/>
  <c r="B595" i="36"/>
  <c r="R594" i="36"/>
  <c r="Q594" i="36"/>
  <c r="P594" i="36"/>
  <c r="O594" i="36"/>
  <c r="N594" i="36"/>
  <c r="M594" i="36"/>
  <c r="L594" i="36"/>
  <c r="K594" i="36"/>
  <c r="J594" i="36"/>
  <c r="I594" i="36"/>
  <c r="H594" i="36"/>
  <c r="G594" i="36"/>
  <c r="F594" i="36"/>
  <c r="E594" i="36"/>
  <c r="D594" i="36"/>
  <c r="C594" i="36"/>
  <c r="B594" i="36"/>
  <c r="R593" i="36"/>
  <c r="Q593" i="36"/>
  <c r="P593" i="36"/>
  <c r="O593" i="36"/>
  <c r="N593" i="36"/>
  <c r="M593" i="36"/>
  <c r="L593" i="36"/>
  <c r="K593" i="36"/>
  <c r="J593" i="36"/>
  <c r="I593" i="36"/>
  <c r="H593" i="36"/>
  <c r="G593" i="36"/>
  <c r="F593" i="36"/>
  <c r="E593" i="36"/>
  <c r="D593" i="36"/>
  <c r="C593" i="36"/>
  <c r="B593" i="36"/>
  <c r="R592" i="36"/>
  <c r="Q592" i="36"/>
  <c r="P592" i="36"/>
  <c r="O592" i="36"/>
  <c r="N592" i="36"/>
  <c r="M592" i="36"/>
  <c r="L592" i="36"/>
  <c r="K592" i="36"/>
  <c r="J592" i="36"/>
  <c r="I592" i="36"/>
  <c r="H592" i="36"/>
  <c r="G592" i="36"/>
  <c r="F592" i="36"/>
  <c r="E592" i="36"/>
  <c r="D592" i="36"/>
  <c r="C592" i="36"/>
  <c r="B592" i="36"/>
  <c r="R591" i="36"/>
  <c r="Q591" i="36"/>
  <c r="P591" i="36"/>
  <c r="O591" i="36"/>
  <c r="N591" i="36"/>
  <c r="M591" i="36"/>
  <c r="L591" i="36"/>
  <c r="K591" i="36"/>
  <c r="J591" i="36"/>
  <c r="I591" i="36"/>
  <c r="H591" i="36"/>
  <c r="G591" i="36"/>
  <c r="F591" i="36"/>
  <c r="E591" i="36"/>
  <c r="D591" i="36"/>
  <c r="C591" i="36"/>
  <c r="B591" i="36"/>
  <c r="R590" i="36"/>
  <c r="Q590" i="36"/>
  <c r="P590" i="36"/>
  <c r="O590" i="36"/>
  <c r="N590" i="36"/>
  <c r="M590" i="36"/>
  <c r="L590" i="36"/>
  <c r="K590" i="36"/>
  <c r="J590" i="36"/>
  <c r="I590" i="36"/>
  <c r="H590" i="36"/>
  <c r="G590" i="36"/>
  <c r="F590" i="36"/>
  <c r="E590" i="36"/>
  <c r="D590" i="36"/>
  <c r="C590" i="36"/>
  <c r="B590" i="36"/>
  <c r="R589" i="36"/>
  <c r="Q589" i="36"/>
  <c r="P589" i="36"/>
  <c r="O589" i="36"/>
  <c r="N589" i="36"/>
  <c r="M589" i="36"/>
  <c r="L589" i="36"/>
  <c r="K589" i="36"/>
  <c r="J589" i="36"/>
  <c r="I589" i="36"/>
  <c r="H589" i="36"/>
  <c r="G589" i="36"/>
  <c r="F589" i="36"/>
  <c r="E589" i="36"/>
  <c r="D589" i="36"/>
  <c r="C589" i="36"/>
  <c r="B589" i="36"/>
  <c r="R588" i="36"/>
  <c r="Q588" i="36"/>
  <c r="P588" i="36"/>
  <c r="O588" i="36"/>
  <c r="N588" i="36"/>
  <c r="M588" i="36"/>
  <c r="L588" i="36"/>
  <c r="K588" i="36"/>
  <c r="J588" i="36"/>
  <c r="I588" i="36"/>
  <c r="H588" i="36"/>
  <c r="G588" i="36"/>
  <c r="F588" i="36"/>
  <c r="E588" i="36"/>
  <c r="D588" i="36"/>
  <c r="C588" i="36"/>
  <c r="B588" i="36"/>
  <c r="R587" i="36"/>
  <c r="Q587" i="36"/>
  <c r="P587" i="36"/>
  <c r="O587" i="36"/>
  <c r="N587" i="36"/>
  <c r="M587" i="36"/>
  <c r="L587" i="36"/>
  <c r="K587" i="36"/>
  <c r="J587" i="36"/>
  <c r="I587" i="36"/>
  <c r="H587" i="36"/>
  <c r="G587" i="36"/>
  <c r="F587" i="36"/>
  <c r="E587" i="36"/>
  <c r="D587" i="36"/>
  <c r="C587" i="36"/>
  <c r="B587" i="36"/>
  <c r="R586" i="36"/>
  <c r="Q586" i="36"/>
  <c r="P586" i="36"/>
  <c r="O586" i="36"/>
  <c r="N586" i="36"/>
  <c r="M586" i="36"/>
  <c r="L586" i="36"/>
  <c r="K586" i="36"/>
  <c r="J586" i="36"/>
  <c r="I586" i="36"/>
  <c r="H586" i="36"/>
  <c r="G586" i="36"/>
  <c r="F586" i="36"/>
  <c r="E586" i="36"/>
  <c r="D586" i="36"/>
  <c r="C586" i="36"/>
  <c r="B586" i="36"/>
  <c r="R585" i="36"/>
  <c r="Q585" i="36"/>
  <c r="P585" i="36"/>
  <c r="O585" i="36"/>
  <c r="N585" i="36"/>
  <c r="M585" i="36"/>
  <c r="L585" i="36"/>
  <c r="K585" i="36"/>
  <c r="J585" i="36"/>
  <c r="I585" i="36"/>
  <c r="H585" i="36"/>
  <c r="G585" i="36"/>
  <c r="F585" i="36"/>
  <c r="E585" i="36"/>
  <c r="D585" i="36"/>
  <c r="C585" i="36"/>
  <c r="B585" i="36"/>
  <c r="R584" i="36"/>
  <c r="Q584" i="36"/>
  <c r="P584" i="36"/>
  <c r="O584" i="36"/>
  <c r="N584" i="36"/>
  <c r="M584" i="36"/>
  <c r="L584" i="36"/>
  <c r="K584" i="36"/>
  <c r="J584" i="36"/>
  <c r="I584" i="36"/>
  <c r="H584" i="36"/>
  <c r="G584" i="36"/>
  <c r="F584" i="36"/>
  <c r="E584" i="36"/>
  <c r="D584" i="36"/>
  <c r="C584" i="36"/>
  <c r="B584" i="36"/>
  <c r="R583" i="36"/>
  <c r="Q583" i="36"/>
  <c r="P583" i="36"/>
  <c r="O583" i="36"/>
  <c r="N583" i="36"/>
  <c r="M583" i="36"/>
  <c r="L583" i="36"/>
  <c r="K583" i="36"/>
  <c r="J583" i="36"/>
  <c r="I583" i="36"/>
  <c r="H583" i="36"/>
  <c r="G583" i="36"/>
  <c r="F583" i="36"/>
  <c r="E583" i="36"/>
  <c r="D583" i="36"/>
  <c r="C583" i="36"/>
  <c r="B583" i="36"/>
  <c r="R582" i="36"/>
  <c r="Q582" i="36"/>
  <c r="P582" i="36"/>
  <c r="O582" i="36"/>
  <c r="N582" i="36"/>
  <c r="M582" i="36"/>
  <c r="L582" i="36"/>
  <c r="K582" i="36"/>
  <c r="J582" i="36"/>
  <c r="I582" i="36"/>
  <c r="H582" i="36"/>
  <c r="G582" i="36"/>
  <c r="F582" i="36"/>
  <c r="E582" i="36"/>
  <c r="D582" i="36"/>
  <c r="C582" i="36"/>
  <c r="B582" i="36"/>
  <c r="R581" i="36"/>
  <c r="Q581" i="36"/>
  <c r="P581" i="36"/>
  <c r="O581" i="36"/>
  <c r="N581" i="36"/>
  <c r="M581" i="36"/>
  <c r="L581" i="36"/>
  <c r="K581" i="36"/>
  <c r="J581" i="36"/>
  <c r="I581" i="36"/>
  <c r="H581" i="36"/>
  <c r="G581" i="36"/>
  <c r="F581" i="36"/>
  <c r="E581" i="36"/>
  <c r="D581" i="36"/>
  <c r="C581" i="36"/>
  <c r="B581" i="36"/>
  <c r="R580" i="36"/>
  <c r="Q580" i="36"/>
  <c r="P580" i="36"/>
  <c r="O580" i="36"/>
  <c r="N580" i="36"/>
  <c r="M580" i="36"/>
  <c r="L580" i="36"/>
  <c r="K580" i="36"/>
  <c r="J580" i="36"/>
  <c r="I580" i="36"/>
  <c r="H580" i="36"/>
  <c r="G580" i="36"/>
  <c r="F580" i="36"/>
  <c r="E580" i="36"/>
  <c r="D580" i="36"/>
  <c r="C580" i="36"/>
  <c r="B580" i="36"/>
  <c r="R579" i="36"/>
  <c r="Q579" i="36"/>
  <c r="P579" i="36"/>
  <c r="O579" i="36"/>
  <c r="N579" i="36"/>
  <c r="M579" i="36"/>
  <c r="L579" i="36"/>
  <c r="K579" i="36"/>
  <c r="J579" i="36"/>
  <c r="I579" i="36"/>
  <c r="H579" i="36"/>
  <c r="G579" i="36"/>
  <c r="F579" i="36"/>
  <c r="E579" i="36"/>
  <c r="D579" i="36"/>
  <c r="C579" i="36"/>
  <c r="B579" i="36"/>
  <c r="R578" i="36"/>
  <c r="Q578" i="36"/>
  <c r="P578" i="36"/>
  <c r="O578" i="36"/>
  <c r="N578" i="36"/>
  <c r="M578" i="36"/>
  <c r="L578" i="36"/>
  <c r="K578" i="36"/>
  <c r="J578" i="36"/>
  <c r="I578" i="36"/>
  <c r="H578" i="36"/>
  <c r="G578" i="36"/>
  <c r="F578" i="36"/>
  <c r="E578" i="36"/>
  <c r="D578" i="36"/>
  <c r="C578" i="36"/>
  <c r="B578" i="36"/>
  <c r="R577" i="36"/>
  <c r="Q577" i="36"/>
  <c r="P577" i="36"/>
  <c r="O577" i="36"/>
  <c r="N577" i="36"/>
  <c r="M577" i="36"/>
  <c r="L577" i="36"/>
  <c r="K577" i="36"/>
  <c r="J577" i="36"/>
  <c r="I577" i="36"/>
  <c r="H577" i="36"/>
  <c r="G577" i="36"/>
  <c r="F577" i="36"/>
  <c r="E577" i="36"/>
  <c r="D577" i="36"/>
  <c r="C577" i="36"/>
  <c r="B577" i="36"/>
  <c r="R576" i="36"/>
  <c r="Q576" i="36"/>
  <c r="P576" i="36"/>
  <c r="O576" i="36"/>
  <c r="N576" i="36"/>
  <c r="M576" i="36"/>
  <c r="L576" i="36"/>
  <c r="K576" i="36"/>
  <c r="J576" i="36"/>
  <c r="I576" i="36"/>
  <c r="H576" i="36"/>
  <c r="G576" i="36"/>
  <c r="F576" i="36"/>
  <c r="E576" i="36"/>
  <c r="D576" i="36"/>
  <c r="C576" i="36"/>
  <c r="B576" i="36"/>
  <c r="R575" i="36"/>
  <c r="Q575" i="36"/>
  <c r="P575" i="36"/>
  <c r="O575" i="36"/>
  <c r="N575" i="36"/>
  <c r="M575" i="36"/>
  <c r="L575" i="36"/>
  <c r="K575" i="36"/>
  <c r="J575" i="36"/>
  <c r="I575" i="36"/>
  <c r="H575" i="36"/>
  <c r="G575" i="36"/>
  <c r="F575" i="36"/>
  <c r="E575" i="36"/>
  <c r="D575" i="36"/>
  <c r="C575" i="36"/>
  <c r="B575" i="36"/>
  <c r="R574" i="36"/>
  <c r="Q574" i="36"/>
  <c r="P574" i="36"/>
  <c r="O574" i="36"/>
  <c r="N574" i="36"/>
  <c r="M574" i="36"/>
  <c r="L574" i="36"/>
  <c r="K574" i="36"/>
  <c r="J574" i="36"/>
  <c r="I574" i="36"/>
  <c r="H574" i="36"/>
  <c r="G574" i="36"/>
  <c r="F574" i="36"/>
  <c r="E574" i="36"/>
  <c r="D574" i="36"/>
  <c r="C574" i="36"/>
  <c r="B574" i="36"/>
  <c r="R573" i="36"/>
  <c r="Q573" i="36"/>
  <c r="P573" i="36"/>
  <c r="O573" i="36"/>
  <c r="N573" i="36"/>
  <c r="M573" i="36"/>
  <c r="L573" i="36"/>
  <c r="K573" i="36"/>
  <c r="J573" i="36"/>
  <c r="I573" i="36"/>
  <c r="H573" i="36"/>
  <c r="G573" i="36"/>
  <c r="F573" i="36"/>
  <c r="E573" i="36"/>
  <c r="D573" i="36"/>
  <c r="C573" i="36"/>
  <c r="B573" i="36"/>
  <c r="R572" i="36"/>
  <c r="Q572" i="36"/>
  <c r="P572" i="36"/>
  <c r="O572" i="36"/>
  <c r="N572" i="36"/>
  <c r="M572" i="36"/>
  <c r="L572" i="36"/>
  <c r="K572" i="36"/>
  <c r="J572" i="36"/>
  <c r="I572" i="36"/>
  <c r="H572" i="36"/>
  <c r="G572" i="36"/>
  <c r="F572" i="36"/>
  <c r="E572" i="36"/>
  <c r="D572" i="36"/>
  <c r="C572" i="36"/>
  <c r="B572" i="36"/>
  <c r="R571" i="36"/>
  <c r="Q571" i="36"/>
  <c r="P571" i="36"/>
  <c r="O571" i="36"/>
  <c r="N571" i="36"/>
  <c r="M571" i="36"/>
  <c r="L571" i="36"/>
  <c r="K571" i="36"/>
  <c r="J571" i="36"/>
  <c r="I571" i="36"/>
  <c r="H571" i="36"/>
  <c r="G571" i="36"/>
  <c r="F571" i="36"/>
  <c r="E571" i="36"/>
  <c r="D571" i="36"/>
  <c r="C571" i="36"/>
  <c r="B571" i="36"/>
  <c r="R570" i="36"/>
  <c r="Q570" i="36"/>
  <c r="P570" i="36"/>
  <c r="O570" i="36"/>
  <c r="N570" i="36"/>
  <c r="M570" i="36"/>
  <c r="L570" i="36"/>
  <c r="K570" i="36"/>
  <c r="J570" i="36"/>
  <c r="I570" i="36"/>
  <c r="H570" i="36"/>
  <c r="G570" i="36"/>
  <c r="F570" i="36"/>
  <c r="E570" i="36"/>
  <c r="D570" i="36"/>
  <c r="C570" i="36"/>
  <c r="B570" i="36"/>
  <c r="R569" i="36"/>
  <c r="Q569" i="36"/>
  <c r="P569" i="36"/>
  <c r="O569" i="36"/>
  <c r="N569" i="36"/>
  <c r="M569" i="36"/>
  <c r="L569" i="36"/>
  <c r="K569" i="36"/>
  <c r="J569" i="36"/>
  <c r="I569" i="36"/>
  <c r="H569" i="36"/>
  <c r="G569" i="36"/>
  <c r="F569" i="36"/>
  <c r="E569" i="36"/>
  <c r="D569" i="36"/>
  <c r="C569" i="36"/>
  <c r="B569" i="36"/>
  <c r="R568" i="36"/>
  <c r="Q568" i="36"/>
  <c r="P568" i="36"/>
  <c r="O568" i="36"/>
  <c r="N568" i="36"/>
  <c r="M568" i="36"/>
  <c r="L568" i="36"/>
  <c r="K568" i="36"/>
  <c r="J568" i="36"/>
  <c r="I568" i="36"/>
  <c r="H568" i="36"/>
  <c r="G568" i="36"/>
  <c r="F568" i="36"/>
  <c r="E568" i="36"/>
  <c r="D568" i="36"/>
  <c r="C568" i="36"/>
  <c r="B568" i="36"/>
  <c r="R567" i="36"/>
  <c r="Q567" i="36"/>
  <c r="P567" i="36"/>
  <c r="O567" i="36"/>
  <c r="N567" i="36"/>
  <c r="M567" i="36"/>
  <c r="L567" i="36"/>
  <c r="K567" i="36"/>
  <c r="J567" i="36"/>
  <c r="I567" i="36"/>
  <c r="H567" i="36"/>
  <c r="G567" i="36"/>
  <c r="F567" i="36"/>
  <c r="E567" i="36"/>
  <c r="D567" i="36"/>
  <c r="C567" i="36"/>
  <c r="B567" i="36"/>
  <c r="R566" i="36"/>
  <c r="Q566" i="36"/>
  <c r="P566" i="36"/>
  <c r="O566" i="36"/>
  <c r="N566" i="36"/>
  <c r="M566" i="36"/>
  <c r="L566" i="36"/>
  <c r="K566" i="36"/>
  <c r="J566" i="36"/>
  <c r="I566" i="36"/>
  <c r="H566" i="36"/>
  <c r="G566" i="36"/>
  <c r="F566" i="36"/>
  <c r="E566" i="36"/>
  <c r="D566" i="36"/>
  <c r="C566" i="36"/>
  <c r="B566" i="36"/>
  <c r="R565" i="36"/>
  <c r="Q565" i="36"/>
  <c r="P565" i="36"/>
  <c r="O565" i="36"/>
  <c r="N565" i="36"/>
  <c r="M565" i="36"/>
  <c r="L565" i="36"/>
  <c r="K565" i="36"/>
  <c r="J565" i="36"/>
  <c r="I565" i="36"/>
  <c r="H565" i="36"/>
  <c r="G565" i="36"/>
  <c r="F565" i="36"/>
  <c r="E565" i="36"/>
  <c r="D565" i="36"/>
  <c r="C565" i="36"/>
  <c r="B565" i="36"/>
  <c r="R564" i="36"/>
  <c r="Q564" i="36"/>
  <c r="P564" i="36"/>
  <c r="O564" i="36"/>
  <c r="N564" i="36"/>
  <c r="M564" i="36"/>
  <c r="L564" i="36"/>
  <c r="K564" i="36"/>
  <c r="J564" i="36"/>
  <c r="I564" i="36"/>
  <c r="H564" i="36"/>
  <c r="G564" i="36"/>
  <c r="F564" i="36"/>
  <c r="E564" i="36"/>
  <c r="D564" i="36"/>
  <c r="C564" i="36"/>
  <c r="B564" i="36"/>
  <c r="R563" i="36"/>
  <c r="Q563" i="36"/>
  <c r="P563" i="36"/>
  <c r="O563" i="36"/>
  <c r="N563" i="36"/>
  <c r="M563" i="36"/>
  <c r="L563" i="36"/>
  <c r="K563" i="36"/>
  <c r="J563" i="36"/>
  <c r="I563" i="36"/>
  <c r="H563" i="36"/>
  <c r="G563" i="36"/>
  <c r="F563" i="36"/>
  <c r="E563" i="36"/>
  <c r="D563" i="36"/>
  <c r="C563" i="36"/>
  <c r="B563" i="36"/>
  <c r="R562" i="36"/>
  <c r="Q562" i="36"/>
  <c r="P562" i="36"/>
  <c r="O562" i="36"/>
  <c r="N562" i="36"/>
  <c r="M562" i="36"/>
  <c r="L562" i="36"/>
  <c r="K562" i="36"/>
  <c r="J562" i="36"/>
  <c r="I562" i="36"/>
  <c r="H562" i="36"/>
  <c r="G562" i="36"/>
  <c r="F562" i="36"/>
  <c r="E562" i="36"/>
  <c r="D562" i="36"/>
  <c r="C562" i="36"/>
  <c r="B562" i="36"/>
  <c r="R561" i="36"/>
  <c r="Q561" i="36"/>
  <c r="P561" i="36"/>
  <c r="O561" i="36"/>
  <c r="N561" i="36"/>
  <c r="M561" i="36"/>
  <c r="L561" i="36"/>
  <c r="K561" i="36"/>
  <c r="J561" i="36"/>
  <c r="I561" i="36"/>
  <c r="H561" i="36"/>
  <c r="G561" i="36"/>
  <c r="F561" i="36"/>
  <c r="E561" i="36"/>
  <c r="D561" i="36"/>
  <c r="C561" i="36"/>
  <c r="B561" i="36"/>
  <c r="R560" i="36"/>
  <c r="Q560" i="36"/>
  <c r="P560" i="36"/>
  <c r="O560" i="36"/>
  <c r="N560" i="36"/>
  <c r="M560" i="36"/>
  <c r="L560" i="36"/>
  <c r="K560" i="36"/>
  <c r="J560" i="36"/>
  <c r="I560" i="36"/>
  <c r="H560" i="36"/>
  <c r="G560" i="36"/>
  <c r="F560" i="36"/>
  <c r="E560" i="36"/>
  <c r="D560" i="36"/>
  <c r="C560" i="36"/>
  <c r="B560" i="36"/>
  <c r="R559" i="36"/>
  <c r="Q559" i="36"/>
  <c r="P559" i="36"/>
  <c r="O559" i="36"/>
  <c r="N559" i="36"/>
  <c r="M559" i="36"/>
  <c r="L559" i="36"/>
  <c r="K559" i="36"/>
  <c r="J559" i="36"/>
  <c r="I559" i="36"/>
  <c r="H559" i="36"/>
  <c r="G559" i="36"/>
  <c r="F559" i="36"/>
  <c r="E559" i="36"/>
  <c r="D559" i="36"/>
  <c r="C559" i="36"/>
  <c r="B559" i="36"/>
  <c r="R558" i="36"/>
  <c r="Q558" i="36"/>
  <c r="P558" i="36"/>
  <c r="O558" i="36"/>
  <c r="N558" i="36"/>
  <c r="M558" i="36"/>
  <c r="L558" i="36"/>
  <c r="K558" i="36"/>
  <c r="J558" i="36"/>
  <c r="I558" i="36"/>
  <c r="H558" i="36"/>
  <c r="G558" i="36"/>
  <c r="F558" i="36"/>
  <c r="E558" i="36"/>
  <c r="D558" i="36"/>
  <c r="C558" i="36"/>
  <c r="B558" i="36"/>
  <c r="R557" i="36"/>
  <c r="Q557" i="36"/>
  <c r="P557" i="36"/>
  <c r="O557" i="36"/>
  <c r="N557" i="36"/>
  <c r="M557" i="36"/>
  <c r="L557" i="36"/>
  <c r="K557" i="36"/>
  <c r="J557" i="36"/>
  <c r="I557" i="36"/>
  <c r="H557" i="36"/>
  <c r="G557" i="36"/>
  <c r="F557" i="36"/>
  <c r="E557" i="36"/>
  <c r="D557" i="36"/>
  <c r="C557" i="36"/>
  <c r="B557" i="36"/>
  <c r="R556" i="36"/>
  <c r="Q556" i="36"/>
  <c r="P556" i="36"/>
  <c r="O556" i="36"/>
  <c r="N556" i="36"/>
  <c r="M556" i="36"/>
  <c r="L556" i="36"/>
  <c r="K556" i="36"/>
  <c r="J556" i="36"/>
  <c r="I556" i="36"/>
  <c r="H556" i="36"/>
  <c r="G556" i="36"/>
  <c r="F556" i="36"/>
  <c r="E556" i="36"/>
  <c r="D556" i="36"/>
  <c r="C556" i="36"/>
  <c r="B556" i="36"/>
  <c r="R555" i="36"/>
  <c r="Q555" i="36"/>
  <c r="P555" i="36"/>
  <c r="O555" i="36"/>
  <c r="N555" i="36"/>
  <c r="M555" i="36"/>
  <c r="L555" i="36"/>
  <c r="K555" i="36"/>
  <c r="J555" i="36"/>
  <c r="I555" i="36"/>
  <c r="H555" i="36"/>
  <c r="G555" i="36"/>
  <c r="F555" i="36"/>
  <c r="E555" i="36"/>
  <c r="D555" i="36"/>
  <c r="C555" i="36"/>
  <c r="B555" i="36"/>
  <c r="R554" i="36"/>
  <c r="Q554" i="36"/>
  <c r="P554" i="36"/>
  <c r="O554" i="36"/>
  <c r="N554" i="36"/>
  <c r="M554" i="36"/>
  <c r="L554" i="36"/>
  <c r="K554" i="36"/>
  <c r="J554" i="36"/>
  <c r="I554" i="36"/>
  <c r="H554" i="36"/>
  <c r="G554" i="36"/>
  <c r="F554" i="36"/>
  <c r="E554" i="36"/>
  <c r="D554" i="36"/>
  <c r="C554" i="36"/>
  <c r="B554" i="36"/>
  <c r="R553" i="36"/>
  <c r="Q553" i="36"/>
  <c r="P553" i="36"/>
  <c r="O553" i="36"/>
  <c r="N553" i="36"/>
  <c r="M553" i="36"/>
  <c r="L553" i="36"/>
  <c r="K553" i="36"/>
  <c r="J553" i="36"/>
  <c r="I553" i="36"/>
  <c r="H553" i="36"/>
  <c r="G553" i="36"/>
  <c r="F553" i="36"/>
  <c r="E553" i="36"/>
  <c r="D553" i="36"/>
  <c r="C553" i="36"/>
  <c r="B553" i="36"/>
  <c r="R552" i="36"/>
  <c r="Q552" i="36"/>
  <c r="P552" i="36"/>
  <c r="O552" i="36"/>
  <c r="N552" i="36"/>
  <c r="M552" i="36"/>
  <c r="L552" i="36"/>
  <c r="K552" i="36"/>
  <c r="J552" i="36"/>
  <c r="I552" i="36"/>
  <c r="H552" i="36"/>
  <c r="G552" i="36"/>
  <c r="F552" i="36"/>
  <c r="E552" i="36"/>
  <c r="D552" i="36"/>
  <c r="C552" i="36"/>
  <c r="B552" i="36"/>
  <c r="R551" i="36"/>
  <c r="Q551" i="36"/>
  <c r="P551" i="36"/>
  <c r="O551" i="36"/>
  <c r="N551" i="36"/>
  <c r="M551" i="36"/>
  <c r="L551" i="36"/>
  <c r="K551" i="36"/>
  <c r="J551" i="36"/>
  <c r="I551" i="36"/>
  <c r="H551" i="36"/>
  <c r="G551" i="36"/>
  <c r="F551" i="36"/>
  <c r="E551" i="36"/>
  <c r="D551" i="36"/>
  <c r="C551" i="36"/>
  <c r="B551" i="36"/>
  <c r="R550" i="36"/>
  <c r="Q550" i="36"/>
  <c r="P550" i="36"/>
  <c r="O550" i="36"/>
  <c r="N550" i="36"/>
  <c r="M550" i="36"/>
  <c r="L550" i="36"/>
  <c r="K550" i="36"/>
  <c r="J550" i="36"/>
  <c r="I550" i="36"/>
  <c r="H550" i="36"/>
  <c r="G550" i="36"/>
  <c r="F550" i="36"/>
  <c r="E550" i="36"/>
  <c r="D550" i="36"/>
  <c r="C550" i="36"/>
  <c r="B550" i="36"/>
  <c r="R549" i="36"/>
  <c r="Q549" i="36"/>
  <c r="P549" i="36"/>
  <c r="O549" i="36"/>
  <c r="N549" i="36"/>
  <c r="M549" i="36"/>
  <c r="L549" i="36"/>
  <c r="K549" i="36"/>
  <c r="J549" i="36"/>
  <c r="I549" i="36"/>
  <c r="H549" i="36"/>
  <c r="G549" i="36"/>
  <c r="F549" i="36"/>
  <c r="E549" i="36"/>
  <c r="D549" i="36"/>
  <c r="C549" i="36"/>
  <c r="B549" i="36"/>
  <c r="R548" i="36"/>
  <c r="Q548" i="36"/>
  <c r="P548" i="36"/>
  <c r="O548" i="36"/>
  <c r="N548" i="36"/>
  <c r="M548" i="36"/>
  <c r="L548" i="36"/>
  <c r="K548" i="36"/>
  <c r="J548" i="36"/>
  <c r="I548" i="36"/>
  <c r="H548" i="36"/>
  <c r="G548" i="36"/>
  <c r="F548" i="36"/>
  <c r="E548" i="36"/>
  <c r="D548" i="36"/>
  <c r="C548" i="36"/>
  <c r="B548" i="36"/>
  <c r="R547" i="36"/>
  <c r="Q547" i="36"/>
  <c r="P547" i="36"/>
  <c r="O547" i="36"/>
  <c r="N547" i="36"/>
  <c r="M547" i="36"/>
  <c r="L547" i="36"/>
  <c r="K547" i="36"/>
  <c r="J547" i="36"/>
  <c r="I547" i="36"/>
  <c r="H547" i="36"/>
  <c r="G547" i="36"/>
  <c r="F547" i="36"/>
  <c r="E547" i="36"/>
  <c r="D547" i="36"/>
  <c r="C547" i="36"/>
  <c r="B547" i="36"/>
  <c r="R546" i="36"/>
  <c r="Q546" i="36"/>
  <c r="P546" i="36"/>
  <c r="O546" i="36"/>
  <c r="N546" i="36"/>
  <c r="M546" i="36"/>
  <c r="L546" i="36"/>
  <c r="K546" i="36"/>
  <c r="J546" i="36"/>
  <c r="I546" i="36"/>
  <c r="H546" i="36"/>
  <c r="G546" i="36"/>
  <c r="F546" i="36"/>
  <c r="E546" i="36"/>
  <c r="D546" i="36"/>
  <c r="C546" i="36"/>
  <c r="B546" i="36"/>
  <c r="R545" i="36"/>
  <c r="Q545" i="36"/>
  <c r="P545" i="36"/>
  <c r="O545" i="36"/>
  <c r="N545" i="36"/>
  <c r="M545" i="36"/>
  <c r="L545" i="36"/>
  <c r="K545" i="36"/>
  <c r="J545" i="36"/>
  <c r="I545" i="36"/>
  <c r="H545" i="36"/>
  <c r="G545" i="36"/>
  <c r="F545" i="36"/>
  <c r="E545" i="36"/>
  <c r="D545" i="36"/>
  <c r="C545" i="36"/>
  <c r="B545" i="36"/>
  <c r="R544" i="36"/>
  <c r="Q544" i="36"/>
  <c r="P544" i="36"/>
  <c r="O544" i="36"/>
  <c r="N544" i="36"/>
  <c r="M544" i="36"/>
  <c r="L544" i="36"/>
  <c r="K544" i="36"/>
  <c r="J544" i="36"/>
  <c r="I544" i="36"/>
  <c r="H544" i="36"/>
  <c r="G544" i="36"/>
  <c r="F544" i="36"/>
  <c r="E544" i="36"/>
  <c r="D544" i="36"/>
  <c r="C544" i="36"/>
  <c r="B544" i="36"/>
  <c r="R543" i="36"/>
  <c r="Q543" i="36"/>
  <c r="P543" i="36"/>
  <c r="O543" i="36"/>
  <c r="N543" i="36"/>
  <c r="M543" i="36"/>
  <c r="L543" i="36"/>
  <c r="K543" i="36"/>
  <c r="J543" i="36"/>
  <c r="I543" i="36"/>
  <c r="H543" i="36"/>
  <c r="G543" i="36"/>
  <c r="F543" i="36"/>
  <c r="E543" i="36"/>
  <c r="D543" i="36"/>
  <c r="C543" i="36"/>
  <c r="B543" i="36"/>
  <c r="R542" i="36"/>
  <c r="Q542" i="36"/>
  <c r="P542" i="36"/>
  <c r="O542" i="36"/>
  <c r="N542" i="36"/>
  <c r="M542" i="36"/>
  <c r="L542" i="36"/>
  <c r="K542" i="36"/>
  <c r="J542" i="36"/>
  <c r="I542" i="36"/>
  <c r="H542" i="36"/>
  <c r="G542" i="36"/>
  <c r="F542" i="36"/>
  <c r="E542" i="36"/>
  <c r="D542" i="36"/>
  <c r="C542" i="36"/>
  <c r="B542" i="36"/>
  <c r="R541" i="36"/>
  <c r="Q541" i="36"/>
  <c r="P541" i="36"/>
  <c r="O541" i="36"/>
  <c r="N541" i="36"/>
  <c r="M541" i="36"/>
  <c r="L541" i="36"/>
  <c r="K541" i="36"/>
  <c r="J541" i="36"/>
  <c r="I541" i="36"/>
  <c r="H541" i="36"/>
  <c r="G541" i="36"/>
  <c r="F541" i="36"/>
  <c r="E541" i="36"/>
  <c r="D541" i="36"/>
  <c r="C541" i="36"/>
  <c r="B541" i="36"/>
  <c r="R540" i="36"/>
  <c r="Q540" i="36"/>
  <c r="P540" i="36"/>
  <c r="O540" i="36"/>
  <c r="N540" i="36"/>
  <c r="M540" i="36"/>
  <c r="L540" i="36"/>
  <c r="K540" i="36"/>
  <c r="J540" i="36"/>
  <c r="I540" i="36"/>
  <c r="H540" i="36"/>
  <c r="G540" i="36"/>
  <c r="F540" i="36"/>
  <c r="E540" i="36"/>
  <c r="D540" i="36"/>
  <c r="C540" i="36"/>
  <c r="B540" i="36"/>
  <c r="R539" i="36"/>
  <c r="Q539" i="36"/>
  <c r="P539" i="36"/>
  <c r="O539" i="36"/>
  <c r="N539" i="36"/>
  <c r="M539" i="36"/>
  <c r="L539" i="36"/>
  <c r="K539" i="36"/>
  <c r="J539" i="36"/>
  <c r="I539" i="36"/>
  <c r="H539" i="36"/>
  <c r="G539" i="36"/>
  <c r="F539" i="36"/>
  <c r="E539" i="36"/>
  <c r="D539" i="36"/>
  <c r="C539" i="36"/>
  <c r="B539" i="36"/>
  <c r="R538" i="36"/>
  <c r="Q538" i="36"/>
  <c r="P538" i="36"/>
  <c r="O538" i="36"/>
  <c r="N538" i="36"/>
  <c r="M538" i="36"/>
  <c r="L538" i="36"/>
  <c r="K538" i="36"/>
  <c r="J538" i="36"/>
  <c r="I538" i="36"/>
  <c r="H538" i="36"/>
  <c r="G538" i="36"/>
  <c r="F538" i="36"/>
  <c r="E538" i="36"/>
  <c r="D538" i="36"/>
  <c r="C538" i="36"/>
  <c r="B538" i="36"/>
  <c r="R537" i="36"/>
  <c r="Q537" i="36"/>
  <c r="P537" i="36"/>
  <c r="O537" i="36"/>
  <c r="N537" i="36"/>
  <c r="M537" i="36"/>
  <c r="L537" i="36"/>
  <c r="K537" i="36"/>
  <c r="J537" i="36"/>
  <c r="I537" i="36"/>
  <c r="H537" i="36"/>
  <c r="G537" i="36"/>
  <c r="F537" i="36"/>
  <c r="E537" i="36"/>
  <c r="D537" i="36"/>
  <c r="C537" i="36"/>
  <c r="B537" i="36"/>
  <c r="R536" i="36"/>
  <c r="Q536" i="36"/>
  <c r="P536" i="36"/>
  <c r="O536" i="36"/>
  <c r="N536" i="36"/>
  <c r="M536" i="36"/>
  <c r="L536" i="36"/>
  <c r="K536" i="36"/>
  <c r="J536" i="36"/>
  <c r="I536" i="36"/>
  <c r="H536" i="36"/>
  <c r="G536" i="36"/>
  <c r="F536" i="36"/>
  <c r="E536" i="36"/>
  <c r="D536" i="36"/>
  <c r="C536" i="36"/>
  <c r="B536" i="36"/>
  <c r="R535" i="36"/>
  <c r="Q535" i="36"/>
  <c r="P535" i="36"/>
  <c r="O535" i="36"/>
  <c r="N535" i="36"/>
  <c r="M535" i="36"/>
  <c r="L535" i="36"/>
  <c r="K535" i="36"/>
  <c r="J535" i="36"/>
  <c r="I535" i="36"/>
  <c r="H535" i="36"/>
  <c r="G535" i="36"/>
  <c r="F535" i="36"/>
  <c r="E535" i="36"/>
  <c r="D535" i="36"/>
  <c r="C535" i="36"/>
  <c r="B535" i="36"/>
  <c r="R534" i="36"/>
  <c r="Q534" i="36"/>
  <c r="P534" i="36"/>
  <c r="O534" i="36"/>
  <c r="N534" i="36"/>
  <c r="M534" i="36"/>
  <c r="L534" i="36"/>
  <c r="K534" i="36"/>
  <c r="J534" i="36"/>
  <c r="I534" i="36"/>
  <c r="H534" i="36"/>
  <c r="G534" i="36"/>
  <c r="F534" i="36"/>
  <c r="E534" i="36"/>
  <c r="D534" i="36"/>
  <c r="C534" i="36"/>
  <c r="B534" i="36"/>
  <c r="R533" i="36"/>
  <c r="Q533" i="36"/>
  <c r="P533" i="36"/>
  <c r="O533" i="36"/>
  <c r="N533" i="36"/>
  <c r="M533" i="36"/>
  <c r="L533" i="36"/>
  <c r="K533" i="36"/>
  <c r="J533" i="36"/>
  <c r="I533" i="36"/>
  <c r="H533" i="36"/>
  <c r="G533" i="36"/>
  <c r="F533" i="36"/>
  <c r="E533" i="36"/>
  <c r="D533" i="36"/>
  <c r="C533" i="36"/>
  <c r="B533" i="36"/>
  <c r="R532" i="36"/>
  <c r="Q532" i="36"/>
  <c r="P532" i="36"/>
  <c r="O532" i="36"/>
  <c r="N532" i="36"/>
  <c r="M532" i="36"/>
  <c r="L532" i="36"/>
  <c r="K532" i="36"/>
  <c r="J532" i="36"/>
  <c r="I532" i="36"/>
  <c r="H532" i="36"/>
  <c r="G532" i="36"/>
  <c r="F532" i="36"/>
  <c r="E532" i="36"/>
  <c r="D532" i="36"/>
  <c r="C532" i="36"/>
  <c r="B532" i="36"/>
  <c r="R531" i="36"/>
  <c r="Q531" i="36"/>
  <c r="P531" i="36"/>
  <c r="O531" i="36"/>
  <c r="N531" i="36"/>
  <c r="M531" i="36"/>
  <c r="L531" i="36"/>
  <c r="K531" i="36"/>
  <c r="J531" i="36"/>
  <c r="I531" i="36"/>
  <c r="H531" i="36"/>
  <c r="G531" i="36"/>
  <c r="F531" i="36"/>
  <c r="E531" i="36"/>
  <c r="D531" i="36"/>
  <c r="C531" i="36"/>
  <c r="B531" i="36"/>
  <c r="R530" i="36"/>
  <c r="Q530" i="36"/>
  <c r="P530" i="36"/>
  <c r="O530" i="36"/>
  <c r="N530" i="36"/>
  <c r="M530" i="36"/>
  <c r="L530" i="36"/>
  <c r="K530" i="36"/>
  <c r="J530" i="36"/>
  <c r="I530" i="36"/>
  <c r="H530" i="36"/>
  <c r="G530" i="36"/>
  <c r="F530" i="36"/>
  <c r="E530" i="36"/>
  <c r="D530" i="36"/>
  <c r="C530" i="36"/>
  <c r="B530" i="36"/>
  <c r="R529" i="36"/>
  <c r="Q529" i="36"/>
  <c r="P529" i="36"/>
  <c r="O529" i="36"/>
  <c r="N529" i="36"/>
  <c r="M529" i="36"/>
  <c r="L529" i="36"/>
  <c r="K529" i="36"/>
  <c r="J529" i="36"/>
  <c r="I529" i="36"/>
  <c r="H529" i="36"/>
  <c r="G529" i="36"/>
  <c r="F529" i="36"/>
  <c r="E529" i="36"/>
  <c r="D529" i="36"/>
  <c r="C529" i="36"/>
  <c r="B529" i="36"/>
  <c r="R528" i="36"/>
  <c r="Q528" i="36"/>
  <c r="P528" i="36"/>
  <c r="O528" i="36"/>
  <c r="N528" i="36"/>
  <c r="M528" i="36"/>
  <c r="L528" i="36"/>
  <c r="K528" i="36"/>
  <c r="J528" i="36"/>
  <c r="I528" i="36"/>
  <c r="H528" i="36"/>
  <c r="G528" i="36"/>
  <c r="F528" i="36"/>
  <c r="E528" i="36"/>
  <c r="D528" i="36"/>
  <c r="C528" i="36"/>
  <c r="B528" i="36"/>
  <c r="R527" i="36"/>
  <c r="Q527" i="36"/>
  <c r="P527" i="36"/>
  <c r="O527" i="36"/>
  <c r="N527" i="36"/>
  <c r="M527" i="36"/>
  <c r="L527" i="36"/>
  <c r="K527" i="36"/>
  <c r="J527" i="36"/>
  <c r="I527" i="36"/>
  <c r="H527" i="36"/>
  <c r="G527" i="36"/>
  <c r="F527" i="36"/>
  <c r="E527" i="36"/>
  <c r="D527" i="36"/>
  <c r="C527" i="36"/>
  <c r="B527" i="36"/>
  <c r="R526" i="36"/>
  <c r="Q526" i="36"/>
  <c r="P526" i="36"/>
  <c r="O526" i="36"/>
  <c r="N526" i="36"/>
  <c r="M526" i="36"/>
  <c r="L526" i="36"/>
  <c r="K526" i="36"/>
  <c r="J526" i="36"/>
  <c r="I526" i="36"/>
  <c r="H526" i="36"/>
  <c r="G526" i="36"/>
  <c r="F526" i="36"/>
  <c r="E526" i="36"/>
  <c r="D526" i="36"/>
  <c r="C526" i="36"/>
  <c r="B526" i="36"/>
  <c r="R525" i="36"/>
  <c r="Q525" i="36"/>
  <c r="P525" i="36"/>
  <c r="O525" i="36"/>
  <c r="N525" i="36"/>
  <c r="M525" i="36"/>
  <c r="L525" i="36"/>
  <c r="K525" i="36"/>
  <c r="J525" i="36"/>
  <c r="I525" i="36"/>
  <c r="H525" i="36"/>
  <c r="G525" i="36"/>
  <c r="F525" i="36"/>
  <c r="E525" i="36"/>
  <c r="D525" i="36"/>
  <c r="C525" i="36"/>
  <c r="B525" i="36"/>
  <c r="R524" i="36"/>
  <c r="Q524" i="36"/>
  <c r="P524" i="36"/>
  <c r="O524" i="36"/>
  <c r="N524" i="36"/>
  <c r="M524" i="36"/>
  <c r="L524" i="36"/>
  <c r="K524" i="36"/>
  <c r="J524" i="36"/>
  <c r="I524" i="36"/>
  <c r="H524" i="36"/>
  <c r="G524" i="36"/>
  <c r="F524" i="36"/>
  <c r="E524" i="36"/>
  <c r="D524" i="36"/>
  <c r="C524" i="36"/>
  <c r="B524" i="36"/>
  <c r="R523" i="36"/>
  <c r="Q523" i="36"/>
  <c r="P523" i="36"/>
  <c r="O523" i="36"/>
  <c r="N523" i="36"/>
  <c r="M523" i="36"/>
  <c r="L523" i="36"/>
  <c r="K523" i="36"/>
  <c r="J523" i="36"/>
  <c r="I523" i="36"/>
  <c r="H523" i="36"/>
  <c r="G523" i="36"/>
  <c r="F523" i="36"/>
  <c r="E523" i="36"/>
  <c r="D523" i="36"/>
  <c r="C523" i="36"/>
  <c r="B523" i="36"/>
  <c r="R522" i="36"/>
  <c r="Q522" i="36"/>
  <c r="P522" i="36"/>
  <c r="O522" i="36"/>
  <c r="N522" i="36"/>
  <c r="M522" i="36"/>
  <c r="L522" i="36"/>
  <c r="K522" i="36"/>
  <c r="J522" i="36"/>
  <c r="I522" i="36"/>
  <c r="H522" i="36"/>
  <c r="G522" i="36"/>
  <c r="F522" i="36"/>
  <c r="E522" i="36"/>
  <c r="D522" i="36"/>
  <c r="C522" i="36"/>
  <c r="B522" i="36"/>
  <c r="R521" i="36"/>
  <c r="Q521" i="36"/>
  <c r="P521" i="36"/>
  <c r="O521" i="36"/>
  <c r="N521" i="36"/>
  <c r="M521" i="36"/>
  <c r="L521" i="36"/>
  <c r="K521" i="36"/>
  <c r="J521" i="36"/>
  <c r="I521" i="36"/>
  <c r="H521" i="36"/>
  <c r="G521" i="36"/>
  <c r="F521" i="36"/>
  <c r="E521" i="36"/>
  <c r="D521" i="36"/>
  <c r="C521" i="36"/>
  <c r="B521" i="36"/>
  <c r="R520" i="36"/>
  <c r="Q520" i="36"/>
  <c r="P520" i="36"/>
  <c r="O520" i="36"/>
  <c r="N520" i="36"/>
  <c r="M520" i="36"/>
  <c r="L520" i="36"/>
  <c r="K520" i="36"/>
  <c r="J520" i="36"/>
  <c r="I520" i="36"/>
  <c r="H520" i="36"/>
  <c r="G520" i="36"/>
  <c r="F520" i="36"/>
  <c r="E520" i="36"/>
  <c r="D520" i="36"/>
  <c r="C520" i="36"/>
  <c r="B520" i="36"/>
  <c r="R519" i="36"/>
  <c r="Q519" i="36"/>
  <c r="P519" i="36"/>
  <c r="O519" i="36"/>
  <c r="N519" i="36"/>
  <c r="M519" i="36"/>
  <c r="L519" i="36"/>
  <c r="K519" i="36"/>
  <c r="J519" i="36"/>
  <c r="I519" i="36"/>
  <c r="H519" i="36"/>
  <c r="G519" i="36"/>
  <c r="F519" i="36"/>
  <c r="E519" i="36"/>
  <c r="D519" i="36"/>
  <c r="C519" i="36"/>
  <c r="B519" i="36"/>
  <c r="R518" i="36"/>
  <c r="Q518" i="36"/>
  <c r="P518" i="36"/>
  <c r="O518" i="36"/>
  <c r="N518" i="36"/>
  <c r="M518" i="36"/>
  <c r="L518" i="36"/>
  <c r="K518" i="36"/>
  <c r="J518" i="36"/>
  <c r="I518" i="36"/>
  <c r="H518" i="36"/>
  <c r="G518" i="36"/>
  <c r="F518" i="36"/>
  <c r="E518" i="36"/>
  <c r="D518" i="36"/>
  <c r="C518" i="36"/>
  <c r="B518" i="36"/>
  <c r="R517" i="36"/>
  <c r="Q517" i="36"/>
  <c r="P517" i="36"/>
  <c r="O517" i="36"/>
  <c r="N517" i="36"/>
  <c r="M517" i="36"/>
  <c r="L517" i="36"/>
  <c r="K517" i="36"/>
  <c r="J517" i="36"/>
  <c r="I517" i="36"/>
  <c r="H517" i="36"/>
  <c r="G517" i="36"/>
  <c r="F517" i="36"/>
  <c r="E517" i="36"/>
  <c r="D517" i="36"/>
  <c r="C517" i="36"/>
  <c r="B517" i="36"/>
  <c r="R516" i="36"/>
  <c r="Q516" i="36"/>
  <c r="P516" i="36"/>
  <c r="O516" i="36"/>
  <c r="N516" i="36"/>
  <c r="M516" i="36"/>
  <c r="L516" i="36"/>
  <c r="K516" i="36"/>
  <c r="J516" i="36"/>
  <c r="I516" i="36"/>
  <c r="H516" i="36"/>
  <c r="G516" i="36"/>
  <c r="F516" i="36"/>
  <c r="E516" i="36"/>
  <c r="D516" i="36"/>
  <c r="C516" i="36"/>
  <c r="B516" i="36"/>
  <c r="R515" i="36"/>
  <c r="Q515" i="36"/>
  <c r="P515" i="36"/>
  <c r="O515" i="36"/>
  <c r="N515" i="36"/>
  <c r="M515" i="36"/>
  <c r="L515" i="36"/>
  <c r="K515" i="36"/>
  <c r="J515" i="36"/>
  <c r="I515" i="36"/>
  <c r="H515" i="36"/>
  <c r="G515" i="36"/>
  <c r="F515" i="36"/>
  <c r="E515" i="36"/>
  <c r="D515" i="36"/>
  <c r="C515" i="36"/>
  <c r="B515" i="36"/>
  <c r="R514" i="36"/>
  <c r="Q514" i="36"/>
  <c r="P514" i="36"/>
  <c r="O514" i="36"/>
  <c r="N514" i="36"/>
  <c r="M514" i="36"/>
  <c r="L514" i="36"/>
  <c r="K514" i="36"/>
  <c r="J514" i="36"/>
  <c r="I514" i="36"/>
  <c r="H514" i="36"/>
  <c r="G514" i="36"/>
  <c r="F514" i="36"/>
  <c r="E514" i="36"/>
  <c r="D514" i="36"/>
  <c r="C514" i="36"/>
  <c r="B514" i="36"/>
  <c r="R513" i="36"/>
  <c r="Q513" i="36"/>
  <c r="P513" i="36"/>
  <c r="O513" i="36"/>
  <c r="N513" i="36"/>
  <c r="M513" i="36"/>
  <c r="L513" i="36"/>
  <c r="K513" i="36"/>
  <c r="J513" i="36"/>
  <c r="I513" i="36"/>
  <c r="H513" i="36"/>
  <c r="G513" i="36"/>
  <c r="F513" i="36"/>
  <c r="E513" i="36"/>
  <c r="D513" i="36"/>
  <c r="C513" i="36"/>
  <c r="B513" i="36"/>
  <c r="R512" i="36"/>
  <c r="Q512" i="36"/>
  <c r="P512" i="36"/>
  <c r="O512" i="36"/>
  <c r="N512" i="36"/>
  <c r="M512" i="36"/>
  <c r="L512" i="36"/>
  <c r="K512" i="36"/>
  <c r="J512" i="36"/>
  <c r="I512" i="36"/>
  <c r="H512" i="36"/>
  <c r="G512" i="36"/>
  <c r="F512" i="36"/>
  <c r="E512" i="36"/>
  <c r="D512" i="36"/>
  <c r="C512" i="36"/>
  <c r="B512" i="36"/>
  <c r="R511" i="36"/>
  <c r="Q511" i="36"/>
  <c r="P511" i="36"/>
  <c r="O511" i="36"/>
  <c r="N511" i="36"/>
  <c r="M511" i="36"/>
  <c r="L511" i="36"/>
  <c r="K511" i="36"/>
  <c r="J511" i="36"/>
  <c r="I511" i="36"/>
  <c r="H511" i="36"/>
  <c r="G511" i="36"/>
  <c r="F511" i="36"/>
  <c r="E511" i="36"/>
  <c r="D511" i="36"/>
  <c r="C511" i="36"/>
  <c r="B511" i="36"/>
  <c r="R510" i="36"/>
  <c r="Q510" i="36"/>
  <c r="P510" i="36"/>
  <c r="O510" i="36"/>
  <c r="N510" i="36"/>
  <c r="M510" i="36"/>
  <c r="L510" i="36"/>
  <c r="K510" i="36"/>
  <c r="J510" i="36"/>
  <c r="I510" i="36"/>
  <c r="H510" i="36"/>
  <c r="G510" i="36"/>
  <c r="F510" i="36"/>
  <c r="E510" i="36"/>
  <c r="D510" i="36"/>
  <c r="C510" i="36"/>
  <c r="B510" i="36"/>
  <c r="R509" i="36"/>
  <c r="Q509" i="36"/>
  <c r="P509" i="36"/>
  <c r="O509" i="36"/>
  <c r="N509" i="36"/>
  <c r="M509" i="36"/>
  <c r="L509" i="36"/>
  <c r="K509" i="36"/>
  <c r="J509" i="36"/>
  <c r="I509" i="36"/>
  <c r="H509" i="36"/>
  <c r="G509" i="36"/>
  <c r="F509" i="36"/>
  <c r="E509" i="36"/>
  <c r="D509" i="36"/>
  <c r="C509" i="36"/>
  <c r="B509" i="36"/>
  <c r="R508" i="36"/>
  <c r="Q508" i="36"/>
  <c r="P508" i="36"/>
  <c r="O508" i="36"/>
  <c r="N508" i="36"/>
  <c r="M508" i="36"/>
  <c r="L508" i="36"/>
  <c r="K508" i="36"/>
  <c r="J508" i="36"/>
  <c r="I508" i="36"/>
  <c r="H508" i="36"/>
  <c r="G508" i="36"/>
  <c r="F508" i="36"/>
  <c r="E508" i="36"/>
  <c r="D508" i="36"/>
  <c r="C508" i="36"/>
  <c r="B508" i="36"/>
  <c r="R507" i="36"/>
  <c r="Q507" i="36"/>
  <c r="P507" i="36"/>
  <c r="O507" i="36"/>
  <c r="N507" i="36"/>
  <c r="M507" i="36"/>
  <c r="L507" i="36"/>
  <c r="K507" i="36"/>
  <c r="J507" i="36"/>
  <c r="I507" i="36"/>
  <c r="H507" i="36"/>
  <c r="G507" i="36"/>
  <c r="F507" i="36"/>
  <c r="E507" i="36"/>
  <c r="D507" i="36"/>
  <c r="C507" i="36"/>
  <c r="B507" i="36"/>
  <c r="R506" i="36"/>
  <c r="Q506" i="36"/>
  <c r="P506" i="36"/>
  <c r="O506" i="36"/>
  <c r="N506" i="36"/>
  <c r="M506" i="36"/>
  <c r="L506" i="36"/>
  <c r="K506" i="36"/>
  <c r="J506" i="36"/>
  <c r="I506" i="36"/>
  <c r="H506" i="36"/>
  <c r="G506" i="36"/>
  <c r="F506" i="36"/>
  <c r="E506" i="36"/>
  <c r="D506" i="36"/>
  <c r="C506" i="36"/>
  <c r="B506" i="36"/>
  <c r="R505" i="36"/>
  <c r="Q505" i="36"/>
  <c r="P505" i="36"/>
  <c r="O505" i="36"/>
  <c r="N505" i="36"/>
  <c r="M505" i="36"/>
  <c r="L505" i="36"/>
  <c r="K505" i="36"/>
  <c r="J505" i="36"/>
  <c r="I505" i="36"/>
  <c r="H505" i="36"/>
  <c r="G505" i="36"/>
  <c r="F505" i="36"/>
  <c r="E505" i="36"/>
  <c r="D505" i="36"/>
  <c r="C505" i="36"/>
  <c r="B505" i="36"/>
  <c r="R504" i="36"/>
  <c r="Q504" i="36"/>
  <c r="P504" i="36"/>
  <c r="O504" i="36"/>
  <c r="N504" i="36"/>
  <c r="M504" i="36"/>
  <c r="L504" i="36"/>
  <c r="K504" i="36"/>
  <c r="J504" i="36"/>
  <c r="I504" i="36"/>
  <c r="H504" i="36"/>
  <c r="G504" i="36"/>
  <c r="F504" i="36"/>
  <c r="E504" i="36"/>
  <c r="D504" i="36"/>
  <c r="C504" i="36"/>
  <c r="B504" i="36"/>
  <c r="R503" i="36"/>
  <c r="Q503" i="36"/>
  <c r="P503" i="36"/>
  <c r="O503" i="36"/>
  <c r="N503" i="36"/>
  <c r="M503" i="36"/>
  <c r="L503" i="36"/>
  <c r="K503" i="36"/>
  <c r="J503" i="36"/>
  <c r="I503" i="36"/>
  <c r="H503" i="36"/>
  <c r="G503" i="36"/>
  <c r="F503" i="36"/>
  <c r="E503" i="36"/>
  <c r="D503" i="36"/>
  <c r="C503" i="36"/>
  <c r="B503" i="36"/>
  <c r="R502" i="36"/>
  <c r="Q502" i="36"/>
  <c r="P502" i="36"/>
  <c r="O502" i="36"/>
  <c r="N502" i="36"/>
  <c r="M502" i="36"/>
  <c r="L502" i="36"/>
  <c r="K502" i="36"/>
  <c r="J502" i="36"/>
  <c r="I502" i="36"/>
  <c r="H502" i="36"/>
  <c r="G502" i="36"/>
  <c r="F502" i="36"/>
  <c r="E502" i="36"/>
  <c r="D502" i="36"/>
  <c r="C502" i="36"/>
  <c r="B502" i="36"/>
  <c r="R501" i="36"/>
  <c r="Q501" i="36"/>
  <c r="P501" i="36"/>
  <c r="O501" i="36"/>
  <c r="N501" i="36"/>
  <c r="M501" i="36"/>
  <c r="L501" i="36"/>
  <c r="K501" i="36"/>
  <c r="J501" i="36"/>
  <c r="I501" i="36"/>
  <c r="H501" i="36"/>
  <c r="G501" i="36"/>
  <c r="F501" i="36"/>
  <c r="E501" i="36"/>
  <c r="D501" i="36"/>
  <c r="C501" i="36"/>
  <c r="B501" i="36"/>
  <c r="R500" i="36"/>
  <c r="Q500" i="36"/>
  <c r="P500" i="36"/>
  <c r="O500" i="36"/>
  <c r="N500" i="36"/>
  <c r="M500" i="36"/>
  <c r="L500" i="36"/>
  <c r="K500" i="36"/>
  <c r="J500" i="36"/>
  <c r="I500" i="36"/>
  <c r="H500" i="36"/>
  <c r="G500" i="36"/>
  <c r="F500" i="36"/>
  <c r="E500" i="36"/>
  <c r="D500" i="36"/>
  <c r="C500" i="36"/>
  <c r="B500" i="36"/>
  <c r="R499" i="36"/>
  <c r="Q499" i="36"/>
  <c r="P499" i="36"/>
  <c r="O499" i="36"/>
  <c r="N499" i="36"/>
  <c r="M499" i="36"/>
  <c r="L499" i="36"/>
  <c r="K499" i="36"/>
  <c r="J499" i="36"/>
  <c r="I499" i="36"/>
  <c r="H499" i="36"/>
  <c r="G499" i="36"/>
  <c r="F499" i="36"/>
  <c r="E499" i="36"/>
  <c r="D499" i="36"/>
  <c r="C499" i="36"/>
  <c r="B499" i="36"/>
  <c r="R498" i="36"/>
  <c r="Q498" i="36"/>
  <c r="P498" i="36"/>
  <c r="O498" i="36"/>
  <c r="N498" i="36"/>
  <c r="M498" i="36"/>
  <c r="L498" i="36"/>
  <c r="K498" i="36"/>
  <c r="J498" i="36"/>
  <c r="I498" i="36"/>
  <c r="H498" i="36"/>
  <c r="G498" i="36"/>
  <c r="F498" i="36"/>
  <c r="E498" i="36"/>
  <c r="D498" i="36"/>
  <c r="C498" i="36"/>
  <c r="B498" i="36"/>
  <c r="R497" i="36"/>
  <c r="Q497" i="36"/>
  <c r="P497" i="36"/>
  <c r="O497" i="36"/>
  <c r="N497" i="36"/>
  <c r="M497" i="36"/>
  <c r="L497" i="36"/>
  <c r="K497" i="36"/>
  <c r="J497" i="36"/>
  <c r="I497" i="36"/>
  <c r="H497" i="36"/>
  <c r="G497" i="36"/>
  <c r="F497" i="36"/>
  <c r="E497" i="36"/>
  <c r="D497" i="36"/>
  <c r="C497" i="36"/>
  <c r="B497" i="36"/>
  <c r="R496" i="36"/>
  <c r="Q496" i="36"/>
  <c r="P496" i="36"/>
  <c r="O496" i="36"/>
  <c r="N496" i="36"/>
  <c r="M496" i="36"/>
  <c r="L496" i="36"/>
  <c r="K496" i="36"/>
  <c r="J496" i="36"/>
  <c r="I496" i="36"/>
  <c r="H496" i="36"/>
  <c r="G496" i="36"/>
  <c r="F496" i="36"/>
  <c r="E496" i="36"/>
  <c r="D496" i="36"/>
  <c r="C496" i="36"/>
  <c r="B496" i="36"/>
  <c r="R495" i="36"/>
  <c r="Q495" i="36"/>
  <c r="P495" i="36"/>
  <c r="O495" i="36"/>
  <c r="N495" i="36"/>
  <c r="M495" i="36"/>
  <c r="L495" i="36"/>
  <c r="K495" i="36"/>
  <c r="J495" i="36"/>
  <c r="I495" i="36"/>
  <c r="H495" i="36"/>
  <c r="G495" i="36"/>
  <c r="F495" i="36"/>
  <c r="E495" i="36"/>
  <c r="D495" i="36"/>
  <c r="C495" i="36"/>
  <c r="B495" i="36"/>
  <c r="R494" i="36"/>
  <c r="Q494" i="36"/>
  <c r="P494" i="36"/>
  <c r="O494" i="36"/>
  <c r="N494" i="36"/>
  <c r="M494" i="36"/>
  <c r="L494" i="36"/>
  <c r="K494" i="36"/>
  <c r="J494" i="36"/>
  <c r="I494" i="36"/>
  <c r="H494" i="36"/>
  <c r="G494" i="36"/>
  <c r="F494" i="36"/>
  <c r="E494" i="36"/>
  <c r="D494" i="36"/>
  <c r="C494" i="36"/>
  <c r="B494" i="36"/>
  <c r="R493" i="36"/>
  <c r="Q493" i="36"/>
  <c r="P493" i="36"/>
  <c r="O493" i="36"/>
  <c r="N493" i="36"/>
  <c r="M493" i="36"/>
  <c r="L493" i="36"/>
  <c r="K493" i="36"/>
  <c r="J493" i="36"/>
  <c r="I493" i="36"/>
  <c r="H493" i="36"/>
  <c r="G493" i="36"/>
  <c r="F493" i="36"/>
  <c r="E493" i="36"/>
  <c r="D493" i="36"/>
  <c r="C493" i="36"/>
  <c r="B493" i="36"/>
  <c r="R492" i="36"/>
  <c r="Q492" i="36"/>
  <c r="P492" i="36"/>
  <c r="O492" i="36"/>
  <c r="N492" i="36"/>
  <c r="M492" i="36"/>
  <c r="L492" i="36"/>
  <c r="K492" i="36"/>
  <c r="J492" i="36"/>
  <c r="I492" i="36"/>
  <c r="H492" i="36"/>
  <c r="G492" i="36"/>
  <c r="F492" i="36"/>
  <c r="E492" i="36"/>
  <c r="D492" i="36"/>
  <c r="C492" i="36"/>
  <c r="B492" i="36"/>
  <c r="R491" i="36"/>
  <c r="Q491" i="36"/>
  <c r="P491" i="36"/>
  <c r="O491" i="36"/>
  <c r="N491" i="36"/>
  <c r="M491" i="36"/>
  <c r="L491" i="36"/>
  <c r="K491" i="36"/>
  <c r="J491" i="36"/>
  <c r="I491" i="36"/>
  <c r="H491" i="36"/>
  <c r="G491" i="36"/>
  <c r="F491" i="36"/>
  <c r="E491" i="36"/>
  <c r="D491" i="36"/>
  <c r="C491" i="36"/>
  <c r="B491" i="36"/>
  <c r="R490" i="36"/>
  <c r="Q490" i="36"/>
  <c r="P490" i="36"/>
  <c r="O490" i="36"/>
  <c r="N490" i="36"/>
  <c r="M490" i="36"/>
  <c r="L490" i="36"/>
  <c r="K490" i="36"/>
  <c r="J490" i="36"/>
  <c r="I490" i="36"/>
  <c r="H490" i="36"/>
  <c r="G490" i="36"/>
  <c r="F490" i="36"/>
  <c r="E490" i="36"/>
  <c r="D490" i="36"/>
  <c r="C490" i="36"/>
  <c r="B490" i="36"/>
  <c r="R489" i="36"/>
  <c r="Q489" i="36"/>
  <c r="P489" i="36"/>
  <c r="O489" i="36"/>
  <c r="N489" i="36"/>
  <c r="M489" i="36"/>
  <c r="L489" i="36"/>
  <c r="K489" i="36"/>
  <c r="J489" i="36"/>
  <c r="I489" i="36"/>
  <c r="H489" i="36"/>
  <c r="G489" i="36"/>
  <c r="F489" i="36"/>
  <c r="E489" i="36"/>
  <c r="D489" i="36"/>
  <c r="C489" i="36"/>
  <c r="B489" i="36"/>
  <c r="R488" i="36"/>
  <c r="Q488" i="36"/>
  <c r="P488" i="36"/>
  <c r="O488" i="36"/>
  <c r="N488" i="36"/>
  <c r="M488" i="36"/>
  <c r="L488" i="36"/>
  <c r="K488" i="36"/>
  <c r="J488" i="36"/>
  <c r="I488" i="36"/>
  <c r="H488" i="36"/>
  <c r="G488" i="36"/>
  <c r="F488" i="36"/>
  <c r="E488" i="36"/>
  <c r="D488" i="36"/>
  <c r="C488" i="36"/>
  <c r="B488" i="36"/>
  <c r="R487" i="36"/>
  <c r="Q487" i="36"/>
  <c r="P487" i="36"/>
  <c r="O487" i="36"/>
  <c r="N487" i="36"/>
  <c r="M487" i="36"/>
  <c r="L487" i="36"/>
  <c r="K487" i="36"/>
  <c r="J487" i="36"/>
  <c r="I487" i="36"/>
  <c r="H487" i="36"/>
  <c r="G487" i="36"/>
  <c r="F487" i="36"/>
  <c r="E487" i="36"/>
  <c r="D487" i="36"/>
  <c r="C487" i="36"/>
  <c r="B487" i="36"/>
  <c r="R486" i="36"/>
  <c r="Q486" i="36"/>
  <c r="P486" i="36"/>
  <c r="O486" i="36"/>
  <c r="N486" i="36"/>
  <c r="M486" i="36"/>
  <c r="L486" i="36"/>
  <c r="K486" i="36"/>
  <c r="J486" i="36"/>
  <c r="I486" i="36"/>
  <c r="H486" i="36"/>
  <c r="G486" i="36"/>
  <c r="F486" i="36"/>
  <c r="E486" i="36"/>
  <c r="D486" i="36"/>
  <c r="C486" i="36"/>
  <c r="B486" i="36"/>
  <c r="R485" i="36"/>
  <c r="Q485" i="36"/>
  <c r="P485" i="36"/>
  <c r="O485" i="36"/>
  <c r="N485" i="36"/>
  <c r="M485" i="36"/>
  <c r="L485" i="36"/>
  <c r="K485" i="36"/>
  <c r="J485" i="36"/>
  <c r="I485" i="36"/>
  <c r="H485" i="36"/>
  <c r="G485" i="36"/>
  <c r="F485" i="36"/>
  <c r="E485" i="36"/>
  <c r="D485" i="36"/>
  <c r="C485" i="36"/>
  <c r="B485" i="36"/>
  <c r="R484" i="36"/>
  <c r="Q484" i="36"/>
  <c r="P484" i="36"/>
  <c r="O484" i="36"/>
  <c r="N484" i="36"/>
  <c r="M484" i="36"/>
  <c r="L484" i="36"/>
  <c r="K484" i="36"/>
  <c r="J484" i="36"/>
  <c r="I484" i="36"/>
  <c r="H484" i="36"/>
  <c r="G484" i="36"/>
  <c r="F484" i="36"/>
  <c r="E484" i="36"/>
  <c r="D484" i="36"/>
  <c r="C484" i="36"/>
  <c r="B484" i="36"/>
  <c r="R483" i="36"/>
  <c r="Q483" i="36"/>
  <c r="P483" i="36"/>
  <c r="O483" i="36"/>
  <c r="N483" i="36"/>
  <c r="M483" i="36"/>
  <c r="L483" i="36"/>
  <c r="K483" i="36"/>
  <c r="J483" i="36"/>
  <c r="I483" i="36"/>
  <c r="H483" i="36"/>
  <c r="G483" i="36"/>
  <c r="F483" i="36"/>
  <c r="E483" i="36"/>
  <c r="D483" i="36"/>
  <c r="C483" i="36"/>
  <c r="B483" i="36"/>
  <c r="R482" i="36"/>
  <c r="Q482" i="36"/>
  <c r="P482" i="36"/>
  <c r="O482" i="36"/>
  <c r="N482" i="36"/>
  <c r="M482" i="36"/>
  <c r="L482" i="36"/>
  <c r="K482" i="36"/>
  <c r="J482" i="36"/>
  <c r="I482" i="36"/>
  <c r="H482" i="36"/>
  <c r="G482" i="36"/>
  <c r="F482" i="36"/>
  <c r="E482" i="36"/>
  <c r="D482" i="36"/>
  <c r="C482" i="36"/>
  <c r="B482" i="36"/>
  <c r="R481" i="36"/>
  <c r="Q481" i="36"/>
  <c r="P481" i="36"/>
  <c r="O481" i="36"/>
  <c r="N481" i="36"/>
  <c r="M481" i="36"/>
  <c r="L481" i="36"/>
  <c r="K481" i="36"/>
  <c r="J481" i="36"/>
  <c r="I481" i="36"/>
  <c r="H481" i="36"/>
  <c r="G481" i="36"/>
  <c r="F481" i="36"/>
  <c r="E481" i="36"/>
  <c r="D481" i="36"/>
  <c r="C481" i="36"/>
  <c r="B481" i="36"/>
  <c r="R480" i="36"/>
  <c r="Q480" i="36"/>
  <c r="P480" i="36"/>
  <c r="O480" i="36"/>
  <c r="N480" i="36"/>
  <c r="M480" i="36"/>
  <c r="L480" i="36"/>
  <c r="K480" i="36"/>
  <c r="J480" i="36"/>
  <c r="I480" i="36"/>
  <c r="H480" i="36"/>
  <c r="G480" i="36"/>
  <c r="F480" i="36"/>
  <c r="E480" i="36"/>
  <c r="D480" i="36"/>
  <c r="C480" i="36"/>
  <c r="B480" i="36"/>
  <c r="R479" i="36"/>
  <c r="Q479" i="36"/>
  <c r="P479" i="36"/>
  <c r="O479" i="36"/>
  <c r="N479" i="36"/>
  <c r="M479" i="36"/>
  <c r="L479" i="36"/>
  <c r="K479" i="36"/>
  <c r="J479" i="36"/>
  <c r="I479" i="36"/>
  <c r="H479" i="36"/>
  <c r="G479" i="36"/>
  <c r="F479" i="36"/>
  <c r="E479" i="36"/>
  <c r="D479" i="36"/>
  <c r="C479" i="36"/>
  <c r="B479" i="36"/>
  <c r="R478" i="36"/>
  <c r="Q478" i="36"/>
  <c r="P478" i="36"/>
  <c r="O478" i="36"/>
  <c r="N478" i="36"/>
  <c r="M478" i="36"/>
  <c r="L478" i="36"/>
  <c r="K478" i="36"/>
  <c r="J478" i="36"/>
  <c r="I478" i="36"/>
  <c r="H478" i="36"/>
  <c r="G478" i="36"/>
  <c r="F478" i="36"/>
  <c r="E478" i="36"/>
  <c r="D478" i="36"/>
  <c r="C478" i="36"/>
  <c r="B478" i="36"/>
  <c r="R477" i="36"/>
  <c r="Q477" i="36"/>
  <c r="P477" i="36"/>
  <c r="O477" i="36"/>
  <c r="N477" i="36"/>
  <c r="M477" i="36"/>
  <c r="L477" i="36"/>
  <c r="K477" i="36"/>
  <c r="J477" i="36"/>
  <c r="I477" i="36"/>
  <c r="H477" i="36"/>
  <c r="G477" i="36"/>
  <c r="F477" i="36"/>
  <c r="E477" i="36"/>
  <c r="D477" i="36"/>
  <c r="C477" i="36"/>
  <c r="B477" i="36"/>
  <c r="R476" i="36"/>
  <c r="Q476" i="36"/>
  <c r="P476" i="36"/>
  <c r="O476" i="36"/>
  <c r="N476" i="36"/>
  <c r="M476" i="36"/>
  <c r="L476" i="36"/>
  <c r="K476" i="36"/>
  <c r="J476" i="36"/>
  <c r="I476" i="36"/>
  <c r="H476" i="36"/>
  <c r="G476" i="36"/>
  <c r="F476" i="36"/>
  <c r="E476" i="36"/>
  <c r="D476" i="36"/>
  <c r="C476" i="36"/>
  <c r="B476" i="36"/>
  <c r="R475" i="36"/>
  <c r="Q475" i="36"/>
  <c r="P475" i="36"/>
  <c r="O475" i="36"/>
  <c r="N475" i="36"/>
  <c r="M475" i="36"/>
  <c r="L475" i="36"/>
  <c r="K475" i="36"/>
  <c r="J475" i="36"/>
  <c r="I475" i="36"/>
  <c r="H475" i="36"/>
  <c r="G475" i="36"/>
  <c r="F475" i="36"/>
  <c r="E475" i="36"/>
  <c r="D475" i="36"/>
  <c r="C475" i="36"/>
  <c r="B475" i="36"/>
  <c r="R474" i="36"/>
  <c r="Q474" i="36"/>
  <c r="P474" i="36"/>
  <c r="O474" i="36"/>
  <c r="N474" i="36"/>
  <c r="M474" i="36"/>
  <c r="L474" i="36"/>
  <c r="K474" i="36"/>
  <c r="J474" i="36"/>
  <c r="I474" i="36"/>
  <c r="H474" i="36"/>
  <c r="G474" i="36"/>
  <c r="F474" i="36"/>
  <c r="E474" i="36"/>
  <c r="D474" i="36"/>
  <c r="C474" i="36"/>
  <c r="B474" i="36"/>
  <c r="R473" i="36"/>
  <c r="Q473" i="36"/>
  <c r="P473" i="36"/>
  <c r="O473" i="36"/>
  <c r="N473" i="36"/>
  <c r="M473" i="36"/>
  <c r="L473" i="36"/>
  <c r="K473" i="36"/>
  <c r="J473" i="36"/>
  <c r="I473" i="36"/>
  <c r="H473" i="36"/>
  <c r="G473" i="36"/>
  <c r="F473" i="36"/>
  <c r="E473" i="36"/>
  <c r="D473" i="36"/>
  <c r="C473" i="36"/>
  <c r="B473" i="36"/>
  <c r="R472" i="36"/>
  <c r="Q472" i="36"/>
  <c r="P472" i="36"/>
  <c r="O472" i="36"/>
  <c r="N472" i="36"/>
  <c r="M472" i="36"/>
  <c r="L472" i="36"/>
  <c r="K472" i="36"/>
  <c r="J472" i="36"/>
  <c r="I472" i="36"/>
  <c r="H472" i="36"/>
  <c r="G472" i="36"/>
  <c r="F472" i="36"/>
  <c r="E472" i="36"/>
  <c r="D472" i="36"/>
  <c r="C472" i="36"/>
  <c r="B472" i="36"/>
  <c r="R471" i="36"/>
  <c r="Q471" i="36"/>
  <c r="P471" i="36"/>
  <c r="O471" i="36"/>
  <c r="N471" i="36"/>
  <c r="M471" i="36"/>
  <c r="L471" i="36"/>
  <c r="K471" i="36"/>
  <c r="J471" i="36"/>
  <c r="I471" i="36"/>
  <c r="H471" i="36"/>
  <c r="G471" i="36"/>
  <c r="F471" i="36"/>
  <c r="E471" i="36"/>
  <c r="D471" i="36"/>
  <c r="C471" i="36"/>
  <c r="B471" i="36"/>
  <c r="R470" i="36"/>
  <c r="Q470" i="36"/>
  <c r="P470" i="36"/>
  <c r="O470" i="36"/>
  <c r="N470" i="36"/>
  <c r="M470" i="36"/>
  <c r="L470" i="36"/>
  <c r="K470" i="36"/>
  <c r="J470" i="36"/>
  <c r="I470" i="36"/>
  <c r="H470" i="36"/>
  <c r="G470" i="36"/>
  <c r="F470" i="36"/>
  <c r="E470" i="36"/>
  <c r="D470" i="36"/>
  <c r="C470" i="36"/>
  <c r="B470" i="36"/>
  <c r="R469" i="36"/>
  <c r="Q469" i="36"/>
  <c r="P469" i="36"/>
  <c r="O469" i="36"/>
  <c r="N469" i="36"/>
  <c r="M469" i="36"/>
  <c r="L469" i="36"/>
  <c r="K469" i="36"/>
  <c r="J469" i="36"/>
  <c r="I469" i="36"/>
  <c r="H469" i="36"/>
  <c r="G469" i="36"/>
  <c r="F469" i="36"/>
  <c r="E469" i="36"/>
  <c r="D469" i="36"/>
  <c r="C469" i="36"/>
  <c r="B469" i="36"/>
  <c r="R468" i="36"/>
  <c r="Q468" i="36"/>
  <c r="P468" i="36"/>
  <c r="O468" i="36"/>
  <c r="N468" i="36"/>
  <c r="M468" i="36"/>
  <c r="L468" i="36"/>
  <c r="K468" i="36"/>
  <c r="J468" i="36"/>
  <c r="I468" i="36"/>
  <c r="H468" i="36"/>
  <c r="G468" i="36"/>
  <c r="F468" i="36"/>
  <c r="E468" i="36"/>
  <c r="D468" i="36"/>
  <c r="C468" i="36"/>
  <c r="B468" i="36"/>
  <c r="R467" i="36"/>
  <c r="Q467" i="36"/>
  <c r="P467" i="36"/>
  <c r="O467" i="36"/>
  <c r="N467" i="36"/>
  <c r="M467" i="36"/>
  <c r="L467" i="36"/>
  <c r="K467" i="36"/>
  <c r="J467" i="36"/>
  <c r="I467" i="36"/>
  <c r="H467" i="36"/>
  <c r="G467" i="36"/>
  <c r="F467" i="36"/>
  <c r="E467" i="36"/>
  <c r="D467" i="36"/>
  <c r="C467" i="36"/>
  <c r="B467" i="36"/>
  <c r="R466" i="36"/>
  <c r="Q466" i="36"/>
  <c r="P466" i="36"/>
  <c r="O466" i="36"/>
  <c r="N466" i="36"/>
  <c r="M466" i="36"/>
  <c r="L466" i="36"/>
  <c r="K466" i="36"/>
  <c r="J466" i="36"/>
  <c r="I466" i="36"/>
  <c r="H466" i="36"/>
  <c r="G466" i="36"/>
  <c r="F466" i="36"/>
  <c r="E466" i="36"/>
  <c r="D466" i="36"/>
  <c r="C466" i="36"/>
  <c r="B466" i="36"/>
  <c r="R465" i="36"/>
  <c r="Q465" i="36"/>
  <c r="P465" i="36"/>
  <c r="O465" i="36"/>
  <c r="N465" i="36"/>
  <c r="M465" i="36"/>
  <c r="L465" i="36"/>
  <c r="K465" i="36"/>
  <c r="J465" i="36"/>
  <c r="I465" i="36"/>
  <c r="H465" i="36"/>
  <c r="G465" i="36"/>
  <c r="F465" i="36"/>
  <c r="E465" i="36"/>
  <c r="D465" i="36"/>
  <c r="C465" i="36"/>
  <c r="B465" i="36"/>
  <c r="R464" i="36"/>
  <c r="Q464" i="36"/>
  <c r="P464" i="36"/>
  <c r="O464" i="36"/>
  <c r="N464" i="36"/>
  <c r="M464" i="36"/>
  <c r="L464" i="36"/>
  <c r="K464" i="36"/>
  <c r="J464" i="36"/>
  <c r="I464" i="36"/>
  <c r="H464" i="36"/>
  <c r="G464" i="36"/>
  <c r="F464" i="36"/>
  <c r="E464" i="36"/>
  <c r="D464" i="36"/>
  <c r="C464" i="36"/>
  <c r="B464" i="36"/>
  <c r="R463" i="36"/>
  <c r="Q463" i="36"/>
  <c r="P463" i="36"/>
  <c r="O463" i="36"/>
  <c r="N463" i="36"/>
  <c r="M463" i="36"/>
  <c r="L463" i="36"/>
  <c r="K463" i="36"/>
  <c r="J463" i="36"/>
  <c r="I463" i="36"/>
  <c r="H463" i="36"/>
  <c r="G463" i="36"/>
  <c r="F463" i="36"/>
  <c r="E463" i="36"/>
  <c r="D463" i="36"/>
  <c r="C463" i="36"/>
  <c r="B463" i="36"/>
  <c r="R462" i="36"/>
  <c r="Q462" i="36"/>
  <c r="P462" i="36"/>
  <c r="O462" i="36"/>
  <c r="N462" i="36"/>
  <c r="M462" i="36"/>
  <c r="L462" i="36"/>
  <c r="K462" i="36"/>
  <c r="J462" i="36"/>
  <c r="I462" i="36"/>
  <c r="H462" i="36"/>
  <c r="G462" i="36"/>
  <c r="F462" i="36"/>
  <c r="E462" i="36"/>
  <c r="D462" i="36"/>
  <c r="C462" i="36"/>
  <c r="B462" i="36"/>
  <c r="R461" i="36"/>
  <c r="Q461" i="36"/>
  <c r="P461" i="36"/>
  <c r="O461" i="36"/>
  <c r="N461" i="36"/>
  <c r="M461" i="36"/>
  <c r="L461" i="36"/>
  <c r="K461" i="36"/>
  <c r="J461" i="36"/>
  <c r="I461" i="36"/>
  <c r="H461" i="36"/>
  <c r="G461" i="36"/>
  <c r="F461" i="36"/>
  <c r="E461" i="36"/>
  <c r="D461" i="36"/>
  <c r="C461" i="36"/>
  <c r="B461" i="36"/>
  <c r="R460" i="36"/>
  <c r="Q460" i="36"/>
  <c r="P460" i="36"/>
  <c r="O460" i="36"/>
  <c r="N460" i="36"/>
  <c r="M460" i="36"/>
  <c r="L460" i="36"/>
  <c r="K460" i="36"/>
  <c r="J460" i="36"/>
  <c r="I460" i="36"/>
  <c r="H460" i="36"/>
  <c r="G460" i="36"/>
  <c r="F460" i="36"/>
  <c r="E460" i="36"/>
  <c r="D460" i="36"/>
  <c r="C460" i="36"/>
  <c r="B460" i="36"/>
  <c r="R459" i="36"/>
  <c r="Q459" i="36"/>
  <c r="P459" i="36"/>
  <c r="O459" i="36"/>
  <c r="N459" i="36"/>
  <c r="M459" i="36"/>
  <c r="L459" i="36"/>
  <c r="K459" i="36"/>
  <c r="J459" i="36"/>
  <c r="I459" i="36"/>
  <c r="H459" i="36"/>
  <c r="G459" i="36"/>
  <c r="F459" i="36"/>
  <c r="E459" i="36"/>
  <c r="D459" i="36"/>
  <c r="C459" i="36"/>
  <c r="B459" i="36"/>
  <c r="R458" i="36"/>
  <c r="Q458" i="36"/>
  <c r="P458" i="36"/>
  <c r="O458" i="36"/>
  <c r="N458" i="36"/>
  <c r="M458" i="36"/>
  <c r="L458" i="36"/>
  <c r="K458" i="36"/>
  <c r="J458" i="36"/>
  <c r="I458" i="36"/>
  <c r="H458" i="36"/>
  <c r="G458" i="36"/>
  <c r="F458" i="36"/>
  <c r="E458" i="36"/>
  <c r="D458" i="36"/>
  <c r="C458" i="36"/>
  <c r="B458" i="36"/>
  <c r="R457" i="36"/>
  <c r="Q457" i="36"/>
  <c r="P457" i="36"/>
  <c r="O457" i="36"/>
  <c r="N457" i="36"/>
  <c r="M457" i="36"/>
  <c r="L457" i="36"/>
  <c r="K457" i="36"/>
  <c r="J457" i="36"/>
  <c r="I457" i="36"/>
  <c r="H457" i="36"/>
  <c r="G457" i="36"/>
  <c r="F457" i="36"/>
  <c r="E457" i="36"/>
  <c r="D457" i="36"/>
  <c r="C457" i="36"/>
  <c r="B457" i="36"/>
  <c r="R456" i="36"/>
  <c r="Q456" i="36"/>
  <c r="P456" i="36"/>
  <c r="O456" i="36"/>
  <c r="N456" i="36"/>
  <c r="M456" i="36"/>
  <c r="L456" i="36"/>
  <c r="K456" i="36"/>
  <c r="J456" i="36"/>
  <c r="I456" i="36"/>
  <c r="H456" i="36"/>
  <c r="G456" i="36"/>
  <c r="F456" i="36"/>
  <c r="E456" i="36"/>
  <c r="D456" i="36"/>
  <c r="C456" i="36"/>
  <c r="B456" i="36"/>
  <c r="R455" i="36"/>
  <c r="Q455" i="36"/>
  <c r="P455" i="36"/>
  <c r="O455" i="36"/>
  <c r="N455" i="36"/>
  <c r="M455" i="36"/>
  <c r="L455" i="36"/>
  <c r="K455" i="36"/>
  <c r="J455" i="36"/>
  <c r="I455" i="36"/>
  <c r="H455" i="36"/>
  <c r="G455" i="36"/>
  <c r="F455" i="36"/>
  <c r="E455" i="36"/>
  <c r="D455" i="36"/>
  <c r="C455" i="36"/>
  <c r="B455" i="36"/>
  <c r="R454" i="36"/>
  <c r="Q454" i="36"/>
  <c r="P454" i="36"/>
  <c r="O454" i="36"/>
  <c r="N454" i="36"/>
  <c r="M454" i="36"/>
  <c r="L454" i="36"/>
  <c r="K454" i="36"/>
  <c r="J454" i="36"/>
  <c r="I454" i="36"/>
  <c r="H454" i="36"/>
  <c r="G454" i="36"/>
  <c r="F454" i="36"/>
  <c r="E454" i="36"/>
  <c r="D454" i="36"/>
  <c r="C454" i="36"/>
  <c r="B454" i="36"/>
  <c r="R453" i="36"/>
  <c r="Q453" i="36"/>
  <c r="P453" i="36"/>
  <c r="O453" i="36"/>
  <c r="N453" i="36"/>
  <c r="M453" i="36"/>
  <c r="L453" i="36"/>
  <c r="K453" i="36"/>
  <c r="J453" i="36"/>
  <c r="I453" i="36"/>
  <c r="H453" i="36"/>
  <c r="G453" i="36"/>
  <c r="F453" i="36"/>
  <c r="E453" i="36"/>
  <c r="D453" i="36"/>
  <c r="C453" i="36"/>
  <c r="B453" i="36"/>
  <c r="R452" i="36"/>
  <c r="Q452" i="36"/>
  <c r="P452" i="36"/>
  <c r="O452" i="36"/>
  <c r="N452" i="36"/>
  <c r="M452" i="36"/>
  <c r="L452" i="36"/>
  <c r="K452" i="36"/>
  <c r="J452" i="36"/>
  <c r="I452" i="36"/>
  <c r="H452" i="36"/>
  <c r="G452" i="36"/>
  <c r="F452" i="36"/>
  <c r="E452" i="36"/>
  <c r="D452" i="36"/>
  <c r="C452" i="36"/>
  <c r="B452" i="36"/>
  <c r="R451" i="36"/>
  <c r="Q451" i="36"/>
  <c r="P451" i="36"/>
  <c r="O451" i="36"/>
  <c r="N451" i="36"/>
  <c r="M451" i="36"/>
  <c r="L451" i="36"/>
  <c r="K451" i="36"/>
  <c r="J451" i="36"/>
  <c r="I451" i="36"/>
  <c r="H451" i="36"/>
  <c r="G451" i="36"/>
  <c r="F451" i="36"/>
  <c r="E451" i="36"/>
  <c r="D451" i="36"/>
  <c r="C451" i="36"/>
  <c r="B451" i="36"/>
  <c r="R450" i="36"/>
  <c r="Q450" i="36"/>
  <c r="P450" i="36"/>
  <c r="O450" i="36"/>
  <c r="N450" i="36"/>
  <c r="M450" i="36"/>
  <c r="L450" i="36"/>
  <c r="K450" i="36"/>
  <c r="J450" i="36"/>
  <c r="I450" i="36"/>
  <c r="H450" i="36"/>
  <c r="G450" i="36"/>
  <c r="F450" i="36"/>
  <c r="E450" i="36"/>
  <c r="D450" i="36"/>
  <c r="C450" i="36"/>
  <c r="B450" i="36"/>
  <c r="R449" i="36"/>
  <c r="Q449" i="36"/>
  <c r="P449" i="36"/>
  <c r="O449" i="36"/>
  <c r="N449" i="36"/>
  <c r="M449" i="36"/>
  <c r="L449" i="36"/>
  <c r="K449" i="36"/>
  <c r="J449" i="36"/>
  <c r="I449" i="36"/>
  <c r="H449" i="36"/>
  <c r="G449" i="36"/>
  <c r="F449" i="36"/>
  <c r="E449" i="36"/>
  <c r="D449" i="36"/>
  <c r="C449" i="36"/>
  <c r="B449" i="36"/>
  <c r="R448" i="36"/>
  <c r="Q448" i="36"/>
  <c r="P448" i="36"/>
  <c r="O448" i="36"/>
  <c r="N448" i="36"/>
  <c r="M448" i="36"/>
  <c r="L448" i="36"/>
  <c r="K448" i="36"/>
  <c r="J448" i="36"/>
  <c r="I448" i="36"/>
  <c r="H448" i="36"/>
  <c r="G448" i="36"/>
  <c r="F448" i="36"/>
  <c r="E448" i="36"/>
  <c r="D448" i="36"/>
  <c r="C448" i="36"/>
  <c r="B448" i="36"/>
  <c r="R447" i="36"/>
  <c r="Q447" i="36"/>
  <c r="P447" i="36"/>
  <c r="O447" i="36"/>
  <c r="N447" i="36"/>
  <c r="M447" i="36"/>
  <c r="L447" i="36"/>
  <c r="K447" i="36"/>
  <c r="J447" i="36"/>
  <c r="I447" i="36"/>
  <c r="H447" i="36"/>
  <c r="G447" i="36"/>
  <c r="F447" i="36"/>
  <c r="E447" i="36"/>
  <c r="D447" i="36"/>
  <c r="C447" i="36"/>
  <c r="B447" i="36"/>
  <c r="R446" i="36"/>
  <c r="Q446" i="36"/>
  <c r="P446" i="36"/>
  <c r="O446" i="36"/>
  <c r="N446" i="36"/>
  <c r="M446" i="36"/>
  <c r="L446" i="36"/>
  <c r="K446" i="36"/>
  <c r="J446" i="36"/>
  <c r="I446" i="36"/>
  <c r="H446" i="36"/>
  <c r="G446" i="36"/>
  <c r="F446" i="36"/>
  <c r="E446" i="36"/>
  <c r="D446" i="36"/>
  <c r="C446" i="36"/>
  <c r="B446" i="36"/>
  <c r="R445" i="36"/>
  <c r="Q445" i="36"/>
  <c r="P445" i="36"/>
  <c r="O445" i="36"/>
  <c r="N445" i="36"/>
  <c r="M445" i="36"/>
  <c r="L445" i="36"/>
  <c r="K445" i="36"/>
  <c r="J445" i="36"/>
  <c r="I445" i="36"/>
  <c r="H445" i="36"/>
  <c r="G445" i="36"/>
  <c r="F445" i="36"/>
  <c r="E445" i="36"/>
  <c r="D445" i="36"/>
  <c r="C445" i="36"/>
  <c r="B445" i="36"/>
  <c r="R444" i="36"/>
  <c r="Q444" i="36"/>
  <c r="P444" i="36"/>
  <c r="O444" i="36"/>
  <c r="N444" i="36"/>
  <c r="M444" i="36"/>
  <c r="L444" i="36"/>
  <c r="K444" i="36"/>
  <c r="J444" i="36"/>
  <c r="I444" i="36"/>
  <c r="H444" i="36"/>
  <c r="G444" i="36"/>
  <c r="F444" i="36"/>
  <c r="E444" i="36"/>
  <c r="D444" i="36"/>
  <c r="C444" i="36"/>
  <c r="B444" i="36"/>
  <c r="R443" i="36"/>
  <c r="Q443" i="36"/>
  <c r="P443" i="36"/>
  <c r="O443" i="36"/>
  <c r="N443" i="36"/>
  <c r="M443" i="36"/>
  <c r="L443" i="36"/>
  <c r="K443" i="36"/>
  <c r="J443" i="36"/>
  <c r="I443" i="36"/>
  <c r="H443" i="36"/>
  <c r="G443" i="36"/>
  <c r="F443" i="36"/>
  <c r="E443" i="36"/>
  <c r="D443" i="36"/>
  <c r="C443" i="36"/>
  <c r="B443" i="36"/>
  <c r="R442" i="36"/>
  <c r="Q442" i="36"/>
  <c r="P442" i="36"/>
  <c r="O442" i="36"/>
  <c r="N442" i="36"/>
  <c r="M442" i="36"/>
  <c r="L442" i="36"/>
  <c r="K442" i="36"/>
  <c r="J442" i="36"/>
  <c r="I442" i="36"/>
  <c r="H442" i="36"/>
  <c r="G442" i="36"/>
  <c r="F442" i="36"/>
  <c r="E442" i="36"/>
  <c r="D442" i="36"/>
  <c r="C442" i="36"/>
  <c r="B442" i="36"/>
  <c r="R441" i="36"/>
  <c r="Q441" i="36"/>
  <c r="P441" i="36"/>
  <c r="O441" i="36"/>
  <c r="N441" i="36"/>
  <c r="M441" i="36"/>
  <c r="L441" i="36"/>
  <c r="K441" i="36"/>
  <c r="J441" i="36"/>
  <c r="I441" i="36"/>
  <c r="H441" i="36"/>
  <c r="G441" i="36"/>
  <c r="F441" i="36"/>
  <c r="E441" i="36"/>
  <c r="D441" i="36"/>
  <c r="C441" i="36"/>
  <c r="B441" i="36"/>
  <c r="R440" i="36"/>
  <c r="Q440" i="36"/>
  <c r="P440" i="36"/>
  <c r="O440" i="36"/>
  <c r="N440" i="36"/>
  <c r="M440" i="36"/>
  <c r="L440" i="36"/>
  <c r="K440" i="36"/>
  <c r="J440" i="36"/>
  <c r="I440" i="36"/>
  <c r="H440" i="36"/>
  <c r="G440" i="36"/>
  <c r="F440" i="36"/>
  <c r="E440" i="36"/>
  <c r="D440" i="36"/>
  <c r="C440" i="36"/>
  <c r="B440" i="36"/>
  <c r="R439" i="36"/>
  <c r="Q439" i="36"/>
  <c r="P439" i="36"/>
  <c r="O439" i="36"/>
  <c r="N439" i="36"/>
  <c r="M439" i="36"/>
  <c r="L439" i="36"/>
  <c r="K439" i="36"/>
  <c r="J439" i="36"/>
  <c r="I439" i="36"/>
  <c r="H439" i="36"/>
  <c r="G439" i="36"/>
  <c r="F439" i="36"/>
  <c r="E439" i="36"/>
  <c r="D439" i="36"/>
  <c r="C439" i="36"/>
  <c r="B439" i="36"/>
  <c r="R438" i="36"/>
  <c r="Q438" i="36"/>
  <c r="P438" i="36"/>
  <c r="O438" i="36"/>
  <c r="N438" i="36"/>
  <c r="M438" i="36"/>
  <c r="L438" i="36"/>
  <c r="K438" i="36"/>
  <c r="J438" i="36"/>
  <c r="I438" i="36"/>
  <c r="H438" i="36"/>
  <c r="G438" i="36"/>
  <c r="F438" i="36"/>
  <c r="E438" i="36"/>
  <c r="D438" i="36"/>
  <c r="C438" i="36"/>
  <c r="B438" i="36"/>
  <c r="R437" i="36"/>
  <c r="Q437" i="36"/>
  <c r="P437" i="36"/>
  <c r="O437" i="36"/>
  <c r="N437" i="36"/>
  <c r="M437" i="36"/>
  <c r="L437" i="36"/>
  <c r="K437" i="36"/>
  <c r="J437" i="36"/>
  <c r="I437" i="36"/>
  <c r="H437" i="36"/>
  <c r="G437" i="36"/>
  <c r="F437" i="36"/>
  <c r="E437" i="36"/>
  <c r="D437" i="36"/>
  <c r="C437" i="36"/>
  <c r="B437" i="36"/>
  <c r="R436" i="36"/>
  <c r="Q436" i="36"/>
  <c r="P436" i="36"/>
  <c r="O436" i="36"/>
  <c r="N436" i="36"/>
  <c r="M436" i="36"/>
  <c r="L436" i="36"/>
  <c r="K436" i="36"/>
  <c r="J436" i="36"/>
  <c r="I436" i="36"/>
  <c r="H436" i="36"/>
  <c r="G436" i="36"/>
  <c r="F436" i="36"/>
  <c r="E436" i="36"/>
  <c r="D436" i="36"/>
  <c r="C436" i="36"/>
  <c r="B436" i="36"/>
  <c r="R435" i="36"/>
  <c r="Q435" i="36"/>
  <c r="P435" i="36"/>
  <c r="O435" i="36"/>
  <c r="N435" i="36"/>
  <c r="M435" i="36"/>
  <c r="L435" i="36"/>
  <c r="K435" i="36"/>
  <c r="J435" i="36"/>
  <c r="I435" i="36"/>
  <c r="H435" i="36"/>
  <c r="G435" i="36"/>
  <c r="F435" i="36"/>
  <c r="E435" i="36"/>
  <c r="D435" i="36"/>
  <c r="C435" i="36"/>
  <c r="B435" i="36"/>
  <c r="R434" i="36"/>
  <c r="Q434" i="36"/>
  <c r="P434" i="36"/>
  <c r="O434" i="36"/>
  <c r="N434" i="36"/>
  <c r="M434" i="36"/>
  <c r="L434" i="36"/>
  <c r="K434" i="36"/>
  <c r="J434" i="36"/>
  <c r="I434" i="36"/>
  <c r="H434" i="36"/>
  <c r="G434" i="36"/>
  <c r="F434" i="36"/>
  <c r="E434" i="36"/>
  <c r="D434" i="36"/>
  <c r="C434" i="36"/>
  <c r="B434" i="36"/>
  <c r="R433" i="36"/>
  <c r="Q433" i="36"/>
  <c r="P433" i="36"/>
  <c r="O433" i="36"/>
  <c r="N433" i="36"/>
  <c r="M433" i="36"/>
  <c r="L433" i="36"/>
  <c r="K433" i="36"/>
  <c r="J433" i="36"/>
  <c r="I433" i="36"/>
  <c r="H433" i="36"/>
  <c r="G433" i="36"/>
  <c r="F433" i="36"/>
  <c r="E433" i="36"/>
  <c r="D433" i="36"/>
  <c r="C433" i="36"/>
  <c r="B433" i="36"/>
  <c r="R432" i="36"/>
  <c r="Q432" i="36"/>
  <c r="P432" i="36"/>
  <c r="O432" i="36"/>
  <c r="N432" i="36"/>
  <c r="M432" i="36"/>
  <c r="L432" i="36"/>
  <c r="K432" i="36"/>
  <c r="J432" i="36"/>
  <c r="I432" i="36"/>
  <c r="H432" i="36"/>
  <c r="G432" i="36"/>
  <c r="F432" i="36"/>
  <c r="E432" i="36"/>
  <c r="D432" i="36"/>
  <c r="C432" i="36"/>
  <c r="B432" i="36"/>
  <c r="R431" i="36"/>
  <c r="Q431" i="36"/>
  <c r="P431" i="36"/>
  <c r="O431" i="36"/>
  <c r="N431" i="36"/>
  <c r="M431" i="36"/>
  <c r="L431" i="36"/>
  <c r="K431" i="36"/>
  <c r="J431" i="36"/>
  <c r="I431" i="36"/>
  <c r="H431" i="36"/>
  <c r="G431" i="36"/>
  <c r="F431" i="36"/>
  <c r="E431" i="36"/>
  <c r="D431" i="36"/>
  <c r="C431" i="36"/>
  <c r="B431" i="36"/>
  <c r="R430" i="36"/>
  <c r="Q430" i="36"/>
  <c r="P430" i="36"/>
  <c r="O430" i="36"/>
  <c r="N430" i="36"/>
  <c r="M430" i="36"/>
  <c r="L430" i="36"/>
  <c r="K430" i="36"/>
  <c r="J430" i="36"/>
  <c r="I430" i="36"/>
  <c r="H430" i="36"/>
  <c r="G430" i="36"/>
  <c r="F430" i="36"/>
  <c r="E430" i="36"/>
  <c r="D430" i="36"/>
  <c r="C430" i="36"/>
  <c r="B430" i="36"/>
  <c r="R429" i="36"/>
  <c r="Q429" i="36"/>
  <c r="P429" i="36"/>
  <c r="O429" i="36"/>
  <c r="N429" i="36"/>
  <c r="M429" i="36"/>
  <c r="L429" i="36"/>
  <c r="K429" i="36"/>
  <c r="J429" i="36"/>
  <c r="I429" i="36"/>
  <c r="H429" i="36"/>
  <c r="G429" i="36"/>
  <c r="F429" i="36"/>
  <c r="E429" i="36"/>
  <c r="D429" i="36"/>
  <c r="C429" i="36"/>
  <c r="B429" i="36"/>
  <c r="R428" i="36"/>
  <c r="Q428" i="36"/>
  <c r="P428" i="36"/>
  <c r="O428" i="36"/>
  <c r="N428" i="36"/>
  <c r="M428" i="36"/>
  <c r="L428" i="36"/>
  <c r="K428" i="36"/>
  <c r="J428" i="36"/>
  <c r="I428" i="36"/>
  <c r="H428" i="36"/>
  <c r="G428" i="36"/>
  <c r="F428" i="36"/>
  <c r="E428" i="36"/>
  <c r="D428" i="36"/>
  <c r="C428" i="36"/>
  <c r="B428" i="36"/>
  <c r="R427" i="36"/>
  <c r="Q427" i="36"/>
  <c r="P427" i="36"/>
  <c r="O427" i="36"/>
  <c r="N427" i="36"/>
  <c r="M427" i="36"/>
  <c r="L427" i="36"/>
  <c r="K427" i="36"/>
  <c r="J427" i="36"/>
  <c r="I427" i="36"/>
  <c r="H427" i="36"/>
  <c r="G427" i="36"/>
  <c r="F427" i="36"/>
  <c r="E427" i="36"/>
  <c r="D427" i="36"/>
  <c r="C427" i="36"/>
  <c r="B427" i="36"/>
  <c r="R426" i="36"/>
  <c r="Q426" i="36"/>
  <c r="P426" i="36"/>
  <c r="O426" i="36"/>
  <c r="N426" i="36"/>
  <c r="M426" i="36"/>
  <c r="L426" i="36"/>
  <c r="K426" i="36"/>
  <c r="J426" i="36"/>
  <c r="I426" i="36"/>
  <c r="H426" i="36"/>
  <c r="G426" i="36"/>
  <c r="F426" i="36"/>
  <c r="E426" i="36"/>
  <c r="D426" i="36"/>
  <c r="C426" i="36"/>
  <c r="B426" i="36"/>
  <c r="R425" i="36"/>
  <c r="Q425" i="36"/>
  <c r="P425" i="36"/>
  <c r="O425" i="36"/>
  <c r="N425" i="36"/>
  <c r="M425" i="36"/>
  <c r="L425" i="36"/>
  <c r="K425" i="36"/>
  <c r="J425" i="36"/>
  <c r="I425" i="36"/>
  <c r="H425" i="36"/>
  <c r="G425" i="36"/>
  <c r="F425" i="36"/>
  <c r="E425" i="36"/>
  <c r="D425" i="36"/>
  <c r="C425" i="36"/>
  <c r="B425" i="36"/>
  <c r="R424" i="36"/>
  <c r="Q424" i="36"/>
  <c r="P424" i="36"/>
  <c r="O424" i="36"/>
  <c r="N424" i="36"/>
  <c r="M424" i="36"/>
  <c r="L424" i="36"/>
  <c r="K424" i="36"/>
  <c r="J424" i="36"/>
  <c r="I424" i="36"/>
  <c r="H424" i="36"/>
  <c r="G424" i="36"/>
  <c r="F424" i="36"/>
  <c r="E424" i="36"/>
  <c r="D424" i="36"/>
  <c r="C424" i="36"/>
  <c r="B424" i="36"/>
  <c r="R423" i="36"/>
  <c r="Q423" i="36"/>
  <c r="P423" i="36"/>
  <c r="O423" i="36"/>
  <c r="N423" i="36"/>
  <c r="M423" i="36"/>
  <c r="L423" i="36"/>
  <c r="K423" i="36"/>
  <c r="J423" i="36"/>
  <c r="I423" i="36"/>
  <c r="H423" i="36"/>
  <c r="G423" i="36"/>
  <c r="F423" i="36"/>
  <c r="E423" i="36"/>
  <c r="D423" i="36"/>
  <c r="C423" i="36"/>
  <c r="B423" i="36"/>
  <c r="R422" i="36"/>
  <c r="Q422" i="36"/>
  <c r="P422" i="36"/>
  <c r="O422" i="36"/>
  <c r="N422" i="36"/>
  <c r="M422" i="36"/>
  <c r="L422" i="36"/>
  <c r="K422" i="36"/>
  <c r="J422" i="36"/>
  <c r="I422" i="36"/>
  <c r="H422" i="36"/>
  <c r="G422" i="36"/>
  <c r="F422" i="36"/>
  <c r="E422" i="36"/>
  <c r="D422" i="36"/>
  <c r="C422" i="36"/>
  <c r="B422" i="36"/>
  <c r="R421" i="36"/>
  <c r="Q421" i="36"/>
  <c r="P421" i="36"/>
  <c r="O421" i="36"/>
  <c r="N421" i="36"/>
  <c r="M421" i="36"/>
  <c r="L421" i="36"/>
  <c r="K421" i="36"/>
  <c r="J421" i="36"/>
  <c r="I421" i="36"/>
  <c r="H421" i="36"/>
  <c r="G421" i="36"/>
  <c r="F421" i="36"/>
  <c r="E421" i="36"/>
  <c r="D421" i="36"/>
  <c r="C421" i="36"/>
  <c r="B421" i="36"/>
  <c r="R420" i="36"/>
  <c r="Q420" i="36"/>
  <c r="P420" i="36"/>
  <c r="O420" i="36"/>
  <c r="N420" i="36"/>
  <c r="M420" i="36"/>
  <c r="L420" i="36"/>
  <c r="K420" i="36"/>
  <c r="J420" i="36"/>
  <c r="I420" i="36"/>
  <c r="H420" i="36"/>
  <c r="G420" i="36"/>
  <c r="F420" i="36"/>
  <c r="E420" i="36"/>
  <c r="D420" i="36"/>
  <c r="C420" i="36"/>
  <c r="B420" i="36"/>
  <c r="R419" i="36"/>
  <c r="Q419" i="36"/>
  <c r="P419" i="36"/>
  <c r="O419" i="36"/>
  <c r="N419" i="36"/>
  <c r="M419" i="36"/>
  <c r="L419" i="36"/>
  <c r="K419" i="36"/>
  <c r="J419" i="36"/>
  <c r="I419" i="36"/>
  <c r="H419" i="36"/>
  <c r="G419" i="36"/>
  <c r="F419" i="36"/>
  <c r="E419" i="36"/>
  <c r="D419" i="36"/>
  <c r="C419" i="36"/>
  <c r="B419" i="36"/>
  <c r="R418" i="36"/>
  <c r="Q418" i="36"/>
  <c r="P418" i="36"/>
  <c r="O418" i="36"/>
  <c r="N418" i="36"/>
  <c r="M418" i="36"/>
  <c r="L418" i="36"/>
  <c r="K418" i="36"/>
  <c r="J418" i="36"/>
  <c r="I418" i="36"/>
  <c r="H418" i="36"/>
  <c r="G418" i="36"/>
  <c r="F418" i="36"/>
  <c r="E418" i="36"/>
  <c r="D418" i="36"/>
  <c r="C418" i="36"/>
  <c r="B418" i="36"/>
  <c r="R417" i="36"/>
  <c r="Q417" i="36"/>
  <c r="P417" i="36"/>
  <c r="O417" i="36"/>
  <c r="N417" i="36"/>
  <c r="M417" i="36"/>
  <c r="L417" i="36"/>
  <c r="K417" i="36"/>
  <c r="J417" i="36"/>
  <c r="I417" i="36"/>
  <c r="H417" i="36"/>
  <c r="G417" i="36"/>
  <c r="F417" i="36"/>
  <c r="E417" i="36"/>
  <c r="D417" i="36"/>
  <c r="C417" i="36"/>
  <c r="B417" i="36"/>
  <c r="R416" i="36"/>
  <c r="Q416" i="36"/>
  <c r="P416" i="36"/>
  <c r="O416" i="36"/>
  <c r="N416" i="36"/>
  <c r="M416" i="36"/>
  <c r="L416" i="36"/>
  <c r="K416" i="36"/>
  <c r="J416" i="36"/>
  <c r="I416" i="36"/>
  <c r="H416" i="36"/>
  <c r="G416" i="36"/>
  <c r="F416" i="36"/>
  <c r="E416" i="36"/>
  <c r="D416" i="36"/>
  <c r="C416" i="36"/>
  <c r="B416" i="36"/>
  <c r="R415" i="36"/>
  <c r="Q415" i="36"/>
  <c r="P415" i="36"/>
  <c r="O415" i="36"/>
  <c r="N415" i="36"/>
  <c r="M415" i="36"/>
  <c r="L415" i="36"/>
  <c r="K415" i="36"/>
  <c r="J415" i="36"/>
  <c r="I415" i="36"/>
  <c r="H415" i="36"/>
  <c r="G415" i="36"/>
  <c r="F415" i="36"/>
  <c r="E415" i="36"/>
  <c r="D415" i="36"/>
  <c r="C415" i="36"/>
  <c r="B415" i="36"/>
  <c r="R414" i="36"/>
  <c r="Q414" i="36"/>
  <c r="P414" i="36"/>
  <c r="O414" i="36"/>
  <c r="N414" i="36"/>
  <c r="M414" i="36"/>
  <c r="L414" i="36"/>
  <c r="K414" i="36"/>
  <c r="J414" i="36"/>
  <c r="I414" i="36"/>
  <c r="H414" i="36"/>
  <c r="G414" i="36"/>
  <c r="F414" i="36"/>
  <c r="E414" i="36"/>
  <c r="D414" i="36"/>
  <c r="C414" i="36"/>
  <c r="B414" i="36"/>
  <c r="R413" i="36"/>
  <c r="Q413" i="36"/>
  <c r="P413" i="36"/>
  <c r="O413" i="36"/>
  <c r="N413" i="36"/>
  <c r="M413" i="36"/>
  <c r="L413" i="36"/>
  <c r="K413" i="36"/>
  <c r="J413" i="36"/>
  <c r="I413" i="36"/>
  <c r="H413" i="36"/>
  <c r="G413" i="36"/>
  <c r="F413" i="36"/>
  <c r="E413" i="36"/>
  <c r="D413" i="36"/>
  <c r="C413" i="36"/>
  <c r="B413" i="36"/>
  <c r="R412" i="36"/>
  <c r="Q412" i="36"/>
  <c r="P412" i="36"/>
  <c r="O412" i="36"/>
  <c r="N412" i="36"/>
  <c r="M412" i="36"/>
  <c r="L412" i="36"/>
  <c r="K412" i="36"/>
  <c r="J412" i="36"/>
  <c r="I412" i="36"/>
  <c r="H412" i="36"/>
  <c r="G412" i="36"/>
  <c r="F412" i="36"/>
  <c r="E412" i="36"/>
  <c r="D412" i="36"/>
  <c r="C412" i="36"/>
  <c r="B412" i="36"/>
  <c r="R411" i="36"/>
  <c r="Q411" i="36"/>
  <c r="P411" i="36"/>
  <c r="O411" i="36"/>
  <c r="N411" i="36"/>
  <c r="M411" i="36"/>
  <c r="L411" i="36"/>
  <c r="K411" i="36"/>
  <c r="J411" i="36"/>
  <c r="I411" i="36"/>
  <c r="H411" i="36"/>
  <c r="G411" i="36"/>
  <c r="F411" i="36"/>
  <c r="E411" i="36"/>
  <c r="D411" i="36"/>
  <c r="C411" i="36"/>
  <c r="B411" i="36"/>
  <c r="R410" i="36"/>
  <c r="Q410" i="36"/>
  <c r="P410" i="36"/>
  <c r="O410" i="36"/>
  <c r="N410" i="36"/>
  <c r="M410" i="36"/>
  <c r="L410" i="36"/>
  <c r="K410" i="36"/>
  <c r="J410" i="36"/>
  <c r="I410" i="36"/>
  <c r="H410" i="36"/>
  <c r="G410" i="36"/>
  <c r="F410" i="36"/>
  <c r="E410" i="36"/>
  <c r="D410" i="36"/>
  <c r="C410" i="36"/>
  <c r="B410" i="36"/>
  <c r="R409" i="36"/>
  <c r="Q409" i="36"/>
  <c r="P409" i="36"/>
  <c r="O409" i="36"/>
  <c r="N409" i="36"/>
  <c r="M409" i="36"/>
  <c r="L409" i="36"/>
  <c r="K409" i="36"/>
  <c r="J409" i="36"/>
  <c r="I409" i="36"/>
  <c r="H409" i="36"/>
  <c r="G409" i="36"/>
  <c r="F409" i="36"/>
  <c r="E409" i="36"/>
  <c r="D409" i="36"/>
  <c r="C409" i="36"/>
  <c r="B409" i="36"/>
  <c r="R408" i="36"/>
  <c r="Q408" i="36"/>
  <c r="P408" i="36"/>
  <c r="O408" i="36"/>
  <c r="N408" i="36"/>
  <c r="M408" i="36"/>
  <c r="L408" i="36"/>
  <c r="K408" i="36"/>
  <c r="J408" i="36"/>
  <c r="I408" i="36"/>
  <c r="H408" i="36"/>
  <c r="G408" i="36"/>
  <c r="F408" i="36"/>
  <c r="E408" i="36"/>
  <c r="D408" i="36"/>
  <c r="C408" i="36"/>
  <c r="B408" i="36"/>
  <c r="R407" i="36"/>
  <c r="Q407" i="36"/>
  <c r="P407" i="36"/>
  <c r="O407" i="36"/>
  <c r="N407" i="36"/>
  <c r="M407" i="36"/>
  <c r="L407" i="36"/>
  <c r="K407" i="36"/>
  <c r="J407" i="36"/>
  <c r="I407" i="36"/>
  <c r="H407" i="36"/>
  <c r="G407" i="36"/>
  <c r="F407" i="36"/>
  <c r="E407" i="36"/>
  <c r="D407" i="36"/>
  <c r="C407" i="36"/>
  <c r="B407" i="36"/>
  <c r="R406" i="36"/>
  <c r="Q406" i="36"/>
  <c r="P406" i="36"/>
  <c r="O406" i="36"/>
  <c r="N406" i="36"/>
  <c r="M406" i="36"/>
  <c r="L406" i="36"/>
  <c r="K406" i="36"/>
  <c r="J406" i="36"/>
  <c r="I406" i="36"/>
  <c r="H406" i="36"/>
  <c r="G406" i="36"/>
  <c r="F406" i="36"/>
  <c r="E406" i="36"/>
  <c r="D406" i="36"/>
  <c r="C406" i="36"/>
  <c r="B406" i="36"/>
  <c r="R405" i="36"/>
  <c r="Q405" i="36"/>
  <c r="P405" i="36"/>
  <c r="O405" i="36"/>
  <c r="N405" i="36"/>
  <c r="M405" i="36"/>
  <c r="L405" i="36"/>
  <c r="K405" i="36"/>
  <c r="J405" i="36"/>
  <c r="I405" i="36"/>
  <c r="H405" i="36"/>
  <c r="G405" i="36"/>
  <c r="F405" i="36"/>
  <c r="E405" i="36"/>
  <c r="D405" i="36"/>
  <c r="C405" i="36"/>
  <c r="B405" i="36"/>
  <c r="R404" i="36"/>
  <c r="Q404" i="36"/>
  <c r="P404" i="36"/>
  <c r="O404" i="36"/>
  <c r="N404" i="36"/>
  <c r="M404" i="36"/>
  <c r="L404" i="36"/>
  <c r="K404" i="36"/>
  <c r="J404" i="36"/>
  <c r="I404" i="36"/>
  <c r="H404" i="36"/>
  <c r="G404" i="36"/>
  <c r="F404" i="36"/>
  <c r="E404" i="36"/>
  <c r="D404" i="36"/>
  <c r="C404" i="36"/>
  <c r="B404" i="36"/>
  <c r="R403" i="36"/>
  <c r="Q403" i="36"/>
  <c r="P403" i="36"/>
  <c r="O403" i="36"/>
  <c r="N403" i="36"/>
  <c r="M403" i="36"/>
  <c r="L403" i="36"/>
  <c r="K403" i="36"/>
  <c r="J403" i="36"/>
  <c r="I403" i="36"/>
  <c r="H403" i="36"/>
  <c r="G403" i="36"/>
  <c r="F403" i="36"/>
  <c r="E403" i="36"/>
  <c r="D403" i="36"/>
  <c r="C403" i="36"/>
  <c r="B403" i="36"/>
  <c r="R402" i="36"/>
  <c r="Q402" i="36"/>
  <c r="P402" i="36"/>
  <c r="O402" i="36"/>
  <c r="N402" i="36"/>
  <c r="M402" i="36"/>
  <c r="L402" i="36"/>
  <c r="K402" i="36"/>
  <c r="J402" i="36"/>
  <c r="I402" i="36"/>
  <c r="H402" i="36"/>
  <c r="G402" i="36"/>
  <c r="F402" i="36"/>
  <c r="E402" i="36"/>
  <c r="D402" i="36"/>
  <c r="C402" i="36"/>
  <c r="B402" i="36"/>
  <c r="R401" i="36"/>
  <c r="Q401" i="36"/>
  <c r="P401" i="36"/>
  <c r="O401" i="36"/>
  <c r="N401" i="36"/>
  <c r="M401" i="36"/>
  <c r="L401" i="36"/>
  <c r="K401" i="36"/>
  <c r="J401" i="36"/>
  <c r="I401" i="36"/>
  <c r="H401" i="36"/>
  <c r="G401" i="36"/>
  <c r="F401" i="36"/>
  <c r="E401" i="36"/>
  <c r="D401" i="36"/>
  <c r="C401" i="36"/>
  <c r="B401" i="36"/>
  <c r="R400" i="36"/>
  <c r="Q400" i="36"/>
  <c r="P400" i="36"/>
  <c r="O400" i="36"/>
  <c r="N400" i="36"/>
  <c r="M400" i="36"/>
  <c r="L400" i="36"/>
  <c r="K400" i="36"/>
  <c r="J400" i="36"/>
  <c r="I400" i="36"/>
  <c r="H400" i="36"/>
  <c r="G400" i="36"/>
  <c r="F400" i="36"/>
  <c r="E400" i="36"/>
  <c r="D400" i="36"/>
  <c r="C400" i="36"/>
  <c r="B400" i="36"/>
  <c r="R399" i="36"/>
  <c r="Q399" i="36"/>
  <c r="P399" i="36"/>
  <c r="O399" i="36"/>
  <c r="N399" i="36"/>
  <c r="M399" i="36"/>
  <c r="L399" i="36"/>
  <c r="K399" i="36"/>
  <c r="J399" i="36"/>
  <c r="I399" i="36"/>
  <c r="H399" i="36"/>
  <c r="G399" i="36"/>
  <c r="F399" i="36"/>
  <c r="E399" i="36"/>
  <c r="D399" i="36"/>
  <c r="C399" i="36"/>
  <c r="B399" i="36"/>
  <c r="R398" i="36"/>
  <c r="Q398" i="36"/>
  <c r="P398" i="36"/>
  <c r="O398" i="36"/>
  <c r="N398" i="36"/>
  <c r="M398" i="36"/>
  <c r="L398" i="36"/>
  <c r="K398" i="36"/>
  <c r="J398" i="36"/>
  <c r="I398" i="36"/>
  <c r="H398" i="36"/>
  <c r="G398" i="36"/>
  <c r="F398" i="36"/>
  <c r="E398" i="36"/>
  <c r="D398" i="36"/>
  <c r="C398" i="36"/>
  <c r="B398" i="36"/>
  <c r="R397" i="36"/>
  <c r="Q397" i="36"/>
  <c r="P397" i="36"/>
  <c r="O397" i="36"/>
  <c r="N397" i="36"/>
  <c r="M397" i="36"/>
  <c r="L397" i="36"/>
  <c r="K397" i="36"/>
  <c r="J397" i="36"/>
  <c r="I397" i="36"/>
  <c r="H397" i="36"/>
  <c r="G397" i="36"/>
  <c r="F397" i="36"/>
  <c r="E397" i="36"/>
  <c r="D397" i="36"/>
  <c r="C397" i="36"/>
  <c r="B397" i="36"/>
  <c r="R396" i="36"/>
  <c r="Q396" i="36"/>
  <c r="P396" i="36"/>
  <c r="O396" i="36"/>
  <c r="N396" i="36"/>
  <c r="M396" i="36"/>
  <c r="L396" i="36"/>
  <c r="K396" i="36"/>
  <c r="J396" i="36"/>
  <c r="I396" i="36"/>
  <c r="H396" i="36"/>
  <c r="G396" i="36"/>
  <c r="F396" i="36"/>
  <c r="E396" i="36"/>
  <c r="D396" i="36"/>
  <c r="C396" i="36"/>
  <c r="B396" i="36"/>
  <c r="R395" i="36"/>
  <c r="Q395" i="36"/>
  <c r="P395" i="36"/>
  <c r="O395" i="36"/>
  <c r="N395" i="36"/>
  <c r="M395" i="36"/>
  <c r="L395" i="36"/>
  <c r="K395" i="36"/>
  <c r="J395" i="36"/>
  <c r="I395" i="36"/>
  <c r="H395" i="36"/>
  <c r="G395" i="36"/>
  <c r="F395" i="36"/>
  <c r="E395" i="36"/>
  <c r="D395" i="36"/>
  <c r="C395" i="36"/>
  <c r="B395" i="36"/>
  <c r="R394" i="36"/>
  <c r="Q394" i="36"/>
  <c r="P394" i="36"/>
  <c r="O394" i="36"/>
  <c r="N394" i="36"/>
  <c r="M394" i="36"/>
  <c r="L394" i="36"/>
  <c r="K394" i="36"/>
  <c r="J394" i="36"/>
  <c r="I394" i="36"/>
  <c r="H394" i="36"/>
  <c r="G394" i="36"/>
  <c r="F394" i="36"/>
  <c r="E394" i="36"/>
  <c r="D394" i="36"/>
  <c r="C394" i="36"/>
  <c r="B394" i="36"/>
  <c r="R393" i="36"/>
  <c r="Q393" i="36"/>
  <c r="P393" i="36"/>
  <c r="O393" i="36"/>
  <c r="N393" i="36"/>
  <c r="M393" i="36"/>
  <c r="L393" i="36"/>
  <c r="K393" i="36"/>
  <c r="J393" i="36"/>
  <c r="I393" i="36"/>
  <c r="H393" i="36"/>
  <c r="G393" i="36"/>
  <c r="F393" i="36"/>
  <c r="E393" i="36"/>
  <c r="D393" i="36"/>
  <c r="C393" i="36"/>
  <c r="B393" i="36"/>
  <c r="R392" i="36"/>
  <c r="Q392" i="36"/>
  <c r="P392" i="36"/>
  <c r="O392" i="36"/>
  <c r="N392" i="36"/>
  <c r="M392" i="36"/>
  <c r="L392" i="36"/>
  <c r="K392" i="36"/>
  <c r="J392" i="36"/>
  <c r="I392" i="36"/>
  <c r="H392" i="36"/>
  <c r="G392" i="36"/>
  <c r="F392" i="36"/>
  <c r="E392" i="36"/>
  <c r="D392" i="36"/>
  <c r="C392" i="36"/>
  <c r="B392" i="36"/>
  <c r="R391" i="36"/>
  <c r="Q391" i="36"/>
  <c r="P391" i="36"/>
  <c r="O391" i="36"/>
  <c r="N391" i="36"/>
  <c r="M391" i="36"/>
  <c r="L391" i="36"/>
  <c r="K391" i="36"/>
  <c r="J391" i="36"/>
  <c r="I391" i="36"/>
  <c r="H391" i="36"/>
  <c r="G391" i="36"/>
  <c r="F391" i="36"/>
  <c r="E391" i="36"/>
  <c r="D391" i="36"/>
  <c r="C391" i="36"/>
  <c r="B391" i="36"/>
  <c r="R390" i="36"/>
  <c r="Q390" i="36"/>
  <c r="P390" i="36"/>
  <c r="O390" i="36"/>
  <c r="N390" i="36"/>
  <c r="M390" i="36"/>
  <c r="L390" i="36"/>
  <c r="K390" i="36"/>
  <c r="J390" i="36"/>
  <c r="I390" i="36"/>
  <c r="H390" i="36"/>
  <c r="G390" i="36"/>
  <c r="F390" i="36"/>
  <c r="E390" i="36"/>
  <c r="D390" i="36"/>
  <c r="C390" i="36"/>
  <c r="B390" i="36"/>
  <c r="R389" i="36"/>
  <c r="Q389" i="36"/>
  <c r="P389" i="36"/>
  <c r="O389" i="36"/>
  <c r="N389" i="36"/>
  <c r="M389" i="36"/>
  <c r="L389" i="36"/>
  <c r="K389" i="36"/>
  <c r="J389" i="36"/>
  <c r="I389" i="36"/>
  <c r="H389" i="36"/>
  <c r="G389" i="36"/>
  <c r="F389" i="36"/>
  <c r="E389" i="36"/>
  <c r="D389" i="36"/>
  <c r="C389" i="36"/>
  <c r="B389" i="36"/>
  <c r="R388" i="36"/>
  <c r="Q388" i="36"/>
  <c r="P388" i="36"/>
  <c r="O388" i="36"/>
  <c r="N388" i="36"/>
  <c r="M388" i="36"/>
  <c r="L388" i="36"/>
  <c r="K388" i="36"/>
  <c r="J388" i="36"/>
  <c r="I388" i="36"/>
  <c r="H388" i="36"/>
  <c r="G388" i="36"/>
  <c r="F388" i="36"/>
  <c r="E388" i="36"/>
  <c r="D388" i="36"/>
  <c r="C388" i="36"/>
  <c r="B388" i="36"/>
  <c r="R387" i="36"/>
  <c r="Q387" i="36"/>
  <c r="P387" i="36"/>
  <c r="O387" i="36"/>
  <c r="N387" i="36"/>
  <c r="M387" i="36"/>
  <c r="L387" i="36"/>
  <c r="K387" i="36"/>
  <c r="J387" i="36"/>
  <c r="I387" i="36"/>
  <c r="H387" i="36"/>
  <c r="G387" i="36"/>
  <c r="F387" i="36"/>
  <c r="E387" i="36"/>
  <c r="D387" i="36"/>
  <c r="C387" i="36"/>
  <c r="B387" i="36"/>
  <c r="R386" i="36"/>
  <c r="Q386" i="36"/>
  <c r="P386" i="36"/>
  <c r="O386" i="36"/>
  <c r="N386" i="36"/>
  <c r="M386" i="36"/>
  <c r="L386" i="36"/>
  <c r="K386" i="36"/>
  <c r="J386" i="36"/>
  <c r="I386" i="36"/>
  <c r="H386" i="36"/>
  <c r="G386" i="36"/>
  <c r="F386" i="36"/>
  <c r="E386" i="36"/>
  <c r="D386" i="36"/>
  <c r="C386" i="36"/>
  <c r="B386" i="36"/>
  <c r="R385" i="36"/>
  <c r="Q385" i="36"/>
  <c r="P385" i="36"/>
  <c r="O385" i="36"/>
  <c r="N385" i="36"/>
  <c r="M385" i="36"/>
  <c r="L385" i="36"/>
  <c r="K385" i="36"/>
  <c r="J385" i="36"/>
  <c r="I385" i="36"/>
  <c r="H385" i="36"/>
  <c r="G385" i="36"/>
  <c r="F385" i="36"/>
  <c r="E385" i="36"/>
  <c r="D385" i="36"/>
  <c r="C385" i="36"/>
  <c r="B385" i="36"/>
  <c r="R384" i="36"/>
  <c r="Q384" i="36"/>
  <c r="P384" i="36"/>
  <c r="O384" i="36"/>
  <c r="N384" i="36"/>
  <c r="M384" i="36"/>
  <c r="L384" i="36"/>
  <c r="K384" i="36"/>
  <c r="J384" i="36"/>
  <c r="I384" i="36"/>
  <c r="H384" i="36"/>
  <c r="G384" i="36"/>
  <c r="F384" i="36"/>
  <c r="E384" i="36"/>
  <c r="D384" i="36"/>
  <c r="C384" i="36"/>
  <c r="B384" i="36"/>
  <c r="R383" i="36"/>
  <c r="Q383" i="36"/>
  <c r="P383" i="36"/>
  <c r="O383" i="36"/>
  <c r="N383" i="36"/>
  <c r="M383" i="36"/>
  <c r="L383" i="36"/>
  <c r="K383" i="36"/>
  <c r="J383" i="36"/>
  <c r="I383" i="36"/>
  <c r="H383" i="36"/>
  <c r="G383" i="36"/>
  <c r="F383" i="36"/>
  <c r="E383" i="36"/>
  <c r="D383" i="36"/>
  <c r="C383" i="36"/>
  <c r="B383" i="36"/>
  <c r="R382" i="36"/>
  <c r="Q382" i="36"/>
  <c r="P382" i="36"/>
  <c r="O382" i="36"/>
  <c r="N382" i="36"/>
  <c r="M382" i="36"/>
  <c r="L382" i="36"/>
  <c r="K382" i="36"/>
  <c r="J382" i="36"/>
  <c r="I382" i="36"/>
  <c r="H382" i="36"/>
  <c r="G382" i="36"/>
  <c r="F382" i="36"/>
  <c r="E382" i="36"/>
  <c r="D382" i="36"/>
  <c r="C382" i="36"/>
  <c r="B382" i="36"/>
  <c r="R381" i="36"/>
  <c r="Q381" i="36"/>
  <c r="P381" i="36"/>
  <c r="O381" i="36"/>
  <c r="N381" i="36"/>
  <c r="M381" i="36"/>
  <c r="L381" i="36"/>
  <c r="K381" i="36"/>
  <c r="J381" i="36"/>
  <c r="I381" i="36"/>
  <c r="H381" i="36"/>
  <c r="G381" i="36"/>
  <c r="F381" i="36"/>
  <c r="E381" i="36"/>
  <c r="D381" i="36"/>
  <c r="C381" i="36"/>
  <c r="B381" i="36"/>
  <c r="R380" i="36"/>
  <c r="Q380" i="36"/>
  <c r="P380" i="36"/>
  <c r="O380" i="36"/>
  <c r="N380" i="36"/>
  <c r="M380" i="36"/>
  <c r="L380" i="36"/>
  <c r="K380" i="36"/>
  <c r="J380" i="36"/>
  <c r="I380" i="36"/>
  <c r="H380" i="36"/>
  <c r="G380" i="36"/>
  <c r="F380" i="36"/>
  <c r="E380" i="36"/>
  <c r="D380" i="36"/>
  <c r="C380" i="36"/>
  <c r="B380" i="36"/>
  <c r="R379" i="36"/>
  <c r="Q379" i="36"/>
  <c r="P379" i="36"/>
  <c r="O379" i="36"/>
  <c r="N379" i="36"/>
  <c r="M379" i="36"/>
  <c r="L379" i="36"/>
  <c r="K379" i="36"/>
  <c r="J379" i="36"/>
  <c r="I379" i="36"/>
  <c r="H379" i="36"/>
  <c r="G379" i="36"/>
  <c r="F379" i="36"/>
  <c r="E379" i="36"/>
  <c r="D379" i="36"/>
  <c r="C379" i="36"/>
  <c r="B379" i="36"/>
  <c r="R378" i="36"/>
  <c r="Q378" i="36"/>
  <c r="P378" i="36"/>
  <c r="O378" i="36"/>
  <c r="N378" i="36"/>
  <c r="M378" i="36"/>
  <c r="L378" i="36"/>
  <c r="K378" i="36"/>
  <c r="J378" i="36"/>
  <c r="I378" i="36"/>
  <c r="H378" i="36"/>
  <c r="G378" i="36"/>
  <c r="F378" i="36"/>
  <c r="E378" i="36"/>
  <c r="D378" i="36"/>
  <c r="C378" i="36"/>
  <c r="B378" i="36"/>
  <c r="R377" i="36"/>
  <c r="Q377" i="36"/>
  <c r="P377" i="36"/>
  <c r="O377" i="36"/>
  <c r="N377" i="36"/>
  <c r="M377" i="36"/>
  <c r="L377" i="36"/>
  <c r="K377" i="36"/>
  <c r="J377" i="36"/>
  <c r="I377" i="36"/>
  <c r="H377" i="36"/>
  <c r="G377" i="36"/>
  <c r="F377" i="36"/>
  <c r="E377" i="36"/>
  <c r="D377" i="36"/>
  <c r="C377" i="36"/>
  <c r="B377" i="36"/>
  <c r="R376" i="36"/>
  <c r="Q376" i="36"/>
  <c r="P376" i="36"/>
  <c r="O376" i="36"/>
  <c r="N376" i="36"/>
  <c r="M376" i="36"/>
  <c r="L376" i="36"/>
  <c r="K376" i="36"/>
  <c r="J376" i="36"/>
  <c r="I376" i="36"/>
  <c r="H376" i="36"/>
  <c r="G376" i="36"/>
  <c r="F376" i="36"/>
  <c r="E376" i="36"/>
  <c r="D376" i="36"/>
  <c r="C376" i="36"/>
  <c r="B376" i="36"/>
  <c r="R375" i="36"/>
  <c r="Q375" i="36"/>
  <c r="P375" i="36"/>
  <c r="O375" i="36"/>
  <c r="N375" i="36"/>
  <c r="M375" i="36"/>
  <c r="L375" i="36"/>
  <c r="K375" i="36"/>
  <c r="J375" i="36"/>
  <c r="I375" i="36"/>
  <c r="H375" i="36"/>
  <c r="G375" i="36"/>
  <c r="F375" i="36"/>
  <c r="E375" i="36"/>
  <c r="D375" i="36"/>
  <c r="C375" i="36"/>
  <c r="B375" i="36"/>
  <c r="R374" i="36"/>
  <c r="Q374" i="36"/>
  <c r="P374" i="36"/>
  <c r="O374" i="36"/>
  <c r="N374" i="36"/>
  <c r="M374" i="36"/>
  <c r="L374" i="36"/>
  <c r="K374" i="36"/>
  <c r="J374" i="36"/>
  <c r="I374" i="36"/>
  <c r="H374" i="36"/>
  <c r="G374" i="36"/>
  <c r="F374" i="36"/>
  <c r="E374" i="36"/>
  <c r="D374" i="36"/>
  <c r="C374" i="36"/>
  <c r="B374" i="36"/>
  <c r="R373" i="36"/>
  <c r="Q373" i="36"/>
  <c r="P373" i="36"/>
  <c r="O373" i="36"/>
  <c r="N373" i="36"/>
  <c r="M373" i="36"/>
  <c r="L373" i="36"/>
  <c r="K373" i="36"/>
  <c r="J373" i="36"/>
  <c r="I373" i="36"/>
  <c r="H373" i="36"/>
  <c r="G373" i="36"/>
  <c r="F373" i="36"/>
  <c r="E373" i="36"/>
  <c r="D373" i="36"/>
  <c r="C373" i="36"/>
  <c r="B373" i="36"/>
  <c r="R372" i="36"/>
  <c r="Q372" i="36"/>
  <c r="P372" i="36"/>
  <c r="O372" i="36"/>
  <c r="N372" i="36"/>
  <c r="M372" i="36"/>
  <c r="L372" i="36"/>
  <c r="K372" i="36"/>
  <c r="J372" i="36"/>
  <c r="I372" i="36"/>
  <c r="H372" i="36"/>
  <c r="G372" i="36"/>
  <c r="F372" i="36"/>
  <c r="E372" i="36"/>
  <c r="D372" i="36"/>
  <c r="C372" i="36"/>
  <c r="B372" i="36"/>
  <c r="R371" i="36"/>
  <c r="Q371" i="36"/>
  <c r="P371" i="36"/>
  <c r="O371" i="36"/>
  <c r="N371" i="36"/>
  <c r="M371" i="36"/>
  <c r="L371" i="36"/>
  <c r="K371" i="36"/>
  <c r="J371" i="36"/>
  <c r="I371" i="36"/>
  <c r="H371" i="36"/>
  <c r="G371" i="36"/>
  <c r="F371" i="36"/>
  <c r="E371" i="36"/>
  <c r="D371" i="36"/>
  <c r="C371" i="36"/>
  <c r="B371" i="36"/>
  <c r="R370" i="36"/>
  <c r="Q370" i="36"/>
  <c r="P370" i="36"/>
  <c r="O370" i="36"/>
  <c r="N370" i="36"/>
  <c r="M370" i="36"/>
  <c r="L370" i="36"/>
  <c r="K370" i="36"/>
  <c r="J370" i="36"/>
  <c r="I370" i="36"/>
  <c r="H370" i="36"/>
  <c r="G370" i="36"/>
  <c r="F370" i="36"/>
  <c r="E370" i="36"/>
  <c r="D370" i="36"/>
  <c r="C370" i="36"/>
  <c r="B370" i="36"/>
  <c r="R369" i="36"/>
  <c r="Q369" i="36"/>
  <c r="P369" i="36"/>
  <c r="O369" i="36"/>
  <c r="N369" i="36"/>
  <c r="M369" i="36"/>
  <c r="L369" i="36"/>
  <c r="K369" i="36"/>
  <c r="J369" i="36"/>
  <c r="I369" i="36"/>
  <c r="H369" i="36"/>
  <c r="G369" i="36"/>
  <c r="F369" i="36"/>
  <c r="E369" i="36"/>
  <c r="D369" i="36"/>
  <c r="C369" i="36"/>
  <c r="B369" i="36"/>
  <c r="R368" i="36"/>
  <c r="Q368" i="36"/>
  <c r="P368" i="36"/>
  <c r="O368" i="36"/>
  <c r="N368" i="36"/>
  <c r="M368" i="36"/>
  <c r="L368" i="36"/>
  <c r="K368" i="36"/>
  <c r="J368" i="36"/>
  <c r="I368" i="36"/>
  <c r="H368" i="36"/>
  <c r="G368" i="36"/>
  <c r="F368" i="36"/>
  <c r="E368" i="36"/>
  <c r="D368" i="36"/>
  <c r="C368" i="36"/>
  <c r="B368" i="36"/>
  <c r="R367" i="36"/>
  <c r="Q367" i="36"/>
  <c r="P367" i="36"/>
  <c r="O367" i="36"/>
  <c r="N367" i="36"/>
  <c r="M367" i="36"/>
  <c r="L367" i="36"/>
  <c r="K367" i="36"/>
  <c r="J367" i="36"/>
  <c r="I367" i="36"/>
  <c r="H367" i="36"/>
  <c r="G367" i="36"/>
  <c r="F367" i="36"/>
  <c r="E367" i="36"/>
  <c r="D367" i="36"/>
  <c r="C367" i="36"/>
  <c r="B367" i="36"/>
  <c r="R366" i="36"/>
  <c r="Q366" i="36"/>
  <c r="P366" i="36"/>
  <c r="O366" i="36"/>
  <c r="N366" i="36"/>
  <c r="M366" i="36"/>
  <c r="L366" i="36"/>
  <c r="K366" i="36"/>
  <c r="J366" i="36"/>
  <c r="I366" i="36"/>
  <c r="H366" i="36"/>
  <c r="G366" i="36"/>
  <c r="F366" i="36"/>
  <c r="E366" i="36"/>
  <c r="D366" i="36"/>
  <c r="C366" i="36"/>
  <c r="B366" i="36"/>
  <c r="R365" i="36"/>
  <c r="Q365" i="36"/>
  <c r="P365" i="36"/>
  <c r="O365" i="36"/>
  <c r="N365" i="36"/>
  <c r="M365" i="36"/>
  <c r="L365" i="36"/>
  <c r="K365" i="36"/>
  <c r="J365" i="36"/>
  <c r="I365" i="36"/>
  <c r="H365" i="36"/>
  <c r="G365" i="36"/>
  <c r="F365" i="36"/>
  <c r="E365" i="36"/>
  <c r="D365" i="36"/>
  <c r="C365" i="36"/>
  <c r="B365" i="36"/>
  <c r="R364" i="36"/>
  <c r="Q364" i="36"/>
  <c r="P364" i="36"/>
  <c r="O364" i="36"/>
  <c r="N364" i="36"/>
  <c r="M364" i="36"/>
  <c r="L364" i="36"/>
  <c r="K364" i="36"/>
  <c r="J364" i="36"/>
  <c r="I364" i="36"/>
  <c r="H364" i="36"/>
  <c r="G364" i="36"/>
  <c r="F364" i="36"/>
  <c r="E364" i="36"/>
  <c r="D364" i="36"/>
  <c r="C364" i="36"/>
  <c r="B364" i="36"/>
  <c r="R363" i="36"/>
  <c r="Q363" i="36"/>
  <c r="P363" i="36"/>
  <c r="O363" i="36"/>
  <c r="N363" i="36"/>
  <c r="M363" i="36"/>
  <c r="L363" i="36"/>
  <c r="K363" i="36"/>
  <c r="J363" i="36"/>
  <c r="I363" i="36"/>
  <c r="H363" i="36"/>
  <c r="G363" i="36"/>
  <c r="F363" i="36"/>
  <c r="E363" i="36"/>
  <c r="D363" i="36"/>
  <c r="C363" i="36"/>
  <c r="B363" i="36"/>
  <c r="R362" i="36"/>
  <c r="Q362" i="36"/>
  <c r="P362" i="36"/>
  <c r="O362" i="36"/>
  <c r="N362" i="36"/>
  <c r="M362" i="36"/>
  <c r="L362" i="36"/>
  <c r="K362" i="36"/>
  <c r="J362" i="36"/>
  <c r="I362" i="36"/>
  <c r="H362" i="36"/>
  <c r="G362" i="36"/>
  <c r="F362" i="36"/>
  <c r="E362" i="36"/>
  <c r="D362" i="36"/>
  <c r="C362" i="36"/>
  <c r="B362" i="36"/>
  <c r="R361" i="36"/>
  <c r="Q361" i="36"/>
  <c r="P361" i="36"/>
  <c r="O361" i="36"/>
  <c r="N361" i="36"/>
  <c r="M361" i="36"/>
  <c r="L361" i="36"/>
  <c r="K361" i="36"/>
  <c r="J361" i="36"/>
  <c r="I361" i="36"/>
  <c r="H361" i="36"/>
  <c r="G361" i="36"/>
  <c r="F361" i="36"/>
  <c r="E361" i="36"/>
  <c r="D361" i="36"/>
  <c r="C361" i="36"/>
  <c r="B361" i="36"/>
  <c r="R360" i="36"/>
  <c r="Q360" i="36"/>
  <c r="P360" i="36"/>
  <c r="O360" i="36"/>
  <c r="N360" i="36"/>
  <c r="M360" i="36"/>
  <c r="L360" i="36"/>
  <c r="K360" i="36"/>
  <c r="J360" i="36"/>
  <c r="I360" i="36"/>
  <c r="H360" i="36"/>
  <c r="G360" i="36"/>
  <c r="F360" i="36"/>
  <c r="E360" i="36"/>
  <c r="D360" i="36"/>
  <c r="C360" i="36"/>
  <c r="B360" i="36"/>
  <c r="R359" i="36"/>
  <c r="Q359" i="36"/>
  <c r="P359" i="36"/>
  <c r="O359" i="36"/>
  <c r="N359" i="36"/>
  <c r="M359" i="36"/>
  <c r="L359" i="36"/>
  <c r="K359" i="36"/>
  <c r="J359" i="36"/>
  <c r="I359" i="36"/>
  <c r="H359" i="36"/>
  <c r="G359" i="36"/>
  <c r="F359" i="36"/>
  <c r="E359" i="36"/>
  <c r="D359" i="36"/>
  <c r="C359" i="36"/>
  <c r="B359" i="36"/>
  <c r="R358" i="36"/>
  <c r="Q358" i="36"/>
  <c r="P358" i="36"/>
  <c r="O358" i="36"/>
  <c r="N358" i="36"/>
  <c r="M358" i="36"/>
  <c r="L358" i="36"/>
  <c r="K358" i="36"/>
  <c r="J358" i="36"/>
  <c r="I358" i="36"/>
  <c r="H358" i="36"/>
  <c r="G358" i="36"/>
  <c r="F358" i="36"/>
  <c r="E358" i="36"/>
  <c r="D358" i="36"/>
  <c r="C358" i="36"/>
  <c r="B358" i="36"/>
  <c r="R357" i="36"/>
  <c r="Q357" i="36"/>
  <c r="P357" i="36"/>
  <c r="O357" i="36"/>
  <c r="N357" i="36"/>
  <c r="M357" i="36"/>
  <c r="L357" i="36"/>
  <c r="K357" i="36"/>
  <c r="J357" i="36"/>
  <c r="I357" i="36"/>
  <c r="H357" i="36"/>
  <c r="G357" i="36"/>
  <c r="F357" i="36"/>
  <c r="E357" i="36"/>
  <c r="D357" i="36"/>
  <c r="C357" i="36"/>
  <c r="B357" i="36"/>
  <c r="R356" i="36"/>
  <c r="Q356" i="36"/>
  <c r="P356" i="36"/>
  <c r="O356" i="36"/>
  <c r="N356" i="36"/>
  <c r="M356" i="36"/>
  <c r="L356" i="36"/>
  <c r="K356" i="36"/>
  <c r="J356" i="36"/>
  <c r="I356" i="36"/>
  <c r="H356" i="36"/>
  <c r="G356" i="36"/>
  <c r="F356" i="36"/>
  <c r="E356" i="36"/>
  <c r="D356" i="36"/>
  <c r="C356" i="36"/>
  <c r="B356" i="36"/>
  <c r="R355" i="36"/>
  <c r="Q355" i="36"/>
  <c r="P355" i="36"/>
  <c r="O355" i="36"/>
  <c r="N355" i="36"/>
  <c r="M355" i="36"/>
  <c r="L355" i="36"/>
  <c r="K355" i="36"/>
  <c r="J355" i="36"/>
  <c r="I355" i="36"/>
  <c r="H355" i="36"/>
  <c r="G355" i="36"/>
  <c r="F355" i="36"/>
  <c r="E355" i="36"/>
  <c r="D355" i="36"/>
  <c r="C355" i="36"/>
  <c r="B355" i="36"/>
  <c r="R354" i="36"/>
  <c r="Q354" i="36"/>
  <c r="P354" i="36"/>
  <c r="O354" i="36"/>
  <c r="N354" i="36"/>
  <c r="M354" i="36"/>
  <c r="L354" i="36"/>
  <c r="K354" i="36"/>
  <c r="J354" i="36"/>
  <c r="I354" i="36"/>
  <c r="H354" i="36"/>
  <c r="G354" i="36"/>
  <c r="F354" i="36"/>
  <c r="E354" i="36"/>
  <c r="D354" i="36"/>
  <c r="C354" i="36"/>
  <c r="B354" i="36"/>
  <c r="R353" i="36"/>
  <c r="Q353" i="36"/>
  <c r="P353" i="36"/>
  <c r="O353" i="36"/>
  <c r="N353" i="36"/>
  <c r="M353" i="36"/>
  <c r="L353" i="36"/>
  <c r="K353" i="36"/>
  <c r="J353" i="36"/>
  <c r="I353" i="36"/>
  <c r="H353" i="36"/>
  <c r="G353" i="36"/>
  <c r="F353" i="36"/>
  <c r="E353" i="36"/>
  <c r="D353" i="36"/>
  <c r="C353" i="36"/>
  <c r="B353" i="36"/>
  <c r="R352" i="36"/>
  <c r="Q352" i="36"/>
  <c r="P352" i="36"/>
  <c r="O352" i="36"/>
  <c r="N352" i="36"/>
  <c r="M352" i="36"/>
  <c r="L352" i="36"/>
  <c r="K352" i="36"/>
  <c r="J352" i="36"/>
  <c r="I352" i="36"/>
  <c r="H352" i="36"/>
  <c r="G352" i="36"/>
  <c r="F352" i="36"/>
  <c r="E352" i="36"/>
  <c r="D352" i="36"/>
  <c r="C352" i="36"/>
  <c r="B352" i="36"/>
  <c r="R351" i="36"/>
  <c r="Q351" i="36"/>
  <c r="P351" i="36"/>
  <c r="O351" i="36"/>
  <c r="N351" i="36"/>
  <c r="M351" i="36"/>
  <c r="L351" i="36"/>
  <c r="K351" i="36"/>
  <c r="J351" i="36"/>
  <c r="I351" i="36"/>
  <c r="H351" i="36"/>
  <c r="G351" i="36"/>
  <c r="F351" i="36"/>
  <c r="E351" i="36"/>
  <c r="D351" i="36"/>
  <c r="C351" i="36"/>
  <c r="B351" i="36"/>
  <c r="R350" i="36"/>
  <c r="Q350" i="36"/>
  <c r="P350" i="36"/>
  <c r="O350" i="36"/>
  <c r="N350" i="36"/>
  <c r="M350" i="36"/>
  <c r="L350" i="36"/>
  <c r="K350" i="36"/>
  <c r="J350" i="36"/>
  <c r="I350" i="36"/>
  <c r="H350" i="36"/>
  <c r="G350" i="36"/>
  <c r="F350" i="36"/>
  <c r="E350" i="36"/>
  <c r="D350" i="36"/>
  <c r="C350" i="36"/>
  <c r="B350" i="36"/>
  <c r="R349" i="36"/>
  <c r="Q349" i="36"/>
  <c r="P349" i="36"/>
  <c r="O349" i="36"/>
  <c r="N349" i="36"/>
  <c r="M349" i="36"/>
  <c r="L349" i="36"/>
  <c r="K349" i="36"/>
  <c r="J349" i="36"/>
  <c r="I349" i="36"/>
  <c r="H349" i="36"/>
  <c r="G349" i="36"/>
  <c r="F349" i="36"/>
  <c r="E349" i="36"/>
  <c r="D349" i="36"/>
  <c r="C349" i="36"/>
  <c r="B349" i="36"/>
  <c r="R348" i="36"/>
  <c r="Q348" i="36"/>
  <c r="P348" i="36"/>
  <c r="O348" i="36"/>
  <c r="N348" i="36"/>
  <c r="M348" i="36"/>
  <c r="L348" i="36"/>
  <c r="K348" i="36"/>
  <c r="J348" i="36"/>
  <c r="I348" i="36"/>
  <c r="H348" i="36"/>
  <c r="G348" i="36"/>
  <c r="F348" i="36"/>
  <c r="E348" i="36"/>
  <c r="D348" i="36"/>
  <c r="C348" i="36"/>
  <c r="B348" i="36"/>
  <c r="R347" i="36"/>
  <c r="Q347" i="36"/>
  <c r="P347" i="36"/>
  <c r="O347" i="36"/>
  <c r="N347" i="36"/>
  <c r="M347" i="36"/>
  <c r="L347" i="36"/>
  <c r="K347" i="36"/>
  <c r="J347" i="36"/>
  <c r="I347" i="36"/>
  <c r="H347" i="36"/>
  <c r="G347" i="36"/>
  <c r="F347" i="36"/>
  <c r="E347" i="36"/>
  <c r="D347" i="36"/>
  <c r="C347" i="36"/>
  <c r="B347" i="36"/>
  <c r="R346" i="36"/>
  <c r="Q346" i="36"/>
  <c r="P346" i="36"/>
  <c r="O346" i="36"/>
  <c r="N346" i="36"/>
  <c r="M346" i="36"/>
  <c r="L346" i="36"/>
  <c r="K346" i="36"/>
  <c r="J346" i="36"/>
  <c r="I346" i="36"/>
  <c r="H346" i="36"/>
  <c r="G346" i="36"/>
  <c r="F346" i="36"/>
  <c r="E346" i="36"/>
  <c r="D346" i="36"/>
  <c r="C346" i="36"/>
  <c r="B346" i="36"/>
  <c r="R345" i="36"/>
  <c r="Q345" i="36"/>
  <c r="P345" i="36"/>
  <c r="O345" i="36"/>
  <c r="N345" i="36"/>
  <c r="M345" i="36"/>
  <c r="L345" i="36"/>
  <c r="K345" i="36"/>
  <c r="J345" i="36"/>
  <c r="I345" i="36"/>
  <c r="H345" i="36"/>
  <c r="G345" i="36"/>
  <c r="F345" i="36"/>
  <c r="E345" i="36"/>
  <c r="D345" i="36"/>
  <c r="C345" i="36"/>
  <c r="B345" i="36"/>
  <c r="R344" i="36"/>
  <c r="Q344" i="36"/>
  <c r="P344" i="36"/>
  <c r="O344" i="36"/>
  <c r="N344" i="36"/>
  <c r="M344" i="36"/>
  <c r="L344" i="36"/>
  <c r="K344" i="36"/>
  <c r="J344" i="36"/>
  <c r="I344" i="36"/>
  <c r="H344" i="36"/>
  <c r="G344" i="36"/>
  <c r="F344" i="36"/>
  <c r="E344" i="36"/>
  <c r="D344" i="36"/>
  <c r="C344" i="36"/>
  <c r="B344" i="36"/>
  <c r="R343" i="36"/>
  <c r="Q343" i="36"/>
  <c r="P343" i="36"/>
  <c r="O343" i="36"/>
  <c r="N343" i="36"/>
  <c r="M343" i="36"/>
  <c r="L343" i="36"/>
  <c r="K343" i="36"/>
  <c r="J343" i="36"/>
  <c r="I343" i="36"/>
  <c r="H343" i="36"/>
  <c r="G343" i="36"/>
  <c r="F343" i="36"/>
  <c r="E343" i="36"/>
  <c r="D343" i="36"/>
  <c r="C343" i="36"/>
  <c r="B343" i="36"/>
  <c r="R342" i="36"/>
  <c r="Q342" i="36"/>
  <c r="P342" i="36"/>
  <c r="O342" i="36"/>
  <c r="N342" i="36"/>
  <c r="M342" i="36"/>
  <c r="L342" i="36"/>
  <c r="K342" i="36"/>
  <c r="J342" i="36"/>
  <c r="I342" i="36"/>
  <c r="H342" i="36"/>
  <c r="G342" i="36"/>
  <c r="F342" i="36"/>
  <c r="E342" i="36"/>
  <c r="D342" i="36"/>
  <c r="C342" i="36"/>
  <c r="B342" i="36"/>
  <c r="R341" i="36"/>
  <c r="Q341" i="36"/>
  <c r="P341" i="36"/>
  <c r="O341" i="36"/>
  <c r="N341" i="36"/>
  <c r="M341" i="36"/>
  <c r="L341" i="36"/>
  <c r="K341" i="36"/>
  <c r="J341" i="36"/>
  <c r="I341" i="36"/>
  <c r="H341" i="36"/>
  <c r="G341" i="36"/>
  <c r="F341" i="36"/>
  <c r="E341" i="36"/>
  <c r="D341" i="36"/>
  <c r="C341" i="36"/>
  <c r="B341" i="36"/>
  <c r="R340" i="36"/>
  <c r="Q340" i="36"/>
  <c r="P340" i="36"/>
  <c r="O340" i="36"/>
  <c r="N340" i="36"/>
  <c r="M340" i="36"/>
  <c r="L340" i="36"/>
  <c r="K340" i="36"/>
  <c r="J340" i="36"/>
  <c r="I340" i="36"/>
  <c r="H340" i="36"/>
  <c r="G340" i="36"/>
  <c r="F340" i="36"/>
  <c r="E340" i="36"/>
  <c r="D340" i="36"/>
  <c r="C340" i="36"/>
  <c r="B340" i="36"/>
  <c r="R339" i="36"/>
  <c r="Q339" i="36"/>
  <c r="P339" i="36"/>
  <c r="O339" i="36"/>
  <c r="N339" i="36"/>
  <c r="M339" i="36"/>
  <c r="L339" i="36"/>
  <c r="K339" i="36"/>
  <c r="J339" i="36"/>
  <c r="I339" i="36"/>
  <c r="H339" i="36"/>
  <c r="G339" i="36"/>
  <c r="F339" i="36"/>
  <c r="E339" i="36"/>
  <c r="D339" i="36"/>
  <c r="C339" i="36"/>
  <c r="B339" i="36"/>
  <c r="R338" i="36"/>
  <c r="Q338" i="36"/>
  <c r="P338" i="36"/>
  <c r="O338" i="36"/>
  <c r="N338" i="36"/>
  <c r="M338" i="36"/>
  <c r="L338" i="36"/>
  <c r="K338" i="36"/>
  <c r="J338" i="36"/>
  <c r="I338" i="36"/>
  <c r="H338" i="36"/>
  <c r="G338" i="36"/>
  <c r="F338" i="36"/>
  <c r="E338" i="36"/>
  <c r="D338" i="36"/>
  <c r="C338" i="36"/>
  <c r="B338" i="36"/>
  <c r="R337" i="36"/>
  <c r="Q337" i="36"/>
  <c r="P337" i="36"/>
  <c r="O337" i="36"/>
  <c r="N337" i="36"/>
  <c r="M337" i="36"/>
  <c r="L337" i="36"/>
  <c r="K337" i="36"/>
  <c r="J337" i="36"/>
  <c r="I337" i="36"/>
  <c r="H337" i="36"/>
  <c r="G337" i="36"/>
  <c r="F337" i="36"/>
  <c r="E337" i="36"/>
  <c r="D337" i="36"/>
  <c r="C337" i="36"/>
  <c r="B337" i="36"/>
  <c r="R336" i="36"/>
  <c r="Q336" i="36"/>
  <c r="P336" i="36"/>
  <c r="O336" i="36"/>
  <c r="N336" i="36"/>
  <c r="M336" i="36"/>
  <c r="L336" i="36"/>
  <c r="K336" i="36"/>
  <c r="J336" i="36"/>
  <c r="I336" i="36"/>
  <c r="H336" i="36"/>
  <c r="G336" i="36"/>
  <c r="F336" i="36"/>
  <c r="E336" i="36"/>
  <c r="D336" i="36"/>
  <c r="C336" i="36"/>
  <c r="B336" i="36"/>
  <c r="R335" i="36"/>
  <c r="Q335" i="36"/>
  <c r="P335" i="36"/>
  <c r="O335" i="36"/>
  <c r="N335" i="36"/>
  <c r="M335" i="36"/>
  <c r="L335" i="36"/>
  <c r="K335" i="36"/>
  <c r="J335" i="36"/>
  <c r="I335" i="36"/>
  <c r="H335" i="36"/>
  <c r="G335" i="36"/>
  <c r="F335" i="36"/>
  <c r="E335" i="36"/>
  <c r="D335" i="36"/>
  <c r="C335" i="36"/>
  <c r="B335" i="36"/>
  <c r="R334" i="36"/>
  <c r="Q334" i="36"/>
  <c r="P334" i="36"/>
  <c r="O334" i="36"/>
  <c r="N334" i="36"/>
  <c r="M334" i="36"/>
  <c r="L334" i="36"/>
  <c r="K334" i="36"/>
  <c r="J334" i="36"/>
  <c r="I334" i="36"/>
  <c r="H334" i="36"/>
  <c r="G334" i="36"/>
  <c r="F334" i="36"/>
  <c r="E334" i="36"/>
  <c r="D334" i="36"/>
  <c r="C334" i="36"/>
  <c r="B334" i="36"/>
  <c r="R333" i="36"/>
  <c r="Q333" i="36"/>
  <c r="P333" i="36"/>
  <c r="O333" i="36"/>
  <c r="N333" i="36"/>
  <c r="M333" i="36"/>
  <c r="L333" i="36"/>
  <c r="K333" i="36"/>
  <c r="J333" i="36"/>
  <c r="I333" i="36"/>
  <c r="H333" i="36"/>
  <c r="G333" i="36"/>
  <c r="F333" i="36"/>
  <c r="E333" i="36"/>
  <c r="D333" i="36"/>
  <c r="C333" i="36"/>
  <c r="B333" i="36"/>
  <c r="R332" i="36"/>
  <c r="Q332" i="36"/>
  <c r="P332" i="36"/>
  <c r="O332" i="36"/>
  <c r="N332" i="36"/>
  <c r="M332" i="36"/>
  <c r="L332" i="36"/>
  <c r="K332" i="36"/>
  <c r="J332" i="36"/>
  <c r="I332" i="36"/>
  <c r="H332" i="36"/>
  <c r="G332" i="36"/>
  <c r="F332" i="36"/>
  <c r="E332" i="36"/>
  <c r="D332" i="36"/>
  <c r="C332" i="36"/>
  <c r="B332" i="36"/>
  <c r="R331" i="36"/>
  <c r="Q331" i="36"/>
  <c r="P331" i="36"/>
  <c r="O331" i="36"/>
  <c r="N331" i="36"/>
  <c r="M331" i="36"/>
  <c r="L331" i="36"/>
  <c r="K331" i="36"/>
  <c r="J331" i="36"/>
  <c r="I331" i="36"/>
  <c r="H331" i="36"/>
  <c r="G331" i="36"/>
  <c r="F331" i="36"/>
  <c r="E331" i="36"/>
  <c r="D331" i="36"/>
  <c r="C331" i="36"/>
  <c r="B331" i="36"/>
  <c r="R330" i="36"/>
  <c r="Q330" i="36"/>
  <c r="P330" i="36"/>
  <c r="O330" i="36"/>
  <c r="N330" i="36"/>
  <c r="M330" i="36"/>
  <c r="L330" i="36"/>
  <c r="K330" i="36"/>
  <c r="J330" i="36"/>
  <c r="I330" i="36"/>
  <c r="H330" i="36"/>
  <c r="G330" i="36"/>
  <c r="F330" i="36"/>
  <c r="E330" i="36"/>
  <c r="D330" i="36"/>
  <c r="C330" i="36"/>
  <c r="B330" i="36"/>
  <c r="R329" i="36"/>
  <c r="Q329" i="36"/>
  <c r="P329" i="36"/>
  <c r="O329" i="36"/>
  <c r="N329" i="36"/>
  <c r="M329" i="36"/>
  <c r="L329" i="36"/>
  <c r="K329" i="36"/>
  <c r="J329" i="36"/>
  <c r="I329" i="36"/>
  <c r="H329" i="36"/>
  <c r="G329" i="36"/>
  <c r="F329" i="36"/>
  <c r="E329" i="36"/>
  <c r="D329" i="36"/>
  <c r="C329" i="36"/>
  <c r="B329" i="36"/>
  <c r="R328" i="36"/>
  <c r="Q328" i="36"/>
  <c r="P328" i="36"/>
  <c r="O328" i="36"/>
  <c r="N328" i="36"/>
  <c r="M328" i="36"/>
  <c r="L328" i="36"/>
  <c r="K328" i="36"/>
  <c r="J328" i="36"/>
  <c r="I328" i="36"/>
  <c r="H328" i="36"/>
  <c r="G328" i="36"/>
  <c r="F328" i="36"/>
  <c r="E328" i="36"/>
  <c r="D328" i="36"/>
  <c r="C328" i="36"/>
  <c r="B328" i="36"/>
  <c r="R327" i="36"/>
  <c r="Q327" i="36"/>
  <c r="P327" i="36"/>
  <c r="O327" i="36"/>
  <c r="N327" i="36"/>
  <c r="M327" i="36"/>
  <c r="L327" i="36"/>
  <c r="K327" i="36"/>
  <c r="J327" i="36"/>
  <c r="I327" i="36"/>
  <c r="H327" i="36"/>
  <c r="G327" i="36"/>
  <c r="F327" i="36"/>
  <c r="E327" i="36"/>
  <c r="D327" i="36"/>
  <c r="C327" i="36"/>
  <c r="B327" i="36"/>
  <c r="R326" i="36"/>
  <c r="Q326" i="36"/>
  <c r="P326" i="36"/>
  <c r="O326" i="36"/>
  <c r="N326" i="36"/>
  <c r="M326" i="36"/>
  <c r="L326" i="36"/>
  <c r="K326" i="36"/>
  <c r="J326" i="36"/>
  <c r="I326" i="36"/>
  <c r="H326" i="36"/>
  <c r="G326" i="36"/>
  <c r="F326" i="36"/>
  <c r="E326" i="36"/>
  <c r="D326" i="36"/>
  <c r="C326" i="36"/>
  <c r="B326" i="36"/>
  <c r="R325" i="36"/>
  <c r="Q325" i="36"/>
  <c r="P325" i="36"/>
  <c r="O325" i="36"/>
  <c r="N325" i="36"/>
  <c r="M325" i="36"/>
  <c r="L325" i="36"/>
  <c r="K325" i="36"/>
  <c r="J325" i="36"/>
  <c r="I325" i="36"/>
  <c r="H325" i="36"/>
  <c r="G325" i="36"/>
  <c r="F325" i="36"/>
  <c r="E325" i="36"/>
  <c r="D325" i="36"/>
  <c r="C325" i="36"/>
  <c r="B325" i="36"/>
  <c r="R324" i="36"/>
  <c r="Q324" i="36"/>
  <c r="P324" i="36"/>
  <c r="O324" i="36"/>
  <c r="N324" i="36"/>
  <c r="M324" i="36"/>
  <c r="L324" i="36"/>
  <c r="K324" i="36"/>
  <c r="J324" i="36"/>
  <c r="I324" i="36"/>
  <c r="H324" i="36"/>
  <c r="G324" i="36"/>
  <c r="F324" i="36"/>
  <c r="E324" i="36"/>
  <c r="D324" i="36"/>
  <c r="C324" i="36"/>
  <c r="B324" i="36"/>
  <c r="R323" i="36"/>
  <c r="Q323" i="36"/>
  <c r="P323" i="36"/>
  <c r="O323" i="36"/>
  <c r="N323" i="36"/>
  <c r="M323" i="36"/>
  <c r="L323" i="36"/>
  <c r="K323" i="36"/>
  <c r="J323" i="36"/>
  <c r="I323" i="36"/>
  <c r="H323" i="36"/>
  <c r="G323" i="36"/>
  <c r="F323" i="36"/>
  <c r="E323" i="36"/>
  <c r="D323" i="36"/>
  <c r="C323" i="36"/>
  <c r="B323" i="36"/>
  <c r="R322" i="36"/>
  <c r="Q322" i="36"/>
  <c r="P322" i="36"/>
  <c r="O322" i="36"/>
  <c r="N322" i="36"/>
  <c r="M322" i="36"/>
  <c r="L322" i="36"/>
  <c r="K322" i="36"/>
  <c r="J322" i="36"/>
  <c r="I322" i="36"/>
  <c r="H322" i="36"/>
  <c r="G322" i="36"/>
  <c r="F322" i="36"/>
  <c r="E322" i="36"/>
  <c r="D322" i="36"/>
  <c r="C322" i="36"/>
  <c r="B322" i="36"/>
  <c r="R321" i="36"/>
  <c r="Q321" i="36"/>
  <c r="P321" i="36"/>
  <c r="O321" i="36"/>
  <c r="N321" i="36"/>
  <c r="M321" i="36"/>
  <c r="L321" i="36"/>
  <c r="K321" i="36"/>
  <c r="J321" i="36"/>
  <c r="I321" i="36"/>
  <c r="H321" i="36"/>
  <c r="G321" i="36"/>
  <c r="F321" i="36"/>
  <c r="E321" i="36"/>
  <c r="D321" i="36"/>
  <c r="C321" i="36"/>
  <c r="B321" i="36"/>
  <c r="R320" i="36"/>
  <c r="Q320" i="36"/>
  <c r="P320" i="36"/>
  <c r="O320" i="36"/>
  <c r="N320" i="36"/>
  <c r="M320" i="36"/>
  <c r="L320" i="36"/>
  <c r="K320" i="36"/>
  <c r="J320" i="36"/>
  <c r="I320" i="36"/>
  <c r="H320" i="36"/>
  <c r="G320" i="36"/>
  <c r="F320" i="36"/>
  <c r="E320" i="36"/>
  <c r="D320" i="36"/>
  <c r="C320" i="36"/>
  <c r="B320" i="36"/>
  <c r="R319" i="36"/>
  <c r="Q319" i="36"/>
  <c r="P319" i="36"/>
  <c r="O319" i="36"/>
  <c r="N319" i="36"/>
  <c r="M319" i="36"/>
  <c r="L319" i="36"/>
  <c r="K319" i="36"/>
  <c r="J319" i="36"/>
  <c r="I319" i="36"/>
  <c r="H319" i="36"/>
  <c r="G319" i="36"/>
  <c r="F319" i="36"/>
  <c r="E319" i="36"/>
  <c r="D319" i="36"/>
  <c r="C319" i="36"/>
  <c r="B319" i="36"/>
  <c r="R318" i="36"/>
  <c r="Q318" i="36"/>
  <c r="P318" i="36"/>
  <c r="O318" i="36"/>
  <c r="N318" i="36"/>
  <c r="M318" i="36"/>
  <c r="L318" i="36"/>
  <c r="K318" i="36"/>
  <c r="J318" i="36"/>
  <c r="I318" i="36"/>
  <c r="H318" i="36"/>
  <c r="G318" i="36"/>
  <c r="F318" i="36"/>
  <c r="E318" i="36"/>
  <c r="D318" i="36"/>
  <c r="C318" i="36"/>
  <c r="B318" i="36"/>
  <c r="R317" i="36"/>
  <c r="Q317" i="36"/>
  <c r="P317" i="36"/>
  <c r="O317" i="36"/>
  <c r="N317" i="36"/>
  <c r="M317" i="36"/>
  <c r="L317" i="36"/>
  <c r="K317" i="36"/>
  <c r="J317" i="36"/>
  <c r="I317" i="36"/>
  <c r="H317" i="36"/>
  <c r="G317" i="36"/>
  <c r="F317" i="36"/>
  <c r="E317" i="36"/>
  <c r="D317" i="36"/>
  <c r="C317" i="36"/>
  <c r="B317" i="36"/>
  <c r="R316" i="36"/>
  <c r="Q316" i="36"/>
  <c r="P316" i="36"/>
  <c r="O316" i="36"/>
  <c r="N316" i="36"/>
  <c r="M316" i="36"/>
  <c r="L316" i="36"/>
  <c r="K316" i="36"/>
  <c r="J316" i="36"/>
  <c r="I316" i="36"/>
  <c r="H316" i="36"/>
  <c r="G316" i="36"/>
  <c r="F316" i="36"/>
  <c r="E316" i="36"/>
  <c r="D316" i="36"/>
  <c r="C316" i="36"/>
  <c r="B316" i="36"/>
  <c r="R315" i="36"/>
  <c r="Q315" i="36"/>
  <c r="P315" i="36"/>
  <c r="O315" i="36"/>
  <c r="N315" i="36"/>
  <c r="M315" i="36"/>
  <c r="L315" i="36"/>
  <c r="K315" i="36"/>
  <c r="J315" i="36"/>
  <c r="I315" i="36"/>
  <c r="H315" i="36"/>
  <c r="G315" i="36"/>
  <c r="F315" i="36"/>
  <c r="E315" i="36"/>
  <c r="D315" i="36"/>
  <c r="C315" i="36"/>
  <c r="B315" i="36"/>
  <c r="R314" i="36"/>
  <c r="Q314" i="36"/>
  <c r="P314" i="36"/>
  <c r="O314" i="36"/>
  <c r="N314" i="36"/>
  <c r="M314" i="36"/>
  <c r="L314" i="36"/>
  <c r="K314" i="36"/>
  <c r="J314" i="36"/>
  <c r="I314" i="36"/>
  <c r="H314" i="36"/>
  <c r="G314" i="36"/>
  <c r="F314" i="36"/>
  <c r="E314" i="36"/>
  <c r="D314" i="36"/>
  <c r="C314" i="36"/>
  <c r="B314" i="36"/>
  <c r="R313" i="36"/>
  <c r="Q313" i="36"/>
  <c r="P313" i="36"/>
  <c r="O313" i="36"/>
  <c r="N313" i="36"/>
  <c r="M313" i="36"/>
  <c r="L313" i="36"/>
  <c r="K313" i="36"/>
  <c r="J313" i="36"/>
  <c r="I313" i="36"/>
  <c r="H313" i="36"/>
  <c r="G313" i="36"/>
  <c r="F313" i="36"/>
  <c r="E313" i="36"/>
  <c r="D313" i="36"/>
  <c r="C313" i="36"/>
  <c r="B313" i="36"/>
  <c r="R312" i="36"/>
  <c r="Q312" i="36"/>
  <c r="P312" i="36"/>
  <c r="O312" i="36"/>
  <c r="N312" i="36"/>
  <c r="M312" i="36"/>
  <c r="L312" i="36"/>
  <c r="K312" i="36"/>
  <c r="J312" i="36"/>
  <c r="I312" i="36"/>
  <c r="H312" i="36"/>
  <c r="G312" i="36"/>
  <c r="F312" i="36"/>
  <c r="E312" i="36"/>
  <c r="D312" i="36"/>
  <c r="C312" i="36"/>
  <c r="B312" i="36"/>
  <c r="R311" i="36"/>
  <c r="Q311" i="36"/>
  <c r="P311" i="36"/>
  <c r="O311" i="36"/>
  <c r="N311" i="36"/>
  <c r="M311" i="36"/>
  <c r="L311" i="36"/>
  <c r="K311" i="36"/>
  <c r="J311" i="36"/>
  <c r="I311" i="36"/>
  <c r="H311" i="36"/>
  <c r="G311" i="36"/>
  <c r="F311" i="36"/>
  <c r="E311" i="36"/>
  <c r="D311" i="36"/>
  <c r="C311" i="36"/>
  <c r="B311" i="36"/>
  <c r="R310" i="36"/>
  <c r="Q310" i="36"/>
  <c r="P310" i="36"/>
  <c r="O310" i="36"/>
  <c r="N310" i="36"/>
  <c r="M310" i="36"/>
  <c r="L310" i="36"/>
  <c r="K310" i="36"/>
  <c r="J310" i="36"/>
  <c r="I310" i="36"/>
  <c r="H310" i="36"/>
  <c r="G310" i="36"/>
  <c r="F310" i="36"/>
  <c r="E310" i="36"/>
  <c r="D310" i="36"/>
  <c r="C310" i="36"/>
  <c r="B310" i="36"/>
  <c r="R309" i="36"/>
  <c r="Q309" i="36"/>
  <c r="P309" i="36"/>
  <c r="O309" i="36"/>
  <c r="N309" i="36"/>
  <c r="M309" i="36"/>
  <c r="L309" i="36"/>
  <c r="K309" i="36"/>
  <c r="J309" i="36"/>
  <c r="I309" i="36"/>
  <c r="H309" i="36"/>
  <c r="G309" i="36"/>
  <c r="F309" i="36"/>
  <c r="E309" i="36"/>
  <c r="D309" i="36"/>
  <c r="C309" i="36"/>
  <c r="B309" i="36"/>
  <c r="R308" i="36"/>
  <c r="Q308" i="36"/>
  <c r="P308" i="36"/>
  <c r="O308" i="36"/>
  <c r="N308" i="36"/>
  <c r="M308" i="36"/>
  <c r="L308" i="36"/>
  <c r="K308" i="36"/>
  <c r="J308" i="36"/>
  <c r="I308" i="36"/>
  <c r="H308" i="36"/>
  <c r="G308" i="36"/>
  <c r="F308" i="36"/>
  <c r="E308" i="36"/>
  <c r="D308" i="36"/>
  <c r="C308" i="36"/>
  <c r="B308" i="36"/>
  <c r="R307" i="36"/>
  <c r="Q307" i="36"/>
  <c r="P307" i="36"/>
  <c r="O307" i="36"/>
  <c r="N307" i="36"/>
  <c r="M307" i="36"/>
  <c r="L307" i="36"/>
  <c r="K307" i="36"/>
  <c r="J307" i="36"/>
  <c r="I307" i="36"/>
  <c r="H307" i="36"/>
  <c r="G307" i="36"/>
  <c r="F307" i="36"/>
  <c r="E307" i="36"/>
  <c r="D307" i="36"/>
  <c r="C307" i="36"/>
  <c r="B307" i="36"/>
  <c r="R306" i="36"/>
  <c r="Q306" i="36"/>
  <c r="P306" i="36"/>
  <c r="O306" i="36"/>
  <c r="N306" i="36"/>
  <c r="M306" i="36"/>
  <c r="L306" i="36"/>
  <c r="K306" i="36"/>
  <c r="J306" i="36"/>
  <c r="I306" i="36"/>
  <c r="H306" i="36"/>
  <c r="G306" i="36"/>
  <c r="F306" i="36"/>
  <c r="E306" i="36"/>
  <c r="D306" i="36"/>
  <c r="C306" i="36"/>
  <c r="B306" i="36"/>
  <c r="R305" i="36"/>
  <c r="Q305" i="36"/>
  <c r="P305" i="36"/>
  <c r="O305" i="36"/>
  <c r="N305" i="36"/>
  <c r="M305" i="36"/>
  <c r="L305" i="36"/>
  <c r="K305" i="36"/>
  <c r="J305" i="36"/>
  <c r="I305" i="36"/>
  <c r="H305" i="36"/>
  <c r="G305" i="36"/>
  <c r="F305" i="36"/>
  <c r="E305" i="36"/>
  <c r="D305" i="36"/>
  <c r="C305" i="36"/>
  <c r="B305" i="36"/>
  <c r="R304" i="36"/>
  <c r="Q304" i="36"/>
  <c r="P304" i="36"/>
  <c r="O304" i="36"/>
  <c r="N304" i="36"/>
  <c r="M304" i="36"/>
  <c r="L304" i="36"/>
  <c r="K304" i="36"/>
  <c r="J304" i="36"/>
  <c r="I304" i="36"/>
  <c r="H304" i="36"/>
  <c r="G304" i="36"/>
  <c r="F304" i="36"/>
  <c r="E304" i="36"/>
  <c r="D304" i="36"/>
  <c r="C304" i="36"/>
  <c r="B304" i="36"/>
  <c r="R303" i="36"/>
  <c r="Q303" i="36"/>
  <c r="P303" i="36"/>
  <c r="O303" i="36"/>
  <c r="N303" i="36"/>
  <c r="M303" i="36"/>
  <c r="L303" i="36"/>
  <c r="K303" i="36"/>
  <c r="J303" i="36"/>
  <c r="I303" i="36"/>
  <c r="H303" i="36"/>
  <c r="G303" i="36"/>
  <c r="F303" i="36"/>
  <c r="E303" i="36"/>
  <c r="D303" i="36"/>
  <c r="C303" i="36"/>
  <c r="B303" i="36"/>
  <c r="R302" i="36"/>
  <c r="Q302" i="36"/>
  <c r="P302" i="36"/>
  <c r="O302" i="36"/>
  <c r="N302" i="36"/>
  <c r="M302" i="36"/>
  <c r="L302" i="36"/>
  <c r="K302" i="36"/>
  <c r="J302" i="36"/>
  <c r="I302" i="36"/>
  <c r="H302" i="36"/>
  <c r="G302" i="36"/>
  <c r="F302" i="36"/>
  <c r="E302" i="36"/>
  <c r="D302" i="36"/>
  <c r="C302" i="36"/>
  <c r="B302" i="36"/>
  <c r="R301" i="36"/>
  <c r="Q301" i="36"/>
  <c r="P301" i="36"/>
  <c r="O301" i="36"/>
  <c r="N301" i="36"/>
  <c r="M301" i="36"/>
  <c r="L301" i="36"/>
  <c r="K301" i="36"/>
  <c r="J301" i="36"/>
  <c r="I301" i="36"/>
  <c r="H301" i="36"/>
  <c r="G301" i="36"/>
  <c r="F301" i="36"/>
  <c r="E301" i="36"/>
  <c r="D301" i="36"/>
  <c r="C301" i="36"/>
  <c r="B301" i="36"/>
  <c r="R300" i="36"/>
  <c r="Q300" i="36"/>
  <c r="P300" i="36"/>
  <c r="O300" i="36"/>
  <c r="N300" i="36"/>
  <c r="M300" i="36"/>
  <c r="L300" i="36"/>
  <c r="K300" i="36"/>
  <c r="J300" i="36"/>
  <c r="I300" i="36"/>
  <c r="H300" i="36"/>
  <c r="G300" i="36"/>
  <c r="F300" i="36"/>
  <c r="E300" i="36"/>
  <c r="D300" i="36"/>
  <c r="C300" i="36"/>
  <c r="B300" i="36"/>
  <c r="R299" i="36"/>
  <c r="Q299" i="36"/>
  <c r="P299" i="36"/>
  <c r="O299" i="36"/>
  <c r="N299" i="36"/>
  <c r="M299" i="36"/>
  <c r="L299" i="36"/>
  <c r="K299" i="36"/>
  <c r="J299" i="36"/>
  <c r="I299" i="36"/>
  <c r="H299" i="36"/>
  <c r="G299" i="36"/>
  <c r="F299" i="36"/>
  <c r="E299" i="36"/>
  <c r="D299" i="36"/>
  <c r="C299" i="36"/>
  <c r="B299" i="36"/>
  <c r="R298" i="36"/>
  <c r="Q298" i="36"/>
  <c r="P298" i="36"/>
  <c r="O298" i="36"/>
  <c r="N298" i="36"/>
  <c r="M298" i="36"/>
  <c r="L298" i="36"/>
  <c r="K298" i="36"/>
  <c r="J298" i="36"/>
  <c r="I298" i="36"/>
  <c r="H298" i="36"/>
  <c r="G298" i="36"/>
  <c r="F298" i="36"/>
  <c r="E298" i="36"/>
  <c r="D298" i="36"/>
  <c r="C298" i="36"/>
  <c r="B298" i="36"/>
  <c r="R297" i="36"/>
  <c r="Q297" i="36"/>
  <c r="P297" i="36"/>
  <c r="O297" i="36"/>
  <c r="N297" i="36"/>
  <c r="M297" i="36"/>
  <c r="L297" i="36"/>
  <c r="K297" i="36"/>
  <c r="J297" i="36"/>
  <c r="I297" i="36"/>
  <c r="H297" i="36"/>
  <c r="G297" i="36"/>
  <c r="F297" i="36"/>
  <c r="E297" i="36"/>
  <c r="D297" i="36"/>
  <c r="C297" i="36"/>
  <c r="B297" i="36"/>
  <c r="R296" i="36"/>
  <c r="Q296" i="36"/>
  <c r="P296" i="36"/>
  <c r="O296" i="36"/>
  <c r="N296" i="36"/>
  <c r="M296" i="36"/>
  <c r="L296" i="36"/>
  <c r="K296" i="36"/>
  <c r="J296" i="36"/>
  <c r="I296" i="36"/>
  <c r="H296" i="36"/>
  <c r="G296" i="36"/>
  <c r="F296" i="36"/>
  <c r="E296" i="36"/>
  <c r="D296" i="36"/>
  <c r="C296" i="36"/>
  <c r="B296" i="36"/>
  <c r="R295" i="36"/>
  <c r="Q295" i="36"/>
  <c r="P295" i="36"/>
  <c r="O295" i="36"/>
  <c r="N295" i="36"/>
  <c r="M295" i="36"/>
  <c r="L295" i="36"/>
  <c r="K295" i="36"/>
  <c r="J295" i="36"/>
  <c r="I295" i="36"/>
  <c r="H295" i="36"/>
  <c r="G295" i="36"/>
  <c r="F295" i="36"/>
  <c r="E295" i="36"/>
  <c r="D295" i="36"/>
  <c r="C295" i="36"/>
  <c r="B295" i="36"/>
  <c r="R294" i="36"/>
  <c r="Q294" i="36"/>
  <c r="P294" i="36"/>
  <c r="O294" i="36"/>
  <c r="N294" i="36"/>
  <c r="M294" i="36"/>
  <c r="L294" i="36"/>
  <c r="K294" i="36"/>
  <c r="J294" i="36"/>
  <c r="I294" i="36"/>
  <c r="H294" i="36"/>
  <c r="G294" i="36"/>
  <c r="F294" i="36"/>
  <c r="E294" i="36"/>
  <c r="D294" i="36"/>
  <c r="C294" i="36"/>
  <c r="B294" i="36"/>
  <c r="R293" i="36"/>
  <c r="Q293" i="36"/>
  <c r="P293" i="36"/>
  <c r="O293" i="36"/>
  <c r="N293" i="36"/>
  <c r="M293" i="36"/>
  <c r="L293" i="36"/>
  <c r="K293" i="36"/>
  <c r="J293" i="36"/>
  <c r="I293" i="36"/>
  <c r="H293" i="36"/>
  <c r="G293" i="36"/>
  <c r="F293" i="36"/>
  <c r="E293" i="36"/>
  <c r="D293" i="36"/>
  <c r="C293" i="36"/>
  <c r="B293" i="36"/>
  <c r="R292" i="36"/>
  <c r="Q292" i="36"/>
  <c r="P292" i="36"/>
  <c r="O292" i="36"/>
  <c r="N292" i="36"/>
  <c r="M292" i="36"/>
  <c r="L292" i="36"/>
  <c r="K292" i="36"/>
  <c r="J292" i="36"/>
  <c r="I292" i="36"/>
  <c r="H292" i="36"/>
  <c r="G292" i="36"/>
  <c r="F292" i="36"/>
  <c r="E292" i="36"/>
  <c r="D292" i="36"/>
  <c r="C292" i="36"/>
  <c r="B292" i="36"/>
  <c r="R291" i="36"/>
  <c r="Q291" i="36"/>
  <c r="P291" i="36"/>
  <c r="O291" i="36"/>
  <c r="N291" i="36"/>
  <c r="M291" i="36"/>
  <c r="L291" i="36"/>
  <c r="K291" i="36"/>
  <c r="J291" i="36"/>
  <c r="I291" i="36"/>
  <c r="H291" i="36"/>
  <c r="G291" i="36"/>
  <c r="F291" i="36"/>
  <c r="E291" i="36"/>
  <c r="D291" i="36"/>
  <c r="C291" i="36"/>
  <c r="B291" i="36"/>
  <c r="R290" i="36"/>
  <c r="Q290" i="36"/>
  <c r="P290" i="36"/>
  <c r="O290" i="36"/>
  <c r="N290" i="36"/>
  <c r="M290" i="36"/>
  <c r="L290" i="36"/>
  <c r="K290" i="36"/>
  <c r="J290" i="36"/>
  <c r="I290" i="36"/>
  <c r="H290" i="36"/>
  <c r="G290" i="36"/>
  <c r="F290" i="36"/>
  <c r="E290" i="36"/>
  <c r="D290" i="36"/>
  <c r="C290" i="36"/>
  <c r="B290" i="36"/>
  <c r="R289" i="36"/>
  <c r="Q289" i="36"/>
  <c r="P289" i="36"/>
  <c r="O289" i="36"/>
  <c r="N289" i="36"/>
  <c r="M289" i="36"/>
  <c r="L289" i="36"/>
  <c r="K289" i="36"/>
  <c r="J289" i="36"/>
  <c r="I289" i="36"/>
  <c r="H289" i="36"/>
  <c r="G289" i="36"/>
  <c r="F289" i="36"/>
  <c r="E289" i="36"/>
  <c r="D289" i="36"/>
  <c r="C289" i="36"/>
  <c r="B289" i="36"/>
  <c r="R288" i="36"/>
  <c r="Q288" i="36"/>
  <c r="P288" i="36"/>
  <c r="O288" i="36"/>
  <c r="N288" i="36"/>
  <c r="M288" i="36"/>
  <c r="L288" i="36"/>
  <c r="K288" i="36"/>
  <c r="J288" i="36"/>
  <c r="I288" i="36"/>
  <c r="H288" i="36"/>
  <c r="G288" i="36"/>
  <c r="F288" i="36"/>
  <c r="E288" i="36"/>
  <c r="D288" i="36"/>
  <c r="C288" i="36"/>
  <c r="B288" i="36"/>
  <c r="R287" i="36"/>
  <c r="Q287" i="36"/>
  <c r="P287" i="36"/>
  <c r="O287" i="36"/>
  <c r="N287" i="36"/>
  <c r="M287" i="36"/>
  <c r="L287" i="36"/>
  <c r="K287" i="36"/>
  <c r="J287" i="36"/>
  <c r="I287" i="36"/>
  <c r="H287" i="36"/>
  <c r="G287" i="36"/>
  <c r="F287" i="36"/>
  <c r="E287" i="36"/>
  <c r="D287" i="36"/>
  <c r="C287" i="36"/>
  <c r="B287" i="36"/>
  <c r="R286" i="36"/>
  <c r="Q286" i="36"/>
  <c r="P286" i="36"/>
  <c r="O286" i="36"/>
  <c r="N286" i="36"/>
  <c r="M286" i="36"/>
  <c r="L286" i="36"/>
  <c r="K286" i="36"/>
  <c r="J286" i="36"/>
  <c r="I286" i="36"/>
  <c r="H286" i="36"/>
  <c r="G286" i="36"/>
  <c r="F286" i="36"/>
  <c r="E286" i="36"/>
  <c r="D286" i="36"/>
  <c r="C286" i="36"/>
  <c r="B286" i="36"/>
  <c r="R285" i="36"/>
  <c r="Q285" i="36"/>
  <c r="P285" i="36"/>
  <c r="O285" i="36"/>
  <c r="N285" i="36"/>
  <c r="M285" i="36"/>
  <c r="L285" i="36"/>
  <c r="K285" i="36"/>
  <c r="J285" i="36"/>
  <c r="I285" i="36"/>
  <c r="H285" i="36"/>
  <c r="G285" i="36"/>
  <c r="F285" i="36"/>
  <c r="E285" i="36"/>
  <c r="D285" i="36"/>
  <c r="C285" i="36"/>
  <c r="B285" i="36"/>
  <c r="R284" i="36"/>
  <c r="Q284" i="36"/>
  <c r="P284" i="36"/>
  <c r="O284" i="36"/>
  <c r="N284" i="36"/>
  <c r="M284" i="36"/>
  <c r="L284" i="36"/>
  <c r="K284" i="36"/>
  <c r="J284" i="36"/>
  <c r="I284" i="36"/>
  <c r="H284" i="36"/>
  <c r="G284" i="36"/>
  <c r="F284" i="36"/>
  <c r="E284" i="36"/>
  <c r="D284" i="36"/>
  <c r="C284" i="36"/>
  <c r="B284" i="36"/>
  <c r="R283" i="36"/>
  <c r="Q283" i="36"/>
  <c r="P283" i="36"/>
  <c r="O283" i="36"/>
  <c r="N283" i="36"/>
  <c r="M283" i="36"/>
  <c r="L283" i="36"/>
  <c r="K283" i="36"/>
  <c r="J283" i="36"/>
  <c r="I283" i="36"/>
  <c r="H283" i="36"/>
  <c r="G283" i="36"/>
  <c r="F283" i="36"/>
  <c r="E283" i="36"/>
  <c r="D283" i="36"/>
  <c r="C283" i="36"/>
  <c r="B283" i="36"/>
  <c r="R282" i="36"/>
  <c r="Q282" i="36"/>
  <c r="P282" i="36"/>
  <c r="O282" i="36"/>
  <c r="N282" i="36"/>
  <c r="M282" i="36"/>
  <c r="L282" i="36"/>
  <c r="K282" i="36"/>
  <c r="J282" i="36"/>
  <c r="I282" i="36"/>
  <c r="H282" i="36"/>
  <c r="G282" i="36"/>
  <c r="F282" i="36"/>
  <c r="E282" i="36"/>
  <c r="D282" i="36"/>
  <c r="C282" i="36"/>
  <c r="B282" i="36"/>
  <c r="R281" i="36"/>
  <c r="Q281" i="36"/>
  <c r="P281" i="36"/>
  <c r="O281" i="36"/>
  <c r="N281" i="36"/>
  <c r="M281" i="36"/>
  <c r="L281" i="36"/>
  <c r="K281" i="36"/>
  <c r="J281" i="36"/>
  <c r="I281" i="36"/>
  <c r="H281" i="36"/>
  <c r="G281" i="36"/>
  <c r="F281" i="36"/>
  <c r="E281" i="36"/>
  <c r="D281" i="36"/>
  <c r="C281" i="36"/>
  <c r="B281" i="36"/>
  <c r="R280" i="36"/>
  <c r="Q280" i="36"/>
  <c r="P280" i="36"/>
  <c r="O280" i="36"/>
  <c r="N280" i="36"/>
  <c r="M280" i="36"/>
  <c r="L280" i="36"/>
  <c r="K280" i="36"/>
  <c r="J280" i="36"/>
  <c r="I280" i="36"/>
  <c r="H280" i="36"/>
  <c r="G280" i="36"/>
  <c r="F280" i="36"/>
  <c r="E280" i="36"/>
  <c r="D280" i="36"/>
  <c r="C280" i="36"/>
  <c r="B280" i="36"/>
  <c r="R279" i="36"/>
  <c r="Q279" i="36"/>
  <c r="P279" i="36"/>
  <c r="O279" i="36"/>
  <c r="N279" i="36"/>
  <c r="M279" i="36"/>
  <c r="L279" i="36"/>
  <c r="K279" i="36"/>
  <c r="J279" i="36"/>
  <c r="I279" i="36"/>
  <c r="H279" i="36"/>
  <c r="G279" i="36"/>
  <c r="F279" i="36"/>
  <c r="E279" i="36"/>
  <c r="D279" i="36"/>
  <c r="C279" i="36"/>
  <c r="B279" i="36"/>
  <c r="R278" i="36"/>
  <c r="Q278" i="36"/>
  <c r="P278" i="36"/>
  <c r="O278" i="36"/>
  <c r="N278" i="36"/>
  <c r="M278" i="36"/>
  <c r="L278" i="36"/>
  <c r="K278" i="36"/>
  <c r="J278" i="36"/>
  <c r="I278" i="36"/>
  <c r="H278" i="36"/>
  <c r="G278" i="36"/>
  <c r="F278" i="36"/>
  <c r="E278" i="36"/>
  <c r="D278" i="36"/>
  <c r="C278" i="36"/>
  <c r="B278" i="36"/>
  <c r="R277" i="36"/>
  <c r="Q277" i="36"/>
  <c r="P277" i="36"/>
  <c r="O277" i="36"/>
  <c r="N277" i="36"/>
  <c r="M277" i="36"/>
  <c r="L277" i="36"/>
  <c r="K277" i="36"/>
  <c r="J277" i="36"/>
  <c r="I277" i="36"/>
  <c r="H277" i="36"/>
  <c r="G277" i="36"/>
  <c r="F277" i="36"/>
  <c r="E277" i="36"/>
  <c r="D277" i="36"/>
  <c r="C277" i="36"/>
  <c r="B277" i="36"/>
  <c r="R276" i="36"/>
  <c r="Q276" i="36"/>
  <c r="P276" i="36"/>
  <c r="O276" i="36"/>
  <c r="N276" i="36"/>
  <c r="M276" i="36"/>
  <c r="L276" i="36"/>
  <c r="K276" i="36"/>
  <c r="J276" i="36"/>
  <c r="I276" i="36"/>
  <c r="H276" i="36"/>
  <c r="G276" i="36"/>
  <c r="F276" i="36"/>
  <c r="E276" i="36"/>
  <c r="D276" i="36"/>
  <c r="C276" i="36"/>
  <c r="B276" i="36"/>
  <c r="R275" i="36"/>
  <c r="Q275" i="36"/>
  <c r="P275" i="36"/>
  <c r="O275" i="36"/>
  <c r="N275" i="36"/>
  <c r="M275" i="36"/>
  <c r="L275" i="36"/>
  <c r="K275" i="36"/>
  <c r="J275" i="36"/>
  <c r="I275" i="36"/>
  <c r="H275" i="36"/>
  <c r="G275" i="36"/>
  <c r="F275" i="36"/>
  <c r="E275" i="36"/>
  <c r="D275" i="36"/>
  <c r="C275" i="36"/>
  <c r="B275" i="36"/>
  <c r="R274" i="36"/>
  <c r="Q274" i="36"/>
  <c r="P274" i="36"/>
  <c r="O274" i="36"/>
  <c r="N274" i="36"/>
  <c r="M274" i="36"/>
  <c r="L274" i="36"/>
  <c r="K274" i="36"/>
  <c r="J274" i="36"/>
  <c r="I274" i="36"/>
  <c r="H274" i="36"/>
  <c r="G274" i="36"/>
  <c r="F274" i="36"/>
  <c r="E274" i="36"/>
  <c r="D274" i="36"/>
  <c r="C274" i="36"/>
  <c r="B274" i="36"/>
  <c r="R273" i="36"/>
  <c r="Q273" i="36"/>
  <c r="P273" i="36"/>
  <c r="O273" i="36"/>
  <c r="N273" i="36"/>
  <c r="M273" i="36"/>
  <c r="L273" i="36"/>
  <c r="K273" i="36"/>
  <c r="J273" i="36"/>
  <c r="I273" i="36"/>
  <c r="H273" i="36"/>
  <c r="G273" i="36"/>
  <c r="F273" i="36"/>
  <c r="E273" i="36"/>
  <c r="D273" i="36"/>
  <c r="C273" i="36"/>
  <c r="B273" i="36"/>
  <c r="R272" i="36"/>
  <c r="Q272" i="36"/>
  <c r="P272" i="36"/>
  <c r="O272" i="36"/>
  <c r="N272" i="36"/>
  <c r="M272" i="36"/>
  <c r="L272" i="36"/>
  <c r="K272" i="36"/>
  <c r="J272" i="36"/>
  <c r="I272" i="36"/>
  <c r="H272" i="36"/>
  <c r="G272" i="36"/>
  <c r="F272" i="36"/>
  <c r="E272" i="36"/>
  <c r="D272" i="36"/>
  <c r="C272" i="36"/>
  <c r="B272" i="36"/>
  <c r="R271" i="36"/>
  <c r="Q271" i="36"/>
  <c r="P271" i="36"/>
  <c r="O271" i="36"/>
  <c r="N271" i="36"/>
  <c r="M271" i="36"/>
  <c r="L271" i="36"/>
  <c r="K271" i="36"/>
  <c r="J271" i="36"/>
  <c r="I271" i="36"/>
  <c r="H271" i="36"/>
  <c r="G271" i="36"/>
  <c r="F271" i="36"/>
  <c r="E271" i="36"/>
  <c r="D271" i="36"/>
  <c r="C271" i="36"/>
  <c r="B271" i="36"/>
  <c r="R270" i="36"/>
  <c r="Q270" i="36"/>
  <c r="P270" i="36"/>
  <c r="O270" i="36"/>
  <c r="N270" i="36"/>
  <c r="M270" i="36"/>
  <c r="L270" i="36"/>
  <c r="K270" i="36"/>
  <c r="J270" i="36"/>
  <c r="I270" i="36"/>
  <c r="H270" i="36"/>
  <c r="G270" i="36"/>
  <c r="F270" i="36"/>
  <c r="E270" i="36"/>
  <c r="D270" i="36"/>
  <c r="C270" i="36"/>
  <c r="B270" i="36"/>
  <c r="R269" i="36"/>
  <c r="Q269" i="36"/>
  <c r="P269" i="36"/>
  <c r="O269" i="36"/>
  <c r="N269" i="36"/>
  <c r="M269" i="36"/>
  <c r="L269" i="36"/>
  <c r="K269" i="36"/>
  <c r="J269" i="36"/>
  <c r="I269" i="36"/>
  <c r="H269" i="36"/>
  <c r="G269" i="36"/>
  <c r="F269" i="36"/>
  <c r="E269" i="36"/>
  <c r="D269" i="36"/>
  <c r="C269" i="36"/>
  <c r="B269" i="36"/>
  <c r="R268" i="36"/>
  <c r="Q268" i="36"/>
  <c r="P268" i="36"/>
  <c r="O268" i="36"/>
  <c r="N268" i="36"/>
  <c r="M268" i="36"/>
  <c r="L268" i="36"/>
  <c r="K268" i="36"/>
  <c r="J268" i="36"/>
  <c r="I268" i="36"/>
  <c r="H268" i="36"/>
  <c r="G268" i="36"/>
  <c r="F268" i="36"/>
  <c r="E268" i="36"/>
  <c r="D268" i="36"/>
  <c r="C268" i="36"/>
  <c r="B268" i="36"/>
  <c r="R267" i="36"/>
  <c r="Q267" i="36"/>
  <c r="P267" i="36"/>
  <c r="O267" i="36"/>
  <c r="N267" i="36"/>
  <c r="M267" i="36"/>
  <c r="L267" i="36"/>
  <c r="K267" i="36"/>
  <c r="J267" i="36"/>
  <c r="I267" i="36"/>
  <c r="H267" i="36"/>
  <c r="G267" i="36"/>
  <c r="F267" i="36"/>
  <c r="E267" i="36"/>
  <c r="D267" i="36"/>
  <c r="C267" i="36"/>
  <c r="B267" i="36"/>
  <c r="R266" i="36"/>
  <c r="Q266" i="36"/>
  <c r="P266" i="36"/>
  <c r="O266" i="36"/>
  <c r="N266" i="36"/>
  <c r="M266" i="36"/>
  <c r="L266" i="36"/>
  <c r="K266" i="36"/>
  <c r="J266" i="36"/>
  <c r="I266" i="36"/>
  <c r="H266" i="36"/>
  <c r="G266" i="36"/>
  <c r="F266" i="36"/>
  <c r="E266" i="36"/>
  <c r="D266" i="36"/>
  <c r="C266" i="36"/>
  <c r="B266" i="36"/>
  <c r="R265" i="36"/>
  <c r="Q265" i="36"/>
  <c r="P265" i="36"/>
  <c r="O265" i="36"/>
  <c r="N265" i="36"/>
  <c r="M265" i="36"/>
  <c r="L265" i="36"/>
  <c r="K265" i="36"/>
  <c r="J265" i="36"/>
  <c r="I265" i="36"/>
  <c r="H265" i="36"/>
  <c r="G265" i="36"/>
  <c r="F265" i="36"/>
  <c r="E265" i="36"/>
  <c r="D265" i="36"/>
  <c r="C265" i="36"/>
  <c r="B265" i="36"/>
  <c r="R264" i="36"/>
  <c r="Q264" i="36"/>
  <c r="P264" i="36"/>
  <c r="O264" i="36"/>
  <c r="N264" i="36"/>
  <c r="M264" i="36"/>
  <c r="L264" i="36"/>
  <c r="K264" i="36"/>
  <c r="J264" i="36"/>
  <c r="I264" i="36"/>
  <c r="H264" i="36"/>
  <c r="G264" i="36"/>
  <c r="F264" i="36"/>
  <c r="E264" i="36"/>
  <c r="D264" i="36"/>
  <c r="C264" i="36"/>
  <c r="B264" i="36"/>
  <c r="R263" i="36"/>
  <c r="Q263" i="36"/>
  <c r="P263" i="36"/>
  <c r="O263" i="36"/>
  <c r="N263" i="36"/>
  <c r="M263" i="36"/>
  <c r="L263" i="36"/>
  <c r="K263" i="36"/>
  <c r="J263" i="36"/>
  <c r="I263" i="36"/>
  <c r="H263" i="36"/>
  <c r="G263" i="36"/>
  <c r="F263" i="36"/>
  <c r="E263" i="36"/>
  <c r="D263" i="36"/>
  <c r="C263" i="36"/>
  <c r="B263" i="36"/>
  <c r="R262" i="36"/>
  <c r="Q262" i="36"/>
  <c r="P262" i="36"/>
  <c r="O262" i="36"/>
  <c r="N262" i="36"/>
  <c r="M262" i="36"/>
  <c r="L262" i="36"/>
  <c r="K262" i="36"/>
  <c r="J262" i="36"/>
  <c r="I262" i="36"/>
  <c r="H262" i="36"/>
  <c r="G262" i="36"/>
  <c r="F262" i="36"/>
  <c r="E262" i="36"/>
  <c r="D262" i="36"/>
  <c r="C262" i="36"/>
  <c r="B262" i="36"/>
  <c r="R261" i="36"/>
  <c r="Q261" i="36"/>
  <c r="P261" i="36"/>
  <c r="O261" i="36"/>
  <c r="N261" i="36"/>
  <c r="M261" i="36"/>
  <c r="L261" i="36"/>
  <c r="K261" i="36"/>
  <c r="J261" i="36"/>
  <c r="I261" i="36"/>
  <c r="H261" i="36"/>
  <c r="G261" i="36"/>
  <c r="F261" i="36"/>
  <c r="E261" i="36"/>
  <c r="D261" i="36"/>
  <c r="C261" i="36"/>
  <c r="B261" i="36"/>
  <c r="R260" i="36"/>
  <c r="Q260" i="36"/>
  <c r="P260" i="36"/>
  <c r="O260" i="36"/>
  <c r="N260" i="36"/>
  <c r="M260" i="36"/>
  <c r="L260" i="36"/>
  <c r="K260" i="36"/>
  <c r="J260" i="36"/>
  <c r="I260" i="36"/>
  <c r="H260" i="36"/>
  <c r="G260" i="36"/>
  <c r="F260" i="36"/>
  <c r="E260" i="36"/>
  <c r="D260" i="36"/>
  <c r="C260" i="36"/>
  <c r="B260" i="36"/>
  <c r="R259" i="36"/>
  <c r="Q259" i="36"/>
  <c r="P259" i="36"/>
  <c r="O259" i="36"/>
  <c r="N259" i="36"/>
  <c r="M259" i="36"/>
  <c r="L259" i="36"/>
  <c r="K259" i="36"/>
  <c r="J259" i="36"/>
  <c r="I259" i="36"/>
  <c r="H259" i="36"/>
  <c r="G259" i="36"/>
  <c r="F259" i="36"/>
  <c r="E259" i="36"/>
  <c r="D259" i="36"/>
  <c r="C259" i="36"/>
  <c r="B259" i="36"/>
  <c r="R258" i="36"/>
  <c r="Q258" i="36"/>
  <c r="P258" i="36"/>
  <c r="O258" i="36"/>
  <c r="N258" i="36"/>
  <c r="M258" i="36"/>
  <c r="L258" i="36"/>
  <c r="K258" i="36"/>
  <c r="J258" i="36"/>
  <c r="I258" i="36"/>
  <c r="H258" i="36"/>
  <c r="G258" i="36"/>
  <c r="F258" i="36"/>
  <c r="E258" i="36"/>
  <c r="D258" i="36"/>
  <c r="C258" i="36"/>
  <c r="B258" i="36"/>
  <c r="R257" i="36"/>
  <c r="Q257" i="36"/>
  <c r="P257" i="36"/>
  <c r="O257" i="36"/>
  <c r="N257" i="36"/>
  <c r="M257" i="36"/>
  <c r="L257" i="36"/>
  <c r="K257" i="36"/>
  <c r="J257" i="36"/>
  <c r="I257" i="36"/>
  <c r="H257" i="36"/>
  <c r="G257" i="36"/>
  <c r="F257" i="36"/>
  <c r="E257" i="36"/>
  <c r="D257" i="36"/>
  <c r="C257" i="36"/>
  <c r="B257" i="36"/>
  <c r="R256" i="36"/>
  <c r="Q256" i="36"/>
  <c r="P256" i="36"/>
  <c r="O256" i="36"/>
  <c r="N256" i="36"/>
  <c r="M256" i="36"/>
  <c r="L256" i="36"/>
  <c r="K256" i="36"/>
  <c r="J256" i="36"/>
  <c r="I256" i="36"/>
  <c r="H256" i="36"/>
  <c r="G256" i="36"/>
  <c r="F256" i="36"/>
  <c r="E256" i="36"/>
  <c r="D256" i="36"/>
  <c r="C256" i="36"/>
  <c r="B256" i="36"/>
  <c r="R255" i="36"/>
  <c r="Q255" i="36"/>
  <c r="P255" i="36"/>
  <c r="O255" i="36"/>
  <c r="N255" i="36"/>
  <c r="M255" i="36"/>
  <c r="L255" i="36"/>
  <c r="K255" i="36"/>
  <c r="J255" i="36"/>
  <c r="I255" i="36"/>
  <c r="H255" i="36"/>
  <c r="G255" i="36"/>
  <c r="F255" i="36"/>
  <c r="E255" i="36"/>
  <c r="D255" i="36"/>
  <c r="C255" i="36"/>
  <c r="B255" i="36"/>
  <c r="R254" i="36"/>
  <c r="Q254" i="36"/>
  <c r="P254" i="36"/>
  <c r="O254" i="36"/>
  <c r="N254" i="36"/>
  <c r="M254" i="36"/>
  <c r="L254" i="36"/>
  <c r="K254" i="36"/>
  <c r="J254" i="36"/>
  <c r="I254" i="36"/>
  <c r="H254" i="36"/>
  <c r="G254" i="36"/>
  <c r="F254" i="36"/>
  <c r="E254" i="36"/>
  <c r="D254" i="36"/>
  <c r="C254" i="36"/>
  <c r="B254" i="36"/>
  <c r="R253" i="36"/>
  <c r="Q253" i="36"/>
  <c r="P253" i="36"/>
  <c r="O253" i="36"/>
  <c r="N253" i="36"/>
  <c r="M253" i="36"/>
  <c r="L253" i="36"/>
  <c r="K253" i="36"/>
  <c r="J253" i="36"/>
  <c r="I253" i="36"/>
  <c r="H253" i="36"/>
  <c r="G253" i="36"/>
  <c r="F253" i="36"/>
  <c r="E253" i="36"/>
  <c r="D253" i="36"/>
  <c r="C253" i="36"/>
  <c r="B253" i="36"/>
  <c r="R252" i="36"/>
  <c r="Q252" i="36"/>
  <c r="P252" i="36"/>
  <c r="O252" i="36"/>
  <c r="N252" i="36"/>
  <c r="M252" i="36"/>
  <c r="L252" i="36"/>
  <c r="K252" i="36"/>
  <c r="J252" i="36"/>
  <c r="I252" i="36"/>
  <c r="H252" i="36"/>
  <c r="G252" i="36"/>
  <c r="F252" i="36"/>
  <c r="E252" i="36"/>
  <c r="D252" i="36"/>
  <c r="C252" i="36"/>
  <c r="B252" i="36"/>
  <c r="R251" i="36"/>
  <c r="Q251" i="36"/>
  <c r="P251" i="36"/>
  <c r="O251" i="36"/>
  <c r="N251" i="36"/>
  <c r="M251" i="36"/>
  <c r="L251" i="36"/>
  <c r="K251" i="36"/>
  <c r="J251" i="36"/>
  <c r="I251" i="36"/>
  <c r="H251" i="36"/>
  <c r="G251" i="36"/>
  <c r="F251" i="36"/>
  <c r="E251" i="36"/>
  <c r="D251" i="36"/>
  <c r="C251" i="36"/>
  <c r="B251" i="36"/>
  <c r="R250" i="36"/>
  <c r="Q250" i="36"/>
  <c r="P250" i="36"/>
  <c r="O250" i="36"/>
  <c r="N250" i="36"/>
  <c r="M250" i="36"/>
  <c r="L250" i="36"/>
  <c r="K250" i="36"/>
  <c r="J250" i="36"/>
  <c r="I250" i="36"/>
  <c r="H250" i="36"/>
  <c r="G250" i="36"/>
  <c r="F250" i="36"/>
  <c r="E250" i="36"/>
  <c r="D250" i="36"/>
  <c r="C250" i="36"/>
  <c r="B250" i="36"/>
  <c r="R249" i="36"/>
  <c r="Q249" i="36"/>
  <c r="P249" i="36"/>
  <c r="O249" i="36"/>
  <c r="N249" i="36"/>
  <c r="M249" i="36"/>
  <c r="L249" i="36"/>
  <c r="K249" i="36"/>
  <c r="J249" i="36"/>
  <c r="I249" i="36"/>
  <c r="H249" i="36"/>
  <c r="G249" i="36"/>
  <c r="F249" i="36"/>
  <c r="E249" i="36"/>
  <c r="D249" i="36"/>
  <c r="C249" i="36"/>
  <c r="B249" i="36"/>
  <c r="R248" i="36"/>
  <c r="Q248" i="36"/>
  <c r="P248" i="36"/>
  <c r="O248" i="36"/>
  <c r="N248" i="36"/>
  <c r="M248" i="36"/>
  <c r="L248" i="36"/>
  <c r="K248" i="36"/>
  <c r="J248" i="36"/>
  <c r="I248" i="36"/>
  <c r="H248" i="36"/>
  <c r="G248" i="36"/>
  <c r="F248" i="36"/>
  <c r="E248" i="36"/>
  <c r="D248" i="36"/>
  <c r="C248" i="36"/>
  <c r="B248" i="36"/>
  <c r="R247" i="36"/>
  <c r="Q247" i="36"/>
  <c r="P247" i="36"/>
  <c r="O247" i="36"/>
  <c r="N247" i="36"/>
  <c r="M247" i="36"/>
  <c r="L247" i="36"/>
  <c r="K247" i="36"/>
  <c r="J247" i="36"/>
  <c r="I247" i="36"/>
  <c r="H247" i="36"/>
  <c r="G247" i="36"/>
  <c r="F247" i="36"/>
  <c r="E247" i="36"/>
  <c r="D247" i="36"/>
  <c r="C247" i="36"/>
  <c r="B247" i="36"/>
  <c r="R246" i="36"/>
  <c r="Q246" i="36"/>
  <c r="P246" i="36"/>
  <c r="O246" i="36"/>
  <c r="N246" i="36"/>
  <c r="M246" i="36"/>
  <c r="L246" i="36"/>
  <c r="K246" i="36"/>
  <c r="J246" i="36"/>
  <c r="I246" i="36"/>
  <c r="H246" i="36"/>
  <c r="G246" i="36"/>
  <c r="F246" i="36"/>
  <c r="E246" i="36"/>
  <c r="D246" i="36"/>
  <c r="C246" i="36"/>
  <c r="B246" i="36"/>
  <c r="R245" i="36"/>
  <c r="Q245" i="36"/>
  <c r="P245" i="36"/>
  <c r="O245" i="36"/>
  <c r="N245" i="36"/>
  <c r="M245" i="36"/>
  <c r="L245" i="36"/>
  <c r="K245" i="36"/>
  <c r="J245" i="36"/>
  <c r="I245" i="36"/>
  <c r="H245" i="36"/>
  <c r="G245" i="36"/>
  <c r="F245" i="36"/>
  <c r="E245" i="36"/>
  <c r="D245" i="36"/>
  <c r="C245" i="36"/>
  <c r="B245" i="36"/>
  <c r="R244" i="36"/>
  <c r="Q244" i="36"/>
  <c r="P244" i="36"/>
  <c r="O244" i="36"/>
  <c r="N244" i="36"/>
  <c r="M244" i="36"/>
  <c r="L244" i="36"/>
  <c r="K244" i="36"/>
  <c r="J244" i="36"/>
  <c r="I244" i="36"/>
  <c r="H244" i="36"/>
  <c r="G244" i="36"/>
  <c r="F244" i="36"/>
  <c r="E244" i="36"/>
  <c r="D244" i="36"/>
  <c r="C244" i="36"/>
  <c r="B244" i="36"/>
  <c r="R243" i="36"/>
  <c r="Q243" i="36"/>
  <c r="P243" i="36"/>
  <c r="O243" i="36"/>
  <c r="N243" i="36"/>
  <c r="M243" i="36"/>
  <c r="L243" i="36"/>
  <c r="K243" i="36"/>
  <c r="J243" i="36"/>
  <c r="I243" i="36"/>
  <c r="H243" i="36"/>
  <c r="G243" i="36"/>
  <c r="F243" i="36"/>
  <c r="E243" i="36"/>
  <c r="D243" i="36"/>
  <c r="C243" i="36"/>
  <c r="B243" i="36"/>
  <c r="R242" i="36"/>
  <c r="Q242" i="36"/>
  <c r="P242" i="36"/>
  <c r="O242" i="36"/>
  <c r="N242" i="36"/>
  <c r="M242" i="36"/>
  <c r="L242" i="36"/>
  <c r="K242" i="36"/>
  <c r="J242" i="36"/>
  <c r="I242" i="36"/>
  <c r="H242" i="36"/>
  <c r="G242" i="36"/>
  <c r="F242" i="36"/>
  <c r="E242" i="36"/>
  <c r="D242" i="36"/>
  <c r="C242" i="36"/>
  <c r="B242" i="36"/>
  <c r="R241" i="36"/>
  <c r="Q241" i="36"/>
  <c r="P241" i="36"/>
  <c r="O241" i="36"/>
  <c r="N241" i="36"/>
  <c r="M241" i="36"/>
  <c r="L241" i="36"/>
  <c r="K241" i="36"/>
  <c r="J241" i="36"/>
  <c r="I241" i="36"/>
  <c r="H241" i="36"/>
  <c r="G241" i="36"/>
  <c r="F241" i="36"/>
  <c r="E241" i="36"/>
  <c r="D241" i="36"/>
  <c r="C241" i="36"/>
  <c r="B241" i="36"/>
  <c r="R240" i="36"/>
  <c r="Q240" i="36"/>
  <c r="P240" i="36"/>
  <c r="O240" i="36"/>
  <c r="N240" i="36"/>
  <c r="M240" i="36"/>
  <c r="L240" i="36"/>
  <c r="K240" i="36"/>
  <c r="J240" i="36"/>
  <c r="I240" i="36"/>
  <c r="H240" i="36"/>
  <c r="G240" i="36"/>
  <c r="F240" i="36"/>
  <c r="E240" i="36"/>
  <c r="D240" i="36"/>
  <c r="C240" i="36"/>
  <c r="B240" i="36"/>
  <c r="R239" i="36"/>
  <c r="Q239" i="36"/>
  <c r="P239" i="36"/>
  <c r="O239" i="36"/>
  <c r="N239" i="36"/>
  <c r="M239" i="36"/>
  <c r="L239" i="36"/>
  <c r="K239" i="36"/>
  <c r="J239" i="36"/>
  <c r="I239" i="36"/>
  <c r="H239" i="36"/>
  <c r="G239" i="36"/>
  <c r="F239" i="36"/>
  <c r="E239" i="36"/>
  <c r="D239" i="36"/>
  <c r="C239" i="36"/>
  <c r="B239" i="36"/>
  <c r="R238" i="36"/>
  <c r="Q238" i="36"/>
  <c r="P238" i="36"/>
  <c r="O238" i="36"/>
  <c r="N238" i="36"/>
  <c r="M238" i="36"/>
  <c r="L238" i="36"/>
  <c r="K238" i="36"/>
  <c r="J238" i="36"/>
  <c r="I238" i="36"/>
  <c r="H238" i="36"/>
  <c r="G238" i="36"/>
  <c r="F238" i="36"/>
  <c r="E238" i="36"/>
  <c r="D238" i="36"/>
  <c r="C238" i="36"/>
  <c r="B238" i="36"/>
  <c r="R237" i="36"/>
  <c r="Q237" i="36"/>
  <c r="P237" i="36"/>
  <c r="O237" i="36"/>
  <c r="N237" i="36"/>
  <c r="M237" i="36"/>
  <c r="L237" i="36"/>
  <c r="K237" i="36"/>
  <c r="J237" i="36"/>
  <c r="I237" i="36"/>
  <c r="H237" i="36"/>
  <c r="G237" i="36"/>
  <c r="F237" i="36"/>
  <c r="E237" i="36"/>
  <c r="D237" i="36"/>
  <c r="C237" i="36"/>
  <c r="B237" i="36"/>
  <c r="R236" i="36"/>
  <c r="Q236" i="36"/>
  <c r="P236" i="36"/>
  <c r="O236" i="36"/>
  <c r="N236" i="36"/>
  <c r="M236" i="36"/>
  <c r="L236" i="36"/>
  <c r="K236" i="36"/>
  <c r="J236" i="36"/>
  <c r="I236" i="36"/>
  <c r="H236" i="36"/>
  <c r="G236" i="36"/>
  <c r="F236" i="36"/>
  <c r="E236" i="36"/>
  <c r="D236" i="36"/>
  <c r="C236" i="36"/>
  <c r="B236" i="36"/>
  <c r="R235" i="36"/>
  <c r="Q235" i="36"/>
  <c r="P235" i="36"/>
  <c r="O235" i="36"/>
  <c r="N235" i="36"/>
  <c r="M235" i="36"/>
  <c r="L235" i="36"/>
  <c r="K235" i="36"/>
  <c r="J235" i="36"/>
  <c r="I235" i="36"/>
  <c r="H235" i="36"/>
  <c r="G235" i="36"/>
  <c r="F235" i="36"/>
  <c r="E235" i="36"/>
  <c r="D235" i="36"/>
  <c r="C235" i="36"/>
  <c r="B235" i="36"/>
  <c r="R234" i="36"/>
  <c r="Q234" i="36"/>
  <c r="P234" i="36"/>
  <c r="O234" i="36"/>
  <c r="N234" i="36"/>
  <c r="M234" i="36"/>
  <c r="L234" i="36"/>
  <c r="K234" i="36"/>
  <c r="J234" i="36"/>
  <c r="I234" i="36"/>
  <c r="H234" i="36"/>
  <c r="G234" i="36"/>
  <c r="F234" i="36"/>
  <c r="E234" i="36"/>
  <c r="D234" i="36"/>
  <c r="C234" i="36"/>
  <c r="B234" i="36"/>
  <c r="R233" i="36"/>
  <c r="Q233" i="36"/>
  <c r="P233" i="36"/>
  <c r="O233" i="36"/>
  <c r="N233" i="36"/>
  <c r="M233" i="36"/>
  <c r="L233" i="36"/>
  <c r="K233" i="36"/>
  <c r="J233" i="36"/>
  <c r="I233" i="36"/>
  <c r="H233" i="36"/>
  <c r="G233" i="36"/>
  <c r="F233" i="36"/>
  <c r="E233" i="36"/>
  <c r="D233" i="36"/>
  <c r="C233" i="36"/>
  <c r="B233" i="36"/>
  <c r="R232" i="36"/>
  <c r="Q232" i="36"/>
  <c r="P232" i="36"/>
  <c r="O232" i="36"/>
  <c r="N232" i="36"/>
  <c r="M232" i="36"/>
  <c r="L232" i="36"/>
  <c r="K232" i="36"/>
  <c r="J232" i="36"/>
  <c r="I232" i="36"/>
  <c r="H232" i="36"/>
  <c r="G232" i="36"/>
  <c r="F232" i="36"/>
  <c r="E232" i="36"/>
  <c r="D232" i="36"/>
  <c r="C232" i="36"/>
  <c r="B232" i="36"/>
  <c r="R231" i="36"/>
  <c r="Q231" i="36"/>
  <c r="P231" i="36"/>
  <c r="O231" i="36"/>
  <c r="N231" i="36"/>
  <c r="M231" i="36"/>
  <c r="L231" i="36"/>
  <c r="K231" i="36"/>
  <c r="J231" i="36"/>
  <c r="I231" i="36"/>
  <c r="H231" i="36"/>
  <c r="G231" i="36"/>
  <c r="F231" i="36"/>
  <c r="E231" i="36"/>
  <c r="D231" i="36"/>
  <c r="C231" i="36"/>
  <c r="B231" i="36"/>
  <c r="R230" i="36"/>
  <c r="Q230" i="36"/>
  <c r="P230" i="36"/>
  <c r="O230" i="36"/>
  <c r="N230" i="36"/>
  <c r="M230" i="36"/>
  <c r="L230" i="36"/>
  <c r="K230" i="36"/>
  <c r="J230" i="36"/>
  <c r="I230" i="36"/>
  <c r="H230" i="36"/>
  <c r="G230" i="36"/>
  <c r="F230" i="36"/>
  <c r="E230" i="36"/>
  <c r="D230" i="36"/>
  <c r="C230" i="36"/>
  <c r="B230" i="36"/>
  <c r="R229" i="36"/>
  <c r="Q229" i="36"/>
  <c r="P229" i="36"/>
  <c r="O229" i="36"/>
  <c r="N229" i="36"/>
  <c r="M229" i="36"/>
  <c r="L229" i="36"/>
  <c r="K229" i="36"/>
  <c r="J229" i="36"/>
  <c r="I229" i="36"/>
  <c r="H229" i="36"/>
  <c r="G229" i="36"/>
  <c r="F229" i="36"/>
  <c r="E229" i="36"/>
  <c r="D229" i="36"/>
  <c r="C229" i="36"/>
  <c r="B229" i="36"/>
  <c r="R228" i="36"/>
  <c r="Q228" i="36"/>
  <c r="P228" i="36"/>
  <c r="O228" i="36"/>
  <c r="N228" i="36"/>
  <c r="M228" i="36"/>
  <c r="L228" i="36"/>
  <c r="K228" i="36"/>
  <c r="J228" i="36"/>
  <c r="I228" i="36"/>
  <c r="H228" i="36"/>
  <c r="G228" i="36"/>
  <c r="F228" i="36"/>
  <c r="E228" i="36"/>
  <c r="D228" i="36"/>
  <c r="C228" i="36"/>
  <c r="B228" i="36"/>
  <c r="R227" i="36"/>
  <c r="Q227" i="36"/>
  <c r="P227" i="36"/>
  <c r="O227" i="36"/>
  <c r="N227" i="36"/>
  <c r="M227" i="36"/>
  <c r="L227" i="36"/>
  <c r="K227" i="36"/>
  <c r="J227" i="36"/>
  <c r="I227" i="36"/>
  <c r="H227" i="36"/>
  <c r="G227" i="36"/>
  <c r="F227" i="36"/>
  <c r="E227" i="36"/>
  <c r="D227" i="36"/>
  <c r="C227" i="36"/>
  <c r="B227" i="36"/>
  <c r="R226" i="36"/>
  <c r="Q226" i="36"/>
  <c r="P226" i="36"/>
  <c r="O226" i="36"/>
  <c r="N226" i="36"/>
  <c r="M226" i="36"/>
  <c r="L226" i="36"/>
  <c r="K226" i="36"/>
  <c r="J226" i="36"/>
  <c r="I226" i="36"/>
  <c r="H226" i="36"/>
  <c r="G226" i="36"/>
  <c r="F226" i="36"/>
  <c r="E226" i="36"/>
  <c r="D226" i="36"/>
  <c r="C226" i="36"/>
  <c r="B226" i="36"/>
  <c r="R225" i="36"/>
  <c r="Q225" i="36"/>
  <c r="P225" i="36"/>
  <c r="O225" i="36"/>
  <c r="N225" i="36"/>
  <c r="M225" i="36"/>
  <c r="L225" i="36"/>
  <c r="K225" i="36"/>
  <c r="J225" i="36"/>
  <c r="I225" i="36"/>
  <c r="H225" i="36"/>
  <c r="G225" i="36"/>
  <c r="F225" i="36"/>
  <c r="E225" i="36"/>
  <c r="D225" i="36"/>
  <c r="C225" i="36"/>
  <c r="B225" i="36"/>
  <c r="R224" i="36"/>
  <c r="Q224" i="36"/>
  <c r="P224" i="36"/>
  <c r="O224" i="36"/>
  <c r="N224" i="36"/>
  <c r="M224" i="36"/>
  <c r="L224" i="36"/>
  <c r="K224" i="36"/>
  <c r="J224" i="36"/>
  <c r="I224" i="36"/>
  <c r="H224" i="36"/>
  <c r="G224" i="36"/>
  <c r="F224" i="36"/>
  <c r="E224" i="36"/>
  <c r="D224" i="36"/>
  <c r="C224" i="36"/>
  <c r="B224" i="36"/>
  <c r="R223" i="36"/>
  <c r="Q223" i="36"/>
  <c r="P223" i="36"/>
  <c r="O223" i="36"/>
  <c r="N223" i="36"/>
  <c r="M223" i="36"/>
  <c r="L223" i="36"/>
  <c r="K223" i="36"/>
  <c r="J223" i="36"/>
  <c r="I223" i="36"/>
  <c r="H223" i="36"/>
  <c r="G223" i="36"/>
  <c r="F223" i="36"/>
  <c r="E223" i="36"/>
  <c r="D223" i="36"/>
  <c r="C223" i="36"/>
  <c r="B223" i="36"/>
  <c r="R222" i="36"/>
  <c r="Q222" i="36"/>
  <c r="P222" i="36"/>
  <c r="O222" i="36"/>
  <c r="N222" i="36"/>
  <c r="M222" i="36"/>
  <c r="L222" i="36"/>
  <c r="K222" i="36"/>
  <c r="J222" i="36"/>
  <c r="I222" i="36"/>
  <c r="H222" i="36"/>
  <c r="G222" i="36"/>
  <c r="F222" i="36"/>
  <c r="E222" i="36"/>
  <c r="D222" i="36"/>
  <c r="C222" i="36"/>
  <c r="B222" i="36"/>
  <c r="R221" i="36"/>
  <c r="Q221" i="36"/>
  <c r="P221" i="36"/>
  <c r="O221" i="36"/>
  <c r="N221" i="36"/>
  <c r="M221" i="36"/>
  <c r="L221" i="36"/>
  <c r="K221" i="36"/>
  <c r="J221" i="36"/>
  <c r="I221" i="36"/>
  <c r="H221" i="36"/>
  <c r="G221" i="36"/>
  <c r="F221" i="36"/>
  <c r="E221" i="36"/>
  <c r="D221" i="36"/>
  <c r="C221" i="36"/>
  <c r="B221" i="36"/>
  <c r="R220" i="36"/>
  <c r="Q220" i="36"/>
  <c r="P220" i="36"/>
  <c r="O220" i="36"/>
  <c r="N220" i="36"/>
  <c r="M220" i="36"/>
  <c r="L220" i="36"/>
  <c r="K220" i="36"/>
  <c r="J220" i="36"/>
  <c r="I220" i="36"/>
  <c r="H220" i="36"/>
  <c r="G220" i="36"/>
  <c r="F220" i="36"/>
  <c r="E220" i="36"/>
  <c r="D220" i="36"/>
  <c r="C220" i="36"/>
  <c r="B220" i="36"/>
  <c r="R219" i="36"/>
  <c r="Q219" i="36"/>
  <c r="P219" i="36"/>
  <c r="O219" i="36"/>
  <c r="N219" i="36"/>
  <c r="M219" i="36"/>
  <c r="L219" i="36"/>
  <c r="K219" i="36"/>
  <c r="J219" i="36"/>
  <c r="I219" i="36"/>
  <c r="H219" i="36"/>
  <c r="G219" i="36"/>
  <c r="F219" i="36"/>
  <c r="E219" i="36"/>
  <c r="D219" i="36"/>
  <c r="C219" i="36"/>
  <c r="B219" i="36"/>
  <c r="R218" i="36"/>
  <c r="Q218" i="36"/>
  <c r="P218" i="36"/>
  <c r="O218" i="36"/>
  <c r="N218" i="36"/>
  <c r="M218" i="36"/>
  <c r="L218" i="36"/>
  <c r="K218" i="36"/>
  <c r="J218" i="36"/>
  <c r="I218" i="36"/>
  <c r="H218" i="36"/>
  <c r="G218" i="36"/>
  <c r="F218" i="36"/>
  <c r="E218" i="36"/>
  <c r="D218" i="36"/>
  <c r="C218" i="36"/>
  <c r="B218" i="36"/>
  <c r="R217" i="36"/>
  <c r="Q217" i="36"/>
  <c r="P217" i="36"/>
  <c r="O217" i="36"/>
  <c r="N217" i="36"/>
  <c r="M217" i="36"/>
  <c r="L217" i="36"/>
  <c r="K217" i="36"/>
  <c r="J217" i="36"/>
  <c r="I217" i="36"/>
  <c r="H217" i="36"/>
  <c r="G217" i="36"/>
  <c r="F217" i="36"/>
  <c r="E217" i="36"/>
  <c r="D217" i="36"/>
  <c r="C217" i="36"/>
  <c r="B217" i="36"/>
  <c r="R216" i="36"/>
  <c r="Q216" i="36"/>
  <c r="P216" i="36"/>
  <c r="O216" i="36"/>
  <c r="N216" i="36"/>
  <c r="M216" i="36"/>
  <c r="L216" i="36"/>
  <c r="K216" i="36"/>
  <c r="J216" i="36"/>
  <c r="I216" i="36"/>
  <c r="H216" i="36"/>
  <c r="G216" i="36"/>
  <c r="F216" i="36"/>
  <c r="E216" i="36"/>
  <c r="D216" i="36"/>
  <c r="C216" i="36"/>
  <c r="B216" i="36"/>
  <c r="R215" i="36"/>
  <c r="Q215" i="36"/>
  <c r="P215" i="36"/>
  <c r="O215" i="36"/>
  <c r="N215" i="36"/>
  <c r="M215" i="36"/>
  <c r="L215" i="36"/>
  <c r="K215" i="36"/>
  <c r="J215" i="36"/>
  <c r="I215" i="36"/>
  <c r="H215" i="36"/>
  <c r="G215" i="36"/>
  <c r="F215" i="36"/>
  <c r="E215" i="36"/>
  <c r="D215" i="36"/>
  <c r="C215" i="36"/>
  <c r="B215" i="36"/>
  <c r="R214" i="36"/>
  <c r="Q214" i="36"/>
  <c r="P214" i="36"/>
  <c r="O214" i="36"/>
  <c r="N214" i="36"/>
  <c r="M214" i="36"/>
  <c r="L214" i="36"/>
  <c r="K214" i="36"/>
  <c r="J214" i="36"/>
  <c r="I214" i="36"/>
  <c r="H214" i="36"/>
  <c r="G214" i="36"/>
  <c r="F214" i="36"/>
  <c r="E214" i="36"/>
  <c r="D214" i="36"/>
  <c r="C214" i="36"/>
  <c r="B214" i="36"/>
  <c r="R213" i="36"/>
  <c r="Q213" i="36"/>
  <c r="P213" i="36"/>
  <c r="O213" i="36"/>
  <c r="N213" i="36"/>
  <c r="M213" i="36"/>
  <c r="L213" i="36"/>
  <c r="K213" i="36"/>
  <c r="J213" i="36"/>
  <c r="I213" i="36"/>
  <c r="H213" i="36"/>
  <c r="G213" i="36"/>
  <c r="F213" i="36"/>
  <c r="E213" i="36"/>
  <c r="D213" i="36"/>
  <c r="C213" i="36"/>
  <c r="B213" i="36"/>
  <c r="R212" i="36"/>
  <c r="Q212" i="36"/>
  <c r="P212" i="36"/>
  <c r="O212" i="36"/>
  <c r="N212" i="36"/>
  <c r="M212" i="36"/>
  <c r="L212" i="36"/>
  <c r="K212" i="36"/>
  <c r="J212" i="36"/>
  <c r="I212" i="36"/>
  <c r="H212" i="36"/>
  <c r="G212" i="36"/>
  <c r="F212" i="36"/>
  <c r="E212" i="36"/>
  <c r="D212" i="36"/>
  <c r="C212" i="36"/>
  <c r="B212" i="36"/>
  <c r="R211" i="36"/>
  <c r="Q211" i="36"/>
  <c r="P211" i="36"/>
  <c r="O211" i="36"/>
  <c r="N211" i="36"/>
  <c r="M211" i="36"/>
  <c r="L211" i="36"/>
  <c r="K211" i="36"/>
  <c r="J211" i="36"/>
  <c r="I211" i="36"/>
  <c r="H211" i="36"/>
  <c r="G211" i="36"/>
  <c r="F211" i="36"/>
  <c r="E211" i="36"/>
  <c r="D211" i="36"/>
  <c r="C211" i="36"/>
  <c r="B211" i="36"/>
  <c r="R210" i="36"/>
  <c r="Q210" i="36"/>
  <c r="P210" i="36"/>
  <c r="O210" i="36"/>
  <c r="N210" i="36"/>
  <c r="M210" i="36"/>
  <c r="L210" i="36"/>
  <c r="K210" i="36"/>
  <c r="J210" i="36"/>
  <c r="I210" i="36"/>
  <c r="H210" i="36"/>
  <c r="G210" i="36"/>
  <c r="F210" i="36"/>
  <c r="E210" i="36"/>
  <c r="D210" i="36"/>
  <c r="C210" i="36"/>
  <c r="B210" i="36"/>
  <c r="R209" i="36"/>
  <c r="Q209" i="36"/>
  <c r="P209" i="36"/>
  <c r="O209" i="36"/>
  <c r="N209" i="36"/>
  <c r="M209" i="36"/>
  <c r="L209" i="36"/>
  <c r="K209" i="36"/>
  <c r="J209" i="36"/>
  <c r="I209" i="36"/>
  <c r="H209" i="36"/>
  <c r="G209" i="36"/>
  <c r="F209" i="36"/>
  <c r="E209" i="36"/>
  <c r="D209" i="36"/>
  <c r="C209" i="36"/>
  <c r="B209" i="36"/>
  <c r="R208" i="36"/>
  <c r="Q208" i="36"/>
  <c r="P208" i="36"/>
  <c r="O208" i="36"/>
  <c r="N208" i="36"/>
  <c r="M208" i="36"/>
  <c r="L208" i="36"/>
  <c r="K208" i="36"/>
  <c r="J208" i="36"/>
  <c r="I208" i="36"/>
  <c r="H208" i="36"/>
  <c r="G208" i="36"/>
  <c r="F208" i="36"/>
  <c r="E208" i="36"/>
  <c r="D208" i="36"/>
  <c r="C208" i="36"/>
  <c r="B208" i="36"/>
  <c r="R207" i="36"/>
  <c r="Q207" i="36"/>
  <c r="P207" i="36"/>
  <c r="O207" i="36"/>
  <c r="N207" i="36"/>
  <c r="M207" i="36"/>
  <c r="L207" i="36"/>
  <c r="K207" i="36"/>
  <c r="J207" i="36"/>
  <c r="I207" i="36"/>
  <c r="H207" i="36"/>
  <c r="G207" i="36"/>
  <c r="F207" i="36"/>
  <c r="E207" i="36"/>
  <c r="D207" i="36"/>
  <c r="C207" i="36"/>
  <c r="B207" i="36"/>
  <c r="R206" i="36"/>
  <c r="Q206" i="36"/>
  <c r="P206" i="36"/>
  <c r="O206" i="36"/>
  <c r="N206" i="36"/>
  <c r="M206" i="36"/>
  <c r="L206" i="36"/>
  <c r="K206" i="36"/>
  <c r="J206" i="36"/>
  <c r="I206" i="36"/>
  <c r="H206" i="36"/>
  <c r="G206" i="36"/>
  <c r="F206" i="36"/>
  <c r="E206" i="36"/>
  <c r="D206" i="36"/>
  <c r="C206" i="36"/>
  <c r="B206" i="36"/>
  <c r="R205" i="36"/>
  <c r="Q205" i="36"/>
  <c r="P205" i="36"/>
  <c r="O205" i="36"/>
  <c r="N205" i="36"/>
  <c r="M205" i="36"/>
  <c r="L205" i="36"/>
  <c r="K205" i="36"/>
  <c r="J205" i="36"/>
  <c r="I205" i="36"/>
  <c r="H205" i="36"/>
  <c r="G205" i="36"/>
  <c r="F205" i="36"/>
  <c r="E205" i="36"/>
  <c r="D205" i="36"/>
  <c r="C205" i="36"/>
  <c r="B205" i="36"/>
  <c r="R204" i="36"/>
  <c r="Q204" i="36"/>
  <c r="P204" i="36"/>
  <c r="O204" i="36"/>
  <c r="N204" i="36"/>
  <c r="M204" i="36"/>
  <c r="L204" i="36"/>
  <c r="K204" i="36"/>
  <c r="J204" i="36"/>
  <c r="I204" i="36"/>
  <c r="H204" i="36"/>
  <c r="G204" i="36"/>
  <c r="F204" i="36"/>
  <c r="E204" i="36"/>
  <c r="D204" i="36"/>
  <c r="C204" i="36"/>
  <c r="B204" i="36"/>
  <c r="R203" i="36"/>
  <c r="Q203" i="36"/>
  <c r="P203" i="36"/>
  <c r="O203" i="36"/>
  <c r="N203" i="36"/>
  <c r="M203" i="36"/>
  <c r="L203" i="36"/>
  <c r="K203" i="36"/>
  <c r="J203" i="36"/>
  <c r="I203" i="36"/>
  <c r="H203" i="36"/>
  <c r="G203" i="36"/>
  <c r="F203" i="36"/>
  <c r="E203" i="36"/>
  <c r="D203" i="36"/>
  <c r="C203" i="36"/>
  <c r="B203" i="36"/>
  <c r="R202" i="36"/>
  <c r="Q202" i="36"/>
  <c r="P202" i="36"/>
  <c r="O202" i="36"/>
  <c r="N202" i="36"/>
  <c r="M202" i="36"/>
  <c r="L202" i="36"/>
  <c r="K202" i="36"/>
  <c r="J202" i="36"/>
  <c r="I202" i="36"/>
  <c r="H202" i="36"/>
  <c r="G202" i="36"/>
  <c r="F202" i="36"/>
  <c r="E202" i="36"/>
  <c r="D202" i="36"/>
  <c r="C202" i="36"/>
  <c r="B202" i="36"/>
  <c r="R201" i="36"/>
  <c r="Q201" i="36"/>
  <c r="P201" i="36"/>
  <c r="O201" i="36"/>
  <c r="N201" i="36"/>
  <c r="M201" i="36"/>
  <c r="L201" i="36"/>
  <c r="K201" i="36"/>
  <c r="J201" i="36"/>
  <c r="I201" i="36"/>
  <c r="H201" i="36"/>
  <c r="G201" i="36"/>
  <c r="F201" i="36"/>
  <c r="E201" i="36"/>
  <c r="D201" i="36"/>
  <c r="C201" i="36"/>
  <c r="B201" i="36"/>
  <c r="R200" i="36"/>
  <c r="Q200" i="36"/>
  <c r="P200" i="36"/>
  <c r="O200" i="36"/>
  <c r="N200" i="36"/>
  <c r="M200" i="36"/>
  <c r="L200" i="36"/>
  <c r="K200" i="36"/>
  <c r="J200" i="36"/>
  <c r="I200" i="36"/>
  <c r="H200" i="36"/>
  <c r="G200" i="36"/>
  <c r="F200" i="36"/>
  <c r="E200" i="36"/>
  <c r="D200" i="36"/>
  <c r="C200" i="36"/>
  <c r="B200" i="36"/>
  <c r="R199" i="36"/>
  <c r="Q199" i="36"/>
  <c r="P199" i="36"/>
  <c r="O199" i="36"/>
  <c r="N199" i="36"/>
  <c r="M199" i="36"/>
  <c r="L199" i="36"/>
  <c r="K199" i="36"/>
  <c r="J199" i="36"/>
  <c r="I199" i="36"/>
  <c r="H199" i="36"/>
  <c r="G199" i="36"/>
  <c r="F199" i="36"/>
  <c r="E199" i="36"/>
  <c r="D199" i="36"/>
  <c r="C199" i="36"/>
  <c r="B199" i="36"/>
  <c r="R198" i="36"/>
  <c r="Q198" i="36"/>
  <c r="P198" i="36"/>
  <c r="O198" i="36"/>
  <c r="N198" i="36"/>
  <c r="M198" i="36"/>
  <c r="L198" i="36"/>
  <c r="K198" i="36"/>
  <c r="J198" i="36"/>
  <c r="I198" i="36"/>
  <c r="H198" i="36"/>
  <c r="G198" i="36"/>
  <c r="F198" i="36"/>
  <c r="E198" i="36"/>
  <c r="D198" i="36"/>
  <c r="C198" i="36"/>
  <c r="B198" i="36"/>
  <c r="R197" i="36"/>
  <c r="Q197" i="36"/>
  <c r="P197" i="36"/>
  <c r="O197" i="36"/>
  <c r="N197" i="36"/>
  <c r="M197" i="36"/>
  <c r="L197" i="36"/>
  <c r="K197" i="36"/>
  <c r="J197" i="36"/>
  <c r="I197" i="36"/>
  <c r="H197" i="36"/>
  <c r="G197" i="36"/>
  <c r="F197" i="36"/>
  <c r="E197" i="36"/>
  <c r="D197" i="36"/>
  <c r="C197" i="36"/>
  <c r="B197" i="36"/>
  <c r="R196" i="36"/>
  <c r="Q196" i="36"/>
  <c r="P196" i="36"/>
  <c r="O196" i="36"/>
  <c r="N196" i="36"/>
  <c r="M196" i="36"/>
  <c r="L196" i="36"/>
  <c r="K196" i="36"/>
  <c r="J196" i="36"/>
  <c r="I196" i="36"/>
  <c r="H196" i="36"/>
  <c r="G196" i="36"/>
  <c r="F196" i="36"/>
  <c r="E196" i="36"/>
  <c r="D196" i="36"/>
  <c r="C196" i="36"/>
  <c r="B196" i="36"/>
  <c r="R195" i="36"/>
  <c r="Q195" i="36"/>
  <c r="P195" i="36"/>
  <c r="O195" i="36"/>
  <c r="N195" i="36"/>
  <c r="M195" i="36"/>
  <c r="L195" i="36"/>
  <c r="K195" i="36"/>
  <c r="J195" i="36"/>
  <c r="I195" i="36"/>
  <c r="H195" i="36"/>
  <c r="G195" i="36"/>
  <c r="F195" i="36"/>
  <c r="E195" i="36"/>
  <c r="D195" i="36"/>
  <c r="C195" i="36"/>
  <c r="B195" i="36"/>
  <c r="R194" i="36"/>
  <c r="Q194" i="36"/>
  <c r="P194" i="36"/>
  <c r="O194" i="36"/>
  <c r="N194" i="36"/>
  <c r="M194" i="36"/>
  <c r="L194" i="36"/>
  <c r="K194" i="36"/>
  <c r="J194" i="36"/>
  <c r="I194" i="36"/>
  <c r="H194" i="36"/>
  <c r="G194" i="36"/>
  <c r="F194" i="36"/>
  <c r="E194" i="36"/>
  <c r="D194" i="36"/>
  <c r="C194" i="36"/>
  <c r="B194" i="36"/>
  <c r="R193" i="36"/>
  <c r="Q193" i="36"/>
  <c r="P193" i="36"/>
  <c r="O193" i="36"/>
  <c r="N193" i="36"/>
  <c r="M193" i="36"/>
  <c r="L193" i="36"/>
  <c r="K193" i="36"/>
  <c r="J193" i="36"/>
  <c r="I193" i="36"/>
  <c r="H193" i="36"/>
  <c r="G193" i="36"/>
  <c r="F193" i="36"/>
  <c r="E193" i="36"/>
  <c r="D193" i="36"/>
  <c r="C193" i="36"/>
  <c r="B193" i="36"/>
  <c r="R192" i="36"/>
  <c r="Q192" i="36"/>
  <c r="P192" i="36"/>
  <c r="O192" i="36"/>
  <c r="N192" i="36"/>
  <c r="M192" i="36"/>
  <c r="L192" i="36"/>
  <c r="K192" i="36"/>
  <c r="J192" i="36"/>
  <c r="I192" i="36"/>
  <c r="H192" i="36"/>
  <c r="G192" i="36"/>
  <c r="F192" i="36"/>
  <c r="E192" i="36"/>
  <c r="D192" i="36"/>
  <c r="C192" i="36"/>
  <c r="B192" i="36"/>
  <c r="R191" i="36"/>
  <c r="Q191" i="36"/>
  <c r="P191" i="36"/>
  <c r="O191" i="36"/>
  <c r="N191" i="36"/>
  <c r="M191" i="36"/>
  <c r="L191" i="36"/>
  <c r="K191" i="36"/>
  <c r="J191" i="36"/>
  <c r="I191" i="36"/>
  <c r="H191" i="36"/>
  <c r="G191" i="36"/>
  <c r="F191" i="36"/>
  <c r="E191" i="36"/>
  <c r="D191" i="36"/>
  <c r="C191" i="36"/>
  <c r="B191" i="36"/>
  <c r="R190" i="36"/>
  <c r="Q190" i="36"/>
  <c r="P190" i="36"/>
  <c r="O190" i="36"/>
  <c r="N190" i="36"/>
  <c r="M190" i="36"/>
  <c r="L190" i="36"/>
  <c r="K190" i="36"/>
  <c r="J190" i="36"/>
  <c r="I190" i="36"/>
  <c r="H190" i="36"/>
  <c r="G190" i="36"/>
  <c r="F190" i="36"/>
  <c r="E190" i="36"/>
  <c r="D190" i="36"/>
  <c r="C190" i="36"/>
  <c r="B190" i="36"/>
  <c r="R189" i="36"/>
  <c r="Q189" i="36"/>
  <c r="P189" i="36"/>
  <c r="O189" i="36"/>
  <c r="N189" i="36"/>
  <c r="M189" i="36"/>
  <c r="L189" i="36"/>
  <c r="K189" i="36"/>
  <c r="J189" i="36"/>
  <c r="I189" i="36"/>
  <c r="H189" i="36"/>
  <c r="G189" i="36"/>
  <c r="F189" i="36"/>
  <c r="E189" i="36"/>
  <c r="D189" i="36"/>
  <c r="C189" i="36"/>
  <c r="B189" i="36"/>
  <c r="R188" i="36"/>
  <c r="Q188" i="36"/>
  <c r="P188" i="36"/>
  <c r="O188" i="36"/>
  <c r="N188" i="36"/>
  <c r="M188" i="36"/>
  <c r="L188" i="36"/>
  <c r="K188" i="36"/>
  <c r="J188" i="36"/>
  <c r="I188" i="36"/>
  <c r="H188" i="36"/>
  <c r="G188" i="36"/>
  <c r="F188" i="36"/>
  <c r="E188" i="36"/>
  <c r="D188" i="36"/>
  <c r="C188" i="36"/>
  <c r="B188" i="36"/>
  <c r="R187" i="36"/>
  <c r="Q187" i="36"/>
  <c r="P187" i="36"/>
  <c r="O187" i="36"/>
  <c r="N187" i="36"/>
  <c r="M187" i="36"/>
  <c r="L187" i="36"/>
  <c r="K187" i="36"/>
  <c r="J187" i="36"/>
  <c r="I187" i="36"/>
  <c r="H187" i="36"/>
  <c r="G187" i="36"/>
  <c r="F187" i="36"/>
  <c r="E187" i="36"/>
  <c r="D187" i="36"/>
  <c r="C187" i="36"/>
  <c r="B187" i="36"/>
  <c r="R186" i="36"/>
  <c r="Q186" i="36"/>
  <c r="P186" i="36"/>
  <c r="O186" i="36"/>
  <c r="N186" i="36"/>
  <c r="M186" i="36"/>
  <c r="L186" i="36"/>
  <c r="K186" i="36"/>
  <c r="J186" i="36"/>
  <c r="I186" i="36"/>
  <c r="H186" i="36"/>
  <c r="G186" i="36"/>
  <c r="F186" i="36"/>
  <c r="E186" i="36"/>
  <c r="D186" i="36"/>
  <c r="C186" i="36"/>
  <c r="B186" i="36"/>
  <c r="R185" i="36"/>
  <c r="Q185" i="36"/>
  <c r="P185" i="36"/>
  <c r="O185" i="36"/>
  <c r="N185" i="36"/>
  <c r="M185" i="36"/>
  <c r="L185" i="36"/>
  <c r="K185" i="36"/>
  <c r="J185" i="36"/>
  <c r="I185" i="36"/>
  <c r="H185" i="36"/>
  <c r="G185" i="36"/>
  <c r="F185" i="36"/>
  <c r="E185" i="36"/>
  <c r="D185" i="36"/>
  <c r="C185" i="36"/>
  <c r="B185" i="36"/>
  <c r="R184" i="36"/>
  <c r="Q184" i="36"/>
  <c r="P184" i="36"/>
  <c r="O184" i="36"/>
  <c r="N184" i="36"/>
  <c r="M184" i="36"/>
  <c r="L184" i="36"/>
  <c r="K184" i="36"/>
  <c r="J184" i="36"/>
  <c r="I184" i="36"/>
  <c r="H184" i="36"/>
  <c r="G184" i="36"/>
  <c r="F184" i="36"/>
  <c r="E184" i="36"/>
  <c r="D184" i="36"/>
  <c r="C184" i="36"/>
  <c r="B184" i="36"/>
  <c r="R183" i="36"/>
  <c r="Q183" i="36"/>
  <c r="P183" i="36"/>
  <c r="O183" i="36"/>
  <c r="N183" i="36"/>
  <c r="M183" i="36"/>
  <c r="L183" i="36"/>
  <c r="K183" i="36"/>
  <c r="J183" i="36"/>
  <c r="I183" i="36"/>
  <c r="H183" i="36"/>
  <c r="G183" i="36"/>
  <c r="F183" i="36"/>
  <c r="E183" i="36"/>
  <c r="D183" i="36"/>
  <c r="C183" i="36"/>
  <c r="B183" i="36"/>
  <c r="R182" i="36"/>
  <c r="Q182" i="36"/>
  <c r="P182" i="36"/>
  <c r="O182" i="36"/>
  <c r="N182" i="36"/>
  <c r="M182" i="36"/>
  <c r="L182" i="36"/>
  <c r="K182" i="36"/>
  <c r="J182" i="36"/>
  <c r="I182" i="36"/>
  <c r="H182" i="36"/>
  <c r="G182" i="36"/>
  <c r="F182" i="36"/>
  <c r="E182" i="36"/>
  <c r="D182" i="36"/>
  <c r="C182" i="36"/>
  <c r="B182" i="36"/>
  <c r="R181" i="36"/>
  <c r="Q181" i="36"/>
  <c r="P181" i="36"/>
  <c r="O181" i="36"/>
  <c r="N181" i="36"/>
  <c r="M181" i="36"/>
  <c r="L181" i="36"/>
  <c r="K181" i="36"/>
  <c r="J181" i="36"/>
  <c r="I181" i="36"/>
  <c r="H181" i="36"/>
  <c r="G181" i="36"/>
  <c r="F181" i="36"/>
  <c r="E181" i="36"/>
  <c r="D181" i="36"/>
  <c r="C181" i="36"/>
  <c r="B181" i="36"/>
  <c r="R180" i="36"/>
  <c r="Q180" i="36"/>
  <c r="P180" i="36"/>
  <c r="O180" i="36"/>
  <c r="N180" i="36"/>
  <c r="M180" i="36"/>
  <c r="L180" i="36"/>
  <c r="K180" i="36"/>
  <c r="J180" i="36"/>
  <c r="I180" i="36"/>
  <c r="H180" i="36"/>
  <c r="G180" i="36"/>
  <c r="F180" i="36"/>
  <c r="E180" i="36"/>
  <c r="D180" i="36"/>
  <c r="C180" i="36"/>
  <c r="B180" i="36"/>
  <c r="R179" i="36"/>
  <c r="Q179" i="36"/>
  <c r="P179" i="36"/>
  <c r="O179" i="36"/>
  <c r="N179" i="36"/>
  <c r="M179" i="36"/>
  <c r="L179" i="36"/>
  <c r="K179" i="36"/>
  <c r="J179" i="36"/>
  <c r="I179" i="36"/>
  <c r="H179" i="36"/>
  <c r="G179" i="36"/>
  <c r="F179" i="36"/>
  <c r="E179" i="36"/>
  <c r="D179" i="36"/>
  <c r="C179" i="36"/>
  <c r="B179" i="36"/>
  <c r="R178" i="36"/>
  <c r="Q178" i="36"/>
  <c r="P178" i="36"/>
  <c r="O178" i="36"/>
  <c r="N178" i="36"/>
  <c r="M178" i="36"/>
  <c r="L178" i="36"/>
  <c r="K178" i="36"/>
  <c r="J178" i="36"/>
  <c r="I178" i="36"/>
  <c r="H178" i="36"/>
  <c r="G178" i="36"/>
  <c r="F178" i="36"/>
  <c r="E178" i="36"/>
  <c r="D178" i="36"/>
  <c r="C178" i="36"/>
  <c r="B178" i="36"/>
  <c r="R177" i="36"/>
  <c r="Q177" i="36"/>
  <c r="P177" i="36"/>
  <c r="O177" i="36"/>
  <c r="N177" i="36"/>
  <c r="M177" i="36"/>
  <c r="L177" i="36"/>
  <c r="K177" i="36"/>
  <c r="J177" i="36"/>
  <c r="I177" i="36"/>
  <c r="H177" i="36"/>
  <c r="G177" i="36"/>
  <c r="F177" i="36"/>
  <c r="E177" i="36"/>
  <c r="D177" i="36"/>
  <c r="C177" i="36"/>
  <c r="B177" i="36"/>
  <c r="R176" i="36"/>
  <c r="Q176" i="36"/>
  <c r="P176" i="36"/>
  <c r="O176" i="36"/>
  <c r="N176" i="36"/>
  <c r="M176" i="36"/>
  <c r="L176" i="36"/>
  <c r="K176" i="36"/>
  <c r="J176" i="36"/>
  <c r="I176" i="36"/>
  <c r="H176" i="36"/>
  <c r="G176" i="36"/>
  <c r="F176" i="36"/>
  <c r="E176" i="36"/>
  <c r="D176" i="36"/>
  <c r="C176" i="36"/>
  <c r="B176" i="36"/>
  <c r="R175" i="36"/>
  <c r="Q175" i="36"/>
  <c r="P175" i="36"/>
  <c r="O175" i="36"/>
  <c r="N175" i="36"/>
  <c r="M175" i="36"/>
  <c r="L175" i="36"/>
  <c r="K175" i="36"/>
  <c r="J175" i="36"/>
  <c r="I175" i="36"/>
  <c r="H175" i="36"/>
  <c r="G175" i="36"/>
  <c r="F175" i="36"/>
  <c r="E175" i="36"/>
  <c r="D175" i="36"/>
  <c r="C175" i="36"/>
  <c r="B175" i="36"/>
  <c r="R174" i="36"/>
  <c r="Q174" i="36"/>
  <c r="P174" i="36"/>
  <c r="O174" i="36"/>
  <c r="N174" i="36"/>
  <c r="M174" i="36"/>
  <c r="L174" i="36"/>
  <c r="K174" i="36"/>
  <c r="J174" i="36"/>
  <c r="I174" i="36"/>
  <c r="H174" i="36"/>
  <c r="G174" i="36"/>
  <c r="F174" i="36"/>
  <c r="E174" i="36"/>
  <c r="D174" i="36"/>
  <c r="C174" i="36"/>
  <c r="B174" i="36"/>
  <c r="R173" i="36"/>
  <c r="Q173" i="36"/>
  <c r="P173" i="36"/>
  <c r="O173" i="36"/>
  <c r="N173" i="36"/>
  <c r="M173" i="36"/>
  <c r="L173" i="36"/>
  <c r="K173" i="36"/>
  <c r="J173" i="36"/>
  <c r="I173" i="36"/>
  <c r="H173" i="36"/>
  <c r="G173" i="36"/>
  <c r="F173" i="36"/>
  <c r="E173" i="36"/>
  <c r="D173" i="36"/>
  <c r="C173" i="36"/>
  <c r="B173" i="36"/>
  <c r="R172" i="36"/>
  <c r="Q172" i="36"/>
  <c r="P172" i="36"/>
  <c r="O172" i="36"/>
  <c r="N172" i="36"/>
  <c r="M172" i="36"/>
  <c r="L172" i="36"/>
  <c r="K172" i="36"/>
  <c r="J172" i="36"/>
  <c r="I172" i="36"/>
  <c r="H172" i="36"/>
  <c r="G172" i="36"/>
  <c r="F172" i="36"/>
  <c r="E172" i="36"/>
  <c r="D172" i="36"/>
  <c r="C172" i="36"/>
  <c r="B172" i="36"/>
  <c r="R171" i="36"/>
  <c r="Q171" i="36"/>
  <c r="P171" i="36"/>
  <c r="O171" i="36"/>
  <c r="N171" i="36"/>
  <c r="M171" i="36"/>
  <c r="L171" i="36"/>
  <c r="K171" i="36"/>
  <c r="J171" i="36"/>
  <c r="I171" i="36"/>
  <c r="H171" i="36"/>
  <c r="G171" i="36"/>
  <c r="F171" i="36"/>
  <c r="E171" i="36"/>
  <c r="D171" i="36"/>
  <c r="C171" i="36"/>
  <c r="B171" i="36"/>
  <c r="R170" i="36"/>
  <c r="Q170" i="36"/>
  <c r="P170" i="36"/>
  <c r="O170" i="36"/>
  <c r="N170" i="36"/>
  <c r="M170" i="36"/>
  <c r="L170" i="36"/>
  <c r="K170" i="36"/>
  <c r="J170" i="36"/>
  <c r="I170" i="36"/>
  <c r="H170" i="36"/>
  <c r="G170" i="36"/>
  <c r="F170" i="36"/>
  <c r="E170" i="36"/>
  <c r="D170" i="36"/>
  <c r="C170" i="36"/>
  <c r="B170" i="36"/>
  <c r="R169" i="36"/>
  <c r="Q169" i="36"/>
  <c r="P169" i="36"/>
  <c r="O169" i="36"/>
  <c r="N169" i="36"/>
  <c r="M169" i="36"/>
  <c r="L169" i="36"/>
  <c r="K169" i="36"/>
  <c r="J169" i="36"/>
  <c r="I169" i="36"/>
  <c r="H169" i="36"/>
  <c r="G169" i="36"/>
  <c r="F169" i="36"/>
  <c r="E169" i="36"/>
  <c r="D169" i="36"/>
  <c r="C169" i="36"/>
  <c r="B169" i="36"/>
  <c r="R168" i="36"/>
  <c r="Q168" i="36"/>
  <c r="P168" i="36"/>
  <c r="O168" i="36"/>
  <c r="N168" i="36"/>
  <c r="M168" i="36"/>
  <c r="L168" i="36"/>
  <c r="K168" i="36"/>
  <c r="J168" i="36"/>
  <c r="I168" i="36"/>
  <c r="H168" i="36"/>
  <c r="G168" i="36"/>
  <c r="F168" i="36"/>
  <c r="E168" i="36"/>
  <c r="D168" i="36"/>
  <c r="C168" i="36"/>
  <c r="B168" i="36"/>
  <c r="R167" i="36"/>
  <c r="Q167" i="36"/>
  <c r="P167" i="36"/>
  <c r="O167" i="36"/>
  <c r="N167" i="36"/>
  <c r="M167" i="36"/>
  <c r="L167" i="36"/>
  <c r="K167" i="36"/>
  <c r="J167" i="36"/>
  <c r="I167" i="36"/>
  <c r="H167" i="36"/>
  <c r="G167" i="36"/>
  <c r="F167" i="36"/>
  <c r="E167" i="36"/>
  <c r="D167" i="36"/>
  <c r="C167" i="36"/>
  <c r="B167" i="36"/>
  <c r="R166" i="36"/>
  <c r="Q166" i="36"/>
  <c r="P166" i="36"/>
  <c r="O166" i="36"/>
  <c r="N166" i="36"/>
  <c r="M166" i="36"/>
  <c r="L166" i="36"/>
  <c r="K166" i="36"/>
  <c r="J166" i="36"/>
  <c r="I166" i="36"/>
  <c r="H166" i="36"/>
  <c r="G166" i="36"/>
  <c r="F166" i="36"/>
  <c r="E166" i="36"/>
  <c r="D166" i="36"/>
  <c r="C166" i="36"/>
  <c r="B166" i="36"/>
  <c r="R165" i="36"/>
  <c r="Q165" i="36"/>
  <c r="P165" i="36"/>
  <c r="O165" i="36"/>
  <c r="N165" i="36"/>
  <c r="M165" i="36"/>
  <c r="L165" i="36"/>
  <c r="K165" i="36"/>
  <c r="J165" i="36"/>
  <c r="I165" i="36"/>
  <c r="H165" i="36"/>
  <c r="G165" i="36"/>
  <c r="F165" i="36"/>
  <c r="E165" i="36"/>
  <c r="D165" i="36"/>
  <c r="C165" i="36"/>
  <c r="B165" i="36"/>
  <c r="R164" i="36"/>
  <c r="Q164" i="36"/>
  <c r="P164" i="36"/>
  <c r="O164" i="36"/>
  <c r="N164" i="36"/>
  <c r="M164" i="36"/>
  <c r="L164" i="36"/>
  <c r="K164" i="36"/>
  <c r="J164" i="36"/>
  <c r="I164" i="36"/>
  <c r="H164" i="36"/>
  <c r="G164" i="36"/>
  <c r="F164" i="36"/>
  <c r="E164" i="36"/>
  <c r="D164" i="36"/>
  <c r="C164" i="36"/>
  <c r="B164" i="36"/>
  <c r="R163" i="36"/>
  <c r="Q163" i="36"/>
  <c r="P163" i="36"/>
  <c r="O163" i="36"/>
  <c r="N163" i="36"/>
  <c r="M163" i="36"/>
  <c r="L163" i="36"/>
  <c r="K163" i="36"/>
  <c r="J163" i="36"/>
  <c r="I163" i="36"/>
  <c r="H163" i="36"/>
  <c r="G163" i="36"/>
  <c r="F163" i="36"/>
  <c r="E163" i="36"/>
  <c r="D163" i="36"/>
  <c r="C163" i="36"/>
  <c r="B163" i="36"/>
  <c r="R162" i="36"/>
  <c r="Q162" i="36"/>
  <c r="P162" i="36"/>
  <c r="O162" i="36"/>
  <c r="N162" i="36"/>
  <c r="M162" i="36"/>
  <c r="L162" i="36"/>
  <c r="K162" i="36"/>
  <c r="J162" i="36"/>
  <c r="I162" i="36"/>
  <c r="H162" i="36"/>
  <c r="G162" i="36"/>
  <c r="F162" i="36"/>
  <c r="E162" i="36"/>
  <c r="D162" i="36"/>
  <c r="C162" i="36"/>
  <c r="B162" i="36"/>
  <c r="R161" i="36"/>
  <c r="Q161" i="36"/>
  <c r="P161" i="36"/>
  <c r="O161" i="36"/>
  <c r="N161" i="36"/>
  <c r="M161" i="36"/>
  <c r="L161" i="36"/>
  <c r="K161" i="36"/>
  <c r="J161" i="36"/>
  <c r="I161" i="36"/>
  <c r="H161" i="36"/>
  <c r="G161" i="36"/>
  <c r="F161" i="36"/>
  <c r="E161" i="36"/>
  <c r="D161" i="36"/>
  <c r="C161" i="36"/>
  <c r="B161" i="36"/>
  <c r="R160" i="36"/>
  <c r="Q160" i="36"/>
  <c r="P160" i="36"/>
  <c r="O160" i="36"/>
  <c r="N160" i="36"/>
  <c r="M160" i="36"/>
  <c r="L160" i="36"/>
  <c r="K160" i="36"/>
  <c r="J160" i="36"/>
  <c r="I160" i="36"/>
  <c r="H160" i="36"/>
  <c r="G160" i="36"/>
  <c r="F160" i="36"/>
  <c r="E160" i="36"/>
  <c r="D160" i="36"/>
  <c r="C160" i="36"/>
  <c r="B160" i="36"/>
  <c r="R159" i="36"/>
  <c r="Q159" i="36"/>
  <c r="P159" i="36"/>
  <c r="O159" i="36"/>
  <c r="N159" i="36"/>
  <c r="M159" i="36"/>
  <c r="L159" i="36"/>
  <c r="K159" i="36"/>
  <c r="J159" i="36"/>
  <c r="I159" i="36"/>
  <c r="H159" i="36"/>
  <c r="G159" i="36"/>
  <c r="F159" i="36"/>
  <c r="E159" i="36"/>
  <c r="D159" i="36"/>
  <c r="C159" i="36"/>
  <c r="B159" i="36"/>
  <c r="R158" i="36"/>
  <c r="Q158" i="36"/>
  <c r="P158" i="36"/>
  <c r="O158" i="36"/>
  <c r="N158" i="36"/>
  <c r="M158" i="36"/>
  <c r="L158" i="36"/>
  <c r="K158" i="36"/>
  <c r="J158" i="36"/>
  <c r="I158" i="36"/>
  <c r="H158" i="36"/>
  <c r="G158" i="36"/>
  <c r="F158" i="36"/>
  <c r="E158" i="36"/>
  <c r="D158" i="36"/>
  <c r="C158" i="36"/>
  <c r="B158" i="36"/>
  <c r="R157" i="36"/>
  <c r="Q157" i="36"/>
  <c r="P157" i="36"/>
  <c r="O157" i="36"/>
  <c r="N157" i="36"/>
  <c r="M157" i="36"/>
  <c r="L157" i="36"/>
  <c r="K157" i="36"/>
  <c r="J157" i="36"/>
  <c r="I157" i="36"/>
  <c r="H157" i="36"/>
  <c r="G157" i="36"/>
  <c r="F157" i="36"/>
  <c r="E157" i="36"/>
  <c r="D157" i="36"/>
  <c r="C157" i="36"/>
  <c r="B157" i="36"/>
  <c r="R156" i="36"/>
  <c r="Q156" i="36"/>
  <c r="P156" i="36"/>
  <c r="O156" i="36"/>
  <c r="N156" i="36"/>
  <c r="M156" i="36"/>
  <c r="L156" i="36"/>
  <c r="K156" i="36"/>
  <c r="J156" i="36"/>
  <c r="I156" i="36"/>
  <c r="H156" i="36"/>
  <c r="G156" i="36"/>
  <c r="F156" i="36"/>
  <c r="E156" i="36"/>
  <c r="D156" i="36"/>
  <c r="C156" i="36"/>
  <c r="B156" i="36"/>
  <c r="R155" i="36"/>
  <c r="Q155" i="36"/>
  <c r="P155" i="36"/>
  <c r="O155" i="36"/>
  <c r="N155" i="36"/>
  <c r="M155" i="36"/>
  <c r="L155" i="36"/>
  <c r="K155" i="36"/>
  <c r="J155" i="36"/>
  <c r="I155" i="36"/>
  <c r="H155" i="36"/>
  <c r="G155" i="36"/>
  <c r="F155" i="36"/>
  <c r="E155" i="36"/>
  <c r="D155" i="36"/>
  <c r="C155" i="36"/>
  <c r="B155" i="36"/>
  <c r="R154" i="36"/>
  <c r="Q154" i="36"/>
  <c r="P154" i="36"/>
  <c r="O154" i="36"/>
  <c r="N154" i="36"/>
  <c r="M154" i="36"/>
  <c r="L154" i="36"/>
  <c r="K154" i="36"/>
  <c r="J154" i="36"/>
  <c r="I154" i="36"/>
  <c r="H154" i="36"/>
  <c r="G154" i="36"/>
  <c r="F154" i="36"/>
  <c r="E154" i="36"/>
  <c r="D154" i="36"/>
  <c r="C154" i="36"/>
  <c r="B154" i="36"/>
  <c r="R153" i="36"/>
  <c r="Q153" i="36"/>
  <c r="P153" i="36"/>
  <c r="O153" i="36"/>
  <c r="N153" i="36"/>
  <c r="M153" i="36"/>
  <c r="L153" i="36"/>
  <c r="K153" i="36"/>
  <c r="J153" i="36"/>
  <c r="I153" i="36"/>
  <c r="H153" i="36"/>
  <c r="G153" i="36"/>
  <c r="F153" i="36"/>
  <c r="E153" i="36"/>
  <c r="D153" i="36"/>
  <c r="C153" i="36"/>
  <c r="B153" i="36"/>
  <c r="R152" i="36"/>
  <c r="Q152" i="36"/>
  <c r="P152" i="36"/>
  <c r="O152" i="36"/>
  <c r="N152" i="36"/>
  <c r="M152" i="36"/>
  <c r="L152" i="36"/>
  <c r="K152" i="36"/>
  <c r="J152" i="36"/>
  <c r="I152" i="36"/>
  <c r="H152" i="36"/>
  <c r="G152" i="36"/>
  <c r="F152" i="36"/>
  <c r="E152" i="36"/>
  <c r="D152" i="36"/>
  <c r="C152" i="36"/>
  <c r="B152" i="36"/>
  <c r="R151" i="36"/>
  <c r="Q151" i="36"/>
  <c r="P151" i="36"/>
  <c r="O151" i="36"/>
  <c r="N151" i="36"/>
  <c r="M151" i="36"/>
  <c r="L151" i="36"/>
  <c r="K151" i="36"/>
  <c r="J151" i="36"/>
  <c r="I151" i="36"/>
  <c r="H151" i="36"/>
  <c r="G151" i="36"/>
  <c r="F151" i="36"/>
  <c r="E151" i="36"/>
  <c r="D151" i="36"/>
  <c r="C151" i="36"/>
  <c r="B151" i="36"/>
  <c r="R150" i="36"/>
  <c r="Q150" i="36"/>
  <c r="P150" i="36"/>
  <c r="O150" i="36"/>
  <c r="N150" i="36"/>
  <c r="M150" i="36"/>
  <c r="L150" i="36"/>
  <c r="K150" i="36"/>
  <c r="J150" i="36"/>
  <c r="I150" i="36"/>
  <c r="H150" i="36"/>
  <c r="G150" i="36"/>
  <c r="F150" i="36"/>
  <c r="E150" i="36"/>
  <c r="D150" i="36"/>
  <c r="C150" i="36"/>
  <c r="B150" i="36"/>
  <c r="R149" i="36"/>
  <c r="Q149" i="36"/>
  <c r="P149" i="36"/>
  <c r="O149" i="36"/>
  <c r="N149" i="36"/>
  <c r="M149" i="36"/>
  <c r="L149" i="36"/>
  <c r="K149" i="36"/>
  <c r="J149" i="36"/>
  <c r="I149" i="36"/>
  <c r="H149" i="36"/>
  <c r="G149" i="36"/>
  <c r="F149" i="36"/>
  <c r="E149" i="36"/>
  <c r="D149" i="36"/>
  <c r="C149" i="36"/>
  <c r="B149" i="36"/>
  <c r="R148" i="36"/>
  <c r="Q148" i="36"/>
  <c r="P148" i="36"/>
  <c r="O148" i="36"/>
  <c r="N148" i="36"/>
  <c r="M148" i="36"/>
  <c r="L148" i="36"/>
  <c r="K148" i="36"/>
  <c r="J148" i="36"/>
  <c r="I148" i="36"/>
  <c r="H148" i="36"/>
  <c r="G148" i="36"/>
  <c r="F148" i="36"/>
  <c r="E148" i="36"/>
  <c r="D148" i="36"/>
  <c r="C148" i="36"/>
  <c r="B148" i="36"/>
  <c r="R147" i="36"/>
  <c r="Q147" i="36"/>
  <c r="P147" i="36"/>
  <c r="O147" i="36"/>
  <c r="N147" i="36"/>
  <c r="M147" i="36"/>
  <c r="L147" i="36"/>
  <c r="K147" i="36"/>
  <c r="J147" i="36"/>
  <c r="I147" i="36"/>
  <c r="H147" i="36"/>
  <c r="G147" i="36"/>
  <c r="F147" i="36"/>
  <c r="E147" i="36"/>
  <c r="D147" i="36"/>
  <c r="C147" i="36"/>
  <c r="B147" i="36"/>
  <c r="R146" i="36"/>
  <c r="Q146" i="36"/>
  <c r="P146" i="36"/>
  <c r="O146" i="36"/>
  <c r="N146" i="36"/>
  <c r="M146" i="36"/>
  <c r="L146" i="36"/>
  <c r="K146" i="36"/>
  <c r="J146" i="36"/>
  <c r="I146" i="36"/>
  <c r="H146" i="36"/>
  <c r="G146" i="36"/>
  <c r="F146" i="36"/>
  <c r="E146" i="36"/>
  <c r="D146" i="36"/>
  <c r="C146" i="36"/>
  <c r="B146" i="36"/>
  <c r="R145" i="36"/>
  <c r="Q145" i="36"/>
  <c r="P145" i="36"/>
  <c r="O145" i="36"/>
  <c r="N145" i="36"/>
  <c r="M145" i="36"/>
  <c r="L145" i="36"/>
  <c r="K145" i="36"/>
  <c r="J145" i="36"/>
  <c r="I145" i="36"/>
  <c r="H145" i="36"/>
  <c r="G145" i="36"/>
  <c r="F145" i="36"/>
  <c r="E145" i="36"/>
  <c r="D145" i="36"/>
  <c r="C145" i="36"/>
  <c r="B145" i="36"/>
  <c r="R144" i="36"/>
  <c r="Q144" i="36"/>
  <c r="P144" i="36"/>
  <c r="O144" i="36"/>
  <c r="N144" i="36"/>
  <c r="M144" i="36"/>
  <c r="L144" i="36"/>
  <c r="K144" i="36"/>
  <c r="J144" i="36"/>
  <c r="I144" i="36"/>
  <c r="H144" i="36"/>
  <c r="G144" i="36"/>
  <c r="F144" i="36"/>
  <c r="E144" i="36"/>
  <c r="D144" i="36"/>
  <c r="C144" i="36"/>
  <c r="B144" i="36"/>
  <c r="R143" i="36"/>
  <c r="Q143" i="36"/>
  <c r="P143" i="36"/>
  <c r="O143" i="36"/>
  <c r="N143" i="36"/>
  <c r="M143" i="36"/>
  <c r="L143" i="36"/>
  <c r="K143" i="36"/>
  <c r="J143" i="36"/>
  <c r="I143" i="36"/>
  <c r="H143" i="36"/>
  <c r="G143" i="36"/>
  <c r="F143" i="36"/>
  <c r="E143" i="36"/>
  <c r="D143" i="36"/>
  <c r="C143" i="36"/>
  <c r="B143" i="36"/>
  <c r="R142" i="36"/>
  <c r="Q142" i="36"/>
  <c r="P142" i="36"/>
  <c r="O142" i="36"/>
  <c r="N142" i="36"/>
  <c r="M142" i="36"/>
  <c r="L142" i="36"/>
  <c r="K142" i="36"/>
  <c r="J142" i="36"/>
  <c r="I142" i="36"/>
  <c r="H142" i="36"/>
  <c r="G142" i="36"/>
  <c r="F142" i="36"/>
  <c r="E142" i="36"/>
  <c r="D142" i="36"/>
  <c r="C142" i="36"/>
  <c r="B142" i="36"/>
  <c r="R141" i="36"/>
  <c r="Q141" i="36"/>
  <c r="P141" i="36"/>
  <c r="O141" i="36"/>
  <c r="N141" i="36"/>
  <c r="M141" i="36"/>
  <c r="L141" i="36"/>
  <c r="K141" i="36"/>
  <c r="J141" i="36"/>
  <c r="I141" i="36"/>
  <c r="H141" i="36"/>
  <c r="G141" i="36"/>
  <c r="F141" i="36"/>
  <c r="E141" i="36"/>
  <c r="D141" i="36"/>
  <c r="C141" i="36"/>
  <c r="B141" i="36"/>
  <c r="R140" i="36"/>
  <c r="Q140" i="36"/>
  <c r="P140" i="36"/>
  <c r="O140" i="36"/>
  <c r="N140" i="36"/>
  <c r="M140" i="36"/>
  <c r="L140" i="36"/>
  <c r="K140" i="36"/>
  <c r="J140" i="36"/>
  <c r="I140" i="36"/>
  <c r="H140" i="36"/>
  <c r="G140" i="36"/>
  <c r="F140" i="36"/>
  <c r="E140" i="36"/>
  <c r="D140" i="36"/>
  <c r="C140" i="36"/>
  <c r="B140" i="36"/>
  <c r="R139" i="36"/>
  <c r="Q139" i="36"/>
  <c r="P139" i="36"/>
  <c r="O139" i="36"/>
  <c r="N139" i="36"/>
  <c r="M139" i="36"/>
  <c r="L139" i="36"/>
  <c r="K139" i="36"/>
  <c r="J139" i="36"/>
  <c r="I139" i="36"/>
  <c r="H139" i="36"/>
  <c r="G139" i="36"/>
  <c r="F139" i="36"/>
  <c r="E139" i="36"/>
  <c r="D139" i="36"/>
  <c r="C139" i="36"/>
  <c r="B139" i="36"/>
  <c r="R138" i="36"/>
  <c r="Q138" i="36"/>
  <c r="P138" i="36"/>
  <c r="O138" i="36"/>
  <c r="N138" i="36"/>
  <c r="M138" i="36"/>
  <c r="L138" i="36"/>
  <c r="K138" i="36"/>
  <c r="J138" i="36"/>
  <c r="I138" i="36"/>
  <c r="H138" i="36"/>
  <c r="G138" i="36"/>
  <c r="F138" i="36"/>
  <c r="E138" i="36"/>
  <c r="D138" i="36"/>
  <c r="C138" i="36"/>
  <c r="B138" i="36"/>
  <c r="R137" i="36"/>
  <c r="Q137" i="36"/>
  <c r="P137" i="36"/>
  <c r="O137" i="36"/>
  <c r="N137" i="36"/>
  <c r="M137" i="36"/>
  <c r="L137" i="36"/>
  <c r="K137" i="36"/>
  <c r="J137" i="36"/>
  <c r="I137" i="36"/>
  <c r="H137" i="36"/>
  <c r="G137" i="36"/>
  <c r="F137" i="36"/>
  <c r="E137" i="36"/>
  <c r="D137" i="36"/>
  <c r="C137" i="36"/>
  <c r="B137" i="36"/>
  <c r="R136" i="36"/>
  <c r="Q136" i="36"/>
  <c r="P136" i="36"/>
  <c r="O136" i="36"/>
  <c r="N136" i="36"/>
  <c r="M136" i="36"/>
  <c r="L136" i="36"/>
  <c r="K136" i="36"/>
  <c r="J136" i="36"/>
  <c r="I136" i="36"/>
  <c r="H136" i="36"/>
  <c r="G136" i="36"/>
  <c r="F136" i="36"/>
  <c r="E136" i="36"/>
  <c r="D136" i="36"/>
  <c r="C136" i="36"/>
  <c r="B136" i="36"/>
  <c r="R135" i="36"/>
  <c r="Q135" i="36"/>
  <c r="P135" i="36"/>
  <c r="O135" i="36"/>
  <c r="N135" i="36"/>
  <c r="M135" i="36"/>
  <c r="L135" i="36"/>
  <c r="K135" i="36"/>
  <c r="J135" i="36"/>
  <c r="I135" i="36"/>
  <c r="H135" i="36"/>
  <c r="G135" i="36"/>
  <c r="F135" i="36"/>
  <c r="E135" i="36"/>
  <c r="D135" i="36"/>
  <c r="C135" i="36"/>
  <c r="B135" i="36"/>
  <c r="R134" i="36"/>
  <c r="Q134" i="36"/>
  <c r="P134" i="36"/>
  <c r="O134" i="36"/>
  <c r="N134" i="36"/>
  <c r="M134" i="36"/>
  <c r="L134" i="36"/>
  <c r="K134" i="36"/>
  <c r="J134" i="36"/>
  <c r="I134" i="36"/>
  <c r="H134" i="36"/>
  <c r="G134" i="36"/>
  <c r="F134" i="36"/>
  <c r="E134" i="36"/>
  <c r="D134" i="36"/>
  <c r="C134" i="36"/>
  <c r="B134" i="36"/>
  <c r="R133" i="36"/>
  <c r="Q133" i="36"/>
  <c r="P133" i="36"/>
  <c r="O133" i="36"/>
  <c r="N133" i="36"/>
  <c r="M133" i="36"/>
  <c r="L133" i="36"/>
  <c r="K133" i="36"/>
  <c r="J133" i="36"/>
  <c r="I133" i="36"/>
  <c r="H133" i="36"/>
  <c r="G133" i="36"/>
  <c r="F133" i="36"/>
  <c r="E133" i="36"/>
  <c r="D133" i="36"/>
  <c r="C133" i="36"/>
  <c r="B133" i="36"/>
  <c r="R132" i="36"/>
  <c r="Q132" i="36"/>
  <c r="P132" i="36"/>
  <c r="O132" i="36"/>
  <c r="N132" i="36"/>
  <c r="M132" i="36"/>
  <c r="L132" i="36"/>
  <c r="K132" i="36"/>
  <c r="J132" i="36"/>
  <c r="I132" i="36"/>
  <c r="H132" i="36"/>
  <c r="G132" i="36"/>
  <c r="F132" i="36"/>
  <c r="E132" i="36"/>
  <c r="D132" i="36"/>
  <c r="C132" i="36"/>
  <c r="B132" i="36"/>
  <c r="R131" i="36"/>
  <c r="Q131" i="36"/>
  <c r="P131" i="36"/>
  <c r="O131" i="36"/>
  <c r="N131" i="36"/>
  <c r="M131" i="36"/>
  <c r="L131" i="36"/>
  <c r="K131" i="36"/>
  <c r="J131" i="36"/>
  <c r="I131" i="36"/>
  <c r="H131" i="36"/>
  <c r="G131" i="36"/>
  <c r="F131" i="36"/>
  <c r="E131" i="36"/>
  <c r="D131" i="36"/>
  <c r="C131" i="36"/>
  <c r="B131" i="36"/>
  <c r="R130" i="36"/>
  <c r="Q130" i="36"/>
  <c r="P130" i="36"/>
  <c r="O130" i="36"/>
  <c r="N130" i="36"/>
  <c r="M130" i="36"/>
  <c r="L130" i="36"/>
  <c r="K130" i="36"/>
  <c r="J130" i="36"/>
  <c r="I130" i="36"/>
  <c r="H130" i="36"/>
  <c r="G130" i="36"/>
  <c r="F130" i="36"/>
  <c r="E130" i="36"/>
  <c r="D130" i="36"/>
  <c r="C130" i="36"/>
  <c r="B130" i="36"/>
  <c r="R129" i="36"/>
  <c r="Q129" i="36"/>
  <c r="P129" i="36"/>
  <c r="O129" i="36"/>
  <c r="N129" i="36"/>
  <c r="M129" i="36"/>
  <c r="L129" i="36"/>
  <c r="K129" i="36"/>
  <c r="J129" i="36"/>
  <c r="I129" i="36"/>
  <c r="H129" i="36"/>
  <c r="G129" i="36"/>
  <c r="F129" i="36"/>
  <c r="E129" i="36"/>
  <c r="D129" i="36"/>
  <c r="C129" i="36"/>
  <c r="B129" i="36"/>
  <c r="R128" i="36"/>
  <c r="Q128" i="36"/>
  <c r="P128" i="36"/>
  <c r="O128" i="36"/>
  <c r="N128" i="36"/>
  <c r="M128" i="36"/>
  <c r="L128" i="36"/>
  <c r="K128" i="36"/>
  <c r="J128" i="36"/>
  <c r="I128" i="36"/>
  <c r="H128" i="36"/>
  <c r="G128" i="36"/>
  <c r="F128" i="36"/>
  <c r="E128" i="36"/>
  <c r="D128" i="36"/>
  <c r="C128" i="36"/>
  <c r="B128" i="36"/>
  <c r="R127" i="36"/>
  <c r="Q127" i="36"/>
  <c r="P127" i="36"/>
  <c r="O127" i="36"/>
  <c r="N127" i="36"/>
  <c r="M127" i="36"/>
  <c r="L127" i="36"/>
  <c r="K127" i="36"/>
  <c r="J127" i="36"/>
  <c r="I127" i="36"/>
  <c r="H127" i="36"/>
  <c r="G127" i="36"/>
  <c r="F127" i="36"/>
  <c r="E127" i="36"/>
  <c r="D127" i="36"/>
  <c r="C127" i="36"/>
  <c r="B127" i="36"/>
  <c r="R126" i="36"/>
  <c r="Q126" i="36"/>
  <c r="P126" i="36"/>
  <c r="O126" i="36"/>
  <c r="N126" i="36"/>
  <c r="M126" i="36"/>
  <c r="L126" i="36"/>
  <c r="K126" i="36"/>
  <c r="J126" i="36"/>
  <c r="I126" i="36"/>
  <c r="H126" i="36"/>
  <c r="G126" i="36"/>
  <c r="F126" i="36"/>
  <c r="E126" i="36"/>
  <c r="D126" i="36"/>
  <c r="C126" i="36"/>
  <c r="B126" i="36"/>
  <c r="R125" i="36"/>
  <c r="Q125" i="36"/>
  <c r="P125" i="36"/>
  <c r="O125" i="36"/>
  <c r="N125" i="36"/>
  <c r="M125" i="36"/>
  <c r="L125" i="36"/>
  <c r="K125" i="36"/>
  <c r="J125" i="36"/>
  <c r="I125" i="36"/>
  <c r="H125" i="36"/>
  <c r="G125" i="36"/>
  <c r="F125" i="36"/>
  <c r="E125" i="36"/>
  <c r="D125" i="36"/>
  <c r="C125" i="36"/>
  <c r="B125" i="36"/>
  <c r="R124" i="36"/>
  <c r="Q124" i="36"/>
  <c r="P124" i="36"/>
  <c r="O124" i="36"/>
  <c r="N124" i="36"/>
  <c r="M124" i="36"/>
  <c r="L124" i="36"/>
  <c r="K124" i="36"/>
  <c r="J124" i="36"/>
  <c r="I124" i="36"/>
  <c r="H124" i="36"/>
  <c r="G124" i="36"/>
  <c r="F124" i="36"/>
  <c r="E124" i="36"/>
  <c r="D124" i="36"/>
  <c r="C124" i="36"/>
  <c r="B124" i="36"/>
  <c r="R123" i="36"/>
  <c r="Q123" i="36"/>
  <c r="P123" i="36"/>
  <c r="O123" i="36"/>
  <c r="N123" i="36"/>
  <c r="M123" i="36"/>
  <c r="L123" i="36"/>
  <c r="K123" i="36"/>
  <c r="J123" i="36"/>
  <c r="I123" i="36"/>
  <c r="H123" i="36"/>
  <c r="G123" i="36"/>
  <c r="F123" i="36"/>
  <c r="E123" i="36"/>
  <c r="D123" i="36"/>
  <c r="C123" i="36"/>
  <c r="B123" i="36"/>
  <c r="R122" i="36"/>
  <c r="Q122" i="36"/>
  <c r="P122" i="36"/>
  <c r="O122" i="36"/>
  <c r="N122" i="36"/>
  <c r="M122" i="36"/>
  <c r="L122" i="36"/>
  <c r="K122" i="36"/>
  <c r="J122" i="36"/>
  <c r="I122" i="36"/>
  <c r="H122" i="36"/>
  <c r="G122" i="36"/>
  <c r="F122" i="36"/>
  <c r="E122" i="36"/>
  <c r="D122" i="36"/>
  <c r="C122" i="36"/>
  <c r="B122" i="36"/>
  <c r="R121" i="36"/>
  <c r="Q121" i="36"/>
  <c r="P121" i="36"/>
  <c r="O121" i="36"/>
  <c r="N121" i="36"/>
  <c r="M121" i="36"/>
  <c r="L121" i="36"/>
  <c r="K121" i="36"/>
  <c r="J121" i="36"/>
  <c r="I121" i="36"/>
  <c r="H121" i="36"/>
  <c r="G121" i="36"/>
  <c r="F121" i="36"/>
  <c r="E121" i="36"/>
  <c r="D121" i="36"/>
  <c r="C121" i="36"/>
  <c r="B121" i="36"/>
  <c r="R120" i="36"/>
  <c r="Q120" i="36"/>
  <c r="P120" i="36"/>
  <c r="O120" i="36"/>
  <c r="N120" i="36"/>
  <c r="M120" i="36"/>
  <c r="L120" i="36"/>
  <c r="K120" i="36"/>
  <c r="J120" i="36"/>
  <c r="I120" i="36"/>
  <c r="H120" i="36"/>
  <c r="G120" i="36"/>
  <c r="F120" i="36"/>
  <c r="E120" i="36"/>
  <c r="D120" i="36"/>
  <c r="C120" i="36"/>
  <c r="B120" i="36"/>
  <c r="R119" i="36"/>
  <c r="Q119" i="36"/>
  <c r="P119" i="36"/>
  <c r="O119" i="36"/>
  <c r="N119" i="36"/>
  <c r="M119" i="36"/>
  <c r="L119" i="36"/>
  <c r="K119" i="36"/>
  <c r="J119" i="36"/>
  <c r="I119" i="36"/>
  <c r="H119" i="36"/>
  <c r="G119" i="36"/>
  <c r="F119" i="36"/>
  <c r="E119" i="36"/>
  <c r="D119" i="36"/>
  <c r="C119" i="36"/>
  <c r="B119" i="36"/>
  <c r="R118" i="36"/>
  <c r="Q118" i="36"/>
  <c r="P118" i="36"/>
  <c r="O118" i="36"/>
  <c r="N118" i="36"/>
  <c r="M118" i="36"/>
  <c r="L118" i="36"/>
  <c r="K118" i="36"/>
  <c r="J118" i="36"/>
  <c r="I118" i="36"/>
  <c r="H118" i="36"/>
  <c r="G118" i="36"/>
  <c r="F118" i="36"/>
  <c r="E118" i="36"/>
  <c r="D118" i="36"/>
  <c r="C118" i="36"/>
  <c r="B118" i="36"/>
  <c r="R117" i="36"/>
  <c r="Q117" i="36"/>
  <c r="P117" i="36"/>
  <c r="O117" i="36"/>
  <c r="N117" i="36"/>
  <c r="M117" i="36"/>
  <c r="L117" i="36"/>
  <c r="K117" i="36"/>
  <c r="J117" i="36"/>
  <c r="I117" i="36"/>
  <c r="H117" i="36"/>
  <c r="G117" i="36"/>
  <c r="F117" i="36"/>
  <c r="E117" i="36"/>
  <c r="D117" i="36"/>
  <c r="C117" i="36"/>
  <c r="B117" i="36"/>
  <c r="R116" i="36"/>
  <c r="Q116" i="36"/>
  <c r="P116" i="36"/>
  <c r="O116" i="36"/>
  <c r="N116" i="36"/>
  <c r="M116" i="36"/>
  <c r="L116" i="36"/>
  <c r="K116" i="36"/>
  <c r="J116" i="36"/>
  <c r="I116" i="36"/>
  <c r="H116" i="36"/>
  <c r="G116" i="36"/>
  <c r="F116" i="36"/>
  <c r="E116" i="36"/>
  <c r="D116" i="36"/>
  <c r="C116" i="36"/>
  <c r="B116" i="36"/>
  <c r="R115" i="36"/>
  <c r="Q115" i="36"/>
  <c r="P115" i="36"/>
  <c r="O115" i="36"/>
  <c r="N115" i="36"/>
  <c r="M115" i="36"/>
  <c r="L115" i="36"/>
  <c r="K115" i="36"/>
  <c r="J115" i="36"/>
  <c r="I115" i="36"/>
  <c r="H115" i="36"/>
  <c r="G115" i="36"/>
  <c r="F115" i="36"/>
  <c r="E115" i="36"/>
  <c r="D115" i="36"/>
  <c r="C115" i="36"/>
  <c r="B115" i="36"/>
  <c r="R114" i="36"/>
  <c r="Q114" i="36"/>
  <c r="P114" i="36"/>
  <c r="O114" i="36"/>
  <c r="N114" i="36"/>
  <c r="M114" i="36"/>
  <c r="L114" i="36"/>
  <c r="K114" i="36"/>
  <c r="J114" i="36"/>
  <c r="I114" i="36"/>
  <c r="H114" i="36"/>
  <c r="G114" i="36"/>
  <c r="F114" i="36"/>
  <c r="E114" i="36"/>
  <c r="D114" i="36"/>
  <c r="C114" i="36"/>
  <c r="B114" i="36"/>
  <c r="R113" i="36"/>
  <c r="Q113" i="36"/>
  <c r="P113" i="36"/>
  <c r="O113" i="36"/>
  <c r="N113" i="36"/>
  <c r="M113" i="36"/>
  <c r="L113" i="36"/>
  <c r="K113" i="36"/>
  <c r="J113" i="36"/>
  <c r="I113" i="36"/>
  <c r="H113" i="36"/>
  <c r="G113" i="36"/>
  <c r="F113" i="36"/>
  <c r="E113" i="36"/>
  <c r="D113" i="36"/>
  <c r="C113" i="36"/>
  <c r="B113" i="36"/>
  <c r="R112" i="36"/>
  <c r="Q112" i="36"/>
  <c r="P112" i="36"/>
  <c r="O112" i="36"/>
  <c r="N112" i="36"/>
  <c r="M112" i="36"/>
  <c r="L112" i="36"/>
  <c r="K112" i="36"/>
  <c r="J112" i="36"/>
  <c r="I112" i="36"/>
  <c r="H112" i="36"/>
  <c r="G112" i="36"/>
  <c r="F112" i="36"/>
  <c r="E112" i="36"/>
  <c r="D112" i="36"/>
  <c r="C112" i="36"/>
  <c r="B112" i="36"/>
  <c r="R111" i="36"/>
  <c r="Q111" i="36"/>
  <c r="P111" i="36"/>
  <c r="O111" i="36"/>
  <c r="N111" i="36"/>
  <c r="M111" i="36"/>
  <c r="L111" i="36"/>
  <c r="K111" i="36"/>
  <c r="J111" i="36"/>
  <c r="I111" i="36"/>
  <c r="H111" i="36"/>
  <c r="G111" i="36"/>
  <c r="F111" i="36"/>
  <c r="E111" i="36"/>
  <c r="D111" i="36"/>
  <c r="C111" i="36"/>
  <c r="B111" i="36"/>
  <c r="R110" i="36"/>
  <c r="Q110" i="36"/>
  <c r="P110" i="36"/>
  <c r="O110" i="36"/>
  <c r="N110" i="36"/>
  <c r="M110" i="36"/>
  <c r="L110" i="36"/>
  <c r="K110" i="36"/>
  <c r="J110" i="36"/>
  <c r="I110" i="36"/>
  <c r="H110" i="36"/>
  <c r="G110" i="36"/>
  <c r="F110" i="36"/>
  <c r="E110" i="36"/>
  <c r="D110" i="36"/>
  <c r="C110" i="36"/>
  <c r="B110" i="36"/>
  <c r="R109" i="36"/>
  <c r="Q109" i="36"/>
  <c r="P109" i="36"/>
  <c r="O109" i="36"/>
  <c r="N109" i="36"/>
  <c r="M109" i="36"/>
  <c r="L109" i="36"/>
  <c r="K109" i="36"/>
  <c r="J109" i="36"/>
  <c r="I109" i="36"/>
  <c r="H109" i="36"/>
  <c r="G109" i="36"/>
  <c r="F109" i="36"/>
  <c r="E109" i="36"/>
  <c r="D109" i="36"/>
  <c r="C109" i="36"/>
  <c r="B109" i="36"/>
  <c r="R108" i="36"/>
  <c r="Q108" i="36"/>
  <c r="P108" i="36"/>
  <c r="O108" i="36"/>
  <c r="N108" i="36"/>
  <c r="M108" i="36"/>
  <c r="L108" i="36"/>
  <c r="K108" i="36"/>
  <c r="J108" i="36"/>
  <c r="I108" i="36"/>
  <c r="H108" i="36"/>
  <c r="G108" i="36"/>
  <c r="F108" i="36"/>
  <c r="E108" i="36"/>
  <c r="D108" i="36"/>
  <c r="C108" i="36"/>
  <c r="B108" i="36"/>
  <c r="R107" i="36"/>
  <c r="Q107" i="36"/>
  <c r="P107" i="36"/>
  <c r="O107" i="36"/>
  <c r="N107" i="36"/>
  <c r="M107" i="36"/>
  <c r="L107" i="36"/>
  <c r="K107" i="36"/>
  <c r="J107" i="36"/>
  <c r="I107" i="36"/>
  <c r="H107" i="36"/>
  <c r="G107" i="36"/>
  <c r="F107" i="36"/>
  <c r="E107" i="36"/>
  <c r="D107" i="36"/>
  <c r="C107" i="36"/>
  <c r="B107" i="36"/>
  <c r="R106" i="36"/>
  <c r="Q106" i="36"/>
  <c r="P106" i="36"/>
  <c r="O106" i="36"/>
  <c r="N106" i="36"/>
  <c r="M106" i="36"/>
  <c r="L106" i="36"/>
  <c r="K106" i="36"/>
  <c r="J106" i="36"/>
  <c r="I106" i="36"/>
  <c r="H106" i="36"/>
  <c r="G106" i="36"/>
  <c r="F106" i="36"/>
  <c r="E106" i="36"/>
  <c r="D106" i="36"/>
  <c r="C106" i="36"/>
  <c r="B106" i="36"/>
  <c r="R105" i="36"/>
  <c r="Q105" i="36"/>
  <c r="P105" i="36"/>
  <c r="O105" i="36"/>
  <c r="N105" i="36"/>
  <c r="M105" i="36"/>
  <c r="L105" i="36"/>
  <c r="K105" i="36"/>
  <c r="J105" i="36"/>
  <c r="I105" i="36"/>
  <c r="H105" i="36"/>
  <c r="G105" i="36"/>
  <c r="F105" i="36"/>
  <c r="E105" i="36"/>
  <c r="D105" i="36"/>
  <c r="C105" i="36"/>
  <c r="B105" i="36"/>
  <c r="R104" i="36"/>
  <c r="Q104" i="36"/>
  <c r="P104" i="36"/>
  <c r="O104" i="36"/>
  <c r="N104" i="36"/>
  <c r="M104" i="36"/>
  <c r="L104" i="36"/>
  <c r="K104" i="36"/>
  <c r="J104" i="36"/>
  <c r="I104" i="36"/>
  <c r="H104" i="36"/>
  <c r="G104" i="36"/>
  <c r="F104" i="36"/>
  <c r="E104" i="36"/>
  <c r="D104" i="36"/>
  <c r="C104" i="36"/>
  <c r="B104" i="36"/>
  <c r="R103" i="36"/>
  <c r="Q103" i="36"/>
  <c r="P103" i="36"/>
  <c r="O103" i="36"/>
  <c r="N103" i="36"/>
  <c r="M103" i="36"/>
  <c r="L103" i="36"/>
  <c r="K103" i="36"/>
  <c r="J103" i="36"/>
  <c r="I103" i="36"/>
  <c r="H103" i="36"/>
  <c r="G103" i="36"/>
  <c r="F103" i="36"/>
  <c r="E103" i="36"/>
  <c r="D103" i="36"/>
  <c r="C103" i="36"/>
  <c r="B103" i="36"/>
  <c r="R102" i="36"/>
  <c r="Q102" i="36"/>
  <c r="P102" i="36"/>
  <c r="O102" i="36"/>
  <c r="N102" i="36"/>
  <c r="M102" i="36"/>
  <c r="L102" i="36"/>
  <c r="K102" i="36"/>
  <c r="J102" i="36"/>
  <c r="I102" i="36"/>
  <c r="H102" i="36"/>
  <c r="G102" i="36"/>
  <c r="F102" i="36"/>
  <c r="E102" i="36"/>
  <c r="D102" i="36"/>
  <c r="C102" i="36"/>
  <c r="B102" i="36"/>
  <c r="R101" i="36"/>
  <c r="Q101" i="36"/>
  <c r="P101" i="36"/>
  <c r="O101" i="36"/>
  <c r="N101" i="36"/>
  <c r="M101" i="36"/>
  <c r="L101" i="36"/>
  <c r="K101" i="36"/>
  <c r="J101" i="36"/>
  <c r="I101" i="36"/>
  <c r="H101" i="36"/>
  <c r="G101" i="36"/>
  <c r="F101" i="36"/>
  <c r="E101" i="36"/>
  <c r="D101" i="36"/>
  <c r="C101" i="36"/>
  <c r="B101" i="36"/>
  <c r="R100" i="36"/>
  <c r="Q100" i="36"/>
  <c r="P100" i="36"/>
  <c r="O100" i="36"/>
  <c r="N100" i="36"/>
  <c r="M100" i="36"/>
  <c r="L100" i="36"/>
  <c r="K100" i="36"/>
  <c r="J100" i="36"/>
  <c r="I100" i="36"/>
  <c r="H100" i="36"/>
  <c r="G100" i="36"/>
  <c r="F100" i="36"/>
  <c r="E100" i="36"/>
  <c r="D100" i="36"/>
  <c r="C100" i="36"/>
  <c r="B100" i="36"/>
  <c r="R99" i="36"/>
  <c r="Q99" i="36"/>
  <c r="P99" i="36"/>
  <c r="O99" i="36"/>
  <c r="N99" i="36"/>
  <c r="M99" i="36"/>
  <c r="L99" i="36"/>
  <c r="K99" i="36"/>
  <c r="J99" i="36"/>
  <c r="I99" i="36"/>
  <c r="H99" i="36"/>
  <c r="G99" i="36"/>
  <c r="F99" i="36"/>
  <c r="E99" i="36"/>
  <c r="D99" i="36"/>
  <c r="C99" i="36"/>
  <c r="B99" i="36"/>
  <c r="R98" i="36"/>
  <c r="Q98" i="36"/>
  <c r="P98" i="36"/>
  <c r="O98" i="36"/>
  <c r="N98" i="36"/>
  <c r="M98" i="36"/>
  <c r="L98" i="36"/>
  <c r="K98" i="36"/>
  <c r="J98" i="36"/>
  <c r="I98" i="36"/>
  <c r="H98" i="36"/>
  <c r="G98" i="36"/>
  <c r="F98" i="36"/>
  <c r="E98" i="36"/>
  <c r="D98" i="36"/>
  <c r="C98" i="36"/>
  <c r="B98" i="36"/>
  <c r="R97" i="36"/>
  <c r="Q97" i="36"/>
  <c r="P97" i="36"/>
  <c r="O97" i="36"/>
  <c r="N97" i="36"/>
  <c r="M97" i="36"/>
  <c r="L97" i="36"/>
  <c r="K97" i="36"/>
  <c r="J97" i="36"/>
  <c r="I97" i="36"/>
  <c r="H97" i="36"/>
  <c r="G97" i="36"/>
  <c r="F97" i="36"/>
  <c r="E97" i="36"/>
  <c r="D97" i="36"/>
  <c r="C97" i="36"/>
  <c r="B97" i="36"/>
  <c r="R96" i="36"/>
  <c r="Q96" i="36"/>
  <c r="P96" i="36"/>
  <c r="O96" i="36"/>
  <c r="N96" i="36"/>
  <c r="M96" i="36"/>
  <c r="L96" i="36"/>
  <c r="K96" i="36"/>
  <c r="J96" i="36"/>
  <c r="I96" i="36"/>
  <c r="H96" i="36"/>
  <c r="G96" i="36"/>
  <c r="F96" i="36"/>
  <c r="E96" i="36"/>
  <c r="D96" i="36"/>
  <c r="C96" i="36"/>
  <c r="B96" i="36"/>
  <c r="R95" i="36"/>
  <c r="Q95" i="36"/>
  <c r="P95" i="36"/>
  <c r="O95" i="36"/>
  <c r="N95" i="36"/>
  <c r="M95" i="36"/>
  <c r="L95" i="36"/>
  <c r="K95" i="36"/>
  <c r="J95" i="36"/>
  <c r="I95" i="36"/>
  <c r="H95" i="36"/>
  <c r="G95" i="36"/>
  <c r="F95" i="36"/>
  <c r="E95" i="36"/>
  <c r="D95" i="36"/>
  <c r="C95" i="36"/>
  <c r="B95" i="36"/>
  <c r="R94" i="36"/>
  <c r="Q94" i="36"/>
  <c r="P94" i="36"/>
  <c r="O94" i="36"/>
  <c r="N94" i="36"/>
  <c r="M94" i="36"/>
  <c r="L94" i="36"/>
  <c r="K94" i="36"/>
  <c r="J94" i="36"/>
  <c r="I94" i="36"/>
  <c r="H94" i="36"/>
  <c r="G94" i="36"/>
  <c r="F94" i="36"/>
  <c r="E94" i="36"/>
  <c r="D94" i="36"/>
  <c r="C94" i="36"/>
  <c r="B94" i="36"/>
  <c r="R93" i="36"/>
  <c r="Q93" i="36"/>
  <c r="P93" i="36"/>
  <c r="O93" i="36"/>
  <c r="N93" i="36"/>
  <c r="M93" i="36"/>
  <c r="L93" i="36"/>
  <c r="K93" i="36"/>
  <c r="J93" i="36"/>
  <c r="I93" i="36"/>
  <c r="H93" i="36"/>
  <c r="G93" i="36"/>
  <c r="F93" i="36"/>
  <c r="E93" i="36"/>
  <c r="D93" i="36"/>
  <c r="C93" i="36"/>
  <c r="B93" i="36"/>
  <c r="R92" i="36"/>
  <c r="Q92" i="36"/>
  <c r="P92" i="36"/>
  <c r="O92" i="36"/>
  <c r="N92" i="36"/>
  <c r="M92" i="36"/>
  <c r="L92" i="36"/>
  <c r="K92" i="36"/>
  <c r="J92" i="36"/>
  <c r="I92" i="36"/>
  <c r="H92" i="36"/>
  <c r="G92" i="36"/>
  <c r="F92" i="36"/>
  <c r="E92" i="36"/>
  <c r="D92" i="36"/>
  <c r="C92" i="36"/>
  <c r="B92" i="36"/>
  <c r="R91" i="36"/>
  <c r="Q91" i="36"/>
  <c r="P91" i="36"/>
  <c r="O91" i="36"/>
  <c r="N91" i="36"/>
  <c r="M91" i="36"/>
  <c r="L91" i="36"/>
  <c r="K91" i="36"/>
  <c r="J91" i="36"/>
  <c r="I91" i="36"/>
  <c r="H91" i="36"/>
  <c r="G91" i="36"/>
  <c r="F91" i="36"/>
  <c r="E91" i="36"/>
  <c r="D91" i="36"/>
  <c r="C91" i="36"/>
  <c r="B91" i="36"/>
  <c r="R90" i="36"/>
  <c r="Q90" i="36"/>
  <c r="P90" i="36"/>
  <c r="O90" i="36"/>
  <c r="N90" i="36"/>
  <c r="M90" i="36"/>
  <c r="L90" i="36"/>
  <c r="K90" i="36"/>
  <c r="J90" i="36"/>
  <c r="I90" i="36"/>
  <c r="H90" i="36"/>
  <c r="G90" i="36"/>
  <c r="F90" i="36"/>
  <c r="E90" i="36"/>
  <c r="D90" i="36"/>
  <c r="C90" i="36"/>
  <c r="B90" i="36"/>
  <c r="R89" i="36"/>
  <c r="Q89" i="36"/>
  <c r="P89" i="36"/>
  <c r="O89" i="36"/>
  <c r="N89" i="36"/>
  <c r="M89" i="36"/>
  <c r="L89" i="36"/>
  <c r="K89" i="36"/>
  <c r="J89" i="36"/>
  <c r="I89" i="36"/>
  <c r="H89" i="36"/>
  <c r="G89" i="36"/>
  <c r="F89" i="36"/>
  <c r="E89" i="36"/>
  <c r="D89" i="36"/>
  <c r="C89" i="36"/>
  <c r="B89" i="36"/>
  <c r="R88" i="36"/>
  <c r="Q88" i="36"/>
  <c r="P88" i="36"/>
  <c r="O88" i="36"/>
  <c r="N88" i="36"/>
  <c r="M88" i="36"/>
  <c r="L88" i="36"/>
  <c r="K88" i="36"/>
  <c r="J88" i="36"/>
  <c r="I88" i="36"/>
  <c r="H88" i="36"/>
  <c r="G88" i="36"/>
  <c r="F88" i="36"/>
  <c r="E88" i="36"/>
  <c r="D88" i="36"/>
  <c r="C88" i="36"/>
  <c r="B88" i="36"/>
  <c r="R87" i="36"/>
  <c r="Q87" i="36"/>
  <c r="P87" i="36"/>
  <c r="O87" i="36"/>
  <c r="N87" i="36"/>
  <c r="M87" i="36"/>
  <c r="L87" i="36"/>
  <c r="K87" i="36"/>
  <c r="J87" i="36"/>
  <c r="I87" i="36"/>
  <c r="H87" i="36"/>
  <c r="G87" i="36"/>
  <c r="F87" i="36"/>
  <c r="E87" i="36"/>
  <c r="D87" i="36"/>
  <c r="C87" i="36"/>
  <c r="B87" i="36"/>
  <c r="R86" i="36"/>
  <c r="Q86" i="36"/>
  <c r="P86" i="36"/>
  <c r="O86" i="36"/>
  <c r="N86" i="36"/>
  <c r="M86" i="36"/>
  <c r="L86" i="36"/>
  <c r="K86" i="36"/>
  <c r="J86" i="36"/>
  <c r="I86" i="36"/>
  <c r="H86" i="36"/>
  <c r="G86" i="36"/>
  <c r="F86" i="36"/>
  <c r="E86" i="36"/>
  <c r="D86" i="36"/>
  <c r="C86" i="36"/>
  <c r="B86" i="36"/>
  <c r="R85" i="36"/>
  <c r="Q85" i="36"/>
  <c r="P85" i="36"/>
  <c r="O85" i="36"/>
  <c r="N85" i="36"/>
  <c r="M85" i="36"/>
  <c r="L85" i="36"/>
  <c r="K85" i="36"/>
  <c r="J85" i="36"/>
  <c r="I85" i="36"/>
  <c r="H85" i="36"/>
  <c r="G85" i="36"/>
  <c r="F85" i="36"/>
  <c r="E85" i="36"/>
  <c r="D85" i="36"/>
  <c r="C85" i="36"/>
  <c r="B85" i="36"/>
  <c r="R84" i="36"/>
  <c r="Q84" i="36"/>
  <c r="P84" i="36"/>
  <c r="O84" i="36"/>
  <c r="N84" i="36"/>
  <c r="M84" i="36"/>
  <c r="L84" i="36"/>
  <c r="K84" i="36"/>
  <c r="J84" i="36"/>
  <c r="I84" i="36"/>
  <c r="H84" i="36"/>
  <c r="G84" i="36"/>
  <c r="F84" i="36"/>
  <c r="E84" i="36"/>
  <c r="D84" i="36"/>
  <c r="C84" i="36"/>
  <c r="B84" i="36"/>
  <c r="R83" i="36"/>
  <c r="Q83" i="36"/>
  <c r="P83" i="36"/>
  <c r="O83" i="36"/>
  <c r="N83" i="36"/>
  <c r="M83" i="36"/>
  <c r="L83" i="36"/>
  <c r="K83" i="36"/>
  <c r="J83" i="36"/>
  <c r="I83" i="36"/>
  <c r="H83" i="36"/>
  <c r="G83" i="36"/>
  <c r="F83" i="36"/>
  <c r="E83" i="36"/>
  <c r="D83" i="36"/>
  <c r="C83" i="36"/>
  <c r="B83" i="36"/>
  <c r="R82" i="36"/>
  <c r="Q82" i="36"/>
  <c r="P82" i="36"/>
  <c r="O82" i="36"/>
  <c r="N82" i="36"/>
  <c r="M82" i="36"/>
  <c r="L82" i="36"/>
  <c r="K82" i="36"/>
  <c r="J82" i="36"/>
  <c r="I82" i="36"/>
  <c r="H82" i="36"/>
  <c r="G82" i="36"/>
  <c r="F82" i="36"/>
  <c r="E82" i="36"/>
  <c r="D82" i="36"/>
  <c r="C82" i="36"/>
  <c r="B82" i="36"/>
  <c r="R81" i="36"/>
  <c r="Q81" i="36"/>
  <c r="P81" i="36"/>
  <c r="O81" i="36"/>
  <c r="N81" i="36"/>
  <c r="M81" i="36"/>
  <c r="L81" i="36"/>
  <c r="K81" i="36"/>
  <c r="J81" i="36"/>
  <c r="I81" i="36"/>
  <c r="H81" i="36"/>
  <c r="G81" i="36"/>
  <c r="F81" i="36"/>
  <c r="E81" i="36"/>
  <c r="D81" i="36"/>
  <c r="C81" i="36"/>
  <c r="B81" i="36"/>
  <c r="R80" i="36"/>
  <c r="Q80" i="36"/>
  <c r="P80" i="36"/>
  <c r="O80" i="36"/>
  <c r="N80" i="36"/>
  <c r="M80" i="36"/>
  <c r="L80" i="36"/>
  <c r="K80" i="36"/>
  <c r="J80" i="36"/>
  <c r="I80" i="36"/>
  <c r="H80" i="36"/>
  <c r="G80" i="36"/>
  <c r="F80" i="36"/>
  <c r="E80" i="36"/>
  <c r="D80" i="36"/>
  <c r="C80" i="36"/>
  <c r="B80" i="36"/>
  <c r="R79" i="36"/>
  <c r="Q79" i="36"/>
  <c r="P79" i="36"/>
  <c r="O79" i="36"/>
  <c r="N79" i="36"/>
  <c r="M79" i="36"/>
  <c r="L79" i="36"/>
  <c r="K79" i="36"/>
  <c r="J79" i="36"/>
  <c r="I79" i="36"/>
  <c r="H79" i="36"/>
  <c r="G79" i="36"/>
  <c r="F79" i="36"/>
  <c r="E79" i="36"/>
  <c r="D79" i="36"/>
  <c r="C79" i="36"/>
  <c r="B79" i="36"/>
  <c r="R78" i="36"/>
  <c r="Q78" i="36"/>
  <c r="P78" i="36"/>
  <c r="O78" i="36"/>
  <c r="N78" i="36"/>
  <c r="M78" i="36"/>
  <c r="L78" i="36"/>
  <c r="K78" i="36"/>
  <c r="J78" i="36"/>
  <c r="I78" i="36"/>
  <c r="H78" i="36"/>
  <c r="G78" i="36"/>
  <c r="F78" i="36"/>
  <c r="E78" i="36"/>
  <c r="D78" i="36"/>
  <c r="C78" i="36"/>
  <c r="B78" i="36"/>
  <c r="R77" i="36"/>
  <c r="Q77" i="36"/>
  <c r="P77" i="36"/>
  <c r="O77" i="36"/>
  <c r="N77" i="36"/>
  <c r="M77" i="36"/>
  <c r="L77" i="36"/>
  <c r="K77" i="36"/>
  <c r="J77" i="36"/>
  <c r="I77" i="36"/>
  <c r="H77" i="36"/>
  <c r="G77" i="36"/>
  <c r="F77" i="36"/>
  <c r="E77" i="36"/>
  <c r="D77" i="36"/>
  <c r="C77" i="36"/>
  <c r="B77" i="36"/>
  <c r="R76" i="36"/>
  <c r="Q76" i="36"/>
  <c r="P76" i="36"/>
  <c r="O76" i="36"/>
  <c r="N76" i="36"/>
  <c r="M76" i="36"/>
  <c r="L76" i="36"/>
  <c r="K76" i="36"/>
  <c r="J76" i="36"/>
  <c r="I76" i="36"/>
  <c r="H76" i="36"/>
  <c r="G76" i="36"/>
  <c r="F76" i="36"/>
  <c r="E76" i="36"/>
  <c r="D76" i="36"/>
  <c r="C76" i="36"/>
  <c r="B76" i="36"/>
  <c r="R75" i="36"/>
  <c r="Q75" i="36"/>
  <c r="P75" i="36"/>
  <c r="O75" i="36"/>
  <c r="N75" i="36"/>
  <c r="M75" i="36"/>
  <c r="L75" i="36"/>
  <c r="K75" i="36"/>
  <c r="J75" i="36"/>
  <c r="I75" i="36"/>
  <c r="H75" i="36"/>
  <c r="G75" i="36"/>
  <c r="F75" i="36"/>
  <c r="E75" i="36"/>
  <c r="D75" i="36"/>
  <c r="C75" i="36"/>
  <c r="B75" i="36"/>
  <c r="R74" i="36"/>
  <c r="Q74" i="36"/>
  <c r="P74" i="36"/>
  <c r="O74" i="36"/>
  <c r="N74" i="36"/>
  <c r="M74" i="36"/>
  <c r="L74" i="36"/>
  <c r="K74" i="36"/>
  <c r="J74" i="36"/>
  <c r="I74" i="36"/>
  <c r="H74" i="36"/>
  <c r="G74" i="36"/>
  <c r="F74" i="36"/>
  <c r="E74" i="36"/>
  <c r="D74" i="36"/>
  <c r="C74" i="36"/>
  <c r="B74" i="36"/>
  <c r="R73" i="36"/>
  <c r="Q73" i="36"/>
  <c r="P73" i="36"/>
  <c r="O73" i="36"/>
  <c r="N73" i="36"/>
  <c r="M73" i="36"/>
  <c r="L73" i="36"/>
  <c r="K73" i="36"/>
  <c r="J73" i="36"/>
  <c r="I73" i="36"/>
  <c r="H73" i="36"/>
  <c r="G73" i="36"/>
  <c r="F73" i="36"/>
  <c r="E73" i="36"/>
  <c r="D73" i="36"/>
  <c r="C73" i="36"/>
  <c r="B73" i="36"/>
  <c r="R72" i="36"/>
  <c r="Q72" i="36"/>
  <c r="P72" i="36"/>
  <c r="O72" i="36"/>
  <c r="N72" i="36"/>
  <c r="M72" i="36"/>
  <c r="L72" i="36"/>
  <c r="K72" i="36"/>
  <c r="J72" i="36"/>
  <c r="I72" i="36"/>
  <c r="H72" i="36"/>
  <c r="G72" i="36"/>
  <c r="F72" i="36"/>
  <c r="E72" i="36"/>
  <c r="D72" i="36"/>
  <c r="C72" i="36"/>
  <c r="B72" i="36"/>
  <c r="R71" i="36"/>
  <c r="Q71" i="36"/>
  <c r="P71" i="36"/>
  <c r="O71" i="36"/>
  <c r="N71" i="36"/>
  <c r="M71" i="36"/>
  <c r="L71" i="36"/>
  <c r="K71" i="36"/>
  <c r="J71" i="36"/>
  <c r="I71" i="36"/>
  <c r="H71" i="36"/>
  <c r="G71" i="36"/>
  <c r="F71" i="36"/>
  <c r="E71" i="36"/>
  <c r="D71" i="36"/>
  <c r="C71" i="36"/>
  <c r="B71" i="36"/>
  <c r="R70" i="36"/>
  <c r="Q70" i="36"/>
  <c r="P70" i="36"/>
  <c r="O70" i="36"/>
  <c r="N70" i="36"/>
  <c r="M70" i="36"/>
  <c r="L70" i="36"/>
  <c r="K70" i="36"/>
  <c r="J70" i="36"/>
  <c r="I70" i="36"/>
  <c r="H70" i="36"/>
  <c r="G70" i="36"/>
  <c r="F70" i="36"/>
  <c r="E70" i="36"/>
  <c r="D70" i="36"/>
  <c r="C70" i="36"/>
  <c r="B70" i="36"/>
  <c r="R69" i="36"/>
  <c r="Q69" i="36"/>
  <c r="P69" i="36"/>
  <c r="O69" i="36"/>
  <c r="N69" i="36"/>
  <c r="M69" i="36"/>
  <c r="L69" i="36"/>
  <c r="K69" i="36"/>
  <c r="J69" i="36"/>
  <c r="I69" i="36"/>
  <c r="H69" i="36"/>
  <c r="G69" i="36"/>
  <c r="F69" i="36"/>
  <c r="E69" i="36"/>
  <c r="D69" i="36"/>
  <c r="C69" i="36"/>
  <c r="B69" i="36"/>
  <c r="R68" i="36"/>
  <c r="Q68" i="36"/>
  <c r="P68" i="36"/>
  <c r="O68" i="36"/>
  <c r="N68" i="36"/>
  <c r="M68" i="36"/>
  <c r="L68" i="36"/>
  <c r="K68" i="36"/>
  <c r="J68" i="36"/>
  <c r="I68" i="36"/>
  <c r="H68" i="36"/>
  <c r="G68" i="36"/>
  <c r="F68" i="36"/>
  <c r="E68" i="36"/>
  <c r="D68" i="36"/>
  <c r="C68" i="36"/>
  <c r="B68" i="36"/>
  <c r="R67" i="36"/>
  <c r="Q67" i="36"/>
  <c r="P67" i="36"/>
  <c r="O67" i="36"/>
  <c r="N67" i="36"/>
  <c r="M67" i="36"/>
  <c r="L67" i="36"/>
  <c r="K67" i="36"/>
  <c r="J67" i="36"/>
  <c r="I67" i="36"/>
  <c r="H67" i="36"/>
  <c r="G67" i="36"/>
  <c r="F67" i="36"/>
  <c r="E67" i="36"/>
  <c r="D67" i="36"/>
  <c r="C67" i="36"/>
  <c r="B67" i="36"/>
  <c r="R66" i="36"/>
  <c r="Q66" i="36"/>
  <c r="P66" i="36"/>
  <c r="O66" i="36"/>
  <c r="N66" i="36"/>
  <c r="M66" i="36"/>
  <c r="L66" i="36"/>
  <c r="K66" i="36"/>
  <c r="J66" i="36"/>
  <c r="I66" i="36"/>
  <c r="H66" i="36"/>
  <c r="G66" i="36"/>
  <c r="F66" i="36"/>
  <c r="E66" i="36"/>
  <c r="D66" i="36"/>
  <c r="C66" i="36"/>
  <c r="B66" i="36"/>
  <c r="R65" i="36"/>
  <c r="Q65" i="36"/>
  <c r="P65" i="36"/>
  <c r="O65" i="36"/>
  <c r="N65" i="36"/>
  <c r="M65" i="36"/>
  <c r="L65" i="36"/>
  <c r="K65" i="36"/>
  <c r="J65" i="36"/>
  <c r="I65" i="36"/>
  <c r="H65" i="36"/>
  <c r="G65" i="36"/>
  <c r="F65" i="36"/>
  <c r="E65" i="36"/>
  <c r="D65" i="36"/>
  <c r="C65" i="36"/>
  <c r="B65" i="36"/>
  <c r="R64" i="36"/>
  <c r="Q64" i="36"/>
  <c r="P64" i="36"/>
  <c r="O64" i="36"/>
  <c r="N64" i="36"/>
  <c r="M64" i="36"/>
  <c r="L64" i="36"/>
  <c r="K64" i="36"/>
  <c r="J64" i="36"/>
  <c r="I64" i="36"/>
  <c r="H64" i="36"/>
  <c r="G64" i="36"/>
  <c r="F64" i="36"/>
  <c r="E64" i="36"/>
  <c r="D64" i="36"/>
  <c r="C64" i="36"/>
  <c r="B64" i="36"/>
  <c r="R63" i="36"/>
  <c r="Q63" i="36"/>
  <c r="P63" i="36"/>
  <c r="O63" i="36"/>
  <c r="N63" i="36"/>
  <c r="M63" i="36"/>
  <c r="L63" i="36"/>
  <c r="K63" i="36"/>
  <c r="J63" i="36"/>
  <c r="I63" i="36"/>
  <c r="H63" i="36"/>
  <c r="G63" i="36"/>
  <c r="F63" i="36"/>
  <c r="E63" i="36"/>
  <c r="D63" i="36"/>
  <c r="C63" i="36"/>
  <c r="B63" i="36"/>
  <c r="R62" i="36"/>
  <c r="Q62" i="36"/>
  <c r="P62" i="36"/>
  <c r="O62" i="36"/>
  <c r="N62" i="36"/>
  <c r="M62" i="36"/>
  <c r="L62" i="36"/>
  <c r="K62" i="36"/>
  <c r="J62" i="36"/>
  <c r="I62" i="36"/>
  <c r="H62" i="36"/>
  <c r="G62" i="36"/>
  <c r="F62" i="36"/>
  <c r="E62" i="36"/>
  <c r="D62" i="36"/>
  <c r="C62" i="36"/>
  <c r="B62" i="36"/>
  <c r="R61" i="36"/>
  <c r="Q61" i="36"/>
  <c r="P61" i="36"/>
  <c r="O61" i="36"/>
  <c r="N61" i="36"/>
  <c r="M61" i="36"/>
  <c r="L61" i="36"/>
  <c r="K61" i="36"/>
  <c r="J61" i="36"/>
  <c r="I61" i="36"/>
  <c r="H61" i="36"/>
  <c r="G61" i="36"/>
  <c r="F61" i="36"/>
  <c r="E61" i="36"/>
  <c r="D61" i="36"/>
  <c r="C61" i="36"/>
  <c r="B61" i="36"/>
  <c r="R60" i="36"/>
  <c r="Q60" i="36"/>
  <c r="P60" i="36"/>
  <c r="O60" i="36"/>
  <c r="N60" i="36"/>
  <c r="M60" i="36"/>
  <c r="L60" i="36"/>
  <c r="K60" i="36"/>
  <c r="J60" i="36"/>
  <c r="I60" i="36"/>
  <c r="H60" i="36"/>
  <c r="G60" i="36"/>
  <c r="F60" i="36"/>
  <c r="E60" i="36"/>
  <c r="D60" i="36"/>
  <c r="C60" i="36"/>
  <c r="B60" i="36"/>
  <c r="R59" i="36"/>
  <c r="Q59" i="36"/>
  <c r="P59" i="36"/>
  <c r="O59" i="36"/>
  <c r="N59" i="36"/>
  <c r="M59" i="36"/>
  <c r="L59" i="36"/>
  <c r="K59" i="36"/>
  <c r="J59" i="36"/>
  <c r="I59" i="36"/>
  <c r="H59" i="36"/>
  <c r="G59" i="36"/>
  <c r="F59" i="36"/>
  <c r="E59" i="36"/>
  <c r="D59" i="36"/>
  <c r="C59" i="36"/>
  <c r="B59" i="36"/>
  <c r="R58" i="36"/>
  <c r="Q58" i="36"/>
  <c r="P58" i="36"/>
  <c r="O58" i="36"/>
  <c r="N58" i="36"/>
  <c r="M58" i="36"/>
  <c r="L58" i="36"/>
  <c r="K58" i="36"/>
  <c r="J58" i="36"/>
  <c r="I58" i="36"/>
  <c r="H58" i="36"/>
  <c r="G58" i="36"/>
  <c r="F58" i="36"/>
  <c r="E58" i="36"/>
  <c r="D58" i="36"/>
  <c r="C58" i="36"/>
  <c r="B58" i="36"/>
  <c r="R57" i="36"/>
  <c r="Q57" i="36"/>
  <c r="P57" i="36"/>
  <c r="O57" i="36"/>
  <c r="N57" i="36"/>
  <c r="M57" i="36"/>
  <c r="L57" i="36"/>
  <c r="K57" i="36"/>
  <c r="J57" i="36"/>
  <c r="I57" i="36"/>
  <c r="H57" i="36"/>
  <c r="G57" i="36"/>
  <c r="F57" i="36"/>
  <c r="E57" i="36"/>
  <c r="D57" i="36"/>
  <c r="C57" i="36"/>
  <c r="B57" i="36"/>
  <c r="R56" i="36"/>
  <c r="Q56" i="36"/>
  <c r="P56" i="36"/>
  <c r="O56" i="36"/>
  <c r="N56" i="36"/>
  <c r="M56" i="36"/>
  <c r="L56" i="36"/>
  <c r="K56" i="36"/>
  <c r="J56" i="36"/>
  <c r="I56" i="36"/>
  <c r="H56" i="36"/>
  <c r="G56" i="36"/>
  <c r="F56" i="36"/>
  <c r="E56" i="36"/>
  <c r="D56" i="36"/>
  <c r="C56" i="36"/>
  <c r="B56" i="36"/>
  <c r="R55" i="36"/>
  <c r="Q55" i="36"/>
  <c r="P55" i="36"/>
  <c r="O55" i="36"/>
  <c r="N55" i="36"/>
  <c r="M55" i="36"/>
  <c r="L55" i="36"/>
  <c r="K55" i="36"/>
  <c r="J55" i="36"/>
  <c r="I55" i="36"/>
  <c r="H55" i="36"/>
  <c r="G55" i="36"/>
  <c r="F55" i="36"/>
  <c r="E55" i="36"/>
  <c r="D55" i="36"/>
  <c r="C55" i="36"/>
  <c r="B55" i="36"/>
  <c r="R54" i="36"/>
  <c r="Q54" i="36"/>
  <c r="P54" i="36"/>
  <c r="O54" i="36"/>
  <c r="N54" i="36"/>
  <c r="M54" i="36"/>
  <c r="L54" i="36"/>
  <c r="K54" i="36"/>
  <c r="J54" i="36"/>
  <c r="I54" i="36"/>
  <c r="H54" i="36"/>
  <c r="G54" i="36"/>
  <c r="F54" i="36"/>
  <c r="E54" i="36"/>
  <c r="D54" i="36"/>
  <c r="C54" i="36"/>
  <c r="B54" i="36"/>
  <c r="R53" i="36"/>
  <c r="Q53" i="36"/>
  <c r="P53" i="36"/>
  <c r="O53" i="36"/>
  <c r="N53" i="36"/>
  <c r="M53" i="36"/>
  <c r="L53" i="36"/>
  <c r="K53" i="36"/>
  <c r="J53" i="36"/>
  <c r="I53" i="36"/>
  <c r="H53" i="36"/>
  <c r="G53" i="36"/>
  <c r="F53" i="36"/>
  <c r="E53" i="36"/>
  <c r="D53" i="36"/>
  <c r="C53" i="36"/>
  <c r="B53" i="36"/>
  <c r="R52" i="36"/>
  <c r="Q52" i="36"/>
  <c r="P52" i="36"/>
  <c r="O52" i="36"/>
  <c r="N52" i="36"/>
  <c r="M52" i="36"/>
  <c r="L52" i="36"/>
  <c r="K52" i="36"/>
  <c r="J52" i="36"/>
  <c r="I52" i="36"/>
  <c r="H52" i="36"/>
  <c r="G52" i="36"/>
  <c r="F52" i="36"/>
  <c r="E52" i="36"/>
  <c r="D52" i="36"/>
  <c r="C52" i="36"/>
  <c r="B52" i="36"/>
  <c r="R51" i="36"/>
  <c r="Q51" i="36"/>
  <c r="P51" i="36"/>
  <c r="O51" i="36"/>
  <c r="N51" i="36"/>
  <c r="M51" i="36"/>
  <c r="L51" i="36"/>
  <c r="K51" i="36"/>
  <c r="J51" i="36"/>
  <c r="I51" i="36"/>
  <c r="H51" i="36"/>
  <c r="G51" i="36"/>
  <c r="F51" i="36"/>
  <c r="E51" i="36"/>
  <c r="D51" i="36"/>
  <c r="C51" i="36"/>
  <c r="B51" i="36"/>
  <c r="R50" i="36"/>
  <c r="Q50" i="36"/>
  <c r="P50" i="36"/>
  <c r="O50" i="36"/>
  <c r="N50" i="36"/>
  <c r="M50" i="36"/>
  <c r="L50" i="36"/>
  <c r="K50" i="36"/>
  <c r="J50" i="36"/>
  <c r="I50" i="36"/>
  <c r="H50" i="36"/>
  <c r="G50" i="36"/>
  <c r="F50" i="36"/>
  <c r="E50" i="36"/>
  <c r="D50" i="36"/>
  <c r="C50" i="36"/>
  <c r="B50" i="36"/>
  <c r="R49" i="36"/>
  <c r="Q49" i="36"/>
  <c r="P49" i="36"/>
  <c r="O49" i="36"/>
  <c r="N49" i="36"/>
  <c r="M49" i="36"/>
  <c r="L49" i="36"/>
  <c r="K49" i="36"/>
  <c r="J49" i="36"/>
  <c r="I49" i="36"/>
  <c r="H49" i="36"/>
  <c r="G49" i="36"/>
  <c r="F49" i="36"/>
  <c r="E49" i="36"/>
  <c r="D49" i="36"/>
  <c r="C49" i="36"/>
  <c r="B49" i="36"/>
  <c r="R48" i="36"/>
  <c r="Q48" i="36"/>
  <c r="P48" i="36"/>
  <c r="O48" i="36"/>
  <c r="N48" i="36"/>
  <c r="M48" i="36"/>
  <c r="L48" i="36"/>
  <c r="K48" i="36"/>
  <c r="J48" i="36"/>
  <c r="I48" i="36"/>
  <c r="H48" i="36"/>
  <c r="G48" i="36"/>
  <c r="F48" i="36"/>
  <c r="E48" i="36"/>
  <c r="D48" i="36"/>
  <c r="C48" i="36"/>
  <c r="B48" i="36"/>
  <c r="R47" i="36"/>
  <c r="Q47" i="36"/>
  <c r="P47" i="36"/>
  <c r="O47" i="36"/>
  <c r="N47" i="36"/>
  <c r="M47" i="36"/>
  <c r="L47" i="36"/>
  <c r="K47" i="36"/>
  <c r="J47" i="36"/>
  <c r="I47" i="36"/>
  <c r="H47" i="36"/>
  <c r="G47" i="36"/>
  <c r="F47" i="36"/>
  <c r="E47" i="36"/>
  <c r="D47" i="36"/>
  <c r="C47" i="36"/>
  <c r="B47" i="36"/>
  <c r="R46" i="36"/>
  <c r="Q46" i="36"/>
  <c r="P46" i="36"/>
  <c r="O46" i="36"/>
  <c r="N46" i="36"/>
  <c r="M46" i="36"/>
  <c r="L46" i="36"/>
  <c r="K46" i="36"/>
  <c r="J46" i="36"/>
  <c r="I46" i="36"/>
  <c r="H46" i="36"/>
  <c r="G46" i="36"/>
  <c r="F46" i="36"/>
  <c r="E46" i="36"/>
  <c r="D46" i="36"/>
  <c r="C46" i="36"/>
  <c r="B46" i="36"/>
  <c r="R45" i="36"/>
  <c r="Q45" i="36"/>
  <c r="P45" i="36"/>
  <c r="O45" i="36"/>
  <c r="N45" i="36"/>
  <c r="M45" i="36"/>
  <c r="L45" i="36"/>
  <c r="K45" i="36"/>
  <c r="J45" i="36"/>
  <c r="I45" i="36"/>
  <c r="H45" i="36"/>
  <c r="G45" i="36"/>
  <c r="F45" i="36"/>
  <c r="E45" i="36"/>
  <c r="D45" i="36"/>
  <c r="C45" i="36"/>
  <c r="B45" i="36"/>
  <c r="R44" i="36"/>
  <c r="Q44" i="36"/>
  <c r="P44" i="36"/>
  <c r="O44" i="36"/>
  <c r="N44" i="36"/>
  <c r="M44" i="36"/>
  <c r="L44" i="36"/>
  <c r="K44" i="36"/>
  <c r="J44" i="36"/>
  <c r="I44" i="36"/>
  <c r="H44" i="36"/>
  <c r="G44" i="36"/>
  <c r="F44" i="36"/>
  <c r="E44" i="36"/>
  <c r="D44" i="36"/>
  <c r="C44" i="36"/>
  <c r="B44" i="36"/>
  <c r="R43" i="36"/>
  <c r="Q43" i="36"/>
  <c r="P43" i="36"/>
  <c r="O43" i="36"/>
  <c r="N43" i="36"/>
  <c r="M43" i="36"/>
  <c r="L43" i="36"/>
  <c r="K43" i="36"/>
  <c r="J43" i="36"/>
  <c r="I43" i="36"/>
  <c r="H43" i="36"/>
  <c r="G43" i="36"/>
  <c r="F43" i="36"/>
  <c r="E43" i="36"/>
  <c r="D43" i="36"/>
  <c r="C43" i="36"/>
  <c r="B43" i="36"/>
  <c r="R42" i="36"/>
  <c r="Q42" i="36"/>
  <c r="P42" i="36"/>
  <c r="O42" i="36"/>
  <c r="N42" i="36"/>
  <c r="M42" i="36"/>
  <c r="L42" i="36"/>
  <c r="K42" i="36"/>
  <c r="J42" i="36"/>
  <c r="I42" i="36"/>
  <c r="H42" i="36"/>
  <c r="G42" i="36"/>
  <c r="F42" i="36"/>
  <c r="E42" i="36"/>
  <c r="D42" i="36"/>
  <c r="C42" i="36"/>
  <c r="B42" i="36"/>
  <c r="R41" i="36"/>
  <c r="Q41" i="36"/>
  <c r="P41" i="36"/>
  <c r="O41" i="36"/>
  <c r="N41" i="36"/>
  <c r="M41" i="36"/>
  <c r="L41" i="36"/>
  <c r="K41" i="36"/>
  <c r="J41" i="36"/>
  <c r="I41" i="36"/>
  <c r="H41" i="36"/>
  <c r="G41" i="36"/>
  <c r="F41" i="36"/>
  <c r="E41" i="36"/>
  <c r="D41" i="36"/>
  <c r="C41" i="36"/>
  <c r="B41" i="36"/>
  <c r="R40" i="36"/>
  <c r="Q40" i="36"/>
  <c r="P40" i="36"/>
  <c r="O40" i="36"/>
  <c r="N40" i="36"/>
  <c r="M40" i="36"/>
  <c r="L40" i="36"/>
  <c r="K40" i="36"/>
  <c r="J40" i="36"/>
  <c r="I40" i="36"/>
  <c r="H40" i="36"/>
  <c r="G40" i="36"/>
  <c r="F40" i="36"/>
  <c r="E40" i="36"/>
  <c r="D40" i="36"/>
  <c r="C40" i="36"/>
  <c r="B40" i="36"/>
  <c r="R39" i="36"/>
  <c r="Q39" i="36"/>
  <c r="P39" i="36"/>
  <c r="O39" i="36"/>
  <c r="N39" i="36"/>
  <c r="M39" i="36"/>
  <c r="L39" i="36"/>
  <c r="K39" i="36"/>
  <c r="J39" i="36"/>
  <c r="I39" i="36"/>
  <c r="H39" i="36"/>
  <c r="G39" i="36"/>
  <c r="F39" i="36"/>
  <c r="E39" i="36"/>
  <c r="D39" i="36"/>
  <c r="C39" i="36"/>
  <c r="B39" i="36"/>
  <c r="R38" i="36"/>
  <c r="Q38" i="36"/>
  <c r="P38" i="36"/>
  <c r="O38" i="36"/>
  <c r="N38" i="36"/>
  <c r="M38" i="36"/>
  <c r="L38" i="36"/>
  <c r="K38" i="36"/>
  <c r="J38" i="36"/>
  <c r="I38" i="36"/>
  <c r="H38" i="36"/>
  <c r="G38" i="36"/>
  <c r="F38" i="36"/>
  <c r="E38" i="36"/>
  <c r="D38" i="36"/>
  <c r="C38" i="36"/>
  <c r="B38" i="36"/>
  <c r="R37" i="36"/>
  <c r="Q37" i="36"/>
  <c r="P37" i="36"/>
  <c r="O37" i="36"/>
  <c r="N37" i="36"/>
  <c r="M37" i="36"/>
  <c r="L37" i="36"/>
  <c r="K37" i="36"/>
  <c r="J37" i="36"/>
  <c r="I37" i="36"/>
  <c r="H37" i="36"/>
  <c r="G37" i="36"/>
  <c r="F37" i="36"/>
  <c r="E37" i="36"/>
  <c r="D37" i="36"/>
  <c r="C37" i="36"/>
  <c r="B37" i="36"/>
  <c r="R36" i="36"/>
  <c r="Q36" i="36"/>
  <c r="P36" i="36"/>
  <c r="O36" i="36"/>
  <c r="N36" i="36"/>
  <c r="M36" i="36"/>
  <c r="L36" i="36"/>
  <c r="K36" i="36"/>
  <c r="J36" i="36"/>
  <c r="I36" i="36"/>
  <c r="H36" i="36"/>
  <c r="G36" i="36"/>
  <c r="F36" i="36"/>
  <c r="E36" i="36"/>
  <c r="D36" i="36"/>
  <c r="C36" i="36"/>
  <c r="B36" i="36"/>
  <c r="R35" i="36"/>
  <c r="Q35" i="36"/>
  <c r="P35" i="36"/>
  <c r="O35" i="36"/>
  <c r="N35" i="36"/>
  <c r="M35" i="36"/>
  <c r="L35" i="36"/>
  <c r="K35" i="36"/>
  <c r="J35" i="36"/>
  <c r="I35" i="36"/>
  <c r="H35" i="36"/>
  <c r="G35" i="36"/>
  <c r="F35" i="36"/>
  <c r="E35" i="36"/>
  <c r="D35" i="36"/>
  <c r="C35" i="36"/>
  <c r="B35" i="36"/>
  <c r="R34" i="36"/>
  <c r="Q34" i="36"/>
  <c r="P34" i="36"/>
  <c r="O34" i="36"/>
  <c r="N34" i="36"/>
  <c r="M34" i="36"/>
  <c r="L34" i="36"/>
  <c r="K34" i="36"/>
  <c r="J34" i="36"/>
  <c r="I34" i="36"/>
  <c r="H34" i="36"/>
  <c r="G34" i="36"/>
  <c r="F34" i="36"/>
  <c r="E34" i="36"/>
  <c r="D34" i="36"/>
  <c r="C34" i="36"/>
  <c r="B34" i="36"/>
  <c r="R33" i="36"/>
  <c r="Q33" i="36"/>
  <c r="P33" i="36"/>
  <c r="O33" i="36"/>
  <c r="N33" i="36"/>
  <c r="M33" i="36"/>
  <c r="L33" i="36"/>
  <c r="K33" i="36"/>
  <c r="J33" i="36"/>
  <c r="I33" i="36"/>
  <c r="H33" i="36"/>
  <c r="G33" i="36"/>
  <c r="F33" i="36"/>
  <c r="E33" i="36"/>
  <c r="D33" i="36"/>
  <c r="C33" i="36"/>
  <c r="B33" i="36"/>
  <c r="R32" i="36"/>
  <c r="Q32" i="36"/>
  <c r="P32" i="36"/>
  <c r="O32" i="36"/>
  <c r="N32" i="36"/>
  <c r="M32" i="36"/>
  <c r="L32" i="36"/>
  <c r="K32" i="36"/>
  <c r="J32" i="36"/>
  <c r="I32" i="36"/>
  <c r="H32" i="36"/>
  <c r="G32" i="36"/>
  <c r="F32" i="36"/>
  <c r="E32" i="36"/>
  <c r="D32" i="36"/>
  <c r="C32" i="36"/>
  <c r="B32" i="36"/>
  <c r="R31" i="36"/>
  <c r="Q31" i="36"/>
  <c r="P31" i="36"/>
  <c r="O31" i="36"/>
  <c r="N31" i="36"/>
  <c r="M31" i="36"/>
  <c r="L31" i="36"/>
  <c r="K31" i="36"/>
  <c r="J31" i="36"/>
  <c r="I31" i="36"/>
  <c r="H31" i="36"/>
  <c r="G31" i="36"/>
  <c r="F31" i="36"/>
  <c r="E31" i="36"/>
  <c r="D31" i="36"/>
  <c r="C31" i="36"/>
  <c r="B31" i="36"/>
  <c r="R30" i="36"/>
  <c r="Q30" i="36"/>
  <c r="P30" i="36"/>
  <c r="O30" i="36"/>
  <c r="N30" i="36"/>
  <c r="M30" i="36"/>
  <c r="L30" i="36"/>
  <c r="K30" i="36"/>
  <c r="J30" i="36"/>
  <c r="I30" i="36"/>
  <c r="H30" i="36"/>
  <c r="G30" i="36"/>
  <c r="F30" i="36"/>
  <c r="E30" i="36"/>
  <c r="D30" i="36"/>
  <c r="C30" i="36"/>
  <c r="B30" i="36"/>
  <c r="R29" i="36"/>
  <c r="Q29" i="36"/>
  <c r="P29" i="36"/>
  <c r="O29" i="36"/>
  <c r="N29" i="36"/>
  <c r="M29" i="36"/>
  <c r="L29" i="36"/>
  <c r="K29" i="36"/>
  <c r="J29" i="36"/>
  <c r="I29" i="36"/>
  <c r="H29" i="36"/>
  <c r="G29" i="36"/>
  <c r="F29" i="36"/>
  <c r="E29" i="36"/>
  <c r="D29" i="36"/>
  <c r="C29" i="36"/>
  <c r="B29" i="36"/>
  <c r="R28" i="36"/>
  <c r="Q28" i="36"/>
  <c r="P28" i="36"/>
  <c r="O28" i="36"/>
  <c r="N28" i="36"/>
  <c r="M28" i="36"/>
  <c r="L28" i="36"/>
  <c r="K28" i="36"/>
  <c r="J28" i="36"/>
  <c r="I28" i="36"/>
  <c r="H28" i="36"/>
  <c r="G28" i="36"/>
  <c r="F28" i="36"/>
  <c r="E28" i="36"/>
  <c r="D28" i="36"/>
  <c r="C28" i="36"/>
  <c r="B28" i="36"/>
  <c r="R27" i="36"/>
  <c r="Q27" i="36"/>
  <c r="P27" i="36"/>
  <c r="O27" i="36"/>
  <c r="N27" i="36"/>
  <c r="M27" i="36"/>
  <c r="L27" i="36"/>
  <c r="K27" i="36"/>
  <c r="J27" i="36"/>
  <c r="I27" i="36"/>
  <c r="H27" i="36"/>
  <c r="G27" i="36"/>
  <c r="F27" i="36"/>
  <c r="E27" i="36"/>
  <c r="D27" i="36"/>
  <c r="C27" i="36"/>
  <c r="B27" i="36"/>
  <c r="R26" i="36"/>
  <c r="Q26" i="36"/>
  <c r="P26" i="36"/>
  <c r="O26" i="36"/>
  <c r="N26" i="36"/>
  <c r="M26" i="36"/>
  <c r="L26" i="36"/>
  <c r="K26" i="36"/>
  <c r="J26" i="36"/>
  <c r="I26" i="36"/>
  <c r="H26" i="36"/>
  <c r="G26" i="36"/>
  <c r="F26" i="36"/>
  <c r="E26" i="36"/>
  <c r="D26" i="36"/>
  <c r="C26" i="36"/>
  <c r="B26" i="36"/>
  <c r="R25" i="36"/>
  <c r="Q25" i="36"/>
  <c r="P25" i="36"/>
  <c r="O25" i="36"/>
  <c r="N25" i="36"/>
  <c r="M25" i="36"/>
  <c r="L25" i="36"/>
  <c r="K25" i="36"/>
  <c r="J25" i="36"/>
  <c r="I25" i="36"/>
  <c r="H25" i="36"/>
  <c r="G25" i="36"/>
  <c r="F25" i="36"/>
  <c r="E25" i="36"/>
  <c r="D25" i="36"/>
  <c r="C25" i="36"/>
  <c r="B25" i="36"/>
  <c r="R24" i="36"/>
  <c r="Q24" i="36"/>
  <c r="P24" i="36"/>
  <c r="O24" i="36"/>
  <c r="N24" i="36"/>
  <c r="M24" i="36"/>
  <c r="L24" i="36"/>
  <c r="K24" i="36"/>
  <c r="J24" i="36"/>
  <c r="I24" i="36"/>
  <c r="H24" i="36"/>
  <c r="G24" i="36"/>
  <c r="F24" i="36"/>
  <c r="E24" i="36"/>
  <c r="D24" i="36"/>
  <c r="C24" i="36"/>
  <c r="B24" i="36"/>
  <c r="R23" i="36"/>
  <c r="Q23" i="36"/>
  <c r="P23" i="36"/>
  <c r="O23" i="36"/>
  <c r="N23" i="36"/>
  <c r="M23" i="36"/>
  <c r="L23" i="36"/>
  <c r="K23" i="36"/>
  <c r="J23" i="36"/>
  <c r="I23" i="36"/>
  <c r="H23" i="36"/>
  <c r="G23" i="36"/>
  <c r="F23" i="36"/>
  <c r="E23" i="36"/>
  <c r="D23" i="36"/>
  <c r="C23" i="36"/>
  <c r="B23" i="36"/>
  <c r="R22" i="36"/>
  <c r="Q22" i="36"/>
  <c r="P22" i="36"/>
  <c r="O22" i="36"/>
  <c r="N22" i="36"/>
  <c r="M22" i="36"/>
  <c r="L22" i="36"/>
  <c r="K22" i="36"/>
  <c r="J22" i="36"/>
  <c r="I22" i="36"/>
  <c r="H22" i="36"/>
  <c r="G22" i="36"/>
  <c r="F22" i="36"/>
  <c r="E22" i="36"/>
  <c r="D22" i="36"/>
  <c r="C22" i="36"/>
  <c r="B22" i="36"/>
  <c r="R21" i="36"/>
  <c r="Q21" i="36"/>
  <c r="P21" i="36"/>
  <c r="O21" i="36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R20" i="36"/>
  <c r="Q20" i="36"/>
  <c r="P20" i="36"/>
  <c r="O20" i="36"/>
  <c r="N20" i="36"/>
  <c r="M20" i="36"/>
  <c r="L20" i="36"/>
  <c r="K20" i="36"/>
  <c r="J20" i="36"/>
  <c r="I20" i="36"/>
  <c r="H20" i="36"/>
  <c r="G20" i="36"/>
  <c r="F20" i="36"/>
  <c r="E20" i="36"/>
  <c r="D20" i="36"/>
  <c r="C20" i="36"/>
  <c r="B20" i="36"/>
  <c r="R19" i="36"/>
  <c r="Q19" i="36"/>
  <c r="P19" i="36"/>
  <c r="O19" i="36"/>
  <c r="N19" i="36"/>
  <c r="M19" i="36"/>
  <c r="L19" i="36"/>
  <c r="K19" i="36"/>
  <c r="J19" i="36"/>
  <c r="I19" i="36"/>
  <c r="H19" i="36"/>
  <c r="G19" i="36"/>
  <c r="F19" i="36"/>
  <c r="E19" i="36"/>
  <c r="D19" i="36"/>
  <c r="C19" i="36"/>
  <c r="B19" i="36"/>
  <c r="R18" i="36"/>
  <c r="Q18" i="36"/>
  <c r="P18" i="36"/>
  <c r="O18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R17" i="36"/>
  <c r="Q17" i="36"/>
  <c r="P17" i="36"/>
  <c r="O17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R16" i="36"/>
  <c r="Q16" i="36"/>
  <c r="P16" i="36"/>
  <c r="O16" i="36"/>
  <c r="N16" i="36"/>
  <c r="M16" i="36"/>
  <c r="L16" i="36"/>
  <c r="K16" i="36"/>
  <c r="J16" i="36"/>
  <c r="I16" i="36"/>
  <c r="H16" i="36"/>
  <c r="G16" i="36"/>
  <c r="F16" i="36"/>
  <c r="E16" i="36"/>
  <c r="D16" i="36"/>
  <c r="C16" i="36"/>
  <c r="B16" i="36"/>
  <c r="R15" i="36"/>
  <c r="Q15" i="36"/>
  <c r="P15" i="36"/>
  <c r="O15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R14" i="36"/>
  <c r="Q14" i="36"/>
  <c r="P14" i="36"/>
  <c r="O14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R13" i="36"/>
  <c r="Q13" i="36"/>
  <c r="P13" i="36"/>
  <c r="O13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R12" i="36"/>
  <c r="Q12" i="36"/>
  <c r="P12" i="36"/>
  <c r="O12" i="36"/>
  <c r="N12" i="36"/>
  <c r="M12" i="36"/>
  <c r="L12" i="36"/>
  <c r="K12" i="36"/>
  <c r="J12" i="36"/>
  <c r="I12" i="36"/>
  <c r="H12" i="36"/>
  <c r="G12" i="36"/>
  <c r="F12" i="36"/>
  <c r="E12" i="36"/>
  <c r="D12" i="36"/>
  <c r="C12" i="36"/>
  <c r="B12" i="36"/>
  <c r="R11" i="36"/>
  <c r="Q11" i="36"/>
  <c r="P11" i="36"/>
  <c r="O11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R10" i="36"/>
  <c r="Q10" i="36"/>
  <c r="P10" i="36"/>
  <c r="O10" i="36"/>
  <c r="N10" i="36"/>
  <c r="M10" i="36"/>
  <c r="L10" i="36"/>
  <c r="K10" i="36"/>
  <c r="J10" i="36"/>
  <c r="I10" i="36"/>
  <c r="H10" i="36"/>
  <c r="G10" i="36"/>
  <c r="F10" i="36"/>
  <c r="E10" i="36"/>
  <c r="D10" i="36"/>
  <c r="C10" i="36"/>
  <c r="B10" i="36"/>
  <c r="R9" i="36"/>
  <c r="Q9" i="36"/>
  <c r="P9" i="36"/>
  <c r="O9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R8" i="36"/>
  <c r="Q8" i="36"/>
  <c r="P8" i="36"/>
  <c r="O8" i="36"/>
  <c r="N8" i="36"/>
  <c r="M8" i="36"/>
  <c r="L8" i="36"/>
  <c r="K8" i="36"/>
  <c r="J8" i="36"/>
  <c r="I8" i="36"/>
  <c r="H8" i="36"/>
  <c r="G8" i="36"/>
  <c r="F8" i="36"/>
  <c r="E8" i="36"/>
  <c r="D8" i="36"/>
  <c r="C8" i="36"/>
  <c r="B8" i="36"/>
  <c r="R7" i="36"/>
  <c r="Q7" i="36"/>
  <c r="P7" i="36"/>
  <c r="O7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R6" i="36"/>
  <c r="Q6" i="36"/>
  <c r="P6" i="36"/>
  <c r="O6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R5" i="36"/>
  <c r="Q5" i="36"/>
  <c r="P5" i="36"/>
  <c r="O5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R4" i="36"/>
  <c r="Q4" i="36"/>
  <c r="P4" i="36"/>
  <c r="O4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R3" i="36"/>
  <c r="Q3" i="36"/>
  <c r="P3" i="36"/>
  <c r="O3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R2" i="36"/>
  <c r="Q2" i="36"/>
  <c r="P2" i="36"/>
  <c r="O2" i="36"/>
  <c r="N2" i="36"/>
  <c r="M2" i="36"/>
  <c r="L2" i="36"/>
  <c r="K2" i="36"/>
  <c r="J2" i="36"/>
  <c r="I2" i="36"/>
  <c r="H2" i="36"/>
  <c r="G2" i="36"/>
  <c r="F2" i="36"/>
  <c r="E2" i="36"/>
  <c r="D2" i="36"/>
  <c r="C2" i="36"/>
  <c r="B2" i="36"/>
  <c r="C42" i="35"/>
  <c r="C41" i="35"/>
  <c r="C40" i="35"/>
  <c r="C35" i="35"/>
  <c r="C27" i="35"/>
  <c r="C28" i="35" s="1"/>
  <c r="C26" i="35"/>
  <c r="C21" i="35"/>
  <c r="C14" i="35"/>
  <c r="C13" i="35"/>
  <c r="C12" i="35"/>
  <c r="C7" i="35"/>
  <c r="T864" i="36" l="1"/>
  <c r="T880" i="36"/>
  <c r="T896" i="36"/>
  <c r="T912" i="36"/>
  <c r="T928" i="36"/>
  <c r="T944" i="36"/>
  <c r="T960" i="36"/>
  <c r="T976" i="36"/>
  <c r="T992" i="36"/>
  <c r="T1008" i="36"/>
  <c r="T1024" i="36"/>
  <c r="T1040" i="36"/>
  <c r="T1056" i="36"/>
  <c r="T1072" i="36"/>
  <c r="T1088" i="36"/>
  <c r="T1104" i="36"/>
  <c r="T1120" i="36"/>
  <c r="T1150" i="36"/>
  <c r="T1166" i="36"/>
  <c r="T1182" i="36"/>
  <c r="T1184" i="36"/>
  <c r="T1200" i="36"/>
  <c r="T1216" i="36"/>
  <c r="T1232" i="36"/>
  <c r="T1248" i="36"/>
  <c r="T1264" i="36"/>
  <c r="T1280" i="36"/>
  <c r="T1296" i="36"/>
  <c r="T1312" i="36"/>
  <c r="T1328" i="36"/>
  <c r="T1344" i="36"/>
  <c r="T1360" i="36"/>
  <c r="T1376" i="36"/>
  <c r="T1392" i="36"/>
  <c r="T1058" i="37"/>
  <c r="T1470" i="36"/>
  <c r="T1472" i="36"/>
  <c r="T1502" i="36"/>
  <c r="S1503" i="36"/>
  <c r="T1504" i="36"/>
  <c r="T1518" i="36"/>
  <c r="T1520" i="36"/>
  <c r="T1534" i="36"/>
  <c r="S1535" i="36"/>
  <c r="T1536" i="36"/>
  <c r="T1550" i="36"/>
  <c r="S1551" i="36"/>
  <c r="T1552" i="36"/>
  <c r="T1566" i="36"/>
  <c r="S1567" i="36"/>
  <c r="T1568" i="36"/>
  <c r="T1582" i="36"/>
  <c r="S1583" i="36"/>
  <c r="T1584" i="36"/>
  <c r="T1598" i="36"/>
  <c r="S1599" i="36"/>
  <c r="T1600" i="36"/>
  <c r="T1614" i="36"/>
  <c r="S1615" i="36"/>
  <c r="T1616" i="36"/>
  <c r="T1630" i="36"/>
  <c r="S1631" i="36"/>
  <c r="T1632" i="36"/>
  <c r="T1646" i="36"/>
  <c r="S1647" i="36"/>
  <c r="T1648" i="36"/>
  <c r="T1662" i="36"/>
  <c r="T1664" i="36"/>
  <c r="T1678" i="36"/>
  <c r="T1680" i="36"/>
  <c r="T1694" i="36"/>
  <c r="T1696" i="36"/>
  <c r="T1710" i="36"/>
  <c r="T1712" i="36"/>
  <c r="T1726" i="36"/>
  <c r="T1728" i="36"/>
  <c r="T1742" i="36"/>
  <c r="T2" i="37"/>
  <c r="T16" i="37"/>
  <c r="T18" i="37"/>
  <c r="T32" i="37"/>
  <c r="S34" i="37"/>
  <c r="T48" i="37"/>
  <c r="S50" i="37"/>
  <c r="T64" i="37"/>
  <c r="S66" i="37"/>
  <c r="T80" i="37"/>
  <c r="S82" i="37"/>
  <c r="T96" i="37"/>
  <c r="S98" i="37"/>
  <c r="T112" i="37"/>
  <c r="S114" i="37"/>
  <c r="T128" i="37"/>
  <c r="S130" i="37"/>
  <c r="T144" i="37"/>
  <c r="S146" i="37"/>
  <c r="T160" i="37"/>
  <c r="S162" i="37"/>
  <c r="T176" i="37"/>
  <c r="S178" i="37"/>
  <c r="S193" i="37"/>
  <c r="S209" i="37"/>
  <c r="T225" i="37"/>
  <c r="S241" i="37"/>
  <c r="T289" i="37"/>
  <c r="T49" i="36"/>
  <c r="T193" i="36"/>
  <c r="T207" i="36"/>
  <c r="T223" i="36"/>
  <c r="T239" i="36"/>
  <c r="S240" i="36"/>
  <c r="T241" i="36"/>
  <c r="S464" i="36"/>
  <c r="T833" i="36"/>
  <c r="T849" i="36"/>
  <c r="T81" i="36"/>
  <c r="T96" i="36"/>
  <c r="T144" i="36"/>
  <c r="T33" i="36"/>
  <c r="T113" i="36"/>
  <c r="T161" i="36"/>
  <c r="T821" i="37"/>
  <c r="T853" i="37"/>
  <c r="T885" i="37"/>
  <c r="T981" i="37"/>
  <c r="T1012" i="37"/>
  <c r="T1013" i="37"/>
  <c r="T48" i="36"/>
  <c r="T65" i="36"/>
  <c r="T80" i="36"/>
  <c r="T176" i="36"/>
  <c r="T449" i="36"/>
  <c r="T818" i="36"/>
  <c r="S757" i="37"/>
  <c r="S773" i="37"/>
  <c r="T789" i="37"/>
  <c r="S805" i="37"/>
  <c r="S997" i="37"/>
  <c r="T64" i="36"/>
  <c r="T128" i="36"/>
  <c r="T177" i="36"/>
  <c r="T259" i="36"/>
  <c r="T420" i="36"/>
  <c r="T358" i="37"/>
  <c r="T967" i="37"/>
  <c r="T1493" i="37"/>
  <c r="T1509" i="37"/>
  <c r="T1525" i="37"/>
  <c r="T1541" i="37"/>
  <c r="T1557" i="37"/>
  <c r="T1573" i="37"/>
  <c r="T1589" i="37"/>
  <c r="T1605" i="37"/>
  <c r="T1621" i="37"/>
  <c r="T1637" i="37"/>
  <c r="T1653" i="37"/>
  <c r="S1655" i="37"/>
  <c r="T1669" i="37"/>
  <c r="S1671" i="37"/>
  <c r="T11" i="38"/>
  <c r="S13" i="38"/>
  <c r="T27" i="38"/>
  <c r="S29" i="38"/>
  <c r="T43" i="38"/>
  <c r="S45" i="38"/>
  <c r="T59" i="38"/>
  <c r="S61" i="38"/>
  <c r="T97" i="36"/>
  <c r="T112" i="36"/>
  <c r="T145" i="36"/>
  <c r="T175" i="36"/>
  <c r="T291" i="36"/>
  <c r="T403" i="36"/>
  <c r="T405" i="36"/>
  <c r="T262" i="36"/>
  <c r="T278" i="36"/>
  <c r="T326" i="36"/>
  <c r="T358" i="36"/>
  <c r="S390" i="36"/>
  <c r="T438" i="36"/>
  <c r="T1415" i="37"/>
  <c r="T1463" i="37"/>
  <c r="T1464" i="37"/>
  <c r="T129" i="36"/>
  <c r="T160" i="36"/>
  <c r="T374" i="36"/>
  <c r="T422" i="36"/>
  <c r="T454" i="36"/>
  <c r="T470" i="36"/>
  <c r="S856" i="37"/>
  <c r="S857" i="37"/>
  <c r="T1369" i="37"/>
  <c r="T1370" i="37"/>
  <c r="T1257" i="37"/>
  <c r="T1291" i="37"/>
  <c r="T312" i="36"/>
  <c r="S1243" i="37"/>
  <c r="S1418" i="36"/>
  <c r="T1419" i="36"/>
  <c r="S1434" i="36"/>
  <c r="T1435" i="36"/>
  <c r="T715" i="37"/>
  <c r="S716" i="37"/>
  <c r="T32" i="36"/>
  <c r="T1086" i="37"/>
  <c r="T1196" i="37"/>
  <c r="S1197" i="37"/>
  <c r="T1214" i="37"/>
  <c r="T11" i="36"/>
  <c r="T12" i="36"/>
  <c r="T13" i="36"/>
  <c r="T27" i="36"/>
  <c r="T28" i="36"/>
  <c r="T29" i="36"/>
  <c r="T335" i="37"/>
  <c r="S1150" i="37"/>
  <c r="T1406" i="36"/>
  <c r="T1422" i="36"/>
  <c r="T1438" i="36"/>
  <c r="T1454" i="36"/>
  <c r="T1054" i="37"/>
  <c r="T494" i="36"/>
  <c r="S495" i="36"/>
  <c r="T510" i="36"/>
  <c r="S511" i="36"/>
  <c r="T526" i="36"/>
  <c r="S527" i="36"/>
  <c r="T542" i="36"/>
  <c r="S543" i="36"/>
  <c r="T558" i="36"/>
  <c r="S559" i="36"/>
  <c r="S574" i="36"/>
  <c r="S575" i="36"/>
  <c r="S590" i="36"/>
  <c r="S591" i="36"/>
  <c r="S606" i="36"/>
  <c r="S607" i="36"/>
  <c r="S622" i="36"/>
  <c r="S623" i="36"/>
  <c r="S638" i="36"/>
  <c r="S639" i="36"/>
  <c r="S654" i="36"/>
  <c r="S655" i="36"/>
  <c r="S670" i="36"/>
  <c r="S671" i="36"/>
  <c r="S686" i="36"/>
  <c r="S687" i="36"/>
  <c r="S702" i="36"/>
  <c r="S703" i="36"/>
  <c r="S718" i="36"/>
  <c r="S719" i="36"/>
  <c r="S734" i="36"/>
  <c r="S735" i="36"/>
  <c r="S750" i="36"/>
  <c r="S751" i="36"/>
  <c r="S766" i="36"/>
  <c r="S767" i="36"/>
  <c r="S782" i="36"/>
  <c r="S783" i="36"/>
  <c r="S799" i="36"/>
  <c r="T815" i="36"/>
  <c r="T1102" i="37"/>
  <c r="T1104" i="37"/>
  <c r="T146" i="36"/>
  <c r="T178" i="36"/>
  <c r="S209" i="36"/>
  <c r="S225" i="36"/>
  <c r="S241" i="36"/>
  <c r="S256" i="36"/>
  <c r="T330" i="36"/>
  <c r="T359" i="36"/>
  <c r="T390" i="36"/>
  <c r="S406" i="36"/>
  <c r="T419" i="36"/>
  <c r="T421" i="36"/>
  <c r="T465" i="36"/>
  <c r="T512" i="36"/>
  <c r="T528" i="36"/>
  <c r="T544" i="36"/>
  <c r="T560" i="36"/>
  <c r="T576" i="36"/>
  <c r="T592" i="36"/>
  <c r="S608" i="36"/>
  <c r="S624" i="36"/>
  <c r="S640" i="36"/>
  <c r="S656" i="36"/>
  <c r="S672" i="36"/>
  <c r="S688" i="36"/>
  <c r="S704" i="36"/>
  <c r="S720" i="36"/>
  <c r="S736" i="36"/>
  <c r="S752" i="36"/>
  <c r="T16" i="36"/>
  <c r="T114" i="36"/>
  <c r="T130" i="36"/>
  <c r="T162" i="36"/>
  <c r="S2" i="36"/>
  <c r="S3" i="36"/>
  <c r="S18" i="36"/>
  <c r="S19" i="36"/>
  <c r="S34" i="36"/>
  <c r="S35" i="36"/>
  <c r="S50" i="36"/>
  <c r="S51" i="36"/>
  <c r="S66" i="36"/>
  <c r="S67" i="36"/>
  <c r="S82" i="36"/>
  <c r="S83" i="36"/>
  <c r="S98" i="36"/>
  <c r="S99" i="36"/>
  <c r="S114" i="36"/>
  <c r="S115" i="36"/>
  <c r="S130" i="36"/>
  <c r="T131" i="36"/>
  <c r="S146" i="36"/>
  <c r="T147" i="36"/>
  <c r="S162" i="36"/>
  <c r="T163" i="36"/>
  <c r="S178" i="36"/>
  <c r="S194" i="36"/>
  <c r="S257" i="36"/>
  <c r="T346" i="36"/>
  <c r="S376" i="36"/>
  <c r="T406" i="36"/>
  <c r="S422" i="36"/>
  <c r="T435" i="36"/>
  <c r="T437" i="36"/>
  <c r="T481" i="36"/>
  <c r="T495" i="36"/>
  <c r="S496" i="36"/>
  <c r="T511" i="36"/>
  <c r="S512" i="36"/>
  <c r="T527" i="36"/>
  <c r="S528" i="36"/>
  <c r="T543" i="36"/>
  <c r="S544" i="36"/>
  <c r="T559" i="36"/>
  <c r="S560" i="36"/>
  <c r="T575" i="36"/>
  <c r="S576" i="36"/>
  <c r="T591" i="36"/>
  <c r="S592" i="36"/>
  <c r="T607" i="36"/>
  <c r="T623" i="36"/>
  <c r="T639" i="36"/>
  <c r="T655" i="36"/>
  <c r="T68" i="36"/>
  <c r="T132" i="36"/>
  <c r="T148" i="36"/>
  <c r="T164" i="36"/>
  <c r="S179" i="36"/>
  <c r="T180" i="36"/>
  <c r="S243" i="36"/>
  <c r="T243" i="36"/>
  <c r="T271" i="36"/>
  <c r="S272" i="36"/>
  <c r="T360" i="36"/>
  <c r="T362" i="36"/>
  <c r="S392" i="36"/>
  <c r="T453" i="36"/>
  <c r="S482" i="36"/>
  <c r="T497" i="36"/>
  <c r="T498" i="36"/>
  <c r="T513" i="36"/>
  <c r="T514" i="36"/>
  <c r="T529" i="36"/>
  <c r="T530" i="36"/>
  <c r="T545" i="36"/>
  <c r="T546" i="36"/>
  <c r="T561" i="36"/>
  <c r="T562" i="36"/>
  <c r="T577" i="36"/>
  <c r="T578" i="36"/>
  <c r="T593" i="36"/>
  <c r="T594" i="36"/>
  <c r="T609" i="36"/>
  <c r="T610" i="36"/>
  <c r="T625" i="36"/>
  <c r="T626" i="36"/>
  <c r="T641" i="36"/>
  <c r="T642" i="36"/>
  <c r="T657" i="36"/>
  <c r="T658" i="36"/>
  <c r="T673" i="36"/>
  <c r="T674" i="36"/>
  <c r="T689" i="36"/>
  <c r="T690" i="36"/>
  <c r="T705" i="36"/>
  <c r="T706" i="36"/>
  <c r="T721" i="36"/>
  <c r="T722" i="36"/>
  <c r="T737" i="36"/>
  <c r="T738" i="36"/>
  <c r="S753" i="36"/>
  <c r="T754" i="36"/>
  <c r="T17" i="36"/>
  <c r="T66" i="36"/>
  <c r="T4" i="36"/>
  <c r="S37" i="36"/>
  <c r="S52" i="36"/>
  <c r="T83" i="36"/>
  <c r="S84" i="36"/>
  <c r="S85" i="36"/>
  <c r="T99" i="36"/>
  <c r="S100" i="36"/>
  <c r="S101" i="36"/>
  <c r="T115" i="36"/>
  <c r="S116" i="36"/>
  <c r="S117" i="36"/>
  <c r="S132" i="36"/>
  <c r="S133" i="36"/>
  <c r="S148" i="36"/>
  <c r="S149" i="36"/>
  <c r="S164" i="36"/>
  <c r="S165" i="36"/>
  <c r="T179" i="36"/>
  <c r="S180" i="36"/>
  <c r="S196" i="36"/>
  <c r="S213" i="36"/>
  <c r="T227" i="36"/>
  <c r="S259" i="36"/>
  <c r="S273" i="36"/>
  <c r="T294" i="36"/>
  <c r="T376" i="36"/>
  <c r="T469" i="36"/>
  <c r="S498" i="36"/>
  <c r="S514" i="36"/>
  <c r="S530" i="36"/>
  <c r="S546" i="36"/>
  <c r="S562" i="36"/>
  <c r="S578" i="36"/>
  <c r="S706" i="36"/>
  <c r="S707" i="36"/>
  <c r="S722" i="36"/>
  <c r="S723" i="36"/>
  <c r="S738" i="36"/>
  <c r="T34" i="36"/>
  <c r="T100" i="36"/>
  <c r="T38" i="36"/>
  <c r="T118" i="36"/>
  <c r="T166" i="36"/>
  <c r="S182" i="36"/>
  <c r="T187" i="36"/>
  <c r="T195" i="36"/>
  <c r="T287" i="36"/>
  <c r="S288" i="36"/>
  <c r="T289" i="36"/>
  <c r="T394" i="36"/>
  <c r="S499" i="36"/>
  <c r="T500" i="36"/>
  <c r="S515" i="36"/>
  <c r="T516" i="36"/>
  <c r="S531" i="36"/>
  <c r="T532" i="36"/>
  <c r="S547" i="36"/>
  <c r="T548" i="36"/>
  <c r="S563" i="36"/>
  <c r="T564" i="36"/>
  <c r="S579" i="36"/>
  <c r="T580" i="36"/>
  <c r="S595" i="36"/>
  <c r="T596" i="36"/>
  <c r="S611" i="36"/>
  <c r="T612" i="36"/>
  <c r="S627" i="36"/>
  <c r="T628" i="36"/>
  <c r="S643" i="36"/>
  <c r="T644" i="36"/>
  <c r="S659" i="36"/>
  <c r="T660" i="36"/>
  <c r="S675" i="36"/>
  <c r="T676" i="36"/>
  <c r="S691" i="36"/>
  <c r="T692" i="36"/>
  <c r="T708" i="36"/>
  <c r="T724" i="36"/>
  <c r="T740" i="36"/>
  <c r="T756" i="36"/>
  <c r="T772" i="36"/>
  <c r="T788" i="36"/>
  <c r="T803" i="36"/>
  <c r="T804" i="36"/>
  <c r="T20" i="36"/>
  <c r="T6" i="36"/>
  <c r="T54" i="36"/>
  <c r="S22" i="36"/>
  <c r="S54" i="36"/>
  <c r="T69" i="36"/>
  <c r="S102" i="36"/>
  <c r="T117" i="36"/>
  <c r="T149" i="36"/>
  <c r="S275" i="36"/>
  <c r="T275" i="36"/>
  <c r="S289" i="36"/>
  <c r="T410" i="36"/>
  <c r="S439" i="36"/>
  <c r="S440" i="36"/>
  <c r="S486" i="36"/>
  <c r="T499" i="36"/>
  <c r="T501" i="36"/>
  <c r="T515" i="36"/>
  <c r="T517" i="36"/>
  <c r="T531" i="36"/>
  <c r="T533" i="36"/>
  <c r="T547" i="36"/>
  <c r="T549" i="36"/>
  <c r="T563" i="36"/>
  <c r="T565" i="36"/>
  <c r="T579" i="36"/>
  <c r="S580" i="36"/>
  <c r="T581" i="36"/>
  <c r="T595" i="36"/>
  <c r="S596" i="36"/>
  <c r="T597" i="36"/>
  <c r="T611" i="36"/>
  <c r="S612" i="36"/>
  <c r="T613" i="36"/>
  <c r="T627" i="36"/>
  <c r="S628" i="36"/>
  <c r="T629" i="36"/>
  <c r="T643" i="36"/>
  <c r="S644" i="36"/>
  <c r="T645" i="36"/>
  <c r="T659" i="36"/>
  <c r="S660" i="36"/>
  <c r="T661" i="36"/>
  <c r="T675" i="36"/>
  <c r="S676" i="36"/>
  <c r="T677" i="36"/>
  <c r="T691" i="36"/>
  <c r="S692" i="36"/>
  <c r="T693" i="36"/>
  <c r="T707" i="36"/>
  <c r="S708" i="36"/>
  <c r="T709" i="36"/>
  <c r="T723" i="36"/>
  <c r="S724" i="36"/>
  <c r="T725" i="36"/>
  <c r="T739" i="36"/>
  <c r="S740" i="36"/>
  <c r="T741" i="36"/>
  <c r="T755" i="36"/>
  <c r="S756" i="36"/>
  <c r="T757" i="36"/>
  <c r="T771" i="36"/>
  <c r="S772" i="36"/>
  <c r="T773" i="36"/>
  <c r="T787" i="36"/>
  <c r="S788" i="36"/>
  <c r="T789" i="36"/>
  <c r="S804" i="36"/>
  <c r="T805" i="36"/>
  <c r="T837" i="36"/>
  <c r="T2" i="36"/>
  <c r="T36" i="36"/>
  <c r="T19" i="36"/>
  <c r="S36" i="36"/>
  <c r="T51" i="36"/>
  <c r="T67" i="36"/>
  <c r="T86" i="36"/>
  <c r="T5" i="36"/>
  <c r="S39" i="36"/>
  <c r="T53" i="36"/>
  <c r="S71" i="36"/>
  <c r="T85" i="36"/>
  <c r="S119" i="36"/>
  <c r="S135" i="36"/>
  <c r="S166" i="36"/>
  <c r="T182" i="36"/>
  <c r="S183" i="36"/>
  <c r="T199" i="36"/>
  <c r="T214" i="36"/>
  <c r="T230" i="36"/>
  <c r="S305" i="36"/>
  <c r="T424" i="36"/>
  <c r="T426" i="36"/>
  <c r="S456" i="36"/>
  <c r="T486" i="36"/>
  <c r="S502" i="36"/>
  <c r="S518" i="36"/>
  <c r="S534" i="36"/>
  <c r="S550" i="36"/>
  <c r="S566" i="36"/>
  <c r="S582" i="36"/>
  <c r="S598" i="36"/>
  <c r="S614" i="36"/>
  <c r="S630" i="36"/>
  <c r="S646" i="36"/>
  <c r="S662" i="36"/>
  <c r="S678" i="36"/>
  <c r="S694" i="36"/>
  <c r="S710" i="36"/>
  <c r="S726" i="36"/>
  <c r="T116" i="36"/>
  <c r="S53" i="36"/>
  <c r="S68" i="36"/>
  <c r="T70" i="36"/>
  <c r="T150" i="36"/>
  <c r="S23" i="36"/>
  <c r="T37" i="36"/>
  <c r="S86" i="36"/>
  <c r="T101" i="36"/>
  <c r="T133" i="36"/>
  <c r="S151" i="36"/>
  <c r="T165" i="36"/>
  <c r="T23" i="36"/>
  <c r="T39" i="36"/>
  <c r="T57" i="36"/>
  <c r="T72" i="36"/>
  <c r="T89" i="36"/>
  <c r="T103" i="36"/>
  <c r="T119" i="36"/>
  <c r="T120" i="36"/>
  <c r="T121" i="36"/>
  <c r="T135" i="36"/>
  <c r="T136" i="36"/>
  <c r="S137" i="36"/>
  <c r="T151" i="36"/>
  <c r="T152" i="36"/>
  <c r="S153" i="36"/>
  <c r="T167" i="36"/>
  <c r="T168" i="36"/>
  <c r="T169" i="36"/>
  <c r="T185" i="36"/>
  <c r="T217" i="36"/>
  <c r="T233" i="36"/>
  <c r="S262" i="36"/>
  <c r="S291" i="36"/>
  <c r="S321" i="36"/>
  <c r="T442" i="36"/>
  <c r="T18" i="36"/>
  <c r="T50" i="36"/>
  <c r="T84" i="36"/>
  <c r="S5" i="36"/>
  <c r="S20" i="36"/>
  <c r="S69" i="36"/>
  <c r="T22" i="36"/>
  <c r="T102" i="36"/>
  <c r="S6" i="36"/>
  <c r="S38" i="36"/>
  <c r="S70" i="36"/>
  <c r="S103" i="36"/>
  <c r="S150" i="36"/>
  <c r="T183" i="36"/>
  <c r="T8" i="36"/>
  <c r="T24" i="36"/>
  <c r="T41" i="36"/>
  <c r="T55" i="36"/>
  <c r="T71" i="36"/>
  <c r="T88" i="36"/>
  <c r="T105" i="36"/>
  <c r="T26" i="36"/>
  <c r="T42" i="36"/>
  <c r="T58" i="36"/>
  <c r="T74" i="36"/>
  <c r="T90" i="36"/>
  <c r="T106" i="36"/>
  <c r="T122" i="36"/>
  <c r="T138" i="36"/>
  <c r="S169" i="36"/>
  <c r="S170" i="36"/>
  <c r="T184" i="36"/>
  <c r="T197" i="36"/>
  <c r="S201" i="36"/>
  <c r="T218" i="36"/>
  <c r="T234" i="36"/>
  <c r="S337" i="36"/>
  <c r="T458" i="36"/>
  <c r="S488" i="36"/>
  <c r="T502" i="36"/>
  <c r="S503" i="36"/>
  <c r="S504" i="36"/>
  <c r="T518" i="36"/>
  <c r="S519" i="36"/>
  <c r="S520" i="36"/>
  <c r="T534" i="36"/>
  <c r="S535" i="36"/>
  <c r="S536" i="36"/>
  <c r="T82" i="36"/>
  <c r="S21" i="36"/>
  <c r="T134" i="36"/>
  <c r="S7" i="36"/>
  <c r="T21" i="36"/>
  <c r="S55" i="36"/>
  <c r="S87" i="36"/>
  <c r="S118" i="36"/>
  <c r="S134" i="36"/>
  <c r="S167" i="36"/>
  <c r="T7" i="36"/>
  <c r="T9" i="36"/>
  <c r="T25" i="36"/>
  <c r="T40" i="36"/>
  <c r="T56" i="36"/>
  <c r="T73" i="36"/>
  <c r="T87" i="36"/>
  <c r="T104" i="36"/>
  <c r="T10" i="36"/>
  <c r="S10" i="36"/>
  <c r="S11" i="36"/>
  <c r="S26" i="36"/>
  <c r="S27" i="36"/>
  <c r="S42" i="36"/>
  <c r="S43" i="36"/>
  <c r="S58" i="36"/>
  <c r="S59" i="36"/>
  <c r="S74" i="36"/>
  <c r="S75" i="36"/>
  <c r="S90" i="36"/>
  <c r="S91" i="36"/>
  <c r="S106" i="36"/>
  <c r="S107" i="36"/>
  <c r="S122" i="36"/>
  <c r="S123" i="36"/>
  <c r="T137" i="36"/>
  <c r="S138" i="36"/>
  <c r="S139" i="36"/>
  <c r="T153" i="36"/>
  <c r="T154" i="36"/>
  <c r="S155" i="36"/>
  <c r="S186" i="36"/>
  <c r="T198" i="36"/>
  <c r="S202" i="36"/>
  <c r="S218" i="36"/>
  <c r="T248" i="36"/>
  <c r="T250" i="36"/>
  <c r="S278" i="36"/>
  <c r="T293" i="36"/>
  <c r="T307" i="36"/>
  <c r="T309" i="36"/>
  <c r="S353" i="36"/>
  <c r="T474" i="36"/>
  <c r="T487" i="36"/>
  <c r="T489" i="36"/>
  <c r="T503" i="36"/>
  <c r="T505" i="36"/>
  <c r="T519" i="36"/>
  <c r="T98" i="36"/>
  <c r="T52" i="36"/>
  <c r="S4" i="36"/>
  <c r="T35" i="36"/>
  <c r="T124" i="36"/>
  <c r="T140" i="36"/>
  <c r="T156" i="36"/>
  <c r="T171" i="36"/>
  <c r="T172" i="36"/>
  <c r="T188" i="36"/>
  <c r="T323" i="36"/>
  <c r="T325" i="36"/>
  <c r="S369" i="36"/>
  <c r="S474" i="36"/>
  <c r="T475" i="36"/>
  <c r="T488" i="36"/>
  <c r="T490" i="36"/>
  <c r="T504" i="36"/>
  <c r="T506" i="36"/>
  <c r="T520" i="36"/>
  <c r="T522" i="36"/>
  <c r="T536" i="36"/>
  <c r="T552" i="36"/>
  <c r="T568" i="36"/>
  <c r="T584" i="36"/>
  <c r="T600" i="36"/>
  <c r="T616" i="36"/>
  <c r="T632" i="36"/>
  <c r="T648" i="36"/>
  <c r="T825" i="36"/>
  <c r="T43" i="36"/>
  <c r="T45" i="36"/>
  <c r="T59" i="36"/>
  <c r="T60" i="36"/>
  <c r="T61" i="36"/>
  <c r="T75" i="36"/>
  <c r="T76" i="36"/>
  <c r="T77" i="36"/>
  <c r="T91" i="36"/>
  <c r="T92" i="36"/>
  <c r="T93" i="36"/>
  <c r="T107" i="36"/>
  <c r="T108" i="36"/>
  <c r="T109" i="36"/>
  <c r="T123" i="36"/>
  <c r="S124" i="36"/>
  <c r="T125" i="36"/>
  <c r="T139" i="36"/>
  <c r="S140" i="36"/>
  <c r="T141" i="36"/>
  <c r="T155" i="36"/>
  <c r="S156" i="36"/>
  <c r="T157" i="36"/>
  <c r="S188" i="36"/>
  <c r="T264" i="36"/>
  <c r="T266" i="36"/>
  <c r="S280" i="36"/>
  <c r="S310" i="36"/>
  <c r="T310" i="36"/>
  <c r="T339" i="36"/>
  <c r="T341" i="36"/>
  <c r="T385" i="36"/>
  <c r="T386" i="36"/>
  <c r="T461" i="36"/>
  <c r="S490" i="36"/>
  <c r="T491" i="36"/>
  <c r="S506" i="36"/>
  <c r="T507" i="36"/>
  <c r="S522" i="36"/>
  <c r="T523" i="36"/>
  <c r="T538" i="36"/>
  <c r="T539" i="36"/>
  <c r="T554" i="36"/>
  <c r="T555" i="36"/>
  <c r="T570" i="36"/>
  <c r="T571" i="36"/>
  <c r="T586" i="36"/>
  <c r="T587" i="36"/>
  <c r="T602" i="36"/>
  <c r="T603" i="36"/>
  <c r="T618" i="36"/>
  <c r="T619" i="36"/>
  <c r="T634" i="36"/>
  <c r="T635" i="36"/>
  <c r="T650" i="36"/>
  <c r="T651" i="36"/>
  <c r="T666" i="36"/>
  <c r="T667" i="36"/>
  <c r="T682" i="36"/>
  <c r="T683" i="36"/>
  <c r="T698" i="36"/>
  <c r="T699" i="36"/>
  <c r="T714" i="36"/>
  <c r="T44" i="36"/>
  <c r="T14" i="36"/>
  <c r="T30" i="36"/>
  <c r="T46" i="36"/>
  <c r="T62" i="36"/>
  <c r="T78" i="36"/>
  <c r="T94" i="36"/>
  <c r="T110" i="36"/>
  <c r="T126" i="36"/>
  <c r="T142" i="36"/>
  <c r="T158" i="36"/>
  <c r="S173" i="36"/>
  <c r="T174" i="36"/>
  <c r="T190" i="36"/>
  <c r="T211" i="36"/>
  <c r="S326" i="36"/>
  <c r="T355" i="36"/>
  <c r="T357" i="36"/>
  <c r="S371" i="36"/>
  <c r="T372" i="36"/>
  <c r="T401" i="36"/>
  <c r="S447" i="36"/>
  <c r="T477" i="36"/>
  <c r="T492" i="36"/>
  <c r="T508" i="36"/>
  <c r="T524" i="36"/>
  <c r="T540" i="36"/>
  <c r="T556" i="36"/>
  <c r="T572" i="36"/>
  <c r="T588" i="36"/>
  <c r="T604" i="36"/>
  <c r="T620" i="36"/>
  <c r="T636" i="36"/>
  <c r="T652" i="36"/>
  <c r="T668" i="36"/>
  <c r="T684" i="36"/>
  <c r="T700" i="36"/>
  <c r="T716" i="36"/>
  <c r="T844" i="36"/>
  <c r="S14" i="36"/>
  <c r="S31" i="36"/>
  <c r="S46" i="36"/>
  <c r="S63" i="36"/>
  <c r="S78" i="36"/>
  <c r="S94" i="36"/>
  <c r="S111" i="36"/>
  <c r="S127" i="36"/>
  <c r="S142" i="36"/>
  <c r="S143" i="36"/>
  <c r="S158" i="36"/>
  <c r="S159" i="36"/>
  <c r="S174" i="36"/>
  <c r="S175" i="36"/>
  <c r="S190" i="36"/>
  <c r="T206" i="36"/>
  <c r="T222" i="36"/>
  <c r="T280" i="36"/>
  <c r="T282" i="36"/>
  <c r="T311" i="36"/>
  <c r="S312" i="36"/>
  <c r="S342" i="36"/>
  <c r="T342" i="36"/>
  <c r="T371" i="36"/>
  <c r="T373" i="36"/>
  <c r="T388" i="36"/>
  <c r="S402" i="36"/>
  <c r="T417" i="36"/>
  <c r="T418" i="36"/>
  <c r="S432" i="36"/>
  <c r="T493" i="36"/>
  <c r="T509" i="36"/>
  <c r="T525" i="36"/>
  <c r="T541" i="36"/>
  <c r="T557" i="36"/>
  <c r="T573" i="36"/>
  <c r="T589" i="36"/>
  <c r="T605" i="36"/>
  <c r="T621" i="36"/>
  <c r="T637" i="36"/>
  <c r="T653" i="36"/>
  <c r="T669" i="36"/>
  <c r="T685" i="36"/>
  <c r="T701" i="36"/>
  <c r="T717" i="36"/>
  <c r="T733" i="36"/>
  <c r="T747" i="36"/>
  <c r="T749" i="36"/>
  <c r="T763" i="36"/>
  <c r="T765" i="36"/>
  <c r="T779" i="36"/>
  <c r="T781" i="36"/>
  <c r="T795" i="36"/>
  <c r="T797" i="36"/>
  <c r="T811" i="36"/>
  <c r="T813" i="36"/>
  <c r="S15" i="36"/>
  <c r="S30" i="36"/>
  <c r="S47" i="36"/>
  <c r="S62" i="36"/>
  <c r="S79" i="36"/>
  <c r="S95" i="36"/>
  <c r="S110" i="36"/>
  <c r="S126" i="36"/>
  <c r="T246" i="36"/>
  <c r="T296" i="36"/>
  <c r="T298" i="36"/>
  <c r="S328" i="36"/>
  <c r="S358" i="36"/>
  <c r="T387" i="36"/>
  <c r="T389" i="36"/>
  <c r="S403" i="36"/>
  <c r="T404" i="36"/>
  <c r="S418" i="36"/>
  <c r="T433" i="36"/>
  <c r="S448" i="36"/>
  <c r="T478" i="36"/>
  <c r="S479" i="36"/>
  <c r="T574" i="36"/>
  <c r="T590" i="36"/>
  <c r="T606" i="36"/>
  <c r="T622" i="36"/>
  <c r="T638" i="36"/>
  <c r="T654" i="36"/>
  <c r="T670" i="36"/>
  <c r="T820" i="36"/>
  <c r="S849" i="36"/>
  <c r="S864" i="36"/>
  <c r="S880" i="36"/>
  <c r="S896" i="36"/>
  <c r="S912" i="36"/>
  <c r="S928" i="36"/>
  <c r="S944" i="36"/>
  <c r="S960" i="36"/>
  <c r="S976" i="36"/>
  <c r="S992" i="36"/>
  <c r="S1008" i="36"/>
  <c r="T1009" i="36"/>
  <c r="S1024" i="36"/>
  <c r="T1025" i="36"/>
  <c r="S1040" i="36"/>
  <c r="T1041" i="36"/>
  <c r="S1056" i="36"/>
  <c r="T1057" i="36"/>
  <c r="S1072" i="36"/>
  <c r="T1073" i="36"/>
  <c r="S1088" i="36"/>
  <c r="T1089" i="36"/>
  <c r="S1104" i="36"/>
  <c r="T1105" i="36"/>
  <c r="S1120" i="36"/>
  <c r="T1121" i="36"/>
  <c r="T1136" i="36"/>
  <c r="T1137" i="36"/>
  <c r="T1152" i="36"/>
  <c r="T1153" i="36"/>
  <c r="T1168" i="36"/>
  <c r="T1169" i="36"/>
  <c r="T1185" i="36"/>
  <c r="T1201" i="36"/>
  <c r="T1217" i="36"/>
  <c r="T1233" i="36"/>
  <c r="T1249" i="36"/>
  <c r="T1265" i="36"/>
  <c r="T1281" i="36"/>
  <c r="T1297" i="36"/>
  <c r="T1313" i="36"/>
  <c r="T1329" i="36"/>
  <c r="T1345" i="36"/>
  <c r="T1361" i="36"/>
  <c r="T1377" i="36"/>
  <c r="T1393" i="36"/>
  <c r="T1409" i="36"/>
  <c r="T1425" i="36"/>
  <c r="S865" i="36"/>
  <c r="S881" i="36"/>
  <c r="S897" i="36"/>
  <c r="S913" i="36"/>
  <c r="S929" i="36"/>
  <c r="S945" i="36"/>
  <c r="S961" i="36"/>
  <c r="S977" i="36"/>
  <c r="S993" i="36"/>
  <c r="S1009" i="36"/>
  <c r="S1025" i="36"/>
  <c r="S711" i="36"/>
  <c r="S727" i="36"/>
  <c r="S742" i="36"/>
  <c r="S743" i="36"/>
  <c r="S758" i="36"/>
  <c r="S759" i="36"/>
  <c r="S774" i="36"/>
  <c r="S775" i="36"/>
  <c r="S790" i="36"/>
  <c r="S791" i="36"/>
  <c r="S806" i="36"/>
  <c r="S807" i="36"/>
  <c r="T819" i="36"/>
  <c r="T865" i="36"/>
  <c r="S866" i="36"/>
  <c r="S867" i="36"/>
  <c r="T881" i="36"/>
  <c r="S882" i="36"/>
  <c r="T883" i="36"/>
  <c r="T897" i="36"/>
  <c r="S898" i="36"/>
  <c r="T899" i="36"/>
  <c r="T913" i="36"/>
  <c r="S914" i="36"/>
  <c r="T915" i="36"/>
  <c r="T929" i="36"/>
  <c r="S930" i="36"/>
  <c r="T931" i="36"/>
  <c r="T945" i="36"/>
  <c r="S946" i="36"/>
  <c r="T947" i="36"/>
  <c r="T961" i="36"/>
  <c r="S962" i="36"/>
  <c r="T963" i="36"/>
  <c r="T977" i="36"/>
  <c r="S978" i="36"/>
  <c r="T993" i="36"/>
  <c r="T994" i="36"/>
  <c r="T1010" i="36"/>
  <c r="T1026" i="36"/>
  <c r="T1042" i="36"/>
  <c r="S1043" i="36"/>
  <c r="T1058" i="36"/>
  <c r="S1059" i="36"/>
  <c r="T1074" i="36"/>
  <c r="S1075" i="36"/>
  <c r="T1090" i="36"/>
  <c r="S1091" i="36"/>
  <c r="T1106" i="36"/>
  <c r="S1107" i="36"/>
  <c r="T1122" i="36"/>
  <c r="S1123" i="36"/>
  <c r="T1138" i="36"/>
  <c r="T1154" i="36"/>
  <c r="S1155" i="36"/>
  <c r="S1170" i="36"/>
  <c r="T1171" i="36"/>
  <c r="T1186" i="36"/>
  <c r="T1187" i="36"/>
  <c r="S1202" i="36"/>
  <c r="T1203" i="36"/>
  <c r="S1218" i="36"/>
  <c r="T1219" i="36"/>
  <c r="S1234" i="36"/>
  <c r="T1235" i="36"/>
  <c r="S1250" i="36"/>
  <c r="T1251" i="36"/>
  <c r="S1266" i="36"/>
  <c r="T1267" i="36"/>
  <c r="S1282" i="36"/>
  <c r="T1283" i="36"/>
  <c r="T1298" i="36"/>
  <c r="S1299" i="36"/>
  <c r="T1314" i="36"/>
  <c r="S1315" i="36"/>
  <c r="T550" i="36"/>
  <c r="S551" i="36"/>
  <c r="S552" i="36"/>
  <c r="T566" i="36"/>
  <c r="S567" i="36"/>
  <c r="S568" i="36"/>
  <c r="T582" i="36"/>
  <c r="T583" i="36"/>
  <c r="S584" i="36"/>
  <c r="T598" i="36"/>
  <c r="T599" i="36"/>
  <c r="S600" i="36"/>
  <c r="T614" i="36"/>
  <c r="T615" i="36"/>
  <c r="S616" i="36"/>
  <c r="T630" i="36"/>
  <c r="T631" i="36"/>
  <c r="S632" i="36"/>
  <c r="T646" i="36"/>
  <c r="S647" i="36"/>
  <c r="S648" i="36"/>
  <c r="T662" i="36"/>
  <c r="S663" i="36"/>
  <c r="S664" i="36"/>
  <c r="T678" i="36"/>
  <c r="S679" i="36"/>
  <c r="S680" i="36"/>
  <c r="T694" i="36"/>
  <c r="S695" i="36"/>
  <c r="S696" i="36"/>
  <c r="T710" i="36"/>
  <c r="T726" i="36"/>
  <c r="T742" i="36"/>
  <c r="T758" i="36"/>
  <c r="T774" i="36"/>
  <c r="T790" i="36"/>
  <c r="T806" i="36"/>
  <c r="S837" i="36"/>
  <c r="T866" i="36"/>
  <c r="T882" i="36"/>
  <c r="T898" i="36"/>
  <c r="T914" i="36"/>
  <c r="T930" i="36"/>
  <c r="T946" i="36"/>
  <c r="T962" i="36"/>
  <c r="T978" i="36"/>
  <c r="S979" i="36"/>
  <c r="S995" i="36"/>
  <c r="S1011" i="36"/>
  <c r="T1012" i="36"/>
  <c r="S1027" i="36"/>
  <c r="T1028" i="36"/>
  <c r="T1044" i="36"/>
  <c r="T1060" i="36"/>
  <c r="T1076" i="36"/>
  <c r="T1092" i="36"/>
  <c r="T1108" i="36"/>
  <c r="T1124" i="36"/>
  <c r="S1139" i="36"/>
  <c r="T1140" i="36"/>
  <c r="T1156" i="36"/>
  <c r="T1170" i="36"/>
  <c r="T1172" i="36"/>
  <c r="T1188" i="36"/>
  <c r="T1202" i="36"/>
  <c r="T1204" i="36"/>
  <c r="T1218" i="36"/>
  <c r="T1220" i="36"/>
  <c r="T1234" i="36"/>
  <c r="T1236" i="36"/>
  <c r="T1250" i="36"/>
  <c r="T1252" i="36"/>
  <c r="T521" i="36"/>
  <c r="T535" i="36"/>
  <c r="T537" i="36"/>
  <c r="T551" i="36"/>
  <c r="T553" i="36"/>
  <c r="T567" i="36"/>
  <c r="T569" i="36"/>
  <c r="T585" i="36"/>
  <c r="T601" i="36"/>
  <c r="T617" i="36"/>
  <c r="T633" i="36"/>
  <c r="T647" i="36"/>
  <c r="T649" i="36"/>
  <c r="T663" i="36"/>
  <c r="T665" i="36"/>
  <c r="T679" i="36"/>
  <c r="T681" i="36"/>
  <c r="T695" i="36"/>
  <c r="T697" i="36"/>
  <c r="T711" i="36"/>
  <c r="S712" i="36"/>
  <c r="T713" i="36"/>
  <c r="T727" i="36"/>
  <c r="S728" i="36"/>
  <c r="T729" i="36"/>
  <c r="T743" i="36"/>
  <c r="S744" i="36"/>
  <c r="T745" i="36"/>
  <c r="T759" i="36"/>
  <c r="T760" i="36"/>
  <c r="T761" i="36"/>
  <c r="T775" i="36"/>
  <c r="S776" i="36"/>
  <c r="T777" i="36"/>
  <c r="T791" i="36"/>
  <c r="S792" i="36"/>
  <c r="T793" i="36"/>
  <c r="T807" i="36"/>
  <c r="T808" i="36"/>
  <c r="T809" i="36"/>
  <c r="T851" i="36"/>
  <c r="T867" i="36"/>
  <c r="T868" i="36"/>
  <c r="T884" i="36"/>
  <c r="T900" i="36"/>
  <c r="T916" i="36"/>
  <c r="T932" i="36"/>
  <c r="T948" i="36"/>
  <c r="T964" i="36"/>
  <c r="T979" i="36"/>
  <c r="T980" i="36"/>
  <c r="T995" i="36"/>
  <c r="T996" i="36"/>
  <c r="T1011" i="36"/>
  <c r="S1012" i="36"/>
  <c r="T1027" i="36"/>
  <c r="S1028" i="36"/>
  <c r="T1043" i="36"/>
  <c r="S1044" i="36"/>
  <c r="T1059" i="36"/>
  <c r="S1060" i="36"/>
  <c r="T1075" i="36"/>
  <c r="S1076" i="36"/>
  <c r="T1091" i="36"/>
  <c r="S1092" i="36"/>
  <c r="T1107" i="36"/>
  <c r="S1108" i="36"/>
  <c r="T1123" i="36"/>
  <c r="S1124" i="36"/>
  <c r="T1139" i="36"/>
  <c r="S1140" i="36"/>
  <c r="S1141" i="36"/>
  <c r="T1155" i="36"/>
  <c r="S1156" i="36"/>
  <c r="S1157" i="36"/>
  <c r="S1172" i="36"/>
  <c r="S1173" i="36"/>
  <c r="S1188" i="36"/>
  <c r="T1189" i="36"/>
  <c r="S1204" i="36"/>
  <c r="T1205" i="36"/>
  <c r="S1220" i="36"/>
  <c r="T1221" i="36"/>
  <c r="S1236" i="36"/>
  <c r="T664" i="36"/>
  <c r="T680" i="36"/>
  <c r="T696" i="36"/>
  <c r="T712" i="36"/>
  <c r="T728" i="36"/>
  <c r="T744" i="36"/>
  <c r="T776" i="36"/>
  <c r="T792" i="36"/>
  <c r="S869" i="36"/>
  <c r="S870" i="36"/>
  <c r="S885" i="36"/>
  <c r="S886" i="36"/>
  <c r="S901" i="36"/>
  <c r="S902" i="36"/>
  <c r="S917" i="36"/>
  <c r="S918" i="36"/>
  <c r="S933" i="36"/>
  <c r="S934" i="36"/>
  <c r="S949" i="36"/>
  <c r="S950" i="36"/>
  <c r="S965" i="36"/>
  <c r="S966" i="36"/>
  <c r="S981" i="36"/>
  <c r="S982" i="36"/>
  <c r="S997" i="36"/>
  <c r="S998" i="36"/>
  <c r="S1013" i="36"/>
  <c r="S1014" i="36"/>
  <c r="S1029" i="36"/>
  <c r="S1030" i="36"/>
  <c r="S1045" i="36"/>
  <c r="S1046" i="36"/>
  <c r="S1061" i="36"/>
  <c r="S1062" i="36"/>
  <c r="S1077" i="36"/>
  <c r="S1078" i="36"/>
  <c r="S1093" i="36"/>
  <c r="S1094" i="36"/>
  <c r="S1109" i="36"/>
  <c r="S1110" i="36"/>
  <c r="S1125" i="36"/>
  <c r="S1126" i="36"/>
  <c r="S1142" i="36"/>
  <c r="S1158" i="36"/>
  <c r="T1174" i="36"/>
  <c r="T1190" i="36"/>
  <c r="T1206" i="36"/>
  <c r="T1222" i="36"/>
  <c r="T1238" i="36"/>
  <c r="T1254" i="36"/>
  <c r="T1270" i="36"/>
  <c r="T1286" i="36"/>
  <c r="S1302" i="36"/>
  <c r="S1318" i="36"/>
  <c r="S1334" i="36"/>
  <c r="T715" i="36"/>
  <c r="T730" i="36"/>
  <c r="T731" i="36"/>
  <c r="T746" i="36"/>
  <c r="S747" i="36"/>
  <c r="T762" i="36"/>
  <c r="S763" i="36"/>
  <c r="T778" i="36"/>
  <c r="S779" i="36"/>
  <c r="T794" i="36"/>
  <c r="S795" i="36"/>
  <c r="T810" i="36"/>
  <c r="S811" i="36"/>
  <c r="T869" i="36"/>
  <c r="T871" i="36"/>
  <c r="T885" i="36"/>
  <c r="T887" i="36"/>
  <c r="T901" i="36"/>
  <c r="T903" i="36"/>
  <c r="T917" i="36"/>
  <c r="T919" i="36"/>
  <c r="T933" i="36"/>
  <c r="T935" i="36"/>
  <c r="T949" i="36"/>
  <c r="T951" i="36"/>
  <c r="T965" i="36"/>
  <c r="T967" i="36"/>
  <c r="T981" i="36"/>
  <c r="T983" i="36"/>
  <c r="T997" i="36"/>
  <c r="T999" i="36"/>
  <c r="T1013" i="36"/>
  <c r="S1015" i="36"/>
  <c r="T1029" i="36"/>
  <c r="T1045" i="36"/>
  <c r="T1061" i="36"/>
  <c r="T1077" i="36"/>
  <c r="T1093" i="36"/>
  <c r="T1109" i="36"/>
  <c r="T1125" i="36"/>
  <c r="T1141" i="36"/>
  <c r="T1157" i="36"/>
  <c r="T1173" i="36"/>
  <c r="S1174" i="36"/>
  <c r="S1175" i="36"/>
  <c r="S1190" i="36"/>
  <c r="S1191" i="36"/>
  <c r="S1206" i="36"/>
  <c r="S1207" i="36"/>
  <c r="S1222" i="36"/>
  <c r="S1223" i="36"/>
  <c r="S1238" i="36"/>
  <c r="S1239" i="36"/>
  <c r="S1254" i="36"/>
  <c r="S1255" i="36"/>
  <c r="S1270" i="36"/>
  <c r="S1271" i="36"/>
  <c r="S1286" i="36"/>
  <c r="S1287" i="36"/>
  <c r="S1303" i="36"/>
  <c r="S1319" i="36"/>
  <c r="S1335" i="36"/>
  <c r="S1351" i="36"/>
  <c r="S1367" i="36"/>
  <c r="S1383" i="36"/>
  <c r="T732" i="36"/>
  <c r="T748" i="36"/>
  <c r="T764" i="36"/>
  <c r="T780" i="36"/>
  <c r="T796" i="36"/>
  <c r="T812" i="36"/>
  <c r="T870" i="36"/>
  <c r="T872" i="36"/>
  <c r="T886" i="36"/>
  <c r="T888" i="36"/>
  <c r="T902" i="36"/>
  <c r="T904" i="36"/>
  <c r="T918" i="36"/>
  <c r="T920" i="36"/>
  <c r="T934" i="36"/>
  <c r="T936" i="36"/>
  <c r="T950" i="36"/>
  <c r="T952" i="36"/>
  <c r="T966" i="36"/>
  <c r="T968" i="36"/>
  <c r="T982" i="36"/>
  <c r="T984" i="36"/>
  <c r="T998" i="36"/>
  <c r="T1000" i="36"/>
  <c r="T1014" i="36"/>
  <c r="T1016" i="36"/>
  <c r="S1031" i="36"/>
  <c r="T1032" i="36"/>
  <c r="S1047" i="36"/>
  <c r="T1048" i="36"/>
  <c r="S1063" i="36"/>
  <c r="T1064" i="36"/>
  <c r="S1079" i="36"/>
  <c r="T1080" i="36"/>
  <c r="S1095" i="36"/>
  <c r="T1096" i="36"/>
  <c r="S1111" i="36"/>
  <c r="T1112" i="36"/>
  <c r="S1127" i="36"/>
  <c r="T1128" i="36"/>
  <c r="S1143" i="36"/>
  <c r="T1144" i="36"/>
  <c r="S1159" i="36"/>
  <c r="T1160" i="36"/>
  <c r="T1176" i="36"/>
  <c r="T1192" i="36"/>
  <c r="T1208" i="36"/>
  <c r="T1224" i="36"/>
  <c r="T1240" i="36"/>
  <c r="T1256" i="36"/>
  <c r="T1272" i="36"/>
  <c r="T1288" i="36"/>
  <c r="T1304" i="36"/>
  <c r="S1320" i="36"/>
  <c r="S1336" i="36"/>
  <c r="S1352" i="36"/>
  <c r="S1368" i="36"/>
  <c r="S1384" i="36"/>
  <c r="S1400" i="36"/>
  <c r="T842" i="36"/>
  <c r="S873" i="36"/>
  <c r="S889" i="36"/>
  <c r="S905" i="36"/>
  <c r="S921" i="36"/>
  <c r="S937" i="36"/>
  <c r="S953" i="36"/>
  <c r="S969" i="36"/>
  <c r="S985" i="36"/>
  <c r="S1001" i="36"/>
  <c r="T1015" i="36"/>
  <c r="S1017" i="36"/>
  <c r="T1031" i="36"/>
  <c r="S1033" i="36"/>
  <c r="T1047" i="36"/>
  <c r="S1049" i="36"/>
  <c r="T1063" i="36"/>
  <c r="S1065" i="36"/>
  <c r="T1079" i="36"/>
  <c r="S1081" i="36"/>
  <c r="T1095" i="36"/>
  <c r="S1097" i="36"/>
  <c r="T1111" i="36"/>
  <c r="S1113" i="36"/>
  <c r="T1127" i="36"/>
  <c r="S1129" i="36"/>
  <c r="T1143" i="36"/>
  <c r="S1145" i="36"/>
  <c r="T1159" i="36"/>
  <c r="S1161" i="36"/>
  <c r="T1175" i="36"/>
  <c r="S1177" i="36"/>
  <c r="T1191" i="36"/>
  <c r="S1192" i="36"/>
  <c r="S1193" i="36"/>
  <c r="T1207" i="36"/>
  <c r="S1208" i="36"/>
  <c r="S1209" i="36"/>
  <c r="T1223" i="36"/>
  <c r="S1224" i="36"/>
  <c r="S1225" i="36"/>
  <c r="T1239" i="36"/>
  <c r="S1240" i="36"/>
  <c r="S1241" i="36"/>
  <c r="T1255" i="36"/>
  <c r="S1256" i="36"/>
  <c r="S1257" i="36"/>
  <c r="T1271" i="36"/>
  <c r="S1272" i="36"/>
  <c r="S1273" i="36"/>
  <c r="T1287" i="36"/>
  <c r="S1288" i="36"/>
  <c r="S1289" i="36"/>
  <c r="T686" i="36"/>
  <c r="T702" i="36"/>
  <c r="T718" i="36"/>
  <c r="T734" i="36"/>
  <c r="T750" i="36"/>
  <c r="T766" i="36"/>
  <c r="T782" i="36"/>
  <c r="T798" i="36"/>
  <c r="S828" i="36"/>
  <c r="T841" i="36"/>
  <c r="T874" i="36"/>
  <c r="T890" i="36"/>
  <c r="T906" i="36"/>
  <c r="S922" i="36"/>
  <c r="S938" i="36"/>
  <c r="S954" i="36"/>
  <c r="S970" i="36"/>
  <c r="S986" i="36"/>
  <c r="S1002" i="36"/>
  <c r="S1018" i="36"/>
  <c r="S1034" i="36"/>
  <c r="S1050" i="36"/>
  <c r="S1066" i="36"/>
  <c r="S1082" i="36"/>
  <c r="S1098" i="36"/>
  <c r="S1114" i="36"/>
  <c r="S1130" i="36"/>
  <c r="T1146" i="36"/>
  <c r="T1162" i="36"/>
  <c r="T1178" i="36"/>
  <c r="T1194" i="36"/>
  <c r="T1210" i="36"/>
  <c r="T1226" i="36"/>
  <c r="T1242" i="36"/>
  <c r="T1258" i="36"/>
  <c r="T1274" i="36"/>
  <c r="T1290" i="36"/>
  <c r="T1306" i="36"/>
  <c r="T1320" i="36"/>
  <c r="T1322" i="36"/>
  <c r="T1336" i="36"/>
  <c r="T1338" i="36"/>
  <c r="S1465" i="36"/>
  <c r="T873" i="36"/>
  <c r="T875" i="36"/>
  <c r="T889" i="36"/>
  <c r="T891" i="36"/>
  <c r="T905" i="36"/>
  <c r="T907" i="36"/>
  <c r="T921" i="36"/>
  <c r="T923" i="36"/>
  <c r="T937" i="36"/>
  <c r="T939" i="36"/>
  <c r="T953" i="36"/>
  <c r="T955" i="36"/>
  <c r="T969" i="36"/>
  <c r="T971" i="36"/>
  <c r="T985" i="36"/>
  <c r="T987" i="36"/>
  <c r="T1001" i="36"/>
  <c r="T1003" i="36"/>
  <c r="T1017" i="36"/>
  <c r="T1019" i="36"/>
  <c r="T1033" i="36"/>
  <c r="T1035" i="36"/>
  <c r="T1049" i="36"/>
  <c r="T1051" i="36"/>
  <c r="T1065" i="36"/>
  <c r="T1067" i="36"/>
  <c r="T1081" i="36"/>
  <c r="T1083" i="36"/>
  <c r="T1097" i="36"/>
  <c r="T1099" i="36"/>
  <c r="T1113" i="36"/>
  <c r="T1115" i="36"/>
  <c r="T1129" i="36"/>
  <c r="T1131" i="36"/>
  <c r="T1145" i="36"/>
  <c r="T1147" i="36"/>
  <c r="T1161" i="36"/>
  <c r="T1163" i="36"/>
  <c r="T1177" i="36"/>
  <c r="S1179" i="36"/>
  <c r="T1193" i="36"/>
  <c r="S1195" i="36"/>
  <c r="T1209" i="36"/>
  <c r="S1211" i="36"/>
  <c r="T1225" i="36"/>
  <c r="S1227" i="36"/>
  <c r="T1241" i="36"/>
  <c r="S1243" i="36"/>
  <c r="T1257" i="36"/>
  <c r="S1258" i="36"/>
  <c r="S1259" i="36"/>
  <c r="T1273" i="36"/>
  <c r="S1274" i="36"/>
  <c r="T1289" i="36"/>
  <c r="S1290" i="36"/>
  <c r="S1291" i="36"/>
  <c r="T1305" i="36"/>
  <c r="S1306" i="36"/>
  <c r="S1307" i="36"/>
  <c r="T1321" i="36"/>
  <c r="S1322" i="36"/>
  <c r="T1323" i="36"/>
  <c r="S1338" i="36"/>
  <c r="T1339" i="36"/>
  <c r="S1354" i="36"/>
  <c r="T1355" i="36"/>
  <c r="S1370" i="36"/>
  <c r="T1371" i="36"/>
  <c r="S1386" i="36"/>
  <c r="T1387" i="36"/>
  <c r="S1402" i="36"/>
  <c r="S1403" i="36"/>
  <c r="T1446" i="36"/>
  <c r="S1450" i="36"/>
  <c r="S768" i="36"/>
  <c r="S784" i="36"/>
  <c r="S800" i="36"/>
  <c r="T816" i="36"/>
  <c r="S830" i="36"/>
  <c r="S844" i="36"/>
  <c r="T860" i="36"/>
  <c r="T876" i="36"/>
  <c r="T892" i="36"/>
  <c r="T908" i="36"/>
  <c r="T922" i="36"/>
  <c r="T924" i="36"/>
  <c r="T938" i="36"/>
  <c r="T940" i="36"/>
  <c r="T954" i="36"/>
  <c r="T956" i="36"/>
  <c r="T970" i="36"/>
  <c r="T972" i="36"/>
  <c r="T986" i="36"/>
  <c r="T988" i="36"/>
  <c r="T1002" i="36"/>
  <c r="T1004" i="36"/>
  <c r="T1018" i="36"/>
  <c r="T1020" i="36"/>
  <c r="T1034" i="36"/>
  <c r="S1036" i="36"/>
  <c r="T1050" i="36"/>
  <c r="S1052" i="36"/>
  <c r="T1066" i="36"/>
  <c r="S1068" i="36"/>
  <c r="T1082" i="36"/>
  <c r="S1084" i="36"/>
  <c r="T1098" i="36"/>
  <c r="S1100" i="36"/>
  <c r="T1114" i="36"/>
  <c r="S1116" i="36"/>
  <c r="T1130" i="36"/>
  <c r="S1132" i="36"/>
  <c r="S1148" i="36"/>
  <c r="S1164" i="36"/>
  <c r="S1180" i="36"/>
  <c r="S1196" i="36"/>
  <c r="S1212" i="36"/>
  <c r="S1228" i="36"/>
  <c r="S1244" i="36"/>
  <c r="S1275" i="36"/>
  <c r="T1292" i="36"/>
  <c r="T1308" i="36"/>
  <c r="T671" i="36"/>
  <c r="T687" i="36"/>
  <c r="T703" i="36"/>
  <c r="T719" i="36"/>
  <c r="T735" i="36"/>
  <c r="T751" i="36"/>
  <c r="T753" i="36"/>
  <c r="T767" i="36"/>
  <c r="T769" i="36"/>
  <c r="T783" i="36"/>
  <c r="T785" i="36"/>
  <c r="T799" i="36"/>
  <c r="T801" i="36"/>
  <c r="S860" i="36"/>
  <c r="T861" i="36"/>
  <c r="S876" i="36"/>
  <c r="T877" i="36"/>
  <c r="S892" i="36"/>
  <c r="T893" i="36"/>
  <c r="S908" i="36"/>
  <c r="T909" i="36"/>
  <c r="S924" i="36"/>
  <c r="T925" i="36"/>
  <c r="S940" i="36"/>
  <c r="T941" i="36"/>
  <c r="S956" i="36"/>
  <c r="T957" i="36"/>
  <c r="S972" i="36"/>
  <c r="T973" i="36"/>
  <c r="S988" i="36"/>
  <c r="T989" i="36"/>
  <c r="S1004" i="36"/>
  <c r="T1005" i="36"/>
  <c r="T1021" i="36"/>
  <c r="T1037" i="36"/>
  <c r="T1053" i="36"/>
  <c r="T1069" i="36"/>
  <c r="T1085" i="36"/>
  <c r="T1101" i="36"/>
  <c r="T1117" i="36"/>
  <c r="T1133" i="36"/>
  <c r="T1149" i="36"/>
  <c r="T1165" i="36"/>
  <c r="T1179" i="36"/>
  <c r="S1181" i="36"/>
  <c r="T1195" i="36"/>
  <c r="S1197" i="36"/>
  <c r="T1211" i="36"/>
  <c r="S1213" i="36"/>
  <c r="T1227" i="36"/>
  <c r="S1229" i="36"/>
  <c r="T1243" i="36"/>
  <c r="T1259" i="36"/>
  <c r="T1260" i="36"/>
  <c r="T1275" i="36"/>
  <c r="T1276" i="36"/>
  <c r="T1291" i="36"/>
  <c r="S1293" i="36"/>
  <c r="T1307" i="36"/>
  <c r="T1309" i="36"/>
  <c r="T1325" i="36"/>
  <c r="S769" i="36"/>
  <c r="T770" i="36"/>
  <c r="S785" i="36"/>
  <c r="T786" i="36"/>
  <c r="S801" i="36"/>
  <c r="T802" i="36"/>
  <c r="S817" i="36"/>
  <c r="S832" i="36"/>
  <c r="S861" i="36"/>
  <c r="T862" i="36"/>
  <c r="S877" i="36"/>
  <c r="T878" i="36"/>
  <c r="S893" i="36"/>
  <c r="T894" i="36"/>
  <c r="S909" i="36"/>
  <c r="T910" i="36"/>
  <c r="S925" i="36"/>
  <c r="T926" i="36"/>
  <c r="S941" i="36"/>
  <c r="T942" i="36"/>
  <c r="S957" i="36"/>
  <c r="T958" i="36"/>
  <c r="S973" i="36"/>
  <c r="T974" i="36"/>
  <c r="T990" i="36"/>
  <c r="T1006" i="36"/>
  <c r="T1022" i="36"/>
  <c r="T1036" i="36"/>
  <c r="T1052" i="36"/>
  <c r="T1068" i="36"/>
  <c r="T1084" i="36"/>
  <c r="T1100" i="36"/>
  <c r="T1116" i="36"/>
  <c r="T1132" i="36"/>
  <c r="T1148" i="36"/>
  <c r="T1164" i="36"/>
  <c r="T1180" i="36"/>
  <c r="T1196" i="36"/>
  <c r="T1212" i="36"/>
  <c r="T1228" i="36"/>
  <c r="T1244" i="36"/>
  <c r="S1245" i="36"/>
  <c r="S1261" i="36"/>
  <c r="S1277" i="36"/>
  <c r="T1294" i="36"/>
  <c r="T1310" i="36"/>
  <c r="T1326" i="36"/>
  <c r="T1342" i="36"/>
  <c r="T1358" i="36"/>
  <c r="T1374" i="36"/>
  <c r="T1390" i="36"/>
  <c r="S739" i="36"/>
  <c r="S754" i="36"/>
  <c r="S755" i="36"/>
  <c r="S770" i="36"/>
  <c r="S771" i="36"/>
  <c r="S786" i="36"/>
  <c r="S787" i="36"/>
  <c r="S802" i="36"/>
  <c r="S803" i="36"/>
  <c r="T817" i="36"/>
  <c r="S818" i="36"/>
  <c r="S833" i="36"/>
  <c r="S862" i="36"/>
  <c r="T863" i="36"/>
  <c r="S878" i="36"/>
  <c r="T879" i="36"/>
  <c r="S894" i="36"/>
  <c r="T895" i="36"/>
  <c r="S910" i="36"/>
  <c r="T911" i="36"/>
  <c r="T927" i="36"/>
  <c r="T943" i="36"/>
  <c r="T959" i="36"/>
  <c r="T975" i="36"/>
  <c r="T991" i="36"/>
  <c r="T1007" i="36"/>
  <c r="S1022" i="36"/>
  <c r="T1023" i="36"/>
  <c r="T1038" i="36"/>
  <c r="T1039" i="36"/>
  <c r="T1054" i="36"/>
  <c r="T1055" i="36"/>
  <c r="T1070" i="36"/>
  <c r="T1071" i="36"/>
  <c r="T1086" i="36"/>
  <c r="T1087" i="36"/>
  <c r="T1102" i="36"/>
  <c r="T1103" i="36"/>
  <c r="T1118" i="36"/>
  <c r="T1119" i="36"/>
  <c r="T1134" i="36"/>
  <c r="T1135" i="36"/>
  <c r="S1150" i="36"/>
  <c r="T1151" i="36"/>
  <c r="S1166" i="36"/>
  <c r="T1167" i="36"/>
  <c r="T1181" i="36"/>
  <c r="S1182" i="36"/>
  <c r="T1183" i="36"/>
  <c r="T1197" i="36"/>
  <c r="T1198" i="36"/>
  <c r="T1199" i="36"/>
  <c r="T1213" i="36"/>
  <c r="T1214" i="36"/>
  <c r="T1215" i="36"/>
  <c r="T1229" i="36"/>
  <c r="T1230" i="36"/>
  <c r="T1231" i="36"/>
  <c r="T1245" i="36"/>
  <c r="T1246" i="36"/>
  <c r="T1247" i="36"/>
  <c r="T1261" i="36"/>
  <c r="T1262" i="36"/>
  <c r="T1263" i="36"/>
  <c r="T1277" i="36"/>
  <c r="T1278" i="36"/>
  <c r="T1279" i="36"/>
  <c r="T1293" i="36"/>
  <c r="S1294" i="36"/>
  <c r="T1295" i="36"/>
  <c r="S1310" i="36"/>
  <c r="T1311" i="36"/>
  <c r="S1326" i="36"/>
  <c r="T1327" i="36"/>
  <c r="S1342" i="36"/>
  <c r="T1343" i="36"/>
  <c r="S1358" i="36"/>
  <c r="T1359" i="36"/>
  <c r="S1374" i="36"/>
  <c r="T1375" i="36"/>
  <c r="S1390" i="36"/>
  <c r="T1391" i="36"/>
  <c r="S1406" i="36"/>
  <c r="T1407" i="36"/>
  <c r="S1441" i="36"/>
  <c r="T1503" i="36"/>
  <c r="T1519" i="36"/>
  <c r="T1535" i="36"/>
  <c r="T1551" i="36"/>
  <c r="T1567" i="36"/>
  <c r="T1583" i="36"/>
  <c r="T1599" i="36"/>
  <c r="T1615" i="36"/>
  <c r="T1631" i="36"/>
  <c r="T1647" i="36"/>
  <c r="T1663" i="36"/>
  <c r="T1679" i="36"/>
  <c r="T1695" i="36"/>
  <c r="T1711" i="36"/>
  <c r="T1727" i="36"/>
  <c r="T1743" i="36"/>
  <c r="T17" i="37"/>
  <c r="T33" i="37"/>
  <c r="T49" i="37"/>
  <c r="T65" i="37"/>
  <c r="T81" i="37"/>
  <c r="T97" i="37"/>
  <c r="T113" i="37"/>
  <c r="T129" i="37"/>
  <c r="T145" i="37"/>
  <c r="T161" i="37"/>
  <c r="T177" i="37"/>
  <c r="T193" i="37"/>
  <c r="S194" i="37"/>
  <c r="T195" i="37"/>
  <c r="T209" i="37"/>
  <c r="S210" i="37"/>
  <c r="S211" i="37"/>
  <c r="S226" i="37"/>
  <c r="S227" i="37"/>
  <c r="T241" i="37"/>
  <c r="S242" i="37"/>
  <c r="S243" i="37"/>
  <c r="T257" i="37"/>
  <c r="S258" i="37"/>
  <c r="S259" i="37"/>
  <c r="T273" i="37"/>
  <c r="S274" i="37"/>
  <c r="S275" i="37"/>
  <c r="S290" i="37"/>
  <c r="T1330" i="36"/>
  <c r="T1346" i="36"/>
  <c r="T1362" i="36"/>
  <c r="T1378" i="36"/>
  <c r="T1394" i="36"/>
  <c r="T1410" i="36"/>
  <c r="T1426" i="36"/>
  <c r="S1442" i="36"/>
  <c r="T1505" i="36"/>
  <c r="T1521" i="36"/>
  <c r="T1537" i="36"/>
  <c r="T1553" i="36"/>
  <c r="T1569" i="36"/>
  <c r="T1585" i="36"/>
  <c r="T1601" i="36"/>
  <c r="T1617" i="36"/>
  <c r="T1633" i="36"/>
  <c r="T1649" i="36"/>
  <c r="T1665" i="36"/>
  <c r="T1681" i="36"/>
  <c r="T1697" i="36"/>
  <c r="T1713" i="36"/>
  <c r="T1729" i="36"/>
  <c r="T3" i="37"/>
  <c r="T19" i="37"/>
  <c r="T34" i="37"/>
  <c r="T35" i="37"/>
  <c r="T50" i="37"/>
  <c r="T51" i="37"/>
  <c r="T66" i="37"/>
  <c r="T67" i="37"/>
  <c r="T68" i="37"/>
  <c r="T82" i="37"/>
  <c r="T83" i="37"/>
  <c r="T84" i="37"/>
  <c r="T98" i="37"/>
  <c r="T99" i="37"/>
  <c r="T100" i="37"/>
  <c r="T114" i="37"/>
  <c r="T115" i="37"/>
  <c r="T116" i="37"/>
  <c r="T130" i="37"/>
  <c r="T131" i="37"/>
  <c r="T132" i="37"/>
  <c r="T146" i="37"/>
  <c r="T147" i="37"/>
  <c r="T148" i="37"/>
  <c r="T1266" i="36"/>
  <c r="T1268" i="36"/>
  <c r="T1282" i="36"/>
  <c r="T1284" i="36"/>
  <c r="S1331" i="36"/>
  <c r="S1347" i="36"/>
  <c r="S1363" i="36"/>
  <c r="S1379" i="36"/>
  <c r="S1395" i="36"/>
  <c r="S1411" i="36"/>
  <c r="S1427" i="36"/>
  <c r="T1442" i="36"/>
  <c r="T1443" i="36"/>
  <c r="S1444" i="36"/>
  <c r="T1506" i="36"/>
  <c r="T1522" i="36"/>
  <c r="T1538" i="36"/>
  <c r="T1554" i="36"/>
  <c r="T1570" i="36"/>
  <c r="T1586" i="36"/>
  <c r="T1602" i="36"/>
  <c r="T1618" i="36"/>
  <c r="T1634" i="36"/>
  <c r="T1650" i="36"/>
  <c r="T1666" i="36"/>
  <c r="T1682" i="36"/>
  <c r="T1698" i="36"/>
  <c r="T1714" i="36"/>
  <c r="T1730" i="36"/>
  <c r="S4" i="37"/>
  <c r="S20" i="37"/>
  <c r="T36" i="37"/>
  <c r="T1237" i="36"/>
  <c r="S1252" i="36"/>
  <c r="T1253" i="36"/>
  <c r="S1268" i="36"/>
  <c r="T1269" i="36"/>
  <c r="S1284" i="36"/>
  <c r="T1285" i="36"/>
  <c r="T1299" i="36"/>
  <c r="T1300" i="36"/>
  <c r="T1301" i="36"/>
  <c r="T1315" i="36"/>
  <c r="T1316" i="36"/>
  <c r="T1317" i="36"/>
  <c r="T1331" i="36"/>
  <c r="T1332" i="36"/>
  <c r="T1333" i="36"/>
  <c r="T1347" i="36"/>
  <c r="T1348" i="36"/>
  <c r="T1349" i="36"/>
  <c r="T1363" i="36"/>
  <c r="T1364" i="36"/>
  <c r="T1365" i="36"/>
  <c r="T1379" i="36"/>
  <c r="T1380" i="36"/>
  <c r="T1381" i="36"/>
  <c r="T1395" i="36"/>
  <c r="T1396" i="36"/>
  <c r="T1397" i="36"/>
  <c r="T1411" i="36"/>
  <c r="T1412" i="36"/>
  <c r="T1413" i="36"/>
  <c r="T1427" i="36"/>
  <c r="T1428" i="36"/>
  <c r="T1429" i="36"/>
  <c r="S1459" i="36"/>
  <c r="S1491" i="36"/>
  <c r="S1507" i="36"/>
  <c r="T1508" i="36"/>
  <c r="S1523" i="36"/>
  <c r="T1524" i="36"/>
  <c r="S1539" i="36"/>
  <c r="T1540" i="36"/>
  <c r="S1555" i="36"/>
  <c r="T1556" i="36"/>
  <c r="S1571" i="36"/>
  <c r="T1572" i="36"/>
  <c r="S1587" i="36"/>
  <c r="T1588" i="36"/>
  <c r="S1603" i="36"/>
  <c r="T1604" i="36"/>
  <c r="S1619" i="36"/>
  <c r="T1620" i="36"/>
  <c r="S1635" i="36"/>
  <c r="T1636" i="36"/>
  <c r="S1651" i="36"/>
  <c r="T1652" i="36"/>
  <c r="S1667" i="36"/>
  <c r="T1668" i="36"/>
  <c r="S1683" i="36"/>
  <c r="T1684" i="36"/>
  <c r="S1699" i="36"/>
  <c r="T1700" i="36"/>
  <c r="S1715" i="36"/>
  <c r="T1716" i="36"/>
  <c r="S1731" i="36"/>
  <c r="T1732" i="36"/>
  <c r="T4" i="37"/>
  <c r="S5" i="37"/>
  <c r="T6" i="37"/>
  <c r="T20" i="37"/>
  <c r="S21" i="37"/>
  <c r="T22" i="37"/>
  <c r="S37" i="37"/>
  <c r="T38" i="37"/>
  <c r="T52" i="37"/>
  <c r="S53" i="37"/>
  <c r="T54" i="37"/>
  <c r="S69" i="37"/>
  <c r="T70" i="37"/>
  <c r="S85" i="37"/>
  <c r="T86" i="37"/>
  <c r="S101" i="37"/>
  <c r="T102" i="37"/>
  <c r="S117" i="37"/>
  <c r="T118" i="37"/>
  <c r="S1350" i="36"/>
  <c r="S1366" i="36"/>
  <c r="S1382" i="36"/>
  <c r="T1398" i="36"/>
  <c r="S1414" i="36"/>
  <c r="S1430" i="36"/>
  <c r="T1493" i="36"/>
  <c r="T1509" i="36"/>
  <c r="T1525" i="36"/>
  <c r="T1541" i="36"/>
  <c r="T1557" i="36"/>
  <c r="T1573" i="36"/>
  <c r="T1589" i="36"/>
  <c r="T1605" i="36"/>
  <c r="T1621" i="36"/>
  <c r="T1637" i="36"/>
  <c r="T1653" i="36"/>
  <c r="T1669" i="36"/>
  <c r="T1685" i="36"/>
  <c r="T1701" i="36"/>
  <c r="T1717" i="36"/>
  <c r="T1733" i="36"/>
  <c r="T7" i="37"/>
  <c r="T23" i="37"/>
  <c r="T37" i="37"/>
  <c r="T39" i="37"/>
  <c r="T53" i="37"/>
  <c r="T55" i="37"/>
  <c r="T69" i="37"/>
  <c r="T71" i="37"/>
  <c r="T85" i="37"/>
  <c r="T87" i="37"/>
  <c r="T101" i="37"/>
  <c r="T103" i="37"/>
  <c r="T117" i="37"/>
  <c r="T119" i="37"/>
  <c r="T133" i="37"/>
  <c r="T135" i="37"/>
  <c r="T149" i="37"/>
  <c r="T151" i="37"/>
  <c r="T165" i="37"/>
  <c r="T167" i="37"/>
  <c r="T181" i="37"/>
  <c r="T183" i="37"/>
  <c r="T197" i="37"/>
  <c r="T199" i="37"/>
  <c r="T213" i="37"/>
  <c r="T215" i="37"/>
  <c r="T229" i="37"/>
  <c r="T231" i="37"/>
  <c r="S1398" i="36"/>
  <c r="S1399" i="36"/>
  <c r="S1415" i="36"/>
  <c r="S1431" i="36"/>
  <c r="T1455" i="36"/>
  <c r="S1494" i="36"/>
  <c r="S1510" i="36"/>
  <c r="S1526" i="36"/>
  <c r="S1542" i="36"/>
  <c r="S1558" i="36"/>
  <c r="S1574" i="36"/>
  <c r="S1590" i="36"/>
  <c r="S1606" i="36"/>
  <c r="S1622" i="36"/>
  <c r="S1638" i="36"/>
  <c r="S1654" i="36"/>
  <c r="S1670" i="36"/>
  <c r="S1686" i="36"/>
  <c r="S1702" i="36"/>
  <c r="S1718" i="36"/>
  <c r="S1734" i="36"/>
  <c r="S8" i="37"/>
  <c r="S24" i="37"/>
  <c r="S40" i="37"/>
  <c r="S56" i="37"/>
  <c r="S72" i="37"/>
  <c r="S88" i="37"/>
  <c r="S104" i="37"/>
  <c r="S120" i="37"/>
  <c r="S136" i="37"/>
  <c r="S152" i="37"/>
  <c r="S168" i="37"/>
  <c r="S184" i="37"/>
  <c r="T198" i="37"/>
  <c r="T200" i="37"/>
  <c r="T214" i="37"/>
  <c r="T216" i="37"/>
  <c r="T230" i="37"/>
  <c r="T232" i="37"/>
  <c r="T246" i="37"/>
  <c r="T248" i="37"/>
  <c r="T264" i="37"/>
  <c r="T280" i="37"/>
  <c r="T296" i="37"/>
  <c r="S1416" i="36"/>
  <c r="S1432" i="36"/>
  <c r="S1463" i="36"/>
  <c r="S1495" i="36"/>
  <c r="S1511" i="36"/>
  <c r="S1527" i="36"/>
  <c r="S1543" i="36"/>
  <c r="S1559" i="36"/>
  <c r="S1575" i="36"/>
  <c r="S1591" i="36"/>
  <c r="T1607" i="36"/>
  <c r="T1623" i="36"/>
  <c r="T1639" i="36"/>
  <c r="T1655" i="36"/>
  <c r="T1671" i="36"/>
  <c r="T1687" i="36"/>
  <c r="T1703" i="36"/>
  <c r="T1719" i="36"/>
  <c r="T1735" i="36"/>
  <c r="T9" i="37"/>
  <c r="T25" i="37"/>
  <c r="T41" i="37"/>
  <c r="S57" i="37"/>
  <c r="S73" i="37"/>
  <c r="S89" i="37"/>
  <c r="S105" i="37"/>
  <c r="S121" i="37"/>
  <c r="S137" i="37"/>
  <c r="S153" i="37"/>
  <c r="T169" i="37"/>
  <c r="T185" i="37"/>
  <c r="T201" i="37"/>
  <c r="T217" i="37"/>
  <c r="T233" i="37"/>
  <c r="T249" i="37"/>
  <c r="T265" i="37"/>
  <c r="T281" i="37"/>
  <c r="T297" i="37"/>
  <c r="T1303" i="36"/>
  <c r="S1305" i="36"/>
  <c r="T1319" i="36"/>
  <c r="S1321" i="36"/>
  <c r="T1335" i="36"/>
  <c r="T1337" i="36"/>
  <c r="T1351" i="36"/>
  <c r="T1353" i="36"/>
  <c r="T1367" i="36"/>
  <c r="T1369" i="36"/>
  <c r="T1383" i="36"/>
  <c r="T1385" i="36"/>
  <c r="T1399" i="36"/>
  <c r="T1401" i="36"/>
  <c r="T1415" i="36"/>
  <c r="T1417" i="36"/>
  <c r="T1431" i="36"/>
  <c r="T1433" i="36"/>
  <c r="T1462" i="36"/>
  <c r="T1478" i="36"/>
  <c r="T1486" i="36"/>
  <c r="T1494" i="36"/>
  <c r="T1496" i="36"/>
  <c r="T1510" i="36"/>
  <c r="T1512" i="36"/>
  <c r="T1526" i="36"/>
  <c r="T1528" i="36"/>
  <c r="T1542" i="36"/>
  <c r="T1544" i="36"/>
  <c r="T1558" i="36"/>
  <c r="T1560" i="36"/>
  <c r="T1574" i="36"/>
  <c r="T1576" i="36"/>
  <c r="T1590" i="36"/>
  <c r="T1592" i="36"/>
  <c r="T1606" i="36"/>
  <c r="S1608" i="36"/>
  <c r="T1622" i="36"/>
  <c r="S1624" i="36"/>
  <c r="T1638" i="36"/>
  <c r="S1640" i="36"/>
  <c r="T1654" i="36"/>
  <c r="S1656" i="36"/>
  <c r="T1670" i="36"/>
  <c r="S1672" i="36"/>
  <c r="T1686" i="36"/>
  <c r="S1688" i="36"/>
  <c r="T1702" i="36"/>
  <c r="S1704" i="36"/>
  <c r="T1718" i="36"/>
  <c r="S1720" i="36"/>
  <c r="T1734" i="36"/>
  <c r="T1736" i="36"/>
  <c r="T8" i="37"/>
  <c r="T10" i="37"/>
  <c r="T24" i="37"/>
  <c r="T26" i="37"/>
  <c r="T40" i="37"/>
  <c r="T42" i="37"/>
  <c r="T56" i="37"/>
  <c r="T58" i="37"/>
  <c r="T72" i="37"/>
  <c r="S74" i="37"/>
  <c r="T88" i="37"/>
  <c r="S90" i="37"/>
  <c r="T104" i="37"/>
  <c r="S106" i="37"/>
  <c r="T120" i="37"/>
  <c r="S122" i="37"/>
  <c r="T136" i="37"/>
  <c r="S138" i="37"/>
  <c r="T152" i="37"/>
  <c r="S154" i="37"/>
  <c r="T168" i="37"/>
  <c r="S170" i="37"/>
  <c r="T184" i="37"/>
  <c r="S186" i="37"/>
  <c r="S202" i="37"/>
  <c r="S218" i="37"/>
  <c r="T1352" i="36"/>
  <c r="T1354" i="36"/>
  <c r="T1368" i="36"/>
  <c r="T1370" i="36"/>
  <c r="T1384" i="36"/>
  <c r="T1386" i="36"/>
  <c r="T1400" i="36"/>
  <c r="T1402" i="36"/>
  <c r="T1416" i="36"/>
  <c r="T1418" i="36"/>
  <c r="T1432" i="36"/>
  <c r="T1434" i="36"/>
  <c r="S1449" i="36"/>
  <c r="T1463" i="36"/>
  <c r="T1465" i="36"/>
  <c r="T1481" i="36"/>
  <c r="T1495" i="36"/>
  <c r="T1497" i="36"/>
  <c r="T1511" i="36"/>
  <c r="T1513" i="36"/>
  <c r="T1527" i="36"/>
  <c r="T1529" i="36"/>
  <c r="T1543" i="36"/>
  <c r="T1545" i="36"/>
  <c r="T1559" i="36"/>
  <c r="T1561" i="36"/>
  <c r="T1575" i="36"/>
  <c r="T1577" i="36"/>
  <c r="T1591" i="36"/>
  <c r="T1593" i="36"/>
  <c r="T1609" i="36"/>
  <c r="T1625" i="36"/>
  <c r="T1641" i="36"/>
  <c r="T1657" i="36"/>
  <c r="T1673" i="36"/>
  <c r="T1689" i="36"/>
  <c r="T1705" i="36"/>
  <c r="T1721" i="36"/>
  <c r="T1737" i="36"/>
  <c r="T11" i="37"/>
  <c r="T27" i="37"/>
  <c r="T43" i="37"/>
  <c r="T57" i="37"/>
  <c r="T59" i="37"/>
  <c r="T73" i="37"/>
  <c r="S1481" i="36"/>
  <c r="S1497" i="36"/>
  <c r="S1513" i="36"/>
  <c r="S1529" i="36"/>
  <c r="S1545" i="36"/>
  <c r="S1561" i="36"/>
  <c r="S1577" i="36"/>
  <c r="S1593" i="36"/>
  <c r="T1608" i="36"/>
  <c r="S1609" i="36"/>
  <c r="T1624" i="36"/>
  <c r="S1625" i="36"/>
  <c r="T1640" i="36"/>
  <c r="S1641" i="36"/>
  <c r="T1656" i="36"/>
  <c r="S1657" i="36"/>
  <c r="T1672" i="36"/>
  <c r="S1673" i="36"/>
  <c r="T1688" i="36"/>
  <c r="S1689" i="36"/>
  <c r="T1704" i="36"/>
  <c r="S1705" i="36"/>
  <c r="T1720" i="36"/>
  <c r="S1721" i="36"/>
  <c r="S1737" i="36"/>
  <c r="S11" i="37"/>
  <c r="S27" i="37"/>
  <c r="S43" i="37"/>
  <c r="T44" i="37"/>
  <c r="S59" i="37"/>
  <c r="T60" i="37"/>
  <c r="T74" i="37"/>
  <c r="S75" i="37"/>
  <c r="T76" i="37"/>
  <c r="T90" i="37"/>
  <c r="S91" i="37"/>
  <c r="T92" i="37"/>
  <c r="T106" i="37"/>
  <c r="S107" i="37"/>
  <c r="T108" i="37"/>
  <c r="T122" i="37"/>
  <c r="S123" i="37"/>
  <c r="T124" i="37"/>
  <c r="T138" i="37"/>
  <c r="S139" i="37"/>
  <c r="T140" i="37"/>
  <c r="T154" i="37"/>
  <c r="S155" i="37"/>
  <c r="T156" i="37"/>
  <c r="T170" i="37"/>
  <c r="S171" i="37"/>
  <c r="T172" i="37"/>
  <c r="T186" i="37"/>
  <c r="T188" i="37"/>
  <c r="T202" i="37"/>
  <c r="T204" i="37"/>
  <c r="T218" i="37"/>
  <c r="T220" i="37"/>
  <c r="T234" i="37"/>
  <c r="T236" i="37"/>
  <c r="T250" i="37"/>
  <c r="T252" i="37"/>
  <c r="T268" i="37"/>
  <c r="T284" i="37"/>
  <c r="T300" i="37"/>
  <c r="T1324" i="36"/>
  <c r="T1340" i="36"/>
  <c r="T1356" i="36"/>
  <c r="T1372" i="36"/>
  <c r="T1388" i="36"/>
  <c r="T1404" i="36"/>
  <c r="T1420" i="36"/>
  <c r="T1436" i="36"/>
  <c r="T1498" i="36"/>
  <c r="T1499" i="36"/>
  <c r="T1514" i="36"/>
  <c r="T1515" i="36"/>
  <c r="T1530" i="36"/>
  <c r="T1531" i="36"/>
  <c r="T1546" i="36"/>
  <c r="T1547" i="36"/>
  <c r="T1562" i="36"/>
  <c r="T1563" i="36"/>
  <c r="T1578" i="36"/>
  <c r="T1579" i="36"/>
  <c r="T1594" i="36"/>
  <c r="T1595" i="36"/>
  <c r="T1610" i="36"/>
  <c r="T1611" i="36"/>
  <c r="T1626" i="36"/>
  <c r="T1627" i="36"/>
  <c r="T1642" i="36"/>
  <c r="T1643" i="36"/>
  <c r="T1658" i="36"/>
  <c r="T1659" i="36"/>
  <c r="T1674" i="36"/>
  <c r="T1675" i="36"/>
  <c r="T1690" i="36"/>
  <c r="T1691" i="36"/>
  <c r="T1706" i="36"/>
  <c r="T1707" i="36"/>
  <c r="T1722" i="36"/>
  <c r="T1723" i="36"/>
  <c r="T1738" i="36"/>
  <c r="T1739" i="36"/>
  <c r="T12" i="37"/>
  <c r="T13" i="37"/>
  <c r="T28" i="37"/>
  <c r="T29" i="37"/>
  <c r="S44" i="37"/>
  <c r="T45" i="37"/>
  <c r="S60" i="37"/>
  <c r="T61" i="37"/>
  <c r="S76" i="37"/>
  <c r="T77" i="37"/>
  <c r="S92" i="37"/>
  <c r="T93" i="37"/>
  <c r="T1341" i="36"/>
  <c r="T1357" i="36"/>
  <c r="T1373" i="36"/>
  <c r="T1389" i="36"/>
  <c r="T1403" i="36"/>
  <c r="T1405" i="36"/>
  <c r="T1421" i="36"/>
  <c r="T1437" i="36"/>
  <c r="T1500" i="36"/>
  <c r="T1516" i="36"/>
  <c r="T1532" i="36"/>
  <c r="S1547" i="36"/>
  <c r="T1548" i="36"/>
  <c r="S1563" i="36"/>
  <c r="T1564" i="36"/>
  <c r="S1579" i="36"/>
  <c r="T1580" i="36"/>
  <c r="S1595" i="36"/>
  <c r="T1596" i="36"/>
  <c r="S1611" i="36"/>
  <c r="T1612" i="36"/>
  <c r="S1627" i="36"/>
  <c r="T1628" i="36"/>
  <c r="S1643" i="36"/>
  <c r="T1644" i="36"/>
  <c r="S1659" i="36"/>
  <c r="T1660" i="36"/>
  <c r="S1675" i="36"/>
  <c r="T1676" i="36"/>
  <c r="S1691" i="36"/>
  <c r="T1692" i="36"/>
  <c r="S1707" i="36"/>
  <c r="T1708" i="36"/>
  <c r="S1723" i="36"/>
  <c r="T1724" i="36"/>
  <c r="S1739" i="36"/>
  <c r="T1740" i="36"/>
  <c r="S13" i="37"/>
  <c r="T14" i="37"/>
  <c r="S29" i="37"/>
  <c r="T30" i="37"/>
  <c r="S45" i="37"/>
  <c r="T46" i="37"/>
  <c r="S61" i="37"/>
  <c r="T62" i="37"/>
  <c r="S77" i="37"/>
  <c r="T78" i="37"/>
  <c r="S93" i="37"/>
  <c r="T94" i="37"/>
  <c r="S109" i="37"/>
  <c r="T110" i="37"/>
  <c r="S125" i="37"/>
  <c r="T126" i="37"/>
  <c r="S141" i="37"/>
  <c r="T142" i="37"/>
  <c r="S157" i="37"/>
  <c r="T158" i="37"/>
  <c r="S173" i="37"/>
  <c r="T174" i="37"/>
  <c r="S189" i="37"/>
  <c r="T190" i="37"/>
  <c r="S205" i="37"/>
  <c r="T206" i="37"/>
  <c r="T1501" i="36"/>
  <c r="T1517" i="36"/>
  <c r="T1533" i="36"/>
  <c r="T1549" i="36"/>
  <c r="T1565" i="36"/>
  <c r="T1581" i="36"/>
  <c r="T1597" i="36"/>
  <c r="T1613" i="36"/>
  <c r="T1629" i="36"/>
  <c r="T1645" i="36"/>
  <c r="T1661" i="36"/>
  <c r="T1677" i="36"/>
  <c r="T1693" i="36"/>
  <c r="T1709" i="36"/>
  <c r="T1725" i="36"/>
  <c r="T1741" i="36"/>
  <c r="T15" i="37"/>
  <c r="T31" i="37"/>
  <c r="T47" i="37"/>
  <c r="T63" i="37"/>
  <c r="T79" i="37"/>
  <c r="T95" i="37"/>
  <c r="T111" i="37"/>
  <c r="T127" i="37"/>
  <c r="T143" i="37"/>
  <c r="T159" i="37"/>
  <c r="T175" i="37"/>
  <c r="T191" i="37"/>
  <c r="T223" i="37"/>
  <c r="T254" i="37"/>
  <c r="T271" i="37"/>
  <c r="T287" i="37"/>
  <c r="T303" i="37"/>
  <c r="T319" i="37"/>
  <c r="S1422" i="36"/>
  <c r="T1423" i="36"/>
  <c r="S1438" i="36"/>
  <c r="T1439" i="36"/>
  <c r="S1502" i="36"/>
  <c r="S1518" i="36"/>
  <c r="S1534" i="36"/>
  <c r="S1550" i="36"/>
  <c r="S1566" i="36"/>
  <c r="S1582" i="36"/>
  <c r="S1598" i="36"/>
  <c r="S1614" i="36"/>
  <c r="S1630" i="36"/>
  <c r="S1646" i="36"/>
  <c r="S1662" i="36"/>
  <c r="S1678" i="36"/>
  <c r="S1694" i="36"/>
  <c r="S1710" i="36"/>
  <c r="S1726" i="36"/>
  <c r="S1742" i="36"/>
  <c r="S16" i="37"/>
  <c r="S64" i="37"/>
  <c r="S112" i="37"/>
  <c r="S128" i="37"/>
  <c r="S144" i="37"/>
  <c r="S176" i="37"/>
  <c r="T192" i="37"/>
  <c r="T207" i="37"/>
  <c r="T208" i="37"/>
  <c r="S223" i="37"/>
  <c r="T224" i="37"/>
  <c r="T239" i="37"/>
  <c r="T240" i="37"/>
  <c r="T255" i="37"/>
  <c r="T256" i="37"/>
  <c r="T270" i="37"/>
  <c r="S271" i="37"/>
  <c r="T272" i="37"/>
  <c r="S287" i="37"/>
  <c r="T288" i="37"/>
  <c r="T1408" i="36"/>
  <c r="T1424" i="36"/>
  <c r="S1519" i="36"/>
  <c r="S1663" i="36"/>
  <c r="S1679" i="36"/>
  <c r="S1695" i="36"/>
  <c r="S1711" i="36"/>
  <c r="S1727" i="36"/>
  <c r="S1743" i="36"/>
  <c r="S17" i="37"/>
  <c r="S32" i="37"/>
  <c r="S33" i="37"/>
  <c r="S48" i="37"/>
  <c r="S49" i="37"/>
  <c r="S65" i="37"/>
  <c r="S80" i="37"/>
  <c r="S81" i="37"/>
  <c r="S96" i="37"/>
  <c r="S97" i="37"/>
  <c r="S113" i="37"/>
  <c r="S129" i="37"/>
  <c r="S145" i="37"/>
  <c r="S160" i="37"/>
  <c r="S161" i="37"/>
  <c r="S177" i="37"/>
  <c r="S208" i="37"/>
  <c r="S224" i="37"/>
  <c r="S240" i="37"/>
  <c r="S256" i="37"/>
  <c r="S257" i="37"/>
  <c r="S272" i="37"/>
  <c r="S273" i="37"/>
  <c r="S289" i="37"/>
  <c r="T305" i="37"/>
  <c r="S108" i="37"/>
  <c r="T109" i="37"/>
  <c r="S124" i="37"/>
  <c r="T125" i="37"/>
  <c r="S140" i="37"/>
  <c r="T141" i="37"/>
  <c r="S156" i="37"/>
  <c r="T157" i="37"/>
  <c r="S172" i="37"/>
  <c r="T173" i="37"/>
  <c r="S188" i="37"/>
  <c r="T189" i="37"/>
  <c r="S204" i="37"/>
  <c r="T205" i="37"/>
  <c r="T221" i="37"/>
  <c r="T237" i="37"/>
  <c r="T253" i="37"/>
  <c r="T269" i="37"/>
  <c r="T285" i="37"/>
  <c r="T301" i="37"/>
  <c r="T317" i="37"/>
  <c r="T395" i="37"/>
  <c r="T411" i="37"/>
  <c r="T427" i="37"/>
  <c r="T443" i="37"/>
  <c r="T459" i="37"/>
  <c r="T475" i="37"/>
  <c r="T491" i="37"/>
  <c r="T507" i="37"/>
  <c r="S936" i="37"/>
  <c r="S937" i="37"/>
  <c r="S952" i="37"/>
  <c r="S953" i="37"/>
  <c r="S1013" i="37"/>
  <c r="T1028" i="37"/>
  <c r="T1029" i="37"/>
  <c r="S221" i="37"/>
  <c r="T222" i="37"/>
  <c r="S237" i="37"/>
  <c r="T238" i="37"/>
  <c r="S253" i="37"/>
  <c r="S254" i="37"/>
  <c r="S269" i="37"/>
  <c r="S270" i="37"/>
  <c r="S285" i="37"/>
  <c r="T286" i="37"/>
  <c r="S301" i="37"/>
  <c r="T302" i="37"/>
  <c r="S317" i="37"/>
  <c r="T318" i="37"/>
  <c r="T342" i="37"/>
  <c r="T364" i="37"/>
  <c r="T378" i="37"/>
  <c r="T380" i="37"/>
  <c r="T394" i="37"/>
  <c r="T396" i="37"/>
  <c r="T410" i="37"/>
  <c r="T412" i="37"/>
  <c r="T426" i="37"/>
  <c r="T428" i="37"/>
  <c r="T442" i="37"/>
  <c r="T444" i="37"/>
  <c r="T458" i="37"/>
  <c r="T460" i="37"/>
  <c r="T474" i="37"/>
  <c r="T476" i="37"/>
  <c r="T490" i="37"/>
  <c r="T492" i="37"/>
  <c r="T506" i="37"/>
  <c r="S507" i="37"/>
  <c r="T508" i="37"/>
  <c r="T522" i="37"/>
  <c r="S523" i="37"/>
  <c r="T524" i="37"/>
  <c r="T538" i="37"/>
  <c r="S539" i="37"/>
  <c r="T540" i="37"/>
  <c r="T554" i="37"/>
  <c r="S555" i="37"/>
  <c r="T556" i="37"/>
  <c r="T570" i="37"/>
  <c r="S571" i="37"/>
  <c r="T572" i="37"/>
  <c r="T586" i="37"/>
  <c r="S587" i="37"/>
  <c r="T588" i="37"/>
  <c r="T602" i="37"/>
  <c r="S603" i="37"/>
  <c r="T604" i="37"/>
  <c r="T746" i="37"/>
  <c r="S747" i="37"/>
  <c r="T762" i="37"/>
  <c r="S763" i="37"/>
  <c r="T778" i="37"/>
  <c r="S779" i="37"/>
  <c r="T794" i="37"/>
  <c r="T811" i="37"/>
  <c r="T825" i="37"/>
  <c r="S826" i="37"/>
  <c r="T827" i="37"/>
  <c r="T841" i="37"/>
  <c r="T857" i="37"/>
  <c r="S858" i="37"/>
  <c r="T873" i="37"/>
  <c r="S890" i="37"/>
  <c r="S732" i="37"/>
  <c r="T812" i="37"/>
  <c r="T890" i="37"/>
  <c r="T892" i="37"/>
  <c r="S303" i="37"/>
  <c r="T304" i="37"/>
  <c r="S319" i="37"/>
  <c r="T320" i="37"/>
  <c r="T365" i="37"/>
  <c r="T366" i="37"/>
  <c r="T381" i="37"/>
  <c r="T382" i="37"/>
  <c r="T397" i="37"/>
  <c r="T398" i="37"/>
  <c r="T413" i="37"/>
  <c r="T414" i="37"/>
  <c r="T429" i="37"/>
  <c r="T430" i="37"/>
  <c r="T445" i="37"/>
  <c r="T446" i="37"/>
  <c r="T461" i="37"/>
  <c r="T462" i="37"/>
  <c r="T477" i="37"/>
  <c r="T478" i="37"/>
  <c r="T493" i="37"/>
  <c r="T494" i="37"/>
  <c r="T509" i="37"/>
  <c r="T510" i="37"/>
  <c r="T525" i="37"/>
  <c r="T526" i="37"/>
  <c r="T541" i="37"/>
  <c r="T542" i="37"/>
  <c r="T557" i="37"/>
  <c r="T558" i="37"/>
  <c r="T573" i="37"/>
  <c r="T574" i="37"/>
  <c r="T589" i="37"/>
  <c r="T590" i="37"/>
  <c r="T605" i="37"/>
  <c r="T606" i="37"/>
  <c r="T621" i="37"/>
  <c r="T622" i="37"/>
  <c r="T637" i="37"/>
  <c r="T638" i="37"/>
  <c r="T653" i="37"/>
  <c r="T654" i="37"/>
  <c r="T669" i="37"/>
  <c r="T670" i="37"/>
  <c r="T685" i="37"/>
  <c r="T686" i="37"/>
  <c r="T701" i="37"/>
  <c r="T702" i="37"/>
  <c r="S717" i="37"/>
  <c r="T732" i="37"/>
  <c r="T321" i="37"/>
  <c r="T336" i="37"/>
  <c r="T383" i="37"/>
  <c r="T399" i="37"/>
  <c r="T415" i="37"/>
  <c r="T431" i="37"/>
  <c r="T447" i="37"/>
  <c r="T463" i="37"/>
  <c r="T479" i="37"/>
  <c r="T495" i="37"/>
  <c r="T511" i="37"/>
  <c r="T527" i="37"/>
  <c r="T543" i="37"/>
  <c r="T559" i="37"/>
  <c r="T575" i="37"/>
  <c r="T591" i="37"/>
  <c r="T607" i="37"/>
  <c r="T623" i="37"/>
  <c r="T639" i="37"/>
  <c r="T655" i="37"/>
  <c r="T671" i="37"/>
  <c r="T687" i="37"/>
  <c r="T703" i="37"/>
  <c r="T717" i="37"/>
  <c r="T718" i="37"/>
  <c r="T719" i="37"/>
  <c r="T765" i="37"/>
  <c r="S337" i="37"/>
  <c r="S353" i="37"/>
  <c r="S512" i="37"/>
  <c r="S528" i="37"/>
  <c r="S544" i="37"/>
  <c r="S560" i="37"/>
  <c r="S576" i="37"/>
  <c r="S592" i="37"/>
  <c r="S608" i="37"/>
  <c r="S624" i="37"/>
  <c r="S640" i="37"/>
  <c r="S656" i="37"/>
  <c r="S672" i="37"/>
  <c r="S688" i="37"/>
  <c r="S704" i="37"/>
  <c r="T736" i="37"/>
  <c r="T752" i="37"/>
  <c r="T768" i="37"/>
  <c r="T784" i="37"/>
  <c r="T798" i="37"/>
  <c r="S800" i="37"/>
  <c r="S847" i="37"/>
  <c r="S306" i="37"/>
  <c r="T323" i="37"/>
  <c r="T368" i="37"/>
  <c r="T384" i="37"/>
  <c r="T385" i="37"/>
  <c r="T400" i="37"/>
  <c r="T401" i="37"/>
  <c r="T416" i="37"/>
  <c r="T417" i="37"/>
  <c r="T432" i="37"/>
  <c r="T433" i="37"/>
  <c r="T448" i="37"/>
  <c r="T464" i="37"/>
  <c r="T465" i="37"/>
  <c r="T480" i="37"/>
  <c r="T481" i="37"/>
  <c r="T496" i="37"/>
  <c r="T497" i="37"/>
  <c r="T513" i="37"/>
  <c r="T529" i="37"/>
  <c r="T545" i="37"/>
  <c r="T561" i="37"/>
  <c r="T577" i="37"/>
  <c r="T593" i="37"/>
  <c r="T609" i="37"/>
  <c r="T625" i="37"/>
  <c r="T641" i="37"/>
  <c r="T657" i="37"/>
  <c r="T673" i="37"/>
  <c r="T689" i="37"/>
  <c r="T705" i="37"/>
  <c r="T720" i="37"/>
  <c r="T721" i="37"/>
  <c r="S736" i="37"/>
  <c r="T751" i="37"/>
  <c r="T767" i="37"/>
  <c r="T783" i="37"/>
  <c r="T814" i="37"/>
  <c r="T162" i="37"/>
  <c r="T163" i="37"/>
  <c r="T164" i="37"/>
  <c r="T178" i="37"/>
  <c r="T179" i="37"/>
  <c r="T180" i="37"/>
  <c r="T194" i="37"/>
  <c r="S195" i="37"/>
  <c r="T196" i="37"/>
  <c r="T210" i="37"/>
  <c r="T212" i="37"/>
  <c r="T226" i="37"/>
  <c r="T228" i="37"/>
  <c r="T242" i="37"/>
  <c r="T244" i="37"/>
  <c r="T258" i="37"/>
  <c r="T260" i="37"/>
  <c r="T274" i="37"/>
  <c r="T276" i="37"/>
  <c r="T290" i="37"/>
  <c r="T291" i="37"/>
  <c r="T292" i="37"/>
  <c r="T306" i="37"/>
  <c r="T307" i="37"/>
  <c r="T308" i="37"/>
  <c r="T322" i="37"/>
  <c r="T324" i="37"/>
  <c r="T338" i="37"/>
  <c r="S385" i="37"/>
  <c r="S386" i="37"/>
  <c r="S401" i="37"/>
  <c r="S402" i="37"/>
  <c r="S417" i="37"/>
  <c r="S418" i="37"/>
  <c r="S433" i="37"/>
  <c r="S434" i="37"/>
  <c r="T449" i="37"/>
  <c r="S450" i="37"/>
  <c r="S465" i="37"/>
  <c r="S466" i="37"/>
  <c r="S481" i="37"/>
  <c r="S482" i="37"/>
  <c r="S497" i="37"/>
  <c r="S498" i="37"/>
  <c r="T512" i="37"/>
  <c r="S513" i="37"/>
  <c r="S514" i="37"/>
  <c r="T528" i="37"/>
  <c r="S529" i="37"/>
  <c r="S530" i="37"/>
  <c r="T544" i="37"/>
  <c r="S545" i="37"/>
  <c r="S546" i="37"/>
  <c r="T560" i="37"/>
  <c r="S561" i="37"/>
  <c r="S562" i="37"/>
  <c r="T576" i="37"/>
  <c r="S577" i="37"/>
  <c r="S578" i="37"/>
  <c r="T592" i="37"/>
  <c r="S593" i="37"/>
  <c r="S594" i="37"/>
  <c r="T608" i="37"/>
  <c r="S609" i="37"/>
  <c r="S610" i="37"/>
  <c r="T624" i="37"/>
  <c r="S625" i="37"/>
  <c r="S626" i="37"/>
  <c r="T640" i="37"/>
  <c r="S641" i="37"/>
  <c r="S642" i="37"/>
  <c r="T656" i="37"/>
  <c r="S657" i="37"/>
  <c r="S658" i="37"/>
  <c r="T672" i="37"/>
  <c r="S673" i="37"/>
  <c r="S674" i="37"/>
  <c r="T688" i="37"/>
  <c r="S689" i="37"/>
  <c r="S690" i="37"/>
  <c r="T704" i="37"/>
  <c r="S705" i="37"/>
  <c r="S706" i="37"/>
  <c r="T895" i="37"/>
  <c r="T896" i="37"/>
  <c r="S52" i="37"/>
  <c r="S68" i="37"/>
  <c r="S84" i="37"/>
  <c r="S100" i="37"/>
  <c r="S116" i="37"/>
  <c r="S132" i="37"/>
  <c r="S148" i="37"/>
  <c r="S164" i="37"/>
  <c r="T211" i="37"/>
  <c r="T227" i="37"/>
  <c r="T243" i="37"/>
  <c r="T259" i="37"/>
  <c r="T275" i="37"/>
  <c r="T325" i="37"/>
  <c r="T1289" i="37"/>
  <c r="T1290" i="37"/>
  <c r="T1305" i="37"/>
  <c r="S1321" i="37"/>
  <c r="S133" i="37"/>
  <c r="T134" i="37"/>
  <c r="S149" i="37"/>
  <c r="T150" i="37"/>
  <c r="S165" i="37"/>
  <c r="T166" i="37"/>
  <c r="S181" i="37"/>
  <c r="T182" i="37"/>
  <c r="S197" i="37"/>
  <c r="S198" i="37"/>
  <c r="S213" i="37"/>
  <c r="S214" i="37"/>
  <c r="S229" i="37"/>
  <c r="S230" i="37"/>
  <c r="S245" i="37"/>
  <c r="S246" i="37"/>
  <c r="S261" i="37"/>
  <c r="T262" i="37"/>
  <c r="S277" i="37"/>
  <c r="T278" i="37"/>
  <c r="S293" i="37"/>
  <c r="T294" i="37"/>
  <c r="S309" i="37"/>
  <c r="T326" i="37"/>
  <c r="S357" i="37"/>
  <c r="T357" i="37"/>
  <c r="T386" i="37"/>
  <c r="T387" i="37"/>
  <c r="T388" i="37"/>
  <c r="T402" i="37"/>
  <c r="T403" i="37"/>
  <c r="T404" i="37"/>
  <c r="T418" i="37"/>
  <c r="T419" i="37"/>
  <c r="T420" i="37"/>
  <c r="T434" i="37"/>
  <c r="T435" i="37"/>
  <c r="T436" i="37"/>
  <c r="T450" i="37"/>
  <c r="T451" i="37"/>
  <c r="T452" i="37"/>
  <c r="T466" i="37"/>
  <c r="T467" i="37"/>
  <c r="T468" i="37"/>
  <c r="T482" i="37"/>
  <c r="T483" i="37"/>
  <c r="T484" i="37"/>
  <c r="T498" i="37"/>
  <c r="T499" i="37"/>
  <c r="T500" i="37"/>
  <c r="T514" i="37"/>
  <c r="T515" i="37"/>
  <c r="T516" i="37"/>
  <c r="T530" i="37"/>
  <c r="T531" i="37"/>
  <c r="T532" i="37"/>
  <c r="T546" i="37"/>
  <c r="T547" i="37"/>
  <c r="T548" i="37"/>
  <c r="T562" i="37"/>
  <c r="T563" i="37"/>
  <c r="T564" i="37"/>
  <c r="T866" i="37"/>
  <c r="T245" i="37"/>
  <c r="T247" i="37"/>
  <c r="T261" i="37"/>
  <c r="T263" i="37"/>
  <c r="T277" i="37"/>
  <c r="T279" i="37"/>
  <c r="T293" i="37"/>
  <c r="T295" i="37"/>
  <c r="T310" i="37"/>
  <c r="T311" i="37"/>
  <c r="T341" i="37"/>
  <c r="T613" i="37"/>
  <c r="T1118" i="37"/>
  <c r="S1259" i="37"/>
  <c r="S1275" i="37"/>
  <c r="T312" i="37"/>
  <c r="S344" i="37"/>
  <c r="S374" i="37"/>
  <c r="S389" i="37"/>
  <c r="S390" i="37"/>
  <c r="S405" i="37"/>
  <c r="S406" i="37"/>
  <c r="S421" i="37"/>
  <c r="S422" i="37"/>
  <c r="S437" i="37"/>
  <c r="S438" i="37"/>
  <c r="S453" i="37"/>
  <c r="S454" i="37"/>
  <c r="S469" i="37"/>
  <c r="S470" i="37"/>
  <c r="S485" i="37"/>
  <c r="T486" i="37"/>
  <c r="T501" i="37"/>
  <c r="T502" i="37"/>
  <c r="T517" i="37"/>
  <c r="T518" i="37"/>
  <c r="T533" i="37"/>
  <c r="T534" i="37"/>
  <c r="T549" i="37"/>
  <c r="T550" i="37"/>
  <c r="T565" i="37"/>
  <c r="T566" i="37"/>
  <c r="T581" i="37"/>
  <c r="T582" i="37"/>
  <c r="T597" i="37"/>
  <c r="T598" i="37"/>
  <c r="T805" i="37"/>
  <c r="T1150" i="37"/>
  <c r="S1244" i="37"/>
  <c r="T313" i="37"/>
  <c r="T329" i="37"/>
  <c r="T373" i="37"/>
  <c r="T375" i="37"/>
  <c r="T389" i="37"/>
  <c r="T391" i="37"/>
  <c r="T405" i="37"/>
  <c r="T407" i="37"/>
  <c r="T421" i="37"/>
  <c r="T423" i="37"/>
  <c r="T437" i="37"/>
  <c r="T439" i="37"/>
  <c r="T453" i="37"/>
  <c r="T455" i="37"/>
  <c r="T469" i="37"/>
  <c r="T471" i="37"/>
  <c r="T485" i="37"/>
  <c r="T487" i="37"/>
  <c r="T503" i="37"/>
  <c r="T519" i="37"/>
  <c r="T535" i="37"/>
  <c r="T551" i="37"/>
  <c r="T567" i="37"/>
  <c r="T583" i="37"/>
  <c r="T599" i="37"/>
  <c r="T615" i="37"/>
  <c r="T631" i="37"/>
  <c r="T647" i="37"/>
  <c r="T663" i="37"/>
  <c r="T679" i="37"/>
  <c r="T695" i="37"/>
  <c r="S917" i="37"/>
  <c r="T917" i="37"/>
  <c r="T948" i="37"/>
  <c r="T949" i="37"/>
  <c r="T1040" i="37"/>
  <c r="S1041" i="37"/>
  <c r="T1134" i="37"/>
  <c r="S1214" i="37"/>
  <c r="T1374" i="37"/>
  <c r="T1406" i="37"/>
  <c r="S234" i="37"/>
  <c r="S250" i="37"/>
  <c r="T266" i="37"/>
  <c r="T282" i="37"/>
  <c r="T298" i="37"/>
  <c r="T314" i="37"/>
  <c r="S329" i="37"/>
  <c r="T345" i="37"/>
  <c r="T390" i="37"/>
  <c r="T392" i="37"/>
  <c r="T406" i="37"/>
  <c r="T408" i="37"/>
  <c r="T422" i="37"/>
  <c r="T424" i="37"/>
  <c r="T438" i="37"/>
  <c r="T440" i="37"/>
  <c r="T454" i="37"/>
  <c r="S455" i="37"/>
  <c r="T456" i="37"/>
  <c r="T470" i="37"/>
  <c r="S471" i="37"/>
  <c r="T472" i="37"/>
  <c r="S487" i="37"/>
  <c r="T488" i="37"/>
  <c r="S503" i="37"/>
  <c r="T504" i="37"/>
  <c r="S519" i="37"/>
  <c r="S520" i="37"/>
  <c r="S535" i="37"/>
  <c r="S536" i="37"/>
  <c r="S551" i="37"/>
  <c r="T552" i="37"/>
  <c r="S567" i="37"/>
  <c r="S568" i="37"/>
  <c r="S583" i="37"/>
  <c r="S584" i="37"/>
  <c r="S599" i="37"/>
  <c r="S600" i="37"/>
  <c r="S615" i="37"/>
  <c r="S616" i="37"/>
  <c r="S631" i="37"/>
  <c r="S632" i="37"/>
  <c r="S647" i="37"/>
  <c r="S648" i="37"/>
  <c r="S965" i="37"/>
  <c r="T965" i="37"/>
  <c r="T1042" i="37"/>
  <c r="T1088" i="37"/>
  <c r="T1089" i="37"/>
  <c r="T75" i="37"/>
  <c r="T89" i="37"/>
  <c r="T91" i="37"/>
  <c r="T105" i="37"/>
  <c r="T107" i="37"/>
  <c r="T121" i="37"/>
  <c r="T123" i="37"/>
  <c r="T137" i="37"/>
  <c r="T139" i="37"/>
  <c r="T153" i="37"/>
  <c r="T155" i="37"/>
  <c r="T171" i="37"/>
  <c r="T187" i="37"/>
  <c r="T203" i="37"/>
  <c r="T219" i="37"/>
  <c r="T235" i="37"/>
  <c r="T251" i="37"/>
  <c r="T267" i="37"/>
  <c r="T283" i="37"/>
  <c r="T299" i="37"/>
  <c r="T315" i="37"/>
  <c r="T347" i="37"/>
  <c r="T933" i="37"/>
  <c r="T951" i="37"/>
  <c r="S981" i="37"/>
  <c r="T1025" i="37"/>
  <c r="T1360" i="37"/>
  <c r="T1472" i="37"/>
  <c r="T316" i="37"/>
  <c r="T330" i="37"/>
  <c r="T393" i="37"/>
  <c r="S394" i="37"/>
  <c r="T409" i="37"/>
  <c r="S410" i="37"/>
  <c r="T425" i="37"/>
  <c r="S426" i="37"/>
  <c r="T441" i="37"/>
  <c r="S442" i="37"/>
  <c r="T457" i="37"/>
  <c r="S458" i="37"/>
  <c r="T473" i="37"/>
  <c r="S474" i="37"/>
  <c r="T489" i="37"/>
  <c r="S490" i="37"/>
  <c r="T505" i="37"/>
  <c r="S506" i="37"/>
  <c r="T520" i="37"/>
  <c r="T521" i="37"/>
  <c r="S522" i="37"/>
  <c r="T536" i="37"/>
  <c r="T537" i="37"/>
  <c r="S538" i="37"/>
  <c r="T553" i="37"/>
  <c r="S554" i="37"/>
  <c r="T568" i="37"/>
  <c r="T997" i="37"/>
  <c r="T977" i="37"/>
  <c r="T978" i="37"/>
  <c r="S979" i="37"/>
  <c r="T1007" i="37"/>
  <c r="T1008" i="37"/>
  <c r="S1039" i="37"/>
  <c r="S1115" i="37"/>
  <c r="S1116" i="37"/>
  <c r="T1161" i="37"/>
  <c r="T1162" i="37"/>
  <c r="T1177" i="37"/>
  <c r="S1193" i="37"/>
  <c r="T1209" i="37"/>
  <c r="T1294" i="37"/>
  <c r="S1301" i="37"/>
  <c r="S1317" i="37"/>
  <c r="S1395" i="37"/>
  <c r="T1396" i="37"/>
  <c r="T1474" i="37"/>
  <c r="T1488" i="37"/>
  <c r="T1490" i="37"/>
  <c r="T1504" i="37"/>
  <c r="T1506" i="37"/>
  <c r="T1520" i="37"/>
  <c r="T1522" i="37"/>
  <c r="T1536" i="37"/>
  <c r="T1538" i="37"/>
  <c r="T1552" i="37"/>
  <c r="T1554" i="37"/>
  <c r="T1568" i="37"/>
  <c r="T1570" i="37"/>
  <c r="T1584" i="37"/>
  <c r="T1586" i="37"/>
  <c r="T1600" i="37"/>
  <c r="T1602" i="37"/>
  <c r="T1616" i="37"/>
  <c r="T1618" i="37"/>
  <c r="T1632" i="37"/>
  <c r="T1634" i="37"/>
  <c r="T1648" i="37"/>
  <c r="T1664" i="37"/>
  <c r="T6" i="38"/>
  <c r="T22" i="38"/>
  <c r="T38" i="38"/>
  <c r="T54" i="38"/>
  <c r="S873" i="37"/>
  <c r="S949" i="37"/>
  <c r="T964" i="37"/>
  <c r="T994" i="37"/>
  <c r="S995" i="37"/>
  <c r="T1023" i="37"/>
  <c r="T1024" i="37"/>
  <c r="S1071" i="37"/>
  <c r="S1086" i="37"/>
  <c r="S1147" i="37"/>
  <c r="T1163" i="37"/>
  <c r="T1225" i="37"/>
  <c r="S1255" i="37"/>
  <c r="T1256" i="37"/>
  <c r="T1301" i="37"/>
  <c r="T1303" i="37"/>
  <c r="S1380" i="37"/>
  <c r="S1411" i="37"/>
  <c r="S1443" i="37"/>
  <c r="T1460" i="37"/>
  <c r="S1650" i="37"/>
  <c r="S1666" i="37"/>
  <c r="S8" i="38"/>
  <c r="S24" i="38"/>
  <c r="S40" i="38"/>
  <c r="S56" i="38"/>
  <c r="S1148" i="37"/>
  <c r="S1163" i="37"/>
  <c r="T1168" i="37"/>
  <c r="S1179" i="37"/>
  <c r="S1195" i="37"/>
  <c r="S1211" i="37"/>
  <c r="T1241" i="37"/>
  <c r="T1242" i="37"/>
  <c r="S1287" i="37"/>
  <c r="T1335" i="37"/>
  <c r="T1336" i="37"/>
  <c r="S1428" i="37"/>
  <c r="T1443" i="37"/>
  <c r="S1444" i="37"/>
  <c r="S1491" i="37"/>
  <c r="T1492" i="37"/>
  <c r="S1507" i="37"/>
  <c r="T1508" i="37"/>
  <c r="S1523" i="37"/>
  <c r="S1524" i="37"/>
  <c r="S1539" i="37"/>
  <c r="S1540" i="37"/>
  <c r="S1555" i="37"/>
  <c r="S1556" i="37"/>
  <c r="S1571" i="37"/>
  <c r="S1572" i="37"/>
  <c r="S1587" i="37"/>
  <c r="S1588" i="37"/>
  <c r="S1603" i="37"/>
  <c r="S1604" i="37"/>
  <c r="S1619" i="37"/>
  <c r="S1620" i="37"/>
  <c r="S1635" i="37"/>
  <c r="S1636" i="37"/>
  <c r="T1650" i="37"/>
  <c r="S1651" i="37"/>
  <c r="S1652" i="37"/>
  <c r="T1666" i="37"/>
  <c r="S1667" i="37"/>
  <c r="S1668" i="37"/>
  <c r="T8" i="38"/>
  <c r="S9" i="38"/>
  <c r="S10" i="38"/>
  <c r="T24" i="38"/>
  <c r="S25" i="38"/>
  <c r="S26" i="38"/>
  <c r="T40" i="38"/>
  <c r="S41" i="38"/>
  <c r="S42" i="38"/>
  <c r="T56" i="38"/>
  <c r="S57" i="38"/>
  <c r="S58" i="38"/>
  <c r="T1055" i="37"/>
  <c r="T1056" i="37"/>
  <c r="T1071" i="37"/>
  <c r="T1072" i="37"/>
  <c r="S1104" i="37"/>
  <c r="S1118" i="37"/>
  <c r="S1196" i="37"/>
  <c r="T1197" i="37"/>
  <c r="S1227" i="37"/>
  <c r="S1257" i="37"/>
  <c r="T1258" i="37"/>
  <c r="T1273" i="37"/>
  <c r="S1429" i="37"/>
  <c r="S1445" i="37"/>
  <c r="T1475" i="37"/>
  <c r="T1491" i="37"/>
  <c r="T1507" i="37"/>
  <c r="T1523" i="37"/>
  <c r="T1539" i="37"/>
  <c r="T1555" i="37"/>
  <c r="T1571" i="37"/>
  <c r="T1587" i="37"/>
  <c r="T1603" i="37"/>
  <c r="T1619" i="37"/>
  <c r="T1635" i="37"/>
  <c r="T1651" i="37"/>
  <c r="T1667" i="37"/>
  <c r="T9" i="38"/>
  <c r="T25" i="38"/>
  <c r="T41" i="38"/>
  <c r="T57" i="38"/>
  <c r="T1337" i="37"/>
  <c r="T1353" i="37"/>
  <c r="T1383" i="37"/>
  <c r="T1384" i="37"/>
  <c r="T1429" i="37"/>
  <c r="S1477" i="37"/>
  <c r="T1478" i="37"/>
  <c r="S1493" i="37"/>
  <c r="T1494" i="37"/>
  <c r="S1509" i="37"/>
  <c r="T1510" i="37"/>
  <c r="T1524" i="37"/>
  <c r="S1525" i="37"/>
  <c r="T1526" i="37"/>
  <c r="T1540" i="37"/>
  <c r="S1541" i="37"/>
  <c r="T1542" i="37"/>
  <c r="T1556" i="37"/>
  <c r="S1557" i="37"/>
  <c r="T1558" i="37"/>
  <c r="T1572" i="37"/>
  <c r="S1573" i="37"/>
  <c r="T1574" i="37"/>
  <c r="T1588" i="37"/>
  <c r="S1589" i="37"/>
  <c r="T1590" i="37"/>
  <c r="T1604" i="37"/>
  <c r="S1605" i="37"/>
  <c r="T1606" i="37"/>
  <c r="T1620" i="37"/>
  <c r="S1621" i="37"/>
  <c r="T1622" i="37"/>
  <c r="T1636" i="37"/>
  <c r="S1637" i="37"/>
  <c r="T1638" i="37"/>
  <c r="T1652" i="37"/>
  <c r="S1653" i="37"/>
  <c r="T1654" i="37"/>
  <c r="T1668" i="37"/>
  <c r="S1669" i="37"/>
  <c r="T1670" i="37"/>
  <c r="T10" i="38"/>
  <c r="S11" i="38"/>
  <c r="T12" i="38"/>
  <c r="T26" i="38"/>
  <c r="S27" i="38"/>
  <c r="T28" i="38"/>
  <c r="T42" i="38"/>
  <c r="S43" i="38"/>
  <c r="T44" i="38"/>
  <c r="T58" i="38"/>
  <c r="S59" i="38"/>
  <c r="T60" i="38"/>
  <c r="T735" i="37"/>
  <c r="T800" i="37"/>
  <c r="S816" i="37"/>
  <c r="T830" i="37"/>
  <c r="T921" i="37"/>
  <c r="T937" i="37"/>
  <c r="S938" i="37"/>
  <c r="S969" i="37"/>
  <c r="S1029" i="37"/>
  <c r="T1076" i="37"/>
  <c r="S1106" i="37"/>
  <c r="S1137" i="37"/>
  <c r="T1198" i="37"/>
  <c r="T1244" i="37"/>
  <c r="S1276" i="37"/>
  <c r="T1277" i="37"/>
  <c r="S1291" i="37"/>
  <c r="T1296" i="37"/>
  <c r="S1307" i="37"/>
  <c r="S1323" i="37"/>
  <c r="S1339" i="37"/>
  <c r="S1355" i="37"/>
  <c r="S1385" i="37"/>
  <c r="T1386" i="37"/>
  <c r="S1401" i="37"/>
  <c r="T1495" i="37"/>
  <c r="T1496" i="37"/>
  <c r="T1511" i="37"/>
  <c r="T1512" i="37"/>
  <c r="T1527" i="37"/>
  <c r="T1528" i="37"/>
  <c r="T1543" i="37"/>
  <c r="T1544" i="37"/>
  <c r="T1559" i="37"/>
  <c r="T1560" i="37"/>
  <c r="T1575" i="37"/>
  <c r="T1576" i="37"/>
  <c r="T1591" i="37"/>
  <c r="T1592" i="37"/>
  <c r="T1607" i="37"/>
  <c r="T1608" i="37"/>
  <c r="T1623" i="37"/>
  <c r="T1624" i="37"/>
  <c r="S1639" i="37"/>
  <c r="T1640" i="37"/>
  <c r="T1656" i="37"/>
  <c r="T1672" i="37"/>
  <c r="T14" i="38"/>
  <c r="T30" i="38"/>
  <c r="T46" i="38"/>
  <c r="T62" i="38"/>
  <c r="T578" i="37"/>
  <c r="T579" i="37"/>
  <c r="T580" i="37"/>
  <c r="T594" i="37"/>
  <c r="T595" i="37"/>
  <c r="T596" i="37"/>
  <c r="T610" i="37"/>
  <c r="T611" i="37"/>
  <c r="T612" i="37"/>
  <c r="T626" i="37"/>
  <c r="T627" i="37"/>
  <c r="T628" i="37"/>
  <c r="T642" i="37"/>
  <c r="T643" i="37"/>
  <c r="T644" i="37"/>
  <c r="T658" i="37"/>
  <c r="T659" i="37"/>
  <c r="T660" i="37"/>
  <c r="T674" i="37"/>
  <c r="T675" i="37"/>
  <c r="T676" i="37"/>
  <c r="T690" i="37"/>
  <c r="T691" i="37"/>
  <c r="T692" i="37"/>
  <c r="T706" i="37"/>
  <c r="T707" i="37"/>
  <c r="T708" i="37"/>
  <c r="T816" i="37"/>
  <c r="S832" i="37"/>
  <c r="T847" i="37"/>
  <c r="T848" i="37"/>
  <c r="S849" i="37"/>
  <c r="S908" i="37"/>
  <c r="S909" i="37"/>
  <c r="S985" i="37"/>
  <c r="T1015" i="37"/>
  <c r="S1045" i="37"/>
  <c r="T1045" i="37"/>
  <c r="S1107" i="37"/>
  <c r="T1120" i="37"/>
  <c r="T1136" i="37"/>
  <c r="T1166" i="37"/>
  <c r="T1182" i="37"/>
  <c r="S1185" i="37"/>
  <c r="S1246" i="37"/>
  <c r="T1246" i="37"/>
  <c r="T1293" i="37"/>
  <c r="S1324" i="37"/>
  <c r="T1325" i="37"/>
  <c r="S1371" i="37"/>
  <c r="S1372" i="37"/>
  <c r="T1385" i="37"/>
  <c r="T1401" i="37"/>
  <c r="T1417" i="37"/>
  <c r="T1418" i="37"/>
  <c r="T1433" i="37"/>
  <c r="S1449" i="37"/>
  <c r="T1465" i="37"/>
  <c r="T1529" i="37"/>
  <c r="T1545" i="37"/>
  <c r="T1561" i="37"/>
  <c r="T1577" i="37"/>
  <c r="T1593" i="37"/>
  <c r="T1609" i="37"/>
  <c r="T1625" i="37"/>
  <c r="T1639" i="37"/>
  <c r="T1641" i="37"/>
  <c r="T1655" i="37"/>
  <c r="T1657" i="37"/>
  <c r="T1671" i="37"/>
  <c r="T1673" i="37"/>
  <c r="T13" i="38"/>
  <c r="T15" i="38"/>
  <c r="T29" i="38"/>
  <c r="T31" i="38"/>
  <c r="T45" i="38"/>
  <c r="T47" i="38"/>
  <c r="T61" i="38"/>
  <c r="T63" i="38"/>
  <c r="T724" i="37"/>
  <c r="T725" i="37"/>
  <c r="T754" i="37"/>
  <c r="T832" i="37"/>
  <c r="T864" i="37"/>
  <c r="T893" i="37"/>
  <c r="T894" i="37"/>
  <c r="S895" i="37"/>
  <c r="S924" i="37"/>
  <c r="S925" i="37"/>
  <c r="S941" i="37"/>
  <c r="T969" i="37"/>
  <c r="S1001" i="37"/>
  <c r="T1062" i="37"/>
  <c r="T1091" i="37"/>
  <c r="S1092" i="37"/>
  <c r="T1093" i="37"/>
  <c r="T1106" i="37"/>
  <c r="T1137" i="37"/>
  <c r="S1139" i="37"/>
  <c r="T1152" i="37"/>
  <c r="T1184" i="37"/>
  <c r="T1186" i="37"/>
  <c r="T1200" i="37"/>
  <c r="S1217" i="37"/>
  <c r="T1230" i="37"/>
  <c r="S1232" i="37"/>
  <c r="T1232" i="37"/>
  <c r="S1278" i="37"/>
  <c r="T1278" i="37"/>
  <c r="T1324" i="37"/>
  <c r="S1325" i="37"/>
  <c r="S1403" i="37"/>
  <c r="S1404" i="37"/>
  <c r="T1419" i="37"/>
  <c r="T1449" i="37"/>
  <c r="T1481" i="37"/>
  <c r="T1497" i="37"/>
  <c r="T1498" i="37"/>
  <c r="T1513" i="37"/>
  <c r="T1514" i="37"/>
  <c r="T1530" i="37"/>
  <c r="T1546" i="37"/>
  <c r="T1562" i="37"/>
  <c r="T1578" i="37"/>
  <c r="T1594" i="37"/>
  <c r="T1610" i="37"/>
  <c r="T1626" i="37"/>
  <c r="T1642" i="37"/>
  <c r="T1658" i="37"/>
  <c r="T1674" i="37"/>
  <c r="T16" i="38"/>
  <c r="T32" i="38"/>
  <c r="T48" i="38"/>
  <c r="S63" i="38"/>
  <c r="T64" i="38"/>
  <c r="S613" i="37"/>
  <c r="T614" i="37"/>
  <c r="T629" i="37"/>
  <c r="T630" i="37"/>
  <c r="T645" i="37"/>
  <c r="T646" i="37"/>
  <c r="T661" i="37"/>
  <c r="T662" i="37"/>
  <c r="T677" i="37"/>
  <c r="T678" i="37"/>
  <c r="T693" i="37"/>
  <c r="T694" i="37"/>
  <c r="T709" i="37"/>
  <c r="T710" i="37"/>
  <c r="S741" i="37"/>
  <c r="T757" i="37"/>
  <c r="T773" i="37"/>
  <c r="T849" i="37"/>
  <c r="T850" i="37"/>
  <c r="T851" i="37"/>
  <c r="T880" i="37"/>
  <c r="T909" i="37"/>
  <c r="T910" i="37"/>
  <c r="S911" i="37"/>
  <c r="T985" i="37"/>
  <c r="S986" i="37"/>
  <c r="T1061" i="37"/>
  <c r="S1108" i="37"/>
  <c r="T1140" i="37"/>
  <c r="S1155" i="37"/>
  <c r="T1216" i="37"/>
  <c r="T1262" i="37"/>
  <c r="T1372" i="37"/>
  <c r="T1405" i="37"/>
  <c r="S1419" i="37"/>
  <c r="T1424" i="37"/>
  <c r="S1435" i="37"/>
  <c r="S1451" i="37"/>
  <c r="S1452" i="37"/>
  <c r="S1467" i="37"/>
  <c r="T1499" i="37"/>
  <c r="T1515" i="37"/>
  <c r="T1531" i="37"/>
  <c r="T1547" i="37"/>
  <c r="T1563" i="37"/>
  <c r="T1579" i="37"/>
  <c r="T1595" i="37"/>
  <c r="T1611" i="37"/>
  <c r="T1627" i="37"/>
  <c r="T1643" i="37"/>
  <c r="T1659" i="37"/>
  <c r="T1675" i="37"/>
  <c r="T17" i="38"/>
  <c r="T33" i="38"/>
  <c r="T49" i="38"/>
  <c r="T65" i="38"/>
  <c r="T926" i="37"/>
  <c r="T941" i="37"/>
  <c r="S943" i="37"/>
  <c r="S972" i="37"/>
  <c r="T1001" i="37"/>
  <c r="S1032" i="37"/>
  <c r="T1048" i="37"/>
  <c r="T1080" i="37"/>
  <c r="S1124" i="37"/>
  <c r="T1204" i="37"/>
  <c r="T1217" i="37"/>
  <c r="T1234" i="37"/>
  <c r="T1265" i="37"/>
  <c r="T1326" i="37"/>
  <c r="T1342" i="37"/>
  <c r="S1374" i="37"/>
  <c r="T1421" i="37"/>
  <c r="T1453" i="37"/>
  <c r="S1499" i="37"/>
  <c r="S1500" i="37"/>
  <c r="S1515" i="37"/>
  <c r="S1516" i="37"/>
  <c r="S1531" i="37"/>
  <c r="S1532" i="37"/>
  <c r="S1547" i="37"/>
  <c r="S1548" i="37"/>
  <c r="S1563" i="37"/>
  <c r="S1564" i="37"/>
  <c r="S1579" i="37"/>
  <c r="S1580" i="37"/>
  <c r="S1595" i="37"/>
  <c r="S1596" i="37"/>
  <c r="S1611" i="37"/>
  <c r="S1612" i="37"/>
  <c r="S1627" i="37"/>
  <c r="S1628" i="37"/>
  <c r="S1643" i="37"/>
  <c r="S1644" i="37"/>
  <c r="S1659" i="37"/>
  <c r="S1660" i="37"/>
  <c r="S1675" i="37"/>
  <c r="S2" i="38"/>
  <c r="S17" i="38"/>
  <c r="S18" i="38"/>
  <c r="S33" i="38"/>
  <c r="S34" i="38"/>
  <c r="S49" i="38"/>
  <c r="S50" i="38"/>
  <c r="S65" i="38"/>
  <c r="S66" i="38"/>
  <c r="S663" i="37"/>
  <c r="S664" i="37"/>
  <c r="S679" i="37"/>
  <c r="S680" i="37"/>
  <c r="S695" i="37"/>
  <c r="S696" i="37"/>
  <c r="S711" i="37"/>
  <c r="S727" i="37"/>
  <c r="T741" i="37"/>
  <c r="T743" i="37"/>
  <c r="S821" i="37"/>
  <c r="T911" i="37"/>
  <c r="T912" i="37"/>
  <c r="S913" i="37"/>
  <c r="T958" i="37"/>
  <c r="S959" i="37"/>
  <c r="S1018" i="37"/>
  <c r="T1155" i="37"/>
  <c r="S1172" i="37"/>
  <c r="T1187" i="37"/>
  <c r="S1188" i="37"/>
  <c r="T1248" i="37"/>
  <c r="T1264" i="37"/>
  <c r="T1310" i="37"/>
  <c r="T1313" i="37"/>
  <c r="T1345" i="37"/>
  <c r="T1358" i="37"/>
  <c r="S1360" i="37"/>
  <c r="S1406" i="37"/>
  <c r="T1452" i="37"/>
  <c r="S1453" i="37"/>
  <c r="T1485" i="37"/>
  <c r="T1501" i="37"/>
  <c r="T1517" i="37"/>
  <c r="T1533" i="37"/>
  <c r="T1549" i="37"/>
  <c r="T1565" i="37"/>
  <c r="T1581" i="37"/>
  <c r="T1597" i="37"/>
  <c r="T1613" i="37"/>
  <c r="T1629" i="37"/>
  <c r="T1645" i="37"/>
  <c r="T1661" i="37"/>
  <c r="T3" i="38"/>
  <c r="T19" i="38"/>
  <c r="T35" i="38"/>
  <c r="T51" i="38"/>
  <c r="T67" i="38"/>
  <c r="T712" i="37"/>
  <c r="T713" i="37"/>
  <c r="S728" i="37"/>
  <c r="S743" i="37"/>
  <c r="S853" i="37"/>
  <c r="T897" i="37"/>
  <c r="T928" i="37"/>
  <c r="T943" i="37"/>
  <c r="T944" i="37"/>
  <c r="S975" i="37"/>
  <c r="T1018" i="37"/>
  <c r="T1020" i="37"/>
  <c r="S1049" i="37"/>
  <c r="T1081" i="37"/>
  <c r="S1189" i="37"/>
  <c r="T1219" i="37"/>
  <c r="S1220" i="37"/>
  <c r="T1280" i="37"/>
  <c r="T1312" i="37"/>
  <c r="T1314" i="37"/>
  <c r="T1344" i="37"/>
  <c r="T1390" i="37"/>
  <c r="S1485" i="37"/>
  <c r="T1500" i="37"/>
  <c r="S1501" i="37"/>
  <c r="T1516" i="37"/>
  <c r="S1517" i="37"/>
  <c r="T1518" i="37"/>
  <c r="T1532" i="37"/>
  <c r="S1533" i="37"/>
  <c r="T1534" i="37"/>
  <c r="T1548" i="37"/>
  <c r="S1549" i="37"/>
  <c r="T1550" i="37"/>
  <c r="T1564" i="37"/>
  <c r="S1565" i="37"/>
  <c r="T1566" i="37"/>
  <c r="T1580" i="37"/>
  <c r="S1581" i="37"/>
  <c r="T1582" i="37"/>
  <c r="T1596" i="37"/>
  <c r="S1597" i="37"/>
  <c r="T1598" i="37"/>
  <c r="T1612" i="37"/>
  <c r="S1613" i="37"/>
  <c r="T1628" i="37"/>
  <c r="S1629" i="37"/>
  <c r="S1645" i="37"/>
  <c r="S1661" i="37"/>
  <c r="S3" i="38"/>
  <c r="S19" i="38"/>
  <c r="S35" i="38"/>
  <c r="S51" i="38"/>
  <c r="S67" i="38"/>
  <c r="T569" i="37"/>
  <c r="S570" i="37"/>
  <c r="T584" i="37"/>
  <c r="T585" i="37"/>
  <c r="S586" i="37"/>
  <c r="T600" i="37"/>
  <c r="T601" i="37"/>
  <c r="S602" i="37"/>
  <c r="T616" i="37"/>
  <c r="T617" i="37"/>
  <c r="S618" i="37"/>
  <c r="T632" i="37"/>
  <c r="T633" i="37"/>
  <c r="S634" i="37"/>
  <c r="T648" i="37"/>
  <c r="T649" i="37"/>
  <c r="S650" i="37"/>
  <c r="T664" i="37"/>
  <c r="T665" i="37"/>
  <c r="S666" i="37"/>
  <c r="T680" i="37"/>
  <c r="T681" i="37"/>
  <c r="S682" i="37"/>
  <c r="T696" i="37"/>
  <c r="T697" i="37"/>
  <c r="S698" i="37"/>
  <c r="T714" i="37"/>
  <c r="S729" i="37"/>
  <c r="T729" i="37"/>
  <c r="T839" i="37"/>
  <c r="S869" i="37"/>
  <c r="T869" i="37"/>
  <c r="T884" i="37"/>
  <c r="T960" i="37"/>
  <c r="T1049" i="37"/>
  <c r="S1050" i="37"/>
  <c r="T1065" i="37"/>
  <c r="S1066" i="37"/>
  <c r="T1097" i="37"/>
  <c r="S1127" i="37"/>
  <c r="T1128" i="37"/>
  <c r="T1173" i="37"/>
  <c r="T1175" i="37"/>
  <c r="S1267" i="37"/>
  <c r="T1268" i="37"/>
  <c r="T1362" i="37"/>
  <c r="T1393" i="37"/>
  <c r="T1422" i="37"/>
  <c r="T1438" i="37"/>
  <c r="T1454" i="37"/>
  <c r="T1470" i="37"/>
  <c r="S1486" i="37"/>
  <c r="T1487" i="37"/>
  <c r="S1502" i="37"/>
  <c r="T1503" i="37"/>
  <c r="S1518" i="37"/>
  <c r="T1519" i="37"/>
  <c r="S1534" i="37"/>
  <c r="T1535" i="37"/>
  <c r="S1550" i="37"/>
  <c r="T1551" i="37"/>
  <c r="S1566" i="37"/>
  <c r="T1567" i="37"/>
  <c r="S1582" i="37"/>
  <c r="T1583" i="37"/>
  <c r="S1598" i="37"/>
  <c r="T1599" i="37"/>
  <c r="T1614" i="37"/>
  <c r="T1615" i="37"/>
  <c r="T1630" i="37"/>
  <c r="T1631" i="37"/>
  <c r="T1646" i="37"/>
  <c r="T1647" i="37"/>
  <c r="T1662" i="37"/>
  <c r="T1663" i="37"/>
  <c r="T4" i="38"/>
  <c r="T5" i="38"/>
  <c r="T20" i="38"/>
  <c r="T21" i="38"/>
  <c r="T36" i="38"/>
  <c r="T37" i="38"/>
  <c r="S52" i="38"/>
  <c r="T53" i="38"/>
  <c r="S68" i="38"/>
  <c r="T69" i="38"/>
  <c r="T523" i="37"/>
  <c r="T539" i="37"/>
  <c r="T555" i="37"/>
  <c r="T571" i="37"/>
  <c r="T587" i="37"/>
  <c r="T603" i="37"/>
  <c r="T619" i="37"/>
  <c r="T635" i="37"/>
  <c r="T651" i="37"/>
  <c r="T667" i="37"/>
  <c r="T683" i="37"/>
  <c r="T699" i="37"/>
  <c r="S715" i="37"/>
  <c r="S777" i="37"/>
  <c r="S793" i="37"/>
  <c r="T837" i="37"/>
  <c r="S885" i="37"/>
  <c r="T975" i="37"/>
  <c r="T976" i="37"/>
  <c r="S977" i="37"/>
  <c r="S1036" i="37"/>
  <c r="T1037" i="37"/>
  <c r="T1052" i="37"/>
  <c r="T1078" i="37"/>
  <c r="S1083" i="37"/>
  <c r="T1113" i="37"/>
  <c r="T1114" i="37"/>
  <c r="S1159" i="37"/>
  <c r="S1207" i="37"/>
  <c r="T1208" i="37"/>
  <c r="S1252" i="37"/>
  <c r="S1283" i="37"/>
  <c r="T1332" i="37"/>
  <c r="T1376" i="37"/>
  <c r="T1392" i="37"/>
  <c r="T1441" i="37"/>
  <c r="S1472" i="37"/>
  <c r="T1486" i="37"/>
  <c r="T1502" i="37"/>
  <c r="S1519" i="37"/>
  <c r="S1535" i="37"/>
  <c r="S1551" i="37"/>
  <c r="S1567" i="37"/>
  <c r="S1583" i="37"/>
  <c r="S1599" i="37"/>
  <c r="S1615" i="37"/>
  <c r="S1631" i="37"/>
  <c r="S1647" i="37"/>
  <c r="S1663" i="37"/>
  <c r="S5" i="38"/>
  <c r="S21" i="38"/>
  <c r="S37" i="38"/>
  <c r="T52" i="38"/>
  <c r="S53" i="38"/>
  <c r="T68" i="38"/>
  <c r="S69" i="38"/>
  <c r="T70" i="38"/>
  <c r="T618" i="37"/>
  <c r="S619" i="37"/>
  <c r="T620" i="37"/>
  <c r="T634" i="37"/>
  <c r="S635" i="37"/>
  <c r="T636" i="37"/>
  <c r="T650" i="37"/>
  <c r="S651" i="37"/>
  <c r="T652" i="37"/>
  <c r="T666" i="37"/>
  <c r="S667" i="37"/>
  <c r="T668" i="37"/>
  <c r="T682" i="37"/>
  <c r="S683" i="37"/>
  <c r="T684" i="37"/>
  <c r="T698" i="37"/>
  <c r="S699" i="37"/>
  <c r="T700" i="37"/>
  <c r="T716" i="37"/>
  <c r="T730" i="37"/>
  <c r="S746" i="37"/>
  <c r="S762" i="37"/>
  <c r="S778" i="37"/>
  <c r="T795" i="37"/>
  <c r="S824" i="37"/>
  <c r="S825" i="37"/>
  <c r="S840" i="37"/>
  <c r="S841" i="37"/>
  <c r="S901" i="37"/>
  <c r="T901" i="37"/>
  <c r="T961" i="37"/>
  <c r="T962" i="37"/>
  <c r="T963" i="37"/>
  <c r="T992" i="37"/>
  <c r="S1023" i="37"/>
  <c r="S1052" i="37"/>
  <c r="T1053" i="37"/>
  <c r="T1069" i="37"/>
  <c r="S1099" i="37"/>
  <c r="T1129" i="37"/>
  <c r="T1130" i="37"/>
  <c r="T1145" i="37"/>
  <c r="T1283" i="37"/>
  <c r="S1300" i="37"/>
  <c r="T1315" i="37"/>
  <c r="S1316" i="37"/>
  <c r="T1347" i="37"/>
  <c r="S1348" i="37"/>
  <c r="T1408" i="37"/>
  <c r="T1440" i="37"/>
  <c r="T1442" i="37"/>
  <c r="S1488" i="37"/>
  <c r="T1489" i="37"/>
  <c r="S1504" i="37"/>
  <c r="T1505" i="37"/>
  <c r="S1520" i="37"/>
  <c r="T1521" i="37"/>
  <c r="S1536" i="37"/>
  <c r="T1537" i="37"/>
  <c r="S1552" i="37"/>
  <c r="T1553" i="37"/>
  <c r="S1568" i="37"/>
  <c r="T1569" i="37"/>
  <c r="S1584" i="37"/>
  <c r="T1585" i="37"/>
  <c r="S1600" i="37"/>
  <c r="T1601" i="37"/>
  <c r="S1616" i="37"/>
  <c r="T1617" i="37"/>
  <c r="S1632" i="37"/>
  <c r="T1633" i="37"/>
  <c r="S1648" i="37"/>
  <c r="T1649" i="37"/>
  <c r="S1664" i="37"/>
  <c r="T1665" i="37"/>
  <c r="S6" i="38"/>
  <c r="T7" i="38"/>
  <c r="S22" i="38"/>
  <c r="T23" i="38"/>
  <c r="S38" i="38"/>
  <c r="T39" i="38"/>
  <c r="S54" i="38"/>
  <c r="T55" i="38"/>
  <c r="T71" i="38"/>
  <c r="T15" i="36"/>
  <c r="T31" i="36"/>
  <c r="T47" i="36"/>
  <c r="T63" i="36"/>
  <c r="T79" i="36"/>
  <c r="T95" i="36"/>
  <c r="T111" i="36"/>
  <c r="T127" i="36"/>
  <c r="T143" i="36"/>
  <c r="S154" i="36"/>
  <c r="T159" i="36"/>
  <c r="T170" i="36"/>
  <c r="S176" i="36"/>
  <c r="S195" i="36"/>
  <c r="S204" i="36"/>
  <c r="S223" i="36"/>
  <c r="S246" i="36"/>
  <c r="T273" i="36"/>
  <c r="T412" i="36"/>
  <c r="S412" i="36"/>
  <c r="T467" i="36"/>
  <c r="T3" i="36"/>
  <c r="T196" i="36"/>
  <c r="T204" i="36"/>
  <c r="T213" i="36"/>
  <c r="S234" i="36"/>
  <c r="T235" i="36"/>
  <c r="T260" i="36"/>
  <c r="T286" i="36"/>
  <c r="S286" i="36"/>
  <c r="S298" i="36"/>
  <c r="T299" i="36"/>
  <c r="T313" i="36"/>
  <c r="S355" i="36"/>
  <c r="T356" i="36"/>
  <c r="T370" i="36"/>
  <c r="T383" i="36"/>
  <c r="S384" i="36"/>
  <c r="T398" i="36"/>
  <c r="S399" i="36"/>
  <c r="T413" i="36"/>
  <c r="S426" i="36"/>
  <c r="T427" i="36"/>
  <c r="T439" i="36"/>
  <c r="T441" i="36"/>
  <c r="S470" i="36"/>
  <c r="S483" i="36"/>
  <c r="T484" i="36"/>
  <c r="S16" i="36"/>
  <c r="S32" i="36"/>
  <c r="S48" i="36"/>
  <c r="S64" i="36"/>
  <c r="S80" i="36"/>
  <c r="S96" i="36"/>
  <c r="S112" i="36"/>
  <c r="S128" i="36"/>
  <c r="S144" i="36"/>
  <c r="S160" i="36"/>
  <c r="S171" i="36"/>
  <c r="T189" i="36"/>
  <c r="S189" i="36"/>
  <c r="T205" i="36"/>
  <c r="T236" i="36"/>
  <c r="S236" i="36"/>
  <c r="T247" i="36"/>
  <c r="S248" i="36"/>
  <c r="T261" i="36"/>
  <c r="T274" i="36"/>
  <c r="S287" i="36"/>
  <c r="T300" i="36"/>
  <c r="S300" i="36"/>
  <c r="T314" i="36"/>
  <c r="T327" i="36"/>
  <c r="S385" i="36"/>
  <c r="T428" i="36"/>
  <c r="S428" i="36"/>
  <c r="T440" i="36"/>
  <c r="S455" i="36"/>
  <c r="T483" i="36"/>
  <c r="T485" i="36"/>
  <c r="S177" i="36"/>
  <c r="S197" i="36"/>
  <c r="S214" i="36"/>
  <c r="S224" i="36"/>
  <c r="T225" i="36"/>
  <c r="T237" i="36"/>
  <c r="T249" i="36"/>
  <c r="S249" i="36"/>
  <c r="T301" i="36"/>
  <c r="S314" i="36"/>
  <c r="T315" i="36"/>
  <c r="T329" i="36"/>
  <c r="T399" i="36"/>
  <c r="S400" i="36"/>
  <c r="T414" i="36"/>
  <c r="S415" i="36"/>
  <c r="T429" i="36"/>
  <c r="S442" i="36"/>
  <c r="T443" i="36"/>
  <c r="T455" i="36"/>
  <c r="T457" i="36"/>
  <c r="S206" i="36"/>
  <c r="T316" i="36"/>
  <c r="S316" i="36"/>
  <c r="T328" i="36"/>
  <c r="T343" i="36"/>
  <c r="S344" i="36"/>
  <c r="S401" i="36"/>
  <c r="T416" i="36"/>
  <c r="T444" i="36"/>
  <c r="S444" i="36"/>
  <c r="T456" i="36"/>
  <c r="S471" i="36"/>
  <c r="S472" i="36"/>
  <c r="S17" i="36"/>
  <c r="S33" i="36"/>
  <c r="S49" i="36"/>
  <c r="S65" i="36"/>
  <c r="S81" i="36"/>
  <c r="S97" i="36"/>
  <c r="S113" i="36"/>
  <c r="S129" i="36"/>
  <c r="S145" i="36"/>
  <c r="S161" i="36"/>
  <c r="S172" i="36"/>
  <c r="T215" i="36"/>
  <c r="S216" i="36"/>
  <c r="T226" i="36"/>
  <c r="T238" i="36"/>
  <c r="S238" i="36"/>
  <c r="S250" i="36"/>
  <c r="T251" i="36"/>
  <c r="T276" i="36"/>
  <c r="T302" i="36"/>
  <c r="S303" i="36"/>
  <c r="T317" i="36"/>
  <c r="S330" i="36"/>
  <c r="T331" i="36"/>
  <c r="T345" i="36"/>
  <c r="S374" i="36"/>
  <c r="S387" i="36"/>
  <c r="T402" i="36"/>
  <c r="T415" i="36"/>
  <c r="S416" i="36"/>
  <c r="T430" i="36"/>
  <c r="S431" i="36"/>
  <c r="T445" i="36"/>
  <c r="S458" i="36"/>
  <c r="T459" i="36"/>
  <c r="T471" i="36"/>
  <c r="T473" i="36"/>
  <c r="S12" i="36"/>
  <c r="S28" i="36"/>
  <c r="S44" i="36"/>
  <c r="S60" i="36"/>
  <c r="S76" i="36"/>
  <c r="S92" i="36"/>
  <c r="S108" i="36"/>
  <c r="S184" i="36"/>
  <c r="S191" i="36"/>
  <c r="S198" i="36"/>
  <c r="S207" i="36"/>
  <c r="S239" i="36"/>
  <c r="T252" i="36"/>
  <c r="S252" i="36"/>
  <c r="T263" i="36"/>
  <c r="S264" i="36"/>
  <c r="T277" i="36"/>
  <c r="T290" i="36"/>
  <c r="T332" i="36"/>
  <c r="S332" i="36"/>
  <c r="T344" i="36"/>
  <c r="S360" i="36"/>
  <c r="S417" i="36"/>
  <c r="T460" i="36"/>
  <c r="S460" i="36"/>
  <c r="T472" i="36"/>
  <c r="S487" i="36"/>
  <c r="T173" i="36"/>
  <c r="T191" i="36"/>
  <c r="T216" i="36"/>
  <c r="S217" i="36"/>
  <c r="S227" i="36"/>
  <c r="T253" i="36"/>
  <c r="T265" i="36"/>
  <c r="S265" i="36"/>
  <c r="T303" i="36"/>
  <c r="S304" i="36"/>
  <c r="T305" i="36"/>
  <c r="T318" i="36"/>
  <c r="S319" i="36"/>
  <c r="T333" i="36"/>
  <c r="S346" i="36"/>
  <c r="T347" i="36"/>
  <c r="T361" i="36"/>
  <c r="T431" i="36"/>
  <c r="T446" i="36"/>
  <c r="S199" i="36"/>
  <c r="T228" i="36"/>
  <c r="S228" i="36"/>
  <c r="T348" i="36"/>
  <c r="S348" i="36"/>
  <c r="T375" i="36"/>
  <c r="S433" i="36"/>
  <c r="T476" i="36"/>
  <c r="S476" i="36"/>
  <c r="S13" i="36"/>
  <c r="S29" i="36"/>
  <c r="S45" i="36"/>
  <c r="S61" i="36"/>
  <c r="S77" i="36"/>
  <c r="S93" i="36"/>
  <c r="S109" i="36"/>
  <c r="S125" i="36"/>
  <c r="S141" i="36"/>
  <c r="S157" i="36"/>
  <c r="S168" i="36"/>
  <c r="S185" i="36"/>
  <c r="T192" i="36"/>
  <c r="S192" i="36"/>
  <c r="T208" i="36"/>
  <c r="S208" i="36"/>
  <c r="T229" i="36"/>
  <c r="S229" i="36"/>
  <c r="T254" i="36"/>
  <c r="S254" i="36"/>
  <c r="S266" i="36"/>
  <c r="T267" i="36"/>
  <c r="T292" i="36"/>
  <c r="T306" i="36"/>
  <c r="T319" i="36"/>
  <c r="S320" i="36"/>
  <c r="T321" i="36"/>
  <c r="T334" i="36"/>
  <c r="S335" i="36"/>
  <c r="T349" i="36"/>
  <c r="S362" i="36"/>
  <c r="T363" i="36"/>
  <c r="T377" i="36"/>
  <c r="S419" i="36"/>
  <c r="T434" i="36"/>
  <c r="T447" i="36"/>
  <c r="T462" i="36"/>
  <c r="S463" i="36"/>
  <c r="S24" i="36"/>
  <c r="S40" i="36"/>
  <c r="S56" i="36"/>
  <c r="S72" i="36"/>
  <c r="S88" i="36"/>
  <c r="S104" i="36"/>
  <c r="S120" i="36"/>
  <c r="S136" i="36"/>
  <c r="S152" i="36"/>
  <c r="S200" i="36"/>
  <c r="T209" i="36"/>
  <c r="T219" i="36"/>
  <c r="S219" i="36"/>
  <c r="T242" i="36"/>
  <c r="S255" i="36"/>
  <c r="T268" i="36"/>
  <c r="S268" i="36"/>
  <c r="T279" i="36"/>
  <c r="T364" i="36"/>
  <c r="S364" i="36"/>
  <c r="T378" i="36"/>
  <c r="T391" i="36"/>
  <c r="S434" i="36"/>
  <c r="S449" i="36"/>
  <c r="S8" i="36"/>
  <c r="S131" i="36"/>
  <c r="S147" i="36"/>
  <c r="S163" i="36"/>
  <c r="T186" i="36"/>
  <c r="S193" i="36"/>
  <c r="T201" i="36"/>
  <c r="T220" i="36"/>
  <c r="S220" i="36"/>
  <c r="S230" i="36"/>
  <c r="T269" i="36"/>
  <c r="T281" i="36"/>
  <c r="S281" i="36"/>
  <c r="S307" i="36"/>
  <c r="T308" i="36"/>
  <c r="T322" i="36"/>
  <c r="T335" i="36"/>
  <c r="S336" i="36"/>
  <c r="T337" i="36"/>
  <c r="T350" i="36"/>
  <c r="S351" i="36"/>
  <c r="T365" i="36"/>
  <c r="S378" i="36"/>
  <c r="T379" i="36"/>
  <c r="T393" i="36"/>
  <c r="S435" i="36"/>
  <c r="T436" i="36"/>
  <c r="T450" i="36"/>
  <c r="T463" i="36"/>
  <c r="T200" i="36"/>
  <c r="T210" i="36"/>
  <c r="T221" i="36"/>
  <c r="T255" i="36"/>
  <c r="T257" i="36"/>
  <c r="S294" i="36"/>
  <c r="T380" i="36"/>
  <c r="S380" i="36"/>
  <c r="T392" i="36"/>
  <c r="S407" i="36"/>
  <c r="S408" i="36"/>
  <c r="S450" i="36"/>
  <c r="S465" i="36"/>
  <c r="S9" i="36"/>
  <c r="S25" i="36"/>
  <c r="S41" i="36"/>
  <c r="S57" i="36"/>
  <c r="S73" i="36"/>
  <c r="S89" i="36"/>
  <c r="S105" i="36"/>
  <c r="S121" i="36"/>
  <c r="S187" i="36"/>
  <c r="T194" i="36"/>
  <c r="T202" i="36"/>
  <c r="T231" i="36"/>
  <c r="S232" i="36"/>
  <c r="T244" i="36"/>
  <c r="T270" i="36"/>
  <c r="S270" i="36"/>
  <c r="S282" i="36"/>
  <c r="T283" i="36"/>
  <c r="S323" i="36"/>
  <c r="T324" i="36"/>
  <c r="T338" i="36"/>
  <c r="T351" i="36"/>
  <c r="S352" i="36"/>
  <c r="T353" i="36"/>
  <c r="T366" i="36"/>
  <c r="S367" i="36"/>
  <c r="T381" i="36"/>
  <c r="S394" i="36"/>
  <c r="T395" i="36"/>
  <c r="T407" i="36"/>
  <c r="T409" i="36"/>
  <c r="S438" i="36"/>
  <c r="S451" i="36"/>
  <c r="T452" i="36"/>
  <c r="T466" i="36"/>
  <c r="T479" i="36"/>
  <c r="S480" i="36"/>
  <c r="S181" i="36"/>
  <c r="S211" i="36"/>
  <c r="S222" i="36"/>
  <c r="T245" i="36"/>
  <c r="T258" i="36"/>
  <c r="S271" i="36"/>
  <c r="T284" i="36"/>
  <c r="S284" i="36"/>
  <c r="T295" i="36"/>
  <c r="S296" i="36"/>
  <c r="T396" i="36"/>
  <c r="S396" i="36"/>
  <c r="T408" i="36"/>
  <c r="S423" i="36"/>
  <c r="S424" i="36"/>
  <c r="T451" i="36"/>
  <c r="S466" i="36"/>
  <c r="S481" i="36"/>
  <c r="T181" i="36"/>
  <c r="T203" i="36"/>
  <c r="S203" i="36"/>
  <c r="T212" i="36"/>
  <c r="S212" i="36"/>
  <c r="T232" i="36"/>
  <c r="S233" i="36"/>
  <c r="T285" i="36"/>
  <c r="T297" i="36"/>
  <c r="S297" i="36"/>
  <c r="S339" i="36"/>
  <c r="T340" i="36"/>
  <c r="T354" i="36"/>
  <c r="T367" i="36"/>
  <c r="S368" i="36"/>
  <c r="T369" i="36"/>
  <c r="T382" i="36"/>
  <c r="S383" i="36"/>
  <c r="T397" i="36"/>
  <c r="S410" i="36"/>
  <c r="T411" i="36"/>
  <c r="T423" i="36"/>
  <c r="T425" i="36"/>
  <c r="S454" i="36"/>
  <c r="S467" i="36"/>
  <c r="T468" i="36"/>
  <c r="T482" i="36"/>
  <c r="T224" i="36"/>
  <c r="S235" i="36"/>
  <c r="T240" i="36"/>
  <c r="S251" i="36"/>
  <c r="T256" i="36"/>
  <c r="S267" i="36"/>
  <c r="T272" i="36"/>
  <c r="S283" i="36"/>
  <c r="T288" i="36"/>
  <c r="S299" i="36"/>
  <c r="T304" i="36"/>
  <c r="S315" i="36"/>
  <c r="T320" i="36"/>
  <c r="S331" i="36"/>
  <c r="T336" i="36"/>
  <c r="S347" i="36"/>
  <c r="T352" i="36"/>
  <c r="S363" i="36"/>
  <c r="T368" i="36"/>
  <c r="S379" i="36"/>
  <c r="T384" i="36"/>
  <c r="S395" i="36"/>
  <c r="T400" i="36"/>
  <c r="S411" i="36"/>
  <c r="S427" i="36"/>
  <c r="T432" i="36"/>
  <c r="S443" i="36"/>
  <c r="T448" i="36"/>
  <c r="S459" i="36"/>
  <c r="T464" i="36"/>
  <c r="S475" i="36"/>
  <c r="T480" i="36"/>
  <c r="S491" i="36"/>
  <c r="T496" i="36"/>
  <c r="S507" i="36"/>
  <c r="S523" i="36"/>
  <c r="S539" i="36"/>
  <c r="S555" i="36"/>
  <c r="S571" i="36"/>
  <c r="S587" i="36"/>
  <c r="S603" i="36"/>
  <c r="T608" i="36"/>
  <c r="S619" i="36"/>
  <c r="T624" i="36"/>
  <c r="S635" i="36"/>
  <c r="T640" i="36"/>
  <c r="S651" i="36"/>
  <c r="T656" i="36"/>
  <c r="S667" i="36"/>
  <c r="T672" i="36"/>
  <c r="S683" i="36"/>
  <c r="T688" i="36"/>
  <c r="S699" i="36"/>
  <c r="T704" i="36"/>
  <c r="S715" i="36"/>
  <c r="T720" i="36"/>
  <c r="S731" i="36"/>
  <c r="T736" i="36"/>
  <c r="T752" i="36"/>
  <c r="T768" i="36"/>
  <c r="T784" i="36"/>
  <c r="T800" i="36"/>
  <c r="T824" i="36"/>
  <c r="S824" i="36"/>
  <c r="T834" i="36"/>
  <c r="T848" i="36"/>
  <c r="S825" i="36"/>
  <c r="T835" i="36"/>
  <c r="T836" i="36"/>
  <c r="S836" i="36"/>
  <c r="S848" i="36"/>
  <c r="S497" i="36"/>
  <c r="S513" i="36"/>
  <c r="S529" i="36"/>
  <c r="S545" i="36"/>
  <c r="S561" i="36"/>
  <c r="S577" i="36"/>
  <c r="S593" i="36"/>
  <c r="S609" i="36"/>
  <c r="S625" i="36"/>
  <c r="S641" i="36"/>
  <c r="S657" i="36"/>
  <c r="S673" i="36"/>
  <c r="S689" i="36"/>
  <c r="S705" i="36"/>
  <c r="S721" i="36"/>
  <c r="S737" i="36"/>
  <c r="S492" i="36"/>
  <c r="S508" i="36"/>
  <c r="S524" i="36"/>
  <c r="S540" i="36"/>
  <c r="S556" i="36"/>
  <c r="S572" i="36"/>
  <c r="S588" i="36"/>
  <c r="S604" i="36"/>
  <c r="S620" i="36"/>
  <c r="S636" i="36"/>
  <c r="S652" i="36"/>
  <c r="S668" i="36"/>
  <c r="S684" i="36"/>
  <c r="S700" i="36"/>
  <c r="S716" i="36"/>
  <c r="S732" i="36"/>
  <c r="S748" i="36"/>
  <c r="S764" i="36"/>
  <c r="S780" i="36"/>
  <c r="S796" i="36"/>
  <c r="S812" i="36"/>
  <c r="T826" i="36"/>
  <c r="S215" i="36"/>
  <c r="S231" i="36"/>
  <c r="S247" i="36"/>
  <c r="S263" i="36"/>
  <c r="S279" i="36"/>
  <c r="S295" i="36"/>
  <c r="S311" i="36"/>
  <c r="S327" i="36"/>
  <c r="S343" i="36"/>
  <c r="S359" i="36"/>
  <c r="S375" i="36"/>
  <c r="S391" i="36"/>
  <c r="S583" i="36"/>
  <c r="S599" i="36"/>
  <c r="S615" i="36"/>
  <c r="S631" i="36"/>
  <c r="T827" i="36"/>
  <c r="S827" i="36"/>
  <c r="S838" i="36"/>
  <c r="S850" i="36"/>
  <c r="S851" i="36"/>
  <c r="S210" i="36"/>
  <c r="S226" i="36"/>
  <c r="S242" i="36"/>
  <c r="S258" i="36"/>
  <c r="S274" i="36"/>
  <c r="S290" i="36"/>
  <c r="S306" i="36"/>
  <c r="S322" i="36"/>
  <c r="S338" i="36"/>
  <c r="S354" i="36"/>
  <c r="S370" i="36"/>
  <c r="S386" i="36"/>
  <c r="S594" i="36"/>
  <c r="S610" i="36"/>
  <c r="S626" i="36"/>
  <c r="S642" i="36"/>
  <c r="S658" i="36"/>
  <c r="S674" i="36"/>
  <c r="S690" i="36"/>
  <c r="T828" i="36"/>
  <c r="T839" i="36"/>
  <c r="S839" i="36"/>
  <c r="T850" i="36"/>
  <c r="S205" i="36"/>
  <c r="S221" i="36"/>
  <c r="S237" i="36"/>
  <c r="S253" i="36"/>
  <c r="S269" i="36"/>
  <c r="S285" i="36"/>
  <c r="S301" i="36"/>
  <c r="S317" i="36"/>
  <c r="S333" i="36"/>
  <c r="S349" i="36"/>
  <c r="S365" i="36"/>
  <c r="S381" i="36"/>
  <c r="S397" i="36"/>
  <c r="S413" i="36"/>
  <c r="S429" i="36"/>
  <c r="S445" i="36"/>
  <c r="S461" i="36"/>
  <c r="S477" i="36"/>
  <c r="S493" i="36"/>
  <c r="S509" i="36"/>
  <c r="S525" i="36"/>
  <c r="S541" i="36"/>
  <c r="S557" i="36"/>
  <c r="S573" i="36"/>
  <c r="S589" i="36"/>
  <c r="S605" i="36"/>
  <c r="S621" i="36"/>
  <c r="S637" i="36"/>
  <c r="S653" i="36"/>
  <c r="S669" i="36"/>
  <c r="S685" i="36"/>
  <c r="S701" i="36"/>
  <c r="S717" i="36"/>
  <c r="S733" i="36"/>
  <c r="S749" i="36"/>
  <c r="S765" i="36"/>
  <c r="S781" i="36"/>
  <c r="S797" i="36"/>
  <c r="S813" i="36"/>
  <c r="S819" i="36"/>
  <c r="T838" i="36"/>
  <c r="T840" i="36"/>
  <c r="T852" i="36"/>
  <c r="S852" i="36"/>
  <c r="S760" i="36"/>
  <c r="S808" i="36"/>
  <c r="T829" i="36"/>
  <c r="S841" i="36"/>
  <c r="T814" i="36"/>
  <c r="S829" i="36"/>
  <c r="T830" i="36"/>
  <c r="S853" i="36"/>
  <c r="S854" i="36"/>
  <c r="S302" i="36"/>
  <c r="S318" i="36"/>
  <c r="S334" i="36"/>
  <c r="S350" i="36"/>
  <c r="S366" i="36"/>
  <c r="S382" i="36"/>
  <c r="S398" i="36"/>
  <c r="S414" i="36"/>
  <c r="S430" i="36"/>
  <c r="S446" i="36"/>
  <c r="S462" i="36"/>
  <c r="S478" i="36"/>
  <c r="S494" i="36"/>
  <c r="S510" i="36"/>
  <c r="S526" i="36"/>
  <c r="S542" i="36"/>
  <c r="S558" i="36"/>
  <c r="S798" i="36"/>
  <c r="S814" i="36"/>
  <c r="S820" i="36"/>
  <c r="T831" i="36"/>
  <c r="S831" i="36"/>
  <c r="T853" i="36"/>
  <c r="T855" i="36"/>
  <c r="S855" i="36"/>
  <c r="S313" i="36"/>
  <c r="S329" i="36"/>
  <c r="S345" i="36"/>
  <c r="S361" i="36"/>
  <c r="S377" i="36"/>
  <c r="S393" i="36"/>
  <c r="S409" i="36"/>
  <c r="S425" i="36"/>
  <c r="S441" i="36"/>
  <c r="S457" i="36"/>
  <c r="S473" i="36"/>
  <c r="S489" i="36"/>
  <c r="S505" i="36"/>
  <c r="S521" i="36"/>
  <c r="S537" i="36"/>
  <c r="S553" i="36"/>
  <c r="S569" i="36"/>
  <c r="S585" i="36"/>
  <c r="S601" i="36"/>
  <c r="S617" i="36"/>
  <c r="S633" i="36"/>
  <c r="S649" i="36"/>
  <c r="S665" i="36"/>
  <c r="S681" i="36"/>
  <c r="S697" i="36"/>
  <c r="S713" i="36"/>
  <c r="S729" i="36"/>
  <c r="S745" i="36"/>
  <c r="S761" i="36"/>
  <c r="S777" i="36"/>
  <c r="S793" i="36"/>
  <c r="S809" i="36"/>
  <c r="T832" i="36"/>
  <c r="T843" i="36"/>
  <c r="S843" i="36"/>
  <c r="T854" i="36"/>
  <c r="T856" i="36"/>
  <c r="S244" i="36"/>
  <c r="S260" i="36"/>
  <c r="S276" i="36"/>
  <c r="S292" i="36"/>
  <c r="S308" i="36"/>
  <c r="S324" i="36"/>
  <c r="S340" i="36"/>
  <c r="S356" i="36"/>
  <c r="S372" i="36"/>
  <c r="S388" i="36"/>
  <c r="S404" i="36"/>
  <c r="S420" i="36"/>
  <c r="S436" i="36"/>
  <c r="S452" i="36"/>
  <c r="S468" i="36"/>
  <c r="S484" i="36"/>
  <c r="S500" i="36"/>
  <c r="S516" i="36"/>
  <c r="S532" i="36"/>
  <c r="S548" i="36"/>
  <c r="S564" i="36"/>
  <c r="S815" i="36"/>
  <c r="S857" i="36"/>
  <c r="S821" i="36"/>
  <c r="T821" i="36"/>
  <c r="T858" i="36"/>
  <c r="S538" i="36"/>
  <c r="S554" i="36"/>
  <c r="S570" i="36"/>
  <c r="S586" i="36"/>
  <c r="S602" i="36"/>
  <c r="S618" i="36"/>
  <c r="S634" i="36"/>
  <c r="S650" i="36"/>
  <c r="S666" i="36"/>
  <c r="S682" i="36"/>
  <c r="S698" i="36"/>
  <c r="S714" i="36"/>
  <c r="S730" i="36"/>
  <c r="S746" i="36"/>
  <c r="S762" i="36"/>
  <c r="S778" i="36"/>
  <c r="S794" i="36"/>
  <c r="S810" i="36"/>
  <c r="S822" i="36"/>
  <c r="T845" i="36"/>
  <c r="T857" i="36"/>
  <c r="T859" i="36"/>
  <c r="S245" i="36"/>
  <c r="S261" i="36"/>
  <c r="S277" i="36"/>
  <c r="S293" i="36"/>
  <c r="S309" i="36"/>
  <c r="S325" i="36"/>
  <c r="S341" i="36"/>
  <c r="S357" i="36"/>
  <c r="S373" i="36"/>
  <c r="S389" i="36"/>
  <c r="S405" i="36"/>
  <c r="S421" i="36"/>
  <c r="S437" i="36"/>
  <c r="S453" i="36"/>
  <c r="S469" i="36"/>
  <c r="S485" i="36"/>
  <c r="S501" i="36"/>
  <c r="S517" i="36"/>
  <c r="S533" i="36"/>
  <c r="S549" i="36"/>
  <c r="S565" i="36"/>
  <c r="S581" i="36"/>
  <c r="S597" i="36"/>
  <c r="S613" i="36"/>
  <c r="S629" i="36"/>
  <c r="S645" i="36"/>
  <c r="S661" i="36"/>
  <c r="S677" i="36"/>
  <c r="S693" i="36"/>
  <c r="S709" i="36"/>
  <c r="S725" i="36"/>
  <c r="S741" i="36"/>
  <c r="S757" i="36"/>
  <c r="S773" i="36"/>
  <c r="S789" i="36"/>
  <c r="S805" i="36"/>
  <c r="S816" i="36"/>
  <c r="S823" i="36"/>
  <c r="S845" i="36"/>
  <c r="T846" i="36"/>
  <c r="T822" i="36"/>
  <c r="T823" i="36"/>
  <c r="S834" i="36"/>
  <c r="S835" i="36"/>
  <c r="S846" i="36"/>
  <c r="T847" i="36"/>
  <c r="S847" i="36"/>
  <c r="T1030" i="36"/>
  <c r="S1041" i="36"/>
  <c r="T1046" i="36"/>
  <c r="S1057" i="36"/>
  <c r="T1062" i="36"/>
  <c r="S1073" i="36"/>
  <c r="T1078" i="36"/>
  <c r="S1089" i="36"/>
  <c r="T1094" i="36"/>
  <c r="S1105" i="36"/>
  <c r="T1110" i="36"/>
  <c r="S1121" i="36"/>
  <c r="T1126" i="36"/>
  <c r="S1137" i="36"/>
  <c r="T1142" i="36"/>
  <c r="S1153" i="36"/>
  <c r="T1158" i="36"/>
  <c r="S1169" i="36"/>
  <c r="S1185" i="36"/>
  <c r="S1201" i="36"/>
  <c r="S1217" i="36"/>
  <c r="S1233" i="36"/>
  <c r="S1249" i="36"/>
  <c r="S1265" i="36"/>
  <c r="S1281" i="36"/>
  <c r="S1297" i="36"/>
  <c r="T1302" i="36"/>
  <c r="S1313" i="36"/>
  <c r="T1318" i="36"/>
  <c r="S1329" i="36"/>
  <c r="T1334" i="36"/>
  <c r="S1345" i="36"/>
  <c r="T1350" i="36"/>
  <c r="S1361" i="36"/>
  <c r="T1366" i="36"/>
  <c r="S1377" i="36"/>
  <c r="T1382" i="36"/>
  <c r="S1393" i="36"/>
  <c r="S1409" i="36"/>
  <c r="T1414" i="36"/>
  <c r="S1425" i="36"/>
  <c r="T1430" i="36"/>
  <c r="T1441" i="36"/>
  <c r="T1461" i="36"/>
  <c r="S1461" i="36"/>
  <c r="T1473" i="36"/>
  <c r="S1473" i="36"/>
  <c r="S1020" i="36"/>
  <c r="S1260" i="36"/>
  <c r="S1276" i="36"/>
  <c r="S1292" i="36"/>
  <c r="S1308" i="36"/>
  <c r="S1324" i="36"/>
  <c r="S1340" i="36"/>
  <c r="S1356" i="36"/>
  <c r="S1372" i="36"/>
  <c r="S1388" i="36"/>
  <c r="S1404" i="36"/>
  <c r="S1420" i="36"/>
  <c r="S1436" i="36"/>
  <c r="T1450" i="36"/>
  <c r="S1462" i="36"/>
  <c r="S871" i="36"/>
  <c r="S887" i="36"/>
  <c r="S903" i="36"/>
  <c r="S919" i="36"/>
  <c r="S935" i="36"/>
  <c r="S951" i="36"/>
  <c r="S967" i="36"/>
  <c r="S983" i="36"/>
  <c r="S999" i="36"/>
  <c r="T1474" i="36"/>
  <c r="S1487" i="36"/>
  <c r="T1488" i="36"/>
  <c r="S994" i="36"/>
  <c r="S1010" i="36"/>
  <c r="S1026" i="36"/>
  <c r="S1042" i="36"/>
  <c r="S1058" i="36"/>
  <c r="S1074" i="36"/>
  <c r="S1090" i="36"/>
  <c r="S1106" i="36"/>
  <c r="S1122" i="36"/>
  <c r="S1138" i="36"/>
  <c r="S1154" i="36"/>
  <c r="S1186" i="36"/>
  <c r="S1298" i="36"/>
  <c r="S1314" i="36"/>
  <c r="S1330" i="36"/>
  <c r="S1346" i="36"/>
  <c r="S1362" i="36"/>
  <c r="S1378" i="36"/>
  <c r="S1394" i="36"/>
  <c r="S1410" i="36"/>
  <c r="S1426" i="36"/>
  <c r="T1451" i="36"/>
  <c r="S1475" i="36"/>
  <c r="T1476" i="36"/>
  <c r="S1476" i="36"/>
  <c r="T1487" i="36"/>
  <c r="S989" i="36"/>
  <c r="S1005" i="36"/>
  <c r="S1021" i="36"/>
  <c r="S1037" i="36"/>
  <c r="S1053" i="36"/>
  <c r="S1069" i="36"/>
  <c r="S1085" i="36"/>
  <c r="S1101" i="36"/>
  <c r="S1117" i="36"/>
  <c r="S1133" i="36"/>
  <c r="S1149" i="36"/>
  <c r="S1165" i="36"/>
  <c r="S1309" i="36"/>
  <c r="S1325" i="36"/>
  <c r="S1341" i="36"/>
  <c r="S1357" i="36"/>
  <c r="S1373" i="36"/>
  <c r="S1389" i="36"/>
  <c r="S1405" i="36"/>
  <c r="S1421" i="36"/>
  <c r="S1437" i="36"/>
  <c r="T1452" i="36"/>
  <c r="S1452" i="36"/>
  <c r="T1464" i="36"/>
  <c r="T1477" i="36"/>
  <c r="T1489" i="36"/>
  <c r="S1489" i="36"/>
  <c r="S840" i="36"/>
  <c r="S856" i="36"/>
  <c r="S872" i="36"/>
  <c r="S888" i="36"/>
  <c r="S904" i="36"/>
  <c r="S920" i="36"/>
  <c r="S936" i="36"/>
  <c r="S952" i="36"/>
  <c r="S968" i="36"/>
  <c r="S984" i="36"/>
  <c r="S1000" i="36"/>
  <c r="S1016" i="36"/>
  <c r="S1032" i="36"/>
  <c r="S1048" i="36"/>
  <c r="S1064" i="36"/>
  <c r="S1080" i="36"/>
  <c r="S1096" i="36"/>
  <c r="S1112" i="36"/>
  <c r="S1128" i="36"/>
  <c r="S1144" i="36"/>
  <c r="S1160" i="36"/>
  <c r="S1176" i="36"/>
  <c r="S1304" i="36"/>
  <c r="S1443" i="36"/>
  <c r="T1453" i="36"/>
  <c r="S1453" i="36"/>
  <c r="S1478" i="36"/>
  <c r="S883" i="36"/>
  <c r="S899" i="36"/>
  <c r="S915" i="36"/>
  <c r="S931" i="36"/>
  <c r="S947" i="36"/>
  <c r="S963" i="36"/>
  <c r="S1171" i="36"/>
  <c r="S1187" i="36"/>
  <c r="S1203" i="36"/>
  <c r="S1219" i="36"/>
  <c r="S1235" i="36"/>
  <c r="S1251" i="36"/>
  <c r="S1267" i="36"/>
  <c r="S1283" i="36"/>
  <c r="S1454" i="36"/>
  <c r="T1490" i="36"/>
  <c r="S926" i="36"/>
  <c r="S942" i="36"/>
  <c r="S958" i="36"/>
  <c r="S974" i="36"/>
  <c r="S990" i="36"/>
  <c r="S1006" i="36"/>
  <c r="S1038" i="36"/>
  <c r="S1054" i="36"/>
  <c r="S1070" i="36"/>
  <c r="S1086" i="36"/>
  <c r="S1102" i="36"/>
  <c r="S1118" i="36"/>
  <c r="S1134" i="36"/>
  <c r="S1198" i="36"/>
  <c r="S1214" i="36"/>
  <c r="S1230" i="36"/>
  <c r="S1246" i="36"/>
  <c r="S1262" i="36"/>
  <c r="S1278" i="36"/>
  <c r="S1479" i="36"/>
  <c r="T1492" i="36"/>
  <c r="S1492" i="36"/>
  <c r="S1337" i="36"/>
  <c r="S1353" i="36"/>
  <c r="S1369" i="36"/>
  <c r="S1385" i="36"/>
  <c r="S1401" i="36"/>
  <c r="S1417" i="36"/>
  <c r="S1433" i="36"/>
  <c r="T1444" i="36"/>
  <c r="T1466" i="36"/>
  <c r="T1467" i="36"/>
  <c r="T1480" i="36"/>
  <c r="S868" i="36"/>
  <c r="S884" i="36"/>
  <c r="S900" i="36"/>
  <c r="S916" i="36"/>
  <c r="S932" i="36"/>
  <c r="S948" i="36"/>
  <c r="S964" i="36"/>
  <c r="S980" i="36"/>
  <c r="S996" i="36"/>
  <c r="S1300" i="36"/>
  <c r="S1316" i="36"/>
  <c r="S1332" i="36"/>
  <c r="S1348" i="36"/>
  <c r="S1364" i="36"/>
  <c r="S1380" i="36"/>
  <c r="S1396" i="36"/>
  <c r="S1412" i="36"/>
  <c r="S1428" i="36"/>
  <c r="T1445" i="36"/>
  <c r="S1445" i="36"/>
  <c r="S1455" i="36"/>
  <c r="T1468" i="36"/>
  <c r="S1468" i="36"/>
  <c r="T1479" i="36"/>
  <c r="S863" i="36"/>
  <c r="S879" i="36"/>
  <c r="S895" i="36"/>
  <c r="S911" i="36"/>
  <c r="S927" i="36"/>
  <c r="S943" i="36"/>
  <c r="S959" i="36"/>
  <c r="S975" i="36"/>
  <c r="S991" i="36"/>
  <c r="S1007" i="36"/>
  <c r="S1023" i="36"/>
  <c r="S1039" i="36"/>
  <c r="S1055" i="36"/>
  <c r="S1071" i="36"/>
  <c r="S1087" i="36"/>
  <c r="S1103" i="36"/>
  <c r="S1119" i="36"/>
  <c r="S1135" i="36"/>
  <c r="S1151" i="36"/>
  <c r="S1167" i="36"/>
  <c r="S1183" i="36"/>
  <c r="S1199" i="36"/>
  <c r="S1215" i="36"/>
  <c r="S1231" i="36"/>
  <c r="S1247" i="36"/>
  <c r="S1263" i="36"/>
  <c r="S1279" i="36"/>
  <c r="S1295" i="36"/>
  <c r="S1311" i="36"/>
  <c r="S1327" i="36"/>
  <c r="S1343" i="36"/>
  <c r="S1359" i="36"/>
  <c r="S1375" i="36"/>
  <c r="S1391" i="36"/>
  <c r="S1407" i="36"/>
  <c r="S1423" i="36"/>
  <c r="S1439" i="36"/>
  <c r="S1446" i="36"/>
  <c r="T1456" i="36"/>
  <c r="T1469" i="36"/>
  <c r="S826" i="36"/>
  <c r="S842" i="36"/>
  <c r="S858" i="36"/>
  <c r="S874" i="36"/>
  <c r="S890" i="36"/>
  <c r="S906" i="36"/>
  <c r="S1146" i="36"/>
  <c r="S1162" i="36"/>
  <c r="S1178" i="36"/>
  <c r="S1194" i="36"/>
  <c r="S1210" i="36"/>
  <c r="S1226" i="36"/>
  <c r="S1242" i="36"/>
  <c r="S1470" i="36"/>
  <c r="S1189" i="36"/>
  <c r="S1205" i="36"/>
  <c r="S1221" i="36"/>
  <c r="S1237" i="36"/>
  <c r="S1253" i="36"/>
  <c r="S1269" i="36"/>
  <c r="S1285" i="36"/>
  <c r="S1301" i="36"/>
  <c r="S1317" i="36"/>
  <c r="S1333" i="36"/>
  <c r="S1349" i="36"/>
  <c r="S1365" i="36"/>
  <c r="S1381" i="36"/>
  <c r="S1397" i="36"/>
  <c r="S1413" i="36"/>
  <c r="S1429" i="36"/>
  <c r="S1440" i="36"/>
  <c r="S1447" i="36"/>
  <c r="T1457" i="36"/>
  <c r="S1457" i="36"/>
  <c r="T1482" i="36"/>
  <c r="T1483" i="36"/>
  <c r="S1136" i="36"/>
  <c r="S1152" i="36"/>
  <c r="S1168" i="36"/>
  <c r="S1184" i="36"/>
  <c r="S1200" i="36"/>
  <c r="S1216" i="36"/>
  <c r="S1232" i="36"/>
  <c r="S1248" i="36"/>
  <c r="S1264" i="36"/>
  <c r="S1280" i="36"/>
  <c r="S1296" i="36"/>
  <c r="S1312" i="36"/>
  <c r="S1328" i="36"/>
  <c r="S1344" i="36"/>
  <c r="S1360" i="36"/>
  <c r="S1376" i="36"/>
  <c r="S1392" i="36"/>
  <c r="S1408" i="36"/>
  <c r="S1424" i="36"/>
  <c r="T1440" i="36"/>
  <c r="T1447" i="36"/>
  <c r="T1484" i="36"/>
  <c r="S1484" i="36"/>
  <c r="S859" i="36"/>
  <c r="S875" i="36"/>
  <c r="S891" i="36"/>
  <c r="S907" i="36"/>
  <c r="S923" i="36"/>
  <c r="S939" i="36"/>
  <c r="S955" i="36"/>
  <c r="S971" i="36"/>
  <c r="S987" i="36"/>
  <c r="S1003" i="36"/>
  <c r="S1019" i="36"/>
  <c r="S1035" i="36"/>
  <c r="S1051" i="36"/>
  <c r="S1067" i="36"/>
  <c r="S1083" i="36"/>
  <c r="S1099" i="36"/>
  <c r="S1115" i="36"/>
  <c r="S1131" i="36"/>
  <c r="S1147" i="36"/>
  <c r="S1163" i="36"/>
  <c r="S1323" i="36"/>
  <c r="S1339" i="36"/>
  <c r="S1355" i="36"/>
  <c r="S1371" i="36"/>
  <c r="S1387" i="36"/>
  <c r="S1419" i="36"/>
  <c r="S1435" i="36"/>
  <c r="T1448" i="36"/>
  <c r="S1448" i="36"/>
  <c r="T1458" i="36"/>
  <c r="S1471" i="36"/>
  <c r="T1485" i="36"/>
  <c r="T1449" i="36"/>
  <c r="T1460" i="36"/>
  <c r="S1460" i="36"/>
  <c r="T1471" i="36"/>
  <c r="S1486" i="36"/>
  <c r="T1459" i="36"/>
  <c r="T1475" i="36"/>
  <c r="T1491" i="36"/>
  <c r="T1507" i="36"/>
  <c r="T1523" i="36"/>
  <c r="T1539" i="36"/>
  <c r="T1555" i="36"/>
  <c r="T1571" i="36"/>
  <c r="T1587" i="36"/>
  <c r="T1603" i="36"/>
  <c r="T1619" i="36"/>
  <c r="T1635" i="36"/>
  <c r="T1651" i="36"/>
  <c r="T1667" i="36"/>
  <c r="T1683" i="36"/>
  <c r="T1699" i="36"/>
  <c r="T1715" i="36"/>
  <c r="T1731" i="36"/>
  <c r="T5" i="37"/>
  <c r="T21" i="37"/>
  <c r="S192" i="37"/>
  <c r="S288" i="37"/>
  <c r="S304" i="37"/>
  <c r="T309" i="37"/>
  <c r="S320" i="37"/>
  <c r="S334" i="37"/>
  <c r="T367" i="37"/>
  <c r="S187" i="37"/>
  <c r="S203" i="37"/>
  <c r="S219" i="37"/>
  <c r="S235" i="37"/>
  <c r="S251" i="37"/>
  <c r="S267" i="37"/>
  <c r="S283" i="37"/>
  <c r="S299" i="37"/>
  <c r="S315" i="37"/>
  <c r="S326" i="37"/>
  <c r="T334" i="37"/>
  <c r="T343" i="37"/>
  <c r="S354" i="37"/>
  <c r="S1508" i="36"/>
  <c r="S1524" i="36"/>
  <c r="S1540" i="36"/>
  <c r="S1556" i="36"/>
  <c r="S1572" i="36"/>
  <c r="S1588" i="36"/>
  <c r="S1604" i="36"/>
  <c r="S1620" i="36"/>
  <c r="S1636" i="36"/>
  <c r="S1652" i="36"/>
  <c r="S1668" i="36"/>
  <c r="S1684" i="36"/>
  <c r="S1700" i="36"/>
  <c r="S1716" i="36"/>
  <c r="S1732" i="36"/>
  <c r="S6" i="37"/>
  <c r="S22" i="37"/>
  <c r="S38" i="37"/>
  <c r="S54" i="37"/>
  <c r="S70" i="37"/>
  <c r="S86" i="37"/>
  <c r="S102" i="37"/>
  <c r="S118" i="37"/>
  <c r="S134" i="37"/>
  <c r="S150" i="37"/>
  <c r="S166" i="37"/>
  <c r="S182" i="37"/>
  <c r="S262" i="37"/>
  <c r="S278" i="37"/>
  <c r="S294" i="37"/>
  <c r="S310" i="37"/>
  <c r="S368" i="37"/>
  <c r="S225" i="37"/>
  <c r="S305" i="37"/>
  <c r="S321" i="37"/>
  <c r="T327" i="37"/>
  <c r="S327" i="37"/>
  <c r="T344" i="37"/>
  <c r="T354" i="37"/>
  <c r="T355" i="37"/>
  <c r="T356" i="37"/>
  <c r="T369" i="37"/>
  <c r="S1466" i="36"/>
  <c r="S1482" i="36"/>
  <c r="S1498" i="36"/>
  <c r="S1514" i="36"/>
  <c r="S1530" i="36"/>
  <c r="S1546" i="36"/>
  <c r="S1562" i="36"/>
  <c r="S1578" i="36"/>
  <c r="S1594" i="36"/>
  <c r="S1610" i="36"/>
  <c r="S1626" i="36"/>
  <c r="S1642" i="36"/>
  <c r="S1658" i="36"/>
  <c r="S1674" i="36"/>
  <c r="S1690" i="36"/>
  <c r="S1706" i="36"/>
  <c r="S1722" i="36"/>
  <c r="S1738" i="36"/>
  <c r="S12" i="37"/>
  <c r="S28" i="37"/>
  <c r="S220" i="37"/>
  <c r="S236" i="37"/>
  <c r="S252" i="37"/>
  <c r="S268" i="37"/>
  <c r="S284" i="37"/>
  <c r="S300" i="37"/>
  <c r="S316" i="37"/>
  <c r="S328" i="37"/>
  <c r="S336" i="37"/>
  <c r="S369" i="37"/>
  <c r="S370" i="37"/>
  <c r="S1477" i="36"/>
  <c r="S1493" i="36"/>
  <c r="S1509" i="36"/>
  <c r="S1525" i="36"/>
  <c r="S1541" i="36"/>
  <c r="S1557" i="36"/>
  <c r="S1573" i="36"/>
  <c r="S1589" i="36"/>
  <c r="S1605" i="36"/>
  <c r="S1621" i="36"/>
  <c r="S1637" i="36"/>
  <c r="S1653" i="36"/>
  <c r="S1669" i="36"/>
  <c r="S1685" i="36"/>
  <c r="S1701" i="36"/>
  <c r="S1717" i="36"/>
  <c r="S1733" i="36"/>
  <c r="S7" i="37"/>
  <c r="S23" i="37"/>
  <c r="S39" i="37"/>
  <c r="S55" i="37"/>
  <c r="S71" i="37"/>
  <c r="S87" i="37"/>
  <c r="S103" i="37"/>
  <c r="S119" i="37"/>
  <c r="S135" i="37"/>
  <c r="S151" i="37"/>
  <c r="S167" i="37"/>
  <c r="S183" i="37"/>
  <c r="S199" i="37"/>
  <c r="S215" i="37"/>
  <c r="S231" i="37"/>
  <c r="S247" i="37"/>
  <c r="S263" i="37"/>
  <c r="S279" i="37"/>
  <c r="S295" i="37"/>
  <c r="S311" i="37"/>
  <c r="S322" i="37"/>
  <c r="T328" i="37"/>
  <c r="S345" i="37"/>
  <c r="S1456" i="36"/>
  <c r="S1472" i="36"/>
  <c r="S1488" i="36"/>
  <c r="S1504" i="36"/>
  <c r="S1520" i="36"/>
  <c r="S1536" i="36"/>
  <c r="S1552" i="36"/>
  <c r="S1568" i="36"/>
  <c r="S1584" i="36"/>
  <c r="S1600" i="36"/>
  <c r="S1616" i="36"/>
  <c r="S1632" i="36"/>
  <c r="S1648" i="36"/>
  <c r="S1664" i="36"/>
  <c r="S1680" i="36"/>
  <c r="S1696" i="36"/>
  <c r="S1712" i="36"/>
  <c r="S1728" i="36"/>
  <c r="S2" i="37"/>
  <c r="S18" i="37"/>
  <c r="T337" i="37"/>
  <c r="S346" i="37"/>
  <c r="S358" i="37"/>
  <c r="T370" i="37"/>
  <c r="T371" i="37"/>
  <c r="T372" i="37"/>
  <c r="S1451" i="36"/>
  <c r="S1467" i="36"/>
  <c r="S1483" i="36"/>
  <c r="S1499" i="36"/>
  <c r="S1515" i="36"/>
  <c r="S1531" i="36"/>
  <c r="S200" i="37"/>
  <c r="S216" i="37"/>
  <c r="S232" i="37"/>
  <c r="S248" i="37"/>
  <c r="S264" i="37"/>
  <c r="S280" i="37"/>
  <c r="S296" i="37"/>
  <c r="S312" i="37"/>
  <c r="S323" i="37"/>
  <c r="S338" i="37"/>
  <c r="T346" i="37"/>
  <c r="S347" i="37"/>
  <c r="T359" i="37"/>
  <c r="S373" i="37"/>
  <c r="S1505" i="36"/>
  <c r="S1521" i="36"/>
  <c r="S1537" i="36"/>
  <c r="S1553" i="36"/>
  <c r="S1569" i="36"/>
  <c r="S1585" i="36"/>
  <c r="S1601" i="36"/>
  <c r="S1617" i="36"/>
  <c r="S1633" i="36"/>
  <c r="S1649" i="36"/>
  <c r="S1665" i="36"/>
  <c r="S1681" i="36"/>
  <c r="S1697" i="36"/>
  <c r="S1713" i="36"/>
  <c r="S1729" i="36"/>
  <c r="S3" i="37"/>
  <c r="S19" i="37"/>
  <c r="S35" i="37"/>
  <c r="S51" i="37"/>
  <c r="S67" i="37"/>
  <c r="S83" i="37"/>
  <c r="S99" i="37"/>
  <c r="S115" i="37"/>
  <c r="S131" i="37"/>
  <c r="S147" i="37"/>
  <c r="S163" i="37"/>
  <c r="S179" i="37"/>
  <c r="S291" i="37"/>
  <c r="S307" i="37"/>
  <c r="S330" i="37"/>
  <c r="T348" i="37"/>
  <c r="S348" i="37"/>
  <c r="T360" i="37"/>
  <c r="S1500" i="36"/>
  <c r="S1516" i="36"/>
  <c r="S1532" i="36"/>
  <c r="S1548" i="36"/>
  <c r="S1564" i="36"/>
  <c r="S1580" i="36"/>
  <c r="S1596" i="36"/>
  <c r="S1612" i="36"/>
  <c r="S1628" i="36"/>
  <c r="S1644" i="36"/>
  <c r="S1660" i="36"/>
  <c r="S1676" i="36"/>
  <c r="S1692" i="36"/>
  <c r="S1708" i="36"/>
  <c r="S1724" i="36"/>
  <c r="S1740" i="36"/>
  <c r="S14" i="37"/>
  <c r="S30" i="37"/>
  <c r="S46" i="37"/>
  <c r="S62" i="37"/>
  <c r="S78" i="37"/>
  <c r="S94" i="37"/>
  <c r="S110" i="37"/>
  <c r="S126" i="37"/>
  <c r="S142" i="37"/>
  <c r="S158" i="37"/>
  <c r="S174" i="37"/>
  <c r="S190" i="37"/>
  <c r="S206" i="37"/>
  <c r="S222" i="37"/>
  <c r="S238" i="37"/>
  <c r="S286" i="37"/>
  <c r="S302" i="37"/>
  <c r="S318" i="37"/>
  <c r="S1607" i="36"/>
  <c r="S1623" i="36"/>
  <c r="S1639" i="36"/>
  <c r="S1655" i="36"/>
  <c r="S1671" i="36"/>
  <c r="S1687" i="36"/>
  <c r="S1703" i="36"/>
  <c r="S1719" i="36"/>
  <c r="S1735" i="36"/>
  <c r="S9" i="37"/>
  <c r="S25" i="37"/>
  <c r="S41" i="37"/>
  <c r="S169" i="37"/>
  <c r="S185" i="37"/>
  <c r="S201" i="37"/>
  <c r="S217" i="37"/>
  <c r="S233" i="37"/>
  <c r="S249" i="37"/>
  <c r="S265" i="37"/>
  <c r="S281" i="37"/>
  <c r="S297" i="37"/>
  <c r="S313" i="37"/>
  <c r="S324" i="37"/>
  <c r="T331" i="37"/>
  <c r="T339" i="37"/>
  <c r="S339" i="37"/>
  <c r="T349" i="37"/>
  <c r="T350" i="37"/>
  <c r="T361" i="37"/>
  <c r="S362" i="37"/>
  <c r="T374" i="37"/>
  <c r="T376" i="37"/>
  <c r="S1458" i="36"/>
  <c r="S1474" i="36"/>
  <c r="S1490" i="36"/>
  <c r="S1506" i="36"/>
  <c r="S1522" i="36"/>
  <c r="S1538" i="36"/>
  <c r="S1554" i="36"/>
  <c r="S1570" i="36"/>
  <c r="S1586" i="36"/>
  <c r="S1602" i="36"/>
  <c r="S1618" i="36"/>
  <c r="S1634" i="36"/>
  <c r="S1650" i="36"/>
  <c r="S1666" i="36"/>
  <c r="S1682" i="36"/>
  <c r="S1698" i="36"/>
  <c r="S1714" i="36"/>
  <c r="S1730" i="36"/>
  <c r="S36" i="37"/>
  <c r="S180" i="37"/>
  <c r="S196" i="37"/>
  <c r="S212" i="37"/>
  <c r="S228" i="37"/>
  <c r="S244" i="37"/>
  <c r="S260" i="37"/>
  <c r="S276" i="37"/>
  <c r="S292" i="37"/>
  <c r="S308" i="37"/>
  <c r="S331" i="37"/>
  <c r="T340" i="37"/>
  <c r="S340" i="37"/>
  <c r="T351" i="37"/>
  <c r="T363" i="37"/>
  <c r="S363" i="37"/>
  <c r="S1469" i="36"/>
  <c r="S1485" i="36"/>
  <c r="S1501" i="36"/>
  <c r="S1517" i="36"/>
  <c r="S1533" i="36"/>
  <c r="S1549" i="36"/>
  <c r="S1565" i="36"/>
  <c r="S1581" i="36"/>
  <c r="S1597" i="36"/>
  <c r="S1613" i="36"/>
  <c r="S1629" i="36"/>
  <c r="S1645" i="36"/>
  <c r="S1661" i="36"/>
  <c r="S1677" i="36"/>
  <c r="S1693" i="36"/>
  <c r="S1709" i="36"/>
  <c r="S1725" i="36"/>
  <c r="S1741" i="36"/>
  <c r="S15" i="37"/>
  <c r="S31" i="37"/>
  <c r="S47" i="37"/>
  <c r="S63" i="37"/>
  <c r="S79" i="37"/>
  <c r="S95" i="37"/>
  <c r="S111" i="37"/>
  <c r="S127" i="37"/>
  <c r="S143" i="37"/>
  <c r="S159" i="37"/>
  <c r="S175" i="37"/>
  <c r="S191" i="37"/>
  <c r="S207" i="37"/>
  <c r="S239" i="37"/>
  <c r="S255" i="37"/>
  <c r="T332" i="37"/>
  <c r="S332" i="37"/>
  <c r="T362" i="37"/>
  <c r="T377" i="37"/>
  <c r="S378" i="37"/>
  <c r="S1464" i="36"/>
  <c r="S1480" i="36"/>
  <c r="S1496" i="36"/>
  <c r="S1512" i="36"/>
  <c r="S1528" i="36"/>
  <c r="S1544" i="36"/>
  <c r="S1560" i="36"/>
  <c r="S1576" i="36"/>
  <c r="S1592" i="36"/>
  <c r="S1736" i="36"/>
  <c r="S10" i="37"/>
  <c r="S26" i="37"/>
  <c r="S42" i="37"/>
  <c r="S58" i="37"/>
  <c r="S266" i="37"/>
  <c r="S282" i="37"/>
  <c r="S298" i="37"/>
  <c r="S314" i="37"/>
  <c r="S325" i="37"/>
  <c r="S341" i="37"/>
  <c r="T352" i="37"/>
  <c r="S352" i="37"/>
  <c r="T379" i="37"/>
  <c r="S379" i="37"/>
  <c r="T333" i="37"/>
  <c r="S333" i="37"/>
  <c r="S342" i="37"/>
  <c r="T353" i="37"/>
  <c r="S501" i="37"/>
  <c r="S517" i="37"/>
  <c r="S533" i="37"/>
  <c r="S549" i="37"/>
  <c r="S565" i="37"/>
  <c r="S581" i="37"/>
  <c r="S597" i="37"/>
  <c r="S629" i="37"/>
  <c r="S645" i="37"/>
  <c r="S661" i="37"/>
  <c r="S677" i="37"/>
  <c r="S693" i="37"/>
  <c r="S709" i="37"/>
  <c r="S720" i="37"/>
  <c r="T734" i="37"/>
  <c r="S745" i="37"/>
  <c r="S767" i="37"/>
  <c r="S837" i="37"/>
  <c r="T879" i="37"/>
  <c r="S880" i="37"/>
  <c r="S922" i="37"/>
  <c r="T923" i="37"/>
  <c r="S923" i="37"/>
  <c r="S1008" i="37"/>
  <c r="T1051" i="37"/>
  <c r="S1051" i="37"/>
  <c r="S1337" i="37"/>
  <c r="S384" i="37"/>
  <c r="S400" i="37"/>
  <c r="S416" i="37"/>
  <c r="S432" i="37"/>
  <c r="S448" i="37"/>
  <c r="S464" i="37"/>
  <c r="S480" i="37"/>
  <c r="S496" i="37"/>
  <c r="T728" i="37"/>
  <c r="T745" i="37"/>
  <c r="T756" i="37"/>
  <c r="T766" i="37"/>
  <c r="T777" i="37"/>
  <c r="T788" i="37"/>
  <c r="T799" i="37"/>
  <c r="S812" i="37"/>
  <c r="S813" i="37"/>
  <c r="T838" i="37"/>
  <c r="S838" i="37"/>
  <c r="T852" i="37"/>
  <c r="T865" i="37"/>
  <c r="T867" i="37"/>
  <c r="S881" i="37"/>
  <c r="T922" i="37"/>
  <c r="T924" i="37"/>
  <c r="T952" i="37"/>
  <c r="T966" i="37"/>
  <c r="T979" i="37"/>
  <c r="T980" i="37"/>
  <c r="T1009" i="37"/>
  <c r="T1022" i="37"/>
  <c r="S1038" i="37"/>
  <c r="T1050" i="37"/>
  <c r="S1065" i="37"/>
  <c r="T1066" i="37"/>
  <c r="T1321" i="37"/>
  <c r="S395" i="37"/>
  <c r="S411" i="37"/>
  <c r="S427" i="37"/>
  <c r="S443" i="37"/>
  <c r="S459" i="37"/>
  <c r="S475" i="37"/>
  <c r="S491" i="37"/>
  <c r="S789" i="37"/>
  <c r="S896" i="37"/>
  <c r="T939" i="37"/>
  <c r="S939" i="37"/>
  <c r="S1024" i="37"/>
  <c r="T1067" i="37"/>
  <c r="S1067" i="37"/>
  <c r="S1081" i="37"/>
  <c r="T1430" i="37"/>
  <c r="S1430" i="37"/>
  <c r="S486" i="37"/>
  <c r="S502" i="37"/>
  <c r="S518" i="37"/>
  <c r="S534" i="37"/>
  <c r="S550" i="37"/>
  <c r="S566" i="37"/>
  <c r="S582" i="37"/>
  <c r="S598" i="37"/>
  <c r="S614" i="37"/>
  <c r="S630" i="37"/>
  <c r="S646" i="37"/>
  <c r="S662" i="37"/>
  <c r="S678" i="37"/>
  <c r="S694" i="37"/>
  <c r="S710" i="37"/>
  <c r="S721" i="37"/>
  <c r="T747" i="37"/>
  <c r="S768" i="37"/>
  <c r="T779" i="37"/>
  <c r="S801" i="37"/>
  <c r="T813" i="37"/>
  <c r="S814" i="37"/>
  <c r="S815" i="37"/>
  <c r="T826" i="37"/>
  <c r="S827" i="37"/>
  <c r="T840" i="37"/>
  <c r="T854" i="37"/>
  <c r="T868" i="37"/>
  <c r="T881" i="37"/>
  <c r="T882" i="37"/>
  <c r="T883" i="37"/>
  <c r="S897" i="37"/>
  <c r="T938" i="37"/>
  <c r="T940" i="37"/>
  <c r="T968" i="37"/>
  <c r="T982" i="37"/>
  <c r="T995" i="37"/>
  <c r="T996" i="37"/>
  <c r="T1010" i="37"/>
  <c r="T1011" i="37"/>
  <c r="S1025" i="37"/>
  <c r="T1038" i="37"/>
  <c r="S1054" i="37"/>
  <c r="T1068" i="37"/>
  <c r="S449" i="37"/>
  <c r="S737" i="37"/>
  <c r="T758" i="37"/>
  <c r="S758" i="37"/>
  <c r="T790" i="37"/>
  <c r="S790" i="37"/>
  <c r="T828" i="37"/>
  <c r="T855" i="37"/>
  <c r="S912" i="37"/>
  <c r="T925" i="37"/>
  <c r="S927" i="37"/>
  <c r="S940" i="37"/>
  <c r="T953" i="37"/>
  <c r="S954" i="37"/>
  <c r="T955" i="37"/>
  <c r="S955" i="37"/>
  <c r="S968" i="37"/>
  <c r="T983" i="37"/>
  <c r="T1039" i="37"/>
  <c r="S1040" i="37"/>
  <c r="S1055" i="37"/>
  <c r="S1068" i="37"/>
  <c r="S364" i="37"/>
  <c r="S380" i="37"/>
  <c r="S396" i="37"/>
  <c r="S412" i="37"/>
  <c r="S428" i="37"/>
  <c r="S444" i="37"/>
  <c r="S460" i="37"/>
  <c r="S476" i="37"/>
  <c r="S492" i="37"/>
  <c r="S508" i="37"/>
  <c r="S524" i="37"/>
  <c r="S540" i="37"/>
  <c r="S556" i="37"/>
  <c r="S572" i="37"/>
  <c r="S588" i="37"/>
  <c r="S604" i="37"/>
  <c r="S620" i="37"/>
  <c r="S636" i="37"/>
  <c r="S652" i="37"/>
  <c r="S668" i="37"/>
  <c r="S684" i="37"/>
  <c r="S700" i="37"/>
  <c r="T711" i="37"/>
  <c r="T722" i="37"/>
  <c r="S722" i="37"/>
  <c r="T738" i="37"/>
  <c r="S738" i="37"/>
  <c r="T748" i="37"/>
  <c r="T759" i="37"/>
  <c r="S769" i="37"/>
  <c r="T780" i="37"/>
  <c r="T791" i="37"/>
  <c r="T801" i="37"/>
  <c r="T802" i="37"/>
  <c r="T803" i="37"/>
  <c r="T815" i="37"/>
  <c r="S828" i="37"/>
  <c r="S829" i="37"/>
  <c r="T856" i="37"/>
  <c r="T870" i="37"/>
  <c r="T898" i="37"/>
  <c r="T899" i="37"/>
  <c r="T954" i="37"/>
  <c r="T956" i="37"/>
  <c r="T984" i="37"/>
  <c r="T998" i="37"/>
  <c r="T1026" i="37"/>
  <c r="T1027" i="37"/>
  <c r="S1070" i="37"/>
  <c r="T1174" i="37"/>
  <c r="S1174" i="37"/>
  <c r="S343" i="37"/>
  <c r="S359" i="37"/>
  <c r="S375" i="37"/>
  <c r="S391" i="37"/>
  <c r="S407" i="37"/>
  <c r="S423" i="37"/>
  <c r="S439" i="37"/>
  <c r="T723" i="37"/>
  <c r="S723" i="37"/>
  <c r="S730" i="37"/>
  <c r="T737" i="37"/>
  <c r="T739" i="37"/>
  <c r="S748" i="37"/>
  <c r="S749" i="37"/>
  <c r="T760" i="37"/>
  <c r="S780" i="37"/>
  <c r="S781" i="37"/>
  <c r="T792" i="37"/>
  <c r="S842" i="37"/>
  <c r="T843" i="37"/>
  <c r="S843" i="37"/>
  <c r="T871" i="37"/>
  <c r="T927" i="37"/>
  <c r="S928" i="37"/>
  <c r="T942" i="37"/>
  <c r="S956" i="37"/>
  <c r="S957" i="37"/>
  <c r="S970" i="37"/>
  <c r="T971" i="37"/>
  <c r="S971" i="37"/>
  <c r="T999" i="37"/>
  <c r="S1056" i="37"/>
  <c r="S1465" i="37"/>
  <c r="S750" i="37"/>
  <c r="S760" i="37"/>
  <c r="T769" i="37"/>
  <c r="T770" i="37"/>
  <c r="T771" i="37"/>
  <c r="S782" i="37"/>
  <c r="S792" i="37"/>
  <c r="T804" i="37"/>
  <c r="S817" i="37"/>
  <c r="T829" i="37"/>
  <c r="S830" i="37"/>
  <c r="S831" i="37"/>
  <c r="T842" i="37"/>
  <c r="T844" i="37"/>
  <c r="T872" i="37"/>
  <c r="T886" i="37"/>
  <c r="T900" i="37"/>
  <c r="T913" i="37"/>
  <c r="T914" i="37"/>
  <c r="T915" i="37"/>
  <c r="S929" i="37"/>
  <c r="T970" i="37"/>
  <c r="T972" i="37"/>
  <c r="T1000" i="37"/>
  <c r="T1014" i="37"/>
  <c r="T1041" i="37"/>
  <c r="S1042" i="37"/>
  <c r="T1043" i="37"/>
  <c r="S1057" i="37"/>
  <c r="T1070" i="37"/>
  <c r="S1387" i="37"/>
  <c r="S349" i="37"/>
  <c r="S365" i="37"/>
  <c r="S381" i="37"/>
  <c r="S397" i="37"/>
  <c r="S413" i="37"/>
  <c r="S429" i="37"/>
  <c r="S445" i="37"/>
  <c r="S461" i="37"/>
  <c r="S477" i="37"/>
  <c r="S493" i="37"/>
  <c r="S509" i="37"/>
  <c r="S525" i="37"/>
  <c r="S541" i="37"/>
  <c r="S557" i="37"/>
  <c r="S573" i="37"/>
  <c r="S589" i="37"/>
  <c r="S605" i="37"/>
  <c r="S621" i="37"/>
  <c r="S637" i="37"/>
  <c r="S653" i="37"/>
  <c r="S669" i="37"/>
  <c r="S685" i="37"/>
  <c r="S701" i="37"/>
  <c r="S712" i="37"/>
  <c r="S724" i="37"/>
  <c r="T731" i="37"/>
  <c r="T740" i="37"/>
  <c r="T749" i="37"/>
  <c r="S751" i="37"/>
  <c r="S761" i="37"/>
  <c r="T781" i="37"/>
  <c r="S783" i="37"/>
  <c r="S844" i="37"/>
  <c r="S845" i="37"/>
  <c r="T859" i="37"/>
  <c r="S859" i="37"/>
  <c r="S872" i="37"/>
  <c r="T887" i="37"/>
  <c r="S944" i="37"/>
  <c r="T957" i="37"/>
  <c r="S973" i="37"/>
  <c r="T987" i="37"/>
  <c r="S987" i="37"/>
  <c r="S1000" i="37"/>
  <c r="T1328" i="37"/>
  <c r="S360" i="37"/>
  <c r="S376" i="37"/>
  <c r="S392" i="37"/>
  <c r="S408" i="37"/>
  <c r="S424" i="37"/>
  <c r="S440" i="37"/>
  <c r="S456" i="37"/>
  <c r="S472" i="37"/>
  <c r="S488" i="37"/>
  <c r="S504" i="37"/>
  <c r="S552" i="37"/>
  <c r="S731" i="37"/>
  <c r="T750" i="37"/>
  <c r="T761" i="37"/>
  <c r="T772" i="37"/>
  <c r="T782" i="37"/>
  <c r="T793" i="37"/>
  <c r="S794" i="37"/>
  <c r="T806" i="37"/>
  <c r="S806" i="37"/>
  <c r="T817" i="37"/>
  <c r="T818" i="37"/>
  <c r="T819" i="37"/>
  <c r="T831" i="37"/>
  <c r="T858" i="37"/>
  <c r="T860" i="37"/>
  <c r="T888" i="37"/>
  <c r="T902" i="37"/>
  <c r="T916" i="37"/>
  <c r="T929" i="37"/>
  <c r="T930" i="37"/>
  <c r="T931" i="37"/>
  <c r="S945" i="37"/>
  <c r="T986" i="37"/>
  <c r="T988" i="37"/>
  <c r="T1016" i="37"/>
  <c r="T1030" i="37"/>
  <c r="T1044" i="37"/>
  <c r="T1057" i="37"/>
  <c r="S1058" i="37"/>
  <c r="T1059" i="37"/>
  <c r="S1209" i="37"/>
  <c r="S355" i="37"/>
  <c r="S371" i="37"/>
  <c r="S387" i="37"/>
  <c r="S403" i="37"/>
  <c r="S419" i="37"/>
  <c r="S435" i="37"/>
  <c r="S451" i="37"/>
  <c r="S467" i="37"/>
  <c r="S483" i="37"/>
  <c r="S499" i="37"/>
  <c r="S515" i="37"/>
  <c r="S531" i="37"/>
  <c r="S547" i="37"/>
  <c r="S563" i="37"/>
  <c r="S579" i="37"/>
  <c r="S595" i="37"/>
  <c r="S611" i="37"/>
  <c r="S627" i="37"/>
  <c r="S643" i="37"/>
  <c r="S659" i="37"/>
  <c r="S675" i="37"/>
  <c r="S691" i="37"/>
  <c r="S707" i="37"/>
  <c r="S718" i="37"/>
  <c r="T807" i="37"/>
  <c r="T845" i="37"/>
  <c r="T846" i="37"/>
  <c r="S860" i="37"/>
  <c r="S861" i="37"/>
  <c r="S874" i="37"/>
  <c r="T875" i="37"/>
  <c r="S875" i="37"/>
  <c r="S888" i="37"/>
  <c r="S889" i="37"/>
  <c r="T903" i="37"/>
  <c r="T959" i="37"/>
  <c r="S960" i="37"/>
  <c r="T973" i="37"/>
  <c r="T974" i="37"/>
  <c r="S988" i="37"/>
  <c r="T989" i="37"/>
  <c r="S1002" i="37"/>
  <c r="T1003" i="37"/>
  <c r="S1003" i="37"/>
  <c r="S1016" i="37"/>
  <c r="T1031" i="37"/>
  <c r="T1073" i="37"/>
  <c r="S1131" i="37"/>
  <c r="T1193" i="37"/>
  <c r="S350" i="37"/>
  <c r="S366" i="37"/>
  <c r="S382" i="37"/>
  <c r="S398" i="37"/>
  <c r="S414" i="37"/>
  <c r="S430" i="37"/>
  <c r="S446" i="37"/>
  <c r="S462" i="37"/>
  <c r="S478" i="37"/>
  <c r="S494" i="37"/>
  <c r="S510" i="37"/>
  <c r="S526" i="37"/>
  <c r="S542" i="37"/>
  <c r="S558" i="37"/>
  <c r="S574" i="37"/>
  <c r="S590" i="37"/>
  <c r="S606" i="37"/>
  <c r="S622" i="37"/>
  <c r="S638" i="37"/>
  <c r="S654" i="37"/>
  <c r="S670" i="37"/>
  <c r="S686" i="37"/>
  <c r="S702" i="37"/>
  <c r="S713" i="37"/>
  <c r="S725" i="37"/>
  <c r="T742" i="37"/>
  <c r="S742" i="37"/>
  <c r="S752" i="37"/>
  <c r="T763" i="37"/>
  <c r="S784" i="37"/>
  <c r="S795" i="37"/>
  <c r="T808" i="37"/>
  <c r="T820" i="37"/>
  <c r="S833" i="37"/>
  <c r="T874" i="37"/>
  <c r="T876" i="37"/>
  <c r="T904" i="37"/>
  <c r="T918" i="37"/>
  <c r="T932" i="37"/>
  <c r="T945" i="37"/>
  <c r="T946" i="37"/>
  <c r="T947" i="37"/>
  <c r="S961" i="37"/>
  <c r="T1002" i="37"/>
  <c r="T1004" i="37"/>
  <c r="S1017" i="37"/>
  <c r="T1032" i="37"/>
  <c r="T1046" i="37"/>
  <c r="T1060" i="37"/>
  <c r="S361" i="37"/>
  <c r="S377" i="37"/>
  <c r="S393" i="37"/>
  <c r="S409" i="37"/>
  <c r="S425" i="37"/>
  <c r="S441" i="37"/>
  <c r="S457" i="37"/>
  <c r="S473" i="37"/>
  <c r="S489" i="37"/>
  <c r="S505" i="37"/>
  <c r="S521" i="37"/>
  <c r="S537" i="37"/>
  <c r="S553" i="37"/>
  <c r="S569" i="37"/>
  <c r="S585" i="37"/>
  <c r="S601" i="37"/>
  <c r="S617" i="37"/>
  <c r="S633" i="37"/>
  <c r="S649" i="37"/>
  <c r="S665" i="37"/>
  <c r="S681" i="37"/>
  <c r="S697" i="37"/>
  <c r="T774" i="37"/>
  <c r="S774" i="37"/>
  <c r="T796" i="37"/>
  <c r="S808" i="37"/>
  <c r="S848" i="37"/>
  <c r="T861" i="37"/>
  <c r="T862" i="37"/>
  <c r="S863" i="37"/>
  <c r="S876" i="37"/>
  <c r="S877" i="37"/>
  <c r="T889" i="37"/>
  <c r="T891" i="37"/>
  <c r="S891" i="37"/>
  <c r="S904" i="37"/>
  <c r="S905" i="37"/>
  <c r="T919" i="37"/>
  <c r="S933" i="37"/>
  <c r="S976" i="37"/>
  <c r="T990" i="37"/>
  <c r="S991" i="37"/>
  <c r="S1004" i="37"/>
  <c r="T1005" i="37"/>
  <c r="T1017" i="37"/>
  <c r="T1019" i="37"/>
  <c r="S1019" i="37"/>
  <c r="T1047" i="37"/>
  <c r="S1061" i="37"/>
  <c r="T1074" i="37"/>
  <c r="T1302" i="37"/>
  <c r="S1302" i="37"/>
  <c r="S356" i="37"/>
  <c r="S372" i="37"/>
  <c r="S388" i="37"/>
  <c r="S404" i="37"/>
  <c r="S420" i="37"/>
  <c r="S436" i="37"/>
  <c r="S452" i="37"/>
  <c r="S468" i="37"/>
  <c r="S484" i="37"/>
  <c r="S500" i="37"/>
  <c r="S516" i="37"/>
  <c r="S532" i="37"/>
  <c r="S548" i="37"/>
  <c r="S564" i="37"/>
  <c r="S580" i="37"/>
  <c r="S596" i="37"/>
  <c r="S612" i="37"/>
  <c r="S628" i="37"/>
  <c r="S644" i="37"/>
  <c r="S660" i="37"/>
  <c r="S676" i="37"/>
  <c r="S692" i="37"/>
  <c r="S708" i="37"/>
  <c r="S719" i="37"/>
  <c r="T726" i="37"/>
  <c r="S753" i="37"/>
  <c r="T764" i="37"/>
  <c r="T775" i="37"/>
  <c r="S785" i="37"/>
  <c r="S796" i="37"/>
  <c r="S797" i="37"/>
  <c r="S809" i="37"/>
  <c r="T822" i="37"/>
  <c r="S822" i="37"/>
  <c r="T833" i="37"/>
  <c r="T834" i="37"/>
  <c r="T835" i="37"/>
  <c r="T920" i="37"/>
  <c r="T934" i="37"/>
  <c r="S1033" i="37"/>
  <c r="S335" i="37"/>
  <c r="S351" i="37"/>
  <c r="S367" i="37"/>
  <c r="S383" i="37"/>
  <c r="S399" i="37"/>
  <c r="S415" i="37"/>
  <c r="S431" i="37"/>
  <c r="S447" i="37"/>
  <c r="S463" i="37"/>
  <c r="S479" i="37"/>
  <c r="S495" i="37"/>
  <c r="S511" i="37"/>
  <c r="S527" i="37"/>
  <c r="S543" i="37"/>
  <c r="S559" i="37"/>
  <c r="S575" i="37"/>
  <c r="S591" i="37"/>
  <c r="S607" i="37"/>
  <c r="S623" i="37"/>
  <c r="S639" i="37"/>
  <c r="S655" i="37"/>
  <c r="S671" i="37"/>
  <c r="S687" i="37"/>
  <c r="S703" i="37"/>
  <c r="S714" i="37"/>
  <c r="S726" i="37"/>
  <c r="S733" i="37"/>
  <c r="T744" i="37"/>
  <c r="S764" i="37"/>
  <c r="S765" i="37"/>
  <c r="T776" i="37"/>
  <c r="T809" i="37"/>
  <c r="S810" i="37"/>
  <c r="T823" i="37"/>
  <c r="T863" i="37"/>
  <c r="S864" i="37"/>
  <c r="T877" i="37"/>
  <c r="T878" i="37"/>
  <c r="S879" i="37"/>
  <c r="S892" i="37"/>
  <c r="S893" i="37"/>
  <c r="T905" i="37"/>
  <c r="S906" i="37"/>
  <c r="T907" i="37"/>
  <c r="S907" i="37"/>
  <c r="S920" i="37"/>
  <c r="S921" i="37"/>
  <c r="T935" i="37"/>
  <c r="T991" i="37"/>
  <c r="S992" i="37"/>
  <c r="T1006" i="37"/>
  <c r="S1007" i="37"/>
  <c r="S1020" i="37"/>
  <c r="T1021" i="37"/>
  <c r="T1033" i="37"/>
  <c r="S1034" i="37"/>
  <c r="T1035" i="37"/>
  <c r="S1035" i="37"/>
  <c r="T1063" i="37"/>
  <c r="T1456" i="37"/>
  <c r="T727" i="37"/>
  <c r="T733" i="37"/>
  <c r="S734" i="37"/>
  <c r="S735" i="37"/>
  <c r="S744" i="37"/>
  <c r="T753" i="37"/>
  <c r="S754" i="37"/>
  <c r="T755" i="37"/>
  <c r="S766" i="37"/>
  <c r="S776" i="37"/>
  <c r="T785" i="37"/>
  <c r="T786" i="37"/>
  <c r="T787" i="37"/>
  <c r="T797" i="37"/>
  <c r="S798" i="37"/>
  <c r="S799" i="37"/>
  <c r="T810" i="37"/>
  <c r="S811" i="37"/>
  <c r="T824" i="37"/>
  <c r="T836" i="37"/>
  <c r="S865" i="37"/>
  <c r="T906" i="37"/>
  <c r="T908" i="37"/>
  <c r="T936" i="37"/>
  <c r="T950" i="37"/>
  <c r="T993" i="37"/>
  <c r="S1022" i="37"/>
  <c r="T1034" i="37"/>
  <c r="T1036" i="37"/>
  <c r="T1064" i="37"/>
  <c r="S1091" i="37"/>
  <c r="S1102" i="37"/>
  <c r="T1126" i="37"/>
  <c r="S1126" i="37"/>
  <c r="S1161" i="37"/>
  <c r="T1171" i="37"/>
  <c r="S1230" i="37"/>
  <c r="S1253" i="37"/>
  <c r="T1254" i="37"/>
  <c r="S1254" i="37"/>
  <c r="S1289" i="37"/>
  <c r="T1299" i="37"/>
  <c r="S1358" i="37"/>
  <c r="S1381" i="37"/>
  <c r="T1382" i="37"/>
  <c r="S1382" i="37"/>
  <c r="S1417" i="37"/>
  <c r="T1427" i="37"/>
  <c r="S1072" i="37"/>
  <c r="T1090" i="37"/>
  <c r="T1092" i="37"/>
  <c r="T1103" i="37"/>
  <c r="S1103" i="37"/>
  <c r="T1115" i="37"/>
  <c r="T1125" i="37"/>
  <c r="T1127" i="37"/>
  <c r="T1138" i="37"/>
  <c r="T1148" i="37"/>
  <c r="T1149" i="37"/>
  <c r="S1173" i="37"/>
  <c r="S1184" i="37"/>
  <c r="S1219" i="37"/>
  <c r="T1220" i="37"/>
  <c r="T1231" i="37"/>
  <c r="S1231" i="37"/>
  <c r="T1243" i="37"/>
  <c r="T1253" i="37"/>
  <c r="T1255" i="37"/>
  <c r="T1266" i="37"/>
  <c r="T1276" i="37"/>
  <c r="S1277" i="37"/>
  <c r="S1312" i="37"/>
  <c r="S1347" i="37"/>
  <c r="T1348" i="37"/>
  <c r="T1359" i="37"/>
  <c r="S1359" i="37"/>
  <c r="T1371" i="37"/>
  <c r="T1381" i="37"/>
  <c r="T1394" i="37"/>
  <c r="T1404" i="37"/>
  <c r="S1405" i="37"/>
  <c r="S1440" i="37"/>
  <c r="S1475" i="37"/>
  <c r="T1476" i="37"/>
  <c r="S1476" i="37"/>
  <c r="T1151" i="37"/>
  <c r="S1151" i="37"/>
  <c r="T1279" i="37"/>
  <c r="S1279" i="37"/>
  <c r="T1407" i="37"/>
  <c r="S1407" i="37"/>
  <c r="S854" i="37"/>
  <c r="S870" i="37"/>
  <c r="S886" i="37"/>
  <c r="S902" i="37"/>
  <c r="S918" i="37"/>
  <c r="S934" i="37"/>
  <c r="S950" i="37"/>
  <c r="S966" i="37"/>
  <c r="S982" i="37"/>
  <c r="S998" i="37"/>
  <c r="S1014" i="37"/>
  <c r="S1030" i="37"/>
  <c r="S1046" i="37"/>
  <c r="S1062" i="37"/>
  <c r="S1073" i="37"/>
  <c r="T1082" i="37"/>
  <c r="T1094" i="37"/>
  <c r="S1094" i="37"/>
  <c r="T1117" i="37"/>
  <c r="S1129" i="37"/>
  <c r="T1139" i="37"/>
  <c r="S1140" i="37"/>
  <c r="S1175" i="37"/>
  <c r="T1176" i="37"/>
  <c r="T1185" i="37"/>
  <c r="S1187" i="37"/>
  <c r="S1198" i="37"/>
  <c r="T1210" i="37"/>
  <c r="S1221" i="37"/>
  <c r="T1222" i="37"/>
  <c r="S1222" i="37"/>
  <c r="T1233" i="37"/>
  <c r="T1245" i="37"/>
  <c r="T1267" i="37"/>
  <c r="S1268" i="37"/>
  <c r="S1303" i="37"/>
  <c r="T1304" i="37"/>
  <c r="S1326" i="37"/>
  <c r="T1338" i="37"/>
  <c r="S1349" i="37"/>
  <c r="T1350" i="37"/>
  <c r="S1350" i="37"/>
  <c r="T1361" i="37"/>
  <c r="T1373" i="37"/>
  <c r="T1395" i="37"/>
  <c r="S1396" i="37"/>
  <c r="T1431" i="37"/>
  <c r="T1432" i="37"/>
  <c r="S1454" i="37"/>
  <c r="T1466" i="37"/>
  <c r="T1477" i="37"/>
  <c r="S993" i="37"/>
  <c r="S1009" i="37"/>
  <c r="T1083" i="37"/>
  <c r="T1095" i="37"/>
  <c r="T1105" i="37"/>
  <c r="S1117" i="37"/>
  <c r="S1141" i="37"/>
  <c r="S1152" i="37"/>
  <c r="T1188" i="37"/>
  <c r="T1199" i="37"/>
  <c r="S1199" i="37"/>
  <c r="T1211" i="37"/>
  <c r="T1221" i="37"/>
  <c r="T1223" i="37"/>
  <c r="S1245" i="37"/>
  <c r="S1280" i="37"/>
  <c r="S1315" i="37"/>
  <c r="T1316" i="37"/>
  <c r="T1327" i="37"/>
  <c r="S1327" i="37"/>
  <c r="T1339" i="37"/>
  <c r="T1349" i="37"/>
  <c r="S1373" i="37"/>
  <c r="S1408" i="37"/>
  <c r="S1420" i="37"/>
  <c r="T1444" i="37"/>
  <c r="T1455" i="37"/>
  <c r="S1455" i="37"/>
  <c r="T1467" i="37"/>
  <c r="T1479" i="37"/>
  <c r="T1480" i="37"/>
  <c r="S1074" i="37"/>
  <c r="T1096" i="37"/>
  <c r="T1142" i="37"/>
  <c r="S1142" i="37"/>
  <c r="S1153" i="37"/>
  <c r="S1164" i="37"/>
  <c r="S1177" i="37"/>
  <c r="S1223" i="37"/>
  <c r="T1224" i="37"/>
  <c r="S1269" i="37"/>
  <c r="T1270" i="37"/>
  <c r="S1270" i="37"/>
  <c r="T1281" i="37"/>
  <c r="S1292" i="37"/>
  <c r="S1305" i="37"/>
  <c r="T1351" i="37"/>
  <c r="T1352" i="37"/>
  <c r="S1397" i="37"/>
  <c r="T1398" i="37"/>
  <c r="S1398" i="37"/>
  <c r="T1409" i="37"/>
  <c r="S1433" i="37"/>
  <c r="S759" i="37"/>
  <c r="S775" i="37"/>
  <c r="S791" i="37"/>
  <c r="S807" i="37"/>
  <c r="S823" i="37"/>
  <c r="S839" i="37"/>
  <c r="S855" i="37"/>
  <c r="S871" i="37"/>
  <c r="S887" i="37"/>
  <c r="S903" i="37"/>
  <c r="S919" i="37"/>
  <c r="S935" i="37"/>
  <c r="S951" i="37"/>
  <c r="S967" i="37"/>
  <c r="S983" i="37"/>
  <c r="S999" i="37"/>
  <c r="S1015" i="37"/>
  <c r="S1031" i="37"/>
  <c r="S1047" i="37"/>
  <c r="S1063" i="37"/>
  <c r="S1084" i="37"/>
  <c r="T1108" i="37"/>
  <c r="T1119" i="37"/>
  <c r="S1119" i="37"/>
  <c r="T1131" i="37"/>
  <c r="T1141" i="37"/>
  <c r="T1143" i="37"/>
  <c r="T1154" i="37"/>
  <c r="T1164" i="37"/>
  <c r="T1165" i="37"/>
  <c r="S1200" i="37"/>
  <c r="S1235" i="37"/>
  <c r="T1236" i="37"/>
  <c r="T1247" i="37"/>
  <c r="S1247" i="37"/>
  <c r="T1259" i="37"/>
  <c r="T1269" i="37"/>
  <c r="T1271" i="37"/>
  <c r="T1282" i="37"/>
  <c r="T1292" i="37"/>
  <c r="S1293" i="37"/>
  <c r="S1328" i="37"/>
  <c r="S1340" i="37"/>
  <c r="S1363" i="37"/>
  <c r="T1364" i="37"/>
  <c r="T1375" i="37"/>
  <c r="S1375" i="37"/>
  <c r="T1387" i="37"/>
  <c r="T1397" i="37"/>
  <c r="T1410" i="37"/>
  <c r="T1420" i="37"/>
  <c r="S1421" i="37"/>
  <c r="S1456" i="37"/>
  <c r="S1468" i="37"/>
  <c r="S1481" i="37"/>
  <c r="S770" i="37"/>
  <c r="S786" i="37"/>
  <c r="S802" i="37"/>
  <c r="S818" i="37"/>
  <c r="S834" i="37"/>
  <c r="S850" i="37"/>
  <c r="S866" i="37"/>
  <c r="S882" i="37"/>
  <c r="S898" i="37"/>
  <c r="S914" i="37"/>
  <c r="S930" i="37"/>
  <c r="S946" i="37"/>
  <c r="S962" i="37"/>
  <c r="S978" i="37"/>
  <c r="S994" i="37"/>
  <c r="S1010" i="37"/>
  <c r="S1026" i="37"/>
  <c r="S1075" i="37"/>
  <c r="T1085" i="37"/>
  <c r="S1097" i="37"/>
  <c r="T1107" i="37"/>
  <c r="S1120" i="37"/>
  <c r="S1143" i="37"/>
  <c r="T1144" i="37"/>
  <c r="T1153" i="37"/>
  <c r="S1166" i="37"/>
  <c r="T1178" i="37"/>
  <c r="T1190" i="37"/>
  <c r="S1190" i="37"/>
  <c r="S1201" i="37"/>
  <c r="S1212" i="37"/>
  <c r="T1213" i="37"/>
  <c r="S1225" i="37"/>
  <c r="T1235" i="37"/>
  <c r="S1236" i="37"/>
  <c r="S1271" i="37"/>
  <c r="T1272" i="37"/>
  <c r="S1294" i="37"/>
  <c r="T1306" i="37"/>
  <c r="T1318" i="37"/>
  <c r="S1318" i="37"/>
  <c r="T1329" i="37"/>
  <c r="T1341" i="37"/>
  <c r="S1353" i="37"/>
  <c r="T1363" i="37"/>
  <c r="S1364" i="37"/>
  <c r="T1399" i="37"/>
  <c r="T1400" i="37"/>
  <c r="S1422" i="37"/>
  <c r="T1434" i="37"/>
  <c r="T1446" i="37"/>
  <c r="S1446" i="37"/>
  <c r="T1457" i="37"/>
  <c r="T1469" i="37"/>
  <c r="T1482" i="37"/>
  <c r="S989" i="37"/>
  <c r="S1005" i="37"/>
  <c r="S1021" i="37"/>
  <c r="S1037" i="37"/>
  <c r="S1053" i="37"/>
  <c r="S1069" i="37"/>
  <c r="S1085" i="37"/>
  <c r="T1109" i="37"/>
  <c r="T1156" i="37"/>
  <c r="T1167" i="37"/>
  <c r="S1167" i="37"/>
  <c r="T1179" i="37"/>
  <c r="T1189" i="37"/>
  <c r="T1191" i="37"/>
  <c r="T1202" i="37"/>
  <c r="T1212" i="37"/>
  <c r="S1213" i="37"/>
  <c r="S1248" i="37"/>
  <c r="T1284" i="37"/>
  <c r="T1295" i="37"/>
  <c r="S1295" i="37"/>
  <c r="T1307" i="37"/>
  <c r="T1317" i="37"/>
  <c r="T1330" i="37"/>
  <c r="T1340" i="37"/>
  <c r="S1341" i="37"/>
  <c r="S1376" i="37"/>
  <c r="S1388" i="37"/>
  <c r="T1412" i="37"/>
  <c r="T1423" i="37"/>
  <c r="S1423" i="37"/>
  <c r="T1435" i="37"/>
  <c r="T1445" i="37"/>
  <c r="T1458" i="37"/>
  <c r="T1468" i="37"/>
  <c r="S1469" i="37"/>
  <c r="T1483" i="37"/>
  <c r="S984" i="37"/>
  <c r="S1048" i="37"/>
  <c r="S1064" i="37"/>
  <c r="T1075" i="37"/>
  <c r="S1076" i="37"/>
  <c r="T1098" i="37"/>
  <c r="T1110" i="37"/>
  <c r="S1110" i="37"/>
  <c r="T1121" i="37"/>
  <c r="S1132" i="37"/>
  <c r="S1145" i="37"/>
  <c r="S1156" i="37"/>
  <c r="S1191" i="37"/>
  <c r="T1192" i="37"/>
  <c r="T1201" i="37"/>
  <c r="T1226" i="37"/>
  <c r="S1237" i="37"/>
  <c r="T1238" i="37"/>
  <c r="S1238" i="37"/>
  <c r="T1249" i="37"/>
  <c r="S1260" i="37"/>
  <c r="T1261" i="37"/>
  <c r="S1273" i="37"/>
  <c r="S1284" i="37"/>
  <c r="T1319" i="37"/>
  <c r="T1320" i="37"/>
  <c r="S1342" i="37"/>
  <c r="T1354" i="37"/>
  <c r="S1365" i="37"/>
  <c r="T1366" i="37"/>
  <c r="S1366" i="37"/>
  <c r="T1377" i="37"/>
  <c r="T1389" i="37"/>
  <c r="T1411" i="37"/>
  <c r="S1412" i="37"/>
  <c r="T1447" i="37"/>
  <c r="T1448" i="37"/>
  <c r="S1470" i="37"/>
  <c r="S1483" i="37"/>
  <c r="S1484" i="37"/>
  <c r="S739" i="37"/>
  <c r="S755" i="37"/>
  <c r="S771" i="37"/>
  <c r="S787" i="37"/>
  <c r="S803" i="37"/>
  <c r="S819" i="37"/>
  <c r="S835" i="37"/>
  <c r="S851" i="37"/>
  <c r="S867" i="37"/>
  <c r="S883" i="37"/>
  <c r="S899" i="37"/>
  <c r="S915" i="37"/>
  <c r="S931" i="37"/>
  <c r="S947" i="37"/>
  <c r="S963" i="37"/>
  <c r="S1011" i="37"/>
  <c r="S1027" i="37"/>
  <c r="S1043" i="37"/>
  <c r="S1059" i="37"/>
  <c r="T1087" i="37"/>
  <c r="S1087" i="37"/>
  <c r="T1099" i="37"/>
  <c r="T1111" i="37"/>
  <c r="T1122" i="37"/>
  <c r="T1132" i="37"/>
  <c r="T1133" i="37"/>
  <c r="S1157" i="37"/>
  <c r="S1168" i="37"/>
  <c r="S1203" i="37"/>
  <c r="T1215" i="37"/>
  <c r="S1215" i="37"/>
  <c r="T1227" i="37"/>
  <c r="T1237" i="37"/>
  <c r="T1239" i="37"/>
  <c r="T1250" i="37"/>
  <c r="T1260" i="37"/>
  <c r="S1261" i="37"/>
  <c r="S1296" i="37"/>
  <c r="S1331" i="37"/>
  <c r="T1343" i="37"/>
  <c r="S1343" i="37"/>
  <c r="T1355" i="37"/>
  <c r="T1365" i="37"/>
  <c r="T1378" i="37"/>
  <c r="T1388" i="37"/>
  <c r="S1389" i="37"/>
  <c r="S1424" i="37"/>
  <c r="S1436" i="37"/>
  <c r="S1459" i="37"/>
  <c r="T1471" i="37"/>
  <c r="S846" i="37"/>
  <c r="S862" i="37"/>
  <c r="S878" i="37"/>
  <c r="S894" i="37"/>
  <c r="S910" i="37"/>
  <c r="S926" i="37"/>
  <c r="S942" i="37"/>
  <c r="S958" i="37"/>
  <c r="S974" i="37"/>
  <c r="S990" i="37"/>
  <c r="S1006" i="37"/>
  <c r="T1077" i="37"/>
  <c r="S1088" i="37"/>
  <c r="T1112" i="37"/>
  <c r="S1123" i="37"/>
  <c r="S1134" i="37"/>
  <c r="T1146" i="37"/>
  <c r="T1158" i="37"/>
  <c r="S1158" i="37"/>
  <c r="S1169" i="37"/>
  <c r="S1180" i="37"/>
  <c r="T1203" i="37"/>
  <c r="S1204" i="37"/>
  <c r="S1239" i="37"/>
  <c r="T1240" i="37"/>
  <c r="S1262" i="37"/>
  <c r="T1274" i="37"/>
  <c r="S1285" i="37"/>
  <c r="T1286" i="37"/>
  <c r="S1286" i="37"/>
  <c r="T1297" i="37"/>
  <c r="S1308" i="37"/>
  <c r="T1309" i="37"/>
  <c r="T1331" i="37"/>
  <c r="S1332" i="37"/>
  <c r="T1367" i="37"/>
  <c r="T1368" i="37"/>
  <c r="S1390" i="37"/>
  <c r="T1402" i="37"/>
  <c r="S1413" i="37"/>
  <c r="T1414" i="37"/>
  <c r="S1414" i="37"/>
  <c r="T1425" i="37"/>
  <c r="T1437" i="37"/>
  <c r="T1459" i="37"/>
  <c r="S1460" i="37"/>
  <c r="T1484" i="37"/>
  <c r="S1078" i="37"/>
  <c r="S1100" i="37"/>
  <c r="T1124" i="37"/>
  <c r="T1135" i="37"/>
  <c r="S1135" i="37"/>
  <c r="T1147" i="37"/>
  <c r="T1157" i="37"/>
  <c r="T1159" i="37"/>
  <c r="T1170" i="37"/>
  <c r="T1180" i="37"/>
  <c r="T1181" i="37"/>
  <c r="S1216" i="37"/>
  <c r="S1251" i="37"/>
  <c r="T1252" i="37"/>
  <c r="T1263" i="37"/>
  <c r="S1263" i="37"/>
  <c r="T1275" i="37"/>
  <c r="T1285" i="37"/>
  <c r="T1287" i="37"/>
  <c r="T1298" i="37"/>
  <c r="T1308" i="37"/>
  <c r="S1309" i="37"/>
  <c r="S1344" i="37"/>
  <c r="S1356" i="37"/>
  <c r="S1379" i="37"/>
  <c r="T1380" i="37"/>
  <c r="T1391" i="37"/>
  <c r="S1391" i="37"/>
  <c r="T1403" i="37"/>
  <c r="T1413" i="37"/>
  <c r="T1426" i="37"/>
  <c r="T1436" i="37"/>
  <c r="S1437" i="37"/>
  <c r="S740" i="37"/>
  <c r="S756" i="37"/>
  <c r="S772" i="37"/>
  <c r="S788" i="37"/>
  <c r="S804" i="37"/>
  <c r="S820" i="37"/>
  <c r="S836" i="37"/>
  <c r="S852" i="37"/>
  <c r="S868" i="37"/>
  <c r="S884" i="37"/>
  <c r="S900" i="37"/>
  <c r="S916" i="37"/>
  <c r="S932" i="37"/>
  <c r="S948" i="37"/>
  <c r="S964" i="37"/>
  <c r="S980" i="37"/>
  <c r="S996" i="37"/>
  <c r="S1012" i="37"/>
  <c r="S1028" i="37"/>
  <c r="S1044" i="37"/>
  <c r="S1060" i="37"/>
  <c r="T1101" i="37"/>
  <c r="S1113" i="37"/>
  <c r="T1123" i="37"/>
  <c r="T1160" i="37"/>
  <c r="T1169" i="37"/>
  <c r="S1171" i="37"/>
  <c r="S1182" i="37"/>
  <c r="T1194" i="37"/>
  <c r="S1205" i="37"/>
  <c r="T1206" i="37"/>
  <c r="S1206" i="37"/>
  <c r="S1228" i="37"/>
  <c r="T1229" i="37"/>
  <c r="S1241" i="37"/>
  <c r="T1251" i="37"/>
  <c r="T1288" i="37"/>
  <c r="S1310" i="37"/>
  <c r="T1322" i="37"/>
  <c r="S1333" i="37"/>
  <c r="T1334" i="37"/>
  <c r="S1334" i="37"/>
  <c r="T1357" i="37"/>
  <c r="S1369" i="37"/>
  <c r="T1379" i="37"/>
  <c r="T1416" i="37"/>
  <c r="S1438" i="37"/>
  <c r="T1450" i="37"/>
  <c r="S1461" i="37"/>
  <c r="T1462" i="37"/>
  <c r="S1462" i="37"/>
  <c r="T1473" i="37"/>
  <c r="T1079" i="37"/>
  <c r="S1090" i="37"/>
  <c r="S1101" i="37"/>
  <c r="S1125" i="37"/>
  <c r="S1136" i="37"/>
  <c r="T1172" i="37"/>
  <c r="T1183" i="37"/>
  <c r="S1183" i="37"/>
  <c r="T1195" i="37"/>
  <c r="T1205" i="37"/>
  <c r="T1207" i="37"/>
  <c r="T1218" i="37"/>
  <c r="T1228" i="37"/>
  <c r="S1229" i="37"/>
  <c r="S1264" i="37"/>
  <c r="S1299" i="37"/>
  <c r="T1300" i="37"/>
  <c r="T1311" i="37"/>
  <c r="S1311" i="37"/>
  <c r="T1323" i="37"/>
  <c r="T1333" i="37"/>
  <c r="T1346" i="37"/>
  <c r="T1356" i="37"/>
  <c r="S1357" i="37"/>
  <c r="S1392" i="37"/>
  <c r="S1427" i="37"/>
  <c r="T1428" i="37"/>
  <c r="T1439" i="37"/>
  <c r="S1439" i="37"/>
  <c r="T1451" i="37"/>
  <c r="T1461" i="37"/>
  <c r="S1079" i="37"/>
  <c r="T1084" i="37"/>
  <c r="S1095" i="37"/>
  <c r="T1100" i="37"/>
  <c r="S1111" i="37"/>
  <c r="T1116" i="37"/>
  <c r="S1319" i="37"/>
  <c r="S1335" i="37"/>
  <c r="S1351" i="37"/>
  <c r="S1367" i="37"/>
  <c r="S1383" i="37"/>
  <c r="S1399" i="37"/>
  <c r="S1415" i="37"/>
  <c r="S1431" i="37"/>
  <c r="S1447" i="37"/>
  <c r="S1463" i="37"/>
  <c r="S1479" i="37"/>
  <c r="S1495" i="37"/>
  <c r="S1511" i="37"/>
  <c r="S1527" i="37"/>
  <c r="S1543" i="37"/>
  <c r="S1559" i="37"/>
  <c r="S1575" i="37"/>
  <c r="S1591" i="37"/>
  <c r="S1607" i="37"/>
  <c r="S1623" i="37"/>
  <c r="T1644" i="37"/>
  <c r="T1660" i="37"/>
  <c r="T2" i="38"/>
  <c r="T18" i="38"/>
  <c r="T34" i="38"/>
  <c r="T50" i="38"/>
  <c r="T66" i="38"/>
  <c r="S1122" i="37"/>
  <c r="S1138" i="37"/>
  <c r="S1154" i="37"/>
  <c r="S1170" i="37"/>
  <c r="S1186" i="37"/>
  <c r="S1202" i="37"/>
  <c r="S1218" i="37"/>
  <c r="S1234" i="37"/>
  <c r="S1250" i="37"/>
  <c r="S1266" i="37"/>
  <c r="S1282" i="37"/>
  <c r="S1298" i="37"/>
  <c r="S1314" i="37"/>
  <c r="S1330" i="37"/>
  <c r="S1346" i="37"/>
  <c r="S1362" i="37"/>
  <c r="S1378" i="37"/>
  <c r="S1394" i="37"/>
  <c r="S1410" i="37"/>
  <c r="S1426" i="37"/>
  <c r="S1442" i="37"/>
  <c r="S1458" i="37"/>
  <c r="S1474" i="37"/>
  <c r="S1490" i="37"/>
  <c r="S1506" i="37"/>
  <c r="S1522" i="37"/>
  <c r="S1538" i="37"/>
  <c r="S1554" i="37"/>
  <c r="S1570" i="37"/>
  <c r="S1586" i="37"/>
  <c r="S1602" i="37"/>
  <c r="S1618" i="37"/>
  <c r="S1634" i="37"/>
  <c r="S1133" i="37"/>
  <c r="S1149" i="37"/>
  <c r="S1165" i="37"/>
  <c r="S1181" i="37"/>
  <c r="S1080" i="37"/>
  <c r="S1096" i="37"/>
  <c r="S1112" i="37"/>
  <c r="S1128" i="37"/>
  <c r="S1144" i="37"/>
  <c r="S1160" i="37"/>
  <c r="S1176" i="37"/>
  <c r="S1192" i="37"/>
  <c r="S1208" i="37"/>
  <c r="S1224" i="37"/>
  <c r="S1240" i="37"/>
  <c r="S1256" i="37"/>
  <c r="S1272" i="37"/>
  <c r="S1288" i="37"/>
  <c r="S1304" i="37"/>
  <c r="S1320" i="37"/>
  <c r="S1336" i="37"/>
  <c r="S1352" i="37"/>
  <c r="S1368" i="37"/>
  <c r="S1384" i="37"/>
  <c r="S1400" i="37"/>
  <c r="S1416" i="37"/>
  <c r="S1432" i="37"/>
  <c r="S1448" i="37"/>
  <c r="S1464" i="37"/>
  <c r="S1480" i="37"/>
  <c r="S1496" i="37"/>
  <c r="S1512" i="37"/>
  <c r="S1528" i="37"/>
  <c r="S1544" i="37"/>
  <c r="S1560" i="37"/>
  <c r="S1576" i="37"/>
  <c r="S1592" i="37"/>
  <c r="S1608" i="37"/>
  <c r="S1624" i="37"/>
  <c r="S1640" i="37"/>
  <c r="S1656" i="37"/>
  <c r="S1672" i="37"/>
  <c r="S14" i="38"/>
  <c r="S30" i="38"/>
  <c r="S46" i="38"/>
  <c r="S62" i="38"/>
  <c r="S1614" i="37"/>
  <c r="S1630" i="37"/>
  <c r="S1646" i="37"/>
  <c r="S1662" i="37"/>
  <c r="S4" i="38"/>
  <c r="S20" i="38"/>
  <c r="S36" i="38"/>
  <c r="S1497" i="37"/>
  <c r="S1513" i="37"/>
  <c r="S1529" i="37"/>
  <c r="S1545" i="37"/>
  <c r="S1561" i="37"/>
  <c r="S1577" i="37"/>
  <c r="S1593" i="37"/>
  <c r="S1609" i="37"/>
  <c r="S1625" i="37"/>
  <c r="S1641" i="37"/>
  <c r="S1657" i="37"/>
  <c r="S1673" i="37"/>
  <c r="S15" i="38"/>
  <c r="S31" i="38"/>
  <c r="S47" i="38"/>
  <c r="S1492" i="37"/>
  <c r="S1508" i="37"/>
  <c r="S1471" i="37"/>
  <c r="S1487" i="37"/>
  <c r="S1503" i="37"/>
  <c r="S1082" i="37"/>
  <c r="S1098" i="37"/>
  <c r="S1114" i="37"/>
  <c r="S1130" i="37"/>
  <c r="S1146" i="37"/>
  <c r="S1162" i="37"/>
  <c r="S1178" i="37"/>
  <c r="S1194" i="37"/>
  <c r="S1210" i="37"/>
  <c r="S1226" i="37"/>
  <c r="S1242" i="37"/>
  <c r="S1258" i="37"/>
  <c r="S1274" i="37"/>
  <c r="S1290" i="37"/>
  <c r="S1306" i="37"/>
  <c r="S1322" i="37"/>
  <c r="S1338" i="37"/>
  <c r="S1354" i="37"/>
  <c r="S1370" i="37"/>
  <c r="S1386" i="37"/>
  <c r="S1402" i="37"/>
  <c r="S1418" i="37"/>
  <c r="S1434" i="37"/>
  <c r="S1450" i="37"/>
  <c r="S1466" i="37"/>
  <c r="S1482" i="37"/>
  <c r="S1498" i="37"/>
  <c r="S1514" i="37"/>
  <c r="S1530" i="37"/>
  <c r="S1546" i="37"/>
  <c r="S1562" i="37"/>
  <c r="S1578" i="37"/>
  <c r="S1594" i="37"/>
  <c r="S1610" i="37"/>
  <c r="S1626" i="37"/>
  <c r="S1642" i="37"/>
  <c r="S1658" i="37"/>
  <c r="S1674" i="37"/>
  <c r="S16" i="38"/>
  <c r="S32" i="38"/>
  <c r="S48" i="38"/>
  <c r="S64" i="38"/>
  <c r="S1077" i="37"/>
  <c r="S1093" i="37"/>
  <c r="S1109" i="37"/>
  <c r="S70" i="38"/>
  <c r="S1478" i="37"/>
  <c r="S1494" i="37"/>
  <c r="S1510" i="37"/>
  <c r="S1526" i="37"/>
  <c r="S1542" i="37"/>
  <c r="S1558" i="37"/>
  <c r="S1574" i="37"/>
  <c r="S1590" i="37"/>
  <c r="S1606" i="37"/>
  <c r="S1622" i="37"/>
  <c r="S1638" i="37"/>
  <c r="S1654" i="37"/>
  <c r="S1670" i="37"/>
  <c r="S12" i="38"/>
  <c r="S28" i="38"/>
  <c r="S44" i="38"/>
  <c r="S60" i="38"/>
  <c r="S1089" i="37"/>
  <c r="S1105" i="37"/>
  <c r="S1121" i="37"/>
  <c r="S1233" i="37"/>
  <c r="S1249" i="37"/>
  <c r="S1265" i="37"/>
  <c r="S1281" i="37"/>
  <c r="S1297" i="37"/>
  <c r="S1313" i="37"/>
  <c r="S1329" i="37"/>
  <c r="S1345" i="37"/>
  <c r="S1361" i="37"/>
  <c r="S1377" i="37"/>
  <c r="S1393" i="37"/>
  <c r="S1409" i="37"/>
  <c r="S1425" i="37"/>
  <c r="S1441" i="37"/>
  <c r="S1457" i="37"/>
  <c r="S1473" i="37"/>
  <c r="S1489" i="37"/>
  <c r="S1505" i="37"/>
  <c r="S1521" i="37"/>
  <c r="S1537" i="37"/>
  <c r="S1553" i="37"/>
  <c r="S1569" i="37"/>
  <c r="S1585" i="37"/>
  <c r="S1601" i="37"/>
  <c r="S1617" i="37"/>
  <c r="S1633" i="37"/>
  <c r="S1649" i="37"/>
  <c r="S1665" i="37"/>
  <c r="S7" i="38"/>
  <c r="S23" i="38"/>
  <c r="S39" i="38"/>
  <c r="S55" i="38"/>
  <c r="S71" i="38"/>
  <c r="B55" i="35" l="1"/>
  <c r="B53" i="35"/>
  <c r="C31" i="35"/>
  <c r="C16" i="35"/>
  <c r="B60" i="35"/>
  <c r="B50" i="35"/>
  <c r="C18" i="35"/>
  <c r="B51" i="35"/>
  <c r="B57" i="35"/>
  <c r="C10" i="35"/>
  <c r="D53" i="35"/>
  <c r="D58" i="35"/>
  <c r="D63" i="35"/>
  <c r="C38" i="35"/>
  <c r="C37" i="35"/>
  <c r="D62" i="35"/>
  <c r="D56" i="35"/>
  <c r="D57" i="35"/>
  <c r="D51" i="35"/>
  <c r="D61" i="35"/>
  <c r="D66" i="35"/>
  <c r="D50" i="35"/>
  <c r="D55" i="35"/>
  <c r="D60" i="35"/>
  <c r="D54" i="35"/>
  <c r="C45" i="35"/>
  <c r="D65" i="35"/>
  <c r="C46" i="35"/>
  <c r="D59" i="35"/>
  <c r="D64" i="35"/>
  <c r="D52" i="35"/>
  <c r="B63" i="35"/>
  <c r="C64" i="35"/>
  <c r="C53" i="35"/>
  <c r="C51" i="35"/>
  <c r="C58" i="35"/>
  <c r="C63" i="35"/>
  <c r="C30" i="35"/>
  <c r="C52" i="35"/>
  <c r="C62" i="35"/>
  <c r="C56" i="35"/>
  <c r="C61" i="35"/>
  <c r="C66" i="35"/>
  <c r="C50" i="35"/>
  <c r="C55" i="35"/>
  <c r="C24" i="35"/>
  <c r="C65" i="35"/>
  <c r="C60" i="35"/>
  <c r="C23" i="35"/>
  <c r="C54" i="35"/>
  <c r="C59" i="35"/>
  <c r="C57" i="35"/>
  <c r="C9" i="35"/>
  <c r="B58" i="35"/>
  <c r="B52" i="35"/>
  <c r="C17" i="35"/>
  <c r="B54" i="35"/>
  <c r="B62" i="35"/>
  <c r="B65" i="35"/>
  <c r="B64" i="35"/>
  <c r="B59" i="35"/>
  <c r="B66" i="35"/>
  <c r="C44" i="35"/>
  <c r="B61" i="35"/>
  <c r="C32" i="35"/>
  <c r="B56" i="35"/>
</calcChain>
</file>

<file path=xl/sharedStrings.xml><?xml version="1.0" encoding="utf-8"?>
<sst xmlns="http://schemas.openxmlformats.org/spreadsheetml/2006/main" count="38929" uniqueCount="2089">
  <si>
    <t>Parking Survey Sheet</t>
  </si>
  <si>
    <t>Date:</t>
  </si>
  <si>
    <t>Route #:</t>
  </si>
  <si>
    <t>Garegin Nzhdeh Street</t>
  </si>
  <si>
    <t>Name/Surname:</t>
  </si>
  <si>
    <t>_____________</t>
  </si>
  <si>
    <t>Time</t>
  </si>
  <si>
    <t>Zone</t>
  </si>
  <si>
    <t>License Number</t>
  </si>
  <si>
    <t>Vehicle Type</t>
  </si>
  <si>
    <t>Location</t>
  </si>
  <si>
    <t>Parking Method</t>
  </si>
  <si>
    <t>Legal/Illegal</t>
  </si>
  <si>
    <t>7=7:00
14=14:00
midnight=00:00 &amp; etc.</t>
  </si>
  <si>
    <t>Zone XXX</t>
  </si>
  <si>
    <t>11XX111</t>
  </si>
  <si>
    <t>C - Sedan
T - Truck
M - Motorcycle</t>
  </si>
  <si>
    <t>OS - On-Street
FP - Footpath
SB - Setback</t>
  </si>
  <si>
    <t>PA - Parallel
A - 45 Degree
PP - Perpendicular</t>
  </si>
  <si>
    <t>L - Legal
I - Illegal</t>
  </si>
  <si>
    <t>7 - 8</t>
  </si>
  <si>
    <t>-</t>
  </si>
  <si>
    <t>8 - 9</t>
  </si>
  <si>
    <t>36pn268</t>
  </si>
  <si>
    <t>C - Sedan</t>
  </si>
  <si>
    <t>FP - Footpath</t>
  </si>
  <si>
    <t>PA - Parallel</t>
  </si>
  <si>
    <t>L</t>
  </si>
  <si>
    <t>9 - 10</t>
  </si>
  <si>
    <t>990GG15</t>
  </si>
  <si>
    <t>T - Truck</t>
  </si>
  <si>
    <t>OS - On-Street</t>
  </si>
  <si>
    <t>37HW816</t>
  </si>
  <si>
    <t>10 - 11</t>
  </si>
  <si>
    <t>37MQ967</t>
  </si>
  <si>
    <t>94BB094</t>
  </si>
  <si>
    <t>326DM61</t>
  </si>
  <si>
    <t>36OC393</t>
  </si>
  <si>
    <t>11 - 12</t>
  </si>
  <si>
    <t>37KV738</t>
  </si>
  <si>
    <t>37JX575</t>
  </si>
  <si>
    <t>37LB653</t>
  </si>
  <si>
    <t>36XS491</t>
  </si>
  <si>
    <t>71AN707</t>
  </si>
  <si>
    <t>84TV884</t>
  </si>
  <si>
    <t>13SP113</t>
  </si>
  <si>
    <t>12 - 13</t>
  </si>
  <si>
    <t>A - 45 Degree</t>
  </si>
  <si>
    <t>90AS901</t>
  </si>
  <si>
    <t>13 - 14</t>
  </si>
  <si>
    <t>10GE011</t>
  </si>
  <si>
    <t>34NN403</t>
  </si>
  <si>
    <t>14 - 15</t>
  </si>
  <si>
    <t>07XZ070</t>
  </si>
  <si>
    <t>01ZL033</t>
  </si>
  <si>
    <t>45XL455</t>
  </si>
  <si>
    <t>31LI031</t>
  </si>
  <si>
    <t>37de231</t>
  </si>
  <si>
    <t>33HS331</t>
  </si>
  <si>
    <t>15 - 16</t>
  </si>
  <si>
    <t>92DN555</t>
  </si>
  <si>
    <t>16 -17</t>
  </si>
  <si>
    <t>17 - 18</t>
  </si>
  <si>
    <t>94QT999</t>
  </si>
  <si>
    <t>10VV797</t>
  </si>
  <si>
    <t>36XN726</t>
  </si>
  <si>
    <t>37XS730</t>
  </si>
  <si>
    <t>78LL888</t>
  </si>
  <si>
    <t>37BF233</t>
  </si>
  <si>
    <t>09II300</t>
  </si>
  <si>
    <t>18 - 19</t>
  </si>
  <si>
    <t>37OE480</t>
  </si>
  <si>
    <t>50BY050</t>
  </si>
  <si>
    <t>19 - 20</t>
  </si>
  <si>
    <t>70JO770</t>
  </si>
  <si>
    <t>37FL596</t>
  </si>
  <si>
    <t>01ZG001</t>
  </si>
  <si>
    <t>20 - 21</t>
  </si>
  <si>
    <t>03MP330</t>
  </si>
  <si>
    <t>21 - 22</t>
  </si>
  <si>
    <t>37SY615</t>
  </si>
  <si>
    <t>34QN921</t>
  </si>
  <si>
    <t>83CX883</t>
  </si>
  <si>
    <t>22 - 23</t>
  </si>
  <si>
    <t>34PV373</t>
  </si>
  <si>
    <t>23 - 24</t>
  </si>
  <si>
    <t>93 II 933</t>
  </si>
  <si>
    <t>PP - Perpendicular</t>
  </si>
  <si>
    <t>15SR155</t>
  </si>
  <si>
    <t>35TQ398</t>
  </si>
  <si>
    <t>37SS852</t>
  </si>
  <si>
    <t>15SK155</t>
  </si>
  <si>
    <t>07OO110</t>
  </si>
  <si>
    <t>85KK005</t>
  </si>
  <si>
    <t>914AD61</t>
  </si>
  <si>
    <t>50LX051</t>
  </si>
  <si>
    <t>77 WI 977</t>
  </si>
  <si>
    <t>37ew525</t>
  </si>
  <si>
    <t>11u402</t>
  </si>
  <si>
    <t>71CL100</t>
  </si>
  <si>
    <t>36OX393</t>
  </si>
  <si>
    <t>16 - 17</t>
  </si>
  <si>
    <t>37KC738</t>
  </si>
  <si>
    <t>11UY111</t>
  </si>
  <si>
    <t>п096рр93</t>
  </si>
  <si>
    <t>09LM969</t>
  </si>
  <si>
    <t>37SF263</t>
  </si>
  <si>
    <t>37NK849</t>
  </si>
  <si>
    <t>37WW337</t>
  </si>
  <si>
    <t>60ds001</t>
  </si>
  <si>
    <t>10mw102</t>
  </si>
  <si>
    <t>01nw010</t>
  </si>
  <si>
    <t>37sf263</t>
  </si>
  <si>
    <t>01NW010</t>
  </si>
  <si>
    <t>10OK110</t>
  </si>
  <si>
    <t>35TV435</t>
  </si>
  <si>
    <t>37JS852</t>
  </si>
  <si>
    <t>37AB937</t>
  </si>
  <si>
    <t>70MP100</t>
  </si>
  <si>
    <t>898DE61</t>
  </si>
  <si>
    <t>88BB002</t>
  </si>
  <si>
    <t>10ok 110</t>
  </si>
  <si>
    <t>15sr155</t>
  </si>
  <si>
    <t>87hh100</t>
  </si>
  <si>
    <t>90kk099</t>
  </si>
  <si>
    <t>50ZF001</t>
  </si>
  <si>
    <t>77FX100</t>
  </si>
  <si>
    <t>01LI077</t>
  </si>
  <si>
    <t>01NS002</t>
  </si>
  <si>
    <t>37TI405</t>
  </si>
  <si>
    <t>80TT018</t>
  </si>
  <si>
    <t>37RI405</t>
  </si>
  <si>
    <t>37PB583</t>
  </si>
  <si>
    <t>37JT074</t>
  </si>
  <si>
    <t>11OA117</t>
  </si>
  <si>
    <t>40BB888</t>
  </si>
  <si>
    <t>99CQ099</t>
  </si>
  <si>
    <t>37Ka008</t>
  </si>
  <si>
    <t>37ZX596</t>
  </si>
  <si>
    <t>33gl777</t>
  </si>
  <si>
    <t>37 PK 881</t>
  </si>
  <si>
    <t>89 SS 777</t>
  </si>
  <si>
    <t>37lw316</t>
  </si>
  <si>
    <t>05ao577</t>
  </si>
  <si>
    <t>37oe871</t>
  </si>
  <si>
    <t>37pm348</t>
  </si>
  <si>
    <t>001cc19</t>
  </si>
  <si>
    <t>04ii044</t>
  </si>
  <si>
    <t>34pp198</t>
  </si>
  <si>
    <t>37kb977</t>
  </si>
  <si>
    <t>71AX117</t>
  </si>
  <si>
    <t>37OE871</t>
  </si>
  <si>
    <t>37PM348</t>
  </si>
  <si>
    <t>001CC19</t>
  </si>
  <si>
    <t>60UU060</t>
  </si>
  <si>
    <t>04II044</t>
  </si>
  <si>
    <t>10PX100</t>
  </si>
  <si>
    <t>37KB977</t>
  </si>
  <si>
    <t>10MD020</t>
  </si>
  <si>
    <t>17ZA700</t>
  </si>
  <si>
    <t>19DM191</t>
  </si>
  <si>
    <t>44SV443</t>
  </si>
  <si>
    <t>55HP505</t>
  </si>
  <si>
    <t>65GG055</t>
  </si>
  <si>
    <t>01HR044</t>
  </si>
  <si>
    <t>52SN555</t>
  </si>
  <si>
    <t>99OI996</t>
  </si>
  <si>
    <t>90PX990</t>
  </si>
  <si>
    <t>37MK279</t>
  </si>
  <si>
    <t>63dd66</t>
  </si>
  <si>
    <t>99jp969</t>
  </si>
  <si>
    <t>55hp505</t>
  </si>
  <si>
    <t>44SP404</t>
  </si>
  <si>
    <t>37OD811</t>
  </si>
  <si>
    <t>36PQ404</t>
  </si>
  <si>
    <t>63OS537</t>
  </si>
  <si>
    <t>63DD666</t>
  </si>
  <si>
    <t>04AF040</t>
  </si>
  <si>
    <t>37LW316</t>
  </si>
  <si>
    <t>37PM348 truck</t>
  </si>
  <si>
    <t>11CC118</t>
  </si>
  <si>
    <t>01VA002</t>
  </si>
  <si>
    <t>01Ap770</t>
  </si>
  <si>
    <t>15NO500</t>
  </si>
  <si>
    <t>37PA645</t>
  </si>
  <si>
    <t>36MR362</t>
  </si>
  <si>
    <t>13EE555</t>
  </si>
  <si>
    <t>55MA595</t>
  </si>
  <si>
    <t>99RB090</t>
  </si>
  <si>
    <t>90RO101</t>
  </si>
  <si>
    <t>15JV015</t>
  </si>
  <si>
    <t>18MX180</t>
  </si>
  <si>
    <t>88RR508</t>
  </si>
  <si>
    <t>37dx327</t>
  </si>
  <si>
    <t>36xo015</t>
  </si>
  <si>
    <t>37kj628</t>
  </si>
  <si>
    <t>99pa099</t>
  </si>
  <si>
    <t>25lv252</t>
  </si>
  <si>
    <t>01dd501</t>
  </si>
  <si>
    <t>37 SH 626</t>
  </si>
  <si>
    <t>80 MM 001</t>
  </si>
  <si>
    <t>07cc027</t>
  </si>
  <si>
    <t>55ma595</t>
  </si>
  <si>
    <t>55al595</t>
  </si>
  <si>
    <t>71ox001</t>
  </si>
  <si>
    <t>12nn122</t>
  </si>
  <si>
    <t>15dx777</t>
  </si>
  <si>
    <t>70ad770</t>
  </si>
  <si>
    <t>07CC027</t>
  </si>
  <si>
    <t>36UT771</t>
  </si>
  <si>
    <t>30LL033</t>
  </si>
  <si>
    <t>47TS447</t>
  </si>
  <si>
    <t>71OX001</t>
  </si>
  <si>
    <t>77JJ770</t>
  </si>
  <si>
    <t>15DX777</t>
  </si>
  <si>
    <t>09MM072</t>
  </si>
  <si>
    <t>77AA202</t>
  </si>
  <si>
    <t>0888уо94</t>
  </si>
  <si>
    <t>37xg306</t>
  </si>
  <si>
    <t>22ZZ003</t>
  </si>
  <si>
    <t>70AD770</t>
  </si>
  <si>
    <t>71AX717</t>
  </si>
  <si>
    <t>71rn700</t>
  </si>
  <si>
    <t>35lf960</t>
  </si>
  <si>
    <t>37EQ026</t>
  </si>
  <si>
    <t>60og606</t>
  </si>
  <si>
    <t>37dr415</t>
  </si>
  <si>
    <t>37lm805</t>
  </si>
  <si>
    <t>37mw092</t>
  </si>
  <si>
    <t>25SU091</t>
  </si>
  <si>
    <t>41HT001</t>
  </si>
  <si>
    <t>35VQ249</t>
  </si>
  <si>
    <t>078BB01</t>
  </si>
  <si>
    <t>33AM111</t>
  </si>
  <si>
    <t>02YV101</t>
  </si>
  <si>
    <t>55VD700</t>
  </si>
  <si>
    <t>44RR440</t>
  </si>
  <si>
    <t>35XV508</t>
  </si>
  <si>
    <t>333SL33</t>
  </si>
  <si>
    <t>62MM662</t>
  </si>
  <si>
    <t>37KD523</t>
  </si>
  <si>
    <t>34PP855</t>
  </si>
  <si>
    <t>36SD737</t>
  </si>
  <si>
    <t>03VU033</t>
  </si>
  <si>
    <t>55NP955</t>
  </si>
  <si>
    <t>69BB600</t>
  </si>
  <si>
    <t>36LR590</t>
  </si>
  <si>
    <t>29LD999</t>
  </si>
  <si>
    <t>13MJ113</t>
  </si>
  <si>
    <t>19qq016</t>
  </si>
  <si>
    <t>47do047</t>
  </si>
  <si>
    <t>50bx050</t>
  </si>
  <si>
    <t>36xx119</t>
  </si>
  <si>
    <t>13as113</t>
  </si>
  <si>
    <t>19oo206</t>
  </si>
  <si>
    <t>17 LC 777</t>
  </si>
  <si>
    <t>SB - Setback</t>
  </si>
  <si>
    <t>37aa709</t>
  </si>
  <si>
    <t>99xx110</t>
  </si>
  <si>
    <t>36um204</t>
  </si>
  <si>
    <t>36dq002</t>
  </si>
  <si>
    <t>37py846</t>
  </si>
  <si>
    <t>37AA709</t>
  </si>
  <si>
    <t>37DE887</t>
  </si>
  <si>
    <t>99XX110</t>
  </si>
  <si>
    <t>37VM193</t>
  </si>
  <si>
    <t>36UM204</t>
  </si>
  <si>
    <t>36DQ002</t>
  </si>
  <si>
    <t>70YM707</t>
  </si>
  <si>
    <t>99CS998</t>
  </si>
  <si>
    <t>37PY846</t>
  </si>
  <si>
    <t>010AA08</t>
  </si>
  <si>
    <t>30VR349</t>
  </si>
  <si>
    <t>77RC019</t>
  </si>
  <si>
    <t>10GI500</t>
  </si>
  <si>
    <t>71EA771</t>
  </si>
  <si>
    <t>37NJ656</t>
  </si>
  <si>
    <t>16NN661</t>
  </si>
  <si>
    <t>37GJ690</t>
  </si>
  <si>
    <t>37WM193</t>
  </si>
  <si>
    <t>36Dq002</t>
  </si>
  <si>
    <t>11RY110</t>
  </si>
  <si>
    <t>47SS333</t>
  </si>
  <si>
    <t>37hy890</t>
  </si>
  <si>
    <t>37ts368</t>
  </si>
  <si>
    <t>88ae488</t>
  </si>
  <si>
    <t>37rc019</t>
  </si>
  <si>
    <t>10ji500</t>
  </si>
  <si>
    <t>т027нт98</t>
  </si>
  <si>
    <t>30qp788</t>
  </si>
  <si>
    <t>07lu070</t>
  </si>
  <si>
    <t>62mm662</t>
  </si>
  <si>
    <t>37vm193</t>
  </si>
  <si>
    <t>37RC019</t>
  </si>
  <si>
    <t>01QA013</t>
  </si>
  <si>
    <t>07LU070</t>
  </si>
  <si>
    <t>50CC006</t>
  </si>
  <si>
    <t>20DD020</t>
  </si>
  <si>
    <t>90px090</t>
  </si>
  <si>
    <t>55MO001</t>
  </si>
  <si>
    <t>37CB372</t>
  </si>
  <si>
    <t>37RZ019</t>
  </si>
  <si>
    <t>07AR010</t>
  </si>
  <si>
    <t>35NA034</t>
  </si>
  <si>
    <t>37HC325</t>
  </si>
  <si>
    <t>06OK090</t>
  </si>
  <si>
    <t>34FA272</t>
  </si>
  <si>
    <t>18JP008</t>
  </si>
  <si>
    <t>90PX090</t>
  </si>
  <si>
    <t>19ZZ919</t>
  </si>
  <si>
    <t>35 NA034</t>
  </si>
  <si>
    <t>35GZ708</t>
  </si>
  <si>
    <t>88DQ889</t>
  </si>
  <si>
    <t>37DQ002</t>
  </si>
  <si>
    <t>37mi102</t>
  </si>
  <si>
    <t>53ov053</t>
  </si>
  <si>
    <t>53qq053</t>
  </si>
  <si>
    <t>90 TE 001</t>
  </si>
  <si>
    <t>90 WO 001</t>
  </si>
  <si>
    <t>07zz997</t>
  </si>
  <si>
    <t>51IE500</t>
  </si>
  <si>
    <t>Т027НТ98</t>
  </si>
  <si>
    <t>301AN61</t>
  </si>
  <si>
    <t>11JJ777</t>
  </si>
  <si>
    <t>01QI700</t>
  </si>
  <si>
    <t>37ZS978</t>
  </si>
  <si>
    <t>96IT096</t>
  </si>
  <si>
    <t>99TY990</t>
  </si>
  <si>
    <t>37NN897</t>
  </si>
  <si>
    <t>37HY890</t>
  </si>
  <si>
    <t>718ag61</t>
  </si>
  <si>
    <t>958dg61</t>
  </si>
  <si>
    <t>96it096</t>
  </si>
  <si>
    <t>19zz919</t>
  </si>
  <si>
    <t>37nw897</t>
  </si>
  <si>
    <t>37LB656</t>
  </si>
  <si>
    <t>37gj690</t>
  </si>
  <si>
    <t>09bb088</t>
  </si>
  <si>
    <t>94oo094</t>
  </si>
  <si>
    <t>37LB556</t>
  </si>
  <si>
    <t>80BO005</t>
  </si>
  <si>
    <t>10JI500</t>
  </si>
  <si>
    <t>37JA978</t>
  </si>
  <si>
    <t>44MW447</t>
  </si>
  <si>
    <t>15FE015</t>
  </si>
  <si>
    <t>37LA310</t>
  </si>
  <si>
    <t>37QW209</t>
  </si>
  <si>
    <t>10JI5000</t>
  </si>
  <si>
    <t>99AE919</t>
  </si>
  <si>
    <t>07ZZ997</t>
  </si>
  <si>
    <t>37ja 978</t>
  </si>
  <si>
    <t>80mi001</t>
  </si>
  <si>
    <t>51bb005</t>
  </si>
  <si>
    <t>37xg890</t>
  </si>
  <si>
    <t>90wo001</t>
  </si>
  <si>
    <t>70 EE 202</t>
  </si>
  <si>
    <t>37 MI 102</t>
  </si>
  <si>
    <t>53 QQ 053</t>
  </si>
  <si>
    <t>53 XS 053</t>
  </si>
  <si>
    <t>88sq888</t>
  </si>
  <si>
    <t>01bx011</t>
  </si>
  <si>
    <t>77xt477</t>
  </si>
  <si>
    <t>64ee466</t>
  </si>
  <si>
    <t>08ii828</t>
  </si>
  <si>
    <t>37eu695</t>
  </si>
  <si>
    <t>99ty990</t>
  </si>
  <si>
    <t>90bh090</t>
  </si>
  <si>
    <t>37AD235</t>
  </si>
  <si>
    <t>37SC455</t>
  </si>
  <si>
    <t>88SQ888</t>
  </si>
  <si>
    <t>77XT477</t>
  </si>
  <si>
    <t>37CW430</t>
  </si>
  <si>
    <t>64EE466</t>
  </si>
  <si>
    <t>08II828</t>
  </si>
  <si>
    <t>333vv37</t>
  </si>
  <si>
    <t>958DG61</t>
  </si>
  <si>
    <t>99TY090</t>
  </si>
  <si>
    <t>44EE404</t>
  </si>
  <si>
    <t>32SM340</t>
  </si>
  <si>
    <t>00000</t>
  </si>
  <si>
    <t>44FF411</t>
  </si>
  <si>
    <t>35QU602</t>
  </si>
  <si>
    <t>37ad235</t>
  </si>
  <si>
    <t>37cw430</t>
  </si>
  <si>
    <t>01xg011</t>
  </si>
  <si>
    <t>44ff411</t>
  </si>
  <si>
    <t>784HJ61</t>
  </si>
  <si>
    <t>13oq113</t>
  </si>
  <si>
    <t>165DH61</t>
  </si>
  <si>
    <t>37GI053</t>
  </si>
  <si>
    <t>34QU875</t>
  </si>
  <si>
    <t>37kf788</t>
  </si>
  <si>
    <t>10dv101</t>
  </si>
  <si>
    <t>10DR115</t>
  </si>
  <si>
    <t>71ea771</t>
  </si>
  <si>
    <t>34NV568</t>
  </si>
  <si>
    <t>37XT472</t>
  </si>
  <si>
    <t>22SS522</t>
  </si>
  <si>
    <t>77OO711</t>
  </si>
  <si>
    <t>08ll828</t>
  </si>
  <si>
    <t>37RS923</t>
  </si>
  <si>
    <t>37OA111</t>
  </si>
  <si>
    <t>80UM001</t>
  </si>
  <si>
    <t>05OK100</t>
  </si>
  <si>
    <t>22TV212</t>
  </si>
  <si>
    <t>863AV61</t>
  </si>
  <si>
    <t>88VM868</t>
  </si>
  <si>
    <t>37BJ275</t>
  </si>
  <si>
    <t>37VL253</t>
  </si>
  <si>
    <t>08SS802</t>
  </si>
  <si>
    <t>37GX917</t>
  </si>
  <si>
    <t>37DW827</t>
  </si>
  <si>
    <t>35MD782</t>
  </si>
  <si>
    <t>93ZS900</t>
  </si>
  <si>
    <t>22EB722</t>
  </si>
  <si>
    <t>55HT554</t>
  </si>
  <si>
    <t>37DH169</t>
  </si>
  <si>
    <t>37AP943</t>
  </si>
  <si>
    <t>35VZ118</t>
  </si>
  <si>
    <t>37OM366</t>
  </si>
  <si>
    <t>34VZ194</t>
  </si>
  <si>
    <t>37JR275</t>
  </si>
  <si>
    <t>36VD079</t>
  </si>
  <si>
    <t>81OT011</t>
  </si>
  <si>
    <t>36PV031</t>
  </si>
  <si>
    <t>55SO050</t>
  </si>
  <si>
    <t>99II303</t>
  </si>
  <si>
    <t>07KH011</t>
  </si>
  <si>
    <t>99IB969</t>
  </si>
  <si>
    <t>10PP333</t>
  </si>
  <si>
    <t>77ns772</t>
  </si>
  <si>
    <t>37qk089</t>
  </si>
  <si>
    <t>36ff788</t>
  </si>
  <si>
    <t>37cj924</t>
  </si>
  <si>
    <t>58 EX 777</t>
  </si>
  <si>
    <t>77 QL 877</t>
  </si>
  <si>
    <t>37 PV 846</t>
  </si>
  <si>
    <t>02td010</t>
  </si>
  <si>
    <t>33sc330</t>
  </si>
  <si>
    <t>51bm777</t>
  </si>
  <si>
    <t>17hh110</t>
  </si>
  <si>
    <t>99cv999</t>
  </si>
  <si>
    <t>33SC330</t>
  </si>
  <si>
    <t>51BM777</t>
  </si>
  <si>
    <t>35CR202</t>
  </si>
  <si>
    <t>57GB888</t>
  </si>
  <si>
    <t>17HH110</t>
  </si>
  <si>
    <t>99CV999</t>
  </si>
  <si>
    <t>37OZ486</t>
  </si>
  <si>
    <t>33aSX330</t>
  </si>
  <si>
    <t>30LU991</t>
  </si>
  <si>
    <t>35QO433</t>
  </si>
  <si>
    <t>37DM945</t>
  </si>
  <si>
    <t>21mn002</t>
  </si>
  <si>
    <t>37lk407</t>
  </si>
  <si>
    <t>37ib363</t>
  </si>
  <si>
    <t>57gx577</t>
  </si>
  <si>
    <t>47sg391</t>
  </si>
  <si>
    <t>37oz486</t>
  </si>
  <si>
    <t>99xs599</t>
  </si>
  <si>
    <t>33sx330</t>
  </si>
  <si>
    <t>36al152</t>
  </si>
  <si>
    <t>555as61</t>
  </si>
  <si>
    <t>57gb888</t>
  </si>
  <si>
    <t>37TN721</t>
  </si>
  <si>
    <t>37IB363</t>
  </si>
  <si>
    <t>57GX577</t>
  </si>
  <si>
    <t>77XL797</t>
  </si>
  <si>
    <t>02TD010</t>
  </si>
  <si>
    <t>37SG391</t>
  </si>
  <si>
    <t>no number</t>
  </si>
  <si>
    <t>47SG391</t>
  </si>
  <si>
    <t>07so088</t>
  </si>
  <si>
    <t>34xx334</t>
  </si>
  <si>
    <t>37sy069</t>
  </si>
  <si>
    <t>37uz593</t>
  </si>
  <si>
    <t>37pe922</t>
  </si>
  <si>
    <t>37ot149</t>
  </si>
  <si>
    <t>90TO001</t>
  </si>
  <si>
    <t>35GX355</t>
  </si>
  <si>
    <t>37GB888</t>
  </si>
  <si>
    <t>99XS599</t>
  </si>
  <si>
    <t>36AL152</t>
  </si>
  <si>
    <t>31KK111</t>
  </si>
  <si>
    <t>41NP441</t>
  </si>
  <si>
    <t>07SO888</t>
  </si>
  <si>
    <t>34XX334</t>
  </si>
  <si>
    <t>19ss909</t>
  </si>
  <si>
    <t>01SG404</t>
  </si>
  <si>
    <t>35GG887</t>
  </si>
  <si>
    <t>37ZD267</t>
  </si>
  <si>
    <t>88OX388</t>
  </si>
  <si>
    <t>11PP121</t>
  </si>
  <si>
    <t>21MN002</t>
  </si>
  <si>
    <t>10AG019</t>
  </si>
  <si>
    <t>36DM024</t>
  </si>
  <si>
    <t>88HT881</t>
  </si>
  <si>
    <t>02TS010</t>
  </si>
  <si>
    <t>37JQ633</t>
  </si>
  <si>
    <t>61GS111</t>
  </si>
  <si>
    <t>45AF455</t>
  </si>
  <si>
    <t>91MO009</t>
  </si>
  <si>
    <t>91IO001</t>
  </si>
  <si>
    <t>70YT077</t>
  </si>
  <si>
    <t>70SN077</t>
  </si>
  <si>
    <t>17CH007</t>
  </si>
  <si>
    <t>87OV670</t>
  </si>
  <si>
    <t>70GM777</t>
  </si>
  <si>
    <t>47vn047</t>
  </si>
  <si>
    <t>37qi113</t>
  </si>
  <si>
    <t>37km306</t>
  </si>
  <si>
    <t>36xz679</t>
  </si>
  <si>
    <t>37 RC 019</t>
  </si>
  <si>
    <t>37 AA 709</t>
  </si>
  <si>
    <t>99 XX 110</t>
  </si>
  <si>
    <t>37 GJ 960</t>
  </si>
  <si>
    <t>36 UM 204</t>
  </si>
  <si>
    <t>36 DQ 002</t>
  </si>
  <si>
    <t>857cs61</t>
  </si>
  <si>
    <t>99bm099</t>
  </si>
  <si>
    <t>81lx001</t>
  </si>
  <si>
    <t>02gl012</t>
  </si>
  <si>
    <t>35OQ224</t>
  </si>
  <si>
    <t>897HR61</t>
  </si>
  <si>
    <t>858CS61</t>
  </si>
  <si>
    <t>99BN09</t>
  </si>
  <si>
    <t>17MY007</t>
  </si>
  <si>
    <t>35SV290</t>
  </si>
  <si>
    <t>37BZ075</t>
  </si>
  <si>
    <t>88SC808</t>
  </si>
  <si>
    <t>37PJ602</t>
  </si>
  <si>
    <t>37OB387</t>
  </si>
  <si>
    <t>857CS61</t>
  </si>
  <si>
    <t>36CR512</t>
  </si>
  <si>
    <t>37pj602</t>
  </si>
  <si>
    <t>90oo959</t>
  </si>
  <si>
    <t>51ag101</t>
  </si>
  <si>
    <t>37km295</t>
  </si>
  <si>
    <t>35rd866</t>
  </si>
  <si>
    <t>84vm844</t>
  </si>
  <si>
    <t>37aj147</t>
  </si>
  <si>
    <t>15ax015</t>
  </si>
  <si>
    <t>690lt61</t>
  </si>
  <si>
    <t>80OD555</t>
  </si>
  <si>
    <t>35ZL988</t>
  </si>
  <si>
    <t>84MM884</t>
  </si>
  <si>
    <t>05HK055</t>
  </si>
  <si>
    <t>37OB119</t>
  </si>
  <si>
    <t>18KN188</t>
  </si>
  <si>
    <t>37sw321</t>
  </si>
  <si>
    <t>37Qi113</t>
  </si>
  <si>
    <t>35RD886</t>
  </si>
  <si>
    <t>24US380</t>
  </si>
  <si>
    <t>27PJ602</t>
  </si>
  <si>
    <t>57II575</t>
  </si>
  <si>
    <t>35RD866</t>
  </si>
  <si>
    <t>38RR333</t>
  </si>
  <si>
    <t>41WI001</t>
  </si>
  <si>
    <t>35PN708</t>
  </si>
  <si>
    <t>88AG999</t>
  </si>
  <si>
    <t>84VM844</t>
  </si>
  <si>
    <t>37KE163</t>
  </si>
  <si>
    <t>77NN404</t>
  </si>
  <si>
    <t>44AG440</t>
  </si>
  <si>
    <t>37SG984</t>
  </si>
  <si>
    <t>88BF388</t>
  </si>
  <si>
    <t>37PO554</t>
  </si>
  <si>
    <t>96YY666</t>
  </si>
  <si>
    <t>70SX707</t>
  </si>
  <si>
    <t>04CG040</t>
  </si>
  <si>
    <t>96VV666</t>
  </si>
  <si>
    <t>37VF822</t>
  </si>
  <si>
    <t>36XF730</t>
  </si>
  <si>
    <t>59ST599</t>
  </si>
  <si>
    <t>37LE182</t>
  </si>
  <si>
    <t>96VY666</t>
  </si>
  <si>
    <t>40HH049</t>
  </si>
  <si>
    <t>37SI698</t>
  </si>
  <si>
    <t>37FY234</t>
  </si>
  <si>
    <t>77II177</t>
  </si>
  <si>
    <t>91VR101</t>
  </si>
  <si>
    <t>50SA110</t>
  </si>
  <si>
    <t>80WW800</t>
  </si>
  <si>
    <t>90XK990</t>
  </si>
  <si>
    <t>37RE762</t>
  </si>
  <si>
    <t>35RR041</t>
  </si>
  <si>
    <t>37JP602</t>
  </si>
  <si>
    <t>36XQ541</t>
  </si>
  <si>
    <t>37QZ096</t>
  </si>
  <si>
    <t>37RO236</t>
  </si>
  <si>
    <t>37AJ417</t>
  </si>
  <si>
    <t>70cm707</t>
  </si>
  <si>
    <t>71zd700</t>
  </si>
  <si>
    <t>37rz846</t>
  </si>
  <si>
    <t>08ll094</t>
  </si>
  <si>
    <t>90oo008</t>
  </si>
  <si>
    <t>08 II 028</t>
  </si>
  <si>
    <t>958 DG 61</t>
  </si>
  <si>
    <t>96 IT 096</t>
  </si>
  <si>
    <t>99 TY 990</t>
  </si>
  <si>
    <t>90 BH 090</t>
  </si>
  <si>
    <t>37 HY 890</t>
  </si>
  <si>
    <t>07 ZZ 997</t>
  </si>
  <si>
    <t>836ul64</t>
  </si>
  <si>
    <t>007cd61</t>
  </si>
  <si>
    <t>37le814</t>
  </si>
  <si>
    <t>37tj576</t>
  </si>
  <si>
    <t>37mb905</t>
  </si>
  <si>
    <t>37xq293</t>
  </si>
  <si>
    <t>001iu10</t>
  </si>
  <si>
    <t>37pw489</t>
  </si>
  <si>
    <t>37kb619</t>
  </si>
  <si>
    <t>96vy666</t>
  </si>
  <si>
    <t>91IF900</t>
  </si>
  <si>
    <t>37TD167</t>
  </si>
  <si>
    <t>37TJ576</t>
  </si>
  <si>
    <t>10TT123</t>
  </si>
  <si>
    <t>796LU61</t>
  </si>
  <si>
    <t>37XQ293</t>
  </si>
  <si>
    <t>37PW489</t>
  </si>
  <si>
    <t>35RS257</t>
  </si>
  <si>
    <t>35TF891</t>
  </si>
  <si>
    <t>35DC226</t>
  </si>
  <si>
    <t>37FV071</t>
  </si>
  <si>
    <t>91RT991</t>
  </si>
  <si>
    <t>37EL504</t>
  </si>
  <si>
    <t>24SV224</t>
  </si>
  <si>
    <t>80SI100</t>
  </si>
  <si>
    <t>55TT255</t>
  </si>
  <si>
    <t>17FF007</t>
  </si>
  <si>
    <t>37RF357</t>
  </si>
  <si>
    <t>34NS047</t>
  </si>
  <si>
    <t>78MM700</t>
  </si>
  <si>
    <t>38XQ293</t>
  </si>
  <si>
    <t>37PW679</t>
  </si>
  <si>
    <t>02VW012</t>
  </si>
  <si>
    <t>22ss044</t>
  </si>
  <si>
    <t>35tf891</t>
  </si>
  <si>
    <t>91if900</t>
  </si>
  <si>
    <t>37cz088</t>
  </si>
  <si>
    <t>77qj772</t>
  </si>
  <si>
    <t>80si100</t>
  </si>
  <si>
    <t>77hn100</t>
  </si>
  <si>
    <t>22hh002</t>
  </si>
  <si>
    <t>87bt878</t>
  </si>
  <si>
    <t>10tt123</t>
  </si>
  <si>
    <t>37dz170</t>
  </si>
  <si>
    <t>77IE771</t>
  </si>
  <si>
    <t>35TE891</t>
  </si>
  <si>
    <t>35VQ483</t>
  </si>
  <si>
    <t>37SH913</t>
  </si>
  <si>
    <t>01YD101</t>
  </si>
  <si>
    <t>44NV441</t>
  </si>
  <si>
    <t>36AR766</t>
  </si>
  <si>
    <t>37GP700</t>
  </si>
  <si>
    <t>37QB826</t>
  </si>
  <si>
    <t>37QN352</t>
  </si>
  <si>
    <t>35AC443</t>
  </si>
  <si>
    <t>35VN036</t>
  </si>
  <si>
    <t>37HZ653</t>
  </si>
  <si>
    <t>77ff777</t>
  </si>
  <si>
    <t>07EB077</t>
  </si>
  <si>
    <t>63QO001</t>
  </si>
  <si>
    <t>500hh50</t>
  </si>
  <si>
    <t>41Np411</t>
  </si>
  <si>
    <t>21MI100</t>
  </si>
  <si>
    <t>37RZ846</t>
  </si>
  <si>
    <t>77KK377</t>
  </si>
  <si>
    <t>25RS257</t>
  </si>
  <si>
    <t>77QJ772</t>
  </si>
  <si>
    <t>34NC047</t>
  </si>
  <si>
    <t>77TT377</t>
  </si>
  <si>
    <t>35ZZ912</t>
  </si>
  <si>
    <t>35AL500</t>
  </si>
  <si>
    <t>35XZ036</t>
  </si>
  <si>
    <t>36CR641</t>
  </si>
  <si>
    <t>37LV237</t>
  </si>
  <si>
    <t>88UU888</t>
  </si>
  <si>
    <t>37HK486</t>
  </si>
  <si>
    <t>37DW906</t>
  </si>
  <si>
    <t>37BF564</t>
  </si>
  <si>
    <t>37QV753</t>
  </si>
  <si>
    <t>37FA169</t>
  </si>
  <si>
    <t>30US400</t>
  </si>
  <si>
    <t>70VX101</t>
  </si>
  <si>
    <t>37SY002</t>
  </si>
  <si>
    <t>25AN552</t>
  </si>
  <si>
    <t>37AV460</t>
  </si>
  <si>
    <t>85JW085</t>
  </si>
  <si>
    <t>35GN515</t>
  </si>
  <si>
    <t>37FY071</t>
  </si>
  <si>
    <t>ER-777-VA</t>
  </si>
  <si>
    <t>77WL677</t>
  </si>
  <si>
    <t>55DA115</t>
  </si>
  <si>
    <t>76WW677</t>
  </si>
  <si>
    <t>05OU020</t>
  </si>
  <si>
    <t>AB-220-UL</t>
  </si>
  <si>
    <t>71HU771</t>
  </si>
  <si>
    <t>37PW743</t>
  </si>
  <si>
    <t>37PJ468</t>
  </si>
  <si>
    <t>44SG844</t>
  </si>
  <si>
    <t>37QY325</t>
  </si>
  <si>
    <t>37LE191</t>
  </si>
  <si>
    <t>36UA433</t>
  </si>
  <si>
    <t>02VM012</t>
  </si>
  <si>
    <t>35GV977</t>
  </si>
  <si>
    <t>10WD110</t>
  </si>
  <si>
    <t>05UU020</t>
  </si>
  <si>
    <t>36DT512</t>
  </si>
  <si>
    <t>55XN355</t>
  </si>
  <si>
    <t>47II447</t>
  </si>
  <si>
    <t>37NH584</t>
  </si>
  <si>
    <t>03MS030</t>
  </si>
  <si>
    <t>11ZV112</t>
  </si>
  <si>
    <t>37KN665</t>
  </si>
  <si>
    <t>37LM654</t>
  </si>
  <si>
    <t>88VK880</t>
  </si>
  <si>
    <t>515TT01</t>
  </si>
  <si>
    <t>37JT492</t>
  </si>
  <si>
    <t>11HN117</t>
  </si>
  <si>
    <t>21ED201</t>
  </si>
  <si>
    <t>36ar766</t>
  </si>
  <si>
    <t>33xx322</t>
  </si>
  <si>
    <t>35cr703</t>
  </si>
  <si>
    <t>51qq555</t>
  </si>
  <si>
    <t>36gr303</t>
  </si>
  <si>
    <t>90mb909</t>
  </si>
  <si>
    <t>60hh500</t>
  </si>
  <si>
    <t>88eb818</t>
  </si>
  <si>
    <t>37nk035</t>
  </si>
  <si>
    <t>267hs61</t>
  </si>
  <si>
    <t>37eg453</t>
  </si>
  <si>
    <t>10nv500</t>
  </si>
  <si>
    <t>37tj279</t>
  </si>
  <si>
    <t>70ci707</t>
  </si>
  <si>
    <t>10KO500</t>
  </si>
  <si>
    <t>37LI842</t>
  </si>
  <si>
    <t>01XW005</t>
  </si>
  <si>
    <t>01SU005</t>
  </si>
  <si>
    <t>70CI707</t>
  </si>
  <si>
    <t>37MX228</t>
  </si>
  <si>
    <t>10gk008</t>
  </si>
  <si>
    <t>34dr978</t>
  </si>
  <si>
    <t>31au111</t>
  </si>
  <si>
    <t>33ww339</t>
  </si>
  <si>
    <t>37li542</t>
  </si>
  <si>
    <t>01xq005</t>
  </si>
  <si>
    <t>44OX444</t>
  </si>
  <si>
    <t>37OW457</t>
  </si>
  <si>
    <t>37HQ115</t>
  </si>
  <si>
    <t>37KT725</t>
  </si>
  <si>
    <t>GD8E154</t>
  </si>
  <si>
    <t>10KG008</t>
  </si>
  <si>
    <t>34DR978</t>
  </si>
  <si>
    <t>35NM021</t>
  </si>
  <si>
    <t>33WW339</t>
  </si>
  <si>
    <t>10DK001</t>
  </si>
  <si>
    <t>09IT099</t>
  </si>
  <si>
    <t>01EH001</t>
  </si>
  <si>
    <t>36NN379</t>
  </si>
  <si>
    <t>110OO90</t>
  </si>
  <si>
    <t>61ZZ006</t>
  </si>
  <si>
    <t>70TL707</t>
  </si>
  <si>
    <t>37SH977</t>
  </si>
  <si>
    <t>37OH389</t>
  </si>
  <si>
    <t>011TT11</t>
  </si>
  <si>
    <t>35QZ439</t>
  </si>
  <si>
    <t>90ON099</t>
  </si>
  <si>
    <t>A196TX193</t>
  </si>
  <si>
    <t>37HJ908</t>
  </si>
  <si>
    <t>15PQ515</t>
  </si>
  <si>
    <t>36OD901</t>
  </si>
  <si>
    <t>37VS180</t>
  </si>
  <si>
    <t>03KO033</t>
  </si>
  <si>
    <t>94MM949</t>
  </si>
  <si>
    <t>37RJ031</t>
  </si>
  <si>
    <t>92VV292</t>
  </si>
  <si>
    <t>33ii770</t>
  </si>
  <si>
    <t>33tk313</t>
  </si>
  <si>
    <t>37KW274</t>
  </si>
  <si>
    <t>37Hj652</t>
  </si>
  <si>
    <t>37PV269</t>
  </si>
  <si>
    <t>10BD055</t>
  </si>
  <si>
    <t>36DR530</t>
  </si>
  <si>
    <t>35ML151</t>
  </si>
  <si>
    <t>66AM166</t>
  </si>
  <si>
    <t>37HJ652</t>
  </si>
  <si>
    <t>66vc616</t>
  </si>
  <si>
    <t>13kx013</t>
  </si>
  <si>
    <t>37eu900</t>
  </si>
  <si>
    <t>37hj652</t>
  </si>
  <si>
    <t>10jg055</t>
  </si>
  <si>
    <t>37er506</t>
  </si>
  <si>
    <t>66am166</t>
  </si>
  <si>
    <t>35fo627</t>
  </si>
  <si>
    <t>34zm990</t>
  </si>
  <si>
    <t>10VG001</t>
  </si>
  <si>
    <t>37EU900</t>
  </si>
  <si>
    <t>10JG055</t>
  </si>
  <si>
    <t>37HC716</t>
  </si>
  <si>
    <t>60GP060</t>
  </si>
  <si>
    <t>37PP274</t>
  </si>
  <si>
    <t>01QS077</t>
  </si>
  <si>
    <t>01BW099</t>
  </si>
  <si>
    <t>36DR931</t>
  </si>
  <si>
    <t>01QC077</t>
  </si>
  <si>
    <t>50RA505</t>
  </si>
  <si>
    <t>37QB074</t>
  </si>
  <si>
    <t>37HJ602</t>
  </si>
  <si>
    <t>15EA100</t>
  </si>
  <si>
    <t>15GG511</t>
  </si>
  <si>
    <t>20OO222</t>
  </si>
  <si>
    <t>77DR722</t>
  </si>
  <si>
    <t>01ZA033</t>
  </si>
  <si>
    <t>37SE018</t>
  </si>
  <si>
    <t>37TK025</t>
  </si>
  <si>
    <t>36NF154</t>
  </si>
  <si>
    <t>33II770</t>
  </si>
  <si>
    <t>01AO017</t>
  </si>
  <si>
    <t>35HL151</t>
  </si>
  <si>
    <t>33TK313</t>
  </si>
  <si>
    <t>50PU101</t>
  </si>
  <si>
    <t>23 -24</t>
  </si>
  <si>
    <t>37hf803</t>
  </si>
  <si>
    <t>90nz001</t>
  </si>
  <si>
    <t>986dh61</t>
  </si>
  <si>
    <t>90uu008</t>
  </si>
  <si>
    <t>224cv61</t>
  </si>
  <si>
    <t>37JF803</t>
  </si>
  <si>
    <t>01PP064</t>
  </si>
  <si>
    <t>90NZ001</t>
  </si>
  <si>
    <t>90UU008</t>
  </si>
  <si>
    <t>71RR171</t>
  </si>
  <si>
    <t>91Ix001</t>
  </si>
  <si>
    <t>75SS184</t>
  </si>
  <si>
    <t>81XS001</t>
  </si>
  <si>
    <t>37SR734</t>
  </si>
  <si>
    <t>77II377</t>
  </si>
  <si>
    <t>100YY17</t>
  </si>
  <si>
    <t>37PH879</t>
  </si>
  <si>
    <t>37HL956</t>
  </si>
  <si>
    <t>37HF803</t>
  </si>
  <si>
    <t>21EF021</t>
  </si>
  <si>
    <t>37DY931</t>
  </si>
  <si>
    <t>34KK888</t>
  </si>
  <si>
    <t>37ph879</t>
  </si>
  <si>
    <t>37hl956</t>
  </si>
  <si>
    <t>01pp064</t>
  </si>
  <si>
    <t>37hm750</t>
  </si>
  <si>
    <t>21ef021</t>
  </si>
  <si>
    <t>71rr171</t>
  </si>
  <si>
    <t>60ks060</t>
  </si>
  <si>
    <t>55yi515</t>
  </si>
  <si>
    <t>81xs001</t>
  </si>
  <si>
    <t>37HM750</t>
  </si>
  <si>
    <t>88IT881</t>
  </si>
  <si>
    <t>94KK888</t>
  </si>
  <si>
    <t>18EE180</t>
  </si>
  <si>
    <t>01IS010</t>
  </si>
  <si>
    <t>55YI515</t>
  </si>
  <si>
    <t>90ON096</t>
  </si>
  <si>
    <t>37TY931</t>
  </si>
  <si>
    <t>94KT888</t>
  </si>
  <si>
    <t>88JY887</t>
  </si>
  <si>
    <t>88II881</t>
  </si>
  <si>
    <t>37DY933</t>
  </si>
  <si>
    <t>47HL956</t>
  </si>
  <si>
    <t>37SE703</t>
  </si>
  <si>
    <t>35VO491</t>
  </si>
  <si>
    <t>96LX996</t>
  </si>
  <si>
    <t>37JK086</t>
  </si>
  <si>
    <t>36MV342</t>
  </si>
  <si>
    <t>20 -21</t>
  </si>
  <si>
    <t>99AA903</t>
  </si>
  <si>
    <t>11TH011</t>
  </si>
  <si>
    <t>37MZ730</t>
  </si>
  <si>
    <t>71LA071</t>
  </si>
  <si>
    <t>35ZR399</t>
  </si>
  <si>
    <t>594OC61</t>
  </si>
  <si>
    <t>38MV342</t>
  </si>
  <si>
    <t>88HM888</t>
  </si>
  <si>
    <t>88OD888</t>
  </si>
  <si>
    <t>36 XT 124</t>
  </si>
  <si>
    <t>37OB354</t>
  </si>
  <si>
    <t>36AA423</t>
  </si>
  <si>
    <t>37AE117</t>
  </si>
  <si>
    <t>88LP888</t>
  </si>
  <si>
    <t>36zn706</t>
  </si>
  <si>
    <t>73ga007</t>
  </si>
  <si>
    <t>35vo491</t>
  </si>
  <si>
    <t>37oz337</t>
  </si>
  <si>
    <t>87nc878</t>
  </si>
  <si>
    <t>87wv877</t>
  </si>
  <si>
    <t>99yb899</t>
  </si>
  <si>
    <t>87NC878</t>
  </si>
  <si>
    <t>075DD55</t>
  </si>
  <si>
    <t>37OZ337</t>
  </si>
  <si>
    <t>73GA007</t>
  </si>
  <si>
    <t>36ZN706</t>
  </si>
  <si>
    <t>37SJ699</t>
  </si>
  <si>
    <t>35TR440</t>
  </si>
  <si>
    <t>96PC096</t>
  </si>
  <si>
    <t>84TT404</t>
  </si>
  <si>
    <t>11WM171</t>
  </si>
  <si>
    <t>35ATR440</t>
  </si>
  <si>
    <t>66MN661</t>
  </si>
  <si>
    <t>35XP661</t>
  </si>
  <si>
    <t>75MZ005</t>
  </si>
  <si>
    <t>96PG096</t>
  </si>
  <si>
    <t>10 -11</t>
  </si>
  <si>
    <t>36ao154</t>
  </si>
  <si>
    <t>88hm988</t>
  </si>
  <si>
    <t>37vm459</t>
  </si>
  <si>
    <t>87vw877</t>
  </si>
  <si>
    <t>06oo404</t>
  </si>
  <si>
    <t>81yl001</t>
  </si>
  <si>
    <t>11wm171</t>
  </si>
  <si>
    <t>35tr440</t>
  </si>
  <si>
    <t>05ff553</t>
  </si>
  <si>
    <t>37JQ790</t>
  </si>
  <si>
    <t>81YL001</t>
  </si>
  <si>
    <t>37TZ927</t>
  </si>
  <si>
    <t>87WV877</t>
  </si>
  <si>
    <t>99YB899</t>
  </si>
  <si>
    <t>88HM898</t>
  </si>
  <si>
    <t>29SU672</t>
  </si>
  <si>
    <t>28UU800</t>
  </si>
  <si>
    <t>05FF533</t>
  </si>
  <si>
    <t>36VO468</t>
  </si>
  <si>
    <t>75LL184</t>
  </si>
  <si>
    <t>36AO154</t>
  </si>
  <si>
    <t>90LT099</t>
  </si>
  <si>
    <t>02XF001</t>
  </si>
  <si>
    <t>36AU726</t>
  </si>
  <si>
    <t>36AO153</t>
  </si>
  <si>
    <t>44FF494</t>
  </si>
  <si>
    <t>36AU725</t>
  </si>
  <si>
    <t>13XK013</t>
  </si>
  <si>
    <t>37NH158</t>
  </si>
  <si>
    <t>90MM989</t>
  </si>
  <si>
    <t>37ZS350</t>
  </si>
  <si>
    <t>01HM444</t>
  </si>
  <si>
    <t>09ME100</t>
  </si>
  <si>
    <t>37LH253</t>
  </si>
  <si>
    <t>76AT007</t>
  </si>
  <si>
    <t>87VW877</t>
  </si>
  <si>
    <t>37NP584</t>
  </si>
  <si>
    <t>35NO391</t>
  </si>
  <si>
    <t>37LG252</t>
  </si>
  <si>
    <t>37OY376</t>
  </si>
  <si>
    <t>02JI001</t>
  </si>
  <si>
    <t>070HH08</t>
  </si>
  <si>
    <t>69GG111</t>
  </si>
  <si>
    <t>01MS116</t>
  </si>
  <si>
    <t>44TF441</t>
  </si>
  <si>
    <t>37OE432</t>
  </si>
  <si>
    <t>36AA502</t>
  </si>
  <si>
    <t>28SX800</t>
  </si>
  <si>
    <t>95ND955</t>
  </si>
  <si>
    <t>21ZI888</t>
  </si>
  <si>
    <t>073uu68</t>
  </si>
  <si>
    <t>37pj074</t>
  </si>
  <si>
    <t>37jp471</t>
  </si>
  <si>
    <t>92JJ009</t>
  </si>
  <si>
    <t>35AC444</t>
  </si>
  <si>
    <t>68JJ688</t>
  </si>
  <si>
    <t>37HE674</t>
  </si>
  <si>
    <t>70CM707</t>
  </si>
  <si>
    <t>37EG453</t>
  </si>
  <si>
    <t>36FN886</t>
  </si>
  <si>
    <t>37PJ317</t>
  </si>
  <si>
    <t>35ZA132</t>
  </si>
  <si>
    <t>44WM404</t>
  </si>
  <si>
    <t>27MS027</t>
  </si>
  <si>
    <t>37EO412</t>
  </si>
  <si>
    <t>37KY341</t>
  </si>
  <si>
    <t>35AV692</t>
  </si>
  <si>
    <t>36PS953</t>
  </si>
  <si>
    <t>37XN549</t>
  </si>
  <si>
    <t>37JN465</t>
  </si>
  <si>
    <t>55KK105</t>
  </si>
  <si>
    <t>01YD107</t>
  </si>
  <si>
    <t>37pj317</t>
  </si>
  <si>
    <t>88bx818</t>
  </si>
  <si>
    <t>44wm404</t>
  </si>
  <si>
    <t>27ms027</t>
  </si>
  <si>
    <t>35ac443</t>
  </si>
  <si>
    <t>37ky341</t>
  </si>
  <si>
    <t>37qn352</t>
  </si>
  <si>
    <t>37gp700</t>
  </si>
  <si>
    <t>37jn465</t>
  </si>
  <si>
    <t>55kk105</t>
  </si>
  <si>
    <t>01yd107</t>
  </si>
  <si>
    <t>37lw503</t>
  </si>
  <si>
    <t>37GJ451</t>
  </si>
  <si>
    <t>39QQ393</t>
  </si>
  <si>
    <t>15FF333</t>
  </si>
  <si>
    <t>37HE850</t>
  </si>
  <si>
    <t>88UU884</t>
  </si>
  <si>
    <t>90MM099</t>
  </si>
  <si>
    <t>10DV101</t>
  </si>
  <si>
    <t>37EK453</t>
  </si>
  <si>
    <t>46SN587</t>
  </si>
  <si>
    <t>35AL300</t>
  </si>
  <si>
    <t>37AI711</t>
  </si>
  <si>
    <t>77FF777</t>
  </si>
  <si>
    <t>37LV826</t>
  </si>
  <si>
    <t>05FF553</t>
  </si>
  <si>
    <t>27MC027</t>
  </si>
  <si>
    <t>37LW192</t>
  </si>
  <si>
    <t>80VV880</t>
  </si>
  <si>
    <t>77LI777</t>
  </si>
  <si>
    <t>10BR100</t>
  </si>
  <si>
    <t>23HH888</t>
  </si>
  <si>
    <t>37GO182</t>
  </si>
  <si>
    <t>08WW011</t>
  </si>
  <si>
    <t>244CR61</t>
  </si>
  <si>
    <t>37SH595</t>
  </si>
  <si>
    <t>50JN101</t>
  </si>
  <si>
    <t>35Al500</t>
  </si>
  <si>
    <t>040SL33</t>
  </si>
  <si>
    <t>03WW088</t>
  </si>
  <si>
    <t>21EX221</t>
  </si>
  <si>
    <t>37MH269</t>
  </si>
  <si>
    <t>008GG98</t>
  </si>
  <si>
    <t>02PS010</t>
  </si>
  <si>
    <t>06YY022</t>
  </si>
  <si>
    <t>37RS743</t>
  </si>
  <si>
    <t>72NS772</t>
  </si>
  <si>
    <t>21DA222</t>
  </si>
  <si>
    <t>07YS077</t>
  </si>
  <si>
    <t>37OQ389</t>
  </si>
  <si>
    <t>37NK035</t>
  </si>
  <si>
    <t>66ER616</t>
  </si>
  <si>
    <t>37KX135</t>
  </si>
  <si>
    <t>90MB909</t>
  </si>
  <si>
    <t>90OX600</t>
  </si>
  <si>
    <t>36UX131</t>
  </si>
  <si>
    <t>37KT120</t>
  </si>
  <si>
    <t>88EB818</t>
  </si>
  <si>
    <t>24mm001</t>
  </si>
  <si>
    <t>08ii094</t>
  </si>
  <si>
    <t>37qb920</t>
  </si>
  <si>
    <t>71ep071</t>
  </si>
  <si>
    <t>22ht022</t>
  </si>
  <si>
    <t>35zs855</t>
  </si>
  <si>
    <t>37li579</t>
  </si>
  <si>
    <t>37QB920</t>
  </si>
  <si>
    <t>71EP071</t>
  </si>
  <si>
    <t>22HT022</t>
  </si>
  <si>
    <t>37KT834</t>
  </si>
  <si>
    <t>37OT149</t>
  </si>
  <si>
    <t>24MM001</t>
  </si>
  <si>
    <t>35QF217</t>
  </si>
  <si>
    <t>37UZ593</t>
  </si>
  <si>
    <t>37VM201</t>
  </si>
  <si>
    <t>37KZ846</t>
  </si>
  <si>
    <t>22HH022</t>
  </si>
  <si>
    <t>37LI579</t>
  </si>
  <si>
    <t>41np411</t>
  </si>
  <si>
    <t>10MS500</t>
  </si>
  <si>
    <t>483an61</t>
  </si>
  <si>
    <t>37HM622</t>
  </si>
  <si>
    <t>41NP411</t>
  </si>
  <si>
    <t>85PV736</t>
  </si>
  <si>
    <t>37FB182</t>
  </si>
  <si>
    <t>99LN998</t>
  </si>
  <si>
    <t>90KO001</t>
  </si>
  <si>
    <t>11DI100</t>
  </si>
  <si>
    <t>37KK834</t>
  </si>
  <si>
    <t>37SY069</t>
  </si>
  <si>
    <t>35QV217</t>
  </si>
  <si>
    <t>07SO088</t>
  </si>
  <si>
    <t>34XF334</t>
  </si>
  <si>
    <t>37QB929</t>
  </si>
  <si>
    <t>07ZO088</t>
  </si>
  <si>
    <t>88KG018</t>
  </si>
  <si>
    <t>32EV002</t>
  </si>
  <si>
    <t>37OY155</t>
  </si>
  <si>
    <t>02EV001</t>
  </si>
  <si>
    <t>33LI033</t>
  </si>
  <si>
    <t>35MD952</t>
  </si>
  <si>
    <t>37LB579</t>
  </si>
  <si>
    <t>35SA100</t>
  </si>
  <si>
    <t>23LA001</t>
  </si>
  <si>
    <t>99OG995</t>
  </si>
  <si>
    <t>04OU228</t>
  </si>
  <si>
    <t>08LL094</t>
  </si>
  <si>
    <t>10DB011</t>
  </si>
  <si>
    <t>37SO088</t>
  </si>
  <si>
    <t>37TT370</t>
  </si>
  <si>
    <t>90OO008</t>
  </si>
  <si>
    <t>71ZD700</t>
  </si>
  <si>
    <t>37RK658</t>
  </si>
  <si>
    <t>13LU743</t>
  </si>
  <si>
    <t>14UO831</t>
  </si>
  <si>
    <t>12xx800</t>
  </si>
  <si>
    <t>77xv778</t>
  </si>
  <si>
    <t>37HT062</t>
  </si>
  <si>
    <t>47VN047</t>
  </si>
  <si>
    <t>34NM382</t>
  </si>
  <si>
    <t>77XV977</t>
  </si>
  <si>
    <t>37RG637</t>
  </si>
  <si>
    <t>37QI113</t>
  </si>
  <si>
    <t>21OM001</t>
  </si>
  <si>
    <t>17NN010</t>
  </si>
  <si>
    <t>37SK371</t>
  </si>
  <si>
    <t>37JD850</t>
  </si>
  <si>
    <t>34nm382</t>
  </si>
  <si>
    <t>77xv977</t>
  </si>
  <si>
    <t>37dw999</t>
  </si>
  <si>
    <t>38rr333</t>
  </si>
  <si>
    <t>35cz612</t>
  </si>
  <si>
    <t>88QJ881</t>
  </si>
  <si>
    <t>60QO808</t>
  </si>
  <si>
    <t>39HO007</t>
  </si>
  <si>
    <t>37RJ637</t>
  </si>
  <si>
    <t>37HY978</t>
  </si>
  <si>
    <t>37SW321</t>
  </si>
  <si>
    <t>37NJ889</t>
  </si>
  <si>
    <t>37EC301</t>
  </si>
  <si>
    <t>14VV011</t>
  </si>
  <si>
    <t>44GG422</t>
  </si>
  <si>
    <t>37RF433</t>
  </si>
  <si>
    <t>09LM010</t>
  </si>
  <si>
    <t>34MM382</t>
  </si>
  <si>
    <t>37PY978</t>
  </si>
  <si>
    <t>47PN047</t>
  </si>
  <si>
    <t>01WQ007</t>
  </si>
  <si>
    <t>35RQ389</t>
  </si>
  <si>
    <t xml:space="preserve">37PV978 </t>
  </si>
  <si>
    <t>23JA023</t>
  </si>
  <si>
    <t>38RR389</t>
  </si>
  <si>
    <t>37QI 113</t>
  </si>
  <si>
    <t>46TV007</t>
  </si>
  <si>
    <t>10SG045</t>
  </si>
  <si>
    <t>37JI898</t>
  </si>
  <si>
    <t>34VQ799</t>
  </si>
  <si>
    <t>37QX898</t>
  </si>
  <si>
    <t>37ZL400</t>
  </si>
  <si>
    <t>37QW238</t>
  </si>
  <si>
    <t>81YI188</t>
  </si>
  <si>
    <t>66cc664</t>
  </si>
  <si>
    <t>37hw131</t>
  </si>
  <si>
    <t>37me294</t>
  </si>
  <si>
    <t>37py042</t>
  </si>
  <si>
    <t>12li012</t>
  </si>
  <si>
    <t>869OF61</t>
  </si>
  <si>
    <t>36ZA473</t>
  </si>
  <si>
    <t>37HW131</t>
  </si>
  <si>
    <t>18GT118</t>
  </si>
  <si>
    <t>35CX058</t>
  </si>
  <si>
    <t>37PY042</t>
  </si>
  <si>
    <t>37OK980</t>
  </si>
  <si>
    <t>12LQ012</t>
  </si>
  <si>
    <t>12MI012</t>
  </si>
  <si>
    <t>12LI012</t>
  </si>
  <si>
    <t>37OQ</t>
  </si>
  <si>
    <t>37KG833</t>
  </si>
  <si>
    <t>77PG717</t>
  </si>
  <si>
    <t>37GH437</t>
  </si>
  <si>
    <t>68LO189</t>
  </si>
  <si>
    <t>31OI031</t>
  </si>
  <si>
    <t>07KK117</t>
  </si>
  <si>
    <t>66CC664</t>
  </si>
  <si>
    <t>36OC662</t>
  </si>
  <si>
    <t>37ME294</t>
  </si>
  <si>
    <t>36ST437</t>
  </si>
  <si>
    <t>37CE825</t>
  </si>
  <si>
    <t>77MM071</t>
  </si>
  <si>
    <t>37NV672</t>
  </si>
  <si>
    <t>06MG666</t>
  </si>
  <si>
    <t>85MI085</t>
  </si>
  <si>
    <t>26OU126</t>
  </si>
  <si>
    <t>31qi031</t>
  </si>
  <si>
    <t>99gg939</t>
  </si>
  <si>
    <t>77jj101</t>
  </si>
  <si>
    <t>37ce825</t>
  </si>
  <si>
    <t>06mg666</t>
  </si>
  <si>
    <t>35cx058</t>
  </si>
  <si>
    <t>12lq012</t>
  </si>
  <si>
    <t>12mi012</t>
  </si>
  <si>
    <t>37JF106</t>
  </si>
  <si>
    <t>08ID001</t>
  </si>
  <si>
    <t>35QV313</t>
  </si>
  <si>
    <t>85DR885</t>
  </si>
  <si>
    <t>021PP21</t>
  </si>
  <si>
    <t>37MG335</t>
  </si>
  <si>
    <t>37HF106</t>
  </si>
  <si>
    <t>37QI748</t>
  </si>
  <si>
    <t>37JA360</t>
  </si>
  <si>
    <t>37CI730</t>
  </si>
  <si>
    <t>35QV310</t>
  </si>
  <si>
    <t>37RW209</t>
  </si>
  <si>
    <t>12EQ012</t>
  </si>
  <si>
    <t>35QJ217</t>
  </si>
  <si>
    <t>37KK833</t>
  </si>
  <si>
    <t>02SF001</t>
  </si>
  <si>
    <t>33PA533</t>
  </si>
  <si>
    <t>22DD322</t>
  </si>
  <si>
    <t>37HV106</t>
  </si>
  <si>
    <t>37OA058</t>
  </si>
  <si>
    <t>77GB772</t>
  </si>
  <si>
    <t>37HV209</t>
  </si>
  <si>
    <t>12NQ012</t>
  </si>
  <si>
    <t>77JJ101</t>
  </si>
  <si>
    <t>55ZZ665</t>
  </si>
  <si>
    <t>36ZG631</t>
  </si>
  <si>
    <t>22HH202</t>
  </si>
  <si>
    <t>36TL071</t>
  </si>
  <si>
    <t>57II775</t>
  </si>
  <si>
    <t>15RH115</t>
  </si>
  <si>
    <t>37ZD671</t>
  </si>
  <si>
    <t>31SA111</t>
  </si>
  <si>
    <t>37FE401</t>
  </si>
  <si>
    <t>36ZG681</t>
  </si>
  <si>
    <t>11RT011</t>
  </si>
  <si>
    <t>77HH703</t>
  </si>
  <si>
    <t>37HC880</t>
  </si>
  <si>
    <t>70OZ002</t>
  </si>
  <si>
    <t>10IK010</t>
  </si>
  <si>
    <t>55SE553</t>
  </si>
  <si>
    <t>37OQ676</t>
  </si>
  <si>
    <t>90JO909</t>
  </si>
  <si>
    <t>10RF105</t>
  </si>
  <si>
    <t>98GG989</t>
  </si>
  <si>
    <t>37KA121</t>
  </si>
  <si>
    <t>37RH095</t>
  </si>
  <si>
    <t>77HH027</t>
  </si>
  <si>
    <t>37PQ210</t>
  </si>
  <si>
    <t>79NL779</t>
  </si>
  <si>
    <t>44TT774</t>
  </si>
  <si>
    <t>37RJ903</t>
  </si>
  <si>
    <t>36nd947</t>
  </si>
  <si>
    <t>37fs086</t>
  </si>
  <si>
    <t>36cs862</t>
  </si>
  <si>
    <t>37jz190</t>
  </si>
  <si>
    <t>37ut518</t>
  </si>
  <si>
    <t>77JJ220</t>
  </si>
  <si>
    <t>37qc069</t>
  </si>
  <si>
    <t>а762ва799</t>
  </si>
  <si>
    <t>254gg61</t>
  </si>
  <si>
    <t>33hh366</t>
  </si>
  <si>
    <t>17qi001</t>
  </si>
  <si>
    <t>01tt880</t>
  </si>
  <si>
    <t>85xy085</t>
  </si>
  <si>
    <t>01db077</t>
  </si>
  <si>
    <t>77hg757</t>
  </si>
  <si>
    <t>36ND947</t>
  </si>
  <si>
    <t>36CS862</t>
  </si>
  <si>
    <t>37JZ190</t>
  </si>
  <si>
    <t>37QC069</t>
  </si>
  <si>
    <t>34UC146</t>
  </si>
  <si>
    <t>А762ВА799</t>
  </si>
  <si>
    <t>33HH366</t>
  </si>
  <si>
    <t>37JC454</t>
  </si>
  <si>
    <t>17QI001</t>
  </si>
  <si>
    <t>01TT080</t>
  </si>
  <si>
    <t>37RK958</t>
  </si>
  <si>
    <t>01BD077</t>
  </si>
  <si>
    <t>37RE794</t>
  </si>
  <si>
    <t>17DA077</t>
  </si>
  <si>
    <t>99BB609</t>
  </si>
  <si>
    <t>37OH681</t>
  </si>
  <si>
    <t>04OO445</t>
  </si>
  <si>
    <t>19BB199</t>
  </si>
  <si>
    <t>A762BA799</t>
  </si>
  <si>
    <t>35ZD417</t>
  </si>
  <si>
    <t>37HK447</t>
  </si>
  <si>
    <t>10YY009</t>
  </si>
  <si>
    <t>55SL551</t>
  </si>
  <si>
    <t>69DD007</t>
  </si>
  <si>
    <t>37GE237</t>
  </si>
  <si>
    <t>29DD290</t>
  </si>
  <si>
    <t>37GH454</t>
  </si>
  <si>
    <t>32SL290</t>
  </si>
  <si>
    <t>80OG100</t>
  </si>
  <si>
    <t>37QK568</t>
  </si>
  <si>
    <t>37QI374</t>
  </si>
  <si>
    <t>37PM075</t>
  </si>
  <si>
    <t>05ma101</t>
  </si>
  <si>
    <t>50xx440</t>
  </si>
  <si>
    <t>01xb007</t>
  </si>
  <si>
    <t>34uc146</t>
  </si>
  <si>
    <t>88dq899</t>
  </si>
  <si>
    <t>18hh881</t>
  </si>
  <si>
    <t>06ed900</t>
  </si>
  <si>
    <t>37qk568</t>
  </si>
  <si>
    <t>01bd077</t>
  </si>
  <si>
    <t>37qi274</t>
  </si>
  <si>
    <t>53vv535</t>
  </si>
  <si>
    <t>96mb966</t>
  </si>
  <si>
    <t>37pw075</t>
  </si>
  <si>
    <t>37gh437</t>
  </si>
  <si>
    <t>37LK481</t>
  </si>
  <si>
    <t>17AC001</t>
  </si>
  <si>
    <t>86MV800</t>
  </si>
  <si>
    <t>50XX440</t>
  </si>
  <si>
    <t>01XB007</t>
  </si>
  <si>
    <t>77VT787</t>
  </si>
  <si>
    <t>23XK777</t>
  </si>
  <si>
    <t>18HH881</t>
  </si>
  <si>
    <t>37GU274</t>
  </si>
  <si>
    <t>123LX45</t>
  </si>
  <si>
    <t>022GG06</t>
  </si>
  <si>
    <t>96MB966</t>
  </si>
  <si>
    <t>37PW075</t>
  </si>
  <si>
    <t>47WW447</t>
  </si>
  <si>
    <t>03QQ800</t>
  </si>
  <si>
    <t>19OO015</t>
  </si>
  <si>
    <t>37NR318</t>
  </si>
  <si>
    <t>37JZ109</t>
  </si>
  <si>
    <t>77VV077</t>
  </si>
  <si>
    <t>60OO088</t>
  </si>
  <si>
    <t>331AM11</t>
  </si>
  <si>
    <t>035SL333</t>
  </si>
  <si>
    <t>77PP710</t>
  </si>
  <si>
    <t>37XU853</t>
  </si>
  <si>
    <t>01BD007</t>
  </si>
  <si>
    <t>37QB193</t>
  </si>
  <si>
    <t>50MU500</t>
  </si>
  <si>
    <t>36NT947</t>
  </si>
  <si>
    <t>37OY829</t>
  </si>
  <si>
    <t>37GX087</t>
  </si>
  <si>
    <t>19IB199</t>
  </si>
  <si>
    <t>37UF718</t>
  </si>
  <si>
    <t>10DZ007</t>
  </si>
  <si>
    <t>37DI593</t>
  </si>
  <si>
    <t>01MN070</t>
  </si>
  <si>
    <t>36ST761</t>
  </si>
  <si>
    <t>09BB089</t>
  </si>
  <si>
    <t>81XO777</t>
  </si>
  <si>
    <t>14AA914</t>
  </si>
  <si>
    <t>37KC251</t>
  </si>
  <si>
    <t>10SL523</t>
  </si>
  <si>
    <t>34TV740</t>
  </si>
  <si>
    <t>55SS522</t>
  </si>
  <si>
    <t>37QB218</t>
  </si>
  <si>
    <t>37KF572</t>
  </si>
  <si>
    <t>37Pw075</t>
  </si>
  <si>
    <t>37NJO35</t>
  </si>
  <si>
    <t>22OS514</t>
  </si>
  <si>
    <t>88BB180</t>
  </si>
  <si>
    <t>37SR020</t>
  </si>
  <si>
    <t>37DQ739</t>
  </si>
  <si>
    <t>762BA799</t>
  </si>
  <si>
    <t>36UF718</t>
  </si>
  <si>
    <t>37XP864</t>
  </si>
  <si>
    <t>35UD767</t>
  </si>
  <si>
    <t>37MR799</t>
  </si>
  <si>
    <t>36VV972</t>
  </si>
  <si>
    <t>88SI100</t>
  </si>
  <si>
    <t>90GA099</t>
  </si>
  <si>
    <t>50MO011</t>
  </si>
  <si>
    <t>01TT880</t>
  </si>
  <si>
    <t>662CV61</t>
  </si>
  <si>
    <t>19RP119</t>
  </si>
  <si>
    <t>88SM388</t>
  </si>
  <si>
    <t>21ZI001</t>
  </si>
  <si>
    <t>37SW426</t>
  </si>
  <si>
    <t>18HV881</t>
  </si>
  <si>
    <t>55SS552</t>
  </si>
  <si>
    <t>36QM524</t>
  </si>
  <si>
    <t>37MJ525</t>
  </si>
  <si>
    <t>47AJ116</t>
  </si>
  <si>
    <t>37PN790</t>
  </si>
  <si>
    <t>17IQ001</t>
  </si>
  <si>
    <t>010AL10</t>
  </si>
  <si>
    <t>01 TT880</t>
  </si>
  <si>
    <t>10HM808</t>
  </si>
  <si>
    <t>10DR909</t>
  </si>
  <si>
    <t>37FS086</t>
  </si>
  <si>
    <t>37MJ252</t>
  </si>
  <si>
    <t>926AU61</t>
  </si>
  <si>
    <t>66PP366</t>
  </si>
  <si>
    <t>09SL929</t>
  </si>
  <si>
    <t>37BV781</t>
  </si>
  <si>
    <t>36FS978</t>
  </si>
  <si>
    <t>11HA911</t>
  </si>
  <si>
    <t>37RE787</t>
  </si>
  <si>
    <t>35PC878</t>
  </si>
  <si>
    <t>97MW979</t>
  </si>
  <si>
    <t>37HR609</t>
  </si>
  <si>
    <t>37AJ116</t>
  </si>
  <si>
    <t>37RK494</t>
  </si>
  <si>
    <t>55VV588</t>
  </si>
  <si>
    <t>a762ва799</t>
  </si>
  <si>
    <t>21EI221</t>
  </si>
  <si>
    <t>77HG757</t>
  </si>
  <si>
    <t>01BM021</t>
  </si>
  <si>
    <t>383HT61</t>
  </si>
  <si>
    <t>35CO130</t>
  </si>
  <si>
    <t>37XR078</t>
  </si>
  <si>
    <t>01AK088</t>
  </si>
  <si>
    <t>37JC680</t>
  </si>
  <si>
    <t>37AD413</t>
  </si>
  <si>
    <t>55HK255</t>
  </si>
  <si>
    <t>03RZ099</t>
  </si>
  <si>
    <t>54CC544</t>
  </si>
  <si>
    <t>11LS512</t>
  </si>
  <si>
    <t>37zt817</t>
  </si>
  <si>
    <t>01px101</t>
  </si>
  <si>
    <t>35lc843</t>
  </si>
  <si>
    <t>55mr355</t>
  </si>
  <si>
    <t>90FB001</t>
  </si>
  <si>
    <t>09EE070</t>
  </si>
  <si>
    <t>37KA364</t>
  </si>
  <si>
    <t>01CC115</t>
  </si>
  <si>
    <t>97FF707</t>
  </si>
  <si>
    <t>37zf655</t>
  </si>
  <si>
    <t>88zb838</t>
  </si>
  <si>
    <t>09ee070</t>
  </si>
  <si>
    <t>50oo909</t>
  </si>
  <si>
    <t>37ka364</t>
  </si>
  <si>
    <t>35uf498</t>
  </si>
  <si>
    <t>37nj103</t>
  </si>
  <si>
    <t>10OC303</t>
  </si>
  <si>
    <t>88ZB838</t>
  </si>
  <si>
    <t>37VK536</t>
  </si>
  <si>
    <t>37JC148</t>
  </si>
  <si>
    <t>36ZP188</t>
  </si>
  <si>
    <t>40UU041</t>
  </si>
  <si>
    <t>37BI925</t>
  </si>
  <si>
    <t>37HL117</t>
  </si>
  <si>
    <t>35VG728</t>
  </si>
  <si>
    <t>37TI925</t>
  </si>
  <si>
    <t>70TQ007</t>
  </si>
  <si>
    <t>70TQ001</t>
  </si>
  <si>
    <t>97VS707</t>
  </si>
  <si>
    <t>37VG728</t>
  </si>
  <si>
    <t>37XQ415</t>
  </si>
  <si>
    <t>37DQ418</t>
  </si>
  <si>
    <t>97VC707</t>
  </si>
  <si>
    <t>37MK527</t>
  </si>
  <si>
    <t>90LD990</t>
  </si>
  <si>
    <t>37xq415</t>
  </si>
  <si>
    <t>90ld990</t>
  </si>
  <si>
    <t>37mk527</t>
  </si>
  <si>
    <t>054TT04</t>
  </si>
  <si>
    <t>37FW928</t>
  </si>
  <si>
    <t>37LE432</t>
  </si>
  <si>
    <t>97CQ007</t>
  </si>
  <si>
    <t>37vg728</t>
  </si>
  <si>
    <t>21ii200</t>
  </si>
  <si>
    <t>37RF651</t>
  </si>
  <si>
    <t>37ZT817</t>
  </si>
  <si>
    <t>01PX101</t>
  </si>
  <si>
    <t>37rg651</t>
  </si>
  <si>
    <t>98mm889</t>
  </si>
  <si>
    <t>37eo667</t>
  </si>
  <si>
    <t>SS833YS</t>
  </si>
  <si>
    <t>37EO667</t>
  </si>
  <si>
    <t>35MR355</t>
  </si>
  <si>
    <t>35LS843</t>
  </si>
  <si>
    <t xml:space="preserve"> 51DD009 </t>
  </si>
  <si>
    <t>378HS61</t>
  </si>
  <si>
    <t>79QD079</t>
  </si>
  <si>
    <t>37RG651</t>
  </si>
  <si>
    <t>22SS295</t>
  </si>
  <si>
    <t>37JT148</t>
  </si>
  <si>
    <t>37EX667</t>
  </si>
  <si>
    <t>68QQ333</t>
  </si>
  <si>
    <t>79QT009</t>
  </si>
  <si>
    <t>37JZ148</t>
  </si>
  <si>
    <t>51DD009</t>
  </si>
  <si>
    <t>47EO667</t>
  </si>
  <si>
    <t>37JI665</t>
  </si>
  <si>
    <t>55MR 355</t>
  </si>
  <si>
    <t>55GR355</t>
  </si>
  <si>
    <t>55MR335</t>
  </si>
  <si>
    <t>35LC843</t>
  </si>
  <si>
    <t>44QD404</t>
  </si>
  <si>
    <t>77QL877</t>
  </si>
  <si>
    <t>85ME085</t>
  </si>
  <si>
    <t>58EX777</t>
  </si>
  <si>
    <t>37kb273</t>
  </si>
  <si>
    <t>77ql877</t>
  </si>
  <si>
    <t>58ex777</t>
  </si>
  <si>
    <t>66NA707</t>
  </si>
  <si>
    <t>37PW088</t>
  </si>
  <si>
    <t>35ZX533</t>
  </si>
  <si>
    <t>37OT999</t>
  </si>
  <si>
    <t>37OK108</t>
  </si>
  <si>
    <t>70XX404</t>
  </si>
  <si>
    <t>07UU107</t>
  </si>
  <si>
    <t>07LF707</t>
  </si>
  <si>
    <t>36RC535</t>
  </si>
  <si>
    <t>36QL062</t>
  </si>
  <si>
    <t>77MC377</t>
  </si>
  <si>
    <t>33WW393</t>
  </si>
  <si>
    <t>7981AB-8</t>
  </si>
  <si>
    <t>37HZ707</t>
  </si>
  <si>
    <t>37OQ593</t>
  </si>
  <si>
    <t>303CD61</t>
  </si>
  <si>
    <t>36CC760</t>
  </si>
  <si>
    <t>37ML920</t>
  </si>
  <si>
    <t>55TV585</t>
  </si>
  <si>
    <t>95SB955</t>
  </si>
  <si>
    <t>36RG348</t>
  </si>
  <si>
    <t>10LH200</t>
  </si>
  <si>
    <t>37VM396</t>
  </si>
  <si>
    <t>213CQ61</t>
  </si>
  <si>
    <t>70DA707</t>
  </si>
  <si>
    <t>18SU515</t>
  </si>
  <si>
    <t>35RR533</t>
  </si>
  <si>
    <t>287HR61</t>
  </si>
  <si>
    <t>37JK858</t>
  </si>
  <si>
    <t>19TV999</t>
  </si>
  <si>
    <t>64AR644</t>
  </si>
  <si>
    <t>99UF990</t>
  </si>
  <si>
    <t>51GX511</t>
  </si>
  <si>
    <t>50NG100</t>
  </si>
  <si>
    <t>01TY050</t>
  </si>
  <si>
    <t>71DF700</t>
  </si>
  <si>
    <t>59II900</t>
  </si>
  <si>
    <t>37LI244</t>
  </si>
  <si>
    <t>36GG280</t>
  </si>
  <si>
    <t>49RR499</t>
  </si>
  <si>
    <t>81Dd333</t>
  </si>
  <si>
    <t>77FK177</t>
  </si>
  <si>
    <t xml:space="preserve">36CC760 </t>
  </si>
  <si>
    <t>37KJ858</t>
  </si>
  <si>
    <t>81DD333</t>
  </si>
  <si>
    <t>50BB777</t>
  </si>
  <si>
    <t>77FX177</t>
  </si>
  <si>
    <t>31II711</t>
  </si>
  <si>
    <t>06QO002</t>
  </si>
  <si>
    <t>21AT012</t>
  </si>
  <si>
    <t>78JH787</t>
  </si>
  <si>
    <t>79XS777</t>
  </si>
  <si>
    <t>91ED911</t>
  </si>
  <si>
    <t>63SS388</t>
  </si>
  <si>
    <t>34DR043</t>
  </si>
  <si>
    <t>07TZ077</t>
  </si>
  <si>
    <t>43TT555</t>
  </si>
  <si>
    <t>50KK051</t>
  </si>
  <si>
    <t>17ED700</t>
  </si>
  <si>
    <t>36ML383</t>
  </si>
  <si>
    <t>36OF388</t>
  </si>
  <si>
    <t>678AC61</t>
  </si>
  <si>
    <t>37OI208</t>
  </si>
  <si>
    <t>37JQ070</t>
  </si>
  <si>
    <t>37SK728</t>
  </si>
  <si>
    <t>35HO100</t>
  </si>
  <si>
    <t>35ZX534</t>
  </si>
  <si>
    <t>36ZZ327</t>
  </si>
  <si>
    <t>37SJ389</t>
  </si>
  <si>
    <t>05NQ055</t>
  </si>
  <si>
    <t>35PZ589</t>
  </si>
  <si>
    <t>37SX035</t>
  </si>
  <si>
    <t>37FS198</t>
  </si>
  <si>
    <t>001DU41</t>
  </si>
  <si>
    <t>001OD41</t>
  </si>
  <si>
    <t>36OM489</t>
  </si>
  <si>
    <t>37GU233</t>
  </si>
  <si>
    <t>37EP855</t>
  </si>
  <si>
    <t>70gt006</t>
  </si>
  <si>
    <t>37sx035</t>
  </si>
  <si>
    <t>56gg606</t>
  </si>
  <si>
    <t>001du41</t>
  </si>
  <si>
    <t>80mw500</t>
  </si>
  <si>
    <t>70KT006</t>
  </si>
  <si>
    <t>72QQ111</t>
  </si>
  <si>
    <t>36NC876</t>
  </si>
  <si>
    <t>90UU444</t>
  </si>
  <si>
    <t>37JL669</t>
  </si>
  <si>
    <t>70GT006</t>
  </si>
  <si>
    <t>82JJ001</t>
  </si>
  <si>
    <t>077CV08</t>
  </si>
  <si>
    <t>35VP839</t>
  </si>
  <si>
    <t>101AS01</t>
  </si>
  <si>
    <t>37HK296</t>
  </si>
  <si>
    <t>82JJ008</t>
  </si>
  <si>
    <t>35QP651</t>
  </si>
  <si>
    <t>56NN777</t>
  </si>
  <si>
    <t>01EE044</t>
  </si>
  <si>
    <t>99PO099</t>
  </si>
  <si>
    <t>44LH414</t>
  </si>
  <si>
    <t>73MD773</t>
  </si>
  <si>
    <t>37GT006</t>
  </si>
  <si>
    <t>50BX050</t>
  </si>
  <si>
    <t>36RN574</t>
  </si>
  <si>
    <t>99UD991</t>
  </si>
  <si>
    <t>40DG001</t>
  </si>
  <si>
    <t>53LX053</t>
  </si>
  <si>
    <t>53KA053</t>
  </si>
  <si>
    <t>37KO707</t>
  </si>
  <si>
    <t>88VB818</t>
  </si>
  <si>
    <t>001aOD41</t>
  </si>
  <si>
    <t>33VS869</t>
  </si>
  <si>
    <t>99PA099</t>
  </si>
  <si>
    <t>25LV252</t>
  </si>
  <si>
    <t>09LO099</t>
  </si>
  <si>
    <t>88YB818</t>
  </si>
  <si>
    <t>37KW287</t>
  </si>
  <si>
    <t>36KJ628</t>
  </si>
  <si>
    <t>11XE011</t>
  </si>
  <si>
    <t>99PJ996</t>
  </si>
  <si>
    <t>21AN001</t>
  </si>
  <si>
    <t>88YI881</t>
  </si>
  <si>
    <t>09lo099</t>
  </si>
  <si>
    <t>001DU61</t>
  </si>
  <si>
    <t>06OO550</t>
  </si>
  <si>
    <t>37AX553</t>
  </si>
  <si>
    <t>08II909</t>
  </si>
  <si>
    <t>502AV05</t>
  </si>
  <si>
    <t>29AN288</t>
  </si>
  <si>
    <t>11BB101</t>
  </si>
  <si>
    <t>28AN288</t>
  </si>
  <si>
    <t>70RL101</t>
  </si>
  <si>
    <t>27UL451</t>
  </si>
  <si>
    <t>37JO518</t>
  </si>
  <si>
    <t>95YY777</t>
  </si>
  <si>
    <t>37LM805</t>
  </si>
  <si>
    <t>37MW092</t>
  </si>
  <si>
    <t>19QQ016</t>
  </si>
  <si>
    <t>36FS305</t>
  </si>
  <si>
    <t>36XX119</t>
  </si>
  <si>
    <t>47DO047</t>
  </si>
  <si>
    <t>37FY027</t>
  </si>
  <si>
    <t>37oq761</t>
  </si>
  <si>
    <t>53xx533</t>
  </si>
  <si>
    <t>57ii775</t>
  </si>
  <si>
    <t>53ka053</t>
  </si>
  <si>
    <t>37fy027</t>
  </si>
  <si>
    <t>99jl989</t>
  </si>
  <si>
    <t>53lx053</t>
  </si>
  <si>
    <t>53XX533</t>
  </si>
  <si>
    <t>88NR887</t>
  </si>
  <si>
    <t>37RZ623</t>
  </si>
  <si>
    <t>35LF960</t>
  </si>
  <si>
    <t>77LA911</t>
  </si>
  <si>
    <t>19OO206</t>
  </si>
  <si>
    <t>05YL050</t>
  </si>
  <si>
    <t>36XU338</t>
  </si>
  <si>
    <t>10WY110</t>
  </si>
  <si>
    <t>01SQ007</t>
  </si>
  <si>
    <t>99JL989</t>
  </si>
  <si>
    <t>37MW602</t>
  </si>
  <si>
    <t>99GL989</t>
  </si>
  <si>
    <t>01VB505</t>
  </si>
  <si>
    <t>35RP707</t>
  </si>
  <si>
    <t>36FV8410</t>
  </si>
  <si>
    <t>80IO880</t>
  </si>
  <si>
    <t>36FV841</t>
  </si>
  <si>
    <t>01LL0628</t>
  </si>
  <si>
    <t>88HN885</t>
  </si>
  <si>
    <t>14AV144</t>
  </si>
  <si>
    <t>37RE508</t>
  </si>
  <si>
    <t>37KE603</t>
  </si>
  <si>
    <t>37MZ885</t>
  </si>
  <si>
    <t>25KO025</t>
  </si>
  <si>
    <t>248AP61</t>
  </si>
  <si>
    <t>25OO001</t>
  </si>
  <si>
    <t>36RP807</t>
  </si>
  <si>
    <t>10VM007</t>
  </si>
  <si>
    <t>77NK101</t>
  </si>
  <si>
    <t>51QA555</t>
  </si>
  <si>
    <t>37JO981</t>
  </si>
  <si>
    <t>37KV317</t>
  </si>
  <si>
    <t>07YN707</t>
  </si>
  <si>
    <t>04NN020</t>
  </si>
  <si>
    <t>37WW092</t>
  </si>
  <si>
    <t>37KJ628</t>
  </si>
  <si>
    <t xml:space="preserve"> 99PA099</t>
  </si>
  <si>
    <t>71RN700</t>
  </si>
  <si>
    <t>13AS113</t>
  </si>
  <si>
    <t>53XS053</t>
  </si>
  <si>
    <t>53QQ053</t>
  </si>
  <si>
    <t>37MI102</t>
  </si>
  <si>
    <t>70EE202</t>
  </si>
  <si>
    <t>90WO001</t>
  </si>
  <si>
    <t>90TE001</t>
  </si>
  <si>
    <t>44QQ244</t>
  </si>
  <si>
    <t>37SH626</t>
  </si>
  <si>
    <t>89SS777</t>
  </si>
  <si>
    <t>37PK881</t>
  </si>
  <si>
    <t>36QR641</t>
  </si>
  <si>
    <t>37QT686</t>
  </si>
  <si>
    <t>93II933</t>
  </si>
  <si>
    <t>07vz707</t>
  </si>
  <si>
    <t>80mm001</t>
  </si>
  <si>
    <t>37sh626</t>
  </si>
  <si>
    <t>89ss777</t>
  </si>
  <si>
    <t>93ii933</t>
  </si>
  <si>
    <t>68sl230</t>
  </si>
  <si>
    <t>011RT07</t>
  </si>
  <si>
    <t>10DI505</t>
  </si>
  <si>
    <t>23UU767</t>
  </si>
  <si>
    <t>80MM001</t>
  </si>
  <si>
    <t>27VV001</t>
  </si>
  <si>
    <t>21XQ001</t>
  </si>
  <si>
    <t>99ID997</t>
  </si>
  <si>
    <t>07OT007</t>
  </si>
  <si>
    <t>34VP124</t>
  </si>
  <si>
    <t>37KB007</t>
  </si>
  <si>
    <t>90OX001</t>
  </si>
  <si>
    <t>88RK887</t>
  </si>
  <si>
    <t>37OJ048</t>
  </si>
  <si>
    <t>07OK011</t>
  </si>
  <si>
    <t>34ZV896</t>
  </si>
  <si>
    <t>37CH063</t>
  </si>
  <si>
    <t>50QQ056</t>
  </si>
  <si>
    <t>37DF309</t>
  </si>
  <si>
    <t>27NA700</t>
  </si>
  <si>
    <t>38VV333</t>
  </si>
  <si>
    <t>37QK089</t>
  </si>
  <si>
    <t>053AG53</t>
  </si>
  <si>
    <t>90JX001</t>
  </si>
  <si>
    <t>37BF286</t>
  </si>
  <si>
    <t>20XQ001</t>
  </si>
  <si>
    <t>35GG991</t>
  </si>
  <si>
    <t>51BD500</t>
  </si>
  <si>
    <t>44ES440</t>
  </si>
  <si>
    <t>9897F1</t>
  </si>
  <si>
    <t>44OO555</t>
  </si>
  <si>
    <t>45DM545</t>
  </si>
  <si>
    <t>80OO001</t>
  </si>
  <si>
    <t>01TH001</t>
  </si>
  <si>
    <t>88VI388</t>
  </si>
  <si>
    <t>91UU991</t>
  </si>
  <si>
    <t>24UL148</t>
  </si>
  <si>
    <t>02HT025</t>
  </si>
  <si>
    <t>22MM022</t>
  </si>
  <si>
    <t>36CD815</t>
  </si>
  <si>
    <t>02WV101</t>
  </si>
  <si>
    <t>88HM818</t>
  </si>
  <si>
    <t>36XQ132</t>
  </si>
  <si>
    <t>01OD110</t>
  </si>
  <si>
    <t>44ED440</t>
  </si>
  <si>
    <t>89MV900</t>
  </si>
  <si>
    <t>9894FI</t>
  </si>
  <si>
    <t>37KU851</t>
  </si>
  <si>
    <t>88DM883</t>
  </si>
  <si>
    <t>80KK881</t>
  </si>
  <si>
    <t>88AE488</t>
  </si>
  <si>
    <t>434DE61</t>
  </si>
  <si>
    <t>070KO11</t>
  </si>
  <si>
    <t>01TH011</t>
  </si>
  <si>
    <t>053AA53</t>
  </si>
  <si>
    <t>37QE492</t>
  </si>
  <si>
    <t>36DZ310</t>
  </si>
  <si>
    <t>01QD110</t>
  </si>
  <si>
    <t>25HM025</t>
  </si>
  <si>
    <t>80RL088</t>
  </si>
  <si>
    <t>01RV707</t>
  </si>
  <si>
    <t>80BB878</t>
  </si>
  <si>
    <t>36OH268</t>
  </si>
  <si>
    <t>10GK055</t>
  </si>
  <si>
    <t>65AV500</t>
  </si>
  <si>
    <t>37OH268</t>
  </si>
  <si>
    <t>37RJ322</t>
  </si>
  <si>
    <t>51BB005</t>
  </si>
  <si>
    <t>211AN61</t>
  </si>
  <si>
    <t>07ZZ577</t>
  </si>
  <si>
    <t>37MB600</t>
  </si>
  <si>
    <t>37FK898</t>
  </si>
  <si>
    <t>35XP149</t>
  </si>
  <si>
    <t>99GV998</t>
  </si>
  <si>
    <t>37CJ752</t>
  </si>
  <si>
    <t>53OX053</t>
  </si>
  <si>
    <t>53OV053</t>
  </si>
  <si>
    <t>90OD111</t>
  </si>
  <si>
    <t>99GG959</t>
  </si>
  <si>
    <t>91KO009</t>
  </si>
  <si>
    <t>77VW707</t>
  </si>
  <si>
    <t>72HN777</t>
  </si>
  <si>
    <t>37VM592</t>
  </si>
  <si>
    <t>01XG011</t>
  </si>
  <si>
    <t>35CF554</t>
  </si>
  <si>
    <t>33RB133</t>
  </si>
  <si>
    <t>37FK663</t>
  </si>
  <si>
    <t>37TA265</t>
  </si>
  <si>
    <t>15XC005</t>
  </si>
  <si>
    <t>18UU427</t>
  </si>
  <si>
    <t>54xx440</t>
  </si>
  <si>
    <t>35zd010</t>
  </si>
  <si>
    <t>24ul148</t>
  </si>
  <si>
    <t>88ds885</t>
  </si>
  <si>
    <t>06ta066</t>
  </si>
  <si>
    <t>37hj474</t>
  </si>
  <si>
    <t>37fk663</t>
  </si>
  <si>
    <t>37ta265</t>
  </si>
  <si>
    <t>10tq100</t>
  </si>
  <si>
    <t>480ar61</t>
  </si>
  <si>
    <t>36tf913</t>
  </si>
  <si>
    <t>34pz981</t>
  </si>
  <si>
    <t>35ZD010</t>
  </si>
  <si>
    <t>30OO203</t>
  </si>
  <si>
    <t>60TA066</t>
  </si>
  <si>
    <t>37HJ474</t>
  </si>
  <si>
    <t>23SP283</t>
  </si>
  <si>
    <t>37CZ869</t>
  </si>
  <si>
    <t>19SS066</t>
  </si>
  <si>
    <t>37HL016</t>
  </si>
  <si>
    <t>865AR61</t>
  </si>
  <si>
    <t>87YE887</t>
  </si>
  <si>
    <t>50QQ006</t>
  </si>
  <si>
    <t>71OQ001</t>
  </si>
  <si>
    <t>88GN880</t>
  </si>
  <si>
    <t>37ET119</t>
  </si>
  <si>
    <t>37MZ113</t>
  </si>
  <si>
    <t>37VX853</t>
  </si>
  <si>
    <t>06TA066</t>
  </si>
  <si>
    <t>97WO007</t>
  </si>
  <si>
    <t>35VX154</t>
  </si>
  <si>
    <t>85BQ085</t>
  </si>
  <si>
    <t>88DX898</t>
  </si>
  <si>
    <t>37KV085</t>
  </si>
  <si>
    <t>37KB896</t>
  </si>
  <si>
    <t>37TJ565</t>
  </si>
  <si>
    <t>37ET132</t>
  </si>
  <si>
    <t>36UD726</t>
  </si>
  <si>
    <t>35TF913</t>
  </si>
  <si>
    <t>90JR090</t>
  </si>
  <si>
    <t>35US090</t>
  </si>
  <si>
    <t>37JP326</t>
  </si>
  <si>
    <t>82GN880</t>
  </si>
  <si>
    <t>99HU699</t>
  </si>
  <si>
    <t>13NR013</t>
  </si>
  <si>
    <t>341DF61</t>
  </si>
  <si>
    <t>96XK096</t>
  </si>
  <si>
    <t>13 -14</t>
  </si>
  <si>
    <t>38EE338</t>
  </si>
  <si>
    <t>71LP100</t>
  </si>
  <si>
    <t>94AG333</t>
  </si>
  <si>
    <t>37JO623</t>
  </si>
  <si>
    <t>35QO458</t>
  </si>
  <si>
    <t>48PT888</t>
  </si>
  <si>
    <t>13GU333</t>
  </si>
  <si>
    <t>68SL780</t>
  </si>
  <si>
    <t>20NN066</t>
  </si>
  <si>
    <t>55LT655</t>
  </si>
  <si>
    <t>37KB297</t>
  </si>
  <si>
    <t>37RM474</t>
  </si>
  <si>
    <t>10FL010</t>
  </si>
  <si>
    <t>37VI980</t>
  </si>
  <si>
    <t>37QO458</t>
  </si>
  <si>
    <t>18xo008</t>
  </si>
  <si>
    <t>023YY01</t>
  </si>
  <si>
    <t>07EB100</t>
  </si>
  <si>
    <t>37PN691</t>
  </si>
  <si>
    <t>37QM173</t>
  </si>
  <si>
    <t>35SC190</t>
  </si>
  <si>
    <t>37KT149</t>
  </si>
  <si>
    <t>37DI402</t>
  </si>
  <si>
    <t>36UN983</t>
  </si>
  <si>
    <t>70HH710</t>
  </si>
  <si>
    <t>37TP944</t>
  </si>
  <si>
    <t>к414ем152</t>
  </si>
  <si>
    <t>34RB024</t>
  </si>
  <si>
    <t>37CJ722</t>
  </si>
  <si>
    <t>37OI882</t>
  </si>
  <si>
    <t>96QO096</t>
  </si>
  <si>
    <t>80OO024</t>
  </si>
  <si>
    <t>10EI777</t>
  </si>
  <si>
    <t>13LV133</t>
  </si>
  <si>
    <t>390HT61</t>
  </si>
  <si>
    <t>44TM440</t>
  </si>
  <si>
    <t>55IS555</t>
  </si>
  <si>
    <t>80SO001</t>
  </si>
  <si>
    <t>001AM12</t>
  </si>
  <si>
    <t>05HH505</t>
  </si>
  <si>
    <t>90BB101</t>
  </si>
  <si>
    <t>88FJ788</t>
  </si>
  <si>
    <t>33cx933</t>
  </si>
  <si>
    <t>01ms124</t>
  </si>
  <si>
    <t>501HH10</t>
  </si>
  <si>
    <t>01MS124</t>
  </si>
  <si>
    <t>26HM200</t>
  </si>
  <si>
    <t>x238ME799</t>
  </si>
  <si>
    <t>36NN661</t>
  </si>
  <si>
    <t>M - Motorcycle</t>
  </si>
  <si>
    <t>36LR550</t>
  </si>
  <si>
    <t>35QQ045</t>
  </si>
  <si>
    <t>35ZN677</t>
  </si>
  <si>
    <t>58TL058</t>
  </si>
  <si>
    <t>35fa365</t>
  </si>
  <si>
    <t>35qq045</t>
  </si>
  <si>
    <t>36nn661</t>
  </si>
  <si>
    <t>06ss600</t>
  </si>
  <si>
    <t>35zn677</t>
  </si>
  <si>
    <t>37mh097</t>
  </si>
  <si>
    <t>36FQ404</t>
  </si>
  <si>
    <t>37MH097</t>
  </si>
  <si>
    <t>34ZM351</t>
  </si>
  <si>
    <t>02AE101</t>
  </si>
  <si>
    <t>36Nn661</t>
  </si>
  <si>
    <t>37JC822</t>
  </si>
  <si>
    <t>33OP265</t>
  </si>
  <si>
    <t>37GP281</t>
  </si>
  <si>
    <t>85VX777</t>
  </si>
  <si>
    <t>80UM006</t>
  </si>
  <si>
    <t>315LO05</t>
  </si>
  <si>
    <t>03OP265</t>
  </si>
  <si>
    <t>36ZN677</t>
  </si>
  <si>
    <t>264HJ61</t>
  </si>
  <si>
    <t>07OI050</t>
  </si>
  <si>
    <t>02SE101</t>
  </si>
  <si>
    <t>315LO</t>
  </si>
  <si>
    <t>587DG61</t>
  </si>
  <si>
    <t>35LR550</t>
  </si>
  <si>
    <t>35OQ045</t>
  </si>
  <si>
    <t>37KO355</t>
  </si>
  <si>
    <t>37JJ220</t>
  </si>
  <si>
    <t>34ZU629</t>
  </si>
  <si>
    <t xml:space="preserve">- </t>
  </si>
  <si>
    <t>90mg060</t>
  </si>
  <si>
    <t>36pu063</t>
  </si>
  <si>
    <t>77vo117</t>
  </si>
  <si>
    <t>05AA050</t>
  </si>
  <si>
    <t>36PU063</t>
  </si>
  <si>
    <t>35TP338</t>
  </si>
  <si>
    <t>36PU003</t>
  </si>
  <si>
    <t>020NA61</t>
  </si>
  <si>
    <t>37IA748</t>
  </si>
  <si>
    <t>35PR699</t>
  </si>
  <si>
    <t>37ME482</t>
  </si>
  <si>
    <t>36OU003</t>
  </si>
  <si>
    <t>17RB177</t>
  </si>
  <si>
    <t>35QT005</t>
  </si>
  <si>
    <t>51FE051</t>
  </si>
  <si>
    <t>JC843CJ</t>
  </si>
  <si>
    <t>35WW003</t>
  </si>
  <si>
    <t>03VW060</t>
  </si>
  <si>
    <t>03vw060</t>
  </si>
  <si>
    <t>02mm502</t>
  </si>
  <si>
    <t>36ag502</t>
  </si>
  <si>
    <t>51fe051</t>
  </si>
  <si>
    <t>37qk325</t>
  </si>
  <si>
    <t>80um001</t>
  </si>
  <si>
    <t>909SL01</t>
  </si>
  <si>
    <t>37MC493</t>
  </si>
  <si>
    <t>03WW060</t>
  </si>
  <si>
    <t>36AG122</t>
  </si>
  <si>
    <t>01AM991</t>
  </si>
  <si>
    <t>37MI029</t>
  </si>
  <si>
    <t>37HY105</t>
  </si>
  <si>
    <t>37ML626</t>
  </si>
  <si>
    <t>06SD017</t>
  </si>
  <si>
    <t>68OU403</t>
  </si>
  <si>
    <t>X369KP774</t>
  </si>
  <si>
    <t>37ER590</t>
  </si>
  <si>
    <t>557AC</t>
  </si>
  <si>
    <t>36PN874</t>
  </si>
  <si>
    <t>07XA007</t>
  </si>
  <si>
    <t>13OU427</t>
  </si>
  <si>
    <t>10YO808</t>
  </si>
  <si>
    <t>79OX079</t>
  </si>
  <si>
    <t>03AL013</t>
  </si>
  <si>
    <t>68KK800</t>
  </si>
  <si>
    <t>55LN455</t>
  </si>
  <si>
    <t>68HH800</t>
  </si>
  <si>
    <t>37KM386</t>
  </si>
  <si>
    <t>37TS897</t>
  </si>
  <si>
    <t>37BI605</t>
  </si>
  <si>
    <t>78SE777</t>
  </si>
  <si>
    <t>37JG513</t>
  </si>
  <si>
    <t>JC-843-JC</t>
  </si>
  <si>
    <t>02MM502</t>
  </si>
  <si>
    <t>37BI606</t>
  </si>
  <si>
    <t>11VT112</t>
  </si>
  <si>
    <t>06BR660</t>
  </si>
  <si>
    <t>680U403</t>
  </si>
  <si>
    <t>Off-street</t>
  </si>
  <si>
    <t>93eb933</t>
  </si>
  <si>
    <t>96lk996</t>
  </si>
  <si>
    <t>01rn505</t>
  </si>
  <si>
    <t>50ra008</t>
  </si>
  <si>
    <t>33hp331</t>
  </si>
  <si>
    <t>01rm070</t>
  </si>
  <si>
    <t>03oo110</t>
  </si>
  <si>
    <t>10ll210</t>
  </si>
  <si>
    <t>06co009</t>
  </si>
  <si>
    <t>10tb107</t>
  </si>
  <si>
    <t>77lf707</t>
  </si>
  <si>
    <t>54jl544</t>
  </si>
  <si>
    <t>33so001</t>
  </si>
  <si>
    <t>37eo571</t>
  </si>
  <si>
    <t>70TS808</t>
  </si>
  <si>
    <t>01RM070</t>
  </si>
  <si>
    <t>01TT016</t>
  </si>
  <si>
    <t>50RA008</t>
  </si>
  <si>
    <t>36CV688</t>
  </si>
  <si>
    <t>01RN505</t>
  </si>
  <si>
    <t>36FS511</t>
  </si>
  <si>
    <t>21AY211</t>
  </si>
  <si>
    <t>37EO571</t>
  </si>
  <si>
    <t>36RC726</t>
  </si>
  <si>
    <t>32CC042</t>
  </si>
  <si>
    <t>77LF707</t>
  </si>
  <si>
    <t>10TB107</t>
  </si>
  <si>
    <t>06CO009</t>
  </si>
  <si>
    <t>37JQ470</t>
  </si>
  <si>
    <t>P152BC186</t>
  </si>
  <si>
    <t>10LL210</t>
  </si>
  <si>
    <t>50KA008</t>
  </si>
  <si>
    <t>10LL110</t>
  </si>
  <si>
    <t>34SP822</t>
  </si>
  <si>
    <t>10IU909</t>
  </si>
  <si>
    <t>36cv688</t>
  </si>
  <si>
    <t>73se773</t>
  </si>
  <si>
    <t>07HG088</t>
  </si>
  <si>
    <t>80TT810</t>
  </si>
  <si>
    <t>37HP946</t>
  </si>
  <si>
    <t>37DC517</t>
  </si>
  <si>
    <t>37BJ517</t>
  </si>
  <si>
    <t>37SH695</t>
  </si>
  <si>
    <t>37QY995</t>
  </si>
  <si>
    <t>12EA022</t>
  </si>
  <si>
    <t>37KL792</t>
  </si>
  <si>
    <t>01US100</t>
  </si>
  <si>
    <t>644CL61</t>
  </si>
  <si>
    <t>р152вс186</t>
  </si>
  <si>
    <t>37od624</t>
  </si>
  <si>
    <t>37qb894</t>
  </si>
  <si>
    <t>10mn404</t>
  </si>
  <si>
    <t>37dr675</t>
  </si>
  <si>
    <t>37Ri904</t>
  </si>
  <si>
    <t>93GG933</t>
  </si>
  <si>
    <t>01IU909</t>
  </si>
  <si>
    <t>47EX777</t>
  </si>
  <si>
    <t>37OJ466</t>
  </si>
  <si>
    <t>37DO517</t>
  </si>
  <si>
    <t>10dd080</t>
  </si>
  <si>
    <t>352ht61</t>
  </si>
  <si>
    <t>70zc100</t>
  </si>
  <si>
    <t>70ZC100</t>
  </si>
  <si>
    <t>10VL210</t>
  </si>
  <si>
    <t>36CV</t>
  </si>
  <si>
    <t>35QG398</t>
  </si>
  <si>
    <t>19TD119</t>
  </si>
  <si>
    <t>10TB707</t>
  </si>
  <si>
    <t>36OG150</t>
  </si>
  <si>
    <t>93EB933</t>
  </si>
  <si>
    <t>33HP331</t>
  </si>
  <si>
    <t>76SV777</t>
  </si>
  <si>
    <t>01DU077</t>
  </si>
  <si>
    <t>89AT989</t>
  </si>
  <si>
    <t>35HP331</t>
  </si>
  <si>
    <t>36AT478</t>
  </si>
  <si>
    <t>73RM333</t>
  </si>
  <si>
    <t>37GX171</t>
  </si>
  <si>
    <t>37QB894</t>
  </si>
  <si>
    <t>37DR675</t>
  </si>
  <si>
    <t>96LK996</t>
  </si>
  <si>
    <t>10lb210</t>
  </si>
  <si>
    <t>10vl210</t>
  </si>
  <si>
    <t>36at475</t>
  </si>
  <si>
    <t>93gg933</t>
  </si>
  <si>
    <t>no number 1</t>
  </si>
  <si>
    <t>no number 2</t>
  </si>
  <si>
    <t>no number 3</t>
  </si>
  <si>
    <t>no number 4</t>
  </si>
  <si>
    <t>no number 5</t>
  </si>
  <si>
    <t>no number 6</t>
  </si>
  <si>
    <t>no number 7</t>
  </si>
  <si>
    <t>no number 8</t>
  </si>
  <si>
    <t>no number 9</t>
  </si>
  <si>
    <t>PARKING SURVEY ANALYSIS — GAREGIN NZHDEH STREET</t>
  </si>
  <si>
    <t>Formal capacity</t>
  </si>
  <si>
    <t>Methodology replicated from "Parking Survey Sheet v5" (Komitas) ANALYSIS sheet.</t>
  </si>
  <si>
    <t>Every number below is a live formula referencing CALC Combined / CALC On-Street / CALC Off-Street,</t>
  </si>
  <si>
    <t>which derive each vehicle's hourly presence via COUNTIFS against United Data. Enter zone capacities (yellow, right).</t>
  </si>
  <si>
    <t>COMBINED — ALL ZONES</t>
  </si>
  <si>
    <t>Unique vehicles</t>
  </si>
  <si>
    <t>PARKING DURATION</t>
  </si>
  <si>
    <t>Average parking duration</t>
  </si>
  <si>
    <t>hours</t>
  </si>
  <si>
    <t>Median parking duration</t>
  </si>
  <si>
    <t>PARKING SPACE TURNOVER</t>
  </si>
  <si>
    <t># parking events</t>
  </si>
  <si>
    <t>(sum of zone capacities →)</t>
  </si>
  <si>
    <t>Turnover per parking space (incl. illegal parking)</t>
  </si>
  <si>
    <t>events per space</t>
  </si>
  <si>
    <t>LONG-TERM PARKING (share of vehicles by total hours parked)</t>
  </si>
  <si>
    <t>Parked the full survey window (17 h)</t>
  </si>
  <si>
    <t>Parked 16+ hours</t>
  </si>
  <si>
    <t>Parked 12+ hours</t>
  </si>
  <si>
    <t>ON-STREET — ZONES 25–56</t>
  </si>
  <si>
    <t>OFF-STREET — OFF-STREET</t>
  </si>
  <si>
    <t>DURATION DISTRIBUTION — vehicles by total hours parked (COUNTIF)</t>
  </si>
  <si>
    <t>Total hours</t>
  </si>
  <si>
    <t>Combined</t>
  </si>
  <si>
    <t>On-Street</t>
  </si>
  <si>
    <t>Off-Street</t>
  </si>
  <si>
    <t>0.0</t>
  </si>
  <si>
    <t>37PV978</t>
  </si>
  <si>
    <t>36726.0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</si>
</sst>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15" x14ac:knownFonts="1">
    <font>
      <sz val="10"/>
      <color rgb="FF000000"/>
      <name val="Arial"/>
      <scheme val="minor"/>
    </font>
    <font>
      <b/>
      <sz val="14"/>
      <color theme="1"/>
      <name val="Arial"/>
    </font>
    <font>
      <sz val="10"/>
      <name val="Arial"/>
    </font>
    <font>
      <sz val="10"/>
      <color theme="1"/>
      <name val="Arial"/>
    </font>
    <font>
      <b/>
      <sz val="12"/>
      <color theme="1"/>
      <name val="Aptos Narrow"/>
    </font>
    <font>
      <sz val="12"/>
      <color theme="1"/>
      <name val="Arial"/>
    </font>
    <font>
      <sz val="12"/>
      <color theme="1"/>
      <name val="Aptos Narrow"/>
    </font>
    <font>
      <b/>
      <sz val="12"/>
      <color theme="1"/>
      <name val="Arial"/>
    </font>
    <font>
      <sz val="10"/>
      <color rgb="FF434343"/>
      <name val="Roboto"/>
    </font>
    <font>
      <sz val="10"/>
      <color rgb="FF434343"/>
      <name val="Roboto"/>
    </font>
    <font>
      <sz val="10"/>
      <color theme="1"/>
      <name val="Arial"/>
      <scheme val="minor"/>
    </font>
    <font>
      <sz val="10"/>
      <color theme="1"/>
      <name val="Roboto"/>
    </font>
    <font>
      <b/>
      <sz val="11"/>
      <color theme="1"/>
      <name val="Calibri"/>
    </font>
    <font>
      <b/>
      <sz val="14"/>
      <color theme="1"/>
      <name val="Calibri"/>
    </font>
    <font>
      <b/>
      <sz val="11"/>
      <color rgb="FF305496"/>
      <name val="Calibri"/>
    </font>
  </fonts>
  <fills count="6">
    <fill>
      <patternFill patternType="none"/>
    </fill>
    <fill>
      <patternFill patternType="gray125"/>
    </fill>
    <fill>
      <patternFill patternType="solid">
        <fgColor rgb="FFCAEDFB"/>
        <bgColor rgb="FFCAEDFB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rgb="FFFFF2CC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442F65"/>
      </left>
      <right/>
      <top style="thin">
        <color rgb="FF9FC5E8"/>
      </top>
      <bottom/>
      <diagonal/>
    </border>
    <border>
      <left style="thin">
        <color rgb="FF442F65"/>
      </left>
      <right/>
      <top/>
      <bottom/>
      <diagonal/>
    </border>
    <border>
      <left style="thin">
        <color rgb="FF442F65"/>
      </left>
      <right/>
      <top/>
      <bottom style="thin">
        <color rgb="FF9FC5E8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9">
    <xf numFmtId="0" fontId="0" fillId="0" borderId="0" xfId="0"/>
    <xf numFmtId="20" fontId="3" fillId="0" borderId="0" xfId="0" applyNumberFormat="1" applyFont="1"/>
    <xf numFmtId="0" fontId="3" fillId="0" borderId="0" xfId="0" applyFont="1"/>
    <xf numFmtId="20" fontId="4" fillId="0" borderId="0" xfId="0" applyNumberFormat="1" applyFont="1" applyAlignment="1">
      <alignment horizontal="center"/>
    </xf>
    <xf numFmtId="14" fontId="5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20" fontId="7" fillId="0" borderId="4" xfId="0" applyNumberFormat="1" applyFont="1" applyBorder="1" applyAlignment="1">
      <alignment horizontal="center" wrapText="1"/>
    </xf>
    <xf numFmtId="0" fontId="7" fillId="0" borderId="4" xfId="0" applyFont="1" applyBorder="1" applyAlignment="1">
      <alignment horizontal="center" wrapText="1"/>
    </xf>
    <xf numFmtId="0" fontId="7" fillId="0" borderId="4" xfId="0" applyFont="1" applyBorder="1" applyAlignment="1">
      <alignment horizontal="center"/>
    </xf>
    <xf numFmtId="0" fontId="8" fillId="3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0" fillId="3" borderId="0" xfId="0" applyFont="1" applyFill="1"/>
    <xf numFmtId="164" fontId="8" fillId="3" borderId="8" xfId="0" applyNumberFormat="1" applyFont="1" applyFill="1" applyBorder="1" applyAlignment="1">
      <alignment horizontal="right"/>
    </xf>
    <xf numFmtId="0" fontId="3" fillId="3" borderId="9" xfId="0" applyFont="1" applyFill="1" applyBorder="1"/>
    <xf numFmtId="0" fontId="8" fillId="3" borderId="9" xfId="0" applyFont="1" applyFill="1" applyBorder="1" applyAlignment="1">
      <alignment horizontal="right"/>
    </xf>
    <xf numFmtId="0" fontId="8" fillId="3" borderId="9" xfId="0" applyFont="1" applyFill="1" applyBorder="1"/>
    <xf numFmtId="164" fontId="8" fillId="3" borderId="10" xfId="0" applyNumberFormat="1" applyFont="1" applyFill="1" applyBorder="1" applyAlignment="1">
      <alignment horizontal="right"/>
    </xf>
    <xf numFmtId="0" fontId="3" fillId="3" borderId="11" xfId="0" applyFont="1" applyFill="1" applyBorder="1"/>
    <xf numFmtId="0" fontId="8" fillId="3" borderId="11" xfId="0" applyFont="1" applyFill="1" applyBorder="1" applyAlignment="1">
      <alignment horizontal="right"/>
    </xf>
    <xf numFmtId="0" fontId="8" fillId="3" borderId="11" xfId="0" applyFont="1" applyFill="1" applyBorder="1"/>
    <xf numFmtId="0" fontId="8" fillId="3" borderId="4" xfId="0" applyFont="1" applyFill="1" applyBorder="1" applyAlignment="1">
      <alignment horizontal="center"/>
    </xf>
    <xf numFmtId="0" fontId="8" fillId="3" borderId="4" xfId="0" quotePrefix="1" applyFont="1" applyFill="1" applyBorder="1" applyAlignment="1">
      <alignment horizontal="center" vertical="center"/>
    </xf>
    <xf numFmtId="20" fontId="7" fillId="3" borderId="4" xfId="0" applyNumberFormat="1" applyFont="1" applyFill="1" applyBorder="1" applyAlignment="1">
      <alignment horizontal="center" wrapText="1"/>
    </xf>
    <xf numFmtId="0" fontId="7" fillId="3" borderId="4" xfId="0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 wrapText="1"/>
    </xf>
    <xf numFmtId="0" fontId="9" fillId="3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164" fontId="8" fillId="3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164" fontId="8" fillId="3" borderId="0" xfId="0" applyNumberFormat="1" applyFont="1" applyFill="1" applyAlignment="1">
      <alignment horizontal="right"/>
    </xf>
    <xf numFmtId="0" fontId="8" fillId="3" borderId="0" xfId="0" applyFont="1" applyFill="1" applyAlignment="1">
      <alignment horizontal="right"/>
    </xf>
    <xf numFmtId="0" fontId="8" fillId="3" borderId="0" xfId="0" applyFont="1" applyFill="1"/>
    <xf numFmtId="0" fontId="3" fillId="3" borderId="0" xfId="0" applyFont="1" applyFill="1"/>
    <xf numFmtId="19" fontId="8" fillId="3" borderId="0" xfId="0" applyNumberFormat="1" applyFont="1" applyFill="1" applyAlignment="1">
      <alignment horizontal="right"/>
    </xf>
    <xf numFmtId="0" fontId="8" fillId="0" borderId="0" xfId="0" applyFont="1" applyAlignment="1">
      <alignment horizontal="center" vertical="center"/>
    </xf>
    <xf numFmtId="20" fontId="7" fillId="0" borderId="5" xfId="0" applyNumberFormat="1" applyFont="1" applyBorder="1" applyAlignment="1">
      <alignment horizontal="center" wrapText="1"/>
    </xf>
    <xf numFmtId="0" fontId="7" fillId="0" borderId="5" xfId="0" applyFont="1" applyBorder="1" applyAlignment="1">
      <alignment horizontal="center"/>
    </xf>
    <xf numFmtId="0" fontId="7" fillId="0" borderId="5" xfId="0" applyFont="1" applyBorder="1" applyAlignment="1">
      <alignment horizontal="center" wrapText="1"/>
    </xf>
    <xf numFmtId="0" fontId="3" fillId="3" borderId="5" xfId="0" applyFont="1" applyFill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5" borderId="0" xfId="0" applyFill="1"/>
    <xf numFmtId="10" fontId="0" fillId="0" borderId="0" xfId="0" applyNumberFormat="1"/>
    <xf numFmtId="2" fontId="0" fillId="0" borderId="0" xfId="0" applyNumberFormat="1"/>
    <xf numFmtId="0" fontId="8" fillId="3" borderId="5" xfId="0" applyFont="1" applyFill="1" applyBorder="1" applyAlignment="1">
      <alignment horizontal="center" vertical="center"/>
    </xf>
    <xf numFmtId="0" fontId="2" fillId="3" borderId="6" xfId="0" applyFont="1" applyFill="1" applyBorder="1"/>
    <xf numFmtId="0" fontId="2" fillId="3" borderId="7" xfId="0" applyFont="1" applyFill="1" applyBorder="1"/>
    <xf numFmtId="0" fontId="2" fillId="4" borderId="7" xfId="0" applyFont="1" applyFill="1" applyBorder="1"/>
    <xf numFmtId="0" fontId="2" fillId="0" borderId="7" xfId="0" applyFont="1" applyBorder="1"/>
    <xf numFmtId="0" fontId="2" fillId="0" borderId="6" xfId="0" applyFont="1" applyBorder="1"/>
    <xf numFmtId="0" fontId="1" fillId="2" borderId="1" xfId="0" applyFont="1" applyFill="1" applyBorder="1" applyAlignment="1">
      <alignment horizontal="center" wrapText="1"/>
    </xf>
    <xf numFmtId="0" fontId="2" fillId="0" borderId="2" xfId="0" applyFont="1" applyBorder="1"/>
    <xf numFmtId="0" fontId="2" fillId="0" borderId="3" xfId="0" applyFont="1" applyBorder="1"/>
    <xf numFmtId="0" fontId="2" fillId="4" borderId="6" xfId="0" applyFont="1" applyFill="1" applyBorder="1"/>
    <xf numFmtId="0" fontId="9" fillId="3" borderId="5" xfId="0" applyFont="1" applyFill="1" applyBorder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0" fillId="0" borderId="0" xfId="0"/>
    <xf numFmtId="0" fontId="8" fillId="3" borderId="12" xfId="0" applyFont="1" applyFill="1" applyBorder="1" applyAlignment="1">
      <alignment horizontal="center" vertical="center"/>
    </xf>
    <xf numFmtId="0" fontId="2" fillId="0" borderId="13" xfId="0" applyFont="1" applyBorder="1"/>
    <xf numFmtId="0" fontId="2" fillId="0" borderId="14" xfId="0" applyFont="1" applyBorder="1"/>
    <xf numFmtId="0" fontId="11" fillId="3" borderId="5" xfId="0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horizontal="center" vertical="center"/>
    </xf>
    <xf numFmtId="0" fontId="11" fillId="3" borderId="15" xfId="0" applyFont="1" applyFill="1" applyBorder="1" applyAlignment="1">
      <alignment horizontal="center" vertical="center"/>
    </xf>
    <xf numFmtId="0" fontId="2" fillId="0" borderId="15" xfId="0" applyFont="1" applyBorder="1"/>
    <xf numFmtId="0" fontId="2" fillId="0" borderId="16" xfId="0" applyFont="1" applyBorder="1"/>
  </cellXfs>
  <cellStyles count="1">
    <cellStyle name="Normal" xfId="0" builtinId="0"/>
  </cellStyles>
  <dxfs count="60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30">
    <tableStyle name="26-style" pivot="0" count="2" xr9:uid="{00000000-0011-0000-FFFF-FFFF00000000}">
      <tableStyleElement type="firstRowStripe" dxfId="59"/>
      <tableStyleElement type="secondRowStripe" dxfId="58"/>
    </tableStyle>
    <tableStyle name="27-style" pivot="0" count="2" xr9:uid="{00000000-0011-0000-FFFF-FFFF01000000}">
      <tableStyleElement type="firstRowStripe" dxfId="57"/>
      <tableStyleElement type="secondRowStripe" dxfId="56"/>
    </tableStyle>
    <tableStyle name="28-style" pivot="0" count="2" xr9:uid="{00000000-0011-0000-FFFF-FFFF02000000}">
      <tableStyleElement type="firstRowStripe" dxfId="55"/>
      <tableStyleElement type="secondRowStripe" dxfId="54"/>
    </tableStyle>
    <tableStyle name="28-style 2" pivot="0" count="2" xr9:uid="{00000000-0011-0000-FFFF-FFFF03000000}">
      <tableStyleElement type="firstRowStripe" dxfId="53"/>
      <tableStyleElement type="secondRowStripe" dxfId="52"/>
    </tableStyle>
    <tableStyle name="29-style" pivot="0" count="2" xr9:uid="{00000000-0011-0000-FFFF-FFFF04000000}">
      <tableStyleElement type="firstRowStripe" dxfId="51"/>
      <tableStyleElement type="secondRowStripe" dxfId="50"/>
    </tableStyle>
    <tableStyle name="29-style 2" pivot="0" count="2" xr9:uid="{00000000-0011-0000-FFFF-FFFF05000000}">
      <tableStyleElement type="firstRowStripe" dxfId="49"/>
      <tableStyleElement type="secondRowStripe" dxfId="48"/>
    </tableStyle>
    <tableStyle name="30-style" pivot="0" count="2" xr9:uid="{00000000-0011-0000-FFFF-FFFF06000000}">
      <tableStyleElement type="firstRowStripe" dxfId="47"/>
      <tableStyleElement type="secondRowStripe" dxfId="46"/>
    </tableStyle>
    <tableStyle name="30-style 2" pivot="0" count="2" xr9:uid="{00000000-0011-0000-FFFF-FFFF07000000}">
      <tableStyleElement type="firstRowStripe" dxfId="45"/>
      <tableStyleElement type="secondRowStripe" dxfId="44"/>
    </tableStyle>
    <tableStyle name="30-style 3" pivot="0" count="2" xr9:uid="{00000000-0011-0000-FFFF-FFFF08000000}">
      <tableStyleElement type="firstRowStripe" dxfId="43"/>
      <tableStyleElement type="secondRowStripe" dxfId="42"/>
    </tableStyle>
    <tableStyle name="30-style 4" pivot="0" count="2" xr9:uid="{00000000-0011-0000-FFFF-FFFF09000000}">
      <tableStyleElement type="firstRowStripe" dxfId="41"/>
      <tableStyleElement type="secondRowStripe" dxfId="40"/>
    </tableStyle>
    <tableStyle name="30-style 5" pivot="0" count="2" xr9:uid="{00000000-0011-0000-FFFF-FFFF0A000000}">
      <tableStyleElement type="firstRowStripe" dxfId="39"/>
      <tableStyleElement type="secondRowStripe" dxfId="38"/>
    </tableStyle>
    <tableStyle name="31-style" pivot="0" count="2" xr9:uid="{00000000-0011-0000-FFFF-FFFF0B000000}">
      <tableStyleElement type="firstRowStripe" dxfId="37"/>
      <tableStyleElement type="secondRowStripe" dxfId="36"/>
    </tableStyle>
    <tableStyle name="32-style" pivot="0" count="2" xr9:uid="{00000000-0011-0000-FFFF-FFFF0C000000}">
      <tableStyleElement type="firstRowStripe" dxfId="35"/>
      <tableStyleElement type="secondRowStripe" dxfId="34"/>
    </tableStyle>
    <tableStyle name="33-style" pivot="0" count="2" xr9:uid="{00000000-0011-0000-FFFF-FFFF0D000000}">
      <tableStyleElement type="firstRowStripe" dxfId="33"/>
      <tableStyleElement type="secondRowStripe" dxfId="32"/>
    </tableStyle>
    <tableStyle name="34-style" pivot="0" count="2" xr9:uid="{00000000-0011-0000-FFFF-FFFF0E000000}">
      <tableStyleElement type="firstRowStripe" dxfId="31"/>
      <tableStyleElement type="secondRowStripe" dxfId="30"/>
    </tableStyle>
    <tableStyle name="36-style" pivot="0" count="2" xr9:uid="{00000000-0011-0000-FFFF-FFFF0F000000}">
      <tableStyleElement type="firstRowStripe" dxfId="29"/>
      <tableStyleElement type="secondRowStripe" dxfId="28"/>
    </tableStyle>
    <tableStyle name="37-style" pivot="0" count="2" xr9:uid="{00000000-0011-0000-FFFF-FFFF10000000}">
      <tableStyleElement type="firstRowStripe" dxfId="27"/>
      <tableStyleElement type="secondRowStripe" dxfId="26"/>
    </tableStyle>
    <tableStyle name="37-style 2" pivot="0" count="2" xr9:uid="{00000000-0011-0000-FFFF-FFFF11000000}">
      <tableStyleElement type="firstRowStripe" dxfId="25"/>
      <tableStyleElement type="secondRowStripe" dxfId="24"/>
    </tableStyle>
    <tableStyle name="40-style" pivot="0" count="2" xr9:uid="{00000000-0011-0000-FFFF-FFFF12000000}">
      <tableStyleElement type="firstRowStripe" dxfId="23"/>
      <tableStyleElement type="secondRowStripe" dxfId="22"/>
    </tableStyle>
    <tableStyle name="40-style 2" pivot="0" count="2" xr9:uid="{00000000-0011-0000-FFFF-FFFF13000000}">
      <tableStyleElement type="firstRowStripe" dxfId="21"/>
      <tableStyleElement type="secondRowStripe" dxfId="20"/>
    </tableStyle>
    <tableStyle name="40-style 3" pivot="0" count="2" xr9:uid="{00000000-0011-0000-FFFF-FFFF14000000}">
      <tableStyleElement type="firstRowStripe" dxfId="19"/>
      <tableStyleElement type="secondRowStripe" dxfId="18"/>
    </tableStyle>
    <tableStyle name="40-style 4" pivot="0" count="2" xr9:uid="{00000000-0011-0000-FFFF-FFFF15000000}">
      <tableStyleElement type="firstRowStripe" dxfId="17"/>
      <tableStyleElement type="secondRowStripe" dxfId="16"/>
    </tableStyle>
    <tableStyle name="40-style 5" pivot="0" count="2" xr9:uid="{00000000-0011-0000-FFFF-FFFF16000000}">
      <tableStyleElement type="firstRowStripe" dxfId="15"/>
      <tableStyleElement type="secondRowStripe" dxfId="14"/>
    </tableStyle>
    <tableStyle name="40-style 6" pivot="0" count="2" xr9:uid="{00000000-0011-0000-FFFF-FFFF17000000}">
      <tableStyleElement type="firstRowStripe" dxfId="13"/>
      <tableStyleElement type="secondRowStripe" dxfId="12"/>
    </tableStyle>
    <tableStyle name="40-style 7" pivot="0" count="2" xr9:uid="{00000000-0011-0000-FFFF-FFFF18000000}">
      <tableStyleElement type="firstRowStripe" dxfId="11"/>
      <tableStyleElement type="secondRowStripe" dxfId="10"/>
    </tableStyle>
    <tableStyle name="40-style 8" pivot="0" count="2" xr9:uid="{00000000-0011-0000-FFFF-FFFF19000000}">
      <tableStyleElement type="firstRowStripe" dxfId="9"/>
      <tableStyleElement type="secondRowStripe" dxfId="8"/>
    </tableStyle>
    <tableStyle name="46-style" pivot="0" count="2" xr9:uid="{00000000-0011-0000-FFFF-FFFF1A000000}">
      <tableStyleElement type="firstRowStripe" dxfId="7"/>
      <tableStyleElement type="secondRowStripe" dxfId="6"/>
    </tableStyle>
    <tableStyle name="OFF-style" pivot="0" count="2" xr9:uid="{00000000-0011-0000-FFFF-FFFF1B000000}">
      <tableStyleElement type="firstRowStripe" dxfId="5"/>
      <tableStyleElement type="secondRowStripe" dxfId="4"/>
    </tableStyle>
    <tableStyle name="OFF-style 2" pivot="0" count="2" xr9:uid="{00000000-0011-0000-FFFF-FFFF1C000000}">
      <tableStyleElement type="firstRowStripe" dxfId="3"/>
      <tableStyleElement type="secondRowStripe" dxfId="2"/>
    </tableStyle>
    <tableStyle name="OFF-style 3" pivot="0" count="2" xr9:uid="{00000000-0011-0000-FFFF-FFFF1D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C9:G9" headerRowCount="0">
  <tableColumns count="5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</tableColumns>
  <tableStyleInfo name="26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C9:G9" headerRowCount="0">
  <tableColumns count="5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</tableColumns>
  <tableStyleInfo name="27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B9:G10" headerRowCount="0">
  <tableColumns count="6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  <tableColumn id="5" xr3:uid="{00000000-0010-0000-0200-000005000000}" name="Column5"/>
    <tableColumn id="6" xr3:uid="{00000000-0010-0000-0200-000006000000}" name="Column6"/>
  </tableColumns>
  <tableStyleInfo name="28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B51:F56" headerRowCount="0">
  <tableColumns count="5">
    <tableColumn id="1" xr3:uid="{00000000-0010-0000-0300-000001000000}" name="Column1"/>
    <tableColumn id="2" xr3:uid="{00000000-0010-0000-0300-000002000000}" name="Column2"/>
    <tableColumn id="3" xr3:uid="{00000000-0010-0000-0300-000003000000}" name="Column3"/>
    <tableColumn id="4" xr3:uid="{00000000-0010-0000-0300-000004000000}" name="Column4"/>
    <tableColumn id="5" xr3:uid="{00000000-0010-0000-0300-000005000000}" name="Column5"/>
  </tableColumns>
  <tableStyleInfo name="28-style 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B9:G10" headerRowCount="0">
  <tableColumns count="6">
    <tableColumn id="1" xr3:uid="{00000000-0010-0000-0400-000001000000}" name="Column1"/>
    <tableColumn id="2" xr3:uid="{00000000-0010-0000-0400-000002000000}" name="Column2"/>
    <tableColumn id="3" xr3:uid="{00000000-0010-0000-0400-000003000000}" name="Column3"/>
    <tableColumn id="4" xr3:uid="{00000000-0010-0000-0400-000004000000}" name="Column4"/>
    <tableColumn id="5" xr3:uid="{00000000-0010-0000-0400-000005000000}" name="Column5"/>
    <tableColumn id="6" xr3:uid="{00000000-0010-0000-0400-000006000000}" name="Column6"/>
  </tableColumns>
  <tableStyleInfo name="29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B42:F49" headerRowCount="0">
  <tableColumns count="5">
    <tableColumn id="1" xr3:uid="{00000000-0010-0000-0500-000001000000}" name="Column1"/>
    <tableColumn id="2" xr3:uid="{00000000-0010-0000-0500-000002000000}" name="Column2"/>
    <tableColumn id="3" xr3:uid="{00000000-0010-0000-0500-000003000000}" name="Column3"/>
    <tableColumn id="4" xr3:uid="{00000000-0010-0000-0500-000004000000}" name="Column4"/>
    <tableColumn id="5" xr3:uid="{00000000-0010-0000-0500-000005000000}" name="Column5"/>
  </tableColumns>
  <tableStyleInfo name="29-style 2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B9:G9" headerRowCount="0">
  <tableColumns count="6">
    <tableColumn id="1" xr3:uid="{00000000-0010-0000-0600-000001000000}" name="Column1"/>
    <tableColumn id="2" xr3:uid="{00000000-0010-0000-0600-000002000000}" name="Column2"/>
    <tableColumn id="3" xr3:uid="{00000000-0010-0000-0600-000003000000}" name="Column3"/>
    <tableColumn id="4" xr3:uid="{00000000-0010-0000-0600-000004000000}" name="Column4"/>
    <tableColumn id="5" xr3:uid="{00000000-0010-0000-0600-000005000000}" name="Column5"/>
    <tableColumn id="6" xr3:uid="{00000000-0010-0000-0600-000006000000}" name="Column6"/>
  </tableColumns>
  <tableStyleInfo name="30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H9:K51" headerRowCount="0">
  <tableColumns count="4">
    <tableColumn id="1" xr3:uid="{00000000-0010-0000-0700-000001000000}" name="Column1"/>
    <tableColumn id="2" xr3:uid="{00000000-0010-0000-0700-000002000000}" name="Column2"/>
    <tableColumn id="3" xr3:uid="{00000000-0010-0000-0700-000003000000}" name="Column3"/>
    <tableColumn id="4" xr3:uid="{00000000-0010-0000-0700-000004000000}" name="Column4"/>
  </tableColumns>
  <tableStyleInfo name="30-style 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C62:F63" headerRowCount="0">
  <tableColumns count="4">
    <tableColumn id="1" xr3:uid="{00000000-0010-0000-0800-000001000000}" name="Column1"/>
    <tableColumn id="2" xr3:uid="{00000000-0010-0000-0800-000002000000}" name="Column2"/>
    <tableColumn id="3" xr3:uid="{00000000-0010-0000-0800-000003000000}" name="Column3"/>
    <tableColumn id="4" xr3:uid="{00000000-0010-0000-0800-000004000000}" name="Column4"/>
  </tableColumns>
  <tableStyleInfo name="30-style 3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B64:F67" headerRowCount="0">
  <tableColumns count="5">
    <tableColumn id="1" xr3:uid="{00000000-0010-0000-0900-000001000000}" name="Column1"/>
    <tableColumn id="2" xr3:uid="{00000000-0010-0000-0900-000002000000}" name="Column2"/>
    <tableColumn id="3" xr3:uid="{00000000-0010-0000-0900-000003000000}" name="Column3"/>
    <tableColumn id="4" xr3:uid="{00000000-0010-0000-0900-000004000000}" name="Column4"/>
    <tableColumn id="5" xr3:uid="{00000000-0010-0000-0900-000005000000}" name="Column5"/>
  </tableColumns>
  <tableStyleInfo name="30-style 4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C69:F70" headerRowCount="0">
  <tableColumns count="4">
    <tableColumn id="1" xr3:uid="{00000000-0010-0000-0A00-000001000000}" name="Column1"/>
    <tableColumn id="2" xr3:uid="{00000000-0010-0000-0A00-000002000000}" name="Column2"/>
    <tableColumn id="3" xr3:uid="{00000000-0010-0000-0A00-000003000000}" name="Column3"/>
    <tableColumn id="4" xr3:uid="{00000000-0010-0000-0A00-000004000000}" name="Column4"/>
  </tableColumns>
  <tableStyleInfo name="30-style 5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B9:G10" headerRowCount="0">
  <tableColumns count="6">
    <tableColumn id="1" xr3:uid="{00000000-0010-0000-0B00-000001000000}" name="Column1"/>
    <tableColumn id="2" xr3:uid="{00000000-0010-0000-0B00-000002000000}" name="Column2"/>
    <tableColumn id="3" xr3:uid="{00000000-0010-0000-0B00-000003000000}" name="Column3"/>
    <tableColumn id="4" xr3:uid="{00000000-0010-0000-0B00-000004000000}" name="Column4"/>
    <tableColumn id="5" xr3:uid="{00000000-0010-0000-0B00-000005000000}" name="Column5"/>
    <tableColumn id="6" xr3:uid="{00000000-0010-0000-0B00-000006000000}" name="Column6"/>
  </tableColumns>
  <tableStyleInfo name="31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_13" displayName="Table_13" ref="B9:G12" headerRowCount="0">
  <tableColumns count="6">
    <tableColumn id="1" xr3:uid="{00000000-0010-0000-0C00-000001000000}" name="Column1"/>
    <tableColumn id="2" xr3:uid="{00000000-0010-0000-0C00-000002000000}" name="Column2"/>
    <tableColumn id="3" xr3:uid="{00000000-0010-0000-0C00-000003000000}" name="Column3"/>
    <tableColumn id="4" xr3:uid="{00000000-0010-0000-0C00-000004000000}" name="Column4"/>
    <tableColumn id="5" xr3:uid="{00000000-0010-0000-0C00-000005000000}" name="Column5"/>
    <tableColumn id="6" xr3:uid="{00000000-0010-0000-0C00-000006000000}" name="Column6"/>
  </tableColumns>
  <tableStyleInfo name="32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_14" displayName="Table_14" ref="B9:G11" headerRowCount="0">
  <tableColumns count="6">
    <tableColumn id="1" xr3:uid="{00000000-0010-0000-0D00-000001000000}" name="Column1"/>
    <tableColumn id="2" xr3:uid="{00000000-0010-0000-0D00-000002000000}" name="Column2"/>
    <tableColumn id="3" xr3:uid="{00000000-0010-0000-0D00-000003000000}" name="Column3"/>
    <tableColumn id="4" xr3:uid="{00000000-0010-0000-0D00-000004000000}" name="Column4"/>
    <tableColumn id="5" xr3:uid="{00000000-0010-0000-0D00-000005000000}" name="Column5"/>
    <tableColumn id="6" xr3:uid="{00000000-0010-0000-0D00-000006000000}" name="Column6"/>
  </tableColumns>
  <tableStyleInfo name="33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_15" displayName="Table_15" ref="B9:F14" headerRowCount="0">
  <tableColumns count="5">
    <tableColumn id="1" xr3:uid="{00000000-0010-0000-0E00-000001000000}" name="Column1"/>
    <tableColumn id="2" xr3:uid="{00000000-0010-0000-0E00-000002000000}" name="Column2"/>
    <tableColumn id="3" xr3:uid="{00000000-0010-0000-0E00-000003000000}" name="Column3"/>
    <tableColumn id="4" xr3:uid="{00000000-0010-0000-0E00-000004000000}" name="Column4"/>
    <tableColumn id="5" xr3:uid="{00000000-0010-0000-0E00-000005000000}" name="Column5"/>
  </tableColumns>
  <tableStyleInfo name="3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able_16" displayName="Table_16" ref="I9:O62" headerRowCount="0">
  <tableColumns count="7">
    <tableColumn id="1" xr3:uid="{00000000-0010-0000-0F00-000001000000}" name="Column1"/>
    <tableColumn id="2" xr3:uid="{00000000-0010-0000-0F00-000002000000}" name="Column2"/>
    <tableColumn id="3" xr3:uid="{00000000-0010-0000-0F00-000003000000}" name="Column3"/>
    <tableColumn id="4" xr3:uid="{00000000-0010-0000-0F00-000004000000}" name="Column4"/>
    <tableColumn id="5" xr3:uid="{00000000-0010-0000-0F00-000005000000}" name="Column5"/>
    <tableColumn id="6" xr3:uid="{00000000-0010-0000-0F00-000006000000}" name="Column6"/>
    <tableColumn id="7" xr3:uid="{00000000-0010-0000-0F00-000007000000}" name="Column7"/>
  </tableColumns>
  <tableStyleInfo name="36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able_17" displayName="Table_17" ref="C18:F18" headerRowCount="0">
  <tableColumns count="4">
    <tableColumn id="1" xr3:uid="{00000000-0010-0000-1000-000001000000}" name="Column1"/>
    <tableColumn id="2" xr3:uid="{00000000-0010-0000-1000-000002000000}" name="Column2"/>
    <tableColumn id="3" xr3:uid="{00000000-0010-0000-1000-000003000000}" name="Column3"/>
    <tableColumn id="4" xr3:uid="{00000000-0010-0000-1000-000004000000}" name="Column4"/>
  </tableColumns>
  <tableStyleInfo name="37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able_18" displayName="Table_18" ref="C19:F19" headerRowCount="0">
  <tableColumns count="4">
    <tableColumn id="1" xr3:uid="{00000000-0010-0000-1100-000001000000}" name="Column1"/>
    <tableColumn id="2" xr3:uid="{00000000-0010-0000-1100-000002000000}" name="Column2"/>
    <tableColumn id="3" xr3:uid="{00000000-0010-0000-1100-000003000000}" name="Column3"/>
    <tableColumn id="4" xr3:uid="{00000000-0010-0000-1100-000004000000}" name="Column4"/>
  </tableColumns>
  <tableStyleInfo name="37-style 2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able_19" displayName="Table_19" ref="C9:G9" headerRowCount="0">
  <tableColumns count="5">
    <tableColumn id="1" xr3:uid="{00000000-0010-0000-1200-000001000000}" name="Column1"/>
    <tableColumn id="2" xr3:uid="{00000000-0010-0000-1200-000002000000}" name="Column2"/>
    <tableColumn id="3" xr3:uid="{00000000-0010-0000-1200-000003000000}" name="Column3"/>
    <tableColumn id="4" xr3:uid="{00000000-0010-0000-1200-000004000000}" name="Column4"/>
    <tableColumn id="5" xr3:uid="{00000000-0010-0000-1200-000005000000}" name="Column5"/>
  </tableColumns>
  <tableStyleInfo name="40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able_20" displayName="Table_20" ref="C10:G10" headerRowCount="0">
  <tableColumns count="5">
    <tableColumn id="1" xr3:uid="{00000000-0010-0000-1300-000001000000}" name="Column1"/>
    <tableColumn id="2" xr3:uid="{00000000-0010-0000-1300-000002000000}" name="Column2"/>
    <tableColumn id="3" xr3:uid="{00000000-0010-0000-1300-000003000000}" name="Column3"/>
    <tableColumn id="4" xr3:uid="{00000000-0010-0000-1300-000004000000}" name="Column4"/>
    <tableColumn id="5" xr3:uid="{00000000-0010-0000-1300-000005000000}" name="Column5"/>
  </tableColumns>
  <tableStyleInfo name="40-style 2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able_21" displayName="Table_21" ref="C11:G11" headerRowCount="0">
  <tableColumns count="5">
    <tableColumn id="1" xr3:uid="{00000000-0010-0000-1400-000001000000}" name="Column1"/>
    <tableColumn id="2" xr3:uid="{00000000-0010-0000-1400-000002000000}" name="Column2"/>
    <tableColumn id="3" xr3:uid="{00000000-0010-0000-1400-000003000000}" name="Column3"/>
    <tableColumn id="4" xr3:uid="{00000000-0010-0000-1400-000004000000}" name="Column4"/>
    <tableColumn id="5" xr3:uid="{00000000-0010-0000-1400-000005000000}" name="Column5"/>
  </tableColumns>
  <tableStyleInfo name="40-style 3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able_22" displayName="Table_22" ref="C12:G12" headerRowCount="0">
  <tableColumns count="5">
    <tableColumn id="1" xr3:uid="{00000000-0010-0000-1500-000001000000}" name="Column1"/>
    <tableColumn id="2" xr3:uid="{00000000-0010-0000-1500-000002000000}" name="Column2"/>
    <tableColumn id="3" xr3:uid="{00000000-0010-0000-1500-000003000000}" name="Column3"/>
    <tableColumn id="4" xr3:uid="{00000000-0010-0000-1500-000004000000}" name="Column4"/>
    <tableColumn id="5" xr3:uid="{00000000-0010-0000-1500-000005000000}" name="Column5"/>
  </tableColumns>
  <tableStyleInfo name="40-style 4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able_23" displayName="Table_23" ref="C13:G14" headerRowCount="0">
  <tableColumns count="5">
    <tableColumn id="1" xr3:uid="{00000000-0010-0000-1600-000001000000}" name="Column1"/>
    <tableColumn id="2" xr3:uid="{00000000-0010-0000-1600-000002000000}" name="Column2"/>
    <tableColumn id="3" xr3:uid="{00000000-0010-0000-1600-000003000000}" name="Column3"/>
    <tableColumn id="4" xr3:uid="{00000000-0010-0000-1600-000004000000}" name="Column4"/>
    <tableColumn id="5" xr3:uid="{00000000-0010-0000-1600-000005000000}" name="Column5"/>
  </tableColumns>
  <tableStyleInfo name="40-style 5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able_24" displayName="Table_24" ref="C15:G15" headerRowCount="0">
  <tableColumns count="5">
    <tableColumn id="1" xr3:uid="{00000000-0010-0000-1700-000001000000}" name="Column1"/>
    <tableColumn id="2" xr3:uid="{00000000-0010-0000-1700-000002000000}" name="Column2"/>
    <tableColumn id="3" xr3:uid="{00000000-0010-0000-1700-000003000000}" name="Column3"/>
    <tableColumn id="4" xr3:uid="{00000000-0010-0000-1700-000004000000}" name="Column4"/>
    <tableColumn id="5" xr3:uid="{00000000-0010-0000-1700-000005000000}" name="Column5"/>
  </tableColumns>
  <tableStyleInfo name="40-style 6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Table_25" displayName="Table_25" ref="C16:G16" headerRowCount="0">
  <tableColumns count="5">
    <tableColumn id="1" xr3:uid="{00000000-0010-0000-1800-000001000000}" name="Column1"/>
    <tableColumn id="2" xr3:uid="{00000000-0010-0000-1800-000002000000}" name="Column2"/>
    <tableColumn id="3" xr3:uid="{00000000-0010-0000-1800-000003000000}" name="Column3"/>
    <tableColumn id="4" xr3:uid="{00000000-0010-0000-1800-000004000000}" name="Column4"/>
    <tableColumn id="5" xr3:uid="{00000000-0010-0000-1800-000005000000}" name="Column5"/>
  </tableColumns>
  <tableStyleInfo name="40-style 7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Table_26" displayName="Table_26" ref="A18:G37" headerRowCount="0">
  <tableColumns count="7">
    <tableColumn id="1" xr3:uid="{00000000-0010-0000-1900-000001000000}" name="Column1"/>
    <tableColumn id="2" xr3:uid="{00000000-0010-0000-1900-000002000000}" name="Column2"/>
    <tableColumn id="3" xr3:uid="{00000000-0010-0000-1900-000003000000}" name="Column3"/>
    <tableColumn id="4" xr3:uid="{00000000-0010-0000-1900-000004000000}" name="Column4"/>
    <tableColumn id="5" xr3:uid="{00000000-0010-0000-1900-000005000000}" name="Column5"/>
    <tableColumn id="6" xr3:uid="{00000000-0010-0000-1900-000006000000}" name="Column6"/>
    <tableColumn id="7" xr3:uid="{00000000-0010-0000-1900-000007000000}" name="Column7"/>
  </tableColumns>
  <tableStyleInfo name="40-style 8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Table_27" displayName="Table_27" ref="O12:U73" headerRowCount="0">
  <tableColumns count="7">
    <tableColumn id="1" xr3:uid="{00000000-0010-0000-1A00-000001000000}" name="Column1"/>
    <tableColumn id="2" xr3:uid="{00000000-0010-0000-1A00-000002000000}" name="Column2"/>
    <tableColumn id="3" xr3:uid="{00000000-0010-0000-1A00-000003000000}" name="Column3"/>
    <tableColumn id="4" xr3:uid="{00000000-0010-0000-1A00-000004000000}" name="Column4"/>
    <tableColumn id="5" xr3:uid="{00000000-0010-0000-1A00-000005000000}" name="Column5"/>
    <tableColumn id="6" xr3:uid="{00000000-0010-0000-1A00-000006000000}" name="Column6"/>
    <tableColumn id="7" xr3:uid="{00000000-0010-0000-1A00-000007000000}" name="Column7"/>
  </tableColumns>
  <tableStyleInfo name="46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Table_28" displayName="Table_28" ref="C64" headerRowCount="0">
  <tableColumns count="1">
    <tableColumn id="1" xr3:uid="{00000000-0010-0000-1B00-000001000000}" name="Column1"/>
  </tableColumns>
  <tableStyleInfo name="OFF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Table_29" displayName="Table_29" ref="C66:C72" headerRowCount="0">
  <tableColumns count="1">
    <tableColumn id="1" xr3:uid="{00000000-0010-0000-1C00-000001000000}" name="Column1"/>
  </tableColumns>
  <tableStyleInfo name="OFF-style 2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Table_30" displayName="Table_30" ref="B77:F90" headerRowCount="0">
  <tableColumns count="5">
    <tableColumn id="1" xr3:uid="{00000000-0010-0000-1D00-000001000000}" name="Column1"/>
    <tableColumn id="2" xr3:uid="{00000000-0010-0000-1D00-000002000000}" name="Column2"/>
    <tableColumn id="3" xr3:uid="{00000000-0010-0000-1D00-000003000000}" name="Column3"/>
    <tableColumn id="4" xr3:uid="{00000000-0010-0000-1D00-000004000000}" name="Column4"/>
    <tableColumn id="5" xr3:uid="{00000000-0010-0000-1D00-000005000000}" name="Column5"/>
  </tableColumns>
  <tableStyleInfo name="OFF-style 3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table" Target="../tables/table17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6.xml"/><Relationship Id="rId3" Type="http://schemas.openxmlformats.org/officeDocument/2006/relationships/table" Target="../tables/table21.xml"/><Relationship Id="rId7" Type="http://schemas.openxmlformats.org/officeDocument/2006/relationships/table" Target="../tables/table25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Relationship Id="rId6" Type="http://schemas.openxmlformats.org/officeDocument/2006/relationships/table" Target="../tables/table24.xml"/><Relationship Id="rId5" Type="http://schemas.openxmlformats.org/officeDocument/2006/relationships/table" Target="../tables/table23.xml"/><Relationship Id="rId4" Type="http://schemas.openxmlformats.org/officeDocument/2006/relationships/table" Target="../tables/table22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78"/>
  <sheetViews>
    <sheetView workbookViewId="0">
      <selection sqref="A1:G1"/>
    </sheetView>
  </sheetViews>
  <sheetFormatPr defaultColWidth="12.5703125" defaultRowHeight="15.75" customHeight="1" x14ac:dyDescent="0.2"/>
  <cols>
    <col min="1" max="7" width="18.85546875" customWidth="1"/>
  </cols>
  <sheetData>
    <row r="1" spans="1:13" ht="15.75" customHeight="1" x14ac:dyDescent="0.25">
      <c r="A1" s="54" t="s">
        <v>0</v>
      </c>
      <c r="B1" s="55"/>
      <c r="C1" s="55"/>
      <c r="D1" s="55"/>
      <c r="E1" s="55"/>
      <c r="F1" s="55"/>
      <c r="G1" s="56"/>
    </row>
    <row r="2" spans="1:13" x14ac:dyDescent="0.2">
      <c r="A2" s="1"/>
      <c r="B2" s="2"/>
      <c r="C2" s="2"/>
      <c r="D2" s="2"/>
      <c r="E2" s="2"/>
      <c r="F2" s="2"/>
      <c r="G2" s="2"/>
    </row>
    <row r="3" spans="1:13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13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13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13" x14ac:dyDescent="0.2">
      <c r="A6" s="1"/>
      <c r="B6" s="2"/>
      <c r="C6" s="2"/>
      <c r="D6" s="2"/>
      <c r="E6" s="2"/>
      <c r="F6" s="2"/>
      <c r="G6" s="2"/>
    </row>
    <row r="7" spans="1:13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13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13" x14ac:dyDescent="0.2">
      <c r="A9" s="9" t="s">
        <v>20</v>
      </c>
      <c r="B9" s="9">
        <v>25</v>
      </c>
      <c r="C9" s="9" t="s">
        <v>21</v>
      </c>
      <c r="D9" s="9" t="s">
        <v>21</v>
      </c>
      <c r="E9" s="9" t="s">
        <v>21</v>
      </c>
      <c r="F9" s="9" t="s">
        <v>21</v>
      </c>
      <c r="G9" s="10" t="s">
        <v>21</v>
      </c>
      <c r="H9" s="11"/>
      <c r="I9" s="11"/>
      <c r="J9" s="11"/>
      <c r="K9" s="11"/>
      <c r="L9" s="11"/>
      <c r="M9" s="11"/>
    </row>
    <row r="10" spans="1:13" x14ac:dyDescent="0.2">
      <c r="A10" s="9" t="s">
        <v>22</v>
      </c>
      <c r="B10" s="9">
        <v>25</v>
      </c>
      <c r="C10" s="9" t="s">
        <v>23</v>
      </c>
      <c r="D10" s="9" t="s">
        <v>24</v>
      </c>
      <c r="E10" s="9" t="s">
        <v>25</v>
      </c>
      <c r="F10" s="9" t="s">
        <v>26</v>
      </c>
      <c r="G10" s="10" t="s">
        <v>27</v>
      </c>
      <c r="H10" s="11"/>
      <c r="I10" s="11"/>
      <c r="J10" s="11"/>
      <c r="K10" s="11"/>
      <c r="L10" s="11"/>
      <c r="M10" s="11"/>
    </row>
    <row r="11" spans="1:13" x14ac:dyDescent="0.2">
      <c r="A11" s="48" t="s">
        <v>28</v>
      </c>
      <c r="B11" s="9">
        <v>25</v>
      </c>
      <c r="C11" s="9" t="s">
        <v>29</v>
      </c>
      <c r="D11" s="9" t="s">
        <v>30</v>
      </c>
      <c r="E11" s="9" t="s">
        <v>31</v>
      </c>
      <c r="F11" s="9" t="s">
        <v>26</v>
      </c>
      <c r="G11" s="10" t="s">
        <v>27</v>
      </c>
      <c r="H11" s="11"/>
      <c r="I11" s="11"/>
      <c r="J11" s="11"/>
      <c r="K11" s="11"/>
      <c r="L11" s="11"/>
      <c r="M11" s="11"/>
    </row>
    <row r="12" spans="1:13" x14ac:dyDescent="0.2">
      <c r="A12" s="53"/>
      <c r="B12" s="9">
        <v>25</v>
      </c>
      <c r="C12" s="9" t="s">
        <v>32</v>
      </c>
      <c r="D12" s="9" t="s">
        <v>24</v>
      </c>
      <c r="E12" s="9" t="s">
        <v>31</v>
      </c>
      <c r="F12" s="9" t="s">
        <v>26</v>
      </c>
      <c r="G12" s="10" t="s">
        <v>27</v>
      </c>
      <c r="H12" s="11"/>
      <c r="I12" s="11"/>
      <c r="J12" s="11"/>
      <c r="K12" s="11"/>
      <c r="L12" s="11"/>
      <c r="M12" s="11"/>
    </row>
    <row r="13" spans="1:13" x14ac:dyDescent="0.2">
      <c r="A13" s="48" t="s">
        <v>33</v>
      </c>
      <c r="B13" s="9">
        <v>25</v>
      </c>
      <c r="C13" s="9" t="s">
        <v>34</v>
      </c>
      <c r="D13" s="9" t="s">
        <v>24</v>
      </c>
      <c r="E13" s="9" t="s">
        <v>31</v>
      </c>
      <c r="F13" s="9" t="s">
        <v>26</v>
      </c>
      <c r="G13" s="10" t="s">
        <v>27</v>
      </c>
      <c r="H13" s="11"/>
      <c r="I13" s="11"/>
      <c r="J13" s="11"/>
      <c r="K13" s="11"/>
      <c r="L13" s="11"/>
      <c r="M13" s="11"/>
    </row>
    <row r="14" spans="1:13" x14ac:dyDescent="0.2">
      <c r="A14" s="52"/>
      <c r="B14" s="9">
        <v>25</v>
      </c>
      <c r="C14" s="9" t="s">
        <v>35</v>
      </c>
      <c r="D14" s="9" t="s">
        <v>24</v>
      </c>
      <c r="E14" s="9" t="s">
        <v>31</v>
      </c>
      <c r="F14" s="9" t="s">
        <v>26</v>
      </c>
      <c r="G14" s="10" t="s">
        <v>27</v>
      </c>
      <c r="H14" s="11"/>
      <c r="I14" s="11"/>
      <c r="J14" s="11"/>
      <c r="K14" s="11"/>
      <c r="L14" s="11"/>
      <c r="M14" s="11"/>
    </row>
    <row r="15" spans="1:13" x14ac:dyDescent="0.2">
      <c r="A15" s="52"/>
      <c r="B15" s="9">
        <v>25</v>
      </c>
      <c r="C15" s="9" t="s">
        <v>32</v>
      </c>
      <c r="D15" s="9" t="s">
        <v>24</v>
      </c>
      <c r="E15" s="9" t="s">
        <v>31</v>
      </c>
      <c r="F15" s="9" t="s">
        <v>26</v>
      </c>
      <c r="G15" s="10" t="s">
        <v>27</v>
      </c>
      <c r="H15" s="11"/>
      <c r="I15" s="11"/>
      <c r="J15" s="11"/>
      <c r="K15" s="11"/>
      <c r="L15" s="11"/>
      <c r="M15" s="11"/>
    </row>
    <row r="16" spans="1:13" x14ac:dyDescent="0.2">
      <c r="A16" s="52"/>
      <c r="B16" s="9">
        <v>25</v>
      </c>
      <c r="C16" s="9" t="s">
        <v>36</v>
      </c>
      <c r="D16" s="9" t="s">
        <v>24</v>
      </c>
      <c r="E16" s="9" t="s">
        <v>31</v>
      </c>
      <c r="F16" s="9" t="s">
        <v>26</v>
      </c>
      <c r="G16" s="10" t="s">
        <v>27</v>
      </c>
      <c r="H16" s="11"/>
      <c r="I16" s="11"/>
      <c r="J16" s="11"/>
      <c r="K16" s="11"/>
      <c r="L16" s="11"/>
      <c r="M16" s="11"/>
    </row>
    <row r="17" spans="1:13" x14ac:dyDescent="0.2">
      <c r="A17" s="49"/>
      <c r="B17" s="9">
        <v>25</v>
      </c>
      <c r="C17" s="9" t="s">
        <v>37</v>
      </c>
      <c r="D17" s="9" t="s">
        <v>24</v>
      </c>
      <c r="E17" s="9" t="s">
        <v>31</v>
      </c>
      <c r="F17" s="9" t="s">
        <v>26</v>
      </c>
      <c r="G17" s="10" t="s">
        <v>27</v>
      </c>
      <c r="H17" s="11"/>
      <c r="I17" s="11"/>
      <c r="J17" s="11"/>
      <c r="K17" s="11"/>
      <c r="L17" s="11"/>
      <c r="M17" s="11"/>
    </row>
    <row r="18" spans="1:13" x14ac:dyDescent="0.2">
      <c r="A18" s="48" t="s">
        <v>38</v>
      </c>
      <c r="B18" s="9">
        <v>25</v>
      </c>
      <c r="C18" s="9" t="s">
        <v>39</v>
      </c>
      <c r="D18" s="9" t="s">
        <v>24</v>
      </c>
      <c r="E18" s="9" t="s">
        <v>25</v>
      </c>
      <c r="F18" s="9" t="s">
        <v>26</v>
      </c>
      <c r="G18" s="10" t="s">
        <v>27</v>
      </c>
      <c r="H18" s="11"/>
      <c r="I18" s="11"/>
      <c r="J18" s="11"/>
      <c r="K18" s="11"/>
      <c r="L18" s="11"/>
      <c r="M18" s="11"/>
    </row>
    <row r="19" spans="1:13" x14ac:dyDescent="0.2">
      <c r="A19" s="50"/>
      <c r="B19" s="9">
        <v>25</v>
      </c>
      <c r="C19" s="9" t="s">
        <v>40</v>
      </c>
      <c r="D19" s="9" t="s">
        <v>24</v>
      </c>
      <c r="E19" s="9" t="s">
        <v>25</v>
      </c>
      <c r="F19" s="9" t="s">
        <v>26</v>
      </c>
      <c r="G19" s="10" t="s">
        <v>27</v>
      </c>
      <c r="H19" s="11"/>
      <c r="I19" s="11"/>
      <c r="J19" s="11"/>
      <c r="K19" s="11"/>
      <c r="L19" s="11"/>
      <c r="M19" s="11"/>
    </row>
    <row r="20" spans="1:13" x14ac:dyDescent="0.2">
      <c r="A20" s="51"/>
      <c r="B20" s="9">
        <v>25</v>
      </c>
      <c r="C20" s="9" t="s">
        <v>41</v>
      </c>
      <c r="D20" s="9" t="s">
        <v>24</v>
      </c>
      <c r="E20" s="9" t="s">
        <v>31</v>
      </c>
      <c r="F20" s="9" t="s">
        <v>26</v>
      </c>
      <c r="G20" s="10" t="s">
        <v>27</v>
      </c>
      <c r="H20" s="11"/>
      <c r="I20" s="11"/>
      <c r="J20" s="11"/>
      <c r="K20" s="11"/>
      <c r="L20" s="11"/>
      <c r="M20" s="11"/>
    </row>
    <row r="21" spans="1:13" x14ac:dyDescent="0.2">
      <c r="A21" s="50"/>
      <c r="B21" s="9">
        <v>25</v>
      </c>
      <c r="C21" s="9" t="s">
        <v>42</v>
      </c>
      <c r="D21" s="9" t="s">
        <v>24</v>
      </c>
      <c r="E21" s="9" t="s">
        <v>25</v>
      </c>
      <c r="F21" s="9" t="s">
        <v>26</v>
      </c>
      <c r="G21" s="10" t="s">
        <v>27</v>
      </c>
      <c r="H21" s="11"/>
      <c r="I21" s="11"/>
      <c r="J21" s="11"/>
      <c r="K21" s="11"/>
      <c r="L21" s="11"/>
      <c r="M21" s="11"/>
    </row>
    <row r="22" spans="1:13" x14ac:dyDescent="0.2">
      <c r="A22" s="51"/>
      <c r="B22" s="9">
        <v>25</v>
      </c>
      <c r="C22" s="9" t="s">
        <v>43</v>
      </c>
      <c r="D22" s="9" t="s">
        <v>24</v>
      </c>
      <c r="E22" s="9" t="s">
        <v>25</v>
      </c>
      <c r="F22" s="9" t="s">
        <v>26</v>
      </c>
      <c r="G22" s="10" t="s">
        <v>27</v>
      </c>
      <c r="H22" s="11"/>
      <c r="I22" s="11"/>
      <c r="J22" s="11"/>
      <c r="K22" s="11"/>
      <c r="L22" s="11"/>
      <c r="M22" s="11"/>
    </row>
    <row r="23" spans="1:13" x14ac:dyDescent="0.2">
      <c r="A23" s="50"/>
      <c r="B23" s="9">
        <v>25</v>
      </c>
      <c r="C23" s="9" t="s">
        <v>44</v>
      </c>
      <c r="D23" s="9" t="s">
        <v>24</v>
      </c>
      <c r="E23" s="9" t="s">
        <v>25</v>
      </c>
      <c r="F23" s="9" t="s">
        <v>26</v>
      </c>
      <c r="G23" s="10" t="s">
        <v>27</v>
      </c>
      <c r="H23" s="11"/>
      <c r="I23" s="11"/>
      <c r="J23" s="11"/>
      <c r="K23" s="11"/>
      <c r="L23" s="11"/>
      <c r="M23" s="11"/>
    </row>
    <row r="24" spans="1:13" x14ac:dyDescent="0.2">
      <c r="A24" s="51"/>
      <c r="B24" s="9">
        <v>25</v>
      </c>
      <c r="C24" s="9" t="s">
        <v>37</v>
      </c>
      <c r="D24" s="9" t="s">
        <v>24</v>
      </c>
      <c r="E24" s="9" t="s">
        <v>25</v>
      </c>
      <c r="F24" s="9" t="s">
        <v>26</v>
      </c>
      <c r="G24" s="10" t="s">
        <v>27</v>
      </c>
      <c r="H24" s="11"/>
      <c r="I24" s="11"/>
      <c r="J24" s="11"/>
      <c r="K24" s="11"/>
      <c r="L24" s="11"/>
      <c r="M24" s="11"/>
    </row>
    <row r="25" spans="1:13" x14ac:dyDescent="0.2">
      <c r="A25" s="49"/>
      <c r="B25" s="9">
        <v>25</v>
      </c>
      <c r="C25" s="9" t="s">
        <v>45</v>
      </c>
      <c r="D25" s="9" t="s">
        <v>24</v>
      </c>
      <c r="E25" s="9" t="s">
        <v>25</v>
      </c>
      <c r="F25" s="9" t="s">
        <v>26</v>
      </c>
      <c r="G25" s="10" t="s">
        <v>27</v>
      </c>
      <c r="H25" s="11"/>
      <c r="I25" s="11"/>
      <c r="J25" s="11"/>
      <c r="K25" s="11"/>
      <c r="L25" s="11"/>
      <c r="M25" s="11"/>
    </row>
    <row r="26" spans="1:13" x14ac:dyDescent="0.2">
      <c r="A26" s="48" t="s">
        <v>46</v>
      </c>
      <c r="B26" s="9">
        <v>25</v>
      </c>
      <c r="C26" s="9" t="s">
        <v>40</v>
      </c>
      <c r="D26" s="9" t="s">
        <v>24</v>
      </c>
      <c r="E26" s="9" t="s">
        <v>31</v>
      </c>
      <c r="F26" s="9" t="s">
        <v>47</v>
      </c>
      <c r="G26" s="10" t="s">
        <v>27</v>
      </c>
      <c r="H26" s="11"/>
      <c r="I26" s="11"/>
      <c r="J26" s="11"/>
      <c r="K26" s="11"/>
      <c r="L26" s="11"/>
      <c r="M26" s="11"/>
    </row>
    <row r="27" spans="1:13" x14ac:dyDescent="0.2">
      <c r="A27" s="49"/>
      <c r="B27" s="9">
        <v>25</v>
      </c>
      <c r="C27" s="9" t="s">
        <v>48</v>
      </c>
      <c r="D27" s="9" t="s">
        <v>30</v>
      </c>
      <c r="E27" s="9" t="s">
        <v>31</v>
      </c>
      <c r="F27" s="9" t="s">
        <v>47</v>
      </c>
      <c r="G27" s="10" t="s">
        <v>27</v>
      </c>
      <c r="H27" s="11"/>
      <c r="I27" s="11"/>
      <c r="J27" s="11"/>
      <c r="K27" s="11"/>
      <c r="L27" s="11"/>
      <c r="M27" s="11"/>
    </row>
    <row r="28" spans="1:13" x14ac:dyDescent="0.2">
      <c r="A28" s="48" t="s">
        <v>49</v>
      </c>
      <c r="B28" s="9">
        <v>25</v>
      </c>
      <c r="C28" s="9" t="s">
        <v>50</v>
      </c>
      <c r="D28" s="9" t="s">
        <v>24</v>
      </c>
      <c r="E28" s="9" t="s">
        <v>31</v>
      </c>
      <c r="F28" s="9" t="s">
        <v>26</v>
      </c>
      <c r="G28" s="10" t="s">
        <v>27</v>
      </c>
      <c r="H28" s="11"/>
      <c r="I28" s="11"/>
      <c r="J28" s="11"/>
      <c r="K28" s="11"/>
      <c r="L28" s="11"/>
      <c r="M28" s="11"/>
    </row>
    <row r="29" spans="1:13" x14ac:dyDescent="0.2">
      <c r="A29" s="49"/>
      <c r="B29" s="9">
        <v>25</v>
      </c>
      <c r="C29" s="9" t="s">
        <v>51</v>
      </c>
      <c r="D29" s="9" t="s">
        <v>24</v>
      </c>
      <c r="E29" s="9" t="s">
        <v>31</v>
      </c>
      <c r="F29" s="9" t="s">
        <v>26</v>
      </c>
      <c r="G29" s="10" t="s">
        <v>27</v>
      </c>
      <c r="H29" s="11"/>
      <c r="I29" s="11"/>
      <c r="J29" s="11"/>
      <c r="K29" s="11"/>
      <c r="L29" s="11"/>
      <c r="M29" s="11"/>
    </row>
    <row r="30" spans="1:13" x14ac:dyDescent="0.2">
      <c r="A30" s="48" t="s">
        <v>52</v>
      </c>
      <c r="B30" s="9">
        <v>25</v>
      </c>
      <c r="C30" s="9" t="s">
        <v>53</v>
      </c>
      <c r="D30" s="9" t="s">
        <v>24</v>
      </c>
      <c r="E30" s="9" t="s">
        <v>31</v>
      </c>
      <c r="F30" s="9" t="s">
        <v>26</v>
      </c>
      <c r="G30" s="10" t="s">
        <v>27</v>
      </c>
      <c r="H30" s="11"/>
      <c r="I30" s="11"/>
      <c r="J30" s="11"/>
      <c r="K30" s="11"/>
      <c r="L30" s="11"/>
      <c r="M30" s="11"/>
    </row>
    <row r="31" spans="1:13" x14ac:dyDescent="0.2">
      <c r="A31" s="50"/>
      <c r="B31" s="9">
        <v>25</v>
      </c>
      <c r="C31" s="9" t="s">
        <v>54</v>
      </c>
      <c r="D31" s="9" t="s">
        <v>24</v>
      </c>
      <c r="E31" s="9" t="s">
        <v>31</v>
      </c>
      <c r="F31" s="9" t="s">
        <v>26</v>
      </c>
      <c r="G31" s="10" t="s">
        <v>27</v>
      </c>
      <c r="H31" s="11"/>
      <c r="I31" s="11"/>
      <c r="J31" s="11"/>
      <c r="K31" s="11"/>
      <c r="L31" s="11"/>
      <c r="M31" s="11"/>
    </row>
    <row r="32" spans="1:13" x14ac:dyDescent="0.2">
      <c r="A32" s="51"/>
      <c r="B32" s="9">
        <v>25</v>
      </c>
      <c r="C32" s="9" t="s">
        <v>55</v>
      </c>
      <c r="D32" s="9" t="s">
        <v>30</v>
      </c>
      <c r="E32" s="9" t="s">
        <v>31</v>
      </c>
      <c r="F32" s="9" t="s">
        <v>26</v>
      </c>
      <c r="G32" s="10" t="s">
        <v>27</v>
      </c>
      <c r="H32" s="11"/>
      <c r="I32" s="11"/>
      <c r="J32" s="11"/>
      <c r="K32" s="11"/>
      <c r="L32" s="11"/>
      <c r="M32" s="11"/>
    </row>
    <row r="33" spans="1:13" x14ac:dyDescent="0.2">
      <c r="A33" s="50"/>
      <c r="B33" s="9">
        <v>25</v>
      </c>
      <c r="C33" s="9" t="s">
        <v>56</v>
      </c>
      <c r="D33" s="9" t="s">
        <v>24</v>
      </c>
      <c r="E33" s="9" t="s">
        <v>31</v>
      </c>
      <c r="F33" s="9" t="s">
        <v>26</v>
      </c>
      <c r="G33" s="10" t="s">
        <v>27</v>
      </c>
      <c r="H33" s="11"/>
      <c r="I33" s="11"/>
      <c r="J33" s="11"/>
      <c r="K33" s="11"/>
      <c r="L33" s="11"/>
      <c r="M33" s="11"/>
    </row>
    <row r="34" spans="1:13" x14ac:dyDescent="0.2">
      <c r="A34" s="51"/>
      <c r="B34" s="9">
        <v>25</v>
      </c>
      <c r="C34" s="9" t="s">
        <v>57</v>
      </c>
      <c r="D34" s="9" t="s">
        <v>24</v>
      </c>
      <c r="E34" s="9" t="s">
        <v>31</v>
      </c>
      <c r="F34" s="9" t="s">
        <v>26</v>
      </c>
      <c r="G34" s="10" t="s">
        <v>27</v>
      </c>
      <c r="H34" s="11"/>
      <c r="I34" s="11"/>
      <c r="J34" s="11"/>
      <c r="K34" s="11"/>
      <c r="L34" s="11"/>
      <c r="M34" s="11"/>
    </row>
    <row r="35" spans="1:13" x14ac:dyDescent="0.2">
      <c r="A35" s="49"/>
      <c r="B35" s="9">
        <v>25</v>
      </c>
      <c r="C35" s="9" t="s">
        <v>58</v>
      </c>
      <c r="D35" s="9" t="s">
        <v>24</v>
      </c>
      <c r="E35" s="9" t="s">
        <v>31</v>
      </c>
      <c r="F35" s="9" t="s">
        <v>26</v>
      </c>
      <c r="G35" s="10" t="s">
        <v>27</v>
      </c>
      <c r="H35" s="11"/>
      <c r="I35" s="11"/>
      <c r="J35" s="11"/>
      <c r="K35" s="11"/>
      <c r="L35" s="11"/>
      <c r="M35" s="11"/>
    </row>
    <row r="36" spans="1:13" x14ac:dyDescent="0.2">
      <c r="A36" s="48" t="s">
        <v>59</v>
      </c>
      <c r="B36" s="9">
        <v>25</v>
      </c>
      <c r="C36" s="9" t="s">
        <v>60</v>
      </c>
      <c r="D36" s="9" t="s">
        <v>24</v>
      </c>
      <c r="E36" s="9" t="s">
        <v>31</v>
      </c>
      <c r="F36" s="9" t="s">
        <v>47</v>
      </c>
      <c r="G36" s="10" t="s">
        <v>27</v>
      </c>
      <c r="H36" s="11"/>
      <c r="I36" s="11"/>
      <c r="J36" s="11"/>
      <c r="K36" s="11"/>
      <c r="L36" s="11"/>
      <c r="M36" s="11"/>
    </row>
    <row r="37" spans="1:13" ht="12.75" x14ac:dyDescent="0.2">
      <c r="A37" s="49"/>
      <c r="B37" s="9">
        <v>25</v>
      </c>
      <c r="C37" s="9" t="s">
        <v>40</v>
      </c>
      <c r="D37" s="9" t="s">
        <v>24</v>
      </c>
      <c r="E37" s="9" t="s">
        <v>31</v>
      </c>
      <c r="F37" s="9" t="s">
        <v>47</v>
      </c>
      <c r="G37" s="10" t="s">
        <v>27</v>
      </c>
      <c r="H37" s="11"/>
      <c r="I37" s="11"/>
      <c r="J37" s="11"/>
      <c r="K37" s="11"/>
      <c r="L37" s="11"/>
      <c r="M37" s="11"/>
    </row>
    <row r="38" spans="1:13" ht="12.75" x14ac:dyDescent="0.2">
      <c r="A38" s="48" t="s">
        <v>61</v>
      </c>
      <c r="B38" s="9">
        <v>25</v>
      </c>
      <c r="C38" s="9" t="s">
        <v>40</v>
      </c>
      <c r="D38" s="9" t="s">
        <v>24</v>
      </c>
      <c r="E38" s="9" t="s">
        <v>31</v>
      </c>
      <c r="F38" s="9" t="s">
        <v>47</v>
      </c>
      <c r="G38" s="10" t="s">
        <v>27</v>
      </c>
      <c r="H38" s="11"/>
      <c r="I38" s="11"/>
      <c r="J38" s="11"/>
      <c r="K38" s="11"/>
      <c r="L38" s="11"/>
      <c r="M38" s="11"/>
    </row>
    <row r="39" spans="1:13" ht="12.75" x14ac:dyDescent="0.2">
      <c r="A39" s="49"/>
      <c r="B39" s="9">
        <v>25</v>
      </c>
      <c r="C39" s="9" t="s">
        <v>48</v>
      </c>
      <c r="D39" s="9" t="s">
        <v>30</v>
      </c>
      <c r="E39" s="9" t="s">
        <v>31</v>
      </c>
      <c r="F39" s="9" t="s">
        <v>47</v>
      </c>
      <c r="G39" s="10" t="s">
        <v>27</v>
      </c>
      <c r="H39" s="11"/>
      <c r="I39" s="11"/>
      <c r="J39" s="11"/>
      <c r="K39" s="11"/>
      <c r="L39" s="11"/>
      <c r="M39" s="11"/>
    </row>
    <row r="40" spans="1:13" ht="12.75" x14ac:dyDescent="0.2">
      <c r="A40" s="48" t="s">
        <v>62</v>
      </c>
      <c r="B40" s="9">
        <v>25</v>
      </c>
      <c r="C40" s="9" t="s">
        <v>63</v>
      </c>
      <c r="D40" s="9" t="s">
        <v>24</v>
      </c>
      <c r="E40" s="9" t="s">
        <v>31</v>
      </c>
      <c r="F40" s="9" t="s">
        <v>26</v>
      </c>
      <c r="G40" s="10" t="s">
        <v>27</v>
      </c>
      <c r="H40" s="11"/>
      <c r="I40" s="11"/>
      <c r="J40" s="11"/>
      <c r="K40" s="11"/>
      <c r="L40" s="11"/>
      <c r="M40" s="11"/>
    </row>
    <row r="41" spans="1:13" ht="12.75" x14ac:dyDescent="0.2">
      <c r="A41" s="50"/>
      <c r="B41" s="9">
        <v>25</v>
      </c>
      <c r="C41" s="9" t="s">
        <v>64</v>
      </c>
      <c r="D41" s="9" t="s">
        <v>24</v>
      </c>
      <c r="E41" s="9" t="s">
        <v>31</v>
      </c>
      <c r="F41" s="9" t="s">
        <v>26</v>
      </c>
      <c r="G41" s="10" t="s">
        <v>27</v>
      </c>
      <c r="H41" s="11"/>
      <c r="I41" s="11"/>
      <c r="J41" s="11"/>
      <c r="K41" s="11"/>
      <c r="L41" s="11"/>
      <c r="M41" s="11"/>
    </row>
    <row r="42" spans="1:13" ht="12.75" x14ac:dyDescent="0.2">
      <c r="A42" s="51"/>
      <c r="B42" s="9">
        <v>25</v>
      </c>
      <c r="C42" s="9" t="s">
        <v>65</v>
      </c>
      <c r="D42" s="9" t="s">
        <v>24</v>
      </c>
      <c r="E42" s="9" t="s">
        <v>31</v>
      </c>
      <c r="F42" s="9" t="s">
        <v>26</v>
      </c>
      <c r="G42" s="10" t="s">
        <v>27</v>
      </c>
      <c r="H42" s="11"/>
      <c r="I42" s="11"/>
      <c r="J42" s="11"/>
      <c r="K42" s="11"/>
      <c r="L42" s="11"/>
      <c r="M42" s="11"/>
    </row>
    <row r="43" spans="1:13" ht="12.75" x14ac:dyDescent="0.2">
      <c r="A43" s="52"/>
      <c r="B43" s="9">
        <v>25</v>
      </c>
      <c r="C43" s="9" t="s">
        <v>66</v>
      </c>
      <c r="D43" s="9" t="s">
        <v>24</v>
      </c>
      <c r="E43" s="9" t="s">
        <v>31</v>
      </c>
      <c r="F43" s="9" t="s">
        <v>26</v>
      </c>
      <c r="G43" s="10" t="s">
        <v>27</v>
      </c>
      <c r="H43" s="11"/>
      <c r="I43" s="11"/>
      <c r="J43" s="11"/>
      <c r="K43" s="11"/>
      <c r="L43" s="11"/>
      <c r="M43" s="11"/>
    </row>
    <row r="44" spans="1:13" ht="12.75" x14ac:dyDescent="0.2">
      <c r="A44" s="52"/>
      <c r="B44" s="9">
        <v>25</v>
      </c>
      <c r="C44" s="9" t="s">
        <v>67</v>
      </c>
      <c r="D44" s="9" t="s">
        <v>24</v>
      </c>
      <c r="E44" s="9" t="s">
        <v>31</v>
      </c>
      <c r="F44" s="9" t="s">
        <v>26</v>
      </c>
      <c r="G44" s="10" t="s">
        <v>27</v>
      </c>
      <c r="H44" s="11"/>
      <c r="I44" s="11"/>
      <c r="J44" s="11"/>
      <c r="K44" s="11"/>
      <c r="L44" s="11"/>
      <c r="M44" s="11"/>
    </row>
    <row r="45" spans="1:13" ht="12.75" x14ac:dyDescent="0.2">
      <c r="A45" s="52"/>
      <c r="B45" s="9">
        <v>25</v>
      </c>
      <c r="C45" s="9" t="s">
        <v>68</v>
      </c>
      <c r="D45" s="9" t="s">
        <v>24</v>
      </c>
      <c r="E45" s="9" t="s">
        <v>31</v>
      </c>
      <c r="F45" s="9" t="s">
        <v>26</v>
      </c>
      <c r="G45" s="10" t="s">
        <v>27</v>
      </c>
      <c r="H45" s="11"/>
      <c r="I45" s="11"/>
      <c r="J45" s="11"/>
      <c r="K45" s="11"/>
      <c r="L45" s="11"/>
      <c r="M45" s="11"/>
    </row>
    <row r="46" spans="1:13" ht="12.75" x14ac:dyDescent="0.2">
      <c r="A46" s="53"/>
      <c r="B46" s="9">
        <v>25</v>
      </c>
      <c r="C46" s="9" t="s">
        <v>69</v>
      </c>
      <c r="D46" s="9" t="s">
        <v>24</v>
      </c>
      <c r="E46" s="9" t="s">
        <v>31</v>
      </c>
      <c r="F46" s="9" t="s">
        <v>26</v>
      </c>
      <c r="G46" s="10" t="s">
        <v>27</v>
      </c>
      <c r="H46" s="11"/>
      <c r="I46" s="11"/>
      <c r="J46" s="11"/>
      <c r="K46" s="11"/>
      <c r="L46" s="11"/>
      <c r="M46" s="11"/>
    </row>
    <row r="47" spans="1:13" ht="12.75" x14ac:dyDescent="0.2">
      <c r="A47" s="48" t="s">
        <v>70</v>
      </c>
      <c r="B47" s="9">
        <v>25</v>
      </c>
      <c r="C47" s="9" t="s">
        <v>71</v>
      </c>
      <c r="D47" s="9" t="s">
        <v>24</v>
      </c>
      <c r="E47" s="9" t="s">
        <v>31</v>
      </c>
      <c r="F47" s="9" t="s">
        <v>26</v>
      </c>
      <c r="G47" s="10" t="s">
        <v>27</v>
      </c>
      <c r="H47" s="11"/>
      <c r="I47" s="11"/>
      <c r="J47" s="11"/>
      <c r="K47" s="11"/>
      <c r="L47" s="11"/>
      <c r="M47" s="11"/>
    </row>
    <row r="48" spans="1:13" ht="12.75" x14ac:dyDescent="0.2">
      <c r="A48" s="52"/>
      <c r="B48" s="9">
        <v>25</v>
      </c>
      <c r="C48" s="9" t="s">
        <v>72</v>
      </c>
      <c r="D48" s="9" t="s">
        <v>24</v>
      </c>
      <c r="E48" s="9" t="s">
        <v>31</v>
      </c>
      <c r="F48" s="9" t="s">
        <v>26</v>
      </c>
      <c r="G48" s="10" t="s">
        <v>27</v>
      </c>
      <c r="H48" s="11"/>
      <c r="I48" s="11"/>
      <c r="J48" s="11"/>
      <c r="K48" s="11"/>
      <c r="L48" s="11"/>
      <c r="M48" s="11"/>
    </row>
    <row r="49" spans="1:13" ht="12.75" x14ac:dyDescent="0.2">
      <c r="A49" s="53"/>
      <c r="B49" s="9">
        <v>25</v>
      </c>
      <c r="C49" s="9" t="s">
        <v>63</v>
      </c>
      <c r="D49" s="9" t="s">
        <v>24</v>
      </c>
      <c r="E49" s="9" t="s">
        <v>31</v>
      </c>
      <c r="F49" s="9" t="s">
        <v>26</v>
      </c>
      <c r="G49" s="10" t="s">
        <v>27</v>
      </c>
      <c r="H49" s="11"/>
      <c r="I49" s="11"/>
      <c r="J49" s="11"/>
      <c r="K49" s="11"/>
      <c r="L49" s="11"/>
      <c r="M49" s="11"/>
    </row>
    <row r="50" spans="1:13" ht="12.75" x14ac:dyDescent="0.2">
      <c r="A50" s="48" t="s">
        <v>73</v>
      </c>
      <c r="B50" s="12">
        <v>25</v>
      </c>
      <c r="C50" s="12" t="s">
        <v>39</v>
      </c>
      <c r="D50" s="12" t="s">
        <v>24</v>
      </c>
      <c r="E50" s="12" t="s">
        <v>25</v>
      </c>
      <c r="F50" s="12" t="s">
        <v>26</v>
      </c>
      <c r="G50" s="10" t="s">
        <v>27</v>
      </c>
      <c r="H50" s="11"/>
      <c r="I50" s="11"/>
      <c r="J50" s="11"/>
      <c r="K50" s="11"/>
      <c r="L50" s="11"/>
      <c r="M50" s="11"/>
    </row>
    <row r="51" spans="1:13" ht="12.75" x14ac:dyDescent="0.2">
      <c r="A51" s="52"/>
      <c r="B51" s="12">
        <v>25</v>
      </c>
      <c r="C51" s="12" t="s">
        <v>74</v>
      </c>
      <c r="D51" s="12" t="s">
        <v>24</v>
      </c>
      <c r="E51" s="12" t="s">
        <v>25</v>
      </c>
      <c r="F51" s="12" t="s">
        <v>26</v>
      </c>
      <c r="G51" s="10" t="s">
        <v>27</v>
      </c>
      <c r="H51" s="11"/>
      <c r="I51" s="11"/>
      <c r="J51" s="11"/>
      <c r="K51" s="11"/>
      <c r="L51" s="11"/>
      <c r="M51" s="11"/>
    </row>
    <row r="52" spans="1:13" ht="12.75" x14ac:dyDescent="0.2">
      <c r="A52" s="52"/>
      <c r="B52" s="12">
        <v>25</v>
      </c>
      <c r="C52" s="12" t="s">
        <v>75</v>
      </c>
      <c r="D52" s="12" t="s">
        <v>24</v>
      </c>
      <c r="E52" s="12" t="s">
        <v>25</v>
      </c>
      <c r="F52" s="12" t="s">
        <v>26</v>
      </c>
      <c r="G52" s="10" t="s">
        <v>27</v>
      </c>
      <c r="H52" s="11"/>
      <c r="I52" s="11"/>
      <c r="J52" s="11"/>
      <c r="K52" s="11"/>
      <c r="L52" s="11"/>
      <c r="M52" s="11"/>
    </row>
    <row r="53" spans="1:13" ht="12.75" x14ac:dyDescent="0.2">
      <c r="A53" s="52"/>
      <c r="B53" s="12">
        <v>25</v>
      </c>
      <c r="C53" s="12" t="s">
        <v>76</v>
      </c>
      <c r="D53" s="12" t="s">
        <v>24</v>
      </c>
      <c r="E53" s="12" t="s">
        <v>25</v>
      </c>
      <c r="F53" s="12" t="s">
        <v>26</v>
      </c>
      <c r="G53" s="10" t="s">
        <v>27</v>
      </c>
      <c r="H53" s="11"/>
      <c r="I53" s="11"/>
      <c r="J53" s="11"/>
      <c r="K53" s="11"/>
      <c r="L53" s="11"/>
      <c r="M53" s="11"/>
    </row>
    <row r="54" spans="1:13" ht="12.75" x14ac:dyDescent="0.2">
      <c r="A54" s="53"/>
      <c r="B54" s="12">
        <v>25</v>
      </c>
      <c r="C54" s="12" t="s">
        <v>37</v>
      </c>
      <c r="D54" s="12" t="s">
        <v>24</v>
      </c>
      <c r="E54" s="12" t="s">
        <v>25</v>
      </c>
      <c r="F54" s="12" t="s">
        <v>26</v>
      </c>
      <c r="G54" s="10" t="s">
        <v>27</v>
      </c>
      <c r="H54" s="11"/>
      <c r="I54" s="11"/>
      <c r="J54" s="11"/>
      <c r="K54" s="11"/>
      <c r="L54" s="11"/>
      <c r="M54" s="11"/>
    </row>
    <row r="55" spans="1:13" ht="12.75" x14ac:dyDescent="0.2">
      <c r="A55" s="48" t="s">
        <v>77</v>
      </c>
      <c r="B55" s="9">
        <v>25</v>
      </c>
      <c r="C55" s="9" t="s">
        <v>39</v>
      </c>
      <c r="D55" s="9" t="s">
        <v>24</v>
      </c>
      <c r="E55" s="9" t="s">
        <v>31</v>
      </c>
      <c r="F55" s="9" t="s">
        <v>26</v>
      </c>
      <c r="G55" s="10" t="s">
        <v>27</v>
      </c>
      <c r="H55" s="11"/>
      <c r="I55" s="11"/>
      <c r="J55" s="11"/>
      <c r="K55" s="11"/>
      <c r="L55" s="11"/>
      <c r="M55" s="11"/>
    </row>
    <row r="56" spans="1:13" ht="12.75" x14ac:dyDescent="0.2">
      <c r="A56" s="52"/>
      <c r="B56" s="9">
        <v>25</v>
      </c>
      <c r="C56" s="9" t="s">
        <v>78</v>
      </c>
      <c r="D56" s="9" t="s">
        <v>24</v>
      </c>
      <c r="E56" s="9" t="s">
        <v>31</v>
      </c>
      <c r="F56" s="9" t="s">
        <v>26</v>
      </c>
      <c r="G56" s="10" t="s">
        <v>27</v>
      </c>
      <c r="H56" s="11"/>
      <c r="I56" s="11"/>
      <c r="J56" s="11"/>
      <c r="K56" s="11"/>
      <c r="L56" s="11"/>
      <c r="M56" s="11"/>
    </row>
    <row r="57" spans="1:13" ht="12.75" x14ac:dyDescent="0.2">
      <c r="A57" s="53"/>
      <c r="B57" s="9">
        <v>25</v>
      </c>
      <c r="C57" s="9" t="s">
        <v>71</v>
      </c>
      <c r="D57" s="9" t="s">
        <v>24</v>
      </c>
      <c r="E57" s="9" t="s">
        <v>31</v>
      </c>
      <c r="F57" s="9" t="s">
        <v>26</v>
      </c>
      <c r="G57" s="10" t="s">
        <v>27</v>
      </c>
      <c r="H57" s="11"/>
      <c r="I57" s="11"/>
      <c r="J57" s="11"/>
      <c r="K57" s="11"/>
      <c r="L57" s="11"/>
      <c r="M57" s="11"/>
    </row>
    <row r="58" spans="1:13" ht="12.75" x14ac:dyDescent="0.2">
      <c r="A58" s="48" t="s">
        <v>79</v>
      </c>
      <c r="B58" s="9">
        <v>25</v>
      </c>
      <c r="C58" s="9" t="s">
        <v>80</v>
      </c>
      <c r="D58" s="9" t="s">
        <v>24</v>
      </c>
      <c r="E58" s="9" t="s">
        <v>31</v>
      </c>
      <c r="F58" s="9" t="s">
        <v>26</v>
      </c>
      <c r="G58" s="10" t="s">
        <v>27</v>
      </c>
      <c r="H58" s="11"/>
      <c r="I58" s="11"/>
      <c r="J58" s="11"/>
      <c r="K58" s="11"/>
      <c r="L58" s="11"/>
      <c r="M58" s="11"/>
    </row>
    <row r="59" spans="1:13" ht="12.75" x14ac:dyDescent="0.2">
      <c r="A59" s="52"/>
      <c r="B59" s="9">
        <v>25</v>
      </c>
      <c r="C59" s="9" t="s">
        <v>81</v>
      </c>
      <c r="D59" s="9" t="s">
        <v>24</v>
      </c>
      <c r="E59" s="9" t="s">
        <v>31</v>
      </c>
      <c r="F59" s="9" t="s">
        <v>26</v>
      </c>
      <c r="G59" s="10" t="s">
        <v>27</v>
      </c>
      <c r="H59" s="11"/>
      <c r="I59" s="11"/>
      <c r="J59" s="11"/>
      <c r="K59" s="11"/>
      <c r="L59" s="11"/>
      <c r="M59" s="11"/>
    </row>
    <row r="60" spans="1:13" ht="12.75" x14ac:dyDescent="0.2">
      <c r="A60" s="53"/>
      <c r="B60" s="9">
        <v>25</v>
      </c>
      <c r="C60" s="9" t="s">
        <v>82</v>
      </c>
      <c r="D60" s="9" t="s">
        <v>24</v>
      </c>
      <c r="E60" s="9" t="s">
        <v>31</v>
      </c>
      <c r="F60" s="9" t="s">
        <v>26</v>
      </c>
      <c r="G60" s="10" t="s">
        <v>27</v>
      </c>
      <c r="H60" s="11"/>
      <c r="I60" s="11"/>
      <c r="J60" s="11"/>
      <c r="K60" s="11"/>
      <c r="L60" s="11"/>
      <c r="M60" s="11"/>
    </row>
    <row r="61" spans="1:13" ht="12.75" x14ac:dyDescent="0.2">
      <c r="A61" s="48" t="s">
        <v>83</v>
      </c>
      <c r="B61" s="12">
        <v>25</v>
      </c>
      <c r="C61" s="12" t="s">
        <v>39</v>
      </c>
      <c r="D61" s="12" t="s">
        <v>24</v>
      </c>
      <c r="E61" s="12" t="s">
        <v>25</v>
      </c>
      <c r="F61" s="12" t="s">
        <v>26</v>
      </c>
      <c r="G61" s="10" t="s">
        <v>27</v>
      </c>
      <c r="H61" s="13"/>
      <c r="I61" s="13"/>
      <c r="J61" s="13"/>
      <c r="K61" s="13"/>
    </row>
    <row r="62" spans="1:13" ht="12.75" x14ac:dyDescent="0.2">
      <c r="A62" s="52"/>
      <c r="B62" s="12">
        <v>25</v>
      </c>
      <c r="C62" s="12" t="s">
        <v>80</v>
      </c>
      <c r="D62" s="12" t="s">
        <v>24</v>
      </c>
      <c r="E62" s="12" t="s">
        <v>25</v>
      </c>
      <c r="F62" s="12" t="s">
        <v>26</v>
      </c>
      <c r="G62" s="10" t="s">
        <v>27</v>
      </c>
      <c r="H62" s="13"/>
      <c r="I62" s="13"/>
      <c r="J62" s="13"/>
      <c r="K62" s="13"/>
    </row>
    <row r="63" spans="1:13" ht="12.75" x14ac:dyDescent="0.2">
      <c r="A63" s="52"/>
      <c r="B63" s="12">
        <v>25</v>
      </c>
      <c r="C63" s="12" t="s">
        <v>84</v>
      </c>
      <c r="D63" s="12" t="s">
        <v>24</v>
      </c>
      <c r="E63" s="12" t="s">
        <v>25</v>
      </c>
      <c r="F63" s="12" t="s">
        <v>26</v>
      </c>
      <c r="G63" s="10" t="s">
        <v>27</v>
      </c>
      <c r="H63" s="13"/>
      <c r="I63" s="13"/>
      <c r="J63" s="13"/>
      <c r="K63" s="13"/>
    </row>
    <row r="64" spans="1:13" ht="12.75" x14ac:dyDescent="0.2">
      <c r="A64" s="53"/>
      <c r="B64" s="12">
        <v>25</v>
      </c>
      <c r="C64" s="12" t="s">
        <v>71</v>
      </c>
      <c r="D64" s="12" t="s">
        <v>24</v>
      </c>
      <c r="E64" s="12" t="s">
        <v>25</v>
      </c>
      <c r="F64" s="12" t="s">
        <v>26</v>
      </c>
      <c r="G64" s="10" t="s">
        <v>27</v>
      </c>
      <c r="H64" s="13"/>
      <c r="I64" s="13"/>
      <c r="J64" s="13"/>
      <c r="K64" s="13"/>
    </row>
    <row r="65" spans="1:11" ht="12.75" x14ac:dyDescent="0.2">
      <c r="A65" s="9" t="s">
        <v>85</v>
      </c>
      <c r="B65" s="9">
        <v>25</v>
      </c>
      <c r="C65" s="9" t="s">
        <v>21</v>
      </c>
      <c r="D65" s="9" t="s">
        <v>21</v>
      </c>
      <c r="E65" s="9" t="s">
        <v>21</v>
      </c>
      <c r="F65" s="9" t="s">
        <v>21</v>
      </c>
      <c r="G65" s="10" t="s">
        <v>21</v>
      </c>
      <c r="H65" s="13"/>
      <c r="I65" s="13"/>
      <c r="J65" s="13"/>
      <c r="K65" s="13"/>
    </row>
    <row r="66" spans="1:11" ht="12.75" x14ac:dyDescent="0.2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</row>
    <row r="67" spans="1:11" ht="12.75" x14ac:dyDescent="0.2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</row>
    <row r="68" spans="1:11" ht="12.75" x14ac:dyDescent="0.2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</row>
    <row r="69" spans="1:11" ht="12.75" x14ac:dyDescent="0.2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</row>
    <row r="70" spans="1:11" ht="12.75" x14ac:dyDescent="0.2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</row>
    <row r="71" spans="1:11" ht="12.75" x14ac:dyDescent="0.2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</row>
    <row r="72" spans="1:11" ht="12.75" x14ac:dyDescent="0.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</row>
    <row r="73" spans="1:11" ht="12.75" x14ac:dyDescent="0.2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</row>
    <row r="74" spans="1:11" ht="12.75" x14ac:dyDescent="0.2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</row>
    <row r="75" spans="1:11" ht="12.75" x14ac:dyDescent="0.2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</row>
    <row r="76" spans="1:11" ht="12.75" x14ac:dyDescent="0.2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</row>
    <row r="77" spans="1:11" ht="12.75" x14ac:dyDescent="0.2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</row>
    <row r="78" spans="1:11" ht="12.75" x14ac:dyDescent="0.2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</row>
  </sheetData>
  <mergeCells count="15">
    <mergeCell ref="A55:A57"/>
    <mergeCell ref="A58:A60"/>
    <mergeCell ref="A61:A64"/>
    <mergeCell ref="A1:G1"/>
    <mergeCell ref="A11:A12"/>
    <mergeCell ref="A13:A17"/>
    <mergeCell ref="A18:A25"/>
    <mergeCell ref="A26:A27"/>
    <mergeCell ref="A28:A29"/>
    <mergeCell ref="A30:A35"/>
    <mergeCell ref="A36:A37"/>
    <mergeCell ref="A38:A39"/>
    <mergeCell ref="A40:A46"/>
    <mergeCell ref="A47:A49"/>
    <mergeCell ref="A50:A5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56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8" ht="15.75" customHeight="1" x14ac:dyDescent="0.25">
      <c r="A1" s="54" t="s">
        <v>0</v>
      </c>
      <c r="B1" s="55"/>
      <c r="C1" s="55"/>
      <c r="D1" s="55"/>
      <c r="E1" s="55"/>
      <c r="F1" s="55"/>
      <c r="G1" s="56"/>
    </row>
    <row r="2" spans="1:8" x14ac:dyDescent="0.2">
      <c r="A2" s="1"/>
      <c r="B2" s="2"/>
      <c r="C2" s="2"/>
      <c r="D2" s="2"/>
      <c r="E2" s="2"/>
      <c r="F2" s="2"/>
      <c r="G2" s="2"/>
    </row>
    <row r="3" spans="1:8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8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8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8" x14ac:dyDescent="0.2">
      <c r="A6" s="1"/>
      <c r="B6" s="2"/>
      <c r="C6" s="2"/>
      <c r="D6" s="2"/>
      <c r="E6" s="2"/>
      <c r="F6" s="2"/>
      <c r="G6" s="2"/>
    </row>
    <row r="7" spans="1:8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8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8" x14ac:dyDescent="0.2">
      <c r="A9" s="9" t="s">
        <v>20</v>
      </c>
      <c r="B9" s="9">
        <v>26</v>
      </c>
      <c r="C9" s="9" t="s">
        <v>86</v>
      </c>
      <c r="D9" s="9" t="s">
        <v>24</v>
      </c>
      <c r="E9" s="9" t="s">
        <v>31</v>
      </c>
      <c r="F9" s="9" t="s">
        <v>87</v>
      </c>
      <c r="G9" s="9" t="s">
        <v>27</v>
      </c>
      <c r="H9" s="11"/>
    </row>
    <row r="10" spans="1:8" x14ac:dyDescent="0.2">
      <c r="A10" s="9" t="s">
        <v>22</v>
      </c>
      <c r="B10" s="9">
        <v>26</v>
      </c>
      <c r="C10" s="9" t="s">
        <v>21</v>
      </c>
      <c r="D10" s="9" t="s">
        <v>21</v>
      </c>
      <c r="E10" s="9" t="s">
        <v>21</v>
      </c>
      <c r="F10" s="9" t="s">
        <v>21</v>
      </c>
      <c r="G10" s="10" t="s">
        <v>21</v>
      </c>
      <c r="H10" s="11"/>
    </row>
    <row r="11" spans="1:8" x14ac:dyDescent="0.2">
      <c r="A11" s="48" t="s">
        <v>28</v>
      </c>
      <c r="B11" s="9">
        <v>26</v>
      </c>
      <c r="C11" s="9" t="s">
        <v>88</v>
      </c>
      <c r="D11" s="9" t="s">
        <v>24</v>
      </c>
      <c r="E11" s="9" t="s">
        <v>31</v>
      </c>
      <c r="F11" s="9" t="s">
        <v>26</v>
      </c>
      <c r="G11" s="10" t="s">
        <v>27</v>
      </c>
      <c r="H11" s="11"/>
    </row>
    <row r="12" spans="1:8" x14ac:dyDescent="0.2">
      <c r="A12" s="53"/>
      <c r="B12" s="9">
        <v>26</v>
      </c>
      <c r="C12" s="9" t="s">
        <v>89</v>
      </c>
      <c r="D12" s="9" t="s">
        <v>24</v>
      </c>
      <c r="E12" s="9" t="s">
        <v>31</v>
      </c>
      <c r="F12" s="9" t="s">
        <v>26</v>
      </c>
      <c r="G12" s="10" t="s">
        <v>27</v>
      </c>
      <c r="H12" s="11"/>
    </row>
    <row r="13" spans="1:8" x14ac:dyDescent="0.2">
      <c r="A13" s="48" t="s">
        <v>33</v>
      </c>
      <c r="B13" s="9">
        <v>26</v>
      </c>
      <c r="C13" s="9" t="s">
        <v>90</v>
      </c>
      <c r="D13" s="9" t="s">
        <v>24</v>
      </c>
      <c r="E13" s="9" t="s">
        <v>31</v>
      </c>
      <c r="F13" s="9" t="s">
        <v>26</v>
      </c>
      <c r="G13" s="10" t="s">
        <v>27</v>
      </c>
      <c r="H13" s="11"/>
    </row>
    <row r="14" spans="1:8" x14ac:dyDescent="0.2">
      <c r="A14" s="52"/>
      <c r="B14" s="9">
        <v>26</v>
      </c>
      <c r="C14" s="9" t="s">
        <v>91</v>
      </c>
      <c r="D14" s="9" t="s">
        <v>24</v>
      </c>
      <c r="E14" s="9" t="s">
        <v>31</v>
      </c>
      <c r="F14" s="9" t="s">
        <v>26</v>
      </c>
      <c r="G14" s="10" t="s">
        <v>27</v>
      </c>
      <c r="H14" s="11"/>
    </row>
    <row r="15" spans="1:8" x14ac:dyDescent="0.2">
      <c r="A15" s="52"/>
      <c r="B15" s="9">
        <v>26</v>
      </c>
      <c r="C15" s="9" t="s">
        <v>92</v>
      </c>
      <c r="D15" s="9" t="s">
        <v>24</v>
      </c>
      <c r="E15" s="9" t="s">
        <v>31</v>
      </c>
      <c r="F15" s="9" t="s">
        <v>26</v>
      </c>
      <c r="G15" s="10" t="s">
        <v>27</v>
      </c>
      <c r="H15" s="11"/>
    </row>
    <row r="16" spans="1:8" x14ac:dyDescent="0.2">
      <c r="A16" s="53"/>
      <c r="B16" s="9">
        <v>26</v>
      </c>
      <c r="C16" s="9" t="s">
        <v>93</v>
      </c>
      <c r="D16" s="9" t="s">
        <v>24</v>
      </c>
      <c r="E16" s="9" t="s">
        <v>31</v>
      </c>
      <c r="F16" s="9" t="s">
        <v>26</v>
      </c>
      <c r="G16" s="10" t="s">
        <v>27</v>
      </c>
      <c r="H16" s="11"/>
    </row>
    <row r="17" spans="1:8" x14ac:dyDescent="0.2">
      <c r="A17" s="48" t="s">
        <v>38</v>
      </c>
      <c r="B17" s="9">
        <v>26</v>
      </c>
      <c r="C17" s="9" t="s">
        <v>94</v>
      </c>
      <c r="D17" s="9" t="s">
        <v>24</v>
      </c>
      <c r="E17" s="9" t="s">
        <v>25</v>
      </c>
      <c r="F17" s="9" t="s">
        <v>26</v>
      </c>
      <c r="G17" s="10" t="s">
        <v>27</v>
      </c>
      <c r="H17" s="11"/>
    </row>
    <row r="18" spans="1:8" x14ac:dyDescent="0.2">
      <c r="A18" s="51"/>
      <c r="B18" s="9">
        <v>26</v>
      </c>
      <c r="C18" s="9" t="s">
        <v>95</v>
      </c>
      <c r="D18" s="9" t="s">
        <v>24</v>
      </c>
      <c r="E18" s="9" t="s">
        <v>25</v>
      </c>
      <c r="F18" s="9" t="s">
        <v>26</v>
      </c>
      <c r="G18" s="10" t="s">
        <v>27</v>
      </c>
      <c r="H18" s="11"/>
    </row>
    <row r="19" spans="1:8" x14ac:dyDescent="0.2">
      <c r="A19" s="49"/>
      <c r="B19" s="9">
        <v>26</v>
      </c>
      <c r="C19" s="9" t="s">
        <v>39</v>
      </c>
      <c r="D19" s="9" t="s">
        <v>24</v>
      </c>
      <c r="E19" s="9" t="s">
        <v>25</v>
      </c>
      <c r="F19" s="9" t="s">
        <v>47</v>
      </c>
      <c r="G19" s="10" t="s">
        <v>27</v>
      </c>
      <c r="H19" s="11"/>
    </row>
    <row r="20" spans="1:8" x14ac:dyDescent="0.2">
      <c r="A20" s="9" t="s">
        <v>46</v>
      </c>
      <c r="B20" s="9">
        <v>26</v>
      </c>
      <c r="C20" s="9" t="s">
        <v>21</v>
      </c>
      <c r="D20" s="9" t="s">
        <v>21</v>
      </c>
      <c r="E20" s="9" t="s">
        <v>21</v>
      </c>
      <c r="F20" s="9" t="s">
        <v>21</v>
      </c>
      <c r="G20" s="10" t="s">
        <v>21</v>
      </c>
      <c r="H20" s="11"/>
    </row>
    <row r="21" spans="1:8" x14ac:dyDescent="0.2">
      <c r="A21" s="9" t="s">
        <v>49</v>
      </c>
      <c r="B21" s="9">
        <v>26</v>
      </c>
      <c r="C21" s="9" t="s">
        <v>96</v>
      </c>
      <c r="D21" s="9" t="s">
        <v>24</v>
      </c>
      <c r="E21" s="9" t="s">
        <v>31</v>
      </c>
      <c r="F21" s="9" t="s">
        <v>26</v>
      </c>
      <c r="G21" s="10" t="s">
        <v>27</v>
      </c>
      <c r="H21" s="11"/>
    </row>
    <row r="22" spans="1:8" x14ac:dyDescent="0.2">
      <c r="A22" s="48" t="s">
        <v>52</v>
      </c>
      <c r="B22" s="9">
        <v>26</v>
      </c>
      <c r="C22" s="9" t="s">
        <v>97</v>
      </c>
      <c r="D22" s="9" t="s">
        <v>24</v>
      </c>
      <c r="E22" s="9" t="s">
        <v>31</v>
      </c>
      <c r="F22" s="9" t="s">
        <v>26</v>
      </c>
      <c r="G22" s="10" t="s">
        <v>27</v>
      </c>
      <c r="H22" s="11"/>
    </row>
    <row r="23" spans="1:8" x14ac:dyDescent="0.2">
      <c r="A23" s="50"/>
      <c r="B23" s="9">
        <v>26</v>
      </c>
      <c r="C23" s="9" t="s">
        <v>98</v>
      </c>
      <c r="D23" s="9" t="s">
        <v>30</v>
      </c>
      <c r="E23" s="9" t="s">
        <v>31</v>
      </c>
      <c r="F23" s="9" t="s">
        <v>26</v>
      </c>
      <c r="G23" s="10" t="s">
        <v>27</v>
      </c>
      <c r="H23" s="11"/>
    </row>
    <row r="24" spans="1:8" x14ac:dyDescent="0.2">
      <c r="A24" s="57"/>
      <c r="B24" s="9">
        <v>26</v>
      </c>
      <c r="C24" s="9" t="s">
        <v>99</v>
      </c>
      <c r="D24" s="9" t="s">
        <v>24</v>
      </c>
      <c r="E24" s="9" t="s">
        <v>31</v>
      </c>
      <c r="F24" s="9" t="s">
        <v>26</v>
      </c>
      <c r="G24" s="10" t="s">
        <v>27</v>
      </c>
      <c r="H24" s="11"/>
    </row>
    <row r="25" spans="1:8" x14ac:dyDescent="0.2">
      <c r="A25" s="9" t="s">
        <v>59</v>
      </c>
      <c r="B25" s="9">
        <v>26</v>
      </c>
      <c r="C25" s="9" t="s">
        <v>100</v>
      </c>
      <c r="D25" s="9" t="s">
        <v>24</v>
      </c>
      <c r="E25" s="9" t="s">
        <v>31</v>
      </c>
      <c r="F25" s="9" t="s">
        <v>26</v>
      </c>
      <c r="G25" s="10" t="s">
        <v>27</v>
      </c>
      <c r="H25" s="11"/>
    </row>
    <row r="26" spans="1:8" x14ac:dyDescent="0.2">
      <c r="A26" s="9" t="s">
        <v>101</v>
      </c>
      <c r="B26" s="9">
        <v>26</v>
      </c>
      <c r="C26" s="9" t="s">
        <v>21</v>
      </c>
      <c r="D26" s="9" t="s">
        <v>21</v>
      </c>
      <c r="E26" s="9" t="s">
        <v>21</v>
      </c>
      <c r="F26" s="9" t="s">
        <v>21</v>
      </c>
      <c r="G26" s="10" t="s">
        <v>21</v>
      </c>
      <c r="H26" s="11"/>
    </row>
    <row r="27" spans="1:8" x14ac:dyDescent="0.2">
      <c r="A27" s="48" t="s">
        <v>62</v>
      </c>
      <c r="B27" s="9">
        <v>26</v>
      </c>
      <c r="C27" s="9" t="s">
        <v>88</v>
      </c>
      <c r="D27" s="9" t="s">
        <v>24</v>
      </c>
      <c r="E27" s="9" t="s">
        <v>31</v>
      </c>
      <c r="F27" s="9" t="s">
        <v>26</v>
      </c>
      <c r="G27" s="10" t="s">
        <v>27</v>
      </c>
      <c r="H27" s="11"/>
    </row>
    <row r="28" spans="1:8" x14ac:dyDescent="0.2">
      <c r="A28" s="51"/>
      <c r="B28" s="9">
        <v>26</v>
      </c>
      <c r="C28" s="9" t="s">
        <v>102</v>
      </c>
      <c r="D28" s="9" t="s">
        <v>24</v>
      </c>
      <c r="E28" s="9" t="s">
        <v>31</v>
      </c>
      <c r="F28" s="9" t="s">
        <v>26</v>
      </c>
      <c r="G28" s="10" t="s">
        <v>27</v>
      </c>
      <c r="H28" s="11"/>
    </row>
    <row r="29" spans="1:8" x14ac:dyDescent="0.2">
      <c r="A29" s="49"/>
      <c r="B29" s="9">
        <v>26</v>
      </c>
      <c r="C29" s="9" t="s">
        <v>71</v>
      </c>
      <c r="D29" s="9" t="s">
        <v>24</v>
      </c>
      <c r="E29" s="9" t="s">
        <v>31</v>
      </c>
      <c r="F29" s="9" t="s">
        <v>26</v>
      </c>
      <c r="G29" s="10" t="s">
        <v>27</v>
      </c>
      <c r="H29" s="11"/>
    </row>
    <row r="30" spans="1:8" x14ac:dyDescent="0.2">
      <c r="A30" s="48" t="s">
        <v>70</v>
      </c>
      <c r="B30" s="9">
        <v>26</v>
      </c>
      <c r="C30" s="9" t="s">
        <v>103</v>
      </c>
      <c r="D30" s="9" t="s">
        <v>24</v>
      </c>
      <c r="E30" s="9" t="s">
        <v>31</v>
      </c>
      <c r="F30" s="9" t="s">
        <v>26</v>
      </c>
      <c r="G30" s="10" t="s">
        <v>27</v>
      </c>
      <c r="H30" s="11"/>
    </row>
    <row r="31" spans="1:8" x14ac:dyDescent="0.2">
      <c r="A31" s="49"/>
      <c r="B31" s="9">
        <v>26</v>
      </c>
      <c r="C31" s="9" t="s">
        <v>88</v>
      </c>
      <c r="D31" s="9" t="s">
        <v>24</v>
      </c>
      <c r="E31" s="9" t="s">
        <v>31</v>
      </c>
      <c r="F31" s="9" t="s">
        <v>26</v>
      </c>
      <c r="G31" s="10" t="s">
        <v>27</v>
      </c>
      <c r="H31" s="11"/>
    </row>
    <row r="32" spans="1:8" x14ac:dyDescent="0.2">
      <c r="A32" s="48" t="s">
        <v>73</v>
      </c>
      <c r="B32" s="12">
        <v>26</v>
      </c>
      <c r="C32" s="12" t="s">
        <v>104</v>
      </c>
      <c r="D32" s="12" t="s">
        <v>24</v>
      </c>
      <c r="E32" s="12" t="s">
        <v>25</v>
      </c>
      <c r="F32" s="12" t="s">
        <v>26</v>
      </c>
      <c r="G32" s="10" t="s">
        <v>27</v>
      </c>
      <c r="H32" s="11"/>
    </row>
    <row r="33" spans="1:8" x14ac:dyDescent="0.2">
      <c r="A33" s="49"/>
      <c r="B33" s="12">
        <v>26</v>
      </c>
      <c r="C33" s="12" t="s">
        <v>105</v>
      </c>
      <c r="D33" s="12" t="s">
        <v>24</v>
      </c>
      <c r="E33" s="12" t="s">
        <v>25</v>
      </c>
      <c r="F33" s="12" t="s">
        <v>26</v>
      </c>
      <c r="G33" s="10" t="s">
        <v>27</v>
      </c>
      <c r="H33" s="11"/>
    </row>
    <row r="34" spans="1:8" x14ac:dyDescent="0.2">
      <c r="A34" s="48" t="s">
        <v>77</v>
      </c>
      <c r="B34" s="9">
        <v>26</v>
      </c>
      <c r="C34" s="9" t="s">
        <v>106</v>
      </c>
      <c r="D34" s="9" t="s">
        <v>24</v>
      </c>
      <c r="E34" s="9" t="s">
        <v>31</v>
      </c>
      <c r="F34" s="9" t="s">
        <v>26</v>
      </c>
      <c r="G34" s="10" t="s">
        <v>27</v>
      </c>
      <c r="H34" s="11"/>
    </row>
    <row r="35" spans="1:8" x14ac:dyDescent="0.2">
      <c r="A35" s="49"/>
      <c r="B35" s="9">
        <v>26</v>
      </c>
      <c r="C35" s="9" t="s">
        <v>107</v>
      </c>
      <c r="D35" s="9" t="s">
        <v>24</v>
      </c>
      <c r="E35" s="9" t="s">
        <v>31</v>
      </c>
      <c r="F35" s="9" t="s">
        <v>26</v>
      </c>
      <c r="G35" s="10" t="s">
        <v>27</v>
      </c>
      <c r="H35" s="11"/>
    </row>
    <row r="36" spans="1:8" x14ac:dyDescent="0.2">
      <c r="A36" s="48" t="s">
        <v>79</v>
      </c>
      <c r="B36" s="9">
        <v>26</v>
      </c>
      <c r="C36" s="9" t="s">
        <v>106</v>
      </c>
      <c r="D36" s="9" t="s">
        <v>24</v>
      </c>
      <c r="E36" s="9" t="s">
        <v>31</v>
      </c>
      <c r="F36" s="9" t="s">
        <v>26</v>
      </c>
      <c r="G36" s="10" t="s">
        <v>27</v>
      </c>
      <c r="H36" s="11"/>
    </row>
    <row r="37" spans="1:8" ht="12.75" x14ac:dyDescent="0.2">
      <c r="A37" s="49"/>
      <c r="B37" s="9">
        <v>26</v>
      </c>
      <c r="C37" s="9" t="s">
        <v>108</v>
      </c>
      <c r="D37" s="9" t="s">
        <v>24</v>
      </c>
      <c r="E37" s="9" t="s">
        <v>31</v>
      </c>
      <c r="F37" s="9" t="s">
        <v>26</v>
      </c>
      <c r="G37" s="10" t="s">
        <v>27</v>
      </c>
      <c r="H37" s="11"/>
    </row>
    <row r="38" spans="1:8" ht="12.75" x14ac:dyDescent="0.2">
      <c r="A38" s="48" t="s">
        <v>83</v>
      </c>
      <c r="B38" s="12">
        <v>26</v>
      </c>
      <c r="C38" s="12" t="s">
        <v>106</v>
      </c>
      <c r="D38" s="12" t="s">
        <v>24</v>
      </c>
      <c r="E38" s="12" t="s">
        <v>25</v>
      </c>
      <c r="F38" s="12" t="s">
        <v>26</v>
      </c>
      <c r="G38" s="10" t="s">
        <v>27</v>
      </c>
      <c r="H38" s="11"/>
    </row>
    <row r="39" spans="1:8" ht="12.75" x14ac:dyDescent="0.2">
      <c r="A39" s="50"/>
      <c r="B39" s="12">
        <v>26</v>
      </c>
      <c r="C39" s="12" t="s">
        <v>108</v>
      </c>
      <c r="D39" s="12" t="s">
        <v>24</v>
      </c>
      <c r="E39" s="12" t="s">
        <v>25</v>
      </c>
      <c r="F39" s="12" t="s">
        <v>26</v>
      </c>
      <c r="G39" s="10" t="s">
        <v>27</v>
      </c>
      <c r="H39" s="11"/>
    </row>
    <row r="40" spans="1:8" ht="12.75" x14ac:dyDescent="0.2">
      <c r="A40" s="57"/>
      <c r="B40" s="12">
        <v>26</v>
      </c>
      <c r="C40" s="12" t="s">
        <v>107</v>
      </c>
      <c r="D40" s="12" t="s">
        <v>24</v>
      </c>
      <c r="E40" s="12" t="s">
        <v>25</v>
      </c>
      <c r="F40" s="12" t="s">
        <v>26</v>
      </c>
      <c r="G40" s="10" t="s">
        <v>27</v>
      </c>
      <c r="H40" s="11"/>
    </row>
    <row r="41" spans="1:8" ht="12.75" x14ac:dyDescent="0.2">
      <c r="A41" s="9" t="s">
        <v>85</v>
      </c>
      <c r="B41" s="9">
        <v>26</v>
      </c>
      <c r="C41" s="9" t="s">
        <v>109</v>
      </c>
      <c r="D41" s="9" t="s">
        <v>24</v>
      </c>
      <c r="E41" s="9" t="s">
        <v>31</v>
      </c>
      <c r="F41" s="9" t="s">
        <v>26</v>
      </c>
      <c r="G41" s="10" t="s">
        <v>27</v>
      </c>
      <c r="H41" s="11"/>
    </row>
    <row r="42" spans="1:8" ht="12.75" x14ac:dyDescent="0.2">
      <c r="A42" s="11"/>
      <c r="B42" s="11"/>
      <c r="C42" s="11"/>
      <c r="D42" s="11"/>
      <c r="E42" s="11"/>
      <c r="F42" s="11"/>
      <c r="G42" s="11"/>
      <c r="H42" s="11"/>
    </row>
    <row r="43" spans="1:8" ht="12.75" x14ac:dyDescent="0.2">
      <c r="A43" s="11"/>
      <c r="B43" s="11"/>
      <c r="C43" s="11"/>
      <c r="D43" s="11"/>
      <c r="E43" s="11"/>
      <c r="F43" s="11"/>
      <c r="G43" s="11"/>
      <c r="H43" s="11"/>
    </row>
    <row r="44" spans="1:8" ht="12.75" x14ac:dyDescent="0.2">
      <c r="A44" s="11"/>
      <c r="B44" s="11"/>
      <c r="C44" s="11"/>
      <c r="D44" s="11"/>
      <c r="E44" s="11"/>
      <c r="F44" s="11"/>
      <c r="G44" s="11"/>
      <c r="H44" s="11"/>
    </row>
    <row r="45" spans="1:8" ht="12.75" x14ac:dyDescent="0.2">
      <c r="A45" s="11"/>
      <c r="B45" s="11"/>
      <c r="C45" s="11"/>
      <c r="D45" s="11"/>
      <c r="E45" s="11"/>
      <c r="F45" s="11"/>
      <c r="G45" s="11"/>
      <c r="H45" s="11"/>
    </row>
    <row r="46" spans="1:8" ht="12.75" x14ac:dyDescent="0.2">
      <c r="A46" s="11"/>
      <c r="B46" s="11"/>
      <c r="C46" s="11"/>
      <c r="D46" s="11"/>
      <c r="E46" s="11"/>
      <c r="F46" s="11"/>
      <c r="G46" s="11"/>
      <c r="H46" s="11"/>
    </row>
    <row r="47" spans="1:8" ht="12.75" x14ac:dyDescent="0.2">
      <c r="A47" s="11"/>
      <c r="B47" s="11"/>
      <c r="C47" s="11"/>
      <c r="D47" s="11"/>
      <c r="E47" s="11"/>
      <c r="F47" s="11"/>
      <c r="G47" s="11"/>
      <c r="H47" s="11"/>
    </row>
    <row r="48" spans="1:8" ht="12.75" x14ac:dyDescent="0.2">
      <c r="A48" s="11"/>
      <c r="B48" s="11"/>
      <c r="C48" s="11"/>
      <c r="D48" s="11"/>
      <c r="E48" s="11"/>
      <c r="F48" s="11"/>
      <c r="G48" s="11"/>
      <c r="H48" s="11"/>
    </row>
    <row r="49" spans="1:8" ht="12.75" x14ac:dyDescent="0.2">
      <c r="A49" s="11"/>
      <c r="B49" s="11"/>
      <c r="C49" s="11"/>
      <c r="D49" s="11"/>
      <c r="E49" s="11"/>
      <c r="F49" s="11"/>
      <c r="G49" s="11"/>
      <c r="H49" s="11"/>
    </row>
    <row r="50" spans="1:8" ht="12.75" x14ac:dyDescent="0.2">
      <c r="A50" s="11"/>
      <c r="B50" s="11"/>
      <c r="C50" s="11"/>
      <c r="D50" s="11"/>
      <c r="E50" s="11"/>
      <c r="F50" s="11"/>
      <c r="G50" s="11"/>
      <c r="H50" s="11"/>
    </row>
    <row r="51" spans="1:8" ht="12.75" x14ac:dyDescent="0.2">
      <c r="A51" s="11"/>
      <c r="B51" s="11"/>
      <c r="C51" s="11"/>
      <c r="D51" s="11"/>
      <c r="E51" s="11"/>
      <c r="F51" s="11"/>
      <c r="G51" s="11"/>
      <c r="H51" s="11"/>
    </row>
    <row r="52" spans="1:8" ht="12.75" x14ac:dyDescent="0.2">
      <c r="A52" s="11"/>
      <c r="B52" s="11"/>
      <c r="C52" s="11"/>
      <c r="D52" s="11"/>
      <c r="E52" s="11"/>
      <c r="F52" s="11"/>
      <c r="G52" s="11"/>
      <c r="H52" s="11"/>
    </row>
    <row r="53" spans="1:8" ht="12.75" x14ac:dyDescent="0.2">
      <c r="A53" s="11"/>
      <c r="B53" s="11"/>
      <c r="C53" s="11"/>
      <c r="D53" s="11"/>
      <c r="E53" s="11"/>
      <c r="F53" s="11"/>
      <c r="G53" s="11"/>
      <c r="H53" s="11"/>
    </row>
    <row r="54" spans="1:8" ht="12.75" x14ac:dyDescent="0.2">
      <c r="A54" s="11"/>
      <c r="B54" s="11"/>
      <c r="C54" s="11"/>
      <c r="D54" s="11"/>
      <c r="E54" s="11"/>
      <c r="F54" s="11"/>
      <c r="G54" s="11"/>
      <c r="H54" s="11"/>
    </row>
    <row r="55" spans="1:8" ht="12.75" x14ac:dyDescent="0.2">
      <c r="A55" s="11"/>
      <c r="B55" s="11"/>
      <c r="C55" s="11"/>
      <c r="D55" s="11"/>
      <c r="E55" s="11"/>
      <c r="F55" s="11"/>
      <c r="G55" s="11"/>
      <c r="H55" s="11"/>
    </row>
    <row r="56" spans="1:8" ht="12.75" x14ac:dyDescent="0.2">
      <c r="A56" s="11"/>
      <c r="B56" s="11"/>
      <c r="C56" s="11"/>
      <c r="D56" s="11"/>
      <c r="E56" s="11"/>
      <c r="F56" s="11"/>
      <c r="G56" s="11"/>
      <c r="H56" s="11"/>
    </row>
  </sheetData>
  <mergeCells count="11">
    <mergeCell ref="A32:A33"/>
    <mergeCell ref="A34:A35"/>
    <mergeCell ref="A36:A37"/>
    <mergeCell ref="A38:A40"/>
    <mergeCell ref="A1:G1"/>
    <mergeCell ref="A11:A12"/>
    <mergeCell ref="A13:A16"/>
    <mergeCell ref="A17:A19"/>
    <mergeCell ref="A22:A24"/>
    <mergeCell ref="A27:A29"/>
    <mergeCell ref="A30:A3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M68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13" ht="15.75" customHeight="1" x14ac:dyDescent="0.25">
      <c r="A1" s="54" t="s">
        <v>0</v>
      </c>
      <c r="B1" s="55"/>
      <c r="C1" s="55"/>
      <c r="D1" s="55"/>
      <c r="E1" s="55"/>
      <c r="F1" s="55"/>
      <c r="G1" s="56"/>
    </row>
    <row r="2" spans="1:13" x14ac:dyDescent="0.2">
      <c r="A2" s="1"/>
      <c r="B2" s="2"/>
      <c r="C2" s="2"/>
      <c r="D2" s="2"/>
      <c r="E2" s="2"/>
      <c r="F2" s="2"/>
      <c r="G2" s="2"/>
    </row>
    <row r="3" spans="1:13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13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13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13" x14ac:dyDescent="0.2">
      <c r="A6" s="1"/>
      <c r="B6" s="2"/>
      <c r="C6" s="2"/>
      <c r="D6" s="2"/>
      <c r="E6" s="2"/>
      <c r="F6" s="2"/>
      <c r="G6" s="2"/>
    </row>
    <row r="7" spans="1:13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13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13" x14ac:dyDescent="0.2">
      <c r="A9" s="9" t="s">
        <v>20</v>
      </c>
      <c r="B9" s="9">
        <v>27</v>
      </c>
      <c r="C9" s="9" t="s">
        <v>96</v>
      </c>
      <c r="D9" s="9" t="s">
        <v>24</v>
      </c>
      <c r="E9" s="9" t="s">
        <v>31</v>
      </c>
      <c r="F9" s="9" t="s">
        <v>87</v>
      </c>
      <c r="G9" s="9" t="s">
        <v>27</v>
      </c>
      <c r="H9" s="11"/>
      <c r="I9" s="11"/>
      <c r="J9" s="11"/>
      <c r="K9" s="11"/>
      <c r="L9" s="11"/>
      <c r="M9" s="11"/>
    </row>
    <row r="10" spans="1:13" x14ac:dyDescent="0.2">
      <c r="A10" s="48" t="s">
        <v>22</v>
      </c>
      <c r="B10" s="9">
        <v>27</v>
      </c>
      <c r="C10" s="9" t="s">
        <v>110</v>
      </c>
      <c r="D10" s="9" t="s">
        <v>24</v>
      </c>
      <c r="E10" s="9" t="s">
        <v>25</v>
      </c>
      <c r="F10" s="9" t="s">
        <v>26</v>
      </c>
      <c r="G10" s="9" t="s">
        <v>27</v>
      </c>
      <c r="H10" s="11"/>
      <c r="I10" s="11"/>
      <c r="J10" s="11"/>
      <c r="K10" s="11"/>
      <c r="L10" s="11"/>
      <c r="M10" s="11"/>
    </row>
    <row r="11" spans="1:13" x14ac:dyDescent="0.2">
      <c r="A11" s="52"/>
      <c r="B11" s="9">
        <v>27</v>
      </c>
      <c r="C11" s="9" t="s">
        <v>111</v>
      </c>
      <c r="D11" s="9" t="s">
        <v>24</v>
      </c>
      <c r="E11" s="9" t="s">
        <v>25</v>
      </c>
      <c r="F11" s="9" t="s">
        <v>26</v>
      </c>
      <c r="G11" s="9" t="s">
        <v>27</v>
      </c>
      <c r="H11" s="11"/>
      <c r="I11" s="11"/>
      <c r="J11" s="11"/>
      <c r="K11" s="11"/>
      <c r="L11" s="11"/>
      <c r="M11" s="11"/>
    </row>
    <row r="12" spans="1:13" x14ac:dyDescent="0.2">
      <c r="A12" s="53"/>
      <c r="B12" s="9">
        <v>27</v>
      </c>
      <c r="C12" s="9" t="s">
        <v>112</v>
      </c>
      <c r="D12" s="9" t="s">
        <v>24</v>
      </c>
      <c r="E12" s="9" t="s">
        <v>25</v>
      </c>
      <c r="F12" s="9" t="s">
        <v>26</v>
      </c>
      <c r="G12" s="9" t="s">
        <v>27</v>
      </c>
      <c r="H12" s="11"/>
      <c r="I12" s="11"/>
      <c r="J12" s="11"/>
      <c r="K12" s="11"/>
      <c r="L12" s="11"/>
      <c r="M12" s="11"/>
    </row>
    <row r="13" spans="1:13" x14ac:dyDescent="0.2">
      <c r="A13" s="48" t="s">
        <v>28</v>
      </c>
      <c r="B13" s="9">
        <v>27</v>
      </c>
      <c r="C13" s="9" t="s">
        <v>113</v>
      </c>
      <c r="D13" s="9" t="s">
        <v>24</v>
      </c>
      <c r="E13" s="9" t="s">
        <v>31</v>
      </c>
      <c r="F13" s="9" t="s">
        <v>26</v>
      </c>
      <c r="G13" s="9" t="s">
        <v>27</v>
      </c>
      <c r="H13" s="11"/>
      <c r="I13" s="11"/>
      <c r="J13" s="11"/>
      <c r="K13" s="11"/>
      <c r="L13" s="11"/>
      <c r="M13" s="11"/>
    </row>
    <row r="14" spans="1:13" x14ac:dyDescent="0.2">
      <c r="A14" s="52"/>
      <c r="B14" s="9">
        <v>27</v>
      </c>
      <c r="C14" s="9" t="s">
        <v>114</v>
      </c>
      <c r="D14" s="9" t="s">
        <v>24</v>
      </c>
      <c r="E14" s="9" t="s">
        <v>31</v>
      </c>
      <c r="F14" s="9" t="s">
        <v>26</v>
      </c>
      <c r="G14" s="9" t="s">
        <v>27</v>
      </c>
      <c r="H14" s="11"/>
      <c r="I14" s="11"/>
      <c r="J14" s="11"/>
      <c r="K14" s="11"/>
      <c r="L14" s="11"/>
      <c r="M14" s="11"/>
    </row>
    <row r="15" spans="1:13" x14ac:dyDescent="0.2">
      <c r="A15" s="52"/>
      <c r="B15" s="9">
        <v>27</v>
      </c>
      <c r="C15" s="9" t="s">
        <v>115</v>
      </c>
      <c r="D15" s="9" t="s">
        <v>24</v>
      </c>
      <c r="E15" s="9" t="s">
        <v>31</v>
      </c>
      <c r="F15" s="9" t="s">
        <v>26</v>
      </c>
      <c r="G15" s="9" t="s">
        <v>27</v>
      </c>
      <c r="H15" s="11"/>
      <c r="I15" s="11"/>
      <c r="J15" s="11"/>
      <c r="K15" s="11"/>
      <c r="L15" s="11"/>
      <c r="M15" s="11"/>
    </row>
    <row r="16" spans="1:13" x14ac:dyDescent="0.2">
      <c r="A16" s="53"/>
      <c r="B16" s="9">
        <v>27</v>
      </c>
      <c r="C16" s="9" t="s">
        <v>106</v>
      </c>
      <c r="D16" s="9" t="s">
        <v>24</v>
      </c>
      <c r="E16" s="9" t="s">
        <v>31</v>
      </c>
      <c r="F16" s="9" t="s">
        <v>26</v>
      </c>
      <c r="G16" s="9" t="s">
        <v>27</v>
      </c>
      <c r="H16" s="11"/>
      <c r="I16" s="11"/>
      <c r="J16" s="11"/>
      <c r="K16" s="11"/>
      <c r="L16" s="11"/>
      <c r="M16" s="11"/>
    </row>
    <row r="17" spans="1:13" x14ac:dyDescent="0.2">
      <c r="A17" s="48" t="s">
        <v>33</v>
      </c>
      <c r="B17" s="9">
        <v>27</v>
      </c>
      <c r="C17" s="9" t="s">
        <v>113</v>
      </c>
      <c r="D17" s="9" t="s">
        <v>24</v>
      </c>
      <c r="E17" s="9" t="s">
        <v>31</v>
      </c>
      <c r="F17" s="9" t="s">
        <v>26</v>
      </c>
      <c r="G17" s="9" t="s">
        <v>27</v>
      </c>
      <c r="H17" s="11"/>
      <c r="I17" s="11"/>
      <c r="J17" s="11"/>
      <c r="K17" s="11"/>
      <c r="L17" s="11"/>
      <c r="M17" s="11"/>
    </row>
    <row r="18" spans="1:13" x14ac:dyDescent="0.2">
      <c r="A18" s="51"/>
      <c r="B18" s="9">
        <v>27</v>
      </c>
      <c r="C18" s="9" t="s">
        <v>114</v>
      </c>
      <c r="D18" s="9" t="s">
        <v>24</v>
      </c>
      <c r="E18" s="9" t="s">
        <v>31</v>
      </c>
      <c r="F18" s="9" t="s">
        <v>26</v>
      </c>
      <c r="G18" s="9" t="s">
        <v>27</v>
      </c>
      <c r="H18" s="11"/>
      <c r="I18" s="11"/>
      <c r="J18" s="11"/>
      <c r="K18" s="11"/>
      <c r="L18" s="11"/>
      <c r="M18" s="11"/>
    </row>
    <row r="19" spans="1:13" x14ac:dyDescent="0.2">
      <c r="A19" s="49"/>
      <c r="B19" s="9">
        <v>27</v>
      </c>
      <c r="C19" s="9" t="s">
        <v>106</v>
      </c>
      <c r="D19" s="9" t="s">
        <v>24</v>
      </c>
      <c r="E19" s="9" t="s">
        <v>31</v>
      </c>
      <c r="F19" s="9" t="s">
        <v>26</v>
      </c>
      <c r="G19" s="9" t="s">
        <v>27</v>
      </c>
      <c r="H19" s="11"/>
      <c r="I19" s="11"/>
      <c r="J19" s="11"/>
      <c r="K19" s="11"/>
      <c r="L19" s="11"/>
      <c r="M19" s="11"/>
    </row>
    <row r="20" spans="1:13" x14ac:dyDescent="0.2">
      <c r="A20" s="48" t="s">
        <v>38</v>
      </c>
      <c r="B20" s="9">
        <v>27</v>
      </c>
      <c r="C20" s="9" t="s">
        <v>113</v>
      </c>
      <c r="D20" s="9" t="s">
        <v>24</v>
      </c>
      <c r="E20" s="9" t="s">
        <v>25</v>
      </c>
      <c r="F20" s="9" t="s">
        <v>26</v>
      </c>
      <c r="G20" s="9" t="s">
        <v>27</v>
      </c>
      <c r="H20" s="11"/>
      <c r="I20" s="11"/>
      <c r="J20" s="11"/>
      <c r="K20" s="11"/>
      <c r="L20" s="11"/>
      <c r="M20" s="11"/>
    </row>
    <row r="21" spans="1:13" x14ac:dyDescent="0.2">
      <c r="A21" s="50"/>
      <c r="B21" s="9">
        <v>27</v>
      </c>
      <c r="C21" s="9" t="s">
        <v>114</v>
      </c>
      <c r="D21" s="9" t="s">
        <v>24</v>
      </c>
      <c r="E21" s="9" t="s">
        <v>25</v>
      </c>
      <c r="F21" s="9" t="s">
        <v>26</v>
      </c>
      <c r="G21" s="9" t="s">
        <v>27</v>
      </c>
      <c r="H21" s="11"/>
      <c r="I21" s="11"/>
      <c r="J21" s="11"/>
      <c r="K21" s="11"/>
      <c r="L21" s="11"/>
      <c r="M21" s="11"/>
    </row>
    <row r="22" spans="1:13" x14ac:dyDescent="0.2">
      <c r="A22" s="51"/>
      <c r="B22" s="9">
        <v>27</v>
      </c>
      <c r="C22" s="9" t="s">
        <v>116</v>
      </c>
      <c r="D22" s="9" t="s">
        <v>24</v>
      </c>
      <c r="E22" s="9" t="s">
        <v>25</v>
      </c>
      <c r="F22" s="9" t="s">
        <v>26</v>
      </c>
      <c r="G22" s="9" t="s">
        <v>27</v>
      </c>
      <c r="H22" s="11"/>
      <c r="I22" s="11"/>
      <c r="J22" s="11"/>
      <c r="K22" s="11"/>
      <c r="L22" s="11"/>
      <c r="M22" s="11"/>
    </row>
    <row r="23" spans="1:13" x14ac:dyDescent="0.2">
      <c r="A23" s="50"/>
      <c r="B23" s="9">
        <v>27</v>
      </c>
      <c r="C23" s="9" t="s">
        <v>117</v>
      </c>
      <c r="D23" s="9" t="s">
        <v>24</v>
      </c>
      <c r="E23" s="9" t="s">
        <v>25</v>
      </c>
      <c r="F23" s="9" t="s">
        <v>26</v>
      </c>
      <c r="G23" s="9" t="s">
        <v>27</v>
      </c>
      <c r="H23" s="11"/>
      <c r="I23" s="11"/>
      <c r="J23" s="11"/>
      <c r="K23" s="11"/>
      <c r="L23" s="11"/>
      <c r="M23" s="11"/>
    </row>
    <row r="24" spans="1:13" x14ac:dyDescent="0.2">
      <c r="A24" s="57"/>
      <c r="B24" s="9">
        <v>27</v>
      </c>
      <c r="C24" s="9" t="s">
        <v>118</v>
      </c>
      <c r="D24" s="9" t="s">
        <v>24</v>
      </c>
      <c r="E24" s="9" t="s">
        <v>25</v>
      </c>
      <c r="F24" s="9" t="s">
        <v>26</v>
      </c>
      <c r="G24" s="9" t="s">
        <v>27</v>
      </c>
      <c r="H24" s="11"/>
      <c r="I24" s="11"/>
      <c r="J24" s="11"/>
      <c r="K24" s="11"/>
      <c r="L24" s="11"/>
      <c r="M24" s="11"/>
    </row>
    <row r="25" spans="1:13" x14ac:dyDescent="0.2">
      <c r="A25" s="48" t="s">
        <v>46</v>
      </c>
      <c r="B25" s="9">
        <v>27</v>
      </c>
      <c r="C25" s="9" t="s">
        <v>119</v>
      </c>
      <c r="D25" s="9" t="s">
        <v>24</v>
      </c>
      <c r="E25" s="9" t="s">
        <v>31</v>
      </c>
      <c r="F25" s="9" t="s">
        <v>87</v>
      </c>
      <c r="G25" s="9" t="s">
        <v>27</v>
      </c>
      <c r="H25" s="11"/>
      <c r="I25" s="11"/>
      <c r="J25" s="11"/>
      <c r="K25" s="11"/>
      <c r="L25" s="11"/>
      <c r="M25" s="11"/>
    </row>
    <row r="26" spans="1:13" x14ac:dyDescent="0.2">
      <c r="A26" s="51"/>
      <c r="B26" s="9">
        <v>27</v>
      </c>
      <c r="C26" s="9" t="s">
        <v>114</v>
      </c>
      <c r="D26" s="9" t="s">
        <v>24</v>
      </c>
      <c r="E26" s="9" t="s">
        <v>31</v>
      </c>
      <c r="F26" s="9" t="s">
        <v>87</v>
      </c>
      <c r="G26" s="9" t="s">
        <v>27</v>
      </c>
      <c r="H26" s="11"/>
      <c r="I26" s="11"/>
      <c r="J26" s="11"/>
      <c r="K26" s="11"/>
      <c r="L26" s="11"/>
      <c r="M26" s="11"/>
    </row>
    <row r="27" spans="1:13" x14ac:dyDescent="0.2">
      <c r="A27" s="49"/>
      <c r="B27" s="9">
        <v>27</v>
      </c>
      <c r="C27" s="9" t="s">
        <v>120</v>
      </c>
      <c r="D27" s="9" t="s">
        <v>24</v>
      </c>
      <c r="E27" s="9" t="s">
        <v>31</v>
      </c>
      <c r="F27" s="9" t="s">
        <v>87</v>
      </c>
      <c r="G27" s="9" t="s">
        <v>27</v>
      </c>
      <c r="H27" s="11"/>
      <c r="I27" s="11"/>
      <c r="J27" s="11"/>
      <c r="K27" s="11"/>
      <c r="L27" s="11"/>
      <c r="M27" s="11"/>
    </row>
    <row r="28" spans="1:13" x14ac:dyDescent="0.2">
      <c r="A28" s="48" t="s">
        <v>49</v>
      </c>
      <c r="B28" s="9">
        <v>27</v>
      </c>
      <c r="C28" s="9" t="s">
        <v>121</v>
      </c>
      <c r="D28" s="9" t="s">
        <v>24</v>
      </c>
      <c r="E28" s="9" t="s">
        <v>31</v>
      </c>
      <c r="F28" s="9" t="s">
        <v>26</v>
      </c>
      <c r="G28" s="9" t="s">
        <v>27</v>
      </c>
      <c r="H28" s="11"/>
      <c r="I28" s="11"/>
      <c r="J28" s="11"/>
      <c r="K28" s="11"/>
      <c r="L28" s="11"/>
      <c r="M28" s="11"/>
    </row>
    <row r="29" spans="1:13" x14ac:dyDescent="0.2">
      <c r="A29" s="49"/>
      <c r="B29" s="9">
        <v>27</v>
      </c>
      <c r="C29" s="9" t="s">
        <v>122</v>
      </c>
      <c r="D29" s="9" t="s">
        <v>24</v>
      </c>
      <c r="E29" s="9" t="s">
        <v>31</v>
      </c>
      <c r="F29" s="9" t="s">
        <v>26</v>
      </c>
      <c r="G29" s="9" t="s">
        <v>27</v>
      </c>
      <c r="H29" s="11"/>
      <c r="I29" s="11"/>
      <c r="J29" s="11"/>
      <c r="K29" s="11"/>
      <c r="L29" s="11"/>
      <c r="M29" s="11"/>
    </row>
    <row r="30" spans="1:13" x14ac:dyDescent="0.2">
      <c r="A30" s="48" t="s">
        <v>52</v>
      </c>
      <c r="B30" s="9">
        <v>27</v>
      </c>
      <c r="C30" s="9" t="s">
        <v>123</v>
      </c>
      <c r="D30" s="9" t="s">
        <v>24</v>
      </c>
      <c r="E30" s="9" t="s">
        <v>31</v>
      </c>
      <c r="F30" s="9" t="s">
        <v>26</v>
      </c>
      <c r="G30" s="9" t="s">
        <v>27</v>
      </c>
      <c r="H30" s="11"/>
      <c r="I30" s="11"/>
      <c r="J30" s="11"/>
      <c r="K30" s="11"/>
      <c r="L30" s="11"/>
      <c r="M30" s="11"/>
    </row>
    <row r="31" spans="1:13" x14ac:dyDescent="0.2">
      <c r="A31" s="50"/>
      <c r="B31" s="9">
        <v>27</v>
      </c>
      <c r="C31" s="9" t="s">
        <v>121</v>
      </c>
      <c r="D31" s="9" t="s">
        <v>24</v>
      </c>
      <c r="E31" s="9" t="s">
        <v>31</v>
      </c>
      <c r="F31" s="9" t="s">
        <v>26</v>
      </c>
      <c r="G31" s="9" t="s">
        <v>27</v>
      </c>
      <c r="H31" s="11"/>
      <c r="I31" s="11"/>
      <c r="J31" s="11"/>
      <c r="K31" s="11"/>
      <c r="L31" s="11"/>
      <c r="M31" s="11"/>
    </row>
    <row r="32" spans="1:13" x14ac:dyDescent="0.2">
      <c r="A32" s="51"/>
      <c r="B32" s="9">
        <v>27</v>
      </c>
      <c r="C32" s="9" t="s">
        <v>124</v>
      </c>
      <c r="D32" s="9" t="s">
        <v>24</v>
      </c>
      <c r="E32" s="9" t="s">
        <v>31</v>
      </c>
      <c r="F32" s="9" t="s">
        <v>26</v>
      </c>
      <c r="G32" s="9" t="s">
        <v>27</v>
      </c>
      <c r="H32" s="11"/>
      <c r="I32" s="11"/>
      <c r="J32" s="11"/>
      <c r="K32" s="11"/>
      <c r="L32" s="11"/>
      <c r="M32" s="11"/>
    </row>
    <row r="33" spans="1:13" x14ac:dyDescent="0.2">
      <c r="A33" s="50"/>
      <c r="B33" s="9">
        <v>27</v>
      </c>
      <c r="C33" s="9" t="s">
        <v>125</v>
      </c>
      <c r="D33" s="9" t="s">
        <v>24</v>
      </c>
      <c r="E33" s="9" t="s">
        <v>31</v>
      </c>
      <c r="F33" s="9" t="s">
        <v>26</v>
      </c>
      <c r="G33" s="9" t="s">
        <v>27</v>
      </c>
      <c r="H33" s="11"/>
      <c r="I33" s="11"/>
      <c r="J33" s="11"/>
      <c r="K33" s="11"/>
      <c r="L33" s="11"/>
      <c r="M33" s="11"/>
    </row>
    <row r="34" spans="1:13" x14ac:dyDescent="0.2">
      <c r="A34" s="51"/>
      <c r="B34" s="9">
        <v>27</v>
      </c>
      <c r="C34" s="9" t="s">
        <v>126</v>
      </c>
      <c r="D34" s="9" t="s">
        <v>24</v>
      </c>
      <c r="E34" s="9" t="s">
        <v>31</v>
      </c>
      <c r="F34" s="9" t="s">
        <v>26</v>
      </c>
      <c r="G34" s="9" t="s">
        <v>27</v>
      </c>
      <c r="H34" s="11"/>
      <c r="I34" s="11"/>
      <c r="J34" s="11"/>
      <c r="K34" s="11"/>
      <c r="L34" s="11"/>
      <c r="M34" s="11"/>
    </row>
    <row r="35" spans="1:13" x14ac:dyDescent="0.2">
      <c r="A35" s="49"/>
      <c r="B35" s="9">
        <v>27</v>
      </c>
      <c r="C35" s="9" t="s">
        <v>122</v>
      </c>
      <c r="D35" s="9" t="s">
        <v>24</v>
      </c>
      <c r="E35" s="9" t="s">
        <v>31</v>
      </c>
      <c r="F35" s="9" t="s">
        <v>26</v>
      </c>
      <c r="G35" s="9" t="s">
        <v>27</v>
      </c>
      <c r="H35" s="11"/>
      <c r="I35" s="11"/>
      <c r="J35" s="11"/>
      <c r="K35" s="11"/>
      <c r="L35" s="11"/>
      <c r="M35" s="11"/>
    </row>
    <row r="36" spans="1:13" x14ac:dyDescent="0.2">
      <c r="A36" s="48" t="s">
        <v>59</v>
      </c>
      <c r="B36" s="9">
        <v>27</v>
      </c>
      <c r="C36" s="9" t="s">
        <v>127</v>
      </c>
      <c r="D36" s="9" t="s">
        <v>24</v>
      </c>
      <c r="E36" s="9" t="s">
        <v>31</v>
      </c>
      <c r="F36" s="9" t="s">
        <v>47</v>
      </c>
      <c r="G36" s="9" t="s">
        <v>27</v>
      </c>
      <c r="H36" s="11"/>
      <c r="I36" s="11"/>
      <c r="J36" s="11"/>
      <c r="K36" s="11"/>
      <c r="L36" s="11"/>
      <c r="M36" s="11"/>
    </row>
    <row r="37" spans="1:13" ht="12.75" x14ac:dyDescent="0.2">
      <c r="A37" s="49"/>
      <c r="B37" s="9">
        <v>27</v>
      </c>
      <c r="C37" s="9" t="s">
        <v>128</v>
      </c>
      <c r="D37" s="9" t="s">
        <v>24</v>
      </c>
      <c r="E37" s="9" t="s">
        <v>31</v>
      </c>
      <c r="F37" s="9" t="s">
        <v>47</v>
      </c>
      <c r="G37" s="9" t="s">
        <v>27</v>
      </c>
      <c r="H37" s="11"/>
      <c r="I37" s="11"/>
      <c r="J37" s="11"/>
      <c r="K37" s="11"/>
      <c r="L37" s="11"/>
      <c r="M37" s="11"/>
    </row>
    <row r="38" spans="1:13" ht="12.75" x14ac:dyDescent="0.2">
      <c r="A38" s="48" t="s">
        <v>101</v>
      </c>
      <c r="B38" s="9">
        <v>27</v>
      </c>
      <c r="C38" s="9" t="s">
        <v>127</v>
      </c>
      <c r="D38" s="9" t="s">
        <v>24</v>
      </c>
      <c r="E38" s="9" t="s">
        <v>31</v>
      </c>
      <c r="F38" s="9" t="s">
        <v>47</v>
      </c>
      <c r="G38" s="9" t="s">
        <v>27</v>
      </c>
      <c r="H38" s="11"/>
      <c r="I38" s="11"/>
      <c r="J38" s="11"/>
      <c r="K38" s="11"/>
      <c r="L38" s="11"/>
      <c r="M38" s="11"/>
    </row>
    <row r="39" spans="1:13" ht="12.75" x14ac:dyDescent="0.2">
      <c r="A39" s="49"/>
      <c r="B39" s="9">
        <v>27</v>
      </c>
      <c r="C39" s="9" t="s">
        <v>120</v>
      </c>
      <c r="D39" s="9" t="s">
        <v>24</v>
      </c>
      <c r="E39" s="9" t="s">
        <v>31</v>
      </c>
      <c r="F39" s="9" t="s">
        <v>47</v>
      </c>
      <c r="G39" s="9" t="s">
        <v>27</v>
      </c>
      <c r="H39" s="11"/>
      <c r="I39" s="11"/>
      <c r="J39" s="11"/>
      <c r="K39" s="11"/>
      <c r="L39" s="11"/>
      <c r="M39" s="11"/>
    </row>
    <row r="40" spans="1:13" ht="12.75" x14ac:dyDescent="0.2">
      <c r="A40" s="48" t="s">
        <v>62</v>
      </c>
      <c r="B40" s="9">
        <v>27</v>
      </c>
      <c r="C40" s="9" t="s">
        <v>129</v>
      </c>
      <c r="D40" s="9" t="s">
        <v>24</v>
      </c>
      <c r="E40" s="9" t="s">
        <v>31</v>
      </c>
      <c r="F40" s="9" t="s">
        <v>26</v>
      </c>
      <c r="G40" s="9" t="s">
        <v>27</v>
      </c>
      <c r="H40" s="11"/>
      <c r="I40" s="11"/>
      <c r="J40" s="11"/>
      <c r="K40" s="11"/>
      <c r="L40" s="11"/>
      <c r="M40" s="11"/>
    </row>
    <row r="41" spans="1:13" ht="12.75" x14ac:dyDescent="0.2">
      <c r="A41" s="50"/>
      <c r="B41" s="9">
        <v>27</v>
      </c>
      <c r="C41" s="9" t="s">
        <v>130</v>
      </c>
      <c r="D41" s="9" t="s">
        <v>24</v>
      </c>
      <c r="E41" s="9" t="s">
        <v>31</v>
      </c>
      <c r="F41" s="9" t="s">
        <v>26</v>
      </c>
      <c r="G41" s="9" t="s">
        <v>27</v>
      </c>
      <c r="H41" s="11"/>
      <c r="I41" s="11"/>
      <c r="J41" s="11"/>
      <c r="K41" s="11"/>
      <c r="L41" s="11"/>
      <c r="M41" s="11"/>
    </row>
    <row r="42" spans="1:13" ht="12.75" x14ac:dyDescent="0.2">
      <c r="A42" s="51"/>
      <c r="B42" s="9">
        <v>27</v>
      </c>
      <c r="C42" s="9" t="s">
        <v>114</v>
      </c>
      <c r="D42" s="9" t="s">
        <v>24</v>
      </c>
      <c r="E42" s="9" t="s">
        <v>31</v>
      </c>
      <c r="F42" s="9" t="s">
        <v>26</v>
      </c>
      <c r="G42" s="9" t="s">
        <v>27</v>
      </c>
      <c r="H42" s="11"/>
      <c r="I42" s="11"/>
      <c r="J42" s="11"/>
      <c r="K42" s="11"/>
      <c r="L42" s="11"/>
      <c r="M42" s="11"/>
    </row>
    <row r="43" spans="1:13" ht="12.75" x14ac:dyDescent="0.2">
      <c r="A43" s="49"/>
      <c r="B43" s="9">
        <v>27</v>
      </c>
      <c r="C43" s="9" t="s">
        <v>106</v>
      </c>
      <c r="D43" s="9" t="s">
        <v>24</v>
      </c>
      <c r="E43" s="9" t="s">
        <v>31</v>
      </c>
      <c r="F43" s="9" t="s">
        <v>26</v>
      </c>
      <c r="G43" s="9" t="s">
        <v>27</v>
      </c>
      <c r="H43" s="11"/>
      <c r="I43" s="11"/>
      <c r="J43" s="11"/>
      <c r="K43" s="11"/>
      <c r="L43" s="11"/>
      <c r="M43" s="11"/>
    </row>
    <row r="44" spans="1:13" ht="12.75" x14ac:dyDescent="0.2">
      <c r="A44" s="48" t="s">
        <v>70</v>
      </c>
      <c r="B44" s="9">
        <v>27</v>
      </c>
      <c r="C44" s="9" t="s">
        <v>131</v>
      </c>
      <c r="D44" s="9" t="s">
        <v>24</v>
      </c>
      <c r="E44" s="9" t="s">
        <v>31</v>
      </c>
      <c r="F44" s="9" t="s">
        <v>26</v>
      </c>
      <c r="G44" s="9" t="s">
        <v>27</v>
      </c>
      <c r="H44" s="11"/>
      <c r="I44" s="11"/>
      <c r="J44" s="11"/>
      <c r="K44" s="11"/>
      <c r="L44" s="11"/>
      <c r="M44" s="11"/>
    </row>
    <row r="45" spans="1:13" ht="12.75" x14ac:dyDescent="0.2">
      <c r="A45" s="53"/>
      <c r="B45" s="9">
        <v>27</v>
      </c>
      <c r="C45" s="9" t="s">
        <v>106</v>
      </c>
      <c r="D45" s="9" t="s">
        <v>24</v>
      </c>
      <c r="E45" s="9" t="s">
        <v>31</v>
      </c>
      <c r="F45" s="9" t="s">
        <v>26</v>
      </c>
      <c r="G45" s="9" t="s">
        <v>27</v>
      </c>
      <c r="H45" s="11"/>
      <c r="I45" s="11"/>
      <c r="J45" s="11"/>
      <c r="K45" s="11"/>
      <c r="L45" s="11"/>
      <c r="M45" s="11"/>
    </row>
    <row r="46" spans="1:13" ht="12.75" x14ac:dyDescent="0.2">
      <c r="A46" s="48" t="s">
        <v>73</v>
      </c>
      <c r="B46" s="12">
        <v>27</v>
      </c>
      <c r="C46" s="12" t="s">
        <v>131</v>
      </c>
      <c r="D46" s="12" t="s">
        <v>24</v>
      </c>
      <c r="E46" s="12" t="s">
        <v>25</v>
      </c>
      <c r="F46" s="12" t="s">
        <v>26</v>
      </c>
      <c r="G46" s="9" t="s">
        <v>27</v>
      </c>
      <c r="H46" s="11"/>
      <c r="I46" s="11"/>
      <c r="J46" s="11"/>
      <c r="K46" s="11"/>
      <c r="L46" s="11"/>
      <c r="M46" s="11"/>
    </row>
    <row r="47" spans="1:13" ht="12.75" x14ac:dyDescent="0.2">
      <c r="A47" s="52"/>
      <c r="B47" s="12">
        <v>27</v>
      </c>
      <c r="C47" s="12" t="s">
        <v>132</v>
      </c>
      <c r="D47" s="12" t="s">
        <v>24</v>
      </c>
      <c r="E47" s="12" t="s">
        <v>25</v>
      </c>
      <c r="F47" s="12" t="s">
        <v>26</v>
      </c>
      <c r="G47" s="9" t="s">
        <v>27</v>
      </c>
      <c r="H47" s="11"/>
      <c r="I47" s="11"/>
      <c r="J47" s="11"/>
      <c r="K47" s="11"/>
      <c r="L47" s="11"/>
      <c r="M47" s="11"/>
    </row>
    <row r="48" spans="1:13" ht="12.75" x14ac:dyDescent="0.2">
      <c r="A48" s="53"/>
      <c r="B48" s="12">
        <v>27</v>
      </c>
      <c r="C48" s="12" t="s">
        <v>106</v>
      </c>
      <c r="D48" s="12" t="s">
        <v>24</v>
      </c>
      <c r="E48" s="12" t="s">
        <v>25</v>
      </c>
      <c r="F48" s="12" t="s">
        <v>26</v>
      </c>
      <c r="G48" s="9" t="s">
        <v>27</v>
      </c>
      <c r="H48" s="11"/>
      <c r="I48" s="11"/>
      <c r="J48" s="11"/>
      <c r="K48" s="11"/>
      <c r="L48" s="11"/>
      <c r="M48" s="11"/>
    </row>
    <row r="49" spans="1:13" ht="12.75" x14ac:dyDescent="0.2">
      <c r="A49" s="48" t="s">
        <v>77</v>
      </c>
      <c r="B49" s="9">
        <v>27</v>
      </c>
      <c r="C49" s="9" t="s">
        <v>128</v>
      </c>
      <c r="D49" s="9" t="s">
        <v>24</v>
      </c>
      <c r="E49" s="9" t="s">
        <v>31</v>
      </c>
      <c r="F49" s="9" t="s">
        <v>26</v>
      </c>
      <c r="G49" s="9" t="s">
        <v>27</v>
      </c>
      <c r="H49" s="11"/>
      <c r="I49" s="11"/>
      <c r="J49" s="11"/>
      <c r="K49" s="11"/>
      <c r="L49" s="11"/>
      <c r="M49" s="11"/>
    </row>
    <row r="50" spans="1:13" ht="12.75" x14ac:dyDescent="0.2">
      <c r="A50" s="52"/>
      <c r="B50" s="9">
        <v>27</v>
      </c>
      <c r="C50" s="9" t="s">
        <v>131</v>
      </c>
      <c r="D50" s="9" t="s">
        <v>24</v>
      </c>
      <c r="E50" s="9" t="s">
        <v>31</v>
      </c>
      <c r="F50" s="9" t="s">
        <v>26</v>
      </c>
      <c r="G50" s="9" t="s">
        <v>27</v>
      </c>
      <c r="H50" s="11"/>
      <c r="I50" s="11"/>
      <c r="J50" s="11"/>
      <c r="K50" s="11"/>
      <c r="L50" s="11"/>
      <c r="M50" s="11"/>
    </row>
    <row r="51" spans="1:13" ht="12.75" x14ac:dyDescent="0.2">
      <c r="A51" s="52"/>
      <c r="B51" s="9">
        <v>27</v>
      </c>
      <c r="C51" s="9" t="s">
        <v>133</v>
      </c>
      <c r="D51" s="9" t="s">
        <v>24</v>
      </c>
      <c r="E51" s="9" t="s">
        <v>31</v>
      </c>
      <c r="F51" s="9" t="s">
        <v>26</v>
      </c>
      <c r="G51" s="9" t="s">
        <v>27</v>
      </c>
      <c r="H51" s="11"/>
      <c r="I51" s="11"/>
      <c r="J51" s="11"/>
      <c r="K51" s="11"/>
      <c r="L51" s="11"/>
      <c r="M51" s="11"/>
    </row>
    <row r="52" spans="1:13" ht="12.75" x14ac:dyDescent="0.2">
      <c r="A52" s="52"/>
      <c r="B52" s="9">
        <v>27</v>
      </c>
      <c r="C52" s="9" t="s">
        <v>134</v>
      </c>
      <c r="D52" s="9" t="s">
        <v>24</v>
      </c>
      <c r="E52" s="9" t="s">
        <v>31</v>
      </c>
      <c r="F52" s="9" t="s">
        <v>26</v>
      </c>
      <c r="G52" s="9" t="s">
        <v>27</v>
      </c>
      <c r="H52" s="11"/>
      <c r="I52" s="11"/>
      <c r="J52" s="11"/>
      <c r="K52" s="11"/>
      <c r="L52" s="11"/>
      <c r="M52" s="11"/>
    </row>
    <row r="53" spans="1:13" ht="12.75" x14ac:dyDescent="0.2">
      <c r="A53" s="53"/>
      <c r="B53" s="9">
        <v>27</v>
      </c>
      <c r="C53" s="9" t="s">
        <v>135</v>
      </c>
      <c r="D53" s="9" t="s">
        <v>24</v>
      </c>
      <c r="E53" s="9" t="s">
        <v>31</v>
      </c>
      <c r="F53" s="9" t="s">
        <v>26</v>
      </c>
      <c r="G53" s="9" t="s">
        <v>27</v>
      </c>
      <c r="H53" s="11"/>
      <c r="I53" s="11"/>
      <c r="J53" s="11"/>
      <c r="K53" s="11"/>
      <c r="L53" s="11"/>
      <c r="M53" s="11"/>
    </row>
    <row r="54" spans="1:13" ht="12.75" x14ac:dyDescent="0.2">
      <c r="A54" s="48" t="s">
        <v>79</v>
      </c>
      <c r="B54" s="9">
        <v>27</v>
      </c>
      <c r="C54" s="9" t="s">
        <v>131</v>
      </c>
      <c r="D54" s="9" t="s">
        <v>24</v>
      </c>
      <c r="E54" s="9" t="s">
        <v>31</v>
      </c>
      <c r="F54" s="9" t="s">
        <v>26</v>
      </c>
      <c r="G54" s="9" t="s">
        <v>27</v>
      </c>
      <c r="H54" s="11"/>
      <c r="I54" s="11"/>
      <c r="J54" s="11"/>
      <c r="K54" s="11"/>
      <c r="L54" s="11"/>
      <c r="M54" s="11"/>
    </row>
    <row r="55" spans="1:13" ht="12.75" x14ac:dyDescent="0.2">
      <c r="A55" s="53"/>
      <c r="B55" s="9">
        <v>27</v>
      </c>
      <c r="C55" s="9" t="s">
        <v>136</v>
      </c>
      <c r="D55" s="9" t="s">
        <v>24</v>
      </c>
      <c r="E55" s="9" t="s">
        <v>31</v>
      </c>
      <c r="F55" s="9" t="s">
        <v>26</v>
      </c>
      <c r="G55" s="9" t="s">
        <v>27</v>
      </c>
      <c r="H55" s="11"/>
      <c r="I55" s="11"/>
      <c r="J55" s="11"/>
      <c r="K55" s="11"/>
      <c r="L55" s="11"/>
      <c r="M55" s="11"/>
    </row>
    <row r="56" spans="1:13" ht="12.75" x14ac:dyDescent="0.2">
      <c r="A56" s="48" t="s">
        <v>83</v>
      </c>
      <c r="B56" s="12">
        <v>27</v>
      </c>
      <c r="C56" s="12" t="s">
        <v>137</v>
      </c>
      <c r="D56" s="12" t="s">
        <v>24</v>
      </c>
      <c r="E56" s="12" t="s">
        <v>25</v>
      </c>
      <c r="F56" s="12" t="s">
        <v>26</v>
      </c>
      <c r="G56" s="9" t="s">
        <v>27</v>
      </c>
      <c r="H56" s="11"/>
      <c r="I56" s="11"/>
      <c r="J56" s="11"/>
      <c r="K56" s="11"/>
      <c r="L56" s="11"/>
      <c r="M56" s="11"/>
    </row>
    <row r="57" spans="1:13" ht="12.75" x14ac:dyDescent="0.2">
      <c r="A57" s="52"/>
      <c r="B57" s="12">
        <v>27</v>
      </c>
      <c r="C57" s="12" t="s">
        <v>131</v>
      </c>
      <c r="D57" s="12" t="s">
        <v>24</v>
      </c>
      <c r="E57" s="12" t="s">
        <v>25</v>
      </c>
      <c r="F57" s="12" t="s">
        <v>26</v>
      </c>
      <c r="G57" s="9" t="s">
        <v>27</v>
      </c>
      <c r="H57" s="11"/>
      <c r="I57" s="11"/>
      <c r="J57" s="11"/>
      <c r="K57" s="11"/>
      <c r="L57" s="11"/>
      <c r="M57" s="11"/>
    </row>
    <row r="58" spans="1:13" ht="12.75" x14ac:dyDescent="0.2">
      <c r="A58" s="52"/>
      <c r="B58" s="12">
        <v>27</v>
      </c>
      <c r="C58" s="12" t="s">
        <v>136</v>
      </c>
      <c r="D58" s="12" t="s">
        <v>24</v>
      </c>
      <c r="E58" s="12" t="s">
        <v>25</v>
      </c>
      <c r="F58" s="12" t="s">
        <v>26</v>
      </c>
      <c r="G58" s="9" t="s">
        <v>27</v>
      </c>
      <c r="H58" s="11"/>
      <c r="I58" s="11"/>
      <c r="J58" s="11"/>
      <c r="K58" s="11"/>
      <c r="L58" s="11"/>
      <c r="M58" s="11"/>
    </row>
    <row r="59" spans="1:13" ht="12.75" x14ac:dyDescent="0.2">
      <c r="A59" s="53"/>
      <c r="B59" s="12">
        <v>27</v>
      </c>
      <c r="C59" s="12" t="s">
        <v>138</v>
      </c>
      <c r="D59" s="12" t="s">
        <v>24</v>
      </c>
      <c r="E59" s="12" t="s">
        <v>25</v>
      </c>
      <c r="F59" s="12" t="s">
        <v>26</v>
      </c>
      <c r="G59" s="9" t="s">
        <v>27</v>
      </c>
      <c r="H59" s="11"/>
      <c r="I59" s="11"/>
      <c r="J59" s="11"/>
      <c r="K59" s="11"/>
      <c r="L59" s="11"/>
      <c r="M59" s="11"/>
    </row>
    <row r="60" spans="1:13" ht="12.75" x14ac:dyDescent="0.2">
      <c r="A60" s="9" t="s">
        <v>85</v>
      </c>
      <c r="B60" s="9">
        <v>27</v>
      </c>
      <c r="C60" s="9" t="s">
        <v>139</v>
      </c>
      <c r="D60" s="9" t="s">
        <v>24</v>
      </c>
      <c r="E60" s="9" t="s">
        <v>31</v>
      </c>
      <c r="F60" s="9" t="s">
        <v>26</v>
      </c>
      <c r="G60" s="9" t="s">
        <v>27</v>
      </c>
      <c r="H60" s="11"/>
      <c r="I60" s="11"/>
      <c r="J60" s="11"/>
      <c r="K60" s="11"/>
      <c r="L60" s="11"/>
      <c r="M60" s="11"/>
    </row>
    <row r="61" spans="1:13" ht="12.75" x14ac:dyDescent="0.2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</row>
    <row r="62" spans="1:13" ht="12.75" x14ac:dyDescent="0.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</row>
    <row r="63" spans="1:13" ht="12.75" x14ac:dyDescent="0.2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</row>
    <row r="64" spans="1:13" ht="12.75" x14ac:dyDescent="0.2">
      <c r="A64" s="13"/>
      <c r="B64" s="13"/>
      <c r="C64" s="13"/>
      <c r="D64" s="13"/>
      <c r="E64" s="13"/>
      <c r="F64" s="13"/>
      <c r="G64" s="13"/>
      <c r="H64" s="13"/>
      <c r="I64" s="13"/>
    </row>
    <row r="65" spans="1:9" ht="12.75" x14ac:dyDescent="0.2">
      <c r="A65" s="13"/>
      <c r="B65" s="13"/>
      <c r="C65" s="13"/>
      <c r="D65" s="13"/>
      <c r="E65" s="13"/>
      <c r="F65" s="13"/>
      <c r="G65" s="13"/>
      <c r="H65" s="13"/>
      <c r="I65" s="13"/>
    </row>
    <row r="66" spans="1:9" ht="12.75" x14ac:dyDescent="0.2">
      <c r="A66" s="13"/>
      <c r="B66" s="13"/>
      <c r="C66" s="13"/>
      <c r="D66" s="13"/>
      <c r="E66" s="13"/>
      <c r="F66" s="13"/>
      <c r="G66" s="13"/>
      <c r="H66" s="13"/>
      <c r="I66" s="13"/>
    </row>
    <row r="67" spans="1:9" ht="12.75" x14ac:dyDescent="0.2">
      <c r="A67" s="13"/>
      <c r="B67" s="13"/>
      <c r="C67" s="13"/>
      <c r="D67" s="13"/>
      <c r="E67" s="13"/>
      <c r="F67" s="13"/>
      <c r="G67" s="13"/>
      <c r="H67" s="13"/>
      <c r="I67" s="13"/>
    </row>
    <row r="68" spans="1:9" ht="12.75" x14ac:dyDescent="0.2">
      <c r="A68" s="13"/>
      <c r="B68" s="13"/>
      <c r="C68" s="13"/>
      <c r="D68" s="13"/>
      <c r="E68" s="13"/>
      <c r="F68" s="13"/>
      <c r="G68" s="13"/>
      <c r="H68" s="13"/>
      <c r="I68" s="13"/>
    </row>
  </sheetData>
  <mergeCells count="16">
    <mergeCell ref="A25:A27"/>
    <mergeCell ref="A28:A29"/>
    <mergeCell ref="A54:A55"/>
    <mergeCell ref="A56:A59"/>
    <mergeCell ref="A30:A35"/>
    <mergeCell ref="A36:A37"/>
    <mergeCell ref="A38:A39"/>
    <mergeCell ref="A40:A43"/>
    <mergeCell ref="A44:A45"/>
    <mergeCell ref="A46:A48"/>
    <mergeCell ref="A49:A53"/>
    <mergeCell ref="A1:G1"/>
    <mergeCell ref="A10:A12"/>
    <mergeCell ref="A13:A16"/>
    <mergeCell ref="A17:A19"/>
    <mergeCell ref="A20:A24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M114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13" ht="15.75" customHeight="1" x14ac:dyDescent="0.25">
      <c r="A1" s="54" t="s">
        <v>0</v>
      </c>
      <c r="B1" s="55"/>
      <c r="C1" s="55"/>
      <c r="D1" s="55"/>
      <c r="E1" s="55"/>
      <c r="F1" s="55"/>
      <c r="G1" s="56"/>
    </row>
    <row r="2" spans="1:13" x14ac:dyDescent="0.2">
      <c r="A2" s="1"/>
      <c r="B2" s="2"/>
      <c r="C2" s="2"/>
      <c r="D2" s="2"/>
      <c r="E2" s="2"/>
      <c r="F2" s="2"/>
      <c r="G2" s="2"/>
    </row>
    <row r="3" spans="1:13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13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13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13" x14ac:dyDescent="0.2">
      <c r="A6" s="1"/>
      <c r="B6" s="2"/>
      <c r="C6" s="2"/>
      <c r="D6" s="2"/>
      <c r="E6" s="2"/>
      <c r="F6" s="2"/>
      <c r="G6" s="2"/>
    </row>
    <row r="7" spans="1:13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13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13" x14ac:dyDescent="0.2">
      <c r="A9" s="48" t="s">
        <v>20</v>
      </c>
      <c r="B9" s="9">
        <v>28</v>
      </c>
      <c r="C9" s="9" t="s">
        <v>140</v>
      </c>
      <c r="D9" s="9" t="s">
        <v>24</v>
      </c>
      <c r="E9" s="9" t="s">
        <v>31</v>
      </c>
      <c r="F9" s="9" t="s">
        <v>87</v>
      </c>
      <c r="G9" s="9" t="s">
        <v>27</v>
      </c>
      <c r="H9" s="11"/>
      <c r="I9" s="11"/>
      <c r="J9" s="11"/>
      <c r="K9" s="11"/>
      <c r="L9" s="11"/>
      <c r="M9" s="11"/>
    </row>
    <row r="10" spans="1:13" x14ac:dyDescent="0.2">
      <c r="A10" s="53"/>
      <c r="B10" s="9">
        <v>28</v>
      </c>
      <c r="C10" s="9" t="s">
        <v>141</v>
      </c>
      <c r="D10" s="9" t="s">
        <v>24</v>
      </c>
      <c r="E10" s="9" t="s">
        <v>31</v>
      </c>
      <c r="F10" s="9" t="s">
        <v>87</v>
      </c>
      <c r="G10" s="9" t="s">
        <v>27</v>
      </c>
      <c r="H10" s="11"/>
      <c r="I10" s="11"/>
      <c r="J10" s="11"/>
      <c r="K10" s="11"/>
      <c r="L10" s="11"/>
      <c r="M10" s="11"/>
    </row>
    <row r="11" spans="1:13" x14ac:dyDescent="0.2">
      <c r="A11" s="48" t="s">
        <v>22</v>
      </c>
      <c r="B11" s="9">
        <v>28</v>
      </c>
      <c r="C11" s="9" t="s">
        <v>142</v>
      </c>
      <c r="D11" s="9" t="s">
        <v>24</v>
      </c>
      <c r="E11" s="9" t="s">
        <v>25</v>
      </c>
      <c r="F11" s="9" t="s">
        <v>26</v>
      </c>
      <c r="G11" s="9" t="s">
        <v>27</v>
      </c>
      <c r="H11" s="11"/>
      <c r="I11" s="11"/>
      <c r="J11" s="11"/>
      <c r="K11" s="11"/>
      <c r="L11" s="11"/>
      <c r="M11" s="11"/>
    </row>
    <row r="12" spans="1:13" x14ac:dyDescent="0.2">
      <c r="A12" s="52"/>
      <c r="B12" s="9">
        <v>28</v>
      </c>
      <c r="C12" s="9" t="s">
        <v>143</v>
      </c>
      <c r="D12" s="9" t="s">
        <v>24</v>
      </c>
      <c r="E12" s="9" t="s">
        <v>25</v>
      </c>
      <c r="F12" s="9" t="s">
        <v>26</v>
      </c>
      <c r="G12" s="9" t="s">
        <v>27</v>
      </c>
      <c r="H12" s="11"/>
      <c r="I12" s="11"/>
      <c r="J12" s="11"/>
      <c r="K12" s="11"/>
      <c r="L12" s="11"/>
      <c r="M12" s="11"/>
    </row>
    <row r="13" spans="1:13" x14ac:dyDescent="0.2">
      <c r="A13" s="52"/>
      <c r="B13" s="9">
        <v>28</v>
      </c>
      <c r="C13" s="9" t="s">
        <v>144</v>
      </c>
      <c r="D13" s="9" t="s">
        <v>24</v>
      </c>
      <c r="E13" s="9" t="s">
        <v>25</v>
      </c>
      <c r="F13" s="9" t="s">
        <v>26</v>
      </c>
      <c r="G13" s="9" t="s">
        <v>27</v>
      </c>
      <c r="H13" s="11"/>
      <c r="I13" s="11"/>
      <c r="J13" s="11"/>
      <c r="K13" s="11"/>
      <c r="L13" s="11"/>
      <c r="M13" s="11"/>
    </row>
    <row r="14" spans="1:13" x14ac:dyDescent="0.2">
      <c r="A14" s="52"/>
      <c r="B14" s="9">
        <v>28</v>
      </c>
      <c r="C14" s="9" t="s">
        <v>145</v>
      </c>
      <c r="D14" s="9" t="s">
        <v>30</v>
      </c>
      <c r="E14" s="9" t="s">
        <v>25</v>
      </c>
      <c r="F14" s="9" t="s">
        <v>26</v>
      </c>
      <c r="G14" s="9" t="s">
        <v>27</v>
      </c>
      <c r="H14" s="11"/>
      <c r="I14" s="11"/>
      <c r="J14" s="11"/>
      <c r="K14" s="11"/>
      <c r="L14" s="11"/>
      <c r="M14" s="11"/>
    </row>
    <row r="15" spans="1:13" x14ac:dyDescent="0.2">
      <c r="A15" s="52"/>
      <c r="B15" s="9">
        <v>28</v>
      </c>
      <c r="C15" s="9" t="s">
        <v>146</v>
      </c>
      <c r="D15" s="9" t="s">
        <v>24</v>
      </c>
      <c r="E15" s="9" t="s">
        <v>25</v>
      </c>
      <c r="F15" s="9" t="s">
        <v>26</v>
      </c>
      <c r="G15" s="9" t="s">
        <v>27</v>
      </c>
      <c r="H15" s="11"/>
      <c r="I15" s="11"/>
      <c r="J15" s="11"/>
      <c r="K15" s="11"/>
      <c r="L15" s="11"/>
      <c r="M15" s="11"/>
    </row>
    <row r="16" spans="1:13" x14ac:dyDescent="0.2">
      <c r="A16" s="52"/>
      <c r="B16" s="9">
        <v>28</v>
      </c>
      <c r="C16" s="9" t="s">
        <v>147</v>
      </c>
      <c r="D16" s="9" t="s">
        <v>24</v>
      </c>
      <c r="E16" s="9" t="s">
        <v>25</v>
      </c>
      <c r="F16" s="9" t="s">
        <v>26</v>
      </c>
      <c r="G16" s="9" t="s">
        <v>27</v>
      </c>
      <c r="H16" s="11"/>
      <c r="I16" s="11"/>
      <c r="J16" s="11"/>
      <c r="K16" s="11"/>
      <c r="L16" s="11"/>
      <c r="M16" s="11"/>
    </row>
    <row r="17" spans="1:13" x14ac:dyDescent="0.2">
      <c r="A17" s="52"/>
      <c r="B17" s="9">
        <v>28</v>
      </c>
      <c r="C17" s="9" t="s">
        <v>148</v>
      </c>
      <c r="D17" s="9" t="s">
        <v>24</v>
      </c>
      <c r="E17" s="9" t="s">
        <v>25</v>
      </c>
      <c r="F17" s="9" t="s">
        <v>26</v>
      </c>
      <c r="G17" s="9" t="s">
        <v>27</v>
      </c>
      <c r="H17" s="11"/>
      <c r="I17" s="11"/>
      <c r="J17" s="11"/>
      <c r="K17" s="11"/>
      <c r="L17" s="11"/>
      <c r="M17" s="11"/>
    </row>
    <row r="18" spans="1:13" x14ac:dyDescent="0.2">
      <c r="A18" s="49"/>
      <c r="B18" s="9">
        <v>28</v>
      </c>
      <c r="C18" s="9" t="s">
        <v>149</v>
      </c>
      <c r="D18" s="9" t="s">
        <v>24</v>
      </c>
      <c r="E18" s="9" t="s">
        <v>25</v>
      </c>
      <c r="F18" s="9" t="s">
        <v>26</v>
      </c>
      <c r="G18" s="9" t="s">
        <v>27</v>
      </c>
      <c r="H18" s="11"/>
      <c r="I18" s="11"/>
      <c r="J18" s="11"/>
      <c r="K18" s="11"/>
      <c r="L18" s="11"/>
      <c r="M18" s="11"/>
    </row>
    <row r="19" spans="1:13" x14ac:dyDescent="0.2">
      <c r="A19" s="48" t="s">
        <v>28</v>
      </c>
      <c r="B19" s="9">
        <v>28</v>
      </c>
      <c r="C19" s="9" t="s">
        <v>150</v>
      </c>
      <c r="D19" s="9" t="s">
        <v>24</v>
      </c>
      <c r="E19" s="9" t="s">
        <v>31</v>
      </c>
      <c r="F19" s="9" t="s">
        <v>26</v>
      </c>
      <c r="G19" s="9" t="s">
        <v>27</v>
      </c>
      <c r="H19" s="11"/>
      <c r="I19" s="11"/>
      <c r="J19" s="11"/>
      <c r="K19" s="11"/>
      <c r="L19" s="11"/>
      <c r="M19" s="11"/>
    </row>
    <row r="20" spans="1:13" x14ac:dyDescent="0.2">
      <c r="A20" s="50"/>
      <c r="B20" s="9">
        <v>28</v>
      </c>
      <c r="C20" s="9" t="s">
        <v>151</v>
      </c>
      <c r="D20" s="9" t="s">
        <v>24</v>
      </c>
      <c r="E20" s="9" t="s">
        <v>31</v>
      </c>
      <c r="F20" s="9" t="s">
        <v>26</v>
      </c>
      <c r="G20" s="9" t="s">
        <v>27</v>
      </c>
      <c r="H20" s="11"/>
      <c r="I20" s="11"/>
      <c r="J20" s="11"/>
      <c r="K20" s="11"/>
      <c r="L20" s="11"/>
      <c r="M20" s="11"/>
    </row>
    <row r="21" spans="1:13" x14ac:dyDescent="0.2">
      <c r="A21" s="51"/>
      <c r="B21" s="9">
        <v>28</v>
      </c>
      <c r="C21" s="9" t="s">
        <v>152</v>
      </c>
      <c r="D21" s="9" t="s">
        <v>30</v>
      </c>
      <c r="E21" s="9" t="s">
        <v>31</v>
      </c>
      <c r="F21" s="9" t="s">
        <v>26</v>
      </c>
      <c r="G21" s="9" t="s">
        <v>27</v>
      </c>
      <c r="H21" s="11"/>
      <c r="I21" s="11"/>
      <c r="J21" s="11"/>
      <c r="K21" s="11"/>
      <c r="L21" s="11"/>
      <c r="M21" s="11"/>
    </row>
    <row r="22" spans="1:13" x14ac:dyDescent="0.2">
      <c r="A22" s="50"/>
      <c r="B22" s="9">
        <v>28</v>
      </c>
      <c r="C22" s="9" t="s">
        <v>153</v>
      </c>
      <c r="D22" s="9" t="s">
        <v>24</v>
      </c>
      <c r="E22" s="9" t="s">
        <v>31</v>
      </c>
      <c r="F22" s="9" t="s">
        <v>26</v>
      </c>
      <c r="G22" s="9" t="s">
        <v>27</v>
      </c>
      <c r="H22" s="11"/>
      <c r="I22" s="11"/>
      <c r="J22" s="11"/>
      <c r="K22" s="11"/>
      <c r="L22" s="11"/>
      <c r="M22" s="11"/>
    </row>
    <row r="23" spans="1:13" x14ac:dyDescent="0.2">
      <c r="A23" s="51"/>
      <c r="B23" s="9">
        <v>28</v>
      </c>
      <c r="C23" s="9" t="s">
        <v>154</v>
      </c>
      <c r="D23" s="9" t="s">
        <v>24</v>
      </c>
      <c r="E23" s="9" t="s">
        <v>31</v>
      </c>
      <c r="F23" s="9" t="s">
        <v>26</v>
      </c>
      <c r="G23" s="9" t="s">
        <v>27</v>
      </c>
      <c r="H23" s="11"/>
      <c r="I23" s="11"/>
      <c r="J23" s="11"/>
      <c r="K23" s="11"/>
      <c r="L23" s="11"/>
      <c r="M23" s="11"/>
    </row>
    <row r="24" spans="1:13" x14ac:dyDescent="0.2">
      <c r="A24" s="50"/>
      <c r="B24" s="9">
        <v>28</v>
      </c>
      <c r="C24" s="9" t="s">
        <v>155</v>
      </c>
      <c r="D24" s="9" t="s">
        <v>24</v>
      </c>
      <c r="E24" s="9" t="s">
        <v>31</v>
      </c>
      <c r="F24" s="9" t="s">
        <v>26</v>
      </c>
      <c r="G24" s="9" t="s">
        <v>27</v>
      </c>
      <c r="H24" s="11"/>
      <c r="I24" s="11"/>
      <c r="J24" s="11"/>
      <c r="K24" s="11"/>
      <c r="L24" s="11"/>
      <c r="M24" s="11"/>
    </row>
    <row r="25" spans="1:13" x14ac:dyDescent="0.2">
      <c r="A25" s="51"/>
      <c r="B25" s="9">
        <v>28</v>
      </c>
      <c r="C25" s="9" t="s">
        <v>156</v>
      </c>
      <c r="D25" s="9" t="s">
        <v>24</v>
      </c>
      <c r="E25" s="9" t="s">
        <v>31</v>
      </c>
      <c r="F25" s="9" t="s">
        <v>26</v>
      </c>
      <c r="G25" s="9" t="s">
        <v>27</v>
      </c>
      <c r="H25" s="11"/>
      <c r="I25" s="11"/>
      <c r="J25" s="11"/>
      <c r="K25" s="11"/>
      <c r="L25" s="11"/>
      <c r="M25" s="11"/>
    </row>
    <row r="26" spans="1:13" x14ac:dyDescent="0.2">
      <c r="A26" s="49"/>
      <c r="B26" s="9">
        <v>28</v>
      </c>
      <c r="C26" s="9" t="s">
        <v>157</v>
      </c>
      <c r="D26" s="9" t="s">
        <v>24</v>
      </c>
      <c r="E26" s="9" t="s">
        <v>31</v>
      </c>
      <c r="F26" s="9" t="s">
        <v>26</v>
      </c>
      <c r="G26" s="9" t="s">
        <v>27</v>
      </c>
      <c r="H26" s="11"/>
      <c r="I26" s="11"/>
      <c r="J26" s="11"/>
      <c r="K26" s="11"/>
      <c r="L26" s="11"/>
      <c r="M26" s="11"/>
    </row>
    <row r="27" spans="1:13" x14ac:dyDescent="0.2">
      <c r="A27" s="48" t="s">
        <v>33</v>
      </c>
      <c r="B27" s="9">
        <v>28</v>
      </c>
      <c r="C27" s="9" t="s">
        <v>158</v>
      </c>
      <c r="D27" s="9" t="s">
        <v>24</v>
      </c>
      <c r="E27" s="9" t="s">
        <v>31</v>
      </c>
      <c r="F27" s="9" t="s">
        <v>26</v>
      </c>
      <c r="G27" s="9" t="s">
        <v>27</v>
      </c>
      <c r="H27" s="11"/>
      <c r="I27" s="11"/>
      <c r="J27" s="11"/>
      <c r="K27" s="11"/>
      <c r="L27" s="11"/>
      <c r="M27" s="11"/>
    </row>
    <row r="28" spans="1:13" x14ac:dyDescent="0.2">
      <c r="A28" s="50"/>
      <c r="B28" s="9">
        <v>28</v>
      </c>
      <c r="C28" s="9" t="s">
        <v>159</v>
      </c>
      <c r="D28" s="9" t="s">
        <v>24</v>
      </c>
      <c r="E28" s="9" t="s">
        <v>31</v>
      </c>
      <c r="F28" s="9" t="s">
        <v>26</v>
      </c>
      <c r="G28" s="9" t="s">
        <v>27</v>
      </c>
      <c r="H28" s="11"/>
      <c r="I28" s="11"/>
      <c r="J28" s="11"/>
      <c r="K28" s="11"/>
      <c r="L28" s="11"/>
      <c r="M28" s="11"/>
    </row>
    <row r="29" spans="1:13" x14ac:dyDescent="0.2">
      <c r="A29" s="51"/>
      <c r="B29" s="9">
        <v>28</v>
      </c>
      <c r="C29" s="9" t="s">
        <v>155</v>
      </c>
      <c r="D29" s="9" t="s">
        <v>24</v>
      </c>
      <c r="E29" s="9" t="s">
        <v>31</v>
      </c>
      <c r="F29" s="9" t="s">
        <v>26</v>
      </c>
      <c r="G29" s="9" t="s">
        <v>27</v>
      </c>
      <c r="H29" s="11"/>
      <c r="I29" s="11"/>
      <c r="J29" s="11"/>
      <c r="K29" s="11"/>
      <c r="L29" s="11"/>
      <c r="M29" s="11"/>
    </row>
    <row r="30" spans="1:13" x14ac:dyDescent="0.2">
      <c r="A30" s="50"/>
      <c r="B30" s="9">
        <v>28</v>
      </c>
      <c r="C30" s="9" t="s">
        <v>156</v>
      </c>
      <c r="D30" s="9" t="s">
        <v>24</v>
      </c>
      <c r="E30" s="9" t="s">
        <v>31</v>
      </c>
      <c r="F30" s="9" t="s">
        <v>26</v>
      </c>
      <c r="G30" s="9" t="s">
        <v>27</v>
      </c>
      <c r="H30" s="11"/>
      <c r="I30" s="11"/>
      <c r="J30" s="11"/>
      <c r="K30" s="11"/>
      <c r="L30" s="11"/>
      <c r="M30" s="11"/>
    </row>
    <row r="31" spans="1:13" x14ac:dyDescent="0.2">
      <c r="A31" s="51"/>
      <c r="B31" s="9">
        <v>28</v>
      </c>
      <c r="C31" s="9" t="s">
        <v>160</v>
      </c>
      <c r="D31" s="9" t="s">
        <v>24</v>
      </c>
      <c r="E31" s="9" t="s">
        <v>31</v>
      </c>
      <c r="F31" s="9" t="s">
        <v>26</v>
      </c>
      <c r="G31" s="9" t="s">
        <v>27</v>
      </c>
      <c r="H31" s="11"/>
      <c r="I31" s="11"/>
      <c r="J31" s="11"/>
      <c r="K31" s="11"/>
      <c r="L31" s="11"/>
      <c r="M31" s="11"/>
    </row>
    <row r="32" spans="1:13" x14ac:dyDescent="0.2">
      <c r="A32" s="50"/>
      <c r="B32" s="9">
        <v>28</v>
      </c>
      <c r="C32" s="9" t="s">
        <v>161</v>
      </c>
      <c r="D32" s="9" t="s">
        <v>24</v>
      </c>
      <c r="E32" s="9" t="s">
        <v>31</v>
      </c>
      <c r="F32" s="9" t="s">
        <v>26</v>
      </c>
      <c r="G32" s="9" t="s">
        <v>27</v>
      </c>
      <c r="H32" s="11"/>
      <c r="I32" s="11"/>
      <c r="J32" s="11"/>
      <c r="K32" s="11"/>
      <c r="L32" s="11"/>
      <c r="M32" s="11"/>
    </row>
    <row r="33" spans="1:13" x14ac:dyDescent="0.2">
      <c r="A33" s="51"/>
      <c r="B33" s="9">
        <v>28</v>
      </c>
      <c r="C33" s="9" t="s">
        <v>162</v>
      </c>
      <c r="D33" s="9" t="s">
        <v>24</v>
      </c>
      <c r="E33" s="9" t="s">
        <v>31</v>
      </c>
      <c r="F33" s="9" t="s">
        <v>26</v>
      </c>
      <c r="G33" s="9" t="s">
        <v>27</v>
      </c>
      <c r="H33" s="11"/>
      <c r="I33" s="11"/>
      <c r="J33" s="11"/>
      <c r="K33" s="11"/>
      <c r="L33" s="11"/>
      <c r="M33" s="11"/>
    </row>
    <row r="34" spans="1:13" x14ac:dyDescent="0.2">
      <c r="A34" s="49"/>
      <c r="B34" s="9">
        <v>28</v>
      </c>
      <c r="C34" s="9" t="s">
        <v>163</v>
      </c>
      <c r="D34" s="9" t="s">
        <v>24</v>
      </c>
      <c r="E34" s="9" t="s">
        <v>31</v>
      </c>
      <c r="F34" s="9" t="s">
        <v>26</v>
      </c>
      <c r="G34" s="9" t="s">
        <v>27</v>
      </c>
      <c r="H34" s="11"/>
      <c r="I34" s="11"/>
      <c r="J34" s="11"/>
      <c r="K34" s="11"/>
      <c r="L34" s="11"/>
      <c r="M34" s="11"/>
    </row>
    <row r="35" spans="1:13" x14ac:dyDescent="0.2">
      <c r="A35" s="48" t="s">
        <v>38</v>
      </c>
      <c r="B35" s="9">
        <v>28</v>
      </c>
      <c r="C35" s="9" t="s">
        <v>164</v>
      </c>
      <c r="D35" s="9" t="s">
        <v>24</v>
      </c>
      <c r="E35" s="9" t="s">
        <v>25</v>
      </c>
      <c r="F35" s="9" t="s">
        <v>26</v>
      </c>
      <c r="G35" s="9" t="s">
        <v>27</v>
      </c>
      <c r="H35" s="11"/>
      <c r="I35" s="11"/>
      <c r="J35" s="11"/>
      <c r="K35" s="11"/>
      <c r="L35" s="11"/>
      <c r="M35" s="11"/>
    </row>
    <row r="36" spans="1:13" x14ac:dyDescent="0.2">
      <c r="A36" s="52"/>
      <c r="B36" s="9">
        <v>28</v>
      </c>
      <c r="C36" s="9" t="s">
        <v>145</v>
      </c>
      <c r="D36" s="9" t="s">
        <v>30</v>
      </c>
      <c r="E36" s="9" t="s">
        <v>25</v>
      </c>
      <c r="F36" s="9" t="s">
        <v>26</v>
      </c>
      <c r="G36" s="9" t="s">
        <v>27</v>
      </c>
      <c r="H36" s="11"/>
      <c r="I36" s="11"/>
      <c r="J36" s="11"/>
      <c r="K36" s="11"/>
      <c r="L36" s="11"/>
      <c r="M36" s="11"/>
    </row>
    <row r="37" spans="1:13" ht="12.75" x14ac:dyDescent="0.2">
      <c r="A37" s="52"/>
      <c r="B37" s="9">
        <v>28</v>
      </c>
      <c r="C37" s="9" t="s">
        <v>151</v>
      </c>
      <c r="D37" s="9" t="s">
        <v>24</v>
      </c>
      <c r="E37" s="9" t="s">
        <v>25</v>
      </c>
      <c r="F37" s="9" t="s">
        <v>26</v>
      </c>
      <c r="G37" s="9" t="s">
        <v>27</v>
      </c>
      <c r="H37" s="11"/>
      <c r="I37" s="11"/>
      <c r="J37" s="11"/>
      <c r="K37" s="11"/>
      <c r="L37" s="11"/>
      <c r="M37" s="11"/>
    </row>
    <row r="38" spans="1:13" ht="12.75" x14ac:dyDescent="0.2">
      <c r="A38" s="52"/>
      <c r="B38" s="9">
        <v>28</v>
      </c>
      <c r="C38" s="9" t="s">
        <v>165</v>
      </c>
      <c r="D38" s="9" t="s">
        <v>24</v>
      </c>
      <c r="E38" s="9" t="s">
        <v>25</v>
      </c>
      <c r="F38" s="9" t="s">
        <v>26</v>
      </c>
      <c r="G38" s="9" t="s">
        <v>27</v>
      </c>
      <c r="H38" s="11"/>
      <c r="I38" s="11"/>
      <c r="J38" s="11"/>
      <c r="K38" s="11"/>
      <c r="L38" s="11"/>
      <c r="M38" s="11"/>
    </row>
    <row r="39" spans="1:13" ht="12.75" x14ac:dyDescent="0.2">
      <c r="A39" s="52"/>
      <c r="B39" s="9">
        <v>28</v>
      </c>
      <c r="C39" s="9" t="s">
        <v>166</v>
      </c>
      <c r="D39" s="9" t="s">
        <v>24</v>
      </c>
      <c r="E39" s="9" t="s">
        <v>25</v>
      </c>
      <c r="F39" s="9" t="s">
        <v>26</v>
      </c>
      <c r="G39" s="9" t="s">
        <v>27</v>
      </c>
      <c r="H39" s="11"/>
      <c r="I39" s="11"/>
      <c r="J39" s="11"/>
      <c r="K39" s="11"/>
      <c r="L39" s="11"/>
      <c r="M39" s="11"/>
    </row>
    <row r="40" spans="1:13" ht="12.75" x14ac:dyDescent="0.2">
      <c r="A40" s="52"/>
      <c r="B40" s="9">
        <v>28</v>
      </c>
      <c r="C40" s="9" t="s">
        <v>155</v>
      </c>
      <c r="D40" s="9" t="s">
        <v>24</v>
      </c>
      <c r="E40" s="9" t="s">
        <v>25</v>
      </c>
      <c r="F40" s="9" t="s">
        <v>26</v>
      </c>
      <c r="G40" s="9" t="s">
        <v>27</v>
      </c>
      <c r="H40" s="11"/>
      <c r="I40" s="11"/>
      <c r="J40" s="11"/>
      <c r="K40" s="11"/>
      <c r="L40" s="11"/>
      <c r="M40" s="11"/>
    </row>
    <row r="41" spans="1:13" ht="12.75" x14ac:dyDescent="0.2">
      <c r="A41" s="52"/>
      <c r="B41" s="9">
        <v>28</v>
      </c>
      <c r="C41" s="9" t="s">
        <v>156</v>
      </c>
      <c r="D41" s="9" t="s">
        <v>24</v>
      </c>
      <c r="E41" s="9" t="s">
        <v>25</v>
      </c>
      <c r="F41" s="9" t="s">
        <v>26</v>
      </c>
      <c r="G41" s="9" t="s">
        <v>27</v>
      </c>
      <c r="H41" s="11"/>
      <c r="I41" s="11"/>
      <c r="J41" s="11"/>
      <c r="K41" s="11"/>
      <c r="L41" s="11"/>
      <c r="M41" s="11"/>
    </row>
    <row r="42" spans="1:13" ht="12.75" x14ac:dyDescent="0.2">
      <c r="A42" s="52"/>
      <c r="B42" s="9">
        <v>28</v>
      </c>
      <c r="C42" s="9" t="s">
        <v>167</v>
      </c>
      <c r="D42" s="9" t="s">
        <v>24</v>
      </c>
      <c r="E42" s="9" t="s">
        <v>25</v>
      </c>
      <c r="F42" s="9" t="s">
        <v>26</v>
      </c>
      <c r="G42" s="9" t="s">
        <v>27</v>
      </c>
      <c r="H42" s="11"/>
      <c r="I42" s="11"/>
      <c r="J42" s="11"/>
      <c r="K42" s="11"/>
      <c r="L42" s="11"/>
      <c r="M42" s="11"/>
    </row>
    <row r="43" spans="1:13" ht="12.75" x14ac:dyDescent="0.2">
      <c r="A43" s="52"/>
      <c r="B43" s="9">
        <v>28</v>
      </c>
      <c r="C43" s="9" t="s">
        <v>162</v>
      </c>
      <c r="D43" s="9" t="s">
        <v>24</v>
      </c>
      <c r="E43" s="9" t="s">
        <v>25</v>
      </c>
      <c r="F43" s="9" t="s">
        <v>26</v>
      </c>
      <c r="G43" s="9" t="s">
        <v>27</v>
      </c>
      <c r="H43" s="11"/>
      <c r="I43" s="11"/>
      <c r="J43" s="11"/>
      <c r="K43" s="11"/>
      <c r="L43" s="11"/>
      <c r="M43" s="11"/>
    </row>
    <row r="44" spans="1:13" ht="12.75" x14ac:dyDescent="0.2">
      <c r="A44" s="53"/>
      <c r="B44" s="9">
        <v>28</v>
      </c>
      <c r="C44" s="9" t="s">
        <v>168</v>
      </c>
      <c r="D44" s="9" t="s">
        <v>24</v>
      </c>
      <c r="E44" s="9" t="s">
        <v>25</v>
      </c>
      <c r="F44" s="9" t="s">
        <v>26</v>
      </c>
      <c r="G44" s="9" t="s">
        <v>27</v>
      </c>
      <c r="H44" s="11"/>
      <c r="I44" s="11"/>
      <c r="J44" s="11"/>
      <c r="K44" s="11"/>
      <c r="L44" s="11"/>
      <c r="M44" s="11"/>
    </row>
    <row r="45" spans="1:13" ht="12.75" x14ac:dyDescent="0.2">
      <c r="A45" s="48" t="s">
        <v>46</v>
      </c>
      <c r="B45" s="9">
        <v>28</v>
      </c>
      <c r="C45" s="9" t="s">
        <v>158</v>
      </c>
      <c r="D45" s="9" t="s">
        <v>24</v>
      </c>
      <c r="E45" s="9" t="s">
        <v>31</v>
      </c>
      <c r="F45" s="9" t="s">
        <v>87</v>
      </c>
      <c r="G45" s="9" t="s">
        <v>27</v>
      </c>
      <c r="H45" s="11"/>
      <c r="I45" s="11"/>
      <c r="J45" s="11"/>
      <c r="K45" s="11"/>
      <c r="L45" s="11"/>
      <c r="M45" s="11"/>
    </row>
    <row r="46" spans="1:13" ht="12.75" x14ac:dyDescent="0.2">
      <c r="A46" s="52"/>
      <c r="B46" s="9">
        <v>28</v>
      </c>
      <c r="C46" s="9" t="s">
        <v>155</v>
      </c>
      <c r="D46" s="9" t="s">
        <v>24</v>
      </c>
      <c r="E46" s="9" t="s">
        <v>31</v>
      </c>
      <c r="F46" s="9" t="s">
        <v>87</v>
      </c>
      <c r="G46" s="9" t="s">
        <v>27</v>
      </c>
      <c r="H46" s="11"/>
      <c r="I46" s="11"/>
      <c r="J46" s="11"/>
      <c r="K46" s="11"/>
      <c r="L46" s="11"/>
      <c r="M46" s="11"/>
    </row>
    <row r="47" spans="1:13" ht="12.75" x14ac:dyDescent="0.2">
      <c r="A47" s="53"/>
      <c r="B47" s="9">
        <v>28</v>
      </c>
      <c r="C47" s="9" t="s">
        <v>156</v>
      </c>
      <c r="D47" s="9" t="s">
        <v>24</v>
      </c>
      <c r="E47" s="9" t="s">
        <v>31</v>
      </c>
      <c r="F47" s="9" t="s">
        <v>87</v>
      </c>
      <c r="G47" s="9" t="s">
        <v>27</v>
      </c>
      <c r="H47" s="11"/>
      <c r="I47" s="11"/>
      <c r="J47" s="11"/>
      <c r="K47" s="11"/>
      <c r="L47" s="11"/>
      <c r="M47" s="11"/>
    </row>
    <row r="48" spans="1:13" ht="12.75" x14ac:dyDescent="0.2">
      <c r="A48" s="48" t="s">
        <v>49</v>
      </c>
      <c r="B48" s="9">
        <v>28</v>
      </c>
      <c r="C48" s="9" t="s">
        <v>155</v>
      </c>
      <c r="D48" s="9" t="s">
        <v>24</v>
      </c>
      <c r="E48" s="9" t="s">
        <v>31</v>
      </c>
      <c r="F48" s="9" t="s">
        <v>87</v>
      </c>
      <c r="G48" s="9" t="s">
        <v>27</v>
      </c>
      <c r="H48" s="13"/>
      <c r="I48" s="13"/>
      <c r="J48" s="13"/>
    </row>
    <row r="49" spans="1:10" ht="12.75" x14ac:dyDescent="0.2">
      <c r="A49" s="52"/>
      <c r="B49" s="9">
        <v>28</v>
      </c>
      <c r="C49" s="9" t="s">
        <v>158</v>
      </c>
      <c r="D49" s="9" t="s">
        <v>24</v>
      </c>
      <c r="E49" s="9" t="s">
        <v>31</v>
      </c>
      <c r="F49" s="9" t="s">
        <v>87</v>
      </c>
      <c r="G49" s="9" t="s">
        <v>27</v>
      </c>
      <c r="H49" s="13"/>
      <c r="I49" s="13"/>
      <c r="J49" s="13"/>
    </row>
    <row r="50" spans="1:10" ht="12.75" x14ac:dyDescent="0.2">
      <c r="A50" s="53"/>
      <c r="B50" s="9">
        <v>28</v>
      </c>
      <c r="C50" s="9" t="s">
        <v>140</v>
      </c>
      <c r="D50" s="9" t="s">
        <v>24</v>
      </c>
      <c r="E50" s="9" t="s">
        <v>31</v>
      </c>
      <c r="F50" s="9" t="s">
        <v>87</v>
      </c>
      <c r="G50" s="9" t="s">
        <v>27</v>
      </c>
      <c r="H50" s="13"/>
      <c r="I50" s="13"/>
      <c r="J50" s="13"/>
    </row>
    <row r="51" spans="1:10" ht="12.75" x14ac:dyDescent="0.2">
      <c r="A51" s="48" t="s">
        <v>52</v>
      </c>
      <c r="B51" s="9">
        <v>28</v>
      </c>
      <c r="C51" s="9" t="s">
        <v>169</v>
      </c>
      <c r="D51" s="9" t="s">
        <v>24</v>
      </c>
      <c r="E51" s="9" t="s">
        <v>31</v>
      </c>
      <c r="F51" s="9" t="s">
        <v>26</v>
      </c>
      <c r="G51" s="9" t="s">
        <v>27</v>
      </c>
      <c r="H51" s="13"/>
      <c r="I51" s="13"/>
      <c r="J51" s="13"/>
    </row>
    <row r="52" spans="1:10" ht="12.75" x14ac:dyDescent="0.2">
      <c r="A52" s="52"/>
      <c r="B52" s="9">
        <v>28</v>
      </c>
      <c r="C52" s="9" t="s">
        <v>158</v>
      </c>
      <c r="D52" s="9" t="s">
        <v>24</v>
      </c>
      <c r="E52" s="9" t="s">
        <v>31</v>
      </c>
      <c r="F52" s="9" t="s">
        <v>26</v>
      </c>
      <c r="G52" s="9" t="s">
        <v>27</v>
      </c>
      <c r="H52" s="13"/>
      <c r="I52" s="13"/>
      <c r="J52" s="13"/>
    </row>
    <row r="53" spans="1:10" ht="12.75" x14ac:dyDescent="0.2">
      <c r="A53" s="52"/>
      <c r="B53" s="9">
        <v>28</v>
      </c>
      <c r="C53" s="9" t="s">
        <v>147</v>
      </c>
      <c r="D53" s="9" t="s">
        <v>24</v>
      </c>
      <c r="E53" s="9" t="s">
        <v>31</v>
      </c>
      <c r="F53" s="9" t="s">
        <v>26</v>
      </c>
      <c r="G53" s="9" t="s">
        <v>27</v>
      </c>
      <c r="H53" s="13"/>
      <c r="I53" s="13"/>
      <c r="J53" s="13"/>
    </row>
    <row r="54" spans="1:10" ht="12.75" x14ac:dyDescent="0.2">
      <c r="A54" s="52"/>
      <c r="B54" s="9">
        <v>28</v>
      </c>
      <c r="C54" s="9" t="s">
        <v>170</v>
      </c>
      <c r="D54" s="9" t="s">
        <v>24</v>
      </c>
      <c r="E54" s="9" t="s">
        <v>31</v>
      </c>
      <c r="F54" s="9" t="s">
        <v>26</v>
      </c>
      <c r="G54" s="9" t="s">
        <v>27</v>
      </c>
      <c r="H54" s="13"/>
      <c r="I54" s="13"/>
      <c r="J54" s="13"/>
    </row>
    <row r="55" spans="1:10" ht="12.75" x14ac:dyDescent="0.2">
      <c r="A55" s="53"/>
      <c r="B55" s="9">
        <v>28</v>
      </c>
      <c r="C55" s="9" t="s">
        <v>171</v>
      </c>
      <c r="D55" s="9" t="s">
        <v>24</v>
      </c>
      <c r="E55" s="9" t="s">
        <v>31</v>
      </c>
      <c r="F55" s="9" t="s">
        <v>26</v>
      </c>
      <c r="G55" s="9" t="s">
        <v>27</v>
      </c>
      <c r="H55" s="13"/>
      <c r="I55" s="13"/>
      <c r="J55" s="13"/>
    </row>
    <row r="56" spans="1:10" ht="12.75" x14ac:dyDescent="0.2">
      <c r="A56" s="48" t="s">
        <v>59</v>
      </c>
      <c r="B56" s="9">
        <v>28</v>
      </c>
      <c r="C56" s="9" t="s">
        <v>155</v>
      </c>
      <c r="D56" s="9" t="s">
        <v>24</v>
      </c>
      <c r="E56" s="9" t="s">
        <v>31</v>
      </c>
      <c r="F56" s="9" t="s">
        <v>47</v>
      </c>
      <c r="G56" s="9"/>
      <c r="H56" s="13"/>
      <c r="I56" s="13"/>
      <c r="J56" s="13"/>
    </row>
    <row r="57" spans="1:10" ht="12.75" x14ac:dyDescent="0.2">
      <c r="A57" s="53"/>
      <c r="B57" s="9">
        <v>28</v>
      </c>
      <c r="C57" s="9" t="s">
        <v>158</v>
      </c>
      <c r="D57" s="9" t="s">
        <v>24</v>
      </c>
      <c r="E57" s="9" t="s">
        <v>31</v>
      </c>
      <c r="F57" s="9" t="s">
        <v>47</v>
      </c>
      <c r="G57" s="9" t="s">
        <v>27</v>
      </c>
      <c r="H57" s="13"/>
      <c r="I57" s="13"/>
      <c r="J57" s="13"/>
    </row>
    <row r="58" spans="1:10" ht="12.75" x14ac:dyDescent="0.2">
      <c r="A58" s="48" t="s">
        <v>101</v>
      </c>
      <c r="B58" s="9">
        <v>28</v>
      </c>
      <c r="C58" s="9" t="s">
        <v>158</v>
      </c>
      <c r="D58" s="9" t="s">
        <v>24</v>
      </c>
      <c r="E58" s="9" t="s">
        <v>31</v>
      </c>
      <c r="F58" s="9" t="s">
        <v>47</v>
      </c>
      <c r="G58" s="9" t="s">
        <v>27</v>
      </c>
      <c r="H58" s="13"/>
      <c r="I58" s="13"/>
      <c r="J58" s="13"/>
    </row>
    <row r="59" spans="1:10" ht="12.75" x14ac:dyDescent="0.2">
      <c r="A59" s="53"/>
      <c r="B59" s="9">
        <v>28</v>
      </c>
      <c r="C59" s="9" t="s">
        <v>155</v>
      </c>
      <c r="D59" s="9" t="s">
        <v>24</v>
      </c>
      <c r="E59" s="9" t="s">
        <v>31</v>
      </c>
      <c r="F59" s="9" t="s">
        <v>47</v>
      </c>
      <c r="G59" s="9" t="s">
        <v>27</v>
      </c>
      <c r="H59" s="13"/>
      <c r="I59" s="13"/>
      <c r="J59" s="13"/>
    </row>
    <row r="60" spans="1:10" ht="12.75" x14ac:dyDescent="0.2">
      <c r="A60" s="48" t="s">
        <v>62</v>
      </c>
      <c r="B60" s="9">
        <v>28</v>
      </c>
      <c r="C60" s="9" t="s">
        <v>158</v>
      </c>
      <c r="D60" s="9" t="s">
        <v>24</v>
      </c>
      <c r="E60" s="9" t="s">
        <v>31</v>
      </c>
      <c r="F60" s="9" t="s">
        <v>26</v>
      </c>
      <c r="G60" s="9" t="s">
        <v>27</v>
      </c>
      <c r="H60" s="13"/>
      <c r="I60" s="13"/>
      <c r="J60" s="13"/>
    </row>
    <row r="61" spans="1:10" ht="12.75" x14ac:dyDescent="0.2">
      <c r="A61" s="52"/>
      <c r="B61" s="9">
        <v>28</v>
      </c>
      <c r="C61" s="9" t="s">
        <v>155</v>
      </c>
      <c r="D61" s="9" t="s">
        <v>24</v>
      </c>
      <c r="E61" s="9" t="s">
        <v>31</v>
      </c>
      <c r="F61" s="9" t="s">
        <v>26</v>
      </c>
      <c r="G61" s="9" t="s">
        <v>27</v>
      </c>
      <c r="H61" s="13"/>
      <c r="I61" s="13"/>
      <c r="J61" s="13"/>
    </row>
    <row r="62" spans="1:10" ht="12.75" x14ac:dyDescent="0.2">
      <c r="A62" s="52"/>
      <c r="B62" s="9">
        <v>28</v>
      </c>
      <c r="C62" s="9" t="s">
        <v>156</v>
      </c>
      <c r="D62" s="9" t="s">
        <v>24</v>
      </c>
      <c r="E62" s="9" t="s">
        <v>31</v>
      </c>
      <c r="F62" s="9" t="s">
        <v>26</v>
      </c>
      <c r="G62" s="9" t="s">
        <v>27</v>
      </c>
      <c r="H62" s="13"/>
      <c r="I62" s="13"/>
      <c r="J62" s="13"/>
    </row>
    <row r="63" spans="1:10" ht="12.75" x14ac:dyDescent="0.2">
      <c r="A63" s="53"/>
      <c r="B63" s="9">
        <v>28</v>
      </c>
      <c r="C63" s="9" t="s">
        <v>162</v>
      </c>
      <c r="D63" s="9" t="s">
        <v>24</v>
      </c>
      <c r="E63" s="9" t="s">
        <v>31</v>
      </c>
      <c r="F63" s="9" t="s">
        <v>26</v>
      </c>
      <c r="G63" s="9" t="s">
        <v>27</v>
      </c>
      <c r="H63" s="13"/>
      <c r="I63" s="13"/>
      <c r="J63" s="13"/>
    </row>
    <row r="64" spans="1:10" ht="12.75" x14ac:dyDescent="0.2">
      <c r="A64" s="48" t="s">
        <v>70</v>
      </c>
      <c r="B64" s="9">
        <v>28</v>
      </c>
      <c r="C64" s="9" t="s">
        <v>172</v>
      </c>
      <c r="D64" s="9" t="s">
        <v>24</v>
      </c>
      <c r="E64" s="9" t="s">
        <v>25</v>
      </c>
      <c r="F64" s="9" t="s">
        <v>47</v>
      </c>
      <c r="G64" s="9" t="s">
        <v>27</v>
      </c>
      <c r="H64" s="13"/>
      <c r="I64" s="13"/>
      <c r="J64" s="13"/>
    </row>
    <row r="65" spans="1:10" ht="12.75" x14ac:dyDescent="0.2">
      <c r="A65" s="52"/>
      <c r="B65" s="9">
        <v>28</v>
      </c>
      <c r="C65" s="9" t="s">
        <v>173</v>
      </c>
      <c r="D65" s="9" t="s">
        <v>24</v>
      </c>
      <c r="E65" s="9" t="s">
        <v>31</v>
      </c>
      <c r="F65" s="9" t="s">
        <v>26</v>
      </c>
      <c r="G65" s="9" t="s">
        <v>27</v>
      </c>
      <c r="H65" s="13"/>
      <c r="I65" s="13"/>
      <c r="J65" s="13"/>
    </row>
    <row r="66" spans="1:10" ht="12.75" x14ac:dyDescent="0.2">
      <c r="A66" s="52"/>
      <c r="B66" s="9">
        <v>28</v>
      </c>
      <c r="C66" s="9" t="s">
        <v>174</v>
      </c>
      <c r="D66" s="9" t="s">
        <v>24</v>
      </c>
      <c r="E66" s="9" t="s">
        <v>31</v>
      </c>
      <c r="F66" s="9" t="s">
        <v>26</v>
      </c>
      <c r="G66" s="9" t="s">
        <v>27</v>
      </c>
      <c r="H66" s="13"/>
      <c r="I66" s="13"/>
      <c r="J66" s="13"/>
    </row>
    <row r="67" spans="1:10" ht="12.75" x14ac:dyDescent="0.2">
      <c r="A67" s="52"/>
      <c r="B67" s="9">
        <v>28</v>
      </c>
      <c r="C67" s="9" t="s">
        <v>175</v>
      </c>
      <c r="D67" s="9" t="s">
        <v>24</v>
      </c>
      <c r="E67" s="9" t="s">
        <v>31</v>
      </c>
      <c r="F67" s="9" t="s">
        <v>26</v>
      </c>
      <c r="G67" s="9" t="s">
        <v>27</v>
      </c>
      <c r="H67" s="13"/>
      <c r="I67" s="13"/>
      <c r="J67" s="13"/>
    </row>
    <row r="68" spans="1:10" ht="12.75" x14ac:dyDescent="0.2">
      <c r="A68" s="52"/>
      <c r="B68" s="9">
        <v>28</v>
      </c>
      <c r="C68" s="9" t="s">
        <v>176</v>
      </c>
      <c r="D68" s="9" t="s">
        <v>24</v>
      </c>
      <c r="E68" s="9" t="s">
        <v>31</v>
      </c>
      <c r="F68" s="9" t="s">
        <v>26</v>
      </c>
      <c r="G68" s="9" t="s">
        <v>27</v>
      </c>
      <c r="H68" s="13"/>
      <c r="I68" s="13"/>
      <c r="J68" s="13"/>
    </row>
    <row r="69" spans="1:10" ht="12.75" x14ac:dyDescent="0.2">
      <c r="A69" s="52"/>
      <c r="B69" s="9">
        <v>28</v>
      </c>
      <c r="C69" s="9" t="s">
        <v>155</v>
      </c>
      <c r="D69" s="9" t="s">
        <v>24</v>
      </c>
      <c r="E69" s="9" t="s">
        <v>31</v>
      </c>
      <c r="F69" s="9" t="s">
        <v>26</v>
      </c>
      <c r="G69" s="9" t="s">
        <v>27</v>
      </c>
      <c r="H69" s="13"/>
      <c r="I69" s="13"/>
      <c r="J69" s="13"/>
    </row>
    <row r="70" spans="1:10" ht="12.75" x14ac:dyDescent="0.2">
      <c r="A70" s="53"/>
      <c r="B70" s="9">
        <v>28</v>
      </c>
      <c r="C70" s="9" t="s">
        <v>162</v>
      </c>
      <c r="D70" s="9" t="s">
        <v>24</v>
      </c>
      <c r="E70" s="9" t="s">
        <v>31</v>
      </c>
      <c r="F70" s="9" t="s">
        <v>26</v>
      </c>
      <c r="G70" s="9" t="s">
        <v>27</v>
      </c>
      <c r="H70" s="13"/>
      <c r="I70" s="13"/>
      <c r="J70" s="13"/>
    </row>
    <row r="71" spans="1:10" ht="12.75" x14ac:dyDescent="0.2">
      <c r="A71" s="48" t="s">
        <v>73</v>
      </c>
      <c r="B71" s="12">
        <v>28</v>
      </c>
      <c r="C71" s="12" t="s">
        <v>176</v>
      </c>
      <c r="D71" s="12" t="s">
        <v>24</v>
      </c>
      <c r="E71" s="12" t="s">
        <v>25</v>
      </c>
      <c r="F71" s="12" t="s">
        <v>26</v>
      </c>
      <c r="G71" s="9" t="s">
        <v>27</v>
      </c>
      <c r="H71" s="13"/>
      <c r="I71" s="13"/>
      <c r="J71" s="13"/>
    </row>
    <row r="72" spans="1:10" ht="12.75" x14ac:dyDescent="0.2">
      <c r="A72" s="52"/>
      <c r="B72" s="12">
        <v>28</v>
      </c>
      <c r="C72" s="12" t="s">
        <v>177</v>
      </c>
      <c r="D72" s="12" t="s">
        <v>24</v>
      </c>
      <c r="E72" s="12" t="s">
        <v>25</v>
      </c>
      <c r="F72" s="12" t="s">
        <v>26</v>
      </c>
      <c r="G72" s="9" t="s">
        <v>27</v>
      </c>
      <c r="H72" s="13"/>
      <c r="I72" s="13"/>
      <c r="J72" s="13"/>
    </row>
    <row r="73" spans="1:10" ht="12.75" x14ac:dyDescent="0.2">
      <c r="A73" s="52"/>
      <c r="B73" s="12">
        <v>28</v>
      </c>
      <c r="C73" s="12" t="s">
        <v>178</v>
      </c>
      <c r="D73" s="12" t="s">
        <v>24</v>
      </c>
      <c r="E73" s="12" t="s">
        <v>25</v>
      </c>
      <c r="F73" s="12" t="s">
        <v>26</v>
      </c>
      <c r="G73" s="9" t="s">
        <v>27</v>
      </c>
      <c r="H73" s="13"/>
      <c r="I73" s="13"/>
      <c r="J73" s="13"/>
    </row>
    <row r="74" spans="1:10" ht="12.75" x14ac:dyDescent="0.2">
      <c r="A74" s="52"/>
      <c r="B74" s="12">
        <v>28</v>
      </c>
      <c r="C74" s="12" t="s">
        <v>179</v>
      </c>
      <c r="D74" s="12" t="s">
        <v>30</v>
      </c>
      <c r="E74" s="12" t="s">
        <v>25</v>
      </c>
      <c r="F74" s="12" t="s">
        <v>26</v>
      </c>
      <c r="G74" s="9" t="s">
        <v>27</v>
      </c>
      <c r="H74" s="13"/>
      <c r="I74" s="13"/>
      <c r="J74" s="13"/>
    </row>
    <row r="75" spans="1:10" ht="12.75" x14ac:dyDescent="0.2">
      <c r="A75" s="52"/>
      <c r="B75" s="12">
        <v>28</v>
      </c>
      <c r="C75" s="12" t="s">
        <v>158</v>
      </c>
      <c r="D75" s="12" t="s">
        <v>24</v>
      </c>
      <c r="E75" s="12" t="s">
        <v>25</v>
      </c>
      <c r="F75" s="12" t="s">
        <v>26</v>
      </c>
      <c r="G75" s="9" t="s">
        <v>27</v>
      </c>
      <c r="H75" s="13"/>
      <c r="I75" s="13"/>
      <c r="J75" s="13"/>
    </row>
    <row r="76" spans="1:10" ht="12.75" x14ac:dyDescent="0.2">
      <c r="A76" s="52"/>
      <c r="B76" s="12">
        <v>28</v>
      </c>
      <c r="C76" s="12" t="s">
        <v>155</v>
      </c>
      <c r="D76" s="12" t="s">
        <v>24</v>
      </c>
      <c r="E76" s="12" t="s">
        <v>25</v>
      </c>
      <c r="F76" s="12" t="s">
        <v>26</v>
      </c>
      <c r="G76" s="9" t="s">
        <v>27</v>
      </c>
      <c r="H76" s="13"/>
      <c r="I76" s="13"/>
      <c r="J76" s="13"/>
    </row>
    <row r="77" spans="1:10" ht="12.75" x14ac:dyDescent="0.2">
      <c r="A77" s="52"/>
      <c r="B77" s="12">
        <v>28</v>
      </c>
      <c r="C77" s="12" t="s">
        <v>180</v>
      </c>
      <c r="D77" s="12" t="s">
        <v>24</v>
      </c>
      <c r="E77" s="12" t="s">
        <v>25</v>
      </c>
      <c r="F77" s="12" t="s">
        <v>26</v>
      </c>
      <c r="G77" s="9" t="s">
        <v>27</v>
      </c>
      <c r="H77" s="13"/>
      <c r="I77" s="13"/>
      <c r="J77" s="13"/>
    </row>
    <row r="78" spans="1:10" ht="12.75" x14ac:dyDescent="0.2">
      <c r="A78" s="53"/>
      <c r="B78" s="12">
        <v>25</v>
      </c>
      <c r="C78" s="12" t="s">
        <v>162</v>
      </c>
      <c r="D78" s="12" t="s">
        <v>24</v>
      </c>
      <c r="E78" s="12" t="s">
        <v>25</v>
      </c>
      <c r="F78" s="12" t="s">
        <v>26</v>
      </c>
      <c r="G78" s="9" t="s">
        <v>27</v>
      </c>
      <c r="H78" s="13"/>
      <c r="I78" s="13"/>
      <c r="J78" s="13"/>
    </row>
    <row r="79" spans="1:10" ht="12.75" x14ac:dyDescent="0.2">
      <c r="A79" s="48" t="s">
        <v>77</v>
      </c>
      <c r="B79" s="9">
        <v>28</v>
      </c>
      <c r="C79" s="9" t="s">
        <v>181</v>
      </c>
      <c r="D79" s="9" t="s">
        <v>24</v>
      </c>
      <c r="E79" s="9" t="s">
        <v>31</v>
      </c>
      <c r="F79" s="9" t="s">
        <v>26</v>
      </c>
      <c r="G79" s="9" t="s">
        <v>27</v>
      </c>
      <c r="H79" s="13"/>
      <c r="I79" s="13"/>
      <c r="J79" s="13"/>
    </row>
    <row r="80" spans="1:10" ht="12.75" x14ac:dyDescent="0.2">
      <c r="A80" s="52"/>
      <c r="B80" s="9">
        <v>28</v>
      </c>
      <c r="C80" s="9" t="s">
        <v>178</v>
      </c>
      <c r="D80" s="9" t="s">
        <v>24</v>
      </c>
      <c r="E80" s="9" t="s">
        <v>31</v>
      </c>
      <c r="F80" s="9" t="s">
        <v>26</v>
      </c>
      <c r="G80" s="9" t="s">
        <v>27</v>
      </c>
      <c r="H80" s="13"/>
      <c r="I80" s="13"/>
      <c r="J80" s="13"/>
    </row>
    <row r="81" spans="1:10" ht="12.75" x14ac:dyDescent="0.2">
      <c r="A81" s="52"/>
      <c r="B81" s="9">
        <v>28</v>
      </c>
      <c r="C81" s="9" t="s">
        <v>152</v>
      </c>
      <c r="D81" s="9" t="s">
        <v>24</v>
      </c>
      <c r="E81" s="9" t="s">
        <v>31</v>
      </c>
      <c r="F81" s="9" t="s">
        <v>26</v>
      </c>
      <c r="G81" s="9" t="s">
        <v>27</v>
      </c>
      <c r="H81" s="13"/>
      <c r="I81" s="13"/>
      <c r="J81" s="13"/>
    </row>
    <row r="82" spans="1:10" ht="12.75" x14ac:dyDescent="0.2">
      <c r="A82" s="52"/>
      <c r="B82" s="9">
        <v>28</v>
      </c>
      <c r="C82" s="9" t="s">
        <v>182</v>
      </c>
      <c r="D82" s="9" t="s">
        <v>24</v>
      </c>
      <c r="E82" s="9" t="s">
        <v>31</v>
      </c>
      <c r="F82" s="9" t="s">
        <v>26</v>
      </c>
      <c r="G82" s="9" t="s">
        <v>27</v>
      </c>
      <c r="H82" s="13"/>
      <c r="I82" s="13"/>
      <c r="J82" s="13"/>
    </row>
    <row r="83" spans="1:10" ht="12.75" x14ac:dyDescent="0.2">
      <c r="A83" s="52"/>
      <c r="B83" s="9">
        <v>28</v>
      </c>
      <c r="C83" s="9" t="s">
        <v>183</v>
      </c>
      <c r="D83" s="9" t="s">
        <v>24</v>
      </c>
      <c r="E83" s="9" t="s">
        <v>31</v>
      </c>
      <c r="F83" s="9" t="s">
        <v>26</v>
      </c>
      <c r="G83" s="9" t="s">
        <v>27</v>
      </c>
      <c r="H83" s="13"/>
      <c r="I83" s="13"/>
      <c r="J83" s="13"/>
    </row>
    <row r="84" spans="1:10" ht="12.75" x14ac:dyDescent="0.2">
      <c r="A84" s="52"/>
      <c r="B84" s="9">
        <v>28</v>
      </c>
      <c r="C84" s="9" t="s">
        <v>155</v>
      </c>
      <c r="D84" s="9" t="s">
        <v>24</v>
      </c>
      <c r="E84" s="9" t="s">
        <v>31</v>
      </c>
      <c r="F84" s="9" t="s">
        <v>26</v>
      </c>
      <c r="G84" s="9" t="s">
        <v>27</v>
      </c>
      <c r="H84" s="13"/>
      <c r="I84" s="13"/>
      <c r="J84" s="13"/>
    </row>
    <row r="85" spans="1:10" ht="12.75" x14ac:dyDescent="0.2">
      <c r="A85" s="52"/>
      <c r="B85" s="9">
        <v>28</v>
      </c>
      <c r="C85" s="9" t="s">
        <v>180</v>
      </c>
      <c r="D85" s="9" t="s">
        <v>24</v>
      </c>
      <c r="E85" s="9" t="s">
        <v>31</v>
      </c>
      <c r="F85" s="9" t="s">
        <v>26</v>
      </c>
      <c r="G85" s="9" t="s">
        <v>27</v>
      </c>
      <c r="H85" s="13"/>
      <c r="I85" s="13"/>
      <c r="J85" s="13"/>
    </row>
    <row r="86" spans="1:10" ht="12.75" x14ac:dyDescent="0.2">
      <c r="A86" s="52"/>
      <c r="B86" s="9">
        <v>28</v>
      </c>
      <c r="C86" s="9" t="s">
        <v>184</v>
      </c>
      <c r="D86" s="9" t="s">
        <v>24</v>
      </c>
      <c r="E86" s="9" t="s">
        <v>31</v>
      </c>
      <c r="F86" s="9" t="s">
        <v>26</v>
      </c>
      <c r="G86" s="9" t="s">
        <v>27</v>
      </c>
      <c r="H86" s="13"/>
      <c r="I86" s="13"/>
      <c r="J86" s="13"/>
    </row>
    <row r="87" spans="1:10" ht="12.75" x14ac:dyDescent="0.2">
      <c r="A87" s="53"/>
      <c r="B87" s="9">
        <v>28</v>
      </c>
      <c r="C87" s="9" t="s">
        <v>185</v>
      </c>
      <c r="D87" s="9" t="s">
        <v>24</v>
      </c>
      <c r="E87" s="9" t="s">
        <v>31</v>
      </c>
      <c r="F87" s="9" t="s">
        <v>26</v>
      </c>
      <c r="G87" s="9" t="s">
        <v>27</v>
      </c>
      <c r="H87" s="13"/>
      <c r="I87" s="13"/>
      <c r="J87" s="13"/>
    </row>
    <row r="88" spans="1:10" ht="12.75" x14ac:dyDescent="0.2">
      <c r="A88" s="48" t="s">
        <v>79</v>
      </c>
      <c r="B88" s="9">
        <v>28</v>
      </c>
      <c r="C88" s="9" t="s">
        <v>186</v>
      </c>
      <c r="D88" s="9" t="s">
        <v>24</v>
      </c>
      <c r="E88" s="9" t="s">
        <v>31</v>
      </c>
      <c r="F88" s="9" t="s">
        <v>26</v>
      </c>
      <c r="G88" s="9" t="s">
        <v>27</v>
      </c>
      <c r="H88" s="13"/>
      <c r="I88" s="13"/>
      <c r="J88" s="13"/>
    </row>
    <row r="89" spans="1:10" ht="12.75" x14ac:dyDescent="0.2">
      <c r="A89" s="52"/>
      <c r="B89" s="9">
        <v>28</v>
      </c>
      <c r="C89" s="9" t="s">
        <v>187</v>
      </c>
      <c r="D89" s="9" t="s">
        <v>24</v>
      </c>
      <c r="E89" s="9" t="s">
        <v>31</v>
      </c>
      <c r="F89" s="9" t="s">
        <v>26</v>
      </c>
      <c r="G89" s="9" t="s">
        <v>27</v>
      </c>
      <c r="H89" s="13"/>
      <c r="I89" s="13"/>
      <c r="J89" s="13"/>
    </row>
    <row r="90" spans="1:10" ht="12.75" x14ac:dyDescent="0.2">
      <c r="A90" s="52"/>
      <c r="B90" s="9">
        <v>28</v>
      </c>
      <c r="C90" s="9" t="s">
        <v>174</v>
      </c>
      <c r="D90" s="9" t="s">
        <v>24</v>
      </c>
      <c r="E90" s="9" t="s">
        <v>31</v>
      </c>
      <c r="F90" s="9" t="s">
        <v>26</v>
      </c>
      <c r="G90" s="9" t="s">
        <v>27</v>
      </c>
      <c r="H90" s="13"/>
      <c r="I90" s="13"/>
      <c r="J90" s="13"/>
    </row>
    <row r="91" spans="1:10" ht="12.75" x14ac:dyDescent="0.2">
      <c r="A91" s="52"/>
      <c r="B91" s="9">
        <v>28</v>
      </c>
      <c r="C91" s="9" t="s">
        <v>152</v>
      </c>
      <c r="D91" s="9" t="s">
        <v>24</v>
      </c>
      <c r="E91" s="9" t="s">
        <v>31</v>
      </c>
      <c r="F91" s="9" t="s">
        <v>26</v>
      </c>
      <c r="G91" s="9" t="s">
        <v>27</v>
      </c>
      <c r="H91" s="13"/>
      <c r="I91" s="13"/>
      <c r="J91" s="13"/>
    </row>
    <row r="92" spans="1:10" ht="12.75" x14ac:dyDescent="0.2">
      <c r="A92" s="52"/>
      <c r="B92" s="9">
        <v>28</v>
      </c>
      <c r="C92" s="9" t="s">
        <v>188</v>
      </c>
      <c r="D92" s="9" t="s">
        <v>24</v>
      </c>
      <c r="E92" s="9" t="s">
        <v>31</v>
      </c>
      <c r="F92" s="9" t="s">
        <v>26</v>
      </c>
      <c r="G92" s="9" t="s">
        <v>27</v>
      </c>
      <c r="H92" s="13"/>
      <c r="I92" s="13"/>
      <c r="J92" s="13"/>
    </row>
    <row r="93" spans="1:10" ht="12.75" x14ac:dyDescent="0.2">
      <c r="A93" s="52"/>
      <c r="B93" s="9">
        <v>28</v>
      </c>
      <c r="C93" s="9" t="s">
        <v>180</v>
      </c>
      <c r="D93" s="9" t="s">
        <v>24</v>
      </c>
      <c r="E93" s="9" t="s">
        <v>31</v>
      </c>
      <c r="F93" s="9" t="s">
        <v>26</v>
      </c>
      <c r="G93" s="9" t="s">
        <v>27</v>
      </c>
      <c r="H93" s="13"/>
      <c r="I93" s="13"/>
      <c r="J93" s="13"/>
    </row>
    <row r="94" spans="1:10" ht="12.75" x14ac:dyDescent="0.2">
      <c r="A94" s="53"/>
      <c r="B94" s="9">
        <v>28</v>
      </c>
      <c r="C94" s="9" t="s">
        <v>189</v>
      </c>
      <c r="D94" s="9" t="s">
        <v>24</v>
      </c>
      <c r="E94" s="9" t="s">
        <v>31</v>
      </c>
      <c r="F94" s="9" t="s">
        <v>26</v>
      </c>
      <c r="G94" s="9" t="s">
        <v>27</v>
      </c>
      <c r="H94" s="13"/>
      <c r="I94" s="13"/>
      <c r="J94" s="13"/>
    </row>
    <row r="95" spans="1:10" ht="12.75" x14ac:dyDescent="0.2">
      <c r="A95" s="48" t="s">
        <v>83</v>
      </c>
      <c r="B95" s="12">
        <v>28</v>
      </c>
      <c r="C95" s="12" t="s">
        <v>190</v>
      </c>
      <c r="D95" s="12" t="s">
        <v>24</v>
      </c>
      <c r="E95" s="12" t="s">
        <v>25</v>
      </c>
      <c r="F95" s="12" t="s">
        <v>26</v>
      </c>
      <c r="G95" s="9" t="s">
        <v>27</v>
      </c>
      <c r="H95" s="13"/>
      <c r="I95" s="13"/>
      <c r="J95" s="13"/>
    </row>
    <row r="96" spans="1:10" ht="12.75" x14ac:dyDescent="0.2">
      <c r="A96" s="52"/>
      <c r="B96" s="12">
        <v>28</v>
      </c>
      <c r="C96" s="12" t="s">
        <v>191</v>
      </c>
      <c r="D96" s="12" t="s">
        <v>24</v>
      </c>
      <c r="E96" s="12" t="s">
        <v>25</v>
      </c>
      <c r="F96" s="12" t="s">
        <v>26</v>
      </c>
      <c r="G96" s="9" t="s">
        <v>27</v>
      </c>
      <c r="H96" s="13"/>
      <c r="I96" s="13"/>
      <c r="J96" s="13"/>
    </row>
    <row r="97" spans="1:10" ht="12.75" x14ac:dyDescent="0.2">
      <c r="A97" s="52"/>
      <c r="B97" s="12">
        <v>28</v>
      </c>
      <c r="C97" s="12" t="s">
        <v>152</v>
      </c>
      <c r="D97" s="12" t="s">
        <v>30</v>
      </c>
      <c r="E97" s="12" t="s">
        <v>25</v>
      </c>
      <c r="F97" s="12" t="s">
        <v>26</v>
      </c>
      <c r="G97" s="9" t="s">
        <v>27</v>
      </c>
      <c r="H97" s="13"/>
      <c r="I97" s="13"/>
      <c r="J97" s="13"/>
    </row>
    <row r="98" spans="1:10" ht="12.75" x14ac:dyDescent="0.2">
      <c r="A98" s="52"/>
      <c r="B98" s="12">
        <v>28</v>
      </c>
      <c r="C98" s="12" t="s">
        <v>192</v>
      </c>
      <c r="D98" s="12" t="s">
        <v>24</v>
      </c>
      <c r="E98" s="12" t="s">
        <v>25</v>
      </c>
      <c r="F98" s="12" t="s">
        <v>26</v>
      </c>
      <c r="G98" s="9" t="s">
        <v>27</v>
      </c>
      <c r="H98" s="13"/>
      <c r="I98" s="13"/>
      <c r="J98" s="13"/>
    </row>
    <row r="99" spans="1:10" ht="12.75" x14ac:dyDescent="0.2">
      <c r="A99" s="52"/>
      <c r="B99" s="12">
        <v>28</v>
      </c>
      <c r="C99" s="12" t="s">
        <v>188</v>
      </c>
      <c r="D99" s="12" t="s">
        <v>24</v>
      </c>
      <c r="E99" s="12" t="s">
        <v>25</v>
      </c>
      <c r="F99" s="12" t="s">
        <v>26</v>
      </c>
      <c r="G99" s="9" t="s">
        <v>27</v>
      </c>
      <c r="H99" s="13"/>
      <c r="I99" s="13"/>
      <c r="J99" s="13"/>
    </row>
    <row r="100" spans="1:10" ht="12.75" x14ac:dyDescent="0.2">
      <c r="A100" s="52"/>
      <c r="B100" s="12">
        <v>28</v>
      </c>
      <c r="C100" s="12" t="s">
        <v>183</v>
      </c>
      <c r="D100" s="12" t="s">
        <v>24</v>
      </c>
      <c r="E100" s="12" t="s">
        <v>25</v>
      </c>
      <c r="F100" s="12" t="s">
        <v>26</v>
      </c>
      <c r="G100" s="9" t="s">
        <v>27</v>
      </c>
      <c r="H100" s="13"/>
      <c r="I100" s="13"/>
      <c r="J100" s="13"/>
    </row>
    <row r="101" spans="1:10" ht="12.75" x14ac:dyDescent="0.2">
      <c r="A101" s="53"/>
      <c r="B101" s="12">
        <v>28</v>
      </c>
      <c r="C101" s="12" t="s">
        <v>180</v>
      </c>
      <c r="D101" s="12" t="s">
        <v>24</v>
      </c>
      <c r="E101" s="12" t="s">
        <v>25</v>
      </c>
      <c r="F101" s="12" t="s">
        <v>26</v>
      </c>
      <c r="G101" s="9" t="s">
        <v>27</v>
      </c>
      <c r="H101" s="13"/>
      <c r="I101" s="13"/>
      <c r="J101" s="13"/>
    </row>
    <row r="102" spans="1:10" ht="12.75" x14ac:dyDescent="0.2">
      <c r="A102" s="48" t="s">
        <v>85</v>
      </c>
      <c r="B102" s="9">
        <v>28</v>
      </c>
      <c r="C102" s="9" t="s">
        <v>193</v>
      </c>
      <c r="D102" s="9" t="s">
        <v>24</v>
      </c>
      <c r="E102" s="9" t="s">
        <v>31</v>
      </c>
      <c r="F102" s="9" t="s">
        <v>26</v>
      </c>
      <c r="G102" s="9" t="s">
        <v>27</v>
      </c>
      <c r="H102" s="13"/>
      <c r="I102" s="13"/>
      <c r="J102" s="13"/>
    </row>
    <row r="103" spans="1:10" ht="12.75" x14ac:dyDescent="0.2">
      <c r="A103" s="52"/>
      <c r="B103" s="9">
        <v>28</v>
      </c>
      <c r="C103" s="9" t="s">
        <v>194</v>
      </c>
      <c r="D103" s="9" t="s">
        <v>24</v>
      </c>
      <c r="E103" s="9" t="s">
        <v>31</v>
      </c>
      <c r="F103" s="9" t="s">
        <v>26</v>
      </c>
      <c r="G103" s="9" t="s">
        <v>27</v>
      </c>
      <c r="H103" s="13"/>
      <c r="I103" s="13"/>
      <c r="J103" s="13"/>
    </row>
    <row r="104" spans="1:10" ht="12.75" x14ac:dyDescent="0.2">
      <c r="A104" s="52"/>
      <c r="B104" s="9">
        <v>28</v>
      </c>
      <c r="C104" s="9" t="s">
        <v>195</v>
      </c>
      <c r="D104" s="9" t="s">
        <v>24</v>
      </c>
      <c r="E104" s="9" t="s">
        <v>31</v>
      </c>
      <c r="F104" s="9" t="s">
        <v>26</v>
      </c>
      <c r="G104" s="9" t="s">
        <v>27</v>
      </c>
      <c r="H104" s="13"/>
      <c r="I104" s="13"/>
      <c r="J104" s="13"/>
    </row>
    <row r="105" spans="1:10" ht="12.75" x14ac:dyDescent="0.2">
      <c r="A105" s="52"/>
      <c r="B105" s="9">
        <v>28</v>
      </c>
      <c r="C105" s="9" t="s">
        <v>196</v>
      </c>
      <c r="D105" s="9" t="s">
        <v>24</v>
      </c>
      <c r="E105" s="9" t="s">
        <v>31</v>
      </c>
      <c r="F105" s="9" t="s">
        <v>26</v>
      </c>
      <c r="G105" s="9" t="s">
        <v>27</v>
      </c>
      <c r="H105" s="13"/>
      <c r="I105" s="13"/>
      <c r="J105" s="13"/>
    </row>
    <row r="106" spans="1:10" ht="12.75" x14ac:dyDescent="0.2">
      <c r="A106" s="52"/>
      <c r="B106" s="9">
        <v>28</v>
      </c>
      <c r="C106" s="9" t="s">
        <v>197</v>
      </c>
      <c r="D106" s="9" t="s">
        <v>24</v>
      </c>
      <c r="E106" s="9" t="s">
        <v>31</v>
      </c>
      <c r="F106" s="9" t="s">
        <v>26</v>
      </c>
      <c r="G106" s="9" t="s">
        <v>27</v>
      </c>
      <c r="H106" s="13"/>
      <c r="I106" s="13"/>
      <c r="J106" s="13"/>
    </row>
    <row r="107" spans="1:10" ht="12.75" x14ac:dyDescent="0.2">
      <c r="A107" s="53"/>
      <c r="B107" s="9">
        <v>28</v>
      </c>
      <c r="C107" s="9" t="s">
        <v>198</v>
      </c>
      <c r="D107" s="9" t="s">
        <v>24</v>
      </c>
      <c r="E107" s="9" t="s">
        <v>31</v>
      </c>
      <c r="F107" s="9" t="s">
        <v>26</v>
      </c>
      <c r="G107" s="9" t="s">
        <v>27</v>
      </c>
      <c r="H107" s="13"/>
      <c r="I107" s="13"/>
      <c r="J107" s="13"/>
    </row>
    <row r="108" spans="1:10" ht="12.75" x14ac:dyDescent="0.2">
      <c r="A108" s="13"/>
      <c r="B108" s="13"/>
      <c r="C108" s="13"/>
      <c r="D108" s="13"/>
      <c r="E108" s="13"/>
      <c r="F108" s="13"/>
      <c r="G108" s="13"/>
      <c r="H108" s="13"/>
      <c r="I108" s="13"/>
      <c r="J108" s="13"/>
    </row>
    <row r="109" spans="1:10" ht="12.75" x14ac:dyDescent="0.2">
      <c r="A109" s="13"/>
      <c r="B109" s="13"/>
      <c r="C109" s="13"/>
      <c r="D109" s="13"/>
      <c r="E109" s="13"/>
      <c r="F109" s="13"/>
      <c r="G109" s="13"/>
      <c r="H109" s="13"/>
      <c r="I109" s="13"/>
      <c r="J109" s="13"/>
    </row>
    <row r="110" spans="1:10" ht="12.75" x14ac:dyDescent="0.2">
      <c r="A110" s="13"/>
      <c r="B110" s="13"/>
      <c r="C110" s="13"/>
      <c r="D110" s="13"/>
      <c r="E110" s="13"/>
      <c r="F110" s="13"/>
      <c r="G110" s="13"/>
      <c r="H110" s="13"/>
      <c r="I110" s="13"/>
      <c r="J110" s="13"/>
    </row>
    <row r="111" spans="1:10" ht="12.75" x14ac:dyDescent="0.2">
      <c r="A111" s="13"/>
      <c r="B111" s="13"/>
      <c r="C111" s="13"/>
      <c r="D111" s="13"/>
      <c r="E111" s="13"/>
      <c r="F111" s="13"/>
      <c r="G111" s="13"/>
      <c r="H111" s="13"/>
      <c r="I111" s="13"/>
      <c r="J111" s="13"/>
    </row>
    <row r="112" spans="1:10" ht="12.75" x14ac:dyDescent="0.2">
      <c r="A112" s="13"/>
      <c r="B112" s="13"/>
      <c r="C112" s="13"/>
      <c r="D112" s="13"/>
      <c r="E112" s="13"/>
      <c r="F112" s="13"/>
      <c r="G112" s="13"/>
      <c r="H112" s="13"/>
      <c r="I112" s="13"/>
      <c r="J112" s="13"/>
    </row>
    <row r="113" spans="1:10" ht="12.75" x14ac:dyDescent="0.2">
      <c r="A113" s="13"/>
      <c r="B113" s="13"/>
      <c r="C113" s="13"/>
      <c r="D113" s="13"/>
      <c r="E113" s="13"/>
      <c r="F113" s="13"/>
      <c r="G113" s="13"/>
      <c r="H113" s="13"/>
      <c r="I113" s="13"/>
      <c r="J113" s="13"/>
    </row>
    <row r="114" spans="1:10" ht="12.75" x14ac:dyDescent="0.2">
      <c r="A114" s="13"/>
      <c r="B114" s="13"/>
      <c r="C114" s="13"/>
      <c r="D114" s="13"/>
      <c r="E114" s="13"/>
      <c r="F114" s="13"/>
      <c r="G114" s="13"/>
      <c r="H114" s="13"/>
      <c r="I114" s="13"/>
      <c r="J114" s="13"/>
    </row>
  </sheetData>
  <mergeCells count="18">
    <mergeCell ref="A102:A107"/>
    <mergeCell ref="A48:A50"/>
    <mergeCell ref="A51:A55"/>
    <mergeCell ref="A56:A57"/>
    <mergeCell ref="A58:A59"/>
    <mergeCell ref="A60:A63"/>
    <mergeCell ref="A64:A70"/>
    <mergeCell ref="A71:A78"/>
    <mergeCell ref="A35:A44"/>
    <mergeCell ref="A45:A47"/>
    <mergeCell ref="A79:A87"/>
    <mergeCell ref="A88:A94"/>
    <mergeCell ref="A95:A101"/>
    <mergeCell ref="A1:G1"/>
    <mergeCell ref="A9:A10"/>
    <mergeCell ref="A11:A18"/>
    <mergeCell ref="A19:A26"/>
    <mergeCell ref="A27:A34"/>
  </mergeCells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K104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11" ht="15.75" customHeight="1" x14ac:dyDescent="0.25">
      <c r="A1" s="54" t="s">
        <v>0</v>
      </c>
      <c r="B1" s="55"/>
      <c r="C1" s="55"/>
      <c r="D1" s="55"/>
      <c r="E1" s="55"/>
      <c r="F1" s="55"/>
      <c r="G1" s="56"/>
    </row>
    <row r="2" spans="1:11" x14ac:dyDescent="0.2">
      <c r="A2" s="1"/>
      <c r="B2" s="2"/>
      <c r="C2" s="2"/>
      <c r="D2" s="2"/>
      <c r="E2" s="2"/>
      <c r="F2" s="2"/>
      <c r="G2" s="2"/>
    </row>
    <row r="3" spans="1:11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11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11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11" x14ac:dyDescent="0.2">
      <c r="A6" s="1"/>
      <c r="B6" s="2"/>
      <c r="C6" s="2"/>
      <c r="D6" s="2"/>
      <c r="E6" s="2"/>
      <c r="F6" s="2"/>
      <c r="G6" s="2"/>
    </row>
    <row r="7" spans="1:11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11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11" x14ac:dyDescent="0.2">
      <c r="A9" s="48" t="s">
        <v>20</v>
      </c>
      <c r="B9" s="9">
        <v>29</v>
      </c>
      <c r="C9" s="9" t="s">
        <v>199</v>
      </c>
      <c r="D9" s="9" t="s">
        <v>24</v>
      </c>
      <c r="E9" s="9" t="s">
        <v>31</v>
      </c>
      <c r="F9" s="9" t="s">
        <v>87</v>
      </c>
      <c r="G9" s="9" t="s">
        <v>27</v>
      </c>
      <c r="H9" s="11"/>
      <c r="I9" s="13"/>
      <c r="J9" s="13"/>
      <c r="K9" s="13"/>
    </row>
    <row r="10" spans="1:11" x14ac:dyDescent="0.2">
      <c r="A10" s="53"/>
      <c r="B10" s="9">
        <v>29</v>
      </c>
      <c r="C10" s="9" t="s">
        <v>200</v>
      </c>
      <c r="D10" s="9" t="s">
        <v>24</v>
      </c>
      <c r="E10" s="9" t="s">
        <v>31</v>
      </c>
      <c r="F10" s="9" t="s">
        <v>87</v>
      </c>
      <c r="G10" s="9" t="s">
        <v>27</v>
      </c>
      <c r="H10" s="11"/>
      <c r="I10" s="13"/>
      <c r="J10" s="13"/>
      <c r="K10" s="13"/>
    </row>
    <row r="11" spans="1:11" x14ac:dyDescent="0.2">
      <c r="A11" s="48" t="s">
        <v>22</v>
      </c>
      <c r="B11" s="9">
        <v>29</v>
      </c>
      <c r="C11" s="9" t="s">
        <v>201</v>
      </c>
      <c r="D11" s="9" t="s">
        <v>24</v>
      </c>
      <c r="E11" s="9" t="s">
        <v>25</v>
      </c>
      <c r="F11" s="9" t="s">
        <v>26</v>
      </c>
      <c r="G11" s="9" t="s">
        <v>27</v>
      </c>
      <c r="H11" s="11"/>
      <c r="I11" s="13"/>
      <c r="J11" s="13"/>
      <c r="K11" s="13"/>
    </row>
    <row r="12" spans="1:11" x14ac:dyDescent="0.2">
      <c r="A12" s="52"/>
      <c r="B12" s="9">
        <v>29</v>
      </c>
      <c r="C12" s="9" t="s">
        <v>202</v>
      </c>
      <c r="D12" s="9" t="s">
        <v>24</v>
      </c>
      <c r="E12" s="9" t="s">
        <v>25</v>
      </c>
      <c r="F12" s="9" t="s">
        <v>26</v>
      </c>
      <c r="G12" s="9" t="s">
        <v>27</v>
      </c>
      <c r="H12" s="11"/>
      <c r="I12" s="13"/>
      <c r="J12" s="13"/>
      <c r="K12" s="13"/>
    </row>
    <row r="13" spans="1:11" x14ac:dyDescent="0.2">
      <c r="A13" s="52"/>
      <c r="B13" s="9">
        <v>29</v>
      </c>
      <c r="C13" s="9" t="s">
        <v>203</v>
      </c>
      <c r="D13" s="9" t="s">
        <v>24</v>
      </c>
      <c r="E13" s="9" t="s">
        <v>25</v>
      </c>
      <c r="F13" s="9" t="s">
        <v>26</v>
      </c>
      <c r="G13" s="9" t="s">
        <v>27</v>
      </c>
      <c r="H13" s="11"/>
      <c r="I13" s="13"/>
      <c r="J13" s="13"/>
      <c r="K13" s="13"/>
    </row>
    <row r="14" spans="1:11" x14ac:dyDescent="0.2">
      <c r="A14" s="52"/>
      <c r="B14" s="9">
        <v>29</v>
      </c>
      <c r="C14" s="9" t="s">
        <v>204</v>
      </c>
      <c r="D14" s="9" t="s">
        <v>24</v>
      </c>
      <c r="E14" s="9" t="s">
        <v>25</v>
      </c>
      <c r="F14" s="9" t="s">
        <v>26</v>
      </c>
      <c r="G14" s="9" t="s">
        <v>27</v>
      </c>
      <c r="H14" s="11"/>
      <c r="I14" s="13"/>
      <c r="J14" s="13"/>
      <c r="K14" s="13"/>
    </row>
    <row r="15" spans="1:11" x14ac:dyDescent="0.2">
      <c r="A15" s="52"/>
      <c r="B15" s="9">
        <v>29</v>
      </c>
      <c r="C15" s="9" t="s">
        <v>205</v>
      </c>
      <c r="D15" s="9" t="s">
        <v>24</v>
      </c>
      <c r="E15" s="9" t="s">
        <v>25</v>
      </c>
      <c r="F15" s="9" t="s">
        <v>26</v>
      </c>
      <c r="G15" s="9" t="s">
        <v>27</v>
      </c>
      <c r="H15" s="11"/>
      <c r="I15" s="13"/>
      <c r="J15" s="13"/>
      <c r="K15" s="13"/>
    </row>
    <row r="16" spans="1:11" x14ac:dyDescent="0.2">
      <c r="A16" s="52"/>
      <c r="B16" s="9">
        <v>29</v>
      </c>
      <c r="C16" s="9" t="s">
        <v>206</v>
      </c>
      <c r="D16" s="9" t="s">
        <v>24</v>
      </c>
      <c r="E16" s="9" t="s">
        <v>25</v>
      </c>
      <c r="F16" s="9" t="s">
        <v>26</v>
      </c>
      <c r="G16" s="9" t="s">
        <v>27</v>
      </c>
      <c r="H16" s="11"/>
      <c r="I16" s="13"/>
      <c r="J16" s="13"/>
      <c r="K16" s="13"/>
    </row>
    <row r="17" spans="1:11" x14ac:dyDescent="0.2">
      <c r="A17" s="53"/>
      <c r="B17" s="9">
        <v>29</v>
      </c>
      <c r="C17" s="9" t="s">
        <v>207</v>
      </c>
      <c r="D17" s="9" t="s">
        <v>24</v>
      </c>
      <c r="E17" s="9" t="s">
        <v>25</v>
      </c>
      <c r="F17" s="9" t="s">
        <v>26</v>
      </c>
      <c r="G17" s="9" t="s">
        <v>27</v>
      </c>
      <c r="H17" s="11"/>
      <c r="I17" s="13"/>
      <c r="J17" s="13"/>
      <c r="K17" s="13"/>
    </row>
    <row r="18" spans="1:11" x14ac:dyDescent="0.2">
      <c r="A18" s="48" t="s">
        <v>28</v>
      </c>
      <c r="B18" s="9">
        <v>29</v>
      </c>
      <c r="C18" s="9" t="s">
        <v>208</v>
      </c>
      <c r="D18" s="9" t="s">
        <v>24</v>
      </c>
      <c r="E18" s="9" t="s">
        <v>31</v>
      </c>
      <c r="F18" s="9" t="s">
        <v>26</v>
      </c>
      <c r="G18" s="9" t="s">
        <v>27</v>
      </c>
      <c r="H18" s="11"/>
      <c r="I18" s="13"/>
      <c r="J18" s="13"/>
      <c r="K18" s="13"/>
    </row>
    <row r="19" spans="1:11" x14ac:dyDescent="0.2">
      <c r="A19" s="51"/>
      <c r="B19" s="9">
        <v>29</v>
      </c>
      <c r="C19" s="9" t="s">
        <v>209</v>
      </c>
      <c r="D19" s="9" t="s">
        <v>24</v>
      </c>
      <c r="E19" s="9" t="s">
        <v>31</v>
      </c>
      <c r="F19" s="9" t="s">
        <v>26</v>
      </c>
      <c r="G19" s="9" t="s">
        <v>27</v>
      </c>
      <c r="H19" s="11"/>
      <c r="I19" s="13"/>
      <c r="J19" s="13"/>
      <c r="K19" s="13"/>
    </row>
    <row r="20" spans="1:11" x14ac:dyDescent="0.2">
      <c r="A20" s="50"/>
      <c r="B20" s="9">
        <v>29</v>
      </c>
      <c r="C20" s="9" t="s">
        <v>210</v>
      </c>
      <c r="D20" s="9" t="s">
        <v>24</v>
      </c>
      <c r="E20" s="9" t="s">
        <v>31</v>
      </c>
      <c r="F20" s="9" t="s">
        <v>26</v>
      </c>
      <c r="G20" s="9" t="s">
        <v>27</v>
      </c>
      <c r="H20" s="11"/>
      <c r="I20" s="13"/>
      <c r="J20" s="13"/>
      <c r="K20" s="13"/>
    </row>
    <row r="21" spans="1:11" x14ac:dyDescent="0.2">
      <c r="A21" s="51"/>
      <c r="B21" s="9">
        <v>29</v>
      </c>
      <c r="C21" s="9" t="s">
        <v>211</v>
      </c>
      <c r="D21" s="9" t="s">
        <v>24</v>
      </c>
      <c r="E21" s="9" t="s">
        <v>31</v>
      </c>
      <c r="F21" s="9" t="s">
        <v>26</v>
      </c>
      <c r="G21" s="9" t="s">
        <v>27</v>
      </c>
      <c r="H21" s="11"/>
      <c r="I21" s="13"/>
      <c r="J21" s="13"/>
      <c r="K21" s="13"/>
    </row>
    <row r="22" spans="1:11" x14ac:dyDescent="0.2">
      <c r="A22" s="50"/>
      <c r="B22" s="9">
        <v>29</v>
      </c>
      <c r="C22" s="9" t="s">
        <v>212</v>
      </c>
      <c r="D22" s="9" t="s">
        <v>24</v>
      </c>
      <c r="E22" s="9" t="s">
        <v>31</v>
      </c>
      <c r="F22" s="9" t="s">
        <v>26</v>
      </c>
      <c r="G22" s="9" t="s">
        <v>27</v>
      </c>
      <c r="H22" s="11"/>
      <c r="I22" s="13"/>
      <c r="J22" s="13"/>
      <c r="K22" s="13"/>
    </row>
    <row r="23" spans="1:11" x14ac:dyDescent="0.2">
      <c r="A23" s="51"/>
      <c r="B23" s="9">
        <v>29</v>
      </c>
      <c r="C23" s="9" t="s">
        <v>213</v>
      </c>
      <c r="D23" s="9" t="s">
        <v>24</v>
      </c>
      <c r="E23" s="9" t="s">
        <v>31</v>
      </c>
      <c r="F23" s="9" t="s">
        <v>26</v>
      </c>
      <c r="G23" s="9" t="s">
        <v>27</v>
      </c>
      <c r="H23" s="11"/>
      <c r="I23" s="13"/>
      <c r="J23" s="13"/>
      <c r="K23" s="13"/>
    </row>
    <row r="24" spans="1:11" x14ac:dyDescent="0.2">
      <c r="A24" s="49"/>
      <c r="B24" s="9">
        <v>29</v>
      </c>
      <c r="C24" s="9" t="s">
        <v>214</v>
      </c>
      <c r="D24" s="9" t="s">
        <v>24</v>
      </c>
      <c r="E24" s="9" t="s">
        <v>31</v>
      </c>
      <c r="F24" s="9" t="s">
        <v>26</v>
      </c>
      <c r="G24" s="9" t="s">
        <v>27</v>
      </c>
      <c r="H24" s="11"/>
      <c r="I24" s="13"/>
      <c r="J24" s="13"/>
      <c r="K24" s="13"/>
    </row>
    <row r="25" spans="1:11" x14ac:dyDescent="0.2">
      <c r="A25" s="48" t="s">
        <v>33</v>
      </c>
      <c r="B25" s="9">
        <v>29</v>
      </c>
      <c r="C25" s="9" t="s">
        <v>208</v>
      </c>
      <c r="D25" s="9" t="s">
        <v>24</v>
      </c>
      <c r="E25" s="9" t="s">
        <v>31</v>
      </c>
      <c r="F25" s="9" t="s">
        <v>26</v>
      </c>
      <c r="G25" s="9" t="s">
        <v>27</v>
      </c>
      <c r="H25" s="11"/>
      <c r="I25" s="13"/>
      <c r="J25" s="13"/>
      <c r="K25" s="13"/>
    </row>
    <row r="26" spans="1:11" x14ac:dyDescent="0.2">
      <c r="A26" s="50"/>
      <c r="B26" s="9">
        <v>29</v>
      </c>
      <c r="C26" s="9" t="s">
        <v>209</v>
      </c>
      <c r="D26" s="9" t="s">
        <v>24</v>
      </c>
      <c r="E26" s="9" t="s">
        <v>31</v>
      </c>
      <c r="F26" s="9" t="s">
        <v>26</v>
      </c>
      <c r="G26" s="9" t="s">
        <v>27</v>
      </c>
      <c r="H26" s="11"/>
      <c r="I26" s="13"/>
      <c r="J26" s="13"/>
      <c r="K26" s="13"/>
    </row>
    <row r="27" spans="1:11" x14ac:dyDescent="0.2">
      <c r="A27" s="51"/>
      <c r="B27" s="9">
        <v>29</v>
      </c>
      <c r="C27" s="9" t="s">
        <v>210</v>
      </c>
      <c r="D27" s="9" t="s">
        <v>24</v>
      </c>
      <c r="E27" s="9" t="s">
        <v>31</v>
      </c>
      <c r="F27" s="9" t="s">
        <v>26</v>
      </c>
      <c r="G27" s="9" t="s">
        <v>27</v>
      </c>
      <c r="H27" s="11"/>
      <c r="I27" s="13"/>
      <c r="J27" s="13"/>
      <c r="K27" s="13"/>
    </row>
    <row r="28" spans="1:11" x14ac:dyDescent="0.2">
      <c r="A28" s="50"/>
      <c r="B28" s="9">
        <v>29</v>
      </c>
      <c r="C28" s="9" t="s">
        <v>215</v>
      </c>
      <c r="D28" s="9" t="s">
        <v>24</v>
      </c>
      <c r="E28" s="9" t="s">
        <v>31</v>
      </c>
      <c r="F28" s="9" t="s">
        <v>26</v>
      </c>
      <c r="G28" s="9" t="s">
        <v>27</v>
      </c>
      <c r="H28" s="11"/>
      <c r="I28" s="13"/>
      <c r="J28" s="13"/>
      <c r="K28" s="13"/>
    </row>
    <row r="29" spans="1:11" x14ac:dyDescent="0.2">
      <c r="A29" s="57"/>
      <c r="B29" s="9">
        <v>29</v>
      </c>
      <c r="C29" s="9" t="s">
        <v>216</v>
      </c>
      <c r="D29" s="9" t="s">
        <v>24</v>
      </c>
      <c r="E29" s="9" t="s">
        <v>31</v>
      </c>
      <c r="F29" s="9" t="s">
        <v>26</v>
      </c>
      <c r="G29" s="9" t="s">
        <v>27</v>
      </c>
      <c r="H29" s="11"/>
      <c r="I29" s="13"/>
      <c r="J29" s="13"/>
      <c r="K29" s="13"/>
    </row>
    <row r="30" spans="1:11" x14ac:dyDescent="0.2">
      <c r="A30" s="48" t="s">
        <v>38</v>
      </c>
      <c r="B30" s="9">
        <v>29</v>
      </c>
      <c r="C30" s="9" t="s">
        <v>217</v>
      </c>
      <c r="D30" s="9" t="s">
        <v>24</v>
      </c>
      <c r="E30" s="9" t="s">
        <v>25</v>
      </c>
      <c r="F30" s="9" t="s">
        <v>26</v>
      </c>
      <c r="G30" s="9" t="s">
        <v>27</v>
      </c>
      <c r="H30" s="11"/>
      <c r="I30" s="13"/>
      <c r="J30" s="13"/>
      <c r="K30" s="13"/>
    </row>
    <row r="31" spans="1:11" x14ac:dyDescent="0.2">
      <c r="A31" s="51"/>
      <c r="B31" s="9">
        <v>29</v>
      </c>
      <c r="C31" s="9" t="s">
        <v>218</v>
      </c>
      <c r="D31" s="9" t="s">
        <v>24</v>
      </c>
      <c r="E31" s="9" t="s">
        <v>25</v>
      </c>
      <c r="F31" s="9" t="s">
        <v>26</v>
      </c>
      <c r="G31" s="9" t="s">
        <v>27</v>
      </c>
      <c r="H31" s="11"/>
      <c r="I31" s="13"/>
      <c r="J31" s="13"/>
      <c r="K31" s="13"/>
    </row>
    <row r="32" spans="1:11" x14ac:dyDescent="0.2">
      <c r="A32" s="50"/>
      <c r="B32" s="9">
        <v>29</v>
      </c>
      <c r="C32" s="9" t="s">
        <v>208</v>
      </c>
      <c r="D32" s="9" t="s">
        <v>24</v>
      </c>
      <c r="E32" s="9" t="s">
        <v>25</v>
      </c>
      <c r="F32" s="9" t="s">
        <v>26</v>
      </c>
      <c r="G32" s="9" t="s">
        <v>27</v>
      </c>
      <c r="H32" s="11"/>
      <c r="I32" s="13"/>
      <c r="J32" s="13"/>
      <c r="K32" s="13"/>
    </row>
    <row r="33" spans="1:11" x14ac:dyDescent="0.2">
      <c r="A33" s="51"/>
      <c r="B33" s="9">
        <v>29</v>
      </c>
      <c r="C33" s="9" t="s">
        <v>219</v>
      </c>
      <c r="D33" s="9" t="s">
        <v>24</v>
      </c>
      <c r="E33" s="9" t="s">
        <v>25</v>
      </c>
      <c r="F33" s="9" t="s">
        <v>26</v>
      </c>
      <c r="G33" s="9" t="s">
        <v>27</v>
      </c>
      <c r="H33" s="11"/>
      <c r="I33" s="13"/>
      <c r="J33" s="13"/>
      <c r="K33" s="13"/>
    </row>
    <row r="34" spans="1:11" x14ac:dyDescent="0.2">
      <c r="A34" s="50"/>
      <c r="B34" s="9">
        <v>29</v>
      </c>
      <c r="C34" s="9" t="s">
        <v>215</v>
      </c>
      <c r="D34" s="9" t="s">
        <v>24</v>
      </c>
      <c r="E34" s="9" t="s">
        <v>25</v>
      </c>
      <c r="F34" s="9" t="s">
        <v>26</v>
      </c>
      <c r="G34" s="9" t="s">
        <v>27</v>
      </c>
      <c r="H34" s="11"/>
      <c r="I34" s="13"/>
      <c r="J34" s="13"/>
      <c r="K34" s="13"/>
    </row>
    <row r="35" spans="1:11" x14ac:dyDescent="0.2">
      <c r="A35" s="52"/>
      <c r="B35" s="9">
        <v>29</v>
      </c>
      <c r="C35" s="9" t="s">
        <v>212</v>
      </c>
      <c r="D35" s="9" t="s">
        <v>24</v>
      </c>
      <c r="E35" s="9" t="s">
        <v>25</v>
      </c>
      <c r="F35" s="9" t="s">
        <v>26</v>
      </c>
      <c r="G35" s="9" t="s">
        <v>27</v>
      </c>
      <c r="H35" s="11"/>
      <c r="I35" s="13"/>
      <c r="J35" s="13"/>
      <c r="K35" s="13"/>
    </row>
    <row r="36" spans="1:11" x14ac:dyDescent="0.2">
      <c r="A36" s="52"/>
      <c r="B36" s="9">
        <v>29</v>
      </c>
      <c r="C36" s="9" t="s">
        <v>213</v>
      </c>
      <c r="D36" s="9" t="s">
        <v>24</v>
      </c>
      <c r="E36" s="9" t="s">
        <v>25</v>
      </c>
      <c r="F36" s="9" t="s">
        <v>26</v>
      </c>
      <c r="G36" s="9" t="s">
        <v>27</v>
      </c>
      <c r="H36" s="11"/>
      <c r="I36" s="13"/>
      <c r="J36" s="13"/>
      <c r="K36" s="13"/>
    </row>
    <row r="37" spans="1:11" ht="12.75" x14ac:dyDescent="0.2">
      <c r="A37" s="53"/>
      <c r="B37" s="9">
        <v>29</v>
      </c>
      <c r="C37" s="9" t="s">
        <v>214</v>
      </c>
      <c r="D37" s="9" t="s">
        <v>24</v>
      </c>
      <c r="E37" s="9" t="s">
        <v>25</v>
      </c>
      <c r="F37" s="9" t="s">
        <v>26</v>
      </c>
      <c r="G37" s="9" t="s">
        <v>27</v>
      </c>
      <c r="H37" s="11"/>
      <c r="I37" s="13"/>
      <c r="J37" s="13"/>
      <c r="K37" s="13"/>
    </row>
    <row r="38" spans="1:11" ht="12.75" x14ac:dyDescent="0.2">
      <c r="A38" s="48" t="s">
        <v>46</v>
      </c>
      <c r="B38" s="9">
        <v>29</v>
      </c>
      <c r="C38" s="9" t="s">
        <v>220</v>
      </c>
      <c r="D38" s="9" t="s">
        <v>24</v>
      </c>
      <c r="E38" s="9" t="s">
        <v>25</v>
      </c>
      <c r="F38" s="9" t="s">
        <v>26</v>
      </c>
      <c r="G38" s="9" t="s">
        <v>27</v>
      </c>
      <c r="H38" s="11"/>
      <c r="I38" s="13"/>
      <c r="J38" s="13"/>
      <c r="K38" s="13"/>
    </row>
    <row r="39" spans="1:11" ht="12.75" x14ac:dyDescent="0.2">
      <c r="A39" s="53"/>
      <c r="B39" s="9">
        <v>29</v>
      </c>
      <c r="C39" s="9" t="s">
        <v>221</v>
      </c>
      <c r="D39" s="9" t="s">
        <v>24</v>
      </c>
      <c r="E39" s="9" t="s">
        <v>25</v>
      </c>
      <c r="F39" s="9" t="s">
        <v>26</v>
      </c>
      <c r="G39" s="9" t="s">
        <v>27</v>
      </c>
      <c r="H39" s="11"/>
      <c r="I39" s="13"/>
      <c r="J39" s="13"/>
      <c r="K39" s="13"/>
    </row>
    <row r="40" spans="1:11" ht="12.75" x14ac:dyDescent="0.2">
      <c r="A40" s="48" t="s">
        <v>49</v>
      </c>
      <c r="B40" s="9">
        <v>29</v>
      </c>
      <c r="C40" s="9" t="s">
        <v>222</v>
      </c>
      <c r="D40" s="9" t="s">
        <v>24</v>
      </c>
      <c r="E40" s="9" t="s">
        <v>31</v>
      </c>
      <c r="F40" s="9" t="s">
        <v>26</v>
      </c>
      <c r="G40" s="9" t="s">
        <v>27</v>
      </c>
      <c r="H40" s="11"/>
      <c r="I40" s="13"/>
      <c r="J40" s="13"/>
      <c r="K40" s="13"/>
    </row>
    <row r="41" spans="1:11" ht="12.75" x14ac:dyDescent="0.2">
      <c r="A41" s="53"/>
      <c r="B41" s="9">
        <v>29</v>
      </c>
      <c r="C41" s="9" t="s">
        <v>223</v>
      </c>
      <c r="D41" s="9" t="s">
        <v>24</v>
      </c>
      <c r="E41" s="9" t="s">
        <v>31</v>
      </c>
      <c r="F41" s="9" t="s">
        <v>26</v>
      </c>
      <c r="G41" s="9" t="s">
        <v>27</v>
      </c>
      <c r="H41" s="11"/>
      <c r="I41" s="13"/>
      <c r="J41" s="13"/>
      <c r="K41" s="13"/>
    </row>
    <row r="42" spans="1:11" ht="12.75" x14ac:dyDescent="0.2">
      <c r="A42" s="48" t="s">
        <v>52</v>
      </c>
      <c r="B42" s="9">
        <v>29</v>
      </c>
      <c r="C42" s="9" t="s">
        <v>224</v>
      </c>
      <c r="D42" s="9" t="s">
        <v>24</v>
      </c>
      <c r="E42" s="9" t="s">
        <v>31</v>
      </c>
      <c r="F42" s="9" t="s">
        <v>26</v>
      </c>
      <c r="G42" s="9" t="s">
        <v>27</v>
      </c>
      <c r="H42" s="11"/>
      <c r="I42" s="13"/>
      <c r="J42" s="13"/>
      <c r="K42" s="13"/>
    </row>
    <row r="43" spans="1:11" ht="12.75" x14ac:dyDescent="0.2">
      <c r="A43" s="52"/>
      <c r="B43" s="9">
        <v>29</v>
      </c>
      <c r="C43" s="9" t="s">
        <v>225</v>
      </c>
      <c r="D43" s="9" t="s">
        <v>24</v>
      </c>
      <c r="E43" s="9" t="s">
        <v>31</v>
      </c>
      <c r="F43" s="9" t="s">
        <v>26</v>
      </c>
      <c r="G43" s="9" t="s">
        <v>27</v>
      </c>
      <c r="H43" s="11"/>
      <c r="I43" s="13"/>
      <c r="J43" s="13"/>
      <c r="K43" s="13"/>
    </row>
    <row r="44" spans="1:11" ht="12.75" x14ac:dyDescent="0.2">
      <c r="A44" s="52"/>
      <c r="B44" s="9">
        <v>29</v>
      </c>
      <c r="C44" s="9" t="s">
        <v>226</v>
      </c>
      <c r="D44" s="9" t="s">
        <v>24</v>
      </c>
      <c r="E44" s="9" t="s">
        <v>31</v>
      </c>
      <c r="F44" s="9" t="s">
        <v>26</v>
      </c>
      <c r="G44" s="9" t="s">
        <v>27</v>
      </c>
      <c r="H44" s="11"/>
      <c r="I44" s="13"/>
      <c r="J44" s="13"/>
      <c r="K44" s="13"/>
    </row>
    <row r="45" spans="1:11" ht="12.75" x14ac:dyDescent="0.2">
      <c r="A45" s="52"/>
      <c r="B45" s="9">
        <v>29</v>
      </c>
      <c r="C45" s="9" t="s">
        <v>204</v>
      </c>
      <c r="D45" s="9" t="s">
        <v>24</v>
      </c>
      <c r="E45" s="9" t="s">
        <v>31</v>
      </c>
      <c r="F45" s="9" t="s">
        <v>26</v>
      </c>
      <c r="G45" s="9" t="s">
        <v>27</v>
      </c>
      <c r="H45" s="11"/>
      <c r="I45" s="13"/>
      <c r="J45" s="13"/>
      <c r="K45" s="13"/>
    </row>
    <row r="46" spans="1:11" ht="12.75" x14ac:dyDescent="0.2">
      <c r="A46" s="53"/>
      <c r="B46" s="9">
        <v>29</v>
      </c>
      <c r="C46" s="9" t="s">
        <v>220</v>
      </c>
      <c r="D46" s="9" t="s">
        <v>24</v>
      </c>
      <c r="E46" s="9" t="s">
        <v>31</v>
      </c>
      <c r="F46" s="9" t="s">
        <v>26</v>
      </c>
      <c r="G46" s="9" t="s">
        <v>27</v>
      </c>
      <c r="H46" s="11"/>
      <c r="I46" s="13"/>
      <c r="J46" s="13"/>
      <c r="K46" s="13"/>
    </row>
    <row r="47" spans="1:11" ht="12.75" x14ac:dyDescent="0.2">
      <c r="A47" s="48" t="s">
        <v>59</v>
      </c>
      <c r="B47" s="9">
        <v>29</v>
      </c>
      <c r="C47" s="9" t="s">
        <v>199</v>
      </c>
      <c r="D47" s="9" t="s">
        <v>24</v>
      </c>
      <c r="E47" s="9" t="s">
        <v>31</v>
      </c>
      <c r="F47" s="9" t="s">
        <v>87</v>
      </c>
      <c r="G47" s="9" t="s">
        <v>27</v>
      </c>
      <c r="H47" s="11"/>
      <c r="I47" s="13"/>
      <c r="J47" s="13"/>
      <c r="K47" s="13"/>
    </row>
    <row r="48" spans="1:11" ht="12.75" x14ac:dyDescent="0.2">
      <c r="A48" s="52"/>
      <c r="B48" s="9">
        <v>29</v>
      </c>
      <c r="C48" s="9" t="s">
        <v>141</v>
      </c>
      <c r="D48" s="9" t="s">
        <v>24</v>
      </c>
      <c r="E48" s="9" t="s">
        <v>31</v>
      </c>
      <c r="F48" s="9" t="s">
        <v>87</v>
      </c>
      <c r="G48" s="9" t="s">
        <v>27</v>
      </c>
      <c r="H48" s="11"/>
      <c r="I48" s="13"/>
      <c r="J48" s="13"/>
      <c r="K48" s="13"/>
    </row>
    <row r="49" spans="1:11" ht="12.75" x14ac:dyDescent="0.2">
      <c r="A49" s="53"/>
      <c r="B49" s="9">
        <v>29</v>
      </c>
      <c r="C49" s="9" t="s">
        <v>200</v>
      </c>
      <c r="D49" s="9" t="s">
        <v>24</v>
      </c>
      <c r="E49" s="9" t="s">
        <v>31</v>
      </c>
      <c r="F49" s="9" t="s">
        <v>87</v>
      </c>
      <c r="G49" s="9" t="s">
        <v>27</v>
      </c>
      <c r="H49" s="11"/>
      <c r="I49" s="13"/>
      <c r="J49" s="13"/>
      <c r="K49" s="13"/>
    </row>
    <row r="50" spans="1:11" ht="12.75" x14ac:dyDescent="0.2">
      <c r="A50" s="48" t="s">
        <v>101</v>
      </c>
      <c r="B50" s="9">
        <v>29</v>
      </c>
      <c r="C50" s="9" t="s">
        <v>227</v>
      </c>
      <c r="D50" s="9" t="s">
        <v>30</v>
      </c>
      <c r="E50" s="9" t="s">
        <v>31</v>
      </c>
      <c r="F50" s="9" t="s">
        <v>26</v>
      </c>
      <c r="G50" s="10" t="s">
        <v>27</v>
      </c>
      <c r="H50" s="11"/>
      <c r="I50" s="13"/>
      <c r="J50" s="13"/>
      <c r="K50" s="13"/>
    </row>
    <row r="51" spans="1:11" ht="12.75" x14ac:dyDescent="0.2">
      <c r="A51" s="53"/>
      <c r="B51" s="9">
        <v>29</v>
      </c>
      <c r="C51" s="9" t="s">
        <v>228</v>
      </c>
      <c r="D51" s="9" t="s">
        <v>24</v>
      </c>
      <c r="E51" s="9" t="s">
        <v>31</v>
      </c>
      <c r="F51" s="9" t="s">
        <v>26</v>
      </c>
      <c r="G51" s="10" t="s">
        <v>27</v>
      </c>
      <c r="H51" s="11"/>
      <c r="I51" s="13"/>
      <c r="J51" s="13"/>
      <c r="K51" s="13"/>
    </row>
    <row r="52" spans="1:11" ht="12.75" x14ac:dyDescent="0.2">
      <c r="A52" s="48" t="s">
        <v>62</v>
      </c>
      <c r="B52" s="9">
        <v>29</v>
      </c>
      <c r="C52" s="9" t="s">
        <v>229</v>
      </c>
      <c r="D52" s="9" t="s">
        <v>24</v>
      </c>
      <c r="E52" s="9" t="s">
        <v>31</v>
      </c>
      <c r="F52" s="9" t="s">
        <v>26</v>
      </c>
      <c r="G52" s="10" t="s">
        <v>27</v>
      </c>
      <c r="H52" s="11"/>
      <c r="I52" s="13"/>
      <c r="J52" s="13"/>
      <c r="K52" s="13"/>
    </row>
    <row r="53" spans="1:11" ht="12.75" x14ac:dyDescent="0.2">
      <c r="A53" s="52"/>
      <c r="B53" s="9">
        <v>29</v>
      </c>
      <c r="C53" s="9" t="s">
        <v>212</v>
      </c>
      <c r="D53" s="9" t="s">
        <v>24</v>
      </c>
      <c r="E53" s="9" t="s">
        <v>31</v>
      </c>
      <c r="F53" s="9" t="s">
        <v>26</v>
      </c>
      <c r="G53" s="10" t="s">
        <v>27</v>
      </c>
      <c r="H53" s="11"/>
      <c r="I53" s="13"/>
      <c r="J53" s="13"/>
      <c r="K53" s="13"/>
    </row>
    <row r="54" spans="1:11" ht="12.75" x14ac:dyDescent="0.2">
      <c r="A54" s="52"/>
      <c r="B54" s="9">
        <v>29</v>
      </c>
      <c r="C54" s="9" t="s">
        <v>230</v>
      </c>
      <c r="D54" s="9" t="s">
        <v>24</v>
      </c>
      <c r="E54" s="9" t="s">
        <v>31</v>
      </c>
      <c r="F54" s="9" t="s">
        <v>26</v>
      </c>
      <c r="G54" s="10" t="s">
        <v>27</v>
      </c>
      <c r="H54" s="11"/>
      <c r="I54" s="13"/>
      <c r="J54" s="13"/>
      <c r="K54" s="13"/>
    </row>
    <row r="55" spans="1:11" ht="12.75" x14ac:dyDescent="0.2">
      <c r="A55" s="53"/>
      <c r="B55" s="9">
        <v>29</v>
      </c>
      <c r="C55" s="9" t="s">
        <v>220</v>
      </c>
      <c r="D55" s="9" t="s">
        <v>24</v>
      </c>
      <c r="E55" s="9" t="s">
        <v>31</v>
      </c>
      <c r="F55" s="9" t="s">
        <v>26</v>
      </c>
      <c r="G55" s="10" t="s">
        <v>27</v>
      </c>
      <c r="H55" s="11"/>
      <c r="I55" s="13"/>
      <c r="J55" s="13"/>
      <c r="K55" s="13"/>
    </row>
    <row r="56" spans="1:11" ht="12.75" x14ac:dyDescent="0.2">
      <c r="A56" s="48" t="s">
        <v>70</v>
      </c>
      <c r="B56" s="9">
        <v>29</v>
      </c>
      <c r="C56" s="9" t="s">
        <v>229</v>
      </c>
      <c r="D56" s="9" t="s">
        <v>24</v>
      </c>
      <c r="E56" s="9" t="s">
        <v>31</v>
      </c>
      <c r="F56" s="9" t="s">
        <v>26</v>
      </c>
      <c r="G56" s="10" t="s">
        <v>27</v>
      </c>
      <c r="H56" s="11"/>
      <c r="I56" s="13"/>
      <c r="J56" s="13"/>
      <c r="K56" s="13"/>
    </row>
    <row r="57" spans="1:11" ht="12.75" x14ac:dyDescent="0.2">
      <c r="A57" s="52"/>
      <c r="B57" s="9">
        <v>29</v>
      </c>
      <c r="C57" s="9" t="s">
        <v>231</v>
      </c>
      <c r="D57" s="9" t="s">
        <v>24</v>
      </c>
      <c r="E57" s="9" t="s">
        <v>31</v>
      </c>
      <c r="F57" s="9" t="s">
        <v>26</v>
      </c>
      <c r="G57" s="10" t="s">
        <v>27</v>
      </c>
      <c r="H57" s="13"/>
      <c r="I57" s="13"/>
      <c r="J57" s="13"/>
      <c r="K57" s="13"/>
    </row>
    <row r="58" spans="1:11" ht="12.75" x14ac:dyDescent="0.2">
      <c r="A58" s="52"/>
      <c r="B58" s="9">
        <v>29</v>
      </c>
      <c r="C58" s="9" t="s">
        <v>153</v>
      </c>
      <c r="D58" s="9" t="s">
        <v>24</v>
      </c>
      <c r="E58" s="9" t="s">
        <v>31</v>
      </c>
      <c r="F58" s="9" t="s">
        <v>26</v>
      </c>
      <c r="G58" s="10" t="s">
        <v>27</v>
      </c>
      <c r="H58" s="13"/>
      <c r="I58" s="13"/>
      <c r="J58" s="13"/>
      <c r="K58" s="13"/>
    </row>
    <row r="59" spans="1:11" ht="12.75" x14ac:dyDescent="0.2">
      <c r="A59" s="52"/>
      <c r="B59" s="9">
        <v>29</v>
      </c>
      <c r="C59" s="9" t="s">
        <v>232</v>
      </c>
      <c r="D59" s="9" t="s">
        <v>24</v>
      </c>
      <c r="E59" s="9" t="s">
        <v>31</v>
      </c>
      <c r="F59" s="9" t="s">
        <v>26</v>
      </c>
      <c r="G59" s="10" t="s">
        <v>27</v>
      </c>
      <c r="H59" s="13"/>
      <c r="I59" s="13"/>
      <c r="J59" s="13"/>
      <c r="K59" s="13"/>
    </row>
    <row r="60" spans="1:11" ht="12.75" x14ac:dyDescent="0.2">
      <c r="A60" s="52"/>
      <c r="B60" s="9">
        <v>29</v>
      </c>
      <c r="C60" s="9" t="s">
        <v>233</v>
      </c>
      <c r="D60" s="9" t="s">
        <v>24</v>
      </c>
      <c r="E60" s="9" t="s">
        <v>31</v>
      </c>
      <c r="F60" s="9" t="s">
        <v>26</v>
      </c>
      <c r="G60" s="10" t="s">
        <v>27</v>
      </c>
      <c r="H60" s="13"/>
      <c r="I60" s="13"/>
      <c r="J60" s="13"/>
      <c r="K60" s="13"/>
    </row>
    <row r="61" spans="1:11" ht="12.75" x14ac:dyDescent="0.2">
      <c r="A61" s="53"/>
      <c r="B61" s="9">
        <v>29</v>
      </c>
      <c r="C61" s="9" t="s">
        <v>234</v>
      </c>
      <c r="D61" s="9" t="s">
        <v>24</v>
      </c>
      <c r="E61" s="9" t="s">
        <v>31</v>
      </c>
      <c r="F61" s="9" t="s">
        <v>26</v>
      </c>
      <c r="G61" s="10" t="s">
        <v>27</v>
      </c>
      <c r="H61" s="13"/>
      <c r="I61" s="13"/>
      <c r="J61" s="13"/>
      <c r="K61" s="13"/>
    </row>
    <row r="62" spans="1:11" ht="12.75" x14ac:dyDescent="0.2">
      <c r="A62" s="48" t="s">
        <v>73</v>
      </c>
      <c r="B62" s="12">
        <v>29</v>
      </c>
      <c r="C62" s="12" t="s">
        <v>235</v>
      </c>
      <c r="D62" s="12" t="s">
        <v>24</v>
      </c>
      <c r="E62" s="12" t="s">
        <v>25</v>
      </c>
      <c r="F62" s="12" t="s">
        <v>26</v>
      </c>
      <c r="G62" s="10" t="s">
        <v>27</v>
      </c>
      <c r="H62" s="13"/>
      <c r="I62" s="13"/>
      <c r="J62" s="13"/>
      <c r="K62" s="13"/>
    </row>
    <row r="63" spans="1:11" ht="12.75" x14ac:dyDescent="0.2">
      <c r="A63" s="52"/>
      <c r="B63" s="12">
        <v>29</v>
      </c>
      <c r="C63" s="12" t="s">
        <v>229</v>
      </c>
      <c r="D63" s="12" t="s">
        <v>24</v>
      </c>
      <c r="E63" s="12" t="s">
        <v>25</v>
      </c>
      <c r="F63" s="12" t="s">
        <v>26</v>
      </c>
      <c r="G63" s="10" t="s">
        <v>27</v>
      </c>
      <c r="H63" s="13"/>
      <c r="I63" s="13"/>
      <c r="J63" s="13"/>
      <c r="K63" s="13"/>
    </row>
    <row r="64" spans="1:11" ht="12.75" x14ac:dyDescent="0.2">
      <c r="A64" s="52"/>
      <c r="B64" s="12">
        <v>29</v>
      </c>
      <c r="C64" s="12" t="s">
        <v>236</v>
      </c>
      <c r="D64" s="12" t="s">
        <v>24</v>
      </c>
      <c r="E64" s="12" t="s">
        <v>25</v>
      </c>
      <c r="F64" s="12" t="s">
        <v>26</v>
      </c>
      <c r="G64" s="10" t="s">
        <v>27</v>
      </c>
      <c r="H64" s="13"/>
      <c r="I64" s="13"/>
      <c r="J64" s="13"/>
      <c r="K64" s="13"/>
    </row>
    <row r="65" spans="1:11" ht="12.75" x14ac:dyDescent="0.2">
      <c r="A65" s="52"/>
      <c r="B65" s="12">
        <v>29</v>
      </c>
      <c r="C65" s="12" t="s">
        <v>153</v>
      </c>
      <c r="D65" s="12" t="s">
        <v>24</v>
      </c>
      <c r="E65" s="12" t="s">
        <v>25</v>
      </c>
      <c r="F65" s="12" t="s">
        <v>26</v>
      </c>
      <c r="G65" s="10" t="s">
        <v>27</v>
      </c>
      <c r="H65" s="13"/>
      <c r="I65" s="13"/>
      <c r="J65" s="13"/>
      <c r="K65" s="13"/>
    </row>
    <row r="66" spans="1:11" ht="12.75" x14ac:dyDescent="0.2">
      <c r="A66" s="53"/>
      <c r="B66" s="12">
        <v>29</v>
      </c>
      <c r="C66" s="12" t="s">
        <v>220</v>
      </c>
      <c r="D66" s="12" t="s">
        <v>24</v>
      </c>
      <c r="E66" s="12" t="s">
        <v>25</v>
      </c>
      <c r="F66" s="12" t="s">
        <v>26</v>
      </c>
      <c r="G66" s="10" t="s">
        <v>27</v>
      </c>
      <c r="H66" s="13"/>
      <c r="I66" s="13"/>
      <c r="J66" s="13"/>
      <c r="K66" s="13"/>
    </row>
    <row r="67" spans="1:11" ht="12.75" x14ac:dyDescent="0.2">
      <c r="A67" s="48" t="s">
        <v>77</v>
      </c>
      <c r="B67" s="9">
        <v>29</v>
      </c>
      <c r="C67" s="9" t="s">
        <v>237</v>
      </c>
      <c r="D67" s="9" t="s">
        <v>24</v>
      </c>
      <c r="E67" s="9" t="s">
        <v>31</v>
      </c>
      <c r="F67" s="9" t="s">
        <v>26</v>
      </c>
      <c r="G67" s="10" t="s">
        <v>27</v>
      </c>
      <c r="H67" s="13"/>
      <c r="I67" s="13"/>
      <c r="J67" s="13"/>
      <c r="K67" s="13"/>
    </row>
    <row r="68" spans="1:11" ht="12.75" x14ac:dyDescent="0.2">
      <c r="A68" s="52"/>
      <c r="B68" s="9">
        <v>29</v>
      </c>
      <c r="C68" s="9" t="s">
        <v>236</v>
      </c>
      <c r="D68" s="9" t="s">
        <v>24</v>
      </c>
      <c r="E68" s="9" t="s">
        <v>31</v>
      </c>
      <c r="F68" s="9" t="s">
        <v>26</v>
      </c>
      <c r="G68" s="10" t="s">
        <v>27</v>
      </c>
      <c r="H68" s="13"/>
      <c r="I68" s="13"/>
      <c r="J68" s="13"/>
      <c r="K68" s="13"/>
    </row>
    <row r="69" spans="1:11" ht="12.75" x14ac:dyDescent="0.2">
      <c r="A69" s="52"/>
      <c r="B69" s="9">
        <v>29</v>
      </c>
      <c r="C69" s="9" t="s">
        <v>238</v>
      </c>
      <c r="D69" s="9" t="s">
        <v>24</v>
      </c>
      <c r="E69" s="9" t="s">
        <v>31</v>
      </c>
      <c r="F69" s="9" t="s">
        <v>26</v>
      </c>
      <c r="G69" s="10" t="s">
        <v>27</v>
      </c>
      <c r="H69" s="13"/>
      <c r="I69" s="13"/>
      <c r="J69" s="13"/>
      <c r="K69" s="13"/>
    </row>
    <row r="70" spans="1:11" ht="12.75" x14ac:dyDescent="0.2">
      <c r="A70" s="52"/>
      <c r="B70" s="9">
        <v>29</v>
      </c>
      <c r="C70" s="9" t="s">
        <v>153</v>
      </c>
      <c r="D70" s="9" t="s">
        <v>24</v>
      </c>
      <c r="E70" s="9" t="s">
        <v>31</v>
      </c>
      <c r="F70" s="9" t="s">
        <v>26</v>
      </c>
      <c r="G70" s="10" t="s">
        <v>27</v>
      </c>
      <c r="H70" s="13"/>
      <c r="I70" s="13"/>
      <c r="J70" s="13"/>
      <c r="K70" s="13"/>
    </row>
    <row r="71" spans="1:11" ht="12.75" x14ac:dyDescent="0.2">
      <c r="A71" s="52"/>
      <c r="B71" s="9">
        <v>29</v>
      </c>
      <c r="C71" s="9" t="s">
        <v>239</v>
      </c>
      <c r="D71" s="9" t="s">
        <v>24</v>
      </c>
      <c r="E71" s="9" t="s">
        <v>31</v>
      </c>
      <c r="F71" s="9" t="s">
        <v>26</v>
      </c>
      <c r="G71" s="10" t="s">
        <v>27</v>
      </c>
      <c r="H71" s="13"/>
      <c r="I71" s="13"/>
      <c r="J71" s="13"/>
      <c r="K71" s="13"/>
    </row>
    <row r="72" spans="1:11" ht="12.75" x14ac:dyDescent="0.2">
      <c r="A72" s="52"/>
      <c r="B72" s="9">
        <v>29</v>
      </c>
      <c r="C72" s="9" t="s">
        <v>240</v>
      </c>
      <c r="D72" s="9" t="s">
        <v>24</v>
      </c>
      <c r="E72" s="9" t="s">
        <v>31</v>
      </c>
      <c r="F72" s="9" t="s">
        <v>26</v>
      </c>
      <c r="G72" s="10" t="s">
        <v>27</v>
      </c>
      <c r="H72" s="13"/>
      <c r="I72" s="13"/>
      <c r="J72" s="13"/>
      <c r="K72" s="13"/>
    </row>
    <row r="73" spans="1:11" ht="12.75" x14ac:dyDescent="0.2">
      <c r="A73" s="53"/>
      <c r="B73" s="9">
        <v>29</v>
      </c>
      <c r="C73" s="9" t="s">
        <v>220</v>
      </c>
      <c r="D73" s="9" t="s">
        <v>24</v>
      </c>
      <c r="E73" s="9" t="s">
        <v>31</v>
      </c>
      <c r="F73" s="9" t="s">
        <v>26</v>
      </c>
      <c r="G73" s="10" t="s">
        <v>27</v>
      </c>
      <c r="H73" s="13"/>
      <c r="I73" s="13"/>
      <c r="J73" s="13"/>
      <c r="K73" s="13"/>
    </row>
    <row r="74" spans="1:11" ht="12.75" x14ac:dyDescent="0.2">
      <c r="A74" s="48" t="s">
        <v>79</v>
      </c>
      <c r="B74" s="9">
        <v>29</v>
      </c>
      <c r="C74" s="9" t="s">
        <v>241</v>
      </c>
      <c r="D74" s="9" t="s">
        <v>24</v>
      </c>
      <c r="E74" s="9" t="s">
        <v>31</v>
      </c>
      <c r="F74" s="9" t="s">
        <v>26</v>
      </c>
      <c r="G74" s="10" t="s">
        <v>27</v>
      </c>
      <c r="H74" s="13"/>
      <c r="I74" s="13"/>
      <c r="J74" s="13"/>
      <c r="K74" s="13"/>
    </row>
    <row r="75" spans="1:11" ht="12.75" x14ac:dyDescent="0.2">
      <c r="A75" s="52"/>
      <c r="B75" s="9">
        <v>29</v>
      </c>
      <c r="C75" s="9" t="s">
        <v>242</v>
      </c>
      <c r="D75" s="9" t="s">
        <v>24</v>
      </c>
      <c r="E75" s="9" t="s">
        <v>31</v>
      </c>
      <c r="F75" s="9" t="s">
        <v>26</v>
      </c>
      <c r="G75" s="10" t="s">
        <v>27</v>
      </c>
      <c r="H75" s="13"/>
      <c r="I75" s="13"/>
      <c r="J75" s="13"/>
      <c r="K75" s="13"/>
    </row>
    <row r="76" spans="1:11" ht="12.75" x14ac:dyDescent="0.2">
      <c r="A76" s="52"/>
      <c r="B76" s="9">
        <v>29</v>
      </c>
      <c r="C76" s="9" t="s">
        <v>243</v>
      </c>
      <c r="D76" s="9" t="s">
        <v>24</v>
      </c>
      <c r="E76" s="9" t="s">
        <v>31</v>
      </c>
      <c r="F76" s="9" t="s">
        <v>26</v>
      </c>
      <c r="G76" s="10" t="s">
        <v>27</v>
      </c>
      <c r="H76" s="13"/>
      <c r="I76" s="13"/>
      <c r="J76" s="13"/>
      <c r="K76" s="13"/>
    </row>
    <row r="77" spans="1:11" ht="12.75" x14ac:dyDescent="0.2">
      <c r="A77" s="52"/>
      <c r="B77" s="9">
        <v>29</v>
      </c>
      <c r="C77" s="9" t="s">
        <v>244</v>
      </c>
      <c r="D77" s="9" t="s">
        <v>24</v>
      </c>
      <c r="E77" s="9" t="s">
        <v>31</v>
      </c>
      <c r="F77" s="9" t="s">
        <v>26</v>
      </c>
      <c r="G77" s="10" t="s">
        <v>27</v>
      </c>
      <c r="H77" s="13"/>
      <c r="I77" s="13"/>
      <c r="J77" s="13"/>
      <c r="K77" s="13"/>
    </row>
    <row r="78" spans="1:11" ht="12.75" x14ac:dyDescent="0.2">
      <c r="A78" s="52"/>
      <c r="B78" s="9">
        <v>29</v>
      </c>
      <c r="C78" s="9" t="s">
        <v>245</v>
      </c>
      <c r="D78" s="9" t="s">
        <v>24</v>
      </c>
      <c r="E78" s="9" t="s">
        <v>31</v>
      </c>
      <c r="F78" s="9" t="s">
        <v>26</v>
      </c>
      <c r="G78" s="10" t="s">
        <v>27</v>
      </c>
      <c r="H78" s="13"/>
      <c r="I78" s="13"/>
      <c r="J78" s="13"/>
      <c r="K78" s="13"/>
    </row>
    <row r="79" spans="1:11" ht="12.75" x14ac:dyDescent="0.2">
      <c r="A79" s="53"/>
      <c r="B79" s="9">
        <v>29</v>
      </c>
      <c r="C79" s="9" t="s">
        <v>246</v>
      </c>
      <c r="D79" s="9" t="s">
        <v>24</v>
      </c>
      <c r="E79" s="9" t="s">
        <v>31</v>
      </c>
      <c r="F79" s="9" t="s">
        <v>26</v>
      </c>
      <c r="G79" s="10" t="s">
        <v>27</v>
      </c>
      <c r="H79" s="13"/>
      <c r="I79" s="13"/>
      <c r="J79" s="13"/>
      <c r="K79" s="13"/>
    </row>
    <row r="80" spans="1:11" ht="12.75" x14ac:dyDescent="0.2">
      <c r="A80" s="48" t="s">
        <v>83</v>
      </c>
      <c r="B80" s="12">
        <v>29</v>
      </c>
      <c r="C80" s="12" t="s">
        <v>241</v>
      </c>
      <c r="D80" s="12" t="s">
        <v>24</v>
      </c>
      <c r="E80" s="12" t="s">
        <v>25</v>
      </c>
      <c r="F80" s="12" t="s">
        <v>26</v>
      </c>
      <c r="G80" s="10" t="s">
        <v>27</v>
      </c>
      <c r="H80" s="13"/>
      <c r="I80" s="13"/>
      <c r="J80" s="13"/>
      <c r="K80" s="13"/>
    </row>
    <row r="81" spans="1:11" ht="12.75" x14ac:dyDescent="0.2">
      <c r="A81" s="52"/>
      <c r="B81" s="12">
        <v>29</v>
      </c>
      <c r="C81" s="12" t="s">
        <v>153</v>
      </c>
      <c r="D81" s="12" t="s">
        <v>24</v>
      </c>
      <c r="E81" s="12" t="s">
        <v>25</v>
      </c>
      <c r="F81" s="12" t="s">
        <v>26</v>
      </c>
      <c r="G81" s="10" t="s">
        <v>27</v>
      </c>
      <c r="H81" s="13"/>
      <c r="I81" s="13"/>
      <c r="J81" s="13"/>
      <c r="K81" s="13"/>
    </row>
    <row r="82" spans="1:11" ht="12.75" x14ac:dyDescent="0.2">
      <c r="A82" s="52"/>
      <c r="B82" s="12">
        <v>29</v>
      </c>
      <c r="C82" s="12" t="s">
        <v>247</v>
      </c>
      <c r="D82" s="12" t="s">
        <v>24</v>
      </c>
      <c r="E82" s="12" t="s">
        <v>25</v>
      </c>
      <c r="F82" s="12" t="s">
        <v>26</v>
      </c>
      <c r="G82" s="10" t="s">
        <v>27</v>
      </c>
      <c r="H82" s="13"/>
      <c r="I82" s="13"/>
      <c r="J82" s="13"/>
      <c r="K82" s="13"/>
    </row>
    <row r="83" spans="1:11" ht="12.75" x14ac:dyDescent="0.2">
      <c r="A83" s="52"/>
      <c r="B83" s="12">
        <v>29</v>
      </c>
      <c r="C83" s="12" t="s">
        <v>247</v>
      </c>
      <c r="D83" s="12" t="s">
        <v>24</v>
      </c>
      <c r="E83" s="12" t="s">
        <v>25</v>
      </c>
      <c r="F83" s="12" t="s">
        <v>26</v>
      </c>
      <c r="G83" s="10" t="s">
        <v>27</v>
      </c>
      <c r="H83" s="13"/>
      <c r="I83" s="13"/>
      <c r="J83" s="13"/>
      <c r="K83" s="13"/>
    </row>
    <row r="84" spans="1:11" ht="12.75" x14ac:dyDescent="0.2">
      <c r="A84" s="52"/>
      <c r="B84" s="12">
        <v>29</v>
      </c>
      <c r="C84" s="12" t="s">
        <v>248</v>
      </c>
      <c r="D84" s="12" t="s">
        <v>24</v>
      </c>
      <c r="E84" s="12" t="s">
        <v>25</v>
      </c>
      <c r="F84" s="12" t="s">
        <v>26</v>
      </c>
      <c r="G84" s="10" t="s">
        <v>27</v>
      </c>
      <c r="H84" s="13"/>
      <c r="I84" s="13"/>
      <c r="J84" s="13"/>
      <c r="K84" s="13"/>
    </row>
    <row r="85" spans="1:11" ht="12.75" x14ac:dyDescent="0.2">
      <c r="A85" s="52"/>
      <c r="B85" s="12">
        <v>29</v>
      </c>
      <c r="C85" s="12" t="s">
        <v>248</v>
      </c>
      <c r="D85" s="12" t="s">
        <v>24</v>
      </c>
      <c r="E85" s="12" t="s">
        <v>25</v>
      </c>
      <c r="F85" s="12" t="s">
        <v>26</v>
      </c>
      <c r="G85" s="10" t="s">
        <v>27</v>
      </c>
      <c r="H85" s="13"/>
      <c r="I85" s="13"/>
      <c r="J85" s="13"/>
      <c r="K85" s="13"/>
    </row>
    <row r="86" spans="1:11" ht="12.75" x14ac:dyDescent="0.2">
      <c r="A86" s="53"/>
      <c r="B86" s="12">
        <v>29</v>
      </c>
      <c r="C86" s="12" t="s">
        <v>220</v>
      </c>
      <c r="D86" s="12" t="s">
        <v>24</v>
      </c>
      <c r="E86" s="12" t="s">
        <v>25</v>
      </c>
      <c r="F86" s="12" t="s">
        <v>26</v>
      </c>
      <c r="G86" s="10" t="s">
        <v>27</v>
      </c>
      <c r="H86" s="13"/>
      <c r="I86" s="13"/>
      <c r="J86" s="13"/>
      <c r="K86" s="13"/>
    </row>
    <row r="87" spans="1:11" ht="12.75" x14ac:dyDescent="0.2">
      <c r="A87" s="48" t="s">
        <v>85</v>
      </c>
      <c r="B87" s="9">
        <v>29</v>
      </c>
      <c r="C87" s="9" t="s">
        <v>249</v>
      </c>
      <c r="D87" s="9" t="s">
        <v>24</v>
      </c>
      <c r="E87" s="9" t="s">
        <v>31</v>
      </c>
      <c r="F87" s="9" t="s">
        <v>26</v>
      </c>
      <c r="G87" s="10" t="s">
        <v>27</v>
      </c>
      <c r="H87" s="13"/>
      <c r="I87" s="13"/>
      <c r="J87" s="13"/>
      <c r="K87" s="13"/>
    </row>
    <row r="88" spans="1:11" ht="12.75" x14ac:dyDescent="0.2">
      <c r="A88" s="52"/>
      <c r="B88" s="9">
        <v>29</v>
      </c>
      <c r="C88" s="9" t="s">
        <v>250</v>
      </c>
      <c r="D88" s="9" t="s">
        <v>24</v>
      </c>
      <c r="E88" s="9" t="s">
        <v>31</v>
      </c>
      <c r="F88" s="9" t="s">
        <v>26</v>
      </c>
      <c r="G88" s="10" t="s">
        <v>27</v>
      </c>
      <c r="H88" s="13"/>
      <c r="I88" s="13"/>
      <c r="J88" s="13"/>
      <c r="K88" s="13"/>
    </row>
    <row r="89" spans="1:11" ht="12.75" x14ac:dyDescent="0.2">
      <c r="A89" s="52"/>
      <c r="B89" s="9">
        <v>29</v>
      </c>
      <c r="C89" s="9" t="s">
        <v>251</v>
      </c>
      <c r="D89" s="9" t="s">
        <v>24</v>
      </c>
      <c r="E89" s="9" t="s">
        <v>31</v>
      </c>
      <c r="F89" s="9" t="s">
        <v>26</v>
      </c>
      <c r="G89" s="10" t="s">
        <v>27</v>
      </c>
      <c r="H89" s="13"/>
      <c r="I89" s="13"/>
      <c r="J89" s="13"/>
      <c r="K89" s="13"/>
    </row>
    <row r="90" spans="1:11" ht="12.75" x14ac:dyDescent="0.2">
      <c r="A90" s="52"/>
      <c r="B90" s="9">
        <v>29</v>
      </c>
      <c r="C90" s="9" t="s">
        <v>252</v>
      </c>
      <c r="D90" s="9" t="s">
        <v>24</v>
      </c>
      <c r="E90" s="9" t="s">
        <v>31</v>
      </c>
      <c r="F90" s="9" t="s">
        <v>26</v>
      </c>
      <c r="G90" s="10" t="s">
        <v>27</v>
      </c>
      <c r="H90" s="13"/>
      <c r="I90" s="13"/>
      <c r="J90" s="13"/>
      <c r="K90" s="13"/>
    </row>
    <row r="91" spans="1:11" ht="12.75" x14ac:dyDescent="0.2">
      <c r="A91" s="52"/>
      <c r="B91" s="9">
        <v>29</v>
      </c>
      <c r="C91" s="9" t="s">
        <v>253</v>
      </c>
      <c r="D91" s="9" t="s">
        <v>24</v>
      </c>
      <c r="E91" s="9" t="s">
        <v>31</v>
      </c>
      <c r="F91" s="9" t="s">
        <v>26</v>
      </c>
      <c r="G91" s="10" t="s">
        <v>27</v>
      </c>
      <c r="H91" s="13"/>
      <c r="I91" s="13"/>
      <c r="J91" s="13"/>
      <c r="K91" s="13"/>
    </row>
    <row r="92" spans="1:11" ht="12.75" x14ac:dyDescent="0.2">
      <c r="A92" s="53"/>
      <c r="B92" s="9">
        <v>29</v>
      </c>
      <c r="C92" s="9" t="s">
        <v>254</v>
      </c>
      <c r="D92" s="9" t="s">
        <v>24</v>
      </c>
      <c r="E92" s="9" t="s">
        <v>31</v>
      </c>
      <c r="F92" s="9" t="s">
        <v>26</v>
      </c>
      <c r="G92" s="10" t="s">
        <v>27</v>
      </c>
      <c r="H92" s="13"/>
      <c r="I92" s="13"/>
      <c r="J92" s="13"/>
      <c r="K92" s="13"/>
    </row>
    <row r="93" spans="1:11" ht="12.75" x14ac:dyDescent="0.2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</row>
    <row r="94" spans="1:11" ht="12.75" x14ac:dyDescent="0.2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</row>
    <row r="95" spans="1:11" ht="12.75" x14ac:dyDescent="0.2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</row>
    <row r="96" spans="1:11" ht="12.75" x14ac:dyDescent="0.2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</row>
    <row r="97" spans="1:11" ht="12.75" x14ac:dyDescent="0.2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</row>
    <row r="98" spans="1:11" ht="12.75" x14ac:dyDescent="0.2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</row>
    <row r="99" spans="1:11" ht="12.75" x14ac:dyDescent="0.2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</row>
    <row r="100" spans="1:11" ht="12.75" x14ac:dyDescent="0.2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</row>
    <row r="101" spans="1:11" ht="12.75" x14ac:dyDescent="0.2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</row>
    <row r="102" spans="1:11" ht="12.75" x14ac:dyDescent="0.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</row>
    <row r="103" spans="1:11" ht="12.75" x14ac:dyDescent="0.2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</row>
    <row r="104" spans="1:11" ht="12.75" x14ac:dyDescent="0.2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</row>
  </sheetData>
  <mergeCells count="18">
    <mergeCell ref="A87:A92"/>
    <mergeCell ref="A40:A41"/>
    <mergeCell ref="A42:A46"/>
    <mergeCell ref="A47:A49"/>
    <mergeCell ref="A50:A51"/>
    <mergeCell ref="A52:A55"/>
    <mergeCell ref="A56:A61"/>
    <mergeCell ref="A62:A66"/>
    <mergeCell ref="A30:A37"/>
    <mergeCell ref="A38:A39"/>
    <mergeCell ref="A67:A73"/>
    <mergeCell ref="A74:A79"/>
    <mergeCell ref="A80:A86"/>
    <mergeCell ref="A1:G1"/>
    <mergeCell ref="A9:A10"/>
    <mergeCell ref="A11:A17"/>
    <mergeCell ref="A18:A24"/>
    <mergeCell ref="A25:A29"/>
  </mergeCells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N118"/>
  <sheetViews>
    <sheetView workbookViewId="0"/>
  </sheetViews>
  <sheetFormatPr defaultColWidth="12.5703125" defaultRowHeight="15.75" customHeight="1" x14ac:dyDescent="0.2"/>
  <cols>
    <col min="1" max="7" width="18.85546875" customWidth="1"/>
    <col min="8" max="8" width="20.42578125" customWidth="1"/>
  </cols>
  <sheetData>
    <row r="1" spans="1:14" ht="15.75" customHeight="1" x14ac:dyDescent="0.25">
      <c r="A1" s="54" t="s">
        <v>0</v>
      </c>
      <c r="B1" s="55"/>
      <c r="C1" s="55"/>
      <c r="D1" s="55"/>
      <c r="E1" s="55"/>
      <c r="F1" s="55"/>
      <c r="G1" s="56"/>
    </row>
    <row r="2" spans="1:14" x14ac:dyDescent="0.2">
      <c r="A2" s="1"/>
      <c r="B2" s="2"/>
      <c r="C2" s="2"/>
      <c r="D2" s="2"/>
      <c r="E2" s="2"/>
      <c r="F2" s="2"/>
      <c r="G2" s="2"/>
    </row>
    <row r="3" spans="1:14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14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14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14" x14ac:dyDescent="0.2">
      <c r="A6" s="1"/>
      <c r="B6" s="2"/>
      <c r="C6" s="2"/>
      <c r="D6" s="2"/>
      <c r="E6" s="2"/>
      <c r="F6" s="2"/>
      <c r="G6" s="2"/>
    </row>
    <row r="7" spans="1:14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14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14" x14ac:dyDescent="0.2">
      <c r="A9" s="9" t="s">
        <v>20</v>
      </c>
      <c r="B9" s="9">
        <v>30</v>
      </c>
      <c r="C9" s="9" t="s">
        <v>255</v>
      </c>
      <c r="D9" s="9" t="s">
        <v>24</v>
      </c>
      <c r="E9" s="9" t="s">
        <v>256</v>
      </c>
      <c r="F9" s="9" t="s">
        <v>87</v>
      </c>
      <c r="G9" s="9" t="s">
        <v>27</v>
      </c>
      <c r="H9" s="14"/>
      <c r="I9" s="15"/>
      <c r="J9" s="16"/>
      <c r="K9" s="17"/>
      <c r="L9" s="13"/>
      <c r="M9" s="13"/>
      <c r="N9" s="13"/>
    </row>
    <row r="10" spans="1:14" x14ac:dyDescent="0.2">
      <c r="A10" s="48" t="s">
        <v>22</v>
      </c>
      <c r="B10" s="9">
        <v>30</v>
      </c>
      <c r="C10" s="9" t="s">
        <v>257</v>
      </c>
      <c r="D10" s="9" t="s">
        <v>24</v>
      </c>
      <c r="E10" s="9" t="s">
        <v>25</v>
      </c>
      <c r="F10" s="9" t="s">
        <v>26</v>
      </c>
      <c r="G10" s="9" t="s">
        <v>27</v>
      </c>
      <c r="H10" s="18"/>
      <c r="I10" s="19"/>
      <c r="J10" s="20"/>
      <c r="K10" s="21"/>
      <c r="L10" s="13"/>
      <c r="M10" s="13"/>
      <c r="N10" s="13"/>
    </row>
    <row r="11" spans="1:14" x14ac:dyDescent="0.2">
      <c r="A11" s="52"/>
      <c r="B11" s="9">
        <v>30</v>
      </c>
      <c r="C11" s="9" t="s">
        <v>258</v>
      </c>
      <c r="D11" s="9" t="s">
        <v>24</v>
      </c>
      <c r="E11" s="9" t="s">
        <v>25</v>
      </c>
      <c r="F11" s="9" t="s">
        <v>26</v>
      </c>
      <c r="G11" s="9" t="s">
        <v>27</v>
      </c>
      <c r="H11" s="14"/>
      <c r="I11" s="15"/>
      <c r="J11" s="16"/>
      <c r="K11" s="17"/>
      <c r="L11" s="13"/>
      <c r="M11" s="13"/>
      <c r="N11" s="13"/>
    </row>
    <row r="12" spans="1:14" x14ac:dyDescent="0.2">
      <c r="A12" s="52"/>
      <c r="B12" s="9">
        <v>30</v>
      </c>
      <c r="C12" s="9" t="s">
        <v>259</v>
      </c>
      <c r="D12" s="9" t="s">
        <v>24</v>
      </c>
      <c r="E12" s="9" t="s">
        <v>25</v>
      </c>
      <c r="F12" s="9" t="s">
        <v>26</v>
      </c>
      <c r="G12" s="9" t="s">
        <v>27</v>
      </c>
      <c r="H12" s="18"/>
      <c r="I12" s="19"/>
      <c r="J12" s="20"/>
      <c r="K12" s="21"/>
      <c r="L12" s="13"/>
      <c r="M12" s="13"/>
      <c r="N12" s="13"/>
    </row>
    <row r="13" spans="1:14" x14ac:dyDescent="0.2">
      <c r="A13" s="52"/>
      <c r="B13" s="9">
        <v>30</v>
      </c>
      <c r="C13" s="9" t="s">
        <v>260</v>
      </c>
      <c r="D13" s="9" t="s">
        <v>24</v>
      </c>
      <c r="E13" s="9" t="s">
        <v>25</v>
      </c>
      <c r="F13" s="9" t="s">
        <v>26</v>
      </c>
      <c r="G13" s="9" t="s">
        <v>27</v>
      </c>
      <c r="H13" s="14"/>
      <c r="I13" s="15"/>
      <c r="J13" s="16"/>
      <c r="K13" s="17"/>
      <c r="L13" s="13"/>
      <c r="M13" s="13"/>
      <c r="N13" s="13"/>
    </row>
    <row r="14" spans="1:14" x14ac:dyDescent="0.2">
      <c r="A14" s="53"/>
      <c r="B14" s="9">
        <v>30</v>
      </c>
      <c r="C14" s="9" t="s">
        <v>261</v>
      </c>
      <c r="D14" s="9" t="s">
        <v>24</v>
      </c>
      <c r="E14" s="9" t="s">
        <v>25</v>
      </c>
      <c r="F14" s="9" t="s">
        <v>26</v>
      </c>
      <c r="G14" s="9" t="s">
        <v>27</v>
      </c>
      <c r="H14" s="18"/>
      <c r="I14" s="19"/>
      <c r="J14" s="20"/>
      <c r="K14" s="21"/>
      <c r="L14" s="13"/>
      <c r="M14" s="13"/>
      <c r="N14" s="13"/>
    </row>
    <row r="15" spans="1:14" x14ac:dyDescent="0.2">
      <c r="A15" s="48" t="s">
        <v>28</v>
      </c>
      <c r="B15" s="9">
        <v>30</v>
      </c>
      <c r="C15" s="9" t="s">
        <v>262</v>
      </c>
      <c r="D15" s="9" t="s">
        <v>24</v>
      </c>
      <c r="E15" s="9" t="s">
        <v>31</v>
      </c>
      <c r="F15" s="9" t="s">
        <v>26</v>
      </c>
      <c r="G15" s="9" t="s">
        <v>27</v>
      </c>
      <c r="H15" s="14"/>
      <c r="I15" s="15"/>
      <c r="J15" s="16"/>
      <c r="K15" s="17"/>
      <c r="L15" s="13"/>
      <c r="M15" s="13"/>
      <c r="N15" s="13"/>
    </row>
    <row r="16" spans="1:14" x14ac:dyDescent="0.2">
      <c r="A16" s="52"/>
      <c r="B16" s="9">
        <v>30</v>
      </c>
      <c r="C16" s="9" t="s">
        <v>263</v>
      </c>
      <c r="D16" s="9" t="s">
        <v>24</v>
      </c>
      <c r="E16" s="9" t="s">
        <v>31</v>
      </c>
      <c r="F16" s="9" t="s">
        <v>26</v>
      </c>
      <c r="G16" s="9" t="s">
        <v>27</v>
      </c>
      <c r="H16" s="18"/>
      <c r="I16" s="19"/>
      <c r="J16" s="20"/>
      <c r="K16" s="21"/>
      <c r="L16" s="13"/>
      <c r="M16" s="13"/>
      <c r="N16" s="13"/>
    </row>
    <row r="17" spans="1:14" x14ac:dyDescent="0.2">
      <c r="A17" s="50"/>
      <c r="B17" s="9">
        <v>30</v>
      </c>
      <c r="C17" s="9" t="s">
        <v>264</v>
      </c>
      <c r="D17" s="9" t="s">
        <v>24</v>
      </c>
      <c r="E17" s="9" t="s">
        <v>31</v>
      </c>
      <c r="F17" s="9" t="s">
        <v>26</v>
      </c>
      <c r="G17" s="9" t="s">
        <v>27</v>
      </c>
      <c r="H17" s="14"/>
      <c r="I17" s="15"/>
      <c r="J17" s="16"/>
      <c r="K17" s="17"/>
      <c r="L17" s="13"/>
      <c r="M17" s="13"/>
      <c r="N17" s="13"/>
    </row>
    <row r="18" spans="1:14" x14ac:dyDescent="0.2">
      <c r="A18" s="51"/>
      <c r="B18" s="9">
        <v>30</v>
      </c>
      <c r="C18" s="9" t="s">
        <v>239</v>
      </c>
      <c r="D18" s="9" t="s">
        <v>24</v>
      </c>
      <c r="E18" s="9" t="s">
        <v>31</v>
      </c>
      <c r="F18" s="9" t="s">
        <v>26</v>
      </c>
      <c r="G18" s="9" t="s">
        <v>27</v>
      </c>
      <c r="H18" s="18"/>
      <c r="I18" s="19"/>
      <c r="J18" s="20"/>
      <c r="K18" s="21"/>
      <c r="L18" s="13"/>
      <c r="M18" s="13"/>
      <c r="N18" s="13"/>
    </row>
    <row r="19" spans="1:14" x14ac:dyDescent="0.2">
      <c r="A19" s="50"/>
      <c r="B19" s="9">
        <v>30</v>
      </c>
      <c r="C19" s="9" t="s">
        <v>265</v>
      </c>
      <c r="D19" s="9" t="s">
        <v>24</v>
      </c>
      <c r="E19" s="9" t="s">
        <v>31</v>
      </c>
      <c r="F19" s="9" t="s">
        <v>26</v>
      </c>
      <c r="G19" s="9" t="s">
        <v>27</v>
      </c>
      <c r="H19" s="14"/>
      <c r="I19" s="15"/>
      <c r="J19" s="16"/>
      <c r="K19" s="17"/>
      <c r="L19" s="13"/>
      <c r="M19" s="13"/>
      <c r="N19" s="13"/>
    </row>
    <row r="20" spans="1:14" x14ac:dyDescent="0.2">
      <c r="A20" s="51"/>
      <c r="B20" s="9">
        <v>30</v>
      </c>
      <c r="C20" s="9" t="s">
        <v>266</v>
      </c>
      <c r="D20" s="9" t="s">
        <v>24</v>
      </c>
      <c r="E20" s="9" t="s">
        <v>31</v>
      </c>
      <c r="F20" s="9" t="s">
        <v>26</v>
      </c>
      <c r="G20" s="9" t="s">
        <v>27</v>
      </c>
      <c r="H20" s="18"/>
      <c r="I20" s="19"/>
      <c r="J20" s="20"/>
      <c r="K20" s="21"/>
      <c r="L20" s="13"/>
      <c r="M20" s="13"/>
      <c r="N20" s="13"/>
    </row>
    <row r="21" spans="1:14" x14ac:dyDescent="0.2">
      <c r="A21" s="50"/>
      <c r="B21" s="9">
        <v>30</v>
      </c>
      <c r="C21" s="9" t="s">
        <v>267</v>
      </c>
      <c r="D21" s="9" t="s">
        <v>30</v>
      </c>
      <c r="E21" s="9" t="s">
        <v>31</v>
      </c>
      <c r="F21" s="9" t="s">
        <v>26</v>
      </c>
      <c r="G21" s="9" t="s">
        <v>27</v>
      </c>
      <c r="H21" s="14"/>
      <c r="I21" s="15"/>
      <c r="J21" s="16"/>
      <c r="K21" s="17"/>
      <c r="L21" s="13"/>
      <c r="M21" s="13"/>
      <c r="N21" s="13"/>
    </row>
    <row r="22" spans="1:14" x14ac:dyDescent="0.2">
      <c r="A22" s="51"/>
      <c r="B22" s="9">
        <v>30</v>
      </c>
      <c r="C22" s="9" t="s">
        <v>268</v>
      </c>
      <c r="D22" s="9" t="s">
        <v>24</v>
      </c>
      <c r="E22" s="9" t="s">
        <v>31</v>
      </c>
      <c r="F22" s="9" t="s">
        <v>26</v>
      </c>
      <c r="G22" s="9" t="s">
        <v>27</v>
      </c>
      <c r="H22" s="18"/>
      <c r="I22" s="19"/>
      <c r="J22" s="20"/>
      <c r="K22" s="21"/>
      <c r="L22" s="13"/>
      <c r="M22" s="13"/>
      <c r="N22" s="13"/>
    </row>
    <row r="23" spans="1:14" x14ac:dyDescent="0.2">
      <c r="A23" s="50"/>
      <c r="B23" s="9">
        <v>30</v>
      </c>
      <c r="C23" s="9" t="s">
        <v>269</v>
      </c>
      <c r="D23" s="9" t="s">
        <v>24</v>
      </c>
      <c r="E23" s="9" t="s">
        <v>31</v>
      </c>
      <c r="F23" s="9" t="s">
        <v>26</v>
      </c>
      <c r="G23" s="9" t="s">
        <v>27</v>
      </c>
      <c r="H23" s="14"/>
      <c r="I23" s="15"/>
      <c r="J23" s="16"/>
      <c r="K23" s="17"/>
      <c r="L23" s="13"/>
      <c r="M23" s="13"/>
      <c r="N23" s="13"/>
    </row>
    <row r="24" spans="1:14" x14ac:dyDescent="0.2">
      <c r="A24" s="57"/>
      <c r="B24" s="9">
        <v>30</v>
      </c>
      <c r="C24" s="9" t="s">
        <v>270</v>
      </c>
      <c r="D24" s="9" t="s">
        <v>24</v>
      </c>
      <c r="E24" s="9" t="s">
        <v>31</v>
      </c>
      <c r="F24" s="9" t="s">
        <v>26</v>
      </c>
      <c r="G24" s="9" t="s">
        <v>27</v>
      </c>
      <c r="H24" s="18"/>
      <c r="I24" s="19"/>
      <c r="J24" s="16"/>
      <c r="K24" s="21"/>
      <c r="L24" s="13"/>
      <c r="M24" s="13"/>
      <c r="N24" s="13"/>
    </row>
    <row r="25" spans="1:14" x14ac:dyDescent="0.2">
      <c r="A25" s="48" t="s">
        <v>33</v>
      </c>
      <c r="B25" s="9">
        <v>30</v>
      </c>
      <c r="C25" s="9" t="s">
        <v>271</v>
      </c>
      <c r="D25" s="9" t="s">
        <v>24</v>
      </c>
      <c r="E25" s="9" t="s">
        <v>31</v>
      </c>
      <c r="F25" s="9" t="s">
        <v>26</v>
      </c>
      <c r="G25" s="9" t="s">
        <v>27</v>
      </c>
      <c r="H25" s="14"/>
      <c r="I25" s="15"/>
      <c r="J25" s="16"/>
      <c r="K25" s="17"/>
      <c r="L25" s="13"/>
      <c r="M25" s="13"/>
      <c r="N25" s="13"/>
    </row>
    <row r="26" spans="1:14" x14ac:dyDescent="0.2">
      <c r="A26" s="51"/>
      <c r="B26" s="9">
        <v>30</v>
      </c>
      <c r="C26" s="9" t="s">
        <v>272</v>
      </c>
      <c r="D26" s="9" t="s">
        <v>24</v>
      </c>
      <c r="E26" s="9" t="s">
        <v>31</v>
      </c>
      <c r="F26" s="9" t="s">
        <v>26</v>
      </c>
      <c r="G26" s="9" t="s">
        <v>27</v>
      </c>
      <c r="H26" s="18"/>
      <c r="I26" s="19"/>
      <c r="J26" s="16"/>
      <c r="K26" s="21"/>
      <c r="L26" s="13"/>
      <c r="M26" s="13"/>
      <c r="N26" s="13"/>
    </row>
    <row r="27" spans="1:14" x14ac:dyDescent="0.2">
      <c r="A27" s="50"/>
      <c r="B27" s="9">
        <v>30</v>
      </c>
      <c r="C27" s="9" t="s">
        <v>273</v>
      </c>
      <c r="D27" s="9" t="s">
        <v>24</v>
      </c>
      <c r="E27" s="9" t="s">
        <v>31</v>
      </c>
      <c r="F27" s="9" t="s">
        <v>26</v>
      </c>
      <c r="G27" s="9" t="s">
        <v>27</v>
      </c>
      <c r="H27" s="14"/>
      <c r="I27" s="15"/>
      <c r="J27" s="16"/>
      <c r="K27" s="17"/>
      <c r="L27" s="13"/>
      <c r="M27" s="13"/>
      <c r="N27" s="13"/>
    </row>
    <row r="28" spans="1:14" x14ac:dyDescent="0.2">
      <c r="A28" s="51"/>
      <c r="B28" s="9">
        <v>30</v>
      </c>
      <c r="C28" s="9" t="s">
        <v>274</v>
      </c>
      <c r="D28" s="9" t="s">
        <v>24</v>
      </c>
      <c r="E28" s="9" t="s">
        <v>31</v>
      </c>
      <c r="F28" s="9" t="s">
        <v>26</v>
      </c>
      <c r="G28" s="9" t="s">
        <v>27</v>
      </c>
      <c r="H28" s="18"/>
      <c r="I28" s="19"/>
      <c r="J28" s="20"/>
      <c r="K28" s="21"/>
      <c r="L28" s="13"/>
      <c r="M28" s="13"/>
      <c r="N28" s="13"/>
    </row>
    <row r="29" spans="1:14" x14ac:dyDescent="0.2">
      <c r="A29" s="50"/>
      <c r="B29" s="9">
        <v>30</v>
      </c>
      <c r="C29" s="9" t="s">
        <v>275</v>
      </c>
      <c r="D29" s="9" t="s">
        <v>24</v>
      </c>
      <c r="E29" s="9" t="s">
        <v>31</v>
      </c>
      <c r="F29" s="9" t="s">
        <v>26</v>
      </c>
      <c r="G29" s="9" t="s">
        <v>27</v>
      </c>
      <c r="H29" s="14"/>
      <c r="I29" s="15"/>
      <c r="J29" s="16"/>
      <c r="K29" s="17"/>
      <c r="L29" s="13"/>
      <c r="M29" s="13"/>
      <c r="N29" s="13"/>
    </row>
    <row r="30" spans="1:14" x14ac:dyDescent="0.2">
      <c r="A30" s="51"/>
      <c r="B30" s="9">
        <v>30</v>
      </c>
      <c r="C30" s="9" t="s">
        <v>276</v>
      </c>
      <c r="D30" s="9" t="s">
        <v>24</v>
      </c>
      <c r="E30" s="9" t="s">
        <v>31</v>
      </c>
      <c r="F30" s="9" t="s">
        <v>26</v>
      </c>
      <c r="G30" s="9" t="s">
        <v>27</v>
      </c>
      <c r="H30" s="18"/>
      <c r="I30" s="19"/>
      <c r="J30" s="20"/>
      <c r="K30" s="21"/>
      <c r="L30" s="13"/>
      <c r="M30" s="13"/>
      <c r="N30" s="13"/>
    </row>
    <row r="31" spans="1:14" x14ac:dyDescent="0.2">
      <c r="A31" s="50"/>
      <c r="B31" s="9">
        <v>30</v>
      </c>
      <c r="C31" s="9" t="s">
        <v>277</v>
      </c>
      <c r="D31" s="9" t="s">
        <v>24</v>
      </c>
      <c r="E31" s="9" t="s">
        <v>31</v>
      </c>
      <c r="F31" s="9" t="s">
        <v>26</v>
      </c>
      <c r="G31" s="9" t="s">
        <v>27</v>
      </c>
      <c r="H31" s="14"/>
      <c r="I31" s="15"/>
      <c r="J31" s="16"/>
      <c r="K31" s="17"/>
      <c r="L31" s="13"/>
      <c r="M31" s="13"/>
      <c r="N31" s="13"/>
    </row>
    <row r="32" spans="1:14" x14ac:dyDescent="0.2">
      <c r="A32" s="51"/>
      <c r="B32" s="9">
        <v>30</v>
      </c>
      <c r="C32" s="9" t="s">
        <v>264</v>
      </c>
      <c r="D32" s="9" t="s">
        <v>24</v>
      </c>
      <c r="E32" s="9" t="s">
        <v>31</v>
      </c>
      <c r="F32" s="9" t="s">
        <v>26</v>
      </c>
      <c r="G32" s="9" t="s">
        <v>27</v>
      </c>
      <c r="H32" s="18"/>
      <c r="I32" s="19"/>
      <c r="J32" s="20"/>
      <c r="K32" s="21"/>
      <c r="L32" s="13"/>
      <c r="M32" s="13"/>
      <c r="N32" s="13"/>
    </row>
    <row r="33" spans="1:14" x14ac:dyDescent="0.2">
      <c r="A33" s="50"/>
      <c r="B33" s="9">
        <v>30</v>
      </c>
      <c r="C33" s="9" t="s">
        <v>278</v>
      </c>
      <c r="D33" s="9" t="s">
        <v>24</v>
      </c>
      <c r="E33" s="9" t="s">
        <v>31</v>
      </c>
      <c r="F33" s="9" t="s">
        <v>26</v>
      </c>
      <c r="G33" s="9" t="s">
        <v>27</v>
      </c>
      <c r="H33" s="14"/>
      <c r="I33" s="15"/>
      <c r="J33" s="16"/>
      <c r="K33" s="17"/>
      <c r="L33" s="13"/>
      <c r="M33" s="13"/>
      <c r="N33" s="13"/>
    </row>
    <row r="34" spans="1:14" x14ac:dyDescent="0.2">
      <c r="A34" s="52"/>
      <c r="B34" s="9">
        <v>30</v>
      </c>
      <c r="C34" s="9" t="s">
        <v>239</v>
      </c>
      <c r="D34" s="9" t="s">
        <v>24</v>
      </c>
      <c r="E34" s="9" t="s">
        <v>31</v>
      </c>
      <c r="F34" s="9" t="s">
        <v>26</v>
      </c>
      <c r="G34" s="9" t="s">
        <v>27</v>
      </c>
      <c r="H34" s="18"/>
      <c r="I34" s="19"/>
      <c r="J34" s="20"/>
      <c r="K34" s="21"/>
      <c r="L34" s="13"/>
      <c r="M34" s="13"/>
      <c r="N34" s="13"/>
    </row>
    <row r="35" spans="1:14" x14ac:dyDescent="0.2">
      <c r="A35" s="52"/>
      <c r="B35" s="9">
        <v>30</v>
      </c>
      <c r="C35" s="9" t="s">
        <v>279</v>
      </c>
      <c r="D35" s="9" t="s">
        <v>24</v>
      </c>
      <c r="E35" s="9" t="s">
        <v>31</v>
      </c>
      <c r="F35" s="9" t="s">
        <v>26</v>
      </c>
      <c r="G35" s="9" t="s">
        <v>27</v>
      </c>
      <c r="H35" s="14"/>
      <c r="I35" s="15"/>
      <c r="J35" s="16"/>
      <c r="K35" s="17"/>
      <c r="L35" s="13"/>
      <c r="M35" s="13"/>
      <c r="N35" s="13"/>
    </row>
    <row r="36" spans="1:14" x14ac:dyDescent="0.2">
      <c r="A36" s="52"/>
      <c r="B36" s="9">
        <v>30</v>
      </c>
      <c r="C36" s="9" t="s">
        <v>266</v>
      </c>
      <c r="D36" s="9" t="s">
        <v>24</v>
      </c>
      <c r="E36" s="9" t="s">
        <v>31</v>
      </c>
      <c r="F36" s="9" t="s">
        <v>26</v>
      </c>
      <c r="G36" s="9" t="s">
        <v>27</v>
      </c>
      <c r="H36" s="18"/>
      <c r="I36" s="19"/>
      <c r="J36" s="20"/>
      <c r="K36" s="21"/>
      <c r="L36" s="13"/>
      <c r="M36" s="13"/>
      <c r="N36" s="13"/>
    </row>
    <row r="37" spans="1:14" ht="12.75" x14ac:dyDescent="0.2">
      <c r="A37" s="52"/>
      <c r="B37" s="9">
        <v>30</v>
      </c>
      <c r="C37" s="9" t="s">
        <v>280</v>
      </c>
      <c r="D37" s="9" t="s">
        <v>30</v>
      </c>
      <c r="E37" s="9" t="s">
        <v>31</v>
      </c>
      <c r="F37" s="9" t="s">
        <v>26</v>
      </c>
      <c r="G37" s="9" t="s">
        <v>27</v>
      </c>
      <c r="H37" s="18"/>
      <c r="I37" s="19"/>
      <c r="J37" s="20"/>
      <c r="K37" s="21"/>
      <c r="L37" s="13"/>
      <c r="M37" s="13"/>
      <c r="N37" s="13"/>
    </row>
    <row r="38" spans="1:14" ht="12.75" x14ac:dyDescent="0.2">
      <c r="A38" s="52"/>
      <c r="B38" s="9">
        <v>30</v>
      </c>
      <c r="C38" s="9" t="s">
        <v>268</v>
      </c>
      <c r="D38" s="9" t="s">
        <v>24</v>
      </c>
      <c r="E38" s="9" t="s">
        <v>31</v>
      </c>
      <c r="F38" s="9" t="s">
        <v>26</v>
      </c>
      <c r="G38" s="9" t="s">
        <v>27</v>
      </c>
      <c r="H38" s="14"/>
      <c r="I38" s="15"/>
      <c r="J38" s="16"/>
      <c r="K38" s="17"/>
      <c r="L38" s="13"/>
      <c r="M38" s="13"/>
      <c r="N38" s="13"/>
    </row>
    <row r="39" spans="1:14" ht="12.75" x14ac:dyDescent="0.2">
      <c r="A39" s="52"/>
      <c r="B39" s="9">
        <v>30</v>
      </c>
      <c r="C39" s="9" t="s">
        <v>281</v>
      </c>
      <c r="D39" s="9" t="s">
        <v>24</v>
      </c>
      <c r="E39" s="9" t="s">
        <v>31</v>
      </c>
      <c r="F39" s="9" t="s">
        <v>26</v>
      </c>
      <c r="G39" s="9" t="s">
        <v>27</v>
      </c>
      <c r="H39" s="18"/>
      <c r="I39" s="19"/>
      <c r="J39" s="20"/>
      <c r="K39" s="21"/>
      <c r="L39" s="13"/>
      <c r="M39" s="13"/>
      <c r="N39" s="13"/>
    </row>
    <row r="40" spans="1:14" ht="12.75" x14ac:dyDescent="0.2">
      <c r="A40" s="52"/>
      <c r="B40" s="9">
        <v>30</v>
      </c>
      <c r="C40" s="9" t="s">
        <v>270</v>
      </c>
      <c r="D40" s="9" t="s">
        <v>24</v>
      </c>
      <c r="E40" s="9" t="s">
        <v>31</v>
      </c>
      <c r="F40" s="9" t="s">
        <v>26</v>
      </c>
      <c r="G40" s="9" t="s">
        <v>27</v>
      </c>
      <c r="H40" s="14"/>
      <c r="I40" s="15"/>
      <c r="J40" s="16"/>
      <c r="K40" s="17"/>
      <c r="L40" s="13"/>
      <c r="M40" s="13"/>
      <c r="N40" s="13"/>
    </row>
    <row r="41" spans="1:14" ht="12.75" x14ac:dyDescent="0.2">
      <c r="A41" s="53"/>
      <c r="B41" s="9">
        <v>30</v>
      </c>
      <c r="C41" s="9" t="s">
        <v>282</v>
      </c>
      <c r="D41" s="9" t="s">
        <v>24</v>
      </c>
      <c r="E41" s="9" t="s">
        <v>31</v>
      </c>
      <c r="F41" s="9" t="s">
        <v>26</v>
      </c>
      <c r="G41" s="9" t="s">
        <v>27</v>
      </c>
      <c r="H41" s="18"/>
      <c r="I41" s="19"/>
      <c r="J41" s="21"/>
      <c r="K41" s="21"/>
      <c r="L41" s="13"/>
      <c r="M41" s="13"/>
      <c r="N41" s="13"/>
    </row>
    <row r="42" spans="1:14" ht="12.75" x14ac:dyDescent="0.2">
      <c r="A42" s="48" t="s">
        <v>38</v>
      </c>
      <c r="B42" s="9">
        <v>30</v>
      </c>
      <c r="C42" s="9" t="s">
        <v>283</v>
      </c>
      <c r="D42" s="9" t="s">
        <v>24</v>
      </c>
      <c r="E42" s="9" t="s">
        <v>25</v>
      </c>
      <c r="F42" s="9" t="s">
        <v>26</v>
      </c>
      <c r="G42" s="9" t="s">
        <v>27</v>
      </c>
      <c r="H42" s="14"/>
      <c r="I42" s="15"/>
      <c r="J42" s="17"/>
      <c r="K42" s="17"/>
      <c r="L42" s="13"/>
      <c r="M42" s="13"/>
      <c r="N42" s="13"/>
    </row>
    <row r="43" spans="1:14" ht="12.75" x14ac:dyDescent="0.2">
      <c r="A43" s="52"/>
      <c r="B43" s="9">
        <v>30</v>
      </c>
      <c r="C43" s="9" t="s">
        <v>284</v>
      </c>
      <c r="D43" s="9" t="s">
        <v>24</v>
      </c>
      <c r="E43" s="9" t="s">
        <v>25</v>
      </c>
      <c r="F43" s="9" t="s">
        <v>26</v>
      </c>
      <c r="G43" s="9" t="s">
        <v>27</v>
      </c>
      <c r="H43" s="18"/>
      <c r="I43" s="19"/>
      <c r="J43" s="21"/>
      <c r="K43" s="21"/>
      <c r="L43" s="13"/>
      <c r="M43" s="13"/>
      <c r="N43" s="13"/>
    </row>
    <row r="44" spans="1:14" ht="12.75" x14ac:dyDescent="0.2">
      <c r="A44" s="52"/>
      <c r="B44" s="9">
        <v>30</v>
      </c>
      <c r="C44" s="9" t="s">
        <v>285</v>
      </c>
      <c r="D44" s="9" t="s">
        <v>24</v>
      </c>
      <c r="E44" s="9" t="s">
        <v>25</v>
      </c>
      <c r="F44" s="9" t="s">
        <v>26</v>
      </c>
      <c r="G44" s="9" t="s">
        <v>27</v>
      </c>
      <c r="H44" s="14"/>
      <c r="I44" s="15"/>
      <c r="J44" s="17"/>
      <c r="K44" s="17"/>
      <c r="L44" s="13"/>
      <c r="M44" s="13"/>
      <c r="N44" s="13"/>
    </row>
    <row r="45" spans="1:14" ht="12.75" x14ac:dyDescent="0.2">
      <c r="A45" s="52"/>
      <c r="B45" s="9">
        <v>30</v>
      </c>
      <c r="C45" s="9" t="s">
        <v>286</v>
      </c>
      <c r="D45" s="9" t="s">
        <v>24</v>
      </c>
      <c r="E45" s="9" t="s">
        <v>25</v>
      </c>
      <c r="F45" s="9" t="s">
        <v>26</v>
      </c>
      <c r="G45" s="9" t="s">
        <v>27</v>
      </c>
      <c r="H45" s="18"/>
      <c r="I45" s="19"/>
      <c r="J45" s="21"/>
      <c r="K45" s="21"/>
      <c r="L45" s="13"/>
      <c r="M45" s="13"/>
      <c r="N45" s="13"/>
    </row>
    <row r="46" spans="1:14" ht="12.75" x14ac:dyDescent="0.2">
      <c r="A46" s="52"/>
      <c r="B46" s="9">
        <v>30</v>
      </c>
      <c r="C46" s="9" t="s">
        <v>287</v>
      </c>
      <c r="D46" s="9" t="s">
        <v>24</v>
      </c>
      <c r="E46" s="9" t="s">
        <v>25</v>
      </c>
      <c r="F46" s="9" t="s">
        <v>26</v>
      </c>
      <c r="G46" s="9" t="s">
        <v>27</v>
      </c>
      <c r="H46" s="14"/>
      <c r="I46" s="15"/>
      <c r="J46" s="17"/>
      <c r="K46" s="17"/>
      <c r="L46" s="13"/>
      <c r="M46" s="13"/>
      <c r="N46" s="13"/>
    </row>
    <row r="47" spans="1:14" ht="12.75" x14ac:dyDescent="0.2">
      <c r="A47" s="52"/>
      <c r="B47" s="9">
        <v>30</v>
      </c>
      <c r="C47" s="9" t="s">
        <v>288</v>
      </c>
      <c r="D47" s="9" t="s">
        <v>24</v>
      </c>
      <c r="E47" s="9" t="s">
        <v>25</v>
      </c>
      <c r="F47" s="9" t="s">
        <v>26</v>
      </c>
      <c r="G47" s="9" t="s">
        <v>27</v>
      </c>
      <c r="H47" s="18"/>
      <c r="I47" s="19"/>
      <c r="J47" s="21"/>
      <c r="K47" s="21"/>
      <c r="L47" s="13"/>
      <c r="M47" s="13"/>
      <c r="N47" s="13"/>
    </row>
    <row r="48" spans="1:14" ht="12.75" x14ac:dyDescent="0.2">
      <c r="A48" s="52"/>
      <c r="B48" s="9">
        <v>30</v>
      </c>
      <c r="C48" s="9" t="s">
        <v>289</v>
      </c>
      <c r="D48" s="9" t="s">
        <v>24</v>
      </c>
      <c r="E48" s="9" t="s">
        <v>25</v>
      </c>
      <c r="F48" s="9" t="s">
        <v>26</v>
      </c>
      <c r="G48" s="9" t="s">
        <v>27</v>
      </c>
      <c r="H48" s="14"/>
      <c r="I48" s="15"/>
      <c r="J48" s="17"/>
      <c r="K48" s="17"/>
      <c r="L48" s="13"/>
      <c r="M48" s="13"/>
      <c r="N48" s="13"/>
    </row>
    <row r="49" spans="1:14" ht="12.75" x14ac:dyDescent="0.2">
      <c r="A49" s="52"/>
      <c r="B49" s="9">
        <v>30</v>
      </c>
      <c r="C49" s="9" t="s">
        <v>290</v>
      </c>
      <c r="D49" s="9" t="s">
        <v>24</v>
      </c>
      <c r="E49" s="9" t="s">
        <v>25</v>
      </c>
      <c r="F49" s="9" t="s">
        <v>26</v>
      </c>
      <c r="G49" s="9" t="s">
        <v>27</v>
      </c>
      <c r="H49" s="18"/>
      <c r="I49" s="19"/>
      <c r="J49" s="21"/>
      <c r="K49" s="21"/>
      <c r="L49" s="13"/>
      <c r="M49" s="13"/>
      <c r="N49" s="13"/>
    </row>
    <row r="50" spans="1:14" ht="12.75" x14ac:dyDescent="0.2">
      <c r="A50" s="52"/>
      <c r="B50" s="9">
        <v>30</v>
      </c>
      <c r="C50" s="9" t="s">
        <v>258</v>
      </c>
      <c r="D50" s="9" t="s">
        <v>24</v>
      </c>
      <c r="E50" s="9" t="s">
        <v>25</v>
      </c>
      <c r="F50" s="9" t="s">
        <v>26</v>
      </c>
      <c r="G50" s="9" t="s">
        <v>27</v>
      </c>
      <c r="H50" s="14"/>
      <c r="I50" s="15"/>
      <c r="J50" s="17"/>
      <c r="K50" s="17"/>
      <c r="L50" s="13"/>
      <c r="M50" s="13"/>
      <c r="N50" s="13"/>
    </row>
    <row r="51" spans="1:14" ht="12.75" x14ac:dyDescent="0.2">
      <c r="A51" s="52"/>
      <c r="B51" s="9">
        <v>30</v>
      </c>
      <c r="C51" s="9" t="s">
        <v>291</v>
      </c>
      <c r="D51" s="9" t="s">
        <v>24</v>
      </c>
      <c r="E51" s="9" t="s">
        <v>25</v>
      </c>
      <c r="F51" s="9" t="s">
        <v>26</v>
      </c>
      <c r="G51" s="9" t="s">
        <v>27</v>
      </c>
      <c r="H51" s="18"/>
      <c r="I51" s="19"/>
      <c r="J51" s="21"/>
      <c r="K51" s="21"/>
      <c r="L51" s="13"/>
      <c r="M51" s="13"/>
      <c r="N51" s="13"/>
    </row>
    <row r="52" spans="1:14" ht="12.75" x14ac:dyDescent="0.2">
      <c r="A52" s="52"/>
      <c r="B52" s="9">
        <v>30</v>
      </c>
      <c r="C52" s="9" t="s">
        <v>292</v>
      </c>
      <c r="D52" s="9" t="s">
        <v>24</v>
      </c>
      <c r="E52" s="9" t="s">
        <v>25</v>
      </c>
      <c r="F52" s="9" t="s">
        <v>26</v>
      </c>
      <c r="G52" s="9" t="s">
        <v>27</v>
      </c>
      <c r="H52" s="13"/>
      <c r="I52" s="13"/>
      <c r="J52" s="13"/>
      <c r="K52" s="13"/>
      <c r="L52" s="13"/>
      <c r="M52" s="13"/>
      <c r="N52" s="13"/>
    </row>
    <row r="53" spans="1:14" ht="12.75" x14ac:dyDescent="0.2">
      <c r="A53" s="52"/>
      <c r="B53" s="9">
        <v>30</v>
      </c>
      <c r="C53" s="9" t="s">
        <v>260</v>
      </c>
      <c r="D53" s="9" t="s">
        <v>30</v>
      </c>
      <c r="E53" s="9" t="s">
        <v>25</v>
      </c>
      <c r="F53" s="9" t="s">
        <v>26</v>
      </c>
      <c r="G53" s="9" t="s">
        <v>27</v>
      </c>
      <c r="H53" s="13"/>
      <c r="I53" s="13"/>
      <c r="J53" s="13"/>
      <c r="K53" s="13"/>
      <c r="L53" s="13"/>
      <c r="M53" s="13"/>
      <c r="N53" s="13"/>
    </row>
    <row r="54" spans="1:14" ht="12.75" x14ac:dyDescent="0.2">
      <c r="A54" s="52"/>
      <c r="B54" s="9">
        <v>30</v>
      </c>
      <c r="C54" s="9" t="s">
        <v>268</v>
      </c>
      <c r="D54" s="9" t="s">
        <v>24</v>
      </c>
      <c r="E54" s="9" t="s">
        <v>25</v>
      </c>
      <c r="F54" s="9" t="s">
        <v>26</v>
      </c>
      <c r="G54" s="9" t="s">
        <v>27</v>
      </c>
      <c r="H54" s="13"/>
      <c r="I54" s="13"/>
      <c r="J54" s="13"/>
      <c r="K54" s="13"/>
      <c r="L54" s="13"/>
      <c r="M54" s="13"/>
      <c r="N54" s="13"/>
    </row>
    <row r="55" spans="1:14" ht="12.75" x14ac:dyDescent="0.2">
      <c r="A55" s="53"/>
      <c r="B55" s="9">
        <v>30</v>
      </c>
      <c r="C55" s="9" t="s">
        <v>281</v>
      </c>
      <c r="D55" s="9" t="s">
        <v>24</v>
      </c>
      <c r="E55" s="9" t="s">
        <v>25</v>
      </c>
      <c r="F55" s="9" t="s">
        <v>26</v>
      </c>
      <c r="G55" s="9" t="s">
        <v>27</v>
      </c>
      <c r="H55" s="13"/>
      <c r="I55" s="13"/>
      <c r="J55" s="13"/>
      <c r="K55" s="13"/>
      <c r="L55" s="13"/>
      <c r="M55" s="13"/>
      <c r="N55" s="13"/>
    </row>
    <row r="56" spans="1:14" ht="12.75" x14ac:dyDescent="0.2">
      <c r="A56" s="48" t="s">
        <v>46</v>
      </c>
      <c r="B56" s="9">
        <v>30</v>
      </c>
      <c r="C56" s="9" t="s">
        <v>293</v>
      </c>
      <c r="D56" s="9" t="s">
        <v>24</v>
      </c>
      <c r="E56" s="9" t="s">
        <v>31</v>
      </c>
      <c r="F56" s="9" t="s">
        <v>47</v>
      </c>
      <c r="G56" s="9" t="s">
        <v>27</v>
      </c>
      <c r="H56" s="13"/>
      <c r="I56" s="13"/>
      <c r="J56" s="13"/>
      <c r="K56" s="13"/>
      <c r="L56" s="13"/>
      <c r="M56" s="13"/>
      <c r="N56" s="13"/>
    </row>
    <row r="57" spans="1:14" ht="12.75" x14ac:dyDescent="0.2">
      <c r="A57" s="52"/>
      <c r="B57" s="9">
        <v>30</v>
      </c>
      <c r="C57" s="9" t="s">
        <v>294</v>
      </c>
      <c r="D57" s="9" t="s">
        <v>24</v>
      </c>
      <c r="E57" s="9" t="s">
        <v>31</v>
      </c>
      <c r="F57" s="9" t="s">
        <v>47</v>
      </c>
      <c r="G57" s="9" t="s">
        <v>27</v>
      </c>
      <c r="H57" s="13"/>
      <c r="I57" s="13"/>
      <c r="J57" s="13"/>
      <c r="K57" s="13"/>
      <c r="L57" s="13"/>
      <c r="M57" s="13"/>
      <c r="N57" s="13"/>
    </row>
    <row r="58" spans="1:14" ht="12.75" x14ac:dyDescent="0.2">
      <c r="A58" s="52"/>
      <c r="B58" s="9">
        <v>30</v>
      </c>
      <c r="C58" s="9" t="s">
        <v>295</v>
      </c>
      <c r="D58" s="9" t="s">
        <v>24</v>
      </c>
      <c r="E58" s="9" t="s">
        <v>31</v>
      </c>
      <c r="F58" s="9" t="s">
        <v>47</v>
      </c>
      <c r="G58" s="9" t="s">
        <v>27</v>
      </c>
      <c r="H58" s="13"/>
      <c r="I58" s="13"/>
      <c r="J58" s="13"/>
      <c r="K58" s="13"/>
      <c r="L58" s="13"/>
      <c r="M58" s="13"/>
      <c r="N58" s="13"/>
    </row>
    <row r="59" spans="1:14" ht="12.75" x14ac:dyDescent="0.2">
      <c r="A59" s="52"/>
      <c r="B59" s="9">
        <v>30</v>
      </c>
      <c r="C59" s="9" t="s">
        <v>296</v>
      </c>
      <c r="D59" s="9" t="s">
        <v>24</v>
      </c>
      <c r="E59" s="9" t="s">
        <v>31</v>
      </c>
      <c r="F59" s="9" t="s">
        <v>47</v>
      </c>
      <c r="G59" s="9" t="s">
        <v>27</v>
      </c>
      <c r="H59" s="13"/>
      <c r="I59" s="13"/>
      <c r="J59" s="13"/>
      <c r="K59" s="13"/>
      <c r="L59" s="13"/>
      <c r="M59" s="13"/>
      <c r="N59" s="13"/>
    </row>
    <row r="60" spans="1:14" ht="12.75" x14ac:dyDescent="0.2">
      <c r="A60" s="53"/>
      <c r="B60" s="9">
        <v>30</v>
      </c>
      <c r="C60" s="9" t="s">
        <v>267</v>
      </c>
      <c r="D60" s="9" t="s">
        <v>30</v>
      </c>
      <c r="E60" s="9" t="s">
        <v>31</v>
      </c>
      <c r="F60" s="9" t="s">
        <v>47</v>
      </c>
      <c r="G60" s="9" t="s">
        <v>27</v>
      </c>
      <c r="H60" s="13"/>
      <c r="I60" s="13"/>
      <c r="J60" s="13"/>
      <c r="K60" s="13"/>
      <c r="L60" s="13"/>
      <c r="M60" s="13"/>
      <c r="N60" s="13"/>
    </row>
    <row r="61" spans="1:14" ht="12.75" x14ac:dyDescent="0.2">
      <c r="A61" s="48" t="s">
        <v>49</v>
      </c>
      <c r="B61" s="9">
        <v>30</v>
      </c>
      <c r="C61" s="9" t="s">
        <v>270</v>
      </c>
      <c r="D61" s="9" t="s">
        <v>24</v>
      </c>
      <c r="E61" s="9" t="s">
        <v>25</v>
      </c>
      <c r="F61" s="9" t="s">
        <v>26</v>
      </c>
      <c r="G61" s="9" t="s">
        <v>27</v>
      </c>
      <c r="H61" s="13"/>
      <c r="I61" s="13"/>
      <c r="J61" s="13"/>
      <c r="K61" s="13"/>
      <c r="L61" s="13"/>
      <c r="M61" s="13"/>
      <c r="N61" s="13"/>
    </row>
    <row r="62" spans="1:14" ht="12.75" x14ac:dyDescent="0.2">
      <c r="A62" s="52"/>
      <c r="B62" s="9">
        <v>30</v>
      </c>
      <c r="C62" s="9" t="s">
        <v>281</v>
      </c>
      <c r="D62" s="9" t="s">
        <v>24</v>
      </c>
      <c r="E62" s="9" t="s">
        <v>31</v>
      </c>
      <c r="F62" s="9" t="s">
        <v>26</v>
      </c>
      <c r="G62" s="9" t="s">
        <v>27</v>
      </c>
      <c r="H62" s="13"/>
      <c r="I62" s="13"/>
      <c r="J62" s="13"/>
      <c r="K62" s="13"/>
      <c r="L62" s="13"/>
      <c r="M62" s="13"/>
      <c r="N62" s="13"/>
    </row>
    <row r="63" spans="1:14" ht="12.75" x14ac:dyDescent="0.2">
      <c r="A63" s="53"/>
      <c r="B63" s="9">
        <v>30</v>
      </c>
      <c r="C63" s="9" t="s">
        <v>297</v>
      </c>
      <c r="D63" s="9" t="s">
        <v>24</v>
      </c>
      <c r="E63" s="9" t="s">
        <v>31</v>
      </c>
      <c r="F63" s="9" t="s">
        <v>26</v>
      </c>
      <c r="G63" s="9" t="s">
        <v>27</v>
      </c>
      <c r="H63" s="13"/>
      <c r="I63" s="13"/>
      <c r="J63" s="13"/>
      <c r="K63" s="13"/>
      <c r="L63" s="13"/>
      <c r="M63" s="13"/>
      <c r="N63" s="13"/>
    </row>
    <row r="64" spans="1:14" ht="12.75" x14ac:dyDescent="0.2">
      <c r="A64" s="48" t="s">
        <v>52</v>
      </c>
      <c r="B64" s="9">
        <v>30</v>
      </c>
      <c r="C64" s="9" t="s">
        <v>281</v>
      </c>
      <c r="D64" s="9" t="s">
        <v>24</v>
      </c>
      <c r="E64" s="9" t="s">
        <v>31</v>
      </c>
      <c r="F64" s="9" t="s">
        <v>26</v>
      </c>
      <c r="G64" s="9" t="s">
        <v>27</v>
      </c>
      <c r="H64" s="13"/>
      <c r="I64" s="13"/>
      <c r="J64" s="13"/>
      <c r="K64" s="13"/>
      <c r="L64" s="13"/>
      <c r="M64" s="13"/>
      <c r="N64" s="13"/>
    </row>
    <row r="65" spans="1:14" ht="12.75" x14ac:dyDescent="0.2">
      <c r="A65" s="52"/>
      <c r="B65" s="9">
        <v>30</v>
      </c>
      <c r="C65" s="9" t="s">
        <v>298</v>
      </c>
      <c r="D65" s="9" t="s">
        <v>24</v>
      </c>
      <c r="E65" s="9" t="s">
        <v>31</v>
      </c>
      <c r="F65" s="9" t="s">
        <v>26</v>
      </c>
      <c r="G65" s="9" t="s">
        <v>27</v>
      </c>
      <c r="H65" s="13"/>
      <c r="I65" s="13"/>
      <c r="J65" s="13"/>
      <c r="K65" s="13"/>
      <c r="L65" s="13"/>
      <c r="M65" s="13"/>
      <c r="N65" s="13"/>
    </row>
    <row r="66" spans="1:14" ht="12.75" x14ac:dyDescent="0.2">
      <c r="A66" s="52"/>
      <c r="B66" s="9">
        <v>30</v>
      </c>
      <c r="C66" s="9" t="s">
        <v>299</v>
      </c>
      <c r="D66" s="9" t="s">
        <v>24</v>
      </c>
      <c r="E66" s="9" t="s">
        <v>31</v>
      </c>
      <c r="F66" s="9" t="s">
        <v>26</v>
      </c>
      <c r="G66" s="9" t="s">
        <v>27</v>
      </c>
      <c r="H66" s="13"/>
      <c r="I66" s="13"/>
      <c r="J66" s="13"/>
      <c r="K66" s="13"/>
      <c r="L66" s="13"/>
      <c r="M66" s="13"/>
      <c r="N66" s="13"/>
    </row>
    <row r="67" spans="1:14" ht="12.75" x14ac:dyDescent="0.2">
      <c r="A67" s="53"/>
      <c r="B67" s="9">
        <v>30</v>
      </c>
      <c r="C67" s="9" t="s">
        <v>297</v>
      </c>
      <c r="D67" s="9" t="s">
        <v>24</v>
      </c>
      <c r="E67" s="9" t="s">
        <v>31</v>
      </c>
      <c r="F67" s="9" t="s">
        <v>26</v>
      </c>
      <c r="G67" s="9" t="s">
        <v>27</v>
      </c>
      <c r="H67" s="13"/>
      <c r="I67" s="13"/>
      <c r="J67" s="13"/>
      <c r="K67" s="13"/>
      <c r="L67" s="13"/>
      <c r="M67" s="13"/>
      <c r="N67" s="13"/>
    </row>
    <row r="68" spans="1:14" ht="12.75" x14ac:dyDescent="0.2">
      <c r="A68" s="48" t="s">
        <v>59</v>
      </c>
      <c r="B68" s="9">
        <v>30</v>
      </c>
      <c r="C68" s="9" t="s">
        <v>282</v>
      </c>
      <c r="D68" s="9" t="s">
        <v>24</v>
      </c>
      <c r="E68" s="9" t="s">
        <v>25</v>
      </c>
      <c r="F68" s="9" t="s">
        <v>26</v>
      </c>
      <c r="G68" s="9" t="s">
        <v>27</v>
      </c>
      <c r="H68" s="13"/>
      <c r="I68" s="13"/>
      <c r="J68" s="13"/>
      <c r="K68" s="13"/>
      <c r="L68" s="13"/>
      <c r="M68" s="13"/>
      <c r="N68" s="13"/>
    </row>
    <row r="69" spans="1:14" ht="12.75" x14ac:dyDescent="0.2">
      <c r="A69" s="52"/>
      <c r="B69" s="9">
        <v>30</v>
      </c>
      <c r="C69" s="9" t="s">
        <v>297</v>
      </c>
      <c r="D69" s="9" t="s">
        <v>24</v>
      </c>
      <c r="E69" s="9" t="s">
        <v>31</v>
      </c>
      <c r="F69" s="9" t="s">
        <v>26</v>
      </c>
      <c r="G69" s="9" t="s">
        <v>27</v>
      </c>
      <c r="H69" s="13"/>
      <c r="I69" s="13"/>
      <c r="J69" s="13"/>
      <c r="K69" s="13"/>
      <c r="L69" s="13"/>
      <c r="M69" s="13"/>
      <c r="N69" s="13"/>
    </row>
    <row r="70" spans="1:14" ht="12.75" x14ac:dyDescent="0.2">
      <c r="A70" s="53"/>
      <c r="B70" s="9">
        <v>30</v>
      </c>
      <c r="C70" s="9" t="s">
        <v>300</v>
      </c>
      <c r="D70" s="9" t="s">
        <v>24</v>
      </c>
      <c r="E70" s="9" t="s">
        <v>31</v>
      </c>
      <c r="F70" s="9" t="s">
        <v>26</v>
      </c>
      <c r="G70" s="9" t="s">
        <v>27</v>
      </c>
      <c r="H70" s="13"/>
      <c r="I70" s="13"/>
      <c r="J70" s="13"/>
      <c r="K70" s="13"/>
      <c r="L70" s="13"/>
      <c r="M70" s="13"/>
      <c r="N70" s="13"/>
    </row>
    <row r="71" spans="1:14" ht="12.75" x14ac:dyDescent="0.2">
      <c r="A71" s="48" t="s">
        <v>101</v>
      </c>
      <c r="B71" s="9">
        <v>30</v>
      </c>
      <c r="C71" s="9" t="s">
        <v>264</v>
      </c>
      <c r="D71" s="9" t="s">
        <v>24</v>
      </c>
      <c r="E71" s="9" t="s">
        <v>31</v>
      </c>
      <c r="F71" s="9" t="s">
        <v>47</v>
      </c>
      <c r="G71" s="9" t="s">
        <v>27</v>
      </c>
      <c r="H71" s="13"/>
      <c r="I71" s="13"/>
      <c r="J71" s="13"/>
      <c r="K71" s="13"/>
      <c r="L71" s="13"/>
      <c r="M71" s="13"/>
      <c r="N71" s="13"/>
    </row>
    <row r="72" spans="1:14" ht="12.75" x14ac:dyDescent="0.2">
      <c r="A72" s="52"/>
      <c r="B72" s="9">
        <v>30</v>
      </c>
      <c r="C72" s="9" t="s">
        <v>301</v>
      </c>
      <c r="D72" s="9" t="s">
        <v>24</v>
      </c>
      <c r="E72" s="9" t="s">
        <v>31</v>
      </c>
      <c r="F72" s="9" t="s">
        <v>47</v>
      </c>
      <c r="G72" s="9" t="s">
        <v>27</v>
      </c>
      <c r="H72" s="13"/>
      <c r="I72" s="13"/>
      <c r="J72" s="13"/>
      <c r="K72" s="13"/>
      <c r="L72" s="13"/>
      <c r="M72" s="13"/>
      <c r="N72" s="13"/>
    </row>
    <row r="73" spans="1:14" ht="12.75" x14ac:dyDescent="0.2">
      <c r="A73" s="52"/>
      <c r="B73" s="9">
        <v>30</v>
      </c>
      <c r="C73" s="9" t="s">
        <v>294</v>
      </c>
      <c r="D73" s="9" t="s">
        <v>24</v>
      </c>
      <c r="E73" s="9" t="s">
        <v>31</v>
      </c>
      <c r="F73" s="9" t="s">
        <v>47</v>
      </c>
      <c r="G73" s="9" t="s">
        <v>27</v>
      </c>
      <c r="H73" s="13"/>
      <c r="I73" s="13"/>
      <c r="J73" s="13"/>
      <c r="K73" s="13"/>
      <c r="L73" s="13"/>
      <c r="M73" s="13"/>
      <c r="N73" s="13"/>
    </row>
    <row r="74" spans="1:14" ht="12.75" x14ac:dyDescent="0.2">
      <c r="A74" s="53"/>
      <c r="B74" s="9">
        <v>30</v>
      </c>
      <c r="C74" s="9" t="s">
        <v>296</v>
      </c>
      <c r="D74" s="9" t="s">
        <v>30</v>
      </c>
      <c r="E74" s="9" t="s">
        <v>31</v>
      </c>
      <c r="F74" s="9" t="s">
        <v>47</v>
      </c>
      <c r="G74" s="9" t="s">
        <v>27</v>
      </c>
      <c r="H74" s="13"/>
      <c r="I74" s="13"/>
      <c r="J74" s="13"/>
      <c r="K74" s="13"/>
      <c r="L74" s="13"/>
      <c r="M74" s="13"/>
      <c r="N74" s="13"/>
    </row>
    <row r="75" spans="1:14" ht="12.75" x14ac:dyDescent="0.2">
      <c r="A75" s="9" t="s">
        <v>62</v>
      </c>
      <c r="B75" s="9">
        <v>30</v>
      </c>
      <c r="C75" s="9" t="s">
        <v>298</v>
      </c>
      <c r="D75" s="9" t="s">
        <v>24</v>
      </c>
      <c r="E75" s="9" t="s">
        <v>31</v>
      </c>
      <c r="F75" s="9" t="s">
        <v>26</v>
      </c>
      <c r="G75" s="9" t="s">
        <v>27</v>
      </c>
      <c r="H75" s="13"/>
      <c r="I75" s="13"/>
      <c r="J75" s="13"/>
      <c r="K75" s="13"/>
      <c r="L75" s="13"/>
      <c r="M75" s="13"/>
      <c r="N75" s="13"/>
    </row>
    <row r="76" spans="1:14" ht="12.75" x14ac:dyDescent="0.2">
      <c r="A76" s="48" t="s">
        <v>70</v>
      </c>
      <c r="B76" s="9">
        <v>30</v>
      </c>
      <c r="C76" s="9" t="s">
        <v>278</v>
      </c>
      <c r="D76" s="9" t="s">
        <v>24</v>
      </c>
      <c r="E76" s="9" t="s">
        <v>31</v>
      </c>
      <c r="F76" s="9" t="s">
        <v>26</v>
      </c>
      <c r="G76" s="9" t="s">
        <v>27</v>
      </c>
      <c r="H76" s="13"/>
      <c r="I76" s="13"/>
      <c r="J76" s="13"/>
      <c r="K76" s="13"/>
      <c r="L76" s="13"/>
      <c r="M76" s="13"/>
      <c r="N76" s="13"/>
    </row>
    <row r="77" spans="1:14" ht="12.75" x14ac:dyDescent="0.2">
      <c r="A77" s="52"/>
      <c r="B77" s="9">
        <v>30</v>
      </c>
      <c r="C77" s="9" t="s">
        <v>302</v>
      </c>
      <c r="D77" s="9" t="s">
        <v>24</v>
      </c>
      <c r="E77" s="9" t="s">
        <v>31</v>
      </c>
      <c r="F77" s="9" t="s">
        <v>26</v>
      </c>
      <c r="G77" s="9" t="s">
        <v>27</v>
      </c>
      <c r="H77" s="13"/>
      <c r="I77" s="13"/>
      <c r="J77" s="13"/>
      <c r="K77" s="13"/>
      <c r="L77" s="13"/>
      <c r="M77" s="13"/>
      <c r="N77" s="13"/>
    </row>
    <row r="78" spans="1:14" ht="12.75" x14ac:dyDescent="0.2">
      <c r="A78" s="52"/>
      <c r="B78" s="9">
        <v>30</v>
      </c>
      <c r="C78" s="9" t="s">
        <v>265</v>
      </c>
      <c r="D78" s="9" t="s">
        <v>24</v>
      </c>
      <c r="E78" s="9" t="s">
        <v>31</v>
      </c>
      <c r="F78" s="9" t="s">
        <v>26</v>
      </c>
      <c r="G78" s="9" t="s">
        <v>27</v>
      </c>
      <c r="H78" s="13"/>
      <c r="I78" s="13"/>
      <c r="J78" s="13"/>
      <c r="K78" s="13"/>
      <c r="L78" s="13"/>
      <c r="M78" s="13"/>
      <c r="N78" s="13"/>
    </row>
    <row r="79" spans="1:14" ht="12.75" x14ac:dyDescent="0.2">
      <c r="A79" s="52"/>
      <c r="B79" s="9">
        <v>30</v>
      </c>
      <c r="C79" s="9" t="s">
        <v>303</v>
      </c>
      <c r="D79" s="9" t="s">
        <v>24</v>
      </c>
      <c r="E79" s="9" t="s">
        <v>31</v>
      </c>
      <c r="F79" s="9" t="s">
        <v>26</v>
      </c>
      <c r="G79" s="9" t="s">
        <v>27</v>
      </c>
      <c r="H79" s="13"/>
      <c r="I79" s="13"/>
      <c r="J79" s="13"/>
      <c r="K79" s="13"/>
      <c r="L79" s="13"/>
      <c r="M79" s="13"/>
      <c r="N79" s="13"/>
    </row>
    <row r="80" spans="1:14" ht="12.75" x14ac:dyDescent="0.2">
      <c r="A80" s="52"/>
      <c r="B80" s="9">
        <v>30</v>
      </c>
      <c r="C80" s="9" t="s">
        <v>282</v>
      </c>
      <c r="D80" s="9" t="s">
        <v>24</v>
      </c>
      <c r="E80" s="9" t="s">
        <v>31</v>
      </c>
      <c r="F80" s="9" t="s">
        <v>26</v>
      </c>
      <c r="G80" s="9" t="s">
        <v>27</v>
      </c>
      <c r="H80" s="13"/>
      <c r="I80" s="13"/>
      <c r="J80" s="13"/>
      <c r="K80" s="13"/>
      <c r="L80" s="13"/>
      <c r="M80" s="13"/>
      <c r="N80" s="13"/>
    </row>
    <row r="81" spans="1:14" ht="12.75" x14ac:dyDescent="0.2">
      <c r="A81" s="53"/>
      <c r="B81" s="9">
        <v>30</v>
      </c>
      <c r="C81" s="9" t="s">
        <v>304</v>
      </c>
      <c r="D81" s="9" t="s">
        <v>30</v>
      </c>
      <c r="E81" s="9" t="s">
        <v>31</v>
      </c>
      <c r="F81" s="9" t="s">
        <v>26</v>
      </c>
      <c r="G81" s="9" t="s">
        <v>27</v>
      </c>
      <c r="H81" s="13"/>
      <c r="I81" s="13"/>
      <c r="J81" s="13"/>
      <c r="K81" s="13"/>
      <c r="L81" s="13"/>
      <c r="M81" s="13"/>
      <c r="N81" s="13"/>
    </row>
    <row r="82" spans="1:14" ht="12.75" x14ac:dyDescent="0.2">
      <c r="A82" s="48" t="s">
        <v>73</v>
      </c>
      <c r="B82" s="12">
        <v>30</v>
      </c>
      <c r="C82" s="12" t="s">
        <v>270</v>
      </c>
      <c r="D82" s="12" t="s">
        <v>24</v>
      </c>
      <c r="E82" s="12" t="s">
        <v>25</v>
      </c>
      <c r="F82" s="12" t="s">
        <v>26</v>
      </c>
      <c r="G82" s="9" t="s">
        <v>27</v>
      </c>
      <c r="H82" s="13"/>
      <c r="I82" s="13"/>
      <c r="J82" s="13"/>
      <c r="K82" s="13"/>
      <c r="L82" s="13"/>
      <c r="M82" s="13"/>
      <c r="N82" s="13"/>
    </row>
    <row r="83" spans="1:14" ht="12.75" x14ac:dyDescent="0.2">
      <c r="A83" s="52"/>
      <c r="B83" s="12">
        <v>30</v>
      </c>
      <c r="C83" s="12" t="s">
        <v>302</v>
      </c>
      <c r="D83" s="12" t="s">
        <v>24</v>
      </c>
      <c r="E83" s="12" t="s">
        <v>25</v>
      </c>
      <c r="F83" s="12" t="s">
        <v>26</v>
      </c>
      <c r="G83" s="9" t="s">
        <v>27</v>
      </c>
      <c r="H83" s="13"/>
      <c r="I83" s="13"/>
      <c r="J83" s="13"/>
      <c r="K83" s="13"/>
      <c r="L83" s="13"/>
      <c r="M83" s="13"/>
      <c r="N83" s="13"/>
    </row>
    <row r="84" spans="1:14" ht="12.75" x14ac:dyDescent="0.2">
      <c r="A84" s="52"/>
      <c r="B84" s="12">
        <v>30</v>
      </c>
      <c r="C84" s="12" t="s">
        <v>305</v>
      </c>
      <c r="D84" s="12" t="s">
        <v>24</v>
      </c>
      <c r="E84" s="12" t="s">
        <v>25</v>
      </c>
      <c r="F84" s="12" t="s">
        <v>26</v>
      </c>
      <c r="G84" s="9" t="s">
        <v>27</v>
      </c>
      <c r="H84" s="13"/>
      <c r="I84" s="13"/>
      <c r="J84" s="13"/>
      <c r="K84" s="13"/>
      <c r="L84" s="13"/>
      <c r="M84" s="13"/>
      <c r="N84" s="13"/>
    </row>
    <row r="85" spans="1:14" ht="12.75" x14ac:dyDescent="0.2">
      <c r="A85" s="52"/>
      <c r="B85" s="12">
        <v>30</v>
      </c>
      <c r="C85" s="12" t="s">
        <v>303</v>
      </c>
      <c r="D85" s="12" t="s">
        <v>30</v>
      </c>
      <c r="E85" s="12" t="s">
        <v>25</v>
      </c>
      <c r="F85" s="12" t="s">
        <v>26</v>
      </c>
      <c r="G85" s="9" t="s">
        <v>27</v>
      </c>
      <c r="H85" s="13"/>
      <c r="I85" s="13"/>
      <c r="J85" s="13"/>
      <c r="K85" s="13"/>
      <c r="L85" s="13"/>
      <c r="M85" s="13"/>
      <c r="N85" s="13"/>
    </row>
    <row r="86" spans="1:14" ht="12.75" x14ac:dyDescent="0.2">
      <c r="A86" s="52"/>
      <c r="B86" s="12">
        <v>30</v>
      </c>
      <c r="C86" s="12" t="s">
        <v>306</v>
      </c>
      <c r="D86" s="12" t="s">
        <v>24</v>
      </c>
      <c r="E86" s="12" t="s">
        <v>25</v>
      </c>
      <c r="F86" s="12" t="s">
        <v>26</v>
      </c>
      <c r="G86" s="9" t="s">
        <v>27</v>
      </c>
      <c r="H86" s="13"/>
      <c r="I86" s="13"/>
      <c r="J86" s="13"/>
      <c r="K86" s="13"/>
      <c r="L86" s="13"/>
      <c r="M86" s="13"/>
      <c r="N86" s="13"/>
    </row>
    <row r="87" spans="1:14" ht="12.75" x14ac:dyDescent="0.2">
      <c r="A87" s="52"/>
      <c r="B87" s="12">
        <v>30</v>
      </c>
      <c r="C87" s="12" t="s">
        <v>307</v>
      </c>
      <c r="D87" s="12" t="s">
        <v>24</v>
      </c>
      <c r="E87" s="12" t="s">
        <v>25</v>
      </c>
      <c r="F87" s="12" t="s">
        <v>26</v>
      </c>
      <c r="G87" s="9" t="s">
        <v>27</v>
      </c>
      <c r="H87" s="13"/>
      <c r="I87" s="13"/>
      <c r="J87" s="13"/>
      <c r="K87" s="13"/>
      <c r="L87" s="13"/>
      <c r="M87" s="13"/>
      <c r="N87" s="13"/>
    </row>
    <row r="88" spans="1:14" ht="12.75" x14ac:dyDescent="0.2">
      <c r="A88" s="52"/>
      <c r="B88" s="12">
        <v>30</v>
      </c>
      <c r="C88" s="12" t="s">
        <v>282</v>
      </c>
      <c r="D88" s="12" t="s">
        <v>24</v>
      </c>
      <c r="E88" s="12" t="s">
        <v>25</v>
      </c>
      <c r="F88" s="12" t="s">
        <v>26</v>
      </c>
      <c r="G88" s="9" t="s">
        <v>27</v>
      </c>
      <c r="H88" s="13"/>
      <c r="I88" s="13"/>
      <c r="J88" s="13"/>
      <c r="K88" s="13"/>
      <c r="L88" s="13"/>
      <c r="M88" s="13"/>
      <c r="N88" s="13"/>
    </row>
    <row r="89" spans="1:14" ht="12.75" x14ac:dyDescent="0.2">
      <c r="A89" s="53"/>
      <c r="B89" s="12">
        <v>30</v>
      </c>
      <c r="C89" s="12" t="s">
        <v>308</v>
      </c>
      <c r="D89" s="12" t="s">
        <v>24</v>
      </c>
      <c r="E89" s="12" t="s">
        <v>25</v>
      </c>
      <c r="F89" s="12" t="s">
        <v>26</v>
      </c>
      <c r="G89" s="9" t="s">
        <v>27</v>
      </c>
      <c r="H89" s="13"/>
      <c r="I89" s="13"/>
      <c r="J89" s="13"/>
      <c r="K89" s="13"/>
      <c r="L89" s="13"/>
      <c r="M89" s="13"/>
      <c r="N89" s="13"/>
    </row>
    <row r="90" spans="1:14" ht="12.75" x14ac:dyDescent="0.2">
      <c r="A90" s="48" t="s">
        <v>77</v>
      </c>
      <c r="B90" s="9">
        <v>30</v>
      </c>
      <c r="C90" s="9" t="s">
        <v>309</v>
      </c>
      <c r="D90" s="9" t="s">
        <v>24</v>
      </c>
      <c r="E90" s="9" t="s">
        <v>31</v>
      </c>
      <c r="F90" s="9" t="s">
        <v>26</v>
      </c>
      <c r="G90" s="9" t="s">
        <v>27</v>
      </c>
      <c r="H90" s="13"/>
      <c r="I90" s="13"/>
      <c r="J90" s="13"/>
      <c r="K90" s="13"/>
      <c r="L90" s="13"/>
      <c r="M90" s="13"/>
      <c r="N90" s="13"/>
    </row>
    <row r="91" spans="1:14" ht="12.75" x14ac:dyDescent="0.2">
      <c r="A91" s="52"/>
      <c r="B91" s="9">
        <v>30</v>
      </c>
      <c r="C91" s="9" t="s">
        <v>278</v>
      </c>
      <c r="D91" s="9" t="s">
        <v>24</v>
      </c>
      <c r="E91" s="9" t="s">
        <v>31</v>
      </c>
      <c r="F91" s="9" t="s">
        <v>26</v>
      </c>
      <c r="G91" s="9" t="s">
        <v>27</v>
      </c>
      <c r="H91" s="13"/>
      <c r="I91" s="13"/>
      <c r="J91" s="13"/>
      <c r="K91" s="13"/>
      <c r="L91" s="13"/>
      <c r="M91" s="13"/>
      <c r="N91" s="13"/>
    </row>
    <row r="92" spans="1:14" ht="12.75" x14ac:dyDescent="0.2">
      <c r="A92" s="52"/>
      <c r="B92" s="9">
        <v>30</v>
      </c>
      <c r="C92" s="9" t="s">
        <v>265</v>
      </c>
      <c r="D92" s="9" t="s">
        <v>24</v>
      </c>
      <c r="E92" s="9" t="s">
        <v>31</v>
      </c>
      <c r="F92" s="9" t="s">
        <v>26</v>
      </c>
      <c r="G92" s="9" t="s">
        <v>27</v>
      </c>
      <c r="H92" s="13"/>
      <c r="I92" s="13"/>
      <c r="J92" s="13"/>
      <c r="K92" s="13"/>
      <c r="L92" s="13"/>
      <c r="M92" s="13"/>
      <c r="N92" s="13"/>
    </row>
    <row r="93" spans="1:14" ht="12.75" x14ac:dyDescent="0.2">
      <c r="A93" s="52"/>
      <c r="B93" s="9">
        <v>30</v>
      </c>
      <c r="C93" s="9" t="s">
        <v>266</v>
      </c>
      <c r="D93" s="9" t="s">
        <v>24</v>
      </c>
      <c r="E93" s="9" t="s">
        <v>31</v>
      </c>
      <c r="F93" s="9" t="s">
        <v>26</v>
      </c>
      <c r="G93" s="9" t="s">
        <v>27</v>
      </c>
      <c r="H93" s="13"/>
      <c r="I93" s="13"/>
      <c r="J93" s="13"/>
      <c r="K93" s="13"/>
      <c r="L93" s="13"/>
      <c r="M93" s="13"/>
      <c r="N93" s="13"/>
    </row>
    <row r="94" spans="1:14" ht="12.75" x14ac:dyDescent="0.2">
      <c r="A94" s="52"/>
      <c r="B94" s="9">
        <v>30</v>
      </c>
      <c r="C94" s="9" t="s">
        <v>310</v>
      </c>
      <c r="D94" s="9" t="s">
        <v>30</v>
      </c>
      <c r="E94" s="9" t="s">
        <v>31</v>
      </c>
      <c r="F94" s="9" t="s">
        <v>26</v>
      </c>
      <c r="G94" s="9" t="s">
        <v>27</v>
      </c>
      <c r="H94" s="13"/>
      <c r="I94" s="13"/>
      <c r="J94" s="13"/>
      <c r="K94" s="13"/>
      <c r="L94" s="13"/>
      <c r="M94" s="13"/>
      <c r="N94" s="13"/>
    </row>
    <row r="95" spans="1:14" ht="12.75" x14ac:dyDescent="0.2">
      <c r="A95" s="52"/>
      <c r="B95" s="9">
        <v>30</v>
      </c>
      <c r="C95" s="9" t="s">
        <v>267</v>
      </c>
      <c r="D95" s="9" t="s">
        <v>30</v>
      </c>
      <c r="E95" s="9" t="s">
        <v>31</v>
      </c>
      <c r="F95" s="9" t="s">
        <v>26</v>
      </c>
      <c r="G95" s="9" t="s">
        <v>27</v>
      </c>
      <c r="H95" s="13"/>
      <c r="I95" s="13"/>
      <c r="J95" s="13"/>
      <c r="K95" s="13"/>
      <c r="L95" s="13"/>
      <c r="M95" s="13"/>
      <c r="N95" s="13"/>
    </row>
    <row r="96" spans="1:14" ht="12.75" x14ac:dyDescent="0.2">
      <c r="A96" s="52"/>
      <c r="B96" s="9">
        <v>30</v>
      </c>
      <c r="C96" s="9" t="s">
        <v>311</v>
      </c>
      <c r="D96" s="9" t="s">
        <v>24</v>
      </c>
      <c r="E96" s="9" t="s">
        <v>31</v>
      </c>
      <c r="F96" s="9" t="s">
        <v>26</v>
      </c>
      <c r="G96" s="9" t="s">
        <v>27</v>
      </c>
      <c r="H96" s="13"/>
      <c r="I96" s="13"/>
      <c r="J96" s="13"/>
      <c r="K96" s="13"/>
      <c r="L96" s="13"/>
      <c r="M96" s="13"/>
      <c r="N96" s="13"/>
    </row>
    <row r="97" spans="1:14" ht="12.75" x14ac:dyDescent="0.2">
      <c r="A97" s="52"/>
      <c r="B97" s="9">
        <v>30</v>
      </c>
      <c r="C97" s="9" t="s">
        <v>307</v>
      </c>
      <c r="D97" s="9" t="s">
        <v>24</v>
      </c>
      <c r="E97" s="9" t="s">
        <v>31</v>
      </c>
      <c r="F97" s="9" t="s">
        <v>26</v>
      </c>
      <c r="G97" s="9" t="s">
        <v>27</v>
      </c>
      <c r="H97" s="13"/>
      <c r="I97" s="13"/>
      <c r="J97" s="13"/>
      <c r="K97" s="13"/>
      <c r="L97" s="13"/>
      <c r="M97" s="13"/>
      <c r="N97" s="13"/>
    </row>
    <row r="98" spans="1:14" ht="12.75" x14ac:dyDescent="0.2">
      <c r="A98" s="52"/>
      <c r="B98" s="9">
        <v>30</v>
      </c>
      <c r="C98" s="9" t="s">
        <v>312</v>
      </c>
      <c r="D98" s="9" t="s">
        <v>24</v>
      </c>
      <c r="E98" s="9" t="s">
        <v>31</v>
      </c>
      <c r="F98" s="9" t="s">
        <v>26</v>
      </c>
      <c r="G98" s="9" t="s">
        <v>27</v>
      </c>
      <c r="H98" s="13"/>
      <c r="I98" s="13"/>
      <c r="J98" s="13"/>
      <c r="K98" s="13"/>
      <c r="L98" s="13"/>
      <c r="M98" s="13"/>
      <c r="N98" s="13"/>
    </row>
    <row r="99" spans="1:14" ht="12.75" x14ac:dyDescent="0.2">
      <c r="A99" s="52"/>
      <c r="B99" s="9">
        <v>30</v>
      </c>
      <c r="C99" s="9" t="s">
        <v>282</v>
      </c>
      <c r="D99" s="9" t="s">
        <v>24</v>
      </c>
      <c r="E99" s="9" t="s">
        <v>31</v>
      </c>
      <c r="F99" s="9" t="s">
        <v>26</v>
      </c>
      <c r="G99" s="9" t="s">
        <v>27</v>
      </c>
      <c r="H99" s="13"/>
      <c r="I99" s="13"/>
      <c r="J99" s="13"/>
      <c r="K99" s="13"/>
      <c r="L99" s="13"/>
      <c r="M99" s="13"/>
      <c r="N99" s="13"/>
    </row>
    <row r="100" spans="1:14" ht="12.75" x14ac:dyDescent="0.2">
      <c r="A100" s="53"/>
      <c r="B100" s="9">
        <v>30</v>
      </c>
      <c r="C100" s="9" t="s">
        <v>304</v>
      </c>
      <c r="D100" s="9" t="s">
        <v>30</v>
      </c>
      <c r="E100" s="9" t="s">
        <v>31</v>
      </c>
      <c r="F100" s="9" t="s">
        <v>26</v>
      </c>
      <c r="G100" s="9" t="s">
        <v>27</v>
      </c>
      <c r="H100" s="13"/>
      <c r="I100" s="13"/>
      <c r="J100" s="13"/>
      <c r="K100" s="13"/>
      <c r="L100" s="13"/>
      <c r="M100" s="13"/>
      <c r="N100" s="13"/>
    </row>
    <row r="101" spans="1:14" ht="12.75" x14ac:dyDescent="0.2">
      <c r="A101" s="48" t="s">
        <v>79</v>
      </c>
      <c r="B101" s="9">
        <v>30</v>
      </c>
      <c r="C101" s="9" t="s">
        <v>278</v>
      </c>
      <c r="D101" s="9" t="s">
        <v>24</v>
      </c>
      <c r="E101" s="9" t="s">
        <v>31</v>
      </c>
      <c r="F101" s="9" t="s">
        <v>26</v>
      </c>
      <c r="G101" s="9" t="s">
        <v>27</v>
      </c>
      <c r="H101" s="13"/>
      <c r="I101" s="13"/>
      <c r="J101" s="13"/>
      <c r="K101" s="13"/>
      <c r="L101" s="13"/>
      <c r="M101" s="13"/>
      <c r="N101" s="13"/>
    </row>
    <row r="102" spans="1:14" ht="12.75" x14ac:dyDescent="0.2">
      <c r="A102" s="52"/>
      <c r="B102" s="9">
        <v>30</v>
      </c>
      <c r="C102" s="9" t="s">
        <v>265</v>
      </c>
      <c r="D102" s="9" t="s">
        <v>24</v>
      </c>
      <c r="E102" s="9" t="s">
        <v>31</v>
      </c>
      <c r="F102" s="9" t="s">
        <v>26</v>
      </c>
      <c r="G102" s="9" t="s">
        <v>27</v>
      </c>
      <c r="H102" s="13"/>
      <c r="I102" s="13"/>
      <c r="J102" s="13"/>
      <c r="K102" s="13"/>
      <c r="L102" s="13"/>
      <c r="M102" s="13"/>
      <c r="N102" s="13"/>
    </row>
    <row r="103" spans="1:14" ht="12.75" x14ac:dyDescent="0.2">
      <c r="A103" s="52"/>
      <c r="B103" s="9">
        <v>30</v>
      </c>
      <c r="C103" s="9" t="s">
        <v>266</v>
      </c>
      <c r="D103" s="9" t="s">
        <v>24</v>
      </c>
      <c r="E103" s="9" t="s">
        <v>31</v>
      </c>
      <c r="F103" s="9" t="s">
        <v>26</v>
      </c>
      <c r="G103" s="9" t="s">
        <v>27</v>
      </c>
      <c r="H103" s="13"/>
      <c r="I103" s="13"/>
      <c r="J103" s="13"/>
      <c r="K103" s="13"/>
      <c r="L103" s="13"/>
      <c r="M103" s="13"/>
      <c r="N103" s="13"/>
    </row>
    <row r="104" spans="1:14" ht="12.75" x14ac:dyDescent="0.2">
      <c r="A104" s="53"/>
      <c r="B104" s="9">
        <v>30</v>
      </c>
      <c r="C104" s="9" t="s">
        <v>313</v>
      </c>
      <c r="D104" s="9" t="s">
        <v>30</v>
      </c>
      <c r="E104" s="9" t="s">
        <v>31</v>
      </c>
      <c r="F104" s="9" t="s">
        <v>26</v>
      </c>
      <c r="G104" s="9" t="s">
        <v>27</v>
      </c>
      <c r="H104" s="13"/>
      <c r="I104" s="13"/>
      <c r="J104" s="13"/>
      <c r="K104" s="13"/>
      <c r="L104" s="13"/>
      <c r="M104" s="13"/>
      <c r="N104" s="13"/>
    </row>
    <row r="105" spans="1:14" ht="12.75" x14ac:dyDescent="0.2">
      <c r="A105" s="48" t="s">
        <v>83</v>
      </c>
      <c r="B105" s="12">
        <v>30</v>
      </c>
      <c r="C105" s="12" t="s">
        <v>264</v>
      </c>
      <c r="D105" s="12" t="s">
        <v>24</v>
      </c>
      <c r="E105" s="12" t="s">
        <v>25</v>
      </c>
      <c r="F105" s="12" t="s">
        <v>26</v>
      </c>
      <c r="G105" s="9" t="s">
        <v>27</v>
      </c>
      <c r="H105" s="13"/>
      <c r="I105" s="13"/>
      <c r="J105" s="13"/>
      <c r="K105" s="13"/>
      <c r="L105" s="13"/>
      <c r="M105" s="13"/>
      <c r="N105" s="13"/>
    </row>
    <row r="106" spans="1:14" ht="12.75" x14ac:dyDescent="0.2">
      <c r="A106" s="52"/>
      <c r="B106" s="12">
        <v>30</v>
      </c>
      <c r="C106" s="12" t="s">
        <v>278</v>
      </c>
      <c r="D106" s="12" t="s">
        <v>24</v>
      </c>
      <c r="E106" s="12" t="s">
        <v>25</v>
      </c>
      <c r="F106" s="12" t="s">
        <v>26</v>
      </c>
      <c r="G106" s="9" t="s">
        <v>27</v>
      </c>
      <c r="H106" s="13"/>
      <c r="I106" s="13"/>
      <c r="J106" s="13"/>
      <c r="K106" s="13"/>
      <c r="L106" s="13"/>
      <c r="M106" s="13"/>
      <c r="N106" s="13"/>
    </row>
    <row r="107" spans="1:14" ht="12.75" x14ac:dyDescent="0.2">
      <c r="A107" s="52"/>
      <c r="B107" s="12">
        <v>30</v>
      </c>
      <c r="C107" s="12" t="s">
        <v>266</v>
      </c>
      <c r="D107" s="12" t="s">
        <v>24</v>
      </c>
      <c r="E107" s="12" t="s">
        <v>25</v>
      </c>
      <c r="F107" s="12" t="s">
        <v>26</v>
      </c>
      <c r="G107" s="9" t="s">
        <v>27</v>
      </c>
      <c r="H107" s="13"/>
      <c r="I107" s="13"/>
      <c r="J107" s="13"/>
      <c r="K107" s="13"/>
      <c r="L107" s="13"/>
      <c r="M107" s="13"/>
      <c r="N107" s="13"/>
    </row>
    <row r="108" spans="1:14" ht="12.75" x14ac:dyDescent="0.2">
      <c r="A108" s="53"/>
      <c r="B108" s="12">
        <v>30</v>
      </c>
      <c r="C108" s="12" t="s">
        <v>267</v>
      </c>
      <c r="D108" s="12" t="s">
        <v>30</v>
      </c>
      <c r="E108" s="12" t="s">
        <v>25</v>
      </c>
      <c r="F108" s="12" t="s">
        <v>26</v>
      </c>
      <c r="G108" s="9" t="s">
        <v>27</v>
      </c>
      <c r="H108" s="13"/>
      <c r="I108" s="13"/>
      <c r="J108" s="13"/>
      <c r="K108" s="13"/>
      <c r="L108" s="13"/>
      <c r="M108" s="13"/>
      <c r="N108" s="13"/>
    </row>
    <row r="109" spans="1:14" ht="12.75" x14ac:dyDescent="0.2">
      <c r="A109" s="48" t="s">
        <v>85</v>
      </c>
      <c r="B109" s="9">
        <v>30</v>
      </c>
      <c r="C109" s="9" t="s">
        <v>314</v>
      </c>
      <c r="D109" s="9" t="s">
        <v>24</v>
      </c>
      <c r="E109" s="9" t="s">
        <v>31</v>
      </c>
      <c r="F109" s="9" t="s">
        <v>26</v>
      </c>
      <c r="G109" s="9" t="s">
        <v>27</v>
      </c>
      <c r="H109" s="13"/>
      <c r="I109" s="13"/>
      <c r="J109" s="13"/>
      <c r="K109" s="13"/>
      <c r="L109" s="13"/>
      <c r="M109" s="13"/>
      <c r="N109" s="13"/>
    </row>
    <row r="110" spans="1:14" ht="12.75" x14ac:dyDescent="0.2">
      <c r="A110" s="52"/>
      <c r="B110" s="9">
        <v>30</v>
      </c>
      <c r="C110" s="9" t="s">
        <v>315</v>
      </c>
      <c r="D110" s="9" t="s">
        <v>24</v>
      </c>
      <c r="E110" s="9" t="s">
        <v>31</v>
      </c>
      <c r="F110" s="9" t="s">
        <v>26</v>
      </c>
      <c r="G110" s="9" t="s">
        <v>27</v>
      </c>
      <c r="H110" s="13"/>
      <c r="I110" s="13"/>
      <c r="J110" s="13"/>
      <c r="K110" s="13"/>
      <c r="L110" s="13"/>
      <c r="M110" s="13"/>
      <c r="N110" s="13"/>
    </row>
    <row r="111" spans="1:14" ht="12.75" x14ac:dyDescent="0.2">
      <c r="A111" s="53"/>
      <c r="B111" s="9">
        <v>30</v>
      </c>
      <c r="C111" s="9" t="s">
        <v>316</v>
      </c>
      <c r="D111" s="9" t="s">
        <v>24</v>
      </c>
      <c r="E111" s="9" t="s">
        <v>31</v>
      </c>
      <c r="F111" s="9" t="s">
        <v>26</v>
      </c>
      <c r="G111" s="9" t="s">
        <v>27</v>
      </c>
      <c r="H111" s="13"/>
      <c r="I111" s="13"/>
      <c r="J111" s="13"/>
      <c r="K111" s="13"/>
      <c r="L111" s="13"/>
      <c r="M111" s="13"/>
      <c r="N111" s="13"/>
    </row>
    <row r="112" spans="1:14" ht="12.75" x14ac:dyDescent="0.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</row>
    <row r="113" spans="1:14" ht="12.75" x14ac:dyDescent="0.2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</row>
    <row r="114" spans="1:14" ht="12.75" x14ac:dyDescent="0.2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</row>
    <row r="115" spans="1:14" ht="12.75" x14ac:dyDescent="0.2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</row>
    <row r="116" spans="1:14" ht="12.75" x14ac:dyDescent="0.2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</row>
    <row r="117" spans="1:14" ht="12.75" x14ac:dyDescent="0.2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</row>
    <row r="118" spans="1:14" ht="12.75" x14ac:dyDescent="0.2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</row>
  </sheetData>
  <mergeCells count="16">
    <mergeCell ref="A56:A60"/>
    <mergeCell ref="A61:A63"/>
    <mergeCell ref="A105:A108"/>
    <mergeCell ref="A109:A111"/>
    <mergeCell ref="A64:A67"/>
    <mergeCell ref="A68:A70"/>
    <mergeCell ref="A71:A74"/>
    <mergeCell ref="A76:A81"/>
    <mergeCell ref="A82:A89"/>
    <mergeCell ref="A90:A100"/>
    <mergeCell ref="A101:A104"/>
    <mergeCell ref="A1:G1"/>
    <mergeCell ref="A10:A14"/>
    <mergeCell ref="A15:A24"/>
    <mergeCell ref="A25:A41"/>
    <mergeCell ref="A42:A55"/>
  </mergeCell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M90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13" ht="15.75" customHeight="1" x14ac:dyDescent="0.25">
      <c r="A1" s="54" t="s">
        <v>0</v>
      </c>
      <c r="B1" s="55"/>
      <c r="C1" s="55"/>
      <c r="D1" s="55"/>
      <c r="E1" s="55"/>
      <c r="F1" s="55"/>
      <c r="G1" s="56"/>
    </row>
    <row r="2" spans="1:13" x14ac:dyDescent="0.2">
      <c r="A2" s="1"/>
      <c r="B2" s="2"/>
      <c r="C2" s="2"/>
      <c r="D2" s="2"/>
      <c r="E2" s="2"/>
      <c r="F2" s="2"/>
      <c r="G2" s="2"/>
    </row>
    <row r="3" spans="1:13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13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13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13" x14ac:dyDescent="0.2">
      <c r="A6" s="1"/>
      <c r="B6" s="2"/>
      <c r="C6" s="2"/>
      <c r="D6" s="2"/>
      <c r="E6" s="2"/>
      <c r="F6" s="2"/>
      <c r="G6" s="2"/>
    </row>
    <row r="7" spans="1:13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13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13" x14ac:dyDescent="0.2">
      <c r="A9" s="48" t="s">
        <v>20</v>
      </c>
      <c r="B9" s="9">
        <v>31</v>
      </c>
      <c r="C9" s="9" t="s">
        <v>317</v>
      </c>
      <c r="D9" s="9" t="s">
        <v>24</v>
      </c>
      <c r="E9" s="9" t="s">
        <v>31</v>
      </c>
      <c r="F9" s="9" t="s">
        <v>87</v>
      </c>
      <c r="G9" s="9" t="s">
        <v>27</v>
      </c>
      <c r="H9" s="11"/>
      <c r="I9" s="11"/>
      <c r="J9" s="11"/>
      <c r="K9" s="11"/>
      <c r="L9" s="11"/>
      <c r="M9" s="11"/>
    </row>
    <row r="10" spans="1:13" x14ac:dyDescent="0.2">
      <c r="A10" s="53"/>
      <c r="B10" s="9">
        <v>31</v>
      </c>
      <c r="C10" s="9" t="s">
        <v>318</v>
      </c>
      <c r="D10" s="9" t="s">
        <v>24</v>
      </c>
      <c r="E10" s="9" t="s">
        <v>31</v>
      </c>
      <c r="F10" s="9" t="s">
        <v>87</v>
      </c>
      <c r="G10" s="9" t="s">
        <v>27</v>
      </c>
      <c r="H10" s="11"/>
      <c r="I10" s="11"/>
      <c r="J10" s="11"/>
      <c r="K10" s="11"/>
      <c r="L10" s="11"/>
      <c r="M10" s="11"/>
    </row>
    <row r="11" spans="1:13" x14ac:dyDescent="0.2">
      <c r="A11" s="48" t="s">
        <v>22</v>
      </c>
      <c r="B11" s="9">
        <v>31</v>
      </c>
      <c r="C11" s="9" t="s">
        <v>319</v>
      </c>
      <c r="D11" s="9" t="s">
        <v>24</v>
      </c>
      <c r="E11" s="9" t="s">
        <v>31</v>
      </c>
      <c r="F11" s="9" t="s">
        <v>26</v>
      </c>
      <c r="G11" s="9" t="s">
        <v>27</v>
      </c>
      <c r="H11" s="11"/>
      <c r="I11" s="11"/>
      <c r="J11" s="11"/>
      <c r="K11" s="11"/>
      <c r="L11" s="11"/>
      <c r="M11" s="11"/>
    </row>
    <row r="12" spans="1:13" x14ac:dyDescent="0.2">
      <c r="A12" s="52"/>
      <c r="B12" s="9">
        <v>31</v>
      </c>
      <c r="C12" s="9" t="s">
        <v>286</v>
      </c>
      <c r="D12" s="9" t="s">
        <v>24</v>
      </c>
      <c r="E12" s="9" t="s">
        <v>25</v>
      </c>
      <c r="F12" s="9" t="s">
        <v>26</v>
      </c>
      <c r="G12" s="9" t="s">
        <v>27</v>
      </c>
      <c r="H12" s="11"/>
      <c r="I12" s="11"/>
      <c r="J12" s="11"/>
      <c r="K12" s="11"/>
      <c r="L12" s="11"/>
      <c r="M12" s="11"/>
    </row>
    <row r="13" spans="1:13" x14ac:dyDescent="0.2">
      <c r="A13" s="53"/>
      <c r="B13" s="9">
        <v>31</v>
      </c>
      <c r="C13" s="9" t="s">
        <v>288</v>
      </c>
      <c r="D13" s="9" t="s">
        <v>24</v>
      </c>
      <c r="E13" s="9" t="s">
        <v>25</v>
      </c>
      <c r="F13" s="9" t="s">
        <v>26</v>
      </c>
      <c r="G13" s="9" t="s">
        <v>27</v>
      </c>
      <c r="H13" s="11"/>
      <c r="I13" s="11"/>
      <c r="J13" s="11"/>
      <c r="K13" s="11"/>
      <c r="L13" s="11"/>
      <c r="M13" s="11"/>
    </row>
    <row r="14" spans="1:13" x14ac:dyDescent="0.2">
      <c r="A14" s="48" t="s">
        <v>28</v>
      </c>
      <c r="B14" s="9">
        <v>31</v>
      </c>
      <c r="C14" s="9" t="s">
        <v>320</v>
      </c>
      <c r="D14" s="9" t="s">
        <v>30</v>
      </c>
      <c r="E14" s="9" t="s">
        <v>31</v>
      </c>
      <c r="F14" s="9" t="s">
        <v>26</v>
      </c>
      <c r="G14" s="9" t="s">
        <v>27</v>
      </c>
      <c r="H14" s="11"/>
      <c r="I14" s="11"/>
      <c r="J14" s="11"/>
      <c r="K14" s="11"/>
      <c r="L14" s="11"/>
      <c r="M14" s="11"/>
    </row>
    <row r="15" spans="1:13" x14ac:dyDescent="0.2">
      <c r="A15" s="52"/>
      <c r="B15" s="9">
        <v>31</v>
      </c>
      <c r="C15" s="9" t="s">
        <v>293</v>
      </c>
      <c r="D15" s="9" t="s">
        <v>24</v>
      </c>
      <c r="E15" s="9" t="s">
        <v>31</v>
      </c>
      <c r="F15" s="9" t="s">
        <v>26</v>
      </c>
      <c r="G15" s="9" t="s">
        <v>27</v>
      </c>
      <c r="H15" s="11"/>
      <c r="I15" s="11"/>
      <c r="J15" s="11"/>
      <c r="K15" s="11"/>
      <c r="L15" s="11"/>
      <c r="M15" s="11"/>
    </row>
    <row r="16" spans="1:13" x14ac:dyDescent="0.2">
      <c r="A16" s="53"/>
      <c r="B16" s="9">
        <v>31</v>
      </c>
      <c r="C16" s="9" t="s">
        <v>321</v>
      </c>
      <c r="D16" s="9" t="s">
        <v>24</v>
      </c>
      <c r="E16" s="9" t="s">
        <v>31</v>
      </c>
      <c r="F16" s="9" t="s">
        <v>26</v>
      </c>
      <c r="G16" s="9" t="s">
        <v>27</v>
      </c>
      <c r="H16" s="11"/>
      <c r="I16" s="11"/>
      <c r="J16" s="11"/>
      <c r="K16" s="11"/>
      <c r="L16" s="11"/>
      <c r="M16" s="11"/>
    </row>
    <row r="17" spans="1:13" x14ac:dyDescent="0.2">
      <c r="A17" s="48" t="s">
        <v>33</v>
      </c>
      <c r="B17" s="9">
        <v>31</v>
      </c>
      <c r="C17" s="9" t="s">
        <v>322</v>
      </c>
      <c r="D17" s="9" t="s">
        <v>30</v>
      </c>
      <c r="E17" s="9" t="s">
        <v>31</v>
      </c>
      <c r="F17" s="9" t="s">
        <v>26</v>
      </c>
      <c r="G17" s="9" t="s">
        <v>27</v>
      </c>
      <c r="H17" s="11"/>
      <c r="I17" s="11"/>
      <c r="J17" s="11"/>
      <c r="K17" s="11"/>
      <c r="L17" s="11"/>
      <c r="M17" s="11"/>
    </row>
    <row r="18" spans="1:13" x14ac:dyDescent="0.2">
      <c r="A18" s="50"/>
      <c r="B18" s="9">
        <v>31</v>
      </c>
      <c r="C18" s="9" t="s">
        <v>323</v>
      </c>
      <c r="D18" s="9" t="s">
        <v>24</v>
      </c>
      <c r="E18" s="9" t="s">
        <v>31</v>
      </c>
      <c r="F18" s="9" t="s">
        <v>47</v>
      </c>
      <c r="G18" s="9" t="s">
        <v>27</v>
      </c>
      <c r="H18" s="11"/>
      <c r="I18" s="11"/>
      <c r="J18" s="11"/>
      <c r="K18" s="11"/>
      <c r="L18" s="11"/>
      <c r="M18" s="11"/>
    </row>
    <row r="19" spans="1:13" x14ac:dyDescent="0.2">
      <c r="A19" s="51"/>
      <c r="B19" s="9">
        <v>31</v>
      </c>
      <c r="C19" s="9" t="s">
        <v>324</v>
      </c>
      <c r="D19" s="9" t="s">
        <v>24</v>
      </c>
      <c r="E19" s="9" t="s">
        <v>31</v>
      </c>
      <c r="F19" s="9" t="s">
        <v>47</v>
      </c>
      <c r="G19" s="9" t="s">
        <v>27</v>
      </c>
      <c r="H19" s="11"/>
      <c r="I19" s="11"/>
      <c r="J19" s="11"/>
      <c r="K19" s="11"/>
      <c r="L19" s="11"/>
      <c r="M19" s="11"/>
    </row>
    <row r="20" spans="1:13" x14ac:dyDescent="0.2">
      <c r="A20" s="50"/>
      <c r="B20" s="9">
        <v>31</v>
      </c>
      <c r="C20" s="9" t="s">
        <v>325</v>
      </c>
      <c r="D20" s="9" t="s">
        <v>24</v>
      </c>
      <c r="E20" s="9" t="s">
        <v>31</v>
      </c>
      <c r="F20" s="9" t="s">
        <v>26</v>
      </c>
      <c r="G20" s="9" t="s">
        <v>27</v>
      </c>
      <c r="H20" s="11"/>
      <c r="I20" s="11"/>
      <c r="J20" s="11"/>
      <c r="K20" s="11"/>
      <c r="L20" s="11"/>
      <c r="M20" s="11"/>
    </row>
    <row r="21" spans="1:13" x14ac:dyDescent="0.2">
      <c r="A21" s="51"/>
      <c r="B21" s="9">
        <v>31</v>
      </c>
      <c r="C21" s="9" t="s">
        <v>326</v>
      </c>
      <c r="D21" s="9" t="s">
        <v>24</v>
      </c>
      <c r="E21" s="9" t="s">
        <v>31</v>
      </c>
      <c r="F21" s="9" t="s">
        <v>26</v>
      </c>
      <c r="G21" s="9" t="s">
        <v>27</v>
      </c>
      <c r="H21" s="11"/>
      <c r="I21" s="11"/>
      <c r="J21" s="11"/>
      <c r="K21" s="11"/>
      <c r="L21" s="11"/>
      <c r="M21" s="11"/>
    </row>
    <row r="22" spans="1:13" x14ac:dyDescent="0.2">
      <c r="A22" s="50"/>
      <c r="B22" s="9">
        <v>31</v>
      </c>
      <c r="C22" s="9" t="s">
        <v>327</v>
      </c>
      <c r="D22" s="9" t="s">
        <v>24</v>
      </c>
      <c r="E22" s="9" t="s">
        <v>31</v>
      </c>
      <c r="F22" s="9" t="s">
        <v>26</v>
      </c>
      <c r="G22" s="9" t="s">
        <v>27</v>
      </c>
      <c r="H22" s="11"/>
      <c r="I22" s="11"/>
      <c r="J22" s="11"/>
      <c r="K22" s="11"/>
      <c r="L22" s="11"/>
      <c r="M22" s="11"/>
    </row>
    <row r="23" spans="1:13" x14ac:dyDescent="0.2">
      <c r="A23" s="51"/>
      <c r="B23" s="9">
        <v>31</v>
      </c>
      <c r="C23" s="9" t="s">
        <v>309</v>
      </c>
      <c r="D23" s="9" t="s">
        <v>24</v>
      </c>
      <c r="E23" s="9" t="s">
        <v>31</v>
      </c>
      <c r="F23" s="9" t="s">
        <v>26</v>
      </c>
      <c r="G23" s="9" t="s">
        <v>27</v>
      </c>
      <c r="H23" s="11"/>
      <c r="I23" s="11"/>
      <c r="J23" s="11"/>
      <c r="K23" s="11"/>
      <c r="L23" s="11"/>
      <c r="M23" s="11"/>
    </row>
    <row r="24" spans="1:13" x14ac:dyDescent="0.2">
      <c r="A24" s="50"/>
      <c r="B24" s="9">
        <v>31</v>
      </c>
      <c r="C24" s="9" t="s">
        <v>328</v>
      </c>
      <c r="D24" s="9" t="s">
        <v>24</v>
      </c>
      <c r="E24" s="9" t="s">
        <v>31</v>
      </c>
      <c r="F24" s="9" t="s">
        <v>26</v>
      </c>
      <c r="G24" s="9" t="s">
        <v>27</v>
      </c>
      <c r="H24" s="11"/>
      <c r="I24" s="11"/>
      <c r="J24" s="11"/>
      <c r="K24" s="11"/>
      <c r="L24" s="11"/>
      <c r="M24" s="11"/>
    </row>
    <row r="25" spans="1:13" x14ac:dyDescent="0.2">
      <c r="A25" s="51"/>
      <c r="B25" s="9">
        <v>31</v>
      </c>
      <c r="C25" s="9" t="s">
        <v>329</v>
      </c>
      <c r="D25" s="9" t="s">
        <v>24</v>
      </c>
      <c r="E25" s="9" t="s">
        <v>31</v>
      </c>
      <c r="F25" s="9" t="s">
        <v>26</v>
      </c>
      <c r="G25" s="9" t="s">
        <v>27</v>
      </c>
      <c r="H25" s="11"/>
      <c r="I25" s="11"/>
      <c r="J25" s="11"/>
      <c r="K25" s="11"/>
      <c r="L25" s="11"/>
      <c r="M25" s="11"/>
    </row>
    <row r="26" spans="1:13" x14ac:dyDescent="0.2">
      <c r="A26" s="49"/>
      <c r="B26" s="9">
        <v>31</v>
      </c>
      <c r="C26" s="9" t="s">
        <v>320</v>
      </c>
      <c r="D26" s="9" t="s">
        <v>30</v>
      </c>
      <c r="E26" s="9" t="s">
        <v>31</v>
      </c>
      <c r="F26" s="9" t="s">
        <v>26</v>
      </c>
      <c r="G26" s="9" t="s">
        <v>27</v>
      </c>
      <c r="H26" s="11"/>
      <c r="I26" s="11"/>
      <c r="J26" s="11"/>
      <c r="K26" s="11"/>
      <c r="L26" s="11"/>
      <c r="M26" s="11"/>
    </row>
    <row r="27" spans="1:13" x14ac:dyDescent="0.2">
      <c r="A27" s="48" t="s">
        <v>38</v>
      </c>
      <c r="B27" s="9">
        <v>31</v>
      </c>
      <c r="C27" s="9" t="s">
        <v>330</v>
      </c>
      <c r="D27" s="9" t="s">
        <v>30</v>
      </c>
      <c r="E27" s="9" t="s">
        <v>25</v>
      </c>
      <c r="F27" s="9" t="s">
        <v>47</v>
      </c>
      <c r="G27" s="9" t="s">
        <v>27</v>
      </c>
      <c r="H27" s="11"/>
      <c r="I27" s="11"/>
      <c r="J27" s="11"/>
      <c r="K27" s="11"/>
      <c r="L27" s="11"/>
      <c r="M27" s="11"/>
    </row>
    <row r="28" spans="1:13" x14ac:dyDescent="0.2">
      <c r="A28" s="50"/>
      <c r="B28" s="9">
        <v>31</v>
      </c>
      <c r="C28" s="9" t="s">
        <v>331</v>
      </c>
      <c r="D28" s="9" t="s">
        <v>30</v>
      </c>
      <c r="E28" s="9" t="s">
        <v>25</v>
      </c>
      <c r="F28" s="9" t="s">
        <v>47</v>
      </c>
      <c r="G28" s="9" t="s">
        <v>27</v>
      </c>
      <c r="H28" s="11"/>
      <c r="I28" s="11"/>
      <c r="J28" s="11"/>
      <c r="K28" s="11"/>
      <c r="L28" s="11"/>
      <c r="M28" s="11"/>
    </row>
    <row r="29" spans="1:13" x14ac:dyDescent="0.2">
      <c r="A29" s="51"/>
      <c r="B29" s="9">
        <v>31</v>
      </c>
      <c r="C29" s="9" t="s">
        <v>332</v>
      </c>
      <c r="D29" s="9" t="s">
        <v>24</v>
      </c>
      <c r="E29" s="9" t="s">
        <v>25</v>
      </c>
      <c r="F29" s="9" t="s">
        <v>26</v>
      </c>
      <c r="G29" s="9" t="s">
        <v>27</v>
      </c>
      <c r="H29" s="11"/>
      <c r="I29" s="11"/>
      <c r="J29" s="11"/>
      <c r="K29" s="11"/>
      <c r="L29" s="11"/>
      <c r="M29" s="11"/>
    </row>
    <row r="30" spans="1:13" x14ac:dyDescent="0.2">
      <c r="A30" s="50"/>
      <c r="B30" s="9">
        <v>31</v>
      </c>
      <c r="C30" s="9" t="s">
        <v>333</v>
      </c>
      <c r="D30" s="9" t="s">
        <v>24</v>
      </c>
      <c r="E30" s="9" t="s">
        <v>25</v>
      </c>
      <c r="F30" s="9" t="s">
        <v>26</v>
      </c>
      <c r="G30" s="9" t="s">
        <v>27</v>
      </c>
      <c r="H30" s="11"/>
      <c r="I30" s="11"/>
      <c r="J30" s="11"/>
      <c r="K30" s="11"/>
      <c r="L30" s="11"/>
      <c r="M30" s="11"/>
    </row>
    <row r="31" spans="1:13" x14ac:dyDescent="0.2">
      <c r="A31" s="57"/>
      <c r="B31" s="9">
        <v>31</v>
      </c>
      <c r="C31" s="9" t="s">
        <v>334</v>
      </c>
      <c r="D31" s="9" t="s">
        <v>24</v>
      </c>
      <c r="E31" s="9" t="s">
        <v>25</v>
      </c>
      <c r="F31" s="9" t="s">
        <v>26</v>
      </c>
      <c r="G31" s="9" t="s">
        <v>27</v>
      </c>
      <c r="H31" s="11"/>
      <c r="I31" s="11"/>
      <c r="J31" s="11"/>
      <c r="K31" s="11"/>
      <c r="L31" s="11"/>
      <c r="M31" s="11"/>
    </row>
    <row r="32" spans="1:13" x14ac:dyDescent="0.2">
      <c r="A32" s="48" t="s">
        <v>46</v>
      </c>
      <c r="B32" s="9">
        <v>31</v>
      </c>
      <c r="C32" s="22" t="s">
        <v>309</v>
      </c>
      <c r="D32" s="22" t="s">
        <v>24</v>
      </c>
      <c r="E32" s="22" t="s">
        <v>31</v>
      </c>
      <c r="F32" s="22" t="s">
        <v>26</v>
      </c>
      <c r="G32" s="9" t="s">
        <v>27</v>
      </c>
      <c r="H32" s="11"/>
      <c r="I32" s="11"/>
      <c r="J32" s="11"/>
      <c r="K32" s="11"/>
      <c r="L32" s="11"/>
      <c r="M32" s="11"/>
    </row>
    <row r="33" spans="1:13" x14ac:dyDescent="0.2">
      <c r="A33" s="51"/>
      <c r="B33" s="9">
        <v>31</v>
      </c>
      <c r="C33" s="9" t="s">
        <v>327</v>
      </c>
      <c r="D33" s="9" t="s">
        <v>24</v>
      </c>
      <c r="E33" s="9" t="s">
        <v>31</v>
      </c>
      <c r="F33" s="9" t="s">
        <v>47</v>
      </c>
      <c r="G33" s="9" t="s">
        <v>27</v>
      </c>
      <c r="H33" s="11"/>
      <c r="I33" s="11"/>
      <c r="J33" s="11"/>
      <c r="K33" s="11"/>
      <c r="L33" s="11"/>
      <c r="M33" s="11"/>
    </row>
    <row r="34" spans="1:13" x14ac:dyDescent="0.2">
      <c r="A34" s="49"/>
      <c r="B34" s="9">
        <v>31</v>
      </c>
      <c r="C34" s="9" t="s">
        <v>335</v>
      </c>
      <c r="D34" s="9" t="s">
        <v>24</v>
      </c>
      <c r="E34" s="9" t="s">
        <v>31</v>
      </c>
      <c r="F34" s="9" t="s">
        <v>47</v>
      </c>
      <c r="G34" s="9" t="s">
        <v>27</v>
      </c>
      <c r="H34" s="11"/>
      <c r="I34" s="11"/>
      <c r="J34" s="11"/>
      <c r="K34" s="11"/>
      <c r="L34" s="11"/>
      <c r="M34" s="11"/>
    </row>
    <row r="35" spans="1:13" x14ac:dyDescent="0.2">
      <c r="A35" s="48" t="s">
        <v>49</v>
      </c>
      <c r="B35" s="9">
        <v>31</v>
      </c>
      <c r="C35" s="9" t="s">
        <v>309</v>
      </c>
      <c r="D35" s="9" t="s">
        <v>24</v>
      </c>
      <c r="E35" s="9" t="s">
        <v>31</v>
      </c>
      <c r="F35" s="9" t="s">
        <v>26</v>
      </c>
      <c r="G35" s="9" t="s">
        <v>27</v>
      </c>
      <c r="H35" s="11"/>
      <c r="I35" s="11"/>
      <c r="J35" s="11"/>
      <c r="K35" s="11"/>
      <c r="L35" s="11"/>
      <c r="M35" s="11"/>
    </row>
    <row r="36" spans="1:13" x14ac:dyDescent="0.2">
      <c r="A36" s="49"/>
      <c r="B36" s="9">
        <v>31</v>
      </c>
      <c r="C36" s="9" t="s">
        <v>336</v>
      </c>
      <c r="D36" s="9" t="s">
        <v>24</v>
      </c>
      <c r="E36" s="9" t="s">
        <v>31</v>
      </c>
      <c r="F36" s="9" t="s">
        <v>26</v>
      </c>
      <c r="G36" s="9" t="s">
        <v>27</v>
      </c>
      <c r="H36" s="11"/>
      <c r="I36" s="11"/>
      <c r="J36" s="11"/>
      <c r="K36" s="11"/>
      <c r="L36" s="11"/>
      <c r="M36" s="11"/>
    </row>
    <row r="37" spans="1:13" ht="12.75" x14ac:dyDescent="0.2">
      <c r="A37" s="48" t="s">
        <v>52</v>
      </c>
      <c r="B37" s="9">
        <v>31</v>
      </c>
      <c r="C37" s="9" t="s">
        <v>291</v>
      </c>
      <c r="D37" s="9" t="s">
        <v>24</v>
      </c>
      <c r="E37" s="9" t="s">
        <v>31</v>
      </c>
      <c r="F37" s="9" t="s">
        <v>26</v>
      </c>
      <c r="G37" s="9" t="s">
        <v>27</v>
      </c>
      <c r="H37" s="11"/>
      <c r="I37" s="11"/>
      <c r="J37" s="11"/>
      <c r="K37" s="11"/>
      <c r="L37" s="11"/>
      <c r="M37" s="11"/>
    </row>
    <row r="38" spans="1:13" ht="12.75" x14ac:dyDescent="0.2">
      <c r="A38" s="52"/>
      <c r="B38" s="9">
        <v>31</v>
      </c>
      <c r="C38" s="9" t="s">
        <v>336</v>
      </c>
      <c r="D38" s="9" t="s">
        <v>24</v>
      </c>
      <c r="E38" s="9" t="s">
        <v>31</v>
      </c>
      <c r="F38" s="9" t="s">
        <v>26</v>
      </c>
      <c r="G38" s="9" t="s">
        <v>27</v>
      </c>
      <c r="H38" s="11"/>
      <c r="I38" s="11"/>
      <c r="J38" s="11"/>
      <c r="K38" s="11"/>
      <c r="L38" s="11"/>
      <c r="M38" s="11"/>
    </row>
    <row r="39" spans="1:13" ht="12.75" x14ac:dyDescent="0.2">
      <c r="A39" s="52"/>
      <c r="B39" s="9">
        <v>31</v>
      </c>
      <c r="C39" s="9" t="s">
        <v>291</v>
      </c>
      <c r="D39" s="9" t="s">
        <v>24</v>
      </c>
      <c r="E39" s="9" t="s">
        <v>31</v>
      </c>
      <c r="F39" s="9" t="s">
        <v>26</v>
      </c>
      <c r="G39" s="9" t="s">
        <v>27</v>
      </c>
      <c r="H39" s="11"/>
      <c r="I39" s="11"/>
      <c r="J39" s="11"/>
      <c r="K39" s="11"/>
      <c r="L39" s="11"/>
      <c r="M39" s="11"/>
    </row>
    <row r="40" spans="1:13" ht="12.75" x14ac:dyDescent="0.2">
      <c r="A40" s="52"/>
      <c r="B40" s="9">
        <v>31</v>
      </c>
      <c r="C40" s="9" t="s">
        <v>292</v>
      </c>
      <c r="D40" s="9" t="s">
        <v>24</v>
      </c>
      <c r="E40" s="9" t="s">
        <v>31</v>
      </c>
      <c r="F40" s="9" t="s">
        <v>26</v>
      </c>
      <c r="G40" s="9" t="s">
        <v>27</v>
      </c>
      <c r="H40" s="11"/>
      <c r="I40" s="11"/>
      <c r="J40" s="11"/>
      <c r="K40" s="11"/>
      <c r="L40" s="11"/>
      <c r="M40" s="11"/>
    </row>
    <row r="41" spans="1:13" ht="12.75" x14ac:dyDescent="0.2">
      <c r="A41" s="52"/>
      <c r="B41" s="9">
        <v>31</v>
      </c>
      <c r="C41" s="9" t="s">
        <v>259</v>
      </c>
      <c r="D41" s="9" t="s">
        <v>24</v>
      </c>
      <c r="E41" s="9" t="s">
        <v>31</v>
      </c>
      <c r="F41" s="9" t="s">
        <v>26</v>
      </c>
      <c r="G41" s="9" t="s">
        <v>27</v>
      </c>
      <c r="H41" s="11"/>
      <c r="I41" s="11"/>
      <c r="J41" s="11"/>
      <c r="K41" s="11"/>
      <c r="L41" s="11"/>
      <c r="M41" s="11"/>
    </row>
    <row r="42" spans="1:13" ht="12.75" x14ac:dyDescent="0.2">
      <c r="A42" s="52"/>
      <c r="B42" s="9">
        <v>31</v>
      </c>
      <c r="C42" s="9" t="s">
        <v>337</v>
      </c>
      <c r="D42" s="9" t="s">
        <v>24</v>
      </c>
      <c r="E42" s="9" t="s">
        <v>31</v>
      </c>
      <c r="F42" s="9" t="s">
        <v>26</v>
      </c>
      <c r="G42" s="9" t="s">
        <v>27</v>
      </c>
      <c r="H42" s="11"/>
      <c r="I42" s="11"/>
      <c r="J42" s="11"/>
      <c r="K42" s="11"/>
      <c r="L42" s="11"/>
      <c r="M42" s="11"/>
    </row>
    <row r="43" spans="1:13" ht="12.75" x14ac:dyDescent="0.2">
      <c r="A43" s="53"/>
      <c r="B43" s="9">
        <v>31</v>
      </c>
      <c r="C43" s="9" t="s">
        <v>338</v>
      </c>
      <c r="D43" s="9" t="s">
        <v>24</v>
      </c>
      <c r="E43" s="9" t="s">
        <v>31</v>
      </c>
      <c r="F43" s="9" t="s">
        <v>26</v>
      </c>
      <c r="G43" s="9" t="s">
        <v>27</v>
      </c>
      <c r="H43" s="11"/>
      <c r="I43" s="11"/>
      <c r="J43" s="11"/>
      <c r="K43" s="11"/>
      <c r="L43" s="11"/>
      <c r="M43" s="11"/>
    </row>
    <row r="44" spans="1:13" ht="12.75" x14ac:dyDescent="0.2">
      <c r="A44" s="48" t="s">
        <v>59</v>
      </c>
      <c r="B44" s="9">
        <v>31</v>
      </c>
      <c r="C44" s="9" t="s">
        <v>337</v>
      </c>
      <c r="D44" s="9" t="s">
        <v>24</v>
      </c>
      <c r="E44" s="9" t="s">
        <v>31</v>
      </c>
      <c r="F44" s="9" t="s">
        <v>26</v>
      </c>
      <c r="G44" s="9" t="s">
        <v>27</v>
      </c>
      <c r="H44" s="11"/>
      <c r="I44" s="11"/>
      <c r="J44" s="11"/>
      <c r="K44" s="11"/>
      <c r="L44" s="11"/>
      <c r="M44" s="11"/>
    </row>
    <row r="45" spans="1:13" ht="12.75" x14ac:dyDescent="0.2">
      <c r="A45" s="53"/>
      <c r="B45" s="9">
        <v>31</v>
      </c>
      <c r="C45" s="9" t="s">
        <v>259</v>
      </c>
      <c r="D45" s="9" t="s">
        <v>24</v>
      </c>
      <c r="E45" s="9" t="s">
        <v>31</v>
      </c>
      <c r="F45" s="9" t="s">
        <v>26</v>
      </c>
      <c r="G45" s="9" t="s">
        <v>27</v>
      </c>
      <c r="H45" s="11"/>
      <c r="I45" s="11"/>
      <c r="J45" s="11"/>
      <c r="K45" s="11"/>
      <c r="L45" s="11"/>
      <c r="M45" s="11"/>
    </row>
    <row r="46" spans="1:13" ht="12.75" x14ac:dyDescent="0.2">
      <c r="A46" s="48" t="s">
        <v>101</v>
      </c>
      <c r="B46" s="9">
        <v>31</v>
      </c>
      <c r="C46" s="9" t="s">
        <v>327</v>
      </c>
      <c r="D46" s="9" t="s">
        <v>24</v>
      </c>
      <c r="E46" s="9" t="s">
        <v>31</v>
      </c>
      <c r="F46" s="9" t="s">
        <v>47</v>
      </c>
      <c r="G46" s="9" t="s">
        <v>27</v>
      </c>
      <c r="H46" s="11"/>
      <c r="I46" s="11"/>
      <c r="J46" s="11"/>
      <c r="K46" s="11"/>
      <c r="L46" s="11"/>
      <c r="M46" s="11"/>
    </row>
    <row r="47" spans="1:13" ht="12.75" x14ac:dyDescent="0.2">
      <c r="A47" s="52"/>
      <c r="B47" s="9">
        <v>31</v>
      </c>
      <c r="C47" s="9" t="s">
        <v>327</v>
      </c>
      <c r="D47" s="9" t="s">
        <v>24</v>
      </c>
      <c r="E47" s="9" t="s">
        <v>31</v>
      </c>
      <c r="F47" s="9" t="s">
        <v>47</v>
      </c>
      <c r="G47" s="9" t="s">
        <v>27</v>
      </c>
      <c r="H47" s="11"/>
      <c r="I47" s="11"/>
      <c r="J47" s="11"/>
      <c r="K47" s="11"/>
      <c r="L47" s="11"/>
      <c r="M47" s="11"/>
    </row>
    <row r="48" spans="1:13" ht="12.75" x14ac:dyDescent="0.2">
      <c r="A48" s="52"/>
      <c r="B48" s="9">
        <v>31</v>
      </c>
      <c r="C48" s="9" t="s">
        <v>339</v>
      </c>
      <c r="D48" s="9" t="s">
        <v>24</v>
      </c>
      <c r="E48" s="9" t="s">
        <v>31</v>
      </c>
      <c r="F48" s="9" t="s">
        <v>47</v>
      </c>
      <c r="G48" s="9" t="s">
        <v>27</v>
      </c>
      <c r="H48" s="11"/>
      <c r="I48" s="11"/>
      <c r="J48" s="11"/>
      <c r="K48" s="11"/>
      <c r="L48" s="11"/>
      <c r="M48" s="11"/>
    </row>
    <row r="49" spans="1:13" ht="12.75" x14ac:dyDescent="0.2">
      <c r="A49" s="53"/>
      <c r="B49" s="9">
        <v>31</v>
      </c>
      <c r="C49" s="9" t="s">
        <v>329</v>
      </c>
      <c r="D49" s="9" t="s">
        <v>24</v>
      </c>
      <c r="E49" s="9" t="s">
        <v>31</v>
      </c>
      <c r="F49" s="9" t="s">
        <v>47</v>
      </c>
      <c r="G49" s="9" t="s">
        <v>27</v>
      </c>
      <c r="H49" s="11"/>
      <c r="I49" s="11"/>
      <c r="J49" s="11"/>
      <c r="K49" s="11"/>
      <c r="L49" s="11"/>
      <c r="M49" s="11"/>
    </row>
    <row r="50" spans="1:13" ht="12.75" x14ac:dyDescent="0.2">
      <c r="A50" s="48" t="s">
        <v>62</v>
      </c>
      <c r="B50" s="9">
        <v>31</v>
      </c>
      <c r="C50" s="9" t="s">
        <v>302</v>
      </c>
      <c r="D50" s="9" t="s">
        <v>24</v>
      </c>
      <c r="E50" s="9" t="s">
        <v>31</v>
      </c>
      <c r="F50" s="9" t="s">
        <v>26</v>
      </c>
      <c r="G50" s="9" t="s">
        <v>27</v>
      </c>
      <c r="H50" s="11"/>
      <c r="I50" s="11"/>
      <c r="J50" s="11"/>
      <c r="K50" s="11"/>
      <c r="L50" s="11"/>
      <c r="M50" s="11"/>
    </row>
    <row r="51" spans="1:13" ht="12.75" x14ac:dyDescent="0.2">
      <c r="A51" s="52"/>
      <c r="B51" s="9">
        <v>31</v>
      </c>
      <c r="C51" s="9" t="s">
        <v>303</v>
      </c>
      <c r="D51" s="9" t="s">
        <v>30</v>
      </c>
      <c r="E51" s="9" t="s">
        <v>31</v>
      </c>
      <c r="F51" s="9" t="s">
        <v>26</v>
      </c>
      <c r="G51" s="9" t="s">
        <v>27</v>
      </c>
      <c r="H51" s="11"/>
      <c r="I51" s="11"/>
      <c r="J51" s="11"/>
      <c r="K51" s="11"/>
      <c r="L51" s="11"/>
      <c r="M51" s="11"/>
    </row>
    <row r="52" spans="1:13" ht="12.75" x14ac:dyDescent="0.2">
      <c r="A52" s="53"/>
      <c r="B52" s="9">
        <v>31</v>
      </c>
      <c r="C52" s="9" t="s">
        <v>282</v>
      </c>
      <c r="D52" s="9" t="s">
        <v>24</v>
      </c>
      <c r="E52" s="9" t="s">
        <v>31</v>
      </c>
      <c r="F52" s="9" t="s">
        <v>26</v>
      </c>
      <c r="G52" s="9" t="s">
        <v>27</v>
      </c>
      <c r="H52" s="11"/>
      <c r="I52" s="11"/>
      <c r="J52" s="11"/>
      <c r="K52" s="11"/>
      <c r="L52" s="11"/>
      <c r="M52" s="11"/>
    </row>
    <row r="53" spans="1:13" ht="12.75" x14ac:dyDescent="0.2">
      <c r="A53" s="48" t="s">
        <v>70</v>
      </c>
      <c r="B53" s="9">
        <v>31</v>
      </c>
      <c r="C53" s="9" t="s">
        <v>340</v>
      </c>
      <c r="D53" s="9" t="s">
        <v>24</v>
      </c>
      <c r="E53" s="9" t="s">
        <v>31</v>
      </c>
      <c r="F53" s="9" t="s">
        <v>26</v>
      </c>
      <c r="G53" s="9" t="s">
        <v>27</v>
      </c>
      <c r="H53" s="13"/>
      <c r="I53" s="13"/>
      <c r="J53" s="13"/>
      <c r="K53" s="13"/>
    </row>
    <row r="54" spans="1:13" ht="12.75" x14ac:dyDescent="0.2">
      <c r="A54" s="52"/>
      <c r="B54" s="9">
        <v>31</v>
      </c>
      <c r="C54" s="9" t="s">
        <v>293</v>
      </c>
      <c r="D54" s="9" t="s">
        <v>24</v>
      </c>
      <c r="E54" s="9" t="s">
        <v>31</v>
      </c>
      <c r="F54" s="9" t="s">
        <v>26</v>
      </c>
      <c r="G54" s="9" t="s">
        <v>27</v>
      </c>
      <c r="H54" s="13"/>
      <c r="I54" s="13"/>
      <c r="J54" s="13"/>
      <c r="K54" s="13"/>
    </row>
    <row r="55" spans="1:13" ht="12.75" x14ac:dyDescent="0.2">
      <c r="A55" s="52"/>
      <c r="B55" s="9">
        <v>31</v>
      </c>
      <c r="C55" s="9" t="s">
        <v>341</v>
      </c>
      <c r="D55" s="9" t="s">
        <v>24</v>
      </c>
      <c r="E55" s="9" t="s">
        <v>31</v>
      </c>
      <c r="F55" s="9" t="s">
        <v>26</v>
      </c>
      <c r="G55" s="9" t="s">
        <v>27</v>
      </c>
      <c r="H55" s="13"/>
      <c r="I55" s="13"/>
      <c r="J55" s="13"/>
      <c r="K55" s="13"/>
    </row>
    <row r="56" spans="1:13" ht="12.75" x14ac:dyDescent="0.2">
      <c r="A56" s="53"/>
      <c r="B56" s="9">
        <v>31</v>
      </c>
      <c r="C56" s="9" t="s">
        <v>309</v>
      </c>
      <c r="D56" s="9" t="s">
        <v>24</v>
      </c>
      <c r="E56" s="9" t="s">
        <v>31</v>
      </c>
      <c r="F56" s="9" t="s">
        <v>26</v>
      </c>
      <c r="G56" s="9" t="s">
        <v>27</v>
      </c>
      <c r="H56" s="13"/>
      <c r="I56" s="13"/>
      <c r="J56" s="13"/>
      <c r="K56" s="13"/>
    </row>
    <row r="57" spans="1:13" ht="12.75" x14ac:dyDescent="0.2">
      <c r="A57" s="48" t="s">
        <v>73</v>
      </c>
      <c r="B57" s="12">
        <v>31</v>
      </c>
      <c r="C57" s="12" t="s">
        <v>342</v>
      </c>
      <c r="D57" s="12" t="s">
        <v>24</v>
      </c>
      <c r="E57" s="12" t="s">
        <v>25</v>
      </c>
      <c r="F57" s="12" t="s">
        <v>26</v>
      </c>
      <c r="G57" s="9" t="s">
        <v>27</v>
      </c>
      <c r="H57" s="13"/>
      <c r="I57" s="13"/>
      <c r="J57" s="13"/>
      <c r="K57" s="13"/>
    </row>
    <row r="58" spans="1:13" ht="12.75" x14ac:dyDescent="0.2">
      <c r="A58" s="52"/>
      <c r="B58" s="12">
        <v>31</v>
      </c>
      <c r="C58" s="12" t="s">
        <v>293</v>
      </c>
      <c r="D58" s="12" t="s">
        <v>24</v>
      </c>
      <c r="E58" s="12" t="s">
        <v>25</v>
      </c>
      <c r="F58" s="12" t="s">
        <v>26</v>
      </c>
      <c r="G58" s="9" t="s">
        <v>27</v>
      </c>
      <c r="H58" s="13"/>
      <c r="I58" s="13"/>
      <c r="J58" s="13"/>
      <c r="K58" s="13"/>
    </row>
    <row r="59" spans="1:13" ht="12.75" x14ac:dyDescent="0.2">
      <c r="A59" s="52"/>
      <c r="B59" s="12">
        <v>31</v>
      </c>
      <c r="C59" s="12" t="s">
        <v>341</v>
      </c>
      <c r="D59" s="12" t="s">
        <v>24</v>
      </c>
      <c r="E59" s="12" t="s">
        <v>25</v>
      </c>
      <c r="F59" s="12" t="s">
        <v>26</v>
      </c>
      <c r="G59" s="9" t="s">
        <v>27</v>
      </c>
      <c r="H59" s="13"/>
      <c r="I59" s="13"/>
      <c r="J59" s="13"/>
      <c r="K59" s="13"/>
    </row>
    <row r="60" spans="1:13" ht="12.75" x14ac:dyDescent="0.2">
      <c r="A60" s="52"/>
      <c r="B60" s="12">
        <v>31</v>
      </c>
      <c r="C60" s="12" t="s">
        <v>309</v>
      </c>
      <c r="D60" s="12" t="s">
        <v>24</v>
      </c>
      <c r="E60" s="12" t="s">
        <v>25</v>
      </c>
      <c r="F60" s="12" t="s">
        <v>26</v>
      </c>
      <c r="G60" s="9" t="s">
        <v>27</v>
      </c>
      <c r="H60" s="13"/>
      <c r="I60" s="13"/>
      <c r="J60" s="13"/>
      <c r="K60" s="13"/>
    </row>
    <row r="61" spans="1:13" ht="12.75" x14ac:dyDescent="0.2">
      <c r="A61" s="52"/>
      <c r="B61" s="12">
        <v>31</v>
      </c>
      <c r="C61" s="12" t="s">
        <v>343</v>
      </c>
      <c r="D61" s="12" t="s">
        <v>24</v>
      </c>
      <c r="E61" s="12" t="s">
        <v>25</v>
      </c>
      <c r="F61" s="12" t="s">
        <v>26</v>
      </c>
      <c r="G61" s="9" t="s">
        <v>27</v>
      </c>
      <c r="H61" s="13"/>
      <c r="I61" s="13"/>
      <c r="J61" s="13"/>
      <c r="K61" s="13"/>
    </row>
    <row r="62" spans="1:13" ht="12.75" x14ac:dyDescent="0.2">
      <c r="A62" s="53"/>
      <c r="B62" s="12">
        <v>31</v>
      </c>
      <c r="C62" s="12" t="s">
        <v>309</v>
      </c>
      <c r="D62" s="12" t="s">
        <v>24</v>
      </c>
      <c r="E62" s="12" t="s">
        <v>25</v>
      </c>
      <c r="F62" s="12" t="s">
        <v>26</v>
      </c>
      <c r="G62" s="9" t="s">
        <v>27</v>
      </c>
      <c r="H62" s="13"/>
      <c r="I62" s="13"/>
      <c r="J62" s="13"/>
      <c r="K62" s="13"/>
    </row>
    <row r="63" spans="1:13" ht="12.75" x14ac:dyDescent="0.2">
      <c r="A63" s="48" t="s">
        <v>77</v>
      </c>
      <c r="B63" s="9">
        <v>31</v>
      </c>
      <c r="C63" s="9" t="s">
        <v>344</v>
      </c>
      <c r="D63" s="9" t="s">
        <v>24</v>
      </c>
      <c r="E63" s="9" t="s">
        <v>31</v>
      </c>
      <c r="F63" s="9" t="s">
        <v>26</v>
      </c>
      <c r="G63" s="9" t="s">
        <v>27</v>
      </c>
      <c r="H63" s="13"/>
      <c r="I63" s="13"/>
      <c r="J63" s="13"/>
      <c r="K63" s="13"/>
    </row>
    <row r="64" spans="1:13" ht="12.75" x14ac:dyDescent="0.2">
      <c r="A64" s="52"/>
      <c r="B64" s="9">
        <v>31</v>
      </c>
      <c r="C64" s="9" t="s">
        <v>345</v>
      </c>
      <c r="D64" s="9" t="s">
        <v>24</v>
      </c>
      <c r="E64" s="9" t="s">
        <v>31</v>
      </c>
      <c r="F64" s="9" t="s">
        <v>26</v>
      </c>
      <c r="G64" s="9" t="s">
        <v>27</v>
      </c>
      <c r="H64" s="13"/>
      <c r="I64" s="13"/>
      <c r="J64" s="13"/>
      <c r="K64" s="13"/>
    </row>
    <row r="65" spans="1:11" ht="12.75" x14ac:dyDescent="0.2">
      <c r="A65" s="52"/>
      <c r="B65" s="9">
        <v>31</v>
      </c>
      <c r="C65" s="9" t="s">
        <v>293</v>
      </c>
      <c r="D65" s="9" t="s">
        <v>24</v>
      </c>
      <c r="E65" s="9" t="s">
        <v>31</v>
      </c>
      <c r="F65" s="9" t="s">
        <v>26</v>
      </c>
      <c r="G65" s="9" t="s">
        <v>27</v>
      </c>
      <c r="H65" s="13"/>
      <c r="I65" s="13"/>
      <c r="J65" s="13"/>
      <c r="K65" s="13"/>
    </row>
    <row r="66" spans="1:11" ht="12.75" x14ac:dyDescent="0.2">
      <c r="A66" s="52"/>
      <c r="B66" s="9">
        <v>31</v>
      </c>
      <c r="C66" s="9" t="s">
        <v>346</v>
      </c>
      <c r="D66" s="9" t="s">
        <v>24</v>
      </c>
      <c r="E66" s="9" t="s">
        <v>31</v>
      </c>
      <c r="F66" s="9" t="s">
        <v>26</v>
      </c>
      <c r="G66" s="9" t="s">
        <v>27</v>
      </c>
      <c r="H66" s="13"/>
      <c r="I66" s="13"/>
      <c r="J66" s="13"/>
      <c r="K66" s="13"/>
    </row>
    <row r="67" spans="1:11" ht="12.75" x14ac:dyDescent="0.2">
      <c r="A67" s="53"/>
      <c r="B67" s="9">
        <v>31</v>
      </c>
      <c r="C67" s="9" t="s">
        <v>347</v>
      </c>
      <c r="D67" s="9" t="s">
        <v>24</v>
      </c>
      <c r="E67" s="9" t="s">
        <v>31</v>
      </c>
      <c r="F67" s="9" t="s">
        <v>26</v>
      </c>
      <c r="G67" s="9" t="s">
        <v>27</v>
      </c>
      <c r="H67" s="13"/>
      <c r="I67" s="13"/>
      <c r="J67" s="13"/>
      <c r="K67" s="13"/>
    </row>
    <row r="68" spans="1:11" ht="12.75" x14ac:dyDescent="0.2">
      <c r="A68" s="9" t="s">
        <v>79</v>
      </c>
      <c r="B68" s="9">
        <v>31</v>
      </c>
      <c r="C68" s="9" t="s">
        <v>348</v>
      </c>
      <c r="D68" s="9" t="s">
        <v>24</v>
      </c>
      <c r="E68" s="9" t="s">
        <v>31</v>
      </c>
      <c r="F68" s="9" t="s">
        <v>26</v>
      </c>
      <c r="G68" s="9" t="s">
        <v>27</v>
      </c>
      <c r="H68" s="13"/>
      <c r="I68" s="13"/>
      <c r="J68" s="13"/>
      <c r="K68" s="13"/>
    </row>
    <row r="69" spans="1:11" ht="12.75" x14ac:dyDescent="0.2">
      <c r="A69" s="48" t="s">
        <v>83</v>
      </c>
      <c r="B69" s="12">
        <v>31</v>
      </c>
      <c r="C69" s="12" t="s">
        <v>327</v>
      </c>
      <c r="D69" s="12" t="s">
        <v>24</v>
      </c>
      <c r="E69" s="12" t="s">
        <v>25</v>
      </c>
      <c r="F69" s="12" t="s">
        <v>26</v>
      </c>
      <c r="G69" s="9" t="s">
        <v>27</v>
      </c>
      <c r="H69" s="13"/>
      <c r="I69" s="13"/>
      <c r="J69" s="13"/>
      <c r="K69" s="13"/>
    </row>
    <row r="70" spans="1:11" ht="12.75" x14ac:dyDescent="0.2">
      <c r="A70" s="52"/>
      <c r="B70" s="12">
        <v>31</v>
      </c>
      <c r="C70" s="12" t="s">
        <v>349</v>
      </c>
      <c r="D70" s="12" t="s">
        <v>24</v>
      </c>
      <c r="E70" s="12" t="s">
        <v>25</v>
      </c>
      <c r="F70" s="12" t="s">
        <v>26</v>
      </c>
      <c r="G70" s="9" t="s">
        <v>27</v>
      </c>
      <c r="H70" s="13"/>
      <c r="I70" s="13"/>
      <c r="J70" s="13"/>
      <c r="K70" s="13"/>
    </row>
    <row r="71" spans="1:11" ht="12.75" x14ac:dyDescent="0.2">
      <c r="A71" s="52"/>
      <c r="B71" s="12">
        <v>31</v>
      </c>
      <c r="C71" s="12" t="s">
        <v>350</v>
      </c>
      <c r="D71" s="12" t="s">
        <v>24</v>
      </c>
      <c r="E71" s="12" t="s">
        <v>25</v>
      </c>
      <c r="F71" s="12" t="s">
        <v>26</v>
      </c>
      <c r="G71" s="9" t="s">
        <v>27</v>
      </c>
      <c r="H71" s="13"/>
      <c r="I71" s="13"/>
      <c r="J71" s="13"/>
      <c r="K71" s="13"/>
    </row>
    <row r="72" spans="1:11" ht="12.75" x14ac:dyDescent="0.2">
      <c r="A72" s="52"/>
      <c r="B72" s="12">
        <v>31</v>
      </c>
      <c r="C72" s="12" t="s">
        <v>286</v>
      </c>
      <c r="D72" s="12" t="s">
        <v>24</v>
      </c>
      <c r="E72" s="12" t="s">
        <v>25</v>
      </c>
      <c r="F72" s="12" t="s">
        <v>26</v>
      </c>
      <c r="G72" s="9" t="s">
        <v>27</v>
      </c>
      <c r="H72" s="13"/>
      <c r="I72" s="13"/>
      <c r="J72" s="13"/>
      <c r="K72" s="13"/>
    </row>
    <row r="73" spans="1:11" ht="12.75" x14ac:dyDescent="0.2">
      <c r="A73" s="53"/>
      <c r="B73" s="12">
        <v>31</v>
      </c>
      <c r="C73" s="12" t="s">
        <v>288</v>
      </c>
      <c r="D73" s="12" t="s">
        <v>30</v>
      </c>
      <c r="E73" s="12" t="s">
        <v>25</v>
      </c>
      <c r="F73" s="12" t="s">
        <v>26</v>
      </c>
      <c r="G73" s="9" t="s">
        <v>27</v>
      </c>
      <c r="H73" s="13"/>
      <c r="I73" s="13"/>
      <c r="J73" s="13"/>
      <c r="K73" s="13"/>
    </row>
    <row r="74" spans="1:11" ht="12.75" x14ac:dyDescent="0.2">
      <c r="A74" s="48" t="s">
        <v>85</v>
      </c>
      <c r="B74" s="9">
        <v>31</v>
      </c>
      <c r="C74" s="9" t="s">
        <v>351</v>
      </c>
      <c r="D74" s="9" t="s">
        <v>24</v>
      </c>
      <c r="E74" s="9" t="s">
        <v>31</v>
      </c>
      <c r="F74" s="9" t="s">
        <v>26</v>
      </c>
      <c r="G74" s="9" t="s">
        <v>27</v>
      </c>
      <c r="H74" s="13"/>
      <c r="I74" s="13"/>
      <c r="J74" s="13"/>
      <c r="K74" s="13"/>
    </row>
    <row r="75" spans="1:11" ht="12.75" x14ac:dyDescent="0.2">
      <c r="A75" s="52"/>
      <c r="B75" s="9">
        <v>31</v>
      </c>
      <c r="C75" s="9" t="s">
        <v>352</v>
      </c>
      <c r="D75" s="9" t="s">
        <v>24</v>
      </c>
      <c r="E75" s="9" t="s">
        <v>31</v>
      </c>
      <c r="F75" s="9" t="s">
        <v>26</v>
      </c>
      <c r="G75" s="9" t="s">
        <v>27</v>
      </c>
      <c r="H75" s="13"/>
      <c r="I75" s="13"/>
      <c r="J75" s="13"/>
      <c r="K75" s="13"/>
    </row>
    <row r="76" spans="1:11" ht="12.75" x14ac:dyDescent="0.2">
      <c r="A76" s="52"/>
      <c r="B76" s="9">
        <v>31</v>
      </c>
      <c r="C76" s="9" t="s">
        <v>353</v>
      </c>
      <c r="D76" s="9" t="s">
        <v>24</v>
      </c>
      <c r="E76" s="9" t="s">
        <v>31</v>
      </c>
      <c r="F76" s="9" t="s">
        <v>26</v>
      </c>
      <c r="G76" s="9" t="s">
        <v>27</v>
      </c>
      <c r="H76" s="13"/>
      <c r="I76" s="13"/>
      <c r="J76" s="13"/>
      <c r="K76" s="13"/>
    </row>
    <row r="77" spans="1:11" ht="12.75" x14ac:dyDescent="0.2">
      <c r="A77" s="53"/>
      <c r="B77" s="9">
        <v>31</v>
      </c>
      <c r="C77" s="9" t="s">
        <v>354</v>
      </c>
      <c r="D77" s="9" t="s">
        <v>24</v>
      </c>
      <c r="E77" s="9" t="s">
        <v>31</v>
      </c>
      <c r="F77" s="9" t="s">
        <v>26</v>
      </c>
      <c r="G77" s="9" t="s">
        <v>27</v>
      </c>
      <c r="H77" s="13"/>
      <c r="I77" s="13"/>
      <c r="J77" s="13"/>
      <c r="K77" s="13"/>
    </row>
    <row r="78" spans="1:11" ht="12.75" x14ac:dyDescent="0.2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</row>
    <row r="79" spans="1:11" ht="12.75" x14ac:dyDescent="0.2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</row>
    <row r="80" spans="1:11" ht="12.75" x14ac:dyDescent="0.2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</row>
    <row r="81" spans="1:11" ht="12.75" x14ac:dyDescent="0.2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</row>
    <row r="82" spans="1:11" ht="12.75" x14ac:dyDescent="0.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</row>
    <row r="83" spans="1:11" ht="12.75" x14ac:dyDescent="0.2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</row>
    <row r="84" spans="1:11" ht="12.75" x14ac:dyDescent="0.2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</row>
    <row r="85" spans="1:11" ht="12.75" x14ac:dyDescent="0.2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</row>
    <row r="86" spans="1:11" ht="12.75" x14ac:dyDescent="0.2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</row>
    <row r="87" spans="1:11" ht="12.75" x14ac:dyDescent="0.2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</row>
    <row r="88" spans="1:11" ht="12.75" x14ac:dyDescent="0.2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</row>
    <row r="89" spans="1:11" ht="12.75" x14ac:dyDescent="0.2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</row>
    <row r="90" spans="1:11" ht="12.75" x14ac:dyDescent="0.2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</row>
  </sheetData>
  <mergeCells count="17">
    <mergeCell ref="A27:A31"/>
    <mergeCell ref="A32:A34"/>
    <mergeCell ref="A63:A67"/>
    <mergeCell ref="A69:A73"/>
    <mergeCell ref="A74:A77"/>
    <mergeCell ref="A35:A36"/>
    <mergeCell ref="A37:A43"/>
    <mergeCell ref="A44:A45"/>
    <mergeCell ref="A46:A49"/>
    <mergeCell ref="A50:A52"/>
    <mergeCell ref="A53:A56"/>
    <mergeCell ref="A57:A62"/>
    <mergeCell ref="A1:G1"/>
    <mergeCell ref="A9:A10"/>
    <mergeCell ref="A11:A13"/>
    <mergeCell ref="A14:A16"/>
    <mergeCell ref="A17:A26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M150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13" ht="15.75" customHeight="1" x14ac:dyDescent="0.25">
      <c r="A1" s="54" t="s">
        <v>0</v>
      </c>
      <c r="B1" s="55"/>
      <c r="C1" s="55"/>
      <c r="D1" s="55"/>
      <c r="E1" s="55"/>
      <c r="F1" s="55"/>
      <c r="G1" s="56"/>
    </row>
    <row r="2" spans="1:13" x14ac:dyDescent="0.2">
      <c r="A2" s="1"/>
      <c r="B2" s="2"/>
      <c r="C2" s="2"/>
      <c r="D2" s="2"/>
      <c r="E2" s="2"/>
      <c r="F2" s="2"/>
      <c r="G2" s="2"/>
    </row>
    <row r="3" spans="1:13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13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13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13" x14ac:dyDescent="0.2">
      <c r="A6" s="1"/>
      <c r="B6" s="2"/>
      <c r="C6" s="2"/>
      <c r="D6" s="2"/>
      <c r="E6" s="2"/>
      <c r="F6" s="2"/>
      <c r="G6" s="2"/>
    </row>
    <row r="7" spans="1:13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13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13" x14ac:dyDescent="0.2">
      <c r="A9" s="48" t="s">
        <v>20</v>
      </c>
      <c r="B9" s="22">
        <v>32</v>
      </c>
      <c r="C9" s="22" t="s">
        <v>355</v>
      </c>
      <c r="D9" s="22" t="s">
        <v>24</v>
      </c>
      <c r="E9" s="22" t="s">
        <v>31</v>
      </c>
      <c r="F9" s="22" t="s">
        <v>87</v>
      </c>
      <c r="G9" s="9" t="s">
        <v>27</v>
      </c>
      <c r="H9" s="11"/>
      <c r="I9" s="11"/>
      <c r="J9" s="11"/>
      <c r="K9" s="11"/>
      <c r="L9" s="11"/>
      <c r="M9" s="11"/>
    </row>
    <row r="10" spans="1:13" x14ac:dyDescent="0.2">
      <c r="A10" s="52"/>
      <c r="B10" s="22">
        <v>32</v>
      </c>
      <c r="C10" s="22" t="s">
        <v>356</v>
      </c>
      <c r="D10" s="22" t="s">
        <v>24</v>
      </c>
      <c r="E10" s="22" t="s">
        <v>31</v>
      </c>
      <c r="F10" s="22" t="s">
        <v>87</v>
      </c>
      <c r="G10" s="9" t="s">
        <v>27</v>
      </c>
      <c r="H10" s="11"/>
      <c r="I10" s="11"/>
      <c r="J10" s="11"/>
      <c r="K10" s="11"/>
      <c r="L10" s="11"/>
      <c r="M10" s="11"/>
    </row>
    <row r="11" spans="1:13" x14ac:dyDescent="0.2">
      <c r="A11" s="52"/>
      <c r="B11" s="22">
        <v>32</v>
      </c>
      <c r="C11" s="22" t="s">
        <v>357</v>
      </c>
      <c r="D11" s="22" t="s">
        <v>24</v>
      </c>
      <c r="E11" s="22" t="s">
        <v>31</v>
      </c>
      <c r="F11" s="22" t="s">
        <v>87</v>
      </c>
      <c r="G11" s="9" t="s">
        <v>27</v>
      </c>
      <c r="H11" s="11"/>
      <c r="I11" s="11"/>
      <c r="J11" s="11"/>
      <c r="K11" s="11"/>
      <c r="L11" s="11"/>
      <c r="M11" s="11"/>
    </row>
    <row r="12" spans="1:13" x14ac:dyDescent="0.2">
      <c r="A12" s="53"/>
      <c r="B12" s="22">
        <v>32</v>
      </c>
      <c r="C12" s="22" t="s">
        <v>358</v>
      </c>
      <c r="D12" s="22" t="s">
        <v>24</v>
      </c>
      <c r="E12" s="22" t="s">
        <v>31</v>
      </c>
      <c r="F12" s="22" t="s">
        <v>87</v>
      </c>
      <c r="G12" s="9" t="s">
        <v>27</v>
      </c>
      <c r="H12" s="11"/>
      <c r="I12" s="11"/>
      <c r="J12" s="11"/>
      <c r="K12" s="11"/>
      <c r="L12" s="11"/>
      <c r="M12" s="11"/>
    </row>
    <row r="13" spans="1:13" x14ac:dyDescent="0.2">
      <c r="A13" s="48" t="s">
        <v>22</v>
      </c>
      <c r="B13" s="9">
        <v>32</v>
      </c>
      <c r="C13" s="9" t="s">
        <v>359</v>
      </c>
      <c r="D13" s="9" t="s">
        <v>24</v>
      </c>
      <c r="E13" s="9" t="s">
        <v>25</v>
      </c>
      <c r="F13" s="9" t="s">
        <v>26</v>
      </c>
      <c r="G13" s="9" t="s">
        <v>27</v>
      </c>
      <c r="H13" s="11"/>
      <c r="I13" s="11"/>
      <c r="J13" s="11"/>
      <c r="K13" s="11"/>
      <c r="L13" s="11"/>
      <c r="M13" s="11"/>
    </row>
    <row r="14" spans="1:13" x14ac:dyDescent="0.2">
      <c r="A14" s="52"/>
      <c r="B14" s="9">
        <v>32</v>
      </c>
      <c r="C14" s="9" t="s">
        <v>360</v>
      </c>
      <c r="D14" s="9" t="s">
        <v>30</v>
      </c>
      <c r="E14" s="9" t="s">
        <v>25</v>
      </c>
      <c r="F14" s="9" t="s">
        <v>26</v>
      </c>
      <c r="G14" s="9" t="s">
        <v>27</v>
      </c>
      <c r="H14" s="11"/>
      <c r="I14" s="11"/>
      <c r="J14" s="11"/>
      <c r="K14" s="11"/>
      <c r="L14" s="11"/>
      <c r="M14" s="11"/>
    </row>
    <row r="15" spans="1:13" x14ac:dyDescent="0.2">
      <c r="A15" s="52"/>
      <c r="B15" s="9">
        <v>32</v>
      </c>
      <c r="C15" s="9" t="s">
        <v>361</v>
      </c>
      <c r="D15" s="9" t="s">
        <v>24</v>
      </c>
      <c r="E15" s="9" t="s">
        <v>25</v>
      </c>
      <c r="F15" s="9" t="s">
        <v>26</v>
      </c>
      <c r="G15" s="9" t="s">
        <v>27</v>
      </c>
      <c r="H15" s="11"/>
      <c r="I15" s="11"/>
      <c r="J15" s="11"/>
      <c r="K15" s="11"/>
      <c r="L15" s="11"/>
      <c r="M15" s="11"/>
    </row>
    <row r="16" spans="1:13" x14ac:dyDescent="0.2">
      <c r="A16" s="52"/>
      <c r="B16" s="9">
        <v>32</v>
      </c>
      <c r="C16" s="9" t="s">
        <v>362</v>
      </c>
      <c r="D16" s="9" t="s">
        <v>24</v>
      </c>
      <c r="E16" s="9" t="s">
        <v>25</v>
      </c>
      <c r="F16" s="9" t="s">
        <v>47</v>
      </c>
      <c r="G16" s="9" t="s">
        <v>27</v>
      </c>
      <c r="H16" s="11"/>
      <c r="I16" s="11"/>
      <c r="J16" s="11"/>
      <c r="K16" s="11"/>
      <c r="L16" s="11"/>
      <c r="M16" s="11"/>
    </row>
    <row r="17" spans="1:13" x14ac:dyDescent="0.2">
      <c r="A17" s="52"/>
      <c r="B17" s="9">
        <v>32</v>
      </c>
      <c r="C17" s="9" t="s">
        <v>363</v>
      </c>
      <c r="D17" s="9" t="s">
        <v>24</v>
      </c>
      <c r="E17" s="9" t="s">
        <v>25</v>
      </c>
      <c r="F17" s="9" t="s">
        <v>26</v>
      </c>
      <c r="G17" s="9" t="s">
        <v>27</v>
      </c>
      <c r="H17" s="11"/>
      <c r="I17" s="11"/>
      <c r="J17" s="11"/>
      <c r="K17" s="11"/>
      <c r="L17" s="11"/>
      <c r="M17" s="11"/>
    </row>
    <row r="18" spans="1:13" x14ac:dyDescent="0.2">
      <c r="A18" s="52"/>
      <c r="B18" s="9">
        <v>32</v>
      </c>
      <c r="C18" s="9" t="s">
        <v>364</v>
      </c>
      <c r="D18" s="9" t="s">
        <v>24</v>
      </c>
      <c r="E18" s="9" t="s">
        <v>25</v>
      </c>
      <c r="F18" s="9" t="s">
        <v>26</v>
      </c>
      <c r="G18" s="9" t="s">
        <v>27</v>
      </c>
      <c r="H18" s="11"/>
      <c r="I18" s="11"/>
      <c r="J18" s="11"/>
      <c r="K18" s="11"/>
      <c r="L18" s="11"/>
      <c r="M18" s="11"/>
    </row>
    <row r="19" spans="1:13" x14ac:dyDescent="0.2">
      <c r="A19" s="52"/>
      <c r="B19" s="9">
        <v>32</v>
      </c>
      <c r="C19" s="9" t="s">
        <v>331</v>
      </c>
      <c r="D19" s="9" t="s">
        <v>24</v>
      </c>
      <c r="E19" s="9" t="s">
        <v>25</v>
      </c>
      <c r="F19" s="9" t="s">
        <v>26</v>
      </c>
      <c r="G19" s="9" t="s">
        <v>27</v>
      </c>
      <c r="H19" s="11"/>
      <c r="I19" s="11"/>
      <c r="J19" s="11"/>
      <c r="K19" s="11"/>
      <c r="L19" s="11"/>
      <c r="M19" s="11"/>
    </row>
    <row r="20" spans="1:13" x14ac:dyDescent="0.2">
      <c r="A20" s="50"/>
      <c r="B20" s="9">
        <v>32</v>
      </c>
      <c r="C20" s="9" t="s">
        <v>332</v>
      </c>
      <c r="D20" s="9" t="s">
        <v>24</v>
      </c>
      <c r="E20" s="9" t="s">
        <v>25</v>
      </c>
      <c r="F20" s="9" t="s">
        <v>26</v>
      </c>
      <c r="G20" s="9" t="s">
        <v>27</v>
      </c>
      <c r="H20" s="11"/>
      <c r="I20" s="11"/>
      <c r="J20" s="11"/>
      <c r="K20" s="11"/>
      <c r="L20" s="11"/>
      <c r="M20" s="11"/>
    </row>
    <row r="21" spans="1:13" x14ac:dyDescent="0.2">
      <c r="A21" s="51"/>
      <c r="B21" s="9">
        <v>32</v>
      </c>
      <c r="C21" s="9" t="s">
        <v>365</v>
      </c>
      <c r="D21" s="9" t="s">
        <v>24</v>
      </c>
      <c r="E21" s="9" t="s">
        <v>25</v>
      </c>
      <c r="F21" s="9" t="s">
        <v>26</v>
      </c>
      <c r="G21" s="9" t="s">
        <v>27</v>
      </c>
      <c r="H21" s="11"/>
      <c r="I21" s="11"/>
      <c r="J21" s="11"/>
      <c r="K21" s="11"/>
      <c r="L21" s="11"/>
      <c r="M21" s="11"/>
    </row>
    <row r="22" spans="1:13" x14ac:dyDescent="0.2">
      <c r="A22" s="50"/>
      <c r="B22" s="9">
        <v>32</v>
      </c>
      <c r="C22" s="9" t="s">
        <v>366</v>
      </c>
      <c r="D22" s="9" t="s">
        <v>24</v>
      </c>
      <c r="E22" s="9" t="s">
        <v>25</v>
      </c>
      <c r="F22" s="9" t="s">
        <v>26</v>
      </c>
      <c r="G22" s="9" t="s">
        <v>27</v>
      </c>
      <c r="H22" s="11"/>
      <c r="I22" s="11"/>
      <c r="J22" s="11"/>
      <c r="K22" s="11"/>
      <c r="L22" s="11"/>
      <c r="M22" s="11"/>
    </row>
    <row r="23" spans="1:13" x14ac:dyDescent="0.2">
      <c r="A23" s="57"/>
      <c r="B23" s="9">
        <v>32</v>
      </c>
      <c r="C23" s="9" t="s">
        <v>283</v>
      </c>
      <c r="D23" s="9" t="s">
        <v>24</v>
      </c>
      <c r="E23" s="9" t="s">
        <v>25</v>
      </c>
      <c r="F23" s="9" t="s">
        <v>26</v>
      </c>
      <c r="G23" s="9" t="s">
        <v>27</v>
      </c>
      <c r="H23" s="11"/>
      <c r="I23" s="11"/>
      <c r="J23" s="11"/>
      <c r="K23" s="11"/>
      <c r="L23" s="11"/>
      <c r="M23" s="11"/>
    </row>
    <row r="24" spans="1:13" x14ac:dyDescent="0.2">
      <c r="A24" s="48" t="s">
        <v>28</v>
      </c>
      <c r="B24" s="9">
        <v>32</v>
      </c>
      <c r="C24" s="9" t="s">
        <v>367</v>
      </c>
      <c r="D24" s="9" t="s">
        <v>24</v>
      </c>
      <c r="E24" s="9" t="s">
        <v>31</v>
      </c>
      <c r="F24" s="9" t="s">
        <v>26</v>
      </c>
      <c r="G24" s="9" t="s">
        <v>27</v>
      </c>
      <c r="H24" s="11"/>
      <c r="I24" s="11"/>
      <c r="J24" s="11"/>
      <c r="K24" s="11"/>
      <c r="L24" s="11"/>
      <c r="M24" s="11"/>
    </row>
    <row r="25" spans="1:13" x14ac:dyDescent="0.2">
      <c r="A25" s="51"/>
      <c r="B25" s="9">
        <v>32</v>
      </c>
      <c r="C25" s="9" t="s">
        <v>368</v>
      </c>
      <c r="D25" s="9" t="s">
        <v>24</v>
      </c>
      <c r="E25" s="9" t="s">
        <v>31</v>
      </c>
      <c r="F25" s="9" t="s">
        <v>26</v>
      </c>
      <c r="G25" s="9" t="s">
        <v>27</v>
      </c>
      <c r="H25" s="11"/>
      <c r="I25" s="11"/>
      <c r="J25" s="11"/>
      <c r="K25" s="11"/>
      <c r="L25" s="11"/>
      <c r="M25" s="11"/>
    </row>
    <row r="26" spans="1:13" x14ac:dyDescent="0.2">
      <c r="A26" s="50"/>
      <c r="B26" s="9">
        <v>32</v>
      </c>
      <c r="C26" s="9" t="s">
        <v>369</v>
      </c>
      <c r="D26" s="9" t="s">
        <v>24</v>
      </c>
      <c r="E26" s="9" t="s">
        <v>31</v>
      </c>
      <c r="F26" s="9" t="s">
        <v>26</v>
      </c>
      <c r="G26" s="9" t="s">
        <v>27</v>
      </c>
      <c r="H26" s="11"/>
      <c r="I26" s="11"/>
      <c r="J26" s="11"/>
      <c r="K26" s="11"/>
      <c r="L26" s="11"/>
      <c r="M26" s="11"/>
    </row>
    <row r="27" spans="1:13" x14ac:dyDescent="0.2">
      <c r="A27" s="51"/>
      <c r="B27" s="9">
        <v>32</v>
      </c>
      <c r="C27" s="9" t="s">
        <v>370</v>
      </c>
      <c r="D27" s="9" t="s">
        <v>24</v>
      </c>
      <c r="E27" s="9" t="s">
        <v>31</v>
      </c>
      <c r="F27" s="9" t="s">
        <v>26</v>
      </c>
      <c r="G27" s="9" t="s">
        <v>27</v>
      </c>
      <c r="H27" s="11"/>
      <c r="I27" s="11"/>
      <c r="J27" s="11"/>
      <c r="K27" s="11"/>
      <c r="L27" s="11"/>
      <c r="M27" s="11"/>
    </row>
    <row r="28" spans="1:13" x14ac:dyDescent="0.2">
      <c r="A28" s="50"/>
      <c r="B28" s="9">
        <v>32</v>
      </c>
      <c r="C28" s="9" t="s">
        <v>371</v>
      </c>
      <c r="D28" s="9" t="s">
        <v>30</v>
      </c>
      <c r="E28" s="9" t="s">
        <v>31</v>
      </c>
      <c r="F28" s="9" t="s">
        <v>47</v>
      </c>
      <c r="G28" s="9" t="s">
        <v>27</v>
      </c>
      <c r="H28" s="11"/>
      <c r="I28" s="11"/>
      <c r="J28" s="11"/>
      <c r="K28" s="11"/>
      <c r="L28" s="11"/>
      <c r="M28" s="11"/>
    </row>
    <row r="29" spans="1:13" x14ac:dyDescent="0.2">
      <c r="A29" s="51"/>
      <c r="B29" s="9">
        <v>32</v>
      </c>
      <c r="C29" s="9" t="s">
        <v>372</v>
      </c>
      <c r="D29" s="9" t="s">
        <v>24</v>
      </c>
      <c r="E29" s="9" t="s">
        <v>31</v>
      </c>
      <c r="F29" s="9" t="s">
        <v>47</v>
      </c>
      <c r="G29" s="9" t="s">
        <v>27</v>
      </c>
      <c r="H29" s="11"/>
      <c r="I29" s="11"/>
      <c r="J29" s="11"/>
      <c r="K29" s="11"/>
      <c r="L29" s="11"/>
      <c r="M29" s="11"/>
    </row>
    <row r="30" spans="1:13" x14ac:dyDescent="0.2">
      <c r="A30" s="50"/>
      <c r="B30" s="9">
        <v>32</v>
      </c>
      <c r="C30" s="9" t="s">
        <v>373</v>
      </c>
      <c r="D30" s="9" t="s">
        <v>24</v>
      </c>
      <c r="E30" s="9" t="s">
        <v>31</v>
      </c>
      <c r="F30" s="9" t="s">
        <v>26</v>
      </c>
      <c r="G30" s="9" t="s">
        <v>27</v>
      </c>
      <c r="H30" s="11"/>
      <c r="I30" s="11"/>
      <c r="J30" s="11"/>
      <c r="K30" s="11"/>
      <c r="L30" s="11"/>
      <c r="M30" s="11"/>
    </row>
    <row r="31" spans="1:13" x14ac:dyDescent="0.2">
      <c r="A31" s="51"/>
      <c r="B31" s="9">
        <v>32</v>
      </c>
      <c r="C31" s="9" t="s">
        <v>374</v>
      </c>
      <c r="D31" s="9" t="s">
        <v>30</v>
      </c>
      <c r="E31" s="9" t="s">
        <v>31</v>
      </c>
      <c r="F31" s="9" t="s">
        <v>47</v>
      </c>
      <c r="G31" s="9" t="s">
        <v>27</v>
      </c>
      <c r="H31" s="11"/>
      <c r="I31" s="11"/>
      <c r="J31" s="11"/>
      <c r="K31" s="11"/>
      <c r="L31" s="11"/>
      <c r="M31" s="11"/>
    </row>
    <row r="32" spans="1:13" x14ac:dyDescent="0.2">
      <c r="A32" s="50"/>
      <c r="B32" s="9">
        <v>32</v>
      </c>
      <c r="C32" s="9" t="s">
        <v>375</v>
      </c>
      <c r="D32" s="9" t="s">
        <v>24</v>
      </c>
      <c r="E32" s="9" t="s">
        <v>31</v>
      </c>
      <c r="F32" s="9" t="s">
        <v>26</v>
      </c>
      <c r="G32" s="9" t="s">
        <v>27</v>
      </c>
      <c r="H32" s="11"/>
      <c r="I32" s="11"/>
      <c r="J32" s="11"/>
      <c r="K32" s="11"/>
      <c r="L32" s="11"/>
      <c r="M32" s="11"/>
    </row>
    <row r="33" spans="1:13" x14ac:dyDescent="0.2">
      <c r="A33" s="51"/>
      <c r="B33" s="9">
        <v>32</v>
      </c>
      <c r="C33" s="9" t="s">
        <v>326</v>
      </c>
      <c r="D33" s="9" t="s">
        <v>24</v>
      </c>
      <c r="E33" s="9" t="s">
        <v>31</v>
      </c>
      <c r="F33" s="9" t="s">
        <v>26</v>
      </c>
      <c r="G33" s="9" t="s">
        <v>27</v>
      </c>
      <c r="H33" s="11"/>
      <c r="I33" s="11"/>
      <c r="J33" s="11"/>
      <c r="K33" s="11"/>
      <c r="L33" s="11"/>
      <c r="M33" s="11"/>
    </row>
    <row r="34" spans="1:13" x14ac:dyDescent="0.2">
      <c r="A34" s="50"/>
      <c r="B34" s="9">
        <v>32</v>
      </c>
      <c r="C34" s="9" t="s">
        <v>376</v>
      </c>
      <c r="D34" s="9" t="s">
        <v>24</v>
      </c>
      <c r="E34" s="9" t="s">
        <v>31</v>
      </c>
      <c r="F34" s="9" t="s">
        <v>26</v>
      </c>
      <c r="G34" s="9" t="s">
        <v>27</v>
      </c>
      <c r="H34" s="11"/>
      <c r="I34" s="11"/>
      <c r="J34" s="11"/>
      <c r="K34" s="11"/>
      <c r="L34" s="11"/>
      <c r="M34" s="11"/>
    </row>
    <row r="35" spans="1:13" x14ac:dyDescent="0.2">
      <c r="A35" s="51"/>
      <c r="B35" s="9">
        <v>32</v>
      </c>
      <c r="C35" s="9" t="s">
        <v>377</v>
      </c>
      <c r="D35" s="9" t="s">
        <v>24</v>
      </c>
      <c r="E35" s="9" t="s">
        <v>31</v>
      </c>
      <c r="F35" s="9" t="s">
        <v>26</v>
      </c>
      <c r="G35" s="9" t="s">
        <v>27</v>
      </c>
      <c r="H35" s="11"/>
      <c r="I35" s="11"/>
      <c r="J35" s="11"/>
      <c r="K35" s="11"/>
      <c r="L35" s="11"/>
      <c r="M35" s="11"/>
    </row>
    <row r="36" spans="1:13" x14ac:dyDescent="0.2">
      <c r="A36" s="49"/>
      <c r="B36" s="9">
        <v>32</v>
      </c>
      <c r="C36" s="9" t="s">
        <v>329</v>
      </c>
      <c r="D36" s="9" t="s">
        <v>24</v>
      </c>
      <c r="E36" s="9" t="s">
        <v>31</v>
      </c>
      <c r="F36" s="9" t="s">
        <v>26</v>
      </c>
      <c r="G36" s="9" t="s">
        <v>27</v>
      </c>
      <c r="H36" s="11"/>
      <c r="I36" s="11"/>
      <c r="J36" s="11"/>
      <c r="K36" s="11"/>
      <c r="L36" s="11"/>
      <c r="M36" s="11"/>
    </row>
    <row r="37" spans="1:13" ht="12.75" x14ac:dyDescent="0.2">
      <c r="A37" s="48" t="s">
        <v>33</v>
      </c>
      <c r="B37" s="9">
        <v>32</v>
      </c>
      <c r="C37" s="9" t="s">
        <v>378</v>
      </c>
      <c r="D37" s="9" t="s">
        <v>24</v>
      </c>
      <c r="E37" s="9" t="s">
        <v>31</v>
      </c>
      <c r="F37" s="9" t="s">
        <v>26</v>
      </c>
      <c r="G37" s="9" t="s">
        <v>27</v>
      </c>
      <c r="H37" s="11"/>
      <c r="I37" s="11"/>
      <c r="J37" s="11"/>
      <c r="K37" s="11"/>
      <c r="L37" s="11"/>
      <c r="M37" s="11"/>
    </row>
    <row r="38" spans="1:13" ht="12.75" x14ac:dyDescent="0.2">
      <c r="A38" s="52"/>
      <c r="B38" s="9">
        <v>32</v>
      </c>
      <c r="C38" s="9" t="s">
        <v>368</v>
      </c>
      <c r="D38" s="9" t="s">
        <v>24</v>
      </c>
      <c r="E38" s="9" t="s">
        <v>31</v>
      </c>
      <c r="F38" s="9" t="s">
        <v>26</v>
      </c>
      <c r="G38" s="9" t="s">
        <v>27</v>
      </c>
      <c r="H38" s="11"/>
      <c r="I38" s="11"/>
      <c r="J38" s="11"/>
      <c r="K38" s="11"/>
      <c r="L38" s="11"/>
      <c r="M38" s="11"/>
    </row>
    <row r="39" spans="1:13" ht="12.75" x14ac:dyDescent="0.2">
      <c r="A39" s="52"/>
      <c r="B39" s="9">
        <v>32</v>
      </c>
      <c r="C39" s="9" t="s">
        <v>369</v>
      </c>
      <c r="D39" s="9" t="s">
        <v>24</v>
      </c>
      <c r="E39" s="9" t="s">
        <v>31</v>
      </c>
      <c r="F39" s="9" t="s">
        <v>26</v>
      </c>
      <c r="G39" s="9" t="s">
        <v>27</v>
      </c>
      <c r="H39" s="11"/>
      <c r="I39" s="11"/>
      <c r="J39" s="11"/>
      <c r="K39" s="11"/>
      <c r="L39" s="11"/>
      <c r="M39" s="11"/>
    </row>
    <row r="40" spans="1:13" ht="12.75" x14ac:dyDescent="0.2">
      <c r="A40" s="52"/>
      <c r="B40" s="9">
        <v>32</v>
      </c>
      <c r="C40" s="9" t="s">
        <v>370</v>
      </c>
      <c r="D40" s="9" t="s">
        <v>24</v>
      </c>
      <c r="E40" s="9" t="s">
        <v>31</v>
      </c>
      <c r="F40" s="9" t="s">
        <v>26</v>
      </c>
      <c r="G40" s="9" t="s">
        <v>27</v>
      </c>
      <c r="H40" s="11"/>
      <c r="I40" s="11"/>
      <c r="J40" s="11"/>
      <c r="K40" s="11"/>
      <c r="L40" s="11"/>
      <c r="M40" s="11"/>
    </row>
    <row r="41" spans="1:13" ht="12.75" x14ac:dyDescent="0.2">
      <c r="A41" s="52"/>
      <c r="B41" s="9">
        <v>32</v>
      </c>
      <c r="C41" s="9" t="s">
        <v>371</v>
      </c>
      <c r="D41" s="9" t="s">
        <v>30</v>
      </c>
      <c r="E41" s="9" t="s">
        <v>31</v>
      </c>
      <c r="F41" s="9" t="s">
        <v>47</v>
      </c>
      <c r="G41" s="9" t="s">
        <v>27</v>
      </c>
      <c r="H41" s="11"/>
      <c r="I41" s="11"/>
      <c r="J41" s="11"/>
      <c r="K41" s="11"/>
      <c r="L41" s="11"/>
      <c r="M41" s="11"/>
    </row>
    <row r="42" spans="1:13" ht="12.75" x14ac:dyDescent="0.2">
      <c r="A42" s="52"/>
      <c r="B42" s="9">
        <v>32</v>
      </c>
      <c r="C42" s="23" t="s">
        <v>379</v>
      </c>
      <c r="D42" s="9" t="s">
        <v>30</v>
      </c>
      <c r="E42" s="9" t="s">
        <v>31</v>
      </c>
      <c r="F42" s="9" t="s">
        <v>26</v>
      </c>
      <c r="G42" s="9" t="s">
        <v>27</v>
      </c>
      <c r="H42" s="11"/>
      <c r="I42" s="11"/>
      <c r="J42" s="11"/>
      <c r="K42" s="11"/>
      <c r="L42" s="11"/>
      <c r="M42" s="11"/>
    </row>
    <row r="43" spans="1:13" ht="12.75" x14ac:dyDescent="0.2">
      <c r="A43" s="52"/>
      <c r="B43" s="9">
        <v>32</v>
      </c>
      <c r="C43" s="9" t="s">
        <v>372</v>
      </c>
      <c r="D43" s="9" t="s">
        <v>24</v>
      </c>
      <c r="E43" s="9" t="s">
        <v>31</v>
      </c>
      <c r="F43" s="9" t="s">
        <v>26</v>
      </c>
      <c r="G43" s="9" t="s">
        <v>27</v>
      </c>
      <c r="H43" s="11"/>
      <c r="I43" s="11"/>
      <c r="J43" s="11"/>
      <c r="K43" s="11"/>
      <c r="L43" s="11"/>
      <c r="M43" s="11"/>
    </row>
    <row r="44" spans="1:13" ht="12.75" x14ac:dyDescent="0.2">
      <c r="A44" s="52"/>
      <c r="B44" s="9">
        <v>32</v>
      </c>
      <c r="C44" s="9" t="s">
        <v>380</v>
      </c>
      <c r="D44" s="9" t="s">
        <v>24</v>
      </c>
      <c r="E44" s="9" t="s">
        <v>31</v>
      </c>
      <c r="F44" s="9" t="s">
        <v>26</v>
      </c>
      <c r="G44" s="9" t="s">
        <v>27</v>
      </c>
      <c r="H44" s="11"/>
      <c r="I44" s="11"/>
      <c r="J44" s="11"/>
      <c r="K44" s="11"/>
      <c r="L44" s="11"/>
      <c r="M44" s="11"/>
    </row>
    <row r="45" spans="1:13" ht="12.75" x14ac:dyDescent="0.2">
      <c r="A45" s="52"/>
      <c r="B45" s="9">
        <v>32</v>
      </c>
      <c r="C45" s="9" t="s">
        <v>381</v>
      </c>
      <c r="D45" s="9" t="s">
        <v>24</v>
      </c>
      <c r="E45" s="9" t="s">
        <v>31</v>
      </c>
      <c r="F45" s="9" t="s">
        <v>47</v>
      </c>
      <c r="G45" s="9" t="s">
        <v>27</v>
      </c>
      <c r="H45" s="11"/>
      <c r="I45" s="11"/>
      <c r="J45" s="11"/>
      <c r="K45" s="11"/>
      <c r="L45" s="11"/>
      <c r="M45" s="11"/>
    </row>
    <row r="46" spans="1:13" ht="12.75" x14ac:dyDescent="0.2">
      <c r="A46" s="53"/>
      <c r="B46" s="9">
        <v>32</v>
      </c>
      <c r="C46" s="9" t="s">
        <v>373</v>
      </c>
      <c r="D46" s="9" t="s">
        <v>24</v>
      </c>
      <c r="E46" s="9" t="s">
        <v>31</v>
      </c>
      <c r="F46" s="9" t="s">
        <v>26</v>
      </c>
      <c r="G46" s="9" t="s">
        <v>27</v>
      </c>
      <c r="H46" s="11"/>
      <c r="I46" s="11"/>
      <c r="J46" s="11"/>
      <c r="K46" s="11"/>
      <c r="L46" s="11"/>
      <c r="M46" s="11"/>
    </row>
    <row r="47" spans="1:13" ht="12.75" x14ac:dyDescent="0.2">
      <c r="A47" s="48" t="s">
        <v>38</v>
      </c>
      <c r="B47" s="9">
        <v>32</v>
      </c>
      <c r="C47" s="9" t="s">
        <v>382</v>
      </c>
      <c r="D47" s="9" t="s">
        <v>24</v>
      </c>
      <c r="E47" s="9" t="s">
        <v>25</v>
      </c>
      <c r="F47" s="9" t="s">
        <v>26</v>
      </c>
      <c r="G47" s="9" t="s">
        <v>27</v>
      </c>
      <c r="H47" s="11"/>
      <c r="I47" s="11"/>
      <c r="J47" s="11"/>
      <c r="K47" s="11"/>
      <c r="L47" s="11"/>
      <c r="M47" s="11"/>
    </row>
    <row r="48" spans="1:13" ht="12.75" x14ac:dyDescent="0.2">
      <c r="A48" s="52"/>
      <c r="B48" s="9">
        <v>32</v>
      </c>
      <c r="C48" s="9" t="s">
        <v>359</v>
      </c>
      <c r="D48" s="9" t="s">
        <v>24</v>
      </c>
      <c r="E48" s="9" t="s">
        <v>25</v>
      </c>
      <c r="F48" s="9" t="s">
        <v>26</v>
      </c>
      <c r="G48" s="9" t="s">
        <v>27</v>
      </c>
      <c r="H48" s="11"/>
      <c r="I48" s="11"/>
      <c r="J48" s="11"/>
      <c r="K48" s="11"/>
      <c r="L48" s="11"/>
      <c r="M48" s="11"/>
    </row>
    <row r="49" spans="1:13" ht="12.75" x14ac:dyDescent="0.2">
      <c r="A49" s="52"/>
      <c r="B49" s="9">
        <v>32</v>
      </c>
      <c r="C49" s="9" t="s">
        <v>361</v>
      </c>
      <c r="D49" s="9" t="s">
        <v>24</v>
      </c>
      <c r="E49" s="9" t="s">
        <v>25</v>
      </c>
      <c r="F49" s="9" t="s">
        <v>26</v>
      </c>
      <c r="G49" s="9" t="s">
        <v>27</v>
      </c>
      <c r="H49" s="11"/>
      <c r="I49" s="11"/>
      <c r="J49" s="11"/>
      <c r="K49" s="11"/>
      <c r="L49" s="11"/>
      <c r="M49" s="11"/>
    </row>
    <row r="50" spans="1:13" ht="12.75" x14ac:dyDescent="0.2">
      <c r="A50" s="52"/>
      <c r="B50" s="9">
        <v>32</v>
      </c>
      <c r="C50" s="9" t="s">
        <v>383</v>
      </c>
      <c r="D50" s="9" t="s">
        <v>30</v>
      </c>
      <c r="E50" s="9" t="s">
        <v>25</v>
      </c>
      <c r="F50" s="9" t="s">
        <v>47</v>
      </c>
      <c r="G50" s="9" t="s">
        <v>27</v>
      </c>
      <c r="H50" s="13"/>
      <c r="I50" s="13"/>
    </row>
    <row r="51" spans="1:13" ht="12.75" x14ac:dyDescent="0.2">
      <c r="A51" s="52"/>
      <c r="B51" s="9">
        <v>32</v>
      </c>
      <c r="C51" s="9" t="s">
        <v>384</v>
      </c>
      <c r="D51" s="9" t="s">
        <v>30</v>
      </c>
      <c r="E51" s="9" t="s">
        <v>25</v>
      </c>
      <c r="F51" s="9" t="s">
        <v>26</v>
      </c>
      <c r="G51" s="9" t="s">
        <v>27</v>
      </c>
      <c r="H51" s="13"/>
      <c r="I51" s="13"/>
    </row>
    <row r="52" spans="1:13" ht="12.75" x14ac:dyDescent="0.2">
      <c r="A52" s="52"/>
      <c r="B52" s="9">
        <v>32</v>
      </c>
      <c r="C52" s="9" t="s">
        <v>362</v>
      </c>
      <c r="D52" s="9" t="s">
        <v>24</v>
      </c>
      <c r="E52" s="9" t="s">
        <v>25</v>
      </c>
      <c r="F52" s="9" t="s">
        <v>47</v>
      </c>
      <c r="G52" s="9" t="s">
        <v>27</v>
      </c>
      <c r="H52" s="13"/>
      <c r="I52" s="13"/>
    </row>
    <row r="53" spans="1:13" ht="12.75" x14ac:dyDescent="0.2">
      <c r="A53" s="53"/>
      <c r="B53" s="9">
        <v>32</v>
      </c>
      <c r="C53" s="9" t="s">
        <v>385</v>
      </c>
      <c r="D53" s="9" t="s">
        <v>24</v>
      </c>
      <c r="E53" s="9" t="s">
        <v>25</v>
      </c>
      <c r="F53" s="9" t="s">
        <v>47</v>
      </c>
      <c r="G53" s="9" t="s">
        <v>27</v>
      </c>
      <c r="H53" s="13"/>
      <c r="I53" s="13"/>
    </row>
    <row r="54" spans="1:13" ht="12.75" x14ac:dyDescent="0.2">
      <c r="A54" s="48" t="s">
        <v>46</v>
      </c>
      <c r="B54" s="9">
        <v>32</v>
      </c>
      <c r="C54" s="9" t="s">
        <v>367</v>
      </c>
      <c r="D54" s="9" t="s">
        <v>24</v>
      </c>
      <c r="E54" s="9" t="s">
        <v>31</v>
      </c>
      <c r="F54" s="9" t="s">
        <v>47</v>
      </c>
      <c r="G54" s="9" t="s">
        <v>27</v>
      </c>
      <c r="H54" s="13"/>
      <c r="I54" s="13"/>
    </row>
    <row r="55" spans="1:13" ht="12.75" x14ac:dyDescent="0.2">
      <c r="A55" s="52"/>
      <c r="B55" s="9">
        <v>32</v>
      </c>
      <c r="C55" s="9" t="s">
        <v>369</v>
      </c>
      <c r="D55" s="9" t="s">
        <v>24</v>
      </c>
      <c r="E55" s="9" t="s">
        <v>31</v>
      </c>
      <c r="F55" s="9" t="s">
        <v>47</v>
      </c>
      <c r="G55" s="9" t="s">
        <v>27</v>
      </c>
      <c r="H55" s="13"/>
      <c r="I55" s="13"/>
    </row>
    <row r="56" spans="1:13" ht="12.75" x14ac:dyDescent="0.2">
      <c r="A56" s="53"/>
      <c r="B56" s="9">
        <v>32</v>
      </c>
      <c r="C56" s="9" t="s">
        <v>386</v>
      </c>
      <c r="D56" s="9" t="s">
        <v>30</v>
      </c>
      <c r="E56" s="9" t="s">
        <v>31</v>
      </c>
      <c r="F56" s="9" t="s">
        <v>87</v>
      </c>
      <c r="G56" s="9" t="s">
        <v>27</v>
      </c>
      <c r="H56" s="13"/>
      <c r="I56" s="13"/>
    </row>
    <row r="57" spans="1:13" ht="12.75" x14ac:dyDescent="0.2">
      <c r="A57" s="48" t="s">
        <v>49</v>
      </c>
      <c r="B57" s="9">
        <v>32</v>
      </c>
      <c r="C57" s="9" t="s">
        <v>361</v>
      </c>
      <c r="D57" s="9" t="s">
        <v>24</v>
      </c>
      <c r="E57" s="9" t="s">
        <v>31</v>
      </c>
      <c r="F57" s="9" t="s">
        <v>26</v>
      </c>
      <c r="G57" s="9" t="s">
        <v>27</v>
      </c>
      <c r="H57" s="13"/>
      <c r="I57" s="13"/>
    </row>
    <row r="58" spans="1:13" ht="12.75" x14ac:dyDescent="0.2">
      <c r="A58" s="52"/>
      <c r="B58" s="9">
        <v>32</v>
      </c>
      <c r="C58" s="9" t="s">
        <v>369</v>
      </c>
      <c r="D58" s="9" t="s">
        <v>24</v>
      </c>
      <c r="E58" s="9" t="s">
        <v>31</v>
      </c>
      <c r="F58" s="9" t="s">
        <v>47</v>
      </c>
      <c r="G58" s="9" t="s">
        <v>27</v>
      </c>
      <c r="H58" s="13"/>
      <c r="I58" s="13"/>
    </row>
    <row r="59" spans="1:13" ht="12.75" x14ac:dyDescent="0.2">
      <c r="A59" s="52"/>
      <c r="B59" s="9">
        <v>32</v>
      </c>
      <c r="C59" s="9" t="s">
        <v>387</v>
      </c>
      <c r="D59" s="9" t="s">
        <v>24</v>
      </c>
      <c r="E59" s="9" t="s">
        <v>31</v>
      </c>
      <c r="F59" s="9" t="s">
        <v>26</v>
      </c>
      <c r="G59" s="9" t="s">
        <v>27</v>
      </c>
      <c r="H59" s="13"/>
      <c r="I59" s="13"/>
    </row>
    <row r="60" spans="1:13" ht="12.75" x14ac:dyDescent="0.2">
      <c r="A60" s="53"/>
      <c r="B60" s="9">
        <v>32</v>
      </c>
      <c r="C60" s="9" t="s">
        <v>388</v>
      </c>
      <c r="D60" s="9" t="s">
        <v>24</v>
      </c>
      <c r="E60" s="9" t="s">
        <v>31</v>
      </c>
      <c r="F60" s="9" t="s">
        <v>47</v>
      </c>
      <c r="G60" s="9" t="s">
        <v>27</v>
      </c>
      <c r="H60" s="13"/>
      <c r="I60" s="13"/>
    </row>
    <row r="61" spans="1:13" ht="12.75" x14ac:dyDescent="0.2">
      <c r="A61" s="48" t="s">
        <v>52</v>
      </c>
      <c r="B61" s="9">
        <v>32</v>
      </c>
      <c r="C61" s="9" t="s">
        <v>361</v>
      </c>
      <c r="D61" s="9" t="s">
        <v>24</v>
      </c>
      <c r="E61" s="9" t="s">
        <v>31</v>
      </c>
      <c r="F61" s="9" t="s">
        <v>47</v>
      </c>
      <c r="G61" s="9" t="s">
        <v>27</v>
      </c>
      <c r="H61" s="13"/>
      <c r="I61" s="13"/>
    </row>
    <row r="62" spans="1:13" ht="12.75" x14ac:dyDescent="0.2">
      <c r="A62" s="52"/>
      <c r="B62" s="9">
        <v>32</v>
      </c>
      <c r="C62" s="9" t="s">
        <v>389</v>
      </c>
      <c r="D62" s="9" t="s">
        <v>24</v>
      </c>
      <c r="E62" s="9" t="s">
        <v>31</v>
      </c>
      <c r="F62" s="9" t="s">
        <v>47</v>
      </c>
      <c r="G62" s="9" t="s">
        <v>27</v>
      </c>
      <c r="H62" s="13"/>
      <c r="I62" s="13"/>
    </row>
    <row r="63" spans="1:13" ht="12.75" x14ac:dyDescent="0.2">
      <c r="A63" s="52"/>
      <c r="B63" s="9">
        <v>32</v>
      </c>
      <c r="C63" s="9" t="s">
        <v>373</v>
      </c>
      <c r="D63" s="9" t="s">
        <v>24</v>
      </c>
      <c r="E63" s="9" t="s">
        <v>31</v>
      </c>
      <c r="F63" s="9" t="s">
        <v>26</v>
      </c>
      <c r="G63" s="9" t="s">
        <v>27</v>
      </c>
      <c r="H63" s="13"/>
      <c r="I63" s="13"/>
    </row>
    <row r="64" spans="1:13" ht="12.75" x14ac:dyDescent="0.2">
      <c r="A64" s="52"/>
      <c r="B64" s="9">
        <v>32</v>
      </c>
      <c r="C64" s="9" t="s">
        <v>390</v>
      </c>
      <c r="D64" s="9" t="s">
        <v>30</v>
      </c>
      <c r="E64" s="9" t="s">
        <v>31</v>
      </c>
      <c r="F64" s="9" t="s">
        <v>47</v>
      </c>
      <c r="G64" s="9" t="s">
        <v>27</v>
      </c>
      <c r="H64" s="13"/>
      <c r="I64" s="13"/>
    </row>
    <row r="65" spans="1:9" ht="12.75" x14ac:dyDescent="0.2">
      <c r="A65" s="52"/>
      <c r="B65" s="9">
        <v>32</v>
      </c>
      <c r="C65" s="9" t="s">
        <v>391</v>
      </c>
      <c r="D65" s="9" t="s">
        <v>24</v>
      </c>
      <c r="E65" s="9" t="s">
        <v>256</v>
      </c>
      <c r="F65" s="9" t="s">
        <v>47</v>
      </c>
      <c r="G65" s="9" t="s">
        <v>27</v>
      </c>
      <c r="H65" s="13"/>
      <c r="I65" s="13"/>
    </row>
    <row r="66" spans="1:9" ht="12.75" x14ac:dyDescent="0.2">
      <c r="A66" s="52"/>
      <c r="B66" s="9">
        <v>32</v>
      </c>
      <c r="C66" s="9" t="s">
        <v>332</v>
      </c>
      <c r="D66" s="9" t="s">
        <v>24</v>
      </c>
      <c r="E66" s="9" t="s">
        <v>31</v>
      </c>
      <c r="F66" s="9" t="s">
        <v>26</v>
      </c>
      <c r="G66" s="9" t="s">
        <v>27</v>
      </c>
      <c r="H66" s="13"/>
      <c r="I66" s="13"/>
    </row>
    <row r="67" spans="1:9" ht="12.75" x14ac:dyDescent="0.2">
      <c r="A67" s="52"/>
      <c r="B67" s="9">
        <v>32</v>
      </c>
      <c r="C67" s="9" t="s">
        <v>392</v>
      </c>
      <c r="D67" s="9" t="s">
        <v>24</v>
      </c>
      <c r="E67" s="9" t="s">
        <v>31</v>
      </c>
      <c r="F67" s="9" t="s">
        <v>26</v>
      </c>
      <c r="G67" s="9" t="s">
        <v>27</v>
      </c>
      <c r="H67" s="13"/>
      <c r="I67" s="13"/>
    </row>
    <row r="68" spans="1:9" ht="12.75" x14ac:dyDescent="0.2">
      <c r="A68" s="52"/>
      <c r="B68" s="9">
        <v>32</v>
      </c>
      <c r="C68" s="9" t="s">
        <v>393</v>
      </c>
      <c r="D68" s="9" t="s">
        <v>24</v>
      </c>
      <c r="E68" s="9" t="s">
        <v>31</v>
      </c>
      <c r="F68" s="9" t="s">
        <v>26</v>
      </c>
      <c r="G68" s="9" t="s">
        <v>27</v>
      </c>
      <c r="H68" s="13"/>
      <c r="I68" s="13"/>
    </row>
    <row r="69" spans="1:9" ht="12.75" x14ac:dyDescent="0.2">
      <c r="A69" s="52"/>
      <c r="B69" s="9">
        <v>32</v>
      </c>
      <c r="C69" s="9" t="s">
        <v>293</v>
      </c>
      <c r="D69" s="9" t="s">
        <v>24</v>
      </c>
      <c r="E69" s="9" t="s">
        <v>31</v>
      </c>
      <c r="F69" s="9" t="s">
        <v>26</v>
      </c>
      <c r="G69" s="9" t="s">
        <v>27</v>
      </c>
      <c r="H69" s="13"/>
      <c r="I69" s="13"/>
    </row>
    <row r="70" spans="1:9" ht="12.75" x14ac:dyDescent="0.2">
      <c r="A70" s="52"/>
      <c r="B70" s="9">
        <v>32</v>
      </c>
      <c r="C70" s="9" t="s">
        <v>287</v>
      </c>
      <c r="D70" s="9" t="s">
        <v>24</v>
      </c>
      <c r="E70" s="9" t="s">
        <v>31</v>
      </c>
      <c r="F70" s="9" t="s">
        <v>26</v>
      </c>
      <c r="G70" s="9" t="s">
        <v>27</v>
      </c>
      <c r="H70" s="13"/>
      <c r="I70" s="13"/>
    </row>
    <row r="71" spans="1:9" ht="12.75" x14ac:dyDescent="0.2">
      <c r="A71" s="53"/>
      <c r="B71" s="9">
        <v>32</v>
      </c>
      <c r="C71" s="9" t="s">
        <v>394</v>
      </c>
      <c r="D71" s="9" t="s">
        <v>24</v>
      </c>
      <c r="E71" s="9" t="s">
        <v>31</v>
      </c>
      <c r="F71" s="9" t="s">
        <v>26</v>
      </c>
      <c r="G71" s="9" t="s">
        <v>27</v>
      </c>
      <c r="H71" s="13"/>
      <c r="I71" s="13"/>
    </row>
    <row r="72" spans="1:9" ht="12.75" x14ac:dyDescent="0.2">
      <c r="A72" s="48" t="s">
        <v>59</v>
      </c>
      <c r="B72" s="9">
        <v>32</v>
      </c>
      <c r="C72" s="9" t="s">
        <v>395</v>
      </c>
      <c r="D72" s="9" t="s">
        <v>24</v>
      </c>
      <c r="E72" s="9" t="s">
        <v>31</v>
      </c>
      <c r="F72" s="9" t="s">
        <v>26</v>
      </c>
      <c r="G72" s="9" t="s">
        <v>27</v>
      </c>
      <c r="H72" s="13"/>
      <c r="I72" s="13"/>
    </row>
    <row r="73" spans="1:9" ht="12.75" x14ac:dyDescent="0.2">
      <c r="A73" s="52"/>
      <c r="B73" s="9">
        <v>32</v>
      </c>
      <c r="C73" s="9" t="s">
        <v>361</v>
      </c>
      <c r="D73" s="9" t="s">
        <v>24</v>
      </c>
      <c r="E73" s="9" t="s">
        <v>31</v>
      </c>
      <c r="F73" s="9" t="s">
        <v>26</v>
      </c>
      <c r="G73" s="9" t="s">
        <v>27</v>
      </c>
      <c r="H73" s="13"/>
      <c r="I73" s="13"/>
    </row>
    <row r="74" spans="1:9" ht="12.75" x14ac:dyDescent="0.2">
      <c r="A74" s="53"/>
      <c r="B74" s="9">
        <v>32</v>
      </c>
      <c r="C74" s="9" t="s">
        <v>373</v>
      </c>
      <c r="D74" s="9" t="s">
        <v>24</v>
      </c>
      <c r="E74" s="9" t="s">
        <v>31</v>
      </c>
      <c r="F74" s="9" t="s">
        <v>26</v>
      </c>
      <c r="G74" s="9" t="s">
        <v>27</v>
      </c>
      <c r="H74" s="13"/>
      <c r="I74" s="13"/>
    </row>
    <row r="75" spans="1:9" ht="12.75" x14ac:dyDescent="0.2">
      <c r="A75" s="48" t="s">
        <v>101</v>
      </c>
      <c r="B75" s="9">
        <v>32</v>
      </c>
      <c r="C75" s="9" t="s">
        <v>369</v>
      </c>
      <c r="D75" s="9" t="s">
        <v>24</v>
      </c>
      <c r="E75" s="9" t="s">
        <v>31</v>
      </c>
      <c r="F75" s="9" t="s">
        <v>47</v>
      </c>
      <c r="G75" s="9" t="s">
        <v>27</v>
      </c>
      <c r="H75" s="13"/>
      <c r="I75" s="13"/>
    </row>
    <row r="76" spans="1:9" ht="12.75" x14ac:dyDescent="0.2">
      <c r="A76" s="52"/>
      <c r="B76" s="9">
        <v>32</v>
      </c>
      <c r="C76" s="9" t="s">
        <v>396</v>
      </c>
      <c r="D76" s="9" t="s">
        <v>24</v>
      </c>
      <c r="E76" s="9" t="s">
        <v>31</v>
      </c>
      <c r="F76" s="9" t="s">
        <v>47</v>
      </c>
      <c r="G76" s="9" t="s">
        <v>27</v>
      </c>
      <c r="H76" s="13"/>
      <c r="I76" s="13"/>
    </row>
    <row r="77" spans="1:9" ht="12.75" x14ac:dyDescent="0.2">
      <c r="A77" s="52"/>
      <c r="B77" s="9">
        <v>32</v>
      </c>
      <c r="C77" s="9" t="s">
        <v>397</v>
      </c>
      <c r="D77" s="9" t="s">
        <v>24</v>
      </c>
      <c r="E77" s="9" t="s">
        <v>31</v>
      </c>
      <c r="F77" s="9" t="s">
        <v>47</v>
      </c>
      <c r="G77" s="9" t="s">
        <v>27</v>
      </c>
      <c r="H77" s="13"/>
      <c r="I77" s="13"/>
    </row>
    <row r="78" spans="1:9" ht="12.75" x14ac:dyDescent="0.2">
      <c r="A78" s="52"/>
      <c r="B78" s="9">
        <v>32</v>
      </c>
      <c r="C78" s="9" t="s">
        <v>398</v>
      </c>
      <c r="D78" s="9" t="s">
        <v>24</v>
      </c>
      <c r="E78" s="9" t="s">
        <v>31</v>
      </c>
      <c r="F78" s="9" t="s">
        <v>47</v>
      </c>
      <c r="G78" s="9" t="s">
        <v>27</v>
      </c>
      <c r="H78" s="13"/>
      <c r="I78" s="13"/>
    </row>
    <row r="79" spans="1:9" ht="12.75" x14ac:dyDescent="0.2">
      <c r="A79" s="53"/>
      <c r="B79" s="9">
        <v>32</v>
      </c>
      <c r="C79" s="9" t="s">
        <v>399</v>
      </c>
      <c r="D79" s="9" t="s">
        <v>24</v>
      </c>
      <c r="E79" s="9" t="s">
        <v>31</v>
      </c>
      <c r="F79" s="9" t="s">
        <v>47</v>
      </c>
      <c r="G79" s="9" t="s">
        <v>27</v>
      </c>
      <c r="H79" s="13"/>
      <c r="I79" s="13"/>
    </row>
    <row r="80" spans="1:9" ht="12.75" x14ac:dyDescent="0.2">
      <c r="A80" s="48" t="s">
        <v>62</v>
      </c>
      <c r="B80" s="9">
        <v>32</v>
      </c>
      <c r="C80" s="9" t="s">
        <v>361</v>
      </c>
      <c r="D80" s="9" t="s">
        <v>24</v>
      </c>
      <c r="E80" s="9" t="s">
        <v>31</v>
      </c>
      <c r="F80" s="9" t="s">
        <v>26</v>
      </c>
      <c r="G80" s="9" t="s">
        <v>27</v>
      </c>
      <c r="H80" s="13"/>
      <c r="I80" s="13"/>
    </row>
    <row r="81" spans="1:9" ht="12.75" x14ac:dyDescent="0.2">
      <c r="A81" s="52"/>
      <c r="B81" s="9">
        <v>32</v>
      </c>
      <c r="C81" s="9" t="s">
        <v>400</v>
      </c>
      <c r="D81" s="9" t="s">
        <v>24</v>
      </c>
      <c r="E81" s="9" t="s">
        <v>31</v>
      </c>
      <c r="F81" s="9" t="s">
        <v>47</v>
      </c>
      <c r="G81" s="9" t="s">
        <v>27</v>
      </c>
      <c r="H81" s="13"/>
      <c r="I81" s="13"/>
    </row>
    <row r="82" spans="1:9" ht="12.75" x14ac:dyDescent="0.2">
      <c r="A82" s="52"/>
      <c r="B82" s="9">
        <v>32</v>
      </c>
      <c r="C82" s="9" t="s">
        <v>401</v>
      </c>
      <c r="D82" s="9" t="s">
        <v>24</v>
      </c>
      <c r="E82" s="9" t="s">
        <v>31</v>
      </c>
      <c r="F82" s="9" t="s">
        <v>87</v>
      </c>
      <c r="G82" s="9" t="s">
        <v>27</v>
      </c>
      <c r="H82" s="13"/>
      <c r="I82" s="13"/>
    </row>
    <row r="83" spans="1:9" ht="12.75" x14ac:dyDescent="0.2">
      <c r="A83" s="52"/>
      <c r="B83" s="9">
        <v>32</v>
      </c>
      <c r="C83" s="9" t="s">
        <v>373</v>
      </c>
      <c r="D83" s="9" t="s">
        <v>24</v>
      </c>
      <c r="E83" s="9" t="s">
        <v>31</v>
      </c>
      <c r="F83" s="9" t="s">
        <v>26</v>
      </c>
      <c r="G83" s="9" t="s">
        <v>27</v>
      </c>
      <c r="H83" s="13"/>
      <c r="I83" s="13"/>
    </row>
    <row r="84" spans="1:9" ht="12.75" x14ac:dyDescent="0.2">
      <c r="A84" s="52"/>
      <c r="B84" s="9">
        <v>32</v>
      </c>
      <c r="C84" s="9" t="s">
        <v>402</v>
      </c>
      <c r="D84" s="9" t="s">
        <v>24</v>
      </c>
      <c r="E84" s="9" t="s">
        <v>31</v>
      </c>
      <c r="F84" s="9" t="s">
        <v>47</v>
      </c>
      <c r="G84" s="9" t="s">
        <v>27</v>
      </c>
      <c r="H84" s="13"/>
      <c r="I84" s="13"/>
    </row>
    <row r="85" spans="1:9" ht="12.75" x14ac:dyDescent="0.2">
      <c r="A85" s="52"/>
      <c r="B85" s="9">
        <v>32</v>
      </c>
      <c r="C85" s="9" t="s">
        <v>403</v>
      </c>
      <c r="D85" s="9" t="s">
        <v>24</v>
      </c>
      <c r="E85" s="9" t="s">
        <v>31</v>
      </c>
      <c r="F85" s="9" t="s">
        <v>47</v>
      </c>
      <c r="G85" s="9" t="s">
        <v>27</v>
      </c>
      <c r="H85" s="13"/>
      <c r="I85" s="13"/>
    </row>
    <row r="86" spans="1:9" ht="12.75" x14ac:dyDescent="0.2">
      <c r="A86" s="52"/>
      <c r="B86" s="9">
        <v>32</v>
      </c>
      <c r="C86" s="9" t="s">
        <v>404</v>
      </c>
      <c r="D86" s="9" t="s">
        <v>24</v>
      </c>
      <c r="E86" s="9" t="s">
        <v>31</v>
      </c>
      <c r="F86" s="9" t="s">
        <v>47</v>
      </c>
      <c r="G86" s="9" t="s">
        <v>27</v>
      </c>
      <c r="H86" s="13"/>
      <c r="I86" s="13"/>
    </row>
    <row r="87" spans="1:9" ht="12.75" x14ac:dyDescent="0.2">
      <c r="A87" s="52"/>
      <c r="B87" s="9">
        <v>32</v>
      </c>
      <c r="C87" s="9" t="s">
        <v>405</v>
      </c>
      <c r="D87" s="9" t="s">
        <v>30</v>
      </c>
      <c r="E87" s="9" t="s">
        <v>31</v>
      </c>
      <c r="F87" s="9" t="s">
        <v>47</v>
      </c>
      <c r="G87" s="9" t="s">
        <v>27</v>
      </c>
      <c r="H87" s="13"/>
      <c r="I87" s="13"/>
    </row>
    <row r="88" spans="1:9" ht="12.75" x14ac:dyDescent="0.2">
      <c r="A88" s="52"/>
      <c r="B88" s="9">
        <v>32</v>
      </c>
      <c r="C88" s="9" t="s">
        <v>406</v>
      </c>
      <c r="D88" s="9" t="s">
        <v>24</v>
      </c>
      <c r="E88" s="9" t="s">
        <v>31</v>
      </c>
      <c r="F88" s="9" t="s">
        <v>47</v>
      </c>
      <c r="G88" s="9" t="s">
        <v>27</v>
      </c>
      <c r="H88" s="13"/>
      <c r="I88" s="13"/>
    </row>
    <row r="89" spans="1:9" ht="12.75" x14ac:dyDescent="0.2">
      <c r="A89" s="52"/>
      <c r="B89" s="9">
        <v>32</v>
      </c>
      <c r="C89" s="9" t="s">
        <v>342</v>
      </c>
      <c r="D89" s="9" t="s">
        <v>24</v>
      </c>
      <c r="E89" s="9" t="s">
        <v>31</v>
      </c>
      <c r="F89" s="9" t="s">
        <v>26</v>
      </c>
      <c r="G89" s="9" t="s">
        <v>27</v>
      </c>
      <c r="H89" s="13"/>
      <c r="I89" s="13"/>
    </row>
    <row r="90" spans="1:9" ht="12.75" x14ac:dyDescent="0.2">
      <c r="A90" s="53"/>
      <c r="B90" s="9">
        <v>32</v>
      </c>
      <c r="C90" s="9" t="s">
        <v>407</v>
      </c>
      <c r="D90" s="9" t="s">
        <v>24</v>
      </c>
      <c r="E90" s="9" t="s">
        <v>31</v>
      </c>
      <c r="F90" s="9" t="s">
        <v>26</v>
      </c>
      <c r="G90" s="9" t="s">
        <v>27</v>
      </c>
      <c r="H90" s="13"/>
      <c r="I90" s="13"/>
    </row>
    <row r="91" spans="1:9" ht="12.75" x14ac:dyDescent="0.2">
      <c r="A91" s="48" t="s">
        <v>70</v>
      </c>
      <c r="B91" s="9">
        <v>32</v>
      </c>
      <c r="C91" s="9" t="s">
        <v>370</v>
      </c>
      <c r="D91" s="9" t="s">
        <v>24</v>
      </c>
      <c r="E91" s="9" t="s">
        <v>31</v>
      </c>
      <c r="F91" s="9" t="s">
        <v>26</v>
      </c>
      <c r="G91" s="9" t="s">
        <v>27</v>
      </c>
      <c r="H91" s="13"/>
      <c r="I91" s="13"/>
    </row>
    <row r="92" spans="1:9" ht="12.75" x14ac:dyDescent="0.2">
      <c r="A92" s="52"/>
      <c r="B92" s="9">
        <v>32</v>
      </c>
      <c r="C92" s="9" t="s">
        <v>408</v>
      </c>
      <c r="D92" s="9" t="s">
        <v>24</v>
      </c>
      <c r="E92" s="9" t="s">
        <v>31</v>
      </c>
      <c r="F92" s="9" t="s">
        <v>26</v>
      </c>
      <c r="G92" s="9" t="s">
        <v>27</v>
      </c>
      <c r="H92" s="13"/>
      <c r="I92" s="13"/>
    </row>
    <row r="93" spans="1:9" ht="12.75" x14ac:dyDescent="0.2">
      <c r="A93" s="52"/>
      <c r="B93" s="9">
        <v>32</v>
      </c>
      <c r="C93" s="9" t="s">
        <v>373</v>
      </c>
      <c r="D93" s="9" t="s">
        <v>24</v>
      </c>
      <c r="E93" s="9" t="s">
        <v>31</v>
      </c>
      <c r="F93" s="9" t="s">
        <v>26</v>
      </c>
      <c r="G93" s="9" t="s">
        <v>27</v>
      </c>
      <c r="H93" s="13"/>
      <c r="I93" s="13"/>
    </row>
    <row r="94" spans="1:9" ht="12.75" x14ac:dyDescent="0.2">
      <c r="A94" s="52"/>
      <c r="B94" s="9">
        <v>32</v>
      </c>
      <c r="C94" s="9" t="s">
        <v>409</v>
      </c>
      <c r="D94" s="9" t="s">
        <v>24</v>
      </c>
      <c r="E94" s="9" t="s">
        <v>31</v>
      </c>
      <c r="F94" s="9" t="s">
        <v>47</v>
      </c>
      <c r="G94" s="9" t="s">
        <v>27</v>
      </c>
      <c r="H94" s="13"/>
      <c r="I94" s="13"/>
    </row>
    <row r="95" spans="1:9" ht="12.75" x14ac:dyDescent="0.2">
      <c r="A95" s="52"/>
      <c r="B95" s="9">
        <v>32</v>
      </c>
      <c r="C95" s="9" t="s">
        <v>410</v>
      </c>
      <c r="D95" s="9" t="s">
        <v>24</v>
      </c>
      <c r="E95" s="9" t="s">
        <v>31</v>
      </c>
      <c r="F95" s="9" t="s">
        <v>26</v>
      </c>
      <c r="G95" s="9" t="s">
        <v>27</v>
      </c>
      <c r="H95" s="13"/>
      <c r="I95" s="13"/>
    </row>
    <row r="96" spans="1:9" ht="12.75" x14ac:dyDescent="0.2">
      <c r="A96" s="52"/>
      <c r="B96" s="9">
        <v>32</v>
      </c>
      <c r="C96" s="9" t="s">
        <v>411</v>
      </c>
      <c r="D96" s="9" t="s">
        <v>24</v>
      </c>
      <c r="E96" s="9" t="s">
        <v>31</v>
      </c>
      <c r="F96" s="9" t="s">
        <v>26</v>
      </c>
      <c r="G96" s="9" t="s">
        <v>27</v>
      </c>
      <c r="H96" s="13"/>
      <c r="I96" s="13"/>
    </row>
    <row r="97" spans="1:9" ht="12.75" x14ac:dyDescent="0.2">
      <c r="A97" s="53"/>
      <c r="B97" s="9">
        <v>32</v>
      </c>
      <c r="C97" s="9" t="s">
        <v>375</v>
      </c>
      <c r="D97" s="9" t="s">
        <v>24</v>
      </c>
      <c r="E97" s="9" t="s">
        <v>31</v>
      </c>
      <c r="F97" s="9" t="s">
        <v>26</v>
      </c>
      <c r="G97" s="9" t="s">
        <v>27</v>
      </c>
      <c r="H97" s="13"/>
      <c r="I97" s="13"/>
    </row>
    <row r="98" spans="1:9" ht="12.75" x14ac:dyDescent="0.2">
      <c r="A98" s="48" t="s">
        <v>73</v>
      </c>
      <c r="B98" s="12">
        <v>32</v>
      </c>
      <c r="C98" s="12" t="s">
        <v>370</v>
      </c>
      <c r="D98" s="12" t="s">
        <v>24</v>
      </c>
      <c r="E98" s="12" t="s">
        <v>25</v>
      </c>
      <c r="F98" s="12" t="s">
        <v>26</v>
      </c>
      <c r="G98" s="9" t="s">
        <v>27</v>
      </c>
      <c r="H98" s="13"/>
      <c r="I98" s="13"/>
    </row>
    <row r="99" spans="1:9" ht="12.75" x14ac:dyDescent="0.2">
      <c r="A99" s="52"/>
      <c r="B99" s="12">
        <v>32</v>
      </c>
      <c r="C99" s="12" t="s">
        <v>412</v>
      </c>
      <c r="D99" s="12" t="s">
        <v>24</v>
      </c>
      <c r="E99" s="12" t="s">
        <v>25</v>
      </c>
      <c r="F99" s="12" t="s">
        <v>26</v>
      </c>
      <c r="G99" s="9" t="s">
        <v>27</v>
      </c>
      <c r="H99" s="13"/>
      <c r="I99" s="13"/>
    </row>
    <row r="100" spans="1:9" ht="12.75" x14ac:dyDescent="0.2">
      <c r="A100" s="52"/>
      <c r="B100" s="12">
        <v>32</v>
      </c>
      <c r="C100" s="12" t="s">
        <v>413</v>
      </c>
      <c r="D100" s="12" t="s">
        <v>24</v>
      </c>
      <c r="E100" s="12" t="s">
        <v>25</v>
      </c>
      <c r="F100" s="12" t="s">
        <v>47</v>
      </c>
      <c r="G100" s="9" t="s">
        <v>27</v>
      </c>
      <c r="H100" s="13"/>
      <c r="I100" s="13"/>
    </row>
    <row r="101" spans="1:9" ht="12.75" x14ac:dyDescent="0.2">
      <c r="A101" s="52"/>
      <c r="B101" s="12">
        <v>32</v>
      </c>
      <c r="C101" s="12" t="s">
        <v>414</v>
      </c>
      <c r="D101" s="12" t="s">
        <v>24</v>
      </c>
      <c r="E101" s="12" t="s">
        <v>25</v>
      </c>
      <c r="F101" s="12" t="s">
        <v>47</v>
      </c>
      <c r="G101" s="9" t="s">
        <v>27</v>
      </c>
      <c r="H101" s="13"/>
      <c r="I101" s="13"/>
    </row>
    <row r="102" spans="1:9" ht="12.75" x14ac:dyDescent="0.2">
      <c r="A102" s="52"/>
      <c r="B102" s="12">
        <v>32</v>
      </c>
      <c r="C102" s="12" t="s">
        <v>326</v>
      </c>
      <c r="D102" s="12" t="s">
        <v>24</v>
      </c>
      <c r="E102" s="12" t="s">
        <v>25</v>
      </c>
      <c r="F102" s="12" t="s">
        <v>26</v>
      </c>
      <c r="G102" s="9" t="s">
        <v>27</v>
      </c>
      <c r="H102" s="13"/>
      <c r="I102" s="13"/>
    </row>
    <row r="103" spans="1:9" ht="12.75" x14ac:dyDescent="0.2">
      <c r="A103" s="52"/>
      <c r="B103" s="12">
        <v>32</v>
      </c>
      <c r="C103" s="12" t="s">
        <v>415</v>
      </c>
      <c r="D103" s="12" t="s">
        <v>24</v>
      </c>
      <c r="E103" s="12" t="s">
        <v>25</v>
      </c>
      <c r="F103" s="12" t="s">
        <v>47</v>
      </c>
      <c r="G103" s="9" t="s">
        <v>27</v>
      </c>
      <c r="H103" s="13"/>
      <c r="I103" s="13"/>
    </row>
    <row r="104" spans="1:9" ht="12.75" x14ac:dyDescent="0.2">
      <c r="A104" s="52"/>
      <c r="B104" s="12">
        <v>32</v>
      </c>
      <c r="C104" s="12" t="s">
        <v>375</v>
      </c>
      <c r="D104" s="12" t="s">
        <v>24</v>
      </c>
      <c r="E104" s="12" t="s">
        <v>25</v>
      </c>
      <c r="F104" s="12" t="s">
        <v>47</v>
      </c>
      <c r="G104" s="9" t="s">
        <v>27</v>
      </c>
      <c r="H104" s="13"/>
      <c r="I104" s="13"/>
    </row>
    <row r="105" spans="1:9" ht="12.75" x14ac:dyDescent="0.2">
      <c r="A105" s="53"/>
      <c r="B105" s="12">
        <v>32</v>
      </c>
      <c r="C105" s="12" t="s">
        <v>349</v>
      </c>
      <c r="D105" s="12" t="s">
        <v>24</v>
      </c>
      <c r="E105" s="12" t="s">
        <v>25</v>
      </c>
      <c r="F105" s="12" t="s">
        <v>47</v>
      </c>
      <c r="G105" s="9" t="s">
        <v>27</v>
      </c>
      <c r="H105" s="13"/>
      <c r="I105" s="13"/>
    </row>
    <row r="106" spans="1:9" ht="12.75" x14ac:dyDescent="0.2">
      <c r="A106" s="48" t="s">
        <v>77</v>
      </c>
      <c r="B106" s="9">
        <v>32</v>
      </c>
      <c r="C106" s="9" t="s">
        <v>416</v>
      </c>
      <c r="D106" s="9" t="s">
        <v>30</v>
      </c>
      <c r="E106" s="9" t="s">
        <v>31</v>
      </c>
      <c r="F106" s="9" t="s">
        <v>26</v>
      </c>
      <c r="G106" s="9" t="s">
        <v>27</v>
      </c>
      <c r="H106" s="13"/>
      <c r="I106" s="13"/>
    </row>
    <row r="107" spans="1:9" ht="12.75" x14ac:dyDescent="0.2">
      <c r="A107" s="52"/>
      <c r="B107" s="9">
        <v>32</v>
      </c>
      <c r="C107" s="9" t="s">
        <v>417</v>
      </c>
      <c r="D107" s="9" t="s">
        <v>24</v>
      </c>
      <c r="E107" s="9" t="s">
        <v>31</v>
      </c>
      <c r="F107" s="9" t="s">
        <v>26</v>
      </c>
      <c r="G107" s="9" t="s">
        <v>27</v>
      </c>
      <c r="H107" s="13"/>
      <c r="I107" s="13"/>
    </row>
    <row r="108" spans="1:9" ht="12.75" x14ac:dyDescent="0.2">
      <c r="A108" s="52"/>
      <c r="B108" s="9">
        <v>32</v>
      </c>
      <c r="C108" s="9" t="s">
        <v>370</v>
      </c>
      <c r="D108" s="9" t="s">
        <v>24</v>
      </c>
      <c r="E108" s="9" t="s">
        <v>31</v>
      </c>
      <c r="F108" s="9" t="s">
        <v>26</v>
      </c>
      <c r="G108" s="9" t="s">
        <v>27</v>
      </c>
      <c r="H108" s="13"/>
      <c r="I108" s="13"/>
    </row>
    <row r="109" spans="1:9" ht="12.75" x14ac:dyDescent="0.2">
      <c r="A109" s="52"/>
      <c r="B109" s="9">
        <v>32</v>
      </c>
      <c r="C109" s="9" t="s">
        <v>408</v>
      </c>
      <c r="D109" s="9" t="s">
        <v>24</v>
      </c>
      <c r="E109" s="9" t="s">
        <v>31</v>
      </c>
      <c r="F109" s="9" t="s">
        <v>47</v>
      </c>
      <c r="G109" s="9" t="s">
        <v>27</v>
      </c>
      <c r="H109" s="13"/>
      <c r="I109" s="13"/>
    </row>
    <row r="110" spans="1:9" ht="12.75" x14ac:dyDescent="0.2">
      <c r="A110" s="52"/>
      <c r="B110" s="9">
        <v>32</v>
      </c>
      <c r="C110" s="9" t="s">
        <v>377</v>
      </c>
      <c r="D110" s="9" t="s">
        <v>24</v>
      </c>
      <c r="E110" s="9" t="s">
        <v>31</v>
      </c>
      <c r="F110" s="9" t="s">
        <v>47</v>
      </c>
      <c r="G110" s="9" t="s">
        <v>27</v>
      </c>
      <c r="H110" s="13"/>
      <c r="I110" s="13"/>
    </row>
    <row r="111" spans="1:9" ht="12.75" x14ac:dyDescent="0.2">
      <c r="A111" s="52"/>
      <c r="B111" s="9">
        <v>32</v>
      </c>
      <c r="C111" s="9" t="s">
        <v>418</v>
      </c>
      <c r="D111" s="9" t="s">
        <v>24</v>
      </c>
      <c r="E111" s="9" t="s">
        <v>31</v>
      </c>
      <c r="F111" s="9" t="s">
        <v>47</v>
      </c>
      <c r="G111" s="9" t="s">
        <v>27</v>
      </c>
      <c r="H111" s="13"/>
      <c r="I111" s="13"/>
    </row>
    <row r="112" spans="1:9" ht="12.75" x14ac:dyDescent="0.2">
      <c r="A112" s="52"/>
      <c r="B112" s="9">
        <v>32</v>
      </c>
      <c r="C112" s="9" t="s">
        <v>419</v>
      </c>
      <c r="D112" s="9" t="s">
        <v>24</v>
      </c>
      <c r="E112" s="9" t="s">
        <v>31</v>
      </c>
      <c r="F112" s="9" t="s">
        <v>47</v>
      </c>
      <c r="G112" s="9" t="s">
        <v>27</v>
      </c>
      <c r="H112" s="13"/>
      <c r="I112" s="13"/>
    </row>
    <row r="113" spans="1:9" ht="12.75" x14ac:dyDescent="0.2">
      <c r="A113" s="52"/>
      <c r="B113" s="9">
        <v>32</v>
      </c>
      <c r="C113" s="9" t="s">
        <v>369</v>
      </c>
      <c r="D113" s="9" t="s">
        <v>24</v>
      </c>
      <c r="E113" s="9" t="s">
        <v>31</v>
      </c>
      <c r="F113" s="9" t="s">
        <v>47</v>
      </c>
      <c r="G113" s="9" t="s">
        <v>27</v>
      </c>
      <c r="H113" s="13"/>
      <c r="I113" s="13"/>
    </row>
    <row r="114" spans="1:9" ht="12.75" x14ac:dyDescent="0.2">
      <c r="A114" s="52"/>
      <c r="B114" s="9">
        <v>32</v>
      </c>
      <c r="C114" s="9" t="s">
        <v>373</v>
      </c>
      <c r="D114" s="9" t="s">
        <v>24</v>
      </c>
      <c r="E114" s="9" t="s">
        <v>31</v>
      </c>
      <c r="F114" s="9" t="s">
        <v>26</v>
      </c>
      <c r="G114" s="9" t="s">
        <v>27</v>
      </c>
      <c r="H114" s="13"/>
      <c r="I114" s="13"/>
    </row>
    <row r="115" spans="1:9" ht="12.75" x14ac:dyDescent="0.2">
      <c r="A115" s="52"/>
      <c r="B115" s="9">
        <v>32</v>
      </c>
      <c r="C115" s="9" t="s">
        <v>420</v>
      </c>
      <c r="D115" s="9" t="s">
        <v>24</v>
      </c>
      <c r="E115" s="9" t="s">
        <v>31</v>
      </c>
      <c r="F115" s="9" t="s">
        <v>47</v>
      </c>
      <c r="G115" s="9" t="s">
        <v>27</v>
      </c>
      <c r="H115" s="13"/>
      <c r="I115" s="13"/>
    </row>
    <row r="116" spans="1:9" ht="12.75" x14ac:dyDescent="0.2">
      <c r="A116" s="52"/>
      <c r="B116" s="9">
        <v>32</v>
      </c>
      <c r="C116" s="9" t="s">
        <v>421</v>
      </c>
      <c r="D116" s="9" t="s">
        <v>24</v>
      </c>
      <c r="E116" s="9" t="s">
        <v>31</v>
      </c>
      <c r="F116" s="9" t="s">
        <v>47</v>
      </c>
      <c r="G116" s="9" t="s">
        <v>27</v>
      </c>
      <c r="H116" s="13"/>
      <c r="I116" s="13"/>
    </row>
    <row r="117" spans="1:9" ht="12.75" x14ac:dyDescent="0.2">
      <c r="A117" s="52"/>
      <c r="B117" s="9">
        <v>32</v>
      </c>
      <c r="C117" s="9" t="s">
        <v>422</v>
      </c>
      <c r="D117" s="9" t="s">
        <v>24</v>
      </c>
      <c r="E117" s="9" t="s">
        <v>31</v>
      </c>
      <c r="F117" s="9" t="s">
        <v>47</v>
      </c>
      <c r="G117" s="9" t="s">
        <v>27</v>
      </c>
      <c r="H117" s="13"/>
      <c r="I117" s="13"/>
    </row>
    <row r="118" spans="1:9" ht="12.75" x14ac:dyDescent="0.2">
      <c r="A118" s="52"/>
      <c r="B118" s="9">
        <v>32</v>
      </c>
      <c r="C118" s="9" t="s">
        <v>423</v>
      </c>
      <c r="D118" s="9" t="s">
        <v>24</v>
      </c>
      <c r="E118" s="9" t="s">
        <v>31</v>
      </c>
      <c r="F118" s="9" t="s">
        <v>47</v>
      </c>
      <c r="G118" s="9" t="s">
        <v>27</v>
      </c>
      <c r="H118" s="13"/>
      <c r="I118" s="13"/>
    </row>
    <row r="119" spans="1:9" ht="12.75" x14ac:dyDescent="0.2">
      <c r="A119" s="52"/>
      <c r="B119" s="9">
        <v>32</v>
      </c>
      <c r="C119" s="9" t="s">
        <v>424</v>
      </c>
      <c r="D119" s="9" t="s">
        <v>24</v>
      </c>
      <c r="E119" s="9" t="s">
        <v>31</v>
      </c>
      <c r="F119" s="9" t="s">
        <v>47</v>
      </c>
      <c r="G119" s="9" t="s">
        <v>27</v>
      </c>
      <c r="H119" s="13"/>
      <c r="I119" s="13"/>
    </row>
    <row r="120" spans="1:9" ht="12.75" x14ac:dyDescent="0.2">
      <c r="A120" s="52"/>
      <c r="B120" s="9">
        <v>32</v>
      </c>
      <c r="C120" s="9" t="s">
        <v>425</v>
      </c>
      <c r="D120" s="9" t="s">
        <v>24</v>
      </c>
      <c r="E120" s="9" t="s">
        <v>31</v>
      </c>
      <c r="F120" s="9" t="s">
        <v>26</v>
      </c>
      <c r="G120" s="9" t="s">
        <v>27</v>
      </c>
      <c r="H120" s="13"/>
      <c r="I120" s="13"/>
    </row>
    <row r="121" spans="1:9" ht="12.75" x14ac:dyDescent="0.2">
      <c r="A121" s="52"/>
      <c r="B121" s="9">
        <v>32</v>
      </c>
      <c r="C121" s="9" t="s">
        <v>326</v>
      </c>
      <c r="D121" s="9" t="s">
        <v>24</v>
      </c>
      <c r="E121" s="9" t="s">
        <v>31</v>
      </c>
      <c r="F121" s="9" t="s">
        <v>26</v>
      </c>
      <c r="G121" s="9" t="s">
        <v>27</v>
      </c>
      <c r="H121" s="13"/>
      <c r="I121" s="13"/>
    </row>
    <row r="122" spans="1:9" ht="12.75" x14ac:dyDescent="0.2">
      <c r="A122" s="52"/>
      <c r="B122" s="9">
        <v>32</v>
      </c>
      <c r="C122" s="9" t="s">
        <v>327</v>
      </c>
      <c r="D122" s="9" t="s">
        <v>24</v>
      </c>
      <c r="E122" s="9" t="s">
        <v>31</v>
      </c>
      <c r="F122" s="9" t="s">
        <v>26</v>
      </c>
      <c r="G122" s="9" t="s">
        <v>27</v>
      </c>
      <c r="H122" s="13"/>
      <c r="I122" s="13"/>
    </row>
    <row r="123" spans="1:9" ht="12.75" x14ac:dyDescent="0.2">
      <c r="A123" s="52"/>
      <c r="B123" s="9">
        <v>32</v>
      </c>
      <c r="C123" s="9" t="s">
        <v>426</v>
      </c>
      <c r="D123" s="9" t="s">
        <v>24</v>
      </c>
      <c r="E123" s="9" t="s">
        <v>31</v>
      </c>
      <c r="F123" s="9" t="s">
        <v>26</v>
      </c>
      <c r="G123" s="9" t="s">
        <v>27</v>
      </c>
      <c r="H123" s="13"/>
      <c r="I123" s="13"/>
    </row>
    <row r="124" spans="1:9" ht="12.75" x14ac:dyDescent="0.2">
      <c r="A124" s="52"/>
      <c r="B124" s="9">
        <v>32</v>
      </c>
      <c r="C124" s="9" t="s">
        <v>375</v>
      </c>
      <c r="D124" s="9" t="s">
        <v>30</v>
      </c>
      <c r="E124" s="9" t="s">
        <v>31</v>
      </c>
      <c r="F124" s="9" t="s">
        <v>26</v>
      </c>
      <c r="G124" s="9" t="s">
        <v>27</v>
      </c>
      <c r="H124" s="13"/>
      <c r="I124" s="13"/>
    </row>
    <row r="125" spans="1:9" ht="12.75" x14ac:dyDescent="0.2">
      <c r="A125" s="53"/>
      <c r="B125" s="9">
        <v>32</v>
      </c>
      <c r="C125" s="9" t="s">
        <v>349</v>
      </c>
      <c r="D125" s="9" t="s">
        <v>24</v>
      </c>
      <c r="E125" s="9" t="s">
        <v>31</v>
      </c>
      <c r="F125" s="9" t="s">
        <v>26</v>
      </c>
      <c r="G125" s="9" t="s">
        <v>27</v>
      </c>
      <c r="H125" s="13"/>
      <c r="I125" s="13"/>
    </row>
    <row r="126" spans="1:9" ht="12.75" x14ac:dyDescent="0.2">
      <c r="A126" s="48" t="s">
        <v>79</v>
      </c>
      <c r="B126" s="9">
        <v>32</v>
      </c>
      <c r="C126" s="9" t="s">
        <v>416</v>
      </c>
      <c r="D126" s="9" t="s">
        <v>30</v>
      </c>
      <c r="E126" s="9" t="s">
        <v>31</v>
      </c>
      <c r="F126" s="9" t="s">
        <v>26</v>
      </c>
      <c r="G126" s="9" t="s">
        <v>27</v>
      </c>
      <c r="H126" s="13"/>
      <c r="I126" s="13"/>
    </row>
    <row r="127" spans="1:9" ht="12.75" x14ac:dyDescent="0.2">
      <c r="A127" s="52"/>
      <c r="B127" s="9">
        <v>32</v>
      </c>
      <c r="C127" s="9" t="s">
        <v>370</v>
      </c>
      <c r="D127" s="9" t="s">
        <v>24</v>
      </c>
      <c r="E127" s="9" t="s">
        <v>31</v>
      </c>
      <c r="F127" s="9" t="s">
        <v>26</v>
      </c>
      <c r="G127" s="9" t="s">
        <v>27</v>
      </c>
      <c r="H127" s="13"/>
      <c r="I127" s="13"/>
    </row>
    <row r="128" spans="1:9" ht="12.75" x14ac:dyDescent="0.2">
      <c r="A128" s="52"/>
      <c r="B128" s="9">
        <v>32</v>
      </c>
      <c r="C128" s="9" t="s">
        <v>377</v>
      </c>
      <c r="D128" s="9" t="s">
        <v>24</v>
      </c>
      <c r="E128" s="9" t="s">
        <v>31</v>
      </c>
      <c r="F128" s="9" t="s">
        <v>47</v>
      </c>
      <c r="G128" s="9" t="s">
        <v>27</v>
      </c>
      <c r="H128" s="13"/>
      <c r="I128" s="13"/>
    </row>
    <row r="129" spans="1:9" ht="12.75" x14ac:dyDescent="0.2">
      <c r="A129" s="52"/>
      <c r="B129" s="9">
        <v>32</v>
      </c>
      <c r="C129" s="9" t="s">
        <v>373</v>
      </c>
      <c r="D129" s="9" t="s">
        <v>24</v>
      </c>
      <c r="E129" s="9" t="s">
        <v>31</v>
      </c>
      <c r="F129" s="9" t="s">
        <v>26</v>
      </c>
      <c r="G129" s="9" t="s">
        <v>27</v>
      </c>
      <c r="H129" s="13"/>
      <c r="I129" s="13"/>
    </row>
    <row r="130" spans="1:9" ht="12.75" x14ac:dyDescent="0.2">
      <c r="A130" s="52"/>
      <c r="B130" s="9">
        <v>32</v>
      </c>
      <c r="C130" s="9" t="s">
        <v>375</v>
      </c>
      <c r="D130" s="9" t="s">
        <v>30</v>
      </c>
      <c r="E130" s="9" t="s">
        <v>31</v>
      </c>
      <c r="F130" s="9" t="s">
        <v>26</v>
      </c>
      <c r="G130" s="9" t="s">
        <v>27</v>
      </c>
      <c r="H130" s="13"/>
      <c r="I130" s="13"/>
    </row>
    <row r="131" spans="1:9" ht="12.75" x14ac:dyDescent="0.2">
      <c r="A131" s="53"/>
      <c r="B131" s="9">
        <v>32</v>
      </c>
      <c r="C131" s="9" t="s">
        <v>349</v>
      </c>
      <c r="D131" s="9" t="s">
        <v>24</v>
      </c>
      <c r="E131" s="9" t="s">
        <v>31</v>
      </c>
      <c r="F131" s="9" t="s">
        <v>26</v>
      </c>
      <c r="G131" s="9" t="s">
        <v>27</v>
      </c>
      <c r="H131" s="13"/>
      <c r="I131" s="13"/>
    </row>
    <row r="132" spans="1:9" ht="12.75" x14ac:dyDescent="0.2">
      <c r="A132" s="48" t="s">
        <v>83</v>
      </c>
      <c r="B132" s="12">
        <v>32</v>
      </c>
      <c r="C132" s="12" t="s">
        <v>416</v>
      </c>
      <c r="D132" s="12" t="s">
        <v>24</v>
      </c>
      <c r="E132" s="12" t="s">
        <v>25</v>
      </c>
      <c r="F132" s="12" t="s">
        <v>26</v>
      </c>
      <c r="G132" s="9" t="s">
        <v>27</v>
      </c>
      <c r="H132" s="13"/>
      <c r="I132" s="13"/>
    </row>
    <row r="133" spans="1:9" ht="12.75" x14ac:dyDescent="0.2">
      <c r="A133" s="52"/>
      <c r="B133" s="12">
        <v>32</v>
      </c>
      <c r="C133" s="12" t="s">
        <v>370</v>
      </c>
      <c r="D133" s="12" t="s">
        <v>24</v>
      </c>
      <c r="E133" s="12" t="s">
        <v>25</v>
      </c>
      <c r="F133" s="12" t="s">
        <v>26</v>
      </c>
      <c r="G133" s="9" t="s">
        <v>27</v>
      </c>
      <c r="H133" s="13"/>
      <c r="I133" s="13"/>
    </row>
    <row r="134" spans="1:9" ht="12.75" x14ac:dyDescent="0.2">
      <c r="A134" s="52"/>
      <c r="B134" s="12">
        <v>32</v>
      </c>
      <c r="C134" s="12" t="s">
        <v>427</v>
      </c>
      <c r="D134" s="12" t="s">
        <v>24</v>
      </c>
      <c r="E134" s="12" t="s">
        <v>25</v>
      </c>
      <c r="F134" s="12" t="s">
        <v>26</v>
      </c>
      <c r="G134" s="9" t="s">
        <v>27</v>
      </c>
      <c r="H134" s="13"/>
      <c r="I134" s="13"/>
    </row>
    <row r="135" spans="1:9" ht="12.75" x14ac:dyDescent="0.2">
      <c r="A135" s="52"/>
      <c r="B135" s="12">
        <v>32</v>
      </c>
      <c r="C135" s="12" t="s">
        <v>428</v>
      </c>
      <c r="D135" s="12" t="s">
        <v>24</v>
      </c>
      <c r="E135" s="12" t="s">
        <v>25</v>
      </c>
      <c r="F135" s="12" t="s">
        <v>26</v>
      </c>
      <c r="G135" s="9" t="s">
        <v>27</v>
      </c>
      <c r="H135" s="13"/>
      <c r="I135" s="13"/>
    </row>
    <row r="136" spans="1:9" ht="12.75" x14ac:dyDescent="0.2">
      <c r="A136" s="52"/>
      <c r="B136" s="12">
        <v>32</v>
      </c>
      <c r="C136" s="12" t="s">
        <v>429</v>
      </c>
      <c r="D136" s="12" t="s">
        <v>24</v>
      </c>
      <c r="E136" s="12" t="s">
        <v>25</v>
      </c>
      <c r="F136" s="12" t="s">
        <v>26</v>
      </c>
      <c r="G136" s="9" t="s">
        <v>27</v>
      </c>
      <c r="H136" s="13"/>
      <c r="I136" s="13"/>
    </row>
    <row r="137" spans="1:9" ht="12.75" x14ac:dyDescent="0.2">
      <c r="A137" s="53"/>
      <c r="B137" s="12">
        <v>32</v>
      </c>
      <c r="C137" s="12" t="s">
        <v>326</v>
      </c>
      <c r="D137" s="12" t="s">
        <v>24</v>
      </c>
      <c r="E137" s="12" t="s">
        <v>25</v>
      </c>
      <c r="F137" s="12" t="s">
        <v>26</v>
      </c>
      <c r="G137" s="9" t="s">
        <v>27</v>
      </c>
      <c r="H137" s="13"/>
      <c r="I137" s="13"/>
    </row>
    <row r="138" spans="1:9" ht="12.75" x14ac:dyDescent="0.2">
      <c r="A138" s="48" t="s">
        <v>85</v>
      </c>
      <c r="B138" s="9">
        <v>32</v>
      </c>
      <c r="C138" s="9" t="s">
        <v>430</v>
      </c>
      <c r="D138" s="9" t="s">
        <v>24</v>
      </c>
      <c r="E138" s="9" t="s">
        <v>31</v>
      </c>
      <c r="F138" s="9" t="s">
        <v>26</v>
      </c>
      <c r="G138" s="9" t="s">
        <v>27</v>
      </c>
      <c r="H138" s="13"/>
      <c r="I138" s="13"/>
    </row>
    <row r="139" spans="1:9" ht="12.75" x14ac:dyDescent="0.2">
      <c r="A139" s="52"/>
      <c r="B139" s="9">
        <v>32</v>
      </c>
      <c r="C139" s="9" t="s">
        <v>431</v>
      </c>
      <c r="D139" s="9" t="s">
        <v>24</v>
      </c>
      <c r="E139" s="9" t="s">
        <v>31</v>
      </c>
      <c r="F139" s="9" t="s">
        <v>26</v>
      </c>
      <c r="G139" s="9" t="s">
        <v>27</v>
      </c>
      <c r="H139" s="13"/>
      <c r="I139" s="13"/>
    </row>
    <row r="140" spans="1:9" ht="12.75" x14ac:dyDescent="0.2">
      <c r="A140" s="52"/>
      <c r="B140" s="9">
        <v>32</v>
      </c>
      <c r="C140" s="9" t="s">
        <v>432</v>
      </c>
      <c r="D140" s="9" t="s">
        <v>24</v>
      </c>
      <c r="E140" s="9" t="s">
        <v>31</v>
      </c>
      <c r="F140" s="9" t="s">
        <v>26</v>
      </c>
      <c r="G140" s="9" t="s">
        <v>27</v>
      </c>
      <c r="H140" s="13"/>
      <c r="I140" s="13"/>
    </row>
    <row r="141" spans="1:9" ht="12.75" x14ac:dyDescent="0.2">
      <c r="A141" s="52"/>
      <c r="B141" s="9">
        <v>32</v>
      </c>
      <c r="C141" s="9" t="s">
        <v>433</v>
      </c>
      <c r="D141" s="9" t="s">
        <v>24</v>
      </c>
      <c r="E141" s="9" t="s">
        <v>31</v>
      </c>
      <c r="F141" s="9" t="s">
        <v>26</v>
      </c>
      <c r="G141" s="9" t="s">
        <v>27</v>
      </c>
      <c r="H141" s="13"/>
      <c r="I141" s="13"/>
    </row>
    <row r="142" spans="1:9" ht="12.75" x14ac:dyDescent="0.2">
      <c r="A142" s="53"/>
      <c r="B142" s="9">
        <v>32</v>
      </c>
      <c r="C142" s="9" t="s">
        <v>384</v>
      </c>
      <c r="D142" s="9" t="s">
        <v>30</v>
      </c>
      <c r="E142" s="9" t="s">
        <v>31</v>
      </c>
      <c r="F142" s="9" t="s">
        <v>26</v>
      </c>
      <c r="G142" s="9" t="s">
        <v>27</v>
      </c>
      <c r="H142" s="13"/>
      <c r="I142" s="13"/>
    </row>
    <row r="143" spans="1:9" ht="12.75" x14ac:dyDescent="0.2">
      <c r="A143" s="13"/>
      <c r="B143" s="13"/>
      <c r="C143" s="13"/>
      <c r="D143" s="13"/>
      <c r="E143" s="13"/>
      <c r="F143" s="13"/>
      <c r="G143" s="13"/>
      <c r="H143" s="13"/>
      <c r="I143" s="13"/>
    </row>
    <row r="144" spans="1:9" ht="12.75" x14ac:dyDescent="0.2">
      <c r="A144" s="13"/>
      <c r="B144" s="13"/>
      <c r="C144" s="13"/>
      <c r="D144" s="13"/>
      <c r="E144" s="13"/>
      <c r="F144" s="13"/>
      <c r="G144" s="13"/>
      <c r="H144" s="13"/>
      <c r="I144" s="13"/>
    </row>
    <row r="145" spans="1:9" ht="12.75" x14ac:dyDescent="0.2">
      <c r="A145" s="13"/>
      <c r="B145" s="13"/>
      <c r="C145" s="13"/>
      <c r="D145" s="13"/>
      <c r="E145" s="13"/>
      <c r="F145" s="13"/>
      <c r="G145" s="13"/>
      <c r="H145" s="13"/>
      <c r="I145" s="13"/>
    </row>
    <row r="146" spans="1:9" ht="12.75" x14ac:dyDescent="0.2">
      <c r="A146" s="13"/>
      <c r="B146" s="13"/>
      <c r="C146" s="13"/>
      <c r="D146" s="13"/>
      <c r="E146" s="13"/>
      <c r="F146" s="13"/>
      <c r="G146" s="13"/>
      <c r="H146" s="13"/>
      <c r="I146" s="13"/>
    </row>
    <row r="147" spans="1:9" ht="12.75" x14ac:dyDescent="0.2">
      <c r="A147" s="13"/>
      <c r="B147" s="13"/>
      <c r="C147" s="13"/>
      <c r="D147" s="13"/>
      <c r="E147" s="13"/>
      <c r="F147" s="13"/>
      <c r="G147" s="13"/>
      <c r="H147" s="13"/>
      <c r="I147" s="13"/>
    </row>
    <row r="148" spans="1:9" ht="12.75" x14ac:dyDescent="0.2">
      <c r="A148" s="13"/>
      <c r="B148" s="13"/>
      <c r="C148" s="13"/>
      <c r="D148" s="13"/>
      <c r="E148" s="13"/>
      <c r="F148" s="13"/>
      <c r="G148" s="13"/>
      <c r="H148" s="13"/>
      <c r="I148" s="13"/>
    </row>
    <row r="149" spans="1:9" ht="12.75" x14ac:dyDescent="0.2">
      <c r="A149" s="13"/>
      <c r="B149" s="13"/>
      <c r="C149" s="13"/>
      <c r="D149" s="13"/>
      <c r="E149" s="13"/>
      <c r="F149" s="13"/>
      <c r="G149" s="13"/>
      <c r="H149" s="13"/>
      <c r="I149" s="13"/>
    </row>
    <row r="150" spans="1:9" ht="12.75" x14ac:dyDescent="0.2">
      <c r="A150" s="13"/>
      <c r="B150" s="13"/>
      <c r="C150" s="13"/>
      <c r="D150" s="13"/>
      <c r="E150" s="13"/>
      <c r="F150" s="13"/>
      <c r="G150" s="13"/>
      <c r="H150" s="13"/>
      <c r="I150" s="13"/>
    </row>
  </sheetData>
  <mergeCells count="18">
    <mergeCell ref="A138:A142"/>
    <mergeCell ref="A57:A60"/>
    <mergeCell ref="A61:A71"/>
    <mergeCell ref="A72:A74"/>
    <mergeCell ref="A75:A79"/>
    <mergeCell ref="A80:A90"/>
    <mergeCell ref="A91:A97"/>
    <mergeCell ref="A98:A105"/>
    <mergeCell ref="A47:A53"/>
    <mergeCell ref="A54:A56"/>
    <mergeCell ref="A106:A125"/>
    <mergeCell ref="A126:A131"/>
    <mergeCell ref="A132:A137"/>
    <mergeCell ref="A1:G1"/>
    <mergeCell ref="A9:A12"/>
    <mergeCell ref="A13:A23"/>
    <mergeCell ref="A24:A36"/>
    <mergeCell ref="A37:A46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M128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13" ht="15.75" customHeight="1" x14ac:dyDescent="0.25">
      <c r="A1" s="54" t="s">
        <v>0</v>
      </c>
      <c r="B1" s="55"/>
      <c r="C1" s="55"/>
      <c r="D1" s="55"/>
      <c r="E1" s="55"/>
      <c r="F1" s="55"/>
      <c r="G1" s="56"/>
    </row>
    <row r="2" spans="1:13" x14ac:dyDescent="0.2">
      <c r="A2" s="1"/>
      <c r="B2" s="2"/>
      <c r="C2" s="2"/>
      <c r="D2" s="2"/>
      <c r="E2" s="2"/>
      <c r="F2" s="2"/>
      <c r="G2" s="2"/>
    </row>
    <row r="3" spans="1:13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13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13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13" x14ac:dyDescent="0.2">
      <c r="A6" s="1"/>
      <c r="B6" s="2"/>
      <c r="C6" s="2"/>
      <c r="D6" s="2"/>
      <c r="E6" s="2"/>
      <c r="F6" s="2"/>
      <c r="G6" s="2"/>
    </row>
    <row r="7" spans="1:13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13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13" x14ac:dyDescent="0.2">
      <c r="A9" s="48" t="s">
        <v>20</v>
      </c>
      <c r="B9" s="9">
        <v>33</v>
      </c>
      <c r="C9" s="9" t="s">
        <v>434</v>
      </c>
      <c r="D9" s="9" t="s">
        <v>24</v>
      </c>
      <c r="E9" s="9" t="s">
        <v>31</v>
      </c>
      <c r="F9" s="9" t="s">
        <v>87</v>
      </c>
      <c r="G9" s="9" t="s">
        <v>27</v>
      </c>
      <c r="H9" s="11"/>
      <c r="I9" s="11"/>
      <c r="J9" s="11"/>
      <c r="K9" s="11"/>
      <c r="L9" s="11"/>
      <c r="M9" s="11"/>
    </row>
    <row r="10" spans="1:13" x14ac:dyDescent="0.2">
      <c r="A10" s="52"/>
      <c r="B10" s="9">
        <v>33</v>
      </c>
      <c r="C10" s="9" t="s">
        <v>435</v>
      </c>
      <c r="D10" s="9" t="s">
        <v>24</v>
      </c>
      <c r="E10" s="9" t="s">
        <v>31</v>
      </c>
      <c r="F10" s="9" t="s">
        <v>87</v>
      </c>
      <c r="G10" s="9" t="s">
        <v>27</v>
      </c>
      <c r="H10" s="11"/>
      <c r="I10" s="11"/>
      <c r="J10" s="11"/>
      <c r="K10" s="11"/>
      <c r="L10" s="11"/>
      <c r="M10" s="11"/>
    </row>
    <row r="11" spans="1:13" x14ac:dyDescent="0.2">
      <c r="A11" s="53"/>
      <c r="B11" s="9">
        <v>33</v>
      </c>
      <c r="C11" s="9" t="s">
        <v>436</v>
      </c>
      <c r="D11" s="9" t="s">
        <v>24</v>
      </c>
      <c r="E11" s="9" t="s">
        <v>31</v>
      </c>
      <c r="F11" s="9" t="s">
        <v>87</v>
      </c>
      <c r="G11" s="9" t="s">
        <v>27</v>
      </c>
      <c r="H11" s="11"/>
      <c r="I11" s="11"/>
      <c r="J11" s="11"/>
      <c r="K11" s="11"/>
      <c r="L11" s="11"/>
      <c r="M11" s="11"/>
    </row>
    <row r="12" spans="1:13" x14ac:dyDescent="0.2">
      <c r="A12" s="48" t="s">
        <v>22</v>
      </c>
      <c r="B12" s="9">
        <v>33</v>
      </c>
      <c r="C12" s="9" t="s">
        <v>437</v>
      </c>
      <c r="D12" s="9" t="s">
        <v>24</v>
      </c>
      <c r="E12" s="9" t="s">
        <v>25</v>
      </c>
      <c r="F12" s="9" t="s">
        <v>47</v>
      </c>
      <c r="G12" s="9" t="s">
        <v>27</v>
      </c>
      <c r="H12" s="11"/>
      <c r="I12" s="11"/>
      <c r="J12" s="11"/>
      <c r="K12" s="11"/>
      <c r="L12" s="11"/>
      <c r="M12" s="11"/>
    </row>
    <row r="13" spans="1:13" x14ac:dyDescent="0.2">
      <c r="A13" s="52"/>
      <c r="B13" s="9">
        <v>33</v>
      </c>
      <c r="C13" s="9" t="s">
        <v>438</v>
      </c>
      <c r="D13" s="9" t="s">
        <v>24</v>
      </c>
      <c r="E13" s="9" t="s">
        <v>25</v>
      </c>
      <c r="F13" s="9" t="s">
        <v>47</v>
      </c>
      <c r="G13" s="9" t="s">
        <v>27</v>
      </c>
      <c r="H13" s="11"/>
      <c r="I13" s="11"/>
      <c r="J13" s="11"/>
      <c r="K13" s="11"/>
      <c r="L13" s="11"/>
      <c r="M13" s="11"/>
    </row>
    <row r="14" spans="1:13" x14ac:dyDescent="0.2">
      <c r="A14" s="52"/>
      <c r="B14" s="9">
        <v>33</v>
      </c>
      <c r="C14" s="9" t="s">
        <v>439</v>
      </c>
      <c r="D14" s="9" t="s">
        <v>24</v>
      </c>
      <c r="E14" s="9" t="s">
        <v>25</v>
      </c>
      <c r="F14" s="9" t="s">
        <v>47</v>
      </c>
      <c r="G14" s="9" t="s">
        <v>27</v>
      </c>
      <c r="H14" s="11"/>
      <c r="I14" s="11"/>
      <c r="J14" s="11"/>
      <c r="K14" s="11"/>
      <c r="L14" s="11"/>
      <c r="M14" s="11"/>
    </row>
    <row r="15" spans="1:13" x14ac:dyDescent="0.2">
      <c r="A15" s="52"/>
      <c r="B15" s="9">
        <v>33</v>
      </c>
      <c r="C15" s="9" t="s">
        <v>440</v>
      </c>
      <c r="D15" s="9" t="s">
        <v>24</v>
      </c>
      <c r="E15" s="9" t="s">
        <v>25</v>
      </c>
      <c r="F15" s="9" t="s">
        <v>26</v>
      </c>
      <c r="G15" s="9" t="s">
        <v>27</v>
      </c>
      <c r="H15" s="11"/>
      <c r="I15" s="11"/>
      <c r="J15" s="11"/>
      <c r="K15" s="11"/>
      <c r="L15" s="11"/>
      <c r="M15" s="11"/>
    </row>
    <row r="16" spans="1:13" x14ac:dyDescent="0.2">
      <c r="A16" s="53"/>
      <c r="B16" s="9">
        <v>33</v>
      </c>
      <c r="C16" s="9" t="s">
        <v>441</v>
      </c>
      <c r="D16" s="9" t="s">
        <v>24</v>
      </c>
      <c r="E16" s="9" t="s">
        <v>25</v>
      </c>
      <c r="F16" s="9" t="s">
        <v>26</v>
      </c>
      <c r="G16" s="9" t="s">
        <v>27</v>
      </c>
      <c r="H16" s="11"/>
      <c r="I16" s="11"/>
      <c r="J16" s="11"/>
      <c r="K16" s="11"/>
      <c r="L16" s="11"/>
      <c r="M16" s="11"/>
    </row>
    <row r="17" spans="1:13" x14ac:dyDescent="0.2">
      <c r="A17" s="48" t="s">
        <v>28</v>
      </c>
      <c r="B17" s="9">
        <v>33</v>
      </c>
      <c r="C17" s="9" t="s">
        <v>442</v>
      </c>
      <c r="D17" s="9" t="s">
        <v>24</v>
      </c>
      <c r="E17" s="9" t="s">
        <v>31</v>
      </c>
      <c r="F17" s="9" t="s">
        <v>87</v>
      </c>
      <c r="G17" s="9" t="s">
        <v>27</v>
      </c>
      <c r="H17" s="11"/>
      <c r="I17" s="11"/>
      <c r="J17" s="11"/>
      <c r="K17" s="11"/>
      <c r="L17" s="11"/>
      <c r="M17" s="11"/>
    </row>
    <row r="18" spans="1:13" x14ac:dyDescent="0.2">
      <c r="A18" s="52"/>
      <c r="B18" s="9">
        <v>33</v>
      </c>
      <c r="C18" s="9" t="s">
        <v>443</v>
      </c>
      <c r="D18" s="9" t="s">
        <v>24</v>
      </c>
      <c r="E18" s="9" t="s">
        <v>31</v>
      </c>
      <c r="F18" s="9" t="s">
        <v>87</v>
      </c>
      <c r="G18" s="9" t="s">
        <v>27</v>
      </c>
      <c r="H18" s="11"/>
      <c r="I18" s="11"/>
      <c r="J18" s="11"/>
      <c r="K18" s="11"/>
      <c r="L18" s="11"/>
      <c r="M18" s="11"/>
    </row>
    <row r="19" spans="1:13" x14ac:dyDescent="0.2">
      <c r="A19" s="50"/>
      <c r="B19" s="9">
        <v>33</v>
      </c>
      <c r="C19" s="9" t="s">
        <v>444</v>
      </c>
      <c r="D19" s="9" t="s">
        <v>24</v>
      </c>
      <c r="E19" s="9" t="s">
        <v>31</v>
      </c>
      <c r="F19" s="9" t="s">
        <v>26</v>
      </c>
      <c r="G19" s="9" t="s">
        <v>27</v>
      </c>
      <c r="H19" s="11"/>
      <c r="I19" s="11"/>
      <c r="J19" s="11"/>
      <c r="K19" s="11"/>
      <c r="L19" s="11"/>
      <c r="M19" s="11"/>
    </row>
    <row r="20" spans="1:13" x14ac:dyDescent="0.2">
      <c r="A20" s="51"/>
      <c r="B20" s="9">
        <v>33</v>
      </c>
      <c r="C20" s="9" t="s">
        <v>445</v>
      </c>
      <c r="D20" s="9" t="s">
        <v>24</v>
      </c>
      <c r="E20" s="9" t="s">
        <v>31</v>
      </c>
      <c r="F20" s="9" t="s">
        <v>26</v>
      </c>
      <c r="G20" s="9" t="s">
        <v>27</v>
      </c>
      <c r="H20" s="11"/>
      <c r="I20" s="11"/>
      <c r="J20" s="11"/>
      <c r="K20" s="11"/>
      <c r="L20" s="11"/>
      <c r="M20" s="11"/>
    </row>
    <row r="21" spans="1:13" x14ac:dyDescent="0.2">
      <c r="A21" s="50"/>
      <c r="B21" s="9">
        <v>33</v>
      </c>
      <c r="C21" s="9" t="s">
        <v>446</v>
      </c>
      <c r="D21" s="9" t="s">
        <v>24</v>
      </c>
      <c r="E21" s="9" t="s">
        <v>31</v>
      </c>
      <c r="F21" s="9" t="s">
        <v>26</v>
      </c>
      <c r="G21" s="9" t="s">
        <v>27</v>
      </c>
      <c r="H21" s="11"/>
      <c r="I21" s="11"/>
      <c r="J21" s="11"/>
      <c r="K21" s="11"/>
      <c r="L21" s="11"/>
      <c r="M21" s="11"/>
    </row>
    <row r="22" spans="1:13" x14ac:dyDescent="0.2">
      <c r="A22" s="57"/>
      <c r="B22" s="9">
        <v>33</v>
      </c>
      <c r="C22" s="9" t="s">
        <v>447</v>
      </c>
      <c r="D22" s="9" t="s">
        <v>24</v>
      </c>
      <c r="E22" s="9" t="s">
        <v>31</v>
      </c>
      <c r="F22" s="9" t="s">
        <v>26</v>
      </c>
      <c r="G22" s="9" t="s">
        <v>27</v>
      </c>
      <c r="H22" s="11"/>
      <c r="I22" s="11"/>
      <c r="J22" s="11"/>
      <c r="K22" s="11"/>
      <c r="L22" s="11"/>
      <c r="M22" s="11"/>
    </row>
    <row r="23" spans="1:13" x14ac:dyDescent="0.2">
      <c r="A23" s="48" t="s">
        <v>33</v>
      </c>
      <c r="B23" s="9">
        <v>33</v>
      </c>
      <c r="C23" s="9" t="s">
        <v>448</v>
      </c>
      <c r="D23" s="9" t="s">
        <v>24</v>
      </c>
      <c r="E23" s="9" t="s">
        <v>31</v>
      </c>
      <c r="F23" s="9" t="s">
        <v>26</v>
      </c>
      <c r="G23" s="9" t="s">
        <v>27</v>
      </c>
      <c r="H23" s="11"/>
      <c r="I23" s="11"/>
      <c r="J23" s="11"/>
      <c r="K23" s="11"/>
      <c r="L23" s="11"/>
      <c r="M23" s="11"/>
    </row>
    <row r="24" spans="1:13" x14ac:dyDescent="0.2">
      <c r="A24" s="51"/>
      <c r="B24" s="9">
        <v>33</v>
      </c>
      <c r="C24" s="9" t="s">
        <v>449</v>
      </c>
      <c r="D24" s="9" t="s">
        <v>24</v>
      </c>
      <c r="E24" s="9" t="s">
        <v>31</v>
      </c>
      <c r="F24" s="9" t="s">
        <v>26</v>
      </c>
      <c r="G24" s="9" t="s">
        <v>27</v>
      </c>
      <c r="H24" s="11"/>
      <c r="I24" s="11"/>
      <c r="J24" s="11"/>
      <c r="K24" s="11"/>
      <c r="L24" s="11"/>
      <c r="M24" s="11"/>
    </row>
    <row r="25" spans="1:13" x14ac:dyDescent="0.2">
      <c r="A25" s="50"/>
      <c r="B25" s="9">
        <v>33</v>
      </c>
      <c r="C25" s="9" t="s">
        <v>443</v>
      </c>
      <c r="D25" s="9" t="s">
        <v>24</v>
      </c>
      <c r="E25" s="9" t="s">
        <v>31</v>
      </c>
      <c r="F25" s="9" t="s">
        <v>26</v>
      </c>
      <c r="G25" s="9" t="s">
        <v>27</v>
      </c>
      <c r="H25" s="11"/>
      <c r="I25" s="11"/>
      <c r="J25" s="11"/>
      <c r="K25" s="11"/>
      <c r="L25" s="11"/>
      <c r="M25" s="11"/>
    </row>
    <row r="26" spans="1:13" x14ac:dyDescent="0.2">
      <c r="A26" s="51"/>
      <c r="B26" s="9">
        <v>33</v>
      </c>
      <c r="C26" s="9" t="s">
        <v>450</v>
      </c>
      <c r="D26" s="9" t="s">
        <v>24</v>
      </c>
      <c r="E26" s="9" t="s">
        <v>31</v>
      </c>
      <c r="F26" s="9" t="s">
        <v>26</v>
      </c>
      <c r="G26" s="9" t="s">
        <v>27</v>
      </c>
      <c r="H26" s="11"/>
      <c r="I26" s="11"/>
      <c r="J26" s="11"/>
      <c r="K26" s="11"/>
      <c r="L26" s="11"/>
      <c r="M26" s="11"/>
    </row>
    <row r="27" spans="1:13" x14ac:dyDescent="0.2">
      <c r="A27" s="50"/>
      <c r="B27" s="9">
        <v>33</v>
      </c>
      <c r="C27" s="9" t="s">
        <v>446</v>
      </c>
      <c r="D27" s="9" t="s">
        <v>24</v>
      </c>
      <c r="E27" s="9" t="s">
        <v>31</v>
      </c>
      <c r="F27" s="9" t="s">
        <v>26</v>
      </c>
      <c r="G27" s="9" t="s">
        <v>27</v>
      </c>
      <c r="H27" s="11"/>
      <c r="I27" s="11"/>
      <c r="J27" s="11"/>
      <c r="K27" s="11"/>
      <c r="L27" s="11"/>
      <c r="M27" s="11"/>
    </row>
    <row r="28" spans="1:13" x14ac:dyDescent="0.2">
      <c r="A28" s="51"/>
      <c r="B28" s="9">
        <v>33</v>
      </c>
      <c r="C28" s="9" t="s">
        <v>445</v>
      </c>
      <c r="D28" s="9" t="s">
        <v>24</v>
      </c>
      <c r="E28" s="9" t="s">
        <v>31</v>
      </c>
      <c r="F28" s="9" t="s">
        <v>26</v>
      </c>
      <c r="G28" s="9" t="s">
        <v>27</v>
      </c>
      <c r="H28" s="11"/>
      <c r="I28" s="11"/>
      <c r="J28" s="11"/>
      <c r="K28" s="11"/>
      <c r="L28" s="11"/>
      <c r="M28" s="11"/>
    </row>
    <row r="29" spans="1:13" x14ac:dyDescent="0.2">
      <c r="A29" s="50"/>
      <c r="B29" s="9">
        <v>33</v>
      </c>
      <c r="C29" s="9" t="s">
        <v>451</v>
      </c>
      <c r="D29" s="9" t="s">
        <v>24</v>
      </c>
      <c r="E29" s="9" t="s">
        <v>31</v>
      </c>
      <c r="F29" s="9" t="s">
        <v>26</v>
      </c>
      <c r="G29" s="9" t="s">
        <v>27</v>
      </c>
      <c r="H29" s="11"/>
      <c r="I29" s="11"/>
      <c r="J29" s="11"/>
      <c r="K29" s="11"/>
      <c r="L29" s="11"/>
      <c r="M29" s="11"/>
    </row>
    <row r="30" spans="1:13" x14ac:dyDescent="0.2">
      <c r="A30" s="57"/>
      <c r="B30" s="9">
        <v>33</v>
      </c>
      <c r="C30" s="9" t="s">
        <v>452</v>
      </c>
      <c r="D30" s="9" t="s">
        <v>24</v>
      </c>
      <c r="E30" s="9" t="s">
        <v>31</v>
      </c>
      <c r="F30" s="9" t="s">
        <v>26</v>
      </c>
      <c r="G30" s="9" t="s">
        <v>27</v>
      </c>
      <c r="H30" s="11"/>
      <c r="I30" s="11"/>
      <c r="J30" s="11"/>
      <c r="K30" s="11"/>
      <c r="L30" s="11"/>
      <c r="M30" s="11"/>
    </row>
    <row r="31" spans="1:13" x14ac:dyDescent="0.2">
      <c r="A31" s="48" t="s">
        <v>38</v>
      </c>
      <c r="B31" s="9">
        <v>33</v>
      </c>
      <c r="C31" s="9" t="s">
        <v>453</v>
      </c>
      <c r="D31" s="9" t="s">
        <v>24</v>
      </c>
      <c r="E31" s="9" t="s">
        <v>25</v>
      </c>
      <c r="F31" s="9" t="s">
        <v>26</v>
      </c>
      <c r="G31" s="9" t="s">
        <v>27</v>
      </c>
      <c r="H31" s="11"/>
      <c r="I31" s="11"/>
      <c r="J31" s="11"/>
      <c r="K31" s="11"/>
      <c r="L31" s="11"/>
      <c r="M31" s="11"/>
    </row>
    <row r="32" spans="1:13" x14ac:dyDescent="0.2">
      <c r="A32" s="51"/>
      <c r="B32" s="9">
        <v>33</v>
      </c>
      <c r="C32" s="9" t="s">
        <v>454</v>
      </c>
      <c r="D32" s="9" t="s">
        <v>24</v>
      </c>
      <c r="E32" s="9" t="s">
        <v>25</v>
      </c>
      <c r="F32" s="9" t="s">
        <v>26</v>
      </c>
      <c r="G32" s="9" t="s">
        <v>27</v>
      </c>
      <c r="H32" s="11"/>
      <c r="I32" s="11"/>
      <c r="J32" s="11"/>
      <c r="K32" s="11"/>
      <c r="L32" s="11"/>
      <c r="M32" s="11"/>
    </row>
    <row r="33" spans="1:13" x14ac:dyDescent="0.2">
      <c r="A33" s="50"/>
      <c r="B33" s="9">
        <v>33</v>
      </c>
      <c r="C33" s="9" t="s">
        <v>455</v>
      </c>
      <c r="D33" s="9" t="s">
        <v>24</v>
      </c>
      <c r="E33" s="9" t="s">
        <v>25</v>
      </c>
      <c r="F33" s="9" t="s">
        <v>47</v>
      </c>
      <c r="G33" s="9" t="s">
        <v>27</v>
      </c>
      <c r="H33" s="11"/>
      <c r="I33" s="11"/>
      <c r="J33" s="11"/>
      <c r="K33" s="11"/>
      <c r="L33" s="11"/>
      <c r="M33" s="11"/>
    </row>
    <row r="34" spans="1:13" x14ac:dyDescent="0.2">
      <c r="A34" s="51"/>
      <c r="B34" s="9">
        <v>33</v>
      </c>
      <c r="C34" s="9" t="s">
        <v>456</v>
      </c>
      <c r="D34" s="9" t="s">
        <v>24</v>
      </c>
      <c r="E34" s="9" t="s">
        <v>25</v>
      </c>
      <c r="F34" s="9" t="s">
        <v>47</v>
      </c>
      <c r="G34" s="9" t="s">
        <v>27</v>
      </c>
      <c r="H34" s="11"/>
      <c r="I34" s="11"/>
      <c r="J34" s="11"/>
      <c r="K34" s="11"/>
      <c r="L34" s="11"/>
      <c r="M34" s="11"/>
    </row>
    <row r="35" spans="1:13" x14ac:dyDescent="0.2">
      <c r="A35" s="50"/>
      <c r="B35" s="9">
        <v>33</v>
      </c>
      <c r="C35" s="9" t="s">
        <v>437</v>
      </c>
      <c r="D35" s="9" t="s">
        <v>24</v>
      </c>
      <c r="E35" s="9" t="s">
        <v>25</v>
      </c>
      <c r="F35" s="9" t="s">
        <v>47</v>
      </c>
      <c r="G35" s="9" t="s">
        <v>27</v>
      </c>
      <c r="H35" s="11"/>
      <c r="I35" s="11"/>
      <c r="J35" s="11"/>
      <c r="K35" s="11"/>
      <c r="L35" s="11"/>
      <c r="M35" s="11"/>
    </row>
    <row r="36" spans="1:13" x14ac:dyDescent="0.2">
      <c r="A36" s="52"/>
      <c r="B36" s="9">
        <v>33</v>
      </c>
      <c r="C36" s="9" t="s">
        <v>457</v>
      </c>
      <c r="D36" s="9" t="s">
        <v>24</v>
      </c>
      <c r="E36" s="9" t="s">
        <v>25</v>
      </c>
      <c r="F36" s="9" t="s">
        <v>47</v>
      </c>
      <c r="G36" s="9" t="s">
        <v>27</v>
      </c>
      <c r="H36" s="11"/>
      <c r="I36" s="11"/>
      <c r="J36" s="11"/>
      <c r="K36" s="11"/>
      <c r="L36" s="11"/>
      <c r="M36" s="11"/>
    </row>
    <row r="37" spans="1:13" ht="12.75" x14ac:dyDescent="0.2">
      <c r="A37" s="52"/>
      <c r="B37" s="9">
        <v>33</v>
      </c>
      <c r="C37" s="9" t="s">
        <v>458</v>
      </c>
      <c r="D37" s="9" t="s">
        <v>24</v>
      </c>
      <c r="E37" s="9" t="s">
        <v>25</v>
      </c>
      <c r="F37" s="9" t="s">
        <v>26</v>
      </c>
      <c r="G37" s="9" t="s">
        <v>27</v>
      </c>
      <c r="H37" s="11"/>
      <c r="I37" s="11"/>
      <c r="J37" s="11"/>
      <c r="K37" s="11"/>
      <c r="L37" s="11"/>
      <c r="M37" s="11"/>
    </row>
    <row r="38" spans="1:13" ht="12.75" x14ac:dyDescent="0.2">
      <c r="A38" s="52"/>
      <c r="B38" s="9">
        <v>33</v>
      </c>
      <c r="C38" s="9" t="s">
        <v>459</v>
      </c>
      <c r="D38" s="9" t="s">
        <v>24</v>
      </c>
      <c r="E38" s="9" t="s">
        <v>25</v>
      </c>
      <c r="F38" s="9" t="s">
        <v>47</v>
      </c>
      <c r="G38" s="9" t="s">
        <v>27</v>
      </c>
      <c r="H38" s="11"/>
      <c r="I38" s="11"/>
      <c r="J38" s="11"/>
      <c r="K38" s="11"/>
      <c r="L38" s="11"/>
      <c r="M38" s="11"/>
    </row>
    <row r="39" spans="1:13" ht="12.75" x14ac:dyDescent="0.2">
      <c r="A39" s="52"/>
      <c r="B39" s="9">
        <v>33</v>
      </c>
      <c r="C39" s="9" t="s">
        <v>460</v>
      </c>
      <c r="D39" s="9" t="s">
        <v>24</v>
      </c>
      <c r="E39" s="9" t="s">
        <v>25</v>
      </c>
      <c r="F39" s="9" t="s">
        <v>47</v>
      </c>
      <c r="G39" s="9" t="s">
        <v>27</v>
      </c>
      <c r="H39" s="11"/>
      <c r="I39" s="11"/>
      <c r="J39" s="11"/>
      <c r="K39" s="11"/>
      <c r="L39" s="11"/>
      <c r="M39" s="11"/>
    </row>
    <row r="40" spans="1:13" ht="12.75" x14ac:dyDescent="0.2">
      <c r="A40" s="52"/>
      <c r="B40" s="9">
        <v>33</v>
      </c>
      <c r="C40" s="9" t="s">
        <v>461</v>
      </c>
      <c r="D40" s="9" t="s">
        <v>24</v>
      </c>
      <c r="E40" s="9" t="s">
        <v>25</v>
      </c>
      <c r="F40" s="9" t="s">
        <v>47</v>
      </c>
      <c r="G40" s="9" t="s">
        <v>27</v>
      </c>
      <c r="H40" s="11"/>
      <c r="I40" s="11"/>
      <c r="J40" s="11"/>
      <c r="K40" s="11"/>
      <c r="L40" s="11"/>
      <c r="M40" s="11"/>
    </row>
    <row r="41" spans="1:13" ht="12.75" x14ac:dyDescent="0.2">
      <c r="A41" s="52"/>
      <c r="B41" s="9">
        <v>33</v>
      </c>
      <c r="C41" s="9" t="s">
        <v>440</v>
      </c>
      <c r="D41" s="9" t="s">
        <v>24</v>
      </c>
      <c r="E41" s="9" t="s">
        <v>25</v>
      </c>
      <c r="F41" s="9" t="s">
        <v>26</v>
      </c>
      <c r="G41" s="9" t="s">
        <v>27</v>
      </c>
      <c r="H41" s="11"/>
      <c r="I41" s="11"/>
      <c r="J41" s="11"/>
      <c r="K41" s="11"/>
      <c r="L41" s="11"/>
      <c r="M41" s="11"/>
    </row>
    <row r="42" spans="1:13" ht="12.75" x14ac:dyDescent="0.2">
      <c r="A42" s="52"/>
      <c r="B42" s="9">
        <v>33</v>
      </c>
      <c r="C42" s="9" t="s">
        <v>462</v>
      </c>
      <c r="D42" s="9" t="s">
        <v>30</v>
      </c>
      <c r="E42" s="9" t="s">
        <v>25</v>
      </c>
      <c r="F42" s="9" t="s">
        <v>26</v>
      </c>
      <c r="G42" s="9" t="s">
        <v>27</v>
      </c>
      <c r="H42" s="11"/>
      <c r="I42" s="11"/>
      <c r="J42" s="11"/>
      <c r="K42" s="11"/>
      <c r="L42" s="11"/>
      <c r="M42" s="11"/>
    </row>
    <row r="43" spans="1:13" ht="12.75" x14ac:dyDescent="0.2">
      <c r="A43" s="52"/>
      <c r="B43" s="9">
        <v>33</v>
      </c>
      <c r="C43" s="9" t="s">
        <v>463</v>
      </c>
      <c r="D43" s="9" t="s">
        <v>24</v>
      </c>
      <c r="E43" s="9" t="s">
        <v>25</v>
      </c>
      <c r="F43" s="9" t="s">
        <v>26</v>
      </c>
      <c r="G43" s="9" t="s">
        <v>27</v>
      </c>
      <c r="H43" s="11"/>
      <c r="I43" s="11"/>
      <c r="J43" s="11"/>
      <c r="K43" s="11"/>
      <c r="L43" s="11"/>
      <c r="M43" s="11"/>
    </row>
    <row r="44" spans="1:13" ht="12.75" x14ac:dyDescent="0.2">
      <c r="A44" s="53"/>
      <c r="B44" s="9">
        <v>33</v>
      </c>
      <c r="C44" s="9" t="s">
        <v>441</v>
      </c>
      <c r="D44" s="9" t="s">
        <v>24</v>
      </c>
      <c r="E44" s="9" t="s">
        <v>25</v>
      </c>
      <c r="F44" s="9" t="s">
        <v>26</v>
      </c>
      <c r="G44" s="9" t="s">
        <v>27</v>
      </c>
      <c r="H44" s="11"/>
      <c r="I44" s="11"/>
      <c r="J44" s="11"/>
      <c r="K44" s="11"/>
      <c r="L44" s="11"/>
      <c r="M44" s="11"/>
    </row>
    <row r="45" spans="1:13" ht="12.75" x14ac:dyDescent="0.2">
      <c r="A45" s="48" t="s">
        <v>46</v>
      </c>
      <c r="B45" s="9">
        <v>33</v>
      </c>
      <c r="C45" s="9" t="s">
        <v>464</v>
      </c>
      <c r="D45" s="9" t="s">
        <v>24</v>
      </c>
      <c r="E45" s="9" t="s">
        <v>31</v>
      </c>
      <c r="F45" s="9" t="s">
        <v>87</v>
      </c>
      <c r="G45" s="9" t="s">
        <v>27</v>
      </c>
      <c r="H45" s="11"/>
      <c r="I45" s="11"/>
      <c r="J45" s="11"/>
      <c r="K45" s="11"/>
      <c r="L45" s="11"/>
      <c r="M45" s="11"/>
    </row>
    <row r="46" spans="1:13" ht="12.75" x14ac:dyDescent="0.2">
      <c r="A46" s="52"/>
      <c r="B46" s="9">
        <v>33</v>
      </c>
      <c r="C46" s="9" t="s">
        <v>465</v>
      </c>
      <c r="D46" s="9" t="s">
        <v>24</v>
      </c>
      <c r="E46" s="9" t="s">
        <v>31</v>
      </c>
      <c r="F46" s="9" t="s">
        <v>87</v>
      </c>
      <c r="G46" s="9" t="s">
        <v>27</v>
      </c>
      <c r="H46" s="11"/>
      <c r="I46" s="11"/>
      <c r="J46" s="11"/>
      <c r="K46" s="11"/>
      <c r="L46" s="11"/>
      <c r="M46" s="11"/>
    </row>
    <row r="47" spans="1:13" ht="12.75" x14ac:dyDescent="0.2">
      <c r="A47" s="52"/>
      <c r="B47" s="9">
        <v>33</v>
      </c>
      <c r="C47" s="9" t="s">
        <v>466</v>
      </c>
      <c r="D47" s="9" t="s">
        <v>24</v>
      </c>
      <c r="E47" s="9" t="s">
        <v>31</v>
      </c>
      <c r="F47" s="9" t="s">
        <v>87</v>
      </c>
      <c r="G47" s="9" t="s">
        <v>27</v>
      </c>
      <c r="H47" s="11"/>
      <c r="I47" s="11"/>
      <c r="J47" s="11"/>
      <c r="K47" s="11"/>
      <c r="L47" s="11"/>
      <c r="M47" s="11"/>
    </row>
    <row r="48" spans="1:13" ht="12.75" x14ac:dyDescent="0.2">
      <c r="A48" s="52"/>
      <c r="B48" s="9">
        <v>33</v>
      </c>
      <c r="C48" s="9" t="s">
        <v>467</v>
      </c>
      <c r="D48" s="9" t="s">
        <v>24</v>
      </c>
      <c r="E48" s="9" t="s">
        <v>31</v>
      </c>
      <c r="F48" s="9" t="s">
        <v>87</v>
      </c>
      <c r="G48" s="9" t="s">
        <v>27</v>
      </c>
      <c r="H48" s="11"/>
      <c r="I48" s="11"/>
      <c r="J48" s="11"/>
      <c r="K48" s="11"/>
      <c r="L48" s="11"/>
      <c r="M48" s="11"/>
    </row>
    <row r="49" spans="1:10" ht="12.75" x14ac:dyDescent="0.2">
      <c r="A49" s="52"/>
      <c r="B49" s="9">
        <v>33</v>
      </c>
      <c r="C49" s="9" t="s">
        <v>468</v>
      </c>
      <c r="D49" s="9" t="s">
        <v>24</v>
      </c>
      <c r="E49" s="9" t="s">
        <v>25</v>
      </c>
      <c r="F49" s="9" t="s">
        <v>87</v>
      </c>
      <c r="G49" s="9" t="s">
        <v>27</v>
      </c>
      <c r="H49" s="13"/>
      <c r="I49" s="13"/>
      <c r="J49" s="13"/>
    </row>
    <row r="50" spans="1:10" ht="12.75" x14ac:dyDescent="0.2">
      <c r="A50" s="52"/>
      <c r="B50" s="9">
        <v>33</v>
      </c>
      <c r="C50" s="9" t="s">
        <v>469</v>
      </c>
      <c r="D50" s="9" t="s">
        <v>24</v>
      </c>
      <c r="E50" s="9" t="s">
        <v>31</v>
      </c>
      <c r="F50" s="9" t="s">
        <v>87</v>
      </c>
      <c r="G50" s="9" t="s">
        <v>27</v>
      </c>
      <c r="H50" s="13"/>
      <c r="I50" s="13"/>
      <c r="J50" s="13"/>
    </row>
    <row r="51" spans="1:10" ht="12.75" x14ac:dyDescent="0.2">
      <c r="A51" s="52"/>
      <c r="B51" s="9">
        <v>33</v>
      </c>
      <c r="C51" s="9" t="s">
        <v>445</v>
      </c>
      <c r="D51" s="9" t="s">
        <v>24</v>
      </c>
      <c r="E51" s="9" t="s">
        <v>31</v>
      </c>
      <c r="F51" s="9" t="s">
        <v>47</v>
      </c>
      <c r="G51" s="9" t="s">
        <v>27</v>
      </c>
      <c r="H51" s="13"/>
      <c r="I51" s="13"/>
      <c r="J51" s="13"/>
    </row>
    <row r="52" spans="1:10" ht="12.75" x14ac:dyDescent="0.2">
      <c r="A52" s="53"/>
      <c r="B52" s="9">
        <v>33</v>
      </c>
      <c r="C52" s="9" t="s">
        <v>398</v>
      </c>
      <c r="D52" s="9" t="s">
        <v>24</v>
      </c>
      <c r="E52" s="9" t="s">
        <v>31</v>
      </c>
      <c r="F52" s="9" t="s">
        <v>87</v>
      </c>
      <c r="G52" s="9" t="s">
        <v>27</v>
      </c>
      <c r="H52" s="13"/>
      <c r="I52" s="13"/>
      <c r="J52" s="13"/>
    </row>
    <row r="53" spans="1:10" ht="12.75" x14ac:dyDescent="0.2">
      <c r="A53" s="48" t="s">
        <v>49</v>
      </c>
      <c r="B53" s="9">
        <v>33</v>
      </c>
      <c r="C53" s="9" t="s">
        <v>371</v>
      </c>
      <c r="D53" s="9" t="s">
        <v>30</v>
      </c>
      <c r="E53" s="9" t="s">
        <v>31</v>
      </c>
      <c r="F53" s="9" t="s">
        <v>47</v>
      </c>
      <c r="G53" s="9" t="s">
        <v>27</v>
      </c>
      <c r="H53" s="13"/>
      <c r="I53" s="13"/>
      <c r="J53" s="13"/>
    </row>
    <row r="54" spans="1:10" ht="12.75" x14ac:dyDescent="0.2">
      <c r="A54" s="52"/>
      <c r="B54" s="9">
        <v>33</v>
      </c>
      <c r="C54" s="9" t="s">
        <v>470</v>
      </c>
      <c r="D54" s="9" t="s">
        <v>24</v>
      </c>
      <c r="E54" s="9" t="s">
        <v>31</v>
      </c>
      <c r="F54" s="9" t="s">
        <v>47</v>
      </c>
      <c r="G54" s="9" t="s">
        <v>27</v>
      </c>
      <c r="H54" s="13"/>
      <c r="I54" s="13"/>
      <c r="J54" s="13"/>
    </row>
    <row r="55" spans="1:10" ht="12.75" x14ac:dyDescent="0.2">
      <c r="A55" s="53"/>
      <c r="B55" s="9">
        <v>33</v>
      </c>
      <c r="C55" s="9" t="s">
        <v>471</v>
      </c>
      <c r="D55" s="9" t="s">
        <v>24</v>
      </c>
      <c r="E55" s="9" t="s">
        <v>25</v>
      </c>
      <c r="F55" s="9" t="s">
        <v>47</v>
      </c>
      <c r="G55" s="9" t="s">
        <v>27</v>
      </c>
      <c r="H55" s="13"/>
      <c r="I55" s="13"/>
      <c r="J55" s="13"/>
    </row>
    <row r="56" spans="1:10" ht="12.75" x14ac:dyDescent="0.2">
      <c r="A56" s="48" t="s">
        <v>52</v>
      </c>
      <c r="B56" s="9">
        <v>33</v>
      </c>
      <c r="C56" s="9" t="s">
        <v>472</v>
      </c>
      <c r="D56" s="9" t="s">
        <v>24</v>
      </c>
      <c r="E56" s="9" t="s">
        <v>31</v>
      </c>
      <c r="F56" s="9" t="s">
        <v>26</v>
      </c>
      <c r="G56" s="9" t="s">
        <v>27</v>
      </c>
      <c r="H56" s="13"/>
      <c r="I56" s="13"/>
      <c r="J56" s="13"/>
    </row>
    <row r="57" spans="1:10" ht="12.75" x14ac:dyDescent="0.2">
      <c r="A57" s="52"/>
      <c r="B57" s="9">
        <v>33</v>
      </c>
      <c r="C57" s="9" t="s">
        <v>473</v>
      </c>
      <c r="D57" s="9" t="s">
        <v>24</v>
      </c>
      <c r="E57" s="9" t="s">
        <v>31</v>
      </c>
      <c r="F57" s="9" t="s">
        <v>26</v>
      </c>
      <c r="G57" s="9" t="s">
        <v>27</v>
      </c>
      <c r="H57" s="13"/>
      <c r="I57" s="13"/>
      <c r="J57" s="13"/>
    </row>
    <row r="58" spans="1:10" ht="12.75" x14ac:dyDescent="0.2">
      <c r="A58" s="52"/>
      <c r="B58" s="9">
        <v>33</v>
      </c>
      <c r="C58" s="9" t="s">
        <v>474</v>
      </c>
      <c r="D58" s="9" t="s">
        <v>24</v>
      </c>
      <c r="E58" s="9" t="s">
        <v>31</v>
      </c>
      <c r="F58" s="9" t="s">
        <v>26</v>
      </c>
      <c r="G58" s="9" t="s">
        <v>27</v>
      </c>
      <c r="H58" s="13"/>
      <c r="I58" s="13"/>
      <c r="J58" s="13"/>
    </row>
    <row r="59" spans="1:10" ht="12.75" x14ac:dyDescent="0.2">
      <c r="A59" s="52"/>
      <c r="B59" s="9">
        <v>33</v>
      </c>
      <c r="C59" s="9" t="s">
        <v>475</v>
      </c>
      <c r="D59" s="9" t="s">
        <v>24</v>
      </c>
      <c r="E59" s="9" t="s">
        <v>31</v>
      </c>
      <c r="F59" s="9" t="s">
        <v>26</v>
      </c>
      <c r="G59" s="9" t="s">
        <v>27</v>
      </c>
      <c r="H59" s="13"/>
      <c r="I59" s="13"/>
      <c r="J59" s="13"/>
    </row>
    <row r="60" spans="1:10" ht="12.75" x14ac:dyDescent="0.2">
      <c r="A60" s="52"/>
      <c r="B60" s="9">
        <v>33</v>
      </c>
      <c r="C60" s="9" t="s">
        <v>476</v>
      </c>
      <c r="D60" s="9" t="s">
        <v>24</v>
      </c>
      <c r="E60" s="9" t="s">
        <v>31</v>
      </c>
      <c r="F60" s="9" t="s">
        <v>26</v>
      </c>
      <c r="G60" s="9" t="s">
        <v>27</v>
      </c>
      <c r="H60" s="13"/>
      <c r="I60" s="13"/>
      <c r="J60" s="13"/>
    </row>
    <row r="61" spans="1:10" ht="12.75" x14ac:dyDescent="0.2">
      <c r="A61" s="52"/>
      <c r="B61" s="9">
        <v>33</v>
      </c>
      <c r="C61" s="9" t="s">
        <v>477</v>
      </c>
      <c r="D61" s="9" t="s">
        <v>24</v>
      </c>
      <c r="E61" s="9" t="s">
        <v>31</v>
      </c>
      <c r="F61" s="9" t="s">
        <v>26</v>
      </c>
      <c r="G61" s="9" t="s">
        <v>27</v>
      </c>
      <c r="H61" s="13"/>
      <c r="I61" s="13"/>
      <c r="J61" s="13"/>
    </row>
    <row r="62" spans="1:10" ht="12.75" x14ac:dyDescent="0.2">
      <c r="A62" s="53"/>
      <c r="B62" s="9">
        <v>33</v>
      </c>
      <c r="C62" s="9" t="s">
        <v>478</v>
      </c>
      <c r="D62" s="9" t="s">
        <v>24</v>
      </c>
      <c r="E62" s="9" t="s">
        <v>31</v>
      </c>
      <c r="F62" s="9" t="s">
        <v>26</v>
      </c>
      <c r="G62" s="9" t="s">
        <v>27</v>
      </c>
      <c r="H62" s="13"/>
      <c r="I62" s="13"/>
      <c r="J62" s="13"/>
    </row>
    <row r="63" spans="1:10" ht="12.75" x14ac:dyDescent="0.2">
      <c r="A63" s="48" t="s">
        <v>59</v>
      </c>
      <c r="B63" s="9">
        <v>33</v>
      </c>
      <c r="C63" s="9" t="s">
        <v>479</v>
      </c>
      <c r="D63" s="9" t="s">
        <v>24</v>
      </c>
      <c r="E63" s="9" t="s">
        <v>31</v>
      </c>
      <c r="F63" s="9" t="s">
        <v>47</v>
      </c>
      <c r="G63" s="9" t="s">
        <v>27</v>
      </c>
      <c r="H63" s="13"/>
      <c r="I63" s="13"/>
      <c r="J63" s="13"/>
    </row>
    <row r="64" spans="1:10" ht="12.75" x14ac:dyDescent="0.2">
      <c r="A64" s="52"/>
      <c r="B64" s="9">
        <v>33</v>
      </c>
      <c r="C64" s="9" t="s">
        <v>448</v>
      </c>
      <c r="D64" s="9" t="s">
        <v>24</v>
      </c>
      <c r="E64" s="9" t="s">
        <v>31</v>
      </c>
      <c r="F64" s="9" t="s">
        <v>47</v>
      </c>
      <c r="G64" s="9" t="s">
        <v>27</v>
      </c>
      <c r="H64" s="13"/>
      <c r="I64" s="13"/>
      <c r="J64" s="13"/>
    </row>
    <row r="65" spans="1:10" ht="12.75" x14ac:dyDescent="0.2">
      <c r="A65" s="52"/>
      <c r="B65" s="9">
        <v>33</v>
      </c>
      <c r="C65" s="9" t="s">
        <v>480</v>
      </c>
      <c r="D65" s="9" t="s">
        <v>24</v>
      </c>
      <c r="E65" s="9" t="s">
        <v>31</v>
      </c>
      <c r="F65" s="9" t="s">
        <v>47</v>
      </c>
      <c r="G65" s="9" t="s">
        <v>27</v>
      </c>
      <c r="H65" s="13"/>
      <c r="I65" s="13"/>
      <c r="J65" s="13"/>
    </row>
    <row r="66" spans="1:10" ht="12.75" x14ac:dyDescent="0.2">
      <c r="A66" s="53"/>
      <c r="B66" s="9">
        <v>33</v>
      </c>
      <c r="C66" s="9" t="s">
        <v>447</v>
      </c>
      <c r="D66" s="9" t="s">
        <v>24</v>
      </c>
      <c r="E66" s="9" t="s">
        <v>31</v>
      </c>
      <c r="F66" s="9" t="s">
        <v>47</v>
      </c>
      <c r="G66" s="9" t="s">
        <v>27</v>
      </c>
      <c r="H66" s="13"/>
      <c r="I66" s="13"/>
      <c r="J66" s="13"/>
    </row>
    <row r="67" spans="1:10" ht="12.75" x14ac:dyDescent="0.2">
      <c r="A67" s="48" t="s">
        <v>101</v>
      </c>
      <c r="B67" s="9">
        <v>33</v>
      </c>
      <c r="C67" s="9" t="s">
        <v>466</v>
      </c>
      <c r="D67" s="9" t="s">
        <v>24</v>
      </c>
      <c r="E67" s="9" t="s">
        <v>31</v>
      </c>
      <c r="F67" s="9" t="s">
        <v>47</v>
      </c>
      <c r="G67" s="9" t="s">
        <v>27</v>
      </c>
      <c r="H67" s="13"/>
      <c r="I67" s="13"/>
      <c r="J67" s="13"/>
    </row>
    <row r="68" spans="1:10" ht="12.75" x14ac:dyDescent="0.2">
      <c r="A68" s="52"/>
      <c r="B68" s="9">
        <v>33</v>
      </c>
      <c r="C68" s="9" t="s">
        <v>481</v>
      </c>
      <c r="D68" s="9" t="s">
        <v>24</v>
      </c>
      <c r="E68" s="9" t="s">
        <v>31</v>
      </c>
      <c r="F68" s="9" t="s">
        <v>47</v>
      </c>
      <c r="G68" s="9" t="s">
        <v>27</v>
      </c>
      <c r="H68" s="13"/>
      <c r="I68" s="13"/>
      <c r="J68" s="13"/>
    </row>
    <row r="69" spans="1:10" ht="12.75" x14ac:dyDescent="0.2">
      <c r="A69" s="52"/>
      <c r="B69" s="9">
        <v>33</v>
      </c>
      <c r="C69" s="9" t="s">
        <v>482</v>
      </c>
      <c r="D69" s="9" t="s">
        <v>24</v>
      </c>
      <c r="E69" s="9" t="s">
        <v>31</v>
      </c>
      <c r="F69" s="9" t="s">
        <v>47</v>
      </c>
      <c r="G69" s="9" t="s">
        <v>27</v>
      </c>
      <c r="H69" s="13"/>
      <c r="I69" s="13"/>
      <c r="J69" s="13"/>
    </row>
    <row r="70" spans="1:10" ht="12.75" x14ac:dyDescent="0.2">
      <c r="A70" s="53"/>
      <c r="B70" s="9">
        <v>33</v>
      </c>
      <c r="C70" s="9" t="s">
        <v>468</v>
      </c>
      <c r="D70" s="9" t="s">
        <v>24</v>
      </c>
      <c r="E70" s="9" t="s">
        <v>31</v>
      </c>
      <c r="F70" s="9" t="s">
        <v>47</v>
      </c>
      <c r="G70" s="9" t="s">
        <v>27</v>
      </c>
      <c r="H70" s="13"/>
      <c r="I70" s="13"/>
      <c r="J70" s="13"/>
    </row>
    <row r="71" spans="1:10" ht="12.75" x14ac:dyDescent="0.2">
      <c r="A71" s="48" t="s">
        <v>62</v>
      </c>
      <c r="B71" s="9">
        <v>33</v>
      </c>
      <c r="C71" s="9" t="s">
        <v>483</v>
      </c>
      <c r="D71" s="9" t="s">
        <v>24</v>
      </c>
      <c r="E71" s="9" t="s">
        <v>31</v>
      </c>
      <c r="F71" s="9" t="s">
        <v>26</v>
      </c>
      <c r="G71" s="9" t="s">
        <v>27</v>
      </c>
      <c r="H71" s="13"/>
      <c r="I71" s="13"/>
      <c r="J71" s="13"/>
    </row>
    <row r="72" spans="1:10" ht="12.75" x14ac:dyDescent="0.2">
      <c r="A72" s="52"/>
      <c r="B72" s="9">
        <v>33</v>
      </c>
      <c r="C72" s="9" t="s">
        <v>484</v>
      </c>
      <c r="D72" s="9" t="s">
        <v>24</v>
      </c>
      <c r="E72" s="9" t="s">
        <v>31</v>
      </c>
      <c r="F72" s="9" t="s">
        <v>26</v>
      </c>
      <c r="G72" s="9" t="s">
        <v>27</v>
      </c>
      <c r="H72" s="13"/>
      <c r="I72" s="13"/>
      <c r="J72" s="13"/>
    </row>
    <row r="73" spans="1:10" ht="12.75" x14ac:dyDescent="0.2">
      <c r="A73" s="52"/>
      <c r="B73" s="9">
        <v>33</v>
      </c>
      <c r="C73" s="9" t="s">
        <v>483</v>
      </c>
      <c r="D73" s="9" t="s">
        <v>24</v>
      </c>
      <c r="E73" s="9" t="s">
        <v>31</v>
      </c>
      <c r="F73" s="9" t="s">
        <v>26</v>
      </c>
      <c r="G73" s="9" t="s">
        <v>27</v>
      </c>
      <c r="H73" s="13"/>
      <c r="I73" s="13"/>
      <c r="J73" s="13"/>
    </row>
    <row r="74" spans="1:10" ht="12.75" x14ac:dyDescent="0.2">
      <c r="A74" s="52"/>
      <c r="B74" s="9">
        <v>33</v>
      </c>
      <c r="C74" s="9" t="s">
        <v>485</v>
      </c>
      <c r="D74" s="9" t="s">
        <v>24</v>
      </c>
      <c r="E74" s="9" t="s">
        <v>31</v>
      </c>
      <c r="F74" s="9" t="s">
        <v>26</v>
      </c>
      <c r="G74" s="9" t="s">
        <v>27</v>
      </c>
      <c r="H74" s="13"/>
      <c r="I74" s="13"/>
      <c r="J74" s="13"/>
    </row>
    <row r="75" spans="1:10" ht="12.75" x14ac:dyDescent="0.2">
      <c r="A75" s="52"/>
      <c r="B75" s="9">
        <v>33</v>
      </c>
      <c r="C75" s="9" t="s">
        <v>486</v>
      </c>
      <c r="D75" s="9" t="s">
        <v>24</v>
      </c>
      <c r="E75" s="9" t="s">
        <v>31</v>
      </c>
      <c r="F75" s="9" t="s">
        <v>26</v>
      </c>
      <c r="G75" s="9" t="s">
        <v>27</v>
      </c>
      <c r="H75" s="13"/>
      <c r="I75" s="13"/>
      <c r="J75" s="13"/>
    </row>
    <row r="76" spans="1:10" ht="12.75" x14ac:dyDescent="0.2">
      <c r="A76" s="53"/>
      <c r="B76" s="9">
        <v>33</v>
      </c>
      <c r="C76" s="9" t="s">
        <v>487</v>
      </c>
      <c r="D76" s="9" t="s">
        <v>24</v>
      </c>
      <c r="E76" s="9" t="s">
        <v>31</v>
      </c>
      <c r="F76" s="9" t="s">
        <v>26</v>
      </c>
      <c r="G76" s="9" t="s">
        <v>27</v>
      </c>
      <c r="H76" s="13"/>
      <c r="I76" s="13"/>
      <c r="J76" s="13"/>
    </row>
    <row r="77" spans="1:10" ht="12.75" x14ac:dyDescent="0.2">
      <c r="A77" s="48" t="s">
        <v>70</v>
      </c>
      <c r="B77" s="9">
        <v>33</v>
      </c>
      <c r="C77" s="9" t="s">
        <v>488</v>
      </c>
      <c r="D77" s="9" t="s">
        <v>24</v>
      </c>
      <c r="E77" s="9" t="s">
        <v>31</v>
      </c>
      <c r="F77" s="9" t="s">
        <v>26</v>
      </c>
      <c r="G77" s="9" t="s">
        <v>27</v>
      </c>
      <c r="H77" s="13"/>
      <c r="I77" s="13"/>
      <c r="J77" s="13"/>
    </row>
    <row r="78" spans="1:10" ht="12.75" x14ac:dyDescent="0.2">
      <c r="A78" s="52"/>
      <c r="B78" s="9">
        <v>33</v>
      </c>
      <c r="C78" s="9" t="s">
        <v>489</v>
      </c>
      <c r="D78" s="9" t="s">
        <v>24</v>
      </c>
      <c r="E78" s="9" t="s">
        <v>31</v>
      </c>
      <c r="F78" s="9" t="s">
        <v>26</v>
      </c>
      <c r="G78" s="9" t="s">
        <v>27</v>
      </c>
      <c r="H78" s="13"/>
      <c r="I78" s="13"/>
      <c r="J78" s="13"/>
    </row>
    <row r="79" spans="1:10" ht="12.75" x14ac:dyDescent="0.2">
      <c r="A79" s="52"/>
      <c r="B79" s="9">
        <v>33</v>
      </c>
      <c r="C79" s="9" t="s">
        <v>490</v>
      </c>
      <c r="D79" s="9" t="s">
        <v>24</v>
      </c>
      <c r="E79" s="9" t="s">
        <v>31</v>
      </c>
      <c r="F79" s="9" t="s">
        <v>26</v>
      </c>
      <c r="G79" s="9" t="s">
        <v>27</v>
      </c>
      <c r="H79" s="13"/>
      <c r="I79" s="13"/>
      <c r="J79" s="13"/>
    </row>
    <row r="80" spans="1:10" ht="12.75" x14ac:dyDescent="0.2">
      <c r="A80" s="52"/>
      <c r="B80" s="9">
        <v>33</v>
      </c>
      <c r="C80" s="9" t="s">
        <v>491</v>
      </c>
      <c r="D80" s="9" t="s">
        <v>24</v>
      </c>
      <c r="E80" s="9" t="s">
        <v>31</v>
      </c>
      <c r="F80" s="9" t="s">
        <v>26</v>
      </c>
      <c r="G80" s="9" t="s">
        <v>27</v>
      </c>
      <c r="H80" s="13"/>
      <c r="I80" s="13"/>
      <c r="J80" s="13"/>
    </row>
    <row r="81" spans="1:10" ht="12.75" x14ac:dyDescent="0.2">
      <c r="A81" s="52"/>
      <c r="B81" s="9">
        <v>33</v>
      </c>
      <c r="C81" s="9" t="s">
        <v>492</v>
      </c>
      <c r="D81" s="9" t="s">
        <v>24</v>
      </c>
      <c r="E81" s="9" t="s">
        <v>31</v>
      </c>
      <c r="F81" s="9" t="s">
        <v>26</v>
      </c>
      <c r="G81" s="9" t="s">
        <v>27</v>
      </c>
      <c r="H81" s="13"/>
      <c r="I81" s="13"/>
      <c r="J81" s="13"/>
    </row>
    <row r="82" spans="1:10" ht="12.75" x14ac:dyDescent="0.2">
      <c r="A82" s="52"/>
      <c r="B82" s="9">
        <v>33</v>
      </c>
      <c r="C82" s="9" t="s">
        <v>493</v>
      </c>
      <c r="D82" s="9" t="s">
        <v>24</v>
      </c>
      <c r="E82" s="9" t="s">
        <v>31</v>
      </c>
      <c r="F82" s="9" t="s">
        <v>26</v>
      </c>
      <c r="G82" s="9" t="s">
        <v>27</v>
      </c>
      <c r="H82" s="13"/>
      <c r="I82" s="13"/>
      <c r="J82" s="13"/>
    </row>
    <row r="83" spans="1:10" ht="12.75" x14ac:dyDescent="0.2">
      <c r="A83" s="52"/>
      <c r="B83" s="9">
        <v>33</v>
      </c>
      <c r="C83" s="9" t="s">
        <v>468</v>
      </c>
      <c r="D83" s="9" t="s">
        <v>24</v>
      </c>
      <c r="E83" s="9" t="s">
        <v>31</v>
      </c>
      <c r="F83" s="9" t="s">
        <v>26</v>
      </c>
      <c r="G83" s="9" t="s">
        <v>27</v>
      </c>
      <c r="H83" s="13"/>
      <c r="I83" s="13"/>
      <c r="J83" s="13"/>
    </row>
    <row r="84" spans="1:10" ht="12.75" x14ac:dyDescent="0.2">
      <c r="A84" s="53"/>
      <c r="B84" s="9">
        <v>33</v>
      </c>
      <c r="C84" s="9" t="s">
        <v>494</v>
      </c>
      <c r="D84" s="9" t="s">
        <v>24</v>
      </c>
      <c r="E84" s="9" t="s">
        <v>31</v>
      </c>
      <c r="F84" s="9" t="s">
        <v>26</v>
      </c>
      <c r="G84" s="9" t="s">
        <v>27</v>
      </c>
      <c r="H84" s="13"/>
      <c r="I84" s="13"/>
      <c r="J84" s="13"/>
    </row>
    <row r="85" spans="1:10" ht="12.75" x14ac:dyDescent="0.2">
      <c r="A85" s="48" t="s">
        <v>73</v>
      </c>
      <c r="B85" s="12">
        <v>33</v>
      </c>
      <c r="C85" s="12" t="s">
        <v>493</v>
      </c>
      <c r="D85" s="12" t="s">
        <v>24</v>
      </c>
      <c r="E85" s="12" t="s">
        <v>25</v>
      </c>
      <c r="F85" s="12" t="s">
        <v>26</v>
      </c>
      <c r="G85" s="9" t="s">
        <v>27</v>
      </c>
      <c r="H85" s="13"/>
      <c r="I85" s="13"/>
      <c r="J85" s="13"/>
    </row>
    <row r="86" spans="1:10" ht="12.75" x14ac:dyDescent="0.2">
      <c r="A86" s="52"/>
      <c r="B86" s="12">
        <v>33</v>
      </c>
      <c r="C86" s="12" t="s">
        <v>467</v>
      </c>
      <c r="D86" s="12" t="s">
        <v>24</v>
      </c>
      <c r="E86" s="12" t="s">
        <v>25</v>
      </c>
      <c r="F86" s="12" t="s">
        <v>26</v>
      </c>
      <c r="G86" s="9" t="s">
        <v>27</v>
      </c>
      <c r="H86" s="13"/>
      <c r="I86" s="13"/>
      <c r="J86" s="13"/>
    </row>
    <row r="87" spans="1:10" ht="12.75" x14ac:dyDescent="0.2">
      <c r="A87" s="52"/>
      <c r="B87" s="12">
        <v>33</v>
      </c>
      <c r="C87" s="12" t="s">
        <v>442</v>
      </c>
      <c r="D87" s="12" t="s">
        <v>24</v>
      </c>
      <c r="E87" s="12" t="s">
        <v>25</v>
      </c>
      <c r="F87" s="12" t="s">
        <v>26</v>
      </c>
      <c r="G87" s="9" t="s">
        <v>27</v>
      </c>
      <c r="H87" s="13"/>
      <c r="I87" s="13"/>
      <c r="J87" s="13"/>
    </row>
    <row r="88" spans="1:10" ht="12.75" x14ac:dyDescent="0.2">
      <c r="A88" s="52"/>
      <c r="B88" s="12">
        <v>33</v>
      </c>
      <c r="C88" s="12" t="s">
        <v>495</v>
      </c>
      <c r="D88" s="12" t="s">
        <v>24</v>
      </c>
      <c r="E88" s="12" t="s">
        <v>25</v>
      </c>
      <c r="F88" s="12" t="s">
        <v>26</v>
      </c>
      <c r="G88" s="9" t="s">
        <v>27</v>
      </c>
      <c r="H88" s="13"/>
      <c r="I88" s="13"/>
      <c r="J88" s="13"/>
    </row>
    <row r="89" spans="1:10" ht="12.75" x14ac:dyDescent="0.2">
      <c r="A89" s="52"/>
      <c r="B89" s="12">
        <v>33</v>
      </c>
      <c r="C89" s="12" t="s">
        <v>494</v>
      </c>
      <c r="D89" s="12" t="s">
        <v>24</v>
      </c>
      <c r="E89" s="12" t="s">
        <v>25</v>
      </c>
      <c r="F89" s="12" t="s">
        <v>26</v>
      </c>
      <c r="G89" s="9" t="s">
        <v>27</v>
      </c>
      <c r="H89" s="13"/>
      <c r="I89" s="13"/>
      <c r="J89" s="13"/>
    </row>
    <row r="90" spans="1:10" ht="12.75" x14ac:dyDescent="0.2">
      <c r="A90" s="52"/>
      <c r="B90" s="12">
        <v>33</v>
      </c>
      <c r="C90" s="12" t="s">
        <v>445</v>
      </c>
      <c r="D90" s="12" t="s">
        <v>24</v>
      </c>
      <c r="E90" s="12" t="s">
        <v>25</v>
      </c>
      <c r="F90" s="12" t="s">
        <v>26</v>
      </c>
      <c r="G90" s="9" t="s">
        <v>27</v>
      </c>
      <c r="H90" s="13"/>
      <c r="I90" s="13"/>
      <c r="J90" s="13"/>
    </row>
    <row r="91" spans="1:10" ht="12.75" x14ac:dyDescent="0.2">
      <c r="A91" s="53"/>
      <c r="B91" s="12">
        <v>33</v>
      </c>
      <c r="C91" s="12" t="s">
        <v>496</v>
      </c>
      <c r="D91" s="12" t="s">
        <v>24</v>
      </c>
      <c r="E91" s="12" t="s">
        <v>25</v>
      </c>
      <c r="F91" s="12" t="s">
        <v>26</v>
      </c>
      <c r="G91" s="9" t="s">
        <v>27</v>
      </c>
      <c r="H91" s="13"/>
      <c r="I91" s="13"/>
      <c r="J91" s="13"/>
    </row>
    <row r="92" spans="1:10" ht="12.75" x14ac:dyDescent="0.2">
      <c r="A92" s="48" t="s">
        <v>77</v>
      </c>
      <c r="B92" s="9">
        <v>33</v>
      </c>
      <c r="C92" s="9" t="s">
        <v>497</v>
      </c>
      <c r="D92" s="9" t="s">
        <v>24</v>
      </c>
      <c r="E92" s="9" t="s">
        <v>31</v>
      </c>
      <c r="F92" s="9" t="s">
        <v>26</v>
      </c>
      <c r="G92" s="9" t="s">
        <v>27</v>
      </c>
      <c r="H92" s="13"/>
      <c r="I92" s="13"/>
      <c r="J92" s="13"/>
    </row>
    <row r="93" spans="1:10" ht="12.75" x14ac:dyDescent="0.2">
      <c r="A93" s="52"/>
      <c r="B93" s="9">
        <v>33</v>
      </c>
      <c r="C93" s="9" t="s">
        <v>448</v>
      </c>
      <c r="D93" s="9" t="s">
        <v>24</v>
      </c>
      <c r="E93" s="9" t="s">
        <v>31</v>
      </c>
      <c r="F93" s="9" t="s">
        <v>26</v>
      </c>
      <c r="G93" s="9" t="s">
        <v>27</v>
      </c>
      <c r="H93" s="13"/>
      <c r="I93" s="13"/>
      <c r="J93" s="13"/>
    </row>
    <row r="94" spans="1:10" ht="12.75" x14ac:dyDescent="0.2">
      <c r="A94" s="52"/>
      <c r="B94" s="9">
        <v>33</v>
      </c>
      <c r="C94" s="9" t="s">
        <v>442</v>
      </c>
      <c r="D94" s="9" t="s">
        <v>24</v>
      </c>
      <c r="E94" s="9" t="s">
        <v>31</v>
      </c>
      <c r="F94" s="9" t="s">
        <v>26</v>
      </c>
      <c r="G94" s="9" t="s">
        <v>27</v>
      </c>
      <c r="H94" s="13"/>
      <c r="I94" s="13"/>
      <c r="J94" s="13"/>
    </row>
    <row r="95" spans="1:10" ht="12.75" x14ac:dyDescent="0.2">
      <c r="A95" s="52"/>
      <c r="B95" s="9">
        <v>33</v>
      </c>
      <c r="C95" s="9" t="s">
        <v>498</v>
      </c>
      <c r="D95" s="9" t="s">
        <v>24</v>
      </c>
      <c r="E95" s="9" t="s">
        <v>31</v>
      </c>
      <c r="F95" s="9" t="s">
        <v>26</v>
      </c>
      <c r="G95" s="9" t="s">
        <v>27</v>
      </c>
      <c r="H95" s="13"/>
      <c r="I95" s="13"/>
      <c r="J95" s="13"/>
    </row>
    <row r="96" spans="1:10" ht="12.75" x14ac:dyDescent="0.2">
      <c r="A96" s="52"/>
      <c r="B96" s="9">
        <v>33</v>
      </c>
      <c r="C96" s="9" t="s">
        <v>494</v>
      </c>
      <c r="D96" s="9" t="s">
        <v>24</v>
      </c>
      <c r="E96" s="9" t="s">
        <v>31</v>
      </c>
      <c r="F96" s="9" t="s">
        <v>26</v>
      </c>
      <c r="G96" s="9" t="s">
        <v>27</v>
      </c>
      <c r="H96" s="13"/>
      <c r="I96" s="13"/>
      <c r="J96" s="13"/>
    </row>
    <row r="97" spans="1:10" ht="12.75" x14ac:dyDescent="0.2">
      <c r="A97" s="52"/>
      <c r="B97" s="9">
        <v>33</v>
      </c>
      <c r="C97" s="9" t="s">
        <v>445</v>
      </c>
      <c r="D97" s="9" t="s">
        <v>24</v>
      </c>
      <c r="E97" s="9" t="s">
        <v>31</v>
      </c>
      <c r="F97" s="9" t="s">
        <v>26</v>
      </c>
      <c r="G97" s="9" t="s">
        <v>27</v>
      </c>
      <c r="H97" s="13"/>
      <c r="I97" s="13"/>
      <c r="J97" s="13"/>
    </row>
    <row r="98" spans="1:10" ht="12.75" x14ac:dyDescent="0.2">
      <c r="A98" s="52"/>
      <c r="B98" s="9">
        <v>33</v>
      </c>
      <c r="C98" s="9" t="s">
        <v>451</v>
      </c>
      <c r="D98" s="9" t="s">
        <v>24</v>
      </c>
      <c r="E98" s="9" t="s">
        <v>31</v>
      </c>
      <c r="F98" s="9" t="s">
        <v>26</v>
      </c>
      <c r="G98" s="9" t="s">
        <v>27</v>
      </c>
      <c r="H98" s="13"/>
      <c r="I98" s="13"/>
      <c r="J98" s="13"/>
    </row>
    <row r="99" spans="1:10" ht="12.75" x14ac:dyDescent="0.2">
      <c r="A99" s="53"/>
      <c r="B99" s="9">
        <v>33</v>
      </c>
      <c r="C99" s="9" t="s">
        <v>499</v>
      </c>
      <c r="D99" s="9" t="s">
        <v>24</v>
      </c>
      <c r="E99" s="9" t="s">
        <v>31</v>
      </c>
      <c r="F99" s="9" t="s">
        <v>26</v>
      </c>
      <c r="G99" s="9" t="s">
        <v>27</v>
      </c>
      <c r="H99" s="13"/>
      <c r="I99" s="13"/>
      <c r="J99" s="13"/>
    </row>
    <row r="100" spans="1:10" ht="12.75" x14ac:dyDescent="0.2">
      <c r="A100" s="48" t="s">
        <v>79</v>
      </c>
      <c r="B100" s="9">
        <v>33</v>
      </c>
      <c r="C100" s="9" t="s">
        <v>500</v>
      </c>
      <c r="D100" s="9" t="s">
        <v>24</v>
      </c>
      <c r="E100" s="9" t="s">
        <v>31</v>
      </c>
      <c r="F100" s="9" t="s">
        <v>26</v>
      </c>
      <c r="G100" s="9" t="s">
        <v>27</v>
      </c>
      <c r="H100" s="13"/>
      <c r="I100" s="13"/>
      <c r="J100" s="13"/>
    </row>
    <row r="101" spans="1:10" ht="12.75" x14ac:dyDescent="0.2">
      <c r="A101" s="52"/>
      <c r="B101" s="9">
        <v>33</v>
      </c>
      <c r="C101" s="9" t="s">
        <v>501</v>
      </c>
      <c r="D101" s="9" t="s">
        <v>24</v>
      </c>
      <c r="E101" s="9" t="s">
        <v>31</v>
      </c>
      <c r="F101" s="9" t="s">
        <v>26</v>
      </c>
      <c r="G101" s="9" t="s">
        <v>27</v>
      </c>
      <c r="H101" s="13"/>
      <c r="I101" s="13"/>
      <c r="J101" s="13"/>
    </row>
    <row r="102" spans="1:10" ht="12.75" x14ac:dyDescent="0.2">
      <c r="A102" s="52"/>
      <c r="B102" s="9">
        <v>33</v>
      </c>
      <c r="C102" s="9" t="s">
        <v>488</v>
      </c>
      <c r="D102" s="9" t="s">
        <v>24</v>
      </c>
      <c r="E102" s="9" t="s">
        <v>31</v>
      </c>
      <c r="F102" s="9" t="s">
        <v>26</v>
      </c>
      <c r="G102" s="9" t="s">
        <v>27</v>
      </c>
      <c r="H102" s="13"/>
      <c r="I102" s="13"/>
      <c r="J102" s="13"/>
    </row>
    <row r="103" spans="1:10" ht="12.75" x14ac:dyDescent="0.2">
      <c r="A103" s="52"/>
      <c r="B103" s="9">
        <v>33</v>
      </c>
      <c r="C103" s="9" t="s">
        <v>502</v>
      </c>
      <c r="D103" s="9" t="s">
        <v>24</v>
      </c>
      <c r="E103" s="9" t="s">
        <v>31</v>
      </c>
      <c r="F103" s="9" t="s">
        <v>26</v>
      </c>
      <c r="G103" s="9" t="s">
        <v>27</v>
      </c>
      <c r="H103" s="13"/>
      <c r="I103" s="13"/>
      <c r="J103" s="13"/>
    </row>
    <row r="104" spans="1:10" ht="12.75" x14ac:dyDescent="0.2">
      <c r="A104" s="52"/>
      <c r="B104" s="9">
        <v>33</v>
      </c>
      <c r="C104" s="9" t="s">
        <v>489</v>
      </c>
      <c r="D104" s="9" t="s">
        <v>24</v>
      </c>
      <c r="E104" s="9" t="s">
        <v>31</v>
      </c>
      <c r="F104" s="9" t="s">
        <v>26</v>
      </c>
      <c r="G104" s="9" t="s">
        <v>27</v>
      </c>
      <c r="H104" s="13"/>
      <c r="I104" s="13"/>
      <c r="J104" s="13"/>
    </row>
    <row r="105" spans="1:10" ht="12.75" x14ac:dyDescent="0.2">
      <c r="A105" s="52"/>
      <c r="B105" s="9">
        <v>33</v>
      </c>
      <c r="C105" s="9" t="s">
        <v>503</v>
      </c>
      <c r="D105" s="9" t="s">
        <v>24</v>
      </c>
      <c r="E105" s="9" t="s">
        <v>31</v>
      </c>
      <c r="F105" s="9" t="s">
        <v>26</v>
      </c>
      <c r="G105" s="9" t="s">
        <v>27</v>
      </c>
      <c r="H105" s="13"/>
      <c r="I105" s="13"/>
      <c r="J105" s="13"/>
    </row>
    <row r="106" spans="1:10" ht="12.75" x14ac:dyDescent="0.2">
      <c r="A106" s="52"/>
      <c r="B106" s="9">
        <v>33</v>
      </c>
      <c r="C106" s="9" t="s">
        <v>504</v>
      </c>
      <c r="D106" s="9" t="s">
        <v>24</v>
      </c>
      <c r="E106" s="9" t="s">
        <v>31</v>
      </c>
      <c r="F106" s="9" t="s">
        <v>26</v>
      </c>
      <c r="G106" s="9" t="s">
        <v>27</v>
      </c>
      <c r="H106" s="13"/>
      <c r="I106" s="13"/>
      <c r="J106" s="13"/>
    </row>
    <row r="107" spans="1:10" ht="12.75" x14ac:dyDescent="0.2">
      <c r="A107" s="52"/>
      <c r="B107" s="9">
        <v>33</v>
      </c>
      <c r="C107" s="9" t="s">
        <v>505</v>
      </c>
      <c r="D107" s="9" t="s">
        <v>24</v>
      </c>
      <c r="E107" s="9" t="s">
        <v>25</v>
      </c>
      <c r="F107" s="9" t="s">
        <v>47</v>
      </c>
      <c r="G107" s="9" t="s">
        <v>27</v>
      </c>
      <c r="H107" s="13"/>
      <c r="I107" s="13"/>
      <c r="J107" s="13"/>
    </row>
    <row r="108" spans="1:10" ht="12.75" x14ac:dyDescent="0.2">
      <c r="A108" s="53"/>
      <c r="B108" s="9">
        <v>33</v>
      </c>
      <c r="C108" s="9" t="s">
        <v>494</v>
      </c>
      <c r="D108" s="9" t="s">
        <v>24</v>
      </c>
      <c r="E108" s="9" t="s">
        <v>31</v>
      </c>
      <c r="F108" s="9" t="s">
        <v>26</v>
      </c>
      <c r="G108" s="9" t="s">
        <v>27</v>
      </c>
      <c r="H108" s="13"/>
      <c r="I108" s="13"/>
      <c r="J108" s="13"/>
    </row>
    <row r="109" spans="1:10" ht="12.75" x14ac:dyDescent="0.2">
      <c r="A109" s="48" t="s">
        <v>83</v>
      </c>
      <c r="B109" s="12">
        <v>33</v>
      </c>
      <c r="C109" s="12" t="s">
        <v>493</v>
      </c>
      <c r="D109" s="12" t="s">
        <v>24</v>
      </c>
      <c r="E109" s="12" t="s">
        <v>25</v>
      </c>
      <c r="F109" s="12" t="s">
        <v>26</v>
      </c>
      <c r="G109" s="9" t="s">
        <v>27</v>
      </c>
      <c r="H109" s="13"/>
      <c r="I109" s="13"/>
      <c r="J109" s="13"/>
    </row>
    <row r="110" spans="1:10" ht="12.75" x14ac:dyDescent="0.2">
      <c r="A110" s="52"/>
      <c r="B110" s="12">
        <v>33</v>
      </c>
      <c r="C110" s="12" t="s">
        <v>505</v>
      </c>
      <c r="D110" s="12" t="s">
        <v>24</v>
      </c>
      <c r="E110" s="12" t="s">
        <v>25</v>
      </c>
      <c r="F110" s="12" t="s">
        <v>26</v>
      </c>
      <c r="G110" s="9" t="s">
        <v>27</v>
      </c>
      <c r="H110" s="13"/>
      <c r="I110" s="13"/>
      <c r="J110" s="13"/>
    </row>
    <row r="111" spans="1:10" ht="12.75" x14ac:dyDescent="0.2">
      <c r="A111" s="52"/>
      <c r="B111" s="12">
        <v>33</v>
      </c>
      <c r="C111" s="12" t="s">
        <v>468</v>
      </c>
      <c r="D111" s="12" t="s">
        <v>24</v>
      </c>
      <c r="E111" s="12" t="s">
        <v>25</v>
      </c>
      <c r="F111" s="12" t="s">
        <v>26</v>
      </c>
      <c r="G111" s="9" t="s">
        <v>27</v>
      </c>
      <c r="H111" s="13"/>
      <c r="I111" s="13"/>
      <c r="J111" s="13"/>
    </row>
    <row r="112" spans="1:10" ht="12.75" x14ac:dyDescent="0.2">
      <c r="A112" s="52"/>
      <c r="B112" s="12">
        <v>33</v>
      </c>
      <c r="C112" s="12" t="s">
        <v>466</v>
      </c>
      <c r="D112" s="12" t="s">
        <v>24</v>
      </c>
      <c r="E112" s="12" t="s">
        <v>25</v>
      </c>
      <c r="F112" s="12" t="s">
        <v>26</v>
      </c>
      <c r="G112" s="9" t="s">
        <v>27</v>
      </c>
      <c r="H112" s="13"/>
      <c r="I112" s="13"/>
      <c r="J112" s="13"/>
    </row>
    <row r="113" spans="1:10" ht="12.75" x14ac:dyDescent="0.2">
      <c r="A113" s="52"/>
      <c r="B113" s="12">
        <v>33</v>
      </c>
      <c r="C113" s="12" t="s">
        <v>442</v>
      </c>
      <c r="D113" s="12" t="s">
        <v>24</v>
      </c>
      <c r="E113" s="12" t="s">
        <v>25</v>
      </c>
      <c r="F113" s="12" t="s">
        <v>26</v>
      </c>
      <c r="G113" s="9" t="s">
        <v>27</v>
      </c>
      <c r="H113" s="13"/>
      <c r="I113" s="13"/>
      <c r="J113" s="13"/>
    </row>
    <row r="114" spans="1:10" ht="12.75" x14ac:dyDescent="0.2">
      <c r="A114" s="52"/>
      <c r="B114" s="12">
        <v>33</v>
      </c>
      <c r="C114" s="12" t="s">
        <v>506</v>
      </c>
      <c r="D114" s="12" t="s">
        <v>24</v>
      </c>
      <c r="E114" s="12" t="s">
        <v>25</v>
      </c>
      <c r="F114" s="12" t="s">
        <v>26</v>
      </c>
      <c r="G114" s="9" t="s">
        <v>27</v>
      </c>
      <c r="H114" s="13"/>
      <c r="I114" s="13"/>
      <c r="J114" s="13"/>
    </row>
    <row r="115" spans="1:10" ht="12.75" x14ac:dyDescent="0.2">
      <c r="A115" s="52"/>
      <c r="B115" s="12">
        <v>33</v>
      </c>
      <c r="C115" s="12" t="s">
        <v>445</v>
      </c>
      <c r="D115" s="12" t="s">
        <v>24</v>
      </c>
      <c r="E115" s="12" t="s">
        <v>25</v>
      </c>
      <c r="F115" s="12" t="s">
        <v>26</v>
      </c>
      <c r="G115" s="9" t="s">
        <v>27</v>
      </c>
      <c r="H115" s="13"/>
      <c r="I115" s="13"/>
      <c r="J115" s="13"/>
    </row>
    <row r="116" spans="1:10" ht="12.75" x14ac:dyDescent="0.2">
      <c r="A116" s="53"/>
      <c r="B116" s="12">
        <v>33</v>
      </c>
      <c r="C116" s="12" t="s">
        <v>507</v>
      </c>
      <c r="D116" s="12" t="s">
        <v>24</v>
      </c>
      <c r="E116" s="12" t="s">
        <v>25</v>
      </c>
      <c r="F116" s="12" t="s">
        <v>26</v>
      </c>
      <c r="G116" s="9" t="s">
        <v>27</v>
      </c>
      <c r="H116" s="13"/>
      <c r="I116" s="13"/>
      <c r="J116" s="13"/>
    </row>
    <row r="117" spans="1:10" ht="12.75" x14ac:dyDescent="0.2">
      <c r="A117" s="48" t="s">
        <v>85</v>
      </c>
      <c r="B117" s="9">
        <v>33</v>
      </c>
      <c r="C117" s="9" t="s">
        <v>508</v>
      </c>
      <c r="D117" s="9" t="s">
        <v>24</v>
      </c>
      <c r="E117" s="9" t="s">
        <v>31</v>
      </c>
      <c r="F117" s="9" t="s">
        <v>26</v>
      </c>
      <c r="G117" s="9" t="s">
        <v>27</v>
      </c>
      <c r="H117" s="13"/>
      <c r="I117" s="13"/>
      <c r="J117" s="13"/>
    </row>
    <row r="118" spans="1:10" ht="12.75" x14ac:dyDescent="0.2">
      <c r="A118" s="52"/>
      <c r="B118" s="9">
        <v>33</v>
      </c>
      <c r="C118" s="9" t="s">
        <v>509</v>
      </c>
      <c r="D118" s="9" t="s">
        <v>30</v>
      </c>
      <c r="E118" s="9" t="s">
        <v>31</v>
      </c>
      <c r="F118" s="9" t="s">
        <v>26</v>
      </c>
      <c r="G118" s="9" t="s">
        <v>27</v>
      </c>
      <c r="H118" s="13"/>
      <c r="I118" s="13"/>
      <c r="J118" s="13"/>
    </row>
    <row r="119" spans="1:10" ht="12.75" x14ac:dyDescent="0.2">
      <c r="A119" s="52"/>
      <c r="B119" s="9">
        <v>33</v>
      </c>
      <c r="C119" s="9" t="s">
        <v>510</v>
      </c>
      <c r="D119" s="9" t="s">
        <v>24</v>
      </c>
      <c r="E119" s="9" t="s">
        <v>31</v>
      </c>
      <c r="F119" s="9" t="s">
        <v>26</v>
      </c>
      <c r="G119" s="9" t="s">
        <v>27</v>
      </c>
      <c r="H119" s="13"/>
      <c r="I119" s="13"/>
      <c r="J119" s="13"/>
    </row>
    <row r="120" spans="1:10" ht="12.75" x14ac:dyDescent="0.2">
      <c r="A120" s="53"/>
      <c r="B120" s="9">
        <v>33</v>
      </c>
      <c r="C120" s="9" t="s">
        <v>511</v>
      </c>
      <c r="D120" s="9" t="s">
        <v>24</v>
      </c>
      <c r="E120" s="9" t="s">
        <v>31</v>
      </c>
      <c r="F120" s="9" t="s">
        <v>26</v>
      </c>
      <c r="G120" s="9" t="s">
        <v>27</v>
      </c>
      <c r="H120" s="13"/>
      <c r="I120" s="13"/>
      <c r="J120" s="13"/>
    </row>
    <row r="121" spans="1:10" ht="12.75" x14ac:dyDescent="0.2">
      <c r="A121" s="13"/>
      <c r="B121" s="13"/>
      <c r="C121" s="13"/>
      <c r="D121" s="13"/>
      <c r="E121" s="13"/>
      <c r="F121" s="13"/>
      <c r="G121" s="13"/>
      <c r="H121" s="13"/>
      <c r="I121" s="13"/>
      <c r="J121" s="13"/>
    </row>
    <row r="122" spans="1:10" ht="12.75" x14ac:dyDescent="0.2">
      <c r="A122" s="13"/>
      <c r="B122" s="13"/>
      <c r="C122" s="13"/>
      <c r="D122" s="13"/>
      <c r="E122" s="13"/>
      <c r="F122" s="13"/>
      <c r="G122" s="13"/>
      <c r="H122" s="13"/>
      <c r="I122" s="13"/>
      <c r="J122" s="13"/>
    </row>
    <row r="123" spans="1:10" ht="12.75" x14ac:dyDescent="0.2">
      <c r="A123" s="13"/>
      <c r="B123" s="13"/>
      <c r="C123" s="13"/>
      <c r="D123" s="13"/>
      <c r="E123" s="13"/>
      <c r="F123" s="13"/>
      <c r="G123" s="13"/>
      <c r="H123" s="13"/>
      <c r="I123" s="13"/>
      <c r="J123" s="13"/>
    </row>
    <row r="124" spans="1:10" ht="12.75" x14ac:dyDescent="0.2">
      <c r="A124" s="13"/>
      <c r="B124" s="13"/>
      <c r="C124" s="13"/>
      <c r="D124" s="13"/>
      <c r="E124" s="13"/>
      <c r="F124" s="13"/>
      <c r="G124" s="13"/>
      <c r="H124" s="13"/>
      <c r="I124" s="13"/>
      <c r="J124" s="13"/>
    </row>
    <row r="125" spans="1:10" ht="12.75" x14ac:dyDescent="0.2">
      <c r="A125" s="13"/>
      <c r="B125" s="13"/>
      <c r="C125" s="13"/>
      <c r="D125" s="13"/>
      <c r="E125" s="13"/>
      <c r="F125" s="13"/>
      <c r="G125" s="13"/>
      <c r="H125" s="13"/>
      <c r="I125" s="13"/>
      <c r="J125" s="13"/>
    </row>
    <row r="126" spans="1:10" ht="12.75" x14ac:dyDescent="0.2">
      <c r="A126" s="13"/>
      <c r="B126" s="13"/>
      <c r="C126" s="13"/>
      <c r="D126" s="13"/>
      <c r="E126" s="13"/>
      <c r="F126" s="13"/>
      <c r="G126" s="13"/>
      <c r="H126" s="13"/>
      <c r="I126" s="13"/>
      <c r="J126" s="13"/>
    </row>
    <row r="127" spans="1:10" ht="12.75" x14ac:dyDescent="0.2">
      <c r="A127" s="13"/>
      <c r="B127" s="13"/>
      <c r="C127" s="13"/>
      <c r="D127" s="13"/>
      <c r="E127" s="13"/>
      <c r="F127" s="13"/>
      <c r="G127" s="13"/>
      <c r="H127" s="13"/>
      <c r="I127" s="13"/>
      <c r="J127" s="13"/>
    </row>
    <row r="128" spans="1:10" ht="12.75" x14ac:dyDescent="0.2">
      <c r="A128" s="13"/>
      <c r="B128" s="13"/>
      <c r="C128" s="13"/>
      <c r="D128" s="13"/>
      <c r="E128" s="13"/>
      <c r="F128" s="13"/>
      <c r="G128" s="13"/>
      <c r="H128" s="13"/>
      <c r="I128" s="13"/>
      <c r="J128" s="13"/>
    </row>
  </sheetData>
  <mergeCells count="18">
    <mergeCell ref="A117:A120"/>
    <mergeCell ref="A53:A55"/>
    <mergeCell ref="A56:A62"/>
    <mergeCell ref="A63:A66"/>
    <mergeCell ref="A67:A70"/>
    <mergeCell ref="A71:A76"/>
    <mergeCell ref="A77:A84"/>
    <mergeCell ref="A85:A91"/>
    <mergeCell ref="A31:A44"/>
    <mergeCell ref="A45:A52"/>
    <mergeCell ref="A92:A99"/>
    <mergeCell ref="A100:A108"/>
    <mergeCell ref="A109:A116"/>
    <mergeCell ref="A1:G1"/>
    <mergeCell ref="A9:A11"/>
    <mergeCell ref="A12:A16"/>
    <mergeCell ref="A17:A22"/>
    <mergeCell ref="A23:A30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M122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13" ht="15.75" customHeight="1" x14ac:dyDescent="0.25">
      <c r="A1" s="54" t="s">
        <v>0</v>
      </c>
      <c r="B1" s="55"/>
      <c r="C1" s="55"/>
      <c r="D1" s="55"/>
      <c r="E1" s="55"/>
      <c r="F1" s="55"/>
      <c r="G1" s="56"/>
    </row>
    <row r="2" spans="1:13" x14ac:dyDescent="0.2">
      <c r="A2" s="1"/>
      <c r="B2" s="2"/>
      <c r="C2" s="2"/>
      <c r="D2" s="2"/>
      <c r="E2" s="2"/>
      <c r="F2" s="2"/>
      <c r="G2" s="2"/>
    </row>
    <row r="3" spans="1:13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13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13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13" x14ac:dyDescent="0.2">
      <c r="A6" s="1"/>
      <c r="B6" s="2"/>
      <c r="C6" s="2"/>
      <c r="D6" s="2"/>
      <c r="E6" s="2"/>
      <c r="F6" s="2"/>
      <c r="G6" s="2"/>
    </row>
    <row r="7" spans="1:13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13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13" x14ac:dyDescent="0.2">
      <c r="A9" s="48" t="s">
        <v>20</v>
      </c>
      <c r="B9" s="9">
        <v>34</v>
      </c>
      <c r="C9" s="9" t="s">
        <v>512</v>
      </c>
      <c r="D9" s="9" t="s">
        <v>24</v>
      </c>
      <c r="E9" s="9" t="s">
        <v>31</v>
      </c>
      <c r="F9" s="9" t="s">
        <v>87</v>
      </c>
      <c r="G9" s="10"/>
      <c r="H9" s="11"/>
      <c r="I9" s="11"/>
      <c r="J9" s="11"/>
      <c r="K9" s="11"/>
      <c r="L9" s="11"/>
      <c r="M9" s="11"/>
    </row>
    <row r="10" spans="1:13" x14ac:dyDescent="0.2">
      <c r="A10" s="52"/>
      <c r="B10" s="9">
        <v>34</v>
      </c>
      <c r="C10" s="9" t="s">
        <v>513</v>
      </c>
      <c r="D10" s="9" t="s">
        <v>24</v>
      </c>
      <c r="E10" s="9" t="s">
        <v>31</v>
      </c>
      <c r="F10" s="9" t="s">
        <v>87</v>
      </c>
      <c r="G10" s="10"/>
      <c r="H10" s="11"/>
      <c r="I10" s="11"/>
      <c r="J10" s="11"/>
      <c r="K10" s="11"/>
      <c r="L10" s="11"/>
      <c r="M10" s="11"/>
    </row>
    <row r="11" spans="1:13" x14ac:dyDescent="0.2">
      <c r="A11" s="52"/>
      <c r="B11" s="9">
        <v>34</v>
      </c>
      <c r="C11" s="9" t="s">
        <v>514</v>
      </c>
      <c r="D11" s="9" t="s">
        <v>24</v>
      </c>
      <c r="E11" s="9" t="s">
        <v>31</v>
      </c>
      <c r="F11" s="9" t="s">
        <v>87</v>
      </c>
      <c r="G11" s="10"/>
      <c r="H11" s="11"/>
      <c r="I11" s="11"/>
      <c r="J11" s="11"/>
      <c r="K11" s="11"/>
      <c r="L11" s="11"/>
      <c r="M11" s="11"/>
    </row>
    <row r="12" spans="1:13" x14ac:dyDescent="0.2">
      <c r="A12" s="52"/>
      <c r="B12" s="9">
        <v>34</v>
      </c>
      <c r="C12" s="9" t="s">
        <v>515</v>
      </c>
      <c r="D12" s="9" t="s">
        <v>24</v>
      </c>
      <c r="E12" s="9" t="s">
        <v>31</v>
      </c>
      <c r="F12" s="9" t="s">
        <v>87</v>
      </c>
      <c r="G12" s="10"/>
      <c r="H12" s="11"/>
      <c r="I12" s="11"/>
      <c r="J12" s="11"/>
      <c r="K12" s="11"/>
      <c r="L12" s="11"/>
      <c r="M12" s="11"/>
    </row>
    <row r="13" spans="1:13" x14ac:dyDescent="0.2">
      <c r="A13" s="52"/>
      <c r="B13" s="9">
        <v>34</v>
      </c>
      <c r="C13" s="9" t="s">
        <v>516</v>
      </c>
      <c r="D13" s="9" t="s">
        <v>24</v>
      </c>
      <c r="E13" s="9" t="s">
        <v>31</v>
      </c>
      <c r="F13" s="9" t="s">
        <v>87</v>
      </c>
      <c r="G13" s="10"/>
      <c r="H13" s="11"/>
      <c r="I13" s="11"/>
      <c r="J13" s="11"/>
      <c r="K13" s="11"/>
      <c r="L13" s="11"/>
      <c r="M13" s="11"/>
    </row>
    <row r="14" spans="1:13" x14ac:dyDescent="0.2">
      <c r="A14" s="53"/>
      <c r="B14" s="9">
        <v>34</v>
      </c>
      <c r="C14" s="9" t="s">
        <v>517</v>
      </c>
      <c r="D14" s="9" t="s">
        <v>24</v>
      </c>
      <c r="E14" s="9" t="s">
        <v>256</v>
      </c>
      <c r="F14" s="9" t="s">
        <v>87</v>
      </c>
      <c r="G14" s="10"/>
      <c r="H14" s="11"/>
      <c r="I14" s="11"/>
      <c r="J14" s="11"/>
      <c r="K14" s="11"/>
      <c r="L14" s="11"/>
      <c r="M14" s="11"/>
    </row>
    <row r="15" spans="1:13" x14ac:dyDescent="0.2">
      <c r="A15" s="48" t="s">
        <v>22</v>
      </c>
      <c r="B15" s="9">
        <v>34</v>
      </c>
      <c r="C15" s="9" t="s">
        <v>518</v>
      </c>
      <c r="D15" s="9" t="s">
        <v>24</v>
      </c>
      <c r="E15" s="9" t="s">
        <v>25</v>
      </c>
      <c r="F15" s="9" t="s">
        <v>47</v>
      </c>
      <c r="G15" s="10"/>
      <c r="H15" s="11"/>
      <c r="I15" s="11"/>
      <c r="J15" s="11"/>
      <c r="K15" s="11"/>
      <c r="L15" s="11"/>
      <c r="M15" s="11"/>
    </row>
    <row r="16" spans="1:13" x14ac:dyDescent="0.2">
      <c r="A16" s="52"/>
      <c r="B16" s="9">
        <v>34</v>
      </c>
      <c r="C16" s="9" t="s">
        <v>519</v>
      </c>
      <c r="D16" s="9" t="s">
        <v>24</v>
      </c>
      <c r="E16" s="9" t="s">
        <v>25</v>
      </c>
      <c r="F16" s="9" t="s">
        <v>47</v>
      </c>
      <c r="G16" s="10"/>
      <c r="H16" s="11"/>
      <c r="I16" s="11"/>
      <c r="J16" s="11"/>
      <c r="K16" s="11"/>
      <c r="L16" s="11"/>
      <c r="M16" s="11"/>
    </row>
    <row r="17" spans="1:13" x14ac:dyDescent="0.2">
      <c r="A17" s="52"/>
      <c r="B17" s="9">
        <v>34</v>
      </c>
      <c r="C17" s="9" t="s">
        <v>520</v>
      </c>
      <c r="D17" s="9" t="s">
        <v>30</v>
      </c>
      <c r="E17" s="9" t="s">
        <v>25</v>
      </c>
      <c r="F17" s="9" t="s">
        <v>47</v>
      </c>
      <c r="G17" s="10"/>
      <c r="H17" s="11"/>
      <c r="I17" s="11"/>
      <c r="J17" s="11"/>
      <c r="K17" s="11"/>
      <c r="L17" s="11"/>
      <c r="M17" s="11"/>
    </row>
    <row r="18" spans="1:13" x14ac:dyDescent="0.2">
      <c r="A18" s="53"/>
      <c r="B18" s="9">
        <v>34</v>
      </c>
      <c r="C18" s="9" t="s">
        <v>521</v>
      </c>
      <c r="D18" s="9" t="s">
        <v>24</v>
      </c>
      <c r="E18" s="9" t="s">
        <v>25</v>
      </c>
      <c r="F18" s="9" t="s">
        <v>47</v>
      </c>
      <c r="G18" s="10"/>
      <c r="H18" s="11"/>
      <c r="I18" s="11"/>
      <c r="J18" s="11"/>
      <c r="K18" s="11"/>
      <c r="L18" s="11"/>
      <c r="M18" s="11"/>
    </row>
    <row r="19" spans="1:13" x14ac:dyDescent="0.2">
      <c r="A19" s="48" t="s">
        <v>28</v>
      </c>
      <c r="B19" s="9">
        <v>34</v>
      </c>
      <c r="C19" s="9" t="s">
        <v>522</v>
      </c>
      <c r="D19" s="9" t="s">
        <v>24</v>
      </c>
      <c r="E19" s="9" t="s">
        <v>31</v>
      </c>
      <c r="F19" s="9" t="s">
        <v>47</v>
      </c>
      <c r="G19" s="10"/>
      <c r="H19" s="11"/>
      <c r="I19" s="11"/>
      <c r="J19" s="11"/>
      <c r="K19" s="11"/>
      <c r="L19" s="11"/>
      <c r="M19" s="11"/>
    </row>
    <row r="20" spans="1:13" x14ac:dyDescent="0.2">
      <c r="A20" s="52"/>
      <c r="B20" s="9">
        <v>34</v>
      </c>
      <c r="C20" s="9" t="s">
        <v>523</v>
      </c>
      <c r="D20" s="9" t="s">
        <v>24</v>
      </c>
      <c r="E20" s="9" t="s">
        <v>31</v>
      </c>
      <c r="F20" s="9" t="s">
        <v>47</v>
      </c>
      <c r="G20" s="10"/>
      <c r="H20" s="11"/>
      <c r="I20" s="11"/>
      <c r="J20" s="11"/>
      <c r="K20" s="11"/>
      <c r="L20" s="11"/>
      <c r="M20" s="11"/>
    </row>
    <row r="21" spans="1:13" x14ac:dyDescent="0.2">
      <c r="A21" s="52"/>
      <c r="B21" s="9">
        <v>34</v>
      </c>
      <c r="C21" s="9" t="s">
        <v>524</v>
      </c>
      <c r="D21" s="9" t="s">
        <v>24</v>
      </c>
      <c r="E21" s="9" t="s">
        <v>31</v>
      </c>
      <c r="F21" s="9" t="s">
        <v>47</v>
      </c>
      <c r="G21" s="10"/>
      <c r="H21" s="11"/>
      <c r="I21" s="11"/>
      <c r="J21" s="11"/>
      <c r="K21" s="11"/>
      <c r="L21" s="11"/>
      <c r="M21" s="11"/>
    </row>
    <row r="22" spans="1:13" x14ac:dyDescent="0.2">
      <c r="A22" s="50"/>
      <c r="B22" s="9">
        <v>34</v>
      </c>
      <c r="C22" s="9" t="s">
        <v>525</v>
      </c>
      <c r="D22" s="9" t="s">
        <v>24</v>
      </c>
      <c r="E22" s="9" t="s">
        <v>31</v>
      </c>
      <c r="F22" s="9" t="s">
        <v>47</v>
      </c>
      <c r="G22" s="10"/>
      <c r="H22" s="11"/>
      <c r="I22" s="11"/>
      <c r="J22" s="11"/>
      <c r="K22" s="11"/>
      <c r="L22" s="11"/>
      <c r="M22" s="11"/>
    </row>
    <row r="23" spans="1:13" x14ac:dyDescent="0.2">
      <c r="A23" s="57"/>
      <c r="B23" s="9">
        <v>34</v>
      </c>
      <c r="C23" s="9" t="s">
        <v>526</v>
      </c>
      <c r="D23" s="9" t="s">
        <v>24</v>
      </c>
      <c r="E23" s="9" t="s">
        <v>31</v>
      </c>
      <c r="F23" s="9" t="s">
        <v>26</v>
      </c>
      <c r="G23" s="10"/>
      <c r="H23" s="11"/>
      <c r="I23" s="11"/>
      <c r="J23" s="11"/>
      <c r="K23" s="11"/>
      <c r="L23" s="11"/>
      <c r="M23" s="11"/>
    </row>
    <row r="24" spans="1:13" x14ac:dyDescent="0.2">
      <c r="A24" s="48" t="s">
        <v>33</v>
      </c>
      <c r="B24" s="9">
        <v>34</v>
      </c>
      <c r="C24" s="9" t="s">
        <v>527</v>
      </c>
      <c r="D24" s="9" t="s">
        <v>24</v>
      </c>
      <c r="E24" s="9" t="s">
        <v>31</v>
      </c>
      <c r="F24" s="9" t="s">
        <v>26</v>
      </c>
      <c r="G24" s="10"/>
      <c r="H24" s="11"/>
      <c r="I24" s="11"/>
      <c r="J24" s="11"/>
      <c r="K24" s="11"/>
      <c r="L24" s="11"/>
      <c r="M24" s="11"/>
    </row>
    <row r="25" spans="1:13" x14ac:dyDescent="0.2">
      <c r="A25" s="51"/>
      <c r="B25" s="9">
        <v>34</v>
      </c>
      <c r="C25" s="9" t="s">
        <v>528</v>
      </c>
      <c r="D25" s="9" t="s">
        <v>24</v>
      </c>
      <c r="E25" s="9" t="s">
        <v>31</v>
      </c>
      <c r="F25" s="9" t="s">
        <v>26</v>
      </c>
      <c r="G25" s="10"/>
      <c r="H25" s="11"/>
      <c r="I25" s="11"/>
      <c r="J25" s="11"/>
      <c r="K25" s="11"/>
      <c r="L25" s="11"/>
      <c r="M25" s="11"/>
    </row>
    <row r="26" spans="1:13" x14ac:dyDescent="0.2">
      <c r="A26" s="50"/>
      <c r="B26" s="9">
        <v>34</v>
      </c>
      <c r="C26" s="9" t="s">
        <v>529</v>
      </c>
      <c r="D26" s="9" t="s">
        <v>24</v>
      </c>
      <c r="E26" s="9" t="s">
        <v>31</v>
      </c>
      <c r="F26" s="9" t="s">
        <v>26</v>
      </c>
      <c r="G26" s="10"/>
      <c r="H26" s="11"/>
      <c r="I26" s="11"/>
      <c r="J26" s="11"/>
      <c r="K26" s="11"/>
      <c r="L26" s="11"/>
      <c r="M26" s="11"/>
    </row>
    <row r="27" spans="1:13" x14ac:dyDescent="0.2">
      <c r="A27" s="51"/>
      <c r="B27" s="9">
        <v>34</v>
      </c>
      <c r="C27" s="9" t="s">
        <v>530</v>
      </c>
      <c r="D27" s="9" t="s">
        <v>24</v>
      </c>
      <c r="E27" s="9" t="s">
        <v>31</v>
      </c>
      <c r="F27" s="9" t="s">
        <v>26</v>
      </c>
      <c r="G27" s="10"/>
      <c r="H27" s="11"/>
      <c r="I27" s="11"/>
      <c r="J27" s="11"/>
      <c r="K27" s="11"/>
      <c r="L27" s="11"/>
      <c r="M27" s="11"/>
    </row>
    <row r="28" spans="1:13" x14ac:dyDescent="0.2">
      <c r="A28" s="50"/>
      <c r="B28" s="9">
        <v>34</v>
      </c>
      <c r="C28" s="9" t="s">
        <v>531</v>
      </c>
      <c r="D28" s="9" t="s">
        <v>24</v>
      </c>
      <c r="E28" s="9" t="s">
        <v>31</v>
      </c>
      <c r="F28" s="9" t="s">
        <v>26</v>
      </c>
      <c r="G28" s="10"/>
      <c r="H28" s="11"/>
      <c r="I28" s="11"/>
      <c r="J28" s="11"/>
      <c r="K28" s="11"/>
      <c r="L28" s="11"/>
      <c r="M28" s="11"/>
    </row>
    <row r="29" spans="1:13" x14ac:dyDescent="0.2">
      <c r="A29" s="51"/>
      <c r="B29" s="9">
        <v>34</v>
      </c>
      <c r="C29" s="9" t="s">
        <v>523</v>
      </c>
      <c r="D29" s="9" t="s">
        <v>24</v>
      </c>
      <c r="E29" s="9" t="s">
        <v>31</v>
      </c>
      <c r="F29" s="9" t="s">
        <v>26</v>
      </c>
      <c r="G29" s="10"/>
      <c r="H29" s="11"/>
      <c r="I29" s="11"/>
      <c r="J29" s="11"/>
      <c r="K29" s="11"/>
      <c r="L29" s="11"/>
      <c r="M29" s="11"/>
    </row>
    <row r="30" spans="1:13" x14ac:dyDescent="0.2">
      <c r="A30" s="50"/>
      <c r="B30" s="9">
        <v>34</v>
      </c>
      <c r="C30" s="9" t="s">
        <v>532</v>
      </c>
      <c r="D30" s="9" t="s">
        <v>24</v>
      </c>
      <c r="E30" s="9" t="s">
        <v>31</v>
      </c>
      <c r="F30" s="9" t="s">
        <v>26</v>
      </c>
      <c r="G30" s="10"/>
      <c r="H30" s="11"/>
      <c r="I30" s="11"/>
      <c r="J30" s="11"/>
      <c r="K30" s="11"/>
      <c r="L30" s="11"/>
      <c r="M30" s="11"/>
    </row>
    <row r="31" spans="1:13" x14ac:dyDescent="0.2">
      <c r="A31" s="51"/>
      <c r="B31" s="9">
        <v>34</v>
      </c>
      <c r="C31" s="9" t="s">
        <v>533</v>
      </c>
      <c r="D31" s="9" t="s">
        <v>24</v>
      </c>
      <c r="E31" s="9" t="s">
        <v>31</v>
      </c>
      <c r="F31" s="9" t="s">
        <v>26</v>
      </c>
      <c r="G31" s="10"/>
      <c r="H31" s="11"/>
      <c r="I31" s="11"/>
      <c r="J31" s="11"/>
      <c r="K31" s="11"/>
      <c r="L31" s="11"/>
      <c r="M31" s="11"/>
    </row>
    <row r="32" spans="1:13" x14ac:dyDescent="0.2">
      <c r="A32" s="50"/>
      <c r="B32" s="9">
        <v>34</v>
      </c>
      <c r="C32" s="9" t="s">
        <v>482</v>
      </c>
      <c r="D32" s="9" t="s">
        <v>24</v>
      </c>
      <c r="E32" s="9" t="s">
        <v>31</v>
      </c>
      <c r="F32" s="9" t="s">
        <v>26</v>
      </c>
      <c r="G32" s="10"/>
      <c r="H32" s="11"/>
      <c r="I32" s="11"/>
      <c r="J32" s="11"/>
      <c r="K32" s="11"/>
      <c r="L32" s="11"/>
      <c r="M32" s="11"/>
    </row>
    <row r="33" spans="1:13" x14ac:dyDescent="0.2">
      <c r="A33" s="57"/>
      <c r="B33" s="9">
        <v>34</v>
      </c>
      <c r="C33" s="9" t="s">
        <v>447</v>
      </c>
      <c r="D33" s="9" t="s">
        <v>24</v>
      </c>
      <c r="E33" s="9" t="s">
        <v>31</v>
      </c>
      <c r="F33" s="9" t="s">
        <v>26</v>
      </c>
      <c r="G33" s="10"/>
      <c r="H33" s="11"/>
      <c r="I33" s="11"/>
      <c r="J33" s="11"/>
      <c r="K33" s="11"/>
      <c r="L33" s="11"/>
      <c r="M33" s="11"/>
    </row>
    <row r="34" spans="1:13" x14ac:dyDescent="0.2">
      <c r="A34" s="48" t="s">
        <v>38</v>
      </c>
      <c r="B34" s="9">
        <v>34</v>
      </c>
      <c r="C34" s="9" t="s">
        <v>534</v>
      </c>
      <c r="D34" s="9" t="s">
        <v>24</v>
      </c>
      <c r="E34" s="9" t="s">
        <v>25</v>
      </c>
      <c r="F34" s="9" t="s">
        <v>26</v>
      </c>
      <c r="G34" s="10"/>
      <c r="H34" s="11"/>
      <c r="I34" s="11"/>
      <c r="J34" s="11"/>
      <c r="K34" s="11"/>
      <c r="L34" s="11"/>
      <c r="M34" s="11"/>
    </row>
    <row r="35" spans="1:13" x14ac:dyDescent="0.2">
      <c r="A35" s="51"/>
      <c r="B35" s="9">
        <v>34</v>
      </c>
      <c r="C35" s="9" t="s">
        <v>535</v>
      </c>
      <c r="D35" s="9" t="s">
        <v>24</v>
      </c>
      <c r="E35" s="9" t="s">
        <v>25</v>
      </c>
      <c r="F35" s="9" t="s">
        <v>26</v>
      </c>
      <c r="G35" s="10"/>
      <c r="H35" s="11"/>
      <c r="I35" s="11"/>
      <c r="J35" s="11"/>
      <c r="K35" s="11"/>
      <c r="L35" s="11"/>
      <c r="M35" s="11"/>
    </row>
    <row r="36" spans="1:13" x14ac:dyDescent="0.2">
      <c r="A36" s="50"/>
      <c r="B36" s="9">
        <v>34</v>
      </c>
      <c r="C36" s="9" t="s">
        <v>518</v>
      </c>
      <c r="D36" s="9" t="s">
        <v>24</v>
      </c>
      <c r="E36" s="9" t="s">
        <v>25</v>
      </c>
      <c r="F36" s="9" t="s">
        <v>26</v>
      </c>
      <c r="G36" s="10"/>
      <c r="H36" s="11"/>
      <c r="I36" s="11"/>
      <c r="J36" s="11"/>
      <c r="K36" s="11"/>
      <c r="L36" s="11"/>
      <c r="M36" s="11"/>
    </row>
    <row r="37" spans="1:13" ht="12.75" x14ac:dyDescent="0.2">
      <c r="A37" s="51"/>
      <c r="B37" s="9">
        <v>34</v>
      </c>
      <c r="C37" s="9" t="s">
        <v>536</v>
      </c>
      <c r="D37" s="9" t="s">
        <v>24</v>
      </c>
      <c r="E37" s="9" t="s">
        <v>25</v>
      </c>
      <c r="F37" s="9" t="s">
        <v>26</v>
      </c>
      <c r="G37" s="10"/>
      <c r="H37" s="11"/>
      <c r="I37" s="11"/>
      <c r="J37" s="11"/>
      <c r="K37" s="11"/>
      <c r="L37" s="11"/>
      <c r="M37" s="11"/>
    </row>
    <row r="38" spans="1:13" ht="12.75" x14ac:dyDescent="0.2">
      <c r="A38" s="50"/>
      <c r="B38" s="9">
        <v>34</v>
      </c>
      <c r="C38" s="9" t="s">
        <v>537</v>
      </c>
      <c r="D38" s="9" t="s">
        <v>24</v>
      </c>
      <c r="E38" s="9" t="s">
        <v>25</v>
      </c>
      <c r="F38" s="9" t="s">
        <v>47</v>
      </c>
      <c r="G38" s="10"/>
      <c r="H38" s="11"/>
      <c r="I38" s="11"/>
      <c r="J38" s="11"/>
      <c r="K38" s="11"/>
      <c r="L38" s="11"/>
      <c r="M38" s="11"/>
    </row>
    <row r="39" spans="1:13" ht="12.75" x14ac:dyDescent="0.2">
      <c r="A39" s="52"/>
      <c r="B39" s="9">
        <v>34</v>
      </c>
      <c r="C39" s="9" t="s">
        <v>538</v>
      </c>
      <c r="D39" s="9" t="s">
        <v>24</v>
      </c>
      <c r="E39" s="9" t="s">
        <v>25</v>
      </c>
      <c r="F39" s="9" t="s">
        <v>47</v>
      </c>
      <c r="G39" s="10"/>
      <c r="H39" s="11"/>
      <c r="I39" s="11"/>
      <c r="J39" s="11"/>
      <c r="K39" s="11"/>
      <c r="L39" s="11"/>
      <c r="M39" s="11"/>
    </row>
    <row r="40" spans="1:13" ht="12.75" x14ac:dyDescent="0.2">
      <c r="A40" s="52"/>
      <c r="B40" s="9">
        <v>34</v>
      </c>
      <c r="C40" s="9" t="s">
        <v>539</v>
      </c>
      <c r="D40" s="9" t="s">
        <v>24</v>
      </c>
      <c r="E40" s="9" t="s">
        <v>25</v>
      </c>
      <c r="F40" s="9" t="s">
        <v>26</v>
      </c>
      <c r="G40" s="10"/>
      <c r="H40" s="11"/>
      <c r="I40" s="11"/>
      <c r="J40" s="11"/>
      <c r="K40" s="11"/>
      <c r="L40" s="11"/>
      <c r="M40" s="11"/>
    </row>
    <row r="41" spans="1:13" ht="12.75" x14ac:dyDescent="0.2">
      <c r="A41" s="52"/>
      <c r="B41" s="9">
        <v>34</v>
      </c>
      <c r="C41" s="9" t="s">
        <v>540</v>
      </c>
      <c r="D41" s="9" t="s">
        <v>24</v>
      </c>
      <c r="E41" s="9" t="s">
        <v>25</v>
      </c>
      <c r="F41" s="9" t="s">
        <v>26</v>
      </c>
      <c r="G41" s="10"/>
      <c r="H41" s="11"/>
      <c r="I41" s="11"/>
      <c r="J41" s="11"/>
      <c r="K41" s="11"/>
      <c r="L41" s="11"/>
      <c r="M41" s="11"/>
    </row>
    <row r="42" spans="1:13" ht="12.75" x14ac:dyDescent="0.2">
      <c r="A42" s="52"/>
      <c r="B42" s="9">
        <v>34</v>
      </c>
      <c r="C42" s="9" t="s">
        <v>541</v>
      </c>
      <c r="D42" s="9" t="s">
        <v>24</v>
      </c>
      <c r="E42" s="9" t="s">
        <v>25</v>
      </c>
      <c r="F42" s="9" t="s">
        <v>26</v>
      </c>
      <c r="G42" s="10"/>
      <c r="H42" s="11"/>
      <c r="I42" s="11"/>
      <c r="J42" s="11"/>
      <c r="K42" s="11"/>
      <c r="L42" s="11"/>
      <c r="M42" s="11"/>
    </row>
    <row r="43" spans="1:13" ht="12.75" x14ac:dyDescent="0.2">
      <c r="A43" s="53"/>
      <c r="B43" s="9">
        <v>34</v>
      </c>
      <c r="C43" s="9" t="s">
        <v>542</v>
      </c>
      <c r="D43" s="9" t="s">
        <v>30</v>
      </c>
      <c r="E43" s="9" t="s">
        <v>25</v>
      </c>
      <c r="F43" s="9" t="s">
        <v>26</v>
      </c>
      <c r="G43" s="10"/>
      <c r="H43" s="11"/>
      <c r="I43" s="11"/>
      <c r="J43" s="11"/>
      <c r="K43" s="11"/>
      <c r="L43" s="11"/>
      <c r="M43" s="11"/>
    </row>
    <row r="44" spans="1:13" ht="12.75" x14ac:dyDescent="0.2">
      <c r="A44" s="48" t="s">
        <v>46</v>
      </c>
      <c r="B44" s="9">
        <v>34</v>
      </c>
      <c r="C44" s="9" t="s">
        <v>530</v>
      </c>
      <c r="D44" s="9" t="s">
        <v>24</v>
      </c>
      <c r="E44" s="9" t="s">
        <v>31</v>
      </c>
      <c r="F44" s="9" t="s">
        <v>47</v>
      </c>
      <c r="G44" s="10"/>
      <c r="H44" s="11"/>
      <c r="I44" s="11"/>
      <c r="J44" s="11"/>
      <c r="K44" s="11"/>
      <c r="L44" s="11"/>
      <c r="M44" s="11"/>
    </row>
    <row r="45" spans="1:13" ht="12.75" x14ac:dyDescent="0.2">
      <c r="A45" s="52"/>
      <c r="B45" s="9">
        <v>34</v>
      </c>
      <c r="C45" s="9" t="s">
        <v>494</v>
      </c>
      <c r="D45" s="9" t="s">
        <v>24</v>
      </c>
      <c r="E45" s="9" t="s">
        <v>31</v>
      </c>
      <c r="F45" s="9" t="s">
        <v>47</v>
      </c>
      <c r="G45" s="10"/>
      <c r="H45" s="11"/>
      <c r="I45" s="11"/>
      <c r="J45" s="11"/>
      <c r="K45" s="11"/>
      <c r="L45" s="11"/>
      <c r="M45" s="11"/>
    </row>
    <row r="46" spans="1:13" ht="12.75" x14ac:dyDescent="0.2">
      <c r="A46" s="52"/>
      <c r="B46" s="9">
        <v>34</v>
      </c>
      <c r="C46" s="9" t="s">
        <v>543</v>
      </c>
      <c r="D46" s="9" t="s">
        <v>24</v>
      </c>
      <c r="E46" s="9" t="s">
        <v>31</v>
      </c>
      <c r="F46" s="9" t="s">
        <v>87</v>
      </c>
      <c r="G46" s="10"/>
      <c r="H46" s="11"/>
      <c r="I46" s="11"/>
      <c r="J46" s="11"/>
      <c r="K46" s="11"/>
      <c r="L46" s="11"/>
      <c r="M46" s="11"/>
    </row>
    <row r="47" spans="1:13" ht="12.75" x14ac:dyDescent="0.2">
      <c r="A47" s="52"/>
      <c r="B47" s="9">
        <v>34</v>
      </c>
      <c r="C47" s="9" t="s">
        <v>532</v>
      </c>
      <c r="D47" s="9" t="s">
        <v>24</v>
      </c>
      <c r="E47" s="9" t="s">
        <v>31</v>
      </c>
      <c r="F47" s="9" t="s">
        <v>87</v>
      </c>
      <c r="G47" s="10"/>
      <c r="H47" s="11"/>
      <c r="I47" s="11"/>
      <c r="J47" s="11"/>
      <c r="K47" s="11"/>
      <c r="L47" s="11"/>
      <c r="M47" s="11"/>
    </row>
    <row r="48" spans="1:13" ht="12.75" x14ac:dyDescent="0.2">
      <c r="A48" s="53"/>
      <c r="B48" s="9">
        <v>34</v>
      </c>
      <c r="C48" s="9" t="s">
        <v>544</v>
      </c>
      <c r="D48" s="9" t="s">
        <v>24</v>
      </c>
      <c r="E48" s="9" t="s">
        <v>31</v>
      </c>
      <c r="F48" s="9" t="s">
        <v>87</v>
      </c>
      <c r="G48" s="10"/>
      <c r="H48" s="11"/>
      <c r="I48" s="11"/>
      <c r="J48" s="11"/>
      <c r="K48" s="11"/>
      <c r="L48" s="11"/>
      <c r="M48" s="11"/>
    </row>
    <row r="49" spans="1:13" ht="12.75" x14ac:dyDescent="0.2">
      <c r="A49" s="48" t="s">
        <v>49</v>
      </c>
      <c r="B49" s="9">
        <v>34</v>
      </c>
      <c r="C49" s="9" t="s">
        <v>545</v>
      </c>
      <c r="D49" s="9" t="s">
        <v>24</v>
      </c>
      <c r="E49" s="9" t="s">
        <v>31</v>
      </c>
      <c r="F49" s="9" t="s">
        <v>47</v>
      </c>
      <c r="G49" s="10"/>
      <c r="H49" s="11"/>
      <c r="I49" s="11"/>
      <c r="J49" s="11"/>
      <c r="K49" s="11"/>
      <c r="L49" s="11"/>
      <c r="M49" s="11"/>
    </row>
    <row r="50" spans="1:13" ht="12.75" x14ac:dyDescent="0.2">
      <c r="A50" s="52"/>
      <c r="B50" s="9">
        <v>34</v>
      </c>
      <c r="C50" s="9" t="s">
        <v>546</v>
      </c>
      <c r="D50" s="9" t="s">
        <v>24</v>
      </c>
      <c r="E50" s="9" t="s">
        <v>31</v>
      </c>
      <c r="F50" s="9" t="s">
        <v>47</v>
      </c>
      <c r="G50" s="10"/>
      <c r="H50" s="11"/>
      <c r="I50" s="11"/>
      <c r="J50" s="11"/>
      <c r="K50" s="11"/>
      <c r="L50" s="11"/>
      <c r="M50" s="11"/>
    </row>
    <row r="51" spans="1:13" ht="12.75" x14ac:dyDescent="0.2">
      <c r="A51" s="53"/>
      <c r="B51" s="9">
        <v>34</v>
      </c>
      <c r="C51" s="9" t="s">
        <v>547</v>
      </c>
      <c r="D51" s="9" t="s">
        <v>24</v>
      </c>
      <c r="E51" s="9" t="s">
        <v>31</v>
      </c>
      <c r="F51" s="9" t="s">
        <v>47</v>
      </c>
      <c r="G51" s="10"/>
      <c r="H51" s="11"/>
      <c r="I51" s="11"/>
      <c r="J51" s="11"/>
      <c r="K51" s="11"/>
      <c r="L51" s="11"/>
      <c r="M51" s="11"/>
    </row>
    <row r="52" spans="1:13" ht="12.75" x14ac:dyDescent="0.2">
      <c r="A52" s="48" t="s">
        <v>52</v>
      </c>
      <c r="B52" s="9">
        <v>34</v>
      </c>
      <c r="C52" s="9" t="s">
        <v>548</v>
      </c>
      <c r="D52" s="9" t="s">
        <v>24</v>
      </c>
      <c r="E52" s="9" t="s">
        <v>31</v>
      </c>
      <c r="F52" s="9" t="s">
        <v>26</v>
      </c>
      <c r="G52" s="10"/>
      <c r="H52" s="11"/>
      <c r="I52" s="11"/>
      <c r="J52" s="11"/>
      <c r="K52" s="11"/>
      <c r="L52" s="11"/>
      <c r="M52" s="11"/>
    </row>
    <row r="53" spans="1:13" ht="12.75" x14ac:dyDescent="0.2">
      <c r="A53" s="52"/>
      <c r="B53" s="9">
        <v>34</v>
      </c>
      <c r="C53" s="9" t="s">
        <v>549</v>
      </c>
      <c r="D53" s="9" t="s">
        <v>24</v>
      </c>
      <c r="E53" s="9" t="s">
        <v>31</v>
      </c>
      <c r="F53" s="9" t="s">
        <v>26</v>
      </c>
      <c r="G53" s="10"/>
      <c r="H53" s="13"/>
      <c r="I53" s="13"/>
      <c r="J53" s="13"/>
    </row>
    <row r="54" spans="1:13" ht="12.75" x14ac:dyDescent="0.2">
      <c r="A54" s="52"/>
      <c r="B54" s="9">
        <v>34</v>
      </c>
      <c r="C54" s="9" t="s">
        <v>508</v>
      </c>
      <c r="D54" s="9" t="s">
        <v>24</v>
      </c>
      <c r="E54" s="9" t="s">
        <v>31</v>
      </c>
      <c r="F54" s="9" t="s">
        <v>26</v>
      </c>
      <c r="G54" s="10"/>
      <c r="H54" s="13"/>
      <c r="I54" s="13"/>
      <c r="J54" s="13"/>
    </row>
    <row r="55" spans="1:13" ht="12.75" x14ac:dyDescent="0.2">
      <c r="A55" s="53"/>
      <c r="B55" s="9">
        <v>34</v>
      </c>
      <c r="C55" s="9" t="s">
        <v>550</v>
      </c>
      <c r="D55" s="9" t="s">
        <v>30</v>
      </c>
      <c r="E55" s="9" t="s">
        <v>31</v>
      </c>
      <c r="F55" s="9" t="s">
        <v>26</v>
      </c>
      <c r="G55" s="10"/>
      <c r="H55" s="13"/>
      <c r="I55" s="13"/>
      <c r="J55" s="13"/>
    </row>
    <row r="56" spans="1:13" ht="12.75" x14ac:dyDescent="0.2">
      <c r="A56" s="48" t="s">
        <v>59</v>
      </c>
      <c r="B56" s="9">
        <v>34</v>
      </c>
      <c r="C56" s="9" t="s">
        <v>551</v>
      </c>
      <c r="D56" s="9" t="s">
        <v>24</v>
      </c>
      <c r="E56" s="9" t="s">
        <v>31</v>
      </c>
      <c r="F56" s="9" t="s">
        <v>47</v>
      </c>
      <c r="G56" s="10"/>
      <c r="H56" s="13"/>
      <c r="I56" s="13"/>
      <c r="J56" s="13"/>
    </row>
    <row r="57" spans="1:13" ht="12.75" x14ac:dyDescent="0.2">
      <c r="A57" s="53"/>
      <c r="B57" s="9">
        <v>34</v>
      </c>
      <c r="C57" s="9" t="s">
        <v>552</v>
      </c>
      <c r="D57" s="9" t="s">
        <v>24</v>
      </c>
      <c r="E57" s="9" t="s">
        <v>31</v>
      </c>
      <c r="F57" s="9" t="s">
        <v>47</v>
      </c>
      <c r="G57" s="10"/>
      <c r="H57" s="13"/>
      <c r="I57" s="13"/>
      <c r="J57" s="13"/>
    </row>
    <row r="58" spans="1:13" ht="12.75" x14ac:dyDescent="0.2">
      <c r="A58" s="48" t="s">
        <v>101</v>
      </c>
      <c r="B58" s="9">
        <v>34</v>
      </c>
      <c r="C58" s="9" t="s">
        <v>553</v>
      </c>
      <c r="D58" s="9" t="s">
        <v>24</v>
      </c>
      <c r="E58" s="9" t="s">
        <v>31</v>
      </c>
      <c r="F58" s="9" t="s">
        <v>47</v>
      </c>
      <c r="G58" s="10"/>
      <c r="H58" s="13"/>
      <c r="I58" s="13"/>
      <c r="J58" s="13"/>
    </row>
    <row r="59" spans="1:13" ht="12.75" x14ac:dyDescent="0.2">
      <c r="A59" s="52"/>
      <c r="B59" s="9">
        <v>34</v>
      </c>
      <c r="C59" s="9" t="s">
        <v>554</v>
      </c>
      <c r="D59" s="9" t="s">
        <v>24</v>
      </c>
      <c r="E59" s="9" t="s">
        <v>31</v>
      </c>
      <c r="F59" s="9" t="s">
        <v>47</v>
      </c>
      <c r="G59" s="10"/>
      <c r="H59" s="13"/>
      <c r="I59" s="13"/>
      <c r="J59" s="13"/>
    </row>
    <row r="60" spans="1:13" ht="12.75" x14ac:dyDescent="0.2">
      <c r="A60" s="52"/>
      <c r="B60" s="9">
        <v>34</v>
      </c>
      <c r="C60" s="9" t="s">
        <v>552</v>
      </c>
      <c r="D60" s="9" t="s">
        <v>24</v>
      </c>
      <c r="E60" s="9" t="s">
        <v>31</v>
      </c>
      <c r="F60" s="9" t="s">
        <v>47</v>
      </c>
      <c r="G60" s="10"/>
      <c r="H60" s="13"/>
      <c r="I60" s="13"/>
      <c r="J60" s="13"/>
    </row>
    <row r="61" spans="1:13" ht="12.75" x14ac:dyDescent="0.2">
      <c r="A61" s="53"/>
      <c r="B61" s="9">
        <v>34</v>
      </c>
      <c r="C61" s="9" t="s">
        <v>555</v>
      </c>
      <c r="D61" s="9" t="s">
        <v>24</v>
      </c>
      <c r="E61" s="9" t="s">
        <v>31</v>
      </c>
      <c r="F61" s="9" t="s">
        <v>47</v>
      </c>
      <c r="G61" s="10"/>
      <c r="H61" s="13"/>
      <c r="I61" s="13"/>
      <c r="J61" s="13"/>
    </row>
    <row r="62" spans="1:13" ht="12.75" x14ac:dyDescent="0.2">
      <c r="A62" s="48" t="s">
        <v>62</v>
      </c>
      <c r="B62" s="9">
        <v>34</v>
      </c>
      <c r="C62" s="9" t="s">
        <v>556</v>
      </c>
      <c r="D62" s="9" t="s">
        <v>24</v>
      </c>
      <c r="E62" s="9" t="s">
        <v>31</v>
      </c>
      <c r="F62" s="9" t="s">
        <v>26</v>
      </c>
      <c r="G62" s="10"/>
      <c r="H62" s="13"/>
      <c r="I62" s="13"/>
      <c r="J62" s="13"/>
    </row>
    <row r="63" spans="1:13" ht="12.75" x14ac:dyDescent="0.2">
      <c r="A63" s="53"/>
      <c r="B63" s="9">
        <v>34</v>
      </c>
      <c r="C63" s="9" t="s">
        <v>557</v>
      </c>
      <c r="D63" s="9" t="s">
        <v>24</v>
      </c>
      <c r="E63" s="9" t="s">
        <v>31</v>
      </c>
      <c r="F63" s="9" t="s">
        <v>26</v>
      </c>
      <c r="G63" s="10"/>
      <c r="H63" s="13"/>
      <c r="I63" s="13"/>
      <c r="J63" s="13"/>
    </row>
    <row r="64" spans="1:13" ht="12.75" x14ac:dyDescent="0.2">
      <c r="A64" s="48" t="s">
        <v>70</v>
      </c>
      <c r="B64" s="9">
        <v>34</v>
      </c>
      <c r="C64" s="9" t="s">
        <v>558</v>
      </c>
      <c r="D64" s="9" t="s">
        <v>24</v>
      </c>
      <c r="E64" s="9" t="s">
        <v>31</v>
      </c>
      <c r="F64" s="9" t="s">
        <v>26</v>
      </c>
      <c r="G64" s="10"/>
      <c r="H64" s="13"/>
      <c r="I64" s="13"/>
      <c r="J64" s="13"/>
    </row>
    <row r="65" spans="1:10" ht="12.75" x14ac:dyDescent="0.2">
      <c r="A65" s="52"/>
      <c r="B65" s="9">
        <v>34</v>
      </c>
      <c r="C65" s="9" t="s">
        <v>559</v>
      </c>
      <c r="D65" s="9" t="s">
        <v>24</v>
      </c>
      <c r="E65" s="9" t="s">
        <v>31</v>
      </c>
      <c r="F65" s="9" t="s">
        <v>26</v>
      </c>
      <c r="G65" s="10"/>
      <c r="H65" s="13"/>
      <c r="I65" s="13"/>
      <c r="J65" s="13"/>
    </row>
    <row r="66" spans="1:10" ht="12.75" x14ac:dyDescent="0.2">
      <c r="A66" s="52"/>
      <c r="B66" s="9">
        <v>34</v>
      </c>
      <c r="C66" s="9" t="s">
        <v>560</v>
      </c>
      <c r="D66" s="9" t="s">
        <v>24</v>
      </c>
      <c r="E66" s="9" t="s">
        <v>31</v>
      </c>
      <c r="F66" s="9" t="s">
        <v>26</v>
      </c>
      <c r="G66" s="10"/>
      <c r="H66" s="13"/>
      <c r="I66" s="13"/>
      <c r="J66" s="13"/>
    </row>
    <row r="67" spans="1:10" ht="12.75" x14ac:dyDescent="0.2">
      <c r="A67" s="52"/>
      <c r="B67" s="9">
        <v>34</v>
      </c>
      <c r="C67" s="9" t="s">
        <v>561</v>
      </c>
      <c r="D67" s="9" t="s">
        <v>24</v>
      </c>
      <c r="E67" s="9" t="s">
        <v>31</v>
      </c>
      <c r="F67" s="9" t="s">
        <v>26</v>
      </c>
      <c r="G67" s="10"/>
      <c r="H67" s="13"/>
      <c r="I67" s="13"/>
      <c r="J67" s="13"/>
    </row>
    <row r="68" spans="1:10" ht="12.75" x14ac:dyDescent="0.2">
      <c r="A68" s="52"/>
      <c r="B68" s="9">
        <v>34</v>
      </c>
      <c r="C68" s="9" t="s">
        <v>562</v>
      </c>
      <c r="D68" s="9" t="s">
        <v>24</v>
      </c>
      <c r="E68" s="9" t="s">
        <v>31</v>
      </c>
      <c r="F68" s="9" t="s">
        <v>26</v>
      </c>
      <c r="G68" s="10"/>
      <c r="H68" s="13"/>
      <c r="I68" s="13"/>
      <c r="J68" s="13"/>
    </row>
    <row r="69" spans="1:10" ht="12.75" x14ac:dyDescent="0.2">
      <c r="A69" s="52"/>
      <c r="B69" s="9">
        <v>34</v>
      </c>
      <c r="C69" s="9" t="s">
        <v>563</v>
      </c>
      <c r="D69" s="9" t="s">
        <v>24</v>
      </c>
      <c r="E69" s="9" t="s">
        <v>31</v>
      </c>
      <c r="F69" s="9" t="s">
        <v>26</v>
      </c>
      <c r="G69" s="10"/>
      <c r="H69" s="13"/>
      <c r="I69" s="13"/>
      <c r="J69" s="13"/>
    </row>
    <row r="70" spans="1:10" ht="12.75" x14ac:dyDescent="0.2">
      <c r="A70" s="53"/>
      <c r="B70" s="9">
        <v>34</v>
      </c>
      <c r="C70" s="9" t="s">
        <v>564</v>
      </c>
      <c r="D70" s="9" t="s">
        <v>24</v>
      </c>
      <c r="E70" s="9" t="s">
        <v>31</v>
      </c>
      <c r="F70" s="9" t="s">
        <v>26</v>
      </c>
      <c r="G70" s="10"/>
      <c r="H70" s="13"/>
      <c r="I70" s="13"/>
      <c r="J70" s="13"/>
    </row>
    <row r="71" spans="1:10" ht="12.75" x14ac:dyDescent="0.2">
      <c r="A71" s="48" t="s">
        <v>73</v>
      </c>
      <c r="B71" s="12">
        <v>34</v>
      </c>
      <c r="C71" s="12" t="s">
        <v>530</v>
      </c>
      <c r="D71" s="12" t="s">
        <v>24</v>
      </c>
      <c r="E71" s="12" t="s">
        <v>25</v>
      </c>
      <c r="F71" s="12" t="s">
        <v>47</v>
      </c>
      <c r="G71" s="10"/>
      <c r="H71" s="13"/>
      <c r="I71" s="13"/>
      <c r="J71" s="13"/>
    </row>
    <row r="72" spans="1:10" ht="12.75" x14ac:dyDescent="0.2">
      <c r="A72" s="52"/>
      <c r="B72" s="12">
        <v>34</v>
      </c>
      <c r="C72" s="12" t="s">
        <v>565</v>
      </c>
      <c r="D72" s="12" t="s">
        <v>24</v>
      </c>
      <c r="E72" s="12" t="s">
        <v>25</v>
      </c>
      <c r="F72" s="12" t="s">
        <v>26</v>
      </c>
      <c r="G72" s="10"/>
      <c r="H72" s="13"/>
      <c r="I72" s="13"/>
      <c r="J72" s="13"/>
    </row>
    <row r="73" spans="1:10" ht="12.75" x14ac:dyDescent="0.2">
      <c r="A73" s="52"/>
      <c r="B73" s="12">
        <v>34</v>
      </c>
      <c r="C73" s="12" t="s">
        <v>558</v>
      </c>
      <c r="D73" s="12" t="s">
        <v>24</v>
      </c>
      <c r="E73" s="12" t="s">
        <v>25</v>
      </c>
      <c r="F73" s="12" t="s">
        <v>26</v>
      </c>
      <c r="G73" s="10"/>
      <c r="H73" s="13"/>
      <c r="I73" s="13"/>
      <c r="J73" s="13"/>
    </row>
    <row r="74" spans="1:10" ht="12.75" x14ac:dyDescent="0.2">
      <c r="A74" s="52"/>
      <c r="B74" s="12">
        <v>34</v>
      </c>
      <c r="C74" s="12" t="s">
        <v>566</v>
      </c>
      <c r="D74" s="12" t="s">
        <v>24</v>
      </c>
      <c r="E74" s="12" t="s">
        <v>25</v>
      </c>
      <c r="F74" s="12" t="s">
        <v>26</v>
      </c>
      <c r="G74" s="10"/>
      <c r="H74" s="13"/>
      <c r="I74" s="13"/>
      <c r="J74" s="13"/>
    </row>
    <row r="75" spans="1:10" ht="12.75" x14ac:dyDescent="0.2">
      <c r="A75" s="52"/>
      <c r="B75" s="12">
        <v>34</v>
      </c>
      <c r="C75" s="12" t="s">
        <v>567</v>
      </c>
      <c r="D75" s="12" t="s">
        <v>24</v>
      </c>
      <c r="E75" s="12" t="s">
        <v>25</v>
      </c>
      <c r="F75" s="12" t="s">
        <v>26</v>
      </c>
      <c r="G75" s="10"/>
      <c r="H75" s="13"/>
      <c r="I75" s="13"/>
      <c r="J75" s="13"/>
    </row>
    <row r="76" spans="1:10" ht="12.75" x14ac:dyDescent="0.2">
      <c r="A76" s="52"/>
      <c r="B76" s="12">
        <v>34</v>
      </c>
      <c r="C76" s="12" t="s">
        <v>568</v>
      </c>
      <c r="D76" s="12" t="s">
        <v>24</v>
      </c>
      <c r="E76" s="12" t="s">
        <v>25</v>
      </c>
      <c r="F76" s="12" t="s">
        <v>26</v>
      </c>
      <c r="G76" s="10"/>
      <c r="H76" s="13"/>
      <c r="I76" s="13"/>
      <c r="J76" s="13"/>
    </row>
    <row r="77" spans="1:10" ht="12.75" x14ac:dyDescent="0.2">
      <c r="A77" s="52"/>
      <c r="B77" s="12">
        <v>34</v>
      </c>
      <c r="C77" s="12" t="s">
        <v>569</v>
      </c>
      <c r="D77" s="12" t="s">
        <v>24</v>
      </c>
      <c r="E77" s="12" t="s">
        <v>25</v>
      </c>
      <c r="F77" s="12" t="s">
        <v>26</v>
      </c>
      <c r="G77" s="10"/>
      <c r="H77" s="13"/>
      <c r="I77" s="13"/>
      <c r="J77" s="13"/>
    </row>
    <row r="78" spans="1:10" ht="12.75" x14ac:dyDescent="0.2">
      <c r="A78" s="52"/>
      <c r="B78" s="12">
        <v>34</v>
      </c>
      <c r="C78" s="12" t="s">
        <v>570</v>
      </c>
      <c r="D78" s="12" t="s">
        <v>24</v>
      </c>
      <c r="E78" s="12" t="s">
        <v>25</v>
      </c>
      <c r="F78" s="12" t="s">
        <v>26</v>
      </c>
      <c r="G78" s="10"/>
      <c r="H78" s="13"/>
      <c r="I78" s="13"/>
      <c r="J78" s="13"/>
    </row>
    <row r="79" spans="1:10" ht="12.75" x14ac:dyDescent="0.2">
      <c r="A79" s="52"/>
      <c r="B79" s="12">
        <v>34</v>
      </c>
      <c r="C79" s="12" t="s">
        <v>560</v>
      </c>
      <c r="D79" s="12" t="s">
        <v>24</v>
      </c>
      <c r="E79" s="12" t="s">
        <v>25</v>
      </c>
      <c r="F79" s="12" t="s">
        <v>26</v>
      </c>
      <c r="G79" s="10"/>
      <c r="H79" s="13"/>
      <c r="I79" s="13"/>
      <c r="J79" s="13"/>
    </row>
    <row r="80" spans="1:10" ht="12.75" x14ac:dyDescent="0.2">
      <c r="A80" s="52"/>
      <c r="B80" s="12">
        <v>34</v>
      </c>
      <c r="C80" s="12" t="s">
        <v>571</v>
      </c>
      <c r="D80" s="12" t="s">
        <v>24</v>
      </c>
      <c r="E80" s="12" t="s">
        <v>25</v>
      </c>
      <c r="F80" s="12" t="s">
        <v>26</v>
      </c>
      <c r="G80" s="10"/>
      <c r="H80" s="13"/>
      <c r="I80" s="13"/>
      <c r="J80" s="13"/>
    </row>
    <row r="81" spans="1:10" ht="12.75" x14ac:dyDescent="0.2">
      <c r="A81" s="52"/>
      <c r="B81" s="12">
        <v>34</v>
      </c>
      <c r="C81" s="12" t="s">
        <v>572</v>
      </c>
      <c r="D81" s="12" t="s">
        <v>24</v>
      </c>
      <c r="E81" s="12" t="s">
        <v>25</v>
      </c>
      <c r="F81" s="12" t="s">
        <v>26</v>
      </c>
      <c r="G81" s="10"/>
      <c r="H81" s="13"/>
      <c r="I81" s="13"/>
      <c r="J81" s="13"/>
    </row>
    <row r="82" spans="1:10" ht="12.75" x14ac:dyDescent="0.2">
      <c r="A82" s="53"/>
      <c r="B82" s="12">
        <v>34</v>
      </c>
      <c r="C82" s="12" t="s">
        <v>573</v>
      </c>
      <c r="D82" s="12" t="s">
        <v>24</v>
      </c>
      <c r="E82" s="12" t="s">
        <v>25</v>
      </c>
      <c r="F82" s="12" t="s">
        <v>26</v>
      </c>
      <c r="G82" s="10"/>
      <c r="H82" s="13"/>
      <c r="I82" s="13"/>
      <c r="J82" s="13"/>
    </row>
    <row r="83" spans="1:10" ht="12.75" x14ac:dyDescent="0.2">
      <c r="A83" s="48" t="s">
        <v>77</v>
      </c>
      <c r="B83" s="9">
        <v>34</v>
      </c>
      <c r="C83" s="9" t="s">
        <v>530</v>
      </c>
      <c r="D83" s="9" t="s">
        <v>24</v>
      </c>
      <c r="E83" s="9" t="s">
        <v>31</v>
      </c>
      <c r="F83" s="9" t="s">
        <v>26</v>
      </c>
      <c r="G83" s="10"/>
      <c r="H83" s="13"/>
      <c r="I83" s="13"/>
      <c r="J83" s="13"/>
    </row>
    <row r="84" spans="1:10" ht="12.75" x14ac:dyDescent="0.2">
      <c r="A84" s="52"/>
      <c r="B84" s="9">
        <v>34</v>
      </c>
      <c r="C84" s="9" t="s">
        <v>574</v>
      </c>
      <c r="D84" s="9" t="s">
        <v>24</v>
      </c>
      <c r="E84" s="9" t="s">
        <v>31</v>
      </c>
      <c r="F84" s="9" t="s">
        <v>47</v>
      </c>
      <c r="G84" s="10"/>
      <c r="H84" s="13"/>
      <c r="I84" s="13"/>
      <c r="J84" s="13"/>
    </row>
    <row r="85" spans="1:10" ht="12.75" x14ac:dyDescent="0.2">
      <c r="A85" s="52"/>
      <c r="B85" s="9">
        <v>34</v>
      </c>
      <c r="C85" s="9" t="s">
        <v>575</v>
      </c>
      <c r="D85" s="9" t="s">
        <v>24</v>
      </c>
      <c r="E85" s="9" t="s">
        <v>31</v>
      </c>
      <c r="F85" s="9" t="s">
        <v>26</v>
      </c>
      <c r="G85" s="10"/>
      <c r="H85" s="13"/>
      <c r="I85" s="13"/>
      <c r="J85" s="13"/>
    </row>
    <row r="86" spans="1:10" ht="12.75" x14ac:dyDescent="0.2">
      <c r="A86" s="52"/>
      <c r="B86" s="9">
        <v>34</v>
      </c>
      <c r="C86" s="9" t="s">
        <v>576</v>
      </c>
      <c r="D86" s="9" t="s">
        <v>24</v>
      </c>
      <c r="E86" s="9" t="s">
        <v>31</v>
      </c>
      <c r="F86" s="9" t="s">
        <v>47</v>
      </c>
      <c r="G86" s="10"/>
      <c r="H86" s="13"/>
      <c r="I86" s="13"/>
      <c r="J86" s="13"/>
    </row>
    <row r="87" spans="1:10" ht="12.75" x14ac:dyDescent="0.2">
      <c r="A87" s="52"/>
      <c r="B87" s="9">
        <v>34</v>
      </c>
      <c r="C87" s="9" t="s">
        <v>577</v>
      </c>
      <c r="D87" s="9" t="s">
        <v>24</v>
      </c>
      <c r="E87" s="9" t="s">
        <v>31</v>
      </c>
      <c r="F87" s="9" t="s">
        <v>47</v>
      </c>
      <c r="G87" s="10"/>
      <c r="H87" s="13"/>
      <c r="I87" s="13"/>
      <c r="J87" s="13"/>
    </row>
    <row r="88" spans="1:10" ht="12.75" x14ac:dyDescent="0.2">
      <c r="A88" s="52"/>
      <c r="B88" s="9">
        <v>34</v>
      </c>
      <c r="C88" s="9" t="s">
        <v>578</v>
      </c>
      <c r="D88" s="9" t="s">
        <v>24</v>
      </c>
      <c r="E88" s="9" t="s">
        <v>31</v>
      </c>
      <c r="F88" s="9" t="s">
        <v>47</v>
      </c>
      <c r="G88" s="10"/>
      <c r="H88" s="13"/>
      <c r="I88" s="13"/>
      <c r="J88" s="13"/>
    </row>
    <row r="89" spans="1:10" ht="12.75" x14ac:dyDescent="0.2">
      <c r="A89" s="52"/>
      <c r="B89" s="9">
        <v>34</v>
      </c>
      <c r="C89" s="9" t="s">
        <v>579</v>
      </c>
      <c r="D89" s="9" t="s">
        <v>24</v>
      </c>
      <c r="E89" s="9" t="s">
        <v>31</v>
      </c>
      <c r="F89" s="9" t="s">
        <v>47</v>
      </c>
      <c r="G89" s="10"/>
      <c r="H89" s="13"/>
      <c r="I89" s="13"/>
      <c r="J89" s="13"/>
    </row>
    <row r="90" spans="1:10" ht="12.75" x14ac:dyDescent="0.2">
      <c r="A90" s="52"/>
      <c r="B90" s="9">
        <v>34</v>
      </c>
      <c r="C90" s="9" t="s">
        <v>570</v>
      </c>
      <c r="D90" s="9" t="s">
        <v>24</v>
      </c>
      <c r="E90" s="9" t="s">
        <v>31</v>
      </c>
      <c r="F90" s="9" t="s">
        <v>26</v>
      </c>
      <c r="G90" s="10"/>
      <c r="H90" s="13"/>
      <c r="I90" s="13"/>
      <c r="J90" s="13"/>
    </row>
    <row r="91" spans="1:10" ht="12.75" x14ac:dyDescent="0.2">
      <c r="A91" s="53"/>
      <c r="B91" s="9">
        <v>34</v>
      </c>
      <c r="C91" s="9" t="s">
        <v>580</v>
      </c>
      <c r="D91" s="9" t="s">
        <v>24</v>
      </c>
      <c r="E91" s="9" t="s">
        <v>31</v>
      </c>
      <c r="F91" s="9" t="s">
        <v>26</v>
      </c>
      <c r="G91" s="10"/>
      <c r="H91" s="13"/>
      <c r="I91" s="13"/>
      <c r="J91" s="13"/>
    </row>
    <row r="92" spans="1:10" ht="12.75" x14ac:dyDescent="0.2">
      <c r="A92" s="48" t="s">
        <v>79</v>
      </c>
      <c r="B92" s="9">
        <v>34</v>
      </c>
      <c r="C92" s="9" t="s">
        <v>530</v>
      </c>
      <c r="D92" s="9" t="s">
        <v>24</v>
      </c>
      <c r="E92" s="9" t="s">
        <v>31</v>
      </c>
      <c r="F92" s="9" t="s">
        <v>26</v>
      </c>
      <c r="G92" s="10"/>
      <c r="H92" s="13"/>
      <c r="I92" s="13"/>
      <c r="J92" s="13"/>
    </row>
    <row r="93" spans="1:10" ht="12.75" x14ac:dyDescent="0.2">
      <c r="A93" s="52"/>
      <c r="B93" s="9">
        <v>34</v>
      </c>
      <c r="C93" s="9" t="s">
        <v>575</v>
      </c>
      <c r="D93" s="9" t="s">
        <v>24</v>
      </c>
      <c r="E93" s="9" t="s">
        <v>31</v>
      </c>
      <c r="F93" s="9" t="s">
        <v>47</v>
      </c>
      <c r="G93" s="10"/>
      <c r="H93" s="13"/>
      <c r="I93" s="13"/>
      <c r="J93" s="13"/>
    </row>
    <row r="94" spans="1:10" ht="12.75" x14ac:dyDescent="0.2">
      <c r="A94" s="52"/>
      <c r="B94" s="9">
        <v>34</v>
      </c>
      <c r="C94" s="9" t="s">
        <v>581</v>
      </c>
      <c r="D94" s="9" t="s">
        <v>24</v>
      </c>
      <c r="E94" s="9" t="s">
        <v>31</v>
      </c>
      <c r="F94" s="9" t="s">
        <v>47</v>
      </c>
      <c r="G94" s="10"/>
      <c r="H94" s="13"/>
      <c r="I94" s="13"/>
      <c r="J94" s="13"/>
    </row>
    <row r="95" spans="1:10" ht="12.75" x14ac:dyDescent="0.2">
      <c r="A95" s="52"/>
      <c r="B95" s="9">
        <v>34</v>
      </c>
      <c r="C95" s="9" t="s">
        <v>582</v>
      </c>
      <c r="D95" s="9" t="s">
        <v>24</v>
      </c>
      <c r="E95" s="9" t="s">
        <v>31</v>
      </c>
      <c r="F95" s="9" t="s">
        <v>47</v>
      </c>
      <c r="G95" s="10"/>
      <c r="H95" s="13"/>
      <c r="I95" s="13"/>
      <c r="J95" s="13"/>
    </row>
    <row r="96" spans="1:10" ht="12.75" x14ac:dyDescent="0.2">
      <c r="A96" s="52"/>
      <c r="B96" s="9">
        <v>34</v>
      </c>
      <c r="C96" s="9" t="s">
        <v>583</v>
      </c>
      <c r="D96" s="9" t="s">
        <v>24</v>
      </c>
      <c r="E96" s="9" t="s">
        <v>31</v>
      </c>
      <c r="F96" s="9" t="s">
        <v>26</v>
      </c>
      <c r="G96" s="10"/>
      <c r="H96" s="13"/>
      <c r="I96" s="13"/>
      <c r="J96" s="13"/>
    </row>
    <row r="97" spans="1:10" ht="12.75" x14ac:dyDescent="0.2">
      <c r="A97" s="52"/>
      <c r="B97" s="9">
        <v>34</v>
      </c>
      <c r="C97" s="9" t="s">
        <v>584</v>
      </c>
      <c r="D97" s="9" t="s">
        <v>24</v>
      </c>
      <c r="E97" s="9" t="s">
        <v>31</v>
      </c>
      <c r="F97" s="9" t="s">
        <v>47</v>
      </c>
      <c r="G97" s="10"/>
      <c r="H97" s="13"/>
      <c r="I97" s="13"/>
      <c r="J97" s="13"/>
    </row>
    <row r="98" spans="1:10" ht="12.75" x14ac:dyDescent="0.2">
      <c r="A98" s="53"/>
      <c r="B98" s="9">
        <v>34</v>
      </c>
      <c r="C98" s="9" t="s">
        <v>585</v>
      </c>
      <c r="D98" s="9" t="s">
        <v>24</v>
      </c>
      <c r="E98" s="9" t="s">
        <v>31</v>
      </c>
      <c r="F98" s="9" t="s">
        <v>47</v>
      </c>
      <c r="G98" s="10"/>
      <c r="H98" s="13"/>
      <c r="I98" s="13"/>
      <c r="J98" s="13"/>
    </row>
    <row r="99" spans="1:10" ht="12.75" x14ac:dyDescent="0.2">
      <c r="A99" s="48" t="s">
        <v>83</v>
      </c>
      <c r="B99" s="12">
        <v>34</v>
      </c>
      <c r="C99" s="12" t="s">
        <v>586</v>
      </c>
      <c r="D99" s="12" t="s">
        <v>24</v>
      </c>
      <c r="E99" s="12" t="s">
        <v>25</v>
      </c>
      <c r="F99" s="12" t="s">
        <v>26</v>
      </c>
      <c r="G99" s="10"/>
      <c r="H99" s="13"/>
      <c r="I99" s="13"/>
      <c r="J99" s="13"/>
    </row>
    <row r="100" spans="1:10" ht="12.75" x14ac:dyDescent="0.2">
      <c r="A100" s="52"/>
      <c r="B100" s="12">
        <v>34</v>
      </c>
      <c r="C100" s="12" t="s">
        <v>529</v>
      </c>
      <c r="D100" s="12" t="s">
        <v>24</v>
      </c>
      <c r="E100" s="12" t="s">
        <v>25</v>
      </c>
      <c r="F100" s="12" t="s">
        <v>26</v>
      </c>
      <c r="G100" s="10"/>
      <c r="H100" s="13"/>
      <c r="I100" s="13"/>
      <c r="J100" s="13"/>
    </row>
    <row r="101" spans="1:10" ht="12.75" x14ac:dyDescent="0.2">
      <c r="A101" s="52"/>
      <c r="B101" s="12">
        <v>34</v>
      </c>
      <c r="C101" s="12" t="s">
        <v>587</v>
      </c>
      <c r="D101" s="12" t="s">
        <v>24</v>
      </c>
      <c r="E101" s="12" t="s">
        <v>25</v>
      </c>
      <c r="F101" s="12" t="s">
        <v>47</v>
      </c>
      <c r="G101" s="10"/>
      <c r="H101" s="13"/>
      <c r="I101" s="13"/>
      <c r="J101" s="13"/>
    </row>
    <row r="102" spans="1:10" ht="12.75" x14ac:dyDescent="0.2">
      <c r="A102" s="52"/>
      <c r="B102" s="12">
        <v>34</v>
      </c>
      <c r="C102" s="12" t="s">
        <v>575</v>
      </c>
      <c r="D102" s="12" t="s">
        <v>24</v>
      </c>
      <c r="E102" s="12" t="s">
        <v>25</v>
      </c>
      <c r="F102" s="12" t="s">
        <v>47</v>
      </c>
      <c r="G102" s="10"/>
      <c r="H102" s="13"/>
      <c r="I102" s="13"/>
      <c r="J102" s="13"/>
    </row>
    <row r="103" spans="1:10" ht="12.75" x14ac:dyDescent="0.2">
      <c r="A103" s="52"/>
      <c r="B103" s="12">
        <v>34</v>
      </c>
      <c r="C103" s="12" t="s">
        <v>576</v>
      </c>
      <c r="D103" s="12" t="s">
        <v>24</v>
      </c>
      <c r="E103" s="12" t="s">
        <v>25</v>
      </c>
      <c r="F103" s="12" t="s">
        <v>47</v>
      </c>
      <c r="G103" s="10"/>
      <c r="H103" s="13"/>
      <c r="I103" s="13"/>
      <c r="J103" s="13"/>
    </row>
    <row r="104" spans="1:10" ht="12.75" x14ac:dyDescent="0.2">
      <c r="A104" s="52"/>
      <c r="B104" s="12">
        <v>34</v>
      </c>
      <c r="C104" s="12" t="s">
        <v>588</v>
      </c>
      <c r="D104" s="12" t="s">
        <v>24</v>
      </c>
      <c r="E104" s="12" t="s">
        <v>25</v>
      </c>
      <c r="F104" s="12" t="s">
        <v>47</v>
      </c>
      <c r="G104" s="10"/>
      <c r="H104" s="13"/>
      <c r="I104" s="13"/>
      <c r="J104" s="13"/>
    </row>
    <row r="105" spans="1:10" ht="12.75" x14ac:dyDescent="0.2">
      <c r="A105" s="52"/>
      <c r="B105" s="12">
        <v>34</v>
      </c>
      <c r="C105" s="12" t="s">
        <v>570</v>
      </c>
      <c r="D105" s="12" t="s">
        <v>24</v>
      </c>
      <c r="E105" s="12" t="s">
        <v>25</v>
      </c>
      <c r="F105" s="12" t="s">
        <v>47</v>
      </c>
      <c r="G105" s="10"/>
      <c r="H105" s="13"/>
      <c r="I105" s="13"/>
      <c r="J105" s="13"/>
    </row>
    <row r="106" spans="1:10" ht="12.75" x14ac:dyDescent="0.2">
      <c r="A106" s="52"/>
      <c r="B106" s="12">
        <v>34</v>
      </c>
      <c r="C106" s="12" t="s">
        <v>589</v>
      </c>
      <c r="D106" s="12" t="s">
        <v>24</v>
      </c>
      <c r="E106" s="12" t="s">
        <v>25</v>
      </c>
      <c r="F106" s="12" t="s">
        <v>26</v>
      </c>
      <c r="G106" s="10"/>
      <c r="H106" s="13"/>
      <c r="I106" s="13"/>
      <c r="J106" s="13"/>
    </row>
    <row r="107" spans="1:10" ht="12.75" x14ac:dyDescent="0.2">
      <c r="A107" s="53"/>
      <c r="B107" s="12">
        <v>34</v>
      </c>
      <c r="C107" s="12" t="s">
        <v>590</v>
      </c>
      <c r="D107" s="12" t="s">
        <v>24</v>
      </c>
      <c r="E107" s="12" t="s">
        <v>25</v>
      </c>
      <c r="F107" s="12" t="s">
        <v>26</v>
      </c>
      <c r="G107" s="10"/>
      <c r="H107" s="13"/>
      <c r="I107" s="13"/>
      <c r="J107" s="13"/>
    </row>
    <row r="108" spans="1:10" ht="12.75" x14ac:dyDescent="0.2">
      <c r="A108" s="48" t="s">
        <v>85</v>
      </c>
      <c r="B108" s="9">
        <v>34</v>
      </c>
      <c r="C108" s="9" t="s">
        <v>591</v>
      </c>
      <c r="D108" s="9" t="s">
        <v>30</v>
      </c>
      <c r="E108" s="9" t="s">
        <v>31</v>
      </c>
      <c r="F108" s="9" t="s">
        <v>26</v>
      </c>
      <c r="G108" s="10"/>
      <c r="H108" s="13"/>
      <c r="I108" s="13"/>
      <c r="J108" s="13"/>
    </row>
    <row r="109" spans="1:10" ht="12.75" x14ac:dyDescent="0.2">
      <c r="A109" s="52"/>
      <c r="B109" s="9">
        <v>34</v>
      </c>
      <c r="C109" s="9" t="s">
        <v>592</v>
      </c>
      <c r="D109" s="9" t="s">
        <v>24</v>
      </c>
      <c r="E109" s="9" t="s">
        <v>31</v>
      </c>
      <c r="F109" s="9" t="s">
        <v>26</v>
      </c>
      <c r="G109" s="10"/>
      <c r="H109" s="13"/>
      <c r="I109" s="13"/>
      <c r="J109" s="13"/>
    </row>
    <row r="110" spans="1:10" ht="12.75" x14ac:dyDescent="0.2">
      <c r="A110" s="52"/>
      <c r="B110" s="9">
        <v>34</v>
      </c>
      <c r="C110" s="9" t="s">
        <v>593</v>
      </c>
      <c r="D110" s="9" t="s">
        <v>24</v>
      </c>
      <c r="E110" s="9" t="s">
        <v>31</v>
      </c>
      <c r="F110" s="9" t="s">
        <v>47</v>
      </c>
      <c r="G110" s="10"/>
      <c r="H110" s="13"/>
      <c r="I110" s="13"/>
      <c r="J110" s="13"/>
    </row>
    <row r="111" spans="1:10" ht="12.75" x14ac:dyDescent="0.2">
      <c r="A111" s="52"/>
      <c r="B111" s="9">
        <v>34</v>
      </c>
      <c r="C111" s="9" t="s">
        <v>594</v>
      </c>
      <c r="D111" s="9" t="s">
        <v>24</v>
      </c>
      <c r="E111" s="9" t="s">
        <v>31</v>
      </c>
      <c r="F111" s="9" t="s">
        <v>26</v>
      </c>
      <c r="G111" s="10"/>
      <c r="H111" s="13"/>
      <c r="I111" s="13"/>
      <c r="J111" s="13"/>
    </row>
    <row r="112" spans="1:10" ht="12.75" x14ac:dyDescent="0.2">
      <c r="A112" s="52"/>
      <c r="B112" s="9">
        <v>34</v>
      </c>
      <c r="C112" s="9" t="s">
        <v>474</v>
      </c>
      <c r="D112" s="9" t="s">
        <v>24</v>
      </c>
      <c r="E112" s="9" t="s">
        <v>31</v>
      </c>
      <c r="F112" s="9" t="s">
        <v>26</v>
      </c>
      <c r="G112" s="10"/>
      <c r="H112" s="13"/>
      <c r="I112" s="13"/>
      <c r="J112" s="13"/>
    </row>
    <row r="113" spans="1:10" ht="12.75" x14ac:dyDescent="0.2">
      <c r="A113" s="53"/>
      <c r="B113" s="9">
        <v>34</v>
      </c>
      <c r="C113" s="9" t="s">
        <v>595</v>
      </c>
      <c r="D113" s="9" t="s">
        <v>24</v>
      </c>
      <c r="E113" s="9" t="s">
        <v>31</v>
      </c>
      <c r="F113" s="9" t="s">
        <v>26</v>
      </c>
      <c r="G113" s="10"/>
      <c r="H113" s="13"/>
      <c r="I113" s="13"/>
      <c r="J113" s="13"/>
    </row>
    <row r="114" spans="1:10" ht="12.75" x14ac:dyDescent="0.2">
      <c r="A114" s="13"/>
      <c r="B114" s="13"/>
      <c r="C114" s="13"/>
      <c r="D114" s="13"/>
      <c r="E114" s="13"/>
      <c r="F114" s="13"/>
      <c r="G114" s="13"/>
      <c r="H114" s="13"/>
      <c r="I114" s="13"/>
      <c r="J114" s="13"/>
    </row>
    <row r="115" spans="1:10" ht="12.75" x14ac:dyDescent="0.2">
      <c r="A115" s="13"/>
      <c r="B115" s="13"/>
      <c r="C115" s="13"/>
      <c r="D115" s="13"/>
      <c r="E115" s="13"/>
      <c r="F115" s="13"/>
      <c r="G115" s="13"/>
      <c r="H115" s="13"/>
      <c r="I115" s="13"/>
      <c r="J115" s="13"/>
    </row>
    <row r="116" spans="1:10" ht="12.75" x14ac:dyDescent="0.2">
      <c r="A116" s="13"/>
      <c r="B116" s="13"/>
      <c r="C116" s="13"/>
      <c r="D116" s="13"/>
      <c r="E116" s="13"/>
      <c r="F116" s="13"/>
      <c r="G116" s="13"/>
      <c r="H116" s="13"/>
      <c r="I116" s="13"/>
      <c r="J116" s="13"/>
    </row>
    <row r="117" spans="1:10" ht="12.75" x14ac:dyDescent="0.2">
      <c r="A117" s="13"/>
      <c r="B117" s="13"/>
      <c r="C117" s="13"/>
      <c r="D117" s="13"/>
      <c r="E117" s="13"/>
      <c r="F117" s="13"/>
      <c r="G117" s="13"/>
      <c r="H117" s="13"/>
      <c r="I117" s="13"/>
      <c r="J117" s="13"/>
    </row>
    <row r="118" spans="1:10" ht="12.75" x14ac:dyDescent="0.2">
      <c r="A118" s="13"/>
      <c r="B118" s="13"/>
      <c r="C118" s="13"/>
      <c r="D118" s="13"/>
      <c r="E118" s="13"/>
      <c r="F118" s="13"/>
      <c r="G118" s="13"/>
      <c r="H118" s="13"/>
      <c r="I118" s="13"/>
      <c r="J118" s="13"/>
    </row>
    <row r="119" spans="1:10" ht="12.75" x14ac:dyDescent="0.2">
      <c r="A119" s="13"/>
      <c r="B119" s="13"/>
      <c r="C119" s="13"/>
      <c r="D119" s="13"/>
      <c r="E119" s="13"/>
      <c r="F119" s="13"/>
      <c r="G119" s="13"/>
      <c r="H119" s="13"/>
      <c r="I119" s="13"/>
      <c r="J119" s="13"/>
    </row>
    <row r="120" spans="1:10" ht="12.75" x14ac:dyDescent="0.2">
      <c r="A120" s="13"/>
      <c r="B120" s="13"/>
      <c r="C120" s="13"/>
      <c r="D120" s="13"/>
      <c r="E120" s="13"/>
      <c r="F120" s="13"/>
      <c r="G120" s="13"/>
      <c r="H120" s="13"/>
      <c r="I120" s="13"/>
      <c r="J120" s="13"/>
    </row>
    <row r="121" spans="1:10" ht="12.75" x14ac:dyDescent="0.2">
      <c r="A121" s="13"/>
      <c r="B121" s="13"/>
      <c r="C121" s="13"/>
      <c r="D121" s="13"/>
      <c r="E121" s="13"/>
      <c r="F121" s="13"/>
      <c r="G121" s="13"/>
      <c r="H121" s="13"/>
      <c r="I121" s="13"/>
      <c r="J121" s="13"/>
    </row>
    <row r="122" spans="1:10" ht="12.75" x14ac:dyDescent="0.2">
      <c r="A122" s="13"/>
      <c r="B122" s="13"/>
      <c r="C122" s="13"/>
      <c r="D122" s="13"/>
      <c r="E122" s="13"/>
      <c r="F122" s="13"/>
      <c r="G122" s="13"/>
      <c r="H122" s="13"/>
      <c r="I122" s="13"/>
      <c r="J122" s="13"/>
    </row>
  </sheetData>
  <mergeCells count="18">
    <mergeCell ref="A108:A113"/>
    <mergeCell ref="A49:A51"/>
    <mergeCell ref="A52:A55"/>
    <mergeCell ref="A56:A57"/>
    <mergeCell ref="A58:A61"/>
    <mergeCell ref="A62:A63"/>
    <mergeCell ref="A64:A70"/>
    <mergeCell ref="A71:A82"/>
    <mergeCell ref="A34:A43"/>
    <mergeCell ref="A44:A48"/>
    <mergeCell ref="A83:A91"/>
    <mergeCell ref="A92:A98"/>
    <mergeCell ref="A99:A107"/>
    <mergeCell ref="A1:G1"/>
    <mergeCell ref="A9:A14"/>
    <mergeCell ref="A15:A18"/>
    <mergeCell ref="A19:A23"/>
    <mergeCell ref="A24:A33"/>
  </mergeCell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N189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13" ht="15.75" customHeight="1" x14ac:dyDescent="0.25">
      <c r="A1" s="54" t="s">
        <v>0</v>
      </c>
      <c r="B1" s="55"/>
      <c r="C1" s="55"/>
      <c r="D1" s="55"/>
      <c r="E1" s="55"/>
      <c r="F1" s="55"/>
      <c r="G1" s="56"/>
    </row>
    <row r="2" spans="1:13" x14ac:dyDescent="0.2">
      <c r="A2" s="1"/>
      <c r="B2" s="2"/>
      <c r="C2" s="2"/>
      <c r="D2" s="2"/>
      <c r="E2" s="2"/>
      <c r="F2" s="2"/>
      <c r="G2" s="2"/>
    </row>
    <row r="3" spans="1:13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13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13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13" x14ac:dyDescent="0.2">
      <c r="A6" s="1"/>
      <c r="B6" s="2"/>
      <c r="C6" s="2"/>
      <c r="D6" s="2"/>
      <c r="E6" s="2"/>
      <c r="F6" s="2"/>
      <c r="G6" s="2"/>
    </row>
    <row r="7" spans="1:13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13" ht="15.75" customHeight="1" x14ac:dyDescent="0.25">
      <c r="A8" s="24" t="s">
        <v>13</v>
      </c>
      <c r="B8" s="25" t="s">
        <v>14</v>
      </c>
      <c r="C8" s="25" t="s">
        <v>15</v>
      </c>
      <c r="D8" s="26" t="s">
        <v>16</v>
      </c>
      <c r="E8" s="26" t="s">
        <v>17</v>
      </c>
      <c r="F8" s="26" t="s">
        <v>18</v>
      </c>
      <c r="G8" s="26" t="s">
        <v>19</v>
      </c>
      <c r="H8" s="13"/>
      <c r="I8" s="13"/>
    </row>
    <row r="9" spans="1:13" x14ac:dyDescent="0.2">
      <c r="A9" s="48" t="s">
        <v>20</v>
      </c>
      <c r="B9" s="9">
        <v>35</v>
      </c>
      <c r="C9" s="9" t="s">
        <v>596</v>
      </c>
      <c r="D9" s="9" t="s">
        <v>24</v>
      </c>
      <c r="E9" s="9" t="s">
        <v>31</v>
      </c>
      <c r="F9" s="9" t="s">
        <v>87</v>
      </c>
      <c r="G9" s="10" t="s">
        <v>27</v>
      </c>
      <c r="H9" s="11"/>
      <c r="I9" s="11"/>
      <c r="J9" s="11"/>
      <c r="K9" s="11"/>
      <c r="L9" s="11"/>
      <c r="M9" s="11"/>
    </row>
    <row r="10" spans="1:13" x14ac:dyDescent="0.2">
      <c r="A10" s="52"/>
      <c r="B10" s="9">
        <v>35</v>
      </c>
      <c r="C10" s="9" t="s">
        <v>597</v>
      </c>
      <c r="D10" s="9" t="s">
        <v>24</v>
      </c>
      <c r="E10" s="9" t="s">
        <v>31</v>
      </c>
      <c r="F10" s="9" t="s">
        <v>87</v>
      </c>
      <c r="G10" s="10" t="s">
        <v>27</v>
      </c>
      <c r="H10" s="11"/>
      <c r="I10" s="11"/>
      <c r="J10" s="11"/>
      <c r="K10" s="11"/>
      <c r="L10" s="11"/>
      <c r="M10" s="11"/>
    </row>
    <row r="11" spans="1:13" x14ac:dyDescent="0.2">
      <c r="A11" s="52"/>
      <c r="B11" s="9">
        <v>35</v>
      </c>
      <c r="C11" s="9" t="s">
        <v>598</v>
      </c>
      <c r="D11" s="9" t="s">
        <v>24</v>
      </c>
      <c r="E11" s="9" t="s">
        <v>31</v>
      </c>
      <c r="F11" s="9" t="s">
        <v>87</v>
      </c>
      <c r="G11" s="10" t="s">
        <v>27</v>
      </c>
      <c r="H11" s="11"/>
      <c r="I11" s="11"/>
      <c r="J11" s="11"/>
      <c r="K11" s="11"/>
      <c r="L11" s="11"/>
      <c r="M11" s="11"/>
    </row>
    <row r="12" spans="1:13" x14ac:dyDescent="0.2">
      <c r="A12" s="52"/>
      <c r="B12" s="9">
        <v>35</v>
      </c>
      <c r="C12" s="9" t="s">
        <v>599</v>
      </c>
      <c r="D12" s="9" t="s">
        <v>24</v>
      </c>
      <c r="E12" s="9" t="s">
        <v>31</v>
      </c>
      <c r="F12" s="9" t="s">
        <v>87</v>
      </c>
      <c r="G12" s="10" t="s">
        <v>27</v>
      </c>
      <c r="H12" s="11"/>
      <c r="I12" s="11"/>
      <c r="J12" s="11"/>
      <c r="K12" s="11"/>
      <c r="L12" s="11"/>
      <c r="M12" s="11"/>
    </row>
    <row r="13" spans="1:13" x14ac:dyDescent="0.2">
      <c r="A13" s="52"/>
      <c r="B13" s="9">
        <v>35</v>
      </c>
      <c r="C13" s="9" t="s">
        <v>600</v>
      </c>
      <c r="D13" s="9" t="s">
        <v>24</v>
      </c>
      <c r="E13" s="9" t="s">
        <v>31</v>
      </c>
      <c r="F13" s="9" t="s">
        <v>87</v>
      </c>
      <c r="G13" s="10" t="s">
        <v>27</v>
      </c>
      <c r="H13" s="11"/>
      <c r="I13" s="11"/>
      <c r="J13" s="11"/>
      <c r="K13" s="11"/>
      <c r="L13" s="11"/>
      <c r="M13" s="11"/>
    </row>
    <row r="14" spans="1:13" x14ac:dyDescent="0.2">
      <c r="A14" s="52"/>
      <c r="B14" s="9">
        <v>35</v>
      </c>
      <c r="C14" s="9" t="s">
        <v>601</v>
      </c>
      <c r="D14" s="9" t="s">
        <v>24</v>
      </c>
      <c r="E14" s="9" t="s">
        <v>31</v>
      </c>
      <c r="F14" s="9" t="s">
        <v>87</v>
      </c>
      <c r="G14" s="10" t="s">
        <v>27</v>
      </c>
      <c r="H14" s="11"/>
      <c r="I14" s="11"/>
      <c r="J14" s="11"/>
      <c r="K14" s="11"/>
      <c r="L14" s="11"/>
      <c r="M14" s="11"/>
    </row>
    <row r="15" spans="1:13" x14ac:dyDescent="0.2">
      <c r="A15" s="53"/>
      <c r="B15" s="9">
        <v>35</v>
      </c>
      <c r="C15" s="9" t="s">
        <v>602</v>
      </c>
      <c r="D15" s="9" t="s">
        <v>24</v>
      </c>
      <c r="E15" s="9" t="s">
        <v>31</v>
      </c>
      <c r="F15" s="9" t="s">
        <v>87</v>
      </c>
      <c r="G15" s="10" t="s">
        <v>27</v>
      </c>
      <c r="H15" s="11"/>
      <c r="I15" s="11"/>
      <c r="J15" s="11"/>
      <c r="K15" s="11"/>
      <c r="L15" s="11"/>
      <c r="M15" s="11"/>
    </row>
    <row r="16" spans="1:13" x14ac:dyDescent="0.2">
      <c r="A16" s="48" t="s">
        <v>22</v>
      </c>
      <c r="B16" s="12">
        <v>35</v>
      </c>
      <c r="C16" s="12" t="s">
        <v>603</v>
      </c>
      <c r="D16" s="12" t="s">
        <v>30</v>
      </c>
      <c r="E16" s="12" t="s">
        <v>25</v>
      </c>
      <c r="F16" s="12" t="s">
        <v>47</v>
      </c>
      <c r="G16" s="10" t="s">
        <v>27</v>
      </c>
      <c r="H16" s="11"/>
      <c r="I16" s="11"/>
      <c r="J16" s="11"/>
      <c r="K16" s="11"/>
      <c r="L16" s="11"/>
      <c r="M16" s="11"/>
    </row>
    <row r="17" spans="1:14" x14ac:dyDescent="0.2">
      <c r="A17" s="52"/>
      <c r="B17" s="12">
        <v>35</v>
      </c>
      <c r="C17" s="12" t="s">
        <v>604</v>
      </c>
      <c r="D17" s="12" t="s">
        <v>30</v>
      </c>
      <c r="E17" s="12" t="s">
        <v>25</v>
      </c>
      <c r="F17" s="12" t="s">
        <v>47</v>
      </c>
      <c r="G17" s="10" t="s">
        <v>27</v>
      </c>
      <c r="H17" s="11"/>
      <c r="I17" s="11"/>
      <c r="J17" s="27"/>
      <c r="K17" s="27"/>
      <c r="L17" s="27"/>
      <c r="M17" s="27"/>
      <c r="N17" s="27"/>
    </row>
    <row r="18" spans="1:14" x14ac:dyDescent="0.2">
      <c r="A18" s="52"/>
      <c r="B18" s="12">
        <v>35</v>
      </c>
      <c r="C18" s="12" t="s">
        <v>605</v>
      </c>
      <c r="D18" s="12" t="s">
        <v>24</v>
      </c>
      <c r="E18" s="12" t="s">
        <v>25</v>
      </c>
      <c r="F18" s="12" t="s">
        <v>47</v>
      </c>
      <c r="G18" s="10" t="s">
        <v>27</v>
      </c>
      <c r="H18" s="11"/>
      <c r="I18" s="11"/>
      <c r="J18" s="27"/>
      <c r="K18" s="27"/>
      <c r="L18" s="27"/>
      <c r="M18" s="27"/>
      <c r="N18" s="27"/>
    </row>
    <row r="19" spans="1:14" x14ac:dyDescent="0.2">
      <c r="A19" s="52"/>
      <c r="B19" s="9">
        <v>35</v>
      </c>
      <c r="C19" s="9" t="s">
        <v>606</v>
      </c>
      <c r="D19" s="9" t="s">
        <v>24</v>
      </c>
      <c r="E19" s="9" t="s">
        <v>25</v>
      </c>
      <c r="F19" s="9" t="s">
        <v>47</v>
      </c>
      <c r="G19" s="10" t="s">
        <v>27</v>
      </c>
      <c r="H19" s="11"/>
      <c r="I19" s="11"/>
      <c r="J19" s="27"/>
      <c r="K19" s="27"/>
      <c r="L19" s="27"/>
      <c r="M19" s="27"/>
      <c r="N19" s="27"/>
    </row>
    <row r="20" spans="1:14" x14ac:dyDescent="0.2">
      <c r="A20" s="52"/>
      <c r="B20" s="9">
        <v>35</v>
      </c>
      <c r="C20" s="9" t="s">
        <v>607</v>
      </c>
      <c r="D20" s="9" t="s">
        <v>24</v>
      </c>
      <c r="E20" s="9" t="s">
        <v>25</v>
      </c>
      <c r="F20" s="9" t="s">
        <v>47</v>
      </c>
      <c r="G20" s="10" t="s">
        <v>27</v>
      </c>
      <c r="H20" s="11"/>
      <c r="I20" s="11"/>
      <c r="J20" s="27"/>
      <c r="K20" s="27"/>
      <c r="L20" s="27"/>
      <c r="M20" s="27"/>
      <c r="N20" s="27"/>
    </row>
    <row r="21" spans="1:14" x14ac:dyDescent="0.2">
      <c r="A21" s="52"/>
      <c r="B21" s="9">
        <v>35</v>
      </c>
      <c r="C21" s="9" t="s">
        <v>608</v>
      </c>
      <c r="D21" s="9" t="s">
        <v>30</v>
      </c>
      <c r="E21" s="9" t="s">
        <v>25</v>
      </c>
      <c r="F21" s="9" t="s">
        <v>47</v>
      </c>
      <c r="G21" s="10" t="s">
        <v>27</v>
      </c>
      <c r="H21" s="11"/>
      <c r="I21" s="11"/>
      <c r="J21" s="27"/>
      <c r="K21" s="27"/>
      <c r="L21" s="27"/>
      <c r="M21" s="27"/>
      <c r="N21" s="27"/>
    </row>
    <row r="22" spans="1:14" x14ac:dyDescent="0.2">
      <c r="A22" s="52"/>
      <c r="B22" s="9">
        <v>35</v>
      </c>
      <c r="C22" s="9" t="s">
        <v>609</v>
      </c>
      <c r="D22" s="9" t="s">
        <v>24</v>
      </c>
      <c r="E22" s="9" t="s">
        <v>25</v>
      </c>
      <c r="F22" s="9" t="s">
        <v>47</v>
      </c>
      <c r="G22" s="10" t="s">
        <v>27</v>
      </c>
      <c r="H22" s="11"/>
      <c r="I22" s="11"/>
      <c r="J22" s="27"/>
      <c r="K22" s="27"/>
      <c r="L22" s="27"/>
      <c r="M22" s="27"/>
      <c r="N22" s="27"/>
    </row>
    <row r="23" spans="1:14" x14ac:dyDescent="0.2">
      <c r="A23" s="52"/>
      <c r="B23" s="9">
        <v>35</v>
      </c>
      <c r="C23" s="9" t="s">
        <v>610</v>
      </c>
      <c r="D23" s="9" t="s">
        <v>24</v>
      </c>
      <c r="E23" s="9" t="s">
        <v>25</v>
      </c>
      <c r="F23" s="9" t="s">
        <v>47</v>
      </c>
      <c r="G23" s="10" t="s">
        <v>27</v>
      </c>
      <c r="H23" s="11"/>
      <c r="I23" s="11"/>
      <c r="J23" s="27"/>
      <c r="K23" s="27"/>
      <c r="L23" s="27"/>
      <c r="M23" s="27"/>
      <c r="N23" s="27"/>
    </row>
    <row r="24" spans="1:14" x14ac:dyDescent="0.2">
      <c r="A24" s="52"/>
      <c r="B24" s="9">
        <v>35</v>
      </c>
      <c r="C24" s="9" t="s">
        <v>611</v>
      </c>
      <c r="D24" s="9" t="s">
        <v>24</v>
      </c>
      <c r="E24" s="9" t="s">
        <v>25</v>
      </c>
      <c r="F24" s="9" t="s">
        <v>47</v>
      </c>
      <c r="G24" s="10" t="s">
        <v>27</v>
      </c>
      <c r="H24" s="11"/>
      <c r="I24" s="11"/>
      <c r="J24" s="27"/>
      <c r="K24" s="27"/>
      <c r="L24" s="27"/>
      <c r="M24" s="27"/>
      <c r="N24" s="27"/>
    </row>
    <row r="25" spans="1:14" x14ac:dyDescent="0.2">
      <c r="A25" s="53"/>
      <c r="B25" s="9">
        <v>35</v>
      </c>
      <c r="C25" s="9" t="s">
        <v>612</v>
      </c>
      <c r="D25" s="9" t="s">
        <v>24</v>
      </c>
      <c r="E25" s="9" t="s">
        <v>25</v>
      </c>
      <c r="F25" s="9" t="s">
        <v>47</v>
      </c>
      <c r="G25" s="10" t="s">
        <v>27</v>
      </c>
      <c r="H25" s="11"/>
      <c r="I25" s="11"/>
      <c r="J25" s="27"/>
      <c r="K25" s="27"/>
      <c r="L25" s="27"/>
      <c r="M25" s="27"/>
      <c r="N25" s="27"/>
    </row>
    <row r="26" spans="1:14" x14ac:dyDescent="0.2">
      <c r="A26" s="48" t="s">
        <v>28</v>
      </c>
      <c r="B26" s="9">
        <v>35</v>
      </c>
      <c r="C26" s="9" t="s">
        <v>613</v>
      </c>
      <c r="D26" s="9" t="s">
        <v>24</v>
      </c>
      <c r="E26" s="9" t="s">
        <v>31</v>
      </c>
      <c r="F26" s="9" t="s">
        <v>47</v>
      </c>
      <c r="G26" s="10" t="s">
        <v>27</v>
      </c>
      <c r="H26" s="11"/>
      <c r="I26" s="11"/>
      <c r="J26" s="11"/>
      <c r="K26" s="11"/>
      <c r="L26" s="11"/>
      <c r="M26" s="11"/>
    </row>
    <row r="27" spans="1:14" x14ac:dyDescent="0.2">
      <c r="A27" s="51"/>
      <c r="B27" s="9">
        <v>35</v>
      </c>
      <c r="C27" s="9" t="s">
        <v>614</v>
      </c>
      <c r="D27" s="9" t="s">
        <v>24</v>
      </c>
      <c r="E27" s="9" t="s">
        <v>31</v>
      </c>
      <c r="F27" s="9" t="s">
        <v>47</v>
      </c>
      <c r="G27" s="10" t="s">
        <v>27</v>
      </c>
      <c r="H27" s="11"/>
      <c r="I27" s="11"/>
      <c r="J27" s="11"/>
      <c r="K27" s="11"/>
      <c r="L27" s="11"/>
      <c r="M27" s="11"/>
    </row>
    <row r="28" spans="1:14" x14ac:dyDescent="0.2">
      <c r="A28" s="50"/>
      <c r="B28" s="9">
        <v>35</v>
      </c>
      <c r="C28" s="9" t="s">
        <v>615</v>
      </c>
      <c r="D28" s="9" t="s">
        <v>24</v>
      </c>
      <c r="E28" s="9" t="s">
        <v>31</v>
      </c>
      <c r="F28" s="9" t="s">
        <v>47</v>
      </c>
      <c r="G28" s="10" t="s">
        <v>27</v>
      </c>
      <c r="H28" s="11"/>
      <c r="I28" s="11"/>
      <c r="J28" s="11"/>
      <c r="K28" s="11"/>
      <c r="L28" s="11"/>
      <c r="M28" s="11"/>
    </row>
    <row r="29" spans="1:14" x14ac:dyDescent="0.2">
      <c r="A29" s="51"/>
      <c r="B29" s="9">
        <v>35</v>
      </c>
      <c r="C29" s="9" t="s">
        <v>616</v>
      </c>
      <c r="D29" s="9" t="s">
        <v>24</v>
      </c>
      <c r="E29" s="9" t="s">
        <v>31</v>
      </c>
      <c r="F29" s="9" t="s">
        <v>47</v>
      </c>
      <c r="G29" s="10" t="s">
        <v>27</v>
      </c>
      <c r="H29" s="11"/>
      <c r="I29" s="11"/>
      <c r="J29" s="11"/>
      <c r="K29" s="11"/>
      <c r="L29" s="11"/>
      <c r="M29" s="11"/>
    </row>
    <row r="30" spans="1:14" x14ac:dyDescent="0.2">
      <c r="A30" s="50"/>
      <c r="B30" s="9">
        <v>35</v>
      </c>
      <c r="C30" s="9" t="s">
        <v>617</v>
      </c>
      <c r="D30" s="9" t="s">
        <v>24</v>
      </c>
      <c r="E30" s="9" t="s">
        <v>31</v>
      </c>
      <c r="F30" s="9" t="s">
        <v>47</v>
      </c>
      <c r="G30" s="10" t="s">
        <v>27</v>
      </c>
      <c r="H30" s="11"/>
      <c r="I30" s="11"/>
      <c r="J30" s="11"/>
      <c r="K30" s="11"/>
      <c r="L30" s="11"/>
      <c r="M30" s="11"/>
    </row>
    <row r="31" spans="1:14" x14ac:dyDescent="0.2">
      <c r="A31" s="51"/>
      <c r="B31" s="9">
        <v>35</v>
      </c>
      <c r="C31" s="9" t="s">
        <v>618</v>
      </c>
      <c r="D31" s="9" t="s">
        <v>30</v>
      </c>
      <c r="E31" s="9" t="s">
        <v>31</v>
      </c>
      <c r="F31" s="9" t="s">
        <v>26</v>
      </c>
      <c r="G31" s="10" t="s">
        <v>27</v>
      </c>
      <c r="H31" s="11"/>
      <c r="I31" s="11"/>
      <c r="J31" s="11"/>
      <c r="K31" s="11"/>
      <c r="L31" s="11"/>
      <c r="M31" s="11"/>
    </row>
    <row r="32" spans="1:14" x14ac:dyDescent="0.2">
      <c r="A32" s="49"/>
      <c r="B32" s="9">
        <v>35</v>
      </c>
      <c r="C32" s="9" t="s">
        <v>619</v>
      </c>
      <c r="D32" s="9" t="s">
        <v>24</v>
      </c>
      <c r="E32" s="9" t="s">
        <v>31</v>
      </c>
      <c r="F32" s="9" t="s">
        <v>26</v>
      </c>
      <c r="G32" s="10" t="s">
        <v>27</v>
      </c>
      <c r="H32" s="11"/>
      <c r="I32" s="11"/>
      <c r="J32" s="11"/>
      <c r="K32" s="11"/>
      <c r="L32" s="11"/>
      <c r="M32" s="11"/>
    </row>
    <row r="33" spans="1:13" x14ac:dyDescent="0.2">
      <c r="A33" s="48" t="s">
        <v>33</v>
      </c>
      <c r="B33" s="9">
        <v>35</v>
      </c>
      <c r="C33" s="9" t="s">
        <v>620</v>
      </c>
      <c r="D33" s="9" t="s">
        <v>24</v>
      </c>
      <c r="E33" s="9" t="s">
        <v>31</v>
      </c>
      <c r="F33" s="9" t="s">
        <v>26</v>
      </c>
      <c r="G33" s="10" t="s">
        <v>27</v>
      </c>
      <c r="H33" s="11"/>
      <c r="I33" s="11"/>
      <c r="J33" s="11"/>
      <c r="K33" s="11"/>
      <c r="L33" s="11"/>
      <c r="M33" s="11"/>
    </row>
    <row r="34" spans="1:13" x14ac:dyDescent="0.2">
      <c r="A34" s="50"/>
      <c r="B34" s="9">
        <v>35</v>
      </c>
      <c r="C34" s="9" t="s">
        <v>621</v>
      </c>
      <c r="D34" s="9" t="s">
        <v>24</v>
      </c>
      <c r="E34" s="9" t="s">
        <v>31</v>
      </c>
      <c r="F34" s="9" t="s">
        <v>26</v>
      </c>
      <c r="G34" s="10" t="s">
        <v>27</v>
      </c>
      <c r="H34" s="11"/>
      <c r="I34" s="11"/>
      <c r="J34" s="11"/>
      <c r="K34" s="11"/>
      <c r="L34" s="11"/>
      <c r="M34" s="11"/>
    </row>
    <row r="35" spans="1:13" x14ac:dyDescent="0.2">
      <c r="A35" s="51"/>
      <c r="B35" s="9">
        <v>35</v>
      </c>
      <c r="C35" s="9" t="s">
        <v>622</v>
      </c>
      <c r="D35" s="9" t="s">
        <v>24</v>
      </c>
      <c r="E35" s="9" t="s">
        <v>31</v>
      </c>
      <c r="F35" s="9" t="s">
        <v>26</v>
      </c>
      <c r="G35" s="10" t="s">
        <v>27</v>
      </c>
      <c r="H35" s="11"/>
      <c r="I35" s="11"/>
      <c r="J35" s="11"/>
      <c r="K35" s="11"/>
      <c r="L35" s="11"/>
      <c r="M35" s="11"/>
    </row>
    <row r="36" spans="1:13" x14ac:dyDescent="0.2">
      <c r="A36" s="50"/>
      <c r="B36" s="9">
        <v>35</v>
      </c>
      <c r="C36" s="9" t="s">
        <v>623</v>
      </c>
      <c r="D36" s="9" t="s">
        <v>24</v>
      </c>
      <c r="E36" s="9" t="s">
        <v>31</v>
      </c>
      <c r="F36" s="9" t="s">
        <v>26</v>
      </c>
      <c r="G36" s="10" t="s">
        <v>27</v>
      </c>
      <c r="H36" s="11"/>
      <c r="I36" s="11"/>
      <c r="J36" s="11"/>
      <c r="K36" s="11"/>
      <c r="L36" s="11"/>
      <c r="M36" s="11"/>
    </row>
    <row r="37" spans="1:13" ht="12.75" x14ac:dyDescent="0.2">
      <c r="A37" s="51"/>
      <c r="B37" s="9">
        <v>35</v>
      </c>
      <c r="C37" s="9" t="s">
        <v>624</v>
      </c>
      <c r="D37" s="9" t="s">
        <v>24</v>
      </c>
      <c r="E37" s="9" t="s">
        <v>31</v>
      </c>
      <c r="F37" s="9" t="s">
        <v>26</v>
      </c>
      <c r="G37" s="10" t="s">
        <v>27</v>
      </c>
      <c r="H37" s="11"/>
      <c r="I37" s="11"/>
      <c r="J37" s="11"/>
      <c r="K37" s="11"/>
      <c r="L37" s="11"/>
      <c r="M37" s="11"/>
    </row>
    <row r="38" spans="1:13" ht="12.75" x14ac:dyDescent="0.2">
      <c r="A38" s="50"/>
      <c r="B38" s="9">
        <v>35</v>
      </c>
      <c r="C38" s="9" t="s">
        <v>625</v>
      </c>
      <c r="D38" s="9" t="s">
        <v>24</v>
      </c>
      <c r="E38" s="9" t="s">
        <v>31</v>
      </c>
      <c r="F38" s="9" t="s">
        <v>26</v>
      </c>
      <c r="G38" s="10" t="s">
        <v>27</v>
      </c>
      <c r="H38" s="11"/>
      <c r="I38" s="11"/>
      <c r="J38" s="11"/>
      <c r="K38" s="11"/>
      <c r="L38" s="11"/>
      <c r="M38" s="11"/>
    </row>
    <row r="39" spans="1:13" ht="12.75" x14ac:dyDescent="0.2">
      <c r="A39" s="51"/>
      <c r="B39" s="9">
        <v>35</v>
      </c>
      <c r="C39" s="9" t="s">
        <v>613</v>
      </c>
      <c r="D39" s="9" t="s">
        <v>24</v>
      </c>
      <c r="E39" s="9" t="s">
        <v>31</v>
      </c>
      <c r="F39" s="9" t="s">
        <v>26</v>
      </c>
      <c r="G39" s="10" t="s">
        <v>27</v>
      </c>
      <c r="H39" s="11"/>
      <c r="I39" s="11"/>
      <c r="J39" s="11"/>
      <c r="K39" s="11"/>
      <c r="L39" s="11"/>
      <c r="M39" s="11"/>
    </row>
    <row r="40" spans="1:13" ht="12.75" x14ac:dyDescent="0.2">
      <c r="A40" s="50"/>
      <c r="B40" s="9">
        <v>35</v>
      </c>
      <c r="C40" s="9" t="s">
        <v>626</v>
      </c>
      <c r="D40" s="9" t="s">
        <v>24</v>
      </c>
      <c r="E40" s="9" t="s">
        <v>31</v>
      </c>
      <c r="F40" s="9" t="s">
        <v>26</v>
      </c>
      <c r="G40" s="10" t="s">
        <v>27</v>
      </c>
      <c r="H40" s="11"/>
      <c r="I40" s="11"/>
      <c r="J40" s="11"/>
      <c r="K40" s="11"/>
      <c r="L40" s="11"/>
      <c r="M40" s="11"/>
    </row>
    <row r="41" spans="1:13" ht="12.75" x14ac:dyDescent="0.2">
      <c r="A41" s="51"/>
      <c r="B41" s="9">
        <v>35</v>
      </c>
      <c r="C41" s="9" t="s">
        <v>627</v>
      </c>
      <c r="D41" s="9" t="s">
        <v>24</v>
      </c>
      <c r="E41" s="9" t="s">
        <v>31</v>
      </c>
      <c r="F41" s="9" t="s">
        <v>26</v>
      </c>
      <c r="G41" s="10" t="s">
        <v>27</v>
      </c>
      <c r="H41" s="11"/>
      <c r="I41" s="11"/>
      <c r="J41" s="11"/>
      <c r="K41" s="11"/>
      <c r="L41" s="11"/>
      <c r="M41" s="11"/>
    </row>
    <row r="42" spans="1:13" ht="12.75" x14ac:dyDescent="0.2">
      <c r="A42" s="50"/>
      <c r="B42" s="9">
        <v>35</v>
      </c>
      <c r="C42" s="9" t="s">
        <v>628</v>
      </c>
      <c r="D42" s="9" t="s">
        <v>24</v>
      </c>
      <c r="E42" s="9" t="s">
        <v>31</v>
      </c>
      <c r="F42" s="9" t="s">
        <v>26</v>
      </c>
      <c r="G42" s="10" t="s">
        <v>27</v>
      </c>
      <c r="H42" s="11"/>
      <c r="I42" s="11"/>
      <c r="J42" s="11"/>
      <c r="K42" s="11"/>
      <c r="L42" s="11"/>
      <c r="M42" s="11"/>
    </row>
    <row r="43" spans="1:13" ht="12.75" x14ac:dyDescent="0.2">
      <c r="A43" s="52"/>
      <c r="B43" s="9">
        <v>35</v>
      </c>
      <c r="C43" s="9" t="s">
        <v>615</v>
      </c>
      <c r="D43" s="9" t="s">
        <v>24</v>
      </c>
      <c r="E43" s="9" t="s">
        <v>31</v>
      </c>
      <c r="F43" s="9" t="s">
        <v>26</v>
      </c>
      <c r="G43" s="10" t="s">
        <v>27</v>
      </c>
      <c r="H43" s="11"/>
      <c r="I43" s="11"/>
      <c r="J43" s="11"/>
      <c r="K43" s="11"/>
      <c r="L43" s="11"/>
      <c r="M43" s="11"/>
    </row>
    <row r="44" spans="1:13" ht="12.75" x14ac:dyDescent="0.2">
      <c r="A44" s="52"/>
      <c r="B44" s="9">
        <v>35</v>
      </c>
      <c r="C44" s="9" t="s">
        <v>629</v>
      </c>
      <c r="D44" s="9" t="s">
        <v>24</v>
      </c>
      <c r="E44" s="9" t="s">
        <v>31</v>
      </c>
      <c r="F44" s="9" t="s">
        <v>26</v>
      </c>
      <c r="G44" s="10" t="s">
        <v>27</v>
      </c>
      <c r="H44" s="11"/>
      <c r="I44" s="11"/>
      <c r="J44" s="11"/>
      <c r="K44" s="11"/>
      <c r="L44" s="11"/>
      <c r="M44" s="11"/>
    </row>
    <row r="45" spans="1:13" ht="12.75" x14ac:dyDescent="0.2">
      <c r="A45" s="52"/>
      <c r="B45" s="9">
        <v>35</v>
      </c>
      <c r="C45" s="9" t="s">
        <v>616</v>
      </c>
      <c r="D45" s="9" t="s">
        <v>24</v>
      </c>
      <c r="E45" s="9" t="s">
        <v>31</v>
      </c>
      <c r="F45" s="9" t="s">
        <v>26</v>
      </c>
      <c r="G45" s="10" t="s">
        <v>27</v>
      </c>
      <c r="H45" s="11"/>
      <c r="I45" s="11"/>
      <c r="J45" s="11"/>
      <c r="K45" s="11"/>
      <c r="L45" s="11"/>
      <c r="M45" s="11"/>
    </row>
    <row r="46" spans="1:13" ht="12.75" x14ac:dyDescent="0.2">
      <c r="A46" s="52"/>
      <c r="B46" s="9">
        <v>35</v>
      </c>
      <c r="C46" s="9" t="s">
        <v>630</v>
      </c>
      <c r="D46" s="9" t="s">
        <v>24</v>
      </c>
      <c r="E46" s="9" t="s">
        <v>31</v>
      </c>
      <c r="F46" s="9" t="s">
        <v>26</v>
      </c>
      <c r="G46" s="10" t="s">
        <v>27</v>
      </c>
      <c r="H46" s="11"/>
      <c r="I46" s="11"/>
      <c r="J46" s="11"/>
      <c r="K46" s="11"/>
      <c r="L46" s="11"/>
      <c r="M46" s="11"/>
    </row>
    <row r="47" spans="1:13" ht="12.75" x14ac:dyDescent="0.2">
      <c r="A47" s="52"/>
      <c r="B47" s="9">
        <v>35</v>
      </c>
      <c r="C47" s="9" t="s">
        <v>631</v>
      </c>
      <c r="D47" s="9" t="s">
        <v>24</v>
      </c>
      <c r="E47" s="9" t="s">
        <v>31</v>
      </c>
      <c r="F47" s="9" t="s">
        <v>26</v>
      </c>
      <c r="G47" s="10" t="s">
        <v>27</v>
      </c>
      <c r="H47" s="11"/>
      <c r="I47" s="11"/>
      <c r="J47" s="11"/>
      <c r="K47" s="11"/>
      <c r="L47" s="11"/>
      <c r="M47" s="11"/>
    </row>
    <row r="48" spans="1:13" ht="12.75" x14ac:dyDescent="0.2">
      <c r="A48" s="52"/>
      <c r="B48" s="9">
        <v>35</v>
      </c>
      <c r="C48" s="9" t="s">
        <v>632</v>
      </c>
      <c r="D48" s="9" t="s">
        <v>24</v>
      </c>
      <c r="E48" s="9" t="s">
        <v>31</v>
      </c>
      <c r="F48" s="9" t="s">
        <v>47</v>
      </c>
      <c r="G48" s="10" t="s">
        <v>27</v>
      </c>
      <c r="H48" s="11"/>
      <c r="I48" s="11"/>
      <c r="J48" s="11"/>
      <c r="K48" s="11"/>
      <c r="L48" s="11"/>
      <c r="M48" s="11"/>
    </row>
    <row r="49" spans="1:13" ht="12.75" x14ac:dyDescent="0.2">
      <c r="A49" s="52"/>
      <c r="B49" s="9">
        <v>35</v>
      </c>
      <c r="C49" s="9" t="s">
        <v>633</v>
      </c>
      <c r="D49" s="9" t="s">
        <v>30</v>
      </c>
      <c r="E49" s="9" t="s">
        <v>31</v>
      </c>
      <c r="F49" s="9" t="s">
        <v>26</v>
      </c>
      <c r="G49" s="10" t="s">
        <v>27</v>
      </c>
      <c r="H49" s="11"/>
      <c r="I49" s="11"/>
      <c r="J49" s="11"/>
      <c r="K49" s="11"/>
      <c r="L49" s="11"/>
      <c r="M49" s="11"/>
    </row>
    <row r="50" spans="1:13" ht="12.75" x14ac:dyDescent="0.2">
      <c r="A50" s="52"/>
      <c r="B50" s="9">
        <v>35</v>
      </c>
      <c r="C50" s="9" t="s">
        <v>634</v>
      </c>
      <c r="D50" s="9" t="s">
        <v>24</v>
      </c>
      <c r="E50" s="9" t="s">
        <v>31</v>
      </c>
      <c r="F50" s="9" t="s">
        <v>26</v>
      </c>
      <c r="G50" s="10" t="s">
        <v>27</v>
      </c>
      <c r="H50" s="11"/>
      <c r="I50" s="11"/>
      <c r="J50" s="11"/>
      <c r="K50" s="11"/>
      <c r="L50" s="11"/>
      <c r="M50" s="11"/>
    </row>
    <row r="51" spans="1:13" ht="12.75" x14ac:dyDescent="0.2">
      <c r="A51" s="52"/>
      <c r="B51" s="9">
        <v>35</v>
      </c>
      <c r="C51" s="9" t="s">
        <v>635</v>
      </c>
      <c r="D51" s="9" t="s">
        <v>24</v>
      </c>
      <c r="E51" s="9" t="s">
        <v>31</v>
      </c>
      <c r="F51" s="9" t="s">
        <v>26</v>
      </c>
      <c r="G51" s="10" t="s">
        <v>27</v>
      </c>
      <c r="H51" s="11"/>
      <c r="I51" s="11"/>
      <c r="J51" s="11"/>
      <c r="K51" s="11"/>
      <c r="L51" s="11"/>
      <c r="M51" s="11"/>
    </row>
    <row r="52" spans="1:13" ht="12.75" x14ac:dyDescent="0.2">
      <c r="A52" s="53"/>
      <c r="B52" s="9">
        <v>35</v>
      </c>
      <c r="C52" s="9" t="s">
        <v>635</v>
      </c>
      <c r="D52" s="9" t="s">
        <v>24</v>
      </c>
      <c r="E52" s="9" t="s">
        <v>31</v>
      </c>
      <c r="F52" s="9" t="s">
        <v>26</v>
      </c>
      <c r="G52" s="10" t="s">
        <v>27</v>
      </c>
      <c r="H52" s="11"/>
      <c r="I52" s="11"/>
      <c r="J52" s="11"/>
      <c r="K52" s="11"/>
      <c r="L52" s="11"/>
      <c r="M52" s="11"/>
    </row>
    <row r="53" spans="1:13" ht="12.75" x14ac:dyDescent="0.2">
      <c r="A53" s="48" t="s">
        <v>38</v>
      </c>
      <c r="B53" s="9">
        <v>35</v>
      </c>
      <c r="C53" s="9" t="s">
        <v>636</v>
      </c>
      <c r="D53" s="9" t="s">
        <v>24</v>
      </c>
      <c r="E53" s="9" t="s">
        <v>25</v>
      </c>
      <c r="F53" s="9" t="s">
        <v>87</v>
      </c>
      <c r="G53" s="10" t="s">
        <v>27</v>
      </c>
      <c r="H53" s="11"/>
      <c r="I53" s="11"/>
      <c r="J53" s="11"/>
      <c r="K53" s="11"/>
      <c r="L53" s="11"/>
      <c r="M53" s="11"/>
    </row>
    <row r="54" spans="1:13" ht="12.75" x14ac:dyDescent="0.2">
      <c r="A54" s="52"/>
      <c r="B54" s="9">
        <v>35</v>
      </c>
      <c r="C54" s="9" t="s">
        <v>637</v>
      </c>
      <c r="D54" s="9" t="s">
        <v>24</v>
      </c>
      <c r="E54" s="9" t="s">
        <v>25</v>
      </c>
      <c r="F54" s="9" t="s">
        <v>87</v>
      </c>
      <c r="G54" s="10" t="s">
        <v>27</v>
      </c>
      <c r="H54" s="11"/>
      <c r="I54" s="11"/>
      <c r="J54" s="11"/>
      <c r="K54" s="11"/>
      <c r="L54" s="11"/>
      <c r="M54" s="11"/>
    </row>
    <row r="55" spans="1:13" ht="12.75" x14ac:dyDescent="0.2">
      <c r="A55" s="52"/>
      <c r="B55" s="9">
        <v>35</v>
      </c>
      <c r="C55" s="9" t="s">
        <v>638</v>
      </c>
      <c r="D55" s="9" t="s">
        <v>24</v>
      </c>
      <c r="E55" s="9" t="s">
        <v>25</v>
      </c>
      <c r="F55" s="9" t="s">
        <v>87</v>
      </c>
      <c r="G55" s="10" t="s">
        <v>27</v>
      </c>
      <c r="H55" s="11"/>
      <c r="I55" s="11"/>
      <c r="J55" s="11"/>
      <c r="K55" s="11"/>
      <c r="L55" s="11"/>
      <c r="M55" s="11"/>
    </row>
    <row r="56" spans="1:13" ht="12.75" x14ac:dyDescent="0.2">
      <c r="A56" s="52"/>
      <c r="B56" s="9">
        <v>35</v>
      </c>
      <c r="C56" s="9" t="s">
        <v>639</v>
      </c>
      <c r="D56" s="9" t="s">
        <v>24</v>
      </c>
      <c r="E56" s="9" t="s">
        <v>25</v>
      </c>
      <c r="F56" s="9" t="s">
        <v>26</v>
      </c>
      <c r="G56" s="10" t="s">
        <v>27</v>
      </c>
      <c r="H56" s="13"/>
      <c r="I56" s="13"/>
    </row>
    <row r="57" spans="1:13" ht="12.75" x14ac:dyDescent="0.2">
      <c r="A57" s="52"/>
      <c r="B57" s="9">
        <v>35</v>
      </c>
      <c r="C57" s="9" t="s">
        <v>640</v>
      </c>
      <c r="D57" s="9" t="s">
        <v>24</v>
      </c>
      <c r="E57" s="9" t="s">
        <v>25</v>
      </c>
      <c r="F57" s="9" t="s">
        <v>87</v>
      </c>
      <c r="G57" s="10" t="s">
        <v>27</v>
      </c>
      <c r="H57" s="13"/>
      <c r="I57" s="13"/>
    </row>
    <row r="58" spans="1:13" ht="12.75" x14ac:dyDescent="0.2">
      <c r="A58" s="52"/>
      <c r="B58" s="9">
        <v>35</v>
      </c>
      <c r="C58" s="9" t="s">
        <v>641</v>
      </c>
      <c r="D58" s="9" t="s">
        <v>24</v>
      </c>
      <c r="E58" s="9" t="s">
        <v>25</v>
      </c>
      <c r="F58" s="9" t="s">
        <v>87</v>
      </c>
      <c r="G58" s="10" t="s">
        <v>27</v>
      </c>
      <c r="H58" s="13"/>
      <c r="I58" s="13"/>
    </row>
    <row r="59" spans="1:13" ht="12.75" x14ac:dyDescent="0.2">
      <c r="A59" s="52"/>
      <c r="B59" s="9">
        <v>35</v>
      </c>
      <c r="C59" s="9" t="s">
        <v>642</v>
      </c>
      <c r="D59" s="9" t="s">
        <v>24</v>
      </c>
      <c r="E59" s="9" t="s">
        <v>25</v>
      </c>
      <c r="F59" s="9" t="s">
        <v>87</v>
      </c>
      <c r="G59" s="10" t="s">
        <v>27</v>
      </c>
      <c r="H59" s="13"/>
      <c r="I59" s="13"/>
    </row>
    <row r="60" spans="1:13" ht="12.75" x14ac:dyDescent="0.2">
      <c r="A60" s="52"/>
      <c r="B60" s="9">
        <v>35</v>
      </c>
      <c r="C60" s="9" t="s">
        <v>643</v>
      </c>
      <c r="D60" s="9" t="s">
        <v>24</v>
      </c>
      <c r="E60" s="9" t="s">
        <v>25</v>
      </c>
      <c r="F60" s="9" t="s">
        <v>87</v>
      </c>
      <c r="G60" s="10" t="s">
        <v>27</v>
      </c>
      <c r="H60" s="13"/>
      <c r="I60" s="13"/>
    </row>
    <row r="61" spans="1:13" ht="12.75" x14ac:dyDescent="0.2">
      <c r="A61" s="52"/>
      <c r="B61" s="9">
        <v>35</v>
      </c>
      <c r="C61" s="9" t="s">
        <v>606</v>
      </c>
      <c r="D61" s="9" t="s">
        <v>24</v>
      </c>
      <c r="E61" s="9" t="s">
        <v>25</v>
      </c>
      <c r="F61" s="9" t="s">
        <v>87</v>
      </c>
      <c r="G61" s="10" t="s">
        <v>27</v>
      </c>
      <c r="H61" s="13"/>
      <c r="I61" s="13"/>
    </row>
    <row r="62" spans="1:13" ht="12.75" x14ac:dyDescent="0.2">
      <c r="A62" s="52"/>
      <c r="B62" s="9">
        <v>35</v>
      </c>
      <c r="C62" s="9" t="s">
        <v>644</v>
      </c>
      <c r="D62" s="9" t="s">
        <v>24</v>
      </c>
      <c r="E62" s="9" t="s">
        <v>25</v>
      </c>
      <c r="F62" s="9" t="s">
        <v>87</v>
      </c>
      <c r="G62" s="10" t="s">
        <v>27</v>
      </c>
      <c r="H62" s="13"/>
      <c r="I62" s="13"/>
    </row>
    <row r="63" spans="1:13" ht="12.75" x14ac:dyDescent="0.2">
      <c r="A63" s="52"/>
      <c r="B63" s="9">
        <v>35</v>
      </c>
      <c r="C63" s="9" t="s">
        <v>645</v>
      </c>
      <c r="D63" s="9" t="s">
        <v>24</v>
      </c>
      <c r="E63" s="9" t="s">
        <v>25</v>
      </c>
      <c r="F63" s="9" t="s">
        <v>87</v>
      </c>
      <c r="G63" s="10" t="s">
        <v>27</v>
      </c>
      <c r="H63" s="13"/>
      <c r="I63" s="13"/>
    </row>
    <row r="64" spans="1:13" ht="12.75" x14ac:dyDescent="0.2">
      <c r="A64" s="52"/>
      <c r="B64" s="9">
        <v>35</v>
      </c>
      <c r="C64" s="9" t="s">
        <v>646</v>
      </c>
      <c r="D64" s="9" t="s">
        <v>24</v>
      </c>
      <c r="E64" s="9" t="s">
        <v>25</v>
      </c>
      <c r="F64" s="9" t="s">
        <v>87</v>
      </c>
      <c r="G64" s="10" t="s">
        <v>27</v>
      </c>
      <c r="H64" s="13"/>
      <c r="I64" s="13"/>
    </row>
    <row r="65" spans="1:9" ht="12.75" x14ac:dyDescent="0.2">
      <c r="A65" s="53"/>
      <c r="B65" s="9">
        <v>35</v>
      </c>
      <c r="C65" s="9" t="s">
        <v>610</v>
      </c>
      <c r="D65" s="9" t="s">
        <v>24</v>
      </c>
      <c r="E65" s="9" t="s">
        <v>25</v>
      </c>
      <c r="F65" s="9" t="s">
        <v>87</v>
      </c>
      <c r="G65" s="10" t="s">
        <v>27</v>
      </c>
      <c r="H65" s="13"/>
      <c r="I65" s="13"/>
    </row>
    <row r="66" spans="1:9" ht="12.75" x14ac:dyDescent="0.2">
      <c r="A66" s="48" t="s">
        <v>46</v>
      </c>
      <c r="B66" s="9">
        <v>35</v>
      </c>
      <c r="C66" s="9" t="s">
        <v>647</v>
      </c>
      <c r="D66" s="9" t="s">
        <v>24</v>
      </c>
      <c r="E66" s="9" t="s">
        <v>31</v>
      </c>
      <c r="F66" s="9" t="s">
        <v>87</v>
      </c>
      <c r="G66" s="10" t="s">
        <v>27</v>
      </c>
      <c r="H66" s="13"/>
      <c r="I66" s="13"/>
    </row>
    <row r="67" spans="1:9" ht="12.75" x14ac:dyDescent="0.2">
      <c r="A67" s="52"/>
      <c r="B67" s="9">
        <v>35</v>
      </c>
      <c r="C67" s="9" t="s">
        <v>648</v>
      </c>
      <c r="D67" s="9" t="s">
        <v>24</v>
      </c>
      <c r="E67" s="9" t="s">
        <v>31</v>
      </c>
      <c r="F67" s="9" t="s">
        <v>87</v>
      </c>
      <c r="G67" s="10" t="s">
        <v>27</v>
      </c>
      <c r="H67" s="13"/>
      <c r="I67" s="13"/>
    </row>
    <row r="68" spans="1:9" ht="12.75" x14ac:dyDescent="0.2">
      <c r="A68" s="52"/>
      <c r="B68" s="9">
        <v>35</v>
      </c>
      <c r="C68" s="9" t="s">
        <v>588</v>
      </c>
      <c r="D68" s="9" t="s">
        <v>24</v>
      </c>
      <c r="E68" s="9" t="s">
        <v>31</v>
      </c>
      <c r="F68" s="9" t="s">
        <v>87</v>
      </c>
      <c r="G68" s="10" t="s">
        <v>27</v>
      </c>
      <c r="H68" s="13"/>
      <c r="I68" s="13"/>
    </row>
    <row r="69" spans="1:9" ht="12.75" x14ac:dyDescent="0.2">
      <c r="A69" s="52"/>
      <c r="B69" s="9">
        <v>35</v>
      </c>
      <c r="C69" s="9" t="s">
        <v>649</v>
      </c>
      <c r="D69" s="9" t="s">
        <v>24</v>
      </c>
      <c r="E69" s="9" t="s">
        <v>31</v>
      </c>
      <c r="F69" s="9" t="s">
        <v>87</v>
      </c>
      <c r="G69" s="10" t="s">
        <v>27</v>
      </c>
      <c r="H69" s="13"/>
      <c r="I69" s="13"/>
    </row>
    <row r="70" spans="1:9" ht="12.75" x14ac:dyDescent="0.2">
      <c r="A70" s="52"/>
      <c r="B70" s="9">
        <v>35</v>
      </c>
      <c r="C70" s="9" t="s">
        <v>624</v>
      </c>
      <c r="D70" s="9" t="s">
        <v>24</v>
      </c>
      <c r="E70" s="9" t="s">
        <v>31</v>
      </c>
      <c r="F70" s="9" t="s">
        <v>87</v>
      </c>
      <c r="G70" s="10" t="s">
        <v>27</v>
      </c>
      <c r="H70" s="13"/>
      <c r="I70" s="13"/>
    </row>
    <row r="71" spans="1:9" ht="12.75" x14ac:dyDescent="0.2">
      <c r="A71" s="52"/>
      <c r="B71" s="9">
        <v>35</v>
      </c>
      <c r="C71" s="9" t="s">
        <v>625</v>
      </c>
      <c r="D71" s="9" t="s">
        <v>24</v>
      </c>
      <c r="E71" s="9" t="s">
        <v>31</v>
      </c>
      <c r="F71" s="9" t="s">
        <v>87</v>
      </c>
      <c r="G71" s="10" t="s">
        <v>27</v>
      </c>
      <c r="H71" s="13"/>
      <c r="I71" s="13"/>
    </row>
    <row r="72" spans="1:9" ht="12.75" x14ac:dyDescent="0.2">
      <c r="A72" s="52"/>
      <c r="B72" s="9">
        <v>35</v>
      </c>
      <c r="C72" s="9" t="s">
        <v>650</v>
      </c>
      <c r="D72" s="9" t="s">
        <v>24</v>
      </c>
      <c r="E72" s="9" t="s">
        <v>31</v>
      </c>
      <c r="F72" s="9" t="s">
        <v>87</v>
      </c>
      <c r="G72" s="10" t="s">
        <v>27</v>
      </c>
      <c r="H72" s="13"/>
      <c r="I72" s="13"/>
    </row>
    <row r="73" spans="1:9" ht="12.75" x14ac:dyDescent="0.2">
      <c r="A73" s="53"/>
      <c r="B73" s="9">
        <v>35</v>
      </c>
      <c r="C73" s="9" t="s">
        <v>618</v>
      </c>
      <c r="D73" s="9" t="s">
        <v>24</v>
      </c>
      <c r="E73" s="9" t="s">
        <v>31</v>
      </c>
      <c r="F73" s="9" t="s">
        <v>87</v>
      </c>
      <c r="G73" s="10" t="s">
        <v>27</v>
      </c>
      <c r="H73" s="13"/>
      <c r="I73" s="13"/>
    </row>
    <row r="74" spans="1:9" ht="12.75" x14ac:dyDescent="0.2">
      <c r="A74" s="48" t="s">
        <v>49</v>
      </c>
      <c r="B74" s="9">
        <v>35</v>
      </c>
      <c r="C74" s="9" t="s">
        <v>651</v>
      </c>
      <c r="D74" s="9" t="s">
        <v>24</v>
      </c>
      <c r="E74" s="9" t="s">
        <v>31</v>
      </c>
      <c r="F74" s="9" t="s">
        <v>47</v>
      </c>
      <c r="G74" s="10" t="s">
        <v>27</v>
      </c>
      <c r="H74" s="13"/>
      <c r="I74" s="13"/>
    </row>
    <row r="75" spans="1:9" ht="12.75" x14ac:dyDescent="0.2">
      <c r="A75" s="52"/>
      <c r="B75" s="9">
        <v>35</v>
      </c>
      <c r="C75" s="9" t="s">
        <v>652</v>
      </c>
      <c r="D75" s="9" t="s">
        <v>24</v>
      </c>
      <c r="E75" s="9" t="s">
        <v>31</v>
      </c>
      <c r="F75" s="9" t="s">
        <v>47</v>
      </c>
      <c r="G75" s="10" t="s">
        <v>27</v>
      </c>
      <c r="H75" s="13"/>
      <c r="I75" s="13"/>
    </row>
    <row r="76" spans="1:9" ht="12.75" x14ac:dyDescent="0.2">
      <c r="A76" s="52"/>
      <c r="B76" s="9">
        <v>35</v>
      </c>
      <c r="C76" s="9" t="s">
        <v>653</v>
      </c>
      <c r="D76" s="9" t="s">
        <v>24</v>
      </c>
      <c r="E76" s="9" t="s">
        <v>31</v>
      </c>
      <c r="F76" s="9" t="s">
        <v>47</v>
      </c>
      <c r="G76" s="10" t="s">
        <v>27</v>
      </c>
      <c r="H76" s="13"/>
      <c r="I76" s="13"/>
    </row>
    <row r="77" spans="1:9" ht="12.75" x14ac:dyDescent="0.2">
      <c r="A77" s="53"/>
      <c r="B77" s="9">
        <v>35</v>
      </c>
      <c r="C77" s="9" t="s">
        <v>654</v>
      </c>
      <c r="D77" s="9" t="s">
        <v>24</v>
      </c>
      <c r="E77" s="9" t="s">
        <v>31</v>
      </c>
      <c r="F77" s="9" t="s">
        <v>47</v>
      </c>
      <c r="G77" s="10" t="s">
        <v>27</v>
      </c>
      <c r="H77" s="13"/>
      <c r="I77" s="13"/>
    </row>
    <row r="78" spans="1:9" ht="12.75" x14ac:dyDescent="0.2">
      <c r="A78" s="48" t="s">
        <v>52</v>
      </c>
      <c r="B78" s="9">
        <v>35</v>
      </c>
      <c r="C78" s="9" t="s">
        <v>655</v>
      </c>
      <c r="D78" s="9" t="s">
        <v>24</v>
      </c>
      <c r="E78" s="9" t="s">
        <v>31</v>
      </c>
      <c r="F78" s="9" t="s">
        <v>47</v>
      </c>
      <c r="G78" s="10" t="s">
        <v>27</v>
      </c>
      <c r="H78" s="13"/>
      <c r="I78" s="13"/>
    </row>
    <row r="79" spans="1:9" ht="12.75" x14ac:dyDescent="0.2">
      <c r="A79" s="52"/>
      <c r="B79" s="9">
        <v>35</v>
      </c>
      <c r="C79" s="9" t="s">
        <v>656</v>
      </c>
      <c r="D79" s="9" t="s">
        <v>24</v>
      </c>
      <c r="E79" s="9" t="s">
        <v>31</v>
      </c>
      <c r="F79" s="9" t="s">
        <v>47</v>
      </c>
      <c r="G79" s="10" t="s">
        <v>27</v>
      </c>
      <c r="H79" s="13"/>
      <c r="I79" s="13"/>
    </row>
    <row r="80" spans="1:9" ht="12.75" x14ac:dyDescent="0.2">
      <c r="A80" s="52"/>
      <c r="B80" s="9">
        <v>35</v>
      </c>
      <c r="C80" s="9" t="s">
        <v>657</v>
      </c>
      <c r="D80" s="9" t="s">
        <v>24</v>
      </c>
      <c r="E80" s="9" t="s">
        <v>31</v>
      </c>
      <c r="F80" s="9" t="s">
        <v>47</v>
      </c>
      <c r="G80" s="10" t="s">
        <v>27</v>
      </c>
      <c r="H80" s="13"/>
      <c r="I80" s="13"/>
    </row>
    <row r="81" spans="1:9" ht="12.75" x14ac:dyDescent="0.2">
      <c r="A81" s="52"/>
      <c r="B81" s="9">
        <v>35</v>
      </c>
      <c r="C81" s="9" t="s">
        <v>658</v>
      </c>
      <c r="D81" s="9" t="s">
        <v>24</v>
      </c>
      <c r="E81" s="9" t="s">
        <v>31</v>
      </c>
      <c r="F81" s="9" t="s">
        <v>47</v>
      </c>
      <c r="G81" s="10" t="s">
        <v>27</v>
      </c>
      <c r="H81" s="13"/>
      <c r="I81" s="13"/>
    </row>
    <row r="82" spans="1:9" ht="12.75" x14ac:dyDescent="0.2">
      <c r="A82" s="52"/>
      <c r="B82" s="9">
        <v>35</v>
      </c>
      <c r="C82" s="9" t="s">
        <v>659</v>
      </c>
      <c r="D82" s="9" t="s">
        <v>24</v>
      </c>
      <c r="E82" s="9" t="s">
        <v>31</v>
      </c>
      <c r="F82" s="9" t="s">
        <v>47</v>
      </c>
      <c r="G82" s="10" t="s">
        <v>27</v>
      </c>
      <c r="H82" s="13"/>
      <c r="I82" s="13"/>
    </row>
    <row r="83" spans="1:9" ht="12.75" x14ac:dyDescent="0.2">
      <c r="A83" s="52"/>
      <c r="B83" s="9">
        <v>35</v>
      </c>
      <c r="C83" s="9" t="s">
        <v>660</v>
      </c>
      <c r="D83" s="9" t="s">
        <v>24</v>
      </c>
      <c r="E83" s="9" t="s">
        <v>31</v>
      </c>
      <c r="F83" s="9" t="s">
        <v>47</v>
      </c>
      <c r="G83" s="10" t="s">
        <v>27</v>
      </c>
      <c r="H83" s="13"/>
      <c r="I83" s="13"/>
    </row>
    <row r="84" spans="1:9" ht="12.75" x14ac:dyDescent="0.2">
      <c r="A84" s="52"/>
      <c r="B84" s="9">
        <v>35</v>
      </c>
      <c r="C84" s="9" t="s">
        <v>661</v>
      </c>
      <c r="D84" s="9" t="s">
        <v>24</v>
      </c>
      <c r="E84" s="9" t="s">
        <v>31</v>
      </c>
      <c r="F84" s="9" t="s">
        <v>47</v>
      </c>
      <c r="G84" s="10" t="s">
        <v>27</v>
      </c>
      <c r="H84" s="13"/>
      <c r="I84" s="13"/>
    </row>
    <row r="85" spans="1:9" ht="12.75" x14ac:dyDescent="0.2">
      <c r="A85" s="52"/>
      <c r="B85" s="9">
        <v>35</v>
      </c>
      <c r="C85" s="9" t="s">
        <v>662</v>
      </c>
      <c r="D85" s="9" t="s">
        <v>24</v>
      </c>
      <c r="E85" s="9" t="s">
        <v>31</v>
      </c>
      <c r="F85" s="9" t="s">
        <v>47</v>
      </c>
      <c r="G85" s="10" t="s">
        <v>27</v>
      </c>
      <c r="H85" s="13"/>
      <c r="I85" s="13"/>
    </row>
    <row r="86" spans="1:9" ht="12.75" x14ac:dyDescent="0.2">
      <c r="A86" s="52"/>
      <c r="B86" s="9">
        <v>35</v>
      </c>
      <c r="C86" s="9" t="s">
        <v>663</v>
      </c>
      <c r="D86" s="9" t="s">
        <v>24</v>
      </c>
      <c r="E86" s="9" t="s">
        <v>31</v>
      </c>
      <c r="F86" s="9" t="s">
        <v>47</v>
      </c>
      <c r="G86" s="10" t="s">
        <v>27</v>
      </c>
      <c r="H86" s="13"/>
      <c r="I86" s="13"/>
    </row>
    <row r="87" spans="1:9" ht="12.75" x14ac:dyDescent="0.2">
      <c r="A87" s="52"/>
      <c r="B87" s="9">
        <v>35</v>
      </c>
      <c r="C87" s="9" t="s">
        <v>664</v>
      </c>
      <c r="D87" s="9" t="s">
        <v>24</v>
      </c>
      <c r="E87" s="9" t="s">
        <v>31</v>
      </c>
      <c r="F87" s="9" t="s">
        <v>26</v>
      </c>
      <c r="G87" s="10" t="s">
        <v>27</v>
      </c>
      <c r="H87" s="13"/>
      <c r="I87" s="13"/>
    </row>
    <row r="88" spans="1:9" ht="12.75" x14ac:dyDescent="0.2">
      <c r="A88" s="52"/>
      <c r="B88" s="9">
        <v>35</v>
      </c>
      <c r="C88" s="9" t="s">
        <v>665</v>
      </c>
      <c r="D88" s="9" t="s">
        <v>24</v>
      </c>
      <c r="E88" s="9" t="s">
        <v>31</v>
      </c>
      <c r="F88" s="9" t="s">
        <v>26</v>
      </c>
      <c r="G88" s="10" t="s">
        <v>27</v>
      </c>
      <c r="H88" s="13"/>
      <c r="I88" s="13"/>
    </row>
    <row r="89" spans="1:9" ht="12.75" x14ac:dyDescent="0.2">
      <c r="A89" s="53"/>
      <c r="B89" s="9">
        <v>35</v>
      </c>
      <c r="C89" s="9" t="s">
        <v>666</v>
      </c>
      <c r="D89" s="9" t="s">
        <v>24</v>
      </c>
      <c r="E89" s="9" t="s">
        <v>31</v>
      </c>
      <c r="F89" s="9" t="s">
        <v>26</v>
      </c>
      <c r="G89" s="10" t="s">
        <v>27</v>
      </c>
      <c r="H89" s="13"/>
      <c r="I89" s="13"/>
    </row>
    <row r="90" spans="1:9" ht="12.75" x14ac:dyDescent="0.2">
      <c r="A90" s="48" t="s">
        <v>59</v>
      </c>
      <c r="B90" s="9">
        <v>35</v>
      </c>
      <c r="C90" s="9" t="s">
        <v>624</v>
      </c>
      <c r="D90" s="9" t="s">
        <v>24</v>
      </c>
      <c r="E90" s="9" t="s">
        <v>31</v>
      </c>
      <c r="F90" s="9" t="s">
        <v>47</v>
      </c>
      <c r="G90" s="10" t="s">
        <v>27</v>
      </c>
      <c r="H90" s="13"/>
      <c r="I90" s="13"/>
    </row>
    <row r="91" spans="1:9" ht="12.75" x14ac:dyDescent="0.2">
      <c r="A91" s="52"/>
      <c r="B91" s="9">
        <v>35</v>
      </c>
      <c r="C91" s="9" t="s">
        <v>647</v>
      </c>
      <c r="D91" s="9" t="s">
        <v>24</v>
      </c>
      <c r="E91" s="9" t="s">
        <v>31</v>
      </c>
      <c r="F91" s="9" t="s">
        <v>47</v>
      </c>
      <c r="G91" s="10" t="s">
        <v>27</v>
      </c>
      <c r="H91" s="13"/>
      <c r="I91" s="13"/>
    </row>
    <row r="92" spans="1:9" ht="12.75" x14ac:dyDescent="0.2">
      <c r="A92" s="52"/>
      <c r="B92" s="9">
        <v>35</v>
      </c>
      <c r="C92" s="9" t="s">
        <v>667</v>
      </c>
      <c r="D92" s="9" t="s">
        <v>24</v>
      </c>
      <c r="E92" s="9" t="s">
        <v>31</v>
      </c>
      <c r="F92" s="9" t="s">
        <v>47</v>
      </c>
      <c r="G92" s="10" t="s">
        <v>27</v>
      </c>
      <c r="H92" s="13"/>
      <c r="I92" s="13"/>
    </row>
    <row r="93" spans="1:9" ht="12.75" x14ac:dyDescent="0.2">
      <c r="A93" s="52"/>
      <c r="B93" s="9">
        <v>35</v>
      </c>
      <c r="C93" s="9" t="s">
        <v>650</v>
      </c>
      <c r="D93" s="9" t="s">
        <v>24</v>
      </c>
      <c r="E93" s="9" t="s">
        <v>31</v>
      </c>
      <c r="F93" s="9" t="s">
        <v>47</v>
      </c>
      <c r="G93" s="10" t="s">
        <v>27</v>
      </c>
      <c r="H93" s="13"/>
      <c r="I93" s="13"/>
    </row>
    <row r="94" spans="1:9" ht="12.75" x14ac:dyDescent="0.2">
      <c r="A94" s="52"/>
      <c r="B94" s="9">
        <v>35</v>
      </c>
      <c r="C94" s="9" t="s">
        <v>616</v>
      </c>
      <c r="D94" s="9" t="s">
        <v>24</v>
      </c>
      <c r="E94" s="9" t="s">
        <v>31</v>
      </c>
      <c r="F94" s="9" t="s">
        <v>87</v>
      </c>
      <c r="G94" s="10" t="s">
        <v>27</v>
      </c>
      <c r="H94" s="13"/>
      <c r="I94" s="13"/>
    </row>
    <row r="95" spans="1:9" ht="12.75" x14ac:dyDescent="0.2">
      <c r="A95" s="53"/>
      <c r="B95" s="9">
        <v>35</v>
      </c>
      <c r="C95" s="9" t="s">
        <v>631</v>
      </c>
      <c r="D95" s="9" t="s">
        <v>24</v>
      </c>
      <c r="E95" s="9" t="s">
        <v>31</v>
      </c>
      <c r="F95" s="9" t="s">
        <v>47</v>
      </c>
      <c r="G95" s="10" t="s">
        <v>27</v>
      </c>
      <c r="H95" s="13"/>
      <c r="I95" s="13"/>
    </row>
    <row r="96" spans="1:9" ht="12.75" x14ac:dyDescent="0.2">
      <c r="A96" s="48" t="s">
        <v>101</v>
      </c>
      <c r="B96" s="9">
        <v>35</v>
      </c>
      <c r="C96" s="9" t="s">
        <v>668</v>
      </c>
      <c r="D96" s="9" t="s">
        <v>24</v>
      </c>
      <c r="E96" s="9" t="s">
        <v>31</v>
      </c>
      <c r="F96" s="9" t="s">
        <v>47</v>
      </c>
      <c r="G96" s="10" t="s">
        <v>27</v>
      </c>
      <c r="H96" s="13"/>
      <c r="I96" s="13"/>
    </row>
    <row r="97" spans="1:9" ht="12.75" x14ac:dyDescent="0.2">
      <c r="A97" s="52"/>
      <c r="B97" s="9">
        <v>35</v>
      </c>
      <c r="C97" s="9" t="s">
        <v>647</v>
      </c>
      <c r="D97" s="9" t="s">
        <v>24</v>
      </c>
      <c r="E97" s="9" t="s">
        <v>31</v>
      </c>
      <c r="F97" s="9" t="s">
        <v>47</v>
      </c>
      <c r="G97" s="10" t="s">
        <v>27</v>
      </c>
      <c r="H97" s="13"/>
      <c r="I97" s="13"/>
    </row>
    <row r="98" spans="1:9" ht="12.75" x14ac:dyDescent="0.2">
      <c r="A98" s="52"/>
      <c r="B98" s="9">
        <v>35</v>
      </c>
      <c r="C98" s="9" t="s">
        <v>648</v>
      </c>
      <c r="D98" s="9" t="s">
        <v>24</v>
      </c>
      <c r="E98" s="9" t="s">
        <v>31</v>
      </c>
      <c r="F98" s="9" t="s">
        <v>47</v>
      </c>
      <c r="G98" s="10" t="s">
        <v>27</v>
      </c>
      <c r="H98" s="13"/>
      <c r="I98" s="13"/>
    </row>
    <row r="99" spans="1:9" ht="12.75" x14ac:dyDescent="0.2">
      <c r="A99" s="52"/>
      <c r="B99" s="9">
        <v>35</v>
      </c>
      <c r="C99" s="9" t="s">
        <v>588</v>
      </c>
      <c r="D99" s="9" t="s">
        <v>24</v>
      </c>
      <c r="E99" s="9" t="s">
        <v>31</v>
      </c>
      <c r="F99" s="9" t="s">
        <v>47</v>
      </c>
      <c r="G99" s="10" t="s">
        <v>27</v>
      </c>
      <c r="H99" s="13"/>
      <c r="I99" s="13"/>
    </row>
    <row r="100" spans="1:9" ht="12.75" x14ac:dyDescent="0.2">
      <c r="A100" s="52"/>
      <c r="B100" s="9">
        <v>35</v>
      </c>
      <c r="C100" s="9" t="s">
        <v>669</v>
      </c>
      <c r="D100" s="9" t="s">
        <v>24</v>
      </c>
      <c r="E100" s="9" t="s">
        <v>31</v>
      </c>
      <c r="F100" s="9" t="s">
        <v>47</v>
      </c>
      <c r="G100" s="10" t="s">
        <v>27</v>
      </c>
      <c r="H100" s="13"/>
      <c r="I100" s="13"/>
    </row>
    <row r="101" spans="1:9" ht="12.75" x14ac:dyDescent="0.2">
      <c r="A101" s="52"/>
      <c r="B101" s="9">
        <v>35</v>
      </c>
      <c r="C101" s="9" t="s">
        <v>627</v>
      </c>
      <c r="D101" s="9" t="s">
        <v>24</v>
      </c>
      <c r="E101" s="9" t="s">
        <v>31</v>
      </c>
      <c r="F101" s="9" t="s">
        <v>47</v>
      </c>
      <c r="G101" s="10" t="s">
        <v>27</v>
      </c>
      <c r="H101" s="13"/>
      <c r="I101" s="13"/>
    </row>
    <row r="102" spans="1:9" ht="12.75" x14ac:dyDescent="0.2">
      <c r="A102" s="52"/>
      <c r="B102" s="9">
        <v>35</v>
      </c>
      <c r="C102" s="9" t="s">
        <v>670</v>
      </c>
      <c r="D102" s="9" t="s">
        <v>24</v>
      </c>
      <c r="E102" s="9" t="s">
        <v>31</v>
      </c>
      <c r="F102" s="9" t="s">
        <v>47</v>
      </c>
      <c r="G102" s="10" t="s">
        <v>27</v>
      </c>
      <c r="H102" s="13"/>
      <c r="I102" s="13"/>
    </row>
    <row r="103" spans="1:9" ht="12.75" x14ac:dyDescent="0.2">
      <c r="A103" s="52"/>
      <c r="B103" s="9">
        <v>35</v>
      </c>
      <c r="C103" s="9" t="s">
        <v>616</v>
      </c>
      <c r="D103" s="9" t="s">
        <v>24</v>
      </c>
      <c r="E103" s="9" t="s">
        <v>31</v>
      </c>
      <c r="F103" s="9" t="s">
        <v>47</v>
      </c>
      <c r="G103" s="10" t="s">
        <v>27</v>
      </c>
      <c r="H103" s="13"/>
      <c r="I103" s="13"/>
    </row>
    <row r="104" spans="1:9" ht="12.75" x14ac:dyDescent="0.2">
      <c r="A104" s="52"/>
      <c r="B104" s="9">
        <v>35</v>
      </c>
      <c r="C104" s="9" t="s">
        <v>671</v>
      </c>
      <c r="D104" s="9" t="s">
        <v>24</v>
      </c>
      <c r="E104" s="9" t="s">
        <v>31</v>
      </c>
      <c r="F104" s="9" t="s">
        <v>47</v>
      </c>
      <c r="G104" s="10" t="s">
        <v>27</v>
      </c>
      <c r="H104" s="13"/>
      <c r="I104" s="13"/>
    </row>
    <row r="105" spans="1:9" ht="12.75" x14ac:dyDescent="0.2">
      <c r="A105" s="53"/>
      <c r="B105" s="9">
        <v>35</v>
      </c>
      <c r="C105" s="9" t="s">
        <v>494</v>
      </c>
      <c r="D105" s="9" t="s">
        <v>24</v>
      </c>
      <c r="E105" s="9" t="s">
        <v>31</v>
      </c>
      <c r="F105" s="9" t="s">
        <v>47</v>
      </c>
      <c r="G105" s="10" t="s">
        <v>27</v>
      </c>
      <c r="H105" s="13"/>
      <c r="I105" s="13"/>
    </row>
    <row r="106" spans="1:9" ht="12.75" x14ac:dyDescent="0.2">
      <c r="A106" s="48" t="s">
        <v>62</v>
      </c>
      <c r="B106" s="9">
        <v>35</v>
      </c>
      <c r="C106" s="9" t="s">
        <v>654</v>
      </c>
      <c r="D106" s="9" t="s">
        <v>24</v>
      </c>
      <c r="E106" s="9" t="s">
        <v>31</v>
      </c>
      <c r="F106" s="9" t="s">
        <v>47</v>
      </c>
      <c r="G106" s="10" t="s">
        <v>27</v>
      </c>
      <c r="H106" s="13"/>
      <c r="I106" s="13"/>
    </row>
    <row r="107" spans="1:9" ht="12.75" x14ac:dyDescent="0.2">
      <c r="A107" s="52"/>
      <c r="B107" s="9">
        <v>35</v>
      </c>
      <c r="C107" s="9" t="s">
        <v>672</v>
      </c>
      <c r="D107" s="9" t="s">
        <v>24</v>
      </c>
      <c r="E107" s="9" t="s">
        <v>31</v>
      </c>
      <c r="F107" s="9" t="s">
        <v>47</v>
      </c>
      <c r="G107" s="10" t="s">
        <v>27</v>
      </c>
      <c r="H107" s="13"/>
      <c r="I107" s="13"/>
    </row>
    <row r="108" spans="1:9" ht="12.75" x14ac:dyDescent="0.2">
      <c r="A108" s="52"/>
      <c r="B108" s="9">
        <v>35</v>
      </c>
      <c r="C108" s="9" t="s">
        <v>673</v>
      </c>
      <c r="D108" s="9" t="s">
        <v>24</v>
      </c>
      <c r="E108" s="9" t="s">
        <v>31</v>
      </c>
      <c r="F108" s="9" t="s">
        <v>47</v>
      </c>
      <c r="G108" s="10" t="s">
        <v>27</v>
      </c>
      <c r="H108" s="13"/>
      <c r="I108" s="13"/>
    </row>
    <row r="109" spans="1:9" ht="12.75" x14ac:dyDescent="0.2">
      <c r="A109" s="52"/>
      <c r="B109" s="9">
        <v>35</v>
      </c>
      <c r="C109" s="9" t="s">
        <v>674</v>
      </c>
      <c r="D109" s="9" t="s">
        <v>24</v>
      </c>
      <c r="E109" s="9" t="s">
        <v>31</v>
      </c>
      <c r="F109" s="9" t="s">
        <v>47</v>
      </c>
      <c r="G109" s="10" t="s">
        <v>27</v>
      </c>
      <c r="H109" s="13"/>
      <c r="I109" s="13"/>
    </row>
    <row r="110" spans="1:9" ht="12.75" x14ac:dyDescent="0.2">
      <c r="A110" s="52"/>
      <c r="B110" s="9">
        <v>35</v>
      </c>
      <c r="C110" s="9" t="s">
        <v>675</v>
      </c>
      <c r="D110" s="9" t="s">
        <v>24</v>
      </c>
      <c r="E110" s="9" t="s">
        <v>31</v>
      </c>
      <c r="F110" s="9" t="s">
        <v>47</v>
      </c>
      <c r="G110" s="10" t="s">
        <v>27</v>
      </c>
      <c r="H110" s="13"/>
      <c r="I110" s="13"/>
    </row>
    <row r="111" spans="1:9" ht="12.75" x14ac:dyDescent="0.2">
      <c r="A111" s="52"/>
      <c r="B111" s="9">
        <v>35</v>
      </c>
      <c r="C111" s="9" t="s">
        <v>676</v>
      </c>
      <c r="D111" s="9" t="s">
        <v>24</v>
      </c>
      <c r="E111" s="9" t="s">
        <v>31</v>
      </c>
      <c r="F111" s="9" t="s">
        <v>47</v>
      </c>
      <c r="G111" s="10" t="s">
        <v>27</v>
      </c>
      <c r="H111" s="13"/>
      <c r="I111" s="13"/>
    </row>
    <row r="112" spans="1:9" ht="12.75" x14ac:dyDescent="0.2">
      <c r="A112" s="53"/>
      <c r="B112" s="9">
        <v>35</v>
      </c>
      <c r="C112" s="9" t="s">
        <v>677</v>
      </c>
      <c r="D112" s="9" t="s">
        <v>24</v>
      </c>
      <c r="E112" s="9" t="s">
        <v>31</v>
      </c>
      <c r="F112" s="9" t="s">
        <v>26</v>
      </c>
      <c r="G112" s="10" t="s">
        <v>27</v>
      </c>
      <c r="H112" s="13"/>
      <c r="I112" s="13"/>
    </row>
    <row r="113" spans="1:9" ht="12.75" x14ac:dyDescent="0.2">
      <c r="A113" s="48" t="s">
        <v>70</v>
      </c>
      <c r="B113" s="9">
        <v>35</v>
      </c>
      <c r="C113" s="9" t="s">
        <v>678</v>
      </c>
      <c r="D113" s="9" t="s">
        <v>24</v>
      </c>
      <c r="E113" s="9" t="s">
        <v>31</v>
      </c>
      <c r="F113" s="9" t="s">
        <v>26</v>
      </c>
      <c r="G113" s="10" t="s">
        <v>27</v>
      </c>
      <c r="H113" s="13"/>
      <c r="I113" s="13"/>
    </row>
    <row r="114" spans="1:9" ht="12.75" x14ac:dyDescent="0.2">
      <c r="A114" s="52"/>
      <c r="B114" s="9">
        <v>35</v>
      </c>
      <c r="C114" s="9" t="s">
        <v>679</v>
      </c>
      <c r="D114" s="9" t="s">
        <v>24</v>
      </c>
      <c r="E114" s="9" t="s">
        <v>31</v>
      </c>
      <c r="F114" s="9" t="s">
        <v>47</v>
      </c>
      <c r="G114" s="10" t="s">
        <v>27</v>
      </c>
      <c r="H114" s="13"/>
      <c r="I114" s="13"/>
    </row>
    <row r="115" spans="1:9" ht="12.75" x14ac:dyDescent="0.2">
      <c r="A115" s="52"/>
      <c r="B115" s="9">
        <v>35</v>
      </c>
      <c r="C115" s="9" t="s">
        <v>613</v>
      </c>
      <c r="D115" s="9" t="s">
        <v>24</v>
      </c>
      <c r="E115" s="9" t="s">
        <v>31</v>
      </c>
      <c r="F115" s="9" t="s">
        <v>26</v>
      </c>
      <c r="G115" s="10" t="s">
        <v>27</v>
      </c>
      <c r="H115" s="13"/>
      <c r="I115" s="13"/>
    </row>
    <row r="116" spans="1:9" ht="12.75" x14ac:dyDescent="0.2">
      <c r="A116" s="52"/>
      <c r="B116" s="9">
        <v>35</v>
      </c>
      <c r="C116" s="9" t="s">
        <v>680</v>
      </c>
      <c r="D116" s="9" t="s">
        <v>24</v>
      </c>
      <c r="E116" s="9" t="s">
        <v>31</v>
      </c>
      <c r="F116" s="9" t="s">
        <v>47</v>
      </c>
      <c r="G116" s="10" t="s">
        <v>27</v>
      </c>
      <c r="H116" s="13"/>
      <c r="I116" s="13"/>
    </row>
    <row r="117" spans="1:9" ht="12.75" x14ac:dyDescent="0.2">
      <c r="A117" s="52"/>
      <c r="B117" s="9">
        <v>35</v>
      </c>
      <c r="C117" s="9" t="s">
        <v>681</v>
      </c>
      <c r="D117" s="9" t="s">
        <v>24</v>
      </c>
      <c r="E117" s="9" t="s">
        <v>31</v>
      </c>
      <c r="F117" s="9" t="s">
        <v>47</v>
      </c>
      <c r="G117" s="10" t="s">
        <v>27</v>
      </c>
      <c r="H117" s="13"/>
      <c r="I117" s="13"/>
    </row>
    <row r="118" spans="1:9" ht="12.75" x14ac:dyDescent="0.2">
      <c r="A118" s="53"/>
      <c r="B118" s="9">
        <v>35</v>
      </c>
      <c r="C118" s="9" t="s">
        <v>682</v>
      </c>
      <c r="D118" s="9" t="s">
        <v>24</v>
      </c>
      <c r="E118" s="9" t="s">
        <v>31</v>
      </c>
      <c r="F118" s="9" t="s">
        <v>47</v>
      </c>
      <c r="G118" s="10" t="s">
        <v>27</v>
      </c>
      <c r="H118" s="13"/>
      <c r="I118" s="13"/>
    </row>
    <row r="119" spans="1:9" ht="12.75" x14ac:dyDescent="0.2">
      <c r="A119" s="48" t="s">
        <v>73</v>
      </c>
      <c r="B119" s="12">
        <v>35</v>
      </c>
      <c r="C119" s="12" t="s">
        <v>679</v>
      </c>
      <c r="D119" s="12" t="s">
        <v>24</v>
      </c>
      <c r="E119" s="12" t="s">
        <v>25</v>
      </c>
      <c r="F119" s="12" t="s">
        <v>47</v>
      </c>
      <c r="G119" s="10" t="s">
        <v>27</v>
      </c>
      <c r="H119" s="13"/>
      <c r="I119" s="13"/>
    </row>
    <row r="120" spans="1:9" ht="12.75" x14ac:dyDescent="0.2">
      <c r="A120" s="52"/>
      <c r="B120" s="12">
        <v>35</v>
      </c>
      <c r="C120" s="12" t="s">
        <v>679</v>
      </c>
      <c r="D120" s="12" t="s">
        <v>24</v>
      </c>
      <c r="E120" s="12" t="s">
        <v>25</v>
      </c>
      <c r="F120" s="12" t="s">
        <v>47</v>
      </c>
      <c r="G120" s="10" t="s">
        <v>27</v>
      </c>
      <c r="H120" s="13"/>
      <c r="I120" s="13"/>
    </row>
    <row r="121" spans="1:9" ht="12.75" x14ac:dyDescent="0.2">
      <c r="A121" s="52"/>
      <c r="B121" s="12">
        <v>35</v>
      </c>
      <c r="C121" s="12" t="s">
        <v>683</v>
      </c>
      <c r="D121" s="12" t="s">
        <v>24</v>
      </c>
      <c r="E121" s="12" t="s">
        <v>25</v>
      </c>
      <c r="F121" s="12" t="s">
        <v>47</v>
      </c>
      <c r="G121" s="10" t="s">
        <v>27</v>
      </c>
      <c r="H121" s="13"/>
      <c r="I121" s="13"/>
    </row>
    <row r="122" spans="1:9" ht="12.75" x14ac:dyDescent="0.2">
      <c r="A122" s="52"/>
      <c r="B122" s="12">
        <v>35</v>
      </c>
      <c r="C122" s="12" t="s">
        <v>684</v>
      </c>
      <c r="D122" s="12" t="s">
        <v>24</v>
      </c>
      <c r="E122" s="12" t="s">
        <v>25</v>
      </c>
      <c r="F122" s="12" t="s">
        <v>26</v>
      </c>
      <c r="G122" s="10" t="s">
        <v>27</v>
      </c>
      <c r="H122" s="13"/>
      <c r="I122" s="13"/>
    </row>
    <row r="123" spans="1:9" ht="12.75" x14ac:dyDescent="0.2">
      <c r="A123" s="52"/>
      <c r="B123" s="12">
        <v>35</v>
      </c>
      <c r="C123" s="12" t="s">
        <v>685</v>
      </c>
      <c r="D123" s="12" t="s">
        <v>24</v>
      </c>
      <c r="E123" s="12" t="s">
        <v>25</v>
      </c>
      <c r="F123" s="12" t="s">
        <v>47</v>
      </c>
      <c r="G123" s="10" t="s">
        <v>27</v>
      </c>
      <c r="H123" s="13"/>
      <c r="I123" s="13"/>
    </row>
    <row r="124" spans="1:9" ht="12.75" x14ac:dyDescent="0.2">
      <c r="A124" s="52"/>
      <c r="B124" s="12">
        <v>35</v>
      </c>
      <c r="C124" s="12" t="s">
        <v>686</v>
      </c>
      <c r="D124" s="12" t="s">
        <v>24</v>
      </c>
      <c r="E124" s="12" t="s">
        <v>25</v>
      </c>
      <c r="F124" s="12" t="s">
        <v>47</v>
      </c>
      <c r="G124" s="10" t="s">
        <v>27</v>
      </c>
      <c r="H124" s="13"/>
      <c r="I124" s="13"/>
    </row>
    <row r="125" spans="1:9" ht="12.75" x14ac:dyDescent="0.2">
      <c r="A125" s="52"/>
      <c r="B125" s="12">
        <v>35</v>
      </c>
      <c r="C125" s="12" t="s">
        <v>687</v>
      </c>
      <c r="D125" s="12" t="s">
        <v>24</v>
      </c>
      <c r="E125" s="12" t="s">
        <v>25</v>
      </c>
      <c r="F125" s="12" t="s">
        <v>26</v>
      </c>
      <c r="G125" s="10" t="s">
        <v>27</v>
      </c>
      <c r="H125" s="13"/>
      <c r="I125" s="13"/>
    </row>
    <row r="126" spans="1:9" ht="12.75" x14ac:dyDescent="0.2">
      <c r="A126" s="52"/>
      <c r="B126" s="12">
        <v>35</v>
      </c>
      <c r="C126" s="12" t="s">
        <v>681</v>
      </c>
      <c r="D126" s="12" t="s">
        <v>24</v>
      </c>
      <c r="E126" s="12" t="s">
        <v>25</v>
      </c>
      <c r="F126" s="12" t="s">
        <v>47</v>
      </c>
      <c r="G126" s="10" t="s">
        <v>27</v>
      </c>
      <c r="H126" s="13"/>
      <c r="I126" s="13"/>
    </row>
    <row r="127" spans="1:9" ht="12.75" x14ac:dyDescent="0.2">
      <c r="A127" s="53"/>
      <c r="B127" s="12">
        <v>35</v>
      </c>
      <c r="C127" s="12" t="s">
        <v>688</v>
      </c>
      <c r="D127" s="12" t="s">
        <v>24</v>
      </c>
      <c r="E127" s="12" t="s">
        <v>25</v>
      </c>
      <c r="F127" s="12" t="s">
        <v>47</v>
      </c>
      <c r="G127" s="10" t="s">
        <v>27</v>
      </c>
      <c r="H127" s="13"/>
      <c r="I127" s="13"/>
    </row>
    <row r="128" spans="1:9" ht="12.75" x14ac:dyDescent="0.2">
      <c r="A128" s="48" t="s">
        <v>77</v>
      </c>
      <c r="B128" s="9">
        <v>35</v>
      </c>
      <c r="C128" s="9" t="s">
        <v>689</v>
      </c>
      <c r="D128" s="9" t="s">
        <v>24</v>
      </c>
      <c r="E128" s="9" t="s">
        <v>31</v>
      </c>
      <c r="F128" s="9" t="s">
        <v>87</v>
      </c>
      <c r="G128" s="10" t="s">
        <v>27</v>
      </c>
      <c r="H128" s="13"/>
      <c r="I128" s="13"/>
    </row>
    <row r="129" spans="1:9" ht="12.75" x14ac:dyDescent="0.2">
      <c r="A129" s="52"/>
      <c r="B129" s="9">
        <v>35</v>
      </c>
      <c r="C129" s="9" t="s">
        <v>621</v>
      </c>
      <c r="D129" s="9" t="s">
        <v>24</v>
      </c>
      <c r="E129" s="9" t="s">
        <v>31</v>
      </c>
      <c r="F129" s="9" t="s">
        <v>87</v>
      </c>
      <c r="G129" s="10" t="s">
        <v>27</v>
      </c>
      <c r="H129" s="13"/>
      <c r="I129" s="13"/>
    </row>
    <row r="130" spans="1:9" ht="12.75" x14ac:dyDescent="0.2">
      <c r="A130" s="52"/>
      <c r="B130" s="9">
        <v>35</v>
      </c>
      <c r="C130" s="9" t="s">
        <v>619</v>
      </c>
      <c r="D130" s="9" t="s">
        <v>24</v>
      </c>
      <c r="E130" s="9" t="s">
        <v>31</v>
      </c>
      <c r="F130" s="9" t="s">
        <v>87</v>
      </c>
      <c r="G130" s="10" t="s">
        <v>27</v>
      </c>
      <c r="H130" s="13"/>
      <c r="I130" s="13"/>
    </row>
    <row r="131" spans="1:9" ht="12.75" x14ac:dyDescent="0.2">
      <c r="A131" s="52"/>
      <c r="B131" s="9">
        <v>35</v>
      </c>
      <c r="C131" s="9" t="s">
        <v>690</v>
      </c>
      <c r="D131" s="9" t="s">
        <v>30</v>
      </c>
      <c r="E131" s="9" t="s">
        <v>31</v>
      </c>
      <c r="F131" s="9" t="s">
        <v>87</v>
      </c>
      <c r="G131" s="10" t="s">
        <v>27</v>
      </c>
      <c r="H131" s="13"/>
      <c r="I131" s="13"/>
    </row>
    <row r="132" spans="1:9" ht="12.75" x14ac:dyDescent="0.2">
      <c r="A132" s="52"/>
      <c r="B132" s="9">
        <v>35</v>
      </c>
      <c r="C132" s="9" t="s">
        <v>691</v>
      </c>
      <c r="D132" s="9" t="s">
        <v>24</v>
      </c>
      <c r="E132" s="9" t="s">
        <v>31</v>
      </c>
      <c r="F132" s="9" t="s">
        <v>87</v>
      </c>
      <c r="G132" s="10" t="s">
        <v>27</v>
      </c>
      <c r="H132" s="13"/>
      <c r="I132" s="13"/>
    </row>
    <row r="133" spans="1:9" ht="12.75" x14ac:dyDescent="0.2">
      <c r="A133" s="52"/>
      <c r="B133" s="9">
        <v>35</v>
      </c>
      <c r="C133" s="9" t="s">
        <v>692</v>
      </c>
      <c r="D133" s="9" t="s">
        <v>24</v>
      </c>
      <c r="E133" s="9" t="s">
        <v>31</v>
      </c>
      <c r="F133" s="9" t="s">
        <v>47</v>
      </c>
      <c r="G133" s="10" t="s">
        <v>27</v>
      </c>
      <c r="H133" s="13"/>
      <c r="I133" s="13"/>
    </row>
    <row r="134" spans="1:9" ht="12.75" x14ac:dyDescent="0.2">
      <c r="A134" s="52"/>
      <c r="B134" s="9">
        <v>35</v>
      </c>
      <c r="C134" s="9" t="s">
        <v>693</v>
      </c>
      <c r="D134" s="9" t="s">
        <v>24</v>
      </c>
      <c r="E134" s="9" t="s">
        <v>31</v>
      </c>
      <c r="F134" s="9" t="s">
        <v>47</v>
      </c>
      <c r="G134" s="10" t="s">
        <v>27</v>
      </c>
      <c r="H134" s="13"/>
      <c r="I134" s="13"/>
    </row>
    <row r="135" spans="1:9" ht="12.75" x14ac:dyDescent="0.2">
      <c r="A135" s="52"/>
      <c r="B135" s="9">
        <v>35</v>
      </c>
      <c r="C135" s="9" t="s">
        <v>694</v>
      </c>
      <c r="D135" s="9" t="s">
        <v>24</v>
      </c>
      <c r="E135" s="9" t="s">
        <v>31</v>
      </c>
      <c r="F135" s="9" t="s">
        <v>47</v>
      </c>
      <c r="G135" s="10" t="s">
        <v>27</v>
      </c>
      <c r="H135" s="13"/>
      <c r="I135" s="13"/>
    </row>
    <row r="136" spans="1:9" ht="12.75" x14ac:dyDescent="0.2">
      <c r="A136" s="52"/>
      <c r="B136" s="9">
        <v>35</v>
      </c>
      <c r="C136" s="9" t="s">
        <v>695</v>
      </c>
      <c r="D136" s="9" t="s">
        <v>24</v>
      </c>
      <c r="E136" s="9" t="s">
        <v>31</v>
      </c>
      <c r="F136" s="9" t="s">
        <v>47</v>
      </c>
      <c r="G136" s="10" t="s">
        <v>27</v>
      </c>
      <c r="H136" s="13"/>
      <c r="I136" s="13"/>
    </row>
    <row r="137" spans="1:9" ht="12.75" x14ac:dyDescent="0.2">
      <c r="A137" s="52"/>
      <c r="B137" s="9">
        <v>35</v>
      </c>
      <c r="C137" s="9" t="s">
        <v>685</v>
      </c>
      <c r="D137" s="9" t="s">
        <v>24</v>
      </c>
      <c r="E137" s="9" t="s">
        <v>31</v>
      </c>
      <c r="F137" s="9" t="s">
        <v>47</v>
      </c>
      <c r="G137" s="10" t="s">
        <v>27</v>
      </c>
      <c r="H137" s="13"/>
      <c r="I137" s="13"/>
    </row>
    <row r="138" spans="1:9" ht="12.75" x14ac:dyDescent="0.2">
      <c r="A138" s="52"/>
      <c r="B138" s="9">
        <v>35</v>
      </c>
      <c r="C138" s="9" t="s">
        <v>696</v>
      </c>
      <c r="D138" s="9" t="s">
        <v>24</v>
      </c>
      <c r="E138" s="9" t="s">
        <v>31</v>
      </c>
      <c r="F138" s="9" t="s">
        <v>47</v>
      </c>
      <c r="G138" s="10" t="s">
        <v>27</v>
      </c>
      <c r="H138" s="13"/>
      <c r="I138" s="13"/>
    </row>
    <row r="139" spans="1:9" ht="12.75" x14ac:dyDescent="0.2">
      <c r="A139" s="52"/>
      <c r="B139" s="9">
        <v>35</v>
      </c>
      <c r="C139" s="9" t="s">
        <v>697</v>
      </c>
      <c r="D139" s="9" t="s">
        <v>24</v>
      </c>
      <c r="E139" s="9" t="s">
        <v>31</v>
      </c>
      <c r="F139" s="9" t="s">
        <v>47</v>
      </c>
      <c r="G139" s="10" t="s">
        <v>27</v>
      </c>
      <c r="H139" s="13"/>
      <c r="I139" s="13"/>
    </row>
    <row r="140" spans="1:9" ht="12.75" x14ac:dyDescent="0.2">
      <c r="A140" s="52"/>
      <c r="B140" s="9">
        <v>35</v>
      </c>
      <c r="C140" s="9" t="s">
        <v>698</v>
      </c>
      <c r="D140" s="9" t="s">
        <v>24</v>
      </c>
      <c r="E140" s="9" t="s">
        <v>31</v>
      </c>
      <c r="F140" s="9" t="s">
        <v>47</v>
      </c>
      <c r="G140" s="10" t="s">
        <v>27</v>
      </c>
      <c r="H140" s="13"/>
      <c r="I140" s="13"/>
    </row>
    <row r="141" spans="1:9" ht="12.75" x14ac:dyDescent="0.2">
      <c r="A141" s="52"/>
      <c r="B141" s="9">
        <v>35</v>
      </c>
      <c r="C141" s="9" t="s">
        <v>699</v>
      </c>
      <c r="D141" s="9" t="s">
        <v>24</v>
      </c>
      <c r="E141" s="9" t="s">
        <v>31</v>
      </c>
      <c r="F141" s="9" t="s">
        <v>47</v>
      </c>
      <c r="G141" s="10" t="s">
        <v>27</v>
      </c>
      <c r="H141" s="13"/>
      <c r="I141" s="13"/>
    </row>
    <row r="142" spans="1:9" ht="12.75" x14ac:dyDescent="0.2">
      <c r="A142" s="52"/>
      <c r="B142" s="9">
        <v>35</v>
      </c>
      <c r="C142" s="9" t="s">
        <v>700</v>
      </c>
      <c r="D142" s="9" t="s">
        <v>30</v>
      </c>
      <c r="E142" s="9" t="s">
        <v>31</v>
      </c>
      <c r="F142" s="9" t="s">
        <v>47</v>
      </c>
      <c r="G142" s="10" t="s">
        <v>27</v>
      </c>
      <c r="H142" s="13"/>
      <c r="I142" s="13"/>
    </row>
    <row r="143" spans="1:9" ht="12.75" x14ac:dyDescent="0.2">
      <c r="A143" s="52"/>
      <c r="B143" s="9">
        <v>35</v>
      </c>
      <c r="C143" s="9" t="s">
        <v>701</v>
      </c>
      <c r="D143" s="9" t="s">
        <v>24</v>
      </c>
      <c r="E143" s="9" t="s">
        <v>31</v>
      </c>
      <c r="F143" s="9" t="s">
        <v>47</v>
      </c>
      <c r="G143" s="10" t="s">
        <v>27</v>
      </c>
      <c r="H143" s="13"/>
      <c r="I143" s="13"/>
    </row>
    <row r="144" spans="1:9" ht="12.75" x14ac:dyDescent="0.2">
      <c r="A144" s="52"/>
      <c r="B144" s="9">
        <v>35</v>
      </c>
      <c r="C144" s="9" t="s">
        <v>702</v>
      </c>
      <c r="D144" s="9" t="s">
        <v>24</v>
      </c>
      <c r="E144" s="9" t="s">
        <v>31</v>
      </c>
      <c r="F144" s="9" t="s">
        <v>47</v>
      </c>
      <c r="G144" s="10" t="s">
        <v>27</v>
      </c>
      <c r="H144" s="13"/>
      <c r="I144" s="13"/>
    </row>
    <row r="145" spans="1:9" ht="12.75" x14ac:dyDescent="0.2">
      <c r="A145" s="52"/>
      <c r="B145" s="9">
        <v>35</v>
      </c>
      <c r="C145" s="9" t="s">
        <v>618</v>
      </c>
      <c r="D145" s="9" t="s">
        <v>30</v>
      </c>
      <c r="E145" s="9" t="s">
        <v>31</v>
      </c>
      <c r="F145" s="9" t="s">
        <v>26</v>
      </c>
      <c r="G145" s="10" t="s">
        <v>27</v>
      </c>
      <c r="H145" s="13"/>
      <c r="I145" s="13"/>
    </row>
    <row r="146" spans="1:9" ht="12.75" x14ac:dyDescent="0.2">
      <c r="A146" s="52"/>
      <c r="B146" s="9">
        <v>35</v>
      </c>
      <c r="C146" s="9" t="s">
        <v>703</v>
      </c>
      <c r="D146" s="9" t="s">
        <v>24</v>
      </c>
      <c r="E146" s="9" t="s">
        <v>31</v>
      </c>
      <c r="F146" s="9" t="s">
        <v>26</v>
      </c>
      <c r="G146" s="10" t="s">
        <v>27</v>
      </c>
      <c r="H146" s="13"/>
      <c r="I146" s="13"/>
    </row>
    <row r="147" spans="1:9" ht="12.75" x14ac:dyDescent="0.2">
      <c r="A147" s="53"/>
      <c r="B147" s="9">
        <v>35</v>
      </c>
      <c r="C147" s="9" t="s">
        <v>704</v>
      </c>
      <c r="D147" s="9" t="s">
        <v>24</v>
      </c>
      <c r="E147" s="9" t="s">
        <v>31</v>
      </c>
      <c r="F147" s="9" t="s">
        <v>26</v>
      </c>
      <c r="G147" s="10" t="s">
        <v>27</v>
      </c>
      <c r="H147" s="13"/>
      <c r="I147" s="13"/>
    </row>
    <row r="148" spans="1:9" ht="12.75" x14ac:dyDescent="0.2">
      <c r="A148" s="48" t="s">
        <v>79</v>
      </c>
      <c r="B148" s="9">
        <v>35</v>
      </c>
      <c r="C148" s="9" t="s">
        <v>690</v>
      </c>
      <c r="D148" s="9" t="s">
        <v>30</v>
      </c>
      <c r="E148" s="9" t="s">
        <v>31</v>
      </c>
      <c r="F148" s="9" t="s">
        <v>47</v>
      </c>
      <c r="G148" s="10" t="s">
        <v>27</v>
      </c>
      <c r="H148" s="13"/>
      <c r="I148" s="13"/>
    </row>
    <row r="149" spans="1:9" ht="12.75" x14ac:dyDescent="0.2">
      <c r="A149" s="52"/>
      <c r="B149" s="9">
        <v>35</v>
      </c>
      <c r="C149" s="9" t="s">
        <v>705</v>
      </c>
      <c r="D149" s="9" t="s">
        <v>24</v>
      </c>
      <c r="E149" s="9" t="s">
        <v>31</v>
      </c>
      <c r="F149" s="9" t="s">
        <v>47</v>
      </c>
      <c r="G149" s="10" t="s">
        <v>27</v>
      </c>
      <c r="H149" s="13"/>
      <c r="I149" s="13"/>
    </row>
    <row r="150" spans="1:9" ht="12.75" x14ac:dyDescent="0.2">
      <c r="A150" s="52"/>
      <c r="B150" s="9">
        <v>35</v>
      </c>
      <c r="C150" s="9" t="s">
        <v>706</v>
      </c>
      <c r="D150" s="9" t="s">
        <v>24</v>
      </c>
      <c r="E150" s="9" t="s">
        <v>31</v>
      </c>
      <c r="F150" s="9" t="s">
        <v>26</v>
      </c>
      <c r="G150" s="10" t="s">
        <v>27</v>
      </c>
      <c r="H150" s="13"/>
      <c r="I150" s="13"/>
    </row>
    <row r="151" spans="1:9" ht="12.75" x14ac:dyDescent="0.2">
      <c r="A151" s="52"/>
      <c r="B151" s="9">
        <v>35</v>
      </c>
      <c r="C151" s="9" t="s">
        <v>707</v>
      </c>
      <c r="D151" s="9" t="s">
        <v>24</v>
      </c>
      <c r="E151" s="9" t="s">
        <v>31</v>
      </c>
      <c r="F151" s="9" t="s">
        <v>47</v>
      </c>
      <c r="G151" s="10" t="s">
        <v>27</v>
      </c>
      <c r="H151" s="13"/>
      <c r="I151" s="13"/>
    </row>
    <row r="152" spans="1:9" ht="12.75" x14ac:dyDescent="0.2">
      <c r="A152" s="52"/>
      <c r="B152" s="9">
        <v>35</v>
      </c>
      <c r="C152" s="9" t="s">
        <v>708</v>
      </c>
      <c r="D152" s="9" t="s">
        <v>24</v>
      </c>
      <c r="E152" s="9" t="s">
        <v>31</v>
      </c>
      <c r="F152" s="9" t="s">
        <v>47</v>
      </c>
      <c r="G152" s="10" t="s">
        <v>27</v>
      </c>
      <c r="H152" s="13"/>
      <c r="I152" s="13"/>
    </row>
    <row r="153" spans="1:9" ht="12.75" x14ac:dyDescent="0.2">
      <c r="A153" s="52"/>
      <c r="B153" s="9">
        <v>35</v>
      </c>
      <c r="C153" s="9" t="s">
        <v>709</v>
      </c>
      <c r="D153" s="9" t="s">
        <v>24</v>
      </c>
      <c r="E153" s="9" t="s">
        <v>31</v>
      </c>
      <c r="F153" s="9" t="s">
        <v>47</v>
      </c>
      <c r="G153" s="10" t="s">
        <v>27</v>
      </c>
      <c r="H153" s="13"/>
      <c r="I153" s="13"/>
    </row>
    <row r="154" spans="1:9" ht="12.75" x14ac:dyDescent="0.2">
      <c r="A154" s="52"/>
      <c r="B154" s="9">
        <v>35</v>
      </c>
      <c r="C154" s="9" t="s">
        <v>618</v>
      </c>
      <c r="D154" s="9" t="s">
        <v>30</v>
      </c>
      <c r="E154" s="9" t="s">
        <v>31</v>
      </c>
      <c r="F154" s="9" t="s">
        <v>26</v>
      </c>
      <c r="G154" s="10" t="s">
        <v>27</v>
      </c>
      <c r="H154" s="13"/>
      <c r="I154" s="13"/>
    </row>
    <row r="155" spans="1:9" ht="12.75" x14ac:dyDescent="0.2">
      <c r="A155" s="52"/>
      <c r="B155" s="9">
        <v>35</v>
      </c>
      <c r="C155" s="9" t="s">
        <v>576</v>
      </c>
      <c r="D155" s="9" t="s">
        <v>24</v>
      </c>
      <c r="E155" s="9" t="s">
        <v>31</v>
      </c>
      <c r="F155" s="9" t="s">
        <v>47</v>
      </c>
      <c r="G155" s="10" t="s">
        <v>27</v>
      </c>
      <c r="H155" s="13"/>
      <c r="I155" s="13"/>
    </row>
    <row r="156" spans="1:9" ht="12.75" x14ac:dyDescent="0.2">
      <c r="A156" s="52"/>
      <c r="B156" s="9">
        <v>35</v>
      </c>
      <c r="C156" s="9" t="s">
        <v>710</v>
      </c>
      <c r="D156" s="9" t="s">
        <v>24</v>
      </c>
      <c r="E156" s="9" t="s">
        <v>31</v>
      </c>
      <c r="F156" s="9" t="s">
        <v>47</v>
      </c>
      <c r="G156" s="10" t="s">
        <v>27</v>
      </c>
      <c r="H156" s="13"/>
      <c r="I156" s="13"/>
    </row>
    <row r="157" spans="1:9" ht="12.75" x14ac:dyDescent="0.2">
      <c r="A157" s="53"/>
      <c r="B157" s="9">
        <v>35</v>
      </c>
      <c r="C157" s="9" t="s">
        <v>563</v>
      </c>
      <c r="D157" s="9" t="s">
        <v>24</v>
      </c>
      <c r="E157" s="9" t="s">
        <v>31</v>
      </c>
      <c r="F157" s="9" t="s">
        <v>47</v>
      </c>
      <c r="G157" s="10" t="s">
        <v>27</v>
      </c>
      <c r="H157" s="13"/>
      <c r="I157" s="13"/>
    </row>
    <row r="158" spans="1:9" ht="12.75" x14ac:dyDescent="0.2">
      <c r="A158" s="48" t="s">
        <v>83</v>
      </c>
      <c r="B158" s="12">
        <v>35</v>
      </c>
      <c r="C158" s="12" t="s">
        <v>711</v>
      </c>
      <c r="D158" s="12" t="s">
        <v>24</v>
      </c>
      <c r="E158" s="12" t="s">
        <v>25</v>
      </c>
      <c r="F158" s="12" t="s">
        <v>26</v>
      </c>
      <c r="G158" s="10" t="s">
        <v>27</v>
      </c>
      <c r="H158" s="13"/>
      <c r="I158" s="13"/>
    </row>
    <row r="159" spans="1:9" ht="12.75" x14ac:dyDescent="0.2">
      <c r="A159" s="52"/>
      <c r="B159" s="12">
        <v>35</v>
      </c>
      <c r="C159" s="12" t="s">
        <v>712</v>
      </c>
      <c r="D159" s="12" t="s">
        <v>24</v>
      </c>
      <c r="E159" s="12" t="s">
        <v>25</v>
      </c>
      <c r="F159" s="12" t="s">
        <v>26</v>
      </c>
      <c r="G159" s="10" t="s">
        <v>27</v>
      </c>
      <c r="H159" s="13"/>
      <c r="I159" s="13"/>
    </row>
    <row r="160" spans="1:9" ht="12.75" x14ac:dyDescent="0.2">
      <c r="A160" s="52"/>
      <c r="B160" s="12">
        <v>35</v>
      </c>
      <c r="C160" s="12" t="s">
        <v>713</v>
      </c>
      <c r="D160" s="12" t="s">
        <v>24</v>
      </c>
      <c r="E160" s="12" t="s">
        <v>25</v>
      </c>
      <c r="F160" s="12" t="s">
        <v>26</v>
      </c>
      <c r="G160" s="10" t="s">
        <v>27</v>
      </c>
      <c r="H160" s="13"/>
      <c r="I160" s="13"/>
    </row>
    <row r="161" spans="1:9" ht="12.75" x14ac:dyDescent="0.2">
      <c r="A161" s="52"/>
      <c r="B161" s="12">
        <v>35</v>
      </c>
      <c r="C161" s="12" t="s">
        <v>714</v>
      </c>
      <c r="D161" s="12" t="s">
        <v>24</v>
      </c>
      <c r="E161" s="12" t="s">
        <v>25</v>
      </c>
      <c r="F161" s="12" t="s">
        <v>26</v>
      </c>
      <c r="G161" s="10" t="s">
        <v>27</v>
      </c>
      <c r="H161" s="13"/>
      <c r="I161" s="13"/>
    </row>
    <row r="162" spans="1:9" ht="12.75" x14ac:dyDescent="0.2">
      <c r="A162" s="52"/>
      <c r="B162" s="12">
        <v>35</v>
      </c>
      <c r="C162" s="12" t="s">
        <v>715</v>
      </c>
      <c r="D162" s="12" t="s">
        <v>24</v>
      </c>
      <c r="E162" s="12" t="s">
        <v>25</v>
      </c>
      <c r="F162" s="12" t="s">
        <v>26</v>
      </c>
      <c r="G162" s="10" t="s">
        <v>27</v>
      </c>
      <c r="H162" s="13"/>
      <c r="I162" s="13"/>
    </row>
    <row r="163" spans="1:9" ht="12.75" x14ac:dyDescent="0.2">
      <c r="A163" s="52"/>
      <c r="B163" s="12">
        <v>35</v>
      </c>
      <c r="C163" s="12" t="s">
        <v>716</v>
      </c>
      <c r="D163" s="12" t="s">
        <v>24</v>
      </c>
      <c r="E163" s="12" t="s">
        <v>25</v>
      </c>
      <c r="F163" s="12" t="s">
        <v>26</v>
      </c>
      <c r="G163" s="10" t="s">
        <v>27</v>
      </c>
      <c r="H163" s="13"/>
      <c r="I163" s="13"/>
    </row>
    <row r="164" spans="1:9" ht="12.75" x14ac:dyDescent="0.2">
      <c r="A164" s="52"/>
      <c r="B164" s="12">
        <v>35</v>
      </c>
      <c r="C164" s="12" t="s">
        <v>717</v>
      </c>
      <c r="D164" s="12" t="s">
        <v>24</v>
      </c>
      <c r="E164" s="12" t="s">
        <v>25</v>
      </c>
      <c r="F164" s="12" t="s">
        <v>26</v>
      </c>
      <c r="G164" s="10" t="s">
        <v>27</v>
      </c>
      <c r="H164" s="13"/>
      <c r="I164" s="13"/>
    </row>
    <row r="165" spans="1:9" ht="12.75" x14ac:dyDescent="0.2">
      <c r="A165" s="52"/>
      <c r="B165" s="12">
        <v>35</v>
      </c>
      <c r="C165" s="12" t="s">
        <v>718</v>
      </c>
      <c r="D165" s="12" t="s">
        <v>24</v>
      </c>
      <c r="E165" s="12" t="s">
        <v>25</v>
      </c>
      <c r="F165" s="12" t="s">
        <v>26</v>
      </c>
      <c r="G165" s="10" t="s">
        <v>27</v>
      </c>
      <c r="H165" s="13"/>
      <c r="I165" s="13"/>
    </row>
    <row r="166" spans="1:9" ht="12.75" x14ac:dyDescent="0.2">
      <c r="A166" s="52"/>
      <c r="B166" s="12">
        <v>35</v>
      </c>
      <c r="C166" s="12" t="s">
        <v>618</v>
      </c>
      <c r="D166" s="12" t="s">
        <v>30</v>
      </c>
      <c r="E166" s="12" t="s">
        <v>25</v>
      </c>
      <c r="F166" s="12" t="s">
        <v>26</v>
      </c>
      <c r="G166" s="10" t="s">
        <v>27</v>
      </c>
      <c r="H166" s="13"/>
      <c r="I166" s="13"/>
    </row>
    <row r="167" spans="1:9" ht="12.75" x14ac:dyDescent="0.2">
      <c r="A167" s="52"/>
      <c r="B167" s="12">
        <v>35</v>
      </c>
      <c r="C167" s="12" t="s">
        <v>719</v>
      </c>
      <c r="D167" s="12" t="s">
        <v>24</v>
      </c>
      <c r="E167" s="12" t="s">
        <v>25</v>
      </c>
      <c r="F167" s="12" t="s">
        <v>26</v>
      </c>
      <c r="G167" s="10" t="s">
        <v>27</v>
      </c>
      <c r="H167" s="13"/>
      <c r="I167" s="13"/>
    </row>
    <row r="168" spans="1:9" ht="12.75" x14ac:dyDescent="0.2">
      <c r="A168" s="52"/>
      <c r="B168" s="12">
        <v>35</v>
      </c>
      <c r="C168" s="12" t="s">
        <v>574</v>
      </c>
      <c r="D168" s="12" t="s">
        <v>24</v>
      </c>
      <c r="E168" s="12" t="s">
        <v>25</v>
      </c>
      <c r="F168" s="12" t="s">
        <v>26</v>
      </c>
      <c r="G168" s="10" t="s">
        <v>27</v>
      </c>
      <c r="H168" s="13"/>
      <c r="I168" s="13"/>
    </row>
    <row r="169" spans="1:9" ht="12.75" x14ac:dyDescent="0.2">
      <c r="A169" s="53"/>
      <c r="B169" s="12">
        <v>35</v>
      </c>
      <c r="C169" s="12" t="s">
        <v>720</v>
      </c>
      <c r="D169" s="12" t="s">
        <v>24</v>
      </c>
      <c r="E169" s="12" t="s">
        <v>25</v>
      </c>
      <c r="F169" s="12" t="s">
        <v>26</v>
      </c>
      <c r="G169" s="10" t="s">
        <v>27</v>
      </c>
      <c r="H169" s="13"/>
      <c r="I169" s="13"/>
    </row>
    <row r="170" spans="1:9" ht="12.75" x14ac:dyDescent="0.2">
      <c r="A170" s="48" t="s">
        <v>85</v>
      </c>
      <c r="B170" s="9">
        <v>35</v>
      </c>
      <c r="C170" s="9" t="s">
        <v>721</v>
      </c>
      <c r="D170" s="9" t="s">
        <v>24</v>
      </c>
      <c r="E170" s="9" t="s">
        <v>31</v>
      </c>
      <c r="F170" s="9" t="s">
        <v>47</v>
      </c>
      <c r="G170" s="10" t="s">
        <v>27</v>
      </c>
      <c r="H170" s="13"/>
      <c r="I170" s="13"/>
    </row>
    <row r="171" spans="1:9" ht="12.75" x14ac:dyDescent="0.2">
      <c r="A171" s="52"/>
      <c r="B171" s="9">
        <v>35</v>
      </c>
      <c r="C171" s="9" t="s">
        <v>722</v>
      </c>
      <c r="D171" s="9" t="s">
        <v>24</v>
      </c>
      <c r="E171" s="9" t="s">
        <v>31</v>
      </c>
      <c r="F171" s="9" t="s">
        <v>47</v>
      </c>
      <c r="G171" s="10" t="s">
        <v>27</v>
      </c>
      <c r="H171" s="13"/>
      <c r="I171" s="13"/>
    </row>
    <row r="172" spans="1:9" ht="12.75" x14ac:dyDescent="0.2">
      <c r="A172" s="52"/>
      <c r="B172" s="9">
        <v>35</v>
      </c>
      <c r="C172" s="9" t="s">
        <v>723</v>
      </c>
      <c r="D172" s="9" t="s">
        <v>24</v>
      </c>
      <c r="E172" s="9" t="s">
        <v>31</v>
      </c>
      <c r="F172" s="9" t="s">
        <v>47</v>
      </c>
      <c r="G172" s="10" t="s">
        <v>27</v>
      </c>
      <c r="H172" s="13"/>
      <c r="I172" s="13"/>
    </row>
    <row r="173" spans="1:9" ht="12.75" x14ac:dyDescent="0.2">
      <c r="A173" s="52"/>
      <c r="B173" s="9">
        <v>35</v>
      </c>
      <c r="C173" s="9" t="s">
        <v>724</v>
      </c>
      <c r="D173" s="9" t="s">
        <v>24</v>
      </c>
      <c r="E173" s="9" t="s">
        <v>31</v>
      </c>
      <c r="F173" s="9" t="s">
        <v>47</v>
      </c>
      <c r="G173" s="10" t="s">
        <v>27</v>
      </c>
      <c r="H173" s="13"/>
      <c r="I173" s="13"/>
    </row>
    <row r="174" spans="1:9" ht="12.75" x14ac:dyDescent="0.2">
      <c r="A174" s="52"/>
      <c r="B174" s="9">
        <v>35</v>
      </c>
      <c r="C174" s="9" t="s">
        <v>725</v>
      </c>
      <c r="D174" s="9" t="s">
        <v>24</v>
      </c>
      <c r="E174" s="9" t="s">
        <v>31</v>
      </c>
      <c r="F174" s="9" t="s">
        <v>47</v>
      </c>
      <c r="G174" s="10" t="s">
        <v>27</v>
      </c>
      <c r="H174" s="13"/>
      <c r="I174" s="13"/>
    </row>
    <row r="175" spans="1:9" ht="12.75" x14ac:dyDescent="0.2">
      <c r="A175" s="52"/>
      <c r="B175" s="9">
        <v>35</v>
      </c>
      <c r="C175" s="9" t="s">
        <v>726</v>
      </c>
      <c r="D175" s="9" t="s">
        <v>24</v>
      </c>
      <c r="E175" s="9" t="s">
        <v>31</v>
      </c>
      <c r="F175" s="9" t="s">
        <v>47</v>
      </c>
      <c r="G175" s="10" t="s">
        <v>27</v>
      </c>
      <c r="H175" s="13"/>
      <c r="I175" s="13"/>
    </row>
    <row r="176" spans="1:9" ht="12.75" x14ac:dyDescent="0.2">
      <c r="A176" s="52"/>
      <c r="B176" s="9">
        <v>35</v>
      </c>
      <c r="C176" s="9" t="s">
        <v>727</v>
      </c>
      <c r="D176" s="9" t="s">
        <v>24</v>
      </c>
      <c r="E176" s="9" t="s">
        <v>31</v>
      </c>
      <c r="F176" s="9" t="s">
        <v>47</v>
      </c>
      <c r="G176" s="10" t="s">
        <v>27</v>
      </c>
      <c r="H176" s="13"/>
      <c r="I176" s="13"/>
    </row>
    <row r="177" spans="1:9" ht="12.75" x14ac:dyDescent="0.2">
      <c r="A177" s="52"/>
      <c r="B177" s="9">
        <v>35</v>
      </c>
      <c r="C177" s="9" t="s">
        <v>728</v>
      </c>
      <c r="D177" s="9" t="s">
        <v>24</v>
      </c>
      <c r="E177" s="9" t="s">
        <v>31</v>
      </c>
      <c r="F177" s="9" t="s">
        <v>47</v>
      </c>
      <c r="G177" s="10" t="s">
        <v>27</v>
      </c>
      <c r="H177" s="13"/>
      <c r="I177" s="13"/>
    </row>
    <row r="178" spans="1:9" ht="12.75" x14ac:dyDescent="0.2">
      <c r="A178" s="52"/>
      <c r="B178" s="9">
        <v>35</v>
      </c>
      <c r="C178" s="9" t="s">
        <v>729</v>
      </c>
      <c r="D178" s="9" t="s">
        <v>24</v>
      </c>
      <c r="E178" s="9" t="s">
        <v>31</v>
      </c>
      <c r="F178" s="9" t="s">
        <v>47</v>
      </c>
      <c r="G178" s="10" t="s">
        <v>27</v>
      </c>
      <c r="H178" s="13"/>
      <c r="I178" s="13"/>
    </row>
    <row r="179" spans="1:9" ht="12.75" x14ac:dyDescent="0.2">
      <c r="A179" s="52"/>
      <c r="B179" s="9">
        <v>35</v>
      </c>
      <c r="C179" s="9" t="s">
        <v>730</v>
      </c>
      <c r="D179" s="9" t="s">
        <v>24</v>
      </c>
      <c r="E179" s="9" t="s">
        <v>31</v>
      </c>
      <c r="F179" s="9" t="s">
        <v>47</v>
      </c>
      <c r="G179" s="10" t="s">
        <v>27</v>
      </c>
      <c r="H179" s="13"/>
      <c r="I179" s="13"/>
    </row>
    <row r="180" spans="1:9" ht="12.75" x14ac:dyDescent="0.2">
      <c r="A180" s="53"/>
      <c r="B180" s="9">
        <v>35</v>
      </c>
      <c r="C180" s="9" t="s">
        <v>731</v>
      </c>
      <c r="D180" s="9" t="s">
        <v>24</v>
      </c>
      <c r="E180" s="9" t="s">
        <v>31</v>
      </c>
      <c r="F180" s="9" t="s">
        <v>26</v>
      </c>
      <c r="G180" s="10" t="s">
        <v>27</v>
      </c>
      <c r="H180" s="13"/>
      <c r="I180" s="13"/>
    </row>
    <row r="181" spans="1:9" ht="12.75" x14ac:dyDescent="0.2">
      <c r="A181" s="13"/>
      <c r="B181" s="13"/>
      <c r="C181" s="13"/>
      <c r="D181" s="13"/>
      <c r="E181" s="13"/>
      <c r="F181" s="13"/>
      <c r="G181" s="13"/>
      <c r="H181" s="13"/>
      <c r="I181" s="13"/>
    </row>
    <row r="182" spans="1:9" ht="12.75" x14ac:dyDescent="0.2">
      <c r="A182" s="13"/>
      <c r="B182" s="13"/>
      <c r="C182" s="13"/>
      <c r="D182" s="13"/>
      <c r="E182" s="13"/>
      <c r="F182" s="13"/>
      <c r="G182" s="13"/>
      <c r="H182" s="13"/>
      <c r="I182" s="13"/>
    </row>
    <row r="183" spans="1:9" ht="12.75" x14ac:dyDescent="0.2">
      <c r="A183" s="13"/>
      <c r="B183" s="13"/>
      <c r="C183" s="13"/>
      <c r="D183" s="13"/>
      <c r="E183" s="13"/>
      <c r="F183" s="13"/>
      <c r="G183" s="13"/>
      <c r="H183" s="13"/>
      <c r="I183" s="13"/>
    </row>
    <row r="184" spans="1:9" ht="12.75" x14ac:dyDescent="0.2">
      <c r="A184" s="13"/>
      <c r="B184" s="13"/>
      <c r="C184" s="13"/>
      <c r="D184" s="13"/>
      <c r="E184" s="13"/>
      <c r="F184" s="13"/>
      <c r="G184" s="13"/>
      <c r="H184" s="13"/>
      <c r="I184" s="13"/>
    </row>
    <row r="185" spans="1:9" ht="12.75" x14ac:dyDescent="0.2">
      <c r="A185" s="13"/>
      <c r="B185" s="13"/>
      <c r="C185" s="13"/>
      <c r="D185" s="13"/>
      <c r="E185" s="13"/>
      <c r="F185" s="13"/>
      <c r="G185" s="13"/>
      <c r="H185" s="13"/>
      <c r="I185" s="13"/>
    </row>
    <row r="186" spans="1:9" ht="12.75" x14ac:dyDescent="0.2">
      <c r="A186" s="13"/>
      <c r="B186" s="13"/>
      <c r="C186" s="13"/>
      <c r="D186" s="13"/>
      <c r="E186" s="13"/>
      <c r="F186" s="13"/>
      <c r="G186" s="13"/>
      <c r="H186" s="13"/>
      <c r="I186" s="13"/>
    </row>
    <row r="187" spans="1:9" ht="12.75" x14ac:dyDescent="0.2">
      <c r="A187" s="13"/>
      <c r="B187" s="13"/>
      <c r="C187" s="13"/>
      <c r="D187" s="13"/>
      <c r="E187" s="13"/>
      <c r="F187" s="13"/>
      <c r="G187" s="13"/>
      <c r="H187" s="13"/>
      <c r="I187" s="13"/>
    </row>
    <row r="188" spans="1:9" ht="12.75" x14ac:dyDescent="0.2">
      <c r="A188" s="13"/>
      <c r="B188" s="13"/>
      <c r="C188" s="13"/>
      <c r="D188" s="13"/>
      <c r="E188" s="13"/>
      <c r="F188" s="13"/>
      <c r="G188" s="13"/>
      <c r="H188" s="13"/>
      <c r="I188" s="13"/>
    </row>
    <row r="189" spans="1:9" ht="12.75" x14ac:dyDescent="0.2">
      <c r="A189" s="13"/>
      <c r="B189" s="13"/>
      <c r="C189" s="13"/>
      <c r="D189" s="13"/>
      <c r="E189" s="13"/>
      <c r="F189" s="13"/>
      <c r="G189" s="13"/>
      <c r="H189" s="13"/>
      <c r="I189" s="13"/>
    </row>
  </sheetData>
  <mergeCells count="18">
    <mergeCell ref="A170:A180"/>
    <mergeCell ref="A74:A77"/>
    <mergeCell ref="A78:A89"/>
    <mergeCell ref="A90:A95"/>
    <mergeCell ref="A96:A105"/>
    <mergeCell ref="A106:A112"/>
    <mergeCell ref="A113:A118"/>
    <mergeCell ref="A119:A127"/>
    <mergeCell ref="A53:A65"/>
    <mergeCell ref="A66:A73"/>
    <mergeCell ref="A128:A147"/>
    <mergeCell ref="A148:A157"/>
    <mergeCell ref="A158:A169"/>
    <mergeCell ref="A1:G1"/>
    <mergeCell ref="A9:A15"/>
    <mergeCell ref="A16:A25"/>
    <mergeCell ref="A26:A32"/>
    <mergeCell ref="A33:A5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P84"/>
  <sheetViews>
    <sheetView workbookViewId="0"/>
  </sheetViews>
  <sheetFormatPr defaultColWidth="12.5703125" defaultRowHeight="15.75" customHeight="1" x14ac:dyDescent="0.2"/>
  <cols>
    <col min="1" max="7" width="18.85546875" customWidth="1"/>
    <col min="9" max="9" width="17.7109375" customWidth="1"/>
  </cols>
  <sheetData>
    <row r="1" spans="1:16" ht="15.75" customHeight="1" x14ac:dyDescent="0.25">
      <c r="A1" s="54" t="s">
        <v>0</v>
      </c>
      <c r="B1" s="55"/>
      <c r="C1" s="55"/>
      <c r="D1" s="55"/>
      <c r="E1" s="55"/>
      <c r="F1" s="55"/>
      <c r="G1" s="56"/>
    </row>
    <row r="2" spans="1:16" x14ac:dyDescent="0.2">
      <c r="A2" s="1"/>
      <c r="B2" s="2"/>
      <c r="C2" s="2"/>
      <c r="D2" s="2"/>
      <c r="E2" s="2"/>
      <c r="F2" s="2"/>
      <c r="G2" s="2"/>
    </row>
    <row r="3" spans="1:16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16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16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16" x14ac:dyDescent="0.2">
      <c r="A6" s="1"/>
      <c r="B6" s="2"/>
      <c r="C6" s="2"/>
      <c r="D6" s="2"/>
      <c r="E6" s="2"/>
      <c r="F6" s="2"/>
      <c r="G6" s="2"/>
    </row>
    <row r="7" spans="1:16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16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  <c r="I8" s="28"/>
      <c r="J8" s="28"/>
      <c r="K8" s="28"/>
      <c r="L8" s="28"/>
      <c r="M8" s="28"/>
      <c r="N8" s="28"/>
      <c r="O8" s="28"/>
      <c r="P8" s="28"/>
    </row>
    <row r="9" spans="1:16" x14ac:dyDescent="0.2">
      <c r="A9" s="58" t="s">
        <v>20</v>
      </c>
      <c r="B9" s="12">
        <v>36</v>
      </c>
      <c r="C9" s="12" t="s">
        <v>732</v>
      </c>
      <c r="D9" s="12" t="s">
        <v>24</v>
      </c>
      <c r="E9" s="12" t="s">
        <v>25</v>
      </c>
      <c r="F9" s="12" t="s">
        <v>26</v>
      </c>
      <c r="G9" s="12" t="s">
        <v>27</v>
      </c>
      <c r="H9" s="11"/>
      <c r="I9" s="29"/>
      <c r="J9" s="11"/>
      <c r="K9" s="11"/>
      <c r="L9" s="11"/>
      <c r="M9" s="11"/>
      <c r="N9" s="11"/>
      <c r="O9" s="30"/>
      <c r="P9" s="28"/>
    </row>
    <row r="10" spans="1:16" x14ac:dyDescent="0.2">
      <c r="A10" s="52"/>
      <c r="B10" s="12">
        <v>36</v>
      </c>
      <c r="C10" s="12" t="s">
        <v>733</v>
      </c>
      <c r="D10" s="12" t="s">
        <v>24</v>
      </c>
      <c r="E10" s="12" t="s">
        <v>25</v>
      </c>
      <c r="F10" s="12" t="s">
        <v>26</v>
      </c>
      <c r="G10" s="12" t="s">
        <v>27</v>
      </c>
      <c r="H10" s="11"/>
      <c r="I10" s="29"/>
      <c r="J10" s="11"/>
      <c r="K10" s="11"/>
      <c r="L10" s="11"/>
      <c r="M10" s="11"/>
      <c r="N10" s="11"/>
      <c r="O10" s="30"/>
      <c r="P10" s="28"/>
    </row>
    <row r="11" spans="1:16" x14ac:dyDescent="0.2">
      <c r="A11" s="53"/>
      <c r="B11" s="12">
        <v>36</v>
      </c>
      <c r="C11" s="12" t="s">
        <v>734</v>
      </c>
      <c r="D11" s="12" t="s">
        <v>24</v>
      </c>
      <c r="E11" s="12" t="s">
        <v>25</v>
      </c>
      <c r="F11" s="12" t="s">
        <v>26</v>
      </c>
      <c r="G11" s="12" t="s">
        <v>27</v>
      </c>
      <c r="H11" s="11"/>
      <c r="I11" s="29"/>
      <c r="J11" s="11"/>
      <c r="K11" s="11"/>
      <c r="L11" s="11"/>
      <c r="M11" s="11"/>
      <c r="N11" s="11"/>
      <c r="O11" s="30"/>
      <c r="P11" s="28"/>
    </row>
    <row r="12" spans="1:16" x14ac:dyDescent="0.2">
      <c r="A12" s="48" t="s">
        <v>22</v>
      </c>
      <c r="B12" s="9">
        <v>36</v>
      </c>
      <c r="C12" s="9" t="s">
        <v>735</v>
      </c>
      <c r="D12" s="9" t="s">
        <v>24</v>
      </c>
      <c r="E12" s="9" t="s">
        <v>31</v>
      </c>
      <c r="F12" s="9" t="s">
        <v>87</v>
      </c>
      <c r="G12" s="12" t="s">
        <v>27</v>
      </c>
      <c r="H12" s="11"/>
      <c r="I12" s="29"/>
      <c r="J12" s="11"/>
      <c r="K12" s="11"/>
      <c r="L12" s="11"/>
      <c r="M12" s="11"/>
      <c r="N12" s="11"/>
      <c r="O12" s="30"/>
      <c r="P12" s="28"/>
    </row>
    <row r="13" spans="1:16" x14ac:dyDescent="0.2">
      <c r="A13" s="52"/>
      <c r="B13" s="9">
        <v>36</v>
      </c>
      <c r="C13" s="9" t="s">
        <v>736</v>
      </c>
      <c r="D13" s="9" t="s">
        <v>24</v>
      </c>
      <c r="E13" s="9" t="s">
        <v>31</v>
      </c>
      <c r="F13" s="9" t="s">
        <v>87</v>
      </c>
      <c r="G13" s="12" t="s">
        <v>27</v>
      </c>
      <c r="H13" s="11"/>
      <c r="I13" s="29"/>
      <c r="J13" s="11"/>
      <c r="K13" s="11"/>
      <c r="L13" s="11"/>
      <c r="M13" s="11"/>
      <c r="N13" s="11"/>
      <c r="O13" s="30"/>
      <c r="P13" s="28"/>
    </row>
    <row r="14" spans="1:16" x14ac:dyDescent="0.2">
      <c r="A14" s="52"/>
      <c r="B14" s="9">
        <v>36</v>
      </c>
      <c r="C14" s="9" t="s">
        <v>737</v>
      </c>
      <c r="D14" s="9" t="s">
        <v>24</v>
      </c>
      <c r="E14" s="9" t="s">
        <v>256</v>
      </c>
      <c r="F14" s="9" t="s">
        <v>87</v>
      </c>
      <c r="G14" s="12" t="s">
        <v>27</v>
      </c>
      <c r="H14" s="11"/>
      <c r="I14" s="29"/>
      <c r="J14" s="11"/>
      <c r="K14" s="11"/>
      <c r="L14" s="11"/>
      <c r="M14" s="11"/>
      <c r="N14" s="11"/>
      <c r="O14" s="30"/>
      <c r="P14" s="28"/>
    </row>
    <row r="15" spans="1:16" x14ac:dyDescent="0.2">
      <c r="A15" s="52"/>
      <c r="B15" s="9">
        <v>36</v>
      </c>
      <c r="C15" s="9" t="s">
        <v>738</v>
      </c>
      <c r="D15" s="9" t="s">
        <v>24</v>
      </c>
      <c r="E15" s="9" t="s">
        <v>256</v>
      </c>
      <c r="F15" s="9" t="s">
        <v>87</v>
      </c>
      <c r="G15" s="12" t="s">
        <v>27</v>
      </c>
      <c r="H15" s="11"/>
      <c r="I15" s="29"/>
      <c r="J15" s="11"/>
      <c r="K15" s="11"/>
      <c r="L15" s="11"/>
      <c r="M15" s="11"/>
      <c r="N15" s="11"/>
      <c r="O15" s="30"/>
      <c r="P15" s="28"/>
    </row>
    <row r="16" spans="1:16" x14ac:dyDescent="0.2">
      <c r="A16" s="53"/>
      <c r="B16" s="9">
        <v>36</v>
      </c>
      <c r="C16" s="9" t="s">
        <v>739</v>
      </c>
      <c r="D16" s="9" t="s">
        <v>24</v>
      </c>
      <c r="E16" s="9" t="s">
        <v>256</v>
      </c>
      <c r="F16" s="9" t="s">
        <v>87</v>
      </c>
      <c r="G16" s="12" t="s">
        <v>27</v>
      </c>
      <c r="H16" s="11"/>
      <c r="I16" s="29"/>
      <c r="J16" s="11"/>
      <c r="K16" s="11"/>
      <c r="L16" s="11"/>
      <c r="M16" s="11"/>
      <c r="N16" s="11"/>
      <c r="O16" s="30"/>
      <c r="P16" s="28"/>
    </row>
    <row r="17" spans="1:16" x14ac:dyDescent="0.2">
      <c r="A17" s="9" t="s">
        <v>28</v>
      </c>
      <c r="B17" s="9">
        <v>36</v>
      </c>
      <c r="C17" s="9" t="s">
        <v>740</v>
      </c>
      <c r="D17" s="9" t="s">
        <v>24</v>
      </c>
      <c r="E17" s="9" t="s">
        <v>31</v>
      </c>
      <c r="F17" s="9" t="s">
        <v>47</v>
      </c>
      <c r="G17" s="12" t="s">
        <v>27</v>
      </c>
      <c r="H17" s="11"/>
      <c r="I17" s="29"/>
      <c r="J17" s="11"/>
      <c r="K17" s="11"/>
      <c r="L17" s="11"/>
      <c r="M17" s="11"/>
      <c r="N17" s="11"/>
      <c r="O17" s="30"/>
      <c r="P17" s="28"/>
    </row>
    <row r="18" spans="1:16" x14ac:dyDescent="0.2">
      <c r="A18" s="48" t="s">
        <v>33</v>
      </c>
      <c r="B18" s="9">
        <v>36</v>
      </c>
      <c r="C18" s="9" t="s">
        <v>741</v>
      </c>
      <c r="D18" s="9" t="s">
        <v>24</v>
      </c>
      <c r="E18" s="9" t="s">
        <v>25</v>
      </c>
      <c r="F18" s="9" t="s">
        <v>26</v>
      </c>
      <c r="G18" s="12" t="s">
        <v>27</v>
      </c>
      <c r="H18" s="11"/>
      <c r="I18" s="29"/>
      <c r="J18" s="11"/>
      <c r="K18" s="11"/>
      <c r="L18" s="11"/>
      <c r="M18" s="11"/>
      <c r="N18" s="11"/>
      <c r="O18" s="30"/>
      <c r="P18" s="28"/>
    </row>
    <row r="19" spans="1:16" x14ac:dyDescent="0.2">
      <c r="A19" s="50"/>
      <c r="B19" s="9">
        <v>36</v>
      </c>
      <c r="C19" s="9" t="s">
        <v>742</v>
      </c>
      <c r="D19" s="9" t="s">
        <v>24</v>
      </c>
      <c r="E19" s="9" t="s">
        <v>25</v>
      </c>
      <c r="F19" s="9" t="s">
        <v>26</v>
      </c>
      <c r="G19" s="12" t="s">
        <v>27</v>
      </c>
      <c r="H19" s="11"/>
      <c r="I19" s="29"/>
      <c r="J19" s="11"/>
      <c r="K19" s="11"/>
      <c r="L19" s="11"/>
      <c r="M19" s="11"/>
      <c r="N19" s="11"/>
      <c r="O19" s="30"/>
      <c r="P19" s="28"/>
    </row>
    <row r="20" spans="1:16" x14ac:dyDescent="0.2">
      <c r="A20" s="51"/>
      <c r="B20" s="9">
        <v>36</v>
      </c>
      <c r="C20" s="9" t="s">
        <v>743</v>
      </c>
      <c r="D20" s="9" t="s">
        <v>24</v>
      </c>
      <c r="E20" s="9" t="s">
        <v>25</v>
      </c>
      <c r="F20" s="9" t="s">
        <v>26</v>
      </c>
      <c r="G20" s="12" t="s">
        <v>27</v>
      </c>
      <c r="H20" s="11"/>
      <c r="I20" s="29"/>
      <c r="J20" s="11"/>
      <c r="K20" s="11"/>
      <c r="L20" s="11"/>
      <c r="M20" s="11"/>
      <c r="N20" s="11"/>
      <c r="O20" s="30"/>
      <c r="P20" s="28"/>
    </row>
    <row r="21" spans="1:16" x14ac:dyDescent="0.2">
      <c r="A21" s="50"/>
      <c r="B21" s="9">
        <v>36</v>
      </c>
      <c r="C21" s="9" t="s">
        <v>744</v>
      </c>
      <c r="D21" s="9" t="s">
        <v>24</v>
      </c>
      <c r="E21" s="9" t="s">
        <v>25</v>
      </c>
      <c r="F21" s="9" t="s">
        <v>26</v>
      </c>
      <c r="G21" s="12" t="s">
        <v>27</v>
      </c>
      <c r="H21" s="11"/>
      <c r="I21" s="29"/>
      <c r="J21" s="11"/>
      <c r="K21" s="11"/>
      <c r="L21" s="11"/>
      <c r="M21" s="11"/>
      <c r="N21" s="11"/>
      <c r="O21" s="30"/>
      <c r="P21" s="28"/>
    </row>
    <row r="22" spans="1:16" x14ac:dyDescent="0.2">
      <c r="A22" s="51"/>
      <c r="B22" s="9">
        <v>36</v>
      </c>
      <c r="C22" s="9" t="s">
        <v>745</v>
      </c>
      <c r="D22" s="9" t="s">
        <v>24</v>
      </c>
      <c r="E22" s="9" t="s">
        <v>25</v>
      </c>
      <c r="F22" s="9" t="s">
        <v>26</v>
      </c>
      <c r="G22" s="12" t="s">
        <v>27</v>
      </c>
      <c r="H22" s="11"/>
      <c r="I22" s="29"/>
      <c r="J22" s="11"/>
      <c r="K22" s="11"/>
      <c r="L22" s="11"/>
      <c r="M22" s="11"/>
      <c r="N22" s="11"/>
      <c r="O22" s="30"/>
      <c r="P22" s="28"/>
    </row>
    <row r="23" spans="1:16" x14ac:dyDescent="0.2">
      <c r="A23" s="50"/>
      <c r="B23" s="9">
        <v>36</v>
      </c>
      <c r="C23" s="9" t="s">
        <v>746</v>
      </c>
      <c r="D23" s="9" t="s">
        <v>24</v>
      </c>
      <c r="E23" s="9" t="s">
        <v>25</v>
      </c>
      <c r="F23" s="9" t="s">
        <v>26</v>
      </c>
      <c r="G23" s="12" t="s">
        <v>27</v>
      </c>
      <c r="H23" s="11"/>
      <c r="I23" s="29"/>
      <c r="J23" s="11"/>
      <c r="K23" s="11"/>
      <c r="L23" s="11"/>
      <c r="M23" s="11"/>
      <c r="N23" s="11"/>
      <c r="O23" s="30"/>
      <c r="P23" s="28"/>
    </row>
    <row r="24" spans="1:16" x14ac:dyDescent="0.2">
      <c r="A24" s="57"/>
      <c r="B24" s="9">
        <v>36</v>
      </c>
      <c r="C24" s="9" t="s">
        <v>734</v>
      </c>
      <c r="D24" s="9" t="s">
        <v>24</v>
      </c>
      <c r="E24" s="9" t="s">
        <v>25</v>
      </c>
      <c r="F24" s="9" t="s">
        <v>26</v>
      </c>
      <c r="G24" s="12" t="s">
        <v>27</v>
      </c>
      <c r="H24" s="11"/>
      <c r="I24" s="29"/>
      <c r="J24" s="11"/>
      <c r="K24" s="11"/>
      <c r="L24" s="11"/>
      <c r="M24" s="11"/>
      <c r="N24" s="11"/>
      <c r="O24" s="30"/>
      <c r="P24" s="28"/>
    </row>
    <row r="25" spans="1:16" x14ac:dyDescent="0.2">
      <c r="A25" s="48" t="s">
        <v>38</v>
      </c>
      <c r="B25" s="9">
        <v>36</v>
      </c>
      <c r="C25" s="9" t="s">
        <v>747</v>
      </c>
      <c r="D25" s="9" t="s">
        <v>24</v>
      </c>
      <c r="E25" s="9" t="s">
        <v>256</v>
      </c>
      <c r="F25" s="9" t="s">
        <v>87</v>
      </c>
      <c r="G25" s="12" t="s">
        <v>27</v>
      </c>
      <c r="H25" s="11"/>
      <c r="I25" s="29"/>
      <c r="J25" s="11"/>
      <c r="K25" s="11"/>
      <c r="L25" s="11"/>
      <c r="M25" s="11"/>
      <c r="N25" s="11"/>
      <c r="O25" s="30"/>
      <c r="P25" s="28"/>
    </row>
    <row r="26" spans="1:16" x14ac:dyDescent="0.2">
      <c r="A26" s="51"/>
      <c r="B26" s="9">
        <v>36</v>
      </c>
      <c r="C26" s="9" t="s">
        <v>748</v>
      </c>
      <c r="D26" s="9" t="s">
        <v>24</v>
      </c>
      <c r="E26" s="9" t="s">
        <v>256</v>
      </c>
      <c r="F26" s="9" t="s">
        <v>87</v>
      </c>
      <c r="G26" s="12" t="s">
        <v>27</v>
      </c>
      <c r="H26" s="11"/>
      <c r="I26" s="29"/>
      <c r="J26" s="11"/>
      <c r="K26" s="11"/>
      <c r="L26" s="11"/>
      <c r="M26" s="11"/>
      <c r="N26" s="11"/>
      <c r="O26" s="30"/>
      <c r="P26" s="28"/>
    </row>
    <row r="27" spans="1:16" x14ac:dyDescent="0.2">
      <c r="A27" s="50"/>
      <c r="B27" s="9">
        <v>36</v>
      </c>
      <c r="C27" s="9" t="s">
        <v>749</v>
      </c>
      <c r="D27" s="9" t="s">
        <v>24</v>
      </c>
      <c r="E27" s="9" t="s">
        <v>256</v>
      </c>
      <c r="F27" s="9" t="s">
        <v>87</v>
      </c>
      <c r="G27" s="12" t="s">
        <v>27</v>
      </c>
      <c r="H27" s="11"/>
      <c r="I27" s="29"/>
      <c r="J27" s="11"/>
      <c r="K27" s="11"/>
      <c r="L27" s="11"/>
      <c r="M27" s="11"/>
      <c r="N27" s="11"/>
      <c r="O27" s="30"/>
      <c r="P27" s="28"/>
    </row>
    <row r="28" spans="1:16" x14ac:dyDescent="0.2">
      <c r="A28" s="51"/>
      <c r="B28" s="9">
        <v>36</v>
      </c>
      <c r="C28" s="9" t="s">
        <v>735</v>
      </c>
      <c r="D28" s="9" t="s">
        <v>24</v>
      </c>
      <c r="E28" s="9" t="s">
        <v>256</v>
      </c>
      <c r="F28" s="9" t="s">
        <v>87</v>
      </c>
      <c r="G28" s="12" t="s">
        <v>27</v>
      </c>
      <c r="H28" s="11"/>
      <c r="I28" s="29"/>
      <c r="J28" s="11"/>
      <c r="K28" s="11"/>
      <c r="L28" s="11"/>
      <c r="M28" s="11"/>
      <c r="N28" s="11"/>
      <c r="O28" s="30"/>
      <c r="P28" s="28"/>
    </row>
    <row r="29" spans="1:16" x14ac:dyDescent="0.2">
      <c r="A29" s="50"/>
      <c r="B29" s="9">
        <v>36</v>
      </c>
      <c r="C29" s="9" t="s">
        <v>750</v>
      </c>
      <c r="D29" s="9" t="s">
        <v>24</v>
      </c>
      <c r="E29" s="9" t="s">
        <v>256</v>
      </c>
      <c r="F29" s="9" t="s">
        <v>87</v>
      </c>
      <c r="G29" s="12" t="s">
        <v>27</v>
      </c>
      <c r="H29" s="11"/>
      <c r="I29" s="29"/>
      <c r="J29" s="11"/>
      <c r="K29" s="11"/>
      <c r="L29" s="11"/>
      <c r="M29" s="11"/>
      <c r="N29" s="11"/>
      <c r="O29" s="30"/>
      <c r="P29" s="28"/>
    </row>
    <row r="30" spans="1:16" x14ac:dyDescent="0.2">
      <c r="A30" s="51"/>
      <c r="B30" s="9">
        <v>36</v>
      </c>
      <c r="C30" s="9" t="s">
        <v>751</v>
      </c>
      <c r="D30" s="9" t="s">
        <v>24</v>
      </c>
      <c r="E30" s="9" t="s">
        <v>256</v>
      </c>
      <c r="F30" s="9" t="s">
        <v>87</v>
      </c>
      <c r="G30" s="12" t="s">
        <v>27</v>
      </c>
      <c r="H30" s="11"/>
      <c r="I30" s="29"/>
      <c r="J30" s="11"/>
      <c r="K30" s="11"/>
      <c r="L30" s="11"/>
      <c r="M30" s="11"/>
      <c r="N30" s="11"/>
      <c r="O30" s="30"/>
      <c r="P30" s="28"/>
    </row>
    <row r="31" spans="1:16" x14ac:dyDescent="0.2">
      <c r="A31" s="50"/>
      <c r="B31" s="9">
        <v>36</v>
      </c>
      <c r="C31" s="9" t="s">
        <v>752</v>
      </c>
      <c r="D31" s="9" t="s">
        <v>24</v>
      </c>
      <c r="E31" s="9" t="s">
        <v>256</v>
      </c>
      <c r="F31" s="9" t="s">
        <v>87</v>
      </c>
      <c r="G31" s="12" t="s">
        <v>27</v>
      </c>
      <c r="H31" s="11"/>
      <c r="I31" s="29"/>
      <c r="J31" s="11"/>
      <c r="K31" s="11"/>
      <c r="L31" s="11"/>
      <c r="M31" s="11"/>
      <c r="N31" s="11"/>
      <c r="O31" s="30"/>
      <c r="P31" s="28"/>
    </row>
    <row r="32" spans="1:16" x14ac:dyDescent="0.2">
      <c r="A32" s="51"/>
      <c r="B32" s="9">
        <v>36</v>
      </c>
      <c r="C32" s="9" t="s">
        <v>753</v>
      </c>
      <c r="D32" s="9" t="s">
        <v>24</v>
      </c>
      <c r="E32" s="9" t="s">
        <v>256</v>
      </c>
      <c r="F32" s="9" t="s">
        <v>87</v>
      </c>
      <c r="G32" s="12" t="s">
        <v>27</v>
      </c>
      <c r="H32" s="11"/>
      <c r="I32" s="29"/>
      <c r="J32" s="11"/>
      <c r="K32" s="11"/>
      <c r="L32" s="11"/>
      <c r="M32" s="11"/>
      <c r="N32" s="11"/>
      <c r="O32" s="30"/>
      <c r="P32" s="28"/>
    </row>
    <row r="33" spans="1:16" x14ac:dyDescent="0.2">
      <c r="A33" s="50"/>
      <c r="B33" s="9">
        <v>36</v>
      </c>
      <c r="C33" s="9" t="s">
        <v>754</v>
      </c>
      <c r="D33" s="9" t="s">
        <v>24</v>
      </c>
      <c r="E33" s="9" t="s">
        <v>256</v>
      </c>
      <c r="F33" s="9" t="s">
        <v>87</v>
      </c>
      <c r="G33" s="12" t="s">
        <v>27</v>
      </c>
      <c r="H33" s="11"/>
      <c r="I33" s="29"/>
      <c r="J33" s="11"/>
      <c r="K33" s="11"/>
      <c r="L33" s="11"/>
      <c r="M33" s="11"/>
      <c r="N33" s="11"/>
      <c r="O33" s="30"/>
      <c r="P33" s="28"/>
    </row>
    <row r="34" spans="1:16" x14ac:dyDescent="0.2">
      <c r="A34" s="57"/>
      <c r="B34" s="9">
        <v>36</v>
      </c>
      <c r="C34" s="9" t="s">
        <v>755</v>
      </c>
      <c r="D34" s="9" t="s">
        <v>24</v>
      </c>
      <c r="E34" s="9" t="s">
        <v>256</v>
      </c>
      <c r="F34" s="9" t="s">
        <v>87</v>
      </c>
      <c r="G34" s="12" t="s">
        <v>27</v>
      </c>
      <c r="H34" s="11"/>
      <c r="I34" s="29"/>
      <c r="J34" s="11"/>
      <c r="K34" s="11"/>
      <c r="L34" s="11"/>
      <c r="M34" s="11"/>
      <c r="N34" s="11"/>
      <c r="O34" s="30"/>
      <c r="P34" s="28"/>
    </row>
    <row r="35" spans="1:16" x14ac:dyDescent="0.2">
      <c r="A35" s="9" t="s">
        <v>46</v>
      </c>
      <c r="B35" s="9">
        <v>36</v>
      </c>
      <c r="C35" s="9" t="s">
        <v>620</v>
      </c>
      <c r="D35" s="9" t="s">
        <v>24</v>
      </c>
      <c r="E35" s="9" t="s">
        <v>31</v>
      </c>
      <c r="F35" s="9" t="s">
        <v>87</v>
      </c>
      <c r="G35" s="12" t="s">
        <v>27</v>
      </c>
      <c r="H35" s="11"/>
      <c r="I35" s="29"/>
      <c r="J35" s="11"/>
      <c r="K35" s="11"/>
      <c r="L35" s="11"/>
      <c r="M35" s="11"/>
      <c r="N35" s="11"/>
      <c r="O35" s="30"/>
      <c r="P35" s="28"/>
    </row>
    <row r="36" spans="1:16" x14ac:dyDescent="0.2">
      <c r="A36" s="48" t="s">
        <v>49</v>
      </c>
      <c r="B36" s="12">
        <v>36</v>
      </c>
      <c r="C36" s="12" t="s">
        <v>753</v>
      </c>
      <c r="D36" s="12" t="s">
        <v>24</v>
      </c>
      <c r="E36" s="12" t="s">
        <v>25</v>
      </c>
      <c r="F36" s="12" t="s">
        <v>26</v>
      </c>
      <c r="G36" s="12" t="s">
        <v>27</v>
      </c>
      <c r="H36" s="11"/>
      <c r="I36" s="29"/>
      <c r="J36" s="11"/>
      <c r="K36" s="11"/>
      <c r="L36" s="11"/>
      <c r="M36" s="11"/>
      <c r="N36" s="11"/>
      <c r="O36" s="30"/>
      <c r="P36" s="28"/>
    </row>
    <row r="37" spans="1:16" ht="12.75" x14ac:dyDescent="0.2">
      <c r="A37" s="50"/>
      <c r="B37" s="12">
        <v>36</v>
      </c>
      <c r="C37" s="12" t="s">
        <v>756</v>
      </c>
      <c r="D37" s="12" t="s">
        <v>24</v>
      </c>
      <c r="E37" s="12" t="s">
        <v>25</v>
      </c>
      <c r="F37" s="12" t="s">
        <v>26</v>
      </c>
      <c r="G37" s="12" t="s">
        <v>27</v>
      </c>
      <c r="H37" s="11"/>
      <c r="I37" s="29"/>
      <c r="J37" s="11"/>
      <c r="K37" s="11"/>
      <c r="L37" s="11"/>
      <c r="M37" s="11"/>
      <c r="N37" s="11"/>
      <c r="O37" s="30"/>
      <c r="P37" s="28"/>
    </row>
    <row r="38" spans="1:16" ht="12.75" x14ac:dyDescent="0.2">
      <c r="A38" s="51"/>
      <c r="B38" s="12">
        <v>36</v>
      </c>
      <c r="C38" s="12" t="s">
        <v>757</v>
      </c>
      <c r="D38" s="12" t="s">
        <v>24</v>
      </c>
      <c r="E38" s="12" t="s">
        <v>25</v>
      </c>
      <c r="F38" s="12" t="s">
        <v>26</v>
      </c>
      <c r="G38" s="12" t="s">
        <v>27</v>
      </c>
      <c r="H38" s="11"/>
      <c r="I38" s="29"/>
      <c r="J38" s="11"/>
      <c r="K38" s="11"/>
      <c r="L38" s="11"/>
      <c r="M38" s="11"/>
      <c r="N38" s="11"/>
      <c r="O38" s="30"/>
      <c r="P38" s="28"/>
    </row>
    <row r="39" spans="1:16" ht="12.75" x14ac:dyDescent="0.2">
      <c r="A39" s="50"/>
      <c r="B39" s="12">
        <v>36</v>
      </c>
      <c r="C39" s="12" t="s">
        <v>755</v>
      </c>
      <c r="D39" s="12" t="s">
        <v>24</v>
      </c>
      <c r="E39" s="12" t="s">
        <v>25</v>
      </c>
      <c r="F39" s="12" t="s">
        <v>26</v>
      </c>
      <c r="G39" s="12" t="s">
        <v>27</v>
      </c>
      <c r="H39" s="11"/>
      <c r="I39" s="29"/>
      <c r="J39" s="11"/>
      <c r="K39" s="11"/>
      <c r="L39" s="11"/>
      <c r="M39" s="11"/>
      <c r="N39" s="11"/>
      <c r="O39" s="30"/>
      <c r="P39" s="28"/>
    </row>
    <row r="40" spans="1:16" ht="12.75" x14ac:dyDescent="0.2">
      <c r="A40" s="51"/>
      <c r="B40" s="12">
        <v>36</v>
      </c>
      <c r="C40" s="12" t="s">
        <v>758</v>
      </c>
      <c r="D40" s="12" t="s">
        <v>24</v>
      </c>
      <c r="E40" s="12" t="s">
        <v>25</v>
      </c>
      <c r="F40" s="12" t="s">
        <v>26</v>
      </c>
      <c r="G40" s="12" t="s">
        <v>27</v>
      </c>
      <c r="H40" s="11"/>
      <c r="I40" s="29"/>
      <c r="J40" s="11"/>
      <c r="K40" s="11"/>
      <c r="L40" s="11"/>
      <c r="M40" s="11"/>
      <c r="N40" s="11"/>
      <c r="O40" s="30"/>
      <c r="P40" s="28"/>
    </row>
    <row r="41" spans="1:16" ht="12.75" x14ac:dyDescent="0.2">
      <c r="A41" s="49"/>
      <c r="B41" s="12">
        <v>36</v>
      </c>
      <c r="C41" s="12" t="s">
        <v>759</v>
      </c>
      <c r="D41" s="12" t="s">
        <v>24</v>
      </c>
      <c r="E41" s="12" t="s">
        <v>25</v>
      </c>
      <c r="F41" s="12" t="s">
        <v>26</v>
      </c>
      <c r="G41" s="12" t="s">
        <v>27</v>
      </c>
      <c r="H41" s="11"/>
      <c r="I41" s="29"/>
      <c r="J41" s="11"/>
      <c r="K41" s="11"/>
      <c r="L41" s="11"/>
      <c r="M41" s="11"/>
      <c r="N41" s="11"/>
      <c r="O41" s="30"/>
      <c r="P41" s="28"/>
    </row>
    <row r="42" spans="1:16" ht="12.75" x14ac:dyDescent="0.2">
      <c r="A42" s="48" t="s">
        <v>52</v>
      </c>
      <c r="B42" s="9">
        <v>36</v>
      </c>
      <c r="C42" s="9" t="s">
        <v>686</v>
      </c>
      <c r="D42" s="9" t="s">
        <v>24</v>
      </c>
      <c r="E42" s="9" t="s">
        <v>31</v>
      </c>
      <c r="F42" s="9" t="s">
        <v>47</v>
      </c>
      <c r="G42" s="12" t="s">
        <v>27</v>
      </c>
      <c r="H42" s="11"/>
      <c r="I42" s="29"/>
      <c r="J42" s="11"/>
      <c r="K42" s="11"/>
      <c r="L42" s="11"/>
      <c r="M42" s="11"/>
      <c r="N42" s="11"/>
      <c r="O42" s="30"/>
      <c r="P42" s="28"/>
    </row>
    <row r="43" spans="1:16" ht="12.75" x14ac:dyDescent="0.2">
      <c r="A43" s="52"/>
      <c r="B43" s="9">
        <v>36</v>
      </c>
      <c r="C43" s="9" t="s">
        <v>735</v>
      </c>
      <c r="D43" s="9" t="s">
        <v>24</v>
      </c>
      <c r="E43" s="9" t="s">
        <v>31</v>
      </c>
      <c r="F43" s="9" t="s">
        <v>47</v>
      </c>
      <c r="G43" s="12" t="s">
        <v>27</v>
      </c>
      <c r="H43" s="11"/>
      <c r="I43" s="29"/>
      <c r="J43" s="11"/>
      <c r="K43" s="11"/>
      <c r="L43" s="11"/>
      <c r="M43" s="11"/>
      <c r="N43" s="11"/>
      <c r="O43" s="30"/>
      <c r="P43" s="28"/>
    </row>
    <row r="44" spans="1:16" ht="12.75" x14ac:dyDescent="0.2">
      <c r="A44" s="52"/>
      <c r="B44" s="9">
        <v>36</v>
      </c>
      <c r="C44" s="9" t="s">
        <v>760</v>
      </c>
      <c r="D44" s="9" t="s">
        <v>24</v>
      </c>
      <c r="E44" s="9" t="s">
        <v>31</v>
      </c>
      <c r="F44" s="9" t="s">
        <v>47</v>
      </c>
      <c r="G44" s="12" t="s">
        <v>27</v>
      </c>
      <c r="H44" s="11"/>
      <c r="I44" s="29"/>
      <c r="J44" s="11"/>
      <c r="K44" s="11"/>
      <c r="L44" s="11"/>
      <c r="M44" s="11"/>
      <c r="N44" s="11"/>
      <c r="O44" s="30"/>
      <c r="P44" s="28"/>
    </row>
    <row r="45" spans="1:16" ht="12.75" x14ac:dyDescent="0.2">
      <c r="A45" s="52"/>
      <c r="B45" s="9">
        <v>36</v>
      </c>
      <c r="C45" s="9" t="s">
        <v>761</v>
      </c>
      <c r="D45" s="9" t="s">
        <v>24</v>
      </c>
      <c r="E45" s="9" t="s">
        <v>31</v>
      </c>
      <c r="F45" s="9" t="s">
        <v>47</v>
      </c>
      <c r="G45" s="12" t="s">
        <v>27</v>
      </c>
      <c r="H45" s="11"/>
      <c r="I45" s="29"/>
      <c r="J45" s="11"/>
      <c r="K45" s="11"/>
      <c r="L45" s="11"/>
      <c r="M45" s="11"/>
      <c r="N45" s="11"/>
      <c r="O45" s="30"/>
      <c r="P45" s="28"/>
    </row>
    <row r="46" spans="1:16" ht="12.75" x14ac:dyDescent="0.2">
      <c r="A46" s="53"/>
      <c r="B46" s="9">
        <v>36</v>
      </c>
      <c r="C46" s="9" t="s">
        <v>762</v>
      </c>
      <c r="D46" s="9" t="s">
        <v>24</v>
      </c>
      <c r="E46" s="9" t="s">
        <v>31</v>
      </c>
      <c r="F46" s="9" t="s">
        <v>47</v>
      </c>
      <c r="G46" s="12" t="s">
        <v>27</v>
      </c>
      <c r="H46" s="11"/>
      <c r="I46" s="29"/>
      <c r="J46" s="11"/>
      <c r="K46" s="11"/>
      <c r="L46" s="11"/>
      <c r="M46" s="11"/>
      <c r="N46" s="11"/>
      <c r="O46" s="30"/>
      <c r="P46" s="28"/>
    </row>
    <row r="47" spans="1:16" ht="12.75" x14ac:dyDescent="0.2">
      <c r="A47" s="48" t="s">
        <v>59</v>
      </c>
      <c r="B47" s="9">
        <v>36</v>
      </c>
      <c r="C47" s="9" t="s">
        <v>763</v>
      </c>
      <c r="D47" s="9" t="s">
        <v>24</v>
      </c>
      <c r="E47" s="9" t="s">
        <v>31</v>
      </c>
      <c r="F47" s="9" t="s">
        <v>47</v>
      </c>
      <c r="G47" s="12" t="s">
        <v>27</v>
      </c>
      <c r="H47" s="11"/>
      <c r="I47" s="29"/>
      <c r="J47" s="11"/>
      <c r="K47" s="11"/>
      <c r="L47" s="11"/>
      <c r="M47" s="11"/>
      <c r="N47" s="11"/>
      <c r="O47" s="30"/>
      <c r="P47" s="28"/>
    </row>
    <row r="48" spans="1:16" ht="12.75" x14ac:dyDescent="0.2">
      <c r="A48" s="52"/>
      <c r="B48" s="9">
        <v>36</v>
      </c>
      <c r="C48" s="9" t="s">
        <v>748</v>
      </c>
      <c r="D48" s="9" t="s">
        <v>24</v>
      </c>
      <c r="E48" s="9" t="s">
        <v>31</v>
      </c>
      <c r="F48" s="9" t="s">
        <v>47</v>
      </c>
      <c r="G48" s="12" t="s">
        <v>27</v>
      </c>
      <c r="H48" s="11"/>
      <c r="I48" s="29"/>
      <c r="J48" s="11"/>
      <c r="K48" s="11"/>
      <c r="L48" s="11"/>
      <c r="M48" s="11"/>
      <c r="N48" s="11"/>
      <c r="O48" s="30"/>
      <c r="P48" s="28"/>
    </row>
    <row r="49" spans="1:16" ht="12.75" x14ac:dyDescent="0.2">
      <c r="A49" s="52"/>
      <c r="B49" s="9">
        <v>36</v>
      </c>
      <c r="C49" s="9" t="s">
        <v>686</v>
      </c>
      <c r="D49" s="9" t="s">
        <v>24</v>
      </c>
      <c r="E49" s="9" t="s">
        <v>31</v>
      </c>
      <c r="F49" s="9" t="s">
        <v>47</v>
      </c>
      <c r="G49" s="12" t="s">
        <v>27</v>
      </c>
      <c r="H49" s="11"/>
      <c r="I49" s="29"/>
      <c r="J49" s="11"/>
      <c r="K49" s="11"/>
      <c r="L49" s="11"/>
      <c r="M49" s="11"/>
      <c r="N49" s="11"/>
      <c r="O49" s="30"/>
      <c r="P49" s="28"/>
    </row>
    <row r="50" spans="1:16" ht="12.75" x14ac:dyDescent="0.2">
      <c r="A50" s="52"/>
      <c r="B50" s="9">
        <v>36</v>
      </c>
      <c r="C50" s="9" t="s">
        <v>735</v>
      </c>
      <c r="D50" s="9" t="s">
        <v>24</v>
      </c>
      <c r="E50" s="9" t="s">
        <v>31</v>
      </c>
      <c r="F50" s="9" t="s">
        <v>47</v>
      </c>
      <c r="G50" s="12" t="s">
        <v>27</v>
      </c>
      <c r="H50" s="11"/>
      <c r="I50" s="29"/>
      <c r="J50" s="11"/>
      <c r="K50" s="11"/>
      <c r="L50" s="11"/>
      <c r="M50" s="11"/>
      <c r="N50" s="11"/>
      <c r="O50" s="30"/>
      <c r="P50" s="28"/>
    </row>
    <row r="51" spans="1:16" ht="12.75" x14ac:dyDescent="0.2">
      <c r="A51" s="53"/>
      <c r="B51" s="9">
        <v>36</v>
      </c>
      <c r="C51" s="9" t="s">
        <v>764</v>
      </c>
      <c r="D51" s="9" t="s">
        <v>24</v>
      </c>
      <c r="E51" s="9" t="s">
        <v>31</v>
      </c>
      <c r="F51" s="9" t="s">
        <v>47</v>
      </c>
      <c r="G51" s="12" t="s">
        <v>27</v>
      </c>
      <c r="H51" s="11"/>
      <c r="I51" s="29"/>
      <c r="J51" s="11"/>
      <c r="K51" s="11"/>
      <c r="L51" s="11"/>
      <c r="M51" s="11"/>
      <c r="N51" s="11"/>
      <c r="O51" s="30"/>
      <c r="P51" s="28"/>
    </row>
    <row r="52" spans="1:16" ht="12.75" x14ac:dyDescent="0.2">
      <c r="A52" s="48" t="s">
        <v>101</v>
      </c>
      <c r="B52" s="9">
        <v>36</v>
      </c>
      <c r="C52" s="9" t="s">
        <v>748</v>
      </c>
      <c r="D52" s="9" t="s">
        <v>24</v>
      </c>
      <c r="E52" s="9" t="s">
        <v>31</v>
      </c>
      <c r="F52" s="9" t="s">
        <v>47</v>
      </c>
      <c r="G52" s="12" t="s">
        <v>27</v>
      </c>
      <c r="H52" s="11"/>
      <c r="I52" s="29"/>
      <c r="J52" s="11"/>
      <c r="K52" s="11"/>
      <c r="L52" s="11"/>
      <c r="M52" s="11"/>
      <c r="N52" s="11"/>
      <c r="O52" s="30"/>
      <c r="P52" s="28"/>
    </row>
    <row r="53" spans="1:16" ht="12.75" x14ac:dyDescent="0.2">
      <c r="A53" s="53"/>
      <c r="B53" s="9">
        <v>36</v>
      </c>
      <c r="C53" s="9" t="s">
        <v>765</v>
      </c>
      <c r="D53" s="9" t="s">
        <v>24</v>
      </c>
      <c r="E53" s="9" t="s">
        <v>31</v>
      </c>
      <c r="F53" s="9" t="s">
        <v>47</v>
      </c>
      <c r="G53" s="12" t="s">
        <v>27</v>
      </c>
      <c r="H53" s="11"/>
      <c r="I53" s="29"/>
      <c r="J53" s="11"/>
      <c r="K53" s="11"/>
      <c r="L53" s="11"/>
      <c r="M53" s="11"/>
      <c r="N53" s="11"/>
      <c r="O53" s="30"/>
      <c r="P53" s="28"/>
    </row>
    <row r="54" spans="1:16" ht="12.75" x14ac:dyDescent="0.2">
      <c r="A54" s="48" t="s">
        <v>62</v>
      </c>
      <c r="B54" s="9">
        <v>36</v>
      </c>
      <c r="C54" s="9" t="s">
        <v>766</v>
      </c>
      <c r="D54" s="9" t="s">
        <v>24</v>
      </c>
      <c r="E54" s="9" t="s">
        <v>31</v>
      </c>
      <c r="F54" s="9" t="s">
        <v>26</v>
      </c>
      <c r="G54" s="12" t="s">
        <v>27</v>
      </c>
      <c r="H54" s="11"/>
      <c r="I54" s="29"/>
      <c r="J54" s="11"/>
      <c r="K54" s="11"/>
      <c r="L54" s="11"/>
      <c r="M54" s="11"/>
      <c r="N54" s="11"/>
      <c r="O54" s="30"/>
      <c r="P54" s="28"/>
    </row>
    <row r="55" spans="1:16" ht="12.75" x14ac:dyDescent="0.2">
      <c r="A55" s="52"/>
      <c r="B55" s="9">
        <v>36</v>
      </c>
      <c r="C55" s="9" t="s">
        <v>748</v>
      </c>
      <c r="D55" s="9" t="s">
        <v>24</v>
      </c>
      <c r="E55" s="9" t="s">
        <v>31</v>
      </c>
      <c r="F55" s="9" t="s">
        <v>26</v>
      </c>
      <c r="G55" s="12" t="s">
        <v>27</v>
      </c>
      <c r="H55" s="11"/>
      <c r="I55" s="29"/>
      <c r="J55" s="11"/>
      <c r="K55" s="11"/>
      <c r="L55" s="11"/>
      <c r="M55" s="11"/>
      <c r="N55" s="11"/>
      <c r="O55" s="30"/>
      <c r="P55" s="28"/>
    </row>
    <row r="56" spans="1:16" ht="12.75" x14ac:dyDescent="0.2">
      <c r="A56" s="53"/>
      <c r="B56" s="9">
        <v>36</v>
      </c>
      <c r="C56" s="9" t="s">
        <v>765</v>
      </c>
      <c r="D56" s="9" t="s">
        <v>24</v>
      </c>
      <c r="E56" s="9" t="s">
        <v>31</v>
      </c>
      <c r="F56" s="9" t="s">
        <v>47</v>
      </c>
      <c r="G56" s="12" t="s">
        <v>27</v>
      </c>
      <c r="H56" s="11"/>
      <c r="I56" s="29"/>
      <c r="J56" s="11"/>
      <c r="K56" s="11"/>
      <c r="L56" s="11"/>
      <c r="M56" s="11"/>
      <c r="N56" s="11"/>
      <c r="O56" s="30"/>
      <c r="P56" s="28"/>
    </row>
    <row r="57" spans="1:16" ht="12.75" x14ac:dyDescent="0.2">
      <c r="A57" s="48" t="s">
        <v>70</v>
      </c>
      <c r="B57" s="9">
        <v>36</v>
      </c>
      <c r="C57" s="9" t="s">
        <v>613</v>
      </c>
      <c r="D57" s="9" t="s">
        <v>24</v>
      </c>
      <c r="E57" s="9" t="s">
        <v>31</v>
      </c>
      <c r="F57" s="9" t="s">
        <v>47</v>
      </c>
      <c r="G57" s="12" t="s">
        <v>27</v>
      </c>
      <c r="H57" s="13"/>
      <c r="I57" s="29"/>
      <c r="J57" s="11"/>
      <c r="K57" s="11"/>
      <c r="L57" s="11"/>
      <c r="M57" s="11"/>
      <c r="N57" s="11"/>
      <c r="O57" s="30"/>
      <c r="P57" s="28"/>
    </row>
    <row r="58" spans="1:16" ht="12.75" x14ac:dyDescent="0.2">
      <c r="A58" s="52"/>
      <c r="B58" s="9">
        <v>36</v>
      </c>
      <c r="C58" s="9" t="s">
        <v>767</v>
      </c>
      <c r="D58" s="9" t="s">
        <v>30</v>
      </c>
      <c r="E58" s="9" t="s">
        <v>31</v>
      </c>
      <c r="F58" s="9" t="s">
        <v>47</v>
      </c>
      <c r="G58" s="12" t="s">
        <v>27</v>
      </c>
      <c r="H58" s="13"/>
      <c r="I58" s="29"/>
      <c r="J58" s="11"/>
      <c r="K58" s="11"/>
      <c r="L58" s="11"/>
      <c r="M58" s="11"/>
      <c r="N58" s="11"/>
      <c r="O58" s="30"/>
      <c r="P58" s="28"/>
    </row>
    <row r="59" spans="1:16" ht="12.75" x14ac:dyDescent="0.2">
      <c r="A59" s="52"/>
      <c r="B59" s="9">
        <v>36</v>
      </c>
      <c r="C59" s="9" t="s">
        <v>707</v>
      </c>
      <c r="D59" s="9" t="s">
        <v>24</v>
      </c>
      <c r="E59" s="9" t="s">
        <v>31</v>
      </c>
      <c r="F59" s="9" t="s">
        <v>47</v>
      </c>
      <c r="G59" s="12" t="s">
        <v>27</v>
      </c>
      <c r="H59" s="13"/>
      <c r="I59" s="29"/>
      <c r="J59" s="11"/>
      <c r="K59" s="11"/>
      <c r="L59" s="11"/>
      <c r="M59" s="11"/>
      <c r="N59" s="11"/>
      <c r="O59" s="30"/>
      <c r="P59" s="28"/>
    </row>
    <row r="60" spans="1:16" ht="12.75" x14ac:dyDescent="0.2">
      <c r="A60" s="53"/>
      <c r="B60" s="9">
        <v>36</v>
      </c>
      <c r="C60" s="9" t="s">
        <v>685</v>
      </c>
      <c r="D60" s="9" t="s">
        <v>24</v>
      </c>
      <c r="E60" s="9" t="s">
        <v>31</v>
      </c>
      <c r="F60" s="9" t="s">
        <v>47</v>
      </c>
      <c r="G60" s="12" t="s">
        <v>27</v>
      </c>
      <c r="H60" s="13"/>
      <c r="I60" s="29"/>
      <c r="J60" s="11"/>
      <c r="K60" s="11"/>
      <c r="L60" s="11"/>
      <c r="M60" s="11"/>
      <c r="N60" s="11"/>
      <c r="O60" s="30"/>
      <c r="P60" s="28"/>
    </row>
    <row r="61" spans="1:16" ht="12.75" x14ac:dyDescent="0.2">
      <c r="A61" s="48" t="s">
        <v>73</v>
      </c>
      <c r="B61" s="9">
        <v>36</v>
      </c>
      <c r="C61" s="9" t="s">
        <v>748</v>
      </c>
      <c r="D61" s="9" t="s">
        <v>24</v>
      </c>
      <c r="E61" s="9" t="s">
        <v>31</v>
      </c>
      <c r="F61" s="9" t="s">
        <v>47</v>
      </c>
      <c r="G61" s="12" t="s">
        <v>27</v>
      </c>
      <c r="H61" s="13"/>
      <c r="I61" s="29"/>
      <c r="J61" s="11"/>
      <c r="K61" s="11"/>
      <c r="L61" s="11"/>
      <c r="M61" s="11"/>
      <c r="N61" s="11"/>
      <c r="O61" s="30"/>
      <c r="P61" s="28"/>
    </row>
    <row r="62" spans="1:16" ht="12.75" x14ac:dyDescent="0.2">
      <c r="A62" s="52"/>
      <c r="B62" s="9">
        <v>36</v>
      </c>
      <c r="C62" s="9" t="s">
        <v>768</v>
      </c>
      <c r="D62" s="9" t="s">
        <v>24</v>
      </c>
      <c r="E62" s="9" t="s">
        <v>31</v>
      </c>
      <c r="F62" s="9" t="s">
        <v>47</v>
      </c>
      <c r="G62" s="12" t="s">
        <v>27</v>
      </c>
      <c r="H62" s="13"/>
      <c r="I62" s="29"/>
      <c r="J62" s="11"/>
      <c r="K62" s="11"/>
      <c r="L62" s="11"/>
      <c r="M62" s="11"/>
      <c r="N62" s="11"/>
      <c r="O62" s="30"/>
      <c r="P62" s="28"/>
    </row>
    <row r="63" spans="1:16" ht="12.75" x14ac:dyDescent="0.2">
      <c r="A63" s="52"/>
      <c r="B63" s="9">
        <v>36</v>
      </c>
      <c r="C63" s="9" t="s">
        <v>768</v>
      </c>
      <c r="D63" s="9" t="s">
        <v>24</v>
      </c>
      <c r="E63" s="9" t="s">
        <v>31</v>
      </c>
      <c r="F63" s="9" t="s">
        <v>47</v>
      </c>
      <c r="G63" s="12" t="s">
        <v>27</v>
      </c>
      <c r="H63" s="13"/>
      <c r="I63" s="28"/>
      <c r="J63" s="28"/>
      <c r="K63" s="28"/>
      <c r="L63" s="28"/>
      <c r="M63" s="28"/>
      <c r="N63" s="28"/>
      <c r="O63" s="28"/>
      <c r="P63" s="28"/>
    </row>
    <row r="64" spans="1:16" ht="12.75" x14ac:dyDescent="0.2">
      <c r="A64" s="52"/>
      <c r="B64" s="9">
        <v>36</v>
      </c>
      <c r="C64" s="9" t="s">
        <v>769</v>
      </c>
      <c r="D64" s="9" t="s">
        <v>24</v>
      </c>
      <c r="E64" s="9" t="s">
        <v>31</v>
      </c>
      <c r="F64" s="9" t="s">
        <v>47</v>
      </c>
      <c r="G64" s="12" t="s">
        <v>27</v>
      </c>
      <c r="H64" s="13"/>
      <c r="I64" s="28"/>
      <c r="J64" s="28"/>
      <c r="K64" s="28"/>
      <c r="L64" s="28"/>
      <c r="M64" s="28"/>
      <c r="N64" s="28"/>
      <c r="O64" s="28"/>
      <c r="P64" s="28"/>
    </row>
    <row r="65" spans="1:16" ht="12.75" x14ac:dyDescent="0.2">
      <c r="A65" s="53"/>
      <c r="B65" s="9">
        <v>36</v>
      </c>
      <c r="C65" s="9" t="s">
        <v>770</v>
      </c>
      <c r="D65" s="9" t="s">
        <v>24</v>
      </c>
      <c r="E65" s="9" t="s">
        <v>31</v>
      </c>
      <c r="F65" s="9" t="s">
        <v>47</v>
      </c>
      <c r="G65" s="12" t="s">
        <v>27</v>
      </c>
      <c r="H65" s="13"/>
      <c r="I65" s="28"/>
      <c r="J65" s="28"/>
      <c r="K65" s="28"/>
      <c r="L65" s="28"/>
      <c r="M65" s="28"/>
      <c r="N65" s="28"/>
      <c r="O65" s="28"/>
      <c r="P65" s="28"/>
    </row>
    <row r="66" spans="1:16" ht="12.75" x14ac:dyDescent="0.2">
      <c r="A66" s="48" t="s">
        <v>77</v>
      </c>
      <c r="B66" s="9">
        <v>36</v>
      </c>
      <c r="C66" s="9" t="s">
        <v>771</v>
      </c>
      <c r="D66" s="9" t="s">
        <v>24</v>
      </c>
      <c r="E66" s="9" t="s">
        <v>31</v>
      </c>
      <c r="F66" s="9" t="s">
        <v>47</v>
      </c>
      <c r="G66" s="12" t="s">
        <v>27</v>
      </c>
      <c r="H66" s="13"/>
      <c r="I66" s="28"/>
      <c r="J66" s="28"/>
      <c r="K66" s="28"/>
      <c r="L66" s="28"/>
      <c r="M66" s="28"/>
      <c r="N66" s="28"/>
      <c r="O66" s="28"/>
      <c r="P66" s="28"/>
    </row>
    <row r="67" spans="1:16" ht="12.75" x14ac:dyDescent="0.2">
      <c r="A67" s="52"/>
      <c r="B67" s="9">
        <v>36</v>
      </c>
      <c r="C67" s="9" t="s">
        <v>772</v>
      </c>
      <c r="D67" s="9" t="s">
        <v>24</v>
      </c>
      <c r="E67" s="9" t="s">
        <v>31</v>
      </c>
      <c r="F67" s="9" t="s">
        <v>26</v>
      </c>
      <c r="G67" s="12" t="s">
        <v>27</v>
      </c>
      <c r="H67" s="13"/>
      <c r="I67" s="28"/>
      <c r="J67" s="28"/>
      <c r="K67" s="28"/>
      <c r="L67" s="28"/>
      <c r="M67" s="28"/>
      <c r="N67" s="28"/>
      <c r="O67" s="28"/>
      <c r="P67" s="28"/>
    </row>
    <row r="68" spans="1:16" ht="12.75" x14ac:dyDescent="0.2">
      <c r="A68" s="52"/>
      <c r="B68" s="9">
        <v>36</v>
      </c>
      <c r="C68" s="9" t="s">
        <v>773</v>
      </c>
      <c r="D68" s="9" t="s">
        <v>24</v>
      </c>
      <c r="E68" s="9" t="s">
        <v>31</v>
      </c>
      <c r="F68" s="9" t="s">
        <v>26</v>
      </c>
      <c r="G68" s="12" t="s">
        <v>27</v>
      </c>
      <c r="H68" s="13"/>
      <c r="I68" s="28"/>
      <c r="J68" s="28"/>
      <c r="K68" s="28"/>
      <c r="L68" s="28"/>
      <c r="M68" s="28"/>
      <c r="N68" s="28"/>
      <c r="O68" s="28"/>
      <c r="P68" s="28"/>
    </row>
    <row r="69" spans="1:16" ht="12.75" x14ac:dyDescent="0.2">
      <c r="A69" s="53"/>
      <c r="B69" s="9">
        <v>36</v>
      </c>
      <c r="C69" s="9" t="s">
        <v>774</v>
      </c>
      <c r="D69" s="9" t="s">
        <v>24</v>
      </c>
      <c r="E69" s="9" t="s">
        <v>31</v>
      </c>
      <c r="F69" s="9" t="s">
        <v>47</v>
      </c>
      <c r="G69" s="12" t="s">
        <v>27</v>
      </c>
      <c r="H69" s="13"/>
      <c r="I69" s="28"/>
      <c r="J69" s="28"/>
      <c r="K69" s="28"/>
      <c r="L69" s="28"/>
      <c r="M69" s="28"/>
      <c r="N69" s="28"/>
      <c r="O69" s="28"/>
      <c r="P69" s="28"/>
    </row>
    <row r="70" spans="1:16" ht="12.75" x14ac:dyDescent="0.2">
      <c r="A70" s="48" t="s">
        <v>79</v>
      </c>
      <c r="B70" s="12">
        <v>36</v>
      </c>
      <c r="C70" s="12" t="s">
        <v>775</v>
      </c>
      <c r="D70" s="12" t="s">
        <v>24</v>
      </c>
      <c r="E70" s="12" t="s">
        <v>25</v>
      </c>
      <c r="F70" s="12" t="s">
        <v>26</v>
      </c>
      <c r="G70" s="12" t="s">
        <v>27</v>
      </c>
      <c r="H70" s="13"/>
      <c r="I70" s="28"/>
      <c r="J70" s="28"/>
      <c r="K70" s="28"/>
      <c r="L70" s="28"/>
      <c r="M70" s="28"/>
      <c r="N70" s="28"/>
      <c r="O70" s="28"/>
      <c r="P70" s="28"/>
    </row>
    <row r="71" spans="1:16" ht="12.75" x14ac:dyDescent="0.2">
      <c r="A71" s="52"/>
      <c r="B71" s="12">
        <v>26</v>
      </c>
      <c r="C71" s="12" t="s">
        <v>773</v>
      </c>
      <c r="D71" s="12" t="s">
        <v>24</v>
      </c>
      <c r="E71" s="12" t="s">
        <v>25</v>
      </c>
      <c r="F71" s="12" t="s">
        <v>26</v>
      </c>
      <c r="G71" s="12" t="s">
        <v>27</v>
      </c>
      <c r="H71" s="13"/>
      <c r="I71" s="28"/>
      <c r="J71" s="28"/>
      <c r="K71" s="28"/>
      <c r="L71" s="28"/>
      <c r="M71" s="28"/>
      <c r="N71" s="28"/>
      <c r="O71" s="28"/>
      <c r="P71" s="28"/>
    </row>
    <row r="72" spans="1:16" ht="12.75" x14ac:dyDescent="0.2">
      <c r="A72" s="52"/>
      <c r="B72" s="12">
        <v>26</v>
      </c>
      <c r="C72" s="12" t="s">
        <v>774</v>
      </c>
      <c r="D72" s="12" t="s">
        <v>24</v>
      </c>
      <c r="E72" s="12" t="s">
        <v>25</v>
      </c>
      <c r="F72" s="12" t="s">
        <v>26</v>
      </c>
      <c r="G72" s="12" t="s">
        <v>27</v>
      </c>
      <c r="H72" s="13"/>
      <c r="I72" s="28"/>
      <c r="J72" s="28"/>
      <c r="K72" s="28"/>
      <c r="L72" s="28"/>
      <c r="M72" s="28"/>
      <c r="N72" s="28"/>
      <c r="O72" s="28"/>
      <c r="P72" s="28"/>
    </row>
    <row r="73" spans="1:16" ht="12.75" x14ac:dyDescent="0.2">
      <c r="A73" s="53"/>
      <c r="B73" s="12">
        <v>26</v>
      </c>
      <c r="C73" s="12" t="s">
        <v>627</v>
      </c>
      <c r="D73" s="12" t="s">
        <v>24</v>
      </c>
      <c r="E73" s="12" t="s">
        <v>25</v>
      </c>
      <c r="F73" s="12" t="s">
        <v>26</v>
      </c>
      <c r="G73" s="12" t="s">
        <v>27</v>
      </c>
      <c r="H73" s="13"/>
      <c r="I73" s="28"/>
      <c r="J73" s="28"/>
      <c r="K73" s="28"/>
      <c r="L73" s="28"/>
      <c r="M73" s="28"/>
      <c r="N73" s="28"/>
      <c r="O73" s="28"/>
      <c r="P73" s="28"/>
    </row>
    <row r="74" spans="1:16" ht="12.75" x14ac:dyDescent="0.2">
      <c r="A74" s="48" t="s">
        <v>83</v>
      </c>
      <c r="B74" s="12">
        <v>26</v>
      </c>
      <c r="C74" s="9" t="s">
        <v>771</v>
      </c>
      <c r="D74" s="9" t="s">
        <v>24</v>
      </c>
      <c r="E74" s="9" t="s">
        <v>31</v>
      </c>
      <c r="F74" s="9" t="s">
        <v>47</v>
      </c>
      <c r="G74" s="12" t="s">
        <v>27</v>
      </c>
      <c r="H74" s="13"/>
      <c r="I74" s="28"/>
      <c r="J74" s="28"/>
      <c r="K74" s="28"/>
      <c r="L74" s="28"/>
      <c r="M74" s="28"/>
      <c r="N74" s="28"/>
      <c r="O74" s="28"/>
      <c r="P74" s="28"/>
    </row>
    <row r="75" spans="1:16" ht="12.75" x14ac:dyDescent="0.2">
      <c r="A75" s="53"/>
      <c r="B75" s="12">
        <v>26</v>
      </c>
      <c r="C75" s="9" t="s">
        <v>774</v>
      </c>
      <c r="D75" s="9" t="s">
        <v>24</v>
      </c>
      <c r="E75" s="9" t="s">
        <v>31</v>
      </c>
      <c r="F75" s="9" t="s">
        <v>47</v>
      </c>
      <c r="G75" s="12" t="s">
        <v>27</v>
      </c>
      <c r="H75" s="13"/>
      <c r="I75" s="28"/>
      <c r="J75" s="28"/>
      <c r="K75" s="28"/>
      <c r="L75" s="28"/>
      <c r="M75" s="28"/>
      <c r="N75" s="28"/>
      <c r="O75" s="28"/>
      <c r="P75" s="28"/>
    </row>
    <row r="76" spans="1:16" ht="12.75" x14ac:dyDescent="0.2">
      <c r="A76" s="48" t="s">
        <v>85</v>
      </c>
      <c r="B76" s="9">
        <v>36</v>
      </c>
      <c r="C76" s="9" t="s">
        <v>771</v>
      </c>
      <c r="D76" s="9" t="s">
        <v>24</v>
      </c>
      <c r="E76" s="9" t="s">
        <v>31</v>
      </c>
      <c r="F76" s="9" t="s">
        <v>47</v>
      </c>
      <c r="G76" s="12" t="s">
        <v>27</v>
      </c>
      <c r="H76" s="13"/>
      <c r="I76" s="13"/>
      <c r="J76" s="13"/>
      <c r="K76" s="13"/>
    </row>
    <row r="77" spans="1:16" ht="12.75" x14ac:dyDescent="0.2">
      <c r="A77" s="53"/>
      <c r="B77" s="9">
        <v>36</v>
      </c>
      <c r="C77" s="9" t="s">
        <v>776</v>
      </c>
      <c r="D77" s="9" t="s">
        <v>24</v>
      </c>
      <c r="E77" s="9" t="s">
        <v>25</v>
      </c>
      <c r="F77" s="9" t="s">
        <v>87</v>
      </c>
      <c r="G77" s="12" t="s">
        <v>27</v>
      </c>
      <c r="H77" s="13"/>
      <c r="I77" s="13"/>
      <c r="J77" s="13"/>
      <c r="K77" s="13"/>
    </row>
    <row r="78" spans="1:16" ht="12.75" x14ac:dyDescent="0.2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</row>
    <row r="79" spans="1:16" ht="12.75" x14ac:dyDescent="0.2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</row>
    <row r="80" spans="1:16" ht="12.75" x14ac:dyDescent="0.2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</row>
    <row r="81" spans="1:11" ht="12.75" x14ac:dyDescent="0.2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</row>
    <row r="82" spans="1:11" ht="12.75" x14ac:dyDescent="0.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</row>
    <row r="83" spans="1:11" ht="12.75" x14ac:dyDescent="0.2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</row>
    <row r="84" spans="1:11" ht="12.75" x14ac:dyDescent="0.2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</row>
  </sheetData>
  <mergeCells count="16">
    <mergeCell ref="A36:A41"/>
    <mergeCell ref="A42:A46"/>
    <mergeCell ref="A74:A75"/>
    <mergeCell ref="A76:A77"/>
    <mergeCell ref="A47:A51"/>
    <mergeCell ref="A52:A53"/>
    <mergeCell ref="A54:A56"/>
    <mergeCell ref="A57:A60"/>
    <mergeCell ref="A61:A65"/>
    <mergeCell ref="A66:A69"/>
    <mergeCell ref="A70:A73"/>
    <mergeCell ref="A1:G1"/>
    <mergeCell ref="A9:A11"/>
    <mergeCell ref="A12:A16"/>
    <mergeCell ref="A18:A24"/>
    <mergeCell ref="A25:A34"/>
  </mergeCell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M99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13" ht="15.75" customHeight="1" x14ac:dyDescent="0.25">
      <c r="A1" s="54">
        <v>37</v>
      </c>
      <c r="B1" s="55"/>
      <c r="C1" s="55"/>
      <c r="D1" s="55"/>
      <c r="E1" s="55"/>
      <c r="F1" s="55"/>
      <c r="G1" s="56"/>
    </row>
    <row r="2" spans="1:13" x14ac:dyDescent="0.2">
      <c r="A2" s="1"/>
      <c r="B2" s="2"/>
      <c r="C2" s="2"/>
      <c r="D2" s="2"/>
      <c r="E2" s="2"/>
      <c r="F2" s="2"/>
      <c r="G2" s="2"/>
    </row>
    <row r="3" spans="1:13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13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13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13" x14ac:dyDescent="0.2">
      <c r="A6" s="1"/>
      <c r="B6" s="2"/>
      <c r="C6" s="2"/>
      <c r="D6" s="2"/>
      <c r="E6" s="2"/>
      <c r="F6" s="2"/>
      <c r="G6" s="2"/>
    </row>
    <row r="7" spans="1:13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13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13" x14ac:dyDescent="0.2">
      <c r="A9" s="58" t="s">
        <v>20</v>
      </c>
      <c r="B9" s="12">
        <v>37</v>
      </c>
      <c r="C9" s="12" t="s">
        <v>777</v>
      </c>
      <c r="D9" s="12" t="s">
        <v>24</v>
      </c>
      <c r="E9" s="12" t="s">
        <v>25</v>
      </c>
      <c r="F9" s="12" t="s">
        <v>26</v>
      </c>
      <c r="G9" s="10" t="s">
        <v>27</v>
      </c>
      <c r="H9" s="11"/>
      <c r="I9" s="11"/>
      <c r="J9" s="11"/>
      <c r="K9" s="11"/>
      <c r="L9" s="11"/>
      <c r="M9" s="11"/>
    </row>
    <row r="10" spans="1:13" x14ac:dyDescent="0.2">
      <c r="A10" s="53"/>
      <c r="B10" s="12">
        <v>37</v>
      </c>
      <c r="C10" s="12" t="s">
        <v>778</v>
      </c>
      <c r="D10" s="12" t="s">
        <v>24</v>
      </c>
      <c r="E10" s="12" t="s">
        <v>25</v>
      </c>
      <c r="F10" s="12" t="s">
        <v>26</v>
      </c>
      <c r="G10" s="10" t="s">
        <v>27</v>
      </c>
      <c r="H10" s="11"/>
      <c r="I10" s="11"/>
      <c r="J10" s="11"/>
      <c r="K10" s="11"/>
      <c r="L10" s="11"/>
      <c r="M10" s="11"/>
    </row>
    <row r="11" spans="1:13" x14ac:dyDescent="0.2">
      <c r="A11" s="48" t="s">
        <v>22</v>
      </c>
      <c r="B11" s="9">
        <v>37</v>
      </c>
      <c r="C11" s="9" t="s">
        <v>779</v>
      </c>
      <c r="D11" s="9" t="s">
        <v>24</v>
      </c>
      <c r="E11" s="9" t="s">
        <v>31</v>
      </c>
      <c r="F11" s="9" t="s">
        <v>26</v>
      </c>
      <c r="G11" s="10" t="s">
        <v>27</v>
      </c>
      <c r="H11" s="11"/>
      <c r="I11" s="11"/>
      <c r="J11" s="11"/>
      <c r="K11" s="11"/>
      <c r="L11" s="11"/>
      <c r="M11" s="11"/>
    </row>
    <row r="12" spans="1:13" x14ac:dyDescent="0.2">
      <c r="A12" s="52"/>
      <c r="B12" s="9">
        <v>37</v>
      </c>
      <c r="C12" s="9" t="s">
        <v>780</v>
      </c>
      <c r="D12" s="9" t="s">
        <v>30</v>
      </c>
      <c r="E12" s="9" t="s">
        <v>31</v>
      </c>
      <c r="F12" s="9" t="s">
        <v>26</v>
      </c>
      <c r="G12" s="10" t="s">
        <v>27</v>
      </c>
      <c r="H12" s="11"/>
      <c r="I12" s="11"/>
      <c r="J12" s="11"/>
      <c r="K12" s="11"/>
      <c r="L12" s="11"/>
      <c r="M12" s="11"/>
    </row>
    <row r="13" spans="1:13" x14ac:dyDescent="0.2">
      <c r="A13" s="52"/>
      <c r="B13" s="9">
        <v>37</v>
      </c>
      <c r="C13" s="9" t="s">
        <v>781</v>
      </c>
      <c r="D13" s="9" t="s">
        <v>24</v>
      </c>
      <c r="E13" s="9" t="s">
        <v>31</v>
      </c>
      <c r="F13" s="9" t="s">
        <v>26</v>
      </c>
      <c r="G13" s="10" t="s">
        <v>27</v>
      </c>
      <c r="H13" s="11"/>
      <c r="I13" s="11"/>
      <c r="J13" s="11"/>
      <c r="K13" s="11"/>
      <c r="L13" s="11"/>
      <c r="M13" s="11"/>
    </row>
    <row r="14" spans="1:13" x14ac:dyDescent="0.2">
      <c r="A14" s="52"/>
      <c r="B14" s="9">
        <v>37</v>
      </c>
      <c r="C14" s="9" t="s">
        <v>782</v>
      </c>
      <c r="D14" s="9" t="s">
        <v>24</v>
      </c>
      <c r="E14" s="9" t="s">
        <v>31</v>
      </c>
      <c r="F14" s="9" t="s">
        <v>26</v>
      </c>
      <c r="G14" s="10" t="s">
        <v>27</v>
      </c>
      <c r="H14" s="11"/>
      <c r="I14" s="11"/>
      <c r="J14" s="11"/>
      <c r="K14" s="11"/>
      <c r="L14" s="11"/>
      <c r="M14" s="11"/>
    </row>
    <row r="15" spans="1:13" x14ac:dyDescent="0.2">
      <c r="A15" s="53"/>
      <c r="B15" s="9">
        <v>37</v>
      </c>
      <c r="C15" s="9" t="s">
        <v>783</v>
      </c>
      <c r="D15" s="9" t="s">
        <v>24</v>
      </c>
      <c r="E15" s="9" t="s">
        <v>31</v>
      </c>
      <c r="F15" s="9" t="s">
        <v>26</v>
      </c>
      <c r="G15" s="10" t="s">
        <v>27</v>
      </c>
      <c r="H15" s="11"/>
      <c r="I15" s="11"/>
      <c r="J15" s="11"/>
      <c r="K15" s="11"/>
      <c r="L15" s="11"/>
      <c r="M15" s="11"/>
    </row>
    <row r="16" spans="1:13" x14ac:dyDescent="0.2">
      <c r="A16" s="48" t="s">
        <v>28</v>
      </c>
      <c r="B16" s="9">
        <v>37</v>
      </c>
      <c r="C16" s="9" t="s">
        <v>784</v>
      </c>
      <c r="D16" s="9" t="s">
        <v>24</v>
      </c>
      <c r="E16" s="9" t="s">
        <v>31</v>
      </c>
      <c r="F16" s="9" t="s">
        <v>26</v>
      </c>
      <c r="G16" s="10" t="s">
        <v>27</v>
      </c>
      <c r="H16" s="11"/>
      <c r="I16" s="11"/>
      <c r="J16" s="11"/>
      <c r="K16" s="11"/>
      <c r="L16" s="11"/>
      <c r="M16" s="11"/>
    </row>
    <row r="17" spans="1:13" x14ac:dyDescent="0.2">
      <c r="A17" s="52"/>
      <c r="B17" s="9">
        <v>37</v>
      </c>
      <c r="C17" s="9" t="s">
        <v>783</v>
      </c>
      <c r="D17" s="9" t="s">
        <v>24</v>
      </c>
      <c r="E17" s="9" t="s">
        <v>31</v>
      </c>
      <c r="F17" s="9" t="s">
        <v>26</v>
      </c>
      <c r="G17" s="10" t="s">
        <v>27</v>
      </c>
      <c r="H17" s="11"/>
      <c r="I17" s="11"/>
      <c r="J17" s="11"/>
      <c r="K17" s="11"/>
      <c r="L17" s="11"/>
      <c r="M17" s="11"/>
    </row>
    <row r="18" spans="1:13" x14ac:dyDescent="0.2">
      <c r="A18" s="52"/>
      <c r="B18" s="9">
        <v>37</v>
      </c>
      <c r="C18" s="9" t="s">
        <v>785</v>
      </c>
      <c r="D18" s="9" t="s">
        <v>24</v>
      </c>
      <c r="E18" s="9" t="s">
        <v>31</v>
      </c>
      <c r="F18" s="9" t="s">
        <v>26</v>
      </c>
      <c r="G18" s="10" t="s">
        <v>27</v>
      </c>
      <c r="H18" s="11"/>
      <c r="I18" s="11"/>
      <c r="J18" s="11"/>
      <c r="K18" s="11"/>
      <c r="L18" s="11"/>
      <c r="M18" s="11"/>
    </row>
    <row r="19" spans="1:13" x14ac:dyDescent="0.2">
      <c r="A19" s="53"/>
      <c r="B19" s="9">
        <v>37</v>
      </c>
      <c r="C19" s="12" t="s">
        <v>786</v>
      </c>
      <c r="D19" s="12" t="s">
        <v>24</v>
      </c>
      <c r="E19" s="12" t="s">
        <v>25</v>
      </c>
      <c r="F19" s="12" t="s">
        <v>26</v>
      </c>
      <c r="G19" s="10" t="s">
        <v>27</v>
      </c>
      <c r="H19" s="11"/>
      <c r="I19" s="11"/>
      <c r="J19" s="11"/>
      <c r="K19" s="11"/>
      <c r="L19" s="11"/>
      <c r="M19" s="11"/>
    </row>
    <row r="20" spans="1:13" x14ac:dyDescent="0.2">
      <c r="A20" s="48" t="s">
        <v>33</v>
      </c>
      <c r="B20" s="9">
        <v>37</v>
      </c>
      <c r="C20" s="9" t="s">
        <v>787</v>
      </c>
      <c r="D20" s="9" t="s">
        <v>24</v>
      </c>
      <c r="E20" s="9" t="s">
        <v>25</v>
      </c>
      <c r="F20" s="9" t="s">
        <v>26</v>
      </c>
      <c r="G20" s="10" t="s">
        <v>27</v>
      </c>
      <c r="H20" s="11"/>
      <c r="I20" s="11"/>
      <c r="J20" s="11"/>
      <c r="K20" s="11"/>
      <c r="L20" s="11"/>
      <c r="M20" s="11"/>
    </row>
    <row r="21" spans="1:13" x14ac:dyDescent="0.2">
      <c r="A21" s="50"/>
      <c r="B21" s="9">
        <v>37</v>
      </c>
      <c r="C21" s="9" t="s">
        <v>788</v>
      </c>
      <c r="D21" s="9" t="s">
        <v>24</v>
      </c>
      <c r="E21" s="9" t="s">
        <v>25</v>
      </c>
      <c r="F21" s="9" t="s">
        <v>26</v>
      </c>
      <c r="G21" s="10" t="s">
        <v>27</v>
      </c>
      <c r="H21" s="11"/>
      <c r="I21" s="11"/>
      <c r="J21" s="11"/>
      <c r="K21" s="11"/>
      <c r="L21" s="11"/>
      <c r="M21" s="11"/>
    </row>
    <row r="22" spans="1:13" x14ac:dyDescent="0.2">
      <c r="A22" s="51"/>
      <c r="B22" s="9">
        <v>37</v>
      </c>
      <c r="C22" s="9" t="s">
        <v>789</v>
      </c>
      <c r="D22" s="9" t="s">
        <v>24</v>
      </c>
      <c r="E22" s="9" t="s">
        <v>25</v>
      </c>
      <c r="F22" s="9" t="s">
        <v>26</v>
      </c>
      <c r="G22" s="10" t="s">
        <v>27</v>
      </c>
      <c r="H22" s="11"/>
      <c r="I22" s="11"/>
      <c r="J22" s="11"/>
      <c r="K22" s="11"/>
      <c r="L22" s="11"/>
      <c r="M22" s="11"/>
    </row>
    <row r="23" spans="1:13" x14ac:dyDescent="0.2">
      <c r="A23" s="50"/>
      <c r="B23" s="9">
        <v>37</v>
      </c>
      <c r="C23" s="9" t="s">
        <v>790</v>
      </c>
      <c r="D23" s="9" t="s">
        <v>30</v>
      </c>
      <c r="E23" s="9" t="s">
        <v>25</v>
      </c>
      <c r="F23" s="9" t="s">
        <v>26</v>
      </c>
      <c r="G23" s="10" t="s">
        <v>27</v>
      </c>
      <c r="H23" s="11"/>
      <c r="I23" s="11"/>
      <c r="J23" s="11"/>
      <c r="K23" s="11"/>
      <c r="L23" s="11"/>
      <c r="M23" s="11"/>
    </row>
    <row r="24" spans="1:13" x14ac:dyDescent="0.2">
      <c r="A24" s="51"/>
      <c r="B24" s="9">
        <v>37</v>
      </c>
      <c r="C24" s="9" t="s">
        <v>791</v>
      </c>
      <c r="D24" s="9" t="s">
        <v>24</v>
      </c>
      <c r="E24" s="9" t="s">
        <v>25</v>
      </c>
      <c r="F24" s="9" t="s">
        <v>26</v>
      </c>
      <c r="G24" s="10" t="s">
        <v>27</v>
      </c>
      <c r="H24" s="11"/>
      <c r="I24" s="11"/>
      <c r="J24" s="11"/>
      <c r="K24" s="11"/>
      <c r="L24" s="11"/>
      <c r="M24" s="11"/>
    </row>
    <row r="25" spans="1:13" x14ac:dyDescent="0.2">
      <c r="A25" s="50"/>
      <c r="B25" s="9">
        <v>37</v>
      </c>
      <c r="C25" s="9" t="s">
        <v>792</v>
      </c>
      <c r="D25" s="9" t="s">
        <v>24</v>
      </c>
      <c r="E25" s="9" t="s">
        <v>25</v>
      </c>
      <c r="F25" s="9" t="s">
        <v>26</v>
      </c>
      <c r="G25" s="10" t="s">
        <v>27</v>
      </c>
      <c r="H25" s="11"/>
      <c r="I25" s="11"/>
      <c r="J25" s="11"/>
      <c r="K25" s="11"/>
      <c r="L25" s="11"/>
      <c r="M25" s="11"/>
    </row>
    <row r="26" spans="1:13" x14ac:dyDescent="0.2">
      <c r="A26" s="51"/>
      <c r="B26" s="9">
        <v>37</v>
      </c>
      <c r="C26" s="9" t="s">
        <v>793</v>
      </c>
      <c r="D26" s="9" t="s">
        <v>24</v>
      </c>
      <c r="E26" s="9" t="s">
        <v>25</v>
      </c>
      <c r="F26" s="9" t="s">
        <v>26</v>
      </c>
      <c r="G26" s="10" t="s">
        <v>27</v>
      </c>
      <c r="H26" s="11"/>
      <c r="I26" s="11"/>
      <c r="J26" s="11"/>
      <c r="K26" s="11"/>
      <c r="L26" s="11"/>
      <c r="M26" s="11"/>
    </row>
    <row r="27" spans="1:13" x14ac:dyDescent="0.2">
      <c r="A27" s="50"/>
      <c r="B27" s="9">
        <v>37</v>
      </c>
      <c r="C27" s="9" t="s">
        <v>794</v>
      </c>
      <c r="D27" s="9" t="s">
        <v>24</v>
      </c>
      <c r="E27" s="9" t="s">
        <v>25</v>
      </c>
      <c r="F27" s="9" t="s">
        <v>26</v>
      </c>
      <c r="G27" s="10" t="s">
        <v>27</v>
      </c>
      <c r="H27" s="11"/>
      <c r="I27" s="11"/>
      <c r="J27" s="11"/>
      <c r="K27" s="11"/>
      <c r="L27" s="11"/>
      <c r="M27" s="11"/>
    </row>
    <row r="28" spans="1:13" x14ac:dyDescent="0.2">
      <c r="A28" s="57"/>
      <c r="B28" s="9">
        <v>37</v>
      </c>
      <c r="C28" s="9" t="s">
        <v>795</v>
      </c>
      <c r="D28" s="9" t="s">
        <v>24</v>
      </c>
      <c r="E28" s="9" t="s">
        <v>25</v>
      </c>
      <c r="F28" s="9" t="s">
        <v>26</v>
      </c>
      <c r="G28" s="10" t="s">
        <v>27</v>
      </c>
      <c r="H28" s="11"/>
      <c r="I28" s="11"/>
      <c r="J28" s="11"/>
      <c r="K28" s="11"/>
      <c r="L28" s="11"/>
      <c r="M28" s="11"/>
    </row>
    <row r="29" spans="1:13" x14ac:dyDescent="0.2">
      <c r="A29" s="48" t="s">
        <v>38</v>
      </c>
      <c r="B29" s="9">
        <v>37</v>
      </c>
      <c r="C29" s="9" t="s">
        <v>796</v>
      </c>
      <c r="D29" s="9" t="s">
        <v>24</v>
      </c>
      <c r="E29" s="9" t="s">
        <v>31</v>
      </c>
      <c r="F29" s="9" t="s">
        <v>26</v>
      </c>
      <c r="G29" s="10" t="s">
        <v>27</v>
      </c>
      <c r="H29" s="11"/>
      <c r="I29" s="11"/>
      <c r="J29" s="11"/>
      <c r="K29" s="11"/>
      <c r="L29" s="11"/>
      <c r="M29" s="11"/>
    </row>
    <row r="30" spans="1:13" x14ac:dyDescent="0.2">
      <c r="A30" s="51"/>
      <c r="B30" s="9">
        <v>37</v>
      </c>
      <c r="C30" s="9" t="s">
        <v>797</v>
      </c>
      <c r="D30" s="9" t="s">
        <v>24</v>
      </c>
      <c r="E30" s="9" t="s">
        <v>31</v>
      </c>
      <c r="F30" s="9" t="s">
        <v>26</v>
      </c>
      <c r="G30" s="10" t="s">
        <v>27</v>
      </c>
      <c r="H30" s="11"/>
      <c r="I30" s="11"/>
      <c r="J30" s="11"/>
      <c r="K30" s="11"/>
      <c r="L30" s="11"/>
      <c r="M30" s="11"/>
    </row>
    <row r="31" spans="1:13" x14ac:dyDescent="0.2">
      <c r="A31" s="50"/>
      <c r="B31" s="9">
        <v>37</v>
      </c>
      <c r="C31" s="9" t="s">
        <v>786</v>
      </c>
      <c r="D31" s="9" t="s">
        <v>24</v>
      </c>
      <c r="E31" s="9" t="s">
        <v>31</v>
      </c>
      <c r="F31" s="9" t="s">
        <v>26</v>
      </c>
      <c r="G31" s="10" t="s">
        <v>27</v>
      </c>
      <c r="H31" s="11"/>
      <c r="I31" s="11"/>
      <c r="J31" s="11"/>
      <c r="K31" s="11"/>
      <c r="L31" s="11"/>
      <c r="M31" s="11"/>
    </row>
    <row r="32" spans="1:13" x14ac:dyDescent="0.2">
      <c r="A32" s="51"/>
      <c r="B32" s="9">
        <v>37</v>
      </c>
      <c r="C32" s="9" t="s">
        <v>798</v>
      </c>
      <c r="D32" s="9" t="s">
        <v>24</v>
      </c>
      <c r="E32" s="9" t="s">
        <v>31</v>
      </c>
      <c r="F32" s="9" t="s">
        <v>26</v>
      </c>
      <c r="G32" s="10" t="s">
        <v>27</v>
      </c>
      <c r="H32" s="11"/>
      <c r="I32" s="11"/>
      <c r="J32" s="11"/>
      <c r="K32" s="11"/>
      <c r="L32" s="11"/>
      <c r="M32" s="11"/>
    </row>
    <row r="33" spans="1:13" x14ac:dyDescent="0.2">
      <c r="A33" s="50"/>
      <c r="B33" s="9">
        <v>37</v>
      </c>
      <c r="C33" s="9" t="s">
        <v>782</v>
      </c>
      <c r="D33" s="9" t="s">
        <v>24</v>
      </c>
      <c r="E33" s="9" t="s">
        <v>31</v>
      </c>
      <c r="F33" s="9" t="s">
        <v>26</v>
      </c>
      <c r="G33" s="10" t="s">
        <v>27</v>
      </c>
      <c r="H33" s="11"/>
      <c r="I33" s="11"/>
      <c r="J33" s="11"/>
      <c r="K33" s="11"/>
      <c r="L33" s="11"/>
      <c r="M33" s="11"/>
    </row>
    <row r="34" spans="1:13" x14ac:dyDescent="0.2">
      <c r="A34" s="57"/>
      <c r="B34" s="9">
        <v>37</v>
      </c>
      <c r="C34" s="9" t="s">
        <v>785</v>
      </c>
      <c r="D34" s="9" t="s">
        <v>24</v>
      </c>
      <c r="E34" s="9" t="s">
        <v>31</v>
      </c>
      <c r="F34" s="9" t="s">
        <v>26</v>
      </c>
      <c r="G34" s="10" t="s">
        <v>27</v>
      </c>
      <c r="H34" s="11"/>
      <c r="I34" s="11"/>
      <c r="J34" s="11"/>
      <c r="K34" s="11"/>
      <c r="L34" s="11"/>
      <c r="M34" s="11"/>
    </row>
    <row r="35" spans="1:13" x14ac:dyDescent="0.2">
      <c r="A35" s="59" t="s">
        <v>46</v>
      </c>
      <c r="B35" s="9">
        <v>37</v>
      </c>
      <c r="C35" s="9" t="s">
        <v>799</v>
      </c>
      <c r="D35" s="9" t="s">
        <v>24</v>
      </c>
      <c r="E35" s="9" t="s">
        <v>31</v>
      </c>
      <c r="F35" s="9" t="s">
        <v>26</v>
      </c>
      <c r="G35" s="10" t="s">
        <v>27</v>
      </c>
      <c r="H35" s="11"/>
      <c r="I35" s="11"/>
      <c r="J35" s="11"/>
      <c r="K35" s="11"/>
      <c r="L35" s="11"/>
      <c r="M35" s="11"/>
    </row>
    <row r="36" spans="1:13" x14ac:dyDescent="0.2">
      <c r="A36" s="60"/>
      <c r="B36" s="9">
        <v>37</v>
      </c>
      <c r="C36" s="12" t="s">
        <v>786</v>
      </c>
      <c r="D36" s="12" t="s">
        <v>24</v>
      </c>
      <c r="E36" s="12" t="s">
        <v>25</v>
      </c>
      <c r="F36" s="12" t="s">
        <v>26</v>
      </c>
      <c r="G36" s="10" t="s">
        <v>27</v>
      </c>
      <c r="H36" s="11"/>
      <c r="I36" s="11"/>
      <c r="J36" s="11"/>
      <c r="K36" s="11"/>
      <c r="L36" s="11"/>
      <c r="M36" s="11"/>
    </row>
    <row r="37" spans="1:13" ht="12.75" x14ac:dyDescent="0.2">
      <c r="A37" s="60"/>
      <c r="B37" s="9">
        <v>37</v>
      </c>
      <c r="C37" s="9" t="s">
        <v>797</v>
      </c>
      <c r="D37" s="9" t="s">
        <v>24</v>
      </c>
      <c r="E37" s="9" t="s">
        <v>31</v>
      </c>
      <c r="F37" s="9" t="s">
        <v>26</v>
      </c>
      <c r="G37" s="10" t="s">
        <v>27</v>
      </c>
      <c r="H37" s="11"/>
      <c r="I37" s="11"/>
      <c r="J37" s="11"/>
      <c r="K37" s="11"/>
      <c r="L37" s="11"/>
      <c r="M37" s="11"/>
    </row>
    <row r="38" spans="1:13" ht="12.75" x14ac:dyDescent="0.2">
      <c r="A38" s="48" t="s">
        <v>49</v>
      </c>
      <c r="B38" s="12">
        <v>37</v>
      </c>
      <c r="C38" s="12" t="s">
        <v>800</v>
      </c>
      <c r="D38" s="12" t="s">
        <v>24</v>
      </c>
      <c r="E38" s="12" t="s">
        <v>25</v>
      </c>
      <c r="F38" s="12" t="s">
        <v>26</v>
      </c>
      <c r="G38" s="10" t="s">
        <v>27</v>
      </c>
      <c r="H38" s="11"/>
      <c r="I38" s="11"/>
      <c r="J38" s="11"/>
      <c r="K38" s="11"/>
      <c r="L38" s="11"/>
      <c r="M38" s="11"/>
    </row>
    <row r="39" spans="1:13" ht="12.75" x14ac:dyDescent="0.2">
      <c r="A39" s="50"/>
      <c r="B39" s="12">
        <v>37</v>
      </c>
      <c r="C39" s="12" t="s">
        <v>797</v>
      </c>
      <c r="D39" s="12" t="s">
        <v>24</v>
      </c>
      <c r="E39" s="12" t="s">
        <v>25</v>
      </c>
      <c r="F39" s="12" t="s">
        <v>26</v>
      </c>
      <c r="G39" s="10" t="s">
        <v>27</v>
      </c>
      <c r="H39" s="11"/>
      <c r="I39" s="11"/>
      <c r="J39" s="11"/>
      <c r="K39" s="11"/>
      <c r="L39" s="11"/>
      <c r="M39" s="11"/>
    </row>
    <row r="40" spans="1:13" ht="12.75" x14ac:dyDescent="0.2">
      <c r="A40" s="51"/>
      <c r="B40" s="12">
        <v>37</v>
      </c>
      <c r="C40" s="12" t="s">
        <v>801</v>
      </c>
      <c r="D40" s="12" t="s">
        <v>24</v>
      </c>
      <c r="E40" s="12" t="s">
        <v>25</v>
      </c>
      <c r="F40" s="12" t="s">
        <v>26</v>
      </c>
      <c r="G40" s="10" t="s">
        <v>27</v>
      </c>
      <c r="H40" s="11"/>
      <c r="I40" s="11"/>
      <c r="J40" s="11"/>
      <c r="K40" s="11"/>
      <c r="L40" s="11"/>
      <c r="M40" s="11"/>
    </row>
    <row r="41" spans="1:13" ht="12.75" x14ac:dyDescent="0.2">
      <c r="A41" s="50"/>
      <c r="B41" s="12">
        <v>37</v>
      </c>
      <c r="C41" s="12" t="s">
        <v>786</v>
      </c>
      <c r="D41" s="12" t="s">
        <v>24</v>
      </c>
      <c r="E41" s="12" t="s">
        <v>25</v>
      </c>
      <c r="F41" s="12" t="s">
        <v>26</v>
      </c>
      <c r="G41" s="10" t="s">
        <v>27</v>
      </c>
      <c r="H41" s="11"/>
      <c r="I41" s="11"/>
      <c r="J41" s="11"/>
      <c r="K41" s="11"/>
      <c r="L41" s="11"/>
      <c r="M41" s="11"/>
    </row>
    <row r="42" spans="1:13" ht="12.75" x14ac:dyDescent="0.2">
      <c r="A42" s="51"/>
      <c r="B42" s="12">
        <v>37</v>
      </c>
      <c r="C42" s="12" t="s">
        <v>802</v>
      </c>
      <c r="D42" s="12" t="s">
        <v>24</v>
      </c>
      <c r="E42" s="12" t="s">
        <v>25</v>
      </c>
      <c r="F42" s="12" t="s">
        <v>26</v>
      </c>
      <c r="G42" s="10" t="s">
        <v>27</v>
      </c>
      <c r="H42" s="11"/>
      <c r="I42" s="11"/>
      <c r="J42" s="11"/>
      <c r="K42" s="11"/>
      <c r="L42" s="11"/>
      <c r="M42" s="11"/>
    </row>
    <row r="43" spans="1:13" ht="12.75" x14ac:dyDescent="0.2">
      <c r="A43" s="50"/>
      <c r="B43" s="12">
        <v>37</v>
      </c>
      <c r="C43" s="12" t="s">
        <v>803</v>
      </c>
      <c r="D43" s="12" t="s">
        <v>24</v>
      </c>
      <c r="E43" s="12" t="s">
        <v>25</v>
      </c>
      <c r="F43" s="12" t="s">
        <v>26</v>
      </c>
      <c r="G43" s="10" t="s">
        <v>27</v>
      </c>
      <c r="H43" s="11"/>
      <c r="I43" s="11"/>
      <c r="J43" s="11"/>
      <c r="K43" s="11"/>
      <c r="L43" s="11"/>
      <c r="M43" s="11"/>
    </row>
    <row r="44" spans="1:13" ht="12.75" x14ac:dyDescent="0.2">
      <c r="A44" s="57"/>
      <c r="B44" s="12">
        <v>37</v>
      </c>
      <c r="C44" s="12" t="s">
        <v>804</v>
      </c>
      <c r="D44" s="12" t="s">
        <v>24</v>
      </c>
      <c r="E44" s="12" t="s">
        <v>25</v>
      </c>
      <c r="F44" s="12" t="s">
        <v>26</v>
      </c>
      <c r="G44" s="10" t="s">
        <v>27</v>
      </c>
      <c r="H44" s="11"/>
      <c r="I44" s="11"/>
      <c r="J44" s="11"/>
      <c r="K44" s="11"/>
      <c r="L44" s="11"/>
      <c r="M44" s="11"/>
    </row>
    <row r="45" spans="1:13" ht="12.75" x14ac:dyDescent="0.2">
      <c r="A45" s="48" t="s">
        <v>52</v>
      </c>
      <c r="B45" s="9">
        <v>37</v>
      </c>
      <c r="C45" s="9" t="s">
        <v>797</v>
      </c>
      <c r="D45" s="9" t="s">
        <v>24</v>
      </c>
      <c r="E45" s="9" t="s">
        <v>31</v>
      </c>
      <c r="F45" s="9" t="s">
        <v>47</v>
      </c>
      <c r="G45" s="10" t="s">
        <v>27</v>
      </c>
      <c r="H45" s="11"/>
      <c r="I45" s="11"/>
      <c r="J45" s="11"/>
      <c r="K45" s="11"/>
      <c r="L45" s="11"/>
      <c r="M45" s="11"/>
    </row>
    <row r="46" spans="1:13" ht="12.75" x14ac:dyDescent="0.2">
      <c r="A46" s="51"/>
      <c r="B46" s="9">
        <v>37</v>
      </c>
      <c r="C46" s="9" t="s">
        <v>779</v>
      </c>
      <c r="D46" s="9" t="s">
        <v>24</v>
      </c>
      <c r="E46" s="9" t="s">
        <v>31</v>
      </c>
      <c r="F46" s="9" t="s">
        <v>47</v>
      </c>
      <c r="G46" s="10" t="s">
        <v>27</v>
      </c>
      <c r="H46" s="11"/>
      <c r="I46" s="11"/>
      <c r="J46" s="11"/>
      <c r="K46" s="11"/>
      <c r="L46" s="11"/>
      <c r="M46" s="11"/>
    </row>
    <row r="47" spans="1:13" ht="12.75" x14ac:dyDescent="0.2">
      <c r="A47" s="53"/>
      <c r="B47" s="9">
        <v>37</v>
      </c>
      <c r="C47" s="9" t="s">
        <v>805</v>
      </c>
      <c r="D47" s="9" t="s">
        <v>24</v>
      </c>
      <c r="E47" s="9" t="s">
        <v>31</v>
      </c>
      <c r="F47" s="9" t="s">
        <v>47</v>
      </c>
      <c r="G47" s="10" t="s">
        <v>27</v>
      </c>
      <c r="H47" s="11"/>
      <c r="I47" s="11"/>
      <c r="J47" s="11"/>
      <c r="K47" s="11"/>
      <c r="L47" s="11"/>
      <c r="M47" s="11"/>
    </row>
    <row r="48" spans="1:13" ht="12.75" x14ac:dyDescent="0.2">
      <c r="A48" s="48" t="s">
        <v>59</v>
      </c>
      <c r="B48" s="9">
        <v>37</v>
      </c>
      <c r="C48" s="9" t="s">
        <v>806</v>
      </c>
      <c r="D48" s="9" t="s">
        <v>24</v>
      </c>
      <c r="E48" s="9" t="s">
        <v>31</v>
      </c>
      <c r="F48" s="9" t="s">
        <v>47</v>
      </c>
      <c r="G48" s="10" t="s">
        <v>27</v>
      </c>
      <c r="H48" s="11"/>
      <c r="I48" s="11"/>
      <c r="J48" s="11"/>
      <c r="K48" s="11"/>
      <c r="L48" s="11"/>
      <c r="M48" s="11"/>
    </row>
    <row r="49" spans="1:13" ht="12.75" x14ac:dyDescent="0.2">
      <c r="A49" s="52"/>
      <c r="B49" s="9">
        <v>37</v>
      </c>
      <c r="C49" s="9" t="s">
        <v>779</v>
      </c>
      <c r="D49" s="9" t="s">
        <v>24</v>
      </c>
      <c r="E49" s="9" t="s">
        <v>31</v>
      </c>
      <c r="F49" s="9" t="s">
        <v>47</v>
      </c>
      <c r="G49" s="10" t="s">
        <v>27</v>
      </c>
      <c r="H49" s="11"/>
      <c r="I49" s="11"/>
      <c r="J49" s="11"/>
      <c r="K49" s="11"/>
      <c r="L49" s="11"/>
      <c r="M49" s="11"/>
    </row>
    <row r="50" spans="1:13" ht="12.75" x14ac:dyDescent="0.2">
      <c r="A50" s="52"/>
      <c r="B50" s="9">
        <v>37</v>
      </c>
      <c r="C50" s="9" t="s">
        <v>786</v>
      </c>
      <c r="D50" s="9" t="s">
        <v>24</v>
      </c>
      <c r="E50" s="9" t="s">
        <v>31</v>
      </c>
      <c r="F50" s="9" t="s">
        <v>47</v>
      </c>
      <c r="G50" s="10" t="s">
        <v>27</v>
      </c>
      <c r="H50" s="11"/>
      <c r="I50" s="11"/>
      <c r="J50" s="11"/>
      <c r="K50" s="11"/>
      <c r="L50" s="11"/>
      <c r="M50" s="11"/>
    </row>
    <row r="51" spans="1:13" ht="12.75" x14ac:dyDescent="0.2">
      <c r="A51" s="52"/>
      <c r="B51" s="9">
        <v>37</v>
      </c>
      <c r="C51" s="9" t="s">
        <v>807</v>
      </c>
      <c r="D51" s="9" t="s">
        <v>24</v>
      </c>
      <c r="E51" s="9" t="s">
        <v>31</v>
      </c>
      <c r="F51" s="9" t="s">
        <v>47</v>
      </c>
      <c r="G51" s="10" t="s">
        <v>27</v>
      </c>
      <c r="H51" s="11"/>
      <c r="I51" s="11"/>
      <c r="J51" s="11"/>
      <c r="K51" s="11"/>
      <c r="L51" s="11"/>
      <c r="M51" s="11"/>
    </row>
    <row r="52" spans="1:13" ht="12.75" x14ac:dyDescent="0.2">
      <c r="A52" s="52"/>
      <c r="B52" s="9">
        <v>37</v>
      </c>
      <c r="C52" s="9" t="s">
        <v>802</v>
      </c>
      <c r="D52" s="9" t="s">
        <v>24</v>
      </c>
      <c r="E52" s="9" t="s">
        <v>31</v>
      </c>
      <c r="F52" s="9" t="s">
        <v>47</v>
      </c>
      <c r="G52" s="10" t="s">
        <v>27</v>
      </c>
      <c r="H52" s="11"/>
      <c r="I52" s="11"/>
      <c r="J52" s="11"/>
      <c r="K52" s="11"/>
      <c r="L52" s="11"/>
      <c r="M52" s="11"/>
    </row>
    <row r="53" spans="1:13" ht="12.75" x14ac:dyDescent="0.2">
      <c r="A53" s="53"/>
      <c r="B53" s="9">
        <v>37</v>
      </c>
      <c r="C53" s="9" t="s">
        <v>782</v>
      </c>
      <c r="D53" s="9" t="s">
        <v>24</v>
      </c>
      <c r="E53" s="9" t="s">
        <v>31</v>
      </c>
      <c r="F53" s="9" t="s">
        <v>47</v>
      </c>
      <c r="G53" s="10" t="s">
        <v>27</v>
      </c>
      <c r="H53" s="11"/>
      <c r="I53" s="11"/>
      <c r="J53" s="11"/>
      <c r="K53" s="11"/>
      <c r="L53" s="11"/>
      <c r="M53" s="11"/>
    </row>
    <row r="54" spans="1:13" ht="12.75" x14ac:dyDescent="0.2">
      <c r="A54" s="48" t="s">
        <v>101</v>
      </c>
      <c r="B54" s="9">
        <v>37</v>
      </c>
      <c r="C54" s="9" t="s">
        <v>797</v>
      </c>
      <c r="D54" s="9" t="s">
        <v>24</v>
      </c>
      <c r="E54" s="9" t="s">
        <v>31</v>
      </c>
      <c r="F54" s="9" t="s">
        <v>26</v>
      </c>
      <c r="G54" s="10" t="s">
        <v>27</v>
      </c>
      <c r="H54" s="11"/>
      <c r="I54" s="11"/>
      <c r="J54" s="11"/>
      <c r="K54" s="11"/>
      <c r="L54" s="11"/>
      <c r="M54" s="11"/>
    </row>
    <row r="55" spans="1:13" ht="12.75" x14ac:dyDescent="0.2">
      <c r="A55" s="52"/>
      <c r="B55" s="9">
        <v>37</v>
      </c>
      <c r="C55" s="9" t="s">
        <v>779</v>
      </c>
      <c r="D55" s="9" t="s">
        <v>24</v>
      </c>
      <c r="E55" s="9" t="s">
        <v>31</v>
      </c>
      <c r="F55" s="9" t="s">
        <v>26</v>
      </c>
      <c r="G55" s="10" t="s">
        <v>27</v>
      </c>
      <c r="H55" s="11"/>
      <c r="I55" s="11"/>
      <c r="J55" s="11"/>
      <c r="K55" s="11"/>
      <c r="L55" s="11"/>
      <c r="M55" s="11"/>
    </row>
    <row r="56" spans="1:13" ht="12.75" x14ac:dyDescent="0.2">
      <c r="A56" s="53"/>
      <c r="B56" s="9">
        <v>37</v>
      </c>
      <c r="C56" s="9" t="s">
        <v>808</v>
      </c>
      <c r="D56" s="9" t="s">
        <v>30</v>
      </c>
      <c r="E56" s="9" t="s">
        <v>31</v>
      </c>
      <c r="F56" s="9" t="s">
        <v>26</v>
      </c>
      <c r="G56" s="10" t="s">
        <v>27</v>
      </c>
      <c r="H56" s="11"/>
      <c r="I56" s="11"/>
      <c r="J56" s="11"/>
      <c r="K56" s="11"/>
      <c r="L56" s="11"/>
      <c r="M56" s="11"/>
    </row>
    <row r="57" spans="1:13" ht="12.75" x14ac:dyDescent="0.2">
      <c r="A57" s="48" t="s">
        <v>62</v>
      </c>
      <c r="B57" s="9">
        <v>37</v>
      </c>
      <c r="C57" s="9" t="s">
        <v>797</v>
      </c>
      <c r="D57" s="9" t="s">
        <v>24</v>
      </c>
      <c r="E57" s="9" t="s">
        <v>31</v>
      </c>
      <c r="F57" s="9" t="s">
        <v>26</v>
      </c>
      <c r="G57" s="10" t="s">
        <v>27</v>
      </c>
      <c r="H57" s="11"/>
      <c r="I57" s="11"/>
      <c r="J57" s="11"/>
      <c r="K57" s="11"/>
      <c r="L57" s="11"/>
      <c r="M57" s="11"/>
    </row>
    <row r="58" spans="1:13" ht="12.75" x14ac:dyDescent="0.2">
      <c r="A58" s="52"/>
      <c r="B58" s="9">
        <v>37</v>
      </c>
      <c r="C58" s="9" t="s">
        <v>808</v>
      </c>
      <c r="D58" s="9" t="s">
        <v>30</v>
      </c>
      <c r="E58" s="9" t="s">
        <v>31</v>
      </c>
      <c r="F58" s="9" t="s">
        <v>26</v>
      </c>
      <c r="G58" s="10" t="s">
        <v>27</v>
      </c>
      <c r="H58" s="11"/>
      <c r="I58" s="11"/>
      <c r="J58" s="11"/>
      <c r="K58" s="11"/>
      <c r="L58" s="11"/>
      <c r="M58" s="11"/>
    </row>
    <row r="59" spans="1:13" ht="12.75" x14ac:dyDescent="0.2">
      <c r="A59" s="52"/>
      <c r="B59" s="9">
        <v>37</v>
      </c>
      <c r="C59" s="9" t="s">
        <v>809</v>
      </c>
      <c r="D59" s="9" t="s">
        <v>24</v>
      </c>
      <c r="E59" s="9" t="s">
        <v>31</v>
      </c>
      <c r="F59" s="9" t="s">
        <v>26</v>
      </c>
      <c r="G59" s="10" t="s">
        <v>27</v>
      </c>
      <c r="H59" s="11"/>
      <c r="I59" s="11"/>
      <c r="J59" s="11"/>
      <c r="K59" s="11"/>
      <c r="L59" s="11"/>
      <c r="M59" s="11"/>
    </row>
    <row r="60" spans="1:13" ht="12.75" x14ac:dyDescent="0.2">
      <c r="A60" s="52"/>
      <c r="B60" s="9">
        <v>37</v>
      </c>
      <c r="C60" s="9" t="s">
        <v>803</v>
      </c>
      <c r="D60" s="9" t="s">
        <v>24</v>
      </c>
      <c r="E60" s="9" t="s">
        <v>31</v>
      </c>
      <c r="F60" s="9" t="s">
        <v>26</v>
      </c>
      <c r="G60" s="10" t="s">
        <v>27</v>
      </c>
      <c r="H60" s="11"/>
      <c r="I60" s="11"/>
      <c r="J60" s="11"/>
      <c r="K60" s="11"/>
      <c r="L60" s="11"/>
      <c r="M60" s="11"/>
    </row>
    <row r="61" spans="1:13" ht="12.75" x14ac:dyDescent="0.2">
      <c r="A61" s="52"/>
      <c r="B61" s="9">
        <v>37</v>
      </c>
      <c r="C61" s="9" t="s">
        <v>810</v>
      </c>
      <c r="D61" s="9" t="s">
        <v>24</v>
      </c>
      <c r="E61" s="9" t="s">
        <v>31</v>
      </c>
      <c r="F61" s="9" t="s">
        <v>26</v>
      </c>
      <c r="G61" s="10" t="s">
        <v>27</v>
      </c>
      <c r="H61" s="11"/>
      <c r="I61" s="11"/>
      <c r="J61" s="11"/>
      <c r="K61" s="11"/>
      <c r="L61" s="11"/>
      <c r="M61" s="11"/>
    </row>
    <row r="62" spans="1:13" ht="12.75" x14ac:dyDescent="0.2">
      <c r="A62" s="53"/>
      <c r="B62" s="9">
        <v>37</v>
      </c>
      <c r="C62" s="9" t="s">
        <v>811</v>
      </c>
      <c r="D62" s="9" t="s">
        <v>24</v>
      </c>
      <c r="E62" s="9" t="s">
        <v>31</v>
      </c>
      <c r="F62" s="9" t="s">
        <v>26</v>
      </c>
      <c r="G62" s="10" t="s">
        <v>27</v>
      </c>
      <c r="H62" s="11"/>
      <c r="I62" s="11"/>
      <c r="J62" s="11"/>
      <c r="K62" s="11"/>
      <c r="L62" s="11"/>
      <c r="M62" s="11"/>
    </row>
    <row r="63" spans="1:13" ht="12.75" x14ac:dyDescent="0.2">
      <c r="A63" s="48" t="s">
        <v>70</v>
      </c>
      <c r="B63" s="9">
        <v>37</v>
      </c>
      <c r="C63" s="9" t="s">
        <v>806</v>
      </c>
      <c r="D63" s="9" t="s">
        <v>24</v>
      </c>
      <c r="E63" s="9" t="s">
        <v>31</v>
      </c>
      <c r="F63" s="9" t="s">
        <v>47</v>
      </c>
      <c r="G63" s="10" t="s">
        <v>27</v>
      </c>
      <c r="H63" s="13"/>
      <c r="I63" s="13"/>
    </row>
    <row r="64" spans="1:13" ht="12.75" x14ac:dyDescent="0.2">
      <c r="A64" s="52"/>
      <c r="B64" s="9">
        <v>37</v>
      </c>
      <c r="C64" s="9" t="s">
        <v>748</v>
      </c>
      <c r="D64" s="9" t="s">
        <v>24</v>
      </c>
      <c r="E64" s="9" t="s">
        <v>31</v>
      </c>
      <c r="F64" s="9" t="s">
        <v>47</v>
      </c>
      <c r="G64" s="10" t="s">
        <v>27</v>
      </c>
      <c r="H64" s="13"/>
      <c r="I64" s="13"/>
    </row>
    <row r="65" spans="1:9" ht="12.75" x14ac:dyDescent="0.2">
      <c r="A65" s="52"/>
      <c r="B65" s="9">
        <v>37</v>
      </c>
      <c r="C65" s="9" t="s">
        <v>786</v>
      </c>
      <c r="D65" s="9" t="s">
        <v>30</v>
      </c>
      <c r="E65" s="9" t="s">
        <v>31</v>
      </c>
      <c r="F65" s="9" t="s">
        <v>47</v>
      </c>
      <c r="G65" s="10" t="s">
        <v>27</v>
      </c>
      <c r="H65" s="13"/>
      <c r="I65" s="13"/>
    </row>
    <row r="66" spans="1:9" ht="12.75" x14ac:dyDescent="0.2">
      <c r="A66" s="53"/>
      <c r="B66" s="9">
        <v>37</v>
      </c>
      <c r="C66" s="9" t="s">
        <v>807</v>
      </c>
      <c r="D66" s="9" t="s">
        <v>30</v>
      </c>
      <c r="E66" s="9" t="s">
        <v>31</v>
      </c>
      <c r="F66" s="9" t="s">
        <v>47</v>
      </c>
      <c r="G66" s="10" t="s">
        <v>27</v>
      </c>
      <c r="H66" s="13"/>
      <c r="I66" s="13"/>
    </row>
    <row r="67" spans="1:9" ht="12.75" x14ac:dyDescent="0.2">
      <c r="A67" s="48" t="s">
        <v>73</v>
      </c>
      <c r="B67" s="9">
        <v>37</v>
      </c>
      <c r="C67" s="9" t="s">
        <v>786</v>
      </c>
      <c r="D67" s="9" t="s">
        <v>24</v>
      </c>
      <c r="E67" s="9" t="s">
        <v>31</v>
      </c>
      <c r="F67" s="9" t="s">
        <v>26</v>
      </c>
      <c r="G67" s="10" t="s">
        <v>27</v>
      </c>
      <c r="H67" s="13"/>
      <c r="I67" s="13"/>
    </row>
    <row r="68" spans="1:9" ht="12.75" x14ac:dyDescent="0.2">
      <c r="A68" s="52"/>
      <c r="B68" s="9">
        <v>37</v>
      </c>
      <c r="C68" s="9" t="s">
        <v>784</v>
      </c>
      <c r="D68" s="9" t="s">
        <v>24</v>
      </c>
      <c r="E68" s="9" t="s">
        <v>31</v>
      </c>
      <c r="F68" s="9" t="s">
        <v>26</v>
      </c>
      <c r="G68" s="10" t="s">
        <v>27</v>
      </c>
      <c r="H68" s="13"/>
      <c r="I68" s="13"/>
    </row>
    <row r="69" spans="1:9" ht="12.75" x14ac:dyDescent="0.2">
      <c r="A69" s="52"/>
      <c r="B69" s="9">
        <v>37</v>
      </c>
      <c r="C69" s="9" t="s">
        <v>812</v>
      </c>
      <c r="D69" s="9" t="s">
        <v>24</v>
      </c>
      <c r="E69" s="9" t="s">
        <v>31</v>
      </c>
      <c r="F69" s="9" t="s">
        <v>26</v>
      </c>
      <c r="G69" s="10" t="s">
        <v>27</v>
      </c>
      <c r="H69" s="13"/>
      <c r="I69" s="13"/>
    </row>
    <row r="70" spans="1:9" ht="12.75" x14ac:dyDescent="0.2">
      <c r="A70" s="52"/>
      <c r="B70" s="9">
        <v>37</v>
      </c>
      <c r="C70" s="9" t="s">
        <v>810</v>
      </c>
      <c r="D70" s="9" t="s">
        <v>24</v>
      </c>
      <c r="E70" s="9" t="s">
        <v>31</v>
      </c>
      <c r="F70" s="9" t="s">
        <v>26</v>
      </c>
      <c r="G70" s="10" t="s">
        <v>27</v>
      </c>
      <c r="H70" s="13"/>
      <c r="I70" s="13"/>
    </row>
    <row r="71" spans="1:9" ht="12.75" x14ac:dyDescent="0.2">
      <c r="A71" s="52"/>
      <c r="B71" s="9">
        <v>37</v>
      </c>
      <c r="C71" s="9" t="s">
        <v>813</v>
      </c>
      <c r="D71" s="9" t="s">
        <v>30</v>
      </c>
      <c r="E71" s="9" t="s">
        <v>31</v>
      </c>
      <c r="F71" s="9" t="s">
        <v>26</v>
      </c>
      <c r="G71" s="10" t="s">
        <v>27</v>
      </c>
      <c r="H71" s="13"/>
      <c r="I71" s="13"/>
    </row>
    <row r="72" spans="1:9" ht="12.75" x14ac:dyDescent="0.2">
      <c r="A72" s="53"/>
      <c r="B72" s="9">
        <v>37</v>
      </c>
      <c r="C72" s="9" t="s">
        <v>814</v>
      </c>
      <c r="D72" s="9" t="s">
        <v>24</v>
      </c>
      <c r="E72" s="9" t="s">
        <v>31</v>
      </c>
      <c r="F72" s="9" t="s">
        <v>47</v>
      </c>
      <c r="G72" s="10" t="s">
        <v>27</v>
      </c>
      <c r="H72" s="13"/>
      <c r="I72" s="13"/>
    </row>
    <row r="73" spans="1:9" ht="12.75" x14ac:dyDescent="0.2">
      <c r="A73" s="48" t="s">
        <v>77</v>
      </c>
      <c r="B73" s="9">
        <v>37</v>
      </c>
      <c r="C73" s="9" t="s">
        <v>815</v>
      </c>
      <c r="D73" s="9" t="s">
        <v>24</v>
      </c>
      <c r="E73" s="9" t="s">
        <v>31</v>
      </c>
      <c r="F73" s="9" t="s">
        <v>26</v>
      </c>
      <c r="G73" s="10" t="s">
        <v>27</v>
      </c>
      <c r="H73" s="13"/>
      <c r="I73" s="13"/>
    </row>
    <row r="74" spans="1:9" ht="12.75" x14ac:dyDescent="0.2">
      <c r="A74" s="52"/>
      <c r="B74" s="9">
        <v>37</v>
      </c>
      <c r="C74" s="9" t="s">
        <v>779</v>
      </c>
      <c r="D74" s="9" t="s">
        <v>24</v>
      </c>
      <c r="E74" s="9" t="s">
        <v>31</v>
      </c>
      <c r="F74" s="9" t="s">
        <v>26</v>
      </c>
      <c r="G74" s="10" t="s">
        <v>27</v>
      </c>
      <c r="H74" s="13"/>
      <c r="I74" s="13"/>
    </row>
    <row r="75" spans="1:9" ht="12.75" x14ac:dyDescent="0.2">
      <c r="A75" s="52"/>
      <c r="B75" s="9">
        <v>37</v>
      </c>
      <c r="C75" s="9" t="s">
        <v>816</v>
      </c>
      <c r="D75" s="9" t="s">
        <v>24</v>
      </c>
      <c r="E75" s="9" t="s">
        <v>31</v>
      </c>
      <c r="F75" s="9" t="s">
        <v>26</v>
      </c>
      <c r="G75" s="10" t="s">
        <v>27</v>
      </c>
      <c r="H75" s="13"/>
      <c r="I75" s="13"/>
    </row>
    <row r="76" spans="1:9" ht="12.75" x14ac:dyDescent="0.2">
      <c r="A76" s="52"/>
      <c r="B76" s="9">
        <v>37</v>
      </c>
      <c r="C76" s="9" t="s">
        <v>784</v>
      </c>
      <c r="D76" s="9" t="s">
        <v>24</v>
      </c>
      <c r="E76" s="9" t="s">
        <v>31</v>
      </c>
      <c r="F76" s="9" t="s">
        <v>26</v>
      </c>
      <c r="G76" s="10" t="s">
        <v>27</v>
      </c>
      <c r="H76" s="13"/>
      <c r="I76" s="13"/>
    </row>
    <row r="77" spans="1:9" ht="12.75" x14ac:dyDescent="0.2">
      <c r="A77" s="53"/>
      <c r="B77" s="9">
        <v>37</v>
      </c>
      <c r="C77" s="9" t="s">
        <v>817</v>
      </c>
      <c r="D77" s="9" t="s">
        <v>24</v>
      </c>
      <c r="E77" s="9" t="s">
        <v>31</v>
      </c>
      <c r="F77" s="9" t="s">
        <v>26</v>
      </c>
      <c r="G77" s="10" t="s">
        <v>27</v>
      </c>
      <c r="H77" s="13"/>
      <c r="I77" s="13"/>
    </row>
    <row r="78" spans="1:9" ht="12.75" x14ac:dyDescent="0.2">
      <c r="A78" s="48" t="s">
        <v>79</v>
      </c>
      <c r="B78" s="12">
        <v>37</v>
      </c>
      <c r="C78" s="12" t="s">
        <v>797</v>
      </c>
      <c r="D78" s="12" t="s">
        <v>24</v>
      </c>
      <c r="E78" s="12" t="s">
        <v>25</v>
      </c>
      <c r="F78" s="12" t="s">
        <v>26</v>
      </c>
      <c r="G78" s="10" t="s">
        <v>27</v>
      </c>
      <c r="H78" s="13"/>
      <c r="I78" s="13"/>
    </row>
    <row r="79" spans="1:9" ht="12.75" x14ac:dyDescent="0.2">
      <c r="A79" s="52"/>
      <c r="B79" s="12">
        <v>37</v>
      </c>
      <c r="C79" s="12" t="s">
        <v>818</v>
      </c>
      <c r="D79" s="12" t="s">
        <v>24</v>
      </c>
      <c r="E79" s="12" t="s">
        <v>25</v>
      </c>
      <c r="F79" s="12" t="s">
        <v>26</v>
      </c>
      <c r="G79" s="10" t="s">
        <v>27</v>
      </c>
      <c r="H79" s="13"/>
      <c r="I79" s="13"/>
    </row>
    <row r="80" spans="1:9" ht="12.75" x14ac:dyDescent="0.2">
      <c r="A80" s="52"/>
      <c r="B80" s="12">
        <v>37</v>
      </c>
      <c r="C80" s="12" t="s">
        <v>802</v>
      </c>
      <c r="D80" s="12" t="s">
        <v>24</v>
      </c>
      <c r="E80" s="12" t="s">
        <v>25</v>
      </c>
      <c r="F80" s="12" t="s">
        <v>26</v>
      </c>
      <c r="G80" s="10" t="s">
        <v>27</v>
      </c>
      <c r="H80" s="13"/>
      <c r="I80" s="13"/>
    </row>
    <row r="81" spans="1:9" ht="12.75" x14ac:dyDescent="0.2">
      <c r="A81" s="52"/>
      <c r="B81" s="12">
        <v>37</v>
      </c>
      <c r="C81" s="12" t="s">
        <v>779</v>
      </c>
      <c r="D81" s="12" t="s">
        <v>24</v>
      </c>
      <c r="E81" s="12" t="s">
        <v>25</v>
      </c>
      <c r="F81" s="12" t="s">
        <v>26</v>
      </c>
      <c r="G81" s="10" t="s">
        <v>27</v>
      </c>
      <c r="H81" s="13"/>
      <c r="I81" s="13"/>
    </row>
    <row r="82" spans="1:9" ht="12.75" x14ac:dyDescent="0.2">
      <c r="A82" s="52"/>
      <c r="B82" s="12">
        <v>37</v>
      </c>
      <c r="C82" s="12" t="s">
        <v>786</v>
      </c>
      <c r="D82" s="12" t="s">
        <v>30</v>
      </c>
      <c r="E82" s="12" t="s">
        <v>25</v>
      </c>
      <c r="F82" s="12" t="s">
        <v>26</v>
      </c>
      <c r="G82" s="10" t="s">
        <v>27</v>
      </c>
      <c r="H82" s="13"/>
      <c r="I82" s="13"/>
    </row>
    <row r="83" spans="1:9" ht="12.75" x14ac:dyDescent="0.2">
      <c r="A83" s="52"/>
      <c r="B83" s="12">
        <v>37</v>
      </c>
      <c r="C83" s="12" t="s">
        <v>819</v>
      </c>
      <c r="D83" s="12" t="s">
        <v>24</v>
      </c>
      <c r="E83" s="12" t="s">
        <v>25</v>
      </c>
      <c r="F83" s="12" t="s">
        <v>26</v>
      </c>
      <c r="G83" s="10" t="s">
        <v>27</v>
      </c>
      <c r="H83" s="13"/>
      <c r="I83" s="13"/>
    </row>
    <row r="84" spans="1:9" ht="12.75" x14ac:dyDescent="0.2">
      <c r="A84" s="53"/>
      <c r="B84" s="12">
        <v>37</v>
      </c>
      <c r="C84" s="12" t="s">
        <v>820</v>
      </c>
      <c r="D84" s="12" t="s">
        <v>24</v>
      </c>
      <c r="E84" s="12" t="s">
        <v>25</v>
      </c>
      <c r="F84" s="12" t="s">
        <v>26</v>
      </c>
      <c r="G84" s="10" t="s">
        <v>27</v>
      </c>
      <c r="H84" s="13"/>
      <c r="I84" s="13"/>
    </row>
    <row r="85" spans="1:9" ht="12.75" x14ac:dyDescent="0.2">
      <c r="A85" s="48" t="s">
        <v>83</v>
      </c>
      <c r="B85" s="9">
        <v>37</v>
      </c>
      <c r="C85" s="12" t="s">
        <v>802</v>
      </c>
      <c r="D85" s="12" t="s">
        <v>24</v>
      </c>
      <c r="E85" s="12" t="s">
        <v>25</v>
      </c>
      <c r="F85" s="12" t="s">
        <v>26</v>
      </c>
      <c r="G85" s="10" t="s">
        <v>27</v>
      </c>
      <c r="H85" s="13"/>
      <c r="I85" s="13"/>
    </row>
    <row r="86" spans="1:9" ht="12.75" x14ac:dyDescent="0.2">
      <c r="A86" s="52"/>
      <c r="B86" s="12">
        <v>37</v>
      </c>
      <c r="C86" s="9" t="s">
        <v>786</v>
      </c>
      <c r="D86" s="9" t="s">
        <v>30</v>
      </c>
      <c r="E86" s="9" t="s">
        <v>31</v>
      </c>
      <c r="F86" s="9" t="s">
        <v>26</v>
      </c>
      <c r="G86" s="10" t="s">
        <v>27</v>
      </c>
      <c r="H86" s="13"/>
      <c r="I86" s="13"/>
    </row>
    <row r="87" spans="1:9" ht="12.75" x14ac:dyDescent="0.2">
      <c r="A87" s="52"/>
      <c r="B87" s="12">
        <v>37</v>
      </c>
      <c r="C87" s="9" t="s">
        <v>779</v>
      </c>
      <c r="D87" s="9" t="s">
        <v>24</v>
      </c>
      <c r="E87" s="9" t="s">
        <v>31</v>
      </c>
      <c r="F87" s="9" t="s">
        <v>26</v>
      </c>
      <c r="G87" s="10" t="s">
        <v>27</v>
      </c>
      <c r="H87" s="13"/>
      <c r="I87" s="13"/>
    </row>
    <row r="88" spans="1:9" ht="12.75" x14ac:dyDescent="0.2">
      <c r="A88" s="52"/>
      <c r="B88" s="12">
        <v>37</v>
      </c>
      <c r="C88" s="9" t="s">
        <v>817</v>
      </c>
      <c r="D88" s="9" t="s">
        <v>24</v>
      </c>
      <c r="E88" s="9" t="s">
        <v>31</v>
      </c>
      <c r="F88" s="9" t="s">
        <v>26</v>
      </c>
      <c r="G88" s="10" t="s">
        <v>27</v>
      </c>
      <c r="H88" s="13"/>
      <c r="I88" s="13"/>
    </row>
    <row r="89" spans="1:9" ht="12.75" x14ac:dyDescent="0.2">
      <c r="A89" s="53"/>
      <c r="B89" s="12">
        <v>37</v>
      </c>
      <c r="C89" s="12" t="s">
        <v>821</v>
      </c>
      <c r="D89" s="12" t="s">
        <v>24</v>
      </c>
      <c r="E89" s="12" t="s">
        <v>25</v>
      </c>
      <c r="F89" s="12" t="s">
        <v>26</v>
      </c>
      <c r="G89" s="10" t="s">
        <v>27</v>
      </c>
      <c r="H89" s="13"/>
      <c r="I89" s="13"/>
    </row>
    <row r="90" spans="1:9" ht="12.75" x14ac:dyDescent="0.2">
      <c r="A90" s="48" t="s">
        <v>822</v>
      </c>
      <c r="B90" s="9">
        <v>37</v>
      </c>
      <c r="C90" s="9" t="s">
        <v>779</v>
      </c>
      <c r="D90" s="9" t="s">
        <v>24</v>
      </c>
      <c r="E90" s="9" t="s">
        <v>31</v>
      </c>
      <c r="F90" s="9" t="s">
        <v>26</v>
      </c>
      <c r="G90" s="10" t="s">
        <v>27</v>
      </c>
      <c r="H90" s="13"/>
      <c r="I90" s="13"/>
    </row>
    <row r="91" spans="1:9" ht="12.75" x14ac:dyDescent="0.2">
      <c r="A91" s="52"/>
      <c r="B91" s="9">
        <v>37</v>
      </c>
      <c r="C91" s="9" t="s">
        <v>786</v>
      </c>
      <c r="D91" s="9" t="s">
        <v>30</v>
      </c>
      <c r="E91" s="9" t="s">
        <v>31</v>
      </c>
      <c r="F91" s="9" t="s">
        <v>26</v>
      </c>
      <c r="G91" s="10" t="s">
        <v>27</v>
      </c>
      <c r="H91" s="13"/>
      <c r="I91" s="13"/>
    </row>
    <row r="92" spans="1:9" ht="12.75" x14ac:dyDescent="0.2">
      <c r="A92" s="53"/>
      <c r="B92" s="9">
        <v>37</v>
      </c>
      <c r="C92" s="9" t="s">
        <v>817</v>
      </c>
      <c r="D92" s="9" t="s">
        <v>24</v>
      </c>
      <c r="E92" s="9" t="s">
        <v>31</v>
      </c>
      <c r="F92" s="9" t="s">
        <v>26</v>
      </c>
      <c r="G92" s="10" t="s">
        <v>27</v>
      </c>
      <c r="H92" s="13"/>
      <c r="I92" s="13"/>
    </row>
    <row r="93" spans="1:9" ht="12.75" x14ac:dyDescent="0.2">
      <c r="A93" s="13"/>
      <c r="B93" s="13"/>
      <c r="C93" s="13"/>
      <c r="D93" s="13"/>
      <c r="E93" s="13"/>
      <c r="F93" s="13"/>
      <c r="G93" s="13"/>
      <c r="H93" s="13"/>
      <c r="I93" s="13"/>
    </row>
    <row r="94" spans="1:9" ht="12.75" x14ac:dyDescent="0.2">
      <c r="A94" s="13"/>
      <c r="B94" s="13"/>
      <c r="C94" s="13"/>
      <c r="D94" s="13"/>
      <c r="E94" s="13"/>
      <c r="F94" s="13"/>
      <c r="G94" s="13"/>
      <c r="H94" s="13"/>
      <c r="I94" s="13"/>
    </row>
    <row r="95" spans="1:9" ht="12.75" x14ac:dyDescent="0.2">
      <c r="A95" s="13"/>
      <c r="B95" s="13"/>
      <c r="C95" s="13"/>
      <c r="D95" s="13"/>
      <c r="E95" s="13"/>
      <c r="F95" s="13"/>
      <c r="G95" s="13"/>
      <c r="H95" s="13"/>
      <c r="I95" s="13"/>
    </row>
    <row r="96" spans="1:9" ht="12.75" x14ac:dyDescent="0.2">
      <c r="A96" s="13"/>
      <c r="B96" s="13"/>
      <c r="C96" s="13"/>
      <c r="D96" s="13"/>
      <c r="E96" s="13"/>
      <c r="F96" s="13"/>
      <c r="G96" s="13"/>
      <c r="H96" s="13"/>
      <c r="I96" s="13"/>
    </row>
    <row r="97" spans="1:9" ht="12.75" x14ac:dyDescent="0.2">
      <c r="A97" s="13"/>
      <c r="B97" s="13"/>
      <c r="C97" s="13"/>
      <c r="D97" s="13"/>
      <c r="E97" s="13"/>
      <c r="F97" s="13"/>
      <c r="G97" s="13"/>
      <c r="H97" s="13"/>
      <c r="I97" s="13"/>
    </row>
    <row r="98" spans="1:9" ht="12.75" x14ac:dyDescent="0.2">
      <c r="A98" s="13"/>
      <c r="B98" s="13"/>
      <c r="C98" s="13"/>
      <c r="D98" s="13"/>
      <c r="E98" s="13"/>
      <c r="F98" s="13"/>
      <c r="G98" s="13"/>
      <c r="H98" s="13"/>
      <c r="I98" s="13"/>
    </row>
    <row r="99" spans="1:9" ht="12.75" x14ac:dyDescent="0.2">
      <c r="A99" s="13"/>
      <c r="B99" s="13"/>
      <c r="C99" s="13"/>
      <c r="D99" s="13"/>
      <c r="E99" s="13"/>
      <c r="F99" s="13"/>
      <c r="G99" s="13"/>
      <c r="H99" s="13"/>
      <c r="I99" s="13"/>
    </row>
  </sheetData>
  <mergeCells count="18">
    <mergeCell ref="A90:A92"/>
    <mergeCell ref="A38:A44"/>
    <mergeCell ref="A45:A47"/>
    <mergeCell ref="A48:A53"/>
    <mergeCell ref="A54:A56"/>
    <mergeCell ref="A57:A62"/>
    <mergeCell ref="A63:A66"/>
    <mergeCell ref="A67:A72"/>
    <mergeCell ref="A29:A34"/>
    <mergeCell ref="A35:A37"/>
    <mergeCell ref="A73:A77"/>
    <mergeCell ref="A78:A84"/>
    <mergeCell ref="A85:A89"/>
    <mergeCell ref="A1:G1"/>
    <mergeCell ref="A9:A10"/>
    <mergeCell ref="A11:A15"/>
    <mergeCell ref="A16:A19"/>
    <mergeCell ref="A20:A28"/>
  </mergeCells>
  <pageMargins left="0.7" right="0.7" top="0.75" bottom="0.75" header="0.3" footer="0.3"/>
  <tableParts count="2"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M136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13" ht="15.75" customHeight="1" x14ac:dyDescent="0.25">
      <c r="A1" s="54" t="s">
        <v>0</v>
      </c>
      <c r="B1" s="55"/>
      <c r="C1" s="55"/>
      <c r="D1" s="55"/>
      <c r="E1" s="55"/>
      <c r="F1" s="55"/>
      <c r="G1" s="56"/>
    </row>
    <row r="2" spans="1:13" x14ac:dyDescent="0.2">
      <c r="A2" s="1"/>
      <c r="B2" s="2"/>
      <c r="C2" s="2"/>
      <c r="D2" s="2"/>
      <c r="E2" s="2"/>
      <c r="F2" s="2"/>
      <c r="G2" s="2"/>
    </row>
    <row r="3" spans="1:13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13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13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13" x14ac:dyDescent="0.2">
      <c r="A6" s="1"/>
      <c r="B6" s="2"/>
      <c r="C6" s="2"/>
      <c r="D6" s="2"/>
      <c r="E6" s="2"/>
      <c r="F6" s="2"/>
      <c r="G6" s="2"/>
    </row>
    <row r="7" spans="1:13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13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13" x14ac:dyDescent="0.2">
      <c r="A9" s="48" t="s">
        <v>20</v>
      </c>
      <c r="B9" s="12">
        <v>38</v>
      </c>
      <c r="C9" s="12" t="s">
        <v>823</v>
      </c>
      <c r="D9" s="12" t="s">
        <v>24</v>
      </c>
      <c r="E9" s="12" t="s">
        <v>25</v>
      </c>
      <c r="F9" s="12" t="s">
        <v>26</v>
      </c>
      <c r="G9" s="10" t="s">
        <v>27</v>
      </c>
      <c r="H9" s="11"/>
      <c r="I9" s="11"/>
      <c r="J9" s="11"/>
      <c r="K9" s="11"/>
      <c r="L9" s="11"/>
      <c r="M9" s="11"/>
    </row>
    <row r="10" spans="1:13" x14ac:dyDescent="0.2">
      <c r="A10" s="52"/>
      <c r="B10" s="12">
        <v>38</v>
      </c>
      <c r="C10" s="12" t="s">
        <v>824</v>
      </c>
      <c r="D10" s="12" t="s">
        <v>24</v>
      </c>
      <c r="E10" s="12" t="s">
        <v>25</v>
      </c>
      <c r="F10" s="12" t="s">
        <v>26</v>
      </c>
      <c r="G10" s="10" t="s">
        <v>27</v>
      </c>
      <c r="H10" s="11"/>
      <c r="I10" s="11"/>
      <c r="J10" s="11"/>
      <c r="K10" s="11"/>
      <c r="L10" s="11"/>
      <c r="M10" s="11"/>
    </row>
    <row r="11" spans="1:13" x14ac:dyDescent="0.2">
      <c r="A11" s="52"/>
      <c r="B11" s="12">
        <v>38</v>
      </c>
      <c r="C11" s="12" t="s">
        <v>825</v>
      </c>
      <c r="D11" s="12" t="s">
        <v>30</v>
      </c>
      <c r="E11" s="12" t="s">
        <v>25</v>
      </c>
      <c r="F11" s="12" t="s">
        <v>26</v>
      </c>
      <c r="G11" s="10" t="s">
        <v>27</v>
      </c>
      <c r="H11" s="11"/>
      <c r="I11" s="11"/>
      <c r="J11" s="11"/>
      <c r="K11" s="11"/>
      <c r="L11" s="11"/>
      <c r="M11" s="11"/>
    </row>
    <row r="12" spans="1:13" x14ac:dyDescent="0.2">
      <c r="A12" s="52"/>
      <c r="B12" s="12">
        <v>38</v>
      </c>
      <c r="C12" s="12" t="s">
        <v>826</v>
      </c>
      <c r="D12" s="12" t="s">
        <v>30</v>
      </c>
      <c r="E12" s="12" t="s">
        <v>25</v>
      </c>
      <c r="F12" s="12" t="s">
        <v>26</v>
      </c>
      <c r="G12" s="10" t="s">
        <v>27</v>
      </c>
      <c r="H12" s="11"/>
      <c r="I12" s="11"/>
      <c r="J12" s="11"/>
      <c r="K12" s="11"/>
      <c r="L12" s="11"/>
      <c r="M12" s="11"/>
    </row>
    <row r="13" spans="1:13" x14ac:dyDescent="0.2">
      <c r="A13" s="52"/>
      <c r="B13" s="12">
        <v>38</v>
      </c>
      <c r="C13" s="12" t="s">
        <v>827</v>
      </c>
      <c r="D13" s="12" t="s">
        <v>30</v>
      </c>
      <c r="E13" s="12" t="s">
        <v>25</v>
      </c>
      <c r="F13" s="12" t="s">
        <v>26</v>
      </c>
      <c r="G13" s="10" t="s">
        <v>27</v>
      </c>
      <c r="H13" s="11"/>
      <c r="I13" s="11"/>
      <c r="J13" s="11"/>
      <c r="K13" s="11"/>
      <c r="L13" s="11"/>
      <c r="M13" s="11"/>
    </row>
    <row r="14" spans="1:13" x14ac:dyDescent="0.2">
      <c r="A14" s="53"/>
      <c r="B14" s="12">
        <v>38</v>
      </c>
      <c r="C14" s="12" t="s">
        <v>790</v>
      </c>
      <c r="D14" s="12" t="s">
        <v>24</v>
      </c>
      <c r="E14" s="12" t="s">
        <v>25</v>
      </c>
      <c r="F14" s="12" t="s">
        <v>47</v>
      </c>
      <c r="G14" s="10" t="s">
        <v>27</v>
      </c>
      <c r="H14" s="11"/>
      <c r="I14" s="11"/>
      <c r="J14" s="11"/>
      <c r="K14" s="11"/>
      <c r="L14" s="11"/>
      <c r="M14" s="11"/>
    </row>
    <row r="15" spans="1:13" x14ac:dyDescent="0.2">
      <c r="A15" s="48" t="s">
        <v>22</v>
      </c>
      <c r="B15" s="9">
        <v>38</v>
      </c>
      <c r="C15" s="9" t="s">
        <v>828</v>
      </c>
      <c r="D15" s="9" t="s">
        <v>24</v>
      </c>
      <c r="E15" s="9" t="s">
        <v>31</v>
      </c>
      <c r="F15" s="9" t="s">
        <v>26</v>
      </c>
      <c r="G15" s="10" t="s">
        <v>27</v>
      </c>
      <c r="H15" s="11"/>
      <c r="I15" s="11"/>
      <c r="J15" s="11"/>
      <c r="K15" s="11"/>
      <c r="L15" s="11"/>
      <c r="M15" s="11"/>
    </row>
    <row r="16" spans="1:13" x14ac:dyDescent="0.2">
      <c r="A16" s="52"/>
      <c r="B16" s="9">
        <v>38</v>
      </c>
      <c r="C16" s="9" t="s">
        <v>829</v>
      </c>
      <c r="D16" s="9" t="s">
        <v>24</v>
      </c>
      <c r="E16" s="9" t="s">
        <v>31</v>
      </c>
      <c r="F16" s="9" t="s">
        <v>26</v>
      </c>
      <c r="G16" s="10" t="s">
        <v>27</v>
      </c>
      <c r="H16" s="11"/>
      <c r="I16" s="11"/>
      <c r="J16" s="11"/>
      <c r="K16" s="11"/>
      <c r="L16" s="11"/>
      <c r="M16" s="11"/>
    </row>
    <row r="17" spans="1:13" x14ac:dyDescent="0.2">
      <c r="A17" s="52"/>
      <c r="B17" s="9">
        <v>38</v>
      </c>
      <c r="C17" s="9" t="s">
        <v>830</v>
      </c>
      <c r="D17" s="9" t="s">
        <v>24</v>
      </c>
      <c r="E17" s="9" t="s">
        <v>31</v>
      </c>
      <c r="F17" s="9" t="s">
        <v>26</v>
      </c>
      <c r="G17" s="10" t="s">
        <v>27</v>
      </c>
      <c r="H17" s="11"/>
      <c r="I17" s="11"/>
      <c r="J17" s="11"/>
      <c r="K17" s="11"/>
      <c r="L17" s="11"/>
      <c r="M17" s="11"/>
    </row>
    <row r="18" spans="1:13" x14ac:dyDescent="0.2">
      <c r="A18" s="52"/>
      <c r="B18" s="9">
        <v>38</v>
      </c>
      <c r="C18" s="9" t="s">
        <v>831</v>
      </c>
      <c r="D18" s="9" t="s">
        <v>30</v>
      </c>
      <c r="E18" s="9" t="s">
        <v>31</v>
      </c>
      <c r="F18" s="9" t="s">
        <v>26</v>
      </c>
      <c r="G18" s="10" t="s">
        <v>27</v>
      </c>
      <c r="H18" s="11"/>
      <c r="I18" s="11"/>
      <c r="J18" s="11"/>
      <c r="K18" s="11"/>
      <c r="L18" s="11"/>
      <c r="M18" s="11"/>
    </row>
    <row r="19" spans="1:13" x14ac:dyDescent="0.2">
      <c r="A19" s="52"/>
      <c r="B19" s="9">
        <v>38</v>
      </c>
      <c r="C19" s="9" t="s">
        <v>832</v>
      </c>
      <c r="D19" s="9" t="s">
        <v>24</v>
      </c>
      <c r="E19" s="9" t="s">
        <v>31</v>
      </c>
      <c r="F19" s="9" t="s">
        <v>26</v>
      </c>
      <c r="G19" s="10" t="s">
        <v>27</v>
      </c>
      <c r="H19" s="11"/>
      <c r="I19" s="11"/>
      <c r="J19" s="11"/>
      <c r="K19" s="11"/>
      <c r="L19" s="11"/>
      <c r="M19" s="11"/>
    </row>
    <row r="20" spans="1:13" x14ac:dyDescent="0.2">
      <c r="A20" s="52"/>
      <c r="B20" s="9">
        <v>38</v>
      </c>
      <c r="C20" s="9" t="s">
        <v>833</v>
      </c>
      <c r="D20" s="9" t="s">
        <v>24</v>
      </c>
      <c r="E20" s="9" t="s">
        <v>31</v>
      </c>
      <c r="F20" s="9" t="s">
        <v>26</v>
      </c>
      <c r="G20" s="10" t="s">
        <v>27</v>
      </c>
      <c r="H20" s="11"/>
      <c r="I20" s="11"/>
      <c r="J20" s="11"/>
      <c r="K20" s="11"/>
      <c r="L20" s="11"/>
      <c r="M20" s="11"/>
    </row>
    <row r="21" spans="1:13" x14ac:dyDescent="0.2">
      <c r="A21" s="52"/>
      <c r="B21" s="9">
        <v>38</v>
      </c>
      <c r="C21" s="9" t="s">
        <v>834</v>
      </c>
      <c r="D21" s="9" t="s">
        <v>24</v>
      </c>
      <c r="E21" s="9" t="s">
        <v>31</v>
      </c>
      <c r="F21" s="9" t="s">
        <v>26</v>
      </c>
      <c r="G21" s="10" t="s">
        <v>27</v>
      </c>
      <c r="H21" s="11"/>
      <c r="I21" s="11"/>
      <c r="J21" s="11"/>
      <c r="K21" s="11"/>
      <c r="L21" s="11"/>
      <c r="M21" s="11"/>
    </row>
    <row r="22" spans="1:13" x14ac:dyDescent="0.2">
      <c r="A22" s="49"/>
      <c r="B22" s="9">
        <v>38</v>
      </c>
      <c r="C22" s="9" t="s">
        <v>835</v>
      </c>
      <c r="D22" s="9" t="s">
        <v>24</v>
      </c>
      <c r="E22" s="9" t="s">
        <v>31</v>
      </c>
      <c r="F22" s="9" t="s">
        <v>26</v>
      </c>
      <c r="G22" s="10" t="s">
        <v>27</v>
      </c>
      <c r="H22" s="11"/>
      <c r="I22" s="11"/>
      <c r="J22" s="11"/>
      <c r="K22" s="11"/>
      <c r="L22" s="11"/>
      <c r="M22" s="11"/>
    </row>
    <row r="23" spans="1:13" x14ac:dyDescent="0.2">
      <c r="A23" s="48" t="s">
        <v>28</v>
      </c>
      <c r="B23" s="9">
        <v>38</v>
      </c>
      <c r="C23" s="9" t="s">
        <v>836</v>
      </c>
      <c r="D23" s="9" t="s">
        <v>24</v>
      </c>
      <c r="E23" s="9" t="s">
        <v>31</v>
      </c>
      <c r="F23" s="9" t="s">
        <v>26</v>
      </c>
      <c r="G23" s="10" t="s">
        <v>27</v>
      </c>
      <c r="H23" s="11"/>
      <c r="I23" s="11"/>
      <c r="J23" s="11"/>
      <c r="K23" s="11"/>
      <c r="L23" s="11"/>
      <c r="M23" s="11"/>
    </row>
    <row r="24" spans="1:13" x14ac:dyDescent="0.2">
      <c r="A24" s="50"/>
      <c r="B24" s="9">
        <v>38</v>
      </c>
      <c r="C24" s="9" t="s">
        <v>837</v>
      </c>
      <c r="D24" s="9" t="s">
        <v>24</v>
      </c>
      <c r="E24" s="9" t="s">
        <v>31</v>
      </c>
      <c r="F24" s="9" t="s">
        <v>26</v>
      </c>
      <c r="G24" s="10" t="s">
        <v>27</v>
      </c>
      <c r="H24" s="11"/>
      <c r="I24" s="11"/>
      <c r="J24" s="11"/>
      <c r="K24" s="11"/>
      <c r="L24" s="11"/>
      <c r="M24" s="11"/>
    </row>
    <row r="25" spans="1:13" x14ac:dyDescent="0.2">
      <c r="A25" s="51"/>
      <c r="B25" s="9">
        <v>38</v>
      </c>
      <c r="C25" s="9" t="s">
        <v>838</v>
      </c>
      <c r="D25" s="9" t="s">
        <v>30</v>
      </c>
      <c r="E25" s="9" t="s">
        <v>31</v>
      </c>
      <c r="F25" s="9" t="s">
        <v>26</v>
      </c>
      <c r="G25" s="10" t="s">
        <v>27</v>
      </c>
      <c r="H25" s="11"/>
      <c r="I25" s="11"/>
      <c r="J25" s="11"/>
      <c r="K25" s="11"/>
      <c r="L25" s="11"/>
      <c r="M25" s="11"/>
    </row>
    <row r="26" spans="1:13" x14ac:dyDescent="0.2">
      <c r="A26" s="50"/>
      <c r="B26" s="9">
        <v>38</v>
      </c>
      <c r="C26" s="9" t="s">
        <v>839</v>
      </c>
      <c r="D26" s="9" t="s">
        <v>24</v>
      </c>
      <c r="E26" s="9" t="s">
        <v>31</v>
      </c>
      <c r="F26" s="9" t="s">
        <v>26</v>
      </c>
      <c r="G26" s="10" t="s">
        <v>27</v>
      </c>
      <c r="H26" s="11"/>
      <c r="I26" s="11"/>
      <c r="J26" s="11"/>
      <c r="K26" s="11"/>
      <c r="L26" s="11"/>
      <c r="M26" s="11"/>
    </row>
    <row r="27" spans="1:13" x14ac:dyDescent="0.2">
      <c r="A27" s="51"/>
      <c r="B27" s="9">
        <v>38</v>
      </c>
      <c r="C27" s="9" t="s">
        <v>840</v>
      </c>
      <c r="D27" s="9" t="s">
        <v>24</v>
      </c>
      <c r="E27" s="9" t="s">
        <v>31</v>
      </c>
      <c r="F27" s="9" t="s">
        <v>26</v>
      </c>
      <c r="G27" s="10" t="s">
        <v>27</v>
      </c>
      <c r="H27" s="11"/>
      <c r="I27" s="11"/>
      <c r="J27" s="11"/>
      <c r="K27" s="11"/>
      <c r="L27" s="11"/>
      <c r="M27" s="11"/>
    </row>
    <row r="28" spans="1:13" x14ac:dyDescent="0.2">
      <c r="A28" s="50"/>
      <c r="B28" s="9">
        <v>38</v>
      </c>
      <c r="C28" s="9" t="s">
        <v>841</v>
      </c>
      <c r="D28" s="9" t="s">
        <v>24</v>
      </c>
      <c r="E28" s="9" t="s">
        <v>31</v>
      </c>
      <c r="F28" s="9" t="s">
        <v>26</v>
      </c>
      <c r="G28" s="10" t="s">
        <v>27</v>
      </c>
      <c r="H28" s="11"/>
      <c r="I28" s="11"/>
      <c r="J28" s="11"/>
      <c r="K28" s="11"/>
      <c r="L28" s="11"/>
      <c r="M28" s="11"/>
    </row>
    <row r="29" spans="1:13" x14ac:dyDescent="0.2">
      <c r="A29" s="51"/>
      <c r="B29" s="9">
        <v>38</v>
      </c>
      <c r="C29" s="9" t="s">
        <v>829</v>
      </c>
      <c r="D29" s="9" t="s">
        <v>24</v>
      </c>
      <c r="E29" s="9" t="s">
        <v>31</v>
      </c>
      <c r="F29" s="9" t="s">
        <v>26</v>
      </c>
      <c r="G29" s="10" t="s">
        <v>27</v>
      </c>
      <c r="H29" s="11"/>
      <c r="I29" s="11"/>
      <c r="J29" s="11"/>
      <c r="K29" s="11"/>
      <c r="L29" s="11"/>
      <c r="M29" s="11"/>
    </row>
    <row r="30" spans="1:13" x14ac:dyDescent="0.2">
      <c r="A30" s="50"/>
      <c r="B30" s="9">
        <v>38</v>
      </c>
      <c r="C30" s="9" t="s">
        <v>830</v>
      </c>
      <c r="D30" s="9" t="s">
        <v>24</v>
      </c>
      <c r="E30" s="9" t="s">
        <v>31</v>
      </c>
      <c r="F30" s="9" t="s">
        <v>26</v>
      </c>
      <c r="G30" s="10" t="s">
        <v>27</v>
      </c>
      <c r="H30" s="11"/>
      <c r="I30" s="11"/>
      <c r="J30" s="11"/>
      <c r="K30" s="11"/>
      <c r="L30" s="11"/>
      <c r="M30" s="11"/>
    </row>
    <row r="31" spans="1:13" x14ac:dyDescent="0.2">
      <c r="A31" s="51"/>
      <c r="B31" s="9">
        <v>38</v>
      </c>
      <c r="C31" s="9" t="s">
        <v>831</v>
      </c>
      <c r="D31" s="9" t="s">
        <v>30</v>
      </c>
      <c r="E31" s="9" t="s">
        <v>31</v>
      </c>
      <c r="F31" s="9" t="s">
        <v>26</v>
      </c>
      <c r="G31" s="10" t="s">
        <v>27</v>
      </c>
      <c r="H31" s="11"/>
      <c r="I31" s="11"/>
      <c r="J31" s="11"/>
      <c r="K31" s="11"/>
      <c r="L31" s="11"/>
      <c r="M31" s="11"/>
    </row>
    <row r="32" spans="1:13" x14ac:dyDescent="0.2">
      <c r="A32" s="50"/>
      <c r="B32" s="9">
        <v>38</v>
      </c>
      <c r="C32" s="9" t="s">
        <v>842</v>
      </c>
      <c r="D32" s="9" t="s">
        <v>24</v>
      </c>
      <c r="E32" s="9" t="s">
        <v>31</v>
      </c>
      <c r="F32" s="9" t="s">
        <v>26</v>
      </c>
      <c r="G32" s="10" t="s">
        <v>27</v>
      </c>
      <c r="H32" s="11"/>
      <c r="I32" s="11"/>
      <c r="J32" s="11"/>
      <c r="K32" s="11"/>
      <c r="L32" s="11"/>
      <c r="M32" s="11"/>
    </row>
    <row r="33" spans="1:13" x14ac:dyDescent="0.2">
      <c r="A33" s="51"/>
      <c r="B33" s="9">
        <v>38</v>
      </c>
      <c r="C33" s="9" t="s">
        <v>843</v>
      </c>
      <c r="D33" s="9" t="s">
        <v>24</v>
      </c>
      <c r="E33" s="9" t="s">
        <v>31</v>
      </c>
      <c r="F33" s="9" t="s">
        <v>26</v>
      </c>
      <c r="G33" s="10" t="s">
        <v>27</v>
      </c>
      <c r="H33" s="11"/>
      <c r="I33" s="11"/>
      <c r="J33" s="11"/>
      <c r="K33" s="11"/>
      <c r="L33" s="11"/>
      <c r="M33" s="11"/>
    </row>
    <row r="34" spans="1:13" x14ac:dyDescent="0.2">
      <c r="A34" s="49"/>
      <c r="B34" s="9">
        <v>38</v>
      </c>
      <c r="C34" s="9" t="s">
        <v>844</v>
      </c>
      <c r="D34" s="9" t="s">
        <v>24</v>
      </c>
      <c r="E34" s="9" t="s">
        <v>31</v>
      </c>
      <c r="F34" s="9" t="s">
        <v>26</v>
      </c>
      <c r="G34" s="10" t="s">
        <v>27</v>
      </c>
      <c r="H34" s="11"/>
      <c r="I34" s="11"/>
      <c r="J34" s="11"/>
      <c r="K34" s="11"/>
      <c r="L34" s="11"/>
      <c r="M34" s="11"/>
    </row>
    <row r="35" spans="1:13" x14ac:dyDescent="0.2">
      <c r="A35" s="48" t="s">
        <v>33</v>
      </c>
      <c r="B35" s="9">
        <v>38</v>
      </c>
      <c r="C35" s="9" t="s">
        <v>845</v>
      </c>
      <c r="D35" s="9" t="s">
        <v>24</v>
      </c>
      <c r="E35" s="9" t="s">
        <v>25</v>
      </c>
      <c r="F35" s="9" t="s">
        <v>26</v>
      </c>
      <c r="G35" s="10" t="s">
        <v>27</v>
      </c>
      <c r="H35" s="11"/>
      <c r="I35" s="11"/>
      <c r="J35" s="11"/>
      <c r="K35" s="11"/>
      <c r="L35" s="11"/>
      <c r="M35" s="11"/>
    </row>
    <row r="36" spans="1:13" x14ac:dyDescent="0.2">
      <c r="A36" s="50"/>
      <c r="B36" s="9">
        <v>38</v>
      </c>
      <c r="C36" s="9" t="s">
        <v>846</v>
      </c>
      <c r="D36" s="9" t="s">
        <v>24</v>
      </c>
      <c r="E36" s="9" t="s">
        <v>25</v>
      </c>
      <c r="F36" s="9" t="s">
        <v>26</v>
      </c>
      <c r="G36" s="10" t="s">
        <v>27</v>
      </c>
      <c r="H36" s="11"/>
      <c r="I36" s="11"/>
      <c r="J36" s="11"/>
      <c r="K36" s="11"/>
      <c r="L36" s="11"/>
      <c r="M36" s="11"/>
    </row>
    <row r="37" spans="1:13" ht="12.75" x14ac:dyDescent="0.2">
      <c r="A37" s="51"/>
      <c r="B37" s="9">
        <v>38</v>
      </c>
      <c r="C37" s="9" t="s">
        <v>823</v>
      </c>
      <c r="D37" s="9" t="s">
        <v>24</v>
      </c>
      <c r="E37" s="9" t="s">
        <v>25</v>
      </c>
      <c r="F37" s="9" t="s">
        <v>26</v>
      </c>
      <c r="G37" s="10" t="s">
        <v>27</v>
      </c>
      <c r="H37" s="11"/>
      <c r="I37" s="11"/>
      <c r="J37" s="11"/>
      <c r="K37" s="11"/>
      <c r="L37" s="11"/>
      <c r="M37" s="11"/>
    </row>
    <row r="38" spans="1:13" ht="12.75" x14ac:dyDescent="0.2">
      <c r="A38" s="50"/>
      <c r="B38" s="9">
        <v>38</v>
      </c>
      <c r="C38" s="9" t="s">
        <v>847</v>
      </c>
      <c r="D38" s="9" t="s">
        <v>24</v>
      </c>
      <c r="E38" s="9" t="s">
        <v>25</v>
      </c>
      <c r="F38" s="9" t="s">
        <v>26</v>
      </c>
      <c r="G38" s="10" t="s">
        <v>27</v>
      </c>
      <c r="H38" s="11"/>
      <c r="I38" s="11"/>
      <c r="J38" s="11"/>
      <c r="K38" s="11"/>
      <c r="L38" s="11"/>
      <c r="M38" s="11"/>
    </row>
    <row r="39" spans="1:13" ht="12.75" x14ac:dyDescent="0.2">
      <c r="A39" s="52"/>
      <c r="B39" s="9">
        <v>38</v>
      </c>
      <c r="C39" s="9" t="s">
        <v>848</v>
      </c>
      <c r="D39" s="9" t="s">
        <v>24</v>
      </c>
      <c r="E39" s="9" t="s">
        <v>25</v>
      </c>
      <c r="F39" s="9" t="s">
        <v>26</v>
      </c>
      <c r="G39" s="10" t="s">
        <v>27</v>
      </c>
      <c r="H39" s="11"/>
      <c r="I39" s="11"/>
      <c r="J39" s="11"/>
      <c r="K39" s="11"/>
      <c r="L39" s="11"/>
      <c r="M39" s="11"/>
    </row>
    <row r="40" spans="1:13" ht="12.75" x14ac:dyDescent="0.2">
      <c r="A40" s="52"/>
      <c r="B40" s="9">
        <v>38</v>
      </c>
      <c r="C40" s="9" t="s">
        <v>849</v>
      </c>
      <c r="D40" s="9" t="s">
        <v>24</v>
      </c>
      <c r="E40" s="9" t="s">
        <v>25</v>
      </c>
      <c r="F40" s="9" t="s">
        <v>26</v>
      </c>
      <c r="G40" s="10" t="s">
        <v>27</v>
      </c>
      <c r="H40" s="11"/>
      <c r="I40" s="11"/>
      <c r="J40" s="11"/>
      <c r="K40" s="11"/>
      <c r="L40" s="11"/>
      <c r="M40" s="11"/>
    </row>
    <row r="41" spans="1:13" ht="12.75" x14ac:dyDescent="0.2">
      <c r="A41" s="52"/>
      <c r="B41" s="9">
        <v>38</v>
      </c>
      <c r="C41" s="9" t="s">
        <v>826</v>
      </c>
      <c r="D41" s="9" t="s">
        <v>24</v>
      </c>
      <c r="E41" s="9" t="s">
        <v>25</v>
      </c>
      <c r="F41" s="9" t="s">
        <v>26</v>
      </c>
      <c r="G41" s="10" t="s">
        <v>27</v>
      </c>
      <c r="H41" s="11"/>
      <c r="I41" s="11"/>
      <c r="J41" s="11"/>
      <c r="K41" s="11"/>
      <c r="L41" s="11"/>
      <c r="M41" s="11"/>
    </row>
    <row r="42" spans="1:13" ht="12.75" x14ac:dyDescent="0.2">
      <c r="A42" s="52"/>
      <c r="B42" s="9">
        <v>38</v>
      </c>
      <c r="C42" s="9" t="s">
        <v>850</v>
      </c>
      <c r="D42" s="9" t="s">
        <v>24</v>
      </c>
      <c r="E42" s="9" t="s">
        <v>25</v>
      </c>
      <c r="F42" s="9" t="s">
        <v>26</v>
      </c>
      <c r="G42" s="10" t="s">
        <v>27</v>
      </c>
      <c r="H42" s="11"/>
      <c r="I42" s="11"/>
      <c r="J42" s="11"/>
      <c r="K42" s="11"/>
      <c r="L42" s="11"/>
      <c r="M42" s="11"/>
    </row>
    <row r="43" spans="1:13" ht="12.75" x14ac:dyDescent="0.2">
      <c r="A43" s="52"/>
      <c r="B43" s="9">
        <v>38</v>
      </c>
      <c r="C43" s="9" t="s">
        <v>851</v>
      </c>
      <c r="D43" s="9" t="s">
        <v>24</v>
      </c>
      <c r="E43" s="9" t="s">
        <v>25</v>
      </c>
      <c r="F43" s="9" t="s">
        <v>26</v>
      </c>
      <c r="G43" s="10" t="s">
        <v>27</v>
      </c>
      <c r="H43" s="11"/>
      <c r="I43" s="11"/>
      <c r="J43" s="11"/>
      <c r="K43" s="11"/>
      <c r="L43" s="11"/>
      <c r="M43" s="11"/>
    </row>
    <row r="44" spans="1:13" ht="12.75" x14ac:dyDescent="0.2">
      <c r="A44" s="52"/>
      <c r="B44" s="9">
        <v>38</v>
      </c>
      <c r="C44" s="9" t="s">
        <v>852</v>
      </c>
      <c r="D44" s="9" t="s">
        <v>24</v>
      </c>
      <c r="E44" s="9" t="s">
        <v>25</v>
      </c>
      <c r="F44" s="9" t="s">
        <v>26</v>
      </c>
      <c r="G44" s="10" t="s">
        <v>27</v>
      </c>
      <c r="H44" s="11"/>
      <c r="I44" s="11"/>
      <c r="J44" s="11"/>
      <c r="K44" s="11"/>
      <c r="L44" s="11"/>
      <c r="M44" s="11"/>
    </row>
    <row r="45" spans="1:13" ht="12.75" x14ac:dyDescent="0.2">
      <c r="A45" s="53"/>
      <c r="B45" s="9">
        <v>38</v>
      </c>
      <c r="C45" s="9" t="s">
        <v>853</v>
      </c>
      <c r="D45" s="9" t="s">
        <v>24</v>
      </c>
      <c r="E45" s="9" t="s">
        <v>25</v>
      </c>
      <c r="F45" s="9" t="s">
        <v>26</v>
      </c>
      <c r="G45" s="10" t="s">
        <v>27</v>
      </c>
      <c r="H45" s="11"/>
      <c r="I45" s="11"/>
      <c r="J45" s="11"/>
      <c r="K45" s="11"/>
      <c r="L45" s="11"/>
      <c r="M45" s="11"/>
    </row>
    <row r="46" spans="1:13" ht="12.75" x14ac:dyDescent="0.2">
      <c r="A46" s="48" t="s">
        <v>38</v>
      </c>
      <c r="B46" s="9">
        <v>38</v>
      </c>
      <c r="C46" s="9" t="s">
        <v>841</v>
      </c>
      <c r="D46" s="9" t="s">
        <v>24</v>
      </c>
      <c r="E46" s="9" t="s">
        <v>31</v>
      </c>
      <c r="F46" s="9" t="s">
        <v>26</v>
      </c>
      <c r="G46" s="10" t="s">
        <v>27</v>
      </c>
      <c r="H46" s="11"/>
      <c r="I46" s="11"/>
      <c r="J46" s="11"/>
      <c r="K46" s="11"/>
      <c r="L46" s="11"/>
      <c r="M46" s="11"/>
    </row>
    <row r="47" spans="1:13" ht="12.75" x14ac:dyDescent="0.2">
      <c r="A47" s="52"/>
      <c r="B47" s="9">
        <v>38</v>
      </c>
      <c r="C47" s="9" t="s">
        <v>829</v>
      </c>
      <c r="D47" s="9" t="s">
        <v>24</v>
      </c>
      <c r="E47" s="9" t="s">
        <v>31</v>
      </c>
      <c r="F47" s="9" t="s">
        <v>26</v>
      </c>
      <c r="G47" s="10" t="s">
        <v>27</v>
      </c>
      <c r="H47" s="11"/>
      <c r="I47" s="11"/>
      <c r="J47" s="11"/>
      <c r="K47" s="11"/>
      <c r="L47" s="11"/>
      <c r="M47" s="11"/>
    </row>
    <row r="48" spans="1:13" ht="12.75" x14ac:dyDescent="0.2">
      <c r="A48" s="52"/>
      <c r="B48" s="9">
        <v>38</v>
      </c>
      <c r="C48" s="9" t="s">
        <v>854</v>
      </c>
      <c r="D48" s="9" t="s">
        <v>24</v>
      </c>
      <c r="E48" s="9" t="s">
        <v>31</v>
      </c>
      <c r="F48" s="9" t="s">
        <v>26</v>
      </c>
      <c r="G48" s="10" t="s">
        <v>27</v>
      </c>
      <c r="H48" s="11"/>
      <c r="I48" s="11"/>
      <c r="J48" s="11"/>
      <c r="K48" s="11"/>
      <c r="L48" s="11"/>
      <c r="M48" s="11"/>
    </row>
    <row r="49" spans="1:13" ht="12.75" x14ac:dyDescent="0.2">
      <c r="A49" s="52"/>
      <c r="B49" s="9">
        <v>38</v>
      </c>
      <c r="C49" s="9" t="s">
        <v>855</v>
      </c>
      <c r="D49" s="9" t="s">
        <v>24</v>
      </c>
      <c r="E49" s="9" t="s">
        <v>31</v>
      </c>
      <c r="F49" s="9" t="s">
        <v>26</v>
      </c>
      <c r="G49" s="10" t="s">
        <v>27</v>
      </c>
      <c r="H49" s="11"/>
      <c r="I49" s="11"/>
      <c r="J49" s="11"/>
      <c r="K49" s="11"/>
      <c r="L49" s="11"/>
      <c r="M49" s="11"/>
    </row>
    <row r="50" spans="1:13" ht="12.75" x14ac:dyDescent="0.2">
      <c r="A50" s="52"/>
      <c r="B50" s="9">
        <v>38</v>
      </c>
      <c r="C50" s="9" t="s">
        <v>831</v>
      </c>
      <c r="D50" s="9" t="s">
        <v>24</v>
      </c>
      <c r="E50" s="9" t="s">
        <v>31</v>
      </c>
      <c r="F50" s="9" t="s">
        <v>26</v>
      </c>
      <c r="G50" s="10" t="s">
        <v>27</v>
      </c>
      <c r="H50" s="11"/>
      <c r="I50" s="11"/>
      <c r="J50" s="11"/>
      <c r="K50" s="11"/>
      <c r="L50" s="11"/>
      <c r="M50" s="11"/>
    </row>
    <row r="51" spans="1:13" ht="12.75" x14ac:dyDescent="0.2">
      <c r="A51" s="52"/>
      <c r="B51" s="9">
        <v>38</v>
      </c>
      <c r="C51" s="9" t="s">
        <v>842</v>
      </c>
      <c r="D51" s="9" t="s">
        <v>24</v>
      </c>
      <c r="E51" s="9" t="s">
        <v>31</v>
      </c>
      <c r="F51" s="9" t="s">
        <v>26</v>
      </c>
      <c r="G51" s="10" t="s">
        <v>27</v>
      </c>
      <c r="H51" s="11"/>
      <c r="I51" s="11"/>
      <c r="J51" s="11"/>
      <c r="K51" s="11"/>
      <c r="L51" s="11"/>
      <c r="M51" s="11"/>
    </row>
    <row r="52" spans="1:13" ht="12.75" x14ac:dyDescent="0.2">
      <c r="A52" s="52"/>
      <c r="B52" s="9">
        <v>38</v>
      </c>
      <c r="C52" s="9" t="s">
        <v>843</v>
      </c>
      <c r="D52" s="9" t="s">
        <v>24</v>
      </c>
      <c r="E52" s="9" t="s">
        <v>31</v>
      </c>
      <c r="F52" s="9" t="s">
        <v>26</v>
      </c>
      <c r="G52" s="10" t="s">
        <v>27</v>
      </c>
      <c r="H52" s="13"/>
      <c r="I52" s="13"/>
    </row>
    <row r="53" spans="1:13" ht="12.75" x14ac:dyDescent="0.2">
      <c r="A53" s="52"/>
      <c r="B53" s="9">
        <v>38</v>
      </c>
      <c r="C53" s="9" t="s">
        <v>856</v>
      </c>
      <c r="D53" s="9" t="s">
        <v>24</v>
      </c>
      <c r="E53" s="9" t="s">
        <v>31</v>
      </c>
      <c r="F53" s="9" t="s">
        <v>26</v>
      </c>
      <c r="G53" s="10" t="s">
        <v>27</v>
      </c>
      <c r="H53" s="13"/>
      <c r="I53" s="13"/>
    </row>
    <row r="54" spans="1:13" ht="12.75" x14ac:dyDescent="0.2">
      <c r="A54" s="52"/>
      <c r="B54" s="9">
        <v>38</v>
      </c>
      <c r="C54" s="9" t="s">
        <v>857</v>
      </c>
      <c r="D54" s="9" t="s">
        <v>24</v>
      </c>
      <c r="E54" s="9" t="s">
        <v>31</v>
      </c>
      <c r="F54" s="9" t="s">
        <v>26</v>
      </c>
      <c r="G54" s="10" t="s">
        <v>27</v>
      </c>
      <c r="H54" s="13"/>
      <c r="I54" s="13"/>
    </row>
    <row r="55" spans="1:13" ht="12.75" x14ac:dyDescent="0.2">
      <c r="A55" s="52"/>
      <c r="B55" s="9">
        <v>38</v>
      </c>
      <c r="C55" s="9" t="s">
        <v>858</v>
      </c>
      <c r="D55" s="9" t="s">
        <v>24</v>
      </c>
      <c r="E55" s="9" t="s">
        <v>31</v>
      </c>
      <c r="F55" s="9" t="s">
        <v>26</v>
      </c>
      <c r="G55" s="10" t="s">
        <v>27</v>
      </c>
      <c r="H55" s="13"/>
      <c r="I55" s="13"/>
    </row>
    <row r="56" spans="1:13" ht="12.75" x14ac:dyDescent="0.2">
      <c r="A56" s="53"/>
      <c r="B56" s="9">
        <v>38</v>
      </c>
      <c r="C56" s="9" t="s">
        <v>859</v>
      </c>
      <c r="D56" s="9" t="s">
        <v>24</v>
      </c>
      <c r="E56" s="9" t="s">
        <v>31</v>
      </c>
      <c r="F56" s="9" t="s">
        <v>26</v>
      </c>
      <c r="G56" s="10" t="s">
        <v>27</v>
      </c>
      <c r="H56" s="13"/>
      <c r="I56" s="13"/>
    </row>
    <row r="57" spans="1:13" ht="12.75" x14ac:dyDescent="0.2">
      <c r="A57" s="48" t="s">
        <v>46</v>
      </c>
      <c r="B57" s="9">
        <v>38</v>
      </c>
      <c r="C57" s="9" t="s">
        <v>856</v>
      </c>
      <c r="D57" s="9" t="s">
        <v>24</v>
      </c>
      <c r="E57" s="9" t="s">
        <v>31</v>
      </c>
      <c r="F57" s="9" t="s">
        <v>26</v>
      </c>
      <c r="G57" s="10" t="s">
        <v>27</v>
      </c>
      <c r="H57" s="13"/>
      <c r="I57" s="13"/>
    </row>
    <row r="58" spans="1:13" ht="12.75" x14ac:dyDescent="0.2">
      <c r="A58" s="52"/>
      <c r="B58" s="9">
        <v>38</v>
      </c>
      <c r="C58" s="9" t="s">
        <v>831</v>
      </c>
      <c r="D58" s="9" t="s">
        <v>24</v>
      </c>
      <c r="E58" s="9" t="s">
        <v>31</v>
      </c>
      <c r="F58" s="9" t="s">
        <v>26</v>
      </c>
      <c r="G58" s="10" t="s">
        <v>27</v>
      </c>
      <c r="H58" s="13"/>
      <c r="I58" s="13"/>
    </row>
    <row r="59" spans="1:13" ht="12.75" x14ac:dyDescent="0.2">
      <c r="A59" s="53"/>
      <c r="B59" s="9">
        <v>38</v>
      </c>
      <c r="C59" s="12" t="s">
        <v>855</v>
      </c>
      <c r="D59" s="12" t="s">
        <v>24</v>
      </c>
      <c r="E59" s="12" t="s">
        <v>25</v>
      </c>
      <c r="F59" s="12" t="s">
        <v>26</v>
      </c>
      <c r="G59" s="10" t="s">
        <v>27</v>
      </c>
      <c r="H59" s="13"/>
      <c r="I59" s="13"/>
    </row>
    <row r="60" spans="1:13" ht="12.75" x14ac:dyDescent="0.2">
      <c r="A60" s="48" t="s">
        <v>49</v>
      </c>
      <c r="B60" s="12">
        <v>38</v>
      </c>
      <c r="C60" s="12" t="s">
        <v>841</v>
      </c>
      <c r="D60" s="12" t="s">
        <v>24</v>
      </c>
      <c r="E60" s="12" t="s">
        <v>25</v>
      </c>
      <c r="F60" s="12" t="s">
        <v>26</v>
      </c>
      <c r="G60" s="10" t="s">
        <v>27</v>
      </c>
      <c r="H60" s="13"/>
      <c r="I60" s="13"/>
    </row>
    <row r="61" spans="1:13" ht="12.75" x14ac:dyDescent="0.2">
      <c r="A61" s="52"/>
      <c r="B61" s="12">
        <v>38</v>
      </c>
      <c r="C61" s="12" t="s">
        <v>829</v>
      </c>
      <c r="D61" s="12" t="s">
        <v>24</v>
      </c>
      <c r="E61" s="12" t="s">
        <v>25</v>
      </c>
      <c r="F61" s="12" t="s">
        <v>26</v>
      </c>
      <c r="G61" s="10" t="s">
        <v>27</v>
      </c>
      <c r="H61" s="13"/>
      <c r="I61" s="13"/>
    </row>
    <row r="62" spans="1:13" ht="12.75" x14ac:dyDescent="0.2">
      <c r="A62" s="52"/>
      <c r="B62" s="12">
        <v>38</v>
      </c>
      <c r="C62" s="12" t="s">
        <v>860</v>
      </c>
      <c r="D62" s="12" t="s">
        <v>24</v>
      </c>
      <c r="E62" s="12" t="s">
        <v>25</v>
      </c>
      <c r="F62" s="12" t="s">
        <v>26</v>
      </c>
      <c r="G62" s="10" t="s">
        <v>27</v>
      </c>
      <c r="H62" s="13"/>
      <c r="I62" s="13"/>
    </row>
    <row r="63" spans="1:13" ht="12.75" x14ac:dyDescent="0.2">
      <c r="A63" s="52"/>
      <c r="B63" s="12">
        <v>38</v>
      </c>
      <c r="C63" s="12" t="s">
        <v>855</v>
      </c>
      <c r="D63" s="12" t="s">
        <v>24</v>
      </c>
      <c r="E63" s="12" t="s">
        <v>25</v>
      </c>
      <c r="F63" s="12" t="s">
        <v>26</v>
      </c>
      <c r="G63" s="10" t="s">
        <v>27</v>
      </c>
      <c r="H63" s="13"/>
      <c r="I63" s="13"/>
    </row>
    <row r="64" spans="1:13" ht="12.75" x14ac:dyDescent="0.2">
      <c r="A64" s="52"/>
      <c r="B64" s="12">
        <v>38</v>
      </c>
      <c r="C64" s="12" t="s">
        <v>831</v>
      </c>
      <c r="D64" s="12" t="s">
        <v>24</v>
      </c>
      <c r="E64" s="12" t="s">
        <v>25</v>
      </c>
      <c r="F64" s="12" t="s">
        <v>26</v>
      </c>
      <c r="G64" s="10" t="s">
        <v>27</v>
      </c>
      <c r="H64" s="13"/>
      <c r="I64" s="13"/>
    </row>
    <row r="65" spans="1:9" ht="12.75" x14ac:dyDescent="0.2">
      <c r="A65" s="52"/>
      <c r="B65" s="12">
        <v>38</v>
      </c>
      <c r="C65" s="12" t="s">
        <v>842</v>
      </c>
      <c r="D65" s="12" t="s">
        <v>24</v>
      </c>
      <c r="E65" s="12" t="s">
        <v>25</v>
      </c>
      <c r="F65" s="12" t="s">
        <v>26</v>
      </c>
      <c r="G65" s="10" t="s">
        <v>27</v>
      </c>
      <c r="H65" s="13"/>
      <c r="I65" s="13"/>
    </row>
    <row r="66" spans="1:9" ht="12.75" x14ac:dyDescent="0.2">
      <c r="A66" s="52"/>
      <c r="B66" s="12">
        <v>38</v>
      </c>
      <c r="C66" s="12" t="s">
        <v>861</v>
      </c>
      <c r="D66" s="12" t="s">
        <v>24</v>
      </c>
      <c r="E66" s="12" t="s">
        <v>25</v>
      </c>
      <c r="F66" s="12" t="s">
        <v>26</v>
      </c>
      <c r="G66" s="10" t="s">
        <v>27</v>
      </c>
      <c r="H66" s="13"/>
      <c r="I66" s="13"/>
    </row>
    <row r="67" spans="1:9" ht="12.75" x14ac:dyDescent="0.2">
      <c r="A67" s="52"/>
      <c r="B67" s="12">
        <v>38</v>
      </c>
      <c r="C67" s="12" t="s">
        <v>862</v>
      </c>
      <c r="D67" s="12" t="s">
        <v>24</v>
      </c>
      <c r="E67" s="12" t="s">
        <v>25</v>
      </c>
      <c r="F67" s="12" t="s">
        <v>26</v>
      </c>
      <c r="G67" s="10" t="s">
        <v>27</v>
      </c>
      <c r="H67" s="13"/>
      <c r="I67" s="13"/>
    </row>
    <row r="68" spans="1:9" ht="12.75" x14ac:dyDescent="0.2">
      <c r="A68" s="52"/>
      <c r="B68" s="12">
        <v>38</v>
      </c>
      <c r="C68" s="12" t="s">
        <v>832</v>
      </c>
      <c r="D68" s="12" t="s">
        <v>24</v>
      </c>
      <c r="E68" s="12" t="s">
        <v>25</v>
      </c>
      <c r="F68" s="12" t="s">
        <v>26</v>
      </c>
      <c r="G68" s="10" t="s">
        <v>27</v>
      </c>
      <c r="H68" s="13"/>
      <c r="I68" s="13"/>
    </row>
    <row r="69" spans="1:9" ht="12.75" x14ac:dyDescent="0.2">
      <c r="A69" s="53"/>
      <c r="B69" s="12">
        <v>38</v>
      </c>
      <c r="C69" s="12" t="s">
        <v>857</v>
      </c>
      <c r="D69" s="12" t="s">
        <v>24</v>
      </c>
      <c r="E69" s="12" t="s">
        <v>25</v>
      </c>
      <c r="F69" s="12" t="s">
        <v>26</v>
      </c>
      <c r="G69" s="10" t="s">
        <v>27</v>
      </c>
      <c r="H69" s="13"/>
      <c r="I69" s="13"/>
    </row>
    <row r="70" spans="1:9" ht="12.75" x14ac:dyDescent="0.2">
      <c r="A70" s="48" t="s">
        <v>52</v>
      </c>
      <c r="B70" s="9">
        <v>38</v>
      </c>
      <c r="C70" s="9" t="s">
        <v>839</v>
      </c>
      <c r="D70" s="9" t="s">
        <v>24</v>
      </c>
      <c r="E70" s="9" t="s">
        <v>31</v>
      </c>
      <c r="F70" s="9" t="s">
        <v>47</v>
      </c>
      <c r="G70" s="10" t="s">
        <v>27</v>
      </c>
      <c r="H70" s="13"/>
      <c r="I70" s="13"/>
    </row>
    <row r="71" spans="1:9" ht="12.75" x14ac:dyDescent="0.2">
      <c r="A71" s="52"/>
      <c r="B71" s="9">
        <v>38</v>
      </c>
      <c r="C71" s="9" t="s">
        <v>841</v>
      </c>
      <c r="D71" s="9" t="s">
        <v>24</v>
      </c>
      <c r="E71" s="9" t="s">
        <v>31</v>
      </c>
      <c r="F71" s="9" t="s">
        <v>47</v>
      </c>
      <c r="G71" s="10" t="s">
        <v>27</v>
      </c>
      <c r="H71" s="13"/>
      <c r="I71" s="13"/>
    </row>
    <row r="72" spans="1:9" ht="12.75" x14ac:dyDescent="0.2">
      <c r="A72" s="52"/>
      <c r="B72" s="9">
        <v>38</v>
      </c>
      <c r="C72" s="9" t="s">
        <v>829</v>
      </c>
      <c r="D72" s="9" t="s">
        <v>24</v>
      </c>
      <c r="E72" s="9" t="s">
        <v>31</v>
      </c>
      <c r="F72" s="9" t="s">
        <v>47</v>
      </c>
      <c r="G72" s="10" t="s">
        <v>27</v>
      </c>
      <c r="H72" s="13"/>
      <c r="I72" s="13"/>
    </row>
    <row r="73" spans="1:9" ht="12.75" x14ac:dyDescent="0.2">
      <c r="A73" s="52"/>
      <c r="B73" s="9">
        <v>38</v>
      </c>
      <c r="C73" s="9" t="s">
        <v>863</v>
      </c>
      <c r="D73" s="9" t="s">
        <v>24</v>
      </c>
      <c r="E73" s="9" t="s">
        <v>31</v>
      </c>
      <c r="F73" s="9" t="s">
        <v>47</v>
      </c>
      <c r="G73" s="10" t="s">
        <v>27</v>
      </c>
      <c r="H73" s="13"/>
      <c r="I73" s="13"/>
    </row>
    <row r="74" spans="1:9" ht="12.75" x14ac:dyDescent="0.2">
      <c r="A74" s="52"/>
      <c r="B74" s="9">
        <v>38</v>
      </c>
      <c r="C74" s="9" t="s">
        <v>864</v>
      </c>
      <c r="D74" s="9" t="s">
        <v>24</v>
      </c>
      <c r="E74" s="9" t="s">
        <v>31</v>
      </c>
      <c r="F74" s="9" t="s">
        <v>47</v>
      </c>
      <c r="G74" s="10" t="s">
        <v>27</v>
      </c>
      <c r="H74" s="13"/>
      <c r="I74" s="13"/>
    </row>
    <row r="75" spans="1:9" ht="12.75" x14ac:dyDescent="0.2">
      <c r="A75" s="52"/>
      <c r="B75" s="9">
        <v>38</v>
      </c>
      <c r="C75" s="9" t="s">
        <v>831</v>
      </c>
      <c r="D75" s="9" t="s">
        <v>24</v>
      </c>
      <c r="E75" s="9" t="s">
        <v>31</v>
      </c>
      <c r="F75" s="9" t="s">
        <v>47</v>
      </c>
      <c r="G75" s="10" t="s">
        <v>27</v>
      </c>
      <c r="H75" s="13"/>
      <c r="I75" s="13"/>
    </row>
    <row r="76" spans="1:9" ht="12.75" x14ac:dyDescent="0.2">
      <c r="A76" s="52"/>
      <c r="B76" s="9">
        <v>38</v>
      </c>
      <c r="C76" s="9" t="s">
        <v>865</v>
      </c>
      <c r="D76" s="9" t="s">
        <v>24</v>
      </c>
      <c r="E76" s="9" t="s">
        <v>31</v>
      </c>
      <c r="F76" s="9" t="s">
        <v>47</v>
      </c>
      <c r="G76" s="10" t="s">
        <v>27</v>
      </c>
      <c r="H76" s="13"/>
      <c r="I76" s="13"/>
    </row>
    <row r="77" spans="1:9" ht="12.75" x14ac:dyDescent="0.2">
      <c r="A77" s="53"/>
      <c r="B77" s="9">
        <v>38</v>
      </c>
      <c r="C77" s="9" t="s">
        <v>856</v>
      </c>
      <c r="D77" s="9" t="s">
        <v>24</v>
      </c>
      <c r="E77" s="9" t="s">
        <v>31</v>
      </c>
      <c r="F77" s="9" t="s">
        <v>47</v>
      </c>
      <c r="G77" s="10" t="s">
        <v>27</v>
      </c>
      <c r="H77" s="13"/>
      <c r="I77" s="13"/>
    </row>
    <row r="78" spans="1:9" ht="12.75" x14ac:dyDescent="0.2">
      <c r="A78" s="48" t="s">
        <v>59</v>
      </c>
      <c r="B78" s="9">
        <v>38</v>
      </c>
      <c r="C78" s="9" t="s">
        <v>839</v>
      </c>
      <c r="D78" s="9" t="s">
        <v>24</v>
      </c>
      <c r="E78" s="9" t="s">
        <v>31</v>
      </c>
      <c r="F78" s="9" t="s">
        <v>47</v>
      </c>
      <c r="G78" s="10" t="s">
        <v>27</v>
      </c>
      <c r="H78" s="13"/>
      <c r="I78" s="13"/>
    </row>
    <row r="79" spans="1:9" ht="12.75" x14ac:dyDescent="0.2">
      <c r="A79" s="52"/>
      <c r="B79" s="9">
        <v>38</v>
      </c>
      <c r="C79" s="9" t="s">
        <v>866</v>
      </c>
      <c r="D79" s="9" t="s">
        <v>24</v>
      </c>
      <c r="E79" s="9" t="s">
        <v>31</v>
      </c>
      <c r="F79" s="9" t="s">
        <v>47</v>
      </c>
      <c r="G79" s="10" t="s">
        <v>27</v>
      </c>
      <c r="H79" s="13"/>
      <c r="I79" s="13"/>
    </row>
    <row r="80" spans="1:9" ht="12.75" x14ac:dyDescent="0.2">
      <c r="A80" s="52"/>
      <c r="B80" s="9">
        <v>38</v>
      </c>
      <c r="C80" s="9" t="s">
        <v>841</v>
      </c>
      <c r="D80" s="9" t="s">
        <v>24</v>
      </c>
      <c r="E80" s="9" t="s">
        <v>31</v>
      </c>
      <c r="F80" s="9" t="s">
        <v>26</v>
      </c>
      <c r="G80" s="10" t="s">
        <v>27</v>
      </c>
      <c r="H80" s="13"/>
      <c r="I80" s="13"/>
    </row>
    <row r="81" spans="1:9" ht="12.75" x14ac:dyDescent="0.2">
      <c r="A81" s="52"/>
      <c r="B81" s="9">
        <v>38</v>
      </c>
      <c r="C81" s="9" t="s">
        <v>859</v>
      </c>
      <c r="D81" s="9" t="s">
        <v>24</v>
      </c>
      <c r="E81" s="9" t="s">
        <v>31</v>
      </c>
      <c r="F81" s="9" t="s">
        <v>47</v>
      </c>
      <c r="G81" s="10" t="s">
        <v>27</v>
      </c>
      <c r="H81" s="13"/>
      <c r="I81" s="13"/>
    </row>
    <row r="82" spans="1:9" ht="12.75" x14ac:dyDescent="0.2">
      <c r="A82" s="53"/>
      <c r="B82" s="9">
        <v>38</v>
      </c>
      <c r="C82" s="9" t="s">
        <v>835</v>
      </c>
      <c r="D82" s="9" t="s">
        <v>24</v>
      </c>
      <c r="E82" s="9" t="s">
        <v>31</v>
      </c>
      <c r="F82" s="9" t="s">
        <v>47</v>
      </c>
      <c r="G82" s="10" t="s">
        <v>27</v>
      </c>
      <c r="H82" s="13"/>
      <c r="I82" s="13"/>
    </row>
    <row r="83" spans="1:9" ht="12.75" x14ac:dyDescent="0.2">
      <c r="A83" s="48" t="s">
        <v>101</v>
      </c>
      <c r="B83" s="9">
        <v>38</v>
      </c>
      <c r="C83" s="9" t="s">
        <v>867</v>
      </c>
      <c r="D83" s="9" t="s">
        <v>24</v>
      </c>
      <c r="E83" s="9" t="s">
        <v>31</v>
      </c>
      <c r="F83" s="9" t="s">
        <v>26</v>
      </c>
      <c r="G83" s="10" t="s">
        <v>27</v>
      </c>
      <c r="H83" s="13"/>
      <c r="I83" s="13"/>
    </row>
    <row r="84" spans="1:9" ht="12.75" x14ac:dyDescent="0.2">
      <c r="A84" s="52"/>
      <c r="B84" s="9">
        <v>38</v>
      </c>
      <c r="C84" s="9" t="s">
        <v>831</v>
      </c>
      <c r="D84" s="9" t="s">
        <v>24</v>
      </c>
      <c r="E84" s="9" t="s">
        <v>31</v>
      </c>
      <c r="F84" s="9" t="s">
        <v>26</v>
      </c>
      <c r="G84" s="10" t="s">
        <v>27</v>
      </c>
      <c r="H84" s="13"/>
      <c r="I84" s="13"/>
    </row>
    <row r="85" spans="1:9" ht="12.75" x14ac:dyDescent="0.2">
      <c r="A85" s="53"/>
      <c r="B85" s="9">
        <v>38</v>
      </c>
      <c r="C85" s="9" t="s">
        <v>859</v>
      </c>
      <c r="D85" s="9" t="s">
        <v>24</v>
      </c>
      <c r="E85" s="9" t="s">
        <v>31</v>
      </c>
      <c r="F85" s="9" t="s">
        <v>26</v>
      </c>
      <c r="G85" s="10" t="s">
        <v>27</v>
      </c>
      <c r="H85" s="13"/>
      <c r="I85" s="13"/>
    </row>
    <row r="86" spans="1:9" ht="12.75" x14ac:dyDescent="0.2">
      <c r="A86" s="48" t="s">
        <v>62</v>
      </c>
      <c r="B86" s="9">
        <v>38</v>
      </c>
      <c r="C86" s="9" t="s">
        <v>868</v>
      </c>
      <c r="D86" s="9" t="s">
        <v>30</v>
      </c>
      <c r="E86" s="9" t="s">
        <v>31</v>
      </c>
      <c r="F86" s="9" t="s">
        <v>26</v>
      </c>
      <c r="G86" s="10" t="s">
        <v>27</v>
      </c>
      <c r="H86" s="13"/>
      <c r="I86" s="13"/>
    </row>
    <row r="87" spans="1:9" ht="12.75" x14ac:dyDescent="0.2">
      <c r="A87" s="52"/>
      <c r="B87" s="9">
        <v>38</v>
      </c>
      <c r="C87" s="9" t="s">
        <v>829</v>
      </c>
      <c r="D87" s="9" t="s">
        <v>24</v>
      </c>
      <c r="E87" s="9" t="s">
        <v>31</v>
      </c>
      <c r="F87" s="9" t="s">
        <v>26</v>
      </c>
      <c r="G87" s="10" t="s">
        <v>27</v>
      </c>
      <c r="H87" s="13"/>
      <c r="I87" s="13"/>
    </row>
    <row r="88" spans="1:9" ht="12.75" x14ac:dyDescent="0.2">
      <c r="A88" s="52"/>
      <c r="B88" s="9">
        <v>38</v>
      </c>
      <c r="C88" s="9" t="s">
        <v>869</v>
      </c>
      <c r="D88" s="9" t="s">
        <v>24</v>
      </c>
      <c r="E88" s="9" t="s">
        <v>31</v>
      </c>
      <c r="F88" s="9" t="s">
        <v>26</v>
      </c>
      <c r="G88" s="10" t="s">
        <v>27</v>
      </c>
      <c r="H88" s="13"/>
      <c r="I88" s="13"/>
    </row>
    <row r="89" spans="1:9" ht="12.75" x14ac:dyDescent="0.2">
      <c r="A89" s="52"/>
      <c r="B89" s="9">
        <v>38</v>
      </c>
      <c r="C89" s="9" t="s">
        <v>831</v>
      </c>
      <c r="D89" s="9" t="s">
        <v>30</v>
      </c>
      <c r="E89" s="9" t="s">
        <v>31</v>
      </c>
      <c r="F89" s="9" t="s">
        <v>26</v>
      </c>
      <c r="G89" s="10" t="s">
        <v>27</v>
      </c>
      <c r="H89" s="13"/>
      <c r="I89" s="13"/>
    </row>
    <row r="90" spans="1:9" ht="12.75" x14ac:dyDescent="0.2">
      <c r="A90" s="52"/>
      <c r="B90" s="9">
        <v>38</v>
      </c>
      <c r="C90" s="9" t="s">
        <v>870</v>
      </c>
      <c r="D90" s="9" t="s">
        <v>24</v>
      </c>
      <c r="E90" s="9" t="s">
        <v>31</v>
      </c>
      <c r="F90" s="9" t="s">
        <v>26</v>
      </c>
      <c r="G90" s="10" t="s">
        <v>27</v>
      </c>
      <c r="H90" s="13"/>
      <c r="I90" s="13"/>
    </row>
    <row r="91" spans="1:9" ht="12.75" x14ac:dyDescent="0.2">
      <c r="A91" s="52"/>
      <c r="B91" s="9">
        <v>38</v>
      </c>
      <c r="C91" s="9" t="s">
        <v>858</v>
      </c>
      <c r="D91" s="9" t="s">
        <v>24</v>
      </c>
      <c r="E91" s="9" t="s">
        <v>31</v>
      </c>
      <c r="F91" s="9" t="s">
        <v>26</v>
      </c>
      <c r="G91" s="10" t="s">
        <v>27</v>
      </c>
      <c r="H91" s="13"/>
      <c r="I91" s="13"/>
    </row>
    <row r="92" spans="1:9" ht="12.75" x14ac:dyDescent="0.2">
      <c r="A92" s="52"/>
      <c r="B92" s="9">
        <v>38</v>
      </c>
      <c r="C92" s="9" t="s">
        <v>859</v>
      </c>
      <c r="D92" s="9" t="s">
        <v>24</v>
      </c>
      <c r="E92" s="9" t="s">
        <v>31</v>
      </c>
      <c r="F92" s="9" t="s">
        <v>26</v>
      </c>
      <c r="G92" s="10" t="s">
        <v>27</v>
      </c>
      <c r="H92" s="13"/>
      <c r="I92" s="13"/>
    </row>
    <row r="93" spans="1:9" ht="12.75" x14ac:dyDescent="0.2">
      <c r="A93" s="53"/>
      <c r="B93" s="9">
        <v>38</v>
      </c>
      <c r="C93" s="9" t="s">
        <v>835</v>
      </c>
      <c r="D93" s="9" t="s">
        <v>24</v>
      </c>
      <c r="E93" s="9" t="s">
        <v>31</v>
      </c>
      <c r="F93" s="9" t="s">
        <v>26</v>
      </c>
      <c r="G93" s="10" t="s">
        <v>27</v>
      </c>
      <c r="H93" s="13"/>
      <c r="I93" s="13"/>
    </row>
    <row r="94" spans="1:9" ht="12.75" x14ac:dyDescent="0.2">
      <c r="A94" s="48" t="s">
        <v>70</v>
      </c>
      <c r="B94" s="9">
        <v>38</v>
      </c>
      <c r="C94" s="9" t="s">
        <v>839</v>
      </c>
      <c r="D94" s="9" t="s">
        <v>24</v>
      </c>
      <c r="E94" s="9" t="s">
        <v>31</v>
      </c>
      <c r="F94" s="9" t="s">
        <v>47</v>
      </c>
      <c r="G94" s="10" t="s">
        <v>27</v>
      </c>
      <c r="H94" s="13"/>
      <c r="I94" s="13"/>
    </row>
    <row r="95" spans="1:9" ht="12.75" x14ac:dyDescent="0.2">
      <c r="A95" s="52"/>
      <c r="B95" s="9">
        <v>38</v>
      </c>
      <c r="C95" s="9" t="s">
        <v>840</v>
      </c>
      <c r="D95" s="9" t="s">
        <v>24</v>
      </c>
      <c r="E95" s="9" t="s">
        <v>31</v>
      </c>
      <c r="F95" s="9" t="s">
        <v>47</v>
      </c>
      <c r="G95" s="10" t="s">
        <v>27</v>
      </c>
      <c r="H95" s="13"/>
      <c r="I95" s="13"/>
    </row>
    <row r="96" spans="1:9" ht="12.75" x14ac:dyDescent="0.2">
      <c r="A96" s="52"/>
      <c r="B96" s="9">
        <v>38</v>
      </c>
      <c r="C96" s="9" t="s">
        <v>841</v>
      </c>
      <c r="D96" s="9" t="s">
        <v>24</v>
      </c>
      <c r="E96" s="9" t="s">
        <v>31</v>
      </c>
      <c r="F96" s="9" t="s">
        <v>47</v>
      </c>
      <c r="G96" s="10" t="s">
        <v>27</v>
      </c>
      <c r="H96" s="13"/>
      <c r="I96" s="13"/>
    </row>
    <row r="97" spans="1:9" ht="12.75" x14ac:dyDescent="0.2">
      <c r="A97" s="53"/>
      <c r="B97" s="9">
        <v>38</v>
      </c>
      <c r="C97" s="9" t="s">
        <v>797</v>
      </c>
      <c r="D97" s="9" t="s">
        <v>24</v>
      </c>
      <c r="E97" s="9" t="s">
        <v>31</v>
      </c>
      <c r="F97" s="9" t="s">
        <v>47</v>
      </c>
      <c r="G97" s="10" t="s">
        <v>27</v>
      </c>
      <c r="H97" s="13"/>
      <c r="I97" s="13"/>
    </row>
    <row r="98" spans="1:9" ht="12.75" x14ac:dyDescent="0.2">
      <c r="A98" s="48" t="s">
        <v>73</v>
      </c>
      <c r="B98" s="9">
        <v>38</v>
      </c>
      <c r="C98" s="9" t="s">
        <v>869</v>
      </c>
      <c r="D98" s="9" t="s">
        <v>24</v>
      </c>
      <c r="E98" s="9" t="s">
        <v>31</v>
      </c>
      <c r="F98" s="9" t="s">
        <v>26</v>
      </c>
      <c r="G98" s="10" t="s">
        <v>27</v>
      </c>
      <c r="H98" s="13"/>
      <c r="I98" s="13"/>
    </row>
    <row r="99" spans="1:9" ht="12.75" x14ac:dyDescent="0.2">
      <c r="A99" s="52"/>
      <c r="B99" s="9">
        <v>38</v>
      </c>
      <c r="C99" s="9" t="s">
        <v>871</v>
      </c>
      <c r="D99" s="9" t="s">
        <v>24</v>
      </c>
      <c r="E99" s="9" t="s">
        <v>31</v>
      </c>
      <c r="F99" s="9" t="s">
        <v>26</v>
      </c>
      <c r="G99" s="10" t="s">
        <v>27</v>
      </c>
      <c r="H99" s="13"/>
      <c r="I99" s="13"/>
    </row>
    <row r="100" spans="1:9" ht="12.75" x14ac:dyDescent="0.2">
      <c r="A100" s="52"/>
      <c r="B100" s="9">
        <v>38</v>
      </c>
      <c r="C100" s="9" t="s">
        <v>831</v>
      </c>
      <c r="D100" s="9" t="s">
        <v>24</v>
      </c>
      <c r="E100" s="9" t="s">
        <v>31</v>
      </c>
      <c r="F100" s="9" t="s">
        <v>26</v>
      </c>
      <c r="G100" s="10" t="s">
        <v>27</v>
      </c>
      <c r="H100" s="13"/>
      <c r="I100" s="13"/>
    </row>
    <row r="101" spans="1:9" ht="12.75" x14ac:dyDescent="0.2">
      <c r="A101" s="52"/>
      <c r="B101" s="9">
        <v>38</v>
      </c>
      <c r="C101" s="9" t="s">
        <v>856</v>
      </c>
      <c r="D101" s="9" t="s">
        <v>24</v>
      </c>
      <c r="E101" s="9" t="s">
        <v>31</v>
      </c>
      <c r="F101" s="9" t="s">
        <v>26</v>
      </c>
      <c r="G101" s="10" t="s">
        <v>27</v>
      </c>
      <c r="H101" s="13"/>
      <c r="I101" s="13"/>
    </row>
    <row r="102" spans="1:9" ht="12.75" x14ac:dyDescent="0.2">
      <c r="A102" s="52"/>
      <c r="B102" s="9">
        <v>38</v>
      </c>
      <c r="C102" s="9" t="s">
        <v>832</v>
      </c>
      <c r="D102" s="9" t="s">
        <v>24</v>
      </c>
      <c r="E102" s="9" t="s">
        <v>31</v>
      </c>
      <c r="F102" s="9" t="s">
        <v>26</v>
      </c>
      <c r="G102" s="10" t="s">
        <v>27</v>
      </c>
      <c r="H102" s="13"/>
      <c r="I102" s="13"/>
    </row>
    <row r="103" spans="1:9" ht="12.75" x14ac:dyDescent="0.2">
      <c r="A103" s="52"/>
      <c r="B103" s="9">
        <v>38</v>
      </c>
      <c r="C103" s="9" t="s">
        <v>835</v>
      </c>
      <c r="D103" s="9" t="s">
        <v>24</v>
      </c>
      <c r="E103" s="9" t="s">
        <v>31</v>
      </c>
      <c r="F103" s="9" t="s">
        <v>26</v>
      </c>
      <c r="G103" s="10" t="s">
        <v>27</v>
      </c>
      <c r="H103" s="13"/>
      <c r="I103" s="13"/>
    </row>
    <row r="104" spans="1:9" ht="12.75" x14ac:dyDescent="0.2">
      <c r="A104" s="53"/>
      <c r="B104" s="9">
        <v>38</v>
      </c>
      <c r="C104" s="9" t="s">
        <v>802</v>
      </c>
      <c r="D104" s="9" t="s">
        <v>24</v>
      </c>
      <c r="E104" s="9" t="s">
        <v>31</v>
      </c>
      <c r="F104" s="9" t="s">
        <v>26</v>
      </c>
      <c r="G104" s="10" t="s">
        <v>27</v>
      </c>
      <c r="H104" s="13"/>
      <c r="I104" s="13"/>
    </row>
    <row r="105" spans="1:9" ht="12.75" x14ac:dyDescent="0.2">
      <c r="A105" s="48" t="s">
        <v>872</v>
      </c>
      <c r="B105" s="9">
        <v>38</v>
      </c>
      <c r="C105" s="9" t="s">
        <v>839</v>
      </c>
      <c r="D105" s="9" t="s">
        <v>24</v>
      </c>
      <c r="E105" s="9" t="s">
        <v>31</v>
      </c>
      <c r="F105" s="9" t="s">
        <v>26</v>
      </c>
      <c r="G105" s="10" t="s">
        <v>27</v>
      </c>
      <c r="H105" s="13"/>
      <c r="I105" s="13"/>
    </row>
    <row r="106" spans="1:9" ht="12.75" x14ac:dyDescent="0.2">
      <c r="A106" s="52"/>
      <c r="B106" s="9">
        <v>38</v>
      </c>
      <c r="C106" s="9" t="s">
        <v>829</v>
      </c>
      <c r="D106" s="9" t="s">
        <v>24</v>
      </c>
      <c r="E106" s="9" t="s">
        <v>31</v>
      </c>
      <c r="F106" s="9" t="s">
        <v>26</v>
      </c>
      <c r="G106" s="10" t="s">
        <v>27</v>
      </c>
      <c r="H106" s="13"/>
      <c r="I106" s="13"/>
    </row>
    <row r="107" spans="1:9" ht="12.75" x14ac:dyDescent="0.2">
      <c r="A107" s="52"/>
      <c r="B107" s="9">
        <v>38</v>
      </c>
      <c r="C107" s="9" t="s">
        <v>871</v>
      </c>
      <c r="D107" s="9" t="s">
        <v>24</v>
      </c>
      <c r="E107" s="9" t="s">
        <v>31</v>
      </c>
      <c r="F107" s="9" t="s">
        <v>26</v>
      </c>
      <c r="G107" s="10" t="s">
        <v>27</v>
      </c>
      <c r="H107" s="13"/>
      <c r="I107" s="13"/>
    </row>
    <row r="108" spans="1:9" ht="12.75" x14ac:dyDescent="0.2">
      <c r="A108" s="52"/>
      <c r="B108" s="9">
        <v>38</v>
      </c>
      <c r="C108" s="9" t="s">
        <v>873</v>
      </c>
      <c r="D108" s="9" t="s">
        <v>24</v>
      </c>
      <c r="E108" s="9" t="s">
        <v>31</v>
      </c>
      <c r="F108" s="9" t="s">
        <v>26</v>
      </c>
      <c r="G108" s="10" t="s">
        <v>27</v>
      </c>
      <c r="H108" s="13"/>
      <c r="I108" s="13"/>
    </row>
    <row r="109" spans="1:9" ht="12.75" x14ac:dyDescent="0.2">
      <c r="A109" s="52"/>
      <c r="B109" s="9">
        <v>38</v>
      </c>
      <c r="C109" s="9" t="s">
        <v>831</v>
      </c>
      <c r="D109" s="9" t="s">
        <v>24</v>
      </c>
      <c r="E109" s="9" t="s">
        <v>31</v>
      </c>
      <c r="F109" s="9" t="s">
        <v>26</v>
      </c>
      <c r="G109" s="10" t="s">
        <v>27</v>
      </c>
      <c r="H109" s="13"/>
      <c r="I109" s="13"/>
    </row>
    <row r="110" spans="1:9" ht="12.75" x14ac:dyDescent="0.2">
      <c r="A110" s="52"/>
      <c r="B110" s="9">
        <v>38</v>
      </c>
      <c r="C110" s="9" t="s">
        <v>697</v>
      </c>
      <c r="D110" s="9" t="s">
        <v>24</v>
      </c>
      <c r="E110" s="9" t="s">
        <v>31</v>
      </c>
      <c r="F110" s="9" t="s">
        <v>26</v>
      </c>
      <c r="G110" s="10" t="s">
        <v>27</v>
      </c>
      <c r="H110" s="13"/>
      <c r="I110" s="13"/>
    </row>
    <row r="111" spans="1:9" ht="12.75" x14ac:dyDescent="0.2">
      <c r="A111" s="53"/>
      <c r="B111" s="9">
        <v>38</v>
      </c>
      <c r="C111" s="9" t="s">
        <v>835</v>
      </c>
      <c r="D111" s="9" t="s">
        <v>24</v>
      </c>
      <c r="E111" s="9" t="s">
        <v>31</v>
      </c>
      <c r="F111" s="9" t="s">
        <v>26</v>
      </c>
      <c r="G111" s="10" t="s">
        <v>27</v>
      </c>
      <c r="H111" s="13"/>
      <c r="I111" s="13"/>
    </row>
    <row r="112" spans="1:9" ht="12.75" x14ac:dyDescent="0.2">
      <c r="A112" s="48" t="s">
        <v>79</v>
      </c>
      <c r="B112" s="12">
        <v>38</v>
      </c>
      <c r="C112" s="12" t="s">
        <v>874</v>
      </c>
      <c r="D112" s="12" t="s">
        <v>24</v>
      </c>
      <c r="E112" s="12" t="s">
        <v>25</v>
      </c>
      <c r="F112" s="12" t="s">
        <v>26</v>
      </c>
      <c r="G112" s="10" t="s">
        <v>27</v>
      </c>
      <c r="H112" s="13"/>
      <c r="I112" s="13"/>
    </row>
    <row r="113" spans="1:9" ht="12.75" x14ac:dyDescent="0.2">
      <c r="A113" s="52"/>
      <c r="B113" s="12">
        <v>38</v>
      </c>
      <c r="C113" s="12" t="s">
        <v>875</v>
      </c>
      <c r="D113" s="12" t="s">
        <v>24</v>
      </c>
      <c r="E113" s="12" t="s">
        <v>25</v>
      </c>
      <c r="F113" s="12" t="s">
        <v>26</v>
      </c>
      <c r="G113" s="10" t="s">
        <v>27</v>
      </c>
      <c r="H113" s="13"/>
      <c r="I113" s="13"/>
    </row>
    <row r="114" spans="1:9" ht="12.75" x14ac:dyDescent="0.2">
      <c r="A114" s="52"/>
      <c r="B114" s="12">
        <v>38</v>
      </c>
      <c r="C114" s="12" t="s">
        <v>829</v>
      </c>
      <c r="D114" s="12" t="s">
        <v>24</v>
      </c>
      <c r="E114" s="12" t="s">
        <v>25</v>
      </c>
      <c r="F114" s="12" t="s">
        <v>26</v>
      </c>
      <c r="G114" s="10" t="s">
        <v>27</v>
      </c>
      <c r="H114" s="13"/>
      <c r="I114" s="13"/>
    </row>
    <row r="115" spans="1:9" ht="12.75" x14ac:dyDescent="0.2">
      <c r="A115" s="52"/>
      <c r="B115" s="12">
        <v>38</v>
      </c>
      <c r="C115" s="12" t="s">
        <v>873</v>
      </c>
      <c r="D115" s="12" t="s">
        <v>24</v>
      </c>
      <c r="E115" s="12" t="s">
        <v>25</v>
      </c>
      <c r="F115" s="12" t="s">
        <v>26</v>
      </c>
      <c r="G115" s="10" t="s">
        <v>27</v>
      </c>
      <c r="H115" s="13"/>
      <c r="I115" s="13"/>
    </row>
    <row r="116" spans="1:9" ht="12.75" x14ac:dyDescent="0.2">
      <c r="A116" s="52"/>
      <c r="B116" s="12">
        <v>38</v>
      </c>
      <c r="C116" s="12" t="s">
        <v>831</v>
      </c>
      <c r="D116" s="12" t="s">
        <v>24</v>
      </c>
      <c r="E116" s="12" t="s">
        <v>25</v>
      </c>
      <c r="F116" s="12" t="s">
        <v>26</v>
      </c>
      <c r="G116" s="10" t="s">
        <v>27</v>
      </c>
      <c r="H116" s="13"/>
      <c r="I116" s="13"/>
    </row>
    <row r="117" spans="1:9" ht="12.75" x14ac:dyDescent="0.2">
      <c r="A117" s="52"/>
      <c r="B117" s="12">
        <v>38</v>
      </c>
      <c r="C117" s="12" t="s">
        <v>869</v>
      </c>
      <c r="D117" s="12" t="s">
        <v>24</v>
      </c>
      <c r="E117" s="12" t="s">
        <v>25</v>
      </c>
      <c r="F117" s="12" t="s">
        <v>26</v>
      </c>
      <c r="G117" s="10" t="s">
        <v>27</v>
      </c>
      <c r="H117" s="13"/>
      <c r="I117" s="13"/>
    </row>
    <row r="118" spans="1:9" ht="12.75" x14ac:dyDescent="0.2">
      <c r="A118" s="52"/>
      <c r="B118" s="12">
        <v>38</v>
      </c>
      <c r="C118" s="12" t="s">
        <v>876</v>
      </c>
      <c r="D118" s="12" t="s">
        <v>24</v>
      </c>
      <c r="E118" s="12" t="s">
        <v>25</v>
      </c>
      <c r="F118" s="12" t="s">
        <v>26</v>
      </c>
      <c r="G118" s="10" t="s">
        <v>27</v>
      </c>
      <c r="H118" s="13"/>
      <c r="I118" s="13"/>
    </row>
    <row r="119" spans="1:9" ht="12.75" x14ac:dyDescent="0.2">
      <c r="A119" s="52"/>
      <c r="B119" s="12">
        <v>38</v>
      </c>
      <c r="C119" s="12" t="s">
        <v>877</v>
      </c>
      <c r="D119" s="12" t="s">
        <v>24</v>
      </c>
      <c r="E119" s="12" t="s">
        <v>25</v>
      </c>
      <c r="F119" s="12" t="s">
        <v>26</v>
      </c>
      <c r="G119" s="10" t="s">
        <v>27</v>
      </c>
      <c r="H119" s="13"/>
      <c r="I119" s="13"/>
    </row>
    <row r="120" spans="1:9" ht="12.75" x14ac:dyDescent="0.2">
      <c r="A120" s="52"/>
      <c r="B120" s="12">
        <v>38</v>
      </c>
      <c r="C120" s="12" t="s">
        <v>878</v>
      </c>
      <c r="D120" s="12" t="s">
        <v>24</v>
      </c>
      <c r="E120" s="12" t="s">
        <v>25</v>
      </c>
      <c r="F120" s="12" t="s">
        <v>26</v>
      </c>
      <c r="G120" s="10" t="s">
        <v>27</v>
      </c>
      <c r="H120" s="13"/>
      <c r="I120" s="13"/>
    </row>
    <row r="121" spans="1:9" ht="12.75" x14ac:dyDescent="0.2">
      <c r="A121" s="52"/>
      <c r="B121" s="12">
        <v>38</v>
      </c>
      <c r="C121" s="12" t="s">
        <v>867</v>
      </c>
      <c r="D121" s="12" t="s">
        <v>24</v>
      </c>
      <c r="E121" s="12" t="s">
        <v>25</v>
      </c>
      <c r="F121" s="12" t="s">
        <v>26</v>
      </c>
      <c r="G121" s="10" t="s">
        <v>27</v>
      </c>
      <c r="H121" s="13"/>
      <c r="I121" s="13"/>
    </row>
    <row r="122" spans="1:9" ht="12.75" x14ac:dyDescent="0.2">
      <c r="A122" s="53"/>
      <c r="B122" s="12">
        <v>38</v>
      </c>
      <c r="C122" s="12" t="s">
        <v>835</v>
      </c>
      <c r="D122" s="12" t="s">
        <v>24</v>
      </c>
      <c r="E122" s="12" t="s">
        <v>25</v>
      </c>
      <c r="F122" s="12" t="s">
        <v>26</v>
      </c>
      <c r="G122" s="10" t="s">
        <v>27</v>
      </c>
      <c r="H122" s="13"/>
      <c r="I122" s="13"/>
    </row>
    <row r="123" spans="1:9" ht="12.75" x14ac:dyDescent="0.2">
      <c r="A123" s="48" t="s">
        <v>83</v>
      </c>
      <c r="B123" s="9">
        <v>38</v>
      </c>
      <c r="C123" s="9" t="s">
        <v>875</v>
      </c>
      <c r="D123" s="9" t="s">
        <v>24</v>
      </c>
      <c r="E123" s="9" t="s">
        <v>31</v>
      </c>
      <c r="F123" s="9" t="s">
        <v>26</v>
      </c>
      <c r="G123" s="10" t="s">
        <v>27</v>
      </c>
      <c r="H123" s="13"/>
      <c r="I123" s="13"/>
    </row>
    <row r="124" spans="1:9" ht="12.75" x14ac:dyDescent="0.2">
      <c r="A124" s="52"/>
      <c r="B124" s="9">
        <v>38</v>
      </c>
      <c r="C124" s="9" t="s">
        <v>879</v>
      </c>
      <c r="D124" s="9" t="s">
        <v>24</v>
      </c>
      <c r="E124" s="9" t="s">
        <v>31</v>
      </c>
      <c r="F124" s="9" t="s">
        <v>26</v>
      </c>
      <c r="G124" s="10" t="s">
        <v>27</v>
      </c>
      <c r="H124" s="13"/>
      <c r="I124" s="13"/>
    </row>
    <row r="125" spans="1:9" ht="12.75" x14ac:dyDescent="0.2">
      <c r="A125" s="52"/>
      <c r="B125" s="9">
        <v>38</v>
      </c>
      <c r="C125" s="9" t="s">
        <v>831</v>
      </c>
      <c r="D125" s="9" t="s">
        <v>30</v>
      </c>
      <c r="E125" s="9" t="s">
        <v>31</v>
      </c>
      <c r="F125" s="9" t="s">
        <v>26</v>
      </c>
      <c r="G125" s="10" t="s">
        <v>27</v>
      </c>
      <c r="H125" s="13"/>
      <c r="I125" s="13"/>
    </row>
    <row r="126" spans="1:9" ht="12.75" x14ac:dyDescent="0.2">
      <c r="A126" s="52"/>
      <c r="B126" s="9">
        <v>38</v>
      </c>
      <c r="C126" s="9" t="s">
        <v>880</v>
      </c>
      <c r="D126" s="9" t="s">
        <v>24</v>
      </c>
      <c r="E126" s="9" t="s">
        <v>31</v>
      </c>
      <c r="F126" s="9" t="s">
        <v>26</v>
      </c>
      <c r="G126" s="10" t="s">
        <v>27</v>
      </c>
      <c r="H126" s="13"/>
      <c r="I126" s="13"/>
    </row>
    <row r="127" spans="1:9" ht="12.75" x14ac:dyDescent="0.2">
      <c r="A127" s="52"/>
      <c r="B127" s="9">
        <v>38</v>
      </c>
      <c r="C127" s="9" t="s">
        <v>881</v>
      </c>
      <c r="D127" s="9" t="s">
        <v>24</v>
      </c>
      <c r="E127" s="9" t="s">
        <v>31</v>
      </c>
      <c r="F127" s="9" t="s">
        <v>26</v>
      </c>
      <c r="G127" s="10" t="s">
        <v>27</v>
      </c>
      <c r="H127" s="13"/>
      <c r="I127" s="13"/>
    </row>
    <row r="128" spans="1:9" ht="12.75" x14ac:dyDescent="0.2">
      <c r="A128" s="52"/>
      <c r="B128" s="9">
        <v>38</v>
      </c>
      <c r="C128" s="9" t="s">
        <v>882</v>
      </c>
      <c r="D128" s="9" t="s">
        <v>24</v>
      </c>
      <c r="E128" s="9" t="s">
        <v>31</v>
      </c>
      <c r="F128" s="9" t="s">
        <v>26</v>
      </c>
      <c r="G128" s="10" t="s">
        <v>27</v>
      </c>
      <c r="H128" s="13"/>
      <c r="I128" s="13"/>
    </row>
    <row r="129" spans="1:9" ht="12.75" x14ac:dyDescent="0.2">
      <c r="A129" s="52"/>
      <c r="B129" s="9">
        <v>38</v>
      </c>
      <c r="C129" s="9" t="s">
        <v>883</v>
      </c>
      <c r="D129" s="9" t="s">
        <v>24</v>
      </c>
      <c r="E129" s="9" t="s">
        <v>31</v>
      </c>
      <c r="F129" s="9" t="s">
        <v>26</v>
      </c>
      <c r="G129" s="10" t="s">
        <v>27</v>
      </c>
      <c r="H129" s="13"/>
      <c r="I129" s="13"/>
    </row>
    <row r="130" spans="1:9" ht="12.75" x14ac:dyDescent="0.2">
      <c r="A130" s="52"/>
      <c r="B130" s="9">
        <v>38</v>
      </c>
      <c r="C130" s="9" t="s">
        <v>884</v>
      </c>
      <c r="D130" s="9" t="s">
        <v>24</v>
      </c>
      <c r="E130" s="9" t="s">
        <v>31</v>
      </c>
      <c r="F130" s="9" t="s">
        <v>26</v>
      </c>
      <c r="G130" s="10" t="s">
        <v>27</v>
      </c>
      <c r="H130" s="13"/>
      <c r="I130" s="13"/>
    </row>
    <row r="131" spans="1:9" ht="12.75" x14ac:dyDescent="0.2">
      <c r="A131" s="53"/>
      <c r="B131" s="9">
        <v>38</v>
      </c>
      <c r="C131" s="9" t="s">
        <v>885</v>
      </c>
      <c r="D131" s="9" t="s">
        <v>24</v>
      </c>
      <c r="E131" s="9" t="s">
        <v>31</v>
      </c>
      <c r="F131" s="9" t="s">
        <v>26</v>
      </c>
      <c r="G131" s="10" t="s">
        <v>27</v>
      </c>
      <c r="H131" s="13"/>
      <c r="I131" s="13"/>
    </row>
    <row r="132" spans="1:9" ht="12.75" x14ac:dyDescent="0.2">
      <c r="A132" s="48" t="s">
        <v>85</v>
      </c>
      <c r="B132" s="9">
        <v>38</v>
      </c>
      <c r="C132" s="9" t="s">
        <v>875</v>
      </c>
      <c r="D132" s="9" t="s">
        <v>24</v>
      </c>
      <c r="E132" s="9" t="s">
        <v>31</v>
      </c>
      <c r="F132" s="9" t="s">
        <v>26</v>
      </c>
      <c r="G132" s="10" t="s">
        <v>27</v>
      </c>
      <c r="H132" s="13"/>
      <c r="I132" s="13"/>
    </row>
    <row r="133" spans="1:9" ht="12.75" x14ac:dyDescent="0.2">
      <c r="A133" s="52"/>
      <c r="B133" s="9">
        <v>38</v>
      </c>
      <c r="C133" s="9" t="s">
        <v>880</v>
      </c>
      <c r="D133" s="9" t="s">
        <v>24</v>
      </c>
      <c r="E133" s="9" t="s">
        <v>31</v>
      </c>
      <c r="F133" s="9" t="s">
        <v>26</v>
      </c>
      <c r="G133" s="10" t="s">
        <v>27</v>
      </c>
      <c r="H133" s="13"/>
      <c r="I133" s="13"/>
    </row>
    <row r="134" spans="1:9" ht="12.75" x14ac:dyDescent="0.2">
      <c r="A134" s="52"/>
      <c r="B134" s="9">
        <v>38</v>
      </c>
      <c r="C134" s="9" t="s">
        <v>831</v>
      </c>
      <c r="D134" s="9" t="s">
        <v>30</v>
      </c>
      <c r="E134" s="9" t="s">
        <v>31</v>
      </c>
      <c r="F134" s="9" t="s">
        <v>26</v>
      </c>
      <c r="G134" s="10" t="s">
        <v>27</v>
      </c>
      <c r="H134" s="13"/>
      <c r="I134" s="13"/>
    </row>
    <row r="135" spans="1:9" ht="12.75" x14ac:dyDescent="0.2">
      <c r="A135" s="52"/>
      <c r="B135" s="9">
        <v>38</v>
      </c>
      <c r="C135" s="9" t="s">
        <v>881</v>
      </c>
      <c r="D135" s="9" t="s">
        <v>24</v>
      </c>
      <c r="E135" s="9" t="s">
        <v>31</v>
      </c>
      <c r="F135" s="9" t="s">
        <v>26</v>
      </c>
      <c r="G135" s="10" t="s">
        <v>27</v>
      </c>
      <c r="H135" s="13"/>
      <c r="I135" s="13"/>
    </row>
    <row r="136" spans="1:9" ht="12.75" x14ac:dyDescent="0.2">
      <c r="A136" s="53"/>
      <c r="B136" s="9">
        <v>38</v>
      </c>
      <c r="C136" s="9" t="s">
        <v>886</v>
      </c>
      <c r="D136" s="9" t="s">
        <v>24</v>
      </c>
      <c r="E136" s="9" t="s">
        <v>31</v>
      </c>
      <c r="F136" s="9" t="s">
        <v>26</v>
      </c>
      <c r="G136" s="10" t="s">
        <v>27</v>
      </c>
      <c r="H136" s="13"/>
      <c r="I136" s="13"/>
    </row>
  </sheetData>
  <mergeCells count="18">
    <mergeCell ref="A132:A136"/>
    <mergeCell ref="A60:A69"/>
    <mergeCell ref="A70:A77"/>
    <mergeCell ref="A78:A82"/>
    <mergeCell ref="A83:A85"/>
    <mergeCell ref="A86:A93"/>
    <mergeCell ref="A94:A97"/>
    <mergeCell ref="A98:A104"/>
    <mergeCell ref="A46:A56"/>
    <mergeCell ref="A57:A59"/>
    <mergeCell ref="A105:A111"/>
    <mergeCell ref="A112:A122"/>
    <mergeCell ref="A123:A131"/>
    <mergeCell ref="A1:G1"/>
    <mergeCell ref="A9:A14"/>
    <mergeCell ref="A15:A22"/>
    <mergeCell ref="A23:A34"/>
    <mergeCell ref="A35:A4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M133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13" ht="15.75" customHeight="1" x14ac:dyDescent="0.25">
      <c r="A1" s="54" t="s">
        <v>0</v>
      </c>
      <c r="B1" s="55"/>
      <c r="C1" s="55"/>
      <c r="D1" s="55"/>
      <c r="E1" s="55"/>
      <c r="F1" s="55"/>
      <c r="G1" s="56"/>
    </row>
    <row r="2" spans="1:13" x14ac:dyDescent="0.2">
      <c r="A2" s="1"/>
      <c r="B2" s="2"/>
      <c r="C2" s="2"/>
      <c r="D2" s="2"/>
      <c r="E2" s="2"/>
      <c r="F2" s="2"/>
      <c r="G2" s="2"/>
    </row>
    <row r="3" spans="1:13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13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13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13" x14ac:dyDescent="0.2">
      <c r="A6" s="1"/>
      <c r="B6" s="2"/>
      <c r="C6" s="2"/>
      <c r="D6" s="2"/>
      <c r="E6" s="2"/>
      <c r="F6" s="2"/>
      <c r="G6" s="2"/>
    </row>
    <row r="7" spans="1:13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13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13" x14ac:dyDescent="0.2">
      <c r="A9" s="48" t="s">
        <v>20</v>
      </c>
      <c r="B9" s="12">
        <v>39</v>
      </c>
      <c r="C9" s="12" t="s">
        <v>887</v>
      </c>
      <c r="D9" s="12" t="s">
        <v>24</v>
      </c>
      <c r="E9" s="12" t="s">
        <v>25</v>
      </c>
      <c r="F9" s="12" t="s">
        <v>26</v>
      </c>
      <c r="G9" s="10" t="s">
        <v>27</v>
      </c>
      <c r="H9" s="11"/>
      <c r="I9" s="11"/>
      <c r="J9" s="11"/>
      <c r="K9" s="11"/>
      <c r="L9" s="11"/>
      <c r="M9" s="11"/>
    </row>
    <row r="10" spans="1:13" x14ac:dyDescent="0.2">
      <c r="A10" s="52"/>
      <c r="B10" s="12">
        <v>39</v>
      </c>
      <c r="C10" s="12" t="s">
        <v>888</v>
      </c>
      <c r="D10" s="12" t="s">
        <v>24</v>
      </c>
      <c r="E10" s="12" t="s">
        <v>25</v>
      </c>
      <c r="F10" s="12" t="s">
        <v>26</v>
      </c>
      <c r="G10" s="10" t="s">
        <v>27</v>
      </c>
      <c r="H10" s="11"/>
      <c r="I10" s="11"/>
      <c r="J10" s="11"/>
      <c r="K10" s="11"/>
      <c r="L10" s="11"/>
      <c r="M10" s="11"/>
    </row>
    <row r="11" spans="1:13" x14ac:dyDescent="0.2">
      <c r="A11" s="52"/>
      <c r="B11" s="12">
        <v>39</v>
      </c>
      <c r="C11" s="12" t="s">
        <v>889</v>
      </c>
      <c r="D11" s="12" t="s">
        <v>24</v>
      </c>
      <c r="E11" s="12" t="s">
        <v>25</v>
      </c>
      <c r="F11" s="12" t="s">
        <v>26</v>
      </c>
      <c r="G11" s="10" t="s">
        <v>27</v>
      </c>
      <c r="H11" s="11"/>
      <c r="I11" s="11"/>
      <c r="J11" s="11"/>
      <c r="K11" s="11"/>
      <c r="L11" s="11"/>
      <c r="M11" s="11"/>
    </row>
    <row r="12" spans="1:13" x14ac:dyDescent="0.2">
      <c r="A12" s="52"/>
      <c r="B12" s="12">
        <v>39</v>
      </c>
      <c r="C12" s="12" t="s">
        <v>890</v>
      </c>
      <c r="D12" s="12" t="s">
        <v>24</v>
      </c>
      <c r="E12" s="12" t="s">
        <v>25</v>
      </c>
      <c r="F12" s="12" t="s">
        <v>26</v>
      </c>
      <c r="G12" s="10" t="s">
        <v>27</v>
      </c>
      <c r="H12" s="11"/>
      <c r="I12" s="11"/>
      <c r="J12" s="11"/>
      <c r="K12" s="11"/>
      <c r="L12" s="11"/>
      <c r="M12" s="11"/>
    </row>
    <row r="13" spans="1:13" x14ac:dyDescent="0.2">
      <c r="A13" s="52"/>
      <c r="B13" s="12">
        <v>39</v>
      </c>
      <c r="C13" s="12" t="s">
        <v>891</v>
      </c>
      <c r="D13" s="12" t="s">
        <v>24</v>
      </c>
      <c r="E13" s="12" t="s">
        <v>25</v>
      </c>
      <c r="F13" s="12" t="s">
        <v>26</v>
      </c>
      <c r="G13" s="10" t="s">
        <v>27</v>
      </c>
      <c r="H13" s="11"/>
      <c r="I13" s="11"/>
      <c r="J13" s="11"/>
      <c r="K13" s="11"/>
      <c r="L13" s="11"/>
      <c r="M13" s="11"/>
    </row>
    <row r="14" spans="1:13" x14ac:dyDescent="0.2">
      <c r="A14" s="52"/>
      <c r="B14" s="12">
        <v>39</v>
      </c>
      <c r="C14" s="12" t="s">
        <v>892</v>
      </c>
      <c r="D14" s="12" t="s">
        <v>24</v>
      </c>
      <c r="E14" s="12" t="s">
        <v>25</v>
      </c>
      <c r="F14" s="12" t="s">
        <v>26</v>
      </c>
      <c r="G14" s="10" t="s">
        <v>27</v>
      </c>
      <c r="H14" s="11"/>
      <c r="I14" s="11"/>
      <c r="J14" s="11"/>
      <c r="K14" s="11"/>
      <c r="L14" s="11"/>
      <c r="M14" s="11"/>
    </row>
    <row r="15" spans="1:13" x14ac:dyDescent="0.2">
      <c r="A15" s="53"/>
      <c r="B15" s="12">
        <v>39</v>
      </c>
      <c r="C15" s="12" t="s">
        <v>893</v>
      </c>
      <c r="D15" s="12" t="s">
        <v>24</v>
      </c>
      <c r="E15" s="12" t="s">
        <v>25</v>
      </c>
      <c r="F15" s="12" t="s">
        <v>26</v>
      </c>
      <c r="G15" s="10" t="s">
        <v>27</v>
      </c>
      <c r="H15" s="11"/>
      <c r="I15" s="11"/>
      <c r="J15" s="11"/>
      <c r="K15" s="11"/>
      <c r="L15" s="11"/>
      <c r="M15" s="11"/>
    </row>
    <row r="16" spans="1:13" x14ac:dyDescent="0.2">
      <c r="A16" s="48" t="s">
        <v>22</v>
      </c>
      <c r="B16" s="9">
        <v>39</v>
      </c>
      <c r="C16" s="9" t="s">
        <v>894</v>
      </c>
      <c r="D16" s="9" t="s">
        <v>24</v>
      </c>
      <c r="E16" s="9" t="s">
        <v>31</v>
      </c>
      <c r="F16" s="9" t="s">
        <v>26</v>
      </c>
      <c r="G16" s="10" t="s">
        <v>27</v>
      </c>
      <c r="H16" s="11"/>
      <c r="I16" s="11"/>
      <c r="J16" s="11"/>
      <c r="K16" s="11"/>
      <c r="L16" s="11"/>
      <c r="M16" s="11"/>
    </row>
    <row r="17" spans="1:13" x14ac:dyDescent="0.2">
      <c r="A17" s="52"/>
      <c r="B17" s="9">
        <v>39</v>
      </c>
      <c r="C17" s="9" t="s">
        <v>895</v>
      </c>
      <c r="D17" s="9" t="s">
        <v>24</v>
      </c>
      <c r="E17" s="9" t="s">
        <v>31</v>
      </c>
      <c r="F17" s="9" t="s">
        <v>26</v>
      </c>
      <c r="G17" s="10" t="s">
        <v>27</v>
      </c>
      <c r="H17" s="11"/>
      <c r="I17" s="11"/>
      <c r="J17" s="11"/>
      <c r="K17" s="11"/>
      <c r="L17" s="11"/>
      <c r="M17" s="11"/>
    </row>
    <row r="18" spans="1:13" x14ac:dyDescent="0.2">
      <c r="A18" s="52"/>
      <c r="B18" s="9">
        <v>39</v>
      </c>
      <c r="C18" s="9" t="s">
        <v>896</v>
      </c>
      <c r="D18" s="9" t="s">
        <v>24</v>
      </c>
      <c r="E18" s="9" t="s">
        <v>31</v>
      </c>
      <c r="F18" s="9" t="s">
        <v>26</v>
      </c>
      <c r="G18" s="10" t="s">
        <v>27</v>
      </c>
      <c r="H18" s="11"/>
      <c r="I18" s="11"/>
      <c r="J18" s="11"/>
      <c r="K18" s="11"/>
      <c r="L18" s="11"/>
      <c r="M18" s="11"/>
    </row>
    <row r="19" spans="1:13" x14ac:dyDescent="0.2">
      <c r="A19" s="52"/>
      <c r="B19" s="9">
        <v>39</v>
      </c>
      <c r="C19" s="9" t="s">
        <v>868</v>
      </c>
      <c r="D19" s="9" t="s">
        <v>30</v>
      </c>
      <c r="E19" s="9" t="s">
        <v>31</v>
      </c>
      <c r="F19" s="9" t="s">
        <v>26</v>
      </c>
      <c r="G19" s="10" t="s">
        <v>27</v>
      </c>
      <c r="H19" s="11"/>
      <c r="I19" s="11"/>
      <c r="J19" s="11"/>
      <c r="K19" s="11"/>
      <c r="L19" s="11"/>
      <c r="M19" s="11"/>
    </row>
    <row r="20" spans="1:13" x14ac:dyDescent="0.2">
      <c r="A20" s="52"/>
      <c r="B20" s="9">
        <v>39</v>
      </c>
      <c r="C20" s="9" t="s">
        <v>897</v>
      </c>
      <c r="D20" s="9" t="s">
        <v>24</v>
      </c>
      <c r="E20" s="9" t="s">
        <v>31</v>
      </c>
      <c r="F20" s="9" t="s">
        <v>26</v>
      </c>
      <c r="G20" s="10" t="s">
        <v>27</v>
      </c>
      <c r="H20" s="11"/>
      <c r="I20" s="11"/>
      <c r="J20" s="11"/>
      <c r="K20" s="11"/>
      <c r="L20" s="11"/>
      <c r="M20" s="11"/>
    </row>
    <row r="21" spans="1:13" x14ac:dyDescent="0.2">
      <c r="A21" s="52"/>
      <c r="B21" s="9">
        <v>39</v>
      </c>
      <c r="C21" s="9" t="s">
        <v>898</v>
      </c>
      <c r="D21" s="9" t="s">
        <v>24</v>
      </c>
      <c r="E21" s="9" t="s">
        <v>31</v>
      </c>
      <c r="F21" s="9" t="s">
        <v>26</v>
      </c>
      <c r="G21" s="10" t="s">
        <v>27</v>
      </c>
      <c r="H21" s="11"/>
      <c r="I21" s="11"/>
      <c r="J21" s="11"/>
      <c r="K21" s="11"/>
      <c r="L21" s="11"/>
      <c r="M21" s="11"/>
    </row>
    <row r="22" spans="1:13" x14ac:dyDescent="0.2">
      <c r="A22" s="52"/>
      <c r="B22" s="9">
        <v>39</v>
      </c>
      <c r="C22" s="9" t="s">
        <v>899</v>
      </c>
      <c r="D22" s="9" t="s">
        <v>24</v>
      </c>
      <c r="E22" s="9" t="s">
        <v>31</v>
      </c>
      <c r="F22" s="9" t="s">
        <v>26</v>
      </c>
      <c r="G22" s="10" t="s">
        <v>27</v>
      </c>
      <c r="H22" s="11"/>
      <c r="I22" s="11"/>
      <c r="J22" s="11"/>
      <c r="K22" s="11"/>
      <c r="L22" s="11"/>
      <c r="M22" s="11"/>
    </row>
    <row r="23" spans="1:13" x14ac:dyDescent="0.2">
      <c r="A23" s="50"/>
      <c r="B23" s="9">
        <v>39</v>
      </c>
      <c r="C23" s="9" t="s">
        <v>900</v>
      </c>
      <c r="D23" s="9" t="s">
        <v>30</v>
      </c>
      <c r="E23" s="9" t="s">
        <v>31</v>
      </c>
      <c r="F23" s="9" t="s">
        <v>87</v>
      </c>
      <c r="G23" s="10" t="s">
        <v>27</v>
      </c>
      <c r="H23" s="11"/>
      <c r="I23" s="11"/>
      <c r="J23" s="11"/>
      <c r="K23" s="11"/>
      <c r="L23" s="11"/>
      <c r="M23" s="11"/>
    </row>
    <row r="24" spans="1:13" x14ac:dyDescent="0.2">
      <c r="A24" s="57"/>
      <c r="B24" s="9">
        <v>39</v>
      </c>
      <c r="C24" s="9" t="s">
        <v>901</v>
      </c>
      <c r="D24" s="9" t="s">
        <v>30</v>
      </c>
      <c r="E24" s="9" t="s">
        <v>31</v>
      </c>
      <c r="F24" s="9" t="s">
        <v>26</v>
      </c>
      <c r="G24" s="10" t="s">
        <v>27</v>
      </c>
      <c r="H24" s="11"/>
      <c r="I24" s="11"/>
      <c r="J24" s="11"/>
      <c r="K24" s="11"/>
      <c r="L24" s="11"/>
      <c r="M24" s="11"/>
    </row>
    <row r="25" spans="1:13" x14ac:dyDescent="0.2">
      <c r="A25" s="48" t="s">
        <v>28</v>
      </c>
      <c r="B25" s="9">
        <v>39</v>
      </c>
      <c r="C25" s="9" t="s">
        <v>902</v>
      </c>
      <c r="D25" s="9" t="s">
        <v>24</v>
      </c>
      <c r="E25" s="9" t="s">
        <v>31</v>
      </c>
      <c r="F25" s="9" t="s">
        <v>47</v>
      </c>
      <c r="G25" s="10" t="s">
        <v>27</v>
      </c>
      <c r="H25" s="11"/>
      <c r="I25" s="11"/>
      <c r="J25" s="11"/>
      <c r="K25" s="11"/>
      <c r="L25" s="11"/>
      <c r="M25" s="11"/>
    </row>
    <row r="26" spans="1:13" x14ac:dyDescent="0.2">
      <c r="A26" s="51"/>
      <c r="B26" s="9">
        <v>39</v>
      </c>
      <c r="C26" s="9" t="s">
        <v>903</v>
      </c>
      <c r="D26" s="9" t="s">
        <v>24</v>
      </c>
      <c r="E26" s="9" t="s">
        <v>25</v>
      </c>
      <c r="F26" s="9" t="s">
        <v>26</v>
      </c>
      <c r="G26" s="10" t="s">
        <v>27</v>
      </c>
      <c r="H26" s="11"/>
      <c r="I26" s="11"/>
      <c r="J26" s="11"/>
      <c r="K26" s="11"/>
      <c r="L26" s="11"/>
      <c r="M26" s="11"/>
    </row>
    <row r="27" spans="1:13" x14ac:dyDescent="0.2">
      <c r="A27" s="50"/>
      <c r="B27" s="9">
        <v>39</v>
      </c>
      <c r="C27" s="9" t="s">
        <v>904</v>
      </c>
      <c r="D27" s="9" t="s">
        <v>30</v>
      </c>
      <c r="E27" s="9" t="s">
        <v>25</v>
      </c>
      <c r="F27" s="9" t="s">
        <v>26</v>
      </c>
      <c r="G27" s="10" t="s">
        <v>27</v>
      </c>
      <c r="H27" s="11"/>
      <c r="I27" s="11"/>
      <c r="J27" s="11"/>
      <c r="K27" s="11"/>
      <c r="L27" s="11"/>
      <c r="M27" s="11"/>
    </row>
    <row r="28" spans="1:13" x14ac:dyDescent="0.2">
      <c r="A28" s="51"/>
      <c r="B28" s="9">
        <v>39</v>
      </c>
      <c r="C28" s="9" t="s">
        <v>905</v>
      </c>
      <c r="D28" s="9" t="s">
        <v>24</v>
      </c>
      <c r="E28" s="9" t="s">
        <v>25</v>
      </c>
      <c r="F28" s="9" t="s">
        <v>26</v>
      </c>
      <c r="G28" s="10" t="s">
        <v>27</v>
      </c>
      <c r="H28" s="11"/>
      <c r="I28" s="11"/>
      <c r="J28" s="11"/>
      <c r="K28" s="11"/>
      <c r="L28" s="11"/>
      <c r="M28" s="11"/>
    </row>
    <row r="29" spans="1:13" x14ac:dyDescent="0.2">
      <c r="A29" s="50"/>
      <c r="B29" s="9">
        <v>39</v>
      </c>
      <c r="C29" s="9" t="s">
        <v>899</v>
      </c>
      <c r="D29" s="9" t="s">
        <v>24</v>
      </c>
      <c r="E29" s="9" t="s">
        <v>25</v>
      </c>
      <c r="F29" s="9" t="s">
        <v>26</v>
      </c>
      <c r="G29" s="10" t="s">
        <v>27</v>
      </c>
      <c r="H29" s="11"/>
      <c r="I29" s="11"/>
      <c r="J29" s="11"/>
      <c r="K29" s="11"/>
      <c r="L29" s="11"/>
      <c r="M29" s="11"/>
    </row>
    <row r="30" spans="1:13" x14ac:dyDescent="0.2">
      <c r="A30" s="51"/>
      <c r="B30" s="9">
        <v>39</v>
      </c>
      <c r="C30" s="9" t="s">
        <v>906</v>
      </c>
      <c r="D30" s="9" t="s">
        <v>24</v>
      </c>
      <c r="E30" s="9" t="s">
        <v>25</v>
      </c>
      <c r="F30" s="9" t="s">
        <v>26</v>
      </c>
      <c r="G30" s="10" t="s">
        <v>27</v>
      </c>
      <c r="H30" s="11"/>
      <c r="I30" s="11"/>
      <c r="J30" s="11"/>
      <c r="K30" s="11"/>
      <c r="L30" s="11"/>
      <c r="M30" s="11"/>
    </row>
    <row r="31" spans="1:13" x14ac:dyDescent="0.2">
      <c r="A31" s="50"/>
      <c r="B31" s="9">
        <v>39</v>
      </c>
      <c r="C31" s="9" t="s">
        <v>907</v>
      </c>
      <c r="D31" s="9" t="s">
        <v>24</v>
      </c>
      <c r="E31" s="9" t="s">
        <v>31</v>
      </c>
      <c r="F31" s="9" t="s">
        <v>26</v>
      </c>
      <c r="G31" s="10" t="s">
        <v>27</v>
      </c>
      <c r="H31" s="11"/>
      <c r="I31" s="11"/>
      <c r="J31" s="11"/>
      <c r="K31" s="11"/>
      <c r="L31" s="11"/>
      <c r="M31" s="11"/>
    </row>
    <row r="32" spans="1:13" x14ac:dyDescent="0.2">
      <c r="A32" s="57"/>
      <c r="B32" s="9">
        <v>39</v>
      </c>
      <c r="C32" s="9" t="s">
        <v>908</v>
      </c>
      <c r="D32" s="9" t="s">
        <v>24</v>
      </c>
      <c r="E32" s="9" t="s">
        <v>31</v>
      </c>
      <c r="F32" s="9" t="s">
        <v>26</v>
      </c>
      <c r="G32" s="10" t="s">
        <v>27</v>
      </c>
      <c r="H32" s="11"/>
      <c r="I32" s="11"/>
      <c r="J32" s="11"/>
      <c r="K32" s="11"/>
      <c r="L32" s="11"/>
      <c r="M32" s="11"/>
    </row>
    <row r="33" spans="1:13" x14ac:dyDescent="0.2">
      <c r="A33" s="48" t="s">
        <v>909</v>
      </c>
      <c r="B33" s="9">
        <v>39</v>
      </c>
      <c r="C33" s="9" t="s">
        <v>910</v>
      </c>
      <c r="D33" s="9" t="s">
        <v>24</v>
      </c>
      <c r="E33" s="9" t="s">
        <v>25</v>
      </c>
      <c r="F33" s="9" t="s">
        <v>26</v>
      </c>
      <c r="G33" s="10" t="s">
        <v>27</v>
      </c>
      <c r="H33" s="11"/>
      <c r="I33" s="11"/>
      <c r="J33" s="11"/>
      <c r="K33" s="11"/>
      <c r="L33" s="11"/>
      <c r="M33" s="11"/>
    </row>
    <row r="34" spans="1:13" x14ac:dyDescent="0.2">
      <c r="A34" s="51"/>
      <c r="B34" s="9">
        <v>39</v>
      </c>
      <c r="C34" s="9" t="s">
        <v>911</v>
      </c>
      <c r="D34" s="9" t="s">
        <v>24</v>
      </c>
      <c r="E34" s="9" t="s">
        <v>25</v>
      </c>
      <c r="F34" s="9" t="s">
        <v>26</v>
      </c>
      <c r="G34" s="10" t="s">
        <v>27</v>
      </c>
      <c r="H34" s="11"/>
      <c r="I34" s="11"/>
      <c r="J34" s="11"/>
      <c r="K34" s="11"/>
      <c r="L34" s="11"/>
      <c r="M34" s="11"/>
    </row>
    <row r="35" spans="1:13" x14ac:dyDescent="0.2">
      <c r="A35" s="50"/>
      <c r="B35" s="9">
        <v>39</v>
      </c>
      <c r="C35" s="9" t="s">
        <v>912</v>
      </c>
      <c r="D35" s="9" t="s">
        <v>24</v>
      </c>
      <c r="E35" s="9" t="s">
        <v>25</v>
      </c>
      <c r="F35" s="9" t="s">
        <v>26</v>
      </c>
      <c r="G35" s="10" t="s">
        <v>27</v>
      </c>
      <c r="H35" s="11"/>
      <c r="I35" s="11"/>
      <c r="J35" s="11"/>
      <c r="K35" s="11"/>
      <c r="L35" s="11"/>
      <c r="M35" s="11"/>
    </row>
    <row r="36" spans="1:13" x14ac:dyDescent="0.2">
      <c r="A36" s="51"/>
      <c r="B36" s="9">
        <v>39</v>
      </c>
      <c r="C36" s="9" t="s">
        <v>893</v>
      </c>
      <c r="D36" s="9" t="s">
        <v>24</v>
      </c>
      <c r="E36" s="9" t="s">
        <v>25</v>
      </c>
      <c r="F36" s="9" t="s">
        <v>26</v>
      </c>
      <c r="G36" s="10" t="s">
        <v>27</v>
      </c>
      <c r="H36" s="11"/>
      <c r="I36" s="11"/>
      <c r="J36" s="11"/>
      <c r="K36" s="11"/>
      <c r="L36" s="11"/>
      <c r="M36" s="11"/>
    </row>
    <row r="37" spans="1:13" ht="12.75" x14ac:dyDescent="0.2">
      <c r="A37" s="50"/>
      <c r="B37" s="9">
        <v>39</v>
      </c>
      <c r="C37" s="9" t="s">
        <v>913</v>
      </c>
      <c r="D37" s="9" t="s">
        <v>24</v>
      </c>
      <c r="E37" s="9" t="s">
        <v>25</v>
      </c>
      <c r="F37" s="9" t="s">
        <v>26</v>
      </c>
      <c r="G37" s="10" t="s">
        <v>27</v>
      </c>
      <c r="H37" s="11"/>
      <c r="I37" s="11"/>
      <c r="J37" s="11"/>
      <c r="K37" s="11"/>
      <c r="L37" s="11"/>
      <c r="M37" s="11"/>
    </row>
    <row r="38" spans="1:13" ht="12.75" x14ac:dyDescent="0.2">
      <c r="A38" s="51"/>
      <c r="B38" s="9">
        <v>39</v>
      </c>
      <c r="C38" s="9" t="s">
        <v>914</v>
      </c>
      <c r="D38" s="9" t="s">
        <v>24</v>
      </c>
      <c r="E38" s="9" t="s">
        <v>25</v>
      </c>
      <c r="F38" s="9" t="s">
        <v>26</v>
      </c>
      <c r="G38" s="10" t="s">
        <v>27</v>
      </c>
      <c r="H38" s="11"/>
      <c r="I38" s="11"/>
      <c r="J38" s="11"/>
      <c r="K38" s="11"/>
      <c r="L38" s="11"/>
      <c r="M38" s="11"/>
    </row>
    <row r="39" spans="1:13" ht="12.75" x14ac:dyDescent="0.2">
      <c r="A39" s="50"/>
      <c r="B39" s="9">
        <v>39</v>
      </c>
      <c r="C39" s="9" t="s">
        <v>915</v>
      </c>
      <c r="D39" s="9" t="s">
        <v>24</v>
      </c>
      <c r="E39" s="9" t="s">
        <v>25</v>
      </c>
      <c r="F39" s="9" t="s">
        <v>26</v>
      </c>
      <c r="G39" s="10" t="s">
        <v>27</v>
      </c>
      <c r="H39" s="11"/>
      <c r="I39" s="11"/>
      <c r="J39" s="11"/>
      <c r="K39" s="11"/>
      <c r="L39" s="11"/>
      <c r="M39" s="11"/>
    </row>
    <row r="40" spans="1:13" ht="12.75" x14ac:dyDescent="0.2">
      <c r="A40" s="52"/>
      <c r="B40" s="9">
        <v>39</v>
      </c>
      <c r="C40" s="9" t="s">
        <v>889</v>
      </c>
      <c r="D40" s="9" t="s">
        <v>30</v>
      </c>
      <c r="E40" s="9" t="s">
        <v>25</v>
      </c>
      <c r="F40" s="9" t="s">
        <v>26</v>
      </c>
      <c r="G40" s="10" t="s">
        <v>27</v>
      </c>
      <c r="H40" s="11"/>
      <c r="I40" s="11"/>
      <c r="J40" s="11"/>
      <c r="K40" s="11"/>
      <c r="L40" s="11"/>
      <c r="M40" s="11"/>
    </row>
    <row r="41" spans="1:13" ht="12.75" x14ac:dyDescent="0.2">
      <c r="A41" s="52"/>
      <c r="B41" s="9">
        <v>39</v>
      </c>
      <c r="C41" s="9" t="s">
        <v>888</v>
      </c>
      <c r="D41" s="9" t="s">
        <v>24</v>
      </c>
      <c r="E41" s="9" t="s">
        <v>25</v>
      </c>
      <c r="F41" s="9" t="s">
        <v>26</v>
      </c>
      <c r="G41" s="10" t="s">
        <v>27</v>
      </c>
      <c r="H41" s="11"/>
      <c r="I41" s="11"/>
      <c r="J41" s="11"/>
      <c r="K41" s="11"/>
      <c r="L41" s="11"/>
      <c r="M41" s="11"/>
    </row>
    <row r="42" spans="1:13" ht="12.75" x14ac:dyDescent="0.2">
      <c r="A42" s="52"/>
      <c r="B42" s="9">
        <v>39</v>
      </c>
      <c r="C42" s="9" t="s">
        <v>887</v>
      </c>
      <c r="D42" s="9" t="s">
        <v>24</v>
      </c>
      <c r="E42" s="9" t="s">
        <v>25</v>
      </c>
      <c r="F42" s="9" t="s">
        <v>26</v>
      </c>
      <c r="G42" s="10" t="s">
        <v>27</v>
      </c>
      <c r="H42" s="11"/>
      <c r="I42" s="11"/>
      <c r="J42" s="11"/>
      <c r="K42" s="11"/>
      <c r="L42" s="11"/>
      <c r="M42" s="11"/>
    </row>
    <row r="43" spans="1:13" ht="12.75" x14ac:dyDescent="0.2">
      <c r="A43" s="52"/>
      <c r="B43" s="9">
        <v>39</v>
      </c>
      <c r="C43" s="9" t="s">
        <v>916</v>
      </c>
      <c r="D43" s="9" t="s">
        <v>24</v>
      </c>
      <c r="E43" s="9" t="s">
        <v>25</v>
      </c>
      <c r="F43" s="9" t="s">
        <v>26</v>
      </c>
      <c r="G43" s="10" t="s">
        <v>27</v>
      </c>
      <c r="H43" s="11"/>
      <c r="I43" s="11"/>
      <c r="J43" s="11"/>
      <c r="K43" s="11"/>
      <c r="L43" s="11"/>
      <c r="M43" s="11"/>
    </row>
    <row r="44" spans="1:13" ht="12.75" x14ac:dyDescent="0.2">
      <c r="A44" s="52"/>
      <c r="B44" s="9">
        <v>39</v>
      </c>
      <c r="C44" s="9" t="s">
        <v>917</v>
      </c>
      <c r="D44" s="9" t="s">
        <v>24</v>
      </c>
      <c r="E44" s="9" t="s">
        <v>25</v>
      </c>
      <c r="F44" s="9" t="s">
        <v>26</v>
      </c>
      <c r="G44" s="10" t="s">
        <v>27</v>
      </c>
      <c r="H44" s="11"/>
      <c r="I44" s="11"/>
      <c r="J44" s="11"/>
      <c r="K44" s="11"/>
      <c r="L44" s="11"/>
      <c r="M44" s="11"/>
    </row>
    <row r="45" spans="1:13" ht="12.75" x14ac:dyDescent="0.2">
      <c r="A45" s="53"/>
      <c r="B45" s="9">
        <v>39</v>
      </c>
      <c r="C45" s="9" t="s">
        <v>918</v>
      </c>
      <c r="D45" s="9" t="s">
        <v>24</v>
      </c>
      <c r="E45" s="9" t="s">
        <v>25</v>
      </c>
      <c r="F45" s="9" t="s">
        <v>26</v>
      </c>
      <c r="G45" s="10" t="s">
        <v>27</v>
      </c>
      <c r="H45" s="11"/>
      <c r="I45" s="11"/>
      <c r="J45" s="11"/>
      <c r="K45" s="11"/>
      <c r="L45" s="11"/>
      <c r="M45" s="11"/>
    </row>
    <row r="46" spans="1:13" ht="12.75" x14ac:dyDescent="0.2">
      <c r="A46" s="48" t="s">
        <v>38</v>
      </c>
      <c r="B46" s="9">
        <v>39</v>
      </c>
      <c r="C46" s="9" t="s">
        <v>919</v>
      </c>
      <c r="D46" s="9" t="s">
        <v>24</v>
      </c>
      <c r="E46" s="9" t="s">
        <v>31</v>
      </c>
      <c r="F46" s="9" t="s">
        <v>26</v>
      </c>
      <c r="G46" s="10" t="s">
        <v>27</v>
      </c>
      <c r="H46" s="11"/>
      <c r="I46" s="11"/>
      <c r="J46" s="11"/>
      <c r="K46" s="11"/>
      <c r="L46" s="11"/>
      <c r="M46" s="11"/>
    </row>
    <row r="47" spans="1:13" ht="12.75" x14ac:dyDescent="0.2">
      <c r="A47" s="52"/>
      <c r="B47" s="9">
        <v>39</v>
      </c>
      <c r="C47" s="9" t="s">
        <v>868</v>
      </c>
      <c r="D47" s="9" t="s">
        <v>30</v>
      </c>
      <c r="E47" s="9" t="s">
        <v>31</v>
      </c>
      <c r="F47" s="9" t="s">
        <v>26</v>
      </c>
      <c r="G47" s="10" t="s">
        <v>27</v>
      </c>
      <c r="H47" s="11"/>
      <c r="I47" s="11"/>
      <c r="J47" s="11"/>
      <c r="K47" s="11"/>
      <c r="L47" s="11"/>
      <c r="M47" s="11"/>
    </row>
    <row r="48" spans="1:13" ht="12.75" x14ac:dyDescent="0.2">
      <c r="A48" s="52"/>
      <c r="B48" s="9">
        <v>39</v>
      </c>
      <c r="C48" s="9" t="s">
        <v>920</v>
      </c>
      <c r="D48" s="9" t="s">
        <v>24</v>
      </c>
      <c r="E48" s="9" t="s">
        <v>31</v>
      </c>
      <c r="F48" s="9" t="s">
        <v>26</v>
      </c>
      <c r="G48" s="10" t="s">
        <v>27</v>
      </c>
      <c r="H48" s="11"/>
      <c r="I48" s="11"/>
      <c r="J48" s="11"/>
      <c r="K48" s="11"/>
      <c r="L48" s="11"/>
      <c r="M48" s="11"/>
    </row>
    <row r="49" spans="1:13" ht="12.75" x14ac:dyDescent="0.2">
      <c r="A49" s="52"/>
      <c r="B49" s="9">
        <v>39</v>
      </c>
      <c r="C49" s="9" t="s">
        <v>921</v>
      </c>
      <c r="D49" s="9" t="s">
        <v>24</v>
      </c>
      <c r="E49" s="9" t="s">
        <v>31</v>
      </c>
      <c r="F49" s="9" t="s">
        <v>26</v>
      </c>
      <c r="G49" s="10" t="s">
        <v>27</v>
      </c>
      <c r="H49" s="11"/>
      <c r="I49" s="11"/>
      <c r="J49" s="11"/>
      <c r="K49" s="11"/>
      <c r="L49" s="11"/>
      <c r="M49" s="11"/>
    </row>
    <row r="50" spans="1:13" ht="12.75" x14ac:dyDescent="0.2">
      <c r="A50" s="52"/>
      <c r="B50" s="9">
        <v>39</v>
      </c>
      <c r="C50" s="9" t="s">
        <v>922</v>
      </c>
      <c r="D50" s="9" t="s">
        <v>24</v>
      </c>
      <c r="E50" s="9" t="s">
        <v>31</v>
      </c>
      <c r="F50" s="9" t="s">
        <v>26</v>
      </c>
      <c r="G50" s="10" t="s">
        <v>27</v>
      </c>
      <c r="H50" s="11"/>
      <c r="I50" s="11"/>
      <c r="J50" s="11"/>
      <c r="K50" s="11"/>
      <c r="L50" s="11"/>
      <c r="M50" s="11"/>
    </row>
    <row r="51" spans="1:13" ht="12.75" x14ac:dyDescent="0.2">
      <c r="A51" s="52"/>
      <c r="B51" s="9">
        <v>39</v>
      </c>
      <c r="C51" s="9" t="s">
        <v>923</v>
      </c>
      <c r="D51" s="9" t="s">
        <v>24</v>
      </c>
      <c r="E51" s="9" t="s">
        <v>31</v>
      </c>
      <c r="F51" s="9" t="s">
        <v>26</v>
      </c>
      <c r="G51" s="10" t="s">
        <v>27</v>
      </c>
      <c r="H51" s="11"/>
      <c r="I51" s="11"/>
      <c r="J51" s="11"/>
      <c r="K51" s="11"/>
      <c r="L51" s="11"/>
      <c r="M51" s="11"/>
    </row>
    <row r="52" spans="1:13" ht="12.75" x14ac:dyDescent="0.2">
      <c r="A52" s="52"/>
      <c r="B52" s="9">
        <v>39</v>
      </c>
      <c r="C52" s="9" t="s">
        <v>924</v>
      </c>
      <c r="D52" s="9" t="s">
        <v>24</v>
      </c>
      <c r="E52" s="9" t="s">
        <v>31</v>
      </c>
      <c r="F52" s="9" t="s">
        <v>26</v>
      </c>
      <c r="G52" s="10" t="s">
        <v>27</v>
      </c>
      <c r="H52" s="11"/>
      <c r="I52" s="11"/>
      <c r="J52" s="11"/>
      <c r="K52" s="11"/>
      <c r="L52" s="11"/>
      <c r="M52" s="11"/>
    </row>
    <row r="53" spans="1:13" ht="12.75" x14ac:dyDescent="0.2">
      <c r="A53" s="52"/>
      <c r="B53" s="9">
        <v>39</v>
      </c>
      <c r="C53" s="9" t="s">
        <v>925</v>
      </c>
      <c r="D53" s="9" t="s">
        <v>24</v>
      </c>
      <c r="E53" s="9" t="s">
        <v>31</v>
      </c>
      <c r="F53" s="9" t="s">
        <v>47</v>
      </c>
      <c r="G53" s="10" t="s">
        <v>27</v>
      </c>
      <c r="H53" s="13"/>
      <c r="I53" s="13"/>
      <c r="J53" s="13"/>
    </row>
    <row r="54" spans="1:13" ht="12.75" x14ac:dyDescent="0.2">
      <c r="A54" s="53"/>
      <c r="B54" s="9">
        <v>39</v>
      </c>
      <c r="C54" s="9" t="s">
        <v>926</v>
      </c>
      <c r="D54" s="9" t="s">
        <v>24</v>
      </c>
      <c r="E54" s="9" t="s">
        <v>31</v>
      </c>
      <c r="F54" s="9" t="s">
        <v>47</v>
      </c>
      <c r="G54" s="10" t="s">
        <v>27</v>
      </c>
      <c r="H54" s="13"/>
      <c r="I54" s="13"/>
      <c r="J54" s="13"/>
    </row>
    <row r="55" spans="1:13" ht="12.75" x14ac:dyDescent="0.2">
      <c r="A55" s="48" t="s">
        <v>46</v>
      </c>
      <c r="B55" s="9">
        <v>39</v>
      </c>
      <c r="C55" s="9" t="s">
        <v>903</v>
      </c>
      <c r="D55" s="9" t="s">
        <v>24</v>
      </c>
      <c r="E55" s="9" t="s">
        <v>256</v>
      </c>
      <c r="F55" s="9" t="s">
        <v>87</v>
      </c>
      <c r="G55" s="10" t="s">
        <v>27</v>
      </c>
      <c r="H55" s="13"/>
      <c r="I55" s="13"/>
      <c r="J55" s="13"/>
    </row>
    <row r="56" spans="1:13" ht="12.75" x14ac:dyDescent="0.2">
      <c r="A56" s="52"/>
      <c r="B56" s="9">
        <v>39</v>
      </c>
      <c r="C56" s="9" t="s">
        <v>905</v>
      </c>
      <c r="D56" s="9" t="s">
        <v>24</v>
      </c>
      <c r="E56" s="9" t="s">
        <v>256</v>
      </c>
      <c r="F56" s="9" t="s">
        <v>87</v>
      </c>
      <c r="G56" s="10" t="s">
        <v>27</v>
      </c>
      <c r="H56" s="13"/>
      <c r="I56" s="13"/>
      <c r="J56" s="13"/>
    </row>
    <row r="57" spans="1:13" ht="12.75" x14ac:dyDescent="0.2">
      <c r="A57" s="52"/>
      <c r="B57" s="9">
        <v>39</v>
      </c>
      <c r="C57" s="9" t="s">
        <v>927</v>
      </c>
      <c r="D57" s="9" t="s">
        <v>24</v>
      </c>
      <c r="E57" s="9" t="s">
        <v>256</v>
      </c>
      <c r="F57" s="9" t="s">
        <v>87</v>
      </c>
      <c r="G57" s="10" t="s">
        <v>27</v>
      </c>
      <c r="H57" s="13"/>
      <c r="I57" s="13"/>
      <c r="J57" s="13"/>
    </row>
    <row r="58" spans="1:13" ht="12.75" x14ac:dyDescent="0.2">
      <c r="A58" s="53"/>
      <c r="B58" s="9">
        <v>39</v>
      </c>
      <c r="C58" s="9" t="s">
        <v>928</v>
      </c>
      <c r="D58" s="9" t="s">
        <v>24</v>
      </c>
      <c r="E58" s="9" t="s">
        <v>256</v>
      </c>
      <c r="F58" s="9" t="s">
        <v>87</v>
      </c>
      <c r="G58" s="10" t="s">
        <v>27</v>
      </c>
      <c r="H58" s="13"/>
      <c r="I58" s="13"/>
      <c r="J58" s="13"/>
    </row>
    <row r="59" spans="1:13" ht="12.75" x14ac:dyDescent="0.2">
      <c r="A59" s="48" t="s">
        <v>49</v>
      </c>
      <c r="B59" s="12">
        <v>39</v>
      </c>
      <c r="C59" s="12" t="s">
        <v>929</v>
      </c>
      <c r="D59" s="12" t="s">
        <v>24</v>
      </c>
      <c r="E59" s="12" t="s">
        <v>25</v>
      </c>
      <c r="F59" s="12" t="s">
        <v>26</v>
      </c>
      <c r="G59" s="10" t="s">
        <v>27</v>
      </c>
      <c r="H59" s="13"/>
      <c r="I59" s="13"/>
      <c r="J59" s="13"/>
    </row>
    <row r="60" spans="1:13" ht="12.75" x14ac:dyDescent="0.2">
      <c r="A60" s="52"/>
      <c r="B60" s="12">
        <v>39</v>
      </c>
      <c r="C60" s="12" t="s">
        <v>930</v>
      </c>
      <c r="D60" s="12" t="s">
        <v>24</v>
      </c>
      <c r="E60" s="12" t="s">
        <v>25</v>
      </c>
      <c r="F60" s="12" t="s">
        <v>26</v>
      </c>
      <c r="G60" s="10" t="s">
        <v>27</v>
      </c>
      <c r="H60" s="13"/>
      <c r="I60" s="13"/>
      <c r="J60" s="13"/>
    </row>
    <row r="61" spans="1:13" ht="12.75" x14ac:dyDescent="0.2">
      <c r="A61" s="52"/>
      <c r="B61" s="12">
        <v>39</v>
      </c>
      <c r="C61" s="12" t="s">
        <v>931</v>
      </c>
      <c r="D61" s="12" t="s">
        <v>24</v>
      </c>
      <c r="E61" s="12" t="s">
        <v>25</v>
      </c>
      <c r="F61" s="12" t="s">
        <v>26</v>
      </c>
      <c r="G61" s="10" t="s">
        <v>27</v>
      </c>
      <c r="H61" s="13"/>
      <c r="I61" s="13"/>
      <c r="J61" s="13"/>
    </row>
    <row r="62" spans="1:13" ht="12.75" x14ac:dyDescent="0.2">
      <c r="A62" s="52"/>
      <c r="B62" s="12">
        <v>39</v>
      </c>
      <c r="C62" s="12" t="s">
        <v>932</v>
      </c>
      <c r="D62" s="12" t="s">
        <v>24</v>
      </c>
      <c r="E62" s="12" t="s">
        <v>25</v>
      </c>
      <c r="F62" s="12" t="s">
        <v>26</v>
      </c>
      <c r="G62" s="10" t="s">
        <v>27</v>
      </c>
      <c r="H62" s="13"/>
      <c r="I62" s="13"/>
      <c r="J62" s="13"/>
    </row>
    <row r="63" spans="1:13" ht="12.75" x14ac:dyDescent="0.2">
      <c r="A63" s="52"/>
      <c r="B63" s="12">
        <v>39</v>
      </c>
      <c r="C63" s="12" t="s">
        <v>898</v>
      </c>
      <c r="D63" s="12" t="s">
        <v>24</v>
      </c>
      <c r="E63" s="12" t="s">
        <v>25</v>
      </c>
      <c r="F63" s="12" t="s">
        <v>26</v>
      </c>
      <c r="G63" s="10" t="s">
        <v>27</v>
      </c>
      <c r="H63" s="13"/>
      <c r="I63" s="13"/>
      <c r="J63" s="13"/>
    </row>
    <row r="64" spans="1:13" ht="12.75" x14ac:dyDescent="0.2">
      <c r="A64" s="52"/>
      <c r="B64" s="12">
        <v>39</v>
      </c>
      <c r="C64" s="12" t="s">
        <v>926</v>
      </c>
      <c r="D64" s="12" t="s">
        <v>24</v>
      </c>
      <c r="E64" s="12" t="s">
        <v>25</v>
      </c>
      <c r="F64" s="12" t="s">
        <v>26</v>
      </c>
      <c r="G64" s="10" t="s">
        <v>27</v>
      </c>
      <c r="H64" s="13"/>
      <c r="I64" s="13"/>
      <c r="J64" s="13"/>
    </row>
    <row r="65" spans="1:10" ht="12.75" x14ac:dyDescent="0.2">
      <c r="A65" s="52"/>
      <c r="B65" s="12">
        <v>39</v>
      </c>
      <c r="C65" s="12" t="s">
        <v>903</v>
      </c>
      <c r="D65" s="12" t="s">
        <v>24</v>
      </c>
      <c r="E65" s="12" t="s">
        <v>25</v>
      </c>
      <c r="F65" s="12" t="s">
        <v>26</v>
      </c>
      <c r="G65" s="10" t="s">
        <v>27</v>
      </c>
      <c r="H65" s="13"/>
      <c r="I65" s="13"/>
      <c r="J65" s="13"/>
    </row>
    <row r="66" spans="1:10" ht="12.75" x14ac:dyDescent="0.2">
      <c r="A66" s="53"/>
      <c r="B66" s="12">
        <v>39</v>
      </c>
      <c r="C66" s="12" t="s">
        <v>905</v>
      </c>
      <c r="D66" s="12" t="s">
        <v>24</v>
      </c>
      <c r="E66" s="12" t="s">
        <v>25</v>
      </c>
      <c r="F66" s="12" t="s">
        <v>26</v>
      </c>
      <c r="G66" s="10" t="s">
        <v>27</v>
      </c>
      <c r="H66" s="13"/>
      <c r="I66" s="13"/>
      <c r="J66" s="13"/>
    </row>
    <row r="67" spans="1:10" ht="12.75" x14ac:dyDescent="0.2">
      <c r="A67" s="48" t="s">
        <v>52</v>
      </c>
      <c r="B67" s="9">
        <v>39</v>
      </c>
      <c r="C67" s="9" t="s">
        <v>933</v>
      </c>
      <c r="D67" s="9" t="s">
        <v>24</v>
      </c>
      <c r="E67" s="9" t="s">
        <v>31</v>
      </c>
      <c r="F67" s="9" t="s">
        <v>47</v>
      </c>
      <c r="G67" s="10" t="s">
        <v>27</v>
      </c>
      <c r="H67" s="13"/>
      <c r="I67" s="13"/>
      <c r="J67" s="13"/>
    </row>
    <row r="68" spans="1:10" ht="12.75" x14ac:dyDescent="0.2">
      <c r="A68" s="52"/>
      <c r="B68" s="9">
        <v>39</v>
      </c>
      <c r="C68" s="9" t="s">
        <v>934</v>
      </c>
      <c r="D68" s="9" t="s">
        <v>24</v>
      </c>
      <c r="E68" s="9" t="s">
        <v>31</v>
      </c>
      <c r="F68" s="9" t="s">
        <v>47</v>
      </c>
      <c r="G68" s="10" t="s">
        <v>27</v>
      </c>
      <c r="H68" s="13"/>
      <c r="I68" s="13"/>
      <c r="J68" s="13"/>
    </row>
    <row r="69" spans="1:10" ht="12.75" x14ac:dyDescent="0.2">
      <c r="A69" s="53"/>
      <c r="B69" s="9">
        <v>39</v>
      </c>
      <c r="C69" s="9" t="s">
        <v>935</v>
      </c>
      <c r="D69" s="9" t="s">
        <v>24</v>
      </c>
      <c r="E69" s="9" t="s">
        <v>31</v>
      </c>
      <c r="F69" s="9" t="s">
        <v>47</v>
      </c>
      <c r="G69" s="10" t="s">
        <v>27</v>
      </c>
      <c r="H69" s="13"/>
      <c r="I69" s="13"/>
      <c r="J69" s="13"/>
    </row>
    <row r="70" spans="1:10" ht="12.75" x14ac:dyDescent="0.2">
      <c r="A70" s="48" t="s">
        <v>59</v>
      </c>
      <c r="B70" s="9">
        <v>39</v>
      </c>
      <c r="C70" s="9" t="s">
        <v>936</v>
      </c>
      <c r="D70" s="9" t="s">
        <v>24</v>
      </c>
      <c r="E70" s="9" t="s">
        <v>31</v>
      </c>
      <c r="F70" s="9" t="s">
        <v>47</v>
      </c>
      <c r="G70" s="10" t="s">
        <v>27</v>
      </c>
      <c r="H70" s="13"/>
      <c r="I70" s="13"/>
      <c r="J70" s="13"/>
    </row>
    <row r="71" spans="1:10" ht="12.75" x14ac:dyDescent="0.2">
      <c r="A71" s="52"/>
      <c r="B71" s="9">
        <v>39</v>
      </c>
      <c r="C71" s="9" t="s">
        <v>900</v>
      </c>
      <c r="D71" s="9" t="s">
        <v>24</v>
      </c>
      <c r="E71" s="9" t="s">
        <v>31</v>
      </c>
      <c r="F71" s="9" t="s">
        <v>47</v>
      </c>
      <c r="G71" s="10" t="s">
        <v>27</v>
      </c>
      <c r="H71" s="13"/>
      <c r="I71" s="13"/>
      <c r="J71" s="13"/>
    </row>
    <row r="72" spans="1:10" ht="12.75" x14ac:dyDescent="0.2">
      <c r="A72" s="52"/>
      <c r="B72" s="9">
        <v>39</v>
      </c>
      <c r="C72" s="9" t="s">
        <v>919</v>
      </c>
      <c r="D72" s="9" t="s">
        <v>30</v>
      </c>
      <c r="E72" s="9" t="s">
        <v>31</v>
      </c>
      <c r="F72" s="9" t="s">
        <v>47</v>
      </c>
      <c r="G72" s="10" t="s">
        <v>27</v>
      </c>
      <c r="H72" s="13"/>
      <c r="I72" s="13"/>
      <c r="J72" s="13"/>
    </row>
    <row r="73" spans="1:10" ht="12.75" x14ac:dyDescent="0.2">
      <c r="A73" s="52"/>
      <c r="B73" s="9">
        <v>39</v>
      </c>
      <c r="C73" s="9" t="s">
        <v>868</v>
      </c>
      <c r="D73" s="9" t="s">
        <v>24</v>
      </c>
      <c r="E73" s="9" t="s">
        <v>31</v>
      </c>
      <c r="F73" s="9" t="s">
        <v>47</v>
      </c>
      <c r="G73" s="10" t="s">
        <v>27</v>
      </c>
      <c r="H73" s="13"/>
      <c r="I73" s="13"/>
      <c r="J73" s="13"/>
    </row>
    <row r="74" spans="1:10" ht="12.75" x14ac:dyDescent="0.2">
      <c r="A74" s="52"/>
      <c r="B74" s="9">
        <v>39</v>
      </c>
      <c r="C74" s="9" t="s">
        <v>935</v>
      </c>
      <c r="D74" s="9" t="s">
        <v>24</v>
      </c>
      <c r="E74" s="9" t="s">
        <v>31</v>
      </c>
      <c r="F74" s="9" t="s">
        <v>47</v>
      </c>
      <c r="G74" s="10" t="s">
        <v>27</v>
      </c>
      <c r="H74" s="13"/>
      <c r="I74" s="13"/>
      <c r="J74" s="13"/>
    </row>
    <row r="75" spans="1:10" ht="12.75" x14ac:dyDescent="0.2">
      <c r="A75" s="52"/>
      <c r="B75" s="9">
        <v>39</v>
      </c>
      <c r="C75" s="9" t="s">
        <v>920</v>
      </c>
      <c r="D75" s="9" t="s">
        <v>24</v>
      </c>
      <c r="E75" s="9" t="s">
        <v>31</v>
      </c>
      <c r="F75" s="9" t="s">
        <v>47</v>
      </c>
      <c r="G75" s="10" t="s">
        <v>27</v>
      </c>
      <c r="H75" s="13"/>
      <c r="I75" s="13"/>
      <c r="J75" s="13"/>
    </row>
    <row r="76" spans="1:10" ht="12.75" x14ac:dyDescent="0.2">
      <c r="A76" s="53"/>
      <c r="B76" s="9">
        <v>39</v>
      </c>
      <c r="C76" s="9" t="s">
        <v>937</v>
      </c>
      <c r="D76" s="9" t="s">
        <v>24</v>
      </c>
      <c r="E76" s="9" t="s">
        <v>31</v>
      </c>
      <c r="F76" s="9" t="s">
        <v>47</v>
      </c>
      <c r="G76" s="10" t="s">
        <v>27</v>
      </c>
      <c r="H76" s="13"/>
      <c r="I76" s="13"/>
      <c r="J76" s="13"/>
    </row>
    <row r="77" spans="1:10" ht="12.75" x14ac:dyDescent="0.2">
      <c r="A77" s="48" t="s">
        <v>101</v>
      </c>
      <c r="B77" s="9">
        <v>39</v>
      </c>
      <c r="C77" s="9" t="s">
        <v>938</v>
      </c>
      <c r="D77" s="9" t="s">
        <v>24</v>
      </c>
      <c r="E77" s="9" t="s">
        <v>31</v>
      </c>
      <c r="F77" s="9" t="s">
        <v>26</v>
      </c>
      <c r="G77" s="10" t="s">
        <v>27</v>
      </c>
      <c r="H77" s="13"/>
      <c r="I77" s="13"/>
      <c r="J77" s="13"/>
    </row>
    <row r="78" spans="1:10" ht="12.75" x14ac:dyDescent="0.2">
      <c r="A78" s="52"/>
      <c r="B78" s="9">
        <v>39</v>
      </c>
      <c r="C78" s="9" t="s">
        <v>922</v>
      </c>
      <c r="D78" s="9" t="s">
        <v>24</v>
      </c>
      <c r="E78" s="9" t="s">
        <v>31</v>
      </c>
      <c r="F78" s="9" t="s">
        <v>26</v>
      </c>
      <c r="G78" s="10" t="s">
        <v>27</v>
      </c>
      <c r="H78" s="13"/>
      <c r="I78" s="13"/>
      <c r="J78" s="13"/>
    </row>
    <row r="79" spans="1:10" ht="12.75" x14ac:dyDescent="0.2">
      <c r="A79" s="53"/>
      <c r="B79" s="9">
        <v>39</v>
      </c>
      <c r="C79" s="9" t="s">
        <v>939</v>
      </c>
      <c r="D79" s="9" t="s">
        <v>24</v>
      </c>
      <c r="E79" s="9" t="s">
        <v>31</v>
      </c>
      <c r="F79" s="9" t="s">
        <v>26</v>
      </c>
      <c r="G79" s="10" t="s">
        <v>27</v>
      </c>
      <c r="H79" s="13"/>
      <c r="I79" s="13"/>
      <c r="J79" s="13"/>
    </row>
    <row r="80" spans="1:10" ht="12.75" x14ac:dyDescent="0.2">
      <c r="A80" s="48" t="s">
        <v>62</v>
      </c>
      <c r="B80" s="9">
        <v>39</v>
      </c>
      <c r="C80" s="9" t="s">
        <v>930</v>
      </c>
      <c r="D80" s="9" t="s">
        <v>24</v>
      </c>
      <c r="E80" s="9" t="s">
        <v>31</v>
      </c>
      <c r="F80" s="9" t="s">
        <v>26</v>
      </c>
      <c r="G80" s="10" t="s">
        <v>27</v>
      </c>
      <c r="H80" s="13"/>
      <c r="I80" s="13"/>
      <c r="J80" s="13"/>
    </row>
    <row r="81" spans="1:10" ht="12.75" x14ac:dyDescent="0.2">
      <c r="A81" s="52"/>
      <c r="B81" s="9">
        <v>39</v>
      </c>
      <c r="C81" s="9" t="s">
        <v>940</v>
      </c>
      <c r="D81" s="9" t="s">
        <v>24</v>
      </c>
      <c r="E81" s="9" t="s">
        <v>31</v>
      </c>
      <c r="F81" s="9" t="s">
        <v>26</v>
      </c>
      <c r="G81" s="10" t="s">
        <v>27</v>
      </c>
      <c r="H81" s="13"/>
      <c r="I81" s="13"/>
      <c r="J81" s="13"/>
    </row>
    <row r="82" spans="1:10" ht="12.75" x14ac:dyDescent="0.2">
      <c r="A82" s="52"/>
      <c r="B82" s="9">
        <v>39</v>
      </c>
      <c r="C82" s="9" t="s">
        <v>941</v>
      </c>
      <c r="D82" s="9" t="s">
        <v>24</v>
      </c>
      <c r="E82" s="9" t="s">
        <v>31</v>
      </c>
      <c r="F82" s="9" t="s">
        <v>26</v>
      </c>
      <c r="G82" s="10" t="s">
        <v>27</v>
      </c>
      <c r="H82" s="13"/>
      <c r="I82" s="13"/>
      <c r="J82" s="13"/>
    </row>
    <row r="83" spans="1:10" ht="12.75" x14ac:dyDescent="0.2">
      <c r="A83" s="52"/>
      <c r="B83" s="9">
        <v>39</v>
      </c>
      <c r="C83" s="9" t="s">
        <v>894</v>
      </c>
      <c r="D83" s="9" t="s">
        <v>24</v>
      </c>
      <c r="E83" s="9" t="s">
        <v>31</v>
      </c>
      <c r="F83" s="9" t="s">
        <v>26</v>
      </c>
      <c r="G83" s="10" t="s">
        <v>27</v>
      </c>
      <c r="H83" s="13"/>
      <c r="I83" s="13"/>
      <c r="J83" s="13"/>
    </row>
    <row r="84" spans="1:10" ht="12.75" x14ac:dyDescent="0.2">
      <c r="A84" s="52"/>
      <c r="B84" s="9">
        <v>39</v>
      </c>
      <c r="C84" s="9" t="s">
        <v>942</v>
      </c>
      <c r="D84" s="9" t="s">
        <v>24</v>
      </c>
      <c r="E84" s="9" t="s">
        <v>31</v>
      </c>
      <c r="F84" s="9" t="s">
        <v>26</v>
      </c>
      <c r="G84" s="10" t="s">
        <v>27</v>
      </c>
      <c r="H84" s="13"/>
      <c r="I84" s="13"/>
      <c r="J84" s="13"/>
    </row>
    <row r="85" spans="1:10" ht="12.75" x14ac:dyDescent="0.2">
      <c r="A85" s="52"/>
      <c r="B85" s="9">
        <v>39</v>
      </c>
      <c r="C85" s="9" t="s">
        <v>943</v>
      </c>
      <c r="D85" s="9" t="s">
        <v>30</v>
      </c>
      <c r="E85" s="9" t="s">
        <v>31</v>
      </c>
      <c r="F85" s="9" t="s">
        <v>26</v>
      </c>
      <c r="G85" s="10" t="s">
        <v>27</v>
      </c>
      <c r="H85" s="13"/>
      <c r="I85" s="13"/>
      <c r="J85" s="13"/>
    </row>
    <row r="86" spans="1:10" ht="12.75" x14ac:dyDescent="0.2">
      <c r="A86" s="53"/>
      <c r="B86" s="9">
        <v>39</v>
      </c>
      <c r="C86" s="9" t="s">
        <v>944</v>
      </c>
      <c r="D86" s="9" t="s">
        <v>24</v>
      </c>
      <c r="E86" s="9" t="s">
        <v>31</v>
      </c>
      <c r="F86" s="9" t="s">
        <v>47</v>
      </c>
      <c r="G86" s="10" t="s">
        <v>27</v>
      </c>
      <c r="H86" s="13"/>
      <c r="I86" s="13"/>
      <c r="J86" s="13"/>
    </row>
    <row r="87" spans="1:10" ht="12.75" x14ac:dyDescent="0.2">
      <c r="A87" s="48" t="s">
        <v>70</v>
      </c>
      <c r="B87" s="9">
        <v>39</v>
      </c>
      <c r="C87" s="9" t="s">
        <v>936</v>
      </c>
      <c r="D87" s="9" t="s">
        <v>24</v>
      </c>
      <c r="E87" s="9" t="s">
        <v>31</v>
      </c>
      <c r="F87" s="9" t="s">
        <v>47</v>
      </c>
      <c r="G87" s="10" t="s">
        <v>27</v>
      </c>
      <c r="H87" s="13"/>
      <c r="I87" s="13"/>
      <c r="J87" s="13"/>
    </row>
    <row r="88" spans="1:10" ht="12.75" x14ac:dyDescent="0.2">
      <c r="A88" s="52"/>
      <c r="B88" s="9">
        <v>39</v>
      </c>
      <c r="C88" s="9" t="s">
        <v>945</v>
      </c>
      <c r="D88" s="9" t="s">
        <v>24</v>
      </c>
      <c r="E88" s="9" t="s">
        <v>31</v>
      </c>
      <c r="F88" s="9" t="s">
        <v>47</v>
      </c>
      <c r="G88" s="10" t="s">
        <v>27</v>
      </c>
      <c r="H88" s="13"/>
      <c r="I88" s="13"/>
      <c r="J88" s="13"/>
    </row>
    <row r="89" spans="1:10" ht="12.75" x14ac:dyDescent="0.2">
      <c r="A89" s="52"/>
      <c r="B89" s="9">
        <v>39</v>
      </c>
      <c r="C89" s="9" t="s">
        <v>946</v>
      </c>
      <c r="D89" s="9" t="s">
        <v>24</v>
      </c>
      <c r="E89" s="9" t="s">
        <v>31</v>
      </c>
      <c r="F89" s="9" t="s">
        <v>47</v>
      </c>
      <c r="G89" s="10" t="s">
        <v>27</v>
      </c>
      <c r="H89" s="13"/>
      <c r="I89" s="13"/>
      <c r="J89" s="13"/>
    </row>
    <row r="90" spans="1:10" ht="12.75" x14ac:dyDescent="0.2">
      <c r="A90" s="53"/>
      <c r="B90" s="9">
        <v>39</v>
      </c>
      <c r="C90" s="9" t="s">
        <v>934</v>
      </c>
      <c r="D90" s="9" t="s">
        <v>24</v>
      </c>
      <c r="E90" s="9" t="s">
        <v>31</v>
      </c>
      <c r="F90" s="9" t="s">
        <v>47</v>
      </c>
      <c r="G90" s="10" t="s">
        <v>27</v>
      </c>
      <c r="H90" s="13"/>
      <c r="I90" s="13"/>
      <c r="J90" s="13"/>
    </row>
    <row r="91" spans="1:10" ht="12.75" x14ac:dyDescent="0.2">
      <c r="A91" s="48" t="s">
        <v>73</v>
      </c>
      <c r="B91" s="9">
        <v>39</v>
      </c>
      <c r="C91" s="9" t="s">
        <v>894</v>
      </c>
      <c r="D91" s="9" t="s">
        <v>24</v>
      </c>
      <c r="E91" s="9" t="s">
        <v>31</v>
      </c>
      <c r="F91" s="9" t="s">
        <v>26</v>
      </c>
      <c r="G91" s="10" t="s">
        <v>27</v>
      </c>
      <c r="H91" s="13"/>
      <c r="I91" s="13"/>
      <c r="J91" s="13"/>
    </row>
    <row r="92" spans="1:10" ht="12.75" x14ac:dyDescent="0.2">
      <c r="A92" s="52"/>
      <c r="B92" s="9">
        <v>39</v>
      </c>
      <c r="C92" s="9" t="s">
        <v>947</v>
      </c>
      <c r="D92" s="9" t="s">
        <v>24</v>
      </c>
      <c r="E92" s="9" t="s">
        <v>31</v>
      </c>
      <c r="F92" s="9" t="s">
        <v>26</v>
      </c>
      <c r="G92" s="10" t="s">
        <v>27</v>
      </c>
      <c r="H92" s="13"/>
      <c r="I92" s="13"/>
      <c r="J92" s="13"/>
    </row>
    <row r="93" spans="1:10" ht="12.75" x14ac:dyDescent="0.2">
      <c r="A93" s="52"/>
      <c r="B93" s="9">
        <v>39</v>
      </c>
      <c r="C93" s="9" t="s">
        <v>868</v>
      </c>
      <c r="D93" s="9" t="s">
        <v>30</v>
      </c>
      <c r="E93" s="9" t="s">
        <v>31</v>
      </c>
      <c r="F93" s="9" t="s">
        <v>26</v>
      </c>
      <c r="G93" s="10" t="s">
        <v>27</v>
      </c>
      <c r="H93" s="13"/>
      <c r="I93" s="13"/>
      <c r="J93" s="13"/>
    </row>
    <row r="94" spans="1:10" ht="12.75" x14ac:dyDescent="0.2">
      <c r="A94" s="53"/>
      <c r="B94" s="9">
        <v>39</v>
      </c>
      <c r="C94" s="9" t="s">
        <v>948</v>
      </c>
      <c r="D94" s="9" t="s">
        <v>30</v>
      </c>
      <c r="E94" s="9" t="s">
        <v>31</v>
      </c>
      <c r="F94" s="9" t="s">
        <v>26</v>
      </c>
      <c r="G94" s="10" t="s">
        <v>27</v>
      </c>
      <c r="H94" s="13"/>
      <c r="I94" s="13"/>
      <c r="J94" s="13"/>
    </row>
    <row r="95" spans="1:10" ht="12.75" x14ac:dyDescent="0.2">
      <c r="A95" s="48" t="s">
        <v>77</v>
      </c>
      <c r="B95" s="9">
        <v>39</v>
      </c>
      <c r="C95" s="9" t="s">
        <v>949</v>
      </c>
      <c r="D95" s="9" t="s">
        <v>24</v>
      </c>
      <c r="E95" s="9" t="s">
        <v>31</v>
      </c>
      <c r="F95" s="9" t="s">
        <v>26</v>
      </c>
      <c r="G95" s="10" t="s">
        <v>27</v>
      </c>
      <c r="H95" s="13"/>
      <c r="I95" s="13"/>
      <c r="J95" s="13"/>
    </row>
    <row r="96" spans="1:10" ht="12.75" x14ac:dyDescent="0.2">
      <c r="A96" s="52"/>
      <c r="B96" s="9">
        <v>39</v>
      </c>
      <c r="C96" s="9" t="s">
        <v>939</v>
      </c>
      <c r="D96" s="9" t="s">
        <v>24</v>
      </c>
      <c r="E96" s="9" t="s">
        <v>31</v>
      </c>
      <c r="F96" s="9" t="s">
        <v>26</v>
      </c>
      <c r="G96" s="10" t="s">
        <v>27</v>
      </c>
      <c r="H96" s="13"/>
      <c r="I96" s="13"/>
      <c r="J96" s="13"/>
    </row>
    <row r="97" spans="1:10" ht="12.75" x14ac:dyDescent="0.2">
      <c r="A97" s="52"/>
      <c r="B97" s="9">
        <v>39</v>
      </c>
      <c r="C97" s="9" t="s">
        <v>950</v>
      </c>
      <c r="D97" s="9" t="s">
        <v>24</v>
      </c>
      <c r="E97" s="9" t="s">
        <v>31</v>
      </c>
      <c r="F97" s="9" t="s">
        <v>26</v>
      </c>
      <c r="G97" s="10" t="s">
        <v>27</v>
      </c>
      <c r="H97" s="13"/>
      <c r="I97" s="13"/>
      <c r="J97" s="13"/>
    </row>
    <row r="98" spans="1:10" ht="12.75" x14ac:dyDescent="0.2">
      <c r="A98" s="52"/>
      <c r="B98" s="9">
        <v>39</v>
      </c>
      <c r="C98" s="9" t="s">
        <v>895</v>
      </c>
      <c r="D98" s="9" t="s">
        <v>24</v>
      </c>
      <c r="E98" s="9" t="s">
        <v>31</v>
      </c>
      <c r="F98" s="9" t="s">
        <v>26</v>
      </c>
      <c r="G98" s="10" t="s">
        <v>27</v>
      </c>
      <c r="H98" s="13"/>
      <c r="I98" s="13"/>
      <c r="J98" s="13"/>
    </row>
    <row r="99" spans="1:10" ht="12.75" x14ac:dyDescent="0.2">
      <c r="A99" s="52"/>
      <c r="B99" s="9">
        <v>39</v>
      </c>
      <c r="C99" s="9" t="s">
        <v>894</v>
      </c>
      <c r="D99" s="9" t="s">
        <v>24</v>
      </c>
      <c r="E99" s="9" t="s">
        <v>31</v>
      </c>
      <c r="F99" s="9" t="s">
        <v>26</v>
      </c>
      <c r="G99" s="10" t="s">
        <v>27</v>
      </c>
      <c r="H99" s="13"/>
      <c r="I99" s="13"/>
      <c r="J99" s="13"/>
    </row>
    <row r="100" spans="1:10" ht="12.75" x14ac:dyDescent="0.2">
      <c r="A100" s="52"/>
      <c r="B100" s="9">
        <v>39</v>
      </c>
      <c r="C100" s="9" t="s">
        <v>868</v>
      </c>
      <c r="D100" s="9" t="s">
        <v>30</v>
      </c>
      <c r="E100" s="9" t="s">
        <v>31</v>
      </c>
      <c r="F100" s="9" t="s">
        <v>26</v>
      </c>
      <c r="G100" s="10" t="s">
        <v>27</v>
      </c>
      <c r="H100" s="13"/>
      <c r="I100" s="13"/>
      <c r="J100" s="13"/>
    </row>
    <row r="101" spans="1:10" ht="12.75" x14ac:dyDescent="0.2">
      <c r="A101" s="53"/>
      <c r="B101" s="9">
        <v>39</v>
      </c>
      <c r="C101" s="9" t="s">
        <v>951</v>
      </c>
      <c r="D101" s="9" t="s">
        <v>24</v>
      </c>
      <c r="E101" s="9" t="s">
        <v>31</v>
      </c>
      <c r="F101" s="9" t="s">
        <v>26</v>
      </c>
      <c r="G101" s="10" t="s">
        <v>27</v>
      </c>
      <c r="H101" s="13"/>
      <c r="I101" s="13"/>
      <c r="J101" s="13"/>
    </row>
    <row r="102" spans="1:10" ht="12.75" x14ac:dyDescent="0.2">
      <c r="A102" s="48" t="s">
        <v>79</v>
      </c>
      <c r="B102" s="12">
        <v>39</v>
      </c>
      <c r="C102" s="12" t="s">
        <v>947</v>
      </c>
      <c r="D102" s="12" t="s">
        <v>24</v>
      </c>
      <c r="E102" s="12" t="s">
        <v>25</v>
      </c>
      <c r="F102" s="12" t="s">
        <v>26</v>
      </c>
      <c r="G102" s="10" t="s">
        <v>27</v>
      </c>
      <c r="H102" s="13"/>
      <c r="I102" s="13"/>
      <c r="J102" s="13"/>
    </row>
    <row r="103" spans="1:10" ht="12.75" x14ac:dyDescent="0.2">
      <c r="A103" s="52"/>
      <c r="B103" s="12">
        <v>39</v>
      </c>
      <c r="C103" s="12" t="s">
        <v>894</v>
      </c>
      <c r="D103" s="12" t="s">
        <v>24</v>
      </c>
      <c r="E103" s="12" t="s">
        <v>25</v>
      </c>
      <c r="F103" s="12" t="s">
        <v>26</v>
      </c>
      <c r="G103" s="10" t="s">
        <v>27</v>
      </c>
      <c r="H103" s="13"/>
      <c r="I103" s="13"/>
      <c r="J103" s="13"/>
    </row>
    <row r="104" spans="1:10" ht="12.75" x14ac:dyDescent="0.2">
      <c r="A104" s="52"/>
      <c r="B104" s="12">
        <v>39</v>
      </c>
      <c r="C104" s="12" t="s">
        <v>895</v>
      </c>
      <c r="D104" s="12" t="s">
        <v>24</v>
      </c>
      <c r="E104" s="12" t="s">
        <v>25</v>
      </c>
      <c r="F104" s="12" t="s">
        <v>26</v>
      </c>
      <c r="G104" s="10" t="s">
        <v>27</v>
      </c>
      <c r="H104" s="13"/>
      <c r="I104" s="13"/>
      <c r="J104" s="13"/>
    </row>
    <row r="105" spans="1:10" ht="12.75" x14ac:dyDescent="0.2">
      <c r="A105" s="52"/>
      <c r="B105" s="12">
        <v>39</v>
      </c>
      <c r="C105" s="12" t="s">
        <v>952</v>
      </c>
      <c r="D105" s="12" t="s">
        <v>24</v>
      </c>
      <c r="E105" s="12" t="s">
        <v>25</v>
      </c>
      <c r="F105" s="12" t="s">
        <v>26</v>
      </c>
      <c r="G105" s="10" t="s">
        <v>27</v>
      </c>
      <c r="H105" s="13"/>
      <c r="I105" s="13"/>
      <c r="J105" s="13"/>
    </row>
    <row r="106" spans="1:10" ht="12.75" x14ac:dyDescent="0.2">
      <c r="A106" s="52"/>
      <c r="B106" s="12">
        <v>39</v>
      </c>
      <c r="C106" s="12" t="s">
        <v>868</v>
      </c>
      <c r="D106" s="12" t="s">
        <v>30</v>
      </c>
      <c r="E106" s="12" t="s">
        <v>25</v>
      </c>
      <c r="F106" s="12" t="s">
        <v>26</v>
      </c>
      <c r="G106" s="10" t="s">
        <v>27</v>
      </c>
      <c r="H106" s="13"/>
      <c r="I106" s="13"/>
      <c r="J106" s="13"/>
    </row>
    <row r="107" spans="1:10" ht="12.75" x14ac:dyDescent="0.2">
      <c r="A107" s="52"/>
      <c r="B107" s="12">
        <v>39</v>
      </c>
      <c r="C107" s="12" t="s">
        <v>953</v>
      </c>
      <c r="D107" s="12" t="s">
        <v>24</v>
      </c>
      <c r="E107" s="12" t="s">
        <v>25</v>
      </c>
      <c r="F107" s="12" t="s">
        <v>26</v>
      </c>
      <c r="G107" s="10" t="s">
        <v>27</v>
      </c>
      <c r="H107" s="13"/>
      <c r="I107" s="13"/>
      <c r="J107" s="13"/>
    </row>
    <row r="108" spans="1:10" ht="12.75" x14ac:dyDescent="0.2">
      <c r="A108" s="52"/>
      <c r="B108" s="12">
        <v>39</v>
      </c>
      <c r="C108" s="12" t="s">
        <v>954</v>
      </c>
      <c r="D108" s="12" t="s">
        <v>24</v>
      </c>
      <c r="E108" s="12" t="s">
        <v>25</v>
      </c>
      <c r="F108" s="12" t="s">
        <v>26</v>
      </c>
      <c r="G108" s="10" t="s">
        <v>27</v>
      </c>
      <c r="H108" s="13"/>
      <c r="I108" s="13"/>
      <c r="J108" s="13"/>
    </row>
    <row r="109" spans="1:10" ht="12.75" x14ac:dyDescent="0.2">
      <c r="A109" s="52"/>
      <c r="B109" s="12">
        <v>39</v>
      </c>
      <c r="C109" s="12" t="s">
        <v>955</v>
      </c>
      <c r="D109" s="12" t="s">
        <v>24</v>
      </c>
      <c r="E109" s="12" t="s">
        <v>25</v>
      </c>
      <c r="F109" s="12" t="s">
        <v>26</v>
      </c>
      <c r="G109" s="10" t="s">
        <v>27</v>
      </c>
      <c r="H109" s="13"/>
      <c r="I109" s="13"/>
      <c r="J109" s="13"/>
    </row>
    <row r="110" spans="1:10" ht="12.75" x14ac:dyDescent="0.2">
      <c r="A110" s="53"/>
      <c r="B110" s="12">
        <v>39</v>
      </c>
      <c r="C110" s="12" t="s">
        <v>900</v>
      </c>
      <c r="D110" s="12" t="s">
        <v>24</v>
      </c>
      <c r="E110" s="12" t="s">
        <v>25</v>
      </c>
      <c r="F110" s="12" t="s">
        <v>26</v>
      </c>
      <c r="G110" s="10" t="s">
        <v>27</v>
      </c>
      <c r="H110" s="13"/>
      <c r="I110" s="13"/>
      <c r="J110" s="13"/>
    </row>
    <row r="111" spans="1:10" ht="12.75" x14ac:dyDescent="0.2">
      <c r="A111" s="48" t="s">
        <v>83</v>
      </c>
      <c r="B111" s="9">
        <v>39</v>
      </c>
      <c r="C111" s="9" t="s">
        <v>953</v>
      </c>
      <c r="D111" s="9" t="s">
        <v>24</v>
      </c>
      <c r="E111" s="9" t="s">
        <v>31</v>
      </c>
      <c r="F111" s="9" t="s">
        <v>26</v>
      </c>
      <c r="G111" s="10" t="s">
        <v>27</v>
      </c>
      <c r="H111" s="13"/>
      <c r="I111" s="13"/>
      <c r="J111" s="13"/>
    </row>
    <row r="112" spans="1:10" ht="12.75" x14ac:dyDescent="0.2">
      <c r="A112" s="52"/>
      <c r="B112" s="9">
        <v>39</v>
      </c>
      <c r="C112" s="9" t="s">
        <v>868</v>
      </c>
      <c r="D112" s="9" t="s">
        <v>30</v>
      </c>
      <c r="E112" s="9" t="s">
        <v>31</v>
      </c>
      <c r="F112" s="9" t="s">
        <v>26</v>
      </c>
      <c r="G112" s="10" t="s">
        <v>27</v>
      </c>
      <c r="H112" s="13"/>
      <c r="I112" s="13"/>
      <c r="J112" s="13"/>
    </row>
    <row r="113" spans="1:10" ht="12.75" x14ac:dyDescent="0.2">
      <c r="A113" s="52"/>
      <c r="B113" s="9">
        <v>39</v>
      </c>
      <c r="C113" s="9" t="s">
        <v>895</v>
      </c>
      <c r="D113" s="9" t="s">
        <v>24</v>
      </c>
      <c r="E113" s="9" t="s">
        <v>31</v>
      </c>
      <c r="F113" s="9" t="s">
        <v>26</v>
      </c>
      <c r="G113" s="10" t="s">
        <v>27</v>
      </c>
      <c r="H113" s="13"/>
      <c r="I113" s="13"/>
      <c r="J113" s="13"/>
    </row>
    <row r="114" spans="1:10" ht="12.75" x14ac:dyDescent="0.2">
      <c r="A114" s="52"/>
      <c r="B114" s="9">
        <v>39</v>
      </c>
      <c r="C114" s="9" t="s">
        <v>947</v>
      </c>
      <c r="D114" s="9" t="s">
        <v>24</v>
      </c>
      <c r="E114" s="9" t="s">
        <v>31</v>
      </c>
      <c r="F114" s="9" t="s">
        <v>26</v>
      </c>
      <c r="G114" s="10" t="s">
        <v>27</v>
      </c>
      <c r="H114" s="13"/>
      <c r="I114" s="13"/>
      <c r="J114" s="13"/>
    </row>
    <row r="115" spans="1:10" ht="12.75" x14ac:dyDescent="0.2">
      <c r="A115" s="52"/>
      <c r="B115" s="9">
        <v>39</v>
      </c>
      <c r="C115" s="9" t="s">
        <v>894</v>
      </c>
      <c r="D115" s="9" t="s">
        <v>24</v>
      </c>
      <c r="E115" s="9" t="s">
        <v>31</v>
      </c>
      <c r="F115" s="9" t="s">
        <v>26</v>
      </c>
      <c r="G115" s="10" t="s">
        <v>27</v>
      </c>
      <c r="H115" s="13"/>
      <c r="I115" s="13"/>
      <c r="J115" s="13"/>
    </row>
    <row r="116" spans="1:10" ht="12.75" x14ac:dyDescent="0.2">
      <c r="A116" s="52"/>
      <c r="B116" s="9">
        <v>39</v>
      </c>
      <c r="C116" s="9" t="s">
        <v>922</v>
      </c>
      <c r="D116" s="9" t="s">
        <v>24</v>
      </c>
      <c r="E116" s="9" t="s">
        <v>31</v>
      </c>
      <c r="F116" s="9" t="s">
        <v>26</v>
      </c>
      <c r="G116" s="10" t="s">
        <v>27</v>
      </c>
      <c r="H116" s="13"/>
      <c r="I116" s="13"/>
      <c r="J116" s="13"/>
    </row>
    <row r="117" spans="1:10" ht="12.75" x14ac:dyDescent="0.2">
      <c r="A117" s="52"/>
      <c r="B117" s="9">
        <v>39</v>
      </c>
      <c r="C117" s="9" t="s">
        <v>952</v>
      </c>
      <c r="D117" s="9" t="s">
        <v>24</v>
      </c>
      <c r="E117" s="9" t="s">
        <v>31</v>
      </c>
      <c r="F117" s="9" t="s">
        <v>26</v>
      </c>
      <c r="G117" s="10" t="s">
        <v>27</v>
      </c>
      <c r="H117" s="13"/>
      <c r="I117" s="13"/>
      <c r="J117" s="13"/>
    </row>
    <row r="118" spans="1:10" ht="12.75" x14ac:dyDescent="0.2">
      <c r="A118" s="52"/>
      <c r="B118" s="9">
        <v>39</v>
      </c>
      <c r="C118" s="9" t="s">
        <v>940</v>
      </c>
      <c r="D118" s="9" t="s">
        <v>24</v>
      </c>
      <c r="E118" s="9" t="s">
        <v>31</v>
      </c>
      <c r="F118" s="9" t="s">
        <v>26</v>
      </c>
      <c r="G118" s="10" t="s">
        <v>27</v>
      </c>
      <c r="H118" s="13"/>
      <c r="I118" s="13"/>
      <c r="J118" s="13"/>
    </row>
    <row r="119" spans="1:10" ht="12.75" x14ac:dyDescent="0.2">
      <c r="A119" s="52"/>
      <c r="B119" s="9">
        <v>39</v>
      </c>
      <c r="C119" s="9" t="s">
        <v>950</v>
      </c>
      <c r="D119" s="9" t="s">
        <v>30</v>
      </c>
      <c r="E119" s="9" t="s">
        <v>31</v>
      </c>
      <c r="F119" s="9" t="s">
        <v>26</v>
      </c>
      <c r="G119" s="10" t="s">
        <v>27</v>
      </c>
      <c r="H119" s="13"/>
      <c r="I119" s="13"/>
      <c r="J119" s="13"/>
    </row>
    <row r="120" spans="1:10" ht="12.75" x14ac:dyDescent="0.2">
      <c r="A120" s="52"/>
      <c r="B120" s="9">
        <v>39</v>
      </c>
      <c r="C120" s="9" t="s">
        <v>954</v>
      </c>
      <c r="D120" s="9" t="s">
        <v>24</v>
      </c>
      <c r="E120" s="9" t="s">
        <v>31</v>
      </c>
      <c r="F120" s="9" t="s">
        <v>87</v>
      </c>
      <c r="G120" s="10" t="s">
        <v>27</v>
      </c>
      <c r="H120" s="13"/>
      <c r="I120" s="13"/>
      <c r="J120" s="13"/>
    </row>
    <row r="121" spans="1:10" ht="12.75" x14ac:dyDescent="0.2">
      <c r="A121" s="52"/>
      <c r="B121" s="9">
        <v>39</v>
      </c>
      <c r="C121" s="9" t="s">
        <v>956</v>
      </c>
      <c r="D121" s="9" t="s">
        <v>24</v>
      </c>
      <c r="E121" s="9" t="s">
        <v>31</v>
      </c>
      <c r="F121" s="9" t="s">
        <v>87</v>
      </c>
      <c r="G121" s="10" t="s">
        <v>27</v>
      </c>
      <c r="H121" s="13"/>
      <c r="I121" s="13"/>
      <c r="J121" s="13"/>
    </row>
    <row r="122" spans="1:10" ht="12.75" x14ac:dyDescent="0.2">
      <c r="A122" s="52"/>
      <c r="B122" s="9">
        <v>39</v>
      </c>
      <c r="C122" s="9" t="s">
        <v>900</v>
      </c>
      <c r="D122" s="9" t="s">
        <v>30</v>
      </c>
      <c r="E122" s="9" t="s">
        <v>31</v>
      </c>
      <c r="F122" s="9" t="s">
        <v>87</v>
      </c>
      <c r="G122" s="10" t="s">
        <v>27</v>
      </c>
      <c r="H122" s="13"/>
      <c r="I122" s="13"/>
      <c r="J122" s="13"/>
    </row>
    <row r="123" spans="1:10" ht="12.75" x14ac:dyDescent="0.2">
      <c r="A123" s="52"/>
      <c r="B123" s="9">
        <v>39</v>
      </c>
      <c r="C123" s="9" t="s">
        <v>957</v>
      </c>
      <c r="D123" s="9" t="s">
        <v>24</v>
      </c>
      <c r="E123" s="9" t="s">
        <v>31</v>
      </c>
      <c r="F123" s="9" t="s">
        <v>87</v>
      </c>
      <c r="G123" s="10" t="s">
        <v>27</v>
      </c>
      <c r="H123" s="13"/>
      <c r="I123" s="13"/>
      <c r="J123" s="13"/>
    </row>
    <row r="124" spans="1:10" ht="12.75" x14ac:dyDescent="0.2">
      <c r="A124" s="53"/>
      <c r="B124" s="9">
        <v>39</v>
      </c>
      <c r="C124" s="9" t="s">
        <v>958</v>
      </c>
      <c r="D124" s="9" t="s">
        <v>24</v>
      </c>
      <c r="E124" s="9" t="s">
        <v>31</v>
      </c>
      <c r="F124" s="9" t="s">
        <v>26</v>
      </c>
      <c r="G124" s="10" t="s">
        <v>27</v>
      </c>
      <c r="H124" s="13"/>
      <c r="I124" s="13"/>
      <c r="J124" s="13"/>
    </row>
    <row r="125" spans="1:10" ht="12.75" x14ac:dyDescent="0.2">
      <c r="A125" s="48" t="s">
        <v>85</v>
      </c>
      <c r="B125" s="9">
        <v>39</v>
      </c>
      <c r="C125" s="9" t="s">
        <v>959</v>
      </c>
      <c r="D125" s="9" t="s">
        <v>24</v>
      </c>
      <c r="E125" s="9" t="s">
        <v>31</v>
      </c>
      <c r="F125" s="9" t="s">
        <v>26</v>
      </c>
      <c r="G125" s="10" t="s">
        <v>27</v>
      </c>
      <c r="H125" s="13"/>
      <c r="I125" s="13"/>
      <c r="J125" s="13"/>
    </row>
    <row r="126" spans="1:10" ht="12.75" x14ac:dyDescent="0.2">
      <c r="A126" s="52"/>
      <c r="B126" s="9">
        <v>39</v>
      </c>
      <c r="C126" s="9" t="s">
        <v>950</v>
      </c>
      <c r="D126" s="9" t="s">
        <v>24</v>
      </c>
      <c r="E126" s="9" t="s">
        <v>31</v>
      </c>
      <c r="F126" s="9" t="s">
        <v>26</v>
      </c>
      <c r="G126" s="10" t="s">
        <v>27</v>
      </c>
      <c r="H126" s="13"/>
      <c r="I126" s="13"/>
      <c r="J126" s="13"/>
    </row>
    <row r="127" spans="1:10" ht="12.75" x14ac:dyDescent="0.2">
      <c r="A127" s="52"/>
      <c r="B127" s="9">
        <v>39</v>
      </c>
      <c r="C127" s="9" t="s">
        <v>940</v>
      </c>
      <c r="D127" s="9" t="s">
        <v>24</v>
      </c>
      <c r="E127" s="9" t="s">
        <v>31</v>
      </c>
      <c r="F127" s="9" t="s">
        <v>26</v>
      </c>
      <c r="G127" s="10" t="s">
        <v>27</v>
      </c>
      <c r="H127" s="13"/>
      <c r="I127" s="13"/>
      <c r="J127" s="13"/>
    </row>
    <row r="128" spans="1:10" ht="12.75" x14ac:dyDescent="0.2">
      <c r="A128" s="52"/>
      <c r="B128" s="9">
        <v>39</v>
      </c>
      <c r="C128" s="9" t="s">
        <v>952</v>
      </c>
      <c r="D128" s="9" t="s">
        <v>24</v>
      </c>
      <c r="E128" s="9" t="s">
        <v>31</v>
      </c>
      <c r="F128" s="9" t="s">
        <v>26</v>
      </c>
      <c r="G128" s="10" t="s">
        <v>27</v>
      </c>
      <c r="H128" s="13"/>
      <c r="I128" s="13"/>
      <c r="J128" s="13"/>
    </row>
    <row r="129" spans="1:10" ht="12.75" x14ac:dyDescent="0.2">
      <c r="A129" s="52"/>
      <c r="B129" s="9">
        <v>39</v>
      </c>
      <c r="C129" s="9" t="s">
        <v>922</v>
      </c>
      <c r="D129" s="9" t="s">
        <v>24</v>
      </c>
      <c r="E129" s="9" t="s">
        <v>31</v>
      </c>
      <c r="F129" s="9" t="s">
        <v>26</v>
      </c>
      <c r="G129" s="10" t="s">
        <v>27</v>
      </c>
      <c r="H129" s="13"/>
      <c r="I129" s="13"/>
      <c r="J129" s="13"/>
    </row>
    <row r="130" spans="1:10" ht="12.75" x14ac:dyDescent="0.2">
      <c r="A130" s="52"/>
      <c r="B130" s="9">
        <v>39</v>
      </c>
      <c r="C130" s="9" t="s">
        <v>868</v>
      </c>
      <c r="D130" s="9" t="s">
        <v>30</v>
      </c>
      <c r="E130" s="9" t="s">
        <v>31</v>
      </c>
      <c r="F130" s="9" t="s">
        <v>26</v>
      </c>
      <c r="G130" s="10" t="s">
        <v>27</v>
      </c>
      <c r="H130" s="13"/>
      <c r="I130" s="13"/>
      <c r="J130" s="13"/>
    </row>
    <row r="131" spans="1:10" ht="12.75" x14ac:dyDescent="0.2">
      <c r="A131" s="53"/>
      <c r="B131" s="9">
        <v>39</v>
      </c>
      <c r="C131" s="9" t="s">
        <v>957</v>
      </c>
      <c r="D131" s="9" t="s">
        <v>24</v>
      </c>
      <c r="E131" s="9" t="s">
        <v>25</v>
      </c>
      <c r="F131" s="9" t="s">
        <v>87</v>
      </c>
      <c r="G131" s="10" t="s">
        <v>27</v>
      </c>
      <c r="H131" s="13"/>
      <c r="I131" s="13"/>
      <c r="J131" s="13"/>
    </row>
    <row r="132" spans="1:10" ht="12.75" x14ac:dyDescent="0.2">
      <c r="A132" s="13"/>
      <c r="B132" s="13"/>
      <c r="C132" s="13"/>
      <c r="D132" s="13"/>
      <c r="E132" s="13"/>
      <c r="F132" s="13"/>
      <c r="G132" s="13"/>
      <c r="H132" s="13"/>
      <c r="I132" s="13"/>
      <c r="J132" s="13"/>
    </row>
    <row r="133" spans="1:10" ht="12.75" x14ac:dyDescent="0.2">
      <c r="A133" s="13"/>
      <c r="B133" s="13"/>
      <c r="C133" s="13"/>
      <c r="D133" s="13"/>
      <c r="E133" s="13"/>
      <c r="F133" s="13"/>
      <c r="G133" s="13"/>
      <c r="H133" s="13"/>
      <c r="I133" s="13"/>
      <c r="J133" s="13"/>
    </row>
  </sheetData>
  <mergeCells count="18">
    <mergeCell ref="A125:A131"/>
    <mergeCell ref="A59:A66"/>
    <mergeCell ref="A67:A69"/>
    <mergeCell ref="A70:A76"/>
    <mergeCell ref="A77:A79"/>
    <mergeCell ref="A80:A86"/>
    <mergeCell ref="A87:A90"/>
    <mergeCell ref="A91:A94"/>
    <mergeCell ref="A46:A54"/>
    <mergeCell ref="A55:A58"/>
    <mergeCell ref="A95:A101"/>
    <mergeCell ref="A102:A110"/>
    <mergeCell ref="A111:A124"/>
    <mergeCell ref="A1:G1"/>
    <mergeCell ref="A9:A15"/>
    <mergeCell ref="A16:A24"/>
    <mergeCell ref="A25:A32"/>
    <mergeCell ref="A33:A4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M50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13" ht="15.75" customHeight="1" x14ac:dyDescent="0.25">
      <c r="A1" s="54" t="s">
        <v>0</v>
      </c>
      <c r="B1" s="55"/>
      <c r="C1" s="55"/>
      <c r="D1" s="55"/>
      <c r="E1" s="55"/>
      <c r="F1" s="55"/>
      <c r="G1" s="56"/>
    </row>
    <row r="2" spans="1:13" x14ac:dyDescent="0.2">
      <c r="A2" s="1"/>
      <c r="B2" s="2"/>
      <c r="C2" s="2"/>
      <c r="D2" s="2"/>
      <c r="E2" s="2"/>
      <c r="F2" s="2"/>
      <c r="G2" s="2"/>
    </row>
    <row r="3" spans="1:13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13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13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13" x14ac:dyDescent="0.2">
      <c r="A6" s="1"/>
      <c r="B6" s="2"/>
      <c r="C6" s="2"/>
      <c r="D6" s="2"/>
      <c r="E6" s="2"/>
      <c r="F6" s="2"/>
      <c r="G6" s="2"/>
    </row>
    <row r="7" spans="1:13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13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13" x14ac:dyDescent="0.2">
      <c r="A9" s="9" t="s">
        <v>20</v>
      </c>
      <c r="B9" s="12">
        <v>40</v>
      </c>
      <c r="C9" s="9" t="s">
        <v>21</v>
      </c>
      <c r="D9" s="9" t="s">
        <v>21</v>
      </c>
      <c r="E9" s="9" t="s">
        <v>21</v>
      </c>
      <c r="F9" s="9" t="s">
        <v>21</v>
      </c>
      <c r="G9" s="10" t="s">
        <v>21</v>
      </c>
      <c r="H9" s="11"/>
      <c r="I9" s="11"/>
      <c r="J9" s="11"/>
      <c r="K9" s="11"/>
      <c r="L9" s="11"/>
      <c r="M9" s="11"/>
    </row>
    <row r="10" spans="1:13" x14ac:dyDescent="0.2">
      <c r="A10" s="9" t="s">
        <v>22</v>
      </c>
      <c r="B10" s="9">
        <v>40</v>
      </c>
      <c r="C10" s="9" t="s">
        <v>21</v>
      </c>
      <c r="D10" s="9" t="s">
        <v>21</v>
      </c>
      <c r="E10" s="9" t="s">
        <v>21</v>
      </c>
      <c r="F10" s="9" t="s">
        <v>21</v>
      </c>
      <c r="G10" s="10" t="s">
        <v>21</v>
      </c>
      <c r="H10" s="11"/>
      <c r="I10" s="11"/>
      <c r="J10" s="11"/>
      <c r="K10" s="11"/>
      <c r="L10" s="11"/>
      <c r="M10" s="11"/>
    </row>
    <row r="11" spans="1:13" x14ac:dyDescent="0.2">
      <c r="A11" s="9" t="s">
        <v>28</v>
      </c>
      <c r="B11" s="9">
        <v>40</v>
      </c>
      <c r="C11" s="9" t="s">
        <v>21</v>
      </c>
      <c r="D11" s="9" t="s">
        <v>21</v>
      </c>
      <c r="E11" s="9" t="s">
        <v>21</v>
      </c>
      <c r="F11" s="9" t="s">
        <v>21</v>
      </c>
      <c r="G11" s="10" t="s">
        <v>21</v>
      </c>
      <c r="H11" s="11"/>
      <c r="I11" s="11"/>
      <c r="J11" s="11"/>
      <c r="K11" s="11"/>
      <c r="L11" s="11"/>
      <c r="M11" s="11"/>
    </row>
    <row r="12" spans="1:13" x14ac:dyDescent="0.2">
      <c r="A12" s="9" t="s">
        <v>33</v>
      </c>
      <c r="B12" s="9">
        <v>40</v>
      </c>
      <c r="C12" s="9" t="s">
        <v>21</v>
      </c>
      <c r="D12" s="9" t="s">
        <v>21</v>
      </c>
      <c r="E12" s="9" t="s">
        <v>21</v>
      </c>
      <c r="F12" s="9" t="s">
        <v>21</v>
      </c>
      <c r="G12" s="9" t="s">
        <v>21</v>
      </c>
      <c r="H12" s="11"/>
      <c r="I12" s="11"/>
      <c r="J12" s="11"/>
      <c r="K12" s="11"/>
      <c r="L12" s="11"/>
      <c r="M12" s="11"/>
    </row>
    <row r="13" spans="1:13" x14ac:dyDescent="0.2">
      <c r="A13" s="9" t="s">
        <v>38</v>
      </c>
      <c r="B13" s="9">
        <v>40</v>
      </c>
      <c r="C13" s="9" t="s">
        <v>21</v>
      </c>
      <c r="D13" s="9" t="s">
        <v>21</v>
      </c>
      <c r="E13" s="9" t="s">
        <v>21</v>
      </c>
      <c r="F13" s="9" t="s">
        <v>21</v>
      </c>
      <c r="G13" s="10" t="s">
        <v>21</v>
      </c>
      <c r="H13" s="11"/>
      <c r="I13" s="11"/>
      <c r="J13" s="11"/>
      <c r="K13" s="11"/>
      <c r="L13" s="11"/>
      <c r="M13" s="11"/>
    </row>
    <row r="14" spans="1:13" x14ac:dyDescent="0.2">
      <c r="A14" s="9" t="s">
        <v>46</v>
      </c>
      <c r="B14" s="9">
        <v>40</v>
      </c>
      <c r="C14" s="9" t="s">
        <v>21</v>
      </c>
      <c r="D14" s="9" t="s">
        <v>21</v>
      </c>
      <c r="E14" s="9" t="s">
        <v>21</v>
      </c>
      <c r="F14" s="9" t="s">
        <v>21</v>
      </c>
      <c r="G14" s="10" t="s">
        <v>21</v>
      </c>
      <c r="H14" s="11"/>
      <c r="I14" s="11"/>
      <c r="J14" s="11"/>
      <c r="K14" s="11"/>
      <c r="L14" s="11"/>
      <c r="M14" s="11"/>
    </row>
    <row r="15" spans="1:13" x14ac:dyDescent="0.2">
      <c r="A15" s="9" t="s">
        <v>49</v>
      </c>
      <c r="B15" s="9">
        <v>40</v>
      </c>
      <c r="C15" s="9" t="s">
        <v>21</v>
      </c>
      <c r="D15" s="9" t="s">
        <v>21</v>
      </c>
      <c r="E15" s="9" t="s">
        <v>21</v>
      </c>
      <c r="F15" s="9" t="s">
        <v>21</v>
      </c>
      <c r="G15" s="10" t="s">
        <v>21</v>
      </c>
      <c r="H15" s="11"/>
      <c r="I15" s="11"/>
      <c r="J15" s="11"/>
      <c r="K15" s="11"/>
      <c r="L15" s="11"/>
      <c r="M15" s="11"/>
    </row>
    <row r="16" spans="1:13" x14ac:dyDescent="0.2">
      <c r="A16" s="9" t="s">
        <v>52</v>
      </c>
      <c r="B16" s="9">
        <v>40</v>
      </c>
      <c r="C16" s="9" t="s">
        <v>21</v>
      </c>
      <c r="D16" s="9" t="s">
        <v>21</v>
      </c>
      <c r="E16" s="9" t="s">
        <v>21</v>
      </c>
      <c r="F16" s="9" t="s">
        <v>21</v>
      </c>
      <c r="G16" s="10" t="s">
        <v>21</v>
      </c>
      <c r="H16" s="11"/>
      <c r="I16" s="11"/>
      <c r="J16" s="11"/>
      <c r="K16" s="11"/>
      <c r="L16" s="11"/>
      <c r="M16" s="11"/>
    </row>
    <row r="17" spans="1:13" x14ac:dyDescent="0.2">
      <c r="A17" s="9" t="s">
        <v>59</v>
      </c>
      <c r="B17" s="9">
        <v>40</v>
      </c>
      <c r="C17" s="9" t="s">
        <v>21</v>
      </c>
      <c r="D17" s="9" t="s">
        <v>21</v>
      </c>
      <c r="E17" s="9" t="s">
        <v>21</v>
      </c>
      <c r="F17" s="9" t="s">
        <v>21</v>
      </c>
      <c r="G17" s="10" t="s">
        <v>21</v>
      </c>
      <c r="H17" s="11"/>
      <c r="I17" s="11"/>
      <c r="J17" s="11"/>
      <c r="K17" s="11"/>
      <c r="L17" s="11"/>
      <c r="M17" s="11"/>
    </row>
    <row r="18" spans="1:13" x14ac:dyDescent="0.2">
      <c r="A18" s="9" t="s">
        <v>101</v>
      </c>
      <c r="B18" s="9">
        <v>40</v>
      </c>
      <c r="C18" s="9" t="s">
        <v>21</v>
      </c>
      <c r="D18" s="9" t="s">
        <v>21</v>
      </c>
      <c r="E18" s="9" t="s">
        <v>21</v>
      </c>
      <c r="F18" s="9" t="s">
        <v>21</v>
      </c>
      <c r="G18" s="10" t="s">
        <v>21</v>
      </c>
      <c r="H18" s="11"/>
      <c r="I18" s="11"/>
      <c r="J18" s="11"/>
      <c r="K18" s="11"/>
      <c r="L18" s="11"/>
      <c r="M18" s="11"/>
    </row>
    <row r="19" spans="1:13" x14ac:dyDescent="0.2">
      <c r="A19" s="9" t="s">
        <v>62</v>
      </c>
      <c r="B19" s="9">
        <v>40</v>
      </c>
      <c r="C19" s="9" t="s">
        <v>21</v>
      </c>
      <c r="D19" s="9" t="s">
        <v>21</v>
      </c>
      <c r="E19" s="9" t="s">
        <v>21</v>
      </c>
      <c r="F19" s="9" t="s">
        <v>21</v>
      </c>
      <c r="G19" s="10" t="s">
        <v>21</v>
      </c>
      <c r="H19" s="11"/>
      <c r="I19" s="11"/>
      <c r="J19" s="11"/>
      <c r="K19" s="11"/>
      <c r="L19" s="11"/>
      <c r="M19" s="11"/>
    </row>
    <row r="20" spans="1:13" x14ac:dyDescent="0.2">
      <c r="A20" s="9" t="s">
        <v>70</v>
      </c>
      <c r="B20" s="9">
        <v>40</v>
      </c>
      <c r="C20" s="9" t="s">
        <v>21</v>
      </c>
      <c r="D20" s="9" t="s">
        <v>21</v>
      </c>
      <c r="E20" s="9" t="s">
        <v>21</v>
      </c>
      <c r="F20" s="9" t="s">
        <v>21</v>
      </c>
      <c r="G20" s="10" t="s">
        <v>21</v>
      </c>
      <c r="H20" s="11"/>
      <c r="I20" s="11"/>
      <c r="J20" s="11"/>
      <c r="K20" s="11"/>
      <c r="L20" s="11"/>
      <c r="M20" s="11"/>
    </row>
    <row r="21" spans="1:13" x14ac:dyDescent="0.2">
      <c r="A21" s="9" t="s">
        <v>73</v>
      </c>
      <c r="B21" s="9">
        <v>40</v>
      </c>
      <c r="C21" s="9" t="s">
        <v>21</v>
      </c>
      <c r="D21" s="9" t="s">
        <v>21</v>
      </c>
      <c r="E21" s="9" t="s">
        <v>21</v>
      </c>
      <c r="F21" s="9" t="s">
        <v>21</v>
      </c>
      <c r="G21" s="10" t="s">
        <v>21</v>
      </c>
      <c r="H21" s="11"/>
      <c r="I21" s="11"/>
      <c r="J21" s="11"/>
      <c r="K21" s="11"/>
      <c r="L21" s="11"/>
      <c r="M21" s="11"/>
    </row>
    <row r="22" spans="1:13" x14ac:dyDescent="0.2">
      <c r="A22" s="9" t="s">
        <v>77</v>
      </c>
      <c r="B22" s="9">
        <v>40</v>
      </c>
      <c r="C22" s="9" t="s">
        <v>21</v>
      </c>
      <c r="D22" s="9" t="s">
        <v>21</v>
      </c>
      <c r="E22" s="9" t="s">
        <v>21</v>
      </c>
      <c r="F22" s="9" t="s">
        <v>21</v>
      </c>
      <c r="G22" s="10" t="s">
        <v>21</v>
      </c>
      <c r="H22" s="11"/>
      <c r="I22" s="11"/>
      <c r="J22" s="11"/>
      <c r="K22" s="11"/>
      <c r="L22" s="11"/>
      <c r="M22" s="11"/>
    </row>
    <row r="23" spans="1:13" x14ac:dyDescent="0.2">
      <c r="A23" s="9" t="s">
        <v>79</v>
      </c>
      <c r="B23" s="9">
        <v>40</v>
      </c>
      <c r="C23" s="9" t="s">
        <v>21</v>
      </c>
      <c r="D23" s="9" t="s">
        <v>21</v>
      </c>
      <c r="E23" s="9" t="s">
        <v>21</v>
      </c>
      <c r="F23" s="9" t="s">
        <v>21</v>
      </c>
      <c r="G23" s="10" t="s">
        <v>21</v>
      </c>
      <c r="H23" s="11"/>
      <c r="I23" s="11"/>
      <c r="J23" s="11"/>
      <c r="K23" s="11"/>
      <c r="L23" s="11"/>
      <c r="M23" s="11"/>
    </row>
    <row r="24" spans="1:13" x14ac:dyDescent="0.2">
      <c r="A24" s="9" t="s">
        <v>83</v>
      </c>
      <c r="B24" s="9">
        <v>40</v>
      </c>
      <c r="C24" s="9" t="s">
        <v>21</v>
      </c>
      <c r="D24" s="9" t="s">
        <v>21</v>
      </c>
      <c r="E24" s="9" t="s">
        <v>21</v>
      </c>
      <c r="F24" s="9" t="s">
        <v>21</v>
      </c>
      <c r="G24" s="10" t="s">
        <v>21</v>
      </c>
      <c r="H24" s="11"/>
      <c r="I24" s="11"/>
      <c r="J24" s="11"/>
      <c r="K24" s="11"/>
      <c r="L24" s="11"/>
      <c r="M24" s="11"/>
    </row>
    <row r="25" spans="1:13" x14ac:dyDescent="0.2">
      <c r="A25" s="9" t="s">
        <v>85</v>
      </c>
      <c r="B25" s="9">
        <v>40</v>
      </c>
      <c r="C25" s="9" t="s">
        <v>21</v>
      </c>
      <c r="D25" s="9" t="s">
        <v>21</v>
      </c>
      <c r="E25" s="9" t="s">
        <v>21</v>
      </c>
      <c r="F25" s="9" t="s">
        <v>21</v>
      </c>
      <c r="G25" s="10" t="s">
        <v>21</v>
      </c>
      <c r="H25" s="11"/>
      <c r="I25" s="11"/>
      <c r="J25" s="11"/>
      <c r="K25" s="11"/>
      <c r="L25" s="11"/>
      <c r="M25" s="11"/>
    </row>
    <row r="26" spans="1:13" x14ac:dyDescent="0.2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</row>
    <row r="27" spans="1:13" x14ac:dyDescent="0.2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</row>
    <row r="28" spans="1:13" x14ac:dyDescent="0.2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</row>
    <row r="29" spans="1:13" x14ac:dyDescent="0.2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</row>
    <row r="30" spans="1:13" x14ac:dyDescent="0.2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</row>
    <row r="31" spans="1:13" x14ac:dyDescent="0.2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</row>
    <row r="32" spans="1:13" x14ac:dyDescent="0.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</row>
    <row r="33" spans="1:13" x14ac:dyDescent="0.2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</row>
    <row r="34" spans="1:13" x14ac:dyDescent="0.2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</row>
    <row r="35" spans="1:13" x14ac:dyDescent="0.2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</row>
    <row r="36" spans="1:13" x14ac:dyDescent="0.2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</row>
    <row r="37" spans="1:13" ht="12.75" x14ac:dyDescent="0.2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</row>
    <row r="38" spans="1:13" ht="12.75" x14ac:dyDescent="0.2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</row>
    <row r="39" spans="1:13" ht="12.75" x14ac:dyDescent="0.2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</row>
    <row r="40" spans="1:13" ht="12.75" x14ac:dyDescent="0.2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</row>
    <row r="41" spans="1:13" ht="12.75" x14ac:dyDescent="0.2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</row>
    <row r="42" spans="1:13" ht="12.75" x14ac:dyDescent="0.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</row>
    <row r="43" spans="1:13" ht="12.75" x14ac:dyDescent="0.2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</row>
    <row r="44" spans="1:13" ht="12.75" x14ac:dyDescent="0.2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</row>
    <row r="45" spans="1:13" ht="12.75" x14ac:dyDescent="0.2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</row>
    <row r="46" spans="1:13" ht="12.75" x14ac:dyDescent="0.2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</row>
    <row r="47" spans="1:13" ht="12.75" x14ac:dyDescent="0.2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</row>
    <row r="48" spans="1:13" ht="12.75" x14ac:dyDescent="0.2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</row>
    <row r="49" spans="1:13" ht="12.75" x14ac:dyDescent="0.2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</row>
    <row r="50" spans="1:13" ht="12.75" x14ac:dyDescent="0.2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</row>
  </sheetData>
  <mergeCells count="1">
    <mergeCell ref="A1:G1"/>
  </mergeCells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M155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13" ht="15.75" customHeight="1" x14ac:dyDescent="0.25">
      <c r="A1" s="54" t="s">
        <v>0</v>
      </c>
      <c r="B1" s="55"/>
      <c r="C1" s="55"/>
      <c r="D1" s="55"/>
      <c r="E1" s="55"/>
      <c r="F1" s="55"/>
      <c r="G1" s="56"/>
    </row>
    <row r="2" spans="1:13" x14ac:dyDescent="0.2">
      <c r="A2" s="1"/>
      <c r="B2" s="2"/>
      <c r="C2" s="2"/>
      <c r="D2" s="2"/>
      <c r="E2" s="2"/>
      <c r="F2" s="2"/>
      <c r="G2" s="2"/>
    </row>
    <row r="3" spans="1:13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13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13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13" x14ac:dyDescent="0.2">
      <c r="A6" s="1"/>
      <c r="B6" s="2"/>
      <c r="C6" s="2"/>
      <c r="D6" s="2"/>
      <c r="E6" s="2"/>
      <c r="F6" s="2"/>
      <c r="G6" s="2"/>
    </row>
    <row r="7" spans="1:13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13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13" x14ac:dyDescent="0.2">
      <c r="A9" s="48" t="s">
        <v>20</v>
      </c>
      <c r="B9" s="9">
        <v>41</v>
      </c>
      <c r="C9" s="9" t="s">
        <v>960</v>
      </c>
      <c r="D9" s="9" t="s">
        <v>24</v>
      </c>
      <c r="E9" s="9" t="s">
        <v>25</v>
      </c>
      <c r="F9" s="9" t="s">
        <v>26</v>
      </c>
      <c r="G9" s="10" t="s">
        <v>27</v>
      </c>
      <c r="H9" s="11"/>
      <c r="I9" s="11"/>
      <c r="J9" s="11"/>
      <c r="K9" s="11"/>
      <c r="L9" s="11"/>
      <c r="M9" s="11"/>
    </row>
    <row r="10" spans="1:13" x14ac:dyDescent="0.2">
      <c r="A10" s="52"/>
      <c r="B10" s="9">
        <v>41</v>
      </c>
      <c r="C10" s="9" t="s">
        <v>961</v>
      </c>
      <c r="D10" s="9" t="s">
        <v>24</v>
      </c>
      <c r="E10" s="9" t="s">
        <v>25</v>
      </c>
      <c r="F10" s="9" t="s">
        <v>26</v>
      </c>
      <c r="G10" s="10" t="s">
        <v>27</v>
      </c>
      <c r="H10" s="11"/>
      <c r="I10" s="11"/>
      <c r="J10" s="11"/>
      <c r="K10" s="11"/>
      <c r="L10" s="11"/>
      <c r="M10" s="11"/>
    </row>
    <row r="11" spans="1:13" x14ac:dyDescent="0.2">
      <c r="A11" s="52"/>
      <c r="B11" s="9">
        <v>41</v>
      </c>
      <c r="C11" s="9" t="s">
        <v>721</v>
      </c>
      <c r="D11" s="9" t="s">
        <v>24</v>
      </c>
      <c r="E11" s="9" t="s">
        <v>25</v>
      </c>
      <c r="F11" s="9" t="s">
        <v>26</v>
      </c>
      <c r="G11" s="10" t="s">
        <v>27</v>
      </c>
      <c r="H11" s="11"/>
      <c r="I11" s="11"/>
      <c r="J11" s="11"/>
      <c r="K11" s="11"/>
      <c r="L11" s="11"/>
      <c r="M11" s="11"/>
    </row>
    <row r="12" spans="1:13" x14ac:dyDescent="0.2">
      <c r="A12" s="53"/>
      <c r="B12" s="9">
        <v>41</v>
      </c>
      <c r="C12" s="9" t="s">
        <v>962</v>
      </c>
      <c r="D12" s="9" t="s">
        <v>24</v>
      </c>
      <c r="E12" s="9" t="s">
        <v>25</v>
      </c>
      <c r="F12" s="9" t="s">
        <v>26</v>
      </c>
      <c r="G12" s="10" t="s">
        <v>27</v>
      </c>
      <c r="H12" s="11"/>
      <c r="I12" s="11"/>
      <c r="J12" s="11"/>
      <c r="K12" s="11"/>
      <c r="L12" s="11"/>
      <c r="M12" s="11"/>
    </row>
    <row r="13" spans="1:13" x14ac:dyDescent="0.2">
      <c r="A13" s="48" t="s">
        <v>22</v>
      </c>
      <c r="B13" s="9">
        <v>41</v>
      </c>
      <c r="C13" s="9" t="s">
        <v>963</v>
      </c>
      <c r="D13" s="9" t="s">
        <v>24</v>
      </c>
      <c r="E13" s="9" t="s">
        <v>31</v>
      </c>
      <c r="F13" s="9" t="s">
        <v>26</v>
      </c>
      <c r="G13" s="10" t="s">
        <v>27</v>
      </c>
      <c r="H13" s="11"/>
      <c r="I13" s="11"/>
      <c r="J13" s="11"/>
      <c r="K13" s="11"/>
      <c r="L13" s="11"/>
      <c r="M13" s="11"/>
    </row>
    <row r="14" spans="1:13" x14ac:dyDescent="0.2">
      <c r="A14" s="52"/>
      <c r="B14" s="9">
        <v>41</v>
      </c>
      <c r="C14" s="9" t="s">
        <v>964</v>
      </c>
      <c r="D14" s="9" t="s">
        <v>24</v>
      </c>
      <c r="E14" s="9" t="s">
        <v>31</v>
      </c>
      <c r="F14" s="9" t="s">
        <v>47</v>
      </c>
      <c r="G14" s="10" t="s">
        <v>27</v>
      </c>
      <c r="H14" s="11"/>
      <c r="I14" s="11"/>
      <c r="J14" s="11"/>
      <c r="K14" s="11"/>
      <c r="L14" s="11"/>
      <c r="M14" s="11"/>
    </row>
    <row r="15" spans="1:13" x14ac:dyDescent="0.2">
      <c r="A15" s="52"/>
      <c r="B15" s="9">
        <v>41</v>
      </c>
      <c r="C15" s="9" t="s">
        <v>965</v>
      </c>
      <c r="D15" s="9" t="s">
        <v>24</v>
      </c>
      <c r="E15" s="9" t="s">
        <v>31</v>
      </c>
      <c r="F15" s="9" t="s">
        <v>47</v>
      </c>
      <c r="G15" s="10" t="s">
        <v>27</v>
      </c>
      <c r="H15" s="11"/>
      <c r="I15" s="11"/>
      <c r="J15" s="11"/>
      <c r="K15" s="11"/>
      <c r="L15" s="11"/>
      <c r="M15" s="11"/>
    </row>
    <row r="16" spans="1:13" x14ac:dyDescent="0.2">
      <c r="A16" s="50"/>
      <c r="B16" s="9">
        <v>41</v>
      </c>
      <c r="C16" s="9" t="s">
        <v>966</v>
      </c>
      <c r="D16" s="9" t="s">
        <v>24</v>
      </c>
      <c r="E16" s="9" t="s">
        <v>31</v>
      </c>
      <c r="F16" s="9" t="s">
        <v>47</v>
      </c>
      <c r="G16" s="10" t="s">
        <v>27</v>
      </c>
      <c r="H16" s="11"/>
      <c r="I16" s="11"/>
      <c r="J16" s="11"/>
      <c r="K16" s="11"/>
      <c r="L16" s="11"/>
      <c r="M16" s="11"/>
    </row>
    <row r="17" spans="1:13" x14ac:dyDescent="0.2">
      <c r="A17" s="57"/>
      <c r="B17" s="9">
        <v>41</v>
      </c>
      <c r="C17" s="9" t="s">
        <v>653</v>
      </c>
      <c r="D17" s="9" t="s">
        <v>24</v>
      </c>
      <c r="E17" s="9" t="s">
        <v>31</v>
      </c>
      <c r="F17" s="9" t="s">
        <v>87</v>
      </c>
      <c r="G17" s="10" t="s">
        <v>27</v>
      </c>
      <c r="H17" s="11"/>
      <c r="I17" s="11"/>
      <c r="J17" s="11"/>
      <c r="K17" s="11"/>
      <c r="L17" s="11"/>
      <c r="M17" s="11"/>
    </row>
    <row r="18" spans="1:13" x14ac:dyDescent="0.2">
      <c r="A18" s="48" t="s">
        <v>28</v>
      </c>
      <c r="B18" s="9">
        <v>41</v>
      </c>
      <c r="C18" s="9" t="s">
        <v>967</v>
      </c>
      <c r="D18" s="9" t="s">
        <v>30</v>
      </c>
      <c r="E18" s="9" t="s">
        <v>31</v>
      </c>
      <c r="F18" s="9" t="s">
        <v>26</v>
      </c>
      <c r="G18" s="10" t="s">
        <v>27</v>
      </c>
      <c r="H18" s="11"/>
      <c r="I18" s="11"/>
      <c r="J18" s="11"/>
      <c r="K18" s="11"/>
      <c r="L18" s="11"/>
      <c r="M18" s="11"/>
    </row>
    <row r="19" spans="1:13" x14ac:dyDescent="0.2">
      <c r="A19" s="51"/>
      <c r="B19" s="9">
        <v>41</v>
      </c>
      <c r="C19" s="9" t="s">
        <v>968</v>
      </c>
      <c r="D19" s="9" t="s">
        <v>24</v>
      </c>
      <c r="E19" s="9" t="s">
        <v>31</v>
      </c>
      <c r="F19" s="9" t="s">
        <v>26</v>
      </c>
      <c r="G19" s="10" t="s">
        <v>27</v>
      </c>
      <c r="H19" s="11"/>
      <c r="I19" s="11"/>
      <c r="J19" s="11"/>
      <c r="K19" s="11"/>
      <c r="L19" s="11"/>
      <c r="M19" s="11"/>
    </row>
    <row r="20" spans="1:13" x14ac:dyDescent="0.2">
      <c r="A20" s="50"/>
      <c r="B20" s="9">
        <v>41</v>
      </c>
      <c r="C20" s="9" t="s">
        <v>969</v>
      </c>
      <c r="D20" s="9" t="s">
        <v>24</v>
      </c>
      <c r="E20" s="9" t="s">
        <v>31</v>
      </c>
      <c r="F20" s="9" t="s">
        <v>26</v>
      </c>
      <c r="G20" s="10" t="s">
        <v>27</v>
      </c>
      <c r="H20" s="11"/>
      <c r="I20" s="11"/>
      <c r="J20" s="11"/>
      <c r="K20" s="11"/>
      <c r="L20" s="11"/>
      <c r="M20" s="11"/>
    </row>
    <row r="21" spans="1:13" x14ac:dyDescent="0.2">
      <c r="A21" s="51"/>
      <c r="B21" s="9">
        <v>41</v>
      </c>
      <c r="C21" s="9" t="s">
        <v>970</v>
      </c>
      <c r="D21" s="9" t="s">
        <v>24</v>
      </c>
      <c r="E21" s="9" t="s">
        <v>31</v>
      </c>
      <c r="F21" s="9" t="s">
        <v>26</v>
      </c>
      <c r="G21" s="10" t="s">
        <v>27</v>
      </c>
      <c r="H21" s="11"/>
      <c r="I21" s="11"/>
      <c r="J21" s="11"/>
      <c r="K21" s="11"/>
      <c r="L21" s="11"/>
      <c r="M21" s="11"/>
    </row>
    <row r="22" spans="1:13" x14ac:dyDescent="0.2">
      <c r="A22" s="50"/>
      <c r="B22" s="9">
        <v>41</v>
      </c>
      <c r="C22" s="9" t="s">
        <v>971</v>
      </c>
      <c r="D22" s="9" t="s">
        <v>24</v>
      </c>
      <c r="E22" s="9" t="s">
        <v>31</v>
      </c>
      <c r="F22" s="9" t="s">
        <v>26</v>
      </c>
      <c r="G22" s="10" t="s">
        <v>27</v>
      </c>
      <c r="H22" s="11"/>
      <c r="I22" s="11"/>
      <c r="J22" s="11"/>
      <c r="K22" s="11"/>
      <c r="L22" s="11"/>
      <c r="M22" s="11"/>
    </row>
    <row r="23" spans="1:13" x14ac:dyDescent="0.2">
      <c r="A23" s="51"/>
      <c r="B23" s="9">
        <v>41</v>
      </c>
      <c r="C23" s="9" t="s">
        <v>972</v>
      </c>
      <c r="D23" s="9" t="s">
        <v>24</v>
      </c>
      <c r="E23" s="9" t="s">
        <v>31</v>
      </c>
      <c r="F23" s="9" t="s">
        <v>47</v>
      </c>
      <c r="G23" s="10" t="s">
        <v>27</v>
      </c>
      <c r="H23" s="11"/>
      <c r="I23" s="11"/>
      <c r="J23" s="11"/>
      <c r="K23" s="11"/>
      <c r="L23" s="11"/>
      <c r="M23" s="11"/>
    </row>
    <row r="24" spans="1:13" x14ac:dyDescent="0.2">
      <c r="A24" s="50"/>
      <c r="B24" s="9">
        <v>41</v>
      </c>
      <c r="C24" s="9" t="s">
        <v>973</v>
      </c>
      <c r="D24" s="9" t="s">
        <v>24</v>
      </c>
      <c r="E24" s="9" t="s">
        <v>31</v>
      </c>
      <c r="F24" s="9" t="s">
        <v>47</v>
      </c>
      <c r="G24" s="10" t="s">
        <v>27</v>
      </c>
      <c r="H24" s="11"/>
      <c r="I24" s="11"/>
      <c r="J24" s="11"/>
      <c r="K24" s="11"/>
      <c r="L24" s="11"/>
      <c r="M24" s="11"/>
    </row>
    <row r="25" spans="1:13" x14ac:dyDescent="0.2">
      <c r="A25" s="51"/>
      <c r="B25" s="9">
        <v>41</v>
      </c>
      <c r="C25" s="9" t="s">
        <v>974</v>
      </c>
      <c r="D25" s="9" t="s">
        <v>24</v>
      </c>
      <c r="E25" s="9" t="s">
        <v>31</v>
      </c>
      <c r="F25" s="9" t="s">
        <v>26</v>
      </c>
      <c r="G25" s="10" t="s">
        <v>27</v>
      </c>
      <c r="H25" s="11"/>
      <c r="I25" s="11"/>
      <c r="J25" s="11"/>
      <c r="K25" s="11"/>
      <c r="L25" s="11"/>
      <c r="M25" s="11"/>
    </row>
    <row r="26" spans="1:13" x14ac:dyDescent="0.2">
      <c r="A26" s="50"/>
      <c r="B26" s="9">
        <v>41</v>
      </c>
      <c r="C26" s="9" t="s">
        <v>657</v>
      </c>
      <c r="D26" s="9" t="s">
        <v>24</v>
      </c>
      <c r="E26" s="9" t="s">
        <v>31</v>
      </c>
      <c r="F26" s="9" t="s">
        <v>47</v>
      </c>
      <c r="G26" s="10" t="s">
        <v>27</v>
      </c>
      <c r="H26" s="11"/>
      <c r="I26" s="11"/>
      <c r="J26" s="11"/>
      <c r="K26" s="11"/>
      <c r="L26" s="11"/>
      <c r="M26" s="11"/>
    </row>
    <row r="27" spans="1:13" x14ac:dyDescent="0.2">
      <c r="A27" s="51"/>
      <c r="B27" s="9">
        <v>41</v>
      </c>
      <c r="C27" s="9" t="s">
        <v>975</v>
      </c>
      <c r="D27" s="9" t="s">
        <v>24</v>
      </c>
      <c r="E27" s="9" t="s">
        <v>31</v>
      </c>
      <c r="F27" s="9" t="s">
        <v>47</v>
      </c>
      <c r="G27" s="10" t="s">
        <v>27</v>
      </c>
      <c r="H27" s="11"/>
      <c r="I27" s="11"/>
      <c r="J27" s="11"/>
      <c r="K27" s="11"/>
      <c r="L27" s="11"/>
      <c r="M27" s="11"/>
    </row>
    <row r="28" spans="1:13" x14ac:dyDescent="0.2">
      <c r="A28" s="50"/>
      <c r="B28" s="9">
        <v>41</v>
      </c>
      <c r="C28" s="9" t="s">
        <v>656</v>
      </c>
      <c r="D28" s="9" t="s">
        <v>24</v>
      </c>
      <c r="E28" s="9" t="s">
        <v>31</v>
      </c>
      <c r="F28" s="9" t="s">
        <v>26</v>
      </c>
      <c r="G28" s="10" t="s">
        <v>27</v>
      </c>
      <c r="H28" s="11"/>
      <c r="I28" s="11"/>
      <c r="J28" s="11"/>
      <c r="K28" s="11"/>
      <c r="L28" s="11"/>
      <c r="M28" s="11"/>
    </row>
    <row r="29" spans="1:13" x14ac:dyDescent="0.2">
      <c r="A29" s="51"/>
      <c r="B29" s="9">
        <v>41</v>
      </c>
      <c r="C29" s="9" t="s">
        <v>976</v>
      </c>
      <c r="D29" s="9" t="s">
        <v>24</v>
      </c>
      <c r="E29" s="9" t="s">
        <v>31</v>
      </c>
      <c r="F29" s="9" t="s">
        <v>47</v>
      </c>
      <c r="G29" s="10" t="s">
        <v>27</v>
      </c>
      <c r="H29" s="11"/>
      <c r="I29" s="11"/>
      <c r="J29" s="11"/>
      <c r="K29" s="11"/>
      <c r="L29" s="11"/>
      <c r="M29" s="11"/>
    </row>
    <row r="30" spans="1:13" x14ac:dyDescent="0.2">
      <c r="A30" s="50"/>
      <c r="B30" s="9">
        <v>41</v>
      </c>
      <c r="C30" s="9" t="s">
        <v>977</v>
      </c>
      <c r="D30" s="9" t="s">
        <v>24</v>
      </c>
      <c r="E30" s="9" t="s">
        <v>31</v>
      </c>
      <c r="F30" s="9" t="s">
        <v>47</v>
      </c>
      <c r="G30" s="10" t="s">
        <v>27</v>
      </c>
      <c r="H30" s="11"/>
      <c r="I30" s="11"/>
      <c r="J30" s="11"/>
      <c r="K30" s="11"/>
      <c r="L30" s="11"/>
      <c r="M30" s="11"/>
    </row>
    <row r="31" spans="1:13" x14ac:dyDescent="0.2">
      <c r="A31" s="51"/>
      <c r="B31" s="9">
        <v>41</v>
      </c>
      <c r="C31" s="9" t="s">
        <v>978</v>
      </c>
      <c r="D31" s="9" t="s">
        <v>24</v>
      </c>
      <c r="E31" s="9" t="s">
        <v>31</v>
      </c>
      <c r="F31" s="9" t="s">
        <v>47</v>
      </c>
      <c r="G31" s="10" t="s">
        <v>27</v>
      </c>
      <c r="H31" s="11"/>
      <c r="I31" s="11"/>
      <c r="J31" s="11"/>
      <c r="K31" s="11"/>
      <c r="L31" s="11"/>
      <c r="M31" s="11"/>
    </row>
    <row r="32" spans="1:13" x14ac:dyDescent="0.2">
      <c r="A32" s="50"/>
      <c r="B32" s="9">
        <v>41</v>
      </c>
      <c r="C32" s="9" t="s">
        <v>654</v>
      </c>
      <c r="D32" s="9" t="s">
        <v>24</v>
      </c>
      <c r="E32" s="9" t="s">
        <v>31</v>
      </c>
      <c r="F32" s="9" t="s">
        <v>47</v>
      </c>
      <c r="G32" s="10" t="s">
        <v>27</v>
      </c>
      <c r="H32" s="11"/>
      <c r="I32" s="11"/>
      <c r="J32" s="11"/>
      <c r="K32" s="11"/>
      <c r="L32" s="11"/>
      <c r="M32" s="11"/>
    </row>
    <row r="33" spans="1:13" x14ac:dyDescent="0.2">
      <c r="A33" s="52"/>
      <c r="B33" s="9">
        <v>41</v>
      </c>
      <c r="C33" s="9" t="s">
        <v>672</v>
      </c>
      <c r="D33" s="9" t="s">
        <v>24</v>
      </c>
      <c r="E33" s="9" t="s">
        <v>31</v>
      </c>
      <c r="F33" s="9" t="s">
        <v>26</v>
      </c>
      <c r="G33" s="10" t="s">
        <v>27</v>
      </c>
      <c r="H33" s="11"/>
      <c r="I33" s="11"/>
      <c r="J33" s="11"/>
      <c r="K33" s="11"/>
      <c r="L33" s="11"/>
      <c r="M33" s="11"/>
    </row>
    <row r="34" spans="1:13" x14ac:dyDescent="0.2">
      <c r="A34" s="52"/>
      <c r="B34" s="9">
        <v>41</v>
      </c>
      <c r="C34" s="9" t="s">
        <v>979</v>
      </c>
      <c r="D34" s="9" t="s">
        <v>24</v>
      </c>
      <c r="E34" s="9" t="s">
        <v>31</v>
      </c>
      <c r="F34" s="9" t="s">
        <v>47</v>
      </c>
      <c r="G34" s="10" t="s">
        <v>27</v>
      </c>
      <c r="H34" s="11"/>
      <c r="I34" s="11"/>
      <c r="J34" s="11"/>
      <c r="K34" s="11"/>
      <c r="L34" s="11"/>
      <c r="M34" s="11"/>
    </row>
    <row r="35" spans="1:13" x14ac:dyDescent="0.2">
      <c r="A35" s="52"/>
      <c r="B35" s="9">
        <v>41</v>
      </c>
      <c r="C35" s="9" t="s">
        <v>980</v>
      </c>
      <c r="D35" s="9" t="s">
        <v>24</v>
      </c>
      <c r="E35" s="9" t="s">
        <v>31</v>
      </c>
      <c r="F35" s="9" t="s">
        <v>47</v>
      </c>
      <c r="G35" s="10" t="s">
        <v>27</v>
      </c>
      <c r="H35" s="11"/>
      <c r="I35" s="11"/>
      <c r="J35" s="11"/>
      <c r="K35" s="11"/>
      <c r="L35" s="11"/>
      <c r="M35" s="11"/>
    </row>
    <row r="36" spans="1:13" x14ac:dyDescent="0.2">
      <c r="A36" s="52"/>
      <c r="B36" s="9">
        <v>41</v>
      </c>
      <c r="C36" s="9" t="s">
        <v>653</v>
      </c>
      <c r="D36" s="9" t="s">
        <v>24</v>
      </c>
      <c r="E36" s="9" t="s">
        <v>31</v>
      </c>
      <c r="F36" s="9" t="s">
        <v>47</v>
      </c>
      <c r="G36" s="10" t="s">
        <v>27</v>
      </c>
      <c r="H36" s="11"/>
      <c r="I36" s="11"/>
      <c r="J36" s="11"/>
      <c r="K36" s="11"/>
      <c r="L36" s="11"/>
      <c r="M36" s="11"/>
    </row>
    <row r="37" spans="1:13" ht="12.75" x14ac:dyDescent="0.2">
      <c r="A37" s="52"/>
      <c r="B37" s="9">
        <v>41</v>
      </c>
      <c r="C37" s="9" t="s">
        <v>652</v>
      </c>
      <c r="D37" s="9" t="s">
        <v>24</v>
      </c>
      <c r="E37" s="9" t="s">
        <v>31</v>
      </c>
      <c r="F37" s="9" t="s">
        <v>47</v>
      </c>
      <c r="G37" s="10" t="s">
        <v>27</v>
      </c>
      <c r="H37" s="11"/>
      <c r="I37" s="11"/>
      <c r="J37" s="11"/>
      <c r="K37" s="11"/>
      <c r="L37" s="11"/>
      <c r="M37" s="11"/>
    </row>
    <row r="38" spans="1:13" ht="12.75" x14ac:dyDescent="0.2">
      <c r="A38" s="53"/>
      <c r="B38" s="9">
        <v>41</v>
      </c>
      <c r="C38" s="9" t="s">
        <v>981</v>
      </c>
      <c r="D38" s="9" t="s">
        <v>24</v>
      </c>
      <c r="E38" s="9" t="s">
        <v>31</v>
      </c>
      <c r="F38" s="9" t="s">
        <v>26</v>
      </c>
      <c r="G38" s="10" t="s">
        <v>27</v>
      </c>
      <c r="H38" s="11"/>
      <c r="I38" s="11"/>
      <c r="J38" s="11"/>
      <c r="K38" s="11"/>
      <c r="L38" s="11"/>
      <c r="M38" s="11"/>
    </row>
    <row r="39" spans="1:13" ht="12.75" x14ac:dyDescent="0.2">
      <c r="A39" s="48" t="s">
        <v>909</v>
      </c>
      <c r="B39" s="9">
        <v>41</v>
      </c>
      <c r="C39" s="9" t="s">
        <v>982</v>
      </c>
      <c r="D39" s="9" t="s">
        <v>24</v>
      </c>
      <c r="E39" s="9" t="s">
        <v>25</v>
      </c>
      <c r="F39" s="9" t="s">
        <v>26</v>
      </c>
      <c r="G39" s="10" t="s">
        <v>27</v>
      </c>
      <c r="H39" s="11"/>
      <c r="I39" s="11"/>
      <c r="J39" s="11"/>
      <c r="K39" s="11"/>
      <c r="L39" s="11"/>
      <c r="M39" s="11"/>
    </row>
    <row r="40" spans="1:13" ht="12.75" x14ac:dyDescent="0.2">
      <c r="A40" s="52"/>
      <c r="B40" s="9">
        <v>41</v>
      </c>
      <c r="C40" s="9" t="s">
        <v>983</v>
      </c>
      <c r="D40" s="9" t="s">
        <v>24</v>
      </c>
      <c r="E40" s="9" t="s">
        <v>25</v>
      </c>
      <c r="F40" s="9" t="s">
        <v>26</v>
      </c>
      <c r="G40" s="10" t="s">
        <v>27</v>
      </c>
      <c r="H40" s="11"/>
      <c r="I40" s="11"/>
      <c r="J40" s="11"/>
      <c r="K40" s="11"/>
      <c r="L40" s="11"/>
      <c r="M40" s="11"/>
    </row>
    <row r="41" spans="1:13" ht="12.75" x14ac:dyDescent="0.2">
      <c r="A41" s="52"/>
      <c r="B41" s="9">
        <v>41</v>
      </c>
      <c r="C41" s="9" t="s">
        <v>984</v>
      </c>
      <c r="D41" s="9" t="s">
        <v>24</v>
      </c>
      <c r="E41" s="9" t="s">
        <v>25</v>
      </c>
      <c r="F41" s="9" t="s">
        <v>26</v>
      </c>
      <c r="G41" s="10" t="s">
        <v>27</v>
      </c>
      <c r="H41" s="11"/>
      <c r="I41" s="11"/>
      <c r="J41" s="11"/>
      <c r="K41" s="11"/>
      <c r="L41" s="11"/>
      <c r="M41" s="11"/>
    </row>
    <row r="42" spans="1:13" ht="12.75" x14ac:dyDescent="0.2">
      <c r="A42" s="52"/>
      <c r="B42" s="9">
        <v>41</v>
      </c>
      <c r="C42" s="9" t="s">
        <v>985</v>
      </c>
      <c r="D42" s="9" t="s">
        <v>24</v>
      </c>
      <c r="E42" s="9" t="s">
        <v>25</v>
      </c>
      <c r="F42" s="9" t="s">
        <v>26</v>
      </c>
      <c r="G42" s="10" t="s">
        <v>27</v>
      </c>
      <c r="H42" s="11"/>
      <c r="I42" s="11"/>
      <c r="J42" s="11"/>
      <c r="K42" s="11"/>
      <c r="L42" s="11"/>
      <c r="M42" s="11"/>
    </row>
    <row r="43" spans="1:13" ht="12.75" x14ac:dyDescent="0.2">
      <c r="A43" s="52"/>
      <c r="B43" s="9">
        <v>41</v>
      </c>
      <c r="C43" s="9" t="s">
        <v>986</v>
      </c>
      <c r="D43" s="9" t="s">
        <v>24</v>
      </c>
      <c r="E43" s="9" t="s">
        <v>25</v>
      </c>
      <c r="F43" s="9" t="s">
        <v>26</v>
      </c>
      <c r="G43" s="10" t="s">
        <v>27</v>
      </c>
      <c r="H43" s="11"/>
      <c r="I43" s="11"/>
      <c r="J43" s="11"/>
      <c r="K43" s="11"/>
      <c r="L43" s="11"/>
      <c r="M43" s="11"/>
    </row>
    <row r="44" spans="1:13" ht="12.75" x14ac:dyDescent="0.2">
      <c r="A44" s="52"/>
      <c r="B44" s="9">
        <v>41</v>
      </c>
      <c r="C44" s="9" t="s">
        <v>987</v>
      </c>
      <c r="D44" s="9" t="s">
        <v>24</v>
      </c>
      <c r="E44" s="9" t="s">
        <v>25</v>
      </c>
      <c r="F44" s="9" t="s">
        <v>26</v>
      </c>
      <c r="G44" s="10" t="s">
        <v>27</v>
      </c>
      <c r="H44" s="11"/>
      <c r="I44" s="11"/>
      <c r="J44" s="11"/>
      <c r="K44" s="11"/>
      <c r="L44" s="11"/>
      <c r="M44" s="11"/>
    </row>
    <row r="45" spans="1:13" ht="12.75" x14ac:dyDescent="0.2">
      <c r="A45" s="52"/>
      <c r="B45" s="9">
        <v>41</v>
      </c>
      <c r="C45" s="9" t="s">
        <v>988</v>
      </c>
      <c r="D45" s="9" t="s">
        <v>24</v>
      </c>
      <c r="E45" s="9" t="s">
        <v>25</v>
      </c>
      <c r="F45" s="9" t="s">
        <v>26</v>
      </c>
      <c r="G45" s="10" t="s">
        <v>27</v>
      </c>
      <c r="H45" s="11"/>
      <c r="I45" s="11"/>
      <c r="J45" s="11"/>
      <c r="K45" s="11"/>
      <c r="L45" s="11"/>
      <c r="M45" s="11"/>
    </row>
    <row r="46" spans="1:13" ht="12.75" x14ac:dyDescent="0.2">
      <c r="A46" s="52"/>
      <c r="B46" s="9">
        <v>41</v>
      </c>
      <c r="C46" s="9" t="s">
        <v>989</v>
      </c>
      <c r="D46" s="9" t="s">
        <v>24</v>
      </c>
      <c r="E46" s="9" t="s">
        <v>25</v>
      </c>
      <c r="F46" s="9" t="s">
        <v>26</v>
      </c>
      <c r="G46" s="10" t="s">
        <v>27</v>
      </c>
      <c r="H46" s="13"/>
      <c r="I46" s="13"/>
      <c r="J46" s="13"/>
    </row>
    <row r="47" spans="1:13" ht="12.75" x14ac:dyDescent="0.2">
      <c r="A47" s="52"/>
      <c r="B47" s="9">
        <v>41</v>
      </c>
      <c r="C47" s="9" t="s">
        <v>990</v>
      </c>
      <c r="D47" s="9" t="s">
        <v>24</v>
      </c>
      <c r="E47" s="9" t="s">
        <v>25</v>
      </c>
      <c r="F47" s="9" t="s">
        <v>26</v>
      </c>
      <c r="G47" s="10" t="s">
        <v>27</v>
      </c>
      <c r="H47" s="13"/>
      <c r="I47" s="13"/>
      <c r="J47" s="13"/>
    </row>
    <row r="48" spans="1:13" ht="12.75" x14ac:dyDescent="0.2">
      <c r="A48" s="52"/>
      <c r="B48" s="9">
        <v>41</v>
      </c>
      <c r="C48" s="9" t="s">
        <v>990</v>
      </c>
      <c r="D48" s="9" t="s">
        <v>24</v>
      </c>
      <c r="E48" s="9" t="s">
        <v>25</v>
      </c>
      <c r="F48" s="9" t="s">
        <v>26</v>
      </c>
      <c r="G48" s="10" t="s">
        <v>27</v>
      </c>
      <c r="H48" s="13"/>
      <c r="I48" s="13"/>
      <c r="J48" s="13"/>
    </row>
    <row r="49" spans="1:10" ht="12.75" x14ac:dyDescent="0.2">
      <c r="A49" s="52"/>
      <c r="B49" s="9">
        <v>41</v>
      </c>
      <c r="C49" s="9" t="s">
        <v>991</v>
      </c>
      <c r="D49" s="9" t="s">
        <v>24</v>
      </c>
      <c r="E49" s="9" t="s">
        <v>25</v>
      </c>
      <c r="F49" s="9" t="s">
        <v>26</v>
      </c>
      <c r="G49" s="10" t="s">
        <v>27</v>
      </c>
      <c r="H49" s="13"/>
      <c r="I49" s="13"/>
      <c r="J49" s="13"/>
    </row>
    <row r="50" spans="1:10" ht="12.75" x14ac:dyDescent="0.2">
      <c r="A50" s="53"/>
      <c r="B50" s="9">
        <v>41</v>
      </c>
      <c r="C50" s="9" t="s">
        <v>992</v>
      </c>
      <c r="D50" s="9" t="s">
        <v>24</v>
      </c>
      <c r="E50" s="9" t="s">
        <v>25</v>
      </c>
      <c r="F50" s="9" t="s">
        <v>26</v>
      </c>
      <c r="G50" s="10" t="s">
        <v>27</v>
      </c>
      <c r="H50" s="13"/>
      <c r="I50" s="13"/>
      <c r="J50" s="13"/>
    </row>
    <row r="51" spans="1:10" ht="12.75" x14ac:dyDescent="0.2">
      <c r="A51" s="48" t="s">
        <v>38</v>
      </c>
      <c r="B51" s="9">
        <v>41</v>
      </c>
      <c r="C51" s="9" t="s">
        <v>993</v>
      </c>
      <c r="D51" s="9" t="s">
        <v>24</v>
      </c>
      <c r="E51" s="9" t="s">
        <v>25</v>
      </c>
      <c r="F51" s="9" t="s">
        <v>47</v>
      </c>
      <c r="G51" s="10" t="s">
        <v>27</v>
      </c>
      <c r="H51" s="13"/>
      <c r="I51" s="13"/>
      <c r="J51" s="13"/>
    </row>
    <row r="52" spans="1:10" ht="12.75" x14ac:dyDescent="0.2">
      <c r="A52" s="52"/>
      <c r="B52" s="9">
        <v>41</v>
      </c>
      <c r="C52" s="9" t="s">
        <v>971</v>
      </c>
      <c r="D52" s="9" t="s">
        <v>24</v>
      </c>
      <c r="E52" s="9" t="s">
        <v>31</v>
      </c>
      <c r="F52" s="9" t="s">
        <v>26</v>
      </c>
      <c r="G52" s="10" t="s">
        <v>27</v>
      </c>
      <c r="H52" s="13"/>
      <c r="I52" s="13"/>
      <c r="J52" s="13"/>
    </row>
    <row r="53" spans="1:10" ht="12.75" x14ac:dyDescent="0.2">
      <c r="A53" s="52"/>
      <c r="B53" s="9">
        <v>41</v>
      </c>
      <c r="C53" s="9" t="s">
        <v>994</v>
      </c>
      <c r="D53" s="9" t="s">
        <v>24</v>
      </c>
      <c r="E53" s="9" t="s">
        <v>31</v>
      </c>
      <c r="F53" s="9" t="s">
        <v>47</v>
      </c>
      <c r="G53" s="10" t="s">
        <v>27</v>
      </c>
      <c r="H53" s="13"/>
      <c r="I53" s="13"/>
      <c r="J53" s="13"/>
    </row>
    <row r="54" spans="1:10" ht="12.75" x14ac:dyDescent="0.2">
      <c r="A54" s="52"/>
      <c r="B54" s="9">
        <v>41</v>
      </c>
      <c r="C54" s="9" t="s">
        <v>995</v>
      </c>
      <c r="D54" s="9" t="s">
        <v>24</v>
      </c>
      <c r="E54" s="9" t="s">
        <v>31</v>
      </c>
      <c r="F54" s="9" t="s">
        <v>47</v>
      </c>
      <c r="G54" s="10" t="s">
        <v>27</v>
      </c>
      <c r="H54" s="13"/>
      <c r="I54" s="13"/>
      <c r="J54" s="13"/>
    </row>
    <row r="55" spans="1:10" ht="12.75" x14ac:dyDescent="0.2">
      <c r="A55" s="52"/>
      <c r="B55" s="9">
        <v>41</v>
      </c>
      <c r="C55" s="9" t="s">
        <v>972</v>
      </c>
      <c r="D55" s="9" t="s">
        <v>24</v>
      </c>
      <c r="E55" s="9" t="s">
        <v>31</v>
      </c>
      <c r="F55" s="9" t="s">
        <v>47</v>
      </c>
      <c r="G55" s="10" t="s">
        <v>27</v>
      </c>
      <c r="H55" s="13"/>
      <c r="I55" s="13"/>
      <c r="J55" s="13"/>
    </row>
    <row r="56" spans="1:10" ht="12.75" x14ac:dyDescent="0.2">
      <c r="A56" s="52"/>
      <c r="B56" s="9">
        <v>41</v>
      </c>
      <c r="C56" s="9" t="s">
        <v>973</v>
      </c>
      <c r="D56" s="9" t="s">
        <v>24</v>
      </c>
      <c r="E56" s="9" t="s">
        <v>31</v>
      </c>
      <c r="F56" s="9" t="s">
        <v>47</v>
      </c>
      <c r="G56" s="10" t="s">
        <v>27</v>
      </c>
      <c r="H56" s="13"/>
      <c r="I56" s="13"/>
      <c r="J56" s="13"/>
    </row>
    <row r="57" spans="1:10" ht="12.75" x14ac:dyDescent="0.2">
      <c r="A57" s="52"/>
      <c r="B57" s="9">
        <v>41</v>
      </c>
      <c r="C57" s="9" t="s">
        <v>996</v>
      </c>
      <c r="D57" s="9" t="s">
        <v>24</v>
      </c>
      <c r="E57" s="9" t="s">
        <v>31</v>
      </c>
      <c r="F57" s="9" t="s">
        <v>47</v>
      </c>
      <c r="G57" s="10" t="s">
        <v>27</v>
      </c>
      <c r="H57" s="13"/>
      <c r="I57" s="13"/>
      <c r="J57" s="13"/>
    </row>
    <row r="58" spans="1:10" ht="12.75" x14ac:dyDescent="0.2">
      <c r="A58" s="52"/>
      <c r="B58" s="9">
        <v>41</v>
      </c>
      <c r="C58" s="9" t="s">
        <v>673</v>
      </c>
      <c r="D58" s="9" t="s">
        <v>24</v>
      </c>
      <c r="E58" s="9" t="s">
        <v>31</v>
      </c>
      <c r="F58" s="9" t="s">
        <v>47</v>
      </c>
      <c r="G58" s="10" t="s">
        <v>27</v>
      </c>
      <c r="H58" s="13"/>
      <c r="I58" s="13"/>
      <c r="J58" s="13"/>
    </row>
    <row r="59" spans="1:10" ht="12.75" x14ac:dyDescent="0.2">
      <c r="A59" s="52"/>
      <c r="B59" s="9">
        <v>41</v>
      </c>
      <c r="C59" s="9" t="s">
        <v>997</v>
      </c>
      <c r="D59" s="9" t="s">
        <v>24</v>
      </c>
      <c r="E59" s="9" t="s">
        <v>31</v>
      </c>
      <c r="F59" s="9" t="s">
        <v>47</v>
      </c>
      <c r="G59" s="10" t="s">
        <v>27</v>
      </c>
      <c r="H59" s="13"/>
      <c r="I59" s="13"/>
      <c r="J59" s="13"/>
    </row>
    <row r="60" spans="1:10" ht="12.75" x14ac:dyDescent="0.2">
      <c r="A60" s="52"/>
      <c r="B60" s="9">
        <v>41</v>
      </c>
      <c r="C60" s="9" t="s">
        <v>654</v>
      </c>
      <c r="D60" s="9" t="s">
        <v>24</v>
      </c>
      <c r="E60" s="9" t="s">
        <v>31</v>
      </c>
      <c r="F60" s="9" t="s">
        <v>47</v>
      </c>
      <c r="G60" s="10" t="s">
        <v>27</v>
      </c>
      <c r="H60" s="13"/>
      <c r="I60" s="13"/>
      <c r="J60" s="13"/>
    </row>
    <row r="61" spans="1:10" ht="12.75" x14ac:dyDescent="0.2">
      <c r="A61" s="52"/>
      <c r="B61" s="9">
        <v>41</v>
      </c>
      <c r="C61" s="9" t="s">
        <v>653</v>
      </c>
      <c r="D61" s="9" t="s">
        <v>24</v>
      </c>
      <c r="E61" s="9" t="s">
        <v>31</v>
      </c>
      <c r="F61" s="9" t="s">
        <v>47</v>
      </c>
      <c r="G61" s="10" t="s">
        <v>27</v>
      </c>
      <c r="H61" s="13"/>
      <c r="I61" s="13"/>
      <c r="J61" s="13"/>
    </row>
    <row r="62" spans="1:10" ht="12.75" x14ac:dyDescent="0.2">
      <c r="A62" s="53"/>
      <c r="B62" s="9">
        <v>41</v>
      </c>
      <c r="C62" s="9" t="s">
        <v>981</v>
      </c>
      <c r="D62" s="9" t="s">
        <v>24</v>
      </c>
      <c r="E62" s="9" t="s">
        <v>31</v>
      </c>
      <c r="F62" s="9" t="s">
        <v>47</v>
      </c>
      <c r="G62" s="10" t="s">
        <v>27</v>
      </c>
      <c r="H62" s="13"/>
      <c r="I62" s="13"/>
      <c r="J62" s="13"/>
    </row>
    <row r="63" spans="1:10" ht="12.75" x14ac:dyDescent="0.2">
      <c r="A63" s="48" t="s">
        <v>46</v>
      </c>
      <c r="B63" s="9">
        <v>41</v>
      </c>
      <c r="C63" s="12" t="s">
        <v>998</v>
      </c>
      <c r="D63" s="9" t="s">
        <v>24</v>
      </c>
      <c r="E63" s="9" t="s">
        <v>31</v>
      </c>
      <c r="F63" s="9" t="s">
        <v>26</v>
      </c>
      <c r="G63" s="10" t="s">
        <v>27</v>
      </c>
      <c r="H63" s="13"/>
      <c r="I63" s="13"/>
      <c r="J63" s="13"/>
    </row>
    <row r="64" spans="1:10" ht="12.75" x14ac:dyDescent="0.2">
      <c r="A64" s="52"/>
      <c r="B64" s="9">
        <v>41</v>
      </c>
      <c r="C64" s="9" t="s">
        <v>999</v>
      </c>
      <c r="D64" s="9" t="s">
        <v>30</v>
      </c>
      <c r="E64" s="9" t="s">
        <v>31</v>
      </c>
      <c r="F64" s="9" t="s">
        <v>87</v>
      </c>
      <c r="G64" s="10" t="s">
        <v>27</v>
      </c>
      <c r="H64" s="13"/>
      <c r="I64" s="13"/>
      <c r="J64" s="13"/>
    </row>
    <row r="65" spans="1:10" ht="12.75" x14ac:dyDescent="0.2">
      <c r="A65" s="52"/>
      <c r="B65" s="9">
        <v>41</v>
      </c>
      <c r="C65" s="9" t="s">
        <v>981</v>
      </c>
      <c r="D65" s="9" t="s">
        <v>24</v>
      </c>
      <c r="E65" s="9" t="s">
        <v>31</v>
      </c>
      <c r="F65" s="9" t="s">
        <v>26</v>
      </c>
      <c r="G65" s="10" t="s">
        <v>27</v>
      </c>
      <c r="H65" s="13"/>
      <c r="I65" s="13"/>
      <c r="J65" s="13"/>
    </row>
    <row r="66" spans="1:10" ht="12.75" x14ac:dyDescent="0.2">
      <c r="A66" s="52"/>
      <c r="B66" s="9">
        <v>41</v>
      </c>
      <c r="C66" s="9" t="s">
        <v>654</v>
      </c>
      <c r="D66" s="9" t="s">
        <v>24</v>
      </c>
      <c r="E66" s="9" t="s">
        <v>31</v>
      </c>
      <c r="F66" s="9" t="s">
        <v>26</v>
      </c>
      <c r="G66" s="10" t="s">
        <v>27</v>
      </c>
      <c r="H66" s="13"/>
      <c r="I66" s="13"/>
      <c r="J66" s="13"/>
    </row>
    <row r="67" spans="1:10" ht="12.75" x14ac:dyDescent="0.2">
      <c r="A67" s="53"/>
      <c r="B67" s="9">
        <v>41</v>
      </c>
      <c r="C67" s="9" t="s">
        <v>1000</v>
      </c>
      <c r="D67" s="9" t="s">
        <v>24</v>
      </c>
      <c r="E67" s="9" t="s">
        <v>31</v>
      </c>
      <c r="F67" s="9" t="s">
        <v>26</v>
      </c>
      <c r="G67" s="10" t="s">
        <v>27</v>
      </c>
      <c r="H67" s="13"/>
      <c r="I67" s="13"/>
      <c r="J67" s="13"/>
    </row>
    <row r="68" spans="1:10" ht="12.75" x14ac:dyDescent="0.2">
      <c r="A68" s="48" t="s">
        <v>49</v>
      </c>
      <c r="B68" s="12">
        <v>41</v>
      </c>
      <c r="C68" s="12" t="s">
        <v>1001</v>
      </c>
      <c r="D68" s="12" t="s">
        <v>24</v>
      </c>
      <c r="E68" s="12" t="s">
        <v>25</v>
      </c>
      <c r="F68" s="12" t="s">
        <v>26</v>
      </c>
      <c r="G68" s="10" t="s">
        <v>27</v>
      </c>
      <c r="H68" s="13"/>
      <c r="I68" s="13"/>
      <c r="J68" s="13"/>
    </row>
    <row r="69" spans="1:10" ht="12.75" x14ac:dyDescent="0.2">
      <c r="A69" s="52"/>
      <c r="B69" s="12">
        <v>41</v>
      </c>
      <c r="C69" s="12" t="s">
        <v>998</v>
      </c>
      <c r="D69" s="12" t="s">
        <v>24</v>
      </c>
      <c r="E69" s="12" t="s">
        <v>25</v>
      </c>
      <c r="F69" s="12" t="s">
        <v>26</v>
      </c>
      <c r="G69" s="10" t="s">
        <v>27</v>
      </c>
      <c r="H69" s="13"/>
      <c r="I69" s="13"/>
      <c r="J69" s="13"/>
    </row>
    <row r="70" spans="1:10" ht="12.75" x14ac:dyDescent="0.2">
      <c r="A70" s="52"/>
      <c r="B70" s="12">
        <v>41</v>
      </c>
      <c r="C70" s="12" t="s">
        <v>1002</v>
      </c>
      <c r="D70" s="12" t="s">
        <v>24</v>
      </c>
      <c r="E70" s="12" t="s">
        <v>25</v>
      </c>
      <c r="F70" s="12" t="s">
        <v>26</v>
      </c>
      <c r="G70" s="10" t="s">
        <v>27</v>
      </c>
      <c r="H70" s="13"/>
      <c r="I70" s="13"/>
      <c r="J70" s="13"/>
    </row>
    <row r="71" spans="1:10" ht="12.75" x14ac:dyDescent="0.2">
      <c r="A71" s="52"/>
      <c r="B71" s="12">
        <v>41</v>
      </c>
      <c r="C71" s="12" t="s">
        <v>1003</v>
      </c>
      <c r="D71" s="12" t="s">
        <v>24</v>
      </c>
      <c r="E71" s="12" t="s">
        <v>25</v>
      </c>
      <c r="F71" s="12" t="s">
        <v>26</v>
      </c>
      <c r="G71" s="10" t="s">
        <v>27</v>
      </c>
      <c r="H71" s="13"/>
      <c r="I71" s="13"/>
      <c r="J71" s="13"/>
    </row>
    <row r="72" spans="1:10" ht="12.75" x14ac:dyDescent="0.2">
      <c r="A72" s="52"/>
      <c r="B72" s="12">
        <v>41</v>
      </c>
      <c r="C72" s="12" t="s">
        <v>1004</v>
      </c>
      <c r="D72" s="12" t="s">
        <v>24</v>
      </c>
      <c r="E72" s="12" t="s">
        <v>25</v>
      </c>
      <c r="F72" s="12" t="s">
        <v>26</v>
      </c>
      <c r="G72" s="10" t="s">
        <v>27</v>
      </c>
      <c r="H72" s="13"/>
      <c r="I72" s="13"/>
      <c r="J72" s="13"/>
    </row>
    <row r="73" spans="1:10" ht="12.75" x14ac:dyDescent="0.2">
      <c r="A73" s="52"/>
      <c r="B73" s="12">
        <v>41</v>
      </c>
      <c r="C73" s="12" t="s">
        <v>1000</v>
      </c>
      <c r="D73" s="12" t="s">
        <v>24</v>
      </c>
      <c r="E73" s="12" t="s">
        <v>25</v>
      </c>
      <c r="F73" s="12" t="s">
        <v>26</v>
      </c>
      <c r="G73" s="10" t="s">
        <v>27</v>
      </c>
      <c r="H73" s="13"/>
      <c r="I73" s="13"/>
      <c r="J73" s="13"/>
    </row>
    <row r="74" spans="1:10" ht="12.75" x14ac:dyDescent="0.2">
      <c r="A74" s="52"/>
      <c r="B74" s="12">
        <v>41</v>
      </c>
      <c r="C74" s="12" t="s">
        <v>977</v>
      </c>
      <c r="D74" s="12" t="s">
        <v>24</v>
      </c>
      <c r="E74" s="12" t="s">
        <v>25</v>
      </c>
      <c r="F74" s="12" t="s">
        <v>26</v>
      </c>
      <c r="G74" s="10" t="s">
        <v>27</v>
      </c>
      <c r="H74" s="13"/>
      <c r="I74" s="13"/>
      <c r="J74" s="13"/>
    </row>
    <row r="75" spans="1:10" ht="12.75" x14ac:dyDescent="0.2">
      <c r="A75" s="53"/>
      <c r="B75" s="12">
        <v>41</v>
      </c>
      <c r="C75" s="12" t="s">
        <v>654</v>
      </c>
      <c r="D75" s="12" t="s">
        <v>24</v>
      </c>
      <c r="E75" s="12" t="s">
        <v>25</v>
      </c>
      <c r="F75" s="12" t="s">
        <v>26</v>
      </c>
      <c r="G75" s="10" t="s">
        <v>27</v>
      </c>
      <c r="H75" s="13"/>
      <c r="I75" s="13"/>
      <c r="J75" s="13"/>
    </row>
    <row r="76" spans="1:10" ht="12.75" x14ac:dyDescent="0.2">
      <c r="A76" s="48" t="s">
        <v>52</v>
      </c>
      <c r="B76" s="9">
        <v>41</v>
      </c>
      <c r="C76" s="9" t="s">
        <v>968</v>
      </c>
      <c r="D76" s="9" t="s">
        <v>24</v>
      </c>
      <c r="E76" s="9" t="s">
        <v>31</v>
      </c>
      <c r="F76" s="9" t="s">
        <v>47</v>
      </c>
      <c r="G76" s="10" t="s">
        <v>27</v>
      </c>
      <c r="H76" s="13"/>
      <c r="I76" s="13"/>
      <c r="J76" s="13"/>
    </row>
    <row r="77" spans="1:10" ht="12.75" x14ac:dyDescent="0.2">
      <c r="A77" s="52"/>
      <c r="B77" s="9">
        <v>41</v>
      </c>
      <c r="C77" s="9" t="s">
        <v>968</v>
      </c>
      <c r="D77" s="9" t="s">
        <v>24</v>
      </c>
      <c r="E77" s="9" t="s">
        <v>31</v>
      </c>
      <c r="F77" s="9" t="s">
        <v>47</v>
      </c>
      <c r="G77" s="10" t="s">
        <v>27</v>
      </c>
      <c r="H77" s="13"/>
      <c r="I77" s="13"/>
      <c r="J77" s="13"/>
    </row>
    <row r="78" spans="1:10" ht="12.75" x14ac:dyDescent="0.2">
      <c r="A78" s="52"/>
      <c r="B78" s="9">
        <v>41</v>
      </c>
      <c r="C78" s="9" t="s">
        <v>661</v>
      </c>
      <c r="D78" s="9" t="s">
        <v>24</v>
      </c>
      <c r="E78" s="9" t="s">
        <v>31</v>
      </c>
      <c r="F78" s="9" t="s">
        <v>47</v>
      </c>
      <c r="G78" s="10" t="s">
        <v>27</v>
      </c>
      <c r="H78" s="13"/>
      <c r="I78" s="13"/>
      <c r="J78" s="13"/>
    </row>
    <row r="79" spans="1:10" ht="12.75" x14ac:dyDescent="0.2">
      <c r="A79" s="52"/>
      <c r="B79" s="9">
        <v>41</v>
      </c>
      <c r="C79" s="9" t="s">
        <v>998</v>
      </c>
      <c r="D79" s="9" t="s">
        <v>24</v>
      </c>
      <c r="E79" s="9" t="s">
        <v>31</v>
      </c>
      <c r="F79" s="9" t="s">
        <v>47</v>
      </c>
      <c r="G79" s="10" t="s">
        <v>27</v>
      </c>
      <c r="H79" s="13"/>
      <c r="I79" s="13"/>
      <c r="J79" s="13"/>
    </row>
    <row r="80" spans="1:10" ht="12.75" x14ac:dyDescent="0.2">
      <c r="A80" s="52"/>
      <c r="B80" s="9">
        <v>41</v>
      </c>
      <c r="C80" s="9" t="s">
        <v>1005</v>
      </c>
      <c r="D80" s="9" t="s">
        <v>24</v>
      </c>
      <c r="E80" s="9" t="s">
        <v>31</v>
      </c>
      <c r="F80" s="9" t="s">
        <v>47</v>
      </c>
      <c r="G80" s="10" t="s">
        <v>27</v>
      </c>
      <c r="H80" s="13"/>
      <c r="I80" s="13"/>
      <c r="J80" s="13"/>
    </row>
    <row r="81" spans="1:10" ht="12.75" x14ac:dyDescent="0.2">
      <c r="A81" s="52"/>
      <c r="B81" s="9">
        <v>41</v>
      </c>
      <c r="C81" s="9" t="s">
        <v>1000</v>
      </c>
      <c r="D81" s="9" t="s">
        <v>24</v>
      </c>
      <c r="E81" s="9" t="s">
        <v>31</v>
      </c>
      <c r="F81" s="9" t="s">
        <v>47</v>
      </c>
      <c r="G81" s="10" t="s">
        <v>27</v>
      </c>
      <c r="H81" s="13"/>
      <c r="I81" s="13"/>
      <c r="J81" s="13"/>
    </row>
    <row r="82" spans="1:10" ht="12.75" x14ac:dyDescent="0.2">
      <c r="A82" s="52"/>
      <c r="B82" s="9">
        <v>41</v>
      </c>
      <c r="C82" s="9" t="s">
        <v>977</v>
      </c>
      <c r="D82" s="9" t="s">
        <v>24</v>
      </c>
      <c r="E82" s="9" t="s">
        <v>31</v>
      </c>
      <c r="F82" s="9" t="s">
        <v>47</v>
      </c>
      <c r="G82" s="10" t="s">
        <v>27</v>
      </c>
      <c r="H82" s="13"/>
      <c r="I82" s="13"/>
      <c r="J82" s="13"/>
    </row>
    <row r="83" spans="1:10" ht="12.75" x14ac:dyDescent="0.2">
      <c r="A83" s="52"/>
      <c r="B83" s="9">
        <v>41</v>
      </c>
      <c r="C83" s="9" t="s">
        <v>1006</v>
      </c>
      <c r="D83" s="9" t="s">
        <v>24</v>
      </c>
      <c r="E83" s="9" t="s">
        <v>31</v>
      </c>
      <c r="F83" s="9" t="s">
        <v>47</v>
      </c>
      <c r="G83" s="10" t="s">
        <v>27</v>
      </c>
      <c r="H83" s="13"/>
      <c r="I83" s="13"/>
      <c r="J83" s="13"/>
    </row>
    <row r="84" spans="1:10" ht="12.75" x14ac:dyDescent="0.2">
      <c r="A84" s="52"/>
      <c r="B84" s="9">
        <v>41</v>
      </c>
      <c r="C84" s="9" t="s">
        <v>1007</v>
      </c>
      <c r="D84" s="9" t="s">
        <v>24</v>
      </c>
      <c r="E84" s="9" t="s">
        <v>31</v>
      </c>
      <c r="F84" s="9" t="s">
        <v>47</v>
      </c>
      <c r="G84" s="10" t="s">
        <v>27</v>
      </c>
      <c r="H84" s="13"/>
      <c r="I84" s="13"/>
      <c r="J84" s="13"/>
    </row>
    <row r="85" spans="1:10" ht="12.75" x14ac:dyDescent="0.2">
      <c r="A85" s="53"/>
      <c r="B85" s="9">
        <v>41</v>
      </c>
      <c r="C85" s="9" t="s">
        <v>981</v>
      </c>
      <c r="D85" s="9" t="s">
        <v>24</v>
      </c>
      <c r="E85" s="9" t="s">
        <v>31</v>
      </c>
      <c r="F85" s="9" t="s">
        <v>47</v>
      </c>
      <c r="G85" s="10" t="s">
        <v>27</v>
      </c>
      <c r="H85" s="13"/>
      <c r="I85" s="13"/>
      <c r="J85" s="13"/>
    </row>
    <row r="86" spans="1:10" ht="12.75" x14ac:dyDescent="0.2">
      <c r="A86" s="48" t="s">
        <v>59</v>
      </c>
      <c r="B86" s="9">
        <v>41</v>
      </c>
      <c r="C86" s="9" t="s">
        <v>1000</v>
      </c>
      <c r="D86" s="9" t="s">
        <v>24</v>
      </c>
      <c r="E86" s="9" t="s">
        <v>31</v>
      </c>
      <c r="F86" s="9" t="s">
        <v>47</v>
      </c>
      <c r="G86" s="10" t="s">
        <v>27</v>
      </c>
      <c r="H86" s="13"/>
      <c r="I86" s="13"/>
      <c r="J86" s="13"/>
    </row>
    <row r="87" spans="1:10" ht="12.75" x14ac:dyDescent="0.2">
      <c r="A87" s="52"/>
      <c r="B87" s="9">
        <v>41</v>
      </c>
      <c r="C87" s="9" t="s">
        <v>968</v>
      </c>
      <c r="D87" s="9" t="s">
        <v>24</v>
      </c>
      <c r="E87" s="9" t="s">
        <v>31</v>
      </c>
      <c r="F87" s="9" t="s">
        <v>47</v>
      </c>
      <c r="G87" s="10" t="s">
        <v>27</v>
      </c>
      <c r="H87" s="13"/>
      <c r="I87" s="13"/>
      <c r="J87" s="13"/>
    </row>
    <row r="88" spans="1:10" ht="12.75" x14ac:dyDescent="0.2">
      <c r="A88" s="52"/>
      <c r="B88" s="9">
        <v>41</v>
      </c>
      <c r="C88" s="9" t="s">
        <v>1008</v>
      </c>
      <c r="D88" s="9" t="s">
        <v>24</v>
      </c>
      <c r="E88" s="9" t="s">
        <v>31</v>
      </c>
      <c r="F88" s="9" t="s">
        <v>47</v>
      </c>
      <c r="G88" s="10" t="s">
        <v>27</v>
      </c>
      <c r="H88" s="13"/>
      <c r="I88" s="13"/>
      <c r="J88" s="13"/>
    </row>
    <row r="89" spans="1:10" ht="12.75" x14ac:dyDescent="0.2">
      <c r="A89" s="52"/>
      <c r="B89" s="9">
        <v>41</v>
      </c>
      <c r="C89" s="9" t="s">
        <v>655</v>
      </c>
      <c r="D89" s="9" t="s">
        <v>24</v>
      </c>
      <c r="E89" s="9" t="s">
        <v>31</v>
      </c>
      <c r="F89" s="9" t="s">
        <v>47</v>
      </c>
      <c r="G89" s="10" t="s">
        <v>27</v>
      </c>
      <c r="H89" s="13"/>
      <c r="I89" s="13"/>
      <c r="J89" s="13"/>
    </row>
    <row r="90" spans="1:10" ht="12.75" x14ac:dyDescent="0.2">
      <c r="A90" s="52"/>
      <c r="B90" s="9">
        <v>41</v>
      </c>
      <c r="C90" s="9" t="s">
        <v>1007</v>
      </c>
      <c r="D90" s="9" t="s">
        <v>24</v>
      </c>
      <c r="E90" s="9" t="s">
        <v>31</v>
      </c>
      <c r="F90" s="9" t="s">
        <v>47</v>
      </c>
      <c r="G90" s="10" t="s">
        <v>27</v>
      </c>
      <c r="H90" s="13"/>
      <c r="I90" s="13"/>
      <c r="J90" s="13"/>
    </row>
    <row r="91" spans="1:10" ht="12.75" x14ac:dyDescent="0.2">
      <c r="A91" s="53"/>
      <c r="B91" s="9">
        <v>41</v>
      </c>
      <c r="C91" s="9" t="s">
        <v>981</v>
      </c>
      <c r="D91" s="9" t="s">
        <v>24</v>
      </c>
      <c r="E91" s="9" t="s">
        <v>31</v>
      </c>
      <c r="F91" s="9" t="s">
        <v>47</v>
      </c>
      <c r="G91" s="10" t="s">
        <v>27</v>
      </c>
      <c r="H91" s="13"/>
      <c r="I91" s="13"/>
      <c r="J91" s="13"/>
    </row>
    <row r="92" spans="1:10" ht="12.75" x14ac:dyDescent="0.2">
      <c r="A92" s="48" t="s">
        <v>101</v>
      </c>
      <c r="B92" s="9">
        <v>41</v>
      </c>
      <c r="C92" s="9" t="s">
        <v>1008</v>
      </c>
      <c r="D92" s="9" t="s">
        <v>24</v>
      </c>
      <c r="E92" s="9" t="s">
        <v>31</v>
      </c>
      <c r="F92" s="9" t="s">
        <v>26</v>
      </c>
      <c r="G92" s="10" t="s">
        <v>27</v>
      </c>
      <c r="H92" s="13"/>
      <c r="I92" s="13"/>
      <c r="J92" s="13"/>
    </row>
    <row r="93" spans="1:10" ht="12.75" x14ac:dyDescent="0.2">
      <c r="A93" s="52"/>
      <c r="B93" s="9">
        <v>41</v>
      </c>
      <c r="C93" s="9" t="s">
        <v>1009</v>
      </c>
      <c r="D93" s="9" t="s">
        <v>24</v>
      </c>
      <c r="E93" s="9" t="s">
        <v>31</v>
      </c>
      <c r="F93" s="9" t="s">
        <v>26</v>
      </c>
      <c r="G93" s="10" t="s">
        <v>27</v>
      </c>
      <c r="H93" s="13"/>
      <c r="I93" s="13"/>
      <c r="J93" s="13"/>
    </row>
    <row r="94" spans="1:10" ht="12.75" x14ac:dyDescent="0.2">
      <c r="A94" s="53"/>
      <c r="B94" s="9">
        <v>41</v>
      </c>
      <c r="C94" s="9" t="s">
        <v>1010</v>
      </c>
      <c r="D94" s="9" t="s">
        <v>24</v>
      </c>
      <c r="E94" s="9" t="s">
        <v>31</v>
      </c>
      <c r="F94" s="9" t="s">
        <v>26</v>
      </c>
      <c r="G94" s="10" t="s">
        <v>27</v>
      </c>
      <c r="H94" s="13"/>
      <c r="I94" s="13"/>
      <c r="J94" s="13"/>
    </row>
    <row r="95" spans="1:10" ht="12.75" x14ac:dyDescent="0.2">
      <c r="A95" s="48" t="s">
        <v>62</v>
      </c>
      <c r="B95" s="9">
        <v>41</v>
      </c>
      <c r="C95" s="9" t="s">
        <v>1009</v>
      </c>
      <c r="D95" s="9" t="s">
        <v>24</v>
      </c>
      <c r="E95" s="9" t="s">
        <v>31</v>
      </c>
      <c r="F95" s="9" t="s">
        <v>26</v>
      </c>
      <c r="G95" s="10" t="s">
        <v>27</v>
      </c>
      <c r="H95" s="13"/>
      <c r="I95" s="13"/>
      <c r="J95" s="13"/>
    </row>
    <row r="96" spans="1:10" ht="12.75" x14ac:dyDescent="0.2">
      <c r="A96" s="52"/>
      <c r="B96" s="9">
        <v>41</v>
      </c>
      <c r="C96" s="9" t="s">
        <v>1011</v>
      </c>
      <c r="D96" s="9" t="s">
        <v>24</v>
      </c>
      <c r="E96" s="9" t="s">
        <v>31</v>
      </c>
      <c r="F96" s="9" t="s">
        <v>26</v>
      </c>
      <c r="G96" s="10" t="s">
        <v>27</v>
      </c>
      <c r="H96" s="13"/>
      <c r="I96" s="13"/>
      <c r="J96" s="13"/>
    </row>
    <row r="97" spans="1:10" ht="12.75" x14ac:dyDescent="0.2">
      <c r="A97" s="52"/>
      <c r="B97" s="9">
        <v>41</v>
      </c>
      <c r="C97" s="9" t="s">
        <v>676</v>
      </c>
      <c r="D97" s="9" t="s">
        <v>24</v>
      </c>
      <c r="E97" s="9" t="s">
        <v>31</v>
      </c>
      <c r="F97" s="9" t="s">
        <v>47</v>
      </c>
      <c r="G97" s="10" t="s">
        <v>27</v>
      </c>
      <c r="H97" s="13"/>
      <c r="I97" s="13"/>
      <c r="J97" s="13"/>
    </row>
    <row r="98" spans="1:10" ht="12.75" x14ac:dyDescent="0.2">
      <c r="A98" s="52"/>
      <c r="B98" s="9">
        <v>41</v>
      </c>
      <c r="C98" s="9" t="s">
        <v>1010</v>
      </c>
      <c r="D98" s="9" t="s">
        <v>24</v>
      </c>
      <c r="E98" s="9" t="s">
        <v>31</v>
      </c>
      <c r="F98" s="9" t="s">
        <v>26</v>
      </c>
      <c r="G98" s="10" t="s">
        <v>27</v>
      </c>
      <c r="H98" s="13"/>
      <c r="I98" s="13"/>
      <c r="J98" s="13"/>
    </row>
    <row r="99" spans="1:10" ht="12.75" x14ac:dyDescent="0.2">
      <c r="A99" s="52"/>
      <c r="B99" s="9">
        <v>41</v>
      </c>
      <c r="C99" s="9" t="s">
        <v>674</v>
      </c>
      <c r="D99" s="9" t="s">
        <v>24</v>
      </c>
      <c r="E99" s="9" t="s">
        <v>31</v>
      </c>
      <c r="F99" s="9" t="s">
        <v>47</v>
      </c>
      <c r="G99" s="10" t="s">
        <v>27</v>
      </c>
      <c r="H99" s="13"/>
      <c r="I99" s="13"/>
      <c r="J99" s="13"/>
    </row>
    <row r="100" spans="1:10" ht="12.75" x14ac:dyDescent="0.2">
      <c r="A100" s="52"/>
      <c r="B100" s="9">
        <v>41</v>
      </c>
      <c r="C100" s="9" t="s">
        <v>673</v>
      </c>
      <c r="D100" s="9" t="s">
        <v>24</v>
      </c>
      <c r="E100" s="9" t="s">
        <v>31</v>
      </c>
      <c r="F100" s="9" t="s">
        <v>47</v>
      </c>
      <c r="G100" s="10" t="s">
        <v>27</v>
      </c>
      <c r="H100" s="13"/>
      <c r="I100" s="13"/>
      <c r="J100" s="13"/>
    </row>
    <row r="101" spans="1:10" ht="12.75" x14ac:dyDescent="0.2">
      <c r="A101" s="53"/>
      <c r="B101" s="9">
        <v>41</v>
      </c>
      <c r="C101" s="9" t="s">
        <v>654</v>
      </c>
      <c r="D101" s="9" t="s">
        <v>24</v>
      </c>
      <c r="E101" s="9" t="s">
        <v>31</v>
      </c>
      <c r="F101" s="9" t="s">
        <v>47</v>
      </c>
      <c r="G101" s="10" t="s">
        <v>27</v>
      </c>
      <c r="H101" s="13"/>
      <c r="I101" s="13"/>
      <c r="J101" s="13"/>
    </row>
    <row r="102" spans="1:10" ht="12.75" x14ac:dyDescent="0.2">
      <c r="A102" s="48" t="s">
        <v>70</v>
      </c>
      <c r="B102" s="9">
        <v>41</v>
      </c>
      <c r="C102" s="9" t="s">
        <v>1009</v>
      </c>
      <c r="D102" s="9" t="s">
        <v>24</v>
      </c>
      <c r="E102" s="9" t="s">
        <v>31</v>
      </c>
      <c r="F102" s="9" t="s">
        <v>47</v>
      </c>
      <c r="G102" s="10" t="s">
        <v>27</v>
      </c>
      <c r="H102" s="13"/>
      <c r="I102" s="13"/>
      <c r="J102" s="13"/>
    </row>
    <row r="103" spans="1:10" ht="12.75" x14ac:dyDescent="0.2">
      <c r="A103" s="52"/>
      <c r="B103" s="9">
        <v>41</v>
      </c>
      <c r="C103" s="9" t="s">
        <v>673</v>
      </c>
      <c r="D103" s="9" t="s">
        <v>24</v>
      </c>
      <c r="E103" s="9" t="s">
        <v>31</v>
      </c>
      <c r="F103" s="9" t="s">
        <v>47</v>
      </c>
      <c r="G103" s="10" t="s">
        <v>27</v>
      </c>
      <c r="H103" s="13"/>
      <c r="I103" s="13"/>
      <c r="J103" s="13"/>
    </row>
    <row r="104" spans="1:10" ht="12.75" x14ac:dyDescent="0.2">
      <c r="A104" s="53"/>
      <c r="B104" s="9">
        <v>41</v>
      </c>
      <c r="C104" s="9" t="s">
        <v>968</v>
      </c>
      <c r="D104" s="9" t="s">
        <v>24</v>
      </c>
      <c r="E104" s="9" t="s">
        <v>31</v>
      </c>
      <c r="F104" s="9" t="s">
        <v>47</v>
      </c>
      <c r="G104" s="10" t="s">
        <v>27</v>
      </c>
      <c r="H104" s="13"/>
      <c r="I104" s="13"/>
      <c r="J104" s="13"/>
    </row>
    <row r="105" spans="1:10" ht="12.75" x14ac:dyDescent="0.2">
      <c r="A105" s="48" t="s">
        <v>73</v>
      </c>
      <c r="B105" s="9">
        <v>41</v>
      </c>
      <c r="C105" s="9" t="s">
        <v>1009</v>
      </c>
      <c r="D105" s="9" t="s">
        <v>24</v>
      </c>
      <c r="E105" s="9" t="s">
        <v>31</v>
      </c>
      <c r="F105" s="9" t="s">
        <v>26</v>
      </c>
      <c r="G105" s="10" t="s">
        <v>27</v>
      </c>
      <c r="H105" s="13"/>
      <c r="I105" s="13"/>
      <c r="J105" s="13"/>
    </row>
    <row r="106" spans="1:10" ht="12.75" x14ac:dyDescent="0.2">
      <c r="A106" s="52"/>
      <c r="B106" s="9">
        <v>41</v>
      </c>
      <c r="C106" s="9" t="s">
        <v>1012</v>
      </c>
      <c r="D106" s="9" t="s">
        <v>24</v>
      </c>
      <c r="E106" s="9" t="s">
        <v>31</v>
      </c>
      <c r="F106" s="9" t="s">
        <v>47</v>
      </c>
      <c r="G106" s="10" t="s">
        <v>27</v>
      </c>
      <c r="H106" s="13"/>
      <c r="I106" s="13"/>
      <c r="J106" s="13"/>
    </row>
    <row r="107" spans="1:10" ht="12.75" x14ac:dyDescent="0.2">
      <c r="A107" s="52"/>
      <c r="B107" s="9">
        <v>41</v>
      </c>
      <c r="C107" s="9" t="s">
        <v>1013</v>
      </c>
      <c r="D107" s="9" t="s">
        <v>24</v>
      </c>
      <c r="E107" s="9" t="s">
        <v>31</v>
      </c>
      <c r="F107" s="9" t="s">
        <v>26</v>
      </c>
      <c r="G107" s="10" t="s">
        <v>27</v>
      </c>
      <c r="H107" s="13"/>
      <c r="I107" s="13"/>
      <c r="J107" s="13"/>
    </row>
    <row r="108" spans="1:10" ht="12.75" x14ac:dyDescent="0.2">
      <c r="A108" s="52"/>
      <c r="B108" s="9">
        <v>41</v>
      </c>
      <c r="C108" s="9" t="s">
        <v>674</v>
      </c>
      <c r="D108" s="9" t="s">
        <v>24</v>
      </c>
      <c r="E108" s="9" t="s">
        <v>31</v>
      </c>
      <c r="F108" s="9" t="s">
        <v>47</v>
      </c>
      <c r="G108" s="10" t="s">
        <v>27</v>
      </c>
      <c r="H108" s="13"/>
      <c r="I108" s="13"/>
      <c r="J108" s="13"/>
    </row>
    <row r="109" spans="1:10" ht="12.75" x14ac:dyDescent="0.2">
      <c r="A109" s="52"/>
      <c r="B109" s="9">
        <v>41</v>
      </c>
      <c r="C109" s="9" t="s">
        <v>673</v>
      </c>
      <c r="D109" s="9" t="s">
        <v>24</v>
      </c>
      <c r="E109" s="9" t="s">
        <v>31</v>
      </c>
      <c r="F109" s="9" t="s">
        <v>47</v>
      </c>
      <c r="G109" s="10" t="s">
        <v>27</v>
      </c>
      <c r="H109" s="13"/>
      <c r="I109" s="13"/>
      <c r="J109" s="13"/>
    </row>
    <row r="110" spans="1:10" ht="12.75" x14ac:dyDescent="0.2">
      <c r="A110" s="52"/>
      <c r="B110" s="9">
        <v>41</v>
      </c>
      <c r="C110" s="9" t="s">
        <v>1014</v>
      </c>
      <c r="D110" s="9" t="s">
        <v>24</v>
      </c>
      <c r="E110" s="9" t="s">
        <v>31</v>
      </c>
      <c r="F110" s="9" t="s">
        <v>47</v>
      </c>
      <c r="G110" s="10" t="s">
        <v>27</v>
      </c>
      <c r="H110" s="13"/>
      <c r="I110" s="13"/>
      <c r="J110" s="13"/>
    </row>
    <row r="111" spans="1:10" ht="12.75" x14ac:dyDescent="0.2">
      <c r="A111" s="52"/>
      <c r="B111" s="9">
        <v>41</v>
      </c>
      <c r="C111" s="9" t="s">
        <v>1015</v>
      </c>
      <c r="D111" s="9" t="s">
        <v>24</v>
      </c>
      <c r="E111" s="9" t="s">
        <v>31</v>
      </c>
      <c r="F111" s="9" t="s">
        <v>47</v>
      </c>
      <c r="G111" s="10" t="s">
        <v>27</v>
      </c>
      <c r="H111" s="13"/>
      <c r="I111" s="13"/>
      <c r="J111" s="13"/>
    </row>
    <row r="112" spans="1:10" ht="12.75" x14ac:dyDescent="0.2">
      <c r="A112" s="52"/>
      <c r="B112" s="9">
        <v>41</v>
      </c>
      <c r="C112" s="9" t="s">
        <v>1016</v>
      </c>
      <c r="D112" s="9" t="s">
        <v>24</v>
      </c>
      <c r="E112" s="9" t="s">
        <v>31</v>
      </c>
      <c r="F112" s="9" t="s">
        <v>47</v>
      </c>
      <c r="G112" s="10" t="s">
        <v>27</v>
      </c>
      <c r="H112" s="13"/>
      <c r="I112" s="13"/>
      <c r="J112" s="13"/>
    </row>
    <row r="113" spans="1:10" ht="12.75" x14ac:dyDescent="0.2">
      <c r="A113" s="52"/>
      <c r="B113" s="9">
        <v>41</v>
      </c>
      <c r="C113" s="9" t="s">
        <v>1017</v>
      </c>
      <c r="D113" s="9" t="s">
        <v>24</v>
      </c>
      <c r="E113" s="9" t="s">
        <v>31</v>
      </c>
      <c r="F113" s="9" t="s">
        <v>47</v>
      </c>
      <c r="G113" s="10" t="s">
        <v>27</v>
      </c>
      <c r="H113" s="13"/>
      <c r="I113" s="13"/>
      <c r="J113" s="13"/>
    </row>
    <row r="114" spans="1:10" ht="12.75" x14ac:dyDescent="0.2">
      <c r="A114" s="53"/>
      <c r="B114" s="9">
        <v>41</v>
      </c>
      <c r="C114" s="9" t="s">
        <v>867</v>
      </c>
      <c r="D114" s="9" t="s">
        <v>24</v>
      </c>
      <c r="E114" s="9" t="s">
        <v>31</v>
      </c>
      <c r="F114" s="9" t="s">
        <v>26</v>
      </c>
      <c r="G114" s="10" t="s">
        <v>27</v>
      </c>
      <c r="H114" s="13"/>
      <c r="I114" s="13"/>
      <c r="J114" s="13"/>
    </row>
    <row r="115" spans="1:10" ht="12.75" x14ac:dyDescent="0.2">
      <c r="A115" s="48" t="s">
        <v>77</v>
      </c>
      <c r="B115" s="9">
        <v>41</v>
      </c>
      <c r="C115" s="9" t="s">
        <v>1009</v>
      </c>
      <c r="D115" s="9" t="s">
        <v>24</v>
      </c>
      <c r="E115" s="9" t="s">
        <v>31</v>
      </c>
      <c r="F115" s="9" t="s">
        <v>26</v>
      </c>
      <c r="G115" s="10" t="s">
        <v>27</v>
      </c>
      <c r="H115" s="13"/>
      <c r="I115" s="13"/>
      <c r="J115" s="13"/>
    </row>
    <row r="116" spans="1:10" ht="12.75" x14ac:dyDescent="0.2">
      <c r="A116" s="52"/>
      <c r="B116" s="9">
        <v>41</v>
      </c>
      <c r="C116" s="9" t="s">
        <v>1000</v>
      </c>
      <c r="D116" s="9" t="s">
        <v>24</v>
      </c>
      <c r="E116" s="9" t="s">
        <v>31</v>
      </c>
      <c r="F116" s="9" t="s">
        <v>26</v>
      </c>
      <c r="G116" s="10" t="s">
        <v>27</v>
      </c>
      <c r="H116" s="13"/>
      <c r="I116" s="13"/>
      <c r="J116" s="13"/>
    </row>
    <row r="117" spans="1:10" ht="12.75" x14ac:dyDescent="0.2">
      <c r="A117" s="52"/>
      <c r="B117" s="9">
        <v>41</v>
      </c>
      <c r="C117" s="9" t="s">
        <v>1018</v>
      </c>
      <c r="D117" s="9" t="s">
        <v>24</v>
      </c>
      <c r="E117" s="9" t="s">
        <v>31</v>
      </c>
      <c r="F117" s="9" t="s">
        <v>26</v>
      </c>
      <c r="G117" s="10" t="s">
        <v>27</v>
      </c>
      <c r="H117" s="13"/>
      <c r="I117" s="13"/>
      <c r="J117" s="13"/>
    </row>
    <row r="118" spans="1:10" ht="12.75" x14ac:dyDescent="0.2">
      <c r="A118" s="53"/>
      <c r="B118" s="9">
        <v>41</v>
      </c>
      <c r="C118" s="9" t="s">
        <v>1019</v>
      </c>
      <c r="D118" s="9" t="s">
        <v>24</v>
      </c>
      <c r="E118" s="9" t="s">
        <v>31</v>
      </c>
      <c r="F118" s="9" t="s">
        <v>47</v>
      </c>
      <c r="G118" s="10" t="s">
        <v>27</v>
      </c>
      <c r="H118" s="13"/>
      <c r="I118" s="13"/>
      <c r="J118" s="13"/>
    </row>
    <row r="119" spans="1:10" ht="12.75" x14ac:dyDescent="0.2">
      <c r="A119" s="48" t="s">
        <v>79</v>
      </c>
      <c r="B119" s="12">
        <v>41</v>
      </c>
      <c r="C119" s="12" t="s">
        <v>1020</v>
      </c>
      <c r="D119" s="12" t="s">
        <v>24</v>
      </c>
      <c r="E119" s="12" t="s">
        <v>25</v>
      </c>
      <c r="F119" s="12" t="s">
        <v>26</v>
      </c>
      <c r="G119" s="10" t="s">
        <v>27</v>
      </c>
      <c r="H119" s="13"/>
      <c r="I119" s="13"/>
      <c r="J119" s="13"/>
    </row>
    <row r="120" spans="1:10" ht="12.75" x14ac:dyDescent="0.2">
      <c r="A120" s="52"/>
      <c r="B120" s="12">
        <v>41</v>
      </c>
      <c r="C120" s="12" t="s">
        <v>998</v>
      </c>
      <c r="D120" s="12" t="s">
        <v>24</v>
      </c>
      <c r="E120" s="12" t="s">
        <v>25</v>
      </c>
      <c r="F120" s="12" t="s">
        <v>26</v>
      </c>
      <c r="G120" s="10" t="s">
        <v>27</v>
      </c>
      <c r="H120" s="13"/>
      <c r="I120" s="13"/>
      <c r="J120" s="13"/>
    </row>
    <row r="121" spans="1:10" ht="12.75" x14ac:dyDescent="0.2">
      <c r="A121" s="52"/>
      <c r="B121" s="12">
        <v>41</v>
      </c>
      <c r="C121" s="12" t="s">
        <v>1000</v>
      </c>
      <c r="D121" s="12" t="s">
        <v>24</v>
      </c>
      <c r="E121" s="12" t="s">
        <v>25</v>
      </c>
      <c r="F121" s="12" t="s">
        <v>26</v>
      </c>
      <c r="G121" s="10" t="s">
        <v>27</v>
      </c>
      <c r="H121" s="13"/>
      <c r="I121" s="13"/>
      <c r="J121" s="13"/>
    </row>
    <row r="122" spans="1:10" ht="12.75" x14ac:dyDescent="0.2">
      <c r="A122" s="52"/>
      <c r="B122" s="12">
        <v>41</v>
      </c>
      <c r="C122" s="12" t="s">
        <v>1021</v>
      </c>
      <c r="D122" s="12" t="s">
        <v>24</v>
      </c>
      <c r="E122" s="12" t="s">
        <v>25</v>
      </c>
      <c r="F122" s="12" t="s">
        <v>26</v>
      </c>
      <c r="G122" s="10" t="s">
        <v>27</v>
      </c>
      <c r="H122" s="13"/>
      <c r="I122" s="13"/>
      <c r="J122" s="13"/>
    </row>
    <row r="123" spans="1:10" ht="12.75" x14ac:dyDescent="0.2">
      <c r="A123" s="52"/>
      <c r="B123" s="12">
        <v>41</v>
      </c>
      <c r="C123" s="12" t="s">
        <v>1022</v>
      </c>
      <c r="D123" s="12" t="s">
        <v>24</v>
      </c>
      <c r="E123" s="12" t="s">
        <v>25</v>
      </c>
      <c r="F123" s="12" t="s">
        <v>26</v>
      </c>
      <c r="G123" s="10" t="s">
        <v>27</v>
      </c>
      <c r="H123" s="13"/>
      <c r="I123" s="13"/>
      <c r="J123" s="13"/>
    </row>
    <row r="124" spans="1:10" ht="12.75" x14ac:dyDescent="0.2">
      <c r="A124" s="52"/>
      <c r="B124" s="12">
        <v>41</v>
      </c>
      <c r="C124" s="12" t="s">
        <v>1023</v>
      </c>
      <c r="D124" s="12" t="s">
        <v>24</v>
      </c>
      <c r="E124" s="12" t="s">
        <v>25</v>
      </c>
      <c r="F124" s="12" t="s">
        <v>26</v>
      </c>
      <c r="G124" s="10" t="s">
        <v>27</v>
      </c>
      <c r="H124" s="13"/>
      <c r="I124" s="13"/>
      <c r="J124" s="13"/>
    </row>
    <row r="125" spans="1:10" ht="12.75" x14ac:dyDescent="0.2">
      <c r="A125" s="52"/>
      <c r="B125" s="12">
        <v>41</v>
      </c>
      <c r="C125" s="12" t="s">
        <v>1024</v>
      </c>
      <c r="D125" s="12" t="s">
        <v>24</v>
      </c>
      <c r="E125" s="12" t="s">
        <v>25</v>
      </c>
      <c r="F125" s="12" t="s">
        <v>26</v>
      </c>
      <c r="G125" s="10" t="s">
        <v>27</v>
      </c>
      <c r="H125" s="13"/>
      <c r="I125" s="13"/>
      <c r="J125" s="13"/>
    </row>
    <row r="126" spans="1:10" ht="12.75" x14ac:dyDescent="0.2">
      <c r="A126" s="52"/>
      <c r="B126" s="12">
        <v>41</v>
      </c>
      <c r="C126" s="12" t="s">
        <v>1025</v>
      </c>
      <c r="D126" s="12" t="s">
        <v>24</v>
      </c>
      <c r="E126" s="12" t="s">
        <v>25</v>
      </c>
      <c r="F126" s="12" t="s">
        <v>26</v>
      </c>
      <c r="G126" s="10" t="s">
        <v>27</v>
      </c>
      <c r="H126" s="13"/>
      <c r="I126" s="13"/>
      <c r="J126" s="13"/>
    </row>
    <row r="127" spans="1:10" ht="12.75" x14ac:dyDescent="0.2">
      <c r="A127" s="53"/>
      <c r="B127" s="12">
        <v>41</v>
      </c>
      <c r="C127" s="12" t="s">
        <v>1026</v>
      </c>
      <c r="D127" s="12" t="s">
        <v>24</v>
      </c>
      <c r="E127" s="12" t="s">
        <v>25</v>
      </c>
      <c r="F127" s="12" t="s">
        <v>26</v>
      </c>
      <c r="G127" s="10" t="s">
        <v>27</v>
      </c>
      <c r="H127" s="13"/>
      <c r="I127" s="13"/>
      <c r="J127" s="13"/>
    </row>
    <row r="128" spans="1:10" ht="12.75" x14ac:dyDescent="0.2">
      <c r="A128" s="48" t="s">
        <v>83</v>
      </c>
      <c r="B128" s="9">
        <v>41</v>
      </c>
      <c r="C128" s="9" t="s">
        <v>1027</v>
      </c>
      <c r="D128" s="9" t="s">
        <v>24</v>
      </c>
      <c r="E128" s="9" t="s">
        <v>31</v>
      </c>
      <c r="F128" s="9" t="s">
        <v>26</v>
      </c>
      <c r="G128" s="10" t="s">
        <v>27</v>
      </c>
      <c r="H128" s="13"/>
      <c r="I128" s="13"/>
      <c r="J128" s="13"/>
    </row>
    <row r="129" spans="1:10" ht="12.75" x14ac:dyDescent="0.2">
      <c r="A129" s="52"/>
      <c r="B129" s="9">
        <v>41</v>
      </c>
      <c r="C129" s="9" t="s">
        <v>1028</v>
      </c>
      <c r="D129" s="9" t="s">
        <v>24</v>
      </c>
      <c r="E129" s="9" t="s">
        <v>31</v>
      </c>
      <c r="F129" s="9" t="s">
        <v>26</v>
      </c>
      <c r="G129" s="10" t="s">
        <v>27</v>
      </c>
      <c r="H129" s="13"/>
      <c r="I129" s="13"/>
      <c r="J129" s="13"/>
    </row>
    <row r="130" spans="1:10" ht="12.75" x14ac:dyDescent="0.2">
      <c r="A130" s="52"/>
      <c r="B130" s="9">
        <v>41</v>
      </c>
      <c r="C130" s="9" t="s">
        <v>1029</v>
      </c>
      <c r="D130" s="9" t="s">
        <v>24</v>
      </c>
      <c r="E130" s="9" t="s">
        <v>31</v>
      </c>
      <c r="F130" s="9" t="s">
        <v>47</v>
      </c>
      <c r="G130" s="10" t="s">
        <v>27</v>
      </c>
      <c r="H130" s="13"/>
      <c r="I130" s="13"/>
      <c r="J130" s="13"/>
    </row>
    <row r="131" spans="1:10" ht="12.75" x14ac:dyDescent="0.2">
      <c r="A131" s="52"/>
      <c r="B131" s="9">
        <v>41</v>
      </c>
      <c r="C131" s="9" t="s">
        <v>1030</v>
      </c>
      <c r="D131" s="9" t="s">
        <v>24</v>
      </c>
      <c r="E131" s="9" t="s">
        <v>31</v>
      </c>
      <c r="F131" s="9" t="s">
        <v>47</v>
      </c>
      <c r="G131" s="10" t="s">
        <v>27</v>
      </c>
      <c r="H131" s="13"/>
      <c r="I131" s="13"/>
      <c r="J131" s="13"/>
    </row>
    <row r="132" spans="1:10" ht="12.75" x14ac:dyDescent="0.2">
      <c r="A132" s="52"/>
      <c r="B132" s="9">
        <v>41</v>
      </c>
      <c r="C132" s="9" t="s">
        <v>1031</v>
      </c>
      <c r="D132" s="9" t="s">
        <v>24</v>
      </c>
      <c r="E132" s="9" t="s">
        <v>31</v>
      </c>
      <c r="F132" s="9" t="s">
        <v>47</v>
      </c>
      <c r="G132" s="10" t="s">
        <v>27</v>
      </c>
      <c r="H132" s="13"/>
      <c r="I132" s="13"/>
      <c r="J132" s="13"/>
    </row>
    <row r="133" spans="1:10" ht="12.75" x14ac:dyDescent="0.2">
      <c r="A133" s="52"/>
      <c r="B133" s="9">
        <v>41</v>
      </c>
      <c r="C133" s="9" t="s">
        <v>1032</v>
      </c>
      <c r="D133" s="9" t="s">
        <v>24</v>
      </c>
      <c r="E133" s="9" t="s">
        <v>31</v>
      </c>
      <c r="F133" s="9" t="s">
        <v>47</v>
      </c>
      <c r="G133" s="10" t="s">
        <v>27</v>
      </c>
      <c r="H133" s="13"/>
      <c r="I133" s="13"/>
      <c r="J133" s="13"/>
    </row>
    <row r="134" spans="1:10" ht="12.75" x14ac:dyDescent="0.2">
      <c r="A134" s="52"/>
      <c r="B134" s="9">
        <v>41</v>
      </c>
      <c r="C134" s="9" t="s">
        <v>1033</v>
      </c>
      <c r="D134" s="9" t="s">
        <v>24</v>
      </c>
      <c r="E134" s="9" t="s">
        <v>31</v>
      </c>
      <c r="F134" s="9" t="s">
        <v>47</v>
      </c>
      <c r="G134" s="10" t="s">
        <v>27</v>
      </c>
      <c r="H134" s="13"/>
      <c r="I134" s="13"/>
      <c r="J134" s="13"/>
    </row>
    <row r="135" spans="1:10" ht="12.75" x14ac:dyDescent="0.2">
      <c r="A135" s="52"/>
      <c r="B135" s="9">
        <v>41</v>
      </c>
      <c r="C135" s="9" t="s">
        <v>1034</v>
      </c>
      <c r="D135" s="9" t="s">
        <v>24</v>
      </c>
      <c r="E135" s="9" t="s">
        <v>31</v>
      </c>
      <c r="F135" s="9" t="s">
        <v>47</v>
      </c>
      <c r="G135" s="10" t="s">
        <v>27</v>
      </c>
      <c r="H135" s="13"/>
      <c r="I135" s="13"/>
      <c r="J135" s="13"/>
    </row>
    <row r="136" spans="1:10" ht="12.75" x14ac:dyDescent="0.2">
      <c r="A136" s="52"/>
      <c r="B136" s="9">
        <v>41</v>
      </c>
      <c r="C136" s="9" t="s">
        <v>1015</v>
      </c>
      <c r="D136" s="9" t="s">
        <v>24</v>
      </c>
      <c r="E136" s="9" t="s">
        <v>31</v>
      </c>
      <c r="F136" s="9" t="s">
        <v>47</v>
      </c>
      <c r="G136" s="10" t="s">
        <v>27</v>
      </c>
      <c r="H136" s="13"/>
      <c r="I136" s="13"/>
      <c r="J136" s="13"/>
    </row>
    <row r="137" spans="1:10" ht="12.75" x14ac:dyDescent="0.2">
      <c r="A137" s="52"/>
      <c r="B137" s="9">
        <v>41</v>
      </c>
      <c r="C137" s="9" t="s">
        <v>1035</v>
      </c>
      <c r="D137" s="9" t="s">
        <v>24</v>
      </c>
      <c r="E137" s="9" t="s">
        <v>31</v>
      </c>
      <c r="F137" s="9" t="s">
        <v>47</v>
      </c>
      <c r="G137" s="10" t="s">
        <v>27</v>
      </c>
      <c r="H137" s="13"/>
      <c r="I137" s="13"/>
      <c r="J137" s="13"/>
    </row>
    <row r="138" spans="1:10" ht="12.75" x14ac:dyDescent="0.2">
      <c r="A138" s="52"/>
      <c r="B138" s="9">
        <v>41</v>
      </c>
      <c r="C138" s="9" t="s">
        <v>1036</v>
      </c>
      <c r="D138" s="9" t="s">
        <v>24</v>
      </c>
      <c r="E138" s="9" t="s">
        <v>31</v>
      </c>
      <c r="F138" s="9" t="s">
        <v>47</v>
      </c>
      <c r="G138" s="10" t="s">
        <v>27</v>
      </c>
      <c r="H138" s="13"/>
      <c r="I138" s="13"/>
      <c r="J138" s="13"/>
    </row>
    <row r="139" spans="1:10" ht="12.75" x14ac:dyDescent="0.2">
      <c r="A139" s="52"/>
      <c r="B139" s="9">
        <v>41</v>
      </c>
      <c r="C139" s="9" t="s">
        <v>1037</v>
      </c>
      <c r="D139" s="9" t="s">
        <v>24</v>
      </c>
      <c r="E139" s="9" t="s">
        <v>31</v>
      </c>
      <c r="F139" s="9" t="s">
        <v>47</v>
      </c>
      <c r="G139" s="10" t="s">
        <v>27</v>
      </c>
      <c r="H139" s="13"/>
      <c r="I139" s="13"/>
      <c r="J139" s="13"/>
    </row>
    <row r="140" spans="1:10" ht="12.75" x14ac:dyDescent="0.2">
      <c r="A140" s="53"/>
      <c r="B140" s="9">
        <v>41</v>
      </c>
      <c r="C140" s="9" t="s">
        <v>653</v>
      </c>
      <c r="D140" s="9" t="s">
        <v>24</v>
      </c>
      <c r="E140" s="9" t="s">
        <v>31</v>
      </c>
      <c r="F140" s="9" t="s">
        <v>47</v>
      </c>
      <c r="G140" s="10" t="s">
        <v>27</v>
      </c>
      <c r="H140" s="13"/>
      <c r="I140" s="13"/>
      <c r="J140" s="13"/>
    </row>
    <row r="141" spans="1:10" ht="12.75" x14ac:dyDescent="0.2">
      <c r="A141" s="48" t="s">
        <v>85</v>
      </c>
      <c r="B141" s="9">
        <v>41</v>
      </c>
      <c r="C141" s="9" t="s">
        <v>1038</v>
      </c>
      <c r="D141" s="9" t="s">
        <v>24</v>
      </c>
      <c r="E141" s="9" t="s">
        <v>31</v>
      </c>
      <c r="F141" s="9" t="s">
        <v>47</v>
      </c>
      <c r="G141" s="10" t="s">
        <v>27</v>
      </c>
      <c r="H141" s="13"/>
      <c r="I141" s="13"/>
      <c r="J141" s="13"/>
    </row>
    <row r="142" spans="1:10" ht="12.75" x14ac:dyDescent="0.2">
      <c r="A142" s="52"/>
      <c r="B142" s="9">
        <v>41</v>
      </c>
      <c r="C142" s="9" t="s">
        <v>1032</v>
      </c>
      <c r="D142" s="9" t="s">
        <v>24</v>
      </c>
      <c r="E142" s="9" t="s">
        <v>31</v>
      </c>
      <c r="F142" s="9" t="s">
        <v>26</v>
      </c>
      <c r="G142" s="10" t="s">
        <v>27</v>
      </c>
      <c r="H142" s="13"/>
      <c r="I142" s="13"/>
      <c r="J142" s="13"/>
    </row>
    <row r="143" spans="1:10" ht="12.75" x14ac:dyDescent="0.2">
      <c r="A143" s="52"/>
      <c r="B143" s="9">
        <v>41</v>
      </c>
      <c r="C143" s="9" t="s">
        <v>1039</v>
      </c>
      <c r="D143" s="9" t="s">
        <v>24</v>
      </c>
      <c r="E143" s="9" t="s">
        <v>31</v>
      </c>
      <c r="F143" s="9" t="s">
        <v>47</v>
      </c>
      <c r="G143" s="10" t="s">
        <v>27</v>
      </c>
      <c r="H143" s="13"/>
      <c r="I143" s="13"/>
      <c r="J143" s="13"/>
    </row>
    <row r="144" spans="1:10" ht="12.75" x14ac:dyDescent="0.2">
      <c r="A144" s="53"/>
      <c r="B144" s="9">
        <v>41</v>
      </c>
      <c r="C144" s="9" t="s">
        <v>653</v>
      </c>
      <c r="D144" s="9" t="s">
        <v>24</v>
      </c>
      <c r="E144" s="9" t="s">
        <v>31</v>
      </c>
      <c r="F144" s="9" t="s">
        <v>47</v>
      </c>
      <c r="G144" s="10" t="s">
        <v>27</v>
      </c>
      <c r="H144" s="13"/>
      <c r="I144" s="13"/>
      <c r="J144" s="13"/>
    </row>
    <row r="145" spans="1:10" ht="12.75" x14ac:dyDescent="0.2">
      <c r="A145" s="13"/>
      <c r="B145" s="13"/>
      <c r="C145" s="13"/>
      <c r="D145" s="13"/>
      <c r="E145" s="13"/>
      <c r="F145" s="13"/>
      <c r="G145" s="13"/>
      <c r="H145" s="13"/>
      <c r="I145" s="13"/>
      <c r="J145" s="13"/>
    </row>
    <row r="146" spans="1:10" ht="12.75" x14ac:dyDescent="0.2">
      <c r="A146" s="13"/>
      <c r="B146" s="13"/>
      <c r="C146" s="13"/>
      <c r="D146" s="13"/>
      <c r="E146" s="13"/>
      <c r="F146" s="13"/>
      <c r="G146" s="13"/>
      <c r="H146" s="13"/>
      <c r="I146" s="13"/>
      <c r="J146" s="13"/>
    </row>
    <row r="147" spans="1:10" ht="12.75" x14ac:dyDescent="0.2">
      <c r="A147" s="13"/>
      <c r="B147" s="13"/>
      <c r="C147" s="13"/>
      <c r="D147" s="13"/>
      <c r="E147" s="13"/>
      <c r="F147" s="13"/>
      <c r="G147" s="13"/>
      <c r="H147" s="13"/>
      <c r="I147" s="13"/>
      <c r="J147" s="13"/>
    </row>
    <row r="148" spans="1:10" ht="12.75" x14ac:dyDescent="0.2">
      <c r="A148" s="13"/>
      <c r="B148" s="13"/>
      <c r="C148" s="13"/>
      <c r="D148" s="13"/>
      <c r="E148" s="13"/>
      <c r="F148" s="13"/>
      <c r="G148" s="13"/>
      <c r="H148" s="13"/>
      <c r="I148" s="13"/>
      <c r="J148" s="13"/>
    </row>
    <row r="149" spans="1:10" ht="12.75" x14ac:dyDescent="0.2">
      <c r="A149" s="13"/>
      <c r="B149" s="13"/>
      <c r="C149" s="13"/>
      <c r="D149" s="13"/>
      <c r="E149" s="13"/>
      <c r="F149" s="13"/>
      <c r="G149" s="13"/>
      <c r="H149" s="13"/>
      <c r="I149" s="13"/>
      <c r="J149" s="13"/>
    </row>
    <row r="150" spans="1:10" ht="12.75" x14ac:dyDescent="0.2">
      <c r="A150" s="13"/>
      <c r="B150" s="13"/>
      <c r="C150" s="13"/>
      <c r="D150" s="13"/>
      <c r="E150" s="13"/>
      <c r="F150" s="13"/>
      <c r="G150" s="13"/>
      <c r="H150" s="13"/>
      <c r="I150" s="13"/>
      <c r="J150" s="13"/>
    </row>
    <row r="151" spans="1:10" ht="12.75" x14ac:dyDescent="0.2">
      <c r="A151" s="13"/>
      <c r="B151" s="13"/>
      <c r="C151" s="13"/>
      <c r="D151" s="13"/>
      <c r="E151" s="13"/>
      <c r="F151" s="13"/>
      <c r="G151" s="13"/>
      <c r="H151" s="13"/>
      <c r="I151" s="13"/>
      <c r="J151" s="13"/>
    </row>
    <row r="152" spans="1:10" ht="12.75" x14ac:dyDescent="0.2">
      <c r="A152" s="13"/>
      <c r="B152" s="13"/>
      <c r="C152" s="13"/>
      <c r="D152" s="13"/>
      <c r="E152" s="13"/>
      <c r="F152" s="13"/>
      <c r="G152" s="13"/>
      <c r="H152" s="13"/>
      <c r="I152" s="13"/>
      <c r="J152" s="13"/>
    </row>
    <row r="153" spans="1:10" ht="12.75" x14ac:dyDescent="0.2">
      <c r="A153" s="13"/>
      <c r="B153" s="13"/>
      <c r="C153" s="13"/>
      <c r="D153" s="13"/>
      <c r="E153" s="13"/>
      <c r="F153" s="13"/>
      <c r="G153" s="13"/>
      <c r="H153" s="13"/>
      <c r="I153" s="13"/>
      <c r="J153" s="13"/>
    </row>
    <row r="154" spans="1:10" ht="12.75" x14ac:dyDescent="0.2">
      <c r="A154" s="13"/>
      <c r="B154" s="13"/>
      <c r="C154" s="13"/>
      <c r="D154" s="13"/>
      <c r="E154" s="13"/>
      <c r="F154" s="13"/>
      <c r="G154" s="13"/>
      <c r="H154" s="13"/>
      <c r="I154" s="13"/>
      <c r="J154" s="13"/>
    </row>
    <row r="155" spans="1:10" ht="12.75" x14ac:dyDescent="0.2">
      <c r="A155" s="13"/>
      <c r="B155" s="13"/>
      <c r="C155" s="13"/>
      <c r="D155" s="13"/>
      <c r="E155" s="13"/>
      <c r="F155" s="13"/>
      <c r="G155" s="13"/>
      <c r="H155" s="13"/>
      <c r="I155" s="13"/>
      <c r="J155" s="13"/>
    </row>
  </sheetData>
  <mergeCells count="18">
    <mergeCell ref="A141:A144"/>
    <mergeCell ref="A68:A75"/>
    <mergeCell ref="A76:A85"/>
    <mergeCell ref="A86:A91"/>
    <mergeCell ref="A92:A94"/>
    <mergeCell ref="A95:A101"/>
    <mergeCell ref="A102:A104"/>
    <mergeCell ref="A105:A114"/>
    <mergeCell ref="A51:A62"/>
    <mergeCell ref="A63:A67"/>
    <mergeCell ref="A115:A118"/>
    <mergeCell ref="A119:A127"/>
    <mergeCell ref="A128:A140"/>
    <mergeCell ref="A1:G1"/>
    <mergeCell ref="A9:A12"/>
    <mergeCell ref="A13:A17"/>
    <mergeCell ref="A18:A38"/>
    <mergeCell ref="A39:A50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M131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13" ht="15.75" customHeight="1" x14ac:dyDescent="0.25">
      <c r="A1" s="54" t="s">
        <v>0</v>
      </c>
      <c r="B1" s="55"/>
      <c r="C1" s="55"/>
      <c r="D1" s="55"/>
      <c r="E1" s="55"/>
      <c r="F1" s="55"/>
      <c r="G1" s="56"/>
    </row>
    <row r="2" spans="1:13" x14ac:dyDescent="0.2">
      <c r="A2" s="1"/>
      <c r="B2" s="2"/>
      <c r="C2" s="2"/>
      <c r="D2" s="2"/>
      <c r="E2" s="2"/>
      <c r="F2" s="2"/>
      <c r="G2" s="2"/>
    </row>
    <row r="3" spans="1:13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13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13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13" x14ac:dyDescent="0.2">
      <c r="A6" s="1"/>
      <c r="B6" s="2"/>
      <c r="C6" s="2"/>
      <c r="D6" s="2"/>
      <c r="E6" s="2"/>
      <c r="F6" s="2"/>
      <c r="G6" s="2"/>
    </row>
    <row r="7" spans="1:13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13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13" x14ac:dyDescent="0.2">
      <c r="A9" s="48" t="s">
        <v>20</v>
      </c>
      <c r="B9" s="9">
        <v>42</v>
      </c>
      <c r="C9" s="9" t="s">
        <v>1040</v>
      </c>
      <c r="D9" s="9" t="s">
        <v>24</v>
      </c>
      <c r="E9" s="9" t="s">
        <v>25</v>
      </c>
      <c r="F9" s="9" t="s">
        <v>26</v>
      </c>
      <c r="G9" s="10" t="s">
        <v>27</v>
      </c>
      <c r="H9" s="11"/>
      <c r="I9" s="11"/>
      <c r="J9" s="11"/>
      <c r="K9" s="11"/>
      <c r="L9" s="11"/>
      <c r="M9" s="11"/>
    </row>
    <row r="10" spans="1:13" x14ac:dyDescent="0.2">
      <c r="A10" s="52"/>
      <c r="B10" s="9">
        <v>42</v>
      </c>
      <c r="C10" s="9" t="s">
        <v>1041</v>
      </c>
      <c r="D10" s="9" t="s">
        <v>24</v>
      </c>
      <c r="E10" s="9" t="s">
        <v>25</v>
      </c>
      <c r="F10" s="9" t="s">
        <v>26</v>
      </c>
      <c r="G10" s="10" t="s">
        <v>27</v>
      </c>
      <c r="H10" s="11"/>
      <c r="I10" s="11"/>
      <c r="J10" s="11"/>
      <c r="K10" s="11"/>
      <c r="L10" s="11"/>
      <c r="M10" s="11"/>
    </row>
    <row r="11" spans="1:13" x14ac:dyDescent="0.2">
      <c r="A11" s="52"/>
      <c r="B11" s="9">
        <v>42</v>
      </c>
      <c r="C11" s="9" t="s">
        <v>1042</v>
      </c>
      <c r="D11" s="9" t="s">
        <v>24</v>
      </c>
      <c r="E11" s="9" t="s">
        <v>25</v>
      </c>
      <c r="F11" s="9" t="s">
        <v>26</v>
      </c>
      <c r="G11" s="10" t="s">
        <v>27</v>
      </c>
      <c r="H11" s="11"/>
      <c r="I11" s="11"/>
      <c r="J11" s="11"/>
      <c r="K11" s="11"/>
      <c r="L11" s="11"/>
      <c r="M11" s="11"/>
    </row>
    <row r="12" spans="1:13" x14ac:dyDescent="0.2">
      <c r="A12" s="52"/>
      <c r="B12" s="9">
        <v>42</v>
      </c>
      <c r="C12" s="9" t="s">
        <v>1043</v>
      </c>
      <c r="D12" s="9" t="s">
        <v>24</v>
      </c>
      <c r="E12" s="9" t="s">
        <v>25</v>
      </c>
      <c r="F12" s="9" t="s">
        <v>26</v>
      </c>
      <c r="G12" s="10" t="s">
        <v>27</v>
      </c>
      <c r="H12" s="11"/>
      <c r="I12" s="11"/>
      <c r="J12" s="11"/>
      <c r="K12" s="11"/>
      <c r="L12" s="11"/>
      <c r="M12" s="11"/>
    </row>
    <row r="13" spans="1:13" x14ac:dyDescent="0.2">
      <c r="A13" s="52"/>
      <c r="B13" s="9">
        <v>42</v>
      </c>
      <c r="C13" s="9" t="s">
        <v>593</v>
      </c>
      <c r="D13" s="9" t="s">
        <v>24</v>
      </c>
      <c r="E13" s="9" t="s">
        <v>25</v>
      </c>
      <c r="F13" s="9" t="s">
        <v>26</v>
      </c>
      <c r="G13" s="10" t="s">
        <v>27</v>
      </c>
      <c r="H13" s="11"/>
      <c r="I13" s="11"/>
      <c r="J13" s="11"/>
      <c r="K13" s="11"/>
      <c r="L13" s="11"/>
      <c r="M13" s="11"/>
    </row>
    <row r="14" spans="1:13" x14ac:dyDescent="0.2">
      <c r="A14" s="52"/>
      <c r="B14" s="9">
        <v>42</v>
      </c>
      <c r="C14" s="9" t="s">
        <v>1044</v>
      </c>
      <c r="D14" s="9" t="s">
        <v>24</v>
      </c>
      <c r="E14" s="9" t="s">
        <v>25</v>
      </c>
      <c r="F14" s="9" t="s">
        <v>26</v>
      </c>
      <c r="G14" s="10" t="s">
        <v>27</v>
      </c>
      <c r="H14" s="11"/>
      <c r="I14" s="11"/>
      <c r="J14" s="11"/>
      <c r="K14" s="11"/>
      <c r="L14" s="11"/>
      <c r="M14" s="11"/>
    </row>
    <row r="15" spans="1:13" x14ac:dyDescent="0.2">
      <c r="A15" s="52"/>
      <c r="B15" s="9">
        <v>42</v>
      </c>
      <c r="C15" s="9" t="s">
        <v>1045</v>
      </c>
      <c r="D15" s="9" t="s">
        <v>24</v>
      </c>
      <c r="E15" s="9" t="s">
        <v>25</v>
      </c>
      <c r="F15" s="9" t="s">
        <v>26</v>
      </c>
      <c r="G15" s="10" t="s">
        <v>27</v>
      </c>
      <c r="H15" s="11"/>
      <c r="I15" s="11"/>
      <c r="J15" s="11"/>
      <c r="K15" s="11"/>
      <c r="L15" s="11"/>
      <c r="M15" s="11"/>
    </row>
    <row r="16" spans="1:13" x14ac:dyDescent="0.2">
      <c r="A16" s="49"/>
      <c r="B16" s="9">
        <v>42</v>
      </c>
      <c r="C16" s="9" t="s">
        <v>1046</v>
      </c>
      <c r="D16" s="9" t="s">
        <v>24</v>
      </c>
      <c r="E16" s="9" t="s">
        <v>25</v>
      </c>
      <c r="F16" s="9" t="s">
        <v>26</v>
      </c>
      <c r="G16" s="10" t="s">
        <v>27</v>
      </c>
      <c r="H16" s="11"/>
      <c r="I16" s="11"/>
      <c r="J16" s="11"/>
      <c r="K16" s="11"/>
      <c r="L16" s="11"/>
      <c r="M16" s="11"/>
    </row>
    <row r="17" spans="1:13" x14ac:dyDescent="0.2">
      <c r="A17" s="48" t="s">
        <v>22</v>
      </c>
      <c r="B17" s="9">
        <v>42</v>
      </c>
      <c r="C17" s="9" t="s">
        <v>1047</v>
      </c>
      <c r="D17" s="9" t="s">
        <v>24</v>
      </c>
      <c r="E17" s="9" t="s">
        <v>31</v>
      </c>
      <c r="F17" s="9" t="s">
        <v>26</v>
      </c>
      <c r="G17" s="10" t="s">
        <v>27</v>
      </c>
      <c r="H17" s="11"/>
      <c r="I17" s="11"/>
      <c r="J17" s="11"/>
      <c r="K17" s="11"/>
      <c r="L17" s="11"/>
      <c r="M17" s="11"/>
    </row>
    <row r="18" spans="1:13" x14ac:dyDescent="0.2">
      <c r="A18" s="50"/>
      <c r="B18" s="9">
        <v>42</v>
      </c>
      <c r="C18" s="9" t="s">
        <v>1048</v>
      </c>
      <c r="D18" s="9" t="s">
        <v>24</v>
      </c>
      <c r="E18" s="9" t="s">
        <v>31</v>
      </c>
      <c r="F18" s="9" t="s">
        <v>26</v>
      </c>
      <c r="G18" s="10" t="s">
        <v>27</v>
      </c>
      <c r="H18" s="11"/>
      <c r="I18" s="11"/>
      <c r="J18" s="11"/>
      <c r="K18" s="11"/>
      <c r="L18" s="11"/>
      <c r="M18" s="11"/>
    </row>
    <row r="19" spans="1:13" x14ac:dyDescent="0.2">
      <c r="A19" s="51"/>
      <c r="B19" s="9">
        <v>42</v>
      </c>
      <c r="C19" s="9" t="s">
        <v>666</v>
      </c>
      <c r="D19" s="9" t="s">
        <v>24</v>
      </c>
      <c r="E19" s="9" t="s">
        <v>31</v>
      </c>
      <c r="F19" s="9" t="s">
        <v>26</v>
      </c>
      <c r="G19" s="10" t="s">
        <v>27</v>
      </c>
      <c r="H19" s="11"/>
      <c r="I19" s="11"/>
      <c r="J19" s="11"/>
      <c r="K19" s="11"/>
      <c r="L19" s="11"/>
      <c r="M19" s="11"/>
    </row>
    <row r="20" spans="1:13" x14ac:dyDescent="0.2">
      <c r="A20" s="49"/>
      <c r="B20" s="9">
        <v>42</v>
      </c>
      <c r="C20" s="9" t="s">
        <v>1049</v>
      </c>
      <c r="D20" s="9" t="s">
        <v>24</v>
      </c>
      <c r="E20" s="9" t="s">
        <v>31</v>
      </c>
      <c r="F20" s="9" t="s">
        <v>26</v>
      </c>
      <c r="G20" s="10" t="s">
        <v>27</v>
      </c>
      <c r="H20" s="11"/>
      <c r="I20" s="11"/>
      <c r="J20" s="11"/>
      <c r="K20" s="11"/>
      <c r="L20" s="11"/>
      <c r="M20" s="11"/>
    </row>
    <row r="21" spans="1:13" x14ac:dyDescent="0.2">
      <c r="A21" s="48" t="s">
        <v>28</v>
      </c>
      <c r="B21" s="9">
        <v>42</v>
      </c>
      <c r="C21" s="9" t="s">
        <v>1050</v>
      </c>
      <c r="D21" s="9" t="s">
        <v>24</v>
      </c>
      <c r="E21" s="9" t="s">
        <v>31</v>
      </c>
      <c r="F21" s="9" t="s">
        <v>26</v>
      </c>
      <c r="G21" s="10" t="s">
        <v>27</v>
      </c>
      <c r="H21" s="11"/>
      <c r="I21" s="11"/>
      <c r="J21" s="11"/>
      <c r="K21" s="11"/>
      <c r="L21" s="11"/>
      <c r="M21" s="11"/>
    </row>
    <row r="22" spans="1:13" x14ac:dyDescent="0.2">
      <c r="A22" s="50"/>
      <c r="B22" s="9">
        <v>42</v>
      </c>
      <c r="C22" s="9" t="s">
        <v>1051</v>
      </c>
      <c r="D22" s="9" t="s">
        <v>24</v>
      </c>
      <c r="E22" s="9" t="s">
        <v>31</v>
      </c>
      <c r="F22" s="9" t="s">
        <v>26</v>
      </c>
      <c r="G22" s="10" t="s">
        <v>27</v>
      </c>
      <c r="H22" s="11"/>
      <c r="I22" s="11"/>
      <c r="J22" s="11"/>
      <c r="K22" s="11"/>
      <c r="L22" s="11"/>
      <c r="M22" s="11"/>
    </row>
    <row r="23" spans="1:13" x14ac:dyDescent="0.2">
      <c r="A23" s="51"/>
      <c r="B23" s="9">
        <v>42</v>
      </c>
      <c r="C23" s="9" t="s">
        <v>1052</v>
      </c>
      <c r="D23" s="9" t="s">
        <v>24</v>
      </c>
      <c r="E23" s="9" t="s">
        <v>31</v>
      </c>
      <c r="F23" s="9" t="s">
        <v>26</v>
      </c>
      <c r="G23" s="10" t="s">
        <v>27</v>
      </c>
      <c r="H23" s="11"/>
      <c r="I23" s="11"/>
      <c r="J23" s="11"/>
      <c r="K23" s="11"/>
      <c r="L23" s="11"/>
      <c r="M23" s="11"/>
    </row>
    <row r="24" spans="1:13" x14ac:dyDescent="0.2">
      <c r="A24" s="50"/>
      <c r="B24" s="9">
        <v>42</v>
      </c>
      <c r="C24" s="9" t="s">
        <v>1053</v>
      </c>
      <c r="D24" s="9" t="s">
        <v>24</v>
      </c>
      <c r="E24" s="9" t="s">
        <v>31</v>
      </c>
      <c r="F24" s="9" t="s">
        <v>87</v>
      </c>
      <c r="G24" s="10" t="s">
        <v>27</v>
      </c>
      <c r="H24" s="11"/>
      <c r="I24" s="11"/>
      <c r="J24" s="11"/>
      <c r="K24" s="11"/>
      <c r="L24" s="11"/>
      <c r="M24" s="11"/>
    </row>
    <row r="25" spans="1:13" x14ac:dyDescent="0.2">
      <c r="A25" s="51"/>
      <c r="B25" s="9">
        <v>42</v>
      </c>
      <c r="C25" s="9" t="s">
        <v>1054</v>
      </c>
      <c r="D25" s="9" t="s">
        <v>24</v>
      </c>
      <c r="E25" s="9" t="s">
        <v>31</v>
      </c>
      <c r="F25" s="9" t="s">
        <v>26</v>
      </c>
      <c r="G25" s="10" t="s">
        <v>27</v>
      </c>
      <c r="H25" s="11"/>
      <c r="I25" s="11"/>
      <c r="J25" s="11"/>
      <c r="K25" s="11"/>
      <c r="L25" s="11"/>
      <c r="M25" s="11"/>
    </row>
    <row r="26" spans="1:13" x14ac:dyDescent="0.2">
      <c r="A26" s="50"/>
      <c r="B26" s="9">
        <v>42</v>
      </c>
      <c r="C26" s="9" t="s">
        <v>486</v>
      </c>
      <c r="D26" s="9" t="s">
        <v>24</v>
      </c>
      <c r="E26" s="9" t="s">
        <v>31</v>
      </c>
      <c r="F26" s="9" t="s">
        <v>26</v>
      </c>
      <c r="G26" s="10" t="s">
        <v>27</v>
      </c>
      <c r="H26" s="11"/>
      <c r="I26" s="11"/>
      <c r="J26" s="11"/>
      <c r="K26" s="11"/>
      <c r="L26" s="11"/>
      <c r="M26" s="11"/>
    </row>
    <row r="27" spans="1:13" x14ac:dyDescent="0.2">
      <c r="A27" s="51"/>
      <c r="B27" s="9">
        <v>42</v>
      </c>
      <c r="C27" s="9" t="s">
        <v>1047</v>
      </c>
      <c r="D27" s="9" t="s">
        <v>24</v>
      </c>
      <c r="E27" s="9" t="s">
        <v>31</v>
      </c>
      <c r="F27" s="9" t="s">
        <v>26</v>
      </c>
      <c r="G27" s="10" t="s">
        <v>27</v>
      </c>
      <c r="H27" s="11"/>
      <c r="I27" s="11"/>
      <c r="J27" s="11"/>
      <c r="K27" s="11"/>
      <c r="L27" s="11"/>
      <c r="M27" s="11"/>
    </row>
    <row r="28" spans="1:13" x14ac:dyDescent="0.2">
      <c r="A28" s="50"/>
      <c r="B28" s="9">
        <v>42</v>
      </c>
      <c r="C28" s="9" t="s">
        <v>1055</v>
      </c>
      <c r="D28" s="9" t="s">
        <v>24</v>
      </c>
      <c r="E28" s="9" t="s">
        <v>31</v>
      </c>
      <c r="F28" s="9" t="s">
        <v>26</v>
      </c>
      <c r="G28" s="10" t="s">
        <v>27</v>
      </c>
      <c r="H28" s="11"/>
      <c r="I28" s="11"/>
      <c r="J28" s="11"/>
      <c r="K28" s="11"/>
      <c r="L28" s="11"/>
      <c r="M28" s="11"/>
    </row>
    <row r="29" spans="1:13" x14ac:dyDescent="0.2">
      <c r="A29" s="51"/>
      <c r="B29" s="9">
        <v>42</v>
      </c>
      <c r="C29" s="9" t="s">
        <v>1056</v>
      </c>
      <c r="D29" s="9" t="s">
        <v>24</v>
      </c>
      <c r="E29" s="9" t="s">
        <v>31</v>
      </c>
      <c r="F29" s="9" t="s">
        <v>26</v>
      </c>
      <c r="G29" s="10" t="s">
        <v>27</v>
      </c>
      <c r="H29" s="11"/>
      <c r="I29" s="11"/>
      <c r="J29" s="11"/>
      <c r="K29" s="11"/>
      <c r="L29" s="11"/>
      <c r="M29" s="11"/>
    </row>
    <row r="30" spans="1:13" x14ac:dyDescent="0.2">
      <c r="A30" s="50"/>
      <c r="B30" s="9">
        <v>42</v>
      </c>
      <c r="C30" s="9" t="s">
        <v>1057</v>
      </c>
      <c r="D30" s="9" t="s">
        <v>24</v>
      </c>
      <c r="E30" s="9" t="s">
        <v>31</v>
      </c>
      <c r="F30" s="9" t="s">
        <v>26</v>
      </c>
      <c r="G30" s="10" t="s">
        <v>27</v>
      </c>
      <c r="H30" s="11"/>
      <c r="I30" s="11"/>
      <c r="J30" s="11"/>
      <c r="K30" s="11"/>
      <c r="L30" s="11"/>
      <c r="M30" s="11"/>
    </row>
    <row r="31" spans="1:13" x14ac:dyDescent="0.2">
      <c r="A31" s="57"/>
      <c r="B31" s="9">
        <v>42</v>
      </c>
      <c r="C31" s="9" t="s">
        <v>1058</v>
      </c>
      <c r="D31" s="9" t="s">
        <v>24</v>
      </c>
      <c r="E31" s="9" t="s">
        <v>31</v>
      </c>
      <c r="F31" s="9" t="s">
        <v>26</v>
      </c>
      <c r="G31" s="10" t="s">
        <v>27</v>
      </c>
      <c r="H31" s="11"/>
      <c r="I31" s="11"/>
      <c r="J31" s="11"/>
      <c r="K31" s="11"/>
      <c r="L31" s="11"/>
      <c r="M31" s="11"/>
    </row>
    <row r="32" spans="1:13" x14ac:dyDescent="0.2">
      <c r="A32" s="48" t="s">
        <v>33</v>
      </c>
      <c r="B32" s="9">
        <v>42</v>
      </c>
      <c r="C32" s="9" t="s">
        <v>1040</v>
      </c>
      <c r="D32" s="9" t="s">
        <v>24</v>
      </c>
      <c r="E32" s="9" t="s">
        <v>25</v>
      </c>
      <c r="F32" s="9" t="s">
        <v>26</v>
      </c>
      <c r="G32" s="10" t="s">
        <v>27</v>
      </c>
      <c r="H32" s="11"/>
      <c r="I32" s="11"/>
      <c r="J32" s="11"/>
      <c r="K32" s="11"/>
      <c r="L32" s="11"/>
      <c r="M32" s="11"/>
    </row>
    <row r="33" spans="1:13" x14ac:dyDescent="0.2">
      <c r="A33" s="52"/>
      <c r="B33" s="9">
        <v>42</v>
      </c>
      <c r="C33" s="9" t="s">
        <v>1040</v>
      </c>
      <c r="D33" s="9" t="s">
        <v>24</v>
      </c>
      <c r="E33" s="9" t="s">
        <v>25</v>
      </c>
      <c r="F33" s="9" t="s">
        <v>26</v>
      </c>
      <c r="G33" s="10" t="s">
        <v>27</v>
      </c>
      <c r="H33" s="11"/>
      <c r="I33" s="11"/>
      <c r="J33" s="11"/>
      <c r="K33" s="11"/>
      <c r="L33" s="11"/>
      <c r="M33" s="11"/>
    </row>
    <row r="34" spans="1:13" x14ac:dyDescent="0.2">
      <c r="A34" s="52"/>
      <c r="B34" s="9">
        <v>42</v>
      </c>
      <c r="C34" s="9" t="s">
        <v>475</v>
      </c>
      <c r="D34" s="9" t="s">
        <v>24</v>
      </c>
      <c r="E34" s="9" t="s">
        <v>25</v>
      </c>
      <c r="F34" s="9" t="s">
        <v>26</v>
      </c>
      <c r="G34" s="10" t="s">
        <v>27</v>
      </c>
      <c r="H34" s="11"/>
      <c r="I34" s="11"/>
      <c r="J34" s="11"/>
      <c r="K34" s="11"/>
      <c r="L34" s="11"/>
      <c r="M34" s="11"/>
    </row>
    <row r="35" spans="1:13" x14ac:dyDescent="0.2">
      <c r="A35" s="52"/>
      <c r="B35" s="9">
        <v>42</v>
      </c>
      <c r="C35" s="9" t="s">
        <v>472</v>
      </c>
      <c r="D35" s="9" t="s">
        <v>24</v>
      </c>
      <c r="E35" s="9" t="s">
        <v>25</v>
      </c>
      <c r="F35" s="9" t="s">
        <v>26</v>
      </c>
      <c r="G35" s="10" t="s">
        <v>27</v>
      </c>
      <c r="H35" s="11"/>
      <c r="I35" s="11"/>
      <c r="J35" s="11"/>
      <c r="K35" s="11"/>
      <c r="L35" s="11"/>
      <c r="M35" s="11"/>
    </row>
    <row r="36" spans="1:13" x14ac:dyDescent="0.2">
      <c r="A36" s="52"/>
      <c r="B36" s="9">
        <v>42</v>
      </c>
      <c r="C36" s="9" t="s">
        <v>593</v>
      </c>
      <c r="D36" s="9" t="s">
        <v>24</v>
      </c>
      <c r="E36" s="9" t="s">
        <v>25</v>
      </c>
      <c r="F36" s="9" t="s">
        <v>26</v>
      </c>
      <c r="G36" s="10" t="s">
        <v>27</v>
      </c>
      <c r="H36" s="11"/>
      <c r="I36" s="11"/>
      <c r="J36" s="11"/>
      <c r="K36" s="11"/>
      <c r="L36" s="11"/>
      <c r="M36" s="11"/>
    </row>
    <row r="37" spans="1:13" ht="12.75" x14ac:dyDescent="0.2">
      <c r="A37" s="52"/>
      <c r="B37" s="9">
        <v>42</v>
      </c>
      <c r="C37" s="9" t="s">
        <v>1044</v>
      </c>
      <c r="D37" s="9" t="s">
        <v>24</v>
      </c>
      <c r="E37" s="9" t="s">
        <v>25</v>
      </c>
      <c r="F37" s="9" t="s">
        <v>26</v>
      </c>
      <c r="G37" s="10" t="s">
        <v>27</v>
      </c>
      <c r="H37" s="11"/>
      <c r="I37" s="11"/>
      <c r="J37" s="11"/>
      <c r="K37" s="11"/>
      <c r="L37" s="11"/>
      <c r="M37" s="11"/>
    </row>
    <row r="38" spans="1:13" ht="12.75" x14ac:dyDescent="0.2">
      <c r="A38" s="52"/>
      <c r="B38" s="9">
        <v>42</v>
      </c>
      <c r="C38" s="9" t="s">
        <v>1059</v>
      </c>
      <c r="D38" s="9" t="s">
        <v>24</v>
      </c>
      <c r="E38" s="9" t="s">
        <v>25</v>
      </c>
      <c r="F38" s="9" t="s">
        <v>26</v>
      </c>
      <c r="G38" s="10" t="s">
        <v>27</v>
      </c>
      <c r="H38" s="11"/>
      <c r="I38" s="11"/>
      <c r="J38" s="11"/>
      <c r="K38" s="11"/>
      <c r="L38" s="11"/>
      <c r="M38" s="11"/>
    </row>
    <row r="39" spans="1:13" ht="12.75" x14ac:dyDescent="0.2">
      <c r="A39" s="52"/>
      <c r="B39" s="9">
        <v>42</v>
      </c>
      <c r="C39" s="9" t="s">
        <v>1046</v>
      </c>
      <c r="D39" s="9" t="s">
        <v>24</v>
      </c>
      <c r="E39" s="9" t="s">
        <v>25</v>
      </c>
      <c r="F39" s="9" t="s">
        <v>26</v>
      </c>
      <c r="G39" s="10" t="s">
        <v>27</v>
      </c>
      <c r="H39" s="11"/>
      <c r="I39" s="11"/>
      <c r="J39" s="11"/>
      <c r="K39" s="11"/>
      <c r="L39" s="11"/>
      <c r="M39" s="11"/>
    </row>
    <row r="40" spans="1:13" ht="12.75" x14ac:dyDescent="0.2">
      <c r="A40" s="53"/>
      <c r="B40" s="9">
        <v>42</v>
      </c>
      <c r="C40" s="9" t="s">
        <v>591</v>
      </c>
      <c r="D40" s="9" t="s">
        <v>24</v>
      </c>
      <c r="E40" s="9" t="s">
        <v>25</v>
      </c>
      <c r="F40" s="9" t="s">
        <v>26</v>
      </c>
      <c r="G40" s="10" t="s">
        <v>27</v>
      </c>
      <c r="H40" s="11"/>
      <c r="I40" s="11"/>
      <c r="J40" s="11"/>
      <c r="K40" s="11"/>
      <c r="L40" s="11"/>
      <c r="M40" s="11"/>
    </row>
    <row r="41" spans="1:13" ht="12.75" x14ac:dyDescent="0.2">
      <c r="A41" s="48" t="s">
        <v>38</v>
      </c>
      <c r="B41" s="9">
        <v>42</v>
      </c>
      <c r="C41" s="9" t="s">
        <v>1060</v>
      </c>
      <c r="D41" s="9" t="s">
        <v>24</v>
      </c>
      <c r="E41" s="9" t="s">
        <v>31</v>
      </c>
      <c r="F41" s="9" t="s">
        <v>26</v>
      </c>
      <c r="G41" s="10" t="s">
        <v>27</v>
      </c>
      <c r="H41" s="11"/>
      <c r="I41" s="11"/>
      <c r="J41" s="11"/>
      <c r="K41" s="11"/>
      <c r="L41" s="11"/>
      <c r="M41" s="11"/>
    </row>
    <row r="42" spans="1:13" ht="12.75" x14ac:dyDescent="0.2">
      <c r="A42" s="52"/>
      <c r="B42" s="9">
        <v>42</v>
      </c>
      <c r="C42" s="9" t="s">
        <v>486</v>
      </c>
      <c r="D42" s="9" t="s">
        <v>24</v>
      </c>
      <c r="E42" s="9" t="s">
        <v>31</v>
      </c>
      <c r="F42" s="9" t="s">
        <v>26</v>
      </c>
      <c r="G42" s="10" t="s">
        <v>27</v>
      </c>
      <c r="H42" s="11"/>
      <c r="I42" s="11"/>
      <c r="J42" s="11"/>
      <c r="K42" s="11"/>
      <c r="L42" s="11"/>
      <c r="M42" s="11"/>
    </row>
    <row r="43" spans="1:13" ht="12.75" x14ac:dyDescent="0.2">
      <c r="A43" s="52"/>
      <c r="B43" s="9">
        <v>42</v>
      </c>
      <c r="C43" s="9" t="s">
        <v>1061</v>
      </c>
      <c r="D43" s="9" t="s">
        <v>30</v>
      </c>
      <c r="E43" s="9" t="s">
        <v>25</v>
      </c>
      <c r="F43" s="9" t="s">
        <v>47</v>
      </c>
      <c r="G43" s="10" t="s">
        <v>27</v>
      </c>
      <c r="H43" s="11"/>
      <c r="I43" s="11"/>
      <c r="J43" s="11"/>
      <c r="K43" s="11"/>
      <c r="L43" s="11"/>
      <c r="M43" s="11"/>
    </row>
    <row r="44" spans="1:13" ht="12.75" x14ac:dyDescent="0.2">
      <c r="A44" s="52"/>
      <c r="B44" s="9">
        <v>42</v>
      </c>
      <c r="C44" s="9" t="s">
        <v>1047</v>
      </c>
      <c r="D44" s="9" t="s">
        <v>24</v>
      </c>
      <c r="E44" s="9" t="s">
        <v>31</v>
      </c>
      <c r="F44" s="9" t="s">
        <v>26</v>
      </c>
      <c r="G44" s="10" t="s">
        <v>27</v>
      </c>
      <c r="H44" s="11"/>
      <c r="I44" s="11"/>
      <c r="J44" s="11"/>
      <c r="K44" s="11"/>
      <c r="L44" s="11"/>
      <c r="M44" s="11"/>
    </row>
    <row r="45" spans="1:13" ht="12.75" x14ac:dyDescent="0.2">
      <c r="A45" s="52"/>
      <c r="B45" s="9">
        <v>42</v>
      </c>
      <c r="C45" s="9" t="s">
        <v>363</v>
      </c>
      <c r="D45" s="9" t="s">
        <v>24</v>
      </c>
      <c r="E45" s="9" t="s">
        <v>25</v>
      </c>
      <c r="F45" s="9" t="s">
        <v>26</v>
      </c>
      <c r="G45" s="10" t="s">
        <v>27</v>
      </c>
      <c r="H45" s="11"/>
      <c r="I45" s="11"/>
      <c r="J45" s="11"/>
      <c r="K45" s="11"/>
      <c r="L45" s="11"/>
      <c r="M45" s="11"/>
    </row>
    <row r="46" spans="1:13" ht="12.75" x14ac:dyDescent="0.2">
      <c r="A46" s="52"/>
      <c r="B46" s="9">
        <v>42</v>
      </c>
      <c r="C46" s="9" t="s">
        <v>666</v>
      </c>
      <c r="D46" s="9" t="s">
        <v>24</v>
      </c>
      <c r="E46" s="9" t="s">
        <v>31</v>
      </c>
      <c r="F46" s="9" t="s">
        <v>26</v>
      </c>
      <c r="G46" s="10" t="s">
        <v>27</v>
      </c>
      <c r="H46" s="13"/>
      <c r="I46" s="13"/>
    </row>
    <row r="47" spans="1:13" ht="12.75" x14ac:dyDescent="0.2">
      <c r="A47" s="52"/>
      <c r="B47" s="9">
        <v>42</v>
      </c>
      <c r="C47" s="9" t="s">
        <v>1062</v>
      </c>
      <c r="D47" s="9" t="s">
        <v>24</v>
      </c>
      <c r="E47" s="9" t="s">
        <v>31</v>
      </c>
      <c r="F47" s="9" t="s">
        <v>26</v>
      </c>
      <c r="G47" s="10" t="s">
        <v>27</v>
      </c>
      <c r="H47" s="13"/>
      <c r="I47" s="13"/>
    </row>
    <row r="48" spans="1:13" ht="12.75" x14ac:dyDescent="0.2">
      <c r="A48" s="53"/>
      <c r="B48" s="9">
        <v>42</v>
      </c>
      <c r="C48" s="9" t="s">
        <v>1063</v>
      </c>
      <c r="D48" s="9" t="s">
        <v>24</v>
      </c>
      <c r="E48" s="9" t="s">
        <v>31</v>
      </c>
      <c r="F48" s="9" t="s">
        <v>26</v>
      </c>
      <c r="G48" s="10" t="s">
        <v>27</v>
      </c>
      <c r="H48" s="13"/>
      <c r="I48" s="13"/>
    </row>
    <row r="49" spans="1:9" ht="12.75" x14ac:dyDescent="0.2">
      <c r="A49" s="48" t="s">
        <v>46</v>
      </c>
      <c r="B49" s="9">
        <v>42</v>
      </c>
      <c r="C49" s="9" t="s">
        <v>1064</v>
      </c>
      <c r="D49" s="9" t="s">
        <v>24</v>
      </c>
      <c r="E49" s="9" t="s">
        <v>31</v>
      </c>
      <c r="F49" s="9" t="s">
        <v>87</v>
      </c>
      <c r="G49" s="10" t="s">
        <v>27</v>
      </c>
      <c r="H49" s="13"/>
      <c r="I49" s="13"/>
    </row>
    <row r="50" spans="1:9" ht="12.75" x14ac:dyDescent="0.2">
      <c r="A50" s="52"/>
      <c r="B50" s="9">
        <v>42</v>
      </c>
      <c r="C50" s="9" t="s">
        <v>1065</v>
      </c>
      <c r="D50" s="9" t="s">
        <v>24</v>
      </c>
      <c r="E50" s="9" t="s">
        <v>31</v>
      </c>
      <c r="F50" s="9" t="s">
        <v>87</v>
      </c>
      <c r="G50" s="10" t="s">
        <v>27</v>
      </c>
      <c r="H50" s="13"/>
      <c r="I50" s="13"/>
    </row>
    <row r="51" spans="1:9" ht="12.75" x14ac:dyDescent="0.2">
      <c r="A51" s="52"/>
      <c r="B51" s="9">
        <v>42</v>
      </c>
      <c r="C51" s="9" t="s">
        <v>1066</v>
      </c>
      <c r="D51" s="9" t="s">
        <v>24</v>
      </c>
      <c r="E51" s="9" t="s">
        <v>31</v>
      </c>
      <c r="F51" s="9" t="s">
        <v>87</v>
      </c>
      <c r="G51" s="10" t="s">
        <v>27</v>
      </c>
      <c r="H51" s="13"/>
      <c r="I51" s="13"/>
    </row>
    <row r="52" spans="1:9" ht="12.75" x14ac:dyDescent="0.2">
      <c r="A52" s="52"/>
      <c r="B52" s="9">
        <v>42</v>
      </c>
      <c r="C52" s="9" t="s">
        <v>1067</v>
      </c>
      <c r="D52" s="9" t="s">
        <v>24</v>
      </c>
      <c r="E52" s="9" t="s">
        <v>31</v>
      </c>
      <c r="F52" s="9" t="s">
        <v>26</v>
      </c>
      <c r="G52" s="10" t="s">
        <v>27</v>
      </c>
      <c r="H52" s="13"/>
      <c r="I52" s="13"/>
    </row>
    <row r="53" spans="1:9" ht="12.75" x14ac:dyDescent="0.2">
      <c r="A53" s="52"/>
      <c r="B53" s="9">
        <v>42</v>
      </c>
      <c r="C53" s="9" t="s">
        <v>1068</v>
      </c>
      <c r="D53" s="9" t="s">
        <v>24</v>
      </c>
      <c r="E53" s="9" t="s">
        <v>31</v>
      </c>
      <c r="F53" s="9" t="s">
        <v>47</v>
      </c>
      <c r="G53" s="10" t="s">
        <v>27</v>
      </c>
      <c r="H53" s="13"/>
      <c r="I53" s="13"/>
    </row>
    <row r="54" spans="1:9" ht="12.75" x14ac:dyDescent="0.2">
      <c r="A54" s="52"/>
      <c r="B54" s="9">
        <v>42</v>
      </c>
      <c r="C54" s="9" t="s">
        <v>1069</v>
      </c>
      <c r="D54" s="9" t="s">
        <v>24</v>
      </c>
      <c r="E54" s="9" t="s">
        <v>31</v>
      </c>
      <c r="F54" s="9" t="s">
        <v>47</v>
      </c>
      <c r="G54" s="10" t="s">
        <v>27</v>
      </c>
      <c r="H54" s="13"/>
      <c r="I54" s="13"/>
    </row>
    <row r="55" spans="1:9" ht="12.75" x14ac:dyDescent="0.2">
      <c r="A55" s="52"/>
      <c r="B55" s="9">
        <v>42</v>
      </c>
      <c r="C55" s="9" t="s">
        <v>1051</v>
      </c>
      <c r="D55" s="9" t="s">
        <v>24</v>
      </c>
      <c r="E55" s="9" t="s">
        <v>31</v>
      </c>
      <c r="F55" s="9" t="s">
        <v>47</v>
      </c>
      <c r="G55" s="10" t="s">
        <v>27</v>
      </c>
      <c r="H55" s="13"/>
      <c r="I55" s="13"/>
    </row>
    <row r="56" spans="1:9" ht="12.75" x14ac:dyDescent="0.2">
      <c r="A56" s="52"/>
      <c r="B56" s="9">
        <v>42</v>
      </c>
      <c r="C56" s="9" t="s">
        <v>1070</v>
      </c>
      <c r="D56" s="9" t="s">
        <v>24</v>
      </c>
      <c r="E56" s="9" t="s">
        <v>31</v>
      </c>
      <c r="F56" s="9" t="s">
        <v>26</v>
      </c>
      <c r="G56" s="10" t="s">
        <v>27</v>
      </c>
      <c r="H56" s="13"/>
      <c r="I56" s="13"/>
    </row>
    <row r="57" spans="1:9" ht="12.75" x14ac:dyDescent="0.2">
      <c r="A57" s="52"/>
      <c r="B57" s="9">
        <v>42</v>
      </c>
      <c r="C57" s="9" t="s">
        <v>1052</v>
      </c>
      <c r="D57" s="9" t="s">
        <v>24</v>
      </c>
      <c r="E57" s="9" t="s">
        <v>31</v>
      </c>
      <c r="F57" s="9" t="s">
        <v>47</v>
      </c>
      <c r="G57" s="10" t="s">
        <v>27</v>
      </c>
      <c r="H57" s="13"/>
      <c r="I57" s="13"/>
    </row>
    <row r="58" spans="1:9" ht="12.75" x14ac:dyDescent="0.2">
      <c r="A58" s="52"/>
      <c r="B58" s="9">
        <v>42</v>
      </c>
      <c r="C58" s="9" t="s">
        <v>1071</v>
      </c>
      <c r="D58" s="9" t="s">
        <v>24</v>
      </c>
      <c r="E58" s="9" t="s">
        <v>31</v>
      </c>
      <c r="F58" s="9" t="s">
        <v>47</v>
      </c>
      <c r="G58" s="10" t="s">
        <v>27</v>
      </c>
      <c r="H58" s="13"/>
      <c r="I58" s="13"/>
    </row>
    <row r="59" spans="1:9" ht="12.75" x14ac:dyDescent="0.2">
      <c r="A59" s="52"/>
      <c r="B59" s="9">
        <v>42</v>
      </c>
      <c r="C59" s="9" t="s">
        <v>486</v>
      </c>
      <c r="D59" s="9" t="s">
        <v>24</v>
      </c>
      <c r="E59" s="9" t="s">
        <v>31</v>
      </c>
      <c r="F59" s="9" t="s">
        <v>26</v>
      </c>
      <c r="G59" s="10" t="s">
        <v>27</v>
      </c>
      <c r="H59" s="13"/>
      <c r="I59" s="13"/>
    </row>
    <row r="60" spans="1:9" ht="12.75" x14ac:dyDescent="0.2">
      <c r="A60" s="52"/>
      <c r="B60" s="9">
        <v>42</v>
      </c>
      <c r="C60" s="9" t="s">
        <v>1063</v>
      </c>
      <c r="D60" s="9" t="s">
        <v>24</v>
      </c>
      <c r="E60" s="9" t="s">
        <v>31</v>
      </c>
      <c r="F60" s="9" t="s">
        <v>26</v>
      </c>
      <c r="G60" s="10" t="s">
        <v>27</v>
      </c>
      <c r="H60" s="13"/>
      <c r="I60" s="13"/>
    </row>
    <row r="61" spans="1:9" ht="12.75" x14ac:dyDescent="0.2">
      <c r="A61" s="52"/>
      <c r="B61" s="9">
        <v>42</v>
      </c>
      <c r="C61" s="9" t="s">
        <v>1072</v>
      </c>
      <c r="D61" s="9" t="s">
        <v>24</v>
      </c>
      <c r="E61" s="9" t="s">
        <v>31</v>
      </c>
      <c r="F61" s="9" t="s">
        <v>26</v>
      </c>
      <c r="G61" s="10" t="s">
        <v>27</v>
      </c>
      <c r="H61" s="13"/>
      <c r="I61" s="13"/>
    </row>
    <row r="62" spans="1:9" ht="12.75" x14ac:dyDescent="0.2">
      <c r="A62" s="53"/>
      <c r="B62" s="9">
        <v>42</v>
      </c>
      <c r="C62" s="9" t="s">
        <v>666</v>
      </c>
      <c r="D62" s="9" t="s">
        <v>24</v>
      </c>
      <c r="E62" s="9" t="s">
        <v>31</v>
      </c>
      <c r="F62" s="9" t="s">
        <v>26</v>
      </c>
      <c r="G62" s="10" t="s">
        <v>27</v>
      </c>
      <c r="H62" s="13"/>
      <c r="I62" s="13"/>
    </row>
    <row r="63" spans="1:9" ht="12.75" x14ac:dyDescent="0.2">
      <c r="A63" s="48" t="s">
        <v>49</v>
      </c>
      <c r="B63" s="12">
        <v>42</v>
      </c>
      <c r="C63" s="12" t="s">
        <v>1054</v>
      </c>
      <c r="D63" s="12" t="s">
        <v>24</v>
      </c>
      <c r="E63" s="12" t="s">
        <v>25</v>
      </c>
      <c r="F63" s="12" t="s">
        <v>26</v>
      </c>
      <c r="G63" s="10" t="s">
        <v>27</v>
      </c>
      <c r="H63" s="13"/>
      <c r="I63" s="13"/>
    </row>
    <row r="64" spans="1:9" ht="12.75" x14ac:dyDescent="0.2">
      <c r="A64" s="52"/>
      <c r="B64" s="12">
        <v>42</v>
      </c>
      <c r="C64" s="12" t="s">
        <v>1070</v>
      </c>
      <c r="D64" s="12" t="s">
        <v>24</v>
      </c>
      <c r="E64" s="12" t="s">
        <v>25</v>
      </c>
      <c r="F64" s="12" t="s">
        <v>26</v>
      </c>
      <c r="G64" s="10" t="s">
        <v>27</v>
      </c>
      <c r="H64" s="13"/>
      <c r="I64" s="13"/>
    </row>
    <row r="65" spans="1:9" ht="12.75" x14ac:dyDescent="0.2">
      <c r="A65" s="52"/>
      <c r="B65" s="12">
        <v>42</v>
      </c>
      <c r="C65" s="12" t="s">
        <v>1073</v>
      </c>
      <c r="D65" s="12" t="s">
        <v>24</v>
      </c>
      <c r="E65" s="12" t="s">
        <v>25</v>
      </c>
      <c r="F65" s="12" t="s">
        <v>26</v>
      </c>
      <c r="G65" s="10" t="s">
        <v>27</v>
      </c>
      <c r="H65" s="13"/>
      <c r="I65" s="13"/>
    </row>
    <row r="66" spans="1:9" ht="12.75" x14ac:dyDescent="0.2">
      <c r="A66" s="52"/>
      <c r="B66" s="12">
        <v>42</v>
      </c>
      <c r="C66" s="12" t="s">
        <v>1074</v>
      </c>
      <c r="D66" s="12" t="s">
        <v>24</v>
      </c>
      <c r="E66" s="12" t="s">
        <v>25</v>
      </c>
      <c r="F66" s="12" t="s">
        <v>26</v>
      </c>
      <c r="G66" s="10" t="s">
        <v>27</v>
      </c>
      <c r="H66" s="13"/>
      <c r="I66" s="13"/>
    </row>
    <row r="67" spans="1:9" ht="12.75" x14ac:dyDescent="0.2">
      <c r="A67" s="52"/>
      <c r="B67" s="12">
        <v>42</v>
      </c>
      <c r="C67" s="12" t="s">
        <v>1075</v>
      </c>
      <c r="D67" s="12" t="s">
        <v>24</v>
      </c>
      <c r="E67" s="12" t="s">
        <v>25</v>
      </c>
      <c r="F67" s="12" t="s">
        <v>26</v>
      </c>
      <c r="G67" s="10" t="s">
        <v>27</v>
      </c>
      <c r="H67" s="13"/>
      <c r="I67" s="13"/>
    </row>
    <row r="68" spans="1:9" ht="12.75" x14ac:dyDescent="0.2">
      <c r="A68" s="52"/>
      <c r="B68" s="12">
        <v>42</v>
      </c>
      <c r="C68" s="12" t="s">
        <v>666</v>
      </c>
      <c r="D68" s="12" t="s">
        <v>24</v>
      </c>
      <c r="E68" s="12" t="s">
        <v>25</v>
      </c>
      <c r="F68" s="12" t="s">
        <v>26</v>
      </c>
      <c r="G68" s="10" t="s">
        <v>27</v>
      </c>
      <c r="H68" s="13"/>
      <c r="I68" s="13"/>
    </row>
    <row r="69" spans="1:9" ht="12.75" x14ac:dyDescent="0.2">
      <c r="A69" s="53"/>
      <c r="B69" s="12">
        <v>42</v>
      </c>
      <c r="C69" s="12" t="s">
        <v>1076</v>
      </c>
      <c r="D69" s="12" t="s">
        <v>24</v>
      </c>
      <c r="E69" s="12" t="s">
        <v>25</v>
      </c>
      <c r="F69" s="12" t="s">
        <v>26</v>
      </c>
      <c r="G69" s="10" t="s">
        <v>27</v>
      </c>
      <c r="H69" s="13"/>
      <c r="I69" s="13"/>
    </row>
    <row r="70" spans="1:9" ht="12.75" x14ac:dyDescent="0.2">
      <c r="A70" s="48" t="s">
        <v>52</v>
      </c>
      <c r="B70" s="9">
        <v>42</v>
      </c>
      <c r="C70" s="9" t="s">
        <v>1070</v>
      </c>
      <c r="D70" s="9" t="s">
        <v>24</v>
      </c>
      <c r="E70" s="9" t="s">
        <v>31</v>
      </c>
      <c r="F70" s="9" t="s">
        <v>47</v>
      </c>
      <c r="G70" s="10" t="s">
        <v>27</v>
      </c>
      <c r="H70" s="13"/>
      <c r="I70" s="13"/>
    </row>
    <row r="71" spans="1:9" ht="12.75" x14ac:dyDescent="0.2">
      <c r="A71" s="52"/>
      <c r="B71" s="9">
        <v>42</v>
      </c>
      <c r="C71" s="9" t="s">
        <v>486</v>
      </c>
      <c r="D71" s="9" t="s">
        <v>24</v>
      </c>
      <c r="E71" s="9" t="s">
        <v>31</v>
      </c>
      <c r="F71" s="9" t="s">
        <v>47</v>
      </c>
      <c r="G71" s="10" t="s">
        <v>27</v>
      </c>
      <c r="H71" s="13"/>
      <c r="I71" s="13"/>
    </row>
    <row r="72" spans="1:9" ht="12.75" x14ac:dyDescent="0.2">
      <c r="A72" s="52"/>
      <c r="B72" s="9">
        <v>42</v>
      </c>
      <c r="C72" s="9" t="s">
        <v>1077</v>
      </c>
      <c r="D72" s="9" t="s">
        <v>24</v>
      </c>
      <c r="E72" s="9" t="s">
        <v>31</v>
      </c>
      <c r="F72" s="9" t="s">
        <v>47</v>
      </c>
      <c r="G72" s="10" t="s">
        <v>27</v>
      </c>
      <c r="H72" s="13"/>
      <c r="I72" s="13"/>
    </row>
    <row r="73" spans="1:9" ht="12.75" x14ac:dyDescent="0.2">
      <c r="A73" s="52"/>
      <c r="B73" s="9">
        <v>42</v>
      </c>
      <c r="C73" s="9" t="s">
        <v>1078</v>
      </c>
      <c r="D73" s="9" t="s">
        <v>24</v>
      </c>
      <c r="E73" s="9" t="s">
        <v>31</v>
      </c>
      <c r="F73" s="9" t="s">
        <v>47</v>
      </c>
      <c r="G73" s="10" t="s">
        <v>27</v>
      </c>
      <c r="H73" s="13"/>
      <c r="I73" s="13"/>
    </row>
    <row r="74" spans="1:9" ht="12.75" x14ac:dyDescent="0.2">
      <c r="A74" s="53"/>
      <c r="B74" s="9">
        <v>42</v>
      </c>
      <c r="C74" s="9" t="s">
        <v>1063</v>
      </c>
      <c r="D74" s="9" t="s">
        <v>24</v>
      </c>
      <c r="E74" s="9" t="s">
        <v>31</v>
      </c>
      <c r="F74" s="9" t="s">
        <v>47</v>
      </c>
      <c r="G74" s="10" t="s">
        <v>27</v>
      </c>
      <c r="H74" s="13"/>
      <c r="I74" s="13"/>
    </row>
    <row r="75" spans="1:9" ht="12.75" x14ac:dyDescent="0.2">
      <c r="A75" s="48" t="s">
        <v>59</v>
      </c>
      <c r="B75" s="9">
        <v>42</v>
      </c>
      <c r="C75" s="9" t="s">
        <v>486</v>
      </c>
      <c r="D75" s="9" t="s">
        <v>24</v>
      </c>
      <c r="E75" s="9" t="s">
        <v>31</v>
      </c>
      <c r="F75" s="9" t="s">
        <v>47</v>
      </c>
      <c r="G75" s="10" t="s">
        <v>27</v>
      </c>
      <c r="H75" s="13"/>
      <c r="I75" s="13"/>
    </row>
    <row r="76" spans="1:9" ht="12.75" x14ac:dyDescent="0.2">
      <c r="A76" s="52"/>
      <c r="B76" s="9">
        <v>42</v>
      </c>
      <c r="C76" s="9" t="s">
        <v>1079</v>
      </c>
      <c r="D76" s="9" t="s">
        <v>24</v>
      </c>
      <c r="E76" s="9" t="s">
        <v>31</v>
      </c>
      <c r="F76" s="9" t="s">
        <v>47</v>
      </c>
      <c r="G76" s="10" t="s">
        <v>27</v>
      </c>
      <c r="H76" s="13"/>
      <c r="I76" s="13"/>
    </row>
    <row r="77" spans="1:9" ht="12.75" x14ac:dyDescent="0.2">
      <c r="A77" s="52"/>
      <c r="B77" s="9">
        <v>42</v>
      </c>
      <c r="C77" s="9" t="s">
        <v>1080</v>
      </c>
      <c r="D77" s="9" t="s">
        <v>24</v>
      </c>
      <c r="E77" s="9" t="s">
        <v>31</v>
      </c>
      <c r="F77" s="9" t="s">
        <v>47</v>
      </c>
      <c r="G77" s="10" t="s">
        <v>27</v>
      </c>
      <c r="H77" s="13"/>
      <c r="I77" s="13"/>
    </row>
    <row r="78" spans="1:9" ht="12.75" x14ac:dyDescent="0.2">
      <c r="A78" s="52"/>
      <c r="B78" s="9">
        <v>42</v>
      </c>
      <c r="C78" s="9" t="s">
        <v>1081</v>
      </c>
      <c r="D78" s="9" t="s">
        <v>30</v>
      </c>
      <c r="E78" s="9" t="s">
        <v>31</v>
      </c>
      <c r="F78" s="9" t="s">
        <v>47</v>
      </c>
      <c r="G78" s="10" t="s">
        <v>27</v>
      </c>
      <c r="H78" s="13"/>
      <c r="I78" s="13"/>
    </row>
    <row r="79" spans="1:9" ht="12.75" x14ac:dyDescent="0.2">
      <c r="A79" s="53"/>
      <c r="B79" s="9">
        <v>42</v>
      </c>
      <c r="C79" s="9" t="s">
        <v>1078</v>
      </c>
      <c r="D79" s="9" t="s">
        <v>24</v>
      </c>
      <c r="E79" s="9" t="s">
        <v>31</v>
      </c>
      <c r="F79" s="9" t="s">
        <v>47</v>
      </c>
      <c r="G79" s="10" t="s">
        <v>27</v>
      </c>
      <c r="H79" s="13"/>
      <c r="I79" s="13"/>
    </row>
    <row r="80" spans="1:9" ht="12.75" x14ac:dyDescent="0.2">
      <c r="A80" s="48" t="s">
        <v>101</v>
      </c>
      <c r="B80" s="9">
        <v>42</v>
      </c>
      <c r="C80" s="9" t="s">
        <v>1080</v>
      </c>
      <c r="D80" s="9" t="s">
        <v>24</v>
      </c>
      <c r="E80" s="9" t="s">
        <v>31</v>
      </c>
      <c r="F80" s="9" t="s">
        <v>47</v>
      </c>
      <c r="G80" s="10" t="s">
        <v>27</v>
      </c>
      <c r="H80" s="13"/>
      <c r="I80" s="13"/>
    </row>
    <row r="81" spans="1:9" ht="12.75" x14ac:dyDescent="0.2">
      <c r="A81" s="52"/>
      <c r="B81" s="9">
        <v>42</v>
      </c>
      <c r="C81" s="9" t="s">
        <v>1078</v>
      </c>
      <c r="D81" s="9" t="s">
        <v>24</v>
      </c>
      <c r="E81" s="9" t="s">
        <v>31</v>
      </c>
      <c r="F81" s="9" t="s">
        <v>47</v>
      </c>
      <c r="G81" s="10" t="s">
        <v>27</v>
      </c>
      <c r="H81" s="13"/>
      <c r="I81" s="13"/>
    </row>
    <row r="82" spans="1:9" ht="12.75" x14ac:dyDescent="0.2">
      <c r="A82" s="53"/>
      <c r="B82" s="9">
        <v>42</v>
      </c>
      <c r="C82" s="9" t="s">
        <v>470</v>
      </c>
      <c r="D82" s="9" t="s">
        <v>24</v>
      </c>
      <c r="E82" s="9" t="s">
        <v>31</v>
      </c>
      <c r="F82" s="9" t="s">
        <v>47</v>
      </c>
      <c r="G82" s="10" t="s">
        <v>27</v>
      </c>
      <c r="H82" s="13"/>
      <c r="I82" s="13"/>
    </row>
    <row r="83" spans="1:9" ht="12.75" x14ac:dyDescent="0.2">
      <c r="A83" s="48" t="s">
        <v>62</v>
      </c>
      <c r="B83" s="9">
        <v>42</v>
      </c>
      <c r="C83" s="9" t="s">
        <v>478</v>
      </c>
      <c r="D83" s="9" t="s">
        <v>24</v>
      </c>
      <c r="E83" s="9" t="s">
        <v>31</v>
      </c>
      <c r="F83" s="9" t="s">
        <v>26</v>
      </c>
      <c r="G83" s="10" t="s">
        <v>27</v>
      </c>
      <c r="H83" s="13"/>
      <c r="I83" s="13"/>
    </row>
    <row r="84" spans="1:9" ht="12.75" x14ac:dyDescent="0.2">
      <c r="A84" s="52"/>
      <c r="B84" s="9">
        <v>42</v>
      </c>
      <c r="C84" s="9" t="s">
        <v>1050</v>
      </c>
      <c r="D84" s="9" t="s">
        <v>24</v>
      </c>
      <c r="E84" s="9" t="s">
        <v>31</v>
      </c>
      <c r="F84" s="9" t="s">
        <v>26</v>
      </c>
      <c r="G84" s="10" t="s">
        <v>27</v>
      </c>
      <c r="H84" s="13"/>
      <c r="I84" s="13"/>
    </row>
    <row r="85" spans="1:9" ht="12.75" x14ac:dyDescent="0.2">
      <c r="A85" s="52"/>
      <c r="B85" s="9">
        <v>42</v>
      </c>
      <c r="C85" s="9" t="s">
        <v>1071</v>
      </c>
      <c r="D85" s="9" t="s">
        <v>24</v>
      </c>
      <c r="E85" s="9" t="s">
        <v>25</v>
      </c>
      <c r="F85" s="9" t="s">
        <v>87</v>
      </c>
      <c r="G85" s="10" t="s">
        <v>27</v>
      </c>
      <c r="H85" s="13"/>
      <c r="I85" s="13"/>
    </row>
    <row r="86" spans="1:9" ht="12.75" x14ac:dyDescent="0.2">
      <c r="A86" s="53"/>
      <c r="B86" s="9">
        <v>42</v>
      </c>
      <c r="C86" s="9" t="s">
        <v>1063</v>
      </c>
      <c r="D86" s="9" t="s">
        <v>24</v>
      </c>
      <c r="E86" s="9" t="s">
        <v>31</v>
      </c>
      <c r="F86" s="9" t="s">
        <v>26</v>
      </c>
      <c r="G86" s="10" t="s">
        <v>27</v>
      </c>
      <c r="H86" s="13"/>
      <c r="I86" s="13"/>
    </row>
    <row r="87" spans="1:9" ht="12.75" x14ac:dyDescent="0.2">
      <c r="A87" s="48" t="s">
        <v>70</v>
      </c>
      <c r="B87" s="9">
        <v>42</v>
      </c>
      <c r="C87" s="9" t="s">
        <v>1070</v>
      </c>
      <c r="D87" s="9" t="s">
        <v>24</v>
      </c>
      <c r="E87" s="9" t="s">
        <v>31</v>
      </c>
      <c r="F87" s="9" t="s">
        <v>47</v>
      </c>
      <c r="G87" s="10" t="s">
        <v>27</v>
      </c>
      <c r="H87" s="13"/>
      <c r="I87" s="13"/>
    </row>
    <row r="88" spans="1:9" ht="12.75" x14ac:dyDescent="0.2">
      <c r="A88" s="52"/>
      <c r="B88" s="9">
        <v>42</v>
      </c>
      <c r="C88" s="9" t="s">
        <v>1082</v>
      </c>
      <c r="D88" s="9" t="s">
        <v>24</v>
      </c>
      <c r="E88" s="9" t="s">
        <v>31</v>
      </c>
      <c r="F88" s="9" t="s">
        <v>47</v>
      </c>
      <c r="G88" s="10" t="s">
        <v>27</v>
      </c>
      <c r="H88" s="13"/>
      <c r="I88" s="13"/>
    </row>
    <row r="89" spans="1:9" ht="12.75" x14ac:dyDescent="0.2">
      <c r="A89" s="53"/>
      <c r="B89" s="9">
        <v>42</v>
      </c>
      <c r="C89" s="9" t="s">
        <v>1072</v>
      </c>
      <c r="D89" s="9" t="s">
        <v>24</v>
      </c>
      <c r="E89" s="9" t="s">
        <v>31</v>
      </c>
      <c r="F89" s="9" t="s">
        <v>47</v>
      </c>
      <c r="G89" s="10" t="s">
        <v>27</v>
      </c>
      <c r="H89" s="13"/>
      <c r="I89" s="13"/>
    </row>
    <row r="90" spans="1:9" ht="12.75" x14ac:dyDescent="0.2">
      <c r="A90" s="48" t="s">
        <v>73</v>
      </c>
      <c r="B90" s="9">
        <v>42</v>
      </c>
      <c r="C90" s="9" t="s">
        <v>1083</v>
      </c>
      <c r="D90" s="9" t="s">
        <v>24</v>
      </c>
      <c r="E90" s="9" t="s">
        <v>31</v>
      </c>
      <c r="F90" s="9" t="s">
        <v>26</v>
      </c>
      <c r="G90" s="10" t="s">
        <v>27</v>
      </c>
      <c r="H90" s="13"/>
      <c r="I90" s="13"/>
    </row>
    <row r="91" spans="1:9" ht="12.75" x14ac:dyDescent="0.2">
      <c r="A91" s="52"/>
      <c r="B91" s="9">
        <v>42</v>
      </c>
      <c r="C91" s="9" t="s">
        <v>1084</v>
      </c>
      <c r="D91" s="9" t="s">
        <v>24</v>
      </c>
      <c r="E91" s="9" t="s">
        <v>31</v>
      </c>
      <c r="F91" s="9" t="s">
        <v>26</v>
      </c>
      <c r="G91" s="10" t="s">
        <v>27</v>
      </c>
      <c r="H91" s="13"/>
      <c r="I91" s="13"/>
    </row>
    <row r="92" spans="1:9" ht="12.75" x14ac:dyDescent="0.2">
      <c r="A92" s="52"/>
      <c r="B92" s="9">
        <v>42</v>
      </c>
      <c r="C92" s="9" t="s">
        <v>1085</v>
      </c>
      <c r="D92" s="9" t="s">
        <v>24</v>
      </c>
      <c r="E92" s="9" t="s">
        <v>31</v>
      </c>
      <c r="F92" s="9" t="s">
        <v>26</v>
      </c>
      <c r="G92" s="10" t="s">
        <v>27</v>
      </c>
      <c r="H92" s="13"/>
      <c r="I92" s="13"/>
    </row>
    <row r="93" spans="1:9" ht="12.75" x14ac:dyDescent="0.2">
      <c r="A93" s="52"/>
      <c r="B93" s="9">
        <v>42</v>
      </c>
      <c r="C93" s="9" t="s">
        <v>1050</v>
      </c>
      <c r="D93" s="9" t="s">
        <v>24</v>
      </c>
      <c r="E93" s="9" t="s">
        <v>31</v>
      </c>
      <c r="F93" s="9" t="s">
        <v>26</v>
      </c>
      <c r="G93" s="10" t="s">
        <v>27</v>
      </c>
      <c r="H93" s="13"/>
      <c r="I93" s="13"/>
    </row>
    <row r="94" spans="1:9" ht="12.75" x14ac:dyDescent="0.2">
      <c r="A94" s="52"/>
      <c r="B94" s="9">
        <v>42</v>
      </c>
      <c r="C94" s="9" t="s">
        <v>1071</v>
      </c>
      <c r="D94" s="9" t="s">
        <v>24</v>
      </c>
      <c r="E94" s="9" t="s">
        <v>31</v>
      </c>
      <c r="F94" s="9" t="s">
        <v>26</v>
      </c>
      <c r="G94" s="10" t="s">
        <v>27</v>
      </c>
      <c r="H94" s="13"/>
      <c r="I94" s="13"/>
    </row>
    <row r="95" spans="1:9" ht="12.75" x14ac:dyDescent="0.2">
      <c r="A95" s="52"/>
      <c r="B95" s="9">
        <v>42</v>
      </c>
      <c r="C95" s="9" t="s">
        <v>1070</v>
      </c>
      <c r="D95" s="9" t="s">
        <v>24</v>
      </c>
      <c r="E95" s="9" t="s">
        <v>31</v>
      </c>
      <c r="F95" s="9" t="s">
        <v>26</v>
      </c>
      <c r="G95" s="10" t="s">
        <v>27</v>
      </c>
      <c r="H95" s="13"/>
      <c r="I95" s="13"/>
    </row>
    <row r="96" spans="1:9" ht="12.75" x14ac:dyDescent="0.2">
      <c r="A96" s="52"/>
      <c r="B96" s="9">
        <v>42</v>
      </c>
      <c r="C96" s="9" t="s">
        <v>1086</v>
      </c>
      <c r="D96" s="9" t="s">
        <v>24</v>
      </c>
      <c r="E96" s="9" t="s">
        <v>31</v>
      </c>
      <c r="F96" s="9" t="s">
        <v>26</v>
      </c>
      <c r="G96" s="10" t="s">
        <v>27</v>
      </c>
      <c r="H96" s="13"/>
      <c r="I96" s="13"/>
    </row>
    <row r="97" spans="1:9" ht="12.75" x14ac:dyDescent="0.2">
      <c r="A97" s="52"/>
      <c r="B97" s="9">
        <v>42</v>
      </c>
      <c r="C97" s="9" t="s">
        <v>472</v>
      </c>
      <c r="D97" s="9" t="s">
        <v>24</v>
      </c>
      <c r="E97" s="9" t="s">
        <v>31</v>
      </c>
      <c r="F97" s="9" t="s">
        <v>26</v>
      </c>
      <c r="G97" s="10" t="s">
        <v>27</v>
      </c>
      <c r="H97" s="13"/>
      <c r="I97" s="13"/>
    </row>
    <row r="98" spans="1:9" ht="12.75" x14ac:dyDescent="0.2">
      <c r="A98" s="53"/>
      <c r="B98" s="9">
        <v>42</v>
      </c>
      <c r="C98" s="9" t="s">
        <v>1058</v>
      </c>
      <c r="D98" s="9" t="s">
        <v>24</v>
      </c>
      <c r="E98" s="9" t="s">
        <v>31</v>
      </c>
      <c r="F98" s="9" t="s">
        <v>26</v>
      </c>
      <c r="G98" s="10" t="s">
        <v>27</v>
      </c>
      <c r="H98" s="13"/>
      <c r="I98" s="13"/>
    </row>
    <row r="99" spans="1:9" ht="12.75" x14ac:dyDescent="0.2">
      <c r="A99" s="48" t="s">
        <v>872</v>
      </c>
      <c r="B99" s="9">
        <v>42</v>
      </c>
      <c r="C99" s="9" t="s">
        <v>1066</v>
      </c>
      <c r="D99" s="9" t="s">
        <v>24</v>
      </c>
      <c r="E99" s="9" t="s">
        <v>31</v>
      </c>
      <c r="F99" s="9" t="s">
        <v>26</v>
      </c>
      <c r="G99" s="10" t="s">
        <v>27</v>
      </c>
      <c r="H99" s="13"/>
      <c r="I99" s="13"/>
    </row>
    <row r="100" spans="1:9" ht="12.75" x14ac:dyDescent="0.2">
      <c r="A100" s="52"/>
      <c r="B100" s="9">
        <v>42</v>
      </c>
      <c r="C100" s="9" t="s">
        <v>1085</v>
      </c>
      <c r="D100" s="9" t="s">
        <v>24</v>
      </c>
      <c r="E100" s="9" t="s">
        <v>31</v>
      </c>
      <c r="F100" s="9" t="s">
        <v>26</v>
      </c>
      <c r="G100" s="10" t="s">
        <v>27</v>
      </c>
      <c r="H100" s="13"/>
      <c r="I100" s="13"/>
    </row>
    <row r="101" spans="1:9" ht="12.75" x14ac:dyDescent="0.2">
      <c r="A101" s="52"/>
      <c r="B101" s="9">
        <v>42</v>
      </c>
      <c r="C101" s="9" t="s">
        <v>1087</v>
      </c>
      <c r="D101" s="9" t="s">
        <v>24</v>
      </c>
      <c r="E101" s="9" t="s">
        <v>31</v>
      </c>
      <c r="F101" s="9" t="s">
        <v>26</v>
      </c>
      <c r="G101" s="10" t="s">
        <v>27</v>
      </c>
      <c r="H101" s="13"/>
      <c r="I101" s="13"/>
    </row>
    <row r="102" spans="1:9" ht="12.75" x14ac:dyDescent="0.2">
      <c r="A102" s="53"/>
      <c r="B102" s="9">
        <v>42</v>
      </c>
      <c r="C102" s="9" t="s">
        <v>1088</v>
      </c>
      <c r="D102" s="9" t="s">
        <v>24</v>
      </c>
      <c r="E102" s="9" t="s">
        <v>31</v>
      </c>
      <c r="F102" s="9" t="s">
        <v>26</v>
      </c>
      <c r="G102" s="10" t="s">
        <v>27</v>
      </c>
      <c r="H102" s="13"/>
      <c r="I102" s="13"/>
    </row>
    <row r="103" spans="1:9" ht="12.75" x14ac:dyDescent="0.2">
      <c r="A103" s="48" t="s">
        <v>79</v>
      </c>
      <c r="B103" s="12">
        <v>42</v>
      </c>
      <c r="C103" s="12" t="s">
        <v>1089</v>
      </c>
      <c r="D103" s="12" t="s">
        <v>24</v>
      </c>
      <c r="E103" s="12" t="s">
        <v>25</v>
      </c>
      <c r="F103" s="12" t="s">
        <v>26</v>
      </c>
      <c r="G103" s="10" t="s">
        <v>27</v>
      </c>
      <c r="H103" s="13"/>
      <c r="I103" s="13"/>
    </row>
    <row r="104" spans="1:9" ht="12.75" x14ac:dyDescent="0.2">
      <c r="A104" s="52"/>
      <c r="B104" s="12">
        <v>42</v>
      </c>
      <c r="C104" s="12" t="s">
        <v>1090</v>
      </c>
      <c r="D104" s="12" t="s">
        <v>24</v>
      </c>
      <c r="E104" s="12" t="s">
        <v>25</v>
      </c>
      <c r="F104" s="12" t="s">
        <v>26</v>
      </c>
      <c r="G104" s="10" t="s">
        <v>27</v>
      </c>
      <c r="H104" s="13"/>
      <c r="I104" s="13"/>
    </row>
    <row r="105" spans="1:9" ht="12.75" x14ac:dyDescent="0.2">
      <c r="A105" s="52"/>
      <c r="B105" s="12">
        <v>42</v>
      </c>
      <c r="C105" s="12" t="s">
        <v>1091</v>
      </c>
      <c r="D105" s="12" t="s">
        <v>24</v>
      </c>
      <c r="E105" s="12" t="s">
        <v>25</v>
      </c>
      <c r="F105" s="12" t="s">
        <v>26</v>
      </c>
      <c r="G105" s="10" t="s">
        <v>27</v>
      </c>
      <c r="H105" s="13"/>
      <c r="I105" s="13"/>
    </row>
    <row r="106" spans="1:9" ht="12.75" x14ac:dyDescent="0.2">
      <c r="A106" s="52"/>
      <c r="B106" s="12">
        <v>42</v>
      </c>
      <c r="C106" s="12" t="s">
        <v>1087</v>
      </c>
      <c r="D106" s="12" t="s">
        <v>24</v>
      </c>
      <c r="E106" s="12" t="s">
        <v>25</v>
      </c>
      <c r="F106" s="12" t="s">
        <v>26</v>
      </c>
      <c r="G106" s="10" t="s">
        <v>27</v>
      </c>
      <c r="H106" s="13"/>
      <c r="I106" s="13"/>
    </row>
    <row r="107" spans="1:9" ht="12.75" x14ac:dyDescent="0.2">
      <c r="A107" s="52"/>
      <c r="B107" s="12">
        <v>42</v>
      </c>
      <c r="C107" s="12" t="s">
        <v>1092</v>
      </c>
      <c r="D107" s="12" t="s">
        <v>24</v>
      </c>
      <c r="E107" s="12" t="s">
        <v>25</v>
      </c>
      <c r="F107" s="12" t="s">
        <v>26</v>
      </c>
      <c r="G107" s="10" t="s">
        <v>27</v>
      </c>
      <c r="H107" s="13"/>
      <c r="I107" s="13"/>
    </row>
    <row r="108" spans="1:9" ht="12.75" x14ac:dyDescent="0.2">
      <c r="A108" s="53"/>
      <c r="B108" s="12">
        <v>42</v>
      </c>
      <c r="C108" s="12" t="s">
        <v>1058</v>
      </c>
      <c r="D108" s="12" t="s">
        <v>24</v>
      </c>
      <c r="E108" s="12" t="s">
        <v>25</v>
      </c>
      <c r="F108" s="12" t="s">
        <v>26</v>
      </c>
      <c r="G108" s="10" t="s">
        <v>27</v>
      </c>
      <c r="H108" s="13"/>
      <c r="I108" s="13"/>
    </row>
    <row r="109" spans="1:9" ht="12.75" x14ac:dyDescent="0.2">
      <c r="A109" s="48" t="s">
        <v>83</v>
      </c>
      <c r="B109" s="9">
        <v>42</v>
      </c>
      <c r="C109" s="9" t="s">
        <v>1085</v>
      </c>
      <c r="D109" s="9" t="s">
        <v>24</v>
      </c>
      <c r="E109" s="9" t="s">
        <v>31</v>
      </c>
      <c r="F109" s="9" t="s">
        <v>26</v>
      </c>
      <c r="G109" s="10" t="s">
        <v>27</v>
      </c>
      <c r="H109" s="13"/>
      <c r="I109" s="13"/>
    </row>
    <row r="110" spans="1:9" ht="12.75" x14ac:dyDescent="0.2">
      <c r="A110" s="52"/>
      <c r="B110" s="9">
        <v>42</v>
      </c>
      <c r="C110" s="9" t="s">
        <v>1050</v>
      </c>
      <c r="D110" s="9" t="s">
        <v>24</v>
      </c>
      <c r="E110" s="9" t="s">
        <v>31</v>
      </c>
      <c r="F110" s="9" t="s">
        <v>26</v>
      </c>
      <c r="G110" s="10" t="s">
        <v>27</v>
      </c>
      <c r="H110" s="13"/>
      <c r="I110" s="13"/>
    </row>
    <row r="111" spans="1:9" ht="12.75" x14ac:dyDescent="0.2">
      <c r="A111" s="52"/>
      <c r="B111" s="9">
        <v>42</v>
      </c>
      <c r="C111" s="9" t="s">
        <v>1093</v>
      </c>
      <c r="D111" s="9" t="s">
        <v>24</v>
      </c>
      <c r="E111" s="9" t="s">
        <v>31</v>
      </c>
      <c r="F111" s="9" t="s">
        <v>26</v>
      </c>
      <c r="G111" s="10" t="s">
        <v>27</v>
      </c>
      <c r="H111" s="13"/>
      <c r="I111" s="13"/>
    </row>
    <row r="112" spans="1:9" ht="12.75" x14ac:dyDescent="0.2">
      <c r="A112" s="52"/>
      <c r="B112" s="9">
        <v>42</v>
      </c>
      <c r="C112" s="9" t="s">
        <v>1091</v>
      </c>
      <c r="D112" s="9" t="s">
        <v>24</v>
      </c>
      <c r="E112" s="9" t="s">
        <v>31</v>
      </c>
      <c r="F112" s="9" t="s">
        <v>26</v>
      </c>
      <c r="G112" s="10" t="s">
        <v>27</v>
      </c>
      <c r="H112" s="13"/>
      <c r="I112" s="13"/>
    </row>
    <row r="113" spans="1:9" ht="12.75" x14ac:dyDescent="0.2">
      <c r="A113" s="52"/>
      <c r="B113" s="9">
        <v>42</v>
      </c>
      <c r="C113" s="9" t="s">
        <v>1070</v>
      </c>
      <c r="D113" s="9" t="s">
        <v>24</v>
      </c>
      <c r="E113" s="9" t="s">
        <v>31</v>
      </c>
      <c r="F113" s="9" t="s">
        <v>26</v>
      </c>
      <c r="G113" s="10" t="s">
        <v>27</v>
      </c>
      <c r="H113" s="13"/>
      <c r="I113" s="13"/>
    </row>
    <row r="114" spans="1:9" ht="12.75" x14ac:dyDescent="0.2">
      <c r="A114" s="52"/>
      <c r="B114" s="9">
        <v>42</v>
      </c>
      <c r="C114" s="9" t="s">
        <v>1094</v>
      </c>
      <c r="D114" s="9" t="s">
        <v>24</v>
      </c>
      <c r="E114" s="9" t="s">
        <v>31</v>
      </c>
      <c r="F114" s="9" t="s">
        <v>26</v>
      </c>
      <c r="G114" s="10" t="s">
        <v>27</v>
      </c>
      <c r="H114" s="13"/>
      <c r="I114" s="13"/>
    </row>
    <row r="115" spans="1:9" ht="12.75" x14ac:dyDescent="0.2">
      <c r="A115" s="52"/>
      <c r="B115" s="9">
        <v>42</v>
      </c>
      <c r="C115" s="9" t="s">
        <v>666</v>
      </c>
      <c r="D115" s="9" t="s">
        <v>24</v>
      </c>
      <c r="E115" s="9" t="s">
        <v>31</v>
      </c>
      <c r="F115" s="9" t="s">
        <v>26</v>
      </c>
      <c r="G115" s="10" t="s">
        <v>27</v>
      </c>
      <c r="H115" s="13"/>
      <c r="I115" s="13"/>
    </row>
    <row r="116" spans="1:9" ht="12.75" x14ac:dyDescent="0.2">
      <c r="A116" s="52"/>
      <c r="B116" s="9">
        <v>42</v>
      </c>
      <c r="C116" s="9" t="s">
        <v>1095</v>
      </c>
      <c r="D116" s="9" t="s">
        <v>24</v>
      </c>
      <c r="E116" s="9" t="s">
        <v>31</v>
      </c>
      <c r="F116" s="9" t="s">
        <v>26</v>
      </c>
      <c r="G116" s="10" t="s">
        <v>27</v>
      </c>
      <c r="H116" s="13"/>
      <c r="I116" s="13"/>
    </row>
    <row r="117" spans="1:9" ht="12.75" x14ac:dyDescent="0.2">
      <c r="A117" s="52"/>
      <c r="B117" s="9">
        <v>42</v>
      </c>
      <c r="C117" s="9" t="s">
        <v>1092</v>
      </c>
      <c r="D117" s="9" t="s">
        <v>24</v>
      </c>
      <c r="E117" s="9" t="s">
        <v>31</v>
      </c>
      <c r="F117" s="9" t="s">
        <v>26</v>
      </c>
      <c r="G117" s="10" t="s">
        <v>27</v>
      </c>
      <c r="H117" s="13"/>
      <c r="I117" s="13"/>
    </row>
    <row r="118" spans="1:9" ht="12.75" x14ac:dyDescent="0.2">
      <c r="A118" s="52"/>
      <c r="B118" s="9">
        <v>42</v>
      </c>
      <c r="C118" s="9" t="s">
        <v>1058</v>
      </c>
      <c r="D118" s="9" t="s">
        <v>24</v>
      </c>
      <c r="E118" s="9" t="s">
        <v>31</v>
      </c>
      <c r="F118" s="9" t="s">
        <v>26</v>
      </c>
      <c r="G118" s="10" t="s">
        <v>27</v>
      </c>
      <c r="H118" s="13"/>
      <c r="I118" s="13"/>
    </row>
    <row r="119" spans="1:9" ht="12.75" x14ac:dyDescent="0.2">
      <c r="A119" s="53"/>
      <c r="B119" s="9">
        <v>42</v>
      </c>
      <c r="C119" s="9" t="s">
        <v>967</v>
      </c>
      <c r="D119" s="9" t="s">
        <v>30</v>
      </c>
      <c r="E119" s="9" t="s">
        <v>31</v>
      </c>
      <c r="F119" s="9" t="s">
        <v>26</v>
      </c>
      <c r="G119" s="10" t="s">
        <v>27</v>
      </c>
      <c r="H119" s="13"/>
      <c r="I119" s="13"/>
    </row>
    <row r="120" spans="1:9" ht="12.75" x14ac:dyDescent="0.2">
      <c r="A120" s="48" t="s">
        <v>85</v>
      </c>
      <c r="B120" s="9">
        <v>42</v>
      </c>
      <c r="C120" s="9" t="s">
        <v>1066</v>
      </c>
      <c r="D120" s="9" t="s">
        <v>24</v>
      </c>
      <c r="E120" s="9" t="s">
        <v>31</v>
      </c>
      <c r="F120" s="9" t="s">
        <v>26</v>
      </c>
      <c r="G120" s="10" t="s">
        <v>27</v>
      </c>
      <c r="H120" s="13"/>
      <c r="I120" s="13"/>
    </row>
    <row r="121" spans="1:9" ht="12.75" x14ac:dyDescent="0.2">
      <c r="A121" s="52"/>
      <c r="B121" s="9">
        <v>42</v>
      </c>
      <c r="C121" s="9" t="s">
        <v>1085</v>
      </c>
      <c r="D121" s="9" t="s">
        <v>24</v>
      </c>
      <c r="E121" s="9" t="s">
        <v>31</v>
      </c>
      <c r="F121" s="9" t="s">
        <v>26</v>
      </c>
      <c r="G121" s="10" t="s">
        <v>27</v>
      </c>
      <c r="H121" s="13"/>
      <c r="I121" s="13"/>
    </row>
    <row r="122" spans="1:9" ht="12.75" x14ac:dyDescent="0.2">
      <c r="A122" s="52"/>
      <c r="B122" s="9">
        <v>42</v>
      </c>
      <c r="C122" s="9" t="s">
        <v>1091</v>
      </c>
      <c r="D122" s="9" t="s">
        <v>24</v>
      </c>
      <c r="E122" s="9" t="s">
        <v>31</v>
      </c>
      <c r="F122" s="9" t="s">
        <v>26</v>
      </c>
      <c r="G122" s="10" t="s">
        <v>27</v>
      </c>
      <c r="H122" s="13"/>
      <c r="I122" s="13"/>
    </row>
    <row r="123" spans="1:9" ht="12.75" x14ac:dyDescent="0.2">
      <c r="A123" s="52"/>
      <c r="B123" s="9">
        <v>42</v>
      </c>
      <c r="C123" s="9" t="s">
        <v>666</v>
      </c>
      <c r="D123" s="9" t="s">
        <v>24</v>
      </c>
      <c r="E123" s="9" t="s">
        <v>31</v>
      </c>
      <c r="F123" s="9" t="s">
        <v>26</v>
      </c>
      <c r="G123" s="10" t="s">
        <v>27</v>
      </c>
      <c r="H123" s="13"/>
      <c r="I123" s="13"/>
    </row>
    <row r="124" spans="1:9" ht="12.75" x14ac:dyDescent="0.2">
      <c r="A124" s="53"/>
      <c r="B124" s="9">
        <v>42</v>
      </c>
      <c r="C124" s="9" t="s">
        <v>967</v>
      </c>
      <c r="D124" s="9" t="s">
        <v>24</v>
      </c>
      <c r="E124" s="9" t="s">
        <v>31</v>
      </c>
      <c r="F124" s="9" t="s">
        <v>26</v>
      </c>
      <c r="G124" s="10" t="s">
        <v>27</v>
      </c>
      <c r="H124" s="13"/>
      <c r="I124" s="13"/>
    </row>
    <row r="125" spans="1:9" ht="12.75" x14ac:dyDescent="0.2">
      <c r="A125" s="13"/>
      <c r="B125" s="13"/>
      <c r="C125" s="13"/>
      <c r="D125" s="13"/>
      <c r="E125" s="13"/>
      <c r="F125" s="13"/>
      <c r="G125" s="13"/>
      <c r="H125" s="13"/>
      <c r="I125" s="13"/>
    </row>
    <row r="126" spans="1:9" ht="12.75" x14ac:dyDescent="0.2">
      <c r="A126" s="13"/>
      <c r="B126" s="13"/>
      <c r="C126" s="13"/>
      <c r="D126" s="13"/>
      <c r="E126" s="13"/>
      <c r="F126" s="13"/>
      <c r="G126" s="13"/>
      <c r="H126" s="13"/>
      <c r="I126" s="13"/>
    </row>
    <row r="127" spans="1:9" ht="12.75" x14ac:dyDescent="0.2">
      <c r="A127" s="13"/>
      <c r="B127" s="13"/>
      <c r="C127" s="13"/>
      <c r="D127" s="13"/>
      <c r="E127" s="13"/>
      <c r="F127" s="13"/>
      <c r="G127" s="13"/>
      <c r="H127" s="13"/>
      <c r="I127" s="13"/>
    </row>
    <row r="128" spans="1:9" ht="12.75" x14ac:dyDescent="0.2">
      <c r="A128" s="13"/>
      <c r="B128" s="13"/>
      <c r="C128" s="13"/>
      <c r="D128" s="13"/>
      <c r="E128" s="13"/>
      <c r="F128" s="13"/>
      <c r="G128" s="13"/>
      <c r="H128" s="13"/>
      <c r="I128" s="13"/>
    </row>
    <row r="129" spans="1:9" ht="12.75" x14ac:dyDescent="0.2">
      <c r="A129" s="13"/>
      <c r="B129" s="13"/>
      <c r="C129" s="13"/>
      <c r="D129" s="13"/>
      <c r="E129" s="13"/>
      <c r="F129" s="13"/>
      <c r="G129" s="13"/>
      <c r="H129" s="13"/>
      <c r="I129" s="13"/>
    </row>
    <row r="130" spans="1:9" ht="12.75" x14ac:dyDescent="0.2">
      <c r="A130" s="13"/>
      <c r="B130" s="13"/>
      <c r="C130" s="13"/>
      <c r="D130" s="13"/>
      <c r="E130" s="13"/>
      <c r="F130" s="13"/>
      <c r="G130" s="13"/>
      <c r="H130" s="13"/>
      <c r="I130" s="13"/>
    </row>
    <row r="131" spans="1:9" ht="12.75" x14ac:dyDescent="0.2">
      <c r="A131" s="13"/>
      <c r="B131" s="13"/>
      <c r="C131" s="13"/>
      <c r="D131" s="13"/>
      <c r="E131" s="13"/>
      <c r="F131" s="13"/>
      <c r="G131" s="13"/>
      <c r="H131" s="13"/>
      <c r="I131" s="13"/>
    </row>
  </sheetData>
  <mergeCells count="18">
    <mergeCell ref="A120:A124"/>
    <mergeCell ref="A63:A69"/>
    <mergeCell ref="A70:A74"/>
    <mergeCell ref="A75:A79"/>
    <mergeCell ref="A80:A82"/>
    <mergeCell ref="A83:A86"/>
    <mergeCell ref="A87:A89"/>
    <mergeCell ref="A90:A98"/>
    <mergeCell ref="A41:A48"/>
    <mergeCell ref="A49:A62"/>
    <mergeCell ref="A99:A102"/>
    <mergeCell ref="A103:A108"/>
    <mergeCell ref="A109:A119"/>
    <mergeCell ref="A1:G1"/>
    <mergeCell ref="A9:A16"/>
    <mergeCell ref="A17:A20"/>
    <mergeCell ref="A21:A31"/>
    <mergeCell ref="A32:A40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M113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13" ht="15.75" customHeight="1" x14ac:dyDescent="0.25">
      <c r="A1" s="54" t="s">
        <v>0</v>
      </c>
      <c r="B1" s="55"/>
      <c r="C1" s="55"/>
      <c r="D1" s="55"/>
      <c r="E1" s="55"/>
      <c r="F1" s="55"/>
      <c r="G1" s="56"/>
    </row>
    <row r="2" spans="1:13" x14ac:dyDescent="0.2">
      <c r="A2" s="1"/>
      <c r="B2" s="2"/>
      <c r="C2" s="2"/>
      <c r="D2" s="2"/>
      <c r="E2" s="2"/>
      <c r="F2" s="2"/>
      <c r="G2" s="2"/>
    </row>
    <row r="3" spans="1:13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13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13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13" x14ac:dyDescent="0.2">
      <c r="A6" s="1"/>
      <c r="B6" s="2"/>
      <c r="C6" s="2"/>
      <c r="D6" s="2"/>
      <c r="E6" s="2"/>
      <c r="F6" s="2"/>
      <c r="G6" s="2"/>
    </row>
    <row r="7" spans="1:13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13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13" x14ac:dyDescent="0.2">
      <c r="A9" s="48" t="s">
        <v>20</v>
      </c>
      <c r="B9" s="9">
        <v>43</v>
      </c>
      <c r="C9" s="9" t="s">
        <v>1096</v>
      </c>
      <c r="D9" s="9" t="s">
        <v>24</v>
      </c>
      <c r="E9" s="9" t="s">
        <v>25</v>
      </c>
      <c r="F9" s="9" t="s">
        <v>26</v>
      </c>
      <c r="G9" s="10" t="s">
        <v>27</v>
      </c>
      <c r="H9" s="11"/>
      <c r="I9" s="11"/>
      <c r="J9" s="11"/>
      <c r="K9" s="11"/>
      <c r="L9" s="11"/>
      <c r="M9" s="11"/>
    </row>
    <row r="10" spans="1:13" x14ac:dyDescent="0.2">
      <c r="A10" s="52"/>
      <c r="B10" s="9">
        <v>43</v>
      </c>
      <c r="C10" s="9" t="s">
        <v>509</v>
      </c>
      <c r="D10" s="9" t="s">
        <v>24</v>
      </c>
      <c r="E10" s="9" t="s">
        <v>25</v>
      </c>
      <c r="F10" s="9" t="s">
        <v>26</v>
      </c>
      <c r="G10" s="10" t="s">
        <v>27</v>
      </c>
      <c r="H10" s="11"/>
      <c r="I10" s="11"/>
      <c r="J10" s="11"/>
      <c r="K10" s="11"/>
      <c r="L10" s="11"/>
      <c r="M10" s="11"/>
    </row>
    <row r="11" spans="1:13" x14ac:dyDescent="0.2">
      <c r="A11" s="52"/>
      <c r="B11" s="9">
        <v>43</v>
      </c>
      <c r="C11" s="9" t="s">
        <v>508</v>
      </c>
      <c r="D11" s="9" t="s">
        <v>24</v>
      </c>
      <c r="E11" s="9" t="s">
        <v>25</v>
      </c>
      <c r="F11" s="9" t="s">
        <v>26</v>
      </c>
      <c r="G11" s="10" t="s">
        <v>27</v>
      </c>
      <c r="H11" s="11"/>
      <c r="I11" s="11"/>
      <c r="J11" s="11"/>
      <c r="K11" s="11"/>
      <c r="L11" s="11"/>
      <c r="M11" s="11"/>
    </row>
    <row r="12" spans="1:13" x14ac:dyDescent="0.2">
      <c r="A12" s="53"/>
      <c r="B12" s="9">
        <v>43</v>
      </c>
      <c r="C12" s="9" t="s">
        <v>1097</v>
      </c>
      <c r="D12" s="9" t="s">
        <v>24</v>
      </c>
      <c r="E12" s="9" t="s">
        <v>25</v>
      </c>
      <c r="F12" s="9" t="s">
        <v>26</v>
      </c>
      <c r="G12" s="10" t="s">
        <v>27</v>
      </c>
      <c r="H12" s="11"/>
      <c r="I12" s="11"/>
      <c r="J12" s="11"/>
      <c r="K12" s="11"/>
      <c r="L12" s="11"/>
      <c r="M12" s="11"/>
    </row>
    <row r="13" spans="1:13" x14ac:dyDescent="0.2">
      <c r="A13" s="48" t="s">
        <v>22</v>
      </c>
      <c r="B13" s="9">
        <v>43</v>
      </c>
      <c r="C13" s="9" t="s">
        <v>1098</v>
      </c>
      <c r="D13" s="9" t="s">
        <v>24</v>
      </c>
      <c r="E13" s="9" t="s">
        <v>31</v>
      </c>
      <c r="F13" s="9" t="s">
        <v>26</v>
      </c>
      <c r="G13" s="10" t="s">
        <v>27</v>
      </c>
      <c r="H13" s="11"/>
      <c r="I13" s="11"/>
      <c r="J13" s="11"/>
      <c r="K13" s="11"/>
      <c r="L13" s="11"/>
      <c r="M13" s="11"/>
    </row>
    <row r="14" spans="1:13" x14ac:dyDescent="0.2">
      <c r="A14" s="52"/>
      <c r="B14" s="9">
        <v>43</v>
      </c>
      <c r="C14" s="9" t="s">
        <v>556</v>
      </c>
      <c r="D14" s="9" t="s">
        <v>24</v>
      </c>
      <c r="E14" s="9" t="s">
        <v>31</v>
      </c>
      <c r="F14" s="9" t="s">
        <v>26</v>
      </c>
      <c r="G14" s="10" t="s">
        <v>27</v>
      </c>
      <c r="H14" s="11"/>
      <c r="I14" s="11"/>
      <c r="J14" s="11"/>
      <c r="K14" s="11"/>
      <c r="L14" s="11"/>
      <c r="M14" s="11"/>
    </row>
    <row r="15" spans="1:13" x14ac:dyDescent="0.2">
      <c r="A15" s="53"/>
      <c r="B15" s="9">
        <v>43</v>
      </c>
      <c r="C15" s="9" t="s">
        <v>1099</v>
      </c>
      <c r="D15" s="9" t="s">
        <v>24</v>
      </c>
      <c r="E15" s="9" t="s">
        <v>31</v>
      </c>
      <c r="F15" s="9" t="s">
        <v>26</v>
      </c>
      <c r="G15" s="10" t="s">
        <v>27</v>
      </c>
      <c r="H15" s="11"/>
      <c r="I15" s="11"/>
      <c r="J15" s="11"/>
      <c r="K15" s="11"/>
      <c r="L15" s="11"/>
      <c r="M15" s="11"/>
    </row>
    <row r="16" spans="1:13" x14ac:dyDescent="0.2">
      <c r="A16" s="48" t="s">
        <v>28</v>
      </c>
      <c r="B16" s="9">
        <v>43</v>
      </c>
      <c r="C16" s="9" t="s">
        <v>1100</v>
      </c>
      <c r="D16" s="9" t="s">
        <v>24</v>
      </c>
      <c r="E16" s="9" t="s">
        <v>31</v>
      </c>
      <c r="F16" s="9" t="s">
        <v>26</v>
      </c>
      <c r="G16" s="10" t="s">
        <v>27</v>
      </c>
      <c r="H16" s="11"/>
      <c r="I16" s="11"/>
      <c r="J16" s="11"/>
      <c r="K16" s="11"/>
      <c r="L16" s="11"/>
      <c r="M16" s="11"/>
    </row>
    <row r="17" spans="1:13" x14ac:dyDescent="0.2">
      <c r="A17" s="51"/>
      <c r="B17" s="9">
        <v>43</v>
      </c>
      <c r="C17" s="9" t="s">
        <v>1101</v>
      </c>
      <c r="D17" s="9" t="s">
        <v>24</v>
      </c>
      <c r="E17" s="9" t="s">
        <v>31</v>
      </c>
      <c r="F17" s="9" t="s">
        <v>26</v>
      </c>
      <c r="G17" s="10" t="s">
        <v>27</v>
      </c>
      <c r="H17" s="11"/>
      <c r="I17" s="11"/>
      <c r="J17" s="11"/>
      <c r="K17" s="11"/>
      <c r="L17" s="11"/>
      <c r="M17" s="11"/>
    </row>
    <row r="18" spans="1:13" x14ac:dyDescent="0.2">
      <c r="A18" s="50"/>
      <c r="B18" s="9">
        <v>43</v>
      </c>
      <c r="C18" s="9" t="s">
        <v>1102</v>
      </c>
      <c r="D18" s="9" t="s">
        <v>24</v>
      </c>
      <c r="E18" s="9" t="s">
        <v>31</v>
      </c>
      <c r="F18" s="9" t="s">
        <v>26</v>
      </c>
      <c r="G18" s="10" t="s">
        <v>27</v>
      </c>
      <c r="H18" s="11"/>
      <c r="I18" s="11"/>
      <c r="J18" s="11"/>
      <c r="K18" s="11"/>
      <c r="L18" s="11"/>
      <c r="M18" s="11"/>
    </row>
    <row r="19" spans="1:13" x14ac:dyDescent="0.2">
      <c r="A19" s="51"/>
      <c r="B19" s="9">
        <v>43</v>
      </c>
      <c r="C19" s="9" t="s">
        <v>1103</v>
      </c>
      <c r="D19" s="9" t="s">
        <v>30</v>
      </c>
      <c r="E19" s="9" t="s">
        <v>31</v>
      </c>
      <c r="F19" s="9" t="s">
        <v>26</v>
      </c>
      <c r="G19" s="10" t="s">
        <v>27</v>
      </c>
      <c r="H19" s="11"/>
      <c r="I19" s="11"/>
      <c r="J19" s="11"/>
      <c r="K19" s="11"/>
      <c r="L19" s="11"/>
      <c r="M19" s="11"/>
    </row>
    <row r="20" spans="1:13" x14ac:dyDescent="0.2">
      <c r="A20" s="50"/>
      <c r="B20" s="9">
        <v>43</v>
      </c>
      <c r="C20" s="9" t="s">
        <v>556</v>
      </c>
      <c r="D20" s="9" t="s">
        <v>24</v>
      </c>
      <c r="E20" s="9" t="s">
        <v>31</v>
      </c>
      <c r="F20" s="9" t="s">
        <v>26</v>
      </c>
      <c r="G20" s="10" t="s">
        <v>27</v>
      </c>
      <c r="H20" s="11"/>
      <c r="I20" s="11"/>
      <c r="J20" s="11"/>
      <c r="K20" s="11"/>
      <c r="L20" s="11"/>
      <c r="M20" s="11"/>
    </row>
    <row r="21" spans="1:13" x14ac:dyDescent="0.2">
      <c r="A21" s="51"/>
      <c r="B21" s="9">
        <v>43</v>
      </c>
      <c r="C21" s="9" t="s">
        <v>1099</v>
      </c>
      <c r="D21" s="9" t="s">
        <v>24</v>
      </c>
      <c r="E21" s="9" t="s">
        <v>31</v>
      </c>
      <c r="F21" s="9" t="s">
        <v>26</v>
      </c>
      <c r="G21" s="10" t="s">
        <v>27</v>
      </c>
      <c r="H21" s="11"/>
      <c r="I21" s="11"/>
      <c r="J21" s="11"/>
      <c r="K21" s="11"/>
      <c r="L21" s="11"/>
      <c r="M21" s="11"/>
    </row>
    <row r="22" spans="1:13" x14ac:dyDescent="0.2">
      <c r="A22" s="50"/>
      <c r="B22" s="9">
        <v>43</v>
      </c>
      <c r="C22" s="9" t="s">
        <v>1104</v>
      </c>
      <c r="D22" s="9" t="s">
        <v>24</v>
      </c>
      <c r="E22" s="9" t="s">
        <v>25</v>
      </c>
      <c r="F22" s="9" t="s">
        <v>26</v>
      </c>
      <c r="G22" s="10" t="s">
        <v>27</v>
      </c>
      <c r="H22" s="11"/>
      <c r="I22" s="11"/>
      <c r="J22" s="11"/>
      <c r="K22" s="11"/>
      <c r="L22" s="11"/>
      <c r="M22" s="11"/>
    </row>
    <row r="23" spans="1:13" x14ac:dyDescent="0.2">
      <c r="A23" s="51"/>
      <c r="B23" s="9">
        <v>43</v>
      </c>
      <c r="C23" s="9" t="s">
        <v>1105</v>
      </c>
      <c r="D23" s="9" t="s">
        <v>24</v>
      </c>
      <c r="E23" s="9" t="s">
        <v>31</v>
      </c>
      <c r="F23" s="9" t="s">
        <v>26</v>
      </c>
      <c r="G23" s="10" t="s">
        <v>27</v>
      </c>
      <c r="H23" s="11"/>
      <c r="I23" s="11"/>
      <c r="J23" s="11"/>
      <c r="K23" s="11"/>
      <c r="L23" s="11"/>
      <c r="M23" s="11"/>
    </row>
    <row r="24" spans="1:13" x14ac:dyDescent="0.2">
      <c r="A24" s="50"/>
      <c r="B24" s="9">
        <v>43</v>
      </c>
      <c r="C24" s="9" t="s">
        <v>1106</v>
      </c>
      <c r="D24" s="9" t="s">
        <v>24</v>
      </c>
      <c r="E24" s="9" t="s">
        <v>31</v>
      </c>
      <c r="F24" s="9" t="s">
        <v>26</v>
      </c>
      <c r="G24" s="10" t="s">
        <v>27</v>
      </c>
      <c r="H24" s="11"/>
      <c r="I24" s="11"/>
      <c r="J24" s="11"/>
      <c r="K24" s="11"/>
      <c r="L24" s="11"/>
      <c r="M24" s="11"/>
    </row>
    <row r="25" spans="1:13" x14ac:dyDescent="0.2">
      <c r="A25" s="57"/>
      <c r="B25" s="9">
        <v>43</v>
      </c>
      <c r="C25" s="9" t="s">
        <v>1107</v>
      </c>
      <c r="D25" s="9" t="s">
        <v>24</v>
      </c>
      <c r="E25" s="9" t="s">
        <v>31</v>
      </c>
      <c r="F25" s="9" t="s">
        <v>26</v>
      </c>
      <c r="G25" s="10" t="s">
        <v>27</v>
      </c>
      <c r="H25" s="11"/>
      <c r="I25" s="11"/>
      <c r="J25" s="11"/>
      <c r="K25" s="11"/>
      <c r="L25" s="11"/>
      <c r="M25" s="11"/>
    </row>
    <row r="26" spans="1:13" x14ac:dyDescent="0.2">
      <c r="A26" s="48" t="s">
        <v>33</v>
      </c>
      <c r="B26" s="9">
        <v>43</v>
      </c>
      <c r="C26" s="9" t="s">
        <v>1108</v>
      </c>
      <c r="D26" s="9" t="s">
        <v>24</v>
      </c>
      <c r="E26" s="9" t="s">
        <v>25</v>
      </c>
      <c r="F26" s="9" t="s">
        <v>47</v>
      </c>
      <c r="G26" s="10" t="s">
        <v>27</v>
      </c>
      <c r="H26" s="11"/>
      <c r="I26" s="11"/>
      <c r="J26" s="11"/>
      <c r="K26" s="11"/>
      <c r="L26" s="11"/>
      <c r="M26" s="11"/>
    </row>
    <row r="27" spans="1:13" x14ac:dyDescent="0.2">
      <c r="A27" s="51"/>
      <c r="B27" s="9">
        <v>43</v>
      </c>
      <c r="C27" s="9" t="s">
        <v>1109</v>
      </c>
      <c r="D27" s="9" t="s">
        <v>24</v>
      </c>
      <c r="E27" s="9" t="s">
        <v>25</v>
      </c>
      <c r="F27" s="9" t="s">
        <v>47</v>
      </c>
      <c r="G27" s="10" t="s">
        <v>27</v>
      </c>
      <c r="H27" s="11"/>
      <c r="I27" s="11"/>
      <c r="J27" s="11"/>
      <c r="K27" s="11"/>
      <c r="L27" s="11"/>
      <c r="M27" s="11"/>
    </row>
    <row r="28" spans="1:13" x14ac:dyDescent="0.2">
      <c r="A28" s="50"/>
      <c r="B28" s="9">
        <v>43</v>
      </c>
      <c r="C28" s="9" t="s">
        <v>1110</v>
      </c>
      <c r="D28" s="9" t="s">
        <v>24</v>
      </c>
      <c r="E28" s="9" t="s">
        <v>25</v>
      </c>
      <c r="F28" s="9" t="s">
        <v>47</v>
      </c>
      <c r="G28" s="10" t="s">
        <v>27</v>
      </c>
      <c r="H28" s="11"/>
      <c r="I28" s="11"/>
      <c r="J28" s="11"/>
      <c r="K28" s="11"/>
      <c r="L28" s="11"/>
      <c r="M28" s="11"/>
    </row>
    <row r="29" spans="1:13" x14ac:dyDescent="0.2">
      <c r="A29" s="51"/>
      <c r="B29" s="9">
        <v>43</v>
      </c>
      <c r="C29" s="9" t="s">
        <v>508</v>
      </c>
      <c r="D29" s="9" t="s">
        <v>24</v>
      </c>
      <c r="E29" s="9" t="s">
        <v>25</v>
      </c>
      <c r="F29" s="9" t="s">
        <v>26</v>
      </c>
      <c r="G29" s="10" t="s">
        <v>27</v>
      </c>
      <c r="H29" s="11"/>
      <c r="I29" s="11"/>
      <c r="J29" s="11"/>
      <c r="K29" s="11"/>
      <c r="L29" s="11"/>
      <c r="M29" s="11"/>
    </row>
    <row r="30" spans="1:13" x14ac:dyDescent="0.2">
      <c r="A30" s="50"/>
      <c r="B30" s="9">
        <v>43</v>
      </c>
      <c r="C30" s="9" t="s">
        <v>1111</v>
      </c>
      <c r="D30" s="9" t="s">
        <v>24</v>
      </c>
      <c r="E30" s="9" t="s">
        <v>25</v>
      </c>
      <c r="F30" s="9" t="s">
        <v>26</v>
      </c>
      <c r="G30" s="10" t="s">
        <v>27</v>
      </c>
      <c r="H30" s="11"/>
      <c r="I30" s="11"/>
      <c r="J30" s="11"/>
      <c r="K30" s="11"/>
      <c r="L30" s="11"/>
      <c r="M30" s="11"/>
    </row>
    <row r="31" spans="1:13" x14ac:dyDescent="0.2">
      <c r="A31" s="51"/>
      <c r="B31" s="9">
        <v>43</v>
      </c>
      <c r="C31" s="9" t="s">
        <v>1112</v>
      </c>
      <c r="D31" s="9" t="s">
        <v>24</v>
      </c>
      <c r="E31" s="9" t="s">
        <v>25</v>
      </c>
      <c r="F31" s="9" t="s">
        <v>26</v>
      </c>
      <c r="G31" s="10" t="s">
        <v>27</v>
      </c>
      <c r="H31" s="11"/>
      <c r="I31" s="11"/>
      <c r="J31" s="11"/>
      <c r="K31" s="11"/>
      <c r="L31" s="11"/>
      <c r="M31" s="11"/>
    </row>
    <row r="32" spans="1:13" x14ac:dyDescent="0.2">
      <c r="A32" s="50"/>
      <c r="B32" s="9">
        <v>43</v>
      </c>
      <c r="C32" s="9" t="s">
        <v>1111</v>
      </c>
      <c r="D32" s="9" t="s">
        <v>24</v>
      </c>
      <c r="E32" s="9" t="s">
        <v>25</v>
      </c>
      <c r="F32" s="9" t="s">
        <v>26</v>
      </c>
      <c r="G32" s="10" t="s">
        <v>27</v>
      </c>
      <c r="H32" s="11"/>
      <c r="I32" s="11"/>
      <c r="J32" s="11"/>
      <c r="K32" s="11"/>
      <c r="L32" s="11"/>
      <c r="M32" s="11"/>
    </row>
    <row r="33" spans="1:13" x14ac:dyDescent="0.2">
      <c r="A33" s="53"/>
      <c r="B33" s="9">
        <v>43</v>
      </c>
      <c r="C33" s="9">
        <v>0</v>
      </c>
      <c r="D33" s="9" t="s">
        <v>24</v>
      </c>
      <c r="E33" s="9" t="s">
        <v>31</v>
      </c>
      <c r="F33" s="9" t="s">
        <v>26</v>
      </c>
      <c r="G33" s="10" t="s">
        <v>27</v>
      </c>
      <c r="H33" s="11"/>
      <c r="I33" s="11"/>
      <c r="J33" s="11"/>
      <c r="K33" s="11"/>
      <c r="L33" s="11"/>
      <c r="M33" s="11"/>
    </row>
    <row r="34" spans="1:13" x14ac:dyDescent="0.2">
      <c r="A34" s="48" t="s">
        <v>38</v>
      </c>
      <c r="B34" s="9">
        <v>43</v>
      </c>
      <c r="C34" s="9" t="s">
        <v>1100</v>
      </c>
      <c r="D34" s="9" t="s">
        <v>24</v>
      </c>
      <c r="E34" s="9" t="s">
        <v>31</v>
      </c>
      <c r="F34" s="9" t="s">
        <v>26</v>
      </c>
      <c r="G34" s="10" t="s">
        <v>27</v>
      </c>
      <c r="H34" s="11"/>
      <c r="I34" s="11"/>
      <c r="J34" s="11"/>
      <c r="K34" s="11"/>
      <c r="L34" s="11"/>
      <c r="M34" s="11"/>
    </row>
    <row r="35" spans="1:13" x14ac:dyDescent="0.2">
      <c r="A35" s="52"/>
      <c r="B35" s="9">
        <v>43</v>
      </c>
      <c r="C35" s="9" t="s">
        <v>1101</v>
      </c>
      <c r="D35" s="9" t="s">
        <v>24</v>
      </c>
      <c r="E35" s="9" t="s">
        <v>31</v>
      </c>
      <c r="F35" s="9" t="s">
        <v>26</v>
      </c>
      <c r="G35" s="10" t="s">
        <v>27</v>
      </c>
      <c r="H35" s="11"/>
      <c r="I35" s="11"/>
      <c r="J35" s="11"/>
      <c r="K35" s="11"/>
      <c r="L35" s="11"/>
      <c r="M35" s="11"/>
    </row>
    <row r="36" spans="1:13" x14ac:dyDescent="0.2">
      <c r="A36" s="52"/>
      <c r="B36" s="9">
        <v>43</v>
      </c>
      <c r="C36" s="9" t="s">
        <v>1113</v>
      </c>
      <c r="D36" s="9" t="s">
        <v>24</v>
      </c>
      <c r="E36" s="9" t="s">
        <v>31</v>
      </c>
      <c r="F36" s="9" t="s">
        <v>26</v>
      </c>
      <c r="G36" s="10" t="s">
        <v>27</v>
      </c>
      <c r="H36" s="11"/>
      <c r="I36" s="11"/>
      <c r="J36" s="11"/>
      <c r="K36" s="11"/>
      <c r="L36" s="11"/>
      <c r="M36" s="11"/>
    </row>
    <row r="37" spans="1:13" ht="12.75" x14ac:dyDescent="0.2">
      <c r="A37" s="52"/>
      <c r="B37" s="9">
        <v>43</v>
      </c>
      <c r="C37" s="9" t="s">
        <v>1114</v>
      </c>
      <c r="D37" s="9" t="s">
        <v>24</v>
      </c>
      <c r="E37" s="9" t="s">
        <v>31</v>
      </c>
      <c r="F37" s="9" t="s">
        <v>26</v>
      </c>
      <c r="G37" s="10" t="s">
        <v>27</v>
      </c>
      <c r="H37" s="11"/>
      <c r="I37" s="11"/>
      <c r="J37" s="11"/>
      <c r="K37" s="11"/>
      <c r="L37" s="11"/>
      <c r="M37" s="11"/>
    </row>
    <row r="38" spans="1:13" ht="12.75" x14ac:dyDescent="0.2">
      <c r="A38" s="52"/>
      <c r="B38" s="9">
        <v>43</v>
      </c>
      <c r="C38" s="9" t="s">
        <v>1103</v>
      </c>
      <c r="D38" s="9" t="s">
        <v>24</v>
      </c>
      <c r="E38" s="9" t="s">
        <v>31</v>
      </c>
      <c r="F38" s="9" t="s">
        <v>26</v>
      </c>
      <c r="G38" s="10" t="s">
        <v>27</v>
      </c>
      <c r="H38" s="11"/>
      <c r="I38" s="11"/>
      <c r="J38" s="11"/>
      <c r="K38" s="11"/>
      <c r="L38" s="11"/>
      <c r="M38" s="11"/>
    </row>
    <row r="39" spans="1:13" ht="12.75" x14ac:dyDescent="0.2">
      <c r="A39" s="52"/>
      <c r="B39" s="9">
        <v>43</v>
      </c>
      <c r="C39" s="9" t="s">
        <v>1099</v>
      </c>
      <c r="D39" s="9" t="s">
        <v>24</v>
      </c>
      <c r="E39" s="9" t="s">
        <v>31</v>
      </c>
      <c r="F39" s="9" t="s">
        <v>26</v>
      </c>
      <c r="G39" s="10" t="s">
        <v>27</v>
      </c>
      <c r="H39" s="11"/>
      <c r="I39" s="11"/>
      <c r="J39" s="11"/>
      <c r="K39" s="11"/>
      <c r="L39" s="11"/>
      <c r="M39" s="11"/>
    </row>
    <row r="40" spans="1:13" ht="12.75" x14ac:dyDescent="0.2">
      <c r="A40" s="53"/>
      <c r="B40" s="9">
        <v>43</v>
      </c>
      <c r="C40" s="9" t="s">
        <v>556</v>
      </c>
      <c r="D40" s="9" t="s">
        <v>24</v>
      </c>
      <c r="E40" s="9" t="s">
        <v>31</v>
      </c>
      <c r="F40" s="9" t="s">
        <v>26</v>
      </c>
      <c r="G40" s="10" t="s">
        <v>27</v>
      </c>
      <c r="H40" s="11"/>
      <c r="I40" s="11"/>
      <c r="J40" s="11"/>
      <c r="K40" s="11"/>
      <c r="L40" s="11"/>
      <c r="M40" s="11"/>
    </row>
    <row r="41" spans="1:13" ht="12.75" x14ac:dyDescent="0.2">
      <c r="A41" s="48" t="s">
        <v>46</v>
      </c>
      <c r="B41" s="9">
        <v>43</v>
      </c>
      <c r="C41" s="9" t="s">
        <v>1100</v>
      </c>
      <c r="D41" s="9" t="s">
        <v>24</v>
      </c>
      <c r="E41" s="9" t="s">
        <v>31</v>
      </c>
      <c r="F41" s="9" t="s">
        <v>87</v>
      </c>
      <c r="G41" s="10" t="s">
        <v>27</v>
      </c>
      <c r="H41" s="11"/>
      <c r="I41" s="11"/>
      <c r="J41" s="11"/>
      <c r="K41" s="11"/>
      <c r="L41" s="11"/>
      <c r="M41" s="11"/>
    </row>
    <row r="42" spans="1:13" ht="12.75" x14ac:dyDescent="0.2">
      <c r="A42" s="52"/>
      <c r="B42" s="9">
        <v>43</v>
      </c>
      <c r="C42" s="9" t="s">
        <v>1101</v>
      </c>
      <c r="D42" s="9" t="s">
        <v>24</v>
      </c>
      <c r="E42" s="9" t="s">
        <v>31</v>
      </c>
      <c r="F42" s="9" t="s">
        <v>87</v>
      </c>
      <c r="G42" s="10" t="s">
        <v>27</v>
      </c>
      <c r="H42" s="11"/>
      <c r="I42" s="11"/>
      <c r="J42" s="11"/>
      <c r="K42" s="11"/>
      <c r="L42" s="11"/>
      <c r="M42" s="11"/>
    </row>
    <row r="43" spans="1:13" ht="12.75" x14ac:dyDescent="0.2">
      <c r="A43" s="52"/>
      <c r="B43" s="9">
        <v>43</v>
      </c>
      <c r="C43" s="9" t="s">
        <v>1115</v>
      </c>
      <c r="D43" s="9" t="s">
        <v>24</v>
      </c>
      <c r="E43" s="9" t="s">
        <v>31</v>
      </c>
      <c r="F43" s="9" t="s">
        <v>87</v>
      </c>
      <c r="G43" s="10" t="s">
        <v>27</v>
      </c>
      <c r="H43" s="11"/>
      <c r="I43" s="11"/>
      <c r="J43" s="11"/>
      <c r="K43" s="11"/>
      <c r="L43" s="11"/>
      <c r="M43" s="11"/>
    </row>
    <row r="44" spans="1:13" ht="12.75" x14ac:dyDescent="0.2">
      <c r="A44" s="52"/>
      <c r="B44" s="9">
        <v>43</v>
      </c>
      <c r="C44" s="9" t="s">
        <v>1116</v>
      </c>
      <c r="D44" s="9" t="s">
        <v>24</v>
      </c>
      <c r="E44" s="9" t="s">
        <v>31</v>
      </c>
      <c r="F44" s="9" t="s">
        <v>47</v>
      </c>
      <c r="G44" s="10" t="s">
        <v>27</v>
      </c>
      <c r="H44" s="11"/>
      <c r="I44" s="11"/>
      <c r="J44" s="11"/>
      <c r="K44" s="11"/>
      <c r="L44" s="11"/>
      <c r="M44" s="11"/>
    </row>
    <row r="45" spans="1:13" ht="12.75" x14ac:dyDescent="0.2">
      <c r="A45" s="52"/>
      <c r="B45" s="9">
        <v>43</v>
      </c>
      <c r="C45" s="9" t="s">
        <v>1103</v>
      </c>
      <c r="D45" s="9" t="s">
        <v>24</v>
      </c>
      <c r="E45" s="9" t="s">
        <v>31</v>
      </c>
      <c r="F45" s="9" t="s">
        <v>87</v>
      </c>
      <c r="G45" s="10" t="s">
        <v>27</v>
      </c>
      <c r="H45" s="11"/>
      <c r="I45" s="11"/>
      <c r="J45" s="11"/>
      <c r="K45" s="11"/>
      <c r="L45" s="11"/>
      <c r="M45" s="11"/>
    </row>
    <row r="46" spans="1:13" ht="12.75" x14ac:dyDescent="0.2">
      <c r="A46" s="52"/>
      <c r="B46" s="9">
        <v>43</v>
      </c>
      <c r="C46" s="9" t="s">
        <v>1099</v>
      </c>
      <c r="D46" s="9" t="s">
        <v>24</v>
      </c>
      <c r="E46" s="9" t="s">
        <v>31</v>
      </c>
      <c r="F46" s="9" t="s">
        <v>87</v>
      </c>
      <c r="G46" s="10" t="s">
        <v>27</v>
      </c>
      <c r="H46" s="11"/>
      <c r="I46" s="11"/>
      <c r="J46" s="11"/>
      <c r="K46" s="11"/>
      <c r="L46" s="11"/>
      <c r="M46" s="11"/>
    </row>
    <row r="47" spans="1:13" ht="12.75" x14ac:dyDescent="0.2">
      <c r="A47" s="52"/>
      <c r="B47" s="9">
        <v>43</v>
      </c>
      <c r="C47" s="9" t="s">
        <v>556</v>
      </c>
      <c r="D47" s="9" t="s">
        <v>24</v>
      </c>
      <c r="E47" s="9" t="s">
        <v>31</v>
      </c>
      <c r="F47" s="9" t="s">
        <v>87</v>
      </c>
      <c r="G47" s="10" t="s">
        <v>27</v>
      </c>
      <c r="H47" s="11"/>
      <c r="I47" s="11"/>
      <c r="J47" s="11"/>
      <c r="K47" s="11"/>
      <c r="L47" s="11"/>
      <c r="M47" s="11"/>
    </row>
    <row r="48" spans="1:13" ht="12.75" x14ac:dyDescent="0.2">
      <c r="A48" s="52"/>
      <c r="B48" s="9">
        <v>43</v>
      </c>
      <c r="C48" s="9" t="s">
        <v>1117</v>
      </c>
      <c r="D48" s="9" t="s">
        <v>24</v>
      </c>
      <c r="E48" s="9" t="s">
        <v>31</v>
      </c>
      <c r="F48" s="9" t="s">
        <v>87</v>
      </c>
      <c r="G48" s="10" t="s">
        <v>27</v>
      </c>
      <c r="H48" s="11"/>
      <c r="I48" s="11"/>
      <c r="J48" s="11"/>
      <c r="K48" s="11"/>
      <c r="L48" s="11"/>
      <c r="M48" s="11"/>
    </row>
    <row r="49" spans="1:13" ht="12.75" x14ac:dyDescent="0.2">
      <c r="A49" s="52"/>
      <c r="B49" s="9">
        <v>43</v>
      </c>
      <c r="C49" s="9" t="s">
        <v>1118</v>
      </c>
      <c r="D49" s="9" t="s">
        <v>24</v>
      </c>
      <c r="E49" s="9" t="s">
        <v>31</v>
      </c>
      <c r="F49" s="9" t="s">
        <v>87</v>
      </c>
      <c r="G49" s="10" t="s">
        <v>27</v>
      </c>
      <c r="H49" s="11"/>
      <c r="I49" s="11"/>
      <c r="J49" s="11"/>
      <c r="K49" s="11"/>
      <c r="L49" s="11"/>
      <c r="M49" s="11"/>
    </row>
    <row r="50" spans="1:13" ht="12.75" x14ac:dyDescent="0.2">
      <c r="A50" s="52"/>
      <c r="B50" s="9">
        <v>43</v>
      </c>
      <c r="C50" s="9" t="s">
        <v>1119</v>
      </c>
      <c r="D50" s="9" t="s">
        <v>24</v>
      </c>
      <c r="E50" s="9" t="s">
        <v>31</v>
      </c>
      <c r="F50" s="9" t="s">
        <v>26</v>
      </c>
      <c r="G50" s="10" t="s">
        <v>27</v>
      </c>
      <c r="H50" s="11"/>
      <c r="I50" s="11"/>
      <c r="J50" s="11"/>
      <c r="K50" s="11"/>
      <c r="L50" s="11"/>
      <c r="M50" s="11"/>
    </row>
    <row r="51" spans="1:13" ht="12.75" x14ac:dyDescent="0.2">
      <c r="A51" s="52"/>
      <c r="B51" s="9">
        <v>43</v>
      </c>
      <c r="C51" s="9" t="s">
        <v>548</v>
      </c>
      <c r="D51" s="9" t="s">
        <v>24</v>
      </c>
      <c r="E51" s="9" t="s">
        <v>31</v>
      </c>
      <c r="F51" s="9" t="s">
        <v>26</v>
      </c>
      <c r="G51" s="10" t="s">
        <v>27</v>
      </c>
      <c r="H51" s="11"/>
      <c r="I51" s="11"/>
      <c r="J51" s="11"/>
      <c r="K51" s="11"/>
      <c r="L51" s="11"/>
      <c r="M51" s="11"/>
    </row>
    <row r="52" spans="1:13" ht="12.75" x14ac:dyDescent="0.2">
      <c r="A52" s="52"/>
      <c r="B52" s="9">
        <v>43</v>
      </c>
      <c r="C52" s="9" t="s">
        <v>1094</v>
      </c>
      <c r="D52" s="9" t="s">
        <v>24</v>
      </c>
      <c r="E52" s="9" t="s">
        <v>31</v>
      </c>
      <c r="F52" s="9" t="s">
        <v>26</v>
      </c>
      <c r="G52" s="10" t="s">
        <v>27</v>
      </c>
      <c r="H52" s="11"/>
      <c r="I52" s="11"/>
      <c r="J52" s="11"/>
      <c r="K52" s="11"/>
      <c r="L52" s="11"/>
      <c r="M52" s="11"/>
    </row>
    <row r="53" spans="1:13" ht="12.75" x14ac:dyDescent="0.2">
      <c r="A53" s="52"/>
      <c r="B53" s="9">
        <v>43</v>
      </c>
      <c r="C53" s="9" t="s">
        <v>1120</v>
      </c>
      <c r="D53" s="9" t="s">
        <v>24</v>
      </c>
      <c r="E53" s="9" t="s">
        <v>31</v>
      </c>
      <c r="F53" s="9" t="s">
        <v>26</v>
      </c>
      <c r="G53" s="10" t="s">
        <v>27</v>
      </c>
      <c r="H53" s="11"/>
      <c r="I53" s="11"/>
      <c r="J53" s="11"/>
      <c r="K53" s="11"/>
      <c r="L53" s="11"/>
      <c r="M53" s="11"/>
    </row>
    <row r="54" spans="1:13" ht="12.75" x14ac:dyDescent="0.2">
      <c r="A54" s="52"/>
      <c r="B54" s="9">
        <v>43</v>
      </c>
      <c r="C54" s="9" t="s">
        <v>94</v>
      </c>
      <c r="D54" s="9" t="s">
        <v>24</v>
      </c>
      <c r="E54" s="9" t="s">
        <v>31</v>
      </c>
      <c r="F54" s="9" t="s">
        <v>26</v>
      </c>
      <c r="G54" s="10" t="s">
        <v>27</v>
      </c>
      <c r="H54" s="11"/>
      <c r="I54" s="11"/>
      <c r="J54" s="11"/>
      <c r="K54" s="11"/>
      <c r="L54" s="11"/>
      <c r="M54" s="11"/>
    </row>
    <row r="55" spans="1:13" ht="12.75" x14ac:dyDescent="0.2">
      <c r="A55" s="52"/>
      <c r="B55" s="9">
        <v>43</v>
      </c>
      <c r="C55" s="9" t="s">
        <v>1121</v>
      </c>
      <c r="D55" s="9" t="s">
        <v>24</v>
      </c>
      <c r="E55" s="9" t="s">
        <v>31</v>
      </c>
      <c r="F55" s="9" t="s">
        <v>26</v>
      </c>
      <c r="G55" s="10" t="s">
        <v>27</v>
      </c>
      <c r="H55" s="11"/>
      <c r="I55" s="11"/>
      <c r="J55" s="11"/>
      <c r="K55" s="11"/>
      <c r="L55" s="11"/>
      <c r="M55" s="11"/>
    </row>
    <row r="56" spans="1:13" ht="12.75" x14ac:dyDescent="0.2">
      <c r="A56" s="52"/>
      <c r="B56" s="9">
        <v>43</v>
      </c>
      <c r="C56" s="9" t="s">
        <v>1122</v>
      </c>
      <c r="D56" s="9" t="s">
        <v>24</v>
      </c>
      <c r="E56" s="9" t="s">
        <v>31</v>
      </c>
      <c r="F56" s="9" t="s">
        <v>26</v>
      </c>
      <c r="G56" s="10" t="s">
        <v>27</v>
      </c>
      <c r="H56" s="11"/>
      <c r="I56" s="11"/>
      <c r="J56" s="11"/>
      <c r="K56" s="11"/>
      <c r="L56" s="11"/>
      <c r="M56" s="11"/>
    </row>
    <row r="57" spans="1:13" ht="12.75" x14ac:dyDescent="0.2">
      <c r="A57" s="52"/>
      <c r="B57" s="9">
        <v>43</v>
      </c>
      <c r="C57" s="9" t="s">
        <v>1123</v>
      </c>
      <c r="D57" s="9" t="s">
        <v>24</v>
      </c>
      <c r="E57" s="9" t="s">
        <v>31</v>
      </c>
      <c r="F57" s="9" t="s">
        <v>26</v>
      </c>
      <c r="G57" s="10" t="s">
        <v>27</v>
      </c>
      <c r="H57" s="11"/>
      <c r="I57" s="11"/>
      <c r="J57" s="11"/>
      <c r="K57" s="11"/>
      <c r="L57" s="11"/>
      <c r="M57" s="11"/>
    </row>
    <row r="58" spans="1:13" ht="12.75" x14ac:dyDescent="0.2">
      <c r="A58" s="53"/>
      <c r="B58" s="9">
        <v>43</v>
      </c>
      <c r="C58" s="9" t="s">
        <v>1124</v>
      </c>
      <c r="D58" s="9" t="s">
        <v>24</v>
      </c>
      <c r="E58" s="9" t="s">
        <v>31</v>
      </c>
      <c r="F58" s="9" t="s">
        <v>47</v>
      </c>
      <c r="G58" s="10" t="s">
        <v>27</v>
      </c>
      <c r="H58" s="11"/>
      <c r="I58" s="11"/>
      <c r="J58" s="11"/>
      <c r="K58" s="11"/>
      <c r="L58" s="11"/>
      <c r="M58" s="11"/>
    </row>
    <row r="59" spans="1:13" ht="12.75" x14ac:dyDescent="0.2">
      <c r="A59" s="48" t="s">
        <v>49</v>
      </c>
      <c r="B59" s="12">
        <v>43</v>
      </c>
      <c r="C59" s="12" t="s">
        <v>1125</v>
      </c>
      <c r="D59" s="12" t="s">
        <v>24</v>
      </c>
      <c r="E59" s="12" t="s">
        <v>25</v>
      </c>
      <c r="F59" s="12" t="s">
        <v>26</v>
      </c>
      <c r="G59" s="10" t="s">
        <v>27</v>
      </c>
      <c r="H59" s="11"/>
      <c r="I59" s="11"/>
      <c r="J59" s="11"/>
      <c r="K59" s="11"/>
      <c r="L59" s="11"/>
      <c r="M59" s="11"/>
    </row>
    <row r="60" spans="1:13" ht="12.75" x14ac:dyDescent="0.2">
      <c r="A60" s="52"/>
      <c r="B60" s="12">
        <v>43</v>
      </c>
      <c r="C60" s="12" t="s">
        <v>1101</v>
      </c>
      <c r="D60" s="12" t="s">
        <v>24</v>
      </c>
      <c r="E60" s="12" t="s">
        <v>25</v>
      </c>
      <c r="F60" s="12" t="s">
        <v>26</v>
      </c>
      <c r="G60" s="10" t="s">
        <v>27</v>
      </c>
      <c r="H60" s="11"/>
      <c r="I60" s="11"/>
      <c r="J60" s="11"/>
      <c r="K60" s="11"/>
      <c r="L60" s="11"/>
      <c r="M60" s="11"/>
    </row>
    <row r="61" spans="1:13" ht="12.75" x14ac:dyDescent="0.2">
      <c r="A61" s="52"/>
      <c r="B61" s="12">
        <v>43</v>
      </c>
      <c r="C61" s="12" t="s">
        <v>1115</v>
      </c>
      <c r="D61" s="12" t="s">
        <v>24</v>
      </c>
      <c r="E61" s="12" t="s">
        <v>25</v>
      </c>
      <c r="F61" s="12" t="s">
        <v>26</v>
      </c>
      <c r="G61" s="10" t="s">
        <v>27</v>
      </c>
      <c r="H61" s="11"/>
      <c r="I61" s="11"/>
      <c r="J61" s="11"/>
      <c r="K61" s="11"/>
      <c r="L61" s="11"/>
      <c r="M61" s="11"/>
    </row>
    <row r="62" spans="1:13" ht="12.75" x14ac:dyDescent="0.2">
      <c r="A62" s="52"/>
      <c r="B62" s="12">
        <v>43</v>
      </c>
      <c r="C62" s="12" t="s">
        <v>1126</v>
      </c>
      <c r="D62" s="12" t="s">
        <v>24</v>
      </c>
      <c r="E62" s="12" t="s">
        <v>25</v>
      </c>
      <c r="F62" s="12" t="s">
        <v>26</v>
      </c>
      <c r="G62" s="10" t="s">
        <v>27</v>
      </c>
      <c r="H62" s="11"/>
      <c r="I62" s="11"/>
      <c r="J62" s="11"/>
      <c r="K62" s="11"/>
      <c r="L62" s="11"/>
      <c r="M62" s="11"/>
    </row>
    <row r="63" spans="1:13" ht="12.75" x14ac:dyDescent="0.2">
      <c r="A63" s="52"/>
      <c r="B63" s="12">
        <v>43</v>
      </c>
      <c r="C63" s="12" t="s">
        <v>1127</v>
      </c>
      <c r="D63" s="12" t="s">
        <v>24</v>
      </c>
      <c r="E63" s="12" t="s">
        <v>25</v>
      </c>
      <c r="F63" s="12" t="s">
        <v>26</v>
      </c>
      <c r="G63" s="10" t="s">
        <v>27</v>
      </c>
      <c r="H63" s="11"/>
      <c r="I63" s="11"/>
      <c r="J63" s="11"/>
      <c r="K63" s="11"/>
      <c r="L63" s="11"/>
      <c r="M63" s="11"/>
    </row>
    <row r="64" spans="1:13" ht="12.75" x14ac:dyDescent="0.2">
      <c r="A64" s="52"/>
      <c r="B64" s="12">
        <v>43</v>
      </c>
      <c r="C64" s="12" t="s">
        <v>556</v>
      </c>
      <c r="D64" s="12" t="s">
        <v>24</v>
      </c>
      <c r="E64" s="12" t="s">
        <v>25</v>
      </c>
      <c r="F64" s="12" t="s">
        <v>26</v>
      </c>
      <c r="G64" s="10" t="s">
        <v>27</v>
      </c>
      <c r="H64" s="11"/>
      <c r="I64" s="11"/>
      <c r="J64" s="11"/>
      <c r="K64" s="11"/>
      <c r="L64" s="11"/>
      <c r="M64" s="11"/>
    </row>
    <row r="65" spans="1:13" ht="12.75" x14ac:dyDescent="0.2">
      <c r="A65" s="53"/>
      <c r="B65" s="12">
        <v>43</v>
      </c>
      <c r="C65" s="12" t="s">
        <v>1102</v>
      </c>
      <c r="D65" s="12" t="s">
        <v>24</v>
      </c>
      <c r="E65" s="12" t="s">
        <v>25</v>
      </c>
      <c r="F65" s="12" t="s">
        <v>26</v>
      </c>
      <c r="G65" s="10" t="s">
        <v>27</v>
      </c>
      <c r="H65" s="11"/>
      <c r="I65" s="11"/>
      <c r="J65" s="11"/>
      <c r="K65" s="11"/>
      <c r="L65" s="11"/>
      <c r="M65" s="11"/>
    </row>
    <row r="66" spans="1:13" ht="12.75" x14ac:dyDescent="0.2">
      <c r="A66" s="48" t="s">
        <v>52</v>
      </c>
      <c r="B66" s="9">
        <v>43</v>
      </c>
      <c r="C66" s="9" t="s">
        <v>1100</v>
      </c>
      <c r="D66" s="9" t="s">
        <v>24</v>
      </c>
      <c r="E66" s="9" t="s">
        <v>31</v>
      </c>
      <c r="F66" s="9" t="s">
        <v>47</v>
      </c>
      <c r="G66" s="10" t="s">
        <v>27</v>
      </c>
      <c r="H66" s="11"/>
      <c r="I66" s="11"/>
      <c r="J66" s="11"/>
      <c r="K66" s="11"/>
      <c r="L66" s="11"/>
      <c r="M66" s="11"/>
    </row>
    <row r="67" spans="1:13" ht="12.75" x14ac:dyDescent="0.2">
      <c r="A67" s="52"/>
      <c r="B67" s="9">
        <v>43</v>
      </c>
      <c r="C67" s="9" t="s">
        <v>1128</v>
      </c>
      <c r="D67" s="9" t="s">
        <v>24</v>
      </c>
      <c r="E67" s="9" t="s">
        <v>31</v>
      </c>
      <c r="F67" s="9" t="s">
        <v>47</v>
      </c>
      <c r="G67" s="10" t="s">
        <v>27</v>
      </c>
      <c r="H67" s="11"/>
      <c r="I67" s="11"/>
      <c r="J67" s="11"/>
      <c r="K67" s="11"/>
      <c r="L67" s="11"/>
      <c r="M67" s="11"/>
    </row>
    <row r="68" spans="1:13" ht="12.75" x14ac:dyDescent="0.2">
      <c r="A68" s="52"/>
      <c r="B68" s="9">
        <v>43</v>
      </c>
      <c r="C68" s="9" t="s">
        <v>1102</v>
      </c>
      <c r="D68" s="9" t="s">
        <v>24</v>
      </c>
      <c r="E68" s="9" t="s">
        <v>31</v>
      </c>
      <c r="F68" s="9" t="s">
        <v>47</v>
      </c>
      <c r="G68" s="10" t="s">
        <v>27</v>
      </c>
      <c r="H68" s="11"/>
      <c r="I68" s="11"/>
      <c r="J68" s="11"/>
      <c r="K68" s="11"/>
      <c r="L68" s="11"/>
      <c r="M68" s="11"/>
    </row>
    <row r="69" spans="1:13" ht="12.75" x14ac:dyDescent="0.2">
      <c r="A69" s="53"/>
      <c r="B69" s="9">
        <v>43</v>
      </c>
      <c r="C69" s="9" t="s">
        <v>556</v>
      </c>
      <c r="D69" s="9" t="s">
        <v>24</v>
      </c>
      <c r="E69" s="9" t="s">
        <v>31</v>
      </c>
      <c r="F69" s="9" t="s">
        <v>47</v>
      </c>
      <c r="G69" s="10" t="s">
        <v>27</v>
      </c>
      <c r="H69" s="11"/>
      <c r="I69" s="11"/>
      <c r="J69" s="11"/>
      <c r="K69" s="11"/>
      <c r="L69" s="11"/>
      <c r="M69" s="11"/>
    </row>
    <row r="70" spans="1:13" ht="12.75" x14ac:dyDescent="0.2">
      <c r="A70" s="48" t="s">
        <v>59</v>
      </c>
      <c r="B70" s="9">
        <v>43</v>
      </c>
      <c r="C70" s="9" t="s">
        <v>1100</v>
      </c>
      <c r="D70" s="9" t="s">
        <v>24</v>
      </c>
      <c r="E70" s="9" t="s">
        <v>31</v>
      </c>
      <c r="F70" s="9" t="s">
        <v>47</v>
      </c>
      <c r="G70" s="10" t="s">
        <v>27</v>
      </c>
      <c r="H70" s="11"/>
      <c r="I70" s="11"/>
      <c r="J70" s="11"/>
      <c r="K70" s="11"/>
      <c r="L70" s="11"/>
      <c r="M70" s="11"/>
    </row>
    <row r="71" spans="1:13" ht="12.75" x14ac:dyDescent="0.2">
      <c r="A71" s="52"/>
      <c r="B71" s="9">
        <v>43</v>
      </c>
      <c r="C71" s="9" t="s">
        <v>1115</v>
      </c>
      <c r="D71" s="9" t="s">
        <v>24</v>
      </c>
      <c r="E71" s="9" t="s">
        <v>31</v>
      </c>
      <c r="F71" s="9" t="s">
        <v>87</v>
      </c>
      <c r="G71" s="10" t="s">
        <v>27</v>
      </c>
      <c r="H71" s="13"/>
    </row>
    <row r="72" spans="1:13" ht="12.75" x14ac:dyDescent="0.2">
      <c r="A72" s="52"/>
      <c r="B72" s="9">
        <v>43</v>
      </c>
      <c r="C72" s="9" t="s">
        <v>1129</v>
      </c>
      <c r="D72" s="9" t="s">
        <v>24</v>
      </c>
      <c r="E72" s="9" t="s">
        <v>31</v>
      </c>
      <c r="F72" s="9" t="s">
        <v>47</v>
      </c>
      <c r="G72" s="10" t="s">
        <v>27</v>
      </c>
      <c r="H72" s="13"/>
    </row>
    <row r="73" spans="1:13" ht="12.75" x14ac:dyDescent="0.2">
      <c r="A73" s="52"/>
      <c r="B73" s="9">
        <v>43</v>
      </c>
      <c r="C73" s="9" t="s">
        <v>1130</v>
      </c>
      <c r="D73" s="9" t="s">
        <v>24</v>
      </c>
      <c r="E73" s="9" t="s">
        <v>31</v>
      </c>
      <c r="F73" s="9" t="s">
        <v>47</v>
      </c>
      <c r="G73" s="10" t="s">
        <v>27</v>
      </c>
      <c r="H73" s="13"/>
    </row>
    <row r="74" spans="1:13" ht="12.75" x14ac:dyDescent="0.2">
      <c r="A74" s="53"/>
      <c r="B74" s="9">
        <v>43</v>
      </c>
      <c r="C74" s="9" t="s">
        <v>1071</v>
      </c>
      <c r="D74" s="9" t="s">
        <v>24</v>
      </c>
      <c r="E74" s="9" t="s">
        <v>31</v>
      </c>
      <c r="F74" s="9" t="s">
        <v>47</v>
      </c>
      <c r="G74" s="10" t="s">
        <v>27</v>
      </c>
      <c r="H74" s="13"/>
    </row>
    <row r="75" spans="1:13" ht="12.75" x14ac:dyDescent="0.2">
      <c r="A75" s="48" t="s">
        <v>101</v>
      </c>
      <c r="B75" s="9">
        <v>43</v>
      </c>
      <c r="C75" s="12" t="s">
        <v>1126</v>
      </c>
      <c r="D75" s="12" t="s">
        <v>24</v>
      </c>
      <c r="E75" s="12" t="s">
        <v>25</v>
      </c>
      <c r="F75" s="12" t="s">
        <v>26</v>
      </c>
      <c r="G75" s="10" t="s">
        <v>27</v>
      </c>
      <c r="H75" s="13"/>
    </row>
    <row r="76" spans="1:13" ht="12.75" x14ac:dyDescent="0.2">
      <c r="A76" s="52"/>
      <c r="B76" s="9">
        <v>43</v>
      </c>
      <c r="C76" s="12" t="s">
        <v>1115</v>
      </c>
      <c r="D76" s="12" t="s">
        <v>24</v>
      </c>
      <c r="E76" s="12" t="s">
        <v>25</v>
      </c>
      <c r="F76" s="12" t="s">
        <v>26</v>
      </c>
      <c r="G76" s="10" t="s">
        <v>27</v>
      </c>
      <c r="H76" s="13"/>
    </row>
    <row r="77" spans="1:13" ht="12.75" x14ac:dyDescent="0.2">
      <c r="A77" s="53"/>
      <c r="B77" s="9">
        <v>43</v>
      </c>
      <c r="C77" s="9" t="s">
        <v>1131</v>
      </c>
      <c r="D77" s="12" t="s">
        <v>24</v>
      </c>
      <c r="E77" s="12" t="s">
        <v>25</v>
      </c>
      <c r="F77" s="12" t="s">
        <v>26</v>
      </c>
      <c r="G77" s="10" t="s">
        <v>27</v>
      </c>
      <c r="H77" s="13"/>
    </row>
    <row r="78" spans="1:13" ht="12.75" x14ac:dyDescent="0.2">
      <c r="A78" s="48" t="s">
        <v>62</v>
      </c>
      <c r="B78" s="9">
        <v>43</v>
      </c>
      <c r="C78" s="9" t="s">
        <v>557</v>
      </c>
      <c r="D78" s="9" t="s">
        <v>24</v>
      </c>
      <c r="E78" s="9" t="s">
        <v>31</v>
      </c>
      <c r="F78" s="9" t="s">
        <v>26</v>
      </c>
      <c r="G78" s="10" t="s">
        <v>27</v>
      </c>
      <c r="H78" s="13"/>
    </row>
    <row r="79" spans="1:13" ht="12.75" x14ac:dyDescent="0.2">
      <c r="A79" s="52"/>
      <c r="B79" s="9">
        <v>43</v>
      </c>
      <c r="C79" s="9" t="s">
        <v>1103</v>
      </c>
      <c r="D79" s="9" t="s">
        <v>30</v>
      </c>
      <c r="E79" s="9" t="s">
        <v>31</v>
      </c>
      <c r="F79" s="9" t="s">
        <v>26</v>
      </c>
      <c r="G79" s="10" t="s">
        <v>27</v>
      </c>
      <c r="H79" s="13"/>
    </row>
    <row r="80" spans="1:13" ht="12.75" x14ac:dyDescent="0.2">
      <c r="A80" s="52"/>
      <c r="B80" s="9">
        <v>43</v>
      </c>
      <c r="C80" s="9" t="s">
        <v>1099</v>
      </c>
      <c r="D80" s="9" t="s">
        <v>24</v>
      </c>
      <c r="E80" s="9" t="s">
        <v>31</v>
      </c>
      <c r="F80" s="9" t="s">
        <v>26</v>
      </c>
      <c r="G80" s="10" t="s">
        <v>27</v>
      </c>
      <c r="H80" s="13"/>
    </row>
    <row r="81" spans="1:8" ht="12.75" x14ac:dyDescent="0.2">
      <c r="A81" s="52"/>
      <c r="B81" s="9">
        <v>43</v>
      </c>
      <c r="C81" s="9" t="s">
        <v>1118</v>
      </c>
      <c r="D81" s="9" t="s">
        <v>24</v>
      </c>
      <c r="E81" s="9" t="s">
        <v>31</v>
      </c>
      <c r="F81" s="9" t="s">
        <v>26</v>
      </c>
      <c r="G81" s="10" t="s">
        <v>27</v>
      </c>
      <c r="H81" s="13"/>
    </row>
    <row r="82" spans="1:8" ht="12.75" x14ac:dyDescent="0.2">
      <c r="A82" s="53"/>
      <c r="B82" s="9">
        <v>43</v>
      </c>
      <c r="C82" s="9" t="s">
        <v>548</v>
      </c>
      <c r="D82" s="9" t="s">
        <v>24</v>
      </c>
      <c r="E82" s="9" t="s">
        <v>31</v>
      </c>
      <c r="F82" s="9" t="s">
        <v>26</v>
      </c>
      <c r="G82" s="10" t="s">
        <v>27</v>
      </c>
      <c r="H82" s="13"/>
    </row>
    <row r="83" spans="1:8" ht="12.75" x14ac:dyDescent="0.2">
      <c r="A83" s="48" t="s">
        <v>70</v>
      </c>
      <c r="B83" s="9">
        <v>43</v>
      </c>
      <c r="C83" s="9" t="s">
        <v>1100</v>
      </c>
      <c r="D83" s="9" t="s">
        <v>24</v>
      </c>
      <c r="E83" s="9" t="s">
        <v>31</v>
      </c>
      <c r="F83" s="9" t="s">
        <v>47</v>
      </c>
      <c r="G83" s="10" t="s">
        <v>27</v>
      </c>
      <c r="H83" s="13"/>
    </row>
    <row r="84" spans="1:8" ht="12.75" x14ac:dyDescent="0.2">
      <c r="A84" s="52"/>
      <c r="B84" s="9">
        <v>43</v>
      </c>
      <c r="C84" s="9" t="s">
        <v>1132</v>
      </c>
      <c r="D84" s="9" t="s">
        <v>24</v>
      </c>
      <c r="E84" s="9" t="s">
        <v>31</v>
      </c>
      <c r="F84" s="9" t="s">
        <v>47</v>
      </c>
      <c r="G84" s="10" t="s">
        <v>27</v>
      </c>
      <c r="H84" s="13"/>
    </row>
    <row r="85" spans="1:8" ht="12.75" x14ac:dyDescent="0.2">
      <c r="A85" s="52"/>
      <c r="B85" s="9">
        <v>43</v>
      </c>
      <c r="C85" s="9" t="s">
        <v>1128</v>
      </c>
      <c r="D85" s="9" t="s">
        <v>24</v>
      </c>
      <c r="E85" s="9" t="s">
        <v>31</v>
      </c>
      <c r="F85" s="9" t="s">
        <v>47</v>
      </c>
      <c r="G85" s="10" t="s">
        <v>27</v>
      </c>
      <c r="H85" s="13"/>
    </row>
    <row r="86" spans="1:8" ht="12.75" x14ac:dyDescent="0.2">
      <c r="A86" s="53"/>
      <c r="B86" s="9">
        <v>43</v>
      </c>
      <c r="C86" s="9" t="s">
        <v>1071</v>
      </c>
      <c r="D86" s="9" t="s">
        <v>24</v>
      </c>
      <c r="E86" s="9" t="s">
        <v>31</v>
      </c>
      <c r="F86" s="9" t="s">
        <v>47</v>
      </c>
      <c r="G86" s="10" t="s">
        <v>27</v>
      </c>
      <c r="H86" s="13"/>
    </row>
    <row r="87" spans="1:8" ht="12.75" x14ac:dyDescent="0.2">
      <c r="A87" s="48" t="s">
        <v>73</v>
      </c>
      <c r="B87" s="9">
        <v>43</v>
      </c>
      <c r="C87" s="9" t="s">
        <v>557</v>
      </c>
      <c r="D87" s="9" t="s">
        <v>24</v>
      </c>
      <c r="E87" s="9" t="s">
        <v>31</v>
      </c>
      <c r="F87" s="9" t="s">
        <v>26</v>
      </c>
      <c r="G87" s="10" t="s">
        <v>27</v>
      </c>
      <c r="H87" s="13"/>
    </row>
    <row r="88" spans="1:8" ht="12.75" x14ac:dyDescent="0.2">
      <c r="A88" s="52"/>
      <c r="B88" s="9">
        <v>43</v>
      </c>
      <c r="C88" s="9" t="s">
        <v>1133</v>
      </c>
      <c r="D88" s="9" t="s">
        <v>24</v>
      </c>
      <c r="E88" s="9" t="s">
        <v>31</v>
      </c>
      <c r="F88" s="9" t="s">
        <v>26</v>
      </c>
      <c r="G88" s="10" t="s">
        <v>27</v>
      </c>
      <c r="H88" s="13"/>
    </row>
    <row r="89" spans="1:8" ht="12.75" x14ac:dyDescent="0.2">
      <c r="A89" s="52"/>
      <c r="B89" s="9">
        <v>43</v>
      </c>
      <c r="C89" s="9" t="s">
        <v>1099</v>
      </c>
      <c r="D89" s="9" t="s">
        <v>24</v>
      </c>
      <c r="E89" s="9" t="s">
        <v>31</v>
      </c>
      <c r="F89" s="9" t="s">
        <v>26</v>
      </c>
      <c r="G89" s="10" t="s">
        <v>27</v>
      </c>
      <c r="H89" s="13"/>
    </row>
    <row r="90" spans="1:8" ht="12.75" x14ac:dyDescent="0.2">
      <c r="A90" s="52"/>
      <c r="B90" s="9">
        <v>43</v>
      </c>
      <c r="C90" s="9" t="s">
        <v>1134</v>
      </c>
      <c r="D90" s="9" t="s">
        <v>24</v>
      </c>
      <c r="E90" s="9" t="s">
        <v>31</v>
      </c>
      <c r="F90" s="9" t="s">
        <v>26</v>
      </c>
      <c r="G90" s="10" t="s">
        <v>27</v>
      </c>
      <c r="H90" s="13"/>
    </row>
    <row r="91" spans="1:8" ht="12.75" x14ac:dyDescent="0.2">
      <c r="A91" s="52"/>
      <c r="B91" s="9">
        <v>43</v>
      </c>
      <c r="C91" s="9" t="s">
        <v>1135</v>
      </c>
      <c r="D91" s="9" t="s">
        <v>24</v>
      </c>
      <c r="E91" s="9" t="s">
        <v>31</v>
      </c>
      <c r="F91" s="9" t="s">
        <v>26</v>
      </c>
      <c r="G91" s="10" t="s">
        <v>27</v>
      </c>
      <c r="H91" s="13"/>
    </row>
    <row r="92" spans="1:8" ht="12.75" x14ac:dyDescent="0.2">
      <c r="A92" s="53"/>
      <c r="B92" s="9">
        <v>43</v>
      </c>
      <c r="C92" s="9" t="s">
        <v>1136</v>
      </c>
      <c r="D92" s="9" t="s">
        <v>24</v>
      </c>
      <c r="E92" s="9" t="s">
        <v>31</v>
      </c>
      <c r="F92" s="9" t="s">
        <v>26</v>
      </c>
      <c r="G92" s="10" t="s">
        <v>27</v>
      </c>
      <c r="H92" s="13"/>
    </row>
    <row r="93" spans="1:8" ht="12.75" x14ac:dyDescent="0.2">
      <c r="A93" s="48" t="s">
        <v>77</v>
      </c>
      <c r="B93" s="9">
        <v>43</v>
      </c>
      <c r="C93" s="9" t="s">
        <v>1137</v>
      </c>
      <c r="D93" s="9" t="s">
        <v>24</v>
      </c>
      <c r="E93" s="9" t="s">
        <v>31</v>
      </c>
      <c r="F93" s="9" t="s">
        <v>26</v>
      </c>
      <c r="G93" s="10" t="s">
        <v>27</v>
      </c>
      <c r="H93" s="13"/>
    </row>
    <row r="94" spans="1:8" ht="12.75" x14ac:dyDescent="0.2">
      <c r="A94" s="52"/>
      <c r="B94" s="9">
        <v>43</v>
      </c>
      <c r="C94" s="9" t="s">
        <v>1103</v>
      </c>
      <c r="D94" s="9" t="s">
        <v>30</v>
      </c>
      <c r="E94" s="9" t="s">
        <v>31</v>
      </c>
      <c r="F94" s="9" t="s">
        <v>26</v>
      </c>
      <c r="G94" s="10" t="s">
        <v>27</v>
      </c>
      <c r="H94" s="13"/>
    </row>
    <row r="95" spans="1:8" ht="12.75" x14ac:dyDescent="0.2">
      <c r="A95" s="52"/>
      <c r="B95" s="9">
        <v>43</v>
      </c>
      <c r="C95" s="9" t="s">
        <v>1099</v>
      </c>
      <c r="D95" s="9" t="s">
        <v>24</v>
      </c>
      <c r="E95" s="9" t="s">
        <v>31</v>
      </c>
      <c r="F95" s="9" t="s">
        <v>26</v>
      </c>
      <c r="G95" s="10" t="s">
        <v>27</v>
      </c>
      <c r="H95" s="13"/>
    </row>
    <row r="96" spans="1:8" ht="12.75" x14ac:dyDescent="0.2">
      <c r="A96" s="53"/>
      <c r="B96" s="9">
        <v>43</v>
      </c>
      <c r="C96" s="9" t="s">
        <v>1138</v>
      </c>
      <c r="D96" s="9" t="s">
        <v>24</v>
      </c>
      <c r="E96" s="9" t="s">
        <v>31</v>
      </c>
      <c r="F96" s="9" t="s">
        <v>26</v>
      </c>
      <c r="G96" s="10" t="s">
        <v>27</v>
      </c>
      <c r="H96" s="13"/>
    </row>
    <row r="97" spans="1:8" ht="12.75" x14ac:dyDescent="0.2">
      <c r="A97" s="48" t="s">
        <v>79</v>
      </c>
      <c r="B97" s="12">
        <v>43</v>
      </c>
      <c r="C97" s="12" t="s">
        <v>1139</v>
      </c>
      <c r="D97" s="12" t="s">
        <v>24</v>
      </c>
      <c r="E97" s="12" t="s">
        <v>25</v>
      </c>
      <c r="F97" s="12" t="s">
        <v>26</v>
      </c>
      <c r="G97" s="10" t="s">
        <v>27</v>
      </c>
      <c r="H97" s="13"/>
    </row>
    <row r="98" spans="1:8" ht="12.75" x14ac:dyDescent="0.2">
      <c r="A98" s="52"/>
      <c r="B98" s="12">
        <v>43</v>
      </c>
      <c r="C98" s="12" t="s">
        <v>1137</v>
      </c>
      <c r="D98" s="12" t="s">
        <v>24</v>
      </c>
      <c r="E98" s="12" t="s">
        <v>25</v>
      </c>
      <c r="F98" s="12" t="s">
        <v>26</v>
      </c>
      <c r="G98" s="10" t="s">
        <v>27</v>
      </c>
      <c r="H98" s="13"/>
    </row>
    <row r="99" spans="1:8" ht="12.75" x14ac:dyDescent="0.2">
      <c r="A99" s="52"/>
      <c r="B99" s="12">
        <v>43</v>
      </c>
      <c r="C99" s="12" t="s">
        <v>708</v>
      </c>
      <c r="D99" s="12" t="s">
        <v>24</v>
      </c>
      <c r="E99" s="12" t="s">
        <v>25</v>
      </c>
      <c r="F99" s="12" t="s">
        <v>26</v>
      </c>
      <c r="G99" s="10" t="s">
        <v>27</v>
      </c>
      <c r="H99" s="13"/>
    </row>
    <row r="100" spans="1:8" ht="12.75" x14ac:dyDescent="0.2">
      <c r="A100" s="53"/>
      <c r="B100" s="12">
        <v>43</v>
      </c>
      <c r="C100" s="12" t="s">
        <v>1099</v>
      </c>
      <c r="D100" s="12" t="s">
        <v>24</v>
      </c>
      <c r="E100" s="12" t="s">
        <v>25</v>
      </c>
      <c r="F100" s="12" t="s">
        <v>26</v>
      </c>
      <c r="G100" s="10" t="s">
        <v>27</v>
      </c>
      <c r="H100" s="13"/>
    </row>
    <row r="101" spans="1:8" ht="12.75" x14ac:dyDescent="0.2">
      <c r="A101" s="48" t="s">
        <v>83</v>
      </c>
      <c r="B101" s="9">
        <v>43</v>
      </c>
      <c r="C101" s="9" t="s">
        <v>1081</v>
      </c>
      <c r="D101" s="9" t="s">
        <v>24</v>
      </c>
      <c r="E101" s="9" t="s">
        <v>31</v>
      </c>
      <c r="F101" s="9" t="s">
        <v>87</v>
      </c>
      <c r="G101" s="10" t="s">
        <v>27</v>
      </c>
      <c r="H101" s="13"/>
    </row>
    <row r="102" spans="1:8" ht="12.75" x14ac:dyDescent="0.2">
      <c r="A102" s="52"/>
      <c r="B102" s="9">
        <v>43</v>
      </c>
      <c r="C102" s="9" t="s">
        <v>1140</v>
      </c>
      <c r="D102" s="9" t="s">
        <v>24</v>
      </c>
      <c r="E102" s="9" t="s">
        <v>31</v>
      </c>
      <c r="F102" s="9" t="s">
        <v>26</v>
      </c>
      <c r="G102" s="10" t="s">
        <v>27</v>
      </c>
      <c r="H102" s="13"/>
    </row>
    <row r="103" spans="1:8" ht="12.75" x14ac:dyDescent="0.2">
      <c r="A103" s="52"/>
      <c r="B103" s="9">
        <v>43</v>
      </c>
      <c r="C103" s="9" t="s">
        <v>1103</v>
      </c>
      <c r="D103" s="9" t="s">
        <v>24</v>
      </c>
      <c r="E103" s="9" t="s">
        <v>31</v>
      </c>
      <c r="F103" s="9" t="s">
        <v>26</v>
      </c>
      <c r="G103" s="10" t="s">
        <v>27</v>
      </c>
      <c r="H103" s="13"/>
    </row>
    <row r="104" spans="1:8" ht="12.75" x14ac:dyDescent="0.2">
      <c r="A104" s="52"/>
      <c r="B104" s="9">
        <v>43</v>
      </c>
      <c r="C104" s="9" t="s">
        <v>1099</v>
      </c>
      <c r="D104" s="9" t="s">
        <v>24</v>
      </c>
      <c r="E104" s="9" t="s">
        <v>31</v>
      </c>
      <c r="F104" s="9" t="s">
        <v>26</v>
      </c>
      <c r="G104" s="10" t="s">
        <v>27</v>
      </c>
      <c r="H104" s="13"/>
    </row>
    <row r="105" spans="1:8" ht="12.75" x14ac:dyDescent="0.2">
      <c r="A105" s="52"/>
      <c r="B105" s="9">
        <v>43</v>
      </c>
      <c r="C105" s="9" t="s">
        <v>1141</v>
      </c>
      <c r="D105" s="9" t="s">
        <v>24</v>
      </c>
      <c r="E105" s="9" t="s">
        <v>31</v>
      </c>
      <c r="F105" s="9" t="s">
        <v>26</v>
      </c>
      <c r="G105" s="10" t="s">
        <v>27</v>
      </c>
      <c r="H105" s="13"/>
    </row>
    <row r="106" spans="1:8" ht="12.75" x14ac:dyDescent="0.2">
      <c r="A106" s="52"/>
      <c r="B106" s="9">
        <v>43</v>
      </c>
      <c r="C106" s="9" t="s">
        <v>1138</v>
      </c>
      <c r="D106" s="9" t="s">
        <v>24</v>
      </c>
      <c r="E106" s="9" t="s">
        <v>31</v>
      </c>
      <c r="F106" s="9" t="s">
        <v>26</v>
      </c>
      <c r="G106" s="10" t="s">
        <v>27</v>
      </c>
      <c r="H106" s="13"/>
    </row>
    <row r="107" spans="1:8" ht="12.75" x14ac:dyDescent="0.2">
      <c r="A107" s="53"/>
      <c r="B107" s="9">
        <v>43</v>
      </c>
      <c r="C107" s="9" t="s">
        <v>548</v>
      </c>
      <c r="D107" s="9" t="s">
        <v>24</v>
      </c>
      <c r="E107" s="9" t="s">
        <v>31</v>
      </c>
      <c r="F107" s="9" t="s">
        <v>26</v>
      </c>
      <c r="G107" s="10" t="s">
        <v>27</v>
      </c>
      <c r="H107" s="13"/>
    </row>
    <row r="108" spans="1:8" ht="12.75" x14ac:dyDescent="0.2">
      <c r="A108" s="48" t="s">
        <v>85</v>
      </c>
      <c r="B108" s="9">
        <v>43</v>
      </c>
      <c r="C108" s="9" t="s">
        <v>1103</v>
      </c>
      <c r="D108" s="9" t="s">
        <v>24</v>
      </c>
      <c r="E108" s="9" t="s">
        <v>31</v>
      </c>
      <c r="F108" s="9" t="s">
        <v>26</v>
      </c>
      <c r="G108" s="10" t="s">
        <v>27</v>
      </c>
      <c r="H108" s="13"/>
    </row>
    <row r="109" spans="1:8" ht="12.75" x14ac:dyDescent="0.2">
      <c r="A109" s="52"/>
      <c r="B109" s="9">
        <v>43</v>
      </c>
      <c r="C109" s="9" t="s">
        <v>1099</v>
      </c>
      <c r="D109" s="9" t="s">
        <v>24</v>
      </c>
      <c r="E109" s="9" t="s">
        <v>31</v>
      </c>
      <c r="F109" s="9" t="s">
        <v>26</v>
      </c>
      <c r="G109" s="10" t="s">
        <v>27</v>
      </c>
      <c r="H109" s="13"/>
    </row>
    <row r="110" spans="1:8" ht="12.75" x14ac:dyDescent="0.2">
      <c r="A110" s="53"/>
      <c r="B110" s="9">
        <v>43</v>
      </c>
      <c r="C110" s="9" t="s">
        <v>1138</v>
      </c>
      <c r="D110" s="9" t="s">
        <v>24</v>
      </c>
      <c r="E110" s="9" t="s">
        <v>31</v>
      </c>
      <c r="F110" s="9" t="s">
        <v>26</v>
      </c>
      <c r="G110" s="10" t="s">
        <v>27</v>
      </c>
      <c r="H110" s="13"/>
    </row>
    <row r="111" spans="1:8" ht="12.75" x14ac:dyDescent="0.2">
      <c r="A111" s="13"/>
      <c r="B111" s="13"/>
      <c r="C111" s="13"/>
      <c r="D111" s="13"/>
      <c r="E111" s="13"/>
      <c r="F111" s="13"/>
      <c r="G111" s="13"/>
      <c r="H111" s="13"/>
    </row>
    <row r="112" spans="1:8" ht="12.75" x14ac:dyDescent="0.2">
      <c r="A112" s="13"/>
      <c r="B112" s="13"/>
      <c r="C112" s="13"/>
      <c r="D112" s="13"/>
      <c r="E112" s="13"/>
      <c r="F112" s="13"/>
      <c r="G112" s="13"/>
      <c r="H112" s="13"/>
    </row>
    <row r="113" spans="1:8" ht="12.75" x14ac:dyDescent="0.2">
      <c r="A113" s="13"/>
      <c r="B113" s="13"/>
      <c r="C113" s="13"/>
      <c r="D113" s="13"/>
      <c r="E113" s="13"/>
      <c r="F113" s="13"/>
      <c r="G113" s="13"/>
      <c r="H113" s="13"/>
    </row>
  </sheetData>
  <mergeCells count="18">
    <mergeCell ref="A108:A110"/>
    <mergeCell ref="A59:A65"/>
    <mergeCell ref="A66:A69"/>
    <mergeCell ref="A70:A74"/>
    <mergeCell ref="A75:A77"/>
    <mergeCell ref="A78:A82"/>
    <mergeCell ref="A83:A86"/>
    <mergeCell ref="A87:A92"/>
    <mergeCell ref="A34:A40"/>
    <mergeCell ref="A41:A58"/>
    <mergeCell ref="A93:A96"/>
    <mergeCell ref="A97:A100"/>
    <mergeCell ref="A101:A107"/>
    <mergeCell ref="A1:G1"/>
    <mergeCell ref="A9:A12"/>
    <mergeCell ref="A13:A15"/>
    <mergeCell ref="A16:A25"/>
    <mergeCell ref="A26:A3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M189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13" ht="15.75" customHeight="1" x14ac:dyDescent="0.25">
      <c r="A1" s="54" t="s">
        <v>0</v>
      </c>
      <c r="B1" s="55"/>
      <c r="C1" s="55"/>
      <c r="D1" s="55"/>
      <c r="E1" s="55"/>
      <c r="F1" s="55"/>
      <c r="G1" s="56"/>
    </row>
    <row r="2" spans="1:13" x14ac:dyDescent="0.2">
      <c r="A2" s="1"/>
      <c r="B2" s="2"/>
      <c r="C2" s="2"/>
      <c r="D2" s="2"/>
      <c r="E2" s="2"/>
      <c r="F2" s="2"/>
      <c r="G2" s="2"/>
    </row>
    <row r="3" spans="1:13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13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13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13" x14ac:dyDescent="0.2">
      <c r="A6" s="1"/>
      <c r="B6" s="2"/>
      <c r="C6" s="2"/>
      <c r="D6" s="2"/>
      <c r="E6" s="2"/>
      <c r="F6" s="2"/>
      <c r="G6" s="2"/>
    </row>
    <row r="7" spans="1:13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13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13" x14ac:dyDescent="0.2">
      <c r="A9" s="48" t="s">
        <v>20</v>
      </c>
      <c r="B9" s="22">
        <v>44</v>
      </c>
      <c r="C9" s="22" t="s">
        <v>1142</v>
      </c>
      <c r="D9" s="22" t="s">
        <v>24</v>
      </c>
      <c r="E9" s="22" t="s">
        <v>25</v>
      </c>
      <c r="F9" s="22" t="s">
        <v>47</v>
      </c>
      <c r="G9" s="9" t="s">
        <v>27</v>
      </c>
      <c r="H9" s="11"/>
      <c r="I9" s="11"/>
      <c r="J9" s="11"/>
      <c r="K9" s="11"/>
      <c r="L9" s="11"/>
      <c r="M9" s="11"/>
    </row>
    <row r="10" spans="1:13" x14ac:dyDescent="0.2">
      <c r="A10" s="50"/>
      <c r="B10" s="22">
        <v>44</v>
      </c>
      <c r="C10" s="22" t="s">
        <v>1143</v>
      </c>
      <c r="D10" s="22" t="s">
        <v>24</v>
      </c>
      <c r="E10" s="22" t="s">
        <v>25</v>
      </c>
      <c r="F10" s="22" t="s">
        <v>47</v>
      </c>
      <c r="G10" s="9" t="s">
        <v>27</v>
      </c>
      <c r="H10" s="11"/>
      <c r="I10" s="11"/>
      <c r="J10" s="11"/>
      <c r="K10" s="11"/>
      <c r="L10" s="11"/>
      <c r="M10" s="11"/>
    </row>
    <row r="11" spans="1:13" x14ac:dyDescent="0.2">
      <c r="A11" s="52"/>
      <c r="B11" s="22">
        <v>44</v>
      </c>
      <c r="C11" s="22" t="s">
        <v>1144</v>
      </c>
      <c r="D11" s="22" t="s">
        <v>24</v>
      </c>
      <c r="E11" s="22" t="s">
        <v>25</v>
      </c>
      <c r="F11" s="22" t="s">
        <v>47</v>
      </c>
      <c r="G11" s="9" t="s">
        <v>27</v>
      </c>
      <c r="H11" s="11"/>
      <c r="I11" s="11"/>
      <c r="J11" s="11"/>
      <c r="K11" s="11"/>
      <c r="L11" s="11"/>
      <c r="M11" s="11"/>
    </row>
    <row r="12" spans="1:13" x14ac:dyDescent="0.2">
      <c r="A12" s="52"/>
      <c r="B12" s="22">
        <v>44</v>
      </c>
      <c r="C12" s="22" t="s">
        <v>1144</v>
      </c>
      <c r="D12" s="22" t="s">
        <v>24</v>
      </c>
      <c r="E12" s="22" t="s">
        <v>25</v>
      </c>
      <c r="F12" s="22" t="s">
        <v>47</v>
      </c>
      <c r="G12" s="9" t="s">
        <v>27</v>
      </c>
      <c r="H12" s="11"/>
      <c r="I12" s="11"/>
      <c r="J12" s="11"/>
      <c r="K12" s="11"/>
      <c r="L12" s="11"/>
      <c r="M12" s="11"/>
    </row>
    <row r="13" spans="1:13" x14ac:dyDescent="0.2">
      <c r="A13" s="52"/>
      <c r="B13" s="22">
        <v>44</v>
      </c>
      <c r="C13" s="22" t="s">
        <v>1145</v>
      </c>
      <c r="D13" s="22" t="s">
        <v>24</v>
      </c>
      <c r="E13" s="22" t="s">
        <v>25</v>
      </c>
      <c r="F13" s="22" t="s">
        <v>47</v>
      </c>
      <c r="G13" s="9" t="s">
        <v>27</v>
      </c>
      <c r="H13" s="11"/>
      <c r="I13" s="11"/>
      <c r="J13" s="11"/>
      <c r="K13" s="11"/>
      <c r="L13" s="11"/>
      <c r="M13" s="11"/>
    </row>
    <row r="14" spans="1:13" x14ac:dyDescent="0.2">
      <c r="A14" s="53"/>
      <c r="B14" s="22">
        <v>44</v>
      </c>
      <c r="C14" s="22" t="s">
        <v>1146</v>
      </c>
      <c r="D14" s="22" t="s">
        <v>24</v>
      </c>
      <c r="E14" s="22" t="s">
        <v>25</v>
      </c>
      <c r="F14" s="22" t="s">
        <v>47</v>
      </c>
      <c r="G14" s="9" t="s">
        <v>27</v>
      </c>
      <c r="H14" s="11"/>
      <c r="I14" s="11"/>
      <c r="J14" s="11"/>
      <c r="K14" s="11"/>
      <c r="L14" s="11"/>
      <c r="M14" s="11"/>
    </row>
    <row r="15" spans="1:13" x14ac:dyDescent="0.2">
      <c r="A15" s="48" t="s">
        <v>22</v>
      </c>
      <c r="B15" s="9">
        <v>44</v>
      </c>
      <c r="C15" s="9" t="s">
        <v>1147</v>
      </c>
      <c r="D15" s="9" t="s">
        <v>24</v>
      </c>
      <c r="E15" s="9" t="s">
        <v>31</v>
      </c>
      <c r="F15" s="9" t="s">
        <v>26</v>
      </c>
      <c r="G15" s="9" t="s">
        <v>27</v>
      </c>
      <c r="H15" s="11"/>
      <c r="I15" s="11"/>
      <c r="J15" s="11"/>
      <c r="K15" s="11"/>
      <c r="L15" s="11"/>
      <c r="M15" s="11"/>
    </row>
    <row r="16" spans="1:13" x14ac:dyDescent="0.2">
      <c r="A16" s="52"/>
      <c r="B16" s="9">
        <v>44</v>
      </c>
      <c r="C16" s="9" t="s">
        <v>1142</v>
      </c>
      <c r="D16" s="9" t="s">
        <v>24</v>
      </c>
      <c r="E16" s="9" t="s">
        <v>31</v>
      </c>
      <c r="F16" s="9" t="s">
        <v>87</v>
      </c>
      <c r="G16" s="9" t="s">
        <v>27</v>
      </c>
      <c r="H16" s="11"/>
      <c r="I16" s="11"/>
      <c r="J16" s="11"/>
      <c r="K16" s="11"/>
      <c r="L16" s="11"/>
      <c r="M16" s="11"/>
    </row>
    <row r="17" spans="1:13" x14ac:dyDescent="0.2">
      <c r="A17" s="52"/>
      <c r="B17" s="9">
        <v>44</v>
      </c>
      <c r="C17" s="9" t="s">
        <v>1148</v>
      </c>
      <c r="D17" s="9" t="s">
        <v>24</v>
      </c>
      <c r="E17" s="9" t="s">
        <v>31</v>
      </c>
      <c r="F17" s="9" t="s">
        <v>87</v>
      </c>
      <c r="G17" s="9" t="s">
        <v>27</v>
      </c>
      <c r="H17" s="11"/>
      <c r="I17" s="11"/>
      <c r="J17" s="11"/>
      <c r="K17" s="11"/>
      <c r="L17" s="11"/>
      <c r="M17" s="11"/>
    </row>
    <row r="18" spans="1:13" x14ac:dyDescent="0.2">
      <c r="A18" s="52"/>
      <c r="B18" s="9">
        <v>44</v>
      </c>
      <c r="C18" s="9" t="s">
        <v>1149</v>
      </c>
      <c r="D18" s="9" t="s">
        <v>24</v>
      </c>
      <c r="E18" s="9" t="s">
        <v>31</v>
      </c>
      <c r="F18" s="9" t="s">
        <v>87</v>
      </c>
      <c r="G18" s="9" t="s">
        <v>27</v>
      </c>
      <c r="H18" s="11"/>
      <c r="I18" s="11"/>
      <c r="J18" s="11"/>
      <c r="K18" s="11"/>
      <c r="L18" s="11"/>
      <c r="M18" s="11"/>
    </row>
    <row r="19" spans="1:13" x14ac:dyDescent="0.2">
      <c r="A19" s="52"/>
      <c r="B19" s="9">
        <v>44</v>
      </c>
      <c r="C19" s="9" t="s">
        <v>1150</v>
      </c>
      <c r="D19" s="9" t="s">
        <v>24</v>
      </c>
      <c r="E19" s="9" t="s">
        <v>31</v>
      </c>
      <c r="F19" s="9" t="s">
        <v>87</v>
      </c>
      <c r="G19" s="9" t="s">
        <v>27</v>
      </c>
      <c r="H19" s="11"/>
      <c r="I19" s="11"/>
      <c r="J19" s="11"/>
      <c r="K19" s="11"/>
      <c r="L19" s="11"/>
      <c r="M19" s="11"/>
    </row>
    <row r="20" spans="1:13" x14ac:dyDescent="0.2">
      <c r="A20" s="52"/>
      <c r="B20" s="9">
        <v>44</v>
      </c>
      <c r="C20" s="9" t="s">
        <v>1151</v>
      </c>
      <c r="D20" s="9" t="s">
        <v>24</v>
      </c>
      <c r="E20" s="9" t="s">
        <v>31</v>
      </c>
      <c r="F20" s="9" t="s">
        <v>87</v>
      </c>
      <c r="G20" s="9" t="s">
        <v>27</v>
      </c>
      <c r="H20" s="11"/>
      <c r="I20" s="11"/>
      <c r="J20" s="11"/>
      <c r="K20" s="11"/>
      <c r="L20" s="11"/>
      <c r="M20" s="11"/>
    </row>
    <row r="21" spans="1:13" x14ac:dyDescent="0.2">
      <c r="A21" s="52"/>
      <c r="B21" s="9">
        <v>44</v>
      </c>
      <c r="C21" s="9" t="s">
        <v>1152</v>
      </c>
      <c r="D21" s="9" t="s">
        <v>24</v>
      </c>
      <c r="E21" s="9" t="s">
        <v>31</v>
      </c>
      <c r="F21" s="9" t="s">
        <v>87</v>
      </c>
      <c r="G21" s="9" t="s">
        <v>27</v>
      </c>
      <c r="H21" s="11"/>
      <c r="I21" s="11"/>
      <c r="J21" s="11"/>
      <c r="K21" s="11"/>
      <c r="L21" s="11"/>
      <c r="M21" s="11"/>
    </row>
    <row r="22" spans="1:13" x14ac:dyDescent="0.2">
      <c r="A22" s="50"/>
      <c r="B22" s="9">
        <v>44</v>
      </c>
      <c r="C22" s="9" t="s">
        <v>1153</v>
      </c>
      <c r="D22" s="9" t="s">
        <v>24</v>
      </c>
      <c r="E22" s="9" t="s">
        <v>31</v>
      </c>
      <c r="F22" s="9" t="s">
        <v>87</v>
      </c>
      <c r="G22" s="9" t="s">
        <v>27</v>
      </c>
      <c r="H22" s="11"/>
      <c r="I22" s="11"/>
      <c r="J22" s="11"/>
      <c r="K22" s="11"/>
      <c r="L22" s="11"/>
      <c r="M22" s="11"/>
    </row>
    <row r="23" spans="1:13" x14ac:dyDescent="0.2">
      <c r="A23" s="51"/>
      <c r="B23" s="9">
        <v>44</v>
      </c>
      <c r="C23" s="9" t="s">
        <v>1154</v>
      </c>
      <c r="D23" s="9" t="s">
        <v>24</v>
      </c>
      <c r="E23" s="9" t="s">
        <v>31</v>
      </c>
      <c r="F23" s="9" t="s">
        <v>87</v>
      </c>
      <c r="G23" s="9" t="s">
        <v>27</v>
      </c>
      <c r="H23" s="11"/>
      <c r="I23" s="11"/>
      <c r="J23" s="11"/>
      <c r="K23" s="11"/>
      <c r="L23" s="11"/>
      <c r="M23" s="11"/>
    </row>
    <row r="24" spans="1:13" x14ac:dyDescent="0.2">
      <c r="A24" s="50"/>
      <c r="B24" s="9">
        <v>44</v>
      </c>
      <c r="C24" s="9" t="s">
        <v>1155</v>
      </c>
      <c r="D24" s="9" t="s">
        <v>24</v>
      </c>
      <c r="E24" s="9" t="s">
        <v>31</v>
      </c>
      <c r="F24" s="9" t="s">
        <v>87</v>
      </c>
      <c r="G24" s="9" t="s">
        <v>27</v>
      </c>
      <c r="H24" s="11"/>
      <c r="I24" s="11"/>
      <c r="J24" s="11"/>
      <c r="K24" s="11"/>
      <c r="L24" s="11"/>
      <c r="M24" s="11"/>
    </row>
    <row r="25" spans="1:13" x14ac:dyDescent="0.2">
      <c r="A25" s="51"/>
      <c r="B25" s="9">
        <v>44</v>
      </c>
      <c r="C25" s="9" t="s">
        <v>1156</v>
      </c>
      <c r="D25" s="9" t="s">
        <v>24</v>
      </c>
      <c r="E25" s="9" t="s">
        <v>31</v>
      </c>
      <c r="F25" s="9" t="s">
        <v>87</v>
      </c>
      <c r="G25" s="9" t="s">
        <v>27</v>
      </c>
      <c r="H25" s="11"/>
      <c r="I25" s="11"/>
      <c r="J25" s="11"/>
      <c r="K25" s="11"/>
      <c r="L25" s="11"/>
      <c r="M25" s="11"/>
    </row>
    <row r="26" spans="1:13" x14ac:dyDescent="0.2">
      <c r="A26" s="50"/>
      <c r="B26" s="9">
        <v>44</v>
      </c>
      <c r="C26" s="9" t="s">
        <v>1157</v>
      </c>
      <c r="D26" s="9" t="s">
        <v>24</v>
      </c>
      <c r="E26" s="9" t="s">
        <v>31</v>
      </c>
      <c r="F26" s="9" t="s">
        <v>87</v>
      </c>
      <c r="G26" s="9" t="s">
        <v>27</v>
      </c>
      <c r="H26" s="11"/>
      <c r="I26" s="11"/>
      <c r="J26" s="11"/>
      <c r="K26" s="11"/>
      <c r="L26" s="11"/>
      <c r="M26" s="11"/>
    </row>
    <row r="27" spans="1:13" x14ac:dyDescent="0.2">
      <c r="A27" s="57"/>
      <c r="B27" s="9">
        <v>44</v>
      </c>
      <c r="C27" s="9" t="s">
        <v>1158</v>
      </c>
      <c r="D27" s="9" t="s">
        <v>24</v>
      </c>
      <c r="E27" s="9" t="s">
        <v>31</v>
      </c>
      <c r="F27" s="9" t="s">
        <v>87</v>
      </c>
      <c r="G27" s="9" t="s">
        <v>27</v>
      </c>
      <c r="H27" s="11"/>
      <c r="I27" s="11"/>
      <c r="J27" s="11"/>
      <c r="K27" s="11"/>
      <c r="L27" s="11"/>
      <c r="M27" s="11"/>
    </row>
    <row r="28" spans="1:13" x14ac:dyDescent="0.2">
      <c r="A28" s="48" t="s">
        <v>28</v>
      </c>
      <c r="B28" s="9">
        <v>44</v>
      </c>
      <c r="C28" s="9" t="s">
        <v>1159</v>
      </c>
      <c r="D28" s="9" t="s">
        <v>24</v>
      </c>
      <c r="E28" s="9" t="s">
        <v>31</v>
      </c>
      <c r="F28" s="9" t="s">
        <v>26</v>
      </c>
      <c r="G28" s="9" t="s">
        <v>27</v>
      </c>
      <c r="H28" s="11"/>
      <c r="I28" s="11"/>
      <c r="J28" s="11"/>
      <c r="K28" s="11"/>
      <c r="L28" s="11"/>
      <c r="M28" s="11"/>
    </row>
    <row r="29" spans="1:13" x14ac:dyDescent="0.2">
      <c r="A29" s="51"/>
      <c r="B29" s="9">
        <v>44</v>
      </c>
      <c r="C29" s="9" t="s">
        <v>1160</v>
      </c>
      <c r="D29" s="9" t="s">
        <v>24</v>
      </c>
      <c r="E29" s="9" t="s">
        <v>31</v>
      </c>
      <c r="F29" s="9" t="s">
        <v>26</v>
      </c>
      <c r="G29" s="9" t="s">
        <v>27</v>
      </c>
      <c r="H29" s="11"/>
      <c r="I29" s="11"/>
      <c r="J29" s="11"/>
      <c r="K29" s="11"/>
      <c r="L29" s="11"/>
      <c r="M29" s="11"/>
    </row>
    <row r="30" spans="1:13" x14ac:dyDescent="0.2">
      <c r="A30" s="50"/>
      <c r="B30" s="9">
        <v>44</v>
      </c>
      <c r="C30" s="9" t="s">
        <v>1161</v>
      </c>
      <c r="D30" s="9" t="s">
        <v>24</v>
      </c>
      <c r="E30" s="9" t="s">
        <v>31</v>
      </c>
      <c r="F30" s="9" t="s">
        <v>26</v>
      </c>
      <c r="G30" s="9" t="s">
        <v>27</v>
      </c>
      <c r="H30" s="11"/>
      <c r="I30" s="11"/>
      <c r="J30" s="11"/>
      <c r="K30" s="11"/>
      <c r="L30" s="11"/>
      <c r="M30" s="11"/>
    </row>
    <row r="31" spans="1:13" x14ac:dyDescent="0.2">
      <c r="A31" s="51"/>
      <c r="B31" s="9">
        <v>44</v>
      </c>
      <c r="C31" s="9" t="s">
        <v>1162</v>
      </c>
      <c r="D31" s="9" t="s">
        <v>24</v>
      </c>
      <c r="E31" s="9" t="s">
        <v>31</v>
      </c>
      <c r="F31" s="9" t="s">
        <v>47</v>
      </c>
      <c r="G31" s="9" t="s">
        <v>27</v>
      </c>
      <c r="H31" s="11"/>
      <c r="I31" s="11"/>
      <c r="J31" s="11"/>
      <c r="K31" s="11"/>
      <c r="L31" s="11"/>
      <c r="M31" s="11"/>
    </row>
    <row r="32" spans="1:13" x14ac:dyDescent="0.2">
      <c r="A32" s="50"/>
      <c r="B32" s="9">
        <v>44</v>
      </c>
      <c r="C32" s="9" t="s">
        <v>1163</v>
      </c>
      <c r="D32" s="9" t="s">
        <v>24</v>
      </c>
      <c r="E32" s="9" t="s">
        <v>31</v>
      </c>
      <c r="F32" s="9" t="s">
        <v>26</v>
      </c>
      <c r="G32" s="9" t="s">
        <v>27</v>
      </c>
      <c r="H32" s="11"/>
      <c r="I32" s="11"/>
      <c r="J32" s="11"/>
      <c r="K32" s="11"/>
      <c r="L32" s="11"/>
      <c r="M32" s="11"/>
    </row>
    <row r="33" spans="1:13" x14ac:dyDescent="0.2">
      <c r="A33" s="51"/>
      <c r="B33" s="9">
        <v>44</v>
      </c>
      <c r="C33" s="9" t="s">
        <v>1164</v>
      </c>
      <c r="D33" s="9" t="s">
        <v>24</v>
      </c>
      <c r="E33" s="9" t="s">
        <v>31</v>
      </c>
      <c r="F33" s="9" t="s">
        <v>26</v>
      </c>
      <c r="G33" s="9" t="s">
        <v>27</v>
      </c>
      <c r="H33" s="11"/>
      <c r="I33" s="11"/>
      <c r="J33" s="11"/>
      <c r="K33" s="11"/>
      <c r="L33" s="11"/>
      <c r="M33" s="11"/>
    </row>
    <row r="34" spans="1:13" x14ac:dyDescent="0.2">
      <c r="A34" s="50"/>
      <c r="B34" s="9">
        <v>44</v>
      </c>
      <c r="C34" s="9" t="s">
        <v>1165</v>
      </c>
      <c r="D34" s="9" t="s">
        <v>24</v>
      </c>
      <c r="E34" s="9" t="s">
        <v>31</v>
      </c>
      <c r="F34" s="9" t="s">
        <v>26</v>
      </c>
      <c r="G34" s="9" t="s">
        <v>27</v>
      </c>
      <c r="H34" s="11"/>
      <c r="I34" s="11"/>
      <c r="J34" s="11"/>
      <c r="K34" s="11"/>
      <c r="L34" s="11"/>
      <c r="M34" s="11"/>
    </row>
    <row r="35" spans="1:13" x14ac:dyDescent="0.2">
      <c r="A35" s="51"/>
      <c r="B35" s="9">
        <v>44</v>
      </c>
      <c r="C35" s="9" t="s">
        <v>1166</v>
      </c>
      <c r="D35" s="9" t="s">
        <v>24</v>
      </c>
      <c r="E35" s="9" t="s">
        <v>31</v>
      </c>
      <c r="F35" s="9" t="s">
        <v>26</v>
      </c>
      <c r="G35" s="9" t="s">
        <v>27</v>
      </c>
      <c r="H35" s="11"/>
      <c r="I35" s="11"/>
      <c r="J35" s="11"/>
      <c r="K35" s="11"/>
      <c r="L35" s="11"/>
      <c r="M35" s="11"/>
    </row>
    <row r="36" spans="1:13" x14ac:dyDescent="0.2">
      <c r="A36" s="50"/>
      <c r="B36" s="9">
        <v>44</v>
      </c>
      <c r="C36" s="9" t="s">
        <v>1167</v>
      </c>
      <c r="D36" s="9" t="s">
        <v>24</v>
      </c>
      <c r="E36" s="9" t="s">
        <v>31</v>
      </c>
      <c r="F36" s="9" t="s">
        <v>47</v>
      </c>
      <c r="G36" s="9" t="s">
        <v>27</v>
      </c>
      <c r="H36" s="11"/>
      <c r="I36" s="11"/>
      <c r="J36" s="11"/>
      <c r="K36" s="11"/>
      <c r="L36" s="11"/>
      <c r="M36" s="11"/>
    </row>
    <row r="37" spans="1:13" ht="12.75" x14ac:dyDescent="0.2">
      <c r="A37" s="51"/>
      <c r="B37" s="9">
        <v>44</v>
      </c>
      <c r="C37" s="9" t="s">
        <v>1148</v>
      </c>
      <c r="D37" s="9" t="s">
        <v>24</v>
      </c>
      <c r="E37" s="9" t="s">
        <v>31</v>
      </c>
      <c r="F37" s="9" t="s">
        <v>47</v>
      </c>
      <c r="G37" s="9" t="s">
        <v>27</v>
      </c>
      <c r="H37" s="11"/>
      <c r="I37" s="11"/>
      <c r="J37" s="11"/>
      <c r="K37" s="11"/>
      <c r="L37" s="11"/>
      <c r="M37" s="11"/>
    </row>
    <row r="38" spans="1:13" ht="12.75" x14ac:dyDescent="0.2">
      <c r="A38" s="50"/>
      <c r="B38" s="9">
        <v>44</v>
      </c>
      <c r="C38" s="9" t="s">
        <v>1168</v>
      </c>
      <c r="D38" s="9" t="s">
        <v>24</v>
      </c>
      <c r="E38" s="9" t="s">
        <v>31</v>
      </c>
      <c r="F38" s="9" t="s">
        <v>47</v>
      </c>
      <c r="G38" s="9" t="s">
        <v>27</v>
      </c>
      <c r="H38" s="11"/>
      <c r="I38" s="11"/>
      <c r="J38" s="11"/>
      <c r="K38" s="11"/>
      <c r="L38" s="11"/>
      <c r="M38" s="11"/>
    </row>
    <row r="39" spans="1:13" ht="12.75" x14ac:dyDescent="0.2">
      <c r="A39" s="52"/>
      <c r="B39" s="9">
        <v>44</v>
      </c>
      <c r="C39" s="9" t="s">
        <v>1169</v>
      </c>
      <c r="D39" s="9" t="s">
        <v>24</v>
      </c>
      <c r="E39" s="9" t="s">
        <v>31</v>
      </c>
      <c r="F39" s="9" t="s">
        <v>47</v>
      </c>
      <c r="G39" s="9" t="s">
        <v>27</v>
      </c>
      <c r="H39" s="11"/>
      <c r="I39" s="11"/>
      <c r="J39" s="11"/>
      <c r="K39" s="11"/>
      <c r="L39" s="11"/>
      <c r="M39" s="11"/>
    </row>
    <row r="40" spans="1:13" ht="12.75" x14ac:dyDescent="0.2">
      <c r="A40" s="52"/>
      <c r="B40" s="9">
        <v>44</v>
      </c>
      <c r="C40" s="9" t="s">
        <v>1170</v>
      </c>
      <c r="D40" s="9" t="s">
        <v>24</v>
      </c>
      <c r="E40" s="9" t="s">
        <v>31</v>
      </c>
      <c r="F40" s="9" t="s">
        <v>47</v>
      </c>
      <c r="G40" s="9" t="s">
        <v>27</v>
      </c>
      <c r="H40" s="11"/>
      <c r="I40" s="11"/>
      <c r="J40" s="11"/>
      <c r="K40" s="11"/>
      <c r="L40" s="11"/>
      <c r="M40" s="11"/>
    </row>
    <row r="41" spans="1:13" ht="12.75" x14ac:dyDescent="0.2">
      <c r="A41" s="52"/>
      <c r="B41" s="9">
        <v>44</v>
      </c>
      <c r="C41" s="9" t="s">
        <v>1171</v>
      </c>
      <c r="D41" s="9" t="s">
        <v>24</v>
      </c>
      <c r="E41" s="9" t="s">
        <v>31</v>
      </c>
      <c r="F41" s="9" t="s">
        <v>47</v>
      </c>
      <c r="G41" s="9" t="s">
        <v>27</v>
      </c>
      <c r="H41" s="11"/>
      <c r="I41" s="11"/>
      <c r="J41" s="11"/>
      <c r="K41" s="11"/>
      <c r="L41" s="11"/>
      <c r="M41" s="11"/>
    </row>
    <row r="42" spans="1:13" ht="12.75" x14ac:dyDescent="0.2">
      <c r="A42" s="52"/>
      <c r="B42" s="9">
        <v>44</v>
      </c>
      <c r="C42" s="9" t="s">
        <v>1151</v>
      </c>
      <c r="D42" s="9" t="s">
        <v>24</v>
      </c>
      <c r="E42" s="9" t="s">
        <v>31</v>
      </c>
      <c r="F42" s="9" t="s">
        <v>47</v>
      </c>
      <c r="G42" s="9" t="s">
        <v>27</v>
      </c>
      <c r="H42" s="11"/>
      <c r="I42" s="11"/>
      <c r="J42" s="11"/>
      <c r="K42" s="11"/>
      <c r="L42" s="11"/>
      <c r="M42" s="11"/>
    </row>
    <row r="43" spans="1:13" ht="12.75" x14ac:dyDescent="0.2">
      <c r="A43" s="52"/>
      <c r="B43" s="9">
        <v>44</v>
      </c>
      <c r="C43" s="9" t="s">
        <v>1152</v>
      </c>
      <c r="D43" s="9" t="s">
        <v>24</v>
      </c>
      <c r="E43" s="9" t="s">
        <v>31</v>
      </c>
      <c r="F43" s="9" t="s">
        <v>47</v>
      </c>
      <c r="G43" s="9" t="s">
        <v>27</v>
      </c>
      <c r="H43" s="11"/>
      <c r="I43" s="11"/>
      <c r="J43" s="11"/>
      <c r="K43" s="11"/>
      <c r="L43" s="11"/>
      <c r="M43" s="11"/>
    </row>
    <row r="44" spans="1:13" ht="12.75" x14ac:dyDescent="0.2">
      <c r="A44" s="52"/>
      <c r="B44" s="9">
        <v>44</v>
      </c>
      <c r="C44" s="9" t="s">
        <v>1153</v>
      </c>
      <c r="D44" s="9" t="s">
        <v>24</v>
      </c>
      <c r="E44" s="9" t="s">
        <v>31</v>
      </c>
      <c r="F44" s="9" t="s">
        <v>47</v>
      </c>
      <c r="G44" s="9" t="s">
        <v>27</v>
      </c>
      <c r="H44" s="11"/>
      <c r="I44" s="11"/>
      <c r="J44" s="11"/>
      <c r="K44" s="11"/>
      <c r="L44" s="11"/>
      <c r="M44" s="11"/>
    </row>
    <row r="45" spans="1:13" ht="12.75" x14ac:dyDescent="0.2">
      <c r="A45" s="52"/>
      <c r="B45" s="9">
        <v>44</v>
      </c>
      <c r="C45" s="9" t="s">
        <v>1154</v>
      </c>
      <c r="D45" s="9" t="s">
        <v>24</v>
      </c>
      <c r="E45" s="9" t="s">
        <v>31</v>
      </c>
      <c r="F45" s="9" t="s">
        <v>47</v>
      </c>
      <c r="G45" s="9" t="s">
        <v>27</v>
      </c>
      <c r="H45" s="11"/>
      <c r="I45" s="11"/>
      <c r="J45" s="11"/>
      <c r="K45" s="11"/>
      <c r="L45" s="11"/>
      <c r="M45" s="11"/>
    </row>
    <row r="46" spans="1:13" ht="12.75" x14ac:dyDescent="0.2">
      <c r="A46" s="52"/>
      <c r="B46" s="9">
        <v>44</v>
      </c>
      <c r="C46" s="9" t="s">
        <v>1155</v>
      </c>
      <c r="D46" s="9" t="s">
        <v>24</v>
      </c>
      <c r="E46" s="9" t="s">
        <v>31</v>
      </c>
      <c r="F46" s="9" t="s">
        <v>47</v>
      </c>
      <c r="G46" s="9" t="s">
        <v>27</v>
      </c>
      <c r="H46" s="11"/>
      <c r="I46" s="11"/>
      <c r="J46" s="11"/>
      <c r="K46" s="11"/>
      <c r="L46" s="11"/>
      <c r="M46" s="11"/>
    </row>
    <row r="47" spans="1:13" ht="12.75" x14ac:dyDescent="0.2">
      <c r="A47" s="52"/>
      <c r="B47" s="9">
        <v>44</v>
      </c>
      <c r="C47" s="9" t="s">
        <v>1156</v>
      </c>
      <c r="D47" s="9" t="s">
        <v>24</v>
      </c>
      <c r="E47" s="9" t="s">
        <v>31</v>
      </c>
      <c r="F47" s="9" t="s">
        <v>47</v>
      </c>
      <c r="G47" s="9" t="s">
        <v>27</v>
      </c>
      <c r="H47" s="11"/>
      <c r="I47" s="11"/>
      <c r="J47" s="11"/>
      <c r="K47" s="11"/>
      <c r="L47" s="11"/>
      <c r="M47" s="11"/>
    </row>
    <row r="48" spans="1:13" ht="12.75" x14ac:dyDescent="0.2">
      <c r="A48" s="52"/>
      <c r="B48" s="9">
        <v>44</v>
      </c>
      <c r="C48" s="9" t="s">
        <v>1172</v>
      </c>
      <c r="D48" s="9" t="s">
        <v>24</v>
      </c>
      <c r="E48" s="9" t="s">
        <v>31</v>
      </c>
      <c r="F48" s="9" t="s">
        <v>47</v>
      </c>
      <c r="G48" s="9" t="s">
        <v>27</v>
      </c>
      <c r="H48" s="11"/>
      <c r="I48" s="11"/>
      <c r="J48" s="11"/>
      <c r="K48" s="11"/>
      <c r="L48" s="11"/>
      <c r="M48" s="11"/>
    </row>
    <row r="49" spans="1:13" ht="12.75" x14ac:dyDescent="0.2">
      <c r="A49" s="52"/>
      <c r="B49" s="9">
        <v>44</v>
      </c>
      <c r="C49" s="9" t="s">
        <v>1158</v>
      </c>
      <c r="D49" s="9" t="s">
        <v>24</v>
      </c>
      <c r="E49" s="9" t="s">
        <v>31</v>
      </c>
      <c r="F49" s="9" t="s">
        <v>47</v>
      </c>
      <c r="G49" s="9" t="s">
        <v>27</v>
      </c>
      <c r="H49" s="11"/>
      <c r="I49" s="11"/>
      <c r="J49" s="11"/>
      <c r="K49" s="11"/>
      <c r="L49" s="11"/>
      <c r="M49" s="11"/>
    </row>
    <row r="50" spans="1:13" ht="12.75" x14ac:dyDescent="0.2">
      <c r="A50" s="53"/>
      <c r="B50" s="9">
        <v>44</v>
      </c>
      <c r="C50" s="9" t="s">
        <v>1173</v>
      </c>
      <c r="D50" s="9" t="s">
        <v>24</v>
      </c>
      <c r="E50" s="9" t="s">
        <v>31</v>
      </c>
      <c r="F50" s="9" t="s">
        <v>26</v>
      </c>
      <c r="G50" s="9" t="s">
        <v>27</v>
      </c>
      <c r="H50" s="11"/>
      <c r="I50" s="11"/>
      <c r="J50" s="11"/>
      <c r="K50" s="11"/>
      <c r="L50" s="11"/>
      <c r="M50" s="11"/>
    </row>
    <row r="51" spans="1:13" ht="12.75" x14ac:dyDescent="0.2">
      <c r="A51" s="48" t="s">
        <v>33</v>
      </c>
      <c r="B51" s="9">
        <v>44</v>
      </c>
      <c r="C51" s="9" t="s">
        <v>1174</v>
      </c>
      <c r="D51" s="9" t="s">
        <v>24</v>
      </c>
      <c r="E51" s="9" t="s">
        <v>25</v>
      </c>
      <c r="F51" s="9" t="s">
        <v>47</v>
      </c>
      <c r="G51" s="9" t="s">
        <v>27</v>
      </c>
      <c r="H51" s="11"/>
      <c r="I51" s="11"/>
      <c r="J51" s="11"/>
      <c r="K51" s="11"/>
      <c r="L51" s="11"/>
      <c r="M51" s="11"/>
    </row>
    <row r="52" spans="1:13" ht="12.75" x14ac:dyDescent="0.2">
      <c r="A52" s="52"/>
      <c r="B52" s="9">
        <v>44</v>
      </c>
      <c r="C52" s="9" t="s">
        <v>1175</v>
      </c>
      <c r="D52" s="9" t="s">
        <v>24</v>
      </c>
      <c r="E52" s="9" t="s">
        <v>25</v>
      </c>
      <c r="F52" s="9" t="s">
        <v>26</v>
      </c>
      <c r="G52" s="9" t="s">
        <v>27</v>
      </c>
      <c r="H52" s="13"/>
      <c r="I52" s="13"/>
    </row>
    <row r="53" spans="1:13" ht="12.75" x14ac:dyDescent="0.2">
      <c r="A53" s="52"/>
      <c r="B53" s="9">
        <v>44</v>
      </c>
      <c r="C53" s="9" t="s">
        <v>1176</v>
      </c>
      <c r="D53" s="9" t="s">
        <v>24</v>
      </c>
      <c r="E53" s="9" t="s">
        <v>25</v>
      </c>
      <c r="F53" s="9" t="s">
        <v>26</v>
      </c>
      <c r="G53" s="9" t="s">
        <v>27</v>
      </c>
      <c r="H53" s="13"/>
      <c r="I53" s="13"/>
    </row>
    <row r="54" spans="1:13" ht="12.75" x14ac:dyDescent="0.2">
      <c r="A54" s="52"/>
      <c r="B54" s="9">
        <v>44</v>
      </c>
      <c r="C54" s="9" t="s">
        <v>1144</v>
      </c>
      <c r="D54" s="9" t="s">
        <v>24</v>
      </c>
      <c r="E54" s="9" t="s">
        <v>25</v>
      </c>
      <c r="F54" s="9" t="s">
        <v>26</v>
      </c>
      <c r="G54" s="9" t="s">
        <v>27</v>
      </c>
      <c r="H54" s="13"/>
      <c r="I54" s="13"/>
    </row>
    <row r="55" spans="1:13" ht="12.75" x14ac:dyDescent="0.2">
      <c r="A55" s="52"/>
      <c r="B55" s="9">
        <v>44</v>
      </c>
      <c r="C55" s="9" t="s">
        <v>1177</v>
      </c>
      <c r="D55" s="9" t="s">
        <v>24</v>
      </c>
      <c r="E55" s="9" t="s">
        <v>25</v>
      </c>
      <c r="F55" s="9" t="s">
        <v>26</v>
      </c>
      <c r="G55" s="9" t="s">
        <v>27</v>
      </c>
      <c r="H55" s="13"/>
      <c r="I55" s="13"/>
    </row>
    <row r="56" spans="1:13" ht="12.75" x14ac:dyDescent="0.2">
      <c r="A56" s="52"/>
      <c r="B56" s="9">
        <v>44</v>
      </c>
      <c r="C56" s="9" t="s">
        <v>1178</v>
      </c>
      <c r="D56" s="9" t="s">
        <v>24</v>
      </c>
      <c r="E56" s="9" t="s">
        <v>25</v>
      </c>
      <c r="F56" s="9" t="s">
        <v>26</v>
      </c>
      <c r="G56" s="9" t="s">
        <v>27</v>
      </c>
      <c r="H56" s="13"/>
      <c r="I56" s="13"/>
    </row>
    <row r="57" spans="1:13" ht="12.75" x14ac:dyDescent="0.2">
      <c r="A57" s="52"/>
      <c r="B57" s="9">
        <v>44</v>
      </c>
      <c r="C57" s="9" t="s">
        <v>1179</v>
      </c>
      <c r="D57" s="9" t="s">
        <v>24</v>
      </c>
      <c r="E57" s="9" t="s">
        <v>25</v>
      </c>
      <c r="F57" s="9" t="s">
        <v>26</v>
      </c>
      <c r="G57" s="9" t="s">
        <v>27</v>
      </c>
      <c r="H57" s="13"/>
      <c r="I57" s="13"/>
    </row>
    <row r="58" spans="1:13" ht="12.75" x14ac:dyDescent="0.2">
      <c r="A58" s="52"/>
      <c r="B58" s="9">
        <v>44</v>
      </c>
      <c r="C58" s="9" t="s">
        <v>1145</v>
      </c>
      <c r="D58" s="9" t="s">
        <v>24</v>
      </c>
      <c r="E58" s="9" t="s">
        <v>25</v>
      </c>
      <c r="F58" s="9" t="s">
        <v>47</v>
      </c>
      <c r="G58" s="9" t="s">
        <v>27</v>
      </c>
      <c r="H58" s="13"/>
      <c r="I58" s="13"/>
    </row>
    <row r="59" spans="1:13" ht="12.75" x14ac:dyDescent="0.2">
      <c r="A59" s="52"/>
      <c r="B59" s="9">
        <v>44</v>
      </c>
      <c r="C59" s="9" t="s">
        <v>1180</v>
      </c>
      <c r="D59" s="9" t="s">
        <v>24</v>
      </c>
      <c r="E59" s="9" t="s">
        <v>25</v>
      </c>
      <c r="F59" s="9" t="s">
        <v>47</v>
      </c>
      <c r="G59" s="9" t="s">
        <v>27</v>
      </c>
      <c r="H59" s="13"/>
      <c r="I59" s="13"/>
    </row>
    <row r="60" spans="1:13" ht="12.75" x14ac:dyDescent="0.2">
      <c r="A60" s="52"/>
      <c r="B60" s="9">
        <v>44</v>
      </c>
      <c r="C60" s="9" t="s">
        <v>1181</v>
      </c>
      <c r="D60" s="9" t="s">
        <v>24</v>
      </c>
      <c r="E60" s="9" t="s">
        <v>25</v>
      </c>
      <c r="F60" s="9" t="s">
        <v>47</v>
      </c>
      <c r="G60" s="9" t="s">
        <v>27</v>
      </c>
      <c r="H60" s="13"/>
      <c r="I60" s="13"/>
    </row>
    <row r="61" spans="1:13" ht="12.75" x14ac:dyDescent="0.2">
      <c r="A61" s="53"/>
      <c r="B61" s="9">
        <v>44</v>
      </c>
      <c r="C61" s="9" t="s">
        <v>1146</v>
      </c>
      <c r="D61" s="9" t="s">
        <v>24</v>
      </c>
      <c r="E61" s="9" t="s">
        <v>25</v>
      </c>
      <c r="F61" s="9" t="s">
        <v>47</v>
      </c>
      <c r="G61" s="9" t="s">
        <v>27</v>
      </c>
      <c r="H61" s="13"/>
      <c r="I61" s="13"/>
    </row>
    <row r="62" spans="1:13" ht="12.75" x14ac:dyDescent="0.2">
      <c r="A62" s="48" t="s">
        <v>38</v>
      </c>
      <c r="B62" s="9">
        <v>44</v>
      </c>
      <c r="C62" s="9" t="s">
        <v>1182</v>
      </c>
      <c r="D62" s="9" t="s">
        <v>24</v>
      </c>
      <c r="E62" s="9" t="s">
        <v>31</v>
      </c>
      <c r="F62" s="9" t="s">
        <v>47</v>
      </c>
      <c r="G62" s="9" t="s">
        <v>27</v>
      </c>
      <c r="H62" s="13"/>
      <c r="I62" s="13"/>
    </row>
    <row r="63" spans="1:13" ht="12.75" x14ac:dyDescent="0.2">
      <c r="A63" s="52"/>
      <c r="B63" s="9">
        <v>44</v>
      </c>
      <c r="C63" s="9" t="s">
        <v>1183</v>
      </c>
      <c r="D63" s="9" t="s">
        <v>24</v>
      </c>
      <c r="E63" s="9" t="s">
        <v>31</v>
      </c>
      <c r="F63" s="9" t="s">
        <v>47</v>
      </c>
      <c r="G63" s="9" t="s">
        <v>27</v>
      </c>
      <c r="H63" s="13"/>
      <c r="I63" s="13"/>
    </row>
    <row r="64" spans="1:13" ht="12.75" x14ac:dyDescent="0.2">
      <c r="A64" s="52"/>
      <c r="B64" s="9">
        <v>44</v>
      </c>
      <c r="C64" s="9" t="s">
        <v>1171</v>
      </c>
      <c r="D64" s="9" t="s">
        <v>24</v>
      </c>
      <c r="E64" s="9" t="s">
        <v>31</v>
      </c>
      <c r="F64" s="9" t="s">
        <v>47</v>
      </c>
      <c r="G64" s="9" t="s">
        <v>27</v>
      </c>
      <c r="H64" s="13"/>
      <c r="I64" s="13"/>
    </row>
    <row r="65" spans="1:9" ht="12.75" x14ac:dyDescent="0.2">
      <c r="A65" s="52"/>
      <c r="B65" s="9">
        <v>44</v>
      </c>
      <c r="C65" s="9" t="s">
        <v>1151</v>
      </c>
      <c r="D65" s="9" t="s">
        <v>24</v>
      </c>
      <c r="E65" s="9" t="s">
        <v>31</v>
      </c>
      <c r="F65" s="9" t="s">
        <v>47</v>
      </c>
      <c r="G65" s="9" t="s">
        <v>27</v>
      </c>
      <c r="H65" s="13"/>
      <c r="I65" s="13"/>
    </row>
    <row r="66" spans="1:9" ht="12.75" x14ac:dyDescent="0.2">
      <c r="A66" s="52"/>
      <c r="B66" s="9">
        <v>44</v>
      </c>
      <c r="C66" s="9" t="s">
        <v>1184</v>
      </c>
      <c r="D66" s="9" t="s">
        <v>24</v>
      </c>
      <c r="E66" s="9" t="s">
        <v>31</v>
      </c>
      <c r="F66" s="9" t="s">
        <v>47</v>
      </c>
      <c r="G66" s="9" t="s">
        <v>27</v>
      </c>
      <c r="H66" s="13"/>
      <c r="I66" s="13"/>
    </row>
    <row r="67" spans="1:9" ht="12.75" x14ac:dyDescent="0.2">
      <c r="A67" s="52"/>
      <c r="B67" s="9">
        <v>44</v>
      </c>
      <c r="C67" s="9" t="s">
        <v>1185</v>
      </c>
      <c r="D67" s="9" t="s">
        <v>24</v>
      </c>
      <c r="E67" s="9" t="s">
        <v>31</v>
      </c>
      <c r="F67" s="9" t="s">
        <v>87</v>
      </c>
      <c r="G67" s="9" t="s">
        <v>27</v>
      </c>
      <c r="H67" s="13"/>
      <c r="I67" s="13"/>
    </row>
    <row r="68" spans="1:9" ht="12.75" x14ac:dyDescent="0.2">
      <c r="A68" s="52"/>
      <c r="B68" s="9">
        <v>44</v>
      </c>
      <c r="C68" s="9" t="s">
        <v>1154</v>
      </c>
      <c r="D68" s="9" t="s">
        <v>30</v>
      </c>
      <c r="E68" s="9" t="s">
        <v>31</v>
      </c>
      <c r="F68" s="9" t="s">
        <v>87</v>
      </c>
      <c r="G68" s="9" t="s">
        <v>27</v>
      </c>
      <c r="H68" s="13"/>
      <c r="I68" s="13"/>
    </row>
    <row r="69" spans="1:9" ht="12.75" x14ac:dyDescent="0.2">
      <c r="A69" s="53"/>
      <c r="B69" s="9">
        <v>44</v>
      </c>
      <c r="C69" s="9" t="s">
        <v>1158</v>
      </c>
      <c r="D69" s="9" t="s">
        <v>24</v>
      </c>
      <c r="E69" s="9" t="s">
        <v>31</v>
      </c>
      <c r="F69" s="9" t="s">
        <v>87</v>
      </c>
      <c r="G69" s="9" t="s">
        <v>27</v>
      </c>
      <c r="H69" s="13"/>
      <c r="I69" s="13"/>
    </row>
    <row r="70" spans="1:9" ht="12.75" x14ac:dyDescent="0.2">
      <c r="A70" s="48" t="s">
        <v>46</v>
      </c>
      <c r="B70" s="9">
        <v>44</v>
      </c>
      <c r="C70" s="9" t="s">
        <v>1186</v>
      </c>
      <c r="D70" s="9" t="s">
        <v>24</v>
      </c>
      <c r="E70" s="9" t="s">
        <v>31</v>
      </c>
      <c r="F70" s="9" t="s">
        <v>47</v>
      </c>
      <c r="G70" s="9" t="s">
        <v>27</v>
      </c>
      <c r="H70" s="13"/>
      <c r="I70" s="13"/>
    </row>
    <row r="71" spans="1:9" ht="12.75" x14ac:dyDescent="0.2">
      <c r="A71" s="52"/>
      <c r="B71" s="9">
        <v>44</v>
      </c>
      <c r="C71" s="9" t="s">
        <v>1187</v>
      </c>
      <c r="D71" s="9" t="s">
        <v>24</v>
      </c>
      <c r="E71" s="9" t="s">
        <v>31</v>
      </c>
      <c r="F71" s="9" t="s">
        <v>47</v>
      </c>
      <c r="G71" s="9" t="s">
        <v>27</v>
      </c>
      <c r="H71" s="13"/>
      <c r="I71" s="13"/>
    </row>
    <row r="72" spans="1:9" ht="12.75" x14ac:dyDescent="0.2">
      <c r="A72" s="52"/>
      <c r="B72" s="9">
        <v>44</v>
      </c>
      <c r="C72" s="9" t="s">
        <v>1188</v>
      </c>
      <c r="D72" s="9" t="s">
        <v>24</v>
      </c>
      <c r="E72" s="9" t="s">
        <v>31</v>
      </c>
      <c r="F72" s="9" t="s">
        <v>47</v>
      </c>
      <c r="G72" s="9" t="s">
        <v>27</v>
      </c>
      <c r="H72" s="13"/>
      <c r="I72" s="13"/>
    </row>
    <row r="73" spans="1:9" ht="12.75" x14ac:dyDescent="0.2">
      <c r="A73" s="52"/>
      <c r="B73" s="9">
        <v>44</v>
      </c>
      <c r="C73" s="9" t="s">
        <v>1189</v>
      </c>
      <c r="D73" s="9" t="s">
        <v>24</v>
      </c>
      <c r="E73" s="9" t="s">
        <v>31</v>
      </c>
      <c r="F73" s="9" t="s">
        <v>47</v>
      </c>
      <c r="G73" s="9" t="s">
        <v>27</v>
      </c>
      <c r="H73" s="13"/>
      <c r="I73" s="13"/>
    </row>
    <row r="74" spans="1:9" ht="12.75" x14ac:dyDescent="0.2">
      <c r="A74" s="52"/>
      <c r="B74" s="9">
        <v>44</v>
      </c>
      <c r="C74" s="9" t="s">
        <v>1190</v>
      </c>
      <c r="D74" s="9" t="s">
        <v>24</v>
      </c>
      <c r="E74" s="9" t="s">
        <v>31</v>
      </c>
      <c r="F74" s="9" t="s">
        <v>47</v>
      </c>
      <c r="G74" s="9" t="s">
        <v>27</v>
      </c>
      <c r="H74" s="13"/>
      <c r="I74" s="13"/>
    </row>
    <row r="75" spans="1:9" ht="12.75" x14ac:dyDescent="0.2">
      <c r="A75" s="52"/>
      <c r="B75" s="9">
        <v>44</v>
      </c>
      <c r="C75" s="9" t="s">
        <v>1191</v>
      </c>
      <c r="D75" s="9" t="s">
        <v>24</v>
      </c>
      <c r="E75" s="9" t="s">
        <v>31</v>
      </c>
      <c r="F75" s="9" t="s">
        <v>47</v>
      </c>
      <c r="G75" s="9" t="s">
        <v>27</v>
      </c>
      <c r="H75" s="13"/>
      <c r="I75" s="13"/>
    </row>
    <row r="76" spans="1:9" ht="12.75" x14ac:dyDescent="0.2">
      <c r="A76" s="52"/>
      <c r="B76" s="9">
        <v>44</v>
      </c>
      <c r="C76" s="9" t="s">
        <v>1192</v>
      </c>
      <c r="D76" s="9" t="s">
        <v>24</v>
      </c>
      <c r="E76" s="9" t="s">
        <v>31</v>
      </c>
      <c r="F76" s="9" t="s">
        <v>47</v>
      </c>
      <c r="G76" s="9" t="s">
        <v>27</v>
      </c>
      <c r="H76" s="13"/>
      <c r="I76" s="13"/>
    </row>
    <row r="77" spans="1:9" ht="12.75" x14ac:dyDescent="0.2">
      <c r="A77" s="52"/>
      <c r="B77" s="9">
        <v>44</v>
      </c>
      <c r="C77" s="9" t="s">
        <v>1171</v>
      </c>
      <c r="D77" s="9" t="s">
        <v>24</v>
      </c>
      <c r="E77" s="9" t="s">
        <v>31</v>
      </c>
      <c r="F77" s="9" t="s">
        <v>47</v>
      </c>
      <c r="G77" s="9" t="s">
        <v>27</v>
      </c>
      <c r="H77" s="13"/>
      <c r="I77" s="13"/>
    </row>
    <row r="78" spans="1:9" ht="12.75" x14ac:dyDescent="0.2">
      <c r="A78" s="52"/>
      <c r="B78" s="9">
        <v>44</v>
      </c>
      <c r="C78" s="9" t="s">
        <v>1151</v>
      </c>
      <c r="D78" s="9" t="s">
        <v>24</v>
      </c>
      <c r="E78" s="9" t="s">
        <v>31</v>
      </c>
      <c r="F78" s="9" t="s">
        <v>47</v>
      </c>
      <c r="G78" s="9" t="s">
        <v>27</v>
      </c>
      <c r="H78" s="13"/>
      <c r="I78" s="13"/>
    </row>
    <row r="79" spans="1:9" ht="12.75" x14ac:dyDescent="0.2">
      <c r="A79" s="52"/>
      <c r="B79" s="9">
        <v>44</v>
      </c>
      <c r="C79" s="9" t="s">
        <v>1193</v>
      </c>
      <c r="D79" s="9" t="s">
        <v>24</v>
      </c>
      <c r="E79" s="9" t="s">
        <v>31</v>
      </c>
      <c r="F79" s="9" t="s">
        <v>87</v>
      </c>
      <c r="G79" s="9" t="s">
        <v>27</v>
      </c>
      <c r="H79" s="13"/>
      <c r="I79" s="13"/>
    </row>
    <row r="80" spans="1:9" ht="12.75" x14ac:dyDescent="0.2">
      <c r="A80" s="52"/>
      <c r="B80" s="9">
        <v>44</v>
      </c>
      <c r="C80" s="9" t="s">
        <v>1194</v>
      </c>
      <c r="D80" s="9" t="s">
        <v>24</v>
      </c>
      <c r="E80" s="9" t="s">
        <v>31</v>
      </c>
      <c r="F80" s="9" t="s">
        <v>87</v>
      </c>
      <c r="G80" s="9" t="s">
        <v>27</v>
      </c>
      <c r="H80" s="13"/>
      <c r="I80" s="13"/>
    </row>
    <row r="81" spans="1:9" ht="12.75" x14ac:dyDescent="0.2">
      <c r="A81" s="52"/>
      <c r="B81" s="9">
        <v>44</v>
      </c>
      <c r="C81" s="9" t="s">
        <v>1156</v>
      </c>
      <c r="D81" s="9" t="s">
        <v>24</v>
      </c>
      <c r="E81" s="9" t="s">
        <v>31</v>
      </c>
      <c r="F81" s="9" t="s">
        <v>87</v>
      </c>
      <c r="G81" s="9" t="s">
        <v>27</v>
      </c>
      <c r="H81" s="13"/>
      <c r="I81" s="13"/>
    </row>
    <row r="82" spans="1:9" ht="12.75" x14ac:dyDescent="0.2">
      <c r="A82" s="52"/>
      <c r="B82" s="9">
        <v>44</v>
      </c>
      <c r="C82" s="9" t="s">
        <v>1195</v>
      </c>
      <c r="D82" s="9" t="s">
        <v>24</v>
      </c>
      <c r="E82" s="9" t="s">
        <v>31</v>
      </c>
      <c r="F82" s="9" t="s">
        <v>87</v>
      </c>
      <c r="G82" s="9" t="s">
        <v>27</v>
      </c>
      <c r="H82" s="13"/>
      <c r="I82" s="13"/>
    </row>
    <row r="83" spans="1:9" ht="12.75" x14ac:dyDescent="0.2">
      <c r="A83" s="52"/>
      <c r="B83" s="9">
        <v>44</v>
      </c>
      <c r="C83" s="9" t="s">
        <v>1196</v>
      </c>
      <c r="D83" s="9" t="s">
        <v>24</v>
      </c>
      <c r="E83" s="9" t="s">
        <v>31</v>
      </c>
      <c r="F83" s="9" t="s">
        <v>87</v>
      </c>
      <c r="G83" s="9" t="s">
        <v>27</v>
      </c>
      <c r="H83" s="13"/>
      <c r="I83" s="13"/>
    </row>
    <row r="84" spans="1:9" ht="12.75" x14ac:dyDescent="0.2">
      <c r="A84" s="52"/>
      <c r="B84" s="9">
        <v>44</v>
      </c>
      <c r="C84" s="9" t="s">
        <v>1197</v>
      </c>
      <c r="D84" s="9" t="s">
        <v>24</v>
      </c>
      <c r="E84" s="9" t="s">
        <v>31</v>
      </c>
      <c r="F84" s="9" t="s">
        <v>87</v>
      </c>
      <c r="G84" s="9" t="s">
        <v>27</v>
      </c>
      <c r="H84" s="13"/>
      <c r="I84" s="13"/>
    </row>
    <row r="85" spans="1:9" ht="12.75" x14ac:dyDescent="0.2">
      <c r="A85" s="53"/>
      <c r="B85" s="9">
        <v>44</v>
      </c>
      <c r="C85" s="9" t="s">
        <v>1081</v>
      </c>
      <c r="D85" s="9" t="s">
        <v>24</v>
      </c>
      <c r="E85" s="9" t="s">
        <v>31</v>
      </c>
      <c r="F85" s="9" t="s">
        <v>87</v>
      </c>
      <c r="G85" s="9" t="s">
        <v>27</v>
      </c>
      <c r="H85" s="13"/>
      <c r="I85" s="13"/>
    </row>
    <row r="86" spans="1:9" ht="12.75" x14ac:dyDescent="0.2">
      <c r="A86" s="48" t="s">
        <v>49</v>
      </c>
      <c r="B86" s="12">
        <v>44</v>
      </c>
      <c r="C86" s="12" t="s">
        <v>1187</v>
      </c>
      <c r="D86" s="12" t="s">
        <v>24</v>
      </c>
      <c r="E86" s="12" t="s">
        <v>25</v>
      </c>
      <c r="F86" s="12" t="s">
        <v>26</v>
      </c>
      <c r="G86" s="9" t="s">
        <v>27</v>
      </c>
      <c r="H86" s="13"/>
      <c r="I86" s="13"/>
    </row>
    <row r="87" spans="1:9" ht="12.75" x14ac:dyDescent="0.2">
      <c r="A87" s="52"/>
      <c r="B87" s="12">
        <v>44</v>
      </c>
      <c r="C87" s="12" t="s">
        <v>1162</v>
      </c>
      <c r="D87" s="12" t="s">
        <v>24</v>
      </c>
      <c r="E87" s="12" t="s">
        <v>25</v>
      </c>
      <c r="F87" s="12" t="s">
        <v>26</v>
      </c>
      <c r="G87" s="9" t="s">
        <v>27</v>
      </c>
      <c r="H87" s="13"/>
      <c r="I87" s="13"/>
    </row>
    <row r="88" spans="1:9" ht="12.75" x14ac:dyDescent="0.2">
      <c r="A88" s="52"/>
      <c r="B88" s="12">
        <v>44</v>
      </c>
      <c r="C88" s="12" t="s">
        <v>1186</v>
      </c>
      <c r="D88" s="12" t="s">
        <v>24</v>
      </c>
      <c r="E88" s="12" t="s">
        <v>25</v>
      </c>
      <c r="F88" s="12" t="s">
        <v>26</v>
      </c>
      <c r="G88" s="9" t="s">
        <v>27</v>
      </c>
      <c r="H88" s="13"/>
      <c r="I88" s="13"/>
    </row>
    <row r="89" spans="1:9" ht="12.75" x14ac:dyDescent="0.2">
      <c r="A89" s="52"/>
      <c r="B89" s="12">
        <v>44</v>
      </c>
      <c r="C89" s="12" t="s">
        <v>1198</v>
      </c>
      <c r="D89" s="12" t="s">
        <v>24</v>
      </c>
      <c r="E89" s="12" t="s">
        <v>25</v>
      </c>
      <c r="F89" s="12" t="s">
        <v>26</v>
      </c>
      <c r="G89" s="9" t="s">
        <v>27</v>
      </c>
      <c r="H89" s="13"/>
      <c r="I89" s="13"/>
    </row>
    <row r="90" spans="1:9" ht="12.75" x14ac:dyDescent="0.2">
      <c r="A90" s="52"/>
      <c r="B90" s="12">
        <v>44</v>
      </c>
      <c r="C90" s="12" t="s">
        <v>1199</v>
      </c>
      <c r="D90" s="12" t="s">
        <v>24</v>
      </c>
      <c r="E90" s="12" t="s">
        <v>25</v>
      </c>
      <c r="F90" s="12" t="s">
        <v>47</v>
      </c>
      <c r="G90" s="9" t="s">
        <v>27</v>
      </c>
      <c r="H90" s="13"/>
      <c r="I90" s="13"/>
    </row>
    <row r="91" spans="1:9" ht="12.75" x14ac:dyDescent="0.2">
      <c r="A91" s="52"/>
      <c r="B91" s="12">
        <v>44</v>
      </c>
      <c r="C91" s="12" t="s">
        <v>1200</v>
      </c>
      <c r="D91" s="12" t="s">
        <v>24</v>
      </c>
      <c r="E91" s="12" t="s">
        <v>25</v>
      </c>
      <c r="F91" s="12" t="s">
        <v>47</v>
      </c>
      <c r="G91" s="9" t="s">
        <v>27</v>
      </c>
      <c r="H91" s="13"/>
      <c r="I91" s="13"/>
    </row>
    <row r="92" spans="1:9" ht="12.75" x14ac:dyDescent="0.2">
      <c r="A92" s="52"/>
      <c r="B92" s="12">
        <v>44</v>
      </c>
      <c r="C92" s="12" t="s">
        <v>1201</v>
      </c>
      <c r="D92" s="12" t="s">
        <v>24</v>
      </c>
      <c r="E92" s="12" t="s">
        <v>25</v>
      </c>
      <c r="F92" s="12" t="s">
        <v>47</v>
      </c>
      <c r="G92" s="9" t="s">
        <v>27</v>
      </c>
      <c r="H92" s="13"/>
      <c r="I92" s="13"/>
    </row>
    <row r="93" spans="1:9" ht="12.75" x14ac:dyDescent="0.2">
      <c r="A93" s="52"/>
      <c r="B93" s="12">
        <v>44</v>
      </c>
      <c r="C93" s="12" t="s">
        <v>1202</v>
      </c>
      <c r="D93" s="12" t="s">
        <v>24</v>
      </c>
      <c r="E93" s="12" t="s">
        <v>25</v>
      </c>
      <c r="F93" s="12" t="s">
        <v>47</v>
      </c>
      <c r="G93" s="9" t="s">
        <v>27</v>
      </c>
      <c r="H93" s="13"/>
      <c r="I93" s="13"/>
    </row>
    <row r="94" spans="1:9" ht="12.75" x14ac:dyDescent="0.2">
      <c r="A94" s="52"/>
      <c r="B94" s="12">
        <v>44</v>
      </c>
      <c r="C94" s="12" t="s">
        <v>1203</v>
      </c>
      <c r="D94" s="12" t="s">
        <v>24</v>
      </c>
      <c r="E94" s="12" t="s">
        <v>25</v>
      </c>
      <c r="F94" s="12" t="s">
        <v>47</v>
      </c>
      <c r="G94" s="9" t="s">
        <v>27</v>
      </c>
      <c r="H94" s="13"/>
      <c r="I94" s="13"/>
    </row>
    <row r="95" spans="1:9" ht="12.75" x14ac:dyDescent="0.2">
      <c r="A95" s="52"/>
      <c r="B95" s="12">
        <v>44</v>
      </c>
      <c r="C95" s="12" t="s">
        <v>1204</v>
      </c>
      <c r="D95" s="12" t="s">
        <v>24</v>
      </c>
      <c r="E95" s="12" t="s">
        <v>25</v>
      </c>
      <c r="F95" s="12" t="s">
        <v>47</v>
      </c>
      <c r="G95" s="9" t="s">
        <v>27</v>
      </c>
      <c r="H95" s="13"/>
      <c r="I95" s="13"/>
    </row>
    <row r="96" spans="1:9" ht="12.75" x14ac:dyDescent="0.2">
      <c r="A96" s="52"/>
      <c r="B96" s="12">
        <v>44</v>
      </c>
      <c r="C96" s="12" t="s">
        <v>1155</v>
      </c>
      <c r="D96" s="12" t="s">
        <v>24</v>
      </c>
      <c r="E96" s="12" t="s">
        <v>25</v>
      </c>
      <c r="F96" s="12" t="s">
        <v>47</v>
      </c>
      <c r="G96" s="9" t="s">
        <v>27</v>
      </c>
      <c r="H96" s="13"/>
      <c r="I96" s="13"/>
    </row>
    <row r="97" spans="1:9" ht="12.75" x14ac:dyDescent="0.2">
      <c r="A97" s="53"/>
      <c r="B97" s="12">
        <v>44</v>
      </c>
      <c r="C97" s="12" t="s">
        <v>1156</v>
      </c>
      <c r="D97" s="12" t="s">
        <v>24</v>
      </c>
      <c r="E97" s="12" t="s">
        <v>25</v>
      </c>
      <c r="F97" s="12" t="s">
        <v>47</v>
      </c>
      <c r="G97" s="9" t="s">
        <v>27</v>
      </c>
      <c r="H97" s="13"/>
      <c r="I97" s="13"/>
    </row>
    <row r="98" spans="1:9" ht="12.75" x14ac:dyDescent="0.2">
      <c r="A98" s="48" t="s">
        <v>52</v>
      </c>
      <c r="B98" s="9">
        <v>44</v>
      </c>
      <c r="C98" s="9" t="s">
        <v>942</v>
      </c>
      <c r="D98" s="9" t="s">
        <v>24</v>
      </c>
      <c r="E98" s="9" t="s">
        <v>31</v>
      </c>
      <c r="F98" s="9" t="s">
        <v>87</v>
      </c>
      <c r="G98" s="9" t="s">
        <v>27</v>
      </c>
      <c r="H98" s="13"/>
      <c r="I98" s="13"/>
    </row>
    <row r="99" spans="1:9" ht="12.75" x14ac:dyDescent="0.2">
      <c r="A99" s="52"/>
      <c r="B99" s="9">
        <v>44</v>
      </c>
      <c r="C99" s="9" t="s">
        <v>1187</v>
      </c>
      <c r="D99" s="9" t="s">
        <v>24</v>
      </c>
      <c r="E99" s="9" t="s">
        <v>31</v>
      </c>
      <c r="F99" s="9" t="s">
        <v>87</v>
      </c>
      <c r="G99" s="9" t="s">
        <v>27</v>
      </c>
      <c r="H99" s="13"/>
      <c r="I99" s="13"/>
    </row>
    <row r="100" spans="1:9" ht="12.75" x14ac:dyDescent="0.2">
      <c r="A100" s="52"/>
      <c r="B100" s="9">
        <v>44</v>
      </c>
      <c r="C100" s="9" t="s">
        <v>1205</v>
      </c>
      <c r="D100" s="9" t="s">
        <v>24</v>
      </c>
      <c r="E100" s="9" t="s">
        <v>31</v>
      </c>
      <c r="F100" s="9" t="s">
        <v>87</v>
      </c>
      <c r="G100" s="9" t="s">
        <v>27</v>
      </c>
      <c r="H100" s="13"/>
      <c r="I100" s="13"/>
    </row>
    <row r="101" spans="1:9" ht="12.75" x14ac:dyDescent="0.2">
      <c r="A101" s="52"/>
      <c r="B101" s="9">
        <v>44</v>
      </c>
      <c r="C101" s="9" t="s">
        <v>1189</v>
      </c>
      <c r="D101" s="9" t="s">
        <v>24</v>
      </c>
      <c r="E101" s="9" t="s">
        <v>31</v>
      </c>
      <c r="F101" s="9" t="s">
        <v>87</v>
      </c>
      <c r="G101" s="9" t="s">
        <v>27</v>
      </c>
      <c r="H101" s="13"/>
      <c r="I101" s="13"/>
    </row>
    <row r="102" spans="1:9" ht="12.75" x14ac:dyDescent="0.2">
      <c r="A102" s="52"/>
      <c r="B102" s="9">
        <v>44</v>
      </c>
      <c r="C102" s="9" t="s">
        <v>1188</v>
      </c>
      <c r="D102" s="9" t="s">
        <v>24</v>
      </c>
      <c r="E102" s="9" t="s">
        <v>31</v>
      </c>
      <c r="F102" s="9" t="s">
        <v>87</v>
      </c>
      <c r="G102" s="9" t="s">
        <v>27</v>
      </c>
      <c r="H102" s="13"/>
      <c r="I102" s="13"/>
    </row>
    <row r="103" spans="1:9" ht="12.75" x14ac:dyDescent="0.2">
      <c r="A103" s="52"/>
      <c r="B103" s="9">
        <v>44</v>
      </c>
      <c r="C103" s="9" t="s">
        <v>1155</v>
      </c>
      <c r="D103" s="9" t="s">
        <v>24</v>
      </c>
      <c r="E103" s="9" t="s">
        <v>31</v>
      </c>
      <c r="F103" s="9" t="s">
        <v>87</v>
      </c>
      <c r="G103" s="9" t="s">
        <v>27</v>
      </c>
      <c r="H103" s="13"/>
      <c r="I103" s="13"/>
    </row>
    <row r="104" spans="1:9" ht="12.75" x14ac:dyDescent="0.2">
      <c r="A104" s="52"/>
      <c r="B104" s="9">
        <v>44</v>
      </c>
      <c r="C104" s="9" t="s">
        <v>1206</v>
      </c>
      <c r="D104" s="9" t="s">
        <v>24</v>
      </c>
      <c r="E104" s="9" t="s">
        <v>31</v>
      </c>
      <c r="F104" s="9" t="s">
        <v>87</v>
      </c>
      <c r="G104" s="9" t="s">
        <v>27</v>
      </c>
      <c r="H104" s="13"/>
      <c r="I104" s="13"/>
    </row>
    <row r="105" spans="1:9" ht="12.75" x14ac:dyDescent="0.2">
      <c r="A105" s="52"/>
      <c r="B105" s="9">
        <v>44</v>
      </c>
      <c r="C105" s="9" t="s">
        <v>1207</v>
      </c>
      <c r="D105" s="9" t="s">
        <v>24</v>
      </c>
      <c r="E105" s="9" t="s">
        <v>31</v>
      </c>
      <c r="F105" s="9" t="s">
        <v>87</v>
      </c>
      <c r="G105" s="9" t="s">
        <v>27</v>
      </c>
      <c r="H105" s="13"/>
      <c r="I105" s="13"/>
    </row>
    <row r="106" spans="1:9" ht="12.75" x14ac:dyDescent="0.2">
      <c r="A106" s="52"/>
      <c r="B106" s="9">
        <v>44</v>
      </c>
      <c r="C106" s="9" t="s">
        <v>1156</v>
      </c>
      <c r="D106" s="9" t="s">
        <v>24</v>
      </c>
      <c r="E106" s="9" t="s">
        <v>31</v>
      </c>
      <c r="F106" s="9" t="s">
        <v>87</v>
      </c>
      <c r="G106" s="9" t="s">
        <v>27</v>
      </c>
      <c r="H106" s="13"/>
      <c r="I106" s="13"/>
    </row>
    <row r="107" spans="1:9" ht="12.75" x14ac:dyDescent="0.2">
      <c r="A107" s="52"/>
      <c r="B107" s="9">
        <v>44</v>
      </c>
      <c r="C107" s="9" t="s">
        <v>1081</v>
      </c>
      <c r="D107" s="9" t="s">
        <v>24</v>
      </c>
      <c r="E107" s="9" t="s">
        <v>31</v>
      </c>
      <c r="F107" s="9" t="s">
        <v>87</v>
      </c>
      <c r="G107" s="9" t="s">
        <v>27</v>
      </c>
      <c r="H107" s="13"/>
      <c r="I107" s="13"/>
    </row>
    <row r="108" spans="1:9" ht="12.75" x14ac:dyDescent="0.2">
      <c r="A108" s="52"/>
      <c r="B108" s="9">
        <v>44</v>
      </c>
      <c r="C108" s="9" t="s">
        <v>1151</v>
      </c>
      <c r="D108" s="9" t="s">
        <v>24</v>
      </c>
      <c r="E108" s="9" t="s">
        <v>31</v>
      </c>
      <c r="F108" s="9" t="s">
        <v>26</v>
      </c>
      <c r="G108" s="9" t="s">
        <v>27</v>
      </c>
      <c r="H108" s="13"/>
      <c r="I108" s="13"/>
    </row>
    <row r="109" spans="1:9" ht="12.75" x14ac:dyDescent="0.2">
      <c r="A109" s="53"/>
      <c r="B109" s="9">
        <v>44</v>
      </c>
      <c r="C109" s="9" t="s">
        <v>1071</v>
      </c>
      <c r="D109" s="9" t="s">
        <v>24</v>
      </c>
      <c r="E109" s="9" t="s">
        <v>31</v>
      </c>
      <c r="F109" s="9" t="s">
        <v>47</v>
      </c>
      <c r="G109" s="9" t="s">
        <v>27</v>
      </c>
      <c r="H109" s="13"/>
      <c r="I109" s="13"/>
    </row>
    <row r="110" spans="1:9" ht="12.75" x14ac:dyDescent="0.2">
      <c r="A110" s="48" t="s">
        <v>59</v>
      </c>
      <c r="B110" s="9">
        <v>44</v>
      </c>
      <c r="C110" s="9" t="s">
        <v>942</v>
      </c>
      <c r="D110" s="9" t="s">
        <v>24</v>
      </c>
      <c r="E110" s="9" t="s">
        <v>31</v>
      </c>
      <c r="F110" s="9" t="s">
        <v>87</v>
      </c>
      <c r="G110" s="9" t="s">
        <v>27</v>
      </c>
      <c r="H110" s="13"/>
      <c r="I110" s="13"/>
    </row>
    <row r="111" spans="1:9" ht="12.75" x14ac:dyDescent="0.2">
      <c r="A111" s="52"/>
      <c r="B111" s="9">
        <v>44</v>
      </c>
      <c r="C111" s="9" t="s">
        <v>1208</v>
      </c>
      <c r="D111" s="9" t="s">
        <v>24</v>
      </c>
      <c r="E111" s="9" t="s">
        <v>31</v>
      </c>
      <c r="F111" s="9" t="s">
        <v>47</v>
      </c>
      <c r="G111" s="9" t="s">
        <v>27</v>
      </c>
      <c r="H111" s="13"/>
      <c r="I111" s="13"/>
    </row>
    <row r="112" spans="1:9" ht="12.75" x14ac:dyDescent="0.2">
      <c r="A112" s="52"/>
      <c r="B112" s="9">
        <v>44</v>
      </c>
      <c r="C112" s="9" t="s">
        <v>1205</v>
      </c>
      <c r="D112" s="9" t="s">
        <v>24</v>
      </c>
      <c r="E112" s="9" t="s">
        <v>31</v>
      </c>
      <c r="F112" s="9" t="s">
        <v>47</v>
      </c>
      <c r="G112" s="9" t="s">
        <v>27</v>
      </c>
      <c r="H112" s="13"/>
      <c r="I112" s="13"/>
    </row>
    <row r="113" spans="1:9" ht="12.75" x14ac:dyDescent="0.2">
      <c r="A113" s="52"/>
      <c r="B113" s="9">
        <v>44</v>
      </c>
      <c r="C113" s="9" t="s">
        <v>1189</v>
      </c>
      <c r="D113" s="9" t="s">
        <v>24</v>
      </c>
      <c r="E113" s="9" t="s">
        <v>31</v>
      </c>
      <c r="F113" s="9" t="s">
        <v>87</v>
      </c>
      <c r="G113" s="9" t="s">
        <v>27</v>
      </c>
      <c r="H113" s="13"/>
      <c r="I113" s="13"/>
    </row>
    <row r="114" spans="1:9" ht="12.75" x14ac:dyDescent="0.2">
      <c r="A114" s="52"/>
      <c r="B114" s="9">
        <v>44</v>
      </c>
      <c r="C114" s="9" t="s">
        <v>1156</v>
      </c>
      <c r="D114" s="9" t="s">
        <v>24</v>
      </c>
      <c r="E114" s="9" t="s">
        <v>31</v>
      </c>
      <c r="F114" s="9" t="s">
        <v>87</v>
      </c>
      <c r="G114" s="9" t="s">
        <v>27</v>
      </c>
      <c r="H114" s="13"/>
      <c r="I114" s="13"/>
    </row>
    <row r="115" spans="1:9" ht="12.75" x14ac:dyDescent="0.2">
      <c r="A115" s="52"/>
      <c r="B115" s="9">
        <v>44</v>
      </c>
      <c r="C115" s="9" t="s">
        <v>1155</v>
      </c>
      <c r="D115" s="9" t="s">
        <v>24</v>
      </c>
      <c r="E115" s="9" t="s">
        <v>31</v>
      </c>
      <c r="F115" s="9" t="s">
        <v>47</v>
      </c>
      <c r="G115" s="9" t="s">
        <v>27</v>
      </c>
      <c r="H115" s="13"/>
      <c r="I115" s="13"/>
    </row>
    <row r="116" spans="1:9" ht="12.75" x14ac:dyDescent="0.2">
      <c r="A116" s="53"/>
      <c r="B116" s="9">
        <v>44</v>
      </c>
      <c r="C116" s="9" t="s">
        <v>1209</v>
      </c>
      <c r="D116" s="9" t="s">
        <v>24</v>
      </c>
      <c r="E116" s="9" t="s">
        <v>31</v>
      </c>
      <c r="F116" s="9" t="s">
        <v>87</v>
      </c>
      <c r="G116" s="9" t="s">
        <v>27</v>
      </c>
      <c r="H116" s="13"/>
      <c r="I116" s="13"/>
    </row>
    <row r="117" spans="1:9" ht="12.75" x14ac:dyDescent="0.2">
      <c r="A117" s="48" t="s">
        <v>101</v>
      </c>
      <c r="B117" s="9">
        <v>44</v>
      </c>
      <c r="C117" s="9" t="s">
        <v>530</v>
      </c>
      <c r="D117" s="9" t="s">
        <v>24</v>
      </c>
      <c r="E117" s="9" t="s">
        <v>31</v>
      </c>
      <c r="F117" s="9" t="s">
        <v>47</v>
      </c>
      <c r="G117" s="9" t="s">
        <v>27</v>
      </c>
      <c r="H117" s="13"/>
      <c r="I117" s="13"/>
    </row>
    <row r="118" spans="1:9" ht="12.75" x14ac:dyDescent="0.2">
      <c r="A118" s="53"/>
      <c r="B118" s="9">
        <v>44</v>
      </c>
      <c r="C118" s="9" t="s">
        <v>1210</v>
      </c>
      <c r="D118" s="9" t="s">
        <v>24</v>
      </c>
      <c r="E118" s="9" t="s">
        <v>31</v>
      </c>
      <c r="F118" s="9" t="s">
        <v>47</v>
      </c>
      <c r="G118" s="9" t="s">
        <v>27</v>
      </c>
      <c r="H118" s="13"/>
      <c r="I118" s="13"/>
    </row>
    <row r="119" spans="1:9" ht="12.75" x14ac:dyDescent="0.2">
      <c r="A119" s="48" t="s">
        <v>62</v>
      </c>
      <c r="B119" s="9">
        <v>44</v>
      </c>
      <c r="C119" s="9" t="s">
        <v>1168</v>
      </c>
      <c r="D119" s="9" t="s">
        <v>24</v>
      </c>
      <c r="E119" s="9" t="s">
        <v>31</v>
      </c>
      <c r="F119" s="9" t="s">
        <v>26</v>
      </c>
      <c r="G119" s="9" t="s">
        <v>27</v>
      </c>
      <c r="H119" s="13"/>
      <c r="I119" s="13"/>
    </row>
    <row r="120" spans="1:9" ht="12.75" x14ac:dyDescent="0.2">
      <c r="A120" s="52"/>
      <c r="B120" s="9">
        <v>44</v>
      </c>
      <c r="C120" s="9" t="s">
        <v>1211</v>
      </c>
      <c r="D120" s="9" t="s">
        <v>24</v>
      </c>
      <c r="E120" s="9" t="s">
        <v>31</v>
      </c>
      <c r="F120" s="9" t="s">
        <v>47</v>
      </c>
      <c r="G120" s="9" t="s">
        <v>27</v>
      </c>
      <c r="H120" s="13"/>
      <c r="I120" s="13"/>
    </row>
    <row r="121" spans="1:9" ht="12.75" x14ac:dyDescent="0.2">
      <c r="A121" s="52"/>
      <c r="B121" s="9">
        <v>44</v>
      </c>
      <c r="C121" s="9" t="s">
        <v>1212</v>
      </c>
      <c r="D121" s="9" t="s">
        <v>24</v>
      </c>
      <c r="E121" s="9" t="s">
        <v>31</v>
      </c>
      <c r="F121" s="9" t="s">
        <v>47</v>
      </c>
      <c r="G121" s="9" t="s">
        <v>27</v>
      </c>
      <c r="H121" s="13"/>
      <c r="I121" s="13"/>
    </row>
    <row r="122" spans="1:9" ht="12.75" x14ac:dyDescent="0.2">
      <c r="A122" s="52"/>
      <c r="B122" s="9">
        <v>44</v>
      </c>
      <c r="C122" s="9" t="s">
        <v>1213</v>
      </c>
      <c r="D122" s="9" t="s">
        <v>24</v>
      </c>
      <c r="E122" s="9" t="s">
        <v>31</v>
      </c>
      <c r="F122" s="9" t="s">
        <v>47</v>
      </c>
      <c r="G122" s="9" t="s">
        <v>27</v>
      </c>
      <c r="H122" s="13"/>
      <c r="I122" s="13"/>
    </row>
    <row r="123" spans="1:9" ht="12.75" x14ac:dyDescent="0.2">
      <c r="A123" s="52"/>
      <c r="B123" s="9">
        <v>44</v>
      </c>
      <c r="C123" s="9" t="s">
        <v>1151</v>
      </c>
      <c r="D123" s="9" t="s">
        <v>24</v>
      </c>
      <c r="E123" s="9" t="s">
        <v>31</v>
      </c>
      <c r="F123" s="9" t="s">
        <v>47</v>
      </c>
      <c r="G123" s="9" t="s">
        <v>27</v>
      </c>
      <c r="H123" s="13"/>
      <c r="I123" s="13"/>
    </row>
    <row r="124" spans="1:9" ht="12.75" x14ac:dyDescent="0.2">
      <c r="A124" s="52"/>
      <c r="B124" s="9">
        <v>44</v>
      </c>
      <c r="C124" s="9" t="s">
        <v>1214</v>
      </c>
      <c r="D124" s="9" t="s">
        <v>24</v>
      </c>
      <c r="E124" s="9" t="s">
        <v>31</v>
      </c>
      <c r="F124" s="9" t="s">
        <v>47</v>
      </c>
      <c r="G124" s="9" t="s">
        <v>27</v>
      </c>
      <c r="H124" s="13"/>
      <c r="I124" s="13"/>
    </row>
    <row r="125" spans="1:9" ht="12.75" x14ac:dyDescent="0.2">
      <c r="A125" s="52"/>
      <c r="B125" s="9">
        <v>44</v>
      </c>
      <c r="C125" s="9" t="s">
        <v>1154</v>
      </c>
      <c r="D125" s="9" t="s">
        <v>30</v>
      </c>
      <c r="E125" s="9" t="s">
        <v>31</v>
      </c>
      <c r="F125" s="9" t="s">
        <v>47</v>
      </c>
      <c r="G125" s="9" t="s">
        <v>27</v>
      </c>
      <c r="H125" s="13"/>
      <c r="I125" s="13"/>
    </row>
    <row r="126" spans="1:9" ht="12.75" x14ac:dyDescent="0.2">
      <c r="A126" s="53"/>
      <c r="B126" s="9">
        <v>44</v>
      </c>
      <c r="C126" s="9" t="s">
        <v>1158</v>
      </c>
      <c r="D126" s="9" t="s">
        <v>24</v>
      </c>
      <c r="E126" s="9" t="s">
        <v>31</v>
      </c>
      <c r="F126" s="9" t="s">
        <v>47</v>
      </c>
      <c r="G126" s="9" t="s">
        <v>27</v>
      </c>
      <c r="H126" s="13"/>
      <c r="I126" s="13"/>
    </row>
    <row r="127" spans="1:9" ht="12.75" x14ac:dyDescent="0.2">
      <c r="A127" s="48" t="s">
        <v>70</v>
      </c>
      <c r="B127" s="9">
        <v>44</v>
      </c>
      <c r="C127" s="9" t="s">
        <v>942</v>
      </c>
      <c r="D127" s="9" t="s">
        <v>24</v>
      </c>
      <c r="E127" s="9" t="s">
        <v>31</v>
      </c>
      <c r="F127" s="9" t="s">
        <v>87</v>
      </c>
      <c r="G127" s="9" t="s">
        <v>27</v>
      </c>
      <c r="H127" s="13"/>
      <c r="I127" s="13"/>
    </row>
    <row r="128" spans="1:9" ht="12.75" x14ac:dyDescent="0.2">
      <c r="A128" s="52"/>
      <c r="B128" s="9">
        <v>44</v>
      </c>
      <c r="C128" s="9" t="s">
        <v>1215</v>
      </c>
      <c r="D128" s="9" t="s">
        <v>24</v>
      </c>
      <c r="E128" s="9" t="s">
        <v>31</v>
      </c>
      <c r="F128" s="9" t="s">
        <v>87</v>
      </c>
      <c r="G128" s="9" t="s">
        <v>27</v>
      </c>
      <c r="H128" s="13"/>
      <c r="I128" s="13"/>
    </row>
    <row r="129" spans="1:9" ht="12.75" x14ac:dyDescent="0.2">
      <c r="A129" s="52"/>
      <c r="B129" s="9">
        <v>44</v>
      </c>
      <c r="C129" s="9" t="s">
        <v>1206</v>
      </c>
      <c r="D129" s="9" t="s">
        <v>24</v>
      </c>
      <c r="E129" s="9" t="s">
        <v>31</v>
      </c>
      <c r="F129" s="9" t="s">
        <v>87</v>
      </c>
      <c r="G129" s="9" t="s">
        <v>27</v>
      </c>
      <c r="H129" s="13"/>
      <c r="I129" s="13"/>
    </row>
    <row r="130" spans="1:9" ht="12.75" x14ac:dyDescent="0.2">
      <c r="A130" s="53"/>
      <c r="B130" s="9">
        <v>44</v>
      </c>
      <c r="C130" s="9" t="s">
        <v>1187</v>
      </c>
      <c r="D130" s="9" t="s">
        <v>24</v>
      </c>
      <c r="E130" s="9" t="s">
        <v>31</v>
      </c>
      <c r="F130" s="9" t="s">
        <v>87</v>
      </c>
      <c r="G130" s="9" t="s">
        <v>27</v>
      </c>
      <c r="H130" s="13"/>
      <c r="I130" s="13"/>
    </row>
    <row r="131" spans="1:9" ht="12.75" x14ac:dyDescent="0.2">
      <c r="A131" s="48" t="s">
        <v>73</v>
      </c>
      <c r="B131" s="9">
        <v>44</v>
      </c>
      <c r="C131" s="9" t="s">
        <v>1216</v>
      </c>
      <c r="D131" s="9" t="s">
        <v>24</v>
      </c>
      <c r="E131" s="9" t="s">
        <v>31</v>
      </c>
      <c r="F131" s="9" t="s">
        <v>47</v>
      </c>
      <c r="G131" s="9" t="s">
        <v>27</v>
      </c>
      <c r="H131" s="13"/>
      <c r="I131" s="13"/>
    </row>
    <row r="132" spans="1:9" ht="12.75" x14ac:dyDescent="0.2">
      <c r="A132" s="52"/>
      <c r="B132" s="9">
        <v>44</v>
      </c>
      <c r="C132" s="9" t="s">
        <v>1217</v>
      </c>
      <c r="D132" s="9" t="s">
        <v>24</v>
      </c>
      <c r="E132" s="9" t="s">
        <v>31</v>
      </c>
      <c r="F132" s="9" t="s">
        <v>47</v>
      </c>
      <c r="G132" s="9" t="s">
        <v>27</v>
      </c>
      <c r="H132" s="13"/>
      <c r="I132" s="13"/>
    </row>
    <row r="133" spans="1:9" ht="12.75" x14ac:dyDescent="0.2">
      <c r="A133" s="52"/>
      <c r="B133" s="9">
        <v>44</v>
      </c>
      <c r="C133" s="9" t="s">
        <v>1218</v>
      </c>
      <c r="D133" s="9" t="s">
        <v>24</v>
      </c>
      <c r="E133" s="9" t="s">
        <v>31</v>
      </c>
      <c r="F133" s="9" t="s">
        <v>47</v>
      </c>
      <c r="G133" s="9" t="s">
        <v>27</v>
      </c>
      <c r="H133" s="13"/>
      <c r="I133" s="13"/>
    </row>
    <row r="134" spans="1:9" ht="12.75" x14ac:dyDescent="0.2">
      <c r="A134" s="52"/>
      <c r="B134" s="9">
        <v>44</v>
      </c>
      <c r="C134" s="9" t="s">
        <v>1219</v>
      </c>
      <c r="D134" s="9" t="s">
        <v>24</v>
      </c>
      <c r="E134" s="9" t="s">
        <v>31</v>
      </c>
      <c r="F134" s="9" t="s">
        <v>47</v>
      </c>
      <c r="G134" s="9" t="s">
        <v>27</v>
      </c>
      <c r="H134" s="13"/>
      <c r="I134" s="13"/>
    </row>
    <row r="135" spans="1:9" ht="12.75" x14ac:dyDescent="0.2">
      <c r="A135" s="52"/>
      <c r="B135" s="9">
        <v>44</v>
      </c>
      <c r="C135" s="9" t="s">
        <v>1188</v>
      </c>
      <c r="D135" s="9" t="s">
        <v>24</v>
      </c>
      <c r="E135" s="9" t="s">
        <v>31</v>
      </c>
      <c r="F135" s="9" t="s">
        <v>47</v>
      </c>
      <c r="G135" s="9" t="s">
        <v>27</v>
      </c>
      <c r="H135" s="13"/>
      <c r="I135" s="13"/>
    </row>
    <row r="136" spans="1:9" ht="12.75" x14ac:dyDescent="0.2">
      <c r="A136" s="52"/>
      <c r="B136" s="9">
        <v>44</v>
      </c>
      <c r="C136" s="9" t="s">
        <v>1189</v>
      </c>
      <c r="D136" s="9" t="s">
        <v>24</v>
      </c>
      <c r="E136" s="9" t="s">
        <v>31</v>
      </c>
      <c r="F136" s="9" t="s">
        <v>47</v>
      </c>
      <c r="G136" s="9" t="s">
        <v>27</v>
      </c>
      <c r="H136" s="13"/>
      <c r="I136" s="13"/>
    </row>
    <row r="137" spans="1:9" ht="12.75" x14ac:dyDescent="0.2">
      <c r="A137" s="52"/>
      <c r="B137" s="9">
        <v>44</v>
      </c>
      <c r="C137" s="9" t="s">
        <v>1184</v>
      </c>
      <c r="D137" s="9" t="s">
        <v>24</v>
      </c>
      <c r="E137" s="9" t="s">
        <v>31</v>
      </c>
      <c r="F137" s="9" t="s">
        <v>47</v>
      </c>
      <c r="G137" s="9" t="s">
        <v>27</v>
      </c>
      <c r="H137" s="13"/>
      <c r="I137" s="13"/>
    </row>
    <row r="138" spans="1:9" ht="12.75" x14ac:dyDescent="0.2">
      <c r="A138" s="52"/>
      <c r="B138" s="9">
        <v>44</v>
      </c>
      <c r="C138" s="9" t="s">
        <v>1220</v>
      </c>
      <c r="D138" s="9" t="s">
        <v>24</v>
      </c>
      <c r="E138" s="9" t="s">
        <v>31</v>
      </c>
      <c r="F138" s="9" t="s">
        <v>47</v>
      </c>
      <c r="G138" s="9" t="s">
        <v>27</v>
      </c>
      <c r="H138" s="13"/>
      <c r="I138" s="13"/>
    </row>
    <row r="139" spans="1:9" ht="12.75" x14ac:dyDescent="0.2">
      <c r="A139" s="52"/>
      <c r="B139" s="9">
        <v>44</v>
      </c>
      <c r="C139" s="9" t="s">
        <v>1221</v>
      </c>
      <c r="D139" s="9" t="s">
        <v>24</v>
      </c>
      <c r="E139" s="9" t="s">
        <v>31</v>
      </c>
      <c r="F139" s="9" t="s">
        <v>47</v>
      </c>
      <c r="G139" s="9" t="s">
        <v>27</v>
      </c>
      <c r="H139" s="13"/>
      <c r="I139" s="13"/>
    </row>
    <row r="140" spans="1:9" ht="12.75" x14ac:dyDescent="0.2">
      <c r="A140" s="53"/>
      <c r="B140" s="9">
        <v>44</v>
      </c>
      <c r="C140" s="9" t="s">
        <v>1222</v>
      </c>
      <c r="D140" s="9" t="s">
        <v>24</v>
      </c>
      <c r="E140" s="9" t="s">
        <v>31</v>
      </c>
      <c r="F140" s="9" t="s">
        <v>26</v>
      </c>
      <c r="G140" s="9" t="s">
        <v>27</v>
      </c>
      <c r="H140" s="13"/>
      <c r="I140" s="13"/>
    </row>
    <row r="141" spans="1:9" ht="12.75" x14ac:dyDescent="0.2">
      <c r="A141" s="48" t="s">
        <v>77</v>
      </c>
      <c r="B141" s="9">
        <v>44</v>
      </c>
      <c r="C141" s="9" t="s">
        <v>1189</v>
      </c>
      <c r="D141" s="9" t="s">
        <v>24</v>
      </c>
      <c r="E141" s="9" t="s">
        <v>31</v>
      </c>
      <c r="F141" s="9" t="s">
        <v>47</v>
      </c>
      <c r="G141" s="9" t="s">
        <v>27</v>
      </c>
      <c r="H141" s="13"/>
      <c r="I141" s="13"/>
    </row>
    <row r="142" spans="1:9" ht="12.75" x14ac:dyDescent="0.2">
      <c r="A142" s="52"/>
      <c r="B142" s="9">
        <v>44</v>
      </c>
      <c r="C142" s="9" t="s">
        <v>1188</v>
      </c>
      <c r="D142" s="9" t="s">
        <v>24</v>
      </c>
      <c r="E142" s="9" t="s">
        <v>31</v>
      </c>
      <c r="F142" s="9" t="s">
        <v>26</v>
      </c>
      <c r="G142" s="9" t="s">
        <v>27</v>
      </c>
      <c r="H142" s="13"/>
      <c r="I142" s="13"/>
    </row>
    <row r="143" spans="1:9" ht="12.75" x14ac:dyDescent="0.2">
      <c r="A143" s="52"/>
      <c r="B143" s="9">
        <v>44</v>
      </c>
      <c r="C143" s="9" t="s">
        <v>1223</v>
      </c>
      <c r="D143" s="9" t="s">
        <v>24</v>
      </c>
      <c r="E143" s="9" t="s">
        <v>31</v>
      </c>
      <c r="F143" s="9" t="s">
        <v>47</v>
      </c>
      <c r="G143" s="9" t="s">
        <v>27</v>
      </c>
      <c r="H143" s="13"/>
      <c r="I143" s="13"/>
    </row>
    <row r="144" spans="1:9" ht="12.75" x14ac:dyDescent="0.2">
      <c r="A144" s="52"/>
      <c r="B144" s="9">
        <v>44</v>
      </c>
      <c r="C144" s="9" t="s">
        <v>1220</v>
      </c>
      <c r="D144" s="9" t="s">
        <v>24</v>
      </c>
      <c r="E144" s="9" t="s">
        <v>31</v>
      </c>
      <c r="F144" s="9" t="s">
        <v>26</v>
      </c>
      <c r="G144" s="9" t="s">
        <v>27</v>
      </c>
      <c r="H144" s="13"/>
      <c r="I144" s="13"/>
    </row>
    <row r="145" spans="1:9" ht="12.75" x14ac:dyDescent="0.2">
      <c r="A145" s="52"/>
      <c r="B145" s="9">
        <v>44</v>
      </c>
      <c r="C145" s="9" t="s">
        <v>1154</v>
      </c>
      <c r="D145" s="9" t="s">
        <v>30</v>
      </c>
      <c r="E145" s="9" t="s">
        <v>31</v>
      </c>
      <c r="F145" s="9" t="s">
        <v>47</v>
      </c>
      <c r="G145" s="9" t="s">
        <v>27</v>
      </c>
      <c r="H145" s="13"/>
      <c r="I145" s="13"/>
    </row>
    <row r="146" spans="1:9" ht="12.75" x14ac:dyDescent="0.2">
      <c r="A146" s="53"/>
      <c r="B146" s="9">
        <v>44</v>
      </c>
      <c r="C146" s="9" t="s">
        <v>1156</v>
      </c>
      <c r="D146" s="9" t="s">
        <v>24</v>
      </c>
      <c r="E146" s="9" t="s">
        <v>31</v>
      </c>
      <c r="F146" s="9" t="s">
        <v>47</v>
      </c>
      <c r="G146" s="9" t="s">
        <v>27</v>
      </c>
      <c r="H146" s="13"/>
      <c r="I146" s="13"/>
    </row>
    <row r="147" spans="1:9" ht="12.75" x14ac:dyDescent="0.2">
      <c r="A147" s="48" t="s">
        <v>79</v>
      </c>
      <c r="B147" s="12">
        <v>44</v>
      </c>
      <c r="C147" s="12" t="s">
        <v>1216</v>
      </c>
      <c r="D147" s="12" t="s">
        <v>24</v>
      </c>
      <c r="E147" s="12" t="s">
        <v>25</v>
      </c>
      <c r="F147" s="12" t="s">
        <v>47</v>
      </c>
      <c r="G147" s="9" t="s">
        <v>27</v>
      </c>
      <c r="H147" s="13"/>
      <c r="I147" s="13"/>
    </row>
    <row r="148" spans="1:9" ht="12.75" x14ac:dyDescent="0.2">
      <c r="A148" s="52"/>
      <c r="B148" s="12">
        <v>44</v>
      </c>
      <c r="C148" s="12" t="s">
        <v>1224</v>
      </c>
      <c r="D148" s="12" t="s">
        <v>24</v>
      </c>
      <c r="E148" s="12" t="s">
        <v>25</v>
      </c>
      <c r="F148" s="12" t="s">
        <v>26</v>
      </c>
      <c r="G148" s="9" t="s">
        <v>27</v>
      </c>
      <c r="H148" s="13"/>
      <c r="I148" s="13"/>
    </row>
    <row r="149" spans="1:9" ht="12.75" x14ac:dyDescent="0.2">
      <c r="A149" s="52"/>
      <c r="B149" s="12">
        <v>44</v>
      </c>
      <c r="C149" s="12" t="s">
        <v>1189</v>
      </c>
      <c r="D149" s="12" t="s">
        <v>24</v>
      </c>
      <c r="E149" s="12" t="s">
        <v>25</v>
      </c>
      <c r="F149" s="12" t="s">
        <v>47</v>
      </c>
      <c r="G149" s="9" t="s">
        <v>27</v>
      </c>
      <c r="H149" s="13"/>
      <c r="I149" s="13"/>
    </row>
    <row r="150" spans="1:9" ht="12.75" x14ac:dyDescent="0.2">
      <c r="A150" s="52"/>
      <c r="B150" s="12">
        <v>44</v>
      </c>
      <c r="C150" s="12" t="s">
        <v>1225</v>
      </c>
      <c r="D150" s="12" t="s">
        <v>24</v>
      </c>
      <c r="E150" s="12" t="s">
        <v>25</v>
      </c>
      <c r="F150" s="12" t="s">
        <v>47</v>
      </c>
      <c r="G150" s="9" t="s">
        <v>27</v>
      </c>
      <c r="H150" s="13"/>
      <c r="I150" s="13"/>
    </row>
    <row r="151" spans="1:9" ht="12.75" x14ac:dyDescent="0.2">
      <c r="A151" s="52"/>
      <c r="B151" s="12">
        <v>44</v>
      </c>
      <c r="C151" s="12" t="s">
        <v>1220</v>
      </c>
      <c r="D151" s="12" t="s">
        <v>24</v>
      </c>
      <c r="E151" s="12" t="s">
        <v>25</v>
      </c>
      <c r="F151" s="12" t="s">
        <v>47</v>
      </c>
      <c r="G151" s="9" t="s">
        <v>27</v>
      </c>
      <c r="H151" s="13"/>
      <c r="I151" s="13"/>
    </row>
    <row r="152" spans="1:9" ht="12.75" x14ac:dyDescent="0.2">
      <c r="A152" s="52"/>
      <c r="B152" s="12">
        <v>44</v>
      </c>
      <c r="C152" s="12" t="s">
        <v>1184</v>
      </c>
      <c r="D152" s="12" t="s">
        <v>24</v>
      </c>
      <c r="E152" s="12" t="s">
        <v>25</v>
      </c>
      <c r="F152" s="12" t="s">
        <v>47</v>
      </c>
      <c r="G152" s="9" t="s">
        <v>27</v>
      </c>
      <c r="H152" s="13"/>
      <c r="I152" s="13"/>
    </row>
    <row r="153" spans="1:9" ht="12.75" x14ac:dyDescent="0.2">
      <c r="A153" s="52"/>
      <c r="B153" s="12">
        <v>44</v>
      </c>
      <c r="C153" s="12" t="s">
        <v>1222</v>
      </c>
      <c r="D153" s="12" t="s">
        <v>24</v>
      </c>
      <c r="E153" s="12" t="s">
        <v>25</v>
      </c>
      <c r="F153" s="12" t="s">
        <v>47</v>
      </c>
      <c r="G153" s="9" t="s">
        <v>27</v>
      </c>
      <c r="H153" s="13"/>
      <c r="I153" s="13"/>
    </row>
    <row r="154" spans="1:9" ht="12.75" x14ac:dyDescent="0.2">
      <c r="A154" s="52"/>
      <c r="B154" s="12">
        <v>44</v>
      </c>
      <c r="C154" s="12" t="s">
        <v>1154</v>
      </c>
      <c r="D154" s="12" t="s">
        <v>24</v>
      </c>
      <c r="E154" s="12" t="s">
        <v>25</v>
      </c>
      <c r="F154" s="12" t="s">
        <v>47</v>
      </c>
      <c r="G154" s="9" t="s">
        <v>27</v>
      </c>
      <c r="H154" s="13"/>
      <c r="I154" s="13"/>
    </row>
    <row r="155" spans="1:9" ht="12.75" x14ac:dyDescent="0.2">
      <c r="A155" s="52"/>
      <c r="B155" s="12">
        <v>44</v>
      </c>
      <c r="C155" s="12" t="s">
        <v>1155</v>
      </c>
      <c r="D155" s="12" t="s">
        <v>24</v>
      </c>
      <c r="E155" s="12" t="s">
        <v>25</v>
      </c>
      <c r="F155" s="12" t="s">
        <v>47</v>
      </c>
      <c r="G155" s="9" t="s">
        <v>27</v>
      </c>
      <c r="H155" s="13"/>
      <c r="I155" s="13"/>
    </row>
    <row r="156" spans="1:9" ht="12.75" x14ac:dyDescent="0.2">
      <c r="A156" s="52"/>
      <c r="B156" s="12">
        <v>44</v>
      </c>
      <c r="C156" s="12" t="s">
        <v>1156</v>
      </c>
      <c r="D156" s="12" t="s">
        <v>24</v>
      </c>
      <c r="E156" s="12" t="s">
        <v>25</v>
      </c>
      <c r="F156" s="12" t="s">
        <v>47</v>
      </c>
      <c r="G156" s="9" t="s">
        <v>27</v>
      </c>
      <c r="H156" s="13"/>
      <c r="I156" s="13"/>
    </row>
    <row r="157" spans="1:9" ht="12.75" x14ac:dyDescent="0.2">
      <c r="A157" s="53"/>
      <c r="B157" s="12">
        <v>44</v>
      </c>
      <c r="C157" s="12" t="s">
        <v>1158</v>
      </c>
      <c r="D157" s="12" t="s">
        <v>24</v>
      </c>
      <c r="E157" s="12" t="s">
        <v>25</v>
      </c>
      <c r="F157" s="12" t="s">
        <v>47</v>
      </c>
      <c r="G157" s="9" t="s">
        <v>27</v>
      </c>
      <c r="H157" s="13"/>
      <c r="I157" s="13"/>
    </row>
    <row r="158" spans="1:9" ht="12.75" x14ac:dyDescent="0.2">
      <c r="A158" s="48" t="s">
        <v>83</v>
      </c>
      <c r="B158" s="9">
        <v>44</v>
      </c>
      <c r="C158" s="9" t="s">
        <v>1226</v>
      </c>
      <c r="D158" s="9" t="s">
        <v>24</v>
      </c>
      <c r="E158" s="9" t="s">
        <v>31</v>
      </c>
      <c r="F158" s="9" t="s">
        <v>47</v>
      </c>
      <c r="G158" s="9" t="s">
        <v>27</v>
      </c>
      <c r="H158" s="13"/>
      <c r="I158" s="13"/>
    </row>
    <row r="159" spans="1:9" ht="12.75" x14ac:dyDescent="0.2">
      <c r="A159" s="52"/>
      <c r="B159" s="9">
        <v>44</v>
      </c>
      <c r="C159" s="9" t="s">
        <v>1224</v>
      </c>
      <c r="D159" s="9" t="s">
        <v>24</v>
      </c>
      <c r="E159" s="9" t="s">
        <v>31</v>
      </c>
      <c r="F159" s="9" t="s">
        <v>47</v>
      </c>
      <c r="G159" s="9" t="s">
        <v>27</v>
      </c>
      <c r="H159" s="13"/>
      <c r="I159" s="13"/>
    </row>
    <row r="160" spans="1:9" ht="12.75" x14ac:dyDescent="0.2">
      <c r="A160" s="52"/>
      <c r="B160" s="9">
        <v>44</v>
      </c>
      <c r="C160" s="9" t="s">
        <v>1218</v>
      </c>
      <c r="D160" s="9" t="s">
        <v>24</v>
      </c>
      <c r="E160" s="9" t="s">
        <v>31</v>
      </c>
      <c r="F160" s="9" t="s">
        <v>47</v>
      </c>
      <c r="G160" s="9" t="s">
        <v>27</v>
      </c>
      <c r="H160" s="13"/>
      <c r="I160" s="13"/>
    </row>
    <row r="161" spans="1:9" ht="12.75" x14ac:dyDescent="0.2">
      <c r="A161" s="52"/>
      <c r="B161" s="9">
        <v>44</v>
      </c>
      <c r="C161" s="9" t="s">
        <v>1227</v>
      </c>
      <c r="D161" s="9" t="s">
        <v>24</v>
      </c>
      <c r="E161" s="9" t="s">
        <v>31</v>
      </c>
      <c r="F161" s="9" t="s">
        <v>47</v>
      </c>
      <c r="G161" s="9" t="s">
        <v>27</v>
      </c>
      <c r="H161" s="13"/>
      <c r="I161" s="13"/>
    </row>
    <row r="162" spans="1:9" ht="12.75" x14ac:dyDescent="0.2">
      <c r="A162" s="52"/>
      <c r="B162" s="9">
        <v>44</v>
      </c>
      <c r="C162" s="9" t="s">
        <v>1228</v>
      </c>
      <c r="D162" s="9" t="s">
        <v>24</v>
      </c>
      <c r="E162" s="9" t="s">
        <v>31</v>
      </c>
      <c r="F162" s="9" t="s">
        <v>47</v>
      </c>
      <c r="G162" s="9" t="s">
        <v>27</v>
      </c>
      <c r="H162" s="13"/>
      <c r="I162" s="13"/>
    </row>
    <row r="163" spans="1:9" ht="12.75" x14ac:dyDescent="0.2">
      <c r="A163" s="52"/>
      <c r="B163" s="9">
        <v>44</v>
      </c>
      <c r="C163" s="9" t="s">
        <v>1189</v>
      </c>
      <c r="D163" s="9" t="s">
        <v>24</v>
      </c>
      <c r="E163" s="9" t="s">
        <v>31</v>
      </c>
      <c r="F163" s="9" t="s">
        <v>47</v>
      </c>
      <c r="G163" s="9" t="s">
        <v>27</v>
      </c>
      <c r="H163" s="13"/>
      <c r="I163" s="13"/>
    </row>
    <row r="164" spans="1:9" ht="12.75" x14ac:dyDescent="0.2">
      <c r="A164" s="52"/>
      <c r="B164" s="9">
        <v>44</v>
      </c>
      <c r="C164" s="9" t="s">
        <v>1160</v>
      </c>
      <c r="D164" s="9" t="s">
        <v>24</v>
      </c>
      <c r="E164" s="9" t="s">
        <v>31</v>
      </c>
      <c r="F164" s="9" t="s">
        <v>47</v>
      </c>
      <c r="G164" s="9" t="s">
        <v>27</v>
      </c>
      <c r="H164" s="13"/>
      <c r="I164" s="13"/>
    </row>
    <row r="165" spans="1:9" ht="12.75" x14ac:dyDescent="0.2">
      <c r="A165" s="52"/>
      <c r="B165" s="9">
        <v>44</v>
      </c>
      <c r="C165" s="9" t="s">
        <v>1163</v>
      </c>
      <c r="D165" s="9" t="s">
        <v>24</v>
      </c>
      <c r="E165" s="9" t="s">
        <v>31</v>
      </c>
      <c r="F165" s="9" t="s">
        <v>47</v>
      </c>
      <c r="G165" s="9" t="s">
        <v>27</v>
      </c>
      <c r="H165" s="13"/>
      <c r="I165" s="13"/>
    </row>
    <row r="166" spans="1:9" ht="12.75" x14ac:dyDescent="0.2">
      <c r="A166" s="52"/>
      <c r="B166" s="9">
        <v>44</v>
      </c>
      <c r="C166" s="9" t="s">
        <v>1229</v>
      </c>
      <c r="D166" s="9" t="s">
        <v>24</v>
      </c>
      <c r="E166" s="9" t="s">
        <v>31</v>
      </c>
      <c r="F166" s="9" t="s">
        <v>47</v>
      </c>
      <c r="G166" s="9" t="s">
        <v>27</v>
      </c>
      <c r="H166" s="13"/>
      <c r="I166" s="13"/>
    </row>
    <row r="167" spans="1:9" ht="12.75" x14ac:dyDescent="0.2">
      <c r="A167" s="52"/>
      <c r="B167" s="9">
        <v>44</v>
      </c>
      <c r="C167" s="9" t="s">
        <v>1153</v>
      </c>
      <c r="D167" s="9" t="s">
        <v>24</v>
      </c>
      <c r="E167" s="9" t="s">
        <v>31</v>
      </c>
      <c r="F167" s="9" t="s">
        <v>47</v>
      </c>
      <c r="G167" s="9" t="s">
        <v>27</v>
      </c>
      <c r="H167" s="13"/>
      <c r="I167" s="13"/>
    </row>
    <row r="168" spans="1:9" ht="12.75" x14ac:dyDescent="0.2">
      <c r="A168" s="52"/>
      <c r="B168" s="9">
        <v>44</v>
      </c>
      <c r="C168" s="9" t="s">
        <v>1230</v>
      </c>
      <c r="D168" s="9" t="s">
        <v>24</v>
      </c>
      <c r="E168" s="9" t="s">
        <v>31</v>
      </c>
      <c r="F168" s="9" t="s">
        <v>47</v>
      </c>
      <c r="G168" s="9" t="s">
        <v>27</v>
      </c>
      <c r="H168" s="13"/>
      <c r="I168" s="13"/>
    </row>
    <row r="169" spans="1:9" ht="12.75" x14ac:dyDescent="0.2">
      <c r="A169" s="52"/>
      <c r="B169" s="9">
        <v>44</v>
      </c>
      <c r="C169" s="9" t="s">
        <v>1222</v>
      </c>
      <c r="D169" s="9" t="s">
        <v>24</v>
      </c>
      <c r="E169" s="9" t="s">
        <v>31</v>
      </c>
      <c r="F169" s="9" t="s">
        <v>47</v>
      </c>
      <c r="G169" s="9" t="s">
        <v>27</v>
      </c>
      <c r="H169" s="13"/>
      <c r="I169" s="13"/>
    </row>
    <row r="170" spans="1:9" ht="12.75" x14ac:dyDescent="0.2">
      <c r="A170" s="52"/>
      <c r="B170" s="9">
        <v>44</v>
      </c>
      <c r="C170" s="9" t="s">
        <v>1154</v>
      </c>
      <c r="D170" s="9" t="s">
        <v>24</v>
      </c>
      <c r="E170" s="9" t="s">
        <v>31</v>
      </c>
      <c r="F170" s="9" t="s">
        <v>47</v>
      </c>
      <c r="G170" s="9" t="s">
        <v>27</v>
      </c>
      <c r="H170" s="13"/>
      <c r="I170" s="13"/>
    </row>
    <row r="171" spans="1:9" ht="12.75" x14ac:dyDescent="0.2">
      <c r="A171" s="52"/>
      <c r="B171" s="9">
        <v>44</v>
      </c>
      <c r="C171" s="9" t="s">
        <v>1155</v>
      </c>
      <c r="D171" s="9" t="s">
        <v>24</v>
      </c>
      <c r="E171" s="9" t="s">
        <v>31</v>
      </c>
      <c r="F171" s="9" t="s">
        <v>47</v>
      </c>
      <c r="G171" s="9" t="s">
        <v>27</v>
      </c>
      <c r="H171" s="13"/>
      <c r="I171" s="13"/>
    </row>
    <row r="172" spans="1:9" ht="12.75" x14ac:dyDescent="0.2">
      <c r="A172" s="52"/>
      <c r="B172" s="9">
        <v>44</v>
      </c>
      <c r="C172" s="9" t="s">
        <v>1156</v>
      </c>
      <c r="D172" s="9" t="s">
        <v>24</v>
      </c>
      <c r="E172" s="9" t="s">
        <v>31</v>
      </c>
      <c r="F172" s="9" t="s">
        <v>47</v>
      </c>
      <c r="G172" s="9" t="s">
        <v>27</v>
      </c>
      <c r="H172" s="13"/>
      <c r="I172" s="13"/>
    </row>
    <row r="173" spans="1:9" ht="12.75" x14ac:dyDescent="0.2">
      <c r="A173" s="52"/>
      <c r="B173" s="9">
        <v>44</v>
      </c>
      <c r="C173" s="9" t="s">
        <v>1231</v>
      </c>
      <c r="D173" s="9" t="s">
        <v>24</v>
      </c>
      <c r="E173" s="9" t="s">
        <v>31</v>
      </c>
      <c r="F173" s="9" t="s">
        <v>47</v>
      </c>
      <c r="G173" s="9" t="s">
        <v>27</v>
      </c>
      <c r="H173" s="13"/>
      <c r="I173" s="13"/>
    </row>
    <row r="174" spans="1:9" ht="12.75" x14ac:dyDescent="0.2">
      <c r="A174" s="53"/>
      <c r="B174" s="9">
        <v>44</v>
      </c>
      <c r="C174" s="9" t="s">
        <v>1158</v>
      </c>
      <c r="D174" s="9" t="s">
        <v>24</v>
      </c>
      <c r="E174" s="9" t="s">
        <v>31</v>
      </c>
      <c r="F174" s="9" t="s">
        <v>47</v>
      </c>
      <c r="G174" s="9" t="s">
        <v>27</v>
      </c>
      <c r="H174" s="13"/>
      <c r="I174" s="13"/>
    </row>
    <row r="175" spans="1:9" ht="12.75" x14ac:dyDescent="0.2">
      <c r="A175" s="48" t="s">
        <v>85</v>
      </c>
      <c r="B175" s="9">
        <v>44</v>
      </c>
      <c r="C175" s="9" t="s">
        <v>1226</v>
      </c>
      <c r="D175" s="9" t="s">
        <v>24</v>
      </c>
      <c r="E175" s="9" t="s">
        <v>31</v>
      </c>
      <c r="F175" s="9" t="s">
        <v>26</v>
      </c>
      <c r="G175" s="9" t="s">
        <v>27</v>
      </c>
      <c r="H175" s="13"/>
      <c r="I175" s="13"/>
    </row>
    <row r="176" spans="1:9" ht="12.75" x14ac:dyDescent="0.2">
      <c r="A176" s="52"/>
      <c r="B176" s="9">
        <v>44</v>
      </c>
      <c r="C176" s="9" t="s">
        <v>1232</v>
      </c>
      <c r="D176" s="9" t="s">
        <v>24</v>
      </c>
      <c r="E176" s="9" t="s">
        <v>31</v>
      </c>
      <c r="F176" s="9" t="s">
        <v>47</v>
      </c>
      <c r="G176" s="9" t="s">
        <v>27</v>
      </c>
      <c r="H176" s="13"/>
      <c r="I176" s="13"/>
    </row>
    <row r="177" spans="1:9" ht="12.75" x14ac:dyDescent="0.2">
      <c r="A177" s="52"/>
      <c r="B177" s="9">
        <v>44</v>
      </c>
      <c r="C177" s="9" t="s">
        <v>1230</v>
      </c>
      <c r="D177" s="9" t="s">
        <v>24</v>
      </c>
      <c r="E177" s="9" t="s">
        <v>31</v>
      </c>
      <c r="F177" s="9" t="s">
        <v>47</v>
      </c>
      <c r="G177" s="9" t="s">
        <v>27</v>
      </c>
      <c r="H177" s="13"/>
      <c r="I177" s="13"/>
    </row>
    <row r="178" spans="1:9" ht="12.75" x14ac:dyDescent="0.2">
      <c r="A178" s="53"/>
      <c r="B178" s="9">
        <v>44</v>
      </c>
      <c r="C178" s="9" t="s">
        <v>1222</v>
      </c>
      <c r="D178" s="9" t="s">
        <v>24</v>
      </c>
      <c r="E178" s="9" t="s">
        <v>31</v>
      </c>
      <c r="F178" s="9" t="s">
        <v>26</v>
      </c>
      <c r="G178" s="9" t="s">
        <v>27</v>
      </c>
      <c r="H178" s="13"/>
      <c r="I178" s="13"/>
    </row>
    <row r="179" spans="1:9" ht="12.75" x14ac:dyDescent="0.2">
      <c r="A179" s="13"/>
      <c r="B179" s="13"/>
      <c r="C179" s="13"/>
      <c r="D179" s="13"/>
      <c r="E179" s="13"/>
      <c r="F179" s="13"/>
      <c r="G179" s="13"/>
      <c r="H179" s="13"/>
      <c r="I179" s="13"/>
    </row>
    <row r="180" spans="1:9" ht="12.75" x14ac:dyDescent="0.2">
      <c r="A180" s="13"/>
      <c r="B180" s="13"/>
      <c r="C180" s="13"/>
      <c r="D180" s="13"/>
      <c r="E180" s="13"/>
      <c r="F180" s="13"/>
      <c r="G180" s="13"/>
      <c r="H180" s="13"/>
      <c r="I180" s="13"/>
    </row>
    <row r="181" spans="1:9" ht="12.75" x14ac:dyDescent="0.2">
      <c r="A181" s="13"/>
      <c r="B181" s="13"/>
      <c r="C181" s="13"/>
      <c r="D181" s="13"/>
      <c r="E181" s="13"/>
      <c r="F181" s="13"/>
      <c r="G181" s="13"/>
      <c r="H181" s="13"/>
      <c r="I181" s="13"/>
    </row>
    <row r="182" spans="1:9" ht="12.75" x14ac:dyDescent="0.2">
      <c r="A182" s="13"/>
      <c r="B182" s="13"/>
      <c r="C182" s="13"/>
      <c r="D182" s="13"/>
      <c r="E182" s="13"/>
      <c r="F182" s="13"/>
      <c r="G182" s="13"/>
      <c r="H182" s="13"/>
      <c r="I182" s="13"/>
    </row>
    <row r="183" spans="1:9" ht="12.75" x14ac:dyDescent="0.2">
      <c r="A183" s="13"/>
      <c r="B183" s="13"/>
      <c r="C183" s="13"/>
      <c r="D183" s="13"/>
      <c r="E183" s="13"/>
      <c r="F183" s="13"/>
      <c r="G183" s="13"/>
      <c r="H183" s="13"/>
      <c r="I183" s="13"/>
    </row>
    <row r="184" spans="1:9" ht="12.75" x14ac:dyDescent="0.2">
      <c r="A184" s="13"/>
      <c r="B184" s="13"/>
      <c r="C184" s="13"/>
      <c r="D184" s="13"/>
      <c r="E184" s="13"/>
      <c r="F184" s="13"/>
      <c r="G184" s="13"/>
      <c r="H184" s="13"/>
      <c r="I184" s="13"/>
    </row>
    <row r="185" spans="1:9" ht="12.75" x14ac:dyDescent="0.2">
      <c r="A185" s="13"/>
      <c r="B185" s="13"/>
      <c r="C185" s="13"/>
      <c r="D185" s="13"/>
      <c r="E185" s="13"/>
      <c r="F185" s="13"/>
      <c r="G185" s="13"/>
      <c r="H185" s="13"/>
      <c r="I185" s="13"/>
    </row>
    <row r="186" spans="1:9" ht="12.75" x14ac:dyDescent="0.2">
      <c r="A186" s="13"/>
      <c r="B186" s="13"/>
      <c r="C186" s="13"/>
      <c r="D186" s="13"/>
      <c r="E186" s="13"/>
      <c r="F186" s="13"/>
      <c r="G186" s="13"/>
      <c r="H186" s="13"/>
      <c r="I186" s="13"/>
    </row>
    <row r="187" spans="1:9" ht="12.75" x14ac:dyDescent="0.2">
      <c r="A187" s="13"/>
      <c r="B187" s="13"/>
      <c r="C187" s="13"/>
      <c r="D187" s="13"/>
      <c r="E187" s="13"/>
      <c r="F187" s="13"/>
      <c r="G187" s="13"/>
      <c r="H187" s="13"/>
      <c r="I187" s="13"/>
    </row>
    <row r="188" spans="1:9" ht="12.75" x14ac:dyDescent="0.2">
      <c r="A188" s="13"/>
      <c r="B188" s="13"/>
      <c r="C188" s="13"/>
      <c r="D188" s="13"/>
      <c r="E188" s="13"/>
      <c r="F188" s="13"/>
      <c r="G188" s="13"/>
      <c r="H188" s="13"/>
      <c r="I188" s="13"/>
    </row>
    <row r="189" spans="1:9" ht="12.75" x14ac:dyDescent="0.2">
      <c r="A189" s="13"/>
      <c r="B189" s="13"/>
      <c r="C189" s="13"/>
      <c r="D189" s="13"/>
      <c r="E189" s="13"/>
      <c r="F189" s="13"/>
      <c r="G189" s="13"/>
      <c r="H189" s="13"/>
      <c r="I189" s="13"/>
    </row>
  </sheetData>
  <mergeCells count="18">
    <mergeCell ref="A175:A178"/>
    <mergeCell ref="A86:A97"/>
    <mergeCell ref="A98:A109"/>
    <mergeCell ref="A110:A116"/>
    <mergeCell ref="A117:A118"/>
    <mergeCell ref="A119:A126"/>
    <mergeCell ref="A127:A130"/>
    <mergeCell ref="A131:A140"/>
    <mergeCell ref="A62:A69"/>
    <mergeCell ref="A70:A85"/>
    <mergeCell ref="A141:A146"/>
    <mergeCell ref="A147:A157"/>
    <mergeCell ref="A158:A174"/>
    <mergeCell ref="A1:G1"/>
    <mergeCell ref="A9:A14"/>
    <mergeCell ref="A15:A27"/>
    <mergeCell ref="A28:A50"/>
    <mergeCell ref="A51:A6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M272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13" ht="15.75" customHeight="1" x14ac:dyDescent="0.25">
      <c r="A1" s="54" t="s">
        <v>0</v>
      </c>
      <c r="B1" s="55"/>
      <c r="C1" s="55"/>
      <c r="D1" s="55"/>
      <c r="E1" s="55"/>
      <c r="F1" s="55"/>
      <c r="G1" s="56"/>
    </row>
    <row r="2" spans="1:13" x14ac:dyDescent="0.2">
      <c r="A2" s="1"/>
      <c r="B2" s="2"/>
      <c r="C2" s="2"/>
      <c r="D2" s="2"/>
      <c r="E2" s="2"/>
      <c r="F2" s="2"/>
      <c r="G2" s="2"/>
    </row>
    <row r="3" spans="1:13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13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13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13" x14ac:dyDescent="0.2">
      <c r="A6" s="1"/>
      <c r="B6" s="2"/>
      <c r="C6" s="2"/>
      <c r="D6" s="2"/>
      <c r="E6" s="2"/>
      <c r="F6" s="2"/>
      <c r="G6" s="2"/>
    </row>
    <row r="7" spans="1:13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13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13" x14ac:dyDescent="0.2">
      <c r="A9" s="58" t="s">
        <v>20</v>
      </c>
      <c r="B9" s="12">
        <v>45</v>
      </c>
      <c r="C9" s="12" t="s">
        <v>1233</v>
      </c>
      <c r="D9" s="12" t="s">
        <v>24</v>
      </c>
      <c r="E9" s="12" t="s">
        <v>25</v>
      </c>
      <c r="F9" s="12" t="s">
        <v>26</v>
      </c>
      <c r="G9" s="12" t="s">
        <v>27</v>
      </c>
      <c r="H9" s="11"/>
      <c r="I9" s="11"/>
      <c r="J9" s="11"/>
      <c r="K9" s="11"/>
      <c r="L9" s="11"/>
      <c r="M9" s="11"/>
    </row>
    <row r="10" spans="1:13" x14ac:dyDescent="0.2">
      <c r="A10" s="51"/>
      <c r="B10" s="12">
        <v>45</v>
      </c>
      <c r="C10" s="12" t="s">
        <v>1234</v>
      </c>
      <c r="D10" s="12" t="s">
        <v>24</v>
      </c>
      <c r="E10" s="12" t="s">
        <v>25</v>
      </c>
      <c r="F10" s="12" t="s">
        <v>26</v>
      </c>
      <c r="G10" s="12" t="s">
        <v>27</v>
      </c>
      <c r="H10" s="11"/>
      <c r="I10" s="11"/>
      <c r="J10" s="11"/>
      <c r="K10" s="11"/>
      <c r="L10" s="11"/>
      <c r="M10" s="11"/>
    </row>
    <row r="11" spans="1:13" x14ac:dyDescent="0.2">
      <c r="A11" s="50"/>
      <c r="B11" s="12">
        <v>45</v>
      </c>
      <c r="C11" s="12" t="s">
        <v>1235</v>
      </c>
      <c r="D11" s="12" t="s">
        <v>24</v>
      </c>
      <c r="E11" s="12" t="s">
        <v>25</v>
      </c>
      <c r="F11" s="12" t="s">
        <v>26</v>
      </c>
      <c r="G11" s="12" t="s">
        <v>27</v>
      </c>
      <c r="H11" s="11"/>
      <c r="I11" s="11"/>
      <c r="J11" s="11"/>
      <c r="K11" s="11"/>
      <c r="L11" s="11"/>
      <c r="M11" s="11"/>
    </row>
    <row r="12" spans="1:13" x14ac:dyDescent="0.2">
      <c r="A12" s="51"/>
      <c r="B12" s="12">
        <v>45</v>
      </c>
      <c r="C12" s="12" t="s">
        <v>1236</v>
      </c>
      <c r="D12" s="12" t="s">
        <v>24</v>
      </c>
      <c r="E12" s="12" t="s">
        <v>25</v>
      </c>
      <c r="F12" s="12" t="s">
        <v>26</v>
      </c>
      <c r="G12" s="12" t="s">
        <v>27</v>
      </c>
      <c r="H12" s="11"/>
      <c r="I12" s="11"/>
      <c r="J12" s="11"/>
      <c r="K12" s="11"/>
      <c r="L12" s="11"/>
      <c r="M12" s="11"/>
    </row>
    <row r="13" spans="1:13" x14ac:dyDescent="0.2">
      <c r="A13" s="50"/>
      <c r="B13" s="12">
        <v>45</v>
      </c>
      <c r="C13" s="12" t="s">
        <v>1237</v>
      </c>
      <c r="D13" s="12" t="s">
        <v>24</v>
      </c>
      <c r="E13" s="12" t="s">
        <v>25</v>
      </c>
      <c r="F13" s="12" t="s">
        <v>26</v>
      </c>
      <c r="G13" s="12" t="s">
        <v>27</v>
      </c>
      <c r="H13" s="11"/>
      <c r="I13" s="11"/>
      <c r="J13" s="11"/>
      <c r="K13" s="11"/>
      <c r="L13" s="11"/>
      <c r="M13" s="11"/>
    </row>
    <row r="14" spans="1:13" x14ac:dyDescent="0.2">
      <c r="A14" s="51"/>
      <c r="B14" s="12">
        <v>54</v>
      </c>
      <c r="C14" s="12" t="s">
        <v>1238</v>
      </c>
      <c r="D14" s="12" t="s">
        <v>24</v>
      </c>
      <c r="E14" s="12" t="s">
        <v>256</v>
      </c>
      <c r="F14" s="12" t="s">
        <v>26</v>
      </c>
      <c r="G14" s="12" t="s">
        <v>27</v>
      </c>
      <c r="H14" s="11"/>
      <c r="I14" s="11"/>
      <c r="J14" s="11"/>
      <c r="K14" s="11"/>
      <c r="L14" s="11"/>
      <c r="M14" s="11"/>
    </row>
    <row r="15" spans="1:13" x14ac:dyDescent="0.2">
      <c r="A15" s="50"/>
      <c r="B15" s="12">
        <v>45</v>
      </c>
      <c r="C15" s="12" t="s">
        <v>1239</v>
      </c>
      <c r="D15" s="12" t="s">
        <v>24</v>
      </c>
      <c r="E15" s="12" t="s">
        <v>25</v>
      </c>
      <c r="F15" s="12" t="s">
        <v>26</v>
      </c>
      <c r="G15" s="12" t="s">
        <v>27</v>
      </c>
      <c r="H15" s="11"/>
      <c r="I15" s="11"/>
      <c r="J15" s="11"/>
      <c r="K15" s="11"/>
      <c r="L15" s="11"/>
      <c r="M15" s="11"/>
    </row>
    <row r="16" spans="1:13" x14ac:dyDescent="0.2">
      <c r="A16" s="51"/>
      <c r="B16" s="12">
        <v>45</v>
      </c>
      <c r="C16" s="12" t="s">
        <v>1240</v>
      </c>
      <c r="D16" s="12" t="s">
        <v>24</v>
      </c>
      <c r="E16" s="12" t="s">
        <v>25</v>
      </c>
      <c r="F16" s="12" t="s">
        <v>26</v>
      </c>
      <c r="G16" s="12" t="s">
        <v>27</v>
      </c>
      <c r="H16" s="11"/>
      <c r="I16" s="11"/>
      <c r="J16" s="11"/>
      <c r="K16" s="11"/>
      <c r="L16" s="11"/>
      <c r="M16" s="11"/>
    </row>
    <row r="17" spans="1:13" x14ac:dyDescent="0.2">
      <c r="A17" s="50"/>
      <c r="B17" s="12">
        <v>45</v>
      </c>
      <c r="C17" s="12" t="s">
        <v>1241</v>
      </c>
      <c r="D17" s="12" t="s">
        <v>24</v>
      </c>
      <c r="E17" s="12" t="s">
        <v>25</v>
      </c>
      <c r="F17" s="12" t="s">
        <v>26</v>
      </c>
      <c r="G17" s="12" t="s">
        <v>27</v>
      </c>
      <c r="H17" s="11"/>
      <c r="I17" s="11"/>
      <c r="J17" s="11"/>
      <c r="K17" s="11"/>
      <c r="L17" s="11"/>
      <c r="M17" s="11"/>
    </row>
    <row r="18" spans="1:13" x14ac:dyDescent="0.2">
      <c r="A18" s="51"/>
      <c r="B18" s="12">
        <v>45</v>
      </c>
      <c r="C18" s="12" t="s">
        <v>1242</v>
      </c>
      <c r="D18" s="12" t="s">
        <v>24</v>
      </c>
      <c r="E18" s="12" t="s">
        <v>25</v>
      </c>
      <c r="F18" s="12" t="s">
        <v>26</v>
      </c>
      <c r="G18" s="12" t="s">
        <v>27</v>
      </c>
      <c r="H18" s="11"/>
      <c r="I18" s="11"/>
      <c r="J18" s="11"/>
      <c r="K18" s="11"/>
      <c r="L18" s="11"/>
      <c r="M18" s="11"/>
    </row>
    <row r="19" spans="1:13" x14ac:dyDescent="0.2">
      <c r="A19" s="50"/>
      <c r="B19" s="12">
        <v>45</v>
      </c>
      <c r="C19" s="12" t="s">
        <v>1243</v>
      </c>
      <c r="D19" s="12" t="s">
        <v>24</v>
      </c>
      <c r="E19" s="12" t="s">
        <v>25</v>
      </c>
      <c r="F19" s="12" t="s">
        <v>26</v>
      </c>
      <c r="G19" s="12" t="s">
        <v>27</v>
      </c>
      <c r="H19" s="11"/>
      <c r="I19" s="11"/>
      <c r="J19" s="11"/>
      <c r="K19" s="11"/>
      <c r="L19" s="11"/>
      <c r="M19" s="11"/>
    </row>
    <row r="20" spans="1:13" x14ac:dyDescent="0.2">
      <c r="A20" s="51"/>
      <c r="B20" s="12">
        <v>45</v>
      </c>
      <c r="C20" s="12" t="s">
        <v>1244</v>
      </c>
      <c r="D20" s="12" t="s">
        <v>24</v>
      </c>
      <c r="E20" s="12" t="s">
        <v>25</v>
      </c>
      <c r="F20" s="12" t="s">
        <v>26</v>
      </c>
      <c r="G20" s="12" t="s">
        <v>27</v>
      </c>
      <c r="H20" s="11"/>
      <c r="I20" s="11"/>
      <c r="J20" s="11"/>
      <c r="K20" s="11"/>
      <c r="L20" s="11"/>
      <c r="M20" s="11"/>
    </row>
    <row r="21" spans="1:13" x14ac:dyDescent="0.2">
      <c r="A21" s="50"/>
      <c r="B21" s="12">
        <v>45</v>
      </c>
      <c r="C21" s="12" t="s">
        <v>1245</v>
      </c>
      <c r="D21" s="12" t="s">
        <v>24</v>
      </c>
      <c r="E21" s="12" t="s">
        <v>25</v>
      </c>
      <c r="F21" s="12" t="s">
        <v>26</v>
      </c>
      <c r="G21" s="12" t="s">
        <v>27</v>
      </c>
      <c r="H21" s="11"/>
      <c r="I21" s="11"/>
      <c r="J21" s="11"/>
      <c r="K21" s="11"/>
      <c r="L21" s="11"/>
      <c r="M21" s="11"/>
    </row>
    <row r="22" spans="1:13" x14ac:dyDescent="0.2">
      <c r="A22" s="51"/>
      <c r="B22" s="12">
        <v>45</v>
      </c>
      <c r="C22" s="12" t="s">
        <v>1246</v>
      </c>
      <c r="D22" s="12" t="s">
        <v>24</v>
      </c>
      <c r="E22" s="12" t="s">
        <v>25</v>
      </c>
      <c r="F22" s="12" t="s">
        <v>26</v>
      </c>
      <c r="G22" s="12" t="s">
        <v>27</v>
      </c>
      <c r="H22" s="11"/>
      <c r="I22" s="11"/>
      <c r="J22" s="11"/>
      <c r="K22" s="11"/>
      <c r="L22" s="11"/>
      <c r="M22" s="11"/>
    </row>
    <row r="23" spans="1:13" x14ac:dyDescent="0.2">
      <c r="A23" s="49"/>
      <c r="B23" s="12">
        <v>45</v>
      </c>
      <c r="C23" s="12" t="s">
        <v>1247</v>
      </c>
      <c r="D23" s="12" t="s">
        <v>24</v>
      </c>
      <c r="E23" s="12" t="s">
        <v>25</v>
      </c>
      <c r="F23" s="12" t="s">
        <v>26</v>
      </c>
      <c r="G23" s="12" t="s">
        <v>27</v>
      </c>
      <c r="H23" s="11"/>
      <c r="I23" s="11"/>
      <c r="J23" s="11"/>
      <c r="K23" s="11"/>
      <c r="L23" s="11"/>
      <c r="M23" s="11"/>
    </row>
    <row r="24" spans="1:13" x14ac:dyDescent="0.2">
      <c r="A24" s="48" t="s">
        <v>22</v>
      </c>
      <c r="B24" s="9">
        <v>45</v>
      </c>
      <c r="C24" s="9" t="s">
        <v>1248</v>
      </c>
      <c r="D24" s="9" t="s">
        <v>24</v>
      </c>
      <c r="E24" s="9" t="s">
        <v>31</v>
      </c>
      <c r="F24" s="9" t="s">
        <v>26</v>
      </c>
      <c r="G24" s="12" t="s">
        <v>27</v>
      </c>
      <c r="H24" s="11"/>
      <c r="I24" s="11"/>
      <c r="J24" s="11"/>
      <c r="K24" s="11"/>
      <c r="L24" s="11"/>
      <c r="M24" s="11"/>
    </row>
    <row r="25" spans="1:13" x14ac:dyDescent="0.2">
      <c r="A25" s="52"/>
      <c r="B25" s="9">
        <v>45</v>
      </c>
      <c r="C25" s="9" t="s">
        <v>1249</v>
      </c>
      <c r="D25" s="9" t="s">
        <v>24</v>
      </c>
      <c r="E25" s="9" t="s">
        <v>31</v>
      </c>
      <c r="F25" s="9" t="s">
        <v>26</v>
      </c>
      <c r="G25" s="12" t="s">
        <v>27</v>
      </c>
      <c r="H25" s="11"/>
      <c r="I25" s="11"/>
      <c r="J25" s="11"/>
      <c r="K25" s="11"/>
      <c r="L25" s="11"/>
      <c r="M25" s="11"/>
    </row>
    <row r="26" spans="1:13" x14ac:dyDescent="0.2">
      <c r="A26" s="52"/>
      <c r="B26" s="9">
        <v>45</v>
      </c>
      <c r="C26" s="9" t="s">
        <v>1250</v>
      </c>
      <c r="D26" s="9" t="s">
        <v>24</v>
      </c>
      <c r="E26" s="9" t="s">
        <v>31</v>
      </c>
      <c r="F26" s="9" t="s">
        <v>26</v>
      </c>
      <c r="G26" s="12" t="s">
        <v>27</v>
      </c>
      <c r="H26" s="11"/>
      <c r="I26" s="11"/>
      <c r="J26" s="11"/>
      <c r="K26" s="11"/>
      <c r="L26" s="11"/>
      <c r="M26" s="11"/>
    </row>
    <row r="27" spans="1:13" x14ac:dyDescent="0.2">
      <c r="A27" s="52"/>
      <c r="B27" s="9">
        <v>45</v>
      </c>
      <c r="C27" s="9" t="s">
        <v>1251</v>
      </c>
      <c r="D27" s="9" t="s">
        <v>24</v>
      </c>
      <c r="E27" s="9" t="s">
        <v>31</v>
      </c>
      <c r="F27" s="9" t="s">
        <v>26</v>
      </c>
      <c r="G27" s="12" t="s">
        <v>27</v>
      </c>
      <c r="H27" s="11"/>
      <c r="I27" s="11"/>
      <c r="J27" s="11"/>
      <c r="K27" s="11"/>
      <c r="L27" s="11"/>
      <c r="M27" s="11"/>
    </row>
    <row r="28" spans="1:13" x14ac:dyDescent="0.2">
      <c r="A28" s="52"/>
      <c r="B28" s="9">
        <v>45</v>
      </c>
      <c r="C28" s="9" t="s">
        <v>1252</v>
      </c>
      <c r="D28" s="9" t="s">
        <v>24</v>
      </c>
      <c r="E28" s="9" t="s">
        <v>31</v>
      </c>
      <c r="F28" s="9" t="s">
        <v>26</v>
      </c>
      <c r="G28" s="12" t="s">
        <v>27</v>
      </c>
      <c r="H28" s="11"/>
      <c r="I28" s="11"/>
      <c r="J28" s="11"/>
      <c r="K28" s="11"/>
      <c r="L28" s="11"/>
      <c r="M28" s="11"/>
    </row>
    <row r="29" spans="1:13" x14ac:dyDescent="0.2">
      <c r="A29" s="52"/>
      <c r="B29" s="9">
        <v>45</v>
      </c>
      <c r="C29" s="9" t="s">
        <v>1253</v>
      </c>
      <c r="D29" s="9" t="s">
        <v>30</v>
      </c>
      <c r="E29" s="9" t="s">
        <v>31</v>
      </c>
      <c r="F29" s="9" t="s">
        <v>26</v>
      </c>
      <c r="G29" s="12" t="s">
        <v>27</v>
      </c>
      <c r="H29" s="11"/>
      <c r="I29" s="11"/>
      <c r="J29" s="11"/>
      <c r="K29" s="11"/>
      <c r="L29" s="11"/>
      <c r="M29" s="11"/>
    </row>
    <row r="30" spans="1:13" x14ac:dyDescent="0.2">
      <c r="A30" s="52"/>
      <c r="B30" s="9">
        <v>45</v>
      </c>
      <c r="C30" s="9" t="s">
        <v>1254</v>
      </c>
      <c r="D30" s="9" t="s">
        <v>24</v>
      </c>
      <c r="E30" s="9" t="s">
        <v>31</v>
      </c>
      <c r="F30" s="9" t="s">
        <v>26</v>
      </c>
      <c r="G30" s="12" t="s">
        <v>27</v>
      </c>
      <c r="H30" s="11"/>
      <c r="I30" s="11"/>
      <c r="J30" s="11"/>
      <c r="K30" s="11"/>
      <c r="L30" s="11"/>
      <c r="M30" s="11"/>
    </row>
    <row r="31" spans="1:13" x14ac:dyDescent="0.2">
      <c r="A31" s="50"/>
      <c r="B31" s="9">
        <v>45</v>
      </c>
      <c r="C31" s="9" t="s">
        <v>1255</v>
      </c>
      <c r="D31" s="9" t="s">
        <v>24</v>
      </c>
      <c r="E31" s="9" t="s">
        <v>31</v>
      </c>
      <c r="F31" s="9" t="s">
        <v>26</v>
      </c>
      <c r="G31" s="12" t="s">
        <v>27</v>
      </c>
      <c r="H31" s="11"/>
      <c r="I31" s="11"/>
      <c r="J31" s="11"/>
      <c r="K31" s="11"/>
      <c r="L31" s="11"/>
      <c r="M31" s="11"/>
    </row>
    <row r="32" spans="1:13" x14ac:dyDescent="0.2">
      <c r="A32" s="51"/>
      <c r="B32" s="9">
        <v>45</v>
      </c>
      <c r="C32" s="9" t="s">
        <v>1256</v>
      </c>
      <c r="D32" s="9" t="s">
        <v>24</v>
      </c>
      <c r="E32" s="9" t="s">
        <v>31</v>
      </c>
      <c r="F32" s="9" t="s">
        <v>26</v>
      </c>
      <c r="G32" s="12" t="s">
        <v>27</v>
      </c>
      <c r="H32" s="11"/>
      <c r="I32" s="11"/>
      <c r="J32" s="11"/>
      <c r="K32" s="11"/>
      <c r="L32" s="11"/>
      <c r="M32" s="11"/>
    </row>
    <row r="33" spans="1:13" x14ac:dyDescent="0.2">
      <c r="A33" s="50"/>
      <c r="B33" s="9">
        <v>45</v>
      </c>
      <c r="C33" s="9" t="s">
        <v>1257</v>
      </c>
      <c r="D33" s="9" t="s">
        <v>24</v>
      </c>
      <c r="E33" s="9" t="s">
        <v>31</v>
      </c>
      <c r="F33" s="9" t="s">
        <v>26</v>
      </c>
      <c r="G33" s="12" t="s">
        <v>27</v>
      </c>
      <c r="H33" s="11"/>
      <c r="I33" s="11"/>
      <c r="J33" s="11"/>
      <c r="K33" s="11"/>
      <c r="L33" s="11"/>
      <c r="M33" s="11"/>
    </row>
    <row r="34" spans="1:13" x14ac:dyDescent="0.2">
      <c r="A34" s="51"/>
      <c r="B34" s="9">
        <v>45</v>
      </c>
      <c r="C34" s="9" t="s">
        <v>1258</v>
      </c>
      <c r="D34" s="9" t="s">
        <v>24</v>
      </c>
      <c r="E34" s="9" t="s">
        <v>31</v>
      </c>
      <c r="F34" s="9" t="s">
        <v>26</v>
      </c>
      <c r="G34" s="12" t="s">
        <v>27</v>
      </c>
      <c r="H34" s="11"/>
      <c r="I34" s="11"/>
      <c r="J34" s="11"/>
      <c r="K34" s="11"/>
      <c r="L34" s="11"/>
      <c r="M34" s="11"/>
    </row>
    <row r="35" spans="1:13" x14ac:dyDescent="0.2">
      <c r="A35" s="49"/>
      <c r="B35" s="9">
        <v>45</v>
      </c>
      <c r="C35" s="9" t="s">
        <v>1259</v>
      </c>
      <c r="D35" s="9" t="s">
        <v>24</v>
      </c>
      <c r="E35" s="9" t="s">
        <v>31</v>
      </c>
      <c r="F35" s="9" t="s">
        <v>26</v>
      </c>
      <c r="G35" s="12" t="s">
        <v>27</v>
      </c>
      <c r="H35" s="11"/>
      <c r="I35" s="11"/>
      <c r="J35" s="11"/>
      <c r="K35" s="11"/>
      <c r="L35" s="11"/>
      <c r="M35" s="11"/>
    </row>
    <row r="36" spans="1:13" x14ac:dyDescent="0.2">
      <c r="A36" s="48" t="s">
        <v>28</v>
      </c>
      <c r="B36" s="9">
        <v>45</v>
      </c>
      <c r="C36" s="9" t="s">
        <v>1248</v>
      </c>
      <c r="D36" s="9" t="s">
        <v>24</v>
      </c>
      <c r="E36" s="9" t="s">
        <v>31</v>
      </c>
      <c r="F36" s="9" t="s">
        <v>26</v>
      </c>
      <c r="G36" s="12" t="s">
        <v>27</v>
      </c>
      <c r="H36" s="11"/>
      <c r="I36" s="11"/>
      <c r="J36" s="11"/>
      <c r="K36" s="11"/>
      <c r="L36" s="11"/>
      <c r="M36" s="11"/>
    </row>
    <row r="37" spans="1:13" ht="12.75" x14ac:dyDescent="0.2">
      <c r="A37" s="50"/>
      <c r="B37" s="9">
        <v>45</v>
      </c>
      <c r="C37" s="9" t="s">
        <v>1260</v>
      </c>
      <c r="D37" s="9" t="s">
        <v>24</v>
      </c>
      <c r="E37" s="9" t="s">
        <v>31</v>
      </c>
      <c r="F37" s="9" t="s">
        <v>47</v>
      </c>
      <c r="G37" s="12" t="s">
        <v>27</v>
      </c>
      <c r="H37" s="11"/>
      <c r="I37" s="11"/>
      <c r="J37" s="11"/>
      <c r="K37" s="11"/>
      <c r="L37" s="11"/>
      <c r="M37" s="11"/>
    </row>
    <row r="38" spans="1:13" ht="12.75" x14ac:dyDescent="0.2">
      <c r="A38" s="51"/>
      <c r="B38" s="9">
        <v>45</v>
      </c>
      <c r="C38" s="9" t="s">
        <v>1249</v>
      </c>
      <c r="D38" s="9" t="s">
        <v>24</v>
      </c>
      <c r="E38" s="9" t="s">
        <v>31</v>
      </c>
      <c r="F38" s="9" t="s">
        <v>26</v>
      </c>
      <c r="G38" s="12" t="s">
        <v>27</v>
      </c>
      <c r="H38" s="11"/>
      <c r="I38" s="11"/>
      <c r="J38" s="11"/>
      <c r="K38" s="11"/>
      <c r="L38" s="11"/>
      <c r="M38" s="11"/>
    </row>
    <row r="39" spans="1:13" ht="12.75" x14ac:dyDescent="0.2">
      <c r="A39" s="50"/>
      <c r="B39" s="9">
        <v>45</v>
      </c>
      <c r="C39" s="9" t="s">
        <v>1261</v>
      </c>
      <c r="D39" s="9" t="s">
        <v>24</v>
      </c>
      <c r="E39" s="9" t="s">
        <v>31</v>
      </c>
      <c r="F39" s="9" t="s">
        <v>26</v>
      </c>
      <c r="G39" s="12" t="s">
        <v>27</v>
      </c>
      <c r="H39" s="11"/>
      <c r="I39" s="11"/>
      <c r="J39" s="11"/>
      <c r="K39" s="11"/>
      <c r="L39" s="11"/>
      <c r="M39" s="11"/>
    </row>
    <row r="40" spans="1:13" ht="12.75" x14ac:dyDescent="0.2">
      <c r="A40" s="51"/>
      <c r="B40" s="9">
        <v>45</v>
      </c>
      <c r="C40" s="9" t="s">
        <v>1250</v>
      </c>
      <c r="D40" s="9" t="s">
        <v>24</v>
      </c>
      <c r="E40" s="9" t="s">
        <v>31</v>
      </c>
      <c r="F40" s="9" t="s">
        <v>26</v>
      </c>
      <c r="G40" s="12" t="s">
        <v>27</v>
      </c>
      <c r="H40" s="11"/>
      <c r="I40" s="11"/>
      <c r="J40" s="11"/>
      <c r="K40" s="11"/>
      <c r="L40" s="11"/>
      <c r="M40" s="11"/>
    </row>
    <row r="41" spans="1:13" ht="12.75" x14ac:dyDescent="0.2">
      <c r="A41" s="50"/>
      <c r="B41" s="9">
        <v>45</v>
      </c>
      <c r="C41" s="9" t="s">
        <v>1262</v>
      </c>
      <c r="D41" s="9" t="s">
        <v>24</v>
      </c>
      <c r="E41" s="9" t="s">
        <v>31</v>
      </c>
      <c r="F41" s="9" t="s">
        <v>26</v>
      </c>
      <c r="G41" s="12" t="s">
        <v>27</v>
      </c>
      <c r="H41" s="11"/>
      <c r="I41" s="11"/>
      <c r="J41" s="11"/>
      <c r="K41" s="11"/>
      <c r="L41" s="11"/>
      <c r="M41" s="11"/>
    </row>
    <row r="42" spans="1:13" ht="12.75" x14ac:dyDescent="0.2">
      <c r="A42" s="51"/>
      <c r="B42" s="9">
        <v>45</v>
      </c>
      <c r="C42" s="9" t="s">
        <v>1263</v>
      </c>
      <c r="D42" s="9" t="s">
        <v>24</v>
      </c>
      <c r="E42" s="9" t="s">
        <v>31</v>
      </c>
      <c r="F42" s="9" t="s">
        <v>26</v>
      </c>
      <c r="G42" s="12" t="s">
        <v>27</v>
      </c>
      <c r="H42" s="11"/>
      <c r="I42" s="11"/>
      <c r="J42" s="11"/>
      <c r="K42" s="11"/>
      <c r="L42" s="11"/>
      <c r="M42" s="11"/>
    </row>
    <row r="43" spans="1:13" ht="12.75" x14ac:dyDescent="0.2">
      <c r="A43" s="50"/>
      <c r="B43" s="9">
        <v>45</v>
      </c>
      <c r="C43" s="9" t="s">
        <v>1264</v>
      </c>
      <c r="D43" s="9" t="s">
        <v>24</v>
      </c>
      <c r="E43" s="9" t="s">
        <v>31</v>
      </c>
      <c r="F43" s="9" t="s">
        <v>26</v>
      </c>
      <c r="G43" s="12" t="s">
        <v>27</v>
      </c>
      <c r="H43" s="11"/>
      <c r="I43" s="11"/>
      <c r="J43" s="11"/>
      <c r="K43" s="11"/>
      <c r="L43" s="11"/>
      <c r="M43" s="11"/>
    </row>
    <row r="44" spans="1:13" ht="12.75" x14ac:dyDescent="0.2">
      <c r="A44" s="51"/>
      <c r="B44" s="9">
        <v>45</v>
      </c>
      <c r="C44" s="9" t="s">
        <v>1265</v>
      </c>
      <c r="D44" s="9" t="s">
        <v>24</v>
      </c>
      <c r="E44" s="9" t="s">
        <v>31</v>
      </c>
      <c r="F44" s="9" t="s">
        <v>26</v>
      </c>
      <c r="G44" s="12" t="s">
        <v>27</v>
      </c>
      <c r="H44" s="11"/>
      <c r="I44" s="11"/>
      <c r="J44" s="11"/>
      <c r="K44" s="11"/>
      <c r="L44" s="11"/>
      <c r="M44" s="11"/>
    </row>
    <row r="45" spans="1:13" ht="12.75" x14ac:dyDescent="0.2">
      <c r="A45" s="50"/>
      <c r="B45" s="9">
        <v>45</v>
      </c>
      <c r="C45" s="9" t="s">
        <v>1251</v>
      </c>
      <c r="D45" s="9" t="s">
        <v>24</v>
      </c>
      <c r="E45" s="9" t="s">
        <v>31</v>
      </c>
      <c r="F45" s="9" t="s">
        <v>26</v>
      </c>
      <c r="G45" s="12" t="s">
        <v>27</v>
      </c>
      <c r="H45" s="11"/>
      <c r="I45" s="11"/>
      <c r="J45" s="11"/>
      <c r="K45" s="11"/>
      <c r="L45" s="11"/>
      <c r="M45" s="11"/>
    </row>
    <row r="46" spans="1:13" ht="12.75" x14ac:dyDescent="0.2">
      <c r="A46" s="51"/>
      <c r="B46" s="9">
        <v>45</v>
      </c>
      <c r="C46" s="9" t="s">
        <v>1252</v>
      </c>
      <c r="D46" s="9" t="s">
        <v>24</v>
      </c>
      <c r="E46" s="9" t="s">
        <v>31</v>
      </c>
      <c r="F46" s="9" t="s">
        <v>26</v>
      </c>
      <c r="G46" s="12" t="s">
        <v>27</v>
      </c>
      <c r="H46" s="11"/>
      <c r="I46" s="11"/>
      <c r="J46" s="11"/>
      <c r="K46" s="11"/>
      <c r="L46" s="11"/>
      <c r="M46" s="11"/>
    </row>
    <row r="47" spans="1:13" ht="12.75" x14ac:dyDescent="0.2">
      <c r="A47" s="50"/>
      <c r="B47" s="9">
        <v>45</v>
      </c>
      <c r="C47" s="9" t="s">
        <v>1266</v>
      </c>
      <c r="D47" s="9" t="s">
        <v>24</v>
      </c>
      <c r="E47" s="9" t="s">
        <v>31</v>
      </c>
      <c r="F47" s="9" t="s">
        <v>26</v>
      </c>
      <c r="G47" s="12" t="s">
        <v>27</v>
      </c>
      <c r="H47" s="11"/>
      <c r="I47" s="11"/>
      <c r="J47" s="11"/>
      <c r="K47" s="11"/>
      <c r="L47" s="11"/>
      <c r="M47" s="11"/>
    </row>
    <row r="48" spans="1:13" ht="12.75" x14ac:dyDescent="0.2">
      <c r="A48" s="52"/>
      <c r="B48" s="9">
        <v>45</v>
      </c>
      <c r="C48" s="9" t="s">
        <v>1267</v>
      </c>
      <c r="D48" s="9" t="s">
        <v>24</v>
      </c>
      <c r="E48" s="9" t="s">
        <v>31</v>
      </c>
      <c r="F48" s="9" t="s">
        <v>26</v>
      </c>
      <c r="G48" s="12" t="s">
        <v>27</v>
      </c>
      <c r="H48" s="11"/>
      <c r="I48" s="11"/>
      <c r="J48" s="11"/>
      <c r="K48" s="11"/>
      <c r="L48" s="11"/>
      <c r="M48" s="11"/>
    </row>
    <row r="49" spans="1:13" ht="12.75" x14ac:dyDescent="0.2">
      <c r="A49" s="52"/>
      <c r="B49" s="9">
        <v>45</v>
      </c>
      <c r="C49" s="9" t="s">
        <v>1268</v>
      </c>
      <c r="D49" s="9" t="s">
        <v>24</v>
      </c>
      <c r="E49" s="9" t="s">
        <v>25</v>
      </c>
      <c r="F49" s="9" t="s">
        <v>47</v>
      </c>
      <c r="G49" s="12" t="s">
        <v>27</v>
      </c>
      <c r="H49" s="11"/>
      <c r="I49" s="11"/>
      <c r="J49" s="11"/>
      <c r="K49" s="11"/>
      <c r="L49" s="11"/>
      <c r="M49" s="11"/>
    </row>
    <row r="50" spans="1:13" ht="12.75" x14ac:dyDescent="0.2">
      <c r="A50" s="52"/>
      <c r="B50" s="9">
        <v>45</v>
      </c>
      <c r="C50" s="9" t="s">
        <v>1269</v>
      </c>
      <c r="D50" s="9" t="s">
        <v>24</v>
      </c>
      <c r="E50" s="9" t="s">
        <v>25</v>
      </c>
      <c r="F50" s="9" t="s">
        <v>26</v>
      </c>
      <c r="G50" s="12" t="s">
        <v>27</v>
      </c>
      <c r="H50" s="11"/>
      <c r="I50" s="11"/>
      <c r="J50" s="11"/>
      <c r="K50" s="11"/>
      <c r="L50" s="11"/>
      <c r="M50" s="11"/>
    </row>
    <row r="51" spans="1:13" ht="12.75" x14ac:dyDescent="0.2">
      <c r="A51" s="52"/>
      <c r="B51" s="9">
        <v>45</v>
      </c>
      <c r="C51" s="9" t="s">
        <v>1270</v>
      </c>
      <c r="D51" s="9" t="s">
        <v>24</v>
      </c>
      <c r="E51" s="9" t="s">
        <v>25</v>
      </c>
      <c r="F51" s="9" t="s">
        <v>47</v>
      </c>
      <c r="G51" s="12" t="s">
        <v>27</v>
      </c>
      <c r="H51" s="11"/>
      <c r="I51" s="11"/>
      <c r="J51" s="11"/>
      <c r="K51" s="11"/>
      <c r="L51" s="11"/>
      <c r="M51" s="11"/>
    </row>
    <row r="52" spans="1:13" ht="12.75" x14ac:dyDescent="0.2">
      <c r="A52" s="52"/>
      <c r="B52" s="9">
        <v>45</v>
      </c>
      <c r="C52" s="9" t="s">
        <v>1271</v>
      </c>
      <c r="D52" s="9" t="s">
        <v>24</v>
      </c>
      <c r="E52" s="9" t="s">
        <v>25</v>
      </c>
      <c r="F52" s="9" t="s">
        <v>47</v>
      </c>
      <c r="G52" s="12" t="s">
        <v>27</v>
      </c>
      <c r="H52" s="11"/>
      <c r="I52" s="11"/>
      <c r="J52" s="11"/>
      <c r="K52" s="11"/>
      <c r="L52" s="11"/>
      <c r="M52" s="11"/>
    </row>
    <row r="53" spans="1:13" ht="12.75" x14ac:dyDescent="0.2">
      <c r="A53" s="52"/>
      <c r="B53" s="9">
        <v>45</v>
      </c>
      <c r="C53" s="9" t="s">
        <v>1272</v>
      </c>
      <c r="D53" s="9" t="s">
        <v>24</v>
      </c>
      <c r="E53" s="9" t="s">
        <v>25</v>
      </c>
      <c r="F53" s="9" t="s">
        <v>47</v>
      </c>
      <c r="G53" s="12" t="s">
        <v>27</v>
      </c>
      <c r="H53" s="11"/>
      <c r="I53" s="11"/>
      <c r="J53" s="11"/>
      <c r="K53" s="11"/>
      <c r="L53" s="11"/>
      <c r="M53" s="11"/>
    </row>
    <row r="54" spans="1:13" ht="12.75" x14ac:dyDescent="0.2">
      <c r="A54" s="52"/>
      <c r="B54" s="9">
        <v>45</v>
      </c>
      <c r="C54" s="9" t="s">
        <v>1273</v>
      </c>
      <c r="D54" s="9" t="s">
        <v>24</v>
      </c>
      <c r="E54" s="9" t="s">
        <v>25</v>
      </c>
      <c r="F54" s="9" t="s">
        <v>26</v>
      </c>
      <c r="G54" s="12" t="s">
        <v>27</v>
      </c>
      <c r="H54" s="11"/>
      <c r="I54" s="11"/>
      <c r="J54" s="11"/>
      <c r="K54" s="11"/>
      <c r="L54" s="11"/>
      <c r="M54" s="11"/>
    </row>
    <row r="55" spans="1:13" ht="12.75" x14ac:dyDescent="0.2">
      <c r="A55" s="52"/>
      <c r="B55" s="9">
        <v>45</v>
      </c>
      <c r="C55" s="9" t="s">
        <v>1254</v>
      </c>
      <c r="D55" s="9" t="s">
        <v>24</v>
      </c>
      <c r="E55" s="9" t="s">
        <v>31</v>
      </c>
      <c r="F55" s="9" t="s">
        <v>26</v>
      </c>
      <c r="G55" s="12" t="s">
        <v>27</v>
      </c>
      <c r="H55" s="11"/>
      <c r="I55" s="11"/>
      <c r="J55" s="11"/>
      <c r="K55" s="11"/>
      <c r="L55" s="11"/>
      <c r="M55" s="11"/>
    </row>
    <row r="56" spans="1:13" ht="12.75" x14ac:dyDescent="0.2">
      <c r="A56" s="52"/>
      <c r="B56" s="9">
        <v>45</v>
      </c>
      <c r="C56" s="9" t="s">
        <v>1274</v>
      </c>
      <c r="D56" s="9" t="s">
        <v>24</v>
      </c>
      <c r="E56" s="9" t="s">
        <v>31</v>
      </c>
      <c r="F56" s="9" t="s">
        <v>26</v>
      </c>
      <c r="G56" s="12" t="s">
        <v>27</v>
      </c>
      <c r="H56" s="11"/>
      <c r="I56" s="11"/>
      <c r="J56" s="11"/>
      <c r="K56" s="11"/>
      <c r="L56" s="11"/>
      <c r="M56" s="11"/>
    </row>
    <row r="57" spans="1:13" ht="12.75" x14ac:dyDescent="0.2">
      <c r="A57" s="52"/>
      <c r="B57" s="9">
        <v>45</v>
      </c>
      <c r="C57" s="9" t="s">
        <v>1256</v>
      </c>
      <c r="D57" s="9" t="s">
        <v>24</v>
      </c>
      <c r="E57" s="9" t="s">
        <v>31</v>
      </c>
      <c r="F57" s="9" t="s">
        <v>26</v>
      </c>
      <c r="G57" s="12" t="s">
        <v>27</v>
      </c>
      <c r="H57" s="11"/>
      <c r="I57" s="11"/>
      <c r="J57" s="11"/>
      <c r="K57" s="11"/>
      <c r="L57" s="11"/>
      <c r="M57" s="11"/>
    </row>
    <row r="58" spans="1:13" ht="12.75" x14ac:dyDescent="0.2">
      <c r="A58" s="52"/>
      <c r="B58" s="9">
        <v>45</v>
      </c>
      <c r="C58" s="9" t="s">
        <v>1275</v>
      </c>
      <c r="D58" s="9" t="s">
        <v>24</v>
      </c>
      <c r="E58" s="9" t="s">
        <v>31</v>
      </c>
      <c r="F58" s="9" t="s">
        <v>26</v>
      </c>
      <c r="G58" s="12" t="s">
        <v>27</v>
      </c>
      <c r="H58" s="11"/>
      <c r="I58" s="11"/>
      <c r="J58" s="11"/>
      <c r="K58" s="11"/>
      <c r="L58" s="11"/>
      <c r="M58" s="11"/>
    </row>
    <row r="59" spans="1:13" ht="12.75" x14ac:dyDescent="0.2">
      <c r="A59" s="52"/>
      <c r="B59" s="9">
        <v>45</v>
      </c>
      <c r="C59" s="9" t="s">
        <v>1276</v>
      </c>
      <c r="D59" s="9" t="s">
        <v>24</v>
      </c>
      <c r="E59" s="9" t="s">
        <v>31</v>
      </c>
      <c r="F59" s="9" t="s">
        <v>26</v>
      </c>
      <c r="G59" s="12" t="s">
        <v>27</v>
      </c>
      <c r="H59" s="11"/>
      <c r="I59" s="11"/>
      <c r="J59" s="11"/>
      <c r="K59" s="11"/>
      <c r="L59" s="11"/>
      <c r="M59" s="11"/>
    </row>
    <row r="60" spans="1:13" ht="12.75" x14ac:dyDescent="0.2">
      <c r="A60" s="52"/>
      <c r="B60" s="9">
        <v>45</v>
      </c>
      <c r="C60" s="9" t="s">
        <v>1277</v>
      </c>
      <c r="D60" s="9" t="s">
        <v>24</v>
      </c>
      <c r="E60" s="9" t="s">
        <v>31</v>
      </c>
      <c r="F60" s="9" t="s">
        <v>26</v>
      </c>
      <c r="G60" s="12" t="s">
        <v>27</v>
      </c>
      <c r="H60" s="11"/>
      <c r="I60" s="11"/>
      <c r="J60" s="11"/>
      <c r="K60" s="11"/>
      <c r="L60" s="11"/>
      <c r="M60" s="11"/>
    </row>
    <row r="61" spans="1:13" ht="12.75" x14ac:dyDescent="0.2">
      <c r="A61" s="52"/>
      <c r="B61" s="9">
        <v>45</v>
      </c>
      <c r="C61" s="9" t="s">
        <v>1259</v>
      </c>
      <c r="D61" s="9" t="s">
        <v>24</v>
      </c>
      <c r="E61" s="9" t="s">
        <v>31</v>
      </c>
      <c r="F61" s="9" t="s">
        <v>26</v>
      </c>
      <c r="G61" s="12" t="s">
        <v>27</v>
      </c>
      <c r="H61" s="13"/>
      <c r="I61" s="13"/>
    </row>
    <row r="62" spans="1:13" ht="12.75" x14ac:dyDescent="0.2">
      <c r="A62" s="52"/>
      <c r="B62" s="9">
        <v>45</v>
      </c>
      <c r="C62" s="9" t="s">
        <v>1278</v>
      </c>
      <c r="D62" s="9" t="s">
        <v>24</v>
      </c>
      <c r="E62" s="9" t="s">
        <v>31</v>
      </c>
      <c r="F62" s="9" t="s">
        <v>26</v>
      </c>
      <c r="G62" s="12" t="s">
        <v>27</v>
      </c>
      <c r="H62" s="13"/>
      <c r="I62" s="13"/>
    </row>
    <row r="63" spans="1:13" ht="12.75" x14ac:dyDescent="0.2">
      <c r="A63" s="53"/>
      <c r="B63" s="9">
        <v>45</v>
      </c>
      <c r="C63" s="9" t="s">
        <v>1279</v>
      </c>
      <c r="D63" s="9" t="s">
        <v>24</v>
      </c>
      <c r="E63" s="9" t="s">
        <v>31</v>
      </c>
      <c r="F63" s="9" t="s">
        <v>26</v>
      </c>
      <c r="G63" s="12" t="s">
        <v>27</v>
      </c>
      <c r="H63" s="13"/>
      <c r="I63" s="13"/>
    </row>
    <row r="64" spans="1:13" ht="12.75" x14ac:dyDescent="0.2">
      <c r="A64" s="48" t="s">
        <v>33</v>
      </c>
      <c r="B64" s="9">
        <v>45</v>
      </c>
      <c r="C64" s="9" t="s">
        <v>1233</v>
      </c>
      <c r="D64" s="9" t="s">
        <v>24</v>
      </c>
      <c r="E64" s="9" t="s">
        <v>25</v>
      </c>
      <c r="F64" s="9" t="s">
        <v>26</v>
      </c>
      <c r="G64" s="12" t="s">
        <v>27</v>
      </c>
      <c r="H64" s="13"/>
      <c r="I64" s="13"/>
    </row>
    <row r="65" spans="1:9" ht="12.75" x14ac:dyDescent="0.2">
      <c r="A65" s="52"/>
      <c r="B65" s="9">
        <v>45</v>
      </c>
      <c r="C65" s="9" t="s">
        <v>1235</v>
      </c>
      <c r="D65" s="9" t="s">
        <v>24</v>
      </c>
      <c r="E65" s="9" t="s">
        <v>25</v>
      </c>
      <c r="F65" s="9" t="s">
        <v>26</v>
      </c>
      <c r="G65" s="12" t="s">
        <v>27</v>
      </c>
      <c r="H65" s="13"/>
      <c r="I65" s="13"/>
    </row>
    <row r="66" spans="1:9" ht="12.75" x14ac:dyDescent="0.2">
      <c r="A66" s="52"/>
      <c r="B66" s="9">
        <v>45</v>
      </c>
      <c r="C66" s="9" t="s">
        <v>1280</v>
      </c>
      <c r="D66" s="9" t="s">
        <v>24</v>
      </c>
      <c r="E66" s="9" t="s">
        <v>25</v>
      </c>
      <c r="F66" s="9" t="s">
        <v>26</v>
      </c>
      <c r="G66" s="12" t="s">
        <v>27</v>
      </c>
      <c r="H66" s="13"/>
      <c r="I66" s="13"/>
    </row>
    <row r="67" spans="1:9" ht="12.75" x14ac:dyDescent="0.2">
      <c r="A67" s="52"/>
      <c r="B67" s="9">
        <v>45</v>
      </c>
      <c r="C67" s="9" t="s">
        <v>1281</v>
      </c>
      <c r="D67" s="9" t="s">
        <v>24</v>
      </c>
      <c r="E67" s="9" t="s">
        <v>25</v>
      </c>
      <c r="F67" s="9" t="s">
        <v>26</v>
      </c>
      <c r="G67" s="12" t="s">
        <v>27</v>
      </c>
      <c r="H67" s="13"/>
      <c r="I67" s="13"/>
    </row>
    <row r="68" spans="1:9" ht="12.75" x14ac:dyDescent="0.2">
      <c r="A68" s="52"/>
      <c r="B68" s="9">
        <v>45</v>
      </c>
      <c r="C68" s="9" t="s">
        <v>1281</v>
      </c>
      <c r="D68" s="9" t="s">
        <v>24</v>
      </c>
      <c r="E68" s="9" t="s">
        <v>25</v>
      </c>
      <c r="F68" s="9" t="s">
        <v>26</v>
      </c>
      <c r="G68" s="12" t="s">
        <v>27</v>
      </c>
      <c r="H68" s="13"/>
      <c r="I68" s="13"/>
    </row>
    <row r="69" spans="1:9" ht="12.75" x14ac:dyDescent="0.2">
      <c r="A69" s="52"/>
      <c r="B69" s="9">
        <v>45</v>
      </c>
      <c r="C69" s="9" t="s">
        <v>1282</v>
      </c>
      <c r="D69" s="9" t="s">
        <v>24</v>
      </c>
      <c r="E69" s="9" t="s">
        <v>25</v>
      </c>
      <c r="F69" s="9" t="s">
        <v>26</v>
      </c>
      <c r="G69" s="12" t="s">
        <v>27</v>
      </c>
      <c r="H69" s="13"/>
      <c r="I69" s="13"/>
    </row>
    <row r="70" spans="1:9" ht="12.75" x14ac:dyDescent="0.2">
      <c r="A70" s="52"/>
      <c r="B70" s="9">
        <v>45</v>
      </c>
      <c r="C70" s="9" t="s">
        <v>1283</v>
      </c>
      <c r="D70" s="9" t="s">
        <v>24</v>
      </c>
      <c r="E70" s="9" t="s">
        <v>25</v>
      </c>
      <c r="F70" s="9" t="s">
        <v>26</v>
      </c>
      <c r="G70" s="12" t="s">
        <v>27</v>
      </c>
      <c r="H70" s="13"/>
      <c r="I70" s="13"/>
    </row>
    <row r="71" spans="1:9" ht="12.75" x14ac:dyDescent="0.2">
      <c r="A71" s="52"/>
      <c r="B71" s="9">
        <v>45</v>
      </c>
      <c r="C71" s="9" t="s">
        <v>1240</v>
      </c>
      <c r="D71" s="9" t="s">
        <v>30</v>
      </c>
      <c r="E71" s="9" t="s">
        <v>25</v>
      </c>
      <c r="F71" s="9" t="s">
        <v>26</v>
      </c>
      <c r="G71" s="12" t="s">
        <v>27</v>
      </c>
      <c r="H71" s="13"/>
      <c r="I71" s="13"/>
    </row>
    <row r="72" spans="1:9" ht="12.75" x14ac:dyDescent="0.2">
      <c r="A72" s="52"/>
      <c r="B72" s="9">
        <v>45</v>
      </c>
      <c r="C72" s="9" t="s">
        <v>1242</v>
      </c>
      <c r="D72" s="9" t="s">
        <v>24</v>
      </c>
      <c r="E72" s="9" t="s">
        <v>25</v>
      </c>
      <c r="F72" s="9" t="s">
        <v>26</v>
      </c>
      <c r="G72" s="12" t="s">
        <v>27</v>
      </c>
      <c r="H72" s="13"/>
      <c r="I72" s="13"/>
    </row>
    <row r="73" spans="1:9" ht="12.75" x14ac:dyDescent="0.2">
      <c r="A73" s="52"/>
      <c r="B73" s="9">
        <v>45</v>
      </c>
      <c r="C73" s="9" t="s">
        <v>1284</v>
      </c>
      <c r="D73" s="9" t="s">
        <v>24</v>
      </c>
      <c r="E73" s="9" t="s">
        <v>25</v>
      </c>
      <c r="F73" s="9" t="s">
        <v>26</v>
      </c>
      <c r="G73" s="12" t="s">
        <v>27</v>
      </c>
      <c r="H73" s="13"/>
      <c r="I73" s="13"/>
    </row>
    <row r="74" spans="1:9" ht="12.75" x14ac:dyDescent="0.2">
      <c r="A74" s="52"/>
      <c r="B74" s="9">
        <v>45</v>
      </c>
      <c r="C74" s="9" t="s">
        <v>1285</v>
      </c>
      <c r="D74" s="9" t="s">
        <v>24</v>
      </c>
      <c r="E74" s="9" t="s">
        <v>25</v>
      </c>
      <c r="F74" s="9" t="s">
        <v>26</v>
      </c>
      <c r="G74" s="12" t="s">
        <v>27</v>
      </c>
      <c r="H74" s="13"/>
      <c r="I74" s="13"/>
    </row>
    <row r="75" spans="1:9" ht="12.75" x14ac:dyDescent="0.2">
      <c r="A75" s="52"/>
      <c r="B75" s="9">
        <v>45</v>
      </c>
      <c r="C75" s="9" t="s">
        <v>1286</v>
      </c>
      <c r="D75" s="9" t="s">
        <v>24</v>
      </c>
      <c r="E75" s="9" t="s">
        <v>25</v>
      </c>
      <c r="F75" s="9" t="s">
        <v>26</v>
      </c>
      <c r="G75" s="12" t="s">
        <v>27</v>
      </c>
      <c r="H75" s="13"/>
      <c r="I75" s="13"/>
    </row>
    <row r="76" spans="1:9" ht="12.75" x14ac:dyDescent="0.2">
      <c r="A76" s="52"/>
      <c r="B76" s="9">
        <v>45</v>
      </c>
      <c r="C76" s="9" t="s">
        <v>1287</v>
      </c>
      <c r="D76" s="9" t="s">
        <v>24</v>
      </c>
      <c r="E76" s="9" t="s">
        <v>25</v>
      </c>
      <c r="F76" s="9" t="s">
        <v>26</v>
      </c>
      <c r="G76" s="12" t="s">
        <v>27</v>
      </c>
      <c r="H76" s="13"/>
      <c r="I76" s="13"/>
    </row>
    <row r="77" spans="1:9" ht="12.75" x14ac:dyDescent="0.2">
      <c r="A77" s="52"/>
      <c r="B77" s="9">
        <v>45</v>
      </c>
      <c r="C77" s="9" t="s">
        <v>1288</v>
      </c>
      <c r="D77" s="9" t="s">
        <v>24</v>
      </c>
      <c r="E77" s="9" t="s">
        <v>25</v>
      </c>
      <c r="F77" s="9" t="s">
        <v>26</v>
      </c>
      <c r="G77" s="12" t="s">
        <v>27</v>
      </c>
      <c r="H77" s="13"/>
      <c r="I77" s="13"/>
    </row>
    <row r="78" spans="1:9" ht="12.75" x14ac:dyDescent="0.2">
      <c r="A78" s="52"/>
      <c r="B78" s="9">
        <v>45</v>
      </c>
      <c r="C78" s="9" t="s">
        <v>1289</v>
      </c>
      <c r="D78" s="9" t="s">
        <v>24</v>
      </c>
      <c r="E78" s="9" t="s">
        <v>25</v>
      </c>
      <c r="F78" s="9" t="s">
        <v>26</v>
      </c>
      <c r="G78" s="12" t="s">
        <v>27</v>
      </c>
      <c r="H78" s="13"/>
      <c r="I78" s="13"/>
    </row>
    <row r="79" spans="1:9" ht="12.75" x14ac:dyDescent="0.2">
      <c r="A79" s="52"/>
      <c r="B79" s="9">
        <v>45</v>
      </c>
      <c r="C79" s="9" t="s">
        <v>1290</v>
      </c>
      <c r="D79" s="9" t="s">
        <v>24</v>
      </c>
      <c r="E79" s="9" t="s">
        <v>25</v>
      </c>
      <c r="F79" s="9" t="s">
        <v>26</v>
      </c>
      <c r="G79" s="12" t="s">
        <v>27</v>
      </c>
      <c r="H79" s="13"/>
      <c r="I79" s="13"/>
    </row>
    <row r="80" spans="1:9" ht="12.75" x14ac:dyDescent="0.2">
      <c r="A80" s="52"/>
      <c r="B80" s="9">
        <v>45</v>
      </c>
      <c r="C80" s="9" t="s">
        <v>1290</v>
      </c>
      <c r="D80" s="9" t="s">
        <v>24</v>
      </c>
      <c r="E80" s="9" t="s">
        <v>25</v>
      </c>
      <c r="F80" s="9" t="s">
        <v>26</v>
      </c>
      <c r="G80" s="12" t="s">
        <v>27</v>
      </c>
      <c r="H80" s="13"/>
      <c r="I80" s="13"/>
    </row>
    <row r="81" spans="1:9" ht="12.75" x14ac:dyDescent="0.2">
      <c r="A81" s="52"/>
      <c r="B81" s="9">
        <v>45</v>
      </c>
      <c r="C81" s="9" t="s">
        <v>1291</v>
      </c>
      <c r="D81" s="9" t="s">
        <v>24</v>
      </c>
      <c r="E81" s="9" t="s">
        <v>25</v>
      </c>
      <c r="F81" s="9" t="s">
        <v>26</v>
      </c>
      <c r="G81" s="12" t="s">
        <v>27</v>
      </c>
      <c r="H81" s="13"/>
      <c r="I81" s="13"/>
    </row>
    <row r="82" spans="1:9" ht="12.75" x14ac:dyDescent="0.2">
      <c r="A82" s="52"/>
      <c r="B82" s="9">
        <v>45</v>
      </c>
      <c r="C82" s="9" t="s">
        <v>1292</v>
      </c>
      <c r="D82" s="9" t="s">
        <v>24</v>
      </c>
      <c r="E82" s="9" t="s">
        <v>25</v>
      </c>
      <c r="F82" s="9" t="s">
        <v>26</v>
      </c>
      <c r="G82" s="12" t="s">
        <v>27</v>
      </c>
      <c r="H82" s="13"/>
      <c r="I82" s="13"/>
    </row>
    <row r="83" spans="1:9" ht="12.75" x14ac:dyDescent="0.2">
      <c r="A83" s="53"/>
      <c r="B83" s="9">
        <v>45</v>
      </c>
      <c r="C83" s="9" t="s">
        <v>1293</v>
      </c>
      <c r="D83" s="9" t="s">
        <v>24</v>
      </c>
      <c r="E83" s="9" t="s">
        <v>25</v>
      </c>
      <c r="F83" s="9" t="s">
        <v>26</v>
      </c>
      <c r="G83" s="12" t="s">
        <v>27</v>
      </c>
      <c r="H83" s="13"/>
      <c r="I83" s="13"/>
    </row>
    <row r="84" spans="1:9" ht="12.75" x14ac:dyDescent="0.2">
      <c r="A84" s="48" t="s">
        <v>38</v>
      </c>
      <c r="B84" s="9">
        <v>45</v>
      </c>
      <c r="C84" s="9" t="s">
        <v>1248</v>
      </c>
      <c r="D84" s="9" t="s">
        <v>24</v>
      </c>
      <c r="E84" s="9" t="s">
        <v>31</v>
      </c>
      <c r="F84" s="9" t="s">
        <v>26</v>
      </c>
      <c r="G84" s="12" t="s">
        <v>27</v>
      </c>
      <c r="H84" s="13"/>
      <c r="I84" s="13"/>
    </row>
    <row r="85" spans="1:9" ht="12.75" x14ac:dyDescent="0.2">
      <c r="A85" s="52"/>
      <c r="B85" s="9">
        <v>45</v>
      </c>
      <c r="C85" s="9" t="s">
        <v>1250</v>
      </c>
      <c r="D85" s="9" t="s">
        <v>24</v>
      </c>
      <c r="E85" s="9" t="s">
        <v>31</v>
      </c>
      <c r="F85" s="9" t="s">
        <v>26</v>
      </c>
      <c r="G85" s="12" t="s">
        <v>27</v>
      </c>
      <c r="H85" s="13"/>
      <c r="I85" s="13"/>
    </row>
    <row r="86" spans="1:9" ht="12.75" x14ac:dyDescent="0.2">
      <c r="A86" s="52"/>
      <c r="B86" s="9">
        <v>45</v>
      </c>
      <c r="C86" s="9" t="s">
        <v>1294</v>
      </c>
      <c r="D86" s="9" t="s">
        <v>24</v>
      </c>
      <c r="E86" s="9" t="s">
        <v>31</v>
      </c>
      <c r="F86" s="9" t="s">
        <v>26</v>
      </c>
      <c r="G86" s="12" t="s">
        <v>27</v>
      </c>
      <c r="H86" s="13"/>
      <c r="I86" s="13"/>
    </row>
    <row r="87" spans="1:9" ht="12.75" x14ac:dyDescent="0.2">
      <c r="A87" s="52"/>
      <c r="B87" s="9">
        <v>45</v>
      </c>
      <c r="C87" s="9" t="s">
        <v>1295</v>
      </c>
      <c r="D87" s="9" t="s">
        <v>24</v>
      </c>
      <c r="E87" s="9" t="s">
        <v>31</v>
      </c>
      <c r="F87" s="9" t="s">
        <v>26</v>
      </c>
      <c r="G87" s="12" t="s">
        <v>27</v>
      </c>
      <c r="H87" s="13"/>
      <c r="I87" s="13"/>
    </row>
    <row r="88" spans="1:9" ht="12.75" x14ac:dyDescent="0.2">
      <c r="A88" s="52"/>
      <c r="B88" s="9">
        <v>45</v>
      </c>
      <c r="C88" s="9" t="s">
        <v>1296</v>
      </c>
      <c r="D88" s="9" t="s">
        <v>24</v>
      </c>
      <c r="E88" s="9" t="s">
        <v>31</v>
      </c>
      <c r="F88" s="9" t="s">
        <v>26</v>
      </c>
      <c r="G88" s="12" t="s">
        <v>27</v>
      </c>
      <c r="H88" s="13"/>
      <c r="I88" s="13"/>
    </row>
    <row r="89" spans="1:9" ht="12.75" x14ac:dyDescent="0.2">
      <c r="A89" s="52"/>
      <c r="B89" s="9">
        <v>45</v>
      </c>
      <c r="C89" s="9" t="s">
        <v>1265</v>
      </c>
      <c r="D89" s="9" t="s">
        <v>24</v>
      </c>
      <c r="E89" s="9" t="s">
        <v>31</v>
      </c>
      <c r="F89" s="9" t="s">
        <v>26</v>
      </c>
      <c r="G89" s="12" t="s">
        <v>27</v>
      </c>
      <c r="H89" s="13"/>
      <c r="I89" s="13"/>
    </row>
    <row r="90" spans="1:9" ht="12.75" x14ac:dyDescent="0.2">
      <c r="A90" s="52"/>
      <c r="B90" s="9">
        <v>45</v>
      </c>
      <c r="C90" s="9" t="s">
        <v>1297</v>
      </c>
      <c r="D90" s="9" t="s">
        <v>24</v>
      </c>
      <c r="E90" s="9" t="s">
        <v>31</v>
      </c>
      <c r="F90" s="9" t="s">
        <v>26</v>
      </c>
      <c r="G90" s="12" t="s">
        <v>27</v>
      </c>
      <c r="H90" s="13"/>
      <c r="I90" s="13"/>
    </row>
    <row r="91" spans="1:9" ht="12.75" x14ac:dyDescent="0.2">
      <c r="A91" s="52"/>
      <c r="B91" s="9">
        <v>45</v>
      </c>
      <c r="C91" s="9" t="s">
        <v>1298</v>
      </c>
      <c r="D91" s="9" t="s">
        <v>24</v>
      </c>
      <c r="E91" s="9" t="s">
        <v>31</v>
      </c>
      <c r="F91" s="9" t="s">
        <v>26</v>
      </c>
      <c r="G91" s="12" t="s">
        <v>27</v>
      </c>
      <c r="H91" s="13"/>
      <c r="I91" s="13"/>
    </row>
    <row r="92" spans="1:9" ht="12.75" x14ac:dyDescent="0.2">
      <c r="A92" s="52"/>
      <c r="B92" s="9">
        <v>45</v>
      </c>
      <c r="C92" s="9" t="s">
        <v>1299</v>
      </c>
      <c r="D92" s="9" t="s">
        <v>24</v>
      </c>
      <c r="E92" s="9" t="s">
        <v>31</v>
      </c>
      <c r="F92" s="9" t="s">
        <v>26</v>
      </c>
      <c r="G92" s="12" t="s">
        <v>27</v>
      </c>
      <c r="H92" s="13"/>
      <c r="I92" s="13"/>
    </row>
    <row r="93" spans="1:9" ht="12.75" x14ac:dyDescent="0.2">
      <c r="A93" s="52"/>
      <c r="B93" s="9">
        <v>45</v>
      </c>
      <c r="C93" s="9" t="s">
        <v>1253</v>
      </c>
      <c r="D93" s="9" t="s">
        <v>30</v>
      </c>
      <c r="E93" s="9" t="s">
        <v>31</v>
      </c>
      <c r="F93" s="9" t="s">
        <v>26</v>
      </c>
      <c r="G93" s="12" t="s">
        <v>27</v>
      </c>
      <c r="H93" s="13"/>
      <c r="I93" s="13"/>
    </row>
    <row r="94" spans="1:9" ht="12.75" x14ac:dyDescent="0.2">
      <c r="A94" s="52"/>
      <c r="B94" s="9">
        <v>45</v>
      </c>
      <c r="C94" s="9" t="s">
        <v>1300</v>
      </c>
      <c r="D94" s="9" t="s">
        <v>24</v>
      </c>
      <c r="E94" s="9" t="s">
        <v>31</v>
      </c>
      <c r="F94" s="9" t="s">
        <v>26</v>
      </c>
      <c r="G94" s="12" t="s">
        <v>27</v>
      </c>
      <c r="H94" s="13"/>
      <c r="I94" s="13"/>
    </row>
    <row r="95" spans="1:9" ht="12.75" x14ac:dyDescent="0.2">
      <c r="A95" s="52"/>
      <c r="B95" s="9">
        <v>45</v>
      </c>
      <c r="C95" s="9" t="s">
        <v>1254</v>
      </c>
      <c r="D95" s="9" t="s">
        <v>24</v>
      </c>
      <c r="E95" s="9" t="s">
        <v>31</v>
      </c>
      <c r="F95" s="9" t="s">
        <v>26</v>
      </c>
      <c r="G95" s="12" t="s">
        <v>27</v>
      </c>
      <c r="H95" s="13"/>
      <c r="I95" s="13"/>
    </row>
    <row r="96" spans="1:9" ht="12.75" x14ac:dyDescent="0.2">
      <c r="A96" s="52"/>
      <c r="B96" s="9">
        <v>45</v>
      </c>
      <c r="C96" s="9" t="s">
        <v>1301</v>
      </c>
      <c r="D96" s="9" t="s">
        <v>24</v>
      </c>
      <c r="E96" s="9" t="s">
        <v>31</v>
      </c>
      <c r="F96" s="9" t="s">
        <v>26</v>
      </c>
      <c r="G96" s="12" t="s">
        <v>27</v>
      </c>
      <c r="H96" s="13"/>
      <c r="I96" s="13"/>
    </row>
    <row r="97" spans="1:9" ht="12.75" x14ac:dyDescent="0.2">
      <c r="A97" s="52"/>
      <c r="B97" s="9">
        <v>45</v>
      </c>
      <c r="C97" s="9" t="s">
        <v>1302</v>
      </c>
      <c r="D97" s="9" t="s">
        <v>24</v>
      </c>
      <c r="E97" s="9" t="s">
        <v>31</v>
      </c>
      <c r="F97" s="9" t="s">
        <v>26</v>
      </c>
      <c r="G97" s="12" t="s">
        <v>27</v>
      </c>
      <c r="H97" s="13"/>
      <c r="I97" s="13"/>
    </row>
    <row r="98" spans="1:9" ht="12.75" x14ac:dyDescent="0.2">
      <c r="A98" s="52"/>
      <c r="B98" s="9">
        <v>45</v>
      </c>
      <c r="C98" s="9" t="s">
        <v>1303</v>
      </c>
      <c r="D98" s="9" t="s">
        <v>24</v>
      </c>
      <c r="E98" s="9" t="s">
        <v>31</v>
      </c>
      <c r="F98" s="9" t="s">
        <v>26</v>
      </c>
      <c r="G98" s="12" t="s">
        <v>27</v>
      </c>
      <c r="H98" s="13"/>
      <c r="I98" s="13"/>
    </row>
    <row r="99" spans="1:9" ht="12.75" x14ac:dyDescent="0.2">
      <c r="A99" s="52"/>
      <c r="B99" s="9">
        <v>45</v>
      </c>
      <c r="C99" s="9" t="s">
        <v>1304</v>
      </c>
      <c r="D99" s="9" t="s">
        <v>30</v>
      </c>
      <c r="E99" s="9" t="s">
        <v>31</v>
      </c>
      <c r="F99" s="9" t="s">
        <v>26</v>
      </c>
      <c r="G99" s="12" t="s">
        <v>27</v>
      </c>
      <c r="H99" s="13"/>
      <c r="I99" s="13"/>
    </row>
    <row r="100" spans="1:9" ht="12.75" x14ac:dyDescent="0.2">
      <c r="A100" s="52"/>
      <c r="B100" s="9">
        <v>45</v>
      </c>
      <c r="C100" s="9" t="s">
        <v>1278</v>
      </c>
      <c r="D100" s="9" t="s">
        <v>24</v>
      </c>
      <c r="E100" s="9" t="s">
        <v>31</v>
      </c>
      <c r="F100" s="9" t="s">
        <v>26</v>
      </c>
      <c r="G100" s="12" t="s">
        <v>27</v>
      </c>
      <c r="H100" s="13"/>
      <c r="I100" s="13"/>
    </row>
    <row r="101" spans="1:9" ht="12.75" x14ac:dyDescent="0.2">
      <c r="A101" s="52"/>
      <c r="B101" s="9">
        <v>45</v>
      </c>
      <c r="C101" s="9" t="s">
        <v>1305</v>
      </c>
      <c r="D101" s="9" t="s">
        <v>24</v>
      </c>
      <c r="E101" s="9" t="s">
        <v>31</v>
      </c>
      <c r="F101" s="9" t="s">
        <v>26</v>
      </c>
      <c r="G101" s="12" t="s">
        <v>27</v>
      </c>
      <c r="H101" s="13"/>
      <c r="I101" s="13"/>
    </row>
    <row r="102" spans="1:9" ht="12.75" x14ac:dyDescent="0.2">
      <c r="A102" s="53"/>
      <c r="B102" s="9">
        <v>45</v>
      </c>
      <c r="C102" s="9" t="s">
        <v>1306</v>
      </c>
      <c r="D102" s="9" t="s">
        <v>24</v>
      </c>
      <c r="E102" s="9" t="s">
        <v>31</v>
      </c>
      <c r="F102" s="9" t="s">
        <v>26</v>
      </c>
      <c r="G102" s="12" t="s">
        <v>27</v>
      </c>
      <c r="H102" s="13"/>
      <c r="I102" s="13"/>
    </row>
    <row r="103" spans="1:9" ht="12.75" x14ac:dyDescent="0.2">
      <c r="A103" s="48" t="s">
        <v>46</v>
      </c>
      <c r="B103" s="9">
        <v>45</v>
      </c>
      <c r="C103" s="9" t="s">
        <v>1307</v>
      </c>
      <c r="D103" s="9" t="s">
        <v>24</v>
      </c>
      <c r="E103" s="9" t="s">
        <v>31</v>
      </c>
      <c r="F103" s="9" t="s">
        <v>47</v>
      </c>
      <c r="G103" s="12" t="s">
        <v>27</v>
      </c>
      <c r="H103" s="13"/>
      <c r="I103" s="13"/>
    </row>
    <row r="104" spans="1:9" ht="12.75" x14ac:dyDescent="0.2">
      <c r="A104" s="52"/>
      <c r="B104" s="9">
        <v>45</v>
      </c>
      <c r="C104" s="9" t="s">
        <v>1248</v>
      </c>
      <c r="D104" s="9" t="s">
        <v>24</v>
      </c>
      <c r="E104" s="9" t="s">
        <v>31</v>
      </c>
      <c r="F104" s="9" t="s">
        <v>47</v>
      </c>
      <c r="G104" s="12" t="s">
        <v>27</v>
      </c>
      <c r="H104" s="13"/>
      <c r="I104" s="13"/>
    </row>
    <row r="105" spans="1:9" ht="12.75" x14ac:dyDescent="0.2">
      <c r="A105" s="52"/>
      <c r="B105" s="9">
        <v>45</v>
      </c>
      <c r="C105" s="9" t="s">
        <v>1308</v>
      </c>
      <c r="D105" s="9" t="s">
        <v>24</v>
      </c>
      <c r="E105" s="9" t="s">
        <v>31</v>
      </c>
      <c r="F105" s="9" t="s">
        <v>47</v>
      </c>
      <c r="G105" s="12" t="s">
        <v>27</v>
      </c>
      <c r="H105" s="13"/>
      <c r="I105" s="13"/>
    </row>
    <row r="106" spans="1:9" ht="12.75" x14ac:dyDescent="0.2">
      <c r="A106" s="52"/>
      <c r="B106" s="9">
        <v>45</v>
      </c>
      <c r="C106" s="9" t="s">
        <v>1309</v>
      </c>
      <c r="D106" s="9" t="s">
        <v>24</v>
      </c>
      <c r="E106" s="9" t="s">
        <v>31</v>
      </c>
      <c r="F106" s="9" t="s">
        <v>47</v>
      </c>
      <c r="G106" s="12" t="s">
        <v>27</v>
      </c>
      <c r="H106" s="13"/>
      <c r="I106" s="13"/>
    </row>
    <row r="107" spans="1:9" ht="12.75" x14ac:dyDescent="0.2">
      <c r="A107" s="52"/>
      <c r="B107" s="9">
        <v>45</v>
      </c>
      <c r="C107" s="9" t="s">
        <v>1310</v>
      </c>
      <c r="D107" s="9" t="s">
        <v>24</v>
      </c>
      <c r="E107" s="9" t="s">
        <v>31</v>
      </c>
      <c r="F107" s="9" t="s">
        <v>47</v>
      </c>
      <c r="G107" s="12" t="s">
        <v>27</v>
      </c>
      <c r="H107" s="13"/>
      <c r="I107" s="13"/>
    </row>
    <row r="108" spans="1:9" ht="12.75" x14ac:dyDescent="0.2">
      <c r="A108" s="52"/>
      <c r="B108" s="9">
        <v>45</v>
      </c>
      <c r="C108" s="9" t="s">
        <v>1311</v>
      </c>
      <c r="D108" s="9" t="s">
        <v>24</v>
      </c>
      <c r="E108" s="9" t="s">
        <v>31</v>
      </c>
      <c r="F108" s="9" t="s">
        <v>47</v>
      </c>
      <c r="G108" s="12" t="s">
        <v>27</v>
      </c>
      <c r="H108" s="13"/>
      <c r="I108" s="13"/>
    </row>
    <row r="109" spans="1:9" ht="12.75" x14ac:dyDescent="0.2">
      <c r="A109" s="52"/>
      <c r="B109" s="9">
        <v>45</v>
      </c>
      <c r="C109" s="9" t="s">
        <v>1312</v>
      </c>
      <c r="D109" s="9" t="s">
        <v>24</v>
      </c>
      <c r="E109" s="9" t="s">
        <v>31</v>
      </c>
      <c r="F109" s="9" t="s">
        <v>47</v>
      </c>
      <c r="G109" s="12" t="s">
        <v>27</v>
      </c>
      <c r="H109" s="13"/>
      <c r="I109" s="13"/>
    </row>
    <row r="110" spans="1:9" ht="12.75" x14ac:dyDescent="0.2">
      <c r="A110" s="52"/>
      <c r="B110" s="9">
        <v>45</v>
      </c>
      <c r="C110" s="9" t="s">
        <v>1313</v>
      </c>
      <c r="D110" s="9" t="s">
        <v>24</v>
      </c>
      <c r="E110" s="9" t="s">
        <v>31</v>
      </c>
      <c r="F110" s="9" t="s">
        <v>47</v>
      </c>
      <c r="G110" s="12" t="s">
        <v>27</v>
      </c>
      <c r="H110" s="13"/>
      <c r="I110" s="13"/>
    </row>
    <row r="111" spans="1:9" ht="12.75" x14ac:dyDescent="0.2">
      <c r="A111" s="52"/>
      <c r="B111" s="9">
        <v>45</v>
      </c>
      <c r="C111" s="9" t="s">
        <v>1314</v>
      </c>
      <c r="D111" s="9" t="s">
        <v>24</v>
      </c>
      <c r="E111" s="9" t="s">
        <v>31</v>
      </c>
      <c r="F111" s="9" t="s">
        <v>47</v>
      </c>
      <c r="G111" s="12" t="s">
        <v>27</v>
      </c>
      <c r="H111" s="13"/>
      <c r="I111" s="13"/>
    </row>
    <row r="112" spans="1:9" ht="12.75" x14ac:dyDescent="0.2">
      <c r="A112" s="52"/>
      <c r="B112" s="9">
        <v>45</v>
      </c>
      <c r="C112" s="9" t="s">
        <v>1315</v>
      </c>
      <c r="D112" s="9" t="s">
        <v>24</v>
      </c>
      <c r="E112" s="9" t="s">
        <v>31</v>
      </c>
      <c r="F112" s="9" t="s">
        <v>47</v>
      </c>
      <c r="G112" s="12" t="s">
        <v>27</v>
      </c>
      <c r="H112" s="13"/>
      <c r="I112" s="13"/>
    </row>
    <row r="113" spans="1:9" ht="12.75" x14ac:dyDescent="0.2">
      <c r="A113" s="52"/>
      <c r="B113" s="9">
        <v>45</v>
      </c>
      <c r="C113" s="9" t="s">
        <v>1316</v>
      </c>
      <c r="D113" s="9" t="s">
        <v>24</v>
      </c>
      <c r="E113" s="9" t="s">
        <v>31</v>
      </c>
      <c r="F113" s="9" t="s">
        <v>47</v>
      </c>
      <c r="G113" s="12" t="s">
        <v>27</v>
      </c>
      <c r="H113" s="13"/>
      <c r="I113" s="13"/>
    </row>
    <row r="114" spans="1:9" ht="12.75" x14ac:dyDescent="0.2">
      <c r="A114" s="52"/>
      <c r="B114" s="9">
        <v>45</v>
      </c>
      <c r="C114" s="9" t="s">
        <v>1317</v>
      </c>
      <c r="D114" s="9" t="s">
        <v>24</v>
      </c>
      <c r="E114" s="9" t="s">
        <v>31</v>
      </c>
      <c r="F114" s="9" t="s">
        <v>47</v>
      </c>
      <c r="G114" s="12" t="s">
        <v>27</v>
      </c>
      <c r="H114" s="13"/>
      <c r="I114" s="13"/>
    </row>
    <row r="115" spans="1:9" ht="12.75" x14ac:dyDescent="0.2">
      <c r="A115" s="52"/>
      <c r="B115" s="9">
        <v>45</v>
      </c>
      <c r="C115" s="9" t="s">
        <v>1318</v>
      </c>
      <c r="D115" s="9" t="s">
        <v>24</v>
      </c>
      <c r="E115" s="9" t="s">
        <v>31</v>
      </c>
      <c r="F115" s="9" t="s">
        <v>47</v>
      </c>
      <c r="G115" s="12" t="s">
        <v>27</v>
      </c>
      <c r="H115" s="13"/>
      <c r="I115" s="13"/>
    </row>
    <row r="116" spans="1:9" ht="12.75" x14ac:dyDescent="0.2">
      <c r="A116" s="52"/>
      <c r="B116" s="9">
        <v>45</v>
      </c>
      <c r="C116" s="9" t="s">
        <v>1278</v>
      </c>
      <c r="D116" s="9" t="s">
        <v>24</v>
      </c>
      <c r="E116" s="9" t="s">
        <v>31</v>
      </c>
      <c r="F116" s="9" t="s">
        <v>47</v>
      </c>
      <c r="G116" s="12" t="s">
        <v>27</v>
      </c>
      <c r="H116" s="13"/>
      <c r="I116" s="13"/>
    </row>
    <row r="117" spans="1:9" ht="12.75" x14ac:dyDescent="0.2">
      <c r="A117" s="52"/>
      <c r="B117" s="9">
        <v>45</v>
      </c>
      <c r="C117" s="9" t="s">
        <v>1319</v>
      </c>
      <c r="D117" s="9" t="s">
        <v>24</v>
      </c>
      <c r="E117" s="9" t="s">
        <v>31</v>
      </c>
      <c r="F117" s="9" t="s">
        <v>47</v>
      </c>
      <c r="G117" s="12" t="s">
        <v>27</v>
      </c>
      <c r="H117" s="13"/>
      <c r="I117" s="13"/>
    </row>
    <row r="118" spans="1:9" ht="12.75" x14ac:dyDescent="0.2">
      <c r="A118" s="52"/>
      <c r="B118" s="9">
        <v>45</v>
      </c>
      <c r="C118" s="9" t="s">
        <v>1320</v>
      </c>
      <c r="D118" s="9" t="s">
        <v>24</v>
      </c>
      <c r="E118" s="9" t="s">
        <v>31</v>
      </c>
      <c r="F118" s="9" t="s">
        <v>47</v>
      </c>
      <c r="G118" s="12" t="s">
        <v>27</v>
      </c>
      <c r="H118" s="13"/>
      <c r="I118" s="13"/>
    </row>
    <row r="119" spans="1:9" ht="12.75" x14ac:dyDescent="0.2">
      <c r="A119" s="53"/>
      <c r="B119" s="9">
        <v>45</v>
      </c>
      <c r="C119" s="9" t="s">
        <v>1265</v>
      </c>
      <c r="D119" s="9" t="s">
        <v>24</v>
      </c>
      <c r="E119" s="9" t="s">
        <v>31</v>
      </c>
      <c r="F119" s="9" t="s">
        <v>47</v>
      </c>
      <c r="G119" s="12" t="s">
        <v>27</v>
      </c>
      <c r="H119" s="13"/>
      <c r="I119" s="13"/>
    </row>
    <row r="120" spans="1:9" ht="12.75" x14ac:dyDescent="0.2">
      <c r="A120" s="48" t="s">
        <v>49</v>
      </c>
      <c r="B120" s="12">
        <v>45</v>
      </c>
      <c r="C120" s="12" t="s">
        <v>1321</v>
      </c>
      <c r="D120" s="12" t="s">
        <v>24</v>
      </c>
      <c r="E120" s="12" t="s">
        <v>25</v>
      </c>
      <c r="F120" s="12" t="s">
        <v>26</v>
      </c>
      <c r="G120" s="12" t="s">
        <v>27</v>
      </c>
      <c r="H120" s="13"/>
      <c r="I120" s="13"/>
    </row>
    <row r="121" spans="1:9" ht="12.75" x14ac:dyDescent="0.2">
      <c r="A121" s="52"/>
      <c r="B121" s="12">
        <v>45</v>
      </c>
      <c r="C121" s="12" t="s">
        <v>1322</v>
      </c>
      <c r="D121" s="12" t="s">
        <v>24</v>
      </c>
      <c r="E121" s="12" t="s">
        <v>25</v>
      </c>
      <c r="F121" s="12" t="s">
        <v>26</v>
      </c>
      <c r="G121" s="12" t="s">
        <v>27</v>
      </c>
      <c r="H121" s="13"/>
      <c r="I121" s="13"/>
    </row>
    <row r="122" spans="1:9" ht="12.75" x14ac:dyDescent="0.2">
      <c r="A122" s="52"/>
      <c r="B122" s="12">
        <v>45</v>
      </c>
      <c r="C122" s="12" t="s">
        <v>1310</v>
      </c>
      <c r="D122" s="12" t="s">
        <v>24</v>
      </c>
      <c r="E122" s="12" t="s">
        <v>25</v>
      </c>
      <c r="F122" s="12" t="s">
        <v>26</v>
      </c>
      <c r="G122" s="12" t="s">
        <v>27</v>
      </c>
      <c r="H122" s="13"/>
      <c r="I122" s="13"/>
    </row>
    <row r="123" spans="1:9" ht="12.75" x14ac:dyDescent="0.2">
      <c r="A123" s="52"/>
      <c r="B123" s="12">
        <v>45</v>
      </c>
      <c r="C123" s="12" t="s">
        <v>1313</v>
      </c>
      <c r="D123" s="12" t="s">
        <v>24</v>
      </c>
      <c r="E123" s="12" t="s">
        <v>25</v>
      </c>
      <c r="F123" s="12" t="s">
        <v>47</v>
      </c>
      <c r="G123" s="12" t="s">
        <v>27</v>
      </c>
      <c r="H123" s="13"/>
      <c r="I123" s="13"/>
    </row>
    <row r="124" spans="1:9" ht="12.75" x14ac:dyDescent="0.2">
      <c r="A124" s="52"/>
      <c r="B124" s="12">
        <v>45</v>
      </c>
      <c r="C124" s="12" t="s">
        <v>1314</v>
      </c>
      <c r="D124" s="12" t="s">
        <v>24</v>
      </c>
      <c r="E124" s="12" t="s">
        <v>25</v>
      </c>
      <c r="F124" s="12" t="s">
        <v>26</v>
      </c>
      <c r="G124" s="12" t="s">
        <v>27</v>
      </c>
      <c r="H124" s="13"/>
      <c r="I124" s="13"/>
    </row>
    <row r="125" spans="1:9" ht="12.75" x14ac:dyDescent="0.2">
      <c r="A125" s="52"/>
      <c r="B125" s="12">
        <v>45</v>
      </c>
      <c r="C125" s="12" t="s">
        <v>1323</v>
      </c>
      <c r="D125" s="12" t="s">
        <v>24</v>
      </c>
      <c r="E125" s="12" t="s">
        <v>25</v>
      </c>
      <c r="F125" s="12" t="s">
        <v>26</v>
      </c>
      <c r="G125" s="12" t="s">
        <v>27</v>
      </c>
      <c r="H125" s="13"/>
      <c r="I125" s="13"/>
    </row>
    <row r="126" spans="1:9" ht="12.75" x14ac:dyDescent="0.2">
      <c r="A126" s="52"/>
      <c r="B126" s="12">
        <v>45</v>
      </c>
      <c r="C126" s="12" t="s">
        <v>1324</v>
      </c>
      <c r="D126" s="12" t="s">
        <v>24</v>
      </c>
      <c r="E126" s="12" t="s">
        <v>25</v>
      </c>
      <c r="F126" s="12" t="s">
        <v>26</v>
      </c>
      <c r="G126" s="12" t="s">
        <v>27</v>
      </c>
      <c r="H126" s="13"/>
      <c r="I126" s="13"/>
    </row>
    <row r="127" spans="1:9" ht="12.75" x14ac:dyDescent="0.2">
      <c r="A127" s="52"/>
      <c r="B127" s="12">
        <v>45</v>
      </c>
      <c r="C127" s="12" t="s">
        <v>1253</v>
      </c>
      <c r="D127" s="12" t="s">
        <v>30</v>
      </c>
      <c r="E127" s="12" t="s">
        <v>25</v>
      </c>
      <c r="F127" s="12" t="s">
        <v>26</v>
      </c>
      <c r="G127" s="12" t="s">
        <v>27</v>
      </c>
      <c r="H127" s="13"/>
      <c r="I127" s="13"/>
    </row>
    <row r="128" spans="1:9" ht="12.75" x14ac:dyDescent="0.2">
      <c r="A128" s="52"/>
      <c r="B128" s="12">
        <v>45</v>
      </c>
      <c r="C128" s="12" t="s">
        <v>1325</v>
      </c>
      <c r="D128" s="12" t="s">
        <v>24</v>
      </c>
      <c r="E128" s="12" t="s">
        <v>25</v>
      </c>
      <c r="F128" s="12" t="s">
        <v>26</v>
      </c>
      <c r="G128" s="12" t="s">
        <v>27</v>
      </c>
      <c r="H128" s="13"/>
      <c r="I128" s="13"/>
    </row>
    <row r="129" spans="1:9" ht="12.75" x14ac:dyDescent="0.2">
      <c r="A129" s="52"/>
      <c r="B129" s="12">
        <v>45</v>
      </c>
      <c r="C129" s="12" t="s">
        <v>1254</v>
      </c>
      <c r="D129" s="12" t="s">
        <v>24</v>
      </c>
      <c r="E129" s="12" t="s">
        <v>25</v>
      </c>
      <c r="F129" s="12" t="s">
        <v>26</v>
      </c>
      <c r="G129" s="12" t="s">
        <v>27</v>
      </c>
      <c r="H129" s="13"/>
      <c r="I129" s="13"/>
    </row>
    <row r="130" spans="1:9" ht="12.75" x14ac:dyDescent="0.2">
      <c r="A130" s="52"/>
      <c r="B130" s="12">
        <v>45</v>
      </c>
      <c r="C130" s="12" t="s">
        <v>1326</v>
      </c>
      <c r="D130" s="12" t="s">
        <v>24</v>
      </c>
      <c r="E130" s="12" t="s">
        <v>25</v>
      </c>
      <c r="F130" s="12" t="s">
        <v>26</v>
      </c>
      <c r="G130" s="12" t="s">
        <v>27</v>
      </c>
      <c r="H130" s="13"/>
      <c r="I130" s="13"/>
    </row>
    <row r="131" spans="1:9" ht="12.75" x14ac:dyDescent="0.2">
      <c r="A131" s="52"/>
      <c r="B131" s="12">
        <v>45</v>
      </c>
      <c r="C131" s="12" t="s">
        <v>1327</v>
      </c>
      <c r="D131" s="12" t="s">
        <v>24</v>
      </c>
      <c r="E131" s="12" t="s">
        <v>25</v>
      </c>
      <c r="F131" s="12" t="s">
        <v>26</v>
      </c>
      <c r="G131" s="12" t="s">
        <v>27</v>
      </c>
      <c r="H131" s="13"/>
      <c r="I131" s="13"/>
    </row>
    <row r="132" spans="1:9" ht="12.75" x14ac:dyDescent="0.2">
      <c r="A132" s="52"/>
      <c r="B132" s="12">
        <v>45</v>
      </c>
      <c r="C132" s="12" t="s">
        <v>1328</v>
      </c>
      <c r="D132" s="12" t="s">
        <v>24</v>
      </c>
      <c r="E132" s="12" t="s">
        <v>25</v>
      </c>
      <c r="F132" s="12" t="s">
        <v>26</v>
      </c>
      <c r="G132" s="12" t="s">
        <v>27</v>
      </c>
      <c r="H132" s="13"/>
      <c r="I132" s="13"/>
    </row>
    <row r="133" spans="1:9" ht="12.75" x14ac:dyDescent="0.2">
      <c r="A133" s="53"/>
      <c r="B133" s="12">
        <v>45</v>
      </c>
      <c r="C133" s="12" t="s">
        <v>1329</v>
      </c>
      <c r="D133" s="12" t="s">
        <v>24</v>
      </c>
      <c r="E133" s="12" t="s">
        <v>25</v>
      </c>
      <c r="F133" s="12" t="s">
        <v>26</v>
      </c>
      <c r="G133" s="12" t="s">
        <v>27</v>
      </c>
      <c r="H133" s="13"/>
      <c r="I133" s="13"/>
    </row>
    <row r="134" spans="1:9" ht="12.75" x14ac:dyDescent="0.2">
      <c r="A134" s="48" t="s">
        <v>52</v>
      </c>
      <c r="B134" s="9">
        <v>45</v>
      </c>
      <c r="C134" s="9" t="s">
        <v>470</v>
      </c>
      <c r="D134" s="9" t="s">
        <v>24</v>
      </c>
      <c r="E134" s="9" t="s">
        <v>31</v>
      </c>
      <c r="F134" s="9" t="s">
        <v>47</v>
      </c>
      <c r="G134" s="12" t="s">
        <v>27</v>
      </c>
      <c r="H134" s="13"/>
      <c r="I134" s="13"/>
    </row>
    <row r="135" spans="1:9" ht="12.75" x14ac:dyDescent="0.2">
      <c r="A135" s="52"/>
      <c r="B135" s="9">
        <v>45</v>
      </c>
      <c r="C135" s="9" t="s">
        <v>1330</v>
      </c>
      <c r="D135" s="9" t="s">
        <v>24</v>
      </c>
      <c r="E135" s="9" t="s">
        <v>31</v>
      </c>
      <c r="F135" s="9" t="s">
        <v>47</v>
      </c>
      <c r="G135" s="12" t="s">
        <v>27</v>
      </c>
      <c r="H135" s="13"/>
      <c r="I135" s="13"/>
    </row>
    <row r="136" spans="1:9" ht="12.75" x14ac:dyDescent="0.2">
      <c r="A136" s="52"/>
      <c r="B136" s="9">
        <v>45</v>
      </c>
      <c r="C136" s="9" t="s">
        <v>1331</v>
      </c>
      <c r="D136" s="9" t="s">
        <v>24</v>
      </c>
      <c r="E136" s="9" t="s">
        <v>31</v>
      </c>
      <c r="F136" s="9" t="s">
        <v>47</v>
      </c>
      <c r="G136" s="12" t="s">
        <v>27</v>
      </c>
      <c r="H136" s="13"/>
      <c r="I136" s="13"/>
    </row>
    <row r="137" spans="1:9" ht="12.75" x14ac:dyDescent="0.2">
      <c r="A137" s="52"/>
      <c r="B137" s="9">
        <v>45</v>
      </c>
      <c r="C137" s="9" t="s">
        <v>1248</v>
      </c>
      <c r="D137" s="9" t="s">
        <v>24</v>
      </c>
      <c r="E137" s="9" t="s">
        <v>31</v>
      </c>
      <c r="F137" s="9" t="s">
        <v>47</v>
      </c>
      <c r="G137" s="12" t="s">
        <v>27</v>
      </c>
      <c r="H137" s="13"/>
      <c r="I137" s="13"/>
    </row>
    <row r="138" spans="1:9" ht="12.75" x14ac:dyDescent="0.2">
      <c r="A138" s="52"/>
      <c r="B138" s="9">
        <v>45</v>
      </c>
      <c r="C138" s="9" t="s">
        <v>1332</v>
      </c>
      <c r="D138" s="9" t="s">
        <v>24</v>
      </c>
      <c r="E138" s="9" t="s">
        <v>31</v>
      </c>
      <c r="F138" s="9" t="s">
        <v>47</v>
      </c>
      <c r="G138" s="12" t="s">
        <v>27</v>
      </c>
      <c r="H138" s="13"/>
      <c r="I138" s="13"/>
    </row>
    <row r="139" spans="1:9" ht="12.75" x14ac:dyDescent="0.2">
      <c r="A139" s="52"/>
      <c r="B139" s="9">
        <v>45</v>
      </c>
      <c r="C139" s="9" t="s">
        <v>1333</v>
      </c>
      <c r="D139" s="9" t="s">
        <v>24</v>
      </c>
      <c r="E139" s="9" t="s">
        <v>31</v>
      </c>
      <c r="F139" s="9" t="s">
        <v>47</v>
      </c>
      <c r="G139" s="12" t="s">
        <v>27</v>
      </c>
      <c r="H139" s="13"/>
      <c r="I139" s="13"/>
    </row>
    <row r="140" spans="1:9" ht="12.75" x14ac:dyDescent="0.2">
      <c r="A140" s="52"/>
      <c r="B140" s="9">
        <v>45</v>
      </c>
      <c r="C140" s="9" t="s">
        <v>1310</v>
      </c>
      <c r="D140" s="9" t="s">
        <v>24</v>
      </c>
      <c r="E140" s="9" t="s">
        <v>31</v>
      </c>
      <c r="F140" s="9" t="s">
        <v>47</v>
      </c>
      <c r="G140" s="12" t="s">
        <v>27</v>
      </c>
      <c r="H140" s="13"/>
      <c r="I140" s="13"/>
    </row>
    <row r="141" spans="1:9" ht="12.75" x14ac:dyDescent="0.2">
      <c r="A141" s="52"/>
      <c r="B141" s="9">
        <v>45</v>
      </c>
      <c r="C141" s="9" t="s">
        <v>1334</v>
      </c>
      <c r="D141" s="9" t="s">
        <v>24</v>
      </c>
      <c r="E141" s="9" t="s">
        <v>31</v>
      </c>
      <c r="F141" s="9" t="s">
        <v>47</v>
      </c>
      <c r="G141" s="12" t="s">
        <v>27</v>
      </c>
      <c r="H141" s="13"/>
      <c r="I141" s="13"/>
    </row>
    <row r="142" spans="1:9" ht="12.75" x14ac:dyDescent="0.2">
      <c r="A142" s="52"/>
      <c r="B142" s="9">
        <v>45</v>
      </c>
      <c r="C142" s="9" t="s">
        <v>1265</v>
      </c>
      <c r="D142" s="9" t="s">
        <v>30</v>
      </c>
      <c r="E142" s="9" t="s">
        <v>31</v>
      </c>
      <c r="F142" s="9" t="s">
        <v>47</v>
      </c>
      <c r="G142" s="12" t="s">
        <v>27</v>
      </c>
      <c r="H142" s="13"/>
      <c r="I142" s="13"/>
    </row>
    <row r="143" spans="1:9" ht="12.75" x14ac:dyDescent="0.2">
      <c r="A143" s="52"/>
      <c r="B143" s="9">
        <v>45</v>
      </c>
      <c r="C143" s="9" t="s">
        <v>1335</v>
      </c>
      <c r="D143" s="9" t="s">
        <v>24</v>
      </c>
      <c r="E143" s="9" t="s">
        <v>31</v>
      </c>
      <c r="F143" s="9" t="s">
        <v>47</v>
      </c>
      <c r="G143" s="12" t="s">
        <v>27</v>
      </c>
      <c r="H143" s="13"/>
      <c r="I143" s="13"/>
    </row>
    <row r="144" spans="1:9" ht="12.75" x14ac:dyDescent="0.2">
      <c r="A144" s="52"/>
      <c r="B144" s="9">
        <v>45</v>
      </c>
      <c r="C144" s="9" t="s">
        <v>1336</v>
      </c>
      <c r="D144" s="9" t="s">
        <v>24</v>
      </c>
      <c r="E144" s="9" t="s">
        <v>31</v>
      </c>
      <c r="F144" s="9" t="s">
        <v>47</v>
      </c>
      <c r="G144" s="12" t="s">
        <v>27</v>
      </c>
      <c r="H144" s="13"/>
      <c r="I144" s="13"/>
    </row>
    <row r="145" spans="1:9" ht="12.75" x14ac:dyDescent="0.2">
      <c r="A145" s="53"/>
      <c r="B145" s="9">
        <v>45</v>
      </c>
      <c r="C145" s="9" t="s">
        <v>1337</v>
      </c>
      <c r="D145" s="9" t="s">
        <v>24</v>
      </c>
      <c r="E145" s="9" t="s">
        <v>31</v>
      </c>
      <c r="F145" s="9" t="s">
        <v>47</v>
      </c>
      <c r="G145" s="12" t="s">
        <v>27</v>
      </c>
      <c r="H145" s="13"/>
      <c r="I145" s="13"/>
    </row>
    <row r="146" spans="1:9" ht="12.75" x14ac:dyDescent="0.2">
      <c r="A146" s="48" t="s">
        <v>59</v>
      </c>
      <c r="B146" s="9">
        <v>45</v>
      </c>
      <c r="C146" s="9" t="s">
        <v>1330</v>
      </c>
      <c r="D146" s="9" t="s">
        <v>24</v>
      </c>
      <c r="E146" s="9" t="s">
        <v>31</v>
      </c>
      <c r="F146" s="9" t="s">
        <v>47</v>
      </c>
      <c r="G146" s="12" t="s">
        <v>27</v>
      </c>
      <c r="H146" s="13"/>
      <c r="I146" s="13"/>
    </row>
    <row r="147" spans="1:9" ht="12.75" x14ac:dyDescent="0.2">
      <c r="A147" s="52"/>
      <c r="B147" s="9">
        <v>45</v>
      </c>
      <c r="C147" s="9" t="s">
        <v>1310</v>
      </c>
      <c r="D147" s="9" t="s">
        <v>24</v>
      </c>
      <c r="E147" s="9" t="s">
        <v>31</v>
      </c>
      <c r="F147" s="9" t="s">
        <v>47</v>
      </c>
      <c r="G147" s="12" t="s">
        <v>27</v>
      </c>
      <c r="H147" s="13"/>
      <c r="I147" s="13"/>
    </row>
    <row r="148" spans="1:9" ht="12.75" x14ac:dyDescent="0.2">
      <c r="A148" s="52"/>
      <c r="B148" s="9">
        <v>45</v>
      </c>
      <c r="C148" s="9" t="s">
        <v>1336</v>
      </c>
      <c r="D148" s="9" t="s">
        <v>24</v>
      </c>
      <c r="E148" s="9" t="s">
        <v>31</v>
      </c>
      <c r="F148" s="9" t="s">
        <v>47</v>
      </c>
      <c r="G148" s="12" t="s">
        <v>27</v>
      </c>
      <c r="H148" s="13"/>
      <c r="I148" s="13"/>
    </row>
    <row r="149" spans="1:9" ht="12.75" x14ac:dyDescent="0.2">
      <c r="A149" s="52"/>
      <c r="B149" s="9">
        <v>45</v>
      </c>
      <c r="C149" s="9" t="s">
        <v>1331</v>
      </c>
      <c r="D149" s="9" t="s">
        <v>24</v>
      </c>
      <c r="E149" s="9" t="s">
        <v>31</v>
      </c>
      <c r="F149" s="9" t="s">
        <v>47</v>
      </c>
      <c r="G149" s="12" t="s">
        <v>27</v>
      </c>
      <c r="H149" s="13"/>
      <c r="I149" s="13"/>
    </row>
    <row r="150" spans="1:9" ht="12.75" x14ac:dyDescent="0.2">
      <c r="A150" s="52"/>
      <c r="B150" s="9">
        <v>45</v>
      </c>
      <c r="C150" s="9" t="s">
        <v>1337</v>
      </c>
      <c r="D150" s="9" t="s">
        <v>24</v>
      </c>
      <c r="E150" s="9" t="s">
        <v>31</v>
      </c>
      <c r="F150" s="9" t="s">
        <v>47</v>
      </c>
      <c r="G150" s="12" t="s">
        <v>27</v>
      </c>
      <c r="H150" s="13"/>
      <c r="I150" s="13"/>
    </row>
    <row r="151" spans="1:9" ht="12.75" x14ac:dyDescent="0.2">
      <c r="A151" s="52"/>
      <c r="B151" s="9">
        <v>45</v>
      </c>
      <c r="C151" s="9" t="s">
        <v>1338</v>
      </c>
      <c r="D151" s="9" t="s">
        <v>24</v>
      </c>
      <c r="E151" s="9" t="s">
        <v>31</v>
      </c>
      <c r="F151" s="9" t="s">
        <v>47</v>
      </c>
      <c r="G151" s="12" t="s">
        <v>27</v>
      </c>
      <c r="H151" s="13"/>
      <c r="I151" s="13"/>
    </row>
    <row r="152" spans="1:9" ht="12.75" x14ac:dyDescent="0.2">
      <c r="A152" s="52"/>
      <c r="B152" s="9">
        <v>45</v>
      </c>
      <c r="C152" s="9" t="s">
        <v>1335</v>
      </c>
      <c r="D152" s="9" t="s">
        <v>24</v>
      </c>
      <c r="E152" s="9" t="s">
        <v>31</v>
      </c>
      <c r="F152" s="9" t="s">
        <v>47</v>
      </c>
      <c r="G152" s="12" t="s">
        <v>27</v>
      </c>
      <c r="H152" s="13"/>
      <c r="I152" s="13"/>
    </row>
    <row r="153" spans="1:9" ht="12.75" x14ac:dyDescent="0.2">
      <c r="A153" s="52"/>
      <c r="B153" s="9">
        <v>45</v>
      </c>
      <c r="C153" s="9" t="s">
        <v>1259</v>
      </c>
      <c r="D153" s="9" t="s">
        <v>24</v>
      </c>
      <c r="E153" s="9" t="s">
        <v>31</v>
      </c>
      <c r="F153" s="9" t="s">
        <v>47</v>
      </c>
      <c r="G153" s="12" t="s">
        <v>27</v>
      </c>
      <c r="H153" s="13"/>
      <c r="I153" s="13"/>
    </row>
    <row r="154" spans="1:9" ht="12.75" x14ac:dyDescent="0.2">
      <c r="A154" s="52"/>
      <c r="B154" s="9">
        <v>45</v>
      </c>
      <c r="C154" s="9" t="s">
        <v>1339</v>
      </c>
      <c r="D154" s="9" t="s">
        <v>24</v>
      </c>
      <c r="E154" s="9" t="s">
        <v>31</v>
      </c>
      <c r="F154" s="9" t="s">
        <v>47</v>
      </c>
      <c r="G154" s="12" t="s">
        <v>27</v>
      </c>
      <c r="H154" s="13"/>
      <c r="I154" s="13"/>
    </row>
    <row r="155" spans="1:9" ht="12.75" x14ac:dyDescent="0.2">
      <c r="A155" s="52"/>
      <c r="B155" s="9">
        <v>45</v>
      </c>
      <c r="C155" s="9" t="s">
        <v>1340</v>
      </c>
      <c r="D155" s="9" t="s">
        <v>24</v>
      </c>
      <c r="E155" s="9" t="s">
        <v>31</v>
      </c>
      <c r="F155" s="9" t="s">
        <v>47</v>
      </c>
      <c r="G155" s="12" t="s">
        <v>27</v>
      </c>
      <c r="H155" s="13"/>
      <c r="I155" s="13"/>
    </row>
    <row r="156" spans="1:9" ht="12.75" x14ac:dyDescent="0.2">
      <c r="A156" s="52"/>
      <c r="B156" s="9">
        <v>45</v>
      </c>
      <c r="C156" s="9" t="s">
        <v>1278</v>
      </c>
      <c r="D156" s="9" t="s">
        <v>24</v>
      </c>
      <c r="E156" s="9" t="s">
        <v>31</v>
      </c>
      <c r="F156" s="9" t="s">
        <v>26</v>
      </c>
      <c r="G156" s="12" t="s">
        <v>27</v>
      </c>
      <c r="H156" s="13"/>
      <c r="I156" s="13"/>
    </row>
    <row r="157" spans="1:9" ht="12.75" x14ac:dyDescent="0.2">
      <c r="A157" s="52"/>
      <c r="B157" s="9">
        <v>45</v>
      </c>
      <c r="C157" s="9" t="s">
        <v>1341</v>
      </c>
      <c r="D157" s="9" t="s">
        <v>30</v>
      </c>
      <c r="E157" s="9" t="s">
        <v>31</v>
      </c>
      <c r="F157" s="9" t="s">
        <v>47</v>
      </c>
      <c r="G157" s="12" t="s">
        <v>27</v>
      </c>
      <c r="H157" s="13"/>
      <c r="I157" s="13"/>
    </row>
    <row r="158" spans="1:9" ht="12.75" x14ac:dyDescent="0.2">
      <c r="A158" s="53"/>
      <c r="B158" s="9">
        <v>45</v>
      </c>
      <c r="C158" s="9" t="s">
        <v>1335</v>
      </c>
      <c r="D158" s="9" t="s">
        <v>30</v>
      </c>
      <c r="E158" s="9" t="s">
        <v>31</v>
      </c>
      <c r="F158" s="9" t="s">
        <v>47</v>
      </c>
      <c r="G158" s="12" t="s">
        <v>27</v>
      </c>
      <c r="H158" s="13"/>
      <c r="I158" s="13"/>
    </row>
    <row r="159" spans="1:9" ht="12.75" x14ac:dyDescent="0.2">
      <c r="A159" s="48" t="s">
        <v>101</v>
      </c>
      <c r="B159" s="9">
        <v>45</v>
      </c>
      <c r="C159" s="9" t="s">
        <v>1342</v>
      </c>
      <c r="D159" s="9" t="s">
        <v>24</v>
      </c>
      <c r="E159" s="9" t="s">
        <v>31</v>
      </c>
      <c r="F159" s="9" t="s">
        <v>47</v>
      </c>
      <c r="G159" s="12" t="s">
        <v>27</v>
      </c>
      <c r="H159" s="13"/>
      <c r="I159" s="13"/>
    </row>
    <row r="160" spans="1:9" ht="12.75" x14ac:dyDescent="0.2">
      <c r="A160" s="52"/>
      <c r="B160" s="9">
        <v>45</v>
      </c>
      <c r="C160" s="9" t="s">
        <v>1343</v>
      </c>
      <c r="D160" s="9" t="s">
        <v>24</v>
      </c>
      <c r="E160" s="9" t="s">
        <v>31</v>
      </c>
      <c r="F160" s="9" t="s">
        <v>47</v>
      </c>
      <c r="G160" s="12" t="s">
        <v>27</v>
      </c>
      <c r="H160" s="13"/>
      <c r="I160" s="13"/>
    </row>
    <row r="161" spans="1:9" ht="12.75" x14ac:dyDescent="0.2">
      <c r="A161" s="52"/>
      <c r="B161" s="9">
        <v>45</v>
      </c>
      <c r="C161" s="9" t="s">
        <v>1344</v>
      </c>
      <c r="D161" s="9" t="s">
        <v>24</v>
      </c>
      <c r="E161" s="9" t="s">
        <v>31</v>
      </c>
      <c r="F161" s="9" t="s">
        <v>47</v>
      </c>
      <c r="G161" s="12" t="s">
        <v>27</v>
      </c>
      <c r="H161" s="13"/>
      <c r="I161" s="13"/>
    </row>
    <row r="162" spans="1:9" ht="12.75" x14ac:dyDescent="0.2">
      <c r="A162" s="52"/>
      <c r="B162" s="9">
        <v>45</v>
      </c>
      <c r="C162" s="9" t="s">
        <v>1345</v>
      </c>
      <c r="D162" s="9" t="s">
        <v>24</v>
      </c>
      <c r="E162" s="9" t="s">
        <v>31</v>
      </c>
      <c r="F162" s="9" t="s">
        <v>47</v>
      </c>
      <c r="G162" s="12" t="s">
        <v>27</v>
      </c>
      <c r="H162" s="13"/>
      <c r="I162" s="13"/>
    </row>
    <row r="163" spans="1:9" ht="12.75" x14ac:dyDescent="0.2">
      <c r="A163" s="52"/>
      <c r="B163" s="9">
        <v>45</v>
      </c>
      <c r="C163" s="9" t="s">
        <v>1346</v>
      </c>
      <c r="D163" s="9" t="s">
        <v>24</v>
      </c>
      <c r="E163" s="9" t="s">
        <v>31</v>
      </c>
      <c r="F163" s="9" t="s">
        <v>47</v>
      </c>
      <c r="G163" s="12" t="s">
        <v>27</v>
      </c>
      <c r="H163" s="13"/>
      <c r="I163" s="13"/>
    </row>
    <row r="164" spans="1:9" ht="12.75" x14ac:dyDescent="0.2">
      <c r="A164" s="52"/>
      <c r="B164" s="9">
        <v>45</v>
      </c>
      <c r="C164" s="9" t="s">
        <v>1254</v>
      </c>
      <c r="D164" s="9" t="s">
        <v>24</v>
      </c>
      <c r="E164" s="9" t="s">
        <v>31</v>
      </c>
      <c r="F164" s="9" t="s">
        <v>47</v>
      </c>
      <c r="G164" s="12" t="s">
        <v>27</v>
      </c>
      <c r="H164" s="13"/>
      <c r="I164" s="13"/>
    </row>
    <row r="165" spans="1:9" ht="12.75" x14ac:dyDescent="0.2">
      <c r="A165" s="52"/>
      <c r="B165" s="9">
        <v>45</v>
      </c>
      <c r="C165" s="9" t="s">
        <v>1347</v>
      </c>
      <c r="D165" s="9" t="s">
        <v>24</v>
      </c>
      <c r="E165" s="9" t="s">
        <v>31</v>
      </c>
      <c r="F165" s="9" t="s">
        <v>47</v>
      </c>
      <c r="G165" s="12" t="s">
        <v>27</v>
      </c>
      <c r="H165" s="13"/>
      <c r="I165" s="13"/>
    </row>
    <row r="166" spans="1:9" ht="12.75" x14ac:dyDescent="0.2">
      <c r="A166" s="52"/>
      <c r="B166" s="9">
        <v>45</v>
      </c>
      <c r="C166" s="9" t="s">
        <v>1256</v>
      </c>
      <c r="D166" s="9" t="s">
        <v>24</v>
      </c>
      <c r="E166" s="9" t="s">
        <v>31</v>
      </c>
      <c r="F166" s="9" t="s">
        <v>47</v>
      </c>
      <c r="G166" s="12" t="s">
        <v>27</v>
      </c>
      <c r="H166" s="13"/>
      <c r="I166" s="13"/>
    </row>
    <row r="167" spans="1:9" ht="12.75" x14ac:dyDescent="0.2">
      <c r="A167" s="52"/>
      <c r="B167" s="9">
        <v>45</v>
      </c>
      <c r="C167" s="9" t="s">
        <v>1348</v>
      </c>
      <c r="D167" s="9" t="s">
        <v>24</v>
      </c>
      <c r="E167" s="9" t="s">
        <v>31</v>
      </c>
      <c r="F167" s="9" t="s">
        <v>47</v>
      </c>
      <c r="G167" s="12" t="s">
        <v>27</v>
      </c>
      <c r="H167" s="13"/>
      <c r="I167" s="13"/>
    </row>
    <row r="168" spans="1:9" ht="12.75" x14ac:dyDescent="0.2">
      <c r="A168" s="52"/>
      <c r="B168" s="9">
        <v>45</v>
      </c>
      <c r="C168" s="9" t="s">
        <v>1328</v>
      </c>
      <c r="D168" s="9" t="s">
        <v>24</v>
      </c>
      <c r="E168" s="9" t="s">
        <v>31</v>
      </c>
      <c r="F168" s="9" t="s">
        <v>47</v>
      </c>
      <c r="G168" s="12" t="s">
        <v>27</v>
      </c>
      <c r="H168" s="13"/>
      <c r="I168" s="13"/>
    </row>
    <row r="169" spans="1:9" ht="12.75" x14ac:dyDescent="0.2">
      <c r="A169" s="52"/>
      <c r="B169" s="9">
        <v>45</v>
      </c>
      <c r="C169" s="9" t="s">
        <v>1349</v>
      </c>
      <c r="D169" s="9" t="s">
        <v>24</v>
      </c>
      <c r="E169" s="9" t="s">
        <v>31</v>
      </c>
      <c r="F169" s="9" t="s">
        <v>47</v>
      </c>
      <c r="G169" s="12" t="s">
        <v>27</v>
      </c>
      <c r="H169" s="13"/>
      <c r="I169" s="13"/>
    </row>
    <row r="170" spans="1:9" ht="12.75" x14ac:dyDescent="0.2">
      <c r="A170" s="52"/>
      <c r="B170" s="9">
        <v>45</v>
      </c>
      <c r="C170" s="9" t="s">
        <v>1350</v>
      </c>
      <c r="D170" s="9" t="s">
        <v>24</v>
      </c>
      <c r="E170" s="9" t="s">
        <v>31</v>
      </c>
      <c r="F170" s="9" t="s">
        <v>47</v>
      </c>
      <c r="G170" s="12" t="s">
        <v>27</v>
      </c>
      <c r="H170" s="13"/>
      <c r="I170" s="13"/>
    </row>
    <row r="171" spans="1:9" ht="12.75" x14ac:dyDescent="0.2">
      <c r="A171" s="53"/>
      <c r="B171" s="9">
        <v>45</v>
      </c>
      <c r="C171" s="9" t="s">
        <v>1351</v>
      </c>
      <c r="D171" s="9" t="s">
        <v>24</v>
      </c>
      <c r="E171" s="9" t="s">
        <v>31</v>
      </c>
      <c r="F171" s="9" t="s">
        <v>47</v>
      </c>
      <c r="G171" s="12" t="s">
        <v>27</v>
      </c>
      <c r="H171" s="13"/>
      <c r="I171" s="13"/>
    </row>
    <row r="172" spans="1:9" ht="12.75" x14ac:dyDescent="0.2">
      <c r="A172" s="48" t="s">
        <v>62</v>
      </c>
      <c r="B172" s="9">
        <v>45</v>
      </c>
      <c r="C172" s="9" t="s">
        <v>1352</v>
      </c>
      <c r="D172" s="9" t="s">
        <v>24</v>
      </c>
      <c r="E172" s="9" t="s">
        <v>31</v>
      </c>
      <c r="F172" s="9" t="s">
        <v>26</v>
      </c>
      <c r="G172" s="12" t="s">
        <v>27</v>
      </c>
      <c r="H172" s="13"/>
      <c r="I172" s="13"/>
    </row>
    <row r="173" spans="1:9" ht="12.75" x14ac:dyDescent="0.2">
      <c r="A173" s="52"/>
      <c r="B173" s="9">
        <v>45</v>
      </c>
      <c r="C173" s="9" t="s">
        <v>1353</v>
      </c>
      <c r="D173" s="9" t="s">
        <v>24</v>
      </c>
      <c r="E173" s="9" t="s">
        <v>31</v>
      </c>
      <c r="F173" s="9" t="s">
        <v>26</v>
      </c>
      <c r="G173" s="12" t="s">
        <v>27</v>
      </c>
      <c r="H173" s="13"/>
      <c r="I173" s="13"/>
    </row>
    <row r="174" spans="1:9" ht="12.75" x14ac:dyDescent="0.2">
      <c r="A174" s="52"/>
      <c r="B174" s="9">
        <v>45</v>
      </c>
      <c r="C174" s="9" t="s">
        <v>1354</v>
      </c>
      <c r="D174" s="9" t="s">
        <v>24</v>
      </c>
      <c r="E174" s="9" t="s">
        <v>31</v>
      </c>
      <c r="F174" s="9" t="s">
        <v>26</v>
      </c>
      <c r="G174" s="12" t="s">
        <v>27</v>
      </c>
      <c r="H174" s="13"/>
      <c r="I174" s="13"/>
    </row>
    <row r="175" spans="1:9" ht="12.75" x14ac:dyDescent="0.2">
      <c r="A175" s="52"/>
      <c r="B175" s="9">
        <v>45</v>
      </c>
      <c r="C175" s="9" t="s">
        <v>1250</v>
      </c>
      <c r="D175" s="9" t="s">
        <v>24</v>
      </c>
      <c r="E175" s="9" t="s">
        <v>31</v>
      </c>
      <c r="F175" s="9" t="s">
        <v>26</v>
      </c>
      <c r="G175" s="12" t="s">
        <v>27</v>
      </c>
      <c r="H175" s="13"/>
      <c r="I175" s="13"/>
    </row>
    <row r="176" spans="1:9" ht="12.75" x14ac:dyDescent="0.2">
      <c r="A176" s="52"/>
      <c r="B176" s="9">
        <v>45</v>
      </c>
      <c r="C176" s="9" t="s">
        <v>1355</v>
      </c>
      <c r="D176" s="9" t="s">
        <v>24</v>
      </c>
      <c r="E176" s="9" t="s">
        <v>31</v>
      </c>
      <c r="F176" s="9" t="s">
        <v>26</v>
      </c>
      <c r="G176" s="12" t="s">
        <v>27</v>
      </c>
      <c r="H176" s="13"/>
      <c r="I176" s="13"/>
    </row>
    <row r="177" spans="1:9" ht="12.75" x14ac:dyDescent="0.2">
      <c r="A177" s="52"/>
      <c r="B177" s="9">
        <v>45</v>
      </c>
      <c r="C177" s="9" t="s">
        <v>1265</v>
      </c>
      <c r="D177" s="9" t="s">
        <v>24</v>
      </c>
      <c r="E177" s="9" t="s">
        <v>31</v>
      </c>
      <c r="F177" s="9" t="s">
        <v>26</v>
      </c>
      <c r="G177" s="12" t="s">
        <v>27</v>
      </c>
      <c r="H177" s="13"/>
      <c r="I177" s="13"/>
    </row>
    <row r="178" spans="1:9" ht="12.75" x14ac:dyDescent="0.2">
      <c r="A178" s="52"/>
      <c r="B178" s="9">
        <v>45</v>
      </c>
      <c r="C178" s="9" t="s">
        <v>1254</v>
      </c>
      <c r="D178" s="9" t="s">
        <v>24</v>
      </c>
      <c r="E178" s="9" t="s">
        <v>31</v>
      </c>
      <c r="F178" s="9" t="s">
        <v>26</v>
      </c>
      <c r="G178" s="12" t="s">
        <v>27</v>
      </c>
      <c r="H178" s="13"/>
      <c r="I178" s="13"/>
    </row>
    <row r="179" spans="1:9" ht="12.75" x14ac:dyDescent="0.2">
      <c r="A179" s="52"/>
      <c r="B179" s="9">
        <v>45</v>
      </c>
      <c r="C179" s="9" t="s">
        <v>1256</v>
      </c>
      <c r="D179" s="9" t="s">
        <v>24</v>
      </c>
      <c r="E179" s="9" t="s">
        <v>31</v>
      </c>
      <c r="F179" s="9" t="s">
        <v>26</v>
      </c>
      <c r="G179" s="12" t="s">
        <v>27</v>
      </c>
      <c r="H179" s="13"/>
      <c r="I179" s="13"/>
    </row>
    <row r="180" spans="1:9" ht="12.75" x14ac:dyDescent="0.2">
      <c r="A180" s="52"/>
      <c r="B180" s="9">
        <v>45</v>
      </c>
      <c r="C180" s="9" t="s">
        <v>1356</v>
      </c>
      <c r="D180" s="9" t="s">
        <v>24</v>
      </c>
      <c r="E180" s="9" t="s">
        <v>25</v>
      </c>
      <c r="F180" s="9" t="s">
        <v>47</v>
      </c>
      <c r="G180" s="12" t="s">
        <v>27</v>
      </c>
      <c r="H180" s="13"/>
      <c r="I180" s="13"/>
    </row>
    <row r="181" spans="1:9" ht="12.75" x14ac:dyDescent="0.2">
      <c r="A181" s="52"/>
      <c r="B181" s="9">
        <v>45</v>
      </c>
      <c r="C181" s="9" t="s">
        <v>1259</v>
      </c>
      <c r="D181" s="9" t="s">
        <v>24</v>
      </c>
      <c r="E181" s="9" t="s">
        <v>31</v>
      </c>
      <c r="F181" s="9" t="s">
        <v>26</v>
      </c>
      <c r="G181" s="12" t="s">
        <v>27</v>
      </c>
      <c r="H181" s="13"/>
      <c r="I181" s="13"/>
    </row>
    <row r="182" spans="1:9" ht="12.75" x14ac:dyDescent="0.2">
      <c r="A182" s="52"/>
      <c r="B182" s="9">
        <v>45</v>
      </c>
      <c r="C182" s="9" t="s">
        <v>1357</v>
      </c>
      <c r="D182" s="9" t="s">
        <v>24</v>
      </c>
      <c r="E182" s="9" t="s">
        <v>25</v>
      </c>
      <c r="F182" s="9" t="s">
        <v>47</v>
      </c>
      <c r="G182" s="12" t="s">
        <v>27</v>
      </c>
      <c r="H182" s="13"/>
      <c r="I182" s="13"/>
    </row>
    <row r="183" spans="1:9" ht="12.75" x14ac:dyDescent="0.2">
      <c r="A183" s="53"/>
      <c r="B183" s="9">
        <v>45</v>
      </c>
      <c r="C183" s="9" t="s">
        <v>1358</v>
      </c>
      <c r="D183" s="9" t="s">
        <v>24</v>
      </c>
      <c r="E183" s="9" t="s">
        <v>31</v>
      </c>
      <c r="F183" s="9" t="s">
        <v>47</v>
      </c>
      <c r="G183" s="12" t="s">
        <v>27</v>
      </c>
      <c r="H183" s="13"/>
      <c r="I183" s="13"/>
    </row>
    <row r="184" spans="1:9" ht="12.75" x14ac:dyDescent="0.2">
      <c r="A184" s="48" t="s">
        <v>70</v>
      </c>
      <c r="B184" s="9">
        <v>45</v>
      </c>
      <c r="C184" s="9" t="s">
        <v>1330</v>
      </c>
      <c r="D184" s="9" t="s">
        <v>24</v>
      </c>
      <c r="E184" s="9" t="s">
        <v>31</v>
      </c>
      <c r="F184" s="9" t="s">
        <v>47</v>
      </c>
      <c r="G184" s="12" t="s">
        <v>27</v>
      </c>
      <c r="H184" s="13"/>
      <c r="I184" s="13"/>
    </row>
    <row r="185" spans="1:9" ht="12.75" x14ac:dyDescent="0.2">
      <c r="A185" s="52"/>
      <c r="B185" s="9">
        <v>45</v>
      </c>
      <c r="C185" s="9" t="s">
        <v>1359</v>
      </c>
      <c r="D185" s="9" t="s">
        <v>24</v>
      </c>
      <c r="E185" s="9" t="s">
        <v>31</v>
      </c>
      <c r="F185" s="9" t="s">
        <v>47</v>
      </c>
      <c r="G185" s="12" t="s">
        <v>27</v>
      </c>
      <c r="H185" s="13"/>
      <c r="I185" s="13"/>
    </row>
    <row r="186" spans="1:9" ht="12.75" x14ac:dyDescent="0.2">
      <c r="A186" s="52"/>
      <c r="B186" s="9">
        <v>45</v>
      </c>
      <c r="C186" s="9" t="s">
        <v>1360</v>
      </c>
      <c r="D186" s="9" t="s">
        <v>24</v>
      </c>
      <c r="E186" s="9" t="s">
        <v>31</v>
      </c>
      <c r="F186" s="9" t="s">
        <v>47</v>
      </c>
      <c r="G186" s="12" t="s">
        <v>27</v>
      </c>
      <c r="H186" s="13"/>
      <c r="I186" s="13"/>
    </row>
    <row r="187" spans="1:9" ht="12.75" x14ac:dyDescent="0.2">
      <c r="A187" s="52"/>
      <c r="B187" s="9">
        <v>45</v>
      </c>
      <c r="C187" s="9" t="s">
        <v>1254</v>
      </c>
      <c r="D187" s="9" t="s">
        <v>24</v>
      </c>
      <c r="E187" s="9" t="s">
        <v>31</v>
      </c>
      <c r="F187" s="9" t="s">
        <v>47</v>
      </c>
      <c r="G187" s="12" t="s">
        <v>27</v>
      </c>
      <c r="H187" s="13"/>
      <c r="I187" s="13"/>
    </row>
    <row r="188" spans="1:9" ht="12.75" x14ac:dyDescent="0.2">
      <c r="A188" s="52"/>
      <c r="B188" s="9">
        <v>45</v>
      </c>
      <c r="C188" s="9" t="s">
        <v>1338</v>
      </c>
      <c r="D188" s="9" t="s">
        <v>24</v>
      </c>
      <c r="E188" s="9" t="s">
        <v>31</v>
      </c>
      <c r="F188" s="9" t="s">
        <v>47</v>
      </c>
      <c r="G188" s="12" t="s">
        <v>27</v>
      </c>
      <c r="H188" s="13"/>
      <c r="I188" s="13"/>
    </row>
    <row r="189" spans="1:9" ht="12.75" x14ac:dyDescent="0.2">
      <c r="A189" s="53"/>
      <c r="B189" s="9">
        <v>45</v>
      </c>
      <c r="C189" s="9" t="s">
        <v>1361</v>
      </c>
      <c r="D189" s="9" t="s">
        <v>24</v>
      </c>
      <c r="E189" s="9" t="s">
        <v>31</v>
      </c>
      <c r="F189" s="9" t="s">
        <v>47</v>
      </c>
      <c r="G189" s="12" t="s">
        <v>27</v>
      </c>
      <c r="H189" s="13"/>
      <c r="I189" s="13"/>
    </row>
    <row r="190" spans="1:9" ht="12.75" x14ac:dyDescent="0.2">
      <c r="A190" s="48" t="s">
        <v>73</v>
      </c>
      <c r="B190" s="9">
        <v>45</v>
      </c>
      <c r="C190" s="9" t="s">
        <v>1362</v>
      </c>
      <c r="D190" s="9" t="s">
        <v>24</v>
      </c>
      <c r="E190" s="9" t="s">
        <v>31</v>
      </c>
      <c r="F190" s="9" t="s">
        <v>26</v>
      </c>
      <c r="G190" s="12" t="s">
        <v>27</v>
      </c>
      <c r="H190" s="13"/>
      <c r="I190" s="13"/>
    </row>
    <row r="191" spans="1:9" ht="12.75" x14ac:dyDescent="0.2">
      <c r="A191" s="52"/>
      <c r="B191" s="9">
        <v>45</v>
      </c>
      <c r="C191" s="9" t="s">
        <v>1354</v>
      </c>
      <c r="D191" s="9" t="s">
        <v>24</v>
      </c>
      <c r="E191" s="9" t="s">
        <v>31</v>
      </c>
      <c r="F191" s="9" t="s">
        <v>26</v>
      </c>
      <c r="G191" s="12" t="s">
        <v>27</v>
      </c>
      <c r="H191" s="13"/>
      <c r="I191" s="13"/>
    </row>
    <row r="192" spans="1:9" ht="12.75" x14ac:dyDescent="0.2">
      <c r="A192" s="52"/>
      <c r="B192" s="9">
        <v>45</v>
      </c>
      <c r="C192" s="9" t="s">
        <v>1310</v>
      </c>
      <c r="D192" s="9" t="s">
        <v>24</v>
      </c>
      <c r="E192" s="9" t="s">
        <v>31</v>
      </c>
      <c r="F192" s="9" t="s">
        <v>26</v>
      </c>
      <c r="G192" s="12" t="s">
        <v>27</v>
      </c>
      <c r="H192" s="13"/>
      <c r="I192" s="13"/>
    </row>
    <row r="193" spans="1:9" ht="12.75" x14ac:dyDescent="0.2">
      <c r="A193" s="52"/>
      <c r="B193" s="9">
        <v>45</v>
      </c>
      <c r="C193" s="9" t="s">
        <v>1363</v>
      </c>
      <c r="D193" s="9" t="s">
        <v>24</v>
      </c>
      <c r="E193" s="9" t="s">
        <v>31</v>
      </c>
      <c r="F193" s="9" t="s">
        <v>26</v>
      </c>
      <c r="G193" s="12" t="s">
        <v>27</v>
      </c>
      <c r="H193" s="13"/>
      <c r="I193" s="13"/>
    </row>
    <row r="194" spans="1:9" ht="12.75" x14ac:dyDescent="0.2">
      <c r="A194" s="52"/>
      <c r="B194" s="9">
        <v>45</v>
      </c>
      <c r="C194" s="9" t="s">
        <v>1364</v>
      </c>
      <c r="D194" s="9" t="s">
        <v>24</v>
      </c>
      <c r="E194" s="9" t="s">
        <v>31</v>
      </c>
      <c r="F194" s="9" t="s">
        <v>26</v>
      </c>
      <c r="G194" s="12" t="s">
        <v>27</v>
      </c>
      <c r="H194" s="13"/>
      <c r="I194" s="13"/>
    </row>
    <row r="195" spans="1:9" ht="12.75" x14ac:dyDescent="0.2">
      <c r="A195" s="52"/>
      <c r="B195" s="9">
        <v>45</v>
      </c>
      <c r="C195" s="9" t="s">
        <v>1365</v>
      </c>
      <c r="D195" s="9" t="s">
        <v>24</v>
      </c>
      <c r="E195" s="9" t="s">
        <v>31</v>
      </c>
      <c r="F195" s="9" t="s">
        <v>26</v>
      </c>
      <c r="G195" s="12" t="s">
        <v>27</v>
      </c>
      <c r="H195" s="13"/>
      <c r="I195" s="13"/>
    </row>
    <row r="196" spans="1:9" ht="12.75" x14ac:dyDescent="0.2">
      <c r="A196" s="52"/>
      <c r="B196" s="9">
        <v>45</v>
      </c>
      <c r="C196" s="9" t="s">
        <v>1254</v>
      </c>
      <c r="D196" s="9" t="s">
        <v>24</v>
      </c>
      <c r="E196" s="9" t="s">
        <v>31</v>
      </c>
      <c r="F196" s="9" t="s">
        <v>26</v>
      </c>
      <c r="G196" s="12" t="s">
        <v>27</v>
      </c>
      <c r="H196" s="13"/>
      <c r="I196" s="13"/>
    </row>
    <row r="197" spans="1:9" ht="12.75" x14ac:dyDescent="0.2">
      <c r="A197" s="52"/>
      <c r="B197" s="9">
        <v>45</v>
      </c>
      <c r="C197" s="9" t="s">
        <v>1366</v>
      </c>
      <c r="D197" s="9" t="s">
        <v>24</v>
      </c>
      <c r="E197" s="9" t="s">
        <v>31</v>
      </c>
      <c r="F197" s="9" t="s">
        <v>26</v>
      </c>
      <c r="G197" s="12" t="s">
        <v>27</v>
      </c>
      <c r="H197" s="13"/>
      <c r="I197" s="13"/>
    </row>
    <row r="198" spans="1:9" ht="12.75" x14ac:dyDescent="0.2">
      <c r="A198" s="52"/>
      <c r="B198" s="9">
        <v>45</v>
      </c>
      <c r="C198" s="9" t="s">
        <v>1367</v>
      </c>
      <c r="D198" s="9" t="s">
        <v>24</v>
      </c>
      <c r="E198" s="9" t="s">
        <v>31</v>
      </c>
      <c r="F198" s="9" t="s">
        <v>26</v>
      </c>
      <c r="G198" s="12" t="s">
        <v>27</v>
      </c>
      <c r="H198" s="13"/>
      <c r="I198" s="13"/>
    </row>
    <row r="199" spans="1:9" ht="12.75" x14ac:dyDescent="0.2">
      <c r="A199" s="52"/>
      <c r="B199" s="9">
        <v>45</v>
      </c>
      <c r="C199" s="9" t="s">
        <v>1259</v>
      </c>
      <c r="D199" s="9" t="s">
        <v>24</v>
      </c>
      <c r="E199" s="9" t="s">
        <v>31</v>
      </c>
      <c r="F199" s="9" t="s">
        <v>26</v>
      </c>
      <c r="G199" s="12" t="s">
        <v>27</v>
      </c>
      <c r="H199" s="13"/>
      <c r="I199" s="13"/>
    </row>
    <row r="200" spans="1:9" ht="12.75" x14ac:dyDescent="0.2">
      <c r="A200" s="53"/>
      <c r="B200" s="9">
        <v>45</v>
      </c>
      <c r="C200" s="9" t="s">
        <v>1306</v>
      </c>
      <c r="D200" s="9" t="s">
        <v>24</v>
      </c>
      <c r="E200" s="9" t="s">
        <v>31</v>
      </c>
      <c r="F200" s="9" t="s">
        <v>26</v>
      </c>
      <c r="G200" s="12" t="s">
        <v>27</v>
      </c>
      <c r="H200" s="13"/>
      <c r="I200" s="13"/>
    </row>
    <row r="201" spans="1:9" ht="12.75" x14ac:dyDescent="0.2">
      <c r="A201" s="48" t="s">
        <v>77</v>
      </c>
      <c r="B201" s="9">
        <v>45</v>
      </c>
      <c r="C201" s="9" t="s">
        <v>1362</v>
      </c>
      <c r="D201" s="9" t="s">
        <v>24</v>
      </c>
      <c r="E201" s="9" t="s">
        <v>31</v>
      </c>
      <c r="F201" s="9" t="s">
        <v>26</v>
      </c>
      <c r="G201" s="12" t="s">
        <v>27</v>
      </c>
      <c r="H201" s="13"/>
      <c r="I201" s="13"/>
    </row>
    <row r="202" spans="1:9" ht="12.75" x14ac:dyDescent="0.2">
      <c r="A202" s="52"/>
      <c r="B202" s="9">
        <v>45</v>
      </c>
      <c r="C202" s="9" t="s">
        <v>1248</v>
      </c>
      <c r="D202" s="9" t="s">
        <v>24</v>
      </c>
      <c r="E202" s="9" t="s">
        <v>31</v>
      </c>
      <c r="F202" s="9" t="s">
        <v>26</v>
      </c>
      <c r="G202" s="12" t="s">
        <v>27</v>
      </c>
      <c r="H202" s="13"/>
      <c r="I202" s="13"/>
    </row>
    <row r="203" spans="1:9" ht="12.75" x14ac:dyDescent="0.2">
      <c r="A203" s="52"/>
      <c r="B203" s="9">
        <v>45</v>
      </c>
      <c r="C203" s="9" t="s">
        <v>1368</v>
      </c>
      <c r="D203" s="9" t="s">
        <v>24</v>
      </c>
      <c r="E203" s="9" t="s">
        <v>31</v>
      </c>
      <c r="F203" s="9" t="s">
        <v>26</v>
      </c>
      <c r="G203" s="12" t="s">
        <v>27</v>
      </c>
      <c r="H203" s="13"/>
      <c r="I203" s="13"/>
    </row>
    <row r="204" spans="1:9" ht="12.75" x14ac:dyDescent="0.2">
      <c r="A204" s="52"/>
      <c r="B204" s="9">
        <v>45</v>
      </c>
      <c r="C204" s="9" t="s">
        <v>1369</v>
      </c>
      <c r="D204" s="9" t="s">
        <v>24</v>
      </c>
      <c r="E204" s="9" t="s">
        <v>31</v>
      </c>
      <c r="F204" s="9" t="s">
        <v>26</v>
      </c>
      <c r="G204" s="12" t="s">
        <v>27</v>
      </c>
      <c r="H204" s="13"/>
      <c r="I204" s="13"/>
    </row>
    <row r="205" spans="1:9" ht="12.75" x14ac:dyDescent="0.2">
      <c r="A205" s="52"/>
      <c r="B205" s="9">
        <v>45</v>
      </c>
      <c r="C205" s="9" t="s">
        <v>1250</v>
      </c>
      <c r="D205" s="9" t="s">
        <v>24</v>
      </c>
      <c r="E205" s="9" t="s">
        <v>31</v>
      </c>
      <c r="F205" s="9" t="s">
        <v>26</v>
      </c>
      <c r="G205" s="12" t="s">
        <v>27</v>
      </c>
      <c r="H205" s="13"/>
      <c r="I205" s="13"/>
    </row>
    <row r="206" spans="1:9" ht="12.75" x14ac:dyDescent="0.2">
      <c r="A206" s="52"/>
      <c r="B206" s="9">
        <v>45</v>
      </c>
      <c r="C206" s="9" t="s">
        <v>1254</v>
      </c>
      <c r="D206" s="9" t="s">
        <v>24</v>
      </c>
      <c r="E206" s="9" t="s">
        <v>31</v>
      </c>
      <c r="F206" s="9" t="s">
        <v>26</v>
      </c>
      <c r="G206" s="12" t="s">
        <v>27</v>
      </c>
      <c r="H206" s="13"/>
      <c r="I206" s="13"/>
    </row>
    <row r="207" spans="1:9" ht="12.75" x14ac:dyDescent="0.2">
      <c r="A207" s="52"/>
      <c r="B207" s="9">
        <v>45</v>
      </c>
      <c r="C207" s="9" t="s">
        <v>1256</v>
      </c>
      <c r="D207" s="9" t="s">
        <v>24</v>
      </c>
      <c r="E207" s="9" t="s">
        <v>31</v>
      </c>
      <c r="F207" s="9" t="s">
        <v>26</v>
      </c>
      <c r="G207" s="12" t="s">
        <v>27</v>
      </c>
      <c r="H207" s="13"/>
      <c r="I207" s="13"/>
    </row>
    <row r="208" spans="1:9" ht="12.75" x14ac:dyDescent="0.2">
      <c r="A208" s="52"/>
      <c r="B208" s="9">
        <v>45</v>
      </c>
      <c r="C208" s="9" t="s">
        <v>1301</v>
      </c>
      <c r="D208" s="9" t="s">
        <v>24</v>
      </c>
      <c r="E208" s="9" t="s">
        <v>31</v>
      </c>
      <c r="F208" s="9" t="s">
        <v>26</v>
      </c>
      <c r="G208" s="12" t="s">
        <v>27</v>
      </c>
      <c r="H208" s="13"/>
      <c r="I208" s="13"/>
    </row>
    <row r="209" spans="1:9" ht="12.75" x14ac:dyDescent="0.2">
      <c r="A209" s="52"/>
      <c r="B209" s="9">
        <v>45</v>
      </c>
      <c r="C209" s="9" t="s">
        <v>1259</v>
      </c>
      <c r="D209" s="9" t="s">
        <v>24</v>
      </c>
      <c r="E209" s="9" t="s">
        <v>31</v>
      </c>
      <c r="F209" s="9" t="s">
        <v>26</v>
      </c>
      <c r="G209" s="12" t="s">
        <v>27</v>
      </c>
      <c r="H209" s="13"/>
      <c r="I209" s="13"/>
    </row>
    <row r="210" spans="1:9" ht="12.75" x14ac:dyDescent="0.2">
      <c r="A210" s="53"/>
      <c r="B210" s="9">
        <v>45</v>
      </c>
      <c r="C210" s="9" t="s">
        <v>1370</v>
      </c>
      <c r="D210" s="9" t="s">
        <v>24</v>
      </c>
      <c r="E210" s="9" t="s">
        <v>31</v>
      </c>
      <c r="F210" s="9" t="s">
        <v>26</v>
      </c>
      <c r="G210" s="12" t="s">
        <v>27</v>
      </c>
      <c r="H210" s="13"/>
      <c r="I210" s="13"/>
    </row>
    <row r="211" spans="1:9" ht="12.75" x14ac:dyDescent="0.2">
      <c r="A211" s="48" t="s">
        <v>79</v>
      </c>
      <c r="B211" s="12">
        <v>45</v>
      </c>
      <c r="C211" s="12" t="s">
        <v>1248</v>
      </c>
      <c r="D211" s="12" t="s">
        <v>24</v>
      </c>
      <c r="E211" s="12" t="s">
        <v>25</v>
      </c>
      <c r="F211" s="12" t="s">
        <v>26</v>
      </c>
      <c r="G211" s="12" t="s">
        <v>27</v>
      </c>
      <c r="H211" s="13"/>
      <c r="I211" s="13"/>
    </row>
    <row r="212" spans="1:9" ht="12.75" x14ac:dyDescent="0.2">
      <c r="A212" s="52"/>
      <c r="B212" s="12">
        <v>45</v>
      </c>
      <c r="C212" s="12" t="s">
        <v>1354</v>
      </c>
      <c r="D212" s="12" t="s">
        <v>24</v>
      </c>
      <c r="E212" s="12" t="s">
        <v>25</v>
      </c>
      <c r="F212" s="12" t="s">
        <v>26</v>
      </c>
      <c r="G212" s="12" t="s">
        <v>27</v>
      </c>
      <c r="H212" s="13"/>
      <c r="I212" s="13"/>
    </row>
    <row r="213" spans="1:9" ht="12.75" x14ac:dyDescent="0.2">
      <c r="A213" s="52"/>
      <c r="B213" s="12">
        <v>45</v>
      </c>
      <c r="C213" s="12" t="s">
        <v>1371</v>
      </c>
      <c r="D213" s="12" t="s">
        <v>24</v>
      </c>
      <c r="E213" s="12" t="s">
        <v>25</v>
      </c>
      <c r="F213" s="12" t="s">
        <v>26</v>
      </c>
      <c r="G213" s="12" t="s">
        <v>27</v>
      </c>
      <c r="H213" s="13"/>
      <c r="I213" s="13"/>
    </row>
    <row r="214" spans="1:9" ht="12.75" x14ac:dyDescent="0.2">
      <c r="A214" s="52"/>
      <c r="B214" s="12">
        <v>45</v>
      </c>
      <c r="C214" s="12" t="s">
        <v>1372</v>
      </c>
      <c r="D214" s="12" t="s">
        <v>24</v>
      </c>
      <c r="E214" s="12" t="s">
        <v>25</v>
      </c>
      <c r="F214" s="12" t="s">
        <v>26</v>
      </c>
      <c r="G214" s="12" t="s">
        <v>27</v>
      </c>
      <c r="H214" s="13"/>
      <c r="I214" s="13"/>
    </row>
    <row r="215" spans="1:9" ht="12.75" x14ac:dyDescent="0.2">
      <c r="A215" s="52"/>
      <c r="B215" s="12">
        <v>45</v>
      </c>
      <c r="C215" s="12" t="s">
        <v>1373</v>
      </c>
      <c r="D215" s="12" t="s">
        <v>24</v>
      </c>
      <c r="E215" s="12" t="s">
        <v>25</v>
      </c>
      <c r="F215" s="12" t="s">
        <v>26</v>
      </c>
      <c r="G215" s="12" t="s">
        <v>27</v>
      </c>
      <c r="H215" s="13"/>
      <c r="I215" s="13"/>
    </row>
    <row r="216" spans="1:9" ht="12.75" x14ac:dyDescent="0.2">
      <c r="A216" s="52"/>
      <c r="B216" s="12">
        <v>45</v>
      </c>
      <c r="C216" s="12" t="s">
        <v>1374</v>
      </c>
      <c r="D216" s="12" t="s">
        <v>24</v>
      </c>
      <c r="E216" s="12" t="s">
        <v>25</v>
      </c>
      <c r="F216" s="12" t="s">
        <v>26</v>
      </c>
      <c r="G216" s="12" t="s">
        <v>27</v>
      </c>
      <c r="H216" s="13"/>
      <c r="I216" s="13"/>
    </row>
    <row r="217" spans="1:9" ht="12.75" x14ac:dyDescent="0.2">
      <c r="A217" s="52"/>
      <c r="B217" s="12">
        <v>45</v>
      </c>
      <c r="C217" s="12" t="s">
        <v>1240</v>
      </c>
      <c r="D217" s="12" t="s">
        <v>30</v>
      </c>
      <c r="E217" s="12" t="s">
        <v>25</v>
      </c>
      <c r="F217" s="12" t="s">
        <v>26</v>
      </c>
      <c r="G217" s="12" t="s">
        <v>27</v>
      </c>
      <c r="H217" s="13"/>
      <c r="I217" s="13"/>
    </row>
    <row r="218" spans="1:9" ht="12.75" x14ac:dyDescent="0.2">
      <c r="A218" s="52"/>
      <c r="B218" s="12">
        <v>45</v>
      </c>
      <c r="C218" s="12" t="s">
        <v>1254</v>
      </c>
      <c r="D218" s="12" t="s">
        <v>24</v>
      </c>
      <c r="E218" s="12" t="s">
        <v>25</v>
      </c>
      <c r="F218" s="12" t="s">
        <v>26</v>
      </c>
      <c r="G218" s="12" t="s">
        <v>27</v>
      </c>
      <c r="H218" s="13"/>
      <c r="I218" s="13"/>
    </row>
    <row r="219" spans="1:9" ht="12.75" x14ac:dyDescent="0.2">
      <c r="A219" s="52"/>
      <c r="B219" s="12">
        <v>45</v>
      </c>
      <c r="C219" s="12" t="s">
        <v>1256</v>
      </c>
      <c r="D219" s="12" t="s">
        <v>24</v>
      </c>
      <c r="E219" s="12" t="s">
        <v>25</v>
      </c>
      <c r="F219" s="12" t="s">
        <v>26</v>
      </c>
      <c r="G219" s="12" t="s">
        <v>27</v>
      </c>
      <c r="H219" s="13"/>
      <c r="I219" s="13"/>
    </row>
    <row r="220" spans="1:9" ht="12.75" x14ac:dyDescent="0.2">
      <c r="A220" s="52"/>
      <c r="B220" s="12">
        <v>45</v>
      </c>
      <c r="C220" s="12" t="s">
        <v>1375</v>
      </c>
      <c r="D220" s="12" t="s">
        <v>24</v>
      </c>
      <c r="E220" s="12" t="s">
        <v>25</v>
      </c>
      <c r="F220" s="12" t="s">
        <v>26</v>
      </c>
      <c r="G220" s="12" t="s">
        <v>27</v>
      </c>
      <c r="H220" s="13"/>
      <c r="I220" s="13"/>
    </row>
    <row r="221" spans="1:9" ht="12.75" x14ac:dyDescent="0.2">
      <c r="A221" s="52"/>
      <c r="B221" s="12">
        <v>45</v>
      </c>
      <c r="C221" s="12" t="s">
        <v>1376</v>
      </c>
      <c r="D221" s="12" t="s">
        <v>24</v>
      </c>
      <c r="E221" s="12" t="s">
        <v>25</v>
      </c>
      <c r="F221" s="12" t="s">
        <v>26</v>
      </c>
      <c r="G221" s="12" t="s">
        <v>27</v>
      </c>
      <c r="H221" s="13"/>
      <c r="I221" s="13"/>
    </row>
    <row r="222" spans="1:9" ht="12.75" x14ac:dyDescent="0.2">
      <c r="A222" s="52"/>
      <c r="B222" s="12">
        <v>45</v>
      </c>
      <c r="C222" s="12" t="s">
        <v>1377</v>
      </c>
      <c r="D222" s="12" t="s">
        <v>24</v>
      </c>
      <c r="E222" s="12" t="s">
        <v>25</v>
      </c>
      <c r="F222" s="12" t="s">
        <v>26</v>
      </c>
      <c r="G222" s="12" t="s">
        <v>27</v>
      </c>
      <c r="H222" s="13"/>
      <c r="I222" s="13"/>
    </row>
    <row r="223" spans="1:9" ht="12.75" x14ac:dyDescent="0.2">
      <c r="A223" s="52"/>
      <c r="B223" s="12">
        <v>45</v>
      </c>
      <c r="C223" s="12" t="s">
        <v>1378</v>
      </c>
      <c r="D223" s="12" t="s">
        <v>24</v>
      </c>
      <c r="E223" s="12" t="s">
        <v>25</v>
      </c>
      <c r="F223" s="12" t="s">
        <v>26</v>
      </c>
      <c r="G223" s="12" t="s">
        <v>27</v>
      </c>
      <c r="H223" s="13"/>
      <c r="I223" s="13"/>
    </row>
    <row r="224" spans="1:9" ht="12.75" x14ac:dyDescent="0.2">
      <c r="A224" s="52"/>
      <c r="B224" s="12">
        <v>45</v>
      </c>
      <c r="C224" s="12" t="s">
        <v>1379</v>
      </c>
      <c r="D224" s="12" t="s">
        <v>24</v>
      </c>
      <c r="E224" s="12" t="s">
        <v>25</v>
      </c>
      <c r="F224" s="12" t="s">
        <v>26</v>
      </c>
      <c r="G224" s="12" t="s">
        <v>27</v>
      </c>
      <c r="H224" s="13"/>
      <c r="I224" s="13"/>
    </row>
    <row r="225" spans="1:9" ht="12.75" x14ac:dyDescent="0.2">
      <c r="A225" s="52"/>
      <c r="B225" s="12">
        <v>45</v>
      </c>
      <c r="C225" s="12" t="s">
        <v>1259</v>
      </c>
      <c r="D225" s="12" t="s">
        <v>24</v>
      </c>
      <c r="E225" s="12" t="s">
        <v>25</v>
      </c>
      <c r="F225" s="12" t="s">
        <v>26</v>
      </c>
      <c r="G225" s="12" t="s">
        <v>27</v>
      </c>
      <c r="H225" s="13"/>
      <c r="I225" s="13"/>
    </row>
    <row r="226" spans="1:9" ht="12.75" x14ac:dyDescent="0.2">
      <c r="A226" s="53"/>
      <c r="B226" s="12">
        <v>45</v>
      </c>
      <c r="C226" s="12" t="s">
        <v>1370</v>
      </c>
      <c r="D226" s="12" t="s">
        <v>24</v>
      </c>
      <c r="E226" s="12" t="s">
        <v>25</v>
      </c>
      <c r="F226" s="12" t="s">
        <v>26</v>
      </c>
      <c r="G226" s="12" t="s">
        <v>27</v>
      </c>
      <c r="H226" s="13"/>
      <c r="I226" s="13"/>
    </row>
    <row r="227" spans="1:9" ht="12.75" x14ac:dyDescent="0.2">
      <c r="A227" s="48" t="s">
        <v>83</v>
      </c>
      <c r="B227" s="9">
        <v>45</v>
      </c>
      <c r="C227" s="9" t="s">
        <v>1252</v>
      </c>
      <c r="D227" s="9" t="s">
        <v>24</v>
      </c>
      <c r="E227" s="9" t="s">
        <v>31</v>
      </c>
      <c r="F227" s="9" t="s">
        <v>26</v>
      </c>
      <c r="G227" s="12" t="s">
        <v>27</v>
      </c>
      <c r="H227" s="13"/>
      <c r="I227" s="13"/>
    </row>
    <row r="228" spans="1:9" ht="12.75" x14ac:dyDescent="0.2">
      <c r="A228" s="52"/>
      <c r="B228" s="9">
        <v>45</v>
      </c>
      <c r="C228" s="9" t="s">
        <v>1380</v>
      </c>
      <c r="D228" s="9" t="s">
        <v>24</v>
      </c>
      <c r="E228" s="9" t="s">
        <v>31</v>
      </c>
      <c r="F228" s="9" t="s">
        <v>26</v>
      </c>
      <c r="G228" s="12" t="s">
        <v>27</v>
      </c>
      <c r="H228" s="13"/>
      <c r="I228" s="13"/>
    </row>
    <row r="229" spans="1:9" ht="12.75" x14ac:dyDescent="0.2">
      <c r="A229" s="52"/>
      <c r="B229" s="9">
        <v>45</v>
      </c>
      <c r="C229" s="9" t="s">
        <v>1249</v>
      </c>
      <c r="D229" s="9" t="s">
        <v>24</v>
      </c>
      <c r="E229" s="9" t="s">
        <v>31</v>
      </c>
      <c r="F229" s="9" t="s">
        <v>26</v>
      </c>
      <c r="G229" s="12" t="s">
        <v>27</v>
      </c>
      <c r="H229" s="13"/>
      <c r="I229" s="13"/>
    </row>
    <row r="230" spans="1:9" ht="12.75" x14ac:dyDescent="0.2">
      <c r="A230" s="52"/>
      <c r="B230" s="9">
        <v>45</v>
      </c>
      <c r="C230" s="9" t="s">
        <v>1354</v>
      </c>
      <c r="D230" s="9" t="s">
        <v>24</v>
      </c>
      <c r="E230" s="9" t="s">
        <v>31</v>
      </c>
      <c r="F230" s="9" t="s">
        <v>26</v>
      </c>
      <c r="G230" s="12" t="s">
        <v>27</v>
      </c>
      <c r="H230" s="13"/>
      <c r="I230" s="13"/>
    </row>
    <row r="231" spans="1:9" ht="12.75" x14ac:dyDescent="0.2">
      <c r="A231" s="52"/>
      <c r="B231" s="9">
        <v>45</v>
      </c>
      <c r="C231" s="9" t="s">
        <v>1381</v>
      </c>
      <c r="D231" s="9" t="s">
        <v>24</v>
      </c>
      <c r="E231" s="9" t="s">
        <v>31</v>
      </c>
      <c r="F231" s="9" t="s">
        <v>26</v>
      </c>
      <c r="G231" s="12" t="s">
        <v>27</v>
      </c>
      <c r="H231" s="13"/>
      <c r="I231" s="13"/>
    </row>
    <row r="232" spans="1:9" ht="12.75" x14ac:dyDescent="0.2">
      <c r="A232" s="52"/>
      <c r="B232" s="9">
        <v>45</v>
      </c>
      <c r="C232" s="9" t="s">
        <v>1371</v>
      </c>
      <c r="D232" s="9" t="s">
        <v>24</v>
      </c>
      <c r="E232" s="9" t="s">
        <v>31</v>
      </c>
      <c r="F232" s="9" t="s">
        <v>26</v>
      </c>
      <c r="G232" s="12" t="s">
        <v>27</v>
      </c>
      <c r="H232" s="13"/>
      <c r="I232" s="13"/>
    </row>
    <row r="233" spans="1:9" ht="12.75" x14ac:dyDescent="0.2">
      <c r="A233" s="52"/>
      <c r="B233" s="9">
        <v>45</v>
      </c>
      <c r="C233" s="9" t="s">
        <v>1382</v>
      </c>
      <c r="D233" s="9" t="s">
        <v>24</v>
      </c>
      <c r="E233" s="9" t="s">
        <v>31</v>
      </c>
      <c r="F233" s="9" t="s">
        <v>26</v>
      </c>
      <c r="G233" s="12" t="s">
        <v>27</v>
      </c>
      <c r="H233" s="13"/>
      <c r="I233" s="13"/>
    </row>
    <row r="234" spans="1:9" ht="12.75" x14ac:dyDescent="0.2">
      <c r="A234" s="52"/>
      <c r="B234" s="9">
        <v>45</v>
      </c>
      <c r="C234" s="9" t="s">
        <v>1250</v>
      </c>
      <c r="D234" s="9" t="s">
        <v>24</v>
      </c>
      <c r="E234" s="9" t="s">
        <v>31</v>
      </c>
      <c r="F234" s="9" t="s">
        <v>26</v>
      </c>
      <c r="G234" s="12" t="s">
        <v>27</v>
      </c>
      <c r="H234" s="13"/>
      <c r="I234" s="13"/>
    </row>
    <row r="235" spans="1:9" ht="12.75" x14ac:dyDescent="0.2">
      <c r="A235" s="52"/>
      <c r="B235" s="9">
        <v>45</v>
      </c>
      <c r="C235" s="9" t="s">
        <v>1383</v>
      </c>
      <c r="D235" s="9" t="s">
        <v>24</v>
      </c>
      <c r="E235" s="9" t="s">
        <v>31</v>
      </c>
      <c r="F235" s="9" t="s">
        <v>26</v>
      </c>
      <c r="G235" s="12" t="s">
        <v>27</v>
      </c>
      <c r="H235" s="13"/>
      <c r="I235" s="13"/>
    </row>
    <row r="236" spans="1:9" ht="12.75" x14ac:dyDescent="0.2">
      <c r="A236" s="52"/>
      <c r="B236" s="9">
        <v>45</v>
      </c>
      <c r="C236" s="9" t="s">
        <v>1384</v>
      </c>
      <c r="D236" s="9" t="s">
        <v>24</v>
      </c>
      <c r="E236" s="9" t="s">
        <v>31</v>
      </c>
      <c r="F236" s="9" t="s">
        <v>26</v>
      </c>
      <c r="G236" s="12" t="s">
        <v>27</v>
      </c>
      <c r="H236" s="13"/>
      <c r="I236" s="13"/>
    </row>
    <row r="237" spans="1:9" ht="12.75" x14ac:dyDescent="0.2">
      <c r="A237" s="52"/>
      <c r="B237" s="9">
        <v>45</v>
      </c>
      <c r="C237" s="9" t="s">
        <v>1265</v>
      </c>
      <c r="D237" s="9" t="s">
        <v>24</v>
      </c>
      <c r="E237" s="9" t="s">
        <v>31</v>
      </c>
      <c r="F237" s="9" t="s">
        <v>26</v>
      </c>
      <c r="G237" s="12" t="s">
        <v>27</v>
      </c>
      <c r="H237" s="13"/>
      <c r="I237" s="13"/>
    </row>
    <row r="238" spans="1:9" ht="12.75" x14ac:dyDescent="0.2">
      <c r="A238" s="52"/>
      <c r="B238" s="9">
        <v>45</v>
      </c>
      <c r="C238" s="9" t="s">
        <v>1385</v>
      </c>
      <c r="D238" s="9" t="s">
        <v>24</v>
      </c>
      <c r="E238" s="9" t="s">
        <v>31</v>
      </c>
      <c r="F238" s="9" t="s">
        <v>26</v>
      </c>
      <c r="G238" s="12" t="s">
        <v>27</v>
      </c>
      <c r="H238" s="13"/>
      <c r="I238" s="13"/>
    </row>
    <row r="239" spans="1:9" ht="12.75" x14ac:dyDescent="0.2">
      <c r="A239" s="52"/>
      <c r="B239" s="9">
        <v>45</v>
      </c>
      <c r="C239" s="9" t="s">
        <v>1374</v>
      </c>
      <c r="D239" s="9" t="s">
        <v>24</v>
      </c>
      <c r="E239" s="9" t="s">
        <v>31</v>
      </c>
      <c r="F239" s="9" t="s">
        <v>26</v>
      </c>
      <c r="G239" s="12" t="s">
        <v>27</v>
      </c>
      <c r="H239" s="13"/>
      <c r="I239" s="13"/>
    </row>
    <row r="240" spans="1:9" ht="12.75" x14ac:dyDescent="0.2">
      <c r="A240" s="52"/>
      <c r="B240" s="9">
        <v>45</v>
      </c>
      <c r="C240" s="9" t="s">
        <v>1386</v>
      </c>
      <c r="D240" s="9" t="s">
        <v>24</v>
      </c>
      <c r="E240" s="9" t="s">
        <v>31</v>
      </c>
      <c r="F240" s="9" t="s">
        <v>26</v>
      </c>
      <c r="G240" s="12" t="s">
        <v>27</v>
      </c>
      <c r="H240" s="13"/>
      <c r="I240" s="13"/>
    </row>
    <row r="241" spans="1:9" ht="12.75" x14ac:dyDescent="0.2">
      <c r="A241" s="52"/>
      <c r="B241" s="9">
        <v>45</v>
      </c>
      <c r="C241" s="9" t="s">
        <v>1387</v>
      </c>
      <c r="D241" s="9" t="s">
        <v>24</v>
      </c>
      <c r="E241" s="9" t="s">
        <v>31</v>
      </c>
      <c r="F241" s="9" t="s">
        <v>26</v>
      </c>
      <c r="G241" s="12" t="s">
        <v>27</v>
      </c>
      <c r="H241" s="13"/>
      <c r="I241" s="13"/>
    </row>
    <row r="242" spans="1:9" ht="12.75" x14ac:dyDescent="0.2">
      <c r="A242" s="52"/>
      <c r="B242" s="9">
        <v>45</v>
      </c>
      <c r="C242" s="9" t="s">
        <v>1254</v>
      </c>
      <c r="D242" s="9" t="s">
        <v>24</v>
      </c>
      <c r="E242" s="9" t="s">
        <v>31</v>
      </c>
      <c r="F242" s="9" t="s">
        <v>26</v>
      </c>
      <c r="G242" s="12" t="s">
        <v>27</v>
      </c>
      <c r="H242" s="13"/>
      <c r="I242" s="13"/>
    </row>
    <row r="243" spans="1:9" ht="12.75" x14ac:dyDescent="0.2">
      <c r="A243" s="52"/>
      <c r="B243" s="9">
        <v>45</v>
      </c>
      <c r="C243" s="9" t="s">
        <v>1388</v>
      </c>
      <c r="D243" s="9" t="s">
        <v>24</v>
      </c>
      <c r="E243" s="9" t="s">
        <v>31</v>
      </c>
      <c r="F243" s="9" t="s">
        <v>26</v>
      </c>
      <c r="G243" s="12" t="s">
        <v>27</v>
      </c>
      <c r="H243" s="13"/>
      <c r="I243" s="13"/>
    </row>
    <row r="244" spans="1:9" ht="12.75" x14ac:dyDescent="0.2">
      <c r="A244" s="52"/>
      <c r="B244" s="9">
        <v>45</v>
      </c>
      <c r="C244" s="9" t="s">
        <v>1389</v>
      </c>
      <c r="D244" s="9" t="s">
        <v>24</v>
      </c>
      <c r="E244" s="9" t="s">
        <v>31</v>
      </c>
      <c r="F244" s="9" t="s">
        <v>47</v>
      </c>
      <c r="G244" s="12" t="s">
        <v>27</v>
      </c>
      <c r="H244" s="13"/>
      <c r="I244" s="13"/>
    </row>
    <row r="245" spans="1:9" ht="12.75" x14ac:dyDescent="0.2">
      <c r="A245" s="52"/>
      <c r="B245" s="9">
        <v>45</v>
      </c>
      <c r="C245" s="9" t="s">
        <v>1256</v>
      </c>
      <c r="D245" s="9" t="s">
        <v>24</v>
      </c>
      <c r="E245" s="9" t="s">
        <v>31</v>
      </c>
      <c r="F245" s="9" t="s">
        <v>26</v>
      </c>
      <c r="G245" s="12" t="s">
        <v>27</v>
      </c>
      <c r="H245" s="13"/>
      <c r="I245" s="13"/>
    </row>
    <row r="246" spans="1:9" ht="12.75" x14ac:dyDescent="0.2">
      <c r="A246" s="52"/>
      <c r="B246" s="9">
        <v>45</v>
      </c>
      <c r="C246" s="9" t="s">
        <v>1390</v>
      </c>
      <c r="D246" s="9" t="s">
        <v>24</v>
      </c>
      <c r="E246" s="9" t="s">
        <v>31</v>
      </c>
      <c r="F246" s="9" t="s">
        <v>47</v>
      </c>
      <c r="G246" s="12" t="s">
        <v>27</v>
      </c>
      <c r="H246" s="13"/>
      <c r="I246" s="13"/>
    </row>
    <row r="247" spans="1:9" ht="12.75" x14ac:dyDescent="0.2">
      <c r="A247" s="52"/>
      <c r="B247" s="9">
        <v>45</v>
      </c>
      <c r="C247" s="9" t="s">
        <v>1391</v>
      </c>
      <c r="D247" s="9" t="s">
        <v>24</v>
      </c>
      <c r="E247" s="9" t="s">
        <v>31</v>
      </c>
      <c r="F247" s="9" t="s">
        <v>26</v>
      </c>
      <c r="G247" s="12" t="s">
        <v>27</v>
      </c>
      <c r="H247" s="13"/>
      <c r="I247" s="13"/>
    </row>
    <row r="248" spans="1:9" ht="12.75" x14ac:dyDescent="0.2">
      <c r="A248" s="52"/>
      <c r="B248" s="9">
        <v>45</v>
      </c>
      <c r="C248" s="9" t="s">
        <v>1392</v>
      </c>
      <c r="D248" s="9" t="s">
        <v>24</v>
      </c>
      <c r="E248" s="9" t="s">
        <v>31</v>
      </c>
      <c r="F248" s="9" t="s">
        <v>26</v>
      </c>
      <c r="G248" s="12" t="s">
        <v>27</v>
      </c>
      <c r="H248" s="13"/>
      <c r="I248" s="13"/>
    </row>
    <row r="249" spans="1:9" ht="12.75" x14ac:dyDescent="0.2">
      <c r="A249" s="52"/>
      <c r="B249" s="9">
        <v>45</v>
      </c>
      <c r="C249" s="9" t="s">
        <v>1259</v>
      </c>
      <c r="D249" s="9" t="s">
        <v>24</v>
      </c>
      <c r="E249" s="9" t="s">
        <v>31</v>
      </c>
      <c r="F249" s="9" t="s">
        <v>26</v>
      </c>
      <c r="G249" s="12" t="s">
        <v>27</v>
      </c>
      <c r="H249" s="13"/>
      <c r="I249" s="13"/>
    </row>
    <row r="250" spans="1:9" ht="12.75" x14ac:dyDescent="0.2">
      <c r="A250" s="52"/>
      <c r="B250" s="9">
        <v>45</v>
      </c>
      <c r="C250" s="9" t="s">
        <v>1393</v>
      </c>
      <c r="D250" s="9" t="s">
        <v>24</v>
      </c>
      <c r="E250" s="9" t="s">
        <v>31</v>
      </c>
      <c r="F250" s="9" t="s">
        <v>26</v>
      </c>
      <c r="G250" s="12" t="s">
        <v>27</v>
      </c>
      <c r="H250" s="13"/>
      <c r="I250" s="13"/>
    </row>
    <row r="251" spans="1:9" ht="12.75" x14ac:dyDescent="0.2">
      <c r="A251" s="52"/>
      <c r="B251" s="9">
        <v>45</v>
      </c>
      <c r="C251" s="9" t="s">
        <v>1394</v>
      </c>
      <c r="D251" s="9" t="s">
        <v>24</v>
      </c>
      <c r="E251" s="9" t="s">
        <v>31</v>
      </c>
      <c r="F251" s="9" t="s">
        <v>26</v>
      </c>
      <c r="G251" s="12" t="s">
        <v>27</v>
      </c>
      <c r="H251" s="13"/>
      <c r="I251" s="13"/>
    </row>
    <row r="252" spans="1:9" ht="12.75" x14ac:dyDescent="0.2">
      <c r="A252" s="52"/>
      <c r="B252" s="9">
        <v>45</v>
      </c>
      <c r="C252" s="9" t="s">
        <v>1395</v>
      </c>
      <c r="D252" s="9" t="s">
        <v>24</v>
      </c>
      <c r="E252" s="9" t="s">
        <v>31</v>
      </c>
      <c r="F252" s="9" t="s">
        <v>26</v>
      </c>
      <c r="G252" s="12" t="s">
        <v>27</v>
      </c>
      <c r="H252" s="13"/>
      <c r="I252" s="13"/>
    </row>
    <row r="253" spans="1:9" ht="12.75" x14ac:dyDescent="0.2">
      <c r="A253" s="53"/>
      <c r="B253" s="9">
        <v>45</v>
      </c>
      <c r="C253" s="9" t="s">
        <v>1396</v>
      </c>
      <c r="D253" s="9" t="s">
        <v>24</v>
      </c>
      <c r="E253" s="9" t="s">
        <v>31</v>
      </c>
      <c r="F253" s="9" t="s">
        <v>26</v>
      </c>
      <c r="G253" s="12" t="s">
        <v>27</v>
      </c>
      <c r="H253" s="13"/>
      <c r="I253" s="13"/>
    </row>
    <row r="254" spans="1:9" ht="12.75" x14ac:dyDescent="0.2">
      <c r="A254" s="48" t="s">
        <v>85</v>
      </c>
      <c r="B254" s="9">
        <v>45</v>
      </c>
      <c r="C254" s="9" t="s">
        <v>1252</v>
      </c>
      <c r="D254" s="9" t="s">
        <v>24</v>
      </c>
      <c r="E254" s="9" t="s">
        <v>31</v>
      </c>
      <c r="F254" s="9" t="s">
        <v>26</v>
      </c>
      <c r="G254" s="12" t="s">
        <v>27</v>
      </c>
      <c r="H254" s="13"/>
      <c r="I254" s="13"/>
    </row>
    <row r="255" spans="1:9" ht="12.75" x14ac:dyDescent="0.2">
      <c r="A255" s="52"/>
      <c r="B255" s="9">
        <v>45</v>
      </c>
      <c r="C255" s="9" t="s">
        <v>1397</v>
      </c>
      <c r="D255" s="9" t="s">
        <v>24</v>
      </c>
      <c r="E255" s="9" t="s">
        <v>31</v>
      </c>
      <c r="F255" s="9" t="s">
        <v>26</v>
      </c>
      <c r="G255" s="12" t="s">
        <v>27</v>
      </c>
      <c r="H255" s="13"/>
      <c r="I255" s="13"/>
    </row>
    <row r="256" spans="1:9" ht="12.75" x14ac:dyDescent="0.2">
      <c r="A256" s="52"/>
      <c r="B256" s="9">
        <v>45</v>
      </c>
      <c r="C256" s="9" t="s">
        <v>1398</v>
      </c>
      <c r="D256" s="9" t="s">
        <v>24</v>
      </c>
      <c r="E256" s="9" t="s">
        <v>31</v>
      </c>
      <c r="F256" s="9" t="s">
        <v>26</v>
      </c>
      <c r="G256" s="12" t="s">
        <v>27</v>
      </c>
      <c r="H256" s="13"/>
      <c r="I256" s="13"/>
    </row>
    <row r="257" spans="1:9" ht="12.75" x14ac:dyDescent="0.2">
      <c r="A257" s="52"/>
      <c r="B257" s="9">
        <v>45</v>
      </c>
      <c r="C257" s="9" t="s">
        <v>1383</v>
      </c>
      <c r="D257" s="9" t="s">
        <v>24</v>
      </c>
      <c r="E257" s="9" t="s">
        <v>31</v>
      </c>
      <c r="F257" s="9" t="s">
        <v>26</v>
      </c>
      <c r="G257" s="12" t="s">
        <v>27</v>
      </c>
      <c r="H257" s="13"/>
      <c r="I257" s="13"/>
    </row>
    <row r="258" spans="1:9" ht="12.75" x14ac:dyDescent="0.2">
      <c r="A258" s="52"/>
      <c r="B258" s="9">
        <v>45</v>
      </c>
      <c r="C258" s="9" t="s">
        <v>1265</v>
      </c>
      <c r="D258" s="9" t="s">
        <v>24</v>
      </c>
      <c r="E258" s="9" t="s">
        <v>31</v>
      </c>
      <c r="F258" s="9" t="s">
        <v>26</v>
      </c>
      <c r="G258" s="12" t="s">
        <v>27</v>
      </c>
      <c r="H258" s="13"/>
      <c r="I258" s="13"/>
    </row>
    <row r="259" spans="1:9" ht="12.75" x14ac:dyDescent="0.2">
      <c r="A259" s="52"/>
      <c r="B259" s="9">
        <v>45</v>
      </c>
      <c r="C259" s="9" t="s">
        <v>1254</v>
      </c>
      <c r="D259" s="9" t="s">
        <v>24</v>
      </c>
      <c r="E259" s="9" t="s">
        <v>31</v>
      </c>
      <c r="F259" s="9" t="s">
        <v>26</v>
      </c>
      <c r="G259" s="12" t="s">
        <v>27</v>
      </c>
      <c r="H259" s="13"/>
      <c r="I259" s="13"/>
    </row>
    <row r="260" spans="1:9" ht="12.75" x14ac:dyDescent="0.2">
      <c r="A260" s="52"/>
      <c r="B260" s="9">
        <v>45</v>
      </c>
      <c r="C260" s="9" t="s">
        <v>1399</v>
      </c>
      <c r="D260" s="9" t="s">
        <v>24</v>
      </c>
      <c r="E260" s="9" t="s">
        <v>31</v>
      </c>
      <c r="F260" s="9" t="s">
        <v>26</v>
      </c>
      <c r="G260" s="12" t="s">
        <v>27</v>
      </c>
      <c r="H260" s="13"/>
      <c r="I260" s="13"/>
    </row>
    <row r="261" spans="1:9" ht="12.75" x14ac:dyDescent="0.2">
      <c r="A261" s="53"/>
      <c r="B261" s="9">
        <v>45</v>
      </c>
      <c r="C261" s="9" t="s">
        <v>1259</v>
      </c>
      <c r="D261" s="9" t="s">
        <v>24</v>
      </c>
      <c r="E261" s="9" t="s">
        <v>31</v>
      </c>
      <c r="F261" s="9" t="s">
        <v>26</v>
      </c>
      <c r="G261" s="12" t="s">
        <v>27</v>
      </c>
      <c r="H261" s="13"/>
      <c r="I261" s="13"/>
    </row>
    <row r="262" spans="1:9" ht="12.75" x14ac:dyDescent="0.2">
      <c r="A262" s="13"/>
      <c r="B262" s="13"/>
      <c r="C262" s="13"/>
      <c r="D262" s="13"/>
      <c r="E262" s="13"/>
      <c r="F262" s="13"/>
      <c r="G262" s="13"/>
      <c r="H262" s="13"/>
      <c r="I262" s="13"/>
    </row>
    <row r="263" spans="1:9" ht="12.75" x14ac:dyDescent="0.2">
      <c r="A263" s="13"/>
      <c r="B263" s="13"/>
      <c r="C263" s="13"/>
      <c r="D263" s="13"/>
      <c r="E263" s="13"/>
      <c r="F263" s="13"/>
      <c r="G263" s="13"/>
      <c r="H263" s="13"/>
      <c r="I263" s="13"/>
    </row>
    <row r="264" spans="1:9" ht="12.75" x14ac:dyDescent="0.2">
      <c r="A264" s="13"/>
      <c r="B264" s="13"/>
      <c r="C264" s="13"/>
      <c r="D264" s="13"/>
      <c r="E264" s="13"/>
      <c r="F264" s="13"/>
      <c r="G264" s="13"/>
      <c r="H264" s="13"/>
      <c r="I264" s="13"/>
    </row>
    <row r="265" spans="1:9" ht="12.75" x14ac:dyDescent="0.2">
      <c r="A265" s="13"/>
      <c r="B265" s="13"/>
      <c r="C265" s="13"/>
      <c r="D265" s="13"/>
      <c r="E265" s="13"/>
      <c r="F265" s="13"/>
      <c r="G265" s="13"/>
      <c r="H265" s="13"/>
      <c r="I265" s="13"/>
    </row>
    <row r="266" spans="1:9" ht="12.75" x14ac:dyDescent="0.2">
      <c r="A266" s="13"/>
      <c r="B266" s="13"/>
      <c r="C266" s="13"/>
      <c r="D266" s="13"/>
      <c r="E266" s="13"/>
      <c r="F266" s="13"/>
      <c r="G266" s="13"/>
      <c r="H266" s="13"/>
      <c r="I266" s="13"/>
    </row>
    <row r="267" spans="1:9" ht="12.75" x14ac:dyDescent="0.2">
      <c r="A267" s="13"/>
      <c r="B267" s="13"/>
      <c r="C267" s="13"/>
      <c r="D267" s="13"/>
      <c r="E267" s="13"/>
      <c r="F267" s="13"/>
      <c r="G267" s="13"/>
      <c r="H267" s="13"/>
      <c r="I267" s="13"/>
    </row>
    <row r="268" spans="1:9" ht="12.75" x14ac:dyDescent="0.2">
      <c r="A268" s="13"/>
      <c r="B268" s="13"/>
      <c r="C268" s="13"/>
      <c r="D268" s="13"/>
      <c r="E268" s="13"/>
      <c r="F268" s="13"/>
      <c r="G268" s="13"/>
      <c r="H268" s="13"/>
      <c r="I268" s="13"/>
    </row>
    <row r="269" spans="1:9" ht="12.75" x14ac:dyDescent="0.2">
      <c r="A269" s="13"/>
      <c r="B269" s="13"/>
      <c r="C269" s="13"/>
      <c r="D269" s="13"/>
      <c r="E269" s="13"/>
      <c r="F269" s="13"/>
      <c r="G269" s="13"/>
      <c r="H269" s="13"/>
      <c r="I269" s="13"/>
    </row>
    <row r="270" spans="1:9" ht="12.75" x14ac:dyDescent="0.2">
      <c r="A270" s="13"/>
      <c r="B270" s="13"/>
      <c r="C270" s="13"/>
      <c r="D270" s="13"/>
      <c r="E270" s="13"/>
      <c r="F270" s="13"/>
      <c r="G270" s="13"/>
      <c r="H270" s="13"/>
      <c r="I270" s="13"/>
    </row>
    <row r="271" spans="1:9" ht="12.75" x14ac:dyDescent="0.2">
      <c r="A271" s="13"/>
      <c r="B271" s="13"/>
      <c r="C271" s="13"/>
      <c r="D271" s="13"/>
      <c r="E271" s="13"/>
      <c r="F271" s="13"/>
      <c r="G271" s="13"/>
      <c r="H271" s="13"/>
      <c r="I271" s="13"/>
    </row>
    <row r="272" spans="1:9" ht="12.75" x14ac:dyDescent="0.2">
      <c r="A272" s="13"/>
      <c r="B272" s="13"/>
      <c r="C272" s="13"/>
      <c r="D272" s="13"/>
      <c r="E272" s="13"/>
      <c r="F272" s="13"/>
      <c r="G272" s="13"/>
      <c r="H272" s="13"/>
      <c r="I272" s="13"/>
    </row>
  </sheetData>
  <mergeCells count="18">
    <mergeCell ref="A254:A261"/>
    <mergeCell ref="A120:A133"/>
    <mergeCell ref="A134:A145"/>
    <mergeCell ref="A146:A158"/>
    <mergeCell ref="A159:A171"/>
    <mergeCell ref="A172:A183"/>
    <mergeCell ref="A184:A189"/>
    <mergeCell ref="A190:A200"/>
    <mergeCell ref="A84:A102"/>
    <mergeCell ref="A103:A119"/>
    <mergeCell ref="A201:A210"/>
    <mergeCell ref="A211:A226"/>
    <mergeCell ref="A227:A253"/>
    <mergeCell ref="A1:G1"/>
    <mergeCell ref="A9:A23"/>
    <mergeCell ref="A24:A35"/>
    <mergeCell ref="A36:A63"/>
    <mergeCell ref="A64:A83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X91"/>
  <sheetViews>
    <sheetView workbookViewId="0"/>
  </sheetViews>
  <sheetFormatPr defaultColWidth="12.5703125" defaultRowHeight="15.75" customHeight="1" x14ac:dyDescent="0.2"/>
  <cols>
    <col min="1" max="7" width="18.85546875" customWidth="1"/>
    <col min="15" max="15" width="12.5703125" customWidth="1"/>
  </cols>
  <sheetData>
    <row r="1" spans="1:24" ht="15.75" customHeight="1" x14ac:dyDescent="0.25">
      <c r="A1" s="54" t="s">
        <v>0</v>
      </c>
      <c r="B1" s="55"/>
      <c r="C1" s="55"/>
      <c r="D1" s="55"/>
      <c r="E1" s="55"/>
      <c r="F1" s="55"/>
      <c r="G1" s="56"/>
    </row>
    <row r="2" spans="1:24" x14ac:dyDescent="0.2">
      <c r="A2" s="1"/>
      <c r="B2" s="2"/>
      <c r="C2" s="2"/>
      <c r="D2" s="2"/>
      <c r="E2" s="2"/>
      <c r="F2" s="2"/>
      <c r="G2" s="2"/>
    </row>
    <row r="3" spans="1:24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24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24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24" x14ac:dyDescent="0.2">
      <c r="A6" s="1"/>
      <c r="B6" s="2"/>
      <c r="C6" s="2"/>
      <c r="D6" s="2"/>
      <c r="E6" s="2"/>
      <c r="F6" s="2"/>
      <c r="G6" s="2"/>
    </row>
    <row r="7" spans="1:24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24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24" x14ac:dyDescent="0.2">
      <c r="A9" s="61" t="s">
        <v>20</v>
      </c>
      <c r="B9" s="9">
        <v>46</v>
      </c>
      <c r="C9" s="9" t="s">
        <v>1400</v>
      </c>
      <c r="D9" s="9" t="s">
        <v>24</v>
      </c>
      <c r="E9" s="9" t="s">
        <v>25</v>
      </c>
      <c r="F9" s="9" t="s">
        <v>26</v>
      </c>
      <c r="G9" s="10" t="s">
        <v>27</v>
      </c>
      <c r="H9" s="11"/>
      <c r="I9" s="11"/>
      <c r="J9" s="11"/>
      <c r="K9" s="11"/>
      <c r="L9" s="11"/>
      <c r="M9" s="1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</row>
    <row r="10" spans="1:24" x14ac:dyDescent="0.2">
      <c r="A10" s="62"/>
      <c r="B10" s="9">
        <v>46</v>
      </c>
      <c r="C10" s="9" t="s">
        <v>1401</v>
      </c>
      <c r="D10" s="9" t="s">
        <v>24</v>
      </c>
      <c r="E10" s="9" t="s">
        <v>25</v>
      </c>
      <c r="F10" s="9" t="s">
        <v>26</v>
      </c>
      <c r="G10" s="10" t="s">
        <v>27</v>
      </c>
      <c r="H10" s="11"/>
      <c r="I10" s="11"/>
      <c r="J10" s="11"/>
      <c r="K10" s="11"/>
      <c r="L10" s="11"/>
      <c r="M10" s="1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</row>
    <row r="11" spans="1:24" x14ac:dyDescent="0.2">
      <c r="A11" s="62"/>
      <c r="B11" s="9">
        <v>46</v>
      </c>
      <c r="C11" s="9" t="s">
        <v>1402</v>
      </c>
      <c r="D11" s="9" t="s">
        <v>24</v>
      </c>
      <c r="E11" s="9" t="s">
        <v>25</v>
      </c>
      <c r="F11" s="9" t="s">
        <v>26</v>
      </c>
      <c r="G11" s="10" t="s">
        <v>27</v>
      </c>
      <c r="H11" s="11"/>
      <c r="I11" s="11"/>
      <c r="J11" s="11"/>
      <c r="K11" s="11"/>
      <c r="L11" s="11"/>
      <c r="M11" s="1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</row>
    <row r="12" spans="1:24" x14ac:dyDescent="0.2">
      <c r="A12" s="63"/>
      <c r="B12" s="9">
        <v>46</v>
      </c>
      <c r="C12" s="9" t="s">
        <v>1403</v>
      </c>
      <c r="D12" s="9" t="s">
        <v>24</v>
      </c>
      <c r="E12" s="9" t="s">
        <v>25</v>
      </c>
      <c r="F12" s="9" t="s">
        <v>26</v>
      </c>
      <c r="G12" s="10" t="s">
        <v>27</v>
      </c>
      <c r="H12" s="11"/>
      <c r="I12" s="11"/>
      <c r="J12" s="11"/>
      <c r="K12" s="11"/>
      <c r="L12" s="11"/>
      <c r="M12" s="11"/>
      <c r="N12" s="13"/>
      <c r="O12" s="32"/>
      <c r="P12" s="33"/>
      <c r="Q12" s="34"/>
      <c r="R12" s="34"/>
      <c r="S12" s="34"/>
      <c r="T12" s="34"/>
      <c r="U12" s="35"/>
      <c r="V12" s="13"/>
      <c r="W12" s="13"/>
      <c r="X12" s="13"/>
    </row>
    <row r="13" spans="1:24" x14ac:dyDescent="0.2">
      <c r="A13" s="48" t="s">
        <v>22</v>
      </c>
      <c r="B13" s="9">
        <v>46</v>
      </c>
      <c r="C13" s="9" t="s">
        <v>1404</v>
      </c>
      <c r="D13" s="9" t="s">
        <v>24</v>
      </c>
      <c r="E13" s="9" t="s">
        <v>31</v>
      </c>
      <c r="F13" s="9" t="s">
        <v>26</v>
      </c>
      <c r="G13" s="10" t="s">
        <v>27</v>
      </c>
      <c r="H13" s="11"/>
      <c r="I13" s="11"/>
      <c r="J13" s="11"/>
      <c r="K13" s="11"/>
      <c r="L13" s="11"/>
      <c r="M13" s="11"/>
      <c r="N13" s="13"/>
      <c r="O13" s="32"/>
      <c r="P13" s="33"/>
      <c r="Q13" s="34"/>
      <c r="R13" s="34"/>
      <c r="S13" s="34"/>
      <c r="T13" s="34"/>
      <c r="U13" s="35"/>
      <c r="V13" s="13"/>
      <c r="W13" s="13"/>
      <c r="X13" s="13"/>
    </row>
    <row r="14" spans="1:24" x14ac:dyDescent="0.2">
      <c r="A14" s="52"/>
      <c r="B14" s="9">
        <v>46</v>
      </c>
      <c r="C14" s="9" t="s">
        <v>1405</v>
      </c>
      <c r="D14" s="9" t="s">
        <v>24</v>
      </c>
      <c r="E14" s="9" t="s">
        <v>31</v>
      </c>
      <c r="F14" s="9" t="s">
        <v>26</v>
      </c>
      <c r="G14" s="10" t="s">
        <v>27</v>
      </c>
      <c r="H14" s="11"/>
      <c r="I14" s="11"/>
      <c r="J14" s="11"/>
      <c r="K14" s="11"/>
      <c r="L14" s="11"/>
      <c r="M14" s="11"/>
      <c r="N14" s="13"/>
      <c r="O14" s="32"/>
      <c r="P14" s="33"/>
      <c r="Q14" s="34"/>
      <c r="R14" s="34"/>
      <c r="S14" s="34"/>
      <c r="T14" s="34"/>
      <c r="U14" s="35"/>
      <c r="V14" s="13"/>
      <c r="W14" s="13"/>
      <c r="X14" s="13"/>
    </row>
    <row r="15" spans="1:24" x14ac:dyDescent="0.2">
      <c r="A15" s="53"/>
      <c r="B15" s="9">
        <v>46</v>
      </c>
      <c r="C15" s="9" t="s">
        <v>1406</v>
      </c>
      <c r="D15" s="9" t="s">
        <v>24</v>
      </c>
      <c r="E15" s="9" t="s">
        <v>31</v>
      </c>
      <c r="F15" s="9" t="s">
        <v>26</v>
      </c>
      <c r="G15" s="10" t="s">
        <v>27</v>
      </c>
      <c r="H15" s="11"/>
      <c r="I15" s="11"/>
      <c r="J15" s="11"/>
      <c r="K15" s="11"/>
      <c r="L15" s="11"/>
      <c r="M15" s="11"/>
      <c r="N15" s="13"/>
      <c r="O15" s="32"/>
      <c r="P15" s="33"/>
      <c r="Q15" s="34"/>
      <c r="R15" s="34"/>
      <c r="S15" s="34"/>
      <c r="T15" s="34"/>
      <c r="U15" s="35"/>
      <c r="V15" s="13"/>
      <c r="W15" s="13"/>
      <c r="X15" s="13"/>
    </row>
    <row r="16" spans="1:24" x14ac:dyDescent="0.2">
      <c r="A16" s="48" t="s">
        <v>28</v>
      </c>
      <c r="B16" s="9">
        <v>46</v>
      </c>
      <c r="C16" s="9" t="s">
        <v>1405</v>
      </c>
      <c r="D16" s="9" t="s">
        <v>24</v>
      </c>
      <c r="E16" s="9" t="s">
        <v>31</v>
      </c>
      <c r="F16" s="9" t="s">
        <v>26</v>
      </c>
      <c r="G16" s="10" t="s">
        <v>27</v>
      </c>
      <c r="H16" s="11"/>
      <c r="I16" s="11"/>
      <c r="J16" s="11"/>
      <c r="K16" s="11"/>
      <c r="L16" s="11"/>
      <c r="M16" s="11"/>
      <c r="N16" s="13"/>
      <c r="O16" s="32"/>
      <c r="P16" s="33"/>
      <c r="Q16" s="34"/>
      <c r="R16" s="34"/>
      <c r="S16" s="34"/>
      <c r="T16" s="34"/>
      <c r="U16" s="35"/>
      <c r="V16" s="13"/>
      <c r="W16" s="13"/>
      <c r="X16" s="13"/>
    </row>
    <row r="17" spans="1:24" x14ac:dyDescent="0.2">
      <c r="A17" s="52"/>
      <c r="B17" s="9">
        <v>46</v>
      </c>
      <c r="C17" s="9" t="s">
        <v>1407</v>
      </c>
      <c r="D17" s="9" t="s">
        <v>24</v>
      </c>
      <c r="E17" s="9" t="s">
        <v>31</v>
      </c>
      <c r="F17" s="9" t="s">
        <v>26</v>
      </c>
      <c r="G17" s="10" t="s">
        <v>27</v>
      </c>
      <c r="H17" s="11"/>
      <c r="I17" s="11"/>
      <c r="J17" s="11"/>
      <c r="K17" s="11"/>
      <c r="L17" s="11"/>
      <c r="M17" s="11"/>
      <c r="N17" s="13"/>
      <c r="O17" s="32"/>
      <c r="P17" s="33"/>
      <c r="Q17" s="34"/>
      <c r="R17" s="34"/>
      <c r="S17" s="34"/>
      <c r="T17" s="34"/>
      <c r="U17" s="35"/>
      <c r="V17" s="13"/>
      <c r="W17" s="13"/>
      <c r="X17" s="13"/>
    </row>
    <row r="18" spans="1:24" x14ac:dyDescent="0.2">
      <c r="A18" s="53"/>
      <c r="B18" s="9">
        <v>46</v>
      </c>
      <c r="C18" s="9" t="s">
        <v>1408</v>
      </c>
      <c r="D18" s="9" t="s">
        <v>24</v>
      </c>
      <c r="E18" s="9" t="s">
        <v>31</v>
      </c>
      <c r="F18" s="9" t="s">
        <v>26</v>
      </c>
      <c r="G18" s="10" t="s">
        <v>27</v>
      </c>
      <c r="H18" s="11"/>
      <c r="I18" s="11"/>
      <c r="J18" s="11"/>
      <c r="K18" s="11"/>
      <c r="L18" s="11"/>
      <c r="M18" s="11"/>
      <c r="N18" s="13"/>
      <c r="O18" s="32"/>
      <c r="P18" s="33"/>
      <c r="Q18" s="34"/>
      <c r="R18" s="34"/>
      <c r="S18" s="34"/>
      <c r="T18" s="34"/>
      <c r="U18" s="35"/>
      <c r="V18" s="13"/>
      <c r="W18" s="13"/>
      <c r="X18" s="13"/>
    </row>
    <row r="19" spans="1:24" x14ac:dyDescent="0.2">
      <c r="A19" s="48" t="s">
        <v>33</v>
      </c>
      <c r="B19" s="9">
        <v>46</v>
      </c>
      <c r="C19" s="9" t="s">
        <v>1409</v>
      </c>
      <c r="D19" s="9" t="s">
        <v>24</v>
      </c>
      <c r="E19" s="9" t="s">
        <v>25</v>
      </c>
      <c r="F19" s="9" t="s">
        <v>26</v>
      </c>
      <c r="G19" s="10" t="s">
        <v>27</v>
      </c>
      <c r="H19" s="11"/>
      <c r="I19" s="11"/>
      <c r="J19" s="11"/>
      <c r="K19" s="11"/>
      <c r="L19" s="11"/>
      <c r="M19" s="11"/>
      <c r="N19" s="13"/>
      <c r="O19" s="32"/>
      <c r="P19" s="33"/>
      <c r="Q19" s="34"/>
      <c r="R19" s="34"/>
      <c r="S19" s="34"/>
      <c r="T19" s="34"/>
      <c r="U19" s="35"/>
      <c r="V19" s="13"/>
      <c r="W19" s="13"/>
      <c r="X19" s="13"/>
    </row>
    <row r="20" spans="1:24" x14ac:dyDescent="0.2">
      <c r="A20" s="50"/>
      <c r="B20" s="9">
        <v>46</v>
      </c>
      <c r="C20" s="9" t="s">
        <v>1410</v>
      </c>
      <c r="D20" s="9" t="s">
        <v>24</v>
      </c>
      <c r="E20" s="9" t="s">
        <v>25</v>
      </c>
      <c r="F20" s="9" t="s">
        <v>26</v>
      </c>
      <c r="G20" s="10" t="s">
        <v>27</v>
      </c>
      <c r="H20" s="11"/>
      <c r="I20" s="11"/>
      <c r="J20" s="11"/>
      <c r="K20" s="11"/>
      <c r="L20" s="11"/>
      <c r="M20" s="11"/>
      <c r="N20" s="13"/>
      <c r="O20" s="32"/>
      <c r="P20" s="33"/>
      <c r="Q20" s="34"/>
      <c r="R20" s="34"/>
      <c r="S20" s="34"/>
      <c r="T20" s="34"/>
      <c r="U20" s="35"/>
      <c r="V20" s="13"/>
      <c r="W20" s="13"/>
      <c r="X20" s="13"/>
    </row>
    <row r="21" spans="1:24" x14ac:dyDescent="0.2">
      <c r="A21" s="51"/>
      <c r="B21" s="9">
        <v>46</v>
      </c>
      <c r="C21" s="9" t="s">
        <v>1411</v>
      </c>
      <c r="D21" s="9" t="s">
        <v>24</v>
      </c>
      <c r="E21" s="9" t="s">
        <v>25</v>
      </c>
      <c r="F21" s="9" t="s">
        <v>26</v>
      </c>
      <c r="G21" s="10" t="s">
        <v>27</v>
      </c>
      <c r="H21" s="11"/>
      <c r="I21" s="11"/>
      <c r="J21" s="11"/>
      <c r="K21" s="11"/>
      <c r="L21" s="11"/>
      <c r="M21" s="11"/>
      <c r="N21" s="13"/>
      <c r="O21" s="32"/>
      <c r="P21" s="33"/>
      <c r="Q21" s="34"/>
      <c r="R21" s="34"/>
      <c r="S21" s="34"/>
      <c r="T21" s="34"/>
      <c r="U21" s="35"/>
      <c r="V21" s="13"/>
      <c r="W21" s="13"/>
      <c r="X21" s="13"/>
    </row>
    <row r="22" spans="1:24" x14ac:dyDescent="0.2">
      <c r="A22" s="50"/>
      <c r="B22" s="9">
        <v>46</v>
      </c>
      <c r="C22" s="9" t="s">
        <v>1412</v>
      </c>
      <c r="D22" s="9" t="s">
        <v>24</v>
      </c>
      <c r="E22" s="9" t="s">
        <v>25</v>
      </c>
      <c r="F22" s="9" t="s">
        <v>26</v>
      </c>
      <c r="G22" s="10" t="s">
        <v>27</v>
      </c>
      <c r="H22" s="11"/>
      <c r="I22" s="11"/>
      <c r="J22" s="11"/>
      <c r="K22" s="11"/>
      <c r="L22" s="11"/>
      <c r="M22" s="11"/>
      <c r="N22" s="13"/>
      <c r="O22" s="32"/>
      <c r="P22" s="33"/>
      <c r="Q22" s="34"/>
      <c r="R22" s="34"/>
      <c r="S22" s="34"/>
      <c r="T22" s="34"/>
      <c r="U22" s="35"/>
      <c r="V22" s="13"/>
      <c r="W22" s="13"/>
      <c r="X22" s="13"/>
    </row>
    <row r="23" spans="1:24" x14ac:dyDescent="0.2">
      <c r="A23" s="51"/>
      <c r="B23" s="9">
        <v>46</v>
      </c>
      <c r="C23" s="9" t="s">
        <v>1413</v>
      </c>
      <c r="D23" s="9" t="s">
        <v>24</v>
      </c>
      <c r="E23" s="9" t="s">
        <v>25</v>
      </c>
      <c r="F23" s="9" t="s">
        <v>26</v>
      </c>
      <c r="G23" s="10" t="s">
        <v>27</v>
      </c>
      <c r="H23" s="11"/>
      <c r="I23" s="11"/>
      <c r="J23" s="11"/>
      <c r="K23" s="11"/>
      <c r="L23" s="11"/>
      <c r="M23" s="11"/>
      <c r="N23" s="13"/>
      <c r="O23" s="32"/>
      <c r="P23" s="33"/>
      <c r="Q23" s="34"/>
      <c r="R23" s="34"/>
      <c r="S23" s="34"/>
      <c r="T23" s="34"/>
      <c r="U23" s="35"/>
      <c r="V23" s="13"/>
      <c r="W23" s="13"/>
      <c r="X23" s="13"/>
    </row>
    <row r="24" spans="1:24" x14ac:dyDescent="0.2">
      <c r="A24" s="50"/>
      <c r="B24" s="9">
        <v>46</v>
      </c>
      <c r="C24" s="9" t="s">
        <v>1414</v>
      </c>
      <c r="D24" s="9" t="s">
        <v>24</v>
      </c>
      <c r="E24" s="9" t="s">
        <v>25</v>
      </c>
      <c r="F24" s="9" t="s">
        <v>26</v>
      </c>
      <c r="G24" s="10" t="s">
        <v>27</v>
      </c>
      <c r="H24" s="11"/>
      <c r="I24" s="11"/>
      <c r="J24" s="11"/>
      <c r="K24" s="11"/>
      <c r="L24" s="11"/>
      <c r="M24" s="11"/>
      <c r="N24" s="13"/>
      <c r="O24" s="32"/>
      <c r="P24" s="33"/>
      <c r="Q24" s="34"/>
      <c r="R24" s="34"/>
      <c r="S24" s="34"/>
      <c r="T24" s="34"/>
      <c r="U24" s="35"/>
      <c r="V24" s="13"/>
      <c r="W24" s="13"/>
      <c r="X24" s="13"/>
    </row>
    <row r="25" spans="1:24" x14ac:dyDescent="0.2">
      <c r="A25" s="57"/>
      <c r="B25" s="9">
        <v>46</v>
      </c>
      <c r="C25" s="9" t="s">
        <v>1415</v>
      </c>
      <c r="D25" s="9" t="s">
        <v>24</v>
      </c>
      <c r="E25" s="9" t="s">
        <v>25</v>
      </c>
      <c r="F25" s="9" t="s">
        <v>26</v>
      </c>
      <c r="G25" s="10" t="s">
        <v>27</v>
      </c>
      <c r="H25" s="11"/>
      <c r="I25" s="11"/>
      <c r="J25" s="11"/>
      <c r="K25" s="11"/>
      <c r="L25" s="11"/>
      <c r="M25" s="11"/>
      <c r="N25" s="13"/>
      <c r="O25" s="32"/>
      <c r="P25" s="33"/>
      <c r="Q25" s="34"/>
      <c r="R25" s="34"/>
      <c r="S25" s="34"/>
      <c r="T25" s="34"/>
      <c r="U25" s="35"/>
      <c r="V25" s="13"/>
      <c r="W25" s="13"/>
      <c r="X25" s="13"/>
    </row>
    <row r="26" spans="1:24" x14ac:dyDescent="0.2">
      <c r="A26" s="48" t="s">
        <v>38</v>
      </c>
      <c r="B26" s="9">
        <v>46</v>
      </c>
      <c r="C26" s="9" t="s">
        <v>1416</v>
      </c>
      <c r="D26" s="9" t="s">
        <v>24</v>
      </c>
      <c r="E26" s="9" t="s">
        <v>31</v>
      </c>
      <c r="F26" s="9" t="s">
        <v>26</v>
      </c>
      <c r="G26" s="10" t="s">
        <v>27</v>
      </c>
      <c r="H26" s="11"/>
      <c r="I26" s="11"/>
      <c r="J26" s="11"/>
      <c r="K26" s="11"/>
      <c r="L26" s="11"/>
      <c r="M26" s="11"/>
      <c r="N26" s="13"/>
      <c r="O26" s="32"/>
      <c r="P26" s="33"/>
      <c r="Q26" s="34"/>
      <c r="R26" s="34"/>
      <c r="S26" s="34"/>
      <c r="T26" s="34"/>
      <c r="U26" s="35"/>
      <c r="V26" s="13"/>
      <c r="W26" s="13"/>
      <c r="X26" s="13"/>
    </row>
    <row r="27" spans="1:24" x14ac:dyDescent="0.2">
      <c r="A27" s="51"/>
      <c r="B27" s="9">
        <v>46</v>
      </c>
      <c r="C27" s="9" t="s">
        <v>1405</v>
      </c>
      <c r="D27" s="9" t="s">
        <v>24</v>
      </c>
      <c r="E27" s="9" t="s">
        <v>31</v>
      </c>
      <c r="F27" s="9" t="s">
        <v>26</v>
      </c>
      <c r="G27" s="10" t="s">
        <v>27</v>
      </c>
      <c r="H27" s="11"/>
      <c r="I27" s="11"/>
      <c r="J27" s="11"/>
      <c r="K27" s="11"/>
      <c r="L27" s="11"/>
      <c r="M27" s="11"/>
      <c r="N27" s="13"/>
      <c r="O27" s="32"/>
      <c r="P27" s="33"/>
      <c r="Q27" s="34"/>
      <c r="R27" s="34"/>
      <c r="S27" s="34"/>
      <c r="T27" s="34"/>
      <c r="U27" s="35"/>
      <c r="V27" s="13"/>
      <c r="W27" s="13"/>
      <c r="X27" s="13"/>
    </row>
    <row r="28" spans="1:24" x14ac:dyDescent="0.2">
      <c r="A28" s="50"/>
      <c r="B28" s="9">
        <v>46</v>
      </c>
      <c r="C28" s="9" t="s">
        <v>1417</v>
      </c>
      <c r="D28" s="9" t="s">
        <v>24</v>
      </c>
      <c r="E28" s="9" t="s">
        <v>31</v>
      </c>
      <c r="F28" s="9" t="s">
        <v>26</v>
      </c>
      <c r="G28" s="10" t="s">
        <v>27</v>
      </c>
      <c r="H28" s="11"/>
      <c r="I28" s="11"/>
      <c r="J28" s="11"/>
      <c r="K28" s="11"/>
      <c r="L28" s="11"/>
      <c r="M28" s="11"/>
      <c r="N28" s="13"/>
      <c r="O28" s="32"/>
      <c r="P28" s="33"/>
      <c r="Q28" s="34"/>
      <c r="R28" s="34"/>
      <c r="S28" s="34"/>
      <c r="T28" s="34"/>
      <c r="U28" s="35"/>
      <c r="V28" s="13"/>
      <c r="W28" s="13"/>
      <c r="X28" s="13"/>
    </row>
    <row r="29" spans="1:24" x14ac:dyDescent="0.2">
      <c r="A29" s="57"/>
      <c r="B29" s="9">
        <v>46</v>
      </c>
      <c r="C29" s="9" t="s">
        <v>1418</v>
      </c>
      <c r="D29" s="9" t="s">
        <v>24</v>
      </c>
      <c r="E29" s="9" t="s">
        <v>31</v>
      </c>
      <c r="F29" s="9" t="s">
        <v>26</v>
      </c>
      <c r="G29" s="10" t="s">
        <v>27</v>
      </c>
      <c r="H29" s="11"/>
      <c r="I29" s="11"/>
      <c r="J29" s="11"/>
      <c r="K29" s="11"/>
      <c r="L29" s="11"/>
      <c r="M29" s="11"/>
      <c r="N29" s="13"/>
      <c r="O29" s="32"/>
      <c r="P29" s="33"/>
      <c r="Q29" s="34"/>
      <c r="R29" s="34"/>
      <c r="S29" s="34"/>
      <c r="T29" s="34"/>
      <c r="U29" s="35"/>
      <c r="V29" s="13"/>
      <c r="W29" s="13"/>
      <c r="X29" s="13"/>
    </row>
    <row r="30" spans="1:24" x14ac:dyDescent="0.2">
      <c r="A30" s="48" t="s">
        <v>46</v>
      </c>
      <c r="B30" s="9">
        <v>46</v>
      </c>
      <c r="C30" s="9" t="s">
        <v>1419</v>
      </c>
      <c r="D30" s="9" t="s">
        <v>24</v>
      </c>
      <c r="E30" s="9" t="s">
        <v>31</v>
      </c>
      <c r="F30" s="9" t="s">
        <v>47</v>
      </c>
      <c r="G30" s="10" t="s">
        <v>27</v>
      </c>
      <c r="H30" s="11"/>
      <c r="I30" s="11"/>
      <c r="J30" s="11"/>
      <c r="K30" s="11"/>
      <c r="L30" s="11"/>
      <c r="M30" s="11"/>
      <c r="N30" s="13"/>
      <c r="O30" s="32"/>
      <c r="P30" s="33"/>
      <c r="Q30" s="34"/>
      <c r="R30" s="34"/>
      <c r="S30" s="34"/>
      <c r="T30" s="34"/>
      <c r="U30" s="35"/>
      <c r="V30" s="13"/>
      <c r="W30" s="13"/>
      <c r="X30" s="13"/>
    </row>
    <row r="31" spans="1:24" x14ac:dyDescent="0.2">
      <c r="A31" s="51"/>
      <c r="B31" s="9">
        <v>46</v>
      </c>
      <c r="C31" s="9" t="s">
        <v>1420</v>
      </c>
      <c r="D31" s="9" t="s">
        <v>24</v>
      </c>
      <c r="E31" s="9" t="s">
        <v>31</v>
      </c>
      <c r="F31" s="9" t="s">
        <v>47</v>
      </c>
      <c r="G31" s="10" t="s">
        <v>27</v>
      </c>
      <c r="H31" s="11"/>
      <c r="I31" s="11"/>
      <c r="J31" s="11"/>
      <c r="K31" s="11"/>
      <c r="L31" s="11"/>
      <c r="M31" s="11"/>
      <c r="N31" s="13"/>
      <c r="O31" s="32"/>
      <c r="P31" s="33"/>
      <c r="Q31" s="34"/>
      <c r="R31" s="34"/>
      <c r="S31" s="34"/>
      <c r="T31" s="34"/>
      <c r="U31" s="35"/>
      <c r="V31" s="13"/>
      <c r="W31" s="13"/>
      <c r="X31" s="13"/>
    </row>
    <row r="32" spans="1:24" x14ac:dyDescent="0.2">
      <c r="A32" s="50"/>
      <c r="B32" s="9">
        <v>46</v>
      </c>
      <c r="C32" s="9" t="s">
        <v>1417</v>
      </c>
      <c r="D32" s="9" t="s">
        <v>24</v>
      </c>
      <c r="E32" s="9" t="s">
        <v>31</v>
      </c>
      <c r="F32" s="9" t="s">
        <v>47</v>
      </c>
      <c r="G32" s="10" t="s">
        <v>27</v>
      </c>
      <c r="H32" s="11"/>
      <c r="I32" s="11"/>
      <c r="J32" s="11"/>
      <c r="K32" s="11"/>
      <c r="L32" s="11"/>
      <c r="M32" s="11"/>
      <c r="N32" s="13"/>
      <c r="O32" s="32"/>
      <c r="P32" s="33"/>
      <c r="Q32" s="34"/>
      <c r="R32" s="34"/>
      <c r="S32" s="34"/>
      <c r="T32" s="34"/>
      <c r="U32" s="35"/>
      <c r="V32" s="13"/>
      <c r="W32" s="13"/>
      <c r="X32" s="13"/>
    </row>
    <row r="33" spans="1:24" x14ac:dyDescent="0.2">
      <c r="A33" s="51"/>
      <c r="B33" s="9">
        <v>46</v>
      </c>
      <c r="C33" s="9" t="s">
        <v>1405</v>
      </c>
      <c r="D33" s="9" t="s">
        <v>24</v>
      </c>
      <c r="E33" s="9" t="s">
        <v>31</v>
      </c>
      <c r="F33" s="9" t="s">
        <v>47</v>
      </c>
      <c r="G33" s="10" t="s">
        <v>27</v>
      </c>
      <c r="H33" s="11"/>
      <c r="I33" s="11"/>
      <c r="J33" s="11"/>
      <c r="K33" s="11"/>
      <c r="L33" s="11"/>
      <c r="M33" s="11"/>
      <c r="N33" s="13"/>
      <c r="O33" s="32"/>
      <c r="P33" s="33"/>
      <c r="Q33" s="34"/>
      <c r="R33" s="34"/>
      <c r="S33" s="34"/>
      <c r="T33" s="34"/>
      <c r="U33" s="35"/>
      <c r="V33" s="13"/>
      <c r="W33" s="13"/>
      <c r="X33" s="13"/>
    </row>
    <row r="34" spans="1:24" x14ac:dyDescent="0.2">
      <c r="A34" s="50"/>
      <c r="B34" s="9">
        <v>46</v>
      </c>
      <c r="C34" s="9" t="s">
        <v>1416</v>
      </c>
      <c r="D34" s="9" t="s">
        <v>24</v>
      </c>
      <c r="E34" s="9" t="s">
        <v>31</v>
      </c>
      <c r="F34" s="9" t="s">
        <v>47</v>
      </c>
      <c r="G34" s="10" t="s">
        <v>27</v>
      </c>
      <c r="H34" s="11"/>
      <c r="I34" s="27"/>
      <c r="J34" s="27"/>
      <c r="K34" s="27"/>
      <c r="L34" s="27"/>
      <c r="M34" s="27"/>
      <c r="N34" s="13"/>
      <c r="O34" s="32"/>
      <c r="P34" s="33"/>
      <c r="Q34" s="34"/>
      <c r="R34" s="34"/>
      <c r="S34" s="34"/>
      <c r="T34" s="34"/>
      <c r="U34" s="35"/>
      <c r="V34" s="13"/>
      <c r="W34" s="13"/>
      <c r="X34" s="13"/>
    </row>
    <row r="35" spans="1:24" x14ac:dyDescent="0.2">
      <c r="A35" s="51"/>
      <c r="B35" s="9">
        <v>46</v>
      </c>
      <c r="C35" s="9" t="s">
        <v>1421</v>
      </c>
      <c r="D35" s="9" t="s">
        <v>24</v>
      </c>
      <c r="E35" s="9" t="s">
        <v>31</v>
      </c>
      <c r="F35" s="9" t="s">
        <v>47</v>
      </c>
      <c r="G35" s="10" t="s">
        <v>27</v>
      </c>
      <c r="H35" s="11"/>
      <c r="I35" s="27"/>
      <c r="J35" s="27"/>
      <c r="K35" s="27"/>
      <c r="L35" s="27"/>
      <c r="M35" s="27"/>
      <c r="N35" s="13"/>
      <c r="O35" s="32"/>
      <c r="P35" s="33"/>
      <c r="Q35" s="34"/>
      <c r="R35" s="34"/>
      <c r="S35" s="34"/>
      <c r="T35" s="34"/>
      <c r="U35" s="35"/>
      <c r="V35" s="13"/>
      <c r="W35" s="13"/>
      <c r="X35" s="13"/>
    </row>
    <row r="36" spans="1:24" x14ac:dyDescent="0.2">
      <c r="A36" s="50"/>
      <c r="B36" s="9">
        <v>46</v>
      </c>
      <c r="C36" s="9" t="s">
        <v>1422</v>
      </c>
      <c r="D36" s="9" t="s">
        <v>24</v>
      </c>
      <c r="E36" s="9" t="s">
        <v>31</v>
      </c>
      <c r="F36" s="9" t="s">
        <v>47</v>
      </c>
      <c r="G36" s="10" t="s">
        <v>27</v>
      </c>
      <c r="H36" s="11"/>
      <c r="I36" s="27"/>
      <c r="J36" s="27"/>
      <c r="K36" s="27"/>
      <c r="L36" s="27"/>
      <c r="M36" s="27"/>
      <c r="N36" s="13"/>
      <c r="O36" s="32"/>
      <c r="P36" s="33"/>
      <c r="Q36" s="34"/>
      <c r="R36" s="34"/>
      <c r="S36" s="34"/>
      <c r="T36" s="34"/>
      <c r="U36" s="35"/>
      <c r="V36" s="13"/>
      <c r="W36" s="13"/>
      <c r="X36" s="13"/>
    </row>
    <row r="37" spans="1:24" ht="12.75" x14ac:dyDescent="0.2">
      <c r="A37" s="51"/>
      <c r="B37" s="9">
        <v>46</v>
      </c>
      <c r="C37" s="9" t="s">
        <v>1423</v>
      </c>
      <c r="D37" s="9" t="s">
        <v>24</v>
      </c>
      <c r="E37" s="9" t="s">
        <v>31</v>
      </c>
      <c r="F37" s="9" t="s">
        <v>47</v>
      </c>
      <c r="G37" s="10" t="s">
        <v>27</v>
      </c>
      <c r="H37" s="11"/>
      <c r="I37" s="27"/>
      <c r="J37" s="27"/>
      <c r="K37" s="27"/>
      <c r="L37" s="27"/>
      <c r="M37" s="27"/>
      <c r="N37" s="13"/>
      <c r="O37" s="32"/>
      <c r="P37" s="33"/>
      <c r="Q37" s="34"/>
      <c r="R37" s="34"/>
      <c r="S37" s="34"/>
      <c r="T37" s="34"/>
      <c r="U37" s="35"/>
      <c r="V37" s="13"/>
      <c r="W37" s="13"/>
      <c r="X37" s="13"/>
    </row>
    <row r="38" spans="1:24" ht="12.75" x14ac:dyDescent="0.2">
      <c r="A38" s="49"/>
      <c r="B38" s="9">
        <v>46</v>
      </c>
      <c r="C38" s="9" t="s">
        <v>1424</v>
      </c>
      <c r="D38" s="9" t="s">
        <v>24</v>
      </c>
      <c r="E38" s="9" t="s">
        <v>31</v>
      </c>
      <c r="F38" s="9" t="s">
        <v>47</v>
      </c>
      <c r="G38" s="10" t="s">
        <v>27</v>
      </c>
      <c r="H38" s="11"/>
      <c r="I38" s="27"/>
      <c r="J38" s="27"/>
      <c r="K38" s="27"/>
      <c r="L38" s="27"/>
      <c r="M38" s="27"/>
      <c r="N38" s="13"/>
      <c r="O38" s="32"/>
      <c r="P38" s="33"/>
      <c r="Q38" s="34"/>
      <c r="R38" s="34"/>
      <c r="S38" s="34"/>
      <c r="T38" s="34"/>
      <c r="U38" s="35"/>
      <c r="V38" s="13"/>
      <c r="W38" s="13"/>
      <c r="X38" s="13"/>
    </row>
    <row r="39" spans="1:24" ht="12.75" x14ac:dyDescent="0.2">
      <c r="A39" s="48" t="s">
        <v>49</v>
      </c>
      <c r="B39" s="12">
        <v>48</v>
      </c>
      <c r="C39" s="12" t="s">
        <v>1423</v>
      </c>
      <c r="D39" s="12" t="s">
        <v>24</v>
      </c>
      <c r="E39" s="12" t="s">
        <v>25</v>
      </c>
      <c r="F39" s="12" t="s">
        <v>26</v>
      </c>
      <c r="G39" s="10" t="s">
        <v>27</v>
      </c>
      <c r="H39" s="11"/>
      <c r="I39" s="27"/>
      <c r="J39" s="27"/>
      <c r="K39" s="27"/>
      <c r="L39" s="27"/>
      <c r="M39" s="27"/>
      <c r="N39" s="13"/>
      <c r="O39" s="32"/>
      <c r="P39" s="33"/>
      <c r="Q39" s="34"/>
      <c r="R39" s="34"/>
      <c r="S39" s="34"/>
      <c r="T39" s="34"/>
      <c r="U39" s="35"/>
      <c r="V39" s="13"/>
      <c r="W39" s="13"/>
      <c r="X39" s="13"/>
    </row>
    <row r="40" spans="1:24" ht="12.75" x14ac:dyDescent="0.2">
      <c r="A40" s="50"/>
      <c r="B40" s="12">
        <v>46</v>
      </c>
      <c r="C40" s="12" t="s">
        <v>1425</v>
      </c>
      <c r="D40" s="12" t="s">
        <v>24</v>
      </c>
      <c r="E40" s="12" t="s">
        <v>25</v>
      </c>
      <c r="F40" s="12" t="s">
        <v>26</v>
      </c>
      <c r="G40" s="10" t="s">
        <v>27</v>
      </c>
      <c r="H40" s="11"/>
      <c r="I40" s="27"/>
      <c r="J40" s="27"/>
      <c r="K40" s="27"/>
      <c r="L40" s="27"/>
      <c r="M40" s="27"/>
      <c r="N40" s="13"/>
      <c r="O40" s="32"/>
      <c r="P40" s="33"/>
      <c r="Q40" s="34"/>
      <c r="R40" s="34"/>
      <c r="S40" s="34"/>
      <c r="T40" s="34"/>
      <c r="U40" s="35"/>
      <c r="V40" s="13"/>
      <c r="W40" s="13"/>
      <c r="X40" s="13"/>
    </row>
    <row r="41" spans="1:24" ht="12.75" x14ac:dyDescent="0.2">
      <c r="A41" s="51"/>
      <c r="B41" s="12">
        <v>48</v>
      </c>
      <c r="C41" s="12" t="s">
        <v>1421</v>
      </c>
      <c r="D41" s="12" t="s">
        <v>24</v>
      </c>
      <c r="E41" s="12" t="s">
        <v>25</v>
      </c>
      <c r="F41" s="12" t="s">
        <v>26</v>
      </c>
      <c r="G41" s="10" t="s">
        <v>27</v>
      </c>
      <c r="H41" s="11"/>
      <c r="I41" s="27"/>
      <c r="J41" s="27"/>
      <c r="K41" s="27"/>
      <c r="L41" s="27"/>
      <c r="M41" s="27"/>
      <c r="N41" s="13"/>
      <c r="O41" s="32"/>
      <c r="P41" s="33"/>
      <c r="Q41" s="34"/>
      <c r="R41" s="34"/>
      <c r="S41" s="34"/>
      <c r="T41" s="34"/>
      <c r="U41" s="35"/>
      <c r="V41" s="13"/>
      <c r="W41" s="13"/>
      <c r="X41" s="13"/>
    </row>
    <row r="42" spans="1:24" ht="12.75" x14ac:dyDescent="0.2">
      <c r="A42" s="50"/>
      <c r="B42" s="12">
        <v>46</v>
      </c>
      <c r="C42" s="12" t="s">
        <v>1416</v>
      </c>
      <c r="D42" s="12" t="s">
        <v>24</v>
      </c>
      <c r="E42" s="12" t="s">
        <v>25</v>
      </c>
      <c r="F42" s="12" t="s">
        <v>26</v>
      </c>
      <c r="G42" s="10" t="s">
        <v>27</v>
      </c>
      <c r="H42" s="11"/>
      <c r="I42" s="27"/>
      <c r="J42" s="27"/>
      <c r="K42" s="27"/>
      <c r="L42" s="27"/>
      <c r="M42" s="27"/>
      <c r="N42" s="13"/>
      <c r="O42" s="32"/>
      <c r="P42" s="33"/>
      <c r="Q42" s="34"/>
      <c r="R42" s="34"/>
      <c r="S42" s="34"/>
      <c r="T42" s="34"/>
      <c r="U42" s="35"/>
      <c r="V42" s="13"/>
      <c r="W42" s="13"/>
      <c r="X42" s="13"/>
    </row>
    <row r="43" spans="1:24" ht="12.75" x14ac:dyDescent="0.2">
      <c r="A43" s="51"/>
      <c r="B43" s="12">
        <v>46</v>
      </c>
      <c r="C43" s="12" t="s">
        <v>1405</v>
      </c>
      <c r="D43" s="12" t="s">
        <v>24</v>
      </c>
      <c r="E43" s="12" t="s">
        <v>25</v>
      </c>
      <c r="F43" s="12" t="s">
        <v>26</v>
      </c>
      <c r="G43" s="10" t="s">
        <v>27</v>
      </c>
      <c r="H43" s="11"/>
      <c r="I43" s="27"/>
      <c r="J43" s="27"/>
      <c r="K43" s="27"/>
      <c r="L43" s="27"/>
      <c r="M43" s="27"/>
      <c r="N43" s="13"/>
      <c r="O43" s="32"/>
      <c r="P43" s="33"/>
      <c r="Q43" s="34"/>
      <c r="R43" s="34"/>
      <c r="S43" s="34"/>
      <c r="T43" s="34"/>
      <c r="U43" s="35"/>
      <c r="V43" s="13"/>
      <c r="W43" s="13"/>
      <c r="X43" s="13"/>
    </row>
    <row r="44" spans="1:24" ht="12.75" x14ac:dyDescent="0.2">
      <c r="A44" s="49"/>
      <c r="B44" s="12">
        <v>46</v>
      </c>
      <c r="C44" s="12" t="s">
        <v>1417</v>
      </c>
      <c r="D44" s="12" t="s">
        <v>24</v>
      </c>
      <c r="E44" s="12" t="s">
        <v>25</v>
      </c>
      <c r="F44" s="12" t="s">
        <v>26</v>
      </c>
      <c r="G44" s="10" t="s">
        <v>27</v>
      </c>
      <c r="H44" s="11"/>
      <c r="I44" s="27"/>
      <c r="J44" s="27"/>
      <c r="K44" s="27"/>
      <c r="L44" s="27"/>
      <c r="M44" s="27"/>
      <c r="N44" s="13"/>
      <c r="O44" s="32"/>
      <c r="P44" s="33"/>
      <c r="Q44" s="34"/>
      <c r="R44" s="34"/>
      <c r="S44" s="34"/>
      <c r="T44" s="34"/>
      <c r="U44" s="35"/>
      <c r="V44" s="13"/>
      <c r="W44" s="13"/>
      <c r="X44" s="13"/>
    </row>
    <row r="45" spans="1:24" ht="12.75" x14ac:dyDescent="0.2">
      <c r="A45" s="48" t="s">
        <v>52</v>
      </c>
      <c r="B45" s="9">
        <v>46</v>
      </c>
      <c r="C45" s="9" t="s">
        <v>1416</v>
      </c>
      <c r="D45" s="9" t="s">
        <v>24</v>
      </c>
      <c r="E45" s="9" t="s">
        <v>31</v>
      </c>
      <c r="F45" s="9" t="s">
        <v>47</v>
      </c>
      <c r="G45" s="10" t="s">
        <v>27</v>
      </c>
      <c r="H45" s="11"/>
      <c r="I45" s="27"/>
      <c r="J45" s="27"/>
      <c r="K45" s="27"/>
      <c r="L45" s="27"/>
      <c r="M45" s="27"/>
      <c r="N45" s="13"/>
      <c r="O45" s="32"/>
      <c r="P45" s="33"/>
      <c r="Q45" s="34"/>
      <c r="R45" s="34"/>
      <c r="S45" s="34"/>
      <c r="T45" s="34"/>
      <c r="U45" s="35"/>
      <c r="V45" s="13"/>
      <c r="W45" s="13"/>
      <c r="X45" s="13"/>
    </row>
    <row r="46" spans="1:24" ht="12.75" x14ac:dyDescent="0.2">
      <c r="A46" s="50"/>
      <c r="B46" s="9">
        <v>46</v>
      </c>
      <c r="C46" s="9" t="s">
        <v>1426</v>
      </c>
      <c r="D46" s="9" t="s">
        <v>24</v>
      </c>
      <c r="E46" s="9" t="s">
        <v>31</v>
      </c>
      <c r="F46" s="9" t="s">
        <v>47</v>
      </c>
      <c r="G46" s="10" t="s">
        <v>27</v>
      </c>
      <c r="H46" s="11"/>
      <c r="I46" s="11"/>
      <c r="J46" s="11"/>
      <c r="K46" s="11"/>
      <c r="L46" s="11"/>
      <c r="M46" s="11"/>
      <c r="N46" s="13"/>
      <c r="O46" s="32"/>
      <c r="P46" s="33"/>
      <c r="Q46" s="34"/>
      <c r="R46" s="34"/>
      <c r="S46" s="34"/>
      <c r="T46" s="34"/>
      <c r="U46" s="35"/>
      <c r="V46" s="13"/>
      <c r="W46" s="13"/>
      <c r="X46" s="13"/>
    </row>
    <row r="47" spans="1:24" ht="12.75" x14ac:dyDescent="0.2">
      <c r="A47" s="57"/>
      <c r="B47" s="9">
        <v>46</v>
      </c>
      <c r="C47" s="9" t="s">
        <v>1405</v>
      </c>
      <c r="D47" s="9" t="s">
        <v>24</v>
      </c>
      <c r="E47" s="9" t="s">
        <v>31</v>
      </c>
      <c r="F47" s="9" t="s">
        <v>47</v>
      </c>
      <c r="G47" s="10" t="s">
        <v>27</v>
      </c>
      <c r="H47" s="11"/>
      <c r="I47" s="11"/>
      <c r="J47" s="11"/>
      <c r="K47" s="11"/>
      <c r="L47" s="11"/>
      <c r="M47" s="11"/>
      <c r="N47" s="13"/>
      <c r="O47" s="32"/>
      <c r="P47" s="33"/>
      <c r="Q47" s="34"/>
      <c r="R47" s="34"/>
      <c r="S47" s="34"/>
      <c r="T47" s="34"/>
      <c r="U47" s="35"/>
      <c r="V47" s="13"/>
      <c r="W47" s="13"/>
      <c r="X47" s="13"/>
    </row>
    <row r="48" spans="1:24" ht="12.75" x14ac:dyDescent="0.2">
      <c r="A48" s="48" t="s">
        <v>59</v>
      </c>
      <c r="B48" s="9">
        <v>46</v>
      </c>
      <c r="C48" s="9" t="s">
        <v>1416</v>
      </c>
      <c r="D48" s="9" t="s">
        <v>24</v>
      </c>
      <c r="E48" s="9" t="s">
        <v>31</v>
      </c>
      <c r="F48" s="9" t="s">
        <v>47</v>
      </c>
      <c r="G48" s="10" t="s">
        <v>27</v>
      </c>
      <c r="H48" s="11"/>
      <c r="I48" s="11"/>
      <c r="J48" s="11"/>
      <c r="K48" s="11"/>
      <c r="L48" s="11"/>
      <c r="M48" s="11"/>
      <c r="N48" s="13"/>
      <c r="O48" s="32"/>
      <c r="P48" s="33"/>
      <c r="Q48" s="34"/>
      <c r="R48" s="34"/>
      <c r="S48" s="34"/>
      <c r="T48" s="34"/>
      <c r="U48" s="35"/>
      <c r="V48" s="13"/>
      <c r="W48" s="13"/>
      <c r="X48" s="13"/>
    </row>
    <row r="49" spans="1:24" ht="12.75" x14ac:dyDescent="0.2">
      <c r="A49" s="51"/>
      <c r="B49" s="9">
        <v>46</v>
      </c>
      <c r="C49" s="9" t="s">
        <v>1427</v>
      </c>
      <c r="D49" s="9" t="s">
        <v>24</v>
      </c>
      <c r="E49" s="9" t="s">
        <v>31</v>
      </c>
      <c r="F49" s="9" t="s">
        <v>47</v>
      </c>
      <c r="G49" s="10" t="s">
        <v>27</v>
      </c>
      <c r="H49" s="11"/>
      <c r="I49" s="11"/>
      <c r="J49" s="11"/>
      <c r="K49" s="11"/>
      <c r="L49" s="11"/>
      <c r="M49" s="11"/>
      <c r="N49" s="13"/>
      <c r="O49" s="32"/>
      <c r="P49" s="33"/>
      <c r="Q49" s="34"/>
      <c r="R49" s="34"/>
      <c r="S49" s="34"/>
      <c r="T49" s="34"/>
      <c r="U49" s="35"/>
      <c r="V49" s="13"/>
      <c r="W49" s="13"/>
      <c r="X49" s="13"/>
    </row>
    <row r="50" spans="1:24" ht="12.75" x14ac:dyDescent="0.2">
      <c r="A50" s="49"/>
      <c r="B50" s="9">
        <v>46</v>
      </c>
      <c r="C50" s="9" t="s">
        <v>1428</v>
      </c>
      <c r="D50" s="9" t="s">
        <v>24</v>
      </c>
      <c r="E50" s="9" t="s">
        <v>31</v>
      </c>
      <c r="F50" s="9" t="s">
        <v>47</v>
      </c>
      <c r="G50" s="10" t="s">
        <v>27</v>
      </c>
      <c r="H50" s="11"/>
      <c r="I50" s="11"/>
      <c r="J50" s="11"/>
      <c r="K50" s="11"/>
      <c r="L50" s="11"/>
      <c r="M50" s="11"/>
      <c r="N50" s="13"/>
      <c r="O50" s="32"/>
      <c r="P50" s="33"/>
      <c r="Q50" s="34"/>
      <c r="R50" s="34"/>
      <c r="S50" s="34"/>
      <c r="T50" s="34"/>
      <c r="U50" s="35"/>
      <c r="V50" s="13"/>
      <c r="W50" s="13"/>
      <c r="X50" s="13"/>
    </row>
    <row r="51" spans="1:24" ht="12.75" x14ac:dyDescent="0.2">
      <c r="A51" s="48" t="s">
        <v>101</v>
      </c>
      <c r="B51" s="9">
        <v>46</v>
      </c>
      <c r="C51" s="9" t="s">
        <v>470</v>
      </c>
      <c r="D51" s="9" t="s">
        <v>24</v>
      </c>
      <c r="E51" s="9" t="s">
        <v>31</v>
      </c>
      <c r="F51" s="9" t="s">
        <v>26</v>
      </c>
      <c r="G51" s="10" t="s">
        <v>27</v>
      </c>
      <c r="H51" s="11"/>
      <c r="I51" s="11"/>
      <c r="J51" s="11"/>
      <c r="K51" s="11"/>
      <c r="L51" s="11"/>
      <c r="M51" s="11"/>
      <c r="N51" s="13"/>
      <c r="O51" s="32"/>
      <c r="P51" s="33"/>
      <c r="Q51" s="34"/>
      <c r="R51" s="34"/>
      <c r="S51" s="34"/>
      <c r="T51" s="34"/>
      <c r="U51" s="35"/>
      <c r="V51" s="13"/>
      <c r="W51" s="13"/>
      <c r="X51" s="13"/>
    </row>
    <row r="52" spans="1:24" ht="12.75" x14ac:dyDescent="0.2">
      <c r="A52" s="49"/>
      <c r="B52" s="9">
        <v>46</v>
      </c>
      <c r="C52" s="9" t="s">
        <v>1417</v>
      </c>
      <c r="D52" s="9" t="s">
        <v>24</v>
      </c>
      <c r="E52" s="9" t="s">
        <v>31</v>
      </c>
      <c r="F52" s="9" t="s">
        <v>26</v>
      </c>
      <c r="G52" s="10" t="s">
        <v>27</v>
      </c>
      <c r="H52" s="11"/>
      <c r="I52" s="11"/>
      <c r="J52" s="11"/>
      <c r="K52" s="11"/>
      <c r="L52" s="11"/>
      <c r="M52" s="11"/>
      <c r="N52" s="13"/>
      <c r="O52" s="32"/>
      <c r="P52" s="33"/>
      <c r="Q52" s="34"/>
      <c r="R52" s="34"/>
      <c r="S52" s="34"/>
      <c r="T52" s="34"/>
      <c r="U52" s="35"/>
      <c r="V52" s="13"/>
      <c r="W52" s="13"/>
      <c r="X52" s="13"/>
    </row>
    <row r="53" spans="1:24" ht="12.75" x14ac:dyDescent="0.2">
      <c r="A53" s="48" t="s">
        <v>62</v>
      </c>
      <c r="B53" s="9">
        <v>46</v>
      </c>
      <c r="C53" s="9" t="s">
        <v>1429</v>
      </c>
      <c r="D53" s="9" t="s">
        <v>24</v>
      </c>
      <c r="E53" s="9" t="s">
        <v>25</v>
      </c>
      <c r="F53" s="9" t="s">
        <v>26</v>
      </c>
      <c r="G53" s="10" t="s">
        <v>27</v>
      </c>
      <c r="H53" s="11"/>
      <c r="I53" s="11"/>
      <c r="J53" s="11"/>
      <c r="K53" s="11"/>
      <c r="L53" s="11"/>
      <c r="M53" s="11"/>
      <c r="N53" s="13"/>
      <c r="O53" s="32"/>
      <c r="P53" s="33"/>
      <c r="Q53" s="34"/>
      <c r="R53" s="34"/>
      <c r="S53" s="34"/>
      <c r="T53" s="34"/>
      <c r="U53" s="35"/>
      <c r="V53" s="13"/>
      <c r="W53" s="13"/>
      <c r="X53" s="13"/>
    </row>
    <row r="54" spans="1:24" ht="12.75" x14ac:dyDescent="0.2">
      <c r="A54" s="52"/>
      <c r="B54" s="9">
        <v>46</v>
      </c>
      <c r="C54" s="9" t="s">
        <v>1430</v>
      </c>
      <c r="D54" s="9" t="s">
        <v>24</v>
      </c>
      <c r="E54" s="9" t="s">
        <v>31</v>
      </c>
      <c r="F54" s="9" t="s">
        <v>26</v>
      </c>
      <c r="G54" s="10" t="s">
        <v>27</v>
      </c>
      <c r="H54" s="11"/>
      <c r="I54" s="11"/>
      <c r="J54" s="11"/>
      <c r="K54" s="11"/>
      <c r="L54" s="11"/>
      <c r="M54" s="11"/>
      <c r="N54" s="13"/>
      <c r="O54" s="32"/>
      <c r="P54" s="33"/>
      <c r="Q54" s="34"/>
      <c r="R54" s="34"/>
      <c r="S54" s="34"/>
      <c r="T54" s="34"/>
      <c r="U54" s="35"/>
      <c r="V54" s="13"/>
      <c r="W54" s="13"/>
      <c r="X54" s="13"/>
    </row>
    <row r="55" spans="1:24" ht="12.75" x14ac:dyDescent="0.2">
      <c r="A55" s="52"/>
      <c r="B55" s="9">
        <v>46</v>
      </c>
      <c r="C55" s="9" t="s">
        <v>1431</v>
      </c>
      <c r="D55" s="9" t="s">
        <v>24</v>
      </c>
      <c r="E55" s="9" t="s">
        <v>31</v>
      </c>
      <c r="F55" s="9" t="s">
        <v>26</v>
      </c>
      <c r="G55" s="10" t="s">
        <v>27</v>
      </c>
      <c r="H55" s="11"/>
      <c r="I55" s="11"/>
      <c r="J55" s="11"/>
      <c r="K55" s="11"/>
      <c r="L55" s="11"/>
      <c r="M55" s="11"/>
      <c r="N55" s="13"/>
      <c r="O55" s="32"/>
      <c r="P55" s="33"/>
      <c r="Q55" s="34"/>
      <c r="R55" s="34"/>
      <c r="S55" s="34"/>
      <c r="T55" s="34"/>
      <c r="U55" s="35"/>
      <c r="V55" s="13"/>
      <c r="W55" s="13"/>
      <c r="X55" s="13"/>
    </row>
    <row r="56" spans="1:24" ht="12.75" x14ac:dyDescent="0.2">
      <c r="A56" s="53"/>
      <c r="B56" s="9">
        <v>46</v>
      </c>
      <c r="C56" s="9" t="s">
        <v>1417</v>
      </c>
      <c r="D56" s="9" t="s">
        <v>24</v>
      </c>
      <c r="E56" s="9" t="s">
        <v>31</v>
      </c>
      <c r="F56" s="9" t="s">
        <v>26</v>
      </c>
      <c r="G56" s="10" t="s">
        <v>27</v>
      </c>
      <c r="H56" s="11"/>
      <c r="I56" s="11"/>
      <c r="J56" s="11"/>
      <c r="K56" s="11"/>
      <c r="L56" s="11"/>
      <c r="M56" s="11"/>
      <c r="N56" s="13"/>
      <c r="O56" s="32"/>
      <c r="P56" s="33"/>
      <c r="Q56" s="34"/>
      <c r="R56" s="34"/>
      <c r="S56" s="34"/>
      <c r="T56" s="34"/>
      <c r="U56" s="35"/>
      <c r="V56" s="13"/>
      <c r="W56" s="13"/>
      <c r="X56" s="13"/>
    </row>
    <row r="57" spans="1:24" ht="12.75" x14ac:dyDescent="0.2">
      <c r="A57" s="48" t="s">
        <v>70</v>
      </c>
      <c r="B57" s="9">
        <v>46</v>
      </c>
      <c r="C57" s="9" t="s">
        <v>1416</v>
      </c>
      <c r="D57" s="9" t="s">
        <v>24</v>
      </c>
      <c r="E57" s="9" t="s">
        <v>31</v>
      </c>
      <c r="F57" s="9" t="s">
        <v>47</v>
      </c>
      <c r="G57" s="10" t="s">
        <v>27</v>
      </c>
      <c r="H57" s="11"/>
      <c r="I57" s="11"/>
      <c r="J57" s="11"/>
      <c r="K57" s="11"/>
      <c r="L57" s="11"/>
      <c r="M57" s="11"/>
      <c r="N57" s="13"/>
      <c r="O57" s="32"/>
      <c r="P57" s="33"/>
      <c r="Q57" s="34"/>
      <c r="R57" s="34"/>
      <c r="S57" s="34"/>
      <c r="T57" s="34"/>
      <c r="U57" s="35"/>
      <c r="V57" s="13"/>
      <c r="W57" s="13"/>
      <c r="X57" s="13"/>
    </row>
    <row r="58" spans="1:24" ht="12.75" x14ac:dyDescent="0.2">
      <c r="A58" s="52"/>
      <c r="B58" s="9">
        <v>46</v>
      </c>
      <c r="C58" s="9" t="s">
        <v>1427</v>
      </c>
      <c r="D58" s="9" t="s">
        <v>24</v>
      </c>
      <c r="E58" s="9" t="s">
        <v>31</v>
      </c>
      <c r="F58" s="9" t="s">
        <v>47</v>
      </c>
      <c r="G58" s="10" t="s">
        <v>27</v>
      </c>
      <c r="H58" s="11"/>
      <c r="I58" s="11"/>
      <c r="J58" s="11"/>
      <c r="K58" s="11"/>
      <c r="L58" s="11"/>
      <c r="M58" s="11"/>
      <c r="N58" s="13"/>
      <c r="O58" s="32"/>
      <c r="P58" s="33"/>
      <c r="Q58" s="34"/>
      <c r="R58" s="34"/>
      <c r="S58" s="34"/>
      <c r="T58" s="34"/>
      <c r="U58" s="35"/>
      <c r="V58" s="13"/>
      <c r="W58" s="13"/>
      <c r="X58" s="13"/>
    </row>
    <row r="59" spans="1:24" ht="12.75" x14ac:dyDescent="0.2">
      <c r="A59" s="52"/>
      <c r="B59" s="9">
        <v>46</v>
      </c>
      <c r="C59" s="9" t="s">
        <v>1405</v>
      </c>
      <c r="D59" s="9" t="s">
        <v>24</v>
      </c>
      <c r="E59" s="9" t="s">
        <v>31</v>
      </c>
      <c r="F59" s="9" t="s">
        <v>47</v>
      </c>
      <c r="G59" s="10" t="s">
        <v>27</v>
      </c>
      <c r="H59" s="11"/>
      <c r="I59" s="11"/>
      <c r="J59" s="11"/>
      <c r="K59" s="11"/>
      <c r="L59" s="11"/>
      <c r="M59" s="11"/>
      <c r="N59" s="13"/>
      <c r="O59" s="32"/>
      <c r="P59" s="33"/>
      <c r="Q59" s="34"/>
      <c r="R59" s="34"/>
      <c r="S59" s="34"/>
      <c r="T59" s="34"/>
      <c r="U59" s="35"/>
      <c r="V59" s="13"/>
      <c r="W59" s="13"/>
      <c r="X59" s="13"/>
    </row>
    <row r="60" spans="1:24" ht="12.75" x14ac:dyDescent="0.2">
      <c r="A60" s="53"/>
      <c r="B60" s="9">
        <v>46</v>
      </c>
      <c r="C60" s="9" t="s">
        <v>1432</v>
      </c>
      <c r="D60" s="9" t="s">
        <v>24</v>
      </c>
      <c r="E60" s="9" t="s">
        <v>31</v>
      </c>
      <c r="F60" s="9" t="s">
        <v>47</v>
      </c>
      <c r="G60" s="10" t="s">
        <v>27</v>
      </c>
      <c r="H60" s="11"/>
      <c r="I60" s="11"/>
      <c r="J60" s="11"/>
      <c r="K60" s="11"/>
      <c r="L60" s="11"/>
      <c r="M60" s="11"/>
      <c r="N60" s="13"/>
      <c r="O60" s="32"/>
      <c r="P60" s="33"/>
      <c r="Q60" s="34"/>
      <c r="R60" s="34"/>
      <c r="S60" s="34"/>
      <c r="T60" s="34"/>
      <c r="U60" s="35"/>
      <c r="V60" s="13"/>
      <c r="W60" s="13"/>
      <c r="X60" s="13"/>
    </row>
    <row r="61" spans="1:24" ht="12.75" x14ac:dyDescent="0.2">
      <c r="A61" s="48" t="s">
        <v>73</v>
      </c>
      <c r="B61" s="9">
        <v>46</v>
      </c>
      <c r="C61" s="9" t="s">
        <v>1433</v>
      </c>
      <c r="D61" s="9" t="s">
        <v>24</v>
      </c>
      <c r="E61" s="9" t="s">
        <v>31</v>
      </c>
      <c r="F61" s="9" t="s">
        <v>26</v>
      </c>
      <c r="G61" s="10" t="s">
        <v>27</v>
      </c>
      <c r="H61" s="11"/>
      <c r="I61" s="11"/>
      <c r="J61" s="11"/>
      <c r="K61" s="11"/>
      <c r="L61" s="11"/>
      <c r="M61" s="11"/>
      <c r="N61" s="13"/>
      <c r="O61" s="32"/>
      <c r="P61" s="33"/>
      <c r="Q61" s="34"/>
      <c r="R61" s="34"/>
      <c r="S61" s="34"/>
      <c r="T61" s="34"/>
      <c r="U61" s="35"/>
      <c r="V61" s="13"/>
      <c r="W61" s="13"/>
      <c r="X61" s="13"/>
    </row>
    <row r="62" spans="1:24" ht="12.75" x14ac:dyDescent="0.2">
      <c r="A62" s="53"/>
      <c r="B62" s="9">
        <v>46</v>
      </c>
      <c r="C62" s="9" t="s">
        <v>1434</v>
      </c>
      <c r="D62" s="9" t="s">
        <v>24</v>
      </c>
      <c r="E62" s="9" t="s">
        <v>31</v>
      </c>
      <c r="F62" s="9" t="s">
        <v>26</v>
      </c>
      <c r="G62" s="10" t="s">
        <v>27</v>
      </c>
      <c r="H62" s="11"/>
      <c r="I62" s="11"/>
      <c r="J62" s="11"/>
      <c r="K62" s="11"/>
      <c r="L62" s="11"/>
      <c r="M62" s="11"/>
      <c r="N62" s="13"/>
      <c r="O62" s="32"/>
      <c r="P62" s="33"/>
      <c r="Q62" s="34"/>
      <c r="R62" s="34"/>
      <c r="S62" s="34"/>
      <c r="T62" s="34"/>
      <c r="U62" s="35"/>
      <c r="V62" s="13"/>
      <c r="W62" s="13"/>
      <c r="X62" s="13"/>
    </row>
    <row r="63" spans="1:24" ht="12.75" x14ac:dyDescent="0.2">
      <c r="A63" s="48" t="s">
        <v>77</v>
      </c>
      <c r="B63" s="9">
        <v>46</v>
      </c>
      <c r="C63" s="9" t="s">
        <v>1429</v>
      </c>
      <c r="D63" s="9" t="s">
        <v>24</v>
      </c>
      <c r="E63" s="9" t="s">
        <v>31</v>
      </c>
      <c r="F63" s="9" t="s">
        <v>26</v>
      </c>
      <c r="G63" s="10" t="s">
        <v>27</v>
      </c>
      <c r="H63" s="11"/>
      <c r="I63" s="11"/>
      <c r="J63" s="11"/>
      <c r="K63" s="11"/>
      <c r="L63" s="11"/>
      <c r="M63" s="11"/>
      <c r="N63" s="13"/>
      <c r="O63" s="32"/>
      <c r="P63" s="34"/>
      <c r="Q63" s="34"/>
      <c r="R63" s="34"/>
      <c r="S63" s="34"/>
      <c r="T63" s="34"/>
      <c r="U63" s="36"/>
      <c r="V63" s="13"/>
      <c r="W63" s="13"/>
      <c r="X63" s="13"/>
    </row>
    <row r="64" spans="1:24" ht="12.75" x14ac:dyDescent="0.2">
      <c r="A64" s="52"/>
      <c r="B64" s="9">
        <v>46</v>
      </c>
      <c r="C64" s="9" t="s">
        <v>1430</v>
      </c>
      <c r="D64" s="9" t="s">
        <v>24</v>
      </c>
      <c r="E64" s="9" t="s">
        <v>31</v>
      </c>
      <c r="F64" s="9" t="s">
        <v>26</v>
      </c>
      <c r="G64" s="10" t="s">
        <v>27</v>
      </c>
      <c r="H64" s="11"/>
      <c r="I64" s="11"/>
      <c r="J64" s="11"/>
      <c r="K64" s="11"/>
      <c r="L64" s="11"/>
      <c r="M64" s="11"/>
      <c r="N64" s="13"/>
      <c r="O64" s="32"/>
      <c r="P64" s="34"/>
      <c r="Q64" s="34"/>
      <c r="R64" s="34"/>
      <c r="S64" s="34"/>
      <c r="T64" s="34"/>
      <c r="U64" s="36"/>
      <c r="V64" s="13"/>
      <c r="W64" s="13"/>
      <c r="X64" s="13"/>
    </row>
    <row r="65" spans="1:24" ht="12.75" x14ac:dyDescent="0.2">
      <c r="A65" s="52"/>
      <c r="B65" s="9">
        <v>46</v>
      </c>
      <c r="C65" s="9" t="s">
        <v>1434</v>
      </c>
      <c r="D65" s="9" t="s">
        <v>24</v>
      </c>
      <c r="E65" s="9" t="s">
        <v>31</v>
      </c>
      <c r="F65" s="9" t="s">
        <v>26</v>
      </c>
      <c r="G65" s="10" t="s">
        <v>27</v>
      </c>
      <c r="H65" s="11"/>
      <c r="I65" s="11"/>
      <c r="J65" s="11"/>
      <c r="K65" s="11"/>
      <c r="L65" s="11"/>
      <c r="M65" s="11"/>
      <c r="N65" s="13"/>
      <c r="O65" s="32"/>
      <c r="P65" s="34"/>
      <c r="Q65" s="34"/>
      <c r="R65" s="34"/>
      <c r="S65" s="34"/>
      <c r="T65" s="34"/>
      <c r="U65" s="36"/>
      <c r="V65" s="13"/>
      <c r="W65" s="13"/>
      <c r="X65" s="13"/>
    </row>
    <row r="66" spans="1:24" ht="12.75" x14ac:dyDescent="0.2">
      <c r="A66" s="53"/>
      <c r="B66" s="9">
        <v>46</v>
      </c>
      <c r="C66" s="9" t="s">
        <v>1433</v>
      </c>
      <c r="D66" s="9" t="s">
        <v>24</v>
      </c>
      <c r="E66" s="9" t="s">
        <v>31</v>
      </c>
      <c r="F66" s="9" t="s">
        <v>26</v>
      </c>
      <c r="G66" s="10" t="s">
        <v>27</v>
      </c>
      <c r="H66" s="11"/>
      <c r="I66" s="11"/>
      <c r="J66" s="11"/>
      <c r="K66" s="11"/>
      <c r="L66" s="11"/>
      <c r="M66" s="11"/>
      <c r="N66" s="13"/>
      <c r="O66" s="32"/>
      <c r="P66" s="34"/>
      <c r="Q66" s="34"/>
      <c r="R66" s="34"/>
      <c r="S66" s="34"/>
      <c r="T66" s="34"/>
      <c r="U66" s="36"/>
      <c r="V66" s="13"/>
      <c r="W66" s="13"/>
      <c r="X66" s="13"/>
    </row>
    <row r="67" spans="1:24" ht="12.75" x14ac:dyDescent="0.2">
      <c r="A67" s="48" t="s">
        <v>79</v>
      </c>
      <c r="B67" s="9">
        <v>46</v>
      </c>
      <c r="C67" s="12" t="s">
        <v>1435</v>
      </c>
      <c r="D67" s="12" t="s">
        <v>24</v>
      </c>
      <c r="E67" s="12" t="s">
        <v>25</v>
      </c>
      <c r="F67" s="12" t="s">
        <v>26</v>
      </c>
      <c r="G67" s="10" t="s">
        <v>27</v>
      </c>
      <c r="H67" s="13"/>
      <c r="I67" s="13"/>
      <c r="J67" s="13"/>
      <c r="K67" s="13"/>
      <c r="L67" s="13"/>
      <c r="M67" s="13"/>
      <c r="N67" s="13"/>
      <c r="O67" s="32"/>
      <c r="P67" s="34"/>
      <c r="Q67" s="34"/>
      <c r="R67" s="34"/>
      <c r="S67" s="34"/>
      <c r="T67" s="34"/>
      <c r="U67" s="36"/>
      <c r="V67" s="13"/>
      <c r="W67" s="13"/>
      <c r="X67" s="13"/>
    </row>
    <row r="68" spans="1:24" ht="12.75" x14ac:dyDescent="0.2">
      <c r="A68" s="52"/>
      <c r="B68" s="9">
        <v>46</v>
      </c>
      <c r="C68" s="12" t="s">
        <v>1436</v>
      </c>
      <c r="D68" s="12" t="s">
        <v>24</v>
      </c>
      <c r="E68" s="12" t="s">
        <v>25</v>
      </c>
      <c r="F68" s="12" t="s">
        <v>26</v>
      </c>
      <c r="G68" s="10" t="s">
        <v>27</v>
      </c>
      <c r="H68" s="13"/>
      <c r="I68" s="13"/>
      <c r="J68" s="13"/>
      <c r="K68" s="13"/>
      <c r="L68" s="13"/>
      <c r="M68" s="13"/>
      <c r="N68" s="13"/>
      <c r="O68" s="32"/>
      <c r="P68" s="34"/>
      <c r="Q68" s="34"/>
      <c r="R68" s="34"/>
      <c r="S68" s="34"/>
      <c r="T68" s="34"/>
      <c r="U68" s="36"/>
      <c r="V68" s="13"/>
      <c r="W68" s="13"/>
      <c r="X68" s="13"/>
    </row>
    <row r="69" spans="1:24" ht="12.75" x14ac:dyDescent="0.2">
      <c r="A69" s="53"/>
      <c r="B69" s="9">
        <v>46</v>
      </c>
      <c r="C69" s="12" t="s">
        <v>1437</v>
      </c>
      <c r="D69" s="12" t="s">
        <v>24</v>
      </c>
      <c r="E69" s="12" t="s">
        <v>25</v>
      </c>
      <c r="F69" s="12" t="s">
        <v>26</v>
      </c>
      <c r="G69" s="10" t="s">
        <v>27</v>
      </c>
      <c r="H69" s="13"/>
      <c r="I69" s="13"/>
      <c r="J69" s="13"/>
      <c r="K69" s="13"/>
      <c r="L69" s="13"/>
      <c r="M69" s="13"/>
      <c r="N69" s="13"/>
      <c r="O69" s="32"/>
      <c r="P69" s="34"/>
      <c r="Q69" s="34"/>
      <c r="R69" s="34"/>
      <c r="S69" s="34"/>
      <c r="T69" s="34"/>
      <c r="U69" s="36"/>
      <c r="V69" s="13"/>
      <c r="W69" s="13"/>
      <c r="X69" s="13"/>
    </row>
    <row r="70" spans="1:24" ht="12.75" x14ac:dyDescent="0.2">
      <c r="A70" s="48" t="s">
        <v>83</v>
      </c>
      <c r="B70" s="9">
        <v>46</v>
      </c>
      <c r="C70" s="9" t="s">
        <v>1429</v>
      </c>
      <c r="D70" s="9" t="s">
        <v>24</v>
      </c>
      <c r="E70" s="9" t="s">
        <v>25</v>
      </c>
      <c r="F70" s="9" t="s">
        <v>26</v>
      </c>
      <c r="G70" s="10" t="s">
        <v>27</v>
      </c>
      <c r="H70" s="13"/>
      <c r="I70" s="13"/>
      <c r="J70" s="13"/>
      <c r="K70" s="13"/>
      <c r="L70" s="13"/>
      <c r="M70" s="13"/>
      <c r="N70" s="13"/>
      <c r="O70" s="32"/>
      <c r="P70" s="34"/>
      <c r="Q70" s="34"/>
      <c r="R70" s="34"/>
      <c r="S70" s="34"/>
      <c r="T70" s="34"/>
      <c r="U70" s="36"/>
      <c r="V70" s="13"/>
      <c r="W70" s="13"/>
      <c r="X70" s="13"/>
    </row>
    <row r="71" spans="1:24" ht="12.75" x14ac:dyDescent="0.2">
      <c r="A71" s="52"/>
      <c r="B71" s="9">
        <v>46</v>
      </c>
      <c r="C71" s="9" t="s">
        <v>1438</v>
      </c>
      <c r="D71" s="9" t="s">
        <v>24</v>
      </c>
      <c r="E71" s="9" t="s">
        <v>31</v>
      </c>
      <c r="F71" s="9" t="s">
        <v>26</v>
      </c>
      <c r="G71" s="10" t="s">
        <v>27</v>
      </c>
      <c r="H71" s="13"/>
      <c r="I71" s="13"/>
      <c r="J71" s="13"/>
      <c r="K71" s="13"/>
      <c r="L71" s="13"/>
      <c r="M71" s="13"/>
      <c r="N71" s="13"/>
      <c r="O71" s="32"/>
      <c r="P71" s="34"/>
      <c r="Q71" s="34"/>
      <c r="R71" s="34"/>
      <c r="S71" s="34"/>
      <c r="T71" s="34"/>
      <c r="U71" s="36"/>
      <c r="V71" s="13"/>
      <c r="W71" s="13"/>
      <c r="X71" s="13"/>
    </row>
    <row r="72" spans="1:24" ht="12.75" x14ac:dyDescent="0.2">
      <c r="A72" s="52"/>
      <c r="B72" s="9">
        <v>46</v>
      </c>
      <c r="C72" s="9" t="s">
        <v>1406</v>
      </c>
      <c r="D72" s="9" t="s">
        <v>24</v>
      </c>
      <c r="E72" s="9" t="s">
        <v>31</v>
      </c>
      <c r="F72" s="9" t="s">
        <v>26</v>
      </c>
      <c r="G72" s="10" t="s">
        <v>27</v>
      </c>
      <c r="H72" s="13"/>
      <c r="I72" s="13"/>
      <c r="J72" s="13"/>
      <c r="K72" s="13"/>
      <c r="L72" s="13"/>
      <c r="M72" s="13"/>
      <c r="N72" s="13"/>
      <c r="O72" s="32"/>
      <c r="P72" s="34"/>
      <c r="Q72" s="34"/>
      <c r="R72" s="34"/>
      <c r="S72" s="34"/>
      <c r="T72" s="34"/>
      <c r="U72" s="36"/>
      <c r="V72" s="13"/>
      <c r="W72" s="13"/>
      <c r="X72" s="13"/>
    </row>
    <row r="73" spans="1:24" ht="12.75" x14ac:dyDescent="0.2">
      <c r="A73" s="52"/>
      <c r="B73" s="9">
        <v>46</v>
      </c>
      <c r="C73" s="9" t="s">
        <v>1439</v>
      </c>
      <c r="D73" s="9" t="s">
        <v>24</v>
      </c>
      <c r="E73" s="9" t="s">
        <v>31</v>
      </c>
      <c r="F73" s="9" t="s">
        <v>26</v>
      </c>
      <c r="G73" s="10" t="s">
        <v>27</v>
      </c>
      <c r="H73" s="13"/>
      <c r="I73" s="13"/>
      <c r="J73" s="13"/>
      <c r="K73" s="13"/>
      <c r="L73" s="13"/>
      <c r="M73" s="13"/>
      <c r="N73" s="13"/>
      <c r="O73" s="32"/>
      <c r="P73" s="34"/>
      <c r="Q73" s="34"/>
      <c r="R73" s="34"/>
      <c r="S73" s="34"/>
      <c r="T73" s="34"/>
      <c r="U73" s="36"/>
      <c r="V73" s="13"/>
      <c r="W73" s="13"/>
      <c r="X73" s="13"/>
    </row>
    <row r="74" spans="1:24" ht="12.75" x14ac:dyDescent="0.2">
      <c r="A74" s="52"/>
      <c r="B74" s="9">
        <v>46</v>
      </c>
      <c r="C74" s="9" t="s">
        <v>1440</v>
      </c>
      <c r="D74" s="9" t="s">
        <v>24</v>
      </c>
      <c r="E74" s="9" t="s">
        <v>31</v>
      </c>
      <c r="F74" s="9" t="s">
        <v>26</v>
      </c>
      <c r="G74" s="10" t="s">
        <v>27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</row>
    <row r="75" spans="1:24" ht="12.75" x14ac:dyDescent="0.2">
      <c r="A75" s="53"/>
      <c r="B75" s="9">
        <v>46</v>
      </c>
      <c r="C75" s="9" t="s">
        <v>1441</v>
      </c>
      <c r="D75" s="9" t="s">
        <v>24</v>
      </c>
      <c r="E75" s="9" t="s">
        <v>31</v>
      </c>
      <c r="F75" s="9" t="s">
        <v>26</v>
      </c>
      <c r="G75" s="10" t="s">
        <v>27</v>
      </c>
      <c r="H75" s="13"/>
      <c r="I75" s="27"/>
      <c r="J75" s="27"/>
      <c r="K75" s="27"/>
      <c r="L75" s="27"/>
      <c r="M75" s="27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</row>
    <row r="76" spans="1:24" ht="12.75" x14ac:dyDescent="0.2">
      <c r="A76" s="48" t="s">
        <v>85</v>
      </c>
      <c r="B76" s="9">
        <v>46</v>
      </c>
      <c r="C76" s="9" t="s">
        <v>1429</v>
      </c>
      <c r="D76" s="9" t="s">
        <v>24</v>
      </c>
      <c r="E76" s="9" t="s">
        <v>31</v>
      </c>
      <c r="F76" s="9" t="s">
        <v>26</v>
      </c>
      <c r="G76" s="10" t="s">
        <v>27</v>
      </c>
      <c r="H76" s="13"/>
      <c r="I76" s="27"/>
      <c r="J76" s="27"/>
      <c r="K76" s="27"/>
      <c r="L76" s="27"/>
      <c r="M76" s="27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</row>
    <row r="77" spans="1:24" ht="12.75" x14ac:dyDescent="0.2">
      <c r="A77" s="53"/>
      <c r="B77" s="9">
        <v>46</v>
      </c>
      <c r="C77" s="9" t="s">
        <v>1438</v>
      </c>
      <c r="D77" s="9" t="s">
        <v>24</v>
      </c>
      <c r="E77" s="9" t="s">
        <v>31</v>
      </c>
      <c r="F77" s="9" t="s">
        <v>26</v>
      </c>
      <c r="G77" s="10" t="s">
        <v>27</v>
      </c>
      <c r="H77" s="13"/>
      <c r="I77" s="27"/>
      <c r="J77" s="27"/>
      <c r="K77" s="27"/>
      <c r="L77" s="27"/>
      <c r="M77" s="27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</row>
    <row r="78" spans="1:24" ht="12.75" x14ac:dyDescent="0.2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</row>
    <row r="79" spans="1:24" ht="12.75" x14ac:dyDescent="0.2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</row>
    <row r="80" spans="1:24" ht="12.75" x14ac:dyDescent="0.2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</row>
    <row r="81" spans="1:24" ht="12.75" x14ac:dyDescent="0.2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</row>
    <row r="82" spans="1:24" ht="12.75" x14ac:dyDescent="0.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</row>
    <row r="83" spans="1:24" ht="12.75" x14ac:dyDescent="0.2"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</row>
    <row r="84" spans="1:24" ht="12.75" x14ac:dyDescent="0.2"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</row>
    <row r="85" spans="1:24" ht="12.75" x14ac:dyDescent="0.2"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</row>
    <row r="86" spans="1:24" ht="12.75" x14ac:dyDescent="0.2"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</row>
    <row r="87" spans="1:24" ht="12.75" x14ac:dyDescent="0.2"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</row>
    <row r="88" spans="1:24" ht="12.75" x14ac:dyDescent="0.2"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</row>
    <row r="89" spans="1:24" ht="12.75" x14ac:dyDescent="0.2"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</row>
    <row r="90" spans="1:24" ht="12.75" x14ac:dyDescent="0.2"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</row>
    <row r="91" spans="1:24" ht="12.75" x14ac:dyDescent="0.2"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</row>
  </sheetData>
  <mergeCells count="18">
    <mergeCell ref="A76:A77"/>
    <mergeCell ref="A39:A44"/>
    <mergeCell ref="A45:A47"/>
    <mergeCell ref="A48:A50"/>
    <mergeCell ref="A51:A52"/>
    <mergeCell ref="A53:A56"/>
    <mergeCell ref="A57:A60"/>
    <mergeCell ref="A61:A62"/>
    <mergeCell ref="A26:A29"/>
    <mergeCell ref="A30:A38"/>
    <mergeCell ref="A63:A66"/>
    <mergeCell ref="A67:A69"/>
    <mergeCell ref="A70:A75"/>
    <mergeCell ref="A1:G1"/>
    <mergeCell ref="A9:A12"/>
    <mergeCell ref="A13:A15"/>
    <mergeCell ref="A16:A18"/>
    <mergeCell ref="A19:A25"/>
  </mergeCells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M63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13" ht="15.75" customHeight="1" x14ac:dyDescent="0.25">
      <c r="A1" s="54" t="s">
        <v>0</v>
      </c>
      <c r="B1" s="55"/>
      <c r="C1" s="55"/>
      <c r="D1" s="55"/>
      <c r="E1" s="55"/>
      <c r="F1" s="55"/>
      <c r="G1" s="56"/>
    </row>
    <row r="2" spans="1:13" x14ac:dyDescent="0.2">
      <c r="A2" s="1"/>
      <c r="B2" s="2"/>
      <c r="C2" s="2"/>
      <c r="D2" s="2"/>
      <c r="E2" s="2"/>
      <c r="F2" s="2"/>
      <c r="G2" s="2"/>
    </row>
    <row r="3" spans="1:13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13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13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13" x14ac:dyDescent="0.2">
      <c r="A6" s="1"/>
      <c r="B6" s="2"/>
      <c r="C6" s="2"/>
      <c r="D6" s="2"/>
      <c r="E6" s="2"/>
      <c r="F6" s="2"/>
      <c r="G6" s="2"/>
    </row>
    <row r="7" spans="1:13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13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13" x14ac:dyDescent="0.2">
      <c r="A9" s="58" t="s">
        <v>20</v>
      </c>
      <c r="B9" s="12">
        <v>47</v>
      </c>
      <c r="C9" s="12" t="s">
        <v>1442</v>
      </c>
      <c r="D9" s="12" t="s">
        <v>24</v>
      </c>
      <c r="E9" s="12" t="s">
        <v>25</v>
      </c>
      <c r="F9" s="12" t="s">
        <v>26</v>
      </c>
      <c r="G9" s="10" t="s">
        <v>27</v>
      </c>
      <c r="H9" s="11"/>
      <c r="I9" s="11"/>
      <c r="J9" s="11"/>
      <c r="K9" s="11"/>
      <c r="L9" s="11"/>
      <c r="M9" s="11"/>
    </row>
    <row r="10" spans="1:13" x14ac:dyDescent="0.2">
      <c r="A10" s="52"/>
      <c r="B10" s="12">
        <v>47</v>
      </c>
      <c r="C10" s="12" t="s">
        <v>1443</v>
      </c>
      <c r="D10" s="12" t="s">
        <v>24</v>
      </c>
      <c r="E10" s="12" t="s">
        <v>25</v>
      </c>
      <c r="F10" s="12" t="s">
        <v>26</v>
      </c>
      <c r="G10" s="10" t="s">
        <v>27</v>
      </c>
      <c r="H10" s="11"/>
      <c r="I10" s="11"/>
      <c r="J10" s="11"/>
      <c r="K10" s="11"/>
      <c r="L10" s="11"/>
      <c r="M10" s="11"/>
    </row>
    <row r="11" spans="1:13" x14ac:dyDescent="0.2">
      <c r="A11" s="53"/>
      <c r="B11" s="12">
        <v>47</v>
      </c>
      <c r="C11" s="12" t="s">
        <v>1413</v>
      </c>
      <c r="D11" s="12" t="s">
        <v>24</v>
      </c>
      <c r="E11" s="12" t="s">
        <v>25</v>
      </c>
      <c r="F11" s="12" t="s">
        <v>26</v>
      </c>
      <c r="G11" s="10" t="s">
        <v>27</v>
      </c>
      <c r="H11" s="11"/>
      <c r="I11" s="11"/>
      <c r="J11" s="11"/>
      <c r="K11" s="11"/>
      <c r="L11" s="11"/>
      <c r="M11" s="11"/>
    </row>
    <row r="12" spans="1:13" x14ac:dyDescent="0.2">
      <c r="A12" s="48" t="s">
        <v>22</v>
      </c>
      <c r="B12" s="9">
        <v>47</v>
      </c>
      <c r="C12" s="9" t="s">
        <v>1444</v>
      </c>
      <c r="D12" s="9" t="s">
        <v>24</v>
      </c>
      <c r="E12" s="9" t="s">
        <v>31</v>
      </c>
      <c r="F12" s="9" t="s">
        <v>26</v>
      </c>
      <c r="G12" s="10" t="s">
        <v>27</v>
      </c>
      <c r="H12" s="11"/>
      <c r="I12" s="11"/>
      <c r="J12" s="11"/>
      <c r="K12" s="11"/>
      <c r="L12" s="11"/>
      <c r="M12" s="11"/>
    </row>
    <row r="13" spans="1:13" x14ac:dyDescent="0.2">
      <c r="A13" s="52"/>
      <c r="B13" s="9">
        <v>47</v>
      </c>
      <c r="C13" s="9" t="s">
        <v>1445</v>
      </c>
      <c r="D13" s="9" t="s">
        <v>24</v>
      </c>
      <c r="E13" s="9" t="s">
        <v>31</v>
      </c>
      <c r="F13" s="9" t="s">
        <v>26</v>
      </c>
      <c r="G13" s="10" t="s">
        <v>27</v>
      </c>
      <c r="H13" s="11"/>
      <c r="I13" s="11"/>
      <c r="J13" s="11"/>
      <c r="K13" s="11"/>
      <c r="L13" s="11"/>
      <c r="M13" s="11"/>
    </row>
    <row r="14" spans="1:13" x14ac:dyDescent="0.2">
      <c r="A14" s="53"/>
      <c r="B14" s="9">
        <v>47</v>
      </c>
      <c r="C14" s="9" t="s">
        <v>1446</v>
      </c>
      <c r="D14" s="9" t="s">
        <v>24</v>
      </c>
      <c r="E14" s="9" t="s">
        <v>31</v>
      </c>
      <c r="F14" s="9" t="s">
        <v>26</v>
      </c>
      <c r="G14" s="10" t="s">
        <v>27</v>
      </c>
      <c r="H14" s="11"/>
      <c r="I14" s="11"/>
      <c r="J14" s="11"/>
      <c r="K14" s="11"/>
      <c r="L14" s="11"/>
      <c r="M14" s="11"/>
    </row>
    <row r="15" spans="1:13" x14ac:dyDescent="0.2">
      <c r="A15" s="9" t="s">
        <v>28</v>
      </c>
      <c r="B15" s="9">
        <v>47</v>
      </c>
      <c r="C15" s="9" t="s">
        <v>21</v>
      </c>
      <c r="D15" s="9" t="s">
        <v>21</v>
      </c>
      <c r="E15" s="9" t="s">
        <v>21</v>
      </c>
      <c r="F15" s="9" t="s">
        <v>21</v>
      </c>
      <c r="G15" s="10" t="s">
        <v>21</v>
      </c>
      <c r="H15" s="11"/>
      <c r="I15" s="11"/>
      <c r="J15" s="11"/>
      <c r="K15" s="11"/>
      <c r="L15" s="11"/>
      <c r="M15" s="11"/>
    </row>
    <row r="16" spans="1:13" x14ac:dyDescent="0.2">
      <c r="A16" s="48" t="s">
        <v>33</v>
      </c>
      <c r="B16" s="9">
        <v>47</v>
      </c>
      <c r="C16" s="9" t="s">
        <v>1447</v>
      </c>
      <c r="D16" s="9" t="s">
        <v>24</v>
      </c>
      <c r="E16" s="9" t="s">
        <v>25</v>
      </c>
      <c r="F16" s="9" t="s">
        <v>26</v>
      </c>
      <c r="G16" s="10" t="s">
        <v>27</v>
      </c>
      <c r="H16" s="11"/>
      <c r="I16" s="11"/>
      <c r="J16" s="11"/>
      <c r="K16" s="11"/>
      <c r="L16" s="11"/>
      <c r="M16" s="11"/>
    </row>
    <row r="17" spans="1:13" x14ac:dyDescent="0.2">
      <c r="A17" s="52"/>
      <c r="B17" s="9">
        <v>47</v>
      </c>
      <c r="C17" s="9" t="s">
        <v>1448</v>
      </c>
      <c r="D17" s="9" t="s">
        <v>24</v>
      </c>
      <c r="E17" s="9" t="s">
        <v>25</v>
      </c>
      <c r="F17" s="9" t="s">
        <v>26</v>
      </c>
      <c r="G17" s="10" t="s">
        <v>27</v>
      </c>
      <c r="H17" s="11"/>
      <c r="I17" s="11"/>
      <c r="J17" s="11"/>
      <c r="K17" s="11"/>
      <c r="L17" s="11"/>
      <c r="M17" s="11"/>
    </row>
    <row r="18" spans="1:13" x14ac:dyDescent="0.2">
      <c r="A18" s="52"/>
      <c r="B18" s="9">
        <v>47</v>
      </c>
      <c r="C18" s="9" t="s">
        <v>1403</v>
      </c>
      <c r="D18" s="9" t="s">
        <v>24</v>
      </c>
      <c r="E18" s="9" t="s">
        <v>25</v>
      </c>
      <c r="F18" s="9" t="s">
        <v>26</v>
      </c>
      <c r="G18" s="10" t="s">
        <v>27</v>
      </c>
      <c r="H18" s="11"/>
      <c r="I18" s="11"/>
      <c r="J18" s="11"/>
      <c r="K18" s="11"/>
      <c r="L18" s="11"/>
      <c r="M18" s="11"/>
    </row>
    <row r="19" spans="1:13" x14ac:dyDescent="0.2">
      <c r="A19" s="49"/>
      <c r="B19" s="9">
        <v>47</v>
      </c>
      <c r="C19" s="9" t="s">
        <v>1449</v>
      </c>
      <c r="D19" s="9" t="s">
        <v>24</v>
      </c>
      <c r="E19" s="9" t="s">
        <v>25</v>
      </c>
      <c r="F19" s="9" t="s">
        <v>26</v>
      </c>
      <c r="G19" s="10" t="s">
        <v>27</v>
      </c>
      <c r="H19" s="11"/>
      <c r="I19" s="11"/>
      <c r="J19" s="11"/>
      <c r="K19" s="11"/>
      <c r="L19" s="11"/>
      <c r="M19" s="11"/>
    </row>
    <row r="20" spans="1:13" x14ac:dyDescent="0.2">
      <c r="A20" s="48" t="s">
        <v>38</v>
      </c>
      <c r="B20" s="9">
        <v>47</v>
      </c>
      <c r="C20" s="9" t="s">
        <v>1419</v>
      </c>
      <c r="D20" s="9" t="s">
        <v>24</v>
      </c>
      <c r="E20" s="9" t="s">
        <v>25</v>
      </c>
      <c r="F20" s="9" t="s">
        <v>26</v>
      </c>
      <c r="G20" s="10" t="s">
        <v>27</v>
      </c>
      <c r="H20" s="11"/>
      <c r="I20" s="11"/>
      <c r="J20" s="11"/>
      <c r="K20" s="11"/>
      <c r="L20" s="11"/>
      <c r="M20" s="11"/>
    </row>
    <row r="21" spans="1:13" x14ac:dyDescent="0.2">
      <c r="A21" s="50"/>
      <c r="B21" s="9">
        <v>47</v>
      </c>
      <c r="C21" s="9" t="s">
        <v>1450</v>
      </c>
      <c r="D21" s="9" t="s">
        <v>24</v>
      </c>
      <c r="E21" s="9" t="s">
        <v>25</v>
      </c>
      <c r="F21" s="9" t="s">
        <v>26</v>
      </c>
      <c r="G21" s="10" t="s">
        <v>27</v>
      </c>
      <c r="H21" s="11"/>
      <c r="I21" s="11"/>
      <c r="J21" s="11"/>
      <c r="K21" s="11"/>
      <c r="L21" s="11"/>
      <c r="M21" s="11"/>
    </row>
    <row r="22" spans="1:13" x14ac:dyDescent="0.2">
      <c r="A22" s="57"/>
      <c r="B22" s="9">
        <v>47</v>
      </c>
      <c r="C22" s="9" t="s">
        <v>1451</v>
      </c>
      <c r="D22" s="9" t="s">
        <v>24</v>
      </c>
      <c r="E22" s="9" t="s">
        <v>31</v>
      </c>
      <c r="F22" s="9" t="s">
        <v>26</v>
      </c>
      <c r="G22" s="10" t="s">
        <v>27</v>
      </c>
      <c r="H22" s="11"/>
      <c r="I22" s="11"/>
      <c r="J22" s="11"/>
      <c r="K22" s="11"/>
      <c r="L22" s="11"/>
      <c r="M22" s="11"/>
    </row>
    <row r="23" spans="1:13" x14ac:dyDescent="0.2">
      <c r="A23" s="48" t="s">
        <v>46</v>
      </c>
      <c r="B23" s="9">
        <v>47</v>
      </c>
      <c r="C23" s="9" t="s">
        <v>1452</v>
      </c>
      <c r="D23" s="9" t="s">
        <v>24</v>
      </c>
      <c r="E23" s="9" t="s">
        <v>31</v>
      </c>
      <c r="F23" s="9" t="s">
        <v>47</v>
      </c>
      <c r="G23" s="10" t="s">
        <v>27</v>
      </c>
      <c r="H23" s="11"/>
      <c r="I23" s="11"/>
      <c r="J23" s="11"/>
      <c r="K23" s="11"/>
      <c r="L23" s="11"/>
      <c r="M23" s="11"/>
    </row>
    <row r="24" spans="1:13" x14ac:dyDescent="0.2">
      <c r="A24" s="51"/>
      <c r="B24" s="9">
        <v>47</v>
      </c>
      <c r="C24" s="9" t="s">
        <v>1453</v>
      </c>
      <c r="D24" s="9" t="s">
        <v>24</v>
      </c>
      <c r="E24" s="9" t="s">
        <v>31</v>
      </c>
      <c r="F24" s="9" t="s">
        <v>47</v>
      </c>
      <c r="G24" s="10" t="s">
        <v>27</v>
      </c>
      <c r="H24" s="11"/>
      <c r="I24" s="11"/>
      <c r="J24" s="11"/>
      <c r="K24" s="11"/>
      <c r="L24" s="11"/>
      <c r="M24" s="11"/>
    </row>
    <row r="25" spans="1:13" x14ac:dyDescent="0.2">
      <c r="A25" s="50"/>
      <c r="B25" s="9">
        <v>47</v>
      </c>
      <c r="C25" s="9" t="s">
        <v>1454</v>
      </c>
      <c r="D25" s="9" t="s">
        <v>24</v>
      </c>
      <c r="E25" s="9" t="s">
        <v>31</v>
      </c>
      <c r="F25" s="9" t="s">
        <v>47</v>
      </c>
      <c r="G25" s="10" t="s">
        <v>27</v>
      </c>
      <c r="H25" s="11"/>
      <c r="I25" s="11"/>
      <c r="J25" s="11"/>
      <c r="K25" s="11"/>
      <c r="L25" s="11"/>
      <c r="M25" s="11"/>
    </row>
    <row r="26" spans="1:13" x14ac:dyDescent="0.2">
      <c r="A26" s="51"/>
      <c r="B26" s="9">
        <v>47</v>
      </c>
      <c r="C26" s="9" t="s">
        <v>1455</v>
      </c>
      <c r="D26" s="9" t="s">
        <v>24</v>
      </c>
      <c r="E26" s="9" t="s">
        <v>31</v>
      </c>
      <c r="F26" s="9" t="s">
        <v>47</v>
      </c>
      <c r="G26" s="10" t="s">
        <v>27</v>
      </c>
      <c r="H26" s="11"/>
      <c r="I26" s="11"/>
      <c r="J26" s="11"/>
      <c r="K26" s="11"/>
      <c r="L26" s="11"/>
      <c r="M26" s="11"/>
    </row>
    <row r="27" spans="1:13" x14ac:dyDescent="0.2">
      <c r="A27" s="50"/>
      <c r="B27" s="9">
        <v>47</v>
      </c>
      <c r="C27" s="9" t="s">
        <v>1445</v>
      </c>
      <c r="D27" s="9" t="s">
        <v>24</v>
      </c>
      <c r="E27" s="9" t="s">
        <v>31</v>
      </c>
      <c r="F27" s="9" t="s">
        <v>47</v>
      </c>
      <c r="G27" s="10" t="s">
        <v>27</v>
      </c>
      <c r="H27" s="11"/>
      <c r="I27" s="11"/>
      <c r="J27" s="11"/>
      <c r="K27" s="11"/>
      <c r="L27" s="11"/>
      <c r="M27" s="11"/>
    </row>
    <row r="28" spans="1:13" x14ac:dyDescent="0.2">
      <c r="A28" s="51"/>
      <c r="B28" s="9">
        <v>47</v>
      </c>
      <c r="C28" s="9" t="s">
        <v>1456</v>
      </c>
      <c r="D28" s="9" t="s">
        <v>24</v>
      </c>
      <c r="E28" s="9" t="s">
        <v>31</v>
      </c>
      <c r="F28" s="9" t="s">
        <v>47</v>
      </c>
      <c r="G28" s="10" t="s">
        <v>27</v>
      </c>
      <c r="H28" s="11"/>
      <c r="I28" s="11"/>
      <c r="J28" s="11"/>
      <c r="K28" s="11"/>
      <c r="L28" s="11"/>
      <c r="M28" s="11"/>
    </row>
    <row r="29" spans="1:13" x14ac:dyDescent="0.2">
      <c r="A29" s="50"/>
      <c r="B29" s="9">
        <v>47</v>
      </c>
      <c r="C29" s="9" t="s">
        <v>1457</v>
      </c>
      <c r="D29" s="9" t="s">
        <v>24</v>
      </c>
      <c r="E29" s="9" t="s">
        <v>31</v>
      </c>
      <c r="F29" s="9" t="s">
        <v>47</v>
      </c>
      <c r="G29" s="10" t="s">
        <v>27</v>
      </c>
      <c r="H29" s="11"/>
      <c r="I29" s="11"/>
      <c r="J29" s="11"/>
      <c r="K29" s="11"/>
      <c r="L29" s="11"/>
      <c r="M29" s="11"/>
    </row>
    <row r="30" spans="1:13" x14ac:dyDescent="0.2">
      <c r="A30" s="51"/>
      <c r="B30" s="9">
        <v>47</v>
      </c>
      <c r="C30" s="9" t="s">
        <v>1458</v>
      </c>
      <c r="D30" s="9" t="s">
        <v>24</v>
      </c>
      <c r="E30" s="9" t="s">
        <v>31</v>
      </c>
      <c r="F30" s="9" t="s">
        <v>47</v>
      </c>
      <c r="G30" s="10" t="s">
        <v>27</v>
      </c>
      <c r="H30" s="11"/>
      <c r="I30" s="11"/>
      <c r="J30" s="11"/>
      <c r="K30" s="11"/>
      <c r="L30" s="11"/>
      <c r="M30" s="11"/>
    </row>
    <row r="31" spans="1:13" x14ac:dyDescent="0.2">
      <c r="A31" s="50"/>
      <c r="B31" s="9">
        <v>47</v>
      </c>
      <c r="C31" s="9" t="s">
        <v>1451</v>
      </c>
      <c r="D31" s="9" t="s">
        <v>24</v>
      </c>
      <c r="E31" s="9" t="s">
        <v>31</v>
      </c>
      <c r="F31" s="9" t="s">
        <v>47</v>
      </c>
      <c r="G31" s="10" t="s">
        <v>27</v>
      </c>
      <c r="H31" s="11"/>
      <c r="I31" s="11"/>
      <c r="J31" s="11"/>
      <c r="K31" s="11"/>
      <c r="L31" s="11"/>
      <c r="M31" s="11"/>
    </row>
    <row r="32" spans="1:13" x14ac:dyDescent="0.2">
      <c r="A32" s="57"/>
      <c r="B32" s="9">
        <v>47</v>
      </c>
      <c r="C32" s="9" t="s">
        <v>1450</v>
      </c>
      <c r="D32" s="9" t="s">
        <v>24</v>
      </c>
      <c r="E32" s="9" t="s">
        <v>31</v>
      </c>
      <c r="F32" s="9" t="s">
        <v>47</v>
      </c>
      <c r="G32" s="10" t="s">
        <v>27</v>
      </c>
      <c r="H32" s="11"/>
      <c r="I32" s="11"/>
      <c r="J32" s="11"/>
      <c r="K32" s="11"/>
      <c r="L32" s="11"/>
      <c r="M32" s="11"/>
    </row>
    <row r="33" spans="1:13" x14ac:dyDescent="0.2">
      <c r="A33" s="48" t="s">
        <v>49</v>
      </c>
      <c r="B33" s="12">
        <v>47</v>
      </c>
      <c r="C33" s="12" t="s">
        <v>1459</v>
      </c>
      <c r="D33" s="12" t="s">
        <v>24</v>
      </c>
      <c r="E33" s="12" t="s">
        <v>25</v>
      </c>
      <c r="F33" s="12" t="s">
        <v>26</v>
      </c>
      <c r="G33" s="10" t="s">
        <v>27</v>
      </c>
      <c r="H33" s="11"/>
      <c r="I33" s="11"/>
      <c r="J33" s="11"/>
      <c r="K33" s="11"/>
      <c r="L33" s="11"/>
      <c r="M33" s="11"/>
    </row>
    <row r="34" spans="1:13" x14ac:dyDescent="0.2">
      <c r="A34" s="51"/>
      <c r="B34" s="12">
        <v>47</v>
      </c>
      <c r="C34" s="12" t="s">
        <v>1460</v>
      </c>
      <c r="D34" s="12" t="s">
        <v>24</v>
      </c>
      <c r="E34" s="12" t="s">
        <v>25</v>
      </c>
      <c r="F34" s="12" t="s">
        <v>26</v>
      </c>
      <c r="G34" s="10" t="s">
        <v>27</v>
      </c>
      <c r="H34" s="11"/>
      <c r="I34" s="11"/>
      <c r="J34" s="11"/>
      <c r="K34" s="11"/>
      <c r="L34" s="11"/>
      <c r="M34" s="11"/>
    </row>
    <row r="35" spans="1:13" x14ac:dyDescent="0.2">
      <c r="A35" s="50"/>
      <c r="B35" s="12">
        <v>47</v>
      </c>
      <c r="C35" s="12" t="s">
        <v>1461</v>
      </c>
      <c r="D35" s="12" t="s">
        <v>24</v>
      </c>
      <c r="E35" s="12" t="s">
        <v>25</v>
      </c>
      <c r="F35" s="12" t="s">
        <v>26</v>
      </c>
      <c r="G35" s="10" t="s">
        <v>27</v>
      </c>
      <c r="H35" s="11"/>
      <c r="I35" s="11"/>
      <c r="J35" s="11"/>
      <c r="K35" s="11"/>
      <c r="L35" s="11"/>
      <c r="M35" s="11"/>
    </row>
    <row r="36" spans="1:13" x14ac:dyDescent="0.2">
      <c r="A36" s="51"/>
      <c r="B36" s="12">
        <v>47</v>
      </c>
      <c r="C36" s="12" t="s">
        <v>1458</v>
      </c>
      <c r="D36" s="12" t="s">
        <v>24</v>
      </c>
      <c r="E36" s="12" t="s">
        <v>25</v>
      </c>
      <c r="F36" s="12" t="s">
        <v>26</v>
      </c>
      <c r="G36" s="10" t="s">
        <v>27</v>
      </c>
      <c r="H36" s="11"/>
      <c r="I36" s="11"/>
      <c r="J36" s="11"/>
      <c r="K36" s="11"/>
      <c r="L36" s="11"/>
      <c r="M36" s="11"/>
    </row>
    <row r="37" spans="1:13" ht="12.75" x14ac:dyDescent="0.2">
      <c r="A37" s="50"/>
      <c r="B37" s="12">
        <v>47</v>
      </c>
      <c r="C37" s="12" t="s">
        <v>1457</v>
      </c>
      <c r="D37" s="12" t="s">
        <v>24</v>
      </c>
      <c r="E37" s="12" t="s">
        <v>25</v>
      </c>
      <c r="F37" s="12" t="s">
        <v>26</v>
      </c>
      <c r="G37" s="10" t="s">
        <v>27</v>
      </c>
      <c r="H37" s="11"/>
      <c r="I37" s="11"/>
      <c r="J37" s="11"/>
      <c r="K37" s="11"/>
      <c r="L37" s="11"/>
      <c r="M37" s="11"/>
    </row>
    <row r="38" spans="1:13" ht="12.75" x14ac:dyDescent="0.2">
      <c r="A38" s="57"/>
      <c r="B38" s="12">
        <v>47</v>
      </c>
      <c r="C38" s="12" t="s">
        <v>1462</v>
      </c>
      <c r="D38" s="12" t="s">
        <v>24</v>
      </c>
      <c r="E38" s="12" t="s">
        <v>25</v>
      </c>
      <c r="F38" s="12" t="s">
        <v>26</v>
      </c>
      <c r="G38" s="10" t="s">
        <v>27</v>
      </c>
      <c r="H38" s="11"/>
      <c r="I38" s="11"/>
      <c r="J38" s="11"/>
      <c r="K38" s="11"/>
      <c r="L38" s="11"/>
      <c r="M38" s="11"/>
    </row>
    <row r="39" spans="1:13" ht="12.75" x14ac:dyDescent="0.2">
      <c r="A39" s="9" t="s">
        <v>52</v>
      </c>
      <c r="B39" s="9">
        <v>47</v>
      </c>
      <c r="C39" s="9" t="s">
        <v>470</v>
      </c>
      <c r="D39" s="9" t="s">
        <v>24</v>
      </c>
      <c r="E39" s="9" t="s">
        <v>31</v>
      </c>
      <c r="F39" s="9" t="s">
        <v>47</v>
      </c>
      <c r="G39" s="10" t="s">
        <v>27</v>
      </c>
      <c r="H39" s="11"/>
      <c r="I39" s="11"/>
      <c r="J39" s="11"/>
      <c r="K39" s="11"/>
      <c r="L39" s="11"/>
      <c r="M39" s="11"/>
    </row>
    <row r="40" spans="1:13" ht="12.75" x14ac:dyDescent="0.2">
      <c r="A40" s="48" t="s">
        <v>59</v>
      </c>
      <c r="B40" s="9">
        <v>47</v>
      </c>
      <c r="C40" s="9" t="s">
        <v>1463</v>
      </c>
      <c r="D40" s="9" t="s">
        <v>24</v>
      </c>
      <c r="E40" s="9" t="s">
        <v>31</v>
      </c>
      <c r="F40" s="9" t="s">
        <v>47</v>
      </c>
      <c r="G40" s="10" t="s">
        <v>27</v>
      </c>
      <c r="H40" s="11"/>
      <c r="I40" s="11"/>
      <c r="J40" s="11"/>
      <c r="K40" s="11"/>
      <c r="L40" s="11"/>
      <c r="M40" s="11"/>
    </row>
    <row r="41" spans="1:13" ht="12.75" x14ac:dyDescent="0.2">
      <c r="A41" s="49"/>
      <c r="B41" s="9">
        <v>47</v>
      </c>
      <c r="C41" s="9" t="s">
        <v>1451</v>
      </c>
      <c r="D41" s="9" t="s">
        <v>24</v>
      </c>
      <c r="E41" s="9" t="s">
        <v>31</v>
      </c>
      <c r="F41" s="9" t="s">
        <v>47</v>
      </c>
      <c r="G41" s="10" t="s">
        <v>27</v>
      </c>
      <c r="H41" s="11"/>
      <c r="I41" s="11"/>
      <c r="J41" s="11"/>
      <c r="K41" s="11"/>
      <c r="L41" s="11"/>
      <c r="M41" s="11"/>
    </row>
    <row r="42" spans="1:13" ht="12.75" x14ac:dyDescent="0.2">
      <c r="A42" s="9" t="s">
        <v>101</v>
      </c>
      <c r="B42" s="9">
        <v>47</v>
      </c>
      <c r="C42" s="9" t="s">
        <v>21</v>
      </c>
      <c r="D42" s="9" t="s">
        <v>21</v>
      </c>
      <c r="E42" s="9" t="s">
        <v>21</v>
      </c>
      <c r="F42" s="9" t="s">
        <v>21</v>
      </c>
      <c r="G42" s="10" t="s">
        <v>21</v>
      </c>
      <c r="H42" s="11"/>
      <c r="I42" s="11"/>
      <c r="J42" s="11"/>
      <c r="K42" s="11"/>
      <c r="L42" s="11"/>
      <c r="M42" s="11"/>
    </row>
    <row r="43" spans="1:13" ht="12.75" x14ac:dyDescent="0.2">
      <c r="A43" s="48" t="s">
        <v>62</v>
      </c>
      <c r="B43" s="9">
        <v>47</v>
      </c>
      <c r="C43" s="9" t="s">
        <v>1419</v>
      </c>
      <c r="D43" s="9" t="s">
        <v>24</v>
      </c>
      <c r="E43" s="9" t="s">
        <v>31</v>
      </c>
      <c r="F43" s="9" t="s">
        <v>26</v>
      </c>
      <c r="G43" s="10" t="s">
        <v>27</v>
      </c>
      <c r="H43" s="11"/>
      <c r="I43" s="11"/>
      <c r="J43" s="11"/>
      <c r="K43" s="11"/>
      <c r="L43" s="11"/>
      <c r="M43" s="11"/>
    </row>
    <row r="44" spans="1:13" ht="12.75" x14ac:dyDescent="0.2">
      <c r="A44" s="51"/>
      <c r="B44" s="9">
        <v>47</v>
      </c>
      <c r="C44" s="9" t="s">
        <v>1451</v>
      </c>
      <c r="D44" s="9" t="s">
        <v>24</v>
      </c>
      <c r="E44" s="9" t="s">
        <v>31</v>
      </c>
      <c r="F44" s="9" t="s">
        <v>26</v>
      </c>
      <c r="G44" s="10" t="s">
        <v>27</v>
      </c>
      <c r="H44" s="11"/>
      <c r="I44" s="11"/>
      <c r="J44" s="11"/>
      <c r="K44" s="11"/>
      <c r="L44" s="11"/>
      <c r="M44" s="11"/>
    </row>
    <row r="45" spans="1:13" ht="12.75" x14ac:dyDescent="0.2">
      <c r="A45" s="50"/>
      <c r="B45" s="9">
        <v>47</v>
      </c>
      <c r="C45" s="9" t="s">
        <v>1457</v>
      </c>
      <c r="D45" s="9" t="s">
        <v>24</v>
      </c>
      <c r="E45" s="9" t="s">
        <v>31</v>
      </c>
      <c r="F45" s="9" t="s">
        <v>26</v>
      </c>
      <c r="G45" s="10" t="s">
        <v>27</v>
      </c>
      <c r="H45" s="11"/>
      <c r="I45" s="11"/>
      <c r="J45" s="11"/>
      <c r="K45" s="11"/>
      <c r="L45" s="11"/>
      <c r="M45" s="11"/>
    </row>
    <row r="46" spans="1:13" ht="12.75" x14ac:dyDescent="0.2">
      <c r="A46" s="51"/>
      <c r="B46" s="9">
        <v>47</v>
      </c>
      <c r="C46" s="9" t="s">
        <v>1445</v>
      </c>
      <c r="D46" s="9" t="s">
        <v>24</v>
      </c>
      <c r="E46" s="9" t="s">
        <v>25</v>
      </c>
      <c r="F46" s="9" t="s">
        <v>47</v>
      </c>
      <c r="G46" s="10" t="s">
        <v>27</v>
      </c>
      <c r="H46" s="11"/>
      <c r="I46" s="11"/>
      <c r="J46" s="11"/>
      <c r="K46" s="11"/>
      <c r="L46" s="11"/>
      <c r="M46" s="11"/>
    </row>
    <row r="47" spans="1:13" ht="12.75" x14ac:dyDescent="0.2">
      <c r="A47" s="49"/>
      <c r="B47" s="9">
        <v>47</v>
      </c>
      <c r="C47" s="9" t="s">
        <v>1464</v>
      </c>
      <c r="D47" s="9" t="s">
        <v>24</v>
      </c>
      <c r="E47" s="9" t="s">
        <v>31</v>
      </c>
      <c r="F47" s="9" t="s">
        <v>26</v>
      </c>
      <c r="G47" s="10" t="s">
        <v>27</v>
      </c>
      <c r="H47" s="11"/>
      <c r="I47" s="11"/>
      <c r="J47" s="11"/>
      <c r="K47" s="11"/>
      <c r="L47" s="11"/>
      <c r="M47" s="11"/>
    </row>
    <row r="48" spans="1:13" ht="12.75" x14ac:dyDescent="0.2">
      <c r="A48" s="48" t="s">
        <v>70</v>
      </c>
      <c r="B48" s="9">
        <v>47</v>
      </c>
      <c r="C48" s="9" t="s">
        <v>1465</v>
      </c>
      <c r="D48" s="9" t="s">
        <v>24</v>
      </c>
      <c r="E48" s="9" t="s">
        <v>31</v>
      </c>
      <c r="F48" s="9" t="s">
        <v>47</v>
      </c>
      <c r="G48" s="10" t="s">
        <v>27</v>
      </c>
      <c r="H48" s="11"/>
      <c r="I48" s="11"/>
      <c r="J48" s="11"/>
      <c r="K48" s="11"/>
      <c r="L48" s="11"/>
      <c r="M48" s="11"/>
    </row>
    <row r="49" spans="1:13" ht="12.75" x14ac:dyDescent="0.2">
      <c r="A49" s="49"/>
      <c r="B49" s="9">
        <v>47</v>
      </c>
      <c r="C49" s="9" t="s">
        <v>1419</v>
      </c>
      <c r="D49" s="9" t="s">
        <v>24</v>
      </c>
      <c r="E49" s="9" t="s">
        <v>31</v>
      </c>
      <c r="F49" s="9" t="s">
        <v>47</v>
      </c>
      <c r="G49" s="10" t="s">
        <v>27</v>
      </c>
      <c r="H49" s="11"/>
      <c r="I49" s="11"/>
      <c r="J49" s="11"/>
      <c r="K49" s="11"/>
      <c r="L49" s="11"/>
      <c r="M49" s="11"/>
    </row>
    <row r="50" spans="1:13" ht="12.75" x14ac:dyDescent="0.2">
      <c r="A50" s="9" t="s">
        <v>73</v>
      </c>
      <c r="B50" s="9">
        <v>47</v>
      </c>
      <c r="C50" s="9" t="s">
        <v>1466</v>
      </c>
      <c r="D50" s="9" t="s">
        <v>24</v>
      </c>
      <c r="E50" s="9" t="s">
        <v>31</v>
      </c>
      <c r="F50" s="9" t="s">
        <v>26</v>
      </c>
      <c r="G50" s="10" t="s">
        <v>27</v>
      </c>
      <c r="H50" s="11"/>
      <c r="I50" s="11"/>
      <c r="J50" s="11"/>
      <c r="K50" s="11"/>
      <c r="L50" s="11"/>
      <c r="M50" s="11"/>
    </row>
    <row r="51" spans="1:13" ht="12.75" x14ac:dyDescent="0.2">
      <c r="A51" s="48" t="s">
        <v>77</v>
      </c>
      <c r="B51" s="9">
        <v>47</v>
      </c>
      <c r="C51" s="9" t="s">
        <v>1457</v>
      </c>
      <c r="D51" s="9" t="s">
        <v>24</v>
      </c>
      <c r="E51" s="9" t="s">
        <v>31</v>
      </c>
      <c r="F51" s="9" t="s">
        <v>26</v>
      </c>
      <c r="G51" s="10" t="s">
        <v>27</v>
      </c>
      <c r="H51" s="11"/>
      <c r="I51" s="11"/>
      <c r="J51" s="11"/>
      <c r="K51" s="11"/>
      <c r="L51" s="11"/>
      <c r="M51" s="11"/>
    </row>
    <row r="52" spans="1:13" ht="12.75" x14ac:dyDescent="0.2">
      <c r="A52" s="51"/>
      <c r="B52" s="9">
        <v>47</v>
      </c>
      <c r="C52" s="9" t="s">
        <v>1467</v>
      </c>
      <c r="D52" s="9" t="s">
        <v>24</v>
      </c>
      <c r="E52" s="9" t="s">
        <v>31</v>
      </c>
      <c r="F52" s="9" t="s">
        <v>26</v>
      </c>
      <c r="G52" s="10" t="s">
        <v>27</v>
      </c>
      <c r="H52" s="11"/>
      <c r="I52" s="11"/>
      <c r="J52" s="11"/>
      <c r="K52" s="11"/>
      <c r="L52" s="11"/>
      <c r="M52" s="11"/>
    </row>
    <row r="53" spans="1:13" ht="12.75" x14ac:dyDescent="0.2">
      <c r="A53" s="53"/>
      <c r="B53" s="9">
        <v>47</v>
      </c>
      <c r="C53" s="9" t="s">
        <v>1468</v>
      </c>
      <c r="D53" s="9" t="s">
        <v>24</v>
      </c>
      <c r="E53" s="9" t="s">
        <v>31</v>
      </c>
      <c r="F53" s="9" t="s">
        <v>26</v>
      </c>
      <c r="G53" s="10" t="s">
        <v>27</v>
      </c>
      <c r="H53" s="11"/>
      <c r="I53" s="11"/>
      <c r="J53" s="11"/>
      <c r="K53" s="11"/>
      <c r="L53" s="11"/>
      <c r="M53" s="11"/>
    </row>
    <row r="54" spans="1:13" ht="12.75" x14ac:dyDescent="0.2">
      <c r="A54" s="48" t="s">
        <v>79</v>
      </c>
      <c r="B54" s="12">
        <v>47</v>
      </c>
      <c r="C54" s="12" t="s">
        <v>1419</v>
      </c>
      <c r="D54" s="12" t="s">
        <v>24</v>
      </c>
      <c r="E54" s="12" t="s">
        <v>25</v>
      </c>
      <c r="F54" s="12" t="s">
        <v>26</v>
      </c>
      <c r="G54" s="10" t="s">
        <v>27</v>
      </c>
      <c r="H54" s="11"/>
      <c r="I54" s="11"/>
      <c r="J54" s="11"/>
      <c r="K54" s="11"/>
      <c r="L54" s="11"/>
      <c r="M54" s="11"/>
    </row>
    <row r="55" spans="1:13" ht="12.75" x14ac:dyDescent="0.2">
      <c r="A55" s="53"/>
      <c r="B55" s="12">
        <v>47</v>
      </c>
      <c r="C55" s="12" t="s">
        <v>1457</v>
      </c>
      <c r="D55" s="12" t="s">
        <v>24</v>
      </c>
      <c r="E55" s="12" t="s">
        <v>25</v>
      </c>
      <c r="F55" s="12" t="s">
        <v>26</v>
      </c>
      <c r="G55" s="10" t="s">
        <v>27</v>
      </c>
      <c r="H55" s="11"/>
      <c r="I55" s="11"/>
      <c r="J55" s="11"/>
      <c r="K55" s="11"/>
      <c r="L55" s="11"/>
      <c r="M55" s="11"/>
    </row>
    <row r="56" spans="1:13" ht="12.75" x14ac:dyDescent="0.2">
      <c r="A56" s="48" t="s">
        <v>83</v>
      </c>
      <c r="B56" s="9">
        <v>47</v>
      </c>
      <c r="C56" s="9" t="s">
        <v>1445</v>
      </c>
      <c r="D56" s="9" t="s">
        <v>24</v>
      </c>
      <c r="E56" s="9" t="s">
        <v>25</v>
      </c>
      <c r="F56" s="9" t="s">
        <v>26</v>
      </c>
      <c r="G56" s="10" t="s">
        <v>27</v>
      </c>
      <c r="H56" s="11"/>
      <c r="I56" s="11"/>
      <c r="J56" s="11"/>
      <c r="K56" s="11"/>
      <c r="L56" s="11"/>
      <c r="M56" s="11"/>
    </row>
    <row r="57" spans="1:13" ht="12.75" x14ac:dyDescent="0.2">
      <c r="A57" s="52"/>
      <c r="B57" s="9">
        <v>47</v>
      </c>
      <c r="C57" s="9" t="s">
        <v>1469</v>
      </c>
      <c r="D57" s="9" t="s">
        <v>24</v>
      </c>
      <c r="E57" s="9" t="s">
        <v>31</v>
      </c>
      <c r="F57" s="9" t="s">
        <v>26</v>
      </c>
      <c r="G57" s="10" t="s">
        <v>27</v>
      </c>
      <c r="H57" s="11"/>
      <c r="I57" s="11"/>
      <c r="J57" s="11"/>
      <c r="K57" s="11"/>
      <c r="L57" s="11"/>
      <c r="M57" s="11"/>
    </row>
    <row r="58" spans="1:13" ht="12.75" x14ac:dyDescent="0.2">
      <c r="A58" s="53"/>
      <c r="B58" s="9">
        <v>47</v>
      </c>
      <c r="C58" s="9" t="s">
        <v>1470</v>
      </c>
      <c r="D58" s="9" t="s">
        <v>24</v>
      </c>
      <c r="E58" s="9" t="s">
        <v>31</v>
      </c>
      <c r="F58" s="9" t="s">
        <v>26</v>
      </c>
      <c r="G58" s="10" t="s">
        <v>27</v>
      </c>
      <c r="H58" s="11"/>
      <c r="I58" s="11"/>
      <c r="J58" s="11"/>
      <c r="K58" s="11"/>
      <c r="L58" s="11"/>
      <c r="M58" s="11"/>
    </row>
    <row r="59" spans="1:13" ht="12.75" x14ac:dyDescent="0.2">
      <c r="A59" s="9" t="s">
        <v>85</v>
      </c>
      <c r="B59" s="9">
        <v>47</v>
      </c>
      <c r="C59" s="9" t="s">
        <v>1471</v>
      </c>
      <c r="D59" s="9" t="s">
        <v>24</v>
      </c>
      <c r="E59" s="9" t="s">
        <v>31</v>
      </c>
      <c r="F59" s="9" t="s">
        <v>26</v>
      </c>
      <c r="G59" s="10" t="s">
        <v>27</v>
      </c>
      <c r="H59" s="11"/>
      <c r="I59" s="11"/>
      <c r="J59" s="11"/>
      <c r="K59" s="11"/>
      <c r="L59" s="11"/>
      <c r="M59" s="11"/>
    </row>
    <row r="60" spans="1:13" ht="12.75" x14ac:dyDescent="0.2">
      <c r="A60" s="13"/>
      <c r="B60" s="13"/>
      <c r="C60" s="13"/>
      <c r="D60" s="13"/>
      <c r="E60" s="13"/>
      <c r="F60" s="13"/>
      <c r="G60" s="13"/>
      <c r="H60" s="13"/>
      <c r="I60" s="13"/>
    </row>
    <row r="61" spans="1:13" ht="12.75" x14ac:dyDescent="0.2">
      <c r="A61" s="13"/>
      <c r="B61" s="13"/>
      <c r="C61" s="13"/>
      <c r="D61" s="13"/>
      <c r="E61" s="13"/>
      <c r="F61" s="13"/>
      <c r="G61" s="13"/>
      <c r="H61" s="13"/>
      <c r="I61" s="13"/>
    </row>
    <row r="62" spans="1:13" ht="12.75" x14ac:dyDescent="0.2">
      <c r="A62" s="13"/>
      <c r="B62" s="13"/>
      <c r="C62" s="13"/>
      <c r="D62" s="13"/>
      <c r="E62" s="13"/>
      <c r="F62" s="13"/>
      <c r="G62" s="13"/>
      <c r="H62" s="13"/>
      <c r="I62" s="13"/>
    </row>
    <row r="63" spans="1:13" ht="12.75" x14ac:dyDescent="0.2">
      <c r="A63" s="13"/>
      <c r="B63" s="13"/>
      <c r="C63" s="13"/>
      <c r="D63" s="13"/>
      <c r="E63" s="13"/>
      <c r="F63" s="13"/>
      <c r="G63" s="13"/>
      <c r="H63" s="13"/>
      <c r="I63" s="13"/>
    </row>
  </sheetData>
  <mergeCells count="13">
    <mergeCell ref="A56:A58"/>
    <mergeCell ref="A1:G1"/>
    <mergeCell ref="A9:A11"/>
    <mergeCell ref="A12:A14"/>
    <mergeCell ref="A16:A19"/>
    <mergeCell ref="A20:A22"/>
    <mergeCell ref="A23:A32"/>
    <mergeCell ref="A33:A38"/>
    <mergeCell ref="A40:A41"/>
    <mergeCell ref="A43:A47"/>
    <mergeCell ref="A48:A49"/>
    <mergeCell ref="A51:A53"/>
    <mergeCell ref="A54:A5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K139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11" ht="15.75" customHeight="1" x14ac:dyDescent="0.25">
      <c r="A1" s="54" t="s">
        <v>0</v>
      </c>
      <c r="B1" s="55"/>
      <c r="C1" s="55"/>
      <c r="D1" s="55"/>
      <c r="E1" s="55"/>
      <c r="F1" s="55"/>
      <c r="G1" s="56"/>
    </row>
    <row r="2" spans="1:11" x14ac:dyDescent="0.2">
      <c r="A2" s="1"/>
      <c r="B2" s="2"/>
      <c r="C2" s="2"/>
      <c r="D2" s="2"/>
      <c r="E2" s="2"/>
      <c r="F2" s="2"/>
      <c r="G2" s="2"/>
    </row>
    <row r="3" spans="1:11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11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11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11" x14ac:dyDescent="0.2">
      <c r="A6" s="1"/>
      <c r="B6" s="2"/>
      <c r="C6" s="2"/>
      <c r="D6" s="2"/>
      <c r="E6" s="2"/>
      <c r="F6" s="2"/>
      <c r="G6" s="2"/>
    </row>
    <row r="7" spans="1:11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11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11" x14ac:dyDescent="0.2">
      <c r="A9" s="48" t="s">
        <v>20</v>
      </c>
      <c r="B9" s="9">
        <v>48</v>
      </c>
      <c r="C9" s="9" t="s">
        <v>1472</v>
      </c>
      <c r="D9" s="9" t="s">
        <v>24</v>
      </c>
      <c r="E9" s="9" t="s">
        <v>31</v>
      </c>
      <c r="F9" s="9" t="s">
        <v>26</v>
      </c>
      <c r="G9" s="10" t="s">
        <v>27</v>
      </c>
      <c r="H9" s="11"/>
      <c r="I9" s="11"/>
      <c r="J9" s="11"/>
      <c r="K9" s="11"/>
    </row>
    <row r="10" spans="1:11" x14ac:dyDescent="0.2">
      <c r="A10" s="52"/>
      <c r="B10" s="9">
        <v>48</v>
      </c>
      <c r="C10" s="9" t="s">
        <v>1473</v>
      </c>
      <c r="D10" s="9" t="s">
        <v>24</v>
      </c>
      <c r="E10" s="9" t="s">
        <v>31</v>
      </c>
      <c r="F10" s="9" t="s">
        <v>26</v>
      </c>
      <c r="G10" s="10" t="s">
        <v>27</v>
      </c>
      <c r="H10" s="11"/>
      <c r="I10" s="11"/>
      <c r="J10" s="11"/>
      <c r="K10" s="11"/>
    </row>
    <row r="11" spans="1:11" x14ac:dyDescent="0.2">
      <c r="A11" s="53"/>
      <c r="B11" s="9">
        <v>48</v>
      </c>
      <c r="C11" s="9" t="s">
        <v>1474</v>
      </c>
      <c r="D11" s="9" t="s">
        <v>24</v>
      </c>
      <c r="E11" s="9" t="s">
        <v>31</v>
      </c>
      <c r="F11" s="9" t="s">
        <v>26</v>
      </c>
      <c r="G11" s="10" t="s">
        <v>27</v>
      </c>
      <c r="H11" s="11"/>
      <c r="I11" s="11"/>
      <c r="J11" s="11"/>
      <c r="K11" s="11"/>
    </row>
    <row r="12" spans="1:11" x14ac:dyDescent="0.2">
      <c r="A12" s="48" t="s">
        <v>22</v>
      </c>
      <c r="B12" s="9">
        <v>48</v>
      </c>
      <c r="C12" s="9" t="s">
        <v>1472</v>
      </c>
      <c r="D12" s="9" t="s">
        <v>24</v>
      </c>
      <c r="E12" s="9" t="s">
        <v>31</v>
      </c>
      <c r="F12" s="9" t="s">
        <v>26</v>
      </c>
      <c r="G12" s="10" t="s">
        <v>27</v>
      </c>
      <c r="H12" s="11"/>
      <c r="I12" s="11"/>
      <c r="J12" s="11"/>
      <c r="K12" s="11"/>
    </row>
    <row r="13" spans="1:11" x14ac:dyDescent="0.2">
      <c r="A13" s="53"/>
      <c r="B13" s="9">
        <v>48</v>
      </c>
      <c r="C13" s="9" t="s">
        <v>1474</v>
      </c>
      <c r="D13" s="9" t="s">
        <v>24</v>
      </c>
      <c r="E13" s="9" t="s">
        <v>31</v>
      </c>
      <c r="F13" s="9" t="s">
        <v>26</v>
      </c>
      <c r="G13" s="10" t="s">
        <v>27</v>
      </c>
      <c r="H13" s="11"/>
      <c r="I13" s="11"/>
      <c r="J13" s="11"/>
      <c r="K13" s="11"/>
    </row>
    <row r="14" spans="1:11" x14ac:dyDescent="0.2">
      <c r="A14" s="48" t="s">
        <v>28</v>
      </c>
      <c r="B14" s="9">
        <v>48</v>
      </c>
      <c r="C14" s="9" t="s">
        <v>1475</v>
      </c>
      <c r="D14" s="9" t="s">
        <v>24</v>
      </c>
      <c r="E14" s="9" t="s">
        <v>25</v>
      </c>
      <c r="F14" s="9" t="s">
        <v>26</v>
      </c>
      <c r="G14" s="10" t="s">
        <v>27</v>
      </c>
      <c r="H14" s="11"/>
      <c r="I14" s="11"/>
      <c r="J14" s="11"/>
      <c r="K14" s="11"/>
    </row>
    <row r="15" spans="1:11" x14ac:dyDescent="0.2">
      <c r="A15" s="52"/>
      <c r="B15" s="9">
        <v>48</v>
      </c>
      <c r="C15" s="9" t="s">
        <v>1476</v>
      </c>
      <c r="D15" s="9" t="s">
        <v>24</v>
      </c>
      <c r="E15" s="9" t="s">
        <v>25</v>
      </c>
      <c r="F15" s="9" t="s">
        <v>26</v>
      </c>
      <c r="G15" s="10" t="s">
        <v>27</v>
      </c>
      <c r="H15" s="11"/>
      <c r="I15" s="11"/>
      <c r="J15" s="11"/>
      <c r="K15" s="11"/>
    </row>
    <row r="16" spans="1:11" x14ac:dyDescent="0.2">
      <c r="A16" s="53"/>
      <c r="B16" s="9">
        <v>48</v>
      </c>
      <c r="C16" s="9" t="s">
        <v>1477</v>
      </c>
      <c r="D16" s="9" t="s">
        <v>24</v>
      </c>
      <c r="E16" s="9" t="s">
        <v>25</v>
      </c>
      <c r="F16" s="9" t="s">
        <v>26</v>
      </c>
      <c r="G16" s="10" t="s">
        <v>27</v>
      </c>
      <c r="H16" s="11"/>
      <c r="I16" s="11"/>
      <c r="J16" s="11"/>
      <c r="K16" s="11"/>
    </row>
    <row r="17" spans="1:11" x14ac:dyDescent="0.2">
      <c r="A17" s="48" t="s">
        <v>33</v>
      </c>
      <c r="B17" s="9">
        <v>48</v>
      </c>
      <c r="C17" s="9" t="s">
        <v>1478</v>
      </c>
      <c r="D17" s="9" t="s">
        <v>24</v>
      </c>
      <c r="E17" s="9" t="s">
        <v>31</v>
      </c>
      <c r="F17" s="9" t="s">
        <v>26</v>
      </c>
      <c r="G17" s="10" t="s">
        <v>27</v>
      </c>
      <c r="H17" s="11"/>
      <c r="I17" s="11"/>
      <c r="J17" s="11"/>
      <c r="K17" s="11"/>
    </row>
    <row r="18" spans="1:11" x14ac:dyDescent="0.2">
      <c r="A18" s="50"/>
      <c r="B18" s="9">
        <v>48</v>
      </c>
      <c r="C18" s="9" t="s">
        <v>1479</v>
      </c>
      <c r="D18" s="9" t="s">
        <v>24</v>
      </c>
      <c r="E18" s="9" t="s">
        <v>31</v>
      </c>
      <c r="F18" s="9" t="s">
        <v>26</v>
      </c>
      <c r="G18" s="10" t="s">
        <v>27</v>
      </c>
      <c r="H18" s="11"/>
      <c r="I18" s="11"/>
      <c r="J18" s="11"/>
      <c r="K18" s="11"/>
    </row>
    <row r="19" spans="1:11" x14ac:dyDescent="0.2">
      <c r="A19" s="51"/>
      <c r="B19" s="9">
        <v>48</v>
      </c>
      <c r="C19" s="9" t="s">
        <v>1480</v>
      </c>
      <c r="D19" s="9" t="s">
        <v>24</v>
      </c>
      <c r="E19" s="9" t="s">
        <v>31</v>
      </c>
      <c r="F19" s="9" t="s">
        <v>26</v>
      </c>
      <c r="G19" s="10" t="s">
        <v>27</v>
      </c>
      <c r="H19" s="11"/>
      <c r="I19" s="11"/>
      <c r="J19" s="11"/>
      <c r="K19" s="11"/>
    </row>
    <row r="20" spans="1:11" x14ac:dyDescent="0.2">
      <c r="A20" s="50"/>
      <c r="B20" s="9">
        <v>48</v>
      </c>
      <c r="C20" s="9" t="s">
        <v>1481</v>
      </c>
      <c r="D20" s="9" t="s">
        <v>24</v>
      </c>
      <c r="E20" s="9" t="s">
        <v>31</v>
      </c>
      <c r="F20" s="9" t="s">
        <v>26</v>
      </c>
      <c r="G20" s="10" t="s">
        <v>27</v>
      </c>
      <c r="H20" s="11"/>
      <c r="I20" s="11"/>
      <c r="J20" s="11"/>
      <c r="K20" s="11"/>
    </row>
    <row r="21" spans="1:11" x14ac:dyDescent="0.2">
      <c r="A21" s="51"/>
      <c r="B21" s="9">
        <v>48</v>
      </c>
      <c r="C21" s="9" t="s">
        <v>1482</v>
      </c>
      <c r="D21" s="9" t="s">
        <v>24</v>
      </c>
      <c r="E21" s="9" t="s">
        <v>31</v>
      </c>
      <c r="F21" s="9" t="s">
        <v>26</v>
      </c>
      <c r="G21" s="10" t="s">
        <v>27</v>
      </c>
      <c r="H21" s="11"/>
      <c r="I21" s="11"/>
      <c r="J21" s="11"/>
      <c r="K21" s="11"/>
    </row>
    <row r="22" spans="1:11" x14ac:dyDescent="0.2">
      <c r="A22" s="50"/>
      <c r="B22" s="9">
        <v>48</v>
      </c>
      <c r="C22" s="9" t="s">
        <v>344</v>
      </c>
      <c r="D22" s="9" t="s">
        <v>24</v>
      </c>
      <c r="E22" s="9" t="s">
        <v>31</v>
      </c>
      <c r="F22" s="9" t="s">
        <v>26</v>
      </c>
      <c r="G22" s="10" t="s">
        <v>27</v>
      </c>
      <c r="H22" s="11"/>
      <c r="I22" s="11"/>
      <c r="J22" s="11"/>
      <c r="K22" s="11"/>
    </row>
    <row r="23" spans="1:11" x14ac:dyDescent="0.2">
      <c r="A23" s="51"/>
      <c r="B23" s="9">
        <v>48</v>
      </c>
      <c r="C23" s="9" t="s">
        <v>1483</v>
      </c>
      <c r="D23" s="9" t="s">
        <v>24</v>
      </c>
      <c r="E23" s="9" t="s">
        <v>31</v>
      </c>
      <c r="F23" s="9" t="s">
        <v>26</v>
      </c>
      <c r="G23" s="10" t="s">
        <v>27</v>
      </c>
      <c r="H23" s="11"/>
      <c r="I23" s="11"/>
      <c r="J23" s="11"/>
      <c r="K23" s="11"/>
    </row>
    <row r="24" spans="1:11" x14ac:dyDescent="0.2">
      <c r="A24" s="50"/>
      <c r="B24" s="9">
        <v>48</v>
      </c>
      <c r="C24" s="9" t="s">
        <v>1484</v>
      </c>
      <c r="D24" s="9" t="s">
        <v>24</v>
      </c>
      <c r="E24" s="9" t="s">
        <v>31</v>
      </c>
      <c r="F24" s="9" t="s">
        <v>26</v>
      </c>
      <c r="G24" s="10" t="s">
        <v>27</v>
      </c>
      <c r="H24" s="11"/>
      <c r="I24" s="11"/>
      <c r="J24" s="11"/>
      <c r="K24" s="11"/>
    </row>
    <row r="25" spans="1:11" x14ac:dyDescent="0.2">
      <c r="A25" s="57"/>
      <c r="B25" s="9">
        <v>48</v>
      </c>
      <c r="C25" s="9" t="s">
        <v>1474</v>
      </c>
      <c r="D25" s="9" t="s">
        <v>24</v>
      </c>
      <c r="E25" s="9" t="s">
        <v>31</v>
      </c>
      <c r="F25" s="9" t="s">
        <v>26</v>
      </c>
      <c r="G25" s="10" t="s">
        <v>27</v>
      </c>
      <c r="H25" s="11"/>
      <c r="I25" s="11"/>
      <c r="J25" s="11"/>
      <c r="K25" s="11"/>
    </row>
    <row r="26" spans="1:11" x14ac:dyDescent="0.2">
      <c r="A26" s="48" t="s">
        <v>38</v>
      </c>
      <c r="B26" s="9">
        <v>48</v>
      </c>
      <c r="C26" s="9" t="s">
        <v>1482</v>
      </c>
      <c r="D26" s="9" t="s">
        <v>24</v>
      </c>
      <c r="E26" s="9" t="s">
        <v>31</v>
      </c>
      <c r="F26" s="9" t="s">
        <v>26</v>
      </c>
      <c r="G26" s="10" t="s">
        <v>27</v>
      </c>
      <c r="H26" s="11"/>
      <c r="I26" s="11"/>
      <c r="J26" s="11"/>
      <c r="K26" s="11"/>
    </row>
    <row r="27" spans="1:11" x14ac:dyDescent="0.2">
      <c r="A27" s="51"/>
      <c r="B27" s="9">
        <v>48</v>
      </c>
      <c r="C27" s="9" t="s">
        <v>1485</v>
      </c>
      <c r="D27" s="9" t="s">
        <v>24</v>
      </c>
      <c r="E27" s="9" t="s">
        <v>31</v>
      </c>
      <c r="F27" s="9" t="s">
        <v>26</v>
      </c>
      <c r="G27" s="10" t="s">
        <v>27</v>
      </c>
      <c r="H27" s="11"/>
      <c r="I27" s="11"/>
      <c r="J27" s="11"/>
      <c r="K27" s="11"/>
    </row>
    <row r="28" spans="1:11" x14ac:dyDescent="0.2">
      <c r="A28" s="50"/>
      <c r="B28" s="9">
        <v>48</v>
      </c>
      <c r="C28" s="9" t="s">
        <v>1486</v>
      </c>
      <c r="D28" s="9" t="s">
        <v>24</v>
      </c>
      <c r="E28" s="9" t="s">
        <v>31</v>
      </c>
      <c r="F28" s="9" t="s">
        <v>26</v>
      </c>
      <c r="G28" s="10" t="s">
        <v>27</v>
      </c>
      <c r="H28" s="11"/>
      <c r="I28" s="11"/>
      <c r="J28" s="11"/>
      <c r="K28" s="11"/>
    </row>
    <row r="29" spans="1:11" x14ac:dyDescent="0.2">
      <c r="A29" s="51"/>
      <c r="B29" s="9">
        <v>48</v>
      </c>
      <c r="C29" s="9" t="s">
        <v>1487</v>
      </c>
      <c r="D29" s="9" t="s">
        <v>24</v>
      </c>
      <c r="E29" s="9" t="s">
        <v>31</v>
      </c>
      <c r="F29" s="9" t="s">
        <v>26</v>
      </c>
      <c r="G29" s="10" t="s">
        <v>27</v>
      </c>
      <c r="H29" s="11"/>
      <c r="I29" s="11"/>
      <c r="J29" s="11"/>
      <c r="K29" s="11"/>
    </row>
    <row r="30" spans="1:11" x14ac:dyDescent="0.2">
      <c r="A30" s="50"/>
      <c r="B30" s="9">
        <v>48</v>
      </c>
      <c r="C30" s="9" t="s">
        <v>1488</v>
      </c>
      <c r="D30" s="9" t="s">
        <v>24</v>
      </c>
      <c r="E30" s="9" t="s">
        <v>31</v>
      </c>
      <c r="F30" s="9" t="s">
        <v>26</v>
      </c>
      <c r="G30" s="10" t="s">
        <v>27</v>
      </c>
      <c r="H30" s="11"/>
      <c r="I30" s="11"/>
      <c r="J30" s="11"/>
      <c r="K30" s="11"/>
    </row>
    <row r="31" spans="1:11" x14ac:dyDescent="0.2">
      <c r="A31" s="51"/>
      <c r="B31" s="9">
        <v>48</v>
      </c>
      <c r="C31" s="9" t="s">
        <v>1489</v>
      </c>
      <c r="D31" s="9" t="s">
        <v>24</v>
      </c>
      <c r="E31" s="9" t="s">
        <v>31</v>
      </c>
      <c r="F31" s="9" t="s">
        <v>26</v>
      </c>
      <c r="G31" s="10" t="s">
        <v>27</v>
      </c>
      <c r="H31" s="11"/>
      <c r="I31" s="11"/>
      <c r="J31" s="11"/>
      <c r="K31" s="11"/>
    </row>
    <row r="32" spans="1:11" x14ac:dyDescent="0.2">
      <c r="A32" s="50"/>
      <c r="B32" s="9">
        <v>48</v>
      </c>
      <c r="C32" s="9" t="s">
        <v>44</v>
      </c>
      <c r="D32" s="9" t="s">
        <v>24</v>
      </c>
      <c r="E32" s="9" t="s">
        <v>31</v>
      </c>
      <c r="F32" s="9" t="s">
        <v>26</v>
      </c>
      <c r="G32" s="10" t="s">
        <v>27</v>
      </c>
      <c r="H32" s="11"/>
      <c r="I32" s="11"/>
      <c r="J32" s="11"/>
      <c r="K32" s="11"/>
    </row>
    <row r="33" spans="1:11" x14ac:dyDescent="0.2">
      <c r="A33" s="51"/>
      <c r="B33" s="9">
        <v>48</v>
      </c>
      <c r="C33" s="9" t="s">
        <v>1490</v>
      </c>
      <c r="D33" s="9" t="s">
        <v>24</v>
      </c>
      <c r="E33" s="9" t="s">
        <v>31</v>
      </c>
      <c r="F33" s="9" t="s">
        <v>26</v>
      </c>
      <c r="G33" s="10" t="s">
        <v>27</v>
      </c>
      <c r="H33" s="11"/>
      <c r="I33" s="11"/>
      <c r="J33" s="11"/>
      <c r="K33" s="11"/>
    </row>
    <row r="34" spans="1:11" x14ac:dyDescent="0.2">
      <c r="A34" s="50"/>
      <c r="B34" s="9">
        <v>48</v>
      </c>
      <c r="C34" s="9" t="s">
        <v>1474</v>
      </c>
      <c r="D34" s="9" t="s">
        <v>24</v>
      </c>
      <c r="E34" s="9" t="s">
        <v>31</v>
      </c>
      <c r="F34" s="9" t="s">
        <v>26</v>
      </c>
      <c r="G34" s="10" t="s">
        <v>27</v>
      </c>
      <c r="H34" s="11"/>
      <c r="I34" s="11"/>
      <c r="J34" s="11"/>
      <c r="K34" s="11"/>
    </row>
    <row r="35" spans="1:11" x14ac:dyDescent="0.2">
      <c r="A35" s="53"/>
      <c r="B35" s="9">
        <v>48</v>
      </c>
      <c r="C35" s="9" t="s">
        <v>1491</v>
      </c>
      <c r="D35" s="9" t="s">
        <v>24</v>
      </c>
      <c r="E35" s="9" t="s">
        <v>31</v>
      </c>
      <c r="F35" s="9" t="s">
        <v>26</v>
      </c>
      <c r="G35" s="10" t="s">
        <v>27</v>
      </c>
      <c r="H35" s="11"/>
      <c r="I35" s="11"/>
      <c r="J35" s="11"/>
      <c r="K35" s="11"/>
    </row>
    <row r="36" spans="1:11" x14ac:dyDescent="0.2">
      <c r="A36" s="48" t="s">
        <v>46</v>
      </c>
      <c r="B36" s="9">
        <v>48</v>
      </c>
      <c r="C36" s="9" t="s">
        <v>1492</v>
      </c>
      <c r="D36" s="9" t="s">
        <v>24</v>
      </c>
      <c r="E36" s="9" t="s">
        <v>25</v>
      </c>
      <c r="F36" s="9" t="s">
        <v>26</v>
      </c>
      <c r="G36" s="10" t="s">
        <v>27</v>
      </c>
      <c r="H36" s="11"/>
      <c r="I36" s="11"/>
      <c r="J36" s="11"/>
      <c r="K36" s="11"/>
    </row>
    <row r="37" spans="1:11" ht="12.75" x14ac:dyDescent="0.2">
      <c r="A37" s="52"/>
      <c r="B37" s="9">
        <v>48</v>
      </c>
      <c r="C37" s="9" t="s">
        <v>1493</v>
      </c>
      <c r="D37" s="9" t="s">
        <v>24</v>
      </c>
      <c r="E37" s="9" t="s">
        <v>25</v>
      </c>
      <c r="F37" s="9" t="s">
        <v>26</v>
      </c>
      <c r="G37" s="10" t="s">
        <v>27</v>
      </c>
      <c r="H37" s="11"/>
      <c r="I37" s="11"/>
      <c r="J37" s="11"/>
      <c r="K37" s="11"/>
    </row>
    <row r="38" spans="1:11" ht="12.75" x14ac:dyDescent="0.2">
      <c r="A38" s="52"/>
      <c r="B38" s="9">
        <v>48</v>
      </c>
      <c r="C38" s="9" t="s">
        <v>1480</v>
      </c>
      <c r="D38" s="9" t="s">
        <v>24</v>
      </c>
      <c r="E38" s="9" t="s">
        <v>25</v>
      </c>
      <c r="F38" s="9" t="s">
        <v>26</v>
      </c>
      <c r="G38" s="10" t="s">
        <v>27</v>
      </c>
      <c r="H38" s="11"/>
      <c r="I38" s="11"/>
      <c r="J38" s="11"/>
      <c r="K38" s="11"/>
    </row>
    <row r="39" spans="1:11" ht="12.75" x14ac:dyDescent="0.2">
      <c r="A39" s="52"/>
      <c r="B39" s="9">
        <v>48</v>
      </c>
      <c r="C39" s="9" t="s">
        <v>1494</v>
      </c>
      <c r="D39" s="9" t="s">
        <v>24</v>
      </c>
      <c r="E39" s="9" t="s">
        <v>25</v>
      </c>
      <c r="F39" s="9" t="s">
        <v>26</v>
      </c>
      <c r="G39" s="10" t="s">
        <v>27</v>
      </c>
      <c r="H39" s="11"/>
      <c r="I39" s="11"/>
      <c r="J39" s="11"/>
      <c r="K39" s="11"/>
    </row>
    <row r="40" spans="1:11" ht="12.75" x14ac:dyDescent="0.2">
      <c r="A40" s="52"/>
      <c r="B40" s="9">
        <v>48</v>
      </c>
      <c r="C40" s="9" t="s">
        <v>1482</v>
      </c>
      <c r="D40" s="9" t="s">
        <v>24</v>
      </c>
      <c r="E40" s="9" t="s">
        <v>25</v>
      </c>
      <c r="F40" s="9" t="s">
        <v>26</v>
      </c>
      <c r="G40" s="10" t="s">
        <v>27</v>
      </c>
      <c r="H40" s="11"/>
      <c r="I40" s="11"/>
      <c r="J40" s="11"/>
      <c r="K40" s="11"/>
    </row>
    <row r="41" spans="1:11" ht="12.75" x14ac:dyDescent="0.2">
      <c r="A41" s="52"/>
      <c r="B41" s="9">
        <v>48</v>
      </c>
      <c r="C41" s="9" t="s">
        <v>1495</v>
      </c>
      <c r="D41" s="9" t="s">
        <v>24</v>
      </c>
      <c r="E41" s="9" t="s">
        <v>25</v>
      </c>
      <c r="F41" s="9" t="s">
        <v>26</v>
      </c>
      <c r="G41" s="10" t="s">
        <v>27</v>
      </c>
      <c r="H41" s="11"/>
      <c r="I41" s="11"/>
      <c r="J41" s="11"/>
      <c r="K41" s="11"/>
    </row>
    <row r="42" spans="1:11" ht="12.75" x14ac:dyDescent="0.2">
      <c r="A42" s="52"/>
      <c r="B42" s="9">
        <v>48</v>
      </c>
      <c r="C42" s="9" t="s">
        <v>1486</v>
      </c>
      <c r="D42" s="9" t="s">
        <v>24</v>
      </c>
      <c r="E42" s="9" t="s">
        <v>25</v>
      </c>
      <c r="F42" s="9" t="s">
        <v>26</v>
      </c>
      <c r="G42" s="10" t="s">
        <v>27</v>
      </c>
      <c r="H42" s="11"/>
      <c r="I42" s="11"/>
      <c r="J42" s="11"/>
      <c r="K42" s="11"/>
    </row>
    <row r="43" spans="1:11" ht="12.75" x14ac:dyDescent="0.2">
      <c r="A43" s="52"/>
      <c r="B43" s="9">
        <v>48</v>
      </c>
      <c r="C43" s="9" t="s">
        <v>1496</v>
      </c>
      <c r="D43" s="9" t="s">
        <v>24</v>
      </c>
      <c r="E43" s="9" t="s">
        <v>25</v>
      </c>
      <c r="F43" s="9" t="s">
        <v>26</v>
      </c>
      <c r="G43" s="10" t="s">
        <v>27</v>
      </c>
      <c r="H43" s="11"/>
      <c r="I43" s="11"/>
      <c r="J43" s="11"/>
      <c r="K43" s="11"/>
    </row>
    <row r="44" spans="1:11" ht="12.75" x14ac:dyDescent="0.2">
      <c r="A44" s="52"/>
      <c r="B44" s="9">
        <v>48</v>
      </c>
      <c r="C44" s="9" t="s">
        <v>1497</v>
      </c>
      <c r="D44" s="9" t="s">
        <v>24</v>
      </c>
      <c r="E44" s="9" t="s">
        <v>25</v>
      </c>
      <c r="F44" s="9" t="s">
        <v>26</v>
      </c>
      <c r="G44" s="10" t="s">
        <v>27</v>
      </c>
      <c r="H44" s="11"/>
      <c r="I44" s="11"/>
      <c r="J44" s="11"/>
      <c r="K44" s="11"/>
    </row>
    <row r="45" spans="1:11" ht="12.75" x14ac:dyDescent="0.2">
      <c r="A45" s="52"/>
      <c r="B45" s="9">
        <v>48</v>
      </c>
      <c r="C45" s="9" t="s">
        <v>1487</v>
      </c>
      <c r="D45" s="9" t="s">
        <v>24</v>
      </c>
      <c r="E45" s="9" t="s">
        <v>25</v>
      </c>
      <c r="F45" s="9" t="s">
        <v>26</v>
      </c>
      <c r="G45" s="10" t="s">
        <v>27</v>
      </c>
      <c r="H45" s="11"/>
      <c r="I45" s="11"/>
      <c r="J45" s="11"/>
      <c r="K45" s="11"/>
    </row>
    <row r="46" spans="1:11" ht="12.75" x14ac:dyDescent="0.2">
      <c r="A46" s="52"/>
      <c r="B46" s="9">
        <v>48</v>
      </c>
      <c r="C46" s="9" t="s">
        <v>1498</v>
      </c>
      <c r="D46" s="9" t="s">
        <v>24</v>
      </c>
      <c r="E46" s="9" t="s">
        <v>25</v>
      </c>
      <c r="F46" s="9" t="s">
        <v>26</v>
      </c>
      <c r="G46" s="10" t="s">
        <v>27</v>
      </c>
      <c r="H46" s="11"/>
      <c r="I46" s="11"/>
      <c r="J46" s="11"/>
      <c r="K46" s="11"/>
    </row>
    <row r="47" spans="1:11" ht="12.75" x14ac:dyDescent="0.2">
      <c r="A47" s="52"/>
      <c r="B47" s="9">
        <v>48</v>
      </c>
      <c r="C47" s="9" t="s">
        <v>1499</v>
      </c>
      <c r="D47" s="9" t="s">
        <v>24</v>
      </c>
      <c r="E47" s="9" t="s">
        <v>25</v>
      </c>
      <c r="F47" s="9" t="s">
        <v>26</v>
      </c>
      <c r="G47" s="10" t="s">
        <v>27</v>
      </c>
      <c r="H47" s="11"/>
      <c r="I47" s="11"/>
      <c r="J47" s="11"/>
      <c r="K47" s="11"/>
    </row>
    <row r="48" spans="1:11" ht="12.75" x14ac:dyDescent="0.2">
      <c r="A48" s="52"/>
      <c r="B48" s="9">
        <v>48</v>
      </c>
      <c r="C48" s="9" t="s">
        <v>1500</v>
      </c>
      <c r="D48" s="9" t="s">
        <v>24</v>
      </c>
      <c r="E48" s="9" t="s">
        <v>25</v>
      </c>
      <c r="F48" s="9" t="s">
        <v>26</v>
      </c>
      <c r="G48" s="10" t="s">
        <v>27</v>
      </c>
      <c r="H48" s="13"/>
      <c r="I48" s="13"/>
    </row>
    <row r="49" spans="1:11" ht="12.75" x14ac:dyDescent="0.2">
      <c r="A49" s="52"/>
      <c r="B49" s="9">
        <v>48</v>
      </c>
      <c r="C49" s="9" t="s">
        <v>1501</v>
      </c>
      <c r="D49" s="9" t="s">
        <v>24</v>
      </c>
      <c r="E49" s="9" t="s">
        <v>25</v>
      </c>
      <c r="F49" s="9" t="s">
        <v>26</v>
      </c>
      <c r="G49" s="10" t="s">
        <v>27</v>
      </c>
      <c r="H49" s="13"/>
      <c r="I49" s="13"/>
    </row>
    <row r="50" spans="1:11" ht="12.75" x14ac:dyDescent="0.2">
      <c r="A50" s="52"/>
      <c r="B50" s="9">
        <v>48</v>
      </c>
      <c r="C50" s="9" t="s">
        <v>1491</v>
      </c>
      <c r="D50" s="9" t="s">
        <v>24</v>
      </c>
      <c r="E50" s="9" t="s">
        <v>25</v>
      </c>
      <c r="F50" s="9" t="s">
        <v>26</v>
      </c>
      <c r="G50" s="10" t="s">
        <v>27</v>
      </c>
      <c r="H50" s="13"/>
      <c r="I50" s="13"/>
    </row>
    <row r="51" spans="1:11" ht="12.75" x14ac:dyDescent="0.2">
      <c r="A51" s="53"/>
      <c r="B51" s="9">
        <v>48</v>
      </c>
      <c r="C51" s="9" t="s">
        <v>1502</v>
      </c>
      <c r="D51" s="9" t="s">
        <v>24</v>
      </c>
      <c r="E51" s="9" t="s">
        <v>25</v>
      </c>
      <c r="F51" s="9" t="s">
        <v>26</v>
      </c>
      <c r="G51" s="10" t="s">
        <v>27</v>
      </c>
      <c r="H51" s="13"/>
      <c r="I51" s="13"/>
    </row>
    <row r="52" spans="1:11" ht="12.75" x14ac:dyDescent="0.2">
      <c r="A52" s="48" t="s">
        <v>49</v>
      </c>
      <c r="B52" s="9">
        <v>48</v>
      </c>
      <c r="C52" s="9" t="s">
        <v>1503</v>
      </c>
      <c r="D52" s="9" t="s">
        <v>24</v>
      </c>
      <c r="E52" s="9" t="s">
        <v>31</v>
      </c>
      <c r="F52" s="9" t="s">
        <v>47</v>
      </c>
      <c r="G52" s="10" t="s">
        <v>27</v>
      </c>
      <c r="H52" s="13"/>
      <c r="I52" s="13"/>
    </row>
    <row r="53" spans="1:11" ht="12.75" x14ac:dyDescent="0.2">
      <c r="A53" s="52"/>
      <c r="B53" s="9">
        <v>48</v>
      </c>
      <c r="C53" s="9" t="s">
        <v>1494</v>
      </c>
      <c r="D53" s="9" t="s">
        <v>24</v>
      </c>
      <c r="E53" s="9" t="s">
        <v>31</v>
      </c>
      <c r="F53" s="9" t="s">
        <v>47</v>
      </c>
      <c r="G53" s="10" t="s">
        <v>27</v>
      </c>
      <c r="H53" s="13"/>
      <c r="I53" s="13"/>
    </row>
    <row r="54" spans="1:11" ht="12.75" x14ac:dyDescent="0.2">
      <c r="A54" s="52"/>
      <c r="B54" s="9">
        <v>48</v>
      </c>
      <c r="C54" s="9" t="s">
        <v>1504</v>
      </c>
      <c r="D54" s="9" t="s">
        <v>24</v>
      </c>
      <c r="E54" s="9" t="s">
        <v>31</v>
      </c>
      <c r="F54" s="9" t="s">
        <v>47</v>
      </c>
      <c r="G54" s="10" t="s">
        <v>27</v>
      </c>
      <c r="H54" s="13"/>
      <c r="I54" s="13"/>
    </row>
    <row r="55" spans="1:11" ht="12.75" x14ac:dyDescent="0.2">
      <c r="A55" s="52"/>
      <c r="B55" s="9">
        <v>48</v>
      </c>
      <c r="C55" s="9" t="s">
        <v>1505</v>
      </c>
      <c r="D55" s="9" t="s">
        <v>24</v>
      </c>
      <c r="E55" s="9" t="s">
        <v>31</v>
      </c>
      <c r="F55" s="9" t="s">
        <v>47</v>
      </c>
      <c r="G55" s="10" t="s">
        <v>27</v>
      </c>
      <c r="H55" s="13"/>
      <c r="I55" s="13"/>
    </row>
    <row r="56" spans="1:11" ht="12.75" x14ac:dyDescent="0.2">
      <c r="A56" s="52"/>
      <c r="B56" s="9">
        <v>48</v>
      </c>
      <c r="C56" s="9" t="s">
        <v>1486</v>
      </c>
      <c r="D56" s="9" t="s">
        <v>24</v>
      </c>
      <c r="E56" s="9" t="s">
        <v>31</v>
      </c>
      <c r="F56" s="9" t="s">
        <v>47</v>
      </c>
      <c r="G56" s="10" t="s">
        <v>27</v>
      </c>
      <c r="H56" s="13"/>
      <c r="I56" s="27"/>
      <c r="J56" s="27"/>
      <c r="K56" s="27"/>
    </row>
    <row r="57" spans="1:11" ht="12.75" x14ac:dyDescent="0.2">
      <c r="A57" s="52"/>
      <c r="B57" s="9">
        <v>48</v>
      </c>
      <c r="C57" s="9" t="s">
        <v>1497</v>
      </c>
      <c r="D57" s="9" t="s">
        <v>24</v>
      </c>
      <c r="E57" s="9" t="s">
        <v>31</v>
      </c>
      <c r="F57" s="9" t="s">
        <v>47</v>
      </c>
      <c r="G57" s="10" t="s">
        <v>27</v>
      </c>
      <c r="H57" s="13"/>
      <c r="I57" s="13"/>
    </row>
    <row r="58" spans="1:11" ht="12.75" x14ac:dyDescent="0.2">
      <c r="A58" s="53"/>
      <c r="B58" s="9">
        <v>48</v>
      </c>
      <c r="C58" s="9" t="s">
        <v>1506</v>
      </c>
      <c r="D58" s="9" t="s">
        <v>24</v>
      </c>
      <c r="E58" s="9" t="s">
        <v>31</v>
      </c>
      <c r="F58" s="9" t="s">
        <v>47</v>
      </c>
      <c r="G58" s="10" t="s">
        <v>27</v>
      </c>
      <c r="H58" s="13"/>
      <c r="I58" s="13"/>
    </row>
    <row r="59" spans="1:11" ht="12.75" x14ac:dyDescent="0.2">
      <c r="A59" s="48" t="s">
        <v>52</v>
      </c>
      <c r="B59" s="9">
        <v>48</v>
      </c>
      <c r="C59" s="12" t="s">
        <v>1435</v>
      </c>
      <c r="D59" s="12" t="s">
        <v>24</v>
      </c>
      <c r="E59" s="12" t="s">
        <v>25</v>
      </c>
      <c r="F59" s="12" t="s">
        <v>26</v>
      </c>
      <c r="G59" s="10" t="s">
        <v>27</v>
      </c>
      <c r="H59" s="13"/>
      <c r="I59" s="13"/>
    </row>
    <row r="60" spans="1:11" ht="12.75" x14ac:dyDescent="0.2">
      <c r="A60" s="52"/>
      <c r="B60" s="9">
        <v>48</v>
      </c>
      <c r="C60" s="12" t="s">
        <v>1436</v>
      </c>
      <c r="D60" s="12" t="s">
        <v>24</v>
      </c>
      <c r="E60" s="12" t="s">
        <v>25</v>
      </c>
      <c r="F60" s="12" t="s">
        <v>26</v>
      </c>
      <c r="G60" s="10" t="s">
        <v>27</v>
      </c>
      <c r="H60" s="13"/>
      <c r="I60" s="13"/>
    </row>
    <row r="61" spans="1:11" ht="12.75" x14ac:dyDescent="0.2">
      <c r="A61" s="52"/>
      <c r="B61" s="9">
        <v>48</v>
      </c>
      <c r="C61" s="12" t="s">
        <v>1437</v>
      </c>
      <c r="D61" s="12" t="s">
        <v>24</v>
      </c>
      <c r="E61" s="12" t="s">
        <v>25</v>
      </c>
      <c r="F61" s="12" t="s">
        <v>26</v>
      </c>
      <c r="G61" s="10" t="s">
        <v>27</v>
      </c>
      <c r="H61" s="13"/>
      <c r="I61" s="13"/>
    </row>
    <row r="62" spans="1:11" ht="12.75" x14ac:dyDescent="0.2">
      <c r="A62" s="53"/>
      <c r="B62" s="9">
        <v>48</v>
      </c>
      <c r="C62" s="9" t="s">
        <v>1507</v>
      </c>
      <c r="D62" s="9" t="s">
        <v>24</v>
      </c>
      <c r="E62" s="12" t="s">
        <v>25</v>
      </c>
      <c r="F62" s="9" t="s">
        <v>26</v>
      </c>
      <c r="G62" s="10" t="s">
        <v>27</v>
      </c>
      <c r="H62" s="13"/>
      <c r="I62" s="13"/>
    </row>
    <row r="63" spans="1:11" ht="12.75" x14ac:dyDescent="0.2">
      <c r="A63" s="48" t="s">
        <v>59</v>
      </c>
      <c r="B63" s="9">
        <v>48</v>
      </c>
      <c r="C63" s="9" t="s">
        <v>1508</v>
      </c>
      <c r="D63" s="9" t="s">
        <v>24</v>
      </c>
      <c r="E63" s="9" t="s">
        <v>31</v>
      </c>
      <c r="F63" s="9" t="s">
        <v>26</v>
      </c>
      <c r="G63" s="10" t="s">
        <v>27</v>
      </c>
      <c r="H63" s="13"/>
      <c r="I63" s="13"/>
    </row>
    <row r="64" spans="1:11" ht="12.75" x14ac:dyDescent="0.2">
      <c r="A64" s="52"/>
      <c r="B64" s="9">
        <v>48</v>
      </c>
      <c r="C64" s="9" t="s">
        <v>1509</v>
      </c>
      <c r="D64" s="9" t="s">
        <v>24</v>
      </c>
      <c r="E64" s="9" t="s">
        <v>31</v>
      </c>
      <c r="F64" s="9" t="s">
        <v>26</v>
      </c>
      <c r="G64" s="10" t="s">
        <v>27</v>
      </c>
      <c r="H64" s="13"/>
      <c r="I64" s="13"/>
    </row>
    <row r="65" spans="1:9" ht="12.75" x14ac:dyDescent="0.2">
      <c r="A65" s="52"/>
      <c r="B65" s="9">
        <v>48</v>
      </c>
      <c r="C65" s="9" t="s">
        <v>1510</v>
      </c>
      <c r="D65" s="9" t="s">
        <v>24</v>
      </c>
      <c r="E65" s="9" t="s">
        <v>31</v>
      </c>
      <c r="F65" s="9" t="s">
        <v>26</v>
      </c>
      <c r="G65" s="10" t="s">
        <v>27</v>
      </c>
      <c r="H65" s="13"/>
      <c r="I65" s="13"/>
    </row>
    <row r="66" spans="1:9" ht="12.75" x14ac:dyDescent="0.2">
      <c r="A66" s="52"/>
      <c r="B66" s="9">
        <v>48</v>
      </c>
      <c r="C66" s="9" t="s">
        <v>1511</v>
      </c>
      <c r="D66" s="9" t="s">
        <v>24</v>
      </c>
      <c r="E66" s="9" t="s">
        <v>31</v>
      </c>
      <c r="F66" s="9" t="s">
        <v>26</v>
      </c>
      <c r="G66" s="10" t="s">
        <v>27</v>
      </c>
      <c r="H66" s="13"/>
      <c r="I66" s="13"/>
    </row>
    <row r="67" spans="1:9" ht="12.75" x14ac:dyDescent="0.2">
      <c r="A67" s="53"/>
      <c r="B67" s="9">
        <v>48</v>
      </c>
      <c r="C67" s="9" t="s">
        <v>1512</v>
      </c>
      <c r="D67" s="9" t="s">
        <v>24</v>
      </c>
      <c r="E67" s="9" t="s">
        <v>31</v>
      </c>
      <c r="F67" s="9" t="s">
        <v>26</v>
      </c>
      <c r="G67" s="10" t="s">
        <v>27</v>
      </c>
      <c r="H67" s="13"/>
      <c r="I67" s="13"/>
    </row>
    <row r="68" spans="1:9" ht="12.75" x14ac:dyDescent="0.2">
      <c r="A68" s="48" t="s">
        <v>101</v>
      </c>
      <c r="B68" s="9">
        <v>48</v>
      </c>
      <c r="C68" s="9" t="s">
        <v>1513</v>
      </c>
      <c r="D68" s="9" t="s">
        <v>24</v>
      </c>
      <c r="E68" s="9" t="s">
        <v>31</v>
      </c>
      <c r="F68" s="9" t="s">
        <v>26</v>
      </c>
      <c r="G68" s="10" t="s">
        <v>27</v>
      </c>
      <c r="H68" s="13"/>
      <c r="I68" s="13"/>
    </row>
    <row r="69" spans="1:9" ht="12.75" x14ac:dyDescent="0.2">
      <c r="A69" s="52"/>
      <c r="B69" s="9">
        <v>48</v>
      </c>
      <c r="C69" s="9" t="s">
        <v>1514</v>
      </c>
      <c r="D69" s="9" t="s">
        <v>24</v>
      </c>
      <c r="E69" s="9" t="s">
        <v>31</v>
      </c>
      <c r="F69" s="9" t="s">
        <v>26</v>
      </c>
      <c r="G69" s="10" t="s">
        <v>27</v>
      </c>
      <c r="H69" s="13"/>
      <c r="I69" s="13"/>
    </row>
    <row r="70" spans="1:9" ht="12.75" x14ac:dyDescent="0.2">
      <c r="A70" s="52"/>
      <c r="B70" s="9">
        <v>48</v>
      </c>
      <c r="C70" s="9" t="s">
        <v>1515</v>
      </c>
      <c r="D70" s="9" t="s">
        <v>24</v>
      </c>
      <c r="E70" s="9" t="s">
        <v>31</v>
      </c>
      <c r="F70" s="9" t="s">
        <v>26</v>
      </c>
      <c r="G70" s="10" t="s">
        <v>27</v>
      </c>
      <c r="H70" s="13"/>
      <c r="I70" s="13"/>
    </row>
    <row r="71" spans="1:9" ht="12.75" x14ac:dyDescent="0.2">
      <c r="A71" s="52"/>
      <c r="B71" s="9">
        <v>48</v>
      </c>
      <c r="C71" s="9" t="s">
        <v>1480</v>
      </c>
      <c r="D71" s="9" t="s">
        <v>24</v>
      </c>
      <c r="E71" s="9" t="s">
        <v>31</v>
      </c>
      <c r="F71" s="9" t="s">
        <v>26</v>
      </c>
      <c r="G71" s="10" t="s">
        <v>27</v>
      </c>
      <c r="H71" s="13"/>
      <c r="I71" s="13"/>
    </row>
    <row r="72" spans="1:9" ht="12.75" x14ac:dyDescent="0.2">
      <c r="A72" s="52"/>
      <c r="B72" s="9">
        <v>48</v>
      </c>
      <c r="C72" s="9" t="s">
        <v>1516</v>
      </c>
      <c r="D72" s="9" t="s">
        <v>24</v>
      </c>
      <c r="E72" s="9" t="s">
        <v>31</v>
      </c>
      <c r="F72" s="9" t="s">
        <v>26</v>
      </c>
      <c r="G72" s="10" t="s">
        <v>27</v>
      </c>
      <c r="H72" s="13"/>
      <c r="I72" s="13"/>
    </row>
    <row r="73" spans="1:9" ht="12.75" x14ac:dyDescent="0.2">
      <c r="A73" s="52"/>
      <c r="B73" s="9">
        <v>48</v>
      </c>
      <c r="C73" s="9" t="s">
        <v>1482</v>
      </c>
      <c r="D73" s="9" t="s">
        <v>24</v>
      </c>
      <c r="E73" s="9" t="s">
        <v>31</v>
      </c>
      <c r="F73" s="9" t="s">
        <v>26</v>
      </c>
      <c r="G73" s="10" t="s">
        <v>27</v>
      </c>
      <c r="H73" s="13"/>
      <c r="I73" s="13"/>
    </row>
    <row r="74" spans="1:9" ht="12.75" x14ac:dyDescent="0.2">
      <c r="A74" s="52"/>
      <c r="B74" s="9">
        <v>48</v>
      </c>
      <c r="C74" s="9" t="s">
        <v>1517</v>
      </c>
      <c r="D74" s="9" t="s">
        <v>24</v>
      </c>
      <c r="E74" s="9" t="s">
        <v>31</v>
      </c>
      <c r="F74" s="9" t="s">
        <v>26</v>
      </c>
      <c r="G74" s="10" t="s">
        <v>27</v>
      </c>
      <c r="H74" s="13"/>
      <c r="I74" s="13"/>
    </row>
    <row r="75" spans="1:9" ht="12.75" x14ac:dyDescent="0.2">
      <c r="A75" s="52"/>
      <c r="B75" s="9">
        <v>48</v>
      </c>
      <c r="C75" s="9" t="s">
        <v>1206</v>
      </c>
      <c r="D75" s="9" t="s">
        <v>24</v>
      </c>
      <c r="E75" s="9" t="s">
        <v>31</v>
      </c>
      <c r="F75" s="9" t="s">
        <v>26</v>
      </c>
      <c r="G75" s="10" t="s">
        <v>27</v>
      </c>
      <c r="H75" s="13"/>
      <c r="I75" s="13"/>
    </row>
    <row r="76" spans="1:9" ht="12.75" x14ac:dyDescent="0.2">
      <c r="A76" s="52"/>
      <c r="B76" s="9">
        <v>48</v>
      </c>
      <c r="C76" s="9" t="s">
        <v>1496</v>
      </c>
      <c r="D76" s="9" t="s">
        <v>24</v>
      </c>
      <c r="E76" s="9" t="s">
        <v>31</v>
      </c>
      <c r="F76" s="9" t="s">
        <v>26</v>
      </c>
      <c r="G76" s="10" t="s">
        <v>27</v>
      </c>
      <c r="H76" s="13"/>
      <c r="I76" s="13"/>
    </row>
    <row r="77" spans="1:9" ht="12.75" x14ac:dyDescent="0.2">
      <c r="A77" s="52"/>
      <c r="B77" s="9">
        <v>48</v>
      </c>
      <c r="C77" s="9" t="s">
        <v>1518</v>
      </c>
      <c r="D77" s="9" t="s">
        <v>24</v>
      </c>
      <c r="E77" s="9" t="s">
        <v>31</v>
      </c>
      <c r="F77" s="9" t="s">
        <v>26</v>
      </c>
      <c r="G77" s="10" t="s">
        <v>27</v>
      </c>
      <c r="H77" s="13"/>
      <c r="I77" s="13"/>
    </row>
    <row r="78" spans="1:9" ht="12.75" x14ac:dyDescent="0.2">
      <c r="A78" s="52"/>
      <c r="B78" s="9">
        <v>48</v>
      </c>
      <c r="C78" s="9" t="s">
        <v>1519</v>
      </c>
      <c r="D78" s="9" t="s">
        <v>24</v>
      </c>
      <c r="E78" s="9" t="s">
        <v>31</v>
      </c>
      <c r="F78" s="9" t="s">
        <v>26</v>
      </c>
      <c r="G78" s="10" t="s">
        <v>27</v>
      </c>
      <c r="H78" s="13"/>
      <c r="I78" s="13"/>
    </row>
    <row r="79" spans="1:9" ht="12.75" x14ac:dyDescent="0.2">
      <c r="A79" s="53"/>
      <c r="B79" s="9">
        <v>48</v>
      </c>
      <c r="C79" s="9" t="s">
        <v>1491</v>
      </c>
      <c r="D79" s="9" t="s">
        <v>24</v>
      </c>
      <c r="E79" s="9" t="s">
        <v>31</v>
      </c>
      <c r="F79" s="9" t="s">
        <v>26</v>
      </c>
      <c r="G79" s="10" t="s">
        <v>27</v>
      </c>
      <c r="H79" s="13"/>
      <c r="I79" s="13"/>
    </row>
    <row r="80" spans="1:9" ht="12.75" x14ac:dyDescent="0.2">
      <c r="A80" s="48" t="s">
        <v>62</v>
      </c>
      <c r="B80" s="9">
        <v>48</v>
      </c>
      <c r="C80" s="9" t="s">
        <v>1503</v>
      </c>
      <c r="D80" s="9" t="s">
        <v>24</v>
      </c>
      <c r="E80" s="9" t="s">
        <v>31</v>
      </c>
      <c r="F80" s="9" t="s">
        <v>47</v>
      </c>
      <c r="G80" s="10" t="s">
        <v>27</v>
      </c>
      <c r="H80" s="13"/>
      <c r="I80" s="13"/>
    </row>
    <row r="81" spans="1:9" ht="12.75" x14ac:dyDescent="0.2">
      <c r="A81" s="52"/>
      <c r="B81" s="9">
        <v>48</v>
      </c>
      <c r="C81" s="9" t="s">
        <v>1520</v>
      </c>
      <c r="D81" s="9" t="s">
        <v>24</v>
      </c>
      <c r="E81" s="9" t="s">
        <v>31</v>
      </c>
      <c r="F81" s="9" t="s">
        <v>47</v>
      </c>
      <c r="G81" s="10" t="s">
        <v>27</v>
      </c>
      <c r="H81" s="13"/>
      <c r="I81" s="13"/>
    </row>
    <row r="82" spans="1:9" ht="12.75" x14ac:dyDescent="0.2">
      <c r="A82" s="52"/>
      <c r="B82" s="9">
        <v>48</v>
      </c>
      <c r="C82" s="9" t="s">
        <v>1486</v>
      </c>
      <c r="D82" s="9" t="s">
        <v>24</v>
      </c>
      <c r="E82" s="9" t="s">
        <v>31</v>
      </c>
      <c r="F82" s="9" t="s">
        <v>47</v>
      </c>
      <c r="G82" s="10" t="s">
        <v>27</v>
      </c>
      <c r="H82" s="13"/>
      <c r="I82" s="13"/>
    </row>
    <row r="83" spans="1:9" ht="12.75" x14ac:dyDescent="0.2">
      <c r="A83" s="52"/>
      <c r="B83" s="9">
        <v>48</v>
      </c>
      <c r="C83" s="9" t="s">
        <v>1497</v>
      </c>
      <c r="D83" s="9" t="s">
        <v>24</v>
      </c>
      <c r="E83" s="9" t="s">
        <v>31</v>
      </c>
      <c r="F83" s="9" t="s">
        <v>47</v>
      </c>
      <c r="G83" s="10" t="s">
        <v>27</v>
      </c>
      <c r="H83" s="13"/>
      <c r="I83" s="13"/>
    </row>
    <row r="84" spans="1:9" ht="12.75" x14ac:dyDescent="0.2">
      <c r="A84" s="53"/>
      <c r="B84" s="9">
        <v>48</v>
      </c>
      <c r="C84" s="9" t="s">
        <v>1521</v>
      </c>
      <c r="D84" s="9" t="s">
        <v>24</v>
      </c>
      <c r="E84" s="9" t="s">
        <v>31</v>
      </c>
      <c r="F84" s="9" t="s">
        <v>47</v>
      </c>
      <c r="G84" s="10" t="s">
        <v>27</v>
      </c>
      <c r="H84" s="13"/>
      <c r="I84" s="13"/>
    </row>
    <row r="85" spans="1:9" ht="12.75" x14ac:dyDescent="0.2">
      <c r="A85" s="48" t="s">
        <v>70</v>
      </c>
      <c r="B85" s="9">
        <v>48</v>
      </c>
      <c r="C85" s="9" t="s">
        <v>1482</v>
      </c>
      <c r="D85" s="9" t="s">
        <v>24</v>
      </c>
      <c r="E85" s="9" t="s">
        <v>31</v>
      </c>
      <c r="F85" s="9" t="s">
        <v>26</v>
      </c>
      <c r="G85" s="10" t="s">
        <v>27</v>
      </c>
      <c r="H85" s="13"/>
      <c r="I85" s="13"/>
    </row>
    <row r="86" spans="1:9" ht="12.75" x14ac:dyDescent="0.2">
      <c r="A86" s="52"/>
      <c r="B86" s="9">
        <v>48</v>
      </c>
      <c r="C86" s="9" t="s">
        <v>1509</v>
      </c>
      <c r="D86" s="9" t="s">
        <v>24</v>
      </c>
      <c r="E86" s="9" t="s">
        <v>31</v>
      </c>
      <c r="F86" s="9" t="s">
        <v>26</v>
      </c>
      <c r="G86" s="10" t="s">
        <v>27</v>
      </c>
      <c r="H86" s="13"/>
      <c r="I86" s="13"/>
    </row>
    <row r="87" spans="1:9" ht="12.75" x14ac:dyDescent="0.2">
      <c r="A87" s="52"/>
      <c r="B87" s="9">
        <v>48</v>
      </c>
      <c r="C87" s="9" t="s">
        <v>1496</v>
      </c>
      <c r="D87" s="9" t="s">
        <v>24</v>
      </c>
      <c r="E87" s="9" t="s">
        <v>31</v>
      </c>
      <c r="F87" s="9" t="s">
        <v>26</v>
      </c>
      <c r="G87" s="10" t="s">
        <v>27</v>
      </c>
      <c r="H87" s="13"/>
      <c r="I87" s="13"/>
    </row>
    <row r="88" spans="1:9" ht="12.75" x14ac:dyDescent="0.2">
      <c r="A88" s="52"/>
      <c r="B88" s="9">
        <v>48</v>
      </c>
      <c r="C88" s="9" t="s">
        <v>1522</v>
      </c>
      <c r="D88" s="9" t="s">
        <v>24</v>
      </c>
      <c r="E88" s="9" t="s">
        <v>31</v>
      </c>
      <c r="F88" s="9" t="s">
        <v>26</v>
      </c>
      <c r="G88" s="10" t="s">
        <v>27</v>
      </c>
      <c r="H88" s="13"/>
      <c r="I88" s="13"/>
    </row>
    <row r="89" spans="1:9" ht="12.75" x14ac:dyDescent="0.2">
      <c r="A89" s="52"/>
      <c r="B89" s="9">
        <v>48</v>
      </c>
      <c r="C89" s="9" t="s">
        <v>1523</v>
      </c>
      <c r="D89" s="9" t="s">
        <v>24</v>
      </c>
      <c r="E89" s="9" t="s">
        <v>31</v>
      </c>
      <c r="F89" s="9" t="s">
        <v>26</v>
      </c>
      <c r="G89" s="10" t="s">
        <v>27</v>
      </c>
      <c r="H89" s="13"/>
      <c r="I89" s="13"/>
    </row>
    <row r="90" spans="1:9" ht="12.75" x14ac:dyDescent="0.2">
      <c r="A90" s="52"/>
      <c r="B90" s="9">
        <v>48</v>
      </c>
      <c r="C90" s="9" t="s">
        <v>1524</v>
      </c>
      <c r="D90" s="9" t="s">
        <v>24</v>
      </c>
      <c r="E90" s="9" t="s">
        <v>31</v>
      </c>
      <c r="F90" s="9" t="s">
        <v>26</v>
      </c>
      <c r="G90" s="10" t="s">
        <v>27</v>
      </c>
      <c r="H90" s="13"/>
      <c r="I90" s="13"/>
    </row>
    <row r="91" spans="1:9" ht="12.75" x14ac:dyDescent="0.2">
      <c r="A91" s="53"/>
      <c r="B91" s="9">
        <v>48</v>
      </c>
      <c r="C91" s="9" t="s">
        <v>1525</v>
      </c>
      <c r="D91" s="9" t="s">
        <v>24</v>
      </c>
      <c r="E91" s="9" t="s">
        <v>31</v>
      </c>
      <c r="F91" s="9" t="s">
        <v>26</v>
      </c>
      <c r="G91" s="10" t="s">
        <v>27</v>
      </c>
      <c r="H91" s="13"/>
      <c r="I91" s="13"/>
    </row>
    <row r="92" spans="1:9" ht="12.75" x14ac:dyDescent="0.2">
      <c r="A92" s="48" t="s">
        <v>73</v>
      </c>
      <c r="B92" s="9">
        <v>48</v>
      </c>
      <c r="C92" s="9" t="s">
        <v>1526</v>
      </c>
      <c r="D92" s="9" t="s">
        <v>24</v>
      </c>
      <c r="E92" s="9" t="s">
        <v>31</v>
      </c>
      <c r="F92" s="9" t="s">
        <v>26</v>
      </c>
      <c r="G92" s="10" t="s">
        <v>27</v>
      </c>
      <c r="H92" s="13"/>
      <c r="I92" s="13"/>
    </row>
    <row r="93" spans="1:9" ht="12.75" x14ac:dyDescent="0.2">
      <c r="A93" s="52"/>
      <c r="B93" s="9">
        <v>48</v>
      </c>
      <c r="C93" s="9" t="s">
        <v>1527</v>
      </c>
      <c r="D93" s="9" t="s">
        <v>24</v>
      </c>
      <c r="E93" s="9" t="s">
        <v>31</v>
      </c>
      <c r="F93" s="9" t="s">
        <v>26</v>
      </c>
      <c r="G93" s="10" t="s">
        <v>27</v>
      </c>
      <c r="H93" s="13"/>
      <c r="I93" s="13"/>
    </row>
    <row r="94" spans="1:9" ht="12.75" x14ac:dyDescent="0.2">
      <c r="A94" s="52"/>
      <c r="B94" s="9">
        <v>48</v>
      </c>
      <c r="C94" s="9" t="s">
        <v>1503</v>
      </c>
      <c r="D94" s="9" t="s">
        <v>24</v>
      </c>
      <c r="E94" s="9" t="s">
        <v>31</v>
      </c>
      <c r="F94" s="9" t="s">
        <v>26</v>
      </c>
      <c r="G94" s="10" t="s">
        <v>27</v>
      </c>
      <c r="H94" s="13"/>
      <c r="I94" s="13"/>
    </row>
    <row r="95" spans="1:9" ht="12.75" x14ac:dyDescent="0.2">
      <c r="A95" s="52"/>
      <c r="B95" s="9">
        <v>48</v>
      </c>
      <c r="C95" s="9" t="s">
        <v>1480</v>
      </c>
      <c r="D95" s="9" t="s">
        <v>24</v>
      </c>
      <c r="E95" s="9" t="s">
        <v>31</v>
      </c>
      <c r="F95" s="9" t="s">
        <v>26</v>
      </c>
      <c r="G95" s="10" t="s">
        <v>27</v>
      </c>
      <c r="H95" s="13"/>
      <c r="I95" s="13"/>
    </row>
    <row r="96" spans="1:9" ht="12.75" x14ac:dyDescent="0.2">
      <c r="A96" s="52"/>
      <c r="B96" s="9">
        <v>48</v>
      </c>
      <c r="C96" s="9" t="s">
        <v>1482</v>
      </c>
      <c r="D96" s="9" t="s">
        <v>24</v>
      </c>
      <c r="E96" s="9" t="s">
        <v>31</v>
      </c>
      <c r="F96" s="9" t="s">
        <v>26</v>
      </c>
      <c r="G96" s="10" t="s">
        <v>27</v>
      </c>
      <c r="H96" s="13"/>
      <c r="I96" s="13"/>
    </row>
    <row r="97" spans="1:9" ht="12.75" x14ac:dyDescent="0.2">
      <c r="A97" s="52"/>
      <c r="B97" s="9">
        <v>48</v>
      </c>
      <c r="C97" s="9" t="s">
        <v>1517</v>
      </c>
      <c r="D97" s="9" t="s">
        <v>24</v>
      </c>
      <c r="E97" s="9" t="s">
        <v>31</v>
      </c>
      <c r="F97" s="9" t="s">
        <v>26</v>
      </c>
      <c r="G97" s="10" t="s">
        <v>27</v>
      </c>
      <c r="H97" s="13"/>
      <c r="I97" s="13"/>
    </row>
    <row r="98" spans="1:9" ht="12.75" x14ac:dyDescent="0.2">
      <c r="A98" s="52"/>
      <c r="B98" s="9">
        <v>48</v>
      </c>
      <c r="C98" s="9" t="s">
        <v>1509</v>
      </c>
      <c r="D98" s="9" t="s">
        <v>24</v>
      </c>
      <c r="E98" s="9" t="s">
        <v>31</v>
      </c>
      <c r="F98" s="9" t="s">
        <v>26</v>
      </c>
      <c r="G98" s="10" t="s">
        <v>27</v>
      </c>
      <c r="H98" s="13"/>
      <c r="I98" s="13"/>
    </row>
    <row r="99" spans="1:9" ht="12.75" x14ac:dyDescent="0.2">
      <c r="A99" s="52"/>
      <c r="B99" s="9">
        <v>48</v>
      </c>
      <c r="C99" s="9" t="s">
        <v>1528</v>
      </c>
      <c r="D99" s="9" t="s">
        <v>24</v>
      </c>
      <c r="E99" s="9" t="s">
        <v>31</v>
      </c>
      <c r="F99" s="9" t="s">
        <v>26</v>
      </c>
      <c r="G99" s="10" t="s">
        <v>27</v>
      </c>
      <c r="H99" s="13"/>
      <c r="I99" s="13"/>
    </row>
    <row r="100" spans="1:9" ht="12.75" x14ac:dyDescent="0.2">
      <c r="A100" s="52"/>
      <c r="B100" s="9">
        <v>48</v>
      </c>
      <c r="C100" s="9" t="s">
        <v>1529</v>
      </c>
      <c r="D100" s="9" t="s">
        <v>24</v>
      </c>
      <c r="E100" s="9" t="s">
        <v>31</v>
      </c>
      <c r="F100" s="9" t="s">
        <v>26</v>
      </c>
      <c r="G100" s="10" t="s">
        <v>27</v>
      </c>
      <c r="H100" s="13"/>
      <c r="I100" s="13"/>
    </row>
    <row r="101" spans="1:9" ht="12.75" x14ac:dyDescent="0.2">
      <c r="A101" s="52"/>
      <c r="B101" s="9">
        <v>48</v>
      </c>
      <c r="C101" s="9" t="s">
        <v>1530</v>
      </c>
      <c r="D101" s="9" t="s">
        <v>24</v>
      </c>
      <c r="E101" s="9" t="s">
        <v>31</v>
      </c>
      <c r="F101" s="9" t="s">
        <v>26</v>
      </c>
      <c r="G101" s="10" t="s">
        <v>27</v>
      </c>
      <c r="H101" s="13"/>
      <c r="I101" s="13"/>
    </row>
    <row r="102" spans="1:9" ht="12.75" x14ac:dyDescent="0.2">
      <c r="A102" s="53"/>
      <c r="B102" s="9">
        <v>48</v>
      </c>
      <c r="C102" s="9" t="s">
        <v>1491</v>
      </c>
      <c r="D102" s="9" t="s">
        <v>24</v>
      </c>
      <c r="E102" s="9" t="s">
        <v>31</v>
      </c>
      <c r="F102" s="9" t="s">
        <v>26</v>
      </c>
      <c r="G102" s="10" t="s">
        <v>27</v>
      </c>
      <c r="H102" s="13"/>
      <c r="I102" s="13"/>
    </row>
    <row r="103" spans="1:9" ht="12.75" x14ac:dyDescent="0.2">
      <c r="A103" s="48" t="s">
        <v>77</v>
      </c>
      <c r="B103" s="12">
        <v>48</v>
      </c>
      <c r="C103" s="12" t="s">
        <v>1531</v>
      </c>
      <c r="D103" s="12" t="s">
        <v>24</v>
      </c>
      <c r="E103" s="12" t="s">
        <v>25</v>
      </c>
      <c r="F103" s="12" t="s">
        <v>26</v>
      </c>
      <c r="G103" s="10" t="s">
        <v>27</v>
      </c>
      <c r="H103" s="13"/>
      <c r="I103" s="13"/>
    </row>
    <row r="104" spans="1:9" ht="12.75" x14ac:dyDescent="0.2">
      <c r="A104" s="52"/>
      <c r="B104" s="12">
        <v>48</v>
      </c>
      <c r="C104" s="12" t="s">
        <v>1532</v>
      </c>
      <c r="D104" s="12" t="s">
        <v>24</v>
      </c>
      <c r="E104" s="12" t="s">
        <v>25</v>
      </c>
      <c r="F104" s="12" t="s">
        <v>26</v>
      </c>
      <c r="G104" s="10" t="s">
        <v>27</v>
      </c>
      <c r="H104" s="13"/>
      <c r="I104" s="13"/>
    </row>
    <row r="105" spans="1:9" ht="12.75" x14ac:dyDescent="0.2">
      <c r="A105" s="52"/>
      <c r="B105" s="12">
        <v>48</v>
      </c>
      <c r="C105" s="12" t="s">
        <v>1533</v>
      </c>
      <c r="D105" s="12" t="s">
        <v>24</v>
      </c>
      <c r="E105" s="12" t="s">
        <v>25</v>
      </c>
      <c r="F105" s="12" t="s">
        <v>26</v>
      </c>
      <c r="G105" s="10" t="s">
        <v>27</v>
      </c>
      <c r="H105" s="13"/>
      <c r="I105" s="13"/>
    </row>
    <row r="106" spans="1:9" ht="12.75" x14ac:dyDescent="0.2">
      <c r="A106" s="52"/>
      <c r="B106" s="12">
        <v>48</v>
      </c>
      <c r="C106" s="12" t="s">
        <v>1534</v>
      </c>
      <c r="D106" s="12" t="s">
        <v>24</v>
      </c>
      <c r="E106" s="12" t="s">
        <v>25</v>
      </c>
      <c r="F106" s="12" t="s">
        <v>26</v>
      </c>
      <c r="G106" s="10" t="s">
        <v>27</v>
      </c>
      <c r="H106" s="13"/>
      <c r="I106" s="13"/>
    </row>
    <row r="107" spans="1:9" ht="12.75" x14ac:dyDescent="0.2">
      <c r="A107" s="52"/>
      <c r="B107" s="12">
        <v>48</v>
      </c>
      <c r="C107" s="12" t="s">
        <v>1535</v>
      </c>
      <c r="D107" s="12" t="s">
        <v>24</v>
      </c>
      <c r="E107" s="12" t="s">
        <v>25</v>
      </c>
      <c r="F107" s="12" t="s">
        <v>26</v>
      </c>
      <c r="G107" s="10" t="s">
        <v>27</v>
      </c>
      <c r="H107" s="13"/>
      <c r="I107" s="13"/>
    </row>
    <row r="108" spans="1:9" ht="12.75" x14ac:dyDescent="0.2">
      <c r="A108" s="52"/>
      <c r="B108" s="12">
        <v>48</v>
      </c>
      <c r="C108" s="12" t="s">
        <v>1528</v>
      </c>
      <c r="D108" s="12" t="s">
        <v>24</v>
      </c>
      <c r="E108" s="12" t="s">
        <v>25</v>
      </c>
      <c r="F108" s="12" t="s">
        <v>26</v>
      </c>
      <c r="G108" s="10" t="s">
        <v>27</v>
      </c>
      <c r="H108" s="13"/>
      <c r="I108" s="13"/>
    </row>
    <row r="109" spans="1:9" ht="12.75" x14ac:dyDescent="0.2">
      <c r="A109" s="52"/>
      <c r="B109" s="12">
        <v>48</v>
      </c>
      <c r="C109" s="12" t="s">
        <v>1509</v>
      </c>
      <c r="D109" s="12" t="s">
        <v>24</v>
      </c>
      <c r="E109" s="12" t="s">
        <v>25</v>
      </c>
      <c r="F109" s="12" t="s">
        <v>26</v>
      </c>
      <c r="G109" s="10" t="s">
        <v>27</v>
      </c>
      <c r="H109" s="13"/>
      <c r="I109" s="13"/>
    </row>
    <row r="110" spans="1:9" ht="12.75" x14ac:dyDescent="0.2">
      <c r="A110" s="52"/>
      <c r="B110" s="12">
        <v>48</v>
      </c>
      <c r="C110" s="12" t="s">
        <v>1536</v>
      </c>
      <c r="D110" s="12" t="s">
        <v>24</v>
      </c>
      <c r="E110" s="12" t="s">
        <v>25</v>
      </c>
      <c r="F110" s="12" t="s">
        <v>26</v>
      </c>
      <c r="G110" s="10" t="s">
        <v>27</v>
      </c>
      <c r="H110" s="13"/>
      <c r="I110" s="13"/>
    </row>
    <row r="111" spans="1:9" ht="12.75" x14ac:dyDescent="0.2">
      <c r="A111" s="52"/>
      <c r="B111" s="12">
        <v>48</v>
      </c>
      <c r="C111" s="12" t="s">
        <v>1537</v>
      </c>
      <c r="D111" s="12" t="s">
        <v>24</v>
      </c>
      <c r="E111" s="12" t="s">
        <v>25</v>
      </c>
      <c r="F111" s="12" t="s">
        <v>26</v>
      </c>
      <c r="G111" s="10" t="s">
        <v>27</v>
      </c>
      <c r="H111" s="13"/>
      <c r="I111" s="13"/>
    </row>
    <row r="112" spans="1:9" ht="12.75" x14ac:dyDescent="0.2">
      <c r="A112" s="52"/>
      <c r="B112" s="12">
        <v>48</v>
      </c>
      <c r="C112" s="12" t="s">
        <v>1538</v>
      </c>
      <c r="D112" s="12" t="s">
        <v>24</v>
      </c>
      <c r="E112" s="12" t="s">
        <v>25</v>
      </c>
      <c r="F112" s="12" t="s">
        <v>26</v>
      </c>
      <c r="G112" s="10" t="s">
        <v>27</v>
      </c>
      <c r="H112" s="13"/>
      <c r="I112" s="13"/>
    </row>
    <row r="113" spans="1:9" ht="12.75" x14ac:dyDescent="0.2">
      <c r="A113" s="52"/>
      <c r="B113" s="12">
        <v>48</v>
      </c>
      <c r="C113" s="12" t="s">
        <v>1539</v>
      </c>
      <c r="D113" s="12" t="s">
        <v>24</v>
      </c>
      <c r="E113" s="12" t="s">
        <v>25</v>
      </c>
      <c r="F113" s="12" t="s">
        <v>26</v>
      </c>
      <c r="G113" s="10" t="s">
        <v>27</v>
      </c>
      <c r="H113" s="13"/>
      <c r="I113" s="13"/>
    </row>
    <row r="114" spans="1:9" ht="12.75" x14ac:dyDescent="0.2">
      <c r="A114" s="53"/>
      <c r="B114" s="12">
        <v>48</v>
      </c>
      <c r="C114" s="12" t="s">
        <v>1491</v>
      </c>
      <c r="D114" s="12" t="s">
        <v>24</v>
      </c>
      <c r="E114" s="12" t="s">
        <v>25</v>
      </c>
      <c r="F114" s="12" t="s">
        <v>26</v>
      </c>
      <c r="G114" s="10" t="s">
        <v>27</v>
      </c>
      <c r="H114" s="13"/>
      <c r="I114" s="13"/>
    </row>
    <row r="115" spans="1:9" ht="12.75" x14ac:dyDescent="0.2">
      <c r="A115" s="48" t="s">
        <v>79</v>
      </c>
      <c r="B115" s="9">
        <v>48</v>
      </c>
      <c r="C115" s="9" t="s">
        <v>1540</v>
      </c>
      <c r="D115" s="9" t="s">
        <v>24</v>
      </c>
      <c r="E115" s="9" t="s">
        <v>31</v>
      </c>
      <c r="F115" s="9" t="s">
        <v>26</v>
      </c>
      <c r="G115" s="10" t="s">
        <v>27</v>
      </c>
      <c r="H115" s="13"/>
      <c r="I115" s="13"/>
    </row>
    <row r="116" spans="1:9" ht="12.75" x14ac:dyDescent="0.2">
      <c r="A116" s="52"/>
      <c r="B116" s="9">
        <v>48</v>
      </c>
      <c r="C116" s="9" t="s">
        <v>1541</v>
      </c>
      <c r="D116" s="9" t="s">
        <v>24</v>
      </c>
      <c r="E116" s="9" t="s">
        <v>31</v>
      </c>
      <c r="F116" s="9" t="s">
        <v>26</v>
      </c>
      <c r="G116" s="10" t="s">
        <v>27</v>
      </c>
      <c r="H116" s="13"/>
      <c r="I116" s="13"/>
    </row>
    <row r="117" spans="1:9" ht="12.75" x14ac:dyDescent="0.2">
      <c r="A117" s="52"/>
      <c r="B117" s="9">
        <v>48</v>
      </c>
      <c r="C117" s="9" t="s">
        <v>1542</v>
      </c>
      <c r="D117" s="9" t="s">
        <v>24</v>
      </c>
      <c r="E117" s="9" t="s">
        <v>31</v>
      </c>
      <c r="F117" s="9" t="s">
        <v>26</v>
      </c>
      <c r="G117" s="10" t="s">
        <v>27</v>
      </c>
      <c r="H117" s="13"/>
      <c r="I117" s="13"/>
    </row>
    <row r="118" spans="1:9" ht="12.75" x14ac:dyDescent="0.2">
      <c r="A118" s="52"/>
      <c r="B118" s="9">
        <v>48</v>
      </c>
      <c r="C118" s="9" t="s">
        <v>1494</v>
      </c>
      <c r="D118" s="9" t="s">
        <v>24</v>
      </c>
      <c r="E118" s="9" t="s">
        <v>31</v>
      </c>
      <c r="F118" s="9" t="s">
        <v>26</v>
      </c>
      <c r="G118" s="10" t="s">
        <v>27</v>
      </c>
      <c r="H118" s="13"/>
      <c r="I118" s="13"/>
    </row>
    <row r="119" spans="1:9" ht="12.75" x14ac:dyDescent="0.2">
      <c r="A119" s="52"/>
      <c r="B119" s="9">
        <v>48</v>
      </c>
      <c r="C119" s="9" t="s">
        <v>1543</v>
      </c>
      <c r="D119" s="9" t="s">
        <v>24</v>
      </c>
      <c r="E119" s="9" t="s">
        <v>31</v>
      </c>
      <c r="F119" s="9" t="s">
        <v>26</v>
      </c>
      <c r="G119" s="10" t="s">
        <v>27</v>
      </c>
      <c r="H119" s="13"/>
      <c r="I119" s="13"/>
    </row>
    <row r="120" spans="1:9" ht="12.75" x14ac:dyDescent="0.2">
      <c r="A120" s="52"/>
      <c r="B120" s="9">
        <v>48</v>
      </c>
      <c r="C120" s="9" t="s">
        <v>1544</v>
      </c>
      <c r="D120" s="9" t="s">
        <v>24</v>
      </c>
      <c r="E120" s="9" t="s">
        <v>31</v>
      </c>
      <c r="F120" s="9" t="s">
        <v>26</v>
      </c>
      <c r="G120" s="10" t="s">
        <v>27</v>
      </c>
      <c r="H120" s="13"/>
      <c r="I120" s="13"/>
    </row>
    <row r="121" spans="1:9" ht="12.75" x14ac:dyDescent="0.2">
      <c r="A121" s="52"/>
      <c r="B121" s="9">
        <v>48</v>
      </c>
      <c r="C121" s="9" t="s">
        <v>1545</v>
      </c>
      <c r="D121" s="9" t="s">
        <v>24</v>
      </c>
      <c r="E121" s="9" t="s">
        <v>31</v>
      </c>
      <c r="F121" s="9" t="s">
        <v>26</v>
      </c>
      <c r="G121" s="10" t="s">
        <v>27</v>
      </c>
      <c r="H121" s="13"/>
      <c r="I121" s="13"/>
    </row>
    <row r="122" spans="1:9" ht="12.75" x14ac:dyDescent="0.2">
      <c r="A122" s="52"/>
      <c r="B122" s="9">
        <v>48</v>
      </c>
      <c r="C122" s="9" t="s">
        <v>1509</v>
      </c>
      <c r="D122" s="9" t="s">
        <v>24</v>
      </c>
      <c r="E122" s="9" t="s">
        <v>31</v>
      </c>
      <c r="F122" s="9" t="s">
        <v>26</v>
      </c>
      <c r="G122" s="10" t="s">
        <v>27</v>
      </c>
      <c r="H122" s="13"/>
      <c r="I122" s="13"/>
    </row>
    <row r="123" spans="1:9" ht="12.75" x14ac:dyDescent="0.2">
      <c r="A123" s="52"/>
      <c r="B123" s="9">
        <v>48</v>
      </c>
      <c r="C123" s="9" t="s">
        <v>1522</v>
      </c>
      <c r="D123" s="9" t="s">
        <v>24</v>
      </c>
      <c r="E123" s="9" t="s">
        <v>31</v>
      </c>
      <c r="F123" s="9" t="s">
        <v>26</v>
      </c>
      <c r="G123" s="10" t="s">
        <v>27</v>
      </c>
      <c r="H123" s="13"/>
      <c r="I123" s="13"/>
    </row>
    <row r="124" spans="1:9" ht="12.75" x14ac:dyDescent="0.2">
      <c r="A124" s="53"/>
      <c r="B124" s="9">
        <v>48</v>
      </c>
      <c r="C124" s="9" t="s">
        <v>1529</v>
      </c>
      <c r="D124" s="9" t="s">
        <v>24</v>
      </c>
      <c r="E124" s="9" t="s">
        <v>31</v>
      </c>
      <c r="F124" s="9" t="s">
        <v>26</v>
      </c>
      <c r="G124" s="10" t="s">
        <v>27</v>
      </c>
      <c r="H124" s="13"/>
      <c r="I124" s="13"/>
    </row>
    <row r="125" spans="1:9" ht="12.75" x14ac:dyDescent="0.2">
      <c r="A125" s="48" t="s">
        <v>83</v>
      </c>
      <c r="B125" s="9">
        <v>48</v>
      </c>
      <c r="C125" s="9" t="s">
        <v>1546</v>
      </c>
      <c r="D125" s="9" t="s">
        <v>24</v>
      </c>
      <c r="E125" s="9" t="s">
        <v>31</v>
      </c>
      <c r="F125" s="9" t="s">
        <v>26</v>
      </c>
      <c r="G125" s="10" t="s">
        <v>27</v>
      </c>
      <c r="H125" s="13"/>
      <c r="I125" s="13"/>
    </row>
    <row r="126" spans="1:9" ht="12.75" x14ac:dyDescent="0.2">
      <c r="A126" s="52"/>
      <c r="B126" s="9">
        <v>48</v>
      </c>
      <c r="C126" s="9" t="s">
        <v>1509</v>
      </c>
      <c r="D126" s="9" t="s">
        <v>24</v>
      </c>
      <c r="E126" s="9" t="s">
        <v>31</v>
      </c>
      <c r="F126" s="9" t="s">
        <v>26</v>
      </c>
      <c r="G126" s="10" t="s">
        <v>27</v>
      </c>
      <c r="H126" s="13"/>
      <c r="I126" s="13"/>
    </row>
    <row r="127" spans="1:9" ht="12.75" x14ac:dyDescent="0.2">
      <c r="A127" s="53"/>
      <c r="B127" s="9">
        <v>48</v>
      </c>
      <c r="C127" s="9" t="s">
        <v>1547</v>
      </c>
      <c r="D127" s="9" t="s">
        <v>24</v>
      </c>
      <c r="E127" s="9" t="s">
        <v>31</v>
      </c>
      <c r="F127" s="9" t="s">
        <v>26</v>
      </c>
      <c r="G127" s="10" t="s">
        <v>27</v>
      </c>
      <c r="H127" s="13"/>
      <c r="I127" s="13"/>
    </row>
    <row r="128" spans="1:9" ht="12.75" x14ac:dyDescent="0.2">
      <c r="A128" s="64" t="s">
        <v>85</v>
      </c>
      <c r="B128" s="12">
        <v>48</v>
      </c>
      <c r="C128" s="12" t="s">
        <v>1509</v>
      </c>
      <c r="D128" s="12" t="s">
        <v>24</v>
      </c>
      <c r="E128" s="12" t="s">
        <v>25</v>
      </c>
      <c r="F128" s="12" t="s">
        <v>26</v>
      </c>
      <c r="G128" s="10" t="s">
        <v>27</v>
      </c>
      <c r="H128" s="13"/>
      <c r="I128" s="13"/>
    </row>
    <row r="129" spans="1:9" ht="12.75" x14ac:dyDescent="0.2">
      <c r="A129" s="52"/>
      <c r="B129" s="12">
        <v>48</v>
      </c>
      <c r="C129" s="12" t="s">
        <v>1547</v>
      </c>
      <c r="D129" s="12" t="s">
        <v>24</v>
      </c>
      <c r="E129" s="12" t="s">
        <v>25</v>
      </c>
      <c r="F129" s="12" t="s">
        <v>26</v>
      </c>
      <c r="G129" s="10" t="s">
        <v>27</v>
      </c>
      <c r="H129" s="13"/>
      <c r="I129" s="13"/>
    </row>
    <row r="130" spans="1:9" ht="12.75" x14ac:dyDescent="0.2">
      <c r="A130" s="53"/>
      <c r="B130" s="12">
        <v>48</v>
      </c>
      <c r="C130" s="12" t="s">
        <v>1548</v>
      </c>
      <c r="D130" s="12" t="s">
        <v>24</v>
      </c>
      <c r="E130" s="12" t="s">
        <v>25</v>
      </c>
      <c r="F130" s="12" t="s">
        <v>26</v>
      </c>
      <c r="G130" s="10" t="s">
        <v>27</v>
      </c>
      <c r="H130" s="13"/>
      <c r="I130" s="13"/>
    </row>
    <row r="131" spans="1:9" ht="12.75" x14ac:dyDescent="0.2">
      <c r="A131" s="31"/>
      <c r="B131" s="31"/>
      <c r="C131" s="31"/>
      <c r="D131" s="31"/>
      <c r="E131" s="31"/>
      <c r="F131" s="31"/>
      <c r="G131" s="31"/>
      <c r="H131" s="13"/>
      <c r="I131" s="13"/>
    </row>
    <row r="132" spans="1:9" ht="12.75" x14ac:dyDescent="0.2">
      <c r="A132" s="31"/>
      <c r="B132" s="31"/>
      <c r="C132" s="31"/>
      <c r="D132" s="31"/>
      <c r="E132" s="31"/>
      <c r="F132" s="31"/>
      <c r="G132" s="31"/>
      <c r="H132" s="13"/>
      <c r="I132" s="13"/>
    </row>
    <row r="133" spans="1:9" ht="12.75" x14ac:dyDescent="0.2">
      <c r="A133" s="13"/>
      <c r="B133" s="13"/>
      <c r="C133" s="13"/>
      <c r="D133" s="13"/>
      <c r="E133" s="13"/>
      <c r="F133" s="13"/>
      <c r="G133" s="13"/>
      <c r="H133" s="13"/>
      <c r="I133" s="13"/>
    </row>
    <row r="134" spans="1:9" ht="12.75" x14ac:dyDescent="0.2">
      <c r="A134" s="13"/>
      <c r="B134" s="13"/>
      <c r="C134" s="13"/>
      <c r="D134" s="13"/>
      <c r="E134" s="13"/>
      <c r="F134" s="13"/>
      <c r="G134" s="13"/>
      <c r="H134" s="13"/>
      <c r="I134" s="13"/>
    </row>
    <row r="135" spans="1:9" ht="12.75" x14ac:dyDescent="0.2">
      <c r="A135" s="13"/>
      <c r="B135" s="13"/>
      <c r="C135" s="13"/>
      <c r="D135" s="13"/>
      <c r="E135" s="13"/>
      <c r="F135" s="13"/>
      <c r="G135" s="13"/>
      <c r="H135" s="13"/>
      <c r="I135" s="13"/>
    </row>
    <row r="136" spans="1:9" ht="12.75" x14ac:dyDescent="0.2">
      <c r="A136" s="13"/>
      <c r="B136" s="13"/>
      <c r="C136" s="13"/>
      <c r="D136" s="13"/>
      <c r="E136" s="13"/>
      <c r="F136" s="13"/>
      <c r="G136" s="13"/>
      <c r="H136" s="13"/>
      <c r="I136" s="13"/>
    </row>
    <row r="137" spans="1:9" ht="12.75" x14ac:dyDescent="0.2">
      <c r="A137" s="13"/>
      <c r="B137" s="13"/>
      <c r="C137" s="13"/>
      <c r="D137" s="13"/>
      <c r="E137" s="13"/>
      <c r="F137" s="13"/>
      <c r="G137" s="13"/>
      <c r="H137" s="13"/>
      <c r="I137" s="13"/>
    </row>
    <row r="138" spans="1:9" ht="12.75" x14ac:dyDescent="0.2">
      <c r="A138" s="13"/>
      <c r="B138" s="13"/>
      <c r="C138" s="13"/>
      <c r="D138" s="13"/>
      <c r="E138" s="13"/>
      <c r="F138" s="13"/>
      <c r="G138" s="13"/>
      <c r="H138" s="13"/>
      <c r="I138" s="13"/>
    </row>
    <row r="139" spans="1:9" ht="12.75" x14ac:dyDescent="0.2">
      <c r="A139" s="13"/>
      <c r="B139" s="13"/>
      <c r="C139" s="13"/>
      <c r="D139" s="13"/>
      <c r="E139" s="13"/>
      <c r="F139" s="13"/>
      <c r="G139" s="13"/>
      <c r="H139" s="13"/>
      <c r="I139" s="13"/>
    </row>
  </sheetData>
  <mergeCells count="18">
    <mergeCell ref="A128:A130"/>
    <mergeCell ref="A52:A58"/>
    <mergeCell ref="A59:A62"/>
    <mergeCell ref="A63:A67"/>
    <mergeCell ref="A68:A79"/>
    <mergeCell ref="A80:A84"/>
    <mergeCell ref="A85:A91"/>
    <mergeCell ref="A92:A102"/>
    <mergeCell ref="A26:A35"/>
    <mergeCell ref="A36:A51"/>
    <mergeCell ref="A103:A114"/>
    <mergeCell ref="A115:A124"/>
    <mergeCell ref="A125:A127"/>
    <mergeCell ref="A1:G1"/>
    <mergeCell ref="A9:A11"/>
    <mergeCell ref="A12:A13"/>
    <mergeCell ref="A14:A16"/>
    <mergeCell ref="A17:A2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P124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13" ht="15.75" customHeight="1" x14ac:dyDescent="0.25">
      <c r="A1" s="54" t="s">
        <v>0</v>
      </c>
      <c r="B1" s="55"/>
      <c r="C1" s="55"/>
      <c r="D1" s="55"/>
      <c r="E1" s="55"/>
      <c r="F1" s="55"/>
      <c r="G1" s="56"/>
    </row>
    <row r="2" spans="1:13" x14ac:dyDescent="0.2">
      <c r="A2" s="1"/>
      <c r="B2" s="2"/>
      <c r="C2" s="2"/>
      <c r="D2" s="2"/>
      <c r="E2" s="2"/>
      <c r="F2" s="2"/>
      <c r="G2" s="2"/>
    </row>
    <row r="3" spans="1:13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13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13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13" x14ac:dyDescent="0.2">
      <c r="A6" s="1"/>
      <c r="B6" s="2"/>
      <c r="C6" s="2"/>
      <c r="D6" s="2"/>
      <c r="E6" s="2"/>
      <c r="F6" s="2"/>
      <c r="G6" s="2"/>
    </row>
    <row r="7" spans="1:13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13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13" x14ac:dyDescent="0.2">
      <c r="A9" s="48" t="s">
        <v>20</v>
      </c>
      <c r="B9" s="9">
        <v>49</v>
      </c>
      <c r="C9" s="9" t="s">
        <v>1478</v>
      </c>
      <c r="D9" s="9" t="s">
        <v>24</v>
      </c>
      <c r="E9" s="9" t="s">
        <v>31</v>
      </c>
      <c r="F9" s="9" t="s">
        <v>26</v>
      </c>
      <c r="G9" s="10" t="s">
        <v>27</v>
      </c>
      <c r="H9" s="11"/>
      <c r="I9" s="11"/>
      <c r="J9" s="11"/>
      <c r="K9" s="11"/>
      <c r="L9" s="11"/>
      <c r="M9" s="11"/>
    </row>
    <row r="10" spans="1:13" x14ac:dyDescent="0.2">
      <c r="A10" s="52"/>
      <c r="B10" s="9">
        <v>49</v>
      </c>
      <c r="C10" s="9" t="s">
        <v>1549</v>
      </c>
      <c r="D10" s="9" t="s">
        <v>24</v>
      </c>
      <c r="E10" s="9" t="s">
        <v>31</v>
      </c>
      <c r="F10" s="9" t="s">
        <v>26</v>
      </c>
      <c r="G10" s="10" t="s">
        <v>27</v>
      </c>
      <c r="H10" s="11"/>
      <c r="I10" s="11"/>
      <c r="J10" s="11"/>
      <c r="K10" s="11"/>
      <c r="L10" s="11"/>
      <c r="M10" s="11"/>
    </row>
    <row r="11" spans="1:13" x14ac:dyDescent="0.2">
      <c r="A11" s="52"/>
      <c r="B11" s="9">
        <v>49</v>
      </c>
      <c r="C11" s="9" t="s">
        <v>1550</v>
      </c>
      <c r="D11" s="9" t="s">
        <v>24</v>
      </c>
      <c r="E11" s="9" t="s">
        <v>31</v>
      </c>
      <c r="F11" s="9" t="s">
        <v>26</v>
      </c>
      <c r="G11" s="10" t="s">
        <v>27</v>
      </c>
      <c r="H11" s="11"/>
      <c r="I11" s="11"/>
      <c r="J11" s="11"/>
      <c r="K11" s="11"/>
      <c r="L11" s="11"/>
      <c r="M11" s="11"/>
    </row>
    <row r="12" spans="1:13" x14ac:dyDescent="0.2">
      <c r="A12" s="52"/>
      <c r="B12" s="9">
        <v>49</v>
      </c>
      <c r="C12" s="9" t="s">
        <v>1551</v>
      </c>
      <c r="D12" s="9" t="s">
        <v>24</v>
      </c>
      <c r="E12" s="9" t="s">
        <v>31</v>
      </c>
      <c r="F12" s="9" t="s">
        <v>26</v>
      </c>
      <c r="G12" s="10" t="s">
        <v>27</v>
      </c>
      <c r="H12" s="11"/>
      <c r="I12" s="11"/>
      <c r="J12" s="11"/>
      <c r="K12" s="11"/>
      <c r="L12" s="11"/>
      <c r="M12" s="11"/>
    </row>
    <row r="13" spans="1:13" x14ac:dyDescent="0.2">
      <c r="A13" s="52"/>
      <c r="B13" s="9">
        <v>49</v>
      </c>
      <c r="C13" s="9" t="s">
        <v>1552</v>
      </c>
      <c r="D13" s="9" t="s">
        <v>24</v>
      </c>
      <c r="E13" s="9" t="s">
        <v>31</v>
      </c>
      <c r="F13" s="9" t="s">
        <v>26</v>
      </c>
      <c r="G13" s="10" t="s">
        <v>27</v>
      </c>
      <c r="H13" s="11"/>
      <c r="I13" s="11"/>
      <c r="J13" s="11"/>
      <c r="K13" s="11"/>
      <c r="L13" s="11"/>
      <c r="M13" s="11"/>
    </row>
    <row r="14" spans="1:13" x14ac:dyDescent="0.2">
      <c r="A14" s="52"/>
      <c r="B14" s="9">
        <v>49</v>
      </c>
      <c r="C14" s="9" t="s">
        <v>1553</v>
      </c>
      <c r="D14" s="9" t="s">
        <v>30</v>
      </c>
      <c r="E14" s="9" t="s">
        <v>31</v>
      </c>
      <c r="F14" s="9" t="s">
        <v>26</v>
      </c>
      <c r="G14" s="10" t="s">
        <v>27</v>
      </c>
      <c r="H14" s="11"/>
      <c r="I14" s="11"/>
      <c r="J14" s="11"/>
      <c r="K14" s="11"/>
      <c r="L14" s="11"/>
      <c r="M14" s="11"/>
    </row>
    <row r="15" spans="1:13" x14ac:dyDescent="0.2">
      <c r="A15" s="53"/>
      <c r="B15" s="9">
        <v>49</v>
      </c>
      <c r="C15" s="9" t="s">
        <v>1554</v>
      </c>
      <c r="D15" s="9" t="s">
        <v>24</v>
      </c>
      <c r="E15" s="9" t="s">
        <v>31</v>
      </c>
      <c r="F15" s="9" t="s">
        <v>26</v>
      </c>
      <c r="G15" s="10" t="s">
        <v>27</v>
      </c>
      <c r="H15" s="11"/>
      <c r="I15" s="11"/>
      <c r="J15" s="11"/>
      <c r="K15" s="11"/>
      <c r="L15" s="11"/>
      <c r="M15" s="11"/>
    </row>
    <row r="16" spans="1:13" x14ac:dyDescent="0.2">
      <c r="A16" s="48" t="s">
        <v>22</v>
      </c>
      <c r="B16" s="9">
        <v>49</v>
      </c>
      <c r="C16" s="9" t="s">
        <v>1553</v>
      </c>
      <c r="D16" s="9" t="s">
        <v>30</v>
      </c>
      <c r="E16" s="9" t="s">
        <v>31</v>
      </c>
      <c r="F16" s="9" t="s">
        <v>26</v>
      </c>
      <c r="G16" s="10" t="s">
        <v>27</v>
      </c>
      <c r="H16" s="11"/>
      <c r="I16" s="11"/>
      <c r="J16" s="11"/>
      <c r="K16" s="11"/>
      <c r="L16" s="11"/>
      <c r="M16" s="11"/>
    </row>
    <row r="17" spans="1:13" x14ac:dyDescent="0.2">
      <c r="A17" s="52"/>
      <c r="B17" s="9">
        <v>49</v>
      </c>
      <c r="C17" s="9" t="s">
        <v>1551</v>
      </c>
      <c r="D17" s="9" t="s">
        <v>24</v>
      </c>
      <c r="E17" s="9" t="s">
        <v>31</v>
      </c>
      <c r="F17" s="9" t="s">
        <v>26</v>
      </c>
      <c r="G17" s="10" t="s">
        <v>27</v>
      </c>
      <c r="H17" s="11"/>
      <c r="I17" s="11"/>
      <c r="J17" s="11"/>
      <c r="K17" s="11"/>
      <c r="L17" s="11"/>
      <c r="M17" s="11"/>
    </row>
    <row r="18" spans="1:13" x14ac:dyDescent="0.2">
      <c r="A18" s="52"/>
      <c r="B18" s="9">
        <v>49</v>
      </c>
      <c r="C18" s="9" t="s">
        <v>1555</v>
      </c>
      <c r="D18" s="9" t="s">
        <v>24</v>
      </c>
      <c r="E18" s="9" t="s">
        <v>31</v>
      </c>
      <c r="F18" s="9" t="s">
        <v>26</v>
      </c>
      <c r="G18" s="10" t="s">
        <v>27</v>
      </c>
      <c r="H18" s="11"/>
      <c r="I18" s="11"/>
      <c r="J18" s="11"/>
      <c r="K18" s="11"/>
      <c r="L18" s="11"/>
      <c r="M18" s="11"/>
    </row>
    <row r="19" spans="1:13" x14ac:dyDescent="0.2">
      <c r="A19" s="53"/>
      <c r="B19" s="9">
        <v>49</v>
      </c>
      <c r="C19" s="9" t="s">
        <v>1554</v>
      </c>
      <c r="D19" s="9" t="s">
        <v>24</v>
      </c>
      <c r="E19" s="9" t="s">
        <v>31</v>
      </c>
      <c r="F19" s="9" t="s">
        <v>26</v>
      </c>
      <c r="G19" s="10" t="s">
        <v>27</v>
      </c>
      <c r="H19" s="11"/>
      <c r="I19" s="11"/>
      <c r="J19" s="11"/>
      <c r="K19" s="11"/>
      <c r="L19" s="11"/>
      <c r="M19" s="11"/>
    </row>
    <row r="20" spans="1:13" x14ac:dyDescent="0.2">
      <c r="A20" s="48" t="s">
        <v>28</v>
      </c>
      <c r="B20" s="9">
        <v>49</v>
      </c>
      <c r="C20" s="9" t="s">
        <v>1556</v>
      </c>
      <c r="D20" s="9" t="s">
        <v>24</v>
      </c>
      <c r="E20" s="9" t="s">
        <v>25</v>
      </c>
      <c r="F20" s="9" t="s">
        <v>26</v>
      </c>
      <c r="G20" s="10" t="s">
        <v>27</v>
      </c>
      <c r="H20" s="11"/>
      <c r="I20" s="11"/>
      <c r="J20" s="11"/>
      <c r="K20" s="11"/>
      <c r="L20" s="11"/>
      <c r="M20" s="11"/>
    </row>
    <row r="21" spans="1:13" x14ac:dyDescent="0.2">
      <c r="A21" s="51"/>
      <c r="B21" s="9">
        <v>49</v>
      </c>
      <c r="C21" s="9" t="s">
        <v>1557</v>
      </c>
      <c r="D21" s="9" t="s">
        <v>24</v>
      </c>
      <c r="E21" s="9" t="s">
        <v>25</v>
      </c>
      <c r="F21" s="9" t="s">
        <v>26</v>
      </c>
      <c r="G21" s="10" t="s">
        <v>27</v>
      </c>
      <c r="H21" s="11"/>
      <c r="I21" s="11"/>
      <c r="J21" s="11"/>
      <c r="K21" s="11"/>
      <c r="L21" s="11"/>
      <c r="M21" s="11"/>
    </row>
    <row r="22" spans="1:13" x14ac:dyDescent="0.2">
      <c r="A22" s="50"/>
      <c r="B22" s="9">
        <v>49</v>
      </c>
      <c r="C22" s="9" t="s">
        <v>1558</v>
      </c>
      <c r="D22" s="9" t="s">
        <v>24</v>
      </c>
      <c r="E22" s="9" t="s">
        <v>25</v>
      </c>
      <c r="F22" s="9" t="s">
        <v>26</v>
      </c>
      <c r="G22" s="10" t="s">
        <v>27</v>
      </c>
      <c r="H22" s="11"/>
      <c r="I22" s="11"/>
      <c r="J22" s="11"/>
      <c r="K22" s="11"/>
      <c r="L22" s="11"/>
      <c r="M22" s="11"/>
    </row>
    <row r="23" spans="1:13" x14ac:dyDescent="0.2">
      <c r="A23" s="51"/>
      <c r="B23" s="9">
        <v>49</v>
      </c>
      <c r="C23" s="9" t="s">
        <v>1559</v>
      </c>
      <c r="D23" s="9" t="s">
        <v>24</v>
      </c>
      <c r="E23" s="9" t="s">
        <v>25</v>
      </c>
      <c r="F23" s="9" t="s">
        <v>26</v>
      </c>
      <c r="G23" s="10" t="s">
        <v>27</v>
      </c>
      <c r="H23" s="11"/>
      <c r="I23" s="11"/>
      <c r="J23" s="11"/>
      <c r="K23" s="11"/>
      <c r="L23" s="11"/>
      <c r="M23" s="11"/>
    </row>
    <row r="24" spans="1:13" x14ac:dyDescent="0.2">
      <c r="A24" s="49"/>
      <c r="B24" s="9">
        <v>49</v>
      </c>
      <c r="C24" s="9" t="s">
        <v>1560</v>
      </c>
      <c r="D24" s="9" t="s">
        <v>24</v>
      </c>
      <c r="E24" s="9" t="s">
        <v>25</v>
      </c>
      <c r="F24" s="9" t="s">
        <v>26</v>
      </c>
      <c r="G24" s="10" t="s">
        <v>27</v>
      </c>
      <c r="H24" s="11"/>
      <c r="I24" s="11"/>
      <c r="J24" s="11"/>
      <c r="K24" s="11"/>
      <c r="L24" s="11"/>
      <c r="M24" s="11"/>
    </row>
    <row r="25" spans="1:13" x14ac:dyDescent="0.2">
      <c r="A25" s="48" t="s">
        <v>33</v>
      </c>
      <c r="B25" s="9">
        <v>49</v>
      </c>
      <c r="C25" s="9" t="s">
        <v>1561</v>
      </c>
      <c r="D25" s="9" t="s">
        <v>24</v>
      </c>
      <c r="E25" s="9" t="s">
        <v>31</v>
      </c>
      <c r="F25" s="9" t="s">
        <v>26</v>
      </c>
      <c r="G25" s="10" t="s">
        <v>27</v>
      </c>
      <c r="H25" s="11"/>
      <c r="I25" s="11"/>
      <c r="J25" s="11"/>
      <c r="K25" s="11"/>
      <c r="L25" s="11"/>
      <c r="M25" s="11"/>
    </row>
    <row r="26" spans="1:13" x14ac:dyDescent="0.2">
      <c r="A26" s="50"/>
      <c r="B26" s="9">
        <v>49</v>
      </c>
      <c r="C26" s="9" t="s">
        <v>1562</v>
      </c>
      <c r="D26" s="9" t="s">
        <v>24</v>
      </c>
      <c r="E26" s="9" t="s">
        <v>31</v>
      </c>
      <c r="F26" s="9" t="s">
        <v>26</v>
      </c>
      <c r="G26" s="10" t="s">
        <v>27</v>
      </c>
      <c r="H26" s="11"/>
      <c r="I26" s="11"/>
      <c r="J26" s="11"/>
      <c r="K26" s="11"/>
      <c r="L26" s="11"/>
      <c r="M26" s="11"/>
    </row>
    <row r="27" spans="1:13" x14ac:dyDescent="0.2">
      <c r="A27" s="51"/>
      <c r="B27" s="9">
        <v>49</v>
      </c>
      <c r="C27" s="9" t="s">
        <v>1549</v>
      </c>
      <c r="D27" s="9" t="s">
        <v>24</v>
      </c>
      <c r="E27" s="9" t="s">
        <v>31</v>
      </c>
      <c r="F27" s="9" t="s">
        <v>26</v>
      </c>
      <c r="G27" s="10" t="s">
        <v>27</v>
      </c>
      <c r="H27" s="11"/>
      <c r="I27" s="11"/>
      <c r="J27" s="11"/>
      <c r="K27" s="11"/>
      <c r="L27" s="11"/>
      <c r="M27" s="11"/>
    </row>
    <row r="28" spans="1:13" x14ac:dyDescent="0.2">
      <c r="A28" s="50"/>
      <c r="B28" s="9">
        <v>49</v>
      </c>
      <c r="C28" s="9" t="s">
        <v>1563</v>
      </c>
      <c r="D28" s="9" t="s">
        <v>24</v>
      </c>
      <c r="E28" s="9" t="s">
        <v>31</v>
      </c>
      <c r="F28" s="9" t="s">
        <v>26</v>
      </c>
      <c r="G28" s="10" t="s">
        <v>27</v>
      </c>
      <c r="H28" s="11"/>
      <c r="I28" s="11"/>
      <c r="J28" s="11"/>
      <c r="K28" s="11"/>
      <c r="L28" s="11"/>
      <c r="M28" s="11"/>
    </row>
    <row r="29" spans="1:13" x14ac:dyDescent="0.2">
      <c r="A29" s="51"/>
      <c r="B29" s="9">
        <v>49</v>
      </c>
      <c r="C29" s="9" t="s">
        <v>1564</v>
      </c>
      <c r="D29" s="9" t="s">
        <v>24</v>
      </c>
      <c r="E29" s="9" t="s">
        <v>31</v>
      </c>
      <c r="F29" s="9" t="s">
        <v>26</v>
      </c>
      <c r="G29" s="10" t="s">
        <v>27</v>
      </c>
      <c r="H29" s="11"/>
      <c r="I29" s="11"/>
      <c r="J29" s="11"/>
      <c r="K29" s="11"/>
      <c r="L29" s="11"/>
      <c r="M29" s="11"/>
    </row>
    <row r="30" spans="1:13" x14ac:dyDescent="0.2">
      <c r="A30" s="50"/>
      <c r="B30" s="9">
        <v>49</v>
      </c>
      <c r="C30" s="9" t="s">
        <v>1565</v>
      </c>
      <c r="D30" s="9" t="s">
        <v>30</v>
      </c>
      <c r="E30" s="9" t="s">
        <v>31</v>
      </c>
      <c r="F30" s="9" t="s">
        <v>26</v>
      </c>
      <c r="G30" s="10" t="s">
        <v>27</v>
      </c>
      <c r="H30" s="11"/>
      <c r="I30" s="11"/>
      <c r="J30" s="11"/>
      <c r="K30" s="11"/>
      <c r="L30" s="11"/>
      <c r="M30" s="11"/>
    </row>
    <row r="31" spans="1:13" x14ac:dyDescent="0.2">
      <c r="A31" s="51"/>
      <c r="B31" s="9">
        <v>49</v>
      </c>
      <c r="C31" s="9" t="s">
        <v>1551</v>
      </c>
      <c r="D31" s="9" t="s">
        <v>24</v>
      </c>
      <c r="E31" s="9" t="s">
        <v>31</v>
      </c>
      <c r="F31" s="9" t="s">
        <v>26</v>
      </c>
      <c r="G31" s="10" t="s">
        <v>27</v>
      </c>
      <c r="H31" s="11"/>
      <c r="I31" s="11"/>
      <c r="J31" s="11"/>
      <c r="K31" s="11"/>
      <c r="L31" s="11"/>
      <c r="M31" s="11"/>
    </row>
    <row r="32" spans="1:13" x14ac:dyDescent="0.2">
      <c r="A32" s="49"/>
      <c r="B32" s="9">
        <v>49</v>
      </c>
      <c r="C32" s="9" t="s">
        <v>1552</v>
      </c>
      <c r="D32" s="9" t="s">
        <v>24</v>
      </c>
      <c r="E32" s="9" t="s">
        <v>31</v>
      </c>
      <c r="F32" s="9" t="s">
        <v>26</v>
      </c>
      <c r="G32" s="10" t="s">
        <v>27</v>
      </c>
      <c r="H32" s="11"/>
      <c r="I32" s="11"/>
      <c r="J32" s="11"/>
      <c r="K32" s="11"/>
      <c r="L32" s="11"/>
      <c r="M32" s="11"/>
    </row>
    <row r="33" spans="1:13" x14ac:dyDescent="0.2">
      <c r="A33" s="48" t="s">
        <v>38</v>
      </c>
      <c r="B33" s="9">
        <v>49</v>
      </c>
      <c r="C33" s="9" t="s">
        <v>1566</v>
      </c>
      <c r="D33" s="9" t="s">
        <v>24</v>
      </c>
      <c r="E33" s="9" t="s">
        <v>31</v>
      </c>
      <c r="F33" s="9" t="s">
        <v>26</v>
      </c>
      <c r="G33" s="10" t="s">
        <v>27</v>
      </c>
      <c r="H33" s="11"/>
      <c r="I33" s="11"/>
      <c r="J33" s="11"/>
      <c r="K33" s="11"/>
      <c r="L33" s="11"/>
      <c r="M33" s="11"/>
    </row>
    <row r="34" spans="1:13" x14ac:dyDescent="0.2">
      <c r="A34" s="50"/>
      <c r="B34" s="9">
        <v>49</v>
      </c>
      <c r="C34" s="9" t="s">
        <v>1567</v>
      </c>
      <c r="D34" s="9" t="s">
        <v>24</v>
      </c>
      <c r="E34" s="9" t="s">
        <v>31</v>
      </c>
      <c r="F34" s="9" t="s">
        <v>26</v>
      </c>
      <c r="G34" s="10" t="s">
        <v>27</v>
      </c>
      <c r="H34" s="11"/>
      <c r="I34" s="11"/>
      <c r="J34" s="11"/>
      <c r="K34" s="11"/>
      <c r="L34" s="11"/>
      <c r="M34" s="11"/>
    </row>
    <row r="35" spans="1:13" x14ac:dyDescent="0.2">
      <c r="A35" s="51"/>
      <c r="B35" s="9">
        <v>49</v>
      </c>
      <c r="C35" s="9" t="s">
        <v>1568</v>
      </c>
      <c r="D35" s="9" t="s">
        <v>24</v>
      </c>
      <c r="E35" s="9" t="s">
        <v>31</v>
      </c>
      <c r="F35" s="9" t="s">
        <v>26</v>
      </c>
      <c r="G35" s="10" t="s">
        <v>27</v>
      </c>
      <c r="H35" s="11"/>
      <c r="I35" s="11"/>
      <c r="J35" s="11"/>
      <c r="K35" s="11"/>
      <c r="L35" s="11"/>
      <c r="M35" s="11"/>
    </row>
    <row r="36" spans="1:13" x14ac:dyDescent="0.2">
      <c r="A36" s="50"/>
      <c r="B36" s="9">
        <v>49</v>
      </c>
      <c r="C36" s="9" t="s">
        <v>1549</v>
      </c>
      <c r="D36" s="9" t="s">
        <v>24</v>
      </c>
      <c r="E36" s="9" t="s">
        <v>31</v>
      </c>
      <c r="F36" s="9" t="s">
        <v>26</v>
      </c>
      <c r="G36" s="10" t="s">
        <v>27</v>
      </c>
      <c r="H36" s="11"/>
      <c r="I36" s="11"/>
      <c r="J36" s="11"/>
      <c r="K36" s="11"/>
      <c r="L36" s="11"/>
      <c r="M36" s="11"/>
    </row>
    <row r="37" spans="1:13" ht="12.75" x14ac:dyDescent="0.2">
      <c r="A37" s="52"/>
      <c r="B37" s="9">
        <v>49</v>
      </c>
      <c r="C37" s="9" t="s">
        <v>1569</v>
      </c>
      <c r="D37" s="9" t="s">
        <v>24</v>
      </c>
      <c r="E37" s="9" t="s">
        <v>31</v>
      </c>
      <c r="F37" s="9" t="s">
        <v>26</v>
      </c>
      <c r="G37" s="10" t="s">
        <v>27</v>
      </c>
      <c r="H37" s="11"/>
      <c r="I37" s="11"/>
      <c r="J37" s="11"/>
      <c r="K37" s="11"/>
      <c r="L37" s="11"/>
      <c r="M37" s="11"/>
    </row>
    <row r="38" spans="1:13" ht="12.75" x14ac:dyDescent="0.2">
      <c r="A38" s="52"/>
      <c r="B38" s="9">
        <v>49</v>
      </c>
      <c r="C38" s="9" t="s">
        <v>1570</v>
      </c>
      <c r="D38" s="9" t="s">
        <v>24</v>
      </c>
      <c r="E38" s="9" t="s">
        <v>31</v>
      </c>
      <c r="F38" s="9" t="s">
        <v>26</v>
      </c>
      <c r="G38" s="10" t="s">
        <v>27</v>
      </c>
      <c r="H38" s="11"/>
      <c r="I38" s="11"/>
      <c r="J38" s="11"/>
      <c r="K38" s="11"/>
      <c r="L38" s="11"/>
      <c r="M38" s="11"/>
    </row>
    <row r="39" spans="1:13" ht="12.75" x14ac:dyDescent="0.2">
      <c r="A39" s="53"/>
      <c r="B39" s="9">
        <v>49</v>
      </c>
      <c r="C39" s="9" t="s">
        <v>1571</v>
      </c>
      <c r="D39" s="9" t="s">
        <v>24</v>
      </c>
      <c r="E39" s="9" t="s">
        <v>31</v>
      </c>
      <c r="F39" s="9" t="s">
        <v>26</v>
      </c>
      <c r="G39" s="10" t="s">
        <v>27</v>
      </c>
      <c r="H39" s="11"/>
      <c r="I39" s="11"/>
      <c r="J39" s="11"/>
      <c r="K39" s="11"/>
      <c r="L39" s="11"/>
      <c r="M39" s="11"/>
    </row>
    <row r="40" spans="1:13" ht="12.75" x14ac:dyDescent="0.2">
      <c r="A40" s="48" t="s">
        <v>46</v>
      </c>
      <c r="B40" s="9">
        <v>49</v>
      </c>
      <c r="C40" s="9" t="s">
        <v>1572</v>
      </c>
      <c r="D40" s="9" t="s">
        <v>24</v>
      </c>
      <c r="E40" s="9" t="s">
        <v>25</v>
      </c>
      <c r="F40" s="9" t="s">
        <v>26</v>
      </c>
      <c r="G40" s="10" t="s">
        <v>27</v>
      </c>
      <c r="H40" s="11"/>
      <c r="I40" s="11"/>
      <c r="J40" s="11"/>
      <c r="K40" s="11"/>
      <c r="L40" s="11"/>
      <c r="M40" s="11"/>
    </row>
    <row r="41" spans="1:13" ht="12.75" x14ac:dyDescent="0.2">
      <c r="A41" s="52"/>
      <c r="B41" s="9">
        <v>49</v>
      </c>
      <c r="C41" s="9" t="s">
        <v>1573</v>
      </c>
      <c r="D41" s="9" t="s">
        <v>24</v>
      </c>
      <c r="E41" s="9" t="s">
        <v>25</v>
      </c>
      <c r="F41" s="9" t="s">
        <v>26</v>
      </c>
      <c r="G41" s="10" t="s">
        <v>27</v>
      </c>
      <c r="H41" s="11"/>
      <c r="I41" s="11"/>
      <c r="J41" s="11"/>
      <c r="K41" s="11"/>
      <c r="L41" s="11"/>
      <c r="M41" s="11"/>
    </row>
    <row r="42" spans="1:13" ht="12.75" x14ac:dyDescent="0.2">
      <c r="A42" s="52"/>
      <c r="B42" s="9">
        <v>49</v>
      </c>
      <c r="C42" s="9" t="s">
        <v>1549</v>
      </c>
      <c r="D42" s="9" t="s">
        <v>24</v>
      </c>
      <c r="E42" s="9" t="s">
        <v>25</v>
      </c>
      <c r="F42" s="9" t="s">
        <v>26</v>
      </c>
      <c r="G42" s="10" t="s">
        <v>27</v>
      </c>
      <c r="H42" s="11"/>
      <c r="I42" s="11"/>
      <c r="J42" s="11"/>
      <c r="K42" s="11"/>
      <c r="L42" s="11"/>
      <c r="M42" s="11"/>
    </row>
    <row r="43" spans="1:13" ht="12.75" x14ac:dyDescent="0.2">
      <c r="A43" s="52"/>
      <c r="B43" s="9">
        <v>49</v>
      </c>
      <c r="C43" s="9" t="s">
        <v>1570</v>
      </c>
      <c r="D43" s="9" t="s">
        <v>24</v>
      </c>
      <c r="E43" s="9" t="s">
        <v>25</v>
      </c>
      <c r="F43" s="9" t="s">
        <v>26</v>
      </c>
      <c r="G43" s="10" t="s">
        <v>27</v>
      </c>
      <c r="H43" s="11"/>
      <c r="I43" s="11"/>
      <c r="J43" s="11"/>
      <c r="K43" s="11"/>
      <c r="L43" s="11"/>
      <c r="M43" s="11"/>
    </row>
    <row r="44" spans="1:13" ht="12.75" x14ac:dyDescent="0.2">
      <c r="A44" s="52"/>
      <c r="B44" s="9">
        <v>49</v>
      </c>
      <c r="C44" s="9" t="s">
        <v>1564</v>
      </c>
      <c r="D44" s="9" t="s">
        <v>24</v>
      </c>
      <c r="E44" s="9" t="s">
        <v>25</v>
      </c>
      <c r="F44" s="9" t="s">
        <v>26</v>
      </c>
      <c r="G44" s="10" t="s">
        <v>27</v>
      </c>
      <c r="H44" s="11"/>
      <c r="I44" s="11"/>
      <c r="J44" s="11"/>
      <c r="K44" s="11"/>
      <c r="L44" s="11"/>
      <c r="M44" s="11"/>
    </row>
    <row r="45" spans="1:13" ht="12.75" x14ac:dyDescent="0.2">
      <c r="A45" s="53"/>
      <c r="B45" s="9">
        <v>49</v>
      </c>
      <c r="C45" s="9" t="s">
        <v>1551</v>
      </c>
      <c r="D45" s="9" t="s">
        <v>24</v>
      </c>
      <c r="E45" s="9" t="s">
        <v>25</v>
      </c>
      <c r="F45" s="9" t="s">
        <v>26</v>
      </c>
      <c r="G45" s="10" t="s">
        <v>27</v>
      </c>
      <c r="H45" s="11"/>
      <c r="I45" s="11"/>
      <c r="J45" s="11"/>
      <c r="K45" s="11"/>
      <c r="L45" s="11"/>
      <c r="M45" s="11"/>
    </row>
    <row r="46" spans="1:13" ht="12.75" x14ac:dyDescent="0.2">
      <c r="A46" s="48" t="s">
        <v>49</v>
      </c>
      <c r="B46" s="9">
        <v>49</v>
      </c>
      <c r="C46" s="9" t="s">
        <v>1574</v>
      </c>
      <c r="D46" s="9" t="s">
        <v>24</v>
      </c>
      <c r="E46" s="9" t="s">
        <v>31</v>
      </c>
      <c r="F46" s="9" t="s">
        <v>47</v>
      </c>
      <c r="G46" s="10" t="s">
        <v>27</v>
      </c>
      <c r="H46" s="11"/>
      <c r="I46" s="11"/>
      <c r="J46" s="11"/>
      <c r="K46" s="11"/>
      <c r="L46" s="11"/>
      <c r="M46" s="11"/>
    </row>
    <row r="47" spans="1:13" ht="12.75" x14ac:dyDescent="0.2">
      <c r="A47" s="52"/>
      <c r="B47" s="9">
        <v>49</v>
      </c>
      <c r="C47" s="9" t="s">
        <v>1566</v>
      </c>
      <c r="D47" s="9" t="s">
        <v>24</v>
      </c>
      <c r="E47" s="9" t="s">
        <v>31</v>
      </c>
      <c r="F47" s="9" t="s">
        <v>47</v>
      </c>
      <c r="G47" s="10" t="s">
        <v>27</v>
      </c>
      <c r="H47" s="11"/>
      <c r="I47" s="11"/>
      <c r="J47" s="11"/>
      <c r="K47" s="11"/>
      <c r="L47" s="11"/>
      <c r="M47" s="11"/>
    </row>
    <row r="48" spans="1:13" ht="12.75" x14ac:dyDescent="0.2">
      <c r="A48" s="52"/>
      <c r="B48" s="9">
        <v>49</v>
      </c>
      <c r="C48" s="9" t="s">
        <v>1549</v>
      </c>
      <c r="D48" s="9" t="s">
        <v>24</v>
      </c>
      <c r="E48" s="9" t="s">
        <v>31</v>
      </c>
      <c r="F48" s="9" t="s">
        <v>47</v>
      </c>
      <c r="G48" s="10" t="s">
        <v>27</v>
      </c>
      <c r="H48" s="11"/>
      <c r="I48" s="11"/>
      <c r="J48" s="11"/>
      <c r="K48" s="11"/>
      <c r="L48" s="11"/>
      <c r="M48" s="11"/>
    </row>
    <row r="49" spans="1:13" ht="12.75" x14ac:dyDescent="0.2">
      <c r="A49" s="52"/>
      <c r="B49" s="9">
        <v>49</v>
      </c>
      <c r="C49" s="9" t="s">
        <v>1575</v>
      </c>
      <c r="D49" s="9" t="s">
        <v>24</v>
      </c>
      <c r="E49" s="9" t="s">
        <v>31</v>
      </c>
      <c r="F49" s="9" t="s">
        <v>47</v>
      </c>
      <c r="G49" s="10" t="s">
        <v>27</v>
      </c>
      <c r="H49" s="11"/>
      <c r="I49" s="11"/>
      <c r="J49" s="11"/>
      <c r="K49" s="11"/>
      <c r="L49" s="11"/>
      <c r="M49" s="11"/>
    </row>
    <row r="50" spans="1:13" ht="12.75" x14ac:dyDescent="0.2">
      <c r="A50" s="53"/>
      <c r="B50" s="9">
        <v>49</v>
      </c>
      <c r="C50" s="9" t="s">
        <v>1576</v>
      </c>
      <c r="D50" s="9" t="s">
        <v>24</v>
      </c>
      <c r="E50" s="9" t="s">
        <v>31</v>
      </c>
      <c r="F50" s="9" t="s">
        <v>47</v>
      </c>
      <c r="G50" s="10" t="s">
        <v>27</v>
      </c>
      <c r="H50" s="13"/>
      <c r="I50" s="13"/>
      <c r="J50" s="13"/>
    </row>
    <row r="51" spans="1:13" ht="12.75" x14ac:dyDescent="0.2">
      <c r="A51" s="48" t="s">
        <v>52</v>
      </c>
      <c r="B51" s="9">
        <v>49</v>
      </c>
      <c r="C51" s="9" t="s">
        <v>1575</v>
      </c>
      <c r="D51" s="9" t="s">
        <v>24</v>
      </c>
      <c r="E51" s="9" t="s">
        <v>31</v>
      </c>
      <c r="F51" s="9" t="s">
        <v>47</v>
      </c>
      <c r="G51" s="10" t="s">
        <v>27</v>
      </c>
      <c r="H51" s="13"/>
      <c r="I51" s="13"/>
      <c r="J51" s="13"/>
    </row>
    <row r="52" spans="1:13" ht="12.75" x14ac:dyDescent="0.2">
      <c r="A52" s="52"/>
      <c r="B52" s="9">
        <v>49</v>
      </c>
      <c r="C52" s="9" t="s">
        <v>1577</v>
      </c>
      <c r="D52" s="9" t="s">
        <v>24</v>
      </c>
      <c r="E52" s="9" t="s">
        <v>31</v>
      </c>
      <c r="F52" s="9" t="s">
        <v>47</v>
      </c>
      <c r="G52" s="10" t="s">
        <v>27</v>
      </c>
      <c r="H52" s="13"/>
      <c r="I52" s="13"/>
      <c r="J52" s="13"/>
    </row>
    <row r="53" spans="1:13" ht="12.75" x14ac:dyDescent="0.2">
      <c r="A53" s="52"/>
      <c r="B53" s="9">
        <v>49</v>
      </c>
      <c r="C53" s="9" t="s">
        <v>1578</v>
      </c>
      <c r="D53" s="9" t="s">
        <v>24</v>
      </c>
      <c r="E53" s="9" t="s">
        <v>31</v>
      </c>
      <c r="F53" s="9" t="s">
        <v>47</v>
      </c>
      <c r="G53" s="10" t="s">
        <v>27</v>
      </c>
      <c r="H53" s="13"/>
      <c r="I53" s="13"/>
      <c r="J53" s="13"/>
    </row>
    <row r="54" spans="1:13" ht="12.75" x14ac:dyDescent="0.2">
      <c r="A54" s="53"/>
      <c r="B54" s="9">
        <v>49</v>
      </c>
      <c r="C54" s="9" t="s">
        <v>1579</v>
      </c>
      <c r="D54" s="9" t="s">
        <v>24</v>
      </c>
      <c r="E54" s="9" t="s">
        <v>31</v>
      </c>
      <c r="F54" s="9" t="s">
        <v>47</v>
      </c>
      <c r="G54" s="10" t="s">
        <v>27</v>
      </c>
      <c r="H54" s="13"/>
      <c r="I54" s="13"/>
      <c r="J54" s="13"/>
    </row>
    <row r="55" spans="1:13" ht="12.75" x14ac:dyDescent="0.2">
      <c r="A55" s="48" t="s">
        <v>59</v>
      </c>
      <c r="B55" s="9">
        <v>49</v>
      </c>
      <c r="C55" s="9" t="s">
        <v>1578</v>
      </c>
      <c r="D55" s="9" t="s">
        <v>24</v>
      </c>
      <c r="E55" s="9" t="s">
        <v>31</v>
      </c>
      <c r="F55" s="9" t="s">
        <v>47</v>
      </c>
      <c r="G55" s="10" t="s">
        <v>27</v>
      </c>
      <c r="H55" s="13"/>
      <c r="I55" s="13"/>
      <c r="J55" s="13"/>
    </row>
    <row r="56" spans="1:13" ht="12.75" x14ac:dyDescent="0.2">
      <c r="A56" s="52"/>
      <c r="B56" s="9">
        <v>49</v>
      </c>
      <c r="C56" s="9" t="s">
        <v>1579</v>
      </c>
      <c r="D56" s="9" t="s">
        <v>24</v>
      </c>
      <c r="E56" s="9" t="s">
        <v>31</v>
      </c>
      <c r="F56" s="9" t="s">
        <v>26</v>
      </c>
      <c r="G56" s="10" t="s">
        <v>27</v>
      </c>
      <c r="H56" s="13"/>
      <c r="I56" s="13"/>
      <c r="J56" s="13"/>
    </row>
    <row r="57" spans="1:13" ht="12.75" x14ac:dyDescent="0.2">
      <c r="A57" s="52"/>
      <c r="B57" s="9">
        <v>49</v>
      </c>
      <c r="C57" s="9" t="s">
        <v>1580</v>
      </c>
      <c r="D57" s="9" t="s">
        <v>24</v>
      </c>
      <c r="E57" s="9" t="s">
        <v>31</v>
      </c>
      <c r="F57" s="9" t="s">
        <v>26</v>
      </c>
      <c r="G57" s="10" t="s">
        <v>27</v>
      </c>
      <c r="H57" s="13"/>
      <c r="I57" s="13"/>
      <c r="J57" s="13"/>
    </row>
    <row r="58" spans="1:13" ht="12.75" x14ac:dyDescent="0.2">
      <c r="A58" s="52"/>
      <c r="B58" s="9">
        <v>49</v>
      </c>
      <c r="C58" s="9" t="s">
        <v>1581</v>
      </c>
      <c r="D58" s="9" t="s">
        <v>24</v>
      </c>
      <c r="E58" s="9" t="s">
        <v>31</v>
      </c>
      <c r="F58" s="9" t="s">
        <v>26</v>
      </c>
      <c r="G58" s="10" t="s">
        <v>27</v>
      </c>
      <c r="H58" s="13"/>
      <c r="I58" s="13"/>
      <c r="J58" s="13"/>
    </row>
    <row r="59" spans="1:13" ht="12.75" x14ac:dyDescent="0.2">
      <c r="A59" s="53"/>
      <c r="B59" s="9">
        <v>49</v>
      </c>
      <c r="C59" s="9" t="s">
        <v>1582</v>
      </c>
      <c r="D59" s="9" t="s">
        <v>24</v>
      </c>
      <c r="E59" s="9" t="s">
        <v>31</v>
      </c>
      <c r="F59" s="9" t="s">
        <v>26</v>
      </c>
      <c r="G59" s="10" t="s">
        <v>27</v>
      </c>
      <c r="H59" s="13"/>
      <c r="I59" s="13"/>
      <c r="J59" s="13"/>
    </row>
    <row r="60" spans="1:13" ht="12.75" x14ac:dyDescent="0.2">
      <c r="A60" s="48" t="s">
        <v>101</v>
      </c>
      <c r="B60" s="9">
        <v>49</v>
      </c>
      <c r="C60" s="9" t="s">
        <v>1583</v>
      </c>
      <c r="D60" s="9" t="s">
        <v>24</v>
      </c>
      <c r="E60" s="9" t="s">
        <v>31</v>
      </c>
      <c r="F60" s="9" t="s">
        <v>26</v>
      </c>
      <c r="G60" s="10" t="s">
        <v>27</v>
      </c>
      <c r="H60" s="13"/>
      <c r="I60" s="13"/>
      <c r="J60" s="13"/>
    </row>
    <row r="61" spans="1:13" ht="12.75" x14ac:dyDescent="0.2">
      <c r="A61" s="52"/>
      <c r="B61" s="9">
        <v>49</v>
      </c>
      <c r="C61" s="9" t="s">
        <v>1579</v>
      </c>
      <c r="D61" s="9" t="s">
        <v>24</v>
      </c>
      <c r="E61" s="9" t="s">
        <v>31</v>
      </c>
      <c r="F61" s="9" t="s">
        <v>26</v>
      </c>
      <c r="G61" s="10" t="s">
        <v>27</v>
      </c>
      <c r="H61" s="13"/>
      <c r="I61" s="13"/>
      <c r="J61" s="13"/>
    </row>
    <row r="62" spans="1:13" ht="12.75" x14ac:dyDescent="0.2">
      <c r="A62" s="52"/>
      <c r="B62" s="9">
        <v>49</v>
      </c>
      <c r="C62" s="9" t="s">
        <v>402</v>
      </c>
      <c r="D62" s="9" t="s">
        <v>24</v>
      </c>
      <c r="E62" s="9" t="s">
        <v>31</v>
      </c>
      <c r="F62" s="9" t="s">
        <v>26</v>
      </c>
      <c r="G62" s="10" t="s">
        <v>27</v>
      </c>
      <c r="H62" s="13"/>
      <c r="I62" s="13"/>
      <c r="J62" s="13"/>
    </row>
    <row r="63" spans="1:13" ht="12.75" x14ac:dyDescent="0.2">
      <c r="A63" s="52"/>
      <c r="B63" s="9">
        <v>49</v>
      </c>
      <c r="C63" s="9" t="s">
        <v>1549</v>
      </c>
      <c r="D63" s="9" t="s">
        <v>24</v>
      </c>
      <c r="E63" s="9" t="s">
        <v>31</v>
      </c>
      <c r="F63" s="9" t="s">
        <v>26</v>
      </c>
      <c r="G63" s="10" t="s">
        <v>27</v>
      </c>
      <c r="H63" s="13"/>
      <c r="I63" s="13"/>
      <c r="J63" s="13"/>
    </row>
    <row r="64" spans="1:13" ht="12.75" x14ac:dyDescent="0.2">
      <c r="A64" s="52"/>
      <c r="B64" s="9">
        <v>49</v>
      </c>
      <c r="C64" s="9" t="s">
        <v>1584</v>
      </c>
      <c r="D64" s="9" t="s">
        <v>24</v>
      </c>
      <c r="E64" s="9" t="s">
        <v>31</v>
      </c>
      <c r="F64" s="9" t="s">
        <v>26</v>
      </c>
      <c r="G64" s="10" t="s">
        <v>27</v>
      </c>
      <c r="H64" s="13"/>
      <c r="I64" s="13"/>
      <c r="J64" s="13"/>
    </row>
    <row r="65" spans="1:10" ht="12.75" x14ac:dyDescent="0.2">
      <c r="A65" s="52"/>
      <c r="B65" s="9">
        <v>49</v>
      </c>
      <c r="C65" s="9" t="s">
        <v>1585</v>
      </c>
      <c r="D65" s="9" t="s">
        <v>24</v>
      </c>
      <c r="E65" s="9" t="s">
        <v>31</v>
      </c>
      <c r="F65" s="9" t="s">
        <v>26</v>
      </c>
      <c r="G65" s="10" t="s">
        <v>27</v>
      </c>
      <c r="H65" s="13"/>
      <c r="I65" s="13"/>
      <c r="J65" s="13"/>
    </row>
    <row r="66" spans="1:10" ht="12.75" x14ac:dyDescent="0.2">
      <c r="A66" s="52"/>
      <c r="B66" s="9">
        <v>49</v>
      </c>
      <c r="C66" s="9" t="s">
        <v>1586</v>
      </c>
      <c r="D66" s="9" t="s">
        <v>24</v>
      </c>
      <c r="E66" s="9" t="s">
        <v>31</v>
      </c>
      <c r="F66" s="9" t="s">
        <v>26</v>
      </c>
      <c r="G66" s="10" t="s">
        <v>27</v>
      </c>
      <c r="H66" s="13"/>
      <c r="I66" s="13"/>
      <c r="J66" s="13"/>
    </row>
    <row r="67" spans="1:10" ht="12.75" x14ac:dyDescent="0.2">
      <c r="A67" s="52"/>
      <c r="B67" s="9">
        <v>49</v>
      </c>
      <c r="C67" s="9" t="s">
        <v>1587</v>
      </c>
      <c r="D67" s="9" t="s">
        <v>24</v>
      </c>
      <c r="E67" s="9" t="s">
        <v>31</v>
      </c>
      <c r="F67" s="9" t="s">
        <v>26</v>
      </c>
      <c r="G67" s="10" t="s">
        <v>27</v>
      </c>
      <c r="H67" s="13"/>
      <c r="I67" s="13"/>
      <c r="J67" s="13"/>
    </row>
    <row r="68" spans="1:10" ht="12.75" x14ac:dyDescent="0.2">
      <c r="A68" s="52"/>
      <c r="B68" s="9">
        <v>49</v>
      </c>
      <c r="C68" s="9" t="s">
        <v>1551</v>
      </c>
      <c r="D68" s="9" t="s">
        <v>24</v>
      </c>
      <c r="E68" s="9" t="s">
        <v>31</v>
      </c>
      <c r="F68" s="9" t="s">
        <v>26</v>
      </c>
      <c r="G68" s="10" t="s">
        <v>27</v>
      </c>
      <c r="H68" s="13"/>
      <c r="I68" s="13"/>
      <c r="J68" s="13"/>
    </row>
    <row r="69" spans="1:10" ht="12.75" x14ac:dyDescent="0.2">
      <c r="A69" s="52"/>
      <c r="B69" s="9">
        <v>49</v>
      </c>
      <c r="C69" s="9" t="s">
        <v>1588</v>
      </c>
      <c r="D69" s="9" t="s">
        <v>24</v>
      </c>
      <c r="E69" s="9" t="s">
        <v>31</v>
      </c>
      <c r="F69" s="9" t="s">
        <v>26</v>
      </c>
      <c r="G69" s="10" t="s">
        <v>27</v>
      </c>
      <c r="H69" s="13"/>
      <c r="I69" s="13"/>
      <c r="J69" s="13"/>
    </row>
    <row r="70" spans="1:10" ht="12.75" x14ac:dyDescent="0.2">
      <c r="A70" s="52"/>
      <c r="B70" s="9">
        <v>49</v>
      </c>
      <c r="C70" s="9" t="s">
        <v>1571</v>
      </c>
      <c r="D70" s="9" t="s">
        <v>24</v>
      </c>
      <c r="E70" s="9" t="s">
        <v>31</v>
      </c>
      <c r="F70" s="9" t="s">
        <v>26</v>
      </c>
      <c r="G70" s="10" t="s">
        <v>27</v>
      </c>
      <c r="H70" s="13"/>
      <c r="I70" s="13"/>
      <c r="J70" s="13"/>
    </row>
    <row r="71" spans="1:10" ht="12.75" x14ac:dyDescent="0.2">
      <c r="A71" s="53"/>
      <c r="B71" s="9">
        <v>49</v>
      </c>
      <c r="C71" s="9" t="s">
        <v>1554</v>
      </c>
      <c r="D71" s="9" t="s">
        <v>24</v>
      </c>
      <c r="E71" s="9" t="s">
        <v>31</v>
      </c>
      <c r="F71" s="9" t="s">
        <v>26</v>
      </c>
      <c r="G71" s="10" t="s">
        <v>27</v>
      </c>
      <c r="H71" s="13"/>
      <c r="I71" s="13"/>
      <c r="J71" s="13"/>
    </row>
    <row r="72" spans="1:10" ht="12.75" x14ac:dyDescent="0.2">
      <c r="A72" s="48" t="s">
        <v>62</v>
      </c>
      <c r="B72" s="9">
        <v>49</v>
      </c>
      <c r="C72" s="9" t="s">
        <v>1574</v>
      </c>
      <c r="D72" s="9" t="s">
        <v>24</v>
      </c>
      <c r="E72" s="9" t="s">
        <v>31</v>
      </c>
      <c r="F72" s="9" t="s">
        <v>47</v>
      </c>
      <c r="G72" s="10" t="s">
        <v>27</v>
      </c>
      <c r="H72" s="13"/>
      <c r="I72" s="13"/>
      <c r="J72" s="13"/>
    </row>
    <row r="73" spans="1:10" ht="12.75" x14ac:dyDescent="0.2">
      <c r="A73" s="52"/>
      <c r="B73" s="9">
        <v>49</v>
      </c>
      <c r="C73" s="9" t="s">
        <v>1566</v>
      </c>
      <c r="D73" s="9" t="s">
        <v>24</v>
      </c>
      <c r="E73" s="9" t="s">
        <v>31</v>
      </c>
      <c r="F73" s="9" t="s">
        <v>47</v>
      </c>
      <c r="G73" s="10" t="s">
        <v>27</v>
      </c>
      <c r="H73" s="13"/>
      <c r="I73" s="13"/>
      <c r="J73" s="13"/>
    </row>
    <row r="74" spans="1:10" ht="12.75" x14ac:dyDescent="0.2">
      <c r="A74" s="52"/>
      <c r="B74" s="9">
        <v>49</v>
      </c>
      <c r="C74" s="9" t="s">
        <v>1589</v>
      </c>
      <c r="D74" s="9" t="s">
        <v>24</v>
      </c>
      <c r="E74" s="9" t="s">
        <v>31</v>
      </c>
      <c r="F74" s="9" t="s">
        <v>47</v>
      </c>
      <c r="G74" s="10" t="s">
        <v>27</v>
      </c>
      <c r="H74" s="13"/>
      <c r="I74" s="13"/>
      <c r="J74" s="13"/>
    </row>
    <row r="75" spans="1:10" ht="12.75" x14ac:dyDescent="0.2">
      <c r="A75" s="52"/>
      <c r="B75" s="9">
        <v>49</v>
      </c>
      <c r="C75" s="9" t="s">
        <v>1549</v>
      </c>
      <c r="D75" s="9" t="s">
        <v>24</v>
      </c>
      <c r="E75" s="9" t="s">
        <v>31</v>
      </c>
      <c r="F75" s="9" t="s">
        <v>47</v>
      </c>
      <c r="G75" s="10" t="s">
        <v>27</v>
      </c>
      <c r="H75" s="13"/>
      <c r="I75" s="13"/>
      <c r="J75" s="13"/>
    </row>
    <row r="76" spans="1:10" ht="12.75" x14ac:dyDescent="0.2">
      <c r="A76" s="52"/>
      <c r="B76" s="9">
        <v>49</v>
      </c>
      <c r="C76" s="9" t="s">
        <v>1549</v>
      </c>
      <c r="D76" s="9" t="s">
        <v>24</v>
      </c>
      <c r="E76" s="9" t="s">
        <v>31</v>
      </c>
      <c r="F76" s="9" t="s">
        <v>47</v>
      </c>
      <c r="G76" s="10" t="s">
        <v>27</v>
      </c>
      <c r="H76" s="13"/>
      <c r="I76" s="13"/>
      <c r="J76" s="13"/>
    </row>
    <row r="77" spans="1:10" ht="12.75" x14ac:dyDescent="0.2">
      <c r="A77" s="52"/>
      <c r="B77" s="9">
        <v>49</v>
      </c>
      <c r="C77" s="9" t="s">
        <v>1575</v>
      </c>
      <c r="D77" s="9" t="s">
        <v>24</v>
      </c>
      <c r="E77" s="9" t="s">
        <v>31</v>
      </c>
      <c r="F77" s="9" t="s">
        <v>47</v>
      </c>
      <c r="G77" s="10" t="s">
        <v>27</v>
      </c>
      <c r="H77" s="13"/>
      <c r="I77" s="13"/>
      <c r="J77" s="13"/>
    </row>
    <row r="78" spans="1:10" ht="12.75" x14ac:dyDescent="0.2">
      <c r="A78" s="52"/>
      <c r="B78" s="9">
        <v>49</v>
      </c>
      <c r="C78" s="9" t="s">
        <v>1590</v>
      </c>
      <c r="D78" s="9" t="s">
        <v>24</v>
      </c>
      <c r="E78" s="9" t="s">
        <v>31</v>
      </c>
      <c r="F78" s="9" t="s">
        <v>47</v>
      </c>
      <c r="G78" s="10" t="s">
        <v>27</v>
      </c>
      <c r="H78" s="13"/>
      <c r="I78" s="13"/>
      <c r="J78" s="13"/>
    </row>
    <row r="79" spans="1:10" ht="12.75" x14ac:dyDescent="0.2">
      <c r="A79" s="53"/>
      <c r="B79" s="9">
        <v>49</v>
      </c>
      <c r="C79" s="9" t="s">
        <v>1571</v>
      </c>
      <c r="D79" s="9" t="s">
        <v>24</v>
      </c>
      <c r="E79" s="9" t="s">
        <v>31</v>
      </c>
      <c r="F79" s="9" t="s">
        <v>47</v>
      </c>
      <c r="G79" s="10" t="s">
        <v>27</v>
      </c>
      <c r="H79" s="13"/>
      <c r="I79" s="13"/>
      <c r="J79" s="13"/>
    </row>
    <row r="80" spans="1:10" ht="12.75" x14ac:dyDescent="0.2">
      <c r="A80" s="48" t="s">
        <v>70</v>
      </c>
      <c r="B80" s="9">
        <v>49</v>
      </c>
      <c r="C80" s="9" t="s">
        <v>1591</v>
      </c>
      <c r="D80" s="9" t="s">
        <v>24</v>
      </c>
      <c r="E80" s="9" t="s">
        <v>31</v>
      </c>
      <c r="F80" s="9" t="s">
        <v>26</v>
      </c>
      <c r="G80" s="10" t="s">
        <v>27</v>
      </c>
      <c r="H80" s="13"/>
      <c r="I80" s="13"/>
      <c r="J80" s="13"/>
    </row>
    <row r="81" spans="1:16" ht="12.75" x14ac:dyDescent="0.2">
      <c r="A81" s="52"/>
      <c r="B81" s="9">
        <v>49</v>
      </c>
      <c r="C81" s="9" t="s">
        <v>1592</v>
      </c>
      <c r="D81" s="9" t="s">
        <v>24</v>
      </c>
      <c r="E81" s="9" t="s">
        <v>31</v>
      </c>
      <c r="F81" s="9" t="s">
        <v>26</v>
      </c>
      <c r="G81" s="10" t="s">
        <v>27</v>
      </c>
      <c r="H81" s="13"/>
      <c r="I81" s="13"/>
      <c r="J81" s="13"/>
    </row>
    <row r="82" spans="1:16" ht="12.75" x14ac:dyDescent="0.2">
      <c r="A82" s="52"/>
      <c r="B82" s="9">
        <v>49</v>
      </c>
      <c r="C82" s="9" t="s">
        <v>1593</v>
      </c>
      <c r="D82" s="9" t="s">
        <v>24</v>
      </c>
      <c r="E82" s="9" t="s">
        <v>31</v>
      </c>
      <c r="F82" s="9" t="s">
        <v>26</v>
      </c>
      <c r="G82" s="10" t="s">
        <v>27</v>
      </c>
      <c r="H82" s="13"/>
      <c r="I82" s="13"/>
      <c r="J82" s="13"/>
    </row>
    <row r="83" spans="1:16" ht="12.75" x14ac:dyDescent="0.2">
      <c r="A83" s="53"/>
      <c r="B83" s="9">
        <v>49</v>
      </c>
      <c r="C83" s="9" t="s">
        <v>1594</v>
      </c>
      <c r="D83" s="9" t="s">
        <v>24</v>
      </c>
      <c r="E83" s="9" t="s">
        <v>31</v>
      </c>
      <c r="F83" s="9" t="s">
        <v>26</v>
      </c>
      <c r="G83" s="10" t="s">
        <v>27</v>
      </c>
      <c r="H83" s="13"/>
      <c r="I83" s="13"/>
      <c r="J83" s="13"/>
    </row>
    <row r="84" spans="1:16" ht="12.75" x14ac:dyDescent="0.2">
      <c r="A84" s="48" t="s">
        <v>73</v>
      </c>
      <c r="B84" s="9">
        <v>49</v>
      </c>
      <c r="C84" s="9" t="s">
        <v>1595</v>
      </c>
      <c r="D84" s="9" t="s">
        <v>24</v>
      </c>
      <c r="E84" s="9" t="s">
        <v>31</v>
      </c>
      <c r="F84" s="9" t="s">
        <v>26</v>
      </c>
      <c r="G84" s="10" t="s">
        <v>27</v>
      </c>
      <c r="H84" s="13"/>
      <c r="I84" s="13"/>
      <c r="J84" s="13"/>
    </row>
    <row r="85" spans="1:16" ht="12.75" x14ac:dyDescent="0.2">
      <c r="A85" s="52"/>
      <c r="B85" s="9">
        <v>49</v>
      </c>
      <c r="C85" s="9" t="s">
        <v>1591</v>
      </c>
      <c r="D85" s="9" t="s">
        <v>24</v>
      </c>
      <c r="E85" s="9" t="s">
        <v>31</v>
      </c>
      <c r="F85" s="9" t="s">
        <v>26</v>
      </c>
      <c r="G85" s="10" t="s">
        <v>27</v>
      </c>
      <c r="H85" s="13"/>
      <c r="I85" s="13"/>
      <c r="J85" s="13"/>
    </row>
    <row r="86" spans="1:16" ht="12.75" x14ac:dyDescent="0.2">
      <c r="A86" s="52"/>
      <c r="B86" s="9">
        <v>49</v>
      </c>
      <c r="C86" s="9" t="s">
        <v>1592</v>
      </c>
      <c r="D86" s="9" t="s">
        <v>24</v>
      </c>
      <c r="E86" s="9" t="s">
        <v>31</v>
      </c>
      <c r="F86" s="9" t="s">
        <v>26</v>
      </c>
      <c r="G86" s="10" t="s">
        <v>27</v>
      </c>
      <c r="H86" s="13"/>
      <c r="I86" s="13"/>
      <c r="J86" s="13"/>
    </row>
    <row r="87" spans="1:16" ht="12.75" x14ac:dyDescent="0.2">
      <c r="A87" s="52"/>
      <c r="B87" s="9">
        <v>49</v>
      </c>
      <c r="C87" s="9" t="s">
        <v>1594</v>
      </c>
      <c r="D87" s="9" t="s">
        <v>24</v>
      </c>
      <c r="E87" s="9" t="s">
        <v>31</v>
      </c>
      <c r="F87" s="9" t="s">
        <v>26</v>
      </c>
      <c r="G87" s="10" t="s">
        <v>27</v>
      </c>
      <c r="H87" s="13"/>
      <c r="I87" s="13"/>
      <c r="J87" s="13"/>
    </row>
    <row r="88" spans="1:16" ht="12.75" x14ac:dyDescent="0.2">
      <c r="A88" s="53"/>
      <c r="B88" s="9">
        <v>49</v>
      </c>
      <c r="C88" s="9" t="s">
        <v>1596</v>
      </c>
      <c r="D88" s="9" t="s">
        <v>24</v>
      </c>
      <c r="E88" s="9" t="s">
        <v>31</v>
      </c>
      <c r="F88" s="9" t="s">
        <v>26</v>
      </c>
      <c r="G88" s="10" t="s">
        <v>27</v>
      </c>
      <c r="H88" s="13"/>
      <c r="I88" s="13"/>
      <c r="J88" s="13"/>
    </row>
    <row r="89" spans="1:16" ht="12.75" x14ac:dyDescent="0.2">
      <c r="A89" s="48" t="s">
        <v>77</v>
      </c>
      <c r="B89" s="12">
        <v>49</v>
      </c>
      <c r="C89" s="12" t="s">
        <v>1597</v>
      </c>
      <c r="D89" s="12" t="s">
        <v>24</v>
      </c>
      <c r="E89" s="12" t="s">
        <v>25</v>
      </c>
      <c r="F89" s="12" t="s">
        <v>26</v>
      </c>
      <c r="G89" s="10" t="s">
        <v>27</v>
      </c>
      <c r="H89" s="13"/>
      <c r="I89" s="13"/>
      <c r="J89" s="13"/>
    </row>
    <row r="90" spans="1:16" ht="12.75" x14ac:dyDescent="0.2">
      <c r="A90" s="52"/>
      <c r="B90" s="12">
        <v>49</v>
      </c>
      <c r="C90" s="12" t="s">
        <v>1598</v>
      </c>
      <c r="D90" s="12" t="s">
        <v>24</v>
      </c>
      <c r="E90" s="12" t="s">
        <v>25</v>
      </c>
      <c r="F90" s="12" t="s">
        <v>26</v>
      </c>
      <c r="G90" s="10" t="s">
        <v>27</v>
      </c>
      <c r="H90" s="13"/>
      <c r="I90" s="13"/>
      <c r="J90" s="13"/>
    </row>
    <row r="91" spans="1:16" ht="12.75" x14ac:dyDescent="0.2">
      <c r="A91" s="52"/>
      <c r="B91" s="12">
        <v>49</v>
      </c>
      <c r="C91" s="12" t="s">
        <v>1599</v>
      </c>
      <c r="D91" s="12" t="s">
        <v>24</v>
      </c>
      <c r="E91" s="12" t="s">
        <v>25</v>
      </c>
      <c r="F91" s="12" t="s">
        <v>26</v>
      </c>
      <c r="G91" s="10" t="s">
        <v>27</v>
      </c>
      <c r="H91" s="13"/>
      <c r="I91" s="13"/>
      <c r="J91" s="13"/>
      <c r="K91" s="13"/>
      <c r="L91" s="13"/>
      <c r="M91" s="13"/>
      <c r="N91" s="13"/>
      <c r="O91" s="13"/>
      <c r="P91" s="13"/>
    </row>
    <row r="92" spans="1:16" ht="12.75" x14ac:dyDescent="0.2">
      <c r="A92" s="52"/>
      <c r="B92" s="12">
        <v>49</v>
      </c>
      <c r="C92" s="12" t="s">
        <v>1599</v>
      </c>
      <c r="D92" s="12" t="s">
        <v>24</v>
      </c>
      <c r="E92" s="12" t="s">
        <v>25</v>
      </c>
      <c r="F92" s="12" t="s">
        <v>26</v>
      </c>
      <c r="G92" s="10" t="s">
        <v>27</v>
      </c>
      <c r="H92" s="13"/>
      <c r="I92" s="13"/>
      <c r="J92" s="13"/>
      <c r="K92" s="13"/>
      <c r="L92" s="13"/>
      <c r="M92" s="13"/>
      <c r="N92" s="13"/>
      <c r="O92" s="13"/>
      <c r="P92" s="13"/>
    </row>
    <row r="93" spans="1:16" ht="12.75" x14ac:dyDescent="0.2">
      <c r="A93" s="52"/>
      <c r="B93" s="12">
        <v>49</v>
      </c>
      <c r="C93" s="12" t="s">
        <v>1591</v>
      </c>
      <c r="D93" s="12" t="s">
        <v>24</v>
      </c>
      <c r="E93" s="12" t="s">
        <v>25</v>
      </c>
      <c r="F93" s="12" t="s">
        <v>26</v>
      </c>
      <c r="G93" s="10" t="s">
        <v>27</v>
      </c>
      <c r="H93" s="13"/>
      <c r="I93" s="13"/>
      <c r="J93" s="13"/>
      <c r="K93" s="13"/>
      <c r="L93" s="13"/>
      <c r="M93" s="13"/>
      <c r="N93" s="13"/>
      <c r="O93" s="13"/>
      <c r="P93" s="13"/>
    </row>
    <row r="94" spans="1:16" ht="12.75" x14ac:dyDescent="0.2">
      <c r="A94" s="52"/>
      <c r="B94" s="12">
        <v>49</v>
      </c>
      <c r="C94" s="12" t="s">
        <v>1600</v>
      </c>
      <c r="D94" s="12" t="s">
        <v>24</v>
      </c>
      <c r="E94" s="12" t="s">
        <v>25</v>
      </c>
      <c r="F94" s="12" t="s">
        <v>26</v>
      </c>
      <c r="G94" s="10" t="s">
        <v>27</v>
      </c>
      <c r="H94" s="13"/>
      <c r="I94" s="13"/>
      <c r="J94" s="27"/>
      <c r="K94" s="27"/>
      <c r="L94" s="27"/>
      <c r="M94" s="27"/>
      <c r="N94" s="27"/>
      <c r="O94" s="13"/>
      <c r="P94" s="13"/>
    </row>
    <row r="95" spans="1:16" ht="12.75" x14ac:dyDescent="0.2">
      <c r="A95" s="52"/>
      <c r="B95" s="12">
        <v>49</v>
      </c>
      <c r="C95" s="12" t="s">
        <v>1594</v>
      </c>
      <c r="D95" s="12" t="s">
        <v>24</v>
      </c>
      <c r="E95" s="12" t="s">
        <v>25</v>
      </c>
      <c r="F95" s="12" t="s">
        <v>26</v>
      </c>
      <c r="G95" s="10" t="s">
        <v>27</v>
      </c>
      <c r="H95" s="13"/>
      <c r="I95" s="13"/>
      <c r="J95" s="27"/>
      <c r="K95" s="27"/>
      <c r="L95" s="27"/>
      <c r="M95" s="27"/>
      <c r="N95" s="27"/>
      <c r="O95" s="13"/>
      <c r="P95" s="13"/>
    </row>
    <row r="96" spans="1:16" ht="12.75" x14ac:dyDescent="0.2">
      <c r="A96" s="52"/>
      <c r="B96" s="12">
        <v>49</v>
      </c>
      <c r="C96" s="12" t="s">
        <v>1596</v>
      </c>
      <c r="D96" s="12" t="s">
        <v>24</v>
      </c>
      <c r="E96" s="12" t="s">
        <v>25</v>
      </c>
      <c r="F96" s="12" t="s">
        <v>26</v>
      </c>
      <c r="G96" s="10" t="s">
        <v>27</v>
      </c>
      <c r="H96" s="13"/>
      <c r="I96" s="13"/>
      <c r="J96" s="27"/>
      <c r="K96" s="27"/>
      <c r="L96" s="27"/>
      <c r="M96" s="27"/>
      <c r="N96" s="27"/>
      <c r="O96" s="13"/>
      <c r="P96" s="13"/>
    </row>
    <row r="97" spans="1:16" ht="12.75" x14ac:dyDescent="0.2">
      <c r="A97" s="52"/>
      <c r="B97" s="12">
        <v>49</v>
      </c>
      <c r="C97" s="12" t="s">
        <v>1582</v>
      </c>
      <c r="D97" s="12" t="s">
        <v>24</v>
      </c>
      <c r="E97" s="12" t="s">
        <v>25</v>
      </c>
      <c r="F97" s="12" t="s">
        <v>26</v>
      </c>
      <c r="G97" s="10" t="s">
        <v>27</v>
      </c>
      <c r="H97" s="13"/>
      <c r="I97" s="13"/>
      <c r="J97" s="27"/>
      <c r="K97" s="27"/>
      <c r="L97" s="27"/>
      <c r="M97" s="27"/>
      <c r="N97" s="27"/>
      <c r="O97" s="13"/>
      <c r="P97" s="13"/>
    </row>
    <row r="98" spans="1:16" ht="12.75" x14ac:dyDescent="0.2">
      <c r="A98" s="53"/>
      <c r="B98" s="12">
        <v>49</v>
      </c>
      <c r="C98" s="12" t="s">
        <v>1601</v>
      </c>
      <c r="D98" s="12" t="s">
        <v>24</v>
      </c>
      <c r="E98" s="12" t="s">
        <v>25</v>
      </c>
      <c r="F98" s="12" t="s">
        <v>26</v>
      </c>
      <c r="G98" s="10" t="s">
        <v>27</v>
      </c>
      <c r="H98" s="13"/>
      <c r="I98" s="13"/>
      <c r="J98" s="13"/>
      <c r="K98" s="13"/>
      <c r="L98" s="13"/>
      <c r="M98" s="13"/>
      <c r="N98" s="13"/>
      <c r="O98" s="13"/>
      <c r="P98" s="13"/>
    </row>
    <row r="99" spans="1:16" ht="12.75" x14ac:dyDescent="0.2">
      <c r="A99" s="48" t="s">
        <v>79</v>
      </c>
      <c r="B99" s="9">
        <v>49</v>
      </c>
      <c r="C99" s="9" t="s">
        <v>1602</v>
      </c>
      <c r="D99" s="9" t="s">
        <v>24</v>
      </c>
      <c r="E99" s="9" t="s">
        <v>31</v>
      </c>
      <c r="F99" s="9" t="s">
        <v>26</v>
      </c>
      <c r="G99" s="10" t="s">
        <v>27</v>
      </c>
      <c r="H99" s="13"/>
      <c r="I99" s="13"/>
      <c r="J99" s="13"/>
      <c r="K99" s="13"/>
      <c r="L99" s="13"/>
      <c r="M99" s="13"/>
      <c r="N99" s="13"/>
      <c r="O99" s="13"/>
      <c r="P99" s="13"/>
    </row>
    <row r="100" spans="1:16" ht="12.75" x14ac:dyDescent="0.2">
      <c r="A100" s="52"/>
      <c r="B100" s="9">
        <v>49</v>
      </c>
      <c r="C100" s="9" t="s">
        <v>1598</v>
      </c>
      <c r="D100" s="9" t="s">
        <v>24</v>
      </c>
      <c r="E100" s="9" t="s">
        <v>31</v>
      </c>
      <c r="F100" s="9" t="s">
        <v>26</v>
      </c>
      <c r="G100" s="10" t="s">
        <v>27</v>
      </c>
      <c r="H100" s="13"/>
      <c r="I100" s="13"/>
      <c r="J100" s="13"/>
      <c r="K100" s="13"/>
      <c r="L100" s="13"/>
      <c r="M100" s="13"/>
      <c r="N100" s="13"/>
      <c r="O100" s="13"/>
      <c r="P100" s="13"/>
    </row>
    <row r="101" spans="1:16" ht="12.75" x14ac:dyDescent="0.2">
      <c r="A101" s="52"/>
      <c r="B101" s="9">
        <v>49</v>
      </c>
      <c r="C101" s="9" t="s">
        <v>1603</v>
      </c>
      <c r="D101" s="9" t="s">
        <v>24</v>
      </c>
      <c r="E101" s="9" t="s">
        <v>31</v>
      </c>
      <c r="F101" s="9" t="s">
        <v>26</v>
      </c>
      <c r="G101" s="10" t="s">
        <v>27</v>
      </c>
      <c r="H101" s="13"/>
      <c r="I101" s="13"/>
      <c r="J101" s="13"/>
      <c r="K101" s="13"/>
      <c r="L101" s="13"/>
      <c r="M101" s="13"/>
      <c r="N101" s="13"/>
      <c r="O101" s="13"/>
      <c r="P101" s="13"/>
    </row>
    <row r="102" spans="1:16" ht="12.75" x14ac:dyDescent="0.2">
      <c r="A102" s="52"/>
      <c r="B102" s="9">
        <v>49</v>
      </c>
      <c r="C102" s="9" t="s">
        <v>1591</v>
      </c>
      <c r="D102" s="9" t="s">
        <v>24</v>
      </c>
      <c r="E102" s="9" t="s">
        <v>31</v>
      </c>
      <c r="F102" s="9" t="s">
        <v>26</v>
      </c>
      <c r="G102" s="10" t="s">
        <v>27</v>
      </c>
      <c r="H102" s="13"/>
      <c r="I102" s="13"/>
      <c r="J102" s="13"/>
    </row>
    <row r="103" spans="1:16" ht="12.75" x14ac:dyDescent="0.2">
      <c r="A103" s="52"/>
      <c r="B103" s="9">
        <v>49</v>
      </c>
      <c r="C103" s="9" t="s">
        <v>1604</v>
      </c>
      <c r="D103" s="9" t="s">
        <v>24</v>
      </c>
      <c r="E103" s="9" t="s">
        <v>31</v>
      </c>
      <c r="F103" s="9" t="s">
        <v>26</v>
      </c>
      <c r="G103" s="10" t="s">
        <v>27</v>
      </c>
      <c r="H103" s="13"/>
      <c r="I103" s="13"/>
      <c r="J103" s="13"/>
    </row>
    <row r="104" spans="1:16" ht="12.75" x14ac:dyDescent="0.2">
      <c r="A104" s="52"/>
      <c r="B104" s="9">
        <v>49</v>
      </c>
      <c r="C104" s="9" t="s">
        <v>1605</v>
      </c>
      <c r="D104" s="9" t="s">
        <v>24</v>
      </c>
      <c r="E104" s="9" t="s">
        <v>31</v>
      </c>
      <c r="F104" s="9" t="s">
        <v>26</v>
      </c>
      <c r="G104" s="10" t="s">
        <v>27</v>
      </c>
      <c r="H104" s="13"/>
      <c r="I104" s="13"/>
      <c r="J104" s="13"/>
    </row>
    <row r="105" spans="1:16" ht="12.75" x14ac:dyDescent="0.2">
      <c r="A105" s="52"/>
      <c r="B105" s="9">
        <v>49</v>
      </c>
      <c r="C105" s="9" t="s">
        <v>1596</v>
      </c>
      <c r="D105" s="9" t="s">
        <v>24</v>
      </c>
      <c r="E105" s="9" t="s">
        <v>31</v>
      </c>
      <c r="F105" s="9" t="s">
        <v>26</v>
      </c>
      <c r="G105" s="10" t="s">
        <v>27</v>
      </c>
      <c r="H105" s="13"/>
      <c r="I105" s="13"/>
      <c r="J105" s="13"/>
    </row>
    <row r="106" spans="1:16" ht="12.75" x14ac:dyDescent="0.2">
      <c r="A106" s="52"/>
      <c r="B106" s="9">
        <v>49</v>
      </c>
      <c r="C106" s="9" t="s">
        <v>1582</v>
      </c>
      <c r="D106" s="9" t="s">
        <v>24</v>
      </c>
      <c r="E106" s="9" t="s">
        <v>31</v>
      </c>
      <c r="F106" s="9" t="s">
        <v>26</v>
      </c>
      <c r="G106" s="10" t="s">
        <v>27</v>
      </c>
      <c r="H106" s="13"/>
      <c r="I106" s="13"/>
      <c r="J106" s="13"/>
    </row>
    <row r="107" spans="1:16" ht="12.75" x14ac:dyDescent="0.2">
      <c r="A107" s="52"/>
      <c r="B107" s="9">
        <v>49</v>
      </c>
      <c r="C107" s="9" t="s">
        <v>1551</v>
      </c>
      <c r="D107" s="9" t="s">
        <v>24</v>
      </c>
      <c r="E107" s="9" t="s">
        <v>31</v>
      </c>
      <c r="F107" s="9" t="s">
        <v>26</v>
      </c>
      <c r="G107" s="10" t="s">
        <v>27</v>
      </c>
      <c r="H107" s="13"/>
      <c r="I107" s="13"/>
      <c r="J107" s="13"/>
    </row>
    <row r="108" spans="1:16" ht="12.75" x14ac:dyDescent="0.2">
      <c r="A108" s="52"/>
      <c r="B108" s="9">
        <v>49</v>
      </c>
      <c r="C108" s="9" t="s">
        <v>1586</v>
      </c>
      <c r="D108" s="9" t="s">
        <v>24</v>
      </c>
      <c r="E108" s="9" t="s">
        <v>31</v>
      </c>
      <c r="F108" s="9" t="s">
        <v>26</v>
      </c>
      <c r="G108" s="10" t="s">
        <v>27</v>
      </c>
      <c r="H108" s="13"/>
      <c r="I108" s="13"/>
      <c r="J108" s="13"/>
    </row>
    <row r="109" spans="1:16" ht="12.75" x14ac:dyDescent="0.2">
      <c r="A109" s="53"/>
      <c r="B109" s="9">
        <v>49</v>
      </c>
      <c r="C109" s="9" t="s">
        <v>1554</v>
      </c>
      <c r="D109" s="9" t="s">
        <v>24</v>
      </c>
      <c r="E109" s="9" t="s">
        <v>31</v>
      </c>
      <c r="F109" s="9" t="s">
        <v>26</v>
      </c>
      <c r="G109" s="10" t="s">
        <v>27</v>
      </c>
      <c r="H109" s="13"/>
      <c r="I109" s="13"/>
      <c r="J109" s="13"/>
    </row>
    <row r="110" spans="1:16" ht="12.75" x14ac:dyDescent="0.2">
      <c r="A110" s="48" t="s">
        <v>83</v>
      </c>
      <c r="B110" s="9">
        <v>49</v>
      </c>
      <c r="C110" s="9" t="s">
        <v>1591</v>
      </c>
      <c r="D110" s="9" t="s">
        <v>24</v>
      </c>
      <c r="E110" s="9" t="s">
        <v>31</v>
      </c>
      <c r="F110" s="9" t="s">
        <v>26</v>
      </c>
      <c r="G110" s="10" t="s">
        <v>27</v>
      </c>
      <c r="H110" s="13"/>
      <c r="I110" s="13"/>
      <c r="J110" s="13"/>
    </row>
    <row r="111" spans="1:16" ht="12.75" x14ac:dyDescent="0.2">
      <c r="A111" s="52"/>
      <c r="B111" s="9">
        <v>49</v>
      </c>
      <c r="C111" s="9" t="s">
        <v>1606</v>
      </c>
      <c r="D111" s="9" t="s">
        <v>24</v>
      </c>
      <c r="E111" s="9" t="s">
        <v>31</v>
      </c>
      <c r="F111" s="9" t="s">
        <v>26</v>
      </c>
      <c r="G111" s="10" t="s">
        <v>27</v>
      </c>
      <c r="H111" s="13"/>
      <c r="I111" s="13"/>
      <c r="J111" s="13"/>
    </row>
    <row r="112" spans="1:16" ht="12.75" x14ac:dyDescent="0.2">
      <c r="A112" s="53"/>
      <c r="B112" s="9">
        <v>49</v>
      </c>
      <c r="C112" s="9" t="s">
        <v>1607</v>
      </c>
      <c r="D112" s="9" t="s">
        <v>24</v>
      </c>
      <c r="E112" s="9" t="s">
        <v>31</v>
      </c>
      <c r="F112" s="9" t="s">
        <v>26</v>
      </c>
      <c r="G112" s="10" t="s">
        <v>27</v>
      </c>
      <c r="H112" s="13"/>
      <c r="I112" s="13"/>
      <c r="J112" s="13"/>
    </row>
    <row r="113" spans="1:10" ht="12.75" x14ac:dyDescent="0.2">
      <c r="A113" s="64" t="s">
        <v>85</v>
      </c>
      <c r="B113" s="12">
        <v>49</v>
      </c>
      <c r="C113" s="12" t="s">
        <v>197</v>
      </c>
      <c r="D113" s="12" t="s">
        <v>24</v>
      </c>
      <c r="E113" s="12" t="s">
        <v>25</v>
      </c>
      <c r="F113" s="12" t="s">
        <v>26</v>
      </c>
      <c r="G113" s="10" t="s">
        <v>27</v>
      </c>
      <c r="H113" s="13"/>
      <c r="I113" s="13"/>
      <c r="J113" s="13"/>
    </row>
    <row r="114" spans="1:10" ht="12.75" x14ac:dyDescent="0.2">
      <c r="A114" s="52"/>
      <c r="B114" s="12">
        <v>49</v>
      </c>
      <c r="C114" s="12" t="s">
        <v>196</v>
      </c>
      <c r="D114" s="12" t="s">
        <v>24</v>
      </c>
      <c r="E114" s="12" t="s">
        <v>25</v>
      </c>
      <c r="F114" s="12" t="s">
        <v>26</v>
      </c>
      <c r="G114" s="10" t="s">
        <v>27</v>
      </c>
      <c r="H114" s="13"/>
      <c r="I114" s="13"/>
      <c r="J114" s="13"/>
    </row>
    <row r="115" spans="1:10" ht="12.75" x14ac:dyDescent="0.2">
      <c r="A115" s="53"/>
      <c r="B115" s="12">
        <v>49</v>
      </c>
      <c r="C115" s="12" t="s">
        <v>1608</v>
      </c>
      <c r="D115" s="12" t="s">
        <v>24</v>
      </c>
      <c r="E115" s="12" t="s">
        <v>25</v>
      </c>
      <c r="F115" s="12" t="s">
        <v>26</v>
      </c>
      <c r="G115" s="10" t="s">
        <v>27</v>
      </c>
      <c r="H115" s="13"/>
      <c r="I115" s="13"/>
      <c r="J115" s="13"/>
    </row>
    <row r="116" spans="1:10" ht="12.75" x14ac:dyDescent="0.2">
      <c r="A116" s="13"/>
      <c r="B116" s="13"/>
      <c r="C116" s="13"/>
      <c r="D116" s="13"/>
      <c r="E116" s="13"/>
      <c r="F116" s="13"/>
      <c r="G116" s="13"/>
      <c r="H116" s="13"/>
      <c r="I116" s="13"/>
      <c r="J116" s="13"/>
    </row>
    <row r="117" spans="1:10" ht="12.75" x14ac:dyDescent="0.2">
      <c r="A117" s="13"/>
      <c r="B117" s="13"/>
      <c r="C117" s="13"/>
      <c r="D117" s="13"/>
      <c r="E117" s="13"/>
      <c r="F117" s="13"/>
      <c r="G117" s="13"/>
      <c r="H117" s="13"/>
      <c r="I117" s="13"/>
      <c r="J117" s="13"/>
    </row>
    <row r="118" spans="1:10" ht="12.75" x14ac:dyDescent="0.2">
      <c r="A118" s="13"/>
      <c r="B118" s="13"/>
      <c r="C118" s="13"/>
      <c r="D118" s="13"/>
      <c r="E118" s="13"/>
      <c r="F118" s="13"/>
      <c r="G118" s="13"/>
      <c r="H118" s="13"/>
      <c r="I118" s="13"/>
      <c r="J118" s="13"/>
    </row>
    <row r="119" spans="1:10" ht="12.75" x14ac:dyDescent="0.2">
      <c r="A119" s="13"/>
      <c r="B119" s="13"/>
      <c r="C119" s="13"/>
      <c r="D119" s="13"/>
      <c r="E119" s="13"/>
      <c r="F119" s="13"/>
      <c r="G119" s="13"/>
      <c r="H119" s="13"/>
      <c r="I119" s="13"/>
      <c r="J119" s="13"/>
    </row>
    <row r="120" spans="1:10" ht="12.75" x14ac:dyDescent="0.2">
      <c r="A120" s="13"/>
      <c r="B120" s="13"/>
      <c r="C120" s="13"/>
      <c r="D120" s="13"/>
      <c r="E120" s="13"/>
      <c r="F120" s="13"/>
      <c r="G120" s="13"/>
      <c r="H120" s="13"/>
      <c r="I120" s="13"/>
      <c r="J120" s="13"/>
    </row>
    <row r="121" spans="1:10" ht="12.75" x14ac:dyDescent="0.2">
      <c r="A121" s="13"/>
      <c r="B121" s="13"/>
      <c r="C121" s="13"/>
      <c r="D121" s="13"/>
      <c r="E121" s="13"/>
      <c r="F121" s="13"/>
      <c r="G121" s="13"/>
      <c r="H121" s="13"/>
      <c r="I121" s="13"/>
      <c r="J121" s="13"/>
    </row>
    <row r="122" spans="1:10" ht="12.75" x14ac:dyDescent="0.2">
      <c r="A122" s="13"/>
      <c r="B122" s="13"/>
      <c r="C122" s="13"/>
      <c r="D122" s="13"/>
      <c r="E122" s="13"/>
      <c r="F122" s="13"/>
      <c r="G122" s="13"/>
      <c r="H122" s="13"/>
      <c r="I122" s="13"/>
      <c r="J122" s="13"/>
    </row>
    <row r="123" spans="1:10" ht="12.75" x14ac:dyDescent="0.2">
      <c r="A123" s="13"/>
      <c r="B123" s="13"/>
      <c r="C123" s="13"/>
      <c r="D123" s="13"/>
      <c r="E123" s="13"/>
      <c r="F123" s="13"/>
      <c r="G123" s="13"/>
      <c r="H123" s="13"/>
      <c r="I123" s="13"/>
      <c r="J123" s="13"/>
    </row>
    <row r="124" spans="1:10" ht="12.75" x14ac:dyDescent="0.2">
      <c r="A124" s="13"/>
      <c r="B124" s="13"/>
      <c r="C124" s="13"/>
      <c r="D124" s="13"/>
      <c r="E124" s="13"/>
      <c r="F124" s="13"/>
      <c r="G124" s="13"/>
      <c r="H124" s="13"/>
      <c r="I124" s="13"/>
      <c r="J124" s="13"/>
    </row>
  </sheetData>
  <mergeCells count="18">
    <mergeCell ref="A113:A115"/>
    <mergeCell ref="A46:A50"/>
    <mergeCell ref="A51:A54"/>
    <mergeCell ref="A55:A59"/>
    <mergeCell ref="A60:A71"/>
    <mergeCell ref="A72:A79"/>
    <mergeCell ref="A80:A83"/>
    <mergeCell ref="A84:A88"/>
    <mergeCell ref="A33:A39"/>
    <mergeCell ref="A40:A45"/>
    <mergeCell ref="A89:A98"/>
    <mergeCell ref="A99:A109"/>
    <mergeCell ref="A110:A112"/>
    <mergeCell ref="A1:G1"/>
    <mergeCell ref="A9:A15"/>
    <mergeCell ref="A16:A19"/>
    <mergeCell ref="A20:A24"/>
    <mergeCell ref="A25:A3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M155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13" ht="15.75" customHeight="1" x14ac:dyDescent="0.25">
      <c r="A1" s="54" t="s">
        <v>0</v>
      </c>
      <c r="B1" s="55"/>
      <c r="C1" s="55"/>
      <c r="D1" s="55"/>
      <c r="E1" s="55"/>
      <c r="F1" s="55"/>
      <c r="G1" s="56"/>
    </row>
    <row r="2" spans="1:13" x14ac:dyDescent="0.2">
      <c r="A2" s="1"/>
      <c r="B2" s="2"/>
      <c r="C2" s="2"/>
      <c r="D2" s="2"/>
      <c r="E2" s="2"/>
      <c r="F2" s="2"/>
      <c r="G2" s="2"/>
    </row>
    <row r="3" spans="1:13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13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13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13" x14ac:dyDescent="0.2">
      <c r="A6" s="1"/>
      <c r="B6" s="2"/>
      <c r="C6" s="2"/>
      <c r="D6" s="2"/>
      <c r="E6" s="2"/>
      <c r="F6" s="2"/>
      <c r="G6" s="2"/>
    </row>
    <row r="7" spans="1:13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13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13" x14ac:dyDescent="0.2">
      <c r="A9" s="48" t="s">
        <v>20</v>
      </c>
      <c r="B9" s="9">
        <v>50</v>
      </c>
      <c r="C9" s="9" t="s">
        <v>1609</v>
      </c>
      <c r="D9" s="9" t="s">
        <v>24</v>
      </c>
      <c r="E9" s="9" t="s">
        <v>31</v>
      </c>
      <c r="F9" s="9" t="s">
        <v>26</v>
      </c>
      <c r="G9" s="10" t="s">
        <v>27</v>
      </c>
      <c r="H9" s="11"/>
      <c r="I9" s="11"/>
      <c r="J9" s="11"/>
      <c r="K9" s="11"/>
      <c r="L9" s="11"/>
      <c r="M9" s="11"/>
    </row>
    <row r="10" spans="1:13" x14ac:dyDescent="0.2">
      <c r="A10" s="52"/>
      <c r="B10" s="9">
        <v>50</v>
      </c>
      <c r="C10" s="9" t="s">
        <v>1610</v>
      </c>
      <c r="D10" s="9" t="s">
        <v>30</v>
      </c>
      <c r="E10" s="9" t="s">
        <v>31</v>
      </c>
      <c r="F10" s="9" t="s">
        <v>26</v>
      </c>
      <c r="G10" s="10" t="s">
        <v>27</v>
      </c>
      <c r="H10" s="11"/>
      <c r="I10" s="11"/>
      <c r="J10" s="11"/>
      <c r="K10" s="11"/>
      <c r="L10" s="11"/>
      <c r="M10" s="11"/>
    </row>
    <row r="11" spans="1:13" x14ac:dyDescent="0.2">
      <c r="A11" s="52"/>
      <c r="B11" s="9">
        <v>50</v>
      </c>
      <c r="C11" s="9" t="s">
        <v>1611</v>
      </c>
      <c r="D11" s="9" t="s">
        <v>24</v>
      </c>
      <c r="E11" s="9" t="s">
        <v>31</v>
      </c>
      <c r="F11" s="9" t="s">
        <v>26</v>
      </c>
      <c r="G11" s="10" t="s">
        <v>27</v>
      </c>
      <c r="H11" s="11"/>
      <c r="I11" s="11"/>
      <c r="J11" s="11"/>
      <c r="K11" s="11"/>
      <c r="L11" s="11"/>
      <c r="M11" s="11"/>
    </row>
    <row r="12" spans="1:13" x14ac:dyDescent="0.2">
      <c r="A12" s="52"/>
      <c r="B12" s="9">
        <v>50</v>
      </c>
      <c r="C12" s="9" t="s">
        <v>1612</v>
      </c>
      <c r="D12" s="9" t="s">
        <v>24</v>
      </c>
      <c r="E12" s="9" t="s">
        <v>31</v>
      </c>
      <c r="F12" s="9" t="s">
        <v>26</v>
      </c>
      <c r="G12" s="10" t="s">
        <v>27</v>
      </c>
      <c r="H12" s="11"/>
      <c r="I12" s="11"/>
      <c r="J12" s="11"/>
      <c r="K12" s="11"/>
      <c r="L12" s="11"/>
      <c r="M12" s="11"/>
    </row>
    <row r="13" spans="1:13" x14ac:dyDescent="0.2">
      <c r="A13" s="52"/>
      <c r="B13" s="9">
        <v>50</v>
      </c>
      <c r="C13" s="9" t="s">
        <v>1613</v>
      </c>
      <c r="D13" s="9" t="s">
        <v>30</v>
      </c>
      <c r="E13" s="9" t="s">
        <v>31</v>
      </c>
      <c r="F13" s="9" t="s">
        <v>26</v>
      </c>
      <c r="G13" s="10" t="s">
        <v>27</v>
      </c>
      <c r="H13" s="11"/>
      <c r="I13" s="11"/>
      <c r="J13" s="11"/>
      <c r="K13" s="11"/>
      <c r="L13" s="11"/>
      <c r="M13" s="11"/>
    </row>
    <row r="14" spans="1:13" x14ac:dyDescent="0.2">
      <c r="A14" s="52"/>
      <c r="B14" s="9">
        <v>50</v>
      </c>
      <c r="C14" s="9" t="s">
        <v>1614</v>
      </c>
      <c r="D14" s="9" t="s">
        <v>24</v>
      </c>
      <c r="E14" s="9" t="s">
        <v>31</v>
      </c>
      <c r="F14" s="9" t="s">
        <v>26</v>
      </c>
      <c r="G14" s="10" t="s">
        <v>27</v>
      </c>
      <c r="H14" s="11"/>
      <c r="I14" s="11"/>
      <c r="J14" s="11"/>
      <c r="K14" s="11"/>
      <c r="L14" s="11"/>
      <c r="M14" s="11"/>
    </row>
    <row r="15" spans="1:13" x14ac:dyDescent="0.2">
      <c r="A15" s="52"/>
      <c r="B15" s="9">
        <v>50</v>
      </c>
      <c r="C15" s="9" t="s">
        <v>1615</v>
      </c>
      <c r="D15" s="9" t="s">
        <v>24</v>
      </c>
      <c r="E15" s="9" t="s">
        <v>31</v>
      </c>
      <c r="F15" s="9" t="s">
        <v>26</v>
      </c>
      <c r="G15" s="10" t="s">
        <v>27</v>
      </c>
      <c r="H15" s="11"/>
      <c r="I15" s="11"/>
      <c r="J15" s="11"/>
      <c r="K15" s="11"/>
      <c r="L15" s="11"/>
      <c r="M15" s="11"/>
    </row>
    <row r="16" spans="1:13" x14ac:dyDescent="0.2">
      <c r="A16" s="50"/>
      <c r="B16" s="9">
        <v>50</v>
      </c>
      <c r="C16" s="9" t="s">
        <v>1616</v>
      </c>
      <c r="D16" s="9" t="s">
        <v>24</v>
      </c>
      <c r="E16" s="9" t="s">
        <v>31</v>
      </c>
      <c r="F16" s="9" t="s">
        <v>26</v>
      </c>
      <c r="G16" s="10" t="s">
        <v>27</v>
      </c>
      <c r="H16" s="11"/>
      <c r="I16" s="11"/>
      <c r="J16" s="11"/>
      <c r="K16" s="11"/>
      <c r="L16" s="11"/>
      <c r="M16" s="11"/>
    </row>
    <row r="17" spans="1:13" x14ac:dyDescent="0.2">
      <c r="A17" s="51"/>
      <c r="B17" s="9">
        <v>50</v>
      </c>
      <c r="C17" s="9" t="s">
        <v>1617</v>
      </c>
      <c r="D17" s="9" t="s">
        <v>24</v>
      </c>
      <c r="E17" s="9" t="s">
        <v>31</v>
      </c>
      <c r="F17" s="9" t="s">
        <v>26</v>
      </c>
      <c r="G17" s="10" t="s">
        <v>27</v>
      </c>
      <c r="H17" s="11"/>
      <c r="I17" s="11"/>
      <c r="J17" s="11"/>
      <c r="K17" s="11"/>
      <c r="L17" s="11"/>
      <c r="M17" s="11"/>
    </row>
    <row r="18" spans="1:13" x14ac:dyDescent="0.2">
      <c r="A18" s="49"/>
      <c r="B18" s="9">
        <v>50</v>
      </c>
      <c r="C18" s="9" t="s">
        <v>1618</v>
      </c>
      <c r="D18" s="9" t="s">
        <v>24</v>
      </c>
      <c r="E18" s="9" t="s">
        <v>31</v>
      </c>
      <c r="F18" s="9" t="s">
        <v>26</v>
      </c>
      <c r="G18" s="10" t="s">
        <v>27</v>
      </c>
      <c r="H18" s="11"/>
      <c r="I18" s="11"/>
      <c r="J18" s="11"/>
      <c r="K18" s="11"/>
      <c r="L18" s="11"/>
      <c r="M18" s="11"/>
    </row>
    <row r="19" spans="1:13" x14ac:dyDescent="0.2">
      <c r="A19" s="48" t="s">
        <v>22</v>
      </c>
      <c r="B19" s="9">
        <v>50</v>
      </c>
      <c r="C19" s="9" t="s">
        <v>1610</v>
      </c>
      <c r="D19" s="9" t="s">
        <v>30</v>
      </c>
      <c r="E19" s="9" t="s">
        <v>31</v>
      </c>
      <c r="F19" s="9" t="s">
        <v>26</v>
      </c>
      <c r="G19" s="10" t="s">
        <v>27</v>
      </c>
      <c r="H19" s="11"/>
      <c r="I19" s="11"/>
      <c r="J19" s="11"/>
      <c r="K19" s="11"/>
      <c r="L19" s="11"/>
      <c r="M19" s="11"/>
    </row>
    <row r="20" spans="1:13" x14ac:dyDescent="0.2">
      <c r="A20" s="50"/>
      <c r="B20" s="9">
        <v>50</v>
      </c>
      <c r="C20" s="9" t="s">
        <v>1613</v>
      </c>
      <c r="D20" s="9" t="s">
        <v>30</v>
      </c>
      <c r="E20" s="9" t="s">
        <v>31</v>
      </c>
      <c r="F20" s="9" t="s">
        <v>26</v>
      </c>
      <c r="G20" s="10" t="s">
        <v>27</v>
      </c>
      <c r="H20" s="11"/>
      <c r="I20" s="11"/>
      <c r="J20" s="11"/>
      <c r="K20" s="11"/>
      <c r="L20" s="11"/>
      <c r="M20" s="11"/>
    </row>
    <row r="21" spans="1:13" x14ac:dyDescent="0.2">
      <c r="A21" s="51"/>
      <c r="B21" s="9">
        <v>50</v>
      </c>
      <c r="C21" s="9" t="s">
        <v>1614</v>
      </c>
      <c r="D21" s="9" t="s">
        <v>24</v>
      </c>
      <c r="E21" s="9" t="s">
        <v>31</v>
      </c>
      <c r="F21" s="9" t="s">
        <v>26</v>
      </c>
      <c r="G21" s="10" t="s">
        <v>27</v>
      </c>
      <c r="H21" s="11"/>
      <c r="I21" s="11"/>
      <c r="J21" s="11"/>
      <c r="K21" s="11"/>
      <c r="L21" s="11"/>
      <c r="M21" s="11"/>
    </row>
    <row r="22" spans="1:13" x14ac:dyDescent="0.2">
      <c r="A22" s="50"/>
      <c r="B22" s="9">
        <v>50</v>
      </c>
      <c r="C22" s="9" t="s">
        <v>1617</v>
      </c>
      <c r="D22" s="9" t="s">
        <v>24</v>
      </c>
      <c r="E22" s="9" t="s">
        <v>31</v>
      </c>
      <c r="F22" s="9" t="s">
        <v>26</v>
      </c>
      <c r="G22" s="10" t="s">
        <v>27</v>
      </c>
      <c r="H22" s="11"/>
      <c r="I22" s="11"/>
      <c r="J22" s="11"/>
      <c r="K22" s="11"/>
      <c r="L22" s="11"/>
      <c r="M22" s="11"/>
    </row>
    <row r="23" spans="1:13" x14ac:dyDescent="0.2">
      <c r="A23" s="51"/>
      <c r="B23" s="9">
        <v>50</v>
      </c>
      <c r="C23" s="9" t="s">
        <v>1618</v>
      </c>
      <c r="D23" s="9" t="s">
        <v>24</v>
      </c>
      <c r="E23" s="9" t="s">
        <v>31</v>
      </c>
      <c r="F23" s="9" t="s">
        <v>26</v>
      </c>
      <c r="G23" s="10" t="s">
        <v>27</v>
      </c>
      <c r="H23" s="11"/>
      <c r="I23" s="11"/>
      <c r="J23" s="11"/>
      <c r="K23" s="11"/>
      <c r="L23" s="11"/>
      <c r="M23" s="11"/>
    </row>
    <row r="24" spans="1:13" x14ac:dyDescent="0.2">
      <c r="A24" s="49"/>
      <c r="B24" s="9">
        <v>50</v>
      </c>
      <c r="C24" s="9" t="s">
        <v>1619</v>
      </c>
      <c r="D24" s="9" t="s">
        <v>24</v>
      </c>
      <c r="E24" s="9" t="s">
        <v>31</v>
      </c>
      <c r="F24" s="9" t="s">
        <v>26</v>
      </c>
      <c r="G24" s="10" t="s">
        <v>27</v>
      </c>
      <c r="H24" s="11"/>
      <c r="I24" s="11"/>
      <c r="J24" s="11"/>
      <c r="K24" s="11"/>
      <c r="L24" s="11"/>
      <c r="M24" s="11"/>
    </row>
    <row r="25" spans="1:13" x14ac:dyDescent="0.2">
      <c r="A25" s="48" t="s">
        <v>28</v>
      </c>
      <c r="B25" s="9">
        <v>50</v>
      </c>
      <c r="C25" s="9" t="s">
        <v>1620</v>
      </c>
      <c r="D25" s="9" t="s">
        <v>24</v>
      </c>
      <c r="E25" s="9" t="s">
        <v>25</v>
      </c>
      <c r="F25" s="9" t="s">
        <v>26</v>
      </c>
      <c r="G25" s="10" t="s">
        <v>27</v>
      </c>
      <c r="H25" s="11"/>
      <c r="I25" s="11"/>
      <c r="J25" s="11"/>
      <c r="K25" s="11"/>
      <c r="L25" s="11"/>
      <c r="M25" s="11"/>
    </row>
    <row r="26" spans="1:13" x14ac:dyDescent="0.2">
      <c r="A26" s="50"/>
      <c r="B26" s="9">
        <v>50</v>
      </c>
      <c r="C26" s="9" t="s">
        <v>1621</v>
      </c>
      <c r="D26" s="9" t="s">
        <v>24</v>
      </c>
      <c r="E26" s="9" t="s">
        <v>25</v>
      </c>
      <c r="F26" s="9" t="s">
        <v>26</v>
      </c>
      <c r="G26" s="10" t="s">
        <v>27</v>
      </c>
      <c r="H26" s="11"/>
      <c r="I26" s="11"/>
      <c r="J26" s="11"/>
      <c r="K26" s="11"/>
      <c r="L26" s="11"/>
      <c r="M26" s="11"/>
    </row>
    <row r="27" spans="1:13" x14ac:dyDescent="0.2">
      <c r="A27" s="51"/>
      <c r="B27" s="9">
        <v>50</v>
      </c>
      <c r="C27" s="9" t="s">
        <v>1622</v>
      </c>
      <c r="D27" s="9" t="s">
        <v>24</v>
      </c>
      <c r="E27" s="9" t="s">
        <v>25</v>
      </c>
      <c r="F27" s="9" t="s">
        <v>26</v>
      </c>
      <c r="G27" s="10" t="s">
        <v>27</v>
      </c>
      <c r="H27" s="11"/>
      <c r="I27" s="11"/>
      <c r="J27" s="11"/>
      <c r="K27" s="11"/>
      <c r="L27" s="11"/>
      <c r="M27" s="11"/>
    </row>
    <row r="28" spans="1:13" x14ac:dyDescent="0.2">
      <c r="A28" s="50"/>
      <c r="B28" s="9">
        <v>50</v>
      </c>
      <c r="C28" s="9" t="s">
        <v>223</v>
      </c>
      <c r="D28" s="9" t="s">
        <v>24</v>
      </c>
      <c r="E28" s="9" t="s">
        <v>25</v>
      </c>
      <c r="F28" s="9" t="s">
        <v>26</v>
      </c>
      <c r="G28" s="10" t="s">
        <v>27</v>
      </c>
      <c r="H28" s="11"/>
      <c r="I28" s="11"/>
      <c r="J28" s="11"/>
      <c r="K28" s="11"/>
      <c r="L28" s="11"/>
      <c r="M28" s="11"/>
    </row>
    <row r="29" spans="1:13" x14ac:dyDescent="0.2">
      <c r="A29" s="51"/>
      <c r="B29" s="9">
        <v>50</v>
      </c>
      <c r="C29" s="9" t="s">
        <v>227</v>
      </c>
      <c r="D29" s="9" t="s">
        <v>30</v>
      </c>
      <c r="E29" s="9" t="s">
        <v>25</v>
      </c>
      <c r="F29" s="9" t="s">
        <v>26</v>
      </c>
      <c r="G29" s="10" t="s">
        <v>27</v>
      </c>
      <c r="H29" s="11"/>
      <c r="I29" s="11"/>
      <c r="J29" s="11"/>
      <c r="K29" s="11"/>
      <c r="L29" s="11"/>
      <c r="M29" s="11"/>
    </row>
    <row r="30" spans="1:13" x14ac:dyDescent="0.2">
      <c r="A30" s="50"/>
      <c r="B30" s="9">
        <v>50</v>
      </c>
      <c r="C30" s="9" t="s">
        <v>228</v>
      </c>
      <c r="D30" s="9" t="s">
        <v>24</v>
      </c>
      <c r="E30" s="9" t="s">
        <v>25</v>
      </c>
      <c r="F30" s="9" t="s">
        <v>26</v>
      </c>
      <c r="G30" s="10" t="s">
        <v>27</v>
      </c>
      <c r="H30" s="11"/>
      <c r="I30" s="11"/>
      <c r="J30" s="11"/>
      <c r="K30" s="11"/>
      <c r="L30" s="11"/>
      <c r="M30" s="11"/>
    </row>
    <row r="31" spans="1:13" x14ac:dyDescent="0.2">
      <c r="A31" s="51"/>
      <c r="B31" s="9">
        <v>50</v>
      </c>
      <c r="C31" s="9" t="s">
        <v>254</v>
      </c>
      <c r="D31" s="9" t="s">
        <v>24</v>
      </c>
      <c r="E31" s="9" t="s">
        <v>25</v>
      </c>
      <c r="F31" s="9" t="s">
        <v>26</v>
      </c>
      <c r="G31" s="10" t="s">
        <v>27</v>
      </c>
      <c r="H31" s="11"/>
      <c r="I31" s="11"/>
      <c r="J31" s="11"/>
      <c r="K31" s="11"/>
      <c r="L31" s="11"/>
      <c r="M31" s="11"/>
    </row>
    <row r="32" spans="1:13" x14ac:dyDescent="0.2">
      <c r="A32" s="50"/>
      <c r="B32" s="9">
        <v>50</v>
      </c>
      <c r="C32" s="9" t="s">
        <v>1623</v>
      </c>
      <c r="D32" s="9" t="s">
        <v>24</v>
      </c>
      <c r="E32" s="9" t="s">
        <v>25</v>
      </c>
      <c r="F32" s="9" t="s">
        <v>26</v>
      </c>
      <c r="G32" s="10" t="s">
        <v>27</v>
      </c>
      <c r="H32" s="11"/>
      <c r="I32" s="11"/>
      <c r="J32" s="11"/>
      <c r="K32" s="11"/>
      <c r="L32" s="11"/>
      <c r="M32" s="11"/>
    </row>
    <row r="33" spans="1:13" x14ac:dyDescent="0.2">
      <c r="A33" s="51"/>
      <c r="B33" s="9">
        <v>50</v>
      </c>
      <c r="C33" s="9" t="s">
        <v>1624</v>
      </c>
      <c r="D33" s="9" t="s">
        <v>24</v>
      </c>
      <c r="E33" s="9" t="s">
        <v>25</v>
      </c>
      <c r="F33" s="9" t="s">
        <v>26</v>
      </c>
      <c r="G33" s="10" t="s">
        <v>27</v>
      </c>
      <c r="H33" s="11"/>
      <c r="I33" s="11"/>
      <c r="J33" s="11"/>
      <c r="K33" s="11"/>
      <c r="L33" s="11"/>
      <c r="M33" s="11"/>
    </row>
    <row r="34" spans="1:13" x14ac:dyDescent="0.2">
      <c r="A34" s="50"/>
      <c r="B34" s="9">
        <v>50</v>
      </c>
      <c r="C34" s="9" t="s">
        <v>252</v>
      </c>
      <c r="D34" s="9" t="s">
        <v>24</v>
      </c>
      <c r="E34" s="9" t="s">
        <v>25</v>
      </c>
      <c r="F34" s="9" t="s">
        <v>26</v>
      </c>
      <c r="G34" s="10" t="s">
        <v>27</v>
      </c>
      <c r="H34" s="11"/>
      <c r="I34" s="11"/>
      <c r="J34" s="11"/>
      <c r="K34" s="11"/>
      <c r="L34" s="11"/>
      <c r="M34" s="11"/>
    </row>
    <row r="35" spans="1:13" x14ac:dyDescent="0.2">
      <c r="A35" s="51"/>
      <c r="B35" s="9">
        <v>50</v>
      </c>
      <c r="C35" s="9" t="s">
        <v>1625</v>
      </c>
      <c r="D35" s="9" t="s">
        <v>24</v>
      </c>
      <c r="E35" s="9" t="s">
        <v>25</v>
      </c>
      <c r="F35" s="9" t="s">
        <v>26</v>
      </c>
      <c r="G35" s="10" t="s">
        <v>27</v>
      </c>
      <c r="H35" s="11"/>
      <c r="I35" s="11"/>
      <c r="J35" s="11"/>
      <c r="K35" s="11"/>
      <c r="L35" s="11"/>
      <c r="M35" s="11"/>
    </row>
    <row r="36" spans="1:13" x14ac:dyDescent="0.2">
      <c r="A36" s="49"/>
      <c r="B36" s="9">
        <v>50</v>
      </c>
      <c r="C36" s="9" t="s">
        <v>1626</v>
      </c>
      <c r="D36" s="9" t="s">
        <v>24</v>
      </c>
      <c r="E36" s="9" t="s">
        <v>25</v>
      </c>
      <c r="F36" s="9" t="s">
        <v>26</v>
      </c>
      <c r="G36" s="10" t="s">
        <v>27</v>
      </c>
      <c r="H36" s="11"/>
      <c r="I36" s="11"/>
      <c r="J36" s="11"/>
      <c r="K36" s="11"/>
      <c r="L36" s="11"/>
      <c r="M36" s="11"/>
    </row>
    <row r="37" spans="1:13" ht="12.75" x14ac:dyDescent="0.2">
      <c r="A37" s="48" t="s">
        <v>33</v>
      </c>
      <c r="B37" s="9">
        <v>50</v>
      </c>
      <c r="C37" s="9" t="s">
        <v>1627</v>
      </c>
      <c r="D37" s="9" t="s">
        <v>24</v>
      </c>
      <c r="E37" s="9" t="s">
        <v>31</v>
      </c>
      <c r="F37" s="9" t="s">
        <v>26</v>
      </c>
      <c r="G37" s="10" t="s">
        <v>27</v>
      </c>
      <c r="H37" s="11"/>
      <c r="I37" s="11"/>
      <c r="J37" s="11"/>
      <c r="K37" s="11"/>
      <c r="L37" s="11"/>
      <c r="M37" s="11"/>
    </row>
    <row r="38" spans="1:13" ht="12.75" x14ac:dyDescent="0.2">
      <c r="A38" s="50"/>
      <c r="B38" s="9">
        <v>50</v>
      </c>
      <c r="C38" s="9" t="s">
        <v>1210</v>
      </c>
      <c r="D38" s="9" t="s">
        <v>24</v>
      </c>
      <c r="E38" s="9" t="s">
        <v>31</v>
      </c>
      <c r="F38" s="9" t="s">
        <v>26</v>
      </c>
      <c r="G38" s="10" t="s">
        <v>27</v>
      </c>
      <c r="H38" s="11"/>
      <c r="I38" s="11"/>
      <c r="J38" s="11"/>
      <c r="K38" s="11"/>
      <c r="L38" s="11"/>
      <c r="M38" s="11"/>
    </row>
    <row r="39" spans="1:13" ht="12.75" x14ac:dyDescent="0.2">
      <c r="A39" s="52"/>
      <c r="B39" s="9">
        <v>50</v>
      </c>
      <c r="C39" s="9" t="s">
        <v>1628</v>
      </c>
      <c r="D39" s="9" t="s">
        <v>24</v>
      </c>
      <c r="E39" s="9" t="s">
        <v>31</v>
      </c>
      <c r="F39" s="9" t="s">
        <v>26</v>
      </c>
      <c r="G39" s="10" t="s">
        <v>27</v>
      </c>
      <c r="H39" s="11"/>
      <c r="I39" s="11"/>
      <c r="J39" s="11"/>
      <c r="K39" s="11"/>
      <c r="L39" s="11"/>
      <c r="M39" s="11"/>
    </row>
    <row r="40" spans="1:13" ht="12.75" x14ac:dyDescent="0.2">
      <c r="A40" s="52"/>
      <c r="B40" s="9">
        <v>50</v>
      </c>
      <c r="C40" s="9" t="s">
        <v>1629</v>
      </c>
      <c r="D40" s="9" t="s">
        <v>24</v>
      </c>
      <c r="E40" s="9" t="s">
        <v>31</v>
      </c>
      <c r="F40" s="9" t="s">
        <v>26</v>
      </c>
      <c r="G40" s="10" t="s">
        <v>27</v>
      </c>
      <c r="H40" s="11"/>
      <c r="I40" s="11"/>
      <c r="J40" s="11"/>
      <c r="K40" s="11"/>
      <c r="L40" s="11"/>
      <c r="M40" s="11"/>
    </row>
    <row r="41" spans="1:13" ht="12.75" x14ac:dyDescent="0.2">
      <c r="A41" s="52"/>
      <c r="B41" s="9">
        <v>50</v>
      </c>
      <c r="C41" s="9" t="s">
        <v>1630</v>
      </c>
      <c r="D41" s="9" t="s">
        <v>24</v>
      </c>
      <c r="E41" s="9" t="s">
        <v>31</v>
      </c>
      <c r="F41" s="9" t="s">
        <v>26</v>
      </c>
      <c r="G41" s="10" t="s">
        <v>27</v>
      </c>
      <c r="H41" s="11"/>
      <c r="I41" s="11"/>
      <c r="J41" s="11"/>
      <c r="K41" s="11"/>
      <c r="L41" s="11"/>
      <c r="M41" s="11"/>
    </row>
    <row r="42" spans="1:13" ht="12.75" x14ac:dyDescent="0.2">
      <c r="A42" s="52"/>
      <c r="B42" s="9">
        <v>50</v>
      </c>
      <c r="C42" s="9" t="s">
        <v>1631</v>
      </c>
      <c r="D42" s="9" t="s">
        <v>24</v>
      </c>
      <c r="E42" s="9" t="s">
        <v>31</v>
      </c>
      <c r="F42" s="9" t="s">
        <v>26</v>
      </c>
      <c r="G42" s="10" t="s">
        <v>27</v>
      </c>
      <c r="H42" s="11"/>
      <c r="I42" s="11"/>
      <c r="J42" s="11"/>
      <c r="K42" s="11"/>
      <c r="L42" s="11"/>
      <c r="M42" s="11"/>
    </row>
    <row r="43" spans="1:13" ht="12.75" x14ac:dyDescent="0.2">
      <c r="A43" s="52"/>
      <c r="B43" s="9">
        <v>50</v>
      </c>
      <c r="C43" s="9" t="s">
        <v>1613</v>
      </c>
      <c r="D43" s="9" t="s">
        <v>30</v>
      </c>
      <c r="E43" s="9" t="s">
        <v>31</v>
      </c>
      <c r="F43" s="9" t="s">
        <v>26</v>
      </c>
      <c r="G43" s="10" t="s">
        <v>27</v>
      </c>
      <c r="H43" s="11"/>
      <c r="I43" s="11"/>
      <c r="J43" s="11"/>
      <c r="K43" s="11"/>
      <c r="L43" s="11"/>
      <c r="M43" s="11"/>
    </row>
    <row r="44" spans="1:13" ht="12.75" x14ac:dyDescent="0.2">
      <c r="A44" s="52"/>
      <c r="B44" s="9">
        <v>50</v>
      </c>
      <c r="C44" s="9" t="s">
        <v>1614</v>
      </c>
      <c r="D44" s="9" t="s">
        <v>24</v>
      </c>
      <c r="E44" s="9" t="s">
        <v>31</v>
      </c>
      <c r="F44" s="9" t="s">
        <v>26</v>
      </c>
      <c r="G44" s="10" t="s">
        <v>27</v>
      </c>
      <c r="H44" s="11"/>
      <c r="I44" s="11"/>
      <c r="J44" s="11"/>
      <c r="K44" s="11"/>
      <c r="L44" s="11"/>
      <c r="M44" s="11"/>
    </row>
    <row r="45" spans="1:13" ht="12.75" x14ac:dyDescent="0.2">
      <c r="A45" s="52"/>
      <c r="B45" s="9">
        <v>50</v>
      </c>
      <c r="C45" s="9" t="s">
        <v>1632</v>
      </c>
      <c r="D45" s="9" t="s">
        <v>24</v>
      </c>
      <c r="E45" s="9" t="s">
        <v>31</v>
      </c>
      <c r="F45" s="9" t="s">
        <v>26</v>
      </c>
      <c r="G45" s="10" t="s">
        <v>27</v>
      </c>
      <c r="H45" s="11"/>
      <c r="I45" s="11"/>
      <c r="J45" s="11"/>
      <c r="K45" s="11"/>
      <c r="L45" s="11"/>
      <c r="M45" s="11"/>
    </row>
    <row r="46" spans="1:13" ht="12.75" x14ac:dyDescent="0.2">
      <c r="A46" s="52"/>
      <c r="B46" s="9">
        <v>50</v>
      </c>
      <c r="C46" s="9" t="s">
        <v>1633</v>
      </c>
      <c r="D46" s="9" t="s">
        <v>24</v>
      </c>
      <c r="E46" s="9" t="s">
        <v>31</v>
      </c>
      <c r="F46" s="9" t="s">
        <v>26</v>
      </c>
      <c r="G46" s="10" t="s">
        <v>27</v>
      </c>
      <c r="H46" s="11"/>
      <c r="I46" s="11"/>
      <c r="J46" s="11"/>
      <c r="K46" s="11"/>
      <c r="L46" s="11"/>
      <c r="M46" s="11"/>
    </row>
    <row r="47" spans="1:13" ht="12.75" x14ac:dyDescent="0.2">
      <c r="A47" s="52"/>
      <c r="B47" s="9">
        <v>50</v>
      </c>
      <c r="C47" s="9" t="s">
        <v>1634</v>
      </c>
      <c r="D47" s="9" t="s">
        <v>24</v>
      </c>
      <c r="E47" s="9" t="s">
        <v>31</v>
      </c>
      <c r="F47" s="9" t="s">
        <v>26</v>
      </c>
      <c r="G47" s="10" t="s">
        <v>27</v>
      </c>
      <c r="H47" s="11"/>
      <c r="I47" s="11"/>
      <c r="J47" s="11"/>
      <c r="K47" s="11"/>
      <c r="L47" s="11"/>
      <c r="M47" s="11"/>
    </row>
    <row r="48" spans="1:13" ht="12.75" x14ac:dyDescent="0.2">
      <c r="A48" s="52"/>
      <c r="B48" s="9">
        <v>50</v>
      </c>
      <c r="C48" s="9" t="s">
        <v>1635</v>
      </c>
      <c r="D48" s="9" t="s">
        <v>24</v>
      </c>
      <c r="E48" s="9" t="s">
        <v>31</v>
      </c>
      <c r="F48" s="9" t="s">
        <v>26</v>
      </c>
      <c r="G48" s="10" t="s">
        <v>27</v>
      </c>
      <c r="H48" s="11"/>
      <c r="I48" s="11"/>
      <c r="J48" s="11"/>
      <c r="K48" s="11"/>
      <c r="L48" s="11"/>
      <c r="M48" s="11"/>
    </row>
    <row r="49" spans="1:13" ht="12.75" x14ac:dyDescent="0.2">
      <c r="A49" s="52"/>
      <c r="B49" s="9">
        <v>50</v>
      </c>
      <c r="C49" s="9" t="s">
        <v>1636</v>
      </c>
      <c r="D49" s="9" t="s">
        <v>24</v>
      </c>
      <c r="E49" s="9" t="s">
        <v>31</v>
      </c>
      <c r="F49" s="9" t="s">
        <v>26</v>
      </c>
      <c r="G49" s="10" t="s">
        <v>27</v>
      </c>
      <c r="H49" s="11"/>
      <c r="I49" s="11"/>
      <c r="J49" s="11"/>
      <c r="K49" s="11"/>
      <c r="L49" s="11"/>
      <c r="M49" s="11"/>
    </row>
    <row r="50" spans="1:13" ht="12.75" x14ac:dyDescent="0.2">
      <c r="A50" s="52"/>
      <c r="B50" s="9">
        <v>50</v>
      </c>
      <c r="C50" s="9" t="s">
        <v>1618</v>
      </c>
      <c r="D50" s="9" t="s">
        <v>24</v>
      </c>
      <c r="E50" s="9" t="s">
        <v>31</v>
      </c>
      <c r="F50" s="9" t="s">
        <v>26</v>
      </c>
      <c r="G50" s="10" t="s">
        <v>27</v>
      </c>
      <c r="H50" s="11"/>
      <c r="I50" s="11"/>
      <c r="J50" s="11"/>
      <c r="K50" s="11"/>
      <c r="L50" s="11"/>
      <c r="M50" s="11"/>
    </row>
    <row r="51" spans="1:13" ht="12.75" x14ac:dyDescent="0.2">
      <c r="A51" s="53"/>
      <c r="B51" s="9">
        <v>50</v>
      </c>
      <c r="C51" s="9" t="s">
        <v>1637</v>
      </c>
      <c r="D51" s="9" t="s">
        <v>24</v>
      </c>
      <c r="E51" s="9" t="s">
        <v>31</v>
      </c>
      <c r="F51" s="9" t="s">
        <v>26</v>
      </c>
      <c r="G51" s="10" t="s">
        <v>27</v>
      </c>
      <c r="H51" s="11"/>
      <c r="I51" s="11"/>
      <c r="J51" s="11"/>
      <c r="K51" s="11"/>
      <c r="L51" s="11"/>
      <c r="M51" s="11"/>
    </row>
    <row r="52" spans="1:13" ht="12.75" x14ac:dyDescent="0.2">
      <c r="A52" s="48" t="s">
        <v>38</v>
      </c>
      <c r="B52" s="9">
        <v>50</v>
      </c>
      <c r="C52" s="9" t="s">
        <v>1631</v>
      </c>
      <c r="D52" s="9" t="s">
        <v>24</v>
      </c>
      <c r="E52" s="9" t="s">
        <v>31</v>
      </c>
      <c r="F52" s="9" t="s">
        <v>26</v>
      </c>
      <c r="G52" s="10" t="s">
        <v>27</v>
      </c>
      <c r="H52" s="13"/>
      <c r="I52" s="13"/>
    </row>
    <row r="53" spans="1:13" ht="12.75" x14ac:dyDescent="0.2">
      <c r="A53" s="52"/>
      <c r="B53" s="9">
        <v>50</v>
      </c>
      <c r="C53" s="9" t="s">
        <v>1613</v>
      </c>
      <c r="D53" s="9" t="s">
        <v>30</v>
      </c>
      <c r="E53" s="9" t="s">
        <v>31</v>
      </c>
      <c r="F53" s="9" t="s">
        <v>26</v>
      </c>
      <c r="G53" s="10" t="s">
        <v>27</v>
      </c>
      <c r="H53" s="13"/>
      <c r="I53" s="13"/>
    </row>
    <row r="54" spans="1:13" ht="12.75" x14ac:dyDescent="0.2">
      <c r="A54" s="52"/>
      <c r="B54" s="9">
        <v>50</v>
      </c>
      <c r="C54" s="9" t="s">
        <v>1638</v>
      </c>
      <c r="D54" s="9" t="s">
        <v>24</v>
      </c>
      <c r="E54" s="9" t="s">
        <v>31</v>
      </c>
      <c r="F54" s="9" t="s">
        <v>26</v>
      </c>
      <c r="G54" s="10" t="s">
        <v>27</v>
      </c>
      <c r="H54" s="13"/>
      <c r="I54" s="13"/>
    </row>
    <row r="55" spans="1:13" ht="12.75" x14ac:dyDescent="0.2">
      <c r="A55" s="52"/>
      <c r="B55" s="9">
        <v>50</v>
      </c>
      <c r="C55" s="9" t="s">
        <v>1632</v>
      </c>
      <c r="D55" s="9" t="s">
        <v>24</v>
      </c>
      <c r="E55" s="9" t="s">
        <v>31</v>
      </c>
      <c r="F55" s="9" t="s">
        <v>26</v>
      </c>
      <c r="G55" s="10" t="s">
        <v>27</v>
      </c>
      <c r="H55" s="13"/>
      <c r="I55" s="13"/>
    </row>
    <row r="56" spans="1:13" ht="12.75" x14ac:dyDescent="0.2">
      <c r="A56" s="52"/>
      <c r="B56" s="9">
        <v>50</v>
      </c>
      <c r="C56" s="9" t="s">
        <v>1633</v>
      </c>
      <c r="D56" s="9" t="s">
        <v>24</v>
      </c>
      <c r="E56" s="9" t="s">
        <v>31</v>
      </c>
      <c r="F56" s="9" t="s">
        <v>26</v>
      </c>
      <c r="G56" s="10" t="s">
        <v>27</v>
      </c>
      <c r="H56" s="13"/>
      <c r="I56" s="13"/>
    </row>
    <row r="57" spans="1:13" ht="12.75" x14ac:dyDescent="0.2">
      <c r="A57" s="52"/>
      <c r="B57" s="9">
        <v>50</v>
      </c>
      <c r="C57" s="9" t="s">
        <v>1634</v>
      </c>
      <c r="D57" s="9" t="s">
        <v>24</v>
      </c>
      <c r="E57" s="9" t="s">
        <v>31</v>
      </c>
      <c r="F57" s="9" t="s">
        <v>26</v>
      </c>
      <c r="G57" s="10" t="s">
        <v>27</v>
      </c>
      <c r="H57" s="13"/>
      <c r="I57" s="13"/>
    </row>
    <row r="58" spans="1:13" ht="12.75" x14ac:dyDescent="0.2">
      <c r="A58" s="52"/>
      <c r="B58" s="9">
        <v>50</v>
      </c>
      <c r="C58" s="9" t="s">
        <v>1635</v>
      </c>
      <c r="D58" s="9" t="s">
        <v>24</v>
      </c>
      <c r="E58" s="9" t="s">
        <v>31</v>
      </c>
      <c r="F58" s="9" t="s">
        <v>26</v>
      </c>
      <c r="G58" s="10" t="s">
        <v>27</v>
      </c>
      <c r="H58" s="13"/>
      <c r="I58" s="13"/>
    </row>
    <row r="59" spans="1:13" ht="12.75" x14ac:dyDescent="0.2">
      <c r="A59" s="52"/>
      <c r="B59" s="9">
        <v>50</v>
      </c>
      <c r="C59" s="9" t="s">
        <v>1636</v>
      </c>
      <c r="D59" s="9" t="s">
        <v>24</v>
      </c>
      <c r="E59" s="9" t="s">
        <v>31</v>
      </c>
      <c r="F59" s="9" t="s">
        <v>26</v>
      </c>
      <c r="G59" s="10" t="s">
        <v>27</v>
      </c>
      <c r="H59" s="13"/>
      <c r="I59" s="13"/>
    </row>
    <row r="60" spans="1:13" ht="12.75" x14ac:dyDescent="0.2">
      <c r="A60" s="52"/>
      <c r="B60" s="9">
        <v>50</v>
      </c>
      <c r="C60" s="9" t="s">
        <v>1618</v>
      </c>
      <c r="D60" s="9" t="s">
        <v>24</v>
      </c>
      <c r="E60" s="9" t="s">
        <v>31</v>
      </c>
      <c r="F60" s="9" t="s">
        <v>26</v>
      </c>
      <c r="G60" s="10" t="s">
        <v>27</v>
      </c>
      <c r="H60" s="13"/>
      <c r="I60" s="13"/>
    </row>
    <row r="61" spans="1:13" ht="12.75" x14ac:dyDescent="0.2">
      <c r="A61" s="53"/>
      <c r="B61" s="9">
        <v>50</v>
      </c>
      <c r="C61" s="9" t="s">
        <v>1639</v>
      </c>
      <c r="D61" s="9" t="s">
        <v>24</v>
      </c>
      <c r="E61" s="9" t="s">
        <v>31</v>
      </c>
      <c r="F61" s="9" t="s">
        <v>26</v>
      </c>
      <c r="G61" s="10" t="s">
        <v>27</v>
      </c>
      <c r="H61" s="13"/>
      <c r="I61" s="13"/>
    </row>
    <row r="62" spans="1:13" ht="12.75" x14ac:dyDescent="0.2">
      <c r="A62" s="48" t="s">
        <v>46</v>
      </c>
      <c r="B62" s="9">
        <v>50</v>
      </c>
      <c r="C62" s="9" t="s">
        <v>1630</v>
      </c>
      <c r="D62" s="9" t="s">
        <v>24</v>
      </c>
      <c r="E62" s="9" t="s">
        <v>25</v>
      </c>
      <c r="F62" s="9" t="s">
        <v>26</v>
      </c>
      <c r="G62" s="10" t="s">
        <v>27</v>
      </c>
      <c r="H62" s="13"/>
      <c r="I62" s="13"/>
    </row>
    <row r="63" spans="1:13" ht="12.75" x14ac:dyDescent="0.2">
      <c r="A63" s="52"/>
      <c r="B63" s="9">
        <v>50</v>
      </c>
      <c r="C63" s="9" t="s">
        <v>1631</v>
      </c>
      <c r="D63" s="9" t="s">
        <v>24</v>
      </c>
      <c r="E63" s="9" t="s">
        <v>25</v>
      </c>
      <c r="F63" s="9" t="s">
        <v>26</v>
      </c>
      <c r="G63" s="10" t="s">
        <v>27</v>
      </c>
      <c r="H63" s="13"/>
      <c r="I63" s="13"/>
    </row>
    <row r="64" spans="1:13" ht="12.75" x14ac:dyDescent="0.2">
      <c r="A64" s="52"/>
      <c r="B64" s="9">
        <v>50</v>
      </c>
      <c r="C64" s="9" t="s">
        <v>1613</v>
      </c>
      <c r="D64" s="9" t="s">
        <v>24</v>
      </c>
      <c r="E64" s="9" t="s">
        <v>25</v>
      </c>
      <c r="F64" s="9" t="s">
        <v>26</v>
      </c>
      <c r="G64" s="10" t="s">
        <v>27</v>
      </c>
      <c r="H64" s="13"/>
      <c r="I64" s="13"/>
    </row>
    <row r="65" spans="1:9" ht="12.75" x14ac:dyDescent="0.2">
      <c r="A65" s="52"/>
      <c r="B65" s="9">
        <v>50</v>
      </c>
      <c r="C65" s="9" t="s">
        <v>1632</v>
      </c>
      <c r="D65" s="9" t="s">
        <v>24</v>
      </c>
      <c r="E65" s="9" t="s">
        <v>25</v>
      </c>
      <c r="F65" s="9" t="s">
        <v>26</v>
      </c>
      <c r="G65" s="10" t="s">
        <v>27</v>
      </c>
      <c r="H65" s="13"/>
      <c r="I65" s="13"/>
    </row>
    <row r="66" spans="1:9" ht="12.75" x14ac:dyDescent="0.2">
      <c r="A66" s="52"/>
      <c r="B66" s="9">
        <v>50</v>
      </c>
      <c r="C66" s="9" t="s">
        <v>1640</v>
      </c>
      <c r="D66" s="9" t="s">
        <v>24</v>
      </c>
      <c r="E66" s="9" t="s">
        <v>25</v>
      </c>
      <c r="F66" s="9" t="s">
        <v>26</v>
      </c>
      <c r="G66" s="10" t="s">
        <v>27</v>
      </c>
      <c r="H66" s="13"/>
      <c r="I66" s="13"/>
    </row>
    <row r="67" spans="1:9" ht="12.75" x14ac:dyDescent="0.2">
      <c r="A67" s="53"/>
      <c r="B67" s="9">
        <v>50</v>
      </c>
      <c r="C67" s="9" t="s">
        <v>1636</v>
      </c>
      <c r="D67" s="9" t="s">
        <v>24</v>
      </c>
      <c r="E67" s="9" t="s">
        <v>25</v>
      </c>
      <c r="F67" s="9" t="s">
        <v>26</v>
      </c>
      <c r="G67" s="10" t="s">
        <v>27</v>
      </c>
      <c r="H67" s="13"/>
      <c r="I67" s="13"/>
    </row>
    <row r="68" spans="1:9" ht="12.75" x14ac:dyDescent="0.2">
      <c r="A68" s="48" t="s">
        <v>49</v>
      </c>
      <c r="B68" s="9">
        <v>50</v>
      </c>
      <c r="C68" s="9" t="s">
        <v>1627</v>
      </c>
      <c r="D68" s="9" t="s">
        <v>24</v>
      </c>
      <c r="E68" s="9" t="s">
        <v>31</v>
      </c>
      <c r="F68" s="9" t="s">
        <v>47</v>
      </c>
      <c r="G68" s="10" t="s">
        <v>27</v>
      </c>
      <c r="H68" s="13"/>
      <c r="I68" s="13"/>
    </row>
    <row r="69" spans="1:9" ht="12.75" x14ac:dyDescent="0.2">
      <c r="A69" s="52"/>
      <c r="B69" s="9">
        <v>50</v>
      </c>
      <c r="C69" s="9" t="s">
        <v>1641</v>
      </c>
      <c r="D69" s="9" t="s">
        <v>24</v>
      </c>
      <c r="E69" s="9" t="s">
        <v>31</v>
      </c>
      <c r="F69" s="9" t="s">
        <v>47</v>
      </c>
      <c r="G69" s="10" t="s">
        <v>27</v>
      </c>
      <c r="H69" s="13"/>
      <c r="I69" s="13"/>
    </row>
    <row r="70" spans="1:9" ht="12.75" x14ac:dyDescent="0.2">
      <c r="A70" s="52"/>
      <c r="B70" s="9">
        <v>50</v>
      </c>
      <c r="C70" s="9" t="s">
        <v>1636</v>
      </c>
      <c r="D70" s="9" t="s">
        <v>24</v>
      </c>
      <c r="E70" s="9" t="s">
        <v>31</v>
      </c>
      <c r="F70" s="9" t="s">
        <v>47</v>
      </c>
      <c r="G70" s="10" t="s">
        <v>27</v>
      </c>
      <c r="H70" s="13"/>
      <c r="I70" s="13"/>
    </row>
    <row r="71" spans="1:9" ht="12.75" x14ac:dyDescent="0.2">
      <c r="A71" s="52"/>
      <c r="B71" s="9">
        <v>50</v>
      </c>
      <c r="C71" s="9" t="s">
        <v>1642</v>
      </c>
      <c r="D71" s="9" t="s">
        <v>24</v>
      </c>
      <c r="E71" s="9" t="s">
        <v>31</v>
      </c>
      <c r="F71" s="9" t="s">
        <v>47</v>
      </c>
      <c r="G71" s="10" t="s">
        <v>27</v>
      </c>
      <c r="H71" s="13"/>
      <c r="I71" s="13"/>
    </row>
    <row r="72" spans="1:9" ht="12.75" x14ac:dyDescent="0.2">
      <c r="A72" s="53"/>
      <c r="B72" s="9">
        <v>50</v>
      </c>
      <c r="C72" s="9" t="s">
        <v>1634</v>
      </c>
      <c r="D72" s="9" t="s">
        <v>24</v>
      </c>
      <c r="E72" s="9" t="s">
        <v>31</v>
      </c>
      <c r="F72" s="9" t="s">
        <v>47</v>
      </c>
      <c r="G72" s="10" t="s">
        <v>27</v>
      </c>
      <c r="H72" s="13"/>
      <c r="I72" s="13"/>
    </row>
    <row r="73" spans="1:9" ht="12.75" x14ac:dyDescent="0.2">
      <c r="A73" s="48" t="s">
        <v>52</v>
      </c>
      <c r="B73" s="9">
        <v>50</v>
      </c>
      <c r="C73" s="9" t="s">
        <v>1632</v>
      </c>
      <c r="D73" s="9" t="s">
        <v>24</v>
      </c>
      <c r="E73" s="9" t="s">
        <v>31</v>
      </c>
      <c r="F73" s="9" t="s">
        <v>26</v>
      </c>
      <c r="G73" s="10" t="s">
        <v>27</v>
      </c>
      <c r="H73" s="13"/>
      <c r="I73" s="13"/>
    </row>
    <row r="74" spans="1:9" ht="12.75" x14ac:dyDescent="0.2">
      <c r="A74" s="52"/>
      <c r="B74" s="9">
        <v>50</v>
      </c>
      <c r="C74" s="9" t="s">
        <v>1634</v>
      </c>
      <c r="D74" s="9" t="s">
        <v>24</v>
      </c>
      <c r="E74" s="9" t="s">
        <v>31</v>
      </c>
      <c r="F74" s="9" t="s">
        <v>26</v>
      </c>
      <c r="G74" s="10" t="s">
        <v>27</v>
      </c>
      <c r="H74" s="13"/>
      <c r="I74" s="13"/>
    </row>
    <row r="75" spans="1:9" ht="12.75" x14ac:dyDescent="0.2">
      <c r="A75" s="53"/>
      <c r="B75" s="9">
        <v>50</v>
      </c>
      <c r="C75" s="9" t="s">
        <v>1643</v>
      </c>
      <c r="D75" s="9" t="s">
        <v>24</v>
      </c>
      <c r="E75" s="9" t="s">
        <v>31</v>
      </c>
      <c r="F75" s="9" t="s">
        <v>26</v>
      </c>
      <c r="G75" s="10" t="s">
        <v>27</v>
      </c>
      <c r="H75" s="13"/>
      <c r="I75" s="13"/>
    </row>
    <row r="76" spans="1:9" ht="12.75" x14ac:dyDescent="0.2">
      <c r="A76" s="48" t="s">
        <v>59</v>
      </c>
      <c r="B76" s="9">
        <v>50</v>
      </c>
      <c r="C76" s="9" t="s">
        <v>1634</v>
      </c>
      <c r="D76" s="9" t="s">
        <v>24</v>
      </c>
      <c r="E76" s="9" t="s">
        <v>31</v>
      </c>
      <c r="F76" s="9" t="s">
        <v>26</v>
      </c>
      <c r="G76" s="10" t="s">
        <v>27</v>
      </c>
      <c r="H76" s="13"/>
      <c r="I76" s="13"/>
    </row>
    <row r="77" spans="1:9" ht="12.75" x14ac:dyDescent="0.2">
      <c r="A77" s="52"/>
      <c r="B77" s="9">
        <v>50</v>
      </c>
      <c r="C77" s="9" t="s">
        <v>1644</v>
      </c>
      <c r="D77" s="9" t="s">
        <v>24</v>
      </c>
      <c r="E77" s="9" t="s">
        <v>31</v>
      </c>
      <c r="F77" s="9" t="s">
        <v>26</v>
      </c>
      <c r="G77" s="10" t="s">
        <v>27</v>
      </c>
      <c r="H77" s="13"/>
      <c r="I77" s="13"/>
    </row>
    <row r="78" spans="1:9" ht="12.75" x14ac:dyDescent="0.2">
      <c r="A78" s="52"/>
      <c r="B78" s="9">
        <v>50</v>
      </c>
      <c r="C78" s="9" t="s">
        <v>1645</v>
      </c>
      <c r="D78" s="9" t="s">
        <v>24</v>
      </c>
      <c r="E78" s="9" t="s">
        <v>31</v>
      </c>
      <c r="F78" s="9" t="s">
        <v>26</v>
      </c>
      <c r="G78" s="10" t="s">
        <v>27</v>
      </c>
      <c r="H78" s="13"/>
      <c r="I78" s="13"/>
    </row>
    <row r="79" spans="1:9" ht="12.75" x14ac:dyDescent="0.2">
      <c r="A79" s="52"/>
      <c r="B79" s="9">
        <v>50</v>
      </c>
      <c r="C79" s="9" t="s">
        <v>1646</v>
      </c>
      <c r="D79" s="9" t="s">
        <v>24</v>
      </c>
      <c r="E79" s="9" t="s">
        <v>31</v>
      </c>
      <c r="F79" s="9" t="s">
        <v>26</v>
      </c>
      <c r="G79" s="10" t="s">
        <v>27</v>
      </c>
      <c r="H79" s="13"/>
      <c r="I79" s="13"/>
    </row>
    <row r="80" spans="1:9" ht="12.75" x14ac:dyDescent="0.2">
      <c r="A80" s="53"/>
      <c r="B80" s="9">
        <v>50</v>
      </c>
      <c r="C80" s="9" t="s">
        <v>1647</v>
      </c>
      <c r="D80" s="9" t="s">
        <v>24</v>
      </c>
      <c r="E80" s="9" t="s">
        <v>31</v>
      </c>
      <c r="F80" s="9" t="s">
        <v>26</v>
      </c>
      <c r="G80" s="10" t="s">
        <v>27</v>
      </c>
      <c r="H80" s="13"/>
      <c r="I80" s="13"/>
    </row>
    <row r="81" spans="1:9" ht="12.75" x14ac:dyDescent="0.2">
      <c r="A81" s="48" t="s">
        <v>101</v>
      </c>
      <c r="B81" s="9">
        <v>50</v>
      </c>
      <c r="C81" s="9" t="s">
        <v>1607</v>
      </c>
      <c r="D81" s="9" t="s">
        <v>24</v>
      </c>
      <c r="E81" s="9" t="s">
        <v>31</v>
      </c>
      <c r="F81" s="9" t="s">
        <v>26</v>
      </c>
      <c r="G81" s="10" t="s">
        <v>27</v>
      </c>
      <c r="H81" s="13"/>
      <c r="I81" s="13"/>
    </row>
    <row r="82" spans="1:9" ht="12.75" x14ac:dyDescent="0.2">
      <c r="A82" s="52"/>
      <c r="B82" s="9">
        <v>50</v>
      </c>
      <c r="C82" s="9" t="s">
        <v>1648</v>
      </c>
      <c r="D82" s="9" t="s">
        <v>24</v>
      </c>
      <c r="E82" s="9" t="s">
        <v>31</v>
      </c>
      <c r="F82" s="9" t="s">
        <v>26</v>
      </c>
      <c r="G82" s="10" t="s">
        <v>27</v>
      </c>
      <c r="H82" s="13"/>
      <c r="I82" s="13"/>
    </row>
    <row r="83" spans="1:9" ht="12.75" x14ac:dyDescent="0.2">
      <c r="A83" s="52"/>
      <c r="B83" s="9">
        <v>50</v>
      </c>
      <c r="C83" s="9" t="s">
        <v>1612</v>
      </c>
      <c r="D83" s="9" t="s">
        <v>24</v>
      </c>
      <c r="E83" s="9" t="s">
        <v>31</v>
      </c>
      <c r="F83" s="9" t="s">
        <v>26</v>
      </c>
      <c r="G83" s="10" t="s">
        <v>27</v>
      </c>
      <c r="H83" s="13"/>
      <c r="I83" s="13"/>
    </row>
    <row r="84" spans="1:9" ht="12.75" x14ac:dyDescent="0.2">
      <c r="A84" s="52"/>
      <c r="B84" s="9">
        <v>50</v>
      </c>
      <c r="C84" s="9" t="s">
        <v>1649</v>
      </c>
      <c r="D84" s="9" t="s">
        <v>24</v>
      </c>
      <c r="E84" s="9" t="s">
        <v>31</v>
      </c>
      <c r="F84" s="9" t="s">
        <v>26</v>
      </c>
      <c r="G84" s="10" t="s">
        <v>27</v>
      </c>
      <c r="H84" s="13"/>
      <c r="I84" s="13"/>
    </row>
    <row r="85" spans="1:9" ht="12.75" x14ac:dyDescent="0.2">
      <c r="A85" s="52"/>
      <c r="B85" s="9">
        <v>50</v>
      </c>
      <c r="C85" s="9" t="s">
        <v>1590</v>
      </c>
      <c r="D85" s="9" t="s">
        <v>24</v>
      </c>
      <c r="E85" s="9" t="s">
        <v>31</v>
      </c>
      <c r="F85" s="9" t="s">
        <v>26</v>
      </c>
      <c r="G85" s="10" t="s">
        <v>27</v>
      </c>
      <c r="H85" s="13"/>
      <c r="I85" s="13"/>
    </row>
    <row r="86" spans="1:9" ht="12.75" x14ac:dyDescent="0.2">
      <c r="A86" s="52"/>
      <c r="B86" s="9">
        <v>50</v>
      </c>
      <c r="C86" s="9" t="s">
        <v>1650</v>
      </c>
      <c r="D86" s="9" t="s">
        <v>24</v>
      </c>
      <c r="E86" s="9" t="s">
        <v>31</v>
      </c>
      <c r="F86" s="9" t="s">
        <v>26</v>
      </c>
      <c r="G86" s="10" t="s">
        <v>27</v>
      </c>
      <c r="H86" s="13"/>
      <c r="I86" s="13"/>
    </row>
    <row r="87" spans="1:9" ht="12.75" x14ac:dyDescent="0.2">
      <c r="A87" s="52"/>
      <c r="B87" s="9">
        <v>50</v>
      </c>
      <c r="C87" s="9" t="s">
        <v>1651</v>
      </c>
      <c r="D87" s="9" t="s">
        <v>24</v>
      </c>
      <c r="E87" s="9" t="s">
        <v>31</v>
      </c>
      <c r="F87" s="9" t="s">
        <v>26</v>
      </c>
      <c r="G87" s="10" t="s">
        <v>27</v>
      </c>
      <c r="H87" s="13"/>
      <c r="I87" s="13"/>
    </row>
    <row r="88" spans="1:9" ht="12.75" x14ac:dyDescent="0.2">
      <c r="A88" s="52"/>
      <c r="B88" s="9">
        <v>50</v>
      </c>
      <c r="C88" s="9" t="s">
        <v>1630</v>
      </c>
      <c r="D88" s="9" t="s">
        <v>24</v>
      </c>
      <c r="E88" s="9" t="s">
        <v>31</v>
      </c>
      <c r="F88" s="9" t="s">
        <v>26</v>
      </c>
      <c r="G88" s="10" t="s">
        <v>27</v>
      </c>
      <c r="H88" s="13"/>
      <c r="I88" s="13"/>
    </row>
    <row r="89" spans="1:9" ht="12.75" x14ac:dyDescent="0.2">
      <c r="A89" s="52"/>
      <c r="B89" s="9">
        <v>50</v>
      </c>
      <c r="C89" s="9" t="s">
        <v>1652</v>
      </c>
      <c r="D89" s="9" t="s">
        <v>30</v>
      </c>
      <c r="E89" s="9" t="s">
        <v>31</v>
      </c>
      <c r="F89" s="9" t="s">
        <v>26</v>
      </c>
      <c r="G89" s="10" t="s">
        <v>27</v>
      </c>
      <c r="H89" s="13"/>
      <c r="I89" s="13"/>
    </row>
    <row r="90" spans="1:9" ht="12.75" x14ac:dyDescent="0.2">
      <c r="A90" s="52"/>
      <c r="B90" s="9">
        <v>50</v>
      </c>
      <c r="C90" s="9" t="s">
        <v>1614</v>
      </c>
      <c r="D90" s="9" t="s">
        <v>24</v>
      </c>
      <c r="E90" s="9" t="s">
        <v>31</v>
      </c>
      <c r="F90" s="9" t="s">
        <v>26</v>
      </c>
      <c r="G90" s="10" t="s">
        <v>27</v>
      </c>
      <c r="H90" s="13"/>
      <c r="I90" s="13"/>
    </row>
    <row r="91" spans="1:9" ht="12.75" x14ac:dyDescent="0.2">
      <c r="A91" s="52"/>
      <c r="B91" s="9">
        <v>50</v>
      </c>
      <c r="C91" s="9" t="s">
        <v>1632</v>
      </c>
      <c r="D91" s="9" t="s">
        <v>24</v>
      </c>
      <c r="E91" s="9" t="s">
        <v>31</v>
      </c>
      <c r="F91" s="9" t="s">
        <v>26</v>
      </c>
      <c r="G91" s="10" t="s">
        <v>27</v>
      </c>
      <c r="H91" s="13"/>
      <c r="I91" s="13"/>
    </row>
    <row r="92" spans="1:9" ht="12.75" x14ac:dyDescent="0.2">
      <c r="A92" s="52"/>
      <c r="B92" s="9">
        <v>50</v>
      </c>
      <c r="C92" s="9" t="s">
        <v>1634</v>
      </c>
      <c r="D92" s="9" t="s">
        <v>24</v>
      </c>
      <c r="E92" s="9" t="s">
        <v>31</v>
      </c>
      <c r="F92" s="9" t="s">
        <v>26</v>
      </c>
      <c r="G92" s="10" t="s">
        <v>27</v>
      </c>
      <c r="H92" s="13"/>
      <c r="I92" s="13"/>
    </row>
    <row r="93" spans="1:9" ht="12.75" x14ac:dyDescent="0.2">
      <c r="A93" s="52"/>
      <c r="B93" s="9">
        <v>50</v>
      </c>
      <c r="C93" s="9" t="s">
        <v>1644</v>
      </c>
      <c r="D93" s="9" t="s">
        <v>24</v>
      </c>
      <c r="E93" s="9" t="s">
        <v>31</v>
      </c>
      <c r="F93" s="9" t="s">
        <v>26</v>
      </c>
      <c r="G93" s="10" t="s">
        <v>27</v>
      </c>
      <c r="H93" s="13"/>
      <c r="I93" s="13"/>
    </row>
    <row r="94" spans="1:9" ht="12.75" x14ac:dyDescent="0.2">
      <c r="A94" s="52"/>
      <c r="B94" s="9">
        <v>50</v>
      </c>
      <c r="C94" s="9" t="s">
        <v>1653</v>
      </c>
      <c r="D94" s="9" t="s">
        <v>24</v>
      </c>
      <c r="E94" s="9" t="s">
        <v>31</v>
      </c>
      <c r="F94" s="9" t="s">
        <v>26</v>
      </c>
      <c r="G94" s="10" t="s">
        <v>27</v>
      </c>
      <c r="H94" s="13"/>
      <c r="I94" s="13"/>
    </row>
    <row r="95" spans="1:9" ht="12.75" x14ac:dyDescent="0.2">
      <c r="A95" s="53"/>
      <c r="B95" s="9">
        <v>50</v>
      </c>
      <c r="C95" s="9" t="s">
        <v>1636</v>
      </c>
      <c r="D95" s="9" t="s">
        <v>24</v>
      </c>
      <c r="E95" s="9" t="s">
        <v>31</v>
      </c>
      <c r="F95" s="9" t="s">
        <v>26</v>
      </c>
      <c r="G95" s="10" t="s">
        <v>27</v>
      </c>
      <c r="H95" s="13"/>
      <c r="I95" s="13"/>
    </row>
    <row r="96" spans="1:9" ht="12.75" x14ac:dyDescent="0.2">
      <c r="A96" s="48" t="s">
        <v>62</v>
      </c>
      <c r="B96" s="9">
        <v>50</v>
      </c>
      <c r="C96" s="9" t="s">
        <v>1627</v>
      </c>
      <c r="D96" s="9" t="s">
        <v>24</v>
      </c>
      <c r="E96" s="9" t="s">
        <v>31</v>
      </c>
      <c r="F96" s="9" t="s">
        <v>47</v>
      </c>
      <c r="G96" s="10" t="s">
        <v>27</v>
      </c>
      <c r="H96" s="13"/>
      <c r="I96" s="13"/>
    </row>
    <row r="97" spans="1:9" ht="12.75" x14ac:dyDescent="0.2">
      <c r="A97" s="52"/>
      <c r="B97" s="9">
        <v>50</v>
      </c>
      <c r="C97" s="9" t="s">
        <v>1654</v>
      </c>
      <c r="D97" s="9" t="s">
        <v>24</v>
      </c>
      <c r="E97" s="9" t="s">
        <v>31</v>
      </c>
      <c r="F97" s="9" t="s">
        <v>47</v>
      </c>
      <c r="G97" s="10" t="s">
        <v>27</v>
      </c>
      <c r="H97" s="13"/>
      <c r="I97" s="13"/>
    </row>
    <row r="98" spans="1:9" ht="12.75" x14ac:dyDescent="0.2">
      <c r="A98" s="52"/>
      <c r="B98" s="9">
        <v>50</v>
      </c>
      <c r="C98" s="9" t="s">
        <v>1655</v>
      </c>
      <c r="D98" s="9" t="s">
        <v>24</v>
      </c>
      <c r="E98" s="9" t="s">
        <v>31</v>
      </c>
      <c r="F98" s="9" t="s">
        <v>47</v>
      </c>
      <c r="G98" s="10" t="s">
        <v>27</v>
      </c>
      <c r="H98" s="13"/>
      <c r="I98" s="13"/>
    </row>
    <row r="99" spans="1:9" ht="12.75" x14ac:dyDescent="0.2">
      <c r="A99" s="52"/>
      <c r="B99" s="9">
        <v>50</v>
      </c>
      <c r="C99" s="9" t="s">
        <v>1613</v>
      </c>
      <c r="D99" s="9" t="s">
        <v>24</v>
      </c>
      <c r="E99" s="9" t="s">
        <v>31</v>
      </c>
      <c r="F99" s="9" t="s">
        <v>47</v>
      </c>
      <c r="G99" s="10" t="s">
        <v>27</v>
      </c>
      <c r="H99" s="13"/>
      <c r="I99" s="13"/>
    </row>
    <row r="100" spans="1:9" ht="12.75" x14ac:dyDescent="0.2">
      <c r="A100" s="52"/>
      <c r="B100" s="9">
        <v>50</v>
      </c>
      <c r="C100" s="9" t="s">
        <v>1632</v>
      </c>
      <c r="D100" s="9" t="s">
        <v>24</v>
      </c>
      <c r="E100" s="9" t="s">
        <v>31</v>
      </c>
      <c r="F100" s="9" t="s">
        <v>47</v>
      </c>
      <c r="G100" s="10" t="s">
        <v>27</v>
      </c>
      <c r="H100" s="13"/>
      <c r="I100" s="13"/>
    </row>
    <row r="101" spans="1:9" ht="12.75" x14ac:dyDescent="0.2">
      <c r="A101" s="52"/>
      <c r="B101" s="9">
        <v>50</v>
      </c>
      <c r="C101" s="9" t="s">
        <v>1636</v>
      </c>
      <c r="D101" s="9" t="s">
        <v>24</v>
      </c>
      <c r="E101" s="9" t="s">
        <v>31</v>
      </c>
      <c r="F101" s="9" t="s">
        <v>47</v>
      </c>
      <c r="G101" s="10" t="s">
        <v>27</v>
      </c>
      <c r="H101" s="13"/>
      <c r="I101" s="13"/>
    </row>
    <row r="102" spans="1:9" ht="12.75" x14ac:dyDescent="0.2">
      <c r="A102" s="52"/>
      <c r="B102" s="9">
        <v>50</v>
      </c>
      <c r="C102" s="9" t="s">
        <v>1644</v>
      </c>
      <c r="D102" s="9" t="s">
        <v>24</v>
      </c>
      <c r="E102" s="9" t="s">
        <v>31</v>
      </c>
      <c r="F102" s="9" t="s">
        <v>47</v>
      </c>
      <c r="G102" s="10" t="s">
        <v>27</v>
      </c>
      <c r="H102" s="13"/>
      <c r="I102" s="13"/>
    </row>
    <row r="103" spans="1:9" ht="12.75" x14ac:dyDescent="0.2">
      <c r="A103" s="53"/>
      <c r="B103" s="9">
        <v>50</v>
      </c>
      <c r="C103" s="9" t="s">
        <v>1634</v>
      </c>
      <c r="D103" s="9" t="s">
        <v>24</v>
      </c>
      <c r="E103" s="9" t="s">
        <v>31</v>
      </c>
      <c r="F103" s="9" t="s">
        <v>47</v>
      </c>
      <c r="G103" s="10" t="s">
        <v>27</v>
      </c>
      <c r="H103" s="13"/>
      <c r="I103" s="13"/>
    </row>
    <row r="104" spans="1:9" ht="12.75" x14ac:dyDescent="0.2">
      <c r="A104" s="48" t="s">
        <v>70</v>
      </c>
      <c r="B104" s="9">
        <v>50</v>
      </c>
      <c r="C104" s="9" t="s">
        <v>1656</v>
      </c>
      <c r="D104" s="9" t="s">
        <v>24</v>
      </c>
      <c r="E104" s="9" t="s">
        <v>31</v>
      </c>
      <c r="F104" s="9" t="s">
        <v>26</v>
      </c>
      <c r="G104" s="10" t="s">
        <v>27</v>
      </c>
      <c r="H104" s="13"/>
      <c r="I104" s="13"/>
    </row>
    <row r="105" spans="1:9" ht="12.75" x14ac:dyDescent="0.2">
      <c r="A105" s="52"/>
      <c r="B105" s="9">
        <v>50</v>
      </c>
      <c r="C105" s="9" t="s">
        <v>1614</v>
      </c>
      <c r="D105" s="9" t="s">
        <v>24</v>
      </c>
      <c r="E105" s="9" t="s">
        <v>31</v>
      </c>
      <c r="F105" s="9" t="s">
        <v>26</v>
      </c>
      <c r="G105" s="10" t="s">
        <v>27</v>
      </c>
      <c r="H105" s="13"/>
      <c r="I105" s="13"/>
    </row>
    <row r="106" spans="1:9" ht="12.75" x14ac:dyDescent="0.2">
      <c r="A106" s="52"/>
      <c r="B106" s="9">
        <v>50</v>
      </c>
      <c r="C106" s="9" t="s">
        <v>1617</v>
      </c>
      <c r="D106" s="9" t="s">
        <v>24</v>
      </c>
      <c r="E106" s="9" t="s">
        <v>31</v>
      </c>
      <c r="F106" s="9" t="s">
        <v>26</v>
      </c>
      <c r="G106" s="10" t="s">
        <v>27</v>
      </c>
      <c r="H106" s="13"/>
      <c r="I106" s="13"/>
    </row>
    <row r="107" spans="1:9" ht="12.75" x14ac:dyDescent="0.2">
      <c r="A107" s="53"/>
      <c r="B107" s="9">
        <v>50</v>
      </c>
      <c r="C107" s="9" t="s">
        <v>1657</v>
      </c>
      <c r="D107" s="9" t="s">
        <v>24</v>
      </c>
      <c r="E107" s="9" t="s">
        <v>31</v>
      </c>
      <c r="F107" s="9" t="s">
        <v>26</v>
      </c>
      <c r="G107" s="10" t="s">
        <v>27</v>
      </c>
      <c r="H107" s="13"/>
      <c r="I107" s="13"/>
    </row>
    <row r="108" spans="1:9" ht="12.75" x14ac:dyDescent="0.2">
      <c r="A108" s="48" t="s">
        <v>73</v>
      </c>
      <c r="B108" s="9">
        <v>50</v>
      </c>
      <c r="C108" s="9" t="s">
        <v>1607</v>
      </c>
      <c r="D108" s="9" t="s">
        <v>24</v>
      </c>
      <c r="E108" s="9" t="s">
        <v>31</v>
      </c>
      <c r="F108" s="9" t="s">
        <v>26</v>
      </c>
      <c r="G108" s="10" t="s">
        <v>27</v>
      </c>
      <c r="H108" s="13"/>
      <c r="I108" s="13"/>
    </row>
    <row r="109" spans="1:9" ht="12.75" x14ac:dyDescent="0.2">
      <c r="A109" s="52"/>
      <c r="B109" s="9">
        <v>50</v>
      </c>
      <c r="C109" s="9" t="s">
        <v>1647</v>
      </c>
      <c r="D109" s="9" t="s">
        <v>24</v>
      </c>
      <c r="E109" s="9" t="s">
        <v>31</v>
      </c>
      <c r="F109" s="9" t="s">
        <v>26</v>
      </c>
      <c r="G109" s="10" t="s">
        <v>27</v>
      </c>
      <c r="H109" s="13"/>
      <c r="I109" s="13"/>
    </row>
    <row r="110" spans="1:9" ht="12.75" x14ac:dyDescent="0.2">
      <c r="A110" s="52"/>
      <c r="B110" s="9">
        <v>50</v>
      </c>
      <c r="C110" s="9" t="s">
        <v>1658</v>
      </c>
      <c r="D110" s="9" t="s">
        <v>24</v>
      </c>
      <c r="E110" s="9" t="s">
        <v>31</v>
      </c>
      <c r="F110" s="9" t="s">
        <v>26</v>
      </c>
      <c r="G110" s="10" t="s">
        <v>27</v>
      </c>
      <c r="H110" s="13"/>
      <c r="I110" s="13"/>
    </row>
    <row r="111" spans="1:9" ht="12.75" x14ac:dyDescent="0.2">
      <c r="A111" s="52"/>
      <c r="B111" s="9">
        <v>50</v>
      </c>
      <c r="C111" s="9" t="s">
        <v>1659</v>
      </c>
      <c r="D111" s="9" t="s">
        <v>24</v>
      </c>
      <c r="E111" s="9" t="s">
        <v>31</v>
      </c>
      <c r="F111" s="9" t="s">
        <v>26</v>
      </c>
      <c r="G111" s="10" t="s">
        <v>27</v>
      </c>
      <c r="H111" s="13"/>
      <c r="I111" s="13"/>
    </row>
    <row r="112" spans="1:9" ht="12.75" x14ac:dyDescent="0.2">
      <c r="A112" s="52"/>
      <c r="B112" s="9">
        <v>50</v>
      </c>
      <c r="C112" s="9" t="s">
        <v>1590</v>
      </c>
      <c r="D112" s="9" t="s">
        <v>24</v>
      </c>
      <c r="E112" s="9" t="s">
        <v>31</v>
      </c>
      <c r="F112" s="9" t="s">
        <v>26</v>
      </c>
      <c r="G112" s="10" t="s">
        <v>27</v>
      </c>
      <c r="H112" s="13"/>
      <c r="I112" s="13"/>
    </row>
    <row r="113" spans="1:9" ht="12.75" x14ac:dyDescent="0.2">
      <c r="A113" s="52"/>
      <c r="B113" s="9">
        <v>50</v>
      </c>
      <c r="C113" s="9" t="s">
        <v>1656</v>
      </c>
      <c r="D113" s="9" t="s">
        <v>24</v>
      </c>
      <c r="E113" s="9" t="s">
        <v>31</v>
      </c>
      <c r="F113" s="9" t="s">
        <v>26</v>
      </c>
      <c r="G113" s="10" t="s">
        <v>27</v>
      </c>
      <c r="H113" s="13"/>
      <c r="I113" s="13"/>
    </row>
    <row r="114" spans="1:9" ht="12.75" x14ac:dyDescent="0.2">
      <c r="A114" s="52"/>
      <c r="B114" s="9">
        <v>50</v>
      </c>
      <c r="C114" s="9" t="s">
        <v>1614</v>
      </c>
      <c r="D114" s="9" t="s">
        <v>24</v>
      </c>
      <c r="E114" s="9" t="s">
        <v>31</v>
      </c>
      <c r="F114" s="9" t="s">
        <v>26</v>
      </c>
      <c r="G114" s="10" t="s">
        <v>27</v>
      </c>
      <c r="H114" s="13"/>
      <c r="I114" s="13"/>
    </row>
    <row r="115" spans="1:9" ht="12.75" x14ac:dyDescent="0.2">
      <c r="A115" s="52"/>
      <c r="B115" s="9">
        <v>50</v>
      </c>
      <c r="C115" s="9" t="s">
        <v>1632</v>
      </c>
      <c r="D115" s="9" t="s">
        <v>24</v>
      </c>
      <c r="E115" s="9" t="s">
        <v>31</v>
      </c>
      <c r="F115" s="9" t="s">
        <v>26</v>
      </c>
      <c r="G115" s="10" t="s">
        <v>27</v>
      </c>
      <c r="H115" s="13"/>
      <c r="I115" s="13"/>
    </row>
    <row r="116" spans="1:9" ht="12.75" x14ac:dyDescent="0.2">
      <c r="A116" s="53"/>
      <c r="B116" s="9">
        <v>50</v>
      </c>
      <c r="C116" s="9" t="s">
        <v>1657</v>
      </c>
      <c r="D116" s="9" t="s">
        <v>24</v>
      </c>
      <c r="E116" s="9" t="s">
        <v>31</v>
      </c>
      <c r="F116" s="9" t="s">
        <v>26</v>
      </c>
      <c r="G116" s="10" t="s">
        <v>27</v>
      </c>
      <c r="H116" s="13"/>
      <c r="I116" s="13"/>
    </row>
    <row r="117" spans="1:9" ht="12.75" x14ac:dyDescent="0.2">
      <c r="A117" s="48" t="s">
        <v>77</v>
      </c>
      <c r="B117" s="12">
        <v>50</v>
      </c>
      <c r="C117" s="12" t="s">
        <v>1659</v>
      </c>
      <c r="D117" s="12" t="s">
        <v>24</v>
      </c>
      <c r="E117" s="12" t="s">
        <v>25</v>
      </c>
      <c r="F117" s="12" t="s">
        <v>26</v>
      </c>
      <c r="G117" s="10" t="s">
        <v>27</v>
      </c>
      <c r="H117" s="13"/>
      <c r="I117" s="13"/>
    </row>
    <row r="118" spans="1:9" ht="12.75" x14ac:dyDescent="0.2">
      <c r="A118" s="52"/>
      <c r="B118" s="12">
        <v>50</v>
      </c>
      <c r="C118" s="12" t="s">
        <v>1590</v>
      </c>
      <c r="D118" s="12" t="s">
        <v>24</v>
      </c>
      <c r="E118" s="12" t="s">
        <v>25</v>
      </c>
      <c r="F118" s="12" t="s">
        <v>26</v>
      </c>
      <c r="G118" s="10" t="s">
        <v>27</v>
      </c>
      <c r="H118" s="13"/>
      <c r="I118" s="13"/>
    </row>
    <row r="119" spans="1:9" ht="12.75" x14ac:dyDescent="0.2">
      <c r="A119" s="52"/>
      <c r="B119" s="12">
        <v>50</v>
      </c>
      <c r="C119" s="12" t="s">
        <v>1630</v>
      </c>
      <c r="D119" s="12" t="s">
        <v>24</v>
      </c>
      <c r="E119" s="12" t="s">
        <v>25</v>
      </c>
      <c r="F119" s="12" t="s">
        <v>26</v>
      </c>
      <c r="G119" s="10" t="s">
        <v>27</v>
      </c>
      <c r="H119" s="13"/>
      <c r="I119" s="13"/>
    </row>
    <row r="120" spans="1:9" ht="12.75" x14ac:dyDescent="0.2">
      <c r="A120" s="52"/>
      <c r="B120" s="12">
        <v>50</v>
      </c>
      <c r="C120" s="12" t="s">
        <v>1632</v>
      </c>
      <c r="D120" s="12" t="s">
        <v>24</v>
      </c>
      <c r="E120" s="12" t="s">
        <v>25</v>
      </c>
      <c r="F120" s="12" t="s">
        <v>26</v>
      </c>
      <c r="G120" s="10" t="s">
        <v>27</v>
      </c>
      <c r="H120" s="13"/>
      <c r="I120" s="13"/>
    </row>
    <row r="121" spans="1:9" ht="12.75" x14ac:dyDescent="0.2">
      <c r="A121" s="52"/>
      <c r="B121" s="12">
        <v>50</v>
      </c>
      <c r="C121" s="12" t="s">
        <v>1617</v>
      </c>
      <c r="D121" s="12" t="s">
        <v>24</v>
      </c>
      <c r="E121" s="12" t="s">
        <v>25</v>
      </c>
      <c r="F121" s="12" t="s">
        <v>26</v>
      </c>
      <c r="G121" s="10" t="s">
        <v>27</v>
      </c>
      <c r="H121" s="13"/>
      <c r="I121" s="13"/>
    </row>
    <row r="122" spans="1:9" ht="12.75" x14ac:dyDescent="0.2">
      <c r="A122" s="53"/>
      <c r="B122" s="12">
        <v>50</v>
      </c>
      <c r="C122" s="12" t="s">
        <v>1657</v>
      </c>
      <c r="D122" s="12" t="s">
        <v>24</v>
      </c>
      <c r="E122" s="12" t="s">
        <v>25</v>
      </c>
      <c r="F122" s="12" t="s">
        <v>26</v>
      </c>
      <c r="G122" s="10" t="s">
        <v>27</v>
      </c>
      <c r="H122" s="13"/>
      <c r="I122" s="13"/>
    </row>
    <row r="123" spans="1:9" ht="12.75" x14ac:dyDescent="0.2">
      <c r="A123" s="48" t="s">
        <v>79</v>
      </c>
      <c r="B123" s="9">
        <v>50</v>
      </c>
      <c r="C123" s="9" t="s">
        <v>1609</v>
      </c>
      <c r="D123" s="9" t="s">
        <v>24</v>
      </c>
      <c r="E123" s="9" t="s">
        <v>31</v>
      </c>
      <c r="F123" s="9" t="s">
        <v>26</v>
      </c>
      <c r="G123" s="10" t="s">
        <v>27</v>
      </c>
      <c r="H123" s="13"/>
      <c r="I123" s="13"/>
    </row>
    <row r="124" spans="1:9" ht="12.75" x14ac:dyDescent="0.2">
      <c r="A124" s="52"/>
      <c r="B124" s="9">
        <v>50</v>
      </c>
      <c r="C124" s="9" t="s">
        <v>1607</v>
      </c>
      <c r="D124" s="9" t="s">
        <v>24</v>
      </c>
      <c r="E124" s="9" t="s">
        <v>31</v>
      </c>
      <c r="F124" s="9" t="s">
        <v>26</v>
      </c>
      <c r="G124" s="10" t="s">
        <v>27</v>
      </c>
      <c r="H124" s="13"/>
      <c r="I124" s="13"/>
    </row>
    <row r="125" spans="1:9" ht="12.75" x14ac:dyDescent="0.2">
      <c r="A125" s="52"/>
      <c r="B125" s="9">
        <v>50</v>
      </c>
      <c r="C125" s="9" t="s">
        <v>1660</v>
      </c>
      <c r="D125" s="9" t="s">
        <v>24</v>
      </c>
      <c r="E125" s="9" t="s">
        <v>31</v>
      </c>
      <c r="F125" s="9" t="s">
        <v>26</v>
      </c>
      <c r="G125" s="10" t="s">
        <v>27</v>
      </c>
      <c r="H125" s="13"/>
      <c r="I125" s="13"/>
    </row>
    <row r="126" spans="1:9" ht="12.75" x14ac:dyDescent="0.2">
      <c r="A126" s="52"/>
      <c r="B126" s="9">
        <v>50</v>
      </c>
      <c r="C126" s="9" t="s">
        <v>1647</v>
      </c>
      <c r="D126" s="9" t="s">
        <v>24</v>
      </c>
      <c r="E126" s="9" t="s">
        <v>31</v>
      </c>
      <c r="F126" s="9" t="s">
        <v>26</v>
      </c>
      <c r="G126" s="10" t="s">
        <v>27</v>
      </c>
      <c r="H126" s="13"/>
      <c r="I126" s="13"/>
    </row>
    <row r="127" spans="1:9" ht="12.75" x14ac:dyDescent="0.2">
      <c r="A127" s="52"/>
      <c r="B127" s="9">
        <v>50</v>
      </c>
      <c r="C127" s="9" t="s">
        <v>1661</v>
      </c>
      <c r="D127" s="9" t="s">
        <v>24</v>
      </c>
      <c r="E127" s="9" t="s">
        <v>31</v>
      </c>
      <c r="F127" s="9" t="s">
        <v>26</v>
      </c>
      <c r="G127" s="10" t="s">
        <v>27</v>
      </c>
      <c r="H127" s="13"/>
      <c r="I127" s="13"/>
    </row>
    <row r="128" spans="1:9" ht="12.75" x14ac:dyDescent="0.2">
      <c r="A128" s="52"/>
      <c r="B128" s="9">
        <v>50</v>
      </c>
      <c r="C128" s="9" t="s">
        <v>1590</v>
      </c>
      <c r="D128" s="9" t="s">
        <v>24</v>
      </c>
      <c r="E128" s="9" t="s">
        <v>31</v>
      </c>
      <c r="F128" s="9" t="s">
        <v>26</v>
      </c>
      <c r="G128" s="10" t="s">
        <v>27</v>
      </c>
      <c r="H128" s="13"/>
      <c r="I128" s="13"/>
    </row>
    <row r="129" spans="1:9" ht="12.75" x14ac:dyDescent="0.2">
      <c r="A129" s="52"/>
      <c r="B129" s="9">
        <v>50</v>
      </c>
      <c r="C129" s="9" t="s">
        <v>1630</v>
      </c>
      <c r="D129" s="9" t="s">
        <v>24</v>
      </c>
      <c r="E129" s="9" t="s">
        <v>31</v>
      </c>
      <c r="F129" s="9" t="s">
        <v>26</v>
      </c>
      <c r="G129" s="10" t="s">
        <v>27</v>
      </c>
      <c r="H129" s="13"/>
      <c r="I129" s="13"/>
    </row>
    <row r="130" spans="1:9" ht="12.75" x14ac:dyDescent="0.2">
      <c r="A130" s="52"/>
      <c r="B130" s="9">
        <v>50</v>
      </c>
      <c r="C130" s="9" t="s">
        <v>1662</v>
      </c>
      <c r="D130" s="9" t="s">
        <v>24</v>
      </c>
      <c r="E130" s="9" t="s">
        <v>31</v>
      </c>
      <c r="F130" s="9" t="s">
        <v>26</v>
      </c>
      <c r="G130" s="10" t="s">
        <v>27</v>
      </c>
      <c r="H130" s="13"/>
      <c r="I130" s="13"/>
    </row>
    <row r="131" spans="1:9" ht="12.75" x14ac:dyDescent="0.2">
      <c r="A131" s="52"/>
      <c r="B131" s="9">
        <v>50</v>
      </c>
      <c r="C131" s="9" t="s">
        <v>1632</v>
      </c>
      <c r="D131" s="9" t="s">
        <v>24</v>
      </c>
      <c r="E131" s="9" t="s">
        <v>31</v>
      </c>
      <c r="F131" s="9" t="s">
        <v>26</v>
      </c>
      <c r="G131" s="10" t="s">
        <v>27</v>
      </c>
      <c r="H131" s="13"/>
      <c r="I131" s="13"/>
    </row>
    <row r="132" spans="1:9" ht="12.75" x14ac:dyDescent="0.2">
      <c r="A132" s="52"/>
      <c r="B132" s="9">
        <v>50</v>
      </c>
      <c r="C132" s="9" t="s">
        <v>1617</v>
      </c>
      <c r="D132" s="9" t="s">
        <v>24</v>
      </c>
      <c r="E132" s="9" t="s">
        <v>31</v>
      </c>
      <c r="F132" s="9" t="s">
        <v>26</v>
      </c>
      <c r="G132" s="10" t="s">
        <v>27</v>
      </c>
      <c r="H132" s="13"/>
      <c r="I132" s="13"/>
    </row>
    <row r="133" spans="1:9" ht="12.75" x14ac:dyDescent="0.2">
      <c r="A133" s="52"/>
      <c r="B133" s="9">
        <v>50</v>
      </c>
      <c r="C133" s="9" t="s">
        <v>1580</v>
      </c>
      <c r="D133" s="9" t="s">
        <v>24</v>
      </c>
      <c r="E133" s="9" t="s">
        <v>31</v>
      </c>
      <c r="F133" s="9" t="s">
        <v>26</v>
      </c>
      <c r="G133" s="10" t="s">
        <v>27</v>
      </c>
      <c r="H133" s="13"/>
      <c r="I133" s="13"/>
    </row>
    <row r="134" spans="1:9" ht="12.75" x14ac:dyDescent="0.2">
      <c r="A134" s="52"/>
      <c r="B134" s="9">
        <v>50</v>
      </c>
      <c r="C134" s="9" t="s">
        <v>1663</v>
      </c>
      <c r="D134" s="9" t="s">
        <v>24</v>
      </c>
      <c r="E134" s="9" t="s">
        <v>31</v>
      </c>
      <c r="F134" s="9" t="s">
        <v>26</v>
      </c>
      <c r="G134" s="10" t="s">
        <v>27</v>
      </c>
      <c r="H134" s="13"/>
      <c r="I134" s="13"/>
    </row>
    <row r="135" spans="1:9" ht="12.75" x14ac:dyDescent="0.2">
      <c r="A135" s="52"/>
      <c r="B135" s="9">
        <v>50</v>
      </c>
      <c r="C135" s="9" t="s">
        <v>1657</v>
      </c>
      <c r="D135" s="9" t="s">
        <v>24</v>
      </c>
      <c r="E135" s="9" t="s">
        <v>31</v>
      </c>
      <c r="F135" s="9" t="s">
        <v>26</v>
      </c>
      <c r="G135" s="10" t="s">
        <v>27</v>
      </c>
      <c r="H135" s="13"/>
      <c r="I135" s="13"/>
    </row>
    <row r="136" spans="1:9" ht="12.75" x14ac:dyDescent="0.2">
      <c r="A136" s="53"/>
      <c r="B136" s="9">
        <v>50</v>
      </c>
      <c r="C136" s="9" t="s">
        <v>1615</v>
      </c>
      <c r="D136" s="9" t="s">
        <v>24</v>
      </c>
      <c r="E136" s="9" t="s">
        <v>31</v>
      </c>
      <c r="F136" s="9" t="s">
        <v>26</v>
      </c>
      <c r="G136" s="10" t="s">
        <v>27</v>
      </c>
      <c r="H136" s="13"/>
      <c r="I136" s="13"/>
    </row>
    <row r="137" spans="1:9" ht="12.75" x14ac:dyDescent="0.2">
      <c r="A137" s="48" t="s">
        <v>83</v>
      </c>
      <c r="B137" s="9">
        <v>50</v>
      </c>
      <c r="C137" s="9" t="s">
        <v>1647</v>
      </c>
      <c r="D137" s="9" t="s">
        <v>24</v>
      </c>
      <c r="E137" s="9" t="s">
        <v>31</v>
      </c>
      <c r="F137" s="9" t="s">
        <v>26</v>
      </c>
      <c r="G137" s="10" t="s">
        <v>27</v>
      </c>
      <c r="H137" s="13"/>
      <c r="I137" s="13"/>
    </row>
    <row r="138" spans="1:9" ht="12.75" x14ac:dyDescent="0.2">
      <c r="A138" s="52"/>
      <c r="B138" s="9">
        <v>50</v>
      </c>
      <c r="C138" s="9" t="s">
        <v>1612</v>
      </c>
      <c r="D138" s="9" t="s">
        <v>24</v>
      </c>
      <c r="E138" s="9" t="s">
        <v>31</v>
      </c>
      <c r="F138" s="9" t="s">
        <v>26</v>
      </c>
      <c r="G138" s="10" t="s">
        <v>27</v>
      </c>
      <c r="H138" s="13"/>
      <c r="I138" s="13"/>
    </row>
    <row r="139" spans="1:9" ht="12.75" x14ac:dyDescent="0.2">
      <c r="A139" s="52"/>
      <c r="B139" s="9">
        <v>50</v>
      </c>
      <c r="C139" s="9" t="s">
        <v>1661</v>
      </c>
      <c r="D139" s="9" t="s">
        <v>24</v>
      </c>
      <c r="E139" s="9" t="s">
        <v>31</v>
      </c>
      <c r="F139" s="9" t="s">
        <v>26</v>
      </c>
      <c r="G139" s="10" t="s">
        <v>27</v>
      </c>
      <c r="H139" s="13"/>
      <c r="I139" s="13"/>
    </row>
    <row r="140" spans="1:9" ht="12.75" x14ac:dyDescent="0.2">
      <c r="A140" s="52"/>
      <c r="B140" s="9">
        <v>50</v>
      </c>
      <c r="C140" s="9" t="s">
        <v>1664</v>
      </c>
      <c r="D140" s="9" t="s">
        <v>24</v>
      </c>
      <c r="E140" s="9" t="s">
        <v>31</v>
      </c>
      <c r="F140" s="9" t="s">
        <v>26</v>
      </c>
      <c r="G140" s="10" t="s">
        <v>27</v>
      </c>
      <c r="H140" s="13"/>
      <c r="I140" s="13"/>
    </row>
    <row r="141" spans="1:9" ht="12.75" x14ac:dyDescent="0.2">
      <c r="A141" s="52"/>
      <c r="B141" s="9">
        <v>50</v>
      </c>
      <c r="C141" s="9" t="s">
        <v>1665</v>
      </c>
      <c r="D141" s="9" t="s">
        <v>24</v>
      </c>
      <c r="E141" s="9" t="s">
        <v>31</v>
      </c>
      <c r="F141" s="9" t="s">
        <v>26</v>
      </c>
      <c r="G141" s="10" t="s">
        <v>27</v>
      </c>
      <c r="H141" s="13"/>
      <c r="I141" s="13"/>
    </row>
    <row r="142" spans="1:9" ht="12.75" x14ac:dyDescent="0.2">
      <c r="A142" s="52"/>
      <c r="B142" s="9">
        <v>50</v>
      </c>
      <c r="C142" s="9" t="s">
        <v>1632</v>
      </c>
      <c r="D142" s="9" t="s">
        <v>24</v>
      </c>
      <c r="E142" s="9" t="s">
        <v>31</v>
      </c>
      <c r="F142" s="9" t="s">
        <v>26</v>
      </c>
      <c r="G142" s="10" t="s">
        <v>27</v>
      </c>
      <c r="H142" s="13"/>
      <c r="I142" s="13"/>
    </row>
    <row r="143" spans="1:9" ht="12.75" x14ac:dyDescent="0.2">
      <c r="A143" s="52"/>
      <c r="B143" s="9">
        <v>50</v>
      </c>
      <c r="C143" s="9" t="s">
        <v>1580</v>
      </c>
      <c r="D143" s="9" t="s">
        <v>24</v>
      </c>
      <c r="E143" s="9" t="s">
        <v>31</v>
      </c>
      <c r="F143" s="9" t="s">
        <v>26</v>
      </c>
      <c r="G143" s="10" t="s">
        <v>27</v>
      </c>
      <c r="H143" s="13"/>
      <c r="I143" s="13"/>
    </row>
    <row r="144" spans="1:9" ht="12.75" x14ac:dyDescent="0.2">
      <c r="A144" s="53"/>
      <c r="B144" s="9">
        <v>50</v>
      </c>
      <c r="C144" s="9" t="s">
        <v>1615</v>
      </c>
      <c r="D144" s="9" t="s">
        <v>24</v>
      </c>
      <c r="E144" s="9" t="s">
        <v>31</v>
      </c>
      <c r="F144" s="9" t="s">
        <v>26</v>
      </c>
      <c r="G144" s="10" t="s">
        <v>27</v>
      </c>
      <c r="H144" s="13"/>
      <c r="I144" s="13"/>
    </row>
    <row r="145" spans="1:9" ht="12.75" x14ac:dyDescent="0.2">
      <c r="A145" s="64" t="s">
        <v>85</v>
      </c>
      <c r="B145" s="9">
        <v>50</v>
      </c>
      <c r="C145" s="12" t="s">
        <v>1630</v>
      </c>
      <c r="D145" s="12" t="s">
        <v>24</v>
      </c>
      <c r="E145" s="12" t="s">
        <v>25</v>
      </c>
      <c r="F145" s="12" t="s">
        <v>26</v>
      </c>
      <c r="G145" s="10" t="s">
        <v>27</v>
      </c>
      <c r="H145" s="13"/>
      <c r="I145" s="13"/>
    </row>
    <row r="146" spans="1:9" ht="12.75" x14ac:dyDescent="0.2">
      <c r="A146" s="52"/>
      <c r="B146" s="9">
        <v>50</v>
      </c>
      <c r="C146" s="12" t="s">
        <v>1665</v>
      </c>
      <c r="D146" s="12" t="s">
        <v>24</v>
      </c>
      <c r="E146" s="12" t="s">
        <v>25</v>
      </c>
      <c r="F146" s="12" t="s">
        <v>26</v>
      </c>
      <c r="G146" s="10" t="s">
        <v>27</v>
      </c>
      <c r="H146" s="13"/>
      <c r="I146" s="13"/>
    </row>
    <row r="147" spans="1:9" ht="12.75" x14ac:dyDescent="0.2">
      <c r="A147" s="52"/>
      <c r="B147" s="9">
        <v>50</v>
      </c>
      <c r="C147" s="12" t="s">
        <v>1614</v>
      </c>
      <c r="D147" s="12" t="s">
        <v>24</v>
      </c>
      <c r="E147" s="12" t="s">
        <v>25</v>
      </c>
      <c r="F147" s="12" t="s">
        <v>26</v>
      </c>
      <c r="G147" s="10" t="s">
        <v>27</v>
      </c>
      <c r="H147" s="13"/>
      <c r="I147" s="13"/>
    </row>
    <row r="148" spans="1:9" ht="12.75" x14ac:dyDescent="0.2">
      <c r="A148" s="52"/>
      <c r="B148" s="9">
        <v>50</v>
      </c>
      <c r="C148" s="12" t="s">
        <v>1666</v>
      </c>
      <c r="D148" s="12" t="s">
        <v>24</v>
      </c>
      <c r="E148" s="12" t="s">
        <v>25</v>
      </c>
      <c r="F148" s="12" t="s">
        <v>26</v>
      </c>
      <c r="G148" s="10" t="s">
        <v>27</v>
      </c>
      <c r="H148" s="13"/>
      <c r="I148" s="13"/>
    </row>
    <row r="149" spans="1:9" ht="12.75" x14ac:dyDescent="0.2">
      <c r="A149" s="52"/>
      <c r="B149" s="9">
        <v>50</v>
      </c>
      <c r="C149" s="12" t="s">
        <v>1617</v>
      </c>
      <c r="D149" s="12" t="s">
        <v>24</v>
      </c>
      <c r="E149" s="12" t="s">
        <v>25</v>
      </c>
      <c r="F149" s="12" t="s">
        <v>26</v>
      </c>
      <c r="G149" s="10" t="s">
        <v>27</v>
      </c>
      <c r="H149" s="13"/>
      <c r="I149" s="13"/>
    </row>
    <row r="150" spans="1:9" ht="12.75" x14ac:dyDescent="0.2">
      <c r="A150" s="53"/>
      <c r="B150" s="9">
        <v>50</v>
      </c>
      <c r="C150" s="12" t="s">
        <v>1580</v>
      </c>
      <c r="D150" s="12" t="s">
        <v>24</v>
      </c>
      <c r="E150" s="12" t="s">
        <v>25</v>
      </c>
      <c r="F150" s="12" t="s">
        <v>26</v>
      </c>
      <c r="G150" s="10" t="s">
        <v>27</v>
      </c>
      <c r="H150" s="13"/>
      <c r="I150" s="13"/>
    </row>
    <row r="151" spans="1:9" ht="12.75" x14ac:dyDescent="0.2">
      <c r="A151" s="13"/>
      <c r="B151" s="13"/>
      <c r="C151" s="13"/>
      <c r="D151" s="13"/>
      <c r="E151" s="13"/>
      <c r="F151" s="13"/>
      <c r="G151" s="13"/>
      <c r="H151" s="13"/>
      <c r="I151" s="13"/>
    </row>
    <row r="152" spans="1:9" ht="12.75" x14ac:dyDescent="0.2">
      <c r="A152" s="13"/>
      <c r="B152" s="13"/>
      <c r="C152" s="13"/>
      <c r="D152" s="13"/>
      <c r="E152" s="13"/>
      <c r="F152" s="13"/>
      <c r="G152" s="13"/>
      <c r="H152" s="13"/>
      <c r="I152" s="13"/>
    </row>
    <row r="153" spans="1:9" ht="12.75" x14ac:dyDescent="0.2">
      <c r="A153" s="13"/>
      <c r="B153" s="13"/>
      <c r="C153" s="13"/>
      <c r="D153" s="13"/>
      <c r="E153" s="13"/>
      <c r="F153" s="13"/>
      <c r="G153" s="13"/>
      <c r="H153" s="13"/>
      <c r="I153" s="13"/>
    </row>
    <row r="154" spans="1:9" ht="12.75" x14ac:dyDescent="0.2">
      <c r="A154" s="13"/>
      <c r="B154" s="13"/>
      <c r="C154" s="13"/>
      <c r="D154" s="13"/>
      <c r="E154" s="13"/>
      <c r="F154" s="13"/>
      <c r="G154" s="13"/>
      <c r="H154" s="13"/>
      <c r="I154" s="13"/>
    </row>
    <row r="155" spans="1:9" ht="12.75" x14ac:dyDescent="0.2">
      <c r="A155" s="13"/>
      <c r="B155" s="13"/>
      <c r="C155" s="13"/>
      <c r="D155" s="13"/>
      <c r="E155" s="13"/>
      <c r="F155" s="13"/>
      <c r="G155" s="13"/>
      <c r="H155" s="13"/>
      <c r="I155" s="13"/>
    </row>
  </sheetData>
  <mergeCells count="18">
    <mergeCell ref="A145:A150"/>
    <mergeCell ref="A68:A72"/>
    <mergeCell ref="A73:A75"/>
    <mergeCell ref="A76:A80"/>
    <mergeCell ref="A81:A95"/>
    <mergeCell ref="A96:A103"/>
    <mergeCell ref="A104:A107"/>
    <mergeCell ref="A108:A116"/>
    <mergeCell ref="A52:A61"/>
    <mergeCell ref="A62:A67"/>
    <mergeCell ref="A117:A122"/>
    <mergeCell ref="A123:A136"/>
    <mergeCell ref="A137:A144"/>
    <mergeCell ref="A1:G1"/>
    <mergeCell ref="A9:A18"/>
    <mergeCell ref="A19:A24"/>
    <mergeCell ref="A25:A36"/>
    <mergeCell ref="A37:A5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</sheetPr>
  <dimension ref="A1:M208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13" ht="15.75" customHeight="1" x14ac:dyDescent="0.25">
      <c r="A1" s="54" t="s">
        <v>0</v>
      </c>
      <c r="B1" s="55"/>
      <c r="C1" s="55"/>
      <c r="D1" s="55"/>
      <c r="E1" s="55"/>
      <c r="F1" s="55"/>
      <c r="G1" s="56"/>
    </row>
    <row r="2" spans="1:13" x14ac:dyDescent="0.2">
      <c r="A2" s="1"/>
      <c r="B2" s="2"/>
      <c r="C2" s="2"/>
      <c r="D2" s="2"/>
      <c r="E2" s="2"/>
      <c r="F2" s="2"/>
      <c r="G2" s="2"/>
    </row>
    <row r="3" spans="1:13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13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13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13" x14ac:dyDescent="0.2">
      <c r="A6" s="1"/>
      <c r="B6" s="2"/>
      <c r="C6" s="2"/>
      <c r="D6" s="2"/>
      <c r="E6" s="2"/>
      <c r="F6" s="2"/>
      <c r="G6" s="2"/>
    </row>
    <row r="7" spans="1:13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13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13" x14ac:dyDescent="0.2">
      <c r="A9" s="48" t="s">
        <v>20</v>
      </c>
      <c r="B9" s="9">
        <v>51</v>
      </c>
      <c r="C9" s="9" t="s">
        <v>1667</v>
      </c>
      <c r="D9" s="9" t="s">
        <v>24</v>
      </c>
      <c r="E9" s="9" t="s">
        <v>31</v>
      </c>
      <c r="F9" s="9" t="s">
        <v>26</v>
      </c>
      <c r="G9" s="10" t="s">
        <v>27</v>
      </c>
      <c r="H9" s="11"/>
      <c r="I9" s="11"/>
      <c r="J9" s="11"/>
      <c r="K9" s="11"/>
      <c r="L9" s="11"/>
      <c r="M9" s="11"/>
    </row>
    <row r="10" spans="1:13" x14ac:dyDescent="0.2">
      <c r="A10" s="52"/>
      <c r="B10" s="9">
        <v>51</v>
      </c>
      <c r="C10" s="9" t="s">
        <v>1668</v>
      </c>
      <c r="D10" s="9" t="s">
        <v>24</v>
      </c>
      <c r="E10" s="9" t="s">
        <v>31</v>
      </c>
      <c r="F10" s="9" t="s">
        <v>26</v>
      </c>
      <c r="G10" s="10" t="s">
        <v>27</v>
      </c>
      <c r="H10" s="11"/>
      <c r="I10" s="11"/>
      <c r="J10" s="11"/>
      <c r="K10" s="11"/>
      <c r="L10" s="11"/>
      <c r="M10" s="11"/>
    </row>
    <row r="11" spans="1:13" x14ac:dyDescent="0.2">
      <c r="A11" s="52"/>
      <c r="B11" s="9">
        <v>51</v>
      </c>
      <c r="C11" s="9" t="s">
        <v>1669</v>
      </c>
      <c r="D11" s="9" t="s">
        <v>24</v>
      </c>
      <c r="E11" s="9" t="s">
        <v>31</v>
      </c>
      <c r="F11" s="9" t="s">
        <v>26</v>
      </c>
      <c r="G11" s="10" t="s">
        <v>27</v>
      </c>
      <c r="H11" s="11"/>
      <c r="I11" s="11"/>
      <c r="J11" s="11"/>
      <c r="K11" s="11"/>
      <c r="L11" s="11"/>
      <c r="M11" s="11"/>
    </row>
    <row r="12" spans="1:13" x14ac:dyDescent="0.2">
      <c r="A12" s="52"/>
      <c r="B12" s="9">
        <v>51</v>
      </c>
      <c r="C12" s="9" t="s">
        <v>1670</v>
      </c>
      <c r="D12" s="9" t="s">
        <v>24</v>
      </c>
      <c r="E12" s="9" t="s">
        <v>31</v>
      </c>
      <c r="F12" s="9" t="s">
        <v>26</v>
      </c>
      <c r="G12" s="10" t="s">
        <v>27</v>
      </c>
      <c r="H12" s="11"/>
      <c r="I12" s="11"/>
      <c r="J12" s="11"/>
      <c r="K12" s="11"/>
      <c r="L12" s="11"/>
      <c r="M12" s="11"/>
    </row>
    <row r="13" spans="1:13" x14ac:dyDescent="0.2">
      <c r="A13" s="52"/>
      <c r="B13" s="9">
        <v>51</v>
      </c>
      <c r="C13" s="9" t="s">
        <v>1671</v>
      </c>
      <c r="D13" s="9" t="s">
        <v>24</v>
      </c>
      <c r="E13" s="9" t="s">
        <v>31</v>
      </c>
      <c r="F13" s="9" t="s">
        <v>26</v>
      </c>
      <c r="G13" s="10" t="s">
        <v>27</v>
      </c>
      <c r="H13" s="11"/>
      <c r="I13" s="11"/>
      <c r="J13" s="11"/>
      <c r="K13" s="11"/>
      <c r="L13" s="11"/>
      <c r="M13" s="11"/>
    </row>
    <row r="14" spans="1:13" x14ac:dyDescent="0.2">
      <c r="A14" s="52"/>
      <c r="B14" s="9">
        <v>51</v>
      </c>
      <c r="C14" s="9" t="s">
        <v>1672</v>
      </c>
      <c r="D14" s="9" t="s">
        <v>24</v>
      </c>
      <c r="E14" s="9" t="s">
        <v>31</v>
      </c>
      <c r="F14" s="9" t="s">
        <v>26</v>
      </c>
      <c r="G14" s="10" t="s">
        <v>27</v>
      </c>
      <c r="H14" s="11"/>
      <c r="I14" s="11"/>
      <c r="J14" s="11"/>
      <c r="K14" s="11"/>
      <c r="L14" s="11"/>
      <c r="M14" s="11"/>
    </row>
    <row r="15" spans="1:13" x14ac:dyDescent="0.2">
      <c r="A15" s="52"/>
      <c r="B15" s="9">
        <v>51</v>
      </c>
      <c r="C15" s="9" t="s">
        <v>1673</v>
      </c>
      <c r="D15" s="9" t="s">
        <v>24</v>
      </c>
      <c r="E15" s="9" t="s">
        <v>31</v>
      </c>
      <c r="F15" s="9" t="s">
        <v>26</v>
      </c>
      <c r="G15" s="10" t="s">
        <v>27</v>
      </c>
      <c r="H15" s="11"/>
      <c r="I15" s="11"/>
      <c r="J15" s="11"/>
      <c r="K15" s="11"/>
      <c r="L15" s="11"/>
      <c r="M15" s="11"/>
    </row>
    <row r="16" spans="1:13" x14ac:dyDescent="0.2">
      <c r="A16" s="50"/>
      <c r="B16" s="9">
        <v>51</v>
      </c>
      <c r="C16" s="9" t="s">
        <v>1674</v>
      </c>
      <c r="D16" s="9" t="s">
        <v>24</v>
      </c>
      <c r="E16" s="9" t="s">
        <v>31</v>
      </c>
      <c r="F16" s="9" t="s">
        <v>26</v>
      </c>
      <c r="G16" s="10" t="s">
        <v>27</v>
      </c>
      <c r="H16" s="11"/>
      <c r="I16" s="11"/>
      <c r="J16" s="11"/>
      <c r="K16" s="11"/>
      <c r="L16" s="11"/>
      <c r="M16" s="11"/>
    </row>
    <row r="17" spans="1:13" x14ac:dyDescent="0.2">
      <c r="A17" s="51"/>
      <c r="B17" s="9">
        <v>51</v>
      </c>
      <c r="C17" s="9" t="s">
        <v>1675</v>
      </c>
      <c r="D17" s="9" t="s">
        <v>24</v>
      </c>
      <c r="E17" s="9" t="s">
        <v>31</v>
      </c>
      <c r="F17" s="9" t="s">
        <v>47</v>
      </c>
      <c r="G17" s="10" t="s">
        <v>27</v>
      </c>
      <c r="H17" s="11"/>
      <c r="I17" s="11"/>
      <c r="J17" s="11"/>
      <c r="K17" s="11"/>
      <c r="L17" s="11"/>
      <c r="M17" s="11"/>
    </row>
    <row r="18" spans="1:13" x14ac:dyDescent="0.2">
      <c r="A18" s="50"/>
      <c r="B18" s="9">
        <v>51</v>
      </c>
      <c r="C18" s="9" t="s">
        <v>1676</v>
      </c>
      <c r="D18" s="9" t="s">
        <v>24</v>
      </c>
      <c r="E18" s="9" t="s">
        <v>31</v>
      </c>
      <c r="F18" s="9" t="s">
        <v>47</v>
      </c>
      <c r="G18" s="10" t="s">
        <v>27</v>
      </c>
      <c r="H18" s="11"/>
      <c r="I18" s="11"/>
      <c r="J18" s="11"/>
      <c r="K18" s="11"/>
      <c r="L18" s="11"/>
      <c r="M18" s="11"/>
    </row>
    <row r="19" spans="1:13" x14ac:dyDescent="0.2">
      <c r="A19" s="51"/>
      <c r="B19" s="9">
        <v>51</v>
      </c>
      <c r="C19" s="9" t="s">
        <v>1677</v>
      </c>
      <c r="D19" s="9" t="s">
        <v>24</v>
      </c>
      <c r="E19" s="9" t="s">
        <v>31</v>
      </c>
      <c r="F19" s="9" t="s">
        <v>26</v>
      </c>
      <c r="G19" s="10" t="s">
        <v>27</v>
      </c>
      <c r="H19" s="11"/>
      <c r="I19" s="11"/>
      <c r="J19" s="11"/>
      <c r="K19" s="11"/>
      <c r="L19" s="11"/>
      <c r="M19" s="11"/>
    </row>
    <row r="20" spans="1:13" x14ac:dyDescent="0.2">
      <c r="A20" s="50"/>
      <c r="B20" s="9">
        <v>51</v>
      </c>
      <c r="C20" s="9" t="s">
        <v>1678</v>
      </c>
      <c r="D20" s="9" t="s">
        <v>24</v>
      </c>
      <c r="E20" s="9" t="s">
        <v>31</v>
      </c>
      <c r="F20" s="9" t="s">
        <v>26</v>
      </c>
      <c r="G20" s="10" t="s">
        <v>27</v>
      </c>
      <c r="H20" s="11"/>
      <c r="I20" s="11"/>
      <c r="J20" s="11"/>
      <c r="K20" s="11"/>
      <c r="L20" s="11"/>
      <c r="M20" s="11"/>
    </row>
    <row r="21" spans="1:13" x14ac:dyDescent="0.2">
      <c r="A21" s="57"/>
      <c r="B21" s="9">
        <v>51</v>
      </c>
      <c r="C21" s="9" t="s">
        <v>1679</v>
      </c>
      <c r="D21" s="9" t="s">
        <v>24</v>
      </c>
      <c r="E21" s="9" t="s">
        <v>31</v>
      </c>
      <c r="F21" s="9" t="s">
        <v>26</v>
      </c>
      <c r="G21" s="10" t="s">
        <v>27</v>
      </c>
      <c r="H21" s="11"/>
      <c r="I21" s="11"/>
      <c r="J21" s="11"/>
      <c r="K21" s="11"/>
      <c r="L21" s="11"/>
      <c r="M21" s="11"/>
    </row>
    <row r="22" spans="1:13" x14ac:dyDescent="0.2">
      <c r="A22" s="48" t="s">
        <v>22</v>
      </c>
      <c r="B22" s="9">
        <v>51</v>
      </c>
      <c r="C22" s="9" t="s">
        <v>1668</v>
      </c>
      <c r="D22" s="9" t="s">
        <v>24</v>
      </c>
      <c r="E22" s="9" t="s">
        <v>31</v>
      </c>
      <c r="F22" s="9" t="s">
        <v>26</v>
      </c>
      <c r="G22" s="10" t="s">
        <v>27</v>
      </c>
      <c r="H22" s="11"/>
      <c r="I22" s="11"/>
      <c r="J22" s="11"/>
      <c r="K22" s="11"/>
      <c r="L22" s="11"/>
      <c r="M22" s="11"/>
    </row>
    <row r="23" spans="1:13" x14ac:dyDescent="0.2">
      <c r="A23" s="51"/>
      <c r="B23" s="9">
        <v>51</v>
      </c>
      <c r="C23" s="9" t="s">
        <v>1669</v>
      </c>
      <c r="D23" s="9" t="s">
        <v>24</v>
      </c>
      <c r="E23" s="9" t="s">
        <v>31</v>
      </c>
      <c r="F23" s="9" t="s">
        <v>26</v>
      </c>
      <c r="G23" s="10" t="s">
        <v>27</v>
      </c>
      <c r="H23" s="11"/>
      <c r="I23" s="11"/>
      <c r="J23" s="11"/>
      <c r="K23" s="11"/>
      <c r="L23" s="11"/>
      <c r="M23" s="11"/>
    </row>
    <row r="24" spans="1:13" x14ac:dyDescent="0.2">
      <c r="A24" s="50"/>
      <c r="B24" s="9">
        <v>51</v>
      </c>
      <c r="C24" s="9" t="s">
        <v>1674</v>
      </c>
      <c r="D24" s="9" t="s">
        <v>24</v>
      </c>
      <c r="E24" s="9" t="s">
        <v>31</v>
      </c>
      <c r="F24" s="9" t="s">
        <v>26</v>
      </c>
      <c r="G24" s="10" t="s">
        <v>27</v>
      </c>
      <c r="H24" s="11"/>
      <c r="I24" s="11"/>
      <c r="J24" s="11"/>
      <c r="K24" s="11"/>
      <c r="L24" s="11"/>
      <c r="M24" s="11"/>
    </row>
    <row r="25" spans="1:13" x14ac:dyDescent="0.2">
      <c r="A25" s="51"/>
      <c r="B25" s="9">
        <v>51</v>
      </c>
      <c r="C25" s="9" t="s">
        <v>1675</v>
      </c>
      <c r="D25" s="9" t="s">
        <v>24</v>
      </c>
      <c r="E25" s="9" t="s">
        <v>31</v>
      </c>
      <c r="F25" s="9" t="s">
        <v>47</v>
      </c>
      <c r="G25" s="10" t="s">
        <v>27</v>
      </c>
      <c r="H25" s="11"/>
      <c r="I25" s="11"/>
      <c r="J25" s="11"/>
      <c r="K25" s="11"/>
      <c r="L25" s="11"/>
      <c r="M25" s="11"/>
    </row>
    <row r="26" spans="1:13" x14ac:dyDescent="0.2">
      <c r="A26" s="49"/>
      <c r="B26" s="9">
        <v>51</v>
      </c>
      <c r="C26" s="9" t="s">
        <v>1679</v>
      </c>
      <c r="D26" s="9" t="s">
        <v>24</v>
      </c>
      <c r="E26" s="9" t="s">
        <v>31</v>
      </c>
      <c r="F26" s="9" t="s">
        <v>26</v>
      </c>
      <c r="G26" s="10" t="s">
        <v>27</v>
      </c>
      <c r="H26" s="11"/>
      <c r="I26" s="11"/>
      <c r="J26" s="11"/>
      <c r="K26" s="11"/>
      <c r="L26" s="11"/>
      <c r="M26" s="11"/>
    </row>
    <row r="27" spans="1:13" x14ac:dyDescent="0.2">
      <c r="A27" s="48" t="s">
        <v>28</v>
      </c>
      <c r="B27" s="9">
        <v>51</v>
      </c>
      <c r="C27" s="9" t="s">
        <v>1680</v>
      </c>
      <c r="D27" s="9" t="s">
        <v>24</v>
      </c>
      <c r="E27" s="9" t="s">
        <v>25</v>
      </c>
      <c r="F27" s="9" t="s">
        <v>26</v>
      </c>
      <c r="G27" s="10" t="s">
        <v>27</v>
      </c>
      <c r="H27" s="11"/>
      <c r="I27" s="11"/>
      <c r="J27" s="11"/>
      <c r="K27" s="11"/>
      <c r="L27" s="11"/>
      <c r="M27" s="11"/>
    </row>
    <row r="28" spans="1:13" x14ac:dyDescent="0.2">
      <c r="A28" s="50"/>
      <c r="B28" s="9">
        <v>51</v>
      </c>
      <c r="C28" s="9" t="s">
        <v>316</v>
      </c>
      <c r="D28" s="9" t="s">
        <v>24</v>
      </c>
      <c r="E28" s="9" t="s">
        <v>25</v>
      </c>
      <c r="F28" s="9" t="s">
        <v>26</v>
      </c>
      <c r="G28" s="10" t="s">
        <v>27</v>
      </c>
      <c r="H28" s="11"/>
      <c r="I28" s="11"/>
      <c r="J28" s="11"/>
      <c r="K28" s="11"/>
      <c r="L28" s="11"/>
      <c r="M28" s="11"/>
    </row>
    <row r="29" spans="1:13" x14ac:dyDescent="0.2">
      <c r="A29" s="51"/>
      <c r="B29" s="9">
        <v>51</v>
      </c>
      <c r="C29" s="9" t="s">
        <v>314</v>
      </c>
      <c r="D29" s="9" t="s">
        <v>24</v>
      </c>
      <c r="E29" s="9" t="s">
        <v>25</v>
      </c>
      <c r="F29" s="9" t="s">
        <v>26</v>
      </c>
      <c r="G29" s="10" t="s">
        <v>27</v>
      </c>
      <c r="H29" s="11"/>
      <c r="I29" s="11"/>
      <c r="J29" s="11"/>
      <c r="K29" s="11"/>
      <c r="L29" s="11"/>
      <c r="M29" s="11"/>
    </row>
    <row r="30" spans="1:13" x14ac:dyDescent="0.2">
      <c r="A30" s="50"/>
      <c r="B30" s="9">
        <v>51</v>
      </c>
      <c r="C30" s="9" t="s">
        <v>1681</v>
      </c>
      <c r="D30" s="9" t="s">
        <v>24</v>
      </c>
      <c r="E30" s="9" t="s">
        <v>25</v>
      </c>
      <c r="F30" s="9" t="s">
        <v>26</v>
      </c>
      <c r="G30" s="10" t="s">
        <v>27</v>
      </c>
      <c r="H30" s="11"/>
      <c r="I30" s="11"/>
      <c r="J30" s="11"/>
      <c r="K30" s="11"/>
      <c r="L30" s="11"/>
      <c r="M30" s="11"/>
    </row>
    <row r="31" spans="1:13" x14ac:dyDescent="0.2">
      <c r="A31" s="51"/>
      <c r="B31" s="9">
        <v>51</v>
      </c>
      <c r="C31" s="9" t="s">
        <v>1682</v>
      </c>
      <c r="D31" s="9" t="s">
        <v>24</v>
      </c>
      <c r="E31" s="9" t="s">
        <v>25</v>
      </c>
      <c r="F31" s="9" t="s">
        <v>26</v>
      </c>
      <c r="G31" s="10" t="s">
        <v>27</v>
      </c>
      <c r="H31" s="11"/>
      <c r="I31" s="11"/>
      <c r="J31" s="11"/>
      <c r="K31" s="11"/>
      <c r="L31" s="11"/>
      <c r="M31" s="11"/>
    </row>
    <row r="32" spans="1:13" x14ac:dyDescent="0.2">
      <c r="A32" s="50"/>
      <c r="B32" s="9">
        <v>51</v>
      </c>
      <c r="C32" s="9" t="s">
        <v>1683</v>
      </c>
      <c r="D32" s="9" t="s">
        <v>24</v>
      </c>
      <c r="E32" s="9" t="s">
        <v>31</v>
      </c>
      <c r="F32" s="9" t="s">
        <v>26</v>
      </c>
      <c r="G32" s="10" t="s">
        <v>27</v>
      </c>
      <c r="H32" s="11"/>
      <c r="I32" s="11"/>
      <c r="J32" s="11"/>
      <c r="K32" s="11"/>
      <c r="L32" s="11"/>
      <c r="M32" s="11"/>
    </row>
    <row r="33" spans="1:13" x14ac:dyDescent="0.2">
      <c r="A33" s="51"/>
      <c r="B33" s="9">
        <v>51</v>
      </c>
      <c r="C33" s="9" t="s">
        <v>1684</v>
      </c>
      <c r="D33" s="9" t="s">
        <v>24</v>
      </c>
      <c r="E33" s="9" t="s">
        <v>25</v>
      </c>
      <c r="F33" s="9" t="s">
        <v>26</v>
      </c>
      <c r="G33" s="10" t="s">
        <v>27</v>
      </c>
      <c r="H33" s="11"/>
      <c r="I33" s="11"/>
      <c r="J33" s="11"/>
      <c r="K33" s="11"/>
      <c r="L33" s="11"/>
      <c r="M33" s="11"/>
    </row>
    <row r="34" spans="1:13" x14ac:dyDescent="0.2">
      <c r="A34" s="49"/>
      <c r="B34" s="9">
        <v>51</v>
      </c>
      <c r="C34" s="9" t="s">
        <v>1685</v>
      </c>
      <c r="D34" s="9" t="s">
        <v>24</v>
      </c>
      <c r="E34" s="9" t="s">
        <v>25</v>
      </c>
      <c r="F34" s="9" t="s">
        <v>26</v>
      </c>
      <c r="G34" s="10" t="s">
        <v>27</v>
      </c>
      <c r="H34" s="11"/>
      <c r="I34" s="11"/>
      <c r="J34" s="11"/>
      <c r="K34" s="11"/>
      <c r="L34" s="11"/>
      <c r="M34" s="11"/>
    </row>
    <row r="35" spans="1:13" x14ac:dyDescent="0.2">
      <c r="A35" s="48" t="s">
        <v>33</v>
      </c>
      <c r="B35" s="9">
        <v>51</v>
      </c>
      <c r="C35" s="9" t="s">
        <v>1686</v>
      </c>
      <c r="D35" s="9" t="s">
        <v>24</v>
      </c>
      <c r="E35" s="9" t="s">
        <v>31</v>
      </c>
      <c r="F35" s="9" t="s">
        <v>26</v>
      </c>
      <c r="G35" s="10" t="s">
        <v>27</v>
      </c>
      <c r="H35" s="11"/>
      <c r="I35" s="11"/>
      <c r="J35" s="11"/>
      <c r="K35" s="11"/>
      <c r="L35" s="11"/>
      <c r="M35" s="11"/>
    </row>
    <row r="36" spans="1:13" x14ac:dyDescent="0.2">
      <c r="A36" s="50"/>
      <c r="B36" s="9">
        <v>51</v>
      </c>
      <c r="C36" s="9" t="s">
        <v>1687</v>
      </c>
      <c r="D36" s="9" t="s">
        <v>24</v>
      </c>
      <c r="E36" s="9" t="s">
        <v>31</v>
      </c>
      <c r="F36" s="9" t="s">
        <v>26</v>
      </c>
      <c r="G36" s="10" t="s">
        <v>27</v>
      </c>
      <c r="H36" s="11"/>
      <c r="I36" s="11"/>
      <c r="J36" s="11"/>
      <c r="K36" s="11"/>
      <c r="L36" s="11"/>
      <c r="M36" s="11"/>
    </row>
    <row r="37" spans="1:13" ht="12.75" x14ac:dyDescent="0.2">
      <c r="A37" s="51"/>
      <c r="B37" s="9">
        <v>51</v>
      </c>
      <c r="C37" s="9" t="s">
        <v>1669</v>
      </c>
      <c r="D37" s="9" t="s">
        <v>24</v>
      </c>
      <c r="E37" s="9" t="s">
        <v>31</v>
      </c>
      <c r="F37" s="9" t="s">
        <v>26</v>
      </c>
      <c r="G37" s="10" t="s">
        <v>27</v>
      </c>
      <c r="H37" s="11"/>
      <c r="I37" s="11"/>
      <c r="J37" s="11"/>
      <c r="K37" s="11"/>
      <c r="L37" s="11"/>
      <c r="M37" s="11"/>
    </row>
    <row r="38" spans="1:13" ht="12.75" x14ac:dyDescent="0.2">
      <c r="A38" s="52"/>
      <c r="B38" s="9">
        <v>51</v>
      </c>
      <c r="C38" s="9" t="s">
        <v>1670</v>
      </c>
      <c r="D38" s="9" t="s">
        <v>24</v>
      </c>
      <c r="E38" s="9" t="s">
        <v>31</v>
      </c>
      <c r="F38" s="9" t="s">
        <v>26</v>
      </c>
      <c r="G38" s="10" t="s">
        <v>27</v>
      </c>
      <c r="H38" s="11"/>
      <c r="I38" s="11"/>
      <c r="J38" s="11"/>
      <c r="K38" s="11"/>
      <c r="L38" s="11"/>
      <c r="M38" s="11"/>
    </row>
    <row r="39" spans="1:13" ht="12.75" x14ac:dyDescent="0.2">
      <c r="A39" s="52"/>
      <c r="B39" s="9">
        <v>51</v>
      </c>
      <c r="C39" s="9" t="s">
        <v>1688</v>
      </c>
      <c r="D39" s="9" t="s">
        <v>24</v>
      </c>
      <c r="E39" s="9" t="s">
        <v>31</v>
      </c>
      <c r="F39" s="9" t="s">
        <v>26</v>
      </c>
      <c r="G39" s="10" t="s">
        <v>27</v>
      </c>
      <c r="H39" s="11"/>
      <c r="I39" s="11"/>
      <c r="J39" s="11"/>
      <c r="K39" s="11"/>
      <c r="L39" s="11"/>
      <c r="M39" s="11"/>
    </row>
    <row r="40" spans="1:13" ht="12.75" x14ac:dyDescent="0.2">
      <c r="A40" s="52"/>
      <c r="B40" s="9">
        <v>51</v>
      </c>
      <c r="C40" s="9" t="s">
        <v>1671</v>
      </c>
      <c r="D40" s="9" t="s">
        <v>24</v>
      </c>
      <c r="E40" s="9" t="s">
        <v>31</v>
      </c>
      <c r="F40" s="9" t="s">
        <v>26</v>
      </c>
      <c r="G40" s="10" t="s">
        <v>27</v>
      </c>
      <c r="H40" s="11"/>
      <c r="I40" s="11"/>
      <c r="J40" s="11"/>
      <c r="K40" s="11"/>
      <c r="L40" s="11"/>
      <c r="M40" s="11"/>
    </row>
    <row r="41" spans="1:13" ht="12.75" x14ac:dyDescent="0.2">
      <c r="A41" s="52"/>
      <c r="B41" s="9">
        <v>51</v>
      </c>
      <c r="C41" s="9" t="s">
        <v>1689</v>
      </c>
      <c r="D41" s="9" t="s">
        <v>24</v>
      </c>
      <c r="E41" s="9" t="s">
        <v>31</v>
      </c>
      <c r="F41" s="9" t="s">
        <v>26</v>
      </c>
      <c r="G41" s="10" t="s">
        <v>27</v>
      </c>
      <c r="H41" s="11"/>
      <c r="I41" s="11"/>
      <c r="J41" s="11"/>
      <c r="K41" s="11"/>
      <c r="L41" s="11"/>
      <c r="M41" s="11"/>
    </row>
    <row r="42" spans="1:13" ht="12.75" x14ac:dyDescent="0.2">
      <c r="A42" s="52"/>
      <c r="B42" s="9">
        <v>51</v>
      </c>
      <c r="C42" s="9" t="s">
        <v>1674</v>
      </c>
      <c r="D42" s="9" t="s">
        <v>24</v>
      </c>
      <c r="E42" s="9" t="s">
        <v>31</v>
      </c>
      <c r="F42" s="9" t="s">
        <v>26</v>
      </c>
      <c r="G42" s="10" t="s">
        <v>27</v>
      </c>
      <c r="H42" s="11"/>
      <c r="I42" s="11"/>
      <c r="J42" s="11"/>
      <c r="K42" s="11"/>
      <c r="L42" s="11"/>
      <c r="M42" s="11"/>
    </row>
    <row r="43" spans="1:13" ht="12.75" x14ac:dyDescent="0.2">
      <c r="A43" s="52"/>
      <c r="B43" s="9">
        <v>51</v>
      </c>
      <c r="C43" s="9" t="s">
        <v>1690</v>
      </c>
      <c r="D43" s="9" t="s">
        <v>24</v>
      </c>
      <c r="E43" s="9" t="s">
        <v>31</v>
      </c>
      <c r="F43" s="9" t="s">
        <v>47</v>
      </c>
      <c r="G43" s="10" t="s">
        <v>27</v>
      </c>
      <c r="H43" s="11"/>
      <c r="I43" s="11"/>
      <c r="J43" s="11"/>
      <c r="K43" s="11"/>
      <c r="L43" s="11"/>
      <c r="M43" s="11"/>
    </row>
    <row r="44" spans="1:13" ht="12.75" x14ac:dyDescent="0.2">
      <c r="A44" s="52"/>
      <c r="B44" s="9">
        <v>51</v>
      </c>
      <c r="C44" s="9" t="s">
        <v>1691</v>
      </c>
      <c r="D44" s="9" t="s">
        <v>24</v>
      </c>
      <c r="E44" s="9" t="s">
        <v>31</v>
      </c>
      <c r="F44" s="9" t="s">
        <v>47</v>
      </c>
      <c r="G44" s="10" t="s">
        <v>27</v>
      </c>
      <c r="H44" s="11"/>
      <c r="I44" s="11"/>
      <c r="J44" s="11"/>
      <c r="K44" s="11"/>
      <c r="L44" s="11"/>
      <c r="M44" s="11"/>
    </row>
    <row r="45" spans="1:13" ht="12.75" x14ac:dyDescent="0.2">
      <c r="A45" s="52"/>
      <c r="B45" s="9">
        <v>51</v>
      </c>
      <c r="C45" s="9" t="s">
        <v>1676</v>
      </c>
      <c r="D45" s="9" t="s">
        <v>24</v>
      </c>
      <c r="E45" s="9" t="s">
        <v>31</v>
      </c>
      <c r="F45" s="9" t="s">
        <v>26</v>
      </c>
      <c r="G45" s="10" t="s">
        <v>27</v>
      </c>
      <c r="H45" s="11"/>
      <c r="I45" s="11"/>
      <c r="J45" s="11"/>
      <c r="K45" s="11"/>
      <c r="L45" s="11"/>
      <c r="M45" s="11"/>
    </row>
    <row r="46" spans="1:13" ht="12.75" x14ac:dyDescent="0.2">
      <c r="A46" s="52"/>
      <c r="B46" s="9">
        <v>51</v>
      </c>
      <c r="C46" s="9" t="s">
        <v>1692</v>
      </c>
      <c r="D46" s="9" t="s">
        <v>24</v>
      </c>
      <c r="E46" s="9" t="s">
        <v>31</v>
      </c>
      <c r="F46" s="9" t="s">
        <v>26</v>
      </c>
      <c r="G46" s="10" t="s">
        <v>27</v>
      </c>
      <c r="H46" s="11"/>
      <c r="I46" s="11"/>
      <c r="J46" s="11"/>
      <c r="K46" s="11"/>
      <c r="L46" s="11"/>
      <c r="M46" s="11"/>
    </row>
    <row r="47" spans="1:13" ht="12.75" x14ac:dyDescent="0.2">
      <c r="A47" s="52"/>
      <c r="B47" s="9">
        <v>51</v>
      </c>
      <c r="C47" s="9" t="s">
        <v>1678</v>
      </c>
      <c r="D47" s="9" t="s">
        <v>24</v>
      </c>
      <c r="E47" s="9" t="s">
        <v>31</v>
      </c>
      <c r="F47" s="9" t="s">
        <v>26</v>
      </c>
      <c r="G47" s="10" t="s">
        <v>27</v>
      </c>
      <c r="H47" s="11"/>
      <c r="I47" s="11"/>
      <c r="J47" s="11"/>
      <c r="K47" s="11"/>
      <c r="L47" s="11"/>
      <c r="M47" s="11"/>
    </row>
    <row r="48" spans="1:13" ht="12.75" x14ac:dyDescent="0.2">
      <c r="A48" s="53"/>
      <c r="B48" s="9">
        <v>51</v>
      </c>
      <c r="C48" s="9" t="s">
        <v>1693</v>
      </c>
      <c r="D48" s="9" t="s">
        <v>24</v>
      </c>
      <c r="E48" s="9" t="s">
        <v>31</v>
      </c>
      <c r="F48" s="9" t="s">
        <v>26</v>
      </c>
      <c r="G48" s="10" t="s">
        <v>27</v>
      </c>
      <c r="H48" s="11"/>
      <c r="I48" s="11"/>
      <c r="J48" s="11"/>
      <c r="K48" s="11"/>
      <c r="L48" s="11"/>
      <c r="M48" s="11"/>
    </row>
    <row r="49" spans="1:13" ht="12.75" x14ac:dyDescent="0.2">
      <c r="A49" s="48" t="s">
        <v>38</v>
      </c>
      <c r="B49" s="9">
        <v>51</v>
      </c>
      <c r="C49" s="9" t="s">
        <v>1694</v>
      </c>
      <c r="D49" s="9" t="s">
        <v>24</v>
      </c>
      <c r="E49" s="9" t="s">
        <v>31</v>
      </c>
      <c r="F49" s="9" t="s">
        <v>26</v>
      </c>
      <c r="G49" s="10" t="s">
        <v>27</v>
      </c>
      <c r="H49" s="11"/>
      <c r="I49" s="11"/>
      <c r="J49" s="11"/>
      <c r="K49" s="11"/>
      <c r="L49" s="11"/>
      <c r="M49" s="11"/>
    </row>
    <row r="50" spans="1:13" ht="12.75" x14ac:dyDescent="0.2">
      <c r="A50" s="52"/>
      <c r="B50" s="9">
        <v>51</v>
      </c>
      <c r="C50" s="9" t="s">
        <v>1328</v>
      </c>
      <c r="D50" s="9" t="s">
        <v>24</v>
      </c>
      <c r="E50" s="9" t="s">
        <v>31</v>
      </c>
      <c r="F50" s="9" t="s">
        <v>26</v>
      </c>
      <c r="G50" s="10" t="s">
        <v>27</v>
      </c>
      <c r="H50" s="11"/>
      <c r="I50" s="11"/>
      <c r="J50" s="11"/>
      <c r="K50" s="11"/>
      <c r="L50" s="11"/>
      <c r="M50" s="11"/>
    </row>
    <row r="51" spans="1:13" ht="12.75" x14ac:dyDescent="0.2">
      <c r="A51" s="52"/>
      <c r="B51" s="9">
        <v>51</v>
      </c>
      <c r="C51" s="9" t="s">
        <v>1669</v>
      </c>
      <c r="D51" s="9" t="s">
        <v>24</v>
      </c>
      <c r="E51" s="9" t="s">
        <v>31</v>
      </c>
      <c r="F51" s="9" t="s">
        <v>26</v>
      </c>
      <c r="G51" s="10" t="s">
        <v>27</v>
      </c>
      <c r="H51" s="13"/>
    </row>
    <row r="52" spans="1:13" ht="12.75" x14ac:dyDescent="0.2">
      <c r="A52" s="52"/>
      <c r="B52" s="9">
        <v>51</v>
      </c>
      <c r="C52" s="9" t="s">
        <v>1695</v>
      </c>
      <c r="D52" s="9" t="s">
        <v>24</v>
      </c>
      <c r="E52" s="9" t="s">
        <v>31</v>
      </c>
      <c r="F52" s="9" t="s">
        <v>26</v>
      </c>
      <c r="G52" s="10" t="s">
        <v>27</v>
      </c>
      <c r="H52" s="13"/>
    </row>
    <row r="53" spans="1:13" ht="12.75" x14ac:dyDescent="0.2">
      <c r="A53" s="52"/>
      <c r="B53" s="9">
        <v>51</v>
      </c>
      <c r="C53" s="9" t="s">
        <v>1671</v>
      </c>
      <c r="D53" s="9" t="s">
        <v>24</v>
      </c>
      <c r="E53" s="9" t="s">
        <v>31</v>
      </c>
      <c r="F53" s="9" t="s">
        <v>26</v>
      </c>
      <c r="G53" s="10" t="s">
        <v>27</v>
      </c>
      <c r="H53" s="13"/>
    </row>
    <row r="54" spans="1:13" ht="12.75" x14ac:dyDescent="0.2">
      <c r="A54" s="52"/>
      <c r="B54" s="9">
        <v>51</v>
      </c>
      <c r="C54" s="9" t="s">
        <v>1689</v>
      </c>
      <c r="D54" s="9" t="s">
        <v>24</v>
      </c>
      <c r="E54" s="9" t="s">
        <v>31</v>
      </c>
      <c r="F54" s="9" t="s">
        <v>26</v>
      </c>
      <c r="G54" s="10" t="s">
        <v>27</v>
      </c>
      <c r="H54" s="13"/>
    </row>
    <row r="55" spans="1:13" ht="12.75" x14ac:dyDescent="0.2">
      <c r="A55" s="52"/>
      <c r="B55" s="9">
        <v>51</v>
      </c>
      <c r="C55" s="9" t="s">
        <v>1696</v>
      </c>
      <c r="D55" s="9" t="s">
        <v>24</v>
      </c>
      <c r="E55" s="9" t="s">
        <v>31</v>
      </c>
      <c r="F55" s="9" t="s">
        <v>26</v>
      </c>
      <c r="G55" s="10" t="s">
        <v>27</v>
      </c>
      <c r="H55" s="13"/>
    </row>
    <row r="56" spans="1:13" ht="12.75" x14ac:dyDescent="0.2">
      <c r="A56" s="52"/>
      <c r="B56" s="9">
        <v>51</v>
      </c>
      <c r="C56" s="9" t="s">
        <v>1697</v>
      </c>
      <c r="D56" s="9" t="s">
        <v>24</v>
      </c>
      <c r="E56" s="9" t="s">
        <v>31</v>
      </c>
      <c r="F56" s="9" t="s">
        <v>26</v>
      </c>
      <c r="G56" s="10" t="s">
        <v>27</v>
      </c>
      <c r="H56" s="13"/>
    </row>
    <row r="57" spans="1:13" ht="12.75" x14ac:dyDescent="0.2">
      <c r="A57" s="52"/>
      <c r="B57" s="9">
        <v>51</v>
      </c>
      <c r="C57" s="9" t="s">
        <v>1674</v>
      </c>
      <c r="D57" s="9" t="s">
        <v>24</v>
      </c>
      <c r="E57" s="9" t="s">
        <v>31</v>
      </c>
      <c r="F57" s="9" t="s">
        <v>26</v>
      </c>
      <c r="G57" s="10" t="s">
        <v>27</v>
      </c>
      <c r="H57" s="13"/>
    </row>
    <row r="58" spans="1:13" ht="12.75" x14ac:dyDescent="0.2">
      <c r="A58" s="52"/>
      <c r="B58" s="9">
        <v>51</v>
      </c>
      <c r="C58" s="9" t="s">
        <v>1691</v>
      </c>
      <c r="D58" s="9" t="s">
        <v>24</v>
      </c>
      <c r="E58" s="9" t="s">
        <v>25</v>
      </c>
      <c r="F58" s="9" t="s">
        <v>26</v>
      </c>
      <c r="G58" s="10" t="s">
        <v>27</v>
      </c>
      <c r="H58" s="13"/>
    </row>
    <row r="59" spans="1:13" ht="12.75" x14ac:dyDescent="0.2">
      <c r="A59" s="52"/>
      <c r="B59" s="9">
        <v>51</v>
      </c>
      <c r="C59" s="9" t="s">
        <v>1676</v>
      </c>
      <c r="D59" s="9" t="s">
        <v>24</v>
      </c>
      <c r="E59" s="9" t="s">
        <v>25</v>
      </c>
      <c r="F59" s="9" t="s">
        <v>47</v>
      </c>
      <c r="G59" s="10" t="s">
        <v>27</v>
      </c>
      <c r="H59" s="13"/>
    </row>
    <row r="60" spans="1:13" ht="12.75" x14ac:dyDescent="0.2">
      <c r="A60" s="52"/>
      <c r="B60" s="9">
        <v>51</v>
      </c>
      <c r="C60" s="9" t="s">
        <v>1698</v>
      </c>
      <c r="D60" s="9" t="s">
        <v>24</v>
      </c>
      <c r="E60" s="9" t="s">
        <v>25</v>
      </c>
      <c r="F60" s="9" t="s">
        <v>47</v>
      </c>
      <c r="G60" s="10" t="s">
        <v>27</v>
      </c>
      <c r="H60" s="13"/>
    </row>
    <row r="61" spans="1:13" ht="12.75" x14ac:dyDescent="0.2">
      <c r="A61" s="52"/>
      <c r="B61" s="9">
        <v>51</v>
      </c>
      <c r="C61" s="9" t="s">
        <v>1699</v>
      </c>
      <c r="D61" s="9" t="s">
        <v>24</v>
      </c>
      <c r="E61" s="9" t="s">
        <v>31</v>
      </c>
      <c r="F61" s="9" t="s">
        <v>26</v>
      </c>
      <c r="G61" s="10" t="s">
        <v>27</v>
      </c>
      <c r="H61" s="13"/>
    </row>
    <row r="62" spans="1:13" ht="12.75" x14ac:dyDescent="0.2">
      <c r="A62" s="52"/>
      <c r="B62" s="9">
        <v>51</v>
      </c>
      <c r="C62" s="9" t="s">
        <v>1700</v>
      </c>
      <c r="D62" s="9" t="s">
        <v>24</v>
      </c>
      <c r="E62" s="9" t="s">
        <v>31</v>
      </c>
      <c r="F62" s="9" t="s">
        <v>26</v>
      </c>
      <c r="G62" s="10" t="s">
        <v>27</v>
      </c>
      <c r="H62" s="13"/>
    </row>
    <row r="63" spans="1:13" ht="12.75" x14ac:dyDescent="0.2">
      <c r="A63" s="52"/>
      <c r="B63" s="9">
        <v>51</v>
      </c>
      <c r="C63" s="9" t="s">
        <v>1692</v>
      </c>
      <c r="D63" s="9" t="s">
        <v>24</v>
      </c>
      <c r="E63" s="9" t="s">
        <v>31</v>
      </c>
      <c r="F63" s="9" t="s">
        <v>26</v>
      </c>
      <c r="G63" s="10" t="s">
        <v>27</v>
      </c>
      <c r="H63" s="13"/>
    </row>
    <row r="64" spans="1:13" ht="12.75" x14ac:dyDescent="0.2">
      <c r="A64" s="52"/>
      <c r="B64" s="9">
        <v>51</v>
      </c>
      <c r="C64" s="9" t="s">
        <v>1701</v>
      </c>
      <c r="D64" s="9" t="s">
        <v>24</v>
      </c>
      <c r="E64" s="9" t="s">
        <v>31</v>
      </c>
      <c r="F64" s="9" t="s">
        <v>26</v>
      </c>
      <c r="G64" s="10" t="s">
        <v>27</v>
      </c>
      <c r="H64" s="13"/>
    </row>
    <row r="65" spans="1:8" ht="12.75" x14ac:dyDescent="0.2">
      <c r="A65" s="52"/>
      <c r="B65" s="9">
        <v>51</v>
      </c>
      <c r="C65" s="9" t="s">
        <v>1702</v>
      </c>
      <c r="D65" s="9" t="s">
        <v>24</v>
      </c>
      <c r="E65" s="9" t="s">
        <v>31</v>
      </c>
      <c r="F65" s="9" t="s">
        <v>26</v>
      </c>
      <c r="G65" s="10" t="s">
        <v>27</v>
      </c>
      <c r="H65" s="13"/>
    </row>
    <row r="66" spans="1:8" ht="12.75" x14ac:dyDescent="0.2">
      <c r="A66" s="52"/>
      <c r="B66" s="9">
        <v>51</v>
      </c>
      <c r="C66" s="9" t="s">
        <v>1703</v>
      </c>
      <c r="D66" s="9" t="s">
        <v>24</v>
      </c>
      <c r="E66" s="9" t="s">
        <v>31</v>
      </c>
      <c r="F66" s="9" t="s">
        <v>26</v>
      </c>
      <c r="G66" s="10" t="s">
        <v>27</v>
      </c>
      <c r="H66" s="13"/>
    </row>
    <row r="67" spans="1:8" ht="12.75" x14ac:dyDescent="0.2">
      <c r="A67" s="52"/>
      <c r="B67" s="9">
        <v>51</v>
      </c>
      <c r="C67" s="9" t="s">
        <v>1704</v>
      </c>
      <c r="D67" s="9" t="s">
        <v>24</v>
      </c>
      <c r="E67" s="9" t="s">
        <v>31</v>
      </c>
      <c r="F67" s="9" t="s">
        <v>26</v>
      </c>
      <c r="G67" s="10" t="s">
        <v>27</v>
      </c>
      <c r="H67" s="13"/>
    </row>
    <row r="68" spans="1:8" ht="12.75" x14ac:dyDescent="0.2">
      <c r="A68" s="52"/>
      <c r="B68" s="9">
        <v>51</v>
      </c>
      <c r="C68" s="9" t="s">
        <v>1705</v>
      </c>
      <c r="D68" s="9" t="s">
        <v>24</v>
      </c>
      <c r="E68" s="9" t="s">
        <v>31</v>
      </c>
      <c r="F68" s="9" t="s">
        <v>26</v>
      </c>
      <c r="G68" s="10" t="s">
        <v>27</v>
      </c>
      <c r="H68" s="13"/>
    </row>
    <row r="69" spans="1:8" ht="12.75" x14ac:dyDescent="0.2">
      <c r="A69" s="53"/>
      <c r="B69" s="9">
        <v>51</v>
      </c>
      <c r="C69" s="9" t="s">
        <v>1706</v>
      </c>
      <c r="D69" s="9" t="s">
        <v>24</v>
      </c>
      <c r="E69" s="9" t="s">
        <v>31</v>
      </c>
      <c r="F69" s="9" t="s">
        <v>26</v>
      </c>
      <c r="G69" s="10" t="s">
        <v>27</v>
      </c>
      <c r="H69" s="13"/>
    </row>
    <row r="70" spans="1:8" ht="12.75" x14ac:dyDescent="0.2">
      <c r="A70" s="48" t="s">
        <v>46</v>
      </c>
      <c r="B70" s="9">
        <v>51</v>
      </c>
      <c r="C70" s="9" t="s">
        <v>1584</v>
      </c>
      <c r="D70" s="9" t="s">
        <v>24</v>
      </c>
      <c r="E70" s="9" t="s">
        <v>25</v>
      </c>
      <c r="F70" s="9" t="s">
        <v>26</v>
      </c>
      <c r="G70" s="10" t="s">
        <v>27</v>
      </c>
      <c r="H70" s="13"/>
    </row>
    <row r="71" spans="1:8" ht="12.75" x14ac:dyDescent="0.2">
      <c r="A71" s="52"/>
      <c r="B71" s="9">
        <v>51</v>
      </c>
      <c r="C71" s="9" t="s">
        <v>1669</v>
      </c>
      <c r="D71" s="9" t="s">
        <v>24</v>
      </c>
      <c r="E71" s="9" t="s">
        <v>25</v>
      </c>
      <c r="F71" s="9" t="s">
        <v>26</v>
      </c>
      <c r="G71" s="10" t="s">
        <v>27</v>
      </c>
      <c r="H71" s="13"/>
    </row>
    <row r="72" spans="1:8" ht="12.75" x14ac:dyDescent="0.2">
      <c r="A72" s="52"/>
      <c r="B72" s="9">
        <v>51</v>
      </c>
      <c r="C72" s="9" t="s">
        <v>1707</v>
      </c>
      <c r="D72" s="9" t="s">
        <v>24</v>
      </c>
      <c r="E72" s="9" t="s">
        <v>25</v>
      </c>
      <c r="F72" s="9" t="s">
        <v>26</v>
      </c>
      <c r="G72" s="10" t="s">
        <v>27</v>
      </c>
      <c r="H72" s="13"/>
    </row>
    <row r="73" spans="1:8" ht="12.75" x14ac:dyDescent="0.2">
      <c r="A73" s="52"/>
      <c r="B73" s="9">
        <v>51</v>
      </c>
      <c r="C73" s="9" t="s">
        <v>1695</v>
      </c>
      <c r="D73" s="9" t="s">
        <v>24</v>
      </c>
      <c r="E73" s="9" t="s">
        <v>25</v>
      </c>
      <c r="F73" s="9" t="s">
        <v>26</v>
      </c>
      <c r="G73" s="10" t="s">
        <v>27</v>
      </c>
      <c r="H73" s="13"/>
    </row>
    <row r="74" spans="1:8" ht="12.75" x14ac:dyDescent="0.2">
      <c r="A74" s="52"/>
      <c r="B74" s="9">
        <v>51</v>
      </c>
      <c r="C74" s="9" t="s">
        <v>1671</v>
      </c>
      <c r="D74" s="9" t="s">
        <v>24</v>
      </c>
      <c r="E74" s="9" t="s">
        <v>25</v>
      </c>
      <c r="F74" s="9" t="s">
        <v>26</v>
      </c>
      <c r="G74" s="10" t="s">
        <v>27</v>
      </c>
      <c r="H74" s="13"/>
    </row>
    <row r="75" spans="1:8" ht="12.75" x14ac:dyDescent="0.2">
      <c r="A75" s="52"/>
      <c r="B75" s="9">
        <v>51</v>
      </c>
      <c r="C75" s="9" t="s">
        <v>1689</v>
      </c>
      <c r="D75" s="9" t="s">
        <v>24</v>
      </c>
      <c r="E75" s="9" t="s">
        <v>25</v>
      </c>
      <c r="F75" s="9" t="s">
        <v>26</v>
      </c>
      <c r="G75" s="10" t="s">
        <v>27</v>
      </c>
      <c r="H75" s="13"/>
    </row>
    <row r="76" spans="1:8" ht="12.75" x14ac:dyDescent="0.2">
      <c r="A76" s="52"/>
      <c r="B76" s="9">
        <v>51</v>
      </c>
      <c r="C76" s="9" t="s">
        <v>1708</v>
      </c>
      <c r="D76" s="9" t="s">
        <v>24</v>
      </c>
      <c r="E76" s="9" t="s">
        <v>25</v>
      </c>
      <c r="F76" s="9" t="s">
        <v>26</v>
      </c>
      <c r="G76" s="10" t="s">
        <v>27</v>
      </c>
      <c r="H76" s="13"/>
    </row>
    <row r="77" spans="1:8" ht="12.75" x14ac:dyDescent="0.2">
      <c r="A77" s="52"/>
      <c r="B77" s="9">
        <v>51</v>
      </c>
      <c r="C77" s="9" t="s">
        <v>1697</v>
      </c>
      <c r="D77" s="9" t="s">
        <v>24</v>
      </c>
      <c r="E77" s="9" t="s">
        <v>25</v>
      </c>
      <c r="F77" s="9" t="s">
        <v>26</v>
      </c>
      <c r="G77" s="10" t="s">
        <v>27</v>
      </c>
      <c r="H77" s="13"/>
    </row>
    <row r="78" spans="1:8" ht="12.75" x14ac:dyDescent="0.2">
      <c r="A78" s="52"/>
      <c r="B78" s="9">
        <v>51</v>
      </c>
      <c r="C78" s="9" t="s">
        <v>1709</v>
      </c>
      <c r="D78" s="9" t="s">
        <v>24</v>
      </c>
      <c r="E78" s="9" t="s">
        <v>25</v>
      </c>
      <c r="F78" s="9" t="s">
        <v>47</v>
      </c>
      <c r="G78" s="10" t="s">
        <v>27</v>
      </c>
      <c r="H78" s="13"/>
    </row>
    <row r="79" spans="1:8" ht="12.75" x14ac:dyDescent="0.2">
      <c r="A79" s="52"/>
      <c r="B79" s="9">
        <v>51</v>
      </c>
      <c r="C79" s="9" t="s">
        <v>1710</v>
      </c>
      <c r="D79" s="9" t="s">
        <v>24</v>
      </c>
      <c r="E79" s="9" t="s">
        <v>25</v>
      </c>
      <c r="F79" s="9" t="s">
        <v>47</v>
      </c>
      <c r="G79" s="10" t="s">
        <v>27</v>
      </c>
      <c r="H79" s="13"/>
    </row>
    <row r="80" spans="1:8" ht="12.75" x14ac:dyDescent="0.2">
      <c r="A80" s="52"/>
      <c r="B80" s="9">
        <v>51</v>
      </c>
      <c r="C80" s="9" t="s">
        <v>1676</v>
      </c>
      <c r="D80" s="9" t="s">
        <v>24</v>
      </c>
      <c r="E80" s="9" t="s">
        <v>25</v>
      </c>
      <c r="F80" s="9" t="s">
        <v>26</v>
      </c>
      <c r="G80" s="10" t="s">
        <v>27</v>
      </c>
      <c r="H80" s="13"/>
    </row>
    <row r="81" spans="1:8" ht="12.75" x14ac:dyDescent="0.2">
      <c r="A81" s="52"/>
      <c r="B81" s="9">
        <v>51</v>
      </c>
      <c r="C81" s="9" t="s">
        <v>1698</v>
      </c>
      <c r="D81" s="9" t="s">
        <v>24</v>
      </c>
      <c r="E81" s="9" t="s">
        <v>25</v>
      </c>
      <c r="F81" s="9" t="s">
        <v>26</v>
      </c>
      <c r="G81" s="10" t="s">
        <v>27</v>
      </c>
      <c r="H81" s="13"/>
    </row>
    <row r="82" spans="1:8" ht="12.75" x14ac:dyDescent="0.2">
      <c r="A82" s="52"/>
      <c r="B82" s="9">
        <v>51</v>
      </c>
      <c r="C82" s="9" t="s">
        <v>1699</v>
      </c>
      <c r="D82" s="9" t="s">
        <v>24</v>
      </c>
      <c r="E82" s="9" t="s">
        <v>25</v>
      </c>
      <c r="F82" s="9" t="s">
        <v>26</v>
      </c>
      <c r="G82" s="10" t="s">
        <v>27</v>
      </c>
      <c r="H82" s="13"/>
    </row>
    <row r="83" spans="1:8" ht="12.75" x14ac:dyDescent="0.2">
      <c r="A83" s="53"/>
      <c r="B83" s="9">
        <v>51</v>
      </c>
      <c r="C83" s="9" t="s">
        <v>1701</v>
      </c>
      <c r="D83" s="9" t="s">
        <v>24</v>
      </c>
      <c r="E83" s="9" t="s">
        <v>25</v>
      </c>
      <c r="F83" s="9" t="s">
        <v>26</v>
      </c>
      <c r="G83" s="10" t="s">
        <v>27</v>
      </c>
      <c r="H83" s="13"/>
    </row>
    <row r="84" spans="1:8" ht="12.75" x14ac:dyDescent="0.2">
      <c r="A84" s="48" t="s">
        <v>49</v>
      </c>
      <c r="B84" s="9">
        <v>51</v>
      </c>
      <c r="C84" s="9" t="s">
        <v>1711</v>
      </c>
      <c r="D84" s="9" t="s">
        <v>24</v>
      </c>
      <c r="E84" s="9" t="s">
        <v>25</v>
      </c>
      <c r="F84" s="9" t="s">
        <v>26</v>
      </c>
      <c r="G84" s="10" t="s">
        <v>27</v>
      </c>
      <c r="H84" s="13"/>
    </row>
    <row r="85" spans="1:8" ht="12.75" x14ac:dyDescent="0.2">
      <c r="A85" s="52"/>
      <c r="B85" s="9">
        <v>51</v>
      </c>
      <c r="C85" s="9" t="s">
        <v>1699</v>
      </c>
      <c r="D85" s="9" t="s">
        <v>24</v>
      </c>
      <c r="E85" s="9" t="s">
        <v>25</v>
      </c>
      <c r="F85" s="9" t="s">
        <v>26</v>
      </c>
      <c r="G85" s="10" t="s">
        <v>27</v>
      </c>
      <c r="H85" s="13"/>
    </row>
    <row r="86" spans="1:8" ht="12.75" x14ac:dyDescent="0.2">
      <c r="A86" s="52"/>
      <c r="B86" s="9">
        <v>51</v>
      </c>
      <c r="C86" s="9" t="s">
        <v>1712</v>
      </c>
      <c r="D86" s="9" t="s">
        <v>24</v>
      </c>
      <c r="E86" s="9" t="s">
        <v>25</v>
      </c>
      <c r="F86" s="9" t="s">
        <v>26</v>
      </c>
      <c r="G86" s="10" t="s">
        <v>27</v>
      </c>
      <c r="H86" s="13"/>
    </row>
    <row r="87" spans="1:8" ht="12.75" x14ac:dyDescent="0.2">
      <c r="A87" s="52"/>
      <c r="B87" s="9">
        <v>51</v>
      </c>
      <c r="C87" s="9" t="s">
        <v>1713</v>
      </c>
      <c r="D87" s="9" t="s">
        <v>24</v>
      </c>
      <c r="E87" s="9" t="s">
        <v>25</v>
      </c>
      <c r="F87" s="9" t="s">
        <v>26</v>
      </c>
      <c r="G87" s="10" t="s">
        <v>27</v>
      </c>
      <c r="H87" s="13"/>
    </row>
    <row r="88" spans="1:8" ht="12.75" x14ac:dyDescent="0.2">
      <c r="A88" s="53"/>
      <c r="B88" s="9">
        <v>51</v>
      </c>
      <c r="C88" s="9" t="s">
        <v>1714</v>
      </c>
      <c r="D88" s="9" t="s">
        <v>24</v>
      </c>
      <c r="E88" s="9" t="s">
        <v>25</v>
      </c>
      <c r="F88" s="9" t="s">
        <v>26</v>
      </c>
      <c r="G88" s="10" t="s">
        <v>27</v>
      </c>
      <c r="H88" s="13"/>
    </row>
    <row r="89" spans="1:8" ht="12.75" x14ac:dyDescent="0.2">
      <c r="A89" s="48" t="s">
        <v>52</v>
      </c>
      <c r="B89" s="9">
        <v>51</v>
      </c>
      <c r="C89" s="9" t="s">
        <v>1715</v>
      </c>
      <c r="D89" s="9" t="s">
        <v>24</v>
      </c>
      <c r="E89" s="9" t="s">
        <v>31</v>
      </c>
      <c r="F89" s="9" t="s">
        <v>47</v>
      </c>
      <c r="G89" s="10" t="s">
        <v>27</v>
      </c>
      <c r="H89" s="13"/>
    </row>
    <row r="90" spans="1:8" ht="12.75" x14ac:dyDescent="0.2">
      <c r="A90" s="52"/>
      <c r="B90" s="9">
        <v>51</v>
      </c>
      <c r="C90" s="9" t="s">
        <v>1671</v>
      </c>
      <c r="D90" s="9" t="s">
        <v>24</v>
      </c>
      <c r="E90" s="9" t="s">
        <v>31</v>
      </c>
      <c r="F90" s="9" t="s">
        <v>47</v>
      </c>
      <c r="G90" s="10" t="s">
        <v>27</v>
      </c>
      <c r="H90" s="13"/>
    </row>
    <row r="91" spans="1:8" ht="12.75" x14ac:dyDescent="0.2">
      <c r="A91" s="52"/>
      <c r="B91" s="9">
        <v>51</v>
      </c>
      <c r="C91" s="9" t="s">
        <v>1716</v>
      </c>
      <c r="D91" s="9" t="s">
        <v>24</v>
      </c>
      <c r="E91" s="9" t="s">
        <v>31</v>
      </c>
      <c r="F91" s="9" t="s">
        <v>47</v>
      </c>
      <c r="G91" s="10" t="s">
        <v>27</v>
      </c>
      <c r="H91" s="13"/>
    </row>
    <row r="92" spans="1:8" ht="12.75" x14ac:dyDescent="0.2">
      <c r="A92" s="52"/>
      <c r="B92" s="9">
        <v>51</v>
      </c>
      <c r="C92" s="9" t="s">
        <v>1717</v>
      </c>
      <c r="D92" s="9" t="s">
        <v>24</v>
      </c>
      <c r="E92" s="9" t="s">
        <v>31</v>
      </c>
      <c r="F92" s="9" t="s">
        <v>47</v>
      </c>
      <c r="G92" s="10" t="s">
        <v>27</v>
      </c>
      <c r="H92" s="13"/>
    </row>
    <row r="93" spans="1:8" ht="12.75" x14ac:dyDescent="0.2">
      <c r="A93" s="52"/>
      <c r="B93" s="9">
        <v>51</v>
      </c>
      <c r="C93" s="9" t="s">
        <v>1718</v>
      </c>
      <c r="D93" s="9" t="s">
        <v>24</v>
      </c>
      <c r="E93" s="9" t="s">
        <v>31</v>
      </c>
      <c r="F93" s="9" t="s">
        <v>47</v>
      </c>
      <c r="G93" s="10" t="s">
        <v>27</v>
      </c>
      <c r="H93" s="13"/>
    </row>
    <row r="94" spans="1:8" ht="12.75" x14ac:dyDescent="0.2">
      <c r="A94" s="52"/>
      <c r="B94" s="9">
        <v>51</v>
      </c>
      <c r="C94" s="9" t="s">
        <v>1699</v>
      </c>
      <c r="D94" s="9" t="s">
        <v>24</v>
      </c>
      <c r="E94" s="9" t="s">
        <v>31</v>
      </c>
      <c r="F94" s="9" t="s">
        <v>47</v>
      </c>
      <c r="G94" s="10" t="s">
        <v>27</v>
      </c>
      <c r="H94" s="13"/>
    </row>
    <row r="95" spans="1:8" ht="12.75" x14ac:dyDescent="0.2">
      <c r="A95" s="52"/>
      <c r="B95" s="9">
        <v>51</v>
      </c>
      <c r="C95" s="9" t="s">
        <v>1692</v>
      </c>
      <c r="D95" s="9" t="s">
        <v>24</v>
      </c>
      <c r="E95" s="9" t="s">
        <v>31</v>
      </c>
      <c r="F95" s="9" t="s">
        <v>47</v>
      </c>
      <c r="G95" s="10" t="s">
        <v>27</v>
      </c>
      <c r="H95" s="13"/>
    </row>
    <row r="96" spans="1:8" ht="12.75" x14ac:dyDescent="0.2">
      <c r="A96" s="52"/>
      <c r="B96" s="9">
        <v>51</v>
      </c>
      <c r="C96" s="9" t="s">
        <v>1719</v>
      </c>
      <c r="D96" s="9" t="s">
        <v>24</v>
      </c>
      <c r="E96" s="9" t="s">
        <v>31</v>
      </c>
      <c r="F96" s="9" t="s">
        <v>47</v>
      </c>
      <c r="G96" s="10" t="s">
        <v>27</v>
      </c>
      <c r="H96" s="13"/>
    </row>
    <row r="97" spans="1:8" ht="12.75" x14ac:dyDescent="0.2">
      <c r="A97" s="52"/>
      <c r="B97" s="9">
        <v>51</v>
      </c>
      <c r="C97" s="9" t="s">
        <v>1702</v>
      </c>
      <c r="D97" s="9" t="s">
        <v>24</v>
      </c>
      <c r="E97" s="9" t="s">
        <v>31</v>
      </c>
      <c r="F97" s="9" t="s">
        <v>47</v>
      </c>
      <c r="G97" s="10" t="s">
        <v>27</v>
      </c>
      <c r="H97" s="13"/>
    </row>
    <row r="98" spans="1:8" ht="12.75" x14ac:dyDescent="0.2">
      <c r="A98" s="52"/>
      <c r="B98" s="9">
        <v>51</v>
      </c>
      <c r="C98" s="9" t="s">
        <v>1720</v>
      </c>
      <c r="D98" s="9" t="s">
        <v>24</v>
      </c>
      <c r="E98" s="9" t="s">
        <v>31</v>
      </c>
      <c r="F98" s="9" t="s">
        <v>47</v>
      </c>
      <c r="G98" s="10" t="s">
        <v>27</v>
      </c>
      <c r="H98" s="13"/>
    </row>
    <row r="99" spans="1:8" ht="12.75" x14ac:dyDescent="0.2">
      <c r="A99" s="52"/>
      <c r="B99" s="9">
        <v>51</v>
      </c>
      <c r="C99" s="9" t="s">
        <v>1709</v>
      </c>
      <c r="D99" s="9" t="s">
        <v>24</v>
      </c>
      <c r="E99" s="9" t="s">
        <v>31</v>
      </c>
      <c r="F99" s="9" t="s">
        <v>47</v>
      </c>
      <c r="G99" s="10" t="s">
        <v>27</v>
      </c>
      <c r="H99" s="13"/>
    </row>
    <row r="100" spans="1:8" ht="12.75" x14ac:dyDescent="0.2">
      <c r="A100" s="53"/>
      <c r="B100" s="9">
        <v>51</v>
      </c>
      <c r="C100" s="9" t="s">
        <v>1721</v>
      </c>
      <c r="D100" s="9" t="s">
        <v>30</v>
      </c>
      <c r="E100" s="9" t="s">
        <v>31</v>
      </c>
      <c r="F100" s="9" t="s">
        <v>47</v>
      </c>
      <c r="G100" s="10" t="s">
        <v>27</v>
      </c>
      <c r="H100" s="13"/>
    </row>
    <row r="101" spans="1:8" ht="12.75" x14ac:dyDescent="0.2">
      <c r="A101" s="48" t="s">
        <v>59</v>
      </c>
      <c r="B101" s="9">
        <v>51</v>
      </c>
      <c r="C101" s="9" t="s">
        <v>1722</v>
      </c>
      <c r="D101" s="9" t="s">
        <v>24</v>
      </c>
      <c r="E101" s="9" t="s">
        <v>31</v>
      </c>
      <c r="F101" s="9" t="s">
        <v>26</v>
      </c>
      <c r="G101" s="10" t="s">
        <v>27</v>
      </c>
      <c r="H101" s="13"/>
    </row>
    <row r="102" spans="1:8" ht="12.75" x14ac:dyDescent="0.2">
      <c r="A102" s="52"/>
      <c r="B102" s="9">
        <v>51</v>
      </c>
      <c r="C102" s="9" t="s">
        <v>1699</v>
      </c>
      <c r="D102" s="9" t="s">
        <v>24</v>
      </c>
      <c r="E102" s="9" t="s">
        <v>25</v>
      </c>
      <c r="F102" s="9" t="s">
        <v>26</v>
      </c>
      <c r="G102" s="10" t="s">
        <v>27</v>
      </c>
      <c r="H102" s="13"/>
    </row>
    <row r="103" spans="1:8" ht="12.75" x14ac:dyDescent="0.2">
      <c r="A103" s="52"/>
      <c r="B103" s="9">
        <v>51</v>
      </c>
      <c r="C103" s="9" t="s">
        <v>1692</v>
      </c>
      <c r="D103" s="9" t="s">
        <v>24</v>
      </c>
      <c r="E103" s="9" t="s">
        <v>31</v>
      </c>
      <c r="F103" s="9" t="s">
        <v>26</v>
      </c>
      <c r="G103" s="10" t="s">
        <v>27</v>
      </c>
      <c r="H103" s="13"/>
    </row>
    <row r="104" spans="1:8" ht="12.75" x14ac:dyDescent="0.2">
      <c r="A104" s="52"/>
      <c r="B104" s="9">
        <v>51</v>
      </c>
      <c r="C104" s="9" t="s">
        <v>1723</v>
      </c>
      <c r="D104" s="9" t="s">
        <v>24</v>
      </c>
      <c r="E104" s="9" t="s">
        <v>31</v>
      </c>
      <c r="F104" s="9" t="s">
        <v>26</v>
      </c>
      <c r="G104" s="10" t="s">
        <v>27</v>
      </c>
      <c r="H104" s="13"/>
    </row>
    <row r="105" spans="1:8" ht="12.75" x14ac:dyDescent="0.2">
      <c r="A105" s="53"/>
      <c r="B105" s="9">
        <v>51</v>
      </c>
      <c r="C105" s="9" t="s">
        <v>1669</v>
      </c>
      <c r="D105" s="9" t="s">
        <v>24</v>
      </c>
      <c r="E105" s="9" t="s">
        <v>31</v>
      </c>
      <c r="F105" s="9" t="s">
        <v>26</v>
      </c>
      <c r="G105" s="10" t="s">
        <v>27</v>
      </c>
      <c r="H105" s="13"/>
    </row>
    <row r="106" spans="1:8" ht="12.75" x14ac:dyDescent="0.2">
      <c r="A106" s="48" t="s">
        <v>101</v>
      </c>
      <c r="B106" s="9">
        <v>51</v>
      </c>
      <c r="C106" s="9" t="s">
        <v>1724</v>
      </c>
      <c r="D106" s="9" t="s">
        <v>24</v>
      </c>
      <c r="E106" s="9" t="s">
        <v>31</v>
      </c>
      <c r="F106" s="9" t="s">
        <v>26</v>
      </c>
      <c r="G106" s="10" t="s">
        <v>27</v>
      </c>
      <c r="H106" s="13"/>
    </row>
    <row r="107" spans="1:8" ht="12.75" x14ac:dyDescent="0.2">
      <c r="A107" s="52"/>
      <c r="B107" s="9">
        <v>51</v>
      </c>
      <c r="C107" s="9" t="s">
        <v>1725</v>
      </c>
      <c r="D107" s="9" t="s">
        <v>24</v>
      </c>
      <c r="E107" s="9" t="s">
        <v>31</v>
      </c>
      <c r="F107" s="9" t="s">
        <v>26</v>
      </c>
      <c r="G107" s="10" t="s">
        <v>27</v>
      </c>
      <c r="H107" s="13"/>
    </row>
    <row r="108" spans="1:8" ht="12.75" x14ac:dyDescent="0.2">
      <c r="A108" s="52"/>
      <c r="B108" s="9">
        <v>51</v>
      </c>
      <c r="C108" s="9" t="s">
        <v>1726</v>
      </c>
      <c r="D108" s="9" t="s">
        <v>24</v>
      </c>
      <c r="E108" s="9" t="s">
        <v>31</v>
      </c>
      <c r="F108" s="9" t="s">
        <v>26</v>
      </c>
      <c r="G108" s="10" t="s">
        <v>27</v>
      </c>
      <c r="H108" s="13"/>
    </row>
    <row r="109" spans="1:8" ht="12.75" x14ac:dyDescent="0.2">
      <c r="A109" s="52"/>
      <c r="B109" s="9">
        <v>51</v>
      </c>
      <c r="C109" s="9" t="s">
        <v>1727</v>
      </c>
      <c r="D109" s="9" t="s">
        <v>24</v>
      </c>
      <c r="E109" s="9" t="s">
        <v>31</v>
      </c>
      <c r="F109" s="9" t="s">
        <v>26</v>
      </c>
      <c r="G109" s="10" t="s">
        <v>27</v>
      </c>
      <c r="H109" s="13"/>
    </row>
    <row r="110" spans="1:8" ht="12.75" x14ac:dyDescent="0.2">
      <c r="A110" s="52"/>
      <c r="B110" s="9">
        <v>51</v>
      </c>
      <c r="C110" s="9" t="s">
        <v>1728</v>
      </c>
      <c r="D110" s="9" t="s">
        <v>24</v>
      </c>
      <c r="E110" s="9" t="s">
        <v>31</v>
      </c>
      <c r="F110" s="9" t="s">
        <v>26</v>
      </c>
      <c r="G110" s="10" t="s">
        <v>27</v>
      </c>
      <c r="H110" s="13"/>
    </row>
    <row r="111" spans="1:8" ht="12.75" x14ac:dyDescent="0.2">
      <c r="A111" s="52"/>
      <c r="B111" s="9">
        <v>51</v>
      </c>
      <c r="C111" s="9" t="s">
        <v>1729</v>
      </c>
      <c r="D111" s="9" t="s">
        <v>24</v>
      </c>
      <c r="E111" s="9" t="s">
        <v>31</v>
      </c>
      <c r="F111" s="9" t="s">
        <v>26</v>
      </c>
      <c r="G111" s="10" t="s">
        <v>27</v>
      </c>
      <c r="H111" s="13"/>
    </row>
    <row r="112" spans="1:8" ht="12.75" x14ac:dyDescent="0.2">
      <c r="A112" s="52"/>
      <c r="B112" s="9">
        <v>51</v>
      </c>
      <c r="C112" s="9" t="s">
        <v>1730</v>
      </c>
      <c r="D112" s="9" t="s">
        <v>24</v>
      </c>
      <c r="E112" s="9" t="s">
        <v>25</v>
      </c>
      <c r="F112" s="9" t="s">
        <v>47</v>
      </c>
      <c r="G112" s="10" t="s">
        <v>27</v>
      </c>
      <c r="H112" s="13"/>
    </row>
    <row r="113" spans="1:8" ht="12.75" x14ac:dyDescent="0.2">
      <c r="A113" s="52"/>
      <c r="B113" s="9">
        <v>51</v>
      </c>
      <c r="C113" s="9" t="s">
        <v>1691</v>
      </c>
      <c r="D113" s="9" t="s">
        <v>24</v>
      </c>
      <c r="E113" s="9" t="s">
        <v>25</v>
      </c>
      <c r="F113" s="9" t="s">
        <v>47</v>
      </c>
      <c r="G113" s="10" t="s">
        <v>27</v>
      </c>
      <c r="H113" s="13"/>
    </row>
    <row r="114" spans="1:8" ht="12.75" x14ac:dyDescent="0.2">
      <c r="A114" s="52"/>
      <c r="B114" s="9">
        <v>51</v>
      </c>
      <c r="C114" s="9" t="s">
        <v>1731</v>
      </c>
      <c r="D114" s="9" t="s">
        <v>24</v>
      </c>
      <c r="E114" s="9" t="s">
        <v>25</v>
      </c>
      <c r="F114" s="9" t="s">
        <v>47</v>
      </c>
      <c r="G114" s="10" t="s">
        <v>27</v>
      </c>
      <c r="H114" s="13"/>
    </row>
    <row r="115" spans="1:8" ht="12.75" x14ac:dyDescent="0.2">
      <c r="A115" s="52"/>
      <c r="B115" s="9">
        <v>51</v>
      </c>
      <c r="C115" s="9" t="s">
        <v>1732</v>
      </c>
      <c r="D115" s="9" t="s">
        <v>24</v>
      </c>
      <c r="E115" s="9" t="s">
        <v>25</v>
      </c>
      <c r="F115" s="9" t="s">
        <v>47</v>
      </c>
      <c r="G115" s="10" t="s">
        <v>27</v>
      </c>
      <c r="H115" s="13"/>
    </row>
    <row r="116" spans="1:8" ht="12.75" x14ac:dyDescent="0.2">
      <c r="A116" s="52"/>
      <c r="B116" s="9">
        <v>51</v>
      </c>
      <c r="C116" s="9" t="s">
        <v>1733</v>
      </c>
      <c r="D116" s="9" t="s">
        <v>24</v>
      </c>
      <c r="E116" s="9" t="s">
        <v>25</v>
      </c>
      <c r="F116" s="9" t="s">
        <v>47</v>
      </c>
      <c r="G116" s="10" t="s">
        <v>27</v>
      </c>
      <c r="H116" s="13"/>
    </row>
    <row r="117" spans="1:8" ht="12.75" x14ac:dyDescent="0.2">
      <c r="A117" s="52"/>
      <c r="B117" s="9">
        <v>51</v>
      </c>
      <c r="C117" s="9" t="s">
        <v>1699</v>
      </c>
      <c r="D117" s="9" t="s">
        <v>24</v>
      </c>
      <c r="E117" s="9" t="s">
        <v>31</v>
      </c>
      <c r="F117" s="9" t="s">
        <v>26</v>
      </c>
      <c r="G117" s="10" t="s">
        <v>27</v>
      </c>
      <c r="H117" s="13"/>
    </row>
    <row r="118" spans="1:8" ht="12.75" x14ac:dyDescent="0.2">
      <c r="A118" s="52"/>
      <c r="B118" s="9">
        <v>51</v>
      </c>
      <c r="C118" s="9" t="s">
        <v>1734</v>
      </c>
      <c r="D118" s="9" t="s">
        <v>24</v>
      </c>
      <c r="E118" s="9" t="s">
        <v>31</v>
      </c>
      <c r="F118" s="9" t="s">
        <v>26</v>
      </c>
      <c r="G118" s="10" t="s">
        <v>27</v>
      </c>
      <c r="H118" s="13"/>
    </row>
    <row r="119" spans="1:8" ht="12.75" x14ac:dyDescent="0.2">
      <c r="A119" s="52"/>
      <c r="B119" s="9">
        <v>51</v>
      </c>
      <c r="C119" s="9" t="s">
        <v>1692</v>
      </c>
      <c r="D119" s="9" t="s">
        <v>24</v>
      </c>
      <c r="E119" s="9" t="s">
        <v>31</v>
      </c>
      <c r="F119" s="9" t="s">
        <v>26</v>
      </c>
      <c r="G119" s="10" t="s">
        <v>27</v>
      </c>
      <c r="H119" s="13"/>
    </row>
    <row r="120" spans="1:8" ht="12.75" x14ac:dyDescent="0.2">
      <c r="A120" s="52"/>
      <c r="B120" s="9">
        <v>51</v>
      </c>
      <c r="C120" s="9" t="s">
        <v>1735</v>
      </c>
      <c r="D120" s="9" t="s">
        <v>24</v>
      </c>
      <c r="E120" s="9" t="s">
        <v>31</v>
      </c>
      <c r="F120" s="9" t="s">
        <v>26</v>
      </c>
      <c r="G120" s="10" t="s">
        <v>27</v>
      </c>
      <c r="H120" s="13"/>
    </row>
    <row r="121" spans="1:8" ht="12.75" x14ac:dyDescent="0.2">
      <c r="A121" s="52"/>
      <c r="B121" s="9">
        <v>51</v>
      </c>
      <c r="C121" s="9" t="s">
        <v>1736</v>
      </c>
      <c r="D121" s="9" t="s">
        <v>24</v>
      </c>
      <c r="E121" s="9" t="s">
        <v>31</v>
      </c>
      <c r="F121" s="9" t="s">
        <v>26</v>
      </c>
      <c r="G121" s="10" t="s">
        <v>27</v>
      </c>
      <c r="H121" s="13"/>
    </row>
    <row r="122" spans="1:8" ht="12.75" x14ac:dyDescent="0.2">
      <c r="A122" s="52"/>
      <c r="B122" s="9">
        <v>51</v>
      </c>
      <c r="C122" s="9" t="s">
        <v>1702</v>
      </c>
      <c r="D122" s="9" t="s">
        <v>24</v>
      </c>
      <c r="E122" s="9" t="s">
        <v>31</v>
      </c>
      <c r="F122" s="9" t="s">
        <v>26</v>
      </c>
      <c r="G122" s="10" t="s">
        <v>27</v>
      </c>
      <c r="H122" s="13"/>
    </row>
    <row r="123" spans="1:8" ht="12.75" x14ac:dyDescent="0.2">
      <c r="A123" s="53"/>
      <c r="B123" s="9">
        <v>51</v>
      </c>
      <c r="C123" s="9" t="s">
        <v>1722</v>
      </c>
      <c r="D123" s="9" t="s">
        <v>24</v>
      </c>
      <c r="E123" s="9" t="s">
        <v>31</v>
      </c>
      <c r="F123" s="9" t="s">
        <v>26</v>
      </c>
      <c r="G123" s="10" t="s">
        <v>27</v>
      </c>
      <c r="H123" s="13"/>
    </row>
    <row r="124" spans="1:8" ht="12.75" x14ac:dyDescent="0.2">
      <c r="A124" s="48" t="s">
        <v>62</v>
      </c>
      <c r="B124" s="9">
        <v>51</v>
      </c>
      <c r="C124" s="9" t="s">
        <v>1715</v>
      </c>
      <c r="D124" s="9" t="s">
        <v>24</v>
      </c>
      <c r="E124" s="9" t="s">
        <v>31</v>
      </c>
      <c r="F124" s="9" t="s">
        <v>47</v>
      </c>
      <c r="G124" s="10" t="s">
        <v>27</v>
      </c>
      <c r="H124" s="13"/>
    </row>
    <row r="125" spans="1:8" ht="12.75" x14ac:dyDescent="0.2">
      <c r="A125" s="52"/>
      <c r="B125" s="9">
        <v>51</v>
      </c>
      <c r="C125" s="9" t="s">
        <v>1671</v>
      </c>
      <c r="D125" s="9" t="s">
        <v>24</v>
      </c>
      <c r="E125" s="9" t="s">
        <v>31</v>
      </c>
      <c r="F125" s="9" t="s">
        <v>47</v>
      </c>
      <c r="G125" s="10" t="s">
        <v>27</v>
      </c>
      <c r="H125" s="13"/>
    </row>
    <row r="126" spans="1:8" ht="12.75" x14ac:dyDescent="0.2">
      <c r="A126" s="52"/>
      <c r="B126" s="9">
        <v>51</v>
      </c>
      <c r="C126" s="9" t="s">
        <v>1716</v>
      </c>
      <c r="D126" s="9" t="s">
        <v>24</v>
      </c>
      <c r="E126" s="9" t="s">
        <v>31</v>
      </c>
      <c r="F126" s="9" t="s">
        <v>47</v>
      </c>
      <c r="G126" s="10" t="s">
        <v>27</v>
      </c>
      <c r="H126" s="13"/>
    </row>
    <row r="127" spans="1:8" ht="12.75" x14ac:dyDescent="0.2">
      <c r="A127" s="52"/>
      <c r="B127" s="9">
        <v>51</v>
      </c>
      <c r="C127" s="9" t="s">
        <v>1702</v>
      </c>
      <c r="D127" s="9" t="s">
        <v>24</v>
      </c>
      <c r="E127" s="9" t="s">
        <v>31</v>
      </c>
      <c r="F127" s="9" t="s">
        <v>47</v>
      </c>
      <c r="G127" s="10" t="s">
        <v>27</v>
      </c>
      <c r="H127" s="13"/>
    </row>
    <row r="128" spans="1:8" ht="12.75" x14ac:dyDescent="0.2">
      <c r="A128" s="52"/>
      <c r="B128" s="9">
        <v>51</v>
      </c>
      <c r="C128" s="9" t="s">
        <v>1698</v>
      </c>
      <c r="D128" s="9" t="s">
        <v>24</v>
      </c>
      <c r="E128" s="9" t="s">
        <v>31</v>
      </c>
      <c r="F128" s="9" t="s">
        <v>47</v>
      </c>
      <c r="G128" s="10" t="s">
        <v>27</v>
      </c>
      <c r="H128" s="13"/>
    </row>
    <row r="129" spans="1:8" ht="12.75" x14ac:dyDescent="0.2">
      <c r="A129" s="52"/>
      <c r="B129" s="9">
        <v>51</v>
      </c>
      <c r="C129" s="9" t="s">
        <v>1719</v>
      </c>
      <c r="D129" s="9" t="s">
        <v>24</v>
      </c>
      <c r="E129" s="9" t="s">
        <v>31</v>
      </c>
      <c r="F129" s="9" t="s">
        <v>47</v>
      </c>
      <c r="G129" s="10" t="s">
        <v>27</v>
      </c>
      <c r="H129" s="13"/>
    </row>
    <row r="130" spans="1:8" ht="12.75" x14ac:dyDescent="0.2">
      <c r="A130" s="52"/>
      <c r="B130" s="9">
        <v>51</v>
      </c>
      <c r="C130" s="9" t="s">
        <v>1720</v>
      </c>
      <c r="D130" s="9" t="s">
        <v>24</v>
      </c>
      <c r="E130" s="9" t="s">
        <v>31</v>
      </c>
      <c r="F130" s="9" t="s">
        <v>47</v>
      </c>
      <c r="G130" s="10" t="s">
        <v>27</v>
      </c>
      <c r="H130" s="13"/>
    </row>
    <row r="131" spans="1:8" ht="12.75" x14ac:dyDescent="0.2">
      <c r="A131" s="52"/>
      <c r="B131" s="9">
        <v>51</v>
      </c>
      <c r="C131" s="9" t="s">
        <v>1737</v>
      </c>
      <c r="D131" s="9" t="s">
        <v>24</v>
      </c>
      <c r="E131" s="9" t="s">
        <v>31</v>
      </c>
      <c r="F131" s="9" t="s">
        <v>47</v>
      </c>
      <c r="G131" s="10" t="s">
        <v>27</v>
      </c>
      <c r="H131" s="13"/>
    </row>
    <row r="132" spans="1:8" ht="12.75" x14ac:dyDescent="0.2">
      <c r="A132" s="53"/>
      <c r="B132" s="9">
        <v>51</v>
      </c>
      <c r="C132" s="9" t="s">
        <v>1738</v>
      </c>
      <c r="D132" s="9" t="s">
        <v>24</v>
      </c>
      <c r="E132" s="9" t="s">
        <v>31</v>
      </c>
      <c r="F132" s="9" t="s">
        <v>47</v>
      </c>
      <c r="G132" s="10" t="s">
        <v>27</v>
      </c>
      <c r="H132" s="13"/>
    </row>
    <row r="133" spans="1:8" ht="12.75" x14ac:dyDescent="0.2">
      <c r="A133" s="48" t="s">
        <v>70</v>
      </c>
      <c r="B133" s="9">
        <v>51</v>
      </c>
      <c r="C133" s="9" t="s">
        <v>1739</v>
      </c>
      <c r="D133" s="9" t="s">
        <v>24</v>
      </c>
      <c r="E133" s="9" t="s">
        <v>31</v>
      </c>
      <c r="F133" s="9" t="s">
        <v>26</v>
      </c>
      <c r="G133" s="10" t="s">
        <v>27</v>
      </c>
      <c r="H133" s="13"/>
    </row>
    <row r="134" spans="1:8" ht="12.75" x14ac:dyDescent="0.2">
      <c r="A134" s="52"/>
      <c r="B134" s="9">
        <v>51</v>
      </c>
      <c r="C134" s="9" t="s">
        <v>1669</v>
      </c>
      <c r="D134" s="9" t="s">
        <v>24</v>
      </c>
      <c r="E134" s="9" t="s">
        <v>31</v>
      </c>
      <c r="F134" s="9" t="s">
        <v>26</v>
      </c>
      <c r="G134" s="10" t="s">
        <v>27</v>
      </c>
      <c r="H134" s="13"/>
    </row>
    <row r="135" spans="1:8" ht="12.75" x14ac:dyDescent="0.2">
      <c r="A135" s="52"/>
      <c r="B135" s="9">
        <v>51</v>
      </c>
      <c r="C135" s="9" t="s">
        <v>1740</v>
      </c>
      <c r="D135" s="9" t="s">
        <v>24</v>
      </c>
      <c r="E135" s="9" t="s">
        <v>31</v>
      </c>
      <c r="F135" s="9" t="s">
        <v>26</v>
      </c>
      <c r="G135" s="10" t="s">
        <v>27</v>
      </c>
      <c r="H135" s="13"/>
    </row>
    <row r="136" spans="1:8" ht="12.75" x14ac:dyDescent="0.2">
      <c r="A136" s="52"/>
      <c r="B136" s="9">
        <v>51</v>
      </c>
      <c r="C136" s="9" t="s">
        <v>1671</v>
      </c>
      <c r="D136" s="9" t="s">
        <v>24</v>
      </c>
      <c r="E136" s="9" t="s">
        <v>31</v>
      </c>
      <c r="F136" s="9" t="s">
        <v>26</v>
      </c>
      <c r="G136" s="10" t="s">
        <v>27</v>
      </c>
      <c r="H136" s="13"/>
    </row>
    <row r="137" spans="1:8" ht="12.75" x14ac:dyDescent="0.2">
      <c r="A137" s="52"/>
      <c r="B137" s="9">
        <v>51</v>
      </c>
      <c r="C137" s="9" t="s">
        <v>1741</v>
      </c>
      <c r="D137" s="9" t="s">
        <v>24</v>
      </c>
      <c r="E137" s="9" t="s">
        <v>31</v>
      </c>
      <c r="F137" s="9" t="s">
        <v>26</v>
      </c>
      <c r="G137" s="10" t="s">
        <v>27</v>
      </c>
      <c r="H137" s="13"/>
    </row>
    <row r="138" spans="1:8" ht="12.75" x14ac:dyDescent="0.2">
      <c r="A138" s="52"/>
      <c r="B138" s="9">
        <v>51</v>
      </c>
      <c r="C138" s="9" t="s">
        <v>1742</v>
      </c>
      <c r="D138" s="9" t="s">
        <v>24</v>
      </c>
      <c r="E138" s="9" t="s">
        <v>31</v>
      </c>
      <c r="F138" s="9" t="s">
        <v>26</v>
      </c>
      <c r="G138" s="10" t="s">
        <v>27</v>
      </c>
      <c r="H138" s="13"/>
    </row>
    <row r="139" spans="1:8" ht="12.75" x14ac:dyDescent="0.2">
      <c r="A139" s="52"/>
      <c r="B139" s="9">
        <v>51</v>
      </c>
      <c r="C139" s="9" t="s">
        <v>1743</v>
      </c>
      <c r="D139" s="9" t="s">
        <v>24</v>
      </c>
      <c r="E139" s="9" t="s">
        <v>31</v>
      </c>
      <c r="F139" s="9" t="s">
        <v>26</v>
      </c>
      <c r="G139" s="10" t="s">
        <v>27</v>
      </c>
      <c r="H139" s="13"/>
    </row>
    <row r="140" spans="1:8" ht="12.75" x14ac:dyDescent="0.2">
      <c r="A140" s="52"/>
      <c r="B140" s="9">
        <v>51</v>
      </c>
      <c r="C140" s="9" t="s">
        <v>1744</v>
      </c>
      <c r="D140" s="9" t="s">
        <v>24</v>
      </c>
      <c r="E140" s="9" t="s">
        <v>31</v>
      </c>
      <c r="F140" s="9" t="s">
        <v>47</v>
      </c>
      <c r="G140" s="10" t="s">
        <v>27</v>
      </c>
      <c r="H140" s="13"/>
    </row>
    <row r="141" spans="1:8" ht="12.75" x14ac:dyDescent="0.2">
      <c r="A141" s="52"/>
      <c r="B141" s="9">
        <v>51</v>
      </c>
      <c r="C141" s="9" t="s">
        <v>1745</v>
      </c>
      <c r="D141" s="9" t="s">
        <v>24</v>
      </c>
      <c r="E141" s="9" t="s">
        <v>31</v>
      </c>
      <c r="F141" s="9" t="s">
        <v>47</v>
      </c>
      <c r="G141" s="10" t="s">
        <v>27</v>
      </c>
      <c r="H141" s="13"/>
    </row>
    <row r="142" spans="1:8" ht="12.75" x14ac:dyDescent="0.2">
      <c r="A142" s="52"/>
      <c r="B142" s="9">
        <v>51</v>
      </c>
      <c r="C142" s="9" t="s">
        <v>1731</v>
      </c>
      <c r="D142" s="9" t="s">
        <v>24</v>
      </c>
      <c r="E142" s="9" t="s">
        <v>31</v>
      </c>
      <c r="F142" s="9" t="s">
        <v>47</v>
      </c>
      <c r="G142" s="10" t="s">
        <v>27</v>
      </c>
      <c r="H142" s="13"/>
    </row>
    <row r="143" spans="1:8" ht="12.75" x14ac:dyDescent="0.2">
      <c r="A143" s="52"/>
      <c r="B143" s="9">
        <v>51</v>
      </c>
      <c r="C143" s="9" t="s">
        <v>1746</v>
      </c>
      <c r="D143" s="9" t="s">
        <v>24</v>
      </c>
      <c r="E143" s="9" t="s">
        <v>31</v>
      </c>
      <c r="F143" s="9" t="s">
        <v>26</v>
      </c>
      <c r="G143" s="10" t="s">
        <v>27</v>
      </c>
      <c r="H143" s="13"/>
    </row>
    <row r="144" spans="1:8" ht="12.75" x14ac:dyDescent="0.2">
      <c r="A144" s="53"/>
      <c r="B144" s="9">
        <v>51</v>
      </c>
      <c r="C144" s="9" t="s">
        <v>1702</v>
      </c>
      <c r="D144" s="9" t="s">
        <v>24</v>
      </c>
      <c r="E144" s="9" t="s">
        <v>31</v>
      </c>
      <c r="F144" s="9" t="s">
        <v>26</v>
      </c>
      <c r="G144" s="10" t="s">
        <v>27</v>
      </c>
      <c r="H144" s="13"/>
    </row>
    <row r="145" spans="1:8" ht="12.75" x14ac:dyDescent="0.2">
      <c r="A145" s="48" t="s">
        <v>73</v>
      </c>
      <c r="B145" s="9">
        <v>51</v>
      </c>
      <c r="C145" s="9" t="s">
        <v>1669</v>
      </c>
      <c r="D145" s="9" t="s">
        <v>24</v>
      </c>
      <c r="E145" s="9" t="s">
        <v>31</v>
      </c>
      <c r="F145" s="9" t="s">
        <v>26</v>
      </c>
      <c r="G145" s="10" t="s">
        <v>27</v>
      </c>
      <c r="H145" s="13"/>
    </row>
    <row r="146" spans="1:8" ht="12.75" x14ac:dyDescent="0.2">
      <c r="A146" s="52"/>
      <c r="B146" s="9">
        <v>51</v>
      </c>
      <c r="C146" s="9" t="s">
        <v>1747</v>
      </c>
      <c r="D146" s="9" t="s">
        <v>24</v>
      </c>
      <c r="E146" s="9" t="s">
        <v>31</v>
      </c>
      <c r="F146" s="9" t="s">
        <v>26</v>
      </c>
      <c r="G146" s="10" t="s">
        <v>27</v>
      </c>
      <c r="H146" s="13"/>
    </row>
    <row r="147" spans="1:8" ht="12.75" x14ac:dyDescent="0.2">
      <c r="A147" s="52"/>
      <c r="B147" s="9">
        <v>51</v>
      </c>
      <c r="C147" s="9" t="s">
        <v>1671</v>
      </c>
      <c r="D147" s="9" t="s">
        <v>24</v>
      </c>
      <c r="E147" s="9" t="s">
        <v>31</v>
      </c>
      <c r="F147" s="9" t="s">
        <v>26</v>
      </c>
      <c r="G147" s="10" t="s">
        <v>27</v>
      </c>
      <c r="H147" s="13"/>
    </row>
    <row r="148" spans="1:8" ht="12.75" x14ac:dyDescent="0.2">
      <c r="A148" s="52"/>
      <c r="B148" s="9">
        <v>51</v>
      </c>
      <c r="C148" s="9" t="s">
        <v>1535</v>
      </c>
      <c r="D148" s="9" t="s">
        <v>24</v>
      </c>
      <c r="E148" s="9" t="s">
        <v>31</v>
      </c>
      <c r="F148" s="9" t="s">
        <v>26</v>
      </c>
      <c r="G148" s="10" t="s">
        <v>27</v>
      </c>
      <c r="H148" s="13"/>
    </row>
    <row r="149" spans="1:8" ht="12.75" x14ac:dyDescent="0.2">
      <c r="A149" s="52"/>
      <c r="B149" s="9">
        <v>51</v>
      </c>
      <c r="C149" s="9" t="s">
        <v>1742</v>
      </c>
      <c r="D149" s="9" t="s">
        <v>24</v>
      </c>
      <c r="E149" s="9" t="s">
        <v>31</v>
      </c>
      <c r="F149" s="9" t="s">
        <v>26</v>
      </c>
      <c r="G149" s="10" t="s">
        <v>27</v>
      </c>
      <c r="H149" s="13"/>
    </row>
    <row r="150" spans="1:8" ht="12.75" x14ac:dyDescent="0.2">
      <c r="A150" s="52"/>
      <c r="B150" s="9">
        <v>51</v>
      </c>
      <c r="C150" s="9" t="s">
        <v>1744</v>
      </c>
      <c r="D150" s="9" t="s">
        <v>24</v>
      </c>
      <c r="E150" s="9" t="s">
        <v>31</v>
      </c>
      <c r="F150" s="9" t="s">
        <v>47</v>
      </c>
      <c r="G150" s="10" t="s">
        <v>27</v>
      </c>
      <c r="H150" s="13"/>
    </row>
    <row r="151" spans="1:8" ht="12.75" x14ac:dyDescent="0.2">
      <c r="A151" s="52"/>
      <c r="B151" s="9">
        <v>51</v>
      </c>
      <c r="C151" s="9" t="s">
        <v>1734</v>
      </c>
      <c r="D151" s="9" t="s">
        <v>24</v>
      </c>
      <c r="E151" s="9" t="s">
        <v>31</v>
      </c>
      <c r="F151" s="9" t="s">
        <v>26</v>
      </c>
      <c r="G151" s="10" t="s">
        <v>27</v>
      </c>
      <c r="H151" s="13"/>
    </row>
    <row r="152" spans="1:8" ht="12.75" x14ac:dyDescent="0.2">
      <c r="A152" s="53"/>
      <c r="B152" s="9">
        <v>51</v>
      </c>
      <c r="C152" s="9" t="s">
        <v>1746</v>
      </c>
      <c r="D152" s="9" t="s">
        <v>24</v>
      </c>
      <c r="E152" s="9" t="s">
        <v>31</v>
      </c>
      <c r="F152" s="9" t="s">
        <v>26</v>
      </c>
      <c r="G152" s="10" t="s">
        <v>27</v>
      </c>
      <c r="H152" s="13"/>
    </row>
    <row r="153" spans="1:8" ht="12.75" x14ac:dyDescent="0.2">
      <c r="A153" s="48" t="s">
        <v>77</v>
      </c>
      <c r="B153" s="12">
        <v>51</v>
      </c>
      <c r="C153" s="12" t="s">
        <v>1748</v>
      </c>
      <c r="D153" s="12" t="s">
        <v>24</v>
      </c>
      <c r="E153" s="12" t="s">
        <v>25</v>
      </c>
      <c r="F153" s="12" t="s">
        <v>26</v>
      </c>
      <c r="G153" s="10" t="s">
        <v>27</v>
      </c>
      <c r="H153" s="13"/>
    </row>
    <row r="154" spans="1:8" ht="12.75" x14ac:dyDescent="0.2">
      <c r="A154" s="52"/>
      <c r="B154" s="12">
        <v>51</v>
      </c>
      <c r="C154" s="12" t="s">
        <v>1749</v>
      </c>
      <c r="D154" s="12" t="s">
        <v>24</v>
      </c>
      <c r="E154" s="12" t="s">
        <v>25</v>
      </c>
      <c r="F154" s="12" t="s">
        <v>26</v>
      </c>
      <c r="G154" s="10" t="s">
        <v>27</v>
      </c>
      <c r="H154" s="13"/>
    </row>
    <row r="155" spans="1:8" ht="12.75" x14ac:dyDescent="0.2">
      <c r="A155" s="52"/>
      <c r="B155" s="12">
        <v>51</v>
      </c>
      <c r="C155" s="12" t="s">
        <v>1669</v>
      </c>
      <c r="D155" s="12" t="s">
        <v>24</v>
      </c>
      <c r="E155" s="12" t="s">
        <v>25</v>
      </c>
      <c r="F155" s="12" t="s">
        <v>26</v>
      </c>
      <c r="G155" s="10" t="s">
        <v>27</v>
      </c>
      <c r="H155" s="13"/>
    </row>
    <row r="156" spans="1:8" ht="12.75" x14ac:dyDescent="0.2">
      <c r="A156" s="52"/>
      <c r="B156" s="12">
        <v>51</v>
      </c>
      <c r="C156" s="12" t="s">
        <v>1739</v>
      </c>
      <c r="D156" s="12" t="s">
        <v>24</v>
      </c>
      <c r="E156" s="12" t="s">
        <v>25</v>
      </c>
      <c r="F156" s="12" t="s">
        <v>26</v>
      </c>
      <c r="G156" s="10" t="s">
        <v>27</v>
      </c>
      <c r="H156" s="13"/>
    </row>
    <row r="157" spans="1:8" ht="12.75" x14ac:dyDescent="0.2">
      <c r="A157" s="52"/>
      <c r="B157" s="12">
        <v>51</v>
      </c>
      <c r="C157" s="12" t="s">
        <v>1750</v>
      </c>
      <c r="D157" s="12" t="s">
        <v>24</v>
      </c>
      <c r="E157" s="12" t="s">
        <v>25</v>
      </c>
      <c r="F157" s="12" t="s">
        <v>26</v>
      </c>
      <c r="G157" s="10" t="s">
        <v>27</v>
      </c>
      <c r="H157" s="13"/>
    </row>
    <row r="158" spans="1:8" ht="12.75" x14ac:dyDescent="0.2">
      <c r="A158" s="52"/>
      <c r="B158" s="12">
        <v>51</v>
      </c>
      <c r="C158" s="12" t="s">
        <v>1671</v>
      </c>
      <c r="D158" s="12" t="s">
        <v>24</v>
      </c>
      <c r="E158" s="12" t="s">
        <v>25</v>
      </c>
      <c r="F158" s="12" t="s">
        <v>26</v>
      </c>
      <c r="G158" s="10" t="s">
        <v>27</v>
      </c>
      <c r="H158" s="13"/>
    </row>
    <row r="159" spans="1:8" ht="12.75" x14ac:dyDescent="0.2">
      <c r="A159" s="52"/>
      <c r="B159" s="12">
        <v>51</v>
      </c>
      <c r="C159" s="12" t="s">
        <v>1751</v>
      </c>
      <c r="D159" s="12" t="s">
        <v>24</v>
      </c>
      <c r="E159" s="12" t="s">
        <v>31</v>
      </c>
      <c r="F159" s="12" t="s">
        <v>26</v>
      </c>
      <c r="G159" s="10" t="s">
        <v>27</v>
      </c>
      <c r="H159" s="13"/>
    </row>
    <row r="160" spans="1:8" ht="12.75" x14ac:dyDescent="0.2">
      <c r="A160" s="52"/>
      <c r="B160" s="12">
        <v>51</v>
      </c>
      <c r="C160" s="12" t="s">
        <v>1752</v>
      </c>
      <c r="D160" s="12" t="s">
        <v>24</v>
      </c>
      <c r="E160" s="12" t="s">
        <v>25</v>
      </c>
      <c r="F160" s="12" t="s">
        <v>26</v>
      </c>
      <c r="G160" s="10" t="s">
        <v>27</v>
      </c>
      <c r="H160" s="13"/>
    </row>
    <row r="161" spans="1:8" ht="12.75" x14ac:dyDescent="0.2">
      <c r="A161" s="52"/>
      <c r="B161" s="12">
        <v>51</v>
      </c>
      <c r="C161" s="12" t="s">
        <v>1753</v>
      </c>
      <c r="D161" s="12" t="s">
        <v>24</v>
      </c>
      <c r="E161" s="12" t="s">
        <v>25</v>
      </c>
      <c r="F161" s="12" t="s">
        <v>47</v>
      </c>
      <c r="G161" s="10" t="s">
        <v>27</v>
      </c>
      <c r="H161" s="13"/>
    </row>
    <row r="162" spans="1:8" ht="12.75" x14ac:dyDescent="0.2">
      <c r="A162" s="52"/>
      <c r="B162" s="12">
        <v>51</v>
      </c>
      <c r="C162" s="12" t="s">
        <v>1744</v>
      </c>
      <c r="D162" s="12" t="s">
        <v>24</v>
      </c>
      <c r="E162" s="12" t="s">
        <v>25</v>
      </c>
      <c r="F162" s="12" t="s">
        <v>47</v>
      </c>
      <c r="G162" s="10" t="s">
        <v>27</v>
      </c>
      <c r="H162" s="13"/>
    </row>
    <row r="163" spans="1:8" ht="12.75" x14ac:dyDescent="0.2">
      <c r="A163" s="52"/>
      <c r="B163" s="12">
        <v>51</v>
      </c>
      <c r="C163" s="12" t="s">
        <v>1754</v>
      </c>
      <c r="D163" s="12" t="s">
        <v>24</v>
      </c>
      <c r="E163" s="12" t="s">
        <v>25</v>
      </c>
      <c r="F163" s="12" t="s">
        <v>26</v>
      </c>
      <c r="G163" s="10" t="s">
        <v>27</v>
      </c>
      <c r="H163" s="13"/>
    </row>
    <row r="164" spans="1:8" ht="12.75" x14ac:dyDescent="0.2">
      <c r="A164" s="52"/>
      <c r="B164" s="12">
        <v>51</v>
      </c>
      <c r="C164" s="12" t="s">
        <v>1734</v>
      </c>
      <c r="D164" s="12" t="s">
        <v>24</v>
      </c>
      <c r="E164" s="12" t="s">
        <v>25</v>
      </c>
      <c r="F164" s="12" t="s">
        <v>26</v>
      </c>
      <c r="G164" s="10" t="s">
        <v>27</v>
      </c>
      <c r="H164" s="13"/>
    </row>
    <row r="165" spans="1:8" ht="12.75" x14ac:dyDescent="0.2">
      <c r="A165" s="52"/>
      <c r="B165" s="12">
        <v>51</v>
      </c>
      <c r="C165" s="12" t="s">
        <v>1723</v>
      </c>
      <c r="D165" s="12" t="s">
        <v>24</v>
      </c>
      <c r="E165" s="12" t="s">
        <v>25</v>
      </c>
      <c r="F165" s="12" t="s">
        <v>26</v>
      </c>
      <c r="G165" s="10" t="s">
        <v>27</v>
      </c>
      <c r="H165" s="13"/>
    </row>
    <row r="166" spans="1:8" ht="12.75" x14ac:dyDescent="0.2">
      <c r="A166" s="52"/>
      <c r="B166" s="12">
        <v>51</v>
      </c>
      <c r="C166" s="12" t="s">
        <v>1755</v>
      </c>
      <c r="D166" s="12" t="s">
        <v>24</v>
      </c>
      <c r="E166" s="12" t="s">
        <v>25</v>
      </c>
      <c r="F166" s="12" t="s">
        <v>26</v>
      </c>
      <c r="G166" s="10" t="s">
        <v>27</v>
      </c>
      <c r="H166" s="13"/>
    </row>
    <row r="167" spans="1:8" ht="12.75" x14ac:dyDescent="0.2">
      <c r="A167" s="52"/>
      <c r="B167" s="12">
        <v>51</v>
      </c>
      <c r="C167" s="12" t="s">
        <v>1756</v>
      </c>
      <c r="D167" s="12" t="s">
        <v>24</v>
      </c>
      <c r="E167" s="12" t="s">
        <v>25</v>
      </c>
      <c r="F167" s="12" t="s">
        <v>26</v>
      </c>
      <c r="G167" s="10" t="s">
        <v>27</v>
      </c>
      <c r="H167" s="13"/>
    </row>
    <row r="168" spans="1:8" ht="12.75" x14ac:dyDescent="0.2">
      <c r="A168" s="52"/>
      <c r="B168" s="12">
        <v>51</v>
      </c>
      <c r="C168" s="12" t="s">
        <v>1757</v>
      </c>
      <c r="D168" s="12" t="s">
        <v>24</v>
      </c>
      <c r="E168" s="12" t="s">
        <v>25</v>
      </c>
      <c r="F168" s="12" t="s">
        <v>26</v>
      </c>
      <c r="G168" s="10" t="s">
        <v>27</v>
      </c>
      <c r="H168" s="13"/>
    </row>
    <row r="169" spans="1:8" ht="12.75" x14ac:dyDescent="0.2">
      <c r="A169" s="52"/>
      <c r="B169" s="12">
        <v>51</v>
      </c>
      <c r="C169" s="12" t="s">
        <v>1758</v>
      </c>
      <c r="D169" s="12" t="s">
        <v>24</v>
      </c>
      <c r="E169" s="12" t="s">
        <v>25</v>
      </c>
      <c r="F169" s="12" t="s">
        <v>26</v>
      </c>
      <c r="G169" s="10" t="s">
        <v>27</v>
      </c>
      <c r="H169" s="13"/>
    </row>
    <row r="170" spans="1:8" ht="12.75" x14ac:dyDescent="0.2">
      <c r="A170" s="53"/>
      <c r="B170" s="12">
        <v>51</v>
      </c>
      <c r="C170" s="12" t="s">
        <v>1759</v>
      </c>
      <c r="D170" s="12" t="s">
        <v>24</v>
      </c>
      <c r="E170" s="12" t="s">
        <v>25</v>
      </c>
      <c r="F170" s="12" t="s">
        <v>26</v>
      </c>
      <c r="G170" s="10" t="s">
        <v>27</v>
      </c>
      <c r="H170" s="13"/>
    </row>
    <row r="171" spans="1:8" ht="12.75" x14ac:dyDescent="0.2">
      <c r="A171" s="48" t="s">
        <v>79</v>
      </c>
      <c r="B171" s="9">
        <v>51</v>
      </c>
      <c r="C171" s="9" t="s">
        <v>1760</v>
      </c>
      <c r="D171" s="9" t="s">
        <v>24</v>
      </c>
      <c r="E171" s="9" t="s">
        <v>31</v>
      </c>
      <c r="F171" s="9" t="s">
        <v>26</v>
      </c>
      <c r="G171" s="10" t="s">
        <v>27</v>
      </c>
      <c r="H171" s="13"/>
    </row>
    <row r="172" spans="1:8" ht="12.75" x14ac:dyDescent="0.2">
      <c r="A172" s="52"/>
      <c r="B172" s="9">
        <v>51</v>
      </c>
      <c r="C172" s="9" t="s">
        <v>1761</v>
      </c>
      <c r="D172" s="9" t="s">
        <v>24</v>
      </c>
      <c r="E172" s="9" t="s">
        <v>31</v>
      </c>
      <c r="F172" s="9" t="s">
        <v>26</v>
      </c>
      <c r="G172" s="10" t="s">
        <v>27</v>
      </c>
      <c r="H172" s="13"/>
    </row>
    <row r="173" spans="1:8" ht="12.75" x14ac:dyDescent="0.2">
      <c r="A173" s="52"/>
      <c r="B173" s="9">
        <v>51</v>
      </c>
      <c r="C173" s="9" t="s">
        <v>1669</v>
      </c>
      <c r="D173" s="9" t="s">
        <v>24</v>
      </c>
      <c r="E173" s="9" t="s">
        <v>31</v>
      </c>
      <c r="F173" s="9" t="s">
        <v>26</v>
      </c>
      <c r="G173" s="10" t="s">
        <v>27</v>
      </c>
      <c r="H173" s="13"/>
    </row>
    <row r="174" spans="1:8" ht="12.75" x14ac:dyDescent="0.2">
      <c r="A174" s="52"/>
      <c r="B174" s="9">
        <v>51</v>
      </c>
      <c r="C174" s="9" t="s">
        <v>1750</v>
      </c>
      <c r="D174" s="9" t="s">
        <v>24</v>
      </c>
      <c r="E174" s="9" t="s">
        <v>31</v>
      </c>
      <c r="F174" s="9" t="s">
        <v>26</v>
      </c>
      <c r="G174" s="10" t="s">
        <v>27</v>
      </c>
      <c r="H174" s="13"/>
    </row>
    <row r="175" spans="1:8" ht="12.75" x14ac:dyDescent="0.2">
      <c r="A175" s="52"/>
      <c r="B175" s="9">
        <v>51</v>
      </c>
      <c r="C175" s="9" t="s">
        <v>1671</v>
      </c>
      <c r="D175" s="9" t="s">
        <v>24</v>
      </c>
      <c r="E175" s="9" t="s">
        <v>31</v>
      </c>
      <c r="F175" s="9" t="s">
        <v>26</v>
      </c>
      <c r="G175" s="10" t="s">
        <v>27</v>
      </c>
      <c r="H175" s="13"/>
    </row>
    <row r="176" spans="1:8" ht="12.75" x14ac:dyDescent="0.2">
      <c r="A176" s="52"/>
      <c r="B176" s="9">
        <v>51</v>
      </c>
      <c r="C176" s="9" t="s">
        <v>1762</v>
      </c>
      <c r="D176" s="9" t="s">
        <v>24</v>
      </c>
      <c r="E176" s="9" t="s">
        <v>31</v>
      </c>
      <c r="F176" s="9" t="s">
        <v>26</v>
      </c>
      <c r="G176" s="10" t="s">
        <v>27</v>
      </c>
      <c r="H176" s="13"/>
    </row>
    <row r="177" spans="1:8" ht="12.75" x14ac:dyDescent="0.2">
      <c r="A177" s="52"/>
      <c r="B177" s="9">
        <v>51</v>
      </c>
      <c r="C177" s="9" t="s">
        <v>1752</v>
      </c>
      <c r="D177" s="9" t="s">
        <v>24</v>
      </c>
      <c r="E177" s="9" t="s">
        <v>31</v>
      </c>
      <c r="F177" s="9" t="s">
        <v>26</v>
      </c>
      <c r="G177" s="10" t="s">
        <v>27</v>
      </c>
      <c r="H177" s="13"/>
    </row>
    <row r="178" spans="1:8" ht="12.75" x14ac:dyDescent="0.2">
      <c r="A178" s="52"/>
      <c r="B178" s="9">
        <v>51</v>
      </c>
      <c r="C178" s="9" t="s">
        <v>1674</v>
      </c>
      <c r="D178" s="9" t="s">
        <v>24</v>
      </c>
      <c r="E178" s="9" t="s">
        <v>31</v>
      </c>
      <c r="F178" s="9" t="s">
        <v>26</v>
      </c>
      <c r="G178" s="10" t="s">
        <v>27</v>
      </c>
      <c r="H178" s="13"/>
    </row>
    <row r="179" spans="1:8" ht="12.75" x14ac:dyDescent="0.2">
      <c r="A179" s="52"/>
      <c r="B179" s="9">
        <v>51</v>
      </c>
      <c r="C179" s="9" t="s">
        <v>1691</v>
      </c>
      <c r="D179" s="9" t="s">
        <v>24</v>
      </c>
      <c r="E179" s="9" t="s">
        <v>31</v>
      </c>
      <c r="F179" s="9" t="s">
        <v>47</v>
      </c>
      <c r="G179" s="10" t="s">
        <v>27</v>
      </c>
      <c r="H179" s="13"/>
    </row>
    <row r="180" spans="1:8" ht="12.75" x14ac:dyDescent="0.2">
      <c r="A180" s="52"/>
      <c r="B180" s="9">
        <v>51</v>
      </c>
      <c r="C180" s="9" t="s">
        <v>1734</v>
      </c>
      <c r="D180" s="9" t="s">
        <v>24</v>
      </c>
      <c r="E180" s="9" t="s">
        <v>31</v>
      </c>
      <c r="F180" s="9" t="s">
        <v>26</v>
      </c>
      <c r="G180" s="10" t="s">
        <v>27</v>
      </c>
      <c r="H180" s="13"/>
    </row>
    <row r="181" spans="1:8" ht="12.75" x14ac:dyDescent="0.2">
      <c r="A181" s="52"/>
      <c r="B181" s="9">
        <v>51</v>
      </c>
      <c r="C181" s="9" t="s">
        <v>1758</v>
      </c>
      <c r="D181" s="9" t="s">
        <v>24</v>
      </c>
      <c r="E181" s="9" t="s">
        <v>31</v>
      </c>
      <c r="F181" s="9" t="s">
        <v>26</v>
      </c>
      <c r="G181" s="10" t="s">
        <v>27</v>
      </c>
      <c r="H181" s="13"/>
    </row>
    <row r="182" spans="1:8" ht="12.75" x14ac:dyDescent="0.2">
      <c r="A182" s="53"/>
      <c r="B182" s="9">
        <v>51</v>
      </c>
      <c r="C182" s="9" t="s">
        <v>1722</v>
      </c>
      <c r="D182" s="9" t="s">
        <v>24</v>
      </c>
      <c r="E182" s="9" t="s">
        <v>31</v>
      </c>
      <c r="F182" s="9" t="s">
        <v>26</v>
      </c>
      <c r="G182" s="10" t="s">
        <v>27</v>
      </c>
      <c r="H182" s="13"/>
    </row>
    <row r="183" spans="1:8" ht="12.75" x14ac:dyDescent="0.2">
      <c r="A183" s="48" t="s">
        <v>83</v>
      </c>
      <c r="B183" s="9">
        <v>51</v>
      </c>
      <c r="C183" s="9" t="s">
        <v>1668</v>
      </c>
      <c r="D183" s="9" t="s">
        <v>24</v>
      </c>
      <c r="E183" s="9" t="s">
        <v>31</v>
      </c>
      <c r="F183" s="9" t="s">
        <v>26</v>
      </c>
      <c r="G183" s="10" t="s">
        <v>27</v>
      </c>
      <c r="H183" s="13"/>
    </row>
    <row r="184" spans="1:8" ht="12.75" x14ac:dyDescent="0.2">
      <c r="A184" s="52"/>
      <c r="B184" s="9">
        <v>51</v>
      </c>
      <c r="C184" s="9" t="s">
        <v>1761</v>
      </c>
      <c r="D184" s="9" t="s">
        <v>24</v>
      </c>
      <c r="E184" s="9" t="s">
        <v>31</v>
      </c>
      <c r="F184" s="9" t="s">
        <v>26</v>
      </c>
      <c r="G184" s="10" t="s">
        <v>27</v>
      </c>
      <c r="H184" s="13"/>
    </row>
    <row r="185" spans="1:8" ht="12.75" x14ac:dyDescent="0.2">
      <c r="A185" s="52"/>
      <c r="B185" s="9">
        <v>51</v>
      </c>
      <c r="C185" s="9" t="s">
        <v>1669</v>
      </c>
      <c r="D185" s="9" t="s">
        <v>24</v>
      </c>
      <c r="E185" s="9" t="s">
        <v>31</v>
      </c>
      <c r="F185" s="9" t="s">
        <v>26</v>
      </c>
      <c r="G185" s="10" t="s">
        <v>27</v>
      </c>
      <c r="H185" s="13"/>
    </row>
    <row r="186" spans="1:8" ht="12.75" x14ac:dyDescent="0.2">
      <c r="A186" s="52"/>
      <c r="B186" s="9">
        <v>51</v>
      </c>
      <c r="C186" s="9" t="s">
        <v>1671</v>
      </c>
      <c r="D186" s="9" t="s">
        <v>24</v>
      </c>
      <c r="E186" s="9" t="s">
        <v>31</v>
      </c>
      <c r="F186" s="9" t="s">
        <v>26</v>
      </c>
      <c r="G186" s="10" t="s">
        <v>27</v>
      </c>
      <c r="H186" s="13"/>
    </row>
    <row r="187" spans="1:8" ht="12.75" x14ac:dyDescent="0.2">
      <c r="A187" s="52"/>
      <c r="B187" s="9">
        <v>51</v>
      </c>
      <c r="C187" s="9" t="s">
        <v>1752</v>
      </c>
      <c r="D187" s="9" t="s">
        <v>24</v>
      </c>
      <c r="E187" s="9" t="s">
        <v>31</v>
      </c>
      <c r="F187" s="9" t="s">
        <v>26</v>
      </c>
      <c r="G187" s="10" t="s">
        <v>27</v>
      </c>
      <c r="H187" s="13"/>
    </row>
    <row r="188" spans="1:8" ht="12.75" x14ac:dyDescent="0.2">
      <c r="A188" s="52"/>
      <c r="B188" s="9">
        <v>51</v>
      </c>
      <c r="C188" s="9" t="s">
        <v>1763</v>
      </c>
      <c r="D188" s="9" t="s">
        <v>24</v>
      </c>
      <c r="E188" s="9" t="s">
        <v>31</v>
      </c>
      <c r="F188" s="9" t="s">
        <v>26</v>
      </c>
      <c r="G188" s="10" t="s">
        <v>27</v>
      </c>
      <c r="H188" s="13"/>
    </row>
    <row r="189" spans="1:8" ht="12.75" x14ac:dyDescent="0.2">
      <c r="A189" s="52"/>
      <c r="B189" s="9">
        <v>51</v>
      </c>
      <c r="C189" s="9" t="s">
        <v>1764</v>
      </c>
      <c r="D189" s="9" t="s">
        <v>24</v>
      </c>
      <c r="E189" s="9" t="s">
        <v>31</v>
      </c>
      <c r="F189" s="9" t="s">
        <v>26</v>
      </c>
      <c r="G189" s="10" t="s">
        <v>27</v>
      </c>
      <c r="H189" s="13"/>
    </row>
    <row r="190" spans="1:8" ht="12.75" x14ac:dyDescent="0.2">
      <c r="A190" s="53"/>
      <c r="B190" s="9">
        <v>51</v>
      </c>
      <c r="C190" s="9" t="s">
        <v>1765</v>
      </c>
      <c r="D190" s="9" t="s">
        <v>24</v>
      </c>
      <c r="E190" s="9" t="s">
        <v>31</v>
      </c>
      <c r="F190" s="9" t="s">
        <v>26</v>
      </c>
      <c r="G190" s="10" t="s">
        <v>27</v>
      </c>
      <c r="H190" s="13"/>
    </row>
    <row r="191" spans="1:8" ht="12.75" x14ac:dyDescent="0.2">
      <c r="A191" s="64" t="s">
        <v>85</v>
      </c>
      <c r="B191" s="12">
        <v>51</v>
      </c>
      <c r="C191" s="12" t="s">
        <v>1668</v>
      </c>
      <c r="D191" s="12" t="s">
        <v>24</v>
      </c>
      <c r="E191" s="12" t="s">
        <v>25</v>
      </c>
      <c r="F191" s="12" t="s">
        <v>26</v>
      </c>
      <c r="G191" s="10" t="s">
        <v>27</v>
      </c>
      <c r="H191" s="13"/>
    </row>
    <row r="192" spans="1:8" ht="12.75" x14ac:dyDescent="0.2">
      <c r="A192" s="52"/>
      <c r="B192" s="12">
        <v>51</v>
      </c>
      <c r="C192" s="12" t="s">
        <v>1761</v>
      </c>
      <c r="D192" s="12" t="s">
        <v>24</v>
      </c>
      <c r="E192" s="12" t="s">
        <v>25</v>
      </c>
      <c r="F192" s="12" t="s">
        <v>26</v>
      </c>
      <c r="G192" s="10" t="s">
        <v>27</v>
      </c>
      <c r="H192" s="13"/>
    </row>
    <row r="193" spans="1:8" ht="12.75" x14ac:dyDescent="0.2">
      <c r="A193" s="52"/>
      <c r="B193" s="12">
        <v>51</v>
      </c>
      <c r="C193" s="12" t="s">
        <v>1669</v>
      </c>
      <c r="D193" s="12" t="s">
        <v>24</v>
      </c>
      <c r="E193" s="12" t="s">
        <v>25</v>
      </c>
      <c r="F193" s="12" t="s">
        <v>26</v>
      </c>
      <c r="G193" s="10" t="s">
        <v>27</v>
      </c>
      <c r="H193" s="13"/>
    </row>
    <row r="194" spans="1:8" ht="12.75" x14ac:dyDescent="0.2">
      <c r="A194" s="52"/>
      <c r="B194" s="12">
        <v>51</v>
      </c>
      <c r="C194" s="12" t="s">
        <v>1671</v>
      </c>
      <c r="D194" s="12" t="s">
        <v>24</v>
      </c>
      <c r="E194" s="12" t="s">
        <v>25</v>
      </c>
      <c r="F194" s="12" t="s">
        <v>26</v>
      </c>
      <c r="G194" s="10" t="s">
        <v>27</v>
      </c>
      <c r="H194" s="13"/>
    </row>
    <row r="195" spans="1:8" ht="12.75" x14ac:dyDescent="0.2">
      <c r="A195" s="52"/>
      <c r="B195" s="12">
        <v>51</v>
      </c>
      <c r="C195" s="12" t="s">
        <v>1766</v>
      </c>
      <c r="D195" s="12" t="s">
        <v>24</v>
      </c>
      <c r="E195" s="12" t="s">
        <v>25</v>
      </c>
      <c r="F195" s="12" t="s">
        <v>26</v>
      </c>
      <c r="G195" s="10" t="s">
        <v>27</v>
      </c>
      <c r="H195" s="13"/>
    </row>
    <row r="196" spans="1:8" ht="12.75" x14ac:dyDescent="0.2">
      <c r="A196" s="52"/>
      <c r="B196" s="12">
        <v>51</v>
      </c>
      <c r="C196" s="12" t="s">
        <v>1767</v>
      </c>
      <c r="D196" s="12" t="s">
        <v>24</v>
      </c>
      <c r="E196" s="12" t="s">
        <v>25</v>
      </c>
      <c r="F196" s="12" t="s">
        <v>26</v>
      </c>
      <c r="G196" s="10" t="s">
        <v>27</v>
      </c>
      <c r="H196" s="13"/>
    </row>
    <row r="197" spans="1:8" ht="12.75" x14ac:dyDescent="0.2">
      <c r="A197" s="52"/>
      <c r="B197" s="12">
        <v>51</v>
      </c>
      <c r="C197" s="12" t="s">
        <v>1763</v>
      </c>
      <c r="D197" s="12" t="s">
        <v>24</v>
      </c>
      <c r="E197" s="12" t="s">
        <v>25</v>
      </c>
      <c r="F197" s="12" t="s">
        <v>26</v>
      </c>
      <c r="G197" s="10" t="s">
        <v>27</v>
      </c>
      <c r="H197" s="13"/>
    </row>
    <row r="198" spans="1:8" ht="12.75" x14ac:dyDescent="0.2">
      <c r="A198" s="52"/>
      <c r="B198" s="12">
        <v>51</v>
      </c>
      <c r="C198" s="12" t="s">
        <v>1764</v>
      </c>
      <c r="D198" s="12" t="s">
        <v>24</v>
      </c>
      <c r="E198" s="12" t="s">
        <v>25</v>
      </c>
      <c r="F198" s="12" t="s">
        <v>26</v>
      </c>
      <c r="G198" s="10" t="s">
        <v>27</v>
      </c>
      <c r="H198" s="13"/>
    </row>
    <row r="199" spans="1:8" ht="12.75" x14ac:dyDescent="0.2">
      <c r="A199" s="52"/>
      <c r="B199" s="12">
        <v>51</v>
      </c>
      <c r="C199" s="12" t="s">
        <v>1768</v>
      </c>
      <c r="D199" s="12" t="s">
        <v>30</v>
      </c>
      <c r="E199" s="12" t="s">
        <v>25</v>
      </c>
      <c r="F199" s="12" t="s">
        <v>26</v>
      </c>
      <c r="G199" s="10" t="s">
        <v>27</v>
      </c>
      <c r="H199" s="13"/>
    </row>
    <row r="200" spans="1:8" ht="12.75" x14ac:dyDescent="0.2">
      <c r="A200" s="52"/>
      <c r="B200" s="12">
        <v>51</v>
      </c>
      <c r="C200" s="12" t="s">
        <v>1706</v>
      </c>
      <c r="D200" s="12" t="s">
        <v>24</v>
      </c>
      <c r="E200" s="12" t="s">
        <v>25</v>
      </c>
      <c r="F200" s="12" t="s">
        <v>26</v>
      </c>
      <c r="G200" s="10" t="s">
        <v>27</v>
      </c>
      <c r="H200" s="13"/>
    </row>
    <row r="201" spans="1:8" ht="12.75" x14ac:dyDescent="0.2">
      <c r="A201" s="53"/>
      <c r="B201" s="12">
        <v>51</v>
      </c>
      <c r="C201" s="12" t="s">
        <v>1769</v>
      </c>
      <c r="D201" s="12" t="s">
        <v>24</v>
      </c>
      <c r="E201" s="12" t="s">
        <v>25</v>
      </c>
      <c r="F201" s="12" t="s">
        <v>26</v>
      </c>
      <c r="G201" s="10" t="s">
        <v>27</v>
      </c>
      <c r="H201" s="13"/>
    </row>
    <row r="202" spans="1:8" ht="12.75" x14ac:dyDescent="0.2">
      <c r="A202" s="13"/>
      <c r="B202" s="13"/>
      <c r="C202" s="13"/>
      <c r="D202" s="13"/>
      <c r="E202" s="13"/>
      <c r="F202" s="13"/>
      <c r="G202" s="13"/>
      <c r="H202" s="13"/>
    </row>
    <row r="203" spans="1:8" ht="12.75" x14ac:dyDescent="0.2">
      <c r="A203" s="13"/>
      <c r="B203" s="13"/>
      <c r="C203" s="13"/>
      <c r="D203" s="13"/>
      <c r="E203" s="13"/>
      <c r="F203" s="13"/>
      <c r="G203" s="13"/>
      <c r="H203" s="13"/>
    </row>
    <row r="204" spans="1:8" ht="12.75" x14ac:dyDescent="0.2">
      <c r="A204" s="13"/>
      <c r="B204" s="13"/>
      <c r="C204" s="13"/>
      <c r="D204" s="13"/>
      <c r="E204" s="13"/>
      <c r="F204" s="13"/>
      <c r="G204" s="13"/>
      <c r="H204" s="13"/>
    </row>
    <row r="205" spans="1:8" ht="12.75" x14ac:dyDescent="0.2">
      <c r="A205" s="13"/>
      <c r="B205" s="13"/>
      <c r="C205" s="13"/>
      <c r="D205" s="13"/>
      <c r="E205" s="13"/>
      <c r="F205" s="13"/>
      <c r="G205" s="13"/>
      <c r="H205" s="13"/>
    </row>
    <row r="206" spans="1:8" ht="12.75" x14ac:dyDescent="0.2">
      <c r="A206" s="13"/>
      <c r="B206" s="13"/>
      <c r="C206" s="13"/>
      <c r="D206" s="13"/>
      <c r="E206" s="13"/>
      <c r="F206" s="13"/>
      <c r="G206" s="13"/>
      <c r="H206" s="13"/>
    </row>
    <row r="207" spans="1:8" ht="12.75" x14ac:dyDescent="0.2">
      <c r="A207" s="13"/>
      <c r="B207" s="13"/>
      <c r="C207" s="13"/>
      <c r="D207" s="13"/>
      <c r="E207" s="13"/>
      <c r="F207" s="13"/>
      <c r="G207" s="13"/>
      <c r="H207" s="13"/>
    </row>
    <row r="208" spans="1:8" ht="12.75" x14ac:dyDescent="0.2">
      <c r="A208" s="13"/>
      <c r="B208" s="13"/>
      <c r="C208" s="13"/>
      <c r="D208" s="13"/>
      <c r="E208" s="13"/>
      <c r="F208" s="13"/>
      <c r="G208" s="13"/>
      <c r="H208" s="13"/>
    </row>
  </sheetData>
  <mergeCells count="18">
    <mergeCell ref="A191:A201"/>
    <mergeCell ref="A84:A88"/>
    <mergeCell ref="A89:A100"/>
    <mergeCell ref="A101:A105"/>
    <mergeCell ref="A106:A123"/>
    <mergeCell ref="A124:A132"/>
    <mergeCell ref="A133:A144"/>
    <mergeCell ref="A145:A152"/>
    <mergeCell ref="A49:A69"/>
    <mergeCell ref="A70:A83"/>
    <mergeCell ref="A153:A170"/>
    <mergeCell ref="A171:A182"/>
    <mergeCell ref="A183:A190"/>
    <mergeCell ref="A1:G1"/>
    <mergeCell ref="A9:A21"/>
    <mergeCell ref="A22:A26"/>
    <mergeCell ref="A27:A34"/>
    <mergeCell ref="A35:A48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</sheetPr>
  <dimension ref="A1:Q187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13" ht="13.5" x14ac:dyDescent="0.25">
      <c r="A1" s="54" t="s">
        <v>0</v>
      </c>
      <c r="B1" s="55"/>
      <c r="C1" s="55"/>
      <c r="D1" s="55"/>
      <c r="E1" s="55"/>
      <c r="F1" s="55"/>
      <c r="G1" s="56"/>
    </row>
    <row r="2" spans="1:13" ht="12.75" x14ac:dyDescent="0.2">
      <c r="A2" s="1"/>
      <c r="B2" s="2"/>
      <c r="C2" s="2"/>
      <c r="D2" s="2"/>
      <c r="E2" s="2"/>
      <c r="F2" s="2"/>
      <c r="G2" s="2"/>
    </row>
    <row r="3" spans="1:13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13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13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13" ht="12.75" x14ac:dyDescent="0.2">
      <c r="A6" s="1"/>
      <c r="B6" s="2"/>
      <c r="C6" s="2"/>
      <c r="D6" s="2"/>
      <c r="E6" s="2"/>
      <c r="F6" s="2"/>
      <c r="G6" s="2"/>
    </row>
    <row r="7" spans="1:13" ht="31.5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13" ht="63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13" ht="12.75" x14ac:dyDescent="0.2">
      <c r="A9" s="48" t="s">
        <v>20</v>
      </c>
      <c r="B9" s="9">
        <v>52</v>
      </c>
      <c r="C9" s="9" t="s">
        <v>1770</v>
      </c>
      <c r="D9" s="9" t="s">
        <v>24</v>
      </c>
      <c r="E9" s="9" t="s">
        <v>31</v>
      </c>
      <c r="F9" s="9" t="s">
        <v>26</v>
      </c>
      <c r="G9" s="10" t="s">
        <v>27</v>
      </c>
      <c r="H9" s="11"/>
      <c r="I9" s="11"/>
      <c r="J9" s="11"/>
      <c r="K9" s="11"/>
      <c r="L9" s="11"/>
      <c r="M9" s="11"/>
    </row>
    <row r="10" spans="1:13" ht="12.75" x14ac:dyDescent="0.2">
      <c r="A10" s="52"/>
      <c r="B10" s="9">
        <v>52</v>
      </c>
      <c r="C10" s="9" t="s">
        <v>1771</v>
      </c>
      <c r="D10" s="9" t="s">
        <v>24</v>
      </c>
      <c r="E10" s="9" t="s">
        <v>31</v>
      </c>
      <c r="F10" s="9" t="s">
        <v>26</v>
      </c>
      <c r="G10" s="10" t="s">
        <v>27</v>
      </c>
      <c r="H10" s="11"/>
      <c r="I10" s="11"/>
      <c r="J10" s="11"/>
      <c r="K10" s="11"/>
      <c r="L10" s="11"/>
      <c r="M10" s="11"/>
    </row>
    <row r="11" spans="1:13" ht="12.75" x14ac:dyDescent="0.2">
      <c r="A11" s="52"/>
      <c r="B11" s="9">
        <v>52</v>
      </c>
      <c r="C11" s="9" t="s">
        <v>1772</v>
      </c>
      <c r="D11" s="9" t="s">
        <v>24</v>
      </c>
      <c r="E11" s="9" t="s">
        <v>31</v>
      </c>
      <c r="F11" s="9" t="s">
        <v>26</v>
      </c>
      <c r="G11" s="10" t="s">
        <v>27</v>
      </c>
      <c r="H11" s="11"/>
      <c r="I11" s="11"/>
      <c r="J11" s="11"/>
      <c r="K11" s="11"/>
      <c r="L11" s="11"/>
      <c r="M11" s="11"/>
    </row>
    <row r="12" spans="1:13" ht="12.75" x14ac:dyDescent="0.2">
      <c r="A12" s="52"/>
      <c r="B12" s="9">
        <v>52</v>
      </c>
      <c r="C12" s="9" t="s">
        <v>1773</v>
      </c>
      <c r="D12" s="9" t="s">
        <v>24</v>
      </c>
      <c r="E12" s="9" t="s">
        <v>31</v>
      </c>
      <c r="F12" s="9" t="s">
        <v>26</v>
      </c>
      <c r="G12" s="10" t="s">
        <v>27</v>
      </c>
      <c r="H12" s="11"/>
      <c r="I12" s="11"/>
      <c r="J12" s="11"/>
      <c r="K12" s="11"/>
      <c r="L12" s="11"/>
      <c r="M12" s="11"/>
    </row>
    <row r="13" spans="1:13" ht="12.75" x14ac:dyDescent="0.2">
      <c r="A13" s="53"/>
      <c r="B13" s="9">
        <v>52</v>
      </c>
      <c r="C13" s="9" t="s">
        <v>1774</v>
      </c>
      <c r="D13" s="9" t="s">
        <v>24</v>
      </c>
      <c r="E13" s="9" t="s">
        <v>31</v>
      </c>
      <c r="F13" s="9" t="s">
        <v>26</v>
      </c>
      <c r="G13" s="10" t="s">
        <v>27</v>
      </c>
      <c r="H13" s="11"/>
      <c r="I13" s="11"/>
      <c r="J13" s="11"/>
      <c r="K13" s="11"/>
      <c r="L13" s="11"/>
      <c r="M13" s="11"/>
    </row>
    <row r="14" spans="1:13" ht="12.75" x14ac:dyDescent="0.2">
      <c r="A14" s="48" t="s">
        <v>22</v>
      </c>
      <c r="B14" s="9">
        <v>52</v>
      </c>
      <c r="C14" s="9" t="s">
        <v>1772</v>
      </c>
      <c r="D14" s="9" t="s">
        <v>24</v>
      </c>
      <c r="E14" s="9" t="s">
        <v>31</v>
      </c>
      <c r="F14" s="9" t="s">
        <v>26</v>
      </c>
      <c r="G14" s="10" t="s">
        <v>27</v>
      </c>
      <c r="H14" s="11"/>
      <c r="I14" s="11"/>
      <c r="J14" s="11"/>
      <c r="K14" s="11"/>
      <c r="L14" s="11"/>
      <c r="M14" s="11"/>
    </row>
    <row r="15" spans="1:13" ht="12.75" x14ac:dyDescent="0.2">
      <c r="A15" s="52"/>
      <c r="B15" s="9">
        <v>52</v>
      </c>
      <c r="C15" s="9" t="s">
        <v>1774</v>
      </c>
      <c r="D15" s="9" t="s">
        <v>24</v>
      </c>
      <c r="E15" s="9" t="s">
        <v>31</v>
      </c>
      <c r="F15" s="9" t="s">
        <v>26</v>
      </c>
      <c r="G15" s="10" t="s">
        <v>27</v>
      </c>
      <c r="H15" s="11"/>
      <c r="I15" s="11"/>
      <c r="J15" s="11"/>
      <c r="K15" s="11"/>
      <c r="L15" s="11"/>
      <c r="M15" s="11"/>
    </row>
    <row r="16" spans="1:13" ht="12.75" x14ac:dyDescent="0.2">
      <c r="A16" s="53"/>
      <c r="B16" s="9">
        <v>52</v>
      </c>
      <c r="C16" s="9" t="s">
        <v>1771</v>
      </c>
      <c r="D16" s="9" t="s">
        <v>24</v>
      </c>
      <c r="E16" s="9" t="s">
        <v>31</v>
      </c>
      <c r="F16" s="9" t="s">
        <v>26</v>
      </c>
      <c r="G16" s="10" t="s">
        <v>27</v>
      </c>
      <c r="H16" s="11"/>
      <c r="I16" s="11"/>
      <c r="J16" s="11"/>
      <c r="K16" s="11"/>
      <c r="L16" s="11"/>
      <c r="M16" s="11"/>
    </row>
    <row r="17" spans="1:13" ht="12.75" x14ac:dyDescent="0.2">
      <c r="A17" s="48" t="s">
        <v>28</v>
      </c>
      <c r="B17" s="9">
        <v>52</v>
      </c>
      <c r="C17" s="9" t="s">
        <v>1775</v>
      </c>
      <c r="D17" s="9" t="s">
        <v>30</v>
      </c>
      <c r="E17" s="9" t="s">
        <v>25</v>
      </c>
      <c r="F17" s="9" t="s">
        <v>26</v>
      </c>
      <c r="G17" s="10" t="s">
        <v>27</v>
      </c>
      <c r="H17" s="11"/>
      <c r="I17" s="11"/>
      <c r="J17" s="11"/>
      <c r="K17" s="11"/>
      <c r="L17" s="11"/>
      <c r="M17" s="11"/>
    </row>
    <row r="18" spans="1:13" ht="12.75" x14ac:dyDescent="0.2">
      <c r="A18" s="52"/>
      <c r="B18" s="9">
        <v>52</v>
      </c>
      <c r="C18" s="9" t="s">
        <v>1776</v>
      </c>
      <c r="D18" s="9" t="s">
        <v>24</v>
      </c>
      <c r="E18" s="9" t="s">
        <v>25</v>
      </c>
      <c r="F18" s="9" t="s">
        <v>26</v>
      </c>
      <c r="G18" s="10" t="s">
        <v>27</v>
      </c>
      <c r="H18" s="11"/>
      <c r="I18" s="11"/>
      <c r="J18" s="11"/>
      <c r="K18" s="11"/>
      <c r="L18" s="11"/>
      <c r="M18" s="11"/>
    </row>
    <row r="19" spans="1:13" ht="12.75" x14ac:dyDescent="0.2">
      <c r="A19" s="50"/>
      <c r="B19" s="9">
        <v>52</v>
      </c>
      <c r="C19" s="9" t="s">
        <v>1777</v>
      </c>
      <c r="D19" s="9" t="s">
        <v>30</v>
      </c>
      <c r="E19" s="9" t="s">
        <v>25</v>
      </c>
      <c r="F19" s="9" t="s">
        <v>26</v>
      </c>
      <c r="G19" s="10" t="s">
        <v>27</v>
      </c>
      <c r="H19" s="11"/>
      <c r="I19" s="11"/>
      <c r="J19" s="11"/>
      <c r="K19" s="11"/>
      <c r="L19" s="11"/>
      <c r="M19" s="11"/>
    </row>
    <row r="20" spans="1:13" ht="12.75" x14ac:dyDescent="0.2">
      <c r="A20" s="51"/>
      <c r="B20" s="9">
        <v>52</v>
      </c>
      <c r="C20" s="9" t="s">
        <v>1778</v>
      </c>
      <c r="D20" s="9" t="s">
        <v>24</v>
      </c>
      <c r="E20" s="9" t="s">
        <v>25</v>
      </c>
      <c r="F20" s="9" t="s">
        <v>26</v>
      </c>
      <c r="G20" s="10" t="s">
        <v>27</v>
      </c>
      <c r="H20" s="11"/>
      <c r="I20" s="11"/>
      <c r="J20" s="11"/>
      <c r="K20" s="11"/>
      <c r="L20" s="11"/>
      <c r="M20" s="11"/>
    </row>
    <row r="21" spans="1:13" ht="12.75" x14ac:dyDescent="0.2">
      <c r="A21" s="50"/>
      <c r="B21" s="9">
        <v>52</v>
      </c>
      <c r="C21" s="9" t="s">
        <v>1779</v>
      </c>
      <c r="D21" s="9" t="s">
        <v>24</v>
      </c>
      <c r="E21" s="9" t="s">
        <v>25</v>
      </c>
      <c r="F21" s="9" t="s">
        <v>26</v>
      </c>
      <c r="G21" s="10" t="s">
        <v>27</v>
      </c>
      <c r="H21" s="11"/>
      <c r="I21" s="11"/>
      <c r="J21" s="11"/>
      <c r="K21" s="11"/>
      <c r="L21" s="11"/>
      <c r="M21" s="11"/>
    </row>
    <row r="22" spans="1:13" ht="12.75" x14ac:dyDescent="0.2">
      <c r="A22" s="51"/>
      <c r="B22" s="9">
        <v>52</v>
      </c>
      <c r="C22" s="9" t="s">
        <v>1780</v>
      </c>
      <c r="D22" s="9" t="s">
        <v>24</v>
      </c>
      <c r="E22" s="9" t="s">
        <v>25</v>
      </c>
      <c r="F22" s="9" t="s">
        <v>26</v>
      </c>
      <c r="G22" s="10" t="s">
        <v>27</v>
      </c>
      <c r="H22" s="11"/>
      <c r="I22" s="11"/>
      <c r="J22" s="11"/>
      <c r="K22" s="11"/>
      <c r="L22" s="11"/>
      <c r="M22" s="11"/>
    </row>
    <row r="23" spans="1:13" ht="12.75" x14ac:dyDescent="0.2">
      <c r="A23" s="50"/>
      <c r="B23" s="9">
        <v>52</v>
      </c>
      <c r="C23" s="9" t="s">
        <v>1781</v>
      </c>
      <c r="D23" s="9" t="s">
        <v>24</v>
      </c>
      <c r="E23" s="9" t="s">
        <v>25</v>
      </c>
      <c r="F23" s="9" t="s">
        <v>26</v>
      </c>
      <c r="G23" s="10" t="s">
        <v>27</v>
      </c>
      <c r="H23" s="11"/>
      <c r="I23" s="11"/>
      <c r="J23" s="11"/>
      <c r="K23" s="11"/>
      <c r="L23" s="11"/>
      <c r="M23" s="11"/>
    </row>
    <row r="24" spans="1:13" ht="12.75" x14ac:dyDescent="0.2">
      <c r="A24" s="51"/>
      <c r="B24" s="9">
        <v>52</v>
      </c>
      <c r="C24" s="9" t="s">
        <v>1782</v>
      </c>
      <c r="D24" s="9" t="s">
        <v>30</v>
      </c>
      <c r="E24" s="9" t="s">
        <v>25</v>
      </c>
      <c r="F24" s="9" t="s">
        <v>26</v>
      </c>
      <c r="G24" s="10" t="s">
        <v>27</v>
      </c>
      <c r="H24" s="11"/>
      <c r="I24" s="11"/>
      <c r="J24" s="11"/>
      <c r="K24" s="11"/>
      <c r="L24" s="11"/>
      <c r="M24" s="11"/>
    </row>
    <row r="25" spans="1:13" ht="12.75" x14ac:dyDescent="0.2">
      <c r="A25" s="50"/>
      <c r="B25" s="9">
        <v>52</v>
      </c>
      <c r="C25" s="9" t="s">
        <v>1783</v>
      </c>
      <c r="D25" s="9" t="s">
        <v>24</v>
      </c>
      <c r="E25" s="9" t="s">
        <v>25</v>
      </c>
      <c r="F25" s="9" t="s">
        <v>26</v>
      </c>
      <c r="G25" s="10" t="s">
        <v>27</v>
      </c>
      <c r="H25" s="11"/>
      <c r="I25" s="11"/>
      <c r="J25" s="11"/>
      <c r="K25" s="11"/>
      <c r="L25" s="11"/>
      <c r="M25" s="11"/>
    </row>
    <row r="26" spans="1:13" ht="12.75" x14ac:dyDescent="0.2">
      <c r="A26" s="51"/>
      <c r="B26" s="9">
        <v>52</v>
      </c>
      <c r="C26" s="9" t="s">
        <v>1784</v>
      </c>
      <c r="D26" s="9" t="s">
        <v>24</v>
      </c>
      <c r="E26" s="9" t="s">
        <v>25</v>
      </c>
      <c r="F26" s="9" t="s">
        <v>26</v>
      </c>
      <c r="G26" s="10" t="s">
        <v>27</v>
      </c>
      <c r="H26" s="11"/>
      <c r="I26" s="11"/>
      <c r="J26" s="11"/>
      <c r="K26" s="11"/>
      <c r="L26" s="11"/>
      <c r="M26" s="11"/>
    </row>
    <row r="27" spans="1:13" ht="12.75" x14ac:dyDescent="0.2">
      <c r="A27" s="50"/>
      <c r="B27" s="9">
        <v>52</v>
      </c>
      <c r="C27" s="9" t="s">
        <v>1785</v>
      </c>
      <c r="D27" s="9" t="s">
        <v>24</v>
      </c>
      <c r="E27" s="9" t="s">
        <v>25</v>
      </c>
      <c r="F27" s="9" t="s">
        <v>26</v>
      </c>
      <c r="G27" s="10" t="s">
        <v>27</v>
      </c>
      <c r="H27" s="11"/>
      <c r="I27" s="11"/>
      <c r="J27" s="11"/>
      <c r="K27" s="11"/>
      <c r="L27" s="11"/>
      <c r="M27" s="11"/>
    </row>
    <row r="28" spans="1:13" ht="12.75" x14ac:dyDescent="0.2">
      <c r="A28" s="57"/>
      <c r="B28" s="9">
        <v>52</v>
      </c>
      <c r="C28" s="9" t="s">
        <v>1786</v>
      </c>
      <c r="D28" s="9" t="s">
        <v>24</v>
      </c>
      <c r="E28" s="9" t="s">
        <v>25</v>
      </c>
      <c r="F28" s="9" t="s">
        <v>26</v>
      </c>
      <c r="G28" s="10" t="s">
        <v>27</v>
      </c>
      <c r="H28" s="11"/>
      <c r="I28" s="11"/>
      <c r="J28" s="11"/>
      <c r="K28" s="11"/>
      <c r="L28" s="11"/>
      <c r="M28" s="11"/>
    </row>
    <row r="29" spans="1:13" ht="12.75" x14ac:dyDescent="0.2">
      <c r="A29" s="48" t="s">
        <v>33</v>
      </c>
      <c r="B29" s="9">
        <v>52</v>
      </c>
      <c r="C29" s="9" t="s">
        <v>1787</v>
      </c>
      <c r="D29" s="9" t="s">
        <v>24</v>
      </c>
      <c r="E29" s="9" t="s">
        <v>31</v>
      </c>
      <c r="F29" s="9" t="s">
        <v>26</v>
      </c>
      <c r="G29" s="10" t="s">
        <v>27</v>
      </c>
      <c r="H29" s="11"/>
      <c r="I29" s="11"/>
      <c r="J29" s="11"/>
      <c r="K29" s="11"/>
      <c r="L29" s="11"/>
      <c r="M29" s="11"/>
    </row>
    <row r="30" spans="1:13" ht="12.75" x14ac:dyDescent="0.2">
      <c r="A30" s="51"/>
      <c r="B30" s="9">
        <v>52</v>
      </c>
      <c r="C30" s="9" t="s">
        <v>1721</v>
      </c>
      <c r="D30" s="9" t="s">
        <v>24</v>
      </c>
      <c r="E30" s="9" t="s">
        <v>31</v>
      </c>
      <c r="F30" s="9" t="s">
        <v>26</v>
      </c>
      <c r="G30" s="10" t="s">
        <v>27</v>
      </c>
      <c r="H30" s="11"/>
      <c r="I30" s="11"/>
      <c r="J30" s="11"/>
      <c r="K30" s="11"/>
      <c r="L30" s="11"/>
      <c r="M30" s="11"/>
    </row>
    <row r="31" spans="1:13" ht="12.75" x14ac:dyDescent="0.2">
      <c r="A31" s="50"/>
      <c r="B31" s="9">
        <v>52</v>
      </c>
      <c r="C31" s="9" t="s">
        <v>1788</v>
      </c>
      <c r="D31" s="9" t="s">
        <v>24</v>
      </c>
      <c r="E31" s="9" t="s">
        <v>31</v>
      </c>
      <c r="F31" s="9" t="s">
        <v>26</v>
      </c>
      <c r="G31" s="10" t="s">
        <v>27</v>
      </c>
      <c r="H31" s="11"/>
      <c r="I31" s="11"/>
      <c r="J31" s="11"/>
      <c r="K31" s="11"/>
      <c r="L31" s="11"/>
      <c r="M31" s="11"/>
    </row>
    <row r="32" spans="1:13" ht="12.75" x14ac:dyDescent="0.2">
      <c r="A32" s="51"/>
      <c r="B32" s="9">
        <v>52</v>
      </c>
      <c r="C32" s="9" t="s">
        <v>1789</v>
      </c>
      <c r="D32" s="9" t="s">
        <v>24</v>
      </c>
      <c r="E32" s="9" t="s">
        <v>31</v>
      </c>
      <c r="F32" s="9" t="s">
        <v>26</v>
      </c>
      <c r="G32" s="10" t="s">
        <v>27</v>
      </c>
      <c r="H32" s="11"/>
      <c r="I32" s="11"/>
      <c r="J32" s="11"/>
      <c r="K32" s="11"/>
      <c r="L32" s="11"/>
      <c r="M32" s="11"/>
    </row>
    <row r="33" spans="1:13" ht="12.75" x14ac:dyDescent="0.2">
      <c r="A33" s="50"/>
      <c r="B33" s="9">
        <v>52</v>
      </c>
      <c r="C33" s="9" t="s">
        <v>1790</v>
      </c>
      <c r="D33" s="9" t="s">
        <v>24</v>
      </c>
      <c r="E33" s="9" t="s">
        <v>31</v>
      </c>
      <c r="F33" s="9" t="s">
        <v>26</v>
      </c>
      <c r="G33" s="10" t="s">
        <v>27</v>
      </c>
      <c r="H33" s="11"/>
      <c r="I33" s="11"/>
      <c r="J33" s="11"/>
      <c r="K33" s="11"/>
      <c r="L33" s="11"/>
      <c r="M33" s="11"/>
    </row>
    <row r="34" spans="1:13" ht="12.75" x14ac:dyDescent="0.2">
      <c r="A34" s="51"/>
      <c r="B34" s="9">
        <v>52</v>
      </c>
      <c r="C34" s="9" t="s">
        <v>1771</v>
      </c>
      <c r="D34" s="9" t="s">
        <v>24</v>
      </c>
      <c r="E34" s="9" t="s">
        <v>31</v>
      </c>
      <c r="F34" s="9" t="s">
        <v>26</v>
      </c>
      <c r="G34" s="10" t="s">
        <v>27</v>
      </c>
      <c r="H34" s="11"/>
      <c r="I34" s="11"/>
      <c r="J34" s="11"/>
      <c r="K34" s="11"/>
      <c r="L34" s="11"/>
      <c r="M34" s="11"/>
    </row>
    <row r="35" spans="1:13" ht="12.75" x14ac:dyDescent="0.2">
      <c r="A35" s="50"/>
      <c r="B35" s="9">
        <v>52</v>
      </c>
      <c r="C35" s="9" t="s">
        <v>1791</v>
      </c>
      <c r="D35" s="9" t="s">
        <v>24</v>
      </c>
      <c r="E35" s="9" t="s">
        <v>31</v>
      </c>
      <c r="F35" s="9" t="s">
        <v>26</v>
      </c>
      <c r="G35" s="10" t="s">
        <v>27</v>
      </c>
      <c r="H35" s="11"/>
      <c r="I35" s="11"/>
      <c r="J35" s="11"/>
      <c r="K35" s="11"/>
      <c r="L35" s="11"/>
      <c r="M35" s="11"/>
    </row>
    <row r="36" spans="1:13" ht="12.75" x14ac:dyDescent="0.2">
      <c r="A36" s="52"/>
      <c r="B36" s="9">
        <v>52</v>
      </c>
      <c r="C36" s="9" t="s">
        <v>1792</v>
      </c>
      <c r="D36" s="9" t="s">
        <v>24</v>
      </c>
      <c r="E36" s="9" t="s">
        <v>31</v>
      </c>
      <c r="F36" s="9" t="s">
        <v>26</v>
      </c>
      <c r="G36" s="10" t="s">
        <v>27</v>
      </c>
      <c r="H36" s="11"/>
      <c r="I36" s="11"/>
      <c r="J36" s="11"/>
      <c r="K36" s="11"/>
      <c r="L36" s="11"/>
      <c r="M36" s="11"/>
    </row>
    <row r="37" spans="1:13" ht="12.75" x14ac:dyDescent="0.2">
      <c r="A37" s="52"/>
      <c r="B37" s="9">
        <v>52</v>
      </c>
      <c r="C37" s="9" t="s">
        <v>1793</v>
      </c>
      <c r="D37" s="9" t="s">
        <v>24</v>
      </c>
      <c r="E37" s="9" t="s">
        <v>31</v>
      </c>
      <c r="F37" s="9" t="s">
        <v>26</v>
      </c>
      <c r="G37" s="10" t="s">
        <v>27</v>
      </c>
      <c r="H37" s="11"/>
      <c r="I37" s="11"/>
      <c r="J37" s="11"/>
      <c r="K37" s="11"/>
      <c r="L37" s="11"/>
      <c r="M37" s="11"/>
    </row>
    <row r="38" spans="1:13" ht="12.75" x14ac:dyDescent="0.2">
      <c r="A38" s="52"/>
      <c r="B38" s="9">
        <v>52</v>
      </c>
      <c r="C38" s="9" t="s">
        <v>1794</v>
      </c>
      <c r="D38" s="9" t="s">
        <v>24</v>
      </c>
      <c r="E38" s="9" t="s">
        <v>31</v>
      </c>
      <c r="F38" s="9" t="s">
        <v>26</v>
      </c>
      <c r="G38" s="10" t="s">
        <v>27</v>
      </c>
      <c r="H38" s="11"/>
      <c r="I38" s="11"/>
      <c r="J38" s="11"/>
      <c r="K38" s="11"/>
      <c r="L38" s="11"/>
      <c r="M38" s="11"/>
    </row>
    <row r="39" spans="1:13" ht="12.75" x14ac:dyDescent="0.2">
      <c r="A39" s="52"/>
      <c r="B39" s="9">
        <v>52</v>
      </c>
      <c r="C39" s="9" t="s">
        <v>1795</v>
      </c>
      <c r="D39" s="9" t="s">
        <v>24</v>
      </c>
      <c r="E39" s="9" t="s">
        <v>31</v>
      </c>
      <c r="F39" s="9" t="s">
        <v>26</v>
      </c>
      <c r="G39" s="10" t="s">
        <v>27</v>
      </c>
      <c r="H39" s="11"/>
      <c r="I39" s="11"/>
      <c r="J39" s="11"/>
      <c r="K39" s="11"/>
      <c r="L39" s="11"/>
      <c r="M39" s="11"/>
    </row>
    <row r="40" spans="1:13" ht="12.75" x14ac:dyDescent="0.2">
      <c r="A40" s="52"/>
      <c r="B40" s="9">
        <v>52</v>
      </c>
      <c r="C40" s="9">
        <v>36726</v>
      </c>
      <c r="D40" s="9" t="s">
        <v>24</v>
      </c>
      <c r="E40" s="9" t="s">
        <v>31</v>
      </c>
      <c r="F40" s="9" t="s">
        <v>26</v>
      </c>
      <c r="G40" s="10" t="s">
        <v>27</v>
      </c>
      <c r="H40" s="11"/>
      <c r="I40" s="11"/>
      <c r="J40" s="11"/>
      <c r="K40" s="11"/>
      <c r="L40" s="11"/>
      <c r="M40" s="11"/>
    </row>
    <row r="41" spans="1:13" ht="12.75" x14ac:dyDescent="0.2">
      <c r="A41" s="52"/>
      <c r="B41" s="9">
        <v>52</v>
      </c>
      <c r="C41" s="9" t="s">
        <v>1774</v>
      </c>
      <c r="D41" s="9" t="s">
        <v>24</v>
      </c>
      <c r="E41" s="9" t="s">
        <v>31</v>
      </c>
      <c r="F41" s="9" t="s">
        <v>26</v>
      </c>
      <c r="G41" s="10" t="s">
        <v>27</v>
      </c>
      <c r="H41" s="11"/>
      <c r="I41" s="11"/>
      <c r="J41" s="11"/>
      <c r="K41" s="11"/>
      <c r="L41" s="11"/>
      <c r="M41" s="11"/>
    </row>
    <row r="42" spans="1:13" ht="12.75" x14ac:dyDescent="0.2">
      <c r="A42" s="52"/>
      <c r="B42" s="9">
        <v>52</v>
      </c>
      <c r="C42" s="9" t="s">
        <v>1796</v>
      </c>
      <c r="D42" s="9" t="s">
        <v>24</v>
      </c>
      <c r="E42" s="9" t="s">
        <v>31</v>
      </c>
      <c r="F42" s="9" t="s">
        <v>26</v>
      </c>
      <c r="G42" s="10" t="s">
        <v>27</v>
      </c>
      <c r="H42" s="11"/>
      <c r="I42" s="11"/>
      <c r="J42" s="11"/>
      <c r="K42" s="11"/>
      <c r="L42" s="11"/>
      <c r="M42" s="11"/>
    </row>
    <row r="43" spans="1:13" ht="12.75" x14ac:dyDescent="0.2">
      <c r="A43" s="53"/>
      <c r="B43" s="9">
        <v>52</v>
      </c>
      <c r="C43" s="9" t="s">
        <v>1797</v>
      </c>
      <c r="D43" s="9" t="s">
        <v>24</v>
      </c>
      <c r="E43" s="9" t="s">
        <v>31</v>
      </c>
      <c r="F43" s="9" t="s">
        <v>26</v>
      </c>
      <c r="G43" s="10" t="s">
        <v>27</v>
      </c>
      <c r="H43" s="11"/>
      <c r="I43" s="11"/>
      <c r="J43" s="11"/>
      <c r="K43" s="11"/>
      <c r="L43" s="11"/>
      <c r="M43" s="11"/>
    </row>
    <row r="44" spans="1:13" ht="12.75" x14ac:dyDescent="0.2">
      <c r="A44" s="48" t="s">
        <v>38</v>
      </c>
      <c r="B44" s="9">
        <v>52</v>
      </c>
      <c r="C44" s="9" t="s">
        <v>1798</v>
      </c>
      <c r="D44" s="9" t="s">
        <v>24</v>
      </c>
      <c r="E44" s="9" t="s">
        <v>31</v>
      </c>
      <c r="F44" s="9" t="s">
        <v>26</v>
      </c>
      <c r="G44" s="10" t="s">
        <v>27</v>
      </c>
      <c r="H44" s="11"/>
      <c r="I44" s="11"/>
      <c r="J44" s="11"/>
      <c r="K44" s="11"/>
      <c r="L44" s="11"/>
      <c r="M44" s="11"/>
    </row>
    <row r="45" spans="1:13" ht="12.75" x14ac:dyDescent="0.2">
      <c r="A45" s="52"/>
      <c r="B45" s="9">
        <v>52</v>
      </c>
      <c r="C45" s="9" t="s">
        <v>1799</v>
      </c>
      <c r="D45" s="9" t="s">
        <v>24</v>
      </c>
      <c r="E45" s="9" t="s">
        <v>31</v>
      </c>
      <c r="F45" s="9" t="s">
        <v>26</v>
      </c>
      <c r="G45" s="10" t="s">
        <v>27</v>
      </c>
      <c r="H45" s="11"/>
      <c r="I45" s="11"/>
      <c r="J45" s="11"/>
      <c r="K45" s="11"/>
      <c r="L45" s="11"/>
      <c r="M45" s="11"/>
    </row>
    <row r="46" spans="1:13" ht="12.75" x14ac:dyDescent="0.2">
      <c r="A46" s="52"/>
      <c r="B46" s="9">
        <v>52</v>
      </c>
      <c r="C46" s="9" t="s">
        <v>1800</v>
      </c>
      <c r="D46" s="9" t="s">
        <v>24</v>
      </c>
      <c r="E46" s="9" t="s">
        <v>31</v>
      </c>
      <c r="F46" s="9" t="s">
        <v>26</v>
      </c>
      <c r="G46" s="10" t="s">
        <v>27</v>
      </c>
      <c r="H46" s="11"/>
      <c r="I46" s="11"/>
      <c r="J46" s="11"/>
      <c r="K46" s="11"/>
      <c r="L46" s="11"/>
      <c r="M46" s="11"/>
    </row>
    <row r="47" spans="1:13" ht="12.75" x14ac:dyDescent="0.2">
      <c r="A47" s="52"/>
      <c r="B47" s="9">
        <v>52</v>
      </c>
      <c r="C47" s="9" t="s">
        <v>1721</v>
      </c>
      <c r="D47" s="9" t="s">
        <v>30</v>
      </c>
      <c r="E47" s="9" t="s">
        <v>31</v>
      </c>
      <c r="F47" s="9" t="s">
        <v>26</v>
      </c>
      <c r="G47" s="10" t="s">
        <v>27</v>
      </c>
      <c r="H47" s="11"/>
      <c r="I47" s="11"/>
      <c r="J47" s="11"/>
      <c r="K47" s="11"/>
      <c r="L47" s="11"/>
      <c r="M47" s="11"/>
    </row>
    <row r="48" spans="1:13" ht="12.75" x14ac:dyDescent="0.2">
      <c r="A48" s="52"/>
      <c r="B48" s="9">
        <v>52</v>
      </c>
      <c r="C48" s="9" t="s">
        <v>1801</v>
      </c>
      <c r="D48" s="9" t="s">
        <v>24</v>
      </c>
      <c r="E48" s="9" t="s">
        <v>31</v>
      </c>
      <c r="F48" s="9" t="s">
        <v>26</v>
      </c>
      <c r="G48" s="10" t="s">
        <v>27</v>
      </c>
      <c r="H48" s="11"/>
      <c r="I48" s="11"/>
      <c r="J48" s="11"/>
      <c r="K48" s="11"/>
      <c r="L48" s="11"/>
      <c r="M48" s="11"/>
    </row>
    <row r="49" spans="1:8" ht="12.75" x14ac:dyDescent="0.2">
      <c r="A49" s="52"/>
      <c r="B49" s="9">
        <v>52</v>
      </c>
      <c r="C49" s="9" t="s">
        <v>1802</v>
      </c>
      <c r="D49" s="9" t="s">
        <v>30</v>
      </c>
      <c r="E49" s="9" t="s">
        <v>31</v>
      </c>
      <c r="F49" s="9" t="s">
        <v>26</v>
      </c>
      <c r="G49" s="10" t="s">
        <v>27</v>
      </c>
      <c r="H49" s="13"/>
    </row>
    <row r="50" spans="1:8" ht="12.75" x14ac:dyDescent="0.2">
      <c r="A50" s="52"/>
      <c r="B50" s="9">
        <v>52</v>
      </c>
      <c r="C50" s="9" t="s">
        <v>1803</v>
      </c>
      <c r="D50" s="9" t="s">
        <v>24</v>
      </c>
      <c r="E50" s="9" t="s">
        <v>31</v>
      </c>
      <c r="F50" s="9" t="s">
        <v>26</v>
      </c>
      <c r="G50" s="10" t="s">
        <v>27</v>
      </c>
      <c r="H50" s="13"/>
    </row>
    <row r="51" spans="1:8" ht="12.75" x14ac:dyDescent="0.2">
      <c r="A51" s="52"/>
      <c r="B51" s="9">
        <v>52</v>
      </c>
      <c r="C51" s="9" t="s">
        <v>1790</v>
      </c>
      <c r="D51" s="9" t="s">
        <v>24</v>
      </c>
      <c r="E51" s="9" t="s">
        <v>31</v>
      </c>
      <c r="F51" s="9" t="s">
        <v>26</v>
      </c>
      <c r="G51" s="10" t="s">
        <v>27</v>
      </c>
      <c r="H51" s="13"/>
    </row>
    <row r="52" spans="1:8" ht="12.75" x14ac:dyDescent="0.2">
      <c r="A52" s="52"/>
      <c r="B52" s="9">
        <v>52</v>
      </c>
      <c r="C52" s="9" t="s">
        <v>1804</v>
      </c>
      <c r="D52" s="9" t="s">
        <v>24</v>
      </c>
      <c r="E52" s="9" t="s">
        <v>31</v>
      </c>
      <c r="F52" s="9" t="s">
        <v>26</v>
      </c>
      <c r="G52" s="10" t="s">
        <v>27</v>
      </c>
      <c r="H52" s="13"/>
    </row>
    <row r="53" spans="1:8" ht="12.75" x14ac:dyDescent="0.2">
      <c r="A53" s="52"/>
      <c r="B53" s="9">
        <v>52</v>
      </c>
      <c r="C53" s="9" t="s">
        <v>1805</v>
      </c>
      <c r="D53" s="9" t="s">
        <v>24</v>
      </c>
      <c r="E53" s="9" t="s">
        <v>31</v>
      </c>
      <c r="F53" s="9" t="s">
        <v>26</v>
      </c>
      <c r="G53" s="10" t="s">
        <v>27</v>
      </c>
      <c r="H53" s="13"/>
    </row>
    <row r="54" spans="1:8" ht="12.75" x14ac:dyDescent="0.2">
      <c r="A54" s="52"/>
      <c r="B54" s="9">
        <v>52</v>
      </c>
      <c r="C54" s="9" t="s">
        <v>1771</v>
      </c>
      <c r="D54" s="9" t="s">
        <v>24</v>
      </c>
      <c r="E54" s="9" t="s">
        <v>31</v>
      </c>
      <c r="F54" s="9" t="s">
        <v>26</v>
      </c>
      <c r="G54" s="10" t="s">
        <v>27</v>
      </c>
      <c r="H54" s="13"/>
    </row>
    <row r="55" spans="1:8" ht="12.75" x14ac:dyDescent="0.2">
      <c r="A55" s="52"/>
      <c r="B55" s="9">
        <v>52</v>
      </c>
      <c r="C55" s="9" t="s">
        <v>1806</v>
      </c>
      <c r="D55" s="9" t="s">
        <v>24</v>
      </c>
      <c r="E55" s="9" t="s">
        <v>31</v>
      </c>
      <c r="F55" s="9" t="s">
        <v>26</v>
      </c>
      <c r="G55" s="10" t="s">
        <v>27</v>
      </c>
      <c r="H55" s="13"/>
    </row>
    <row r="56" spans="1:8" ht="12.75" x14ac:dyDescent="0.2">
      <c r="A56" s="52"/>
      <c r="B56" s="9">
        <v>52</v>
      </c>
      <c r="C56" s="9" t="s">
        <v>1772</v>
      </c>
      <c r="D56" s="9" t="s">
        <v>24</v>
      </c>
      <c r="E56" s="9" t="s">
        <v>31</v>
      </c>
      <c r="F56" s="9" t="s">
        <v>26</v>
      </c>
      <c r="G56" s="10" t="s">
        <v>27</v>
      </c>
      <c r="H56" s="13"/>
    </row>
    <row r="57" spans="1:8" ht="12.75" x14ac:dyDescent="0.2">
      <c r="A57" s="52"/>
      <c r="B57" s="9">
        <v>52</v>
      </c>
      <c r="C57" s="9" t="s">
        <v>1807</v>
      </c>
      <c r="D57" s="9" t="s">
        <v>24</v>
      </c>
      <c r="E57" s="9" t="s">
        <v>31</v>
      </c>
      <c r="F57" s="9" t="s">
        <v>26</v>
      </c>
      <c r="G57" s="10" t="s">
        <v>27</v>
      </c>
      <c r="H57" s="13"/>
    </row>
    <row r="58" spans="1:8" ht="12.75" x14ac:dyDescent="0.2">
      <c r="A58" s="52"/>
      <c r="B58" s="9">
        <v>52</v>
      </c>
      <c r="C58" s="9" t="s">
        <v>1808</v>
      </c>
      <c r="D58" s="9" t="s">
        <v>24</v>
      </c>
      <c r="E58" s="9" t="s">
        <v>31</v>
      </c>
      <c r="F58" s="9" t="s">
        <v>26</v>
      </c>
      <c r="G58" s="10" t="s">
        <v>27</v>
      </c>
      <c r="H58" s="13"/>
    </row>
    <row r="59" spans="1:8" ht="12.75" x14ac:dyDescent="0.2">
      <c r="A59" s="52"/>
      <c r="B59" s="9">
        <v>52</v>
      </c>
      <c r="C59" s="9" t="s">
        <v>1809</v>
      </c>
      <c r="D59" s="9" t="s">
        <v>24</v>
      </c>
      <c r="E59" s="9" t="s">
        <v>31</v>
      </c>
      <c r="F59" s="9" t="s">
        <v>26</v>
      </c>
      <c r="G59" s="10" t="s">
        <v>27</v>
      </c>
      <c r="H59" s="13"/>
    </row>
    <row r="60" spans="1:8" ht="12.75" x14ac:dyDescent="0.2">
      <c r="A60" s="52"/>
      <c r="B60" s="9">
        <v>52</v>
      </c>
      <c r="C60" s="9" t="s">
        <v>1810</v>
      </c>
      <c r="D60" s="9" t="s">
        <v>24</v>
      </c>
      <c r="E60" s="9" t="s">
        <v>31</v>
      </c>
      <c r="F60" s="9" t="s">
        <v>26</v>
      </c>
      <c r="G60" s="10" t="s">
        <v>27</v>
      </c>
      <c r="H60" s="13"/>
    </row>
    <row r="61" spans="1:8" ht="12.75" x14ac:dyDescent="0.2">
      <c r="A61" s="52"/>
      <c r="B61" s="9">
        <v>52</v>
      </c>
      <c r="C61" s="9" t="s">
        <v>1811</v>
      </c>
      <c r="D61" s="9" t="s">
        <v>30</v>
      </c>
      <c r="E61" s="9" t="s">
        <v>31</v>
      </c>
      <c r="F61" s="9" t="s">
        <v>26</v>
      </c>
      <c r="G61" s="10" t="s">
        <v>27</v>
      </c>
      <c r="H61" s="13"/>
    </row>
    <row r="62" spans="1:8" ht="12.75" x14ac:dyDescent="0.2">
      <c r="A62" s="52"/>
      <c r="B62" s="9">
        <v>52</v>
      </c>
      <c r="C62" s="9" t="s">
        <v>1812</v>
      </c>
      <c r="D62" s="9" t="s">
        <v>24</v>
      </c>
      <c r="E62" s="9" t="s">
        <v>31</v>
      </c>
      <c r="F62" s="9" t="s">
        <v>26</v>
      </c>
      <c r="G62" s="10" t="s">
        <v>27</v>
      </c>
      <c r="H62" s="13"/>
    </row>
    <row r="63" spans="1:8" ht="12.75" x14ac:dyDescent="0.2">
      <c r="A63" s="52"/>
      <c r="B63" s="9">
        <v>52</v>
      </c>
      <c r="C63" s="9" t="s">
        <v>1774</v>
      </c>
      <c r="D63" s="9" t="s">
        <v>24</v>
      </c>
      <c r="E63" s="9" t="s">
        <v>31</v>
      </c>
      <c r="F63" s="9" t="s">
        <v>26</v>
      </c>
      <c r="G63" s="10" t="s">
        <v>27</v>
      </c>
      <c r="H63" s="13"/>
    </row>
    <row r="64" spans="1:8" ht="12.75" x14ac:dyDescent="0.2">
      <c r="A64" s="52"/>
      <c r="B64" s="9">
        <v>52</v>
      </c>
      <c r="C64" s="9" t="s">
        <v>1813</v>
      </c>
      <c r="D64" s="9" t="s">
        <v>24</v>
      </c>
      <c r="E64" s="9" t="s">
        <v>31</v>
      </c>
      <c r="F64" s="9" t="s">
        <v>26</v>
      </c>
      <c r="G64" s="10" t="s">
        <v>27</v>
      </c>
      <c r="H64" s="13"/>
    </row>
    <row r="65" spans="1:8" ht="12.75" x14ac:dyDescent="0.2">
      <c r="A65" s="52"/>
      <c r="B65" s="9">
        <v>52</v>
      </c>
      <c r="C65" s="9" t="s">
        <v>1796</v>
      </c>
      <c r="D65" s="9" t="s">
        <v>24</v>
      </c>
      <c r="E65" s="9" t="s">
        <v>31</v>
      </c>
      <c r="F65" s="9" t="s">
        <v>26</v>
      </c>
      <c r="G65" s="10" t="s">
        <v>27</v>
      </c>
      <c r="H65" s="13"/>
    </row>
    <row r="66" spans="1:8" ht="12.75" x14ac:dyDescent="0.2">
      <c r="A66" s="52"/>
      <c r="B66" s="9">
        <v>52</v>
      </c>
      <c r="C66" s="9" t="s">
        <v>1814</v>
      </c>
      <c r="D66" s="9" t="s">
        <v>24</v>
      </c>
      <c r="E66" s="9" t="s">
        <v>31</v>
      </c>
      <c r="F66" s="9" t="s">
        <v>26</v>
      </c>
      <c r="G66" s="10" t="s">
        <v>27</v>
      </c>
      <c r="H66" s="13"/>
    </row>
    <row r="67" spans="1:8" ht="12.75" x14ac:dyDescent="0.2">
      <c r="A67" s="52"/>
      <c r="B67" s="9">
        <v>52</v>
      </c>
      <c r="C67" s="9" t="s">
        <v>1815</v>
      </c>
      <c r="D67" s="9" t="s">
        <v>24</v>
      </c>
      <c r="E67" s="9" t="s">
        <v>31</v>
      </c>
      <c r="F67" s="9" t="s">
        <v>26</v>
      </c>
      <c r="G67" s="10" t="s">
        <v>27</v>
      </c>
      <c r="H67" s="13"/>
    </row>
    <row r="68" spans="1:8" ht="12.75" x14ac:dyDescent="0.2">
      <c r="A68" s="53"/>
      <c r="B68" s="9">
        <v>52</v>
      </c>
      <c r="C68" s="9" t="s">
        <v>1816</v>
      </c>
      <c r="D68" s="9" t="s">
        <v>24</v>
      </c>
      <c r="E68" s="9" t="s">
        <v>31</v>
      </c>
      <c r="F68" s="9" t="s">
        <v>26</v>
      </c>
      <c r="G68" s="10" t="s">
        <v>27</v>
      </c>
      <c r="H68" s="13"/>
    </row>
    <row r="69" spans="1:8" ht="12.75" x14ac:dyDescent="0.2">
      <c r="A69" s="48" t="s">
        <v>46</v>
      </c>
      <c r="B69" s="9">
        <v>52</v>
      </c>
      <c r="C69" s="9" t="s">
        <v>1817</v>
      </c>
      <c r="D69" s="9" t="s">
        <v>24</v>
      </c>
      <c r="E69" s="9" t="s">
        <v>25</v>
      </c>
      <c r="F69" s="9" t="s">
        <v>26</v>
      </c>
      <c r="G69" s="10" t="s">
        <v>27</v>
      </c>
      <c r="H69" s="13"/>
    </row>
    <row r="70" spans="1:8" ht="12.75" x14ac:dyDescent="0.2">
      <c r="A70" s="52"/>
      <c r="B70" s="9">
        <v>52</v>
      </c>
      <c r="C70" s="9" t="s">
        <v>1721</v>
      </c>
      <c r="D70" s="9" t="s">
        <v>30</v>
      </c>
      <c r="E70" s="9" t="s">
        <v>25</v>
      </c>
      <c r="F70" s="9" t="s">
        <v>26</v>
      </c>
      <c r="G70" s="10" t="s">
        <v>27</v>
      </c>
      <c r="H70" s="13"/>
    </row>
    <row r="71" spans="1:8" ht="12.75" x14ac:dyDescent="0.2">
      <c r="A71" s="52"/>
      <c r="B71" s="9">
        <v>52</v>
      </c>
      <c r="C71" s="9" t="s">
        <v>1802</v>
      </c>
      <c r="D71" s="9" t="s">
        <v>24</v>
      </c>
      <c r="E71" s="9" t="s">
        <v>25</v>
      </c>
      <c r="F71" s="9" t="s">
        <v>26</v>
      </c>
      <c r="G71" s="10" t="s">
        <v>27</v>
      </c>
      <c r="H71" s="13"/>
    </row>
    <row r="72" spans="1:8" ht="12.75" x14ac:dyDescent="0.2">
      <c r="A72" s="52"/>
      <c r="B72" s="9">
        <v>52</v>
      </c>
      <c r="C72" s="9" t="s">
        <v>1818</v>
      </c>
      <c r="D72" s="9" t="s">
        <v>24</v>
      </c>
      <c r="E72" s="9" t="s">
        <v>25</v>
      </c>
      <c r="F72" s="9" t="s">
        <v>26</v>
      </c>
      <c r="G72" s="10" t="s">
        <v>27</v>
      </c>
      <c r="H72" s="13"/>
    </row>
    <row r="73" spans="1:8" ht="12.75" x14ac:dyDescent="0.2">
      <c r="A73" s="52"/>
      <c r="B73" s="9">
        <v>52</v>
      </c>
      <c r="C73" s="9" t="s">
        <v>1790</v>
      </c>
      <c r="D73" s="9" t="s">
        <v>24</v>
      </c>
      <c r="E73" s="9" t="s">
        <v>25</v>
      </c>
      <c r="F73" s="9" t="s">
        <v>26</v>
      </c>
      <c r="G73" s="10" t="s">
        <v>27</v>
      </c>
      <c r="H73" s="13"/>
    </row>
    <row r="74" spans="1:8" ht="12.75" x14ac:dyDescent="0.2">
      <c r="A74" s="52"/>
      <c r="B74" s="9">
        <v>52</v>
      </c>
      <c r="C74" s="9" t="s">
        <v>1771</v>
      </c>
      <c r="D74" s="9" t="s">
        <v>24</v>
      </c>
      <c r="E74" s="9" t="s">
        <v>25</v>
      </c>
      <c r="F74" s="9" t="s">
        <v>26</v>
      </c>
      <c r="G74" s="10" t="s">
        <v>27</v>
      </c>
      <c r="H74" s="13"/>
    </row>
    <row r="75" spans="1:8" ht="12.75" x14ac:dyDescent="0.2">
      <c r="A75" s="52"/>
      <c r="B75" s="9">
        <v>52</v>
      </c>
      <c r="C75" s="9" t="s">
        <v>1819</v>
      </c>
      <c r="D75" s="9" t="s">
        <v>24</v>
      </c>
      <c r="E75" s="9" t="s">
        <v>25</v>
      </c>
      <c r="F75" s="9" t="s">
        <v>26</v>
      </c>
      <c r="G75" s="10" t="s">
        <v>27</v>
      </c>
      <c r="H75" s="13"/>
    </row>
    <row r="76" spans="1:8" ht="12.75" x14ac:dyDescent="0.2">
      <c r="A76" s="52"/>
      <c r="B76" s="9">
        <v>52</v>
      </c>
      <c r="C76" s="9" t="s">
        <v>1807</v>
      </c>
      <c r="D76" s="9" t="s">
        <v>24</v>
      </c>
      <c r="E76" s="9" t="s">
        <v>25</v>
      </c>
      <c r="F76" s="9" t="s">
        <v>26</v>
      </c>
      <c r="G76" s="10" t="s">
        <v>27</v>
      </c>
      <c r="H76" s="13"/>
    </row>
    <row r="77" spans="1:8" ht="12.75" x14ac:dyDescent="0.2">
      <c r="A77" s="52"/>
      <c r="B77" s="9">
        <v>52</v>
      </c>
      <c r="C77" s="9" t="s">
        <v>1810</v>
      </c>
      <c r="D77" s="9" t="s">
        <v>24</v>
      </c>
      <c r="E77" s="9" t="s">
        <v>25</v>
      </c>
      <c r="F77" s="9" t="s">
        <v>26</v>
      </c>
      <c r="G77" s="10" t="s">
        <v>27</v>
      </c>
      <c r="H77" s="13"/>
    </row>
    <row r="78" spans="1:8" ht="12.75" x14ac:dyDescent="0.2">
      <c r="A78" s="52"/>
      <c r="B78" s="9">
        <v>52</v>
      </c>
      <c r="C78" s="9" t="s">
        <v>1820</v>
      </c>
      <c r="D78" s="9" t="s">
        <v>24</v>
      </c>
      <c r="E78" s="9" t="s">
        <v>25</v>
      </c>
      <c r="F78" s="9" t="s">
        <v>26</v>
      </c>
      <c r="G78" s="10" t="s">
        <v>27</v>
      </c>
      <c r="H78" s="13"/>
    </row>
    <row r="79" spans="1:8" ht="12.75" x14ac:dyDescent="0.2">
      <c r="A79" s="52"/>
      <c r="B79" s="9">
        <v>52</v>
      </c>
      <c r="C79" s="9" t="s">
        <v>1821</v>
      </c>
      <c r="D79" s="9" t="s">
        <v>24</v>
      </c>
      <c r="E79" s="9" t="s">
        <v>25</v>
      </c>
      <c r="F79" s="9" t="s">
        <v>26</v>
      </c>
      <c r="G79" s="10" t="s">
        <v>27</v>
      </c>
      <c r="H79" s="13"/>
    </row>
    <row r="80" spans="1:8" ht="12.75" x14ac:dyDescent="0.2">
      <c r="A80" s="52"/>
      <c r="B80" s="9">
        <v>52</v>
      </c>
      <c r="C80" s="9" t="s">
        <v>1812</v>
      </c>
      <c r="D80" s="9" t="s">
        <v>24</v>
      </c>
      <c r="E80" s="9" t="s">
        <v>25</v>
      </c>
      <c r="F80" s="9" t="s">
        <v>26</v>
      </c>
      <c r="G80" s="10" t="s">
        <v>27</v>
      </c>
      <c r="H80" s="13"/>
    </row>
    <row r="81" spans="1:8" ht="12.75" x14ac:dyDescent="0.2">
      <c r="A81" s="52"/>
      <c r="B81" s="9">
        <v>52</v>
      </c>
      <c r="C81" s="9" t="s">
        <v>1774</v>
      </c>
      <c r="D81" s="9" t="s">
        <v>24</v>
      </c>
      <c r="E81" s="9" t="s">
        <v>25</v>
      </c>
      <c r="F81" s="9" t="s">
        <v>26</v>
      </c>
      <c r="G81" s="10" t="s">
        <v>27</v>
      </c>
      <c r="H81" s="13"/>
    </row>
    <row r="82" spans="1:8" ht="12.75" x14ac:dyDescent="0.2">
      <c r="A82" s="53"/>
      <c r="B82" s="9">
        <v>52</v>
      </c>
      <c r="C82" s="9" t="s">
        <v>1796</v>
      </c>
      <c r="D82" s="9" t="s">
        <v>24</v>
      </c>
      <c r="E82" s="9" t="s">
        <v>25</v>
      </c>
      <c r="F82" s="9" t="s">
        <v>26</v>
      </c>
      <c r="G82" s="10" t="s">
        <v>27</v>
      </c>
      <c r="H82" s="13"/>
    </row>
    <row r="83" spans="1:8" ht="12.75" x14ac:dyDescent="0.2">
      <c r="A83" s="48" t="s">
        <v>1822</v>
      </c>
      <c r="B83" s="9">
        <v>52</v>
      </c>
      <c r="C83" s="9" t="s">
        <v>1823</v>
      </c>
      <c r="D83" s="9" t="s">
        <v>24</v>
      </c>
      <c r="E83" s="9" t="s">
        <v>25</v>
      </c>
      <c r="F83" s="9" t="s">
        <v>26</v>
      </c>
      <c r="G83" s="10" t="s">
        <v>27</v>
      </c>
      <c r="H83" s="13"/>
    </row>
    <row r="84" spans="1:8" ht="12.75" x14ac:dyDescent="0.2">
      <c r="A84" s="52"/>
      <c r="B84" s="9">
        <v>52</v>
      </c>
      <c r="C84" s="9" t="s">
        <v>1799</v>
      </c>
      <c r="D84" s="9" t="s">
        <v>24</v>
      </c>
      <c r="E84" s="9" t="s">
        <v>31</v>
      </c>
      <c r="F84" s="9" t="s">
        <v>26</v>
      </c>
      <c r="G84" s="10" t="s">
        <v>27</v>
      </c>
      <c r="H84" s="13"/>
    </row>
    <row r="85" spans="1:8" ht="12.75" x14ac:dyDescent="0.2">
      <c r="A85" s="52"/>
      <c r="B85" s="9">
        <v>52</v>
      </c>
      <c r="C85" s="9" t="s">
        <v>1824</v>
      </c>
      <c r="D85" s="9" t="s">
        <v>24</v>
      </c>
      <c r="E85" s="9" t="s">
        <v>31</v>
      </c>
      <c r="F85" s="9" t="s">
        <v>26</v>
      </c>
      <c r="G85" s="10" t="s">
        <v>27</v>
      </c>
      <c r="H85" s="13"/>
    </row>
    <row r="86" spans="1:8" ht="12.75" x14ac:dyDescent="0.2">
      <c r="A86" s="53"/>
      <c r="B86" s="9">
        <v>52</v>
      </c>
      <c r="C86" s="9" t="s">
        <v>1825</v>
      </c>
      <c r="D86" s="9" t="s">
        <v>24</v>
      </c>
      <c r="E86" s="9" t="s">
        <v>31</v>
      </c>
      <c r="F86" s="9" t="s">
        <v>26</v>
      </c>
      <c r="G86" s="10" t="s">
        <v>27</v>
      </c>
      <c r="H86" s="13"/>
    </row>
    <row r="87" spans="1:8" ht="12.75" x14ac:dyDescent="0.2">
      <c r="A87" s="48" t="s">
        <v>52</v>
      </c>
      <c r="B87" s="9">
        <v>52</v>
      </c>
      <c r="C87" s="9" t="s">
        <v>1798</v>
      </c>
      <c r="D87" s="9" t="s">
        <v>24</v>
      </c>
      <c r="E87" s="9" t="s">
        <v>31</v>
      </c>
      <c r="F87" s="9" t="s">
        <v>47</v>
      </c>
      <c r="G87" s="10" t="s">
        <v>27</v>
      </c>
      <c r="H87" s="13"/>
    </row>
    <row r="88" spans="1:8" ht="12.75" x14ac:dyDescent="0.2">
      <c r="A88" s="52"/>
      <c r="B88" s="9">
        <v>52</v>
      </c>
      <c r="C88" s="9" t="s">
        <v>1799</v>
      </c>
      <c r="D88" s="9" t="s">
        <v>24</v>
      </c>
      <c r="E88" s="9" t="s">
        <v>31</v>
      </c>
      <c r="F88" s="9" t="s">
        <v>47</v>
      </c>
      <c r="G88" s="10" t="s">
        <v>27</v>
      </c>
      <c r="H88" s="13"/>
    </row>
    <row r="89" spans="1:8" ht="12.75" x14ac:dyDescent="0.2">
      <c r="A89" s="52"/>
      <c r="B89" s="9">
        <v>52</v>
      </c>
      <c r="C89" s="9" t="s">
        <v>1802</v>
      </c>
      <c r="D89" s="9" t="s">
        <v>24</v>
      </c>
      <c r="E89" s="9" t="s">
        <v>31</v>
      </c>
      <c r="F89" s="9" t="s">
        <v>47</v>
      </c>
      <c r="G89" s="10" t="s">
        <v>27</v>
      </c>
      <c r="H89" s="13"/>
    </row>
    <row r="90" spans="1:8" ht="12.75" x14ac:dyDescent="0.2">
      <c r="A90" s="52"/>
      <c r="B90" s="9">
        <v>52</v>
      </c>
      <c r="C90" s="9" t="s">
        <v>1826</v>
      </c>
      <c r="D90" s="9" t="s">
        <v>24</v>
      </c>
      <c r="E90" s="9" t="s">
        <v>31</v>
      </c>
      <c r="F90" s="9" t="s">
        <v>47</v>
      </c>
      <c r="G90" s="10" t="s">
        <v>27</v>
      </c>
      <c r="H90" s="13"/>
    </row>
    <row r="91" spans="1:8" ht="12.75" x14ac:dyDescent="0.2">
      <c r="A91" s="53"/>
      <c r="B91" s="9">
        <v>52</v>
      </c>
      <c r="C91" s="9" t="s">
        <v>1827</v>
      </c>
      <c r="D91" s="9" t="s">
        <v>24</v>
      </c>
      <c r="E91" s="9" t="s">
        <v>31</v>
      </c>
      <c r="F91" s="9" t="s">
        <v>47</v>
      </c>
      <c r="G91" s="10" t="s">
        <v>27</v>
      </c>
      <c r="H91" s="13"/>
    </row>
    <row r="92" spans="1:8" ht="15" customHeight="1" x14ac:dyDescent="0.2">
      <c r="A92" s="48" t="s">
        <v>59</v>
      </c>
      <c r="B92" s="9">
        <v>52</v>
      </c>
      <c r="C92" s="9" t="s">
        <v>1828</v>
      </c>
      <c r="D92" s="9" t="s">
        <v>24</v>
      </c>
      <c r="E92" s="9" t="s">
        <v>31</v>
      </c>
      <c r="F92" s="9" t="s">
        <v>26</v>
      </c>
      <c r="G92" s="10" t="s">
        <v>27</v>
      </c>
      <c r="H92" s="13"/>
    </row>
    <row r="93" spans="1:8" ht="15" customHeight="1" x14ac:dyDescent="0.2">
      <c r="A93" s="52"/>
      <c r="B93" s="9">
        <v>52</v>
      </c>
      <c r="C93" s="9" t="s">
        <v>1799</v>
      </c>
      <c r="D93" s="9" t="s">
        <v>24</v>
      </c>
      <c r="E93" s="9" t="s">
        <v>31</v>
      </c>
      <c r="F93" s="9" t="s">
        <v>26</v>
      </c>
      <c r="G93" s="10" t="s">
        <v>27</v>
      </c>
      <c r="H93" s="13"/>
    </row>
    <row r="94" spans="1:8" ht="12.75" x14ac:dyDescent="0.2">
      <c r="A94" s="52"/>
      <c r="B94" s="9">
        <v>52</v>
      </c>
      <c r="C94" s="9" t="s">
        <v>1829</v>
      </c>
      <c r="D94" s="9" t="s">
        <v>24</v>
      </c>
      <c r="E94" s="9" t="s">
        <v>31</v>
      </c>
      <c r="F94" s="9" t="s">
        <v>26</v>
      </c>
      <c r="G94" s="10" t="s">
        <v>27</v>
      </c>
      <c r="H94" s="13"/>
    </row>
    <row r="95" spans="1:8" ht="12.75" x14ac:dyDescent="0.2">
      <c r="A95" s="53"/>
      <c r="B95" s="9">
        <v>52</v>
      </c>
      <c r="C95" s="9" t="s">
        <v>1830</v>
      </c>
      <c r="D95" s="9" t="s">
        <v>24</v>
      </c>
      <c r="E95" s="9" t="s">
        <v>31</v>
      </c>
      <c r="F95" s="9" t="s">
        <v>26</v>
      </c>
      <c r="G95" s="10" t="s">
        <v>27</v>
      </c>
      <c r="H95" s="13"/>
    </row>
    <row r="96" spans="1:8" ht="12.75" x14ac:dyDescent="0.2">
      <c r="A96" s="48" t="s">
        <v>101</v>
      </c>
      <c r="B96" s="9">
        <v>52</v>
      </c>
      <c r="C96" s="9" t="s">
        <v>1831</v>
      </c>
      <c r="D96" s="9" t="s">
        <v>24</v>
      </c>
      <c r="E96" s="9" t="s">
        <v>31</v>
      </c>
      <c r="F96" s="9" t="s">
        <v>26</v>
      </c>
      <c r="G96" s="10" t="s">
        <v>27</v>
      </c>
      <c r="H96" s="13"/>
    </row>
    <row r="97" spans="1:8" ht="12.75" x14ac:dyDescent="0.2">
      <c r="A97" s="52"/>
      <c r="B97" s="9">
        <v>52</v>
      </c>
      <c r="C97" s="9" t="s">
        <v>1799</v>
      </c>
      <c r="D97" s="9" t="s">
        <v>24</v>
      </c>
      <c r="E97" s="9" t="s">
        <v>31</v>
      </c>
      <c r="F97" s="9" t="s">
        <v>26</v>
      </c>
      <c r="G97" s="10" t="s">
        <v>27</v>
      </c>
      <c r="H97" s="13"/>
    </row>
    <row r="98" spans="1:8" ht="12.75" x14ac:dyDescent="0.2">
      <c r="A98" s="52"/>
      <c r="B98" s="9">
        <v>52</v>
      </c>
      <c r="C98" s="9" t="s">
        <v>1803</v>
      </c>
      <c r="D98" s="9" t="s">
        <v>24</v>
      </c>
      <c r="E98" s="9" t="s">
        <v>31</v>
      </c>
      <c r="F98" s="9" t="s">
        <v>26</v>
      </c>
      <c r="G98" s="10" t="s">
        <v>27</v>
      </c>
      <c r="H98" s="13"/>
    </row>
    <row r="99" spans="1:8" ht="12.75" x14ac:dyDescent="0.2">
      <c r="A99" s="52"/>
      <c r="B99" s="9">
        <v>52</v>
      </c>
      <c r="C99" s="9" t="s">
        <v>1805</v>
      </c>
      <c r="D99" s="9" t="s">
        <v>24</v>
      </c>
      <c r="E99" s="9" t="s">
        <v>31</v>
      </c>
      <c r="F99" s="9" t="s">
        <v>26</v>
      </c>
      <c r="G99" s="10" t="s">
        <v>27</v>
      </c>
      <c r="H99" s="13"/>
    </row>
    <row r="100" spans="1:8" ht="12.75" x14ac:dyDescent="0.2">
      <c r="A100" s="52"/>
      <c r="B100" s="9">
        <v>52</v>
      </c>
      <c r="C100" s="9" t="s">
        <v>1771</v>
      </c>
      <c r="D100" s="9" t="s">
        <v>24</v>
      </c>
      <c r="E100" s="9" t="s">
        <v>31</v>
      </c>
      <c r="F100" s="9" t="s">
        <v>26</v>
      </c>
      <c r="G100" s="10" t="s">
        <v>27</v>
      </c>
      <c r="H100" s="13"/>
    </row>
    <row r="101" spans="1:8" ht="12.75" x14ac:dyDescent="0.2">
      <c r="A101" s="52"/>
      <c r="B101" s="9">
        <v>52</v>
      </c>
      <c r="C101" s="9" t="s">
        <v>1832</v>
      </c>
      <c r="D101" s="9" t="s">
        <v>24</v>
      </c>
      <c r="E101" s="9" t="s">
        <v>31</v>
      </c>
      <c r="F101" s="9" t="s">
        <v>26</v>
      </c>
      <c r="G101" s="10" t="s">
        <v>27</v>
      </c>
      <c r="H101" s="13"/>
    </row>
    <row r="102" spans="1:8" ht="12.75" x14ac:dyDescent="0.2">
      <c r="A102" s="52"/>
      <c r="B102" s="9">
        <v>52</v>
      </c>
      <c r="C102" s="9" t="s">
        <v>1772</v>
      </c>
      <c r="D102" s="9" t="s">
        <v>24</v>
      </c>
      <c r="E102" s="9" t="s">
        <v>31</v>
      </c>
      <c r="F102" s="9" t="s">
        <v>26</v>
      </c>
      <c r="G102" s="10" t="s">
        <v>27</v>
      </c>
      <c r="H102" s="13"/>
    </row>
    <row r="103" spans="1:8" ht="12.75" x14ac:dyDescent="0.2">
      <c r="A103" s="52"/>
      <c r="B103" s="9">
        <v>52</v>
      </c>
      <c r="C103" s="9" t="s">
        <v>1833</v>
      </c>
      <c r="D103" s="9" t="s">
        <v>24</v>
      </c>
      <c r="E103" s="9" t="s">
        <v>31</v>
      </c>
      <c r="F103" s="9" t="s">
        <v>26</v>
      </c>
      <c r="G103" s="10" t="s">
        <v>27</v>
      </c>
      <c r="H103" s="13"/>
    </row>
    <row r="104" spans="1:8" ht="12.75" x14ac:dyDescent="0.2">
      <c r="A104" s="52"/>
      <c r="B104" s="9">
        <v>52</v>
      </c>
      <c r="C104" s="9" t="s">
        <v>1834</v>
      </c>
      <c r="D104" s="9" t="s">
        <v>24</v>
      </c>
      <c r="E104" s="9" t="s">
        <v>31</v>
      </c>
      <c r="F104" s="9" t="s">
        <v>26</v>
      </c>
      <c r="G104" s="10" t="s">
        <v>27</v>
      </c>
      <c r="H104" s="13"/>
    </row>
    <row r="105" spans="1:8" ht="12.75" x14ac:dyDescent="0.2">
      <c r="A105" s="52"/>
      <c r="B105" s="9">
        <v>52</v>
      </c>
      <c r="C105" s="9" t="s">
        <v>1821</v>
      </c>
      <c r="D105" s="9" t="s">
        <v>24</v>
      </c>
      <c r="E105" s="9" t="s">
        <v>31</v>
      </c>
      <c r="F105" s="9" t="s">
        <v>26</v>
      </c>
      <c r="G105" s="10" t="s">
        <v>27</v>
      </c>
      <c r="H105" s="13"/>
    </row>
    <row r="106" spans="1:8" ht="12.75" x14ac:dyDescent="0.2">
      <c r="A106" s="52"/>
      <c r="B106" s="9">
        <v>52</v>
      </c>
      <c r="C106" s="9" t="s">
        <v>1835</v>
      </c>
      <c r="D106" s="9" t="s">
        <v>24</v>
      </c>
      <c r="E106" s="9" t="s">
        <v>31</v>
      </c>
      <c r="F106" s="9" t="s">
        <v>26</v>
      </c>
      <c r="G106" s="10" t="s">
        <v>27</v>
      </c>
      <c r="H106" s="13"/>
    </row>
    <row r="107" spans="1:8" ht="12.75" x14ac:dyDescent="0.2">
      <c r="A107" s="52"/>
      <c r="B107" s="9">
        <v>52</v>
      </c>
      <c r="C107" s="9" t="s">
        <v>1827</v>
      </c>
      <c r="D107" s="9" t="s">
        <v>24</v>
      </c>
      <c r="E107" s="9" t="s">
        <v>31</v>
      </c>
      <c r="F107" s="9" t="s">
        <v>26</v>
      </c>
      <c r="G107" s="10" t="s">
        <v>27</v>
      </c>
      <c r="H107" s="13"/>
    </row>
    <row r="108" spans="1:8" ht="12.75" x14ac:dyDescent="0.2">
      <c r="A108" s="52"/>
      <c r="B108" s="9">
        <v>52</v>
      </c>
      <c r="C108" s="9" t="s">
        <v>1774</v>
      </c>
      <c r="D108" s="9" t="s">
        <v>24</v>
      </c>
      <c r="E108" s="9" t="s">
        <v>31</v>
      </c>
      <c r="F108" s="9" t="s">
        <v>26</v>
      </c>
      <c r="G108" s="10" t="s">
        <v>27</v>
      </c>
      <c r="H108" s="13"/>
    </row>
    <row r="109" spans="1:8" ht="12.75" x14ac:dyDescent="0.2">
      <c r="A109" s="52"/>
      <c r="B109" s="9">
        <v>52</v>
      </c>
      <c r="C109" s="9" t="s">
        <v>1796</v>
      </c>
      <c r="D109" s="9" t="s">
        <v>24</v>
      </c>
      <c r="E109" s="9" t="s">
        <v>31</v>
      </c>
      <c r="F109" s="9" t="s">
        <v>26</v>
      </c>
      <c r="G109" s="10" t="s">
        <v>27</v>
      </c>
      <c r="H109" s="13"/>
    </row>
    <row r="110" spans="1:8" ht="12.75" x14ac:dyDescent="0.2">
      <c r="A110" s="53"/>
      <c r="B110" s="9">
        <v>52</v>
      </c>
      <c r="C110" s="9" t="s">
        <v>1836</v>
      </c>
      <c r="D110" s="9" t="s">
        <v>24</v>
      </c>
      <c r="E110" s="9" t="s">
        <v>31</v>
      </c>
      <c r="F110" s="9" t="s">
        <v>26</v>
      </c>
      <c r="G110" s="10" t="s">
        <v>27</v>
      </c>
      <c r="H110" s="13"/>
    </row>
    <row r="111" spans="1:8" ht="12.75" x14ac:dyDescent="0.2">
      <c r="A111" s="48" t="s">
        <v>62</v>
      </c>
      <c r="B111" s="9">
        <v>52</v>
      </c>
      <c r="C111" s="9" t="s">
        <v>1837</v>
      </c>
      <c r="D111" s="9" t="s">
        <v>24</v>
      </c>
      <c r="E111" s="9" t="s">
        <v>31</v>
      </c>
      <c r="F111" s="9" t="s">
        <v>26</v>
      </c>
      <c r="G111" s="10" t="s">
        <v>27</v>
      </c>
      <c r="H111" s="13"/>
    </row>
    <row r="112" spans="1:8" ht="12.75" x14ac:dyDescent="0.2">
      <c r="A112" s="52"/>
      <c r="B112" s="9">
        <v>52</v>
      </c>
      <c r="C112" s="9" t="s">
        <v>1821</v>
      </c>
      <c r="D112" s="9" t="s">
        <v>24</v>
      </c>
      <c r="E112" s="9" t="s">
        <v>31</v>
      </c>
      <c r="F112" s="9" t="s">
        <v>47</v>
      </c>
      <c r="G112" s="10" t="s">
        <v>27</v>
      </c>
      <c r="H112" s="13"/>
    </row>
    <row r="113" spans="1:8" ht="12.75" x14ac:dyDescent="0.2">
      <c r="A113" s="52"/>
      <c r="B113" s="9">
        <v>52</v>
      </c>
      <c r="C113" s="9" t="s">
        <v>1772</v>
      </c>
      <c r="D113" s="9" t="s">
        <v>24</v>
      </c>
      <c r="E113" s="9" t="s">
        <v>31</v>
      </c>
      <c r="F113" s="9" t="s">
        <v>47</v>
      </c>
      <c r="G113" s="10" t="s">
        <v>27</v>
      </c>
      <c r="H113" s="13"/>
    </row>
    <row r="114" spans="1:8" ht="12.75" x14ac:dyDescent="0.2">
      <c r="A114" s="52"/>
      <c r="B114" s="9">
        <v>52</v>
      </c>
      <c r="C114" s="9" t="s">
        <v>1826</v>
      </c>
      <c r="D114" s="9" t="s">
        <v>24</v>
      </c>
      <c r="E114" s="9" t="s">
        <v>31</v>
      </c>
      <c r="F114" s="9" t="s">
        <v>47</v>
      </c>
      <c r="G114" s="10" t="s">
        <v>27</v>
      </c>
      <c r="H114" s="13"/>
    </row>
    <row r="115" spans="1:8" ht="12.75" x14ac:dyDescent="0.2">
      <c r="A115" s="52"/>
      <c r="B115" s="9">
        <v>52</v>
      </c>
      <c r="C115" s="9" t="s">
        <v>1805</v>
      </c>
      <c r="D115" s="9" t="s">
        <v>24</v>
      </c>
      <c r="E115" s="9" t="s">
        <v>31</v>
      </c>
      <c r="F115" s="9" t="s">
        <v>47</v>
      </c>
      <c r="G115" s="10" t="s">
        <v>27</v>
      </c>
      <c r="H115" s="13"/>
    </row>
    <row r="116" spans="1:8" ht="12.75" x14ac:dyDescent="0.2">
      <c r="A116" s="53"/>
      <c r="B116" s="9">
        <v>52</v>
      </c>
      <c r="C116" s="9" t="s">
        <v>1799</v>
      </c>
      <c r="D116" s="9" t="s">
        <v>24</v>
      </c>
      <c r="E116" s="9" t="s">
        <v>31</v>
      </c>
      <c r="F116" s="9" t="s">
        <v>47</v>
      </c>
      <c r="G116" s="10" t="s">
        <v>27</v>
      </c>
      <c r="H116" s="13"/>
    </row>
    <row r="117" spans="1:8" ht="12.75" x14ac:dyDescent="0.2">
      <c r="A117" s="48" t="s">
        <v>70</v>
      </c>
      <c r="B117" s="9">
        <v>52</v>
      </c>
      <c r="C117" s="9" t="s">
        <v>1799</v>
      </c>
      <c r="D117" s="9" t="s">
        <v>24</v>
      </c>
      <c r="E117" s="9" t="s">
        <v>31</v>
      </c>
      <c r="F117" s="9" t="s">
        <v>26</v>
      </c>
      <c r="G117" s="10" t="s">
        <v>27</v>
      </c>
      <c r="H117" s="13"/>
    </row>
    <row r="118" spans="1:8" ht="12.75" x14ac:dyDescent="0.2">
      <c r="A118" s="52"/>
      <c r="B118" s="9">
        <v>52</v>
      </c>
      <c r="C118" s="9" t="s">
        <v>1830</v>
      </c>
      <c r="D118" s="9" t="s">
        <v>24</v>
      </c>
      <c r="E118" s="9" t="s">
        <v>31</v>
      </c>
      <c r="F118" s="9" t="s">
        <v>26</v>
      </c>
      <c r="G118" s="10" t="s">
        <v>27</v>
      </c>
      <c r="H118" s="13"/>
    </row>
    <row r="119" spans="1:8" ht="12.75" x14ac:dyDescent="0.2">
      <c r="A119" s="52"/>
      <c r="B119" s="9">
        <v>52</v>
      </c>
      <c r="C119" s="9" t="s">
        <v>1838</v>
      </c>
      <c r="D119" s="9" t="s">
        <v>24</v>
      </c>
      <c r="E119" s="9" t="s">
        <v>31</v>
      </c>
      <c r="F119" s="9" t="s">
        <v>26</v>
      </c>
      <c r="G119" s="10" t="s">
        <v>27</v>
      </c>
      <c r="H119" s="13"/>
    </row>
    <row r="120" spans="1:8" ht="12.75" x14ac:dyDescent="0.2">
      <c r="A120" s="52"/>
      <c r="B120" s="9">
        <v>52</v>
      </c>
      <c r="C120" s="9" t="s">
        <v>1803</v>
      </c>
      <c r="D120" s="9" t="s">
        <v>24</v>
      </c>
      <c r="E120" s="9" t="s">
        <v>31</v>
      </c>
      <c r="F120" s="9" t="s">
        <v>26</v>
      </c>
      <c r="G120" s="10" t="s">
        <v>27</v>
      </c>
      <c r="H120" s="13"/>
    </row>
    <row r="121" spans="1:8" ht="12.75" x14ac:dyDescent="0.2">
      <c r="A121" s="52"/>
      <c r="B121" s="9">
        <v>52</v>
      </c>
      <c r="C121" s="9" t="s">
        <v>1839</v>
      </c>
      <c r="D121" s="9" t="s">
        <v>24</v>
      </c>
      <c r="E121" s="9" t="s">
        <v>31</v>
      </c>
      <c r="F121" s="9" t="s">
        <v>26</v>
      </c>
      <c r="G121" s="10" t="s">
        <v>27</v>
      </c>
      <c r="H121" s="13"/>
    </row>
    <row r="122" spans="1:8" ht="12.75" x14ac:dyDescent="0.2">
      <c r="A122" s="52"/>
      <c r="B122" s="9">
        <v>52</v>
      </c>
      <c r="C122" s="9" t="s">
        <v>1832</v>
      </c>
      <c r="D122" s="9" t="s">
        <v>24</v>
      </c>
      <c r="E122" s="9" t="s">
        <v>31</v>
      </c>
      <c r="F122" s="9" t="s">
        <v>26</v>
      </c>
      <c r="G122" s="10" t="s">
        <v>27</v>
      </c>
      <c r="H122" s="13"/>
    </row>
    <row r="123" spans="1:8" ht="12.75" x14ac:dyDescent="0.2">
      <c r="A123" s="52"/>
      <c r="B123" s="9">
        <v>52</v>
      </c>
      <c r="C123" s="9" t="s">
        <v>1772</v>
      </c>
      <c r="D123" s="9" t="s">
        <v>24</v>
      </c>
      <c r="E123" s="9" t="s">
        <v>31</v>
      </c>
      <c r="F123" s="9" t="s">
        <v>26</v>
      </c>
      <c r="G123" s="10" t="s">
        <v>27</v>
      </c>
      <c r="H123" s="13"/>
    </row>
    <row r="124" spans="1:8" ht="12.75" x14ac:dyDescent="0.2">
      <c r="A124" s="52"/>
      <c r="B124" s="9">
        <v>52</v>
      </c>
      <c r="C124" s="9" t="s">
        <v>1821</v>
      </c>
      <c r="D124" s="9" t="s">
        <v>24</v>
      </c>
      <c r="E124" s="9" t="s">
        <v>31</v>
      </c>
      <c r="F124" s="9" t="s">
        <v>26</v>
      </c>
      <c r="G124" s="10" t="s">
        <v>27</v>
      </c>
      <c r="H124" s="13"/>
    </row>
    <row r="125" spans="1:8" ht="12.75" x14ac:dyDescent="0.2">
      <c r="A125" s="53"/>
      <c r="B125" s="9">
        <v>52</v>
      </c>
      <c r="C125" s="9" t="s">
        <v>1827</v>
      </c>
      <c r="D125" s="9" t="s">
        <v>24</v>
      </c>
      <c r="E125" s="9" t="s">
        <v>31</v>
      </c>
      <c r="F125" s="9" t="s">
        <v>26</v>
      </c>
      <c r="G125" s="10" t="s">
        <v>27</v>
      </c>
      <c r="H125" s="13"/>
    </row>
    <row r="126" spans="1:8" ht="12.75" x14ac:dyDescent="0.2">
      <c r="A126" s="48" t="s">
        <v>73</v>
      </c>
      <c r="B126" s="9">
        <v>52</v>
      </c>
      <c r="C126" s="9" t="s">
        <v>1799</v>
      </c>
      <c r="D126" s="9" t="s">
        <v>24</v>
      </c>
      <c r="E126" s="9" t="s">
        <v>31</v>
      </c>
      <c r="F126" s="9" t="s">
        <v>26</v>
      </c>
      <c r="G126" s="10" t="s">
        <v>27</v>
      </c>
      <c r="H126" s="13"/>
    </row>
    <row r="127" spans="1:8" ht="12.75" x14ac:dyDescent="0.2">
      <c r="A127" s="52"/>
      <c r="B127" s="9">
        <v>52</v>
      </c>
      <c r="C127" s="9" t="s">
        <v>1830</v>
      </c>
      <c r="D127" s="9" t="s">
        <v>24</v>
      </c>
      <c r="E127" s="9" t="s">
        <v>31</v>
      </c>
      <c r="F127" s="9" t="s">
        <v>26</v>
      </c>
      <c r="G127" s="10" t="s">
        <v>27</v>
      </c>
      <c r="H127" s="13"/>
    </row>
    <row r="128" spans="1:8" ht="12.75" x14ac:dyDescent="0.2">
      <c r="A128" s="52"/>
      <c r="B128" s="9">
        <v>52</v>
      </c>
      <c r="C128" s="9" t="s">
        <v>1840</v>
      </c>
      <c r="D128" s="9" t="s">
        <v>24</v>
      </c>
      <c r="E128" s="9" t="s">
        <v>31</v>
      </c>
      <c r="F128" s="9" t="s">
        <v>26</v>
      </c>
      <c r="G128" s="10" t="s">
        <v>27</v>
      </c>
      <c r="H128" s="13"/>
    </row>
    <row r="129" spans="1:8" ht="12.75" x14ac:dyDescent="0.2">
      <c r="A129" s="52"/>
      <c r="B129" s="9">
        <v>52</v>
      </c>
      <c r="C129" s="9" t="s">
        <v>1803</v>
      </c>
      <c r="D129" s="9" t="s">
        <v>24</v>
      </c>
      <c r="E129" s="9" t="s">
        <v>31</v>
      </c>
      <c r="F129" s="9" t="s">
        <v>26</v>
      </c>
      <c r="G129" s="10" t="s">
        <v>27</v>
      </c>
      <c r="H129" s="13"/>
    </row>
    <row r="130" spans="1:8" ht="12.75" x14ac:dyDescent="0.2">
      <c r="A130" s="52"/>
      <c r="B130" s="9">
        <v>52</v>
      </c>
      <c r="C130" s="9" t="s">
        <v>1839</v>
      </c>
      <c r="D130" s="9" t="s">
        <v>24</v>
      </c>
      <c r="E130" s="9" t="s">
        <v>31</v>
      </c>
      <c r="F130" s="9" t="s">
        <v>26</v>
      </c>
      <c r="G130" s="10" t="s">
        <v>27</v>
      </c>
      <c r="H130" s="13"/>
    </row>
    <row r="131" spans="1:8" ht="12.75" x14ac:dyDescent="0.2">
      <c r="A131" s="52"/>
      <c r="B131" s="9">
        <v>52</v>
      </c>
      <c r="C131" s="9" t="s">
        <v>1805</v>
      </c>
      <c r="D131" s="9" t="s">
        <v>24</v>
      </c>
      <c r="E131" s="9" t="s">
        <v>31</v>
      </c>
      <c r="F131" s="9" t="s">
        <v>26</v>
      </c>
      <c r="G131" s="10" t="s">
        <v>27</v>
      </c>
      <c r="H131" s="13"/>
    </row>
    <row r="132" spans="1:8" ht="12.75" x14ac:dyDescent="0.2">
      <c r="A132" s="52"/>
      <c r="B132" s="9">
        <v>52</v>
      </c>
      <c r="C132" s="9" t="s">
        <v>1772</v>
      </c>
      <c r="D132" s="9" t="s">
        <v>24</v>
      </c>
      <c r="E132" s="9" t="s">
        <v>31</v>
      </c>
      <c r="F132" s="9" t="s">
        <v>26</v>
      </c>
      <c r="G132" s="10" t="s">
        <v>27</v>
      </c>
      <c r="H132" s="13"/>
    </row>
    <row r="133" spans="1:8" ht="12.75" x14ac:dyDescent="0.2">
      <c r="A133" s="53"/>
      <c r="B133" s="9">
        <v>52</v>
      </c>
      <c r="C133" s="9" t="s">
        <v>1774</v>
      </c>
      <c r="D133" s="9" t="s">
        <v>24</v>
      </c>
      <c r="E133" s="9" t="s">
        <v>31</v>
      </c>
      <c r="F133" s="9" t="s">
        <v>26</v>
      </c>
      <c r="G133" s="10" t="s">
        <v>27</v>
      </c>
      <c r="H133" s="13"/>
    </row>
    <row r="134" spans="1:8" ht="12.75" x14ac:dyDescent="0.2">
      <c r="A134" s="48" t="s">
        <v>77</v>
      </c>
      <c r="B134" s="12">
        <v>52</v>
      </c>
      <c r="C134" s="12" t="s">
        <v>1799</v>
      </c>
      <c r="D134" s="12" t="s">
        <v>24</v>
      </c>
      <c r="E134" s="12" t="s">
        <v>25</v>
      </c>
      <c r="F134" s="12" t="s">
        <v>26</v>
      </c>
      <c r="G134" s="10" t="s">
        <v>27</v>
      </c>
      <c r="H134" s="13"/>
    </row>
    <row r="135" spans="1:8" ht="12.75" x14ac:dyDescent="0.2">
      <c r="A135" s="52"/>
      <c r="B135" s="12">
        <v>52</v>
      </c>
      <c r="C135" s="12" t="s">
        <v>785</v>
      </c>
      <c r="D135" s="12" t="s">
        <v>24</v>
      </c>
      <c r="E135" s="12" t="s">
        <v>25</v>
      </c>
      <c r="F135" s="12" t="s">
        <v>26</v>
      </c>
      <c r="G135" s="10" t="s">
        <v>27</v>
      </c>
      <c r="H135" s="13"/>
    </row>
    <row r="136" spans="1:8" ht="12.75" x14ac:dyDescent="0.2">
      <c r="A136" s="52"/>
      <c r="B136" s="12">
        <v>52</v>
      </c>
      <c r="C136" s="12" t="s">
        <v>1841</v>
      </c>
      <c r="D136" s="12" t="s">
        <v>24</v>
      </c>
      <c r="E136" s="12" t="s">
        <v>25</v>
      </c>
      <c r="F136" s="12" t="s">
        <v>26</v>
      </c>
      <c r="G136" s="10" t="s">
        <v>27</v>
      </c>
      <c r="H136" s="13"/>
    </row>
    <row r="137" spans="1:8" ht="12.75" x14ac:dyDescent="0.2">
      <c r="A137" s="52"/>
      <c r="B137" s="12">
        <v>52</v>
      </c>
      <c r="C137" s="12" t="s">
        <v>1842</v>
      </c>
      <c r="D137" s="12" t="s">
        <v>24</v>
      </c>
      <c r="E137" s="12" t="s">
        <v>25</v>
      </c>
      <c r="F137" s="12" t="s">
        <v>26</v>
      </c>
      <c r="G137" s="10" t="s">
        <v>27</v>
      </c>
      <c r="H137" s="13"/>
    </row>
    <row r="138" spans="1:8" ht="12.75" x14ac:dyDescent="0.2">
      <c r="A138" s="52"/>
      <c r="B138" s="12">
        <v>52</v>
      </c>
      <c r="C138" s="12" t="s">
        <v>1803</v>
      </c>
      <c r="D138" s="12" t="s">
        <v>24</v>
      </c>
      <c r="E138" s="12" t="s">
        <v>25</v>
      </c>
      <c r="F138" s="12" t="s">
        <v>26</v>
      </c>
      <c r="G138" s="10" t="s">
        <v>27</v>
      </c>
      <c r="H138" s="13"/>
    </row>
    <row r="139" spans="1:8" ht="12.75" x14ac:dyDescent="0.2">
      <c r="A139" s="52"/>
      <c r="B139" s="12">
        <v>52</v>
      </c>
      <c r="C139" s="12" t="s">
        <v>1843</v>
      </c>
      <c r="D139" s="12" t="s">
        <v>24</v>
      </c>
      <c r="E139" s="12" t="s">
        <v>25</v>
      </c>
      <c r="F139" s="12" t="s">
        <v>26</v>
      </c>
      <c r="G139" s="10" t="s">
        <v>27</v>
      </c>
      <c r="H139" s="13"/>
    </row>
    <row r="140" spans="1:8" ht="12.75" x14ac:dyDescent="0.2">
      <c r="A140" s="52"/>
      <c r="B140" s="12">
        <v>52</v>
      </c>
      <c r="C140" s="12" t="s">
        <v>1771</v>
      </c>
      <c r="D140" s="12" t="s">
        <v>24</v>
      </c>
      <c r="E140" s="12" t="s">
        <v>25</v>
      </c>
      <c r="F140" s="12" t="s">
        <v>26</v>
      </c>
      <c r="G140" s="10" t="s">
        <v>27</v>
      </c>
      <c r="H140" s="13"/>
    </row>
    <row r="141" spans="1:8" ht="12.75" x14ac:dyDescent="0.2">
      <c r="A141" s="52"/>
      <c r="B141" s="12">
        <v>52</v>
      </c>
      <c r="C141" s="12" t="s">
        <v>1844</v>
      </c>
      <c r="D141" s="12" t="s">
        <v>24</v>
      </c>
      <c r="E141" s="12" t="s">
        <v>25</v>
      </c>
      <c r="F141" s="12" t="s">
        <v>26</v>
      </c>
      <c r="G141" s="10" t="s">
        <v>27</v>
      </c>
      <c r="H141" s="13"/>
    </row>
    <row r="142" spans="1:8" ht="12.75" x14ac:dyDescent="0.2">
      <c r="A142" s="52"/>
      <c r="B142" s="12">
        <v>52</v>
      </c>
      <c r="C142" s="12" t="s">
        <v>1845</v>
      </c>
      <c r="D142" s="12" t="s">
        <v>24</v>
      </c>
      <c r="E142" s="12" t="s">
        <v>25</v>
      </c>
      <c r="F142" s="12" t="s">
        <v>26</v>
      </c>
      <c r="G142" s="10" t="s">
        <v>27</v>
      </c>
      <c r="H142" s="13"/>
    </row>
    <row r="143" spans="1:8" ht="12.75" x14ac:dyDescent="0.2">
      <c r="A143" s="52"/>
      <c r="B143" s="12">
        <v>52</v>
      </c>
      <c r="C143" s="12" t="s">
        <v>1846</v>
      </c>
      <c r="D143" s="12" t="s">
        <v>24</v>
      </c>
      <c r="E143" s="12" t="s">
        <v>25</v>
      </c>
      <c r="F143" s="12" t="s">
        <v>26</v>
      </c>
      <c r="G143" s="10" t="s">
        <v>27</v>
      </c>
      <c r="H143" s="13"/>
    </row>
    <row r="144" spans="1:8" ht="12.75" x14ac:dyDescent="0.2">
      <c r="A144" s="52"/>
      <c r="B144" s="12">
        <v>52</v>
      </c>
      <c r="C144" s="12" t="s">
        <v>1847</v>
      </c>
      <c r="D144" s="12" t="s">
        <v>24</v>
      </c>
      <c r="E144" s="12" t="s">
        <v>25</v>
      </c>
      <c r="F144" s="12" t="s">
        <v>26</v>
      </c>
      <c r="G144" s="10" t="s">
        <v>27</v>
      </c>
      <c r="H144" s="13"/>
    </row>
    <row r="145" spans="1:8" ht="12.75" x14ac:dyDescent="0.2">
      <c r="A145" s="52"/>
      <c r="B145" s="12">
        <v>52</v>
      </c>
      <c r="C145" s="12" t="s">
        <v>1774</v>
      </c>
      <c r="D145" s="12" t="s">
        <v>24</v>
      </c>
      <c r="E145" s="12" t="s">
        <v>25</v>
      </c>
      <c r="F145" s="12" t="s">
        <v>26</v>
      </c>
      <c r="G145" s="10" t="s">
        <v>27</v>
      </c>
      <c r="H145" s="13"/>
    </row>
    <row r="146" spans="1:8" ht="12.75" x14ac:dyDescent="0.2">
      <c r="A146" s="53"/>
      <c r="B146" s="12">
        <v>52</v>
      </c>
      <c r="C146" s="12" t="s">
        <v>1848</v>
      </c>
      <c r="D146" s="12" t="s">
        <v>24</v>
      </c>
      <c r="E146" s="12" t="s">
        <v>25</v>
      </c>
      <c r="F146" s="12" t="s">
        <v>26</v>
      </c>
      <c r="G146" s="10" t="s">
        <v>27</v>
      </c>
      <c r="H146" s="13"/>
    </row>
    <row r="147" spans="1:8" ht="12.75" x14ac:dyDescent="0.2">
      <c r="A147" s="48" t="s">
        <v>79</v>
      </c>
      <c r="B147" s="9">
        <v>52</v>
      </c>
      <c r="C147" s="9" t="s">
        <v>1849</v>
      </c>
      <c r="D147" s="9" t="s">
        <v>24</v>
      </c>
      <c r="E147" s="9" t="s">
        <v>31</v>
      </c>
      <c r="F147" s="9" t="s">
        <v>26</v>
      </c>
      <c r="G147" s="10" t="s">
        <v>27</v>
      </c>
      <c r="H147" s="13"/>
    </row>
    <row r="148" spans="1:8" ht="12.75" x14ac:dyDescent="0.2">
      <c r="A148" s="52"/>
      <c r="B148" s="9">
        <v>52</v>
      </c>
      <c r="C148" s="9" t="s">
        <v>1799</v>
      </c>
      <c r="D148" s="9" t="s">
        <v>24</v>
      </c>
      <c r="E148" s="9" t="s">
        <v>31</v>
      </c>
      <c r="F148" s="9" t="s">
        <v>26</v>
      </c>
      <c r="G148" s="10" t="s">
        <v>27</v>
      </c>
      <c r="H148" s="13"/>
    </row>
    <row r="149" spans="1:8" ht="12.75" x14ac:dyDescent="0.2">
      <c r="A149" s="52"/>
      <c r="B149" s="9">
        <v>52</v>
      </c>
      <c r="C149" s="9" t="s">
        <v>1850</v>
      </c>
      <c r="D149" s="9" t="s">
        <v>24</v>
      </c>
      <c r="E149" s="9" t="s">
        <v>31</v>
      </c>
      <c r="F149" s="9" t="s">
        <v>26</v>
      </c>
      <c r="G149" s="10" t="s">
        <v>27</v>
      </c>
      <c r="H149" s="13"/>
    </row>
    <row r="150" spans="1:8" ht="12.75" x14ac:dyDescent="0.2">
      <c r="A150" s="52"/>
      <c r="B150" s="9">
        <v>52</v>
      </c>
      <c r="C150" s="9" t="s">
        <v>1851</v>
      </c>
      <c r="D150" s="9" t="s">
        <v>24</v>
      </c>
      <c r="E150" s="9" t="s">
        <v>31</v>
      </c>
      <c r="F150" s="9" t="s">
        <v>26</v>
      </c>
      <c r="G150" s="10" t="s">
        <v>27</v>
      </c>
      <c r="H150" s="13"/>
    </row>
    <row r="151" spans="1:8" ht="12.75" x14ac:dyDescent="0.2">
      <c r="A151" s="52"/>
      <c r="B151" s="9">
        <v>52</v>
      </c>
      <c r="C151" s="9" t="s">
        <v>1852</v>
      </c>
      <c r="D151" s="9" t="s">
        <v>24</v>
      </c>
      <c r="E151" s="9" t="s">
        <v>31</v>
      </c>
      <c r="F151" s="9" t="s">
        <v>26</v>
      </c>
      <c r="G151" s="10" t="s">
        <v>27</v>
      </c>
      <c r="H151" s="13"/>
    </row>
    <row r="152" spans="1:8" ht="12.75" x14ac:dyDescent="0.2">
      <c r="A152" s="52"/>
      <c r="B152" s="9">
        <v>52</v>
      </c>
      <c r="C152" s="9" t="s">
        <v>1803</v>
      </c>
      <c r="D152" s="9" t="s">
        <v>24</v>
      </c>
      <c r="E152" s="9" t="s">
        <v>31</v>
      </c>
      <c r="F152" s="9" t="s">
        <v>26</v>
      </c>
      <c r="G152" s="10" t="s">
        <v>27</v>
      </c>
      <c r="H152" s="13"/>
    </row>
    <row r="153" spans="1:8" ht="12.75" x14ac:dyDescent="0.2">
      <c r="A153" s="52"/>
      <c r="B153" s="9">
        <v>52</v>
      </c>
      <c r="C153" s="9" t="s">
        <v>1853</v>
      </c>
      <c r="D153" s="9" t="s">
        <v>24</v>
      </c>
      <c r="E153" s="9" t="s">
        <v>31</v>
      </c>
      <c r="F153" s="9" t="s">
        <v>26</v>
      </c>
      <c r="G153" s="10" t="s">
        <v>27</v>
      </c>
      <c r="H153" s="13"/>
    </row>
    <row r="154" spans="1:8" ht="12.75" x14ac:dyDescent="0.2">
      <c r="A154" s="52"/>
      <c r="B154" s="9">
        <v>52</v>
      </c>
      <c r="C154" s="9" t="s">
        <v>1854</v>
      </c>
      <c r="D154" s="9" t="s">
        <v>24</v>
      </c>
      <c r="E154" s="9" t="s">
        <v>31</v>
      </c>
      <c r="F154" s="9" t="s">
        <v>26</v>
      </c>
      <c r="G154" s="10" t="s">
        <v>27</v>
      </c>
      <c r="H154" s="13"/>
    </row>
    <row r="155" spans="1:8" ht="12.75" x14ac:dyDescent="0.2">
      <c r="A155" s="52"/>
      <c r="B155" s="9">
        <v>52</v>
      </c>
      <c r="C155" s="9" t="s">
        <v>1771</v>
      </c>
      <c r="D155" s="9" t="s">
        <v>24</v>
      </c>
      <c r="E155" s="9" t="s">
        <v>31</v>
      </c>
      <c r="F155" s="9" t="s">
        <v>26</v>
      </c>
      <c r="G155" s="10" t="s">
        <v>27</v>
      </c>
      <c r="H155" s="13"/>
    </row>
    <row r="156" spans="1:8" ht="12.75" x14ac:dyDescent="0.2">
      <c r="A156" s="52"/>
      <c r="B156" s="9">
        <v>52</v>
      </c>
      <c r="C156" s="9" t="s">
        <v>1770</v>
      </c>
      <c r="D156" s="9" t="s">
        <v>24</v>
      </c>
      <c r="E156" s="9" t="s">
        <v>31</v>
      </c>
      <c r="F156" s="9" t="s">
        <v>26</v>
      </c>
      <c r="G156" s="10" t="s">
        <v>27</v>
      </c>
      <c r="H156" s="13"/>
    </row>
    <row r="157" spans="1:8" ht="12.75" x14ac:dyDescent="0.2">
      <c r="A157" s="52"/>
      <c r="B157" s="9">
        <v>52</v>
      </c>
      <c r="C157" s="9" t="s">
        <v>1772</v>
      </c>
      <c r="D157" s="9" t="s">
        <v>30</v>
      </c>
      <c r="E157" s="9" t="s">
        <v>31</v>
      </c>
      <c r="F157" s="9" t="s">
        <v>26</v>
      </c>
      <c r="G157" s="10" t="s">
        <v>27</v>
      </c>
      <c r="H157" s="13"/>
    </row>
    <row r="158" spans="1:8" ht="12.75" x14ac:dyDescent="0.2">
      <c r="A158" s="52"/>
      <c r="B158" s="9">
        <v>52</v>
      </c>
      <c r="C158" s="9" t="s">
        <v>1844</v>
      </c>
      <c r="D158" s="9" t="s">
        <v>30</v>
      </c>
      <c r="E158" s="9" t="s">
        <v>31</v>
      </c>
      <c r="F158" s="9" t="s">
        <v>26</v>
      </c>
      <c r="G158" s="10" t="s">
        <v>27</v>
      </c>
      <c r="H158" s="13"/>
    </row>
    <row r="159" spans="1:8" ht="12.75" x14ac:dyDescent="0.2">
      <c r="A159" s="52"/>
      <c r="B159" s="9">
        <v>52</v>
      </c>
      <c r="C159" s="9" t="s">
        <v>1855</v>
      </c>
      <c r="D159" s="9" t="s">
        <v>24</v>
      </c>
      <c r="E159" s="9" t="s">
        <v>31</v>
      </c>
      <c r="F159" s="9" t="s">
        <v>26</v>
      </c>
      <c r="G159" s="10" t="s">
        <v>27</v>
      </c>
      <c r="H159" s="13"/>
    </row>
    <row r="160" spans="1:8" ht="12.75" x14ac:dyDescent="0.2">
      <c r="A160" s="52"/>
      <c r="B160" s="9">
        <v>52</v>
      </c>
      <c r="C160" s="9" t="s">
        <v>1856</v>
      </c>
      <c r="D160" s="9" t="s">
        <v>24</v>
      </c>
      <c r="E160" s="9" t="s">
        <v>31</v>
      </c>
      <c r="F160" s="9" t="s">
        <v>26</v>
      </c>
      <c r="G160" s="10" t="s">
        <v>27</v>
      </c>
      <c r="H160" s="13"/>
    </row>
    <row r="161" spans="1:17" ht="12.75" x14ac:dyDescent="0.2">
      <c r="A161" s="52"/>
      <c r="B161" s="9">
        <v>52</v>
      </c>
      <c r="C161" s="9" t="s">
        <v>1857</v>
      </c>
      <c r="D161" s="9" t="s">
        <v>24</v>
      </c>
      <c r="E161" s="9" t="s">
        <v>31</v>
      </c>
      <c r="F161" s="9" t="s">
        <v>26</v>
      </c>
      <c r="G161" s="10" t="s">
        <v>27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</row>
    <row r="162" spans="1:17" ht="12.75" x14ac:dyDescent="0.2">
      <c r="A162" s="52"/>
      <c r="B162" s="9">
        <v>52</v>
      </c>
      <c r="C162" s="9" t="s">
        <v>1858</v>
      </c>
      <c r="D162" s="9" t="s">
        <v>24</v>
      </c>
      <c r="E162" s="9" t="s">
        <v>31</v>
      </c>
      <c r="F162" s="9" t="s">
        <v>26</v>
      </c>
      <c r="G162" s="10" t="s">
        <v>27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</row>
    <row r="163" spans="1:17" ht="12.75" x14ac:dyDescent="0.2">
      <c r="A163" s="52"/>
      <c r="B163" s="9">
        <v>52</v>
      </c>
      <c r="C163" s="9" t="s">
        <v>1847</v>
      </c>
      <c r="D163" s="9" t="s">
        <v>24</v>
      </c>
      <c r="E163" s="9" t="s">
        <v>31</v>
      </c>
      <c r="F163" s="9" t="s">
        <v>26</v>
      </c>
      <c r="G163" s="10" t="s">
        <v>27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</row>
    <row r="164" spans="1:17" ht="12.75" x14ac:dyDescent="0.2">
      <c r="A164" s="52"/>
      <c r="B164" s="9">
        <v>52</v>
      </c>
      <c r="C164" s="9" t="s">
        <v>1774</v>
      </c>
      <c r="D164" s="9" t="s">
        <v>24</v>
      </c>
      <c r="E164" s="9" t="s">
        <v>31</v>
      </c>
      <c r="F164" s="9" t="s">
        <v>26</v>
      </c>
      <c r="G164" s="10" t="s">
        <v>27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</row>
    <row r="165" spans="1:17" ht="12.75" x14ac:dyDescent="0.2">
      <c r="A165" s="53"/>
      <c r="B165" s="9">
        <v>52</v>
      </c>
      <c r="C165" s="9" t="s">
        <v>1859</v>
      </c>
      <c r="D165" s="9" t="s">
        <v>24</v>
      </c>
      <c r="E165" s="9" t="s">
        <v>31</v>
      </c>
      <c r="F165" s="9" t="s">
        <v>26</v>
      </c>
      <c r="G165" s="10" t="s">
        <v>27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</row>
    <row r="166" spans="1:17" ht="12.75" x14ac:dyDescent="0.2">
      <c r="A166" s="48" t="s">
        <v>83</v>
      </c>
      <c r="B166" s="9">
        <v>52</v>
      </c>
      <c r="C166" s="9" t="s">
        <v>1799</v>
      </c>
      <c r="D166" s="9" t="s">
        <v>24</v>
      </c>
      <c r="E166" s="9" t="s">
        <v>31</v>
      </c>
      <c r="F166" s="9" t="s">
        <v>26</v>
      </c>
      <c r="G166" s="10" t="s">
        <v>27</v>
      </c>
      <c r="H166" s="13"/>
      <c r="I166" s="27"/>
      <c r="J166" s="27"/>
      <c r="K166" s="27"/>
      <c r="L166" s="27"/>
      <c r="M166" s="27"/>
      <c r="N166" s="13"/>
      <c r="O166" s="13"/>
      <c r="P166" s="13"/>
      <c r="Q166" s="13"/>
    </row>
    <row r="167" spans="1:17" ht="12.75" x14ac:dyDescent="0.2">
      <c r="A167" s="52"/>
      <c r="B167" s="9">
        <v>52</v>
      </c>
      <c r="C167" s="9" t="s">
        <v>1860</v>
      </c>
      <c r="D167" s="9" t="s">
        <v>24</v>
      </c>
      <c r="E167" s="9" t="s">
        <v>31</v>
      </c>
      <c r="F167" s="9" t="s">
        <v>26</v>
      </c>
      <c r="G167" s="10" t="s">
        <v>27</v>
      </c>
      <c r="H167" s="13"/>
      <c r="I167" s="27"/>
      <c r="J167" s="27"/>
      <c r="K167" s="27"/>
      <c r="L167" s="27"/>
      <c r="M167" s="27"/>
      <c r="N167" s="13"/>
      <c r="O167" s="13"/>
      <c r="P167" s="13"/>
      <c r="Q167" s="13"/>
    </row>
    <row r="168" spans="1:17" ht="12.75" x14ac:dyDescent="0.2">
      <c r="A168" s="52"/>
      <c r="B168" s="9">
        <v>52</v>
      </c>
      <c r="C168" s="9" t="s">
        <v>1853</v>
      </c>
      <c r="D168" s="9" t="s">
        <v>24</v>
      </c>
      <c r="E168" s="9" t="s">
        <v>31</v>
      </c>
      <c r="F168" s="9" t="s">
        <v>26</v>
      </c>
      <c r="G168" s="10" t="s">
        <v>27</v>
      </c>
      <c r="H168" s="13"/>
      <c r="I168" s="27"/>
      <c r="J168" s="27"/>
      <c r="K168" s="27"/>
      <c r="L168" s="27"/>
      <c r="M168" s="27"/>
      <c r="N168" s="13"/>
      <c r="O168" s="13"/>
      <c r="P168" s="13"/>
      <c r="Q168" s="13"/>
    </row>
    <row r="169" spans="1:17" ht="12.75" x14ac:dyDescent="0.2">
      <c r="A169" s="52"/>
      <c r="B169" s="9">
        <v>52</v>
      </c>
      <c r="C169" s="9" t="s">
        <v>1770</v>
      </c>
      <c r="D169" s="9" t="s">
        <v>24</v>
      </c>
      <c r="E169" s="9" t="s">
        <v>31</v>
      </c>
      <c r="F169" s="9" t="s">
        <v>26</v>
      </c>
      <c r="G169" s="10" t="s">
        <v>27</v>
      </c>
      <c r="H169" s="13"/>
      <c r="I169" s="27"/>
      <c r="J169" s="27"/>
      <c r="K169" s="27"/>
      <c r="L169" s="27"/>
      <c r="M169" s="27"/>
      <c r="N169" s="13"/>
      <c r="O169" s="13"/>
      <c r="P169" s="13"/>
      <c r="Q169" s="13"/>
    </row>
    <row r="170" spans="1:17" ht="12.75" x14ac:dyDescent="0.2">
      <c r="A170" s="52"/>
      <c r="B170" s="9">
        <v>52</v>
      </c>
      <c r="C170" s="9" t="s">
        <v>1772</v>
      </c>
      <c r="D170" s="9" t="s">
        <v>30</v>
      </c>
      <c r="E170" s="9" t="s">
        <v>31</v>
      </c>
      <c r="F170" s="9" t="s">
        <v>26</v>
      </c>
      <c r="G170" s="10" t="s">
        <v>27</v>
      </c>
      <c r="H170" s="13"/>
      <c r="I170" s="27"/>
      <c r="J170" s="27"/>
      <c r="K170" s="27"/>
      <c r="L170" s="27"/>
      <c r="M170" s="27"/>
      <c r="N170" s="13"/>
      <c r="O170" s="13"/>
      <c r="P170" s="13"/>
      <c r="Q170" s="13"/>
    </row>
    <row r="171" spans="1:17" ht="12.75" x14ac:dyDescent="0.2">
      <c r="A171" s="52"/>
      <c r="B171" s="9">
        <v>52</v>
      </c>
      <c r="C171" s="9" t="s">
        <v>1861</v>
      </c>
      <c r="D171" s="9" t="s">
        <v>24</v>
      </c>
      <c r="E171" s="9" t="s">
        <v>31</v>
      </c>
      <c r="F171" s="9" t="s">
        <v>26</v>
      </c>
      <c r="G171" s="10" t="s">
        <v>27</v>
      </c>
      <c r="H171" s="13"/>
      <c r="I171" s="27"/>
      <c r="J171" s="27"/>
      <c r="K171" s="27"/>
      <c r="L171" s="27"/>
      <c r="M171" s="27"/>
      <c r="N171" s="13"/>
      <c r="O171" s="13"/>
      <c r="P171" s="13"/>
      <c r="Q171" s="13"/>
    </row>
    <row r="172" spans="1:17" ht="12.75" x14ac:dyDescent="0.2">
      <c r="A172" s="52"/>
      <c r="B172" s="9">
        <v>52</v>
      </c>
      <c r="C172" s="9" t="s">
        <v>1855</v>
      </c>
      <c r="D172" s="9" t="s">
        <v>24</v>
      </c>
      <c r="E172" s="9" t="s">
        <v>31</v>
      </c>
      <c r="F172" s="9" t="s">
        <v>26</v>
      </c>
      <c r="G172" s="10" t="s">
        <v>27</v>
      </c>
      <c r="H172" s="13"/>
      <c r="I172" s="27"/>
      <c r="J172" s="27"/>
      <c r="K172" s="27"/>
      <c r="L172" s="27"/>
      <c r="M172" s="27"/>
      <c r="N172" s="13"/>
      <c r="O172" s="13"/>
      <c r="P172" s="13"/>
      <c r="Q172" s="13"/>
    </row>
    <row r="173" spans="1:17" ht="12.75" x14ac:dyDescent="0.2">
      <c r="A173" s="52"/>
      <c r="B173" s="9">
        <v>52</v>
      </c>
      <c r="C173" s="9" t="s">
        <v>1862</v>
      </c>
      <c r="D173" s="9" t="s">
        <v>24</v>
      </c>
      <c r="E173" s="9" t="s">
        <v>31</v>
      </c>
      <c r="F173" s="9" t="s">
        <v>26</v>
      </c>
      <c r="G173" s="10" t="s">
        <v>27</v>
      </c>
      <c r="H173" s="13"/>
      <c r="I173" s="27"/>
      <c r="J173" s="27"/>
      <c r="K173" s="27"/>
      <c r="L173" s="27"/>
      <c r="M173" s="27"/>
      <c r="N173" s="13"/>
      <c r="O173" s="13"/>
      <c r="P173" s="13"/>
      <c r="Q173" s="13"/>
    </row>
    <row r="174" spans="1:17" ht="12.75" x14ac:dyDescent="0.2">
      <c r="A174" s="53"/>
      <c r="B174" s="9">
        <v>52</v>
      </c>
      <c r="C174" s="9" t="s">
        <v>1863</v>
      </c>
      <c r="D174" s="9" t="s">
        <v>24</v>
      </c>
      <c r="E174" s="9" t="s">
        <v>31</v>
      </c>
      <c r="F174" s="9" t="s">
        <v>26</v>
      </c>
      <c r="G174" s="10" t="s">
        <v>27</v>
      </c>
      <c r="H174" s="13"/>
      <c r="I174" s="27"/>
      <c r="J174" s="27"/>
      <c r="K174" s="27"/>
      <c r="L174" s="27"/>
      <c r="M174" s="27"/>
      <c r="N174" s="13"/>
      <c r="O174" s="13"/>
      <c r="P174" s="13"/>
      <c r="Q174" s="13"/>
    </row>
    <row r="175" spans="1:17" ht="12.75" x14ac:dyDescent="0.2">
      <c r="A175" s="65" t="s">
        <v>85</v>
      </c>
      <c r="B175" s="9">
        <v>52</v>
      </c>
      <c r="C175" s="9" t="s">
        <v>1774</v>
      </c>
      <c r="D175" s="9" t="s">
        <v>24</v>
      </c>
      <c r="E175" s="9" t="s">
        <v>25</v>
      </c>
      <c r="F175" s="9" t="s">
        <v>26</v>
      </c>
      <c r="G175" s="10" t="s">
        <v>27</v>
      </c>
      <c r="H175" s="13"/>
      <c r="I175" s="27"/>
      <c r="J175" s="27"/>
      <c r="K175" s="27"/>
      <c r="L175" s="27"/>
      <c r="M175" s="27"/>
      <c r="N175" s="13"/>
      <c r="O175" s="13"/>
      <c r="P175" s="13"/>
      <c r="Q175" s="13"/>
    </row>
    <row r="176" spans="1:17" ht="12.75" x14ac:dyDescent="0.2">
      <c r="A176" s="52"/>
      <c r="B176" s="9">
        <v>52</v>
      </c>
      <c r="C176" s="9" t="s">
        <v>1848</v>
      </c>
      <c r="D176" s="9" t="s">
        <v>24</v>
      </c>
      <c r="E176" s="9" t="s">
        <v>25</v>
      </c>
      <c r="F176" s="9" t="s">
        <v>26</v>
      </c>
      <c r="G176" s="10" t="s">
        <v>27</v>
      </c>
      <c r="H176" s="13"/>
      <c r="I176" s="27"/>
      <c r="J176" s="27"/>
      <c r="K176" s="27"/>
      <c r="L176" s="27"/>
      <c r="M176" s="27"/>
      <c r="N176" s="13"/>
      <c r="O176" s="13"/>
      <c r="P176" s="13"/>
      <c r="Q176" s="13"/>
    </row>
    <row r="177" spans="1:17" ht="12.75" x14ac:dyDescent="0.2">
      <c r="A177" s="52"/>
      <c r="B177" s="9">
        <v>52</v>
      </c>
      <c r="C177" s="9" t="s">
        <v>1859</v>
      </c>
      <c r="D177" s="9" t="s">
        <v>24</v>
      </c>
      <c r="E177" s="9" t="s">
        <v>25</v>
      </c>
      <c r="F177" s="9" t="s">
        <v>26</v>
      </c>
      <c r="G177" s="10" t="s">
        <v>27</v>
      </c>
      <c r="H177" s="13"/>
      <c r="I177" s="27"/>
      <c r="J177" s="27"/>
      <c r="K177" s="27"/>
      <c r="L177" s="27"/>
      <c r="M177" s="27"/>
      <c r="N177" s="13"/>
      <c r="O177" s="13"/>
      <c r="P177" s="13"/>
      <c r="Q177" s="13"/>
    </row>
    <row r="178" spans="1:17" ht="12.75" x14ac:dyDescent="0.2">
      <c r="A178" s="52"/>
      <c r="B178" s="9">
        <v>52</v>
      </c>
      <c r="C178" s="9" t="s">
        <v>1864</v>
      </c>
      <c r="D178" s="9" t="s">
        <v>24</v>
      </c>
      <c r="E178" s="9" t="s">
        <v>25</v>
      </c>
      <c r="F178" s="9" t="s">
        <v>26</v>
      </c>
      <c r="G178" s="10" t="s">
        <v>27</v>
      </c>
      <c r="H178" s="13"/>
      <c r="I178" s="27"/>
      <c r="J178" s="27"/>
      <c r="K178" s="27"/>
      <c r="L178" s="27"/>
      <c r="M178" s="27"/>
      <c r="N178" s="13"/>
      <c r="O178" s="13"/>
      <c r="P178" s="13"/>
      <c r="Q178" s="13"/>
    </row>
    <row r="179" spans="1:17" ht="12.75" x14ac:dyDescent="0.2">
      <c r="A179" s="53"/>
      <c r="B179" s="9">
        <v>52</v>
      </c>
      <c r="C179" s="9" t="s">
        <v>1771</v>
      </c>
      <c r="D179" s="9" t="s">
        <v>24</v>
      </c>
      <c r="E179" s="9" t="s">
        <v>25</v>
      </c>
      <c r="F179" s="9" t="s">
        <v>26</v>
      </c>
      <c r="G179" s="10" t="s">
        <v>27</v>
      </c>
      <c r="H179" s="13"/>
      <c r="I179" s="27"/>
      <c r="J179" s="27"/>
      <c r="K179" s="27"/>
      <c r="L179" s="27"/>
      <c r="M179" s="27"/>
      <c r="N179" s="13"/>
      <c r="O179" s="13"/>
      <c r="P179" s="13"/>
      <c r="Q179" s="13"/>
    </row>
    <row r="180" spans="1:17" ht="12.75" x14ac:dyDescent="0.2">
      <c r="A180" s="13"/>
      <c r="B180" s="13"/>
      <c r="C180" s="13"/>
      <c r="D180" s="13"/>
      <c r="E180" s="13"/>
      <c r="F180" s="13"/>
      <c r="G180" s="13"/>
      <c r="H180" s="13"/>
      <c r="I180" s="27"/>
      <c r="J180" s="27"/>
      <c r="K180" s="27"/>
      <c r="L180" s="27"/>
      <c r="M180" s="27"/>
      <c r="N180" s="13"/>
      <c r="O180" s="13"/>
      <c r="P180" s="13"/>
      <c r="Q180" s="13"/>
    </row>
    <row r="181" spans="1:17" ht="12.75" x14ac:dyDescent="0.2">
      <c r="A181" s="13"/>
      <c r="B181" s="13"/>
      <c r="C181" s="13"/>
      <c r="D181" s="13"/>
      <c r="E181" s="13"/>
      <c r="F181" s="13"/>
      <c r="G181" s="13"/>
      <c r="H181" s="13"/>
      <c r="I181" s="27"/>
      <c r="J181" s="27"/>
      <c r="K181" s="27"/>
      <c r="L181" s="27"/>
      <c r="M181" s="27"/>
      <c r="N181" s="13"/>
      <c r="O181" s="13"/>
      <c r="P181" s="13"/>
      <c r="Q181" s="13"/>
    </row>
    <row r="182" spans="1:17" ht="12.75" x14ac:dyDescent="0.2">
      <c r="A182" s="13"/>
      <c r="B182" s="13"/>
      <c r="C182" s="13"/>
      <c r="D182" s="13"/>
      <c r="E182" s="13"/>
      <c r="F182" s="13"/>
      <c r="G182" s="13"/>
      <c r="H182" s="13"/>
      <c r="I182" s="27"/>
      <c r="J182" s="27"/>
      <c r="K182" s="27"/>
      <c r="L182" s="27"/>
      <c r="M182" s="27"/>
      <c r="N182" s="13"/>
      <c r="O182" s="13"/>
      <c r="P182" s="13"/>
      <c r="Q182" s="13"/>
    </row>
    <row r="183" spans="1:17" ht="12.75" x14ac:dyDescent="0.2">
      <c r="A183" s="13"/>
      <c r="B183" s="13"/>
      <c r="C183" s="13"/>
      <c r="D183" s="13"/>
      <c r="E183" s="13"/>
      <c r="F183" s="13"/>
      <c r="G183" s="13"/>
      <c r="H183" s="13"/>
      <c r="I183" s="27"/>
      <c r="J183" s="27"/>
      <c r="K183" s="27"/>
      <c r="L183" s="27"/>
      <c r="M183" s="27"/>
      <c r="N183" s="13"/>
      <c r="O183" s="13"/>
      <c r="P183" s="13"/>
      <c r="Q183" s="13"/>
    </row>
    <row r="184" spans="1:17" ht="12.75" x14ac:dyDescent="0.2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</row>
    <row r="185" spans="1:17" ht="12.75" x14ac:dyDescent="0.2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</row>
    <row r="186" spans="1:17" ht="12.75" x14ac:dyDescent="0.2">
      <c r="I186" s="13"/>
      <c r="J186" s="13"/>
      <c r="K186" s="13"/>
      <c r="L186" s="13"/>
      <c r="M186" s="13"/>
      <c r="N186" s="13"/>
      <c r="O186" s="13"/>
      <c r="P186" s="13"/>
      <c r="Q186" s="13"/>
    </row>
    <row r="187" spans="1:17" ht="12.75" x14ac:dyDescent="0.2">
      <c r="I187" s="13"/>
      <c r="J187" s="13"/>
      <c r="K187" s="13"/>
      <c r="L187" s="13"/>
      <c r="M187" s="13"/>
      <c r="N187" s="13"/>
      <c r="O187" s="13"/>
      <c r="P187" s="13"/>
      <c r="Q187" s="13"/>
    </row>
  </sheetData>
  <mergeCells count="18">
    <mergeCell ref="A175:A179"/>
    <mergeCell ref="A83:A86"/>
    <mergeCell ref="A87:A91"/>
    <mergeCell ref="A92:A95"/>
    <mergeCell ref="A96:A110"/>
    <mergeCell ref="A111:A116"/>
    <mergeCell ref="A117:A125"/>
    <mergeCell ref="A126:A133"/>
    <mergeCell ref="A44:A68"/>
    <mergeCell ref="A69:A82"/>
    <mergeCell ref="A134:A146"/>
    <mergeCell ref="A147:A165"/>
    <mergeCell ref="A166:A174"/>
    <mergeCell ref="A1:G1"/>
    <mergeCell ref="A9:A13"/>
    <mergeCell ref="A14:A16"/>
    <mergeCell ref="A17:A28"/>
    <mergeCell ref="A29:A43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M49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13" ht="15.75" customHeight="1" x14ac:dyDescent="0.25">
      <c r="A1" s="54" t="s">
        <v>0</v>
      </c>
      <c r="B1" s="55"/>
      <c r="C1" s="55"/>
      <c r="D1" s="55"/>
      <c r="E1" s="55"/>
      <c r="F1" s="55"/>
      <c r="G1" s="56"/>
    </row>
    <row r="2" spans="1:13" x14ac:dyDescent="0.2">
      <c r="A2" s="1"/>
      <c r="B2" s="2"/>
      <c r="C2" s="2"/>
      <c r="D2" s="2"/>
      <c r="E2" s="2"/>
      <c r="F2" s="2"/>
      <c r="G2" s="2"/>
    </row>
    <row r="3" spans="1:13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13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13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13" x14ac:dyDescent="0.2">
      <c r="A6" s="1"/>
      <c r="B6" s="2"/>
      <c r="C6" s="2"/>
      <c r="D6" s="2"/>
      <c r="E6" s="2"/>
      <c r="F6" s="2"/>
      <c r="G6" s="2"/>
    </row>
    <row r="7" spans="1:13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13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13" x14ac:dyDescent="0.2">
      <c r="A9" s="9" t="s">
        <v>20</v>
      </c>
      <c r="B9" s="9">
        <v>53</v>
      </c>
      <c r="C9" s="9" t="s">
        <v>21</v>
      </c>
      <c r="D9" s="9" t="s">
        <v>21</v>
      </c>
      <c r="E9" s="9" t="s">
        <v>21</v>
      </c>
      <c r="F9" s="9" t="s">
        <v>21</v>
      </c>
      <c r="G9" s="10" t="s">
        <v>21</v>
      </c>
      <c r="H9" s="11"/>
      <c r="I9" s="11"/>
      <c r="J9" s="37"/>
      <c r="K9" s="11"/>
      <c r="L9" s="11"/>
      <c r="M9" s="11"/>
    </row>
    <row r="10" spans="1:13" x14ac:dyDescent="0.2">
      <c r="A10" s="9" t="s">
        <v>22</v>
      </c>
      <c r="B10" s="9">
        <v>53</v>
      </c>
      <c r="C10" s="9" t="s">
        <v>21</v>
      </c>
      <c r="D10" s="9" t="s">
        <v>21</v>
      </c>
      <c r="E10" s="9" t="s">
        <v>21</v>
      </c>
      <c r="F10" s="9" t="s">
        <v>21</v>
      </c>
      <c r="G10" s="10" t="s">
        <v>21</v>
      </c>
      <c r="H10" s="11"/>
      <c r="I10" s="11"/>
      <c r="J10" s="37"/>
      <c r="K10" s="11"/>
      <c r="L10" s="11"/>
      <c r="M10" s="11"/>
    </row>
    <row r="11" spans="1:13" x14ac:dyDescent="0.2">
      <c r="A11" s="48" t="s">
        <v>28</v>
      </c>
      <c r="B11" s="9">
        <v>53</v>
      </c>
      <c r="C11" s="9" t="s">
        <v>470</v>
      </c>
      <c r="D11" s="9" t="s">
        <v>24</v>
      </c>
      <c r="E11" s="9" t="s">
        <v>31</v>
      </c>
      <c r="F11" s="9" t="s">
        <v>26</v>
      </c>
      <c r="G11" s="10" t="s">
        <v>27</v>
      </c>
      <c r="H11" s="11"/>
      <c r="I11" s="11"/>
      <c r="J11" s="37"/>
      <c r="K11" s="11"/>
      <c r="L11" s="11"/>
      <c r="M11" s="11"/>
    </row>
    <row r="12" spans="1:13" x14ac:dyDescent="0.2">
      <c r="A12" s="52"/>
      <c r="B12" s="9">
        <v>53</v>
      </c>
      <c r="C12" s="9" t="s">
        <v>1865</v>
      </c>
      <c r="D12" s="9" t="s">
        <v>24</v>
      </c>
      <c r="E12" s="9" t="s">
        <v>25</v>
      </c>
      <c r="F12" s="9" t="s">
        <v>26</v>
      </c>
      <c r="G12" s="10" t="s">
        <v>27</v>
      </c>
      <c r="H12" s="11"/>
      <c r="I12" s="11"/>
      <c r="J12" s="37"/>
      <c r="K12" s="11"/>
      <c r="L12" s="11"/>
      <c r="M12" s="11"/>
    </row>
    <row r="13" spans="1:13" x14ac:dyDescent="0.2">
      <c r="A13" s="53"/>
      <c r="B13" s="9">
        <v>53</v>
      </c>
      <c r="C13" s="9" t="s">
        <v>1866</v>
      </c>
      <c r="D13" s="9" t="s">
        <v>24</v>
      </c>
      <c r="E13" s="9" t="s">
        <v>25</v>
      </c>
      <c r="F13" s="9" t="s">
        <v>26</v>
      </c>
      <c r="G13" s="10" t="s">
        <v>27</v>
      </c>
      <c r="H13" s="11"/>
      <c r="I13" s="11"/>
      <c r="J13" s="37"/>
      <c r="K13" s="11"/>
      <c r="L13" s="11"/>
      <c r="M13" s="11"/>
    </row>
    <row r="14" spans="1:13" x14ac:dyDescent="0.2">
      <c r="A14" s="9" t="s">
        <v>33</v>
      </c>
      <c r="B14" s="9">
        <v>53</v>
      </c>
      <c r="C14" s="9" t="s">
        <v>21</v>
      </c>
      <c r="D14" s="9" t="s">
        <v>21</v>
      </c>
      <c r="E14" s="9" t="s">
        <v>21</v>
      </c>
      <c r="F14" s="9" t="s">
        <v>21</v>
      </c>
      <c r="G14" s="10" t="s">
        <v>21</v>
      </c>
      <c r="H14" s="11"/>
      <c r="I14" s="11"/>
      <c r="J14" s="37"/>
      <c r="K14" s="11"/>
      <c r="L14" s="11"/>
      <c r="M14" s="11"/>
    </row>
    <row r="15" spans="1:13" x14ac:dyDescent="0.2">
      <c r="A15" s="9" t="s">
        <v>38</v>
      </c>
      <c r="B15" s="9">
        <v>53</v>
      </c>
      <c r="C15" s="9" t="s">
        <v>21</v>
      </c>
      <c r="D15" s="9" t="s">
        <v>21</v>
      </c>
      <c r="E15" s="9" t="s">
        <v>21</v>
      </c>
      <c r="F15" s="9" t="s">
        <v>21</v>
      </c>
      <c r="G15" s="10" t="s">
        <v>21</v>
      </c>
      <c r="H15" s="11"/>
      <c r="I15" s="11"/>
      <c r="J15" s="37"/>
      <c r="K15" s="11"/>
      <c r="L15" s="11"/>
      <c r="M15" s="11"/>
    </row>
    <row r="16" spans="1:13" x14ac:dyDescent="0.2">
      <c r="A16" s="9" t="s">
        <v>46</v>
      </c>
      <c r="B16" s="9">
        <v>53</v>
      </c>
      <c r="C16" s="9" t="s">
        <v>470</v>
      </c>
      <c r="D16" s="9" t="s">
        <v>24</v>
      </c>
      <c r="E16" s="9" t="s">
        <v>31</v>
      </c>
      <c r="F16" s="9" t="s">
        <v>26</v>
      </c>
      <c r="G16" s="10" t="s">
        <v>27</v>
      </c>
      <c r="H16" s="11"/>
      <c r="I16" s="11"/>
      <c r="J16" s="37"/>
      <c r="K16" s="11"/>
      <c r="L16" s="11"/>
      <c r="M16" s="11"/>
    </row>
    <row r="17" spans="1:13" x14ac:dyDescent="0.2">
      <c r="A17" s="9" t="s">
        <v>49</v>
      </c>
      <c r="B17" s="9">
        <v>53</v>
      </c>
      <c r="C17" s="9" t="s">
        <v>21</v>
      </c>
      <c r="D17" s="9" t="s">
        <v>21</v>
      </c>
      <c r="E17" s="9" t="s">
        <v>21</v>
      </c>
      <c r="F17" s="9" t="s">
        <v>21</v>
      </c>
      <c r="G17" s="10" t="s">
        <v>21</v>
      </c>
      <c r="H17" s="11"/>
      <c r="I17" s="11"/>
      <c r="J17" s="37"/>
      <c r="K17" s="11"/>
      <c r="L17" s="11"/>
      <c r="M17" s="11"/>
    </row>
    <row r="18" spans="1:13" x14ac:dyDescent="0.2">
      <c r="A18" s="9" t="s">
        <v>52</v>
      </c>
      <c r="B18" s="9">
        <v>53</v>
      </c>
      <c r="C18" s="9" t="s">
        <v>470</v>
      </c>
      <c r="D18" s="9" t="s">
        <v>24</v>
      </c>
      <c r="E18" s="9" t="s">
        <v>31</v>
      </c>
      <c r="F18" s="9" t="s">
        <v>26</v>
      </c>
      <c r="G18" s="10" t="s">
        <v>27</v>
      </c>
      <c r="H18" s="11"/>
      <c r="I18" s="11"/>
      <c r="J18" s="37"/>
      <c r="K18" s="11"/>
      <c r="L18" s="11"/>
      <c r="M18" s="11"/>
    </row>
    <row r="19" spans="1:13" x14ac:dyDescent="0.2">
      <c r="A19" s="48" t="s">
        <v>101</v>
      </c>
      <c r="B19" s="9">
        <v>53</v>
      </c>
      <c r="C19" s="9" t="s">
        <v>1867</v>
      </c>
      <c r="D19" s="9" t="s">
        <v>24</v>
      </c>
      <c r="E19" s="9" t="s">
        <v>31</v>
      </c>
      <c r="F19" s="9" t="s">
        <v>26</v>
      </c>
      <c r="G19" s="10" t="s">
        <v>27</v>
      </c>
      <c r="H19" s="11"/>
      <c r="I19" s="11"/>
      <c r="J19" s="37"/>
      <c r="K19" s="11"/>
      <c r="L19" s="11"/>
      <c r="M19" s="11"/>
    </row>
    <row r="20" spans="1:13" x14ac:dyDescent="0.2">
      <c r="A20" s="50"/>
      <c r="B20" s="9">
        <v>53</v>
      </c>
      <c r="C20" s="9" t="s">
        <v>1868</v>
      </c>
      <c r="D20" s="9" t="s">
        <v>24</v>
      </c>
      <c r="E20" s="9" t="s">
        <v>31</v>
      </c>
      <c r="F20" s="9" t="s">
        <v>26</v>
      </c>
      <c r="G20" s="10" t="s">
        <v>27</v>
      </c>
      <c r="H20" s="11"/>
      <c r="I20" s="11"/>
      <c r="J20" s="37"/>
      <c r="K20" s="11"/>
      <c r="L20" s="11"/>
      <c r="M20" s="11"/>
    </row>
    <row r="21" spans="1:13" x14ac:dyDescent="0.2">
      <c r="A21" s="57"/>
      <c r="B21" s="9">
        <v>53</v>
      </c>
      <c r="C21" s="9" t="s">
        <v>1869</v>
      </c>
      <c r="D21" s="9" t="s">
        <v>24</v>
      </c>
      <c r="E21" s="9" t="s">
        <v>31</v>
      </c>
      <c r="F21" s="9" t="s">
        <v>26</v>
      </c>
      <c r="G21" s="10" t="s">
        <v>27</v>
      </c>
      <c r="H21" s="11"/>
      <c r="I21" s="11"/>
      <c r="J21" s="37"/>
      <c r="K21" s="11"/>
      <c r="L21" s="11"/>
      <c r="M21" s="11"/>
    </row>
    <row r="22" spans="1:13" x14ac:dyDescent="0.2">
      <c r="A22" s="9" t="s">
        <v>62</v>
      </c>
      <c r="B22" s="9">
        <v>53</v>
      </c>
      <c r="C22" s="9" t="s">
        <v>1870</v>
      </c>
      <c r="D22" s="9" t="s">
        <v>24</v>
      </c>
      <c r="E22" s="9" t="s">
        <v>31</v>
      </c>
      <c r="F22" s="9" t="s">
        <v>87</v>
      </c>
      <c r="G22" s="10" t="s">
        <v>27</v>
      </c>
      <c r="H22" s="11"/>
      <c r="I22" s="11"/>
      <c r="J22" s="37"/>
      <c r="K22" s="11"/>
      <c r="L22" s="11"/>
      <c r="M22" s="11"/>
    </row>
    <row r="23" spans="1:13" x14ac:dyDescent="0.2">
      <c r="A23" s="9" t="s">
        <v>70</v>
      </c>
      <c r="B23" s="9">
        <v>53</v>
      </c>
      <c r="C23" s="9" t="s">
        <v>1871</v>
      </c>
      <c r="D23" s="9" t="s">
        <v>24</v>
      </c>
      <c r="E23" s="9" t="s">
        <v>256</v>
      </c>
      <c r="F23" s="9" t="s">
        <v>87</v>
      </c>
      <c r="G23" s="10" t="s">
        <v>27</v>
      </c>
      <c r="H23" s="11"/>
      <c r="I23" s="11"/>
      <c r="J23" s="37"/>
      <c r="K23" s="11"/>
      <c r="L23" s="11"/>
      <c r="M23" s="11"/>
    </row>
    <row r="24" spans="1:13" x14ac:dyDescent="0.2">
      <c r="A24" s="9" t="s">
        <v>73</v>
      </c>
      <c r="B24" s="9">
        <v>53</v>
      </c>
      <c r="C24" s="9" t="s">
        <v>21</v>
      </c>
      <c r="D24" s="9" t="s">
        <v>1872</v>
      </c>
      <c r="E24" s="9" t="s">
        <v>256</v>
      </c>
      <c r="F24" s="9" t="s">
        <v>87</v>
      </c>
      <c r="G24" s="10" t="s">
        <v>27</v>
      </c>
      <c r="H24" s="11"/>
      <c r="I24" s="11"/>
      <c r="J24" s="37"/>
      <c r="K24" s="11"/>
      <c r="L24" s="11"/>
      <c r="M24" s="11"/>
    </row>
    <row r="25" spans="1:13" x14ac:dyDescent="0.2">
      <c r="A25" s="9" t="s">
        <v>77</v>
      </c>
      <c r="B25" s="12">
        <v>53</v>
      </c>
      <c r="C25" s="12" t="s">
        <v>1868</v>
      </c>
      <c r="D25" s="12" t="s">
        <v>24</v>
      </c>
      <c r="E25" s="12" t="s">
        <v>25</v>
      </c>
      <c r="F25" s="12" t="s">
        <v>26</v>
      </c>
      <c r="G25" s="10" t="s">
        <v>27</v>
      </c>
      <c r="H25" s="11"/>
      <c r="I25" s="11"/>
      <c r="J25" s="37"/>
      <c r="K25" s="11"/>
      <c r="L25" s="11"/>
      <c r="M25" s="11"/>
    </row>
    <row r="26" spans="1:13" x14ac:dyDescent="0.2">
      <c r="A26" s="9" t="s">
        <v>79</v>
      </c>
      <c r="B26" s="12">
        <v>53</v>
      </c>
      <c r="C26" s="9" t="s">
        <v>21</v>
      </c>
      <c r="D26" s="9" t="s">
        <v>21</v>
      </c>
      <c r="E26" s="9" t="s">
        <v>21</v>
      </c>
      <c r="F26" s="9" t="s">
        <v>21</v>
      </c>
      <c r="G26" s="10" t="s">
        <v>21</v>
      </c>
      <c r="H26" s="11"/>
      <c r="I26" s="11"/>
      <c r="J26" s="37"/>
      <c r="K26" s="11"/>
      <c r="L26" s="11"/>
      <c r="M26" s="11"/>
    </row>
    <row r="27" spans="1:13" x14ac:dyDescent="0.2">
      <c r="A27" s="9" t="s">
        <v>83</v>
      </c>
      <c r="B27" s="9">
        <v>53</v>
      </c>
      <c r="C27" s="9" t="s">
        <v>21</v>
      </c>
      <c r="D27" s="9" t="s">
        <v>21</v>
      </c>
      <c r="E27" s="9" t="s">
        <v>21</v>
      </c>
      <c r="F27" s="9" t="s">
        <v>21</v>
      </c>
      <c r="G27" s="10" t="s">
        <v>21</v>
      </c>
      <c r="H27" s="11"/>
      <c r="I27" s="11"/>
      <c r="J27" s="37"/>
      <c r="K27" s="11"/>
      <c r="L27" s="11"/>
      <c r="M27" s="11"/>
    </row>
    <row r="28" spans="1:13" x14ac:dyDescent="0.2">
      <c r="A28" s="9" t="s">
        <v>85</v>
      </c>
      <c r="B28" s="12">
        <v>53</v>
      </c>
      <c r="C28" s="9" t="s">
        <v>470</v>
      </c>
      <c r="D28" s="12" t="s">
        <v>24</v>
      </c>
      <c r="E28" s="12" t="s">
        <v>25</v>
      </c>
      <c r="F28" s="12" t="s">
        <v>26</v>
      </c>
      <c r="G28" s="10" t="s">
        <v>27</v>
      </c>
      <c r="H28" s="11"/>
      <c r="I28" s="11"/>
      <c r="J28" s="37"/>
      <c r="K28" s="11"/>
      <c r="L28" s="11"/>
      <c r="M28" s="11"/>
    </row>
    <row r="29" spans="1:13" x14ac:dyDescent="0.2">
      <c r="A29" s="11"/>
      <c r="B29" s="11"/>
      <c r="C29" s="11"/>
      <c r="D29" s="11"/>
      <c r="E29" s="11"/>
      <c r="F29" s="11"/>
      <c r="G29" s="11"/>
      <c r="H29" s="11"/>
      <c r="I29" s="11"/>
      <c r="J29" s="37"/>
      <c r="K29" s="11"/>
      <c r="L29" s="11"/>
      <c r="M29" s="11"/>
    </row>
    <row r="30" spans="1:13" x14ac:dyDescent="0.2">
      <c r="A30" s="11"/>
      <c r="B30" s="11"/>
      <c r="C30" s="11"/>
      <c r="D30" s="11"/>
      <c r="E30" s="11"/>
      <c r="F30" s="11"/>
      <c r="G30" s="11"/>
      <c r="H30" s="11"/>
      <c r="I30" s="11"/>
      <c r="J30" s="37"/>
      <c r="K30" s="11"/>
      <c r="L30" s="11"/>
      <c r="M30" s="11"/>
    </row>
    <row r="31" spans="1:13" x14ac:dyDescent="0.2">
      <c r="A31" s="11"/>
      <c r="B31" s="11"/>
      <c r="C31" s="11"/>
      <c r="D31" s="11"/>
      <c r="E31" s="11"/>
      <c r="F31" s="11"/>
      <c r="G31" s="11"/>
      <c r="H31" s="11"/>
      <c r="I31" s="11"/>
      <c r="J31" s="37"/>
      <c r="K31" s="11"/>
      <c r="L31" s="11"/>
      <c r="M31" s="11"/>
    </row>
    <row r="32" spans="1:13" x14ac:dyDescent="0.2">
      <c r="A32" s="11"/>
      <c r="B32" s="11"/>
      <c r="C32" s="11"/>
      <c r="D32" s="11"/>
      <c r="E32" s="11"/>
      <c r="F32" s="11"/>
      <c r="G32" s="11"/>
      <c r="H32" s="11"/>
      <c r="I32" s="11"/>
      <c r="J32" s="37"/>
      <c r="K32" s="11"/>
      <c r="L32" s="11"/>
      <c r="M32" s="11"/>
    </row>
    <row r="33" spans="1:13" x14ac:dyDescent="0.2">
      <c r="A33" s="11"/>
      <c r="B33" s="11"/>
      <c r="C33" s="11"/>
      <c r="D33" s="11"/>
      <c r="E33" s="11"/>
      <c r="F33" s="11"/>
      <c r="G33" s="11"/>
      <c r="H33" s="11"/>
      <c r="I33" s="11"/>
      <c r="J33" s="37"/>
      <c r="K33" s="11"/>
      <c r="L33" s="11"/>
      <c r="M33" s="11"/>
    </row>
    <row r="34" spans="1:13" x14ac:dyDescent="0.2">
      <c r="A34" s="11"/>
      <c r="B34" s="11"/>
      <c r="C34" s="11"/>
      <c r="D34" s="11"/>
      <c r="E34" s="11"/>
      <c r="F34" s="11"/>
      <c r="G34" s="11"/>
      <c r="H34" s="11"/>
      <c r="I34" s="11"/>
      <c r="J34" s="37"/>
      <c r="K34" s="11"/>
      <c r="L34" s="11"/>
      <c r="M34" s="11"/>
    </row>
    <row r="35" spans="1:13" x14ac:dyDescent="0.2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</row>
    <row r="36" spans="1:13" x14ac:dyDescent="0.2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</row>
    <row r="37" spans="1:13" ht="12.75" x14ac:dyDescent="0.2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</row>
    <row r="38" spans="1:13" ht="12.75" x14ac:dyDescent="0.2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</row>
    <row r="39" spans="1:13" ht="12.75" x14ac:dyDescent="0.2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</row>
    <row r="40" spans="1:13" ht="12.75" x14ac:dyDescent="0.2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</row>
    <row r="41" spans="1:13" ht="12.75" x14ac:dyDescent="0.2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</row>
    <row r="42" spans="1:13" ht="12.75" x14ac:dyDescent="0.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</row>
    <row r="43" spans="1:13" ht="12.75" x14ac:dyDescent="0.2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</row>
    <row r="44" spans="1:13" ht="12.75" x14ac:dyDescent="0.2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</row>
    <row r="45" spans="1:13" ht="12.75" x14ac:dyDescent="0.2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</row>
    <row r="46" spans="1:13" ht="12.75" x14ac:dyDescent="0.2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</row>
    <row r="47" spans="1:13" ht="12.75" x14ac:dyDescent="0.2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</row>
    <row r="48" spans="1:13" ht="12.75" x14ac:dyDescent="0.2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</row>
    <row r="49" spans="1:13" ht="12.75" x14ac:dyDescent="0.2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</row>
  </sheetData>
  <mergeCells count="3">
    <mergeCell ref="A1:G1"/>
    <mergeCell ref="A11:A13"/>
    <mergeCell ref="A19:A2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</sheetPr>
  <dimension ref="A1:M79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13" ht="15.75" customHeight="1" x14ac:dyDescent="0.25">
      <c r="A1" s="54" t="s">
        <v>0</v>
      </c>
      <c r="B1" s="55"/>
      <c r="C1" s="55"/>
      <c r="D1" s="55"/>
      <c r="E1" s="55"/>
      <c r="F1" s="55"/>
      <c r="G1" s="56"/>
    </row>
    <row r="2" spans="1:13" x14ac:dyDescent="0.2">
      <c r="A2" s="1"/>
      <c r="B2" s="2"/>
      <c r="C2" s="2"/>
      <c r="D2" s="2"/>
      <c r="E2" s="2"/>
      <c r="F2" s="2"/>
      <c r="G2" s="2"/>
    </row>
    <row r="3" spans="1:13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13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13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13" x14ac:dyDescent="0.2">
      <c r="A6" s="1"/>
      <c r="B6" s="2"/>
      <c r="C6" s="2"/>
      <c r="D6" s="2"/>
      <c r="E6" s="2"/>
      <c r="F6" s="2"/>
      <c r="G6" s="2"/>
    </row>
    <row r="7" spans="1:13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13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13" x14ac:dyDescent="0.2">
      <c r="A9" s="48" t="s">
        <v>20</v>
      </c>
      <c r="B9" s="9">
        <v>54</v>
      </c>
      <c r="C9" s="9" t="s">
        <v>1873</v>
      </c>
      <c r="D9" s="9" t="s">
        <v>24</v>
      </c>
      <c r="E9" s="9" t="s">
        <v>256</v>
      </c>
      <c r="F9" s="9" t="s">
        <v>26</v>
      </c>
      <c r="G9" s="10" t="s">
        <v>27</v>
      </c>
      <c r="H9" s="11"/>
      <c r="I9" s="11"/>
      <c r="J9" s="11"/>
      <c r="K9" s="11"/>
      <c r="L9" s="11"/>
      <c r="M9" s="11"/>
    </row>
    <row r="10" spans="1:13" x14ac:dyDescent="0.2">
      <c r="A10" s="52"/>
      <c r="B10" s="9">
        <v>54</v>
      </c>
      <c r="C10" s="9" t="s">
        <v>1874</v>
      </c>
      <c r="D10" s="9" t="s">
        <v>24</v>
      </c>
      <c r="E10" s="9" t="s">
        <v>256</v>
      </c>
      <c r="F10" s="9" t="s">
        <v>26</v>
      </c>
      <c r="G10" s="10" t="s">
        <v>27</v>
      </c>
      <c r="H10" s="11"/>
      <c r="I10" s="11"/>
      <c r="J10" s="11"/>
      <c r="K10" s="11"/>
      <c r="L10" s="11"/>
      <c r="M10" s="11"/>
    </row>
    <row r="11" spans="1:13" x14ac:dyDescent="0.2">
      <c r="A11" s="52"/>
      <c r="B11" s="9">
        <v>54</v>
      </c>
      <c r="C11" s="9" t="s">
        <v>1871</v>
      </c>
      <c r="D11" s="9" t="s">
        <v>24</v>
      </c>
      <c r="E11" s="9" t="s">
        <v>256</v>
      </c>
      <c r="F11" s="9" t="s">
        <v>26</v>
      </c>
      <c r="G11" s="10" t="s">
        <v>27</v>
      </c>
      <c r="H11" s="11"/>
      <c r="I11" s="11"/>
      <c r="J11" s="11"/>
      <c r="K11" s="11"/>
      <c r="L11" s="11"/>
      <c r="M11" s="11"/>
    </row>
    <row r="12" spans="1:13" x14ac:dyDescent="0.2">
      <c r="A12" s="52"/>
      <c r="B12" s="9">
        <v>54</v>
      </c>
      <c r="C12" s="9" t="s">
        <v>1238</v>
      </c>
      <c r="D12" s="9" t="s">
        <v>24</v>
      </c>
      <c r="E12" s="9" t="s">
        <v>256</v>
      </c>
      <c r="F12" s="9" t="s">
        <v>26</v>
      </c>
      <c r="G12" s="10" t="s">
        <v>27</v>
      </c>
      <c r="H12" s="11"/>
      <c r="I12" s="11"/>
      <c r="J12" s="11"/>
      <c r="K12" s="11"/>
      <c r="L12" s="11"/>
      <c r="M12" s="11"/>
    </row>
    <row r="13" spans="1:13" x14ac:dyDescent="0.2">
      <c r="A13" s="53"/>
      <c r="B13" s="9">
        <v>54</v>
      </c>
      <c r="C13" s="9" t="s">
        <v>1875</v>
      </c>
      <c r="D13" s="9" t="s">
        <v>24</v>
      </c>
      <c r="E13" s="9" t="s">
        <v>256</v>
      </c>
      <c r="F13" s="9" t="s">
        <v>26</v>
      </c>
      <c r="G13" s="10" t="s">
        <v>27</v>
      </c>
      <c r="H13" s="11"/>
      <c r="I13" s="11"/>
      <c r="J13" s="11"/>
      <c r="K13" s="11"/>
      <c r="L13" s="11"/>
      <c r="M13" s="11"/>
    </row>
    <row r="14" spans="1:13" x14ac:dyDescent="0.2">
      <c r="A14" s="48" t="s">
        <v>22</v>
      </c>
      <c r="B14" s="9">
        <v>54</v>
      </c>
      <c r="C14" s="9" t="s">
        <v>1876</v>
      </c>
      <c r="D14" s="9" t="s">
        <v>24</v>
      </c>
      <c r="E14" s="9" t="s">
        <v>256</v>
      </c>
      <c r="F14" s="9" t="s">
        <v>26</v>
      </c>
      <c r="G14" s="10" t="s">
        <v>27</v>
      </c>
      <c r="H14" s="11"/>
      <c r="I14" s="11"/>
      <c r="J14" s="11"/>
      <c r="K14" s="11"/>
      <c r="L14" s="11"/>
      <c r="M14" s="11"/>
    </row>
    <row r="15" spans="1:13" x14ac:dyDescent="0.2">
      <c r="A15" s="52"/>
      <c r="B15" s="9">
        <v>54</v>
      </c>
      <c r="C15" s="9" t="s">
        <v>1875</v>
      </c>
      <c r="D15" s="9" t="s">
        <v>24</v>
      </c>
      <c r="E15" s="9" t="s">
        <v>256</v>
      </c>
      <c r="F15" s="9" t="s">
        <v>26</v>
      </c>
      <c r="G15" s="10" t="s">
        <v>27</v>
      </c>
      <c r="H15" s="11"/>
      <c r="I15" s="11"/>
      <c r="J15" s="11"/>
      <c r="K15" s="11"/>
      <c r="L15" s="11"/>
      <c r="M15" s="11"/>
    </row>
    <row r="16" spans="1:13" x14ac:dyDescent="0.2">
      <c r="A16" s="52"/>
      <c r="B16" s="9">
        <v>54</v>
      </c>
      <c r="C16" s="9" t="s">
        <v>1871</v>
      </c>
      <c r="D16" s="9" t="s">
        <v>24</v>
      </c>
      <c r="E16" s="9" t="s">
        <v>256</v>
      </c>
      <c r="F16" s="9" t="s">
        <v>26</v>
      </c>
      <c r="G16" s="10" t="s">
        <v>27</v>
      </c>
      <c r="H16" s="11"/>
      <c r="I16" s="11"/>
      <c r="J16" s="11"/>
      <c r="K16" s="11"/>
      <c r="L16" s="11"/>
      <c r="M16" s="11"/>
    </row>
    <row r="17" spans="1:13" x14ac:dyDescent="0.2">
      <c r="A17" s="53"/>
      <c r="B17" s="9">
        <v>54</v>
      </c>
      <c r="C17" s="9" t="s">
        <v>1874</v>
      </c>
      <c r="D17" s="9" t="s">
        <v>24</v>
      </c>
      <c r="E17" s="9" t="s">
        <v>256</v>
      </c>
      <c r="F17" s="9" t="s">
        <v>26</v>
      </c>
      <c r="G17" s="10" t="s">
        <v>27</v>
      </c>
      <c r="H17" s="11"/>
      <c r="I17" s="11"/>
      <c r="J17" s="11"/>
      <c r="K17" s="11"/>
      <c r="L17" s="11"/>
      <c r="M17" s="11"/>
    </row>
    <row r="18" spans="1:13" x14ac:dyDescent="0.2">
      <c r="A18" s="48" t="s">
        <v>28</v>
      </c>
      <c r="B18" s="9">
        <v>54</v>
      </c>
      <c r="C18" s="9" t="s">
        <v>1877</v>
      </c>
      <c r="D18" s="9" t="s">
        <v>24</v>
      </c>
      <c r="E18" s="9" t="s">
        <v>25</v>
      </c>
      <c r="F18" s="9" t="s">
        <v>26</v>
      </c>
      <c r="G18" s="10" t="s">
        <v>27</v>
      </c>
      <c r="H18" s="11"/>
      <c r="I18" s="11"/>
      <c r="J18" s="11"/>
      <c r="K18" s="11"/>
      <c r="L18" s="11"/>
      <c r="M18" s="11"/>
    </row>
    <row r="19" spans="1:13" x14ac:dyDescent="0.2">
      <c r="A19" s="52"/>
      <c r="B19" s="9">
        <v>54</v>
      </c>
      <c r="C19" s="9" t="s">
        <v>1878</v>
      </c>
      <c r="D19" s="9" t="s">
        <v>24</v>
      </c>
      <c r="E19" s="9" t="s">
        <v>25</v>
      </c>
      <c r="F19" s="9" t="s">
        <v>26</v>
      </c>
      <c r="G19" s="10" t="s">
        <v>27</v>
      </c>
      <c r="H19" s="11"/>
      <c r="I19" s="11"/>
      <c r="J19" s="11"/>
      <c r="K19" s="11"/>
      <c r="L19" s="11"/>
      <c r="M19" s="11"/>
    </row>
    <row r="20" spans="1:13" x14ac:dyDescent="0.2">
      <c r="A20" s="50"/>
      <c r="B20" s="9">
        <v>54</v>
      </c>
      <c r="C20" s="9" t="s">
        <v>1879</v>
      </c>
      <c r="D20" s="9" t="s">
        <v>24</v>
      </c>
      <c r="E20" s="9" t="s">
        <v>25</v>
      </c>
      <c r="F20" s="9" t="s">
        <v>26</v>
      </c>
      <c r="G20" s="10" t="s">
        <v>27</v>
      </c>
      <c r="H20" s="11"/>
      <c r="I20" s="11"/>
      <c r="J20" s="11"/>
      <c r="K20" s="11"/>
      <c r="L20" s="11"/>
      <c r="M20" s="11"/>
    </row>
    <row r="21" spans="1:13" x14ac:dyDescent="0.2">
      <c r="A21" s="51"/>
      <c r="B21" s="9">
        <v>54</v>
      </c>
      <c r="C21" s="9" t="s">
        <v>1880</v>
      </c>
      <c r="D21" s="9" t="s">
        <v>24</v>
      </c>
      <c r="E21" s="9" t="s">
        <v>25</v>
      </c>
      <c r="F21" s="9" t="s">
        <v>26</v>
      </c>
      <c r="G21" s="10" t="s">
        <v>27</v>
      </c>
      <c r="H21" s="11"/>
      <c r="I21" s="11"/>
      <c r="J21" s="11"/>
      <c r="K21" s="11"/>
      <c r="L21" s="11"/>
      <c r="M21" s="11"/>
    </row>
    <row r="22" spans="1:13" x14ac:dyDescent="0.2">
      <c r="A22" s="50"/>
      <c r="B22" s="9">
        <v>54</v>
      </c>
      <c r="C22" s="9" t="s">
        <v>1881</v>
      </c>
      <c r="D22" s="9" t="s">
        <v>24</v>
      </c>
      <c r="E22" s="9" t="s">
        <v>25</v>
      </c>
      <c r="F22" s="9" t="s">
        <v>26</v>
      </c>
      <c r="G22" s="10" t="s">
        <v>27</v>
      </c>
      <c r="H22" s="11"/>
      <c r="I22" s="11"/>
      <c r="J22" s="11"/>
      <c r="K22" s="11"/>
      <c r="L22" s="11"/>
      <c r="M22" s="11"/>
    </row>
    <row r="23" spans="1:13" x14ac:dyDescent="0.2">
      <c r="A23" s="57"/>
      <c r="B23" s="9">
        <v>54</v>
      </c>
      <c r="C23" s="9" t="s">
        <v>1882</v>
      </c>
      <c r="D23" s="9" t="s">
        <v>24</v>
      </c>
      <c r="E23" s="9" t="s">
        <v>25</v>
      </c>
      <c r="F23" s="9" t="s">
        <v>26</v>
      </c>
      <c r="G23" s="10" t="s">
        <v>27</v>
      </c>
      <c r="H23" s="11"/>
      <c r="I23" s="11"/>
      <c r="J23" s="11"/>
      <c r="K23" s="11"/>
      <c r="L23" s="11"/>
      <c r="M23" s="11"/>
    </row>
    <row r="24" spans="1:13" x14ac:dyDescent="0.2">
      <c r="A24" s="48" t="s">
        <v>33</v>
      </c>
      <c r="B24" s="9">
        <v>54</v>
      </c>
      <c r="C24" s="9" t="s">
        <v>1883</v>
      </c>
      <c r="D24" s="9" t="s">
        <v>24</v>
      </c>
      <c r="E24" s="9" t="s">
        <v>256</v>
      </c>
      <c r="F24" s="9" t="s">
        <v>87</v>
      </c>
      <c r="G24" s="10" t="s">
        <v>27</v>
      </c>
      <c r="H24" s="11"/>
      <c r="I24" s="11"/>
      <c r="J24" s="11"/>
      <c r="K24" s="11"/>
      <c r="L24" s="11"/>
      <c r="M24" s="11"/>
    </row>
    <row r="25" spans="1:13" x14ac:dyDescent="0.2">
      <c r="A25" s="51"/>
      <c r="B25" s="9">
        <v>54</v>
      </c>
      <c r="C25" s="9" t="s">
        <v>1874</v>
      </c>
      <c r="D25" s="9" t="s">
        <v>24</v>
      </c>
      <c r="E25" s="9" t="s">
        <v>256</v>
      </c>
      <c r="F25" s="9" t="s">
        <v>87</v>
      </c>
      <c r="G25" s="10" t="s">
        <v>27</v>
      </c>
      <c r="H25" s="11"/>
      <c r="I25" s="11"/>
      <c r="J25" s="11"/>
      <c r="K25" s="11"/>
      <c r="L25" s="11"/>
      <c r="M25" s="11"/>
    </row>
    <row r="26" spans="1:13" x14ac:dyDescent="0.2">
      <c r="A26" s="50"/>
      <c r="B26" s="9">
        <v>54</v>
      </c>
      <c r="C26" s="9" t="s">
        <v>1871</v>
      </c>
      <c r="D26" s="9" t="s">
        <v>24</v>
      </c>
      <c r="E26" s="9" t="s">
        <v>256</v>
      </c>
      <c r="F26" s="9" t="s">
        <v>87</v>
      </c>
      <c r="G26" s="10" t="s">
        <v>27</v>
      </c>
      <c r="H26" s="11"/>
      <c r="I26" s="11"/>
      <c r="J26" s="11"/>
      <c r="K26" s="11"/>
      <c r="L26" s="11"/>
      <c r="M26" s="11"/>
    </row>
    <row r="27" spans="1:13" x14ac:dyDescent="0.2">
      <c r="A27" s="57"/>
      <c r="B27" s="9">
        <v>54</v>
      </c>
      <c r="C27" s="9" t="s">
        <v>1875</v>
      </c>
      <c r="D27" s="9" t="s">
        <v>24</v>
      </c>
      <c r="E27" s="9" t="s">
        <v>256</v>
      </c>
      <c r="F27" s="9" t="s">
        <v>87</v>
      </c>
      <c r="G27" s="10" t="s">
        <v>27</v>
      </c>
      <c r="H27" s="11"/>
      <c r="I27" s="11"/>
      <c r="J27" s="11"/>
      <c r="K27" s="11"/>
      <c r="L27" s="11"/>
      <c r="M27" s="11"/>
    </row>
    <row r="28" spans="1:13" x14ac:dyDescent="0.2">
      <c r="A28" s="48" t="s">
        <v>38</v>
      </c>
      <c r="B28" s="9">
        <v>54</v>
      </c>
      <c r="C28" s="9" t="s">
        <v>1871</v>
      </c>
      <c r="D28" s="9" t="s">
        <v>24</v>
      </c>
      <c r="E28" s="9" t="s">
        <v>25</v>
      </c>
      <c r="F28" s="9" t="s">
        <v>26</v>
      </c>
      <c r="G28" s="10" t="s">
        <v>27</v>
      </c>
      <c r="H28" s="11"/>
      <c r="I28" s="11"/>
      <c r="J28" s="11"/>
      <c r="K28" s="11"/>
      <c r="L28" s="11"/>
      <c r="M28" s="11"/>
    </row>
    <row r="29" spans="1:13" x14ac:dyDescent="0.2">
      <c r="A29" s="51"/>
      <c r="B29" s="9">
        <v>54</v>
      </c>
      <c r="C29" s="9" t="s">
        <v>1875</v>
      </c>
      <c r="D29" s="9" t="s">
        <v>24</v>
      </c>
      <c r="E29" s="9" t="s">
        <v>25</v>
      </c>
      <c r="F29" s="9" t="s">
        <v>26</v>
      </c>
      <c r="G29" s="10" t="s">
        <v>27</v>
      </c>
      <c r="H29" s="11"/>
      <c r="I29" s="11"/>
      <c r="J29" s="11"/>
      <c r="K29" s="11"/>
      <c r="L29" s="11"/>
      <c r="M29" s="11"/>
    </row>
    <row r="30" spans="1:13" x14ac:dyDescent="0.2">
      <c r="A30" s="50"/>
      <c r="B30" s="9">
        <v>54</v>
      </c>
      <c r="C30" s="9" t="s">
        <v>1884</v>
      </c>
      <c r="D30" s="9" t="s">
        <v>24</v>
      </c>
      <c r="E30" s="9" t="s">
        <v>25</v>
      </c>
      <c r="F30" s="9" t="s">
        <v>26</v>
      </c>
      <c r="G30" s="10" t="s">
        <v>27</v>
      </c>
      <c r="H30" s="11"/>
      <c r="I30" s="11"/>
      <c r="J30" s="11"/>
      <c r="K30" s="11"/>
      <c r="L30" s="11"/>
      <c r="M30" s="11"/>
    </row>
    <row r="31" spans="1:13" x14ac:dyDescent="0.2">
      <c r="A31" s="51"/>
      <c r="B31" s="9">
        <v>54</v>
      </c>
      <c r="C31" s="9" t="s">
        <v>1885</v>
      </c>
      <c r="D31" s="9" t="s">
        <v>24</v>
      </c>
      <c r="E31" s="9" t="s">
        <v>25</v>
      </c>
      <c r="F31" s="9" t="s">
        <v>26</v>
      </c>
      <c r="G31" s="10" t="s">
        <v>27</v>
      </c>
      <c r="H31" s="11"/>
      <c r="I31" s="11"/>
      <c r="J31" s="11"/>
      <c r="K31" s="11"/>
      <c r="L31" s="11"/>
      <c r="M31" s="11"/>
    </row>
    <row r="32" spans="1:13" x14ac:dyDescent="0.2">
      <c r="A32" s="49"/>
      <c r="B32" s="9">
        <v>54</v>
      </c>
      <c r="C32" s="9" t="s">
        <v>1886</v>
      </c>
      <c r="D32" s="9" t="s">
        <v>24</v>
      </c>
      <c r="E32" s="9" t="s">
        <v>31</v>
      </c>
      <c r="F32" s="9" t="s">
        <v>26</v>
      </c>
      <c r="G32" s="10" t="s">
        <v>27</v>
      </c>
      <c r="H32" s="11"/>
      <c r="I32" s="11"/>
      <c r="J32" s="11"/>
      <c r="K32" s="11"/>
      <c r="L32" s="11"/>
      <c r="M32" s="11"/>
    </row>
    <row r="33" spans="1:13" x14ac:dyDescent="0.2">
      <c r="A33" s="48" t="s">
        <v>46</v>
      </c>
      <c r="B33" s="9">
        <v>54</v>
      </c>
      <c r="C33" s="9" t="s">
        <v>1887</v>
      </c>
      <c r="D33" s="9" t="s">
        <v>24</v>
      </c>
      <c r="E33" s="9" t="s">
        <v>25</v>
      </c>
      <c r="F33" s="9" t="s">
        <v>26</v>
      </c>
      <c r="G33" s="10" t="s">
        <v>27</v>
      </c>
      <c r="H33" s="11"/>
      <c r="I33" s="11"/>
      <c r="J33" s="11"/>
      <c r="K33" s="11"/>
      <c r="L33" s="11"/>
      <c r="M33" s="11"/>
    </row>
    <row r="34" spans="1:13" x14ac:dyDescent="0.2">
      <c r="A34" s="49"/>
      <c r="B34" s="9">
        <v>54</v>
      </c>
      <c r="C34" s="9" t="s">
        <v>1875</v>
      </c>
      <c r="D34" s="9" t="s">
        <v>24</v>
      </c>
      <c r="E34" s="9" t="s">
        <v>25</v>
      </c>
      <c r="F34" s="9" t="s">
        <v>26</v>
      </c>
      <c r="G34" s="10" t="s">
        <v>27</v>
      </c>
      <c r="H34" s="11"/>
      <c r="I34" s="11"/>
      <c r="J34" s="11"/>
      <c r="K34" s="11"/>
      <c r="L34" s="11"/>
      <c r="M34" s="11"/>
    </row>
    <row r="35" spans="1:13" x14ac:dyDescent="0.2">
      <c r="A35" s="9" t="s">
        <v>49</v>
      </c>
      <c r="B35" s="9">
        <v>8</v>
      </c>
      <c r="C35" s="9" t="s">
        <v>1876</v>
      </c>
      <c r="D35" s="9" t="s">
        <v>24</v>
      </c>
      <c r="E35" s="9" t="s">
        <v>256</v>
      </c>
      <c r="F35" s="9" t="s">
        <v>26</v>
      </c>
      <c r="G35" s="10" t="s">
        <v>27</v>
      </c>
      <c r="H35" s="11"/>
      <c r="I35" s="11"/>
      <c r="J35" s="11"/>
      <c r="K35" s="11"/>
      <c r="L35" s="11"/>
      <c r="M35" s="11"/>
    </row>
    <row r="36" spans="1:13" x14ac:dyDescent="0.2">
      <c r="A36" s="48" t="s">
        <v>52</v>
      </c>
      <c r="B36" s="9">
        <v>54</v>
      </c>
      <c r="C36" s="9" t="s">
        <v>1888</v>
      </c>
      <c r="D36" s="9" t="s">
        <v>24</v>
      </c>
      <c r="E36" s="9" t="s">
        <v>31</v>
      </c>
      <c r="F36" s="9" t="s">
        <v>87</v>
      </c>
      <c r="G36" s="10" t="s">
        <v>27</v>
      </c>
      <c r="H36" s="11"/>
      <c r="I36" s="11"/>
      <c r="J36" s="11"/>
      <c r="K36" s="11"/>
      <c r="L36" s="11"/>
      <c r="M36" s="11"/>
    </row>
    <row r="37" spans="1:13" ht="12.75" x14ac:dyDescent="0.2">
      <c r="A37" s="57"/>
      <c r="B37" s="9">
        <v>54</v>
      </c>
      <c r="C37" s="9" t="s">
        <v>1889</v>
      </c>
      <c r="D37" s="9" t="s">
        <v>24</v>
      </c>
      <c r="E37" s="9" t="s">
        <v>31</v>
      </c>
      <c r="F37" s="9" t="s">
        <v>87</v>
      </c>
      <c r="G37" s="10" t="s">
        <v>27</v>
      </c>
      <c r="H37" s="11"/>
      <c r="I37" s="11"/>
      <c r="J37" s="11"/>
      <c r="K37" s="11"/>
      <c r="L37" s="11"/>
      <c r="M37" s="11"/>
    </row>
    <row r="38" spans="1:13" ht="12.75" x14ac:dyDescent="0.2">
      <c r="A38" s="48" t="s">
        <v>59</v>
      </c>
      <c r="B38" s="9">
        <v>54</v>
      </c>
      <c r="C38" s="9" t="s">
        <v>1890</v>
      </c>
      <c r="D38" s="9" t="s">
        <v>24</v>
      </c>
      <c r="E38" s="9" t="s">
        <v>31</v>
      </c>
      <c r="F38" s="9" t="s">
        <v>26</v>
      </c>
      <c r="G38" s="10" t="s">
        <v>27</v>
      </c>
      <c r="H38" s="11"/>
      <c r="I38" s="11"/>
      <c r="J38" s="11"/>
      <c r="K38" s="11"/>
      <c r="L38" s="11"/>
      <c r="M38" s="11"/>
    </row>
    <row r="39" spans="1:13" ht="12.75" x14ac:dyDescent="0.2">
      <c r="A39" s="57"/>
      <c r="B39" s="9">
        <v>54</v>
      </c>
      <c r="C39" s="9" t="s">
        <v>1891</v>
      </c>
      <c r="D39" s="9" t="s">
        <v>24</v>
      </c>
      <c r="E39" s="9" t="s">
        <v>31</v>
      </c>
      <c r="F39" s="9" t="s">
        <v>26</v>
      </c>
      <c r="G39" s="10" t="s">
        <v>27</v>
      </c>
      <c r="H39" s="11"/>
      <c r="I39" s="11"/>
      <c r="J39" s="11"/>
      <c r="K39" s="11"/>
      <c r="L39" s="11"/>
      <c r="M39" s="11"/>
    </row>
    <row r="40" spans="1:13" ht="12.75" x14ac:dyDescent="0.2">
      <c r="A40" s="48" t="s">
        <v>101</v>
      </c>
      <c r="B40" s="9">
        <v>54</v>
      </c>
      <c r="C40" s="9" t="s">
        <v>1566</v>
      </c>
      <c r="D40" s="9" t="s">
        <v>24</v>
      </c>
      <c r="E40" s="9" t="s">
        <v>31</v>
      </c>
      <c r="F40" s="9" t="s">
        <v>26</v>
      </c>
      <c r="G40" s="10" t="s">
        <v>27</v>
      </c>
      <c r="H40" s="11"/>
      <c r="I40" s="11"/>
      <c r="J40" s="11"/>
      <c r="K40" s="11"/>
      <c r="L40" s="11"/>
      <c r="M40" s="11"/>
    </row>
    <row r="41" spans="1:13" ht="12.75" x14ac:dyDescent="0.2">
      <c r="A41" s="52"/>
      <c r="B41" s="9">
        <v>54</v>
      </c>
      <c r="C41" s="9" t="s">
        <v>1892</v>
      </c>
      <c r="D41" s="9" t="s">
        <v>24</v>
      </c>
      <c r="E41" s="9" t="s">
        <v>31</v>
      </c>
      <c r="F41" s="9" t="s">
        <v>26</v>
      </c>
      <c r="G41" s="10" t="s">
        <v>27</v>
      </c>
      <c r="H41" s="11"/>
      <c r="I41" s="11"/>
      <c r="J41" s="11"/>
      <c r="K41" s="11"/>
      <c r="L41" s="11"/>
      <c r="M41" s="11"/>
    </row>
    <row r="42" spans="1:13" ht="12.75" x14ac:dyDescent="0.2">
      <c r="A42" s="52"/>
      <c r="B42" s="9">
        <v>54</v>
      </c>
      <c r="C42" s="9" t="s">
        <v>1580</v>
      </c>
      <c r="D42" s="9" t="s">
        <v>24</v>
      </c>
      <c r="E42" s="9" t="s">
        <v>31</v>
      </c>
      <c r="F42" s="9" t="s">
        <v>26</v>
      </c>
      <c r="G42" s="10" t="s">
        <v>27</v>
      </c>
      <c r="H42" s="11"/>
      <c r="I42" s="11"/>
      <c r="J42" s="11"/>
      <c r="K42" s="11"/>
      <c r="L42" s="11"/>
      <c r="M42" s="11"/>
    </row>
    <row r="43" spans="1:13" ht="12.75" x14ac:dyDescent="0.2">
      <c r="A43" s="52"/>
      <c r="B43" s="9">
        <v>54</v>
      </c>
      <c r="C43" s="9" t="s">
        <v>1582</v>
      </c>
      <c r="D43" s="9" t="s">
        <v>24</v>
      </c>
      <c r="E43" s="9" t="s">
        <v>31</v>
      </c>
      <c r="F43" s="9" t="s">
        <v>26</v>
      </c>
      <c r="G43" s="10" t="s">
        <v>27</v>
      </c>
      <c r="H43" s="11"/>
      <c r="I43" s="11"/>
      <c r="J43" s="11"/>
      <c r="K43" s="11"/>
      <c r="L43" s="11"/>
      <c r="M43" s="11"/>
    </row>
    <row r="44" spans="1:13" ht="12.75" x14ac:dyDescent="0.2">
      <c r="A44" s="52"/>
      <c r="B44" s="9">
        <v>54</v>
      </c>
      <c r="C44" s="9" t="s">
        <v>1571</v>
      </c>
      <c r="D44" s="9" t="s">
        <v>24</v>
      </c>
      <c r="E44" s="9" t="s">
        <v>31</v>
      </c>
      <c r="F44" s="9" t="s">
        <v>26</v>
      </c>
      <c r="G44" s="10" t="s">
        <v>27</v>
      </c>
      <c r="H44" s="11"/>
      <c r="I44" s="11"/>
      <c r="J44" s="11"/>
      <c r="K44" s="11"/>
      <c r="L44" s="11"/>
      <c r="M44" s="11"/>
    </row>
    <row r="45" spans="1:13" ht="12.75" x14ac:dyDescent="0.2">
      <c r="A45" s="53"/>
      <c r="B45" s="9">
        <v>54</v>
      </c>
      <c r="C45" s="9" t="s">
        <v>1893</v>
      </c>
      <c r="D45" s="9" t="s">
        <v>24</v>
      </c>
      <c r="E45" s="9" t="s">
        <v>31</v>
      </c>
      <c r="F45" s="9" t="s">
        <v>26</v>
      </c>
      <c r="G45" s="10" t="s">
        <v>27</v>
      </c>
      <c r="H45" s="11"/>
      <c r="I45" s="11"/>
      <c r="J45" s="11"/>
      <c r="K45" s="11"/>
      <c r="L45" s="11"/>
      <c r="M45" s="11"/>
    </row>
    <row r="46" spans="1:13" ht="12.75" x14ac:dyDescent="0.2">
      <c r="A46" s="48" t="s">
        <v>62</v>
      </c>
      <c r="B46" s="9">
        <v>54</v>
      </c>
      <c r="C46" s="9" t="s">
        <v>1888</v>
      </c>
      <c r="D46" s="9" t="s">
        <v>24</v>
      </c>
      <c r="E46" s="9" t="s">
        <v>31</v>
      </c>
      <c r="F46" s="9" t="s">
        <v>47</v>
      </c>
      <c r="G46" s="10" t="s">
        <v>27</v>
      </c>
      <c r="H46" s="11"/>
      <c r="I46" s="11"/>
      <c r="J46" s="11"/>
      <c r="K46" s="11"/>
      <c r="L46" s="11"/>
      <c r="M46" s="11"/>
    </row>
    <row r="47" spans="1:13" ht="12.75" x14ac:dyDescent="0.2">
      <c r="A47" s="53"/>
      <c r="B47" s="9">
        <v>54</v>
      </c>
      <c r="C47" s="9" t="s">
        <v>1894</v>
      </c>
      <c r="D47" s="9" t="s">
        <v>24</v>
      </c>
      <c r="E47" s="9" t="s">
        <v>31</v>
      </c>
      <c r="F47" s="9" t="s">
        <v>87</v>
      </c>
      <c r="G47" s="10" t="s">
        <v>27</v>
      </c>
      <c r="H47" s="11"/>
      <c r="I47" s="11"/>
      <c r="J47" s="11"/>
      <c r="K47" s="11"/>
      <c r="L47" s="11"/>
      <c r="M47" s="11"/>
    </row>
    <row r="48" spans="1:13" ht="12.75" x14ac:dyDescent="0.2">
      <c r="A48" s="48" t="s">
        <v>70</v>
      </c>
      <c r="B48" s="9">
        <v>54</v>
      </c>
      <c r="C48" s="9" t="s">
        <v>1895</v>
      </c>
      <c r="D48" s="9" t="s">
        <v>24</v>
      </c>
      <c r="E48" s="9" t="s">
        <v>256</v>
      </c>
      <c r="F48" s="9" t="s">
        <v>87</v>
      </c>
      <c r="G48" s="10" t="s">
        <v>27</v>
      </c>
      <c r="H48" s="11"/>
      <c r="I48" s="11"/>
      <c r="J48" s="11"/>
      <c r="K48" s="11"/>
      <c r="L48" s="11"/>
      <c r="M48" s="11"/>
    </row>
    <row r="49" spans="1:13" ht="12.75" x14ac:dyDescent="0.2">
      <c r="A49" s="52"/>
      <c r="B49" s="9">
        <v>54</v>
      </c>
      <c r="C49" s="9" t="s">
        <v>1896</v>
      </c>
      <c r="D49" s="9" t="s">
        <v>24</v>
      </c>
      <c r="E49" s="9" t="s">
        <v>256</v>
      </c>
      <c r="F49" s="9" t="s">
        <v>87</v>
      </c>
      <c r="G49" s="10" t="s">
        <v>27</v>
      </c>
      <c r="H49" s="11"/>
      <c r="I49" s="11"/>
      <c r="J49" s="11"/>
      <c r="K49" s="11"/>
      <c r="L49" s="11"/>
      <c r="M49" s="11"/>
    </row>
    <row r="50" spans="1:13" ht="12.75" x14ac:dyDescent="0.2">
      <c r="A50" s="53"/>
      <c r="B50" s="9">
        <v>54</v>
      </c>
      <c r="C50" s="9" t="s">
        <v>1897</v>
      </c>
      <c r="D50" s="9" t="s">
        <v>24</v>
      </c>
      <c r="E50" s="9" t="s">
        <v>256</v>
      </c>
      <c r="F50" s="9" t="s">
        <v>87</v>
      </c>
      <c r="G50" s="10" t="s">
        <v>27</v>
      </c>
      <c r="H50" s="11"/>
      <c r="I50" s="11"/>
      <c r="J50" s="11"/>
      <c r="K50" s="11"/>
      <c r="L50" s="11"/>
      <c r="M50" s="11"/>
    </row>
    <row r="51" spans="1:13" ht="12.75" x14ac:dyDescent="0.2">
      <c r="A51" s="48" t="s">
        <v>73</v>
      </c>
      <c r="B51" s="9">
        <v>54</v>
      </c>
      <c r="C51" s="9" t="s">
        <v>1898</v>
      </c>
      <c r="D51" s="9" t="s">
        <v>24</v>
      </c>
      <c r="E51" s="9" t="s">
        <v>31</v>
      </c>
      <c r="F51" s="9" t="s">
        <v>26</v>
      </c>
      <c r="G51" s="10" t="s">
        <v>27</v>
      </c>
      <c r="H51" s="11"/>
      <c r="I51" s="11"/>
      <c r="J51" s="11"/>
      <c r="K51" s="11"/>
      <c r="L51" s="11"/>
      <c r="M51" s="11"/>
    </row>
    <row r="52" spans="1:13" ht="12.75" x14ac:dyDescent="0.2">
      <c r="A52" s="52"/>
      <c r="B52" s="9">
        <v>54</v>
      </c>
      <c r="C52" s="9" t="s">
        <v>1899</v>
      </c>
      <c r="D52" s="9" t="s">
        <v>30</v>
      </c>
      <c r="E52" s="9" t="s">
        <v>31</v>
      </c>
      <c r="F52" s="9" t="s">
        <v>26</v>
      </c>
      <c r="G52" s="10" t="s">
        <v>27</v>
      </c>
      <c r="H52" s="11"/>
      <c r="I52" s="11"/>
      <c r="J52" s="11"/>
      <c r="K52" s="11"/>
      <c r="L52" s="11"/>
      <c r="M52" s="11"/>
    </row>
    <row r="53" spans="1:13" ht="12.75" x14ac:dyDescent="0.2">
      <c r="A53" s="53"/>
      <c r="B53" s="9">
        <v>54</v>
      </c>
      <c r="C53" s="9" t="s">
        <v>1900</v>
      </c>
      <c r="D53" s="9" t="s">
        <v>24</v>
      </c>
      <c r="E53" s="9" t="s">
        <v>31</v>
      </c>
      <c r="F53" s="9" t="s">
        <v>26</v>
      </c>
      <c r="G53" s="10" t="s">
        <v>27</v>
      </c>
      <c r="H53" s="13"/>
    </row>
    <row r="54" spans="1:13" ht="12.75" x14ac:dyDescent="0.2">
      <c r="A54" s="48" t="s">
        <v>77</v>
      </c>
      <c r="B54" s="12">
        <v>54</v>
      </c>
      <c r="C54" s="12" t="s">
        <v>1901</v>
      </c>
      <c r="D54" s="12" t="s">
        <v>24</v>
      </c>
      <c r="E54" s="12" t="s">
        <v>25</v>
      </c>
      <c r="F54" s="12" t="s">
        <v>26</v>
      </c>
      <c r="G54" s="10" t="s">
        <v>27</v>
      </c>
      <c r="H54" s="13"/>
    </row>
    <row r="55" spans="1:13" ht="12.75" x14ac:dyDescent="0.2">
      <c r="A55" s="52"/>
      <c r="B55" s="12">
        <v>54</v>
      </c>
      <c r="C55" s="12" t="s">
        <v>1871</v>
      </c>
      <c r="D55" s="12" t="s">
        <v>24</v>
      </c>
      <c r="E55" s="12" t="s">
        <v>25</v>
      </c>
      <c r="F55" s="12" t="s">
        <v>26</v>
      </c>
      <c r="G55" s="10" t="s">
        <v>27</v>
      </c>
      <c r="H55" s="13"/>
    </row>
    <row r="56" spans="1:13" ht="12.75" x14ac:dyDescent="0.2">
      <c r="A56" s="52"/>
      <c r="B56" s="12">
        <v>54</v>
      </c>
      <c r="C56" s="12" t="s">
        <v>1884</v>
      </c>
      <c r="D56" s="12" t="s">
        <v>24</v>
      </c>
      <c r="E56" s="12" t="s">
        <v>25</v>
      </c>
      <c r="F56" s="12" t="s">
        <v>26</v>
      </c>
      <c r="G56" s="10" t="s">
        <v>27</v>
      </c>
      <c r="H56" s="13"/>
    </row>
    <row r="57" spans="1:13" ht="12.75" x14ac:dyDescent="0.2">
      <c r="A57" s="52"/>
      <c r="B57" s="12">
        <v>54</v>
      </c>
      <c r="C57" s="12" t="s">
        <v>1875</v>
      </c>
      <c r="D57" s="12" t="s">
        <v>24</v>
      </c>
      <c r="E57" s="12" t="s">
        <v>25</v>
      </c>
      <c r="F57" s="12" t="s">
        <v>26</v>
      </c>
      <c r="G57" s="10" t="s">
        <v>27</v>
      </c>
      <c r="H57" s="13"/>
    </row>
    <row r="58" spans="1:13" ht="12.75" x14ac:dyDescent="0.2">
      <c r="A58" s="53"/>
      <c r="B58" s="12">
        <v>54</v>
      </c>
      <c r="C58" s="12" t="s">
        <v>1874</v>
      </c>
      <c r="D58" s="12" t="s">
        <v>24</v>
      </c>
      <c r="E58" s="12" t="s">
        <v>25</v>
      </c>
      <c r="F58" s="12" t="s">
        <v>26</v>
      </c>
      <c r="G58" s="10" t="s">
        <v>27</v>
      </c>
      <c r="H58" s="13"/>
    </row>
    <row r="59" spans="1:13" ht="12.75" x14ac:dyDescent="0.2">
      <c r="A59" s="48" t="s">
        <v>79</v>
      </c>
      <c r="B59" s="9">
        <v>54</v>
      </c>
      <c r="C59" s="9" t="s">
        <v>1902</v>
      </c>
      <c r="D59" s="9" t="s">
        <v>24</v>
      </c>
      <c r="E59" s="9" t="s">
        <v>31</v>
      </c>
      <c r="F59" s="9" t="s">
        <v>87</v>
      </c>
      <c r="G59" s="10" t="s">
        <v>27</v>
      </c>
      <c r="H59" s="13"/>
    </row>
    <row r="60" spans="1:13" ht="12.75" x14ac:dyDescent="0.2">
      <c r="A60" s="52"/>
      <c r="B60" s="9">
        <v>54</v>
      </c>
      <c r="C60" s="9" t="s">
        <v>1903</v>
      </c>
      <c r="D60" s="9" t="s">
        <v>24</v>
      </c>
      <c r="E60" s="9" t="s">
        <v>31</v>
      </c>
      <c r="F60" s="9" t="s">
        <v>87</v>
      </c>
      <c r="G60" s="10" t="s">
        <v>27</v>
      </c>
      <c r="H60" s="13"/>
    </row>
    <row r="61" spans="1:13" ht="12.75" x14ac:dyDescent="0.2">
      <c r="A61" s="52"/>
      <c r="B61" s="9">
        <v>54</v>
      </c>
      <c r="C61" s="9" t="s">
        <v>1875</v>
      </c>
      <c r="D61" s="9" t="s">
        <v>24</v>
      </c>
      <c r="E61" s="9" t="s">
        <v>31</v>
      </c>
      <c r="F61" s="9" t="s">
        <v>87</v>
      </c>
      <c r="G61" s="10" t="s">
        <v>27</v>
      </c>
      <c r="H61" s="13"/>
    </row>
    <row r="62" spans="1:13" ht="12.75" x14ac:dyDescent="0.2">
      <c r="A62" s="52"/>
      <c r="B62" s="9">
        <v>54</v>
      </c>
      <c r="C62" s="9" t="s">
        <v>1884</v>
      </c>
      <c r="D62" s="9" t="s">
        <v>24</v>
      </c>
      <c r="E62" s="9" t="s">
        <v>31</v>
      </c>
      <c r="F62" s="9" t="s">
        <v>87</v>
      </c>
      <c r="G62" s="10" t="s">
        <v>27</v>
      </c>
      <c r="H62" s="13"/>
    </row>
    <row r="63" spans="1:13" ht="12.75" x14ac:dyDescent="0.2">
      <c r="A63" s="52"/>
      <c r="B63" s="9">
        <v>54</v>
      </c>
      <c r="C63" s="9" t="s">
        <v>1871</v>
      </c>
      <c r="D63" s="9" t="s">
        <v>24</v>
      </c>
      <c r="E63" s="9" t="s">
        <v>31</v>
      </c>
      <c r="F63" s="9" t="s">
        <v>87</v>
      </c>
      <c r="G63" s="10" t="s">
        <v>27</v>
      </c>
      <c r="H63" s="13"/>
    </row>
    <row r="64" spans="1:13" ht="12.75" x14ac:dyDescent="0.2">
      <c r="A64" s="52"/>
      <c r="B64" s="9">
        <v>54</v>
      </c>
      <c r="C64" s="9" t="s">
        <v>1904</v>
      </c>
      <c r="D64" s="9" t="s">
        <v>24</v>
      </c>
      <c r="E64" s="9" t="s">
        <v>31</v>
      </c>
      <c r="F64" s="9" t="s">
        <v>87</v>
      </c>
      <c r="G64" s="10" t="s">
        <v>27</v>
      </c>
      <c r="H64" s="13"/>
    </row>
    <row r="65" spans="1:8" ht="12.75" x14ac:dyDescent="0.2">
      <c r="A65" s="53"/>
      <c r="B65" s="9">
        <v>54</v>
      </c>
      <c r="C65" s="9" t="s">
        <v>1873</v>
      </c>
      <c r="D65" s="9" t="s">
        <v>24</v>
      </c>
      <c r="E65" s="9" t="s">
        <v>31</v>
      </c>
      <c r="F65" s="9" t="s">
        <v>87</v>
      </c>
      <c r="G65" s="10" t="s">
        <v>27</v>
      </c>
      <c r="H65" s="13"/>
    </row>
    <row r="66" spans="1:8" ht="12.75" x14ac:dyDescent="0.2">
      <c r="A66" s="48" t="s">
        <v>83</v>
      </c>
      <c r="B66" s="9">
        <v>54</v>
      </c>
      <c r="C66" s="9" t="s">
        <v>1898</v>
      </c>
      <c r="D66" s="9" t="s">
        <v>24</v>
      </c>
      <c r="E66" s="9" t="s">
        <v>31</v>
      </c>
      <c r="F66" s="9" t="s">
        <v>26</v>
      </c>
      <c r="G66" s="10" t="s">
        <v>27</v>
      </c>
      <c r="H66" s="13"/>
    </row>
    <row r="67" spans="1:8" ht="12.75" x14ac:dyDescent="0.2">
      <c r="A67" s="53"/>
      <c r="B67" s="9">
        <v>54</v>
      </c>
      <c r="C67" s="9" t="s">
        <v>1893</v>
      </c>
      <c r="D67" s="9" t="s">
        <v>30</v>
      </c>
      <c r="E67" s="9" t="s">
        <v>31</v>
      </c>
      <c r="F67" s="9" t="s">
        <v>26</v>
      </c>
      <c r="G67" s="10" t="s">
        <v>27</v>
      </c>
      <c r="H67" s="13"/>
    </row>
    <row r="68" spans="1:8" ht="12.75" x14ac:dyDescent="0.2">
      <c r="A68" s="48" t="s">
        <v>85</v>
      </c>
      <c r="B68" s="12">
        <v>54</v>
      </c>
      <c r="C68" s="12" t="s">
        <v>1871</v>
      </c>
      <c r="D68" s="12" t="s">
        <v>24</v>
      </c>
      <c r="E68" s="12" t="s">
        <v>25</v>
      </c>
      <c r="F68" s="12" t="s">
        <v>26</v>
      </c>
      <c r="G68" s="10" t="s">
        <v>27</v>
      </c>
      <c r="H68" s="13"/>
    </row>
    <row r="69" spans="1:8" ht="12.75" x14ac:dyDescent="0.2">
      <c r="A69" s="53"/>
      <c r="B69" s="12">
        <v>54</v>
      </c>
      <c r="C69" s="12" t="s">
        <v>1875</v>
      </c>
      <c r="D69" s="12" t="s">
        <v>24</v>
      </c>
      <c r="E69" s="12" t="s">
        <v>25</v>
      </c>
      <c r="F69" s="12" t="s">
        <v>26</v>
      </c>
      <c r="G69" s="10" t="s">
        <v>27</v>
      </c>
      <c r="H69" s="13"/>
    </row>
    <row r="70" spans="1:8" ht="12.75" x14ac:dyDescent="0.2">
      <c r="A70" s="13"/>
      <c r="B70" s="13"/>
      <c r="C70" s="13"/>
      <c r="D70" s="13"/>
      <c r="E70" s="13"/>
      <c r="F70" s="13"/>
      <c r="G70" s="13"/>
      <c r="H70" s="13"/>
    </row>
    <row r="71" spans="1:8" ht="12.75" x14ac:dyDescent="0.2">
      <c r="A71" s="13"/>
      <c r="B71" s="13"/>
      <c r="C71" s="13"/>
      <c r="D71" s="13"/>
      <c r="E71" s="13"/>
      <c r="F71" s="13"/>
      <c r="G71" s="13"/>
      <c r="H71" s="13"/>
    </row>
    <row r="72" spans="1:8" ht="12.75" x14ac:dyDescent="0.2">
      <c r="A72" s="13"/>
      <c r="B72" s="13"/>
      <c r="C72" s="13"/>
      <c r="D72" s="13"/>
      <c r="E72" s="13"/>
      <c r="F72" s="13"/>
      <c r="G72" s="13"/>
      <c r="H72" s="13"/>
    </row>
    <row r="73" spans="1:8" ht="12.75" x14ac:dyDescent="0.2">
      <c r="A73" s="13"/>
      <c r="B73" s="13"/>
      <c r="C73" s="13"/>
      <c r="D73" s="13"/>
      <c r="E73" s="13"/>
      <c r="F73" s="13"/>
      <c r="G73" s="13"/>
      <c r="H73" s="13"/>
    </row>
    <row r="74" spans="1:8" ht="12.75" x14ac:dyDescent="0.2">
      <c r="A74" s="13"/>
      <c r="B74" s="13"/>
      <c r="C74" s="13"/>
      <c r="D74" s="13"/>
      <c r="E74" s="13"/>
      <c r="F74" s="13"/>
      <c r="G74" s="13"/>
      <c r="H74" s="13"/>
    </row>
    <row r="75" spans="1:8" ht="12.75" x14ac:dyDescent="0.2">
      <c r="A75" s="13"/>
      <c r="B75" s="13"/>
      <c r="C75" s="13"/>
      <c r="D75" s="13"/>
      <c r="E75" s="13"/>
      <c r="F75" s="13"/>
      <c r="G75" s="13"/>
      <c r="H75" s="13"/>
    </row>
    <row r="76" spans="1:8" ht="12.75" x14ac:dyDescent="0.2">
      <c r="A76" s="13"/>
      <c r="B76" s="13"/>
      <c r="C76" s="13"/>
      <c r="D76" s="13"/>
      <c r="E76" s="13"/>
      <c r="F76" s="13"/>
      <c r="G76" s="13"/>
      <c r="H76" s="13"/>
    </row>
    <row r="77" spans="1:8" ht="12.75" x14ac:dyDescent="0.2">
      <c r="A77" s="13"/>
      <c r="B77" s="13"/>
      <c r="C77" s="13"/>
      <c r="D77" s="13"/>
      <c r="E77" s="13"/>
      <c r="F77" s="13"/>
      <c r="G77" s="13"/>
      <c r="H77" s="13"/>
    </row>
    <row r="78" spans="1:8" ht="12.75" x14ac:dyDescent="0.2">
      <c r="A78" s="13"/>
      <c r="B78" s="13"/>
      <c r="C78" s="13"/>
      <c r="D78" s="13"/>
      <c r="E78" s="13"/>
      <c r="F78" s="13"/>
      <c r="G78" s="13"/>
      <c r="H78" s="13"/>
    </row>
    <row r="79" spans="1:8" ht="12.75" x14ac:dyDescent="0.2">
      <c r="A79" s="13"/>
      <c r="B79" s="13"/>
      <c r="C79" s="13"/>
      <c r="D79" s="13"/>
      <c r="E79" s="13"/>
      <c r="F79" s="13"/>
      <c r="G79" s="13"/>
      <c r="H79" s="13"/>
    </row>
  </sheetData>
  <mergeCells count="17">
    <mergeCell ref="A28:A32"/>
    <mergeCell ref="A33:A34"/>
    <mergeCell ref="A59:A65"/>
    <mergeCell ref="A66:A67"/>
    <mergeCell ref="A68:A69"/>
    <mergeCell ref="A36:A37"/>
    <mergeCell ref="A38:A39"/>
    <mergeCell ref="A40:A45"/>
    <mergeCell ref="A46:A47"/>
    <mergeCell ref="A48:A50"/>
    <mergeCell ref="A51:A53"/>
    <mergeCell ref="A54:A58"/>
    <mergeCell ref="A1:G1"/>
    <mergeCell ref="A9:A13"/>
    <mergeCell ref="A14:A17"/>
    <mergeCell ref="A18:A23"/>
    <mergeCell ref="A24:A27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</sheetPr>
  <dimension ref="A1:I51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9" ht="15.75" customHeight="1" x14ac:dyDescent="0.25">
      <c r="A1" s="54" t="s">
        <v>0</v>
      </c>
      <c r="B1" s="55"/>
      <c r="C1" s="55"/>
      <c r="D1" s="55"/>
      <c r="E1" s="55"/>
      <c r="F1" s="55"/>
      <c r="G1" s="56"/>
    </row>
    <row r="2" spans="1:9" x14ac:dyDescent="0.2">
      <c r="A2" s="1"/>
      <c r="B2" s="2"/>
      <c r="C2" s="2"/>
      <c r="D2" s="2"/>
      <c r="E2" s="2"/>
      <c r="F2" s="2"/>
      <c r="G2" s="2"/>
    </row>
    <row r="3" spans="1:9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9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9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9" x14ac:dyDescent="0.2">
      <c r="A6" s="1"/>
      <c r="B6" s="2"/>
      <c r="C6" s="2"/>
      <c r="D6" s="2"/>
      <c r="E6" s="2"/>
      <c r="F6" s="2"/>
      <c r="G6" s="2"/>
    </row>
    <row r="7" spans="1:9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9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9" x14ac:dyDescent="0.2">
      <c r="A9" s="9" t="s">
        <v>20</v>
      </c>
      <c r="B9" s="9">
        <v>55</v>
      </c>
      <c r="C9" s="9" t="s">
        <v>1905</v>
      </c>
      <c r="D9" s="9" t="s">
        <v>24</v>
      </c>
      <c r="E9" s="9" t="s">
        <v>256</v>
      </c>
      <c r="F9" s="9" t="s">
        <v>87</v>
      </c>
      <c r="G9" s="10" t="s">
        <v>27</v>
      </c>
      <c r="H9" s="11"/>
      <c r="I9" s="11"/>
    </row>
    <row r="10" spans="1:9" x14ac:dyDescent="0.2">
      <c r="A10" s="9" t="s">
        <v>22</v>
      </c>
      <c r="B10" s="9">
        <v>55</v>
      </c>
      <c r="C10" s="9" t="s">
        <v>1906</v>
      </c>
      <c r="D10" s="9" t="s">
        <v>21</v>
      </c>
      <c r="E10" s="9" t="s">
        <v>21</v>
      </c>
      <c r="F10" s="9" t="s">
        <v>21</v>
      </c>
      <c r="G10" s="10" t="s">
        <v>21</v>
      </c>
      <c r="H10" s="11"/>
      <c r="I10" s="11"/>
    </row>
    <row r="11" spans="1:9" x14ac:dyDescent="0.2">
      <c r="A11" s="48" t="s">
        <v>28</v>
      </c>
      <c r="B11" s="9">
        <v>55</v>
      </c>
      <c r="C11" s="9" t="s">
        <v>1907</v>
      </c>
      <c r="D11" s="9" t="s">
        <v>24</v>
      </c>
      <c r="E11" s="9" t="s">
        <v>25</v>
      </c>
      <c r="F11" s="9" t="s">
        <v>26</v>
      </c>
      <c r="G11" s="10" t="s">
        <v>27</v>
      </c>
      <c r="H11" s="11"/>
      <c r="I11" s="11"/>
    </row>
    <row r="12" spans="1:9" x14ac:dyDescent="0.2">
      <c r="A12" s="52"/>
      <c r="B12" s="9">
        <v>55</v>
      </c>
      <c r="C12" s="9" t="s">
        <v>1908</v>
      </c>
      <c r="D12" s="9" t="s">
        <v>24</v>
      </c>
      <c r="E12" s="9" t="s">
        <v>25</v>
      </c>
      <c r="F12" s="9" t="s">
        <v>26</v>
      </c>
      <c r="G12" s="10" t="s">
        <v>27</v>
      </c>
      <c r="H12" s="11"/>
      <c r="I12" s="11"/>
    </row>
    <row r="13" spans="1:9" x14ac:dyDescent="0.2">
      <c r="A13" s="53"/>
      <c r="B13" s="9">
        <v>55</v>
      </c>
      <c r="C13" s="9" t="s">
        <v>1909</v>
      </c>
      <c r="D13" s="9" t="s">
        <v>24</v>
      </c>
      <c r="E13" s="9" t="s">
        <v>25</v>
      </c>
      <c r="F13" s="9" t="s">
        <v>26</v>
      </c>
      <c r="G13" s="10" t="s">
        <v>27</v>
      </c>
      <c r="H13" s="11"/>
      <c r="I13" s="11"/>
    </row>
    <row r="14" spans="1:9" x14ac:dyDescent="0.2">
      <c r="A14" s="48" t="s">
        <v>33</v>
      </c>
      <c r="B14" s="9">
        <v>55</v>
      </c>
      <c r="C14" s="9" t="s">
        <v>1910</v>
      </c>
      <c r="D14" s="9" t="s">
        <v>24</v>
      </c>
      <c r="E14" s="9" t="s">
        <v>256</v>
      </c>
      <c r="F14" s="9" t="s">
        <v>87</v>
      </c>
      <c r="G14" s="10" t="s">
        <v>27</v>
      </c>
      <c r="H14" s="11"/>
      <c r="I14" s="11"/>
    </row>
    <row r="15" spans="1:9" x14ac:dyDescent="0.2">
      <c r="A15" s="53"/>
      <c r="B15" s="9">
        <v>55</v>
      </c>
      <c r="C15" s="9" t="s">
        <v>1911</v>
      </c>
      <c r="D15" s="9" t="s">
        <v>24</v>
      </c>
      <c r="E15" s="9" t="s">
        <v>256</v>
      </c>
      <c r="F15" s="9" t="s">
        <v>87</v>
      </c>
      <c r="G15" s="10" t="s">
        <v>27</v>
      </c>
      <c r="H15" s="11"/>
      <c r="I15" s="11"/>
    </row>
    <row r="16" spans="1:9" x14ac:dyDescent="0.2">
      <c r="A16" s="48" t="s">
        <v>38</v>
      </c>
      <c r="B16" s="9">
        <v>55</v>
      </c>
      <c r="C16" s="9" t="s">
        <v>1912</v>
      </c>
      <c r="D16" s="9" t="s">
        <v>24</v>
      </c>
      <c r="E16" s="9" t="s">
        <v>31</v>
      </c>
      <c r="F16" s="9" t="s">
        <v>26</v>
      </c>
      <c r="G16" s="10" t="s">
        <v>27</v>
      </c>
      <c r="H16" s="11"/>
      <c r="I16" s="11"/>
    </row>
    <row r="17" spans="1:9" x14ac:dyDescent="0.2">
      <c r="A17" s="49"/>
      <c r="B17" s="9">
        <v>55</v>
      </c>
      <c r="C17" s="9" t="s">
        <v>1913</v>
      </c>
      <c r="D17" s="9" t="s">
        <v>24</v>
      </c>
      <c r="E17" s="9" t="s">
        <v>31</v>
      </c>
      <c r="F17" s="9" t="s">
        <v>26</v>
      </c>
      <c r="G17" s="10" t="s">
        <v>27</v>
      </c>
      <c r="H17" s="11"/>
      <c r="I17" s="11"/>
    </row>
    <row r="18" spans="1:9" x14ac:dyDescent="0.2">
      <c r="A18" s="48" t="s">
        <v>46</v>
      </c>
      <c r="B18" s="9">
        <v>55</v>
      </c>
      <c r="C18" s="9" t="s">
        <v>1914</v>
      </c>
      <c r="D18" s="9" t="s">
        <v>24</v>
      </c>
      <c r="E18" s="9" t="s">
        <v>25</v>
      </c>
      <c r="F18" s="9" t="s">
        <v>26</v>
      </c>
      <c r="G18" s="10" t="s">
        <v>27</v>
      </c>
      <c r="H18" s="11"/>
      <c r="I18" s="11"/>
    </row>
    <row r="19" spans="1:9" x14ac:dyDescent="0.2">
      <c r="A19" s="49"/>
      <c r="B19" s="9">
        <v>55</v>
      </c>
      <c r="C19" s="9" t="s">
        <v>1911</v>
      </c>
      <c r="D19" s="9" t="s">
        <v>24</v>
      </c>
      <c r="E19" s="9" t="s">
        <v>25</v>
      </c>
      <c r="F19" s="9" t="s">
        <v>26</v>
      </c>
      <c r="G19" s="10" t="s">
        <v>27</v>
      </c>
      <c r="H19" s="11"/>
      <c r="I19" s="11"/>
    </row>
    <row r="20" spans="1:9" x14ac:dyDescent="0.2">
      <c r="A20" s="48" t="s">
        <v>49</v>
      </c>
      <c r="B20" s="9">
        <v>55</v>
      </c>
      <c r="C20" s="9" t="s">
        <v>855</v>
      </c>
      <c r="D20" s="9" t="s">
        <v>24</v>
      </c>
      <c r="E20" s="9" t="s">
        <v>31</v>
      </c>
      <c r="F20" s="9" t="s">
        <v>26</v>
      </c>
      <c r="G20" s="10" t="s">
        <v>27</v>
      </c>
      <c r="H20" s="11"/>
      <c r="I20" s="11"/>
    </row>
    <row r="21" spans="1:9" x14ac:dyDescent="0.2">
      <c r="A21" s="49"/>
      <c r="B21" s="9">
        <v>55</v>
      </c>
      <c r="C21" s="9" t="s">
        <v>831</v>
      </c>
      <c r="D21" s="9" t="s">
        <v>24</v>
      </c>
      <c r="E21" s="9" t="s">
        <v>31</v>
      </c>
      <c r="F21" s="9" t="s">
        <v>26</v>
      </c>
      <c r="G21" s="10" t="s">
        <v>27</v>
      </c>
      <c r="H21" s="11"/>
      <c r="I21" s="11"/>
    </row>
    <row r="22" spans="1:9" x14ac:dyDescent="0.2">
      <c r="A22" s="9" t="s">
        <v>52</v>
      </c>
      <c r="B22" s="9">
        <v>55</v>
      </c>
      <c r="C22" s="9" t="s">
        <v>1796</v>
      </c>
      <c r="D22" s="9" t="s">
        <v>24</v>
      </c>
      <c r="E22" s="9" t="s">
        <v>31</v>
      </c>
      <c r="F22" s="9" t="s">
        <v>87</v>
      </c>
      <c r="G22" s="10" t="s">
        <v>27</v>
      </c>
      <c r="H22" s="11"/>
      <c r="I22" s="11"/>
    </row>
    <row r="23" spans="1:9" x14ac:dyDescent="0.2">
      <c r="A23" s="9" t="s">
        <v>59</v>
      </c>
      <c r="B23" s="9">
        <v>55</v>
      </c>
      <c r="C23" s="9" t="s">
        <v>1796</v>
      </c>
      <c r="D23" s="9" t="s">
        <v>24</v>
      </c>
      <c r="E23" s="9" t="s">
        <v>31</v>
      </c>
      <c r="F23" s="9" t="s">
        <v>87</v>
      </c>
      <c r="G23" s="10" t="s">
        <v>27</v>
      </c>
      <c r="H23" s="11"/>
      <c r="I23" s="11"/>
    </row>
    <row r="24" spans="1:9" x14ac:dyDescent="0.2">
      <c r="A24" s="48" t="s">
        <v>101</v>
      </c>
      <c r="B24" s="9">
        <v>55</v>
      </c>
      <c r="C24" s="9" t="s">
        <v>1915</v>
      </c>
      <c r="D24" s="9" t="s">
        <v>24</v>
      </c>
      <c r="E24" s="9" t="s">
        <v>31</v>
      </c>
      <c r="F24" s="9" t="s">
        <v>26</v>
      </c>
      <c r="G24" s="10" t="s">
        <v>27</v>
      </c>
      <c r="H24" s="11"/>
      <c r="I24" s="11"/>
    </row>
    <row r="25" spans="1:9" x14ac:dyDescent="0.2">
      <c r="A25" s="50"/>
      <c r="B25" s="9">
        <v>55</v>
      </c>
      <c r="C25" s="9" t="s">
        <v>1916</v>
      </c>
      <c r="D25" s="9" t="s">
        <v>24</v>
      </c>
      <c r="E25" s="9" t="s">
        <v>31</v>
      </c>
      <c r="F25" s="9" t="s">
        <v>26</v>
      </c>
      <c r="G25" s="10" t="s">
        <v>27</v>
      </c>
      <c r="H25" s="11"/>
      <c r="I25" s="11"/>
    </row>
    <row r="26" spans="1:9" x14ac:dyDescent="0.2">
      <c r="A26" s="51"/>
      <c r="B26" s="9">
        <v>55</v>
      </c>
      <c r="C26" s="9" t="s">
        <v>1917</v>
      </c>
      <c r="D26" s="9" t="s">
        <v>30</v>
      </c>
      <c r="E26" s="9" t="s">
        <v>25</v>
      </c>
      <c r="F26" s="9" t="s">
        <v>87</v>
      </c>
      <c r="G26" s="10" t="s">
        <v>27</v>
      </c>
      <c r="H26" s="11"/>
      <c r="I26" s="11"/>
    </row>
    <row r="27" spans="1:9" x14ac:dyDescent="0.2">
      <c r="A27" s="49"/>
      <c r="B27" s="9">
        <v>55</v>
      </c>
      <c r="C27" s="9" t="s">
        <v>1918</v>
      </c>
      <c r="D27" s="9" t="s">
        <v>24</v>
      </c>
      <c r="E27" s="9" t="s">
        <v>31</v>
      </c>
      <c r="F27" s="9" t="s">
        <v>26</v>
      </c>
      <c r="G27" s="10" t="s">
        <v>27</v>
      </c>
      <c r="H27" s="11"/>
      <c r="I27" s="11"/>
    </row>
    <row r="28" spans="1:9" x14ac:dyDescent="0.2">
      <c r="A28" s="9" t="s">
        <v>62</v>
      </c>
      <c r="B28" s="9">
        <v>55</v>
      </c>
      <c r="C28" s="9" t="s">
        <v>1796</v>
      </c>
      <c r="D28" s="9" t="s">
        <v>24</v>
      </c>
      <c r="E28" s="9" t="s">
        <v>31</v>
      </c>
      <c r="F28" s="9" t="s">
        <v>87</v>
      </c>
      <c r="G28" s="10" t="s">
        <v>27</v>
      </c>
      <c r="H28" s="11"/>
      <c r="I28" s="11"/>
    </row>
    <row r="29" spans="1:9" x14ac:dyDescent="0.2">
      <c r="A29" s="9" t="s">
        <v>70</v>
      </c>
      <c r="B29" s="9">
        <v>55</v>
      </c>
      <c r="C29" s="9" t="s">
        <v>1919</v>
      </c>
      <c r="D29" s="9" t="s">
        <v>24</v>
      </c>
      <c r="E29" s="9" t="s">
        <v>31</v>
      </c>
      <c r="F29" s="9" t="s">
        <v>26</v>
      </c>
      <c r="G29" s="10" t="s">
        <v>27</v>
      </c>
      <c r="H29" s="11"/>
      <c r="I29" s="11"/>
    </row>
    <row r="30" spans="1:9" x14ac:dyDescent="0.2">
      <c r="A30" s="48" t="s">
        <v>73</v>
      </c>
      <c r="B30" s="9">
        <v>55</v>
      </c>
      <c r="C30" s="9" t="s">
        <v>1917</v>
      </c>
      <c r="D30" s="9" t="s">
        <v>30</v>
      </c>
      <c r="E30" s="9" t="s">
        <v>31</v>
      </c>
      <c r="F30" s="9" t="s">
        <v>87</v>
      </c>
      <c r="G30" s="10" t="s">
        <v>27</v>
      </c>
      <c r="H30" s="11"/>
      <c r="I30" s="11"/>
    </row>
    <row r="31" spans="1:9" x14ac:dyDescent="0.2">
      <c r="A31" s="50"/>
      <c r="B31" s="9">
        <v>55</v>
      </c>
      <c r="C31" s="9" t="s">
        <v>1912</v>
      </c>
      <c r="D31" s="9" t="s">
        <v>24</v>
      </c>
      <c r="E31" s="9" t="s">
        <v>31</v>
      </c>
      <c r="F31" s="9" t="s">
        <v>26</v>
      </c>
      <c r="G31" s="10" t="s">
        <v>27</v>
      </c>
      <c r="H31" s="11"/>
      <c r="I31" s="11"/>
    </row>
    <row r="32" spans="1:9" x14ac:dyDescent="0.2">
      <c r="A32" s="57"/>
      <c r="B32" s="9">
        <v>55</v>
      </c>
      <c r="C32" s="9" t="s">
        <v>1913</v>
      </c>
      <c r="D32" s="9" t="s">
        <v>24</v>
      </c>
      <c r="E32" s="9" t="s">
        <v>31</v>
      </c>
      <c r="F32" s="9" t="s">
        <v>26</v>
      </c>
      <c r="G32" s="10" t="s">
        <v>27</v>
      </c>
      <c r="H32" s="11"/>
      <c r="I32" s="11"/>
    </row>
    <row r="33" spans="1:9" x14ac:dyDescent="0.2">
      <c r="A33" s="48" t="s">
        <v>77</v>
      </c>
      <c r="B33" s="12">
        <v>55</v>
      </c>
      <c r="C33" s="12" t="s">
        <v>1905</v>
      </c>
      <c r="D33" s="12" t="s">
        <v>24</v>
      </c>
      <c r="E33" s="12" t="s">
        <v>25</v>
      </c>
      <c r="F33" s="12" t="s">
        <v>26</v>
      </c>
      <c r="G33" s="10" t="s">
        <v>27</v>
      </c>
      <c r="H33" s="11"/>
      <c r="I33" s="11"/>
    </row>
    <row r="34" spans="1:9" x14ac:dyDescent="0.2">
      <c r="A34" s="57"/>
      <c r="B34" s="12">
        <v>55</v>
      </c>
      <c r="C34" s="12" t="s">
        <v>1911</v>
      </c>
      <c r="D34" s="12" t="s">
        <v>24</v>
      </c>
      <c r="E34" s="12" t="s">
        <v>25</v>
      </c>
      <c r="F34" s="12" t="s">
        <v>26</v>
      </c>
      <c r="G34" s="10" t="s">
        <v>27</v>
      </c>
      <c r="H34" s="11"/>
      <c r="I34" s="11"/>
    </row>
    <row r="35" spans="1:9" x14ac:dyDescent="0.2">
      <c r="A35" s="9" t="s">
        <v>79</v>
      </c>
      <c r="B35" s="9">
        <v>55</v>
      </c>
      <c r="C35" s="9" t="s">
        <v>1905</v>
      </c>
      <c r="D35" s="9" t="s">
        <v>24</v>
      </c>
      <c r="E35" s="9" t="s">
        <v>31</v>
      </c>
      <c r="F35" s="9" t="s">
        <v>26</v>
      </c>
      <c r="G35" s="10" t="s">
        <v>27</v>
      </c>
      <c r="H35" s="11"/>
      <c r="I35" s="11"/>
    </row>
    <row r="36" spans="1:9" x14ac:dyDescent="0.2">
      <c r="A36" s="48" t="s">
        <v>83</v>
      </c>
      <c r="B36" s="9">
        <v>55</v>
      </c>
      <c r="C36" s="9" t="s">
        <v>1917</v>
      </c>
      <c r="D36" s="9" t="s">
        <v>30</v>
      </c>
      <c r="E36" s="9" t="s">
        <v>31</v>
      </c>
      <c r="F36" s="9" t="s">
        <v>26</v>
      </c>
      <c r="G36" s="10" t="s">
        <v>27</v>
      </c>
      <c r="H36" s="11"/>
      <c r="I36" s="11"/>
    </row>
    <row r="37" spans="1:9" ht="12.75" x14ac:dyDescent="0.2">
      <c r="A37" s="50"/>
      <c r="B37" s="9">
        <v>55</v>
      </c>
      <c r="C37" s="9" t="s">
        <v>1912</v>
      </c>
      <c r="D37" s="9" t="s">
        <v>24</v>
      </c>
      <c r="E37" s="9" t="s">
        <v>31</v>
      </c>
      <c r="F37" s="9" t="s">
        <v>26</v>
      </c>
      <c r="G37" s="10" t="s">
        <v>27</v>
      </c>
      <c r="H37" s="11"/>
      <c r="I37" s="11"/>
    </row>
    <row r="38" spans="1:9" ht="12.75" x14ac:dyDescent="0.2">
      <c r="A38" s="51"/>
      <c r="B38" s="9">
        <v>55</v>
      </c>
      <c r="C38" s="9" t="s">
        <v>1913</v>
      </c>
      <c r="D38" s="9" t="s">
        <v>24</v>
      </c>
      <c r="E38" s="9" t="s">
        <v>31</v>
      </c>
      <c r="F38" s="9" t="s">
        <v>26</v>
      </c>
      <c r="G38" s="10" t="s">
        <v>27</v>
      </c>
      <c r="H38" s="11"/>
      <c r="I38" s="11"/>
    </row>
    <row r="39" spans="1:9" ht="12.75" x14ac:dyDescent="0.2">
      <c r="A39" s="53"/>
      <c r="B39" s="9">
        <v>55</v>
      </c>
      <c r="C39" s="9" t="s">
        <v>1905</v>
      </c>
      <c r="D39" s="9" t="s">
        <v>24</v>
      </c>
      <c r="E39" s="9" t="s">
        <v>31</v>
      </c>
      <c r="F39" s="9" t="s">
        <v>26</v>
      </c>
      <c r="G39" s="10" t="s">
        <v>27</v>
      </c>
      <c r="H39" s="11"/>
      <c r="I39" s="11"/>
    </row>
    <row r="40" spans="1:9" ht="12.75" x14ac:dyDescent="0.2">
      <c r="A40" s="48" t="s">
        <v>85</v>
      </c>
      <c r="B40" s="12">
        <v>55</v>
      </c>
      <c r="C40" s="12" t="s">
        <v>1914</v>
      </c>
      <c r="D40" s="12" t="s">
        <v>24</v>
      </c>
      <c r="E40" s="12" t="s">
        <v>25</v>
      </c>
      <c r="F40" s="12" t="s">
        <v>26</v>
      </c>
      <c r="G40" s="10" t="s">
        <v>27</v>
      </c>
      <c r="H40" s="11"/>
      <c r="I40" s="11"/>
    </row>
    <row r="41" spans="1:9" ht="12.75" x14ac:dyDescent="0.2">
      <c r="A41" s="53"/>
      <c r="B41" s="12">
        <v>55</v>
      </c>
      <c r="C41" s="12" t="s">
        <v>1911</v>
      </c>
      <c r="D41" s="12" t="s">
        <v>24</v>
      </c>
      <c r="E41" s="12" t="s">
        <v>25</v>
      </c>
      <c r="F41" s="12" t="s">
        <v>26</v>
      </c>
      <c r="G41" s="10" t="s">
        <v>27</v>
      </c>
      <c r="H41" s="11"/>
      <c r="I41" s="11"/>
    </row>
    <row r="42" spans="1:9" ht="12.75" x14ac:dyDescent="0.2">
      <c r="A42" s="11"/>
      <c r="B42" s="11"/>
      <c r="C42" s="11"/>
      <c r="D42" s="11"/>
      <c r="E42" s="11"/>
      <c r="F42" s="11"/>
      <c r="G42" s="11"/>
      <c r="H42" s="11"/>
      <c r="I42" s="11"/>
    </row>
    <row r="43" spans="1:9" ht="12.75" x14ac:dyDescent="0.2">
      <c r="A43" s="11"/>
      <c r="B43" s="11"/>
      <c r="C43" s="11"/>
      <c r="D43" s="11"/>
      <c r="E43" s="11"/>
      <c r="F43" s="11"/>
      <c r="G43" s="11"/>
      <c r="H43" s="11"/>
      <c r="I43" s="11"/>
    </row>
    <row r="44" spans="1:9" ht="12.75" x14ac:dyDescent="0.2">
      <c r="A44" s="11"/>
      <c r="B44" s="27"/>
      <c r="C44" s="27"/>
      <c r="D44" s="27"/>
      <c r="E44" s="27"/>
      <c r="F44" s="27"/>
      <c r="G44" s="11"/>
      <c r="H44" s="11"/>
      <c r="I44" s="11"/>
    </row>
    <row r="45" spans="1:9" ht="12.75" x14ac:dyDescent="0.2">
      <c r="A45" s="11"/>
      <c r="B45" s="27"/>
      <c r="C45" s="27"/>
      <c r="D45" s="27"/>
      <c r="E45" s="27"/>
      <c r="F45" s="27"/>
      <c r="G45" s="11"/>
      <c r="H45" s="11"/>
      <c r="I45" s="11"/>
    </row>
    <row r="46" spans="1:9" ht="12.75" x14ac:dyDescent="0.2">
      <c r="A46" s="11"/>
      <c r="B46" s="11"/>
      <c r="C46" s="11"/>
      <c r="D46" s="11"/>
      <c r="E46" s="11"/>
      <c r="F46" s="11"/>
      <c r="G46" s="11"/>
      <c r="H46" s="11"/>
      <c r="I46" s="11"/>
    </row>
    <row r="47" spans="1:9" ht="12.75" x14ac:dyDescent="0.2">
      <c r="A47" s="11"/>
      <c r="B47" s="11"/>
      <c r="C47" s="11"/>
      <c r="D47" s="11"/>
      <c r="E47" s="11"/>
      <c r="F47" s="11"/>
      <c r="G47" s="11"/>
      <c r="H47" s="11"/>
      <c r="I47" s="11"/>
    </row>
    <row r="48" spans="1:9" ht="12.75" x14ac:dyDescent="0.2">
      <c r="A48" s="11"/>
      <c r="B48" s="11"/>
      <c r="C48" s="11"/>
      <c r="D48" s="11"/>
      <c r="E48" s="11"/>
      <c r="F48" s="11"/>
      <c r="G48" s="11"/>
      <c r="H48" s="11"/>
      <c r="I48" s="11"/>
    </row>
    <row r="49" spans="1:9" ht="12.75" x14ac:dyDescent="0.2">
      <c r="A49" s="11"/>
      <c r="B49" s="11"/>
      <c r="C49" s="11"/>
      <c r="D49" s="11"/>
      <c r="E49" s="11"/>
      <c r="F49" s="11"/>
      <c r="G49" s="11"/>
      <c r="H49" s="11"/>
      <c r="I49" s="11"/>
    </row>
    <row r="50" spans="1:9" ht="12.75" x14ac:dyDescent="0.2">
      <c r="A50" s="11"/>
      <c r="B50" s="11"/>
      <c r="C50" s="11"/>
      <c r="D50" s="11"/>
      <c r="E50" s="11"/>
      <c r="F50" s="11"/>
      <c r="G50" s="11"/>
      <c r="H50" s="11"/>
      <c r="I50" s="11"/>
    </row>
    <row r="51" spans="1:9" ht="12.75" x14ac:dyDescent="0.2">
      <c r="A51" s="11"/>
      <c r="B51" s="11"/>
      <c r="C51" s="11"/>
      <c r="D51" s="11"/>
      <c r="E51" s="11"/>
      <c r="F51" s="11"/>
      <c r="G51" s="11"/>
      <c r="H51" s="11"/>
      <c r="I51" s="11"/>
    </row>
  </sheetData>
  <mergeCells count="11">
    <mergeCell ref="A30:A32"/>
    <mergeCell ref="A33:A34"/>
    <mergeCell ref="A36:A39"/>
    <mergeCell ref="A40:A41"/>
    <mergeCell ref="A1:G1"/>
    <mergeCell ref="A11:A13"/>
    <mergeCell ref="A14:A15"/>
    <mergeCell ref="A16:A17"/>
    <mergeCell ref="A18:A19"/>
    <mergeCell ref="A20:A21"/>
    <mergeCell ref="A24:A27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</sheetPr>
  <dimension ref="A1:M104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13" ht="15.75" customHeight="1" x14ac:dyDescent="0.25">
      <c r="A1" s="54" t="s">
        <v>0</v>
      </c>
      <c r="B1" s="55"/>
      <c r="C1" s="55"/>
      <c r="D1" s="55"/>
      <c r="E1" s="55"/>
      <c r="F1" s="55"/>
      <c r="G1" s="56"/>
    </row>
    <row r="2" spans="1:13" x14ac:dyDescent="0.2">
      <c r="A2" s="1"/>
      <c r="B2" s="2"/>
      <c r="C2" s="2"/>
      <c r="D2" s="2"/>
      <c r="E2" s="2"/>
      <c r="F2" s="2"/>
      <c r="G2" s="2"/>
    </row>
    <row r="3" spans="1:13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13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13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13" x14ac:dyDescent="0.2">
      <c r="A6" s="1"/>
      <c r="B6" s="2"/>
      <c r="C6" s="2"/>
      <c r="D6" s="2"/>
      <c r="E6" s="2"/>
      <c r="F6" s="2"/>
      <c r="G6" s="2"/>
    </row>
    <row r="7" spans="1:13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13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13" x14ac:dyDescent="0.2">
      <c r="A9" s="48" t="s">
        <v>20</v>
      </c>
      <c r="B9" s="9">
        <v>56</v>
      </c>
      <c r="C9" s="9" t="s">
        <v>1920</v>
      </c>
      <c r="D9" s="9" t="s">
        <v>24</v>
      </c>
      <c r="E9" s="9" t="s">
        <v>31</v>
      </c>
      <c r="F9" s="9" t="s">
        <v>26</v>
      </c>
      <c r="G9" s="10" t="s">
        <v>27</v>
      </c>
      <c r="H9" s="11"/>
      <c r="I9" s="11"/>
      <c r="J9" s="11"/>
      <c r="K9" s="11"/>
      <c r="L9" s="11"/>
      <c r="M9" s="11"/>
    </row>
    <row r="10" spans="1:13" x14ac:dyDescent="0.2">
      <c r="A10" s="52"/>
      <c r="B10" s="9">
        <v>56</v>
      </c>
      <c r="C10" s="9" t="s">
        <v>1921</v>
      </c>
      <c r="D10" s="9" t="s">
        <v>24</v>
      </c>
      <c r="E10" s="9" t="s">
        <v>31</v>
      </c>
      <c r="F10" s="9" t="s">
        <v>26</v>
      </c>
      <c r="G10" s="10" t="s">
        <v>27</v>
      </c>
      <c r="H10" s="11"/>
      <c r="I10" s="11"/>
      <c r="J10" s="11"/>
      <c r="K10" s="11"/>
      <c r="L10" s="11"/>
      <c r="M10" s="11"/>
    </row>
    <row r="11" spans="1:13" x14ac:dyDescent="0.2">
      <c r="A11" s="52"/>
      <c r="B11" s="9">
        <v>56</v>
      </c>
      <c r="C11" s="9" t="s">
        <v>1922</v>
      </c>
      <c r="D11" s="9" t="s">
        <v>24</v>
      </c>
      <c r="E11" s="9" t="s">
        <v>31</v>
      </c>
      <c r="F11" s="9" t="s">
        <v>26</v>
      </c>
      <c r="G11" s="10" t="s">
        <v>27</v>
      </c>
      <c r="H11" s="11"/>
      <c r="I11" s="11"/>
      <c r="J11" s="11"/>
      <c r="K11" s="11"/>
      <c r="L11" s="11"/>
      <c r="M11" s="11"/>
    </row>
    <row r="12" spans="1:13" x14ac:dyDescent="0.2">
      <c r="A12" s="52"/>
      <c r="B12" s="9">
        <v>56</v>
      </c>
      <c r="C12" s="9" t="s">
        <v>1923</v>
      </c>
      <c r="D12" s="9" t="s">
        <v>24</v>
      </c>
      <c r="E12" s="9" t="s">
        <v>31</v>
      </c>
      <c r="F12" s="9" t="s">
        <v>26</v>
      </c>
      <c r="G12" s="10" t="s">
        <v>27</v>
      </c>
      <c r="H12" s="11"/>
      <c r="I12" s="11"/>
      <c r="J12" s="11"/>
      <c r="K12" s="11"/>
      <c r="L12" s="11"/>
      <c r="M12" s="11"/>
    </row>
    <row r="13" spans="1:13" x14ac:dyDescent="0.2">
      <c r="A13" s="53"/>
      <c r="B13" s="9">
        <v>56</v>
      </c>
      <c r="C13" s="9" t="s">
        <v>1924</v>
      </c>
      <c r="D13" s="9" t="s">
        <v>24</v>
      </c>
      <c r="E13" s="9" t="s">
        <v>31</v>
      </c>
      <c r="F13" s="9" t="s">
        <v>26</v>
      </c>
      <c r="G13" s="10" t="s">
        <v>27</v>
      </c>
      <c r="H13" s="11"/>
      <c r="I13" s="11"/>
      <c r="J13" s="11"/>
      <c r="K13" s="11"/>
      <c r="L13" s="11"/>
      <c r="M13" s="11"/>
    </row>
    <row r="14" spans="1:13" x14ac:dyDescent="0.2">
      <c r="A14" s="48" t="s">
        <v>22</v>
      </c>
      <c r="B14" s="9">
        <v>56</v>
      </c>
      <c r="C14" s="9" t="s">
        <v>1921</v>
      </c>
      <c r="D14" s="9" t="s">
        <v>24</v>
      </c>
      <c r="E14" s="9" t="s">
        <v>31</v>
      </c>
      <c r="F14" s="9" t="s">
        <v>26</v>
      </c>
      <c r="G14" s="10" t="s">
        <v>27</v>
      </c>
      <c r="H14" s="11"/>
      <c r="I14" s="11"/>
      <c r="J14" s="11"/>
      <c r="K14" s="11"/>
      <c r="L14" s="11"/>
      <c r="M14" s="11"/>
    </row>
    <row r="15" spans="1:13" x14ac:dyDescent="0.2">
      <c r="A15" s="52"/>
      <c r="B15" s="9">
        <v>56</v>
      </c>
      <c r="C15" s="9" t="s">
        <v>1923</v>
      </c>
      <c r="D15" s="9" t="s">
        <v>24</v>
      </c>
      <c r="E15" s="9" t="s">
        <v>31</v>
      </c>
      <c r="F15" s="9" t="s">
        <v>26</v>
      </c>
      <c r="G15" s="10" t="s">
        <v>27</v>
      </c>
      <c r="H15" s="11"/>
      <c r="I15" s="11"/>
      <c r="J15" s="11"/>
      <c r="K15" s="11"/>
      <c r="L15" s="11"/>
      <c r="M15" s="11"/>
    </row>
    <row r="16" spans="1:13" x14ac:dyDescent="0.2">
      <c r="A16" s="52"/>
      <c r="B16" s="9">
        <v>56</v>
      </c>
      <c r="C16" s="9" t="s">
        <v>1924</v>
      </c>
      <c r="D16" s="9" t="s">
        <v>24</v>
      </c>
      <c r="E16" s="9" t="s">
        <v>31</v>
      </c>
      <c r="F16" s="9" t="s">
        <v>26</v>
      </c>
      <c r="G16" s="10" t="s">
        <v>27</v>
      </c>
      <c r="H16" s="11"/>
      <c r="I16" s="11"/>
      <c r="J16" s="11"/>
      <c r="K16" s="11"/>
      <c r="L16" s="11"/>
      <c r="M16" s="11"/>
    </row>
    <row r="17" spans="1:13" x14ac:dyDescent="0.2">
      <c r="A17" s="53"/>
      <c r="B17" s="9">
        <v>56</v>
      </c>
      <c r="C17" s="9" t="s">
        <v>1920</v>
      </c>
      <c r="D17" s="9" t="s">
        <v>24</v>
      </c>
      <c r="E17" s="9" t="s">
        <v>31</v>
      </c>
      <c r="F17" s="9" t="s">
        <v>26</v>
      </c>
      <c r="G17" s="10" t="s">
        <v>27</v>
      </c>
      <c r="H17" s="11"/>
      <c r="I17" s="11"/>
      <c r="J17" s="11"/>
      <c r="K17" s="11"/>
      <c r="L17" s="11"/>
      <c r="M17" s="11"/>
    </row>
    <row r="18" spans="1:13" x14ac:dyDescent="0.2">
      <c r="A18" s="48" t="s">
        <v>28</v>
      </c>
      <c r="B18" s="9">
        <v>56</v>
      </c>
      <c r="C18" s="9" t="s">
        <v>1925</v>
      </c>
      <c r="D18" s="9" t="s">
        <v>24</v>
      </c>
      <c r="E18" s="9" t="s">
        <v>25</v>
      </c>
      <c r="F18" s="9" t="s">
        <v>26</v>
      </c>
      <c r="G18" s="10" t="s">
        <v>27</v>
      </c>
      <c r="H18" s="11"/>
      <c r="I18" s="11"/>
      <c r="J18" s="11"/>
      <c r="K18" s="11"/>
      <c r="L18" s="11"/>
      <c r="M18" s="11"/>
    </row>
    <row r="19" spans="1:13" x14ac:dyDescent="0.2">
      <c r="A19" s="52"/>
      <c r="B19" s="9">
        <v>56</v>
      </c>
      <c r="C19" s="9" t="s">
        <v>1926</v>
      </c>
      <c r="D19" s="9" t="s">
        <v>24</v>
      </c>
      <c r="E19" s="9" t="s">
        <v>25</v>
      </c>
      <c r="F19" s="9" t="s">
        <v>26</v>
      </c>
      <c r="G19" s="10" t="s">
        <v>27</v>
      </c>
      <c r="H19" s="11"/>
      <c r="I19" s="11"/>
      <c r="J19" s="11"/>
      <c r="K19" s="11"/>
      <c r="L19" s="11"/>
      <c r="M19" s="11"/>
    </row>
    <row r="20" spans="1:13" x14ac:dyDescent="0.2">
      <c r="A20" s="50"/>
      <c r="B20" s="9">
        <v>56</v>
      </c>
      <c r="C20" s="9" t="s">
        <v>1927</v>
      </c>
      <c r="D20" s="9" t="s">
        <v>24</v>
      </c>
      <c r="E20" s="9" t="s">
        <v>25</v>
      </c>
      <c r="F20" s="9" t="s">
        <v>26</v>
      </c>
      <c r="G20" s="10" t="s">
        <v>27</v>
      </c>
      <c r="H20" s="11"/>
      <c r="I20" s="11"/>
      <c r="J20" s="11"/>
      <c r="K20" s="11"/>
      <c r="L20" s="11"/>
      <c r="M20" s="11"/>
    </row>
    <row r="21" spans="1:13" x14ac:dyDescent="0.2">
      <c r="A21" s="51"/>
      <c r="B21" s="9">
        <v>56</v>
      </c>
      <c r="C21" s="9" t="s">
        <v>1928</v>
      </c>
      <c r="D21" s="9" t="s">
        <v>24</v>
      </c>
      <c r="E21" s="9" t="s">
        <v>25</v>
      </c>
      <c r="F21" s="9" t="s">
        <v>26</v>
      </c>
      <c r="G21" s="10" t="s">
        <v>27</v>
      </c>
      <c r="H21" s="11"/>
      <c r="I21" s="11"/>
      <c r="J21" s="11"/>
      <c r="K21" s="11"/>
      <c r="L21" s="11"/>
      <c r="M21" s="11"/>
    </row>
    <row r="22" spans="1:13" x14ac:dyDescent="0.2">
      <c r="A22" s="50"/>
      <c r="B22" s="9">
        <v>56</v>
      </c>
      <c r="C22" s="9" t="s">
        <v>1928</v>
      </c>
      <c r="D22" s="9" t="s">
        <v>24</v>
      </c>
      <c r="E22" s="9" t="s">
        <v>25</v>
      </c>
      <c r="F22" s="9" t="s">
        <v>26</v>
      </c>
      <c r="G22" s="10" t="s">
        <v>27</v>
      </c>
      <c r="H22" s="11"/>
      <c r="I22" s="11"/>
      <c r="J22" s="11"/>
      <c r="K22" s="11"/>
      <c r="L22" s="11"/>
      <c r="M22" s="11"/>
    </row>
    <row r="23" spans="1:13" x14ac:dyDescent="0.2">
      <c r="A23" s="51"/>
      <c r="B23" s="9">
        <v>56</v>
      </c>
      <c r="C23" s="9" t="s">
        <v>1929</v>
      </c>
      <c r="D23" s="9" t="s">
        <v>24</v>
      </c>
      <c r="E23" s="9" t="s">
        <v>25</v>
      </c>
      <c r="F23" s="9" t="s">
        <v>26</v>
      </c>
      <c r="G23" s="10" t="s">
        <v>27</v>
      </c>
      <c r="H23" s="11"/>
      <c r="I23" s="11"/>
      <c r="J23" s="11"/>
      <c r="K23" s="11"/>
      <c r="L23" s="11"/>
      <c r="M23" s="11"/>
    </row>
    <row r="24" spans="1:13" x14ac:dyDescent="0.2">
      <c r="A24" s="49"/>
      <c r="B24" s="9">
        <v>56</v>
      </c>
      <c r="C24" s="9" t="s">
        <v>1930</v>
      </c>
      <c r="D24" s="9" t="s">
        <v>24</v>
      </c>
      <c r="E24" s="9" t="s">
        <v>25</v>
      </c>
      <c r="F24" s="9" t="s">
        <v>26</v>
      </c>
      <c r="G24" s="10" t="s">
        <v>27</v>
      </c>
      <c r="H24" s="11"/>
      <c r="I24" s="11"/>
      <c r="J24" s="11"/>
      <c r="K24" s="11"/>
      <c r="L24" s="11"/>
      <c r="M24" s="11"/>
    </row>
    <row r="25" spans="1:13" x14ac:dyDescent="0.2">
      <c r="A25" s="48" t="s">
        <v>33</v>
      </c>
      <c r="B25" s="9">
        <v>56</v>
      </c>
      <c r="C25" s="9" t="s">
        <v>1931</v>
      </c>
      <c r="D25" s="9" t="s">
        <v>24</v>
      </c>
      <c r="E25" s="9" t="s">
        <v>31</v>
      </c>
      <c r="F25" s="9" t="s">
        <v>26</v>
      </c>
      <c r="G25" s="10" t="s">
        <v>27</v>
      </c>
      <c r="H25" s="11"/>
      <c r="I25" s="11"/>
      <c r="J25" s="11"/>
      <c r="K25" s="11"/>
      <c r="L25" s="11"/>
      <c r="M25" s="11"/>
    </row>
    <row r="26" spans="1:13" x14ac:dyDescent="0.2">
      <c r="A26" s="50"/>
      <c r="B26" s="9">
        <v>56</v>
      </c>
      <c r="C26" s="9" t="s">
        <v>1932</v>
      </c>
      <c r="D26" s="9" t="s">
        <v>24</v>
      </c>
      <c r="E26" s="9" t="s">
        <v>31</v>
      </c>
      <c r="F26" s="9" t="s">
        <v>26</v>
      </c>
      <c r="G26" s="10" t="s">
        <v>27</v>
      </c>
      <c r="H26" s="11"/>
      <c r="I26" s="11"/>
      <c r="J26" s="11"/>
      <c r="K26" s="11"/>
      <c r="L26" s="11"/>
      <c r="M26" s="11"/>
    </row>
    <row r="27" spans="1:13" x14ac:dyDescent="0.2">
      <c r="A27" s="51"/>
      <c r="B27" s="9">
        <v>56</v>
      </c>
      <c r="C27" s="9" t="s">
        <v>1933</v>
      </c>
      <c r="D27" s="9" t="s">
        <v>24</v>
      </c>
      <c r="E27" s="9" t="s">
        <v>31</v>
      </c>
      <c r="F27" s="9" t="s">
        <v>26</v>
      </c>
      <c r="G27" s="10" t="s">
        <v>27</v>
      </c>
      <c r="H27" s="11"/>
      <c r="I27" s="11"/>
      <c r="J27" s="11"/>
      <c r="K27" s="11"/>
      <c r="L27" s="11"/>
      <c r="M27" s="11"/>
    </row>
    <row r="28" spans="1:13" x14ac:dyDescent="0.2">
      <c r="A28" s="50"/>
      <c r="B28" s="9">
        <v>56</v>
      </c>
      <c r="C28" s="9" t="s">
        <v>1934</v>
      </c>
      <c r="D28" s="9" t="s">
        <v>24</v>
      </c>
      <c r="E28" s="9" t="s">
        <v>31</v>
      </c>
      <c r="F28" s="9" t="s">
        <v>26</v>
      </c>
      <c r="G28" s="10" t="s">
        <v>27</v>
      </c>
      <c r="H28" s="11"/>
      <c r="I28" s="11"/>
      <c r="J28" s="11"/>
      <c r="K28" s="11"/>
      <c r="L28" s="11"/>
      <c r="M28" s="11"/>
    </row>
    <row r="29" spans="1:13" x14ac:dyDescent="0.2">
      <c r="A29" s="51"/>
      <c r="B29" s="9">
        <v>56</v>
      </c>
      <c r="C29" s="9" t="s">
        <v>1922</v>
      </c>
      <c r="D29" s="9" t="s">
        <v>24</v>
      </c>
      <c r="E29" s="9" t="s">
        <v>31</v>
      </c>
      <c r="F29" s="9" t="s">
        <v>26</v>
      </c>
      <c r="G29" s="10" t="s">
        <v>27</v>
      </c>
      <c r="H29" s="11"/>
      <c r="I29" s="11"/>
      <c r="J29" s="11"/>
      <c r="K29" s="11"/>
      <c r="L29" s="11"/>
      <c r="M29" s="11"/>
    </row>
    <row r="30" spans="1:13" x14ac:dyDescent="0.2">
      <c r="A30" s="50"/>
      <c r="B30" s="9">
        <v>56</v>
      </c>
      <c r="C30" s="9" t="s">
        <v>1921</v>
      </c>
      <c r="D30" s="9" t="s">
        <v>24</v>
      </c>
      <c r="E30" s="9" t="s">
        <v>31</v>
      </c>
      <c r="F30" s="9" t="s">
        <v>26</v>
      </c>
      <c r="G30" s="10" t="s">
        <v>27</v>
      </c>
      <c r="H30" s="11"/>
      <c r="I30" s="11"/>
      <c r="J30" s="11"/>
      <c r="K30" s="11"/>
      <c r="L30" s="11"/>
      <c r="M30" s="11"/>
    </row>
    <row r="31" spans="1:13" x14ac:dyDescent="0.2">
      <c r="A31" s="51"/>
      <c r="B31" s="9">
        <v>56</v>
      </c>
      <c r="C31" s="9" t="s">
        <v>1920</v>
      </c>
      <c r="D31" s="9" t="s">
        <v>24</v>
      </c>
      <c r="E31" s="9" t="s">
        <v>31</v>
      </c>
      <c r="F31" s="9" t="s">
        <v>26</v>
      </c>
      <c r="G31" s="10" t="s">
        <v>27</v>
      </c>
      <c r="H31" s="11"/>
      <c r="I31" s="11"/>
      <c r="J31" s="11"/>
      <c r="K31" s="11"/>
      <c r="L31" s="11"/>
      <c r="M31" s="11"/>
    </row>
    <row r="32" spans="1:13" x14ac:dyDescent="0.2">
      <c r="A32" s="50"/>
      <c r="B32" s="9">
        <v>56</v>
      </c>
      <c r="C32" s="9" t="s">
        <v>1935</v>
      </c>
      <c r="D32" s="9" t="s">
        <v>24</v>
      </c>
      <c r="E32" s="9" t="s">
        <v>31</v>
      </c>
      <c r="F32" s="9" t="s">
        <v>26</v>
      </c>
      <c r="G32" s="10" t="s">
        <v>27</v>
      </c>
      <c r="H32" s="11"/>
      <c r="I32" s="11"/>
      <c r="J32" s="11"/>
      <c r="K32" s="11"/>
      <c r="L32" s="11"/>
      <c r="M32" s="11"/>
    </row>
    <row r="33" spans="1:13" x14ac:dyDescent="0.2">
      <c r="A33" s="51"/>
      <c r="B33" s="9">
        <v>56</v>
      </c>
      <c r="C33" s="9" t="s">
        <v>1936</v>
      </c>
      <c r="D33" s="9" t="s">
        <v>24</v>
      </c>
      <c r="E33" s="9" t="s">
        <v>31</v>
      </c>
      <c r="F33" s="9" t="s">
        <v>26</v>
      </c>
      <c r="G33" s="10" t="s">
        <v>27</v>
      </c>
      <c r="H33" s="11"/>
      <c r="I33" s="11"/>
      <c r="J33" s="11"/>
      <c r="K33" s="11"/>
      <c r="L33" s="11"/>
      <c r="M33" s="11"/>
    </row>
    <row r="34" spans="1:13" x14ac:dyDescent="0.2">
      <c r="A34" s="49"/>
      <c r="B34" s="9">
        <v>56</v>
      </c>
      <c r="C34" s="9" t="s">
        <v>1937</v>
      </c>
      <c r="D34" s="9" t="s">
        <v>24</v>
      </c>
      <c r="E34" s="9" t="s">
        <v>31</v>
      </c>
      <c r="F34" s="9" t="s">
        <v>26</v>
      </c>
      <c r="G34" s="10" t="s">
        <v>27</v>
      </c>
      <c r="H34" s="11"/>
      <c r="I34" s="11"/>
      <c r="J34" s="11"/>
      <c r="K34" s="11"/>
      <c r="L34" s="11"/>
      <c r="M34" s="11"/>
    </row>
    <row r="35" spans="1:13" x14ac:dyDescent="0.2">
      <c r="A35" s="48" t="s">
        <v>38</v>
      </c>
      <c r="B35" s="9">
        <v>56</v>
      </c>
      <c r="C35" s="9" t="s">
        <v>1936</v>
      </c>
      <c r="D35" s="9" t="s">
        <v>24</v>
      </c>
      <c r="E35" s="9" t="s">
        <v>31</v>
      </c>
      <c r="F35" s="9" t="s">
        <v>26</v>
      </c>
      <c r="G35" s="10" t="s">
        <v>27</v>
      </c>
      <c r="H35" s="11"/>
      <c r="I35" s="11"/>
      <c r="J35" s="11"/>
      <c r="K35" s="11"/>
      <c r="L35" s="11"/>
      <c r="M35" s="11"/>
    </row>
    <row r="36" spans="1:13" x14ac:dyDescent="0.2">
      <c r="A36" s="50"/>
      <c r="B36" s="9">
        <v>56</v>
      </c>
      <c r="C36" s="9" t="s">
        <v>1920</v>
      </c>
      <c r="D36" s="9" t="s">
        <v>24</v>
      </c>
      <c r="E36" s="9" t="s">
        <v>31</v>
      </c>
      <c r="F36" s="9" t="s">
        <v>26</v>
      </c>
      <c r="G36" s="10" t="s">
        <v>27</v>
      </c>
      <c r="H36" s="11"/>
      <c r="I36" s="11"/>
      <c r="J36" s="11"/>
      <c r="K36" s="11"/>
      <c r="L36" s="11"/>
      <c r="M36" s="11"/>
    </row>
    <row r="37" spans="1:13" ht="12.75" x14ac:dyDescent="0.2">
      <c r="A37" s="52"/>
      <c r="B37" s="9">
        <v>56</v>
      </c>
      <c r="C37" s="9" t="s">
        <v>1921</v>
      </c>
      <c r="D37" s="9" t="s">
        <v>24</v>
      </c>
      <c r="E37" s="9" t="s">
        <v>31</v>
      </c>
      <c r="F37" s="9" t="s">
        <v>26</v>
      </c>
      <c r="G37" s="10" t="s">
        <v>27</v>
      </c>
      <c r="H37" s="11"/>
      <c r="I37" s="11"/>
      <c r="J37" s="11"/>
      <c r="K37" s="11"/>
      <c r="L37" s="11"/>
      <c r="M37" s="11"/>
    </row>
    <row r="38" spans="1:13" ht="12.75" x14ac:dyDescent="0.2">
      <c r="A38" s="52"/>
      <c r="B38" s="9">
        <v>56</v>
      </c>
      <c r="C38" s="9" t="s">
        <v>1922</v>
      </c>
      <c r="D38" s="9" t="s">
        <v>24</v>
      </c>
      <c r="E38" s="9" t="s">
        <v>31</v>
      </c>
      <c r="F38" s="9" t="s">
        <v>26</v>
      </c>
      <c r="G38" s="10" t="s">
        <v>27</v>
      </c>
      <c r="H38" s="11"/>
      <c r="I38" s="11"/>
      <c r="J38" s="11"/>
      <c r="K38" s="11"/>
      <c r="L38" s="11"/>
      <c r="M38" s="11"/>
    </row>
    <row r="39" spans="1:13" ht="12.75" x14ac:dyDescent="0.2">
      <c r="A39" s="52"/>
      <c r="B39" s="9">
        <v>56</v>
      </c>
      <c r="C39" s="9" t="s">
        <v>1938</v>
      </c>
      <c r="D39" s="9" t="s">
        <v>24</v>
      </c>
      <c r="E39" s="9" t="s">
        <v>31</v>
      </c>
      <c r="F39" s="9" t="s">
        <v>26</v>
      </c>
      <c r="G39" s="10" t="s">
        <v>27</v>
      </c>
      <c r="H39" s="11"/>
      <c r="I39" s="11"/>
      <c r="J39" s="11"/>
      <c r="K39" s="11"/>
      <c r="L39" s="11"/>
      <c r="M39" s="11"/>
    </row>
    <row r="40" spans="1:13" ht="12.75" x14ac:dyDescent="0.2">
      <c r="A40" s="52"/>
      <c r="B40" s="9">
        <v>56</v>
      </c>
      <c r="C40" s="9" t="s">
        <v>1934</v>
      </c>
      <c r="D40" s="9" t="s">
        <v>24</v>
      </c>
      <c r="E40" s="9" t="s">
        <v>31</v>
      </c>
      <c r="F40" s="9" t="s">
        <v>26</v>
      </c>
      <c r="G40" s="10" t="s">
        <v>27</v>
      </c>
      <c r="H40" s="11"/>
      <c r="I40" s="11"/>
      <c r="J40" s="11"/>
      <c r="K40" s="11"/>
      <c r="L40" s="11"/>
      <c r="M40" s="11"/>
    </row>
    <row r="41" spans="1:13" ht="12.75" x14ac:dyDescent="0.2">
      <c r="A41" s="52"/>
      <c r="B41" s="9">
        <v>56</v>
      </c>
      <c r="C41" s="9" t="s">
        <v>1939</v>
      </c>
      <c r="D41" s="9" t="s">
        <v>24</v>
      </c>
      <c r="E41" s="9" t="s">
        <v>31</v>
      </c>
      <c r="F41" s="9" t="s">
        <v>26</v>
      </c>
      <c r="G41" s="10" t="s">
        <v>27</v>
      </c>
      <c r="H41" s="11"/>
      <c r="I41" s="11"/>
      <c r="J41" s="11"/>
      <c r="K41" s="11"/>
      <c r="L41" s="11"/>
      <c r="M41" s="11"/>
    </row>
    <row r="42" spans="1:13" ht="12.75" x14ac:dyDescent="0.2">
      <c r="A42" s="52"/>
      <c r="B42" s="9">
        <v>56</v>
      </c>
      <c r="C42" s="9" t="s">
        <v>1932</v>
      </c>
      <c r="D42" s="9" t="s">
        <v>24</v>
      </c>
      <c r="E42" s="9" t="s">
        <v>31</v>
      </c>
      <c r="F42" s="9" t="s">
        <v>26</v>
      </c>
      <c r="G42" s="10" t="s">
        <v>27</v>
      </c>
      <c r="H42" s="11"/>
      <c r="I42" s="11"/>
      <c r="J42" s="11"/>
      <c r="K42" s="11"/>
      <c r="L42" s="11"/>
      <c r="M42" s="11"/>
    </row>
    <row r="43" spans="1:13" ht="12.75" x14ac:dyDescent="0.2">
      <c r="A43" s="52"/>
      <c r="B43" s="9">
        <v>56</v>
      </c>
      <c r="C43" s="9" t="s">
        <v>1940</v>
      </c>
      <c r="D43" s="9" t="s">
        <v>24</v>
      </c>
      <c r="E43" s="9" t="s">
        <v>31</v>
      </c>
      <c r="F43" s="9" t="s">
        <v>26</v>
      </c>
      <c r="G43" s="10" t="s">
        <v>27</v>
      </c>
      <c r="H43" s="11"/>
      <c r="I43" s="11"/>
      <c r="J43" s="11"/>
      <c r="K43" s="11"/>
      <c r="L43" s="11"/>
      <c r="M43" s="11"/>
    </row>
    <row r="44" spans="1:13" ht="12.75" x14ac:dyDescent="0.2">
      <c r="A44" s="52"/>
      <c r="B44" s="9">
        <v>56</v>
      </c>
      <c r="C44" s="9" t="s">
        <v>1941</v>
      </c>
      <c r="D44" s="9" t="s">
        <v>24</v>
      </c>
      <c r="E44" s="9" t="s">
        <v>31</v>
      </c>
      <c r="F44" s="9" t="s">
        <v>26</v>
      </c>
      <c r="G44" s="10" t="s">
        <v>27</v>
      </c>
      <c r="H44" s="11"/>
      <c r="I44" s="11"/>
      <c r="J44" s="11"/>
      <c r="K44" s="11"/>
      <c r="L44" s="11"/>
      <c r="M44" s="11"/>
    </row>
    <row r="45" spans="1:13" ht="12.75" x14ac:dyDescent="0.2">
      <c r="A45" s="52"/>
      <c r="B45" s="9">
        <v>56</v>
      </c>
      <c r="C45" s="9" t="s">
        <v>1888</v>
      </c>
      <c r="D45" s="9" t="s">
        <v>24</v>
      </c>
      <c r="E45" s="9" t="s">
        <v>31</v>
      </c>
      <c r="F45" s="9" t="s">
        <v>26</v>
      </c>
      <c r="G45" s="10" t="s">
        <v>27</v>
      </c>
      <c r="H45" s="11"/>
      <c r="I45" s="11"/>
      <c r="J45" s="11"/>
      <c r="K45" s="11"/>
      <c r="L45" s="11"/>
      <c r="M45" s="11"/>
    </row>
    <row r="46" spans="1:13" ht="12.75" x14ac:dyDescent="0.2">
      <c r="A46" s="53"/>
      <c r="B46" s="9">
        <v>56</v>
      </c>
      <c r="C46" s="9" t="s">
        <v>1942</v>
      </c>
      <c r="D46" s="9" t="s">
        <v>30</v>
      </c>
      <c r="E46" s="9" t="s">
        <v>31</v>
      </c>
      <c r="F46" s="9" t="s">
        <v>26</v>
      </c>
      <c r="G46" s="10" t="s">
        <v>27</v>
      </c>
      <c r="H46" s="11"/>
      <c r="I46" s="11"/>
      <c r="J46" s="11"/>
      <c r="K46" s="11"/>
      <c r="L46" s="11"/>
      <c r="M46" s="11"/>
    </row>
    <row r="47" spans="1:13" ht="12.75" x14ac:dyDescent="0.2">
      <c r="A47" s="48" t="s">
        <v>46</v>
      </c>
      <c r="B47" s="9">
        <v>56</v>
      </c>
      <c r="C47" s="9" t="s">
        <v>1943</v>
      </c>
      <c r="D47" s="9" t="s">
        <v>1872</v>
      </c>
      <c r="E47" s="9" t="s">
        <v>25</v>
      </c>
      <c r="F47" s="9" t="s">
        <v>26</v>
      </c>
      <c r="G47" s="10" t="s">
        <v>27</v>
      </c>
      <c r="H47" s="11"/>
      <c r="I47" s="11"/>
      <c r="J47" s="11"/>
      <c r="K47" s="11"/>
      <c r="L47" s="11"/>
      <c r="M47" s="11"/>
    </row>
    <row r="48" spans="1:13" ht="12.75" x14ac:dyDescent="0.2">
      <c r="A48" s="52"/>
      <c r="B48" s="9">
        <v>56</v>
      </c>
      <c r="C48" s="9" t="s">
        <v>1888</v>
      </c>
      <c r="D48" s="9" t="s">
        <v>24</v>
      </c>
      <c r="E48" s="9" t="s">
        <v>25</v>
      </c>
      <c r="F48" s="9" t="s">
        <v>26</v>
      </c>
      <c r="G48" s="10" t="s">
        <v>27</v>
      </c>
      <c r="H48" s="11"/>
      <c r="I48" s="11"/>
      <c r="J48" s="11"/>
      <c r="K48" s="11"/>
      <c r="L48" s="11"/>
      <c r="M48" s="11"/>
    </row>
    <row r="49" spans="1:13" ht="12.75" x14ac:dyDescent="0.2">
      <c r="A49" s="52"/>
      <c r="B49" s="9">
        <v>56</v>
      </c>
      <c r="C49" s="9" t="s">
        <v>1940</v>
      </c>
      <c r="D49" s="9" t="s">
        <v>24</v>
      </c>
      <c r="E49" s="9" t="s">
        <v>25</v>
      </c>
      <c r="F49" s="9" t="s">
        <v>26</v>
      </c>
      <c r="G49" s="10" t="s">
        <v>27</v>
      </c>
      <c r="H49" s="11"/>
      <c r="I49" s="11"/>
      <c r="J49" s="11"/>
      <c r="K49" s="11"/>
      <c r="L49" s="11"/>
      <c r="M49" s="11"/>
    </row>
    <row r="50" spans="1:13" ht="12.75" x14ac:dyDescent="0.2">
      <c r="A50" s="52"/>
      <c r="B50" s="9">
        <v>56</v>
      </c>
      <c r="C50" s="9" t="s">
        <v>1932</v>
      </c>
      <c r="D50" s="9" t="s">
        <v>24</v>
      </c>
      <c r="E50" s="9" t="s">
        <v>25</v>
      </c>
      <c r="F50" s="9" t="s">
        <v>26</v>
      </c>
      <c r="G50" s="10" t="s">
        <v>27</v>
      </c>
      <c r="H50" s="13"/>
    </row>
    <row r="51" spans="1:13" ht="12.75" x14ac:dyDescent="0.2">
      <c r="A51" s="52"/>
      <c r="B51" s="9">
        <v>56</v>
      </c>
      <c r="C51" s="9" t="s">
        <v>1938</v>
      </c>
      <c r="D51" s="9" t="s">
        <v>24</v>
      </c>
      <c r="E51" s="9" t="s">
        <v>25</v>
      </c>
      <c r="F51" s="9" t="s">
        <v>26</v>
      </c>
      <c r="G51" s="10" t="s">
        <v>27</v>
      </c>
      <c r="H51" s="13"/>
    </row>
    <row r="52" spans="1:13" ht="12.75" x14ac:dyDescent="0.2">
      <c r="A52" s="52"/>
      <c r="B52" s="9">
        <v>56</v>
      </c>
      <c r="C52" s="9" t="s">
        <v>1920</v>
      </c>
      <c r="D52" s="9" t="s">
        <v>24</v>
      </c>
      <c r="E52" s="9" t="s">
        <v>25</v>
      </c>
      <c r="F52" s="9" t="s">
        <v>26</v>
      </c>
      <c r="G52" s="10" t="s">
        <v>27</v>
      </c>
      <c r="H52" s="13"/>
    </row>
    <row r="53" spans="1:13" ht="12.75" x14ac:dyDescent="0.2">
      <c r="A53" s="52"/>
      <c r="B53" s="9">
        <v>56</v>
      </c>
      <c r="C53" s="9" t="s">
        <v>1936</v>
      </c>
      <c r="D53" s="9" t="s">
        <v>24</v>
      </c>
      <c r="E53" s="9" t="s">
        <v>25</v>
      </c>
      <c r="F53" s="9" t="s">
        <v>26</v>
      </c>
      <c r="G53" s="10" t="s">
        <v>27</v>
      </c>
      <c r="H53" s="13"/>
    </row>
    <row r="54" spans="1:13" ht="12.75" x14ac:dyDescent="0.2">
      <c r="A54" s="53"/>
      <c r="B54" s="9">
        <v>56</v>
      </c>
      <c r="C54" s="9" t="s">
        <v>1944</v>
      </c>
      <c r="D54" s="9" t="s">
        <v>24</v>
      </c>
      <c r="E54" s="9" t="s">
        <v>25</v>
      </c>
      <c r="F54" s="9" t="s">
        <v>26</v>
      </c>
      <c r="G54" s="10" t="s">
        <v>27</v>
      </c>
      <c r="H54" s="13"/>
    </row>
    <row r="55" spans="1:13" ht="12.75" x14ac:dyDescent="0.2">
      <c r="A55" s="48" t="s">
        <v>49</v>
      </c>
      <c r="B55" s="9">
        <v>56</v>
      </c>
      <c r="C55" s="9" t="s">
        <v>1920</v>
      </c>
      <c r="D55" s="9" t="s">
        <v>24</v>
      </c>
      <c r="E55" s="9" t="s">
        <v>31</v>
      </c>
      <c r="F55" s="9" t="s">
        <v>26</v>
      </c>
      <c r="G55" s="10" t="s">
        <v>27</v>
      </c>
      <c r="H55" s="13"/>
    </row>
    <row r="56" spans="1:13" ht="12.75" x14ac:dyDescent="0.2">
      <c r="A56" s="53"/>
      <c r="B56" s="9">
        <v>56</v>
      </c>
      <c r="C56" s="9" t="s">
        <v>1944</v>
      </c>
      <c r="D56" s="9" t="s">
        <v>24</v>
      </c>
      <c r="E56" s="9" t="s">
        <v>25</v>
      </c>
      <c r="F56" s="9" t="s">
        <v>26</v>
      </c>
      <c r="G56" s="10" t="s">
        <v>27</v>
      </c>
      <c r="H56" s="13"/>
    </row>
    <row r="57" spans="1:13" ht="12.75" x14ac:dyDescent="0.2">
      <c r="A57" s="48" t="s">
        <v>52</v>
      </c>
      <c r="B57" s="9">
        <v>56</v>
      </c>
      <c r="C57" s="9" t="s">
        <v>1945</v>
      </c>
      <c r="D57" s="9" t="s">
        <v>24</v>
      </c>
      <c r="E57" s="9" t="s">
        <v>31</v>
      </c>
      <c r="F57" s="9" t="s">
        <v>26</v>
      </c>
      <c r="G57" s="10" t="s">
        <v>27</v>
      </c>
      <c r="H57" s="13"/>
    </row>
    <row r="58" spans="1:13" ht="12.75" x14ac:dyDescent="0.2">
      <c r="A58" s="53"/>
      <c r="B58" s="9">
        <v>56</v>
      </c>
      <c r="C58" s="9" t="s">
        <v>1946</v>
      </c>
      <c r="D58" s="9" t="s">
        <v>24</v>
      </c>
      <c r="E58" s="9" t="s">
        <v>31</v>
      </c>
      <c r="F58" s="9" t="s">
        <v>26</v>
      </c>
      <c r="G58" s="10" t="s">
        <v>27</v>
      </c>
      <c r="H58" s="13"/>
    </row>
    <row r="59" spans="1:13" ht="12.75" x14ac:dyDescent="0.2">
      <c r="A59" s="48" t="s">
        <v>59</v>
      </c>
      <c r="B59" s="9">
        <v>56</v>
      </c>
      <c r="C59" s="9" t="s">
        <v>1920</v>
      </c>
      <c r="D59" s="9" t="s">
        <v>24</v>
      </c>
      <c r="E59" s="9" t="s">
        <v>31</v>
      </c>
      <c r="F59" s="9" t="s">
        <v>26</v>
      </c>
      <c r="G59" s="10" t="s">
        <v>27</v>
      </c>
      <c r="H59" s="13"/>
    </row>
    <row r="60" spans="1:13" ht="12.75" x14ac:dyDescent="0.2">
      <c r="A60" s="53"/>
      <c r="B60" s="9">
        <v>56</v>
      </c>
      <c r="C60" s="9" t="s">
        <v>1945</v>
      </c>
      <c r="D60" s="9" t="s">
        <v>24</v>
      </c>
      <c r="E60" s="9" t="s">
        <v>31</v>
      </c>
      <c r="F60" s="9" t="s">
        <v>26</v>
      </c>
      <c r="G60" s="10" t="s">
        <v>27</v>
      </c>
      <c r="H60" s="13"/>
    </row>
    <row r="61" spans="1:13" ht="12.75" x14ac:dyDescent="0.2">
      <c r="A61" s="48" t="s">
        <v>101</v>
      </c>
      <c r="B61" s="9">
        <v>56</v>
      </c>
      <c r="C61" s="9" t="s">
        <v>1920</v>
      </c>
      <c r="D61" s="9" t="s">
        <v>24</v>
      </c>
      <c r="E61" s="9" t="s">
        <v>31</v>
      </c>
      <c r="F61" s="9" t="s">
        <v>26</v>
      </c>
      <c r="G61" s="10" t="s">
        <v>27</v>
      </c>
      <c r="H61" s="13"/>
    </row>
    <row r="62" spans="1:13" ht="12.75" x14ac:dyDescent="0.2">
      <c r="A62" s="52"/>
      <c r="B62" s="9">
        <v>56</v>
      </c>
      <c r="C62" s="9" t="s">
        <v>1947</v>
      </c>
      <c r="D62" s="9" t="s">
        <v>24</v>
      </c>
      <c r="E62" s="9" t="s">
        <v>31</v>
      </c>
      <c r="F62" s="9" t="s">
        <v>26</v>
      </c>
      <c r="G62" s="10" t="s">
        <v>27</v>
      </c>
      <c r="H62" s="13"/>
    </row>
    <row r="63" spans="1:13" ht="12.75" x14ac:dyDescent="0.2">
      <c r="A63" s="52"/>
      <c r="B63" s="9">
        <v>56</v>
      </c>
      <c r="C63" s="9" t="s">
        <v>1948</v>
      </c>
      <c r="D63" s="9" t="s">
        <v>24</v>
      </c>
      <c r="E63" s="9" t="s">
        <v>31</v>
      </c>
      <c r="F63" s="9" t="s">
        <v>26</v>
      </c>
      <c r="G63" s="10" t="s">
        <v>27</v>
      </c>
      <c r="H63" s="13"/>
    </row>
    <row r="64" spans="1:13" ht="12.75" x14ac:dyDescent="0.2">
      <c r="A64" s="52"/>
      <c r="B64" s="9">
        <v>56</v>
      </c>
      <c r="C64" s="9" t="s">
        <v>1949</v>
      </c>
      <c r="D64" s="9" t="s">
        <v>24</v>
      </c>
      <c r="E64" s="9" t="s">
        <v>31</v>
      </c>
      <c r="F64" s="9" t="s">
        <v>26</v>
      </c>
      <c r="G64" s="10" t="s">
        <v>27</v>
      </c>
      <c r="H64" s="13"/>
    </row>
    <row r="65" spans="1:8" ht="12.75" x14ac:dyDescent="0.2">
      <c r="A65" s="53"/>
      <c r="B65" s="9">
        <v>56</v>
      </c>
      <c r="C65" s="9" t="s">
        <v>1942</v>
      </c>
      <c r="D65" s="9" t="s">
        <v>30</v>
      </c>
      <c r="E65" s="9" t="s">
        <v>31</v>
      </c>
      <c r="F65" s="9" t="s">
        <v>26</v>
      </c>
      <c r="G65" s="10" t="s">
        <v>27</v>
      </c>
      <c r="H65" s="13"/>
    </row>
    <row r="66" spans="1:8" ht="12.75" x14ac:dyDescent="0.2">
      <c r="A66" s="9" t="s">
        <v>62</v>
      </c>
      <c r="B66" s="9">
        <v>56</v>
      </c>
      <c r="C66" s="9" t="s">
        <v>1945</v>
      </c>
      <c r="D66" s="9" t="s">
        <v>24</v>
      </c>
      <c r="E66" s="9" t="s">
        <v>31</v>
      </c>
      <c r="F66" s="9" t="s">
        <v>26</v>
      </c>
      <c r="G66" s="10" t="s">
        <v>27</v>
      </c>
      <c r="H66" s="13"/>
    </row>
    <row r="67" spans="1:8" ht="12.75" x14ac:dyDescent="0.2">
      <c r="A67" s="9" t="s">
        <v>70</v>
      </c>
      <c r="B67" s="9">
        <v>56</v>
      </c>
      <c r="C67" s="9" t="s">
        <v>1921</v>
      </c>
      <c r="D67" s="9" t="s">
        <v>24</v>
      </c>
      <c r="E67" s="9" t="s">
        <v>31</v>
      </c>
      <c r="F67" s="9" t="s">
        <v>26</v>
      </c>
      <c r="G67" s="10" t="s">
        <v>27</v>
      </c>
      <c r="H67" s="13"/>
    </row>
    <row r="68" spans="1:8" ht="12.75" x14ac:dyDescent="0.2">
      <c r="A68" s="48" t="s">
        <v>73</v>
      </c>
      <c r="B68" s="9">
        <v>56</v>
      </c>
      <c r="C68" s="9" t="s">
        <v>1919</v>
      </c>
      <c r="D68" s="9" t="s">
        <v>24</v>
      </c>
      <c r="E68" s="9" t="s">
        <v>31</v>
      </c>
      <c r="F68" s="9" t="s">
        <v>26</v>
      </c>
      <c r="G68" s="10" t="s">
        <v>27</v>
      </c>
      <c r="H68" s="13"/>
    </row>
    <row r="69" spans="1:8" ht="12.75" x14ac:dyDescent="0.2">
      <c r="A69" s="52"/>
      <c r="B69" s="9">
        <v>56</v>
      </c>
      <c r="C69" s="9" t="s">
        <v>1950</v>
      </c>
      <c r="D69" s="9" t="s">
        <v>24</v>
      </c>
      <c r="E69" s="9" t="s">
        <v>31</v>
      </c>
      <c r="F69" s="9" t="s">
        <v>26</v>
      </c>
      <c r="G69" s="10" t="s">
        <v>27</v>
      </c>
      <c r="H69" s="13"/>
    </row>
    <row r="70" spans="1:8" ht="12.75" x14ac:dyDescent="0.2">
      <c r="A70" s="53"/>
      <c r="B70" s="9">
        <v>56</v>
      </c>
      <c r="C70" s="9" t="s">
        <v>1951</v>
      </c>
      <c r="D70" s="9" t="s">
        <v>24</v>
      </c>
      <c r="E70" s="9" t="s">
        <v>31</v>
      </c>
      <c r="F70" s="9" t="s">
        <v>26</v>
      </c>
      <c r="G70" s="10" t="s">
        <v>27</v>
      </c>
      <c r="H70" s="13"/>
    </row>
    <row r="71" spans="1:8" ht="12.75" x14ac:dyDescent="0.2">
      <c r="A71" s="48" t="s">
        <v>77</v>
      </c>
      <c r="B71" s="12">
        <v>56</v>
      </c>
      <c r="C71" s="12" t="s">
        <v>1952</v>
      </c>
      <c r="D71" s="12" t="s">
        <v>24</v>
      </c>
      <c r="E71" s="12" t="s">
        <v>25</v>
      </c>
      <c r="F71" s="12" t="s">
        <v>26</v>
      </c>
      <c r="G71" s="10" t="s">
        <v>27</v>
      </c>
      <c r="H71" s="13"/>
    </row>
    <row r="72" spans="1:8" ht="12.75" x14ac:dyDescent="0.2">
      <c r="A72" s="52"/>
      <c r="B72" s="12">
        <v>56</v>
      </c>
      <c r="C72" s="12" t="s">
        <v>74</v>
      </c>
      <c r="D72" s="12" t="s">
        <v>24</v>
      </c>
      <c r="E72" s="12" t="s">
        <v>25</v>
      </c>
      <c r="F72" s="12" t="s">
        <v>26</v>
      </c>
      <c r="G72" s="10" t="s">
        <v>27</v>
      </c>
      <c r="H72" s="13"/>
    </row>
    <row r="73" spans="1:8" ht="12.75" x14ac:dyDescent="0.2">
      <c r="A73" s="52"/>
      <c r="B73" s="12">
        <v>56</v>
      </c>
      <c r="C73" s="12" t="s">
        <v>1919</v>
      </c>
      <c r="D73" s="12" t="s">
        <v>24</v>
      </c>
      <c r="E73" s="12" t="s">
        <v>25</v>
      </c>
      <c r="F73" s="12" t="s">
        <v>26</v>
      </c>
      <c r="G73" s="10" t="s">
        <v>27</v>
      </c>
      <c r="H73" s="13"/>
    </row>
    <row r="74" spans="1:8" ht="12.75" x14ac:dyDescent="0.2">
      <c r="A74" s="52"/>
      <c r="B74" s="12">
        <v>56</v>
      </c>
      <c r="C74" s="12" t="s">
        <v>1950</v>
      </c>
      <c r="D74" s="12" t="s">
        <v>24</v>
      </c>
      <c r="E74" s="12" t="s">
        <v>25</v>
      </c>
      <c r="F74" s="12" t="s">
        <v>26</v>
      </c>
      <c r="G74" s="10" t="s">
        <v>27</v>
      </c>
      <c r="H74" s="13"/>
    </row>
    <row r="75" spans="1:8" ht="12.75" x14ac:dyDescent="0.2">
      <c r="A75" s="52"/>
      <c r="B75" s="12">
        <v>56</v>
      </c>
      <c r="C75" s="12" t="s">
        <v>1953</v>
      </c>
      <c r="D75" s="12" t="s">
        <v>24</v>
      </c>
      <c r="E75" s="12" t="s">
        <v>25</v>
      </c>
      <c r="F75" s="12" t="s">
        <v>26</v>
      </c>
      <c r="G75" s="10" t="s">
        <v>27</v>
      </c>
      <c r="H75" s="13"/>
    </row>
    <row r="76" spans="1:8" ht="12.75" x14ac:dyDescent="0.2">
      <c r="A76" s="52"/>
      <c r="B76" s="12">
        <v>56</v>
      </c>
      <c r="C76" s="12" t="s">
        <v>1954</v>
      </c>
      <c r="D76" s="12" t="s">
        <v>24</v>
      </c>
      <c r="E76" s="12" t="s">
        <v>25</v>
      </c>
      <c r="F76" s="12" t="s">
        <v>26</v>
      </c>
      <c r="G76" s="10" t="s">
        <v>27</v>
      </c>
      <c r="H76" s="13"/>
    </row>
    <row r="77" spans="1:8" ht="12.75" x14ac:dyDescent="0.2">
      <c r="A77" s="52"/>
      <c r="B77" s="12">
        <v>56</v>
      </c>
      <c r="C77" s="12" t="s">
        <v>1955</v>
      </c>
      <c r="D77" s="12" t="s">
        <v>24</v>
      </c>
      <c r="E77" s="12" t="s">
        <v>25</v>
      </c>
      <c r="F77" s="12" t="s">
        <v>26</v>
      </c>
      <c r="G77" s="10" t="s">
        <v>27</v>
      </c>
      <c r="H77" s="13"/>
    </row>
    <row r="78" spans="1:8" ht="12.75" x14ac:dyDescent="0.2">
      <c r="A78" s="52"/>
      <c r="B78" s="12">
        <v>56</v>
      </c>
      <c r="C78" s="12" t="s">
        <v>1956</v>
      </c>
      <c r="D78" s="12" t="s">
        <v>24</v>
      </c>
      <c r="E78" s="12" t="s">
        <v>25</v>
      </c>
      <c r="F78" s="12" t="s">
        <v>26</v>
      </c>
      <c r="G78" s="10" t="s">
        <v>27</v>
      </c>
      <c r="H78" s="13"/>
    </row>
    <row r="79" spans="1:8" ht="12.75" x14ac:dyDescent="0.2">
      <c r="A79" s="53"/>
      <c r="B79" s="12">
        <v>56</v>
      </c>
      <c r="C79" s="12" t="s">
        <v>1957</v>
      </c>
      <c r="D79" s="12" t="s">
        <v>24</v>
      </c>
      <c r="E79" s="12" t="s">
        <v>25</v>
      </c>
      <c r="F79" s="12" t="s">
        <v>26</v>
      </c>
      <c r="G79" s="10" t="s">
        <v>27</v>
      </c>
      <c r="H79" s="13"/>
    </row>
    <row r="80" spans="1:8" ht="12.75" x14ac:dyDescent="0.2">
      <c r="A80" s="48" t="s">
        <v>79</v>
      </c>
      <c r="B80" s="9">
        <v>56</v>
      </c>
      <c r="C80" s="9" t="s">
        <v>1920</v>
      </c>
      <c r="D80" s="9" t="s">
        <v>24</v>
      </c>
      <c r="E80" s="9" t="s">
        <v>31</v>
      </c>
      <c r="F80" s="9" t="s">
        <v>26</v>
      </c>
      <c r="G80" s="10" t="s">
        <v>27</v>
      </c>
      <c r="H80" s="13"/>
    </row>
    <row r="81" spans="1:8" ht="12.75" x14ac:dyDescent="0.2">
      <c r="A81" s="52"/>
      <c r="B81" s="9">
        <v>56</v>
      </c>
      <c r="C81" s="9" t="s">
        <v>1958</v>
      </c>
      <c r="D81" s="9" t="s">
        <v>24</v>
      </c>
      <c r="E81" s="9" t="s">
        <v>31</v>
      </c>
      <c r="F81" s="9" t="s">
        <v>26</v>
      </c>
      <c r="G81" s="10" t="s">
        <v>27</v>
      </c>
      <c r="H81" s="13"/>
    </row>
    <row r="82" spans="1:8" ht="12.75" x14ac:dyDescent="0.2">
      <c r="A82" s="52"/>
      <c r="B82" s="9">
        <v>56</v>
      </c>
      <c r="C82" s="9" t="s">
        <v>1959</v>
      </c>
      <c r="D82" s="9" t="s">
        <v>24</v>
      </c>
      <c r="E82" s="9" t="s">
        <v>31</v>
      </c>
      <c r="F82" s="9" t="s">
        <v>26</v>
      </c>
      <c r="G82" s="10" t="s">
        <v>27</v>
      </c>
      <c r="H82" s="13"/>
    </row>
    <row r="83" spans="1:8" ht="12.75" x14ac:dyDescent="0.2">
      <c r="A83" s="52"/>
      <c r="B83" s="9">
        <v>56</v>
      </c>
      <c r="C83" s="9" t="s">
        <v>1960</v>
      </c>
      <c r="D83" s="9" t="s">
        <v>24</v>
      </c>
      <c r="E83" s="9" t="s">
        <v>31</v>
      </c>
      <c r="F83" s="9" t="s">
        <v>26</v>
      </c>
      <c r="G83" s="10" t="s">
        <v>27</v>
      </c>
      <c r="H83" s="13"/>
    </row>
    <row r="84" spans="1:8" ht="12.75" x14ac:dyDescent="0.2">
      <c r="A84" s="53"/>
      <c r="B84" s="9">
        <v>56</v>
      </c>
      <c r="C84" s="9" t="s">
        <v>1957</v>
      </c>
      <c r="D84" s="9" t="s">
        <v>24</v>
      </c>
      <c r="E84" s="9" t="s">
        <v>31</v>
      </c>
      <c r="F84" s="9" t="s">
        <v>26</v>
      </c>
      <c r="G84" s="10" t="s">
        <v>27</v>
      </c>
      <c r="H84" s="13"/>
    </row>
    <row r="85" spans="1:8" ht="12.75" x14ac:dyDescent="0.2">
      <c r="A85" s="48" t="s">
        <v>83</v>
      </c>
      <c r="B85" s="9">
        <v>56</v>
      </c>
      <c r="C85" s="9" t="s">
        <v>1961</v>
      </c>
      <c r="D85" s="9" t="s">
        <v>24</v>
      </c>
      <c r="E85" s="9" t="s">
        <v>31</v>
      </c>
      <c r="F85" s="9" t="s">
        <v>26</v>
      </c>
      <c r="G85" s="10" t="s">
        <v>27</v>
      </c>
      <c r="H85" s="13"/>
    </row>
    <row r="86" spans="1:8" ht="12.75" x14ac:dyDescent="0.2">
      <c r="A86" s="52"/>
      <c r="B86" s="9">
        <v>56</v>
      </c>
      <c r="C86" s="9" t="s">
        <v>1962</v>
      </c>
      <c r="D86" s="9" t="s">
        <v>24</v>
      </c>
      <c r="E86" s="9" t="s">
        <v>31</v>
      </c>
      <c r="F86" s="9" t="s">
        <v>26</v>
      </c>
      <c r="G86" s="10" t="s">
        <v>27</v>
      </c>
      <c r="H86" s="13"/>
    </row>
    <row r="87" spans="1:8" ht="12.75" x14ac:dyDescent="0.2">
      <c r="A87" s="52"/>
      <c r="B87" s="9">
        <v>56</v>
      </c>
      <c r="C87" s="9" t="s">
        <v>1920</v>
      </c>
      <c r="D87" s="9" t="s">
        <v>24</v>
      </c>
      <c r="E87" s="9" t="s">
        <v>31</v>
      </c>
      <c r="F87" s="9" t="s">
        <v>26</v>
      </c>
      <c r="G87" s="10" t="s">
        <v>27</v>
      </c>
      <c r="H87" s="13"/>
    </row>
    <row r="88" spans="1:8" ht="12.75" x14ac:dyDescent="0.2">
      <c r="A88" s="52"/>
      <c r="B88" s="9">
        <v>56</v>
      </c>
      <c r="C88" s="9" t="s">
        <v>1959</v>
      </c>
      <c r="D88" s="9" t="s">
        <v>24</v>
      </c>
      <c r="E88" s="9" t="s">
        <v>31</v>
      </c>
      <c r="F88" s="9" t="s">
        <v>26</v>
      </c>
      <c r="G88" s="10" t="s">
        <v>27</v>
      </c>
      <c r="H88" s="13"/>
    </row>
    <row r="89" spans="1:8" ht="12.75" x14ac:dyDescent="0.2">
      <c r="A89" s="53"/>
      <c r="B89" s="9">
        <v>56</v>
      </c>
      <c r="C89" s="9" t="s">
        <v>1955</v>
      </c>
      <c r="D89" s="9" t="s">
        <v>24</v>
      </c>
      <c r="E89" s="9" t="s">
        <v>31</v>
      </c>
      <c r="F89" s="9" t="s">
        <v>26</v>
      </c>
      <c r="G89" s="10" t="s">
        <v>27</v>
      </c>
      <c r="H89" s="13"/>
    </row>
    <row r="90" spans="1:8" ht="12.75" x14ac:dyDescent="0.2">
      <c r="A90" s="64" t="s">
        <v>85</v>
      </c>
      <c r="B90" s="12">
        <v>56</v>
      </c>
      <c r="C90" s="12" t="s">
        <v>1888</v>
      </c>
      <c r="D90" s="12" t="s">
        <v>24</v>
      </c>
      <c r="E90" s="12" t="s">
        <v>25</v>
      </c>
      <c r="F90" s="12" t="s">
        <v>26</v>
      </c>
      <c r="G90" s="10" t="s">
        <v>27</v>
      </c>
      <c r="H90" s="13"/>
    </row>
    <row r="91" spans="1:8" ht="12.75" x14ac:dyDescent="0.2">
      <c r="A91" s="52"/>
      <c r="B91" s="12">
        <v>56</v>
      </c>
      <c r="C91" s="12" t="s">
        <v>1963</v>
      </c>
      <c r="D91" s="12" t="s">
        <v>24</v>
      </c>
      <c r="E91" s="12" t="s">
        <v>25</v>
      </c>
      <c r="F91" s="12" t="s">
        <v>26</v>
      </c>
      <c r="G91" s="10" t="s">
        <v>27</v>
      </c>
      <c r="H91" s="13"/>
    </row>
    <row r="92" spans="1:8" ht="12.75" x14ac:dyDescent="0.2">
      <c r="A92" s="52"/>
      <c r="B92" s="12">
        <v>56</v>
      </c>
      <c r="C92" s="12" t="s">
        <v>1932</v>
      </c>
      <c r="D92" s="12" t="s">
        <v>24</v>
      </c>
      <c r="E92" s="12" t="s">
        <v>25</v>
      </c>
      <c r="F92" s="12" t="s">
        <v>26</v>
      </c>
      <c r="G92" s="10" t="s">
        <v>27</v>
      </c>
      <c r="H92" s="13"/>
    </row>
    <row r="93" spans="1:8" ht="12.75" x14ac:dyDescent="0.2">
      <c r="A93" s="52"/>
      <c r="B93" s="12">
        <v>56</v>
      </c>
      <c r="C93" s="12" t="s">
        <v>1938</v>
      </c>
      <c r="D93" s="12" t="s">
        <v>24</v>
      </c>
      <c r="E93" s="12" t="s">
        <v>25</v>
      </c>
      <c r="F93" s="12" t="s">
        <v>26</v>
      </c>
      <c r="G93" s="10" t="s">
        <v>27</v>
      </c>
      <c r="H93" s="13"/>
    </row>
    <row r="94" spans="1:8" ht="12.75" x14ac:dyDescent="0.2">
      <c r="A94" s="52"/>
      <c r="B94" s="12">
        <v>56</v>
      </c>
      <c r="C94" s="12" t="s">
        <v>1920</v>
      </c>
      <c r="D94" s="12" t="s">
        <v>24</v>
      </c>
      <c r="E94" s="12" t="s">
        <v>25</v>
      </c>
      <c r="F94" s="12" t="s">
        <v>26</v>
      </c>
      <c r="G94" s="10" t="s">
        <v>27</v>
      </c>
      <c r="H94" s="13"/>
    </row>
    <row r="95" spans="1:8" ht="12.75" x14ac:dyDescent="0.2">
      <c r="A95" s="53"/>
      <c r="B95" s="12">
        <v>56</v>
      </c>
      <c r="C95" s="12" t="s">
        <v>1944</v>
      </c>
      <c r="D95" s="12" t="s">
        <v>24</v>
      </c>
      <c r="E95" s="12" t="s">
        <v>25</v>
      </c>
      <c r="F95" s="12" t="s">
        <v>26</v>
      </c>
      <c r="G95" s="10" t="s">
        <v>27</v>
      </c>
      <c r="H95" s="13"/>
    </row>
    <row r="96" spans="1:8" ht="12.75" x14ac:dyDescent="0.2">
      <c r="A96" s="13"/>
      <c r="B96" s="13"/>
      <c r="C96" s="13"/>
      <c r="D96" s="13"/>
      <c r="E96" s="13"/>
      <c r="F96" s="13"/>
      <c r="G96" s="13"/>
      <c r="H96" s="13"/>
    </row>
    <row r="97" spans="1:8" ht="12.75" x14ac:dyDescent="0.2">
      <c r="A97" s="13"/>
      <c r="B97" s="13"/>
      <c r="C97" s="13"/>
      <c r="D97" s="13"/>
      <c r="E97" s="13"/>
      <c r="F97" s="13"/>
      <c r="G97" s="13"/>
      <c r="H97" s="13"/>
    </row>
    <row r="98" spans="1:8" ht="12.75" x14ac:dyDescent="0.2">
      <c r="A98" s="13"/>
      <c r="B98" s="13"/>
      <c r="C98" s="13"/>
      <c r="D98" s="13"/>
      <c r="E98" s="13"/>
      <c r="F98" s="13"/>
      <c r="G98" s="13"/>
      <c r="H98" s="13"/>
    </row>
    <row r="99" spans="1:8" ht="12.75" x14ac:dyDescent="0.2">
      <c r="A99" s="13"/>
      <c r="B99" s="13"/>
      <c r="C99" s="13"/>
      <c r="D99" s="13"/>
      <c r="E99" s="13"/>
      <c r="F99" s="13"/>
      <c r="G99" s="13"/>
      <c r="H99" s="13"/>
    </row>
    <row r="100" spans="1:8" ht="12.75" x14ac:dyDescent="0.2">
      <c r="A100" s="13"/>
      <c r="B100" s="13"/>
      <c r="C100" s="13"/>
      <c r="D100" s="13"/>
      <c r="E100" s="13"/>
      <c r="F100" s="13"/>
      <c r="G100" s="13"/>
      <c r="H100" s="13"/>
    </row>
    <row r="101" spans="1:8" ht="12.75" x14ac:dyDescent="0.2">
      <c r="A101" s="13"/>
      <c r="B101" s="13"/>
      <c r="C101" s="13"/>
      <c r="D101" s="13"/>
      <c r="E101" s="13"/>
      <c r="F101" s="13"/>
      <c r="G101" s="13"/>
      <c r="H101" s="13"/>
    </row>
    <row r="102" spans="1:8" ht="12.75" x14ac:dyDescent="0.2">
      <c r="A102" s="13"/>
      <c r="B102" s="13"/>
      <c r="C102" s="13"/>
      <c r="D102" s="13"/>
      <c r="E102" s="13"/>
      <c r="F102" s="13"/>
      <c r="G102" s="13"/>
      <c r="H102" s="13"/>
    </row>
    <row r="103" spans="1:8" ht="12.75" x14ac:dyDescent="0.2">
      <c r="A103" s="13"/>
      <c r="B103" s="13"/>
      <c r="C103" s="13"/>
      <c r="D103" s="13"/>
      <c r="E103" s="13"/>
      <c r="F103" s="13"/>
      <c r="G103" s="13"/>
      <c r="H103" s="13"/>
    </row>
    <row r="104" spans="1:8" ht="12.75" x14ac:dyDescent="0.2">
      <c r="A104" s="13"/>
      <c r="B104" s="13"/>
      <c r="C104" s="13"/>
      <c r="D104" s="13"/>
      <c r="E104" s="13"/>
      <c r="F104" s="13"/>
      <c r="G104" s="13"/>
      <c r="H104" s="13"/>
    </row>
  </sheetData>
  <mergeCells count="16">
    <mergeCell ref="A35:A46"/>
    <mergeCell ref="A47:A54"/>
    <mergeCell ref="A85:A89"/>
    <mergeCell ref="A90:A95"/>
    <mergeCell ref="A55:A56"/>
    <mergeCell ref="A57:A58"/>
    <mergeCell ref="A59:A60"/>
    <mergeCell ref="A61:A65"/>
    <mergeCell ref="A68:A70"/>
    <mergeCell ref="A71:A79"/>
    <mergeCell ref="A80:A84"/>
    <mergeCell ref="A1:G1"/>
    <mergeCell ref="A9:A13"/>
    <mergeCell ref="A14:A17"/>
    <mergeCell ref="A18:A24"/>
    <mergeCell ref="A25:A3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</sheetPr>
  <dimension ref="A1:L184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11" ht="15.75" customHeight="1" x14ac:dyDescent="0.25">
      <c r="A1" s="54" t="s">
        <v>0</v>
      </c>
      <c r="B1" s="55"/>
      <c r="C1" s="55"/>
      <c r="D1" s="55"/>
      <c r="E1" s="55"/>
      <c r="F1" s="55"/>
      <c r="G1" s="56"/>
    </row>
    <row r="2" spans="1:11" x14ac:dyDescent="0.2">
      <c r="A2" s="1"/>
      <c r="B2" s="2"/>
      <c r="C2" s="2"/>
      <c r="D2" s="2"/>
      <c r="E2" s="2"/>
      <c r="F2" s="2"/>
      <c r="G2" s="2"/>
    </row>
    <row r="3" spans="1:11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11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11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11" x14ac:dyDescent="0.2">
      <c r="A6" s="1"/>
      <c r="B6" s="2"/>
      <c r="C6" s="2"/>
      <c r="D6" s="2"/>
      <c r="E6" s="2"/>
      <c r="F6" s="2"/>
      <c r="G6" s="2"/>
    </row>
    <row r="7" spans="1:11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11" ht="15.75" customHeight="1" x14ac:dyDescent="0.25">
      <c r="A8" s="38" t="s">
        <v>13</v>
      </c>
      <c r="B8" s="39" t="s">
        <v>14</v>
      </c>
      <c r="C8" s="39" t="s">
        <v>15</v>
      </c>
      <c r="D8" s="40" t="s">
        <v>16</v>
      </c>
      <c r="E8" s="40" t="s">
        <v>17</v>
      </c>
      <c r="F8" s="40" t="s">
        <v>18</v>
      </c>
      <c r="G8" s="40" t="s">
        <v>19</v>
      </c>
    </row>
    <row r="9" spans="1:11" x14ac:dyDescent="0.2">
      <c r="A9" s="48" t="s">
        <v>20</v>
      </c>
      <c r="B9" s="9" t="s">
        <v>1964</v>
      </c>
      <c r="C9" s="9" t="s">
        <v>1965</v>
      </c>
      <c r="D9" s="9" t="s">
        <v>24</v>
      </c>
      <c r="E9" s="9" t="s">
        <v>25</v>
      </c>
      <c r="F9" s="9" t="s">
        <v>26</v>
      </c>
      <c r="G9" s="41" t="s">
        <v>27</v>
      </c>
      <c r="H9" s="11"/>
      <c r="I9" s="13"/>
      <c r="J9" s="13"/>
      <c r="K9" s="13"/>
    </row>
    <row r="10" spans="1:11" x14ac:dyDescent="0.2">
      <c r="A10" s="52"/>
      <c r="B10" s="9" t="s">
        <v>1964</v>
      </c>
      <c r="C10" s="9" t="s">
        <v>1966</v>
      </c>
      <c r="D10" s="9" t="s">
        <v>24</v>
      </c>
      <c r="E10" s="9" t="s">
        <v>25</v>
      </c>
      <c r="F10" s="9" t="s">
        <v>26</v>
      </c>
      <c r="G10" s="41" t="s">
        <v>27</v>
      </c>
      <c r="H10" s="11"/>
      <c r="I10" s="13"/>
      <c r="J10" s="13"/>
      <c r="K10" s="13"/>
    </row>
    <row r="11" spans="1:11" x14ac:dyDescent="0.2">
      <c r="A11" s="52"/>
      <c r="B11" s="9" t="s">
        <v>1964</v>
      </c>
      <c r="C11" s="9" t="s">
        <v>1967</v>
      </c>
      <c r="D11" s="9" t="s">
        <v>24</v>
      </c>
      <c r="E11" s="9" t="s">
        <v>25</v>
      </c>
      <c r="F11" s="9" t="s">
        <v>26</v>
      </c>
      <c r="G11" s="41" t="s">
        <v>27</v>
      </c>
      <c r="H11" s="11"/>
      <c r="I11" s="13"/>
      <c r="J11" s="13"/>
      <c r="K11" s="13"/>
    </row>
    <row r="12" spans="1:11" x14ac:dyDescent="0.2">
      <c r="A12" s="53"/>
      <c r="B12" s="9" t="s">
        <v>1964</v>
      </c>
      <c r="C12" s="9" t="s">
        <v>1968</v>
      </c>
      <c r="D12" s="9" t="s">
        <v>24</v>
      </c>
      <c r="E12" s="9" t="s">
        <v>25</v>
      </c>
      <c r="F12" s="9" t="s">
        <v>26</v>
      </c>
      <c r="G12" s="41" t="s">
        <v>27</v>
      </c>
      <c r="H12" s="11"/>
      <c r="I12" s="13"/>
      <c r="J12" s="13"/>
      <c r="K12" s="13"/>
    </row>
    <row r="13" spans="1:11" x14ac:dyDescent="0.2">
      <c r="A13" s="48" t="s">
        <v>22</v>
      </c>
      <c r="B13" s="9" t="s">
        <v>1964</v>
      </c>
      <c r="C13" s="9" t="s">
        <v>1969</v>
      </c>
      <c r="D13" s="9" t="s">
        <v>24</v>
      </c>
      <c r="E13" s="9" t="s">
        <v>25</v>
      </c>
      <c r="F13" s="9" t="s">
        <v>26</v>
      </c>
      <c r="G13" s="41" t="s">
        <v>27</v>
      </c>
      <c r="H13" s="11"/>
      <c r="I13" s="13"/>
      <c r="J13" s="13"/>
      <c r="K13" s="13"/>
    </row>
    <row r="14" spans="1:11" x14ac:dyDescent="0.2">
      <c r="A14" s="52"/>
      <c r="B14" s="9" t="s">
        <v>1964</v>
      </c>
      <c r="C14" s="9" t="s">
        <v>1970</v>
      </c>
      <c r="D14" s="9" t="s">
        <v>24</v>
      </c>
      <c r="E14" s="9" t="s">
        <v>25</v>
      </c>
      <c r="F14" s="9" t="s">
        <v>26</v>
      </c>
      <c r="G14" s="41" t="s">
        <v>27</v>
      </c>
      <c r="H14" s="11"/>
      <c r="I14" s="13"/>
      <c r="J14" s="13"/>
      <c r="K14" s="13"/>
    </row>
    <row r="15" spans="1:11" x14ac:dyDescent="0.2">
      <c r="A15" s="52"/>
      <c r="B15" s="9" t="s">
        <v>1964</v>
      </c>
      <c r="C15" s="9" t="s">
        <v>1971</v>
      </c>
      <c r="D15" s="9" t="s">
        <v>24</v>
      </c>
      <c r="E15" s="9" t="s">
        <v>25</v>
      </c>
      <c r="F15" s="9" t="s">
        <v>26</v>
      </c>
      <c r="G15" s="41" t="s">
        <v>27</v>
      </c>
      <c r="H15" s="11"/>
      <c r="I15" s="13"/>
      <c r="J15" s="13"/>
      <c r="K15" s="13"/>
    </row>
    <row r="16" spans="1:11" x14ac:dyDescent="0.2">
      <c r="A16" s="52"/>
      <c r="B16" s="9" t="s">
        <v>1964</v>
      </c>
      <c r="C16" s="9" t="s">
        <v>1972</v>
      </c>
      <c r="D16" s="9" t="s">
        <v>24</v>
      </c>
      <c r="E16" s="9" t="s">
        <v>25</v>
      </c>
      <c r="F16" s="9" t="s">
        <v>26</v>
      </c>
      <c r="G16" s="41" t="s">
        <v>27</v>
      </c>
      <c r="H16" s="11"/>
      <c r="I16" s="13"/>
      <c r="J16" s="13"/>
      <c r="K16" s="13"/>
    </row>
    <row r="17" spans="1:11" x14ac:dyDescent="0.2">
      <c r="A17" s="52"/>
      <c r="B17" s="9" t="s">
        <v>1964</v>
      </c>
      <c r="C17" s="9" t="s">
        <v>1965</v>
      </c>
      <c r="D17" s="9" t="s">
        <v>24</v>
      </c>
      <c r="E17" s="9" t="s">
        <v>25</v>
      </c>
      <c r="F17" s="9" t="s">
        <v>26</v>
      </c>
      <c r="G17" s="41" t="s">
        <v>27</v>
      </c>
      <c r="H17" s="11"/>
      <c r="I17" s="13"/>
      <c r="J17" s="13"/>
      <c r="K17" s="13"/>
    </row>
    <row r="18" spans="1:11" x14ac:dyDescent="0.2">
      <c r="A18" s="52"/>
      <c r="B18" s="9" t="s">
        <v>1964</v>
      </c>
      <c r="C18" s="9" t="s">
        <v>1966</v>
      </c>
      <c r="D18" s="9" t="s">
        <v>24</v>
      </c>
      <c r="E18" s="9" t="s">
        <v>25</v>
      </c>
      <c r="F18" s="9" t="s">
        <v>26</v>
      </c>
      <c r="G18" s="41" t="s">
        <v>27</v>
      </c>
      <c r="H18" s="11"/>
      <c r="I18" s="13"/>
      <c r="J18" s="13"/>
      <c r="K18" s="13"/>
    </row>
    <row r="19" spans="1:11" x14ac:dyDescent="0.2">
      <c r="A19" s="52"/>
      <c r="B19" s="9" t="s">
        <v>1964</v>
      </c>
      <c r="C19" s="9" t="s">
        <v>1968</v>
      </c>
      <c r="D19" s="9" t="s">
        <v>24</v>
      </c>
      <c r="E19" s="9" t="s">
        <v>25</v>
      </c>
      <c r="F19" s="9" t="s">
        <v>26</v>
      </c>
      <c r="G19" s="41" t="s">
        <v>27</v>
      </c>
      <c r="H19" s="11"/>
      <c r="I19" s="13"/>
      <c r="J19" s="13"/>
      <c r="K19" s="13"/>
    </row>
    <row r="20" spans="1:11" x14ac:dyDescent="0.2">
      <c r="A20" s="52"/>
      <c r="B20" s="9" t="s">
        <v>1964</v>
      </c>
      <c r="C20" s="9" t="s">
        <v>1967</v>
      </c>
      <c r="D20" s="9" t="s">
        <v>24</v>
      </c>
      <c r="E20" s="9" t="s">
        <v>25</v>
      </c>
      <c r="F20" s="9" t="s">
        <v>26</v>
      </c>
      <c r="G20" s="41" t="s">
        <v>27</v>
      </c>
      <c r="H20" s="11"/>
      <c r="I20" s="13"/>
      <c r="J20" s="13"/>
      <c r="K20" s="13"/>
    </row>
    <row r="21" spans="1:11" x14ac:dyDescent="0.2">
      <c r="A21" s="50"/>
      <c r="B21" s="9" t="s">
        <v>1964</v>
      </c>
      <c r="C21" s="9" t="s">
        <v>1973</v>
      </c>
      <c r="D21" s="9" t="s">
        <v>24</v>
      </c>
      <c r="E21" s="9" t="s">
        <v>25</v>
      </c>
      <c r="F21" s="9" t="s">
        <v>26</v>
      </c>
      <c r="G21" s="41" t="s">
        <v>27</v>
      </c>
      <c r="H21" s="11"/>
      <c r="I21" s="13"/>
      <c r="J21" s="13"/>
      <c r="K21" s="13"/>
    </row>
    <row r="22" spans="1:11" x14ac:dyDescent="0.2">
      <c r="A22" s="51"/>
      <c r="B22" s="9" t="s">
        <v>1964</v>
      </c>
      <c r="C22" s="9" t="s">
        <v>1974</v>
      </c>
      <c r="D22" s="9" t="s">
        <v>24</v>
      </c>
      <c r="E22" s="9" t="s">
        <v>25</v>
      </c>
      <c r="F22" s="9" t="s">
        <v>26</v>
      </c>
      <c r="G22" s="41" t="s">
        <v>27</v>
      </c>
      <c r="H22" s="11"/>
      <c r="I22" s="13"/>
      <c r="J22" s="13"/>
      <c r="K22" s="13"/>
    </row>
    <row r="23" spans="1:11" x14ac:dyDescent="0.2">
      <c r="A23" s="50"/>
      <c r="B23" s="9" t="s">
        <v>1964</v>
      </c>
      <c r="C23" s="9" t="s">
        <v>1975</v>
      </c>
      <c r="D23" s="9" t="s">
        <v>24</v>
      </c>
      <c r="E23" s="9" t="s">
        <v>25</v>
      </c>
      <c r="F23" s="9" t="s">
        <v>26</v>
      </c>
      <c r="G23" s="41" t="s">
        <v>27</v>
      </c>
      <c r="H23" s="11"/>
      <c r="I23" s="13"/>
      <c r="J23" s="13"/>
      <c r="K23" s="13"/>
    </row>
    <row r="24" spans="1:11" x14ac:dyDescent="0.2">
      <c r="A24" s="51"/>
      <c r="B24" s="9" t="s">
        <v>1964</v>
      </c>
      <c r="C24" s="9" t="s">
        <v>1976</v>
      </c>
      <c r="D24" s="9" t="s">
        <v>24</v>
      </c>
      <c r="E24" s="9" t="s">
        <v>25</v>
      </c>
      <c r="F24" s="9" t="s">
        <v>26</v>
      </c>
      <c r="G24" s="41" t="s">
        <v>27</v>
      </c>
      <c r="H24" s="11"/>
      <c r="I24" s="13"/>
      <c r="J24" s="13"/>
      <c r="K24" s="13"/>
    </row>
    <row r="25" spans="1:11" x14ac:dyDescent="0.2">
      <c r="A25" s="50"/>
      <c r="B25" s="9" t="s">
        <v>1964</v>
      </c>
      <c r="C25" s="9" t="s">
        <v>1977</v>
      </c>
      <c r="D25" s="9" t="s">
        <v>24</v>
      </c>
      <c r="E25" s="9" t="s">
        <v>25</v>
      </c>
      <c r="F25" s="9" t="s">
        <v>26</v>
      </c>
      <c r="G25" s="41" t="s">
        <v>27</v>
      </c>
      <c r="H25" s="11"/>
      <c r="I25" s="13"/>
      <c r="J25" s="13"/>
      <c r="K25" s="13"/>
    </row>
    <row r="26" spans="1:11" x14ac:dyDescent="0.2">
      <c r="A26" s="57"/>
      <c r="B26" s="9" t="s">
        <v>1964</v>
      </c>
      <c r="C26" s="9" t="s">
        <v>1978</v>
      </c>
      <c r="D26" s="9" t="s">
        <v>24</v>
      </c>
      <c r="E26" s="9" t="s">
        <v>25</v>
      </c>
      <c r="F26" s="9" t="s">
        <v>26</v>
      </c>
      <c r="G26" s="41" t="s">
        <v>27</v>
      </c>
      <c r="H26" s="11"/>
      <c r="I26" s="13"/>
      <c r="J26" s="13"/>
      <c r="K26" s="13"/>
    </row>
    <row r="27" spans="1:11" x14ac:dyDescent="0.2">
      <c r="A27" s="48" t="s">
        <v>28</v>
      </c>
      <c r="B27" s="9" t="s">
        <v>1964</v>
      </c>
      <c r="C27" s="9" t="s">
        <v>1979</v>
      </c>
      <c r="D27" s="9" t="s">
        <v>24</v>
      </c>
      <c r="E27" s="9" t="s">
        <v>256</v>
      </c>
      <c r="F27" s="9" t="s">
        <v>87</v>
      </c>
      <c r="G27" s="41" t="s">
        <v>27</v>
      </c>
      <c r="H27" s="11"/>
      <c r="I27" s="13"/>
      <c r="J27" s="13"/>
      <c r="K27" s="13"/>
    </row>
    <row r="28" spans="1:11" x14ac:dyDescent="0.2">
      <c r="A28" s="51"/>
      <c r="B28" s="9" t="s">
        <v>1964</v>
      </c>
      <c r="C28" s="9" t="s">
        <v>1980</v>
      </c>
      <c r="D28" s="9" t="s">
        <v>24</v>
      </c>
      <c r="E28" s="9" t="s">
        <v>25</v>
      </c>
      <c r="F28" s="9" t="s">
        <v>26</v>
      </c>
      <c r="G28" s="41" t="s">
        <v>27</v>
      </c>
      <c r="H28" s="11"/>
      <c r="I28" s="13"/>
      <c r="J28" s="13"/>
      <c r="K28" s="13"/>
    </row>
    <row r="29" spans="1:11" x14ac:dyDescent="0.2">
      <c r="A29" s="50"/>
      <c r="B29" s="9" t="s">
        <v>1964</v>
      </c>
      <c r="C29" s="9" t="s">
        <v>1981</v>
      </c>
      <c r="D29" s="9" t="s">
        <v>24</v>
      </c>
      <c r="E29" s="9" t="s">
        <v>256</v>
      </c>
      <c r="F29" s="9" t="s">
        <v>26</v>
      </c>
      <c r="G29" s="41" t="s">
        <v>27</v>
      </c>
      <c r="H29" s="11"/>
      <c r="I29" s="13"/>
      <c r="J29" s="13"/>
      <c r="K29" s="13"/>
    </row>
    <row r="30" spans="1:11" x14ac:dyDescent="0.2">
      <c r="A30" s="51"/>
      <c r="B30" s="9" t="s">
        <v>1964</v>
      </c>
      <c r="C30" s="9" t="s">
        <v>1982</v>
      </c>
      <c r="D30" s="9" t="s">
        <v>24</v>
      </c>
      <c r="E30" s="9" t="s">
        <v>256</v>
      </c>
      <c r="F30" s="9" t="s">
        <v>26</v>
      </c>
      <c r="G30" s="41" t="s">
        <v>27</v>
      </c>
      <c r="H30" s="11"/>
      <c r="I30" s="13"/>
      <c r="J30" s="13"/>
      <c r="K30" s="13"/>
    </row>
    <row r="31" spans="1:11" x14ac:dyDescent="0.2">
      <c r="A31" s="50"/>
      <c r="B31" s="9" t="s">
        <v>1964</v>
      </c>
      <c r="C31" s="9" t="s">
        <v>1983</v>
      </c>
      <c r="D31" s="9" t="s">
        <v>24</v>
      </c>
      <c r="E31" s="9" t="s">
        <v>256</v>
      </c>
      <c r="F31" s="9" t="s">
        <v>26</v>
      </c>
      <c r="G31" s="41" t="s">
        <v>27</v>
      </c>
      <c r="H31" s="11"/>
      <c r="I31" s="13"/>
      <c r="J31" s="13"/>
      <c r="K31" s="13"/>
    </row>
    <row r="32" spans="1:11" x14ac:dyDescent="0.2">
      <c r="A32" s="51"/>
      <c r="B32" s="9" t="s">
        <v>1964</v>
      </c>
      <c r="C32" s="9" t="s">
        <v>1984</v>
      </c>
      <c r="D32" s="9" t="s">
        <v>24</v>
      </c>
      <c r="E32" s="9" t="s">
        <v>256</v>
      </c>
      <c r="F32" s="9" t="s">
        <v>87</v>
      </c>
      <c r="G32" s="41" t="s">
        <v>27</v>
      </c>
      <c r="H32" s="11"/>
      <c r="I32" s="13"/>
      <c r="J32" s="13"/>
      <c r="K32" s="13"/>
    </row>
    <row r="33" spans="1:11" x14ac:dyDescent="0.2">
      <c r="A33" s="50"/>
      <c r="B33" s="9" t="s">
        <v>1964</v>
      </c>
      <c r="C33" s="9" t="s">
        <v>1985</v>
      </c>
      <c r="D33" s="9" t="s">
        <v>24</v>
      </c>
      <c r="E33" s="9" t="s">
        <v>256</v>
      </c>
      <c r="F33" s="9" t="s">
        <v>47</v>
      </c>
      <c r="G33" s="41" t="s">
        <v>27</v>
      </c>
      <c r="H33" s="11"/>
      <c r="I33" s="13"/>
      <c r="J33" s="13"/>
      <c r="K33" s="13"/>
    </row>
    <row r="34" spans="1:11" x14ac:dyDescent="0.2">
      <c r="A34" s="57"/>
      <c r="B34" s="9" t="s">
        <v>1964</v>
      </c>
      <c r="C34" s="9" t="s">
        <v>1986</v>
      </c>
      <c r="D34" s="9" t="s">
        <v>24</v>
      </c>
      <c r="E34" s="9" t="s">
        <v>256</v>
      </c>
      <c r="F34" s="9" t="s">
        <v>47</v>
      </c>
      <c r="G34" s="41" t="s">
        <v>27</v>
      </c>
      <c r="H34" s="11"/>
      <c r="I34" s="13"/>
      <c r="J34" s="13"/>
      <c r="K34" s="13"/>
    </row>
    <row r="35" spans="1:11" x14ac:dyDescent="0.2">
      <c r="A35" s="48" t="s">
        <v>33</v>
      </c>
      <c r="B35" s="9" t="s">
        <v>1964</v>
      </c>
      <c r="C35" s="9" t="s">
        <v>1987</v>
      </c>
      <c r="D35" s="9" t="s">
        <v>24</v>
      </c>
      <c r="E35" s="9" t="s">
        <v>31</v>
      </c>
      <c r="F35" s="9" t="s">
        <v>26</v>
      </c>
      <c r="G35" s="41" t="s">
        <v>27</v>
      </c>
      <c r="H35" s="11"/>
      <c r="I35" s="13"/>
      <c r="J35" s="13"/>
      <c r="K35" s="13"/>
    </row>
    <row r="36" spans="1:11" x14ac:dyDescent="0.2">
      <c r="A36" s="51"/>
      <c r="B36" s="9" t="s">
        <v>1964</v>
      </c>
      <c r="C36" s="9" t="s">
        <v>1988</v>
      </c>
      <c r="D36" s="9" t="s">
        <v>24</v>
      </c>
      <c r="E36" s="9" t="s">
        <v>31</v>
      </c>
      <c r="F36" s="9" t="s">
        <v>26</v>
      </c>
      <c r="G36" s="41" t="s">
        <v>27</v>
      </c>
      <c r="H36" s="11"/>
      <c r="I36" s="13"/>
      <c r="J36" s="13"/>
      <c r="K36" s="13"/>
    </row>
    <row r="37" spans="1:11" ht="12.75" x14ac:dyDescent="0.2">
      <c r="A37" s="52"/>
      <c r="B37" s="9" t="s">
        <v>1964</v>
      </c>
      <c r="C37" s="9" t="s">
        <v>1989</v>
      </c>
      <c r="D37" s="9" t="s">
        <v>24</v>
      </c>
      <c r="E37" s="9" t="s">
        <v>31</v>
      </c>
      <c r="F37" s="9" t="s">
        <v>26</v>
      </c>
      <c r="G37" s="41" t="s">
        <v>27</v>
      </c>
      <c r="H37" s="11"/>
      <c r="I37" s="13"/>
      <c r="J37" s="13"/>
      <c r="K37" s="13"/>
    </row>
    <row r="38" spans="1:11" ht="12.75" x14ac:dyDescent="0.2">
      <c r="A38" s="52"/>
      <c r="B38" s="9" t="s">
        <v>1964</v>
      </c>
      <c r="C38" s="9" t="s">
        <v>1990</v>
      </c>
      <c r="D38" s="9" t="s">
        <v>24</v>
      </c>
      <c r="E38" s="9" t="s">
        <v>25</v>
      </c>
      <c r="F38" s="9" t="s">
        <v>26</v>
      </c>
      <c r="G38" s="41" t="s">
        <v>27</v>
      </c>
      <c r="H38" s="11"/>
      <c r="I38" s="13"/>
      <c r="J38" s="13"/>
      <c r="K38" s="13"/>
    </row>
    <row r="39" spans="1:11" ht="12.75" x14ac:dyDescent="0.2">
      <c r="A39" s="52"/>
      <c r="B39" s="9" t="s">
        <v>1964</v>
      </c>
      <c r="C39" s="9" t="s">
        <v>1991</v>
      </c>
      <c r="D39" s="9" t="s">
        <v>24</v>
      </c>
      <c r="E39" s="9" t="s">
        <v>25</v>
      </c>
      <c r="F39" s="9" t="s">
        <v>26</v>
      </c>
      <c r="G39" s="41" t="s">
        <v>27</v>
      </c>
      <c r="H39" s="11"/>
      <c r="I39" s="13"/>
      <c r="J39" s="13"/>
      <c r="K39" s="13"/>
    </row>
    <row r="40" spans="1:11" ht="12.75" x14ac:dyDescent="0.2">
      <c r="A40" s="52"/>
      <c r="B40" s="9" t="s">
        <v>1964</v>
      </c>
      <c r="C40" s="9" t="s">
        <v>1992</v>
      </c>
      <c r="D40" s="9" t="s">
        <v>24</v>
      </c>
      <c r="E40" s="9" t="s">
        <v>25</v>
      </c>
      <c r="F40" s="9" t="s">
        <v>26</v>
      </c>
      <c r="G40" s="41" t="s">
        <v>27</v>
      </c>
      <c r="H40" s="11"/>
      <c r="I40" s="13"/>
      <c r="J40" s="13"/>
      <c r="K40" s="13"/>
    </row>
    <row r="41" spans="1:11" ht="12.75" x14ac:dyDescent="0.2">
      <c r="A41" s="52"/>
      <c r="B41" s="9" t="s">
        <v>1964</v>
      </c>
      <c r="C41" s="9" t="s">
        <v>1993</v>
      </c>
      <c r="D41" s="9" t="s">
        <v>24</v>
      </c>
      <c r="E41" s="9" t="s">
        <v>25</v>
      </c>
      <c r="F41" s="9" t="s">
        <v>26</v>
      </c>
      <c r="G41" s="41" t="s">
        <v>27</v>
      </c>
      <c r="H41" s="11"/>
      <c r="I41" s="13"/>
      <c r="J41" s="13"/>
      <c r="K41" s="13"/>
    </row>
    <row r="42" spans="1:11" ht="12.75" x14ac:dyDescent="0.2">
      <c r="A42" s="52"/>
      <c r="B42" s="9" t="s">
        <v>1964</v>
      </c>
      <c r="C42" s="9" t="s">
        <v>1994</v>
      </c>
      <c r="D42" s="9" t="s">
        <v>24</v>
      </c>
      <c r="E42" s="9" t="s">
        <v>25</v>
      </c>
      <c r="F42" s="9" t="s">
        <v>26</v>
      </c>
      <c r="G42" s="41" t="s">
        <v>27</v>
      </c>
      <c r="H42" s="11"/>
      <c r="I42" s="13"/>
      <c r="J42" s="13"/>
      <c r="K42" s="13"/>
    </row>
    <row r="43" spans="1:11" ht="12.75" x14ac:dyDescent="0.2">
      <c r="A43" s="52"/>
      <c r="B43" s="9" t="s">
        <v>1964</v>
      </c>
      <c r="C43" s="9" t="s">
        <v>1981</v>
      </c>
      <c r="D43" s="9" t="s">
        <v>24</v>
      </c>
      <c r="E43" s="9" t="s">
        <v>25</v>
      </c>
      <c r="F43" s="9" t="s">
        <v>87</v>
      </c>
      <c r="G43" s="41" t="s">
        <v>27</v>
      </c>
      <c r="H43" s="11"/>
      <c r="I43" s="13"/>
      <c r="J43" s="13"/>
      <c r="K43" s="13"/>
    </row>
    <row r="44" spans="1:11" ht="12.75" x14ac:dyDescent="0.2">
      <c r="A44" s="52"/>
      <c r="B44" s="9" t="s">
        <v>1964</v>
      </c>
      <c r="C44" s="9" t="s">
        <v>1995</v>
      </c>
      <c r="D44" s="9" t="s">
        <v>24</v>
      </c>
      <c r="E44" s="9" t="s">
        <v>25</v>
      </c>
      <c r="F44" s="9" t="s">
        <v>87</v>
      </c>
      <c r="G44" s="41" t="s">
        <v>27</v>
      </c>
      <c r="H44" s="11"/>
      <c r="I44" s="13"/>
      <c r="J44" s="13"/>
      <c r="K44" s="13"/>
    </row>
    <row r="45" spans="1:11" ht="12.75" x14ac:dyDescent="0.2">
      <c r="A45" s="52"/>
      <c r="B45" s="9" t="s">
        <v>1964</v>
      </c>
      <c r="C45" s="9" t="s">
        <v>1996</v>
      </c>
      <c r="D45" s="9" t="s">
        <v>24</v>
      </c>
      <c r="E45" s="9" t="s">
        <v>31</v>
      </c>
      <c r="F45" s="9" t="s">
        <v>26</v>
      </c>
      <c r="G45" s="41" t="s">
        <v>27</v>
      </c>
      <c r="H45" s="11"/>
      <c r="I45" s="13"/>
      <c r="J45" s="13"/>
      <c r="K45" s="13"/>
    </row>
    <row r="46" spans="1:11" ht="12.75" x14ac:dyDescent="0.2">
      <c r="A46" s="53"/>
      <c r="B46" s="9" t="s">
        <v>1964</v>
      </c>
      <c r="C46" s="9" t="s">
        <v>1983</v>
      </c>
      <c r="D46" s="9" t="s">
        <v>24</v>
      </c>
      <c r="E46" s="9" t="s">
        <v>25</v>
      </c>
      <c r="F46" s="9" t="s">
        <v>26</v>
      </c>
      <c r="G46" s="41" t="s">
        <v>27</v>
      </c>
      <c r="H46" s="11"/>
      <c r="I46" s="13"/>
      <c r="J46" s="13"/>
      <c r="K46" s="13"/>
    </row>
    <row r="47" spans="1:11" ht="12.75" x14ac:dyDescent="0.2">
      <c r="A47" s="48" t="s">
        <v>38</v>
      </c>
      <c r="B47" s="9" t="s">
        <v>1964</v>
      </c>
      <c r="C47" s="9" t="s">
        <v>1993</v>
      </c>
      <c r="D47" s="9" t="s">
        <v>24</v>
      </c>
      <c r="E47" s="9" t="s">
        <v>25</v>
      </c>
      <c r="F47" s="9" t="s">
        <v>26</v>
      </c>
      <c r="G47" s="41" t="s">
        <v>27</v>
      </c>
      <c r="H47" s="11"/>
      <c r="I47" s="13"/>
      <c r="J47" s="13"/>
      <c r="K47" s="13"/>
    </row>
    <row r="48" spans="1:11" ht="12.75" x14ac:dyDescent="0.2">
      <c r="A48" s="52"/>
      <c r="B48" s="9" t="s">
        <v>1964</v>
      </c>
      <c r="C48" s="9" t="s">
        <v>1974</v>
      </c>
      <c r="D48" s="9" t="s">
        <v>24</v>
      </c>
      <c r="E48" s="9" t="s">
        <v>25</v>
      </c>
      <c r="F48" s="9" t="s">
        <v>26</v>
      </c>
      <c r="G48" s="41" t="s">
        <v>27</v>
      </c>
      <c r="H48" s="11"/>
      <c r="I48" s="13"/>
      <c r="J48" s="13"/>
      <c r="K48" s="13"/>
    </row>
    <row r="49" spans="1:11" ht="12.75" x14ac:dyDescent="0.2">
      <c r="A49" s="52"/>
      <c r="B49" s="9" t="s">
        <v>1964</v>
      </c>
      <c r="C49" s="9" t="s">
        <v>1978</v>
      </c>
      <c r="D49" s="9" t="s">
        <v>24</v>
      </c>
      <c r="E49" s="9" t="s">
        <v>25</v>
      </c>
      <c r="F49" s="9" t="s">
        <v>26</v>
      </c>
      <c r="G49" s="41" t="s">
        <v>27</v>
      </c>
      <c r="H49" s="11"/>
      <c r="I49" s="13"/>
      <c r="J49" s="13"/>
      <c r="K49" s="13"/>
    </row>
    <row r="50" spans="1:11" ht="12.75" x14ac:dyDescent="0.2">
      <c r="A50" s="52"/>
      <c r="B50" s="9" t="s">
        <v>1964</v>
      </c>
      <c r="C50" s="9" t="s">
        <v>1981</v>
      </c>
      <c r="D50" s="9" t="s">
        <v>24</v>
      </c>
      <c r="E50" s="9" t="s">
        <v>25</v>
      </c>
      <c r="F50" s="9" t="s">
        <v>26</v>
      </c>
      <c r="G50" s="41" t="s">
        <v>27</v>
      </c>
      <c r="H50" s="11"/>
      <c r="I50" s="13"/>
      <c r="J50" s="13"/>
      <c r="K50" s="13"/>
    </row>
    <row r="51" spans="1:11" ht="12.75" x14ac:dyDescent="0.2">
      <c r="A51" s="52"/>
      <c r="B51" s="9" t="s">
        <v>1964</v>
      </c>
      <c r="C51" s="9" t="s">
        <v>1997</v>
      </c>
      <c r="D51" s="9" t="s">
        <v>24</v>
      </c>
      <c r="E51" s="9" t="s">
        <v>25</v>
      </c>
      <c r="F51" s="9" t="s">
        <v>26</v>
      </c>
      <c r="G51" s="41" t="s">
        <v>27</v>
      </c>
      <c r="H51" s="11"/>
      <c r="I51" s="13"/>
      <c r="J51" s="13"/>
      <c r="K51" s="13"/>
    </row>
    <row r="52" spans="1:11" ht="12.75" x14ac:dyDescent="0.2">
      <c r="A52" s="52"/>
      <c r="B52" s="9" t="s">
        <v>1964</v>
      </c>
      <c r="C52" s="9" t="s">
        <v>1998</v>
      </c>
      <c r="D52" s="9" t="s">
        <v>24</v>
      </c>
      <c r="E52" s="9" t="s">
        <v>31</v>
      </c>
      <c r="F52" s="9" t="s">
        <v>26</v>
      </c>
      <c r="G52" s="41" t="s">
        <v>27</v>
      </c>
      <c r="H52" s="11"/>
      <c r="I52" s="13"/>
      <c r="J52" s="13"/>
      <c r="K52" s="13"/>
    </row>
    <row r="53" spans="1:11" ht="12.75" x14ac:dyDescent="0.2">
      <c r="A53" s="52"/>
      <c r="B53" s="9" t="s">
        <v>1964</v>
      </c>
      <c r="C53" s="9" t="s">
        <v>1999</v>
      </c>
      <c r="D53" s="9" t="s">
        <v>24</v>
      </c>
      <c r="E53" s="9" t="s">
        <v>25</v>
      </c>
      <c r="F53" s="9" t="s">
        <v>26</v>
      </c>
      <c r="G53" s="41" t="s">
        <v>27</v>
      </c>
      <c r="H53" s="11"/>
      <c r="I53" s="13"/>
      <c r="J53" s="13"/>
      <c r="K53" s="13"/>
    </row>
    <row r="54" spans="1:11" ht="12.75" x14ac:dyDescent="0.2">
      <c r="A54" s="52"/>
      <c r="B54" s="9" t="s">
        <v>1964</v>
      </c>
      <c r="C54" s="9" t="s">
        <v>1968</v>
      </c>
      <c r="D54" s="9" t="s">
        <v>24</v>
      </c>
      <c r="E54" s="9" t="s">
        <v>25</v>
      </c>
      <c r="F54" s="9" t="s">
        <v>26</v>
      </c>
      <c r="G54" s="41" t="s">
        <v>27</v>
      </c>
      <c r="H54" s="11"/>
      <c r="I54" s="13"/>
      <c r="J54" s="13"/>
      <c r="K54" s="13"/>
    </row>
    <row r="55" spans="1:11" ht="12.75" x14ac:dyDescent="0.2">
      <c r="A55" s="52"/>
      <c r="B55" s="9" t="s">
        <v>1964</v>
      </c>
      <c r="C55" s="9" t="s">
        <v>2000</v>
      </c>
      <c r="D55" s="9" t="s">
        <v>24</v>
      </c>
      <c r="E55" s="9" t="s">
        <v>25</v>
      </c>
      <c r="F55" s="9" t="s">
        <v>26</v>
      </c>
      <c r="G55" s="41" t="s">
        <v>27</v>
      </c>
      <c r="H55" s="11"/>
      <c r="I55" s="13"/>
      <c r="J55" s="13"/>
      <c r="K55" s="13"/>
    </row>
    <row r="56" spans="1:11" ht="12.75" x14ac:dyDescent="0.2">
      <c r="A56" s="52"/>
      <c r="B56" s="9" t="s">
        <v>1964</v>
      </c>
      <c r="C56" s="9" t="s">
        <v>2001</v>
      </c>
      <c r="D56" s="9" t="s">
        <v>24</v>
      </c>
      <c r="E56" s="9" t="s">
        <v>25</v>
      </c>
      <c r="F56" s="9" t="s">
        <v>26</v>
      </c>
      <c r="G56" s="41" t="s">
        <v>27</v>
      </c>
      <c r="H56" s="11"/>
      <c r="I56" s="13"/>
      <c r="J56" s="13"/>
      <c r="K56" s="13"/>
    </row>
    <row r="57" spans="1:11" ht="12.75" x14ac:dyDescent="0.2">
      <c r="A57" s="52"/>
      <c r="B57" s="9" t="s">
        <v>1964</v>
      </c>
      <c r="C57" s="9" t="s">
        <v>2002</v>
      </c>
      <c r="D57" s="9" t="s">
        <v>24</v>
      </c>
      <c r="E57" s="9" t="s">
        <v>25</v>
      </c>
      <c r="F57" s="9" t="s">
        <v>26</v>
      </c>
      <c r="G57" s="41" t="s">
        <v>27</v>
      </c>
      <c r="H57" s="11"/>
      <c r="I57" s="13"/>
      <c r="J57" s="13"/>
      <c r="K57" s="13"/>
    </row>
    <row r="58" spans="1:11" ht="12.75" x14ac:dyDescent="0.2">
      <c r="A58" s="52"/>
      <c r="B58" s="9" t="s">
        <v>1964</v>
      </c>
      <c r="C58" s="9" t="s">
        <v>2003</v>
      </c>
      <c r="D58" s="9" t="s">
        <v>24</v>
      </c>
      <c r="E58" s="9" t="s">
        <v>31</v>
      </c>
      <c r="F58" s="9" t="s">
        <v>87</v>
      </c>
      <c r="G58" s="41" t="s">
        <v>27</v>
      </c>
      <c r="H58" s="11"/>
      <c r="I58" s="13"/>
      <c r="J58" s="13"/>
      <c r="K58" s="13"/>
    </row>
    <row r="59" spans="1:11" ht="12.75" x14ac:dyDescent="0.2">
      <c r="A59" s="52"/>
      <c r="B59" s="9" t="s">
        <v>1964</v>
      </c>
      <c r="C59" s="9" t="s">
        <v>2004</v>
      </c>
      <c r="D59" s="9" t="s">
        <v>24</v>
      </c>
      <c r="E59" s="9" t="s">
        <v>31</v>
      </c>
      <c r="F59" s="9" t="s">
        <v>87</v>
      </c>
      <c r="G59" s="41" t="s">
        <v>27</v>
      </c>
      <c r="H59" s="11"/>
      <c r="I59" s="13"/>
      <c r="J59" s="13"/>
      <c r="K59" s="13"/>
    </row>
    <row r="60" spans="1:11" ht="12.75" x14ac:dyDescent="0.2">
      <c r="A60" s="52"/>
      <c r="B60" s="9" t="s">
        <v>1964</v>
      </c>
      <c r="C60" s="9" t="s">
        <v>2005</v>
      </c>
      <c r="D60" s="9" t="s">
        <v>24</v>
      </c>
      <c r="E60" s="9" t="s">
        <v>31</v>
      </c>
      <c r="F60" s="9" t="s">
        <v>87</v>
      </c>
      <c r="G60" s="41" t="s">
        <v>27</v>
      </c>
      <c r="H60" s="11"/>
      <c r="I60" s="13"/>
      <c r="J60" s="13"/>
      <c r="K60" s="13"/>
    </row>
    <row r="61" spans="1:11" ht="12.75" x14ac:dyDescent="0.2">
      <c r="A61" s="53"/>
      <c r="B61" s="9" t="s">
        <v>1964</v>
      </c>
      <c r="C61" s="9" t="s">
        <v>2006</v>
      </c>
      <c r="D61" s="9" t="s">
        <v>24</v>
      </c>
      <c r="E61" s="9" t="s">
        <v>31</v>
      </c>
      <c r="F61" s="9" t="s">
        <v>87</v>
      </c>
      <c r="G61" s="41" t="s">
        <v>27</v>
      </c>
      <c r="H61" s="11"/>
      <c r="I61" s="13"/>
      <c r="J61" s="13"/>
      <c r="K61" s="13"/>
    </row>
    <row r="62" spans="1:11" ht="12.75" x14ac:dyDescent="0.2">
      <c r="A62" s="48" t="s">
        <v>46</v>
      </c>
      <c r="B62" s="9" t="s">
        <v>1964</v>
      </c>
      <c r="C62" s="9" t="s">
        <v>2007</v>
      </c>
      <c r="D62" s="9" t="s">
        <v>24</v>
      </c>
      <c r="E62" s="9" t="s">
        <v>31</v>
      </c>
      <c r="F62" s="9" t="s">
        <v>87</v>
      </c>
      <c r="G62" s="41" t="s">
        <v>27</v>
      </c>
      <c r="H62" s="11"/>
      <c r="I62" s="13"/>
      <c r="J62" s="13"/>
      <c r="K62" s="13"/>
    </row>
    <row r="63" spans="1:11" ht="12.75" x14ac:dyDescent="0.2">
      <c r="A63" s="52"/>
      <c r="B63" s="9" t="s">
        <v>1964</v>
      </c>
      <c r="C63" s="9" t="s">
        <v>2008</v>
      </c>
      <c r="D63" s="9" t="s">
        <v>24</v>
      </c>
      <c r="E63" s="9" t="s">
        <v>31</v>
      </c>
      <c r="F63" s="9" t="s">
        <v>87</v>
      </c>
      <c r="G63" s="41" t="s">
        <v>27</v>
      </c>
      <c r="H63" s="11"/>
      <c r="I63" s="13"/>
      <c r="J63" s="13"/>
      <c r="K63" s="13"/>
    </row>
    <row r="64" spans="1:11" ht="12.75" x14ac:dyDescent="0.2">
      <c r="A64" s="52"/>
      <c r="B64" s="9" t="s">
        <v>1964</v>
      </c>
      <c r="C64" s="9" t="s">
        <v>1984</v>
      </c>
      <c r="D64" s="9" t="s">
        <v>24</v>
      </c>
      <c r="E64" s="9" t="s">
        <v>31</v>
      </c>
      <c r="F64" s="9" t="s">
        <v>87</v>
      </c>
      <c r="G64" s="41" t="s">
        <v>27</v>
      </c>
      <c r="H64" s="11"/>
      <c r="I64" s="13"/>
      <c r="J64" s="13"/>
      <c r="K64" s="13"/>
    </row>
    <row r="65" spans="1:11" ht="12.75" x14ac:dyDescent="0.2">
      <c r="A65" s="52"/>
      <c r="B65" s="9" t="s">
        <v>1964</v>
      </c>
      <c r="C65" s="9" t="s">
        <v>2009</v>
      </c>
      <c r="D65" s="9" t="s">
        <v>24</v>
      </c>
      <c r="E65" s="9" t="s">
        <v>31</v>
      </c>
      <c r="F65" s="9" t="s">
        <v>87</v>
      </c>
      <c r="G65" s="41" t="s">
        <v>27</v>
      </c>
      <c r="H65" s="11"/>
      <c r="I65" s="13"/>
      <c r="J65" s="13"/>
      <c r="K65" s="13"/>
    </row>
    <row r="66" spans="1:11" ht="12.75" x14ac:dyDescent="0.2">
      <c r="A66" s="53"/>
      <c r="B66" s="9" t="s">
        <v>1964</v>
      </c>
      <c r="C66" s="9" t="s">
        <v>2010</v>
      </c>
      <c r="D66" s="9" t="s">
        <v>24</v>
      </c>
      <c r="E66" s="9" t="s">
        <v>31</v>
      </c>
      <c r="F66" s="9" t="s">
        <v>87</v>
      </c>
      <c r="G66" s="41" t="s">
        <v>27</v>
      </c>
      <c r="H66" s="11"/>
      <c r="I66" s="13"/>
      <c r="J66" s="13"/>
      <c r="K66" s="13"/>
    </row>
    <row r="67" spans="1:11" ht="12.75" x14ac:dyDescent="0.2">
      <c r="A67" s="48" t="s">
        <v>49</v>
      </c>
      <c r="B67" s="9" t="s">
        <v>1964</v>
      </c>
      <c r="C67" s="9" t="s">
        <v>1984</v>
      </c>
      <c r="D67" s="9" t="s">
        <v>24</v>
      </c>
      <c r="E67" s="9" t="s">
        <v>31</v>
      </c>
      <c r="F67" s="9" t="s">
        <v>87</v>
      </c>
      <c r="G67" s="41" t="s">
        <v>27</v>
      </c>
      <c r="H67" s="11"/>
      <c r="I67" s="13"/>
      <c r="J67" s="13"/>
      <c r="K67" s="13"/>
    </row>
    <row r="68" spans="1:11" ht="12.75" x14ac:dyDescent="0.2">
      <c r="A68" s="52"/>
      <c r="B68" s="9" t="s">
        <v>1964</v>
      </c>
      <c r="C68" s="9" t="s">
        <v>2011</v>
      </c>
      <c r="D68" s="9" t="s">
        <v>24</v>
      </c>
      <c r="E68" s="9" t="s">
        <v>31</v>
      </c>
      <c r="F68" s="9" t="s">
        <v>26</v>
      </c>
      <c r="G68" s="41" t="s">
        <v>27</v>
      </c>
      <c r="H68" s="11"/>
      <c r="I68" s="13"/>
      <c r="J68" s="13"/>
      <c r="K68" s="13"/>
    </row>
    <row r="69" spans="1:11" ht="12.75" x14ac:dyDescent="0.2">
      <c r="A69" s="52"/>
      <c r="B69" s="9" t="s">
        <v>1964</v>
      </c>
      <c r="C69" s="12" t="s">
        <v>1991</v>
      </c>
      <c r="D69" s="12" t="s">
        <v>24</v>
      </c>
      <c r="E69" s="12" t="s">
        <v>25</v>
      </c>
      <c r="F69" s="12" t="s">
        <v>26</v>
      </c>
      <c r="G69" s="41" t="s">
        <v>27</v>
      </c>
      <c r="H69" s="11"/>
      <c r="I69" s="13"/>
      <c r="J69" s="13"/>
      <c r="K69" s="13"/>
    </row>
    <row r="70" spans="1:11" ht="12.75" x14ac:dyDescent="0.2">
      <c r="A70" s="52"/>
      <c r="B70" s="9" t="s">
        <v>1964</v>
      </c>
      <c r="C70" s="9" t="s">
        <v>2012</v>
      </c>
      <c r="D70" s="9" t="s">
        <v>30</v>
      </c>
      <c r="E70" s="9" t="s">
        <v>25</v>
      </c>
      <c r="F70" s="9" t="s">
        <v>26</v>
      </c>
      <c r="G70" s="41" t="s">
        <v>27</v>
      </c>
      <c r="H70" s="11"/>
      <c r="I70" s="13"/>
      <c r="J70" s="13"/>
      <c r="K70" s="13"/>
    </row>
    <row r="71" spans="1:11" ht="12.75" x14ac:dyDescent="0.2">
      <c r="A71" s="52"/>
      <c r="B71" s="9" t="s">
        <v>1964</v>
      </c>
      <c r="C71" s="12" t="s">
        <v>1990</v>
      </c>
      <c r="D71" s="12" t="s">
        <v>24</v>
      </c>
      <c r="E71" s="12" t="s">
        <v>25</v>
      </c>
      <c r="F71" s="12" t="s">
        <v>26</v>
      </c>
      <c r="G71" s="41" t="s">
        <v>27</v>
      </c>
      <c r="H71" s="11"/>
      <c r="I71" s="13"/>
      <c r="J71" s="13"/>
      <c r="K71" s="13"/>
    </row>
    <row r="72" spans="1:11" ht="12.75" x14ac:dyDescent="0.2">
      <c r="A72" s="53"/>
      <c r="B72" s="9" t="s">
        <v>1964</v>
      </c>
      <c r="C72" s="9" t="s">
        <v>2013</v>
      </c>
      <c r="D72" s="9" t="s">
        <v>24</v>
      </c>
      <c r="E72" s="9" t="s">
        <v>25</v>
      </c>
      <c r="F72" s="9" t="s">
        <v>26</v>
      </c>
      <c r="G72" s="41" t="s">
        <v>27</v>
      </c>
      <c r="H72" s="11"/>
      <c r="I72" s="13"/>
      <c r="J72" s="13"/>
      <c r="K72" s="13"/>
    </row>
    <row r="73" spans="1:11" ht="12.75" x14ac:dyDescent="0.2">
      <c r="A73" s="66" t="s">
        <v>52</v>
      </c>
      <c r="B73" s="9" t="s">
        <v>1964</v>
      </c>
      <c r="C73" s="9" t="s">
        <v>2014</v>
      </c>
      <c r="D73" s="9" t="s">
        <v>24</v>
      </c>
      <c r="E73" s="9" t="s">
        <v>31</v>
      </c>
      <c r="F73" s="9" t="s">
        <v>47</v>
      </c>
      <c r="G73" s="41" t="s">
        <v>27</v>
      </c>
      <c r="H73" s="13"/>
      <c r="I73" s="13"/>
      <c r="J73" s="13"/>
      <c r="K73" s="13"/>
    </row>
    <row r="74" spans="1:11" ht="12.75" x14ac:dyDescent="0.2">
      <c r="A74" s="67"/>
      <c r="B74" s="9" t="s">
        <v>1964</v>
      </c>
      <c r="C74" s="9" t="s">
        <v>2015</v>
      </c>
      <c r="D74" s="9" t="s">
        <v>24</v>
      </c>
      <c r="E74" s="9" t="s">
        <v>31</v>
      </c>
      <c r="F74" s="9" t="s">
        <v>47</v>
      </c>
      <c r="G74" s="41" t="s">
        <v>27</v>
      </c>
      <c r="H74" s="11"/>
      <c r="I74" s="13"/>
      <c r="J74" s="13"/>
      <c r="K74" s="13"/>
    </row>
    <row r="75" spans="1:11" ht="12.75" x14ac:dyDescent="0.2">
      <c r="A75" s="67"/>
      <c r="B75" s="9" t="s">
        <v>1964</v>
      </c>
      <c r="C75" s="9" t="s">
        <v>2016</v>
      </c>
      <c r="D75" s="9" t="s">
        <v>24</v>
      </c>
      <c r="E75" s="9" t="s">
        <v>31</v>
      </c>
      <c r="F75" s="9" t="s">
        <v>47</v>
      </c>
      <c r="G75" s="41" t="s">
        <v>27</v>
      </c>
      <c r="H75" s="11"/>
      <c r="I75" s="13"/>
      <c r="J75" s="13"/>
      <c r="K75" s="13"/>
    </row>
    <row r="76" spans="1:11" ht="12.75" x14ac:dyDescent="0.2">
      <c r="A76" s="68"/>
      <c r="B76" s="9" t="s">
        <v>1964</v>
      </c>
      <c r="C76" s="9" t="s">
        <v>2017</v>
      </c>
      <c r="D76" s="9" t="s">
        <v>24</v>
      </c>
      <c r="E76" s="9" t="s">
        <v>31</v>
      </c>
      <c r="F76" s="9" t="s">
        <v>47</v>
      </c>
      <c r="G76" s="41" t="s">
        <v>27</v>
      </c>
      <c r="H76" s="11"/>
      <c r="I76" s="13"/>
      <c r="J76" s="13"/>
      <c r="K76" s="13"/>
    </row>
    <row r="77" spans="1:11" ht="12.75" x14ac:dyDescent="0.2">
      <c r="A77" s="48" t="s">
        <v>59</v>
      </c>
      <c r="B77" s="9" t="s">
        <v>1964</v>
      </c>
      <c r="C77" s="9" t="s">
        <v>1981</v>
      </c>
      <c r="D77" s="9" t="s">
        <v>24</v>
      </c>
      <c r="E77" s="9" t="s">
        <v>31</v>
      </c>
      <c r="F77" s="9" t="s">
        <v>26</v>
      </c>
      <c r="G77" s="41" t="s">
        <v>27</v>
      </c>
      <c r="H77" s="11"/>
      <c r="I77" s="13"/>
      <c r="J77" s="13"/>
      <c r="K77" s="13"/>
    </row>
    <row r="78" spans="1:11" ht="12.75" x14ac:dyDescent="0.2">
      <c r="A78" s="52"/>
      <c r="B78" s="9" t="s">
        <v>1964</v>
      </c>
      <c r="C78" s="9" t="s">
        <v>2018</v>
      </c>
      <c r="D78" s="9" t="s">
        <v>24</v>
      </c>
      <c r="E78" s="9" t="s">
        <v>31</v>
      </c>
      <c r="F78" s="9" t="s">
        <v>26</v>
      </c>
      <c r="G78" s="41" t="s">
        <v>27</v>
      </c>
      <c r="H78" s="11"/>
      <c r="I78" s="13"/>
      <c r="J78" s="13"/>
      <c r="K78" s="13"/>
    </row>
    <row r="79" spans="1:11" ht="12.75" x14ac:dyDescent="0.2">
      <c r="A79" s="52"/>
      <c r="B79" s="9" t="s">
        <v>1964</v>
      </c>
      <c r="C79" s="9" t="s">
        <v>1982</v>
      </c>
      <c r="D79" s="9" t="s">
        <v>24</v>
      </c>
      <c r="E79" s="9" t="s">
        <v>31</v>
      </c>
      <c r="F79" s="9" t="s">
        <v>26</v>
      </c>
      <c r="G79" s="41" t="s">
        <v>27</v>
      </c>
      <c r="H79" s="11"/>
      <c r="I79" s="13"/>
      <c r="J79" s="13"/>
      <c r="K79" s="13"/>
    </row>
    <row r="80" spans="1:11" ht="12.75" x14ac:dyDescent="0.2">
      <c r="A80" s="52"/>
      <c r="B80" s="9" t="s">
        <v>1964</v>
      </c>
      <c r="C80" s="9" t="s">
        <v>1983</v>
      </c>
      <c r="D80" s="9" t="s">
        <v>24</v>
      </c>
      <c r="E80" s="9" t="s">
        <v>256</v>
      </c>
      <c r="F80" s="9" t="s">
        <v>87</v>
      </c>
      <c r="G80" s="41" t="s">
        <v>27</v>
      </c>
      <c r="H80" s="11"/>
      <c r="I80" s="13"/>
      <c r="J80" s="13"/>
      <c r="K80" s="13"/>
    </row>
    <row r="81" spans="1:11" ht="12.75" x14ac:dyDescent="0.2">
      <c r="A81" s="52"/>
      <c r="B81" s="9" t="s">
        <v>1964</v>
      </c>
      <c r="C81" s="9" t="s">
        <v>2019</v>
      </c>
      <c r="D81" s="9" t="s">
        <v>24</v>
      </c>
      <c r="E81" s="9" t="s">
        <v>256</v>
      </c>
      <c r="F81" s="9" t="s">
        <v>87</v>
      </c>
      <c r="G81" s="41" t="s">
        <v>27</v>
      </c>
      <c r="H81" s="11"/>
      <c r="I81" s="13"/>
      <c r="J81" s="13"/>
      <c r="K81" s="13"/>
    </row>
    <row r="82" spans="1:11" ht="12.75" x14ac:dyDescent="0.2">
      <c r="A82" s="52"/>
      <c r="B82" s="9" t="s">
        <v>1964</v>
      </c>
      <c r="C82" s="9" t="s">
        <v>2020</v>
      </c>
      <c r="D82" s="9" t="s">
        <v>24</v>
      </c>
      <c r="E82" s="9" t="s">
        <v>256</v>
      </c>
      <c r="F82" s="9" t="s">
        <v>87</v>
      </c>
      <c r="G82" s="41" t="s">
        <v>27</v>
      </c>
      <c r="H82" s="11"/>
      <c r="I82" s="13"/>
      <c r="J82" s="13"/>
      <c r="K82" s="13"/>
    </row>
    <row r="83" spans="1:11" ht="12.75" x14ac:dyDescent="0.2">
      <c r="A83" s="52"/>
      <c r="B83" s="9" t="s">
        <v>1964</v>
      </c>
      <c r="C83" s="9" t="s">
        <v>2003</v>
      </c>
      <c r="D83" s="9" t="s">
        <v>24</v>
      </c>
      <c r="E83" s="9" t="s">
        <v>256</v>
      </c>
      <c r="F83" s="9" t="s">
        <v>87</v>
      </c>
      <c r="G83" s="41" t="s">
        <v>27</v>
      </c>
      <c r="H83" s="11"/>
      <c r="I83" s="13"/>
      <c r="J83" s="13"/>
      <c r="K83" s="13"/>
    </row>
    <row r="84" spans="1:11" ht="12.75" x14ac:dyDescent="0.2">
      <c r="A84" s="52"/>
      <c r="B84" s="9" t="s">
        <v>1964</v>
      </c>
      <c r="C84" s="9" t="s">
        <v>2021</v>
      </c>
      <c r="D84" s="9" t="s">
        <v>24</v>
      </c>
      <c r="E84" s="9" t="s">
        <v>256</v>
      </c>
      <c r="F84" s="9" t="s">
        <v>87</v>
      </c>
      <c r="G84" s="41" t="s">
        <v>27</v>
      </c>
      <c r="H84" s="11"/>
      <c r="I84" s="13"/>
      <c r="J84" s="13"/>
      <c r="K84" s="13"/>
    </row>
    <row r="85" spans="1:11" ht="12.75" x14ac:dyDescent="0.2">
      <c r="A85" s="52"/>
      <c r="B85" s="9" t="s">
        <v>1964</v>
      </c>
      <c r="C85" s="9" t="s">
        <v>2022</v>
      </c>
      <c r="D85" s="9" t="s">
        <v>24</v>
      </c>
      <c r="E85" s="9" t="s">
        <v>256</v>
      </c>
      <c r="F85" s="9" t="s">
        <v>87</v>
      </c>
      <c r="G85" s="41" t="s">
        <v>27</v>
      </c>
      <c r="H85" s="11"/>
      <c r="I85" s="13"/>
      <c r="J85" s="13"/>
      <c r="K85" s="13"/>
    </row>
    <row r="86" spans="1:11" ht="12.75" x14ac:dyDescent="0.2">
      <c r="A86" s="52"/>
      <c r="B86" s="9" t="s">
        <v>1964</v>
      </c>
      <c r="C86" s="9" t="s">
        <v>2023</v>
      </c>
      <c r="D86" s="9" t="s">
        <v>24</v>
      </c>
      <c r="E86" s="9" t="s">
        <v>256</v>
      </c>
      <c r="F86" s="9" t="s">
        <v>87</v>
      </c>
      <c r="G86" s="41" t="s">
        <v>27</v>
      </c>
      <c r="H86" s="11"/>
      <c r="I86" s="13"/>
      <c r="J86" s="13"/>
      <c r="K86" s="13"/>
    </row>
    <row r="87" spans="1:11" ht="12.75" x14ac:dyDescent="0.2">
      <c r="A87" s="53"/>
      <c r="B87" s="9" t="s">
        <v>1964</v>
      </c>
      <c r="C87" s="9" t="s">
        <v>2004</v>
      </c>
      <c r="D87" s="9" t="s">
        <v>24</v>
      </c>
      <c r="E87" s="9" t="s">
        <v>256</v>
      </c>
      <c r="F87" s="9" t="s">
        <v>87</v>
      </c>
      <c r="G87" s="41" t="s">
        <v>27</v>
      </c>
      <c r="H87" s="11"/>
      <c r="I87" s="13"/>
      <c r="J87" s="13"/>
      <c r="K87" s="13"/>
    </row>
    <row r="88" spans="1:11" ht="12.75" x14ac:dyDescent="0.2">
      <c r="A88" s="48" t="s">
        <v>101</v>
      </c>
      <c r="B88" s="9" t="s">
        <v>1964</v>
      </c>
      <c r="C88" s="9" t="s">
        <v>2024</v>
      </c>
      <c r="D88" s="9" t="s">
        <v>24</v>
      </c>
      <c r="E88" s="9" t="s">
        <v>31</v>
      </c>
      <c r="F88" s="9" t="s">
        <v>87</v>
      </c>
      <c r="G88" s="41" t="s">
        <v>27</v>
      </c>
      <c r="H88" s="11"/>
      <c r="I88" s="13"/>
      <c r="J88" s="13"/>
      <c r="K88" s="13"/>
    </row>
    <row r="89" spans="1:11" ht="12.75" x14ac:dyDescent="0.2">
      <c r="A89" s="52"/>
      <c r="B89" s="9" t="s">
        <v>1964</v>
      </c>
      <c r="C89" s="9" t="s">
        <v>2025</v>
      </c>
      <c r="D89" s="9" t="s">
        <v>30</v>
      </c>
      <c r="E89" s="9" t="s">
        <v>31</v>
      </c>
      <c r="F89" s="9" t="s">
        <v>87</v>
      </c>
      <c r="G89" s="41" t="s">
        <v>27</v>
      </c>
      <c r="H89" s="11"/>
      <c r="I89" s="13"/>
      <c r="J89" s="13"/>
      <c r="K89" s="13"/>
    </row>
    <row r="90" spans="1:11" ht="12.75" x14ac:dyDescent="0.2">
      <c r="A90" s="52"/>
      <c r="B90" s="9" t="s">
        <v>1964</v>
      </c>
      <c r="C90" s="9" t="s">
        <v>1965</v>
      </c>
      <c r="D90" s="9" t="s">
        <v>24</v>
      </c>
      <c r="E90" s="9" t="s">
        <v>31</v>
      </c>
      <c r="F90" s="9" t="s">
        <v>87</v>
      </c>
      <c r="G90" s="41" t="s">
        <v>27</v>
      </c>
      <c r="H90" s="11"/>
      <c r="I90" s="13"/>
      <c r="J90" s="13"/>
      <c r="K90" s="13"/>
    </row>
    <row r="91" spans="1:11" ht="12.75" x14ac:dyDescent="0.2">
      <c r="A91" s="52"/>
      <c r="B91" s="9" t="s">
        <v>1964</v>
      </c>
      <c r="C91" s="12" t="s">
        <v>2026</v>
      </c>
      <c r="D91" s="12" t="s">
        <v>24</v>
      </c>
      <c r="E91" s="12" t="s">
        <v>25</v>
      </c>
      <c r="F91" s="9" t="s">
        <v>87</v>
      </c>
      <c r="G91" s="41" t="s">
        <v>27</v>
      </c>
      <c r="H91" s="11"/>
      <c r="I91" s="13"/>
      <c r="J91" s="13"/>
      <c r="K91" s="13"/>
    </row>
    <row r="92" spans="1:11" ht="12.75" x14ac:dyDescent="0.2">
      <c r="A92" s="53"/>
      <c r="B92" s="9" t="s">
        <v>1964</v>
      </c>
      <c r="C92" s="9" t="s">
        <v>1980</v>
      </c>
      <c r="D92" s="9" t="s">
        <v>24</v>
      </c>
      <c r="E92" s="9" t="s">
        <v>31</v>
      </c>
      <c r="F92" s="9" t="s">
        <v>87</v>
      </c>
      <c r="G92" s="41" t="s">
        <v>27</v>
      </c>
      <c r="H92" s="11"/>
      <c r="I92" s="13"/>
      <c r="J92" s="13"/>
      <c r="K92" s="13"/>
    </row>
    <row r="93" spans="1:11" ht="12.75" x14ac:dyDescent="0.2">
      <c r="A93" s="48" t="s">
        <v>62</v>
      </c>
      <c r="B93" s="9" t="s">
        <v>1964</v>
      </c>
      <c r="C93" s="9" t="s">
        <v>2027</v>
      </c>
      <c r="D93" s="9" t="s">
        <v>24</v>
      </c>
      <c r="E93" s="9" t="s">
        <v>256</v>
      </c>
      <c r="F93" s="9" t="s">
        <v>87</v>
      </c>
      <c r="G93" s="41" t="s">
        <v>27</v>
      </c>
      <c r="H93" s="11"/>
      <c r="I93" s="13"/>
      <c r="J93" s="13"/>
      <c r="K93" s="13"/>
    </row>
    <row r="94" spans="1:11" ht="12.75" x14ac:dyDescent="0.2">
      <c r="A94" s="52"/>
      <c r="B94" s="9" t="s">
        <v>1964</v>
      </c>
      <c r="C94" s="9" t="s">
        <v>2028</v>
      </c>
      <c r="D94" s="9" t="s">
        <v>24</v>
      </c>
      <c r="E94" s="9" t="s">
        <v>256</v>
      </c>
      <c r="F94" s="9" t="s">
        <v>87</v>
      </c>
      <c r="G94" s="41" t="s">
        <v>27</v>
      </c>
      <c r="H94" s="11"/>
      <c r="I94" s="13"/>
      <c r="J94" s="13"/>
      <c r="K94" s="13"/>
    </row>
    <row r="95" spans="1:11" ht="12.75" x14ac:dyDescent="0.2">
      <c r="A95" s="52"/>
      <c r="B95" s="9" t="s">
        <v>1964</v>
      </c>
      <c r="C95" s="9" t="s">
        <v>1982</v>
      </c>
      <c r="D95" s="9" t="s">
        <v>24</v>
      </c>
      <c r="E95" s="9" t="s">
        <v>256</v>
      </c>
      <c r="F95" s="9" t="s">
        <v>87</v>
      </c>
      <c r="G95" s="41" t="s">
        <v>27</v>
      </c>
      <c r="H95" s="11"/>
      <c r="I95" s="13"/>
      <c r="J95" s="13"/>
      <c r="K95" s="13"/>
    </row>
    <row r="96" spans="1:11" ht="12.75" x14ac:dyDescent="0.2">
      <c r="A96" s="52"/>
      <c r="B96" s="9" t="s">
        <v>1964</v>
      </c>
      <c r="C96" s="9" t="s">
        <v>2029</v>
      </c>
      <c r="D96" s="9" t="s">
        <v>24</v>
      </c>
      <c r="E96" s="9" t="s">
        <v>256</v>
      </c>
      <c r="F96" s="9" t="s">
        <v>87</v>
      </c>
      <c r="G96" s="41" t="s">
        <v>27</v>
      </c>
      <c r="H96" s="11"/>
      <c r="I96" s="13"/>
      <c r="J96" s="13"/>
      <c r="K96" s="13"/>
    </row>
    <row r="97" spans="1:11" ht="12.75" x14ac:dyDescent="0.2">
      <c r="A97" s="52"/>
      <c r="B97" s="9" t="s">
        <v>1964</v>
      </c>
      <c r="C97" s="9" t="s">
        <v>2019</v>
      </c>
      <c r="D97" s="9" t="s">
        <v>24</v>
      </c>
      <c r="E97" s="9" t="s">
        <v>256</v>
      </c>
      <c r="F97" s="9" t="s">
        <v>87</v>
      </c>
      <c r="G97" s="41" t="s">
        <v>27</v>
      </c>
      <c r="H97" s="11"/>
      <c r="I97" s="13"/>
      <c r="J97" s="13"/>
      <c r="K97" s="13"/>
    </row>
    <row r="98" spans="1:11" ht="12.75" x14ac:dyDescent="0.2">
      <c r="A98" s="53"/>
      <c r="B98" s="9" t="s">
        <v>1964</v>
      </c>
      <c r="C98" s="9" t="s">
        <v>1984</v>
      </c>
      <c r="D98" s="9" t="s">
        <v>24</v>
      </c>
      <c r="E98" s="9" t="s">
        <v>256</v>
      </c>
      <c r="F98" s="9" t="s">
        <v>87</v>
      </c>
      <c r="G98" s="41" t="s">
        <v>27</v>
      </c>
      <c r="H98" s="11"/>
      <c r="I98" s="13"/>
      <c r="J98" s="13"/>
      <c r="K98" s="13"/>
    </row>
    <row r="99" spans="1:11" ht="12.75" x14ac:dyDescent="0.2">
      <c r="A99" s="48" t="s">
        <v>70</v>
      </c>
      <c r="B99" s="9" t="s">
        <v>1964</v>
      </c>
      <c r="C99" s="9" t="s">
        <v>2027</v>
      </c>
      <c r="D99" s="9" t="s">
        <v>24</v>
      </c>
      <c r="E99" s="9" t="s">
        <v>31</v>
      </c>
      <c r="F99" s="9" t="s">
        <v>87</v>
      </c>
      <c r="G99" s="41" t="s">
        <v>27</v>
      </c>
      <c r="H99" s="11"/>
      <c r="I99" s="13"/>
      <c r="J99" s="13"/>
      <c r="K99" s="13"/>
    </row>
    <row r="100" spans="1:11" ht="12.75" x14ac:dyDescent="0.2">
      <c r="A100" s="52"/>
      <c r="B100" s="9" t="s">
        <v>1964</v>
      </c>
      <c r="C100" s="9" t="s">
        <v>1980</v>
      </c>
      <c r="D100" s="9" t="s">
        <v>24</v>
      </c>
      <c r="E100" s="9" t="s">
        <v>31</v>
      </c>
      <c r="F100" s="9" t="s">
        <v>87</v>
      </c>
      <c r="G100" s="41" t="s">
        <v>27</v>
      </c>
      <c r="H100" s="11"/>
      <c r="I100" s="13"/>
      <c r="J100" s="13"/>
      <c r="K100" s="13"/>
    </row>
    <row r="101" spans="1:11" ht="12.75" x14ac:dyDescent="0.2">
      <c r="A101" s="52"/>
      <c r="B101" s="9" t="s">
        <v>1964</v>
      </c>
      <c r="C101" s="9" t="s">
        <v>1504</v>
      </c>
      <c r="D101" s="9" t="s">
        <v>30</v>
      </c>
      <c r="E101" s="9" t="s">
        <v>31</v>
      </c>
      <c r="F101" s="9" t="s">
        <v>87</v>
      </c>
      <c r="G101" s="41" t="s">
        <v>27</v>
      </c>
      <c r="H101" s="11"/>
      <c r="I101" s="13"/>
      <c r="J101" s="13"/>
      <c r="K101" s="13"/>
    </row>
    <row r="102" spans="1:11" ht="12.75" x14ac:dyDescent="0.2">
      <c r="A102" s="52"/>
      <c r="B102" s="9" t="s">
        <v>1964</v>
      </c>
      <c r="C102" s="9" t="s">
        <v>2028</v>
      </c>
      <c r="D102" s="9" t="s">
        <v>24</v>
      </c>
      <c r="E102" s="9" t="s">
        <v>31</v>
      </c>
      <c r="F102" s="9" t="s">
        <v>87</v>
      </c>
      <c r="G102" s="41" t="s">
        <v>27</v>
      </c>
      <c r="H102" s="11"/>
      <c r="I102" s="13"/>
      <c r="J102" s="13"/>
      <c r="K102" s="13"/>
    </row>
    <row r="103" spans="1:11" ht="12.75" x14ac:dyDescent="0.2">
      <c r="A103" s="52"/>
      <c r="B103" s="9" t="s">
        <v>1964</v>
      </c>
      <c r="C103" s="9" t="s">
        <v>1983</v>
      </c>
      <c r="D103" s="9" t="s">
        <v>24</v>
      </c>
      <c r="E103" s="9" t="s">
        <v>31</v>
      </c>
      <c r="F103" s="9" t="s">
        <v>87</v>
      </c>
      <c r="G103" s="41" t="s">
        <v>27</v>
      </c>
      <c r="H103" s="11"/>
      <c r="I103" s="13"/>
      <c r="J103" s="13"/>
      <c r="K103" s="13"/>
    </row>
    <row r="104" spans="1:11" ht="12.75" x14ac:dyDescent="0.2">
      <c r="A104" s="53"/>
      <c r="B104" s="9" t="s">
        <v>1964</v>
      </c>
      <c r="C104" s="9" t="s">
        <v>2019</v>
      </c>
      <c r="D104" s="9" t="s">
        <v>24</v>
      </c>
      <c r="E104" s="9" t="s">
        <v>31</v>
      </c>
      <c r="F104" s="9" t="s">
        <v>87</v>
      </c>
      <c r="G104" s="41" t="s">
        <v>27</v>
      </c>
      <c r="H104" s="11"/>
      <c r="I104" s="13"/>
      <c r="J104" s="13"/>
      <c r="K104" s="13"/>
    </row>
    <row r="105" spans="1:11" ht="12.75" x14ac:dyDescent="0.2">
      <c r="A105" s="48" t="s">
        <v>73</v>
      </c>
      <c r="B105" s="9" t="s">
        <v>1964</v>
      </c>
      <c r="C105" s="12" t="s">
        <v>1485</v>
      </c>
      <c r="D105" s="12" t="s">
        <v>24</v>
      </c>
      <c r="E105" s="12" t="s">
        <v>25</v>
      </c>
      <c r="F105" s="12" t="s">
        <v>26</v>
      </c>
      <c r="G105" s="41" t="s">
        <v>27</v>
      </c>
      <c r="H105" s="11"/>
      <c r="I105" s="27"/>
      <c r="J105" s="27"/>
      <c r="K105" s="27"/>
    </row>
    <row r="106" spans="1:11" ht="12.75" x14ac:dyDescent="0.2">
      <c r="A106" s="52"/>
      <c r="B106" s="9" t="s">
        <v>1964</v>
      </c>
      <c r="C106" s="12" t="s">
        <v>1987</v>
      </c>
      <c r="D106" s="12" t="s">
        <v>24</v>
      </c>
      <c r="E106" s="12" t="s">
        <v>25</v>
      </c>
      <c r="F106" s="12" t="s">
        <v>26</v>
      </c>
      <c r="G106" s="41" t="s">
        <v>27</v>
      </c>
      <c r="H106" s="11"/>
      <c r="I106" s="27"/>
      <c r="J106" s="27"/>
      <c r="K106" s="27"/>
    </row>
    <row r="107" spans="1:11" ht="12.75" x14ac:dyDescent="0.2">
      <c r="A107" s="52"/>
      <c r="B107" s="9" t="s">
        <v>1964</v>
      </c>
      <c r="C107" s="12" t="s">
        <v>2030</v>
      </c>
      <c r="D107" s="12" t="s">
        <v>24</v>
      </c>
      <c r="E107" s="12" t="s">
        <v>25</v>
      </c>
      <c r="F107" s="12" t="s">
        <v>26</v>
      </c>
      <c r="G107" s="41" t="s">
        <v>27</v>
      </c>
      <c r="H107" s="11"/>
      <c r="I107" s="27"/>
      <c r="J107" s="27"/>
      <c r="K107" s="27"/>
    </row>
    <row r="108" spans="1:11" ht="12.75" x14ac:dyDescent="0.2">
      <c r="A108" s="52"/>
      <c r="B108" s="9" t="s">
        <v>1964</v>
      </c>
      <c r="C108" s="12" t="s">
        <v>2031</v>
      </c>
      <c r="D108" s="12" t="s">
        <v>24</v>
      </c>
      <c r="E108" s="12" t="s">
        <v>25</v>
      </c>
      <c r="F108" s="12" t="s">
        <v>26</v>
      </c>
      <c r="G108" s="41" t="s">
        <v>27</v>
      </c>
      <c r="H108" s="11"/>
      <c r="I108" s="27"/>
      <c r="J108" s="27"/>
      <c r="K108" s="27"/>
    </row>
    <row r="109" spans="1:11" ht="12.75" x14ac:dyDescent="0.2">
      <c r="A109" s="52"/>
      <c r="B109" s="9" t="s">
        <v>1964</v>
      </c>
      <c r="C109" s="12" t="s">
        <v>1990</v>
      </c>
      <c r="D109" s="12" t="s">
        <v>24</v>
      </c>
      <c r="E109" s="12" t="s">
        <v>25</v>
      </c>
      <c r="F109" s="12" t="s">
        <v>26</v>
      </c>
      <c r="G109" s="41" t="s">
        <v>27</v>
      </c>
      <c r="H109" s="11"/>
      <c r="I109" s="27"/>
      <c r="J109" s="27"/>
      <c r="K109" s="27"/>
    </row>
    <row r="110" spans="1:11" ht="12.75" x14ac:dyDescent="0.2">
      <c r="A110" s="52"/>
      <c r="B110" s="9" t="s">
        <v>1964</v>
      </c>
      <c r="C110" s="12" t="s">
        <v>2032</v>
      </c>
      <c r="D110" s="12" t="s">
        <v>24</v>
      </c>
      <c r="E110" s="12" t="s">
        <v>25</v>
      </c>
      <c r="F110" s="12" t="s">
        <v>26</v>
      </c>
      <c r="G110" s="41" t="s">
        <v>27</v>
      </c>
      <c r="H110" s="11"/>
      <c r="I110" s="27"/>
      <c r="J110" s="27"/>
      <c r="K110" s="27"/>
    </row>
    <row r="111" spans="1:11" ht="12.75" x14ac:dyDescent="0.2">
      <c r="A111" s="52"/>
      <c r="B111" s="9" t="s">
        <v>1964</v>
      </c>
      <c r="C111" s="12" t="s">
        <v>2033</v>
      </c>
      <c r="D111" s="12" t="s">
        <v>24</v>
      </c>
      <c r="E111" s="12" t="s">
        <v>25</v>
      </c>
      <c r="F111" s="12" t="s">
        <v>26</v>
      </c>
      <c r="G111" s="41" t="s">
        <v>27</v>
      </c>
      <c r="H111" s="11"/>
      <c r="I111" s="27"/>
      <c r="J111" s="27"/>
      <c r="K111" s="27"/>
    </row>
    <row r="112" spans="1:11" ht="12.75" x14ac:dyDescent="0.2">
      <c r="A112" s="52"/>
      <c r="B112" s="9" t="s">
        <v>1964</v>
      </c>
      <c r="C112" s="12" t="s">
        <v>1993</v>
      </c>
      <c r="D112" s="12" t="s">
        <v>24</v>
      </c>
      <c r="E112" s="12" t="s">
        <v>25</v>
      </c>
      <c r="F112" s="12" t="s">
        <v>26</v>
      </c>
      <c r="G112" s="41" t="s">
        <v>27</v>
      </c>
      <c r="H112" s="11"/>
      <c r="I112" s="27"/>
      <c r="J112" s="27"/>
      <c r="K112" s="27"/>
    </row>
    <row r="113" spans="1:12" ht="12.75" x14ac:dyDescent="0.2">
      <c r="A113" s="52"/>
      <c r="B113" s="9" t="s">
        <v>1964</v>
      </c>
      <c r="C113" s="12" t="s">
        <v>2027</v>
      </c>
      <c r="D113" s="12" t="s">
        <v>24</v>
      </c>
      <c r="E113" s="12" t="s">
        <v>25</v>
      </c>
      <c r="F113" s="12" t="s">
        <v>26</v>
      </c>
      <c r="G113" s="41" t="s">
        <v>27</v>
      </c>
      <c r="H113" s="11"/>
      <c r="I113" s="27"/>
      <c r="J113" s="27"/>
      <c r="K113" s="27"/>
    </row>
    <row r="114" spans="1:12" ht="12.75" x14ac:dyDescent="0.2">
      <c r="A114" s="52"/>
      <c r="B114" s="9" t="s">
        <v>1964</v>
      </c>
      <c r="C114" s="12" t="s">
        <v>1980</v>
      </c>
      <c r="D114" s="12" t="s">
        <v>24</v>
      </c>
      <c r="E114" s="12" t="s">
        <v>25</v>
      </c>
      <c r="F114" s="12" t="s">
        <v>26</v>
      </c>
      <c r="G114" s="41" t="s">
        <v>27</v>
      </c>
      <c r="H114" s="11"/>
      <c r="I114" s="27"/>
      <c r="J114" s="27"/>
      <c r="K114" s="27"/>
    </row>
    <row r="115" spans="1:12" ht="12.75" x14ac:dyDescent="0.2">
      <c r="A115" s="52"/>
      <c r="B115" s="9" t="s">
        <v>1964</v>
      </c>
      <c r="C115" s="12" t="s">
        <v>2034</v>
      </c>
      <c r="D115" s="12" t="s">
        <v>24</v>
      </c>
      <c r="E115" s="12" t="s">
        <v>25</v>
      </c>
      <c r="F115" s="12" t="s">
        <v>26</v>
      </c>
      <c r="G115" s="41" t="s">
        <v>27</v>
      </c>
      <c r="H115" s="11"/>
      <c r="I115" s="27"/>
      <c r="J115" s="27"/>
      <c r="K115" s="27"/>
    </row>
    <row r="116" spans="1:12" ht="12.75" x14ac:dyDescent="0.2">
      <c r="A116" s="52"/>
      <c r="B116" s="9" t="s">
        <v>1964</v>
      </c>
      <c r="C116" s="12" t="s">
        <v>1504</v>
      </c>
      <c r="D116" s="12" t="s">
        <v>30</v>
      </c>
      <c r="E116" s="12" t="s">
        <v>25</v>
      </c>
      <c r="F116" s="12" t="s">
        <v>26</v>
      </c>
      <c r="G116" s="41" t="s">
        <v>27</v>
      </c>
      <c r="H116" s="11"/>
      <c r="I116" s="27"/>
      <c r="J116" s="27"/>
      <c r="K116" s="27"/>
    </row>
    <row r="117" spans="1:12" ht="12.75" x14ac:dyDescent="0.2">
      <c r="A117" s="52"/>
      <c r="B117" s="9" t="s">
        <v>1964</v>
      </c>
      <c r="C117" s="12" t="s">
        <v>2035</v>
      </c>
      <c r="D117" s="12" t="s">
        <v>24</v>
      </c>
      <c r="E117" s="12" t="s">
        <v>25</v>
      </c>
      <c r="F117" s="12" t="s">
        <v>26</v>
      </c>
      <c r="G117" s="41" t="s">
        <v>27</v>
      </c>
      <c r="H117" s="11"/>
      <c r="I117" s="27"/>
      <c r="J117" s="27"/>
      <c r="K117" s="27"/>
    </row>
    <row r="118" spans="1:12" ht="12.75" x14ac:dyDescent="0.2">
      <c r="A118" s="52"/>
      <c r="B118" s="9" t="s">
        <v>1964</v>
      </c>
      <c r="C118" s="12" t="s">
        <v>2036</v>
      </c>
      <c r="D118" s="12" t="s">
        <v>24</v>
      </c>
      <c r="E118" s="12" t="s">
        <v>25</v>
      </c>
      <c r="F118" s="12" t="s">
        <v>26</v>
      </c>
      <c r="G118" s="41" t="s">
        <v>27</v>
      </c>
      <c r="H118" s="11"/>
      <c r="I118" s="27"/>
      <c r="J118" s="27"/>
      <c r="K118" s="27"/>
    </row>
    <row r="119" spans="1:12" ht="12.75" x14ac:dyDescent="0.2">
      <c r="A119" s="52"/>
      <c r="B119" s="9" t="s">
        <v>1964</v>
      </c>
      <c r="C119" s="12" t="s">
        <v>2037</v>
      </c>
      <c r="D119" s="12" t="s">
        <v>24</v>
      </c>
      <c r="E119" s="12" t="s">
        <v>25</v>
      </c>
      <c r="F119" s="12" t="s">
        <v>26</v>
      </c>
      <c r="G119" s="41" t="s">
        <v>27</v>
      </c>
      <c r="H119" s="11"/>
      <c r="I119" s="27"/>
      <c r="J119" s="27"/>
      <c r="K119" s="27"/>
    </row>
    <row r="120" spans="1:12" ht="12.75" x14ac:dyDescent="0.2">
      <c r="A120" s="52"/>
      <c r="B120" s="9" t="s">
        <v>1964</v>
      </c>
      <c r="C120" s="12" t="s">
        <v>2038</v>
      </c>
      <c r="D120" s="12" t="s">
        <v>24</v>
      </c>
      <c r="E120" s="12" t="s">
        <v>25</v>
      </c>
      <c r="F120" s="12" t="s">
        <v>26</v>
      </c>
      <c r="G120" s="41" t="s">
        <v>27</v>
      </c>
      <c r="H120" s="11"/>
      <c r="I120" s="27"/>
      <c r="J120" s="27"/>
      <c r="K120" s="27"/>
    </row>
    <row r="121" spans="1:12" ht="12.75" x14ac:dyDescent="0.2">
      <c r="A121" s="52"/>
      <c r="B121" s="9" t="s">
        <v>1964</v>
      </c>
      <c r="C121" s="12" t="s">
        <v>2035</v>
      </c>
      <c r="D121" s="12" t="s">
        <v>24</v>
      </c>
      <c r="E121" s="12" t="s">
        <v>25</v>
      </c>
      <c r="F121" s="12" t="s">
        <v>26</v>
      </c>
      <c r="G121" s="41" t="s">
        <v>27</v>
      </c>
      <c r="H121" s="11"/>
      <c r="I121" s="27"/>
      <c r="J121" s="27"/>
      <c r="K121" s="27"/>
      <c r="L121" s="13"/>
    </row>
    <row r="122" spans="1:12" ht="12.75" x14ac:dyDescent="0.2">
      <c r="A122" s="52"/>
      <c r="B122" s="9" t="s">
        <v>1964</v>
      </c>
      <c r="C122" s="12" t="s">
        <v>2028</v>
      </c>
      <c r="D122" s="12" t="s">
        <v>24</v>
      </c>
      <c r="E122" s="12" t="s">
        <v>25</v>
      </c>
      <c r="F122" s="12" t="s">
        <v>26</v>
      </c>
      <c r="G122" s="41" t="s">
        <v>27</v>
      </c>
      <c r="H122" s="11"/>
      <c r="I122" s="27"/>
      <c r="J122" s="27"/>
      <c r="K122" s="27"/>
      <c r="L122" s="13"/>
    </row>
    <row r="123" spans="1:12" ht="12.75" x14ac:dyDescent="0.2">
      <c r="A123" s="53"/>
      <c r="B123" s="9" t="s">
        <v>1964</v>
      </c>
      <c r="C123" s="12" t="s">
        <v>1982</v>
      </c>
      <c r="D123" s="12" t="s">
        <v>24</v>
      </c>
      <c r="E123" s="12" t="s">
        <v>25</v>
      </c>
      <c r="F123" s="12" t="s">
        <v>26</v>
      </c>
      <c r="G123" s="41" t="s">
        <v>27</v>
      </c>
      <c r="H123" s="11"/>
      <c r="I123" s="27"/>
      <c r="J123" s="27"/>
      <c r="K123" s="27"/>
      <c r="L123" s="13"/>
    </row>
    <row r="124" spans="1:12" ht="12.75" x14ac:dyDescent="0.2">
      <c r="A124" s="48" t="s">
        <v>77</v>
      </c>
      <c r="B124" s="9" t="s">
        <v>1964</v>
      </c>
      <c r="C124" s="9" t="s">
        <v>1980</v>
      </c>
      <c r="D124" s="9" t="s">
        <v>24</v>
      </c>
      <c r="E124" s="9" t="s">
        <v>31</v>
      </c>
      <c r="F124" s="9" t="s">
        <v>87</v>
      </c>
      <c r="G124" s="41" t="s">
        <v>27</v>
      </c>
      <c r="H124" s="11"/>
      <c r="I124" s="27"/>
      <c r="J124" s="27"/>
      <c r="K124" s="27"/>
      <c r="L124" s="13"/>
    </row>
    <row r="125" spans="1:12" ht="12.75" x14ac:dyDescent="0.2">
      <c r="A125" s="52"/>
      <c r="B125" s="9" t="s">
        <v>1964</v>
      </c>
      <c r="C125" s="9" t="s">
        <v>2034</v>
      </c>
      <c r="D125" s="9" t="s">
        <v>24</v>
      </c>
      <c r="E125" s="9" t="s">
        <v>25</v>
      </c>
      <c r="F125" s="9" t="s">
        <v>87</v>
      </c>
      <c r="G125" s="41" t="s">
        <v>27</v>
      </c>
      <c r="H125" s="11"/>
      <c r="I125" s="27"/>
      <c r="J125" s="27"/>
      <c r="K125" s="27"/>
      <c r="L125" s="13"/>
    </row>
    <row r="126" spans="1:12" ht="12.75" x14ac:dyDescent="0.2">
      <c r="A126" s="52"/>
      <c r="B126" s="9" t="s">
        <v>1964</v>
      </c>
      <c r="C126" s="9" t="s">
        <v>1504</v>
      </c>
      <c r="D126" s="9" t="s">
        <v>30</v>
      </c>
      <c r="E126" s="9" t="s">
        <v>25</v>
      </c>
      <c r="F126" s="9" t="s">
        <v>87</v>
      </c>
      <c r="G126" s="41" t="s">
        <v>27</v>
      </c>
      <c r="H126" s="11"/>
      <c r="I126" s="27"/>
      <c r="J126" s="27"/>
      <c r="K126" s="27"/>
      <c r="L126" s="13"/>
    </row>
    <row r="127" spans="1:12" ht="12.75" x14ac:dyDescent="0.2">
      <c r="A127" s="52"/>
      <c r="B127" s="9" t="s">
        <v>1964</v>
      </c>
      <c r="C127" s="9" t="s">
        <v>2039</v>
      </c>
      <c r="D127" s="9" t="s">
        <v>24</v>
      </c>
      <c r="E127" s="9" t="s">
        <v>25</v>
      </c>
      <c r="F127" s="9" t="s">
        <v>87</v>
      </c>
      <c r="G127" s="41" t="s">
        <v>27</v>
      </c>
      <c r="H127" s="11"/>
      <c r="I127" s="27"/>
      <c r="J127" s="27"/>
      <c r="K127" s="27"/>
      <c r="L127" s="13"/>
    </row>
    <row r="128" spans="1:12" ht="12.75" x14ac:dyDescent="0.2">
      <c r="A128" s="52"/>
      <c r="B128" s="9" t="s">
        <v>1964</v>
      </c>
      <c r="C128" s="9" t="s">
        <v>2040</v>
      </c>
      <c r="D128" s="9" t="s">
        <v>30</v>
      </c>
      <c r="E128" s="9" t="s">
        <v>31</v>
      </c>
      <c r="F128" s="9" t="s">
        <v>87</v>
      </c>
      <c r="G128" s="41" t="s">
        <v>27</v>
      </c>
      <c r="H128" s="11"/>
      <c r="I128" s="27"/>
      <c r="J128" s="27"/>
      <c r="K128" s="27"/>
      <c r="L128" s="13"/>
    </row>
    <row r="129" spans="1:12" ht="12.75" x14ac:dyDescent="0.2">
      <c r="A129" s="52"/>
      <c r="B129" s="9" t="s">
        <v>1964</v>
      </c>
      <c r="C129" s="9" t="s">
        <v>1982</v>
      </c>
      <c r="D129" s="9" t="s">
        <v>24</v>
      </c>
      <c r="E129" s="9" t="s">
        <v>31</v>
      </c>
      <c r="F129" s="9" t="s">
        <v>87</v>
      </c>
      <c r="G129" s="41" t="s">
        <v>27</v>
      </c>
      <c r="H129" s="11"/>
      <c r="I129" s="27"/>
      <c r="J129" s="27"/>
      <c r="K129" s="27"/>
      <c r="L129" s="13"/>
    </row>
    <row r="130" spans="1:12" ht="12.75" x14ac:dyDescent="0.2">
      <c r="A130" s="52"/>
      <c r="B130" s="9" t="s">
        <v>1964</v>
      </c>
      <c r="C130" s="9" t="s">
        <v>2019</v>
      </c>
      <c r="D130" s="9" t="s">
        <v>24</v>
      </c>
      <c r="E130" s="9" t="s">
        <v>31</v>
      </c>
      <c r="F130" s="9" t="s">
        <v>87</v>
      </c>
      <c r="G130" s="41" t="s">
        <v>27</v>
      </c>
      <c r="H130" s="11"/>
      <c r="I130" s="27"/>
      <c r="J130" s="27"/>
      <c r="K130" s="27"/>
      <c r="L130" s="13"/>
    </row>
    <row r="131" spans="1:12" ht="12.75" x14ac:dyDescent="0.2">
      <c r="A131" s="52"/>
      <c r="B131" s="9" t="s">
        <v>1964</v>
      </c>
      <c r="C131" s="9" t="s">
        <v>2041</v>
      </c>
      <c r="D131" s="9" t="s">
        <v>24</v>
      </c>
      <c r="E131" s="9" t="s">
        <v>31</v>
      </c>
      <c r="F131" s="9" t="s">
        <v>87</v>
      </c>
      <c r="G131" s="41" t="s">
        <v>27</v>
      </c>
      <c r="H131" s="11"/>
      <c r="I131" s="27"/>
      <c r="J131" s="27"/>
      <c r="K131" s="27"/>
      <c r="L131" s="13"/>
    </row>
    <row r="132" spans="1:12" ht="12.75" x14ac:dyDescent="0.2">
      <c r="A132" s="52"/>
      <c r="B132" s="9" t="s">
        <v>1964</v>
      </c>
      <c r="C132" s="9" t="s">
        <v>2042</v>
      </c>
      <c r="D132" s="9" t="s">
        <v>24</v>
      </c>
      <c r="E132" s="9" t="s">
        <v>31</v>
      </c>
      <c r="F132" s="9" t="s">
        <v>26</v>
      </c>
      <c r="G132" s="41" t="s">
        <v>27</v>
      </c>
      <c r="H132" s="11"/>
      <c r="I132" s="27"/>
      <c r="J132" s="27"/>
      <c r="K132" s="27"/>
      <c r="L132" s="13"/>
    </row>
    <row r="133" spans="1:12" ht="12.75" x14ac:dyDescent="0.2">
      <c r="A133" s="52"/>
      <c r="B133" s="9" t="s">
        <v>1964</v>
      </c>
      <c r="C133" s="9" t="s">
        <v>2043</v>
      </c>
      <c r="D133" s="9" t="s">
        <v>24</v>
      </c>
      <c r="E133" s="9" t="s">
        <v>31</v>
      </c>
      <c r="F133" s="9" t="s">
        <v>47</v>
      </c>
      <c r="G133" s="41" t="s">
        <v>27</v>
      </c>
      <c r="H133" s="11"/>
      <c r="I133" s="27"/>
      <c r="J133" s="27"/>
      <c r="K133" s="27"/>
      <c r="L133" s="13"/>
    </row>
    <row r="134" spans="1:12" ht="12.75" x14ac:dyDescent="0.2">
      <c r="A134" s="53"/>
      <c r="B134" s="9" t="s">
        <v>1964</v>
      </c>
      <c r="C134" s="9" t="s">
        <v>2044</v>
      </c>
      <c r="D134" s="9" t="s">
        <v>24</v>
      </c>
      <c r="E134" s="9" t="s">
        <v>31</v>
      </c>
      <c r="F134" s="9" t="s">
        <v>47</v>
      </c>
      <c r="G134" s="41" t="s">
        <v>27</v>
      </c>
      <c r="H134" s="11"/>
      <c r="I134" s="27"/>
      <c r="J134" s="27"/>
      <c r="K134" s="27"/>
      <c r="L134" s="13"/>
    </row>
    <row r="135" spans="1:12" ht="12.75" x14ac:dyDescent="0.2">
      <c r="A135" s="48" t="s">
        <v>79</v>
      </c>
      <c r="B135" s="9" t="s">
        <v>1964</v>
      </c>
      <c r="C135" s="9" t="s">
        <v>1980</v>
      </c>
      <c r="D135" s="9" t="s">
        <v>24</v>
      </c>
      <c r="E135" s="9" t="s">
        <v>31</v>
      </c>
      <c r="F135" s="9" t="s">
        <v>87</v>
      </c>
      <c r="G135" s="41" t="s">
        <v>27</v>
      </c>
      <c r="H135" s="11"/>
      <c r="I135" s="27"/>
      <c r="J135" s="27"/>
      <c r="K135" s="27"/>
      <c r="L135" s="13"/>
    </row>
    <row r="136" spans="1:12" ht="12.75" x14ac:dyDescent="0.2">
      <c r="A136" s="52"/>
      <c r="B136" s="9" t="s">
        <v>1964</v>
      </c>
      <c r="C136" s="9" t="s">
        <v>2034</v>
      </c>
      <c r="D136" s="9" t="s">
        <v>24</v>
      </c>
      <c r="E136" s="9" t="s">
        <v>31</v>
      </c>
      <c r="F136" s="9" t="s">
        <v>87</v>
      </c>
      <c r="G136" s="41" t="s">
        <v>27</v>
      </c>
      <c r="H136" s="11"/>
      <c r="I136" s="27"/>
      <c r="J136" s="27"/>
      <c r="K136" s="27"/>
      <c r="L136" s="13"/>
    </row>
    <row r="137" spans="1:12" ht="12.75" x14ac:dyDescent="0.2">
      <c r="A137" s="52"/>
      <c r="B137" s="9" t="s">
        <v>1964</v>
      </c>
      <c r="C137" s="9" t="s">
        <v>2035</v>
      </c>
      <c r="D137" s="9" t="s">
        <v>24</v>
      </c>
      <c r="E137" s="9" t="s">
        <v>31</v>
      </c>
      <c r="F137" s="9" t="s">
        <v>87</v>
      </c>
      <c r="G137" s="41" t="s">
        <v>27</v>
      </c>
      <c r="H137" s="11"/>
      <c r="I137" s="27"/>
      <c r="J137" s="27"/>
      <c r="K137" s="27"/>
      <c r="L137" s="13"/>
    </row>
    <row r="138" spans="1:12" ht="12.75" x14ac:dyDescent="0.2">
      <c r="A138" s="53"/>
      <c r="B138" s="9" t="s">
        <v>1964</v>
      </c>
      <c r="C138" s="9" t="s">
        <v>2028</v>
      </c>
      <c r="D138" s="9" t="s">
        <v>24</v>
      </c>
      <c r="E138" s="9" t="s">
        <v>31</v>
      </c>
      <c r="F138" s="9" t="s">
        <v>87</v>
      </c>
      <c r="G138" s="41" t="s">
        <v>27</v>
      </c>
      <c r="H138" s="13"/>
      <c r="I138" s="27"/>
      <c r="J138" s="27"/>
      <c r="K138" s="27"/>
      <c r="L138" s="13"/>
    </row>
    <row r="139" spans="1:12" ht="12.75" x14ac:dyDescent="0.2">
      <c r="A139" s="48" t="s">
        <v>83</v>
      </c>
      <c r="B139" s="9" t="s">
        <v>1964</v>
      </c>
      <c r="C139" s="12" t="s">
        <v>1987</v>
      </c>
      <c r="D139" s="12" t="s">
        <v>24</v>
      </c>
      <c r="E139" s="12" t="s">
        <v>25</v>
      </c>
      <c r="F139" s="12" t="s">
        <v>26</v>
      </c>
      <c r="G139" s="41" t="s">
        <v>27</v>
      </c>
      <c r="H139" s="13"/>
      <c r="I139" s="27"/>
      <c r="J139" s="27"/>
      <c r="K139" s="27"/>
      <c r="L139" s="13"/>
    </row>
    <row r="140" spans="1:12" ht="12.75" x14ac:dyDescent="0.2">
      <c r="A140" s="52"/>
      <c r="B140" s="9" t="s">
        <v>1964</v>
      </c>
      <c r="C140" s="12" t="s">
        <v>1991</v>
      </c>
      <c r="D140" s="12" t="s">
        <v>24</v>
      </c>
      <c r="E140" s="12" t="s">
        <v>25</v>
      </c>
      <c r="F140" s="12" t="s">
        <v>26</v>
      </c>
      <c r="G140" s="41" t="s">
        <v>27</v>
      </c>
      <c r="H140" s="13"/>
      <c r="I140" s="27"/>
      <c r="J140" s="27"/>
      <c r="K140" s="27"/>
      <c r="L140" s="13"/>
    </row>
    <row r="141" spans="1:12" ht="12.75" x14ac:dyDescent="0.2">
      <c r="A141" s="52"/>
      <c r="B141" s="9" t="s">
        <v>1964</v>
      </c>
      <c r="C141" s="12" t="s">
        <v>1990</v>
      </c>
      <c r="D141" s="12" t="s">
        <v>24</v>
      </c>
      <c r="E141" s="12" t="s">
        <v>25</v>
      </c>
      <c r="F141" s="12" t="s">
        <v>26</v>
      </c>
      <c r="G141" s="41" t="s">
        <v>27</v>
      </c>
      <c r="H141" s="13"/>
      <c r="I141" s="27"/>
      <c r="J141" s="27"/>
      <c r="K141" s="27"/>
      <c r="L141" s="13"/>
    </row>
    <row r="142" spans="1:12" ht="12.75" x14ac:dyDescent="0.2">
      <c r="A142" s="52"/>
      <c r="B142" s="9" t="s">
        <v>1964</v>
      </c>
      <c r="C142" s="12" t="s">
        <v>2030</v>
      </c>
      <c r="D142" s="12" t="s">
        <v>24</v>
      </c>
      <c r="E142" s="12" t="s">
        <v>25</v>
      </c>
      <c r="F142" s="12" t="s">
        <v>26</v>
      </c>
      <c r="G142" s="41" t="s">
        <v>27</v>
      </c>
      <c r="H142" s="13"/>
      <c r="I142" s="27"/>
      <c r="J142" s="27"/>
      <c r="K142" s="27"/>
      <c r="L142" s="13"/>
    </row>
    <row r="143" spans="1:12" ht="12.75" x14ac:dyDescent="0.2">
      <c r="A143" s="52"/>
      <c r="B143" s="9" t="s">
        <v>1964</v>
      </c>
      <c r="C143" s="12" t="s">
        <v>2045</v>
      </c>
      <c r="D143" s="12" t="s">
        <v>24</v>
      </c>
      <c r="E143" s="12" t="s">
        <v>25</v>
      </c>
      <c r="F143" s="12" t="s">
        <v>26</v>
      </c>
      <c r="G143" s="41" t="s">
        <v>27</v>
      </c>
      <c r="H143" s="13"/>
      <c r="I143" s="27"/>
      <c r="J143" s="27"/>
      <c r="K143" s="27"/>
      <c r="L143" s="13"/>
    </row>
    <row r="144" spans="1:12" ht="12.75" x14ac:dyDescent="0.2">
      <c r="A144" s="52"/>
      <c r="B144" s="9" t="s">
        <v>1964</v>
      </c>
      <c r="C144" s="12" t="s">
        <v>2034</v>
      </c>
      <c r="D144" s="12" t="s">
        <v>24</v>
      </c>
      <c r="E144" s="12" t="s">
        <v>25</v>
      </c>
      <c r="F144" s="12" t="s">
        <v>26</v>
      </c>
      <c r="G144" s="41" t="s">
        <v>27</v>
      </c>
      <c r="H144" s="13"/>
      <c r="I144" s="27"/>
      <c r="J144" s="27"/>
      <c r="K144" s="27"/>
      <c r="L144" s="13"/>
    </row>
    <row r="145" spans="1:12" ht="12.75" x14ac:dyDescent="0.2">
      <c r="A145" s="52"/>
      <c r="B145" s="9" t="s">
        <v>1964</v>
      </c>
      <c r="C145" s="12" t="s">
        <v>1980</v>
      </c>
      <c r="D145" s="12" t="s">
        <v>24</v>
      </c>
      <c r="E145" s="12" t="s">
        <v>25</v>
      </c>
      <c r="F145" s="12" t="s">
        <v>26</v>
      </c>
      <c r="G145" s="41" t="s">
        <v>27</v>
      </c>
      <c r="H145" s="13"/>
      <c r="I145" s="27"/>
      <c r="J145" s="27"/>
      <c r="K145" s="27"/>
      <c r="L145" s="13"/>
    </row>
    <row r="146" spans="1:12" ht="12.75" x14ac:dyDescent="0.2">
      <c r="A146" s="53"/>
      <c r="B146" s="9" t="s">
        <v>1964</v>
      </c>
      <c r="C146" s="12" t="s">
        <v>2035</v>
      </c>
      <c r="D146" s="12" t="s">
        <v>24</v>
      </c>
      <c r="E146" s="12" t="s">
        <v>25</v>
      </c>
      <c r="F146" s="12" t="s">
        <v>26</v>
      </c>
      <c r="G146" s="41" t="s">
        <v>27</v>
      </c>
      <c r="H146" s="13"/>
      <c r="I146" s="27"/>
      <c r="J146" s="27"/>
      <c r="K146" s="27"/>
      <c r="L146" s="13"/>
    </row>
    <row r="147" spans="1:12" ht="12.75" x14ac:dyDescent="0.2">
      <c r="A147" s="48" t="s">
        <v>85</v>
      </c>
      <c r="B147" s="9" t="s">
        <v>1964</v>
      </c>
      <c r="C147" s="9" t="s">
        <v>1970</v>
      </c>
      <c r="D147" s="9" t="s">
        <v>24</v>
      </c>
      <c r="E147" s="9" t="s">
        <v>31</v>
      </c>
      <c r="F147" s="9" t="s">
        <v>87</v>
      </c>
      <c r="G147" s="41" t="s">
        <v>27</v>
      </c>
      <c r="H147" s="13"/>
      <c r="I147" s="27"/>
      <c r="J147" s="27"/>
      <c r="K147" s="27"/>
      <c r="L147" s="13"/>
    </row>
    <row r="148" spans="1:12" ht="12.75" x14ac:dyDescent="0.2">
      <c r="A148" s="52"/>
      <c r="B148" s="9" t="s">
        <v>1964</v>
      </c>
      <c r="C148" s="9" t="s">
        <v>1965</v>
      </c>
      <c r="D148" s="9" t="s">
        <v>24</v>
      </c>
      <c r="E148" s="9" t="s">
        <v>31</v>
      </c>
      <c r="F148" s="9" t="s">
        <v>87</v>
      </c>
      <c r="G148" s="41" t="s">
        <v>27</v>
      </c>
      <c r="H148" s="13"/>
      <c r="I148" s="27"/>
      <c r="J148" s="27"/>
      <c r="K148" s="27"/>
      <c r="L148" s="13"/>
    </row>
    <row r="149" spans="1:12" ht="12.75" x14ac:dyDescent="0.2">
      <c r="A149" s="52"/>
      <c r="B149" s="9" t="s">
        <v>1964</v>
      </c>
      <c r="C149" s="9" t="s">
        <v>2046</v>
      </c>
      <c r="D149" s="9" t="s">
        <v>24</v>
      </c>
      <c r="E149" s="9" t="s">
        <v>31</v>
      </c>
      <c r="F149" s="9" t="s">
        <v>87</v>
      </c>
      <c r="G149" s="41" t="s">
        <v>27</v>
      </c>
      <c r="H149" s="13"/>
      <c r="I149" s="13"/>
      <c r="J149" s="13"/>
      <c r="K149" s="13"/>
      <c r="L149" s="13"/>
    </row>
    <row r="150" spans="1:12" ht="12.75" x14ac:dyDescent="0.2">
      <c r="A150" s="52"/>
      <c r="B150" s="9" t="s">
        <v>1964</v>
      </c>
      <c r="C150" s="9" t="s">
        <v>1969</v>
      </c>
      <c r="D150" s="9" t="s">
        <v>24</v>
      </c>
      <c r="E150" s="9" t="s">
        <v>31</v>
      </c>
      <c r="F150" s="9" t="s">
        <v>87</v>
      </c>
      <c r="G150" s="41" t="s">
        <v>27</v>
      </c>
      <c r="H150" s="13"/>
      <c r="I150" s="13"/>
      <c r="J150" s="13"/>
      <c r="K150" s="13"/>
      <c r="L150" s="13"/>
    </row>
    <row r="151" spans="1:12" ht="12.75" x14ac:dyDescent="0.2">
      <c r="A151" s="52"/>
      <c r="B151" s="9" t="s">
        <v>1964</v>
      </c>
      <c r="C151" s="9" t="s">
        <v>2047</v>
      </c>
      <c r="D151" s="9" t="s">
        <v>24</v>
      </c>
      <c r="E151" s="9" t="s">
        <v>31</v>
      </c>
      <c r="F151" s="9" t="s">
        <v>87</v>
      </c>
      <c r="G151" s="41" t="s">
        <v>27</v>
      </c>
      <c r="H151" s="13"/>
      <c r="I151" s="13"/>
      <c r="J151" s="13"/>
      <c r="K151" s="13"/>
      <c r="L151" s="13"/>
    </row>
    <row r="152" spans="1:12" ht="12.75" x14ac:dyDescent="0.2">
      <c r="A152" s="52"/>
      <c r="B152" s="9" t="s">
        <v>1964</v>
      </c>
      <c r="C152" s="9" t="s">
        <v>2048</v>
      </c>
      <c r="D152" s="9" t="s">
        <v>30</v>
      </c>
      <c r="E152" s="9" t="s">
        <v>31</v>
      </c>
      <c r="F152" s="9" t="s">
        <v>26</v>
      </c>
      <c r="G152" s="41" t="s">
        <v>27</v>
      </c>
      <c r="H152" s="13"/>
      <c r="I152" s="13"/>
      <c r="J152" s="13"/>
      <c r="K152" s="13"/>
      <c r="L152" s="13"/>
    </row>
    <row r="153" spans="1:12" ht="12.75" x14ac:dyDescent="0.2">
      <c r="A153" s="52"/>
      <c r="B153" s="9" t="s">
        <v>1964</v>
      </c>
      <c r="C153" s="9" t="s">
        <v>1968</v>
      </c>
      <c r="D153" s="9" t="s">
        <v>24</v>
      </c>
      <c r="E153" s="9" t="s">
        <v>31</v>
      </c>
      <c r="F153" s="9" t="s">
        <v>87</v>
      </c>
      <c r="G153" s="10" t="s">
        <v>27</v>
      </c>
      <c r="H153" s="13"/>
      <c r="I153" s="13"/>
      <c r="J153" s="13"/>
      <c r="K153" s="13"/>
      <c r="L153" s="13"/>
    </row>
    <row r="154" spans="1:12" ht="12.75" x14ac:dyDescent="0.2">
      <c r="A154" s="52"/>
      <c r="B154" s="9" t="s">
        <v>1964</v>
      </c>
      <c r="C154" s="9" t="s">
        <v>2000</v>
      </c>
      <c r="D154" s="9" t="s">
        <v>24</v>
      </c>
      <c r="E154" s="9" t="s">
        <v>31</v>
      </c>
      <c r="F154" s="9" t="s">
        <v>87</v>
      </c>
      <c r="G154" s="10" t="s">
        <v>27</v>
      </c>
      <c r="H154" s="13"/>
      <c r="I154" s="13"/>
      <c r="J154" s="13"/>
      <c r="K154" s="13"/>
      <c r="L154" s="13"/>
    </row>
    <row r="155" spans="1:12" ht="12.75" x14ac:dyDescent="0.2">
      <c r="A155" s="52"/>
      <c r="B155" s="9" t="s">
        <v>1964</v>
      </c>
      <c r="C155" s="9" t="s">
        <v>2049</v>
      </c>
      <c r="D155" s="9" t="s">
        <v>24</v>
      </c>
      <c r="E155" s="9" t="s">
        <v>31</v>
      </c>
      <c r="F155" s="9" t="s">
        <v>87</v>
      </c>
      <c r="G155" s="10" t="s">
        <v>27</v>
      </c>
      <c r="H155" s="13"/>
      <c r="I155" s="13"/>
      <c r="J155" s="13"/>
      <c r="K155" s="13"/>
    </row>
    <row r="156" spans="1:12" ht="12.75" x14ac:dyDescent="0.2">
      <c r="A156" s="52"/>
      <c r="B156" s="9" t="s">
        <v>1964</v>
      </c>
      <c r="C156" s="9" t="s">
        <v>1967</v>
      </c>
      <c r="D156" s="9" t="s">
        <v>24</v>
      </c>
      <c r="E156" s="9" t="s">
        <v>31</v>
      </c>
      <c r="F156" s="9" t="s">
        <v>26</v>
      </c>
      <c r="G156" s="10" t="s">
        <v>27</v>
      </c>
      <c r="H156" s="13"/>
      <c r="I156" s="13"/>
      <c r="J156" s="13"/>
      <c r="K156" s="13"/>
    </row>
    <row r="157" spans="1:12" ht="12.75" x14ac:dyDescent="0.2">
      <c r="A157" s="53"/>
      <c r="B157" s="9" t="s">
        <v>1964</v>
      </c>
      <c r="C157" s="9" t="s">
        <v>1966</v>
      </c>
      <c r="D157" s="9" t="s">
        <v>24</v>
      </c>
      <c r="E157" s="9" t="s">
        <v>31</v>
      </c>
      <c r="F157" s="9" t="s">
        <v>26</v>
      </c>
      <c r="G157" s="10" t="s">
        <v>27</v>
      </c>
      <c r="H157" s="13"/>
      <c r="I157" s="13"/>
      <c r="J157" s="13"/>
      <c r="K157" s="13"/>
    </row>
    <row r="158" spans="1:12" ht="12.75" x14ac:dyDescent="0.2">
      <c r="A158" s="28"/>
      <c r="B158" s="28"/>
      <c r="C158" s="28"/>
      <c r="D158" s="28"/>
      <c r="E158" s="28"/>
      <c r="F158" s="28"/>
      <c r="G158" s="28"/>
      <c r="H158" s="13"/>
      <c r="I158" s="13"/>
      <c r="J158" s="13"/>
      <c r="K158" s="13"/>
    </row>
    <row r="159" spans="1:12" ht="12.75" x14ac:dyDescent="0.2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</row>
    <row r="160" spans="1:12" ht="12.75" x14ac:dyDescent="0.2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</row>
    <row r="161" spans="1:11" ht="12.75" x14ac:dyDescent="0.2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</row>
    <row r="162" spans="1:11" ht="12.75" x14ac:dyDescent="0.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</row>
    <row r="163" spans="1:11" ht="12.75" x14ac:dyDescent="0.2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</row>
    <row r="164" spans="1:11" ht="12.75" x14ac:dyDescent="0.2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</row>
    <row r="165" spans="1:11" ht="12.75" x14ac:dyDescent="0.2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</row>
    <row r="166" spans="1:11" ht="12.75" x14ac:dyDescent="0.2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</row>
    <row r="167" spans="1:11" ht="12.75" x14ac:dyDescent="0.2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</row>
    <row r="168" spans="1:11" ht="12.75" x14ac:dyDescent="0.2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</row>
    <row r="169" spans="1:11" ht="12.75" x14ac:dyDescent="0.2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</row>
    <row r="170" spans="1:11" ht="12.75" x14ac:dyDescent="0.2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</row>
    <row r="171" spans="1:11" ht="12.75" x14ac:dyDescent="0.2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</row>
    <row r="172" spans="1:11" ht="12.75" x14ac:dyDescent="0.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</row>
    <row r="173" spans="1:11" ht="12.75" x14ac:dyDescent="0.2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</row>
    <row r="174" spans="1:11" ht="12.75" x14ac:dyDescent="0.2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</row>
    <row r="175" spans="1:11" ht="12.75" x14ac:dyDescent="0.2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</row>
    <row r="176" spans="1:11" ht="12.75" x14ac:dyDescent="0.2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</row>
    <row r="177" spans="1:11" ht="12.75" x14ac:dyDescent="0.2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</row>
    <row r="178" spans="1:11" ht="12.75" x14ac:dyDescent="0.2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</row>
    <row r="179" spans="1:11" ht="12.75" x14ac:dyDescent="0.2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</row>
    <row r="180" spans="1:11" ht="12.75" x14ac:dyDescent="0.2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</row>
    <row r="181" spans="1:11" ht="12.75" x14ac:dyDescent="0.2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</row>
    <row r="182" spans="1:11" ht="12.75" x14ac:dyDescent="0.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</row>
    <row r="183" spans="1:11" ht="12.75" x14ac:dyDescent="0.2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</row>
    <row r="184" spans="1:11" ht="12.75" x14ac:dyDescent="0.2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</row>
  </sheetData>
  <mergeCells count="18">
    <mergeCell ref="A147:A157"/>
    <mergeCell ref="A67:A72"/>
    <mergeCell ref="A73:A76"/>
    <mergeCell ref="A77:A87"/>
    <mergeCell ref="A88:A92"/>
    <mergeCell ref="A93:A98"/>
    <mergeCell ref="A99:A104"/>
    <mergeCell ref="A105:A123"/>
    <mergeCell ref="A47:A61"/>
    <mergeCell ref="A62:A66"/>
    <mergeCell ref="A124:A134"/>
    <mergeCell ref="A135:A138"/>
    <mergeCell ref="A139:A146"/>
    <mergeCell ref="A1:G1"/>
    <mergeCell ref="A9:A12"/>
    <mergeCell ref="A13:A26"/>
    <mergeCell ref="A27:A34"/>
    <mergeCell ref="A35:A46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G3390"/>
  <sheetViews>
    <sheetView tabSelected="1" workbookViewId="0">
      <selection activeCell="L11" sqref="L11"/>
    </sheetView>
  </sheetViews>
  <sheetFormatPr defaultRowHeight="12.75" x14ac:dyDescent="0.2"/>
  <cols>
    <col min="1" max="1" width="10"/>
    <col min="2" max="3" width="16"/>
    <col min="4" max="6" width="19"/>
    <col min="7" max="7" width="14"/>
  </cols>
  <sheetData>
    <row r="1" spans="1:7" ht="15" x14ac:dyDescent="0.25">
      <c r="A1" s="42" t="s">
        <v>6</v>
      </c>
      <c r="B1" s="42" t="s">
        <v>7</v>
      </c>
      <c r="C1" s="42" t="s">
        <v>8</v>
      </c>
      <c r="D1" s="42" t="s">
        <v>9</v>
      </c>
      <c r="E1" s="42" t="s">
        <v>10</v>
      </c>
      <c r="F1" s="42" t="s">
        <v>11</v>
      </c>
      <c r="G1" s="42" t="s">
        <v>12</v>
      </c>
    </row>
    <row r="2" spans="1:7" x14ac:dyDescent="0.2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</row>
    <row r="3" spans="1:7" x14ac:dyDescent="0.2">
      <c r="A3">
        <v>8</v>
      </c>
      <c r="B3">
        <v>25</v>
      </c>
      <c r="C3" t="s">
        <v>23</v>
      </c>
      <c r="D3" t="s">
        <v>24</v>
      </c>
      <c r="E3" t="s">
        <v>25</v>
      </c>
      <c r="F3" t="s">
        <v>26</v>
      </c>
      <c r="G3" t="s">
        <v>27</v>
      </c>
    </row>
    <row r="4" spans="1:7" x14ac:dyDescent="0.2">
      <c r="A4">
        <v>9</v>
      </c>
      <c r="B4">
        <v>25</v>
      </c>
      <c r="C4" t="s">
        <v>29</v>
      </c>
      <c r="D4" t="s">
        <v>30</v>
      </c>
      <c r="E4" t="s">
        <v>31</v>
      </c>
      <c r="F4" t="s">
        <v>26</v>
      </c>
      <c r="G4" t="s">
        <v>27</v>
      </c>
    </row>
    <row r="5" spans="1:7" x14ac:dyDescent="0.2">
      <c r="A5">
        <v>9</v>
      </c>
      <c r="B5">
        <v>25</v>
      </c>
      <c r="C5" t="s">
        <v>32</v>
      </c>
      <c r="D5" t="s">
        <v>24</v>
      </c>
      <c r="E5" t="s">
        <v>31</v>
      </c>
      <c r="F5" t="s">
        <v>26</v>
      </c>
      <c r="G5" t="s">
        <v>27</v>
      </c>
    </row>
    <row r="6" spans="1:7" x14ac:dyDescent="0.2">
      <c r="A6">
        <v>10</v>
      </c>
      <c r="B6">
        <v>25</v>
      </c>
      <c r="C6" t="s">
        <v>34</v>
      </c>
      <c r="D6" t="s">
        <v>24</v>
      </c>
      <c r="E6" t="s">
        <v>31</v>
      </c>
      <c r="F6" t="s">
        <v>26</v>
      </c>
      <c r="G6" t="s">
        <v>27</v>
      </c>
    </row>
    <row r="7" spans="1:7" x14ac:dyDescent="0.2">
      <c r="A7">
        <v>10</v>
      </c>
      <c r="B7">
        <v>25</v>
      </c>
      <c r="C7" t="s">
        <v>35</v>
      </c>
      <c r="D7" t="s">
        <v>24</v>
      </c>
      <c r="E7" t="s">
        <v>31</v>
      </c>
      <c r="F7" t="s">
        <v>26</v>
      </c>
      <c r="G7" t="s">
        <v>27</v>
      </c>
    </row>
    <row r="8" spans="1:7" x14ac:dyDescent="0.2">
      <c r="A8">
        <v>10</v>
      </c>
      <c r="B8">
        <v>25</v>
      </c>
      <c r="C8" t="s">
        <v>32</v>
      </c>
      <c r="D8" t="s">
        <v>24</v>
      </c>
      <c r="E8" t="s">
        <v>31</v>
      </c>
      <c r="F8" t="s">
        <v>26</v>
      </c>
      <c r="G8" t="s">
        <v>27</v>
      </c>
    </row>
    <row r="9" spans="1:7" x14ac:dyDescent="0.2">
      <c r="A9">
        <v>10</v>
      </c>
      <c r="B9">
        <v>25</v>
      </c>
      <c r="C9" t="s">
        <v>36</v>
      </c>
      <c r="D9" t="s">
        <v>24</v>
      </c>
      <c r="E9" t="s">
        <v>31</v>
      </c>
      <c r="F9" t="s">
        <v>26</v>
      </c>
      <c r="G9" t="s">
        <v>27</v>
      </c>
    </row>
    <row r="10" spans="1:7" x14ac:dyDescent="0.2">
      <c r="A10">
        <v>10</v>
      </c>
      <c r="B10">
        <v>25</v>
      </c>
      <c r="C10" t="s">
        <v>37</v>
      </c>
      <c r="D10" t="s">
        <v>24</v>
      </c>
      <c r="E10" t="s">
        <v>31</v>
      </c>
      <c r="F10" t="s">
        <v>26</v>
      </c>
      <c r="G10" t="s">
        <v>27</v>
      </c>
    </row>
    <row r="11" spans="1:7" x14ac:dyDescent="0.2">
      <c r="A11">
        <v>11</v>
      </c>
      <c r="B11">
        <v>25</v>
      </c>
      <c r="C11" t="s">
        <v>39</v>
      </c>
      <c r="D11" t="s">
        <v>24</v>
      </c>
      <c r="E11" t="s">
        <v>25</v>
      </c>
      <c r="F11" t="s">
        <v>26</v>
      </c>
      <c r="G11" t="s">
        <v>27</v>
      </c>
    </row>
    <row r="12" spans="1:7" x14ac:dyDescent="0.2">
      <c r="A12">
        <v>11</v>
      </c>
      <c r="B12">
        <v>25</v>
      </c>
      <c r="C12" t="s">
        <v>40</v>
      </c>
      <c r="D12" t="s">
        <v>24</v>
      </c>
      <c r="E12" t="s">
        <v>25</v>
      </c>
      <c r="F12" t="s">
        <v>26</v>
      </c>
      <c r="G12" t="s">
        <v>27</v>
      </c>
    </row>
    <row r="13" spans="1:7" x14ac:dyDescent="0.2">
      <c r="A13">
        <v>11</v>
      </c>
      <c r="B13">
        <v>25</v>
      </c>
      <c r="C13" t="s">
        <v>41</v>
      </c>
      <c r="D13" t="s">
        <v>24</v>
      </c>
      <c r="E13" t="s">
        <v>31</v>
      </c>
      <c r="F13" t="s">
        <v>26</v>
      </c>
      <c r="G13" t="s">
        <v>27</v>
      </c>
    </row>
    <row r="14" spans="1:7" x14ac:dyDescent="0.2">
      <c r="A14">
        <v>11</v>
      </c>
      <c r="B14">
        <v>25</v>
      </c>
      <c r="C14" t="s">
        <v>42</v>
      </c>
      <c r="D14" t="s">
        <v>24</v>
      </c>
      <c r="E14" t="s">
        <v>25</v>
      </c>
      <c r="F14" t="s">
        <v>26</v>
      </c>
      <c r="G14" t="s">
        <v>27</v>
      </c>
    </row>
    <row r="15" spans="1:7" x14ac:dyDescent="0.2">
      <c r="A15">
        <v>11</v>
      </c>
      <c r="B15">
        <v>25</v>
      </c>
      <c r="C15" t="s">
        <v>43</v>
      </c>
      <c r="D15" t="s">
        <v>24</v>
      </c>
      <c r="E15" t="s">
        <v>25</v>
      </c>
      <c r="F15" t="s">
        <v>26</v>
      </c>
      <c r="G15" t="s">
        <v>27</v>
      </c>
    </row>
    <row r="16" spans="1:7" x14ac:dyDescent="0.2">
      <c r="A16">
        <v>11</v>
      </c>
      <c r="B16">
        <v>25</v>
      </c>
      <c r="C16" t="s">
        <v>44</v>
      </c>
      <c r="D16" t="s">
        <v>24</v>
      </c>
      <c r="E16" t="s">
        <v>25</v>
      </c>
      <c r="F16" t="s">
        <v>26</v>
      </c>
      <c r="G16" t="s">
        <v>27</v>
      </c>
    </row>
    <row r="17" spans="1:7" x14ac:dyDescent="0.2">
      <c r="A17">
        <v>11</v>
      </c>
      <c r="B17">
        <v>25</v>
      </c>
      <c r="C17" t="s">
        <v>37</v>
      </c>
      <c r="D17" t="s">
        <v>24</v>
      </c>
      <c r="E17" t="s">
        <v>25</v>
      </c>
      <c r="F17" t="s">
        <v>26</v>
      </c>
      <c r="G17" t="s">
        <v>27</v>
      </c>
    </row>
    <row r="18" spans="1:7" x14ac:dyDescent="0.2">
      <c r="A18">
        <v>11</v>
      </c>
      <c r="B18">
        <v>25</v>
      </c>
      <c r="C18" t="s">
        <v>45</v>
      </c>
      <c r="D18" t="s">
        <v>24</v>
      </c>
      <c r="E18" t="s">
        <v>25</v>
      </c>
      <c r="F18" t="s">
        <v>26</v>
      </c>
      <c r="G18" t="s">
        <v>27</v>
      </c>
    </row>
    <row r="19" spans="1:7" x14ac:dyDescent="0.2">
      <c r="A19">
        <v>12</v>
      </c>
      <c r="B19">
        <v>25</v>
      </c>
      <c r="C19" t="s">
        <v>40</v>
      </c>
      <c r="D19" t="s">
        <v>24</v>
      </c>
      <c r="E19" t="s">
        <v>31</v>
      </c>
      <c r="F19" t="s">
        <v>47</v>
      </c>
      <c r="G19" t="s">
        <v>27</v>
      </c>
    </row>
    <row r="20" spans="1:7" x14ac:dyDescent="0.2">
      <c r="A20">
        <v>12</v>
      </c>
      <c r="B20">
        <v>25</v>
      </c>
      <c r="C20" t="s">
        <v>48</v>
      </c>
      <c r="D20" t="s">
        <v>30</v>
      </c>
      <c r="E20" t="s">
        <v>31</v>
      </c>
      <c r="F20" t="s">
        <v>47</v>
      </c>
      <c r="G20" t="s">
        <v>27</v>
      </c>
    </row>
    <row r="21" spans="1:7" x14ac:dyDescent="0.2">
      <c r="A21">
        <v>13</v>
      </c>
      <c r="B21">
        <v>25</v>
      </c>
      <c r="C21" t="s">
        <v>50</v>
      </c>
      <c r="D21" t="s">
        <v>24</v>
      </c>
      <c r="E21" t="s">
        <v>31</v>
      </c>
      <c r="F21" t="s">
        <v>26</v>
      </c>
      <c r="G21" t="s">
        <v>27</v>
      </c>
    </row>
    <row r="22" spans="1:7" x14ac:dyDescent="0.2">
      <c r="A22">
        <v>13</v>
      </c>
      <c r="B22">
        <v>25</v>
      </c>
      <c r="C22" t="s">
        <v>51</v>
      </c>
      <c r="D22" t="s">
        <v>24</v>
      </c>
      <c r="E22" t="s">
        <v>31</v>
      </c>
      <c r="F22" t="s">
        <v>26</v>
      </c>
      <c r="G22" t="s">
        <v>27</v>
      </c>
    </row>
    <row r="23" spans="1:7" x14ac:dyDescent="0.2">
      <c r="A23">
        <v>14</v>
      </c>
      <c r="B23">
        <v>25</v>
      </c>
      <c r="C23" t="s">
        <v>53</v>
      </c>
      <c r="D23" t="s">
        <v>24</v>
      </c>
      <c r="E23" t="s">
        <v>31</v>
      </c>
      <c r="F23" t="s">
        <v>26</v>
      </c>
      <c r="G23" t="s">
        <v>27</v>
      </c>
    </row>
    <row r="24" spans="1:7" x14ac:dyDescent="0.2">
      <c r="A24">
        <v>14</v>
      </c>
      <c r="B24">
        <v>25</v>
      </c>
      <c r="C24" t="s">
        <v>54</v>
      </c>
      <c r="D24" t="s">
        <v>24</v>
      </c>
      <c r="E24" t="s">
        <v>31</v>
      </c>
      <c r="F24" t="s">
        <v>26</v>
      </c>
      <c r="G24" t="s">
        <v>27</v>
      </c>
    </row>
    <row r="25" spans="1:7" x14ac:dyDescent="0.2">
      <c r="A25">
        <v>14</v>
      </c>
      <c r="B25">
        <v>25</v>
      </c>
      <c r="C25" t="s">
        <v>55</v>
      </c>
      <c r="D25" t="s">
        <v>30</v>
      </c>
      <c r="E25" t="s">
        <v>31</v>
      </c>
      <c r="F25" t="s">
        <v>26</v>
      </c>
      <c r="G25" t="s">
        <v>27</v>
      </c>
    </row>
    <row r="26" spans="1:7" x14ac:dyDescent="0.2">
      <c r="A26">
        <v>14</v>
      </c>
      <c r="B26">
        <v>25</v>
      </c>
      <c r="C26" t="s">
        <v>56</v>
      </c>
      <c r="D26" t="s">
        <v>24</v>
      </c>
      <c r="E26" t="s">
        <v>31</v>
      </c>
      <c r="F26" t="s">
        <v>26</v>
      </c>
      <c r="G26" t="s">
        <v>27</v>
      </c>
    </row>
    <row r="27" spans="1:7" x14ac:dyDescent="0.2">
      <c r="A27">
        <v>14</v>
      </c>
      <c r="B27">
        <v>25</v>
      </c>
      <c r="C27" t="s">
        <v>57</v>
      </c>
      <c r="D27" t="s">
        <v>24</v>
      </c>
      <c r="E27" t="s">
        <v>31</v>
      </c>
      <c r="F27" t="s">
        <v>26</v>
      </c>
      <c r="G27" t="s">
        <v>27</v>
      </c>
    </row>
    <row r="28" spans="1:7" x14ac:dyDescent="0.2">
      <c r="A28">
        <v>14</v>
      </c>
      <c r="B28">
        <v>25</v>
      </c>
      <c r="C28" t="s">
        <v>58</v>
      </c>
      <c r="D28" t="s">
        <v>24</v>
      </c>
      <c r="E28" t="s">
        <v>31</v>
      </c>
      <c r="F28" t="s">
        <v>26</v>
      </c>
      <c r="G28" t="s">
        <v>27</v>
      </c>
    </row>
    <row r="29" spans="1:7" x14ac:dyDescent="0.2">
      <c r="A29">
        <v>15</v>
      </c>
      <c r="B29">
        <v>25</v>
      </c>
      <c r="C29" t="s">
        <v>60</v>
      </c>
      <c r="D29" t="s">
        <v>24</v>
      </c>
      <c r="E29" t="s">
        <v>31</v>
      </c>
      <c r="F29" t="s">
        <v>47</v>
      </c>
      <c r="G29" t="s">
        <v>27</v>
      </c>
    </row>
    <row r="30" spans="1:7" x14ac:dyDescent="0.2">
      <c r="A30">
        <v>15</v>
      </c>
      <c r="B30">
        <v>25</v>
      </c>
      <c r="C30" t="s">
        <v>40</v>
      </c>
      <c r="D30" t="s">
        <v>24</v>
      </c>
      <c r="E30" t="s">
        <v>31</v>
      </c>
      <c r="F30" t="s">
        <v>47</v>
      </c>
      <c r="G30" t="s">
        <v>27</v>
      </c>
    </row>
    <row r="31" spans="1:7" x14ac:dyDescent="0.2">
      <c r="A31">
        <v>16</v>
      </c>
      <c r="B31">
        <v>25</v>
      </c>
      <c r="C31" t="s">
        <v>40</v>
      </c>
      <c r="D31" t="s">
        <v>24</v>
      </c>
      <c r="E31" t="s">
        <v>31</v>
      </c>
      <c r="F31" t="s">
        <v>47</v>
      </c>
      <c r="G31" t="s">
        <v>27</v>
      </c>
    </row>
    <row r="32" spans="1:7" x14ac:dyDescent="0.2">
      <c r="A32">
        <v>16</v>
      </c>
      <c r="B32">
        <v>25</v>
      </c>
      <c r="C32" t="s">
        <v>48</v>
      </c>
      <c r="D32" t="s">
        <v>30</v>
      </c>
      <c r="E32" t="s">
        <v>31</v>
      </c>
      <c r="F32" t="s">
        <v>47</v>
      </c>
      <c r="G32" t="s">
        <v>27</v>
      </c>
    </row>
    <row r="33" spans="1:7" x14ac:dyDescent="0.2">
      <c r="A33">
        <v>17</v>
      </c>
      <c r="B33">
        <v>25</v>
      </c>
      <c r="C33" t="s">
        <v>63</v>
      </c>
      <c r="D33" t="s">
        <v>24</v>
      </c>
      <c r="E33" t="s">
        <v>31</v>
      </c>
      <c r="F33" t="s">
        <v>26</v>
      </c>
      <c r="G33" t="s">
        <v>27</v>
      </c>
    </row>
    <row r="34" spans="1:7" x14ac:dyDescent="0.2">
      <c r="A34">
        <v>17</v>
      </c>
      <c r="B34">
        <v>25</v>
      </c>
      <c r="C34" t="s">
        <v>64</v>
      </c>
      <c r="D34" t="s">
        <v>24</v>
      </c>
      <c r="E34" t="s">
        <v>31</v>
      </c>
      <c r="F34" t="s">
        <v>26</v>
      </c>
      <c r="G34" t="s">
        <v>27</v>
      </c>
    </row>
    <row r="35" spans="1:7" x14ac:dyDescent="0.2">
      <c r="A35">
        <v>17</v>
      </c>
      <c r="B35">
        <v>25</v>
      </c>
      <c r="C35" t="s">
        <v>65</v>
      </c>
      <c r="D35" t="s">
        <v>24</v>
      </c>
      <c r="E35" t="s">
        <v>31</v>
      </c>
      <c r="F35" t="s">
        <v>26</v>
      </c>
      <c r="G35" t="s">
        <v>27</v>
      </c>
    </row>
    <row r="36" spans="1:7" x14ac:dyDescent="0.2">
      <c r="A36">
        <v>17</v>
      </c>
      <c r="B36">
        <v>25</v>
      </c>
      <c r="C36" t="s">
        <v>66</v>
      </c>
      <c r="D36" t="s">
        <v>24</v>
      </c>
      <c r="E36" t="s">
        <v>31</v>
      </c>
      <c r="F36" t="s">
        <v>26</v>
      </c>
      <c r="G36" t="s">
        <v>27</v>
      </c>
    </row>
    <row r="37" spans="1:7" x14ac:dyDescent="0.2">
      <c r="A37">
        <v>17</v>
      </c>
      <c r="B37">
        <v>25</v>
      </c>
      <c r="C37" t="s">
        <v>67</v>
      </c>
      <c r="D37" t="s">
        <v>24</v>
      </c>
      <c r="E37" t="s">
        <v>31</v>
      </c>
      <c r="F37" t="s">
        <v>26</v>
      </c>
      <c r="G37" t="s">
        <v>27</v>
      </c>
    </row>
    <row r="38" spans="1:7" x14ac:dyDescent="0.2">
      <c r="A38">
        <v>17</v>
      </c>
      <c r="B38">
        <v>25</v>
      </c>
      <c r="C38" t="s">
        <v>68</v>
      </c>
      <c r="D38" t="s">
        <v>24</v>
      </c>
      <c r="E38" t="s">
        <v>31</v>
      </c>
      <c r="F38" t="s">
        <v>26</v>
      </c>
      <c r="G38" t="s">
        <v>27</v>
      </c>
    </row>
    <row r="39" spans="1:7" x14ac:dyDescent="0.2">
      <c r="A39">
        <v>17</v>
      </c>
      <c r="B39">
        <v>25</v>
      </c>
      <c r="C39" t="s">
        <v>69</v>
      </c>
      <c r="D39" t="s">
        <v>24</v>
      </c>
      <c r="E39" t="s">
        <v>31</v>
      </c>
      <c r="F39" t="s">
        <v>26</v>
      </c>
      <c r="G39" t="s">
        <v>27</v>
      </c>
    </row>
    <row r="40" spans="1:7" x14ac:dyDescent="0.2">
      <c r="A40">
        <v>18</v>
      </c>
      <c r="B40">
        <v>25</v>
      </c>
      <c r="C40" t="s">
        <v>71</v>
      </c>
      <c r="D40" t="s">
        <v>24</v>
      </c>
      <c r="E40" t="s">
        <v>31</v>
      </c>
      <c r="F40" t="s">
        <v>26</v>
      </c>
      <c r="G40" t="s">
        <v>27</v>
      </c>
    </row>
    <row r="41" spans="1:7" x14ac:dyDescent="0.2">
      <c r="A41">
        <v>18</v>
      </c>
      <c r="B41">
        <v>25</v>
      </c>
      <c r="C41" t="s">
        <v>72</v>
      </c>
      <c r="D41" t="s">
        <v>24</v>
      </c>
      <c r="E41" t="s">
        <v>31</v>
      </c>
      <c r="F41" t="s">
        <v>26</v>
      </c>
      <c r="G41" t="s">
        <v>27</v>
      </c>
    </row>
    <row r="42" spans="1:7" x14ac:dyDescent="0.2">
      <c r="A42">
        <v>18</v>
      </c>
      <c r="B42">
        <v>25</v>
      </c>
      <c r="C42" t="s">
        <v>63</v>
      </c>
      <c r="D42" t="s">
        <v>24</v>
      </c>
      <c r="E42" t="s">
        <v>31</v>
      </c>
      <c r="F42" t="s">
        <v>26</v>
      </c>
      <c r="G42" t="s">
        <v>27</v>
      </c>
    </row>
    <row r="43" spans="1:7" x14ac:dyDescent="0.2">
      <c r="A43">
        <v>19</v>
      </c>
      <c r="B43">
        <v>25</v>
      </c>
      <c r="C43" t="s">
        <v>39</v>
      </c>
      <c r="D43" t="s">
        <v>24</v>
      </c>
      <c r="E43" t="s">
        <v>25</v>
      </c>
      <c r="F43" t="s">
        <v>26</v>
      </c>
      <c r="G43" t="s">
        <v>27</v>
      </c>
    </row>
    <row r="44" spans="1:7" x14ac:dyDescent="0.2">
      <c r="A44">
        <v>19</v>
      </c>
      <c r="B44">
        <v>25</v>
      </c>
      <c r="C44" t="s">
        <v>74</v>
      </c>
      <c r="D44" t="s">
        <v>24</v>
      </c>
      <c r="E44" t="s">
        <v>25</v>
      </c>
      <c r="F44" t="s">
        <v>26</v>
      </c>
      <c r="G44" t="s">
        <v>27</v>
      </c>
    </row>
    <row r="45" spans="1:7" x14ac:dyDescent="0.2">
      <c r="A45">
        <v>19</v>
      </c>
      <c r="B45">
        <v>25</v>
      </c>
      <c r="C45" t="s">
        <v>75</v>
      </c>
      <c r="D45" t="s">
        <v>24</v>
      </c>
      <c r="E45" t="s">
        <v>25</v>
      </c>
      <c r="F45" t="s">
        <v>26</v>
      </c>
      <c r="G45" t="s">
        <v>27</v>
      </c>
    </row>
    <row r="46" spans="1:7" x14ac:dyDescent="0.2">
      <c r="A46">
        <v>19</v>
      </c>
      <c r="B46">
        <v>25</v>
      </c>
      <c r="C46" t="s">
        <v>76</v>
      </c>
      <c r="D46" t="s">
        <v>24</v>
      </c>
      <c r="E46" t="s">
        <v>25</v>
      </c>
      <c r="F46" t="s">
        <v>26</v>
      </c>
      <c r="G46" t="s">
        <v>27</v>
      </c>
    </row>
    <row r="47" spans="1:7" x14ac:dyDescent="0.2">
      <c r="A47">
        <v>19</v>
      </c>
      <c r="B47">
        <v>25</v>
      </c>
      <c r="C47" t="s">
        <v>37</v>
      </c>
      <c r="D47" t="s">
        <v>24</v>
      </c>
      <c r="E47" t="s">
        <v>25</v>
      </c>
      <c r="F47" t="s">
        <v>26</v>
      </c>
      <c r="G47" t="s">
        <v>27</v>
      </c>
    </row>
    <row r="48" spans="1:7" x14ac:dyDescent="0.2">
      <c r="A48">
        <v>20</v>
      </c>
      <c r="B48">
        <v>25</v>
      </c>
      <c r="C48" t="s">
        <v>39</v>
      </c>
      <c r="D48" t="s">
        <v>24</v>
      </c>
      <c r="E48" t="s">
        <v>31</v>
      </c>
      <c r="F48" t="s">
        <v>26</v>
      </c>
      <c r="G48" t="s">
        <v>27</v>
      </c>
    </row>
    <row r="49" spans="1:7" x14ac:dyDescent="0.2">
      <c r="A49">
        <v>20</v>
      </c>
      <c r="B49">
        <v>25</v>
      </c>
      <c r="C49" t="s">
        <v>78</v>
      </c>
      <c r="D49" t="s">
        <v>24</v>
      </c>
      <c r="E49" t="s">
        <v>31</v>
      </c>
      <c r="F49" t="s">
        <v>26</v>
      </c>
      <c r="G49" t="s">
        <v>27</v>
      </c>
    </row>
    <row r="50" spans="1:7" x14ac:dyDescent="0.2">
      <c r="A50">
        <v>20</v>
      </c>
      <c r="B50">
        <v>25</v>
      </c>
      <c r="C50" t="s">
        <v>71</v>
      </c>
      <c r="D50" t="s">
        <v>24</v>
      </c>
      <c r="E50" t="s">
        <v>31</v>
      </c>
      <c r="F50" t="s">
        <v>26</v>
      </c>
      <c r="G50" t="s">
        <v>27</v>
      </c>
    </row>
    <row r="51" spans="1:7" x14ac:dyDescent="0.2">
      <c r="A51">
        <v>21</v>
      </c>
      <c r="B51">
        <v>25</v>
      </c>
      <c r="C51" t="s">
        <v>80</v>
      </c>
      <c r="D51" t="s">
        <v>24</v>
      </c>
      <c r="E51" t="s">
        <v>31</v>
      </c>
      <c r="F51" t="s">
        <v>26</v>
      </c>
      <c r="G51" t="s">
        <v>27</v>
      </c>
    </row>
    <row r="52" spans="1:7" x14ac:dyDescent="0.2">
      <c r="A52">
        <v>21</v>
      </c>
      <c r="B52">
        <v>25</v>
      </c>
      <c r="C52" t="s">
        <v>81</v>
      </c>
      <c r="D52" t="s">
        <v>24</v>
      </c>
      <c r="E52" t="s">
        <v>31</v>
      </c>
      <c r="F52" t="s">
        <v>26</v>
      </c>
      <c r="G52" t="s">
        <v>27</v>
      </c>
    </row>
    <row r="53" spans="1:7" x14ac:dyDescent="0.2">
      <c r="A53">
        <v>21</v>
      </c>
      <c r="B53">
        <v>25</v>
      </c>
      <c r="C53" t="s">
        <v>82</v>
      </c>
      <c r="D53" t="s">
        <v>24</v>
      </c>
      <c r="E53" t="s">
        <v>31</v>
      </c>
      <c r="F53" t="s">
        <v>26</v>
      </c>
      <c r="G53" t="s">
        <v>27</v>
      </c>
    </row>
    <row r="54" spans="1:7" x14ac:dyDescent="0.2">
      <c r="A54">
        <v>22</v>
      </c>
      <c r="B54">
        <v>25</v>
      </c>
      <c r="C54" t="s">
        <v>39</v>
      </c>
      <c r="D54" t="s">
        <v>24</v>
      </c>
      <c r="E54" t="s">
        <v>25</v>
      </c>
      <c r="F54" t="s">
        <v>26</v>
      </c>
      <c r="G54" t="s">
        <v>27</v>
      </c>
    </row>
    <row r="55" spans="1:7" x14ac:dyDescent="0.2">
      <c r="A55">
        <v>22</v>
      </c>
      <c r="B55">
        <v>25</v>
      </c>
      <c r="C55" t="s">
        <v>80</v>
      </c>
      <c r="D55" t="s">
        <v>24</v>
      </c>
      <c r="E55" t="s">
        <v>25</v>
      </c>
      <c r="F55" t="s">
        <v>26</v>
      </c>
      <c r="G55" t="s">
        <v>27</v>
      </c>
    </row>
    <row r="56" spans="1:7" x14ac:dyDescent="0.2">
      <c r="A56">
        <v>22</v>
      </c>
      <c r="B56">
        <v>25</v>
      </c>
      <c r="C56" t="s">
        <v>84</v>
      </c>
      <c r="D56" t="s">
        <v>24</v>
      </c>
      <c r="E56" t="s">
        <v>25</v>
      </c>
      <c r="F56" t="s">
        <v>26</v>
      </c>
      <c r="G56" t="s">
        <v>27</v>
      </c>
    </row>
    <row r="57" spans="1:7" x14ac:dyDescent="0.2">
      <c r="A57">
        <v>22</v>
      </c>
      <c r="B57">
        <v>25</v>
      </c>
      <c r="C57" t="s">
        <v>71</v>
      </c>
      <c r="D57" t="s">
        <v>24</v>
      </c>
      <c r="E57" t="s">
        <v>25</v>
      </c>
      <c r="F57" t="s">
        <v>26</v>
      </c>
      <c r="G57" t="s">
        <v>27</v>
      </c>
    </row>
    <row r="58" spans="1:7" x14ac:dyDescent="0.2">
      <c r="A58">
        <v>7</v>
      </c>
      <c r="B58">
        <v>26</v>
      </c>
      <c r="C58" t="s">
        <v>86</v>
      </c>
      <c r="D58" t="s">
        <v>24</v>
      </c>
      <c r="E58" t="s">
        <v>31</v>
      </c>
      <c r="F58" t="s">
        <v>87</v>
      </c>
      <c r="G58" t="s">
        <v>27</v>
      </c>
    </row>
    <row r="59" spans="1:7" x14ac:dyDescent="0.2">
      <c r="A59">
        <v>9</v>
      </c>
      <c r="B59">
        <v>26</v>
      </c>
      <c r="C59" t="s">
        <v>88</v>
      </c>
      <c r="D59" t="s">
        <v>24</v>
      </c>
      <c r="E59" t="s">
        <v>31</v>
      </c>
      <c r="F59" t="s">
        <v>26</v>
      </c>
      <c r="G59" t="s">
        <v>27</v>
      </c>
    </row>
    <row r="60" spans="1:7" x14ac:dyDescent="0.2">
      <c r="A60">
        <v>9</v>
      </c>
      <c r="B60">
        <v>26</v>
      </c>
      <c r="C60" t="s">
        <v>89</v>
      </c>
      <c r="D60" t="s">
        <v>24</v>
      </c>
      <c r="E60" t="s">
        <v>31</v>
      </c>
      <c r="F60" t="s">
        <v>26</v>
      </c>
      <c r="G60" t="s">
        <v>27</v>
      </c>
    </row>
    <row r="61" spans="1:7" x14ac:dyDescent="0.2">
      <c r="A61">
        <v>10</v>
      </c>
      <c r="B61">
        <v>26</v>
      </c>
      <c r="C61" t="s">
        <v>90</v>
      </c>
      <c r="D61" t="s">
        <v>24</v>
      </c>
      <c r="E61" t="s">
        <v>31</v>
      </c>
      <c r="F61" t="s">
        <v>26</v>
      </c>
      <c r="G61" t="s">
        <v>27</v>
      </c>
    </row>
    <row r="62" spans="1:7" x14ac:dyDescent="0.2">
      <c r="A62">
        <v>10</v>
      </c>
      <c r="B62">
        <v>26</v>
      </c>
      <c r="C62" t="s">
        <v>91</v>
      </c>
      <c r="D62" t="s">
        <v>24</v>
      </c>
      <c r="E62" t="s">
        <v>31</v>
      </c>
      <c r="F62" t="s">
        <v>26</v>
      </c>
      <c r="G62" t="s">
        <v>27</v>
      </c>
    </row>
    <row r="63" spans="1:7" x14ac:dyDescent="0.2">
      <c r="A63">
        <v>10</v>
      </c>
      <c r="B63">
        <v>26</v>
      </c>
      <c r="C63" t="s">
        <v>92</v>
      </c>
      <c r="D63" t="s">
        <v>24</v>
      </c>
      <c r="E63" t="s">
        <v>31</v>
      </c>
      <c r="F63" t="s">
        <v>26</v>
      </c>
      <c r="G63" t="s">
        <v>27</v>
      </c>
    </row>
    <row r="64" spans="1:7" x14ac:dyDescent="0.2">
      <c r="A64">
        <v>10</v>
      </c>
      <c r="B64">
        <v>26</v>
      </c>
      <c r="C64" t="s">
        <v>93</v>
      </c>
      <c r="D64" t="s">
        <v>24</v>
      </c>
      <c r="E64" t="s">
        <v>31</v>
      </c>
      <c r="F64" t="s">
        <v>26</v>
      </c>
      <c r="G64" t="s">
        <v>27</v>
      </c>
    </row>
    <row r="65" spans="1:7" x14ac:dyDescent="0.2">
      <c r="A65">
        <v>11</v>
      </c>
      <c r="B65">
        <v>26</v>
      </c>
      <c r="C65" t="s">
        <v>94</v>
      </c>
      <c r="D65" t="s">
        <v>24</v>
      </c>
      <c r="E65" t="s">
        <v>25</v>
      </c>
      <c r="F65" t="s">
        <v>26</v>
      </c>
      <c r="G65" t="s">
        <v>27</v>
      </c>
    </row>
    <row r="66" spans="1:7" x14ac:dyDescent="0.2">
      <c r="A66">
        <v>11</v>
      </c>
      <c r="B66">
        <v>26</v>
      </c>
      <c r="C66" t="s">
        <v>95</v>
      </c>
      <c r="D66" t="s">
        <v>24</v>
      </c>
      <c r="E66" t="s">
        <v>25</v>
      </c>
      <c r="F66" t="s">
        <v>26</v>
      </c>
      <c r="G66" t="s">
        <v>27</v>
      </c>
    </row>
    <row r="67" spans="1:7" x14ac:dyDescent="0.2">
      <c r="A67">
        <v>11</v>
      </c>
      <c r="B67">
        <v>26</v>
      </c>
      <c r="C67" t="s">
        <v>39</v>
      </c>
      <c r="D67" t="s">
        <v>24</v>
      </c>
      <c r="E67" t="s">
        <v>25</v>
      </c>
      <c r="F67" t="s">
        <v>47</v>
      </c>
      <c r="G67" t="s">
        <v>27</v>
      </c>
    </row>
    <row r="68" spans="1:7" x14ac:dyDescent="0.2">
      <c r="A68">
        <v>13</v>
      </c>
      <c r="B68">
        <v>26</v>
      </c>
      <c r="C68" t="s">
        <v>96</v>
      </c>
      <c r="D68" t="s">
        <v>24</v>
      </c>
      <c r="E68" t="s">
        <v>31</v>
      </c>
      <c r="F68" t="s">
        <v>26</v>
      </c>
      <c r="G68" t="s">
        <v>27</v>
      </c>
    </row>
    <row r="69" spans="1:7" x14ac:dyDescent="0.2">
      <c r="A69">
        <v>14</v>
      </c>
      <c r="B69">
        <v>26</v>
      </c>
      <c r="C69" t="s">
        <v>97</v>
      </c>
      <c r="D69" t="s">
        <v>24</v>
      </c>
      <c r="E69" t="s">
        <v>31</v>
      </c>
      <c r="F69" t="s">
        <v>26</v>
      </c>
      <c r="G69" t="s">
        <v>27</v>
      </c>
    </row>
    <row r="70" spans="1:7" x14ac:dyDescent="0.2">
      <c r="A70">
        <v>14</v>
      </c>
      <c r="B70">
        <v>26</v>
      </c>
      <c r="C70" t="s">
        <v>98</v>
      </c>
      <c r="D70" t="s">
        <v>30</v>
      </c>
      <c r="E70" t="s">
        <v>31</v>
      </c>
      <c r="F70" t="s">
        <v>26</v>
      </c>
      <c r="G70" t="s">
        <v>27</v>
      </c>
    </row>
    <row r="71" spans="1:7" x14ac:dyDescent="0.2">
      <c r="A71">
        <v>14</v>
      </c>
      <c r="B71">
        <v>26</v>
      </c>
      <c r="C71" t="s">
        <v>99</v>
      </c>
      <c r="D71" t="s">
        <v>24</v>
      </c>
      <c r="E71" t="s">
        <v>31</v>
      </c>
      <c r="F71" t="s">
        <v>26</v>
      </c>
      <c r="G71" t="s">
        <v>27</v>
      </c>
    </row>
    <row r="72" spans="1:7" x14ac:dyDescent="0.2">
      <c r="A72">
        <v>15</v>
      </c>
      <c r="B72">
        <v>26</v>
      </c>
      <c r="C72" t="s">
        <v>100</v>
      </c>
      <c r="D72" t="s">
        <v>24</v>
      </c>
      <c r="E72" t="s">
        <v>31</v>
      </c>
      <c r="F72" t="s">
        <v>26</v>
      </c>
      <c r="G72" t="s">
        <v>27</v>
      </c>
    </row>
    <row r="73" spans="1:7" x14ac:dyDescent="0.2">
      <c r="A73">
        <v>17</v>
      </c>
      <c r="B73">
        <v>26</v>
      </c>
      <c r="C73" t="s">
        <v>88</v>
      </c>
      <c r="D73" t="s">
        <v>24</v>
      </c>
      <c r="E73" t="s">
        <v>31</v>
      </c>
      <c r="F73" t="s">
        <v>26</v>
      </c>
      <c r="G73" t="s">
        <v>27</v>
      </c>
    </row>
    <row r="74" spans="1:7" x14ac:dyDescent="0.2">
      <c r="A74">
        <v>17</v>
      </c>
      <c r="B74">
        <v>26</v>
      </c>
      <c r="C74" t="s">
        <v>102</v>
      </c>
      <c r="D74" t="s">
        <v>24</v>
      </c>
      <c r="E74" t="s">
        <v>31</v>
      </c>
      <c r="F74" t="s">
        <v>26</v>
      </c>
      <c r="G74" t="s">
        <v>27</v>
      </c>
    </row>
    <row r="75" spans="1:7" x14ac:dyDescent="0.2">
      <c r="A75">
        <v>17</v>
      </c>
      <c r="B75">
        <v>26</v>
      </c>
      <c r="C75" t="s">
        <v>71</v>
      </c>
      <c r="D75" t="s">
        <v>24</v>
      </c>
      <c r="E75" t="s">
        <v>31</v>
      </c>
      <c r="F75" t="s">
        <v>26</v>
      </c>
      <c r="G75" t="s">
        <v>27</v>
      </c>
    </row>
    <row r="76" spans="1:7" x14ac:dyDescent="0.2">
      <c r="A76">
        <v>18</v>
      </c>
      <c r="B76">
        <v>26</v>
      </c>
      <c r="C76" t="s">
        <v>103</v>
      </c>
      <c r="D76" t="s">
        <v>24</v>
      </c>
      <c r="E76" t="s">
        <v>31</v>
      </c>
      <c r="F76" t="s">
        <v>26</v>
      </c>
      <c r="G76" t="s">
        <v>27</v>
      </c>
    </row>
    <row r="77" spans="1:7" x14ac:dyDescent="0.2">
      <c r="A77">
        <v>18</v>
      </c>
      <c r="B77">
        <v>26</v>
      </c>
      <c r="C77" t="s">
        <v>88</v>
      </c>
      <c r="D77" t="s">
        <v>24</v>
      </c>
      <c r="E77" t="s">
        <v>31</v>
      </c>
      <c r="F77" t="s">
        <v>26</v>
      </c>
      <c r="G77" t="s">
        <v>27</v>
      </c>
    </row>
    <row r="78" spans="1:7" x14ac:dyDescent="0.2">
      <c r="A78">
        <v>19</v>
      </c>
      <c r="B78">
        <v>26</v>
      </c>
      <c r="C78" t="s">
        <v>104</v>
      </c>
      <c r="D78" t="s">
        <v>24</v>
      </c>
      <c r="E78" t="s">
        <v>25</v>
      </c>
      <c r="F78" t="s">
        <v>26</v>
      </c>
      <c r="G78" t="s">
        <v>27</v>
      </c>
    </row>
    <row r="79" spans="1:7" x14ac:dyDescent="0.2">
      <c r="A79">
        <v>19</v>
      </c>
      <c r="B79">
        <v>26</v>
      </c>
      <c r="C79" t="s">
        <v>105</v>
      </c>
      <c r="D79" t="s">
        <v>24</v>
      </c>
      <c r="E79" t="s">
        <v>25</v>
      </c>
      <c r="F79" t="s">
        <v>26</v>
      </c>
      <c r="G79" t="s">
        <v>27</v>
      </c>
    </row>
    <row r="80" spans="1:7" x14ac:dyDescent="0.2">
      <c r="A80">
        <v>20</v>
      </c>
      <c r="B80">
        <v>26</v>
      </c>
      <c r="C80" t="s">
        <v>106</v>
      </c>
      <c r="D80" t="s">
        <v>24</v>
      </c>
      <c r="E80" t="s">
        <v>31</v>
      </c>
      <c r="F80" t="s">
        <v>26</v>
      </c>
      <c r="G80" t="s">
        <v>27</v>
      </c>
    </row>
    <row r="81" spans="1:7" x14ac:dyDescent="0.2">
      <c r="A81">
        <v>20</v>
      </c>
      <c r="B81">
        <v>26</v>
      </c>
      <c r="C81" t="s">
        <v>107</v>
      </c>
      <c r="D81" t="s">
        <v>24</v>
      </c>
      <c r="E81" t="s">
        <v>31</v>
      </c>
      <c r="F81" t="s">
        <v>26</v>
      </c>
      <c r="G81" t="s">
        <v>27</v>
      </c>
    </row>
    <row r="82" spans="1:7" x14ac:dyDescent="0.2">
      <c r="A82">
        <v>21</v>
      </c>
      <c r="B82">
        <v>26</v>
      </c>
      <c r="C82" t="s">
        <v>106</v>
      </c>
      <c r="D82" t="s">
        <v>24</v>
      </c>
      <c r="E82" t="s">
        <v>31</v>
      </c>
      <c r="F82" t="s">
        <v>26</v>
      </c>
      <c r="G82" t="s">
        <v>27</v>
      </c>
    </row>
    <row r="83" spans="1:7" x14ac:dyDescent="0.2">
      <c r="A83">
        <v>21</v>
      </c>
      <c r="B83">
        <v>26</v>
      </c>
      <c r="C83" t="s">
        <v>108</v>
      </c>
      <c r="D83" t="s">
        <v>24</v>
      </c>
      <c r="E83" t="s">
        <v>31</v>
      </c>
      <c r="F83" t="s">
        <v>26</v>
      </c>
      <c r="G83" t="s">
        <v>27</v>
      </c>
    </row>
    <row r="84" spans="1:7" x14ac:dyDescent="0.2">
      <c r="A84">
        <v>22</v>
      </c>
      <c r="B84">
        <v>26</v>
      </c>
      <c r="C84" t="s">
        <v>106</v>
      </c>
      <c r="D84" t="s">
        <v>24</v>
      </c>
      <c r="E84" t="s">
        <v>25</v>
      </c>
      <c r="F84" t="s">
        <v>26</v>
      </c>
      <c r="G84" t="s">
        <v>27</v>
      </c>
    </row>
    <row r="85" spans="1:7" x14ac:dyDescent="0.2">
      <c r="A85">
        <v>22</v>
      </c>
      <c r="B85">
        <v>26</v>
      </c>
      <c r="C85" t="s">
        <v>108</v>
      </c>
      <c r="D85" t="s">
        <v>24</v>
      </c>
      <c r="E85" t="s">
        <v>25</v>
      </c>
      <c r="F85" t="s">
        <v>26</v>
      </c>
      <c r="G85" t="s">
        <v>27</v>
      </c>
    </row>
    <row r="86" spans="1:7" x14ac:dyDescent="0.2">
      <c r="A86">
        <v>22</v>
      </c>
      <c r="B86">
        <v>26</v>
      </c>
      <c r="C86" t="s">
        <v>107</v>
      </c>
      <c r="D86" t="s">
        <v>24</v>
      </c>
      <c r="E86" t="s">
        <v>25</v>
      </c>
      <c r="F86" t="s">
        <v>26</v>
      </c>
      <c r="G86" t="s">
        <v>27</v>
      </c>
    </row>
    <row r="87" spans="1:7" x14ac:dyDescent="0.2">
      <c r="A87">
        <v>23</v>
      </c>
      <c r="B87">
        <v>26</v>
      </c>
      <c r="C87" t="s">
        <v>109</v>
      </c>
      <c r="D87" t="s">
        <v>24</v>
      </c>
      <c r="E87" t="s">
        <v>31</v>
      </c>
      <c r="F87" t="s">
        <v>26</v>
      </c>
      <c r="G87" t="s">
        <v>27</v>
      </c>
    </row>
    <row r="88" spans="1:7" x14ac:dyDescent="0.2">
      <c r="A88">
        <v>7</v>
      </c>
      <c r="B88">
        <v>27</v>
      </c>
      <c r="C88" t="s">
        <v>96</v>
      </c>
      <c r="D88" t="s">
        <v>24</v>
      </c>
      <c r="E88" t="s">
        <v>31</v>
      </c>
      <c r="F88" t="s">
        <v>87</v>
      </c>
      <c r="G88" t="s">
        <v>27</v>
      </c>
    </row>
    <row r="89" spans="1:7" x14ac:dyDescent="0.2">
      <c r="A89">
        <v>8</v>
      </c>
      <c r="B89">
        <v>27</v>
      </c>
      <c r="C89" t="s">
        <v>110</v>
      </c>
      <c r="D89" t="s">
        <v>24</v>
      </c>
      <c r="E89" t="s">
        <v>25</v>
      </c>
      <c r="F89" t="s">
        <v>26</v>
      </c>
      <c r="G89" t="s">
        <v>27</v>
      </c>
    </row>
    <row r="90" spans="1:7" x14ac:dyDescent="0.2">
      <c r="A90">
        <v>8</v>
      </c>
      <c r="B90">
        <v>27</v>
      </c>
      <c r="C90" t="s">
        <v>111</v>
      </c>
      <c r="D90" t="s">
        <v>24</v>
      </c>
      <c r="E90" t="s">
        <v>25</v>
      </c>
      <c r="F90" t="s">
        <v>26</v>
      </c>
      <c r="G90" t="s">
        <v>27</v>
      </c>
    </row>
    <row r="91" spans="1:7" x14ac:dyDescent="0.2">
      <c r="A91">
        <v>8</v>
      </c>
      <c r="B91">
        <v>27</v>
      </c>
      <c r="C91" t="s">
        <v>112</v>
      </c>
      <c r="D91" t="s">
        <v>24</v>
      </c>
      <c r="E91" t="s">
        <v>25</v>
      </c>
      <c r="F91" t="s">
        <v>26</v>
      </c>
      <c r="G91" t="s">
        <v>27</v>
      </c>
    </row>
    <row r="92" spans="1:7" x14ac:dyDescent="0.2">
      <c r="A92">
        <v>9</v>
      </c>
      <c r="B92">
        <v>27</v>
      </c>
      <c r="C92" t="s">
        <v>113</v>
      </c>
      <c r="D92" t="s">
        <v>24</v>
      </c>
      <c r="E92" t="s">
        <v>31</v>
      </c>
      <c r="F92" t="s">
        <v>26</v>
      </c>
      <c r="G92" t="s">
        <v>27</v>
      </c>
    </row>
    <row r="93" spans="1:7" x14ac:dyDescent="0.2">
      <c r="A93">
        <v>9</v>
      </c>
      <c r="B93">
        <v>27</v>
      </c>
      <c r="C93" t="s">
        <v>114</v>
      </c>
      <c r="D93" t="s">
        <v>24</v>
      </c>
      <c r="E93" t="s">
        <v>31</v>
      </c>
      <c r="F93" t="s">
        <v>26</v>
      </c>
      <c r="G93" t="s">
        <v>27</v>
      </c>
    </row>
    <row r="94" spans="1:7" x14ac:dyDescent="0.2">
      <c r="A94">
        <v>9</v>
      </c>
      <c r="B94">
        <v>27</v>
      </c>
      <c r="C94" t="s">
        <v>115</v>
      </c>
      <c r="D94" t="s">
        <v>24</v>
      </c>
      <c r="E94" t="s">
        <v>31</v>
      </c>
      <c r="F94" t="s">
        <v>26</v>
      </c>
      <c r="G94" t="s">
        <v>27</v>
      </c>
    </row>
    <row r="95" spans="1:7" x14ac:dyDescent="0.2">
      <c r="A95">
        <v>9</v>
      </c>
      <c r="B95">
        <v>27</v>
      </c>
      <c r="C95" t="s">
        <v>106</v>
      </c>
      <c r="D95" t="s">
        <v>24</v>
      </c>
      <c r="E95" t="s">
        <v>31</v>
      </c>
      <c r="F95" t="s">
        <v>26</v>
      </c>
      <c r="G95" t="s">
        <v>27</v>
      </c>
    </row>
    <row r="96" spans="1:7" x14ac:dyDescent="0.2">
      <c r="A96">
        <v>10</v>
      </c>
      <c r="B96">
        <v>27</v>
      </c>
      <c r="C96" t="s">
        <v>113</v>
      </c>
      <c r="D96" t="s">
        <v>24</v>
      </c>
      <c r="E96" t="s">
        <v>31</v>
      </c>
      <c r="F96" t="s">
        <v>26</v>
      </c>
      <c r="G96" t="s">
        <v>27</v>
      </c>
    </row>
    <row r="97" spans="1:7" x14ac:dyDescent="0.2">
      <c r="A97">
        <v>10</v>
      </c>
      <c r="B97">
        <v>27</v>
      </c>
      <c r="C97" t="s">
        <v>114</v>
      </c>
      <c r="D97" t="s">
        <v>24</v>
      </c>
      <c r="E97" t="s">
        <v>31</v>
      </c>
      <c r="F97" t="s">
        <v>26</v>
      </c>
      <c r="G97" t="s">
        <v>27</v>
      </c>
    </row>
    <row r="98" spans="1:7" x14ac:dyDescent="0.2">
      <c r="A98">
        <v>10</v>
      </c>
      <c r="B98">
        <v>27</v>
      </c>
      <c r="C98" t="s">
        <v>106</v>
      </c>
      <c r="D98" t="s">
        <v>24</v>
      </c>
      <c r="E98" t="s">
        <v>31</v>
      </c>
      <c r="F98" t="s">
        <v>26</v>
      </c>
      <c r="G98" t="s">
        <v>27</v>
      </c>
    </row>
    <row r="99" spans="1:7" x14ac:dyDescent="0.2">
      <c r="A99">
        <v>11</v>
      </c>
      <c r="B99">
        <v>27</v>
      </c>
      <c r="C99" t="s">
        <v>113</v>
      </c>
      <c r="D99" t="s">
        <v>24</v>
      </c>
      <c r="E99" t="s">
        <v>25</v>
      </c>
      <c r="F99" t="s">
        <v>26</v>
      </c>
      <c r="G99" t="s">
        <v>27</v>
      </c>
    </row>
    <row r="100" spans="1:7" x14ac:dyDescent="0.2">
      <c r="A100">
        <v>11</v>
      </c>
      <c r="B100">
        <v>27</v>
      </c>
      <c r="C100" t="s">
        <v>114</v>
      </c>
      <c r="D100" t="s">
        <v>24</v>
      </c>
      <c r="E100" t="s">
        <v>25</v>
      </c>
      <c r="F100" t="s">
        <v>26</v>
      </c>
      <c r="G100" t="s">
        <v>27</v>
      </c>
    </row>
    <row r="101" spans="1:7" x14ac:dyDescent="0.2">
      <c r="A101">
        <v>11</v>
      </c>
      <c r="B101">
        <v>27</v>
      </c>
      <c r="C101" t="s">
        <v>116</v>
      </c>
      <c r="D101" t="s">
        <v>24</v>
      </c>
      <c r="E101" t="s">
        <v>25</v>
      </c>
      <c r="F101" t="s">
        <v>26</v>
      </c>
      <c r="G101" t="s">
        <v>27</v>
      </c>
    </row>
    <row r="102" spans="1:7" x14ac:dyDescent="0.2">
      <c r="A102">
        <v>11</v>
      </c>
      <c r="B102">
        <v>27</v>
      </c>
      <c r="C102" t="s">
        <v>117</v>
      </c>
      <c r="D102" t="s">
        <v>24</v>
      </c>
      <c r="E102" t="s">
        <v>25</v>
      </c>
      <c r="F102" t="s">
        <v>26</v>
      </c>
      <c r="G102" t="s">
        <v>27</v>
      </c>
    </row>
    <row r="103" spans="1:7" x14ac:dyDescent="0.2">
      <c r="A103">
        <v>11</v>
      </c>
      <c r="B103">
        <v>27</v>
      </c>
      <c r="C103" t="s">
        <v>118</v>
      </c>
      <c r="D103" t="s">
        <v>24</v>
      </c>
      <c r="E103" t="s">
        <v>25</v>
      </c>
      <c r="F103" t="s">
        <v>26</v>
      </c>
      <c r="G103" t="s">
        <v>27</v>
      </c>
    </row>
    <row r="104" spans="1:7" x14ac:dyDescent="0.2">
      <c r="A104">
        <v>12</v>
      </c>
      <c r="B104">
        <v>27</v>
      </c>
      <c r="C104" t="s">
        <v>119</v>
      </c>
      <c r="D104" t="s">
        <v>24</v>
      </c>
      <c r="E104" t="s">
        <v>31</v>
      </c>
      <c r="F104" t="s">
        <v>87</v>
      </c>
      <c r="G104" t="s">
        <v>27</v>
      </c>
    </row>
    <row r="105" spans="1:7" x14ac:dyDescent="0.2">
      <c r="A105">
        <v>12</v>
      </c>
      <c r="B105">
        <v>27</v>
      </c>
      <c r="C105" t="s">
        <v>114</v>
      </c>
      <c r="D105" t="s">
        <v>24</v>
      </c>
      <c r="E105" t="s">
        <v>31</v>
      </c>
      <c r="F105" t="s">
        <v>87</v>
      </c>
      <c r="G105" t="s">
        <v>27</v>
      </c>
    </row>
    <row r="106" spans="1:7" x14ac:dyDescent="0.2">
      <c r="A106">
        <v>12</v>
      </c>
      <c r="B106">
        <v>27</v>
      </c>
      <c r="C106" t="s">
        <v>120</v>
      </c>
      <c r="D106" t="s">
        <v>24</v>
      </c>
      <c r="E106" t="s">
        <v>31</v>
      </c>
      <c r="F106" t="s">
        <v>87</v>
      </c>
      <c r="G106" t="s">
        <v>27</v>
      </c>
    </row>
    <row r="107" spans="1:7" x14ac:dyDescent="0.2">
      <c r="A107">
        <v>13</v>
      </c>
      <c r="B107">
        <v>27</v>
      </c>
      <c r="C107" t="s">
        <v>121</v>
      </c>
      <c r="D107" t="s">
        <v>24</v>
      </c>
      <c r="E107" t="s">
        <v>31</v>
      </c>
      <c r="F107" t="s">
        <v>26</v>
      </c>
      <c r="G107" t="s">
        <v>27</v>
      </c>
    </row>
    <row r="108" spans="1:7" x14ac:dyDescent="0.2">
      <c r="A108">
        <v>13</v>
      </c>
      <c r="B108">
        <v>27</v>
      </c>
      <c r="C108" t="s">
        <v>122</v>
      </c>
      <c r="D108" t="s">
        <v>24</v>
      </c>
      <c r="E108" t="s">
        <v>31</v>
      </c>
      <c r="F108" t="s">
        <v>26</v>
      </c>
      <c r="G108" t="s">
        <v>27</v>
      </c>
    </row>
    <row r="109" spans="1:7" x14ac:dyDescent="0.2">
      <c r="A109">
        <v>14</v>
      </c>
      <c r="B109">
        <v>27</v>
      </c>
      <c r="C109" t="s">
        <v>123</v>
      </c>
      <c r="D109" t="s">
        <v>24</v>
      </c>
      <c r="E109" t="s">
        <v>31</v>
      </c>
      <c r="F109" t="s">
        <v>26</v>
      </c>
      <c r="G109" t="s">
        <v>27</v>
      </c>
    </row>
    <row r="110" spans="1:7" x14ac:dyDescent="0.2">
      <c r="A110">
        <v>14</v>
      </c>
      <c r="B110">
        <v>27</v>
      </c>
      <c r="C110" t="s">
        <v>121</v>
      </c>
      <c r="D110" t="s">
        <v>24</v>
      </c>
      <c r="E110" t="s">
        <v>31</v>
      </c>
      <c r="F110" t="s">
        <v>26</v>
      </c>
      <c r="G110" t="s">
        <v>27</v>
      </c>
    </row>
    <row r="111" spans="1:7" x14ac:dyDescent="0.2">
      <c r="A111">
        <v>14</v>
      </c>
      <c r="B111">
        <v>27</v>
      </c>
      <c r="C111" t="s">
        <v>124</v>
      </c>
      <c r="D111" t="s">
        <v>24</v>
      </c>
      <c r="E111" t="s">
        <v>31</v>
      </c>
      <c r="F111" t="s">
        <v>26</v>
      </c>
      <c r="G111" t="s">
        <v>27</v>
      </c>
    </row>
    <row r="112" spans="1:7" x14ac:dyDescent="0.2">
      <c r="A112">
        <v>14</v>
      </c>
      <c r="B112">
        <v>27</v>
      </c>
      <c r="C112" t="s">
        <v>125</v>
      </c>
      <c r="D112" t="s">
        <v>24</v>
      </c>
      <c r="E112" t="s">
        <v>31</v>
      </c>
      <c r="F112" t="s">
        <v>26</v>
      </c>
      <c r="G112" t="s">
        <v>27</v>
      </c>
    </row>
    <row r="113" spans="1:7" x14ac:dyDescent="0.2">
      <c r="A113">
        <v>14</v>
      </c>
      <c r="B113">
        <v>27</v>
      </c>
      <c r="C113" t="s">
        <v>126</v>
      </c>
      <c r="D113" t="s">
        <v>24</v>
      </c>
      <c r="E113" t="s">
        <v>31</v>
      </c>
      <c r="F113" t="s">
        <v>26</v>
      </c>
      <c r="G113" t="s">
        <v>27</v>
      </c>
    </row>
    <row r="114" spans="1:7" x14ac:dyDescent="0.2">
      <c r="A114">
        <v>14</v>
      </c>
      <c r="B114">
        <v>27</v>
      </c>
      <c r="C114" t="s">
        <v>122</v>
      </c>
      <c r="D114" t="s">
        <v>24</v>
      </c>
      <c r="E114" t="s">
        <v>31</v>
      </c>
      <c r="F114" t="s">
        <v>26</v>
      </c>
      <c r="G114" t="s">
        <v>27</v>
      </c>
    </row>
    <row r="115" spans="1:7" x14ac:dyDescent="0.2">
      <c r="A115">
        <v>15</v>
      </c>
      <c r="B115">
        <v>27</v>
      </c>
      <c r="C115" t="s">
        <v>127</v>
      </c>
      <c r="D115" t="s">
        <v>24</v>
      </c>
      <c r="E115" t="s">
        <v>31</v>
      </c>
      <c r="F115" t="s">
        <v>47</v>
      </c>
      <c r="G115" t="s">
        <v>27</v>
      </c>
    </row>
    <row r="116" spans="1:7" x14ac:dyDescent="0.2">
      <c r="A116">
        <v>15</v>
      </c>
      <c r="B116">
        <v>27</v>
      </c>
      <c r="C116" t="s">
        <v>128</v>
      </c>
      <c r="D116" t="s">
        <v>24</v>
      </c>
      <c r="E116" t="s">
        <v>31</v>
      </c>
      <c r="F116" t="s">
        <v>47</v>
      </c>
      <c r="G116" t="s">
        <v>27</v>
      </c>
    </row>
    <row r="117" spans="1:7" x14ac:dyDescent="0.2">
      <c r="A117">
        <v>16</v>
      </c>
      <c r="B117">
        <v>27</v>
      </c>
      <c r="C117" t="s">
        <v>127</v>
      </c>
      <c r="D117" t="s">
        <v>24</v>
      </c>
      <c r="E117" t="s">
        <v>31</v>
      </c>
      <c r="F117" t="s">
        <v>47</v>
      </c>
      <c r="G117" t="s">
        <v>27</v>
      </c>
    </row>
    <row r="118" spans="1:7" x14ac:dyDescent="0.2">
      <c r="A118">
        <v>16</v>
      </c>
      <c r="B118">
        <v>27</v>
      </c>
      <c r="C118" t="s">
        <v>120</v>
      </c>
      <c r="D118" t="s">
        <v>24</v>
      </c>
      <c r="E118" t="s">
        <v>31</v>
      </c>
      <c r="F118" t="s">
        <v>47</v>
      </c>
      <c r="G118" t="s">
        <v>27</v>
      </c>
    </row>
    <row r="119" spans="1:7" x14ac:dyDescent="0.2">
      <c r="A119">
        <v>17</v>
      </c>
      <c r="B119">
        <v>27</v>
      </c>
      <c r="C119" t="s">
        <v>129</v>
      </c>
      <c r="D119" t="s">
        <v>24</v>
      </c>
      <c r="E119" t="s">
        <v>31</v>
      </c>
      <c r="F119" t="s">
        <v>26</v>
      </c>
      <c r="G119" t="s">
        <v>27</v>
      </c>
    </row>
    <row r="120" spans="1:7" x14ac:dyDescent="0.2">
      <c r="A120">
        <v>17</v>
      </c>
      <c r="B120">
        <v>27</v>
      </c>
      <c r="C120" t="s">
        <v>130</v>
      </c>
      <c r="D120" t="s">
        <v>24</v>
      </c>
      <c r="E120" t="s">
        <v>31</v>
      </c>
      <c r="F120" t="s">
        <v>26</v>
      </c>
      <c r="G120" t="s">
        <v>27</v>
      </c>
    </row>
    <row r="121" spans="1:7" x14ac:dyDescent="0.2">
      <c r="A121">
        <v>17</v>
      </c>
      <c r="B121">
        <v>27</v>
      </c>
      <c r="C121" t="s">
        <v>114</v>
      </c>
      <c r="D121" t="s">
        <v>24</v>
      </c>
      <c r="E121" t="s">
        <v>31</v>
      </c>
      <c r="F121" t="s">
        <v>26</v>
      </c>
      <c r="G121" t="s">
        <v>27</v>
      </c>
    </row>
    <row r="122" spans="1:7" x14ac:dyDescent="0.2">
      <c r="A122">
        <v>17</v>
      </c>
      <c r="B122">
        <v>27</v>
      </c>
      <c r="C122" t="s">
        <v>106</v>
      </c>
      <c r="D122" t="s">
        <v>24</v>
      </c>
      <c r="E122" t="s">
        <v>31</v>
      </c>
      <c r="F122" t="s">
        <v>26</v>
      </c>
      <c r="G122" t="s">
        <v>27</v>
      </c>
    </row>
    <row r="123" spans="1:7" x14ac:dyDescent="0.2">
      <c r="A123">
        <v>18</v>
      </c>
      <c r="B123">
        <v>27</v>
      </c>
      <c r="C123" t="s">
        <v>131</v>
      </c>
      <c r="D123" t="s">
        <v>24</v>
      </c>
      <c r="E123" t="s">
        <v>31</v>
      </c>
      <c r="F123" t="s">
        <v>26</v>
      </c>
      <c r="G123" t="s">
        <v>27</v>
      </c>
    </row>
    <row r="124" spans="1:7" x14ac:dyDescent="0.2">
      <c r="A124">
        <v>18</v>
      </c>
      <c r="B124">
        <v>27</v>
      </c>
      <c r="C124" t="s">
        <v>106</v>
      </c>
      <c r="D124" t="s">
        <v>24</v>
      </c>
      <c r="E124" t="s">
        <v>31</v>
      </c>
      <c r="F124" t="s">
        <v>26</v>
      </c>
      <c r="G124" t="s">
        <v>27</v>
      </c>
    </row>
    <row r="125" spans="1:7" x14ac:dyDescent="0.2">
      <c r="A125">
        <v>19</v>
      </c>
      <c r="B125">
        <v>27</v>
      </c>
      <c r="C125" t="s">
        <v>131</v>
      </c>
      <c r="D125" t="s">
        <v>24</v>
      </c>
      <c r="E125" t="s">
        <v>25</v>
      </c>
      <c r="F125" t="s">
        <v>26</v>
      </c>
      <c r="G125" t="s">
        <v>27</v>
      </c>
    </row>
    <row r="126" spans="1:7" x14ac:dyDescent="0.2">
      <c r="A126">
        <v>19</v>
      </c>
      <c r="B126">
        <v>27</v>
      </c>
      <c r="C126" t="s">
        <v>132</v>
      </c>
      <c r="D126" t="s">
        <v>24</v>
      </c>
      <c r="E126" t="s">
        <v>25</v>
      </c>
      <c r="F126" t="s">
        <v>26</v>
      </c>
      <c r="G126" t="s">
        <v>27</v>
      </c>
    </row>
    <row r="127" spans="1:7" x14ac:dyDescent="0.2">
      <c r="A127">
        <v>19</v>
      </c>
      <c r="B127">
        <v>27</v>
      </c>
      <c r="C127" t="s">
        <v>106</v>
      </c>
      <c r="D127" t="s">
        <v>24</v>
      </c>
      <c r="E127" t="s">
        <v>25</v>
      </c>
      <c r="F127" t="s">
        <v>26</v>
      </c>
      <c r="G127" t="s">
        <v>27</v>
      </c>
    </row>
    <row r="128" spans="1:7" x14ac:dyDescent="0.2">
      <c r="A128">
        <v>20</v>
      </c>
      <c r="B128">
        <v>27</v>
      </c>
      <c r="C128" t="s">
        <v>128</v>
      </c>
      <c r="D128" t="s">
        <v>24</v>
      </c>
      <c r="E128" t="s">
        <v>31</v>
      </c>
      <c r="F128" t="s">
        <v>26</v>
      </c>
      <c r="G128" t="s">
        <v>27</v>
      </c>
    </row>
    <row r="129" spans="1:7" x14ac:dyDescent="0.2">
      <c r="A129">
        <v>20</v>
      </c>
      <c r="B129">
        <v>27</v>
      </c>
      <c r="C129" t="s">
        <v>131</v>
      </c>
      <c r="D129" t="s">
        <v>24</v>
      </c>
      <c r="E129" t="s">
        <v>31</v>
      </c>
      <c r="F129" t="s">
        <v>26</v>
      </c>
      <c r="G129" t="s">
        <v>27</v>
      </c>
    </row>
    <row r="130" spans="1:7" x14ac:dyDescent="0.2">
      <c r="A130">
        <v>20</v>
      </c>
      <c r="B130">
        <v>27</v>
      </c>
      <c r="C130" t="s">
        <v>133</v>
      </c>
      <c r="D130" t="s">
        <v>24</v>
      </c>
      <c r="E130" t="s">
        <v>31</v>
      </c>
      <c r="F130" t="s">
        <v>26</v>
      </c>
      <c r="G130" t="s">
        <v>27</v>
      </c>
    </row>
    <row r="131" spans="1:7" x14ac:dyDescent="0.2">
      <c r="A131">
        <v>20</v>
      </c>
      <c r="B131">
        <v>27</v>
      </c>
      <c r="C131" t="s">
        <v>134</v>
      </c>
      <c r="D131" t="s">
        <v>24</v>
      </c>
      <c r="E131" t="s">
        <v>31</v>
      </c>
      <c r="F131" t="s">
        <v>26</v>
      </c>
      <c r="G131" t="s">
        <v>27</v>
      </c>
    </row>
    <row r="132" spans="1:7" x14ac:dyDescent="0.2">
      <c r="A132">
        <v>20</v>
      </c>
      <c r="B132">
        <v>27</v>
      </c>
      <c r="C132" t="s">
        <v>135</v>
      </c>
      <c r="D132" t="s">
        <v>24</v>
      </c>
      <c r="E132" t="s">
        <v>31</v>
      </c>
      <c r="F132" t="s">
        <v>26</v>
      </c>
      <c r="G132" t="s">
        <v>27</v>
      </c>
    </row>
    <row r="133" spans="1:7" x14ac:dyDescent="0.2">
      <c r="A133">
        <v>21</v>
      </c>
      <c r="B133">
        <v>27</v>
      </c>
      <c r="C133" t="s">
        <v>131</v>
      </c>
      <c r="D133" t="s">
        <v>24</v>
      </c>
      <c r="E133" t="s">
        <v>31</v>
      </c>
      <c r="F133" t="s">
        <v>26</v>
      </c>
      <c r="G133" t="s">
        <v>27</v>
      </c>
    </row>
    <row r="134" spans="1:7" x14ac:dyDescent="0.2">
      <c r="A134">
        <v>21</v>
      </c>
      <c r="B134">
        <v>27</v>
      </c>
      <c r="C134" t="s">
        <v>136</v>
      </c>
      <c r="D134" t="s">
        <v>24</v>
      </c>
      <c r="E134" t="s">
        <v>31</v>
      </c>
      <c r="F134" t="s">
        <v>26</v>
      </c>
      <c r="G134" t="s">
        <v>27</v>
      </c>
    </row>
    <row r="135" spans="1:7" x14ac:dyDescent="0.2">
      <c r="A135">
        <v>22</v>
      </c>
      <c r="B135">
        <v>27</v>
      </c>
      <c r="C135" t="s">
        <v>137</v>
      </c>
      <c r="D135" t="s">
        <v>24</v>
      </c>
      <c r="E135" t="s">
        <v>25</v>
      </c>
      <c r="F135" t="s">
        <v>26</v>
      </c>
      <c r="G135" t="s">
        <v>27</v>
      </c>
    </row>
    <row r="136" spans="1:7" x14ac:dyDescent="0.2">
      <c r="A136">
        <v>22</v>
      </c>
      <c r="B136">
        <v>27</v>
      </c>
      <c r="C136" t="s">
        <v>131</v>
      </c>
      <c r="D136" t="s">
        <v>24</v>
      </c>
      <c r="E136" t="s">
        <v>25</v>
      </c>
      <c r="F136" t="s">
        <v>26</v>
      </c>
      <c r="G136" t="s">
        <v>27</v>
      </c>
    </row>
    <row r="137" spans="1:7" x14ac:dyDescent="0.2">
      <c r="A137">
        <v>22</v>
      </c>
      <c r="B137">
        <v>27</v>
      </c>
      <c r="C137" t="s">
        <v>136</v>
      </c>
      <c r="D137" t="s">
        <v>24</v>
      </c>
      <c r="E137" t="s">
        <v>25</v>
      </c>
      <c r="F137" t="s">
        <v>26</v>
      </c>
      <c r="G137" t="s">
        <v>27</v>
      </c>
    </row>
    <row r="138" spans="1:7" x14ac:dyDescent="0.2">
      <c r="A138">
        <v>22</v>
      </c>
      <c r="B138">
        <v>27</v>
      </c>
      <c r="C138" t="s">
        <v>138</v>
      </c>
      <c r="D138" t="s">
        <v>24</v>
      </c>
      <c r="E138" t="s">
        <v>25</v>
      </c>
      <c r="F138" t="s">
        <v>26</v>
      </c>
      <c r="G138" t="s">
        <v>27</v>
      </c>
    </row>
    <row r="139" spans="1:7" x14ac:dyDescent="0.2">
      <c r="A139">
        <v>23</v>
      </c>
      <c r="B139">
        <v>27</v>
      </c>
      <c r="C139" t="s">
        <v>139</v>
      </c>
      <c r="D139" t="s">
        <v>24</v>
      </c>
      <c r="E139" t="s">
        <v>31</v>
      </c>
      <c r="F139" t="s">
        <v>26</v>
      </c>
      <c r="G139" t="s">
        <v>27</v>
      </c>
    </row>
    <row r="140" spans="1:7" x14ac:dyDescent="0.2">
      <c r="A140">
        <v>7</v>
      </c>
      <c r="B140">
        <v>28</v>
      </c>
      <c r="C140" t="s">
        <v>140</v>
      </c>
      <c r="D140" t="s">
        <v>24</v>
      </c>
      <c r="E140" t="s">
        <v>31</v>
      </c>
      <c r="F140" t="s">
        <v>87</v>
      </c>
      <c r="G140" t="s">
        <v>27</v>
      </c>
    </row>
    <row r="141" spans="1:7" x14ac:dyDescent="0.2">
      <c r="A141">
        <v>7</v>
      </c>
      <c r="B141">
        <v>28</v>
      </c>
      <c r="C141" t="s">
        <v>141</v>
      </c>
      <c r="D141" t="s">
        <v>24</v>
      </c>
      <c r="E141" t="s">
        <v>31</v>
      </c>
      <c r="F141" t="s">
        <v>87</v>
      </c>
      <c r="G141" t="s">
        <v>27</v>
      </c>
    </row>
    <row r="142" spans="1:7" x14ac:dyDescent="0.2">
      <c r="A142">
        <v>8</v>
      </c>
      <c r="B142">
        <v>28</v>
      </c>
      <c r="C142" t="s">
        <v>142</v>
      </c>
      <c r="D142" t="s">
        <v>24</v>
      </c>
      <c r="E142" t="s">
        <v>25</v>
      </c>
      <c r="F142" t="s">
        <v>26</v>
      </c>
      <c r="G142" t="s">
        <v>27</v>
      </c>
    </row>
    <row r="143" spans="1:7" x14ac:dyDescent="0.2">
      <c r="A143">
        <v>8</v>
      </c>
      <c r="B143">
        <v>28</v>
      </c>
      <c r="C143" t="s">
        <v>143</v>
      </c>
      <c r="D143" t="s">
        <v>24</v>
      </c>
      <c r="E143" t="s">
        <v>25</v>
      </c>
      <c r="F143" t="s">
        <v>26</v>
      </c>
      <c r="G143" t="s">
        <v>27</v>
      </c>
    </row>
    <row r="144" spans="1:7" x14ac:dyDescent="0.2">
      <c r="A144">
        <v>8</v>
      </c>
      <c r="B144">
        <v>28</v>
      </c>
      <c r="C144" t="s">
        <v>144</v>
      </c>
      <c r="D144" t="s">
        <v>24</v>
      </c>
      <c r="E144" t="s">
        <v>25</v>
      </c>
      <c r="F144" t="s">
        <v>26</v>
      </c>
      <c r="G144" t="s">
        <v>27</v>
      </c>
    </row>
    <row r="145" spans="1:7" x14ac:dyDescent="0.2">
      <c r="A145">
        <v>8</v>
      </c>
      <c r="B145">
        <v>28</v>
      </c>
      <c r="C145" t="s">
        <v>145</v>
      </c>
      <c r="D145" t="s">
        <v>30</v>
      </c>
      <c r="E145" t="s">
        <v>25</v>
      </c>
      <c r="F145" t="s">
        <v>26</v>
      </c>
      <c r="G145" t="s">
        <v>27</v>
      </c>
    </row>
    <row r="146" spans="1:7" x14ac:dyDescent="0.2">
      <c r="A146">
        <v>8</v>
      </c>
      <c r="B146">
        <v>28</v>
      </c>
      <c r="C146" t="s">
        <v>146</v>
      </c>
      <c r="D146" t="s">
        <v>24</v>
      </c>
      <c r="E146" t="s">
        <v>25</v>
      </c>
      <c r="F146" t="s">
        <v>26</v>
      </c>
      <c r="G146" t="s">
        <v>27</v>
      </c>
    </row>
    <row r="147" spans="1:7" x14ac:dyDescent="0.2">
      <c r="A147">
        <v>8</v>
      </c>
      <c r="B147">
        <v>28</v>
      </c>
      <c r="C147" t="s">
        <v>147</v>
      </c>
      <c r="D147" t="s">
        <v>24</v>
      </c>
      <c r="E147" t="s">
        <v>25</v>
      </c>
      <c r="F147" t="s">
        <v>26</v>
      </c>
      <c r="G147" t="s">
        <v>27</v>
      </c>
    </row>
    <row r="148" spans="1:7" x14ac:dyDescent="0.2">
      <c r="A148">
        <v>8</v>
      </c>
      <c r="B148">
        <v>28</v>
      </c>
      <c r="C148" t="s">
        <v>148</v>
      </c>
      <c r="D148" t="s">
        <v>24</v>
      </c>
      <c r="E148" t="s">
        <v>25</v>
      </c>
      <c r="F148" t="s">
        <v>26</v>
      </c>
      <c r="G148" t="s">
        <v>27</v>
      </c>
    </row>
    <row r="149" spans="1:7" x14ac:dyDescent="0.2">
      <c r="A149">
        <v>8</v>
      </c>
      <c r="B149">
        <v>28</v>
      </c>
      <c r="C149" t="s">
        <v>149</v>
      </c>
      <c r="D149" t="s">
        <v>24</v>
      </c>
      <c r="E149" t="s">
        <v>25</v>
      </c>
      <c r="F149" t="s">
        <v>26</v>
      </c>
      <c r="G149" t="s">
        <v>27</v>
      </c>
    </row>
    <row r="150" spans="1:7" x14ac:dyDescent="0.2">
      <c r="A150">
        <v>9</v>
      </c>
      <c r="B150">
        <v>28</v>
      </c>
      <c r="C150" t="s">
        <v>150</v>
      </c>
      <c r="D150" t="s">
        <v>24</v>
      </c>
      <c r="E150" t="s">
        <v>31</v>
      </c>
      <c r="F150" t="s">
        <v>26</v>
      </c>
      <c r="G150" t="s">
        <v>27</v>
      </c>
    </row>
    <row r="151" spans="1:7" x14ac:dyDescent="0.2">
      <c r="A151">
        <v>9</v>
      </c>
      <c r="B151">
        <v>28</v>
      </c>
      <c r="C151" t="s">
        <v>151</v>
      </c>
      <c r="D151" t="s">
        <v>24</v>
      </c>
      <c r="E151" t="s">
        <v>31</v>
      </c>
      <c r="F151" t="s">
        <v>26</v>
      </c>
      <c r="G151" t="s">
        <v>27</v>
      </c>
    </row>
    <row r="152" spans="1:7" x14ac:dyDescent="0.2">
      <c r="A152">
        <v>9</v>
      </c>
      <c r="B152">
        <v>28</v>
      </c>
      <c r="C152" t="s">
        <v>152</v>
      </c>
      <c r="D152" t="s">
        <v>30</v>
      </c>
      <c r="E152" t="s">
        <v>31</v>
      </c>
      <c r="F152" t="s">
        <v>26</v>
      </c>
      <c r="G152" t="s">
        <v>27</v>
      </c>
    </row>
    <row r="153" spans="1:7" x14ac:dyDescent="0.2">
      <c r="A153">
        <v>9</v>
      </c>
      <c r="B153">
        <v>28</v>
      </c>
      <c r="C153" t="s">
        <v>153</v>
      </c>
      <c r="D153" t="s">
        <v>24</v>
      </c>
      <c r="E153" t="s">
        <v>31</v>
      </c>
      <c r="F153" t="s">
        <v>26</v>
      </c>
      <c r="G153" t="s">
        <v>27</v>
      </c>
    </row>
    <row r="154" spans="1:7" x14ac:dyDescent="0.2">
      <c r="A154">
        <v>9</v>
      </c>
      <c r="B154">
        <v>28</v>
      </c>
      <c r="C154" t="s">
        <v>154</v>
      </c>
      <c r="D154" t="s">
        <v>24</v>
      </c>
      <c r="E154" t="s">
        <v>31</v>
      </c>
      <c r="F154" t="s">
        <v>26</v>
      </c>
      <c r="G154" t="s">
        <v>27</v>
      </c>
    </row>
    <row r="155" spans="1:7" x14ac:dyDescent="0.2">
      <c r="A155">
        <v>9</v>
      </c>
      <c r="B155">
        <v>28</v>
      </c>
      <c r="C155" t="s">
        <v>155</v>
      </c>
      <c r="D155" t="s">
        <v>24</v>
      </c>
      <c r="E155" t="s">
        <v>31</v>
      </c>
      <c r="F155" t="s">
        <v>26</v>
      </c>
      <c r="G155" t="s">
        <v>27</v>
      </c>
    </row>
    <row r="156" spans="1:7" x14ac:dyDescent="0.2">
      <c r="A156">
        <v>9</v>
      </c>
      <c r="B156">
        <v>28</v>
      </c>
      <c r="C156" t="s">
        <v>156</v>
      </c>
      <c r="D156" t="s">
        <v>24</v>
      </c>
      <c r="E156" t="s">
        <v>31</v>
      </c>
      <c r="F156" t="s">
        <v>26</v>
      </c>
      <c r="G156" t="s">
        <v>27</v>
      </c>
    </row>
    <row r="157" spans="1:7" x14ac:dyDescent="0.2">
      <c r="A157">
        <v>9</v>
      </c>
      <c r="B157">
        <v>28</v>
      </c>
      <c r="C157" t="s">
        <v>157</v>
      </c>
      <c r="D157" t="s">
        <v>24</v>
      </c>
      <c r="E157" t="s">
        <v>31</v>
      </c>
      <c r="F157" t="s">
        <v>26</v>
      </c>
      <c r="G157" t="s">
        <v>27</v>
      </c>
    </row>
    <row r="158" spans="1:7" x14ac:dyDescent="0.2">
      <c r="A158">
        <v>10</v>
      </c>
      <c r="B158">
        <v>28</v>
      </c>
      <c r="C158" t="s">
        <v>158</v>
      </c>
      <c r="D158" t="s">
        <v>24</v>
      </c>
      <c r="E158" t="s">
        <v>31</v>
      </c>
      <c r="F158" t="s">
        <v>26</v>
      </c>
      <c r="G158" t="s">
        <v>27</v>
      </c>
    </row>
    <row r="159" spans="1:7" x14ac:dyDescent="0.2">
      <c r="A159">
        <v>10</v>
      </c>
      <c r="B159">
        <v>28</v>
      </c>
      <c r="C159" t="s">
        <v>159</v>
      </c>
      <c r="D159" t="s">
        <v>24</v>
      </c>
      <c r="E159" t="s">
        <v>31</v>
      </c>
      <c r="F159" t="s">
        <v>26</v>
      </c>
      <c r="G159" t="s">
        <v>27</v>
      </c>
    </row>
    <row r="160" spans="1:7" x14ac:dyDescent="0.2">
      <c r="A160">
        <v>10</v>
      </c>
      <c r="B160">
        <v>28</v>
      </c>
      <c r="C160" t="s">
        <v>155</v>
      </c>
      <c r="D160" t="s">
        <v>24</v>
      </c>
      <c r="E160" t="s">
        <v>31</v>
      </c>
      <c r="F160" t="s">
        <v>26</v>
      </c>
      <c r="G160" t="s">
        <v>27</v>
      </c>
    </row>
    <row r="161" spans="1:7" x14ac:dyDescent="0.2">
      <c r="A161">
        <v>10</v>
      </c>
      <c r="B161">
        <v>28</v>
      </c>
      <c r="C161" t="s">
        <v>156</v>
      </c>
      <c r="D161" t="s">
        <v>24</v>
      </c>
      <c r="E161" t="s">
        <v>31</v>
      </c>
      <c r="F161" t="s">
        <v>26</v>
      </c>
      <c r="G161" t="s">
        <v>27</v>
      </c>
    </row>
    <row r="162" spans="1:7" x14ac:dyDescent="0.2">
      <c r="A162">
        <v>10</v>
      </c>
      <c r="B162">
        <v>28</v>
      </c>
      <c r="C162" t="s">
        <v>160</v>
      </c>
      <c r="D162" t="s">
        <v>24</v>
      </c>
      <c r="E162" t="s">
        <v>31</v>
      </c>
      <c r="F162" t="s">
        <v>26</v>
      </c>
      <c r="G162" t="s">
        <v>27</v>
      </c>
    </row>
    <row r="163" spans="1:7" x14ac:dyDescent="0.2">
      <c r="A163">
        <v>10</v>
      </c>
      <c r="B163">
        <v>28</v>
      </c>
      <c r="C163" t="s">
        <v>161</v>
      </c>
      <c r="D163" t="s">
        <v>24</v>
      </c>
      <c r="E163" t="s">
        <v>31</v>
      </c>
      <c r="F163" t="s">
        <v>26</v>
      </c>
      <c r="G163" t="s">
        <v>27</v>
      </c>
    </row>
    <row r="164" spans="1:7" x14ac:dyDescent="0.2">
      <c r="A164">
        <v>10</v>
      </c>
      <c r="B164">
        <v>28</v>
      </c>
      <c r="C164" t="s">
        <v>162</v>
      </c>
      <c r="D164" t="s">
        <v>24</v>
      </c>
      <c r="E164" t="s">
        <v>31</v>
      </c>
      <c r="F164" t="s">
        <v>26</v>
      </c>
      <c r="G164" t="s">
        <v>27</v>
      </c>
    </row>
    <row r="165" spans="1:7" x14ac:dyDescent="0.2">
      <c r="A165">
        <v>10</v>
      </c>
      <c r="B165">
        <v>28</v>
      </c>
      <c r="C165" t="s">
        <v>163</v>
      </c>
      <c r="D165" t="s">
        <v>24</v>
      </c>
      <c r="E165" t="s">
        <v>31</v>
      </c>
      <c r="F165" t="s">
        <v>26</v>
      </c>
      <c r="G165" t="s">
        <v>27</v>
      </c>
    </row>
    <row r="166" spans="1:7" x14ac:dyDescent="0.2">
      <c r="A166">
        <v>11</v>
      </c>
      <c r="B166">
        <v>28</v>
      </c>
      <c r="C166" t="s">
        <v>164</v>
      </c>
      <c r="D166" t="s">
        <v>24</v>
      </c>
      <c r="E166" t="s">
        <v>25</v>
      </c>
      <c r="F166" t="s">
        <v>26</v>
      </c>
      <c r="G166" t="s">
        <v>27</v>
      </c>
    </row>
    <row r="167" spans="1:7" x14ac:dyDescent="0.2">
      <c r="A167">
        <v>11</v>
      </c>
      <c r="B167">
        <v>28</v>
      </c>
      <c r="C167" t="s">
        <v>145</v>
      </c>
      <c r="D167" t="s">
        <v>30</v>
      </c>
      <c r="E167" t="s">
        <v>25</v>
      </c>
      <c r="F167" t="s">
        <v>26</v>
      </c>
      <c r="G167" t="s">
        <v>27</v>
      </c>
    </row>
    <row r="168" spans="1:7" x14ac:dyDescent="0.2">
      <c r="A168">
        <v>11</v>
      </c>
      <c r="B168">
        <v>28</v>
      </c>
      <c r="C168" t="s">
        <v>151</v>
      </c>
      <c r="D168" t="s">
        <v>24</v>
      </c>
      <c r="E168" t="s">
        <v>25</v>
      </c>
      <c r="F168" t="s">
        <v>26</v>
      </c>
      <c r="G168" t="s">
        <v>27</v>
      </c>
    </row>
    <row r="169" spans="1:7" x14ac:dyDescent="0.2">
      <c r="A169">
        <v>11</v>
      </c>
      <c r="B169">
        <v>28</v>
      </c>
      <c r="C169" t="s">
        <v>165</v>
      </c>
      <c r="D169" t="s">
        <v>24</v>
      </c>
      <c r="E169" t="s">
        <v>25</v>
      </c>
      <c r="F169" t="s">
        <v>26</v>
      </c>
      <c r="G169" t="s">
        <v>27</v>
      </c>
    </row>
    <row r="170" spans="1:7" x14ac:dyDescent="0.2">
      <c r="A170">
        <v>11</v>
      </c>
      <c r="B170">
        <v>28</v>
      </c>
      <c r="C170" t="s">
        <v>166</v>
      </c>
      <c r="D170" t="s">
        <v>24</v>
      </c>
      <c r="E170" t="s">
        <v>25</v>
      </c>
      <c r="F170" t="s">
        <v>26</v>
      </c>
      <c r="G170" t="s">
        <v>27</v>
      </c>
    </row>
    <row r="171" spans="1:7" x14ac:dyDescent="0.2">
      <c r="A171">
        <v>11</v>
      </c>
      <c r="B171">
        <v>28</v>
      </c>
      <c r="C171" t="s">
        <v>155</v>
      </c>
      <c r="D171" t="s">
        <v>24</v>
      </c>
      <c r="E171" t="s">
        <v>25</v>
      </c>
      <c r="F171" t="s">
        <v>26</v>
      </c>
      <c r="G171" t="s">
        <v>27</v>
      </c>
    </row>
    <row r="172" spans="1:7" x14ac:dyDescent="0.2">
      <c r="A172">
        <v>11</v>
      </c>
      <c r="B172">
        <v>28</v>
      </c>
      <c r="C172" t="s">
        <v>156</v>
      </c>
      <c r="D172" t="s">
        <v>24</v>
      </c>
      <c r="E172" t="s">
        <v>25</v>
      </c>
      <c r="F172" t="s">
        <v>26</v>
      </c>
      <c r="G172" t="s">
        <v>27</v>
      </c>
    </row>
    <row r="173" spans="1:7" x14ac:dyDescent="0.2">
      <c r="A173">
        <v>11</v>
      </c>
      <c r="B173">
        <v>28</v>
      </c>
      <c r="C173" t="s">
        <v>167</v>
      </c>
      <c r="D173" t="s">
        <v>24</v>
      </c>
      <c r="E173" t="s">
        <v>25</v>
      </c>
      <c r="F173" t="s">
        <v>26</v>
      </c>
      <c r="G173" t="s">
        <v>27</v>
      </c>
    </row>
    <row r="174" spans="1:7" x14ac:dyDescent="0.2">
      <c r="A174">
        <v>11</v>
      </c>
      <c r="B174">
        <v>28</v>
      </c>
      <c r="C174" t="s">
        <v>162</v>
      </c>
      <c r="D174" t="s">
        <v>24</v>
      </c>
      <c r="E174" t="s">
        <v>25</v>
      </c>
      <c r="F174" t="s">
        <v>26</v>
      </c>
      <c r="G174" t="s">
        <v>27</v>
      </c>
    </row>
    <row r="175" spans="1:7" x14ac:dyDescent="0.2">
      <c r="A175">
        <v>11</v>
      </c>
      <c r="B175">
        <v>28</v>
      </c>
      <c r="C175" t="s">
        <v>168</v>
      </c>
      <c r="D175" t="s">
        <v>24</v>
      </c>
      <c r="E175" t="s">
        <v>25</v>
      </c>
      <c r="F175" t="s">
        <v>26</v>
      </c>
      <c r="G175" t="s">
        <v>27</v>
      </c>
    </row>
    <row r="176" spans="1:7" x14ac:dyDescent="0.2">
      <c r="A176">
        <v>12</v>
      </c>
      <c r="B176">
        <v>28</v>
      </c>
      <c r="C176" t="s">
        <v>158</v>
      </c>
      <c r="D176" t="s">
        <v>24</v>
      </c>
      <c r="E176" t="s">
        <v>31</v>
      </c>
      <c r="F176" t="s">
        <v>87</v>
      </c>
      <c r="G176" t="s">
        <v>27</v>
      </c>
    </row>
    <row r="177" spans="1:7" x14ac:dyDescent="0.2">
      <c r="A177">
        <v>12</v>
      </c>
      <c r="B177">
        <v>28</v>
      </c>
      <c r="C177" t="s">
        <v>155</v>
      </c>
      <c r="D177" t="s">
        <v>24</v>
      </c>
      <c r="E177" t="s">
        <v>31</v>
      </c>
      <c r="F177" t="s">
        <v>87</v>
      </c>
      <c r="G177" t="s">
        <v>27</v>
      </c>
    </row>
    <row r="178" spans="1:7" x14ac:dyDescent="0.2">
      <c r="A178">
        <v>12</v>
      </c>
      <c r="B178">
        <v>28</v>
      </c>
      <c r="C178" t="s">
        <v>156</v>
      </c>
      <c r="D178" t="s">
        <v>24</v>
      </c>
      <c r="E178" t="s">
        <v>31</v>
      </c>
      <c r="F178" t="s">
        <v>87</v>
      </c>
      <c r="G178" t="s">
        <v>27</v>
      </c>
    </row>
    <row r="179" spans="1:7" x14ac:dyDescent="0.2">
      <c r="A179">
        <v>13</v>
      </c>
      <c r="B179">
        <v>28</v>
      </c>
      <c r="C179" t="s">
        <v>155</v>
      </c>
      <c r="D179" t="s">
        <v>24</v>
      </c>
      <c r="E179" t="s">
        <v>31</v>
      </c>
      <c r="F179" t="s">
        <v>87</v>
      </c>
      <c r="G179" t="s">
        <v>27</v>
      </c>
    </row>
    <row r="180" spans="1:7" x14ac:dyDescent="0.2">
      <c r="A180">
        <v>13</v>
      </c>
      <c r="B180">
        <v>28</v>
      </c>
      <c r="C180" t="s">
        <v>158</v>
      </c>
      <c r="D180" t="s">
        <v>24</v>
      </c>
      <c r="E180" t="s">
        <v>31</v>
      </c>
      <c r="F180" t="s">
        <v>87</v>
      </c>
      <c r="G180" t="s">
        <v>27</v>
      </c>
    </row>
    <row r="181" spans="1:7" x14ac:dyDescent="0.2">
      <c r="A181">
        <v>13</v>
      </c>
      <c r="B181">
        <v>28</v>
      </c>
      <c r="C181" t="s">
        <v>140</v>
      </c>
      <c r="D181" t="s">
        <v>24</v>
      </c>
      <c r="E181" t="s">
        <v>31</v>
      </c>
      <c r="F181" t="s">
        <v>87</v>
      </c>
      <c r="G181" t="s">
        <v>27</v>
      </c>
    </row>
    <row r="182" spans="1:7" x14ac:dyDescent="0.2">
      <c r="A182">
        <v>14</v>
      </c>
      <c r="B182">
        <v>28</v>
      </c>
      <c r="C182" t="s">
        <v>169</v>
      </c>
      <c r="D182" t="s">
        <v>24</v>
      </c>
      <c r="E182" t="s">
        <v>31</v>
      </c>
      <c r="F182" t="s">
        <v>26</v>
      </c>
      <c r="G182" t="s">
        <v>27</v>
      </c>
    </row>
    <row r="183" spans="1:7" x14ac:dyDescent="0.2">
      <c r="A183">
        <v>14</v>
      </c>
      <c r="B183">
        <v>28</v>
      </c>
      <c r="C183" t="s">
        <v>158</v>
      </c>
      <c r="D183" t="s">
        <v>24</v>
      </c>
      <c r="E183" t="s">
        <v>31</v>
      </c>
      <c r="F183" t="s">
        <v>26</v>
      </c>
      <c r="G183" t="s">
        <v>27</v>
      </c>
    </row>
    <row r="184" spans="1:7" x14ac:dyDescent="0.2">
      <c r="A184">
        <v>14</v>
      </c>
      <c r="B184">
        <v>28</v>
      </c>
      <c r="C184" t="s">
        <v>147</v>
      </c>
      <c r="D184" t="s">
        <v>24</v>
      </c>
      <c r="E184" t="s">
        <v>31</v>
      </c>
      <c r="F184" t="s">
        <v>26</v>
      </c>
      <c r="G184" t="s">
        <v>27</v>
      </c>
    </row>
    <row r="185" spans="1:7" x14ac:dyDescent="0.2">
      <c r="A185">
        <v>14</v>
      </c>
      <c r="B185">
        <v>28</v>
      </c>
      <c r="C185" t="s">
        <v>170</v>
      </c>
      <c r="D185" t="s">
        <v>24</v>
      </c>
      <c r="E185" t="s">
        <v>31</v>
      </c>
      <c r="F185" t="s">
        <v>26</v>
      </c>
      <c r="G185" t="s">
        <v>27</v>
      </c>
    </row>
    <row r="186" spans="1:7" x14ac:dyDescent="0.2">
      <c r="A186">
        <v>14</v>
      </c>
      <c r="B186">
        <v>28</v>
      </c>
      <c r="C186" t="s">
        <v>171</v>
      </c>
      <c r="D186" t="s">
        <v>24</v>
      </c>
      <c r="E186" t="s">
        <v>31</v>
      </c>
      <c r="F186" t="s">
        <v>26</v>
      </c>
      <c r="G186" t="s">
        <v>27</v>
      </c>
    </row>
    <row r="187" spans="1:7" x14ac:dyDescent="0.2">
      <c r="A187">
        <v>15</v>
      </c>
      <c r="B187">
        <v>28</v>
      </c>
      <c r="C187" t="s">
        <v>155</v>
      </c>
      <c r="D187" t="s">
        <v>24</v>
      </c>
      <c r="E187" t="s">
        <v>31</v>
      </c>
      <c r="F187" t="s">
        <v>47</v>
      </c>
    </row>
    <row r="188" spans="1:7" x14ac:dyDescent="0.2">
      <c r="A188">
        <v>15</v>
      </c>
      <c r="B188">
        <v>28</v>
      </c>
      <c r="C188" t="s">
        <v>158</v>
      </c>
      <c r="D188" t="s">
        <v>24</v>
      </c>
      <c r="E188" t="s">
        <v>31</v>
      </c>
      <c r="F188" t="s">
        <v>47</v>
      </c>
      <c r="G188" t="s">
        <v>27</v>
      </c>
    </row>
    <row r="189" spans="1:7" x14ac:dyDescent="0.2">
      <c r="A189">
        <v>16</v>
      </c>
      <c r="B189">
        <v>28</v>
      </c>
      <c r="C189" t="s">
        <v>158</v>
      </c>
      <c r="D189" t="s">
        <v>24</v>
      </c>
      <c r="E189" t="s">
        <v>31</v>
      </c>
      <c r="F189" t="s">
        <v>47</v>
      </c>
      <c r="G189" t="s">
        <v>27</v>
      </c>
    </row>
    <row r="190" spans="1:7" x14ac:dyDescent="0.2">
      <c r="A190">
        <v>16</v>
      </c>
      <c r="B190">
        <v>28</v>
      </c>
      <c r="C190" t="s">
        <v>155</v>
      </c>
      <c r="D190" t="s">
        <v>24</v>
      </c>
      <c r="E190" t="s">
        <v>31</v>
      </c>
      <c r="F190" t="s">
        <v>47</v>
      </c>
      <c r="G190" t="s">
        <v>27</v>
      </c>
    </row>
    <row r="191" spans="1:7" x14ac:dyDescent="0.2">
      <c r="A191">
        <v>17</v>
      </c>
      <c r="B191">
        <v>28</v>
      </c>
      <c r="C191" t="s">
        <v>158</v>
      </c>
      <c r="D191" t="s">
        <v>24</v>
      </c>
      <c r="E191" t="s">
        <v>31</v>
      </c>
      <c r="F191" t="s">
        <v>26</v>
      </c>
      <c r="G191" t="s">
        <v>27</v>
      </c>
    </row>
    <row r="192" spans="1:7" x14ac:dyDescent="0.2">
      <c r="A192">
        <v>17</v>
      </c>
      <c r="B192">
        <v>28</v>
      </c>
      <c r="C192" t="s">
        <v>155</v>
      </c>
      <c r="D192" t="s">
        <v>24</v>
      </c>
      <c r="E192" t="s">
        <v>31</v>
      </c>
      <c r="F192" t="s">
        <v>26</v>
      </c>
      <c r="G192" t="s">
        <v>27</v>
      </c>
    </row>
    <row r="193" spans="1:7" x14ac:dyDescent="0.2">
      <c r="A193">
        <v>17</v>
      </c>
      <c r="B193">
        <v>28</v>
      </c>
      <c r="C193" t="s">
        <v>156</v>
      </c>
      <c r="D193" t="s">
        <v>24</v>
      </c>
      <c r="E193" t="s">
        <v>31</v>
      </c>
      <c r="F193" t="s">
        <v>26</v>
      </c>
      <c r="G193" t="s">
        <v>27</v>
      </c>
    </row>
    <row r="194" spans="1:7" x14ac:dyDescent="0.2">
      <c r="A194">
        <v>17</v>
      </c>
      <c r="B194">
        <v>28</v>
      </c>
      <c r="C194" t="s">
        <v>162</v>
      </c>
      <c r="D194" t="s">
        <v>24</v>
      </c>
      <c r="E194" t="s">
        <v>31</v>
      </c>
      <c r="F194" t="s">
        <v>26</v>
      </c>
      <c r="G194" t="s">
        <v>27</v>
      </c>
    </row>
    <row r="195" spans="1:7" x14ac:dyDescent="0.2">
      <c r="A195">
        <v>18</v>
      </c>
      <c r="B195">
        <v>28</v>
      </c>
      <c r="C195" t="s">
        <v>172</v>
      </c>
      <c r="D195" t="s">
        <v>24</v>
      </c>
      <c r="E195" t="s">
        <v>25</v>
      </c>
      <c r="F195" t="s">
        <v>47</v>
      </c>
      <c r="G195" t="s">
        <v>27</v>
      </c>
    </row>
    <row r="196" spans="1:7" x14ac:dyDescent="0.2">
      <c r="A196">
        <v>18</v>
      </c>
      <c r="B196">
        <v>28</v>
      </c>
      <c r="C196" t="s">
        <v>173</v>
      </c>
      <c r="D196" t="s">
        <v>24</v>
      </c>
      <c r="E196" t="s">
        <v>31</v>
      </c>
      <c r="F196" t="s">
        <v>26</v>
      </c>
      <c r="G196" t="s">
        <v>27</v>
      </c>
    </row>
    <row r="197" spans="1:7" x14ac:dyDescent="0.2">
      <c r="A197">
        <v>18</v>
      </c>
      <c r="B197">
        <v>28</v>
      </c>
      <c r="C197" t="s">
        <v>174</v>
      </c>
      <c r="D197" t="s">
        <v>24</v>
      </c>
      <c r="E197" t="s">
        <v>31</v>
      </c>
      <c r="F197" t="s">
        <v>26</v>
      </c>
      <c r="G197" t="s">
        <v>27</v>
      </c>
    </row>
    <row r="198" spans="1:7" x14ac:dyDescent="0.2">
      <c r="A198">
        <v>18</v>
      </c>
      <c r="B198">
        <v>28</v>
      </c>
      <c r="C198" t="s">
        <v>175</v>
      </c>
      <c r="D198" t="s">
        <v>24</v>
      </c>
      <c r="E198" t="s">
        <v>31</v>
      </c>
      <c r="F198" t="s">
        <v>26</v>
      </c>
      <c r="G198" t="s">
        <v>27</v>
      </c>
    </row>
    <row r="199" spans="1:7" x14ac:dyDescent="0.2">
      <c r="A199">
        <v>18</v>
      </c>
      <c r="B199">
        <v>28</v>
      </c>
      <c r="C199" t="s">
        <v>176</v>
      </c>
      <c r="D199" t="s">
        <v>24</v>
      </c>
      <c r="E199" t="s">
        <v>31</v>
      </c>
      <c r="F199" t="s">
        <v>26</v>
      </c>
      <c r="G199" t="s">
        <v>27</v>
      </c>
    </row>
    <row r="200" spans="1:7" x14ac:dyDescent="0.2">
      <c r="A200">
        <v>18</v>
      </c>
      <c r="B200">
        <v>28</v>
      </c>
      <c r="C200" t="s">
        <v>155</v>
      </c>
      <c r="D200" t="s">
        <v>24</v>
      </c>
      <c r="E200" t="s">
        <v>31</v>
      </c>
      <c r="F200" t="s">
        <v>26</v>
      </c>
      <c r="G200" t="s">
        <v>27</v>
      </c>
    </row>
    <row r="201" spans="1:7" x14ac:dyDescent="0.2">
      <c r="A201">
        <v>18</v>
      </c>
      <c r="B201">
        <v>28</v>
      </c>
      <c r="C201" t="s">
        <v>162</v>
      </c>
      <c r="D201" t="s">
        <v>24</v>
      </c>
      <c r="E201" t="s">
        <v>31</v>
      </c>
      <c r="F201" t="s">
        <v>26</v>
      </c>
      <c r="G201" t="s">
        <v>27</v>
      </c>
    </row>
    <row r="202" spans="1:7" x14ac:dyDescent="0.2">
      <c r="A202">
        <v>19</v>
      </c>
      <c r="B202">
        <v>28</v>
      </c>
      <c r="C202" t="s">
        <v>176</v>
      </c>
      <c r="D202" t="s">
        <v>24</v>
      </c>
      <c r="E202" t="s">
        <v>25</v>
      </c>
      <c r="F202" t="s">
        <v>26</v>
      </c>
      <c r="G202" t="s">
        <v>27</v>
      </c>
    </row>
    <row r="203" spans="1:7" x14ac:dyDescent="0.2">
      <c r="A203">
        <v>19</v>
      </c>
      <c r="B203">
        <v>28</v>
      </c>
      <c r="C203" t="s">
        <v>177</v>
      </c>
      <c r="D203" t="s">
        <v>24</v>
      </c>
      <c r="E203" t="s">
        <v>25</v>
      </c>
      <c r="F203" t="s">
        <v>26</v>
      </c>
      <c r="G203" t="s">
        <v>27</v>
      </c>
    </row>
    <row r="204" spans="1:7" x14ac:dyDescent="0.2">
      <c r="A204">
        <v>19</v>
      </c>
      <c r="B204">
        <v>28</v>
      </c>
      <c r="C204" t="s">
        <v>178</v>
      </c>
      <c r="D204" t="s">
        <v>24</v>
      </c>
      <c r="E204" t="s">
        <v>25</v>
      </c>
      <c r="F204" t="s">
        <v>26</v>
      </c>
      <c r="G204" t="s">
        <v>27</v>
      </c>
    </row>
    <row r="205" spans="1:7" x14ac:dyDescent="0.2">
      <c r="A205">
        <v>19</v>
      </c>
      <c r="B205">
        <v>28</v>
      </c>
      <c r="C205" t="s">
        <v>179</v>
      </c>
      <c r="D205" t="s">
        <v>30</v>
      </c>
      <c r="E205" t="s">
        <v>25</v>
      </c>
      <c r="F205" t="s">
        <v>26</v>
      </c>
      <c r="G205" t="s">
        <v>27</v>
      </c>
    </row>
    <row r="206" spans="1:7" x14ac:dyDescent="0.2">
      <c r="A206">
        <v>19</v>
      </c>
      <c r="B206">
        <v>28</v>
      </c>
      <c r="C206" t="s">
        <v>158</v>
      </c>
      <c r="D206" t="s">
        <v>24</v>
      </c>
      <c r="E206" t="s">
        <v>25</v>
      </c>
      <c r="F206" t="s">
        <v>26</v>
      </c>
      <c r="G206" t="s">
        <v>27</v>
      </c>
    </row>
    <row r="207" spans="1:7" x14ac:dyDescent="0.2">
      <c r="A207">
        <v>19</v>
      </c>
      <c r="B207">
        <v>28</v>
      </c>
      <c r="C207" t="s">
        <v>155</v>
      </c>
      <c r="D207" t="s">
        <v>24</v>
      </c>
      <c r="E207" t="s">
        <v>25</v>
      </c>
      <c r="F207" t="s">
        <v>26</v>
      </c>
      <c r="G207" t="s">
        <v>27</v>
      </c>
    </row>
    <row r="208" spans="1:7" x14ac:dyDescent="0.2">
      <c r="A208">
        <v>19</v>
      </c>
      <c r="B208">
        <v>28</v>
      </c>
      <c r="C208" t="s">
        <v>180</v>
      </c>
      <c r="D208" t="s">
        <v>24</v>
      </c>
      <c r="E208" t="s">
        <v>25</v>
      </c>
      <c r="F208" t="s">
        <v>26</v>
      </c>
      <c r="G208" t="s">
        <v>27</v>
      </c>
    </row>
    <row r="209" spans="1:7" x14ac:dyDescent="0.2">
      <c r="A209">
        <v>19</v>
      </c>
      <c r="B209">
        <v>25</v>
      </c>
      <c r="C209" t="s">
        <v>162</v>
      </c>
      <c r="D209" t="s">
        <v>24</v>
      </c>
      <c r="E209" t="s">
        <v>25</v>
      </c>
      <c r="F209" t="s">
        <v>26</v>
      </c>
      <c r="G209" t="s">
        <v>27</v>
      </c>
    </row>
    <row r="210" spans="1:7" x14ac:dyDescent="0.2">
      <c r="A210">
        <v>20</v>
      </c>
      <c r="B210">
        <v>28</v>
      </c>
      <c r="C210" t="s">
        <v>181</v>
      </c>
      <c r="D210" t="s">
        <v>24</v>
      </c>
      <c r="E210" t="s">
        <v>31</v>
      </c>
      <c r="F210" t="s">
        <v>26</v>
      </c>
      <c r="G210" t="s">
        <v>27</v>
      </c>
    </row>
    <row r="211" spans="1:7" x14ac:dyDescent="0.2">
      <c r="A211">
        <v>20</v>
      </c>
      <c r="B211">
        <v>28</v>
      </c>
      <c r="C211" t="s">
        <v>178</v>
      </c>
      <c r="D211" t="s">
        <v>24</v>
      </c>
      <c r="E211" t="s">
        <v>31</v>
      </c>
      <c r="F211" t="s">
        <v>26</v>
      </c>
      <c r="G211" t="s">
        <v>27</v>
      </c>
    </row>
    <row r="212" spans="1:7" x14ac:dyDescent="0.2">
      <c r="A212">
        <v>20</v>
      </c>
      <c r="B212">
        <v>28</v>
      </c>
      <c r="C212" t="s">
        <v>152</v>
      </c>
      <c r="D212" t="s">
        <v>24</v>
      </c>
      <c r="E212" t="s">
        <v>31</v>
      </c>
      <c r="F212" t="s">
        <v>26</v>
      </c>
      <c r="G212" t="s">
        <v>27</v>
      </c>
    </row>
    <row r="213" spans="1:7" x14ac:dyDescent="0.2">
      <c r="A213">
        <v>20</v>
      </c>
      <c r="B213">
        <v>28</v>
      </c>
      <c r="C213" t="s">
        <v>182</v>
      </c>
      <c r="D213" t="s">
        <v>24</v>
      </c>
      <c r="E213" t="s">
        <v>31</v>
      </c>
      <c r="F213" t="s">
        <v>26</v>
      </c>
      <c r="G213" t="s">
        <v>27</v>
      </c>
    </row>
    <row r="214" spans="1:7" x14ac:dyDescent="0.2">
      <c r="A214">
        <v>20</v>
      </c>
      <c r="B214">
        <v>28</v>
      </c>
      <c r="C214" t="s">
        <v>183</v>
      </c>
      <c r="D214" t="s">
        <v>24</v>
      </c>
      <c r="E214" t="s">
        <v>31</v>
      </c>
      <c r="F214" t="s">
        <v>26</v>
      </c>
      <c r="G214" t="s">
        <v>27</v>
      </c>
    </row>
    <row r="215" spans="1:7" x14ac:dyDescent="0.2">
      <c r="A215">
        <v>20</v>
      </c>
      <c r="B215">
        <v>28</v>
      </c>
      <c r="C215" t="s">
        <v>155</v>
      </c>
      <c r="D215" t="s">
        <v>24</v>
      </c>
      <c r="E215" t="s">
        <v>31</v>
      </c>
      <c r="F215" t="s">
        <v>26</v>
      </c>
      <c r="G215" t="s">
        <v>27</v>
      </c>
    </row>
    <row r="216" spans="1:7" x14ac:dyDescent="0.2">
      <c r="A216">
        <v>20</v>
      </c>
      <c r="B216">
        <v>28</v>
      </c>
      <c r="C216" t="s">
        <v>180</v>
      </c>
      <c r="D216" t="s">
        <v>24</v>
      </c>
      <c r="E216" t="s">
        <v>31</v>
      </c>
      <c r="F216" t="s">
        <v>26</v>
      </c>
      <c r="G216" t="s">
        <v>27</v>
      </c>
    </row>
    <row r="217" spans="1:7" x14ac:dyDescent="0.2">
      <c r="A217">
        <v>20</v>
      </c>
      <c r="B217">
        <v>28</v>
      </c>
      <c r="C217" t="s">
        <v>184</v>
      </c>
      <c r="D217" t="s">
        <v>24</v>
      </c>
      <c r="E217" t="s">
        <v>31</v>
      </c>
      <c r="F217" t="s">
        <v>26</v>
      </c>
      <c r="G217" t="s">
        <v>27</v>
      </c>
    </row>
    <row r="218" spans="1:7" x14ac:dyDescent="0.2">
      <c r="A218">
        <v>20</v>
      </c>
      <c r="B218">
        <v>28</v>
      </c>
      <c r="C218" t="s">
        <v>185</v>
      </c>
      <c r="D218" t="s">
        <v>24</v>
      </c>
      <c r="E218" t="s">
        <v>31</v>
      </c>
      <c r="F218" t="s">
        <v>26</v>
      </c>
      <c r="G218" t="s">
        <v>27</v>
      </c>
    </row>
    <row r="219" spans="1:7" x14ac:dyDescent="0.2">
      <c r="A219">
        <v>21</v>
      </c>
      <c r="B219">
        <v>28</v>
      </c>
      <c r="C219" t="s">
        <v>186</v>
      </c>
      <c r="D219" t="s">
        <v>24</v>
      </c>
      <c r="E219" t="s">
        <v>31</v>
      </c>
      <c r="F219" t="s">
        <v>26</v>
      </c>
      <c r="G219" t="s">
        <v>27</v>
      </c>
    </row>
    <row r="220" spans="1:7" x14ac:dyDescent="0.2">
      <c r="A220">
        <v>21</v>
      </c>
      <c r="B220">
        <v>28</v>
      </c>
      <c r="C220" t="s">
        <v>187</v>
      </c>
      <c r="D220" t="s">
        <v>24</v>
      </c>
      <c r="E220" t="s">
        <v>31</v>
      </c>
      <c r="F220" t="s">
        <v>26</v>
      </c>
      <c r="G220" t="s">
        <v>27</v>
      </c>
    </row>
    <row r="221" spans="1:7" x14ac:dyDescent="0.2">
      <c r="A221">
        <v>21</v>
      </c>
      <c r="B221">
        <v>28</v>
      </c>
      <c r="C221" t="s">
        <v>174</v>
      </c>
      <c r="D221" t="s">
        <v>24</v>
      </c>
      <c r="E221" t="s">
        <v>31</v>
      </c>
      <c r="F221" t="s">
        <v>26</v>
      </c>
      <c r="G221" t="s">
        <v>27</v>
      </c>
    </row>
    <row r="222" spans="1:7" x14ac:dyDescent="0.2">
      <c r="A222">
        <v>21</v>
      </c>
      <c r="B222">
        <v>28</v>
      </c>
      <c r="C222" t="s">
        <v>152</v>
      </c>
      <c r="D222" t="s">
        <v>24</v>
      </c>
      <c r="E222" t="s">
        <v>31</v>
      </c>
      <c r="F222" t="s">
        <v>26</v>
      </c>
      <c r="G222" t="s">
        <v>27</v>
      </c>
    </row>
    <row r="223" spans="1:7" x14ac:dyDescent="0.2">
      <c r="A223">
        <v>21</v>
      </c>
      <c r="B223">
        <v>28</v>
      </c>
      <c r="C223" t="s">
        <v>188</v>
      </c>
      <c r="D223" t="s">
        <v>24</v>
      </c>
      <c r="E223" t="s">
        <v>31</v>
      </c>
      <c r="F223" t="s">
        <v>26</v>
      </c>
      <c r="G223" t="s">
        <v>27</v>
      </c>
    </row>
    <row r="224" spans="1:7" x14ac:dyDescent="0.2">
      <c r="A224">
        <v>21</v>
      </c>
      <c r="B224">
        <v>28</v>
      </c>
      <c r="C224" t="s">
        <v>180</v>
      </c>
      <c r="D224" t="s">
        <v>24</v>
      </c>
      <c r="E224" t="s">
        <v>31</v>
      </c>
      <c r="F224" t="s">
        <v>26</v>
      </c>
      <c r="G224" t="s">
        <v>27</v>
      </c>
    </row>
    <row r="225" spans="1:7" x14ac:dyDescent="0.2">
      <c r="A225">
        <v>21</v>
      </c>
      <c r="B225">
        <v>28</v>
      </c>
      <c r="C225" t="s">
        <v>189</v>
      </c>
      <c r="D225" t="s">
        <v>24</v>
      </c>
      <c r="E225" t="s">
        <v>31</v>
      </c>
      <c r="F225" t="s">
        <v>26</v>
      </c>
      <c r="G225" t="s">
        <v>27</v>
      </c>
    </row>
    <row r="226" spans="1:7" x14ac:dyDescent="0.2">
      <c r="A226">
        <v>22</v>
      </c>
      <c r="B226">
        <v>28</v>
      </c>
      <c r="C226" t="s">
        <v>190</v>
      </c>
      <c r="D226" t="s">
        <v>24</v>
      </c>
      <c r="E226" t="s">
        <v>25</v>
      </c>
      <c r="F226" t="s">
        <v>26</v>
      </c>
      <c r="G226" t="s">
        <v>27</v>
      </c>
    </row>
    <row r="227" spans="1:7" x14ac:dyDescent="0.2">
      <c r="A227">
        <v>22</v>
      </c>
      <c r="B227">
        <v>28</v>
      </c>
      <c r="C227" t="s">
        <v>191</v>
      </c>
      <c r="D227" t="s">
        <v>24</v>
      </c>
      <c r="E227" t="s">
        <v>25</v>
      </c>
      <c r="F227" t="s">
        <v>26</v>
      </c>
      <c r="G227" t="s">
        <v>27</v>
      </c>
    </row>
    <row r="228" spans="1:7" x14ac:dyDescent="0.2">
      <c r="A228">
        <v>22</v>
      </c>
      <c r="B228">
        <v>28</v>
      </c>
      <c r="C228" t="s">
        <v>152</v>
      </c>
      <c r="D228" t="s">
        <v>30</v>
      </c>
      <c r="E228" t="s">
        <v>25</v>
      </c>
      <c r="F228" t="s">
        <v>26</v>
      </c>
      <c r="G228" t="s">
        <v>27</v>
      </c>
    </row>
    <row r="229" spans="1:7" x14ac:dyDescent="0.2">
      <c r="A229">
        <v>22</v>
      </c>
      <c r="B229">
        <v>28</v>
      </c>
      <c r="C229" t="s">
        <v>192</v>
      </c>
      <c r="D229" t="s">
        <v>24</v>
      </c>
      <c r="E229" t="s">
        <v>25</v>
      </c>
      <c r="F229" t="s">
        <v>26</v>
      </c>
      <c r="G229" t="s">
        <v>27</v>
      </c>
    </row>
    <row r="230" spans="1:7" x14ac:dyDescent="0.2">
      <c r="A230">
        <v>22</v>
      </c>
      <c r="B230">
        <v>28</v>
      </c>
      <c r="C230" t="s">
        <v>188</v>
      </c>
      <c r="D230" t="s">
        <v>24</v>
      </c>
      <c r="E230" t="s">
        <v>25</v>
      </c>
      <c r="F230" t="s">
        <v>26</v>
      </c>
      <c r="G230" t="s">
        <v>27</v>
      </c>
    </row>
    <row r="231" spans="1:7" x14ac:dyDescent="0.2">
      <c r="A231">
        <v>22</v>
      </c>
      <c r="B231">
        <v>28</v>
      </c>
      <c r="C231" t="s">
        <v>183</v>
      </c>
      <c r="D231" t="s">
        <v>24</v>
      </c>
      <c r="E231" t="s">
        <v>25</v>
      </c>
      <c r="F231" t="s">
        <v>26</v>
      </c>
      <c r="G231" t="s">
        <v>27</v>
      </c>
    </row>
    <row r="232" spans="1:7" x14ac:dyDescent="0.2">
      <c r="A232">
        <v>22</v>
      </c>
      <c r="B232">
        <v>28</v>
      </c>
      <c r="C232" t="s">
        <v>180</v>
      </c>
      <c r="D232" t="s">
        <v>24</v>
      </c>
      <c r="E232" t="s">
        <v>25</v>
      </c>
      <c r="F232" t="s">
        <v>26</v>
      </c>
      <c r="G232" t="s">
        <v>27</v>
      </c>
    </row>
    <row r="233" spans="1:7" x14ac:dyDescent="0.2">
      <c r="A233">
        <v>23</v>
      </c>
      <c r="B233">
        <v>28</v>
      </c>
      <c r="C233" t="s">
        <v>193</v>
      </c>
      <c r="D233" t="s">
        <v>24</v>
      </c>
      <c r="E233" t="s">
        <v>31</v>
      </c>
      <c r="F233" t="s">
        <v>26</v>
      </c>
      <c r="G233" t="s">
        <v>27</v>
      </c>
    </row>
    <row r="234" spans="1:7" x14ac:dyDescent="0.2">
      <c r="A234">
        <v>23</v>
      </c>
      <c r="B234">
        <v>28</v>
      </c>
      <c r="C234" t="s">
        <v>194</v>
      </c>
      <c r="D234" t="s">
        <v>24</v>
      </c>
      <c r="E234" t="s">
        <v>31</v>
      </c>
      <c r="F234" t="s">
        <v>26</v>
      </c>
      <c r="G234" t="s">
        <v>27</v>
      </c>
    </row>
    <row r="235" spans="1:7" x14ac:dyDescent="0.2">
      <c r="A235">
        <v>23</v>
      </c>
      <c r="B235">
        <v>28</v>
      </c>
      <c r="C235" t="s">
        <v>195</v>
      </c>
      <c r="D235" t="s">
        <v>24</v>
      </c>
      <c r="E235" t="s">
        <v>31</v>
      </c>
      <c r="F235" t="s">
        <v>26</v>
      </c>
      <c r="G235" t="s">
        <v>27</v>
      </c>
    </row>
    <row r="236" spans="1:7" x14ac:dyDescent="0.2">
      <c r="A236">
        <v>23</v>
      </c>
      <c r="B236">
        <v>28</v>
      </c>
      <c r="C236" t="s">
        <v>196</v>
      </c>
      <c r="D236" t="s">
        <v>24</v>
      </c>
      <c r="E236" t="s">
        <v>31</v>
      </c>
      <c r="F236" t="s">
        <v>26</v>
      </c>
      <c r="G236" t="s">
        <v>27</v>
      </c>
    </row>
    <row r="237" spans="1:7" x14ac:dyDescent="0.2">
      <c r="A237">
        <v>23</v>
      </c>
      <c r="B237">
        <v>28</v>
      </c>
      <c r="C237" t="s">
        <v>197</v>
      </c>
      <c r="D237" t="s">
        <v>24</v>
      </c>
      <c r="E237" t="s">
        <v>31</v>
      </c>
      <c r="F237" t="s">
        <v>26</v>
      </c>
      <c r="G237" t="s">
        <v>27</v>
      </c>
    </row>
    <row r="238" spans="1:7" x14ac:dyDescent="0.2">
      <c r="A238">
        <v>23</v>
      </c>
      <c r="B238">
        <v>28</v>
      </c>
      <c r="C238" t="s">
        <v>198</v>
      </c>
      <c r="D238" t="s">
        <v>24</v>
      </c>
      <c r="E238" t="s">
        <v>31</v>
      </c>
      <c r="F238" t="s">
        <v>26</v>
      </c>
      <c r="G238" t="s">
        <v>27</v>
      </c>
    </row>
    <row r="239" spans="1:7" x14ac:dyDescent="0.2">
      <c r="A239">
        <v>7</v>
      </c>
      <c r="B239">
        <v>29</v>
      </c>
      <c r="C239" t="s">
        <v>199</v>
      </c>
      <c r="D239" t="s">
        <v>24</v>
      </c>
      <c r="E239" t="s">
        <v>31</v>
      </c>
      <c r="F239" t="s">
        <v>87</v>
      </c>
      <c r="G239" t="s">
        <v>27</v>
      </c>
    </row>
    <row r="240" spans="1:7" x14ac:dyDescent="0.2">
      <c r="A240">
        <v>7</v>
      </c>
      <c r="B240">
        <v>29</v>
      </c>
      <c r="C240" t="s">
        <v>200</v>
      </c>
      <c r="D240" t="s">
        <v>24</v>
      </c>
      <c r="E240" t="s">
        <v>31</v>
      </c>
      <c r="F240" t="s">
        <v>87</v>
      </c>
      <c r="G240" t="s">
        <v>27</v>
      </c>
    </row>
    <row r="241" spans="1:7" x14ac:dyDescent="0.2">
      <c r="A241">
        <v>8</v>
      </c>
      <c r="B241">
        <v>29</v>
      </c>
      <c r="C241" t="s">
        <v>201</v>
      </c>
      <c r="D241" t="s">
        <v>24</v>
      </c>
      <c r="E241" t="s">
        <v>25</v>
      </c>
      <c r="F241" t="s">
        <v>26</v>
      </c>
      <c r="G241" t="s">
        <v>27</v>
      </c>
    </row>
    <row r="242" spans="1:7" x14ac:dyDescent="0.2">
      <c r="A242">
        <v>8</v>
      </c>
      <c r="B242">
        <v>29</v>
      </c>
      <c r="C242" t="s">
        <v>202</v>
      </c>
      <c r="D242" t="s">
        <v>24</v>
      </c>
      <c r="E242" t="s">
        <v>25</v>
      </c>
      <c r="F242" t="s">
        <v>26</v>
      </c>
      <c r="G242" t="s">
        <v>27</v>
      </c>
    </row>
    <row r="243" spans="1:7" x14ac:dyDescent="0.2">
      <c r="A243">
        <v>8</v>
      </c>
      <c r="B243">
        <v>29</v>
      </c>
      <c r="C243" t="s">
        <v>203</v>
      </c>
      <c r="D243" t="s">
        <v>24</v>
      </c>
      <c r="E243" t="s">
        <v>25</v>
      </c>
      <c r="F243" t="s">
        <v>26</v>
      </c>
      <c r="G243" t="s">
        <v>27</v>
      </c>
    </row>
    <row r="244" spans="1:7" x14ac:dyDescent="0.2">
      <c r="A244">
        <v>8</v>
      </c>
      <c r="B244">
        <v>29</v>
      </c>
      <c r="C244" t="s">
        <v>204</v>
      </c>
      <c r="D244" t="s">
        <v>24</v>
      </c>
      <c r="E244" t="s">
        <v>25</v>
      </c>
      <c r="F244" t="s">
        <v>26</v>
      </c>
      <c r="G244" t="s">
        <v>27</v>
      </c>
    </row>
    <row r="245" spans="1:7" x14ac:dyDescent="0.2">
      <c r="A245">
        <v>8</v>
      </c>
      <c r="B245">
        <v>29</v>
      </c>
      <c r="C245" t="s">
        <v>205</v>
      </c>
      <c r="D245" t="s">
        <v>24</v>
      </c>
      <c r="E245" t="s">
        <v>25</v>
      </c>
      <c r="F245" t="s">
        <v>26</v>
      </c>
      <c r="G245" t="s">
        <v>27</v>
      </c>
    </row>
    <row r="246" spans="1:7" x14ac:dyDescent="0.2">
      <c r="A246">
        <v>8</v>
      </c>
      <c r="B246">
        <v>29</v>
      </c>
      <c r="C246" t="s">
        <v>206</v>
      </c>
      <c r="D246" t="s">
        <v>24</v>
      </c>
      <c r="E246" t="s">
        <v>25</v>
      </c>
      <c r="F246" t="s">
        <v>26</v>
      </c>
      <c r="G246" t="s">
        <v>27</v>
      </c>
    </row>
    <row r="247" spans="1:7" x14ac:dyDescent="0.2">
      <c r="A247">
        <v>8</v>
      </c>
      <c r="B247">
        <v>29</v>
      </c>
      <c r="C247" t="s">
        <v>207</v>
      </c>
      <c r="D247" t="s">
        <v>24</v>
      </c>
      <c r="E247" t="s">
        <v>25</v>
      </c>
      <c r="F247" t="s">
        <v>26</v>
      </c>
      <c r="G247" t="s">
        <v>27</v>
      </c>
    </row>
    <row r="248" spans="1:7" x14ac:dyDescent="0.2">
      <c r="A248">
        <v>9</v>
      </c>
      <c r="B248">
        <v>29</v>
      </c>
      <c r="C248" t="s">
        <v>208</v>
      </c>
      <c r="D248" t="s">
        <v>24</v>
      </c>
      <c r="E248" t="s">
        <v>31</v>
      </c>
      <c r="F248" t="s">
        <v>26</v>
      </c>
      <c r="G248" t="s">
        <v>27</v>
      </c>
    </row>
    <row r="249" spans="1:7" x14ac:dyDescent="0.2">
      <c r="A249">
        <v>9</v>
      </c>
      <c r="B249">
        <v>29</v>
      </c>
      <c r="C249" t="s">
        <v>209</v>
      </c>
      <c r="D249" t="s">
        <v>24</v>
      </c>
      <c r="E249" t="s">
        <v>31</v>
      </c>
      <c r="F249" t="s">
        <v>26</v>
      </c>
      <c r="G249" t="s">
        <v>27</v>
      </c>
    </row>
    <row r="250" spans="1:7" x14ac:dyDescent="0.2">
      <c r="A250">
        <v>9</v>
      </c>
      <c r="B250">
        <v>29</v>
      </c>
      <c r="C250" t="s">
        <v>210</v>
      </c>
      <c r="D250" t="s">
        <v>24</v>
      </c>
      <c r="E250" t="s">
        <v>31</v>
      </c>
      <c r="F250" t="s">
        <v>26</v>
      </c>
      <c r="G250" t="s">
        <v>27</v>
      </c>
    </row>
    <row r="251" spans="1:7" x14ac:dyDescent="0.2">
      <c r="A251">
        <v>9</v>
      </c>
      <c r="B251">
        <v>29</v>
      </c>
      <c r="C251" t="s">
        <v>211</v>
      </c>
      <c r="D251" t="s">
        <v>24</v>
      </c>
      <c r="E251" t="s">
        <v>31</v>
      </c>
      <c r="F251" t="s">
        <v>26</v>
      </c>
      <c r="G251" t="s">
        <v>27</v>
      </c>
    </row>
    <row r="252" spans="1:7" x14ac:dyDescent="0.2">
      <c r="A252">
        <v>9</v>
      </c>
      <c r="B252">
        <v>29</v>
      </c>
      <c r="C252" t="s">
        <v>212</v>
      </c>
      <c r="D252" t="s">
        <v>24</v>
      </c>
      <c r="E252" t="s">
        <v>31</v>
      </c>
      <c r="F252" t="s">
        <v>26</v>
      </c>
      <c r="G252" t="s">
        <v>27</v>
      </c>
    </row>
    <row r="253" spans="1:7" x14ac:dyDescent="0.2">
      <c r="A253">
        <v>9</v>
      </c>
      <c r="B253">
        <v>29</v>
      </c>
      <c r="C253" t="s">
        <v>213</v>
      </c>
      <c r="D253" t="s">
        <v>24</v>
      </c>
      <c r="E253" t="s">
        <v>31</v>
      </c>
      <c r="F253" t="s">
        <v>26</v>
      </c>
      <c r="G253" t="s">
        <v>27</v>
      </c>
    </row>
    <row r="254" spans="1:7" x14ac:dyDescent="0.2">
      <c r="A254">
        <v>9</v>
      </c>
      <c r="B254">
        <v>29</v>
      </c>
      <c r="C254" t="s">
        <v>214</v>
      </c>
      <c r="D254" t="s">
        <v>24</v>
      </c>
      <c r="E254" t="s">
        <v>31</v>
      </c>
      <c r="F254" t="s">
        <v>26</v>
      </c>
      <c r="G254" t="s">
        <v>27</v>
      </c>
    </row>
    <row r="255" spans="1:7" x14ac:dyDescent="0.2">
      <c r="A255">
        <v>10</v>
      </c>
      <c r="B255">
        <v>29</v>
      </c>
      <c r="C255" t="s">
        <v>208</v>
      </c>
      <c r="D255" t="s">
        <v>24</v>
      </c>
      <c r="E255" t="s">
        <v>31</v>
      </c>
      <c r="F255" t="s">
        <v>26</v>
      </c>
      <c r="G255" t="s">
        <v>27</v>
      </c>
    </row>
    <row r="256" spans="1:7" x14ac:dyDescent="0.2">
      <c r="A256">
        <v>10</v>
      </c>
      <c r="B256">
        <v>29</v>
      </c>
      <c r="C256" t="s">
        <v>209</v>
      </c>
      <c r="D256" t="s">
        <v>24</v>
      </c>
      <c r="E256" t="s">
        <v>31</v>
      </c>
      <c r="F256" t="s">
        <v>26</v>
      </c>
      <c r="G256" t="s">
        <v>27</v>
      </c>
    </row>
    <row r="257" spans="1:7" x14ac:dyDescent="0.2">
      <c r="A257">
        <v>10</v>
      </c>
      <c r="B257">
        <v>29</v>
      </c>
      <c r="C257" t="s">
        <v>210</v>
      </c>
      <c r="D257" t="s">
        <v>24</v>
      </c>
      <c r="E257" t="s">
        <v>31</v>
      </c>
      <c r="F257" t="s">
        <v>26</v>
      </c>
      <c r="G257" t="s">
        <v>27</v>
      </c>
    </row>
    <row r="258" spans="1:7" x14ac:dyDescent="0.2">
      <c r="A258">
        <v>10</v>
      </c>
      <c r="B258">
        <v>29</v>
      </c>
      <c r="C258" t="s">
        <v>215</v>
      </c>
      <c r="D258" t="s">
        <v>24</v>
      </c>
      <c r="E258" t="s">
        <v>31</v>
      </c>
      <c r="F258" t="s">
        <v>26</v>
      </c>
      <c r="G258" t="s">
        <v>27</v>
      </c>
    </row>
    <row r="259" spans="1:7" x14ac:dyDescent="0.2">
      <c r="A259">
        <v>10</v>
      </c>
      <c r="B259">
        <v>29</v>
      </c>
      <c r="C259" t="s">
        <v>216</v>
      </c>
      <c r="D259" t="s">
        <v>24</v>
      </c>
      <c r="E259" t="s">
        <v>31</v>
      </c>
      <c r="F259" t="s">
        <v>26</v>
      </c>
      <c r="G259" t="s">
        <v>27</v>
      </c>
    </row>
    <row r="260" spans="1:7" x14ac:dyDescent="0.2">
      <c r="A260">
        <v>11</v>
      </c>
      <c r="B260">
        <v>29</v>
      </c>
      <c r="C260" t="s">
        <v>217</v>
      </c>
      <c r="D260" t="s">
        <v>24</v>
      </c>
      <c r="E260" t="s">
        <v>25</v>
      </c>
      <c r="F260" t="s">
        <v>26</v>
      </c>
      <c r="G260" t="s">
        <v>27</v>
      </c>
    </row>
    <row r="261" spans="1:7" x14ac:dyDescent="0.2">
      <c r="A261">
        <v>11</v>
      </c>
      <c r="B261">
        <v>29</v>
      </c>
      <c r="C261" t="s">
        <v>218</v>
      </c>
      <c r="D261" t="s">
        <v>24</v>
      </c>
      <c r="E261" t="s">
        <v>25</v>
      </c>
      <c r="F261" t="s">
        <v>26</v>
      </c>
      <c r="G261" t="s">
        <v>27</v>
      </c>
    </row>
    <row r="262" spans="1:7" x14ac:dyDescent="0.2">
      <c r="A262">
        <v>11</v>
      </c>
      <c r="B262">
        <v>29</v>
      </c>
      <c r="C262" t="s">
        <v>208</v>
      </c>
      <c r="D262" t="s">
        <v>24</v>
      </c>
      <c r="E262" t="s">
        <v>25</v>
      </c>
      <c r="F262" t="s">
        <v>26</v>
      </c>
      <c r="G262" t="s">
        <v>27</v>
      </c>
    </row>
    <row r="263" spans="1:7" x14ac:dyDescent="0.2">
      <c r="A263">
        <v>11</v>
      </c>
      <c r="B263">
        <v>29</v>
      </c>
      <c r="C263" t="s">
        <v>219</v>
      </c>
      <c r="D263" t="s">
        <v>24</v>
      </c>
      <c r="E263" t="s">
        <v>25</v>
      </c>
      <c r="F263" t="s">
        <v>26</v>
      </c>
      <c r="G263" t="s">
        <v>27</v>
      </c>
    </row>
    <row r="264" spans="1:7" x14ac:dyDescent="0.2">
      <c r="A264">
        <v>11</v>
      </c>
      <c r="B264">
        <v>29</v>
      </c>
      <c r="C264" t="s">
        <v>215</v>
      </c>
      <c r="D264" t="s">
        <v>24</v>
      </c>
      <c r="E264" t="s">
        <v>25</v>
      </c>
      <c r="F264" t="s">
        <v>26</v>
      </c>
      <c r="G264" t="s">
        <v>27</v>
      </c>
    </row>
    <row r="265" spans="1:7" x14ac:dyDescent="0.2">
      <c r="A265">
        <v>11</v>
      </c>
      <c r="B265">
        <v>29</v>
      </c>
      <c r="C265" t="s">
        <v>212</v>
      </c>
      <c r="D265" t="s">
        <v>24</v>
      </c>
      <c r="E265" t="s">
        <v>25</v>
      </c>
      <c r="F265" t="s">
        <v>26</v>
      </c>
      <c r="G265" t="s">
        <v>27</v>
      </c>
    </row>
    <row r="266" spans="1:7" x14ac:dyDescent="0.2">
      <c r="A266">
        <v>11</v>
      </c>
      <c r="B266">
        <v>29</v>
      </c>
      <c r="C266" t="s">
        <v>213</v>
      </c>
      <c r="D266" t="s">
        <v>24</v>
      </c>
      <c r="E266" t="s">
        <v>25</v>
      </c>
      <c r="F266" t="s">
        <v>26</v>
      </c>
      <c r="G266" t="s">
        <v>27</v>
      </c>
    </row>
    <row r="267" spans="1:7" x14ac:dyDescent="0.2">
      <c r="A267">
        <v>11</v>
      </c>
      <c r="B267">
        <v>29</v>
      </c>
      <c r="C267" t="s">
        <v>214</v>
      </c>
      <c r="D267" t="s">
        <v>24</v>
      </c>
      <c r="E267" t="s">
        <v>25</v>
      </c>
      <c r="F267" t="s">
        <v>26</v>
      </c>
      <c r="G267" t="s">
        <v>27</v>
      </c>
    </row>
    <row r="268" spans="1:7" x14ac:dyDescent="0.2">
      <c r="A268">
        <v>12</v>
      </c>
      <c r="B268">
        <v>29</v>
      </c>
      <c r="C268" t="s">
        <v>220</v>
      </c>
      <c r="D268" t="s">
        <v>24</v>
      </c>
      <c r="E268" t="s">
        <v>25</v>
      </c>
      <c r="F268" t="s">
        <v>26</v>
      </c>
      <c r="G268" t="s">
        <v>27</v>
      </c>
    </row>
    <row r="269" spans="1:7" x14ac:dyDescent="0.2">
      <c r="A269">
        <v>12</v>
      </c>
      <c r="B269">
        <v>29</v>
      </c>
      <c r="C269" t="s">
        <v>221</v>
      </c>
      <c r="D269" t="s">
        <v>24</v>
      </c>
      <c r="E269" t="s">
        <v>25</v>
      </c>
      <c r="F269" t="s">
        <v>26</v>
      </c>
      <c r="G269" t="s">
        <v>27</v>
      </c>
    </row>
    <row r="270" spans="1:7" x14ac:dyDescent="0.2">
      <c r="A270">
        <v>13</v>
      </c>
      <c r="B270">
        <v>29</v>
      </c>
      <c r="C270" t="s">
        <v>222</v>
      </c>
      <c r="D270" t="s">
        <v>24</v>
      </c>
      <c r="E270" t="s">
        <v>31</v>
      </c>
      <c r="F270" t="s">
        <v>26</v>
      </c>
      <c r="G270" t="s">
        <v>27</v>
      </c>
    </row>
    <row r="271" spans="1:7" x14ac:dyDescent="0.2">
      <c r="A271">
        <v>13</v>
      </c>
      <c r="B271">
        <v>29</v>
      </c>
      <c r="C271" t="s">
        <v>223</v>
      </c>
      <c r="D271" t="s">
        <v>24</v>
      </c>
      <c r="E271" t="s">
        <v>31</v>
      </c>
      <c r="F271" t="s">
        <v>26</v>
      </c>
      <c r="G271" t="s">
        <v>27</v>
      </c>
    </row>
    <row r="272" spans="1:7" x14ac:dyDescent="0.2">
      <c r="A272">
        <v>14</v>
      </c>
      <c r="B272">
        <v>29</v>
      </c>
      <c r="C272" t="s">
        <v>224</v>
      </c>
      <c r="D272" t="s">
        <v>24</v>
      </c>
      <c r="E272" t="s">
        <v>31</v>
      </c>
      <c r="F272" t="s">
        <v>26</v>
      </c>
      <c r="G272" t="s">
        <v>27</v>
      </c>
    </row>
    <row r="273" spans="1:7" x14ac:dyDescent="0.2">
      <c r="A273">
        <v>14</v>
      </c>
      <c r="B273">
        <v>29</v>
      </c>
      <c r="C273" t="s">
        <v>225</v>
      </c>
      <c r="D273" t="s">
        <v>24</v>
      </c>
      <c r="E273" t="s">
        <v>31</v>
      </c>
      <c r="F273" t="s">
        <v>26</v>
      </c>
      <c r="G273" t="s">
        <v>27</v>
      </c>
    </row>
    <row r="274" spans="1:7" x14ac:dyDescent="0.2">
      <c r="A274">
        <v>14</v>
      </c>
      <c r="B274">
        <v>29</v>
      </c>
      <c r="C274" t="s">
        <v>226</v>
      </c>
      <c r="D274" t="s">
        <v>24</v>
      </c>
      <c r="E274" t="s">
        <v>31</v>
      </c>
      <c r="F274" t="s">
        <v>26</v>
      </c>
      <c r="G274" t="s">
        <v>27</v>
      </c>
    </row>
    <row r="275" spans="1:7" x14ac:dyDescent="0.2">
      <c r="A275">
        <v>14</v>
      </c>
      <c r="B275">
        <v>29</v>
      </c>
      <c r="C275" t="s">
        <v>204</v>
      </c>
      <c r="D275" t="s">
        <v>24</v>
      </c>
      <c r="E275" t="s">
        <v>31</v>
      </c>
      <c r="F275" t="s">
        <v>26</v>
      </c>
      <c r="G275" t="s">
        <v>27</v>
      </c>
    </row>
    <row r="276" spans="1:7" x14ac:dyDescent="0.2">
      <c r="A276">
        <v>14</v>
      </c>
      <c r="B276">
        <v>29</v>
      </c>
      <c r="C276" t="s">
        <v>220</v>
      </c>
      <c r="D276" t="s">
        <v>24</v>
      </c>
      <c r="E276" t="s">
        <v>31</v>
      </c>
      <c r="F276" t="s">
        <v>26</v>
      </c>
      <c r="G276" t="s">
        <v>27</v>
      </c>
    </row>
    <row r="277" spans="1:7" x14ac:dyDescent="0.2">
      <c r="A277">
        <v>15</v>
      </c>
      <c r="B277">
        <v>29</v>
      </c>
      <c r="C277" t="s">
        <v>199</v>
      </c>
      <c r="D277" t="s">
        <v>24</v>
      </c>
      <c r="E277" t="s">
        <v>31</v>
      </c>
      <c r="F277" t="s">
        <v>87</v>
      </c>
      <c r="G277" t="s">
        <v>27</v>
      </c>
    </row>
    <row r="278" spans="1:7" x14ac:dyDescent="0.2">
      <c r="A278">
        <v>15</v>
      </c>
      <c r="B278">
        <v>29</v>
      </c>
      <c r="C278" t="s">
        <v>141</v>
      </c>
      <c r="D278" t="s">
        <v>24</v>
      </c>
      <c r="E278" t="s">
        <v>31</v>
      </c>
      <c r="F278" t="s">
        <v>87</v>
      </c>
      <c r="G278" t="s">
        <v>27</v>
      </c>
    </row>
    <row r="279" spans="1:7" x14ac:dyDescent="0.2">
      <c r="A279">
        <v>15</v>
      </c>
      <c r="B279">
        <v>29</v>
      </c>
      <c r="C279" t="s">
        <v>200</v>
      </c>
      <c r="D279" t="s">
        <v>24</v>
      </c>
      <c r="E279" t="s">
        <v>31</v>
      </c>
      <c r="F279" t="s">
        <v>87</v>
      </c>
      <c r="G279" t="s">
        <v>27</v>
      </c>
    </row>
    <row r="280" spans="1:7" x14ac:dyDescent="0.2">
      <c r="A280">
        <v>16</v>
      </c>
      <c r="B280">
        <v>29</v>
      </c>
      <c r="C280" t="s">
        <v>227</v>
      </c>
      <c r="D280" t="s">
        <v>30</v>
      </c>
      <c r="E280" t="s">
        <v>31</v>
      </c>
      <c r="F280" t="s">
        <v>26</v>
      </c>
      <c r="G280" t="s">
        <v>27</v>
      </c>
    </row>
    <row r="281" spans="1:7" x14ac:dyDescent="0.2">
      <c r="A281">
        <v>16</v>
      </c>
      <c r="B281">
        <v>29</v>
      </c>
      <c r="C281" t="s">
        <v>228</v>
      </c>
      <c r="D281" t="s">
        <v>24</v>
      </c>
      <c r="E281" t="s">
        <v>31</v>
      </c>
      <c r="F281" t="s">
        <v>26</v>
      </c>
      <c r="G281" t="s">
        <v>27</v>
      </c>
    </row>
    <row r="282" spans="1:7" x14ac:dyDescent="0.2">
      <c r="A282">
        <v>17</v>
      </c>
      <c r="B282">
        <v>29</v>
      </c>
      <c r="C282" t="s">
        <v>229</v>
      </c>
      <c r="D282" t="s">
        <v>24</v>
      </c>
      <c r="E282" t="s">
        <v>31</v>
      </c>
      <c r="F282" t="s">
        <v>26</v>
      </c>
      <c r="G282" t="s">
        <v>27</v>
      </c>
    </row>
    <row r="283" spans="1:7" x14ac:dyDescent="0.2">
      <c r="A283">
        <v>17</v>
      </c>
      <c r="B283">
        <v>29</v>
      </c>
      <c r="C283" t="s">
        <v>212</v>
      </c>
      <c r="D283" t="s">
        <v>24</v>
      </c>
      <c r="E283" t="s">
        <v>31</v>
      </c>
      <c r="F283" t="s">
        <v>26</v>
      </c>
      <c r="G283" t="s">
        <v>27</v>
      </c>
    </row>
    <row r="284" spans="1:7" x14ac:dyDescent="0.2">
      <c r="A284">
        <v>17</v>
      </c>
      <c r="B284">
        <v>29</v>
      </c>
      <c r="C284" t="s">
        <v>230</v>
      </c>
      <c r="D284" t="s">
        <v>24</v>
      </c>
      <c r="E284" t="s">
        <v>31</v>
      </c>
      <c r="F284" t="s">
        <v>26</v>
      </c>
      <c r="G284" t="s">
        <v>27</v>
      </c>
    </row>
    <row r="285" spans="1:7" x14ac:dyDescent="0.2">
      <c r="A285">
        <v>17</v>
      </c>
      <c r="B285">
        <v>29</v>
      </c>
      <c r="C285" t="s">
        <v>220</v>
      </c>
      <c r="D285" t="s">
        <v>24</v>
      </c>
      <c r="E285" t="s">
        <v>31</v>
      </c>
      <c r="F285" t="s">
        <v>26</v>
      </c>
      <c r="G285" t="s">
        <v>27</v>
      </c>
    </row>
    <row r="286" spans="1:7" x14ac:dyDescent="0.2">
      <c r="A286">
        <v>18</v>
      </c>
      <c r="B286">
        <v>29</v>
      </c>
      <c r="C286" t="s">
        <v>229</v>
      </c>
      <c r="D286" t="s">
        <v>24</v>
      </c>
      <c r="E286" t="s">
        <v>31</v>
      </c>
      <c r="F286" t="s">
        <v>26</v>
      </c>
      <c r="G286" t="s">
        <v>27</v>
      </c>
    </row>
    <row r="287" spans="1:7" x14ac:dyDescent="0.2">
      <c r="A287">
        <v>18</v>
      </c>
      <c r="B287">
        <v>29</v>
      </c>
      <c r="C287" t="s">
        <v>231</v>
      </c>
      <c r="D287" t="s">
        <v>24</v>
      </c>
      <c r="E287" t="s">
        <v>31</v>
      </c>
      <c r="F287" t="s">
        <v>26</v>
      </c>
      <c r="G287" t="s">
        <v>27</v>
      </c>
    </row>
    <row r="288" spans="1:7" x14ac:dyDescent="0.2">
      <c r="A288">
        <v>18</v>
      </c>
      <c r="B288">
        <v>29</v>
      </c>
      <c r="C288" t="s">
        <v>153</v>
      </c>
      <c r="D288" t="s">
        <v>24</v>
      </c>
      <c r="E288" t="s">
        <v>31</v>
      </c>
      <c r="F288" t="s">
        <v>26</v>
      </c>
      <c r="G288" t="s">
        <v>27</v>
      </c>
    </row>
    <row r="289" spans="1:7" x14ac:dyDescent="0.2">
      <c r="A289">
        <v>18</v>
      </c>
      <c r="B289">
        <v>29</v>
      </c>
      <c r="C289" t="s">
        <v>232</v>
      </c>
      <c r="D289" t="s">
        <v>24</v>
      </c>
      <c r="E289" t="s">
        <v>31</v>
      </c>
      <c r="F289" t="s">
        <v>26</v>
      </c>
      <c r="G289" t="s">
        <v>27</v>
      </c>
    </row>
    <row r="290" spans="1:7" x14ac:dyDescent="0.2">
      <c r="A290">
        <v>18</v>
      </c>
      <c r="B290">
        <v>29</v>
      </c>
      <c r="C290" t="s">
        <v>233</v>
      </c>
      <c r="D290" t="s">
        <v>24</v>
      </c>
      <c r="E290" t="s">
        <v>31</v>
      </c>
      <c r="F290" t="s">
        <v>26</v>
      </c>
      <c r="G290" t="s">
        <v>27</v>
      </c>
    </row>
    <row r="291" spans="1:7" x14ac:dyDescent="0.2">
      <c r="A291">
        <v>18</v>
      </c>
      <c r="B291">
        <v>29</v>
      </c>
      <c r="C291" t="s">
        <v>234</v>
      </c>
      <c r="D291" t="s">
        <v>24</v>
      </c>
      <c r="E291" t="s">
        <v>31</v>
      </c>
      <c r="F291" t="s">
        <v>26</v>
      </c>
      <c r="G291" t="s">
        <v>27</v>
      </c>
    </row>
    <row r="292" spans="1:7" x14ac:dyDescent="0.2">
      <c r="A292">
        <v>19</v>
      </c>
      <c r="B292">
        <v>29</v>
      </c>
      <c r="C292" t="s">
        <v>235</v>
      </c>
      <c r="D292" t="s">
        <v>24</v>
      </c>
      <c r="E292" t="s">
        <v>25</v>
      </c>
      <c r="F292" t="s">
        <v>26</v>
      </c>
      <c r="G292" t="s">
        <v>27</v>
      </c>
    </row>
    <row r="293" spans="1:7" x14ac:dyDescent="0.2">
      <c r="A293">
        <v>19</v>
      </c>
      <c r="B293">
        <v>29</v>
      </c>
      <c r="C293" t="s">
        <v>229</v>
      </c>
      <c r="D293" t="s">
        <v>24</v>
      </c>
      <c r="E293" t="s">
        <v>25</v>
      </c>
      <c r="F293" t="s">
        <v>26</v>
      </c>
      <c r="G293" t="s">
        <v>27</v>
      </c>
    </row>
    <row r="294" spans="1:7" x14ac:dyDescent="0.2">
      <c r="A294">
        <v>19</v>
      </c>
      <c r="B294">
        <v>29</v>
      </c>
      <c r="C294" t="s">
        <v>236</v>
      </c>
      <c r="D294" t="s">
        <v>24</v>
      </c>
      <c r="E294" t="s">
        <v>25</v>
      </c>
      <c r="F294" t="s">
        <v>26</v>
      </c>
      <c r="G294" t="s">
        <v>27</v>
      </c>
    </row>
    <row r="295" spans="1:7" x14ac:dyDescent="0.2">
      <c r="A295">
        <v>19</v>
      </c>
      <c r="B295">
        <v>29</v>
      </c>
      <c r="C295" t="s">
        <v>153</v>
      </c>
      <c r="D295" t="s">
        <v>24</v>
      </c>
      <c r="E295" t="s">
        <v>25</v>
      </c>
      <c r="F295" t="s">
        <v>26</v>
      </c>
      <c r="G295" t="s">
        <v>27</v>
      </c>
    </row>
    <row r="296" spans="1:7" x14ac:dyDescent="0.2">
      <c r="A296">
        <v>19</v>
      </c>
      <c r="B296">
        <v>29</v>
      </c>
      <c r="C296" t="s">
        <v>220</v>
      </c>
      <c r="D296" t="s">
        <v>24</v>
      </c>
      <c r="E296" t="s">
        <v>25</v>
      </c>
      <c r="F296" t="s">
        <v>26</v>
      </c>
      <c r="G296" t="s">
        <v>27</v>
      </c>
    </row>
    <row r="297" spans="1:7" x14ac:dyDescent="0.2">
      <c r="A297">
        <v>20</v>
      </c>
      <c r="B297">
        <v>29</v>
      </c>
      <c r="C297" t="s">
        <v>237</v>
      </c>
      <c r="D297" t="s">
        <v>24</v>
      </c>
      <c r="E297" t="s">
        <v>31</v>
      </c>
      <c r="F297" t="s">
        <v>26</v>
      </c>
      <c r="G297" t="s">
        <v>27</v>
      </c>
    </row>
    <row r="298" spans="1:7" x14ac:dyDescent="0.2">
      <c r="A298">
        <v>20</v>
      </c>
      <c r="B298">
        <v>29</v>
      </c>
      <c r="C298" t="s">
        <v>236</v>
      </c>
      <c r="D298" t="s">
        <v>24</v>
      </c>
      <c r="E298" t="s">
        <v>31</v>
      </c>
      <c r="F298" t="s">
        <v>26</v>
      </c>
      <c r="G298" t="s">
        <v>27</v>
      </c>
    </row>
    <row r="299" spans="1:7" x14ac:dyDescent="0.2">
      <c r="A299">
        <v>20</v>
      </c>
      <c r="B299">
        <v>29</v>
      </c>
      <c r="C299" t="s">
        <v>238</v>
      </c>
      <c r="D299" t="s">
        <v>24</v>
      </c>
      <c r="E299" t="s">
        <v>31</v>
      </c>
      <c r="F299" t="s">
        <v>26</v>
      </c>
      <c r="G299" t="s">
        <v>27</v>
      </c>
    </row>
    <row r="300" spans="1:7" x14ac:dyDescent="0.2">
      <c r="A300">
        <v>20</v>
      </c>
      <c r="B300">
        <v>29</v>
      </c>
      <c r="C300" t="s">
        <v>153</v>
      </c>
      <c r="D300" t="s">
        <v>24</v>
      </c>
      <c r="E300" t="s">
        <v>31</v>
      </c>
      <c r="F300" t="s">
        <v>26</v>
      </c>
      <c r="G300" t="s">
        <v>27</v>
      </c>
    </row>
    <row r="301" spans="1:7" x14ac:dyDescent="0.2">
      <c r="A301">
        <v>20</v>
      </c>
      <c r="B301">
        <v>29</v>
      </c>
      <c r="C301" t="s">
        <v>239</v>
      </c>
      <c r="D301" t="s">
        <v>24</v>
      </c>
      <c r="E301" t="s">
        <v>31</v>
      </c>
      <c r="F301" t="s">
        <v>26</v>
      </c>
      <c r="G301" t="s">
        <v>27</v>
      </c>
    </row>
    <row r="302" spans="1:7" x14ac:dyDescent="0.2">
      <c r="A302">
        <v>20</v>
      </c>
      <c r="B302">
        <v>29</v>
      </c>
      <c r="C302" t="s">
        <v>240</v>
      </c>
      <c r="D302" t="s">
        <v>24</v>
      </c>
      <c r="E302" t="s">
        <v>31</v>
      </c>
      <c r="F302" t="s">
        <v>26</v>
      </c>
      <c r="G302" t="s">
        <v>27</v>
      </c>
    </row>
    <row r="303" spans="1:7" x14ac:dyDescent="0.2">
      <c r="A303">
        <v>20</v>
      </c>
      <c r="B303">
        <v>29</v>
      </c>
      <c r="C303" t="s">
        <v>220</v>
      </c>
      <c r="D303" t="s">
        <v>24</v>
      </c>
      <c r="E303" t="s">
        <v>31</v>
      </c>
      <c r="F303" t="s">
        <v>26</v>
      </c>
      <c r="G303" t="s">
        <v>27</v>
      </c>
    </row>
    <row r="304" spans="1:7" x14ac:dyDescent="0.2">
      <c r="A304">
        <v>21</v>
      </c>
      <c r="B304">
        <v>29</v>
      </c>
      <c r="C304" t="s">
        <v>241</v>
      </c>
      <c r="D304" t="s">
        <v>24</v>
      </c>
      <c r="E304" t="s">
        <v>31</v>
      </c>
      <c r="F304" t="s">
        <v>26</v>
      </c>
      <c r="G304" t="s">
        <v>27</v>
      </c>
    </row>
    <row r="305" spans="1:7" x14ac:dyDescent="0.2">
      <c r="A305">
        <v>21</v>
      </c>
      <c r="B305">
        <v>29</v>
      </c>
      <c r="C305" t="s">
        <v>242</v>
      </c>
      <c r="D305" t="s">
        <v>24</v>
      </c>
      <c r="E305" t="s">
        <v>31</v>
      </c>
      <c r="F305" t="s">
        <v>26</v>
      </c>
      <c r="G305" t="s">
        <v>27</v>
      </c>
    </row>
    <row r="306" spans="1:7" x14ac:dyDescent="0.2">
      <c r="A306">
        <v>21</v>
      </c>
      <c r="B306">
        <v>29</v>
      </c>
      <c r="C306" t="s">
        <v>243</v>
      </c>
      <c r="D306" t="s">
        <v>24</v>
      </c>
      <c r="E306" t="s">
        <v>31</v>
      </c>
      <c r="F306" t="s">
        <v>26</v>
      </c>
      <c r="G306" t="s">
        <v>27</v>
      </c>
    </row>
    <row r="307" spans="1:7" x14ac:dyDescent="0.2">
      <c r="A307">
        <v>21</v>
      </c>
      <c r="B307">
        <v>29</v>
      </c>
      <c r="C307" t="s">
        <v>244</v>
      </c>
      <c r="D307" t="s">
        <v>24</v>
      </c>
      <c r="E307" t="s">
        <v>31</v>
      </c>
      <c r="F307" t="s">
        <v>26</v>
      </c>
      <c r="G307" t="s">
        <v>27</v>
      </c>
    </row>
    <row r="308" spans="1:7" x14ac:dyDescent="0.2">
      <c r="A308">
        <v>21</v>
      </c>
      <c r="B308">
        <v>29</v>
      </c>
      <c r="C308" t="s">
        <v>245</v>
      </c>
      <c r="D308" t="s">
        <v>24</v>
      </c>
      <c r="E308" t="s">
        <v>31</v>
      </c>
      <c r="F308" t="s">
        <v>26</v>
      </c>
      <c r="G308" t="s">
        <v>27</v>
      </c>
    </row>
    <row r="309" spans="1:7" x14ac:dyDescent="0.2">
      <c r="A309">
        <v>21</v>
      </c>
      <c r="B309">
        <v>29</v>
      </c>
      <c r="C309" t="s">
        <v>246</v>
      </c>
      <c r="D309" t="s">
        <v>24</v>
      </c>
      <c r="E309" t="s">
        <v>31</v>
      </c>
      <c r="F309" t="s">
        <v>26</v>
      </c>
      <c r="G309" t="s">
        <v>27</v>
      </c>
    </row>
    <row r="310" spans="1:7" x14ac:dyDescent="0.2">
      <c r="A310">
        <v>22</v>
      </c>
      <c r="B310">
        <v>29</v>
      </c>
      <c r="C310" t="s">
        <v>241</v>
      </c>
      <c r="D310" t="s">
        <v>24</v>
      </c>
      <c r="E310" t="s">
        <v>25</v>
      </c>
      <c r="F310" t="s">
        <v>26</v>
      </c>
      <c r="G310" t="s">
        <v>27</v>
      </c>
    </row>
    <row r="311" spans="1:7" x14ac:dyDescent="0.2">
      <c r="A311">
        <v>22</v>
      </c>
      <c r="B311">
        <v>29</v>
      </c>
      <c r="C311" t="s">
        <v>153</v>
      </c>
      <c r="D311" t="s">
        <v>24</v>
      </c>
      <c r="E311" t="s">
        <v>25</v>
      </c>
      <c r="F311" t="s">
        <v>26</v>
      </c>
      <c r="G311" t="s">
        <v>27</v>
      </c>
    </row>
    <row r="312" spans="1:7" x14ac:dyDescent="0.2">
      <c r="A312">
        <v>22</v>
      </c>
      <c r="B312">
        <v>29</v>
      </c>
      <c r="C312" t="s">
        <v>247</v>
      </c>
      <c r="D312" t="s">
        <v>24</v>
      </c>
      <c r="E312" t="s">
        <v>25</v>
      </c>
      <c r="F312" t="s">
        <v>26</v>
      </c>
      <c r="G312" t="s">
        <v>27</v>
      </c>
    </row>
    <row r="313" spans="1:7" x14ac:dyDescent="0.2">
      <c r="A313">
        <v>22</v>
      </c>
      <c r="B313">
        <v>29</v>
      </c>
      <c r="C313" t="s">
        <v>247</v>
      </c>
      <c r="D313" t="s">
        <v>24</v>
      </c>
      <c r="E313" t="s">
        <v>25</v>
      </c>
      <c r="F313" t="s">
        <v>26</v>
      </c>
      <c r="G313" t="s">
        <v>27</v>
      </c>
    </row>
    <row r="314" spans="1:7" x14ac:dyDescent="0.2">
      <c r="A314">
        <v>22</v>
      </c>
      <c r="B314">
        <v>29</v>
      </c>
      <c r="C314" t="s">
        <v>248</v>
      </c>
      <c r="D314" t="s">
        <v>24</v>
      </c>
      <c r="E314" t="s">
        <v>25</v>
      </c>
      <c r="F314" t="s">
        <v>26</v>
      </c>
      <c r="G314" t="s">
        <v>27</v>
      </c>
    </row>
    <row r="315" spans="1:7" x14ac:dyDescent="0.2">
      <c r="A315">
        <v>22</v>
      </c>
      <c r="B315">
        <v>29</v>
      </c>
      <c r="C315" t="s">
        <v>248</v>
      </c>
      <c r="D315" t="s">
        <v>24</v>
      </c>
      <c r="E315" t="s">
        <v>25</v>
      </c>
      <c r="F315" t="s">
        <v>26</v>
      </c>
      <c r="G315" t="s">
        <v>27</v>
      </c>
    </row>
    <row r="316" spans="1:7" x14ac:dyDescent="0.2">
      <c r="A316">
        <v>22</v>
      </c>
      <c r="B316">
        <v>29</v>
      </c>
      <c r="C316" t="s">
        <v>220</v>
      </c>
      <c r="D316" t="s">
        <v>24</v>
      </c>
      <c r="E316" t="s">
        <v>25</v>
      </c>
      <c r="F316" t="s">
        <v>26</v>
      </c>
      <c r="G316" t="s">
        <v>27</v>
      </c>
    </row>
    <row r="317" spans="1:7" x14ac:dyDescent="0.2">
      <c r="A317">
        <v>23</v>
      </c>
      <c r="B317">
        <v>29</v>
      </c>
      <c r="C317" t="s">
        <v>249</v>
      </c>
      <c r="D317" t="s">
        <v>24</v>
      </c>
      <c r="E317" t="s">
        <v>31</v>
      </c>
      <c r="F317" t="s">
        <v>26</v>
      </c>
      <c r="G317" t="s">
        <v>27</v>
      </c>
    </row>
    <row r="318" spans="1:7" x14ac:dyDescent="0.2">
      <c r="A318">
        <v>23</v>
      </c>
      <c r="B318">
        <v>29</v>
      </c>
      <c r="C318" t="s">
        <v>250</v>
      </c>
      <c r="D318" t="s">
        <v>24</v>
      </c>
      <c r="E318" t="s">
        <v>31</v>
      </c>
      <c r="F318" t="s">
        <v>26</v>
      </c>
      <c r="G318" t="s">
        <v>27</v>
      </c>
    </row>
    <row r="319" spans="1:7" x14ac:dyDescent="0.2">
      <c r="A319">
        <v>23</v>
      </c>
      <c r="B319">
        <v>29</v>
      </c>
      <c r="C319" t="s">
        <v>251</v>
      </c>
      <c r="D319" t="s">
        <v>24</v>
      </c>
      <c r="E319" t="s">
        <v>31</v>
      </c>
      <c r="F319" t="s">
        <v>26</v>
      </c>
      <c r="G319" t="s">
        <v>27</v>
      </c>
    </row>
    <row r="320" spans="1:7" x14ac:dyDescent="0.2">
      <c r="A320">
        <v>23</v>
      </c>
      <c r="B320">
        <v>29</v>
      </c>
      <c r="C320" t="s">
        <v>252</v>
      </c>
      <c r="D320" t="s">
        <v>24</v>
      </c>
      <c r="E320" t="s">
        <v>31</v>
      </c>
      <c r="F320" t="s">
        <v>26</v>
      </c>
      <c r="G320" t="s">
        <v>27</v>
      </c>
    </row>
    <row r="321" spans="1:7" x14ac:dyDescent="0.2">
      <c r="A321">
        <v>23</v>
      </c>
      <c r="B321">
        <v>29</v>
      </c>
      <c r="C321" t="s">
        <v>253</v>
      </c>
      <c r="D321" t="s">
        <v>24</v>
      </c>
      <c r="E321" t="s">
        <v>31</v>
      </c>
      <c r="F321" t="s">
        <v>26</v>
      </c>
      <c r="G321" t="s">
        <v>27</v>
      </c>
    </row>
    <row r="322" spans="1:7" x14ac:dyDescent="0.2">
      <c r="A322">
        <v>23</v>
      </c>
      <c r="B322">
        <v>29</v>
      </c>
      <c r="C322" t="s">
        <v>254</v>
      </c>
      <c r="D322" t="s">
        <v>24</v>
      </c>
      <c r="E322" t="s">
        <v>31</v>
      </c>
      <c r="F322" t="s">
        <v>26</v>
      </c>
      <c r="G322" t="s">
        <v>27</v>
      </c>
    </row>
    <row r="323" spans="1:7" x14ac:dyDescent="0.2">
      <c r="A323">
        <v>7</v>
      </c>
      <c r="B323">
        <v>30</v>
      </c>
      <c r="C323" t="s">
        <v>255</v>
      </c>
      <c r="D323" t="s">
        <v>24</v>
      </c>
      <c r="E323" t="s">
        <v>256</v>
      </c>
      <c r="F323" t="s">
        <v>87</v>
      </c>
      <c r="G323" t="s">
        <v>27</v>
      </c>
    </row>
    <row r="324" spans="1:7" x14ac:dyDescent="0.2">
      <c r="A324">
        <v>8</v>
      </c>
      <c r="B324">
        <v>30</v>
      </c>
      <c r="C324" t="s">
        <v>257</v>
      </c>
      <c r="D324" t="s">
        <v>24</v>
      </c>
      <c r="E324" t="s">
        <v>25</v>
      </c>
      <c r="F324" t="s">
        <v>26</v>
      </c>
      <c r="G324" t="s">
        <v>27</v>
      </c>
    </row>
    <row r="325" spans="1:7" x14ac:dyDescent="0.2">
      <c r="A325">
        <v>8</v>
      </c>
      <c r="B325">
        <v>30</v>
      </c>
      <c r="C325" t="s">
        <v>258</v>
      </c>
      <c r="D325" t="s">
        <v>24</v>
      </c>
      <c r="E325" t="s">
        <v>25</v>
      </c>
      <c r="F325" t="s">
        <v>26</v>
      </c>
      <c r="G325" t="s">
        <v>27</v>
      </c>
    </row>
    <row r="326" spans="1:7" x14ac:dyDescent="0.2">
      <c r="A326">
        <v>8</v>
      </c>
      <c r="B326">
        <v>30</v>
      </c>
      <c r="C326" t="s">
        <v>259</v>
      </c>
      <c r="D326" t="s">
        <v>24</v>
      </c>
      <c r="E326" t="s">
        <v>25</v>
      </c>
      <c r="F326" t="s">
        <v>26</v>
      </c>
      <c r="G326" t="s">
        <v>27</v>
      </c>
    </row>
    <row r="327" spans="1:7" x14ac:dyDescent="0.2">
      <c r="A327">
        <v>8</v>
      </c>
      <c r="B327">
        <v>30</v>
      </c>
      <c r="C327" t="s">
        <v>260</v>
      </c>
      <c r="D327" t="s">
        <v>24</v>
      </c>
      <c r="E327" t="s">
        <v>25</v>
      </c>
      <c r="F327" t="s">
        <v>26</v>
      </c>
      <c r="G327" t="s">
        <v>27</v>
      </c>
    </row>
    <row r="328" spans="1:7" x14ac:dyDescent="0.2">
      <c r="A328">
        <v>8</v>
      </c>
      <c r="B328">
        <v>30</v>
      </c>
      <c r="C328" t="s">
        <v>261</v>
      </c>
      <c r="D328" t="s">
        <v>24</v>
      </c>
      <c r="E328" t="s">
        <v>25</v>
      </c>
      <c r="F328" t="s">
        <v>26</v>
      </c>
      <c r="G328" t="s">
        <v>27</v>
      </c>
    </row>
    <row r="329" spans="1:7" x14ac:dyDescent="0.2">
      <c r="A329">
        <v>9</v>
      </c>
      <c r="B329">
        <v>30</v>
      </c>
      <c r="C329" t="s">
        <v>262</v>
      </c>
      <c r="D329" t="s">
        <v>24</v>
      </c>
      <c r="E329" t="s">
        <v>31</v>
      </c>
      <c r="F329" t="s">
        <v>26</v>
      </c>
      <c r="G329" t="s">
        <v>27</v>
      </c>
    </row>
    <row r="330" spans="1:7" x14ac:dyDescent="0.2">
      <c r="A330">
        <v>9</v>
      </c>
      <c r="B330">
        <v>30</v>
      </c>
      <c r="C330" t="s">
        <v>263</v>
      </c>
      <c r="D330" t="s">
        <v>24</v>
      </c>
      <c r="E330" t="s">
        <v>31</v>
      </c>
      <c r="F330" t="s">
        <v>26</v>
      </c>
      <c r="G330" t="s">
        <v>27</v>
      </c>
    </row>
    <row r="331" spans="1:7" x14ac:dyDescent="0.2">
      <c r="A331">
        <v>9</v>
      </c>
      <c r="B331">
        <v>30</v>
      </c>
      <c r="C331" t="s">
        <v>264</v>
      </c>
      <c r="D331" t="s">
        <v>24</v>
      </c>
      <c r="E331" t="s">
        <v>31</v>
      </c>
      <c r="F331" t="s">
        <v>26</v>
      </c>
      <c r="G331" t="s">
        <v>27</v>
      </c>
    </row>
    <row r="332" spans="1:7" x14ac:dyDescent="0.2">
      <c r="A332">
        <v>9</v>
      </c>
      <c r="B332">
        <v>30</v>
      </c>
      <c r="C332" t="s">
        <v>239</v>
      </c>
      <c r="D332" t="s">
        <v>24</v>
      </c>
      <c r="E332" t="s">
        <v>31</v>
      </c>
      <c r="F332" t="s">
        <v>26</v>
      </c>
      <c r="G332" t="s">
        <v>27</v>
      </c>
    </row>
    <row r="333" spans="1:7" x14ac:dyDescent="0.2">
      <c r="A333">
        <v>9</v>
      </c>
      <c r="B333">
        <v>30</v>
      </c>
      <c r="C333" t="s">
        <v>265</v>
      </c>
      <c r="D333" t="s">
        <v>24</v>
      </c>
      <c r="E333" t="s">
        <v>31</v>
      </c>
      <c r="F333" t="s">
        <v>26</v>
      </c>
      <c r="G333" t="s">
        <v>27</v>
      </c>
    </row>
    <row r="334" spans="1:7" x14ac:dyDescent="0.2">
      <c r="A334">
        <v>9</v>
      </c>
      <c r="B334">
        <v>30</v>
      </c>
      <c r="C334" t="s">
        <v>266</v>
      </c>
      <c r="D334" t="s">
        <v>24</v>
      </c>
      <c r="E334" t="s">
        <v>31</v>
      </c>
      <c r="F334" t="s">
        <v>26</v>
      </c>
      <c r="G334" t="s">
        <v>27</v>
      </c>
    </row>
    <row r="335" spans="1:7" x14ac:dyDescent="0.2">
      <c r="A335">
        <v>9</v>
      </c>
      <c r="B335">
        <v>30</v>
      </c>
      <c r="C335" t="s">
        <v>267</v>
      </c>
      <c r="D335" t="s">
        <v>30</v>
      </c>
      <c r="E335" t="s">
        <v>31</v>
      </c>
      <c r="F335" t="s">
        <v>26</v>
      </c>
      <c r="G335" t="s">
        <v>27</v>
      </c>
    </row>
    <row r="336" spans="1:7" x14ac:dyDescent="0.2">
      <c r="A336">
        <v>9</v>
      </c>
      <c r="B336">
        <v>30</v>
      </c>
      <c r="C336" t="s">
        <v>268</v>
      </c>
      <c r="D336" t="s">
        <v>24</v>
      </c>
      <c r="E336" t="s">
        <v>31</v>
      </c>
      <c r="F336" t="s">
        <v>26</v>
      </c>
      <c r="G336" t="s">
        <v>27</v>
      </c>
    </row>
    <row r="337" spans="1:7" x14ac:dyDescent="0.2">
      <c r="A337">
        <v>9</v>
      </c>
      <c r="B337">
        <v>30</v>
      </c>
      <c r="C337" t="s">
        <v>269</v>
      </c>
      <c r="D337" t="s">
        <v>24</v>
      </c>
      <c r="E337" t="s">
        <v>31</v>
      </c>
      <c r="F337" t="s">
        <v>26</v>
      </c>
      <c r="G337" t="s">
        <v>27</v>
      </c>
    </row>
    <row r="338" spans="1:7" x14ac:dyDescent="0.2">
      <c r="A338">
        <v>9</v>
      </c>
      <c r="B338">
        <v>30</v>
      </c>
      <c r="C338" t="s">
        <v>270</v>
      </c>
      <c r="D338" t="s">
        <v>24</v>
      </c>
      <c r="E338" t="s">
        <v>31</v>
      </c>
      <c r="F338" t="s">
        <v>26</v>
      </c>
      <c r="G338" t="s">
        <v>27</v>
      </c>
    </row>
    <row r="339" spans="1:7" x14ac:dyDescent="0.2">
      <c r="A339">
        <v>10</v>
      </c>
      <c r="B339">
        <v>30</v>
      </c>
      <c r="C339" t="s">
        <v>271</v>
      </c>
      <c r="D339" t="s">
        <v>24</v>
      </c>
      <c r="E339" t="s">
        <v>31</v>
      </c>
      <c r="F339" t="s">
        <v>26</v>
      </c>
      <c r="G339" t="s">
        <v>27</v>
      </c>
    </row>
    <row r="340" spans="1:7" x14ac:dyDescent="0.2">
      <c r="A340">
        <v>10</v>
      </c>
      <c r="B340">
        <v>30</v>
      </c>
      <c r="C340" t="s">
        <v>272</v>
      </c>
      <c r="D340" t="s">
        <v>24</v>
      </c>
      <c r="E340" t="s">
        <v>31</v>
      </c>
      <c r="F340" t="s">
        <v>26</v>
      </c>
      <c r="G340" t="s">
        <v>27</v>
      </c>
    </row>
    <row r="341" spans="1:7" x14ac:dyDescent="0.2">
      <c r="A341">
        <v>10</v>
      </c>
      <c r="B341">
        <v>30</v>
      </c>
      <c r="C341" t="s">
        <v>273</v>
      </c>
      <c r="D341" t="s">
        <v>24</v>
      </c>
      <c r="E341" t="s">
        <v>31</v>
      </c>
      <c r="F341" t="s">
        <v>26</v>
      </c>
      <c r="G341" t="s">
        <v>27</v>
      </c>
    </row>
    <row r="342" spans="1:7" x14ac:dyDescent="0.2">
      <c r="A342">
        <v>10</v>
      </c>
      <c r="B342">
        <v>30</v>
      </c>
      <c r="C342" t="s">
        <v>274</v>
      </c>
      <c r="D342" t="s">
        <v>24</v>
      </c>
      <c r="E342" t="s">
        <v>31</v>
      </c>
      <c r="F342" t="s">
        <v>26</v>
      </c>
      <c r="G342" t="s">
        <v>27</v>
      </c>
    </row>
    <row r="343" spans="1:7" x14ac:dyDescent="0.2">
      <c r="A343">
        <v>10</v>
      </c>
      <c r="B343">
        <v>30</v>
      </c>
      <c r="C343" t="s">
        <v>275</v>
      </c>
      <c r="D343" t="s">
        <v>24</v>
      </c>
      <c r="E343" t="s">
        <v>31</v>
      </c>
      <c r="F343" t="s">
        <v>26</v>
      </c>
      <c r="G343" t="s">
        <v>27</v>
      </c>
    </row>
    <row r="344" spans="1:7" x14ac:dyDescent="0.2">
      <c r="A344">
        <v>10</v>
      </c>
      <c r="B344">
        <v>30</v>
      </c>
      <c r="C344" t="s">
        <v>276</v>
      </c>
      <c r="D344" t="s">
        <v>24</v>
      </c>
      <c r="E344" t="s">
        <v>31</v>
      </c>
      <c r="F344" t="s">
        <v>26</v>
      </c>
      <c r="G344" t="s">
        <v>27</v>
      </c>
    </row>
    <row r="345" spans="1:7" x14ac:dyDescent="0.2">
      <c r="A345">
        <v>10</v>
      </c>
      <c r="B345">
        <v>30</v>
      </c>
      <c r="C345" t="s">
        <v>277</v>
      </c>
      <c r="D345" t="s">
        <v>24</v>
      </c>
      <c r="E345" t="s">
        <v>31</v>
      </c>
      <c r="F345" t="s">
        <v>26</v>
      </c>
      <c r="G345" t="s">
        <v>27</v>
      </c>
    </row>
    <row r="346" spans="1:7" x14ac:dyDescent="0.2">
      <c r="A346">
        <v>10</v>
      </c>
      <c r="B346">
        <v>30</v>
      </c>
      <c r="C346" t="s">
        <v>264</v>
      </c>
      <c r="D346" t="s">
        <v>24</v>
      </c>
      <c r="E346" t="s">
        <v>31</v>
      </c>
      <c r="F346" t="s">
        <v>26</v>
      </c>
      <c r="G346" t="s">
        <v>27</v>
      </c>
    </row>
    <row r="347" spans="1:7" x14ac:dyDescent="0.2">
      <c r="A347">
        <v>10</v>
      </c>
      <c r="B347">
        <v>30</v>
      </c>
      <c r="C347" t="s">
        <v>278</v>
      </c>
      <c r="D347" t="s">
        <v>24</v>
      </c>
      <c r="E347" t="s">
        <v>31</v>
      </c>
      <c r="F347" t="s">
        <v>26</v>
      </c>
      <c r="G347" t="s">
        <v>27</v>
      </c>
    </row>
    <row r="348" spans="1:7" x14ac:dyDescent="0.2">
      <c r="A348">
        <v>10</v>
      </c>
      <c r="B348">
        <v>30</v>
      </c>
      <c r="C348" t="s">
        <v>239</v>
      </c>
      <c r="D348" t="s">
        <v>24</v>
      </c>
      <c r="E348" t="s">
        <v>31</v>
      </c>
      <c r="F348" t="s">
        <v>26</v>
      </c>
      <c r="G348" t="s">
        <v>27</v>
      </c>
    </row>
    <row r="349" spans="1:7" x14ac:dyDescent="0.2">
      <c r="A349">
        <v>10</v>
      </c>
      <c r="B349">
        <v>30</v>
      </c>
      <c r="C349" t="s">
        <v>279</v>
      </c>
      <c r="D349" t="s">
        <v>24</v>
      </c>
      <c r="E349" t="s">
        <v>31</v>
      </c>
      <c r="F349" t="s">
        <v>26</v>
      </c>
      <c r="G349" t="s">
        <v>27</v>
      </c>
    </row>
    <row r="350" spans="1:7" x14ac:dyDescent="0.2">
      <c r="A350">
        <v>10</v>
      </c>
      <c r="B350">
        <v>30</v>
      </c>
      <c r="C350" t="s">
        <v>266</v>
      </c>
      <c r="D350" t="s">
        <v>24</v>
      </c>
      <c r="E350" t="s">
        <v>31</v>
      </c>
      <c r="F350" t="s">
        <v>26</v>
      </c>
      <c r="G350" t="s">
        <v>27</v>
      </c>
    </row>
    <row r="351" spans="1:7" x14ac:dyDescent="0.2">
      <c r="A351">
        <v>10</v>
      </c>
      <c r="B351">
        <v>30</v>
      </c>
      <c r="C351" t="s">
        <v>280</v>
      </c>
      <c r="D351" t="s">
        <v>30</v>
      </c>
      <c r="E351" t="s">
        <v>31</v>
      </c>
      <c r="F351" t="s">
        <v>26</v>
      </c>
      <c r="G351" t="s">
        <v>27</v>
      </c>
    </row>
    <row r="352" spans="1:7" x14ac:dyDescent="0.2">
      <c r="A352">
        <v>10</v>
      </c>
      <c r="B352">
        <v>30</v>
      </c>
      <c r="C352" t="s">
        <v>268</v>
      </c>
      <c r="D352" t="s">
        <v>24</v>
      </c>
      <c r="E352" t="s">
        <v>31</v>
      </c>
      <c r="F352" t="s">
        <v>26</v>
      </c>
      <c r="G352" t="s">
        <v>27</v>
      </c>
    </row>
    <row r="353" spans="1:7" x14ac:dyDescent="0.2">
      <c r="A353">
        <v>10</v>
      </c>
      <c r="B353">
        <v>30</v>
      </c>
      <c r="C353" t="s">
        <v>281</v>
      </c>
      <c r="D353" t="s">
        <v>24</v>
      </c>
      <c r="E353" t="s">
        <v>31</v>
      </c>
      <c r="F353" t="s">
        <v>26</v>
      </c>
      <c r="G353" t="s">
        <v>27</v>
      </c>
    </row>
    <row r="354" spans="1:7" x14ac:dyDescent="0.2">
      <c r="A354">
        <v>10</v>
      </c>
      <c r="B354">
        <v>30</v>
      </c>
      <c r="C354" t="s">
        <v>270</v>
      </c>
      <c r="D354" t="s">
        <v>24</v>
      </c>
      <c r="E354" t="s">
        <v>31</v>
      </c>
      <c r="F354" t="s">
        <v>26</v>
      </c>
      <c r="G354" t="s">
        <v>27</v>
      </c>
    </row>
    <row r="355" spans="1:7" x14ac:dyDescent="0.2">
      <c r="A355">
        <v>10</v>
      </c>
      <c r="B355">
        <v>30</v>
      </c>
      <c r="C355" t="s">
        <v>282</v>
      </c>
      <c r="D355" t="s">
        <v>24</v>
      </c>
      <c r="E355" t="s">
        <v>31</v>
      </c>
      <c r="F355" t="s">
        <v>26</v>
      </c>
      <c r="G355" t="s">
        <v>27</v>
      </c>
    </row>
    <row r="356" spans="1:7" x14ac:dyDescent="0.2">
      <c r="A356">
        <v>11</v>
      </c>
      <c r="B356">
        <v>30</v>
      </c>
      <c r="C356" t="s">
        <v>283</v>
      </c>
      <c r="D356" t="s">
        <v>24</v>
      </c>
      <c r="E356" t="s">
        <v>25</v>
      </c>
      <c r="F356" t="s">
        <v>26</v>
      </c>
      <c r="G356" t="s">
        <v>27</v>
      </c>
    </row>
    <row r="357" spans="1:7" x14ac:dyDescent="0.2">
      <c r="A357">
        <v>11</v>
      </c>
      <c r="B357">
        <v>30</v>
      </c>
      <c r="C357" t="s">
        <v>284</v>
      </c>
      <c r="D357" t="s">
        <v>24</v>
      </c>
      <c r="E357" t="s">
        <v>25</v>
      </c>
      <c r="F357" t="s">
        <v>26</v>
      </c>
      <c r="G357" t="s">
        <v>27</v>
      </c>
    </row>
    <row r="358" spans="1:7" x14ac:dyDescent="0.2">
      <c r="A358">
        <v>11</v>
      </c>
      <c r="B358">
        <v>30</v>
      </c>
      <c r="C358" t="s">
        <v>285</v>
      </c>
      <c r="D358" t="s">
        <v>24</v>
      </c>
      <c r="E358" t="s">
        <v>25</v>
      </c>
      <c r="F358" t="s">
        <v>26</v>
      </c>
      <c r="G358" t="s">
        <v>27</v>
      </c>
    </row>
    <row r="359" spans="1:7" x14ac:dyDescent="0.2">
      <c r="A359">
        <v>11</v>
      </c>
      <c r="B359">
        <v>30</v>
      </c>
      <c r="C359" t="s">
        <v>286</v>
      </c>
      <c r="D359" t="s">
        <v>24</v>
      </c>
      <c r="E359" t="s">
        <v>25</v>
      </c>
      <c r="F359" t="s">
        <v>26</v>
      </c>
      <c r="G359" t="s">
        <v>27</v>
      </c>
    </row>
    <row r="360" spans="1:7" x14ac:dyDescent="0.2">
      <c r="A360">
        <v>11</v>
      </c>
      <c r="B360">
        <v>30</v>
      </c>
      <c r="C360" t="s">
        <v>287</v>
      </c>
      <c r="D360" t="s">
        <v>24</v>
      </c>
      <c r="E360" t="s">
        <v>25</v>
      </c>
      <c r="F360" t="s">
        <v>26</v>
      </c>
      <c r="G360" t="s">
        <v>27</v>
      </c>
    </row>
    <row r="361" spans="1:7" x14ac:dyDescent="0.2">
      <c r="A361">
        <v>11</v>
      </c>
      <c r="B361">
        <v>30</v>
      </c>
      <c r="C361" t="s">
        <v>288</v>
      </c>
      <c r="D361" t="s">
        <v>24</v>
      </c>
      <c r="E361" t="s">
        <v>25</v>
      </c>
      <c r="F361" t="s">
        <v>26</v>
      </c>
      <c r="G361" t="s">
        <v>27</v>
      </c>
    </row>
    <row r="362" spans="1:7" x14ac:dyDescent="0.2">
      <c r="A362">
        <v>11</v>
      </c>
      <c r="B362">
        <v>30</v>
      </c>
      <c r="C362" t="s">
        <v>289</v>
      </c>
      <c r="D362" t="s">
        <v>24</v>
      </c>
      <c r="E362" t="s">
        <v>25</v>
      </c>
      <c r="F362" t="s">
        <v>26</v>
      </c>
      <c r="G362" t="s">
        <v>27</v>
      </c>
    </row>
    <row r="363" spans="1:7" x14ac:dyDescent="0.2">
      <c r="A363">
        <v>11</v>
      </c>
      <c r="B363">
        <v>30</v>
      </c>
      <c r="C363" t="s">
        <v>290</v>
      </c>
      <c r="D363" t="s">
        <v>24</v>
      </c>
      <c r="E363" t="s">
        <v>25</v>
      </c>
      <c r="F363" t="s">
        <v>26</v>
      </c>
      <c r="G363" t="s">
        <v>27</v>
      </c>
    </row>
    <row r="364" spans="1:7" x14ac:dyDescent="0.2">
      <c r="A364">
        <v>11</v>
      </c>
      <c r="B364">
        <v>30</v>
      </c>
      <c r="C364" t="s">
        <v>258</v>
      </c>
      <c r="D364" t="s">
        <v>24</v>
      </c>
      <c r="E364" t="s">
        <v>25</v>
      </c>
      <c r="F364" t="s">
        <v>26</v>
      </c>
      <c r="G364" t="s">
        <v>27</v>
      </c>
    </row>
    <row r="365" spans="1:7" x14ac:dyDescent="0.2">
      <c r="A365">
        <v>11</v>
      </c>
      <c r="B365">
        <v>30</v>
      </c>
      <c r="C365" t="s">
        <v>291</v>
      </c>
      <c r="D365" t="s">
        <v>24</v>
      </c>
      <c r="E365" t="s">
        <v>25</v>
      </c>
      <c r="F365" t="s">
        <v>26</v>
      </c>
      <c r="G365" t="s">
        <v>27</v>
      </c>
    </row>
    <row r="366" spans="1:7" x14ac:dyDescent="0.2">
      <c r="A366">
        <v>11</v>
      </c>
      <c r="B366">
        <v>30</v>
      </c>
      <c r="C366" t="s">
        <v>292</v>
      </c>
      <c r="D366" t="s">
        <v>24</v>
      </c>
      <c r="E366" t="s">
        <v>25</v>
      </c>
      <c r="F366" t="s">
        <v>26</v>
      </c>
      <c r="G366" t="s">
        <v>27</v>
      </c>
    </row>
    <row r="367" spans="1:7" x14ac:dyDescent="0.2">
      <c r="A367">
        <v>11</v>
      </c>
      <c r="B367">
        <v>30</v>
      </c>
      <c r="C367" t="s">
        <v>260</v>
      </c>
      <c r="D367" t="s">
        <v>30</v>
      </c>
      <c r="E367" t="s">
        <v>25</v>
      </c>
      <c r="F367" t="s">
        <v>26</v>
      </c>
      <c r="G367" t="s">
        <v>27</v>
      </c>
    </row>
    <row r="368" spans="1:7" x14ac:dyDescent="0.2">
      <c r="A368">
        <v>11</v>
      </c>
      <c r="B368">
        <v>30</v>
      </c>
      <c r="C368" t="s">
        <v>268</v>
      </c>
      <c r="D368" t="s">
        <v>24</v>
      </c>
      <c r="E368" t="s">
        <v>25</v>
      </c>
      <c r="F368" t="s">
        <v>26</v>
      </c>
      <c r="G368" t="s">
        <v>27</v>
      </c>
    </row>
    <row r="369" spans="1:7" x14ac:dyDescent="0.2">
      <c r="A369">
        <v>11</v>
      </c>
      <c r="B369">
        <v>30</v>
      </c>
      <c r="C369" t="s">
        <v>281</v>
      </c>
      <c r="D369" t="s">
        <v>24</v>
      </c>
      <c r="E369" t="s">
        <v>25</v>
      </c>
      <c r="F369" t="s">
        <v>26</v>
      </c>
      <c r="G369" t="s">
        <v>27</v>
      </c>
    </row>
    <row r="370" spans="1:7" x14ac:dyDescent="0.2">
      <c r="A370">
        <v>12</v>
      </c>
      <c r="B370">
        <v>30</v>
      </c>
      <c r="C370" t="s">
        <v>293</v>
      </c>
      <c r="D370" t="s">
        <v>24</v>
      </c>
      <c r="E370" t="s">
        <v>31</v>
      </c>
      <c r="F370" t="s">
        <v>47</v>
      </c>
      <c r="G370" t="s">
        <v>27</v>
      </c>
    </row>
    <row r="371" spans="1:7" x14ac:dyDescent="0.2">
      <c r="A371">
        <v>12</v>
      </c>
      <c r="B371">
        <v>30</v>
      </c>
      <c r="C371" t="s">
        <v>294</v>
      </c>
      <c r="D371" t="s">
        <v>24</v>
      </c>
      <c r="E371" t="s">
        <v>31</v>
      </c>
      <c r="F371" t="s">
        <v>47</v>
      </c>
      <c r="G371" t="s">
        <v>27</v>
      </c>
    </row>
    <row r="372" spans="1:7" x14ac:dyDescent="0.2">
      <c r="A372">
        <v>12</v>
      </c>
      <c r="B372">
        <v>30</v>
      </c>
      <c r="C372" t="s">
        <v>295</v>
      </c>
      <c r="D372" t="s">
        <v>24</v>
      </c>
      <c r="E372" t="s">
        <v>31</v>
      </c>
      <c r="F372" t="s">
        <v>47</v>
      </c>
      <c r="G372" t="s">
        <v>27</v>
      </c>
    </row>
    <row r="373" spans="1:7" x14ac:dyDescent="0.2">
      <c r="A373">
        <v>12</v>
      </c>
      <c r="B373">
        <v>30</v>
      </c>
      <c r="C373" t="s">
        <v>296</v>
      </c>
      <c r="D373" t="s">
        <v>24</v>
      </c>
      <c r="E373" t="s">
        <v>31</v>
      </c>
      <c r="F373" t="s">
        <v>47</v>
      </c>
      <c r="G373" t="s">
        <v>27</v>
      </c>
    </row>
    <row r="374" spans="1:7" x14ac:dyDescent="0.2">
      <c r="A374">
        <v>12</v>
      </c>
      <c r="B374">
        <v>30</v>
      </c>
      <c r="C374" t="s">
        <v>267</v>
      </c>
      <c r="D374" t="s">
        <v>30</v>
      </c>
      <c r="E374" t="s">
        <v>31</v>
      </c>
      <c r="F374" t="s">
        <v>47</v>
      </c>
      <c r="G374" t="s">
        <v>27</v>
      </c>
    </row>
    <row r="375" spans="1:7" x14ac:dyDescent="0.2">
      <c r="A375">
        <v>13</v>
      </c>
      <c r="B375">
        <v>30</v>
      </c>
      <c r="C375" t="s">
        <v>270</v>
      </c>
      <c r="D375" t="s">
        <v>24</v>
      </c>
      <c r="E375" t="s">
        <v>25</v>
      </c>
      <c r="F375" t="s">
        <v>26</v>
      </c>
      <c r="G375" t="s">
        <v>27</v>
      </c>
    </row>
    <row r="376" spans="1:7" x14ac:dyDescent="0.2">
      <c r="A376">
        <v>13</v>
      </c>
      <c r="B376">
        <v>30</v>
      </c>
      <c r="C376" t="s">
        <v>281</v>
      </c>
      <c r="D376" t="s">
        <v>24</v>
      </c>
      <c r="E376" t="s">
        <v>31</v>
      </c>
      <c r="F376" t="s">
        <v>26</v>
      </c>
      <c r="G376" t="s">
        <v>27</v>
      </c>
    </row>
    <row r="377" spans="1:7" x14ac:dyDescent="0.2">
      <c r="A377">
        <v>13</v>
      </c>
      <c r="B377">
        <v>30</v>
      </c>
      <c r="C377" t="s">
        <v>297</v>
      </c>
      <c r="D377" t="s">
        <v>24</v>
      </c>
      <c r="E377" t="s">
        <v>31</v>
      </c>
      <c r="F377" t="s">
        <v>26</v>
      </c>
      <c r="G377" t="s">
        <v>27</v>
      </c>
    </row>
    <row r="378" spans="1:7" x14ac:dyDescent="0.2">
      <c r="A378">
        <v>14</v>
      </c>
      <c r="B378">
        <v>30</v>
      </c>
      <c r="C378" t="s">
        <v>281</v>
      </c>
      <c r="D378" t="s">
        <v>24</v>
      </c>
      <c r="E378" t="s">
        <v>31</v>
      </c>
      <c r="F378" t="s">
        <v>26</v>
      </c>
      <c r="G378" t="s">
        <v>27</v>
      </c>
    </row>
    <row r="379" spans="1:7" x14ac:dyDescent="0.2">
      <c r="A379">
        <v>14</v>
      </c>
      <c r="B379">
        <v>30</v>
      </c>
      <c r="C379" t="s">
        <v>298</v>
      </c>
      <c r="D379" t="s">
        <v>24</v>
      </c>
      <c r="E379" t="s">
        <v>31</v>
      </c>
      <c r="F379" t="s">
        <v>26</v>
      </c>
      <c r="G379" t="s">
        <v>27</v>
      </c>
    </row>
    <row r="380" spans="1:7" x14ac:dyDescent="0.2">
      <c r="A380">
        <v>14</v>
      </c>
      <c r="B380">
        <v>30</v>
      </c>
      <c r="C380" t="s">
        <v>299</v>
      </c>
      <c r="D380" t="s">
        <v>24</v>
      </c>
      <c r="E380" t="s">
        <v>31</v>
      </c>
      <c r="F380" t="s">
        <v>26</v>
      </c>
      <c r="G380" t="s">
        <v>27</v>
      </c>
    </row>
    <row r="381" spans="1:7" x14ac:dyDescent="0.2">
      <c r="A381">
        <v>14</v>
      </c>
      <c r="B381">
        <v>30</v>
      </c>
      <c r="C381" t="s">
        <v>297</v>
      </c>
      <c r="D381" t="s">
        <v>24</v>
      </c>
      <c r="E381" t="s">
        <v>31</v>
      </c>
      <c r="F381" t="s">
        <v>26</v>
      </c>
      <c r="G381" t="s">
        <v>27</v>
      </c>
    </row>
    <row r="382" spans="1:7" x14ac:dyDescent="0.2">
      <c r="A382">
        <v>15</v>
      </c>
      <c r="B382">
        <v>30</v>
      </c>
      <c r="C382" t="s">
        <v>282</v>
      </c>
      <c r="D382" t="s">
        <v>24</v>
      </c>
      <c r="E382" t="s">
        <v>25</v>
      </c>
      <c r="F382" t="s">
        <v>26</v>
      </c>
      <c r="G382" t="s">
        <v>27</v>
      </c>
    </row>
    <row r="383" spans="1:7" x14ac:dyDescent="0.2">
      <c r="A383">
        <v>15</v>
      </c>
      <c r="B383">
        <v>30</v>
      </c>
      <c r="C383" t="s">
        <v>297</v>
      </c>
      <c r="D383" t="s">
        <v>24</v>
      </c>
      <c r="E383" t="s">
        <v>31</v>
      </c>
      <c r="F383" t="s">
        <v>26</v>
      </c>
      <c r="G383" t="s">
        <v>27</v>
      </c>
    </row>
    <row r="384" spans="1:7" x14ac:dyDescent="0.2">
      <c r="A384">
        <v>15</v>
      </c>
      <c r="B384">
        <v>30</v>
      </c>
      <c r="C384" t="s">
        <v>300</v>
      </c>
      <c r="D384" t="s">
        <v>24</v>
      </c>
      <c r="E384" t="s">
        <v>31</v>
      </c>
      <c r="F384" t="s">
        <v>26</v>
      </c>
      <c r="G384" t="s">
        <v>27</v>
      </c>
    </row>
    <row r="385" spans="1:7" x14ac:dyDescent="0.2">
      <c r="A385">
        <v>16</v>
      </c>
      <c r="B385">
        <v>30</v>
      </c>
      <c r="C385" t="s">
        <v>264</v>
      </c>
      <c r="D385" t="s">
        <v>24</v>
      </c>
      <c r="E385" t="s">
        <v>31</v>
      </c>
      <c r="F385" t="s">
        <v>47</v>
      </c>
      <c r="G385" t="s">
        <v>27</v>
      </c>
    </row>
    <row r="386" spans="1:7" x14ac:dyDescent="0.2">
      <c r="A386">
        <v>16</v>
      </c>
      <c r="B386">
        <v>30</v>
      </c>
      <c r="C386" t="s">
        <v>301</v>
      </c>
      <c r="D386" t="s">
        <v>24</v>
      </c>
      <c r="E386" t="s">
        <v>31</v>
      </c>
      <c r="F386" t="s">
        <v>47</v>
      </c>
      <c r="G386" t="s">
        <v>27</v>
      </c>
    </row>
    <row r="387" spans="1:7" x14ac:dyDescent="0.2">
      <c r="A387">
        <v>16</v>
      </c>
      <c r="B387">
        <v>30</v>
      </c>
      <c r="C387" t="s">
        <v>294</v>
      </c>
      <c r="D387" t="s">
        <v>24</v>
      </c>
      <c r="E387" t="s">
        <v>31</v>
      </c>
      <c r="F387" t="s">
        <v>47</v>
      </c>
      <c r="G387" t="s">
        <v>27</v>
      </c>
    </row>
    <row r="388" spans="1:7" x14ac:dyDescent="0.2">
      <c r="A388">
        <v>16</v>
      </c>
      <c r="B388">
        <v>30</v>
      </c>
      <c r="C388" t="s">
        <v>296</v>
      </c>
      <c r="D388" t="s">
        <v>30</v>
      </c>
      <c r="E388" t="s">
        <v>31</v>
      </c>
      <c r="F388" t="s">
        <v>47</v>
      </c>
      <c r="G388" t="s">
        <v>27</v>
      </c>
    </row>
    <row r="389" spans="1:7" x14ac:dyDescent="0.2">
      <c r="A389">
        <v>17</v>
      </c>
      <c r="B389">
        <v>30</v>
      </c>
      <c r="C389" t="s">
        <v>298</v>
      </c>
      <c r="D389" t="s">
        <v>24</v>
      </c>
      <c r="E389" t="s">
        <v>31</v>
      </c>
      <c r="F389" t="s">
        <v>26</v>
      </c>
      <c r="G389" t="s">
        <v>27</v>
      </c>
    </row>
    <row r="390" spans="1:7" x14ac:dyDescent="0.2">
      <c r="A390">
        <v>18</v>
      </c>
      <c r="B390">
        <v>30</v>
      </c>
      <c r="C390" t="s">
        <v>278</v>
      </c>
      <c r="D390" t="s">
        <v>24</v>
      </c>
      <c r="E390" t="s">
        <v>31</v>
      </c>
      <c r="F390" t="s">
        <v>26</v>
      </c>
      <c r="G390" t="s">
        <v>27</v>
      </c>
    </row>
    <row r="391" spans="1:7" x14ac:dyDescent="0.2">
      <c r="A391">
        <v>18</v>
      </c>
      <c r="B391">
        <v>30</v>
      </c>
      <c r="C391" t="s">
        <v>302</v>
      </c>
      <c r="D391" t="s">
        <v>24</v>
      </c>
      <c r="E391" t="s">
        <v>31</v>
      </c>
      <c r="F391" t="s">
        <v>26</v>
      </c>
      <c r="G391" t="s">
        <v>27</v>
      </c>
    </row>
    <row r="392" spans="1:7" x14ac:dyDescent="0.2">
      <c r="A392">
        <v>18</v>
      </c>
      <c r="B392">
        <v>30</v>
      </c>
      <c r="C392" t="s">
        <v>265</v>
      </c>
      <c r="D392" t="s">
        <v>24</v>
      </c>
      <c r="E392" t="s">
        <v>31</v>
      </c>
      <c r="F392" t="s">
        <v>26</v>
      </c>
      <c r="G392" t="s">
        <v>27</v>
      </c>
    </row>
    <row r="393" spans="1:7" x14ac:dyDescent="0.2">
      <c r="A393">
        <v>18</v>
      </c>
      <c r="B393">
        <v>30</v>
      </c>
      <c r="C393" t="s">
        <v>303</v>
      </c>
      <c r="D393" t="s">
        <v>24</v>
      </c>
      <c r="E393" t="s">
        <v>31</v>
      </c>
      <c r="F393" t="s">
        <v>26</v>
      </c>
      <c r="G393" t="s">
        <v>27</v>
      </c>
    </row>
    <row r="394" spans="1:7" x14ac:dyDescent="0.2">
      <c r="A394">
        <v>18</v>
      </c>
      <c r="B394">
        <v>30</v>
      </c>
      <c r="C394" t="s">
        <v>282</v>
      </c>
      <c r="D394" t="s">
        <v>24</v>
      </c>
      <c r="E394" t="s">
        <v>31</v>
      </c>
      <c r="F394" t="s">
        <v>26</v>
      </c>
      <c r="G394" t="s">
        <v>27</v>
      </c>
    </row>
    <row r="395" spans="1:7" x14ac:dyDescent="0.2">
      <c r="A395">
        <v>18</v>
      </c>
      <c r="B395">
        <v>30</v>
      </c>
      <c r="C395" t="s">
        <v>304</v>
      </c>
      <c r="D395" t="s">
        <v>30</v>
      </c>
      <c r="E395" t="s">
        <v>31</v>
      </c>
      <c r="F395" t="s">
        <v>26</v>
      </c>
      <c r="G395" t="s">
        <v>27</v>
      </c>
    </row>
    <row r="396" spans="1:7" x14ac:dyDescent="0.2">
      <c r="A396">
        <v>19</v>
      </c>
      <c r="B396">
        <v>30</v>
      </c>
      <c r="C396" t="s">
        <v>270</v>
      </c>
      <c r="D396" t="s">
        <v>24</v>
      </c>
      <c r="E396" t="s">
        <v>25</v>
      </c>
      <c r="F396" t="s">
        <v>26</v>
      </c>
      <c r="G396" t="s">
        <v>27</v>
      </c>
    </row>
    <row r="397" spans="1:7" x14ac:dyDescent="0.2">
      <c r="A397">
        <v>19</v>
      </c>
      <c r="B397">
        <v>30</v>
      </c>
      <c r="C397" t="s">
        <v>302</v>
      </c>
      <c r="D397" t="s">
        <v>24</v>
      </c>
      <c r="E397" t="s">
        <v>25</v>
      </c>
      <c r="F397" t="s">
        <v>26</v>
      </c>
      <c r="G397" t="s">
        <v>27</v>
      </c>
    </row>
    <row r="398" spans="1:7" x14ac:dyDescent="0.2">
      <c r="A398">
        <v>19</v>
      </c>
      <c r="B398">
        <v>30</v>
      </c>
      <c r="C398" t="s">
        <v>305</v>
      </c>
      <c r="D398" t="s">
        <v>24</v>
      </c>
      <c r="E398" t="s">
        <v>25</v>
      </c>
      <c r="F398" t="s">
        <v>26</v>
      </c>
      <c r="G398" t="s">
        <v>27</v>
      </c>
    </row>
    <row r="399" spans="1:7" x14ac:dyDescent="0.2">
      <c r="A399">
        <v>19</v>
      </c>
      <c r="B399">
        <v>30</v>
      </c>
      <c r="C399" t="s">
        <v>303</v>
      </c>
      <c r="D399" t="s">
        <v>30</v>
      </c>
      <c r="E399" t="s">
        <v>25</v>
      </c>
      <c r="F399" t="s">
        <v>26</v>
      </c>
      <c r="G399" t="s">
        <v>27</v>
      </c>
    </row>
    <row r="400" spans="1:7" x14ac:dyDescent="0.2">
      <c r="A400">
        <v>19</v>
      </c>
      <c r="B400">
        <v>30</v>
      </c>
      <c r="C400" t="s">
        <v>306</v>
      </c>
      <c r="D400" t="s">
        <v>24</v>
      </c>
      <c r="E400" t="s">
        <v>25</v>
      </c>
      <c r="F400" t="s">
        <v>26</v>
      </c>
      <c r="G400" t="s">
        <v>27</v>
      </c>
    </row>
    <row r="401" spans="1:7" x14ac:dyDescent="0.2">
      <c r="A401">
        <v>19</v>
      </c>
      <c r="B401">
        <v>30</v>
      </c>
      <c r="C401" t="s">
        <v>307</v>
      </c>
      <c r="D401" t="s">
        <v>24</v>
      </c>
      <c r="E401" t="s">
        <v>25</v>
      </c>
      <c r="F401" t="s">
        <v>26</v>
      </c>
      <c r="G401" t="s">
        <v>27</v>
      </c>
    </row>
    <row r="402" spans="1:7" x14ac:dyDescent="0.2">
      <c r="A402">
        <v>19</v>
      </c>
      <c r="B402">
        <v>30</v>
      </c>
      <c r="C402" t="s">
        <v>282</v>
      </c>
      <c r="D402" t="s">
        <v>24</v>
      </c>
      <c r="E402" t="s">
        <v>25</v>
      </c>
      <c r="F402" t="s">
        <v>26</v>
      </c>
      <c r="G402" t="s">
        <v>27</v>
      </c>
    </row>
    <row r="403" spans="1:7" x14ac:dyDescent="0.2">
      <c r="A403">
        <v>19</v>
      </c>
      <c r="B403">
        <v>30</v>
      </c>
      <c r="C403" t="s">
        <v>308</v>
      </c>
      <c r="D403" t="s">
        <v>24</v>
      </c>
      <c r="E403" t="s">
        <v>25</v>
      </c>
      <c r="F403" t="s">
        <v>26</v>
      </c>
      <c r="G403" t="s">
        <v>27</v>
      </c>
    </row>
    <row r="404" spans="1:7" x14ac:dyDescent="0.2">
      <c r="A404">
        <v>20</v>
      </c>
      <c r="B404">
        <v>30</v>
      </c>
      <c r="C404" t="s">
        <v>309</v>
      </c>
      <c r="D404" t="s">
        <v>24</v>
      </c>
      <c r="E404" t="s">
        <v>31</v>
      </c>
      <c r="F404" t="s">
        <v>26</v>
      </c>
      <c r="G404" t="s">
        <v>27</v>
      </c>
    </row>
    <row r="405" spans="1:7" x14ac:dyDescent="0.2">
      <c r="A405">
        <v>20</v>
      </c>
      <c r="B405">
        <v>30</v>
      </c>
      <c r="C405" t="s">
        <v>278</v>
      </c>
      <c r="D405" t="s">
        <v>24</v>
      </c>
      <c r="E405" t="s">
        <v>31</v>
      </c>
      <c r="F405" t="s">
        <v>26</v>
      </c>
      <c r="G405" t="s">
        <v>27</v>
      </c>
    </row>
    <row r="406" spans="1:7" x14ac:dyDescent="0.2">
      <c r="A406">
        <v>20</v>
      </c>
      <c r="B406">
        <v>30</v>
      </c>
      <c r="C406" t="s">
        <v>265</v>
      </c>
      <c r="D406" t="s">
        <v>24</v>
      </c>
      <c r="E406" t="s">
        <v>31</v>
      </c>
      <c r="F406" t="s">
        <v>26</v>
      </c>
      <c r="G406" t="s">
        <v>27</v>
      </c>
    </row>
    <row r="407" spans="1:7" x14ac:dyDescent="0.2">
      <c r="A407">
        <v>20</v>
      </c>
      <c r="B407">
        <v>30</v>
      </c>
      <c r="C407" t="s">
        <v>266</v>
      </c>
      <c r="D407" t="s">
        <v>24</v>
      </c>
      <c r="E407" t="s">
        <v>31</v>
      </c>
      <c r="F407" t="s">
        <v>26</v>
      </c>
      <c r="G407" t="s">
        <v>27</v>
      </c>
    </row>
    <row r="408" spans="1:7" x14ac:dyDescent="0.2">
      <c r="A408">
        <v>20</v>
      </c>
      <c r="B408">
        <v>30</v>
      </c>
      <c r="C408" t="s">
        <v>310</v>
      </c>
      <c r="D408" t="s">
        <v>30</v>
      </c>
      <c r="E408" t="s">
        <v>31</v>
      </c>
      <c r="F408" t="s">
        <v>26</v>
      </c>
      <c r="G408" t="s">
        <v>27</v>
      </c>
    </row>
    <row r="409" spans="1:7" x14ac:dyDescent="0.2">
      <c r="A409">
        <v>20</v>
      </c>
      <c r="B409">
        <v>30</v>
      </c>
      <c r="C409" t="s">
        <v>267</v>
      </c>
      <c r="D409" t="s">
        <v>30</v>
      </c>
      <c r="E409" t="s">
        <v>31</v>
      </c>
      <c r="F409" t="s">
        <v>26</v>
      </c>
      <c r="G409" t="s">
        <v>27</v>
      </c>
    </row>
    <row r="410" spans="1:7" x14ac:dyDescent="0.2">
      <c r="A410">
        <v>20</v>
      </c>
      <c r="B410">
        <v>30</v>
      </c>
      <c r="C410" t="s">
        <v>311</v>
      </c>
      <c r="D410" t="s">
        <v>24</v>
      </c>
      <c r="E410" t="s">
        <v>31</v>
      </c>
      <c r="F410" t="s">
        <v>26</v>
      </c>
      <c r="G410" t="s">
        <v>27</v>
      </c>
    </row>
    <row r="411" spans="1:7" x14ac:dyDescent="0.2">
      <c r="A411">
        <v>20</v>
      </c>
      <c r="B411">
        <v>30</v>
      </c>
      <c r="C411" t="s">
        <v>307</v>
      </c>
      <c r="D411" t="s">
        <v>24</v>
      </c>
      <c r="E411" t="s">
        <v>31</v>
      </c>
      <c r="F411" t="s">
        <v>26</v>
      </c>
      <c r="G411" t="s">
        <v>27</v>
      </c>
    </row>
    <row r="412" spans="1:7" x14ac:dyDescent="0.2">
      <c r="A412">
        <v>20</v>
      </c>
      <c r="B412">
        <v>30</v>
      </c>
      <c r="C412" t="s">
        <v>312</v>
      </c>
      <c r="D412" t="s">
        <v>24</v>
      </c>
      <c r="E412" t="s">
        <v>31</v>
      </c>
      <c r="F412" t="s">
        <v>26</v>
      </c>
      <c r="G412" t="s">
        <v>27</v>
      </c>
    </row>
    <row r="413" spans="1:7" x14ac:dyDescent="0.2">
      <c r="A413">
        <v>20</v>
      </c>
      <c r="B413">
        <v>30</v>
      </c>
      <c r="C413" t="s">
        <v>282</v>
      </c>
      <c r="D413" t="s">
        <v>24</v>
      </c>
      <c r="E413" t="s">
        <v>31</v>
      </c>
      <c r="F413" t="s">
        <v>26</v>
      </c>
      <c r="G413" t="s">
        <v>27</v>
      </c>
    </row>
    <row r="414" spans="1:7" x14ac:dyDescent="0.2">
      <c r="A414">
        <v>20</v>
      </c>
      <c r="B414">
        <v>30</v>
      </c>
      <c r="C414" t="s">
        <v>304</v>
      </c>
      <c r="D414" t="s">
        <v>30</v>
      </c>
      <c r="E414" t="s">
        <v>31</v>
      </c>
      <c r="F414" t="s">
        <v>26</v>
      </c>
      <c r="G414" t="s">
        <v>27</v>
      </c>
    </row>
    <row r="415" spans="1:7" x14ac:dyDescent="0.2">
      <c r="A415">
        <v>21</v>
      </c>
      <c r="B415">
        <v>30</v>
      </c>
      <c r="C415" t="s">
        <v>278</v>
      </c>
      <c r="D415" t="s">
        <v>24</v>
      </c>
      <c r="E415" t="s">
        <v>31</v>
      </c>
      <c r="F415" t="s">
        <v>26</v>
      </c>
      <c r="G415" t="s">
        <v>27</v>
      </c>
    </row>
    <row r="416" spans="1:7" x14ac:dyDescent="0.2">
      <c r="A416">
        <v>21</v>
      </c>
      <c r="B416">
        <v>30</v>
      </c>
      <c r="C416" t="s">
        <v>265</v>
      </c>
      <c r="D416" t="s">
        <v>24</v>
      </c>
      <c r="E416" t="s">
        <v>31</v>
      </c>
      <c r="F416" t="s">
        <v>26</v>
      </c>
      <c r="G416" t="s">
        <v>27</v>
      </c>
    </row>
    <row r="417" spans="1:7" x14ac:dyDescent="0.2">
      <c r="A417">
        <v>21</v>
      </c>
      <c r="B417">
        <v>30</v>
      </c>
      <c r="C417" t="s">
        <v>266</v>
      </c>
      <c r="D417" t="s">
        <v>24</v>
      </c>
      <c r="E417" t="s">
        <v>31</v>
      </c>
      <c r="F417" t="s">
        <v>26</v>
      </c>
      <c r="G417" t="s">
        <v>27</v>
      </c>
    </row>
    <row r="418" spans="1:7" x14ac:dyDescent="0.2">
      <c r="A418">
        <v>21</v>
      </c>
      <c r="B418">
        <v>30</v>
      </c>
      <c r="C418" t="s">
        <v>313</v>
      </c>
      <c r="D418" t="s">
        <v>30</v>
      </c>
      <c r="E418" t="s">
        <v>31</v>
      </c>
      <c r="F418" t="s">
        <v>26</v>
      </c>
      <c r="G418" t="s">
        <v>27</v>
      </c>
    </row>
    <row r="419" spans="1:7" x14ac:dyDescent="0.2">
      <c r="A419">
        <v>22</v>
      </c>
      <c r="B419">
        <v>30</v>
      </c>
      <c r="C419" t="s">
        <v>264</v>
      </c>
      <c r="D419" t="s">
        <v>24</v>
      </c>
      <c r="E419" t="s">
        <v>25</v>
      </c>
      <c r="F419" t="s">
        <v>26</v>
      </c>
      <c r="G419" t="s">
        <v>27</v>
      </c>
    </row>
    <row r="420" spans="1:7" x14ac:dyDescent="0.2">
      <c r="A420">
        <v>22</v>
      </c>
      <c r="B420">
        <v>30</v>
      </c>
      <c r="C420" t="s">
        <v>278</v>
      </c>
      <c r="D420" t="s">
        <v>24</v>
      </c>
      <c r="E420" t="s">
        <v>25</v>
      </c>
      <c r="F420" t="s">
        <v>26</v>
      </c>
      <c r="G420" t="s">
        <v>27</v>
      </c>
    </row>
    <row r="421" spans="1:7" x14ac:dyDescent="0.2">
      <c r="A421">
        <v>22</v>
      </c>
      <c r="B421">
        <v>30</v>
      </c>
      <c r="C421" t="s">
        <v>266</v>
      </c>
      <c r="D421" t="s">
        <v>24</v>
      </c>
      <c r="E421" t="s">
        <v>25</v>
      </c>
      <c r="F421" t="s">
        <v>26</v>
      </c>
      <c r="G421" t="s">
        <v>27</v>
      </c>
    </row>
    <row r="422" spans="1:7" x14ac:dyDescent="0.2">
      <c r="A422">
        <v>22</v>
      </c>
      <c r="B422">
        <v>30</v>
      </c>
      <c r="C422" t="s">
        <v>267</v>
      </c>
      <c r="D422" t="s">
        <v>30</v>
      </c>
      <c r="E422" t="s">
        <v>25</v>
      </c>
      <c r="F422" t="s">
        <v>26</v>
      </c>
      <c r="G422" t="s">
        <v>27</v>
      </c>
    </row>
    <row r="423" spans="1:7" x14ac:dyDescent="0.2">
      <c r="A423">
        <v>23</v>
      </c>
      <c r="B423">
        <v>30</v>
      </c>
      <c r="C423" t="s">
        <v>314</v>
      </c>
      <c r="D423" t="s">
        <v>24</v>
      </c>
      <c r="E423" t="s">
        <v>31</v>
      </c>
      <c r="F423" t="s">
        <v>26</v>
      </c>
      <c r="G423" t="s">
        <v>27</v>
      </c>
    </row>
    <row r="424" spans="1:7" x14ac:dyDescent="0.2">
      <c r="A424">
        <v>23</v>
      </c>
      <c r="B424">
        <v>30</v>
      </c>
      <c r="C424" t="s">
        <v>315</v>
      </c>
      <c r="D424" t="s">
        <v>24</v>
      </c>
      <c r="E424" t="s">
        <v>31</v>
      </c>
      <c r="F424" t="s">
        <v>26</v>
      </c>
      <c r="G424" t="s">
        <v>27</v>
      </c>
    </row>
    <row r="425" spans="1:7" x14ac:dyDescent="0.2">
      <c r="A425">
        <v>23</v>
      </c>
      <c r="B425">
        <v>30</v>
      </c>
      <c r="C425" t="s">
        <v>316</v>
      </c>
      <c r="D425" t="s">
        <v>24</v>
      </c>
      <c r="E425" t="s">
        <v>31</v>
      </c>
      <c r="F425" t="s">
        <v>26</v>
      </c>
      <c r="G425" t="s">
        <v>27</v>
      </c>
    </row>
    <row r="426" spans="1:7" x14ac:dyDescent="0.2">
      <c r="A426">
        <v>7</v>
      </c>
      <c r="B426">
        <v>31</v>
      </c>
      <c r="C426" t="s">
        <v>317</v>
      </c>
      <c r="D426" t="s">
        <v>24</v>
      </c>
      <c r="E426" t="s">
        <v>31</v>
      </c>
      <c r="F426" t="s">
        <v>87</v>
      </c>
      <c r="G426" t="s">
        <v>27</v>
      </c>
    </row>
    <row r="427" spans="1:7" x14ac:dyDescent="0.2">
      <c r="A427">
        <v>7</v>
      </c>
      <c r="B427">
        <v>31</v>
      </c>
      <c r="C427" t="s">
        <v>318</v>
      </c>
      <c r="D427" t="s">
        <v>24</v>
      </c>
      <c r="E427" t="s">
        <v>31</v>
      </c>
      <c r="F427" t="s">
        <v>87</v>
      </c>
      <c r="G427" t="s">
        <v>27</v>
      </c>
    </row>
    <row r="428" spans="1:7" x14ac:dyDescent="0.2">
      <c r="A428">
        <v>8</v>
      </c>
      <c r="B428">
        <v>31</v>
      </c>
      <c r="C428" t="s">
        <v>319</v>
      </c>
      <c r="D428" t="s">
        <v>24</v>
      </c>
      <c r="E428" t="s">
        <v>31</v>
      </c>
      <c r="F428" t="s">
        <v>26</v>
      </c>
      <c r="G428" t="s">
        <v>27</v>
      </c>
    </row>
    <row r="429" spans="1:7" x14ac:dyDescent="0.2">
      <c r="A429">
        <v>8</v>
      </c>
      <c r="B429">
        <v>31</v>
      </c>
      <c r="C429" t="s">
        <v>286</v>
      </c>
      <c r="D429" t="s">
        <v>24</v>
      </c>
      <c r="E429" t="s">
        <v>25</v>
      </c>
      <c r="F429" t="s">
        <v>26</v>
      </c>
      <c r="G429" t="s">
        <v>27</v>
      </c>
    </row>
    <row r="430" spans="1:7" x14ac:dyDescent="0.2">
      <c r="A430">
        <v>8</v>
      </c>
      <c r="B430">
        <v>31</v>
      </c>
      <c r="C430" t="s">
        <v>288</v>
      </c>
      <c r="D430" t="s">
        <v>24</v>
      </c>
      <c r="E430" t="s">
        <v>25</v>
      </c>
      <c r="F430" t="s">
        <v>26</v>
      </c>
      <c r="G430" t="s">
        <v>27</v>
      </c>
    </row>
    <row r="431" spans="1:7" x14ac:dyDescent="0.2">
      <c r="A431">
        <v>9</v>
      </c>
      <c r="B431">
        <v>31</v>
      </c>
      <c r="C431" t="s">
        <v>320</v>
      </c>
      <c r="D431" t="s">
        <v>30</v>
      </c>
      <c r="E431" t="s">
        <v>31</v>
      </c>
      <c r="F431" t="s">
        <v>26</v>
      </c>
      <c r="G431" t="s">
        <v>27</v>
      </c>
    </row>
    <row r="432" spans="1:7" x14ac:dyDescent="0.2">
      <c r="A432">
        <v>9</v>
      </c>
      <c r="B432">
        <v>31</v>
      </c>
      <c r="C432" t="s">
        <v>293</v>
      </c>
      <c r="D432" t="s">
        <v>24</v>
      </c>
      <c r="E432" t="s">
        <v>31</v>
      </c>
      <c r="F432" t="s">
        <v>26</v>
      </c>
      <c r="G432" t="s">
        <v>27</v>
      </c>
    </row>
    <row r="433" spans="1:7" x14ac:dyDescent="0.2">
      <c r="A433">
        <v>9</v>
      </c>
      <c r="B433">
        <v>31</v>
      </c>
      <c r="C433" t="s">
        <v>321</v>
      </c>
      <c r="D433" t="s">
        <v>24</v>
      </c>
      <c r="E433" t="s">
        <v>31</v>
      </c>
      <c r="F433" t="s">
        <v>26</v>
      </c>
      <c r="G433" t="s">
        <v>27</v>
      </c>
    </row>
    <row r="434" spans="1:7" x14ac:dyDescent="0.2">
      <c r="A434">
        <v>10</v>
      </c>
      <c r="B434">
        <v>31</v>
      </c>
      <c r="C434" t="s">
        <v>322</v>
      </c>
      <c r="D434" t="s">
        <v>30</v>
      </c>
      <c r="E434" t="s">
        <v>31</v>
      </c>
      <c r="F434" t="s">
        <v>26</v>
      </c>
      <c r="G434" t="s">
        <v>27</v>
      </c>
    </row>
    <row r="435" spans="1:7" x14ac:dyDescent="0.2">
      <c r="A435">
        <v>10</v>
      </c>
      <c r="B435">
        <v>31</v>
      </c>
      <c r="C435" t="s">
        <v>323</v>
      </c>
      <c r="D435" t="s">
        <v>24</v>
      </c>
      <c r="E435" t="s">
        <v>31</v>
      </c>
      <c r="F435" t="s">
        <v>47</v>
      </c>
      <c r="G435" t="s">
        <v>27</v>
      </c>
    </row>
    <row r="436" spans="1:7" x14ac:dyDescent="0.2">
      <c r="A436">
        <v>10</v>
      </c>
      <c r="B436">
        <v>31</v>
      </c>
      <c r="C436" t="s">
        <v>324</v>
      </c>
      <c r="D436" t="s">
        <v>24</v>
      </c>
      <c r="E436" t="s">
        <v>31</v>
      </c>
      <c r="F436" t="s">
        <v>47</v>
      </c>
      <c r="G436" t="s">
        <v>27</v>
      </c>
    </row>
    <row r="437" spans="1:7" x14ac:dyDescent="0.2">
      <c r="A437">
        <v>10</v>
      </c>
      <c r="B437">
        <v>31</v>
      </c>
      <c r="C437" t="s">
        <v>325</v>
      </c>
      <c r="D437" t="s">
        <v>24</v>
      </c>
      <c r="E437" t="s">
        <v>31</v>
      </c>
      <c r="F437" t="s">
        <v>26</v>
      </c>
      <c r="G437" t="s">
        <v>27</v>
      </c>
    </row>
    <row r="438" spans="1:7" x14ac:dyDescent="0.2">
      <c r="A438">
        <v>10</v>
      </c>
      <c r="B438">
        <v>31</v>
      </c>
      <c r="C438" t="s">
        <v>326</v>
      </c>
      <c r="D438" t="s">
        <v>24</v>
      </c>
      <c r="E438" t="s">
        <v>31</v>
      </c>
      <c r="F438" t="s">
        <v>26</v>
      </c>
      <c r="G438" t="s">
        <v>27</v>
      </c>
    </row>
    <row r="439" spans="1:7" x14ac:dyDescent="0.2">
      <c r="A439">
        <v>10</v>
      </c>
      <c r="B439">
        <v>31</v>
      </c>
      <c r="C439" t="s">
        <v>327</v>
      </c>
      <c r="D439" t="s">
        <v>24</v>
      </c>
      <c r="E439" t="s">
        <v>31</v>
      </c>
      <c r="F439" t="s">
        <v>26</v>
      </c>
      <c r="G439" t="s">
        <v>27</v>
      </c>
    </row>
    <row r="440" spans="1:7" x14ac:dyDescent="0.2">
      <c r="A440">
        <v>10</v>
      </c>
      <c r="B440">
        <v>31</v>
      </c>
      <c r="C440" t="s">
        <v>309</v>
      </c>
      <c r="D440" t="s">
        <v>24</v>
      </c>
      <c r="E440" t="s">
        <v>31</v>
      </c>
      <c r="F440" t="s">
        <v>26</v>
      </c>
      <c r="G440" t="s">
        <v>27</v>
      </c>
    </row>
    <row r="441" spans="1:7" x14ac:dyDescent="0.2">
      <c r="A441">
        <v>10</v>
      </c>
      <c r="B441">
        <v>31</v>
      </c>
      <c r="C441" t="s">
        <v>328</v>
      </c>
      <c r="D441" t="s">
        <v>24</v>
      </c>
      <c r="E441" t="s">
        <v>31</v>
      </c>
      <c r="F441" t="s">
        <v>26</v>
      </c>
      <c r="G441" t="s">
        <v>27</v>
      </c>
    </row>
    <row r="442" spans="1:7" x14ac:dyDescent="0.2">
      <c r="A442">
        <v>10</v>
      </c>
      <c r="B442">
        <v>31</v>
      </c>
      <c r="C442" t="s">
        <v>329</v>
      </c>
      <c r="D442" t="s">
        <v>24</v>
      </c>
      <c r="E442" t="s">
        <v>31</v>
      </c>
      <c r="F442" t="s">
        <v>26</v>
      </c>
      <c r="G442" t="s">
        <v>27</v>
      </c>
    </row>
    <row r="443" spans="1:7" x14ac:dyDescent="0.2">
      <c r="A443">
        <v>10</v>
      </c>
      <c r="B443">
        <v>31</v>
      </c>
      <c r="C443" t="s">
        <v>320</v>
      </c>
      <c r="D443" t="s">
        <v>30</v>
      </c>
      <c r="E443" t="s">
        <v>31</v>
      </c>
      <c r="F443" t="s">
        <v>26</v>
      </c>
      <c r="G443" t="s">
        <v>27</v>
      </c>
    </row>
    <row r="444" spans="1:7" x14ac:dyDescent="0.2">
      <c r="A444">
        <v>11</v>
      </c>
      <c r="B444">
        <v>31</v>
      </c>
      <c r="C444" t="s">
        <v>330</v>
      </c>
      <c r="D444" t="s">
        <v>30</v>
      </c>
      <c r="E444" t="s">
        <v>25</v>
      </c>
      <c r="F444" t="s">
        <v>47</v>
      </c>
      <c r="G444" t="s">
        <v>27</v>
      </c>
    </row>
    <row r="445" spans="1:7" x14ac:dyDescent="0.2">
      <c r="A445">
        <v>11</v>
      </c>
      <c r="B445">
        <v>31</v>
      </c>
      <c r="C445" t="s">
        <v>331</v>
      </c>
      <c r="D445" t="s">
        <v>30</v>
      </c>
      <c r="E445" t="s">
        <v>25</v>
      </c>
      <c r="F445" t="s">
        <v>47</v>
      </c>
      <c r="G445" t="s">
        <v>27</v>
      </c>
    </row>
    <row r="446" spans="1:7" x14ac:dyDescent="0.2">
      <c r="A446">
        <v>11</v>
      </c>
      <c r="B446">
        <v>31</v>
      </c>
      <c r="C446" t="s">
        <v>332</v>
      </c>
      <c r="D446" t="s">
        <v>24</v>
      </c>
      <c r="E446" t="s">
        <v>25</v>
      </c>
      <c r="F446" t="s">
        <v>26</v>
      </c>
      <c r="G446" t="s">
        <v>27</v>
      </c>
    </row>
    <row r="447" spans="1:7" x14ac:dyDescent="0.2">
      <c r="A447">
        <v>11</v>
      </c>
      <c r="B447">
        <v>31</v>
      </c>
      <c r="C447" t="s">
        <v>333</v>
      </c>
      <c r="D447" t="s">
        <v>24</v>
      </c>
      <c r="E447" t="s">
        <v>25</v>
      </c>
      <c r="F447" t="s">
        <v>26</v>
      </c>
      <c r="G447" t="s">
        <v>27</v>
      </c>
    </row>
    <row r="448" spans="1:7" x14ac:dyDescent="0.2">
      <c r="A448">
        <v>11</v>
      </c>
      <c r="B448">
        <v>31</v>
      </c>
      <c r="C448" t="s">
        <v>334</v>
      </c>
      <c r="D448" t="s">
        <v>24</v>
      </c>
      <c r="E448" t="s">
        <v>25</v>
      </c>
      <c r="F448" t="s">
        <v>26</v>
      </c>
      <c r="G448" t="s">
        <v>27</v>
      </c>
    </row>
    <row r="449" spans="1:7" x14ac:dyDescent="0.2">
      <c r="A449">
        <v>12</v>
      </c>
      <c r="B449">
        <v>31</v>
      </c>
      <c r="C449" t="s">
        <v>309</v>
      </c>
      <c r="D449" t="s">
        <v>24</v>
      </c>
      <c r="E449" t="s">
        <v>31</v>
      </c>
      <c r="F449" t="s">
        <v>26</v>
      </c>
      <c r="G449" t="s">
        <v>27</v>
      </c>
    </row>
    <row r="450" spans="1:7" x14ac:dyDescent="0.2">
      <c r="A450">
        <v>12</v>
      </c>
      <c r="B450">
        <v>31</v>
      </c>
      <c r="C450" t="s">
        <v>327</v>
      </c>
      <c r="D450" t="s">
        <v>24</v>
      </c>
      <c r="E450" t="s">
        <v>31</v>
      </c>
      <c r="F450" t="s">
        <v>47</v>
      </c>
      <c r="G450" t="s">
        <v>27</v>
      </c>
    </row>
    <row r="451" spans="1:7" x14ac:dyDescent="0.2">
      <c r="A451">
        <v>12</v>
      </c>
      <c r="B451">
        <v>31</v>
      </c>
      <c r="C451" t="s">
        <v>335</v>
      </c>
      <c r="D451" t="s">
        <v>24</v>
      </c>
      <c r="E451" t="s">
        <v>31</v>
      </c>
      <c r="F451" t="s">
        <v>47</v>
      </c>
      <c r="G451" t="s">
        <v>27</v>
      </c>
    </row>
    <row r="452" spans="1:7" x14ac:dyDescent="0.2">
      <c r="A452">
        <v>13</v>
      </c>
      <c r="B452">
        <v>31</v>
      </c>
      <c r="C452" t="s">
        <v>309</v>
      </c>
      <c r="D452" t="s">
        <v>24</v>
      </c>
      <c r="E452" t="s">
        <v>31</v>
      </c>
      <c r="F452" t="s">
        <v>26</v>
      </c>
      <c r="G452" t="s">
        <v>27</v>
      </c>
    </row>
    <row r="453" spans="1:7" x14ac:dyDescent="0.2">
      <c r="A453">
        <v>13</v>
      </c>
      <c r="B453">
        <v>31</v>
      </c>
      <c r="C453" t="s">
        <v>336</v>
      </c>
      <c r="D453" t="s">
        <v>24</v>
      </c>
      <c r="E453" t="s">
        <v>31</v>
      </c>
      <c r="F453" t="s">
        <v>26</v>
      </c>
      <c r="G453" t="s">
        <v>27</v>
      </c>
    </row>
    <row r="454" spans="1:7" x14ac:dyDescent="0.2">
      <c r="A454">
        <v>14</v>
      </c>
      <c r="B454">
        <v>31</v>
      </c>
      <c r="C454" t="s">
        <v>291</v>
      </c>
      <c r="D454" t="s">
        <v>24</v>
      </c>
      <c r="E454" t="s">
        <v>31</v>
      </c>
      <c r="F454" t="s">
        <v>26</v>
      </c>
      <c r="G454" t="s">
        <v>27</v>
      </c>
    </row>
    <row r="455" spans="1:7" x14ac:dyDescent="0.2">
      <c r="A455">
        <v>14</v>
      </c>
      <c r="B455">
        <v>31</v>
      </c>
      <c r="C455" t="s">
        <v>336</v>
      </c>
      <c r="D455" t="s">
        <v>24</v>
      </c>
      <c r="E455" t="s">
        <v>31</v>
      </c>
      <c r="F455" t="s">
        <v>26</v>
      </c>
      <c r="G455" t="s">
        <v>27</v>
      </c>
    </row>
    <row r="456" spans="1:7" x14ac:dyDescent="0.2">
      <c r="A456">
        <v>14</v>
      </c>
      <c r="B456">
        <v>31</v>
      </c>
      <c r="C456" t="s">
        <v>291</v>
      </c>
      <c r="D456" t="s">
        <v>24</v>
      </c>
      <c r="E456" t="s">
        <v>31</v>
      </c>
      <c r="F456" t="s">
        <v>26</v>
      </c>
      <c r="G456" t="s">
        <v>27</v>
      </c>
    </row>
    <row r="457" spans="1:7" x14ac:dyDescent="0.2">
      <c r="A457">
        <v>14</v>
      </c>
      <c r="B457">
        <v>31</v>
      </c>
      <c r="C457" t="s">
        <v>292</v>
      </c>
      <c r="D457" t="s">
        <v>24</v>
      </c>
      <c r="E457" t="s">
        <v>31</v>
      </c>
      <c r="F457" t="s">
        <v>26</v>
      </c>
      <c r="G457" t="s">
        <v>27</v>
      </c>
    </row>
    <row r="458" spans="1:7" x14ac:dyDescent="0.2">
      <c r="A458">
        <v>14</v>
      </c>
      <c r="B458">
        <v>31</v>
      </c>
      <c r="C458" t="s">
        <v>259</v>
      </c>
      <c r="D458" t="s">
        <v>24</v>
      </c>
      <c r="E458" t="s">
        <v>31</v>
      </c>
      <c r="F458" t="s">
        <v>26</v>
      </c>
      <c r="G458" t="s">
        <v>27</v>
      </c>
    </row>
    <row r="459" spans="1:7" x14ac:dyDescent="0.2">
      <c r="A459">
        <v>14</v>
      </c>
      <c r="B459">
        <v>31</v>
      </c>
      <c r="C459" t="s">
        <v>337</v>
      </c>
      <c r="D459" t="s">
        <v>24</v>
      </c>
      <c r="E459" t="s">
        <v>31</v>
      </c>
      <c r="F459" t="s">
        <v>26</v>
      </c>
      <c r="G459" t="s">
        <v>27</v>
      </c>
    </row>
    <row r="460" spans="1:7" x14ac:dyDescent="0.2">
      <c r="A460">
        <v>14</v>
      </c>
      <c r="B460">
        <v>31</v>
      </c>
      <c r="C460" t="s">
        <v>338</v>
      </c>
      <c r="D460" t="s">
        <v>24</v>
      </c>
      <c r="E460" t="s">
        <v>31</v>
      </c>
      <c r="F460" t="s">
        <v>26</v>
      </c>
      <c r="G460" t="s">
        <v>27</v>
      </c>
    </row>
    <row r="461" spans="1:7" x14ac:dyDescent="0.2">
      <c r="A461">
        <v>15</v>
      </c>
      <c r="B461">
        <v>31</v>
      </c>
      <c r="C461" t="s">
        <v>337</v>
      </c>
      <c r="D461" t="s">
        <v>24</v>
      </c>
      <c r="E461" t="s">
        <v>31</v>
      </c>
      <c r="F461" t="s">
        <v>26</v>
      </c>
      <c r="G461" t="s">
        <v>27</v>
      </c>
    </row>
    <row r="462" spans="1:7" x14ac:dyDescent="0.2">
      <c r="A462">
        <v>15</v>
      </c>
      <c r="B462">
        <v>31</v>
      </c>
      <c r="C462" t="s">
        <v>259</v>
      </c>
      <c r="D462" t="s">
        <v>24</v>
      </c>
      <c r="E462" t="s">
        <v>31</v>
      </c>
      <c r="F462" t="s">
        <v>26</v>
      </c>
      <c r="G462" t="s">
        <v>27</v>
      </c>
    </row>
    <row r="463" spans="1:7" x14ac:dyDescent="0.2">
      <c r="A463">
        <v>16</v>
      </c>
      <c r="B463">
        <v>31</v>
      </c>
      <c r="C463" t="s">
        <v>327</v>
      </c>
      <c r="D463" t="s">
        <v>24</v>
      </c>
      <c r="E463" t="s">
        <v>31</v>
      </c>
      <c r="F463" t="s">
        <v>47</v>
      </c>
      <c r="G463" t="s">
        <v>27</v>
      </c>
    </row>
    <row r="464" spans="1:7" x14ac:dyDescent="0.2">
      <c r="A464">
        <v>16</v>
      </c>
      <c r="B464">
        <v>31</v>
      </c>
      <c r="C464" t="s">
        <v>327</v>
      </c>
      <c r="D464" t="s">
        <v>24</v>
      </c>
      <c r="E464" t="s">
        <v>31</v>
      </c>
      <c r="F464" t="s">
        <v>47</v>
      </c>
      <c r="G464" t="s">
        <v>27</v>
      </c>
    </row>
    <row r="465" spans="1:7" x14ac:dyDescent="0.2">
      <c r="A465">
        <v>16</v>
      </c>
      <c r="B465">
        <v>31</v>
      </c>
      <c r="C465" t="s">
        <v>339</v>
      </c>
      <c r="D465" t="s">
        <v>24</v>
      </c>
      <c r="E465" t="s">
        <v>31</v>
      </c>
      <c r="F465" t="s">
        <v>47</v>
      </c>
      <c r="G465" t="s">
        <v>27</v>
      </c>
    </row>
    <row r="466" spans="1:7" x14ac:dyDescent="0.2">
      <c r="A466">
        <v>16</v>
      </c>
      <c r="B466">
        <v>31</v>
      </c>
      <c r="C466" t="s">
        <v>329</v>
      </c>
      <c r="D466" t="s">
        <v>24</v>
      </c>
      <c r="E466" t="s">
        <v>31</v>
      </c>
      <c r="F466" t="s">
        <v>47</v>
      </c>
      <c r="G466" t="s">
        <v>27</v>
      </c>
    </row>
    <row r="467" spans="1:7" x14ac:dyDescent="0.2">
      <c r="A467">
        <v>17</v>
      </c>
      <c r="B467">
        <v>31</v>
      </c>
      <c r="C467" t="s">
        <v>302</v>
      </c>
      <c r="D467" t="s">
        <v>24</v>
      </c>
      <c r="E467" t="s">
        <v>31</v>
      </c>
      <c r="F467" t="s">
        <v>26</v>
      </c>
      <c r="G467" t="s">
        <v>27</v>
      </c>
    </row>
    <row r="468" spans="1:7" x14ac:dyDescent="0.2">
      <c r="A468">
        <v>17</v>
      </c>
      <c r="B468">
        <v>31</v>
      </c>
      <c r="C468" t="s">
        <v>303</v>
      </c>
      <c r="D468" t="s">
        <v>30</v>
      </c>
      <c r="E468" t="s">
        <v>31</v>
      </c>
      <c r="F468" t="s">
        <v>26</v>
      </c>
      <c r="G468" t="s">
        <v>27</v>
      </c>
    </row>
    <row r="469" spans="1:7" x14ac:dyDescent="0.2">
      <c r="A469">
        <v>17</v>
      </c>
      <c r="B469">
        <v>31</v>
      </c>
      <c r="C469" t="s">
        <v>282</v>
      </c>
      <c r="D469" t="s">
        <v>24</v>
      </c>
      <c r="E469" t="s">
        <v>31</v>
      </c>
      <c r="F469" t="s">
        <v>26</v>
      </c>
      <c r="G469" t="s">
        <v>27</v>
      </c>
    </row>
    <row r="470" spans="1:7" x14ac:dyDescent="0.2">
      <c r="A470">
        <v>18</v>
      </c>
      <c r="B470">
        <v>31</v>
      </c>
      <c r="C470" t="s">
        <v>340</v>
      </c>
      <c r="D470" t="s">
        <v>24</v>
      </c>
      <c r="E470" t="s">
        <v>31</v>
      </c>
      <c r="F470" t="s">
        <v>26</v>
      </c>
      <c r="G470" t="s">
        <v>27</v>
      </c>
    </row>
    <row r="471" spans="1:7" x14ac:dyDescent="0.2">
      <c r="A471">
        <v>18</v>
      </c>
      <c r="B471">
        <v>31</v>
      </c>
      <c r="C471" t="s">
        <v>293</v>
      </c>
      <c r="D471" t="s">
        <v>24</v>
      </c>
      <c r="E471" t="s">
        <v>31</v>
      </c>
      <c r="F471" t="s">
        <v>26</v>
      </c>
      <c r="G471" t="s">
        <v>27</v>
      </c>
    </row>
    <row r="472" spans="1:7" x14ac:dyDescent="0.2">
      <c r="A472">
        <v>18</v>
      </c>
      <c r="B472">
        <v>31</v>
      </c>
      <c r="C472" t="s">
        <v>341</v>
      </c>
      <c r="D472" t="s">
        <v>24</v>
      </c>
      <c r="E472" t="s">
        <v>31</v>
      </c>
      <c r="F472" t="s">
        <v>26</v>
      </c>
      <c r="G472" t="s">
        <v>27</v>
      </c>
    </row>
    <row r="473" spans="1:7" x14ac:dyDescent="0.2">
      <c r="A473">
        <v>18</v>
      </c>
      <c r="B473">
        <v>31</v>
      </c>
      <c r="C473" t="s">
        <v>309</v>
      </c>
      <c r="D473" t="s">
        <v>24</v>
      </c>
      <c r="E473" t="s">
        <v>31</v>
      </c>
      <c r="F473" t="s">
        <v>26</v>
      </c>
      <c r="G473" t="s">
        <v>27</v>
      </c>
    </row>
    <row r="474" spans="1:7" x14ac:dyDescent="0.2">
      <c r="A474">
        <v>19</v>
      </c>
      <c r="B474">
        <v>31</v>
      </c>
      <c r="C474" t="s">
        <v>342</v>
      </c>
      <c r="D474" t="s">
        <v>24</v>
      </c>
      <c r="E474" t="s">
        <v>25</v>
      </c>
      <c r="F474" t="s">
        <v>26</v>
      </c>
      <c r="G474" t="s">
        <v>27</v>
      </c>
    </row>
    <row r="475" spans="1:7" x14ac:dyDescent="0.2">
      <c r="A475">
        <v>19</v>
      </c>
      <c r="B475">
        <v>31</v>
      </c>
      <c r="C475" t="s">
        <v>293</v>
      </c>
      <c r="D475" t="s">
        <v>24</v>
      </c>
      <c r="E475" t="s">
        <v>25</v>
      </c>
      <c r="F475" t="s">
        <v>26</v>
      </c>
      <c r="G475" t="s">
        <v>27</v>
      </c>
    </row>
    <row r="476" spans="1:7" x14ac:dyDescent="0.2">
      <c r="A476">
        <v>19</v>
      </c>
      <c r="B476">
        <v>31</v>
      </c>
      <c r="C476" t="s">
        <v>341</v>
      </c>
      <c r="D476" t="s">
        <v>24</v>
      </c>
      <c r="E476" t="s">
        <v>25</v>
      </c>
      <c r="F476" t="s">
        <v>26</v>
      </c>
      <c r="G476" t="s">
        <v>27</v>
      </c>
    </row>
    <row r="477" spans="1:7" x14ac:dyDescent="0.2">
      <c r="A477">
        <v>19</v>
      </c>
      <c r="B477">
        <v>31</v>
      </c>
      <c r="C477" t="s">
        <v>309</v>
      </c>
      <c r="D477" t="s">
        <v>24</v>
      </c>
      <c r="E477" t="s">
        <v>25</v>
      </c>
      <c r="F477" t="s">
        <v>26</v>
      </c>
      <c r="G477" t="s">
        <v>27</v>
      </c>
    </row>
    <row r="478" spans="1:7" x14ac:dyDescent="0.2">
      <c r="A478">
        <v>19</v>
      </c>
      <c r="B478">
        <v>31</v>
      </c>
      <c r="C478" t="s">
        <v>343</v>
      </c>
      <c r="D478" t="s">
        <v>24</v>
      </c>
      <c r="E478" t="s">
        <v>25</v>
      </c>
      <c r="F478" t="s">
        <v>26</v>
      </c>
      <c r="G478" t="s">
        <v>27</v>
      </c>
    </row>
    <row r="479" spans="1:7" x14ac:dyDescent="0.2">
      <c r="A479">
        <v>19</v>
      </c>
      <c r="B479">
        <v>31</v>
      </c>
      <c r="C479" t="s">
        <v>309</v>
      </c>
      <c r="D479" t="s">
        <v>24</v>
      </c>
      <c r="E479" t="s">
        <v>25</v>
      </c>
      <c r="F479" t="s">
        <v>26</v>
      </c>
      <c r="G479" t="s">
        <v>27</v>
      </c>
    </row>
    <row r="480" spans="1:7" x14ac:dyDescent="0.2">
      <c r="A480">
        <v>20</v>
      </c>
      <c r="B480">
        <v>31</v>
      </c>
      <c r="C480" t="s">
        <v>344</v>
      </c>
      <c r="D480" t="s">
        <v>24</v>
      </c>
      <c r="E480" t="s">
        <v>31</v>
      </c>
      <c r="F480" t="s">
        <v>26</v>
      </c>
      <c r="G480" t="s">
        <v>27</v>
      </c>
    </row>
    <row r="481" spans="1:7" x14ac:dyDescent="0.2">
      <c r="A481">
        <v>20</v>
      </c>
      <c r="B481">
        <v>31</v>
      </c>
      <c r="C481" t="s">
        <v>345</v>
      </c>
      <c r="D481" t="s">
        <v>24</v>
      </c>
      <c r="E481" t="s">
        <v>31</v>
      </c>
      <c r="F481" t="s">
        <v>26</v>
      </c>
      <c r="G481" t="s">
        <v>27</v>
      </c>
    </row>
    <row r="482" spans="1:7" x14ac:dyDescent="0.2">
      <c r="A482">
        <v>20</v>
      </c>
      <c r="B482">
        <v>31</v>
      </c>
      <c r="C482" t="s">
        <v>293</v>
      </c>
      <c r="D482" t="s">
        <v>24</v>
      </c>
      <c r="E482" t="s">
        <v>31</v>
      </c>
      <c r="F482" t="s">
        <v>26</v>
      </c>
      <c r="G482" t="s">
        <v>27</v>
      </c>
    </row>
    <row r="483" spans="1:7" x14ac:dyDescent="0.2">
      <c r="A483">
        <v>20</v>
      </c>
      <c r="B483">
        <v>31</v>
      </c>
      <c r="C483" t="s">
        <v>346</v>
      </c>
      <c r="D483" t="s">
        <v>24</v>
      </c>
      <c r="E483" t="s">
        <v>31</v>
      </c>
      <c r="F483" t="s">
        <v>26</v>
      </c>
      <c r="G483" t="s">
        <v>27</v>
      </c>
    </row>
    <row r="484" spans="1:7" x14ac:dyDescent="0.2">
      <c r="A484">
        <v>20</v>
      </c>
      <c r="B484">
        <v>31</v>
      </c>
      <c r="C484" t="s">
        <v>347</v>
      </c>
      <c r="D484" t="s">
        <v>24</v>
      </c>
      <c r="E484" t="s">
        <v>31</v>
      </c>
      <c r="F484" t="s">
        <v>26</v>
      </c>
      <c r="G484" t="s">
        <v>27</v>
      </c>
    </row>
    <row r="485" spans="1:7" x14ac:dyDescent="0.2">
      <c r="A485">
        <v>21</v>
      </c>
      <c r="B485">
        <v>31</v>
      </c>
      <c r="C485" t="s">
        <v>348</v>
      </c>
      <c r="D485" t="s">
        <v>24</v>
      </c>
      <c r="E485" t="s">
        <v>31</v>
      </c>
      <c r="F485" t="s">
        <v>26</v>
      </c>
      <c r="G485" t="s">
        <v>27</v>
      </c>
    </row>
    <row r="486" spans="1:7" x14ac:dyDescent="0.2">
      <c r="A486">
        <v>22</v>
      </c>
      <c r="B486">
        <v>31</v>
      </c>
      <c r="C486" t="s">
        <v>327</v>
      </c>
      <c r="D486" t="s">
        <v>24</v>
      </c>
      <c r="E486" t="s">
        <v>25</v>
      </c>
      <c r="F486" t="s">
        <v>26</v>
      </c>
      <c r="G486" t="s">
        <v>27</v>
      </c>
    </row>
    <row r="487" spans="1:7" x14ac:dyDescent="0.2">
      <c r="A487">
        <v>22</v>
      </c>
      <c r="B487">
        <v>31</v>
      </c>
      <c r="C487" t="s">
        <v>349</v>
      </c>
      <c r="D487" t="s">
        <v>24</v>
      </c>
      <c r="E487" t="s">
        <v>25</v>
      </c>
      <c r="F487" t="s">
        <v>26</v>
      </c>
      <c r="G487" t="s">
        <v>27</v>
      </c>
    </row>
    <row r="488" spans="1:7" x14ac:dyDescent="0.2">
      <c r="A488">
        <v>22</v>
      </c>
      <c r="B488">
        <v>31</v>
      </c>
      <c r="C488" t="s">
        <v>350</v>
      </c>
      <c r="D488" t="s">
        <v>24</v>
      </c>
      <c r="E488" t="s">
        <v>25</v>
      </c>
      <c r="F488" t="s">
        <v>26</v>
      </c>
      <c r="G488" t="s">
        <v>27</v>
      </c>
    </row>
    <row r="489" spans="1:7" x14ac:dyDescent="0.2">
      <c r="A489">
        <v>22</v>
      </c>
      <c r="B489">
        <v>31</v>
      </c>
      <c r="C489" t="s">
        <v>286</v>
      </c>
      <c r="D489" t="s">
        <v>24</v>
      </c>
      <c r="E489" t="s">
        <v>25</v>
      </c>
      <c r="F489" t="s">
        <v>26</v>
      </c>
      <c r="G489" t="s">
        <v>27</v>
      </c>
    </row>
    <row r="490" spans="1:7" x14ac:dyDescent="0.2">
      <c r="A490">
        <v>22</v>
      </c>
      <c r="B490">
        <v>31</v>
      </c>
      <c r="C490" t="s">
        <v>288</v>
      </c>
      <c r="D490" t="s">
        <v>30</v>
      </c>
      <c r="E490" t="s">
        <v>25</v>
      </c>
      <c r="F490" t="s">
        <v>26</v>
      </c>
      <c r="G490" t="s">
        <v>27</v>
      </c>
    </row>
    <row r="491" spans="1:7" x14ac:dyDescent="0.2">
      <c r="A491">
        <v>23</v>
      </c>
      <c r="B491">
        <v>31</v>
      </c>
      <c r="C491" t="s">
        <v>351</v>
      </c>
      <c r="D491" t="s">
        <v>24</v>
      </c>
      <c r="E491" t="s">
        <v>31</v>
      </c>
      <c r="F491" t="s">
        <v>26</v>
      </c>
      <c r="G491" t="s">
        <v>27</v>
      </c>
    </row>
    <row r="492" spans="1:7" x14ac:dyDescent="0.2">
      <c r="A492">
        <v>23</v>
      </c>
      <c r="B492">
        <v>31</v>
      </c>
      <c r="C492" t="s">
        <v>352</v>
      </c>
      <c r="D492" t="s">
        <v>24</v>
      </c>
      <c r="E492" t="s">
        <v>31</v>
      </c>
      <c r="F492" t="s">
        <v>26</v>
      </c>
      <c r="G492" t="s">
        <v>27</v>
      </c>
    </row>
    <row r="493" spans="1:7" x14ac:dyDescent="0.2">
      <c r="A493">
        <v>23</v>
      </c>
      <c r="B493">
        <v>31</v>
      </c>
      <c r="C493" t="s">
        <v>353</v>
      </c>
      <c r="D493" t="s">
        <v>24</v>
      </c>
      <c r="E493" t="s">
        <v>31</v>
      </c>
      <c r="F493" t="s">
        <v>26</v>
      </c>
      <c r="G493" t="s">
        <v>27</v>
      </c>
    </row>
    <row r="494" spans="1:7" x14ac:dyDescent="0.2">
      <c r="A494">
        <v>23</v>
      </c>
      <c r="B494">
        <v>31</v>
      </c>
      <c r="C494" t="s">
        <v>354</v>
      </c>
      <c r="D494" t="s">
        <v>24</v>
      </c>
      <c r="E494" t="s">
        <v>31</v>
      </c>
      <c r="F494" t="s">
        <v>26</v>
      </c>
      <c r="G494" t="s">
        <v>27</v>
      </c>
    </row>
    <row r="495" spans="1:7" x14ac:dyDescent="0.2">
      <c r="A495">
        <v>7</v>
      </c>
      <c r="B495">
        <v>32</v>
      </c>
      <c r="C495" t="s">
        <v>355</v>
      </c>
      <c r="D495" t="s">
        <v>24</v>
      </c>
      <c r="E495" t="s">
        <v>31</v>
      </c>
      <c r="F495" t="s">
        <v>87</v>
      </c>
      <c r="G495" t="s">
        <v>27</v>
      </c>
    </row>
    <row r="496" spans="1:7" x14ac:dyDescent="0.2">
      <c r="A496">
        <v>7</v>
      </c>
      <c r="B496">
        <v>32</v>
      </c>
      <c r="C496" t="s">
        <v>356</v>
      </c>
      <c r="D496" t="s">
        <v>24</v>
      </c>
      <c r="E496" t="s">
        <v>31</v>
      </c>
      <c r="F496" t="s">
        <v>87</v>
      </c>
      <c r="G496" t="s">
        <v>27</v>
      </c>
    </row>
    <row r="497" spans="1:7" x14ac:dyDescent="0.2">
      <c r="A497">
        <v>7</v>
      </c>
      <c r="B497">
        <v>32</v>
      </c>
      <c r="C497" t="s">
        <v>357</v>
      </c>
      <c r="D497" t="s">
        <v>24</v>
      </c>
      <c r="E497" t="s">
        <v>31</v>
      </c>
      <c r="F497" t="s">
        <v>87</v>
      </c>
      <c r="G497" t="s">
        <v>27</v>
      </c>
    </row>
    <row r="498" spans="1:7" x14ac:dyDescent="0.2">
      <c r="A498">
        <v>7</v>
      </c>
      <c r="B498">
        <v>32</v>
      </c>
      <c r="C498" t="s">
        <v>358</v>
      </c>
      <c r="D498" t="s">
        <v>24</v>
      </c>
      <c r="E498" t="s">
        <v>31</v>
      </c>
      <c r="F498" t="s">
        <v>87</v>
      </c>
      <c r="G498" t="s">
        <v>27</v>
      </c>
    </row>
    <row r="499" spans="1:7" x14ac:dyDescent="0.2">
      <c r="A499">
        <v>8</v>
      </c>
      <c r="B499">
        <v>32</v>
      </c>
      <c r="C499" t="s">
        <v>359</v>
      </c>
      <c r="D499" t="s">
        <v>24</v>
      </c>
      <c r="E499" t="s">
        <v>25</v>
      </c>
      <c r="F499" t="s">
        <v>26</v>
      </c>
      <c r="G499" t="s">
        <v>27</v>
      </c>
    </row>
    <row r="500" spans="1:7" x14ac:dyDescent="0.2">
      <c r="A500">
        <v>8</v>
      </c>
      <c r="B500">
        <v>32</v>
      </c>
      <c r="C500" t="s">
        <v>360</v>
      </c>
      <c r="D500" t="s">
        <v>30</v>
      </c>
      <c r="E500" t="s">
        <v>25</v>
      </c>
      <c r="F500" t="s">
        <v>26</v>
      </c>
      <c r="G500" t="s">
        <v>27</v>
      </c>
    </row>
    <row r="501" spans="1:7" x14ac:dyDescent="0.2">
      <c r="A501">
        <v>8</v>
      </c>
      <c r="B501">
        <v>32</v>
      </c>
      <c r="C501" t="s">
        <v>361</v>
      </c>
      <c r="D501" t="s">
        <v>24</v>
      </c>
      <c r="E501" t="s">
        <v>25</v>
      </c>
      <c r="F501" t="s">
        <v>26</v>
      </c>
      <c r="G501" t="s">
        <v>27</v>
      </c>
    </row>
    <row r="502" spans="1:7" x14ac:dyDescent="0.2">
      <c r="A502">
        <v>8</v>
      </c>
      <c r="B502">
        <v>32</v>
      </c>
      <c r="C502" t="s">
        <v>362</v>
      </c>
      <c r="D502" t="s">
        <v>24</v>
      </c>
      <c r="E502" t="s">
        <v>25</v>
      </c>
      <c r="F502" t="s">
        <v>47</v>
      </c>
      <c r="G502" t="s">
        <v>27</v>
      </c>
    </row>
    <row r="503" spans="1:7" x14ac:dyDescent="0.2">
      <c r="A503">
        <v>8</v>
      </c>
      <c r="B503">
        <v>32</v>
      </c>
      <c r="C503" t="s">
        <v>363</v>
      </c>
      <c r="D503" t="s">
        <v>24</v>
      </c>
      <c r="E503" t="s">
        <v>25</v>
      </c>
      <c r="F503" t="s">
        <v>26</v>
      </c>
      <c r="G503" t="s">
        <v>27</v>
      </c>
    </row>
    <row r="504" spans="1:7" x14ac:dyDescent="0.2">
      <c r="A504">
        <v>8</v>
      </c>
      <c r="B504">
        <v>32</v>
      </c>
      <c r="C504" t="s">
        <v>364</v>
      </c>
      <c r="D504" t="s">
        <v>24</v>
      </c>
      <c r="E504" t="s">
        <v>25</v>
      </c>
      <c r="F504" t="s">
        <v>26</v>
      </c>
      <c r="G504" t="s">
        <v>27</v>
      </c>
    </row>
    <row r="505" spans="1:7" x14ac:dyDescent="0.2">
      <c r="A505">
        <v>8</v>
      </c>
      <c r="B505">
        <v>32</v>
      </c>
      <c r="C505" t="s">
        <v>331</v>
      </c>
      <c r="D505" t="s">
        <v>24</v>
      </c>
      <c r="E505" t="s">
        <v>25</v>
      </c>
      <c r="F505" t="s">
        <v>26</v>
      </c>
      <c r="G505" t="s">
        <v>27</v>
      </c>
    </row>
    <row r="506" spans="1:7" x14ac:dyDescent="0.2">
      <c r="A506">
        <v>8</v>
      </c>
      <c r="B506">
        <v>32</v>
      </c>
      <c r="C506" t="s">
        <v>332</v>
      </c>
      <c r="D506" t="s">
        <v>24</v>
      </c>
      <c r="E506" t="s">
        <v>25</v>
      </c>
      <c r="F506" t="s">
        <v>26</v>
      </c>
      <c r="G506" t="s">
        <v>27</v>
      </c>
    </row>
    <row r="507" spans="1:7" x14ac:dyDescent="0.2">
      <c r="A507">
        <v>8</v>
      </c>
      <c r="B507">
        <v>32</v>
      </c>
      <c r="C507" t="s">
        <v>365</v>
      </c>
      <c r="D507" t="s">
        <v>24</v>
      </c>
      <c r="E507" t="s">
        <v>25</v>
      </c>
      <c r="F507" t="s">
        <v>26</v>
      </c>
      <c r="G507" t="s">
        <v>27</v>
      </c>
    </row>
    <row r="508" spans="1:7" x14ac:dyDescent="0.2">
      <c r="A508">
        <v>8</v>
      </c>
      <c r="B508">
        <v>32</v>
      </c>
      <c r="C508" t="s">
        <v>366</v>
      </c>
      <c r="D508" t="s">
        <v>24</v>
      </c>
      <c r="E508" t="s">
        <v>25</v>
      </c>
      <c r="F508" t="s">
        <v>26</v>
      </c>
      <c r="G508" t="s">
        <v>27</v>
      </c>
    </row>
    <row r="509" spans="1:7" x14ac:dyDescent="0.2">
      <c r="A509">
        <v>8</v>
      </c>
      <c r="B509">
        <v>32</v>
      </c>
      <c r="C509" t="s">
        <v>283</v>
      </c>
      <c r="D509" t="s">
        <v>24</v>
      </c>
      <c r="E509" t="s">
        <v>25</v>
      </c>
      <c r="F509" t="s">
        <v>26</v>
      </c>
      <c r="G509" t="s">
        <v>27</v>
      </c>
    </row>
    <row r="510" spans="1:7" x14ac:dyDescent="0.2">
      <c r="A510">
        <v>9</v>
      </c>
      <c r="B510">
        <v>32</v>
      </c>
      <c r="C510" t="s">
        <v>367</v>
      </c>
      <c r="D510" t="s">
        <v>24</v>
      </c>
      <c r="E510" t="s">
        <v>31</v>
      </c>
      <c r="F510" t="s">
        <v>26</v>
      </c>
      <c r="G510" t="s">
        <v>27</v>
      </c>
    </row>
    <row r="511" spans="1:7" x14ac:dyDescent="0.2">
      <c r="A511">
        <v>9</v>
      </c>
      <c r="B511">
        <v>32</v>
      </c>
      <c r="C511" t="s">
        <v>368</v>
      </c>
      <c r="D511" t="s">
        <v>24</v>
      </c>
      <c r="E511" t="s">
        <v>31</v>
      </c>
      <c r="F511" t="s">
        <v>26</v>
      </c>
      <c r="G511" t="s">
        <v>27</v>
      </c>
    </row>
    <row r="512" spans="1:7" x14ac:dyDescent="0.2">
      <c r="A512">
        <v>9</v>
      </c>
      <c r="B512">
        <v>32</v>
      </c>
      <c r="C512" t="s">
        <v>369</v>
      </c>
      <c r="D512" t="s">
        <v>24</v>
      </c>
      <c r="E512" t="s">
        <v>31</v>
      </c>
      <c r="F512" t="s">
        <v>26</v>
      </c>
      <c r="G512" t="s">
        <v>27</v>
      </c>
    </row>
    <row r="513" spans="1:7" x14ac:dyDescent="0.2">
      <c r="A513">
        <v>9</v>
      </c>
      <c r="B513">
        <v>32</v>
      </c>
      <c r="C513" t="s">
        <v>370</v>
      </c>
      <c r="D513" t="s">
        <v>24</v>
      </c>
      <c r="E513" t="s">
        <v>31</v>
      </c>
      <c r="F513" t="s">
        <v>26</v>
      </c>
      <c r="G513" t="s">
        <v>27</v>
      </c>
    </row>
    <row r="514" spans="1:7" x14ac:dyDescent="0.2">
      <c r="A514">
        <v>9</v>
      </c>
      <c r="B514">
        <v>32</v>
      </c>
      <c r="C514" t="s">
        <v>371</v>
      </c>
      <c r="D514" t="s">
        <v>30</v>
      </c>
      <c r="E514" t="s">
        <v>31</v>
      </c>
      <c r="F514" t="s">
        <v>47</v>
      </c>
      <c r="G514" t="s">
        <v>27</v>
      </c>
    </row>
    <row r="515" spans="1:7" x14ac:dyDescent="0.2">
      <c r="A515">
        <v>9</v>
      </c>
      <c r="B515">
        <v>32</v>
      </c>
      <c r="C515" t="s">
        <v>372</v>
      </c>
      <c r="D515" t="s">
        <v>24</v>
      </c>
      <c r="E515" t="s">
        <v>31</v>
      </c>
      <c r="F515" t="s">
        <v>47</v>
      </c>
      <c r="G515" t="s">
        <v>27</v>
      </c>
    </row>
    <row r="516" spans="1:7" x14ac:dyDescent="0.2">
      <c r="A516">
        <v>9</v>
      </c>
      <c r="B516">
        <v>32</v>
      </c>
      <c r="C516" t="s">
        <v>373</v>
      </c>
      <c r="D516" t="s">
        <v>24</v>
      </c>
      <c r="E516" t="s">
        <v>31</v>
      </c>
      <c r="F516" t="s">
        <v>26</v>
      </c>
      <c r="G516" t="s">
        <v>27</v>
      </c>
    </row>
    <row r="517" spans="1:7" x14ac:dyDescent="0.2">
      <c r="A517">
        <v>9</v>
      </c>
      <c r="B517">
        <v>32</v>
      </c>
      <c r="C517" t="s">
        <v>374</v>
      </c>
      <c r="D517" t="s">
        <v>30</v>
      </c>
      <c r="E517" t="s">
        <v>31</v>
      </c>
      <c r="F517" t="s">
        <v>47</v>
      </c>
      <c r="G517" t="s">
        <v>27</v>
      </c>
    </row>
    <row r="518" spans="1:7" x14ac:dyDescent="0.2">
      <c r="A518">
        <v>9</v>
      </c>
      <c r="B518">
        <v>32</v>
      </c>
      <c r="C518" t="s">
        <v>375</v>
      </c>
      <c r="D518" t="s">
        <v>24</v>
      </c>
      <c r="E518" t="s">
        <v>31</v>
      </c>
      <c r="F518" t="s">
        <v>26</v>
      </c>
      <c r="G518" t="s">
        <v>27</v>
      </c>
    </row>
    <row r="519" spans="1:7" x14ac:dyDescent="0.2">
      <c r="A519">
        <v>9</v>
      </c>
      <c r="B519">
        <v>32</v>
      </c>
      <c r="C519" t="s">
        <v>326</v>
      </c>
      <c r="D519" t="s">
        <v>24</v>
      </c>
      <c r="E519" t="s">
        <v>31</v>
      </c>
      <c r="F519" t="s">
        <v>26</v>
      </c>
      <c r="G519" t="s">
        <v>27</v>
      </c>
    </row>
    <row r="520" spans="1:7" x14ac:dyDescent="0.2">
      <c r="A520">
        <v>9</v>
      </c>
      <c r="B520">
        <v>32</v>
      </c>
      <c r="C520" t="s">
        <v>376</v>
      </c>
      <c r="D520" t="s">
        <v>24</v>
      </c>
      <c r="E520" t="s">
        <v>31</v>
      </c>
      <c r="F520" t="s">
        <v>26</v>
      </c>
      <c r="G520" t="s">
        <v>27</v>
      </c>
    </row>
    <row r="521" spans="1:7" x14ac:dyDescent="0.2">
      <c r="A521">
        <v>9</v>
      </c>
      <c r="B521">
        <v>32</v>
      </c>
      <c r="C521" t="s">
        <v>377</v>
      </c>
      <c r="D521" t="s">
        <v>24</v>
      </c>
      <c r="E521" t="s">
        <v>31</v>
      </c>
      <c r="F521" t="s">
        <v>26</v>
      </c>
      <c r="G521" t="s">
        <v>27</v>
      </c>
    </row>
    <row r="522" spans="1:7" x14ac:dyDescent="0.2">
      <c r="A522">
        <v>9</v>
      </c>
      <c r="B522">
        <v>32</v>
      </c>
      <c r="C522" t="s">
        <v>329</v>
      </c>
      <c r="D522" t="s">
        <v>24</v>
      </c>
      <c r="E522" t="s">
        <v>31</v>
      </c>
      <c r="F522" t="s">
        <v>26</v>
      </c>
      <c r="G522" t="s">
        <v>27</v>
      </c>
    </row>
    <row r="523" spans="1:7" x14ac:dyDescent="0.2">
      <c r="A523">
        <v>10</v>
      </c>
      <c r="B523">
        <v>32</v>
      </c>
      <c r="C523" t="s">
        <v>378</v>
      </c>
      <c r="D523" t="s">
        <v>24</v>
      </c>
      <c r="E523" t="s">
        <v>31</v>
      </c>
      <c r="F523" t="s">
        <v>26</v>
      </c>
      <c r="G523" t="s">
        <v>27</v>
      </c>
    </row>
    <row r="524" spans="1:7" x14ac:dyDescent="0.2">
      <c r="A524">
        <v>10</v>
      </c>
      <c r="B524">
        <v>32</v>
      </c>
      <c r="C524" t="s">
        <v>368</v>
      </c>
      <c r="D524" t="s">
        <v>24</v>
      </c>
      <c r="E524" t="s">
        <v>31</v>
      </c>
      <c r="F524" t="s">
        <v>26</v>
      </c>
      <c r="G524" t="s">
        <v>27</v>
      </c>
    </row>
    <row r="525" spans="1:7" x14ac:dyDescent="0.2">
      <c r="A525">
        <v>10</v>
      </c>
      <c r="B525">
        <v>32</v>
      </c>
      <c r="C525" t="s">
        <v>369</v>
      </c>
      <c r="D525" t="s">
        <v>24</v>
      </c>
      <c r="E525" t="s">
        <v>31</v>
      </c>
      <c r="F525" t="s">
        <v>26</v>
      </c>
      <c r="G525" t="s">
        <v>27</v>
      </c>
    </row>
    <row r="526" spans="1:7" x14ac:dyDescent="0.2">
      <c r="A526">
        <v>10</v>
      </c>
      <c r="B526">
        <v>32</v>
      </c>
      <c r="C526" t="s">
        <v>370</v>
      </c>
      <c r="D526" t="s">
        <v>24</v>
      </c>
      <c r="E526" t="s">
        <v>31</v>
      </c>
      <c r="F526" t="s">
        <v>26</v>
      </c>
      <c r="G526" t="s">
        <v>27</v>
      </c>
    </row>
    <row r="527" spans="1:7" x14ac:dyDescent="0.2">
      <c r="A527">
        <v>10</v>
      </c>
      <c r="B527">
        <v>32</v>
      </c>
      <c r="C527" t="s">
        <v>371</v>
      </c>
      <c r="D527" t="s">
        <v>30</v>
      </c>
      <c r="E527" t="s">
        <v>31</v>
      </c>
      <c r="F527" t="s">
        <v>47</v>
      </c>
      <c r="G527" t="s">
        <v>27</v>
      </c>
    </row>
    <row r="528" spans="1:7" x14ac:dyDescent="0.2">
      <c r="A528">
        <v>10</v>
      </c>
      <c r="B528">
        <v>32</v>
      </c>
      <c r="C528" t="s">
        <v>372</v>
      </c>
      <c r="D528" t="s">
        <v>24</v>
      </c>
      <c r="E528" t="s">
        <v>31</v>
      </c>
      <c r="F528" t="s">
        <v>26</v>
      </c>
      <c r="G528" t="s">
        <v>27</v>
      </c>
    </row>
    <row r="529" spans="1:7" x14ac:dyDescent="0.2">
      <c r="A529">
        <v>10</v>
      </c>
      <c r="B529">
        <v>32</v>
      </c>
      <c r="C529" t="s">
        <v>380</v>
      </c>
      <c r="D529" t="s">
        <v>24</v>
      </c>
      <c r="E529" t="s">
        <v>31</v>
      </c>
      <c r="F529" t="s">
        <v>26</v>
      </c>
      <c r="G529" t="s">
        <v>27</v>
      </c>
    </row>
    <row r="530" spans="1:7" x14ac:dyDescent="0.2">
      <c r="A530">
        <v>10</v>
      </c>
      <c r="B530">
        <v>32</v>
      </c>
      <c r="C530" t="s">
        <v>381</v>
      </c>
      <c r="D530" t="s">
        <v>24</v>
      </c>
      <c r="E530" t="s">
        <v>31</v>
      </c>
      <c r="F530" t="s">
        <v>47</v>
      </c>
      <c r="G530" t="s">
        <v>27</v>
      </c>
    </row>
    <row r="531" spans="1:7" x14ac:dyDescent="0.2">
      <c r="A531">
        <v>10</v>
      </c>
      <c r="B531">
        <v>32</v>
      </c>
      <c r="C531" t="s">
        <v>373</v>
      </c>
      <c r="D531" t="s">
        <v>24</v>
      </c>
      <c r="E531" t="s">
        <v>31</v>
      </c>
      <c r="F531" t="s">
        <v>26</v>
      </c>
      <c r="G531" t="s">
        <v>27</v>
      </c>
    </row>
    <row r="532" spans="1:7" x14ac:dyDescent="0.2">
      <c r="A532">
        <v>11</v>
      </c>
      <c r="B532">
        <v>32</v>
      </c>
      <c r="C532" t="s">
        <v>382</v>
      </c>
      <c r="D532" t="s">
        <v>24</v>
      </c>
      <c r="E532" t="s">
        <v>25</v>
      </c>
      <c r="F532" t="s">
        <v>26</v>
      </c>
      <c r="G532" t="s">
        <v>27</v>
      </c>
    </row>
    <row r="533" spans="1:7" x14ac:dyDescent="0.2">
      <c r="A533">
        <v>11</v>
      </c>
      <c r="B533">
        <v>32</v>
      </c>
      <c r="C533" t="s">
        <v>359</v>
      </c>
      <c r="D533" t="s">
        <v>24</v>
      </c>
      <c r="E533" t="s">
        <v>25</v>
      </c>
      <c r="F533" t="s">
        <v>26</v>
      </c>
      <c r="G533" t="s">
        <v>27</v>
      </c>
    </row>
    <row r="534" spans="1:7" x14ac:dyDescent="0.2">
      <c r="A534">
        <v>11</v>
      </c>
      <c r="B534">
        <v>32</v>
      </c>
      <c r="C534" t="s">
        <v>361</v>
      </c>
      <c r="D534" t="s">
        <v>24</v>
      </c>
      <c r="E534" t="s">
        <v>25</v>
      </c>
      <c r="F534" t="s">
        <v>26</v>
      </c>
      <c r="G534" t="s">
        <v>27</v>
      </c>
    </row>
    <row r="535" spans="1:7" x14ac:dyDescent="0.2">
      <c r="A535">
        <v>11</v>
      </c>
      <c r="B535">
        <v>32</v>
      </c>
      <c r="C535" t="s">
        <v>383</v>
      </c>
      <c r="D535" t="s">
        <v>30</v>
      </c>
      <c r="E535" t="s">
        <v>25</v>
      </c>
      <c r="F535" t="s">
        <v>47</v>
      </c>
      <c r="G535" t="s">
        <v>27</v>
      </c>
    </row>
    <row r="536" spans="1:7" x14ac:dyDescent="0.2">
      <c r="A536">
        <v>11</v>
      </c>
      <c r="B536">
        <v>32</v>
      </c>
      <c r="C536" t="s">
        <v>384</v>
      </c>
      <c r="D536" t="s">
        <v>30</v>
      </c>
      <c r="E536" t="s">
        <v>25</v>
      </c>
      <c r="F536" t="s">
        <v>26</v>
      </c>
      <c r="G536" t="s">
        <v>27</v>
      </c>
    </row>
    <row r="537" spans="1:7" x14ac:dyDescent="0.2">
      <c r="A537">
        <v>11</v>
      </c>
      <c r="B537">
        <v>32</v>
      </c>
      <c r="C537" t="s">
        <v>362</v>
      </c>
      <c r="D537" t="s">
        <v>24</v>
      </c>
      <c r="E537" t="s">
        <v>25</v>
      </c>
      <c r="F537" t="s">
        <v>47</v>
      </c>
      <c r="G537" t="s">
        <v>27</v>
      </c>
    </row>
    <row r="538" spans="1:7" x14ac:dyDescent="0.2">
      <c r="A538">
        <v>11</v>
      </c>
      <c r="B538">
        <v>32</v>
      </c>
      <c r="C538" t="s">
        <v>385</v>
      </c>
      <c r="D538" t="s">
        <v>24</v>
      </c>
      <c r="E538" t="s">
        <v>25</v>
      </c>
      <c r="F538" t="s">
        <v>47</v>
      </c>
      <c r="G538" t="s">
        <v>27</v>
      </c>
    </row>
    <row r="539" spans="1:7" x14ac:dyDescent="0.2">
      <c r="A539">
        <v>12</v>
      </c>
      <c r="B539">
        <v>32</v>
      </c>
      <c r="C539" t="s">
        <v>367</v>
      </c>
      <c r="D539" t="s">
        <v>24</v>
      </c>
      <c r="E539" t="s">
        <v>31</v>
      </c>
      <c r="F539" t="s">
        <v>47</v>
      </c>
      <c r="G539" t="s">
        <v>27</v>
      </c>
    </row>
    <row r="540" spans="1:7" x14ac:dyDescent="0.2">
      <c r="A540">
        <v>12</v>
      </c>
      <c r="B540">
        <v>32</v>
      </c>
      <c r="C540" t="s">
        <v>369</v>
      </c>
      <c r="D540" t="s">
        <v>24</v>
      </c>
      <c r="E540" t="s">
        <v>31</v>
      </c>
      <c r="F540" t="s">
        <v>47</v>
      </c>
      <c r="G540" t="s">
        <v>27</v>
      </c>
    </row>
    <row r="541" spans="1:7" x14ac:dyDescent="0.2">
      <c r="A541">
        <v>12</v>
      </c>
      <c r="B541">
        <v>32</v>
      </c>
      <c r="C541" t="s">
        <v>386</v>
      </c>
      <c r="D541" t="s">
        <v>30</v>
      </c>
      <c r="E541" t="s">
        <v>31</v>
      </c>
      <c r="F541" t="s">
        <v>87</v>
      </c>
      <c r="G541" t="s">
        <v>27</v>
      </c>
    </row>
    <row r="542" spans="1:7" x14ac:dyDescent="0.2">
      <c r="A542">
        <v>13</v>
      </c>
      <c r="B542">
        <v>32</v>
      </c>
      <c r="C542" t="s">
        <v>361</v>
      </c>
      <c r="D542" t="s">
        <v>24</v>
      </c>
      <c r="E542" t="s">
        <v>31</v>
      </c>
      <c r="F542" t="s">
        <v>26</v>
      </c>
      <c r="G542" t="s">
        <v>27</v>
      </c>
    </row>
    <row r="543" spans="1:7" x14ac:dyDescent="0.2">
      <c r="A543">
        <v>13</v>
      </c>
      <c r="B543">
        <v>32</v>
      </c>
      <c r="C543" t="s">
        <v>369</v>
      </c>
      <c r="D543" t="s">
        <v>24</v>
      </c>
      <c r="E543" t="s">
        <v>31</v>
      </c>
      <c r="F543" t="s">
        <v>47</v>
      </c>
      <c r="G543" t="s">
        <v>27</v>
      </c>
    </row>
    <row r="544" spans="1:7" x14ac:dyDescent="0.2">
      <c r="A544">
        <v>13</v>
      </c>
      <c r="B544">
        <v>32</v>
      </c>
      <c r="C544" t="s">
        <v>387</v>
      </c>
      <c r="D544" t="s">
        <v>24</v>
      </c>
      <c r="E544" t="s">
        <v>31</v>
      </c>
      <c r="F544" t="s">
        <v>26</v>
      </c>
      <c r="G544" t="s">
        <v>27</v>
      </c>
    </row>
    <row r="545" spans="1:7" x14ac:dyDescent="0.2">
      <c r="A545">
        <v>13</v>
      </c>
      <c r="B545">
        <v>32</v>
      </c>
      <c r="C545" t="s">
        <v>388</v>
      </c>
      <c r="D545" t="s">
        <v>24</v>
      </c>
      <c r="E545" t="s">
        <v>31</v>
      </c>
      <c r="F545" t="s">
        <v>47</v>
      </c>
      <c r="G545" t="s">
        <v>27</v>
      </c>
    </row>
    <row r="546" spans="1:7" x14ac:dyDescent="0.2">
      <c r="A546">
        <v>14</v>
      </c>
      <c r="B546">
        <v>32</v>
      </c>
      <c r="C546" t="s">
        <v>361</v>
      </c>
      <c r="D546" t="s">
        <v>24</v>
      </c>
      <c r="E546" t="s">
        <v>31</v>
      </c>
      <c r="F546" t="s">
        <v>47</v>
      </c>
      <c r="G546" t="s">
        <v>27</v>
      </c>
    </row>
    <row r="547" spans="1:7" x14ac:dyDescent="0.2">
      <c r="A547">
        <v>14</v>
      </c>
      <c r="B547">
        <v>32</v>
      </c>
      <c r="C547" t="s">
        <v>389</v>
      </c>
      <c r="D547" t="s">
        <v>24</v>
      </c>
      <c r="E547" t="s">
        <v>31</v>
      </c>
      <c r="F547" t="s">
        <v>47</v>
      </c>
      <c r="G547" t="s">
        <v>27</v>
      </c>
    </row>
    <row r="548" spans="1:7" x14ac:dyDescent="0.2">
      <c r="A548">
        <v>14</v>
      </c>
      <c r="B548">
        <v>32</v>
      </c>
      <c r="C548" t="s">
        <v>373</v>
      </c>
      <c r="D548" t="s">
        <v>24</v>
      </c>
      <c r="E548" t="s">
        <v>31</v>
      </c>
      <c r="F548" t="s">
        <v>26</v>
      </c>
      <c r="G548" t="s">
        <v>27</v>
      </c>
    </row>
    <row r="549" spans="1:7" x14ac:dyDescent="0.2">
      <c r="A549">
        <v>14</v>
      </c>
      <c r="B549">
        <v>32</v>
      </c>
      <c r="C549" t="s">
        <v>390</v>
      </c>
      <c r="D549" t="s">
        <v>30</v>
      </c>
      <c r="E549" t="s">
        <v>31</v>
      </c>
      <c r="F549" t="s">
        <v>47</v>
      </c>
      <c r="G549" t="s">
        <v>27</v>
      </c>
    </row>
    <row r="550" spans="1:7" x14ac:dyDescent="0.2">
      <c r="A550">
        <v>14</v>
      </c>
      <c r="B550">
        <v>32</v>
      </c>
      <c r="C550" t="s">
        <v>391</v>
      </c>
      <c r="D550" t="s">
        <v>24</v>
      </c>
      <c r="E550" t="s">
        <v>256</v>
      </c>
      <c r="F550" t="s">
        <v>47</v>
      </c>
      <c r="G550" t="s">
        <v>27</v>
      </c>
    </row>
    <row r="551" spans="1:7" x14ac:dyDescent="0.2">
      <c r="A551">
        <v>14</v>
      </c>
      <c r="B551">
        <v>32</v>
      </c>
      <c r="C551" t="s">
        <v>332</v>
      </c>
      <c r="D551" t="s">
        <v>24</v>
      </c>
      <c r="E551" t="s">
        <v>31</v>
      </c>
      <c r="F551" t="s">
        <v>26</v>
      </c>
      <c r="G551" t="s">
        <v>27</v>
      </c>
    </row>
    <row r="552" spans="1:7" x14ac:dyDescent="0.2">
      <c r="A552">
        <v>14</v>
      </c>
      <c r="B552">
        <v>32</v>
      </c>
      <c r="C552" t="s">
        <v>392</v>
      </c>
      <c r="D552" t="s">
        <v>24</v>
      </c>
      <c r="E552" t="s">
        <v>31</v>
      </c>
      <c r="F552" t="s">
        <v>26</v>
      </c>
      <c r="G552" t="s">
        <v>27</v>
      </c>
    </row>
    <row r="553" spans="1:7" x14ac:dyDescent="0.2">
      <c r="A553">
        <v>14</v>
      </c>
      <c r="B553">
        <v>32</v>
      </c>
      <c r="C553" t="s">
        <v>393</v>
      </c>
      <c r="D553" t="s">
        <v>24</v>
      </c>
      <c r="E553" t="s">
        <v>31</v>
      </c>
      <c r="F553" t="s">
        <v>26</v>
      </c>
      <c r="G553" t="s">
        <v>27</v>
      </c>
    </row>
    <row r="554" spans="1:7" x14ac:dyDescent="0.2">
      <c r="A554">
        <v>14</v>
      </c>
      <c r="B554">
        <v>32</v>
      </c>
      <c r="C554" t="s">
        <v>293</v>
      </c>
      <c r="D554" t="s">
        <v>24</v>
      </c>
      <c r="E554" t="s">
        <v>31</v>
      </c>
      <c r="F554" t="s">
        <v>26</v>
      </c>
      <c r="G554" t="s">
        <v>27</v>
      </c>
    </row>
    <row r="555" spans="1:7" x14ac:dyDescent="0.2">
      <c r="A555">
        <v>14</v>
      </c>
      <c r="B555">
        <v>32</v>
      </c>
      <c r="C555" t="s">
        <v>287</v>
      </c>
      <c r="D555" t="s">
        <v>24</v>
      </c>
      <c r="E555" t="s">
        <v>31</v>
      </c>
      <c r="F555" t="s">
        <v>26</v>
      </c>
      <c r="G555" t="s">
        <v>27</v>
      </c>
    </row>
    <row r="556" spans="1:7" x14ac:dyDescent="0.2">
      <c r="A556">
        <v>14</v>
      </c>
      <c r="B556">
        <v>32</v>
      </c>
      <c r="C556" t="s">
        <v>394</v>
      </c>
      <c r="D556" t="s">
        <v>24</v>
      </c>
      <c r="E556" t="s">
        <v>31</v>
      </c>
      <c r="F556" t="s">
        <v>26</v>
      </c>
      <c r="G556" t="s">
        <v>27</v>
      </c>
    </row>
    <row r="557" spans="1:7" x14ac:dyDescent="0.2">
      <c r="A557">
        <v>15</v>
      </c>
      <c r="B557">
        <v>32</v>
      </c>
      <c r="C557" t="s">
        <v>395</v>
      </c>
      <c r="D557" t="s">
        <v>24</v>
      </c>
      <c r="E557" t="s">
        <v>31</v>
      </c>
      <c r="F557" t="s">
        <v>26</v>
      </c>
      <c r="G557" t="s">
        <v>27</v>
      </c>
    </row>
    <row r="558" spans="1:7" x14ac:dyDescent="0.2">
      <c r="A558">
        <v>15</v>
      </c>
      <c r="B558">
        <v>32</v>
      </c>
      <c r="C558" t="s">
        <v>361</v>
      </c>
      <c r="D558" t="s">
        <v>24</v>
      </c>
      <c r="E558" t="s">
        <v>31</v>
      </c>
      <c r="F558" t="s">
        <v>26</v>
      </c>
      <c r="G558" t="s">
        <v>27</v>
      </c>
    </row>
    <row r="559" spans="1:7" x14ac:dyDescent="0.2">
      <c r="A559">
        <v>15</v>
      </c>
      <c r="B559">
        <v>32</v>
      </c>
      <c r="C559" t="s">
        <v>373</v>
      </c>
      <c r="D559" t="s">
        <v>24</v>
      </c>
      <c r="E559" t="s">
        <v>31</v>
      </c>
      <c r="F559" t="s">
        <v>26</v>
      </c>
      <c r="G559" t="s">
        <v>27</v>
      </c>
    </row>
    <row r="560" spans="1:7" x14ac:dyDescent="0.2">
      <c r="A560">
        <v>16</v>
      </c>
      <c r="B560">
        <v>32</v>
      </c>
      <c r="C560" t="s">
        <v>369</v>
      </c>
      <c r="D560" t="s">
        <v>24</v>
      </c>
      <c r="E560" t="s">
        <v>31</v>
      </c>
      <c r="F560" t="s">
        <v>47</v>
      </c>
      <c r="G560" t="s">
        <v>27</v>
      </c>
    </row>
    <row r="561" spans="1:7" x14ac:dyDescent="0.2">
      <c r="A561">
        <v>16</v>
      </c>
      <c r="B561">
        <v>32</v>
      </c>
      <c r="C561" t="s">
        <v>396</v>
      </c>
      <c r="D561" t="s">
        <v>24</v>
      </c>
      <c r="E561" t="s">
        <v>31</v>
      </c>
      <c r="F561" t="s">
        <v>47</v>
      </c>
      <c r="G561" t="s">
        <v>27</v>
      </c>
    </row>
    <row r="562" spans="1:7" x14ac:dyDescent="0.2">
      <c r="A562">
        <v>16</v>
      </c>
      <c r="B562">
        <v>32</v>
      </c>
      <c r="C562" t="s">
        <v>397</v>
      </c>
      <c r="D562" t="s">
        <v>24</v>
      </c>
      <c r="E562" t="s">
        <v>31</v>
      </c>
      <c r="F562" t="s">
        <v>47</v>
      </c>
      <c r="G562" t="s">
        <v>27</v>
      </c>
    </row>
    <row r="563" spans="1:7" x14ac:dyDescent="0.2">
      <c r="A563">
        <v>16</v>
      </c>
      <c r="B563">
        <v>32</v>
      </c>
      <c r="C563" t="s">
        <v>398</v>
      </c>
      <c r="D563" t="s">
        <v>24</v>
      </c>
      <c r="E563" t="s">
        <v>31</v>
      </c>
      <c r="F563" t="s">
        <v>47</v>
      </c>
      <c r="G563" t="s">
        <v>27</v>
      </c>
    </row>
    <row r="564" spans="1:7" x14ac:dyDescent="0.2">
      <c r="A564">
        <v>16</v>
      </c>
      <c r="B564">
        <v>32</v>
      </c>
      <c r="C564" t="s">
        <v>399</v>
      </c>
      <c r="D564" t="s">
        <v>24</v>
      </c>
      <c r="E564" t="s">
        <v>31</v>
      </c>
      <c r="F564" t="s">
        <v>47</v>
      </c>
      <c r="G564" t="s">
        <v>27</v>
      </c>
    </row>
    <row r="565" spans="1:7" x14ac:dyDescent="0.2">
      <c r="A565">
        <v>17</v>
      </c>
      <c r="B565">
        <v>32</v>
      </c>
      <c r="C565" t="s">
        <v>361</v>
      </c>
      <c r="D565" t="s">
        <v>24</v>
      </c>
      <c r="E565" t="s">
        <v>31</v>
      </c>
      <c r="F565" t="s">
        <v>26</v>
      </c>
      <c r="G565" t="s">
        <v>27</v>
      </c>
    </row>
    <row r="566" spans="1:7" x14ac:dyDescent="0.2">
      <c r="A566">
        <v>17</v>
      </c>
      <c r="B566">
        <v>32</v>
      </c>
      <c r="C566" t="s">
        <v>400</v>
      </c>
      <c r="D566" t="s">
        <v>24</v>
      </c>
      <c r="E566" t="s">
        <v>31</v>
      </c>
      <c r="F566" t="s">
        <v>47</v>
      </c>
      <c r="G566" t="s">
        <v>27</v>
      </c>
    </row>
    <row r="567" spans="1:7" x14ac:dyDescent="0.2">
      <c r="A567">
        <v>17</v>
      </c>
      <c r="B567">
        <v>32</v>
      </c>
      <c r="C567" t="s">
        <v>401</v>
      </c>
      <c r="D567" t="s">
        <v>24</v>
      </c>
      <c r="E567" t="s">
        <v>31</v>
      </c>
      <c r="F567" t="s">
        <v>87</v>
      </c>
      <c r="G567" t="s">
        <v>27</v>
      </c>
    </row>
    <row r="568" spans="1:7" x14ac:dyDescent="0.2">
      <c r="A568">
        <v>17</v>
      </c>
      <c r="B568">
        <v>32</v>
      </c>
      <c r="C568" t="s">
        <v>373</v>
      </c>
      <c r="D568" t="s">
        <v>24</v>
      </c>
      <c r="E568" t="s">
        <v>31</v>
      </c>
      <c r="F568" t="s">
        <v>26</v>
      </c>
      <c r="G568" t="s">
        <v>27</v>
      </c>
    </row>
    <row r="569" spans="1:7" x14ac:dyDescent="0.2">
      <c r="A569">
        <v>17</v>
      </c>
      <c r="B569">
        <v>32</v>
      </c>
      <c r="C569" t="s">
        <v>402</v>
      </c>
      <c r="D569" t="s">
        <v>24</v>
      </c>
      <c r="E569" t="s">
        <v>31</v>
      </c>
      <c r="F569" t="s">
        <v>47</v>
      </c>
      <c r="G569" t="s">
        <v>27</v>
      </c>
    </row>
    <row r="570" spans="1:7" x14ac:dyDescent="0.2">
      <c r="A570">
        <v>17</v>
      </c>
      <c r="B570">
        <v>32</v>
      </c>
      <c r="C570" t="s">
        <v>403</v>
      </c>
      <c r="D570" t="s">
        <v>24</v>
      </c>
      <c r="E570" t="s">
        <v>31</v>
      </c>
      <c r="F570" t="s">
        <v>47</v>
      </c>
      <c r="G570" t="s">
        <v>27</v>
      </c>
    </row>
    <row r="571" spans="1:7" x14ac:dyDescent="0.2">
      <c r="A571">
        <v>17</v>
      </c>
      <c r="B571">
        <v>32</v>
      </c>
      <c r="C571" t="s">
        <v>404</v>
      </c>
      <c r="D571" t="s">
        <v>24</v>
      </c>
      <c r="E571" t="s">
        <v>31</v>
      </c>
      <c r="F571" t="s">
        <v>47</v>
      </c>
      <c r="G571" t="s">
        <v>27</v>
      </c>
    </row>
    <row r="572" spans="1:7" x14ac:dyDescent="0.2">
      <c r="A572">
        <v>17</v>
      </c>
      <c r="B572">
        <v>32</v>
      </c>
      <c r="C572" t="s">
        <v>405</v>
      </c>
      <c r="D572" t="s">
        <v>30</v>
      </c>
      <c r="E572" t="s">
        <v>31</v>
      </c>
      <c r="F572" t="s">
        <v>47</v>
      </c>
      <c r="G572" t="s">
        <v>27</v>
      </c>
    </row>
    <row r="573" spans="1:7" x14ac:dyDescent="0.2">
      <c r="A573">
        <v>17</v>
      </c>
      <c r="B573">
        <v>32</v>
      </c>
      <c r="C573" t="s">
        <v>406</v>
      </c>
      <c r="D573" t="s">
        <v>24</v>
      </c>
      <c r="E573" t="s">
        <v>31</v>
      </c>
      <c r="F573" t="s">
        <v>47</v>
      </c>
      <c r="G573" t="s">
        <v>27</v>
      </c>
    </row>
    <row r="574" spans="1:7" x14ac:dyDescent="0.2">
      <c r="A574">
        <v>17</v>
      </c>
      <c r="B574">
        <v>32</v>
      </c>
      <c r="C574" t="s">
        <v>342</v>
      </c>
      <c r="D574" t="s">
        <v>24</v>
      </c>
      <c r="E574" t="s">
        <v>31</v>
      </c>
      <c r="F574" t="s">
        <v>26</v>
      </c>
      <c r="G574" t="s">
        <v>27</v>
      </c>
    </row>
    <row r="575" spans="1:7" x14ac:dyDescent="0.2">
      <c r="A575">
        <v>17</v>
      </c>
      <c r="B575">
        <v>32</v>
      </c>
      <c r="C575" t="s">
        <v>407</v>
      </c>
      <c r="D575" t="s">
        <v>24</v>
      </c>
      <c r="E575" t="s">
        <v>31</v>
      </c>
      <c r="F575" t="s">
        <v>26</v>
      </c>
      <c r="G575" t="s">
        <v>27</v>
      </c>
    </row>
    <row r="576" spans="1:7" x14ac:dyDescent="0.2">
      <c r="A576">
        <v>18</v>
      </c>
      <c r="B576">
        <v>32</v>
      </c>
      <c r="C576" t="s">
        <v>370</v>
      </c>
      <c r="D576" t="s">
        <v>24</v>
      </c>
      <c r="E576" t="s">
        <v>31</v>
      </c>
      <c r="F576" t="s">
        <v>26</v>
      </c>
      <c r="G576" t="s">
        <v>27</v>
      </c>
    </row>
    <row r="577" spans="1:7" x14ac:dyDescent="0.2">
      <c r="A577">
        <v>18</v>
      </c>
      <c r="B577">
        <v>32</v>
      </c>
      <c r="C577" t="s">
        <v>408</v>
      </c>
      <c r="D577" t="s">
        <v>24</v>
      </c>
      <c r="E577" t="s">
        <v>31</v>
      </c>
      <c r="F577" t="s">
        <v>26</v>
      </c>
      <c r="G577" t="s">
        <v>27</v>
      </c>
    </row>
    <row r="578" spans="1:7" x14ac:dyDescent="0.2">
      <c r="A578">
        <v>18</v>
      </c>
      <c r="B578">
        <v>32</v>
      </c>
      <c r="C578" t="s">
        <v>373</v>
      </c>
      <c r="D578" t="s">
        <v>24</v>
      </c>
      <c r="E578" t="s">
        <v>31</v>
      </c>
      <c r="F578" t="s">
        <v>26</v>
      </c>
      <c r="G578" t="s">
        <v>27</v>
      </c>
    </row>
    <row r="579" spans="1:7" x14ac:dyDescent="0.2">
      <c r="A579">
        <v>18</v>
      </c>
      <c r="B579">
        <v>32</v>
      </c>
      <c r="C579" t="s">
        <v>409</v>
      </c>
      <c r="D579" t="s">
        <v>24</v>
      </c>
      <c r="E579" t="s">
        <v>31</v>
      </c>
      <c r="F579" t="s">
        <v>47</v>
      </c>
      <c r="G579" t="s">
        <v>27</v>
      </c>
    </row>
    <row r="580" spans="1:7" x14ac:dyDescent="0.2">
      <c r="A580">
        <v>18</v>
      </c>
      <c r="B580">
        <v>32</v>
      </c>
      <c r="C580" t="s">
        <v>410</v>
      </c>
      <c r="D580" t="s">
        <v>24</v>
      </c>
      <c r="E580" t="s">
        <v>31</v>
      </c>
      <c r="F580" t="s">
        <v>26</v>
      </c>
      <c r="G580" t="s">
        <v>27</v>
      </c>
    </row>
    <row r="581" spans="1:7" x14ac:dyDescent="0.2">
      <c r="A581">
        <v>18</v>
      </c>
      <c r="B581">
        <v>32</v>
      </c>
      <c r="C581" t="s">
        <v>411</v>
      </c>
      <c r="D581" t="s">
        <v>24</v>
      </c>
      <c r="E581" t="s">
        <v>31</v>
      </c>
      <c r="F581" t="s">
        <v>26</v>
      </c>
      <c r="G581" t="s">
        <v>27</v>
      </c>
    </row>
    <row r="582" spans="1:7" x14ac:dyDescent="0.2">
      <c r="A582">
        <v>18</v>
      </c>
      <c r="B582">
        <v>32</v>
      </c>
      <c r="C582" t="s">
        <v>375</v>
      </c>
      <c r="D582" t="s">
        <v>24</v>
      </c>
      <c r="E582" t="s">
        <v>31</v>
      </c>
      <c r="F582" t="s">
        <v>26</v>
      </c>
      <c r="G582" t="s">
        <v>27</v>
      </c>
    </row>
    <row r="583" spans="1:7" x14ac:dyDescent="0.2">
      <c r="A583">
        <v>19</v>
      </c>
      <c r="B583">
        <v>32</v>
      </c>
      <c r="C583" t="s">
        <v>370</v>
      </c>
      <c r="D583" t="s">
        <v>24</v>
      </c>
      <c r="E583" t="s">
        <v>25</v>
      </c>
      <c r="F583" t="s">
        <v>26</v>
      </c>
      <c r="G583" t="s">
        <v>27</v>
      </c>
    </row>
    <row r="584" spans="1:7" x14ac:dyDescent="0.2">
      <c r="A584">
        <v>19</v>
      </c>
      <c r="B584">
        <v>32</v>
      </c>
      <c r="C584" t="s">
        <v>412</v>
      </c>
      <c r="D584" t="s">
        <v>24</v>
      </c>
      <c r="E584" t="s">
        <v>25</v>
      </c>
      <c r="F584" t="s">
        <v>26</v>
      </c>
      <c r="G584" t="s">
        <v>27</v>
      </c>
    </row>
    <row r="585" spans="1:7" x14ac:dyDescent="0.2">
      <c r="A585">
        <v>19</v>
      </c>
      <c r="B585">
        <v>32</v>
      </c>
      <c r="C585" t="s">
        <v>413</v>
      </c>
      <c r="D585" t="s">
        <v>24</v>
      </c>
      <c r="E585" t="s">
        <v>25</v>
      </c>
      <c r="F585" t="s">
        <v>47</v>
      </c>
      <c r="G585" t="s">
        <v>27</v>
      </c>
    </row>
    <row r="586" spans="1:7" x14ac:dyDescent="0.2">
      <c r="A586">
        <v>19</v>
      </c>
      <c r="B586">
        <v>32</v>
      </c>
      <c r="C586" t="s">
        <v>414</v>
      </c>
      <c r="D586" t="s">
        <v>24</v>
      </c>
      <c r="E586" t="s">
        <v>25</v>
      </c>
      <c r="F586" t="s">
        <v>47</v>
      </c>
      <c r="G586" t="s">
        <v>27</v>
      </c>
    </row>
    <row r="587" spans="1:7" x14ac:dyDescent="0.2">
      <c r="A587">
        <v>19</v>
      </c>
      <c r="B587">
        <v>32</v>
      </c>
      <c r="C587" t="s">
        <v>326</v>
      </c>
      <c r="D587" t="s">
        <v>24</v>
      </c>
      <c r="E587" t="s">
        <v>25</v>
      </c>
      <c r="F587" t="s">
        <v>26</v>
      </c>
      <c r="G587" t="s">
        <v>27</v>
      </c>
    </row>
    <row r="588" spans="1:7" x14ac:dyDescent="0.2">
      <c r="A588">
        <v>19</v>
      </c>
      <c r="B588">
        <v>32</v>
      </c>
      <c r="C588" t="s">
        <v>415</v>
      </c>
      <c r="D588" t="s">
        <v>24</v>
      </c>
      <c r="E588" t="s">
        <v>25</v>
      </c>
      <c r="F588" t="s">
        <v>47</v>
      </c>
      <c r="G588" t="s">
        <v>27</v>
      </c>
    </row>
    <row r="589" spans="1:7" x14ac:dyDescent="0.2">
      <c r="A589">
        <v>19</v>
      </c>
      <c r="B589">
        <v>32</v>
      </c>
      <c r="C589" t="s">
        <v>375</v>
      </c>
      <c r="D589" t="s">
        <v>24</v>
      </c>
      <c r="E589" t="s">
        <v>25</v>
      </c>
      <c r="F589" t="s">
        <v>47</v>
      </c>
      <c r="G589" t="s">
        <v>27</v>
      </c>
    </row>
    <row r="590" spans="1:7" x14ac:dyDescent="0.2">
      <c r="A590">
        <v>19</v>
      </c>
      <c r="B590">
        <v>32</v>
      </c>
      <c r="C590" t="s">
        <v>349</v>
      </c>
      <c r="D590" t="s">
        <v>24</v>
      </c>
      <c r="E590" t="s">
        <v>25</v>
      </c>
      <c r="F590" t="s">
        <v>47</v>
      </c>
      <c r="G590" t="s">
        <v>27</v>
      </c>
    </row>
    <row r="591" spans="1:7" x14ac:dyDescent="0.2">
      <c r="A591">
        <v>20</v>
      </c>
      <c r="B591">
        <v>32</v>
      </c>
      <c r="C591" t="s">
        <v>416</v>
      </c>
      <c r="D591" t="s">
        <v>30</v>
      </c>
      <c r="E591" t="s">
        <v>31</v>
      </c>
      <c r="F591" t="s">
        <v>26</v>
      </c>
      <c r="G591" t="s">
        <v>27</v>
      </c>
    </row>
    <row r="592" spans="1:7" x14ac:dyDescent="0.2">
      <c r="A592">
        <v>20</v>
      </c>
      <c r="B592">
        <v>32</v>
      </c>
      <c r="C592" t="s">
        <v>417</v>
      </c>
      <c r="D592" t="s">
        <v>24</v>
      </c>
      <c r="E592" t="s">
        <v>31</v>
      </c>
      <c r="F592" t="s">
        <v>26</v>
      </c>
      <c r="G592" t="s">
        <v>27</v>
      </c>
    </row>
    <row r="593" spans="1:7" x14ac:dyDescent="0.2">
      <c r="A593">
        <v>20</v>
      </c>
      <c r="B593">
        <v>32</v>
      </c>
      <c r="C593" t="s">
        <v>370</v>
      </c>
      <c r="D593" t="s">
        <v>24</v>
      </c>
      <c r="E593" t="s">
        <v>31</v>
      </c>
      <c r="F593" t="s">
        <v>26</v>
      </c>
      <c r="G593" t="s">
        <v>27</v>
      </c>
    </row>
    <row r="594" spans="1:7" x14ac:dyDescent="0.2">
      <c r="A594">
        <v>20</v>
      </c>
      <c r="B594">
        <v>32</v>
      </c>
      <c r="C594" t="s">
        <v>408</v>
      </c>
      <c r="D594" t="s">
        <v>24</v>
      </c>
      <c r="E594" t="s">
        <v>31</v>
      </c>
      <c r="F594" t="s">
        <v>47</v>
      </c>
      <c r="G594" t="s">
        <v>27</v>
      </c>
    </row>
    <row r="595" spans="1:7" x14ac:dyDescent="0.2">
      <c r="A595">
        <v>20</v>
      </c>
      <c r="B595">
        <v>32</v>
      </c>
      <c r="C595" t="s">
        <v>377</v>
      </c>
      <c r="D595" t="s">
        <v>24</v>
      </c>
      <c r="E595" t="s">
        <v>31</v>
      </c>
      <c r="F595" t="s">
        <v>47</v>
      </c>
      <c r="G595" t="s">
        <v>27</v>
      </c>
    </row>
    <row r="596" spans="1:7" x14ac:dyDescent="0.2">
      <c r="A596">
        <v>20</v>
      </c>
      <c r="B596">
        <v>32</v>
      </c>
      <c r="C596" t="s">
        <v>418</v>
      </c>
      <c r="D596" t="s">
        <v>24</v>
      </c>
      <c r="E596" t="s">
        <v>31</v>
      </c>
      <c r="F596" t="s">
        <v>47</v>
      </c>
      <c r="G596" t="s">
        <v>27</v>
      </c>
    </row>
    <row r="597" spans="1:7" x14ac:dyDescent="0.2">
      <c r="A597">
        <v>20</v>
      </c>
      <c r="B597">
        <v>32</v>
      </c>
      <c r="C597" t="s">
        <v>419</v>
      </c>
      <c r="D597" t="s">
        <v>24</v>
      </c>
      <c r="E597" t="s">
        <v>31</v>
      </c>
      <c r="F597" t="s">
        <v>47</v>
      </c>
      <c r="G597" t="s">
        <v>27</v>
      </c>
    </row>
    <row r="598" spans="1:7" x14ac:dyDescent="0.2">
      <c r="A598">
        <v>20</v>
      </c>
      <c r="B598">
        <v>32</v>
      </c>
      <c r="C598" t="s">
        <v>369</v>
      </c>
      <c r="D598" t="s">
        <v>24</v>
      </c>
      <c r="E598" t="s">
        <v>31</v>
      </c>
      <c r="F598" t="s">
        <v>47</v>
      </c>
      <c r="G598" t="s">
        <v>27</v>
      </c>
    </row>
    <row r="599" spans="1:7" x14ac:dyDescent="0.2">
      <c r="A599">
        <v>20</v>
      </c>
      <c r="B599">
        <v>32</v>
      </c>
      <c r="C599" t="s">
        <v>373</v>
      </c>
      <c r="D599" t="s">
        <v>24</v>
      </c>
      <c r="E599" t="s">
        <v>31</v>
      </c>
      <c r="F599" t="s">
        <v>26</v>
      </c>
      <c r="G599" t="s">
        <v>27</v>
      </c>
    </row>
    <row r="600" spans="1:7" x14ac:dyDescent="0.2">
      <c r="A600">
        <v>20</v>
      </c>
      <c r="B600">
        <v>32</v>
      </c>
      <c r="C600" t="s">
        <v>420</v>
      </c>
      <c r="D600" t="s">
        <v>24</v>
      </c>
      <c r="E600" t="s">
        <v>31</v>
      </c>
      <c r="F600" t="s">
        <v>47</v>
      </c>
      <c r="G600" t="s">
        <v>27</v>
      </c>
    </row>
    <row r="601" spans="1:7" x14ac:dyDescent="0.2">
      <c r="A601">
        <v>20</v>
      </c>
      <c r="B601">
        <v>32</v>
      </c>
      <c r="C601" t="s">
        <v>421</v>
      </c>
      <c r="D601" t="s">
        <v>24</v>
      </c>
      <c r="E601" t="s">
        <v>31</v>
      </c>
      <c r="F601" t="s">
        <v>47</v>
      </c>
      <c r="G601" t="s">
        <v>27</v>
      </c>
    </row>
    <row r="602" spans="1:7" x14ac:dyDescent="0.2">
      <c r="A602">
        <v>20</v>
      </c>
      <c r="B602">
        <v>32</v>
      </c>
      <c r="C602" t="s">
        <v>422</v>
      </c>
      <c r="D602" t="s">
        <v>24</v>
      </c>
      <c r="E602" t="s">
        <v>31</v>
      </c>
      <c r="F602" t="s">
        <v>47</v>
      </c>
      <c r="G602" t="s">
        <v>27</v>
      </c>
    </row>
    <row r="603" spans="1:7" x14ac:dyDescent="0.2">
      <c r="A603">
        <v>20</v>
      </c>
      <c r="B603">
        <v>32</v>
      </c>
      <c r="C603" t="s">
        <v>423</v>
      </c>
      <c r="D603" t="s">
        <v>24</v>
      </c>
      <c r="E603" t="s">
        <v>31</v>
      </c>
      <c r="F603" t="s">
        <v>47</v>
      </c>
      <c r="G603" t="s">
        <v>27</v>
      </c>
    </row>
    <row r="604" spans="1:7" x14ac:dyDescent="0.2">
      <c r="A604">
        <v>20</v>
      </c>
      <c r="B604">
        <v>32</v>
      </c>
      <c r="C604" t="s">
        <v>424</v>
      </c>
      <c r="D604" t="s">
        <v>24</v>
      </c>
      <c r="E604" t="s">
        <v>31</v>
      </c>
      <c r="F604" t="s">
        <v>47</v>
      </c>
      <c r="G604" t="s">
        <v>27</v>
      </c>
    </row>
    <row r="605" spans="1:7" x14ac:dyDescent="0.2">
      <c r="A605">
        <v>20</v>
      </c>
      <c r="B605">
        <v>32</v>
      </c>
      <c r="C605" t="s">
        <v>425</v>
      </c>
      <c r="D605" t="s">
        <v>24</v>
      </c>
      <c r="E605" t="s">
        <v>31</v>
      </c>
      <c r="F605" t="s">
        <v>26</v>
      </c>
      <c r="G605" t="s">
        <v>27</v>
      </c>
    </row>
    <row r="606" spans="1:7" x14ac:dyDescent="0.2">
      <c r="A606">
        <v>20</v>
      </c>
      <c r="B606">
        <v>32</v>
      </c>
      <c r="C606" t="s">
        <v>326</v>
      </c>
      <c r="D606" t="s">
        <v>24</v>
      </c>
      <c r="E606" t="s">
        <v>31</v>
      </c>
      <c r="F606" t="s">
        <v>26</v>
      </c>
      <c r="G606" t="s">
        <v>27</v>
      </c>
    </row>
    <row r="607" spans="1:7" x14ac:dyDescent="0.2">
      <c r="A607">
        <v>20</v>
      </c>
      <c r="B607">
        <v>32</v>
      </c>
      <c r="C607" t="s">
        <v>327</v>
      </c>
      <c r="D607" t="s">
        <v>24</v>
      </c>
      <c r="E607" t="s">
        <v>31</v>
      </c>
      <c r="F607" t="s">
        <v>26</v>
      </c>
      <c r="G607" t="s">
        <v>27</v>
      </c>
    </row>
    <row r="608" spans="1:7" x14ac:dyDescent="0.2">
      <c r="A608">
        <v>20</v>
      </c>
      <c r="B608">
        <v>32</v>
      </c>
      <c r="C608" t="s">
        <v>426</v>
      </c>
      <c r="D608" t="s">
        <v>24</v>
      </c>
      <c r="E608" t="s">
        <v>31</v>
      </c>
      <c r="F608" t="s">
        <v>26</v>
      </c>
      <c r="G608" t="s">
        <v>27</v>
      </c>
    </row>
    <row r="609" spans="1:7" x14ac:dyDescent="0.2">
      <c r="A609">
        <v>20</v>
      </c>
      <c r="B609">
        <v>32</v>
      </c>
      <c r="C609" t="s">
        <v>375</v>
      </c>
      <c r="D609" t="s">
        <v>30</v>
      </c>
      <c r="E609" t="s">
        <v>31</v>
      </c>
      <c r="F609" t="s">
        <v>26</v>
      </c>
      <c r="G609" t="s">
        <v>27</v>
      </c>
    </row>
    <row r="610" spans="1:7" x14ac:dyDescent="0.2">
      <c r="A610">
        <v>20</v>
      </c>
      <c r="B610">
        <v>32</v>
      </c>
      <c r="C610" t="s">
        <v>349</v>
      </c>
      <c r="D610" t="s">
        <v>24</v>
      </c>
      <c r="E610" t="s">
        <v>31</v>
      </c>
      <c r="F610" t="s">
        <v>26</v>
      </c>
      <c r="G610" t="s">
        <v>27</v>
      </c>
    </row>
    <row r="611" spans="1:7" x14ac:dyDescent="0.2">
      <c r="A611">
        <v>21</v>
      </c>
      <c r="B611">
        <v>32</v>
      </c>
      <c r="C611" t="s">
        <v>416</v>
      </c>
      <c r="D611" t="s">
        <v>30</v>
      </c>
      <c r="E611" t="s">
        <v>31</v>
      </c>
      <c r="F611" t="s">
        <v>26</v>
      </c>
      <c r="G611" t="s">
        <v>27</v>
      </c>
    </row>
    <row r="612" spans="1:7" x14ac:dyDescent="0.2">
      <c r="A612">
        <v>21</v>
      </c>
      <c r="B612">
        <v>32</v>
      </c>
      <c r="C612" t="s">
        <v>370</v>
      </c>
      <c r="D612" t="s">
        <v>24</v>
      </c>
      <c r="E612" t="s">
        <v>31</v>
      </c>
      <c r="F612" t="s">
        <v>26</v>
      </c>
      <c r="G612" t="s">
        <v>27</v>
      </c>
    </row>
    <row r="613" spans="1:7" x14ac:dyDescent="0.2">
      <c r="A613">
        <v>21</v>
      </c>
      <c r="B613">
        <v>32</v>
      </c>
      <c r="C613" t="s">
        <v>377</v>
      </c>
      <c r="D613" t="s">
        <v>24</v>
      </c>
      <c r="E613" t="s">
        <v>31</v>
      </c>
      <c r="F613" t="s">
        <v>47</v>
      </c>
      <c r="G613" t="s">
        <v>27</v>
      </c>
    </row>
    <row r="614" spans="1:7" x14ac:dyDescent="0.2">
      <c r="A614">
        <v>21</v>
      </c>
      <c r="B614">
        <v>32</v>
      </c>
      <c r="C614" t="s">
        <v>373</v>
      </c>
      <c r="D614" t="s">
        <v>24</v>
      </c>
      <c r="E614" t="s">
        <v>31</v>
      </c>
      <c r="F614" t="s">
        <v>26</v>
      </c>
      <c r="G614" t="s">
        <v>27</v>
      </c>
    </row>
    <row r="615" spans="1:7" x14ac:dyDescent="0.2">
      <c r="A615">
        <v>21</v>
      </c>
      <c r="B615">
        <v>32</v>
      </c>
      <c r="C615" t="s">
        <v>375</v>
      </c>
      <c r="D615" t="s">
        <v>30</v>
      </c>
      <c r="E615" t="s">
        <v>31</v>
      </c>
      <c r="F615" t="s">
        <v>26</v>
      </c>
      <c r="G615" t="s">
        <v>27</v>
      </c>
    </row>
    <row r="616" spans="1:7" x14ac:dyDescent="0.2">
      <c r="A616">
        <v>21</v>
      </c>
      <c r="B616">
        <v>32</v>
      </c>
      <c r="C616" t="s">
        <v>349</v>
      </c>
      <c r="D616" t="s">
        <v>24</v>
      </c>
      <c r="E616" t="s">
        <v>31</v>
      </c>
      <c r="F616" t="s">
        <v>26</v>
      </c>
      <c r="G616" t="s">
        <v>27</v>
      </c>
    </row>
    <row r="617" spans="1:7" x14ac:dyDescent="0.2">
      <c r="A617">
        <v>22</v>
      </c>
      <c r="B617">
        <v>32</v>
      </c>
      <c r="C617" t="s">
        <v>416</v>
      </c>
      <c r="D617" t="s">
        <v>24</v>
      </c>
      <c r="E617" t="s">
        <v>25</v>
      </c>
      <c r="F617" t="s">
        <v>26</v>
      </c>
      <c r="G617" t="s">
        <v>27</v>
      </c>
    </row>
    <row r="618" spans="1:7" x14ac:dyDescent="0.2">
      <c r="A618">
        <v>22</v>
      </c>
      <c r="B618">
        <v>32</v>
      </c>
      <c r="C618" t="s">
        <v>370</v>
      </c>
      <c r="D618" t="s">
        <v>24</v>
      </c>
      <c r="E618" t="s">
        <v>25</v>
      </c>
      <c r="F618" t="s">
        <v>26</v>
      </c>
      <c r="G618" t="s">
        <v>27</v>
      </c>
    </row>
    <row r="619" spans="1:7" x14ac:dyDescent="0.2">
      <c r="A619">
        <v>22</v>
      </c>
      <c r="B619">
        <v>32</v>
      </c>
      <c r="C619" t="s">
        <v>427</v>
      </c>
      <c r="D619" t="s">
        <v>24</v>
      </c>
      <c r="E619" t="s">
        <v>25</v>
      </c>
      <c r="F619" t="s">
        <v>26</v>
      </c>
      <c r="G619" t="s">
        <v>27</v>
      </c>
    </row>
    <row r="620" spans="1:7" x14ac:dyDescent="0.2">
      <c r="A620">
        <v>22</v>
      </c>
      <c r="B620">
        <v>32</v>
      </c>
      <c r="C620" t="s">
        <v>428</v>
      </c>
      <c r="D620" t="s">
        <v>24</v>
      </c>
      <c r="E620" t="s">
        <v>25</v>
      </c>
      <c r="F620" t="s">
        <v>26</v>
      </c>
      <c r="G620" t="s">
        <v>27</v>
      </c>
    </row>
    <row r="621" spans="1:7" x14ac:dyDescent="0.2">
      <c r="A621">
        <v>22</v>
      </c>
      <c r="B621">
        <v>32</v>
      </c>
      <c r="C621" t="s">
        <v>429</v>
      </c>
      <c r="D621" t="s">
        <v>24</v>
      </c>
      <c r="E621" t="s">
        <v>25</v>
      </c>
      <c r="F621" t="s">
        <v>26</v>
      </c>
      <c r="G621" t="s">
        <v>27</v>
      </c>
    </row>
    <row r="622" spans="1:7" x14ac:dyDescent="0.2">
      <c r="A622">
        <v>22</v>
      </c>
      <c r="B622">
        <v>32</v>
      </c>
      <c r="C622" t="s">
        <v>326</v>
      </c>
      <c r="D622" t="s">
        <v>24</v>
      </c>
      <c r="E622" t="s">
        <v>25</v>
      </c>
      <c r="F622" t="s">
        <v>26</v>
      </c>
      <c r="G622" t="s">
        <v>27</v>
      </c>
    </row>
    <row r="623" spans="1:7" x14ac:dyDescent="0.2">
      <c r="A623">
        <v>23</v>
      </c>
      <c r="B623">
        <v>32</v>
      </c>
      <c r="C623" t="s">
        <v>430</v>
      </c>
      <c r="D623" t="s">
        <v>24</v>
      </c>
      <c r="E623" t="s">
        <v>31</v>
      </c>
      <c r="F623" t="s">
        <v>26</v>
      </c>
      <c r="G623" t="s">
        <v>27</v>
      </c>
    </row>
    <row r="624" spans="1:7" x14ac:dyDescent="0.2">
      <c r="A624">
        <v>23</v>
      </c>
      <c r="B624">
        <v>32</v>
      </c>
      <c r="C624" t="s">
        <v>431</v>
      </c>
      <c r="D624" t="s">
        <v>24</v>
      </c>
      <c r="E624" t="s">
        <v>31</v>
      </c>
      <c r="F624" t="s">
        <v>26</v>
      </c>
      <c r="G624" t="s">
        <v>27</v>
      </c>
    </row>
    <row r="625" spans="1:7" x14ac:dyDescent="0.2">
      <c r="A625">
        <v>23</v>
      </c>
      <c r="B625">
        <v>32</v>
      </c>
      <c r="C625" t="s">
        <v>432</v>
      </c>
      <c r="D625" t="s">
        <v>24</v>
      </c>
      <c r="E625" t="s">
        <v>31</v>
      </c>
      <c r="F625" t="s">
        <v>26</v>
      </c>
      <c r="G625" t="s">
        <v>27</v>
      </c>
    </row>
    <row r="626" spans="1:7" x14ac:dyDescent="0.2">
      <c r="A626">
        <v>23</v>
      </c>
      <c r="B626">
        <v>32</v>
      </c>
      <c r="C626" t="s">
        <v>433</v>
      </c>
      <c r="D626" t="s">
        <v>24</v>
      </c>
      <c r="E626" t="s">
        <v>31</v>
      </c>
      <c r="F626" t="s">
        <v>26</v>
      </c>
      <c r="G626" t="s">
        <v>27</v>
      </c>
    </row>
    <row r="627" spans="1:7" x14ac:dyDescent="0.2">
      <c r="A627">
        <v>23</v>
      </c>
      <c r="B627">
        <v>32</v>
      </c>
      <c r="C627" t="s">
        <v>384</v>
      </c>
      <c r="D627" t="s">
        <v>30</v>
      </c>
      <c r="E627" t="s">
        <v>31</v>
      </c>
      <c r="F627" t="s">
        <v>26</v>
      </c>
      <c r="G627" t="s">
        <v>27</v>
      </c>
    </row>
    <row r="628" spans="1:7" x14ac:dyDescent="0.2">
      <c r="A628">
        <v>7</v>
      </c>
      <c r="B628">
        <v>33</v>
      </c>
      <c r="C628" t="s">
        <v>434</v>
      </c>
      <c r="D628" t="s">
        <v>24</v>
      </c>
      <c r="E628" t="s">
        <v>31</v>
      </c>
      <c r="F628" t="s">
        <v>87</v>
      </c>
      <c r="G628" t="s">
        <v>27</v>
      </c>
    </row>
    <row r="629" spans="1:7" x14ac:dyDescent="0.2">
      <c r="A629">
        <v>7</v>
      </c>
      <c r="B629">
        <v>33</v>
      </c>
      <c r="C629" t="s">
        <v>435</v>
      </c>
      <c r="D629" t="s">
        <v>24</v>
      </c>
      <c r="E629" t="s">
        <v>31</v>
      </c>
      <c r="F629" t="s">
        <v>87</v>
      </c>
      <c r="G629" t="s">
        <v>27</v>
      </c>
    </row>
    <row r="630" spans="1:7" x14ac:dyDescent="0.2">
      <c r="A630">
        <v>7</v>
      </c>
      <c r="B630">
        <v>33</v>
      </c>
      <c r="C630" t="s">
        <v>436</v>
      </c>
      <c r="D630" t="s">
        <v>24</v>
      </c>
      <c r="E630" t="s">
        <v>31</v>
      </c>
      <c r="F630" t="s">
        <v>87</v>
      </c>
      <c r="G630" t="s">
        <v>27</v>
      </c>
    </row>
    <row r="631" spans="1:7" x14ac:dyDescent="0.2">
      <c r="A631">
        <v>8</v>
      </c>
      <c r="B631">
        <v>33</v>
      </c>
      <c r="C631" t="s">
        <v>437</v>
      </c>
      <c r="D631" t="s">
        <v>24</v>
      </c>
      <c r="E631" t="s">
        <v>25</v>
      </c>
      <c r="F631" t="s">
        <v>47</v>
      </c>
      <c r="G631" t="s">
        <v>27</v>
      </c>
    </row>
    <row r="632" spans="1:7" x14ac:dyDescent="0.2">
      <c r="A632">
        <v>8</v>
      </c>
      <c r="B632">
        <v>33</v>
      </c>
      <c r="C632" t="s">
        <v>438</v>
      </c>
      <c r="D632" t="s">
        <v>24</v>
      </c>
      <c r="E632" t="s">
        <v>25</v>
      </c>
      <c r="F632" t="s">
        <v>47</v>
      </c>
      <c r="G632" t="s">
        <v>27</v>
      </c>
    </row>
    <row r="633" spans="1:7" x14ac:dyDescent="0.2">
      <c r="A633">
        <v>8</v>
      </c>
      <c r="B633">
        <v>33</v>
      </c>
      <c r="C633" t="s">
        <v>439</v>
      </c>
      <c r="D633" t="s">
        <v>24</v>
      </c>
      <c r="E633" t="s">
        <v>25</v>
      </c>
      <c r="F633" t="s">
        <v>47</v>
      </c>
      <c r="G633" t="s">
        <v>27</v>
      </c>
    </row>
    <row r="634" spans="1:7" x14ac:dyDescent="0.2">
      <c r="A634">
        <v>8</v>
      </c>
      <c r="B634">
        <v>33</v>
      </c>
      <c r="C634" t="s">
        <v>440</v>
      </c>
      <c r="D634" t="s">
        <v>24</v>
      </c>
      <c r="E634" t="s">
        <v>25</v>
      </c>
      <c r="F634" t="s">
        <v>26</v>
      </c>
      <c r="G634" t="s">
        <v>27</v>
      </c>
    </row>
    <row r="635" spans="1:7" x14ac:dyDescent="0.2">
      <c r="A635">
        <v>8</v>
      </c>
      <c r="B635">
        <v>33</v>
      </c>
      <c r="C635" t="s">
        <v>441</v>
      </c>
      <c r="D635" t="s">
        <v>24</v>
      </c>
      <c r="E635" t="s">
        <v>25</v>
      </c>
      <c r="F635" t="s">
        <v>26</v>
      </c>
      <c r="G635" t="s">
        <v>27</v>
      </c>
    </row>
    <row r="636" spans="1:7" x14ac:dyDescent="0.2">
      <c r="A636">
        <v>9</v>
      </c>
      <c r="B636">
        <v>33</v>
      </c>
      <c r="C636" t="s">
        <v>442</v>
      </c>
      <c r="D636" t="s">
        <v>24</v>
      </c>
      <c r="E636" t="s">
        <v>31</v>
      </c>
      <c r="F636" t="s">
        <v>87</v>
      </c>
      <c r="G636" t="s">
        <v>27</v>
      </c>
    </row>
    <row r="637" spans="1:7" x14ac:dyDescent="0.2">
      <c r="A637">
        <v>9</v>
      </c>
      <c r="B637">
        <v>33</v>
      </c>
      <c r="C637" t="s">
        <v>443</v>
      </c>
      <c r="D637" t="s">
        <v>24</v>
      </c>
      <c r="E637" t="s">
        <v>31</v>
      </c>
      <c r="F637" t="s">
        <v>87</v>
      </c>
      <c r="G637" t="s">
        <v>27</v>
      </c>
    </row>
    <row r="638" spans="1:7" x14ac:dyDescent="0.2">
      <c r="A638">
        <v>9</v>
      </c>
      <c r="B638">
        <v>33</v>
      </c>
      <c r="C638" t="s">
        <v>444</v>
      </c>
      <c r="D638" t="s">
        <v>24</v>
      </c>
      <c r="E638" t="s">
        <v>31</v>
      </c>
      <c r="F638" t="s">
        <v>26</v>
      </c>
      <c r="G638" t="s">
        <v>27</v>
      </c>
    </row>
    <row r="639" spans="1:7" x14ac:dyDescent="0.2">
      <c r="A639">
        <v>9</v>
      </c>
      <c r="B639">
        <v>33</v>
      </c>
      <c r="C639" t="s">
        <v>445</v>
      </c>
      <c r="D639" t="s">
        <v>24</v>
      </c>
      <c r="E639" t="s">
        <v>31</v>
      </c>
      <c r="F639" t="s">
        <v>26</v>
      </c>
      <c r="G639" t="s">
        <v>27</v>
      </c>
    </row>
    <row r="640" spans="1:7" x14ac:dyDescent="0.2">
      <c r="A640">
        <v>9</v>
      </c>
      <c r="B640">
        <v>33</v>
      </c>
      <c r="C640" t="s">
        <v>446</v>
      </c>
      <c r="D640" t="s">
        <v>24</v>
      </c>
      <c r="E640" t="s">
        <v>31</v>
      </c>
      <c r="F640" t="s">
        <v>26</v>
      </c>
      <c r="G640" t="s">
        <v>27</v>
      </c>
    </row>
    <row r="641" spans="1:7" x14ac:dyDescent="0.2">
      <c r="A641">
        <v>9</v>
      </c>
      <c r="B641">
        <v>33</v>
      </c>
      <c r="C641" t="s">
        <v>447</v>
      </c>
      <c r="D641" t="s">
        <v>24</v>
      </c>
      <c r="E641" t="s">
        <v>31</v>
      </c>
      <c r="F641" t="s">
        <v>26</v>
      </c>
      <c r="G641" t="s">
        <v>27</v>
      </c>
    </row>
    <row r="642" spans="1:7" x14ac:dyDescent="0.2">
      <c r="A642">
        <v>10</v>
      </c>
      <c r="B642">
        <v>33</v>
      </c>
      <c r="C642" t="s">
        <v>448</v>
      </c>
      <c r="D642" t="s">
        <v>24</v>
      </c>
      <c r="E642" t="s">
        <v>31</v>
      </c>
      <c r="F642" t="s">
        <v>26</v>
      </c>
      <c r="G642" t="s">
        <v>27</v>
      </c>
    </row>
    <row r="643" spans="1:7" x14ac:dyDescent="0.2">
      <c r="A643">
        <v>10</v>
      </c>
      <c r="B643">
        <v>33</v>
      </c>
      <c r="C643" t="s">
        <v>449</v>
      </c>
      <c r="D643" t="s">
        <v>24</v>
      </c>
      <c r="E643" t="s">
        <v>31</v>
      </c>
      <c r="F643" t="s">
        <v>26</v>
      </c>
      <c r="G643" t="s">
        <v>27</v>
      </c>
    </row>
    <row r="644" spans="1:7" x14ac:dyDescent="0.2">
      <c r="A644">
        <v>10</v>
      </c>
      <c r="B644">
        <v>33</v>
      </c>
      <c r="C644" t="s">
        <v>443</v>
      </c>
      <c r="D644" t="s">
        <v>24</v>
      </c>
      <c r="E644" t="s">
        <v>31</v>
      </c>
      <c r="F644" t="s">
        <v>26</v>
      </c>
      <c r="G644" t="s">
        <v>27</v>
      </c>
    </row>
    <row r="645" spans="1:7" x14ac:dyDescent="0.2">
      <c r="A645">
        <v>10</v>
      </c>
      <c r="B645">
        <v>33</v>
      </c>
      <c r="C645" t="s">
        <v>450</v>
      </c>
      <c r="D645" t="s">
        <v>24</v>
      </c>
      <c r="E645" t="s">
        <v>31</v>
      </c>
      <c r="F645" t="s">
        <v>26</v>
      </c>
      <c r="G645" t="s">
        <v>27</v>
      </c>
    </row>
    <row r="646" spans="1:7" x14ac:dyDescent="0.2">
      <c r="A646">
        <v>10</v>
      </c>
      <c r="B646">
        <v>33</v>
      </c>
      <c r="C646" t="s">
        <v>446</v>
      </c>
      <c r="D646" t="s">
        <v>24</v>
      </c>
      <c r="E646" t="s">
        <v>31</v>
      </c>
      <c r="F646" t="s">
        <v>26</v>
      </c>
      <c r="G646" t="s">
        <v>27</v>
      </c>
    </row>
    <row r="647" spans="1:7" x14ac:dyDescent="0.2">
      <c r="A647">
        <v>10</v>
      </c>
      <c r="B647">
        <v>33</v>
      </c>
      <c r="C647" t="s">
        <v>445</v>
      </c>
      <c r="D647" t="s">
        <v>24</v>
      </c>
      <c r="E647" t="s">
        <v>31</v>
      </c>
      <c r="F647" t="s">
        <v>26</v>
      </c>
      <c r="G647" t="s">
        <v>27</v>
      </c>
    </row>
    <row r="648" spans="1:7" x14ac:dyDescent="0.2">
      <c r="A648">
        <v>10</v>
      </c>
      <c r="B648">
        <v>33</v>
      </c>
      <c r="C648" t="s">
        <v>451</v>
      </c>
      <c r="D648" t="s">
        <v>24</v>
      </c>
      <c r="E648" t="s">
        <v>31</v>
      </c>
      <c r="F648" t="s">
        <v>26</v>
      </c>
      <c r="G648" t="s">
        <v>27</v>
      </c>
    </row>
    <row r="649" spans="1:7" x14ac:dyDescent="0.2">
      <c r="A649">
        <v>10</v>
      </c>
      <c r="B649">
        <v>33</v>
      </c>
      <c r="C649" t="s">
        <v>452</v>
      </c>
      <c r="D649" t="s">
        <v>24</v>
      </c>
      <c r="E649" t="s">
        <v>31</v>
      </c>
      <c r="F649" t="s">
        <v>26</v>
      </c>
      <c r="G649" t="s">
        <v>27</v>
      </c>
    </row>
    <row r="650" spans="1:7" x14ac:dyDescent="0.2">
      <c r="A650">
        <v>11</v>
      </c>
      <c r="B650">
        <v>33</v>
      </c>
      <c r="C650" t="s">
        <v>453</v>
      </c>
      <c r="D650" t="s">
        <v>24</v>
      </c>
      <c r="E650" t="s">
        <v>25</v>
      </c>
      <c r="F650" t="s">
        <v>26</v>
      </c>
      <c r="G650" t="s">
        <v>27</v>
      </c>
    </row>
    <row r="651" spans="1:7" x14ac:dyDescent="0.2">
      <c r="A651">
        <v>11</v>
      </c>
      <c r="B651">
        <v>33</v>
      </c>
      <c r="C651" t="s">
        <v>454</v>
      </c>
      <c r="D651" t="s">
        <v>24</v>
      </c>
      <c r="E651" t="s">
        <v>25</v>
      </c>
      <c r="F651" t="s">
        <v>26</v>
      </c>
      <c r="G651" t="s">
        <v>27</v>
      </c>
    </row>
    <row r="652" spans="1:7" x14ac:dyDescent="0.2">
      <c r="A652">
        <v>11</v>
      </c>
      <c r="B652">
        <v>33</v>
      </c>
      <c r="C652" t="s">
        <v>455</v>
      </c>
      <c r="D652" t="s">
        <v>24</v>
      </c>
      <c r="E652" t="s">
        <v>25</v>
      </c>
      <c r="F652" t="s">
        <v>47</v>
      </c>
      <c r="G652" t="s">
        <v>27</v>
      </c>
    </row>
    <row r="653" spans="1:7" x14ac:dyDescent="0.2">
      <c r="A653">
        <v>11</v>
      </c>
      <c r="B653">
        <v>33</v>
      </c>
      <c r="C653" t="s">
        <v>456</v>
      </c>
      <c r="D653" t="s">
        <v>24</v>
      </c>
      <c r="E653" t="s">
        <v>25</v>
      </c>
      <c r="F653" t="s">
        <v>47</v>
      </c>
      <c r="G653" t="s">
        <v>27</v>
      </c>
    </row>
    <row r="654" spans="1:7" x14ac:dyDescent="0.2">
      <c r="A654">
        <v>11</v>
      </c>
      <c r="B654">
        <v>33</v>
      </c>
      <c r="C654" t="s">
        <v>437</v>
      </c>
      <c r="D654" t="s">
        <v>24</v>
      </c>
      <c r="E654" t="s">
        <v>25</v>
      </c>
      <c r="F654" t="s">
        <v>47</v>
      </c>
      <c r="G654" t="s">
        <v>27</v>
      </c>
    </row>
    <row r="655" spans="1:7" x14ac:dyDescent="0.2">
      <c r="A655">
        <v>11</v>
      </c>
      <c r="B655">
        <v>33</v>
      </c>
      <c r="C655" t="s">
        <v>457</v>
      </c>
      <c r="D655" t="s">
        <v>24</v>
      </c>
      <c r="E655" t="s">
        <v>25</v>
      </c>
      <c r="F655" t="s">
        <v>47</v>
      </c>
      <c r="G655" t="s">
        <v>27</v>
      </c>
    </row>
    <row r="656" spans="1:7" x14ac:dyDescent="0.2">
      <c r="A656">
        <v>11</v>
      </c>
      <c r="B656">
        <v>33</v>
      </c>
      <c r="C656" t="s">
        <v>458</v>
      </c>
      <c r="D656" t="s">
        <v>24</v>
      </c>
      <c r="E656" t="s">
        <v>25</v>
      </c>
      <c r="F656" t="s">
        <v>26</v>
      </c>
      <c r="G656" t="s">
        <v>27</v>
      </c>
    </row>
    <row r="657" spans="1:7" x14ac:dyDescent="0.2">
      <c r="A657">
        <v>11</v>
      </c>
      <c r="B657">
        <v>33</v>
      </c>
      <c r="C657" t="s">
        <v>459</v>
      </c>
      <c r="D657" t="s">
        <v>24</v>
      </c>
      <c r="E657" t="s">
        <v>25</v>
      </c>
      <c r="F657" t="s">
        <v>47</v>
      </c>
      <c r="G657" t="s">
        <v>27</v>
      </c>
    </row>
    <row r="658" spans="1:7" x14ac:dyDescent="0.2">
      <c r="A658">
        <v>11</v>
      </c>
      <c r="B658">
        <v>33</v>
      </c>
      <c r="C658" t="s">
        <v>460</v>
      </c>
      <c r="D658" t="s">
        <v>24</v>
      </c>
      <c r="E658" t="s">
        <v>25</v>
      </c>
      <c r="F658" t="s">
        <v>47</v>
      </c>
      <c r="G658" t="s">
        <v>27</v>
      </c>
    </row>
    <row r="659" spans="1:7" x14ac:dyDescent="0.2">
      <c r="A659">
        <v>11</v>
      </c>
      <c r="B659">
        <v>33</v>
      </c>
      <c r="C659" t="s">
        <v>461</v>
      </c>
      <c r="D659" t="s">
        <v>24</v>
      </c>
      <c r="E659" t="s">
        <v>25</v>
      </c>
      <c r="F659" t="s">
        <v>47</v>
      </c>
      <c r="G659" t="s">
        <v>27</v>
      </c>
    </row>
    <row r="660" spans="1:7" x14ac:dyDescent="0.2">
      <c r="A660">
        <v>11</v>
      </c>
      <c r="B660">
        <v>33</v>
      </c>
      <c r="C660" t="s">
        <v>440</v>
      </c>
      <c r="D660" t="s">
        <v>24</v>
      </c>
      <c r="E660" t="s">
        <v>25</v>
      </c>
      <c r="F660" t="s">
        <v>26</v>
      </c>
      <c r="G660" t="s">
        <v>27</v>
      </c>
    </row>
    <row r="661" spans="1:7" x14ac:dyDescent="0.2">
      <c r="A661">
        <v>11</v>
      </c>
      <c r="B661">
        <v>33</v>
      </c>
      <c r="C661" t="s">
        <v>462</v>
      </c>
      <c r="D661" t="s">
        <v>30</v>
      </c>
      <c r="E661" t="s">
        <v>25</v>
      </c>
      <c r="F661" t="s">
        <v>26</v>
      </c>
      <c r="G661" t="s">
        <v>27</v>
      </c>
    </row>
    <row r="662" spans="1:7" x14ac:dyDescent="0.2">
      <c r="A662">
        <v>11</v>
      </c>
      <c r="B662">
        <v>33</v>
      </c>
      <c r="C662" t="s">
        <v>463</v>
      </c>
      <c r="D662" t="s">
        <v>24</v>
      </c>
      <c r="E662" t="s">
        <v>25</v>
      </c>
      <c r="F662" t="s">
        <v>26</v>
      </c>
      <c r="G662" t="s">
        <v>27</v>
      </c>
    </row>
    <row r="663" spans="1:7" x14ac:dyDescent="0.2">
      <c r="A663">
        <v>11</v>
      </c>
      <c r="B663">
        <v>33</v>
      </c>
      <c r="C663" t="s">
        <v>441</v>
      </c>
      <c r="D663" t="s">
        <v>24</v>
      </c>
      <c r="E663" t="s">
        <v>25</v>
      </c>
      <c r="F663" t="s">
        <v>26</v>
      </c>
      <c r="G663" t="s">
        <v>27</v>
      </c>
    </row>
    <row r="664" spans="1:7" x14ac:dyDescent="0.2">
      <c r="A664">
        <v>12</v>
      </c>
      <c r="B664">
        <v>33</v>
      </c>
      <c r="C664" t="s">
        <v>464</v>
      </c>
      <c r="D664" t="s">
        <v>24</v>
      </c>
      <c r="E664" t="s">
        <v>31</v>
      </c>
      <c r="F664" t="s">
        <v>87</v>
      </c>
      <c r="G664" t="s">
        <v>27</v>
      </c>
    </row>
    <row r="665" spans="1:7" x14ac:dyDescent="0.2">
      <c r="A665">
        <v>12</v>
      </c>
      <c r="B665">
        <v>33</v>
      </c>
      <c r="C665" t="s">
        <v>465</v>
      </c>
      <c r="D665" t="s">
        <v>24</v>
      </c>
      <c r="E665" t="s">
        <v>31</v>
      </c>
      <c r="F665" t="s">
        <v>87</v>
      </c>
      <c r="G665" t="s">
        <v>27</v>
      </c>
    </row>
    <row r="666" spans="1:7" x14ac:dyDescent="0.2">
      <c r="A666">
        <v>12</v>
      </c>
      <c r="B666">
        <v>33</v>
      </c>
      <c r="C666" t="s">
        <v>466</v>
      </c>
      <c r="D666" t="s">
        <v>24</v>
      </c>
      <c r="E666" t="s">
        <v>31</v>
      </c>
      <c r="F666" t="s">
        <v>87</v>
      </c>
      <c r="G666" t="s">
        <v>27</v>
      </c>
    </row>
    <row r="667" spans="1:7" x14ac:dyDescent="0.2">
      <c r="A667">
        <v>12</v>
      </c>
      <c r="B667">
        <v>33</v>
      </c>
      <c r="C667" t="s">
        <v>467</v>
      </c>
      <c r="D667" t="s">
        <v>24</v>
      </c>
      <c r="E667" t="s">
        <v>31</v>
      </c>
      <c r="F667" t="s">
        <v>87</v>
      </c>
      <c r="G667" t="s">
        <v>27</v>
      </c>
    </row>
    <row r="668" spans="1:7" x14ac:dyDescent="0.2">
      <c r="A668">
        <v>12</v>
      </c>
      <c r="B668">
        <v>33</v>
      </c>
      <c r="C668" t="s">
        <v>468</v>
      </c>
      <c r="D668" t="s">
        <v>24</v>
      </c>
      <c r="E668" t="s">
        <v>25</v>
      </c>
      <c r="F668" t="s">
        <v>87</v>
      </c>
      <c r="G668" t="s">
        <v>27</v>
      </c>
    </row>
    <row r="669" spans="1:7" x14ac:dyDescent="0.2">
      <c r="A669">
        <v>12</v>
      </c>
      <c r="B669">
        <v>33</v>
      </c>
      <c r="C669" t="s">
        <v>469</v>
      </c>
      <c r="D669" t="s">
        <v>24</v>
      </c>
      <c r="E669" t="s">
        <v>31</v>
      </c>
      <c r="F669" t="s">
        <v>87</v>
      </c>
      <c r="G669" t="s">
        <v>27</v>
      </c>
    </row>
    <row r="670" spans="1:7" x14ac:dyDescent="0.2">
      <c r="A670">
        <v>12</v>
      </c>
      <c r="B670">
        <v>33</v>
      </c>
      <c r="C670" t="s">
        <v>445</v>
      </c>
      <c r="D670" t="s">
        <v>24</v>
      </c>
      <c r="E670" t="s">
        <v>31</v>
      </c>
      <c r="F670" t="s">
        <v>47</v>
      </c>
      <c r="G670" t="s">
        <v>27</v>
      </c>
    </row>
    <row r="671" spans="1:7" x14ac:dyDescent="0.2">
      <c r="A671">
        <v>12</v>
      </c>
      <c r="B671">
        <v>33</v>
      </c>
      <c r="C671" t="s">
        <v>398</v>
      </c>
      <c r="D671" t="s">
        <v>24</v>
      </c>
      <c r="E671" t="s">
        <v>31</v>
      </c>
      <c r="F671" t="s">
        <v>87</v>
      </c>
      <c r="G671" t="s">
        <v>27</v>
      </c>
    </row>
    <row r="672" spans="1:7" x14ac:dyDescent="0.2">
      <c r="A672">
        <v>13</v>
      </c>
      <c r="B672">
        <v>33</v>
      </c>
      <c r="C672" t="s">
        <v>371</v>
      </c>
      <c r="D672" t="s">
        <v>30</v>
      </c>
      <c r="E672" t="s">
        <v>31</v>
      </c>
      <c r="F672" t="s">
        <v>47</v>
      </c>
      <c r="G672" t="s">
        <v>27</v>
      </c>
    </row>
    <row r="673" spans="1:7" x14ac:dyDescent="0.2">
      <c r="A673">
        <v>13</v>
      </c>
      <c r="B673">
        <v>33</v>
      </c>
      <c r="C673" t="s">
        <v>2050</v>
      </c>
      <c r="D673" t="s">
        <v>24</v>
      </c>
      <c r="E673" t="s">
        <v>31</v>
      </c>
      <c r="F673" t="s">
        <v>47</v>
      </c>
      <c r="G673" t="s">
        <v>27</v>
      </c>
    </row>
    <row r="674" spans="1:7" x14ac:dyDescent="0.2">
      <c r="A674">
        <v>13</v>
      </c>
      <c r="B674">
        <v>33</v>
      </c>
      <c r="C674" t="s">
        <v>471</v>
      </c>
      <c r="D674" t="s">
        <v>24</v>
      </c>
      <c r="E674" t="s">
        <v>25</v>
      </c>
      <c r="F674" t="s">
        <v>47</v>
      </c>
      <c r="G674" t="s">
        <v>27</v>
      </c>
    </row>
    <row r="675" spans="1:7" x14ac:dyDescent="0.2">
      <c r="A675">
        <v>14</v>
      </c>
      <c r="B675">
        <v>33</v>
      </c>
      <c r="C675" t="s">
        <v>472</v>
      </c>
      <c r="D675" t="s">
        <v>24</v>
      </c>
      <c r="E675" t="s">
        <v>31</v>
      </c>
      <c r="F675" t="s">
        <v>26</v>
      </c>
      <c r="G675" t="s">
        <v>27</v>
      </c>
    </row>
    <row r="676" spans="1:7" x14ac:dyDescent="0.2">
      <c r="A676">
        <v>14</v>
      </c>
      <c r="B676">
        <v>33</v>
      </c>
      <c r="C676" t="s">
        <v>473</v>
      </c>
      <c r="D676" t="s">
        <v>24</v>
      </c>
      <c r="E676" t="s">
        <v>31</v>
      </c>
      <c r="F676" t="s">
        <v>26</v>
      </c>
      <c r="G676" t="s">
        <v>27</v>
      </c>
    </row>
    <row r="677" spans="1:7" x14ac:dyDescent="0.2">
      <c r="A677">
        <v>14</v>
      </c>
      <c r="B677">
        <v>33</v>
      </c>
      <c r="C677" t="s">
        <v>474</v>
      </c>
      <c r="D677" t="s">
        <v>24</v>
      </c>
      <c r="E677" t="s">
        <v>31</v>
      </c>
      <c r="F677" t="s">
        <v>26</v>
      </c>
      <c r="G677" t="s">
        <v>27</v>
      </c>
    </row>
    <row r="678" spans="1:7" x14ac:dyDescent="0.2">
      <c r="A678">
        <v>14</v>
      </c>
      <c r="B678">
        <v>33</v>
      </c>
      <c r="C678" t="s">
        <v>475</v>
      </c>
      <c r="D678" t="s">
        <v>24</v>
      </c>
      <c r="E678" t="s">
        <v>31</v>
      </c>
      <c r="F678" t="s">
        <v>26</v>
      </c>
      <c r="G678" t="s">
        <v>27</v>
      </c>
    </row>
    <row r="679" spans="1:7" x14ac:dyDescent="0.2">
      <c r="A679">
        <v>14</v>
      </c>
      <c r="B679">
        <v>33</v>
      </c>
      <c r="C679" t="s">
        <v>476</v>
      </c>
      <c r="D679" t="s">
        <v>24</v>
      </c>
      <c r="E679" t="s">
        <v>31</v>
      </c>
      <c r="F679" t="s">
        <v>26</v>
      </c>
      <c r="G679" t="s">
        <v>27</v>
      </c>
    </row>
    <row r="680" spans="1:7" x14ac:dyDescent="0.2">
      <c r="A680">
        <v>14</v>
      </c>
      <c r="B680">
        <v>33</v>
      </c>
      <c r="C680" t="s">
        <v>477</v>
      </c>
      <c r="D680" t="s">
        <v>24</v>
      </c>
      <c r="E680" t="s">
        <v>31</v>
      </c>
      <c r="F680" t="s">
        <v>26</v>
      </c>
      <c r="G680" t="s">
        <v>27</v>
      </c>
    </row>
    <row r="681" spans="1:7" x14ac:dyDescent="0.2">
      <c r="A681">
        <v>14</v>
      </c>
      <c r="B681">
        <v>33</v>
      </c>
      <c r="C681" t="s">
        <v>478</v>
      </c>
      <c r="D681" t="s">
        <v>24</v>
      </c>
      <c r="E681" t="s">
        <v>31</v>
      </c>
      <c r="F681" t="s">
        <v>26</v>
      </c>
      <c r="G681" t="s">
        <v>27</v>
      </c>
    </row>
    <row r="682" spans="1:7" x14ac:dyDescent="0.2">
      <c r="A682">
        <v>15</v>
      </c>
      <c r="B682">
        <v>33</v>
      </c>
      <c r="C682" t="s">
        <v>479</v>
      </c>
      <c r="D682" t="s">
        <v>24</v>
      </c>
      <c r="E682" t="s">
        <v>31</v>
      </c>
      <c r="F682" t="s">
        <v>47</v>
      </c>
      <c r="G682" t="s">
        <v>27</v>
      </c>
    </row>
    <row r="683" spans="1:7" x14ac:dyDescent="0.2">
      <c r="A683">
        <v>15</v>
      </c>
      <c r="B683">
        <v>33</v>
      </c>
      <c r="C683" t="s">
        <v>448</v>
      </c>
      <c r="D683" t="s">
        <v>24</v>
      </c>
      <c r="E683" t="s">
        <v>31</v>
      </c>
      <c r="F683" t="s">
        <v>47</v>
      </c>
      <c r="G683" t="s">
        <v>27</v>
      </c>
    </row>
    <row r="684" spans="1:7" x14ac:dyDescent="0.2">
      <c r="A684">
        <v>15</v>
      </c>
      <c r="B684">
        <v>33</v>
      </c>
      <c r="C684" t="s">
        <v>480</v>
      </c>
      <c r="D684" t="s">
        <v>24</v>
      </c>
      <c r="E684" t="s">
        <v>31</v>
      </c>
      <c r="F684" t="s">
        <v>47</v>
      </c>
      <c r="G684" t="s">
        <v>27</v>
      </c>
    </row>
    <row r="685" spans="1:7" x14ac:dyDescent="0.2">
      <c r="A685">
        <v>15</v>
      </c>
      <c r="B685">
        <v>33</v>
      </c>
      <c r="C685" t="s">
        <v>447</v>
      </c>
      <c r="D685" t="s">
        <v>24</v>
      </c>
      <c r="E685" t="s">
        <v>31</v>
      </c>
      <c r="F685" t="s">
        <v>47</v>
      </c>
      <c r="G685" t="s">
        <v>27</v>
      </c>
    </row>
    <row r="686" spans="1:7" x14ac:dyDescent="0.2">
      <c r="A686">
        <v>16</v>
      </c>
      <c r="B686">
        <v>33</v>
      </c>
      <c r="C686" t="s">
        <v>466</v>
      </c>
      <c r="D686" t="s">
        <v>24</v>
      </c>
      <c r="E686" t="s">
        <v>31</v>
      </c>
      <c r="F686" t="s">
        <v>47</v>
      </c>
      <c r="G686" t="s">
        <v>27</v>
      </c>
    </row>
    <row r="687" spans="1:7" x14ac:dyDescent="0.2">
      <c r="A687">
        <v>16</v>
      </c>
      <c r="B687">
        <v>33</v>
      </c>
      <c r="C687" t="s">
        <v>481</v>
      </c>
      <c r="D687" t="s">
        <v>24</v>
      </c>
      <c r="E687" t="s">
        <v>31</v>
      </c>
      <c r="F687" t="s">
        <v>47</v>
      </c>
      <c r="G687" t="s">
        <v>27</v>
      </c>
    </row>
    <row r="688" spans="1:7" x14ac:dyDescent="0.2">
      <c r="A688">
        <v>16</v>
      </c>
      <c r="B688">
        <v>33</v>
      </c>
      <c r="C688" t="s">
        <v>482</v>
      </c>
      <c r="D688" t="s">
        <v>24</v>
      </c>
      <c r="E688" t="s">
        <v>31</v>
      </c>
      <c r="F688" t="s">
        <v>47</v>
      </c>
      <c r="G688" t="s">
        <v>27</v>
      </c>
    </row>
    <row r="689" spans="1:7" x14ac:dyDescent="0.2">
      <c r="A689">
        <v>16</v>
      </c>
      <c r="B689">
        <v>33</v>
      </c>
      <c r="C689" t="s">
        <v>468</v>
      </c>
      <c r="D689" t="s">
        <v>24</v>
      </c>
      <c r="E689" t="s">
        <v>31</v>
      </c>
      <c r="F689" t="s">
        <v>47</v>
      </c>
      <c r="G689" t="s">
        <v>27</v>
      </c>
    </row>
    <row r="690" spans="1:7" x14ac:dyDescent="0.2">
      <c r="A690">
        <v>17</v>
      </c>
      <c r="B690">
        <v>33</v>
      </c>
      <c r="C690" t="s">
        <v>483</v>
      </c>
      <c r="D690" t="s">
        <v>24</v>
      </c>
      <c r="E690" t="s">
        <v>31</v>
      </c>
      <c r="F690" t="s">
        <v>26</v>
      </c>
      <c r="G690" t="s">
        <v>27</v>
      </c>
    </row>
    <row r="691" spans="1:7" x14ac:dyDescent="0.2">
      <c r="A691">
        <v>17</v>
      </c>
      <c r="B691">
        <v>33</v>
      </c>
      <c r="C691" t="s">
        <v>484</v>
      </c>
      <c r="D691" t="s">
        <v>24</v>
      </c>
      <c r="E691" t="s">
        <v>31</v>
      </c>
      <c r="F691" t="s">
        <v>26</v>
      </c>
      <c r="G691" t="s">
        <v>27</v>
      </c>
    </row>
    <row r="692" spans="1:7" x14ac:dyDescent="0.2">
      <c r="A692">
        <v>17</v>
      </c>
      <c r="B692">
        <v>33</v>
      </c>
      <c r="C692" t="s">
        <v>483</v>
      </c>
      <c r="D692" t="s">
        <v>24</v>
      </c>
      <c r="E692" t="s">
        <v>31</v>
      </c>
      <c r="F692" t="s">
        <v>26</v>
      </c>
      <c r="G692" t="s">
        <v>27</v>
      </c>
    </row>
    <row r="693" spans="1:7" x14ac:dyDescent="0.2">
      <c r="A693">
        <v>17</v>
      </c>
      <c r="B693">
        <v>33</v>
      </c>
      <c r="C693" t="s">
        <v>485</v>
      </c>
      <c r="D693" t="s">
        <v>24</v>
      </c>
      <c r="E693" t="s">
        <v>31</v>
      </c>
      <c r="F693" t="s">
        <v>26</v>
      </c>
      <c r="G693" t="s">
        <v>27</v>
      </c>
    </row>
    <row r="694" spans="1:7" x14ac:dyDescent="0.2">
      <c r="A694">
        <v>17</v>
      </c>
      <c r="B694">
        <v>33</v>
      </c>
      <c r="C694" t="s">
        <v>486</v>
      </c>
      <c r="D694" t="s">
        <v>24</v>
      </c>
      <c r="E694" t="s">
        <v>31</v>
      </c>
      <c r="F694" t="s">
        <v>26</v>
      </c>
      <c r="G694" t="s">
        <v>27</v>
      </c>
    </row>
    <row r="695" spans="1:7" x14ac:dyDescent="0.2">
      <c r="A695">
        <v>17</v>
      </c>
      <c r="B695">
        <v>33</v>
      </c>
      <c r="C695" t="s">
        <v>487</v>
      </c>
      <c r="D695" t="s">
        <v>24</v>
      </c>
      <c r="E695" t="s">
        <v>31</v>
      </c>
      <c r="F695" t="s">
        <v>26</v>
      </c>
      <c r="G695" t="s">
        <v>27</v>
      </c>
    </row>
    <row r="696" spans="1:7" x14ac:dyDescent="0.2">
      <c r="A696">
        <v>18</v>
      </c>
      <c r="B696">
        <v>33</v>
      </c>
      <c r="C696" t="s">
        <v>488</v>
      </c>
      <c r="D696" t="s">
        <v>24</v>
      </c>
      <c r="E696" t="s">
        <v>31</v>
      </c>
      <c r="F696" t="s">
        <v>26</v>
      </c>
      <c r="G696" t="s">
        <v>27</v>
      </c>
    </row>
    <row r="697" spans="1:7" x14ac:dyDescent="0.2">
      <c r="A697">
        <v>18</v>
      </c>
      <c r="B697">
        <v>33</v>
      </c>
      <c r="C697" t="s">
        <v>489</v>
      </c>
      <c r="D697" t="s">
        <v>24</v>
      </c>
      <c r="E697" t="s">
        <v>31</v>
      </c>
      <c r="F697" t="s">
        <v>26</v>
      </c>
      <c r="G697" t="s">
        <v>27</v>
      </c>
    </row>
    <row r="698" spans="1:7" x14ac:dyDescent="0.2">
      <c r="A698">
        <v>18</v>
      </c>
      <c r="B698">
        <v>33</v>
      </c>
      <c r="C698" t="s">
        <v>490</v>
      </c>
      <c r="D698" t="s">
        <v>24</v>
      </c>
      <c r="E698" t="s">
        <v>31</v>
      </c>
      <c r="F698" t="s">
        <v>26</v>
      </c>
      <c r="G698" t="s">
        <v>27</v>
      </c>
    </row>
    <row r="699" spans="1:7" x14ac:dyDescent="0.2">
      <c r="A699">
        <v>18</v>
      </c>
      <c r="B699">
        <v>33</v>
      </c>
      <c r="C699" t="s">
        <v>491</v>
      </c>
      <c r="D699" t="s">
        <v>24</v>
      </c>
      <c r="E699" t="s">
        <v>31</v>
      </c>
      <c r="F699" t="s">
        <v>26</v>
      </c>
      <c r="G699" t="s">
        <v>27</v>
      </c>
    </row>
    <row r="700" spans="1:7" x14ac:dyDescent="0.2">
      <c r="A700">
        <v>18</v>
      </c>
      <c r="B700">
        <v>33</v>
      </c>
      <c r="C700" t="s">
        <v>492</v>
      </c>
      <c r="D700" t="s">
        <v>24</v>
      </c>
      <c r="E700" t="s">
        <v>31</v>
      </c>
      <c r="F700" t="s">
        <v>26</v>
      </c>
      <c r="G700" t="s">
        <v>27</v>
      </c>
    </row>
    <row r="701" spans="1:7" x14ac:dyDescent="0.2">
      <c r="A701">
        <v>18</v>
      </c>
      <c r="B701">
        <v>33</v>
      </c>
      <c r="C701" t="s">
        <v>493</v>
      </c>
      <c r="D701" t="s">
        <v>24</v>
      </c>
      <c r="E701" t="s">
        <v>31</v>
      </c>
      <c r="F701" t="s">
        <v>26</v>
      </c>
      <c r="G701" t="s">
        <v>27</v>
      </c>
    </row>
    <row r="702" spans="1:7" x14ac:dyDescent="0.2">
      <c r="A702">
        <v>18</v>
      </c>
      <c r="B702">
        <v>33</v>
      </c>
      <c r="C702" t="s">
        <v>468</v>
      </c>
      <c r="D702" t="s">
        <v>24</v>
      </c>
      <c r="E702" t="s">
        <v>31</v>
      </c>
      <c r="F702" t="s">
        <v>26</v>
      </c>
      <c r="G702" t="s">
        <v>27</v>
      </c>
    </row>
    <row r="703" spans="1:7" x14ac:dyDescent="0.2">
      <c r="A703">
        <v>18</v>
      </c>
      <c r="B703">
        <v>33</v>
      </c>
      <c r="C703" t="s">
        <v>494</v>
      </c>
      <c r="D703" t="s">
        <v>24</v>
      </c>
      <c r="E703" t="s">
        <v>31</v>
      </c>
      <c r="F703" t="s">
        <v>26</v>
      </c>
      <c r="G703" t="s">
        <v>27</v>
      </c>
    </row>
    <row r="704" spans="1:7" x14ac:dyDescent="0.2">
      <c r="A704">
        <v>19</v>
      </c>
      <c r="B704">
        <v>33</v>
      </c>
      <c r="C704" t="s">
        <v>493</v>
      </c>
      <c r="D704" t="s">
        <v>24</v>
      </c>
      <c r="E704" t="s">
        <v>25</v>
      </c>
      <c r="F704" t="s">
        <v>26</v>
      </c>
      <c r="G704" t="s">
        <v>27</v>
      </c>
    </row>
    <row r="705" spans="1:7" x14ac:dyDescent="0.2">
      <c r="A705">
        <v>19</v>
      </c>
      <c r="B705">
        <v>33</v>
      </c>
      <c r="C705" t="s">
        <v>467</v>
      </c>
      <c r="D705" t="s">
        <v>24</v>
      </c>
      <c r="E705" t="s">
        <v>25</v>
      </c>
      <c r="F705" t="s">
        <v>26</v>
      </c>
      <c r="G705" t="s">
        <v>27</v>
      </c>
    </row>
    <row r="706" spans="1:7" x14ac:dyDescent="0.2">
      <c r="A706">
        <v>19</v>
      </c>
      <c r="B706">
        <v>33</v>
      </c>
      <c r="C706" t="s">
        <v>442</v>
      </c>
      <c r="D706" t="s">
        <v>24</v>
      </c>
      <c r="E706" t="s">
        <v>25</v>
      </c>
      <c r="F706" t="s">
        <v>26</v>
      </c>
      <c r="G706" t="s">
        <v>27</v>
      </c>
    </row>
    <row r="707" spans="1:7" x14ac:dyDescent="0.2">
      <c r="A707">
        <v>19</v>
      </c>
      <c r="B707">
        <v>33</v>
      </c>
      <c r="C707" t="s">
        <v>495</v>
      </c>
      <c r="D707" t="s">
        <v>24</v>
      </c>
      <c r="E707" t="s">
        <v>25</v>
      </c>
      <c r="F707" t="s">
        <v>26</v>
      </c>
      <c r="G707" t="s">
        <v>27</v>
      </c>
    </row>
    <row r="708" spans="1:7" x14ac:dyDescent="0.2">
      <c r="A708">
        <v>19</v>
      </c>
      <c r="B708">
        <v>33</v>
      </c>
      <c r="C708" t="s">
        <v>494</v>
      </c>
      <c r="D708" t="s">
        <v>24</v>
      </c>
      <c r="E708" t="s">
        <v>25</v>
      </c>
      <c r="F708" t="s">
        <v>26</v>
      </c>
      <c r="G708" t="s">
        <v>27</v>
      </c>
    </row>
    <row r="709" spans="1:7" x14ac:dyDescent="0.2">
      <c r="A709">
        <v>19</v>
      </c>
      <c r="B709">
        <v>33</v>
      </c>
      <c r="C709" t="s">
        <v>445</v>
      </c>
      <c r="D709" t="s">
        <v>24</v>
      </c>
      <c r="E709" t="s">
        <v>25</v>
      </c>
      <c r="F709" t="s">
        <v>26</v>
      </c>
      <c r="G709" t="s">
        <v>27</v>
      </c>
    </row>
    <row r="710" spans="1:7" x14ac:dyDescent="0.2">
      <c r="A710">
        <v>19</v>
      </c>
      <c r="B710">
        <v>33</v>
      </c>
      <c r="C710" t="s">
        <v>496</v>
      </c>
      <c r="D710" t="s">
        <v>24</v>
      </c>
      <c r="E710" t="s">
        <v>25</v>
      </c>
      <c r="F710" t="s">
        <v>26</v>
      </c>
      <c r="G710" t="s">
        <v>27</v>
      </c>
    </row>
    <row r="711" spans="1:7" x14ac:dyDescent="0.2">
      <c r="A711">
        <v>20</v>
      </c>
      <c r="B711">
        <v>33</v>
      </c>
      <c r="C711" t="s">
        <v>497</v>
      </c>
      <c r="D711" t="s">
        <v>24</v>
      </c>
      <c r="E711" t="s">
        <v>31</v>
      </c>
      <c r="F711" t="s">
        <v>26</v>
      </c>
      <c r="G711" t="s">
        <v>27</v>
      </c>
    </row>
    <row r="712" spans="1:7" x14ac:dyDescent="0.2">
      <c r="A712">
        <v>20</v>
      </c>
      <c r="B712">
        <v>33</v>
      </c>
      <c r="C712" t="s">
        <v>448</v>
      </c>
      <c r="D712" t="s">
        <v>24</v>
      </c>
      <c r="E712" t="s">
        <v>31</v>
      </c>
      <c r="F712" t="s">
        <v>26</v>
      </c>
      <c r="G712" t="s">
        <v>27</v>
      </c>
    </row>
    <row r="713" spans="1:7" x14ac:dyDescent="0.2">
      <c r="A713">
        <v>20</v>
      </c>
      <c r="B713">
        <v>33</v>
      </c>
      <c r="C713" t="s">
        <v>442</v>
      </c>
      <c r="D713" t="s">
        <v>24</v>
      </c>
      <c r="E713" t="s">
        <v>31</v>
      </c>
      <c r="F713" t="s">
        <v>26</v>
      </c>
      <c r="G713" t="s">
        <v>27</v>
      </c>
    </row>
    <row r="714" spans="1:7" x14ac:dyDescent="0.2">
      <c r="A714">
        <v>20</v>
      </c>
      <c r="B714">
        <v>33</v>
      </c>
      <c r="C714" t="s">
        <v>498</v>
      </c>
      <c r="D714" t="s">
        <v>24</v>
      </c>
      <c r="E714" t="s">
        <v>31</v>
      </c>
      <c r="F714" t="s">
        <v>26</v>
      </c>
      <c r="G714" t="s">
        <v>27</v>
      </c>
    </row>
    <row r="715" spans="1:7" x14ac:dyDescent="0.2">
      <c r="A715">
        <v>20</v>
      </c>
      <c r="B715">
        <v>33</v>
      </c>
      <c r="C715" t="s">
        <v>494</v>
      </c>
      <c r="D715" t="s">
        <v>24</v>
      </c>
      <c r="E715" t="s">
        <v>31</v>
      </c>
      <c r="F715" t="s">
        <v>26</v>
      </c>
      <c r="G715" t="s">
        <v>27</v>
      </c>
    </row>
    <row r="716" spans="1:7" x14ac:dyDescent="0.2">
      <c r="A716">
        <v>20</v>
      </c>
      <c r="B716">
        <v>33</v>
      </c>
      <c r="C716" t="s">
        <v>445</v>
      </c>
      <c r="D716" t="s">
        <v>24</v>
      </c>
      <c r="E716" t="s">
        <v>31</v>
      </c>
      <c r="F716" t="s">
        <v>26</v>
      </c>
      <c r="G716" t="s">
        <v>27</v>
      </c>
    </row>
    <row r="717" spans="1:7" x14ac:dyDescent="0.2">
      <c r="A717">
        <v>20</v>
      </c>
      <c r="B717">
        <v>33</v>
      </c>
      <c r="C717" t="s">
        <v>451</v>
      </c>
      <c r="D717" t="s">
        <v>24</v>
      </c>
      <c r="E717" t="s">
        <v>31</v>
      </c>
      <c r="F717" t="s">
        <v>26</v>
      </c>
      <c r="G717" t="s">
        <v>27</v>
      </c>
    </row>
    <row r="718" spans="1:7" x14ac:dyDescent="0.2">
      <c r="A718">
        <v>20</v>
      </c>
      <c r="B718">
        <v>33</v>
      </c>
      <c r="C718" t="s">
        <v>499</v>
      </c>
      <c r="D718" t="s">
        <v>24</v>
      </c>
      <c r="E718" t="s">
        <v>31</v>
      </c>
      <c r="F718" t="s">
        <v>26</v>
      </c>
      <c r="G718" t="s">
        <v>27</v>
      </c>
    </row>
    <row r="719" spans="1:7" x14ac:dyDescent="0.2">
      <c r="A719">
        <v>21</v>
      </c>
      <c r="B719">
        <v>33</v>
      </c>
      <c r="C719" t="s">
        <v>500</v>
      </c>
      <c r="D719" t="s">
        <v>24</v>
      </c>
      <c r="E719" t="s">
        <v>31</v>
      </c>
      <c r="F719" t="s">
        <v>26</v>
      </c>
      <c r="G719" t="s">
        <v>27</v>
      </c>
    </row>
    <row r="720" spans="1:7" x14ac:dyDescent="0.2">
      <c r="A720">
        <v>21</v>
      </c>
      <c r="B720">
        <v>33</v>
      </c>
      <c r="C720" t="s">
        <v>501</v>
      </c>
      <c r="D720" t="s">
        <v>24</v>
      </c>
      <c r="E720" t="s">
        <v>31</v>
      </c>
      <c r="F720" t="s">
        <v>26</v>
      </c>
      <c r="G720" t="s">
        <v>27</v>
      </c>
    </row>
    <row r="721" spans="1:7" x14ac:dyDescent="0.2">
      <c r="A721">
        <v>21</v>
      </c>
      <c r="B721">
        <v>33</v>
      </c>
      <c r="C721" t="s">
        <v>488</v>
      </c>
      <c r="D721" t="s">
        <v>24</v>
      </c>
      <c r="E721" t="s">
        <v>31</v>
      </c>
      <c r="F721" t="s">
        <v>26</v>
      </c>
      <c r="G721" t="s">
        <v>27</v>
      </c>
    </row>
    <row r="722" spans="1:7" x14ac:dyDescent="0.2">
      <c r="A722">
        <v>21</v>
      </c>
      <c r="B722">
        <v>33</v>
      </c>
      <c r="C722" t="s">
        <v>502</v>
      </c>
      <c r="D722" t="s">
        <v>24</v>
      </c>
      <c r="E722" t="s">
        <v>31</v>
      </c>
      <c r="F722" t="s">
        <v>26</v>
      </c>
      <c r="G722" t="s">
        <v>27</v>
      </c>
    </row>
    <row r="723" spans="1:7" x14ac:dyDescent="0.2">
      <c r="A723">
        <v>21</v>
      </c>
      <c r="B723">
        <v>33</v>
      </c>
      <c r="C723" t="s">
        <v>489</v>
      </c>
      <c r="D723" t="s">
        <v>24</v>
      </c>
      <c r="E723" t="s">
        <v>31</v>
      </c>
      <c r="F723" t="s">
        <v>26</v>
      </c>
      <c r="G723" t="s">
        <v>27</v>
      </c>
    </row>
    <row r="724" spans="1:7" x14ac:dyDescent="0.2">
      <c r="A724">
        <v>21</v>
      </c>
      <c r="B724">
        <v>33</v>
      </c>
      <c r="C724" t="s">
        <v>503</v>
      </c>
      <c r="D724" t="s">
        <v>24</v>
      </c>
      <c r="E724" t="s">
        <v>31</v>
      </c>
      <c r="F724" t="s">
        <v>26</v>
      </c>
      <c r="G724" t="s">
        <v>27</v>
      </c>
    </row>
    <row r="725" spans="1:7" x14ac:dyDescent="0.2">
      <c r="A725">
        <v>21</v>
      </c>
      <c r="B725">
        <v>33</v>
      </c>
      <c r="C725" t="s">
        <v>504</v>
      </c>
      <c r="D725" t="s">
        <v>24</v>
      </c>
      <c r="E725" t="s">
        <v>31</v>
      </c>
      <c r="F725" t="s">
        <v>26</v>
      </c>
      <c r="G725" t="s">
        <v>27</v>
      </c>
    </row>
    <row r="726" spans="1:7" x14ac:dyDescent="0.2">
      <c r="A726">
        <v>21</v>
      </c>
      <c r="B726">
        <v>33</v>
      </c>
      <c r="C726" t="s">
        <v>505</v>
      </c>
      <c r="D726" t="s">
        <v>24</v>
      </c>
      <c r="E726" t="s">
        <v>25</v>
      </c>
      <c r="F726" t="s">
        <v>47</v>
      </c>
      <c r="G726" t="s">
        <v>27</v>
      </c>
    </row>
    <row r="727" spans="1:7" x14ac:dyDescent="0.2">
      <c r="A727">
        <v>21</v>
      </c>
      <c r="B727">
        <v>33</v>
      </c>
      <c r="C727" t="s">
        <v>494</v>
      </c>
      <c r="D727" t="s">
        <v>24</v>
      </c>
      <c r="E727" t="s">
        <v>31</v>
      </c>
      <c r="F727" t="s">
        <v>26</v>
      </c>
      <c r="G727" t="s">
        <v>27</v>
      </c>
    </row>
    <row r="728" spans="1:7" x14ac:dyDescent="0.2">
      <c r="A728">
        <v>22</v>
      </c>
      <c r="B728">
        <v>33</v>
      </c>
      <c r="C728" t="s">
        <v>493</v>
      </c>
      <c r="D728" t="s">
        <v>24</v>
      </c>
      <c r="E728" t="s">
        <v>25</v>
      </c>
      <c r="F728" t="s">
        <v>26</v>
      </c>
      <c r="G728" t="s">
        <v>27</v>
      </c>
    </row>
    <row r="729" spans="1:7" x14ac:dyDescent="0.2">
      <c r="A729">
        <v>22</v>
      </c>
      <c r="B729">
        <v>33</v>
      </c>
      <c r="C729" t="s">
        <v>505</v>
      </c>
      <c r="D729" t="s">
        <v>24</v>
      </c>
      <c r="E729" t="s">
        <v>25</v>
      </c>
      <c r="F729" t="s">
        <v>26</v>
      </c>
      <c r="G729" t="s">
        <v>27</v>
      </c>
    </row>
    <row r="730" spans="1:7" x14ac:dyDescent="0.2">
      <c r="A730">
        <v>22</v>
      </c>
      <c r="B730">
        <v>33</v>
      </c>
      <c r="C730" t="s">
        <v>468</v>
      </c>
      <c r="D730" t="s">
        <v>24</v>
      </c>
      <c r="E730" t="s">
        <v>25</v>
      </c>
      <c r="F730" t="s">
        <v>26</v>
      </c>
      <c r="G730" t="s">
        <v>27</v>
      </c>
    </row>
    <row r="731" spans="1:7" x14ac:dyDescent="0.2">
      <c r="A731">
        <v>22</v>
      </c>
      <c r="B731">
        <v>33</v>
      </c>
      <c r="C731" t="s">
        <v>466</v>
      </c>
      <c r="D731" t="s">
        <v>24</v>
      </c>
      <c r="E731" t="s">
        <v>25</v>
      </c>
      <c r="F731" t="s">
        <v>26</v>
      </c>
      <c r="G731" t="s">
        <v>27</v>
      </c>
    </row>
    <row r="732" spans="1:7" x14ac:dyDescent="0.2">
      <c r="A732">
        <v>22</v>
      </c>
      <c r="B732">
        <v>33</v>
      </c>
      <c r="C732" t="s">
        <v>442</v>
      </c>
      <c r="D732" t="s">
        <v>24</v>
      </c>
      <c r="E732" t="s">
        <v>25</v>
      </c>
      <c r="F732" t="s">
        <v>26</v>
      </c>
      <c r="G732" t="s">
        <v>27</v>
      </c>
    </row>
    <row r="733" spans="1:7" x14ac:dyDescent="0.2">
      <c r="A733">
        <v>22</v>
      </c>
      <c r="B733">
        <v>33</v>
      </c>
      <c r="C733" t="s">
        <v>506</v>
      </c>
      <c r="D733" t="s">
        <v>24</v>
      </c>
      <c r="E733" t="s">
        <v>25</v>
      </c>
      <c r="F733" t="s">
        <v>26</v>
      </c>
      <c r="G733" t="s">
        <v>27</v>
      </c>
    </row>
    <row r="734" spans="1:7" x14ac:dyDescent="0.2">
      <c r="A734">
        <v>22</v>
      </c>
      <c r="B734">
        <v>33</v>
      </c>
      <c r="C734" t="s">
        <v>445</v>
      </c>
      <c r="D734" t="s">
        <v>24</v>
      </c>
      <c r="E734" t="s">
        <v>25</v>
      </c>
      <c r="F734" t="s">
        <v>26</v>
      </c>
      <c r="G734" t="s">
        <v>27</v>
      </c>
    </row>
    <row r="735" spans="1:7" x14ac:dyDescent="0.2">
      <c r="A735">
        <v>22</v>
      </c>
      <c r="B735">
        <v>33</v>
      </c>
      <c r="C735" t="s">
        <v>507</v>
      </c>
      <c r="D735" t="s">
        <v>24</v>
      </c>
      <c r="E735" t="s">
        <v>25</v>
      </c>
      <c r="F735" t="s">
        <v>26</v>
      </c>
      <c r="G735" t="s">
        <v>27</v>
      </c>
    </row>
    <row r="736" spans="1:7" x14ac:dyDescent="0.2">
      <c r="A736">
        <v>23</v>
      </c>
      <c r="B736">
        <v>33</v>
      </c>
      <c r="C736" t="s">
        <v>508</v>
      </c>
      <c r="D736" t="s">
        <v>24</v>
      </c>
      <c r="E736" t="s">
        <v>31</v>
      </c>
      <c r="F736" t="s">
        <v>26</v>
      </c>
      <c r="G736" t="s">
        <v>27</v>
      </c>
    </row>
    <row r="737" spans="1:7" x14ac:dyDescent="0.2">
      <c r="A737">
        <v>23</v>
      </c>
      <c r="B737">
        <v>33</v>
      </c>
      <c r="C737" t="s">
        <v>509</v>
      </c>
      <c r="D737" t="s">
        <v>30</v>
      </c>
      <c r="E737" t="s">
        <v>31</v>
      </c>
      <c r="F737" t="s">
        <v>26</v>
      </c>
      <c r="G737" t="s">
        <v>27</v>
      </c>
    </row>
    <row r="738" spans="1:7" x14ac:dyDescent="0.2">
      <c r="A738">
        <v>23</v>
      </c>
      <c r="B738">
        <v>33</v>
      </c>
      <c r="C738" t="s">
        <v>510</v>
      </c>
      <c r="D738" t="s">
        <v>24</v>
      </c>
      <c r="E738" t="s">
        <v>31</v>
      </c>
      <c r="F738" t="s">
        <v>26</v>
      </c>
      <c r="G738" t="s">
        <v>27</v>
      </c>
    </row>
    <row r="739" spans="1:7" x14ac:dyDescent="0.2">
      <c r="A739">
        <v>23</v>
      </c>
      <c r="B739">
        <v>33</v>
      </c>
      <c r="C739" t="s">
        <v>511</v>
      </c>
      <c r="D739" t="s">
        <v>24</v>
      </c>
      <c r="E739" t="s">
        <v>31</v>
      </c>
      <c r="F739" t="s">
        <v>26</v>
      </c>
      <c r="G739" t="s">
        <v>27</v>
      </c>
    </row>
    <row r="740" spans="1:7" x14ac:dyDescent="0.2">
      <c r="A740">
        <v>7</v>
      </c>
      <c r="B740">
        <v>34</v>
      </c>
      <c r="C740" t="s">
        <v>512</v>
      </c>
      <c r="D740" t="s">
        <v>24</v>
      </c>
      <c r="E740" t="s">
        <v>31</v>
      </c>
      <c r="F740" t="s">
        <v>87</v>
      </c>
    </row>
    <row r="741" spans="1:7" x14ac:dyDescent="0.2">
      <c r="A741">
        <v>7</v>
      </c>
      <c r="B741">
        <v>34</v>
      </c>
      <c r="C741" t="s">
        <v>513</v>
      </c>
      <c r="D741" t="s">
        <v>24</v>
      </c>
      <c r="E741" t="s">
        <v>31</v>
      </c>
      <c r="F741" t="s">
        <v>87</v>
      </c>
    </row>
    <row r="742" spans="1:7" x14ac:dyDescent="0.2">
      <c r="A742">
        <v>7</v>
      </c>
      <c r="B742">
        <v>34</v>
      </c>
      <c r="C742" t="s">
        <v>514</v>
      </c>
      <c r="D742" t="s">
        <v>24</v>
      </c>
      <c r="E742" t="s">
        <v>31</v>
      </c>
      <c r="F742" t="s">
        <v>87</v>
      </c>
    </row>
    <row r="743" spans="1:7" x14ac:dyDescent="0.2">
      <c r="A743">
        <v>7</v>
      </c>
      <c r="B743">
        <v>34</v>
      </c>
      <c r="C743" t="s">
        <v>515</v>
      </c>
      <c r="D743" t="s">
        <v>24</v>
      </c>
      <c r="E743" t="s">
        <v>31</v>
      </c>
      <c r="F743" t="s">
        <v>87</v>
      </c>
    </row>
    <row r="744" spans="1:7" x14ac:dyDescent="0.2">
      <c r="A744">
        <v>7</v>
      </c>
      <c r="B744">
        <v>34</v>
      </c>
      <c r="C744" t="s">
        <v>516</v>
      </c>
      <c r="D744" t="s">
        <v>24</v>
      </c>
      <c r="E744" t="s">
        <v>31</v>
      </c>
      <c r="F744" t="s">
        <v>87</v>
      </c>
    </row>
    <row r="745" spans="1:7" x14ac:dyDescent="0.2">
      <c r="A745">
        <v>7</v>
      </c>
      <c r="B745">
        <v>34</v>
      </c>
      <c r="C745" t="s">
        <v>517</v>
      </c>
      <c r="D745" t="s">
        <v>24</v>
      </c>
      <c r="E745" t="s">
        <v>256</v>
      </c>
      <c r="F745" t="s">
        <v>87</v>
      </c>
    </row>
    <row r="746" spans="1:7" x14ac:dyDescent="0.2">
      <c r="A746">
        <v>8</v>
      </c>
      <c r="B746">
        <v>34</v>
      </c>
      <c r="C746" t="s">
        <v>518</v>
      </c>
      <c r="D746" t="s">
        <v>24</v>
      </c>
      <c r="E746" t="s">
        <v>25</v>
      </c>
      <c r="F746" t="s">
        <v>47</v>
      </c>
    </row>
    <row r="747" spans="1:7" x14ac:dyDescent="0.2">
      <c r="A747">
        <v>8</v>
      </c>
      <c r="B747">
        <v>34</v>
      </c>
      <c r="C747" t="s">
        <v>519</v>
      </c>
      <c r="D747" t="s">
        <v>24</v>
      </c>
      <c r="E747" t="s">
        <v>25</v>
      </c>
      <c r="F747" t="s">
        <v>47</v>
      </c>
    </row>
    <row r="748" spans="1:7" x14ac:dyDescent="0.2">
      <c r="A748">
        <v>8</v>
      </c>
      <c r="B748">
        <v>34</v>
      </c>
      <c r="C748" t="s">
        <v>520</v>
      </c>
      <c r="D748" t="s">
        <v>30</v>
      </c>
      <c r="E748" t="s">
        <v>25</v>
      </c>
      <c r="F748" t="s">
        <v>47</v>
      </c>
    </row>
    <row r="749" spans="1:7" x14ac:dyDescent="0.2">
      <c r="A749">
        <v>8</v>
      </c>
      <c r="B749">
        <v>34</v>
      </c>
      <c r="C749" t="s">
        <v>521</v>
      </c>
      <c r="D749" t="s">
        <v>24</v>
      </c>
      <c r="E749" t="s">
        <v>25</v>
      </c>
      <c r="F749" t="s">
        <v>47</v>
      </c>
    </row>
    <row r="750" spans="1:7" x14ac:dyDescent="0.2">
      <c r="A750">
        <v>9</v>
      </c>
      <c r="B750">
        <v>34</v>
      </c>
      <c r="C750" t="s">
        <v>522</v>
      </c>
      <c r="D750" t="s">
        <v>24</v>
      </c>
      <c r="E750" t="s">
        <v>31</v>
      </c>
      <c r="F750" t="s">
        <v>47</v>
      </c>
    </row>
    <row r="751" spans="1:7" x14ac:dyDescent="0.2">
      <c r="A751">
        <v>9</v>
      </c>
      <c r="B751">
        <v>34</v>
      </c>
      <c r="C751" t="s">
        <v>523</v>
      </c>
      <c r="D751" t="s">
        <v>24</v>
      </c>
      <c r="E751" t="s">
        <v>31</v>
      </c>
      <c r="F751" t="s">
        <v>47</v>
      </c>
    </row>
    <row r="752" spans="1:7" x14ac:dyDescent="0.2">
      <c r="A752">
        <v>9</v>
      </c>
      <c r="B752">
        <v>34</v>
      </c>
      <c r="C752" t="s">
        <v>524</v>
      </c>
      <c r="D752" t="s">
        <v>24</v>
      </c>
      <c r="E752" t="s">
        <v>31</v>
      </c>
      <c r="F752" t="s">
        <v>47</v>
      </c>
    </row>
    <row r="753" spans="1:6" x14ac:dyDescent="0.2">
      <c r="A753">
        <v>9</v>
      </c>
      <c r="B753">
        <v>34</v>
      </c>
      <c r="C753" t="s">
        <v>525</v>
      </c>
      <c r="D753" t="s">
        <v>24</v>
      </c>
      <c r="E753" t="s">
        <v>31</v>
      </c>
      <c r="F753" t="s">
        <v>47</v>
      </c>
    </row>
    <row r="754" spans="1:6" x14ac:dyDescent="0.2">
      <c r="A754">
        <v>9</v>
      </c>
      <c r="B754">
        <v>34</v>
      </c>
      <c r="C754" t="s">
        <v>526</v>
      </c>
      <c r="D754" t="s">
        <v>24</v>
      </c>
      <c r="E754" t="s">
        <v>31</v>
      </c>
      <c r="F754" t="s">
        <v>26</v>
      </c>
    </row>
    <row r="755" spans="1:6" x14ac:dyDescent="0.2">
      <c r="A755">
        <v>10</v>
      </c>
      <c r="B755">
        <v>34</v>
      </c>
      <c r="C755" t="s">
        <v>527</v>
      </c>
      <c r="D755" t="s">
        <v>24</v>
      </c>
      <c r="E755" t="s">
        <v>31</v>
      </c>
      <c r="F755" t="s">
        <v>26</v>
      </c>
    </row>
    <row r="756" spans="1:6" x14ac:dyDescent="0.2">
      <c r="A756">
        <v>10</v>
      </c>
      <c r="B756">
        <v>34</v>
      </c>
      <c r="C756" t="s">
        <v>528</v>
      </c>
      <c r="D756" t="s">
        <v>24</v>
      </c>
      <c r="E756" t="s">
        <v>31</v>
      </c>
      <c r="F756" t="s">
        <v>26</v>
      </c>
    </row>
    <row r="757" spans="1:6" x14ac:dyDescent="0.2">
      <c r="A757">
        <v>10</v>
      </c>
      <c r="B757">
        <v>34</v>
      </c>
      <c r="C757" t="s">
        <v>529</v>
      </c>
      <c r="D757" t="s">
        <v>24</v>
      </c>
      <c r="E757" t="s">
        <v>31</v>
      </c>
      <c r="F757" t="s">
        <v>26</v>
      </c>
    </row>
    <row r="758" spans="1:6" x14ac:dyDescent="0.2">
      <c r="A758">
        <v>10</v>
      </c>
      <c r="B758">
        <v>34</v>
      </c>
      <c r="C758" t="s">
        <v>530</v>
      </c>
      <c r="D758" t="s">
        <v>24</v>
      </c>
      <c r="E758" t="s">
        <v>31</v>
      </c>
      <c r="F758" t="s">
        <v>26</v>
      </c>
    </row>
    <row r="759" spans="1:6" x14ac:dyDescent="0.2">
      <c r="A759">
        <v>10</v>
      </c>
      <c r="B759">
        <v>34</v>
      </c>
      <c r="C759" t="s">
        <v>531</v>
      </c>
      <c r="D759" t="s">
        <v>24</v>
      </c>
      <c r="E759" t="s">
        <v>31</v>
      </c>
      <c r="F759" t="s">
        <v>26</v>
      </c>
    </row>
    <row r="760" spans="1:6" x14ac:dyDescent="0.2">
      <c r="A760">
        <v>10</v>
      </c>
      <c r="B760">
        <v>34</v>
      </c>
      <c r="C760" t="s">
        <v>523</v>
      </c>
      <c r="D760" t="s">
        <v>24</v>
      </c>
      <c r="E760" t="s">
        <v>31</v>
      </c>
      <c r="F760" t="s">
        <v>26</v>
      </c>
    </row>
    <row r="761" spans="1:6" x14ac:dyDescent="0.2">
      <c r="A761">
        <v>10</v>
      </c>
      <c r="B761">
        <v>34</v>
      </c>
      <c r="C761" t="s">
        <v>532</v>
      </c>
      <c r="D761" t="s">
        <v>24</v>
      </c>
      <c r="E761" t="s">
        <v>31</v>
      </c>
      <c r="F761" t="s">
        <v>26</v>
      </c>
    </row>
    <row r="762" spans="1:6" x14ac:dyDescent="0.2">
      <c r="A762">
        <v>10</v>
      </c>
      <c r="B762">
        <v>34</v>
      </c>
      <c r="C762" t="s">
        <v>533</v>
      </c>
      <c r="D762" t="s">
        <v>24</v>
      </c>
      <c r="E762" t="s">
        <v>31</v>
      </c>
      <c r="F762" t="s">
        <v>26</v>
      </c>
    </row>
    <row r="763" spans="1:6" x14ac:dyDescent="0.2">
      <c r="A763">
        <v>10</v>
      </c>
      <c r="B763">
        <v>34</v>
      </c>
      <c r="C763" t="s">
        <v>482</v>
      </c>
      <c r="D763" t="s">
        <v>24</v>
      </c>
      <c r="E763" t="s">
        <v>31</v>
      </c>
      <c r="F763" t="s">
        <v>26</v>
      </c>
    </row>
    <row r="764" spans="1:6" x14ac:dyDescent="0.2">
      <c r="A764">
        <v>10</v>
      </c>
      <c r="B764">
        <v>34</v>
      </c>
      <c r="C764" t="s">
        <v>447</v>
      </c>
      <c r="D764" t="s">
        <v>24</v>
      </c>
      <c r="E764" t="s">
        <v>31</v>
      </c>
      <c r="F764" t="s">
        <v>26</v>
      </c>
    </row>
    <row r="765" spans="1:6" x14ac:dyDescent="0.2">
      <c r="A765">
        <v>11</v>
      </c>
      <c r="B765">
        <v>34</v>
      </c>
      <c r="C765" t="s">
        <v>534</v>
      </c>
      <c r="D765" t="s">
        <v>24</v>
      </c>
      <c r="E765" t="s">
        <v>25</v>
      </c>
      <c r="F765" t="s">
        <v>26</v>
      </c>
    </row>
    <row r="766" spans="1:6" x14ac:dyDescent="0.2">
      <c r="A766">
        <v>11</v>
      </c>
      <c r="B766">
        <v>34</v>
      </c>
      <c r="C766" t="s">
        <v>535</v>
      </c>
      <c r="D766" t="s">
        <v>24</v>
      </c>
      <c r="E766" t="s">
        <v>25</v>
      </c>
      <c r="F766" t="s">
        <v>26</v>
      </c>
    </row>
    <row r="767" spans="1:6" x14ac:dyDescent="0.2">
      <c r="A767">
        <v>11</v>
      </c>
      <c r="B767">
        <v>34</v>
      </c>
      <c r="C767" t="s">
        <v>518</v>
      </c>
      <c r="D767" t="s">
        <v>24</v>
      </c>
      <c r="E767" t="s">
        <v>25</v>
      </c>
      <c r="F767" t="s">
        <v>26</v>
      </c>
    </row>
    <row r="768" spans="1:6" x14ac:dyDescent="0.2">
      <c r="A768">
        <v>11</v>
      </c>
      <c r="B768">
        <v>34</v>
      </c>
      <c r="C768" t="s">
        <v>536</v>
      </c>
      <c r="D768" t="s">
        <v>24</v>
      </c>
      <c r="E768" t="s">
        <v>25</v>
      </c>
      <c r="F768" t="s">
        <v>26</v>
      </c>
    </row>
    <row r="769" spans="1:6" x14ac:dyDescent="0.2">
      <c r="A769">
        <v>11</v>
      </c>
      <c r="B769">
        <v>34</v>
      </c>
      <c r="C769" t="s">
        <v>537</v>
      </c>
      <c r="D769" t="s">
        <v>24</v>
      </c>
      <c r="E769" t="s">
        <v>25</v>
      </c>
      <c r="F769" t="s">
        <v>47</v>
      </c>
    </row>
    <row r="770" spans="1:6" x14ac:dyDescent="0.2">
      <c r="A770">
        <v>11</v>
      </c>
      <c r="B770">
        <v>34</v>
      </c>
      <c r="C770" t="s">
        <v>538</v>
      </c>
      <c r="D770" t="s">
        <v>24</v>
      </c>
      <c r="E770" t="s">
        <v>25</v>
      </c>
      <c r="F770" t="s">
        <v>47</v>
      </c>
    </row>
    <row r="771" spans="1:6" x14ac:dyDescent="0.2">
      <c r="A771">
        <v>11</v>
      </c>
      <c r="B771">
        <v>34</v>
      </c>
      <c r="C771" t="s">
        <v>539</v>
      </c>
      <c r="D771" t="s">
        <v>24</v>
      </c>
      <c r="E771" t="s">
        <v>25</v>
      </c>
      <c r="F771" t="s">
        <v>26</v>
      </c>
    </row>
    <row r="772" spans="1:6" x14ac:dyDescent="0.2">
      <c r="A772">
        <v>11</v>
      </c>
      <c r="B772">
        <v>34</v>
      </c>
      <c r="C772" t="s">
        <v>540</v>
      </c>
      <c r="D772" t="s">
        <v>24</v>
      </c>
      <c r="E772" t="s">
        <v>25</v>
      </c>
      <c r="F772" t="s">
        <v>26</v>
      </c>
    </row>
    <row r="773" spans="1:6" x14ac:dyDescent="0.2">
      <c r="A773">
        <v>11</v>
      </c>
      <c r="B773">
        <v>34</v>
      </c>
      <c r="C773" t="s">
        <v>541</v>
      </c>
      <c r="D773" t="s">
        <v>24</v>
      </c>
      <c r="E773" t="s">
        <v>25</v>
      </c>
      <c r="F773" t="s">
        <v>26</v>
      </c>
    </row>
    <row r="774" spans="1:6" x14ac:dyDescent="0.2">
      <c r="A774">
        <v>11</v>
      </c>
      <c r="B774">
        <v>34</v>
      </c>
      <c r="C774" t="s">
        <v>542</v>
      </c>
      <c r="D774" t="s">
        <v>30</v>
      </c>
      <c r="E774" t="s">
        <v>25</v>
      </c>
      <c r="F774" t="s">
        <v>26</v>
      </c>
    </row>
    <row r="775" spans="1:6" x14ac:dyDescent="0.2">
      <c r="A775">
        <v>12</v>
      </c>
      <c r="B775">
        <v>34</v>
      </c>
      <c r="C775" t="s">
        <v>530</v>
      </c>
      <c r="D775" t="s">
        <v>24</v>
      </c>
      <c r="E775" t="s">
        <v>31</v>
      </c>
      <c r="F775" t="s">
        <v>47</v>
      </c>
    </row>
    <row r="776" spans="1:6" x14ac:dyDescent="0.2">
      <c r="A776">
        <v>12</v>
      </c>
      <c r="B776">
        <v>34</v>
      </c>
      <c r="C776" t="s">
        <v>494</v>
      </c>
      <c r="D776" t="s">
        <v>24</v>
      </c>
      <c r="E776" t="s">
        <v>31</v>
      </c>
      <c r="F776" t="s">
        <v>47</v>
      </c>
    </row>
    <row r="777" spans="1:6" x14ac:dyDescent="0.2">
      <c r="A777">
        <v>12</v>
      </c>
      <c r="B777">
        <v>34</v>
      </c>
      <c r="C777" t="s">
        <v>543</v>
      </c>
      <c r="D777" t="s">
        <v>24</v>
      </c>
      <c r="E777" t="s">
        <v>31</v>
      </c>
      <c r="F777" t="s">
        <v>87</v>
      </c>
    </row>
    <row r="778" spans="1:6" x14ac:dyDescent="0.2">
      <c r="A778">
        <v>12</v>
      </c>
      <c r="B778">
        <v>34</v>
      </c>
      <c r="C778" t="s">
        <v>532</v>
      </c>
      <c r="D778" t="s">
        <v>24</v>
      </c>
      <c r="E778" t="s">
        <v>31</v>
      </c>
      <c r="F778" t="s">
        <v>87</v>
      </c>
    </row>
    <row r="779" spans="1:6" x14ac:dyDescent="0.2">
      <c r="A779">
        <v>12</v>
      </c>
      <c r="B779">
        <v>34</v>
      </c>
      <c r="C779" t="s">
        <v>544</v>
      </c>
      <c r="D779" t="s">
        <v>24</v>
      </c>
      <c r="E779" t="s">
        <v>31</v>
      </c>
      <c r="F779" t="s">
        <v>87</v>
      </c>
    </row>
    <row r="780" spans="1:6" x14ac:dyDescent="0.2">
      <c r="A780">
        <v>13</v>
      </c>
      <c r="B780">
        <v>34</v>
      </c>
      <c r="C780" t="s">
        <v>545</v>
      </c>
      <c r="D780" t="s">
        <v>24</v>
      </c>
      <c r="E780" t="s">
        <v>31</v>
      </c>
      <c r="F780" t="s">
        <v>47</v>
      </c>
    </row>
    <row r="781" spans="1:6" x14ac:dyDescent="0.2">
      <c r="A781">
        <v>13</v>
      </c>
      <c r="B781">
        <v>34</v>
      </c>
      <c r="C781" t="s">
        <v>546</v>
      </c>
      <c r="D781" t="s">
        <v>24</v>
      </c>
      <c r="E781" t="s">
        <v>31</v>
      </c>
      <c r="F781" t="s">
        <v>47</v>
      </c>
    </row>
    <row r="782" spans="1:6" x14ac:dyDescent="0.2">
      <c r="A782">
        <v>13</v>
      </c>
      <c r="B782">
        <v>34</v>
      </c>
      <c r="C782" t="s">
        <v>547</v>
      </c>
      <c r="D782" t="s">
        <v>24</v>
      </c>
      <c r="E782" t="s">
        <v>31</v>
      </c>
      <c r="F782" t="s">
        <v>47</v>
      </c>
    </row>
    <row r="783" spans="1:6" x14ac:dyDescent="0.2">
      <c r="A783">
        <v>14</v>
      </c>
      <c r="B783">
        <v>34</v>
      </c>
      <c r="C783" t="s">
        <v>548</v>
      </c>
      <c r="D783" t="s">
        <v>24</v>
      </c>
      <c r="E783" t="s">
        <v>31</v>
      </c>
      <c r="F783" t="s">
        <v>26</v>
      </c>
    </row>
    <row r="784" spans="1:6" x14ac:dyDescent="0.2">
      <c r="A784">
        <v>14</v>
      </c>
      <c r="B784">
        <v>34</v>
      </c>
      <c r="C784" t="s">
        <v>549</v>
      </c>
      <c r="D784" t="s">
        <v>24</v>
      </c>
      <c r="E784" t="s">
        <v>31</v>
      </c>
      <c r="F784" t="s">
        <v>26</v>
      </c>
    </row>
    <row r="785" spans="1:6" x14ac:dyDescent="0.2">
      <c r="A785">
        <v>14</v>
      </c>
      <c r="B785">
        <v>34</v>
      </c>
      <c r="C785" t="s">
        <v>508</v>
      </c>
      <c r="D785" t="s">
        <v>24</v>
      </c>
      <c r="E785" t="s">
        <v>31</v>
      </c>
      <c r="F785" t="s">
        <v>26</v>
      </c>
    </row>
    <row r="786" spans="1:6" x14ac:dyDescent="0.2">
      <c r="A786">
        <v>14</v>
      </c>
      <c r="B786">
        <v>34</v>
      </c>
      <c r="C786" t="s">
        <v>550</v>
      </c>
      <c r="D786" t="s">
        <v>30</v>
      </c>
      <c r="E786" t="s">
        <v>31</v>
      </c>
      <c r="F786" t="s">
        <v>26</v>
      </c>
    </row>
    <row r="787" spans="1:6" x14ac:dyDescent="0.2">
      <c r="A787">
        <v>15</v>
      </c>
      <c r="B787">
        <v>34</v>
      </c>
      <c r="C787" t="s">
        <v>551</v>
      </c>
      <c r="D787" t="s">
        <v>24</v>
      </c>
      <c r="E787" t="s">
        <v>31</v>
      </c>
      <c r="F787" t="s">
        <v>47</v>
      </c>
    </row>
    <row r="788" spans="1:6" x14ac:dyDescent="0.2">
      <c r="A788">
        <v>15</v>
      </c>
      <c r="B788">
        <v>34</v>
      </c>
      <c r="C788" t="s">
        <v>552</v>
      </c>
      <c r="D788" t="s">
        <v>24</v>
      </c>
      <c r="E788" t="s">
        <v>31</v>
      </c>
      <c r="F788" t="s">
        <v>47</v>
      </c>
    </row>
    <row r="789" spans="1:6" x14ac:dyDescent="0.2">
      <c r="A789">
        <v>16</v>
      </c>
      <c r="B789">
        <v>34</v>
      </c>
      <c r="C789" t="s">
        <v>553</v>
      </c>
      <c r="D789" t="s">
        <v>24</v>
      </c>
      <c r="E789" t="s">
        <v>31</v>
      </c>
      <c r="F789" t="s">
        <v>47</v>
      </c>
    </row>
    <row r="790" spans="1:6" x14ac:dyDescent="0.2">
      <c r="A790">
        <v>16</v>
      </c>
      <c r="B790">
        <v>34</v>
      </c>
      <c r="C790" t="s">
        <v>554</v>
      </c>
      <c r="D790" t="s">
        <v>24</v>
      </c>
      <c r="E790" t="s">
        <v>31</v>
      </c>
      <c r="F790" t="s">
        <v>47</v>
      </c>
    </row>
    <row r="791" spans="1:6" x14ac:dyDescent="0.2">
      <c r="A791">
        <v>16</v>
      </c>
      <c r="B791">
        <v>34</v>
      </c>
      <c r="C791" t="s">
        <v>552</v>
      </c>
      <c r="D791" t="s">
        <v>24</v>
      </c>
      <c r="E791" t="s">
        <v>31</v>
      </c>
      <c r="F791" t="s">
        <v>47</v>
      </c>
    </row>
    <row r="792" spans="1:6" x14ac:dyDescent="0.2">
      <c r="A792">
        <v>16</v>
      </c>
      <c r="B792">
        <v>34</v>
      </c>
      <c r="C792" t="s">
        <v>555</v>
      </c>
      <c r="D792" t="s">
        <v>24</v>
      </c>
      <c r="E792" t="s">
        <v>31</v>
      </c>
      <c r="F792" t="s">
        <v>47</v>
      </c>
    </row>
    <row r="793" spans="1:6" x14ac:dyDescent="0.2">
      <c r="A793">
        <v>17</v>
      </c>
      <c r="B793">
        <v>34</v>
      </c>
      <c r="C793" t="s">
        <v>556</v>
      </c>
      <c r="D793" t="s">
        <v>24</v>
      </c>
      <c r="E793" t="s">
        <v>31</v>
      </c>
      <c r="F793" t="s">
        <v>26</v>
      </c>
    </row>
    <row r="794" spans="1:6" x14ac:dyDescent="0.2">
      <c r="A794">
        <v>17</v>
      </c>
      <c r="B794">
        <v>34</v>
      </c>
      <c r="C794" t="s">
        <v>557</v>
      </c>
      <c r="D794" t="s">
        <v>24</v>
      </c>
      <c r="E794" t="s">
        <v>31</v>
      </c>
      <c r="F794" t="s">
        <v>26</v>
      </c>
    </row>
    <row r="795" spans="1:6" x14ac:dyDescent="0.2">
      <c r="A795">
        <v>18</v>
      </c>
      <c r="B795">
        <v>34</v>
      </c>
      <c r="C795" t="s">
        <v>558</v>
      </c>
      <c r="D795" t="s">
        <v>24</v>
      </c>
      <c r="E795" t="s">
        <v>31</v>
      </c>
      <c r="F795" t="s">
        <v>26</v>
      </c>
    </row>
    <row r="796" spans="1:6" x14ac:dyDescent="0.2">
      <c r="A796">
        <v>18</v>
      </c>
      <c r="B796">
        <v>34</v>
      </c>
      <c r="C796" t="s">
        <v>559</v>
      </c>
      <c r="D796" t="s">
        <v>24</v>
      </c>
      <c r="E796" t="s">
        <v>31</v>
      </c>
      <c r="F796" t="s">
        <v>26</v>
      </c>
    </row>
    <row r="797" spans="1:6" x14ac:dyDescent="0.2">
      <c r="A797">
        <v>18</v>
      </c>
      <c r="B797">
        <v>34</v>
      </c>
      <c r="C797" t="s">
        <v>560</v>
      </c>
      <c r="D797" t="s">
        <v>24</v>
      </c>
      <c r="E797" t="s">
        <v>31</v>
      </c>
      <c r="F797" t="s">
        <v>26</v>
      </c>
    </row>
    <row r="798" spans="1:6" x14ac:dyDescent="0.2">
      <c r="A798">
        <v>18</v>
      </c>
      <c r="B798">
        <v>34</v>
      </c>
      <c r="C798" t="s">
        <v>561</v>
      </c>
      <c r="D798" t="s">
        <v>24</v>
      </c>
      <c r="E798" t="s">
        <v>31</v>
      </c>
      <c r="F798" t="s">
        <v>26</v>
      </c>
    </row>
    <row r="799" spans="1:6" x14ac:dyDescent="0.2">
      <c r="A799">
        <v>18</v>
      </c>
      <c r="B799">
        <v>34</v>
      </c>
      <c r="C799" t="s">
        <v>562</v>
      </c>
      <c r="D799" t="s">
        <v>24</v>
      </c>
      <c r="E799" t="s">
        <v>31</v>
      </c>
      <c r="F799" t="s">
        <v>26</v>
      </c>
    </row>
    <row r="800" spans="1:6" x14ac:dyDescent="0.2">
      <c r="A800">
        <v>18</v>
      </c>
      <c r="B800">
        <v>34</v>
      </c>
      <c r="C800" t="s">
        <v>563</v>
      </c>
      <c r="D800" t="s">
        <v>24</v>
      </c>
      <c r="E800" t="s">
        <v>31</v>
      </c>
      <c r="F800" t="s">
        <v>26</v>
      </c>
    </row>
    <row r="801" spans="1:6" x14ac:dyDescent="0.2">
      <c r="A801">
        <v>18</v>
      </c>
      <c r="B801">
        <v>34</v>
      </c>
      <c r="C801" t="s">
        <v>564</v>
      </c>
      <c r="D801" t="s">
        <v>24</v>
      </c>
      <c r="E801" t="s">
        <v>31</v>
      </c>
      <c r="F801" t="s">
        <v>26</v>
      </c>
    </row>
    <row r="802" spans="1:6" x14ac:dyDescent="0.2">
      <c r="A802">
        <v>19</v>
      </c>
      <c r="B802">
        <v>34</v>
      </c>
      <c r="C802" t="s">
        <v>530</v>
      </c>
      <c r="D802" t="s">
        <v>24</v>
      </c>
      <c r="E802" t="s">
        <v>25</v>
      </c>
      <c r="F802" t="s">
        <v>47</v>
      </c>
    </row>
    <row r="803" spans="1:6" x14ac:dyDescent="0.2">
      <c r="A803">
        <v>19</v>
      </c>
      <c r="B803">
        <v>34</v>
      </c>
      <c r="C803" t="s">
        <v>565</v>
      </c>
      <c r="D803" t="s">
        <v>24</v>
      </c>
      <c r="E803" t="s">
        <v>25</v>
      </c>
      <c r="F803" t="s">
        <v>26</v>
      </c>
    </row>
    <row r="804" spans="1:6" x14ac:dyDescent="0.2">
      <c r="A804">
        <v>19</v>
      </c>
      <c r="B804">
        <v>34</v>
      </c>
      <c r="C804" t="s">
        <v>558</v>
      </c>
      <c r="D804" t="s">
        <v>24</v>
      </c>
      <c r="E804" t="s">
        <v>25</v>
      </c>
      <c r="F804" t="s">
        <v>26</v>
      </c>
    </row>
    <row r="805" spans="1:6" x14ac:dyDescent="0.2">
      <c r="A805">
        <v>19</v>
      </c>
      <c r="B805">
        <v>34</v>
      </c>
      <c r="C805" t="s">
        <v>566</v>
      </c>
      <c r="D805" t="s">
        <v>24</v>
      </c>
      <c r="E805" t="s">
        <v>25</v>
      </c>
      <c r="F805" t="s">
        <v>26</v>
      </c>
    </row>
    <row r="806" spans="1:6" x14ac:dyDescent="0.2">
      <c r="A806">
        <v>19</v>
      </c>
      <c r="B806">
        <v>34</v>
      </c>
      <c r="C806" t="s">
        <v>567</v>
      </c>
      <c r="D806" t="s">
        <v>24</v>
      </c>
      <c r="E806" t="s">
        <v>25</v>
      </c>
      <c r="F806" t="s">
        <v>26</v>
      </c>
    </row>
    <row r="807" spans="1:6" x14ac:dyDescent="0.2">
      <c r="A807">
        <v>19</v>
      </c>
      <c r="B807">
        <v>34</v>
      </c>
      <c r="C807" t="s">
        <v>568</v>
      </c>
      <c r="D807" t="s">
        <v>24</v>
      </c>
      <c r="E807" t="s">
        <v>25</v>
      </c>
      <c r="F807" t="s">
        <v>26</v>
      </c>
    </row>
    <row r="808" spans="1:6" x14ac:dyDescent="0.2">
      <c r="A808">
        <v>19</v>
      </c>
      <c r="B808">
        <v>34</v>
      </c>
      <c r="C808" t="s">
        <v>569</v>
      </c>
      <c r="D808" t="s">
        <v>24</v>
      </c>
      <c r="E808" t="s">
        <v>25</v>
      </c>
      <c r="F808" t="s">
        <v>26</v>
      </c>
    </row>
    <row r="809" spans="1:6" x14ac:dyDescent="0.2">
      <c r="A809">
        <v>19</v>
      </c>
      <c r="B809">
        <v>34</v>
      </c>
      <c r="C809" t="s">
        <v>570</v>
      </c>
      <c r="D809" t="s">
        <v>24</v>
      </c>
      <c r="E809" t="s">
        <v>25</v>
      </c>
      <c r="F809" t="s">
        <v>26</v>
      </c>
    </row>
    <row r="810" spans="1:6" x14ac:dyDescent="0.2">
      <c r="A810">
        <v>19</v>
      </c>
      <c r="B810">
        <v>34</v>
      </c>
      <c r="C810" t="s">
        <v>560</v>
      </c>
      <c r="D810" t="s">
        <v>24</v>
      </c>
      <c r="E810" t="s">
        <v>25</v>
      </c>
      <c r="F810" t="s">
        <v>26</v>
      </c>
    </row>
    <row r="811" spans="1:6" x14ac:dyDescent="0.2">
      <c r="A811">
        <v>19</v>
      </c>
      <c r="B811">
        <v>34</v>
      </c>
      <c r="C811" t="s">
        <v>571</v>
      </c>
      <c r="D811" t="s">
        <v>24</v>
      </c>
      <c r="E811" t="s">
        <v>25</v>
      </c>
      <c r="F811" t="s">
        <v>26</v>
      </c>
    </row>
    <row r="812" spans="1:6" x14ac:dyDescent="0.2">
      <c r="A812">
        <v>19</v>
      </c>
      <c r="B812">
        <v>34</v>
      </c>
      <c r="C812" t="s">
        <v>572</v>
      </c>
      <c r="D812" t="s">
        <v>24</v>
      </c>
      <c r="E812" t="s">
        <v>25</v>
      </c>
      <c r="F812" t="s">
        <v>26</v>
      </c>
    </row>
    <row r="813" spans="1:6" x14ac:dyDescent="0.2">
      <c r="A813">
        <v>19</v>
      </c>
      <c r="B813">
        <v>34</v>
      </c>
      <c r="C813" t="s">
        <v>573</v>
      </c>
      <c r="D813" t="s">
        <v>24</v>
      </c>
      <c r="E813" t="s">
        <v>25</v>
      </c>
      <c r="F813" t="s">
        <v>26</v>
      </c>
    </row>
    <row r="814" spans="1:6" x14ac:dyDescent="0.2">
      <c r="A814">
        <v>20</v>
      </c>
      <c r="B814">
        <v>34</v>
      </c>
      <c r="C814" t="s">
        <v>530</v>
      </c>
      <c r="D814" t="s">
        <v>24</v>
      </c>
      <c r="E814" t="s">
        <v>31</v>
      </c>
      <c r="F814" t="s">
        <v>26</v>
      </c>
    </row>
    <row r="815" spans="1:6" x14ac:dyDescent="0.2">
      <c r="A815">
        <v>20</v>
      </c>
      <c r="B815">
        <v>34</v>
      </c>
      <c r="C815" t="s">
        <v>574</v>
      </c>
      <c r="D815" t="s">
        <v>24</v>
      </c>
      <c r="E815" t="s">
        <v>31</v>
      </c>
      <c r="F815" t="s">
        <v>47</v>
      </c>
    </row>
    <row r="816" spans="1:6" x14ac:dyDescent="0.2">
      <c r="A816">
        <v>20</v>
      </c>
      <c r="B816">
        <v>34</v>
      </c>
      <c r="C816" t="s">
        <v>575</v>
      </c>
      <c r="D816" t="s">
        <v>24</v>
      </c>
      <c r="E816" t="s">
        <v>31</v>
      </c>
      <c r="F816" t="s">
        <v>26</v>
      </c>
    </row>
    <row r="817" spans="1:6" x14ac:dyDescent="0.2">
      <c r="A817">
        <v>20</v>
      </c>
      <c r="B817">
        <v>34</v>
      </c>
      <c r="C817" t="s">
        <v>576</v>
      </c>
      <c r="D817" t="s">
        <v>24</v>
      </c>
      <c r="E817" t="s">
        <v>31</v>
      </c>
      <c r="F817" t="s">
        <v>47</v>
      </c>
    </row>
    <row r="818" spans="1:6" x14ac:dyDescent="0.2">
      <c r="A818">
        <v>20</v>
      </c>
      <c r="B818">
        <v>34</v>
      </c>
      <c r="C818" t="s">
        <v>577</v>
      </c>
      <c r="D818" t="s">
        <v>24</v>
      </c>
      <c r="E818" t="s">
        <v>31</v>
      </c>
      <c r="F818" t="s">
        <v>47</v>
      </c>
    </row>
    <row r="819" spans="1:6" x14ac:dyDescent="0.2">
      <c r="A819">
        <v>20</v>
      </c>
      <c r="B819">
        <v>34</v>
      </c>
      <c r="C819" t="s">
        <v>578</v>
      </c>
      <c r="D819" t="s">
        <v>24</v>
      </c>
      <c r="E819" t="s">
        <v>31</v>
      </c>
      <c r="F819" t="s">
        <v>47</v>
      </c>
    </row>
    <row r="820" spans="1:6" x14ac:dyDescent="0.2">
      <c r="A820">
        <v>20</v>
      </c>
      <c r="B820">
        <v>34</v>
      </c>
      <c r="C820" t="s">
        <v>579</v>
      </c>
      <c r="D820" t="s">
        <v>24</v>
      </c>
      <c r="E820" t="s">
        <v>31</v>
      </c>
      <c r="F820" t="s">
        <v>47</v>
      </c>
    </row>
    <row r="821" spans="1:6" x14ac:dyDescent="0.2">
      <c r="A821">
        <v>20</v>
      </c>
      <c r="B821">
        <v>34</v>
      </c>
      <c r="C821" t="s">
        <v>570</v>
      </c>
      <c r="D821" t="s">
        <v>24</v>
      </c>
      <c r="E821" t="s">
        <v>31</v>
      </c>
      <c r="F821" t="s">
        <v>26</v>
      </c>
    </row>
    <row r="822" spans="1:6" x14ac:dyDescent="0.2">
      <c r="A822">
        <v>20</v>
      </c>
      <c r="B822">
        <v>34</v>
      </c>
      <c r="C822" t="s">
        <v>580</v>
      </c>
      <c r="D822" t="s">
        <v>24</v>
      </c>
      <c r="E822" t="s">
        <v>31</v>
      </c>
      <c r="F822" t="s">
        <v>26</v>
      </c>
    </row>
    <row r="823" spans="1:6" x14ac:dyDescent="0.2">
      <c r="A823">
        <v>21</v>
      </c>
      <c r="B823">
        <v>34</v>
      </c>
      <c r="C823" t="s">
        <v>530</v>
      </c>
      <c r="D823" t="s">
        <v>24</v>
      </c>
      <c r="E823" t="s">
        <v>31</v>
      </c>
      <c r="F823" t="s">
        <v>26</v>
      </c>
    </row>
    <row r="824" spans="1:6" x14ac:dyDescent="0.2">
      <c r="A824">
        <v>21</v>
      </c>
      <c r="B824">
        <v>34</v>
      </c>
      <c r="C824" t="s">
        <v>575</v>
      </c>
      <c r="D824" t="s">
        <v>24</v>
      </c>
      <c r="E824" t="s">
        <v>31</v>
      </c>
      <c r="F824" t="s">
        <v>47</v>
      </c>
    </row>
    <row r="825" spans="1:6" x14ac:dyDescent="0.2">
      <c r="A825">
        <v>21</v>
      </c>
      <c r="B825">
        <v>34</v>
      </c>
      <c r="C825" t="s">
        <v>581</v>
      </c>
      <c r="D825" t="s">
        <v>24</v>
      </c>
      <c r="E825" t="s">
        <v>31</v>
      </c>
      <c r="F825" t="s">
        <v>47</v>
      </c>
    </row>
    <row r="826" spans="1:6" x14ac:dyDescent="0.2">
      <c r="A826">
        <v>21</v>
      </c>
      <c r="B826">
        <v>34</v>
      </c>
      <c r="C826" t="s">
        <v>582</v>
      </c>
      <c r="D826" t="s">
        <v>24</v>
      </c>
      <c r="E826" t="s">
        <v>31</v>
      </c>
      <c r="F826" t="s">
        <v>47</v>
      </c>
    </row>
    <row r="827" spans="1:6" x14ac:dyDescent="0.2">
      <c r="A827">
        <v>21</v>
      </c>
      <c r="B827">
        <v>34</v>
      </c>
      <c r="C827" t="s">
        <v>583</v>
      </c>
      <c r="D827" t="s">
        <v>24</v>
      </c>
      <c r="E827" t="s">
        <v>31</v>
      </c>
      <c r="F827" t="s">
        <v>26</v>
      </c>
    </row>
    <row r="828" spans="1:6" x14ac:dyDescent="0.2">
      <c r="A828">
        <v>21</v>
      </c>
      <c r="B828">
        <v>34</v>
      </c>
      <c r="C828" t="s">
        <v>584</v>
      </c>
      <c r="D828" t="s">
        <v>24</v>
      </c>
      <c r="E828" t="s">
        <v>31</v>
      </c>
      <c r="F828" t="s">
        <v>47</v>
      </c>
    </row>
    <row r="829" spans="1:6" x14ac:dyDescent="0.2">
      <c r="A829">
        <v>21</v>
      </c>
      <c r="B829">
        <v>34</v>
      </c>
      <c r="C829" t="s">
        <v>585</v>
      </c>
      <c r="D829" t="s">
        <v>24</v>
      </c>
      <c r="E829" t="s">
        <v>31</v>
      </c>
      <c r="F829" t="s">
        <v>47</v>
      </c>
    </row>
    <row r="830" spans="1:6" x14ac:dyDescent="0.2">
      <c r="A830">
        <v>22</v>
      </c>
      <c r="B830">
        <v>34</v>
      </c>
      <c r="C830" t="s">
        <v>586</v>
      </c>
      <c r="D830" t="s">
        <v>24</v>
      </c>
      <c r="E830" t="s">
        <v>25</v>
      </c>
      <c r="F830" t="s">
        <v>26</v>
      </c>
    </row>
    <row r="831" spans="1:6" x14ac:dyDescent="0.2">
      <c r="A831">
        <v>22</v>
      </c>
      <c r="B831">
        <v>34</v>
      </c>
      <c r="C831" t="s">
        <v>529</v>
      </c>
      <c r="D831" t="s">
        <v>24</v>
      </c>
      <c r="E831" t="s">
        <v>25</v>
      </c>
      <c r="F831" t="s">
        <v>26</v>
      </c>
    </row>
    <row r="832" spans="1:6" x14ac:dyDescent="0.2">
      <c r="A832">
        <v>22</v>
      </c>
      <c r="B832">
        <v>34</v>
      </c>
      <c r="C832" t="s">
        <v>587</v>
      </c>
      <c r="D832" t="s">
        <v>24</v>
      </c>
      <c r="E832" t="s">
        <v>25</v>
      </c>
      <c r="F832" t="s">
        <v>47</v>
      </c>
    </row>
    <row r="833" spans="1:7" x14ac:dyDescent="0.2">
      <c r="A833">
        <v>22</v>
      </c>
      <c r="B833">
        <v>34</v>
      </c>
      <c r="C833" t="s">
        <v>575</v>
      </c>
      <c r="D833" t="s">
        <v>24</v>
      </c>
      <c r="E833" t="s">
        <v>25</v>
      </c>
      <c r="F833" t="s">
        <v>47</v>
      </c>
    </row>
    <row r="834" spans="1:7" x14ac:dyDescent="0.2">
      <c r="A834">
        <v>22</v>
      </c>
      <c r="B834">
        <v>34</v>
      </c>
      <c r="C834" t="s">
        <v>576</v>
      </c>
      <c r="D834" t="s">
        <v>24</v>
      </c>
      <c r="E834" t="s">
        <v>25</v>
      </c>
      <c r="F834" t="s">
        <v>47</v>
      </c>
    </row>
    <row r="835" spans="1:7" x14ac:dyDescent="0.2">
      <c r="A835">
        <v>22</v>
      </c>
      <c r="B835">
        <v>34</v>
      </c>
      <c r="C835" t="s">
        <v>588</v>
      </c>
      <c r="D835" t="s">
        <v>24</v>
      </c>
      <c r="E835" t="s">
        <v>25</v>
      </c>
      <c r="F835" t="s">
        <v>47</v>
      </c>
    </row>
    <row r="836" spans="1:7" x14ac:dyDescent="0.2">
      <c r="A836">
        <v>22</v>
      </c>
      <c r="B836">
        <v>34</v>
      </c>
      <c r="C836" t="s">
        <v>570</v>
      </c>
      <c r="D836" t="s">
        <v>24</v>
      </c>
      <c r="E836" t="s">
        <v>25</v>
      </c>
      <c r="F836" t="s">
        <v>47</v>
      </c>
    </row>
    <row r="837" spans="1:7" x14ac:dyDescent="0.2">
      <c r="A837">
        <v>22</v>
      </c>
      <c r="B837">
        <v>34</v>
      </c>
      <c r="C837" t="s">
        <v>589</v>
      </c>
      <c r="D837" t="s">
        <v>24</v>
      </c>
      <c r="E837" t="s">
        <v>25</v>
      </c>
      <c r="F837" t="s">
        <v>26</v>
      </c>
    </row>
    <row r="838" spans="1:7" x14ac:dyDescent="0.2">
      <c r="A838">
        <v>22</v>
      </c>
      <c r="B838">
        <v>34</v>
      </c>
      <c r="C838" t="s">
        <v>590</v>
      </c>
      <c r="D838" t="s">
        <v>24</v>
      </c>
      <c r="E838" t="s">
        <v>25</v>
      </c>
      <c r="F838" t="s">
        <v>26</v>
      </c>
    </row>
    <row r="839" spans="1:7" x14ac:dyDescent="0.2">
      <c r="A839">
        <v>23</v>
      </c>
      <c r="B839">
        <v>34</v>
      </c>
      <c r="C839" t="s">
        <v>591</v>
      </c>
      <c r="D839" t="s">
        <v>30</v>
      </c>
      <c r="E839" t="s">
        <v>31</v>
      </c>
      <c r="F839" t="s">
        <v>26</v>
      </c>
    </row>
    <row r="840" spans="1:7" x14ac:dyDescent="0.2">
      <c r="A840">
        <v>23</v>
      </c>
      <c r="B840">
        <v>34</v>
      </c>
      <c r="C840" t="s">
        <v>592</v>
      </c>
      <c r="D840" t="s">
        <v>24</v>
      </c>
      <c r="E840" t="s">
        <v>31</v>
      </c>
      <c r="F840" t="s">
        <v>26</v>
      </c>
    </row>
    <row r="841" spans="1:7" x14ac:dyDescent="0.2">
      <c r="A841">
        <v>23</v>
      </c>
      <c r="B841">
        <v>34</v>
      </c>
      <c r="C841" t="s">
        <v>593</v>
      </c>
      <c r="D841" t="s">
        <v>24</v>
      </c>
      <c r="E841" t="s">
        <v>31</v>
      </c>
      <c r="F841" t="s">
        <v>47</v>
      </c>
    </row>
    <row r="842" spans="1:7" x14ac:dyDescent="0.2">
      <c r="A842">
        <v>23</v>
      </c>
      <c r="B842">
        <v>34</v>
      </c>
      <c r="C842" t="s">
        <v>594</v>
      </c>
      <c r="D842" t="s">
        <v>24</v>
      </c>
      <c r="E842" t="s">
        <v>31</v>
      </c>
      <c r="F842" t="s">
        <v>26</v>
      </c>
    </row>
    <row r="843" spans="1:7" x14ac:dyDescent="0.2">
      <c r="A843">
        <v>23</v>
      </c>
      <c r="B843">
        <v>34</v>
      </c>
      <c r="C843" t="s">
        <v>474</v>
      </c>
      <c r="D843" t="s">
        <v>24</v>
      </c>
      <c r="E843" t="s">
        <v>31</v>
      </c>
      <c r="F843" t="s">
        <v>26</v>
      </c>
    </row>
    <row r="844" spans="1:7" x14ac:dyDescent="0.2">
      <c r="A844">
        <v>23</v>
      </c>
      <c r="B844">
        <v>34</v>
      </c>
      <c r="C844" t="s">
        <v>595</v>
      </c>
      <c r="D844" t="s">
        <v>24</v>
      </c>
      <c r="E844" t="s">
        <v>31</v>
      </c>
      <c r="F844" t="s">
        <v>26</v>
      </c>
    </row>
    <row r="845" spans="1:7" x14ac:dyDescent="0.2">
      <c r="A845">
        <v>7</v>
      </c>
      <c r="B845">
        <v>35</v>
      </c>
      <c r="C845" t="s">
        <v>596</v>
      </c>
      <c r="D845" t="s">
        <v>24</v>
      </c>
      <c r="E845" t="s">
        <v>31</v>
      </c>
      <c r="F845" t="s">
        <v>87</v>
      </c>
      <c r="G845" t="s">
        <v>27</v>
      </c>
    </row>
    <row r="846" spans="1:7" x14ac:dyDescent="0.2">
      <c r="A846">
        <v>7</v>
      </c>
      <c r="B846">
        <v>35</v>
      </c>
      <c r="C846" t="s">
        <v>597</v>
      </c>
      <c r="D846" t="s">
        <v>24</v>
      </c>
      <c r="E846" t="s">
        <v>31</v>
      </c>
      <c r="F846" t="s">
        <v>87</v>
      </c>
      <c r="G846" t="s">
        <v>27</v>
      </c>
    </row>
    <row r="847" spans="1:7" x14ac:dyDescent="0.2">
      <c r="A847">
        <v>7</v>
      </c>
      <c r="B847">
        <v>35</v>
      </c>
      <c r="C847" t="s">
        <v>598</v>
      </c>
      <c r="D847" t="s">
        <v>24</v>
      </c>
      <c r="E847" t="s">
        <v>31</v>
      </c>
      <c r="F847" t="s">
        <v>87</v>
      </c>
      <c r="G847" t="s">
        <v>27</v>
      </c>
    </row>
    <row r="848" spans="1:7" x14ac:dyDescent="0.2">
      <c r="A848">
        <v>7</v>
      </c>
      <c r="B848">
        <v>35</v>
      </c>
      <c r="C848" t="s">
        <v>599</v>
      </c>
      <c r="D848" t="s">
        <v>24</v>
      </c>
      <c r="E848" t="s">
        <v>31</v>
      </c>
      <c r="F848" t="s">
        <v>87</v>
      </c>
      <c r="G848" t="s">
        <v>27</v>
      </c>
    </row>
    <row r="849" spans="1:7" x14ac:dyDescent="0.2">
      <c r="A849">
        <v>7</v>
      </c>
      <c r="B849">
        <v>35</v>
      </c>
      <c r="C849" t="s">
        <v>600</v>
      </c>
      <c r="D849" t="s">
        <v>24</v>
      </c>
      <c r="E849" t="s">
        <v>31</v>
      </c>
      <c r="F849" t="s">
        <v>87</v>
      </c>
      <c r="G849" t="s">
        <v>27</v>
      </c>
    </row>
    <row r="850" spans="1:7" x14ac:dyDescent="0.2">
      <c r="A850">
        <v>7</v>
      </c>
      <c r="B850">
        <v>35</v>
      </c>
      <c r="C850" t="s">
        <v>601</v>
      </c>
      <c r="D850" t="s">
        <v>24</v>
      </c>
      <c r="E850" t="s">
        <v>31</v>
      </c>
      <c r="F850" t="s">
        <v>87</v>
      </c>
      <c r="G850" t="s">
        <v>27</v>
      </c>
    </row>
    <row r="851" spans="1:7" x14ac:dyDescent="0.2">
      <c r="A851">
        <v>7</v>
      </c>
      <c r="B851">
        <v>35</v>
      </c>
      <c r="C851" t="s">
        <v>602</v>
      </c>
      <c r="D851" t="s">
        <v>24</v>
      </c>
      <c r="E851" t="s">
        <v>31</v>
      </c>
      <c r="F851" t="s">
        <v>87</v>
      </c>
      <c r="G851" t="s">
        <v>27</v>
      </c>
    </row>
    <row r="852" spans="1:7" x14ac:dyDescent="0.2">
      <c r="A852">
        <v>8</v>
      </c>
      <c r="B852">
        <v>35</v>
      </c>
      <c r="C852" t="s">
        <v>603</v>
      </c>
      <c r="D852" t="s">
        <v>30</v>
      </c>
      <c r="E852" t="s">
        <v>25</v>
      </c>
      <c r="F852" t="s">
        <v>47</v>
      </c>
      <c r="G852" t="s">
        <v>27</v>
      </c>
    </row>
    <row r="853" spans="1:7" x14ac:dyDescent="0.2">
      <c r="A853">
        <v>8</v>
      </c>
      <c r="B853">
        <v>35</v>
      </c>
      <c r="C853" t="s">
        <v>604</v>
      </c>
      <c r="D853" t="s">
        <v>30</v>
      </c>
      <c r="E853" t="s">
        <v>25</v>
      </c>
      <c r="F853" t="s">
        <v>47</v>
      </c>
      <c r="G853" t="s">
        <v>27</v>
      </c>
    </row>
    <row r="854" spans="1:7" x14ac:dyDescent="0.2">
      <c r="A854">
        <v>8</v>
      </c>
      <c r="B854">
        <v>35</v>
      </c>
      <c r="C854" t="s">
        <v>605</v>
      </c>
      <c r="D854" t="s">
        <v>24</v>
      </c>
      <c r="E854" t="s">
        <v>25</v>
      </c>
      <c r="F854" t="s">
        <v>47</v>
      </c>
      <c r="G854" t="s">
        <v>27</v>
      </c>
    </row>
    <row r="855" spans="1:7" x14ac:dyDescent="0.2">
      <c r="A855">
        <v>8</v>
      </c>
      <c r="B855">
        <v>35</v>
      </c>
      <c r="C855" t="s">
        <v>606</v>
      </c>
      <c r="D855" t="s">
        <v>24</v>
      </c>
      <c r="E855" t="s">
        <v>25</v>
      </c>
      <c r="F855" t="s">
        <v>47</v>
      </c>
      <c r="G855" t="s">
        <v>27</v>
      </c>
    </row>
    <row r="856" spans="1:7" x14ac:dyDescent="0.2">
      <c r="A856">
        <v>8</v>
      </c>
      <c r="B856">
        <v>35</v>
      </c>
      <c r="C856" t="s">
        <v>607</v>
      </c>
      <c r="D856" t="s">
        <v>24</v>
      </c>
      <c r="E856" t="s">
        <v>25</v>
      </c>
      <c r="F856" t="s">
        <v>47</v>
      </c>
      <c r="G856" t="s">
        <v>27</v>
      </c>
    </row>
    <row r="857" spans="1:7" x14ac:dyDescent="0.2">
      <c r="A857">
        <v>8</v>
      </c>
      <c r="B857">
        <v>35</v>
      </c>
      <c r="C857" t="s">
        <v>608</v>
      </c>
      <c r="D857" t="s">
        <v>30</v>
      </c>
      <c r="E857" t="s">
        <v>25</v>
      </c>
      <c r="F857" t="s">
        <v>47</v>
      </c>
      <c r="G857" t="s">
        <v>27</v>
      </c>
    </row>
    <row r="858" spans="1:7" x14ac:dyDescent="0.2">
      <c r="A858">
        <v>8</v>
      </c>
      <c r="B858">
        <v>35</v>
      </c>
      <c r="C858" t="s">
        <v>609</v>
      </c>
      <c r="D858" t="s">
        <v>24</v>
      </c>
      <c r="E858" t="s">
        <v>25</v>
      </c>
      <c r="F858" t="s">
        <v>47</v>
      </c>
      <c r="G858" t="s">
        <v>27</v>
      </c>
    </row>
    <row r="859" spans="1:7" x14ac:dyDescent="0.2">
      <c r="A859">
        <v>8</v>
      </c>
      <c r="B859">
        <v>35</v>
      </c>
      <c r="C859" t="s">
        <v>610</v>
      </c>
      <c r="D859" t="s">
        <v>24</v>
      </c>
      <c r="E859" t="s">
        <v>25</v>
      </c>
      <c r="F859" t="s">
        <v>47</v>
      </c>
      <c r="G859" t="s">
        <v>27</v>
      </c>
    </row>
    <row r="860" spans="1:7" x14ac:dyDescent="0.2">
      <c r="A860">
        <v>8</v>
      </c>
      <c r="B860">
        <v>35</v>
      </c>
      <c r="C860" t="s">
        <v>611</v>
      </c>
      <c r="D860" t="s">
        <v>24</v>
      </c>
      <c r="E860" t="s">
        <v>25</v>
      </c>
      <c r="F860" t="s">
        <v>47</v>
      </c>
      <c r="G860" t="s">
        <v>27</v>
      </c>
    </row>
    <row r="861" spans="1:7" x14ac:dyDescent="0.2">
      <c r="A861">
        <v>8</v>
      </c>
      <c r="B861">
        <v>35</v>
      </c>
      <c r="C861" t="s">
        <v>612</v>
      </c>
      <c r="D861" t="s">
        <v>24</v>
      </c>
      <c r="E861" t="s">
        <v>25</v>
      </c>
      <c r="F861" t="s">
        <v>47</v>
      </c>
      <c r="G861" t="s">
        <v>27</v>
      </c>
    </row>
    <row r="862" spans="1:7" x14ac:dyDescent="0.2">
      <c r="A862">
        <v>9</v>
      </c>
      <c r="B862">
        <v>35</v>
      </c>
      <c r="C862" t="s">
        <v>613</v>
      </c>
      <c r="D862" t="s">
        <v>24</v>
      </c>
      <c r="E862" t="s">
        <v>31</v>
      </c>
      <c r="F862" t="s">
        <v>47</v>
      </c>
      <c r="G862" t="s">
        <v>27</v>
      </c>
    </row>
    <row r="863" spans="1:7" x14ac:dyDescent="0.2">
      <c r="A863">
        <v>9</v>
      </c>
      <c r="B863">
        <v>35</v>
      </c>
      <c r="C863" t="s">
        <v>614</v>
      </c>
      <c r="D863" t="s">
        <v>24</v>
      </c>
      <c r="E863" t="s">
        <v>31</v>
      </c>
      <c r="F863" t="s">
        <v>47</v>
      </c>
      <c r="G863" t="s">
        <v>27</v>
      </c>
    </row>
    <row r="864" spans="1:7" x14ac:dyDescent="0.2">
      <c r="A864">
        <v>9</v>
      </c>
      <c r="B864">
        <v>35</v>
      </c>
      <c r="C864" t="s">
        <v>615</v>
      </c>
      <c r="D864" t="s">
        <v>24</v>
      </c>
      <c r="E864" t="s">
        <v>31</v>
      </c>
      <c r="F864" t="s">
        <v>47</v>
      </c>
      <c r="G864" t="s">
        <v>27</v>
      </c>
    </row>
    <row r="865" spans="1:7" x14ac:dyDescent="0.2">
      <c r="A865">
        <v>9</v>
      </c>
      <c r="B865">
        <v>35</v>
      </c>
      <c r="C865" t="s">
        <v>616</v>
      </c>
      <c r="D865" t="s">
        <v>24</v>
      </c>
      <c r="E865" t="s">
        <v>31</v>
      </c>
      <c r="F865" t="s">
        <v>47</v>
      </c>
      <c r="G865" t="s">
        <v>27</v>
      </c>
    </row>
    <row r="866" spans="1:7" x14ac:dyDescent="0.2">
      <c r="A866">
        <v>9</v>
      </c>
      <c r="B866">
        <v>35</v>
      </c>
      <c r="C866" t="s">
        <v>617</v>
      </c>
      <c r="D866" t="s">
        <v>24</v>
      </c>
      <c r="E866" t="s">
        <v>31</v>
      </c>
      <c r="F866" t="s">
        <v>47</v>
      </c>
      <c r="G866" t="s">
        <v>27</v>
      </c>
    </row>
    <row r="867" spans="1:7" x14ac:dyDescent="0.2">
      <c r="A867">
        <v>9</v>
      </c>
      <c r="B867">
        <v>35</v>
      </c>
      <c r="C867" t="s">
        <v>618</v>
      </c>
      <c r="D867" t="s">
        <v>30</v>
      </c>
      <c r="E867" t="s">
        <v>31</v>
      </c>
      <c r="F867" t="s">
        <v>26</v>
      </c>
      <c r="G867" t="s">
        <v>27</v>
      </c>
    </row>
    <row r="868" spans="1:7" x14ac:dyDescent="0.2">
      <c r="A868">
        <v>9</v>
      </c>
      <c r="B868">
        <v>35</v>
      </c>
      <c r="C868" t="s">
        <v>619</v>
      </c>
      <c r="D868" t="s">
        <v>24</v>
      </c>
      <c r="E868" t="s">
        <v>31</v>
      </c>
      <c r="F868" t="s">
        <v>26</v>
      </c>
      <c r="G868" t="s">
        <v>27</v>
      </c>
    </row>
    <row r="869" spans="1:7" x14ac:dyDescent="0.2">
      <c r="A869">
        <v>10</v>
      </c>
      <c r="B869">
        <v>35</v>
      </c>
      <c r="C869" t="s">
        <v>620</v>
      </c>
      <c r="D869" t="s">
        <v>24</v>
      </c>
      <c r="E869" t="s">
        <v>31</v>
      </c>
      <c r="F869" t="s">
        <v>26</v>
      </c>
      <c r="G869" t="s">
        <v>27</v>
      </c>
    </row>
    <row r="870" spans="1:7" x14ac:dyDescent="0.2">
      <c r="A870">
        <v>10</v>
      </c>
      <c r="B870">
        <v>35</v>
      </c>
      <c r="C870" t="s">
        <v>621</v>
      </c>
      <c r="D870" t="s">
        <v>24</v>
      </c>
      <c r="E870" t="s">
        <v>31</v>
      </c>
      <c r="F870" t="s">
        <v>26</v>
      </c>
      <c r="G870" t="s">
        <v>27</v>
      </c>
    </row>
    <row r="871" spans="1:7" x14ac:dyDescent="0.2">
      <c r="A871">
        <v>10</v>
      </c>
      <c r="B871">
        <v>35</v>
      </c>
      <c r="C871" t="s">
        <v>622</v>
      </c>
      <c r="D871" t="s">
        <v>24</v>
      </c>
      <c r="E871" t="s">
        <v>31</v>
      </c>
      <c r="F871" t="s">
        <v>26</v>
      </c>
      <c r="G871" t="s">
        <v>27</v>
      </c>
    </row>
    <row r="872" spans="1:7" x14ac:dyDescent="0.2">
      <c r="A872">
        <v>10</v>
      </c>
      <c r="B872">
        <v>35</v>
      </c>
      <c r="C872" t="s">
        <v>623</v>
      </c>
      <c r="D872" t="s">
        <v>24</v>
      </c>
      <c r="E872" t="s">
        <v>31</v>
      </c>
      <c r="F872" t="s">
        <v>26</v>
      </c>
      <c r="G872" t="s">
        <v>27</v>
      </c>
    </row>
    <row r="873" spans="1:7" x14ac:dyDescent="0.2">
      <c r="A873">
        <v>10</v>
      </c>
      <c r="B873">
        <v>35</v>
      </c>
      <c r="C873" t="s">
        <v>624</v>
      </c>
      <c r="D873" t="s">
        <v>24</v>
      </c>
      <c r="E873" t="s">
        <v>31</v>
      </c>
      <c r="F873" t="s">
        <v>26</v>
      </c>
      <c r="G873" t="s">
        <v>27</v>
      </c>
    </row>
    <row r="874" spans="1:7" x14ac:dyDescent="0.2">
      <c r="A874">
        <v>10</v>
      </c>
      <c r="B874">
        <v>35</v>
      </c>
      <c r="C874" t="s">
        <v>625</v>
      </c>
      <c r="D874" t="s">
        <v>24</v>
      </c>
      <c r="E874" t="s">
        <v>31</v>
      </c>
      <c r="F874" t="s">
        <v>26</v>
      </c>
      <c r="G874" t="s">
        <v>27</v>
      </c>
    </row>
    <row r="875" spans="1:7" x14ac:dyDescent="0.2">
      <c r="A875">
        <v>10</v>
      </c>
      <c r="B875">
        <v>35</v>
      </c>
      <c r="C875" t="s">
        <v>613</v>
      </c>
      <c r="D875" t="s">
        <v>24</v>
      </c>
      <c r="E875" t="s">
        <v>31</v>
      </c>
      <c r="F875" t="s">
        <v>26</v>
      </c>
      <c r="G875" t="s">
        <v>27</v>
      </c>
    </row>
    <row r="876" spans="1:7" x14ac:dyDescent="0.2">
      <c r="A876">
        <v>10</v>
      </c>
      <c r="B876">
        <v>35</v>
      </c>
      <c r="C876" t="s">
        <v>626</v>
      </c>
      <c r="D876" t="s">
        <v>24</v>
      </c>
      <c r="E876" t="s">
        <v>31</v>
      </c>
      <c r="F876" t="s">
        <v>26</v>
      </c>
      <c r="G876" t="s">
        <v>27</v>
      </c>
    </row>
    <row r="877" spans="1:7" x14ac:dyDescent="0.2">
      <c r="A877">
        <v>10</v>
      </c>
      <c r="B877">
        <v>35</v>
      </c>
      <c r="C877" t="s">
        <v>627</v>
      </c>
      <c r="D877" t="s">
        <v>24</v>
      </c>
      <c r="E877" t="s">
        <v>31</v>
      </c>
      <c r="F877" t="s">
        <v>26</v>
      </c>
      <c r="G877" t="s">
        <v>27</v>
      </c>
    </row>
    <row r="878" spans="1:7" x14ac:dyDescent="0.2">
      <c r="A878">
        <v>10</v>
      </c>
      <c r="B878">
        <v>35</v>
      </c>
      <c r="C878" t="s">
        <v>628</v>
      </c>
      <c r="D878" t="s">
        <v>24</v>
      </c>
      <c r="E878" t="s">
        <v>31</v>
      </c>
      <c r="F878" t="s">
        <v>26</v>
      </c>
      <c r="G878" t="s">
        <v>27</v>
      </c>
    </row>
    <row r="879" spans="1:7" x14ac:dyDescent="0.2">
      <c r="A879">
        <v>10</v>
      </c>
      <c r="B879">
        <v>35</v>
      </c>
      <c r="C879" t="s">
        <v>615</v>
      </c>
      <c r="D879" t="s">
        <v>24</v>
      </c>
      <c r="E879" t="s">
        <v>31</v>
      </c>
      <c r="F879" t="s">
        <v>26</v>
      </c>
      <c r="G879" t="s">
        <v>27</v>
      </c>
    </row>
    <row r="880" spans="1:7" x14ac:dyDescent="0.2">
      <c r="A880">
        <v>10</v>
      </c>
      <c r="B880">
        <v>35</v>
      </c>
      <c r="C880" t="s">
        <v>629</v>
      </c>
      <c r="D880" t="s">
        <v>24</v>
      </c>
      <c r="E880" t="s">
        <v>31</v>
      </c>
      <c r="F880" t="s">
        <v>26</v>
      </c>
      <c r="G880" t="s">
        <v>27</v>
      </c>
    </row>
    <row r="881" spans="1:7" x14ac:dyDescent="0.2">
      <c r="A881">
        <v>10</v>
      </c>
      <c r="B881">
        <v>35</v>
      </c>
      <c r="C881" t="s">
        <v>616</v>
      </c>
      <c r="D881" t="s">
        <v>24</v>
      </c>
      <c r="E881" t="s">
        <v>31</v>
      </c>
      <c r="F881" t="s">
        <v>26</v>
      </c>
      <c r="G881" t="s">
        <v>27</v>
      </c>
    </row>
    <row r="882" spans="1:7" x14ac:dyDescent="0.2">
      <c r="A882">
        <v>10</v>
      </c>
      <c r="B882">
        <v>35</v>
      </c>
      <c r="C882" t="s">
        <v>630</v>
      </c>
      <c r="D882" t="s">
        <v>24</v>
      </c>
      <c r="E882" t="s">
        <v>31</v>
      </c>
      <c r="F882" t="s">
        <v>26</v>
      </c>
      <c r="G882" t="s">
        <v>27</v>
      </c>
    </row>
    <row r="883" spans="1:7" x14ac:dyDescent="0.2">
      <c r="A883">
        <v>10</v>
      </c>
      <c r="B883">
        <v>35</v>
      </c>
      <c r="C883" t="s">
        <v>631</v>
      </c>
      <c r="D883" t="s">
        <v>24</v>
      </c>
      <c r="E883" t="s">
        <v>31</v>
      </c>
      <c r="F883" t="s">
        <v>26</v>
      </c>
      <c r="G883" t="s">
        <v>27</v>
      </c>
    </row>
    <row r="884" spans="1:7" x14ac:dyDescent="0.2">
      <c r="A884">
        <v>10</v>
      </c>
      <c r="B884">
        <v>35</v>
      </c>
      <c r="C884" t="s">
        <v>632</v>
      </c>
      <c r="D884" t="s">
        <v>24</v>
      </c>
      <c r="E884" t="s">
        <v>31</v>
      </c>
      <c r="F884" t="s">
        <v>47</v>
      </c>
      <c r="G884" t="s">
        <v>27</v>
      </c>
    </row>
    <row r="885" spans="1:7" x14ac:dyDescent="0.2">
      <c r="A885">
        <v>10</v>
      </c>
      <c r="B885">
        <v>35</v>
      </c>
      <c r="C885" t="s">
        <v>633</v>
      </c>
      <c r="D885" t="s">
        <v>30</v>
      </c>
      <c r="E885" t="s">
        <v>31</v>
      </c>
      <c r="F885" t="s">
        <v>26</v>
      </c>
      <c r="G885" t="s">
        <v>27</v>
      </c>
    </row>
    <row r="886" spans="1:7" x14ac:dyDescent="0.2">
      <c r="A886">
        <v>10</v>
      </c>
      <c r="B886">
        <v>35</v>
      </c>
      <c r="C886" t="s">
        <v>634</v>
      </c>
      <c r="D886" t="s">
        <v>24</v>
      </c>
      <c r="E886" t="s">
        <v>31</v>
      </c>
      <c r="F886" t="s">
        <v>26</v>
      </c>
      <c r="G886" t="s">
        <v>27</v>
      </c>
    </row>
    <row r="887" spans="1:7" x14ac:dyDescent="0.2">
      <c r="A887">
        <v>10</v>
      </c>
      <c r="B887">
        <v>35</v>
      </c>
      <c r="C887" t="s">
        <v>635</v>
      </c>
      <c r="D887" t="s">
        <v>24</v>
      </c>
      <c r="E887" t="s">
        <v>31</v>
      </c>
      <c r="F887" t="s">
        <v>26</v>
      </c>
      <c r="G887" t="s">
        <v>27</v>
      </c>
    </row>
    <row r="888" spans="1:7" x14ac:dyDescent="0.2">
      <c r="A888">
        <v>10</v>
      </c>
      <c r="B888">
        <v>35</v>
      </c>
      <c r="C888" t="s">
        <v>635</v>
      </c>
      <c r="D888" t="s">
        <v>24</v>
      </c>
      <c r="E888" t="s">
        <v>31</v>
      </c>
      <c r="F888" t="s">
        <v>26</v>
      </c>
      <c r="G888" t="s">
        <v>27</v>
      </c>
    </row>
    <row r="889" spans="1:7" x14ac:dyDescent="0.2">
      <c r="A889">
        <v>11</v>
      </c>
      <c r="B889">
        <v>35</v>
      </c>
      <c r="C889" t="s">
        <v>636</v>
      </c>
      <c r="D889" t="s">
        <v>24</v>
      </c>
      <c r="E889" t="s">
        <v>25</v>
      </c>
      <c r="F889" t="s">
        <v>87</v>
      </c>
      <c r="G889" t="s">
        <v>27</v>
      </c>
    </row>
    <row r="890" spans="1:7" x14ac:dyDescent="0.2">
      <c r="A890">
        <v>11</v>
      </c>
      <c r="B890">
        <v>35</v>
      </c>
      <c r="C890" t="s">
        <v>637</v>
      </c>
      <c r="D890" t="s">
        <v>24</v>
      </c>
      <c r="E890" t="s">
        <v>25</v>
      </c>
      <c r="F890" t="s">
        <v>87</v>
      </c>
      <c r="G890" t="s">
        <v>27</v>
      </c>
    </row>
    <row r="891" spans="1:7" x14ac:dyDescent="0.2">
      <c r="A891">
        <v>11</v>
      </c>
      <c r="B891">
        <v>35</v>
      </c>
      <c r="C891" t="s">
        <v>638</v>
      </c>
      <c r="D891" t="s">
        <v>24</v>
      </c>
      <c r="E891" t="s">
        <v>25</v>
      </c>
      <c r="F891" t="s">
        <v>87</v>
      </c>
      <c r="G891" t="s">
        <v>27</v>
      </c>
    </row>
    <row r="892" spans="1:7" x14ac:dyDescent="0.2">
      <c r="A892">
        <v>11</v>
      </c>
      <c r="B892">
        <v>35</v>
      </c>
      <c r="C892" t="s">
        <v>639</v>
      </c>
      <c r="D892" t="s">
        <v>24</v>
      </c>
      <c r="E892" t="s">
        <v>25</v>
      </c>
      <c r="F892" t="s">
        <v>26</v>
      </c>
      <c r="G892" t="s">
        <v>27</v>
      </c>
    </row>
    <row r="893" spans="1:7" x14ac:dyDescent="0.2">
      <c r="A893">
        <v>11</v>
      </c>
      <c r="B893">
        <v>35</v>
      </c>
      <c r="C893" t="s">
        <v>640</v>
      </c>
      <c r="D893" t="s">
        <v>24</v>
      </c>
      <c r="E893" t="s">
        <v>25</v>
      </c>
      <c r="F893" t="s">
        <v>87</v>
      </c>
      <c r="G893" t="s">
        <v>27</v>
      </c>
    </row>
    <row r="894" spans="1:7" x14ac:dyDescent="0.2">
      <c r="A894">
        <v>11</v>
      </c>
      <c r="B894">
        <v>35</v>
      </c>
      <c r="C894" t="s">
        <v>641</v>
      </c>
      <c r="D894" t="s">
        <v>24</v>
      </c>
      <c r="E894" t="s">
        <v>25</v>
      </c>
      <c r="F894" t="s">
        <v>87</v>
      </c>
      <c r="G894" t="s">
        <v>27</v>
      </c>
    </row>
    <row r="895" spans="1:7" x14ac:dyDescent="0.2">
      <c r="A895">
        <v>11</v>
      </c>
      <c r="B895">
        <v>35</v>
      </c>
      <c r="C895" t="s">
        <v>642</v>
      </c>
      <c r="D895" t="s">
        <v>24</v>
      </c>
      <c r="E895" t="s">
        <v>25</v>
      </c>
      <c r="F895" t="s">
        <v>87</v>
      </c>
      <c r="G895" t="s">
        <v>27</v>
      </c>
    </row>
    <row r="896" spans="1:7" x14ac:dyDescent="0.2">
      <c r="A896">
        <v>11</v>
      </c>
      <c r="B896">
        <v>35</v>
      </c>
      <c r="C896" t="s">
        <v>643</v>
      </c>
      <c r="D896" t="s">
        <v>24</v>
      </c>
      <c r="E896" t="s">
        <v>25</v>
      </c>
      <c r="F896" t="s">
        <v>87</v>
      </c>
      <c r="G896" t="s">
        <v>27</v>
      </c>
    </row>
    <row r="897" spans="1:7" x14ac:dyDescent="0.2">
      <c r="A897">
        <v>11</v>
      </c>
      <c r="B897">
        <v>35</v>
      </c>
      <c r="C897" t="s">
        <v>606</v>
      </c>
      <c r="D897" t="s">
        <v>24</v>
      </c>
      <c r="E897" t="s">
        <v>25</v>
      </c>
      <c r="F897" t="s">
        <v>87</v>
      </c>
      <c r="G897" t="s">
        <v>27</v>
      </c>
    </row>
    <row r="898" spans="1:7" x14ac:dyDescent="0.2">
      <c r="A898">
        <v>11</v>
      </c>
      <c r="B898">
        <v>35</v>
      </c>
      <c r="C898" t="s">
        <v>644</v>
      </c>
      <c r="D898" t="s">
        <v>24</v>
      </c>
      <c r="E898" t="s">
        <v>25</v>
      </c>
      <c r="F898" t="s">
        <v>87</v>
      </c>
      <c r="G898" t="s">
        <v>27</v>
      </c>
    </row>
    <row r="899" spans="1:7" x14ac:dyDescent="0.2">
      <c r="A899">
        <v>11</v>
      </c>
      <c r="B899">
        <v>35</v>
      </c>
      <c r="C899" t="s">
        <v>645</v>
      </c>
      <c r="D899" t="s">
        <v>24</v>
      </c>
      <c r="E899" t="s">
        <v>25</v>
      </c>
      <c r="F899" t="s">
        <v>87</v>
      </c>
      <c r="G899" t="s">
        <v>27</v>
      </c>
    </row>
    <row r="900" spans="1:7" x14ac:dyDescent="0.2">
      <c r="A900">
        <v>11</v>
      </c>
      <c r="B900">
        <v>35</v>
      </c>
      <c r="C900" t="s">
        <v>646</v>
      </c>
      <c r="D900" t="s">
        <v>24</v>
      </c>
      <c r="E900" t="s">
        <v>25</v>
      </c>
      <c r="F900" t="s">
        <v>87</v>
      </c>
      <c r="G900" t="s">
        <v>27</v>
      </c>
    </row>
    <row r="901" spans="1:7" x14ac:dyDescent="0.2">
      <c r="A901">
        <v>11</v>
      </c>
      <c r="B901">
        <v>35</v>
      </c>
      <c r="C901" t="s">
        <v>610</v>
      </c>
      <c r="D901" t="s">
        <v>24</v>
      </c>
      <c r="E901" t="s">
        <v>25</v>
      </c>
      <c r="F901" t="s">
        <v>87</v>
      </c>
      <c r="G901" t="s">
        <v>27</v>
      </c>
    </row>
    <row r="902" spans="1:7" x14ac:dyDescent="0.2">
      <c r="A902">
        <v>12</v>
      </c>
      <c r="B902">
        <v>35</v>
      </c>
      <c r="C902" t="s">
        <v>647</v>
      </c>
      <c r="D902" t="s">
        <v>24</v>
      </c>
      <c r="E902" t="s">
        <v>31</v>
      </c>
      <c r="F902" t="s">
        <v>87</v>
      </c>
      <c r="G902" t="s">
        <v>27</v>
      </c>
    </row>
    <row r="903" spans="1:7" x14ac:dyDescent="0.2">
      <c r="A903">
        <v>12</v>
      </c>
      <c r="B903">
        <v>35</v>
      </c>
      <c r="C903" t="s">
        <v>648</v>
      </c>
      <c r="D903" t="s">
        <v>24</v>
      </c>
      <c r="E903" t="s">
        <v>31</v>
      </c>
      <c r="F903" t="s">
        <v>87</v>
      </c>
      <c r="G903" t="s">
        <v>27</v>
      </c>
    </row>
    <row r="904" spans="1:7" x14ac:dyDescent="0.2">
      <c r="A904">
        <v>12</v>
      </c>
      <c r="B904">
        <v>35</v>
      </c>
      <c r="C904" t="s">
        <v>588</v>
      </c>
      <c r="D904" t="s">
        <v>24</v>
      </c>
      <c r="E904" t="s">
        <v>31</v>
      </c>
      <c r="F904" t="s">
        <v>87</v>
      </c>
      <c r="G904" t="s">
        <v>27</v>
      </c>
    </row>
    <row r="905" spans="1:7" x14ac:dyDescent="0.2">
      <c r="A905">
        <v>12</v>
      </c>
      <c r="B905">
        <v>35</v>
      </c>
      <c r="C905" t="s">
        <v>649</v>
      </c>
      <c r="D905" t="s">
        <v>24</v>
      </c>
      <c r="E905" t="s">
        <v>31</v>
      </c>
      <c r="F905" t="s">
        <v>87</v>
      </c>
      <c r="G905" t="s">
        <v>27</v>
      </c>
    </row>
    <row r="906" spans="1:7" x14ac:dyDescent="0.2">
      <c r="A906">
        <v>12</v>
      </c>
      <c r="B906">
        <v>35</v>
      </c>
      <c r="C906" t="s">
        <v>624</v>
      </c>
      <c r="D906" t="s">
        <v>24</v>
      </c>
      <c r="E906" t="s">
        <v>31</v>
      </c>
      <c r="F906" t="s">
        <v>87</v>
      </c>
      <c r="G906" t="s">
        <v>27</v>
      </c>
    </row>
    <row r="907" spans="1:7" x14ac:dyDescent="0.2">
      <c r="A907">
        <v>12</v>
      </c>
      <c r="B907">
        <v>35</v>
      </c>
      <c r="C907" t="s">
        <v>625</v>
      </c>
      <c r="D907" t="s">
        <v>24</v>
      </c>
      <c r="E907" t="s">
        <v>31</v>
      </c>
      <c r="F907" t="s">
        <v>87</v>
      </c>
      <c r="G907" t="s">
        <v>27</v>
      </c>
    </row>
    <row r="908" spans="1:7" x14ac:dyDescent="0.2">
      <c r="A908">
        <v>12</v>
      </c>
      <c r="B908">
        <v>35</v>
      </c>
      <c r="C908" t="s">
        <v>650</v>
      </c>
      <c r="D908" t="s">
        <v>24</v>
      </c>
      <c r="E908" t="s">
        <v>31</v>
      </c>
      <c r="F908" t="s">
        <v>87</v>
      </c>
      <c r="G908" t="s">
        <v>27</v>
      </c>
    </row>
    <row r="909" spans="1:7" x14ac:dyDescent="0.2">
      <c r="A909">
        <v>12</v>
      </c>
      <c r="B909">
        <v>35</v>
      </c>
      <c r="C909" t="s">
        <v>618</v>
      </c>
      <c r="D909" t="s">
        <v>24</v>
      </c>
      <c r="E909" t="s">
        <v>31</v>
      </c>
      <c r="F909" t="s">
        <v>87</v>
      </c>
      <c r="G909" t="s">
        <v>27</v>
      </c>
    </row>
    <row r="910" spans="1:7" x14ac:dyDescent="0.2">
      <c r="A910">
        <v>13</v>
      </c>
      <c r="B910">
        <v>35</v>
      </c>
      <c r="C910" t="s">
        <v>651</v>
      </c>
      <c r="D910" t="s">
        <v>24</v>
      </c>
      <c r="E910" t="s">
        <v>31</v>
      </c>
      <c r="F910" t="s">
        <v>47</v>
      </c>
      <c r="G910" t="s">
        <v>27</v>
      </c>
    </row>
    <row r="911" spans="1:7" x14ac:dyDescent="0.2">
      <c r="A911">
        <v>13</v>
      </c>
      <c r="B911">
        <v>35</v>
      </c>
      <c r="C911" t="s">
        <v>652</v>
      </c>
      <c r="D911" t="s">
        <v>24</v>
      </c>
      <c r="E911" t="s">
        <v>31</v>
      </c>
      <c r="F911" t="s">
        <v>47</v>
      </c>
      <c r="G911" t="s">
        <v>27</v>
      </c>
    </row>
    <row r="912" spans="1:7" x14ac:dyDescent="0.2">
      <c r="A912">
        <v>13</v>
      </c>
      <c r="B912">
        <v>35</v>
      </c>
      <c r="C912" t="s">
        <v>653</v>
      </c>
      <c r="D912" t="s">
        <v>24</v>
      </c>
      <c r="E912" t="s">
        <v>31</v>
      </c>
      <c r="F912" t="s">
        <v>47</v>
      </c>
      <c r="G912" t="s">
        <v>27</v>
      </c>
    </row>
    <row r="913" spans="1:7" x14ac:dyDescent="0.2">
      <c r="A913">
        <v>13</v>
      </c>
      <c r="B913">
        <v>35</v>
      </c>
      <c r="C913" t="s">
        <v>654</v>
      </c>
      <c r="D913" t="s">
        <v>24</v>
      </c>
      <c r="E913" t="s">
        <v>31</v>
      </c>
      <c r="F913" t="s">
        <v>47</v>
      </c>
      <c r="G913" t="s">
        <v>27</v>
      </c>
    </row>
    <row r="914" spans="1:7" x14ac:dyDescent="0.2">
      <c r="A914">
        <v>14</v>
      </c>
      <c r="B914">
        <v>35</v>
      </c>
      <c r="C914" t="s">
        <v>655</v>
      </c>
      <c r="D914" t="s">
        <v>24</v>
      </c>
      <c r="E914" t="s">
        <v>31</v>
      </c>
      <c r="F914" t="s">
        <v>47</v>
      </c>
      <c r="G914" t="s">
        <v>27</v>
      </c>
    </row>
    <row r="915" spans="1:7" x14ac:dyDescent="0.2">
      <c r="A915">
        <v>14</v>
      </c>
      <c r="B915">
        <v>35</v>
      </c>
      <c r="C915" t="s">
        <v>656</v>
      </c>
      <c r="D915" t="s">
        <v>24</v>
      </c>
      <c r="E915" t="s">
        <v>31</v>
      </c>
      <c r="F915" t="s">
        <v>47</v>
      </c>
      <c r="G915" t="s">
        <v>27</v>
      </c>
    </row>
    <row r="916" spans="1:7" x14ac:dyDescent="0.2">
      <c r="A916">
        <v>14</v>
      </c>
      <c r="B916">
        <v>35</v>
      </c>
      <c r="C916" t="s">
        <v>657</v>
      </c>
      <c r="D916" t="s">
        <v>24</v>
      </c>
      <c r="E916" t="s">
        <v>31</v>
      </c>
      <c r="F916" t="s">
        <v>47</v>
      </c>
      <c r="G916" t="s">
        <v>27</v>
      </c>
    </row>
    <row r="917" spans="1:7" x14ac:dyDescent="0.2">
      <c r="A917">
        <v>14</v>
      </c>
      <c r="B917">
        <v>35</v>
      </c>
      <c r="C917" t="s">
        <v>658</v>
      </c>
      <c r="D917" t="s">
        <v>24</v>
      </c>
      <c r="E917" t="s">
        <v>31</v>
      </c>
      <c r="F917" t="s">
        <v>47</v>
      </c>
      <c r="G917" t="s">
        <v>27</v>
      </c>
    </row>
    <row r="918" spans="1:7" x14ac:dyDescent="0.2">
      <c r="A918">
        <v>14</v>
      </c>
      <c r="B918">
        <v>35</v>
      </c>
      <c r="C918" t="s">
        <v>659</v>
      </c>
      <c r="D918" t="s">
        <v>24</v>
      </c>
      <c r="E918" t="s">
        <v>31</v>
      </c>
      <c r="F918" t="s">
        <v>47</v>
      </c>
      <c r="G918" t="s">
        <v>27</v>
      </c>
    </row>
    <row r="919" spans="1:7" x14ac:dyDescent="0.2">
      <c r="A919">
        <v>14</v>
      </c>
      <c r="B919">
        <v>35</v>
      </c>
      <c r="C919" t="s">
        <v>660</v>
      </c>
      <c r="D919" t="s">
        <v>24</v>
      </c>
      <c r="E919" t="s">
        <v>31</v>
      </c>
      <c r="F919" t="s">
        <v>47</v>
      </c>
      <c r="G919" t="s">
        <v>27</v>
      </c>
    </row>
    <row r="920" spans="1:7" x14ac:dyDescent="0.2">
      <c r="A920">
        <v>14</v>
      </c>
      <c r="B920">
        <v>35</v>
      </c>
      <c r="C920" t="s">
        <v>661</v>
      </c>
      <c r="D920" t="s">
        <v>24</v>
      </c>
      <c r="E920" t="s">
        <v>31</v>
      </c>
      <c r="F920" t="s">
        <v>47</v>
      </c>
      <c r="G920" t="s">
        <v>27</v>
      </c>
    </row>
    <row r="921" spans="1:7" x14ac:dyDescent="0.2">
      <c r="A921">
        <v>14</v>
      </c>
      <c r="B921">
        <v>35</v>
      </c>
      <c r="C921" t="s">
        <v>662</v>
      </c>
      <c r="D921" t="s">
        <v>24</v>
      </c>
      <c r="E921" t="s">
        <v>31</v>
      </c>
      <c r="F921" t="s">
        <v>47</v>
      </c>
      <c r="G921" t="s">
        <v>27</v>
      </c>
    </row>
    <row r="922" spans="1:7" x14ac:dyDescent="0.2">
      <c r="A922">
        <v>14</v>
      </c>
      <c r="B922">
        <v>35</v>
      </c>
      <c r="C922" t="s">
        <v>663</v>
      </c>
      <c r="D922" t="s">
        <v>24</v>
      </c>
      <c r="E922" t="s">
        <v>31</v>
      </c>
      <c r="F922" t="s">
        <v>47</v>
      </c>
      <c r="G922" t="s">
        <v>27</v>
      </c>
    </row>
    <row r="923" spans="1:7" x14ac:dyDescent="0.2">
      <c r="A923">
        <v>14</v>
      </c>
      <c r="B923">
        <v>35</v>
      </c>
      <c r="C923" t="s">
        <v>664</v>
      </c>
      <c r="D923" t="s">
        <v>24</v>
      </c>
      <c r="E923" t="s">
        <v>31</v>
      </c>
      <c r="F923" t="s">
        <v>26</v>
      </c>
      <c r="G923" t="s">
        <v>27</v>
      </c>
    </row>
    <row r="924" spans="1:7" x14ac:dyDescent="0.2">
      <c r="A924">
        <v>14</v>
      </c>
      <c r="B924">
        <v>35</v>
      </c>
      <c r="C924" t="s">
        <v>665</v>
      </c>
      <c r="D924" t="s">
        <v>24</v>
      </c>
      <c r="E924" t="s">
        <v>31</v>
      </c>
      <c r="F924" t="s">
        <v>26</v>
      </c>
      <c r="G924" t="s">
        <v>27</v>
      </c>
    </row>
    <row r="925" spans="1:7" x14ac:dyDescent="0.2">
      <c r="A925">
        <v>14</v>
      </c>
      <c r="B925">
        <v>35</v>
      </c>
      <c r="C925" t="s">
        <v>666</v>
      </c>
      <c r="D925" t="s">
        <v>24</v>
      </c>
      <c r="E925" t="s">
        <v>31</v>
      </c>
      <c r="F925" t="s">
        <v>26</v>
      </c>
      <c r="G925" t="s">
        <v>27</v>
      </c>
    </row>
    <row r="926" spans="1:7" x14ac:dyDescent="0.2">
      <c r="A926">
        <v>15</v>
      </c>
      <c r="B926">
        <v>35</v>
      </c>
      <c r="C926" t="s">
        <v>624</v>
      </c>
      <c r="D926" t="s">
        <v>24</v>
      </c>
      <c r="E926" t="s">
        <v>31</v>
      </c>
      <c r="F926" t="s">
        <v>47</v>
      </c>
      <c r="G926" t="s">
        <v>27</v>
      </c>
    </row>
    <row r="927" spans="1:7" x14ac:dyDescent="0.2">
      <c r="A927">
        <v>15</v>
      </c>
      <c r="B927">
        <v>35</v>
      </c>
      <c r="C927" t="s">
        <v>647</v>
      </c>
      <c r="D927" t="s">
        <v>24</v>
      </c>
      <c r="E927" t="s">
        <v>31</v>
      </c>
      <c r="F927" t="s">
        <v>47</v>
      </c>
      <c r="G927" t="s">
        <v>27</v>
      </c>
    </row>
    <row r="928" spans="1:7" x14ac:dyDescent="0.2">
      <c r="A928">
        <v>15</v>
      </c>
      <c r="B928">
        <v>35</v>
      </c>
      <c r="C928" t="s">
        <v>667</v>
      </c>
      <c r="D928" t="s">
        <v>24</v>
      </c>
      <c r="E928" t="s">
        <v>31</v>
      </c>
      <c r="F928" t="s">
        <v>47</v>
      </c>
      <c r="G928" t="s">
        <v>27</v>
      </c>
    </row>
    <row r="929" spans="1:7" x14ac:dyDescent="0.2">
      <c r="A929">
        <v>15</v>
      </c>
      <c r="B929">
        <v>35</v>
      </c>
      <c r="C929" t="s">
        <v>650</v>
      </c>
      <c r="D929" t="s">
        <v>24</v>
      </c>
      <c r="E929" t="s">
        <v>31</v>
      </c>
      <c r="F929" t="s">
        <v>47</v>
      </c>
      <c r="G929" t="s">
        <v>27</v>
      </c>
    </row>
    <row r="930" spans="1:7" x14ac:dyDescent="0.2">
      <c r="A930">
        <v>15</v>
      </c>
      <c r="B930">
        <v>35</v>
      </c>
      <c r="C930" t="s">
        <v>616</v>
      </c>
      <c r="D930" t="s">
        <v>24</v>
      </c>
      <c r="E930" t="s">
        <v>31</v>
      </c>
      <c r="F930" t="s">
        <v>87</v>
      </c>
      <c r="G930" t="s">
        <v>27</v>
      </c>
    </row>
    <row r="931" spans="1:7" x14ac:dyDescent="0.2">
      <c r="A931">
        <v>15</v>
      </c>
      <c r="B931">
        <v>35</v>
      </c>
      <c r="C931" t="s">
        <v>631</v>
      </c>
      <c r="D931" t="s">
        <v>24</v>
      </c>
      <c r="E931" t="s">
        <v>31</v>
      </c>
      <c r="F931" t="s">
        <v>47</v>
      </c>
      <c r="G931" t="s">
        <v>27</v>
      </c>
    </row>
    <row r="932" spans="1:7" x14ac:dyDescent="0.2">
      <c r="A932">
        <v>16</v>
      </c>
      <c r="B932">
        <v>35</v>
      </c>
      <c r="C932" t="s">
        <v>668</v>
      </c>
      <c r="D932" t="s">
        <v>24</v>
      </c>
      <c r="E932" t="s">
        <v>31</v>
      </c>
      <c r="F932" t="s">
        <v>47</v>
      </c>
      <c r="G932" t="s">
        <v>27</v>
      </c>
    </row>
    <row r="933" spans="1:7" x14ac:dyDescent="0.2">
      <c r="A933">
        <v>16</v>
      </c>
      <c r="B933">
        <v>35</v>
      </c>
      <c r="C933" t="s">
        <v>647</v>
      </c>
      <c r="D933" t="s">
        <v>24</v>
      </c>
      <c r="E933" t="s">
        <v>31</v>
      </c>
      <c r="F933" t="s">
        <v>47</v>
      </c>
      <c r="G933" t="s">
        <v>27</v>
      </c>
    </row>
    <row r="934" spans="1:7" x14ac:dyDescent="0.2">
      <c r="A934">
        <v>16</v>
      </c>
      <c r="B934">
        <v>35</v>
      </c>
      <c r="C934" t="s">
        <v>648</v>
      </c>
      <c r="D934" t="s">
        <v>24</v>
      </c>
      <c r="E934" t="s">
        <v>31</v>
      </c>
      <c r="F934" t="s">
        <v>47</v>
      </c>
      <c r="G934" t="s">
        <v>27</v>
      </c>
    </row>
    <row r="935" spans="1:7" x14ac:dyDescent="0.2">
      <c r="A935">
        <v>16</v>
      </c>
      <c r="B935">
        <v>35</v>
      </c>
      <c r="C935" t="s">
        <v>588</v>
      </c>
      <c r="D935" t="s">
        <v>24</v>
      </c>
      <c r="E935" t="s">
        <v>31</v>
      </c>
      <c r="F935" t="s">
        <v>47</v>
      </c>
      <c r="G935" t="s">
        <v>27</v>
      </c>
    </row>
    <row r="936" spans="1:7" x14ac:dyDescent="0.2">
      <c r="A936">
        <v>16</v>
      </c>
      <c r="B936">
        <v>35</v>
      </c>
      <c r="C936" t="s">
        <v>669</v>
      </c>
      <c r="D936" t="s">
        <v>24</v>
      </c>
      <c r="E936" t="s">
        <v>31</v>
      </c>
      <c r="F936" t="s">
        <v>47</v>
      </c>
      <c r="G936" t="s">
        <v>27</v>
      </c>
    </row>
    <row r="937" spans="1:7" x14ac:dyDescent="0.2">
      <c r="A937">
        <v>16</v>
      </c>
      <c r="B937">
        <v>35</v>
      </c>
      <c r="C937" t="s">
        <v>627</v>
      </c>
      <c r="D937" t="s">
        <v>24</v>
      </c>
      <c r="E937" t="s">
        <v>31</v>
      </c>
      <c r="F937" t="s">
        <v>47</v>
      </c>
      <c r="G937" t="s">
        <v>27</v>
      </c>
    </row>
    <row r="938" spans="1:7" x14ac:dyDescent="0.2">
      <c r="A938">
        <v>16</v>
      </c>
      <c r="B938">
        <v>35</v>
      </c>
      <c r="C938" t="s">
        <v>670</v>
      </c>
      <c r="D938" t="s">
        <v>24</v>
      </c>
      <c r="E938" t="s">
        <v>31</v>
      </c>
      <c r="F938" t="s">
        <v>47</v>
      </c>
      <c r="G938" t="s">
        <v>27</v>
      </c>
    </row>
    <row r="939" spans="1:7" x14ac:dyDescent="0.2">
      <c r="A939">
        <v>16</v>
      </c>
      <c r="B939">
        <v>35</v>
      </c>
      <c r="C939" t="s">
        <v>616</v>
      </c>
      <c r="D939" t="s">
        <v>24</v>
      </c>
      <c r="E939" t="s">
        <v>31</v>
      </c>
      <c r="F939" t="s">
        <v>47</v>
      </c>
      <c r="G939" t="s">
        <v>27</v>
      </c>
    </row>
    <row r="940" spans="1:7" x14ac:dyDescent="0.2">
      <c r="A940">
        <v>16</v>
      </c>
      <c r="B940">
        <v>35</v>
      </c>
      <c r="C940" t="s">
        <v>671</v>
      </c>
      <c r="D940" t="s">
        <v>24</v>
      </c>
      <c r="E940" t="s">
        <v>31</v>
      </c>
      <c r="F940" t="s">
        <v>47</v>
      </c>
      <c r="G940" t="s">
        <v>27</v>
      </c>
    </row>
    <row r="941" spans="1:7" x14ac:dyDescent="0.2">
      <c r="A941">
        <v>16</v>
      </c>
      <c r="B941">
        <v>35</v>
      </c>
      <c r="C941" t="s">
        <v>494</v>
      </c>
      <c r="D941" t="s">
        <v>24</v>
      </c>
      <c r="E941" t="s">
        <v>31</v>
      </c>
      <c r="F941" t="s">
        <v>47</v>
      </c>
      <c r="G941" t="s">
        <v>27</v>
      </c>
    </row>
    <row r="942" spans="1:7" x14ac:dyDescent="0.2">
      <c r="A942">
        <v>17</v>
      </c>
      <c r="B942">
        <v>35</v>
      </c>
      <c r="C942" t="s">
        <v>654</v>
      </c>
      <c r="D942" t="s">
        <v>24</v>
      </c>
      <c r="E942" t="s">
        <v>31</v>
      </c>
      <c r="F942" t="s">
        <v>47</v>
      </c>
      <c r="G942" t="s">
        <v>27</v>
      </c>
    </row>
    <row r="943" spans="1:7" x14ac:dyDescent="0.2">
      <c r="A943">
        <v>17</v>
      </c>
      <c r="B943">
        <v>35</v>
      </c>
      <c r="C943" t="s">
        <v>672</v>
      </c>
      <c r="D943" t="s">
        <v>24</v>
      </c>
      <c r="E943" t="s">
        <v>31</v>
      </c>
      <c r="F943" t="s">
        <v>47</v>
      </c>
      <c r="G943" t="s">
        <v>27</v>
      </c>
    </row>
    <row r="944" spans="1:7" x14ac:dyDescent="0.2">
      <c r="A944">
        <v>17</v>
      </c>
      <c r="B944">
        <v>35</v>
      </c>
      <c r="C944" t="s">
        <v>673</v>
      </c>
      <c r="D944" t="s">
        <v>24</v>
      </c>
      <c r="E944" t="s">
        <v>31</v>
      </c>
      <c r="F944" t="s">
        <v>47</v>
      </c>
      <c r="G944" t="s">
        <v>27</v>
      </c>
    </row>
    <row r="945" spans="1:7" x14ac:dyDescent="0.2">
      <c r="A945">
        <v>17</v>
      </c>
      <c r="B945">
        <v>35</v>
      </c>
      <c r="C945" t="s">
        <v>674</v>
      </c>
      <c r="D945" t="s">
        <v>24</v>
      </c>
      <c r="E945" t="s">
        <v>31</v>
      </c>
      <c r="F945" t="s">
        <v>47</v>
      </c>
      <c r="G945" t="s">
        <v>27</v>
      </c>
    </row>
    <row r="946" spans="1:7" x14ac:dyDescent="0.2">
      <c r="A946">
        <v>17</v>
      </c>
      <c r="B946">
        <v>35</v>
      </c>
      <c r="C946" t="s">
        <v>675</v>
      </c>
      <c r="D946" t="s">
        <v>24</v>
      </c>
      <c r="E946" t="s">
        <v>31</v>
      </c>
      <c r="F946" t="s">
        <v>47</v>
      </c>
      <c r="G946" t="s">
        <v>27</v>
      </c>
    </row>
    <row r="947" spans="1:7" x14ac:dyDescent="0.2">
      <c r="A947">
        <v>17</v>
      </c>
      <c r="B947">
        <v>35</v>
      </c>
      <c r="C947" t="s">
        <v>676</v>
      </c>
      <c r="D947" t="s">
        <v>24</v>
      </c>
      <c r="E947" t="s">
        <v>31</v>
      </c>
      <c r="F947" t="s">
        <v>47</v>
      </c>
      <c r="G947" t="s">
        <v>27</v>
      </c>
    </row>
    <row r="948" spans="1:7" x14ac:dyDescent="0.2">
      <c r="A948">
        <v>17</v>
      </c>
      <c r="B948">
        <v>35</v>
      </c>
      <c r="C948" t="s">
        <v>677</v>
      </c>
      <c r="D948" t="s">
        <v>24</v>
      </c>
      <c r="E948" t="s">
        <v>31</v>
      </c>
      <c r="F948" t="s">
        <v>26</v>
      </c>
      <c r="G948" t="s">
        <v>27</v>
      </c>
    </row>
    <row r="949" spans="1:7" x14ac:dyDescent="0.2">
      <c r="A949">
        <v>18</v>
      </c>
      <c r="B949">
        <v>35</v>
      </c>
      <c r="C949" t="s">
        <v>678</v>
      </c>
      <c r="D949" t="s">
        <v>24</v>
      </c>
      <c r="E949" t="s">
        <v>31</v>
      </c>
      <c r="F949" t="s">
        <v>26</v>
      </c>
      <c r="G949" t="s">
        <v>27</v>
      </c>
    </row>
    <row r="950" spans="1:7" x14ac:dyDescent="0.2">
      <c r="A950">
        <v>18</v>
      </c>
      <c r="B950">
        <v>35</v>
      </c>
      <c r="C950" t="s">
        <v>679</v>
      </c>
      <c r="D950" t="s">
        <v>24</v>
      </c>
      <c r="E950" t="s">
        <v>31</v>
      </c>
      <c r="F950" t="s">
        <v>47</v>
      </c>
      <c r="G950" t="s">
        <v>27</v>
      </c>
    </row>
    <row r="951" spans="1:7" x14ac:dyDescent="0.2">
      <c r="A951">
        <v>18</v>
      </c>
      <c r="B951">
        <v>35</v>
      </c>
      <c r="C951" t="s">
        <v>613</v>
      </c>
      <c r="D951" t="s">
        <v>24</v>
      </c>
      <c r="E951" t="s">
        <v>31</v>
      </c>
      <c r="F951" t="s">
        <v>26</v>
      </c>
      <c r="G951" t="s">
        <v>27</v>
      </c>
    </row>
    <row r="952" spans="1:7" x14ac:dyDescent="0.2">
      <c r="A952">
        <v>18</v>
      </c>
      <c r="B952">
        <v>35</v>
      </c>
      <c r="C952" t="s">
        <v>680</v>
      </c>
      <c r="D952" t="s">
        <v>24</v>
      </c>
      <c r="E952" t="s">
        <v>31</v>
      </c>
      <c r="F952" t="s">
        <v>47</v>
      </c>
      <c r="G952" t="s">
        <v>27</v>
      </c>
    </row>
    <row r="953" spans="1:7" x14ac:dyDescent="0.2">
      <c r="A953">
        <v>18</v>
      </c>
      <c r="B953">
        <v>35</v>
      </c>
      <c r="C953" t="s">
        <v>681</v>
      </c>
      <c r="D953" t="s">
        <v>24</v>
      </c>
      <c r="E953" t="s">
        <v>31</v>
      </c>
      <c r="F953" t="s">
        <v>47</v>
      </c>
      <c r="G953" t="s">
        <v>27</v>
      </c>
    </row>
    <row r="954" spans="1:7" x14ac:dyDescent="0.2">
      <c r="A954">
        <v>18</v>
      </c>
      <c r="B954">
        <v>35</v>
      </c>
      <c r="C954" t="s">
        <v>682</v>
      </c>
      <c r="D954" t="s">
        <v>24</v>
      </c>
      <c r="E954" t="s">
        <v>31</v>
      </c>
      <c r="F954" t="s">
        <v>47</v>
      </c>
      <c r="G954" t="s">
        <v>27</v>
      </c>
    </row>
    <row r="955" spans="1:7" x14ac:dyDescent="0.2">
      <c r="A955">
        <v>19</v>
      </c>
      <c r="B955">
        <v>35</v>
      </c>
      <c r="C955" t="s">
        <v>679</v>
      </c>
      <c r="D955" t="s">
        <v>24</v>
      </c>
      <c r="E955" t="s">
        <v>25</v>
      </c>
      <c r="F955" t="s">
        <v>47</v>
      </c>
      <c r="G955" t="s">
        <v>27</v>
      </c>
    </row>
    <row r="956" spans="1:7" x14ac:dyDescent="0.2">
      <c r="A956">
        <v>19</v>
      </c>
      <c r="B956">
        <v>35</v>
      </c>
      <c r="C956" t="s">
        <v>679</v>
      </c>
      <c r="D956" t="s">
        <v>24</v>
      </c>
      <c r="E956" t="s">
        <v>25</v>
      </c>
      <c r="F956" t="s">
        <v>47</v>
      </c>
      <c r="G956" t="s">
        <v>27</v>
      </c>
    </row>
    <row r="957" spans="1:7" x14ac:dyDescent="0.2">
      <c r="A957">
        <v>19</v>
      </c>
      <c r="B957">
        <v>35</v>
      </c>
      <c r="C957" t="s">
        <v>683</v>
      </c>
      <c r="D957" t="s">
        <v>24</v>
      </c>
      <c r="E957" t="s">
        <v>25</v>
      </c>
      <c r="F957" t="s">
        <v>47</v>
      </c>
      <c r="G957" t="s">
        <v>27</v>
      </c>
    </row>
    <row r="958" spans="1:7" x14ac:dyDescent="0.2">
      <c r="A958">
        <v>19</v>
      </c>
      <c r="B958">
        <v>35</v>
      </c>
      <c r="C958" t="s">
        <v>684</v>
      </c>
      <c r="D958" t="s">
        <v>24</v>
      </c>
      <c r="E958" t="s">
        <v>25</v>
      </c>
      <c r="F958" t="s">
        <v>26</v>
      </c>
      <c r="G958" t="s">
        <v>27</v>
      </c>
    </row>
    <row r="959" spans="1:7" x14ac:dyDescent="0.2">
      <c r="A959">
        <v>19</v>
      </c>
      <c r="B959">
        <v>35</v>
      </c>
      <c r="C959" t="s">
        <v>685</v>
      </c>
      <c r="D959" t="s">
        <v>24</v>
      </c>
      <c r="E959" t="s">
        <v>25</v>
      </c>
      <c r="F959" t="s">
        <v>47</v>
      </c>
      <c r="G959" t="s">
        <v>27</v>
      </c>
    </row>
    <row r="960" spans="1:7" x14ac:dyDescent="0.2">
      <c r="A960">
        <v>19</v>
      </c>
      <c r="B960">
        <v>35</v>
      </c>
      <c r="C960" t="s">
        <v>686</v>
      </c>
      <c r="D960" t="s">
        <v>24</v>
      </c>
      <c r="E960" t="s">
        <v>25</v>
      </c>
      <c r="F960" t="s">
        <v>47</v>
      </c>
      <c r="G960" t="s">
        <v>27</v>
      </c>
    </row>
    <row r="961" spans="1:7" x14ac:dyDescent="0.2">
      <c r="A961">
        <v>19</v>
      </c>
      <c r="B961">
        <v>35</v>
      </c>
      <c r="C961" t="s">
        <v>687</v>
      </c>
      <c r="D961" t="s">
        <v>24</v>
      </c>
      <c r="E961" t="s">
        <v>25</v>
      </c>
      <c r="F961" t="s">
        <v>26</v>
      </c>
      <c r="G961" t="s">
        <v>27</v>
      </c>
    </row>
    <row r="962" spans="1:7" x14ac:dyDescent="0.2">
      <c r="A962">
        <v>19</v>
      </c>
      <c r="B962">
        <v>35</v>
      </c>
      <c r="C962" t="s">
        <v>681</v>
      </c>
      <c r="D962" t="s">
        <v>24</v>
      </c>
      <c r="E962" t="s">
        <v>25</v>
      </c>
      <c r="F962" t="s">
        <v>47</v>
      </c>
      <c r="G962" t="s">
        <v>27</v>
      </c>
    </row>
    <row r="963" spans="1:7" x14ac:dyDescent="0.2">
      <c r="A963">
        <v>19</v>
      </c>
      <c r="B963">
        <v>35</v>
      </c>
      <c r="C963" t="s">
        <v>688</v>
      </c>
      <c r="D963" t="s">
        <v>24</v>
      </c>
      <c r="E963" t="s">
        <v>25</v>
      </c>
      <c r="F963" t="s">
        <v>47</v>
      </c>
      <c r="G963" t="s">
        <v>27</v>
      </c>
    </row>
    <row r="964" spans="1:7" x14ac:dyDescent="0.2">
      <c r="A964">
        <v>20</v>
      </c>
      <c r="B964">
        <v>35</v>
      </c>
      <c r="C964" t="s">
        <v>689</v>
      </c>
      <c r="D964" t="s">
        <v>24</v>
      </c>
      <c r="E964" t="s">
        <v>31</v>
      </c>
      <c r="F964" t="s">
        <v>87</v>
      </c>
      <c r="G964" t="s">
        <v>27</v>
      </c>
    </row>
    <row r="965" spans="1:7" x14ac:dyDescent="0.2">
      <c r="A965">
        <v>20</v>
      </c>
      <c r="B965">
        <v>35</v>
      </c>
      <c r="C965" t="s">
        <v>621</v>
      </c>
      <c r="D965" t="s">
        <v>24</v>
      </c>
      <c r="E965" t="s">
        <v>31</v>
      </c>
      <c r="F965" t="s">
        <v>87</v>
      </c>
      <c r="G965" t="s">
        <v>27</v>
      </c>
    </row>
    <row r="966" spans="1:7" x14ac:dyDescent="0.2">
      <c r="A966">
        <v>20</v>
      </c>
      <c r="B966">
        <v>35</v>
      </c>
      <c r="C966" t="s">
        <v>619</v>
      </c>
      <c r="D966" t="s">
        <v>24</v>
      </c>
      <c r="E966" t="s">
        <v>31</v>
      </c>
      <c r="F966" t="s">
        <v>87</v>
      </c>
      <c r="G966" t="s">
        <v>27</v>
      </c>
    </row>
    <row r="967" spans="1:7" x14ac:dyDescent="0.2">
      <c r="A967">
        <v>20</v>
      </c>
      <c r="B967">
        <v>35</v>
      </c>
      <c r="C967" t="s">
        <v>690</v>
      </c>
      <c r="D967" t="s">
        <v>30</v>
      </c>
      <c r="E967" t="s">
        <v>31</v>
      </c>
      <c r="F967" t="s">
        <v>87</v>
      </c>
      <c r="G967" t="s">
        <v>27</v>
      </c>
    </row>
    <row r="968" spans="1:7" x14ac:dyDescent="0.2">
      <c r="A968">
        <v>20</v>
      </c>
      <c r="B968">
        <v>35</v>
      </c>
      <c r="C968" t="s">
        <v>691</v>
      </c>
      <c r="D968" t="s">
        <v>24</v>
      </c>
      <c r="E968" t="s">
        <v>31</v>
      </c>
      <c r="F968" t="s">
        <v>87</v>
      </c>
      <c r="G968" t="s">
        <v>27</v>
      </c>
    </row>
    <row r="969" spans="1:7" x14ac:dyDescent="0.2">
      <c r="A969">
        <v>20</v>
      </c>
      <c r="B969">
        <v>35</v>
      </c>
      <c r="C969" t="s">
        <v>692</v>
      </c>
      <c r="D969" t="s">
        <v>24</v>
      </c>
      <c r="E969" t="s">
        <v>31</v>
      </c>
      <c r="F969" t="s">
        <v>47</v>
      </c>
      <c r="G969" t="s">
        <v>27</v>
      </c>
    </row>
    <row r="970" spans="1:7" x14ac:dyDescent="0.2">
      <c r="A970">
        <v>20</v>
      </c>
      <c r="B970">
        <v>35</v>
      </c>
      <c r="C970" t="s">
        <v>693</v>
      </c>
      <c r="D970" t="s">
        <v>24</v>
      </c>
      <c r="E970" t="s">
        <v>31</v>
      </c>
      <c r="F970" t="s">
        <v>47</v>
      </c>
      <c r="G970" t="s">
        <v>27</v>
      </c>
    </row>
    <row r="971" spans="1:7" x14ac:dyDescent="0.2">
      <c r="A971">
        <v>20</v>
      </c>
      <c r="B971">
        <v>35</v>
      </c>
      <c r="C971" t="s">
        <v>694</v>
      </c>
      <c r="D971" t="s">
        <v>24</v>
      </c>
      <c r="E971" t="s">
        <v>31</v>
      </c>
      <c r="F971" t="s">
        <v>47</v>
      </c>
      <c r="G971" t="s">
        <v>27</v>
      </c>
    </row>
    <row r="972" spans="1:7" x14ac:dyDescent="0.2">
      <c r="A972">
        <v>20</v>
      </c>
      <c r="B972">
        <v>35</v>
      </c>
      <c r="C972" t="s">
        <v>695</v>
      </c>
      <c r="D972" t="s">
        <v>24</v>
      </c>
      <c r="E972" t="s">
        <v>31</v>
      </c>
      <c r="F972" t="s">
        <v>47</v>
      </c>
      <c r="G972" t="s">
        <v>27</v>
      </c>
    </row>
    <row r="973" spans="1:7" x14ac:dyDescent="0.2">
      <c r="A973">
        <v>20</v>
      </c>
      <c r="B973">
        <v>35</v>
      </c>
      <c r="C973" t="s">
        <v>685</v>
      </c>
      <c r="D973" t="s">
        <v>24</v>
      </c>
      <c r="E973" t="s">
        <v>31</v>
      </c>
      <c r="F973" t="s">
        <v>47</v>
      </c>
      <c r="G973" t="s">
        <v>27</v>
      </c>
    </row>
    <row r="974" spans="1:7" x14ac:dyDescent="0.2">
      <c r="A974">
        <v>20</v>
      </c>
      <c r="B974">
        <v>35</v>
      </c>
      <c r="C974" t="s">
        <v>696</v>
      </c>
      <c r="D974" t="s">
        <v>24</v>
      </c>
      <c r="E974" t="s">
        <v>31</v>
      </c>
      <c r="F974" t="s">
        <v>47</v>
      </c>
      <c r="G974" t="s">
        <v>27</v>
      </c>
    </row>
    <row r="975" spans="1:7" x14ac:dyDescent="0.2">
      <c r="A975">
        <v>20</v>
      </c>
      <c r="B975">
        <v>35</v>
      </c>
      <c r="C975" t="s">
        <v>697</v>
      </c>
      <c r="D975" t="s">
        <v>24</v>
      </c>
      <c r="E975" t="s">
        <v>31</v>
      </c>
      <c r="F975" t="s">
        <v>47</v>
      </c>
      <c r="G975" t="s">
        <v>27</v>
      </c>
    </row>
    <row r="976" spans="1:7" x14ac:dyDescent="0.2">
      <c r="A976">
        <v>20</v>
      </c>
      <c r="B976">
        <v>35</v>
      </c>
      <c r="C976" t="s">
        <v>698</v>
      </c>
      <c r="D976" t="s">
        <v>24</v>
      </c>
      <c r="E976" t="s">
        <v>31</v>
      </c>
      <c r="F976" t="s">
        <v>47</v>
      </c>
      <c r="G976" t="s">
        <v>27</v>
      </c>
    </row>
    <row r="977" spans="1:7" x14ac:dyDescent="0.2">
      <c r="A977">
        <v>20</v>
      </c>
      <c r="B977">
        <v>35</v>
      </c>
      <c r="C977" t="s">
        <v>699</v>
      </c>
      <c r="D977" t="s">
        <v>24</v>
      </c>
      <c r="E977" t="s">
        <v>31</v>
      </c>
      <c r="F977" t="s">
        <v>47</v>
      </c>
      <c r="G977" t="s">
        <v>27</v>
      </c>
    </row>
    <row r="978" spans="1:7" x14ac:dyDescent="0.2">
      <c r="A978">
        <v>20</v>
      </c>
      <c r="B978">
        <v>35</v>
      </c>
      <c r="C978" t="s">
        <v>700</v>
      </c>
      <c r="D978" t="s">
        <v>30</v>
      </c>
      <c r="E978" t="s">
        <v>31</v>
      </c>
      <c r="F978" t="s">
        <v>47</v>
      </c>
      <c r="G978" t="s">
        <v>27</v>
      </c>
    </row>
    <row r="979" spans="1:7" x14ac:dyDescent="0.2">
      <c r="A979">
        <v>20</v>
      </c>
      <c r="B979">
        <v>35</v>
      </c>
      <c r="C979" t="s">
        <v>701</v>
      </c>
      <c r="D979" t="s">
        <v>24</v>
      </c>
      <c r="E979" t="s">
        <v>31</v>
      </c>
      <c r="F979" t="s">
        <v>47</v>
      </c>
      <c r="G979" t="s">
        <v>27</v>
      </c>
    </row>
    <row r="980" spans="1:7" x14ac:dyDescent="0.2">
      <c r="A980">
        <v>20</v>
      </c>
      <c r="B980">
        <v>35</v>
      </c>
      <c r="C980" t="s">
        <v>702</v>
      </c>
      <c r="D980" t="s">
        <v>24</v>
      </c>
      <c r="E980" t="s">
        <v>31</v>
      </c>
      <c r="F980" t="s">
        <v>47</v>
      </c>
      <c r="G980" t="s">
        <v>27</v>
      </c>
    </row>
    <row r="981" spans="1:7" x14ac:dyDescent="0.2">
      <c r="A981">
        <v>20</v>
      </c>
      <c r="B981">
        <v>35</v>
      </c>
      <c r="C981" t="s">
        <v>618</v>
      </c>
      <c r="D981" t="s">
        <v>30</v>
      </c>
      <c r="E981" t="s">
        <v>31</v>
      </c>
      <c r="F981" t="s">
        <v>26</v>
      </c>
      <c r="G981" t="s">
        <v>27</v>
      </c>
    </row>
    <row r="982" spans="1:7" x14ac:dyDescent="0.2">
      <c r="A982">
        <v>20</v>
      </c>
      <c r="B982">
        <v>35</v>
      </c>
      <c r="C982" t="s">
        <v>703</v>
      </c>
      <c r="D982" t="s">
        <v>24</v>
      </c>
      <c r="E982" t="s">
        <v>31</v>
      </c>
      <c r="F982" t="s">
        <v>26</v>
      </c>
      <c r="G982" t="s">
        <v>27</v>
      </c>
    </row>
    <row r="983" spans="1:7" x14ac:dyDescent="0.2">
      <c r="A983">
        <v>20</v>
      </c>
      <c r="B983">
        <v>35</v>
      </c>
      <c r="C983" t="s">
        <v>704</v>
      </c>
      <c r="D983" t="s">
        <v>24</v>
      </c>
      <c r="E983" t="s">
        <v>31</v>
      </c>
      <c r="F983" t="s">
        <v>26</v>
      </c>
      <c r="G983" t="s">
        <v>27</v>
      </c>
    </row>
    <row r="984" spans="1:7" x14ac:dyDescent="0.2">
      <c r="A984">
        <v>21</v>
      </c>
      <c r="B984">
        <v>35</v>
      </c>
      <c r="C984" t="s">
        <v>690</v>
      </c>
      <c r="D984" t="s">
        <v>30</v>
      </c>
      <c r="E984" t="s">
        <v>31</v>
      </c>
      <c r="F984" t="s">
        <v>47</v>
      </c>
      <c r="G984" t="s">
        <v>27</v>
      </c>
    </row>
    <row r="985" spans="1:7" x14ac:dyDescent="0.2">
      <c r="A985">
        <v>21</v>
      </c>
      <c r="B985">
        <v>35</v>
      </c>
      <c r="C985" t="s">
        <v>705</v>
      </c>
      <c r="D985" t="s">
        <v>24</v>
      </c>
      <c r="E985" t="s">
        <v>31</v>
      </c>
      <c r="F985" t="s">
        <v>47</v>
      </c>
      <c r="G985" t="s">
        <v>27</v>
      </c>
    </row>
    <row r="986" spans="1:7" x14ac:dyDescent="0.2">
      <c r="A986">
        <v>21</v>
      </c>
      <c r="B986">
        <v>35</v>
      </c>
      <c r="C986" t="s">
        <v>706</v>
      </c>
      <c r="D986" t="s">
        <v>24</v>
      </c>
      <c r="E986" t="s">
        <v>31</v>
      </c>
      <c r="F986" t="s">
        <v>26</v>
      </c>
      <c r="G986" t="s">
        <v>27</v>
      </c>
    </row>
    <row r="987" spans="1:7" x14ac:dyDescent="0.2">
      <c r="A987">
        <v>21</v>
      </c>
      <c r="B987">
        <v>35</v>
      </c>
      <c r="C987" t="s">
        <v>707</v>
      </c>
      <c r="D987" t="s">
        <v>24</v>
      </c>
      <c r="E987" t="s">
        <v>31</v>
      </c>
      <c r="F987" t="s">
        <v>47</v>
      </c>
      <c r="G987" t="s">
        <v>27</v>
      </c>
    </row>
    <row r="988" spans="1:7" x14ac:dyDescent="0.2">
      <c r="A988">
        <v>21</v>
      </c>
      <c r="B988">
        <v>35</v>
      </c>
      <c r="C988" t="s">
        <v>708</v>
      </c>
      <c r="D988" t="s">
        <v>24</v>
      </c>
      <c r="E988" t="s">
        <v>31</v>
      </c>
      <c r="F988" t="s">
        <v>47</v>
      </c>
      <c r="G988" t="s">
        <v>27</v>
      </c>
    </row>
    <row r="989" spans="1:7" x14ac:dyDescent="0.2">
      <c r="A989">
        <v>21</v>
      </c>
      <c r="B989">
        <v>35</v>
      </c>
      <c r="C989" t="s">
        <v>709</v>
      </c>
      <c r="D989" t="s">
        <v>24</v>
      </c>
      <c r="E989" t="s">
        <v>31</v>
      </c>
      <c r="F989" t="s">
        <v>47</v>
      </c>
      <c r="G989" t="s">
        <v>27</v>
      </c>
    </row>
    <row r="990" spans="1:7" x14ac:dyDescent="0.2">
      <c r="A990">
        <v>21</v>
      </c>
      <c r="B990">
        <v>35</v>
      </c>
      <c r="C990" t="s">
        <v>618</v>
      </c>
      <c r="D990" t="s">
        <v>30</v>
      </c>
      <c r="E990" t="s">
        <v>31</v>
      </c>
      <c r="F990" t="s">
        <v>26</v>
      </c>
      <c r="G990" t="s">
        <v>27</v>
      </c>
    </row>
    <row r="991" spans="1:7" x14ac:dyDescent="0.2">
      <c r="A991">
        <v>21</v>
      </c>
      <c r="B991">
        <v>35</v>
      </c>
      <c r="C991" t="s">
        <v>576</v>
      </c>
      <c r="D991" t="s">
        <v>24</v>
      </c>
      <c r="E991" t="s">
        <v>31</v>
      </c>
      <c r="F991" t="s">
        <v>47</v>
      </c>
      <c r="G991" t="s">
        <v>27</v>
      </c>
    </row>
    <row r="992" spans="1:7" x14ac:dyDescent="0.2">
      <c r="A992">
        <v>21</v>
      </c>
      <c r="B992">
        <v>35</v>
      </c>
      <c r="C992" t="s">
        <v>710</v>
      </c>
      <c r="D992" t="s">
        <v>24</v>
      </c>
      <c r="E992" t="s">
        <v>31</v>
      </c>
      <c r="F992" t="s">
        <v>47</v>
      </c>
      <c r="G992" t="s">
        <v>27</v>
      </c>
    </row>
    <row r="993" spans="1:7" x14ac:dyDescent="0.2">
      <c r="A993">
        <v>21</v>
      </c>
      <c r="B993">
        <v>35</v>
      </c>
      <c r="C993" t="s">
        <v>563</v>
      </c>
      <c r="D993" t="s">
        <v>24</v>
      </c>
      <c r="E993" t="s">
        <v>31</v>
      </c>
      <c r="F993" t="s">
        <v>47</v>
      </c>
      <c r="G993" t="s">
        <v>27</v>
      </c>
    </row>
    <row r="994" spans="1:7" x14ac:dyDescent="0.2">
      <c r="A994">
        <v>22</v>
      </c>
      <c r="B994">
        <v>35</v>
      </c>
      <c r="C994" t="s">
        <v>711</v>
      </c>
      <c r="D994" t="s">
        <v>24</v>
      </c>
      <c r="E994" t="s">
        <v>25</v>
      </c>
      <c r="F994" t="s">
        <v>26</v>
      </c>
      <c r="G994" t="s">
        <v>27</v>
      </c>
    </row>
    <row r="995" spans="1:7" x14ac:dyDescent="0.2">
      <c r="A995">
        <v>22</v>
      </c>
      <c r="B995">
        <v>35</v>
      </c>
      <c r="C995" t="s">
        <v>712</v>
      </c>
      <c r="D995" t="s">
        <v>24</v>
      </c>
      <c r="E995" t="s">
        <v>25</v>
      </c>
      <c r="F995" t="s">
        <v>26</v>
      </c>
      <c r="G995" t="s">
        <v>27</v>
      </c>
    </row>
    <row r="996" spans="1:7" x14ac:dyDescent="0.2">
      <c r="A996">
        <v>22</v>
      </c>
      <c r="B996">
        <v>35</v>
      </c>
      <c r="C996" t="s">
        <v>713</v>
      </c>
      <c r="D996" t="s">
        <v>24</v>
      </c>
      <c r="E996" t="s">
        <v>25</v>
      </c>
      <c r="F996" t="s">
        <v>26</v>
      </c>
      <c r="G996" t="s">
        <v>27</v>
      </c>
    </row>
    <row r="997" spans="1:7" x14ac:dyDescent="0.2">
      <c r="A997">
        <v>22</v>
      </c>
      <c r="B997">
        <v>35</v>
      </c>
      <c r="C997" t="s">
        <v>714</v>
      </c>
      <c r="D997" t="s">
        <v>24</v>
      </c>
      <c r="E997" t="s">
        <v>25</v>
      </c>
      <c r="F997" t="s">
        <v>26</v>
      </c>
      <c r="G997" t="s">
        <v>27</v>
      </c>
    </row>
    <row r="998" spans="1:7" x14ac:dyDescent="0.2">
      <c r="A998">
        <v>22</v>
      </c>
      <c r="B998">
        <v>35</v>
      </c>
      <c r="C998" t="s">
        <v>715</v>
      </c>
      <c r="D998" t="s">
        <v>24</v>
      </c>
      <c r="E998" t="s">
        <v>25</v>
      </c>
      <c r="F998" t="s">
        <v>26</v>
      </c>
      <c r="G998" t="s">
        <v>27</v>
      </c>
    </row>
    <row r="999" spans="1:7" x14ac:dyDescent="0.2">
      <c r="A999">
        <v>22</v>
      </c>
      <c r="B999">
        <v>35</v>
      </c>
      <c r="C999" t="s">
        <v>716</v>
      </c>
      <c r="D999" t="s">
        <v>24</v>
      </c>
      <c r="E999" t="s">
        <v>25</v>
      </c>
      <c r="F999" t="s">
        <v>26</v>
      </c>
      <c r="G999" t="s">
        <v>27</v>
      </c>
    </row>
    <row r="1000" spans="1:7" x14ac:dyDescent="0.2">
      <c r="A1000">
        <v>22</v>
      </c>
      <c r="B1000">
        <v>35</v>
      </c>
      <c r="C1000" t="s">
        <v>717</v>
      </c>
      <c r="D1000" t="s">
        <v>24</v>
      </c>
      <c r="E1000" t="s">
        <v>25</v>
      </c>
      <c r="F1000" t="s">
        <v>26</v>
      </c>
      <c r="G1000" t="s">
        <v>27</v>
      </c>
    </row>
    <row r="1001" spans="1:7" x14ac:dyDescent="0.2">
      <c r="A1001">
        <v>22</v>
      </c>
      <c r="B1001">
        <v>35</v>
      </c>
      <c r="C1001" t="s">
        <v>718</v>
      </c>
      <c r="D1001" t="s">
        <v>24</v>
      </c>
      <c r="E1001" t="s">
        <v>25</v>
      </c>
      <c r="F1001" t="s">
        <v>26</v>
      </c>
      <c r="G1001" t="s">
        <v>27</v>
      </c>
    </row>
    <row r="1002" spans="1:7" x14ac:dyDescent="0.2">
      <c r="A1002">
        <v>22</v>
      </c>
      <c r="B1002">
        <v>35</v>
      </c>
      <c r="C1002" t="s">
        <v>618</v>
      </c>
      <c r="D1002" t="s">
        <v>30</v>
      </c>
      <c r="E1002" t="s">
        <v>25</v>
      </c>
      <c r="F1002" t="s">
        <v>26</v>
      </c>
      <c r="G1002" t="s">
        <v>27</v>
      </c>
    </row>
    <row r="1003" spans="1:7" x14ac:dyDescent="0.2">
      <c r="A1003">
        <v>22</v>
      </c>
      <c r="B1003">
        <v>35</v>
      </c>
      <c r="C1003" t="s">
        <v>719</v>
      </c>
      <c r="D1003" t="s">
        <v>24</v>
      </c>
      <c r="E1003" t="s">
        <v>25</v>
      </c>
      <c r="F1003" t="s">
        <v>26</v>
      </c>
      <c r="G1003" t="s">
        <v>27</v>
      </c>
    </row>
    <row r="1004" spans="1:7" x14ac:dyDescent="0.2">
      <c r="A1004">
        <v>22</v>
      </c>
      <c r="B1004">
        <v>35</v>
      </c>
      <c r="C1004" t="s">
        <v>574</v>
      </c>
      <c r="D1004" t="s">
        <v>24</v>
      </c>
      <c r="E1004" t="s">
        <v>25</v>
      </c>
      <c r="F1004" t="s">
        <v>26</v>
      </c>
      <c r="G1004" t="s">
        <v>27</v>
      </c>
    </row>
    <row r="1005" spans="1:7" x14ac:dyDescent="0.2">
      <c r="A1005">
        <v>22</v>
      </c>
      <c r="B1005">
        <v>35</v>
      </c>
      <c r="C1005" t="s">
        <v>720</v>
      </c>
      <c r="D1005" t="s">
        <v>24</v>
      </c>
      <c r="E1005" t="s">
        <v>25</v>
      </c>
      <c r="F1005" t="s">
        <v>26</v>
      </c>
      <c r="G1005" t="s">
        <v>27</v>
      </c>
    </row>
    <row r="1006" spans="1:7" x14ac:dyDescent="0.2">
      <c r="A1006">
        <v>23</v>
      </c>
      <c r="B1006">
        <v>35</v>
      </c>
      <c r="C1006" t="s">
        <v>721</v>
      </c>
      <c r="D1006" t="s">
        <v>24</v>
      </c>
      <c r="E1006" t="s">
        <v>31</v>
      </c>
      <c r="F1006" t="s">
        <v>47</v>
      </c>
      <c r="G1006" t="s">
        <v>27</v>
      </c>
    </row>
    <row r="1007" spans="1:7" x14ac:dyDescent="0.2">
      <c r="A1007">
        <v>23</v>
      </c>
      <c r="B1007">
        <v>35</v>
      </c>
      <c r="C1007" t="s">
        <v>722</v>
      </c>
      <c r="D1007" t="s">
        <v>24</v>
      </c>
      <c r="E1007" t="s">
        <v>31</v>
      </c>
      <c r="F1007" t="s">
        <v>47</v>
      </c>
      <c r="G1007" t="s">
        <v>27</v>
      </c>
    </row>
    <row r="1008" spans="1:7" x14ac:dyDescent="0.2">
      <c r="A1008">
        <v>23</v>
      </c>
      <c r="B1008">
        <v>35</v>
      </c>
      <c r="C1008" t="s">
        <v>723</v>
      </c>
      <c r="D1008" t="s">
        <v>24</v>
      </c>
      <c r="E1008" t="s">
        <v>31</v>
      </c>
      <c r="F1008" t="s">
        <v>47</v>
      </c>
      <c r="G1008" t="s">
        <v>27</v>
      </c>
    </row>
    <row r="1009" spans="1:7" x14ac:dyDescent="0.2">
      <c r="A1009">
        <v>23</v>
      </c>
      <c r="B1009">
        <v>35</v>
      </c>
      <c r="C1009" t="s">
        <v>724</v>
      </c>
      <c r="D1009" t="s">
        <v>24</v>
      </c>
      <c r="E1009" t="s">
        <v>31</v>
      </c>
      <c r="F1009" t="s">
        <v>47</v>
      </c>
      <c r="G1009" t="s">
        <v>27</v>
      </c>
    </row>
    <row r="1010" spans="1:7" x14ac:dyDescent="0.2">
      <c r="A1010">
        <v>23</v>
      </c>
      <c r="B1010">
        <v>35</v>
      </c>
      <c r="C1010" t="s">
        <v>725</v>
      </c>
      <c r="D1010" t="s">
        <v>24</v>
      </c>
      <c r="E1010" t="s">
        <v>31</v>
      </c>
      <c r="F1010" t="s">
        <v>47</v>
      </c>
      <c r="G1010" t="s">
        <v>27</v>
      </c>
    </row>
    <row r="1011" spans="1:7" x14ac:dyDescent="0.2">
      <c r="A1011">
        <v>23</v>
      </c>
      <c r="B1011">
        <v>35</v>
      </c>
      <c r="C1011" t="s">
        <v>726</v>
      </c>
      <c r="D1011" t="s">
        <v>24</v>
      </c>
      <c r="E1011" t="s">
        <v>31</v>
      </c>
      <c r="F1011" t="s">
        <v>47</v>
      </c>
      <c r="G1011" t="s">
        <v>27</v>
      </c>
    </row>
    <row r="1012" spans="1:7" x14ac:dyDescent="0.2">
      <c r="A1012">
        <v>23</v>
      </c>
      <c r="B1012">
        <v>35</v>
      </c>
      <c r="C1012" t="s">
        <v>727</v>
      </c>
      <c r="D1012" t="s">
        <v>24</v>
      </c>
      <c r="E1012" t="s">
        <v>31</v>
      </c>
      <c r="F1012" t="s">
        <v>47</v>
      </c>
      <c r="G1012" t="s">
        <v>27</v>
      </c>
    </row>
    <row r="1013" spans="1:7" x14ac:dyDescent="0.2">
      <c r="A1013">
        <v>23</v>
      </c>
      <c r="B1013">
        <v>35</v>
      </c>
      <c r="C1013" t="s">
        <v>728</v>
      </c>
      <c r="D1013" t="s">
        <v>24</v>
      </c>
      <c r="E1013" t="s">
        <v>31</v>
      </c>
      <c r="F1013" t="s">
        <v>47</v>
      </c>
      <c r="G1013" t="s">
        <v>27</v>
      </c>
    </row>
    <row r="1014" spans="1:7" x14ac:dyDescent="0.2">
      <c r="A1014">
        <v>23</v>
      </c>
      <c r="B1014">
        <v>35</v>
      </c>
      <c r="C1014" t="s">
        <v>729</v>
      </c>
      <c r="D1014" t="s">
        <v>24</v>
      </c>
      <c r="E1014" t="s">
        <v>31</v>
      </c>
      <c r="F1014" t="s">
        <v>47</v>
      </c>
      <c r="G1014" t="s">
        <v>27</v>
      </c>
    </row>
    <row r="1015" spans="1:7" x14ac:dyDescent="0.2">
      <c r="A1015">
        <v>23</v>
      </c>
      <c r="B1015">
        <v>35</v>
      </c>
      <c r="C1015" t="s">
        <v>730</v>
      </c>
      <c r="D1015" t="s">
        <v>24</v>
      </c>
      <c r="E1015" t="s">
        <v>31</v>
      </c>
      <c r="F1015" t="s">
        <v>47</v>
      </c>
      <c r="G1015" t="s">
        <v>27</v>
      </c>
    </row>
    <row r="1016" spans="1:7" x14ac:dyDescent="0.2">
      <c r="A1016">
        <v>23</v>
      </c>
      <c r="B1016">
        <v>35</v>
      </c>
      <c r="C1016" t="s">
        <v>731</v>
      </c>
      <c r="D1016" t="s">
        <v>24</v>
      </c>
      <c r="E1016" t="s">
        <v>31</v>
      </c>
      <c r="F1016" t="s">
        <v>26</v>
      </c>
      <c r="G1016" t="s">
        <v>27</v>
      </c>
    </row>
    <row r="1017" spans="1:7" x14ac:dyDescent="0.2">
      <c r="A1017">
        <v>7</v>
      </c>
      <c r="B1017">
        <v>36</v>
      </c>
      <c r="C1017" t="s">
        <v>732</v>
      </c>
      <c r="D1017" t="s">
        <v>24</v>
      </c>
      <c r="E1017" t="s">
        <v>25</v>
      </c>
      <c r="F1017" t="s">
        <v>26</v>
      </c>
      <c r="G1017" t="s">
        <v>27</v>
      </c>
    </row>
    <row r="1018" spans="1:7" x14ac:dyDescent="0.2">
      <c r="A1018">
        <v>7</v>
      </c>
      <c r="B1018">
        <v>36</v>
      </c>
      <c r="C1018" t="s">
        <v>733</v>
      </c>
      <c r="D1018" t="s">
        <v>24</v>
      </c>
      <c r="E1018" t="s">
        <v>25</v>
      </c>
      <c r="F1018" t="s">
        <v>26</v>
      </c>
      <c r="G1018" t="s">
        <v>27</v>
      </c>
    </row>
    <row r="1019" spans="1:7" x14ac:dyDescent="0.2">
      <c r="A1019">
        <v>7</v>
      </c>
      <c r="B1019">
        <v>36</v>
      </c>
      <c r="C1019" t="s">
        <v>734</v>
      </c>
      <c r="D1019" t="s">
        <v>24</v>
      </c>
      <c r="E1019" t="s">
        <v>25</v>
      </c>
      <c r="F1019" t="s">
        <v>26</v>
      </c>
      <c r="G1019" t="s">
        <v>27</v>
      </c>
    </row>
    <row r="1020" spans="1:7" x14ac:dyDescent="0.2">
      <c r="A1020">
        <v>8</v>
      </c>
      <c r="B1020">
        <v>36</v>
      </c>
      <c r="C1020" t="s">
        <v>735</v>
      </c>
      <c r="D1020" t="s">
        <v>24</v>
      </c>
      <c r="E1020" t="s">
        <v>31</v>
      </c>
      <c r="F1020" t="s">
        <v>87</v>
      </c>
      <c r="G1020" t="s">
        <v>27</v>
      </c>
    </row>
    <row r="1021" spans="1:7" x14ac:dyDescent="0.2">
      <c r="A1021">
        <v>8</v>
      </c>
      <c r="B1021">
        <v>36</v>
      </c>
      <c r="C1021" t="s">
        <v>736</v>
      </c>
      <c r="D1021" t="s">
        <v>24</v>
      </c>
      <c r="E1021" t="s">
        <v>31</v>
      </c>
      <c r="F1021" t="s">
        <v>87</v>
      </c>
      <c r="G1021" t="s">
        <v>27</v>
      </c>
    </row>
    <row r="1022" spans="1:7" x14ac:dyDescent="0.2">
      <c r="A1022">
        <v>8</v>
      </c>
      <c r="B1022">
        <v>36</v>
      </c>
      <c r="C1022" t="s">
        <v>737</v>
      </c>
      <c r="D1022" t="s">
        <v>24</v>
      </c>
      <c r="E1022" t="s">
        <v>256</v>
      </c>
      <c r="F1022" t="s">
        <v>87</v>
      </c>
      <c r="G1022" t="s">
        <v>27</v>
      </c>
    </row>
    <row r="1023" spans="1:7" x14ac:dyDescent="0.2">
      <c r="A1023">
        <v>8</v>
      </c>
      <c r="B1023">
        <v>36</v>
      </c>
      <c r="C1023" t="s">
        <v>738</v>
      </c>
      <c r="D1023" t="s">
        <v>24</v>
      </c>
      <c r="E1023" t="s">
        <v>256</v>
      </c>
      <c r="F1023" t="s">
        <v>87</v>
      </c>
      <c r="G1023" t="s">
        <v>27</v>
      </c>
    </row>
    <row r="1024" spans="1:7" x14ac:dyDescent="0.2">
      <c r="A1024">
        <v>8</v>
      </c>
      <c r="B1024">
        <v>36</v>
      </c>
      <c r="C1024" t="s">
        <v>739</v>
      </c>
      <c r="D1024" t="s">
        <v>24</v>
      </c>
      <c r="E1024" t="s">
        <v>256</v>
      </c>
      <c r="F1024" t="s">
        <v>87</v>
      </c>
      <c r="G1024" t="s">
        <v>27</v>
      </c>
    </row>
    <row r="1025" spans="1:7" x14ac:dyDescent="0.2">
      <c r="A1025">
        <v>9</v>
      </c>
      <c r="B1025">
        <v>36</v>
      </c>
      <c r="C1025" t="s">
        <v>740</v>
      </c>
      <c r="D1025" t="s">
        <v>24</v>
      </c>
      <c r="E1025" t="s">
        <v>31</v>
      </c>
      <c r="F1025" t="s">
        <v>47</v>
      </c>
      <c r="G1025" t="s">
        <v>27</v>
      </c>
    </row>
    <row r="1026" spans="1:7" x14ac:dyDescent="0.2">
      <c r="A1026">
        <v>10</v>
      </c>
      <c r="B1026">
        <v>36</v>
      </c>
      <c r="C1026" t="s">
        <v>741</v>
      </c>
      <c r="D1026" t="s">
        <v>24</v>
      </c>
      <c r="E1026" t="s">
        <v>25</v>
      </c>
      <c r="F1026" t="s">
        <v>26</v>
      </c>
      <c r="G1026" t="s">
        <v>27</v>
      </c>
    </row>
    <row r="1027" spans="1:7" x14ac:dyDescent="0.2">
      <c r="A1027">
        <v>10</v>
      </c>
      <c r="B1027">
        <v>36</v>
      </c>
      <c r="C1027" t="s">
        <v>742</v>
      </c>
      <c r="D1027" t="s">
        <v>24</v>
      </c>
      <c r="E1027" t="s">
        <v>25</v>
      </c>
      <c r="F1027" t="s">
        <v>26</v>
      </c>
      <c r="G1027" t="s">
        <v>27</v>
      </c>
    </row>
    <row r="1028" spans="1:7" x14ac:dyDescent="0.2">
      <c r="A1028">
        <v>10</v>
      </c>
      <c r="B1028">
        <v>36</v>
      </c>
      <c r="C1028" t="s">
        <v>743</v>
      </c>
      <c r="D1028" t="s">
        <v>24</v>
      </c>
      <c r="E1028" t="s">
        <v>25</v>
      </c>
      <c r="F1028" t="s">
        <v>26</v>
      </c>
      <c r="G1028" t="s">
        <v>27</v>
      </c>
    </row>
    <row r="1029" spans="1:7" x14ac:dyDescent="0.2">
      <c r="A1029">
        <v>10</v>
      </c>
      <c r="B1029">
        <v>36</v>
      </c>
      <c r="C1029" t="s">
        <v>744</v>
      </c>
      <c r="D1029" t="s">
        <v>24</v>
      </c>
      <c r="E1029" t="s">
        <v>25</v>
      </c>
      <c r="F1029" t="s">
        <v>26</v>
      </c>
      <c r="G1029" t="s">
        <v>27</v>
      </c>
    </row>
    <row r="1030" spans="1:7" x14ac:dyDescent="0.2">
      <c r="A1030">
        <v>10</v>
      </c>
      <c r="B1030">
        <v>36</v>
      </c>
      <c r="C1030" t="s">
        <v>745</v>
      </c>
      <c r="D1030" t="s">
        <v>24</v>
      </c>
      <c r="E1030" t="s">
        <v>25</v>
      </c>
      <c r="F1030" t="s">
        <v>26</v>
      </c>
      <c r="G1030" t="s">
        <v>27</v>
      </c>
    </row>
    <row r="1031" spans="1:7" x14ac:dyDescent="0.2">
      <c r="A1031">
        <v>10</v>
      </c>
      <c r="B1031">
        <v>36</v>
      </c>
      <c r="C1031" t="s">
        <v>746</v>
      </c>
      <c r="D1031" t="s">
        <v>24</v>
      </c>
      <c r="E1031" t="s">
        <v>25</v>
      </c>
      <c r="F1031" t="s">
        <v>26</v>
      </c>
      <c r="G1031" t="s">
        <v>27</v>
      </c>
    </row>
    <row r="1032" spans="1:7" x14ac:dyDescent="0.2">
      <c r="A1032">
        <v>10</v>
      </c>
      <c r="B1032">
        <v>36</v>
      </c>
      <c r="C1032" t="s">
        <v>734</v>
      </c>
      <c r="D1032" t="s">
        <v>24</v>
      </c>
      <c r="E1032" t="s">
        <v>25</v>
      </c>
      <c r="F1032" t="s">
        <v>26</v>
      </c>
      <c r="G1032" t="s">
        <v>27</v>
      </c>
    </row>
    <row r="1033" spans="1:7" x14ac:dyDescent="0.2">
      <c r="A1033">
        <v>11</v>
      </c>
      <c r="B1033">
        <v>36</v>
      </c>
      <c r="C1033" t="s">
        <v>747</v>
      </c>
      <c r="D1033" t="s">
        <v>24</v>
      </c>
      <c r="E1033" t="s">
        <v>256</v>
      </c>
      <c r="F1033" t="s">
        <v>87</v>
      </c>
      <c r="G1033" t="s">
        <v>27</v>
      </c>
    </row>
    <row r="1034" spans="1:7" x14ac:dyDescent="0.2">
      <c r="A1034">
        <v>11</v>
      </c>
      <c r="B1034">
        <v>36</v>
      </c>
      <c r="C1034" t="s">
        <v>748</v>
      </c>
      <c r="D1034" t="s">
        <v>24</v>
      </c>
      <c r="E1034" t="s">
        <v>256</v>
      </c>
      <c r="F1034" t="s">
        <v>87</v>
      </c>
      <c r="G1034" t="s">
        <v>27</v>
      </c>
    </row>
    <row r="1035" spans="1:7" x14ac:dyDescent="0.2">
      <c r="A1035">
        <v>11</v>
      </c>
      <c r="B1035">
        <v>36</v>
      </c>
      <c r="C1035" t="s">
        <v>749</v>
      </c>
      <c r="D1035" t="s">
        <v>24</v>
      </c>
      <c r="E1035" t="s">
        <v>256</v>
      </c>
      <c r="F1035" t="s">
        <v>87</v>
      </c>
      <c r="G1035" t="s">
        <v>27</v>
      </c>
    </row>
    <row r="1036" spans="1:7" x14ac:dyDescent="0.2">
      <c r="A1036">
        <v>11</v>
      </c>
      <c r="B1036">
        <v>36</v>
      </c>
      <c r="C1036" t="s">
        <v>735</v>
      </c>
      <c r="D1036" t="s">
        <v>24</v>
      </c>
      <c r="E1036" t="s">
        <v>256</v>
      </c>
      <c r="F1036" t="s">
        <v>87</v>
      </c>
      <c r="G1036" t="s">
        <v>27</v>
      </c>
    </row>
    <row r="1037" spans="1:7" x14ac:dyDescent="0.2">
      <c r="A1037">
        <v>11</v>
      </c>
      <c r="B1037">
        <v>36</v>
      </c>
      <c r="C1037" t="s">
        <v>750</v>
      </c>
      <c r="D1037" t="s">
        <v>24</v>
      </c>
      <c r="E1037" t="s">
        <v>256</v>
      </c>
      <c r="F1037" t="s">
        <v>87</v>
      </c>
      <c r="G1037" t="s">
        <v>27</v>
      </c>
    </row>
    <row r="1038" spans="1:7" x14ac:dyDescent="0.2">
      <c r="A1038">
        <v>11</v>
      </c>
      <c r="B1038">
        <v>36</v>
      </c>
      <c r="C1038" t="s">
        <v>751</v>
      </c>
      <c r="D1038" t="s">
        <v>24</v>
      </c>
      <c r="E1038" t="s">
        <v>256</v>
      </c>
      <c r="F1038" t="s">
        <v>87</v>
      </c>
      <c r="G1038" t="s">
        <v>27</v>
      </c>
    </row>
    <row r="1039" spans="1:7" x14ac:dyDescent="0.2">
      <c r="A1039">
        <v>11</v>
      </c>
      <c r="B1039">
        <v>36</v>
      </c>
      <c r="C1039" t="s">
        <v>752</v>
      </c>
      <c r="D1039" t="s">
        <v>24</v>
      </c>
      <c r="E1039" t="s">
        <v>256</v>
      </c>
      <c r="F1039" t="s">
        <v>87</v>
      </c>
      <c r="G1039" t="s">
        <v>27</v>
      </c>
    </row>
    <row r="1040" spans="1:7" x14ac:dyDescent="0.2">
      <c r="A1040">
        <v>11</v>
      </c>
      <c r="B1040">
        <v>36</v>
      </c>
      <c r="C1040" t="s">
        <v>753</v>
      </c>
      <c r="D1040" t="s">
        <v>24</v>
      </c>
      <c r="E1040" t="s">
        <v>256</v>
      </c>
      <c r="F1040" t="s">
        <v>87</v>
      </c>
      <c r="G1040" t="s">
        <v>27</v>
      </c>
    </row>
    <row r="1041" spans="1:7" x14ac:dyDescent="0.2">
      <c r="A1041">
        <v>11</v>
      </c>
      <c r="B1041">
        <v>36</v>
      </c>
      <c r="C1041" t="s">
        <v>754</v>
      </c>
      <c r="D1041" t="s">
        <v>24</v>
      </c>
      <c r="E1041" t="s">
        <v>256</v>
      </c>
      <c r="F1041" t="s">
        <v>87</v>
      </c>
      <c r="G1041" t="s">
        <v>27</v>
      </c>
    </row>
    <row r="1042" spans="1:7" x14ac:dyDescent="0.2">
      <c r="A1042">
        <v>11</v>
      </c>
      <c r="B1042">
        <v>36</v>
      </c>
      <c r="C1042" t="s">
        <v>755</v>
      </c>
      <c r="D1042" t="s">
        <v>24</v>
      </c>
      <c r="E1042" t="s">
        <v>256</v>
      </c>
      <c r="F1042" t="s">
        <v>87</v>
      </c>
      <c r="G1042" t="s">
        <v>27</v>
      </c>
    </row>
    <row r="1043" spans="1:7" x14ac:dyDescent="0.2">
      <c r="A1043">
        <v>12</v>
      </c>
      <c r="B1043">
        <v>36</v>
      </c>
      <c r="C1043" t="s">
        <v>620</v>
      </c>
      <c r="D1043" t="s">
        <v>24</v>
      </c>
      <c r="E1043" t="s">
        <v>31</v>
      </c>
      <c r="F1043" t="s">
        <v>87</v>
      </c>
      <c r="G1043" t="s">
        <v>27</v>
      </c>
    </row>
    <row r="1044" spans="1:7" x14ac:dyDescent="0.2">
      <c r="A1044">
        <v>13</v>
      </c>
      <c r="B1044">
        <v>36</v>
      </c>
      <c r="C1044" t="s">
        <v>753</v>
      </c>
      <c r="D1044" t="s">
        <v>24</v>
      </c>
      <c r="E1044" t="s">
        <v>25</v>
      </c>
      <c r="F1044" t="s">
        <v>26</v>
      </c>
      <c r="G1044" t="s">
        <v>27</v>
      </c>
    </row>
    <row r="1045" spans="1:7" x14ac:dyDescent="0.2">
      <c r="A1045">
        <v>13</v>
      </c>
      <c r="B1045">
        <v>36</v>
      </c>
      <c r="C1045" t="s">
        <v>756</v>
      </c>
      <c r="D1045" t="s">
        <v>24</v>
      </c>
      <c r="E1045" t="s">
        <v>25</v>
      </c>
      <c r="F1045" t="s">
        <v>26</v>
      </c>
      <c r="G1045" t="s">
        <v>27</v>
      </c>
    </row>
    <row r="1046" spans="1:7" x14ac:dyDescent="0.2">
      <c r="A1046">
        <v>13</v>
      </c>
      <c r="B1046">
        <v>36</v>
      </c>
      <c r="C1046" t="s">
        <v>757</v>
      </c>
      <c r="D1046" t="s">
        <v>24</v>
      </c>
      <c r="E1046" t="s">
        <v>25</v>
      </c>
      <c r="F1046" t="s">
        <v>26</v>
      </c>
      <c r="G1046" t="s">
        <v>27</v>
      </c>
    </row>
    <row r="1047" spans="1:7" x14ac:dyDescent="0.2">
      <c r="A1047">
        <v>13</v>
      </c>
      <c r="B1047">
        <v>36</v>
      </c>
      <c r="C1047" t="s">
        <v>755</v>
      </c>
      <c r="D1047" t="s">
        <v>24</v>
      </c>
      <c r="E1047" t="s">
        <v>25</v>
      </c>
      <c r="F1047" t="s">
        <v>26</v>
      </c>
      <c r="G1047" t="s">
        <v>27</v>
      </c>
    </row>
    <row r="1048" spans="1:7" x14ac:dyDescent="0.2">
      <c r="A1048">
        <v>13</v>
      </c>
      <c r="B1048">
        <v>36</v>
      </c>
      <c r="C1048" t="s">
        <v>758</v>
      </c>
      <c r="D1048" t="s">
        <v>24</v>
      </c>
      <c r="E1048" t="s">
        <v>25</v>
      </c>
      <c r="F1048" t="s">
        <v>26</v>
      </c>
      <c r="G1048" t="s">
        <v>27</v>
      </c>
    </row>
    <row r="1049" spans="1:7" x14ac:dyDescent="0.2">
      <c r="A1049">
        <v>13</v>
      </c>
      <c r="B1049">
        <v>36</v>
      </c>
      <c r="C1049" t="s">
        <v>759</v>
      </c>
      <c r="D1049" t="s">
        <v>24</v>
      </c>
      <c r="E1049" t="s">
        <v>25</v>
      </c>
      <c r="F1049" t="s">
        <v>26</v>
      </c>
      <c r="G1049" t="s">
        <v>27</v>
      </c>
    </row>
    <row r="1050" spans="1:7" x14ac:dyDescent="0.2">
      <c r="A1050">
        <v>14</v>
      </c>
      <c r="B1050">
        <v>36</v>
      </c>
      <c r="C1050" t="s">
        <v>686</v>
      </c>
      <c r="D1050" t="s">
        <v>24</v>
      </c>
      <c r="E1050" t="s">
        <v>31</v>
      </c>
      <c r="F1050" t="s">
        <v>47</v>
      </c>
      <c r="G1050" t="s">
        <v>27</v>
      </c>
    </row>
    <row r="1051" spans="1:7" x14ac:dyDescent="0.2">
      <c r="A1051">
        <v>14</v>
      </c>
      <c r="B1051">
        <v>36</v>
      </c>
      <c r="C1051" t="s">
        <v>735</v>
      </c>
      <c r="D1051" t="s">
        <v>24</v>
      </c>
      <c r="E1051" t="s">
        <v>31</v>
      </c>
      <c r="F1051" t="s">
        <v>47</v>
      </c>
      <c r="G1051" t="s">
        <v>27</v>
      </c>
    </row>
    <row r="1052" spans="1:7" x14ac:dyDescent="0.2">
      <c r="A1052">
        <v>14</v>
      </c>
      <c r="B1052">
        <v>36</v>
      </c>
      <c r="C1052" t="s">
        <v>760</v>
      </c>
      <c r="D1052" t="s">
        <v>24</v>
      </c>
      <c r="E1052" t="s">
        <v>31</v>
      </c>
      <c r="F1052" t="s">
        <v>47</v>
      </c>
      <c r="G1052" t="s">
        <v>27</v>
      </c>
    </row>
    <row r="1053" spans="1:7" x14ac:dyDescent="0.2">
      <c r="A1053">
        <v>14</v>
      </c>
      <c r="B1053">
        <v>36</v>
      </c>
      <c r="C1053" t="s">
        <v>761</v>
      </c>
      <c r="D1053" t="s">
        <v>24</v>
      </c>
      <c r="E1053" t="s">
        <v>31</v>
      </c>
      <c r="F1053" t="s">
        <v>47</v>
      </c>
      <c r="G1053" t="s">
        <v>27</v>
      </c>
    </row>
    <row r="1054" spans="1:7" x14ac:dyDescent="0.2">
      <c r="A1054">
        <v>14</v>
      </c>
      <c r="B1054">
        <v>36</v>
      </c>
      <c r="C1054" t="s">
        <v>762</v>
      </c>
      <c r="D1054" t="s">
        <v>24</v>
      </c>
      <c r="E1054" t="s">
        <v>31</v>
      </c>
      <c r="F1054" t="s">
        <v>47</v>
      </c>
      <c r="G1054" t="s">
        <v>27</v>
      </c>
    </row>
    <row r="1055" spans="1:7" x14ac:dyDescent="0.2">
      <c r="A1055">
        <v>15</v>
      </c>
      <c r="B1055">
        <v>36</v>
      </c>
      <c r="C1055" t="s">
        <v>763</v>
      </c>
      <c r="D1055" t="s">
        <v>24</v>
      </c>
      <c r="E1055" t="s">
        <v>31</v>
      </c>
      <c r="F1055" t="s">
        <v>47</v>
      </c>
      <c r="G1055" t="s">
        <v>27</v>
      </c>
    </row>
    <row r="1056" spans="1:7" x14ac:dyDescent="0.2">
      <c r="A1056">
        <v>15</v>
      </c>
      <c r="B1056">
        <v>36</v>
      </c>
      <c r="C1056" t="s">
        <v>748</v>
      </c>
      <c r="D1056" t="s">
        <v>24</v>
      </c>
      <c r="E1056" t="s">
        <v>31</v>
      </c>
      <c r="F1056" t="s">
        <v>47</v>
      </c>
      <c r="G1056" t="s">
        <v>27</v>
      </c>
    </row>
    <row r="1057" spans="1:7" x14ac:dyDescent="0.2">
      <c r="A1057">
        <v>15</v>
      </c>
      <c r="B1057">
        <v>36</v>
      </c>
      <c r="C1057" t="s">
        <v>686</v>
      </c>
      <c r="D1057" t="s">
        <v>24</v>
      </c>
      <c r="E1057" t="s">
        <v>31</v>
      </c>
      <c r="F1057" t="s">
        <v>47</v>
      </c>
      <c r="G1057" t="s">
        <v>27</v>
      </c>
    </row>
    <row r="1058" spans="1:7" x14ac:dyDescent="0.2">
      <c r="A1058">
        <v>15</v>
      </c>
      <c r="B1058">
        <v>36</v>
      </c>
      <c r="C1058" t="s">
        <v>735</v>
      </c>
      <c r="D1058" t="s">
        <v>24</v>
      </c>
      <c r="E1058" t="s">
        <v>31</v>
      </c>
      <c r="F1058" t="s">
        <v>47</v>
      </c>
      <c r="G1058" t="s">
        <v>27</v>
      </c>
    </row>
    <row r="1059" spans="1:7" x14ac:dyDescent="0.2">
      <c r="A1059">
        <v>15</v>
      </c>
      <c r="B1059">
        <v>36</v>
      </c>
      <c r="C1059" t="s">
        <v>764</v>
      </c>
      <c r="D1059" t="s">
        <v>24</v>
      </c>
      <c r="E1059" t="s">
        <v>31</v>
      </c>
      <c r="F1059" t="s">
        <v>47</v>
      </c>
      <c r="G1059" t="s">
        <v>27</v>
      </c>
    </row>
    <row r="1060" spans="1:7" x14ac:dyDescent="0.2">
      <c r="A1060">
        <v>16</v>
      </c>
      <c r="B1060">
        <v>36</v>
      </c>
      <c r="C1060" t="s">
        <v>748</v>
      </c>
      <c r="D1060" t="s">
        <v>24</v>
      </c>
      <c r="E1060" t="s">
        <v>31</v>
      </c>
      <c r="F1060" t="s">
        <v>47</v>
      </c>
      <c r="G1060" t="s">
        <v>27</v>
      </c>
    </row>
    <row r="1061" spans="1:7" x14ac:dyDescent="0.2">
      <c r="A1061">
        <v>16</v>
      </c>
      <c r="B1061">
        <v>36</v>
      </c>
      <c r="C1061" t="s">
        <v>765</v>
      </c>
      <c r="D1061" t="s">
        <v>24</v>
      </c>
      <c r="E1061" t="s">
        <v>31</v>
      </c>
      <c r="F1061" t="s">
        <v>47</v>
      </c>
      <c r="G1061" t="s">
        <v>27</v>
      </c>
    </row>
    <row r="1062" spans="1:7" x14ac:dyDescent="0.2">
      <c r="A1062">
        <v>17</v>
      </c>
      <c r="B1062">
        <v>36</v>
      </c>
      <c r="C1062" t="s">
        <v>766</v>
      </c>
      <c r="D1062" t="s">
        <v>24</v>
      </c>
      <c r="E1062" t="s">
        <v>31</v>
      </c>
      <c r="F1062" t="s">
        <v>26</v>
      </c>
      <c r="G1062" t="s">
        <v>27</v>
      </c>
    </row>
    <row r="1063" spans="1:7" x14ac:dyDescent="0.2">
      <c r="A1063">
        <v>17</v>
      </c>
      <c r="B1063">
        <v>36</v>
      </c>
      <c r="C1063" t="s">
        <v>748</v>
      </c>
      <c r="D1063" t="s">
        <v>24</v>
      </c>
      <c r="E1063" t="s">
        <v>31</v>
      </c>
      <c r="F1063" t="s">
        <v>26</v>
      </c>
      <c r="G1063" t="s">
        <v>27</v>
      </c>
    </row>
    <row r="1064" spans="1:7" x14ac:dyDescent="0.2">
      <c r="A1064">
        <v>17</v>
      </c>
      <c r="B1064">
        <v>36</v>
      </c>
      <c r="C1064" t="s">
        <v>765</v>
      </c>
      <c r="D1064" t="s">
        <v>24</v>
      </c>
      <c r="E1064" t="s">
        <v>31</v>
      </c>
      <c r="F1064" t="s">
        <v>47</v>
      </c>
      <c r="G1064" t="s">
        <v>27</v>
      </c>
    </row>
    <row r="1065" spans="1:7" x14ac:dyDescent="0.2">
      <c r="A1065">
        <v>18</v>
      </c>
      <c r="B1065">
        <v>36</v>
      </c>
      <c r="C1065" t="s">
        <v>613</v>
      </c>
      <c r="D1065" t="s">
        <v>24</v>
      </c>
      <c r="E1065" t="s">
        <v>31</v>
      </c>
      <c r="F1065" t="s">
        <v>47</v>
      </c>
      <c r="G1065" t="s">
        <v>27</v>
      </c>
    </row>
    <row r="1066" spans="1:7" x14ac:dyDescent="0.2">
      <c r="A1066">
        <v>18</v>
      </c>
      <c r="B1066">
        <v>36</v>
      </c>
      <c r="C1066" t="s">
        <v>767</v>
      </c>
      <c r="D1066" t="s">
        <v>30</v>
      </c>
      <c r="E1066" t="s">
        <v>31</v>
      </c>
      <c r="F1066" t="s">
        <v>47</v>
      </c>
      <c r="G1066" t="s">
        <v>27</v>
      </c>
    </row>
    <row r="1067" spans="1:7" x14ac:dyDescent="0.2">
      <c r="A1067">
        <v>18</v>
      </c>
      <c r="B1067">
        <v>36</v>
      </c>
      <c r="C1067" t="s">
        <v>707</v>
      </c>
      <c r="D1067" t="s">
        <v>24</v>
      </c>
      <c r="E1067" t="s">
        <v>31</v>
      </c>
      <c r="F1067" t="s">
        <v>47</v>
      </c>
      <c r="G1067" t="s">
        <v>27</v>
      </c>
    </row>
    <row r="1068" spans="1:7" x14ac:dyDescent="0.2">
      <c r="A1068">
        <v>18</v>
      </c>
      <c r="B1068">
        <v>36</v>
      </c>
      <c r="C1068" t="s">
        <v>685</v>
      </c>
      <c r="D1068" t="s">
        <v>24</v>
      </c>
      <c r="E1068" t="s">
        <v>31</v>
      </c>
      <c r="F1068" t="s">
        <v>47</v>
      </c>
      <c r="G1068" t="s">
        <v>27</v>
      </c>
    </row>
    <row r="1069" spans="1:7" x14ac:dyDescent="0.2">
      <c r="A1069">
        <v>19</v>
      </c>
      <c r="B1069">
        <v>36</v>
      </c>
      <c r="C1069" t="s">
        <v>748</v>
      </c>
      <c r="D1069" t="s">
        <v>24</v>
      </c>
      <c r="E1069" t="s">
        <v>31</v>
      </c>
      <c r="F1069" t="s">
        <v>47</v>
      </c>
      <c r="G1069" t="s">
        <v>27</v>
      </c>
    </row>
    <row r="1070" spans="1:7" x14ac:dyDescent="0.2">
      <c r="A1070">
        <v>19</v>
      </c>
      <c r="B1070">
        <v>36</v>
      </c>
      <c r="C1070" t="s">
        <v>768</v>
      </c>
      <c r="D1070" t="s">
        <v>24</v>
      </c>
      <c r="E1070" t="s">
        <v>31</v>
      </c>
      <c r="F1070" t="s">
        <v>47</v>
      </c>
      <c r="G1070" t="s">
        <v>27</v>
      </c>
    </row>
    <row r="1071" spans="1:7" x14ac:dyDescent="0.2">
      <c r="A1071">
        <v>19</v>
      </c>
      <c r="B1071">
        <v>36</v>
      </c>
      <c r="C1071" t="s">
        <v>768</v>
      </c>
      <c r="D1071" t="s">
        <v>24</v>
      </c>
      <c r="E1071" t="s">
        <v>31</v>
      </c>
      <c r="F1071" t="s">
        <v>47</v>
      </c>
      <c r="G1071" t="s">
        <v>27</v>
      </c>
    </row>
    <row r="1072" spans="1:7" x14ac:dyDescent="0.2">
      <c r="A1072">
        <v>19</v>
      </c>
      <c r="B1072">
        <v>36</v>
      </c>
      <c r="C1072" t="s">
        <v>769</v>
      </c>
      <c r="D1072" t="s">
        <v>24</v>
      </c>
      <c r="E1072" t="s">
        <v>31</v>
      </c>
      <c r="F1072" t="s">
        <v>47</v>
      </c>
      <c r="G1072" t="s">
        <v>27</v>
      </c>
    </row>
    <row r="1073" spans="1:7" x14ac:dyDescent="0.2">
      <c r="A1073">
        <v>19</v>
      </c>
      <c r="B1073">
        <v>36</v>
      </c>
      <c r="C1073" t="s">
        <v>770</v>
      </c>
      <c r="D1073" t="s">
        <v>24</v>
      </c>
      <c r="E1073" t="s">
        <v>31</v>
      </c>
      <c r="F1073" t="s">
        <v>47</v>
      </c>
      <c r="G1073" t="s">
        <v>27</v>
      </c>
    </row>
    <row r="1074" spans="1:7" x14ac:dyDescent="0.2">
      <c r="A1074">
        <v>20</v>
      </c>
      <c r="B1074">
        <v>36</v>
      </c>
      <c r="C1074" t="s">
        <v>771</v>
      </c>
      <c r="D1074" t="s">
        <v>24</v>
      </c>
      <c r="E1074" t="s">
        <v>31</v>
      </c>
      <c r="F1074" t="s">
        <v>47</v>
      </c>
      <c r="G1074" t="s">
        <v>27</v>
      </c>
    </row>
    <row r="1075" spans="1:7" x14ac:dyDescent="0.2">
      <c r="A1075">
        <v>20</v>
      </c>
      <c r="B1075">
        <v>36</v>
      </c>
      <c r="C1075" t="s">
        <v>772</v>
      </c>
      <c r="D1075" t="s">
        <v>24</v>
      </c>
      <c r="E1075" t="s">
        <v>31</v>
      </c>
      <c r="F1075" t="s">
        <v>26</v>
      </c>
      <c r="G1075" t="s">
        <v>27</v>
      </c>
    </row>
    <row r="1076" spans="1:7" x14ac:dyDescent="0.2">
      <c r="A1076">
        <v>20</v>
      </c>
      <c r="B1076">
        <v>36</v>
      </c>
      <c r="C1076" t="s">
        <v>773</v>
      </c>
      <c r="D1076" t="s">
        <v>24</v>
      </c>
      <c r="E1076" t="s">
        <v>31</v>
      </c>
      <c r="F1076" t="s">
        <v>26</v>
      </c>
      <c r="G1076" t="s">
        <v>27</v>
      </c>
    </row>
    <row r="1077" spans="1:7" x14ac:dyDescent="0.2">
      <c r="A1077">
        <v>20</v>
      </c>
      <c r="B1077">
        <v>36</v>
      </c>
      <c r="C1077" t="s">
        <v>774</v>
      </c>
      <c r="D1077" t="s">
        <v>24</v>
      </c>
      <c r="E1077" t="s">
        <v>31</v>
      </c>
      <c r="F1077" t="s">
        <v>47</v>
      </c>
      <c r="G1077" t="s">
        <v>27</v>
      </c>
    </row>
    <row r="1078" spans="1:7" x14ac:dyDescent="0.2">
      <c r="A1078">
        <v>21</v>
      </c>
      <c r="B1078">
        <v>36</v>
      </c>
      <c r="C1078" t="s">
        <v>775</v>
      </c>
      <c r="D1078" t="s">
        <v>24</v>
      </c>
      <c r="E1078" t="s">
        <v>25</v>
      </c>
      <c r="F1078" t="s">
        <v>26</v>
      </c>
      <c r="G1078" t="s">
        <v>27</v>
      </c>
    </row>
    <row r="1079" spans="1:7" x14ac:dyDescent="0.2">
      <c r="A1079">
        <v>21</v>
      </c>
      <c r="B1079">
        <v>26</v>
      </c>
      <c r="C1079" t="s">
        <v>773</v>
      </c>
      <c r="D1079" t="s">
        <v>24</v>
      </c>
      <c r="E1079" t="s">
        <v>25</v>
      </c>
      <c r="F1079" t="s">
        <v>26</v>
      </c>
      <c r="G1079" t="s">
        <v>27</v>
      </c>
    </row>
    <row r="1080" spans="1:7" x14ac:dyDescent="0.2">
      <c r="A1080">
        <v>21</v>
      </c>
      <c r="B1080">
        <v>26</v>
      </c>
      <c r="C1080" t="s">
        <v>774</v>
      </c>
      <c r="D1080" t="s">
        <v>24</v>
      </c>
      <c r="E1080" t="s">
        <v>25</v>
      </c>
      <c r="F1080" t="s">
        <v>26</v>
      </c>
      <c r="G1080" t="s">
        <v>27</v>
      </c>
    </row>
    <row r="1081" spans="1:7" x14ac:dyDescent="0.2">
      <c r="A1081">
        <v>21</v>
      </c>
      <c r="B1081">
        <v>26</v>
      </c>
      <c r="C1081" t="s">
        <v>627</v>
      </c>
      <c r="D1081" t="s">
        <v>24</v>
      </c>
      <c r="E1081" t="s">
        <v>25</v>
      </c>
      <c r="F1081" t="s">
        <v>26</v>
      </c>
      <c r="G1081" t="s">
        <v>27</v>
      </c>
    </row>
    <row r="1082" spans="1:7" x14ac:dyDescent="0.2">
      <c r="A1082">
        <v>22</v>
      </c>
      <c r="B1082">
        <v>26</v>
      </c>
      <c r="C1082" t="s">
        <v>771</v>
      </c>
      <c r="D1082" t="s">
        <v>24</v>
      </c>
      <c r="E1082" t="s">
        <v>31</v>
      </c>
      <c r="F1082" t="s">
        <v>47</v>
      </c>
      <c r="G1082" t="s">
        <v>27</v>
      </c>
    </row>
    <row r="1083" spans="1:7" x14ac:dyDescent="0.2">
      <c r="A1083">
        <v>22</v>
      </c>
      <c r="B1083">
        <v>26</v>
      </c>
      <c r="C1083" t="s">
        <v>774</v>
      </c>
      <c r="D1083" t="s">
        <v>24</v>
      </c>
      <c r="E1083" t="s">
        <v>31</v>
      </c>
      <c r="F1083" t="s">
        <v>47</v>
      </c>
      <c r="G1083" t="s">
        <v>27</v>
      </c>
    </row>
    <row r="1084" spans="1:7" x14ac:dyDescent="0.2">
      <c r="A1084">
        <v>23</v>
      </c>
      <c r="B1084">
        <v>36</v>
      </c>
      <c r="C1084" t="s">
        <v>771</v>
      </c>
      <c r="D1084" t="s">
        <v>24</v>
      </c>
      <c r="E1084" t="s">
        <v>31</v>
      </c>
      <c r="F1084" t="s">
        <v>47</v>
      </c>
      <c r="G1084" t="s">
        <v>27</v>
      </c>
    </row>
    <row r="1085" spans="1:7" x14ac:dyDescent="0.2">
      <c r="A1085">
        <v>23</v>
      </c>
      <c r="B1085">
        <v>36</v>
      </c>
      <c r="C1085" t="s">
        <v>776</v>
      </c>
      <c r="D1085" t="s">
        <v>24</v>
      </c>
      <c r="E1085" t="s">
        <v>25</v>
      </c>
      <c r="F1085" t="s">
        <v>87</v>
      </c>
      <c r="G1085" t="s">
        <v>27</v>
      </c>
    </row>
    <row r="1086" spans="1:7" x14ac:dyDescent="0.2">
      <c r="A1086">
        <v>7</v>
      </c>
      <c r="B1086">
        <v>37</v>
      </c>
      <c r="C1086" t="s">
        <v>777</v>
      </c>
      <c r="D1086" t="s">
        <v>24</v>
      </c>
      <c r="E1086" t="s">
        <v>25</v>
      </c>
      <c r="F1086" t="s">
        <v>26</v>
      </c>
      <c r="G1086" t="s">
        <v>27</v>
      </c>
    </row>
    <row r="1087" spans="1:7" x14ac:dyDescent="0.2">
      <c r="A1087">
        <v>7</v>
      </c>
      <c r="B1087">
        <v>37</v>
      </c>
      <c r="C1087" t="s">
        <v>778</v>
      </c>
      <c r="D1087" t="s">
        <v>24</v>
      </c>
      <c r="E1087" t="s">
        <v>25</v>
      </c>
      <c r="F1087" t="s">
        <v>26</v>
      </c>
      <c r="G1087" t="s">
        <v>27</v>
      </c>
    </row>
    <row r="1088" spans="1:7" x14ac:dyDescent="0.2">
      <c r="A1088">
        <v>8</v>
      </c>
      <c r="B1088">
        <v>37</v>
      </c>
      <c r="C1088" t="s">
        <v>779</v>
      </c>
      <c r="D1088" t="s">
        <v>24</v>
      </c>
      <c r="E1088" t="s">
        <v>31</v>
      </c>
      <c r="F1088" t="s">
        <v>26</v>
      </c>
      <c r="G1088" t="s">
        <v>27</v>
      </c>
    </row>
    <row r="1089" spans="1:7" x14ac:dyDescent="0.2">
      <c r="A1089">
        <v>8</v>
      </c>
      <c r="B1089">
        <v>37</v>
      </c>
      <c r="C1089" t="s">
        <v>780</v>
      </c>
      <c r="D1089" t="s">
        <v>30</v>
      </c>
      <c r="E1089" t="s">
        <v>31</v>
      </c>
      <c r="F1089" t="s">
        <v>26</v>
      </c>
      <c r="G1089" t="s">
        <v>27</v>
      </c>
    </row>
    <row r="1090" spans="1:7" x14ac:dyDescent="0.2">
      <c r="A1090">
        <v>8</v>
      </c>
      <c r="B1090">
        <v>37</v>
      </c>
      <c r="C1090" t="s">
        <v>781</v>
      </c>
      <c r="D1090" t="s">
        <v>24</v>
      </c>
      <c r="E1090" t="s">
        <v>31</v>
      </c>
      <c r="F1090" t="s">
        <v>26</v>
      </c>
      <c r="G1090" t="s">
        <v>27</v>
      </c>
    </row>
    <row r="1091" spans="1:7" x14ac:dyDescent="0.2">
      <c r="A1091">
        <v>8</v>
      </c>
      <c r="B1091">
        <v>37</v>
      </c>
      <c r="C1091" t="s">
        <v>782</v>
      </c>
      <c r="D1091" t="s">
        <v>24</v>
      </c>
      <c r="E1091" t="s">
        <v>31</v>
      </c>
      <c r="F1091" t="s">
        <v>26</v>
      </c>
      <c r="G1091" t="s">
        <v>27</v>
      </c>
    </row>
    <row r="1092" spans="1:7" x14ac:dyDescent="0.2">
      <c r="A1092">
        <v>8</v>
      </c>
      <c r="B1092">
        <v>37</v>
      </c>
      <c r="C1092" t="s">
        <v>783</v>
      </c>
      <c r="D1092" t="s">
        <v>24</v>
      </c>
      <c r="E1092" t="s">
        <v>31</v>
      </c>
      <c r="F1092" t="s">
        <v>26</v>
      </c>
      <c r="G1092" t="s">
        <v>27</v>
      </c>
    </row>
    <row r="1093" spans="1:7" x14ac:dyDescent="0.2">
      <c r="A1093">
        <v>9</v>
      </c>
      <c r="B1093">
        <v>37</v>
      </c>
      <c r="C1093" t="s">
        <v>784</v>
      </c>
      <c r="D1093" t="s">
        <v>24</v>
      </c>
      <c r="E1093" t="s">
        <v>31</v>
      </c>
      <c r="F1093" t="s">
        <v>26</v>
      </c>
      <c r="G1093" t="s">
        <v>27</v>
      </c>
    </row>
    <row r="1094" spans="1:7" x14ac:dyDescent="0.2">
      <c r="A1094">
        <v>9</v>
      </c>
      <c r="B1094">
        <v>37</v>
      </c>
      <c r="C1094" t="s">
        <v>783</v>
      </c>
      <c r="D1094" t="s">
        <v>24</v>
      </c>
      <c r="E1094" t="s">
        <v>31</v>
      </c>
      <c r="F1094" t="s">
        <v>26</v>
      </c>
      <c r="G1094" t="s">
        <v>27</v>
      </c>
    </row>
    <row r="1095" spans="1:7" x14ac:dyDescent="0.2">
      <c r="A1095">
        <v>9</v>
      </c>
      <c r="B1095">
        <v>37</v>
      </c>
      <c r="C1095" t="s">
        <v>785</v>
      </c>
      <c r="D1095" t="s">
        <v>24</v>
      </c>
      <c r="E1095" t="s">
        <v>31</v>
      </c>
      <c r="F1095" t="s">
        <v>26</v>
      </c>
      <c r="G1095" t="s">
        <v>27</v>
      </c>
    </row>
    <row r="1096" spans="1:7" x14ac:dyDescent="0.2">
      <c r="A1096">
        <v>9</v>
      </c>
      <c r="B1096">
        <v>37</v>
      </c>
      <c r="C1096" t="s">
        <v>786</v>
      </c>
      <c r="D1096" t="s">
        <v>24</v>
      </c>
      <c r="E1096" t="s">
        <v>25</v>
      </c>
      <c r="F1096" t="s">
        <v>26</v>
      </c>
      <c r="G1096" t="s">
        <v>27</v>
      </c>
    </row>
    <row r="1097" spans="1:7" x14ac:dyDescent="0.2">
      <c r="A1097">
        <v>10</v>
      </c>
      <c r="B1097">
        <v>37</v>
      </c>
      <c r="C1097" t="s">
        <v>787</v>
      </c>
      <c r="D1097" t="s">
        <v>24</v>
      </c>
      <c r="E1097" t="s">
        <v>25</v>
      </c>
      <c r="F1097" t="s">
        <v>26</v>
      </c>
      <c r="G1097" t="s">
        <v>27</v>
      </c>
    </row>
    <row r="1098" spans="1:7" x14ac:dyDescent="0.2">
      <c r="A1098">
        <v>10</v>
      </c>
      <c r="B1098">
        <v>37</v>
      </c>
      <c r="C1098" t="s">
        <v>788</v>
      </c>
      <c r="D1098" t="s">
        <v>24</v>
      </c>
      <c r="E1098" t="s">
        <v>25</v>
      </c>
      <c r="F1098" t="s">
        <v>26</v>
      </c>
      <c r="G1098" t="s">
        <v>27</v>
      </c>
    </row>
    <row r="1099" spans="1:7" x14ac:dyDescent="0.2">
      <c r="A1099">
        <v>10</v>
      </c>
      <c r="B1099">
        <v>37</v>
      </c>
      <c r="C1099" t="s">
        <v>789</v>
      </c>
      <c r="D1099" t="s">
        <v>24</v>
      </c>
      <c r="E1099" t="s">
        <v>25</v>
      </c>
      <c r="F1099" t="s">
        <v>26</v>
      </c>
      <c r="G1099" t="s">
        <v>27</v>
      </c>
    </row>
    <row r="1100" spans="1:7" x14ac:dyDescent="0.2">
      <c r="A1100">
        <v>10</v>
      </c>
      <c r="B1100">
        <v>37</v>
      </c>
      <c r="C1100" t="s">
        <v>790</v>
      </c>
      <c r="D1100" t="s">
        <v>30</v>
      </c>
      <c r="E1100" t="s">
        <v>25</v>
      </c>
      <c r="F1100" t="s">
        <v>26</v>
      </c>
      <c r="G1100" t="s">
        <v>27</v>
      </c>
    </row>
    <row r="1101" spans="1:7" x14ac:dyDescent="0.2">
      <c r="A1101">
        <v>10</v>
      </c>
      <c r="B1101">
        <v>37</v>
      </c>
      <c r="C1101" t="s">
        <v>791</v>
      </c>
      <c r="D1101" t="s">
        <v>24</v>
      </c>
      <c r="E1101" t="s">
        <v>25</v>
      </c>
      <c r="F1101" t="s">
        <v>26</v>
      </c>
      <c r="G1101" t="s">
        <v>27</v>
      </c>
    </row>
    <row r="1102" spans="1:7" x14ac:dyDescent="0.2">
      <c r="A1102">
        <v>10</v>
      </c>
      <c r="B1102">
        <v>37</v>
      </c>
      <c r="C1102" t="s">
        <v>792</v>
      </c>
      <c r="D1102" t="s">
        <v>24</v>
      </c>
      <c r="E1102" t="s">
        <v>25</v>
      </c>
      <c r="F1102" t="s">
        <v>26</v>
      </c>
      <c r="G1102" t="s">
        <v>27</v>
      </c>
    </row>
    <row r="1103" spans="1:7" x14ac:dyDescent="0.2">
      <c r="A1103">
        <v>10</v>
      </c>
      <c r="B1103">
        <v>37</v>
      </c>
      <c r="C1103" t="s">
        <v>793</v>
      </c>
      <c r="D1103" t="s">
        <v>24</v>
      </c>
      <c r="E1103" t="s">
        <v>25</v>
      </c>
      <c r="F1103" t="s">
        <v>26</v>
      </c>
      <c r="G1103" t="s">
        <v>27</v>
      </c>
    </row>
    <row r="1104" spans="1:7" x14ac:dyDescent="0.2">
      <c r="A1104">
        <v>10</v>
      </c>
      <c r="B1104">
        <v>37</v>
      </c>
      <c r="C1104" t="s">
        <v>794</v>
      </c>
      <c r="D1104" t="s">
        <v>24</v>
      </c>
      <c r="E1104" t="s">
        <v>25</v>
      </c>
      <c r="F1104" t="s">
        <v>26</v>
      </c>
      <c r="G1104" t="s">
        <v>27</v>
      </c>
    </row>
    <row r="1105" spans="1:7" x14ac:dyDescent="0.2">
      <c r="A1105">
        <v>10</v>
      </c>
      <c r="B1105">
        <v>37</v>
      </c>
      <c r="C1105" t="s">
        <v>795</v>
      </c>
      <c r="D1105" t="s">
        <v>24</v>
      </c>
      <c r="E1105" t="s">
        <v>25</v>
      </c>
      <c r="F1105" t="s">
        <v>26</v>
      </c>
      <c r="G1105" t="s">
        <v>27</v>
      </c>
    </row>
    <row r="1106" spans="1:7" x14ac:dyDescent="0.2">
      <c r="A1106">
        <v>11</v>
      </c>
      <c r="B1106">
        <v>37</v>
      </c>
      <c r="C1106" t="s">
        <v>796</v>
      </c>
      <c r="D1106" t="s">
        <v>24</v>
      </c>
      <c r="E1106" t="s">
        <v>31</v>
      </c>
      <c r="F1106" t="s">
        <v>26</v>
      </c>
      <c r="G1106" t="s">
        <v>27</v>
      </c>
    </row>
    <row r="1107" spans="1:7" x14ac:dyDescent="0.2">
      <c r="A1107">
        <v>11</v>
      </c>
      <c r="B1107">
        <v>37</v>
      </c>
      <c r="C1107" t="s">
        <v>797</v>
      </c>
      <c r="D1107" t="s">
        <v>24</v>
      </c>
      <c r="E1107" t="s">
        <v>31</v>
      </c>
      <c r="F1107" t="s">
        <v>26</v>
      </c>
      <c r="G1107" t="s">
        <v>27</v>
      </c>
    </row>
    <row r="1108" spans="1:7" x14ac:dyDescent="0.2">
      <c r="A1108">
        <v>11</v>
      </c>
      <c r="B1108">
        <v>37</v>
      </c>
      <c r="C1108" t="s">
        <v>786</v>
      </c>
      <c r="D1108" t="s">
        <v>24</v>
      </c>
      <c r="E1108" t="s">
        <v>31</v>
      </c>
      <c r="F1108" t="s">
        <v>26</v>
      </c>
      <c r="G1108" t="s">
        <v>27</v>
      </c>
    </row>
    <row r="1109" spans="1:7" x14ac:dyDescent="0.2">
      <c r="A1109">
        <v>11</v>
      </c>
      <c r="B1109">
        <v>37</v>
      </c>
      <c r="C1109" t="s">
        <v>798</v>
      </c>
      <c r="D1109" t="s">
        <v>24</v>
      </c>
      <c r="E1109" t="s">
        <v>31</v>
      </c>
      <c r="F1109" t="s">
        <v>26</v>
      </c>
      <c r="G1109" t="s">
        <v>27</v>
      </c>
    </row>
    <row r="1110" spans="1:7" x14ac:dyDescent="0.2">
      <c r="A1110">
        <v>11</v>
      </c>
      <c r="B1110">
        <v>37</v>
      </c>
      <c r="C1110" t="s">
        <v>782</v>
      </c>
      <c r="D1110" t="s">
        <v>24</v>
      </c>
      <c r="E1110" t="s">
        <v>31</v>
      </c>
      <c r="F1110" t="s">
        <v>26</v>
      </c>
      <c r="G1110" t="s">
        <v>27</v>
      </c>
    </row>
    <row r="1111" spans="1:7" x14ac:dyDescent="0.2">
      <c r="A1111">
        <v>11</v>
      </c>
      <c r="B1111">
        <v>37</v>
      </c>
      <c r="C1111" t="s">
        <v>785</v>
      </c>
      <c r="D1111" t="s">
        <v>24</v>
      </c>
      <c r="E1111" t="s">
        <v>31</v>
      </c>
      <c r="F1111" t="s">
        <v>26</v>
      </c>
      <c r="G1111" t="s">
        <v>27</v>
      </c>
    </row>
    <row r="1112" spans="1:7" x14ac:dyDescent="0.2">
      <c r="A1112">
        <v>12</v>
      </c>
      <c r="B1112">
        <v>37</v>
      </c>
      <c r="C1112" t="s">
        <v>799</v>
      </c>
      <c r="D1112" t="s">
        <v>24</v>
      </c>
      <c r="E1112" t="s">
        <v>31</v>
      </c>
      <c r="F1112" t="s">
        <v>26</v>
      </c>
      <c r="G1112" t="s">
        <v>27</v>
      </c>
    </row>
    <row r="1113" spans="1:7" x14ac:dyDescent="0.2">
      <c r="A1113">
        <v>12</v>
      </c>
      <c r="B1113">
        <v>37</v>
      </c>
      <c r="C1113" t="s">
        <v>786</v>
      </c>
      <c r="D1113" t="s">
        <v>24</v>
      </c>
      <c r="E1113" t="s">
        <v>25</v>
      </c>
      <c r="F1113" t="s">
        <v>26</v>
      </c>
      <c r="G1113" t="s">
        <v>27</v>
      </c>
    </row>
    <row r="1114" spans="1:7" x14ac:dyDescent="0.2">
      <c r="A1114">
        <v>12</v>
      </c>
      <c r="B1114">
        <v>37</v>
      </c>
      <c r="C1114" t="s">
        <v>797</v>
      </c>
      <c r="D1114" t="s">
        <v>24</v>
      </c>
      <c r="E1114" t="s">
        <v>31</v>
      </c>
      <c r="F1114" t="s">
        <v>26</v>
      </c>
      <c r="G1114" t="s">
        <v>27</v>
      </c>
    </row>
    <row r="1115" spans="1:7" x14ac:dyDescent="0.2">
      <c r="A1115">
        <v>13</v>
      </c>
      <c r="B1115">
        <v>37</v>
      </c>
      <c r="C1115" t="s">
        <v>800</v>
      </c>
      <c r="D1115" t="s">
        <v>24</v>
      </c>
      <c r="E1115" t="s">
        <v>25</v>
      </c>
      <c r="F1115" t="s">
        <v>26</v>
      </c>
      <c r="G1115" t="s">
        <v>27</v>
      </c>
    </row>
    <row r="1116" spans="1:7" x14ac:dyDescent="0.2">
      <c r="A1116">
        <v>13</v>
      </c>
      <c r="B1116">
        <v>37</v>
      </c>
      <c r="C1116" t="s">
        <v>797</v>
      </c>
      <c r="D1116" t="s">
        <v>24</v>
      </c>
      <c r="E1116" t="s">
        <v>25</v>
      </c>
      <c r="F1116" t="s">
        <v>26</v>
      </c>
      <c r="G1116" t="s">
        <v>27</v>
      </c>
    </row>
    <row r="1117" spans="1:7" x14ac:dyDescent="0.2">
      <c r="A1117">
        <v>13</v>
      </c>
      <c r="B1117">
        <v>37</v>
      </c>
      <c r="C1117" t="s">
        <v>801</v>
      </c>
      <c r="D1117" t="s">
        <v>24</v>
      </c>
      <c r="E1117" t="s">
        <v>25</v>
      </c>
      <c r="F1117" t="s">
        <v>26</v>
      </c>
      <c r="G1117" t="s">
        <v>27</v>
      </c>
    </row>
    <row r="1118" spans="1:7" x14ac:dyDescent="0.2">
      <c r="A1118">
        <v>13</v>
      </c>
      <c r="B1118">
        <v>37</v>
      </c>
      <c r="C1118" t="s">
        <v>786</v>
      </c>
      <c r="D1118" t="s">
        <v>24</v>
      </c>
      <c r="E1118" t="s">
        <v>25</v>
      </c>
      <c r="F1118" t="s">
        <v>26</v>
      </c>
      <c r="G1118" t="s">
        <v>27</v>
      </c>
    </row>
    <row r="1119" spans="1:7" x14ac:dyDescent="0.2">
      <c r="A1119">
        <v>13</v>
      </c>
      <c r="B1119">
        <v>37</v>
      </c>
      <c r="C1119" t="s">
        <v>802</v>
      </c>
      <c r="D1119" t="s">
        <v>24</v>
      </c>
      <c r="E1119" t="s">
        <v>25</v>
      </c>
      <c r="F1119" t="s">
        <v>26</v>
      </c>
      <c r="G1119" t="s">
        <v>27</v>
      </c>
    </row>
    <row r="1120" spans="1:7" x14ac:dyDescent="0.2">
      <c r="A1120">
        <v>13</v>
      </c>
      <c r="B1120">
        <v>37</v>
      </c>
      <c r="C1120" t="s">
        <v>803</v>
      </c>
      <c r="D1120" t="s">
        <v>24</v>
      </c>
      <c r="E1120" t="s">
        <v>25</v>
      </c>
      <c r="F1120" t="s">
        <v>26</v>
      </c>
      <c r="G1120" t="s">
        <v>27</v>
      </c>
    </row>
    <row r="1121" spans="1:7" x14ac:dyDescent="0.2">
      <c r="A1121">
        <v>13</v>
      </c>
      <c r="B1121">
        <v>37</v>
      </c>
      <c r="C1121" t="s">
        <v>804</v>
      </c>
      <c r="D1121" t="s">
        <v>24</v>
      </c>
      <c r="E1121" t="s">
        <v>25</v>
      </c>
      <c r="F1121" t="s">
        <v>26</v>
      </c>
      <c r="G1121" t="s">
        <v>27</v>
      </c>
    </row>
    <row r="1122" spans="1:7" x14ac:dyDescent="0.2">
      <c r="A1122">
        <v>14</v>
      </c>
      <c r="B1122">
        <v>37</v>
      </c>
      <c r="C1122" t="s">
        <v>797</v>
      </c>
      <c r="D1122" t="s">
        <v>24</v>
      </c>
      <c r="E1122" t="s">
        <v>31</v>
      </c>
      <c r="F1122" t="s">
        <v>47</v>
      </c>
      <c r="G1122" t="s">
        <v>27</v>
      </c>
    </row>
    <row r="1123" spans="1:7" x14ac:dyDescent="0.2">
      <c r="A1123">
        <v>14</v>
      </c>
      <c r="B1123">
        <v>37</v>
      </c>
      <c r="C1123" t="s">
        <v>779</v>
      </c>
      <c r="D1123" t="s">
        <v>24</v>
      </c>
      <c r="E1123" t="s">
        <v>31</v>
      </c>
      <c r="F1123" t="s">
        <v>47</v>
      </c>
      <c r="G1123" t="s">
        <v>27</v>
      </c>
    </row>
    <row r="1124" spans="1:7" x14ac:dyDescent="0.2">
      <c r="A1124">
        <v>14</v>
      </c>
      <c r="B1124">
        <v>37</v>
      </c>
      <c r="C1124" t="s">
        <v>805</v>
      </c>
      <c r="D1124" t="s">
        <v>24</v>
      </c>
      <c r="E1124" t="s">
        <v>31</v>
      </c>
      <c r="F1124" t="s">
        <v>47</v>
      </c>
      <c r="G1124" t="s">
        <v>27</v>
      </c>
    </row>
    <row r="1125" spans="1:7" x14ac:dyDescent="0.2">
      <c r="A1125">
        <v>15</v>
      </c>
      <c r="B1125">
        <v>37</v>
      </c>
      <c r="C1125" t="s">
        <v>806</v>
      </c>
      <c r="D1125" t="s">
        <v>24</v>
      </c>
      <c r="E1125" t="s">
        <v>31</v>
      </c>
      <c r="F1125" t="s">
        <v>47</v>
      </c>
      <c r="G1125" t="s">
        <v>27</v>
      </c>
    </row>
    <row r="1126" spans="1:7" x14ac:dyDescent="0.2">
      <c r="A1126">
        <v>15</v>
      </c>
      <c r="B1126">
        <v>37</v>
      </c>
      <c r="C1126" t="s">
        <v>779</v>
      </c>
      <c r="D1126" t="s">
        <v>24</v>
      </c>
      <c r="E1126" t="s">
        <v>31</v>
      </c>
      <c r="F1126" t="s">
        <v>47</v>
      </c>
      <c r="G1126" t="s">
        <v>27</v>
      </c>
    </row>
    <row r="1127" spans="1:7" x14ac:dyDescent="0.2">
      <c r="A1127">
        <v>15</v>
      </c>
      <c r="B1127">
        <v>37</v>
      </c>
      <c r="C1127" t="s">
        <v>786</v>
      </c>
      <c r="D1127" t="s">
        <v>24</v>
      </c>
      <c r="E1127" t="s">
        <v>31</v>
      </c>
      <c r="F1127" t="s">
        <v>47</v>
      </c>
      <c r="G1127" t="s">
        <v>27</v>
      </c>
    </row>
    <row r="1128" spans="1:7" x14ac:dyDescent="0.2">
      <c r="A1128">
        <v>15</v>
      </c>
      <c r="B1128">
        <v>37</v>
      </c>
      <c r="C1128" t="s">
        <v>807</v>
      </c>
      <c r="D1128" t="s">
        <v>24</v>
      </c>
      <c r="E1128" t="s">
        <v>31</v>
      </c>
      <c r="F1128" t="s">
        <v>47</v>
      </c>
      <c r="G1128" t="s">
        <v>27</v>
      </c>
    </row>
    <row r="1129" spans="1:7" x14ac:dyDescent="0.2">
      <c r="A1129">
        <v>15</v>
      </c>
      <c r="B1129">
        <v>37</v>
      </c>
      <c r="C1129" t="s">
        <v>802</v>
      </c>
      <c r="D1129" t="s">
        <v>24</v>
      </c>
      <c r="E1129" t="s">
        <v>31</v>
      </c>
      <c r="F1129" t="s">
        <v>47</v>
      </c>
      <c r="G1129" t="s">
        <v>27</v>
      </c>
    </row>
    <row r="1130" spans="1:7" x14ac:dyDescent="0.2">
      <c r="A1130">
        <v>15</v>
      </c>
      <c r="B1130">
        <v>37</v>
      </c>
      <c r="C1130" t="s">
        <v>782</v>
      </c>
      <c r="D1130" t="s">
        <v>24</v>
      </c>
      <c r="E1130" t="s">
        <v>31</v>
      </c>
      <c r="F1130" t="s">
        <v>47</v>
      </c>
      <c r="G1130" t="s">
        <v>27</v>
      </c>
    </row>
    <row r="1131" spans="1:7" x14ac:dyDescent="0.2">
      <c r="A1131">
        <v>16</v>
      </c>
      <c r="B1131">
        <v>37</v>
      </c>
      <c r="C1131" t="s">
        <v>797</v>
      </c>
      <c r="D1131" t="s">
        <v>24</v>
      </c>
      <c r="E1131" t="s">
        <v>31</v>
      </c>
      <c r="F1131" t="s">
        <v>26</v>
      </c>
      <c r="G1131" t="s">
        <v>27</v>
      </c>
    </row>
    <row r="1132" spans="1:7" x14ac:dyDescent="0.2">
      <c r="A1132">
        <v>16</v>
      </c>
      <c r="B1132">
        <v>37</v>
      </c>
      <c r="C1132" t="s">
        <v>779</v>
      </c>
      <c r="D1132" t="s">
        <v>24</v>
      </c>
      <c r="E1132" t="s">
        <v>31</v>
      </c>
      <c r="F1132" t="s">
        <v>26</v>
      </c>
      <c r="G1132" t="s">
        <v>27</v>
      </c>
    </row>
    <row r="1133" spans="1:7" x14ac:dyDescent="0.2">
      <c r="A1133">
        <v>16</v>
      </c>
      <c r="B1133">
        <v>37</v>
      </c>
      <c r="C1133" t="s">
        <v>808</v>
      </c>
      <c r="D1133" t="s">
        <v>30</v>
      </c>
      <c r="E1133" t="s">
        <v>31</v>
      </c>
      <c r="F1133" t="s">
        <v>26</v>
      </c>
      <c r="G1133" t="s">
        <v>27</v>
      </c>
    </row>
    <row r="1134" spans="1:7" x14ac:dyDescent="0.2">
      <c r="A1134">
        <v>17</v>
      </c>
      <c r="B1134">
        <v>37</v>
      </c>
      <c r="C1134" t="s">
        <v>797</v>
      </c>
      <c r="D1134" t="s">
        <v>24</v>
      </c>
      <c r="E1134" t="s">
        <v>31</v>
      </c>
      <c r="F1134" t="s">
        <v>26</v>
      </c>
      <c r="G1134" t="s">
        <v>27</v>
      </c>
    </row>
    <row r="1135" spans="1:7" x14ac:dyDescent="0.2">
      <c r="A1135">
        <v>17</v>
      </c>
      <c r="B1135">
        <v>37</v>
      </c>
      <c r="C1135" t="s">
        <v>808</v>
      </c>
      <c r="D1135" t="s">
        <v>30</v>
      </c>
      <c r="E1135" t="s">
        <v>31</v>
      </c>
      <c r="F1135" t="s">
        <v>26</v>
      </c>
      <c r="G1135" t="s">
        <v>27</v>
      </c>
    </row>
    <row r="1136" spans="1:7" x14ac:dyDescent="0.2">
      <c r="A1136">
        <v>17</v>
      </c>
      <c r="B1136">
        <v>37</v>
      </c>
      <c r="C1136" t="s">
        <v>809</v>
      </c>
      <c r="D1136" t="s">
        <v>24</v>
      </c>
      <c r="E1136" t="s">
        <v>31</v>
      </c>
      <c r="F1136" t="s">
        <v>26</v>
      </c>
      <c r="G1136" t="s">
        <v>27</v>
      </c>
    </row>
    <row r="1137" spans="1:7" x14ac:dyDescent="0.2">
      <c r="A1137">
        <v>17</v>
      </c>
      <c r="B1137">
        <v>37</v>
      </c>
      <c r="C1137" t="s">
        <v>803</v>
      </c>
      <c r="D1137" t="s">
        <v>24</v>
      </c>
      <c r="E1137" t="s">
        <v>31</v>
      </c>
      <c r="F1137" t="s">
        <v>26</v>
      </c>
      <c r="G1137" t="s">
        <v>27</v>
      </c>
    </row>
    <row r="1138" spans="1:7" x14ac:dyDescent="0.2">
      <c r="A1138">
        <v>17</v>
      </c>
      <c r="B1138">
        <v>37</v>
      </c>
      <c r="C1138" t="s">
        <v>810</v>
      </c>
      <c r="D1138" t="s">
        <v>24</v>
      </c>
      <c r="E1138" t="s">
        <v>31</v>
      </c>
      <c r="F1138" t="s">
        <v>26</v>
      </c>
      <c r="G1138" t="s">
        <v>27</v>
      </c>
    </row>
    <row r="1139" spans="1:7" x14ac:dyDescent="0.2">
      <c r="A1139">
        <v>17</v>
      </c>
      <c r="B1139">
        <v>37</v>
      </c>
      <c r="C1139" t="s">
        <v>811</v>
      </c>
      <c r="D1139" t="s">
        <v>24</v>
      </c>
      <c r="E1139" t="s">
        <v>31</v>
      </c>
      <c r="F1139" t="s">
        <v>26</v>
      </c>
      <c r="G1139" t="s">
        <v>27</v>
      </c>
    </row>
    <row r="1140" spans="1:7" x14ac:dyDescent="0.2">
      <c r="A1140">
        <v>18</v>
      </c>
      <c r="B1140">
        <v>37</v>
      </c>
      <c r="C1140" t="s">
        <v>806</v>
      </c>
      <c r="D1140" t="s">
        <v>24</v>
      </c>
      <c r="E1140" t="s">
        <v>31</v>
      </c>
      <c r="F1140" t="s">
        <v>47</v>
      </c>
      <c r="G1140" t="s">
        <v>27</v>
      </c>
    </row>
    <row r="1141" spans="1:7" x14ac:dyDescent="0.2">
      <c r="A1141">
        <v>18</v>
      </c>
      <c r="B1141">
        <v>37</v>
      </c>
      <c r="C1141" t="s">
        <v>748</v>
      </c>
      <c r="D1141" t="s">
        <v>24</v>
      </c>
      <c r="E1141" t="s">
        <v>31</v>
      </c>
      <c r="F1141" t="s">
        <v>47</v>
      </c>
      <c r="G1141" t="s">
        <v>27</v>
      </c>
    </row>
    <row r="1142" spans="1:7" x14ac:dyDescent="0.2">
      <c r="A1142">
        <v>18</v>
      </c>
      <c r="B1142">
        <v>37</v>
      </c>
      <c r="C1142" t="s">
        <v>786</v>
      </c>
      <c r="D1142" t="s">
        <v>30</v>
      </c>
      <c r="E1142" t="s">
        <v>31</v>
      </c>
      <c r="F1142" t="s">
        <v>47</v>
      </c>
      <c r="G1142" t="s">
        <v>27</v>
      </c>
    </row>
    <row r="1143" spans="1:7" x14ac:dyDescent="0.2">
      <c r="A1143">
        <v>18</v>
      </c>
      <c r="B1143">
        <v>37</v>
      </c>
      <c r="C1143" t="s">
        <v>807</v>
      </c>
      <c r="D1143" t="s">
        <v>30</v>
      </c>
      <c r="E1143" t="s">
        <v>31</v>
      </c>
      <c r="F1143" t="s">
        <v>47</v>
      </c>
      <c r="G1143" t="s">
        <v>27</v>
      </c>
    </row>
    <row r="1144" spans="1:7" x14ac:dyDescent="0.2">
      <c r="A1144">
        <v>19</v>
      </c>
      <c r="B1144">
        <v>37</v>
      </c>
      <c r="C1144" t="s">
        <v>786</v>
      </c>
      <c r="D1144" t="s">
        <v>24</v>
      </c>
      <c r="E1144" t="s">
        <v>31</v>
      </c>
      <c r="F1144" t="s">
        <v>26</v>
      </c>
      <c r="G1144" t="s">
        <v>27</v>
      </c>
    </row>
    <row r="1145" spans="1:7" x14ac:dyDescent="0.2">
      <c r="A1145">
        <v>19</v>
      </c>
      <c r="B1145">
        <v>37</v>
      </c>
      <c r="C1145" t="s">
        <v>784</v>
      </c>
      <c r="D1145" t="s">
        <v>24</v>
      </c>
      <c r="E1145" t="s">
        <v>31</v>
      </c>
      <c r="F1145" t="s">
        <v>26</v>
      </c>
      <c r="G1145" t="s">
        <v>27</v>
      </c>
    </row>
    <row r="1146" spans="1:7" x14ac:dyDescent="0.2">
      <c r="A1146">
        <v>19</v>
      </c>
      <c r="B1146">
        <v>37</v>
      </c>
      <c r="C1146" t="s">
        <v>812</v>
      </c>
      <c r="D1146" t="s">
        <v>24</v>
      </c>
      <c r="E1146" t="s">
        <v>31</v>
      </c>
      <c r="F1146" t="s">
        <v>26</v>
      </c>
      <c r="G1146" t="s">
        <v>27</v>
      </c>
    </row>
    <row r="1147" spans="1:7" x14ac:dyDescent="0.2">
      <c r="A1147">
        <v>19</v>
      </c>
      <c r="B1147">
        <v>37</v>
      </c>
      <c r="C1147" t="s">
        <v>810</v>
      </c>
      <c r="D1147" t="s">
        <v>24</v>
      </c>
      <c r="E1147" t="s">
        <v>31</v>
      </c>
      <c r="F1147" t="s">
        <v>26</v>
      </c>
      <c r="G1147" t="s">
        <v>27</v>
      </c>
    </row>
    <row r="1148" spans="1:7" x14ac:dyDescent="0.2">
      <c r="A1148">
        <v>19</v>
      </c>
      <c r="B1148">
        <v>37</v>
      </c>
      <c r="C1148" t="s">
        <v>813</v>
      </c>
      <c r="D1148" t="s">
        <v>30</v>
      </c>
      <c r="E1148" t="s">
        <v>31</v>
      </c>
      <c r="F1148" t="s">
        <v>26</v>
      </c>
      <c r="G1148" t="s">
        <v>27</v>
      </c>
    </row>
    <row r="1149" spans="1:7" x14ac:dyDescent="0.2">
      <c r="A1149">
        <v>19</v>
      </c>
      <c r="B1149">
        <v>37</v>
      </c>
      <c r="C1149" t="s">
        <v>814</v>
      </c>
      <c r="D1149" t="s">
        <v>24</v>
      </c>
      <c r="E1149" t="s">
        <v>31</v>
      </c>
      <c r="F1149" t="s">
        <v>47</v>
      </c>
      <c r="G1149" t="s">
        <v>27</v>
      </c>
    </row>
    <row r="1150" spans="1:7" x14ac:dyDescent="0.2">
      <c r="A1150">
        <v>20</v>
      </c>
      <c r="B1150">
        <v>37</v>
      </c>
      <c r="C1150" t="s">
        <v>815</v>
      </c>
      <c r="D1150" t="s">
        <v>24</v>
      </c>
      <c r="E1150" t="s">
        <v>31</v>
      </c>
      <c r="F1150" t="s">
        <v>26</v>
      </c>
      <c r="G1150" t="s">
        <v>27</v>
      </c>
    </row>
    <row r="1151" spans="1:7" x14ac:dyDescent="0.2">
      <c r="A1151">
        <v>20</v>
      </c>
      <c r="B1151">
        <v>37</v>
      </c>
      <c r="C1151" t="s">
        <v>779</v>
      </c>
      <c r="D1151" t="s">
        <v>24</v>
      </c>
      <c r="E1151" t="s">
        <v>31</v>
      </c>
      <c r="F1151" t="s">
        <v>26</v>
      </c>
      <c r="G1151" t="s">
        <v>27</v>
      </c>
    </row>
    <row r="1152" spans="1:7" x14ac:dyDescent="0.2">
      <c r="A1152">
        <v>20</v>
      </c>
      <c r="B1152">
        <v>37</v>
      </c>
      <c r="C1152" t="s">
        <v>816</v>
      </c>
      <c r="D1152" t="s">
        <v>24</v>
      </c>
      <c r="E1152" t="s">
        <v>31</v>
      </c>
      <c r="F1152" t="s">
        <v>26</v>
      </c>
      <c r="G1152" t="s">
        <v>27</v>
      </c>
    </row>
    <row r="1153" spans="1:7" x14ac:dyDescent="0.2">
      <c r="A1153">
        <v>20</v>
      </c>
      <c r="B1153">
        <v>37</v>
      </c>
      <c r="C1153" t="s">
        <v>784</v>
      </c>
      <c r="D1153" t="s">
        <v>24</v>
      </c>
      <c r="E1153" t="s">
        <v>31</v>
      </c>
      <c r="F1153" t="s">
        <v>26</v>
      </c>
      <c r="G1153" t="s">
        <v>27</v>
      </c>
    </row>
    <row r="1154" spans="1:7" x14ac:dyDescent="0.2">
      <c r="A1154">
        <v>20</v>
      </c>
      <c r="B1154">
        <v>37</v>
      </c>
      <c r="C1154" t="s">
        <v>817</v>
      </c>
      <c r="D1154" t="s">
        <v>24</v>
      </c>
      <c r="E1154" t="s">
        <v>31</v>
      </c>
      <c r="F1154" t="s">
        <v>26</v>
      </c>
      <c r="G1154" t="s">
        <v>27</v>
      </c>
    </row>
    <row r="1155" spans="1:7" x14ac:dyDescent="0.2">
      <c r="A1155">
        <v>21</v>
      </c>
      <c r="B1155">
        <v>37</v>
      </c>
      <c r="C1155" t="s">
        <v>797</v>
      </c>
      <c r="D1155" t="s">
        <v>24</v>
      </c>
      <c r="E1155" t="s">
        <v>25</v>
      </c>
      <c r="F1155" t="s">
        <v>26</v>
      </c>
      <c r="G1155" t="s">
        <v>27</v>
      </c>
    </row>
    <row r="1156" spans="1:7" x14ac:dyDescent="0.2">
      <c r="A1156">
        <v>21</v>
      </c>
      <c r="B1156">
        <v>37</v>
      </c>
      <c r="C1156" t="s">
        <v>818</v>
      </c>
      <c r="D1156" t="s">
        <v>24</v>
      </c>
      <c r="E1156" t="s">
        <v>25</v>
      </c>
      <c r="F1156" t="s">
        <v>26</v>
      </c>
      <c r="G1156" t="s">
        <v>27</v>
      </c>
    </row>
    <row r="1157" spans="1:7" x14ac:dyDescent="0.2">
      <c r="A1157">
        <v>21</v>
      </c>
      <c r="B1157">
        <v>37</v>
      </c>
      <c r="C1157" t="s">
        <v>802</v>
      </c>
      <c r="D1157" t="s">
        <v>24</v>
      </c>
      <c r="E1157" t="s">
        <v>25</v>
      </c>
      <c r="F1157" t="s">
        <v>26</v>
      </c>
      <c r="G1157" t="s">
        <v>27</v>
      </c>
    </row>
    <row r="1158" spans="1:7" x14ac:dyDescent="0.2">
      <c r="A1158">
        <v>21</v>
      </c>
      <c r="B1158">
        <v>37</v>
      </c>
      <c r="C1158" t="s">
        <v>779</v>
      </c>
      <c r="D1158" t="s">
        <v>24</v>
      </c>
      <c r="E1158" t="s">
        <v>25</v>
      </c>
      <c r="F1158" t="s">
        <v>26</v>
      </c>
      <c r="G1158" t="s">
        <v>27</v>
      </c>
    </row>
    <row r="1159" spans="1:7" x14ac:dyDescent="0.2">
      <c r="A1159">
        <v>21</v>
      </c>
      <c r="B1159">
        <v>37</v>
      </c>
      <c r="C1159" t="s">
        <v>786</v>
      </c>
      <c r="D1159" t="s">
        <v>30</v>
      </c>
      <c r="E1159" t="s">
        <v>25</v>
      </c>
      <c r="F1159" t="s">
        <v>26</v>
      </c>
      <c r="G1159" t="s">
        <v>27</v>
      </c>
    </row>
    <row r="1160" spans="1:7" x14ac:dyDescent="0.2">
      <c r="A1160">
        <v>21</v>
      </c>
      <c r="B1160">
        <v>37</v>
      </c>
      <c r="C1160" t="s">
        <v>819</v>
      </c>
      <c r="D1160" t="s">
        <v>24</v>
      </c>
      <c r="E1160" t="s">
        <v>25</v>
      </c>
      <c r="F1160" t="s">
        <v>26</v>
      </c>
      <c r="G1160" t="s">
        <v>27</v>
      </c>
    </row>
    <row r="1161" spans="1:7" x14ac:dyDescent="0.2">
      <c r="A1161">
        <v>21</v>
      </c>
      <c r="B1161">
        <v>37</v>
      </c>
      <c r="C1161" t="s">
        <v>820</v>
      </c>
      <c r="D1161" t="s">
        <v>24</v>
      </c>
      <c r="E1161" t="s">
        <v>25</v>
      </c>
      <c r="F1161" t="s">
        <v>26</v>
      </c>
      <c r="G1161" t="s">
        <v>27</v>
      </c>
    </row>
    <row r="1162" spans="1:7" x14ac:dyDescent="0.2">
      <c r="A1162">
        <v>22</v>
      </c>
      <c r="B1162">
        <v>37</v>
      </c>
      <c r="C1162" t="s">
        <v>802</v>
      </c>
      <c r="D1162" t="s">
        <v>24</v>
      </c>
      <c r="E1162" t="s">
        <v>25</v>
      </c>
      <c r="F1162" t="s">
        <v>26</v>
      </c>
      <c r="G1162" t="s">
        <v>27</v>
      </c>
    </row>
    <row r="1163" spans="1:7" x14ac:dyDescent="0.2">
      <c r="A1163">
        <v>22</v>
      </c>
      <c r="B1163">
        <v>37</v>
      </c>
      <c r="C1163" t="s">
        <v>786</v>
      </c>
      <c r="D1163" t="s">
        <v>30</v>
      </c>
      <c r="E1163" t="s">
        <v>31</v>
      </c>
      <c r="F1163" t="s">
        <v>26</v>
      </c>
      <c r="G1163" t="s">
        <v>27</v>
      </c>
    </row>
    <row r="1164" spans="1:7" x14ac:dyDescent="0.2">
      <c r="A1164">
        <v>22</v>
      </c>
      <c r="B1164">
        <v>37</v>
      </c>
      <c r="C1164" t="s">
        <v>779</v>
      </c>
      <c r="D1164" t="s">
        <v>24</v>
      </c>
      <c r="E1164" t="s">
        <v>31</v>
      </c>
      <c r="F1164" t="s">
        <v>26</v>
      </c>
      <c r="G1164" t="s">
        <v>27</v>
      </c>
    </row>
    <row r="1165" spans="1:7" x14ac:dyDescent="0.2">
      <c r="A1165">
        <v>22</v>
      </c>
      <c r="B1165">
        <v>37</v>
      </c>
      <c r="C1165" t="s">
        <v>817</v>
      </c>
      <c r="D1165" t="s">
        <v>24</v>
      </c>
      <c r="E1165" t="s">
        <v>31</v>
      </c>
      <c r="F1165" t="s">
        <v>26</v>
      </c>
      <c r="G1165" t="s">
        <v>27</v>
      </c>
    </row>
    <row r="1166" spans="1:7" x14ac:dyDescent="0.2">
      <c r="A1166">
        <v>22</v>
      </c>
      <c r="B1166">
        <v>37</v>
      </c>
      <c r="C1166" t="s">
        <v>821</v>
      </c>
      <c r="D1166" t="s">
        <v>24</v>
      </c>
      <c r="E1166" t="s">
        <v>25</v>
      </c>
      <c r="F1166" t="s">
        <v>26</v>
      </c>
      <c r="G1166" t="s">
        <v>27</v>
      </c>
    </row>
    <row r="1167" spans="1:7" x14ac:dyDescent="0.2">
      <c r="A1167">
        <v>23</v>
      </c>
      <c r="B1167">
        <v>37</v>
      </c>
      <c r="C1167" t="s">
        <v>779</v>
      </c>
      <c r="D1167" t="s">
        <v>24</v>
      </c>
      <c r="E1167" t="s">
        <v>31</v>
      </c>
      <c r="F1167" t="s">
        <v>26</v>
      </c>
      <c r="G1167" t="s">
        <v>27</v>
      </c>
    </row>
    <row r="1168" spans="1:7" x14ac:dyDescent="0.2">
      <c r="A1168">
        <v>23</v>
      </c>
      <c r="B1168">
        <v>37</v>
      </c>
      <c r="C1168" t="s">
        <v>786</v>
      </c>
      <c r="D1168" t="s">
        <v>30</v>
      </c>
      <c r="E1168" t="s">
        <v>31</v>
      </c>
      <c r="F1168" t="s">
        <v>26</v>
      </c>
      <c r="G1168" t="s">
        <v>27</v>
      </c>
    </row>
    <row r="1169" spans="1:7" x14ac:dyDescent="0.2">
      <c r="A1169">
        <v>23</v>
      </c>
      <c r="B1169">
        <v>37</v>
      </c>
      <c r="C1169" t="s">
        <v>817</v>
      </c>
      <c r="D1169" t="s">
        <v>24</v>
      </c>
      <c r="E1169" t="s">
        <v>31</v>
      </c>
      <c r="F1169" t="s">
        <v>26</v>
      </c>
      <c r="G1169" t="s">
        <v>27</v>
      </c>
    </row>
    <row r="1170" spans="1:7" x14ac:dyDescent="0.2">
      <c r="A1170">
        <v>7</v>
      </c>
      <c r="B1170">
        <v>38</v>
      </c>
      <c r="C1170" t="s">
        <v>823</v>
      </c>
      <c r="D1170" t="s">
        <v>24</v>
      </c>
      <c r="E1170" t="s">
        <v>25</v>
      </c>
      <c r="F1170" t="s">
        <v>26</v>
      </c>
      <c r="G1170" t="s">
        <v>27</v>
      </c>
    </row>
    <row r="1171" spans="1:7" x14ac:dyDescent="0.2">
      <c r="A1171">
        <v>7</v>
      </c>
      <c r="B1171">
        <v>38</v>
      </c>
      <c r="C1171" t="s">
        <v>824</v>
      </c>
      <c r="D1171" t="s">
        <v>24</v>
      </c>
      <c r="E1171" t="s">
        <v>25</v>
      </c>
      <c r="F1171" t="s">
        <v>26</v>
      </c>
      <c r="G1171" t="s">
        <v>27</v>
      </c>
    </row>
    <row r="1172" spans="1:7" x14ac:dyDescent="0.2">
      <c r="A1172">
        <v>7</v>
      </c>
      <c r="B1172">
        <v>38</v>
      </c>
      <c r="C1172" t="s">
        <v>825</v>
      </c>
      <c r="D1172" t="s">
        <v>30</v>
      </c>
      <c r="E1172" t="s">
        <v>25</v>
      </c>
      <c r="F1172" t="s">
        <v>26</v>
      </c>
      <c r="G1172" t="s">
        <v>27</v>
      </c>
    </row>
    <row r="1173" spans="1:7" x14ac:dyDescent="0.2">
      <c r="A1173">
        <v>7</v>
      </c>
      <c r="B1173">
        <v>38</v>
      </c>
      <c r="C1173" t="s">
        <v>826</v>
      </c>
      <c r="D1173" t="s">
        <v>30</v>
      </c>
      <c r="E1173" t="s">
        <v>25</v>
      </c>
      <c r="F1173" t="s">
        <v>26</v>
      </c>
      <c r="G1173" t="s">
        <v>27</v>
      </c>
    </row>
    <row r="1174" spans="1:7" x14ac:dyDescent="0.2">
      <c r="A1174">
        <v>7</v>
      </c>
      <c r="B1174">
        <v>38</v>
      </c>
      <c r="C1174" t="s">
        <v>827</v>
      </c>
      <c r="D1174" t="s">
        <v>30</v>
      </c>
      <c r="E1174" t="s">
        <v>25</v>
      </c>
      <c r="F1174" t="s">
        <v>26</v>
      </c>
      <c r="G1174" t="s">
        <v>27</v>
      </c>
    </row>
    <row r="1175" spans="1:7" x14ac:dyDescent="0.2">
      <c r="A1175">
        <v>7</v>
      </c>
      <c r="B1175">
        <v>38</v>
      </c>
      <c r="C1175" t="s">
        <v>790</v>
      </c>
      <c r="D1175" t="s">
        <v>24</v>
      </c>
      <c r="E1175" t="s">
        <v>25</v>
      </c>
      <c r="F1175" t="s">
        <v>47</v>
      </c>
      <c r="G1175" t="s">
        <v>27</v>
      </c>
    </row>
    <row r="1176" spans="1:7" x14ac:dyDescent="0.2">
      <c r="A1176">
        <v>8</v>
      </c>
      <c r="B1176">
        <v>38</v>
      </c>
      <c r="C1176" t="s">
        <v>828</v>
      </c>
      <c r="D1176" t="s">
        <v>24</v>
      </c>
      <c r="E1176" t="s">
        <v>31</v>
      </c>
      <c r="F1176" t="s">
        <v>26</v>
      </c>
      <c r="G1176" t="s">
        <v>27</v>
      </c>
    </row>
    <row r="1177" spans="1:7" x14ac:dyDescent="0.2">
      <c r="A1177">
        <v>8</v>
      </c>
      <c r="B1177">
        <v>38</v>
      </c>
      <c r="C1177" t="s">
        <v>829</v>
      </c>
      <c r="D1177" t="s">
        <v>24</v>
      </c>
      <c r="E1177" t="s">
        <v>31</v>
      </c>
      <c r="F1177" t="s">
        <v>26</v>
      </c>
      <c r="G1177" t="s">
        <v>27</v>
      </c>
    </row>
    <row r="1178" spans="1:7" x14ac:dyDescent="0.2">
      <c r="A1178">
        <v>8</v>
      </c>
      <c r="B1178">
        <v>38</v>
      </c>
      <c r="C1178" t="s">
        <v>830</v>
      </c>
      <c r="D1178" t="s">
        <v>24</v>
      </c>
      <c r="E1178" t="s">
        <v>31</v>
      </c>
      <c r="F1178" t="s">
        <v>26</v>
      </c>
      <c r="G1178" t="s">
        <v>27</v>
      </c>
    </row>
    <row r="1179" spans="1:7" x14ac:dyDescent="0.2">
      <c r="A1179">
        <v>8</v>
      </c>
      <c r="B1179">
        <v>38</v>
      </c>
      <c r="C1179" t="s">
        <v>831</v>
      </c>
      <c r="D1179" t="s">
        <v>30</v>
      </c>
      <c r="E1179" t="s">
        <v>31</v>
      </c>
      <c r="F1179" t="s">
        <v>26</v>
      </c>
      <c r="G1179" t="s">
        <v>27</v>
      </c>
    </row>
    <row r="1180" spans="1:7" x14ac:dyDescent="0.2">
      <c r="A1180">
        <v>8</v>
      </c>
      <c r="B1180">
        <v>38</v>
      </c>
      <c r="C1180" t="s">
        <v>832</v>
      </c>
      <c r="D1180" t="s">
        <v>24</v>
      </c>
      <c r="E1180" t="s">
        <v>31</v>
      </c>
      <c r="F1180" t="s">
        <v>26</v>
      </c>
      <c r="G1180" t="s">
        <v>27</v>
      </c>
    </row>
    <row r="1181" spans="1:7" x14ac:dyDescent="0.2">
      <c r="A1181">
        <v>8</v>
      </c>
      <c r="B1181">
        <v>38</v>
      </c>
      <c r="C1181" t="s">
        <v>833</v>
      </c>
      <c r="D1181" t="s">
        <v>24</v>
      </c>
      <c r="E1181" t="s">
        <v>31</v>
      </c>
      <c r="F1181" t="s">
        <v>26</v>
      </c>
      <c r="G1181" t="s">
        <v>27</v>
      </c>
    </row>
    <row r="1182" spans="1:7" x14ac:dyDescent="0.2">
      <c r="A1182">
        <v>8</v>
      </c>
      <c r="B1182">
        <v>38</v>
      </c>
      <c r="C1182" t="s">
        <v>834</v>
      </c>
      <c r="D1182" t="s">
        <v>24</v>
      </c>
      <c r="E1182" t="s">
        <v>31</v>
      </c>
      <c r="F1182" t="s">
        <v>26</v>
      </c>
      <c r="G1182" t="s">
        <v>27</v>
      </c>
    </row>
    <row r="1183" spans="1:7" x14ac:dyDescent="0.2">
      <c r="A1183">
        <v>8</v>
      </c>
      <c r="B1183">
        <v>38</v>
      </c>
      <c r="C1183" t="s">
        <v>835</v>
      </c>
      <c r="D1183" t="s">
        <v>24</v>
      </c>
      <c r="E1183" t="s">
        <v>31</v>
      </c>
      <c r="F1183" t="s">
        <v>26</v>
      </c>
      <c r="G1183" t="s">
        <v>27</v>
      </c>
    </row>
    <row r="1184" spans="1:7" x14ac:dyDescent="0.2">
      <c r="A1184">
        <v>9</v>
      </c>
      <c r="B1184">
        <v>38</v>
      </c>
      <c r="C1184" t="s">
        <v>836</v>
      </c>
      <c r="D1184" t="s">
        <v>24</v>
      </c>
      <c r="E1184" t="s">
        <v>31</v>
      </c>
      <c r="F1184" t="s">
        <v>26</v>
      </c>
      <c r="G1184" t="s">
        <v>27</v>
      </c>
    </row>
    <row r="1185" spans="1:7" x14ac:dyDescent="0.2">
      <c r="A1185">
        <v>9</v>
      </c>
      <c r="B1185">
        <v>38</v>
      </c>
      <c r="C1185" t="s">
        <v>837</v>
      </c>
      <c r="D1185" t="s">
        <v>24</v>
      </c>
      <c r="E1185" t="s">
        <v>31</v>
      </c>
      <c r="F1185" t="s">
        <v>26</v>
      </c>
      <c r="G1185" t="s">
        <v>27</v>
      </c>
    </row>
    <row r="1186" spans="1:7" x14ac:dyDescent="0.2">
      <c r="A1186">
        <v>9</v>
      </c>
      <c r="B1186">
        <v>38</v>
      </c>
      <c r="C1186" t="s">
        <v>838</v>
      </c>
      <c r="D1186" t="s">
        <v>30</v>
      </c>
      <c r="E1186" t="s">
        <v>31</v>
      </c>
      <c r="F1186" t="s">
        <v>26</v>
      </c>
      <c r="G1186" t="s">
        <v>27</v>
      </c>
    </row>
    <row r="1187" spans="1:7" x14ac:dyDescent="0.2">
      <c r="A1187">
        <v>9</v>
      </c>
      <c r="B1187">
        <v>38</v>
      </c>
      <c r="C1187" t="s">
        <v>839</v>
      </c>
      <c r="D1187" t="s">
        <v>24</v>
      </c>
      <c r="E1187" t="s">
        <v>31</v>
      </c>
      <c r="F1187" t="s">
        <v>26</v>
      </c>
      <c r="G1187" t="s">
        <v>27</v>
      </c>
    </row>
    <row r="1188" spans="1:7" x14ac:dyDescent="0.2">
      <c r="A1188">
        <v>9</v>
      </c>
      <c r="B1188">
        <v>38</v>
      </c>
      <c r="C1188" t="s">
        <v>840</v>
      </c>
      <c r="D1188" t="s">
        <v>24</v>
      </c>
      <c r="E1188" t="s">
        <v>31</v>
      </c>
      <c r="F1188" t="s">
        <v>26</v>
      </c>
      <c r="G1188" t="s">
        <v>27</v>
      </c>
    </row>
    <row r="1189" spans="1:7" x14ac:dyDescent="0.2">
      <c r="A1189">
        <v>9</v>
      </c>
      <c r="B1189">
        <v>38</v>
      </c>
      <c r="C1189" t="s">
        <v>841</v>
      </c>
      <c r="D1189" t="s">
        <v>24</v>
      </c>
      <c r="E1189" t="s">
        <v>31</v>
      </c>
      <c r="F1189" t="s">
        <v>26</v>
      </c>
      <c r="G1189" t="s">
        <v>27</v>
      </c>
    </row>
    <row r="1190" spans="1:7" x14ac:dyDescent="0.2">
      <c r="A1190">
        <v>9</v>
      </c>
      <c r="B1190">
        <v>38</v>
      </c>
      <c r="C1190" t="s">
        <v>829</v>
      </c>
      <c r="D1190" t="s">
        <v>24</v>
      </c>
      <c r="E1190" t="s">
        <v>31</v>
      </c>
      <c r="F1190" t="s">
        <v>26</v>
      </c>
      <c r="G1190" t="s">
        <v>27</v>
      </c>
    </row>
    <row r="1191" spans="1:7" x14ac:dyDescent="0.2">
      <c r="A1191">
        <v>9</v>
      </c>
      <c r="B1191">
        <v>38</v>
      </c>
      <c r="C1191" t="s">
        <v>830</v>
      </c>
      <c r="D1191" t="s">
        <v>24</v>
      </c>
      <c r="E1191" t="s">
        <v>31</v>
      </c>
      <c r="F1191" t="s">
        <v>26</v>
      </c>
      <c r="G1191" t="s">
        <v>27</v>
      </c>
    </row>
    <row r="1192" spans="1:7" x14ac:dyDescent="0.2">
      <c r="A1192">
        <v>9</v>
      </c>
      <c r="B1192">
        <v>38</v>
      </c>
      <c r="C1192" t="s">
        <v>831</v>
      </c>
      <c r="D1192" t="s">
        <v>30</v>
      </c>
      <c r="E1192" t="s">
        <v>31</v>
      </c>
      <c r="F1192" t="s">
        <v>26</v>
      </c>
      <c r="G1192" t="s">
        <v>27</v>
      </c>
    </row>
    <row r="1193" spans="1:7" x14ac:dyDescent="0.2">
      <c r="A1193">
        <v>9</v>
      </c>
      <c r="B1193">
        <v>38</v>
      </c>
      <c r="C1193" t="s">
        <v>842</v>
      </c>
      <c r="D1193" t="s">
        <v>24</v>
      </c>
      <c r="E1193" t="s">
        <v>31</v>
      </c>
      <c r="F1193" t="s">
        <v>26</v>
      </c>
      <c r="G1193" t="s">
        <v>27</v>
      </c>
    </row>
    <row r="1194" spans="1:7" x14ac:dyDescent="0.2">
      <c r="A1194">
        <v>9</v>
      </c>
      <c r="B1194">
        <v>38</v>
      </c>
      <c r="C1194" t="s">
        <v>843</v>
      </c>
      <c r="D1194" t="s">
        <v>24</v>
      </c>
      <c r="E1194" t="s">
        <v>31</v>
      </c>
      <c r="F1194" t="s">
        <v>26</v>
      </c>
      <c r="G1194" t="s">
        <v>27</v>
      </c>
    </row>
    <row r="1195" spans="1:7" x14ac:dyDescent="0.2">
      <c r="A1195">
        <v>9</v>
      </c>
      <c r="B1195">
        <v>38</v>
      </c>
      <c r="C1195" t="s">
        <v>844</v>
      </c>
      <c r="D1195" t="s">
        <v>24</v>
      </c>
      <c r="E1195" t="s">
        <v>31</v>
      </c>
      <c r="F1195" t="s">
        <v>26</v>
      </c>
      <c r="G1195" t="s">
        <v>27</v>
      </c>
    </row>
    <row r="1196" spans="1:7" x14ac:dyDescent="0.2">
      <c r="A1196">
        <v>10</v>
      </c>
      <c r="B1196">
        <v>38</v>
      </c>
      <c r="C1196" t="s">
        <v>845</v>
      </c>
      <c r="D1196" t="s">
        <v>24</v>
      </c>
      <c r="E1196" t="s">
        <v>25</v>
      </c>
      <c r="F1196" t="s">
        <v>26</v>
      </c>
      <c r="G1196" t="s">
        <v>27</v>
      </c>
    </row>
    <row r="1197" spans="1:7" x14ac:dyDescent="0.2">
      <c r="A1197">
        <v>10</v>
      </c>
      <c r="B1197">
        <v>38</v>
      </c>
      <c r="C1197" t="s">
        <v>846</v>
      </c>
      <c r="D1197" t="s">
        <v>24</v>
      </c>
      <c r="E1197" t="s">
        <v>25</v>
      </c>
      <c r="F1197" t="s">
        <v>26</v>
      </c>
      <c r="G1197" t="s">
        <v>27</v>
      </c>
    </row>
    <row r="1198" spans="1:7" x14ac:dyDescent="0.2">
      <c r="A1198">
        <v>10</v>
      </c>
      <c r="B1198">
        <v>38</v>
      </c>
      <c r="C1198" t="s">
        <v>823</v>
      </c>
      <c r="D1198" t="s">
        <v>24</v>
      </c>
      <c r="E1198" t="s">
        <v>25</v>
      </c>
      <c r="F1198" t="s">
        <v>26</v>
      </c>
      <c r="G1198" t="s">
        <v>27</v>
      </c>
    </row>
    <row r="1199" spans="1:7" x14ac:dyDescent="0.2">
      <c r="A1199">
        <v>10</v>
      </c>
      <c r="B1199">
        <v>38</v>
      </c>
      <c r="C1199" t="s">
        <v>847</v>
      </c>
      <c r="D1199" t="s">
        <v>24</v>
      </c>
      <c r="E1199" t="s">
        <v>25</v>
      </c>
      <c r="F1199" t="s">
        <v>26</v>
      </c>
      <c r="G1199" t="s">
        <v>27</v>
      </c>
    </row>
    <row r="1200" spans="1:7" x14ac:dyDescent="0.2">
      <c r="A1200">
        <v>10</v>
      </c>
      <c r="B1200">
        <v>38</v>
      </c>
      <c r="C1200" t="s">
        <v>848</v>
      </c>
      <c r="D1200" t="s">
        <v>24</v>
      </c>
      <c r="E1200" t="s">
        <v>25</v>
      </c>
      <c r="F1200" t="s">
        <v>26</v>
      </c>
      <c r="G1200" t="s">
        <v>27</v>
      </c>
    </row>
    <row r="1201" spans="1:7" x14ac:dyDescent="0.2">
      <c r="A1201">
        <v>10</v>
      </c>
      <c r="B1201">
        <v>38</v>
      </c>
      <c r="C1201" t="s">
        <v>849</v>
      </c>
      <c r="D1201" t="s">
        <v>24</v>
      </c>
      <c r="E1201" t="s">
        <v>25</v>
      </c>
      <c r="F1201" t="s">
        <v>26</v>
      </c>
      <c r="G1201" t="s">
        <v>27</v>
      </c>
    </row>
    <row r="1202" spans="1:7" x14ac:dyDescent="0.2">
      <c r="A1202">
        <v>10</v>
      </c>
      <c r="B1202">
        <v>38</v>
      </c>
      <c r="C1202" t="s">
        <v>826</v>
      </c>
      <c r="D1202" t="s">
        <v>24</v>
      </c>
      <c r="E1202" t="s">
        <v>25</v>
      </c>
      <c r="F1202" t="s">
        <v>26</v>
      </c>
      <c r="G1202" t="s">
        <v>27</v>
      </c>
    </row>
    <row r="1203" spans="1:7" x14ac:dyDescent="0.2">
      <c r="A1203">
        <v>10</v>
      </c>
      <c r="B1203">
        <v>38</v>
      </c>
      <c r="C1203" t="s">
        <v>850</v>
      </c>
      <c r="D1203" t="s">
        <v>24</v>
      </c>
      <c r="E1203" t="s">
        <v>25</v>
      </c>
      <c r="F1203" t="s">
        <v>26</v>
      </c>
      <c r="G1203" t="s">
        <v>27</v>
      </c>
    </row>
    <row r="1204" spans="1:7" x14ac:dyDescent="0.2">
      <c r="A1204">
        <v>10</v>
      </c>
      <c r="B1204">
        <v>38</v>
      </c>
      <c r="C1204" t="s">
        <v>851</v>
      </c>
      <c r="D1204" t="s">
        <v>24</v>
      </c>
      <c r="E1204" t="s">
        <v>25</v>
      </c>
      <c r="F1204" t="s">
        <v>26</v>
      </c>
      <c r="G1204" t="s">
        <v>27</v>
      </c>
    </row>
    <row r="1205" spans="1:7" x14ac:dyDescent="0.2">
      <c r="A1205">
        <v>10</v>
      </c>
      <c r="B1205">
        <v>38</v>
      </c>
      <c r="C1205" t="s">
        <v>852</v>
      </c>
      <c r="D1205" t="s">
        <v>24</v>
      </c>
      <c r="E1205" t="s">
        <v>25</v>
      </c>
      <c r="F1205" t="s">
        <v>26</v>
      </c>
      <c r="G1205" t="s">
        <v>27</v>
      </c>
    </row>
    <row r="1206" spans="1:7" x14ac:dyDescent="0.2">
      <c r="A1206">
        <v>10</v>
      </c>
      <c r="B1206">
        <v>38</v>
      </c>
      <c r="C1206" t="s">
        <v>853</v>
      </c>
      <c r="D1206" t="s">
        <v>24</v>
      </c>
      <c r="E1206" t="s">
        <v>25</v>
      </c>
      <c r="F1206" t="s">
        <v>26</v>
      </c>
      <c r="G1206" t="s">
        <v>27</v>
      </c>
    </row>
    <row r="1207" spans="1:7" x14ac:dyDescent="0.2">
      <c r="A1207">
        <v>11</v>
      </c>
      <c r="B1207">
        <v>38</v>
      </c>
      <c r="C1207" t="s">
        <v>841</v>
      </c>
      <c r="D1207" t="s">
        <v>24</v>
      </c>
      <c r="E1207" t="s">
        <v>31</v>
      </c>
      <c r="F1207" t="s">
        <v>26</v>
      </c>
      <c r="G1207" t="s">
        <v>27</v>
      </c>
    </row>
    <row r="1208" spans="1:7" x14ac:dyDescent="0.2">
      <c r="A1208">
        <v>11</v>
      </c>
      <c r="B1208">
        <v>38</v>
      </c>
      <c r="C1208" t="s">
        <v>829</v>
      </c>
      <c r="D1208" t="s">
        <v>24</v>
      </c>
      <c r="E1208" t="s">
        <v>31</v>
      </c>
      <c r="F1208" t="s">
        <v>26</v>
      </c>
      <c r="G1208" t="s">
        <v>27</v>
      </c>
    </row>
    <row r="1209" spans="1:7" x14ac:dyDescent="0.2">
      <c r="A1209">
        <v>11</v>
      </c>
      <c r="B1209">
        <v>38</v>
      </c>
      <c r="C1209" t="s">
        <v>854</v>
      </c>
      <c r="D1209" t="s">
        <v>24</v>
      </c>
      <c r="E1209" t="s">
        <v>31</v>
      </c>
      <c r="F1209" t="s">
        <v>26</v>
      </c>
      <c r="G1209" t="s">
        <v>27</v>
      </c>
    </row>
    <row r="1210" spans="1:7" x14ac:dyDescent="0.2">
      <c r="A1210">
        <v>11</v>
      </c>
      <c r="B1210">
        <v>38</v>
      </c>
      <c r="C1210" t="s">
        <v>855</v>
      </c>
      <c r="D1210" t="s">
        <v>24</v>
      </c>
      <c r="E1210" t="s">
        <v>31</v>
      </c>
      <c r="F1210" t="s">
        <v>26</v>
      </c>
      <c r="G1210" t="s">
        <v>27</v>
      </c>
    </row>
    <row r="1211" spans="1:7" x14ac:dyDescent="0.2">
      <c r="A1211">
        <v>11</v>
      </c>
      <c r="B1211">
        <v>38</v>
      </c>
      <c r="C1211" t="s">
        <v>831</v>
      </c>
      <c r="D1211" t="s">
        <v>24</v>
      </c>
      <c r="E1211" t="s">
        <v>31</v>
      </c>
      <c r="F1211" t="s">
        <v>26</v>
      </c>
      <c r="G1211" t="s">
        <v>27</v>
      </c>
    </row>
    <row r="1212" spans="1:7" x14ac:dyDescent="0.2">
      <c r="A1212">
        <v>11</v>
      </c>
      <c r="B1212">
        <v>38</v>
      </c>
      <c r="C1212" t="s">
        <v>842</v>
      </c>
      <c r="D1212" t="s">
        <v>24</v>
      </c>
      <c r="E1212" t="s">
        <v>31</v>
      </c>
      <c r="F1212" t="s">
        <v>26</v>
      </c>
      <c r="G1212" t="s">
        <v>27</v>
      </c>
    </row>
    <row r="1213" spans="1:7" x14ac:dyDescent="0.2">
      <c r="A1213">
        <v>11</v>
      </c>
      <c r="B1213">
        <v>38</v>
      </c>
      <c r="C1213" t="s">
        <v>843</v>
      </c>
      <c r="D1213" t="s">
        <v>24</v>
      </c>
      <c r="E1213" t="s">
        <v>31</v>
      </c>
      <c r="F1213" t="s">
        <v>26</v>
      </c>
      <c r="G1213" t="s">
        <v>27</v>
      </c>
    </row>
    <row r="1214" spans="1:7" x14ac:dyDescent="0.2">
      <c r="A1214">
        <v>11</v>
      </c>
      <c r="B1214">
        <v>38</v>
      </c>
      <c r="C1214" t="s">
        <v>856</v>
      </c>
      <c r="D1214" t="s">
        <v>24</v>
      </c>
      <c r="E1214" t="s">
        <v>31</v>
      </c>
      <c r="F1214" t="s">
        <v>26</v>
      </c>
      <c r="G1214" t="s">
        <v>27</v>
      </c>
    </row>
    <row r="1215" spans="1:7" x14ac:dyDescent="0.2">
      <c r="A1215">
        <v>11</v>
      </c>
      <c r="B1215">
        <v>38</v>
      </c>
      <c r="C1215" t="s">
        <v>857</v>
      </c>
      <c r="D1215" t="s">
        <v>24</v>
      </c>
      <c r="E1215" t="s">
        <v>31</v>
      </c>
      <c r="F1215" t="s">
        <v>26</v>
      </c>
      <c r="G1215" t="s">
        <v>27</v>
      </c>
    </row>
    <row r="1216" spans="1:7" x14ac:dyDescent="0.2">
      <c r="A1216">
        <v>11</v>
      </c>
      <c r="B1216">
        <v>38</v>
      </c>
      <c r="C1216" t="s">
        <v>858</v>
      </c>
      <c r="D1216" t="s">
        <v>24</v>
      </c>
      <c r="E1216" t="s">
        <v>31</v>
      </c>
      <c r="F1216" t="s">
        <v>26</v>
      </c>
      <c r="G1216" t="s">
        <v>27</v>
      </c>
    </row>
    <row r="1217" spans="1:7" x14ac:dyDescent="0.2">
      <c r="A1217">
        <v>11</v>
      </c>
      <c r="B1217">
        <v>38</v>
      </c>
      <c r="C1217" t="s">
        <v>859</v>
      </c>
      <c r="D1217" t="s">
        <v>24</v>
      </c>
      <c r="E1217" t="s">
        <v>31</v>
      </c>
      <c r="F1217" t="s">
        <v>26</v>
      </c>
      <c r="G1217" t="s">
        <v>27</v>
      </c>
    </row>
    <row r="1218" spans="1:7" x14ac:dyDescent="0.2">
      <c r="A1218">
        <v>12</v>
      </c>
      <c r="B1218">
        <v>38</v>
      </c>
      <c r="C1218" t="s">
        <v>856</v>
      </c>
      <c r="D1218" t="s">
        <v>24</v>
      </c>
      <c r="E1218" t="s">
        <v>31</v>
      </c>
      <c r="F1218" t="s">
        <v>26</v>
      </c>
      <c r="G1218" t="s">
        <v>27</v>
      </c>
    </row>
    <row r="1219" spans="1:7" x14ac:dyDescent="0.2">
      <c r="A1219">
        <v>12</v>
      </c>
      <c r="B1219">
        <v>38</v>
      </c>
      <c r="C1219" t="s">
        <v>831</v>
      </c>
      <c r="D1219" t="s">
        <v>24</v>
      </c>
      <c r="E1219" t="s">
        <v>31</v>
      </c>
      <c r="F1219" t="s">
        <v>26</v>
      </c>
      <c r="G1219" t="s">
        <v>27</v>
      </c>
    </row>
    <row r="1220" spans="1:7" x14ac:dyDescent="0.2">
      <c r="A1220">
        <v>12</v>
      </c>
      <c r="B1220">
        <v>38</v>
      </c>
      <c r="C1220" t="s">
        <v>855</v>
      </c>
      <c r="D1220" t="s">
        <v>24</v>
      </c>
      <c r="E1220" t="s">
        <v>25</v>
      </c>
      <c r="F1220" t="s">
        <v>26</v>
      </c>
      <c r="G1220" t="s">
        <v>27</v>
      </c>
    </row>
    <row r="1221" spans="1:7" x14ac:dyDescent="0.2">
      <c r="A1221">
        <v>13</v>
      </c>
      <c r="B1221">
        <v>38</v>
      </c>
      <c r="C1221" t="s">
        <v>841</v>
      </c>
      <c r="D1221" t="s">
        <v>24</v>
      </c>
      <c r="E1221" t="s">
        <v>25</v>
      </c>
      <c r="F1221" t="s">
        <v>26</v>
      </c>
      <c r="G1221" t="s">
        <v>27</v>
      </c>
    </row>
    <row r="1222" spans="1:7" x14ac:dyDescent="0.2">
      <c r="A1222">
        <v>13</v>
      </c>
      <c r="B1222">
        <v>38</v>
      </c>
      <c r="C1222" t="s">
        <v>829</v>
      </c>
      <c r="D1222" t="s">
        <v>24</v>
      </c>
      <c r="E1222" t="s">
        <v>25</v>
      </c>
      <c r="F1222" t="s">
        <v>26</v>
      </c>
      <c r="G1222" t="s">
        <v>27</v>
      </c>
    </row>
    <row r="1223" spans="1:7" x14ac:dyDescent="0.2">
      <c r="A1223">
        <v>13</v>
      </c>
      <c r="B1223">
        <v>38</v>
      </c>
      <c r="C1223" t="s">
        <v>860</v>
      </c>
      <c r="D1223" t="s">
        <v>24</v>
      </c>
      <c r="E1223" t="s">
        <v>25</v>
      </c>
      <c r="F1223" t="s">
        <v>26</v>
      </c>
      <c r="G1223" t="s">
        <v>27</v>
      </c>
    </row>
    <row r="1224" spans="1:7" x14ac:dyDescent="0.2">
      <c r="A1224">
        <v>13</v>
      </c>
      <c r="B1224">
        <v>38</v>
      </c>
      <c r="C1224" t="s">
        <v>855</v>
      </c>
      <c r="D1224" t="s">
        <v>24</v>
      </c>
      <c r="E1224" t="s">
        <v>25</v>
      </c>
      <c r="F1224" t="s">
        <v>26</v>
      </c>
      <c r="G1224" t="s">
        <v>27</v>
      </c>
    </row>
    <row r="1225" spans="1:7" x14ac:dyDescent="0.2">
      <c r="A1225">
        <v>13</v>
      </c>
      <c r="B1225">
        <v>38</v>
      </c>
      <c r="C1225" t="s">
        <v>831</v>
      </c>
      <c r="D1225" t="s">
        <v>24</v>
      </c>
      <c r="E1225" t="s">
        <v>25</v>
      </c>
      <c r="F1225" t="s">
        <v>26</v>
      </c>
      <c r="G1225" t="s">
        <v>27</v>
      </c>
    </row>
    <row r="1226" spans="1:7" x14ac:dyDescent="0.2">
      <c r="A1226">
        <v>13</v>
      </c>
      <c r="B1226">
        <v>38</v>
      </c>
      <c r="C1226" t="s">
        <v>842</v>
      </c>
      <c r="D1226" t="s">
        <v>24</v>
      </c>
      <c r="E1226" t="s">
        <v>25</v>
      </c>
      <c r="F1226" t="s">
        <v>26</v>
      </c>
      <c r="G1226" t="s">
        <v>27</v>
      </c>
    </row>
    <row r="1227" spans="1:7" x14ac:dyDescent="0.2">
      <c r="A1227">
        <v>13</v>
      </c>
      <c r="B1227">
        <v>38</v>
      </c>
      <c r="C1227" t="s">
        <v>861</v>
      </c>
      <c r="D1227" t="s">
        <v>24</v>
      </c>
      <c r="E1227" t="s">
        <v>25</v>
      </c>
      <c r="F1227" t="s">
        <v>26</v>
      </c>
      <c r="G1227" t="s">
        <v>27</v>
      </c>
    </row>
    <row r="1228" spans="1:7" x14ac:dyDescent="0.2">
      <c r="A1228">
        <v>13</v>
      </c>
      <c r="B1228">
        <v>38</v>
      </c>
      <c r="C1228" t="s">
        <v>862</v>
      </c>
      <c r="D1228" t="s">
        <v>24</v>
      </c>
      <c r="E1228" t="s">
        <v>25</v>
      </c>
      <c r="F1228" t="s">
        <v>26</v>
      </c>
      <c r="G1228" t="s">
        <v>27</v>
      </c>
    </row>
    <row r="1229" spans="1:7" x14ac:dyDescent="0.2">
      <c r="A1229">
        <v>13</v>
      </c>
      <c r="B1229">
        <v>38</v>
      </c>
      <c r="C1229" t="s">
        <v>832</v>
      </c>
      <c r="D1229" t="s">
        <v>24</v>
      </c>
      <c r="E1229" t="s">
        <v>25</v>
      </c>
      <c r="F1229" t="s">
        <v>26</v>
      </c>
      <c r="G1229" t="s">
        <v>27</v>
      </c>
    </row>
    <row r="1230" spans="1:7" x14ac:dyDescent="0.2">
      <c r="A1230">
        <v>13</v>
      </c>
      <c r="B1230">
        <v>38</v>
      </c>
      <c r="C1230" t="s">
        <v>857</v>
      </c>
      <c r="D1230" t="s">
        <v>24</v>
      </c>
      <c r="E1230" t="s">
        <v>25</v>
      </c>
      <c r="F1230" t="s">
        <v>26</v>
      </c>
      <c r="G1230" t="s">
        <v>27</v>
      </c>
    </row>
    <row r="1231" spans="1:7" x14ac:dyDescent="0.2">
      <c r="A1231">
        <v>14</v>
      </c>
      <c r="B1231">
        <v>38</v>
      </c>
      <c r="C1231" t="s">
        <v>839</v>
      </c>
      <c r="D1231" t="s">
        <v>24</v>
      </c>
      <c r="E1231" t="s">
        <v>31</v>
      </c>
      <c r="F1231" t="s">
        <v>47</v>
      </c>
      <c r="G1231" t="s">
        <v>27</v>
      </c>
    </row>
    <row r="1232" spans="1:7" x14ac:dyDescent="0.2">
      <c r="A1232">
        <v>14</v>
      </c>
      <c r="B1232">
        <v>38</v>
      </c>
      <c r="C1232" t="s">
        <v>841</v>
      </c>
      <c r="D1232" t="s">
        <v>24</v>
      </c>
      <c r="E1232" t="s">
        <v>31</v>
      </c>
      <c r="F1232" t="s">
        <v>47</v>
      </c>
      <c r="G1232" t="s">
        <v>27</v>
      </c>
    </row>
    <row r="1233" spans="1:7" x14ac:dyDescent="0.2">
      <c r="A1233">
        <v>14</v>
      </c>
      <c r="B1233">
        <v>38</v>
      </c>
      <c r="C1233" t="s">
        <v>829</v>
      </c>
      <c r="D1233" t="s">
        <v>24</v>
      </c>
      <c r="E1233" t="s">
        <v>31</v>
      </c>
      <c r="F1233" t="s">
        <v>47</v>
      </c>
      <c r="G1233" t="s">
        <v>27</v>
      </c>
    </row>
    <row r="1234" spans="1:7" x14ac:dyDescent="0.2">
      <c r="A1234">
        <v>14</v>
      </c>
      <c r="B1234">
        <v>38</v>
      </c>
      <c r="C1234" t="s">
        <v>863</v>
      </c>
      <c r="D1234" t="s">
        <v>24</v>
      </c>
      <c r="E1234" t="s">
        <v>31</v>
      </c>
      <c r="F1234" t="s">
        <v>47</v>
      </c>
      <c r="G1234" t="s">
        <v>27</v>
      </c>
    </row>
    <row r="1235" spans="1:7" x14ac:dyDescent="0.2">
      <c r="A1235">
        <v>14</v>
      </c>
      <c r="B1235">
        <v>38</v>
      </c>
      <c r="C1235" t="s">
        <v>864</v>
      </c>
      <c r="D1235" t="s">
        <v>24</v>
      </c>
      <c r="E1235" t="s">
        <v>31</v>
      </c>
      <c r="F1235" t="s">
        <v>47</v>
      </c>
      <c r="G1235" t="s">
        <v>27</v>
      </c>
    </row>
    <row r="1236" spans="1:7" x14ac:dyDescent="0.2">
      <c r="A1236">
        <v>14</v>
      </c>
      <c r="B1236">
        <v>38</v>
      </c>
      <c r="C1236" t="s">
        <v>831</v>
      </c>
      <c r="D1236" t="s">
        <v>24</v>
      </c>
      <c r="E1236" t="s">
        <v>31</v>
      </c>
      <c r="F1236" t="s">
        <v>47</v>
      </c>
      <c r="G1236" t="s">
        <v>27</v>
      </c>
    </row>
    <row r="1237" spans="1:7" x14ac:dyDescent="0.2">
      <c r="A1237">
        <v>14</v>
      </c>
      <c r="B1237">
        <v>38</v>
      </c>
      <c r="C1237" t="s">
        <v>865</v>
      </c>
      <c r="D1237" t="s">
        <v>24</v>
      </c>
      <c r="E1237" t="s">
        <v>31</v>
      </c>
      <c r="F1237" t="s">
        <v>47</v>
      </c>
      <c r="G1237" t="s">
        <v>27</v>
      </c>
    </row>
    <row r="1238" spans="1:7" x14ac:dyDescent="0.2">
      <c r="A1238">
        <v>14</v>
      </c>
      <c r="B1238">
        <v>38</v>
      </c>
      <c r="C1238" t="s">
        <v>856</v>
      </c>
      <c r="D1238" t="s">
        <v>24</v>
      </c>
      <c r="E1238" t="s">
        <v>31</v>
      </c>
      <c r="F1238" t="s">
        <v>47</v>
      </c>
      <c r="G1238" t="s">
        <v>27</v>
      </c>
    </row>
    <row r="1239" spans="1:7" x14ac:dyDescent="0.2">
      <c r="A1239">
        <v>15</v>
      </c>
      <c r="B1239">
        <v>38</v>
      </c>
      <c r="C1239" t="s">
        <v>839</v>
      </c>
      <c r="D1239" t="s">
        <v>24</v>
      </c>
      <c r="E1239" t="s">
        <v>31</v>
      </c>
      <c r="F1239" t="s">
        <v>47</v>
      </c>
      <c r="G1239" t="s">
        <v>27</v>
      </c>
    </row>
    <row r="1240" spans="1:7" x14ac:dyDescent="0.2">
      <c r="A1240">
        <v>15</v>
      </c>
      <c r="B1240">
        <v>38</v>
      </c>
      <c r="C1240" t="s">
        <v>866</v>
      </c>
      <c r="D1240" t="s">
        <v>24</v>
      </c>
      <c r="E1240" t="s">
        <v>31</v>
      </c>
      <c r="F1240" t="s">
        <v>47</v>
      </c>
      <c r="G1240" t="s">
        <v>27</v>
      </c>
    </row>
    <row r="1241" spans="1:7" x14ac:dyDescent="0.2">
      <c r="A1241">
        <v>15</v>
      </c>
      <c r="B1241">
        <v>38</v>
      </c>
      <c r="C1241" t="s">
        <v>841</v>
      </c>
      <c r="D1241" t="s">
        <v>24</v>
      </c>
      <c r="E1241" t="s">
        <v>31</v>
      </c>
      <c r="F1241" t="s">
        <v>26</v>
      </c>
      <c r="G1241" t="s">
        <v>27</v>
      </c>
    </row>
    <row r="1242" spans="1:7" x14ac:dyDescent="0.2">
      <c r="A1242">
        <v>15</v>
      </c>
      <c r="B1242">
        <v>38</v>
      </c>
      <c r="C1242" t="s">
        <v>859</v>
      </c>
      <c r="D1242" t="s">
        <v>24</v>
      </c>
      <c r="E1242" t="s">
        <v>31</v>
      </c>
      <c r="F1242" t="s">
        <v>47</v>
      </c>
      <c r="G1242" t="s">
        <v>27</v>
      </c>
    </row>
    <row r="1243" spans="1:7" x14ac:dyDescent="0.2">
      <c r="A1243">
        <v>15</v>
      </c>
      <c r="B1243">
        <v>38</v>
      </c>
      <c r="C1243" t="s">
        <v>835</v>
      </c>
      <c r="D1243" t="s">
        <v>24</v>
      </c>
      <c r="E1243" t="s">
        <v>31</v>
      </c>
      <c r="F1243" t="s">
        <v>47</v>
      </c>
      <c r="G1243" t="s">
        <v>27</v>
      </c>
    </row>
    <row r="1244" spans="1:7" x14ac:dyDescent="0.2">
      <c r="A1244">
        <v>16</v>
      </c>
      <c r="B1244">
        <v>38</v>
      </c>
      <c r="C1244" t="s">
        <v>867</v>
      </c>
      <c r="D1244" t="s">
        <v>24</v>
      </c>
      <c r="E1244" t="s">
        <v>31</v>
      </c>
      <c r="F1244" t="s">
        <v>26</v>
      </c>
      <c r="G1244" t="s">
        <v>27</v>
      </c>
    </row>
    <row r="1245" spans="1:7" x14ac:dyDescent="0.2">
      <c r="A1245">
        <v>16</v>
      </c>
      <c r="B1245">
        <v>38</v>
      </c>
      <c r="C1245" t="s">
        <v>831</v>
      </c>
      <c r="D1245" t="s">
        <v>24</v>
      </c>
      <c r="E1245" t="s">
        <v>31</v>
      </c>
      <c r="F1245" t="s">
        <v>26</v>
      </c>
      <c r="G1245" t="s">
        <v>27</v>
      </c>
    </row>
    <row r="1246" spans="1:7" x14ac:dyDescent="0.2">
      <c r="A1246">
        <v>16</v>
      </c>
      <c r="B1246">
        <v>38</v>
      </c>
      <c r="C1246" t="s">
        <v>859</v>
      </c>
      <c r="D1246" t="s">
        <v>24</v>
      </c>
      <c r="E1246" t="s">
        <v>31</v>
      </c>
      <c r="F1246" t="s">
        <v>26</v>
      </c>
      <c r="G1246" t="s">
        <v>27</v>
      </c>
    </row>
    <row r="1247" spans="1:7" x14ac:dyDescent="0.2">
      <c r="A1247">
        <v>17</v>
      </c>
      <c r="B1247">
        <v>38</v>
      </c>
      <c r="C1247" t="s">
        <v>868</v>
      </c>
      <c r="D1247" t="s">
        <v>30</v>
      </c>
      <c r="E1247" t="s">
        <v>31</v>
      </c>
      <c r="F1247" t="s">
        <v>26</v>
      </c>
      <c r="G1247" t="s">
        <v>27</v>
      </c>
    </row>
    <row r="1248" spans="1:7" x14ac:dyDescent="0.2">
      <c r="A1248">
        <v>17</v>
      </c>
      <c r="B1248">
        <v>38</v>
      </c>
      <c r="C1248" t="s">
        <v>829</v>
      </c>
      <c r="D1248" t="s">
        <v>24</v>
      </c>
      <c r="E1248" t="s">
        <v>31</v>
      </c>
      <c r="F1248" t="s">
        <v>26</v>
      </c>
      <c r="G1248" t="s">
        <v>27</v>
      </c>
    </row>
    <row r="1249" spans="1:7" x14ac:dyDescent="0.2">
      <c r="A1249">
        <v>17</v>
      </c>
      <c r="B1249">
        <v>38</v>
      </c>
      <c r="C1249" t="s">
        <v>869</v>
      </c>
      <c r="D1249" t="s">
        <v>24</v>
      </c>
      <c r="E1249" t="s">
        <v>31</v>
      </c>
      <c r="F1249" t="s">
        <v>26</v>
      </c>
      <c r="G1249" t="s">
        <v>27</v>
      </c>
    </row>
    <row r="1250" spans="1:7" x14ac:dyDescent="0.2">
      <c r="A1250">
        <v>17</v>
      </c>
      <c r="B1250">
        <v>38</v>
      </c>
      <c r="C1250" t="s">
        <v>831</v>
      </c>
      <c r="D1250" t="s">
        <v>30</v>
      </c>
      <c r="E1250" t="s">
        <v>31</v>
      </c>
      <c r="F1250" t="s">
        <v>26</v>
      </c>
      <c r="G1250" t="s">
        <v>27</v>
      </c>
    </row>
    <row r="1251" spans="1:7" x14ac:dyDescent="0.2">
      <c r="A1251">
        <v>17</v>
      </c>
      <c r="B1251">
        <v>38</v>
      </c>
      <c r="C1251" t="s">
        <v>870</v>
      </c>
      <c r="D1251" t="s">
        <v>24</v>
      </c>
      <c r="E1251" t="s">
        <v>31</v>
      </c>
      <c r="F1251" t="s">
        <v>26</v>
      </c>
      <c r="G1251" t="s">
        <v>27</v>
      </c>
    </row>
    <row r="1252" spans="1:7" x14ac:dyDescent="0.2">
      <c r="A1252">
        <v>17</v>
      </c>
      <c r="B1252">
        <v>38</v>
      </c>
      <c r="C1252" t="s">
        <v>858</v>
      </c>
      <c r="D1252" t="s">
        <v>24</v>
      </c>
      <c r="E1252" t="s">
        <v>31</v>
      </c>
      <c r="F1252" t="s">
        <v>26</v>
      </c>
      <c r="G1252" t="s">
        <v>27</v>
      </c>
    </row>
    <row r="1253" spans="1:7" x14ac:dyDescent="0.2">
      <c r="A1253">
        <v>17</v>
      </c>
      <c r="B1253">
        <v>38</v>
      </c>
      <c r="C1253" t="s">
        <v>859</v>
      </c>
      <c r="D1253" t="s">
        <v>24</v>
      </c>
      <c r="E1253" t="s">
        <v>31</v>
      </c>
      <c r="F1253" t="s">
        <v>26</v>
      </c>
      <c r="G1253" t="s">
        <v>27</v>
      </c>
    </row>
    <row r="1254" spans="1:7" x14ac:dyDescent="0.2">
      <c r="A1254">
        <v>17</v>
      </c>
      <c r="B1254">
        <v>38</v>
      </c>
      <c r="C1254" t="s">
        <v>835</v>
      </c>
      <c r="D1254" t="s">
        <v>24</v>
      </c>
      <c r="E1254" t="s">
        <v>31</v>
      </c>
      <c r="F1254" t="s">
        <v>26</v>
      </c>
      <c r="G1254" t="s">
        <v>27</v>
      </c>
    </row>
    <row r="1255" spans="1:7" x14ac:dyDescent="0.2">
      <c r="A1255">
        <v>18</v>
      </c>
      <c r="B1255">
        <v>38</v>
      </c>
      <c r="C1255" t="s">
        <v>839</v>
      </c>
      <c r="D1255" t="s">
        <v>24</v>
      </c>
      <c r="E1255" t="s">
        <v>31</v>
      </c>
      <c r="F1255" t="s">
        <v>47</v>
      </c>
      <c r="G1255" t="s">
        <v>27</v>
      </c>
    </row>
    <row r="1256" spans="1:7" x14ac:dyDescent="0.2">
      <c r="A1256">
        <v>18</v>
      </c>
      <c r="B1256">
        <v>38</v>
      </c>
      <c r="C1256" t="s">
        <v>840</v>
      </c>
      <c r="D1256" t="s">
        <v>24</v>
      </c>
      <c r="E1256" t="s">
        <v>31</v>
      </c>
      <c r="F1256" t="s">
        <v>47</v>
      </c>
      <c r="G1256" t="s">
        <v>27</v>
      </c>
    </row>
    <row r="1257" spans="1:7" x14ac:dyDescent="0.2">
      <c r="A1257">
        <v>18</v>
      </c>
      <c r="B1257">
        <v>38</v>
      </c>
      <c r="C1257" t="s">
        <v>841</v>
      </c>
      <c r="D1257" t="s">
        <v>24</v>
      </c>
      <c r="E1257" t="s">
        <v>31</v>
      </c>
      <c r="F1257" t="s">
        <v>47</v>
      </c>
      <c r="G1257" t="s">
        <v>27</v>
      </c>
    </row>
    <row r="1258" spans="1:7" x14ac:dyDescent="0.2">
      <c r="A1258">
        <v>18</v>
      </c>
      <c r="B1258">
        <v>38</v>
      </c>
      <c r="C1258" t="s">
        <v>797</v>
      </c>
      <c r="D1258" t="s">
        <v>24</v>
      </c>
      <c r="E1258" t="s">
        <v>31</v>
      </c>
      <c r="F1258" t="s">
        <v>47</v>
      </c>
      <c r="G1258" t="s">
        <v>27</v>
      </c>
    </row>
    <row r="1259" spans="1:7" x14ac:dyDescent="0.2">
      <c r="A1259">
        <v>19</v>
      </c>
      <c r="B1259">
        <v>38</v>
      </c>
      <c r="C1259" t="s">
        <v>869</v>
      </c>
      <c r="D1259" t="s">
        <v>24</v>
      </c>
      <c r="E1259" t="s">
        <v>31</v>
      </c>
      <c r="F1259" t="s">
        <v>26</v>
      </c>
      <c r="G1259" t="s">
        <v>27</v>
      </c>
    </row>
    <row r="1260" spans="1:7" x14ac:dyDescent="0.2">
      <c r="A1260">
        <v>19</v>
      </c>
      <c r="B1260">
        <v>38</v>
      </c>
      <c r="C1260" t="s">
        <v>871</v>
      </c>
      <c r="D1260" t="s">
        <v>24</v>
      </c>
      <c r="E1260" t="s">
        <v>31</v>
      </c>
      <c r="F1260" t="s">
        <v>26</v>
      </c>
      <c r="G1260" t="s">
        <v>27</v>
      </c>
    </row>
    <row r="1261" spans="1:7" x14ac:dyDescent="0.2">
      <c r="A1261">
        <v>19</v>
      </c>
      <c r="B1261">
        <v>38</v>
      </c>
      <c r="C1261" t="s">
        <v>831</v>
      </c>
      <c r="D1261" t="s">
        <v>24</v>
      </c>
      <c r="E1261" t="s">
        <v>31</v>
      </c>
      <c r="F1261" t="s">
        <v>26</v>
      </c>
      <c r="G1261" t="s">
        <v>27</v>
      </c>
    </row>
    <row r="1262" spans="1:7" x14ac:dyDescent="0.2">
      <c r="A1262">
        <v>19</v>
      </c>
      <c r="B1262">
        <v>38</v>
      </c>
      <c r="C1262" t="s">
        <v>856</v>
      </c>
      <c r="D1262" t="s">
        <v>24</v>
      </c>
      <c r="E1262" t="s">
        <v>31</v>
      </c>
      <c r="F1262" t="s">
        <v>26</v>
      </c>
      <c r="G1262" t="s">
        <v>27</v>
      </c>
    </row>
    <row r="1263" spans="1:7" x14ac:dyDescent="0.2">
      <c r="A1263">
        <v>19</v>
      </c>
      <c r="B1263">
        <v>38</v>
      </c>
      <c r="C1263" t="s">
        <v>832</v>
      </c>
      <c r="D1263" t="s">
        <v>24</v>
      </c>
      <c r="E1263" t="s">
        <v>31</v>
      </c>
      <c r="F1263" t="s">
        <v>26</v>
      </c>
      <c r="G1263" t="s">
        <v>27</v>
      </c>
    </row>
    <row r="1264" spans="1:7" x14ac:dyDescent="0.2">
      <c r="A1264">
        <v>19</v>
      </c>
      <c r="B1264">
        <v>38</v>
      </c>
      <c r="C1264" t="s">
        <v>835</v>
      </c>
      <c r="D1264" t="s">
        <v>24</v>
      </c>
      <c r="E1264" t="s">
        <v>31</v>
      </c>
      <c r="F1264" t="s">
        <v>26</v>
      </c>
      <c r="G1264" t="s">
        <v>27</v>
      </c>
    </row>
    <row r="1265" spans="1:7" x14ac:dyDescent="0.2">
      <c r="A1265">
        <v>19</v>
      </c>
      <c r="B1265">
        <v>38</v>
      </c>
      <c r="C1265" t="s">
        <v>802</v>
      </c>
      <c r="D1265" t="s">
        <v>24</v>
      </c>
      <c r="E1265" t="s">
        <v>31</v>
      </c>
      <c r="F1265" t="s">
        <v>26</v>
      </c>
      <c r="G1265" t="s">
        <v>27</v>
      </c>
    </row>
    <row r="1266" spans="1:7" x14ac:dyDescent="0.2">
      <c r="A1266">
        <v>20</v>
      </c>
      <c r="B1266">
        <v>38</v>
      </c>
      <c r="C1266" t="s">
        <v>839</v>
      </c>
      <c r="D1266" t="s">
        <v>24</v>
      </c>
      <c r="E1266" t="s">
        <v>31</v>
      </c>
      <c r="F1266" t="s">
        <v>26</v>
      </c>
      <c r="G1266" t="s">
        <v>27</v>
      </c>
    </row>
    <row r="1267" spans="1:7" x14ac:dyDescent="0.2">
      <c r="A1267">
        <v>20</v>
      </c>
      <c r="B1267">
        <v>38</v>
      </c>
      <c r="C1267" t="s">
        <v>829</v>
      </c>
      <c r="D1267" t="s">
        <v>24</v>
      </c>
      <c r="E1267" t="s">
        <v>31</v>
      </c>
      <c r="F1267" t="s">
        <v>26</v>
      </c>
      <c r="G1267" t="s">
        <v>27</v>
      </c>
    </row>
    <row r="1268" spans="1:7" x14ac:dyDescent="0.2">
      <c r="A1268">
        <v>20</v>
      </c>
      <c r="B1268">
        <v>38</v>
      </c>
      <c r="C1268" t="s">
        <v>871</v>
      </c>
      <c r="D1268" t="s">
        <v>24</v>
      </c>
      <c r="E1268" t="s">
        <v>31</v>
      </c>
      <c r="F1268" t="s">
        <v>26</v>
      </c>
      <c r="G1268" t="s">
        <v>27</v>
      </c>
    </row>
    <row r="1269" spans="1:7" x14ac:dyDescent="0.2">
      <c r="A1269">
        <v>20</v>
      </c>
      <c r="B1269">
        <v>38</v>
      </c>
      <c r="C1269" t="s">
        <v>873</v>
      </c>
      <c r="D1269" t="s">
        <v>24</v>
      </c>
      <c r="E1269" t="s">
        <v>31</v>
      </c>
      <c r="F1269" t="s">
        <v>26</v>
      </c>
      <c r="G1269" t="s">
        <v>27</v>
      </c>
    </row>
    <row r="1270" spans="1:7" x14ac:dyDescent="0.2">
      <c r="A1270">
        <v>20</v>
      </c>
      <c r="B1270">
        <v>38</v>
      </c>
      <c r="C1270" t="s">
        <v>831</v>
      </c>
      <c r="D1270" t="s">
        <v>24</v>
      </c>
      <c r="E1270" t="s">
        <v>31</v>
      </c>
      <c r="F1270" t="s">
        <v>26</v>
      </c>
      <c r="G1270" t="s">
        <v>27</v>
      </c>
    </row>
    <row r="1271" spans="1:7" x14ac:dyDescent="0.2">
      <c r="A1271">
        <v>20</v>
      </c>
      <c r="B1271">
        <v>38</v>
      </c>
      <c r="C1271" t="s">
        <v>697</v>
      </c>
      <c r="D1271" t="s">
        <v>24</v>
      </c>
      <c r="E1271" t="s">
        <v>31</v>
      </c>
      <c r="F1271" t="s">
        <v>26</v>
      </c>
      <c r="G1271" t="s">
        <v>27</v>
      </c>
    </row>
    <row r="1272" spans="1:7" x14ac:dyDescent="0.2">
      <c r="A1272">
        <v>20</v>
      </c>
      <c r="B1272">
        <v>38</v>
      </c>
      <c r="C1272" t="s">
        <v>835</v>
      </c>
      <c r="D1272" t="s">
        <v>24</v>
      </c>
      <c r="E1272" t="s">
        <v>31</v>
      </c>
      <c r="F1272" t="s">
        <v>26</v>
      </c>
      <c r="G1272" t="s">
        <v>27</v>
      </c>
    </row>
    <row r="1273" spans="1:7" x14ac:dyDescent="0.2">
      <c r="A1273">
        <v>21</v>
      </c>
      <c r="B1273">
        <v>38</v>
      </c>
      <c r="C1273" t="s">
        <v>874</v>
      </c>
      <c r="D1273" t="s">
        <v>24</v>
      </c>
      <c r="E1273" t="s">
        <v>25</v>
      </c>
      <c r="F1273" t="s">
        <v>26</v>
      </c>
      <c r="G1273" t="s">
        <v>27</v>
      </c>
    </row>
    <row r="1274" spans="1:7" x14ac:dyDescent="0.2">
      <c r="A1274">
        <v>21</v>
      </c>
      <c r="B1274">
        <v>38</v>
      </c>
      <c r="C1274" t="s">
        <v>875</v>
      </c>
      <c r="D1274" t="s">
        <v>24</v>
      </c>
      <c r="E1274" t="s">
        <v>25</v>
      </c>
      <c r="F1274" t="s">
        <v>26</v>
      </c>
      <c r="G1274" t="s">
        <v>27</v>
      </c>
    </row>
    <row r="1275" spans="1:7" x14ac:dyDescent="0.2">
      <c r="A1275">
        <v>21</v>
      </c>
      <c r="B1275">
        <v>38</v>
      </c>
      <c r="C1275" t="s">
        <v>829</v>
      </c>
      <c r="D1275" t="s">
        <v>24</v>
      </c>
      <c r="E1275" t="s">
        <v>25</v>
      </c>
      <c r="F1275" t="s">
        <v>26</v>
      </c>
      <c r="G1275" t="s">
        <v>27</v>
      </c>
    </row>
    <row r="1276" spans="1:7" x14ac:dyDescent="0.2">
      <c r="A1276">
        <v>21</v>
      </c>
      <c r="B1276">
        <v>38</v>
      </c>
      <c r="C1276" t="s">
        <v>873</v>
      </c>
      <c r="D1276" t="s">
        <v>24</v>
      </c>
      <c r="E1276" t="s">
        <v>25</v>
      </c>
      <c r="F1276" t="s">
        <v>26</v>
      </c>
      <c r="G1276" t="s">
        <v>27</v>
      </c>
    </row>
    <row r="1277" spans="1:7" x14ac:dyDescent="0.2">
      <c r="A1277">
        <v>21</v>
      </c>
      <c r="B1277">
        <v>38</v>
      </c>
      <c r="C1277" t="s">
        <v>831</v>
      </c>
      <c r="D1277" t="s">
        <v>24</v>
      </c>
      <c r="E1277" t="s">
        <v>25</v>
      </c>
      <c r="F1277" t="s">
        <v>26</v>
      </c>
      <c r="G1277" t="s">
        <v>27</v>
      </c>
    </row>
    <row r="1278" spans="1:7" x14ac:dyDescent="0.2">
      <c r="A1278">
        <v>21</v>
      </c>
      <c r="B1278">
        <v>38</v>
      </c>
      <c r="C1278" t="s">
        <v>869</v>
      </c>
      <c r="D1278" t="s">
        <v>24</v>
      </c>
      <c r="E1278" t="s">
        <v>25</v>
      </c>
      <c r="F1278" t="s">
        <v>26</v>
      </c>
      <c r="G1278" t="s">
        <v>27</v>
      </c>
    </row>
    <row r="1279" spans="1:7" x14ac:dyDescent="0.2">
      <c r="A1279">
        <v>21</v>
      </c>
      <c r="B1279">
        <v>38</v>
      </c>
      <c r="C1279" t="s">
        <v>876</v>
      </c>
      <c r="D1279" t="s">
        <v>24</v>
      </c>
      <c r="E1279" t="s">
        <v>25</v>
      </c>
      <c r="F1279" t="s">
        <v>26</v>
      </c>
      <c r="G1279" t="s">
        <v>27</v>
      </c>
    </row>
    <row r="1280" spans="1:7" x14ac:dyDescent="0.2">
      <c r="A1280">
        <v>21</v>
      </c>
      <c r="B1280">
        <v>38</v>
      </c>
      <c r="C1280" t="s">
        <v>877</v>
      </c>
      <c r="D1280" t="s">
        <v>24</v>
      </c>
      <c r="E1280" t="s">
        <v>25</v>
      </c>
      <c r="F1280" t="s">
        <v>26</v>
      </c>
      <c r="G1280" t="s">
        <v>27</v>
      </c>
    </row>
    <row r="1281" spans="1:7" x14ac:dyDescent="0.2">
      <c r="A1281">
        <v>21</v>
      </c>
      <c r="B1281">
        <v>38</v>
      </c>
      <c r="C1281" t="s">
        <v>878</v>
      </c>
      <c r="D1281" t="s">
        <v>24</v>
      </c>
      <c r="E1281" t="s">
        <v>25</v>
      </c>
      <c r="F1281" t="s">
        <v>26</v>
      </c>
      <c r="G1281" t="s">
        <v>27</v>
      </c>
    </row>
    <row r="1282" spans="1:7" x14ac:dyDescent="0.2">
      <c r="A1282">
        <v>21</v>
      </c>
      <c r="B1282">
        <v>38</v>
      </c>
      <c r="C1282" t="s">
        <v>867</v>
      </c>
      <c r="D1282" t="s">
        <v>24</v>
      </c>
      <c r="E1282" t="s">
        <v>25</v>
      </c>
      <c r="F1282" t="s">
        <v>26</v>
      </c>
      <c r="G1282" t="s">
        <v>27</v>
      </c>
    </row>
    <row r="1283" spans="1:7" x14ac:dyDescent="0.2">
      <c r="A1283">
        <v>21</v>
      </c>
      <c r="B1283">
        <v>38</v>
      </c>
      <c r="C1283" t="s">
        <v>835</v>
      </c>
      <c r="D1283" t="s">
        <v>24</v>
      </c>
      <c r="E1283" t="s">
        <v>25</v>
      </c>
      <c r="F1283" t="s">
        <v>26</v>
      </c>
      <c r="G1283" t="s">
        <v>27</v>
      </c>
    </row>
    <row r="1284" spans="1:7" x14ac:dyDescent="0.2">
      <c r="A1284">
        <v>22</v>
      </c>
      <c r="B1284">
        <v>38</v>
      </c>
      <c r="C1284" t="s">
        <v>875</v>
      </c>
      <c r="D1284" t="s">
        <v>24</v>
      </c>
      <c r="E1284" t="s">
        <v>31</v>
      </c>
      <c r="F1284" t="s">
        <v>26</v>
      </c>
      <c r="G1284" t="s">
        <v>27</v>
      </c>
    </row>
    <row r="1285" spans="1:7" x14ac:dyDescent="0.2">
      <c r="A1285">
        <v>22</v>
      </c>
      <c r="B1285">
        <v>38</v>
      </c>
      <c r="C1285" t="s">
        <v>879</v>
      </c>
      <c r="D1285" t="s">
        <v>24</v>
      </c>
      <c r="E1285" t="s">
        <v>31</v>
      </c>
      <c r="F1285" t="s">
        <v>26</v>
      </c>
      <c r="G1285" t="s">
        <v>27</v>
      </c>
    </row>
    <row r="1286" spans="1:7" x14ac:dyDescent="0.2">
      <c r="A1286">
        <v>22</v>
      </c>
      <c r="B1286">
        <v>38</v>
      </c>
      <c r="C1286" t="s">
        <v>831</v>
      </c>
      <c r="D1286" t="s">
        <v>30</v>
      </c>
      <c r="E1286" t="s">
        <v>31</v>
      </c>
      <c r="F1286" t="s">
        <v>26</v>
      </c>
      <c r="G1286" t="s">
        <v>27</v>
      </c>
    </row>
    <row r="1287" spans="1:7" x14ac:dyDescent="0.2">
      <c r="A1287">
        <v>22</v>
      </c>
      <c r="B1287">
        <v>38</v>
      </c>
      <c r="C1287" t="s">
        <v>880</v>
      </c>
      <c r="D1287" t="s">
        <v>24</v>
      </c>
      <c r="E1287" t="s">
        <v>31</v>
      </c>
      <c r="F1287" t="s">
        <v>26</v>
      </c>
      <c r="G1287" t="s">
        <v>27</v>
      </c>
    </row>
    <row r="1288" spans="1:7" x14ac:dyDescent="0.2">
      <c r="A1288">
        <v>22</v>
      </c>
      <c r="B1288">
        <v>38</v>
      </c>
      <c r="C1288" t="s">
        <v>881</v>
      </c>
      <c r="D1288" t="s">
        <v>24</v>
      </c>
      <c r="E1288" t="s">
        <v>31</v>
      </c>
      <c r="F1288" t="s">
        <v>26</v>
      </c>
      <c r="G1288" t="s">
        <v>27</v>
      </c>
    </row>
    <row r="1289" spans="1:7" x14ac:dyDescent="0.2">
      <c r="A1289">
        <v>22</v>
      </c>
      <c r="B1289">
        <v>38</v>
      </c>
      <c r="C1289" t="s">
        <v>882</v>
      </c>
      <c r="D1289" t="s">
        <v>24</v>
      </c>
      <c r="E1289" t="s">
        <v>31</v>
      </c>
      <c r="F1289" t="s">
        <v>26</v>
      </c>
      <c r="G1289" t="s">
        <v>27</v>
      </c>
    </row>
    <row r="1290" spans="1:7" x14ac:dyDescent="0.2">
      <c r="A1290">
        <v>22</v>
      </c>
      <c r="B1290">
        <v>38</v>
      </c>
      <c r="C1290" t="s">
        <v>883</v>
      </c>
      <c r="D1290" t="s">
        <v>24</v>
      </c>
      <c r="E1290" t="s">
        <v>31</v>
      </c>
      <c r="F1290" t="s">
        <v>26</v>
      </c>
      <c r="G1290" t="s">
        <v>27</v>
      </c>
    </row>
    <row r="1291" spans="1:7" x14ac:dyDescent="0.2">
      <c r="A1291">
        <v>22</v>
      </c>
      <c r="B1291">
        <v>38</v>
      </c>
      <c r="C1291" t="s">
        <v>884</v>
      </c>
      <c r="D1291" t="s">
        <v>24</v>
      </c>
      <c r="E1291" t="s">
        <v>31</v>
      </c>
      <c r="F1291" t="s">
        <v>26</v>
      </c>
      <c r="G1291" t="s">
        <v>27</v>
      </c>
    </row>
    <row r="1292" spans="1:7" x14ac:dyDescent="0.2">
      <c r="A1292">
        <v>22</v>
      </c>
      <c r="B1292">
        <v>38</v>
      </c>
      <c r="C1292" t="s">
        <v>885</v>
      </c>
      <c r="D1292" t="s">
        <v>24</v>
      </c>
      <c r="E1292" t="s">
        <v>31</v>
      </c>
      <c r="F1292" t="s">
        <v>26</v>
      </c>
      <c r="G1292" t="s">
        <v>27</v>
      </c>
    </row>
    <row r="1293" spans="1:7" x14ac:dyDescent="0.2">
      <c r="A1293">
        <v>23</v>
      </c>
      <c r="B1293">
        <v>38</v>
      </c>
      <c r="C1293" t="s">
        <v>875</v>
      </c>
      <c r="D1293" t="s">
        <v>24</v>
      </c>
      <c r="E1293" t="s">
        <v>31</v>
      </c>
      <c r="F1293" t="s">
        <v>26</v>
      </c>
      <c r="G1293" t="s">
        <v>27</v>
      </c>
    </row>
    <row r="1294" spans="1:7" x14ac:dyDescent="0.2">
      <c r="A1294">
        <v>23</v>
      </c>
      <c r="B1294">
        <v>38</v>
      </c>
      <c r="C1294" t="s">
        <v>880</v>
      </c>
      <c r="D1294" t="s">
        <v>24</v>
      </c>
      <c r="E1294" t="s">
        <v>31</v>
      </c>
      <c r="F1294" t="s">
        <v>26</v>
      </c>
      <c r="G1294" t="s">
        <v>27</v>
      </c>
    </row>
    <row r="1295" spans="1:7" x14ac:dyDescent="0.2">
      <c r="A1295">
        <v>23</v>
      </c>
      <c r="B1295">
        <v>38</v>
      </c>
      <c r="C1295" t="s">
        <v>831</v>
      </c>
      <c r="D1295" t="s">
        <v>30</v>
      </c>
      <c r="E1295" t="s">
        <v>31</v>
      </c>
      <c r="F1295" t="s">
        <v>26</v>
      </c>
      <c r="G1295" t="s">
        <v>27</v>
      </c>
    </row>
    <row r="1296" spans="1:7" x14ac:dyDescent="0.2">
      <c r="A1296">
        <v>23</v>
      </c>
      <c r="B1296">
        <v>38</v>
      </c>
      <c r="C1296" t="s">
        <v>881</v>
      </c>
      <c r="D1296" t="s">
        <v>24</v>
      </c>
      <c r="E1296" t="s">
        <v>31</v>
      </c>
      <c r="F1296" t="s">
        <v>26</v>
      </c>
      <c r="G1296" t="s">
        <v>27</v>
      </c>
    </row>
    <row r="1297" spans="1:7" x14ac:dyDescent="0.2">
      <c r="A1297">
        <v>23</v>
      </c>
      <c r="B1297">
        <v>38</v>
      </c>
      <c r="C1297" t="s">
        <v>886</v>
      </c>
      <c r="D1297" t="s">
        <v>24</v>
      </c>
      <c r="E1297" t="s">
        <v>31</v>
      </c>
      <c r="F1297" t="s">
        <v>26</v>
      </c>
      <c r="G1297" t="s">
        <v>27</v>
      </c>
    </row>
    <row r="1298" spans="1:7" x14ac:dyDescent="0.2">
      <c r="A1298">
        <v>7</v>
      </c>
      <c r="B1298">
        <v>39</v>
      </c>
      <c r="C1298" t="s">
        <v>887</v>
      </c>
      <c r="D1298" t="s">
        <v>24</v>
      </c>
      <c r="E1298" t="s">
        <v>25</v>
      </c>
      <c r="F1298" t="s">
        <v>26</v>
      </c>
      <c r="G1298" t="s">
        <v>27</v>
      </c>
    </row>
    <row r="1299" spans="1:7" x14ac:dyDescent="0.2">
      <c r="A1299">
        <v>7</v>
      </c>
      <c r="B1299">
        <v>39</v>
      </c>
      <c r="C1299" t="s">
        <v>888</v>
      </c>
      <c r="D1299" t="s">
        <v>24</v>
      </c>
      <c r="E1299" t="s">
        <v>25</v>
      </c>
      <c r="F1299" t="s">
        <v>26</v>
      </c>
      <c r="G1299" t="s">
        <v>27</v>
      </c>
    </row>
    <row r="1300" spans="1:7" x14ac:dyDescent="0.2">
      <c r="A1300">
        <v>7</v>
      </c>
      <c r="B1300">
        <v>39</v>
      </c>
      <c r="C1300" t="s">
        <v>889</v>
      </c>
      <c r="D1300" t="s">
        <v>24</v>
      </c>
      <c r="E1300" t="s">
        <v>25</v>
      </c>
      <c r="F1300" t="s">
        <v>26</v>
      </c>
      <c r="G1300" t="s">
        <v>27</v>
      </c>
    </row>
    <row r="1301" spans="1:7" x14ac:dyDescent="0.2">
      <c r="A1301">
        <v>7</v>
      </c>
      <c r="B1301">
        <v>39</v>
      </c>
      <c r="C1301" t="s">
        <v>890</v>
      </c>
      <c r="D1301" t="s">
        <v>24</v>
      </c>
      <c r="E1301" t="s">
        <v>25</v>
      </c>
      <c r="F1301" t="s">
        <v>26</v>
      </c>
      <c r="G1301" t="s">
        <v>27</v>
      </c>
    </row>
    <row r="1302" spans="1:7" x14ac:dyDescent="0.2">
      <c r="A1302">
        <v>7</v>
      </c>
      <c r="B1302">
        <v>39</v>
      </c>
      <c r="C1302" t="s">
        <v>891</v>
      </c>
      <c r="D1302" t="s">
        <v>24</v>
      </c>
      <c r="E1302" t="s">
        <v>25</v>
      </c>
      <c r="F1302" t="s">
        <v>26</v>
      </c>
      <c r="G1302" t="s">
        <v>27</v>
      </c>
    </row>
    <row r="1303" spans="1:7" x14ac:dyDescent="0.2">
      <c r="A1303">
        <v>7</v>
      </c>
      <c r="B1303">
        <v>39</v>
      </c>
      <c r="C1303" t="s">
        <v>892</v>
      </c>
      <c r="D1303" t="s">
        <v>24</v>
      </c>
      <c r="E1303" t="s">
        <v>25</v>
      </c>
      <c r="F1303" t="s">
        <v>26</v>
      </c>
      <c r="G1303" t="s">
        <v>27</v>
      </c>
    </row>
    <row r="1304" spans="1:7" x14ac:dyDescent="0.2">
      <c r="A1304">
        <v>7</v>
      </c>
      <c r="B1304">
        <v>39</v>
      </c>
      <c r="C1304" t="s">
        <v>893</v>
      </c>
      <c r="D1304" t="s">
        <v>24</v>
      </c>
      <c r="E1304" t="s">
        <v>25</v>
      </c>
      <c r="F1304" t="s">
        <v>26</v>
      </c>
      <c r="G1304" t="s">
        <v>27</v>
      </c>
    </row>
    <row r="1305" spans="1:7" x14ac:dyDescent="0.2">
      <c r="A1305">
        <v>8</v>
      </c>
      <c r="B1305">
        <v>39</v>
      </c>
      <c r="C1305" t="s">
        <v>894</v>
      </c>
      <c r="D1305" t="s">
        <v>24</v>
      </c>
      <c r="E1305" t="s">
        <v>31</v>
      </c>
      <c r="F1305" t="s">
        <v>26</v>
      </c>
      <c r="G1305" t="s">
        <v>27</v>
      </c>
    </row>
    <row r="1306" spans="1:7" x14ac:dyDescent="0.2">
      <c r="A1306">
        <v>8</v>
      </c>
      <c r="B1306">
        <v>39</v>
      </c>
      <c r="C1306" t="s">
        <v>895</v>
      </c>
      <c r="D1306" t="s">
        <v>24</v>
      </c>
      <c r="E1306" t="s">
        <v>31</v>
      </c>
      <c r="F1306" t="s">
        <v>26</v>
      </c>
      <c r="G1306" t="s">
        <v>27</v>
      </c>
    </row>
    <row r="1307" spans="1:7" x14ac:dyDescent="0.2">
      <c r="A1307">
        <v>8</v>
      </c>
      <c r="B1307">
        <v>39</v>
      </c>
      <c r="C1307" t="s">
        <v>896</v>
      </c>
      <c r="D1307" t="s">
        <v>24</v>
      </c>
      <c r="E1307" t="s">
        <v>31</v>
      </c>
      <c r="F1307" t="s">
        <v>26</v>
      </c>
      <c r="G1307" t="s">
        <v>27</v>
      </c>
    </row>
    <row r="1308" spans="1:7" x14ac:dyDescent="0.2">
      <c r="A1308">
        <v>8</v>
      </c>
      <c r="B1308">
        <v>39</v>
      </c>
      <c r="C1308" t="s">
        <v>868</v>
      </c>
      <c r="D1308" t="s">
        <v>30</v>
      </c>
      <c r="E1308" t="s">
        <v>31</v>
      </c>
      <c r="F1308" t="s">
        <v>26</v>
      </c>
      <c r="G1308" t="s">
        <v>27</v>
      </c>
    </row>
    <row r="1309" spans="1:7" x14ac:dyDescent="0.2">
      <c r="A1309">
        <v>8</v>
      </c>
      <c r="B1309">
        <v>39</v>
      </c>
      <c r="C1309" t="s">
        <v>897</v>
      </c>
      <c r="D1309" t="s">
        <v>24</v>
      </c>
      <c r="E1309" t="s">
        <v>31</v>
      </c>
      <c r="F1309" t="s">
        <v>26</v>
      </c>
      <c r="G1309" t="s">
        <v>27</v>
      </c>
    </row>
    <row r="1310" spans="1:7" x14ac:dyDescent="0.2">
      <c r="A1310">
        <v>8</v>
      </c>
      <c r="B1310">
        <v>39</v>
      </c>
      <c r="C1310" t="s">
        <v>898</v>
      </c>
      <c r="D1310" t="s">
        <v>24</v>
      </c>
      <c r="E1310" t="s">
        <v>31</v>
      </c>
      <c r="F1310" t="s">
        <v>26</v>
      </c>
      <c r="G1310" t="s">
        <v>27</v>
      </c>
    </row>
    <row r="1311" spans="1:7" x14ac:dyDescent="0.2">
      <c r="A1311">
        <v>8</v>
      </c>
      <c r="B1311">
        <v>39</v>
      </c>
      <c r="C1311" t="s">
        <v>899</v>
      </c>
      <c r="D1311" t="s">
        <v>24</v>
      </c>
      <c r="E1311" t="s">
        <v>31</v>
      </c>
      <c r="F1311" t="s">
        <v>26</v>
      </c>
      <c r="G1311" t="s">
        <v>27</v>
      </c>
    </row>
    <row r="1312" spans="1:7" x14ac:dyDescent="0.2">
      <c r="A1312">
        <v>8</v>
      </c>
      <c r="B1312">
        <v>39</v>
      </c>
      <c r="C1312" t="s">
        <v>900</v>
      </c>
      <c r="D1312" t="s">
        <v>30</v>
      </c>
      <c r="E1312" t="s">
        <v>31</v>
      </c>
      <c r="F1312" t="s">
        <v>87</v>
      </c>
      <c r="G1312" t="s">
        <v>27</v>
      </c>
    </row>
    <row r="1313" spans="1:7" x14ac:dyDescent="0.2">
      <c r="A1313">
        <v>8</v>
      </c>
      <c r="B1313">
        <v>39</v>
      </c>
      <c r="C1313" t="s">
        <v>901</v>
      </c>
      <c r="D1313" t="s">
        <v>30</v>
      </c>
      <c r="E1313" t="s">
        <v>31</v>
      </c>
      <c r="F1313" t="s">
        <v>26</v>
      </c>
      <c r="G1313" t="s">
        <v>27</v>
      </c>
    </row>
    <row r="1314" spans="1:7" x14ac:dyDescent="0.2">
      <c r="A1314">
        <v>9</v>
      </c>
      <c r="B1314">
        <v>39</v>
      </c>
      <c r="C1314" t="s">
        <v>902</v>
      </c>
      <c r="D1314" t="s">
        <v>24</v>
      </c>
      <c r="E1314" t="s">
        <v>31</v>
      </c>
      <c r="F1314" t="s">
        <v>47</v>
      </c>
      <c r="G1314" t="s">
        <v>27</v>
      </c>
    </row>
    <row r="1315" spans="1:7" x14ac:dyDescent="0.2">
      <c r="A1315">
        <v>9</v>
      </c>
      <c r="B1315">
        <v>39</v>
      </c>
      <c r="C1315" t="s">
        <v>903</v>
      </c>
      <c r="D1315" t="s">
        <v>24</v>
      </c>
      <c r="E1315" t="s">
        <v>25</v>
      </c>
      <c r="F1315" t="s">
        <v>26</v>
      </c>
      <c r="G1315" t="s">
        <v>27</v>
      </c>
    </row>
    <row r="1316" spans="1:7" x14ac:dyDescent="0.2">
      <c r="A1316">
        <v>9</v>
      </c>
      <c r="B1316">
        <v>39</v>
      </c>
      <c r="C1316" t="s">
        <v>904</v>
      </c>
      <c r="D1316" t="s">
        <v>30</v>
      </c>
      <c r="E1316" t="s">
        <v>25</v>
      </c>
      <c r="F1316" t="s">
        <v>26</v>
      </c>
      <c r="G1316" t="s">
        <v>27</v>
      </c>
    </row>
    <row r="1317" spans="1:7" x14ac:dyDescent="0.2">
      <c r="A1317">
        <v>9</v>
      </c>
      <c r="B1317">
        <v>39</v>
      </c>
      <c r="C1317" t="s">
        <v>905</v>
      </c>
      <c r="D1317" t="s">
        <v>24</v>
      </c>
      <c r="E1317" t="s">
        <v>25</v>
      </c>
      <c r="F1317" t="s">
        <v>26</v>
      </c>
      <c r="G1317" t="s">
        <v>27</v>
      </c>
    </row>
    <row r="1318" spans="1:7" x14ac:dyDescent="0.2">
      <c r="A1318">
        <v>9</v>
      </c>
      <c r="B1318">
        <v>39</v>
      </c>
      <c r="C1318" t="s">
        <v>899</v>
      </c>
      <c r="D1318" t="s">
        <v>24</v>
      </c>
      <c r="E1318" t="s">
        <v>25</v>
      </c>
      <c r="F1318" t="s">
        <v>26</v>
      </c>
      <c r="G1318" t="s">
        <v>27</v>
      </c>
    </row>
    <row r="1319" spans="1:7" x14ac:dyDescent="0.2">
      <c r="A1319">
        <v>9</v>
      </c>
      <c r="B1319">
        <v>39</v>
      </c>
      <c r="C1319" t="s">
        <v>906</v>
      </c>
      <c r="D1319" t="s">
        <v>24</v>
      </c>
      <c r="E1319" t="s">
        <v>25</v>
      </c>
      <c r="F1319" t="s">
        <v>26</v>
      </c>
      <c r="G1319" t="s">
        <v>27</v>
      </c>
    </row>
    <row r="1320" spans="1:7" x14ac:dyDescent="0.2">
      <c r="A1320">
        <v>9</v>
      </c>
      <c r="B1320">
        <v>39</v>
      </c>
      <c r="C1320" t="s">
        <v>907</v>
      </c>
      <c r="D1320" t="s">
        <v>24</v>
      </c>
      <c r="E1320" t="s">
        <v>31</v>
      </c>
      <c r="F1320" t="s">
        <v>26</v>
      </c>
      <c r="G1320" t="s">
        <v>27</v>
      </c>
    </row>
    <row r="1321" spans="1:7" x14ac:dyDescent="0.2">
      <c r="A1321">
        <v>9</v>
      </c>
      <c r="B1321">
        <v>39</v>
      </c>
      <c r="C1321" t="s">
        <v>908</v>
      </c>
      <c r="D1321" t="s">
        <v>24</v>
      </c>
      <c r="E1321" t="s">
        <v>31</v>
      </c>
      <c r="F1321" t="s">
        <v>26</v>
      </c>
      <c r="G1321" t="s">
        <v>27</v>
      </c>
    </row>
    <row r="1322" spans="1:7" x14ac:dyDescent="0.2">
      <c r="A1322">
        <v>10</v>
      </c>
      <c r="B1322">
        <v>39</v>
      </c>
      <c r="C1322" t="s">
        <v>910</v>
      </c>
      <c r="D1322" t="s">
        <v>24</v>
      </c>
      <c r="E1322" t="s">
        <v>25</v>
      </c>
      <c r="F1322" t="s">
        <v>26</v>
      </c>
      <c r="G1322" t="s">
        <v>27</v>
      </c>
    </row>
    <row r="1323" spans="1:7" x14ac:dyDescent="0.2">
      <c r="A1323">
        <v>10</v>
      </c>
      <c r="B1323">
        <v>39</v>
      </c>
      <c r="C1323" t="s">
        <v>911</v>
      </c>
      <c r="D1323" t="s">
        <v>24</v>
      </c>
      <c r="E1323" t="s">
        <v>25</v>
      </c>
      <c r="F1323" t="s">
        <v>26</v>
      </c>
      <c r="G1323" t="s">
        <v>27</v>
      </c>
    </row>
    <row r="1324" spans="1:7" x14ac:dyDescent="0.2">
      <c r="A1324">
        <v>10</v>
      </c>
      <c r="B1324">
        <v>39</v>
      </c>
      <c r="C1324" t="s">
        <v>912</v>
      </c>
      <c r="D1324" t="s">
        <v>24</v>
      </c>
      <c r="E1324" t="s">
        <v>25</v>
      </c>
      <c r="F1324" t="s">
        <v>26</v>
      </c>
      <c r="G1324" t="s">
        <v>27</v>
      </c>
    </row>
    <row r="1325" spans="1:7" x14ac:dyDescent="0.2">
      <c r="A1325">
        <v>10</v>
      </c>
      <c r="B1325">
        <v>39</v>
      </c>
      <c r="C1325" t="s">
        <v>893</v>
      </c>
      <c r="D1325" t="s">
        <v>24</v>
      </c>
      <c r="E1325" t="s">
        <v>25</v>
      </c>
      <c r="F1325" t="s">
        <v>26</v>
      </c>
      <c r="G1325" t="s">
        <v>27</v>
      </c>
    </row>
    <row r="1326" spans="1:7" x14ac:dyDescent="0.2">
      <c r="A1326">
        <v>10</v>
      </c>
      <c r="B1326">
        <v>39</v>
      </c>
      <c r="C1326" t="s">
        <v>913</v>
      </c>
      <c r="D1326" t="s">
        <v>24</v>
      </c>
      <c r="E1326" t="s">
        <v>25</v>
      </c>
      <c r="F1326" t="s">
        <v>26</v>
      </c>
      <c r="G1326" t="s">
        <v>27</v>
      </c>
    </row>
    <row r="1327" spans="1:7" x14ac:dyDescent="0.2">
      <c r="A1327">
        <v>10</v>
      </c>
      <c r="B1327">
        <v>39</v>
      </c>
      <c r="C1327" t="s">
        <v>914</v>
      </c>
      <c r="D1327" t="s">
        <v>24</v>
      </c>
      <c r="E1327" t="s">
        <v>25</v>
      </c>
      <c r="F1327" t="s">
        <v>26</v>
      </c>
      <c r="G1327" t="s">
        <v>27</v>
      </c>
    </row>
    <row r="1328" spans="1:7" x14ac:dyDescent="0.2">
      <c r="A1328">
        <v>10</v>
      </c>
      <c r="B1328">
        <v>39</v>
      </c>
      <c r="C1328" t="s">
        <v>915</v>
      </c>
      <c r="D1328" t="s">
        <v>24</v>
      </c>
      <c r="E1328" t="s">
        <v>25</v>
      </c>
      <c r="F1328" t="s">
        <v>26</v>
      </c>
      <c r="G1328" t="s">
        <v>27</v>
      </c>
    </row>
    <row r="1329" spans="1:7" x14ac:dyDescent="0.2">
      <c r="A1329">
        <v>10</v>
      </c>
      <c r="B1329">
        <v>39</v>
      </c>
      <c r="C1329" t="s">
        <v>889</v>
      </c>
      <c r="D1329" t="s">
        <v>30</v>
      </c>
      <c r="E1329" t="s">
        <v>25</v>
      </c>
      <c r="F1329" t="s">
        <v>26</v>
      </c>
      <c r="G1329" t="s">
        <v>27</v>
      </c>
    </row>
    <row r="1330" spans="1:7" x14ac:dyDescent="0.2">
      <c r="A1330">
        <v>10</v>
      </c>
      <c r="B1330">
        <v>39</v>
      </c>
      <c r="C1330" t="s">
        <v>888</v>
      </c>
      <c r="D1330" t="s">
        <v>24</v>
      </c>
      <c r="E1330" t="s">
        <v>25</v>
      </c>
      <c r="F1330" t="s">
        <v>26</v>
      </c>
      <c r="G1330" t="s">
        <v>27</v>
      </c>
    </row>
    <row r="1331" spans="1:7" x14ac:dyDescent="0.2">
      <c r="A1331">
        <v>10</v>
      </c>
      <c r="B1331">
        <v>39</v>
      </c>
      <c r="C1331" t="s">
        <v>887</v>
      </c>
      <c r="D1331" t="s">
        <v>24</v>
      </c>
      <c r="E1331" t="s">
        <v>25</v>
      </c>
      <c r="F1331" t="s">
        <v>26</v>
      </c>
      <c r="G1331" t="s">
        <v>27</v>
      </c>
    </row>
    <row r="1332" spans="1:7" x14ac:dyDescent="0.2">
      <c r="A1332">
        <v>10</v>
      </c>
      <c r="B1332">
        <v>39</v>
      </c>
      <c r="C1332" t="s">
        <v>916</v>
      </c>
      <c r="D1332" t="s">
        <v>24</v>
      </c>
      <c r="E1332" t="s">
        <v>25</v>
      </c>
      <c r="F1332" t="s">
        <v>26</v>
      </c>
      <c r="G1332" t="s">
        <v>27</v>
      </c>
    </row>
    <row r="1333" spans="1:7" x14ac:dyDescent="0.2">
      <c r="A1333">
        <v>10</v>
      </c>
      <c r="B1333">
        <v>39</v>
      </c>
      <c r="C1333" t="s">
        <v>917</v>
      </c>
      <c r="D1333" t="s">
        <v>24</v>
      </c>
      <c r="E1333" t="s">
        <v>25</v>
      </c>
      <c r="F1333" t="s">
        <v>26</v>
      </c>
      <c r="G1333" t="s">
        <v>27</v>
      </c>
    </row>
    <row r="1334" spans="1:7" x14ac:dyDescent="0.2">
      <c r="A1334">
        <v>10</v>
      </c>
      <c r="B1334">
        <v>39</v>
      </c>
      <c r="C1334" t="s">
        <v>918</v>
      </c>
      <c r="D1334" t="s">
        <v>24</v>
      </c>
      <c r="E1334" t="s">
        <v>25</v>
      </c>
      <c r="F1334" t="s">
        <v>26</v>
      </c>
      <c r="G1334" t="s">
        <v>27</v>
      </c>
    </row>
    <row r="1335" spans="1:7" x14ac:dyDescent="0.2">
      <c r="A1335">
        <v>11</v>
      </c>
      <c r="B1335">
        <v>39</v>
      </c>
      <c r="C1335" t="s">
        <v>919</v>
      </c>
      <c r="D1335" t="s">
        <v>24</v>
      </c>
      <c r="E1335" t="s">
        <v>31</v>
      </c>
      <c r="F1335" t="s">
        <v>26</v>
      </c>
      <c r="G1335" t="s">
        <v>27</v>
      </c>
    </row>
    <row r="1336" spans="1:7" x14ac:dyDescent="0.2">
      <c r="A1336">
        <v>11</v>
      </c>
      <c r="B1336">
        <v>39</v>
      </c>
      <c r="C1336" t="s">
        <v>868</v>
      </c>
      <c r="D1336" t="s">
        <v>30</v>
      </c>
      <c r="E1336" t="s">
        <v>31</v>
      </c>
      <c r="F1336" t="s">
        <v>26</v>
      </c>
      <c r="G1336" t="s">
        <v>27</v>
      </c>
    </row>
    <row r="1337" spans="1:7" x14ac:dyDescent="0.2">
      <c r="A1337">
        <v>11</v>
      </c>
      <c r="B1337">
        <v>39</v>
      </c>
      <c r="C1337" t="s">
        <v>920</v>
      </c>
      <c r="D1337" t="s">
        <v>24</v>
      </c>
      <c r="E1337" t="s">
        <v>31</v>
      </c>
      <c r="F1337" t="s">
        <v>26</v>
      </c>
      <c r="G1337" t="s">
        <v>27</v>
      </c>
    </row>
    <row r="1338" spans="1:7" x14ac:dyDescent="0.2">
      <c r="A1338">
        <v>11</v>
      </c>
      <c r="B1338">
        <v>39</v>
      </c>
      <c r="C1338" t="s">
        <v>921</v>
      </c>
      <c r="D1338" t="s">
        <v>24</v>
      </c>
      <c r="E1338" t="s">
        <v>31</v>
      </c>
      <c r="F1338" t="s">
        <v>26</v>
      </c>
      <c r="G1338" t="s">
        <v>27</v>
      </c>
    </row>
    <row r="1339" spans="1:7" x14ac:dyDescent="0.2">
      <c r="A1339">
        <v>11</v>
      </c>
      <c r="B1339">
        <v>39</v>
      </c>
      <c r="C1339" t="s">
        <v>922</v>
      </c>
      <c r="D1339" t="s">
        <v>24</v>
      </c>
      <c r="E1339" t="s">
        <v>31</v>
      </c>
      <c r="F1339" t="s">
        <v>26</v>
      </c>
      <c r="G1339" t="s">
        <v>27</v>
      </c>
    </row>
    <row r="1340" spans="1:7" x14ac:dyDescent="0.2">
      <c r="A1340">
        <v>11</v>
      </c>
      <c r="B1340">
        <v>39</v>
      </c>
      <c r="C1340" t="s">
        <v>923</v>
      </c>
      <c r="D1340" t="s">
        <v>24</v>
      </c>
      <c r="E1340" t="s">
        <v>31</v>
      </c>
      <c r="F1340" t="s">
        <v>26</v>
      </c>
      <c r="G1340" t="s">
        <v>27</v>
      </c>
    </row>
    <row r="1341" spans="1:7" x14ac:dyDescent="0.2">
      <c r="A1341">
        <v>11</v>
      </c>
      <c r="B1341">
        <v>39</v>
      </c>
      <c r="C1341" t="s">
        <v>924</v>
      </c>
      <c r="D1341" t="s">
        <v>24</v>
      </c>
      <c r="E1341" t="s">
        <v>31</v>
      </c>
      <c r="F1341" t="s">
        <v>26</v>
      </c>
      <c r="G1341" t="s">
        <v>27</v>
      </c>
    </row>
    <row r="1342" spans="1:7" x14ac:dyDescent="0.2">
      <c r="A1342">
        <v>11</v>
      </c>
      <c r="B1342">
        <v>39</v>
      </c>
      <c r="C1342" t="s">
        <v>925</v>
      </c>
      <c r="D1342" t="s">
        <v>24</v>
      </c>
      <c r="E1342" t="s">
        <v>31</v>
      </c>
      <c r="F1342" t="s">
        <v>47</v>
      </c>
      <c r="G1342" t="s">
        <v>27</v>
      </c>
    </row>
    <row r="1343" spans="1:7" x14ac:dyDescent="0.2">
      <c r="A1343">
        <v>11</v>
      </c>
      <c r="B1343">
        <v>39</v>
      </c>
      <c r="C1343" t="s">
        <v>926</v>
      </c>
      <c r="D1343" t="s">
        <v>24</v>
      </c>
      <c r="E1343" t="s">
        <v>31</v>
      </c>
      <c r="F1343" t="s">
        <v>47</v>
      </c>
      <c r="G1343" t="s">
        <v>27</v>
      </c>
    </row>
    <row r="1344" spans="1:7" x14ac:dyDescent="0.2">
      <c r="A1344">
        <v>12</v>
      </c>
      <c r="B1344">
        <v>39</v>
      </c>
      <c r="C1344" t="s">
        <v>903</v>
      </c>
      <c r="D1344" t="s">
        <v>24</v>
      </c>
      <c r="E1344" t="s">
        <v>256</v>
      </c>
      <c r="F1344" t="s">
        <v>87</v>
      </c>
      <c r="G1344" t="s">
        <v>27</v>
      </c>
    </row>
    <row r="1345" spans="1:7" x14ac:dyDescent="0.2">
      <c r="A1345">
        <v>12</v>
      </c>
      <c r="B1345">
        <v>39</v>
      </c>
      <c r="C1345" t="s">
        <v>905</v>
      </c>
      <c r="D1345" t="s">
        <v>24</v>
      </c>
      <c r="E1345" t="s">
        <v>256</v>
      </c>
      <c r="F1345" t="s">
        <v>87</v>
      </c>
      <c r="G1345" t="s">
        <v>27</v>
      </c>
    </row>
    <row r="1346" spans="1:7" x14ac:dyDescent="0.2">
      <c r="A1346">
        <v>12</v>
      </c>
      <c r="B1346">
        <v>39</v>
      </c>
      <c r="C1346" t="s">
        <v>927</v>
      </c>
      <c r="D1346" t="s">
        <v>24</v>
      </c>
      <c r="E1346" t="s">
        <v>256</v>
      </c>
      <c r="F1346" t="s">
        <v>87</v>
      </c>
      <c r="G1346" t="s">
        <v>27</v>
      </c>
    </row>
    <row r="1347" spans="1:7" x14ac:dyDescent="0.2">
      <c r="A1347">
        <v>12</v>
      </c>
      <c r="B1347">
        <v>39</v>
      </c>
      <c r="C1347" t="s">
        <v>928</v>
      </c>
      <c r="D1347" t="s">
        <v>24</v>
      </c>
      <c r="E1347" t="s">
        <v>256</v>
      </c>
      <c r="F1347" t="s">
        <v>87</v>
      </c>
      <c r="G1347" t="s">
        <v>27</v>
      </c>
    </row>
    <row r="1348" spans="1:7" x14ac:dyDescent="0.2">
      <c r="A1348">
        <v>13</v>
      </c>
      <c r="B1348">
        <v>39</v>
      </c>
      <c r="C1348" t="s">
        <v>929</v>
      </c>
      <c r="D1348" t="s">
        <v>24</v>
      </c>
      <c r="E1348" t="s">
        <v>25</v>
      </c>
      <c r="F1348" t="s">
        <v>26</v>
      </c>
      <c r="G1348" t="s">
        <v>27</v>
      </c>
    </row>
    <row r="1349" spans="1:7" x14ac:dyDescent="0.2">
      <c r="A1349">
        <v>13</v>
      </c>
      <c r="B1349">
        <v>39</v>
      </c>
      <c r="C1349" t="s">
        <v>930</v>
      </c>
      <c r="D1349" t="s">
        <v>24</v>
      </c>
      <c r="E1349" t="s">
        <v>25</v>
      </c>
      <c r="F1349" t="s">
        <v>26</v>
      </c>
      <c r="G1349" t="s">
        <v>27</v>
      </c>
    </row>
    <row r="1350" spans="1:7" x14ac:dyDescent="0.2">
      <c r="A1350">
        <v>13</v>
      </c>
      <c r="B1350">
        <v>39</v>
      </c>
      <c r="C1350" t="s">
        <v>931</v>
      </c>
      <c r="D1350" t="s">
        <v>24</v>
      </c>
      <c r="E1350" t="s">
        <v>25</v>
      </c>
      <c r="F1350" t="s">
        <v>26</v>
      </c>
      <c r="G1350" t="s">
        <v>27</v>
      </c>
    </row>
    <row r="1351" spans="1:7" x14ac:dyDescent="0.2">
      <c r="A1351">
        <v>13</v>
      </c>
      <c r="B1351">
        <v>39</v>
      </c>
      <c r="C1351" t="s">
        <v>932</v>
      </c>
      <c r="D1351" t="s">
        <v>24</v>
      </c>
      <c r="E1351" t="s">
        <v>25</v>
      </c>
      <c r="F1351" t="s">
        <v>26</v>
      </c>
      <c r="G1351" t="s">
        <v>27</v>
      </c>
    </row>
    <row r="1352" spans="1:7" x14ac:dyDescent="0.2">
      <c r="A1352">
        <v>13</v>
      </c>
      <c r="B1352">
        <v>39</v>
      </c>
      <c r="C1352" t="s">
        <v>898</v>
      </c>
      <c r="D1352" t="s">
        <v>24</v>
      </c>
      <c r="E1352" t="s">
        <v>25</v>
      </c>
      <c r="F1352" t="s">
        <v>26</v>
      </c>
      <c r="G1352" t="s">
        <v>27</v>
      </c>
    </row>
    <row r="1353" spans="1:7" x14ac:dyDescent="0.2">
      <c r="A1353">
        <v>13</v>
      </c>
      <c r="B1353">
        <v>39</v>
      </c>
      <c r="C1353" t="s">
        <v>926</v>
      </c>
      <c r="D1353" t="s">
        <v>24</v>
      </c>
      <c r="E1353" t="s">
        <v>25</v>
      </c>
      <c r="F1353" t="s">
        <v>26</v>
      </c>
      <c r="G1353" t="s">
        <v>27</v>
      </c>
    </row>
    <row r="1354" spans="1:7" x14ac:dyDescent="0.2">
      <c r="A1354">
        <v>13</v>
      </c>
      <c r="B1354">
        <v>39</v>
      </c>
      <c r="C1354" t="s">
        <v>903</v>
      </c>
      <c r="D1354" t="s">
        <v>24</v>
      </c>
      <c r="E1354" t="s">
        <v>25</v>
      </c>
      <c r="F1354" t="s">
        <v>26</v>
      </c>
      <c r="G1354" t="s">
        <v>27</v>
      </c>
    </row>
    <row r="1355" spans="1:7" x14ac:dyDescent="0.2">
      <c r="A1355">
        <v>13</v>
      </c>
      <c r="B1355">
        <v>39</v>
      </c>
      <c r="C1355" t="s">
        <v>905</v>
      </c>
      <c r="D1355" t="s">
        <v>24</v>
      </c>
      <c r="E1355" t="s">
        <v>25</v>
      </c>
      <c r="F1355" t="s">
        <v>26</v>
      </c>
      <c r="G1355" t="s">
        <v>27</v>
      </c>
    </row>
    <row r="1356" spans="1:7" x14ac:dyDescent="0.2">
      <c r="A1356">
        <v>14</v>
      </c>
      <c r="B1356">
        <v>39</v>
      </c>
      <c r="C1356" t="s">
        <v>933</v>
      </c>
      <c r="D1356" t="s">
        <v>24</v>
      </c>
      <c r="E1356" t="s">
        <v>31</v>
      </c>
      <c r="F1356" t="s">
        <v>47</v>
      </c>
      <c r="G1356" t="s">
        <v>27</v>
      </c>
    </row>
    <row r="1357" spans="1:7" x14ac:dyDescent="0.2">
      <c r="A1357">
        <v>14</v>
      </c>
      <c r="B1357">
        <v>39</v>
      </c>
      <c r="C1357" t="s">
        <v>934</v>
      </c>
      <c r="D1357" t="s">
        <v>24</v>
      </c>
      <c r="E1357" t="s">
        <v>31</v>
      </c>
      <c r="F1357" t="s">
        <v>47</v>
      </c>
      <c r="G1357" t="s">
        <v>27</v>
      </c>
    </row>
    <row r="1358" spans="1:7" x14ac:dyDescent="0.2">
      <c r="A1358">
        <v>14</v>
      </c>
      <c r="B1358">
        <v>39</v>
      </c>
      <c r="C1358" t="s">
        <v>935</v>
      </c>
      <c r="D1358" t="s">
        <v>24</v>
      </c>
      <c r="E1358" t="s">
        <v>31</v>
      </c>
      <c r="F1358" t="s">
        <v>47</v>
      </c>
      <c r="G1358" t="s">
        <v>27</v>
      </c>
    </row>
    <row r="1359" spans="1:7" x14ac:dyDescent="0.2">
      <c r="A1359">
        <v>15</v>
      </c>
      <c r="B1359">
        <v>39</v>
      </c>
      <c r="C1359" t="s">
        <v>936</v>
      </c>
      <c r="D1359" t="s">
        <v>24</v>
      </c>
      <c r="E1359" t="s">
        <v>31</v>
      </c>
      <c r="F1359" t="s">
        <v>47</v>
      </c>
      <c r="G1359" t="s">
        <v>27</v>
      </c>
    </row>
    <row r="1360" spans="1:7" x14ac:dyDescent="0.2">
      <c r="A1360">
        <v>15</v>
      </c>
      <c r="B1360">
        <v>39</v>
      </c>
      <c r="C1360" t="s">
        <v>900</v>
      </c>
      <c r="D1360" t="s">
        <v>24</v>
      </c>
      <c r="E1360" t="s">
        <v>31</v>
      </c>
      <c r="F1360" t="s">
        <v>47</v>
      </c>
      <c r="G1360" t="s">
        <v>27</v>
      </c>
    </row>
    <row r="1361" spans="1:7" x14ac:dyDescent="0.2">
      <c r="A1361">
        <v>15</v>
      </c>
      <c r="B1361">
        <v>39</v>
      </c>
      <c r="C1361" t="s">
        <v>919</v>
      </c>
      <c r="D1361" t="s">
        <v>30</v>
      </c>
      <c r="E1361" t="s">
        <v>31</v>
      </c>
      <c r="F1361" t="s">
        <v>47</v>
      </c>
      <c r="G1361" t="s">
        <v>27</v>
      </c>
    </row>
    <row r="1362" spans="1:7" x14ac:dyDescent="0.2">
      <c r="A1362">
        <v>15</v>
      </c>
      <c r="B1362">
        <v>39</v>
      </c>
      <c r="C1362" t="s">
        <v>868</v>
      </c>
      <c r="D1362" t="s">
        <v>24</v>
      </c>
      <c r="E1362" t="s">
        <v>31</v>
      </c>
      <c r="F1362" t="s">
        <v>47</v>
      </c>
      <c r="G1362" t="s">
        <v>27</v>
      </c>
    </row>
    <row r="1363" spans="1:7" x14ac:dyDescent="0.2">
      <c r="A1363">
        <v>15</v>
      </c>
      <c r="B1363">
        <v>39</v>
      </c>
      <c r="C1363" t="s">
        <v>935</v>
      </c>
      <c r="D1363" t="s">
        <v>24</v>
      </c>
      <c r="E1363" t="s">
        <v>31</v>
      </c>
      <c r="F1363" t="s">
        <v>47</v>
      </c>
      <c r="G1363" t="s">
        <v>27</v>
      </c>
    </row>
    <row r="1364" spans="1:7" x14ac:dyDescent="0.2">
      <c r="A1364">
        <v>15</v>
      </c>
      <c r="B1364">
        <v>39</v>
      </c>
      <c r="C1364" t="s">
        <v>920</v>
      </c>
      <c r="D1364" t="s">
        <v>24</v>
      </c>
      <c r="E1364" t="s">
        <v>31</v>
      </c>
      <c r="F1364" t="s">
        <v>47</v>
      </c>
      <c r="G1364" t="s">
        <v>27</v>
      </c>
    </row>
    <row r="1365" spans="1:7" x14ac:dyDescent="0.2">
      <c r="A1365">
        <v>15</v>
      </c>
      <c r="B1365">
        <v>39</v>
      </c>
      <c r="C1365" t="s">
        <v>937</v>
      </c>
      <c r="D1365" t="s">
        <v>24</v>
      </c>
      <c r="E1365" t="s">
        <v>31</v>
      </c>
      <c r="F1365" t="s">
        <v>47</v>
      </c>
      <c r="G1365" t="s">
        <v>27</v>
      </c>
    </row>
    <row r="1366" spans="1:7" x14ac:dyDescent="0.2">
      <c r="A1366">
        <v>16</v>
      </c>
      <c r="B1366">
        <v>39</v>
      </c>
      <c r="C1366" t="s">
        <v>938</v>
      </c>
      <c r="D1366" t="s">
        <v>24</v>
      </c>
      <c r="E1366" t="s">
        <v>31</v>
      </c>
      <c r="F1366" t="s">
        <v>26</v>
      </c>
      <c r="G1366" t="s">
        <v>27</v>
      </c>
    </row>
    <row r="1367" spans="1:7" x14ac:dyDescent="0.2">
      <c r="A1367">
        <v>16</v>
      </c>
      <c r="B1367">
        <v>39</v>
      </c>
      <c r="C1367" t="s">
        <v>922</v>
      </c>
      <c r="D1367" t="s">
        <v>24</v>
      </c>
      <c r="E1367" t="s">
        <v>31</v>
      </c>
      <c r="F1367" t="s">
        <v>26</v>
      </c>
      <c r="G1367" t="s">
        <v>27</v>
      </c>
    </row>
    <row r="1368" spans="1:7" x14ac:dyDescent="0.2">
      <c r="A1368">
        <v>16</v>
      </c>
      <c r="B1368">
        <v>39</v>
      </c>
      <c r="C1368" t="s">
        <v>939</v>
      </c>
      <c r="D1368" t="s">
        <v>24</v>
      </c>
      <c r="E1368" t="s">
        <v>31</v>
      </c>
      <c r="F1368" t="s">
        <v>26</v>
      </c>
      <c r="G1368" t="s">
        <v>27</v>
      </c>
    </row>
    <row r="1369" spans="1:7" x14ac:dyDescent="0.2">
      <c r="A1369">
        <v>17</v>
      </c>
      <c r="B1369">
        <v>39</v>
      </c>
      <c r="C1369" t="s">
        <v>930</v>
      </c>
      <c r="D1369" t="s">
        <v>24</v>
      </c>
      <c r="E1369" t="s">
        <v>31</v>
      </c>
      <c r="F1369" t="s">
        <v>26</v>
      </c>
      <c r="G1369" t="s">
        <v>27</v>
      </c>
    </row>
    <row r="1370" spans="1:7" x14ac:dyDescent="0.2">
      <c r="A1370">
        <v>17</v>
      </c>
      <c r="B1370">
        <v>39</v>
      </c>
      <c r="C1370" t="s">
        <v>940</v>
      </c>
      <c r="D1370" t="s">
        <v>24</v>
      </c>
      <c r="E1370" t="s">
        <v>31</v>
      </c>
      <c r="F1370" t="s">
        <v>26</v>
      </c>
      <c r="G1370" t="s">
        <v>27</v>
      </c>
    </row>
    <row r="1371" spans="1:7" x14ac:dyDescent="0.2">
      <c r="A1371">
        <v>17</v>
      </c>
      <c r="B1371">
        <v>39</v>
      </c>
      <c r="C1371" t="s">
        <v>941</v>
      </c>
      <c r="D1371" t="s">
        <v>24</v>
      </c>
      <c r="E1371" t="s">
        <v>31</v>
      </c>
      <c r="F1371" t="s">
        <v>26</v>
      </c>
      <c r="G1371" t="s">
        <v>27</v>
      </c>
    </row>
    <row r="1372" spans="1:7" x14ac:dyDescent="0.2">
      <c r="A1372">
        <v>17</v>
      </c>
      <c r="B1372">
        <v>39</v>
      </c>
      <c r="C1372" t="s">
        <v>894</v>
      </c>
      <c r="D1372" t="s">
        <v>24</v>
      </c>
      <c r="E1372" t="s">
        <v>31</v>
      </c>
      <c r="F1372" t="s">
        <v>26</v>
      </c>
      <c r="G1372" t="s">
        <v>27</v>
      </c>
    </row>
    <row r="1373" spans="1:7" x14ac:dyDescent="0.2">
      <c r="A1373">
        <v>17</v>
      </c>
      <c r="B1373">
        <v>39</v>
      </c>
      <c r="C1373" t="s">
        <v>942</v>
      </c>
      <c r="D1373" t="s">
        <v>24</v>
      </c>
      <c r="E1373" t="s">
        <v>31</v>
      </c>
      <c r="F1373" t="s">
        <v>26</v>
      </c>
      <c r="G1373" t="s">
        <v>27</v>
      </c>
    </row>
    <row r="1374" spans="1:7" x14ac:dyDescent="0.2">
      <c r="A1374">
        <v>17</v>
      </c>
      <c r="B1374">
        <v>39</v>
      </c>
      <c r="C1374" t="s">
        <v>943</v>
      </c>
      <c r="D1374" t="s">
        <v>30</v>
      </c>
      <c r="E1374" t="s">
        <v>31</v>
      </c>
      <c r="F1374" t="s">
        <v>26</v>
      </c>
      <c r="G1374" t="s">
        <v>27</v>
      </c>
    </row>
    <row r="1375" spans="1:7" x14ac:dyDescent="0.2">
      <c r="A1375">
        <v>17</v>
      </c>
      <c r="B1375">
        <v>39</v>
      </c>
      <c r="C1375" t="s">
        <v>944</v>
      </c>
      <c r="D1375" t="s">
        <v>24</v>
      </c>
      <c r="E1375" t="s">
        <v>31</v>
      </c>
      <c r="F1375" t="s">
        <v>47</v>
      </c>
      <c r="G1375" t="s">
        <v>27</v>
      </c>
    </row>
    <row r="1376" spans="1:7" x14ac:dyDescent="0.2">
      <c r="A1376">
        <v>18</v>
      </c>
      <c r="B1376">
        <v>39</v>
      </c>
      <c r="C1376" t="s">
        <v>936</v>
      </c>
      <c r="D1376" t="s">
        <v>24</v>
      </c>
      <c r="E1376" t="s">
        <v>31</v>
      </c>
      <c r="F1376" t="s">
        <v>47</v>
      </c>
      <c r="G1376" t="s">
        <v>27</v>
      </c>
    </row>
    <row r="1377" spans="1:7" x14ac:dyDescent="0.2">
      <c r="A1377">
        <v>18</v>
      </c>
      <c r="B1377">
        <v>39</v>
      </c>
      <c r="C1377" t="s">
        <v>945</v>
      </c>
      <c r="D1377" t="s">
        <v>24</v>
      </c>
      <c r="E1377" t="s">
        <v>31</v>
      </c>
      <c r="F1377" t="s">
        <v>47</v>
      </c>
      <c r="G1377" t="s">
        <v>27</v>
      </c>
    </row>
    <row r="1378" spans="1:7" x14ac:dyDescent="0.2">
      <c r="A1378">
        <v>18</v>
      </c>
      <c r="B1378">
        <v>39</v>
      </c>
      <c r="C1378" t="s">
        <v>946</v>
      </c>
      <c r="D1378" t="s">
        <v>24</v>
      </c>
      <c r="E1378" t="s">
        <v>31</v>
      </c>
      <c r="F1378" t="s">
        <v>47</v>
      </c>
      <c r="G1378" t="s">
        <v>27</v>
      </c>
    </row>
    <row r="1379" spans="1:7" x14ac:dyDescent="0.2">
      <c r="A1379">
        <v>18</v>
      </c>
      <c r="B1379">
        <v>39</v>
      </c>
      <c r="C1379" t="s">
        <v>934</v>
      </c>
      <c r="D1379" t="s">
        <v>24</v>
      </c>
      <c r="E1379" t="s">
        <v>31</v>
      </c>
      <c r="F1379" t="s">
        <v>47</v>
      </c>
      <c r="G1379" t="s">
        <v>27</v>
      </c>
    </row>
    <row r="1380" spans="1:7" x14ac:dyDescent="0.2">
      <c r="A1380">
        <v>19</v>
      </c>
      <c r="B1380">
        <v>39</v>
      </c>
      <c r="C1380" t="s">
        <v>894</v>
      </c>
      <c r="D1380" t="s">
        <v>24</v>
      </c>
      <c r="E1380" t="s">
        <v>31</v>
      </c>
      <c r="F1380" t="s">
        <v>26</v>
      </c>
      <c r="G1380" t="s">
        <v>27</v>
      </c>
    </row>
    <row r="1381" spans="1:7" x14ac:dyDescent="0.2">
      <c r="A1381">
        <v>19</v>
      </c>
      <c r="B1381">
        <v>39</v>
      </c>
      <c r="C1381" t="s">
        <v>947</v>
      </c>
      <c r="D1381" t="s">
        <v>24</v>
      </c>
      <c r="E1381" t="s">
        <v>31</v>
      </c>
      <c r="F1381" t="s">
        <v>26</v>
      </c>
      <c r="G1381" t="s">
        <v>27</v>
      </c>
    </row>
    <row r="1382" spans="1:7" x14ac:dyDescent="0.2">
      <c r="A1382">
        <v>19</v>
      </c>
      <c r="B1382">
        <v>39</v>
      </c>
      <c r="C1382" t="s">
        <v>868</v>
      </c>
      <c r="D1382" t="s">
        <v>30</v>
      </c>
      <c r="E1382" t="s">
        <v>31</v>
      </c>
      <c r="F1382" t="s">
        <v>26</v>
      </c>
      <c r="G1382" t="s">
        <v>27</v>
      </c>
    </row>
    <row r="1383" spans="1:7" x14ac:dyDescent="0.2">
      <c r="A1383">
        <v>19</v>
      </c>
      <c r="B1383">
        <v>39</v>
      </c>
      <c r="C1383" t="s">
        <v>948</v>
      </c>
      <c r="D1383" t="s">
        <v>30</v>
      </c>
      <c r="E1383" t="s">
        <v>31</v>
      </c>
      <c r="F1383" t="s">
        <v>26</v>
      </c>
      <c r="G1383" t="s">
        <v>27</v>
      </c>
    </row>
    <row r="1384" spans="1:7" x14ac:dyDescent="0.2">
      <c r="A1384">
        <v>20</v>
      </c>
      <c r="B1384">
        <v>39</v>
      </c>
      <c r="C1384" t="s">
        <v>949</v>
      </c>
      <c r="D1384" t="s">
        <v>24</v>
      </c>
      <c r="E1384" t="s">
        <v>31</v>
      </c>
      <c r="F1384" t="s">
        <v>26</v>
      </c>
      <c r="G1384" t="s">
        <v>27</v>
      </c>
    </row>
    <row r="1385" spans="1:7" x14ac:dyDescent="0.2">
      <c r="A1385">
        <v>20</v>
      </c>
      <c r="B1385">
        <v>39</v>
      </c>
      <c r="C1385" t="s">
        <v>939</v>
      </c>
      <c r="D1385" t="s">
        <v>24</v>
      </c>
      <c r="E1385" t="s">
        <v>31</v>
      </c>
      <c r="F1385" t="s">
        <v>26</v>
      </c>
      <c r="G1385" t="s">
        <v>27</v>
      </c>
    </row>
    <row r="1386" spans="1:7" x14ac:dyDescent="0.2">
      <c r="A1386">
        <v>20</v>
      </c>
      <c r="B1386">
        <v>39</v>
      </c>
      <c r="C1386" t="s">
        <v>950</v>
      </c>
      <c r="D1386" t="s">
        <v>24</v>
      </c>
      <c r="E1386" t="s">
        <v>31</v>
      </c>
      <c r="F1386" t="s">
        <v>26</v>
      </c>
      <c r="G1386" t="s">
        <v>27</v>
      </c>
    </row>
    <row r="1387" spans="1:7" x14ac:dyDescent="0.2">
      <c r="A1387">
        <v>20</v>
      </c>
      <c r="B1387">
        <v>39</v>
      </c>
      <c r="C1387" t="s">
        <v>895</v>
      </c>
      <c r="D1387" t="s">
        <v>24</v>
      </c>
      <c r="E1387" t="s">
        <v>31</v>
      </c>
      <c r="F1387" t="s">
        <v>26</v>
      </c>
      <c r="G1387" t="s">
        <v>27</v>
      </c>
    </row>
    <row r="1388" spans="1:7" x14ac:dyDescent="0.2">
      <c r="A1388">
        <v>20</v>
      </c>
      <c r="B1388">
        <v>39</v>
      </c>
      <c r="C1388" t="s">
        <v>894</v>
      </c>
      <c r="D1388" t="s">
        <v>24</v>
      </c>
      <c r="E1388" t="s">
        <v>31</v>
      </c>
      <c r="F1388" t="s">
        <v>26</v>
      </c>
      <c r="G1388" t="s">
        <v>27</v>
      </c>
    </row>
    <row r="1389" spans="1:7" x14ac:dyDescent="0.2">
      <c r="A1389">
        <v>20</v>
      </c>
      <c r="B1389">
        <v>39</v>
      </c>
      <c r="C1389" t="s">
        <v>868</v>
      </c>
      <c r="D1389" t="s">
        <v>30</v>
      </c>
      <c r="E1389" t="s">
        <v>31</v>
      </c>
      <c r="F1389" t="s">
        <v>26</v>
      </c>
      <c r="G1389" t="s">
        <v>27</v>
      </c>
    </row>
    <row r="1390" spans="1:7" x14ac:dyDescent="0.2">
      <c r="A1390">
        <v>20</v>
      </c>
      <c r="B1390">
        <v>39</v>
      </c>
      <c r="C1390" t="s">
        <v>951</v>
      </c>
      <c r="D1390" t="s">
        <v>24</v>
      </c>
      <c r="E1390" t="s">
        <v>31</v>
      </c>
      <c r="F1390" t="s">
        <v>26</v>
      </c>
      <c r="G1390" t="s">
        <v>27</v>
      </c>
    </row>
    <row r="1391" spans="1:7" x14ac:dyDescent="0.2">
      <c r="A1391">
        <v>21</v>
      </c>
      <c r="B1391">
        <v>39</v>
      </c>
      <c r="C1391" t="s">
        <v>947</v>
      </c>
      <c r="D1391" t="s">
        <v>24</v>
      </c>
      <c r="E1391" t="s">
        <v>25</v>
      </c>
      <c r="F1391" t="s">
        <v>26</v>
      </c>
      <c r="G1391" t="s">
        <v>27</v>
      </c>
    </row>
    <row r="1392" spans="1:7" x14ac:dyDescent="0.2">
      <c r="A1392">
        <v>21</v>
      </c>
      <c r="B1392">
        <v>39</v>
      </c>
      <c r="C1392" t="s">
        <v>894</v>
      </c>
      <c r="D1392" t="s">
        <v>24</v>
      </c>
      <c r="E1392" t="s">
        <v>25</v>
      </c>
      <c r="F1392" t="s">
        <v>26</v>
      </c>
      <c r="G1392" t="s">
        <v>27</v>
      </c>
    </row>
    <row r="1393" spans="1:7" x14ac:dyDescent="0.2">
      <c r="A1393">
        <v>21</v>
      </c>
      <c r="B1393">
        <v>39</v>
      </c>
      <c r="C1393" t="s">
        <v>895</v>
      </c>
      <c r="D1393" t="s">
        <v>24</v>
      </c>
      <c r="E1393" t="s">
        <v>25</v>
      </c>
      <c r="F1393" t="s">
        <v>26</v>
      </c>
      <c r="G1393" t="s">
        <v>27</v>
      </c>
    </row>
    <row r="1394" spans="1:7" x14ac:dyDescent="0.2">
      <c r="A1394">
        <v>21</v>
      </c>
      <c r="B1394">
        <v>39</v>
      </c>
      <c r="C1394" t="s">
        <v>952</v>
      </c>
      <c r="D1394" t="s">
        <v>24</v>
      </c>
      <c r="E1394" t="s">
        <v>25</v>
      </c>
      <c r="F1394" t="s">
        <v>26</v>
      </c>
      <c r="G1394" t="s">
        <v>27</v>
      </c>
    </row>
    <row r="1395" spans="1:7" x14ac:dyDescent="0.2">
      <c r="A1395">
        <v>21</v>
      </c>
      <c r="B1395">
        <v>39</v>
      </c>
      <c r="C1395" t="s">
        <v>868</v>
      </c>
      <c r="D1395" t="s">
        <v>30</v>
      </c>
      <c r="E1395" t="s">
        <v>25</v>
      </c>
      <c r="F1395" t="s">
        <v>26</v>
      </c>
      <c r="G1395" t="s">
        <v>27</v>
      </c>
    </row>
    <row r="1396" spans="1:7" x14ac:dyDescent="0.2">
      <c r="A1396">
        <v>21</v>
      </c>
      <c r="B1396">
        <v>39</v>
      </c>
      <c r="C1396" t="s">
        <v>953</v>
      </c>
      <c r="D1396" t="s">
        <v>24</v>
      </c>
      <c r="E1396" t="s">
        <v>25</v>
      </c>
      <c r="F1396" t="s">
        <v>26</v>
      </c>
      <c r="G1396" t="s">
        <v>27</v>
      </c>
    </row>
    <row r="1397" spans="1:7" x14ac:dyDescent="0.2">
      <c r="A1397">
        <v>21</v>
      </c>
      <c r="B1397">
        <v>39</v>
      </c>
      <c r="C1397" t="s">
        <v>954</v>
      </c>
      <c r="D1397" t="s">
        <v>24</v>
      </c>
      <c r="E1397" t="s">
        <v>25</v>
      </c>
      <c r="F1397" t="s">
        <v>26</v>
      </c>
      <c r="G1397" t="s">
        <v>27</v>
      </c>
    </row>
    <row r="1398" spans="1:7" x14ac:dyDescent="0.2">
      <c r="A1398">
        <v>21</v>
      </c>
      <c r="B1398">
        <v>39</v>
      </c>
      <c r="C1398" t="s">
        <v>955</v>
      </c>
      <c r="D1398" t="s">
        <v>24</v>
      </c>
      <c r="E1398" t="s">
        <v>25</v>
      </c>
      <c r="F1398" t="s">
        <v>26</v>
      </c>
      <c r="G1398" t="s">
        <v>27</v>
      </c>
    </row>
    <row r="1399" spans="1:7" x14ac:dyDescent="0.2">
      <c r="A1399">
        <v>21</v>
      </c>
      <c r="B1399">
        <v>39</v>
      </c>
      <c r="C1399" t="s">
        <v>900</v>
      </c>
      <c r="D1399" t="s">
        <v>24</v>
      </c>
      <c r="E1399" t="s">
        <v>25</v>
      </c>
      <c r="F1399" t="s">
        <v>26</v>
      </c>
      <c r="G1399" t="s">
        <v>27</v>
      </c>
    </row>
    <row r="1400" spans="1:7" x14ac:dyDescent="0.2">
      <c r="A1400">
        <v>22</v>
      </c>
      <c r="B1400">
        <v>39</v>
      </c>
      <c r="C1400" t="s">
        <v>953</v>
      </c>
      <c r="D1400" t="s">
        <v>24</v>
      </c>
      <c r="E1400" t="s">
        <v>31</v>
      </c>
      <c r="F1400" t="s">
        <v>26</v>
      </c>
      <c r="G1400" t="s">
        <v>27</v>
      </c>
    </row>
    <row r="1401" spans="1:7" x14ac:dyDescent="0.2">
      <c r="A1401">
        <v>22</v>
      </c>
      <c r="B1401">
        <v>39</v>
      </c>
      <c r="C1401" t="s">
        <v>868</v>
      </c>
      <c r="D1401" t="s">
        <v>30</v>
      </c>
      <c r="E1401" t="s">
        <v>31</v>
      </c>
      <c r="F1401" t="s">
        <v>26</v>
      </c>
      <c r="G1401" t="s">
        <v>27</v>
      </c>
    </row>
    <row r="1402" spans="1:7" x14ac:dyDescent="0.2">
      <c r="A1402">
        <v>22</v>
      </c>
      <c r="B1402">
        <v>39</v>
      </c>
      <c r="C1402" t="s">
        <v>895</v>
      </c>
      <c r="D1402" t="s">
        <v>24</v>
      </c>
      <c r="E1402" t="s">
        <v>31</v>
      </c>
      <c r="F1402" t="s">
        <v>26</v>
      </c>
      <c r="G1402" t="s">
        <v>27</v>
      </c>
    </row>
    <row r="1403" spans="1:7" x14ac:dyDescent="0.2">
      <c r="A1403">
        <v>22</v>
      </c>
      <c r="B1403">
        <v>39</v>
      </c>
      <c r="C1403" t="s">
        <v>947</v>
      </c>
      <c r="D1403" t="s">
        <v>24</v>
      </c>
      <c r="E1403" t="s">
        <v>31</v>
      </c>
      <c r="F1403" t="s">
        <v>26</v>
      </c>
      <c r="G1403" t="s">
        <v>27</v>
      </c>
    </row>
    <row r="1404" spans="1:7" x14ac:dyDescent="0.2">
      <c r="A1404">
        <v>22</v>
      </c>
      <c r="B1404">
        <v>39</v>
      </c>
      <c r="C1404" t="s">
        <v>894</v>
      </c>
      <c r="D1404" t="s">
        <v>24</v>
      </c>
      <c r="E1404" t="s">
        <v>31</v>
      </c>
      <c r="F1404" t="s">
        <v>26</v>
      </c>
      <c r="G1404" t="s">
        <v>27</v>
      </c>
    </row>
    <row r="1405" spans="1:7" x14ac:dyDescent="0.2">
      <c r="A1405">
        <v>22</v>
      </c>
      <c r="B1405">
        <v>39</v>
      </c>
      <c r="C1405" t="s">
        <v>922</v>
      </c>
      <c r="D1405" t="s">
        <v>24</v>
      </c>
      <c r="E1405" t="s">
        <v>31</v>
      </c>
      <c r="F1405" t="s">
        <v>26</v>
      </c>
      <c r="G1405" t="s">
        <v>27</v>
      </c>
    </row>
    <row r="1406" spans="1:7" x14ac:dyDescent="0.2">
      <c r="A1406">
        <v>22</v>
      </c>
      <c r="B1406">
        <v>39</v>
      </c>
      <c r="C1406" t="s">
        <v>952</v>
      </c>
      <c r="D1406" t="s">
        <v>24</v>
      </c>
      <c r="E1406" t="s">
        <v>31</v>
      </c>
      <c r="F1406" t="s">
        <v>26</v>
      </c>
      <c r="G1406" t="s">
        <v>27</v>
      </c>
    </row>
    <row r="1407" spans="1:7" x14ac:dyDescent="0.2">
      <c r="A1407">
        <v>22</v>
      </c>
      <c r="B1407">
        <v>39</v>
      </c>
      <c r="C1407" t="s">
        <v>940</v>
      </c>
      <c r="D1407" t="s">
        <v>24</v>
      </c>
      <c r="E1407" t="s">
        <v>31</v>
      </c>
      <c r="F1407" t="s">
        <v>26</v>
      </c>
      <c r="G1407" t="s">
        <v>27</v>
      </c>
    </row>
    <row r="1408" spans="1:7" x14ac:dyDescent="0.2">
      <c r="A1408">
        <v>22</v>
      </c>
      <c r="B1408">
        <v>39</v>
      </c>
      <c r="C1408" t="s">
        <v>950</v>
      </c>
      <c r="D1408" t="s">
        <v>30</v>
      </c>
      <c r="E1408" t="s">
        <v>31</v>
      </c>
      <c r="F1408" t="s">
        <v>26</v>
      </c>
      <c r="G1408" t="s">
        <v>27</v>
      </c>
    </row>
    <row r="1409" spans="1:7" x14ac:dyDescent="0.2">
      <c r="A1409">
        <v>22</v>
      </c>
      <c r="B1409">
        <v>39</v>
      </c>
      <c r="C1409" t="s">
        <v>954</v>
      </c>
      <c r="D1409" t="s">
        <v>24</v>
      </c>
      <c r="E1409" t="s">
        <v>31</v>
      </c>
      <c r="F1409" t="s">
        <v>87</v>
      </c>
      <c r="G1409" t="s">
        <v>27</v>
      </c>
    </row>
    <row r="1410" spans="1:7" x14ac:dyDescent="0.2">
      <c r="A1410">
        <v>22</v>
      </c>
      <c r="B1410">
        <v>39</v>
      </c>
      <c r="C1410" t="s">
        <v>956</v>
      </c>
      <c r="D1410" t="s">
        <v>24</v>
      </c>
      <c r="E1410" t="s">
        <v>31</v>
      </c>
      <c r="F1410" t="s">
        <v>87</v>
      </c>
      <c r="G1410" t="s">
        <v>27</v>
      </c>
    </row>
    <row r="1411" spans="1:7" x14ac:dyDescent="0.2">
      <c r="A1411">
        <v>22</v>
      </c>
      <c r="B1411">
        <v>39</v>
      </c>
      <c r="C1411" t="s">
        <v>900</v>
      </c>
      <c r="D1411" t="s">
        <v>30</v>
      </c>
      <c r="E1411" t="s">
        <v>31</v>
      </c>
      <c r="F1411" t="s">
        <v>87</v>
      </c>
      <c r="G1411" t="s">
        <v>27</v>
      </c>
    </row>
    <row r="1412" spans="1:7" x14ac:dyDescent="0.2">
      <c r="A1412">
        <v>22</v>
      </c>
      <c r="B1412">
        <v>39</v>
      </c>
      <c r="C1412" t="s">
        <v>957</v>
      </c>
      <c r="D1412" t="s">
        <v>24</v>
      </c>
      <c r="E1412" t="s">
        <v>31</v>
      </c>
      <c r="F1412" t="s">
        <v>87</v>
      </c>
      <c r="G1412" t="s">
        <v>27</v>
      </c>
    </row>
    <row r="1413" spans="1:7" x14ac:dyDescent="0.2">
      <c r="A1413">
        <v>22</v>
      </c>
      <c r="B1413">
        <v>39</v>
      </c>
      <c r="C1413" t="s">
        <v>958</v>
      </c>
      <c r="D1413" t="s">
        <v>24</v>
      </c>
      <c r="E1413" t="s">
        <v>31</v>
      </c>
      <c r="F1413" t="s">
        <v>26</v>
      </c>
      <c r="G1413" t="s">
        <v>27</v>
      </c>
    </row>
    <row r="1414" spans="1:7" x14ac:dyDescent="0.2">
      <c r="A1414">
        <v>23</v>
      </c>
      <c r="B1414">
        <v>39</v>
      </c>
      <c r="C1414" t="s">
        <v>959</v>
      </c>
      <c r="D1414" t="s">
        <v>24</v>
      </c>
      <c r="E1414" t="s">
        <v>31</v>
      </c>
      <c r="F1414" t="s">
        <v>26</v>
      </c>
      <c r="G1414" t="s">
        <v>27</v>
      </c>
    </row>
    <row r="1415" spans="1:7" x14ac:dyDescent="0.2">
      <c r="A1415">
        <v>23</v>
      </c>
      <c r="B1415">
        <v>39</v>
      </c>
      <c r="C1415" t="s">
        <v>950</v>
      </c>
      <c r="D1415" t="s">
        <v>24</v>
      </c>
      <c r="E1415" t="s">
        <v>31</v>
      </c>
      <c r="F1415" t="s">
        <v>26</v>
      </c>
      <c r="G1415" t="s">
        <v>27</v>
      </c>
    </row>
    <row r="1416" spans="1:7" x14ac:dyDescent="0.2">
      <c r="A1416">
        <v>23</v>
      </c>
      <c r="B1416">
        <v>39</v>
      </c>
      <c r="C1416" t="s">
        <v>940</v>
      </c>
      <c r="D1416" t="s">
        <v>24</v>
      </c>
      <c r="E1416" t="s">
        <v>31</v>
      </c>
      <c r="F1416" t="s">
        <v>26</v>
      </c>
      <c r="G1416" t="s">
        <v>27</v>
      </c>
    </row>
    <row r="1417" spans="1:7" x14ac:dyDescent="0.2">
      <c r="A1417">
        <v>23</v>
      </c>
      <c r="B1417">
        <v>39</v>
      </c>
      <c r="C1417" t="s">
        <v>952</v>
      </c>
      <c r="D1417" t="s">
        <v>24</v>
      </c>
      <c r="E1417" t="s">
        <v>31</v>
      </c>
      <c r="F1417" t="s">
        <v>26</v>
      </c>
      <c r="G1417" t="s">
        <v>27</v>
      </c>
    </row>
    <row r="1418" spans="1:7" x14ac:dyDescent="0.2">
      <c r="A1418">
        <v>23</v>
      </c>
      <c r="B1418">
        <v>39</v>
      </c>
      <c r="C1418" t="s">
        <v>922</v>
      </c>
      <c r="D1418" t="s">
        <v>24</v>
      </c>
      <c r="E1418" t="s">
        <v>31</v>
      </c>
      <c r="F1418" t="s">
        <v>26</v>
      </c>
      <c r="G1418" t="s">
        <v>27</v>
      </c>
    </row>
    <row r="1419" spans="1:7" x14ac:dyDescent="0.2">
      <c r="A1419">
        <v>23</v>
      </c>
      <c r="B1419">
        <v>39</v>
      </c>
      <c r="C1419" t="s">
        <v>868</v>
      </c>
      <c r="D1419" t="s">
        <v>30</v>
      </c>
      <c r="E1419" t="s">
        <v>31</v>
      </c>
      <c r="F1419" t="s">
        <v>26</v>
      </c>
      <c r="G1419" t="s">
        <v>27</v>
      </c>
    </row>
    <row r="1420" spans="1:7" x14ac:dyDescent="0.2">
      <c r="A1420">
        <v>23</v>
      </c>
      <c r="B1420">
        <v>39</v>
      </c>
      <c r="C1420" t="s">
        <v>957</v>
      </c>
      <c r="D1420" t="s">
        <v>24</v>
      </c>
      <c r="E1420" t="s">
        <v>25</v>
      </c>
      <c r="F1420" t="s">
        <v>87</v>
      </c>
      <c r="G1420" t="s">
        <v>27</v>
      </c>
    </row>
    <row r="1421" spans="1:7" x14ac:dyDescent="0.2">
      <c r="A1421">
        <v>7</v>
      </c>
      <c r="B1421">
        <v>41</v>
      </c>
      <c r="C1421" t="s">
        <v>960</v>
      </c>
      <c r="D1421" t="s">
        <v>24</v>
      </c>
      <c r="E1421" t="s">
        <v>25</v>
      </c>
      <c r="F1421" t="s">
        <v>26</v>
      </c>
      <c r="G1421" t="s">
        <v>27</v>
      </c>
    </row>
    <row r="1422" spans="1:7" x14ac:dyDescent="0.2">
      <c r="A1422">
        <v>7</v>
      </c>
      <c r="B1422">
        <v>41</v>
      </c>
      <c r="C1422" t="s">
        <v>961</v>
      </c>
      <c r="D1422" t="s">
        <v>24</v>
      </c>
      <c r="E1422" t="s">
        <v>25</v>
      </c>
      <c r="F1422" t="s">
        <v>26</v>
      </c>
      <c r="G1422" t="s">
        <v>27</v>
      </c>
    </row>
    <row r="1423" spans="1:7" x14ac:dyDescent="0.2">
      <c r="A1423">
        <v>7</v>
      </c>
      <c r="B1423">
        <v>41</v>
      </c>
      <c r="C1423" t="s">
        <v>721</v>
      </c>
      <c r="D1423" t="s">
        <v>24</v>
      </c>
      <c r="E1423" t="s">
        <v>25</v>
      </c>
      <c r="F1423" t="s">
        <v>26</v>
      </c>
      <c r="G1423" t="s">
        <v>27</v>
      </c>
    </row>
    <row r="1424" spans="1:7" x14ac:dyDescent="0.2">
      <c r="A1424">
        <v>7</v>
      </c>
      <c r="B1424">
        <v>41</v>
      </c>
      <c r="C1424" t="s">
        <v>962</v>
      </c>
      <c r="D1424" t="s">
        <v>24</v>
      </c>
      <c r="E1424" t="s">
        <v>25</v>
      </c>
      <c r="F1424" t="s">
        <v>26</v>
      </c>
      <c r="G1424" t="s">
        <v>27</v>
      </c>
    </row>
    <row r="1425" spans="1:7" x14ac:dyDescent="0.2">
      <c r="A1425">
        <v>8</v>
      </c>
      <c r="B1425">
        <v>41</v>
      </c>
      <c r="C1425" t="s">
        <v>963</v>
      </c>
      <c r="D1425" t="s">
        <v>24</v>
      </c>
      <c r="E1425" t="s">
        <v>31</v>
      </c>
      <c r="F1425" t="s">
        <v>26</v>
      </c>
      <c r="G1425" t="s">
        <v>27</v>
      </c>
    </row>
    <row r="1426" spans="1:7" x14ac:dyDescent="0.2">
      <c r="A1426">
        <v>8</v>
      </c>
      <c r="B1426">
        <v>41</v>
      </c>
      <c r="C1426" t="s">
        <v>964</v>
      </c>
      <c r="D1426" t="s">
        <v>24</v>
      </c>
      <c r="E1426" t="s">
        <v>31</v>
      </c>
      <c r="F1426" t="s">
        <v>47</v>
      </c>
      <c r="G1426" t="s">
        <v>27</v>
      </c>
    </row>
    <row r="1427" spans="1:7" x14ac:dyDescent="0.2">
      <c r="A1427">
        <v>8</v>
      </c>
      <c r="B1427">
        <v>41</v>
      </c>
      <c r="C1427" t="s">
        <v>965</v>
      </c>
      <c r="D1427" t="s">
        <v>24</v>
      </c>
      <c r="E1427" t="s">
        <v>31</v>
      </c>
      <c r="F1427" t="s">
        <v>47</v>
      </c>
      <c r="G1427" t="s">
        <v>27</v>
      </c>
    </row>
    <row r="1428" spans="1:7" x14ac:dyDescent="0.2">
      <c r="A1428">
        <v>8</v>
      </c>
      <c r="B1428">
        <v>41</v>
      </c>
      <c r="C1428" t="s">
        <v>966</v>
      </c>
      <c r="D1428" t="s">
        <v>24</v>
      </c>
      <c r="E1428" t="s">
        <v>31</v>
      </c>
      <c r="F1428" t="s">
        <v>47</v>
      </c>
      <c r="G1428" t="s">
        <v>27</v>
      </c>
    </row>
    <row r="1429" spans="1:7" x14ac:dyDescent="0.2">
      <c r="A1429">
        <v>8</v>
      </c>
      <c r="B1429">
        <v>41</v>
      </c>
      <c r="C1429" t="s">
        <v>653</v>
      </c>
      <c r="D1429" t="s">
        <v>24</v>
      </c>
      <c r="E1429" t="s">
        <v>31</v>
      </c>
      <c r="F1429" t="s">
        <v>87</v>
      </c>
      <c r="G1429" t="s">
        <v>27</v>
      </c>
    </row>
    <row r="1430" spans="1:7" x14ac:dyDescent="0.2">
      <c r="A1430">
        <v>9</v>
      </c>
      <c r="B1430">
        <v>41</v>
      </c>
      <c r="C1430" t="s">
        <v>967</v>
      </c>
      <c r="D1430" t="s">
        <v>30</v>
      </c>
      <c r="E1430" t="s">
        <v>31</v>
      </c>
      <c r="F1430" t="s">
        <v>26</v>
      </c>
      <c r="G1430" t="s">
        <v>27</v>
      </c>
    </row>
    <row r="1431" spans="1:7" x14ac:dyDescent="0.2">
      <c r="A1431">
        <v>9</v>
      </c>
      <c r="B1431">
        <v>41</v>
      </c>
      <c r="C1431" t="s">
        <v>968</v>
      </c>
      <c r="D1431" t="s">
        <v>24</v>
      </c>
      <c r="E1431" t="s">
        <v>31</v>
      </c>
      <c r="F1431" t="s">
        <v>26</v>
      </c>
      <c r="G1431" t="s">
        <v>27</v>
      </c>
    </row>
    <row r="1432" spans="1:7" x14ac:dyDescent="0.2">
      <c r="A1432">
        <v>9</v>
      </c>
      <c r="B1432">
        <v>41</v>
      </c>
      <c r="C1432" t="s">
        <v>969</v>
      </c>
      <c r="D1432" t="s">
        <v>24</v>
      </c>
      <c r="E1432" t="s">
        <v>31</v>
      </c>
      <c r="F1432" t="s">
        <v>26</v>
      </c>
      <c r="G1432" t="s">
        <v>27</v>
      </c>
    </row>
    <row r="1433" spans="1:7" x14ac:dyDescent="0.2">
      <c r="A1433">
        <v>9</v>
      </c>
      <c r="B1433">
        <v>41</v>
      </c>
      <c r="C1433" t="s">
        <v>970</v>
      </c>
      <c r="D1433" t="s">
        <v>24</v>
      </c>
      <c r="E1433" t="s">
        <v>31</v>
      </c>
      <c r="F1433" t="s">
        <v>26</v>
      </c>
      <c r="G1433" t="s">
        <v>27</v>
      </c>
    </row>
    <row r="1434" spans="1:7" x14ac:dyDescent="0.2">
      <c r="A1434">
        <v>9</v>
      </c>
      <c r="B1434">
        <v>41</v>
      </c>
      <c r="C1434" t="s">
        <v>971</v>
      </c>
      <c r="D1434" t="s">
        <v>24</v>
      </c>
      <c r="E1434" t="s">
        <v>31</v>
      </c>
      <c r="F1434" t="s">
        <v>26</v>
      </c>
      <c r="G1434" t="s">
        <v>27</v>
      </c>
    </row>
    <row r="1435" spans="1:7" x14ac:dyDescent="0.2">
      <c r="A1435">
        <v>9</v>
      </c>
      <c r="B1435">
        <v>41</v>
      </c>
      <c r="C1435" t="s">
        <v>972</v>
      </c>
      <c r="D1435" t="s">
        <v>24</v>
      </c>
      <c r="E1435" t="s">
        <v>31</v>
      </c>
      <c r="F1435" t="s">
        <v>47</v>
      </c>
      <c r="G1435" t="s">
        <v>27</v>
      </c>
    </row>
    <row r="1436" spans="1:7" x14ac:dyDescent="0.2">
      <c r="A1436">
        <v>9</v>
      </c>
      <c r="B1436">
        <v>41</v>
      </c>
      <c r="C1436" t="s">
        <v>973</v>
      </c>
      <c r="D1436" t="s">
        <v>24</v>
      </c>
      <c r="E1436" t="s">
        <v>31</v>
      </c>
      <c r="F1436" t="s">
        <v>47</v>
      </c>
      <c r="G1436" t="s">
        <v>27</v>
      </c>
    </row>
    <row r="1437" spans="1:7" x14ac:dyDescent="0.2">
      <c r="A1437">
        <v>9</v>
      </c>
      <c r="B1437">
        <v>41</v>
      </c>
      <c r="C1437" t="s">
        <v>974</v>
      </c>
      <c r="D1437" t="s">
        <v>24</v>
      </c>
      <c r="E1437" t="s">
        <v>31</v>
      </c>
      <c r="F1437" t="s">
        <v>26</v>
      </c>
      <c r="G1437" t="s">
        <v>27</v>
      </c>
    </row>
    <row r="1438" spans="1:7" x14ac:dyDescent="0.2">
      <c r="A1438">
        <v>9</v>
      </c>
      <c r="B1438">
        <v>41</v>
      </c>
      <c r="C1438" t="s">
        <v>657</v>
      </c>
      <c r="D1438" t="s">
        <v>24</v>
      </c>
      <c r="E1438" t="s">
        <v>31</v>
      </c>
      <c r="F1438" t="s">
        <v>47</v>
      </c>
      <c r="G1438" t="s">
        <v>27</v>
      </c>
    </row>
    <row r="1439" spans="1:7" x14ac:dyDescent="0.2">
      <c r="A1439">
        <v>9</v>
      </c>
      <c r="B1439">
        <v>41</v>
      </c>
      <c r="C1439" t="s">
        <v>975</v>
      </c>
      <c r="D1439" t="s">
        <v>24</v>
      </c>
      <c r="E1439" t="s">
        <v>31</v>
      </c>
      <c r="F1439" t="s">
        <v>47</v>
      </c>
      <c r="G1439" t="s">
        <v>27</v>
      </c>
    </row>
    <row r="1440" spans="1:7" x14ac:dyDescent="0.2">
      <c r="A1440">
        <v>9</v>
      </c>
      <c r="B1440">
        <v>41</v>
      </c>
      <c r="C1440" t="s">
        <v>656</v>
      </c>
      <c r="D1440" t="s">
        <v>24</v>
      </c>
      <c r="E1440" t="s">
        <v>31</v>
      </c>
      <c r="F1440" t="s">
        <v>26</v>
      </c>
      <c r="G1440" t="s">
        <v>27</v>
      </c>
    </row>
    <row r="1441" spans="1:7" x14ac:dyDescent="0.2">
      <c r="A1441">
        <v>9</v>
      </c>
      <c r="B1441">
        <v>41</v>
      </c>
      <c r="C1441" t="s">
        <v>976</v>
      </c>
      <c r="D1441" t="s">
        <v>24</v>
      </c>
      <c r="E1441" t="s">
        <v>31</v>
      </c>
      <c r="F1441" t="s">
        <v>47</v>
      </c>
      <c r="G1441" t="s">
        <v>27</v>
      </c>
    </row>
    <row r="1442" spans="1:7" x14ac:dyDescent="0.2">
      <c r="A1442">
        <v>9</v>
      </c>
      <c r="B1442">
        <v>41</v>
      </c>
      <c r="C1442" t="s">
        <v>977</v>
      </c>
      <c r="D1442" t="s">
        <v>24</v>
      </c>
      <c r="E1442" t="s">
        <v>31</v>
      </c>
      <c r="F1442" t="s">
        <v>47</v>
      </c>
      <c r="G1442" t="s">
        <v>27</v>
      </c>
    </row>
    <row r="1443" spans="1:7" x14ac:dyDescent="0.2">
      <c r="A1443">
        <v>9</v>
      </c>
      <c r="B1443">
        <v>41</v>
      </c>
      <c r="C1443" t="s">
        <v>978</v>
      </c>
      <c r="D1443" t="s">
        <v>24</v>
      </c>
      <c r="E1443" t="s">
        <v>31</v>
      </c>
      <c r="F1443" t="s">
        <v>47</v>
      </c>
      <c r="G1443" t="s">
        <v>27</v>
      </c>
    </row>
    <row r="1444" spans="1:7" x14ac:dyDescent="0.2">
      <c r="A1444">
        <v>9</v>
      </c>
      <c r="B1444">
        <v>41</v>
      </c>
      <c r="C1444" t="s">
        <v>654</v>
      </c>
      <c r="D1444" t="s">
        <v>24</v>
      </c>
      <c r="E1444" t="s">
        <v>31</v>
      </c>
      <c r="F1444" t="s">
        <v>47</v>
      </c>
      <c r="G1444" t="s">
        <v>27</v>
      </c>
    </row>
    <row r="1445" spans="1:7" x14ac:dyDescent="0.2">
      <c r="A1445">
        <v>9</v>
      </c>
      <c r="B1445">
        <v>41</v>
      </c>
      <c r="C1445" t="s">
        <v>672</v>
      </c>
      <c r="D1445" t="s">
        <v>24</v>
      </c>
      <c r="E1445" t="s">
        <v>31</v>
      </c>
      <c r="F1445" t="s">
        <v>26</v>
      </c>
      <c r="G1445" t="s">
        <v>27</v>
      </c>
    </row>
    <row r="1446" spans="1:7" x14ac:dyDescent="0.2">
      <c r="A1446">
        <v>9</v>
      </c>
      <c r="B1446">
        <v>41</v>
      </c>
      <c r="C1446" t="s">
        <v>979</v>
      </c>
      <c r="D1446" t="s">
        <v>24</v>
      </c>
      <c r="E1446" t="s">
        <v>31</v>
      </c>
      <c r="F1446" t="s">
        <v>47</v>
      </c>
      <c r="G1446" t="s">
        <v>27</v>
      </c>
    </row>
    <row r="1447" spans="1:7" x14ac:dyDescent="0.2">
      <c r="A1447">
        <v>9</v>
      </c>
      <c r="B1447">
        <v>41</v>
      </c>
      <c r="C1447" t="s">
        <v>980</v>
      </c>
      <c r="D1447" t="s">
        <v>24</v>
      </c>
      <c r="E1447" t="s">
        <v>31</v>
      </c>
      <c r="F1447" t="s">
        <v>47</v>
      </c>
      <c r="G1447" t="s">
        <v>27</v>
      </c>
    </row>
    <row r="1448" spans="1:7" x14ac:dyDescent="0.2">
      <c r="A1448">
        <v>9</v>
      </c>
      <c r="B1448">
        <v>41</v>
      </c>
      <c r="C1448" t="s">
        <v>653</v>
      </c>
      <c r="D1448" t="s">
        <v>24</v>
      </c>
      <c r="E1448" t="s">
        <v>31</v>
      </c>
      <c r="F1448" t="s">
        <v>47</v>
      </c>
      <c r="G1448" t="s">
        <v>27</v>
      </c>
    </row>
    <row r="1449" spans="1:7" x14ac:dyDescent="0.2">
      <c r="A1449">
        <v>9</v>
      </c>
      <c r="B1449">
        <v>41</v>
      </c>
      <c r="C1449" t="s">
        <v>652</v>
      </c>
      <c r="D1449" t="s">
        <v>24</v>
      </c>
      <c r="E1449" t="s">
        <v>31</v>
      </c>
      <c r="F1449" t="s">
        <v>47</v>
      </c>
      <c r="G1449" t="s">
        <v>27</v>
      </c>
    </row>
    <row r="1450" spans="1:7" x14ac:dyDescent="0.2">
      <c r="A1450">
        <v>9</v>
      </c>
      <c r="B1450">
        <v>41</v>
      </c>
      <c r="C1450" t="s">
        <v>981</v>
      </c>
      <c r="D1450" t="s">
        <v>24</v>
      </c>
      <c r="E1450" t="s">
        <v>31</v>
      </c>
      <c r="F1450" t="s">
        <v>26</v>
      </c>
      <c r="G1450" t="s">
        <v>27</v>
      </c>
    </row>
    <row r="1451" spans="1:7" x14ac:dyDescent="0.2">
      <c r="A1451">
        <v>10</v>
      </c>
      <c r="B1451">
        <v>41</v>
      </c>
      <c r="C1451" t="s">
        <v>982</v>
      </c>
      <c r="D1451" t="s">
        <v>24</v>
      </c>
      <c r="E1451" t="s">
        <v>25</v>
      </c>
      <c r="F1451" t="s">
        <v>26</v>
      </c>
      <c r="G1451" t="s">
        <v>27</v>
      </c>
    </row>
    <row r="1452" spans="1:7" x14ac:dyDescent="0.2">
      <c r="A1452">
        <v>10</v>
      </c>
      <c r="B1452">
        <v>41</v>
      </c>
      <c r="C1452" t="s">
        <v>983</v>
      </c>
      <c r="D1452" t="s">
        <v>24</v>
      </c>
      <c r="E1452" t="s">
        <v>25</v>
      </c>
      <c r="F1452" t="s">
        <v>26</v>
      </c>
      <c r="G1452" t="s">
        <v>27</v>
      </c>
    </row>
    <row r="1453" spans="1:7" x14ac:dyDescent="0.2">
      <c r="A1453">
        <v>10</v>
      </c>
      <c r="B1453">
        <v>41</v>
      </c>
      <c r="C1453" t="s">
        <v>984</v>
      </c>
      <c r="D1453" t="s">
        <v>24</v>
      </c>
      <c r="E1453" t="s">
        <v>25</v>
      </c>
      <c r="F1453" t="s">
        <v>26</v>
      </c>
      <c r="G1453" t="s">
        <v>27</v>
      </c>
    </row>
    <row r="1454" spans="1:7" x14ac:dyDescent="0.2">
      <c r="A1454">
        <v>10</v>
      </c>
      <c r="B1454">
        <v>41</v>
      </c>
      <c r="C1454" t="s">
        <v>985</v>
      </c>
      <c r="D1454" t="s">
        <v>24</v>
      </c>
      <c r="E1454" t="s">
        <v>25</v>
      </c>
      <c r="F1454" t="s">
        <v>26</v>
      </c>
      <c r="G1454" t="s">
        <v>27</v>
      </c>
    </row>
    <row r="1455" spans="1:7" x14ac:dyDescent="0.2">
      <c r="A1455">
        <v>10</v>
      </c>
      <c r="B1455">
        <v>41</v>
      </c>
      <c r="C1455" t="s">
        <v>986</v>
      </c>
      <c r="D1455" t="s">
        <v>24</v>
      </c>
      <c r="E1455" t="s">
        <v>25</v>
      </c>
      <c r="F1455" t="s">
        <v>26</v>
      </c>
      <c r="G1455" t="s">
        <v>27</v>
      </c>
    </row>
    <row r="1456" spans="1:7" x14ac:dyDescent="0.2">
      <c r="A1456">
        <v>10</v>
      </c>
      <c r="B1456">
        <v>41</v>
      </c>
      <c r="C1456" t="s">
        <v>987</v>
      </c>
      <c r="D1456" t="s">
        <v>24</v>
      </c>
      <c r="E1456" t="s">
        <v>25</v>
      </c>
      <c r="F1456" t="s">
        <v>26</v>
      </c>
      <c r="G1456" t="s">
        <v>27</v>
      </c>
    </row>
    <row r="1457" spans="1:7" x14ac:dyDescent="0.2">
      <c r="A1457">
        <v>10</v>
      </c>
      <c r="B1457">
        <v>41</v>
      </c>
      <c r="C1457" t="s">
        <v>988</v>
      </c>
      <c r="D1457" t="s">
        <v>24</v>
      </c>
      <c r="E1457" t="s">
        <v>25</v>
      </c>
      <c r="F1457" t="s">
        <v>26</v>
      </c>
      <c r="G1457" t="s">
        <v>27</v>
      </c>
    </row>
    <row r="1458" spans="1:7" x14ac:dyDescent="0.2">
      <c r="A1458">
        <v>10</v>
      </c>
      <c r="B1458">
        <v>41</v>
      </c>
      <c r="C1458" t="s">
        <v>989</v>
      </c>
      <c r="D1458" t="s">
        <v>24</v>
      </c>
      <c r="E1458" t="s">
        <v>25</v>
      </c>
      <c r="F1458" t="s">
        <v>26</v>
      </c>
      <c r="G1458" t="s">
        <v>27</v>
      </c>
    </row>
    <row r="1459" spans="1:7" x14ac:dyDescent="0.2">
      <c r="A1459">
        <v>10</v>
      </c>
      <c r="B1459">
        <v>41</v>
      </c>
      <c r="C1459" t="s">
        <v>990</v>
      </c>
      <c r="D1459" t="s">
        <v>24</v>
      </c>
      <c r="E1459" t="s">
        <v>25</v>
      </c>
      <c r="F1459" t="s">
        <v>26</v>
      </c>
      <c r="G1459" t="s">
        <v>27</v>
      </c>
    </row>
    <row r="1460" spans="1:7" x14ac:dyDescent="0.2">
      <c r="A1460">
        <v>10</v>
      </c>
      <c r="B1460">
        <v>41</v>
      </c>
      <c r="C1460" t="s">
        <v>990</v>
      </c>
      <c r="D1460" t="s">
        <v>24</v>
      </c>
      <c r="E1460" t="s">
        <v>25</v>
      </c>
      <c r="F1460" t="s">
        <v>26</v>
      </c>
      <c r="G1460" t="s">
        <v>27</v>
      </c>
    </row>
    <row r="1461" spans="1:7" x14ac:dyDescent="0.2">
      <c r="A1461">
        <v>10</v>
      </c>
      <c r="B1461">
        <v>41</v>
      </c>
      <c r="C1461" t="s">
        <v>991</v>
      </c>
      <c r="D1461" t="s">
        <v>24</v>
      </c>
      <c r="E1461" t="s">
        <v>25</v>
      </c>
      <c r="F1461" t="s">
        <v>26</v>
      </c>
      <c r="G1461" t="s">
        <v>27</v>
      </c>
    </row>
    <row r="1462" spans="1:7" x14ac:dyDescent="0.2">
      <c r="A1462">
        <v>10</v>
      </c>
      <c r="B1462">
        <v>41</v>
      </c>
      <c r="C1462" t="s">
        <v>992</v>
      </c>
      <c r="D1462" t="s">
        <v>24</v>
      </c>
      <c r="E1462" t="s">
        <v>25</v>
      </c>
      <c r="F1462" t="s">
        <v>26</v>
      </c>
      <c r="G1462" t="s">
        <v>27</v>
      </c>
    </row>
    <row r="1463" spans="1:7" x14ac:dyDescent="0.2">
      <c r="A1463">
        <v>11</v>
      </c>
      <c r="B1463">
        <v>41</v>
      </c>
      <c r="C1463" t="s">
        <v>993</v>
      </c>
      <c r="D1463" t="s">
        <v>24</v>
      </c>
      <c r="E1463" t="s">
        <v>25</v>
      </c>
      <c r="F1463" t="s">
        <v>47</v>
      </c>
      <c r="G1463" t="s">
        <v>27</v>
      </c>
    </row>
    <row r="1464" spans="1:7" x14ac:dyDescent="0.2">
      <c r="A1464">
        <v>11</v>
      </c>
      <c r="B1464">
        <v>41</v>
      </c>
      <c r="C1464" t="s">
        <v>971</v>
      </c>
      <c r="D1464" t="s">
        <v>24</v>
      </c>
      <c r="E1464" t="s">
        <v>31</v>
      </c>
      <c r="F1464" t="s">
        <v>26</v>
      </c>
      <c r="G1464" t="s">
        <v>27</v>
      </c>
    </row>
    <row r="1465" spans="1:7" x14ac:dyDescent="0.2">
      <c r="A1465">
        <v>11</v>
      </c>
      <c r="B1465">
        <v>41</v>
      </c>
      <c r="C1465" t="s">
        <v>994</v>
      </c>
      <c r="D1465" t="s">
        <v>24</v>
      </c>
      <c r="E1465" t="s">
        <v>31</v>
      </c>
      <c r="F1465" t="s">
        <v>47</v>
      </c>
      <c r="G1465" t="s">
        <v>27</v>
      </c>
    </row>
    <row r="1466" spans="1:7" x14ac:dyDescent="0.2">
      <c r="A1466">
        <v>11</v>
      </c>
      <c r="B1466">
        <v>41</v>
      </c>
      <c r="C1466" t="s">
        <v>995</v>
      </c>
      <c r="D1466" t="s">
        <v>24</v>
      </c>
      <c r="E1466" t="s">
        <v>31</v>
      </c>
      <c r="F1466" t="s">
        <v>47</v>
      </c>
      <c r="G1466" t="s">
        <v>27</v>
      </c>
    </row>
    <row r="1467" spans="1:7" x14ac:dyDescent="0.2">
      <c r="A1467">
        <v>11</v>
      </c>
      <c r="B1467">
        <v>41</v>
      </c>
      <c r="C1467" t="s">
        <v>972</v>
      </c>
      <c r="D1467" t="s">
        <v>24</v>
      </c>
      <c r="E1467" t="s">
        <v>31</v>
      </c>
      <c r="F1467" t="s">
        <v>47</v>
      </c>
      <c r="G1467" t="s">
        <v>27</v>
      </c>
    </row>
    <row r="1468" spans="1:7" x14ac:dyDescent="0.2">
      <c r="A1468">
        <v>11</v>
      </c>
      <c r="B1468">
        <v>41</v>
      </c>
      <c r="C1468" t="s">
        <v>973</v>
      </c>
      <c r="D1468" t="s">
        <v>24</v>
      </c>
      <c r="E1468" t="s">
        <v>31</v>
      </c>
      <c r="F1468" t="s">
        <v>47</v>
      </c>
      <c r="G1468" t="s">
        <v>27</v>
      </c>
    </row>
    <row r="1469" spans="1:7" x14ac:dyDescent="0.2">
      <c r="A1469">
        <v>11</v>
      </c>
      <c r="B1469">
        <v>41</v>
      </c>
      <c r="C1469" t="s">
        <v>996</v>
      </c>
      <c r="D1469" t="s">
        <v>24</v>
      </c>
      <c r="E1469" t="s">
        <v>31</v>
      </c>
      <c r="F1469" t="s">
        <v>47</v>
      </c>
      <c r="G1469" t="s">
        <v>27</v>
      </c>
    </row>
    <row r="1470" spans="1:7" x14ac:dyDescent="0.2">
      <c r="A1470">
        <v>11</v>
      </c>
      <c r="B1470">
        <v>41</v>
      </c>
      <c r="C1470" t="s">
        <v>673</v>
      </c>
      <c r="D1470" t="s">
        <v>24</v>
      </c>
      <c r="E1470" t="s">
        <v>31</v>
      </c>
      <c r="F1470" t="s">
        <v>47</v>
      </c>
      <c r="G1470" t="s">
        <v>27</v>
      </c>
    </row>
    <row r="1471" spans="1:7" x14ac:dyDescent="0.2">
      <c r="A1471">
        <v>11</v>
      </c>
      <c r="B1471">
        <v>41</v>
      </c>
      <c r="C1471" t="s">
        <v>997</v>
      </c>
      <c r="D1471" t="s">
        <v>24</v>
      </c>
      <c r="E1471" t="s">
        <v>31</v>
      </c>
      <c r="F1471" t="s">
        <v>47</v>
      </c>
      <c r="G1471" t="s">
        <v>27</v>
      </c>
    </row>
    <row r="1472" spans="1:7" x14ac:dyDescent="0.2">
      <c r="A1472">
        <v>11</v>
      </c>
      <c r="B1472">
        <v>41</v>
      </c>
      <c r="C1472" t="s">
        <v>654</v>
      </c>
      <c r="D1472" t="s">
        <v>24</v>
      </c>
      <c r="E1472" t="s">
        <v>31</v>
      </c>
      <c r="F1472" t="s">
        <v>47</v>
      </c>
      <c r="G1472" t="s">
        <v>27</v>
      </c>
    </row>
    <row r="1473" spans="1:7" x14ac:dyDescent="0.2">
      <c r="A1473">
        <v>11</v>
      </c>
      <c r="B1473">
        <v>41</v>
      </c>
      <c r="C1473" t="s">
        <v>653</v>
      </c>
      <c r="D1473" t="s">
        <v>24</v>
      </c>
      <c r="E1473" t="s">
        <v>31</v>
      </c>
      <c r="F1473" t="s">
        <v>47</v>
      </c>
      <c r="G1473" t="s">
        <v>27</v>
      </c>
    </row>
    <row r="1474" spans="1:7" x14ac:dyDescent="0.2">
      <c r="A1474">
        <v>11</v>
      </c>
      <c r="B1474">
        <v>41</v>
      </c>
      <c r="C1474" t="s">
        <v>981</v>
      </c>
      <c r="D1474" t="s">
        <v>24</v>
      </c>
      <c r="E1474" t="s">
        <v>31</v>
      </c>
      <c r="F1474" t="s">
        <v>47</v>
      </c>
      <c r="G1474" t="s">
        <v>27</v>
      </c>
    </row>
    <row r="1475" spans="1:7" x14ac:dyDescent="0.2">
      <c r="A1475">
        <v>12</v>
      </c>
      <c r="B1475">
        <v>41</v>
      </c>
      <c r="C1475" t="s">
        <v>998</v>
      </c>
      <c r="D1475" t="s">
        <v>24</v>
      </c>
      <c r="E1475" t="s">
        <v>31</v>
      </c>
      <c r="F1475" t="s">
        <v>26</v>
      </c>
      <c r="G1475" t="s">
        <v>27</v>
      </c>
    </row>
    <row r="1476" spans="1:7" x14ac:dyDescent="0.2">
      <c r="A1476">
        <v>12</v>
      </c>
      <c r="B1476">
        <v>41</v>
      </c>
      <c r="C1476" t="s">
        <v>999</v>
      </c>
      <c r="D1476" t="s">
        <v>30</v>
      </c>
      <c r="E1476" t="s">
        <v>31</v>
      </c>
      <c r="F1476" t="s">
        <v>87</v>
      </c>
      <c r="G1476" t="s">
        <v>27</v>
      </c>
    </row>
    <row r="1477" spans="1:7" x14ac:dyDescent="0.2">
      <c r="A1477">
        <v>12</v>
      </c>
      <c r="B1477">
        <v>41</v>
      </c>
      <c r="C1477" t="s">
        <v>981</v>
      </c>
      <c r="D1477" t="s">
        <v>24</v>
      </c>
      <c r="E1477" t="s">
        <v>31</v>
      </c>
      <c r="F1477" t="s">
        <v>26</v>
      </c>
      <c r="G1477" t="s">
        <v>27</v>
      </c>
    </row>
    <row r="1478" spans="1:7" x14ac:dyDescent="0.2">
      <c r="A1478">
        <v>12</v>
      </c>
      <c r="B1478">
        <v>41</v>
      </c>
      <c r="C1478" t="s">
        <v>654</v>
      </c>
      <c r="D1478" t="s">
        <v>24</v>
      </c>
      <c r="E1478" t="s">
        <v>31</v>
      </c>
      <c r="F1478" t="s">
        <v>26</v>
      </c>
      <c r="G1478" t="s">
        <v>27</v>
      </c>
    </row>
    <row r="1479" spans="1:7" x14ac:dyDescent="0.2">
      <c r="A1479">
        <v>12</v>
      </c>
      <c r="B1479">
        <v>41</v>
      </c>
      <c r="C1479" t="s">
        <v>1000</v>
      </c>
      <c r="D1479" t="s">
        <v>24</v>
      </c>
      <c r="E1479" t="s">
        <v>31</v>
      </c>
      <c r="F1479" t="s">
        <v>26</v>
      </c>
      <c r="G1479" t="s">
        <v>27</v>
      </c>
    </row>
    <row r="1480" spans="1:7" x14ac:dyDescent="0.2">
      <c r="A1480">
        <v>13</v>
      </c>
      <c r="B1480">
        <v>41</v>
      </c>
      <c r="C1480" t="s">
        <v>1001</v>
      </c>
      <c r="D1480" t="s">
        <v>24</v>
      </c>
      <c r="E1480" t="s">
        <v>25</v>
      </c>
      <c r="F1480" t="s">
        <v>26</v>
      </c>
      <c r="G1480" t="s">
        <v>27</v>
      </c>
    </row>
    <row r="1481" spans="1:7" x14ac:dyDescent="0.2">
      <c r="A1481">
        <v>13</v>
      </c>
      <c r="B1481">
        <v>41</v>
      </c>
      <c r="C1481" t="s">
        <v>998</v>
      </c>
      <c r="D1481" t="s">
        <v>24</v>
      </c>
      <c r="E1481" t="s">
        <v>25</v>
      </c>
      <c r="F1481" t="s">
        <v>26</v>
      </c>
      <c r="G1481" t="s">
        <v>27</v>
      </c>
    </row>
    <row r="1482" spans="1:7" x14ac:dyDescent="0.2">
      <c r="A1482">
        <v>13</v>
      </c>
      <c r="B1482">
        <v>41</v>
      </c>
      <c r="C1482" t="s">
        <v>1002</v>
      </c>
      <c r="D1482" t="s">
        <v>24</v>
      </c>
      <c r="E1482" t="s">
        <v>25</v>
      </c>
      <c r="F1482" t="s">
        <v>26</v>
      </c>
      <c r="G1482" t="s">
        <v>27</v>
      </c>
    </row>
    <row r="1483" spans="1:7" x14ac:dyDescent="0.2">
      <c r="A1483">
        <v>13</v>
      </c>
      <c r="B1483">
        <v>41</v>
      </c>
      <c r="C1483" t="s">
        <v>1003</v>
      </c>
      <c r="D1483" t="s">
        <v>24</v>
      </c>
      <c r="E1483" t="s">
        <v>25</v>
      </c>
      <c r="F1483" t="s">
        <v>26</v>
      </c>
      <c r="G1483" t="s">
        <v>27</v>
      </c>
    </row>
    <row r="1484" spans="1:7" x14ac:dyDescent="0.2">
      <c r="A1484">
        <v>13</v>
      </c>
      <c r="B1484">
        <v>41</v>
      </c>
      <c r="C1484" t="s">
        <v>1004</v>
      </c>
      <c r="D1484" t="s">
        <v>24</v>
      </c>
      <c r="E1484" t="s">
        <v>25</v>
      </c>
      <c r="F1484" t="s">
        <v>26</v>
      </c>
      <c r="G1484" t="s">
        <v>27</v>
      </c>
    </row>
    <row r="1485" spans="1:7" x14ac:dyDescent="0.2">
      <c r="A1485">
        <v>13</v>
      </c>
      <c r="B1485">
        <v>41</v>
      </c>
      <c r="C1485" t="s">
        <v>1000</v>
      </c>
      <c r="D1485" t="s">
        <v>24</v>
      </c>
      <c r="E1485" t="s">
        <v>25</v>
      </c>
      <c r="F1485" t="s">
        <v>26</v>
      </c>
      <c r="G1485" t="s">
        <v>27</v>
      </c>
    </row>
    <row r="1486" spans="1:7" x14ac:dyDescent="0.2">
      <c r="A1486">
        <v>13</v>
      </c>
      <c r="B1486">
        <v>41</v>
      </c>
      <c r="C1486" t="s">
        <v>977</v>
      </c>
      <c r="D1486" t="s">
        <v>24</v>
      </c>
      <c r="E1486" t="s">
        <v>25</v>
      </c>
      <c r="F1486" t="s">
        <v>26</v>
      </c>
      <c r="G1486" t="s">
        <v>27</v>
      </c>
    </row>
    <row r="1487" spans="1:7" x14ac:dyDescent="0.2">
      <c r="A1487">
        <v>13</v>
      </c>
      <c r="B1487">
        <v>41</v>
      </c>
      <c r="C1487" t="s">
        <v>654</v>
      </c>
      <c r="D1487" t="s">
        <v>24</v>
      </c>
      <c r="E1487" t="s">
        <v>25</v>
      </c>
      <c r="F1487" t="s">
        <v>26</v>
      </c>
      <c r="G1487" t="s">
        <v>27</v>
      </c>
    </row>
    <row r="1488" spans="1:7" x14ac:dyDescent="0.2">
      <c r="A1488">
        <v>14</v>
      </c>
      <c r="B1488">
        <v>41</v>
      </c>
      <c r="C1488" t="s">
        <v>968</v>
      </c>
      <c r="D1488" t="s">
        <v>24</v>
      </c>
      <c r="E1488" t="s">
        <v>31</v>
      </c>
      <c r="F1488" t="s">
        <v>47</v>
      </c>
      <c r="G1488" t="s">
        <v>27</v>
      </c>
    </row>
    <row r="1489" spans="1:7" x14ac:dyDescent="0.2">
      <c r="A1489">
        <v>14</v>
      </c>
      <c r="B1489">
        <v>41</v>
      </c>
      <c r="C1489" t="s">
        <v>968</v>
      </c>
      <c r="D1489" t="s">
        <v>24</v>
      </c>
      <c r="E1489" t="s">
        <v>31</v>
      </c>
      <c r="F1489" t="s">
        <v>47</v>
      </c>
      <c r="G1489" t="s">
        <v>27</v>
      </c>
    </row>
    <row r="1490" spans="1:7" x14ac:dyDescent="0.2">
      <c r="A1490">
        <v>14</v>
      </c>
      <c r="B1490">
        <v>41</v>
      </c>
      <c r="C1490" t="s">
        <v>661</v>
      </c>
      <c r="D1490" t="s">
        <v>24</v>
      </c>
      <c r="E1490" t="s">
        <v>31</v>
      </c>
      <c r="F1490" t="s">
        <v>47</v>
      </c>
      <c r="G1490" t="s">
        <v>27</v>
      </c>
    </row>
    <row r="1491" spans="1:7" x14ac:dyDescent="0.2">
      <c r="A1491">
        <v>14</v>
      </c>
      <c r="B1491">
        <v>41</v>
      </c>
      <c r="C1491" t="s">
        <v>998</v>
      </c>
      <c r="D1491" t="s">
        <v>24</v>
      </c>
      <c r="E1491" t="s">
        <v>31</v>
      </c>
      <c r="F1491" t="s">
        <v>47</v>
      </c>
      <c r="G1491" t="s">
        <v>27</v>
      </c>
    </row>
    <row r="1492" spans="1:7" x14ac:dyDescent="0.2">
      <c r="A1492">
        <v>14</v>
      </c>
      <c r="B1492">
        <v>41</v>
      </c>
      <c r="C1492" t="s">
        <v>1005</v>
      </c>
      <c r="D1492" t="s">
        <v>24</v>
      </c>
      <c r="E1492" t="s">
        <v>31</v>
      </c>
      <c r="F1492" t="s">
        <v>47</v>
      </c>
      <c r="G1492" t="s">
        <v>27</v>
      </c>
    </row>
    <row r="1493" spans="1:7" x14ac:dyDescent="0.2">
      <c r="A1493">
        <v>14</v>
      </c>
      <c r="B1493">
        <v>41</v>
      </c>
      <c r="C1493" t="s">
        <v>1000</v>
      </c>
      <c r="D1493" t="s">
        <v>24</v>
      </c>
      <c r="E1493" t="s">
        <v>31</v>
      </c>
      <c r="F1493" t="s">
        <v>47</v>
      </c>
      <c r="G1493" t="s">
        <v>27</v>
      </c>
    </row>
    <row r="1494" spans="1:7" x14ac:dyDescent="0.2">
      <c r="A1494">
        <v>14</v>
      </c>
      <c r="B1494">
        <v>41</v>
      </c>
      <c r="C1494" t="s">
        <v>977</v>
      </c>
      <c r="D1494" t="s">
        <v>24</v>
      </c>
      <c r="E1494" t="s">
        <v>31</v>
      </c>
      <c r="F1494" t="s">
        <v>47</v>
      </c>
      <c r="G1494" t="s">
        <v>27</v>
      </c>
    </row>
    <row r="1495" spans="1:7" x14ac:dyDescent="0.2">
      <c r="A1495">
        <v>14</v>
      </c>
      <c r="B1495">
        <v>41</v>
      </c>
      <c r="C1495" t="s">
        <v>1006</v>
      </c>
      <c r="D1495" t="s">
        <v>24</v>
      </c>
      <c r="E1495" t="s">
        <v>31</v>
      </c>
      <c r="F1495" t="s">
        <v>47</v>
      </c>
      <c r="G1495" t="s">
        <v>27</v>
      </c>
    </row>
    <row r="1496" spans="1:7" x14ac:dyDescent="0.2">
      <c r="A1496">
        <v>14</v>
      </c>
      <c r="B1496">
        <v>41</v>
      </c>
      <c r="C1496" t="s">
        <v>1007</v>
      </c>
      <c r="D1496" t="s">
        <v>24</v>
      </c>
      <c r="E1496" t="s">
        <v>31</v>
      </c>
      <c r="F1496" t="s">
        <v>47</v>
      </c>
      <c r="G1496" t="s">
        <v>27</v>
      </c>
    </row>
    <row r="1497" spans="1:7" x14ac:dyDescent="0.2">
      <c r="A1497">
        <v>14</v>
      </c>
      <c r="B1497">
        <v>41</v>
      </c>
      <c r="C1497" t="s">
        <v>981</v>
      </c>
      <c r="D1497" t="s">
        <v>24</v>
      </c>
      <c r="E1497" t="s">
        <v>31</v>
      </c>
      <c r="F1497" t="s">
        <v>47</v>
      </c>
      <c r="G1497" t="s">
        <v>27</v>
      </c>
    </row>
    <row r="1498" spans="1:7" x14ac:dyDescent="0.2">
      <c r="A1498">
        <v>15</v>
      </c>
      <c r="B1498">
        <v>41</v>
      </c>
      <c r="C1498" t="s">
        <v>1000</v>
      </c>
      <c r="D1498" t="s">
        <v>24</v>
      </c>
      <c r="E1498" t="s">
        <v>31</v>
      </c>
      <c r="F1498" t="s">
        <v>47</v>
      </c>
      <c r="G1498" t="s">
        <v>27</v>
      </c>
    </row>
    <row r="1499" spans="1:7" x14ac:dyDescent="0.2">
      <c r="A1499">
        <v>15</v>
      </c>
      <c r="B1499">
        <v>41</v>
      </c>
      <c r="C1499" t="s">
        <v>968</v>
      </c>
      <c r="D1499" t="s">
        <v>24</v>
      </c>
      <c r="E1499" t="s">
        <v>31</v>
      </c>
      <c r="F1499" t="s">
        <v>47</v>
      </c>
      <c r="G1499" t="s">
        <v>27</v>
      </c>
    </row>
    <row r="1500" spans="1:7" x14ac:dyDescent="0.2">
      <c r="A1500">
        <v>15</v>
      </c>
      <c r="B1500">
        <v>41</v>
      </c>
      <c r="C1500" t="s">
        <v>1008</v>
      </c>
      <c r="D1500" t="s">
        <v>24</v>
      </c>
      <c r="E1500" t="s">
        <v>31</v>
      </c>
      <c r="F1500" t="s">
        <v>47</v>
      </c>
      <c r="G1500" t="s">
        <v>27</v>
      </c>
    </row>
    <row r="1501" spans="1:7" x14ac:dyDescent="0.2">
      <c r="A1501">
        <v>15</v>
      </c>
      <c r="B1501">
        <v>41</v>
      </c>
      <c r="C1501" t="s">
        <v>655</v>
      </c>
      <c r="D1501" t="s">
        <v>24</v>
      </c>
      <c r="E1501" t="s">
        <v>31</v>
      </c>
      <c r="F1501" t="s">
        <v>47</v>
      </c>
      <c r="G1501" t="s">
        <v>27</v>
      </c>
    </row>
    <row r="1502" spans="1:7" x14ac:dyDescent="0.2">
      <c r="A1502">
        <v>15</v>
      </c>
      <c r="B1502">
        <v>41</v>
      </c>
      <c r="C1502" t="s">
        <v>1007</v>
      </c>
      <c r="D1502" t="s">
        <v>24</v>
      </c>
      <c r="E1502" t="s">
        <v>31</v>
      </c>
      <c r="F1502" t="s">
        <v>47</v>
      </c>
      <c r="G1502" t="s">
        <v>27</v>
      </c>
    </row>
    <row r="1503" spans="1:7" x14ac:dyDescent="0.2">
      <c r="A1503">
        <v>15</v>
      </c>
      <c r="B1503">
        <v>41</v>
      </c>
      <c r="C1503" t="s">
        <v>981</v>
      </c>
      <c r="D1503" t="s">
        <v>24</v>
      </c>
      <c r="E1503" t="s">
        <v>31</v>
      </c>
      <c r="F1503" t="s">
        <v>47</v>
      </c>
      <c r="G1503" t="s">
        <v>27</v>
      </c>
    </row>
    <row r="1504" spans="1:7" x14ac:dyDescent="0.2">
      <c r="A1504">
        <v>16</v>
      </c>
      <c r="B1504">
        <v>41</v>
      </c>
      <c r="C1504" t="s">
        <v>1008</v>
      </c>
      <c r="D1504" t="s">
        <v>24</v>
      </c>
      <c r="E1504" t="s">
        <v>31</v>
      </c>
      <c r="F1504" t="s">
        <v>26</v>
      </c>
      <c r="G1504" t="s">
        <v>27</v>
      </c>
    </row>
    <row r="1505" spans="1:7" x14ac:dyDescent="0.2">
      <c r="A1505">
        <v>16</v>
      </c>
      <c r="B1505">
        <v>41</v>
      </c>
      <c r="C1505" t="s">
        <v>1009</v>
      </c>
      <c r="D1505" t="s">
        <v>24</v>
      </c>
      <c r="E1505" t="s">
        <v>31</v>
      </c>
      <c r="F1505" t="s">
        <v>26</v>
      </c>
      <c r="G1505" t="s">
        <v>27</v>
      </c>
    </row>
    <row r="1506" spans="1:7" x14ac:dyDescent="0.2">
      <c r="A1506">
        <v>16</v>
      </c>
      <c r="B1506">
        <v>41</v>
      </c>
      <c r="C1506" t="s">
        <v>1010</v>
      </c>
      <c r="D1506" t="s">
        <v>24</v>
      </c>
      <c r="E1506" t="s">
        <v>31</v>
      </c>
      <c r="F1506" t="s">
        <v>26</v>
      </c>
      <c r="G1506" t="s">
        <v>27</v>
      </c>
    </row>
    <row r="1507" spans="1:7" x14ac:dyDescent="0.2">
      <c r="A1507">
        <v>17</v>
      </c>
      <c r="B1507">
        <v>41</v>
      </c>
      <c r="C1507" t="s">
        <v>1009</v>
      </c>
      <c r="D1507" t="s">
        <v>24</v>
      </c>
      <c r="E1507" t="s">
        <v>31</v>
      </c>
      <c r="F1507" t="s">
        <v>26</v>
      </c>
      <c r="G1507" t="s">
        <v>27</v>
      </c>
    </row>
    <row r="1508" spans="1:7" x14ac:dyDescent="0.2">
      <c r="A1508">
        <v>17</v>
      </c>
      <c r="B1508">
        <v>41</v>
      </c>
      <c r="C1508" t="s">
        <v>1011</v>
      </c>
      <c r="D1508" t="s">
        <v>24</v>
      </c>
      <c r="E1508" t="s">
        <v>31</v>
      </c>
      <c r="F1508" t="s">
        <v>26</v>
      </c>
      <c r="G1508" t="s">
        <v>27</v>
      </c>
    </row>
    <row r="1509" spans="1:7" x14ac:dyDescent="0.2">
      <c r="A1509">
        <v>17</v>
      </c>
      <c r="B1509">
        <v>41</v>
      </c>
      <c r="C1509" t="s">
        <v>676</v>
      </c>
      <c r="D1509" t="s">
        <v>24</v>
      </c>
      <c r="E1509" t="s">
        <v>31</v>
      </c>
      <c r="F1509" t="s">
        <v>47</v>
      </c>
      <c r="G1509" t="s">
        <v>27</v>
      </c>
    </row>
    <row r="1510" spans="1:7" x14ac:dyDescent="0.2">
      <c r="A1510">
        <v>17</v>
      </c>
      <c r="B1510">
        <v>41</v>
      </c>
      <c r="C1510" t="s">
        <v>1010</v>
      </c>
      <c r="D1510" t="s">
        <v>24</v>
      </c>
      <c r="E1510" t="s">
        <v>31</v>
      </c>
      <c r="F1510" t="s">
        <v>26</v>
      </c>
      <c r="G1510" t="s">
        <v>27</v>
      </c>
    </row>
    <row r="1511" spans="1:7" x14ac:dyDescent="0.2">
      <c r="A1511">
        <v>17</v>
      </c>
      <c r="B1511">
        <v>41</v>
      </c>
      <c r="C1511" t="s">
        <v>674</v>
      </c>
      <c r="D1511" t="s">
        <v>24</v>
      </c>
      <c r="E1511" t="s">
        <v>31</v>
      </c>
      <c r="F1511" t="s">
        <v>47</v>
      </c>
      <c r="G1511" t="s">
        <v>27</v>
      </c>
    </row>
    <row r="1512" spans="1:7" x14ac:dyDescent="0.2">
      <c r="A1512">
        <v>17</v>
      </c>
      <c r="B1512">
        <v>41</v>
      </c>
      <c r="C1512" t="s">
        <v>673</v>
      </c>
      <c r="D1512" t="s">
        <v>24</v>
      </c>
      <c r="E1512" t="s">
        <v>31</v>
      </c>
      <c r="F1512" t="s">
        <v>47</v>
      </c>
      <c r="G1512" t="s">
        <v>27</v>
      </c>
    </row>
    <row r="1513" spans="1:7" x14ac:dyDescent="0.2">
      <c r="A1513">
        <v>17</v>
      </c>
      <c r="B1513">
        <v>41</v>
      </c>
      <c r="C1513" t="s">
        <v>654</v>
      </c>
      <c r="D1513" t="s">
        <v>24</v>
      </c>
      <c r="E1513" t="s">
        <v>31</v>
      </c>
      <c r="F1513" t="s">
        <v>47</v>
      </c>
      <c r="G1513" t="s">
        <v>27</v>
      </c>
    </row>
    <row r="1514" spans="1:7" x14ac:dyDescent="0.2">
      <c r="A1514">
        <v>18</v>
      </c>
      <c r="B1514">
        <v>41</v>
      </c>
      <c r="C1514" t="s">
        <v>1009</v>
      </c>
      <c r="D1514" t="s">
        <v>24</v>
      </c>
      <c r="E1514" t="s">
        <v>31</v>
      </c>
      <c r="F1514" t="s">
        <v>47</v>
      </c>
      <c r="G1514" t="s">
        <v>27</v>
      </c>
    </row>
    <row r="1515" spans="1:7" x14ac:dyDescent="0.2">
      <c r="A1515">
        <v>18</v>
      </c>
      <c r="B1515">
        <v>41</v>
      </c>
      <c r="C1515" t="s">
        <v>673</v>
      </c>
      <c r="D1515" t="s">
        <v>24</v>
      </c>
      <c r="E1515" t="s">
        <v>31</v>
      </c>
      <c r="F1515" t="s">
        <v>47</v>
      </c>
      <c r="G1515" t="s">
        <v>27</v>
      </c>
    </row>
    <row r="1516" spans="1:7" x14ac:dyDescent="0.2">
      <c r="A1516">
        <v>18</v>
      </c>
      <c r="B1516">
        <v>41</v>
      </c>
      <c r="C1516" t="s">
        <v>968</v>
      </c>
      <c r="D1516" t="s">
        <v>24</v>
      </c>
      <c r="E1516" t="s">
        <v>31</v>
      </c>
      <c r="F1516" t="s">
        <v>47</v>
      </c>
      <c r="G1516" t="s">
        <v>27</v>
      </c>
    </row>
    <row r="1517" spans="1:7" x14ac:dyDescent="0.2">
      <c r="A1517">
        <v>19</v>
      </c>
      <c r="B1517">
        <v>41</v>
      </c>
      <c r="C1517" t="s">
        <v>1009</v>
      </c>
      <c r="D1517" t="s">
        <v>24</v>
      </c>
      <c r="E1517" t="s">
        <v>31</v>
      </c>
      <c r="F1517" t="s">
        <v>26</v>
      </c>
      <c r="G1517" t="s">
        <v>27</v>
      </c>
    </row>
    <row r="1518" spans="1:7" x14ac:dyDescent="0.2">
      <c r="A1518">
        <v>19</v>
      </c>
      <c r="B1518">
        <v>41</v>
      </c>
      <c r="C1518" t="s">
        <v>1012</v>
      </c>
      <c r="D1518" t="s">
        <v>24</v>
      </c>
      <c r="E1518" t="s">
        <v>31</v>
      </c>
      <c r="F1518" t="s">
        <v>47</v>
      </c>
      <c r="G1518" t="s">
        <v>27</v>
      </c>
    </row>
    <row r="1519" spans="1:7" x14ac:dyDescent="0.2">
      <c r="A1519">
        <v>19</v>
      </c>
      <c r="B1519">
        <v>41</v>
      </c>
      <c r="C1519" t="s">
        <v>1013</v>
      </c>
      <c r="D1519" t="s">
        <v>24</v>
      </c>
      <c r="E1519" t="s">
        <v>31</v>
      </c>
      <c r="F1519" t="s">
        <v>26</v>
      </c>
      <c r="G1519" t="s">
        <v>27</v>
      </c>
    </row>
    <row r="1520" spans="1:7" x14ac:dyDescent="0.2">
      <c r="A1520">
        <v>19</v>
      </c>
      <c r="B1520">
        <v>41</v>
      </c>
      <c r="C1520" t="s">
        <v>674</v>
      </c>
      <c r="D1520" t="s">
        <v>24</v>
      </c>
      <c r="E1520" t="s">
        <v>31</v>
      </c>
      <c r="F1520" t="s">
        <v>47</v>
      </c>
      <c r="G1520" t="s">
        <v>27</v>
      </c>
    </row>
    <row r="1521" spans="1:7" x14ac:dyDescent="0.2">
      <c r="A1521">
        <v>19</v>
      </c>
      <c r="B1521">
        <v>41</v>
      </c>
      <c r="C1521" t="s">
        <v>673</v>
      </c>
      <c r="D1521" t="s">
        <v>24</v>
      </c>
      <c r="E1521" t="s">
        <v>31</v>
      </c>
      <c r="F1521" t="s">
        <v>47</v>
      </c>
      <c r="G1521" t="s">
        <v>27</v>
      </c>
    </row>
    <row r="1522" spans="1:7" x14ac:dyDescent="0.2">
      <c r="A1522">
        <v>19</v>
      </c>
      <c r="B1522">
        <v>41</v>
      </c>
      <c r="C1522" t="s">
        <v>1014</v>
      </c>
      <c r="D1522" t="s">
        <v>24</v>
      </c>
      <c r="E1522" t="s">
        <v>31</v>
      </c>
      <c r="F1522" t="s">
        <v>47</v>
      </c>
      <c r="G1522" t="s">
        <v>27</v>
      </c>
    </row>
    <row r="1523" spans="1:7" x14ac:dyDescent="0.2">
      <c r="A1523">
        <v>19</v>
      </c>
      <c r="B1523">
        <v>41</v>
      </c>
      <c r="C1523" t="s">
        <v>1015</v>
      </c>
      <c r="D1523" t="s">
        <v>24</v>
      </c>
      <c r="E1523" t="s">
        <v>31</v>
      </c>
      <c r="F1523" t="s">
        <v>47</v>
      </c>
      <c r="G1523" t="s">
        <v>27</v>
      </c>
    </row>
    <row r="1524" spans="1:7" x14ac:dyDescent="0.2">
      <c r="A1524">
        <v>19</v>
      </c>
      <c r="B1524">
        <v>41</v>
      </c>
      <c r="C1524" t="s">
        <v>1016</v>
      </c>
      <c r="D1524" t="s">
        <v>24</v>
      </c>
      <c r="E1524" t="s">
        <v>31</v>
      </c>
      <c r="F1524" t="s">
        <v>47</v>
      </c>
      <c r="G1524" t="s">
        <v>27</v>
      </c>
    </row>
    <row r="1525" spans="1:7" x14ac:dyDescent="0.2">
      <c r="A1525">
        <v>19</v>
      </c>
      <c r="B1525">
        <v>41</v>
      </c>
      <c r="C1525" t="s">
        <v>1017</v>
      </c>
      <c r="D1525" t="s">
        <v>24</v>
      </c>
      <c r="E1525" t="s">
        <v>31</v>
      </c>
      <c r="F1525" t="s">
        <v>47</v>
      </c>
      <c r="G1525" t="s">
        <v>27</v>
      </c>
    </row>
    <row r="1526" spans="1:7" x14ac:dyDescent="0.2">
      <c r="A1526">
        <v>19</v>
      </c>
      <c r="B1526">
        <v>41</v>
      </c>
      <c r="C1526" t="s">
        <v>867</v>
      </c>
      <c r="D1526" t="s">
        <v>24</v>
      </c>
      <c r="E1526" t="s">
        <v>31</v>
      </c>
      <c r="F1526" t="s">
        <v>26</v>
      </c>
      <c r="G1526" t="s">
        <v>27</v>
      </c>
    </row>
    <row r="1527" spans="1:7" x14ac:dyDescent="0.2">
      <c r="A1527">
        <v>20</v>
      </c>
      <c r="B1527">
        <v>41</v>
      </c>
      <c r="C1527" t="s">
        <v>1009</v>
      </c>
      <c r="D1527" t="s">
        <v>24</v>
      </c>
      <c r="E1527" t="s">
        <v>31</v>
      </c>
      <c r="F1527" t="s">
        <v>26</v>
      </c>
      <c r="G1527" t="s">
        <v>27</v>
      </c>
    </row>
    <row r="1528" spans="1:7" x14ac:dyDescent="0.2">
      <c r="A1528">
        <v>20</v>
      </c>
      <c r="B1528">
        <v>41</v>
      </c>
      <c r="C1528" t="s">
        <v>1000</v>
      </c>
      <c r="D1528" t="s">
        <v>24</v>
      </c>
      <c r="E1528" t="s">
        <v>31</v>
      </c>
      <c r="F1528" t="s">
        <v>26</v>
      </c>
      <c r="G1528" t="s">
        <v>27</v>
      </c>
    </row>
    <row r="1529" spans="1:7" x14ac:dyDescent="0.2">
      <c r="A1529">
        <v>20</v>
      </c>
      <c r="B1529">
        <v>41</v>
      </c>
      <c r="C1529" t="s">
        <v>1018</v>
      </c>
      <c r="D1529" t="s">
        <v>24</v>
      </c>
      <c r="E1529" t="s">
        <v>31</v>
      </c>
      <c r="F1529" t="s">
        <v>26</v>
      </c>
      <c r="G1529" t="s">
        <v>27</v>
      </c>
    </row>
    <row r="1530" spans="1:7" x14ac:dyDescent="0.2">
      <c r="A1530">
        <v>20</v>
      </c>
      <c r="B1530">
        <v>41</v>
      </c>
      <c r="C1530" t="s">
        <v>1019</v>
      </c>
      <c r="D1530" t="s">
        <v>24</v>
      </c>
      <c r="E1530" t="s">
        <v>31</v>
      </c>
      <c r="F1530" t="s">
        <v>47</v>
      </c>
      <c r="G1530" t="s">
        <v>27</v>
      </c>
    </row>
    <row r="1531" spans="1:7" x14ac:dyDescent="0.2">
      <c r="A1531">
        <v>21</v>
      </c>
      <c r="B1531">
        <v>41</v>
      </c>
      <c r="C1531" t="s">
        <v>1020</v>
      </c>
      <c r="D1531" t="s">
        <v>24</v>
      </c>
      <c r="E1531" t="s">
        <v>25</v>
      </c>
      <c r="F1531" t="s">
        <v>26</v>
      </c>
      <c r="G1531" t="s">
        <v>27</v>
      </c>
    </row>
    <row r="1532" spans="1:7" x14ac:dyDescent="0.2">
      <c r="A1532">
        <v>21</v>
      </c>
      <c r="B1532">
        <v>41</v>
      </c>
      <c r="C1532" t="s">
        <v>998</v>
      </c>
      <c r="D1532" t="s">
        <v>24</v>
      </c>
      <c r="E1532" t="s">
        <v>25</v>
      </c>
      <c r="F1532" t="s">
        <v>26</v>
      </c>
      <c r="G1532" t="s">
        <v>27</v>
      </c>
    </row>
    <row r="1533" spans="1:7" x14ac:dyDescent="0.2">
      <c r="A1533">
        <v>21</v>
      </c>
      <c r="B1533">
        <v>41</v>
      </c>
      <c r="C1533" t="s">
        <v>1000</v>
      </c>
      <c r="D1533" t="s">
        <v>24</v>
      </c>
      <c r="E1533" t="s">
        <v>25</v>
      </c>
      <c r="F1533" t="s">
        <v>26</v>
      </c>
      <c r="G1533" t="s">
        <v>27</v>
      </c>
    </row>
    <row r="1534" spans="1:7" x14ac:dyDescent="0.2">
      <c r="A1534">
        <v>21</v>
      </c>
      <c r="B1534">
        <v>41</v>
      </c>
      <c r="C1534" t="s">
        <v>1021</v>
      </c>
      <c r="D1534" t="s">
        <v>24</v>
      </c>
      <c r="E1534" t="s">
        <v>25</v>
      </c>
      <c r="F1534" t="s">
        <v>26</v>
      </c>
      <c r="G1534" t="s">
        <v>27</v>
      </c>
    </row>
    <row r="1535" spans="1:7" x14ac:dyDescent="0.2">
      <c r="A1535">
        <v>21</v>
      </c>
      <c r="B1535">
        <v>41</v>
      </c>
      <c r="C1535" t="s">
        <v>1022</v>
      </c>
      <c r="D1535" t="s">
        <v>24</v>
      </c>
      <c r="E1535" t="s">
        <v>25</v>
      </c>
      <c r="F1535" t="s">
        <v>26</v>
      </c>
      <c r="G1535" t="s">
        <v>27</v>
      </c>
    </row>
    <row r="1536" spans="1:7" x14ac:dyDescent="0.2">
      <c r="A1536">
        <v>21</v>
      </c>
      <c r="B1536">
        <v>41</v>
      </c>
      <c r="C1536" t="s">
        <v>1023</v>
      </c>
      <c r="D1536" t="s">
        <v>24</v>
      </c>
      <c r="E1536" t="s">
        <v>25</v>
      </c>
      <c r="F1536" t="s">
        <v>26</v>
      </c>
      <c r="G1536" t="s">
        <v>27</v>
      </c>
    </row>
    <row r="1537" spans="1:7" x14ac:dyDescent="0.2">
      <c r="A1537">
        <v>21</v>
      </c>
      <c r="B1537">
        <v>41</v>
      </c>
      <c r="C1537" t="s">
        <v>1024</v>
      </c>
      <c r="D1537" t="s">
        <v>24</v>
      </c>
      <c r="E1537" t="s">
        <v>25</v>
      </c>
      <c r="F1537" t="s">
        <v>26</v>
      </c>
      <c r="G1537" t="s">
        <v>27</v>
      </c>
    </row>
    <row r="1538" spans="1:7" x14ac:dyDescent="0.2">
      <c r="A1538">
        <v>21</v>
      </c>
      <c r="B1538">
        <v>41</v>
      </c>
      <c r="C1538" t="s">
        <v>1025</v>
      </c>
      <c r="D1538" t="s">
        <v>24</v>
      </c>
      <c r="E1538" t="s">
        <v>25</v>
      </c>
      <c r="F1538" t="s">
        <v>26</v>
      </c>
      <c r="G1538" t="s">
        <v>27</v>
      </c>
    </row>
    <row r="1539" spans="1:7" x14ac:dyDescent="0.2">
      <c r="A1539">
        <v>21</v>
      </c>
      <c r="B1539">
        <v>41</v>
      </c>
      <c r="C1539" t="s">
        <v>1026</v>
      </c>
      <c r="D1539" t="s">
        <v>24</v>
      </c>
      <c r="E1539" t="s">
        <v>25</v>
      </c>
      <c r="F1539" t="s">
        <v>26</v>
      </c>
      <c r="G1539" t="s">
        <v>27</v>
      </c>
    </row>
    <row r="1540" spans="1:7" x14ac:dyDescent="0.2">
      <c r="A1540">
        <v>22</v>
      </c>
      <c r="B1540">
        <v>41</v>
      </c>
      <c r="C1540" t="s">
        <v>1027</v>
      </c>
      <c r="D1540" t="s">
        <v>24</v>
      </c>
      <c r="E1540" t="s">
        <v>31</v>
      </c>
      <c r="F1540" t="s">
        <v>26</v>
      </c>
      <c r="G1540" t="s">
        <v>27</v>
      </c>
    </row>
    <row r="1541" spans="1:7" x14ac:dyDescent="0.2">
      <c r="A1541">
        <v>22</v>
      </c>
      <c r="B1541">
        <v>41</v>
      </c>
      <c r="C1541" t="s">
        <v>1028</v>
      </c>
      <c r="D1541" t="s">
        <v>24</v>
      </c>
      <c r="E1541" t="s">
        <v>31</v>
      </c>
      <c r="F1541" t="s">
        <v>26</v>
      </c>
      <c r="G1541" t="s">
        <v>27</v>
      </c>
    </row>
    <row r="1542" spans="1:7" x14ac:dyDescent="0.2">
      <c r="A1542">
        <v>22</v>
      </c>
      <c r="B1542">
        <v>41</v>
      </c>
      <c r="C1542" t="s">
        <v>1029</v>
      </c>
      <c r="D1542" t="s">
        <v>24</v>
      </c>
      <c r="E1542" t="s">
        <v>31</v>
      </c>
      <c r="F1542" t="s">
        <v>47</v>
      </c>
      <c r="G1542" t="s">
        <v>27</v>
      </c>
    </row>
    <row r="1543" spans="1:7" x14ac:dyDescent="0.2">
      <c r="A1543">
        <v>22</v>
      </c>
      <c r="B1543">
        <v>41</v>
      </c>
      <c r="C1543" t="s">
        <v>1030</v>
      </c>
      <c r="D1543" t="s">
        <v>24</v>
      </c>
      <c r="E1543" t="s">
        <v>31</v>
      </c>
      <c r="F1543" t="s">
        <v>47</v>
      </c>
      <c r="G1543" t="s">
        <v>27</v>
      </c>
    </row>
    <row r="1544" spans="1:7" x14ac:dyDescent="0.2">
      <c r="A1544">
        <v>22</v>
      </c>
      <c r="B1544">
        <v>41</v>
      </c>
      <c r="C1544" t="s">
        <v>1031</v>
      </c>
      <c r="D1544" t="s">
        <v>24</v>
      </c>
      <c r="E1544" t="s">
        <v>31</v>
      </c>
      <c r="F1544" t="s">
        <v>47</v>
      </c>
      <c r="G1544" t="s">
        <v>27</v>
      </c>
    </row>
    <row r="1545" spans="1:7" x14ac:dyDescent="0.2">
      <c r="A1545">
        <v>22</v>
      </c>
      <c r="B1545">
        <v>41</v>
      </c>
      <c r="C1545" t="s">
        <v>1032</v>
      </c>
      <c r="D1545" t="s">
        <v>24</v>
      </c>
      <c r="E1545" t="s">
        <v>31</v>
      </c>
      <c r="F1545" t="s">
        <v>47</v>
      </c>
      <c r="G1545" t="s">
        <v>27</v>
      </c>
    </row>
    <row r="1546" spans="1:7" x14ac:dyDescent="0.2">
      <c r="A1546">
        <v>22</v>
      </c>
      <c r="B1546">
        <v>41</v>
      </c>
      <c r="C1546" t="s">
        <v>1033</v>
      </c>
      <c r="D1546" t="s">
        <v>24</v>
      </c>
      <c r="E1546" t="s">
        <v>31</v>
      </c>
      <c r="F1546" t="s">
        <v>47</v>
      </c>
      <c r="G1546" t="s">
        <v>27</v>
      </c>
    </row>
    <row r="1547" spans="1:7" x14ac:dyDescent="0.2">
      <c r="A1547">
        <v>22</v>
      </c>
      <c r="B1547">
        <v>41</v>
      </c>
      <c r="C1547" t="s">
        <v>1034</v>
      </c>
      <c r="D1547" t="s">
        <v>24</v>
      </c>
      <c r="E1547" t="s">
        <v>31</v>
      </c>
      <c r="F1547" t="s">
        <v>47</v>
      </c>
      <c r="G1547" t="s">
        <v>27</v>
      </c>
    </row>
    <row r="1548" spans="1:7" x14ac:dyDescent="0.2">
      <c r="A1548">
        <v>22</v>
      </c>
      <c r="B1548">
        <v>41</v>
      </c>
      <c r="C1548" t="s">
        <v>1015</v>
      </c>
      <c r="D1548" t="s">
        <v>24</v>
      </c>
      <c r="E1548" t="s">
        <v>31</v>
      </c>
      <c r="F1548" t="s">
        <v>47</v>
      </c>
      <c r="G1548" t="s">
        <v>27</v>
      </c>
    </row>
    <row r="1549" spans="1:7" x14ac:dyDescent="0.2">
      <c r="A1549">
        <v>22</v>
      </c>
      <c r="B1549">
        <v>41</v>
      </c>
      <c r="C1549" t="s">
        <v>1035</v>
      </c>
      <c r="D1549" t="s">
        <v>24</v>
      </c>
      <c r="E1549" t="s">
        <v>31</v>
      </c>
      <c r="F1549" t="s">
        <v>47</v>
      </c>
      <c r="G1549" t="s">
        <v>27</v>
      </c>
    </row>
    <row r="1550" spans="1:7" x14ac:dyDescent="0.2">
      <c r="A1550">
        <v>22</v>
      </c>
      <c r="B1550">
        <v>41</v>
      </c>
      <c r="C1550" t="s">
        <v>1036</v>
      </c>
      <c r="D1550" t="s">
        <v>24</v>
      </c>
      <c r="E1550" t="s">
        <v>31</v>
      </c>
      <c r="F1550" t="s">
        <v>47</v>
      </c>
      <c r="G1550" t="s">
        <v>27</v>
      </c>
    </row>
    <row r="1551" spans="1:7" x14ac:dyDescent="0.2">
      <c r="A1551">
        <v>22</v>
      </c>
      <c r="B1551">
        <v>41</v>
      </c>
      <c r="C1551" t="s">
        <v>1037</v>
      </c>
      <c r="D1551" t="s">
        <v>24</v>
      </c>
      <c r="E1551" t="s">
        <v>31</v>
      </c>
      <c r="F1551" t="s">
        <v>47</v>
      </c>
      <c r="G1551" t="s">
        <v>27</v>
      </c>
    </row>
    <row r="1552" spans="1:7" x14ac:dyDescent="0.2">
      <c r="A1552">
        <v>22</v>
      </c>
      <c r="B1552">
        <v>41</v>
      </c>
      <c r="C1552" t="s">
        <v>653</v>
      </c>
      <c r="D1552" t="s">
        <v>24</v>
      </c>
      <c r="E1552" t="s">
        <v>31</v>
      </c>
      <c r="F1552" t="s">
        <v>47</v>
      </c>
      <c r="G1552" t="s">
        <v>27</v>
      </c>
    </row>
    <row r="1553" spans="1:7" x14ac:dyDescent="0.2">
      <c r="A1553">
        <v>23</v>
      </c>
      <c r="B1553">
        <v>41</v>
      </c>
      <c r="C1553" t="s">
        <v>1038</v>
      </c>
      <c r="D1553" t="s">
        <v>24</v>
      </c>
      <c r="E1553" t="s">
        <v>31</v>
      </c>
      <c r="F1553" t="s">
        <v>47</v>
      </c>
      <c r="G1553" t="s">
        <v>27</v>
      </c>
    </row>
    <row r="1554" spans="1:7" x14ac:dyDescent="0.2">
      <c r="A1554">
        <v>23</v>
      </c>
      <c r="B1554">
        <v>41</v>
      </c>
      <c r="C1554" t="s">
        <v>1032</v>
      </c>
      <c r="D1554" t="s">
        <v>24</v>
      </c>
      <c r="E1554" t="s">
        <v>31</v>
      </c>
      <c r="F1554" t="s">
        <v>26</v>
      </c>
      <c r="G1554" t="s">
        <v>27</v>
      </c>
    </row>
    <row r="1555" spans="1:7" x14ac:dyDescent="0.2">
      <c r="A1555">
        <v>23</v>
      </c>
      <c r="B1555">
        <v>41</v>
      </c>
      <c r="C1555" t="s">
        <v>1039</v>
      </c>
      <c r="D1555" t="s">
        <v>24</v>
      </c>
      <c r="E1555" t="s">
        <v>31</v>
      </c>
      <c r="F1555" t="s">
        <v>47</v>
      </c>
      <c r="G1555" t="s">
        <v>27</v>
      </c>
    </row>
    <row r="1556" spans="1:7" x14ac:dyDescent="0.2">
      <c r="A1556">
        <v>23</v>
      </c>
      <c r="B1556">
        <v>41</v>
      </c>
      <c r="C1556" t="s">
        <v>653</v>
      </c>
      <c r="D1556" t="s">
        <v>24</v>
      </c>
      <c r="E1556" t="s">
        <v>31</v>
      </c>
      <c r="F1556" t="s">
        <v>47</v>
      </c>
      <c r="G1556" t="s">
        <v>27</v>
      </c>
    </row>
    <row r="1557" spans="1:7" x14ac:dyDescent="0.2">
      <c r="A1557">
        <v>7</v>
      </c>
      <c r="B1557">
        <v>42</v>
      </c>
      <c r="C1557" t="s">
        <v>1040</v>
      </c>
      <c r="D1557" t="s">
        <v>24</v>
      </c>
      <c r="E1557" t="s">
        <v>25</v>
      </c>
      <c r="F1557" t="s">
        <v>26</v>
      </c>
      <c r="G1557" t="s">
        <v>27</v>
      </c>
    </row>
    <row r="1558" spans="1:7" x14ac:dyDescent="0.2">
      <c r="A1558">
        <v>7</v>
      </c>
      <c r="B1558">
        <v>42</v>
      </c>
      <c r="C1558" t="s">
        <v>1041</v>
      </c>
      <c r="D1558" t="s">
        <v>24</v>
      </c>
      <c r="E1558" t="s">
        <v>25</v>
      </c>
      <c r="F1558" t="s">
        <v>26</v>
      </c>
      <c r="G1558" t="s">
        <v>27</v>
      </c>
    </row>
    <row r="1559" spans="1:7" x14ac:dyDescent="0.2">
      <c r="A1559">
        <v>7</v>
      </c>
      <c r="B1559">
        <v>42</v>
      </c>
      <c r="C1559" t="s">
        <v>1042</v>
      </c>
      <c r="D1559" t="s">
        <v>24</v>
      </c>
      <c r="E1559" t="s">
        <v>25</v>
      </c>
      <c r="F1559" t="s">
        <v>26</v>
      </c>
      <c r="G1559" t="s">
        <v>27</v>
      </c>
    </row>
    <row r="1560" spans="1:7" x14ac:dyDescent="0.2">
      <c r="A1560">
        <v>7</v>
      </c>
      <c r="B1560">
        <v>42</v>
      </c>
      <c r="C1560" t="s">
        <v>1043</v>
      </c>
      <c r="D1560" t="s">
        <v>24</v>
      </c>
      <c r="E1560" t="s">
        <v>25</v>
      </c>
      <c r="F1560" t="s">
        <v>26</v>
      </c>
      <c r="G1560" t="s">
        <v>27</v>
      </c>
    </row>
    <row r="1561" spans="1:7" x14ac:dyDescent="0.2">
      <c r="A1561">
        <v>7</v>
      </c>
      <c r="B1561">
        <v>42</v>
      </c>
      <c r="C1561" t="s">
        <v>593</v>
      </c>
      <c r="D1561" t="s">
        <v>24</v>
      </c>
      <c r="E1561" t="s">
        <v>25</v>
      </c>
      <c r="F1561" t="s">
        <v>26</v>
      </c>
      <c r="G1561" t="s">
        <v>27</v>
      </c>
    </row>
    <row r="1562" spans="1:7" x14ac:dyDescent="0.2">
      <c r="A1562">
        <v>7</v>
      </c>
      <c r="B1562">
        <v>42</v>
      </c>
      <c r="C1562" t="s">
        <v>1044</v>
      </c>
      <c r="D1562" t="s">
        <v>24</v>
      </c>
      <c r="E1562" t="s">
        <v>25</v>
      </c>
      <c r="F1562" t="s">
        <v>26</v>
      </c>
      <c r="G1562" t="s">
        <v>27</v>
      </c>
    </row>
    <row r="1563" spans="1:7" x14ac:dyDescent="0.2">
      <c r="A1563">
        <v>7</v>
      </c>
      <c r="B1563">
        <v>42</v>
      </c>
      <c r="C1563" t="s">
        <v>1045</v>
      </c>
      <c r="D1563" t="s">
        <v>24</v>
      </c>
      <c r="E1563" t="s">
        <v>25</v>
      </c>
      <c r="F1563" t="s">
        <v>26</v>
      </c>
      <c r="G1563" t="s">
        <v>27</v>
      </c>
    </row>
    <row r="1564" spans="1:7" x14ac:dyDescent="0.2">
      <c r="A1564">
        <v>7</v>
      </c>
      <c r="B1564">
        <v>42</v>
      </c>
      <c r="C1564" t="s">
        <v>1046</v>
      </c>
      <c r="D1564" t="s">
        <v>24</v>
      </c>
      <c r="E1564" t="s">
        <v>25</v>
      </c>
      <c r="F1564" t="s">
        <v>26</v>
      </c>
      <c r="G1564" t="s">
        <v>27</v>
      </c>
    </row>
    <row r="1565" spans="1:7" x14ac:dyDescent="0.2">
      <c r="A1565">
        <v>8</v>
      </c>
      <c r="B1565">
        <v>42</v>
      </c>
      <c r="C1565" t="s">
        <v>1047</v>
      </c>
      <c r="D1565" t="s">
        <v>24</v>
      </c>
      <c r="E1565" t="s">
        <v>31</v>
      </c>
      <c r="F1565" t="s">
        <v>26</v>
      </c>
      <c r="G1565" t="s">
        <v>27</v>
      </c>
    </row>
    <row r="1566" spans="1:7" x14ac:dyDescent="0.2">
      <c r="A1566">
        <v>8</v>
      </c>
      <c r="B1566">
        <v>42</v>
      </c>
      <c r="C1566" t="s">
        <v>1048</v>
      </c>
      <c r="D1566" t="s">
        <v>24</v>
      </c>
      <c r="E1566" t="s">
        <v>31</v>
      </c>
      <c r="F1566" t="s">
        <v>26</v>
      </c>
      <c r="G1566" t="s">
        <v>27</v>
      </c>
    </row>
    <row r="1567" spans="1:7" x14ac:dyDescent="0.2">
      <c r="A1567">
        <v>8</v>
      </c>
      <c r="B1567">
        <v>42</v>
      </c>
      <c r="C1567" t="s">
        <v>666</v>
      </c>
      <c r="D1567" t="s">
        <v>24</v>
      </c>
      <c r="E1567" t="s">
        <v>31</v>
      </c>
      <c r="F1567" t="s">
        <v>26</v>
      </c>
      <c r="G1567" t="s">
        <v>27</v>
      </c>
    </row>
    <row r="1568" spans="1:7" x14ac:dyDescent="0.2">
      <c r="A1568">
        <v>8</v>
      </c>
      <c r="B1568">
        <v>42</v>
      </c>
      <c r="C1568" t="s">
        <v>1049</v>
      </c>
      <c r="D1568" t="s">
        <v>24</v>
      </c>
      <c r="E1568" t="s">
        <v>31</v>
      </c>
      <c r="F1568" t="s">
        <v>26</v>
      </c>
      <c r="G1568" t="s">
        <v>27</v>
      </c>
    </row>
    <row r="1569" spans="1:7" x14ac:dyDescent="0.2">
      <c r="A1569">
        <v>9</v>
      </c>
      <c r="B1569">
        <v>42</v>
      </c>
      <c r="C1569" t="s">
        <v>1050</v>
      </c>
      <c r="D1569" t="s">
        <v>24</v>
      </c>
      <c r="E1569" t="s">
        <v>31</v>
      </c>
      <c r="F1569" t="s">
        <v>26</v>
      </c>
      <c r="G1569" t="s">
        <v>27</v>
      </c>
    </row>
    <row r="1570" spans="1:7" x14ac:dyDescent="0.2">
      <c r="A1570">
        <v>9</v>
      </c>
      <c r="B1570">
        <v>42</v>
      </c>
      <c r="C1570" t="s">
        <v>1051</v>
      </c>
      <c r="D1570" t="s">
        <v>24</v>
      </c>
      <c r="E1570" t="s">
        <v>31</v>
      </c>
      <c r="F1570" t="s">
        <v>26</v>
      </c>
      <c r="G1570" t="s">
        <v>27</v>
      </c>
    </row>
    <row r="1571" spans="1:7" x14ac:dyDescent="0.2">
      <c r="A1571">
        <v>9</v>
      </c>
      <c r="B1571">
        <v>42</v>
      </c>
      <c r="C1571" t="s">
        <v>1052</v>
      </c>
      <c r="D1571" t="s">
        <v>24</v>
      </c>
      <c r="E1571" t="s">
        <v>31</v>
      </c>
      <c r="F1571" t="s">
        <v>26</v>
      </c>
      <c r="G1571" t="s">
        <v>27</v>
      </c>
    </row>
    <row r="1572" spans="1:7" x14ac:dyDescent="0.2">
      <c r="A1572">
        <v>9</v>
      </c>
      <c r="B1572">
        <v>42</v>
      </c>
      <c r="C1572" t="s">
        <v>1053</v>
      </c>
      <c r="D1572" t="s">
        <v>24</v>
      </c>
      <c r="E1572" t="s">
        <v>31</v>
      </c>
      <c r="F1572" t="s">
        <v>87</v>
      </c>
      <c r="G1572" t="s">
        <v>27</v>
      </c>
    </row>
    <row r="1573" spans="1:7" x14ac:dyDescent="0.2">
      <c r="A1573">
        <v>9</v>
      </c>
      <c r="B1573">
        <v>42</v>
      </c>
      <c r="C1573" t="s">
        <v>1054</v>
      </c>
      <c r="D1573" t="s">
        <v>24</v>
      </c>
      <c r="E1573" t="s">
        <v>31</v>
      </c>
      <c r="F1573" t="s">
        <v>26</v>
      </c>
      <c r="G1573" t="s">
        <v>27</v>
      </c>
    </row>
    <row r="1574" spans="1:7" x14ac:dyDescent="0.2">
      <c r="A1574">
        <v>9</v>
      </c>
      <c r="B1574">
        <v>42</v>
      </c>
      <c r="C1574" t="s">
        <v>486</v>
      </c>
      <c r="D1574" t="s">
        <v>24</v>
      </c>
      <c r="E1574" t="s">
        <v>31</v>
      </c>
      <c r="F1574" t="s">
        <v>26</v>
      </c>
      <c r="G1574" t="s">
        <v>27</v>
      </c>
    </row>
    <row r="1575" spans="1:7" x14ac:dyDescent="0.2">
      <c r="A1575">
        <v>9</v>
      </c>
      <c r="B1575">
        <v>42</v>
      </c>
      <c r="C1575" t="s">
        <v>1047</v>
      </c>
      <c r="D1575" t="s">
        <v>24</v>
      </c>
      <c r="E1575" t="s">
        <v>31</v>
      </c>
      <c r="F1575" t="s">
        <v>26</v>
      </c>
      <c r="G1575" t="s">
        <v>27</v>
      </c>
    </row>
    <row r="1576" spans="1:7" x14ac:dyDescent="0.2">
      <c r="A1576">
        <v>9</v>
      </c>
      <c r="B1576">
        <v>42</v>
      </c>
      <c r="C1576" t="s">
        <v>1055</v>
      </c>
      <c r="D1576" t="s">
        <v>24</v>
      </c>
      <c r="E1576" t="s">
        <v>31</v>
      </c>
      <c r="F1576" t="s">
        <v>26</v>
      </c>
      <c r="G1576" t="s">
        <v>27</v>
      </c>
    </row>
    <row r="1577" spans="1:7" x14ac:dyDescent="0.2">
      <c r="A1577">
        <v>9</v>
      </c>
      <c r="B1577">
        <v>42</v>
      </c>
      <c r="C1577" t="s">
        <v>1056</v>
      </c>
      <c r="D1577" t="s">
        <v>24</v>
      </c>
      <c r="E1577" t="s">
        <v>31</v>
      </c>
      <c r="F1577" t="s">
        <v>26</v>
      </c>
      <c r="G1577" t="s">
        <v>27</v>
      </c>
    </row>
    <row r="1578" spans="1:7" x14ac:dyDescent="0.2">
      <c r="A1578">
        <v>9</v>
      </c>
      <c r="B1578">
        <v>42</v>
      </c>
      <c r="C1578" t="s">
        <v>1057</v>
      </c>
      <c r="D1578" t="s">
        <v>24</v>
      </c>
      <c r="E1578" t="s">
        <v>31</v>
      </c>
      <c r="F1578" t="s">
        <v>26</v>
      </c>
      <c r="G1578" t="s">
        <v>27</v>
      </c>
    </row>
    <row r="1579" spans="1:7" x14ac:dyDescent="0.2">
      <c r="A1579">
        <v>9</v>
      </c>
      <c r="B1579">
        <v>42</v>
      </c>
      <c r="C1579" t="s">
        <v>1058</v>
      </c>
      <c r="D1579" t="s">
        <v>24</v>
      </c>
      <c r="E1579" t="s">
        <v>31</v>
      </c>
      <c r="F1579" t="s">
        <v>26</v>
      </c>
      <c r="G1579" t="s">
        <v>27</v>
      </c>
    </row>
    <row r="1580" spans="1:7" x14ac:dyDescent="0.2">
      <c r="A1580">
        <v>10</v>
      </c>
      <c r="B1580">
        <v>42</v>
      </c>
      <c r="C1580" t="s">
        <v>1040</v>
      </c>
      <c r="D1580" t="s">
        <v>24</v>
      </c>
      <c r="E1580" t="s">
        <v>25</v>
      </c>
      <c r="F1580" t="s">
        <v>26</v>
      </c>
      <c r="G1580" t="s">
        <v>27</v>
      </c>
    </row>
    <row r="1581" spans="1:7" x14ac:dyDescent="0.2">
      <c r="A1581">
        <v>10</v>
      </c>
      <c r="B1581">
        <v>42</v>
      </c>
      <c r="C1581" t="s">
        <v>1040</v>
      </c>
      <c r="D1581" t="s">
        <v>24</v>
      </c>
      <c r="E1581" t="s">
        <v>25</v>
      </c>
      <c r="F1581" t="s">
        <v>26</v>
      </c>
      <c r="G1581" t="s">
        <v>27</v>
      </c>
    </row>
    <row r="1582" spans="1:7" x14ac:dyDescent="0.2">
      <c r="A1582">
        <v>10</v>
      </c>
      <c r="B1582">
        <v>42</v>
      </c>
      <c r="C1582" t="s">
        <v>475</v>
      </c>
      <c r="D1582" t="s">
        <v>24</v>
      </c>
      <c r="E1582" t="s">
        <v>25</v>
      </c>
      <c r="F1582" t="s">
        <v>26</v>
      </c>
      <c r="G1582" t="s">
        <v>27</v>
      </c>
    </row>
    <row r="1583" spans="1:7" x14ac:dyDescent="0.2">
      <c r="A1583">
        <v>10</v>
      </c>
      <c r="B1583">
        <v>42</v>
      </c>
      <c r="C1583" t="s">
        <v>472</v>
      </c>
      <c r="D1583" t="s">
        <v>24</v>
      </c>
      <c r="E1583" t="s">
        <v>25</v>
      </c>
      <c r="F1583" t="s">
        <v>26</v>
      </c>
      <c r="G1583" t="s">
        <v>27</v>
      </c>
    </row>
    <row r="1584" spans="1:7" x14ac:dyDescent="0.2">
      <c r="A1584">
        <v>10</v>
      </c>
      <c r="B1584">
        <v>42</v>
      </c>
      <c r="C1584" t="s">
        <v>593</v>
      </c>
      <c r="D1584" t="s">
        <v>24</v>
      </c>
      <c r="E1584" t="s">
        <v>25</v>
      </c>
      <c r="F1584" t="s">
        <v>26</v>
      </c>
      <c r="G1584" t="s">
        <v>27</v>
      </c>
    </row>
    <row r="1585" spans="1:7" x14ac:dyDescent="0.2">
      <c r="A1585">
        <v>10</v>
      </c>
      <c r="B1585">
        <v>42</v>
      </c>
      <c r="C1585" t="s">
        <v>1044</v>
      </c>
      <c r="D1585" t="s">
        <v>24</v>
      </c>
      <c r="E1585" t="s">
        <v>25</v>
      </c>
      <c r="F1585" t="s">
        <v>26</v>
      </c>
      <c r="G1585" t="s">
        <v>27</v>
      </c>
    </row>
    <row r="1586" spans="1:7" x14ac:dyDescent="0.2">
      <c r="A1586">
        <v>10</v>
      </c>
      <c r="B1586">
        <v>42</v>
      </c>
      <c r="C1586" t="s">
        <v>1059</v>
      </c>
      <c r="D1586" t="s">
        <v>24</v>
      </c>
      <c r="E1586" t="s">
        <v>25</v>
      </c>
      <c r="F1586" t="s">
        <v>26</v>
      </c>
      <c r="G1586" t="s">
        <v>27</v>
      </c>
    </row>
    <row r="1587" spans="1:7" x14ac:dyDescent="0.2">
      <c r="A1587">
        <v>10</v>
      </c>
      <c r="B1587">
        <v>42</v>
      </c>
      <c r="C1587" t="s">
        <v>1046</v>
      </c>
      <c r="D1587" t="s">
        <v>24</v>
      </c>
      <c r="E1587" t="s">
        <v>25</v>
      </c>
      <c r="F1587" t="s">
        <v>26</v>
      </c>
      <c r="G1587" t="s">
        <v>27</v>
      </c>
    </row>
    <row r="1588" spans="1:7" x14ac:dyDescent="0.2">
      <c r="A1588">
        <v>10</v>
      </c>
      <c r="B1588">
        <v>42</v>
      </c>
      <c r="C1588" t="s">
        <v>591</v>
      </c>
      <c r="D1588" t="s">
        <v>24</v>
      </c>
      <c r="E1588" t="s">
        <v>25</v>
      </c>
      <c r="F1588" t="s">
        <v>26</v>
      </c>
      <c r="G1588" t="s">
        <v>27</v>
      </c>
    </row>
    <row r="1589" spans="1:7" x14ac:dyDescent="0.2">
      <c r="A1589">
        <v>11</v>
      </c>
      <c r="B1589">
        <v>42</v>
      </c>
      <c r="C1589" t="s">
        <v>1060</v>
      </c>
      <c r="D1589" t="s">
        <v>24</v>
      </c>
      <c r="E1589" t="s">
        <v>31</v>
      </c>
      <c r="F1589" t="s">
        <v>26</v>
      </c>
      <c r="G1589" t="s">
        <v>27</v>
      </c>
    </row>
    <row r="1590" spans="1:7" x14ac:dyDescent="0.2">
      <c r="A1590">
        <v>11</v>
      </c>
      <c r="B1590">
        <v>42</v>
      </c>
      <c r="C1590" t="s">
        <v>486</v>
      </c>
      <c r="D1590" t="s">
        <v>24</v>
      </c>
      <c r="E1590" t="s">
        <v>31</v>
      </c>
      <c r="F1590" t="s">
        <v>26</v>
      </c>
      <c r="G1590" t="s">
        <v>27</v>
      </c>
    </row>
    <row r="1591" spans="1:7" x14ac:dyDescent="0.2">
      <c r="A1591">
        <v>11</v>
      </c>
      <c r="B1591">
        <v>42</v>
      </c>
      <c r="C1591" t="s">
        <v>1061</v>
      </c>
      <c r="D1591" t="s">
        <v>30</v>
      </c>
      <c r="E1591" t="s">
        <v>25</v>
      </c>
      <c r="F1591" t="s">
        <v>47</v>
      </c>
      <c r="G1591" t="s">
        <v>27</v>
      </c>
    </row>
    <row r="1592" spans="1:7" x14ac:dyDescent="0.2">
      <c r="A1592">
        <v>11</v>
      </c>
      <c r="B1592">
        <v>42</v>
      </c>
      <c r="C1592" t="s">
        <v>1047</v>
      </c>
      <c r="D1592" t="s">
        <v>24</v>
      </c>
      <c r="E1592" t="s">
        <v>31</v>
      </c>
      <c r="F1592" t="s">
        <v>26</v>
      </c>
      <c r="G1592" t="s">
        <v>27</v>
      </c>
    </row>
    <row r="1593" spans="1:7" x14ac:dyDescent="0.2">
      <c r="A1593">
        <v>11</v>
      </c>
      <c r="B1593">
        <v>42</v>
      </c>
      <c r="C1593" t="s">
        <v>363</v>
      </c>
      <c r="D1593" t="s">
        <v>24</v>
      </c>
      <c r="E1593" t="s">
        <v>25</v>
      </c>
      <c r="F1593" t="s">
        <v>26</v>
      </c>
      <c r="G1593" t="s">
        <v>27</v>
      </c>
    </row>
    <row r="1594" spans="1:7" x14ac:dyDescent="0.2">
      <c r="A1594">
        <v>11</v>
      </c>
      <c r="B1594">
        <v>42</v>
      </c>
      <c r="C1594" t="s">
        <v>666</v>
      </c>
      <c r="D1594" t="s">
        <v>24</v>
      </c>
      <c r="E1594" t="s">
        <v>31</v>
      </c>
      <c r="F1594" t="s">
        <v>26</v>
      </c>
      <c r="G1594" t="s">
        <v>27</v>
      </c>
    </row>
    <row r="1595" spans="1:7" x14ac:dyDescent="0.2">
      <c r="A1595">
        <v>11</v>
      </c>
      <c r="B1595">
        <v>42</v>
      </c>
      <c r="C1595" t="s">
        <v>1062</v>
      </c>
      <c r="D1595" t="s">
        <v>24</v>
      </c>
      <c r="E1595" t="s">
        <v>31</v>
      </c>
      <c r="F1595" t="s">
        <v>26</v>
      </c>
      <c r="G1595" t="s">
        <v>27</v>
      </c>
    </row>
    <row r="1596" spans="1:7" x14ac:dyDescent="0.2">
      <c r="A1596">
        <v>11</v>
      </c>
      <c r="B1596">
        <v>42</v>
      </c>
      <c r="C1596" t="s">
        <v>1063</v>
      </c>
      <c r="D1596" t="s">
        <v>24</v>
      </c>
      <c r="E1596" t="s">
        <v>31</v>
      </c>
      <c r="F1596" t="s">
        <v>26</v>
      </c>
      <c r="G1596" t="s">
        <v>27</v>
      </c>
    </row>
    <row r="1597" spans="1:7" x14ac:dyDescent="0.2">
      <c r="A1597">
        <v>12</v>
      </c>
      <c r="B1597">
        <v>42</v>
      </c>
      <c r="C1597" t="s">
        <v>1064</v>
      </c>
      <c r="D1597" t="s">
        <v>24</v>
      </c>
      <c r="E1597" t="s">
        <v>31</v>
      </c>
      <c r="F1597" t="s">
        <v>87</v>
      </c>
      <c r="G1597" t="s">
        <v>27</v>
      </c>
    </row>
    <row r="1598" spans="1:7" x14ac:dyDescent="0.2">
      <c r="A1598">
        <v>12</v>
      </c>
      <c r="B1598">
        <v>42</v>
      </c>
      <c r="C1598" t="s">
        <v>1065</v>
      </c>
      <c r="D1598" t="s">
        <v>24</v>
      </c>
      <c r="E1598" t="s">
        <v>31</v>
      </c>
      <c r="F1598" t="s">
        <v>87</v>
      </c>
      <c r="G1598" t="s">
        <v>27</v>
      </c>
    </row>
    <row r="1599" spans="1:7" x14ac:dyDescent="0.2">
      <c r="A1599">
        <v>12</v>
      </c>
      <c r="B1599">
        <v>42</v>
      </c>
      <c r="C1599" t="s">
        <v>1066</v>
      </c>
      <c r="D1599" t="s">
        <v>24</v>
      </c>
      <c r="E1599" t="s">
        <v>31</v>
      </c>
      <c r="F1599" t="s">
        <v>87</v>
      </c>
      <c r="G1599" t="s">
        <v>27</v>
      </c>
    </row>
    <row r="1600" spans="1:7" x14ac:dyDescent="0.2">
      <c r="A1600">
        <v>12</v>
      </c>
      <c r="B1600">
        <v>42</v>
      </c>
      <c r="C1600" t="s">
        <v>1067</v>
      </c>
      <c r="D1600" t="s">
        <v>24</v>
      </c>
      <c r="E1600" t="s">
        <v>31</v>
      </c>
      <c r="F1600" t="s">
        <v>26</v>
      </c>
      <c r="G1600" t="s">
        <v>27</v>
      </c>
    </row>
    <row r="1601" spans="1:7" x14ac:dyDescent="0.2">
      <c r="A1601">
        <v>12</v>
      </c>
      <c r="B1601">
        <v>42</v>
      </c>
      <c r="C1601" t="s">
        <v>1068</v>
      </c>
      <c r="D1601" t="s">
        <v>24</v>
      </c>
      <c r="E1601" t="s">
        <v>31</v>
      </c>
      <c r="F1601" t="s">
        <v>47</v>
      </c>
      <c r="G1601" t="s">
        <v>27</v>
      </c>
    </row>
    <row r="1602" spans="1:7" x14ac:dyDescent="0.2">
      <c r="A1602">
        <v>12</v>
      </c>
      <c r="B1602">
        <v>42</v>
      </c>
      <c r="C1602" t="s">
        <v>1069</v>
      </c>
      <c r="D1602" t="s">
        <v>24</v>
      </c>
      <c r="E1602" t="s">
        <v>31</v>
      </c>
      <c r="F1602" t="s">
        <v>47</v>
      </c>
      <c r="G1602" t="s">
        <v>27</v>
      </c>
    </row>
    <row r="1603" spans="1:7" x14ac:dyDescent="0.2">
      <c r="A1603">
        <v>12</v>
      </c>
      <c r="B1603">
        <v>42</v>
      </c>
      <c r="C1603" t="s">
        <v>1051</v>
      </c>
      <c r="D1603" t="s">
        <v>24</v>
      </c>
      <c r="E1603" t="s">
        <v>31</v>
      </c>
      <c r="F1603" t="s">
        <v>47</v>
      </c>
      <c r="G1603" t="s">
        <v>27</v>
      </c>
    </row>
    <row r="1604" spans="1:7" x14ac:dyDescent="0.2">
      <c r="A1604">
        <v>12</v>
      </c>
      <c r="B1604">
        <v>42</v>
      </c>
      <c r="C1604" t="s">
        <v>1070</v>
      </c>
      <c r="D1604" t="s">
        <v>24</v>
      </c>
      <c r="E1604" t="s">
        <v>31</v>
      </c>
      <c r="F1604" t="s">
        <v>26</v>
      </c>
      <c r="G1604" t="s">
        <v>27</v>
      </c>
    </row>
    <row r="1605" spans="1:7" x14ac:dyDescent="0.2">
      <c r="A1605">
        <v>12</v>
      </c>
      <c r="B1605">
        <v>42</v>
      </c>
      <c r="C1605" t="s">
        <v>1052</v>
      </c>
      <c r="D1605" t="s">
        <v>24</v>
      </c>
      <c r="E1605" t="s">
        <v>31</v>
      </c>
      <c r="F1605" t="s">
        <v>47</v>
      </c>
      <c r="G1605" t="s">
        <v>27</v>
      </c>
    </row>
    <row r="1606" spans="1:7" x14ac:dyDescent="0.2">
      <c r="A1606">
        <v>12</v>
      </c>
      <c r="B1606">
        <v>42</v>
      </c>
      <c r="C1606" t="s">
        <v>1071</v>
      </c>
      <c r="D1606" t="s">
        <v>24</v>
      </c>
      <c r="E1606" t="s">
        <v>31</v>
      </c>
      <c r="F1606" t="s">
        <v>47</v>
      </c>
      <c r="G1606" t="s">
        <v>27</v>
      </c>
    </row>
    <row r="1607" spans="1:7" x14ac:dyDescent="0.2">
      <c r="A1607">
        <v>12</v>
      </c>
      <c r="B1607">
        <v>42</v>
      </c>
      <c r="C1607" t="s">
        <v>486</v>
      </c>
      <c r="D1607" t="s">
        <v>24</v>
      </c>
      <c r="E1607" t="s">
        <v>31</v>
      </c>
      <c r="F1607" t="s">
        <v>26</v>
      </c>
      <c r="G1607" t="s">
        <v>27</v>
      </c>
    </row>
    <row r="1608" spans="1:7" x14ac:dyDescent="0.2">
      <c r="A1608">
        <v>12</v>
      </c>
      <c r="B1608">
        <v>42</v>
      </c>
      <c r="C1608" t="s">
        <v>1063</v>
      </c>
      <c r="D1608" t="s">
        <v>24</v>
      </c>
      <c r="E1608" t="s">
        <v>31</v>
      </c>
      <c r="F1608" t="s">
        <v>26</v>
      </c>
      <c r="G1608" t="s">
        <v>27</v>
      </c>
    </row>
    <row r="1609" spans="1:7" x14ac:dyDescent="0.2">
      <c r="A1609">
        <v>12</v>
      </c>
      <c r="B1609">
        <v>42</v>
      </c>
      <c r="C1609" t="s">
        <v>1072</v>
      </c>
      <c r="D1609" t="s">
        <v>24</v>
      </c>
      <c r="E1609" t="s">
        <v>31</v>
      </c>
      <c r="F1609" t="s">
        <v>26</v>
      </c>
      <c r="G1609" t="s">
        <v>27</v>
      </c>
    </row>
    <row r="1610" spans="1:7" x14ac:dyDescent="0.2">
      <c r="A1610">
        <v>12</v>
      </c>
      <c r="B1610">
        <v>42</v>
      </c>
      <c r="C1610" t="s">
        <v>666</v>
      </c>
      <c r="D1610" t="s">
        <v>24</v>
      </c>
      <c r="E1610" t="s">
        <v>31</v>
      </c>
      <c r="F1610" t="s">
        <v>26</v>
      </c>
      <c r="G1610" t="s">
        <v>27</v>
      </c>
    </row>
    <row r="1611" spans="1:7" x14ac:dyDescent="0.2">
      <c r="A1611">
        <v>13</v>
      </c>
      <c r="B1611">
        <v>42</v>
      </c>
      <c r="C1611" t="s">
        <v>1054</v>
      </c>
      <c r="D1611" t="s">
        <v>24</v>
      </c>
      <c r="E1611" t="s">
        <v>25</v>
      </c>
      <c r="F1611" t="s">
        <v>26</v>
      </c>
      <c r="G1611" t="s">
        <v>27</v>
      </c>
    </row>
    <row r="1612" spans="1:7" x14ac:dyDescent="0.2">
      <c r="A1612">
        <v>13</v>
      </c>
      <c r="B1612">
        <v>42</v>
      </c>
      <c r="C1612" t="s">
        <v>1070</v>
      </c>
      <c r="D1612" t="s">
        <v>24</v>
      </c>
      <c r="E1612" t="s">
        <v>25</v>
      </c>
      <c r="F1612" t="s">
        <v>26</v>
      </c>
      <c r="G1612" t="s">
        <v>27</v>
      </c>
    </row>
    <row r="1613" spans="1:7" x14ac:dyDescent="0.2">
      <c r="A1613">
        <v>13</v>
      </c>
      <c r="B1613">
        <v>42</v>
      </c>
      <c r="C1613" t="s">
        <v>1073</v>
      </c>
      <c r="D1613" t="s">
        <v>24</v>
      </c>
      <c r="E1613" t="s">
        <v>25</v>
      </c>
      <c r="F1613" t="s">
        <v>26</v>
      </c>
      <c r="G1613" t="s">
        <v>27</v>
      </c>
    </row>
    <row r="1614" spans="1:7" x14ac:dyDescent="0.2">
      <c r="A1614">
        <v>13</v>
      </c>
      <c r="B1614">
        <v>42</v>
      </c>
      <c r="C1614" t="s">
        <v>1074</v>
      </c>
      <c r="D1614" t="s">
        <v>24</v>
      </c>
      <c r="E1614" t="s">
        <v>25</v>
      </c>
      <c r="F1614" t="s">
        <v>26</v>
      </c>
      <c r="G1614" t="s">
        <v>27</v>
      </c>
    </row>
    <row r="1615" spans="1:7" x14ac:dyDescent="0.2">
      <c r="A1615">
        <v>13</v>
      </c>
      <c r="B1615">
        <v>42</v>
      </c>
      <c r="C1615" t="s">
        <v>1075</v>
      </c>
      <c r="D1615" t="s">
        <v>24</v>
      </c>
      <c r="E1615" t="s">
        <v>25</v>
      </c>
      <c r="F1615" t="s">
        <v>26</v>
      </c>
      <c r="G1615" t="s">
        <v>27</v>
      </c>
    </row>
    <row r="1616" spans="1:7" x14ac:dyDescent="0.2">
      <c r="A1616">
        <v>13</v>
      </c>
      <c r="B1616">
        <v>42</v>
      </c>
      <c r="C1616" t="s">
        <v>666</v>
      </c>
      <c r="D1616" t="s">
        <v>24</v>
      </c>
      <c r="E1616" t="s">
        <v>25</v>
      </c>
      <c r="F1616" t="s">
        <v>26</v>
      </c>
      <c r="G1616" t="s">
        <v>27</v>
      </c>
    </row>
    <row r="1617" spans="1:7" x14ac:dyDescent="0.2">
      <c r="A1617">
        <v>13</v>
      </c>
      <c r="B1617">
        <v>42</v>
      </c>
      <c r="C1617" t="s">
        <v>1076</v>
      </c>
      <c r="D1617" t="s">
        <v>24</v>
      </c>
      <c r="E1617" t="s">
        <v>25</v>
      </c>
      <c r="F1617" t="s">
        <v>26</v>
      </c>
      <c r="G1617" t="s">
        <v>27</v>
      </c>
    </row>
    <row r="1618" spans="1:7" x14ac:dyDescent="0.2">
      <c r="A1618">
        <v>14</v>
      </c>
      <c r="B1618">
        <v>42</v>
      </c>
      <c r="C1618" t="s">
        <v>1070</v>
      </c>
      <c r="D1618" t="s">
        <v>24</v>
      </c>
      <c r="E1618" t="s">
        <v>31</v>
      </c>
      <c r="F1618" t="s">
        <v>47</v>
      </c>
      <c r="G1618" t="s">
        <v>27</v>
      </c>
    </row>
    <row r="1619" spans="1:7" x14ac:dyDescent="0.2">
      <c r="A1619">
        <v>14</v>
      </c>
      <c r="B1619">
        <v>42</v>
      </c>
      <c r="C1619" t="s">
        <v>486</v>
      </c>
      <c r="D1619" t="s">
        <v>24</v>
      </c>
      <c r="E1619" t="s">
        <v>31</v>
      </c>
      <c r="F1619" t="s">
        <v>47</v>
      </c>
      <c r="G1619" t="s">
        <v>27</v>
      </c>
    </row>
    <row r="1620" spans="1:7" x14ac:dyDescent="0.2">
      <c r="A1620">
        <v>14</v>
      </c>
      <c r="B1620">
        <v>42</v>
      </c>
      <c r="C1620" t="s">
        <v>1077</v>
      </c>
      <c r="D1620" t="s">
        <v>24</v>
      </c>
      <c r="E1620" t="s">
        <v>31</v>
      </c>
      <c r="F1620" t="s">
        <v>47</v>
      </c>
      <c r="G1620" t="s">
        <v>27</v>
      </c>
    </row>
    <row r="1621" spans="1:7" x14ac:dyDescent="0.2">
      <c r="A1621">
        <v>14</v>
      </c>
      <c r="B1621">
        <v>42</v>
      </c>
      <c r="C1621" t="s">
        <v>1078</v>
      </c>
      <c r="D1621" t="s">
        <v>24</v>
      </c>
      <c r="E1621" t="s">
        <v>31</v>
      </c>
      <c r="F1621" t="s">
        <v>47</v>
      </c>
      <c r="G1621" t="s">
        <v>27</v>
      </c>
    </row>
    <row r="1622" spans="1:7" x14ac:dyDescent="0.2">
      <c r="A1622">
        <v>14</v>
      </c>
      <c r="B1622">
        <v>42</v>
      </c>
      <c r="C1622" t="s">
        <v>1063</v>
      </c>
      <c r="D1622" t="s">
        <v>24</v>
      </c>
      <c r="E1622" t="s">
        <v>31</v>
      </c>
      <c r="F1622" t="s">
        <v>47</v>
      </c>
      <c r="G1622" t="s">
        <v>27</v>
      </c>
    </row>
    <row r="1623" spans="1:7" x14ac:dyDescent="0.2">
      <c r="A1623">
        <v>15</v>
      </c>
      <c r="B1623">
        <v>42</v>
      </c>
      <c r="C1623" t="s">
        <v>486</v>
      </c>
      <c r="D1623" t="s">
        <v>24</v>
      </c>
      <c r="E1623" t="s">
        <v>31</v>
      </c>
      <c r="F1623" t="s">
        <v>47</v>
      </c>
      <c r="G1623" t="s">
        <v>27</v>
      </c>
    </row>
    <row r="1624" spans="1:7" x14ac:dyDescent="0.2">
      <c r="A1624">
        <v>15</v>
      </c>
      <c r="B1624">
        <v>42</v>
      </c>
      <c r="C1624" t="s">
        <v>1079</v>
      </c>
      <c r="D1624" t="s">
        <v>24</v>
      </c>
      <c r="E1624" t="s">
        <v>31</v>
      </c>
      <c r="F1624" t="s">
        <v>47</v>
      </c>
      <c r="G1624" t="s">
        <v>27</v>
      </c>
    </row>
    <row r="1625" spans="1:7" x14ac:dyDescent="0.2">
      <c r="A1625">
        <v>15</v>
      </c>
      <c r="B1625">
        <v>42</v>
      </c>
      <c r="C1625" t="s">
        <v>1080</v>
      </c>
      <c r="D1625" t="s">
        <v>24</v>
      </c>
      <c r="E1625" t="s">
        <v>31</v>
      </c>
      <c r="F1625" t="s">
        <v>47</v>
      </c>
      <c r="G1625" t="s">
        <v>27</v>
      </c>
    </row>
    <row r="1626" spans="1:7" x14ac:dyDescent="0.2">
      <c r="A1626">
        <v>15</v>
      </c>
      <c r="B1626">
        <v>42</v>
      </c>
      <c r="C1626" t="s">
        <v>1081</v>
      </c>
      <c r="D1626" t="s">
        <v>30</v>
      </c>
      <c r="E1626" t="s">
        <v>31</v>
      </c>
      <c r="F1626" t="s">
        <v>47</v>
      </c>
      <c r="G1626" t="s">
        <v>27</v>
      </c>
    </row>
    <row r="1627" spans="1:7" x14ac:dyDescent="0.2">
      <c r="A1627">
        <v>15</v>
      </c>
      <c r="B1627">
        <v>42</v>
      </c>
      <c r="C1627" t="s">
        <v>1078</v>
      </c>
      <c r="D1627" t="s">
        <v>24</v>
      </c>
      <c r="E1627" t="s">
        <v>31</v>
      </c>
      <c r="F1627" t="s">
        <v>47</v>
      </c>
      <c r="G1627" t="s">
        <v>27</v>
      </c>
    </row>
    <row r="1628" spans="1:7" x14ac:dyDescent="0.2">
      <c r="A1628">
        <v>16</v>
      </c>
      <c r="B1628">
        <v>42</v>
      </c>
      <c r="C1628" t="s">
        <v>1080</v>
      </c>
      <c r="D1628" t="s">
        <v>24</v>
      </c>
      <c r="E1628" t="s">
        <v>31</v>
      </c>
      <c r="F1628" t="s">
        <v>47</v>
      </c>
      <c r="G1628" t="s">
        <v>27</v>
      </c>
    </row>
    <row r="1629" spans="1:7" x14ac:dyDescent="0.2">
      <c r="A1629">
        <v>16</v>
      </c>
      <c r="B1629">
        <v>42</v>
      </c>
      <c r="C1629" t="s">
        <v>1078</v>
      </c>
      <c r="D1629" t="s">
        <v>24</v>
      </c>
      <c r="E1629" t="s">
        <v>31</v>
      </c>
      <c r="F1629" t="s">
        <v>47</v>
      </c>
      <c r="G1629" t="s">
        <v>27</v>
      </c>
    </row>
    <row r="1630" spans="1:7" x14ac:dyDescent="0.2">
      <c r="A1630">
        <v>16</v>
      </c>
      <c r="B1630">
        <v>42</v>
      </c>
      <c r="C1630" t="s">
        <v>2051</v>
      </c>
      <c r="D1630" t="s">
        <v>24</v>
      </c>
      <c r="E1630" t="s">
        <v>31</v>
      </c>
      <c r="F1630" t="s">
        <v>47</v>
      </c>
      <c r="G1630" t="s">
        <v>27</v>
      </c>
    </row>
    <row r="1631" spans="1:7" x14ac:dyDescent="0.2">
      <c r="A1631">
        <v>17</v>
      </c>
      <c r="B1631">
        <v>42</v>
      </c>
      <c r="C1631" t="s">
        <v>478</v>
      </c>
      <c r="D1631" t="s">
        <v>24</v>
      </c>
      <c r="E1631" t="s">
        <v>31</v>
      </c>
      <c r="F1631" t="s">
        <v>26</v>
      </c>
      <c r="G1631" t="s">
        <v>27</v>
      </c>
    </row>
    <row r="1632" spans="1:7" x14ac:dyDescent="0.2">
      <c r="A1632">
        <v>17</v>
      </c>
      <c r="B1632">
        <v>42</v>
      </c>
      <c r="C1632" t="s">
        <v>1050</v>
      </c>
      <c r="D1632" t="s">
        <v>24</v>
      </c>
      <c r="E1632" t="s">
        <v>31</v>
      </c>
      <c r="F1632" t="s">
        <v>26</v>
      </c>
      <c r="G1632" t="s">
        <v>27</v>
      </c>
    </row>
    <row r="1633" spans="1:7" x14ac:dyDescent="0.2">
      <c r="A1633">
        <v>17</v>
      </c>
      <c r="B1633">
        <v>42</v>
      </c>
      <c r="C1633" t="s">
        <v>1071</v>
      </c>
      <c r="D1633" t="s">
        <v>24</v>
      </c>
      <c r="E1633" t="s">
        <v>25</v>
      </c>
      <c r="F1633" t="s">
        <v>87</v>
      </c>
      <c r="G1633" t="s">
        <v>27</v>
      </c>
    </row>
    <row r="1634" spans="1:7" x14ac:dyDescent="0.2">
      <c r="A1634">
        <v>17</v>
      </c>
      <c r="B1634">
        <v>42</v>
      </c>
      <c r="C1634" t="s">
        <v>1063</v>
      </c>
      <c r="D1634" t="s">
        <v>24</v>
      </c>
      <c r="E1634" t="s">
        <v>31</v>
      </c>
      <c r="F1634" t="s">
        <v>26</v>
      </c>
      <c r="G1634" t="s">
        <v>27</v>
      </c>
    </row>
    <row r="1635" spans="1:7" x14ac:dyDescent="0.2">
      <c r="A1635">
        <v>18</v>
      </c>
      <c r="B1635">
        <v>42</v>
      </c>
      <c r="C1635" t="s">
        <v>1070</v>
      </c>
      <c r="D1635" t="s">
        <v>24</v>
      </c>
      <c r="E1635" t="s">
        <v>31</v>
      </c>
      <c r="F1635" t="s">
        <v>47</v>
      </c>
      <c r="G1635" t="s">
        <v>27</v>
      </c>
    </row>
    <row r="1636" spans="1:7" x14ac:dyDescent="0.2">
      <c r="A1636">
        <v>18</v>
      </c>
      <c r="B1636">
        <v>42</v>
      </c>
      <c r="C1636" t="s">
        <v>1082</v>
      </c>
      <c r="D1636" t="s">
        <v>24</v>
      </c>
      <c r="E1636" t="s">
        <v>31</v>
      </c>
      <c r="F1636" t="s">
        <v>47</v>
      </c>
      <c r="G1636" t="s">
        <v>27</v>
      </c>
    </row>
    <row r="1637" spans="1:7" x14ac:dyDescent="0.2">
      <c r="A1637">
        <v>18</v>
      </c>
      <c r="B1637">
        <v>42</v>
      </c>
      <c r="C1637" t="s">
        <v>1072</v>
      </c>
      <c r="D1637" t="s">
        <v>24</v>
      </c>
      <c r="E1637" t="s">
        <v>31</v>
      </c>
      <c r="F1637" t="s">
        <v>47</v>
      </c>
      <c r="G1637" t="s">
        <v>27</v>
      </c>
    </row>
    <row r="1638" spans="1:7" x14ac:dyDescent="0.2">
      <c r="A1638">
        <v>19</v>
      </c>
      <c r="B1638">
        <v>42</v>
      </c>
      <c r="C1638" t="s">
        <v>1083</v>
      </c>
      <c r="D1638" t="s">
        <v>24</v>
      </c>
      <c r="E1638" t="s">
        <v>31</v>
      </c>
      <c r="F1638" t="s">
        <v>26</v>
      </c>
      <c r="G1638" t="s">
        <v>27</v>
      </c>
    </row>
    <row r="1639" spans="1:7" x14ac:dyDescent="0.2">
      <c r="A1639">
        <v>19</v>
      </c>
      <c r="B1639">
        <v>42</v>
      </c>
      <c r="C1639" t="s">
        <v>1084</v>
      </c>
      <c r="D1639" t="s">
        <v>24</v>
      </c>
      <c r="E1639" t="s">
        <v>31</v>
      </c>
      <c r="F1639" t="s">
        <v>26</v>
      </c>
      <c r="G1639" t="s">
        <v>27</v>
      </c>
    </row>
    <row r="1640" spans="1:7" x14ac:dyDescent="0.2">
      <c r="A1640">
        <v>19</v>
      </c>
      <c r="B1640">
        <v>42</v>
      </c>
      <c r="C1640" t="s">
        <v>1085</v>
      </c>
      <c r="D1640" t="s">
        <v>24</v>
      </c>
      <c r="E1640" t="s">
        <v>31</v>
      </c>
      <c r="F1640" t="s">
        <v>26</v>
      </c>
      <c r="G1640" t="s">
        <v>27</v>
      </c>
    </row>
    <row r="1641" spans="1:7" x14ac:dyDescent="0.2">
      <c r="A1641">
        <v>19</v>
      </c>
      <c r="B1641">
        <v>42</v>
      </c>
      <c r="C1641" t="s">
        <v>1050</v>
      </c>
      <c r="D1641" t="s">
        <v>24</v>
      </c>
      <c r="E1641" t="s">
        <v>31</v>
      </c>
      <c r="F1641" t="s">
        <v>26</v>
      </c>
      <c r="G1641" t="s">
        <v>27</v>
      </c>
    </row>
    <row r="1642" spans="1:7" x14ac:dyDescent="0.2">
      <c r="A1642">
        <v>19</v>
      </c>
      <c r="B1642">
        <v>42</v>
      </c>
      <c r="C1642" t="s">
        <v>1071</v>
      </c>
      <c r="D1642" t="s">
        <v>24</v>
      </c>
      <c r="E1642" t="s">
        <v>31</v>
      </c>
      <c r="F1642" t="s">
        <v>26</v>
      </c>
      <c r="G1642" t="s">
        <v>27</v>
      </c>
    </row>
    <row r="1643" spans="1:7" x14ac:dyDescent="0.2">
      <c r="A1643">
        <v>19</v>
      </c>
      <c r="B1643">
        <v>42</v>
      </c>
      <c r="C1643" t="s">
        <v>1070</v>
      </c>
      <c r="D1643" t="s">
        <v>24</v>
      </c>
      <c r="E1643" t="s">
        <v>31</v>
      </c>
      <c r="F1643" t="s">
        <v>26</v>
      </c>
      <c r="G1643" t="s">
        <v>27</v>
      </c>
    </row>
    <row r="1644" spans="1:7" x14ac:dyDescent="0.2">
      <c r="A1644">
        <v>19</v>
      </c>
      <c r="B1644">
        <v>42</v>
      </c>
      <c r="C1644" t="s">
        <v>1086</v>
      </c>
      <c r="D1644" t="s">
        <v>24</v>
      </c>
      <c r="E1644" t="s">
        <v>31</v>
      </c>
      <c r="F1644" t="s">
        <v>26</v>
      </c>
      <c r="G1644" t="s">
        <v>27</v>
      </c>
    </row>
    <row r="1645" spans="1:7" x14ac:dyDescent="0.2">
      <c r="A1645">
        <v>19</v>
      </c>
      <c r="B1645">
        <v>42</v>
      </c>
      <c r="C1645" t="s">
        <v>472</v>
      </c>
      <c r="D1645" t="s">
        <v>24</v>
      </c>
      <c r="E1645" t="s">
        <v>31</v>
      </c>
      <c r="F1645" t="s">
        <v>26</v>
      </c>
      <c r="G1645" t="s">
        <v>27</v>
      </c>
    </row>
    <row r="1646" spans="1:7" x14ac:dyDescent="0.2">
      <c r="A1646">
        <v>19</v>
      </c>
      <c r="B1646">
        <v>42</v>
      </c>
      <c r="C1646" t="s">
        <v>1058</v>
      </c>
      <c r="D1646" t="s">
        <v>24</v>
      </c>
      <c r="E1646" t="s">
        <v>31</v>
      </c>
      <c r="F1646" t="s">
        <v>26</v>
      </c>
      <c r="G1646" t="s">
        <v>27</v>
      </c>
    </row>
    <row r="1647" spans="1:7" x14ac:dyDescent="0.2">
      <c r="A1647">
        <v>20</v>
      </c>
      <c r="B1647">
        <v>42</v>
      </c>
      <c r="C1647" t="s">
        <v>1066</v>
      </c>
      <c r="D1647" t="s">
        <v>24</v>
      </c>
      <c r="E1647" t="s">
        <v>31</v>
      </c>
      <c r="F1647" t="s">
        <v>26</v>
      </c>
      <c r="G1647" t="s">
        <v>27</v>
      </c>
    </row>
    <row r="1648" spans="1:7" x14ac:dyDescent="0.2">
      <c r="A1648">
        <v>20</v>
      </c>
      <c r="B1648">
        <v>42</v>
      </c>
      <c r="C1648" t="s">
        <v>1085</v>
      </c>
      <c r="D1648" t="s">
        <v>24</v>
      </c>
      <c r="E1648" t="s">
        <v>31</v>
      </c>
      <c r="F1648" t="s">
        <v>26</v>
      </c>
      <c r="G1648" t="s">
        <v>27</v>
      </c>
    </row>
    <row r="1649" spans="1:7" x14ac:dyDescent="0.2">
      <c r="A1649">
        <v>20</v>
      </c>
      <c r="B1649">
        <v>42</v>
      </c>
      <c r="C1649" t="s">
        <v>1087</v>
      </c>
      <c r="D1649" t="s">
        <v>24</v>
      </c>
      <c r="E1649" t="s">
        <v>31</v>
      </c>
      <c r="F1649" t="s">
        <v>26</v>
      </c>
      <c r="G1649" t="s">
        <v>27</v>
      </c>
    </row>
    <row r="1650" spans="1:7" x14ac:dyDescent="0.2">
      <c r="A1650">
        <v>20</v>
      </c>
      <c r="B1650">
        <v>42</v>
      </c>
      <c r="C1650" t="s">
        <v>1088</v>
      </c>
      <c r="D1650" t="s">
        <v>24</v>
      </c>
      <c r="E1650" t="s">
        <v>31</v>
      </c>
      <c r="F1650" t="s">
        <v>26</v>
      </c>
      <c r="G1650" t="s">
        <v>27</v>
      </c>
    </row>
    <row r="1651" spans="1:7" x14ac:dyDescent="0.2">
      <c r="A1651">
        <v>21</v>
      </c>
      <c r="B1651">
        <v>42</v>
      </c>
      <c r="C1651" t="s">
        <v>1089</v>
      </c>
      <c r="D1651" t="s">
        <v>24</v>
      </c>
      <c r="E1651" t="s">
        <v>25</v>
      </c>
      <c r="F1651" t="s">
        <v>26</v>
      </c>
      <c r="G1651" t="s">
        <v>27</v>
      </c>
    </row>
    <row r="1652" spans="1:7" x14ac:dyDescent="0.2">
      <c r="A1652">
        <v>21</v>
      </c>
      <c r="B1652">
        <v>42</v>
      </c>
      <c r="C1652" t="s">
        <v>1090</v>
      </c>
      <c r="D1652" t="s">
        <v>24</v>
      </c>
      <c r="E1652" t="s">
        <v>25</v>
      </c>
      <c r="F1652" t="s">
        <v>26</v>
      </c>
      <c r="G1652" t="s">
        <v>27</v>
      </c>
    </row>
    <row r="1653" spans="1:7" x14ac:dyDescent="0.2">
      <c r="A1653">
        <v>21</v>
      </c>
      <c r="B1653">
        <v>42</v>
      </c>
      <c r="C1653" t="s">
        <v>1091</v>
      </c>
      <c r="D1653" t="s">
        <v>24</v>
      </c>
      <c r="E1653" t="s">
        <v>25</v>
      </c>
      <c r="F1653" t="s">
        <v>26</v>
      </c>
      <c r="G1653" t="s">
        <v>27</v>
      </c>
    </row>
    <row r="1654" spans="1:7" x14ac:dyDescent="0.2">
      <c r="A1654">
        <v>21</v>
      </c>
      <c r="B1654">
        <v>42</v>
      </c>
      <c r="C1654" t="s">
        <v>1087</v>
      </c>
      <c r="D1654" t="s">
        <v>24</v>
      </c>
      <c r="E1654" t="s">
        <v>25</v>
      </c>
      <c r="F1654" t="s">
        <v>26</v>
      </c>
      <c r="G1654" t="s">
        <v>27</v>
      </c>
    </row>
    <row r="1655" spans="1:7" x14ac:dyDescent="0.2">
      <c r="A1655">
        <v>21</v>
      </c>
      <c r="B1655">
        <v>42</v>
      </c>
      <c r="C1655" t="s">
        <v>1092</v>
      </c>
      <c r="D1655" t="s">
        <v>24</v>
      </c>
      <c r="E1655" t="s">
        <v>25</v>
      </c>
      <c r="F1655" t="s">
        <v>26</v>
      </c>
      <c r="G1655" t="s">
        <v>27</v>
      </c>
    </row>
    <row r="1656" spans="1:7" x14ac:dyDescent="0.2">
      <c r="A1656">
        <v>21</v>
      </c>
      <c r="B1656">
        <v>42</v>
      </c>
      <c r="C1656" t="s">
        <v>1058</v>
      </c>
      <c r="D1656" t="s">
        <v>24</v>
      </c>
      <c r="E1656" t="s">
        <v>25</v>
      </c>
      <c r="F1656" t="s">
        <v>26</v>
      </c>
      <c r="G1656" t="s">
        <v>27</v>
      </c>
    </row>
    <row r="1657" spans="1:7" x14ac:dyDescent="0.2">
      <c r="A1657">
        <v>22</v>
      </c>
      <c r="B1657">
        <v>42</v>
      </c>
      <c r="C1657" t="s">
        <v>1085</v>
      </c>
      <c r="D1657" t="s">
        <v>24</v>
      </c>
      <c r="E1657" t="s">
        <v>31</v>
      </c>
      <c r="F1657" t="s">
        <v>26</v>
      </c>
      <c r="G1657" t="s">
        <v>27</v>
      </c>
    </row>
    <row r="1658" spans="1:7" x14ac:dyDescent="0.2">
      <c r="A1658">
        <v>22</v>
      </c>
      <c r="B1658">
        <v>42</v>
      </c>
      <c r="C1658" t="s">
        <v>1050</v>
      </c>
      <c r="D1658" t="s">
        <v>24</v>
      </c>
      <c r="E1658" t="s">
        <v>31</v>
      </c>
      <c r="F1658" t="s">
        <v>26</v>
      </c>
      <c r="G1658" t="s">
        <v>27</v>
      </c>
    </row>
    <row r="1659" spans="1:7" x14ac:dyDescent="0.2">
      <c r="A1659">
        <v>22</v>
      </c>
      <c r="B1659">
        <v>42</v>
      </c>
      <c r="C1659" t="s">
        <v>1093</v>
      </c>
      <c r="D1659" t="s">
        <v>24</v>
      </c>
      <c r="E1659" t="s">
        <v>31</v>
      </c>
      <c r="F1659" t="s">
        <v>26</v>
      </c>
      <c r="G1659" t="s">
        <v>27</v>
      </c>
    </row>
    <row r="1660" spans="1:7" x14ac:dyDescent="0.2">
      <c r="A1660">
        <v>22</v>
      </c>
      <c r="B1660">
        <v>42</v>
      </c>
      <c r="C1660" t="s">
        <v>1091</v>
      </c>
      <c r="D1660" t="s">
        <v>24</v>
      </c>
      <c r="E1660" t="s">
        <v>31</v>
      </c>
      <c r="F1660" t="s">
        <v>26</v>
      </c>
      <c r="G1660" t="s">
        <v>27</v>
      </c>
    </row>
    <row r="1661" spans="1:7" x14ac:dyDescent="0.2">
      <c r="A1661">
        <v>22</v>
      </c>
      <c r="B1661">
        <v>42</v>
      </c>
      <c r="C1661" t="s">
        <v>1070</v>
      </c>
      <c r="D1661" t="s">
        <v>24</v>
      </c>
      <c r="E1661" t="s">
        <v>31</v>
      </c>
      <c r="F1661" t="s">
        <v>26</v>
      </c>
      <c r="G1661" t="s">
        <v>27</v>
      </c>
    </row>
    <row r="1662" spans="1:7" x14ac:dyDescent="0.2">
      <c r="A1662">
        <v>22</v>
      </c>
      <c r="B1662">
        <v>42</v>
      </c>
      <c r="C1662" t="s">
        <v>1094</v>
      </c>
      <c r="D1662" t="s">
        <v>24</v>
      </c>
      <c r="E1662" t="s">
        <v>31</v>
      </c>
      <c r="F1662" t="s">
        <v>26</v>
      </c>
      <c r="G1662" t="s">
        <v>27</v>
      </c>
    </row>
    <row r="1663" spans="1:7" x14ac:dyDescent="0.2">
      <c r="A1663">
        <v>22</v>
      </c>
      <c r="B1663">
        <v>42</v>
      </c>
      <c r="C1663" t="s">
        <v>666</v>
      </c>
      <c r="D1663" t="s">
        <v>24</v>
      </c>
      <c r="E1663" t="s">
        <v>31</v>
      </c>
      <c r="F1663" t="s">
        <v>26</v>
      </c>
      <c r="G1663" t="s">
        <v>27</v>
      </c>
    </row>
    <row r="1664" spans="1:7" x14ac:dyDescent="0.2">
      <c r="A1664">
        <v>22</v>
      </c>
      <c r="B1664">
        <v>42</v>
      </c>
      <c r="C1664" t="s">
        <v>1095</v>
      </c>
      <c r="D1664" t="s">
        <v>24</v>
      </c>
      <c r="E1664" t="s">
        <v>31</v>
      </c>
      <c r="F1664" t="s">
        <v>26</v>
      </c>
      <c r="G1664" t="s">
        <v>27</v>
      </c>
    </row>
    <row r="1665" spans="1:7" x14ac:dyDescent="0.2">
      <c r="A1665">
        <v>22</v>
      </c>
      <c r="B1665">
        <v>42</v>
      </c>
      <c r="C1665" t="s">
        <v>1092</v>
      </c>
      <c r="D1665" t="s">
        <v>24</v>
      </c>
      <c r="E1665" t="s">
        <v>31</v>
      </c>
      <c r="F1665" t="s">
        <v>26</v>
      </c>
      <c r="G1665" t="s">
        <v>27</v>
      </c>
    </row>
    <row r="1666" spans="1:7" x14ac:dyDescent="0.2">
      <c r="A1666">
        <v>22</v>
      </c>
      <c r="B1666">
        <v>42</v>
      </c>
      <c r="C1666" t="s">
        <v>1058</v>
      </c>
      <c r="D1666" t="s">
        <v>24</v>
      </c>
      <c r="E1666" t="s">
        <v>31</v>
      </c>
      <c r="F1666" t="s">
        <v>26</v>
      </c>
      <c r="G1666" t="s">
        <v>27</v>
      </c>
    </row>
    <row r="1667" spans="1:7" x14ac:dyDescent="0.2">
      <c r="A1667">
        <v>22</v>
      </c>
      <c r="B1667">
        <v>42</v>
      </c>
      <c r="C1667" t="s">
        <v>967</v>
      </c>
      <c r="D1667" t="s">
        <v>30</v>
      </c>
      <c r="E1667" t="s">
        <v>31</v>
      </c>
      <c r="F1667" t="s">
        <v>26</v>
      </c>
      <c r="G1667" t="s">
        <v>27</v>
      </c>
    </row>
    <row r="1668" spans="1:7" x14ac:dyDescent="0.2">
      <c r="A1668">
        <v>23</v>
      </c>
      <c r="B1668">
        <v>42</v>
      </c>
      <c r="C1668" t="s">
        <v>1066</v>
      </c>
      <c r="D1668" t="s">
        <v>24</v>
      </c>
      <c r="E1668" t="s">
        <v>31</v>
      </c>
      <c r="F1668" t="s">
        <v>26</v>
      </c>
      <c r="G1668" t="s">
        <v>27</v>
      </c>
    </row>
    <row r="1669" spans="1:7" x14ac:dyDescent="0.2">
      <c r="A1669">
        <v>23</v>
      </c>
      <c r="B1669">
        <v>42</v>
      </c>
      <c r="C1669" t="s">
        <v>1085</v>
      </c>
      <c r="D1669" t="s">
        <v>24</v>
      </c>
      <c r="E1669" t="s">
        <v>31</v>
      </c>
      <c r="F1669" t="s">
        <v>26</v>
      </c>
      <c r="G1669" t="s">
        <v>27</v>
      </c>
    </row>
    <row r="1670" spans="1:7" x14ac:dyDescent="0.2">
      <c r="A1670">
        <v>23</v>
      </c>
      <c r="B1670">
        <v>42</v>
      </c>
      <c r="C1670" t="s">
        <v>1091</v>
      </c>
      <c r="D1670" t="s">
        <v>24</v>
      </c>
      <c r="E1670" t="s">
        <v>31</v>
      </c>
      <c r="F1670" t="s">
        <v>26</v>
      </c>
      <c r="G1670" t="s">
        <v>27</v>
      </c>
    </row>
    <row r="1671" spans="1:7" x14ac:dyDescent="0.2">
      <c r="A1671">
        <v>23</v>
      </c>
      <c r="B1671">
        <v>42</v>
      </c>
      <c r="C1671" t="s">
        <v>666</v>
      </c>
      <c r="D1671" t="s">
        <v>24</v>
      </c>
      <c r="E1671" t="s">
        <v>31</v>
      </c>
      <c r="F1671" t="s">
        <v>26</v>
      </c>
      <c r="G1671" t="s">
        <v>27</v>
      </c>
    </row>
    <row r="1672" spans="1:7" x14ac:dyDescent="0.2">
      <c r="A1672">
        <v>23</v>
      </c>
      <c r="B1672">
        <v>42</v>
      </c>
      <c r="C1672" t="s">
        <v>967</v>
      </c>
      <c r="D1672" t="s">
        <v>24</v>
      </c>
      <c r="E1672" t="s">
        <v>31</v>
      </c>
      <c r="F1672" t="s">
        <v>26</v>
      </c>
      <c r="G1672" t="s">
        <v>27</v>
      </c>
    </row>
    <row r="1673" spans="1:7" x14ac:dyDescent="0.2">
      <c r="A1673">
        <v>7</v>
      </c>
      <c r="B1673">
        <v>43</v>
      </c>
      <c r="C1673" t="s">
        <v>1096</v>
      </c>
      <c r="D1673" t="s">
        <v>24</v>
      </c>
      <c r="E1673" t="s">
        <v>25</v>
      </c>
      <c r="F1673" t="s">
        <v>26</v>
      </c>
      <c r="G1673" t="s">
        <v>27</v>
      </c>
    </row>
    <row r="1674" spans="1:7" x14ac:dyDescent="0.2">
      <c r="A1674">
        <v>7</v>
      </c>
      <c r="B1674">
        <v>43</v>
      </c>
      <c r="C1674" t="s">
        <v>509</v>
      </c>
      <c r="D1674" t="s">
        <v>24</v>
      </c>
      <c r="E1674" t="s">
        <v>25</v>
      </c>
      <c r="F1674" t="s">
        <v>26</v>
      </c>
      <c r="G1674" t="s">
        <v>27</v>
      </c>
    </row>
    <row r="1675" spans="1:7" x14ac:dyDescent="0.2">
      <c r="A1675">
        <v>7</v>
      </c>
      <c r="B1675">
        <v>43</v>
      </c>
      <c r="C1675" t="s">
        <v>508</v>
      </c>
      <c r="D1675" t="s">
        <v>24</v>
      </c>
      <c r="E1675" t="s">
        <v>25</v>
      </c>
      <c r="F1675" t="s">
        <v>26</v>
      </c>
      <c r="G1675" t="s">
        <v>27</v>
      </c>
    </row>
    <row r="1676" spans="1:7" x14ac:dyDescent="0.2">
      <c r="A1676">
        <v>7</v>
      </c>
      <c r="B1676">
        <v>43</v>
      </c>
      <c r="C1676" t="s">
        <v>1097</v>
      </c>
      <c r="D1676" t="s">
        <v>24</v>
      </c>
      <c r="E1676" t="s">
        <v>25</v>
      </c>
      <c r="F1676" t="s">
        <v>26</v>
      </c>
      <c r="G1676" t="s">
        <v>27</v>
      </c>
    </row>
    <row r="1677" spans="1:7" x14ac:dyDescent="0.2">
      <c r="A1677">
        <v>8</v>
      </c>
      <c r="B1677">
        <v>43</v>
      </c>
      <c r="C1677" t="s">
        <v>1098</v>
      </c>
      <c r="D1677" t="s">
        <v>24</v>
      </c>
      <c r="E1677" t="s">
        <v>31</v>
      </c>
      <c r="F1677" t="s">
        <v>26</v>
      </c>
      <c r="G1677" t="s">
        <v>27</v>
      </c>
    </row>
    <row r="1678" spans="1:7" x14ac:dyDescent="0.2">
      <c r="A1678">
        <v>8</v>
      </c>
      <c r="B1678">
        <v>43</v>
      </c>
      <c r="C1678" t="s">
        <v>556</v>
      </c>
      <c r="D1678" t="s">
        <v>24</v>
      </c>
      <c r="E1678" t="s">
        <v>31</v>
      </c>
      <c r="F1678" t="s">
        <v>26</v>
      </c>
      <c r="G1678" t="s">
        <v>27</v>
      </c>
    </row>
    <row r="1679" spans="1:7" x14ac:dyDescent="0.2">
      <c r="A1679">
        <v>8</v>
      </c>
      <c r="B1679">
        <v>43</v>
      </c>
      <c r="C1679" t="s">
        <v>1099</v>
      </c>
      <c r="D1679" t="s">
        <v>24</v>
      </c>
      <c r="E1679" t="s">
        <v>31</v>
      </c>
      <c r="F1679" t="s">
        <v>26</v>
      </c>
      <c r="G1679" t="s">
        <v>27</v>
      </c>
    </row>
    <row r="1680" spans="1:7" x14ac:dyDescent="0.2">
      <c r="A1680">
        <v>9</v>
      </c>
      <c r="B1680">
        <v>43</v>
      </c>
      <c r="C1680" t="s">
        <v>1100</v>
      </c>
      <c r="D1680" t="s">
        <v>24</v>
      </c>
      <c r="E1680" t="s">
        <v>31</v>
      </c>
      <c r="F1680" t="s">
        <v>26</v>
      </c>
      <c r="G1680" t="s">
        <v>27</v>
      </c>
    </row>
    <row r="1681" spans="1:7" x14ac:dyDescent="0.2">
      <c r="A1681">
        <v>9</v>
      </c>
      <c r="B1681">
        <v>43</v>
      </c>
      <c r="C1681" t="s">
        <v>1101</v>
      </c>
      <c r="D1681" t="s">
        <v>24</v>
      </c>
      <c r="E1681" t="s">
        <v>31</v>
      </c>
      <c r="F1681" t="s">
        <v>26</v>
      </c>
      <c r="G1681" t="s">
        <v>27</v>
      </c>
    </row>
    <row r="1682" spans="1:7" x14ac:dyDescent="0.2">
      <c r="A1682">
        <v>9</v>
      </c>
      <c r="B1682">
        <v>43</v>
      </c>
      <c r="C1682" t="s">
        <v>1102</v>
      </c>
      <c r="D1682" t="s">
        <v>24</v>
      </c>
      <c r="E1682" t="s">
        <v>31</v>
      </c>
      <c r="F1682" t="s">
        <v>26</v>
      </c>
      <c r="G1682" t="s">
        <v>27</v>
      </c>
    </row>
    <row r="1683" spans="1:7" x14ac:dyDescent="0.2">
      <c r="A1683">
        <v>9</v>
      </c>
      <c r="B1683">
        <v>43</v>
      </c>
      <c r="C1683" t="s">
        <v>1103</v>
      </c>
      <c r="D1683" t="s">
        <v>30</v>
      </c>
      <c r="E1683" t="s">
        <v>31</v>
      </c>
      <c r="F1683" t="s">
        <v>26</v>
      </c>
      <c r="G1683" t="s">
        <v>27</v>
      </c>
    </row>
    <row r="1684" spans="1:7" x14ac:dyDescent="0.2">
      <c r="A1684">
        <v>9</v>
      </c>
      <c r="B1684">
        <v>43</v>
      </c>
      <c r="C1684" t="s">
        <v>556</v>
      </c>
      <c r="D1684" t="s">
        <v>24</v>
      </c>
      <c r="E1684" t="s">
        <v>31</v>
      </c>
      <c r="F1684" t="s">
        <v>26</v>
      </c>
      <c r="G1684" t="s">
        <v>27</v>
      </c>
    </row>
    <row r="1685" spans="1:7" x14ac:dyDescent="0.2">
      <c r="A1685">
        <v>9</v>
      </c>
      <c r="B1685">
        <v>43</v>
      </c>
      <c r="C1685" t="s">
        <v>1099</v>
      </c>
      <c r="D1685" t="s">
        <v>24</v>
      </c>
      <c r="E1685" t="s">
        <v>31</v>
      </c>
      <c r="F1685" t="s">
        <v>26</v>
      </c>
      <c r="G1685" t="s">
        <v>27</v>
      </c>
    </row>
    <row r="1686" spans="1:7" x14ac:dyDescent="0.2">
      <c r="A1686">
        <v>9</v>
      </c>
      <c r="B1686">
        <v>43</v>
      </c>
      <c r="C1686" t="s">
        <v>1104</v>
      </c>
      <c r="D1686" t="s">
        <v>24</v>
      </c>
      <c r="E1686" t="s">
        <v>25</v>
      </c>
      <c r="F1686" t="s">
        <v>26</v>
      </c>
      <c r="G1686" t="s">
        <v>27</v>
      </c>
    </row>
    <row r="1687" spans="1:7" x14ac:dyDescent="0.2">
      <c r="A1687">
        <v>9</v>
      </c>
      <c r="B1687">
        <v>43</v>
      </c>
      <c r="C1687" t="s">
        <v>1105</v>
      </c>
      <c r="D1687" t="s">
        <v>24</v>
      </c>
      <c r="E1687" t="s">
        <v>31</v>
      </c>
      <c r="F1687" t="s">
        <v>26</v>
      </c>
      <c r="G1687" t="s">
        <v>27</v>
      </c>
    </row>
    <row r="1688" spans="1:7" x14ac:dyDescent="0.2">
      <c r="A1688">
        <v>9</v>
      </c>
      <c r="B1688">
        <v>43</v>
      </c>
      <c r="C1688" t="s">
        <v>1106</v>
      </c>
      <c r="D1688" t="s">
        <v>24</v>
      </c>
      <c r="E1688" t="s">
        <v>31</v>
      </c>
      <c r="F1688" t="s">
        <v>26</v>
      </c>
      <c r="G1688" t="s">
        <v>27</v>
      </c>
    </row>
    <row r="1689" spans="1:7" x14ac:dyDescent="0.2">
      <c r="A1689">
        <v>9</v>
      </c>
      <c r="B1689">
        <v>43</v>
      </c>
      <c r="C1689" t="s">
        <v>1107</v>
      </c>
      <c r="D1689" t="s">
        <v>24</v>
      </c>
      <c r="E1689" t="s">
        <v>31</v>
      </c>
      <c r="F1689" t="s">
        <v>26</v>
      </c>
      <c r="G1689" t="s">
        <v>27</v>
      </c>
    </row>
    <row r="1690" spans="1:7" x14ac:dyDescent="0.2">
      <c r="A1690">
        <v>10</v>
      </c>
      <c r="B1690">
        <v>43</v>
      </c>
      <c r="C1690" t="s">
        <v>1108</v>
      </c>
      <c r="D1690" t="s">
        <v>24</v>
      </c>
      <c r="E1690" t="s">
        <v>25</v>
      </c>
      <c r="F1690" t="s">
        <v>47</v>
      </c>
      <c r="G1690" t="s">
        <v>27</v>
      </c>
    </row>
    <row r="1691" spans="1:7" x14ac:dyDescent="0.2">
      <c r="A1691">
        <v>10</v>
      </c>
      <c r="B1691">
        <v>43</v>
      </c>
      <c r="C1691" t="s">
        <v>1109</v>
      </c>
      <c r="D1691" t="s">
        <v>24</v>
      </c>
      <c r="E1691" t="s">
        <v>25</v>
      </c>
      <c r="F1691" t="s">
        <v>47</v>
      </c>
      <c r="G1691" t="s">
        <v>27</v>
      </c>
    </row>
    <row r="1692" spans="1:7" x14ac:dyDescent="0.2">
      <c r="A1692">
        <v>10</v>
      </c>
      <c r="B1692">
        <v>43</v>
      </c>
      <c r="C1692" t="s">
        <v>1110</v>
      </c>
      <c r="D1692" t="s">
        <v>24</v>
      </c>
      <c r="E1692" t="s">
        <v>25</v>
      </c>
      <c r="F1692" t="s">
        <v>47</v>
      </c>
      <c r="G1692" t="s">
        <v>27</v>
      </c>
    </row>
    <row r="1693" spans="1:7" x14ac:dyDescent="0.2">
      <c r="A1693">
        <v>10</v>
      </c>
      <c r="B1693">
        <v>43</v>
      </c>
      <c r="C1693" t="s">
        <v>508</v>
      </c>
      <c r="D1693" t="s">
        <v>24</v>
      </c>
      <c r="E1693" t="s">
        <v>25</v>
      </c>
      <c r="F1693" t="s">
        <v>26</v>
      </c>
      <c r="G1693" t="s">
        <v>27</v>
      </c>
    </row>
    <row r="1694" spans="1:7" x14ac:dyDescent="0.2">
      <c r="A1694">
        <v>10</v>
      </c>
      <c r="B1694">
        <v>43</v>
      </c>
      <c r="C1694" t="s">
        <v>1111</v>
      </c>
      <c r="D1694" t="s">
        <v>24</v>
      </c>
      <c r="E1694" t="s">
        <v>25</v>
      </c>
      <c r="F1694" t="s">
        <v>26</v>
      </c>
      <c r="G1694" t="s">
        <v>27</v>
      </c>
    </row>
    <row r="1695" spans="1:7" x14ac:dyDescent="0.2">
      <c r="A1695">
        <v>10</v>
      </c>
      <c r="B1695">
        <v>43</v>
      </c>
      <c r="C1695" t="s">
        <v>1112</v>
      </c>
      <c r="D1695" t="s">
        <v>24</v>
      </c>
      <c r="E1695" t="s">
        <v>25</v>
      </c>
      <c r="F1695" t="s">
        <v>26</v>
      </c>
      <c r="G1695" t="s">
        <v>27</v>
      </c>
    </row>
    <row r="1696" spans="1:7" x14ac:dyDescent="0.2">
      <c r="A1696">
        <v>10</v>
      </c>
      <c r="B1696">
        <v>43</v>
      </c>
      <c r="C1696" t="s">
        <v>1111</v>
      </c>
      <c r="D1696" t="s">
        <v>24</v>
      </c>
      <c r="E1696" t="s">
        <v>25</v>
      </c>
      <c r="F1696" t="s">
        <v>26</v>
      </c>
      <c r="G1696" t="s">
        <v>27</v>
      </c>
    </row>
    <row r="1697" spans="1:7" x14ac:dyDescent="0.2">
      <c r="A1697">
        <v>11</v>
      </c>
      <c r="B1697">
        <v>43</v>
      </c>
      <c r="C1697" t="s">
        <v>1100</v>
      </c>
      <c r="D1697" t="s">
        <v>24</v>
      </c>
      <c r="E1697" t="s">
        <v>31</v>
      </c>
      <c r="F1697" t="s">
        <v>26</v>
      </c>
      <c r="G1697" t="s">
        <v>27</v>
      </c>
    </row>
    <row r="1698" spans="1:7" x14ac:dyDescent="0.2">
      <c r="A1698">
        <v>11</v>
      </c>
      <c r="B1698">
        <v>43</v>
      </c>
      <c r="C1698" t="s">
        <v>1101</v>
      </c>
      <c r="D1698" t="s">
        <v>24</v>
      </c>
      <c r="E1698" t="s">
        <v>31</v>
      </c>
      <c r="F1698" t="s">
        <v>26</v>
      </c>
      <c r="G1698" t="s">
        <v>27</v>
      </c>
    </row>
    <row r="1699" spans="1:7" x14ac:dyDescent="0.2">
      <c r="A1699">
        <v>11</v>
      </c>
      <c r="B1699">
        <v>43</v>
      </c>
      <c r="C1699" t="s">
        <v>1113</v>
      </c>
      <c r="D1699" t="s">
        <v>24</v>
      </c>
      <c r="E1699" t="s">
        <v>31</v>
      </c>
      <c r="F1699" t="s">
        <v>26</v>
      </c>
      <c r="G1699" t="s">
        <v>27</v>
      </c>
    </row>
    <row r="1700" spans="1:7" x14ac:dyDescent="0.2">
      <c r="A1700">
        <v>11</v>
      </c>
      <c r="B1700">
        <v>43</v>
      </c>
      <c r="C1700" t="s">
        <v>1114</v>
      </c>
      <c r="D1700" t="s">
        <v>24</v>
      </c>
      <c r="E1700" t="s">
        <v>31</v>
      </c>
      <c r="F1700" t="s">
        <v>26</v>
      </c>
      <c r="G1700" t="s">
        <v>27</v>
      </c>
    </row>
    <row r="1701" spans="1:7" x14ac:dyDescent="0.2">
      <c r="A1701">
        <v>11</v>
      </c>
      <c r="B1701">
        <v>43</v>
      </c>
      <c r="C1701" t="s">
        <v>1103</v>
      </c>
      <c r="D1701" t="s">
        <v>24</v>
      </c>
      <c r="E1701" t="s">
        <v>31</v>
      </c>
      <c r="F1701" t="s">
        <v>26</v>
      </c>
      <c r="G1701" t="s">
        <v>27</v>
      </c>
    </row>
    <row r="1702" spans="1:7" x14ac:dyDescent="0.2">
      <c r="A1702">
        <v>11</v>
      </c>
      <c r="B1702">
        <v>43</v>
      </c>
      <c r="C1702" t="s">
        <v>1099</v>
      </c>
      <c r="D1702" t="s">
        <v>24</v>
      </c>
      <c r="E1702" t="s">
        <v>31</v>
      </c>
      <c r="F1702" t="s">
        <v>26</v>
      </c>
      <c r="G1702" t="s">
        <v>27</v>
      </c>
    </row>
    <row r="1703" spans="1:7" x14ac:dyDescent="0.2">
      <c r="A1703">
        <v>11</v>
      </c>
      <c r="B1703">
        <v>43</v>
      </c>
      <c r="C1703" t="s">
        <v>556</v>
      </c>
      <c r="D1703" t="s">
        <v>24</v>
      </c>
      <c r="E1703" t="s">
        <v>31</v>
      </c>
      <c r="F1703" t="s">
        <v>26</v>
      </c>
      <c r="G1703" t="s">
        <v>27</v>
      </c>
    </row>
    <row r="1704" spans="1:7" x14ac:dyDescent="0.2">
      <c r="A1704">
        <v>12</v>
      </c>
      <c r="B1704">
        <v>43</v>
      </c>
      <c r="C1704" t="s">
        <v>1100</v>
      </c>
      <c r="D1704" t="s">
        <v>24</v>
      </c>
      <c r="E1704" t="s">
        <v>31</v>
      </c>
      <c r="F1704" t="s">
        <v>87</v>
      </c>
      <c r="G1704" t="s">
        <v>27</v>
      </c>
    </row>
    <row r="1705" spans="1:7" x14ac:dyDescent="0.2">
      <c r="A1705">
        <v>12</v>
      </c>
      <c r="B1705">
        <v>43</v>
      </c>
      <c r="C1705" t="s">
        <v>1101</v>
      </c>
      <c r="D1705" t="s">
        <v>24</v>
      </c>
      <c r="E1705" t="s">
        <v>31</v>
      </c>
      <c r="F1705" t="s">
        <v>87</v>
      </c>
      <c r="G1705" t="s">
        <v>27</v>
      </c>
    </row>
    <row r="1706" spans="1:7" x14ac:dyDescent="0.2">
      <c r="A1706">
        <v>12</v>
      </c>
      <c r="B1706">
        <v>43</v>
      </c>
      <c r="C1706" t="s">
        <v>1115</v>
      </c>
      <c r="D1706" t="s">
        <v>24</v>
      </c>
      <c r="E1706" t="s">
        <v>31</v>
      </c>
      <c r="F1706" t="s">
        <v>87</v>
      </c>
      <c r="G1706" t="s">
        <v>27</v>
      </c>
    </row>
    <row r="1707" spans="1:7" x14ac:dyDescent="0.2">
      <c r="A1707">
        <v>12</v>
      </c>
      <c r="B1707">
        <v>43</v>
      </c>
      <c r="C1707" t="s">
        <v>1116</v>
      </c>
      <c r="D1707" t="s">
        <v>24</v>
      </c>
      <c r="E1707" t="s">
        <v>31</v>
      </c>
      <c r="F1707" t="s">
        <v>47</v>
      </c>
      <c r="G1707" t="s">
        <v>27</v>
      </c>
    </row>
    <row r="1708" spans="1:7" x14ac:dyDescent="0.2">
      <c r="A1708">
        <v>12</v>
      </c>
      <c r="B1708">
        <v>43</v>
      </c>
      <c r="C1708" t="s">
        <v>1103</v>
      </c>
      <c r="D1708" t="s">
        <v>24</v>
      </c>
      <c r="E1708" t="s">
        <v>31</v>
      </c>
      <c r="F1708" t="s">
        <v>87</v>
      </c>
      <c r="G1708" t="s">
        <v>27</v>
      </c>
    </row>
    <row r="1709" spans="1:7" x14ac:dyDescent="0.2">
      <c r="A1709">
        <v>12</v>
      </c>
      <c r="B1709">
        <v>43</v>
      </c>
      <c r="C1709" t="s">
        <v>1099</v>
      </c>
      <c r="D1709" t="s">
        <v>24</v>
      </c>
      <c r="E1709" t="s">
        <v>31</v>
      </c>
      <c r="F1709" t="s">
        <v>87</v>
      </c>
      <c r="G1709" t="s">
        <v>27</v>
      </c>
    </row>
    <row r="1710" spans="1:7" x14ac:dyDescent="0.2">
      <c r="A1710">
        <v>12</v>
      </c>
      <c r="B1710">
        <v>43</v>
      </c>
      <c r="C1710" t="s">
        <v>556</v>
      </c>
      <c r="D1710" t="s">
        <v>24</v>
      </c>
      <c r="E1710" t="s">
        <v>31</v>
      </c>
      <c r="F1710" t="s">
        <v>87</v>
      </c>
      <c r="G1710" t="s">
        <v>27</v>
      </c>
    </row>
    <row r="1711" spans="1:7" x14ac:dyDescent="0.2">
      <c r="A1711">
        <v>12</v>
      </c>
      <c r="B1711">
        <v>43</v>
      </c>
      <c r="C1711" t="s">
        <v>1117</v>
      </c>
      <c r="D1711" t="s">
        <v>24</v>
      </c>
      <c r="E1711" t="s">
        <v>31</v>
      </c>
      <c r="F1711" t="s">
        <v>87</v>
      </c>
      <c r="G1711" t="s">
        <v>27</v>
      </c>
    </row>
    <row r="1712" spans="1:7" x14ac:dyDescent="0.2">
      <c r="A1712">
        <v>12</v>
      </c>
      <c r="B1712">
        <v>43</v>
      </c>
      <c r="C1712" t="s">
        <v>1118</v>
      </c>
      <c r="D1712" t="s">
        <v>24</v>
      </c>
      <c r="E1712" t="s">
        <v>31</v>
      </c>
      <c r="F1712" t="s">
        <v>87</v>
      </c>
      <c r="G1712" t="s">
        <v>27</v>
      </c>
    </row>
    <row r="1713" spans="1:7" x14ac:dyDescent="0.2">
      <c r="A1713">
        <v>12</v>
      </c>
      <c r="B1713">
        <v>43</v>
      </c>
      <c r="C1713" t="s">
        <v>1119</v>
      </c>
      <c r="D1713" t="s">
        <v>24</v>
      </c>
      <c r="E1713" t="s">
        <v>31</v>
      </c>
      <c r="F1713" t="s">
        <v>26</v>
      </c>
      <c r="G1713" t="s">
        <v>27</v>
      </c>
    </row>
    <row r="1714" spans="1:7" x14ac:dyDescent="0.2">
      <c r="A1714">
        <v>12</v>
      </c>
      <c r="B1714">
        <v>43</v>
      </c>
      <c r="C1714" t="s">
        <v>548</v>
      </c>
      <c r="D1714" t="s">
        <v>24</v>
      </c>
      <c r="E1714" t="s">
        <v>31</v>
      </c>
      <c r="F1714" t="s">
        <v>26</v>
      </c>
      <c r="G1714" t="s">
        <v>27</v>
      </c>
    </row>
    <row r="1715" spans="1:7" x14ac:dyDescent="0.2">
      <c r="A1715">
        <v>12</v>
      </c>
      <c r="B1715">
        <v>43</v>
      </c>
      <c r="C1715" t="s">
        <v>1094</v>
      </c>
      <c r="D1715" t="s">
        <v>24</v>
      </c>
      <c r="E1715" t="s">
        <v>31</v>
      </c>
      <c r="F1715" t="s">
        <v>26</v>
      </c>
      <c r="G1715" t="s">
        <v>27</v>
      </c>
    </row>
    <row r="1716" spans="1:7" x14ac:dyDescent="0.2">
      <c r="A1716">
        <v>12</v>
      </c>
      <c r="B1716">
        <v>43</v>
      </c>
      <c r="C1716" t="s">
        <v>1120</v>
      </c>
      <c r="D1716" t="s">
        <v>24</v>
      </c>
      <c r="E1716" t="s">
        <v>31</v>
      </c>
      <c r="F1716" t="s">
        <v>26</v>
      </c>
      <c r="G1716" t="s">
        <v>27</v>
      </c>
    </row>
    <row r="1717" spans="1:7" x14ac:dyDescent="0.2">
      <c r="A1717">
        <v>12</v>
      </c>
      <c r="B1717">
        <v>43</v>
      </c>
      <c r="C1717" t="s">
        <v>94</v>
      </c>
      <c r="D1717" t="s">
        <v>24</v>
      </c>
      <c r="E1717" t="s">
        <v>31</v>
      </c>
      <c r="F1717" t="s">
        <v>26</v>
      </c>
      <c r="G1717" t="s">
        <v>27</v>
      </c>
    </row>
    <row r="1718" spans="1:7" x14ac:dyDescent="0.2">
      <c r="A1718">
        <v>12</v>
      </c>
      <c r="B1718">
        <v>43</v>
      </c>
      <c r="C1718" t="s">
        <v>1121</v>
      </c>
      <c r="D1718" t="s">
        <v>24</v>
      </c>
      <c r="E1718" t="s">
        <v>31</v>
      </c>
      <c r="F1718" t="s">
        <v>26</v>
      </c>
      <c r="G1718" t="s">
        <v>27</v>
      </c>
    </row>
    <row r="1719" spans="1:7" x14ac:dyDescent="0.2">
      <c r="A1719">
        <v>12</v>
      </c>
      <c r="B1719">
        <v>43</v>
      </c>
      <c r="C1719" t="s">
        <v>1122</v>
      </c>
      <c r="D1719" t="s">
        <v>24</v>
      </c>
      <c r="E1719" t="s">
        <v>31</v>
      </c>
      <c r="F1719" t="s">
        <v>26</v>
      </c>
      <c r="G1719" t="s">
        <v>27</v>
      </c>
    </row>
    <row r="1720" spans="1:7" x14ac:dyDescent="0.2">
      <c r="A1720">
        <v>12</v>
      </c>
      <c r="B1720">
        <v>43</v>
      </c>
      <c r="C1720" t="s">
        <v>1123</v>
      </c>
      <c r="D1720" t="s">
        <v>24</v>
      </c>
      <c r="E1720" t="s">
        <v>31</v>
      </c>
      <c r="F1720" t="s">
        <v>26</v>
      </c>
      <c r="G1720" t="s">
        <v>27</v>
      </c>
    </row>
    <row r="1721" spans="1:7" x14ac:dyDescent="0.2">
      <c r="A1721">
        <v>12</v>
      </c>
      <c r="B1721">
        <v>43</v>
      </c>
      <c r="C1721" t="s">
        <v>1124</v>
      </c>
      <c r="D1721" t="s">
        <v>24</v>
      </c>
      <c r="E1721" t="s">
        <v>31</v>
      </c>
      <c r="F1721" t="s">
        <v>47</v>
      </c>
      <c r="G1721" t="s">
        <v>27</v>
      </c>
    </row>
    <row r="1722" spans="1:7" x14ac:dyDescent="0.2">
      <c r="A1722">
        <v>13</v>
      </c>
      <c r="B1722">
        <v>43</v>
      </c>
      <c r="C1722" t="s">
        <v>1125</v>
      </c>
      <c r="D1722" t="s">
        <v>24</v>
      </c>
      <c r="E1722" t="s">
        <v>25</v>
      </c>
      <c r="F1722" t="s">
        <v>26</v>
      </c>
      <c r="G1722" t="s">
        <v>27</v>
      </c>
    </row>
    <row r="1723" spans="1:7" x14ac:dyDescent="0.2">
      <c r="A1723">
        <v>13</v>
      </c>
      <c r="B1723">
        <v>43</v>
      </c>
      <c r="C1723" t="s">
        <v>1101</v>
      </c>
      <c r="D1723" t="s">
        <v>24</v>
      </c>
      <c r="E1723" t="s">
        <v>25</v>
      </c>
      <c r="F1723" t="s">
        <v>26</v>
      </c>
      <c r="G1723" t="s">
        <v>27</v>
      </c>
    </row>
    <row r="1724" spans="1:7" x14ac:dyDescent="0.2">
      <c r="A1724">
        <v>13</v>
      </c>
      <c r="B1724">
        <v>43</v>
      </c>
      <c r="C1724" t="s">
        <v>1115</v>
      </c>
      <c r="D1724" t="s">
        <v>24</v>
      </c>
      <c r="E1724" t="s">
        <v>25</v>
      </c>
      <c r="F1724" t="s">
        <v>26</v>
      </c>
      <c r="G1724" t="s">
        <v>27</v>
      </c>
    </row>
    <row r="1725" spans="1:7" x14ac:dyDescent="0.2">
      <c r="A1725">
        <v>13</v>
      </c>
      <c r="B1725">
        <v>43</v>
      </c>
      <c r="C1725" t="s">
        <v>1126</v>
      </c>
      <c r="D1725" t="s">
        <v>24</v>
      </c>
      <c r="E1725" t="s">
        <v>25</v>
      </c>
      <c r="F1725" t="s">
        <v>26</v>
      </c>
      <c r="G1725" t="s">
        <v>27</v>
      </c>
    </row>
    <row r="1726" spans="1:7" x14ac:dyDescent="0.2">
      <c r="A1726">
        <v>13</v>
      </c>
      <c r="B1726">
        <v>43</v>
      </c>
      <c r="C1726" t="s">
        <v>1127</v>
      </c>
      <c r="D1726" t="s">
        <v>24</v>
      </c>
      <c r="E1726" t="s">
        <v>25</v>
      </c>
      <c r="F1726" t="s">
        <v>26</v>
      </c>
      <c r="G1726" t="s">
        <v>27</v>
      </c>
    </row>
    <row r="1727" spans="1:7" x14ac:dyDescent="0.2">
      <c r="A1727">
        <v>13</v>
      </c>
      <c r="B1727">
        <v>43</v>
      </c>
      <c r="C1727" t="s">
        <v>556</v>
      </c>
      <c r="D1727" t="s">
        <v>24</v>
      </c>
      <c r="E1727" t="s">
        <v>25</v>
      </c>
      <c r="F1727" t="s">
        <v>26</v>
      </c>
      <c r="G1727" t="s">
        <v>27</v>
      </c>
    </row>
    <row r="1728" spans="1:7" x14ac:dyDescent="0.2">
      <c r="A1728">
        <v>13</v>
      </c>
      <c r="B1728">
        <v>43</v>
      </c>
      <c r="C1728" t="s">
        <v>1102</v>
      </c>
      <c r="D1728" t="s">
        <v>24</v>
      </c>
      <c r="E1728" t="s">
        <v>25</v>
      </c>
      <c r="F1728" t="s">
        <v>26</v>
      </c>
      <c r="G1728" t="s">
        <v>27</v>
      </c>
    </row>
    <row r="1729" spans="1:7" x14ac:dyDescent="0.2">
      <c r="A1729">
        <v>14</v>
      </c>
      <c r="B1729">
        <v>43</v>
      </c>
      <c r="C1729" t="s">
        <v>1100</v>
      </c>
      <c r="D1729" t="s">
        <v>24</v>
      </c>
      <c r="E1729" t="s">
        <v>31</v>
      </c>
      <c r="F1729" t="s">
        <v>47</v>
      </c>
      <c r="G1729" t="s">
        <v>27</v>
      </c>
    </row>
    <row r="1730" spans="1:7" x14ac:dyDescent="0.2">
      <c r="A1730">
        <v>14</v>
      </c>
      <c r="B1730">
        <v>43</v>
      </c>
      <c r="C1730" t="s">
        <v>1128</v>
      </c>
      <c r="D1730" t="s">
        <v>24</v>
      </c>
      <c r="E1730" t="s">
        <v>31</v>
      </c>
      <c r="F1730" t="s">
        <v>47</v>
      </c>
      <c r="G1730" t="s">
        <v>27</v>
      </c>
    </row>
    <row r="1731" spans="1:7" x14ac:dyDescent="0.2">
      <c r="A1731">
        <v>14</v>
      </c>
      <c r="B1731">
        <v>43</v>
      </c>
      <c r="C1731" t="s">
        <v>1102</v>
      </c>
      <c r="D1731" t="s">
        <v>24</v>
      </c>
      <c r="E1731" t="s">
        <v>31</v>
      </c>
      <c r="F1731" t="s">
        <v>47</v>
      </c>
      <c r="G1731" t="s">
        <v>27</v>
      </c>
    </row>
    <row r="1732" spans="1:7" x14ac:dyDescent="0.2">
      <c r="A1732">
        <v>14</v>
      </c>
      <c r="B1732">
        <v>43</v>
      </c>
      <c r="C1732" t="s">
        <v>556</v>
      </c>
      <c r="D1732" t="s">
        <v>24</v>
      </c>
      <c r="E1732" t="s">
        <v>31</v>
      </c>
      <c r="F1732" t="s">
        <v>47</v>
      </c>
      <c r="G1732" t="s">
        <v>27</v>
      </c>
    </row>
    <row r="1733" spans="1:7" x14ac:dyDescent="0.2">
      <c r="A1733">
        <v>15</v>
      </c>
      <c r="B1733">
        <v>43</v>
      </c>
      <c r="C1733" t="s">
        <v>1100</v>
      </c>
      <c r="D1733" t="s">
        <v>24</v>
      </c>
      <c r="E1733" t="s">
        <v>31</v>
      </c>
      <c r="F1733" t="s">
        <v>47</v>
      </c>
      <c r="G1733" t="s">
        <v>27</v>
      </c>
    </row>
    <row r="1734" spans="1:7" x14ac:dyDescent="0.2">
      <c r="A1734">
        <v>15</v>
      </c>
      <c r="B1734">
        <v>43</v>
      </c>
      <c r="C1734" t="s">
        <v>1115</v>
      </c>
      <c r="D1734" t="s">
        <v>24</v>
      </c>
      <c r="E1734" t="s">
        <v>31</v>
      </c>
      <c r="F1734" t="s">
        <v>87</v>
      </c>
      <c r="G1734" t="s">
        <v>27</v>
      </c>
    </row>
    <row r="1735" spans="1:7" x14ac:dyDescent="0.2">
      <c r="A1735">
        <v>15</v>
      </c>
      <c r="B1735">
        <v>43</v>
      </c>
      <c r="C1735" t="s">
        <v>1129</v>
      </c>
      <c r="D1735" t="s">
        <v>24</v>
      </c>
      <c r="E1735" t="s">
        <v>31</v>
      </c>
      <c r="F1735" t="s">
        <v>47</v>
      </c>
      <c r="G1735" t="s">
        <v>27</v>
      </c>
    </row>
    <row r="1736" spans="1:7" x14ac:dyDescent="0.2">
      <c r="A1736">
        <v>15</v>
      </c>
      <c r="B1736">
        <v>43</v>
      </c>
      <c r="C1736" t="s">
        <v>1130</v>
      </c>
      <c r="D1736" t="s">
        <v>24</v>
      </c>
      <c r="E1736" t="s">
        <v>31</v>
      </c>
      <c r="F1736" t="s">
        <v>47</v>
      </c>
      <c r="G1736" t="s">
        <v>27</v>
      </c>
    </row>
    <row r="1737" spans="1:7" x14ac:dyDescent="0.2">
      <c r="A1737">
        <v>15</v>
      </c>
      <c r="B1737">
        <v>43</v>
      </c>
      <c r="C1737" t="s">
        <v>1071</v>
      </c>
      <c r="D1737" t="s">
        <v>24</v>
      </c>
      <c r="E1737" t="s">
        <v>31</v>
      </c>
      <c r="F1737" t="s">
        <v>47</v>
      </c>
      <c r="G1737" t="s">
        <v>27</v>
      </c>
    </row>
    <row r="1738" spans="1:7" x14ac:dyDescent="0.2">
      <c r="A1738">
        <v>16</v>
      </c>
      <c r="B1738">
        <v>43</v>
      </c>
      <c r="C1738" t="s">
        <v>1126</v>
      </c>
      <c r="D1738" t="s">
        <v>24</v>
      </c>
      <c r="E1738" t="s">
        <v>25</v>
      </c>
      <c r="F1738" t="s">
        <v>26</v>
      </c>
      <c r="G1738" t="s">
        <v>27</v>
      </c>
    </row>
    <row r="1739" spans="1:7" x14ac:dyDescent="0.2">
      <c r="A1739">
        <v>16</v>
      </c>
      <c r="B1739">
        <v>43</v>
      </c>
      <c r="C1739" t="s">
        <v>1115</v>
      </c>
      <c r="D1739" t="s">
        <v>24</v>
      </c>
      <c r="E1739" t="s">
        <v>25</v>
      </c>
      <c r="F1739" t="s">
        <v>26</v>
      </c>
      <c r="G1739" t="s">
        <v>27</v>
      </c>
    </row>
    <row r="1740" spans="1:7" x14ac:dyDescent="0.2">
      <c r="A1740">
        <v>16</v>
      </c>
      <c r="B1740">
        <v>43</v>
      </c>
      <c r="C1740" t="s">
        <v>1131</v>
      </c>
      <c r="D1740" t="s">
        <v>24</v>
      </c>
      <c r="E1740" t="s">
        <v>25</v>
      </c>
      <c r="F1740" t="s">
        <v>26</v>
      </c>
      <c r="G1740" t="s">
        <v>27</v>
      </c>
    </row>
    <row r="1741" spans="1:7" x14ac:dyDescent="0.2">
      <c r="A1741">
        <v>17</v>
      </c>
      <c r="B1741">
        <v>43</v>
      </c>
      <c r="C1741" t="s">
        <v>557</v>
      </c>
      <c r="D1741" t="s">
        <v>24</v>
      </c>
      <c r="E1741" t="s">
        <v>31</v>
      </c>
      <c r="F1741" t="s">
        <v>26</v>
      </c>
      <c r="G1741" t="s">
        <v>27</v>
      </c>
    </row>
    <row r="1742" spans="1:7" x14ac:dyDescent="0.2">
      <c r="A1742">
        <v>17</v>
      </c>
      <c r="B1742">
        <v>43</v>
      </c>
      <c r="C1742" t="s">
        <v>1103</v>
      </c>
      <c r="D1742" t="s">
        <v>30</v>
      </c>
      <c r="E1742" t="s">
        <v>31</v>
      </c>
      <c r="F1742" t="s">
        <v>26</v>
      </c>
      <c r="G1742" t="s">
        <v>27</v>
      </c>
    </row>
    <row r="1743" spans="1:7" x14ac:dyDescent="0.2">
      <c r="A1743">
        <v>17</v>
      </c>
      <c r="B1743">
        <v>43</v>
      </c>
      <c r="C1743" t="s">
        <v>1099</v>
      </c>
      <c r="D1743" t="s">
        <v>24</v>
      </c>
      <c r="E1743" t="s">
        <v>31</v>
      </c>
      <c r="F1743" t="s">
        <v>26</v>
      </c>
      <c r="G1743" t="s">
        <v>27</v>
      </c>
    </row>
    <row r="1744" spans="1:7" x14ac:dyDescent="0.2">
      <c r="A1744">
        <v>17</v>
      </c>
      <c r="B1744">
        <v>43</v>
      </c>
      <c r="C1744" t="s">
        <v>1118</v>
      </c>
      <c r="D1744" t="s">
        <v>24</v>
      </c>
      <c r="E1744" t="s">
        <v>31</v>
      </c>
      <c r="F1744" t="s">
        <v>26</v>
      </c>
      <c r="G1744" t="s">
        <v>27</v>
      </c>
    </row>
    <row r="1745" spans="1:7" x14ac:dyDescent="0.2">
      <c r="A1745">
        <v>17</v>
      </c>
      <c r="B1745">
        <v>43</v>
      </c>
      <c r="C1745" t="s">
        <v>548</v>
      </c>
      <c r="D1745" t="s">
        <v>24</v>
      </c>
      <c r="E1745" t="s">
        <v>31</v>
      </c>
      <c r="F1745" t="s">
        <v>26</v>
      </c>
      <c r="G1745" t="s">
        <v>27</v>
      </c>
    </row>
    <row r="1746" spans="1:7" x14ac:dyDescent="0.2">
      <c r="A1746">
        <v>18</v>
      </c>
      <c r="B1746">
        <v>43</v>
      </c>
      <c r="C1746" t="s">
        <v>1100</v>
      </c>
      <c r="D1746" t="s">
        <v>24</v>
      </c>
      <c r="E1746" t="s">
        <v>31</v>
      </c>
      <c r="F1746" t="s">
        <v>47</v>
      </c>
      <c r="G1746" t="s">
        <v>27</v>
      </c>
    </row>
    <row r="1747" spans="1:7" x14ac:dyDescent="0.2">
      <c r="A1747">
        <v>18</v>
      </c>
      <c r="B1747">
        <v>43</v>
      </c>
      <c r="C1747" t="s">
        <v>1132</v>
      </c>
      <c r="D1747" t="s">
        <v>24</v>
      </c>
      <c r="E1747" t="s">
        <v>31</v>
      </c>
      <c r="F1747" t="s">
        <v>47</v>
      </c>
      <c r="G1747" t="s">
        <v>27</v>
      </c>
    </row>
    <row r="1748" spans="1:7" x14ac:dyDescent="0.2">
      <c r="A1748">
        <v>18</v>
      </c>
      <c r="B1748">
        <v>43</v>
      </c>
      <c r="C1748" t="s">
        <v>1128</v>
      </c>
      <c r="D1748" t="s">
        <v>24</v>
      </c>
      <c r="E1748" t="s">
        <v>31</v>
      </c>
      <c r="F1748" t="s">
        <v>47</v>
      </c>
      <c r="G1748" t="s">
        <v>27</v>
      </c>
    </row>
    <row r="1749" spans="1:7" x14ac:dyDescent="0.2">
      <c r="A1749">
        <v>18</v>
      </c>
      <c r="B1749">
        <v>43</v>
      </c>
      <c r="C1749" t="s">
        <v>1071</v>
      </c>
      <c r="D1749" t="s">
        <v>24</v>
      </c>
      <c r="E1749" t="s">
        <v>31</v>
      </c>
      <c r="F1749" t="s">
        <v>47</v>
      </c>
      <c r="G1749" t="s">
        <v>27</v>
      </c>
    </row>
    <row r="1750" spans="1:7" x14ac:dyDescent="0.2">
      <c r="A1750">
        <v>19</v>
      </c>
      <c r="B1750">
        <v>43</v>
      </c>
      <c r="C1750" t="s">
        <v>557</v>
      </c>
      <c r="D1750" t="s">
        <v>24</v>
      </c>
      <c r="E1750" t="s">
        <v>31</v>
      </c>
      <c r="F1750" t="s">
        <v>26</v>
      </c>
      <c r="G1750" t="s">
        <v>27</v>
      </c>
    </row>
    <row r="1751" spans="1:7" x14ac:dyDescent="0.2">
      <c r="A1751">
        <v>19</v>
      </c>
      <c r="B1751">
        <v>43</v>
      </c>
      <c r="C1751" t="s">
        <v>1133</v>
      </c>
      <c r="D1751" t="s">
        <v>24</v>
      </c>
      <c r="E1751" t="s">
        <v>31</v>
      </c>
      <c r="F1751" t="s">
        <v>26</v>
      </c>
      <c r="G1751" t="s">
        <v>27</v>
      </c>
    </row>
    <row r="1752" spans="1:7" x14ac:dyDescent="0.2">
      <c r="A1752">
        <v>19</v>
      </c>
      <c r="B1752">
        <v>43</v>
      </c>
      <c r="C1752" t="s">
        <v>1099</v>
      </c>
      <c r="D1752" t="s">
        <v>24</v>
      </c>
      <c r="E1752" t="s">
        <v>31</v>
      </c>
      <c r="F1752" t="s">
        <v>26</v>
      </c>
      <c r="G1752" t="s">
        <v>27</v>
      </c>
    </row>
    <row r="1753" spans="1:7" x14ac:dyDescent="0.2">
      <c r="A1753">
        <v>19</v>
      </c>
      <c r="B1753">
        <v>43</v>
      </c>
      <c r="C1753" t="s">
        <v>1134</v>
      </c>
      <c r="D1753" t="s">
        <v>24</v>
      </c>
      <c r="E1753" t="s">
        <v>31</v>
      </c>
      <c r="F1753" t="s">
        <v>26</v>
      </c>
      <c r="G1753" t="s">
        <v>27</v>
      </c>
    </row>
    <row r="1754" spans="1:7" x14ac:dyDescent="0.2">
      <c r="A1754">
        <v>19</v>
      </c>
      <c r="B1754">
        <v>43</v>
      </c>
      <c r="C1754" t="s">
        <v>1135</v>
      </c>
      <c r="D1754" t="s">
        <v>24</v>
      </c>
      <c r="E1754" t="s">
        <v>31</v>
      </c>
      <c r="F1754" t="s">
        <v>26</v>
      </c>
      <c r="G1754" t="s">
        <v>27</v>
      </c>
    </row>
    <row r="1755" spans="1:7" x14ac:dyDescent="0.2">
      <c r="A1755">
        <v>19</v>
      </c>
      <c r="B1755">
        <v>43</v>
      </c>
      <c r="C1755" t="s">
        <v>1136</v>
      </c>
      <c r="D1755" t="s">
        <v>24</v>
      </c>
      <c r="E1755" t="s">
        <v>31</v>
      </c>
      <c r="F1755" t="s">
        <v>26</v>
      </c>
      <c r="G1755" t="s">
        <v>27</v>
      </c>
    </row>
    <row r="1756" spans="1:7" x14ac:dyDescent="0.2">
      <c r="A1756">
        <v>20</v>
      </c>
      <c r="B1756">
        <v>43</v>
      </c>
      <c r="C1756" t="s">
        <v>1137</v>
      </c>
      <c r="D1756" t="s">
        <v>24</v>
      </c>
      <c r="E1756" t="s">
        <v>31</v>
      </c>
      <c r="F1756" t="s">
        <v>26</v>
      </c>
      <c r="G1756" t="s">
        <v>27</v>
      </c>
    </row>
    <row r="1757" spans="1:7" x14ac:dyDescent="0.2">
      <c r="A1757">
        <v>20</v>
      </c>
      <c r="B1757">
        <v>43</v>
      </c>
      <c r="C1757" t="s">
        <v>1103</v>
      </c>
      <c r="D1757" t="s">
        <v>30</v>
      </c>
      <c r="E1757" t="s">
        <v>31</v>
      </c>
      <c r="F1757" t="s">
        <v>26</v>
      </c>
      <c r="G1757" t="s">
        <v>27</v>
      </c>
    </row>
    <row r="1758" spans="1:7" x14ac:dyDescent="0.2">
      <c r="A1758">
        <v>20</v>
      </c>
      <c r="B1758">
        <v>43</v>
      </c>
      <c r="C1758" t="s">
        <v>1099</v>
      </c>
      <c r="D1758" t="s">
        <v>24</v>
      </c>
      <c r="E1758" t="s">
        <v>31</v>
      </c>
      <c r="F1758" t="s">
        <v>26</v>
      </c>
      <c r="G1758" t="s">
        <v>27</v>
      </c>
    </row>
    <row r="1759" spans="1:7" x14ac:dyDescent="0.2">
      <c r="A1759">
        <v>20</v>
      </c>
      <c r="B1759">
        <v>43</v>
      </c>
      <c r="C1759" t="s">
        <v>1138</v>
      </c>
      <c r="D1759" t="s">
        <v>24</v>
      </c>
      <c r="E1759" t="s">
        <v>31</v>
      </c>
      <c r="F1759" t="s">
        <v>26</v>
      </c>
      <c r="G1759" t="s">
        <v>27</v>
      </c>
    </row>
    <row r="1760" spans="1:7" x14ac:dyDescent="0.2">
      <c r="A1760">
        <v>21</v>
      </c>
      <c r="B1760">
        <v>43</v>
      </c>
      <c r="C1760" t="s">
        <v>1139</v>
      </c>
      <c r="D1760" t="s">
        <v>24</v>
      </c>
      <c r="E1760" t="s">
        <v>25</v>
      </c>
      <c r="F1760" t="s">
        <v>26</v>
      </c>
      <c r="G1760" t="s">
        <v>27</v>
      </c>
    </row>
    <row r="1761" spans="1:7" x14ac:dyDescent="0.2">
      <c r="A1761">
        <v>21</v>
      </c>
      <c r="B1761">
        <v>43</v>
      </c>
      <c r="C1761" t="s">
        <v>1137</v>
      </c>
      <c r="D1761" t="s">
        <v>24</v>
      </c>
      <c r="E1761" t="s">
        <v>25</v>
      </c>
      <c r="F1761" t="s">
        <v>26</v>
      </c>
      <c r="G1761" t="s">
        <v>27</v>
      </c>
    </row>
    <row r="1762" spans="1:7" x14ac:dyDescent="0.2">
      <c r="A1762">
        <v>21</v>
      </c>
      <c r="B1762">
        <v>43</v>
      </c>
      <c r="C1762" t="s">
        <v>708</v>
      </c>
      <c r="D1762" t="s">
        <v>24</v>
      </c>
      <c r="E1762" t="s">
        <v>25</v>
      </c>
      <c r="F1762" t="s">
        <v>26</v>
      </c>
      <c r="G1762" t="s">
        <v>27</v>
      </c>
    </row>
    <row r="1763" spans="1:7" x14ac:dyDescent="0.2">
      <c r="A1763">
        <v>21</v>
      </c>
      <c r="B1763">
        <v>43</v>
      </c>
      <c r="C1763" t="s">
        <v>1099</v>
      </c>
      <c r="D1763" t="s">
        <v>24</v>
      </c>
      <c r="E1763" t="s">
        <v>25</v>
      </c>
      <c r="F1763" t="s">
        <v>26</v>
      </c>
      <c r="G1763" t="s">
        <v>27</v>
      </c>
    </row>
    <row r="1764" spans="1:7" x14ac:dyDescent="0.2">
      <c r="A1764">
        <v>22</v>
      </c>
      <c r="B1764">
        <v>43</v>
      </c>
      <c r="C1764" t="s">
        <v>1081</v>
      </c>
      <c r="D1764" t="s">
        <v>24</v>
      </c>
      <c r="E1764" t="s">
        <v>31</v>
      </c>
      <c r="F1764" t="s">
        <v>87</v>
      </c>
      <c r="G1764" t="s">
        <v>27</v>
      </c>
    </row>
    <row r="1765" spans="1:7" x14ac:dyDescent="0.2">
      <c r="A1765">
        <v>22</v>
      </c>
      <c r="B1765">
        <v>43</v>
      </c>
      <c r="C1765" t="s">
        <v>1140</v>
      </c>
      <c r="D1765" t="s">
        <v>24</v>
      </c>
      <c r="E1765" t="s">
        <v>31</v>
      </c>
      <c r="F1765" t="s">
        <v>26</v>
      </c>
      <c r="G1765" t="s">
        <v>27</v>
      </c>
    </row>
    <row r="1766" spans="1:7" x14ac:dyDescent="0.2">
      <c r="A1766">
        <v>22</v>
      </c>
      <c r="B1766">
        <v>43</v>
      </c>
      <c r="C1766" t="s">
        <v>1103</v>
      </c>
      <c r="D1766" t="s">
        <v>24</v>
      </c>
      <c r="E1766" t="s">
        <v>31</v>
      </c>
      <c r="F1766" t="s">
        <v>26</v>
      </c>
      <c r="G1766" t="s">
        <v>27</v>
      </c>
    </row>
    <row r="1767" spans="1:7" x14ac:dyDescent="0.2">
      <c r="A1767">
        <v>22</v>
      </c>
      <c r="B1767">
        <v>43</v>
      </c>
      <c r="C1767" t="s">
        <v>1099</v>
      </c>
      <c r="D1767" t="s">
        <v>24</v>
      </c>
      <c r="E1767" t="s">
        <v>31</v>
      </c>
      <c r="F1767" t="s">
        <v>26</v>
      </c>
      <c r="G1767" t="s">
        <v>27</v>
      </c>
    </row>
    <row r="1768" spans="1:7" x14ac:dyDescent="0.2">
      <c r="A1768">
        <v>22</v>
      </c>
      <c r="B1768">
        <v>43</v>
      </c>
      <c r="C1768" t="s">
        <v>1141</v>
      </c>
      <c r="D1768" t="s">
        <v>24</v>
      </c>
      <c r="E1768" t="s">
        <v>31</v>
      </c>
      <c r="F1768" t="s">
        <v>26</v>
      </c>
      <c r="G1768" t="s">
        <v>27</v>
      </c>
    </row>
    <row r="1769" spans="1:7" x14ac:dyDescent="0.2">
      <c r="A1769">
        <v>22</v>
      </c>
      <c r="B1769">
        <v>43</v>
      </c>
      <c r="C1769" t="s">
        <v>1138</v>
      </c>
      <c r="D1769" t="s">
        <v>24</v>
      </c>
      <c r="E1769" t="s">
        <v>31</v>
      </c>
      <c r="F1769" t="s">
        <v>26</v>
      </c>
      <c r="G1769" t="s">
        <v>27</v>
      </c>
    </row>
    <row r="1770" spans="1:7" x14ac:dyDescent="0.2">
      <c r="A1770">
        <v>22</v>
      </c>
      <c r="B1770">
        <v>43</v>
      </c>
      <c r="C1770" t="s">
        <v>548</v>
      </c>
      <c r="D1770" t="s">
        <v>24</v>
      </c>
      <c r="E1770" t="s">
        <v>31</v>
      </c>
      <c r="F1770" t="s">
        <v>26</v>
      </c>
      <c r="G1770" t="s">
        <v>27</v>
      </c>
    </row>
    <row r="1771" spans="1:7" x14ac:dyDescent="0.2">
      <c r="A1771">
        <v>23</v>
      </c>
      <c r="B1771">
        <v>43</v>
      </c>
      <c r="C1771" t="s">
        <v>1103</v>
      </c>
      <c r="D1771" t="s">
        <v>24</v>
      </c>
      <c r="E1771" t="s">
        <v>31</v>
      </c>
      <c r="F1771" t="s">
        <v>26</v>
      </c>
      <c r="G1771" t="s">
        <v>27</v>
      </c>
    </row>
    <row r="1772" spans="1:7" x14ac:dyDescent="0.2">
      <c r="A1772">
        <v>23</v>
      </c>
      <c r="B1772">
        <v>43</v>
      </c>
      <c r="C1772" t="s">
        <v>1099</v>
      </c>
      <c r="D1772" t="s">
        <v>24</v>
      </c>
      <c r="E1772" t="s">
        <v>31</v>
      </c>
      <c r="F1772" t="s">
        <v>26</v>
      </c>
      <c r="G1772" t="s">
        <v>27</v>
      </c>
    </row>
    <row r="1773" spans="1:7" x14ac:dyDescent="0.2">
      <c r="A1773">
        <v>23</v>
      </c>
      <c r="B1773">
        <v>43</v>
      </c>
      <c r="C1773" t="s">
        <v>1138</v>
      </c>
      <c r="D1773" t="s">
        <v>24</v>
      </c>
      <c r="E1773" t="s">
        <v>31</v>
      </c>
      <c r="F1773" t="s">
        <v>26</v>
      </c>
      <c r="G1773" t="s">
        <v>27</v>
      </c>
    </row>
    <row r="1774" spans="1:7" x14ac:dyDescent="0.2">
      <c r="A1774">
        <v>7</v>
      </c>
      <c r="B1774">
        <v>44</v>
      </c>
      <c r="C1774" t="s">
        <v>1142</v>
      </c>
      <c r="D1774" t="s">
        <v>24</v>
      </c>
      <c r="E1774" t="s">
        <v>25</v>
      </c>
      <c r="F1774" t="s">
        <v>47</v>
      </c>
      <c r="G1774" t="s">
        <v>27</v>
      </c>
    </row>
    <row r="1775" spans="1:7" x14ac:dyDescent="0.2">
      <c r="A1775">
        <v>7</v>
      </c>
      <c r="B1775">
        <v>44</v>
      </c>
      <c r="C1775" t="s">
        <v>1143</v>
      </c>
      <c r="D1775" t="s">
        <v>24</v>
      </c>
      <c r="E1775" t="s">
        <v>25</v>
      </c>
      <c r="F1775" t="s">
        <v>47</v>
      </c>
      <c r="G1775" t="s">
        <v>27</v>
      </c>
    </row>
    <row r="1776" spans="1:7" x14ac:dyDescent="0.2">
      <c r="A1776">
        <v>7</v>
      </c>
      <c r="B1776">
        <v>44</v>
      </c>
      <c r="C1776" t="s">
        <v>1144</v>
      </c>
      <c r="D1776" t="s">
        <v>24</v>
      </c>
      <c r="E1776" t="s">
        <v>25</v>
      </c>
      <c r="F1776" t="s">
        <v>47</v>
      </c>
      <c r="G1776" t="s">
        <v>27</v>
      </c>
    </row>
    <row r="1777" spans="1:7" x14ac:dyDescent="0.2">
      <c r="A1777">
        <v>7</v>
      </c>
      <c r="B1777">
        <v>44</v>
      </c>
      <c r="C1777" t="s">
        <v>1144</v>
      </c>
      <c r="D1777" t="s">
        <v>24</v>
      </c>
      <c r="E1777" t="s">
        <v>25</v>
      </c>
      <c r="F1777" t="s">
        <v>47</v>
      </c>
      <c r="G1777" t="s">
        <v>27</v>
      </c>
    </row>
    <row r="1778" spans="1:7" x14ac:dyDescent="0.2">
      <c r="A1778">
        <v>7</v>
      </c>
      <c r="B1778">
        <v>44</v>
      </c>
      <c r="C1778" t="s">
        <v>1145</v>
      </c>
      <c r="D1778" t="s">
        <v>24</v>
      </c>
      <c r="E1778" t="s">
        <v>25</v>
      </c>
      <c r="F1778" t="s">
        <v>47</v>
      </c>
      <c r="G1778" t="s">
        <v>27</v>
      </c>
    </row>
    <row r="1779" spans="1:7" x14ac:dyDescent="0.2">
      <c r="A1779">
        <v>7</v>
      </c>
      <c r="B1779">
        <v>44</v>
      </c>
      <c r="C1779" t="s">
        <v>1146</v>
      </c>
      <c r="D1779" t="s">
        <v>24</v>
      </c>
      <c r="E1779" t="s">
        <v>25</v>
      </c>
      <c r="F1779" t="s">
        <v>47</v>
      </c>
      <c r="G1779" t="s">
        <v>27</v>
      </c>
    </row>
    <row r="1780" spans="1:7" x14ac:dyDescent="0.2">
      <c r="A1780">
        <v>8</v>
      </c>
      <c r="B1780">
        <v>44</v>
      </c>
      <c r="C1780" t="s">
        <v>1147</v>
      </c>
      <c r="D1780" t="s">
        <v>24</v>
      </c>
      <c r="E1780" t="s">
        <v>31</v>
      </c>
      <c r="F1780" t="s">
        <v>26</v>
      </c>
      <c r="G1780" t="s">
        <v>27</v>
      </c>
    </row>
    <row r="1781" spans="1:7" x14ac:dyDescent="0.2">
      <c r="A1781">
        <v>8</v>
      </c>
      <c r="B1781">
        <v>44</v>
      </c>
      <c r="C1781" t="s">
        <v>1142</v>
      </c>
      <c r="D1781" t="s">
        <v>24</v>
      </c>
      <c r="E1781" t="s">
        <v>31</v>
      </c>
      <c r="F1781" t="s">
        <v>87</v>
      </c>
      <c r="G1781" t="s">
        <v>27</v>
      </c>
    </row>
    <row r="1782" spans="1:7" x14ac:dyDescent="0.2">
      <c r="A1782">
        <v>8</v>
      </c>
      <c r="B1782">
        <v>44</v>
      </c>
      <c r="C1782" t="s">
        <v>1148</v>
      </c>
      <c r="D1782" t="s">
        <v>24</v>
      </c>
      <c r="E1782" t="s">
        <v>31</v>
      </c>
      <c r="F1782" t="s">
        <v>87</v>
      </c>
      <c r="G1782" t="s">
        <v>27</v>
      </c>
    </row>
    <row r="1783" spans="1:7" x14ac:dyDescent="0.2">
      <c r="A1783">
        <v>8</v>
      </c>
      <c r="B1783">
        <v>44</v>
      </c>
      <c r="C1783" t="s">
        <v>1149</v>
      </c>
      <c r="D1783" t="s">
        <v>24</v>
      </c>
      <c r="E1783" t="s">
        <v>31</v>
      </c>
      <c r="F1783" t="s">
        <v>87</v>
      </c>
      <c r="G1783" t="s">
        <v>27</v>
      </c>
    </row>
    <row r="1784" spans="1:7" x14ac:dyDescent="0.2">
      <c r="A1784">
        <v>8</v>
      </c>
      <c r="B1784">
        <v>44</v>
      </c>
      <c r="C1784" t="s">
        <v>1150</v>
      </c>
      <c r="D1784" t="s">
        <v>24</v>
      </c>
      <c r="E1784" t="s">
        <v>31</v>
      </c>
      <c r="F1784" t="s">
        <v>87</v>
      </c>
      <c r="G1784" t="s">
        <v>27</v>
      </c>
    </row>
    <row r="1785" spans="1:7" x14ac:dyDescent="0.2">
      <c r="A1785">
        <v>8</v>
      </c>
      <c r="B1785">
        <v>44</v>
      </c>
      <c r="C1785" t="s">
        <v>1151</v>
      </c>
      <c r="D1785" t="s">
        <v>24</v>
      </c>
      <c r="E1785" t="s">
        <v>31</v>
      </c>
      <c r="F1785" t="s">
        <v>87</v>
      </c>
      <c r="G1785" t="s">
        <v>27</v>
      </c>
    </row>
    <row r="1786" spans="1:7" x14ac:dyDescent="0.2">
      <c r="A1786">
        <v>8</v>
      </c>
      <c r="B1786">
        <v>44</v>
      </c>
      <c r="C1786" t="s">
        <v>1152</v>
      </c>
      <c r="D1786" t="s">
        <v>24</v>
      </c>
      <c r="E1786" t="s">
        <v>31</v>
      </c>
      <c r="F1786" t="s">
        <v>87</v>
      </c>
      <c r="G1786" t="s">
        <v>27</v>
      </c>
    </row>
    <row r="1787" spans="1:7" x14ac:dyDescent="0.2">
      <c r="A1787">
        <v>8</v>
      </c>
      <c r="B1787">
        <v>44</v>
      </c>
      <c r="C1787" t="s">
        <v>1153</v>
      </c>
      <c r="D1787" t="s">
        <v>24</v>
      </c>
      <c r="E1787" t="s">
        <v>31</v>
      </c>
      <c r="F1787" t="s">
        <v>87</v>
      </c>
      <c r="G1787" t="s">
        <v>27</v>
      </c>
    </row>
    <row r="1788" spans="1:7" x14ac:dyDescent="0.2">
      <c r="A1788">
        <v>8</v>
      </c>
      <c r="B1788">
        <v>44</v>
      </c>
      <c r="C1788" t="s">
        <v>1154</v>
      </c>
      <c r="D1788" t="s">
        <v>24</v>
      </c>
      <c r="E1788" t="s">
        <v>31</v>
      </c>
      <c r="F1788" t="s">
        <v>87</v>
      </c>
      <c r="G1788" t="s">
        <v>27</v>
      </c>
    </row>
    <row r="1789" spans="1:7" x14ac:dyDescent="0.2">
      <c r="A1789">
        <v>8</v>
      </c>
      <c r="B1789">
        <v>44</v>
      </c>
      <c r="C1789" t="s">
        <v>1155</v>
      </c>
      <c r="D1789" t="s">
        <v>24</v>
      </c>
      <c r="E1789" t="s">
        <v>31</v>
      </c>
      <c r="F1789" t="s">
        <v>87</v>
      </c>
      <c r="G1789" t="s">
        <v>27</v>
      </c>
    </row>
    <row r="1790" spans="1:7" x14ac:dyDescent="0.2">
      <c r="A1790">
        <v>8</v>
      </c>
      <c r="B1790">
        <v>44</v>
      </c>
      <c r="C1790" t="s">
        <v>1156</v>
      </c>
      <c r="D1790" t="s">
        <v>24</v>
      </c>
      <c r="E1790" t="s">
        <v>31</v>
      </c>
      <c r="F1790" t="s">
        <v>87</v>
      </c>
      <c r="G1790" t="s">
        <v>27</v>
      </c>
    </row>
    <row r="1791" spans="1:7" x14ac:dyDescent="0.2">
      <c r="A1791">
        <v>8</v>
      </c>
      <c r="B1791">
        <v>44</v>
      </c>
      <c r="C1791" t="s">
        <v>1157</v>
      </c>
      <c r="D1791" t="s">
        <v>24</v>
      </c>
      <c r="E1791" t="s">
        <v>31</v>
      </c>
      <c r="F1791" t="s">
        <v>87</v>
      </c>
      <c r="G1791" t="s">
        <v>27</v>
      </c>
    </row>
    <row r="1792" spans="1:7" x14ac:dyDescent="0.2">
      <c r="A1792">
        <v>8</v>
      </c>
      <c r="B1792">
        <v>44</v>
      </c>
      <c r="C1792" t="s">
        <v>1158</v>
      </c>
      <c r="D1792" t="s">
        <v>24</v>
      </c>
      <c r="E1792" t="s">
        <v>31</v>
      </c>
      <c r="F1792" t="s">
        <v>87</v>
      </c>
      <c r="G1792" t="s">
        <v>27</v>
      </c>
    </row>
    <row r="1793" spans="1:7" x14ac:dyDescent="0.2">
      <c r="A1793">
        <v>9</v>
      </c>
      <c r="B1793">
        <v>44</v>
      </c>
      <c r="C1793" t="s">
        <v>1159</v>
      </c>
      <c r="D1793" t="s">
        <v>24</v>
      </c>
      <c r="E1793" t="s">
        <v>31</v>
      </c>
      <c r="F1793" t="s">
        <v>26</v>
      </c>
      <c r="G1793" t="s">
        <v>27</v>
      </c>
    </row>
    <row r="1794" spans="1:7" x14ac:dyDescent="0.2">
      <c r="A1794">
        <v>9</v>
      </c>
      <c r="B1794">
        <v>44</v>
      </c>
      <c r="C1794" t="s">
        <v>1160</v>
      </c>
      <c r="D1794" t="s">
        <v>24</v>
      </c>
      <c r="E1794" t="s">
        <v>31</v>
      </c>
      <c r="F1794" t="s">
        <v>26</v>
      </c>
      <c r="G1794" t="s">
        <v>27</v>
      </c>
    </row>
    <row r="1795" spans="1:7" x14ac:dyDescent="0.2">
      <c r="A1795">
        <v>9</v>
      </c>
      <c r="B1795">
        <v>44</v>
      </c>
      <c r="C1795" t="s">
        <v>1161</v>
      </c>
      <c r="D1795" t="s">
        <v>24</v>
      </c>
      <c r="E1795" t="s">
        <v>31</v>
      </c>
      <c r="F1795" t="s">
        <v>26</v>
      </c>
      <c r="G1795" t="s">
        <v>27</v>
      </c>
    </row>
    <row r="1796" spans="1:7" x14ac:dyDescent="0.2">
      <c r="A1796">
        <v>9</v>
      </c>
      <c r="B1796">
        <v>44</v>
      </c>
      <c r="C1796" t="s">
        <v>1162</v>
      </c>
      <c r="D1796" t="s">
        <v>24</v>
      </c>
      <c r="E1796" t="s">
        <v>31</v>
      </c>
      <c r="F1796" t="s">
        <v>47</v>
      </c>
      <c r="G1796" t="s">
        <v>27</v>
      </c>
    </row>
    <row r="1797" spans="1:7" x14ac:dyDescent="0.2">
      <c r="A1797">
        <v>9</v>
      </c>
      <c r="B1797">
        <v>44</v>
      </c>
      <c r="C1797" t="s">
        <v>1163</v>
      </c>
      <c r="D1797" t="s">
        <v>24</v>
      </c>
      <c r="E1797" t="s">
        <v>31</v>
      </c>
      <c r="F1797" t="s">
        <v>26</v>
      </c>
      <c r="G1797" t="s">
        <v>27</v>
      </c>
    </row>
    <row r="1798" spans="1:7" x14ac:dyDescent="0.2">
      <c r="A1798">
        <v>9</v>
      </c>
      <c r="B1798">
        <v>44</v>
      </c>
      <c r="C1798" t="s">
        <v>1164</v>
      </c>
      <c r="D1798" t="s">
        <v>24</v>
      </c>
      <c r="E1798" t="s">
        <v>31</v>
      </c>
      <c r="F1798" t="s">
        <v>26</v>
      </c>
      <c r="G1798" t="s">
        <v>27</v>
      </c>
    </row>
    <row r="1799" spans="1:7" x14ac:dyDescent="0.2">
      <c r="A1799">
        <v>9</v>
      </c>
      <c r="B1799">
        <v>44</v>
      </c>
      <c r="C1799" t="s">
        <v>1165</v>
      </c>
      <c r="D1799" t="s">
        <v>24</v>
      </c>
      <c r="E1799" t="s">
        <v>31</v>
      </c>
      <c r="F1799" t="s">
        <v>26</v>
      </c>
      <c r="G1799" t="s">
        <v>27</v>
      </c>
    </row>
    <row r="1800" spans="1:7" x14ac:dyDescent="0.2">
      <c r="A1800">
        <v>9</v>
      </c>
      <c r="B1800">
        <v>44</v>
      </c>
      <c r="C1800" t="s">
        <v>1166</v>
      </c>
      <c r="D1800" t="s">
        <v>24</v>
      </c>
      <c r="E1800" t="s">
        <v>31</v>
      </c>
      <c r="F1800" t="s">
        <v>26</v>
      </c>
      <c r="G1800" t="s">
        <v>27</v>
      </c>
    </row>
    <row r="1801" spans="1:7" x14ac:dyDescent="0.2">
      <c r="A1801">
        <v>9</v>
      </c>
      <c r="B1801">
        <v>44</v>
      </c>
      <c r="C1801" t="s">
        <v>1167</v>
      </c>
      <c r="D1801" t="s">
        <v>24</v>
      </c>
      <c r="E1801" t="s">
        <v>31</v>
      </c>
      <c r="F1801" t="s">
        <v>47</v>
      </c>
      <c r="G1801" t="s">
        <v>27</v>
      </c>
    </row>
    <row r="1802" spans="1:7" x14ac:dyDescent="0.2">
      <c r="A1802">
        <v>9</v>
      </c>
      <c r="B1802">
        <v>44</v>
      </c>
      <c r="C1802" t="s">
        <v>1148</v>
      </c>
      <c r="D1802" t="s">
        <v>24</v>
      </c>
      <c r="E1802" t="s">
        <v>31</v>
      </c>
      <c r="F1802" t="s">
        <v>47</v>
      </c>
      <c r="G1802" t="s">
        <v>27</v>
      </c>
    </row>
    <row r="1803" spans="1:7" x14ac:dyDescent="0.2">
      <c r="A1803">
        <v>9</v>
      </c>
      <c r="B1803">
        <v>44</v>
      </c>
      <c r="C1803" t="s">
        <v>1168</v>
      </c>
      <c r="D1803" t="s">
        <v>24</v>
      </c>
      <c r="E1803" t="s">
        <v>31</v>
      </c>
      <c r="F1803" t="s">
        <v>47</v>
      </c>
      <c r="G1803" t="s">
        <v>27</v>
      </c>
    </row>
    <row r="1804" spans="1:7" x14ac:dyDescent="0.2">
      <c r="A1804">
        <v>9</v>
      </c>
      <c r="B1804">
        <v>44</v>
      </c>
      <c r="C1804" t="s">
        <v>1169</v>
      </c>
      <c r="D1804" t="s">
        <v>24</v>
      </c>
      <c r="E1804" t="s">
        <v>31</v>
      </c>
      <c r="F1804" t="s">
        <v>47</v>
      </c>
      <c r="G1804" t="s">
        <v>27</v>
      </c>
    </row>
    <row r="1805" spans="1:7" x14ac:dyDescent="0.2">
      <c r="A1805">
        <v>9</v>
      </c>
      <c r="B1805">
        <v>44</v>
      </c>
      <c r="C1805" t="s">
        <v>1170</v>
      </c>
      <c r="D1805" t="s">
        <v>24</v>
      </c>
      <c r="E1805" t="s">
        <v>31</v>
      </c>
      <c r="F1805" t="s">
        <v>47</v>
      </c>
      <c r="G1805" t="s">
        <v>27</v>
      </c>
    </row>
    <row r="1806" spans="1:7" x14ac:dyDescent="0.2">
      <c r="A1806">
        <v>9</v>
      </c>
      <c r="B1806">
        <v>44</v>
      </c>
      <c r="C1806" t="s">
        <v>1171</v>
      </c>
      <c r="D1806" t="s">
        <v>24</v>
      </c>
      <c r="E1806" t="s">
        <v>31</v>
      </c>
      <c r="F1806" t="s">
        <v>47</v>
      </c>
      <c r="G1806" t="s">
        <v>27</v>
      </c>
    </row>
    <row r="1807" spans="1:7" x14ac:dyDescent="0.2">
      <c r="A1807">
        <v>9</v>
      </c>
      <c r="B1807">
        <v>44</v>
      </c>
      <c r="C1807" t="s">
        <v>1151</v>
      </c>
      <c r="D1807" t="s">
        <v>24</v>
      </c>
      <c r="E1807" t="s">
        <v>31</v>
      </c>
      <c r="F1807" t="s">
        <v>47</v>
      </c>
      <c r="G1807" t="s">
        <v>27</v>
      </c>
    </row>
    <row r="1808" spans="1:7" x14ac:dyDescent="0.2">
      <c r="A1808">
        <v>9</v>
      </c>
      <c r="B1808">
        <v>44</v>
      </c>
      <c r="C1808" t="s">
        <v>1152</v>
      </c>
      <c r="D1808" t="s">
        <v>24</v>
      </c>
      <c r="E1808" t="s">
        <v>31</v>
      </c>
      <c r="F1808" t="s">
        <v>47</v>
      </c>
      <c r="G1808" t="s">
        <v>27</v>
      </c>
    </row>
    <row r="1809" spans="1:7" x14ac:dyDescent="0.2">
      <c r="A1809">
        <v>9</v>
      </c>
      <c r="B1809">
        <v>44</v>
      </c>
      <c r="C1809" t="s">
        <v>1153</v>
      </c>
      <c r="D1809" t="s">
        <v>24</v>
      </c>
      <c r="E1809" t="s">
        <v>31</v>
      </c>
      <c r="F1809" t="s">
        <v>47</v>
      </c>
      <c r="G1809" t="s">
        <v>27</v>
      </c>
    </row>
    <row r="1810" spans="1:7" x14ac:dyDescent="0.2">
      <c r="A1810">
        <v>9</v>
      </c>
      <c r="B1810">
        <v>44</v>
      </c>
      <c r="C1810" t="s">
        <v>1154</v>
      </c>
      <c r="D1810" t="s">
        <v>24</v>
      </c>
      <c r="E1810" t="s">
        <v>31</v>
      </c>
      <c r="F1810" t="s">
        <v>47</v>
      </c>
      <c r="G1810" t="s">
        <v>27</v>
      </c>
    </row>
    <row r="1811" spans="1:7" x14ac:dyDescent="0.2">
      <c r="A1811">
        <v>9</v>
      </c>
      <c r="B1811">
        <v>44</v>
      </c>
      <c r="C1811" t="s">
        <v>1155</v>
      </c>
      <c r="D1811" t="s">
        <v>24</v>
      </c>
      <c r="E1811" t="s">
        <v>31</v>
      </c>
      <c r="F1811" t="s">
        <v>47</v>
      </c>
      <c r="G1811" t="s">
        <v>27</v>
      </c>
    </row>
    <row r="1812" spans="1:7" x14ac:dyDescent="0.2">
      <c r="A1812">
        <v>9</v>
      </c>
      <c r="B1812">
        <v>44</v>
      </c>
      <c r="C1812" t="s">
        <v>1156</v>
      </c>
      <c r="D1812" t="s">
        <v>24</v>
      </c>
      <c r="E1812" t="s">
        <v>31</v>
      </c>
      <c r="F1812" t="s">
        <v>47</v>
      </c>
      <c r="G1812" t="s">
        <v>27</v>
      </c>
    </row>
    <row r="1813" spans="1:7" x14ac:dyDescent="0.2">
      <c r="A1813">
        <v>9</v>
      </c>
      <c r="B1813">
        <v>44</v>
      </c>
      <c r="C1813" t="s">
        <v>1172</v>
      </c>
      <c r="D1813" t="s">
        <v>24</v>
      </c>
      <c r="E1813" t="s">
        <v>31</v>
      </c>
      <c r="F1813" t="s">
        <v>47</v>
      </c>
      <c r="G1813" t="s">
        <v>27</v>
      </c>
    </row>
    <row r="1814" spans="1:7" x14ac:dyDescent="0.2">
      <c r="A1814">
        <v>9</v>
      </c>
      <c r="B1814">
        <v>44</v>
      </c>
      <c r="C1814" t="s">
        <v>1158</v>
      </c>
      <c r="D1814" t="s">
        <v>24</v>
      </c>
      <c r="E1814" t="s">
        <v>31</v>
      </c>
      <c r="F1814" t="s">
        <v>47</v>
      </c>
      <c r="G1814" t="s">
        <v>27</v>
      </c>
    </row>
    <row r="1815" spans="1:7" x14ac:dyDescent="0.2">
      <c r="A1815">
        <v>9</v>
      </c>
      <c r="B1815">
        <v>44</v>
      </c>
      <c r="C1815" t="s">
        <v>1173</v>
      </c>
      <c r="D1815" t="s">
        <v>24</v>
      </c>
      <c r="E1815" t="s">
        <v>31</v>
      </c>
      <c r="F1815" t="s">
        <v>26</v>
      </c>
      <c r="G1815" t="s">
        <v>27</v>
      </c>
    </row>
    <row r="1816" spans="1:7" x14ac:dyDescent="0.2">
      <c r="A1816">
        <v>10</v>
      </c>
      <c r="B1816">
        <v>44</v>
      </c>
      <c r="C1816" t="s">
        <v>1174</v>
      </c>
      <c r="D1816" t="s">
        <v>24</v>
      </c>
      <c r="E1816" t="s">
        <v>25</v>
      </c>
      <c r="F1816" t="s">
        <v>47</v>
      </c>
      <c r="G1816" t="s">
        <v>27</v>
      </c>
    </row>
    <row r="1817" spans="1:7" x14ac:dyDescent="0.2">
      <c r="A1817">
        <v>10</v>
      </c>
      <c r="B1817">
        <v>44</v>
      </c>
      <c r="C1817" t="s">
        <v>1175</v>
      </c>
      <c r="D1817" t="s">
        <v>24</v>
      </c>
      <c r="E1817" t="s">
        <v>25</v>
      </c>
      <c r="F1817" t="s">
        <v>26</v>
      </c>
      <c r="G1817" t="s">
        <v>27</v>
      </c>
    </row>
    <row r="1818" spans="1:7" x14ac:dyDescent="0.2">
      <c r="A1818">
        <v>10</v>
      </c>
      <c r="B1818">
        <v>44</v>
      </c>
      <c r="C1818" t="s">
        <v>1176</v>
      </c>
      <c r="D1818" t="s">
        <v>24</v>
      </c>
      <c r="E1818" t="s">
        <v>25</v>
      </c>
      <c r="F1818" t="s">
        <v>26</v>
      </c>
      <c r="G1818" t="s">
        <v>27</v>
      </c>
    </row>
    <row r="1819" spans="1:7" x14ac:dyDescent="0.2">
      <c r="A1819">
        <v>10</v>
      </c>
      <c r="B1819">
        <v>44</v>
      </c>
      <c r="C1819" t="s">
        <v>1144</v>
      </c>
      <c r="D1819" t="s">
        <v>24</v>
      </c>
      <c r="E1819" t="s">
        <v>25</v>
      </c>
      <c r="F1819" t="s">
        <v>26</v>
      </c>
      <c r="G1819" t="s">
        <v>27</v>
      </c>
    </row>
    <row r="1820" spans="1:7" x14ac:dyDescent="0.2">
      <c r="A1820">
        <v>10</v>
      </c>
      <c r="B1820">
        <v>44</v>
      </c>
      <c r="C1820" t="s">
        <v>1177</v>
      </c>
      <c r="D1820" t="s">
        <v>24</v>
      </c>
      <c r="E1820" t="s">
        <v>25</v>
      </c>
      <c r="F1820" t="s">
        <v>26</v>
      </c>
      <c r="G1820" t="s">
        <v>27</v>
      </c>
    </row>
    <row r="1821" spans="1:7" x14ac:dyDescent="0.2">
      <c r="A1821">
        <v>10</v>
      </c>
      <c r="B1821">
        <v>44</v>
      </c>
      <c r="C1821" t="s">
        <v>1178</v>
      </c>
      <c r="D1821" t="s">
        <v>24</v>
      </c>
      <c r="E1821" t="s">
        <v>25</v>
      </c>
      <c r="F1821" t="s">
        <v>26</v>
      </c>
      <c r="G1821" t="s">
        <v>27</v>
      </c>
    </row>
    <row r="1822" spans="1:7" x14ac:dyDescent="0.2">
      <c r="A1822">
        <v>10</v>
      </c>
      <c r="B1822">
        <v>44</v>
      </c>
      <c r="C1822" t="s">
        <v>1179</v>
      </c>
      <c r="D1822" t="s">
        <v>24</v>
      </c>
      <c r="E1822" t="s">
        <v>25</v>
      </c>
      <c r="F1822" t="s">
        <v>26</v>
      </c>
      <c r="G1822" t="s">
        <v>27</v>
      </c>
    </row>
    <row r="1823" spans="1:7" x14ac:dyDescent="0.2">
      <c r="A1823">
        <v>10</v>
      </c>
      <c r="B1823">
        <v>44</v>
      </c>
      <c r="C1823" t="s">
        <v>1145</v>
      </c>
      <c r="D1823" t="s">
        <v>24</v>
      </c>
      <c r="E1823" t="s">
        <v>25</v>
      </c>
      <c r="F1823" t="s">
        <v>47</v>
      </c>
      <c r="G1823" t="s">
        <v>27</v>
      </c>
    </row>
    <row r="1824" spans="1:7" x14ac:dyDescent="0.2">
      <c r="A1824">
        <v>10</v>
      </c>
      <c r="B1824">
        <v>44</v>
      </c>
      <c r="C1824" t="s">
        <v>1180</v>
      </c>
      <c r="D1824" t="s">
        <v>24</v>
      </c>
      <c r="E1824" t="s">
        <v>25</v>
      </c>
      <c r="F1824" t="s">
        <v>47</v>
      </c>
      <c r="G1824" t="s">
        <v>27</v>
      </c>
    </row>
    <row r="1825" spans="1:7" x14ac:dyDescent="0.2">
      <c r="A1825">
        <v>10</v>
      </c>
      <c r="B1825">
        <v>44</v>
      </c>
      <c r="C1825" t="s">
        <v>1181</v>
      </c>
      <c r="D1825" t="s">
        <v>24</v>
      </c>
      <c r="E1825" t="s">
        <v>25</v>
      </c>
      <c r="F1825" t="s">
        <v>47</v>
      </c>
      <c r="G1825" t="s">
        <v>27</v>
      </c>
    </row>
    <row r="1826" spans="1:7" x14ac:dyDescent="0.2">
      <c r="A1826">
        <v>10</v>
      </c>
      <c r="B1826">
        <v>44</v>
      </c>
      <c r="C1826" t="s">
        <v>1146</v>
      </c>
      <c r="D1826" t="s">
        <v>24</v>
      </c>
      <c r="E1826" t="s">
        <v>25</v>
      </c>
      <c r="F1826" t="s">
        <v>47</v>
      </c>
      <c r="G1826" t="s">
        <v>27</v>
      </c>
    </row>
    <row r="1827" spans="1:7" x14ac:dyDescent="0.2">
      <c r="A1827">
        <v>11</v>
      </c>
      <c r="B1827">
        <v>44</v>
      </c>
      <c r="C1827" t="s">
        <v>1182</v>
      </c>
      <c r="D1827" t="s">
        <v>24</v>
      </c>
      <c r="E1827" t="s">
        <v>31</v>
      </c>
      <c r="F1827" t="s">
        <v>47</v>
      </c>
      <c r="G1827" t="s">
        <v>27</v>
      </c>
    </row>
    <row r="1828" spans="1:7" x14ac:dyDescent="0.2">
      <c r="A1828">
        <v>11</v>
      </c>
      <c r="B1828">
        <v>44</v>
      </c>
      <c r="C1828" t="s">
        <v>1183</v>
      </c>
      <c r="D1828" t="s">
        <v>24</v>
      </c>
      <c r="E1828" t="s">
        <v>31</v>
      </c>
      <c r="F1828" t="s">
        <v>47</v>
      </c>
      <c r="G1828" t="s">
        <v>27</v>
      </c>
    </row>
    <row r="1829" spans="1:7" x14ac:dyDescent="0.2">
      <c r="A1829">
        <v>11</v>
      </c>
      <c r="B1829">
        <v>44</v>
      </c>
      <c r="C1829" t="s">
        <v>1171</v>
      </c>
      <c r="D1829" t="s">
        <v>24</v>
      </c>
      <c r="E1829" t="s">
        <v>31</v>
      </c>
      <c r="F1829" t="s">
        <v>47</v>
      </c>
      <c r="G1829" t="s">
        <v>27</v>
      </c>
    </row>
    <row r="1830" spans="1:7" x14ac:dyDescent="0.2">
      <c r="A1830">
        <v>11</v>
      </c>
      <c r="B1830">
        <v>44</v>
      </c>
      <c r="C1830" t="s">
        <v>1151</v>
      </c>
      <c r="D1830" t="s">
        <v>24</v>
      </c>
      <c r="E1830" t="s">
        <v>31</v>
      </c>
      <c r="F1830" t="s">
        <v>47</v>
      </c>
      <c r="G1830" t="s">
        <v>27</v>
      </c>
    </row>
    <row r="1831" spans="1:7" x14ac:dyDescent="0.2">
      <c r="A1831">
        <v>11</v>
      </c>
      <c r="B1831">
        <v>44</v>
      </c>
      <c r="C1831" t="s">
        <v>1184</v>
      </c>
      <c r="D1831" t="s">
        <v>24</v>
      </c>
      <c r="E1831" t="s">
        <v>31</v>
      </c>
      <c r="F1831" t="s">
        <v>47</v>
      </c>
      <c r="G1831" t="s">
        <v>27</v>
      </c>
    </row>
    <row r="1832" spans="1:7" x14ac:dyDescent="0.2">
      <c r="A1832">
        <v>11</v>
      </c>
      <c r="B1832">
        <v>44</v>
      </c>
      <c r="C1832" t="s">
        <v>1185</v>
      </c>
      <c r="D1832" t="s">
        <v>24</v>
      </c>
      <c r="E1832" t="s">
        <v>31</v>
      </c>
      <c r="F1832" t="s">
        <v>87</v>
      </c>
      <c r="G1832" t="s">
        <v>27</v>
      </c>
    </row>
    <row r="1833" spans="1:7" x14ac:dyDescent="0.2">
      <c r="A1833">
        <v>11</v>
      </c>
      <c r="B1833">
        <v>44</v>
      </c>
      <c r="C1833" t="s">
        <v>1154</v>
      </c>
      <c r="D1833" t="s">
        <v>30</v>
      </c>
      <c r="E1833" t="s">
        <v>31</v>
      </c>
      <c r="F1833" t="s">
        <v>87</v>
      </c>
      <c r="G1833" t="s">
        <v>27</v>
      </c>
    </row>
    <row r="1834" spans="1:7" x14ac:dyDescent="0.2">
      <c r="A1834">
        <v>11</v>
      </c>
      <c r="B1834">
        <v>44</v>
      </c>
      <c r="C1834" t="s">
        <v>1158</v>
      </c>
      <c r="D1834" t="s">
        <v>24</v>
      </c>
      <c r="E1834" t="s">
        <v>31</v>
      </c>
      <c r="F1834" t="s">
        <v>87</v>
      </c>
      <c r="G1834" t="s">
        <v>27</v>
      </c>
    </row>
    <row r="1835" spans="1:7" x14ac:dyDescent="0.2">
      <c r="A1835">
        <v>12</v>
      </c>
      <c r="B1835">
        <v>44</v>
      </c>
      <c r="C1835" t="s">
        <v>1186</v>
      </c>
      <c r="D1835" t="s">
        <v>24</v>
      </c>
      <c r="E1835" t="s">
        <v>31</v>
      </c>
      <c r="F1835" t="s">
        <v>47</v>
      </c>
      <c r="G1835" t="s">
        <v>27</v>
      </c>
    </row>
    <row r="1836" spans="1:7" x14ac:dyDescent="0.2">
      <c r="A1836">
        <v>12</v>
      </c>
      <c r="B1836">
        <v>44</v>
      </c>
      <c r="C1836" t="s">
        <v>1187</v>
      </c>
      <c r="D1836" t="s">
        <v>24</v>
      </c>
      <c r="E1836" t="s">
        <v>31</v>
      </c>
      <c r="F1836" t="s">
        <v>47</v>
      </c>
      <c r="G1836" t="s">
        <v>27</v>
      </c>
    </row>
    <row r="1837" spans="1:7" x14ac:dyDescent="0.2">
      <c r="A1837">
        <v>12</v>
      </c>
      <c r="B1837">
        <v>44</v>
      </c>
      <c r="C1837" t="s">
        <v>1188</v>
      </c>
      <c r="D1837" t="s">
        <v>24</v>
      </c>
      <c r="E1837" t="s">
        <v>31</v>
      </c>
      <c r="F1837" t="s">
        <v>47</v>
      </c>
      <c r="G1837" t="s">
        <v>27</v>
      </c>
    </row>
    <row r="1838" spans="1:7" x14ac:dyDescent="0.2">
      <c r="A1838">
        <v>12</v>
      </c>
      <c r="B1838">
        <v>44</v>
      </c>
      <c r="C1838" t="s">
        <v>1189</v>
      </c>
      <c r="D1838" t="s">
        <v>24</v>
      </c>
      <c r="E1838" t="s">
        <v>31</v>
      </c>
      <c r="F1838" t="s">
        <v>47</v>
      </c>
      <c r="G1838" t="s">
        <v>27</v>
      </c>
    </row>
    <row r="1839" spans="1:7" x14ac:dyDescent="0.2">
      <c r="A1839">
        <v>12</v>
      </c>
      <c r="B1839">
        <v>44</v>
      </c>
      <c r="C1839" t="s">
        <v>1190</v>
      </c>
      <c r="D1839" t="s">
        <v>24</v>
      </c>
      <c r="E1839" t="s">
        <v>31</v>
      </c>
      <c r="F1839" t="s">
        <v>47</v>
      </c>
      <c r="G1839" t="s">
        <v>27</v>
      </c>
    </row>
    <row r="1840" spans="1:7" x14ac:dyDescent="0.2">
      <c r="A1840">
        <v>12</v>
      </c>
      <c r="B1840">
        <v>44</v>
      </c>
      <c r="C1840" t="s">
        <v>1191</v>
      </c>
      <c r="D1840" t="s">
        <v>24</v>
      </c>
      <c r="E1840" t="s">
        <v>31</v>
      </c>
      <c r="F1840" t="s">
        <v>47</v>
      </c>
      <c r="G1840" t="s">
        <v>27</v>
      </c>
    </row>
    <row r="1841" spans="1:7" x14ac:dyDescent="0.2">
      <c r="A1841">
        <v>12</v>
      </c>
      <c r="B1841">
        <v>44</v>
      </c>
      <c r="C1841" t="s">
        <v>1192</v>
      </c>
      <c r="D1841" t="s">
        <v>24</v>
      </c>
      <c r="E1841" t="s">
        <v>31</v>
      </c>
      <c r="F1841" t="s">
        <v>47</v>
      </c>
      <c r="G1841" t="s">
        <v>27</v>
      </c>
    </row>
    <row r="1842" spans="1:7" x14ac:dyDescent="0.2">
      <c r="A1842">
        <v>12</v>
      </c>
      <c r="B1842">
        <v>44</v>
      </c>
      <c r="C1842" t="s">
        <v>1171</v>
      </c>
      <c r="D1842" t="s">
        <v>24</v>
      </c>
      <c r="E1842" t="s">
        <v>31</v>
      </c>
      <c r="F1842" t="s">
        <v>47</v>
      </c>
      <c r="G1842" t="s">
        <v>27</v>
      </c>
    </row>
    <row r="1843" spans="1:7" x14ac:dyDescent="0.2">
      <c r="A1843">
        <v>12</v>
      </c>
      <c r="B1843">
        <v>44</v>
      </c>
      <c r="C1843" t="s">
        <v>1151</v>
      </c>
      <c r="D1843" t="s">
        <v>24</v>
      </c>
      <c r="E1843" t="s">
        <v>31</v>
      </c>
      <c r="F1843" t="s">
        <v>47</v>
      </c>
      <c r="G1843" t="s">
        <v>27</v>
      </c>
    </row>
    <row r="1844" spans="1:7" x14ac:dyDescent="0.2">
      <c r="A1844">
        <v>12</v>
      </c>
      <c r="B1844">
        <v>44</v>
      </c>
      <c r="C1844" t="s">
        <v>1193</v>
      </c>
      <c r="D1844" t="s">
        <v>24</v>
      </c>
      <c r="E1844" t="s">
        <v>31</v>
      </c>
      <c r="F1844" t="s">
        <v>87</v>
      </c>
      <c r="G1844" t="s">
        <v>27</v>
      </c>
    </row>
    <row r="1845" spans="1:7" x14ac:dyDescent="0.2">
      <c r="A1845">
        <v>12</v>
      </c>
      <c r="B1845">
        <v>44</v>
      </c>
      <c r="C1845" t="s">
        <v>1194</v>
      </c>
      <c r="D1845" t="s">
        <v>24</v>
      </c>
      <c r="E1845" t="s">
        <v>31</v>
      </c>
      <c r="F1845" t="s">
        <v>87</v>
      </c>
      <c r="G1845" t="s">
        <v>27</v>
      </c>
    </row>
    <row r="1846" spans="1:7" x14ac:dyDescent="0.2">
      <c r="A1846">
        <v>12</v>
      </c>
      <c r="B1846">
        <v>44</v>
      </c>
      <c r="C1846" t="s">
        <v>1156</v>
      </c>
      <c r="D1846" t="s">
        <v>24</v>
      </c>
      <c r="E1846" t="s">
        <v>31</v>
      </c>
      <c r="F1846" t="s">
        <v>87</v>
      </c>
      <c r="G1846" t="s">
        <v>27</v>
      </c>
    </row>
    <row r="1847" spans="1:7" x14ac:dyDescent="0.2">
      <c r="A1847">
        <v>12</v>
      </c>
      <c r="B1847">
        <v>44</v>
      </c>
      <c r="C1847" t="s">
        <v>1195</v>
      </c>
      <c r="D1847" t="s">
        <v>24</v>
      </c>
      <c r="E1847" t="s">
        <v>31</v>
      </c>
      <c r="F1847" t="s">
        <v>87</v>
      </c>
      <c r="G1847" t="s">
        <v>27</v>
      </c>
    </row>
    <row r="1848" spans="1:7" x14ac:dyDescent="0.2">
      <c r="A1848">
        <v>12</v>
      </c>
      <c r="B1848">
        <v>44</v>
      </c>
      <c r="C1848" t="s">
        <v>1196</v>
      </c>
      <c r="D1848" t="s">
        <v>24</v>
      </c>
      <c r="E1848" t="s">
        <v>31</v>
      </c>
      <c r="F1848" t="s">
        <v>87</v>
      </c>
      <c r="G1848" t="s">
        <v>27</v>
      </c>
    </row>
    <row r="1849" spans="1:7" x14ac:dyDescent="0.2">
      <c r="A1849">
        <v>12</v>
      </c>
      <c r="B1849">
        <v>44</v>
      </c>
      <c r="C1849" t="s">
        <v>1197</v>
      </c>
      <c r="D1849" t="s">
        <v>24</v>
      </c>
      <c r="E1849" t="s">
        <v>31</v>
      </c>
      <c r="F1849" t="s">
        <v>87</v>
      </c>
      <c r="G1849" t="s">
        <v>27</v>
      </c>
    </row>
    <row r="1850" spans="1:7" x14ac:dyDescent="0.2">
      <c r="A1850">
        <v>12</v>
      </c>
      <c r="B1850">
        <v>44</v>
      </c>
      <c r="C1850" t="s">
        <v>1081</v>
      </c>
      <c r="D1850" t="s">
        <v>24</v>
      </c>
      <c r="E1850" t="s">
        <v>31</v>
      </c>
      <c r="F1850" t="s">
        <v>87</v>
      </c>
      <c r="G1850" t="s">
        <v>27</v>
      </c>
    </row>
    <row r="1851" spans="1:7" x14ac:dyDescent="0.2">
      <c r="A1851">
        <v>13</v>
      </c>
      <c r="B1851">
        <v>44</v>
      </c>
      <c r="C1851" t="s">
        <v>1187</v>
      </c>
      <c r="D1851" t="s">
        <v>24</v>
      </c>
      <c r="E1851" t="s">
        <v>25</v>
      </c>
      <c r="F1851" t="s">
        <v>26</v>
      </c>
      <c r="G1851" t="s">
        <v>27</v>
      </c>
    </row>
    <row r="1852" spans="1:7" x14ac:dyDescent="0.2">
      <c r="A1852">
        <v>13</v>
      </c>
      <c r="B1852">
        <v>44</v>
      </c>
      <c r="C1852" t="s">
        <v>1162</v>
      </c>
      <c r="D1852" t="s">
        <v>24</v>
      </c>
      <c r="E1852" t="s">
        <v>25</v>
      </c>
      <c r="F1852" t="s">
        <v>26</v>
      </c>
      <c r="G1852" t="s">
        <v>27</v>
      </c>
    </row>
    <row r="1853" spans="1:7" x14ac:dyDescent="0.2">
      <c r="A1853">
        <v>13</v>
      </c>
      <c r="B1853">
        <v>44</v>
      </c>
      <c r="C1853" t="s">
        <v>1186</v>
      </c>
      <c r="D1853" t="s">
        <v>24</v>
      </c>
      <c r="E1853" t="s">
        <v>25</v>
      </c>
      <c r="F1853" t="s">
        <v>26</v>
      </c>
      <c r="G1853" t="s">
        <v>27</v>
      </c>
    </row>
    <row r="1854" spans="1:7" x14ac:dyDescent="0.2">
      <c r="A1854">
        <v>13</v>
      </c>
      <c r="B1854">
        <v>44</v>
      </c>
      <c r="C1854" t="s">
        <v>1198</v>
      </c>
      <c r="D1854" t="s">
        <v>24</v>
      </c>
      <c r="E1854" t="s">
        <v>25</v>
      </c>
      <c r="F1854" t="s">
        <v>26</v>
      </c>
      <c r="G1854" t="s">
        <v>27</v>
      </c>
    </row>
    <row r="1855" spans="1:7" x14ac:dyDescent="0.2">
      <c r="A1855">
        <v>13</v>
      </c>
      <c r="B1855">
        <v>44</v>
      </c>
      <c r="C1855" t="s">
        <v>1199</v>
      </c>
      <c r="D1855" t="s">
        <v>24</v>
      </c>
      <c r="E1855" t="s">
        <v>25</v>
      </c>
      <c r="F1855" t="s">
        <v>47</v>
      </c>
      <c r="G1855" t="s">
        <v>27</v>
      </c>
    </row>
    <row r="1856" spans="1:7" x14ac:dyDescent="0.2">
      <c r="A1856">
        <v>13</v>
      </c>
      <c r="B1856">
        <v>44</v>
      </c>
      <c r="C1856" t="s">
        <v>1200</v>
      </c>
      <c r="D1856" t="s">
        <v>24</v>
      </c>
      <c r="E1856" t="s">
        <v>25</v>
      </c>
      <c r="F1856" t="s">
        <v>47</v>
      </c>
      <c r="G1856" t="s">
        <v>27</v>
      </c>
    </row>
    <row r="1857" spans="1:7" x14ac:dyDescent="0.2">
      <c r="A1857">
        <v>13</v>
      </c>
      <c r="B1857">
        <v>44</v>
      </c>
      <c r="C1857" t="s">
        <v>1201</v>
      </c>
      <c r="D1857" t="s">
        <v>24</v>
      </c>
      <c r="E1857" t="s">
        <v>25</v>
      </c>
      <c r="F1857" t="s">
        <v>47</v>
      </c>
      <c r="G1857" t="s">
        <v>27</v>
      </c>
    </row>
    <row r="1858" spans="1:7" x14ac:dyDescent="0.2">
      <c r="A1858">
        <v>13</v>
      </c>
      <c r="B1858">
        <v>44</v>
      </c>
      <c r="C1858" t="s">
        <v>1202</v>
      </c>
      <c r="D1858" t="s">
        <v>24</v>
      </c>
      <c r="E1858" t="s">
        <v>25</v>
      </c>
      <c r="F1858" t="s">
        <v>47</v>
      </c>
      <c r="G1858" t="s">
        <v>27</v>
      </c>
    </row>
    <row r="1859" spans="1:7" x14ac:dyDescent="0.2">
      <c r="A1859">
        <v>13</v>
      </c>
      <c r="B1859">
        <v>44</v>
      </c>
      <c r="C1859" t="s">
        <v>1203</v>
      </c>
      <c r="D1859" t="s">
        <v>24</v>
      </c>
      <c r="E1859" t="s">
        <v>25</v>
      </c>
      <c r="F1859" t="s">
        <v>47</v>
      </c>
      <c r="G1859" t="s">
        <v>27</v>
      </c>
    </row>
    <row r="1860" spans="1:7" x14ac:dyDescent="0.2">
      <c r="A1860">
        <v>13</v>
      </c>
      <c r="B1860">
        <v>44</v>
      </c>
      <c r="C1860" t="s">
        <v>1204</v>
      </c>
      <c r="D1860" t="s">
        <v>24</v>
      </c>
      <c r="E1860" t="s">
        <v>25</v>
      </c>
      <c r="F1860" t="s">
        <v>47</v>
      </c>
      <c r="G1860" t="s">
        <v>27</v>
      </c>
    </row>
    <row r="1861" spans="1:7" x14ac:dyDescent="0.2">
      <c r="A1861">
        <v>13</v>
      </c>
      <c r="B1861">
        <v>44</v>
      </c>
      <c r="C1861" t="s">
        <v>1155</v>
      </c>
      <c r="D1861" t="s">
        <v>24</v>
      </c>
      <c r="E1861" t="s">
        <v>25</v>
      </c>
      <c r="F1861" t="s">
        <v>47</v>
      </c>
      <c r="G1861" t="s">
        <v>27</v>
      </c>
    </row>
    <row r="1862" spans="1:7" x14ac:dyDescent="0.2">
      <c r="A1862">
        <v>13</v>
      </c>
      <c r="B1862">
        <v>44</v>
      </c>
      <c r="C1862" t="s">
        <v>1156</v>
      </c>
      <c r="D1862" t="s">
        <v>24</v>
      </c>
      <c r="E1862" t="s">
        <v>25</v>
      </c>
      <c r="F1862" t="s">
        <v>47</v>
      </c>
      <c r="G1862" t="s">
        <v>27</v>
      </c>
    </row>
    <row r="1863" spans="1:7" x14ac:dyDescent="0.2">
      <c r="A1863">
        <v>14</v>
      </c>
      <c r="B1863">
        <v>44</v>
      </c>
      <c r="C1863" t="s">
        <v>942</v>
      </c>
      <c r="D1863" t="s">
        <v>24</v>
      </c>
      <c r="E1863" t="s">
        <v>31</v>
      </c>
      <c r="F1863" t="s">
        <v>87</v>
      </c>
      <c r="G1863" t="s">
        <v>27</v>
      </c>
    </row>
    <row r="1864" spans="1:7" x14ac:dyDescent="0.2">
      <c r="A1864">
        <v>14</v>
      </c>
      <c r="B1864">
        <v>44</v>
      </c>
      <c r="C1864" t="s">
        <v>1187</v>
      </c>
      <c r="D1864" t="s">
        <v>24</v>
      </c>
      <c r="E1864" t="s">
        <v>31</v>
      </c>
      <c r="F1864" t="s">
        <v>87</v>
      </c>
      <c r="G1864" t="s">
        <v>27</v>
      </c>
    </row>
    <row r="1865" spans="1:7" x14ac:dyDescent="0.2">
      <c r="A1865">
        <v>14</v>
      </c>
      <c r="B1865">
        <v>44</v>
      </c>
      <c r="C1865" t="s">
        <v>1205</v>
      </c>
      <c r="D1865" t="s">
        <v>24</v>
      </c>
      <c r="E1865" t="s">
        <v>31</v>
      </c>
      <c r="F1865" t="s">
        <v>87</v>
      </c>
      <c r="G1865" t="s">
        <v>27</v>
      </c>
    </row>
    <row r="1866" spans="1:7" x14ac:dyDescent="0.2">
      <c r="A1866">
        <v>14</v>
      </c>
      <c r="B1866">
        <v>44</v>
      </c>
      <c r="C1866" t="s">
        <v>1189</v>
      </c>
      <c r="D1866" t="s">
        <v>24</v>
      </c>
      <c r="E1866" t="s">
        <v>31</v>
      </c>
      <c r="F1866" t="s">
        <v>87</v>
      </c>
      <c r="G1866" t="s">
        <v>27</v>
      </c>
    </row>
    <row r="1867" spans="1:7" x14ac:dyDescent="0.2">
      <c r="A1867">
        <v>14</v>
      </c>
      <c r="B1867">
        <v>44</v>
      </c>
      <c r="C1867" t="s">
        <v>1188</v>
      </c>
      <c r="D1867" t="s">
        <v>24</v>
      </c>
      <c r="E1867" t="s">
        <v>31</v>
      </c>
      <c r="F1867" t="s">
        <v>87</v>
      </c>
      <c r="G1867" t="s">
        <v>27</v>
      </c>
    </row>
    <row r="1868" spans="1:7" x14ac:dyDescent="0.2">
      <c r="A1868">
        <v>14</v>
      </c>
      <c r="B1868">
        <v>44</v>
      </c>
      <c r="C1868" t="s">
        <v>1155</v>
      </c>
      <c r="D1868" t="s">
        <v>24</v>
      </c>
      <c r="E1868" t="s">
        <v>31</v>
      </c>
      <c r="F1868" t="s">
        <v>87</v>
      </c>
      <c r="G1868" t="s">
        <v>27</v>
      </c>
    </row>
    <row r="1869" spans="1:7" x14ac:dyDescent="0.2">
      <c r="A1869">
        <v>14</v>
      </c>
      <c r="B1869">
        <v>44</v>
      </c>
      <c r="C1869" t="s">
        <v>1206</v>
      </c>
      <c r="D1869" t="s">
        <v>24</v>
      </c>
      <c r="E1869" t="s">
        <v>31</v>
      </c>
      <c r="F1869" t="s">
        <v>87</v>
      </c>
      <c r="G1869" t="s">
        <v>27</v>
      </c>
    </row>
    <row r="1870" spans="1:7" x14ac:dyDescent="0.2">
      <c r="A1870">
        <v>14</v>
      </c>
      <c r="B1870">
        <v>44</v>
      </c>
      <c r="C1870" t="s">
        <v>1207</v>
      </c>
      <c r="D1870" t="s">
        <v>24</v>
      </c>
      <c r="E1870" t="s">
        <v>31</v>
      </c>
      <c r="F1870" t="s">
        <v>87</v>
      </c>
      <c r="G1870" t="s">
        <v>27</v>
      </c>
    </row>
    <row r="1871" spans="1:7" x14ac:dyDescent="0.2">
      <c r="A1871">
        <v>14</v>
      </c>
      <c r="B1871">
        <v>44</v>
      </c>
      <c r="C1871" t="s">
        <v>1156</v>
      </c>
      <c r="D1871" t="s">
        <v>24</v>
      </c>
      <c r="E1871" t="s">
        <v>31</v>
      </c>
      <c r="F1871" t="s">
        <v>87</v>
      </c>
      <c r="G1871" t="s">
        <v>27</v>
      </c>
    </row>
    <row r="1872" spans="1:7" x14ac:dyDescent="0.2">
      <c r="A1872">
        <v>14</v>
      </c>
      <c r="B1872">
        <v>44</v>
      </c>
      <c r="C1872" t="s">
        <v>1081</v>
      </c>
      <c r="D1872" t="s">
        <v>24</v>
      </c>
      <c r="E1872" t="s">
        <v>31</v>
      </c>
      <c r="F1872" t="s">
        <v>87</v>
      </c>
      <c r="G1872" t="s">
        <v>27</v>
      </c>
    </row>
    <row r="1873" spans="1:7" x14ac:dyDescent="0.2">
      <c r="A1873">
        <v>14</v>
      </c>
      <c r="B1873">
        <v>44</v>
      </c>
      <c r="C1873" t="s">
        <v>1151</v>
      </c>
      <c r="D1873" t="s">
        <v>24</v>
      </c>
      <c r="E1873" t="s">
        <v>31</v>
      </c>
      <c r="F1873" t="s">
        <v>26</v>
      </c>
      <c r="G1873" t="s">
        <v>27</v>
      </c>
    </row>
    <row r="1874" spans="1:7" x14ac:dyDescent="0.2">
      <c r="A1874">
        <v>14</v>
      </c>
      <c r="B1874">
        <v>44</v>
      </c>
      <c r="C1874" t="s">
        <v>1071</v>
      </c>
      <c r="D1874" t="s">
        <v>24</v>
      </c>
      <c r="E1874" t="s">
        <v>31</v>
      </c>
      <c r="F1874" t="s">
        <v>47</v>
      </c>
      <c r="G1874" t="s">
        <v>27</v>
      </c>
    </row>
    <row r="1875" spans="1:7" x14ac:dyDescent="0.2">
      <c r="A1875">
        <v>15</v>
      </c>
      <c r="B1875">
        <v>44</v>
      </c>
      <c r="C1875" t="s">
        <v>942</v>
      </c>
      <c r="D1875" t="s">
        <v>24</v>
      </c>
      <c r="E1875" t="s">
        <v>31</v>
      </c>
      <c r="F1875" t="s">
        <v>87</v>
      </c>
      <c r="G1875" t="s">
        <v>27</v>
      </c>
    </row>
    <row r="1876" spans="1:7" x14ac:dyDescent="0.2">
      <c r="A1876">
        <v>15</v>
      </c>
      <c r="B1876">
        <v>44</v>
      </c>
      <c r="C1876" t="s">
        <v>1208</v>
      </c>
      <c r="D1876" t="s">
        <v>24</v>
      </c>
      <c r="E1876" t="s">
        <v>31</v>
      </c>
      <c r="F1876" t="s">
        <v>47</v>
      </c>
      <c r="G1876" t="s">
        <v>27</v>
      </c>
    </row>
    <row r="1877" spans="1:7" x14ac:dyDescent="0.2">
      <c r="A1877">
        <v>15</v>
      </c>
      <c r="B1877">
        <v>44</v>
      </c>
      <c r="C1877" t="s">
        <v>1205</v>
      </c>
      <c r="D1877" t="s">
        <v>24</v>
      </c>
      <c r="E1877" t="s">
        <v>31</v>
      </c>
      <c r="F1877" t="s">
        <v>47</v>
      </c>
      <c r="G1877" t="s">
        <v>27</v>
      </c>
    </row>
    <row r="1878" spans="1:7" x14ac:dyDescent="0.2">
      <c r="A1878">
        <v>15</v>
      </c>
      <c r="B1878">
        <v>44</v>
      </c>
      <c r="C1878" t="s">
        <v>1189</v>
      </c>
      <c r="D1878" t="s">
        <v>24</v>
      </c>
      <c r="E1878" t="s">
        <v>31</v>
      </c>
      <c r="F1878" t="s">
        <v>87</v>
      </c>
      <c r="G1878" t="s">
        <v>27</v>
      </c>
    </row>
    <row r="1879" spans="1:7" x14ac:dyDescent="0.2">
      <c r="A1879">
        <v>15</v>
      </c>
      <c r="B1879">
        <v>44</v>
      </c>
      <c r="C1879" t="s">
        <v>1156</v>
      </c>
      <c r="D1879" t="s">
        <v>24</v>
      </c>
      <c r="E1879" t="s">
        <v>31</v>
      </c>
      <c r="F1879" t="s">
        <v>87</v>
      </c>
      <c r="G1879" t="s">
        <v>27</v>
      </c>
    </row>
    <row r="1880" spans="1:7" x14ac:dyDescent="0.2">
      <c r="A1880">
        <v>15</v>
      </c>
      <c r="B1880">
        <v>44</v>
      </c>
      <c r="C1880" t="s">
        <v>1155</v>
      </c>
      <c r="D1880" t="s">
        <v>24</v>
      </c>
      <c r="E1880" t="s">
        <v>31</v>
      </c>
      <c r="F1880" t="s">
        <v>47</v>
      </c>
      <c r="G1880" t="s">
        <v>27</v>
      </c>
    </row>
    <row r="1881" spans="1:7" x14ac:dyDescent="0.2">
      <c r="A1881">
        <v>15</v>
      </c>
      <c r="B1881">
        <v>44</v>
      </c>
      <c r="C1881" t="s">
        <v>1209</v>
      </c>
      <c r="D1881" t="s">
        <v>24</v>
      </c>
      <c r="E1881" t="s">
        <v>31</v>
      </c>
      <c r="F1881" t="s">
        <v>87</v>
      </c>
      <c r="G1881" t="s">
        <v>27</v>
      </c>
    </row>
    <row r="1882" spans="1:7" x14ac:dyDescent="0.2">
      <c r="A1882">
        <v>16</v>
      </c>
      <c r="B1882">
        <v>44</v>
      </c>
      <c r="C1882" t="s">
        <v>530</v>
      </c>
      <c r="D1882" t="s">
        <v>24</v>
      </c>
      <c r="E1882" t="s">
        <v>31</v>
      </c>
      <c r="F1882" t="s">
        <v>47</v>
      </c>
      <c r="G1882" t="s">
        <v>27</v>
      </c>
    </row>
    <row r="1883" spans="1:7" x14ac:dyDescent="0.2">
      <c r="A1883">
        <v>16</v>
      </c>
      <c r="B1883">
        <v>44</v>
      </c>
      <c r="C1883" t="s">
        <v>1210</v>
      </c>
      <c r="D1883" t="s">
        <v>24</v>
      </c>
      <c r="E1883" t="s">
        <v>31</v>
      </c>
      <c r="F1883" t="s">
        <v>47</v>
      </c>
      <c r="G1883" t="s">
        <v>27</v>
      </c>
    </row>
    <row r="1884" spans="1:7" x14ac:dyDescent="0.2">
      <c r="A1884">
        <v>17</v>
      </c>
      <c r="B1884">
        <v>44</v>
      </c>
      <c r="C1884" t="s">
        <v>1168</v>
      </c>
      <c r="D1884" t="s">
        <v>24</v>
      </c>
      <c r="E1884" t="s">
        <v>31</v>
      </c>
      <c r="F1884" t="s">
        <v>26</v>
      </c>
      <c r="G1884" t="s">
        <v>27</v>
      </c>
    </row>
    <row r="1885" spans="1:7" x14ac:dyDescent="0.2">
      <c r="A1885">
        <v>17</v>
      </c>
      <c r="B1885">
        <v>44</v>
      </c>
      <c r="C1885" t="s">
        <v>1211</v>
      </c>
      <c r="D1885" t="s">
        <v>24</v>
      </c>
      <c r="E1885" t="s">
        <v>31</v>
      </c>
      <c r="F1885" t="s">
        <v>47</v>
      </c>
      <c r="G1885" t="s">
        <v>27</v>
      </c>
    </row>
    <row r="1886" spans="1:7" x14ac:dyDescent="0.2">
      <c r="A1886">
        <v>17</v>
      </c>
      <c r="B1886">
        <v>44</v>
      </c>
      <c r="C1886" t="s">
        <v>1212</v>
      </c>
      <c r="D1886" t="s">
        <v>24</v>
      </c>
      <c r="E1886" t="s">
        <v>31</v>
      </c>
      <c r="F1886" t="s">
        <v>47</v>
      </c>
      <c r="G1886" t="s">
        <v>27</v>
      </c>
    </row>
    <row r="1887" spans="1:7" x14ac:dyDescent="0.2">
      <c r="A1887">
        <v>17</v>
      </c>
      <c r="B1887">
        <v>44</v>
      </c>
      <c r="C1887" t="s">
        <v>1213</v>
      </c>
      <c r="D1887" t="s">
        <v>24</v>
      </c>
      <c r="E1887" t="s">
        <v>31</v>
      </c>
      <c r="F1887" t="s">
        <v>47</v>
      </c>
      <c r="G1887" t="s">
        <v>27</v>
      </c>
    </row>
    <row r="1888" spans="1:7" x14ac:dyDescent="0.2">
      <c r="A1888">
        <v>17</v>
      </c>
      <c r="B1888">
        <v>44</v>
      </c>
      <c r="C1888" t="s">
        <v>1151</v>
      </c>
      <c r="D1888" t="s">
        <v>24</v>
      </c>
      <c r="E1888" t="s">
        <v>31</v>
      </c>
      <c r="F1888" t="s">
        <v>47</v>
      </c>
      <c r="G1888" t="s">
        <v>27</v>
      </c>
    </row>
    <row r="1889" spans="1:7" x14ac:dyDescent="0.2">
      <c r="A1889">
        <v>17</v>
      </c>
      <c r="B1889">
        <v>44</v>
      </c>
      <c r="C1889" t="s">
        <v>1214</v>
      </c>
      <c r="D1889" t="s">
        <v>24</v>
      </c>
      <c r="E1889" t="s">
        <v>31</v>
      </c>
      <c r="F1889" t="s">
        <v>47</v>
      </c>
      <c r="G1889" t="s">
        <v>27</v>
      </c>
    </row>
    <row r="1890" spans="1:7" x14ac:dyDescent="0.2">
      <c r="A1890">
        <v>17</v>
      </c>
      <c r="B1890">
        <v>44</v>
      </c>
      <c r="C1890" t="s">
        <v>1154</v>
      </c>
      <c r="D1890" t="s">
        <v>30</v>
      </c>
      <c r="E1890" t="s">
        <v>31</v>
      </c>
      <c r="F1890" t="s">
        <v>47</v>
      </c>
      <c r="G1890" t="s">
        <v>27</v>
      </c>
    </row>
    <row r="1891" spans="1:7" x14ac:dyDescent="0.2">
      <c r="A1891">
        <v>17</v>
      </c>
      <c r="B1891">
        <v>44</v>
      </c>
      <c r="C1891" t="s">
        <v>1158</v>
      </c>
      <c r="D1891" t="s">
        <v>24</v>
      </c>
      <c r="E1891" t="s">
        <v>31</v>
      </c>
      <c r="F1891" t="s">
        <v>47</v>
      </c>
      <c r="G1891" t="s">
        <v>27</v>
      </c>
    </row>
    <row r="1892" spans="1:7" x14ac:dyDescent="0.2">
      <c r="A1892">
        <v>18</v>
      </c>
      <c r="B1892">
        <v>44</v>
      </c>
      <c r="C1892" t="s">
        <v>942</v>
      </c>
      <c r="D1892" t="s">
        <v>24</v>
      </c>
      <c r="E1892" t="s">
        <v>31</v>
      </c>
      <c r="F1892" t="s">
        <v>87</v>
      </c>
      <c r="G1892" t="s">
        <v>27</v>
      </c>
    </row>
    <row r="1893" spans="1:7" x14ac:dyDescent="0.2">
      <c r="A1893">
        <v>18</v>
      </c>
      <c r="B1893">
        <v>44</v>
      </c>
      <c r="C1893" t="s">
        <v>1215</v>
      </c>
      <c r="D1893" t="s">
        <v>24</v>
      </c>
      <c r="E1893" t="s">
        <v>31</v>
      </c>
      <c r="F1893" t="s">
        <v>87</v>
      </c>
      <c r="G1893" t="s">
        <v>27</v>
      </c>
    </row>
    <row r="1894" spans="1:7" x14ac:dyDescent="0.2">
      <c r="A1894">
        <v>18</v>
      </c>
      <c r="B1894">
        <v>44</v>
      </c>
      <c r="C1894" t="s">
        <v>1206</v>
      </c>
      <c r="D1894" t="s">
        <v>24</v>
      </c>
      <c r="E1894" t="s">
        <v>31</v>
      </c>
      <c r="F1894" t="s">
        <v>87</v>
      </c>
      <c r="G1894" t="s">
        <v>27</v>
      </c>
    </row>
    <row r="1895" spans="1:7" x14ac:dyDescent="0.2">
      <c r="A1895">
        <v>18</v>
      </c>
      <c r="B1895">
        <v>44</v>
      </c>
      <c r="C1895" t="s">
        <v>1187</v>
      </c>
      <c r="D1895" t="s">
        <v>24</v>
      </c>
      <c r="E1895" t="s">
        <v>31</v>
      </c>
      <c r="F1895" t="s">
        <v>87</v>
      </c>
      <c r="G1895" t="s">
        <v>27</v>
      </c>
    </row>
    <row r="1896" spans="1:7" x14ac:dyDescent="0.2">
      <c r="A1896">
        <v>19</v>
      </c>
      <c r="B1896">
        <v>44</v>
      </c>
      <c r="C1896" t="s">
        <v>1216</v>
      </c>
      <c r="D1896" t="s">
        <v>24</v>
      </c>
      <c r="E1896" t="s">
        <v>31</v>
      </c>
      <c r="F1896" t="s">
        <v>47</v>
      </c>
      <c r="G1896" t="s">
        <v>27</v>
      </c>
    </row>
    <row r="1897" spans="1:7" x14ac:dyDescent="0.2">
      <c r="A1897">
        <v>19</v>
      </c>
      <c r="B1897">
        <v>44</v>
      </c>
      <c r="C1897" t="s">
        <v>1217</v>
      </c>
      <c r="D1897" t="s">
        <v>24</v>
      </c>
      <c r="E1897" t="s">
        <v>31</v>
      </c>
      <c r="F1897" t="s">
        <v>47</v>
      </c>
      <c r="G1897" t="s">
        <v>27</v>
      </c>
    </row>
    <row r="1898" spans="1:7" x14ac:dyDescent="0.2">
      <c r="A1898">
        <v>19</v>
      </c>
      <c r="B1898">
        <v>44</v>
      </c>
      <c r="C1898" t="s">
        <v>1218</v>
      </c>
      <c r="D1898" t="s">
        <v>24</v>
      </c>
      <c r="E1898" t="s">
        <v>31</v>
      </c>
      <c r="F1898" t="s">
        <v>47</v>
      </c>
      <c r="G1898" t="s">
        <v>27</v>
      </c>
    </row>
    <row r="1899" spans="1:7" x14ac:dyDescent="0.2">
      <c r="A1899">
        <v>19</v>
      </c>
      <c r="B1899">
        <v>44</v>
      </c>
      <c r="C1899" t="s">
        <v>1219</v>
      </c>
      <c r="D1899" t="s">
        <v>24</v>
      </c>
      <c r="E1899" t="s">
        <v>31</v>
      </c>
      <c r="F1899" t="s">
        <v>47</v>
      </c>
      <c r="G1899" t="s">
        <v>27</v>
      </c>
    </row>
    <row r="1900" spans="1:7" x14ac:dyDescent="0.2">
      <c r="A1900">
        <v>19</v>
      </c>
      <c r="B1900">
        <v>44</v>
      </c>
      <c r="C1900" t="s">
        <v>1188</v>
      </c>
      <c r="D1900" t="s">
        <v>24</v>
      </c>
      <c r="E1900" t="s">
        <v>31</v>
      </c>
      <c r="F1900" t="s">
        <v>47</v>
      </c>
      <c r="G1900" t="s">
        <v>27</v>
      </c>
    </row>
    <row r="1901" spans="1:7" x14ac:dyDescent="0.2">
      <c r="A1901">
        <v>19</v>
      </c>
      <c r="B1901">
        <v>44</v>
      </c>
      <c r="C1901" t="s">
        <v>1189</v>
      </c>
      <c r="D1901" t="s">
        <v>24</v>
      </c>
      <c r="E1901" t="s">
        <v>31</v>
      </c>
      <c r="F1901" t="s">
        <v>47</v>
      </c>
      <c r="G1901" t="s">
        <v>27</v>
      </c>
    </row>
    <row r="1902" spans="1:7" x14ac:dyDescent="0.2">
      <c r="A1902">
        <v>19</v>
      </c>
      <c r="B1902">
        <v>44</v>
      </c>
      <c r="C1902" t="s">
        <v>1184</v>
      </c>
      <c r="D1902" t="s">
        <v>24</v>
      </c>
      <c r="E1902" t="s">
        <v>31</v>
      </c>
      <c r="F1902" t="s">
        <v>47</v>
      </c>
      <c r="G1902" t="s">
        <v>27</v>
      </c>
    </row>
    <row r="1903" spans="1:7" x14ac:dyDescent="0.2">
      <c r="A1903">
        <v>19</v>
      </c>
      <c r="B1903">
        <v>44</v>
      </c>
      <c r="C1903" t="s">
        <v>1220</v>
      </c>
      <c r="D1903" t="s">
        <v>24</v>
      </c>
      <c r="E1903" t="s">
        <v>31</v>
      </c>
      <c r="F1903" t="s">
        <v>47</v>
      </c>
      <c r="G1903" t="s">
        <v>27</v>
      </c>
    </row>
    <row r="1904" spans="1:7" x14ac:dyDescent="0.2">
      <c r="A1904">
        <v>19</v>
      </c>
      <c r="B1904">
        <v>44</v>
      </c>
      <c r="C1904" t="s">
        <v>1221</v>
      </c>
      <c r="D1904" t="s">
        <v>24</v>
      </c>
      <c r="E1904" t="s">
        <v>31</v>
      </c>
      <c r="F1904" t="s">
        <v>47</v>
      </c>
      <c r="G1904" t="s">
        <v>27</v>
      </c>
    </row>
    <row r="1905" spans="1:7" x14ac:dyDescent="0.2">
      <c r="A1905">
        <v>19</v>
      </c>
      <c r="B1905">
        <v>44</v>
      </c>
      <c r="C1905" t="s">
        <v>1222</v>
      </c>
      <c r="D1905" t="s">
        <v>24</v>
      </c>
      <c r="E1905" t="s">
        <v>31</v>
      </c>
      <c r="F1905" t="s">
        <v>26</v>
      </c>
      <c r="G1905" t="s">
        <v>27</v>
      </c>
    </row>
    <row r="1906" spans="1:7" x14ac:dyDescent="0.2">
      <c r="A1906">
        <v>20</v>
      </c>
      <c r="B1906">
        <v>44</v>
      </c>
      <c r="C1906" t="s">
        <v>1189</v>
      </c>
      <c r="D1906" t="s">
        <v>24</v>
      </c>
      <c r="E1906" t="s">
        <v>31</v>
      </c>
      <c r="F1906" t="s">
        <v>47</v>
      </c>
      <c r="G1906" t="s">
        <v>27</v>
      </c>
    </row>
    <row r="1907" spans="1:7" x14ac:dyDescent="0.2">
      <c r="A1907">
        <v>20</v>
      </c>
      <c r="B1907">
        <v>44</v>
      </c>
      <c r="C1907" t="s">
        <v>1188</v>
      </c>
      <c r="D1907" t="s">
        <v>24</v>
      </c>
      <c r="E1907" t="s">
        <v>31</v>
      </c>
      <c r="F1907" t="s">
        <v>26</v>
      </c>
      <c r="G1907" t="s">
        <v>27</v>
      </c>
    </row>
    <row r="1908" spans="1:7" x14ac:dyDescent="0.2">
      <c r="A1908">
        <v>20</v>
      </c>
      <c r="B1908">
        <v>44</v>
      </c>
      <c r="C1908" t="s">
        <v>1223</v>
      </c>
      <c r="D1908" t="s">
        <v>24</v>
      </c>
      <c r="E1908" t="s">
        <v>31</v>
      </c>
      <c r="F1908" t="s">
        <v>47</v>
      </c>
      <c r="G1908" t="s">
        <v>27</v>
      </c>
    </row>
    <row r="1909" spans="1:7" x14ac:dyDescent="0.2">
      <c r="A1909">
        <v>20</v>
      </c>
      <c r="B1909">
        <v>44</v>
      </c>
      <c r="C1909" t="s">
        <v>1220</v>
      </c>
      <c r="D1909" t="s">
        <v>24</v>
      </c>
      <c r="E1909" t="s">
        <v>31</v>
      </c>
      <c r="F1909" t="s">
        <v>26</v>
      </c>
      <c r="G1909" t="s">
        <v>27</v>
      </c>
    </row>
    <row r="1910" spans="1:7" x14ac:dyDescent="0.2">
      <c r="A1910">
        <v>20</v>
      </c>
      <c r="B1910">
        <v>44</v>
      </c>
      <c r="C1910" t="s">
        <v>1154</v>
      </c>
      <c r="D1910" t="s">
        <v>30</v>
      </c>
      <c r="E1910" t="s">
        <v>31</v>
      </c>
      <c r="F1910" t="s">
        <v>47</v>
      </c>
      <c r="G1910" t="s">
        <v>27</v>
      </c>
    </row>
    <row r="1911" spans="1:7" x14ac:dyDescent="0.2">
      <c r="A1911">
        <v>20</v>
      </c>
      <c r="B1911">
        <v>44</v>
      </c>
      <c r="C1911" t="s">
        <v>1156</v>
      </c>
      <c r="D1911" t="s">
        <v>24</v>
      </c>
      <c r="E1911" t="s">
        <v>31</v>
      </c>
      <c r="F1911" t="s">
        <v>47</v>
      </c>
      <c r="G1911" t="s">
        <v>27</v>
      </c>
    </row>
    <row r="1912" spans="1:7" x14ac:dyDescent="0.2">
      <c r="A1912">
        <v>21</v>
      </c>
      <c r="B1912">
        <v>44</v>
      </c>
      <c r="C1912" t="s">
        <v>1216</v>
      </c>
      <c r="D1912" t="s">
        <v>24</v>
      </c>
      <c r="E1912" t="s">
        <v>25</v>
      </c>
      <c r="F1912" t="s">
        <v>47</v>
      </c>
      <c r="G1912" t="s">
        <v>27</v>
      </c>
    </row>
    <row r="1913" spans="1:7" x14ac:dyDescent="0.2">
      <c r="A1913">
        <v>21</v>
      </c>
      <c r="B1913">
        <v>44</v>
      </c>
      <c r="C1913" t="s">
        <v>1224</v>
      </c>
      <c r="D1913" t="s">
        <v>24</v>
      </c>
      <c r="E1913" t="s">
        <v>25</v>
      </c>
      <c r="F1913" t="s">
        <v>26</v>
      </c>
      <c r="G1913" t="s">
        <v>27</v>
      </c>
    </row>
    <row r="1914" spans="1:7" x14ac:dyDescent="0.2">
      <c r="A1914">
        <v>21</v>
      </c>
      <c r="B1914">
        <v>44</v>
      </c>
      <c r="C1914" t="s">
        <v>1189</v>
      </c>
      <c r="D1914" t="s">
        <v>24</v>
      </c>
      <c r="E1914" t="s">
        <v>25</v>
      </c>
      <c r="F1914" t="s">
        <v>47</v>
      </c>
      <c r="G1914" t="s">
        <v>27</v>
      </c>
    </row>
    <row r="1915" spans="1:7" x14ac:dyDescent="0.2">
      <c r="A1915">
        <v>21</v>
      </c>
      <c r="B1915">
        <v>44</v>
      </c>
      <c r="C1915" t="s">
        <v>1225</v>
      </c>
      <c r="D1915" t="s">
        <v>24</v>
      </c>
      <c r="E1915" t="s">
        <v>25</v>
      </c>
      <c r="F1915" t="s">
        <v>47</v>
      </c>
      <c r="G1915" t="s">
        <v>27</v>
      </c>
    </row>
    <row r="1916" spans="1:7" x14ac:dyDescent="0.2">
      <c r="A1916">
        <v>21</v>
      </c>
      <c r="B1916">
        <v>44</v>
      </c>
      <c r="C1916" t="s">
        <v>1220</v>
      </c>
      <c r="D1916" t="s">
        <v>24</v>
      </c>
      <c r="E1916" t="s">
        <v>25</v>
      </c>
      <c r="F1916" t="s">
        <v>47</v>
      </c>
      <c r="G1916" t="s">
        <v>27</v>
      </c>
    </row>
    <row r="1917" spans="1:7" x14ac:dyDescent="0.2">
      <c r="A1917">
        <v>21</v>
      </c>
      <c r="B1917">
        <v>44</v>
      </c>
      <c r="C1917" t="s">
        <v>1184</v>
      </c>
      <c r="D1917" t="s">
        <v>24</v>
      </c>
      <c r="E1917" t="s">
        <v>25</v>
      </c>
      <c r="F1917" t="s">
        <v>47</v>
      </c>
      <c r="G1917" t="s">
        <v>27</v>
      </c>
    </row>
    <row r="1918" spans="1:7" x14ac:dyDescent="0.2">
      <c r="A1918">
        <v>21</v>
      </c>
      <c r="B1918">
        <v>44</v>
      </c>
      <c r="C1918" t="s">
        <v>1222</v>
      </c>
      <c r="D1918" t="s">
        <v>24</v>
      </c>
      <c r="E1918" t="s">
        <v>25</v>
      </c>
      <c r="F1918" t="s">
        <v>47</v>
      </c>
      <c r="G1918" t="s">
        <v>27</v>
      </c>
    </row>
    <row r="1919" spans="1:7" x14ac:dyDescent="0.2">
      <c r="A1919">
        <v>21</v>
      </c>
      <c r="B1919">
        <v>44</v>
      </c>
      <c r="C1919" t="s">
        <v>1154</v>
      </c>
      <c r="D1919" t="s">
        <v>24</v>
      </c>
      <c r="E1919" t="s">
        <v>25</v>
      </c>
      <c r="F1919" t="s">
        <v>47</v>
      </c>
      <c r="G1919" t="s">
        <v>27</v>
      </c>
    </row>
    <row r="1920" spans="1:7" x14ac:dyDescent="0.2">
      <c r="A1920">
        <v>21</v>
      </c>
      <c r="B1920">
        <v>44</v>
      </c>
      <c r="C1920" t="s">
        <v>1155</v>
      </c>
      <c r="D1920" t="s">
        <v>24</v>
      </c>
      <c r="E1920" t="s">
        <v>25</v>
      </c>
      <c r="F1920" t="s">
        <v>47</v>
      </c>
      <c r="G1920" t="s">
        <v>27</v>
      </c>
    </row>
    <row r="1921" spans="1:7" x14ac:dyDescent="0.2">
      <c r="A1921">
        <v>21</v>
      </c>
      <c r="B1921">
        <v>44</v>
      </c>
      <c r="C1921" t="s">
        <v>1156</v>
      </c>
      <c r="D1921" t="s">
        <v>24</v>
      </c>
      <c r="E1921" t="s">
        <v>25</v>
      </c>
      <c r="F1921" t="s">
        <v>47</v>
      </c>
      <c r="G1921" t="s">
        <v>27</v>
      </c>
    </row>
    <row r="1922" spans="1:7" x14ac:dyDescent="0.2">
      <c r="A1922">
        <v>21</v>
      </c>
      <c r="B1922">
        <v>44</v>
      </c>
      <c r="C1922" t="s">
        <v>1158</v>
      </c>
      <c r="D1922" t="s">
        <v>24</v>
      </c>
      <c r="E1922" t="s">
        <v>25</v>
      </c>
      <c r="F1922" t="s">
        <v>47</v>
      </c>
      <c r="G1922" t="s">
        <v>27</v>
      </c>
    </row>
    <row r="1923" spans="1:7" x14ac:dyDescent="0.2">
      <c r="A1923">
        <v>22</v>
      </c>
      <c r="B1923">
        <v>44</v>
      </c>
      <c r="C1923" t="s">
        <v>1226</v>
      </c>
      <c r="D1923" t="s">
        <v>24</v>
      </c>
      <c r="E1923" t="s">
        <v>31</v>
      </c>
      <c r="F1923" t="s">
        <v>47</v>
      </c>
      <c r="G1923" t="s">
        <v>27</v>
      </c>
    </row>
    <row r="1924" spans="1:7" x14ac:dyDescent="0.2">
      <c r="A1924">
        <v>22</v>
      </c>
      <c r="B1924">
        <v>44</v>
      </c>
      <c r="C1924" t="s">
        <v>1224</v>
      </c>
      <c r="D1924" t="s">
        <v>24</v>
      </c>
      <c r="E1924" t="s">
        <v>31</v>
      </c>
      <c r="F1924" t="s">
        <v>47</v>
      </c>
      <c r="G1924" t="s">
        <v>27</v>
      </c>
    </row>
    <row r="1925" spans="1:7" x14ac:dyDescent="0.2">
      <c r="A1925">
        <v>22</v>
      </c>
      <c r="B1925">
        <v>44</v>
      </c>
      <c r="C1925" t="s">
        <v>1218</v>
      </c>
      <c r="D1925" t="s">
        <v>24</v>
      </c>
      <c r="E1925" t="s">
        <v>31</v>
      </c>
      <c r="F1925" t="s">
        <v>47</v>
      </c>
      <c r="G1925" t="s">
        <v>27</v>
      </c>
    </row>
    <row r="1926" spans="1:7" x14ac:dyDescent="0.2">
      <c r="A1926">
        <v>22</v>
      </c>
      <c r="B1926">
        <v>44</v>
      </c>
      <c r="C1926" t="s">
        <v>1227</v>
      </c>
      <c r="D1926" t="s">
        <v>24</v>
      </c>
      <c r="E1926" t="s">
        <v>31</v>
      </c>
      <c r="F1926" t="s">
        <v>47</v>
      </c>
      <c r="G1926" t="s">
        <v>27</v>
      </c>
    </row>
    <row r="1927" spans="1:7" x14ac:dyDescent="0.2">
      <c r="A1927">
        <v>22</v>
      </c>
      <c r="B1927">
        <v>44</v>
      </c>
      <c r="C1927" t="s">
        <v>1228</v>
      </c>
      <c r="D1927" t="s">
        <v>24</v>
      </c>
      <c r="E1927" t="s">
        <v>31</v>
      </c>
      <c r="F1927" t="s">
        <v>47</v>
      </c>
      <c r="G1927" t="s">
        <v>27</v>
      </c>
    </row>
    <row r="1928" spans="1:7" x14ac:dyDescent="0.2">
      <c r="A1928">
        <v>22</v>
      </c>
      <c r="B1928">
        <v>44</v>
      </c>
      <c r="C1928" t="s">
        <v>1189</v>
      </c>
      <c r="D1928" t="s">
        <v>24</v>
      </c>
      <c r="E1928" t="s">
        <v>31</v>
      </c>
      <c r="F1928" t="s">
        <v>47</v>
      </c>
      <c r="G1928" t="s">
        <v>27</v>
      </c>
    </row>
    <row r="1929" spans="1:7" x14ac:dyDescent="0.2">
      <c r="A1929">
        <v>22</v>
      </c>
      <c r="B1929">
        <v>44</v>
      </c>
      <c r="C1929" t="s">
        <v>1160</v>
      </c>
      <c r="D1929" t="s">
        <v>24</v>
      </c>
      <c r="E1929" t="s">
        <v>31</v>
      </c>
      <c r="F1929" t="s">
        <v>47</v>
      </c>
      <c r="G1929" t="s">
        <v>27</v>
      </c>
    </row>
    <row r="1930" spans="1:7" x14ac:dyDescent="0.2">
      <c r="A1930">
        <v>22</v>
      </c>
      <c r="B1930">
        <v>44</v>
      </c>
      <c r="C1930" t="s">
        <v>1163</v>
      </c>
      <c r="D1930" t="s">
        <v>24</v>
      </c>
      <c r="E1930" t="s">
        <v>31</v>
      </c>
      <c r="F1930" t="s">
        <v>47</v>
      </c>
      <c r="G1930" t="s">
        <v>27</v>
      </c>
    </row>
    <row r="1931" spans="1:7" x14ac:dyDescent="0.2">
      <c r="A1931">
        <v>22</v>
      </c>
      <c r="B1931">
        <v>44</v>
      </c>
      <c r="C1931" t="s">
        <v>1229</v>
      </c>
      <c r="D1931" t="s">
        <v>24</v>
      </c>
      <c r="E1931" t="s">
        <v>31</v>
      </c>
      <c r="F1931" t="s">
        <v>47</v>
      </c>
      <c r="G1931" t="s">
        <v>27</v>
      </c>
    </row>
    <row r="1932" spans="1:7" x14ac:dyDescent="0.2">
      <c r="A1932">
        <v>22</v>
      </c>
      <c r="B1932">
        <v>44</v>
      </c>
      <c r="C1932" t="s">
        <v>1153</v>
      </c>
      <c r="D1932" t="s">
        <v>24</v>
      </c>
      <c r="E1932" t="s">
        <v>31</v>
      </c>
      <c r="F1932" t="s">
        <v>47</v>
      </c>
      <c r="G1932" t="s">
        <v>27</v>
      </c>
    </row>
    <row r="1933" spans="1:7" x14ac:dyDescent="0.2">
      <c r="A1933">
        <v>22</v>
      </c>
      <c r="B1933">
        <v>44</v>
      </c>
      <c r="C1933" t="s">
        <v>1230</v>
      </c>
      <c r="D1933" t="s">
        <v>24</v>
      </c>
      <c r="E1933" t="s">
        <v>31</v>
      </c>
      <c r="F1933" t="s">
        <v>47</v>
      </c>
      <c r="G1933" t="s">
        <v>27</v>
      </c>
    </row>
    <row r="1934" spans="1:7" x14ac:dyDescent="0.2">
      <c r="A1934">
        <v>22</v>
      </c>
      <c r="B1934">
        <v>44</v>
      </c>
      <c r="C1934" t="s">
        <v>1222</v>
      </c>
      <c r="D1934" t="s">
        <v>24</v>
      </c>
      <c r="E1934" t="s">
        <v>31</v>
      </c>
      <c r="F1934" t="s">
        <v>47</v>
      </c>
      <c r="G1934" t="s">
        <v>27</v>
      </c>
    </row>
    <row r="1935" spans="1:7" x14ac:dyDescent="0.2">
      <c r="A1935">
        <v>22</v>
      </c>
      <c r="B1935">
        <v>44</v>
      </c>
      <c r="C1935" t="s">
        <v>1154</v>
      </c>
      <c r="D1935" t="s">
        <v>24</v>
      </c>
      <c r="E1935" t="s">
        <v>31</v>
      </c>
      <c r="F1935" t="s">
        <v>47</v>
      </c>
      <c r="G1935" t="s">
        <v>27</v>
      </c>
    </row>
    <row r="1936" spans="1:7" x14ac:dyDescent="0.2">
      <c r="A1936">
        <v>22</v>
      </c>
      <c r="B1936">
        <v>44</v>
      </c>
      <c r="C1936" t="s">
        <v>1155</v>
      </c>
      <c r="D1936" t="s">
        <v>24</v>
      </c>
      <c r="E1936" t="s">
        <v>31</v>
      </c>
      <c r="F1936" t="s">
        <v>47</v>
      </c>
      <c r="G1936" t="s">
        <v>27</v>
      </c>
    </row>
    <row r="1937" spans="1:7" x14ac:dyDescent="0.2">
      <c r="A1937">
        <v>22</v>
      </c>
      <c r="B1937">
        <v>44</v>
      </c>
      <c r="C1937" t="s">
        <v>1156</v>
      </c>
      <c r="D1937" t="s">
        <v>24</v>
      </c>
      <c r="E1937" t="s">
        <v>31</v>
      </c>
      <c r="F1937" t="s">
        <v>47</v>
      </c>
      <c r="G1937" t="s">
        <v>27</v>
      </c>
    </row>
    <row r="1938" spans="1:7" x14ac:dyDescent="0.2">
      <c r="A1938">
        <v>22</v>
      </c>
      <c r="B1938">
        <v>44</v>
      </c>
      <c r="C1938" t="s">
        <v>1231</v>
      </c>
      <c r="D1938" t="s">
        <v>24</v>
      </c>
      <c r="E1938" t="s">
        <v>31</v>
      </c>
      <c r="F1938" t="s">
        <v>47</v>
      </c>
      <c r="G1938" t="s">
        <v>27</v>
      </c>
    </row>
    <row r="1939" spans="1:7" x14ac:dyDescent="0.2">
      <c r="A1939">
        <v>22</v>
      </c>
      <c r="B1939">
        <v>44</v>
      </c>
      <c r="C1939" t="s">
        <v>1158</v>
      </c>
      <c r="D1939" t="s">
        <v>24</v>
      </c>
      <c r="E1939" t="s">
        <v>31</v>
      </c>
      <c r="F1939" t="s">
        <v>47</v>
      </c>
      <c r="G1939" t="s">
        <v>27</v>
      </c>
    </row>
    <row r="1940" spans="1:7" x14ac:dyDescent="0.2">
      <c r="A1940">
        <v>23</v>
      </c>
      <c r="B1940">
        <v>44</v>
      </c>
      <c r="C1940" t="s">
        <v>1226</v>
      </c>
      <c r="D1940" t="s">
        <v>24</v>
      </c>
      <c r="E1940" t="s">
        <v>31</v>
      </c>
      <c r="F1940" t="s">
        <v>26</v>
      </c>
      <c r="G1940" t="s">
        <v>27</v>
      </c>
    </row>
    <row r="1941" spans="1:7" x14ac:dyDescent="0.2">
      <c r="A1941">
        <v>23</v>
      </c>
      <c r="B1941">
        <v>44</v>
      </c>
      <c r="C1941" t="s">
        <v>1232</v>
      </c>
      <c r="D1941" t="s">
        <v>24</v>
      </c>
      <c r="E1941" t="s">
        <v>31</v>
      </c>
      <c r="F1941" t="s">
        <v>47</v>
      </c>
      <c r="G1941" t="s">
        <v>27</v>
      </c>
    </row>
    <row r="1942" spans="1:7" x14ac:dyDescent="0.2">
      <c r="A1942">
        <v>23</v>
      </c>
      <c r="B1942">
        <v>44</v>
      </c>
      <c r="C1942" t="s">
        <v>1230</v>
      </c>
      <c r="D1942" t="s">
        <v>24</v>
      </c>
      <c r="E1942" t="s">
        <v>31</v>
      </c>
      <c r="F1942" t="s">
        <v>47</v>
      </c>
      <c r="G1942" t="s">
        <v>27</v>
      </c>
    </row>
    <row r="1943" spans="1:7" x14ac:dyDescent="0.2">
      <c r="A1943">
        <v>23</v>
      </c>
      <c r="B1943">
        <v>44</v>
      </c>
      <c r="C1943" t="s">
        <v>1222</v>
      </c>
      <c r="D1943" t="s">
        <v>24</v>
      </c>
      <c r="E1943" t="s">
        <v>31</v>
      </c>
      <c r="F1943" t="s">
        <v>26</v>
      </c>
      <c r="G1943" t="s">
        <v>27</v>
      </c>
    </row>
    <row r="1944" spans="1:7" x14ac:dyDescent="0.2">
      <c r="A1944">
        <v>7</v>
      </c>
      <c r="B1944">
        <v>45</v>
      </c>
      <c r="C1944" t="s">
        <v>1233</v>
      </c>
      <c r="D1944" t="s">
        <v>24</v>
      </c>
      <c r="E1944" t="s">
        <v>25</v>
      </c>
      <c r="F1944" t="s">
        <v>26</v>
      </c>
      <c r="G1944" t="s">
        <v>27</v>
      </c>
    </row>
    <row r="1945" spans="1:7" x14ac:dyDescent="0.2">
      <c r="A1945">
        <v>7</v>
      </c>
      <c r="B1945">
        <v>45</v>
      </c>
      <c r="C1945" t="s">
        <v>1234</v>
      </c>
      <c r="D1945" t="s">
        <v>24</v>
      </c>
      <c r="E1945" t="s">
        <v>25</v>
      </c>
      <c r="F1945" t="s">
        <v>26</v>
      </c>
      <c r="G1945" t="s">
        <v>27</v>
      </c>
    </row>
    <row r="1946" spans="1:7" x14ac:dyDescent="0.2">
      <c r="A1946">
        <v>7</v>
      </c>
      <c r="B1946">
        <v>45</v>
      </c>
      <c r="C1946" t="s">
        <v>1235</v>
      </c>
      <c r="D1946" t="s">
        <v>24</v>
      </c>
      <c r="E1946" t="s">
        <v>25</v>
      </c>
      <c r="F1946" t="s">
        <v>26</v>
      </c>
      <c r="G1946" t="s">
        <v>27</v>
      </c>
    </row>
    <row r="1947" spans="1:7" x14ac:dyDescent="0.2">
      <c r="A1947">
        <v>7</v>
      </c>
      <c r="B1947">
        <v>45</v>
      </c>
      <c r="C1947" t="s">
        <v>1236</v>
      </c>
      <c r="D1947" t="s">
        <v>24</v>
      </c>
      <c r="E1947" t="s">
        <v>25</v>
      </c>
      <c r="F1947" t="s">
        <v>26</v>
      </c>
      <c r="G1947" t="s">
        <v>27</v>
      </c>
    </row>
    <row r="1948" spans="1:7" x14ac:dyDescent="0.2">
      <c r="A1948">
        <v>7</v>
      </c>
      <c r="B1948">
        <v>45</v>
      </c>
      <c r="C1948" t="s">
        <v>1237</v>
      </c>
      <c r="D1948" t="s">
        <v>24</v>
      </c>
      <c r="E1948" t="s">
        <v>25</v>
      </c>
      <c r="F1948" t="s">
        <v>26</v>
      </c>
      <c r="G1948" t="s">
        <v>27</v>
      </c>
    </row>
    <row r="1949" spans="1:7" x14ac:dyDescent="0.2">
      <c r="A1949">
        <v>7</v>
      </c>
      <c r="B1949">
        <v>54</v>
      </c>
      <c r="C1949" t="s">
        <v>1238</v>
      </c>
      <c r="D1949" t="s">
        <v>24</v>
      </c>
      <c r="E1949" t="s">
        <v>256</v>
      </c>
      <c r="F1949" t="s">
        <v>26</v>
      </c>
      <c r="G1949" t="s">
        <v>27</v>
      </c>
    </row>
    <row r="1950" spans="1:7" x14ac:dyDescent="0.2">
      <c r="A1950">
        <v>7</v>
      </c>
      <c r="B1950">
        <v>45</v>
      </c>
      <c r="C1950" t="s">
        <v>1239</v>
      </c>
      <c r="D1950" t="s">
        <v>24</v>
      </c>
      <c r="E1950" t="s">
        <v>25</v>
      </c>
      <c r="F1950" t="s">
        <v>26</v>
      </c>
      <c r="G1950" t="s">
        <v>27</v>
      </c>
    </row>
    <row r="1951" spans="1:7" x14ac:dyDescent="0.2">
      <c r="A1951">
        <v>7</v>
      </c>
      <c r="B1951">
        <v>45</v>
      </c>
      <c r="C1951" t="s">
        <v>1240</v>
      </c>
      <c r="D1951" t="s">
        <v>24</v>
      </c>
      <c r="E1951" t="s">
        <v>25</v>
      </c>
      <c r="F1951" t="s">
        <v>26</v>
      </c>
      <c r="G1951" t="s">
        <v>27</v>
      </c>
    </row>
    <row r="1952" spans="1:7" x14ac:dyDescent="0.2">
      <c r="A1952">
        <v>7</v>
      </c>
      <c r="B1952">
        <v>45</v>
      </c>
      <c r="C1952" t="s">
        <v>1241</v>
      </c>
      <c r="D1952" t="s">
        <v>24</v>
      </c>
      <c r="E1952" t="s">
        <v>25</v>
      </c>
      <c r="F1952" t="s">
        <v>26</v>
      </c>
      <c r="G1952" t="s">
        <v>27</v>
      </c>
    </row>
    <row r="1953" spans="1:7" x14ac:dyDescent="0.2">
      <c r="A1953">
        <v>7</v>
      </c>
      <c r="B1953">
        <v>45</v>
      </c>
      <c r="C1953" t="s">
        <v>1242</v>
      </c>
      <c r="D1953" t="s">
        <v>24</v>
      </c>
      <c r="E1953" t="s">
        <v>25</v>
      </c>
      <c r="F1953" t="s">
        <v>26</v>
      </c>
      <c r="G1953" t="s">
        <v>27</v>
      </c>
    </row>
    <row r="1954" spans="1:7" x14ac:dyDescent="0.2">
      <c r="A1954">
        <v>7</v>
      </c>
      <c r="B1954">
        <v>45</v>
      </c>
      <c r="C1954" t="s">
        <v>1243</v>
      </c>
      <c r="D1954" t="s">
        <v>24</v>
      </c>
      <c r="E1954" t="s">
        <v>25</v>
      </c>
      <c r="F1954" t="s">
        <v>26</v>
      </c>
      <c r="G1954" t="s">
        <v>27</v>
      </c>
    </row>
    <row r="1955" spans="1:7" x14ac:dyDescent="0.2">
      <c r="A1955">
        <v>7</v>
      </c>
      <c r="B1955">
        <v>45</v>
      </c>
      <c r="C1955" t="s">
        <v>1244</v>
      </c>
      <c r="D1955" t="s">
        <v>24</v>
      </c>
      <c r="E1955" t="s">
        <v>25</v>
      </c>
      <c r="F1955" t="s">
        <v>26</v>
      </c>
      <c r="G1955" t="s">
        <v>27</v>
      </c>
    </row>
    <row r="1956" spans="1:7" x14ac:dyDescent="0.2">
      <c r="A1956">
        <v>7</v>
      </c>
      <c r="B1956">
        <v>45</v>
      </c>
      <c r="C1956" t="s">
        <v>1245</v>
      </c>
      <c r="D1956" t="s">
        <v>24</v>
      </c>
      <c r="E1956" t="s">
        <v>25</v>
      </c>
      <c r="F1956" t="s">
        <v>26</v>
      </c>
      <c r="G1956" t="s">
        <v>27</v>
      </c>
    </row>
    <row r="1957" spans="1:7" x14ac:dyDescent="0.2">
      <c r="A1957">
        <v>7</v>
      </c>
      <c r="B1957">
        <v>45</v>
      </c>
      <c r="C1957" t="s">
        <v>1246</v>
      </c>
      <c r="D1957" t="s">
        <v>24</v>
      </c>
      <c r="E1957" t="s">
        <v>25</v>
      </c>
      <c r="F1957" t="s">
        <v>26</v>
      </c>
      <c r="G1957" t="s">
        <v>27</v>
      </c>
    </row>
    <row r="1958" spans="1:7" x14ac:dyDescent="0.2">
      <c r="A1958">
        <v>7</v>
      </c>
      <c r="B1958">
        <v>45</v>
      </c>
      <c r="C1958" t="s">
        <v>1247</v>
      </c>
      <c r="D1958" t="s">
        <v>24</v>
      </c>
      <c r="E1958" t="s">
        <v>25</v>
      </c>
      <c r="F1958" t="s">
        <v>26</v>
      </c>
      <c r="G1958" t="s">
        <v>27</v>
      </c>
    </row>
    <row r="1959" spans="1:7" x14ac:dyDescent="0.2">
      <c r="A1959">
        <v>8</v>
      </c>
      <c r="B1959">
        <v>45</v>
      </c>
      <c r="C1959" t="s">
        <v>1248</v>
      </c>
      <c r="D1959" t="s">
        <v>24</v>
      </c>
      <c r="E1959" t="s">
        <v>31</v>
      </c>
      <c r="F1959" t="s">
        <v>26</v>
      </c>
      <c r="G1959" t="s">
        <v>27</v>
      </c>
    </row>
    <row r="1960" spans="1:7" x14ac:dyDescent="0.2">
      <c r="A1960">
        <v>8</v>
      </c>
      <c r="B1960">
        <v>45</v>
      </c>
      <c r="C1960" t="s">
        <v>1249</v>
      </c>
      <c r="D1960" t="s">
        <v>24</v>
      </c>
      <c r="E1960" t="s">
        <v>31</v>
      </c>
      <c r="F1960" t="s">
        <v>26</v>
      </c>
      <c r="G1960" t="s">
        <v>27</v>
      </c>
    </row>
    <row r="1961" spans="1:7" x14ac:dyDescent="0.2">
      <c r="A1961">
        <v>8</v>
      </c>
      <c r="B1961">
        <v>45</v>
      </c>
      <c r="C1961" t="s">
        <v>1250</v>
      </c>
      <c r="D1961" t="s">
        <v>24</v>
      </c>
      <c r="E1961" t="s">
        <v>31</v>
      </c>
      <c r="F1961" t="s">
        <v>26</v>
      </c>
      <c r="G1961" t="s">
        <v>27</v>
      </c>
    </row>
    <row r="1962" spans="1:7" x14ac:dyDescent="0.2">
      <c r="A1962">
        <v>8</v>
      </c>
      <c r="B1962">
        <v>45</v>
      </c>
      <c r="C1962" t="s">
        <v>1251</v>
      </c>
      <c r="D1962" t="s">
        <v>24</v>
      </c>
      <c r="E1962" t="s">
        <v>31</v>
      </c>
      <c r="F1962" t="s">
        <v>26</v>
      </c>
      <c r="G1962" t="s">
        <v>27</v>
      </c>
    </row>
    <row r="1963" spans="1:7" x14ac:dyDescent="0.2">
      <c r="A1963">
        <v>8</v>
      </c>
      <c r="B1963">
        <v>45</v>
      </c>
      <c r="C1963" t="s">
        <v>1252</v>
      </c>
      <c r="D1963" t="s">
        <v>24</v>
      </c>
      <c r="E1963" t="s">
        <v>31</v>
      </c>
      <c r="F1963" t="s">
        <v>26</v>
      </c>
      <c r="G1963" t="s">
        <v>27</v>
      </c>
    </row>
    <row r="1964" spans="1:7" x14ac:dyDescent="0.2">
      <c r="A1964">
        <v>8</v>
      </c>
      <c r="B1964">
        <v>45</v>
      </c>
      <c r="C1964" t="s">
        <v>1253</v>
      </c>
      <c r="D1964" t="s">
        <v>30</v>
      </c>
      <c r="E1964" t="s">
        <v>31</v>
      </c>
      <c r="F1964" t="s">
        <v>26</v>
      </c>
      <c r="G1964" t="s">
        <v>27</v>
      </c>
    </row>
    <row r="1965" spans="1:7" x14ac:dyDescent="0.2">
      <c r="A1965">
        <v>8</v>
      </c>
      <c r="B1965">
        <v>45</v>
      </c>
      <c r="C1965" t="s">
        <v>1254</v>
      </c>
      <c r="D1965" t="s">
        <v>24</v>
      </c>
      <c r="E1965" t="s">
        <v>31</v>
      </c>
      <c r="F1965" t="s">
        <v>26</v>
      </c>
      <c r="G1965" t="s">
        <v>27</v>
      </c>
    </row>
    <row r="1966" spans="1:7" x14ac:dyDescent="0.2">
      <c r="A1966">
        <v>8</v>
      </c>
      <c r="B1966">
        <v>45</v>
      </c>
      <c r="C1966" t="s">
        <v>1255</v>
      </c>
      <c r="D1966" t="s">
        <v>24</v>
      </c>
      <c r="E1966" t="s">
        <v>31</v>
      </c>
      <c r="F1966" t="s">
        <v>26</v>
      </c>
      <c r="G1966" t="s">
        <v>27</v>
      </c>
    </row>
    <row r="1967" spans="1:7" x14ac:dyDescent="0.2">
      <c r="A1967">
        <v>8</v>
      </c>
      <c r="B1967">
        <v>45</v>
      </c>
      <c r="C1967" t="s">
        <v>1256</v>
      </c>
      <c r="D1967" t="s">
        <v>24</v>
      </c>
      <c r="E1967" t="s">
        <v>31</v>
      </c>
      <c r="F1967" t="s">
        <v>26</v>
      </c>
      <c r="G1967" t="s">
        <v>27</v>
      </c>
    </row>
    <row r="1968" spans="1:7" x14ac:dyDescent="0.2">
      <c r="A1968">
        <v>8</v>
      </c>
      <c r="B1968">
        <v>45</v>
      </c>
      <c r="C1968" t="s">
        <v>1257</v>
      </c>
      <c r="D1968" t="s">
        <v>24</v>
      </c>
      <c r="E1968" t="s">
        <v>31</v>
      </c>
      <c r="F1968" t="s">
        <v>26</v>
      </c>
      <c r="G1968" t="s">
        <v>27</v>
      </c>
    </row>
    <row r="1969" spans="1:7" x14ac:dyDescent="0.2">
      <c r="A1969">
        <v>8</v>
      </c>
      <c r="B1969">
        <v>45</v>
      </c>
      <c r="C1969" t="s">
        <v>1258</v>
      </c>
      <c r="D1969" t="s">
        <v>24</v>
      </c>
      <c r="E1969" t="s">
        <v>31</v>
      </c>
      <c r="F1969" t="s">
        <v>26</v>
      </c>
      <c r="G1969" t="s">
        <v>27</v>
      </c>
    </row>
    <row r="1970" spans="1:7" x14ac:dyDescent="0.2">
      <c r="A1970">
        <v>8</v>
      </c>
      <c r="B1970">
        <v>45</v>
      </c>
      <c r="C1970" t="s">
        <v>1259</v>
      </c>
      <c r="D1970" t="s">
        <v>24</v>
      </c>
      <c r="E1970" t="s">
        <v>31</v>
      </c>
      <c r="F1970" t="s">
        <v>26</v>
      </c>
      <c r="G1970" t="s">
        <v>27</v>
      </c>
    </row>
    <row r="1971" spans="1:7" x14ac:dyDescent="0.2">
      <c r="A1971">
        <v>9</v>
      </c>
      <c r="B1971">
        <v>45</v>
      </c>
      <c r="C1971" t="s">
        <v>1248</v>
      </c>
      <c r="D1971" t="s">
        <v>24</v>
      </c>
      <c r="E1971" t="s">
        <v>31</v>
      </c>
      <c r="F1971" t="s">
        <v>26</v>
      </c>
      <c r="G1971" t="s">
        <v>27</v>
      </c>
    </row>
    <row r="1972" spans="1:7" x14ac:dyDescent="0.2">
      <c r="A1972">
        <v>9</v>
      </c>
      <c r="B1972">
        <v>45</v>
      </c>
      <c r="C1972" t="s">
        <v>1260</v>
      </c>
      <c r="D1972" t="s">
        <v>24</v>
      </c>
      <c r="E1972" t="s">
        <v>31</v>
      </c>
      <c r="F1972" t="s">
        <v>47</v>
      </c>
      <c r="G1972" t="s">
        <v>27</v>
      </c>
    </row>
    <row r="1973" spans="1:7" x14ac:dyDescent="0.2">
      <c r="A1973">
        <v>9</v>
      </c>
      <c r="B1973">
        <v>45</v>
      </c>
      <c r="C1973" t="s">
        <v>1249</v>
      </c>
      <c r="D1973" t="s">
        <v>24</v>
      </c>
      <c r="E1973" t="s">
        <v>31</v>
      </c>
      <c r="F1973" t="s">
        <v>26</v>
      </c>
      <c r="G1973" t="s">
        <v>27</v>
      </c>
    </row>
    <row r="1974" spans="1:7" x14ac:dyDescent="0.2">
      <c r="A1974">
        <v>9</v>
      </c>
      <c r="B1974">
        <v>45</v>
      </c>
      <c r="C1974" t="s">
        <v>1261</v>
      </c>
      <c r="D1974" t="s">
        <v>24</v>
      </c>
      <c r="E1974" t="s">
        <v>31</v>
      </c>
      <c r="F1974" t="s">
        <v>26</v>
      </c>
      <c r="G1974" t="s">
        <v>27</v>
      </c>
    </row>
    <row r="1975" spans="1:7" x14ac:dyDescent="0.2">
      <c r="A1975">
        <v>9</v>
      </c>
      <c r="B1975">
        <v>45</v>
      </c>
      <c r="C1975" t="s">
        <v>1250</v>
      </c>
      <c r="D1975" t="s">
        <v>24</v>
      </c>
      <c r="E1975" t="s">
        <v>31</v>
      </c>
      <c r="F1975" t="s">
        <v>26</v>
      </c>
      <c r="G1975" t="s">
        <v>27</v>
      </c>
    </row>
    <row r="1976" spans="1:7" x14ac:dyDescent="0.2">
      <c r="A1976">
        <v>9</v>
      </c>
      <c r="B1976">
        <v>45</v>
      </c>
      <c r="C1976" t="s">
        <v>1262</v>
      </c>
      <c r="D1976" t="s">
        <v>24</v>
      </c>
      <c r="E1976" t="s">
        <v>31</v>
      </c>
      <c r="F1976" t="s">
        <v>26</v>
      </c>
      <c r="G1976" t="s">
        <v>27</v>
      </c>
    </row>
    <row r="1977" spans="1:7" x14ac:dyDescent="0.2">
      <c r="A1977">
        <v>9</v>
      </c>
      <c r="B1977">
        <v>45</v>
      </c>
      <c r="C1977" t="s">
        <v>1263</v>
      </c>
      <c r="D1977" t="s">
        <v>24</v>
      </c>
      <c r="E1977" t="s">
        <v>31</v>
      </c>
      <c r="F1977" t="s">
        <v>26</v>
      </c>
      <c r="G1977" t="s">
        <v>27</v>
      </c>
    </row>
    <row r="1978" spans="1:7" x14ac:dyDescent="0.2">
      <c r="A1978">
        <v>9</v>
      </c>
      <c r="B1978">
        <v>45</v>
      </c>
      <c r="C1978" t="s">
        <v>1264</v>
      </c>
      <c r="D1978" t="s">
        <v>24</v>
      </c>
      <c r="E1978" t="s">
        <v>31</v>
      </c>
      <c r="F1978" t="s">
        <v>26</v>
      </c>
      <c r="G1978" t="s">
        <v>27</v>
      </c>
    </row>
    <row r="1979" spans="1:7" x14ac:dyDescent="0.2">
      <c r="A1979">
        <v>9</v>
      </c>
      <c r="B1979">
        <v>45</v>
      </c>
      <c r="C1979" t="s">
        <v>1265</v>
      </c>
      <c r="D1979" t="s">
        <v>24</v>
      </c>
      <c r="E1979" t="s">
        <v>31</v>
      </c>
      <c r="F1979" t="s">
        <v>26</v>
      </c>
      <c r="G1979" t="s">
        <v>27</v>
      </c>
    </row>
    <row r="1980" spans="1:7" x14ac:dyDescent="0.2">
      <c r="A1980">
        <v>9</v>
      </c>
      <c r="B1980">
        <v>45</v>
      </c>
      <c r="C1980" t="s">
        <v>1251</v>
      </c>
      <c r="D1980" t="s">
        <v>24</v>
      </c>
      <c r="E1980" t="s">
        <v>31</v>
      </c>
      <c r="F1980" t="s">
        <v>26</v>
      </c>
      <c r="G1980" t="s">
        <v>27</v>
      </c>
    </row>
    <row r="1981" spans="1:7" x14ac:dyDescent="0.2">
      <c r="A1981">
        <v>9</v>
      </c>
      <c r="B1981">
        <v>45</v>
      </c>
      <c r="C1981" t="s">
        <v>1252</v>
      </c>
      <c r="D1981" t="s">
        <v>24</v>
      </c>
      <c r="E1981" t="s">
        <v>31</v>
      </c>
      <c r="F1981" t="s">
        <v>26</v>
      </c>
      <c r="G1981" t="s">
        <v>27</v>
      </c>
    </row>
    <row r="1982" spans="1:7" x14ac:dyDescent="0.2">
      <c r="A1982">
        <v>9</v>
      </c>
      <c r="B1982">
        <v>45</v>
      </c>
      <c r="C1982" t="s">
        <v>1266</v>
      </c>
      <c r="D1982" t="s">
        <v>24</v>
      </c>
      <c r="E1982" t="s">
        <v>31</v>
      </c>
      <c r="F1982" t="s">
        <v>26</v>
      </c>
      <c r="G1982" t="s">
        <v>27</v>
      </c>
    </row>
    <row r="1983" spans="1:7" x14ac:dyDescent="0.2">
      <c r="A1983">
        <v>9</v>
      </c>
      <c r="B1983">
        <v>45</v>
      </c>
      <c r="C1983" t="s">
        <v>1267</v>
      </c>
      <c r="D1983" t="s">
        <v>24</v>
      </c>
      <c r="E1983" t="s">
        <v>31</v>
      </c>
      <c r="F1983" t="s">
        <v>26</v>
      </c>
      <c r="G1983" t="s">
        <v>27</v>
      </c>
    </row>
    <row r="1984" spans="1:7" x14ac:dyDescent="0.2">
      <c r="A1984">
        <v>9</v>
      </c>
      <c r="B1984">
        <v>45</v>
      </c>
      <c r="C1984" t="s">
        <v>1268</v>
      </c>
      <c r="D1984" t="s">
        <v>24</v>
      </c>
      <c r="E1984" t="s">
        <v>25</v>
      </c>
      <c r="F1984" t="s">
        <v>47</v>
      </c>
      <c r="G1984" t="s">
        <v>27</v>
      </c>
    </row>
    <row r="1985" spans="1:7" x14ac:dyDescent="0.2">
      <c r="A1985">
        <v>9</v>
      </c>
      <c r="B1985">
        <v>45</v>
      </c>
      <c r="C1985" t="s">
        <v>1269</v>
      </c>
      <c r="D1985" t="s">
        <v>24</v>
      </c>
      <c r="E1985" t="s">
        <v>25</v>
      </c>
      <c r="F1985" t="s">
        <v>26</v>
      </c>
      <c r="G1985" t="s">
        <v>27</v>
      </c>
    </row>
    <row r="1986" spans="1:7" x14ac:dyDescent="0.2">
      <c r="A1986">
        <v>9</v>
      </c>
      <c r="B1986">
        <v>45</v>
      </c>
      <c r="C1986" t="s">
        <v>1270</v>
      </c>
      <c r="D1986" t="s">
        <v>24</v>
      </c>
      <c r="E1986" t="s">
        <v>25</v>
      </c>
      <c r="F1986" t="s">
        <v>47</v>
      </c>
      <c r="G1986" t="s">
        <v>27</v>
      </c>
    </row>
    <row r="1987" spans="1:7" x14ac:dyDescent="0.2">
      <c r="A1987">
        <v>9</v>
      </c>
      <c r="B1987">
        <v>45</v>
      </c>
      <c r="C1987" t="s">
        <v>1271</v>
      </c>
      <c r="D1987" t="s">
        <v>24</v>
      </c>
      <c r="E1987" t="s">
        <v>25</v>
      </c>
      <c r="F1987" t="s">
        <v>47</v>
      </c>
      <c r="G1987" t="s">
        <v>27</v>
      </c>
    </row>
    <row r="1988" spans="1:7" x14ac:dyDescent="0.2">
      <c r="A1988">
        <v>9</v>
      </c>
      <c r="B1988">
        <v>45</v>
      </c>
      <c r="C1988" t="s">
        <v>1272</v>
      </c>
      <c r="D1988" t="s">
        <v>24</v>
      </c>
      <c r="E1988" t="s">
        <v>25</v>
      </c>
      <c r="F1988" t="s">
        <v>47</v>
      </c>
      <c r="G1988" t="s">
        <v>27</v>
      </c>
    </row>
    <row r="1989" spans="1:7" x14ac:dyDescent="0.2">
      <c r="A1989">
        <v>9</v>
      </c>
      <c r="B1989">
        <v>45</v>
      </c>
      <c r="C1989" t="s">
        <v>1273</v>
      </c>
      <c r="D1989" t="s">
        <v>24</v>
      </c>
      <c r="E1989" t="s">
        <v>25</v>
      </c>
      <c r="F1989" t="s">
        <v>26</v>
      </c>
      <c r="G1989" t="s">
        <v>27</v>
      </c>
    </row>
    <row r="1990" spans="1:7" x14ac:dyDescent="0.2">
      <c r="A1990">
        <v>9</v>
      </c>
      <c r="B1990">
        <v>45</v>
      </c>
      <c r="C1990" t="s">
        <v>1254</v>
      </c>
      <c r="D1990" t="s">
        <v>24</v>
      </c>
      <c r="E1990" t="s">
        <v>31</v>
      </c>
      <c r="F1990" t="s">
        <v>26</v>
      </c>
      <c r="G1990" t="s">
        <v>27</v>
      </c>
    </row>
    <row r="1991" spans="1:7" x14ac:dyDescent="0.2">
      <c r="A1991">
        <v>9</v>
      </c>
      <c r="B1991">
        <v>45</v>
      </c>
      <c r="C1991" t="s">
        <v>1274</v>
      </c>
      <c r="D1991" t="s">
        <v>24</v>
      </c>
      <c r="E1991" t="s">
        <v>31</v>
      </c>
      <c r="F1991" t="s">
        <v>26</v>
      </c>
      <c r="G1991" t="s">
        <v>27</v>
      </c>
    </row>
    <row r="1992" spans="1:7" x14ac:dyDescent="0.2">
      <c r="A1992">
        <v>9</v>
      </c>
      <c r="B1992">
        <v>45</v>
      </c>
      <c r="C1992" t="s">
        <v>1256</v>
      </c>
      <c r="D1992" t="s">
        <v>24</v>
      </c>
      <c r="E1992" t="s">
        <v>31</v>
      </c>
      <c r="F1992" t="s">
        <v>26</v>
      </c>
      <c r="G1992" t="s">
        <v>27</v>
      </c>
    </row>
    <row r="1993" spans="1:7" x14ac:dyDescent="0.2">
      <c r="A1993">
        <v>9</v>
      </c>
      <c r="B1993">
        <v>45</v>
      </c>
      <c r="C1993" t="s">
        <v>1275</v>
      </c>
      <c r="D1993" t="s">
        <v>24</v>
      </c>
      <c r="E1993" t="s">
        <v>31</v>
      </c>
      <c r="F1993" t="s">
        <v>26</v>
      </c>
      <c r="G1993" t="s">
        <v>27</v>
      </c>
    </row>
    <row r="1994" spans="1:7" x14ac:dyDescent="0.2">
      <c r="A1994">
        <v>9</v>
      </c>
      <c r="B1994">
        <v>45</v>
      </c>
      <c r="C1994" t="s">
        <v>1276</v>
      </c>
      <c r="D1994" t="s">
        <v>24</v>
      </c>
      <c r="E1994" t="s">
        <v>31</v>
      </c>
      <c r="F1994" t="s">
        <v>26</v>
      </c>
      <c r="G1994" t="s">
        <v>27</v>
      </c>
    </row>
    <row r="1995" spans="1:7" x14ac:dyDescent="0.2">
      <c r="A1995">
        <v>9</v>
      </c>
      <c r="B1995">
        <v>45</v>
      </c>
      <c r="C1995" t="s">
        <v>1277</v>
      </c>
      <c r="D1995" t="s">
        <v>24</v>
      </c>
      <c r="E1995" t="s">
        <v>31</v>
      </c>
      <c r="F1995" t="s">
        <v>26</v>
      </c>
      <c r="G1995" t="s">
        <v>27</v>
      </c>
    </row>
    <row r="1996" spans="1:7" x14ac:dyDescent="0.2">
      <c r="A1996">
        <v>9</v>
      </c>
      <c r="B1996">
        <v>45</v>
      </c>
      <c r="C1996" t="s">
        <v>1259</v>
      </c>
      <c r="D1996" t="s">
        <v>24</v>
      </c>
      <c r="E1996" t="s">
        <v>31</v>
      </c>
      <c r="F1996" t="s">
        <v>26</v>
      </c>
      <c r="G1996" t="s">
        <v>27</v>
      </c>
    </row>
    <row r="1997" spans="1:7" x14ac:dyDescent="0.2">
      <c r="A1997">
        <v>9</v>
      </c>
      <c r="B1997">
        <v>45</v>
      </c>
      <c r="C1997" t="s">
        <v>1278</v>
      </c>
      <c r="D1997" t="s">
        <v>24</v>
      </c>
      <c r="E1997" t="s">
        <v>31</v>
      </c>
      <c r="F1997" t="s">
        <v>26</v>
      </c>
      <c r="G1997" t="s">
        <v>27</v>
      </c>
    </row>
    <row r="1998" spans="1:7" x14ac:dyDescent="0.2">
      <c r="A1998">
        <v>9</v>
      </c>
      <c r="B1998">
        <v>45</v>
      </c>
      <c r="C1998" t="s">
        <v>1279</v>
      </c>
      <c r="D1998" t="s">
        <v>24</v>
      </c>
      <c r="E1998" t="s">
        <v>31</v>
      </c>
      <c r="F1998" t="s">
        <v>26</v>
      </c>
      <c r="G1998" t="s">
        <v>27</v>
      </c>
    </row>
    <row r="1999" spans="1:7" x14ac:dyDescent="0.2">
      <c r="A1999">
        <v>10</v>
      </c>
      <c r="B1999">
        <v>45</v>
      </c>
      <c r="C1999" t="s">
        <v>1233</v>
      </c>
      <c r="D1999" t="s">
        <v>24</v>
      </c>
      <c r="E1999" t="s">
        <v>25</v>
      </c>
      <c r="F1999" t="s">
        <v>26</v>
      </c>
      <c r="G1999" t="s">
        <v>27</v>
      </c>
    </row>
    <row r="2000" spans="1:7" x14ac:dyDescent="0.2">
      <c r="A2000">
        <v>10</v>
      </c>
      <c r="B2000">
        <v>45</v>
      </c>
      <c r="C2000" t="s">
        <v>1235</v>
      </c>
      <c r="D2000" t="s">
        <v>24</v>
      </c>
      <c r="E2000" t="s">
        <v>25</v>
      </c>
      <c r="F2000" t="s">
        <v>26</v>
      </c>
      <c r="G2000" t="s">
        <v>27</v>
      </c>
    </row>
    <row r="2001" spans="1:7" x14ac:dyDescent="0.2">
      <c r="A2001">
        <v>10</v>
      </c>
      <c r="B2001">
        <v>45</v>
      </c>
      <c r="C2001" t="s">
        <v>1280</v>
      </c>
      <c r="D2001" t="s">
        <v>24</v>
      </c>
      <c r="E2001" t="s">
        <v>25</v>
      </c>
      <c r="F2001" t="s">
        <v>26</v>
      </c>
      <c r="G2001" t="s">
        <v>27</v>
      </c>
    </row>
    <row r="2002" spans="1:7" x14ac:dyDescent="0.2">
      <c r="A2002">
        <v>10</v>
      </c>
      <c r="B2002">
        <v>45</v>
      </c>
      <c r="C2002" t="s">
        <v>1281</v>
      </c>
      <c r="D2002" t="s">
        <v>24</v>
      </c>
      <c r="E2002" t="s">
        <v>25</v>
      </c>
      <c r="F2002" t="s">
        <v>26</v>
      </c>
      <c r="G2002" t="s">
        <v>27</v>
      </c>
    </row>
    <row r="2003" spans="1:7" x14ac:dyDescent="0.2">
      <c r="A2003">
        <v>10</v>
      </c>
      <c r="B2003">
        <v>45</v>
      </c>
      <c r="C2003" t="s">
        <v>1281</v>
      </c>
      <c r="D2003" t="s">
        <v>24</v>
      </c>
      <c r="E2003" t="s">
        <v>25</v>
      </c>
      <c r="F2003" t="s">
        <v>26</v>
      </c>
      <c r="G2003" t="s">
        <v>27</v>
      </c>
    </row>
    <row r="2004" spans="1:7" x14ac:dyDescent="0.2">
      <c r="A2004">
        <v>10</v>
      </c>
      <c r="B2004">
        <v>45</v>
      </c>
      <c r="C2004" t="s">
        <v>1282</v>
      </c>
      <c r="D2004" t="s">
        <v>24</v>
      </c>
      <c r="E2004" t="s">
        <v>25</v>
      </c>
      <c r="F2004" t="s">
        <v>26</v>
      </c>
      <c r="G2004" t="s">
        <v>27</v>
      </c>
    </row>
    <row r="2005" spans="1:7" x14ac:dyDescent="0.2">
      <c r="A2005">
        <v>10</v>
      </c>
      <c r="B2005">
        <v>45</v>
      </c>
      <c r="C2005" t="s">
        <v>1283</v>
      </c>
      <c r="D2005" t="s">
        <v>24</v>
      </c>
      <c r="E2005" t="s">
        <v>25</v>
      </c>
      <c r="F2005" t="s">
        <v>26</v>
      </c>
      <c r="G2005" t="s">
        <v>27</v>
      </c>
    </row>
    <row r="2006" spans="1:7" x14ac:dyDescent="0.2">
      <c r="A2006">
        <v>10</v>
      </c>
      <c r="B2006">
        <v>45</v>
      </c>
      <c r="C2006" t="s">
        <v>1240</v>
      </c>
      <c r="D2006" t="s">
        <v>30</v>
      </c>
      <c r="E2006" t="s">
        <v>25</v>
      </c>
      <c r="F2006" t="s">
        <v>26</v>
      </c>
      <c r="G2006" t="s">
        <v>27</v>
      </c>
    </row>
    <row r="2007" spans="1:7" x14ac:dyDescent="0.2">
      <c r="A2007">
        <v>10</v>
      </c>
      <c r="B2007">
        <v>45</v>
      </c>
      <c r="C2007" t="s">
        <v>1242</v>
      </c>
      <c r="D2007" t="s">
        <v>24</v>
      </c>
      <c r="E2007" t="s">
        <v>25</v>
      </c>
      <c r="F2007" t="s">
        <v>26</v>
      </c>
      <c r="G2007" t="s">
        <v>27</v>
      </c>
    </row>
    <row r="2008" spans="1:7" x14ac:dyDescent="0.2">
      <c r="A2008">
        <v>10</v>
      </c>
      <c r="B2008">
        <v>45</v>
      </c>
      <c r="C2008" t="s">
        <v>1284</v>
      </c>
      <c r="D2008" t="s">
        <v>24</v>
      </c>
      <c r="E2008" t="s">
        <v>25</v>
      </c>
      <c r="F2008" t="s">
        <v>26</v>
      </c>
      <c r="G2008" t="s">
        <v>27</v>
      </c>
    </row>
    <row r="2009" spans="1:7" x14ac:dyDescent="0.2">
      <c r="A2009">
        <v>10</v>
      </c>
      <c r="B2009">
        <v>45</v>
      </c>
      <c r="C2009" t="s">
        <v>1285</v>
      </c>
      <c r="D2009" t="s">
        <v>24</v>
      </c>
      <c r="E2009" t="s">
        <v>25</v>
      </c>
      <c r="F2009" t="s">
        <v>26</v>
      </c>
      <c r="G2009" t="s">
        <v>27</v>
      </c>
    </row>
    <row r="2010" spans="1:7" x14ac:dyDescent="0.2">
      <c r="A2010">
        <v>10</v>
      </c>
      <c r="B2010">
        <v>45</v>
      </c>
      <c r="C2010" t="s">
        <v>1286</v>
      </c>
      <c r="D2010" t="s">
        <v>24</v>
      </c>
      <c r="E2010" t="s">
        <v>25</v>
      </c>
      <c r="F2010" t="s">
        <v>26</v>
      </c>
      <c r="G2010" t="s">
        <v>27</v>
      </c>
    </row>
    <row r="2011" spans="1:7" x14ac:dyDescent="0.2">
      <c r="A2011">
        <v>10</v>
      </c>
      <c r="B2011">
        <v>45</v>
      </c>
      <c r="C2011" t="s">
        <v>1287</v>
      </c>
      <c r="D2011" t="s">
        <v>24</v>
      </c>
      <c r="E2011" t="s">
        <v>25</v>
      </c>
      <c r="F2011" t="s">
        <v>26</v>
      </c>
      <c r="G2011" t="s">
        <v>27</v>
      </c>
    </row>
    <row r="2012" spans="1:7" x14ac:dyDescent="0.2">
      <c r="A2012">
        <v>10</v>
      </c>
      <c r="B2012">
        <v>45</v>
      </c>
      <c r="C2012" t="s">
        <v>1288</v>
      </c>
      <c r="D2012" t="s">
        <v>24</v>
      </c>
      <c r="E2012" t="s">
        <v>25</v>
      </c>
      <c r="F2012" t="s">
        <v>26</v>
      </c>
      <c r="G2012" t="s">
        <v>27</v>
      </c>
    </row>
    <row r="2013" spans="1:7" x14ac:dyDescent="0.2">
      <c r="A2013">
        <v>10</v>
      </c>
      <c r="B2013">
        <v>45</v>
      </c>
      <c r="C2013" t="s">
        <v>1289</v>
      </c>
      <c r="D2013" t="s">
        <v>24</v>
      </c>
      <c r="E2013" t="s">
        <v>25</v>
      </c>
      <c r="F2013" t="s">
        <v>26</v>
      </c>
      <c r="G2013" t="s">
        <v>27</v>
      </c>
    </row>
    <row r="2014" spans="1:7" x14ac:dyDescent="0.2">
      <c r="A2014">
        <v>10</v>
      </c>
      <c r="B2014">
        <v>45</v>
      </c>
      <c r="C2014" t="s">
        <v>1290</v>
      </c>
      <c r="D2014" t="s">
        <v>24</v>
      </c>
      <c r="E2014" t="s">
        <v>25</v>
      </c>
      <c r="F2014" t="s">
        <v>26</v>
      </c>
      <c r="G2014" t="s">
        <v>27</v>
      </c>
    </row>
    <row r="2015" spans="1:7" x14ac:dyDescent="0.2">
      <c r="A2015">
        <v>10</v>
      </c>
      <c r="B2015">
        <v>45</v>
      </c>
      <c r="C2015" t="s">
        <v>1290</v>
      </c>
      <c r="D2015" t="s">
        <v>24</v>
      </c>
      <c r="E2015" t="s">
        <v>25</v>
      </c>
      <c r="F2015" t="s">
        <v>26</v>
      </c>
      <c r="G2015" t="s">
        <v>27</v>
      </c>
    </row>
    <row r="2016" spans="1:7" x14ac:dyDescent="0.2">
      <c r="A2016">
        <v>10</v>
      </c>
      <c r="B2016">
        <v>45</v>
      </c>
      <c r="C2016" t="s">
        <v>1291</v>
      </c>
      <c r="D2016" t="s">
        <v>24</v>
      </c>
      <c r="E2016" t="s">
        <v>25</v>
      </c>
      <c r="F2016" t="s">
        <v>26</v>
      </c>
      <c r="G2016" t="s">
        <v>27</v>
      </c>
    </row>
    <row r="2017" spans="1:7" x14ac:dyDescent="0.2">
      <c r="A2017">
        <v>10</v>
      </c>
      <c r="B2017">
        <v>45</v>
      </c>
      <c r="C2017" t="s">
        <v>1292</v>
      </c>
      <c r="D2017" t="s">
        <v>24</v>
      </c>
      <c r="E2017" t="s">
        <v>25</v>
      </c>
      <c r="F2017" t="s">
        <v>26</v>
      </c>
      <c r="G2017" t="s">
        <v>27</v>
      </c>
    </row>
    <row r="2018" spans="1:7" x14ac:dyDescent="0.2">
      <c r="A2018">
        <v>10</v>
      </c>
      <c r="B2018">
        <v>45</v>
      </c>
      <c r="C2018" t="s">
        <v>1293</v>
      </c>
      <c r="D2018" t="s">
        <v>24</v>
      </c>
      <c r="E2018" t="s">
        <v>25</v>
      </c>
      <c r="F2018" t="s">
        <v>26</v>
      </c>
      <c r="G2018" t="s">
        <v>27</v>
      </c>
    </row>
    <row r="2019" spans="1:7" x14ac:dyDescent="0.2">
      <c r="A2019">
        <v>11</v>
      </c>
      <c r="B2019">
        <v>45</v>
      </c>
      <c r="C2019" t="s">
        <v>1248</v>
      </c>
      <c r="D2019" t="s">
        <v>24</v>
      </c>
      <c r="E2019" t="s">
        <v>31</v>
      </c>
      <c r="F2019" t="s">
        <v>26</v>
      </c>
      <c r="G2019" t="s">
        <v>27</v>
      </c>
    </row>
    <row r="2020" spans="1:7" x14ac:dyDescent="0.2">
      <c r="A2020">
        <v>11</v>
      </c>
      <c r="B2020">
        <v>45</v>
      </c>
      <c r="C2020" t="s">
        <v>1250</v>
      </c>
      <c r="D2020" t="s">
        <v>24</v>
      </c>
      <c r="E2020" t="s">
        <v>31</v>
      </c>
      <c r="F2020" t="s">
        <v>26</v>
      </c>
      <c r="G2020" t="s">
        <v>27</v>
      </c>
    </row>
    <row r="2021" spans="1:7" x14ac:dyDescent="0.2">
      <c r="A2021">
        <v>11</v>
      </c>
      <c r="B2021">
        <v>45</v>
      </c>
      <c r="C2021" t="s">
        <v>1294</v>
      </c>
      <c r="D2021" t="s">
        <v>24</v>
      </c>
      <c r="E2021" t="s">
        <v>31</v>
      </c>
      <c r="F2021" t="s">
        <v>26</v>
      </c>
      <c r="G2021" t="s">
        <v>27</v>
      </c>
    </row>
    <row r="2022" spans="1:7" x14ac:dyDescent="0.2">
      <c r="A2022">
        <v>11</v>
      </c>
      <c r="B2022">
        <v>45</v>
      </c>
      <c r="C2022" t="s">
        <v>1295</v>
      </c>
      <c r="D2022" t="s">
        <v>24</v>
      </c>
      <c r="E2022" t="s">
        <v>31</v>
      </c>
      <c r="F2022" t="s">
        <v>26</v>
      </c>
      <c r="G2022" t="s">
        <v>27</v>
      </c>
    </row>
    <row r="2023" spans="1:7" x14ac:dyDescent="0.2">
      <c r="A2023">
        <v>11</v>
      </c>
      <c r="B2023">
        <v>45</v>
      </c>
      <c r="C2023" t="s">
        <v>1296</v>
      </c>
      <c r="D2023" t="s">
        <v>24</v>
      </c>
      <c r="E2023" t="s">
        <v>31</v>
      </c>
      <c r="F2023" t="s">
        <v>26</v>
      </c>
      <c r="G2023" t="s">
        <v>27</v>
      </c>
    </row>
    <row r="2024" spans="1:7" x14ac:dyDescent="0.2">
      <c r="A2024">
        <v>11</v>
      </c>
      <c r="B2024">
        <v>45</v>
      </c>
      <c r="C2024" t="s">
        <v>1265</v>
      </c>
      <c r="D2024" t="s">
        <v>24</v>
      </c>
      <c r="E2024" t="s">
        <v>31</v>
      </c>
      <c r="F2024" t="s">
        <v>26</v>
      </c>
      <c r="G2024" t="s">
        <v>27</v>
      </c>
    </row>
    <row r="2025" spans="1:7" x14ac:dyDescent="0.2">
      <c r="A2025">
        <v>11</v>
      </c>
      <c r="B2025">
        <v>45</v>
      </c>
      <c r="C2025" t="s">
        <v>1297</v>
      </c>
      <c r="D2025" t="s">
        <v>24</v>
      </c>
      <c r="E2025" t="s">
        <v>31</v>
      </c>
      <c r="F2025" t="s">
        <v>26</v>
      </c>
      <c r="G2025" t="s">
        <v>27</v>
      </c>
    </row>
    <row r="2026" spans="1:7" x14ac:dyDescent="0.2">
      <c r="A2026">
        <v>11</v>
      </c>
      <c r="B2026">
        <v>45</v>
      </c>
      <c r="C2026" t="s">
        <v>1298</v>
      </c>
      <c r="D2026" t="s">
        <v>24</v>
      </c>
      <c r="E2026" t="s">
        <v>31</v>
      </c>
      <c r="F2026" t="s">
        <v>26</v>
      </c>
      <c r="G2026" t="s">
        <v>27</v>
      </c>
    </row>
    <row r="2027" spans="1:7" x14ac:dyDescent="0.2">
      <c r="A2027">
        <v>11</v>
      </c>
      <c r="B2027">
        <v>45</v>
      </c>
      <c r="C2027" t="s">
        <v>1299</v>
      </c>
      <c r="D2027" t="s">
        <v>24</v>
      </c>
      <c r="E2027" t="s">
        <v>31</v>
      </c>
      <c r="F2027" t="s">
        <v>26</v>
      </c>
      <c r="G2027" t="s">
        <v>27</v>
      </c>
    </row>
    <row r="2028" spans="1:7" x14ac:dyDescent="0.2">
      <c r="A2028">
        <v>11</v>
      </c>
      <c r="B2028">
        <v>45</v>
      </c>
      <c r="C2028" t="s">
        <v>1253</v>
      </c>
      <c r="D2028" t="s">
        <v>30</v>
      </c>
      <c r="E2028" t="s">
        <v>31</v>
      </c>
      <c r="F2028" t="s">
        <v>26</v>
      </c>
      <c r="G2028" t="s">
        <v>27</v>
      </c>
    </row>
    <row r="2029" spans="1:7" x14ac:dyDescent="0.2">
      <c r="A2029">
        <v>11</v>
      </c>
      <c r="B2029">
        <v>45</v>
      </c>
      <c r="C2029" t="s">
        <v>1300</v>
      </c>
      <c r="D2029" t="s">
        <v>24</v>
      </c>
      <c r="E2029" t="s">
        <v>31</v>
      </c>
      <c r="F2029" t="s">
        <v>26</v>
      </c>
      <c r="G2029" t="s">
        <v>27</v>
      </c>
    </row>
    <row r="2030" spans="1:7" x14ac:dyDescent="0.2">
      <c r="A2030">
        <v>11</v>
      </c>
      <c r="B2030">
        <v>45</v>
      </c>
      <c r="C2030" t="s">
        <v>1254</v>
      </c>
      <c r="D2030" t="s">
        <v>24</v>
      </c>
      <c r="E2030" t="s">
        <v>31</v>
      </c>
      <c r="F2030" t="s">
        <v>26</v>
      </c>
      <c r="G2030" t="s">
        <v>27</v>
      </c>
    </row>
    <row r="2031" spans="1:7" x14ac:dyDescent="0.2">
      <c r="A2031">
        <v>11</v>
      </c>
      <c r="B2031">
        <v>45</v>
      </c>
      <c r="C2031" t="s">
        <v>1301</v>
      </c>
      <c r="D2031" t="s">
        <v>24</v>
      </c>
      <c r="E2031" t="s">
        <v>31</v>
      </c>
      <c r="F2031" t="s">
        <v>26</v>
      </c>
      <c r="G2031" t="s">
        <v>27</v>
      </c>
    </row>
    <row r="2032" spans="1:7" x14ac:dyDescent="0.2">
      <c r="A2032">
        <v>11</v>
      </c>
      <c r="B2032">
        <v>45</v>
      </c>
      <c r="C2032" t="s">
        <v>1302</v>
      </c>
      <c r="D2032" t="s">
        <v>24</v>
      </c>
      <c r="E2032" t="s">
        <v>31</v>
      </c>
      <c r="F2032" t="s">
        <v>26</v>
      </c>
      <c r="G2032" t="s">
        <v>27</v>
      </c>
    </row>
    <row r="2033" spans="1:7" x14ac:dyDescent="0.2">
      <c r="A2033">
        <v>11</v>
      </c>
      <c r="B2033">
        <v>45</v>
      </c>
      <c r="C2033" t="s">
        <v>1303</v>
      </c>
      <c r="D2033" t="s">
        <v>24</v>
      </c>
      <c r="E2033" t="s">
        <v>31</v>
      </c>
      <c r="F2033" t="s">
        <v>26</v>
      </c>
      <c r="G2033" t="s">
        <v>27</v>
      </c>
    </row>
    <row r="2034" spans="1:7" x14ac:dyDescent="0.2">
      <c r="A2034">
        <v>11</v>
      </c>
      <c r="B2034">
        <v>45</v>
      </c>
      <c r="C2034" t="s">
        <v>1304</v>
      </c>
      <c r="D2034" t="s">
        <v>30</v>
      </c>
      <c r="E2034" t="s">
        <v>31</v>
      </c>
      <c r="F2034" t="s">
        <v>26</v>
      </c>
      <c r="G2034" t="s">
        <v>27</v>
      </c>
    </row>
    <row r="2035" spans="1:7" x14ac:dyDescent="0.2">
      <c r="A2035">
        <v>11</v>
      </c>
      <c r="B2035">
        <v>45</v>
      </c>
      <c r="C2035" t="s">
        <v>1278</v>
      </c>
      <c r="D2035" t="s">
        <v>24</v>
      </c>
      <c r="E2035" t="s">
        <v>31</v>
      </c>
      <c r="F2035" t="s">
        <v>26</v>
      </c>
      <c r="G2035" t="s">
        <v>27</v>
      </c>
    </row>
    <row r="2036" spans="1:7" x14ac:dyDescent="0.2">
      <c r="A2036">
        <v>11</v>
      </c>
      <c r="B2036">
        <v>45</v>
      </c>
      <c r="C2036" t="s">
        <v>1305</v>
      </c>
      <c r="D2036" t="s">
        <v>24</v>
      </c>
      <c r="E2036" t="s">
        <v>31</v>
      </c>
      <c r="F2036" t="s">
        <v>26</v>
      </c>
      <c r="G2036" t="s">
        <v>27</v>
      </c>
    </row>
    <row r="2037" spans="1:7" x14ac:dyDescent="0.2">
      <c r="A2037">
        <v>11</v>
      </c>
      <c r="B2037">
        <v>45</v>
      </c>
      <c r="C2037" t="s">
        <v>1306</v>
      </c>
      <c r="D2037" t="s">
        <v>24</v>
      </c>
      <c r="E2037" t="s">
        <v>31</v>
      </c>
      <c r="F2037" t="s">
        <v>26</v>
      </c>
      <c r="G2037" t="s">
        <v>27</v>
      </c>
    </row>
    <row r="2038" spans="1:7" x14ac:dyDescent="0.2">
      <c r="A2038">
        <v>12</v>
      </c>
      <c r="B2038">
        <v>45</v>
      </c>
      <c r="C2038" t="s">
        <v>1307</v>
      </c>
      <c r="D2038" t="s">
        <v>24</v>
      </c>
      <c r="E2038" t="s">
        <v>31</v>
      </c>
      <c r="F2038" t="s">
        <v>47</v>
      </c>
      <c r="G2038" t="s">
        <v>27</v>
      </c>
    </row>
    <row r="2039" spans="1:7" x14ac:dyDescent="0.2">
      <c r="A2039">
        <v>12</v>
      </c>
      <c r="B2039">
        <v>45</v>
      </c>
      <c r="C2039" t="s">
        <v>1248</v>
      </c>
      <c r="D2039" t="s">
        <v>24</v>
      </c>
      <c r="E2039" t="s">
        <v>31</v>
      </c>
      <c r="F2039" t="s">
        <v>47</v>
      </c>
      <c r="G2039" t="s">
        <v>27</v>
      </c>
    </row>
    <row r="2040" spans="1:7" x14ac:dyDescent="0.2">
      <c r="A2040">
        <v>12</v>
      </c>
      <c r="B2040">
        <v>45</v>
      </c>
      <c r="C2040" t="s">
        <v>1308</v>
      </c>
      <c r="D2040" t="s">
        <v>24</v>
      </c>
      <c r="E2040" t="s">
        <v>31</v>
      </c>
      <c r="F2040" t="s">
        <v>47</v>
      </c>
      <c r="G2040" t="s">
        <v>27</v>
      </c>
    </row>
    <row r="2041" spans="1:7" x14ac:dyDescent="0.2">
      <c r="A2041">
        <v>12</v>
      </c>
      <c r="B2041">
        <v>45</v>
      </c>
      <c r="C2041" t="s">
        <v>1309</v>
      </c>
      <c r="D2041" t="s">
        <v>24</v>
      </c>
      <c r="E2041" t="s">
        <v>31</v>
      </c>
      <c r="F2041" t="s">
        <v>47</v>
      </c>
      <c r="G2041" t="s">
        <v>27</v>
      </c>
    </row>
    <row r="2042" spans="1:7" x14ac:dyDescent="0.2">
      <c r="A2042">
        <v>12</v>
      </c>
      <c r="B2042">
        <v>45</v>
      </c>
      <c r="C2042" t="s">
        <v>1310</v>
      </c>
      <c r="D2042" t="s">
        <v>24</v>
      </c>
      <c r="E2042" t="s">
        <v>31</v>
      </c>
      <c r="F2042" t="s">
        <v>47</v>
      </c>
      <c r="G2042" t="s">
        <v>27</v>
      </c>
    </row>
    <row r="2043" spans="1:7" x14ac:dyDescent="0.2">
      <c r="A2043">
        <v>12</v>
      </c>
      <c r="B2043">
        <v>45</v>
      </c>
      <c r="C2043" t="s">
        <v>1311</v>
      </c>
      <c r="D2043" t="s">
        <v>24</v>
      </c>
      <c r="E2043" t="s">
        <v>31</v>
      </c>
      <c r="F2043" t="s">
        <v>47</v>
      </c>
      <c r="G2043" t="s">
        <v>27</v>
      </c>
    </row>
    <row r="2044" spans="1:7" x14ac:dyDescent="0.2">
      <c r="A2044">
        <v>12</v>
      </c>
      <c r="B2044">
        <v>45</v>
      </c>
      <c r="C2044" t="s">
        <v>1312</v>
      </c>
      <c r="D2044" t="s">
        <v>24</v>
      </c>
      <c r="E2044" t="s">
        <v>31</v>
      </c>
      <c r="F2044" t="s">
        <v>47</v>
      </c>
      <c r="G2044" t="s">
        <v>27</v>
      </c>
    </row>
    <row r="2045" spans="1:7" x14ac:dyDescent="0.2">
      <c r="A2045">
        <v>12</v>
      </c>
      <c r="B2045">
        <v>45</v>
      </c>
      <c r="C2045" t="s">
        <v>1313</v>
      </c>
      <c r="D2045" t="s">
        <v>24</v>
      </c>
      <c r="E2045" t="s">
        <v>31</v>
      </c>
      <c r="F2045" t="s">
        <v>47</v>
      </c>
      <c r="G2045" t="s">
        <v>27</v>
      </c>
    </row>
    <row r="2046" spans="1:7" x14ac:dyDescent="0.2">
      <c r="A2046">
        <v>12</v>
      </c>
      <c r="B2046">
        <v>45</v>
      </c>
      <c r="C2046" t="s">
        <v>1314</v>
      </c>
      <c r="D2046" t="s">
        <v>24</v>
      </c>
      <c r="E2046" t="s">
        <v>31</v>
      </c>
      <c r="F2046" t="s">
        <v>47</v>
      </c>
      <c r="G2046" t="s">
        <v>27</v>
      </c>
    </row>
    <row r="2047" spans="1:7" x14ac:dyDescent="0.2">
      <c r="A2047">
        <v>12</v>
      </c>
      <c r="B2047">
        <v>45</v>
      </c>
      <c r="C2047" t="s">
        <v>1315</v>
      </c>
      <c r="D2047" t="s">
        <v>24</v>
      </c>
      <c r="E2047" t="s">
        <v>31</v>
      </c>
      <c r="F2047" t="s">
        <v>47</v>
      </c>
      <c r="G2047" t="s">
        <v>27</v>
      </c>
    </row>
    <row r="2048" spans="1:7" x14ac:dyDescent="0.2">
      <c r="A2048">
        <v>12</v>
      </c>
      <c r="B2048">
        <v>45</v>
      </c>
      <c r="C2048" t="s">
        <v>1316</v>
      </c>
      <c r="D2048" t="s">
        <v>24</v>
      </c>
      <c r="E2048" t="s">
        <v>31</v>
      </c>
      <c r="F2048" t="s">
        <v>47</v>
      </c>
      <c r="G2048" t="s">
        <v>27</v>
      </c>
    </row>
    <row r="2049" spans="1:7" x14ac:dyDescent="0.2">
      <c r="A2049">
        <v>12</v>
      </c>
      <c r="B2049">
        <v>45</v>
      </c>
      <c r="C2049" t="s">
        <v>1317</v>
      </c>
      <c r="D2049" t="s">
        <v>24</v>
      </c>
      <c r="E2049" t="s">
        <v>31</v>
      </c>
      <c r="F2049" t="s">
        <v>47</v>
      </c>
      <c r="G2049" t="s">
        <v>27</v>
      </c>
    </row>
    <row r="2050" spans="1:7" x14ac:dyDescent="0.2">
      <c r="A2050">
        <v>12</v>
      </c>
      <c r="B2050">
        <v>45</v>
      </c>
      <c r="C2050" t="s">
        <v>1318</v>
      </c>
      <c r="D2050" t="s">
        <v>24</v>
      </c>
      <c r="E2050" t="s">
        <v>31</v>
      </c>
      <c r="F2050" t="s">
        <v>47</v>
      </c>
      <c r="G2050" t="s">
        <v>27</v>
      </c>
    </row>
    <row r="2051" spans="1:7" x14ac:dyDescent="0.2">
      <c r="A2051">
        <v>12</v>
      </c>
      <c r="B2051">
        <v>45</v>
      </c>
      <c r="C2051" t="s">
        <v>1278</v>
      </c>
      <c r="D2051" t="s">
        <v>24</v>
      </c>
      <c r="E2051" t="s">
        <v>31</v>
      </c>
      <c r="F2051" t="s">
        <v>47</v>
      </c>
      <c r="G2051" t="s">
        <v>27</v>
      </c>
    </row>
    <row r="2052" spans="1:7" x14ac:dyDescent="0.2">
      <c r="A2052">
        <v>12</v>
      </c>
      <c r="B2052">
        <v>45</v>
      </c>
      <c r="C2052" t="s">
        <v>1319</v>
      </c>
      <c r="D2052" t="s">
        <v>24</v>
      </c>
      <c r="E2052" t="s">
        <v>31</v>
      </c>
      <c r="F2052" t="s">
        <v>47</v>
      </c>
      <c r="G2052" t="s">
        <v>27</v>
      </c>
    </row>
    <row r="2053" spans="1:7" x14ac:dyDescent="0.2">
      <c r="A2053">
        <v>12</v>
      </c>
      <c r="B2053">
        <v>45</v>
      </c>
      <c r="C2053" t="s">
        <v>1320</v>
      </c>
      <c r="D2053" t="s">
        <v>24</v>
      </c>
      <c r="E2053" t="s">
        <v>31</v>
      </c>
      <c r="F2053" t="s">
        <v>47</v>
      </c>
      <c r="G2053" t="s">
        <v>27</v>
      </c>
    </row>
    <row r="2054" spans="1:7" x14ac:dyDescent="0.2">
      <c r="A2054">
        <v>12</v>
      </c>
      <c r="B2054">
        <v>45</v>
      </c>
      <c r="C2054" t="s">
        <v>1265</v>
      </c>
      <c r="D2054" t="s">
        <v>24</v>
      </c>
      <c r="E2054" t="s">
        <v>31</v>
      </c>
      <c r="F2054" t="s">
        <v>47</v>
      </c>
      <c r="G2054" t="s">
        <v>27</v>
      </c>
    </row>
    <row r="2055" spans="1:7" x14ac:dyDescent="0.2">
      <c r="A2055">
        <v>13</v>
      </c>
      <c r="B2055">
        <v>45</v>
      </c>
      <c r="C2055" t="s">
        <v>1321</v>
      </c>
      <c r="D2055" t="s">
        <v>24</v>
      </c>
      <c r="E2055" t="s">
        <v>25</v>
      </c>
      <c r="F2055" t="s">
        <v>26</v>
      </c>
      <c r="G2055" t="s">
        <v>27</v>
      </c>
    </row>
    <row r="2056" spans="1:7" x14ac:dyDescent="0.2">
      <c r="A2056">
        <v>13</v>
      </c>
      <c r="B2056">
        <v>45</v>
      </c>
      <c r="C2056" t="s">
        <v>1322</v>
      </c>
      <c r="D2056" t="s">
        <v>24</v>
      </c>
      <c r="E2056" t="s">
        <v>25</v>
      </c>
      <c r="F2056" t="s">
        <v>26</v>
      </c>
      <c r="G2056" t="s">
        <v>27</v>
      </c>
    </row>
    <row r="2057" spans="1:7" x14ac:dyDescent="0.2">
      <c r="A2057">
        <v>13</v>
      </c>
      <c r="B2057">
        <v>45</v>
      </c>
      <c r="C2057" t="s">
        <v>1310</v>
      </c>
      <c r="D2057" t="s">
        <v>24</v>
      </c>
      <c r="E2057" t="s">
        <v>25</v>
      </c>
      <c r="F2057" t="s">
        <v>26</v>
      </c>
      <c r="G2057" t="s">
        <v>27</v>
      </c>
    </row>
    <row r="2058" spans="1:7" x14ac:dyDescent="0.2">
      <c r="A2058">
        <v>13</v>
      </c>
      <c r="B2058">
        <v>45</v>
      </c>
      <c r="C2058" t="s">
        <v>1313</v>
      </c>
      <c r="D2058" t="s">
        <v>24</v>
      </c>
      <c r="E2058" t="s">
        <v>25</v>
      </c>
      <c r="F2058" t="s">
        <v>47</v>
      </c>
      <c r="G2058" t="s">
        <v>27</v>
      </c>
    </row>
    <row r="2059" spans="1:7" x14ac:dyDescent="0.2">
      <c r="A2059">
        <v>13</v>
      </c>
      <c r="B2059">
        <v>45</v>
      </c>
      <c r="C2059" t="s">
        <v>1314</v>
      </c>
      <c r="D2059" t="s">
        <v>24</v>
      </c>
      <c r="E2059" t="s">
        <v>25</v>
      </c>
      <c r="F2059" t="s">
        <v>26</v>
      </c>
      <c r="G2059" t="s">
        <v>27</v>
      </c>
    </row>
    <row r="2060" spans="1:7" x14ac:dyDescent="0.2">
      <c r="A2060">
        <v>13</v>
      </c>
      <c r="B2060">
        <v>45</v>
      </c>
      <c r="C2060" t="s">
        <v>1323</v>
      </c>
      <c r="D2060" t="s">
        <v>24</v>
      </c>
      <c r="E2060" t="s">
        <v>25</v>
      </c>
      <c r="F2060" t="s">
        <v>26</v>
      </c>
      <c r="G2060" t="s">
        <v>27</v>
      </c>
    </row>
    <row r="2061" spans="1:7" x14ac:dyDescent="0.2">
      <c r="A2061">
        <v>13</v>
      </c>
      <c r="B2061">
        <v>45</v>
      </c>
      <c r="C2061" t="s">
        <v>1324</v>
      </c>
      <c r="D2061" t="s">
        <v>24</v>
      </c>
      <c r="E2061" t="s">
        <v>25</v>
      </c>
      <c r="F2061" t="s">
        <v>26</v>
      </c>
      <c r="G2061" t="s">
        <v>27</v>
      </c>
    </row>
    <row r="2062" spans="1:7" x14ac:dyDescent="0.2">
      <c r="A2062">
        <v>13</v>
      </c>
      <c r="B2062">
        <v>45</v>
      </c>
      <c r="C2062" t="s">
        <v>1253</v>
      </c>
      <c r="D2062" t="s">
        <v>30</v>
      </c>
      <c r="E2062" t="s">
        <v>25</v>
      </c>
      <c r="F2062" t="s">
        <v>26</v>
      </c>
      <c r="G2062" t="s">
        <v>27</v>
      </c>
    </row>
    <row r="2063" spans="1:7" x14ac:dyDescent="0.2">
      <c r="A2063">
        <v>13</v>
      </c>
      <c r="B2063">
        <v>45</v>
      </c>
      <c r="C2063" t="s">
        <v>1325</v>
      </c>
      <c r="D2063" t="s">
        <v>24</v>
      </c>
      <c r="E2063" t="s">
        <v>25</v>
      </c>
      <c r="F2063" t="s">
        <v>26</v>
      </c>
      <c r="G2063" t="s">
        <v>27</v>
      </c>
    </row>
    <row r="2064" spans="1:7" x14ac:dyDescent="0.2">
      <c r="A2064">
        <v>13</v>
      </c>
      <c r="B2064">
        <v>45</v>
      </c>
      <c r="C2064" t="s">
        <v>1254</v>
      </c>
      <c r="D2064" t="s">
        <v>24</v>
      </c>
      <c r="E2064" t="s">
        <v>25</v>
      </c>
      <c r="F2064" t="s">
        <v>26</v>
      </c>
      <c r="G2064" t="s">
        <v>27</v>
      </c>
    </row>
    <row r="2065" spans="1:7" x14ac:dyDescent="0.2">
      <c r="A2065">
        <v>13</v>
      </c>
      <c r="B2065">
        <v>45</v>
      </c>
      <c r="C2065" t="s">
        <v>1326</v>
      </c>
      <c r="D2065" t="s">
        <v>24</v>
      </c>
      <c r="E2065" t="s">
        <v>25</v>
      </c>
      <c r="F2065" t="s">
        <v>26</v>
      </c>
      <c r="G2065" t="s">
        <v>27</v>
      </c>
    </row>
    <row r="2066" spans="1:7" x14ac:dyDescent="0.2">
      <c r="A2066">
        <v>13</v>
      </c>
      <c r="B2066">
        <v>45</v>
      </c>
      <c r="C2066" t="s">
        <v>1327</v>
      </c>
      <c r="D2066" t="s">
        <v>24</v>
      </c>
      <c r="E2066" t="s">
        <v>25</v>
      </c>
      <c r="F2066" t="s">
        <v>26</v>
      </c>
      <c r="G2066" t="s">
        <v>27</v>
      </c>
    </row>
    <row r="2067" spans="1:7" x14ac:dyDescent="0.2">
      <c r="A2067">
        <v>13</v>
      </c>
      <c r="B2067">
        <v>45</v>
      </c>
      <c r="C2067" t="s">
        <v>1328</v>
      </c>
      <c r="D2067" t="s">
        <v>24</v>
      </c>
      <c r="E2067" t="s">
        <v>25</v>
      </c>
      <c r="F2067" t="s">
        <v>26</v>
      </c>
      <c r="G2067" t="s">
        <v>27</v>
      </c>
    </row>
    <row r="2068" spans="1:7" x14ac:dyDescent="0.2">
      <c r="A2068">
        <v>13</v>
      </c>
      <c r="B2068">
        <v>45</v>
      </c>
      <c r="C2068" t="s">
        <v>1329</v>
      </c>
      <c r="D2068" t="s">
        <v>24</v>
      </c>
      <c r="E2068" t="s">
        <v>25</v>
      </c>
      <c r="F2068" t="s">
        <v>26</v>
      </c>
      <c r="G2068" t="s">
        <v>27</v>
      </c>
    </row>
    <row r="2069" spans="1:7" x14ac:dyDescent="0.2">
      <c r="A2069">
        <v>14</v>
      </c>
      <c r="B2069">
        <v>45</v>
      </c>
      <c r="C2069" t="s">
        <v>2052</v>
      </c>
      <c r="D2069" t="s">
        <v>24</v>
      </c>
      <c r="E2069" t="s">
        <v>31</v>
      </c>
      <c r="F2069" t="s">
        <v>47</v>
      </c>
      <c r="G2069" t="s">
        <v>27</v>
      </c>
    </row>
    <row r="2070" spans="1:7" x14ac:dyDescent="0.2">
      <c r="A2070">
        <v>14</v>
      </c>
      <c r="B2070">
        <v>45</v>
      </c>
      <c r="C2070" t="s">
        <v>1330</v>
      </c>
      <c r="D2070" t="s">
        <v>24</v>
      </c>
      <c r="E2070" t="s">
        <v>31</v>
      </c>
      <c r="F2070" t="s">
        <v>47</v>
      </c>
      <c r="G2070" t="s">
        <v>27</v>
      </c>
    </row>
    <row r="2071" spans="1:7" x14ac:dyDescent="0.2">
      <c r="A2071">
        <v>14</v>
      </c>
      <c r="B2071">
        <v>45</v>
      </c>
      <c r="C2071" t="s">
        <v>1331</v>
      </c>
      <c r="D2071" t="s">
        <v>24</v>
      </c>
      <c r="E2071" t="s">
        <v>31</v>
      </c>
      <c r="F2071" t="s">
        <v>47</v>
      </c>
      <c r="G2071" t="s">
        <v>27</v>
      </c>
    </row>
    <row r="2072" spans="1:7" x14ac:dyDescent="0.2">
      <c r="A2072">
        <v>14</v>
      </c>
      <c r="B2072">
        <v>45</v>
      </c>
      <c r="C2072" t="s">
        <v>1248</v>
      </c>
      <c r="D2072" t="s">
        <v>24</v>
      </c>
      <c r="E2072" t="s">
        <v>31</v>
      </c>
      <c r="F2072" t="s">
        <v>47</v>
      </c>
      <c r="G2072" t="s">
        <v>27</v>
      </c>
    </row>
    <row r="2073" spans="1:7" x14ac:dyDescent="0.2">
      <c r="A2073">
        <v>14</v>
      </c>
      <c r="B2073">
        <v>45</v>
      </c>
      <c r="C2073" t="s">
        <v>1332</v>
      </c>
      <c r="D2073" t="s">
        <v>24</v>
      </c>
      <c r="E2073" t="s">
        <v>31</v>
      </c>
      <c r="F2073" t="s">
        <v>47</v>
      </c>
      <c r="G2073" t="s">
        <v>27</v>
      </c>
    </row>
    <row r="2074" spans="1:7" x14ac:dyDescent="0.2">
      <c r="A2074">
        <v>14</v>
      </c>
      <c r="B2074">
        <v>45</v>
      </c>
      <c r="C2074" t="s">
        <v>1333</v>
      </c>
      <c r="D2074" t="s">
        <v>24</v>
      </c>
      <c r="E2074" t="s">
        <v>31</v>
      </c>
      <c r="F2074" t="s">
        <v>47</v>
      </c>
      <c r="G2074" t="s">
        <v>27</v>
      </c>
    </row>
    <row r="2075" spans="1:7" x14ac:dyDescent="0.2">
      <c r="A2075">
        <v>14</v>
      </c>
      <c r="B2075">
        <v>45</v>
      </c>
      <c r="C2075" t="s">
        <v>1310</v>
      </c>
      <c r="D2075" t="s">
        <v>24</v>
      </c>
      <c r="E2075" t="s">
        <v>31</v>
      </c>
      <c r="F2075" t="s">
        <v>47</v>
      </c>
      <c r="G2075" t="s">
        <v>27</v>
      </c>
    </row>
    <row r="2076" spans="1:7" x14ac:dyDescent="0.2">
      <c r="A2076">
        <v>14</v>
      </c>
      <c r="B2076">
        <v>45</v>
      </c>
      <c r="C2076" t="s">
        <v>1334</v>
      </c>
      <c r="D2076" t="s">
        <v>24</v>
      </c>
      <c r="E2076" t="s">
        <v>31</v>
      </c>
      <c r="F2076" t="s">
        <v>47</v>
      </c>
      <c r="G2076" t="s">
        <v>27</v>
      </c>
    </row>
    <row r="2077" spans="1:7" x14ac:dyDescent="0.2">
      <c r="A2077">
        <v>14</v>
      </c>
      <c r="B2077">
        <v>45</v>
      </c>
      <c r="C2077" t="s">
        <v>1265</v>
      </c>
      <c r="D2077" t="s">
        <v>30</v>
      </c>
      <c r="E2077" t="s">
        <v>31</v>
      </c>
      <c r="F2077" t="s">
        <v>47</v>
      </c>
      <c r="G2077" t="s">
        <v>27</v>
      </c>
    </row>
    <row r="2078" spans="1:7" x14ac:dyDescent="0.2">
      <c r="A2078">
        <v>14</v>
      </c>
      <c r="B2078">
        <v>45</v>
      </c>
      <c r="C2078" t="s">
        <v>1335</v>
      </c>
      <c r="D2078" t="s">
        <v>24</v>
      </c>
      <c r="E2078" t="s">
        <v>31</v>
      </c>
      <c r="F2078" t="s">
        <v>47</v>
      </c>
      <c r="G2078" t="s">
        <v>27</v>
      </c>
    </row>
    <row r="2079" spans="1:7" x14ac:dyDescent="0.2">
      <c r="A2079">
        <v>14</v>
      </c>
      <c r="B2079">
        <v>45</v>
      </c>
      <c r="C2079" t="s">
        <v>1336</v>
      </c>
      <c r="D2079" t="s">
        <v>24</v>
      </c>
      <c r="E2079" t="s">
        <v>31</v>
      </c>
      <c r="F2079" t="s">
        <v>47</v>
      </c>
      <c r="G2079" t="s">
        <v>27</v>
      </c>
    </row>
    <row r="2080" spans="1:7" x14ac:dyDescent="0.2">
      <c r="A2080">
        <v>14</v>
      </c>
      <c r="B2080">
        <v>45</v>
      </c>
      <c r="C2080" t="s">
        <v>1337</v>
      </c>
      <c r="D2080" t="s">
        <v>24</v>
      </c>
      <c r="E2080" t="s">
        <v>31</v>
      </c>
      <c r="F2080" t="s">
        <v>47</v>
      </c>
      <c r="G2080" t="s">
        <v>27</v>
      </c>
    </row>
    <row r="2081" spans="1:7" x14ac:dyDescent="0.2">
      <c r="A2081">
        <v>15</v>
      </c>
      <c r="B2081">
        <v>45</v>
      </c>
      <c r="C2081" t="s">
        <v>1330</v>
      </c>
      <c r="D2081" t="s">
        <v>24</v>
      </c>
      <c r="E2081" t="s">
        <v>31</v>
      </c>
      <c r="F2081" t="s">
        <v>47</v>
      </c>
      <c r="G2081" t="s">
        <v>27</v>
      </c>
    </row>
    <row r="2082" spans="1:7" x14ac:dyDescent="0.2">
      <c r="A2082">
        <v>15</v>
      </c>
      <c r="B2082">
        <v>45</v>
      </c>
      <c r="C2082" t="s">
        <v>1310</v>
      </c>
      <c r="D2082" t="s">
        <v>24</v>
      </c>
      <c r="E2082" t="s">
        <v>31</v>
      </c>
      <c r="F2082" t="s">
        <v>47</v>
      </c>
      <c r="G2082" t="s">
        <v>27</v>
      </c>
    </row>
    <row r="2083" spans="1:7" x14ac:dyDescent="0.2">
      <c r="A2083">
        <v>15</v>
      </c>
      <c r="B2083">
        <v>45</v>
      </c>
      <c r="C2083" t="s">
        <v>1336</v>
      </c>
      <c r="D2083" t="s">
        <v>24</v>
      </c>
      <c r="E2083" t="s">
        <v>31</v>
      </c>
      <c r="F2083" t="s">
        <v>47</v>
      </c>
      <c r="G2083" t="s">
        <v>27</v>
      </c>
    </row>
    <row r="2084" spans="1:7" x14ac:dyDescent="0.2">
      <c r="A2084">
        <v>15</v>
      </c>
      <c r="B2084">
        <v>45</v>
      </c>
      <c r="C2084" t="s">
        <v>1331</v>
      </c>
      <c r="D2084" t="s">
        <v>24</v>
      </c>
      <c r="E2084" t="s">
        <v>31</v>
      </c>
      <c r="F2084" t="s">
        <v>47</v>
      </c>
      <c r="G2084" t="s">
        <v>27</v>
      </c>
    </row>
    <row r="2085" spans="1:7" x14ac:dyDescent="0.2">
      <c r="A2085">
        <v>15</v>
      </c>
      <c r="B2085">
        <v>45</v>
      </c>
      <c r="C2085" t="s">
        <v>1337</v>
      </c>
      <c r="D2085" t="s">
        <v>24</v>
      </c>
      <c r="E2085" t="s">
        <v>31</v>
      </c>
      <c r="F2085" t="s">
        <v>47</v>
      </c>
      <c r="G2085" t="s">
        <v>27</v>
      </c>
    </row>
    <row r="2086" spans="1:7" x14ac:dyDescent="0.2">
      <c r="A2086">
        <v>15</v>
      </c>
      <c r="B2086">
        <v>45</v>
      </c>
      <c r="C2086" t="s">
        <v>1338</v>
      </c>
      <c r="D2086" t="s">
        <v>24</v>
      </c>
      <c r="E2086" t="s">
        <v>31</v>
      </c>
      <c r="F2086" t="s">
        <v>47</v>
      </c>
      <c r="G2086" t="s">
        <v>27</v>
      </c>
    </row>
    <row r="2087" spans="1:7" x14ac:dyDescent="0.2">
      <c r="A2087">
        <v>15</v>
      </c>
      <c r="B2087">
        <v>45</v>
      </c>
      <c r="C2087" t="s">
        <v>1335</v>
      </c>
      <c r="D2087" t="s">
        <v>24</v>
      </c>
      <c r="E2087" t="s">
        <v>31</v>
      </c>
      <c r="F2087" t="s">
        <v>47</v>
      </c>
      <c r="G2087" t="s">
        <v>27</v>
      </c>
    </row>
    <row r="2088" spans="1:7" x14ac:dyDescent="0.2">
      <c r="A2088">
        <v>15</v>
      </c>
      <c r="B2088">
        <v>45</v>
      </c>
      <c r="C2088" t="s">
        <v>1259</v>
      </c>
      <c r="D2088" t="s">
        <v>24</v>
      </c>
      <c r="E2088" t="s">
        <v>31</v>
      </c>
      <c r="F2088" t="s">
        <v>47</v>
      </c>
      <c r="G2088" t="s">
        <v>27</v>
      </c>
    </row>
    <row r="2089" spans="1:7" x14ac:dyDescent="0.2">
      <c r="A2089">
        <v>15</v>
      </c>
      <c r="B2089">
        <v>45</v>
      </c>
      <c r="C2089" t="s">
        <v>1339</v>
      </c>
      <c r="D2089" t="s">
        <v>24</v>
      </c>
      <c r="E2089" t="s">
        <v>31</v>
      </c>
      <c r="F2089" t="s">
        <v>47</v>
      </c>
      <c r="G2089" t="s">
        <v>27</v>
      </c>
    </row>
    <row r="2090" spans="1:7" x14ac:dyDescent="0.2">
      <c r="A2090">
        <v>15</v>
      </c>
      <c r="B2090">
        <v>45</v>
      </c>
      <c r="C2090" t="s">
        <v>1340</v>
      </c>
      <c r="D2090" t="s">
        <v>24</v>
      </c>
      <c r="E2090" t="s">
        <v>31</v>
      </c>
      <c r="F2090" t="s">
        <v>47</v>
      </c>
      <c r="G2090" t="s">
        <v>27</v>
      </c>
    </row>
    <row r="2091" spans="1:7" x14ac:dyDescent="0.2">
      <c r="A2091">
        <v>15</v>
      </c>
      <c r="B2091">
        <v>45</v>
      </c>
      <c r="C2091" t="s">
        <v>1278</v>
      </c>
      <c r="D2091" t="s">
        <v>24</v>
      </c>
      <c r="E2091" t="s">
        <v>31</v>
      </c>
      <c r="F2091" t="s">
        <v>26</v>
      </c>
      <c r="G2091" t="s">
        <v>27</v>
      </c>
    </row>
    <row r="2092" spans="1:7" x14ac:dyDescent="0.2">
      <c r="A2092">
        <v>15</v>
      </c>
      <c r="B2092">
        <v>45</v>
      </c>
      <c r="C2092" t="s">
        <v>1341</v>
      </c>
      <c r="D2092" t="s">
        <v>30</v>
      </c>
      <c r="E2092" t="s">
        <v>31</v>
      </c>
      <c r="F2092" t="s">
        <v>47</v>
      </c>
      <c r="G2092" t="s">
        <v>27</v>
      </c>
    </row>
    <row r="2093" spans="1:7" x14ac:dyDescent="0.2">
      <c r="A2093">
        <v>15</v>
      </c>
      <c r="B2093">
        <v>45</v>
      </c>
      <c r="C2093" t="s">
        <v>1335</v>
      </c>
      <c r="D2093" t="s">
        <v>30</v>
      </c>
      <c r="E2093" t="s">
        <v>31</v>
      </c>
      <c r="F2093" t="s">
        <v>47</v>
      </c>
      <c r="G2093" t="s">
        <v>27</v>
      </c>
    </row>
    <row r="2094" spans="1:7" x14ac:dyDescent="0.2">
      <c r="A2094">
        <v>16</v>
      </c>
      <c r="B2094">
        <v>45</v>
      </c>
      <c r="C2094" t="s">
        <v>1342</v>
      </c>
      <c r="D2094" t="s">
        <v>24</v>
      </c>
      <c r="E2094" t="s">
        <v>31</v>
      </c>
      <c r="F2094" t="s">
        <v>47</v>
      </c>
      <c r="G2094" t="s">
        <v>27</v>
      </c>
    </row>
    <row r="2095" spans="1:7" x14ac:dyDescent="0.2">
      <c r="A2095">
        <v>16</v>
      </c>
      <c r="B2095">
        <v>45</v>
      </c>
      <c r="C2095" t="s">
        <v>1343</v>
      </c>
      <c r="D2095" t="s">
        <v>24</v>
      </c>
      <c r="E2095" t="s">
        <v>31</v>
      </c>
      <c r="F2095" t="s">
        <v>47</v>
      </c>
      <c r="G2095" t="s">
        <v>27</v>
      </c>
    </row>
    <row r="2096" spans="1:7" x14ac:dyDescent="0.2">
      <c r="A2096">
        <v>16</v>
      </c>
      <c r="B2096">
        <v>45</v>
      </c>
      <c r="C2096" t="s">
        <v>1344</v>
      </c>
      <c r="D2096" t="s">
        <v>24</v>
      </c>
      <c r="E2096" t="s">
        <v>31</v>
      </c>
      <c r="F2096" t="s">
        <v>47</v>
      </c>
      <c r="G2096" t="s">
        <v>27</v>
      </c>
    </row>
    <row r="2097" spans="1:7" x14ac:dyDescent="0.2">
      <c r="A2097">
        <v>16</v>
      </c>
      <c r="B2097">
        <v>45</v>
      </c>
      <c r="C2097" t="s">
        <v>1345</v>
      </c>
      <c r="D2097" t="s">
        <v>24</v>
      </c>
      <c r="E2097" t="s">
        <v>31</v>
      </c>
      <c r="F2097" t="s">
        <v>47</v>
      </c>
      <c r="G2097" t="s">
        <v>27</v>
      </c>
    </row>
    <row r="2098" spans="1:7" x14ac:dyDescent="0.2">
      <c r="A2098">
        <v>16</v>
      </c>
      <c r="B2098">
        <v>45</v>
      </c>
      <c r="C2098" t="s">
        <v>1346</v>
      </c>
      <c r="D2098" t="s">
        <v>24</v>
      </c>
      <c r="E2098" t="s">
        <v>31</v>
      </c>
      <c r="F2098" t="s">
        <v>47</v>
      </c>
      <c r="G2098" t="s">
        <v>27</v>
      </c>
    </row>
    <row r="2099" spans="1:7" x14ac:dyDescent="0.2">
      <c r="A2099">
        <v>16</v>
      </c>
      <c r="B2099">
        <v>45</v>
      </c>
      <c r="C2099" t="s">
        <v>1254</v>
      </c>
      <c r="D2099" t="s">
        <v>24</v>
      </c>
      <c r="E2099" t="s">
        <v>31</v>
      </c>
      <c r="F2099" t="s">
        <v>47</v>
      </c>
      <c r="G2099" t="s">
        <v>27</v>
      </c>
    </row>
    <row r="2100" spans="1:7" x14ac:dyDescent="0.2">
      <c r="A2100">
        <v>16</v>
      </c>
      <c r="B2100">
        <v>45</v>
      </c>
      <c r="C2100" t="s">
        <v>1347</v>
      </c>
      <c r="D2100" t="s">
        <v>24</v>
      </c>
      <c r="E2100" t="s">
        <v>31</v>
      </c>
      <c r="F2100" t="s">
        <v>47</v>
      </c>
      <c r="G2100" t="s">
        <v>27</v>
      </c>
    </row>
    <row r="2101" spans="1:7" x14ac:dyDescent="0.2">
      <c r="A2101">
        <v>16</v>
      </c>
      <c r="B2101">
        <v>45</v>
      </c>
      <c r="C2101" t="s">
        <v>1256</v>
      </c>
      <c r="D2101" t="s">
        <v>24</v>
      </c>
      <c r="E2101" t="s">
        <v>31</v>
      </c>
      <c r="F2101" t="s">
        <v>47</v>
      </c>
      <c r="G2101" t="s">
        <v>27</v>
      </c>
    </row>
    <row r="2102" spans="1:7" x14ac:dyDescent="0.2">
      <c r="A2102">
        <v>16</v>
      </c>
      <c r="B2102">
        <v>45</v>
      </c>
      <c r="C2102" t="s">
        <v>1348</v>
      </c>
      <c r="D2102" t="s">
        <v>24</v>
      </c>
      <c r="E2102" t="s">
        <v>31</v>
      </c>
      <c r="F2102" t="s">
        <v>47</v>
      </c>
      <c r="G2102" t="s">
        <v>27</v>
      </c>
    </row>
    <row r="2103" spans="1:7" x14ac:dyDescent="0.2">
      <c r="A2103">
        <v>16</v>
      </c>
      <c r="B2103">
        <v>45</v>
      </c>
      <c r="C2103" t="s">
        <v>1328</v>
      </c>
      <c r="D2103" t="s">
        <v>24</v>
      </c>
      <c r="E2103" t="s">
        <v>31</v>
      </c>
      <c r="F2103" t="s">
        <v>47</v>
      </c>
      <c r="G2103" t="s">
        <v>27</v>
      </c>
    </row>
    <row r="2104" spans="1:7" x14ac:dyDescent="0.2">
      <c r="A2104">
        <v>16</v>
      </c>
      <c r="B2104">
        <v>45</v>
      </c>
      <c r="C2104" t="s">
        <v>1349</v>
      </c>
      <c r="D2104" t="s">
        <v>24</v>
      </c>
      <c r="E2104" t="s">
        <v>31</v>
      </c>
      <c r="F2104" t="s">
        <v>47</v>
      </c>
      <c r="G2104" t="s">
        <v>27</v>
      </c>
    </row>
    <row r="2105" spans="1:7" x14ac:dyDescent="0.2">
      <c r="A2105">
        <v>16</v>
      </c>
      <c r="B2105">
        <v>45</v>
      </c>
      <c r="C2105" t="s">
        <v>1350</v>
      </c>
      <c r="D2105" t="s">
        <v>24</v>
      </c>
      <c r="E2105" t="s">
        <v>31</v>
      </c>
      <c r="F2105" t="s">
        <v>47</v>
      </c>
      <c r="G2105" t="s">
        <v>27</v>
      </c>
    </row>
    <row r="2106" spans="1:7" x14ac:dyDescent="0.2">
      <c r="A2106">
        <v>16</v>
      </c>
      <c r="B2106">
        <v>45</v>
      </c>
      <c r="C2106" t="s">
        <v>1351</v>
      </c>
      <c r="D2106" t="s">
        <v>24</v>
      </c>
      <c r="E2106" t="s">
        <v>31</v>
      </c>
      <c r="F2106" t="s">
        <v>47</v>
      </c>
      <c r="G2106" t="s">
        <v>27</v>
      </c>
    </row>
    <row r="2107" spans="1:7" x14ac:dyDescent="0.2">
      <c r="A2107">
        <v>17</v>
      </c>
      <c r="B2107">
        <v>45</v>
      </c>
      <c r="C2107" t="s">
        <v>1352</v>
      </c>
      <c r="D2107" t="s">
        <v>24</v>
      </c>
      <c r="E2107" t="s">
        <v>31</v>
      </c>
      <c r="F2107" t="s">
        <v>26</v>
      </c>
      <c r="G2107" t="s">
        <v>27</v>
      </c>
    </row>
    <row r="2108" spans="1:7" x14ac:dyDescent="0.2">
      <c r="A2108">
        <v>17</v>
      </c>
      <c r="B2108">
        <v>45</v>
      </c>
      <c r="C2108" t="s">
        <v>1353</v>
      </c>
      <c r="D2108" t="s">
        <v>24</v>
      </c>
      <c r="E2108" t="s">
        <v>31</v>
      </c>
      <c r="F2108" t="s">
        <v>26</v>
      </c>
      <c r="G2108" t="s">
        <v>27</v>
      </c>
    </row>
    <row r="2109" spans="1:7" x14ac:dyDescent="0.2">
      <c r="A2109">
        <v>17</v>
      </c>
      <c r="B2109">
        <v>45</v>
      </c>
      <c r="C2109" t="s">
        <v>1354</v>
      </c>
      <c r="D2109" t="s">
        <v>24</v>
      </c>
      <c r="E2109" t="s">
        <v>31</v>
      </c>
      <c r="F2109" t="s">
        <v>26</v>
      </c>
      <c r="G2109" t="s">
        <v>27</v>
      </c>
    </row>
    <row r="2110" spans="1:7" x14ac:dyDescent="0.2">
      <c r="A2110">
        <v>17</v>
      </c>
      <c r="B2110">
        <v>45</v>
      </c>
      <c r="C2110" t="s">
        <v>1250</v>
      </c>
      <c r="D2110" t="s">
        <v>24</v>
      </c>
      <c r="E2110" t="s">
        <v>31</v>
      </c>
      <c r="F2110" t="s">
        <v>26</v>
      </c>
      <c r="G2110" t="s">
        <v>27</v>
      </c>
    </row>
    <row r="2111" spans="1:7" x14ac:dyDescent="0.2">
      <c r="A2111">
        <v>17</v>
      </c>
      <c r="B2111">
        <v>45</v>
      </c>
      <c r="C2111" t="s">
        <v>1355</v>
      </c>
      <c r="D2111" t="s">
        <v>24</v>
      </c>
      <c r="E2111" t="s">
        <v>31</v>
      </c>
      <c r="F2111" t="s">
        <v>26</v>
      </c>
      <c r="G2111" t="s">
        <v>27</v>
      </c>
    </row>
    <row r="2112" spans="1:7" x14ac:dyDescent="0.2">
      <c r="A2112">
        <v>17</v>
      </c>
      <c r="B2112">
        <v>45</v>
      </c>
      <c r="C2112" t="s">
        <v>1265</v>
      </c>
      <c r="D2112" t="s">
        <v>24</v>
      </c>
      <c r="E2112" t="s">
        <v>31</v>
      </c>
      <c r="F2112" t="s">
        <v>26</v>
      </c>
      <c r="G2112" t="s">
        <v>27</v>
      </c>
    </row>
    <row r="2113" spans="1:7" x14ac:dyDescent="0.2">
      <c r="A2113">
        <v>17</v>
      </c>
      <c r="B2113">
        <v>45</v>
      </c>
      <c r="C2113" t="s">
        <v>1254</v>
      </c>
      <c r="D2113" t="s">
        <v>24</v>
      </c>
      <c r="E2113" t="s">
        <v>31</v>
      </c>
      <c r="F2113" t="s">
        <v>26</v>
      </c>
      <c r="G2113" t="s">
        <v>27</v>
      </c>
    </row>
    <row r="2114" spans="1:7" x14ac:dyDescent="0.2">
      <c r="A2114">
        <v>17</v>
      </c>
      <c r="B2114">
        <v>45</v>
      </c>
      <c r="C2114" t="s">
        <v>1256</v>
      </c>
      <c r="D2114" t="s">
        <v>24</v>
      </c>
      <c r="E2114" t="s">
        <v>31</v>
      </c>
      <c r="F2114" t="s">
        <v>26</v>
      </c>
      <c r="G2114" t="s">
        <v>27</v>
      </c>
    </row>
    <row r="2115" spans="1:7" x14ac:dyDescent="0.2">
      <c r="A2115">
        <v>17</v>
      </c>
      <c r="B2115">
        <v>45</v>
      </c>
      <c r="C2115" t="s">
        <v>1356</v>
      </c>
      <c r="D2115" t="s">
        <v>24</v>
      </c>
      <c r="E2115" t="s">
        <v>25</v>
      </c>
      <c r="F2115" t="s">
        <v>47</v>
      </c>
      <c r="G2115" t="s">
        <v>27</v>
      </c>
    </row>
    <row r="2116" spans="1:7" x14ac:dyDescent="0.2">
      <c r="A2116">
        <v>17</v>
      </c>
      <c r="B2116">
        <v>45</v>
      </c>
      <c r="C2116" t="s">
        <v>1259</v>
      </c>
      <c r="D2116" t="s">
        <v>24</v>
      </c>
      <c r="E2116" t="s">
        <v>31</v>
      </c>
      <c r="F2116" t="s">
        <v>26</v>
      </c>
      <c r="G2116" t="s">
        <v>27</v>
      </c>
    </row>
    <row r="2117" spans="1:7" x14ac:dyDescent="0.2">
      <c r="A2117">
        <v>17</v>
      </c>
      <c r="B2117">
        <v>45</v>
      </c>
      <c r="C2117" t="s">
        <v>1357</v>
      </c>
      <c r="D2117" t="s">
        <v>24</v>
      </c>
      <c r="E2117" t="s">
        <v>25</v>
      </c>
      <c r="F2117" t="s">
        <v>47</v>
      </c>
      <c r="G2117" t="s">
        <v>27</v>
      </c>
    </row>
    <row r="2118" spans="1:7" x14ac:dyDescent="0.2">
      <c r="A2118">
        <v>17</v>
      </c>
      <c r="B2118">
        <v>45</v>
      </c>
      <c r="C2118" t="s">
        <v>1358</v>
      </c>
      <c r="D2118" t="s">
        <v>24</v>
      </c>
      <c r="E2118" t="s">
        <v>31</v>
      </c>
      <c r="F2118" t="s">
        <v>47</v>
      </c>
      <c r="G2118" t="s">
        <v>27</v>
      </c>
    </row>
    <row r="2119" spans="1:7" x14ac:dyDescent="0.2">
      <c r="A2119">
        <v>18</v>
      </c>
      <c r="B2119">
        <v>45</v>
      </c>
      <c r="C2119" t="s">
        <v>1330</v>
      </c>
      <c r="D2119" t="s">
        <v>24</v>
      </c>
      <c r="E2119" t="s">
        <v>31</v>
      </c>
      <c r="F2119" t="s">
        <v>47</v>
      </c>
      <c r="G2119" t="s">
        <v>27</v>
      </c>
    </row>
    <row r="2120" spans="1:7" x14ac:dyDescent="0.2">
      <c r="A2120">
        <v>18</v>
      </c>
      <c r="B2120">
        <v>45</v>
      </c>
      <c r="C2120" t="s">
        <v>1359</v>
      </c>
      <c r="D2120" t="s">
        <v>24</v>
      </c>
      <c r="E2120" t="s">
        <v>31</v>
      </c>
      <c r="F2120" t="s">
        <v>47</v>
      </c>
      <c r="G2120" t="s">
        <v>27</v>
      </c>
    </row>
    <row r="2121" spans="1:7" x14ac:dyDescent="0.2">
      <c r="A2121">
        <v>18</v>
      </c>
      <c r="B2121">
        <v>45</v>
      </c>
      <c r="C2121" t="s">
        <v>1360</v>
      </c>
      <c r="D2121" t="s">
        <v>24</v>
      </c>
      <c r="E2121" t="s">
        <v>31</v>
      </c>
      <c r="F2121" t="s">
        <v>47</v>
      </c>
      <c r="G2121" t="s">
        <v>27</v>
      </c>
    </row>
    <row r="2122" spans="1:7" x14ac:dyDescent="0.2">
      <c r="A2122">
        <v>18</v>
      </c>
      <c r="B2122">
        <v>45</v>
      </c>
      <c r="C2122" t="s">
        <v>1254</v>
      </c>
      <c r="D2122" t="s">
        <v>24</v>
      </c>
      <c r="E2122" t="s">
        <v>31</v>
      </c>
      <c r="F2122" t="s">
        <v>47</v>
      </c>
      <c r="G2122" t="s">
        <v>27</v>
      </c>
    </row>
    <row r="2123" spans="1:7" x14ac:dyDescent="0.2">
      <c r="A2123">
        <v>18</v>
      </c>
      <c r="B2123">
        <v>45</v>
      </c>
      <c r="C2123" t="s">
        <v>1338</v>
      </c>
      <c r="D2123" t="s">
        <v>24</v>
      </c>
      <c r="E2123" t="s">
        <v>31</v>
      </c>
      <c r="F2123" t="s">
        <v>47</v>
      </c>
      <c r="G2123" t="s">
        <v>27</v>
      </c>
    </row>
    <row r="2124" spans="1:7" x14ac:dyDescent="0.2">
      <c r="A2124">
        <v>18</v>
      </c>
      <c r="B2124">
        <v>45</v>
      </c>
      <c r="C2124" t="s">
        <v>1361</v>
      </c>
      <c r="D2124" t="s">
        <v>24</v>
      </c>
      <c r="E2124" t="s">
        <v>31</v>
      </c>
      <c r="F2124" t="s">
        <v>47</v>
      </c>
      <c r="G2124" t="s">
        <v>27</v>
      </c>
    </row>
    <row r="2125" spans="1:7" x14ac:dyDescent="0.2">
      <c r="A2125">
        <v>19</v>
      </c>
      <c r="B2125">
        <v>45</v>
      </c>
      <c r="C2125" t="s">
        <v>1362</v>
      </c>
      <c r="D2125" t="s">
        <v>24</v>
      </c>
      <c r="E2125" t="s">
        <v>31</v>
      </c>
      <c r="F2125" t="s">
        <v>26</v>
      </c>
      <c r="G2125" t="s">
        <v>27</v>
      </c>
    </row>
    <row r="2126" spans="1:7" x14ac:dyDescent="0.2">
      <c r="A2126">
        <v>19</v>
      </c>
      <c r="B2126">
        <v>45</v>
      </c>
      <c r="C2126" t="s">
        <v>1354</v>
      </c>
      <c r="D2126" t="s">
        <v>24</v>
      </c>
      <c r="E2126" t="s">
        <v>31</v>
      </c>
      <c r="F2126" t="s">
        <v>26</v>
      </c>
      <c r="G2126" t="s">
        <v>27</v>
      </c>
    </row>
    <row r="2127" spans="1:7" x14ac:dyDescent="0.2">
      <c r="A2127">
        <v>19</v>
      </c>
      <c r="B2127">
        <v>45</v>
      </c>
      <c r="C2127" t="s">
        <v>1310</v>
      </c>
      <c r="D2127" t="s">
        <v>24</v>
      </c>
      <c r="E2127" t="s">
        <v>31</v>
      </c>
      <c r="F2127" t="s">
        <v>26</v>
      </c>
      <c r="G2127" t="s">
        <v>27</v>
      </c>
    </row>
    <row r="2128" spans="1:7" x14ac:dyDescent="0.2">
      <c r="A2128">
        <v>19</v>
      </c>
      <c r="B2128">
        <v>45</v>
      </c>
      <c r="C2128" t="s">
        <v>1363</v>
      </c>
      <c r="D2128" t="s">
        <v>24</v>
      </c>
      <c r="E2128" t="s">
        <v>31</v>
      </c>
      <c r="F2128" t="s">
        <v>26</v>
      </c>
      <c r="G2128" t="s">
        <v>27</v>
      </c>
    </row>
    <row r="2129" spans="1:7" x14ac:dyDescent="0.2">
      <c r="A2129">
        <v>19</v>
      </c>
      <c r="B2129">
        <v>45</v>
      </c>
      <c r="C2129" t="s">
        <v>1364</v>
      </c>
      <c r="D2129" t="s">
        <v>24</v>
      </c>
      <c r="E2129" t="s">
        <v>31</v>
      </c>
      <c r="F2129" t="s">
        <v>26</v>
      </c>
      <c r="G2129" t="s">
        <v>27</v>
      </c>
    </row>
    <row r="2130" spans="1:7" x14ac:dyDescent="0.2">
      <c r="A2130">
        <v>19</v>
      </c>
      <c r="B2130">
        <v>45</v>
      </c>
      <c r="C2130" t="s">
        <v>1365</v>
      </c>
      <c r="D2130" t="s">
        <v>24</v>
      </c>
      <c r="E2130" t="s">
        <v>31</v>
      </c>
      <c r="F2130" t="s">
        <v>26</v>
      </c>
      <c r="G2130" t="s">
        <v>27</v>
      </c>
    </row>
    <row r="2131" spans="1:7" x14ac:dyDescent="0.2">
      <c r="A2131">
        <v>19</v>
      </c>
      <c r="B2131">
        <v>45</v>
      </c>
      <c r="C2131" t="s">
        <v>1254</v>
      </c>
      <c r="D2131" t="s">
        <v>24</v>
      </c>
      <c r="E2131" t="s">
        <v>31</v>
      </c>
      <c r="F2131" t="s">
        <v>26</v>
      </c>
      <c r="G2131" t="s">
        <v>27</v>
      </c>
    </row>
    <row r="2132" spans="1:7" x14ac:dyDescent="0.2">
      <c r="A2132">
        <v>19</v>
      </c>
      <c r="B2132">
        <v>45</v>
      </c>
      <c r="C2132" t="s">
        <v>1366</v>
      </c>
      <c r="D2132" t="s">
        <v>24</v>
      </c>
      <c r="E2132" t="s">
        <v>31</v>
      </c>
      <c r="F2132" t="s">
        <v>26</v>
      </c>
      <c r="G2132" t="s">
        <v>27</v>
      </c>
    </row>
    <row r="2133" spans="1:7" x14ac:dyDescent="0.2">
      <c r="A2133">
        <v>19</v>
      </c>
      <c r="B2133">
        <v>45</v>
      </c>
      <c r="C2133" t="s">
        <v>1367</v>
      </c>
      <c r="D2133" t="s">
        <v>24</v>
      </c>
      <c r="E2133" t="s">
        <v>31</v>
      </c>
      <c r="F2133" t="s">
        <v>26</v>
      </c>
      <c r="G2133" t="s">
        <v>27</v>
      </c>
    </row>
    <row r="2134" spans="1:7" x14ac:dyDescent="0.2">
      <c r="A2134">
        <v>19</v>
      </c>
      <c r="B2134">
        <v>45</v>
      </c>
      <c r="C2134" t="s">
        <v>1259</v>
      </c>
      <c r="D2134" t="s">
        <v>24</v>
      </c>
      <c r="E2134" t="s">
        <v>31</v>
      </c>
      <c r="F2134" t="s">
        <v>26</v>
      </c>
      <c r="G2134" t="s">
        <v>27</v>
      </c>
    </row>
    <row r="2135" spans="1:7" x14ac:dyDescent="0.2">
      <c r="A2135">
        <v>19</v>
      </c>
      <c r="B2135">
        <v>45</v>
      </c>
      <c r="C2135" t="s">
        <v>1306</v>
      </c>
      <c r="D2135" t="s">
        <v>24</v>
      </c>
      <c r="E2135" t="s">
        <v>31</v>
      </c>
      <c r="F2135" t="s">
        <v>26</v>
      </c>
      <c r="G2135" t="s">
        <v>27</v>
      </c>
    </row>
    <row r="2136" spans="1:7" x14ac:dyDescent="0.2">
      <c r="A2136">
        <v>20</v>
      </c>
      <c r="B2136">
        <v>45</v>
      </c>
      <c r="C2136" t="s">
        <v>1362</v>
      </c>
      <c r="D2136" t="s">
        <v>24</v>
      </c>
      <c r="E2136" t="s">
        <v>31</v>
      </c>
      <c r="F2136" t="s">
        <v>26</v>
      </c>
      <c r="G2136" t="s">
        <v>27</v>
      </c>
    </row>
    <row r="2137" spans="1:7" x14ac:dyDescent="0.2">
      <c r="A2137">
        <v>20</v>
      </c>
      <c r="B2137">
        <v>45</v>
      </c>
      <c r="C2137" t="s">
        <v>1248</v>
      </c>
      <c r="D2137" t="s">
        <v>24</v>
      </c>
      <c r="E2137" t="s">
        <v>31</v>
      </c>
      <c r="F2137" t="s">
        <v>26</v>
      </c>
      <c r="G2137" t="s">
        <v>27</v>
      </c>
    </row>
    <row r="2138" spans="1:7" x14ac:dyDescent="0.2">
      <c r="A2138">
        <v>20</v>
      </c>
      <c r="B2138">
        <v>45</v>
      </c>
      <c r="C2138" t="s">
        <v>1368</v>
      </c>
      <c r="D2138" t="s">
        <v>24</v>
      </c>
      <c r="E2138" t="s">
        <v>31</v>
      </c>
      <c r="F2138" t="s">
        <v>26</v>
      </c>
      <c r="G2138" t="s">
        <v>27</v>
      </c>
    </row>
    <row r="2139" spans="1:7" x14ac:dyDescent="0.2">
      <c r="A2139">
        <v>20</v>
      </c>
      <c r="B2139">
        <v>45</v>
      </c>
      <c r="C2139" t="s">
        <v>1369</v>
      </c>
      <c r="D2139" t="s">
        <v>24</v>
      </c>
      <c r="E2139" t="s">
        <v>31</v>
      </c>
      <c r="F2139" t="s">
        <v>26</v>
      </c>
      <c r="G2139" t="s">
        <v>27</v>
      </c>
    </row>
    <row r="2140" spans="1:7" x14ac:dyDescent="0.2">
      <c r="A2140">
        <v>20</v>
      </c>
      <c r="B2140">
        <v>45</v>
      </c>
      <c r="C2140" t="s">
        <v>1250</v>
      </c>
      <c r="D2140" t="s">
        <v>24</v>
      </c>
      <c r="E2140" t="s">
        <v>31</v>
      </c>
      <c r="F2140" t="s">
        <v>26</v>
      </c>
      <c r="G2140" t="s">
        <v>27</v>
      </c>
    </row>
    <row r="2141" spans="1:7" x14ac:dyDescent="0.2">
      <c r="A2141">
        <v>20</v>
      </c>
      <c r="B2141">
        <v>45</v>
      </c>
      <c r="C2141" t="s">
        <v>1254</v>
      </c>
      <c r="D2141" t="s">
        <v>24</v>
      </c>
      <c r="E2141" t="s">
        <v>31</v>
      </c>
      <c r="F2141" t="s">
        <v>26</v>
      </c>
      <c r="G2141" t="s">
        <v>27</v>
      </c>
    </row>
    <row r="2142" spans="1:7" x14ac:dyDescent="0.2">
      <c r="A2142">
        <v>20</v>
      </c>
      <c r="B2142">
        <v>45</v>
      </c>
      <c r="C2142" t="s">
        <v>1256</v>
      </c>
      <c r="D2142" t="s">
        <v>24</v>
      </c>
      <c r="E2142" t="s">
        <v>31</v>
      </c>
      <c r="F2142" t="s">
        <v>26</v>
      </c>
      <c r="G2142" t="s">
        <v>27</v>
      </c>
    </row>
    <row r="2143" spans="1:7" x14ac:dyDescent="0.2">
      <c r="A2143">
        <v>20</v>
      </c>
      <c r="B2143">
        <v>45</v>
      </c>
      <c r="C2143" t="s">
        <v>1301</v>
      </c>
      <c r="D2143" t="s">
        <v>24</v>
      </c>
      <c r="E2143" t="s">
        <v>31</v>
      </c>
      <c r="F2143" t="s">
        <v>26</v>
      </c>
      <c r="G2143" t="s">
        <v>27</v>
      </c>
    </row>
    <row r="2144" spans="1:7" x14ac:dyDescent="0.2">
      <c r="A2144">
        <v>20</v>
      </c>
      <c r="B2144">
        <v>45</v>
      </c>
      <c r="C2144" t="s">
        <v>1259</v>
      </c>
      <c r="D2144" t="s">
        <v>24</v>
      </c>
      <c r="E2144" t="s">
        <v>31</v>
      </c>
      <c r="F2144" t="s">
        <v>26</v>
      </c>
      <c r="G2144" t="s">
        <v>27</v>
      </c>
    </row>
    <row r="2145" spans="1:7" x14ac:dyDescent="0.2">
      <c r="A2145">
        <v>20</v>
      </c>
      <c r="B2145">
        <v>45</v>
      </c>
      <c r="C2145" t="s">
        <v>1370</v>
      </c>
      <c r="D2145" t="s">
        <v>24</v>
      </c>
      <c r="E2145" t="s">
        <v>31</v>
      </c>
      <c r="F2145" t="s">
        <v>26</v>
      </c>
      <c r="G2145" t="s">
        <v>27</v>
      </c>
    </row>
    <row r="2146" spans="1:7" x14ac:dyDescent="0.2">
      <c r="A2146">
        <v>21</v>
      </c>
      <c r="B2146">
        <v>45</v>
      </c>
      <c r="C2146" t="s">
        <v>1248</v>
      </c>
      <c r="D2146" t="s">
        <v>24</v>
      </c>
      <c r="E2146" t="s">
        <v>25</v>
      </c>
      <c r="F2146" t="s">
        <v>26</v>
      </c>
      <c r="G2146" t="s">
        <v>27</v>
      </c>
    </row>
    <row r="2147" spans="1:7" x14ac:dyDescent="0.2">
      <c r="A2147">
        <v>21</v>
      </c>
      <c r="B2147">
        <v>45</v>
      </c>
      <c r="C2147" t="s">
        <v>1354</v>
      </c>
      <c r="D2147" t="s">
        <v>24</v>
      </c>
      <c r="E2147" t="s">
        <v>25</v>
      </c>
      <c r="F2147" t="s">
        <v>26</v>
      </c>
      <c r="G2147" t="s">
        <v>27</v>
      </c>
    </row>
    <row r="2148" spans="1:7" x14ac:dyDescent="0.2">
      <c r="A2148">
        <v>21</v>
      </c>
      <c r="B2148">
        <v>45</v>
      </c>
      <c r="C2148" t="s">
        <v>1371</v>
      </c>
      <c r="D2148" t="s">
        <v>24</v>
      </c>
      <c r="E2148" t="s">
        <v>25</v>
      </c>
      <c r="F2148" t="s">
        <v>26</v>
      </c>
      <c r="G2148" t="s">
        <v>27</v>
      </c>
    </row>
    <row r="2149" spans="1:7" x14ac:dyDescent="0.2">
      <c r="A2149">
        <v>21</v>
      </c>
      <c r="B2149">
        <v>45</v>
      </c>
      <c r="C2149" t="s">
        <v>1372</v>
      </c>
      <c r="D2149" t="s">
        <v>24</v>
      </c>
      <c r="E2149" t="s">
        <v>25</v>
      </c>
      <c r="F2149" t="s">
        <v>26</v>
      </c>
      <c r="G2149" t="s">
        <v>27</v>
      </c>
    </row>
    <row r="2150" spans="1:7" x14ac:dyDescent="0.2">
      <c r="A2150">
        <v>21</v>
      </c>
      <c r="B2150">
        <v>45</v>
      </c>
      <c r="C2150" t="s">
        <v>1373</v>
      </c>
      <c r="D2150" t="s">
        <v>24</v>
      </c>
      <c r="E2150" t="s">
        <v>25</v>
      </c>
      <c r="F2150" t="s">
        <v>26</v>
      </c>
      <c r="G2150" t="s">
        <v>27</v>
      </c>
    </row>
    <row r="2151" spans="1:7" x14ac:dyDescent="0.2">
      <c r="A2151">
        <v>21</v>
      </c>
      <c r="B2151">
        <v>45</v>
      </c>
      <c r="C2151" t="s">
        <v>1374</v>
      </c>
      <c r="D2151" t="s">
        <v>24</v>
      </c>
      <c r="E2151" t="s">
        <v>25</v>
      </c>
      <c r="F2151" t="s">
        <v>26</v>
      </c>
      <c r="G2151" t="s">
        <v>27</v>
      </c>
    </row>
    <row r="2152" spans="1:7" x14ac:dyDescent="0.2">
      <c r="A2152">
        <v>21</v>
      </c>
      <c r="B2152">
        <v>45</v>
      </c>
      <c r="C2152" t="s">
        <v>1240</v>
      </c>
      <c r="D2152" t="s">
        <v>30</v>
      </c>
      <c r="E2152" t="s">
        <v>25</v>
      </c>
      <c r="F2152" t="s">
        <v>26</v>
      </c>
      <c r="G2152" t="s">
        <v>27</v>
      </c>
    </row>
    <row r="2153" spans="1:7" x14ac:dyDescent="0.2">
      <c r="A2153">
        <v>21</v>
      </c>
      <c r="B2153">
        <v>45</v>
      </c>
      <c r="C2153" t="s">
        <v>1254</v>
      </c>
      <c r="D2153" t="s">
        <v>24</v>
      </c>
      <c r="E2153" t="s">
        <v>25</v>
      </c>
      <c r="F2153" t="s">
        <v>26</v>
      </c>
      <c r="G2153" t="s">
        <v>27</v>
      </c>
    </row>
    <row r="2154" spans="1:7" x14ac:dyDescent="0.2">
      <c r="A2154">
        <v>21</v>
      </c>
      <c r="B2154">
        <v>45</v>
      </c>
      <c r="C2154" t="s">
        <v>1256</v>
      </c>
      <c r="D2154" t="s">
        <v>24</v>
      </c>
      <c r="E2154" t="s">
        <v>25</v>
      </c>
      <c r="F2154" t="s">
        <v>26</v>
      </c>
      <c r="G2154" t="s">
        <v>27</v>
      </c>
    </row>
    <row r="2155" spans="1:7" x14ac:dyDescent="0.2">
      <c r="A2155">
        <v>21</v>
      </c>
      <c r="B2155">
        <v>45</v>
      </c>
      <c r="C2155" t="s">
        <v>1375</v>
      </c>
      <c r="D2155" t="s">
        <v>24</v>
      </c>
      <c r="E2155" t="s">
        <v>25</v>
      </c>
      <c r="F2155" t="s">
        <v>26</v>
      </c>
      <c r="G2155" t="s">
        <v>27</v>
      </c>
    </row>
    <row r="2156" spans="1:7" x14ac:dyDescent="0.2">
      <c r="A2156">
        <v>21</v>
      </c>
      <c r="B2156">
        <v>45</v>
      </c>
      <c r="C2156" t="s">
        <v>1376</v>
      </c>
      <c r="D2156" t="s">
        <v>24</v>
      </c>
      <c r="E2156" t="s">
        <v>25</v>
      </c>
      <c r="F2156" t="s">
        <v>26</v>
      </c>
      <c r="G2156" t="s">
        <v>27</v>
      </c>
    </row>
    <row r="2157" spans="1:7" x14ac:dyDescent="0.2">
      <c r="A2157">
        <v>21</v>
      </c>
      <c r="B2157">
        <v>45</v>
      </c>
      <c r="C2157" t="s">
        <v>1377</v>
      </c>
      <c r="D2157" t="s">
        <v>24</v>
      </c>
      <c r="E2157" t="s">
        <v>25</v>
      </c>
      <c r="F2157" t="s">
        <v>26</v>
      </c>
      <c r="G2157" t="s">
        <v>27</v>
      </c>
    </row>
    <row r="2158" spans="1:7" x14ac:dyDescent="0.2">
      <c r="A2158">
        <v>21</v>
      </c>
      <c r="B2158">
        <v>45</v>
      </c>
      <c r="C2158" t="s">
        <v>1378</v>
      </c>
      <c r="D2158" t="s">
        <v>24</v>
      </c>
      <c r="E2158" t="s">
        <v>25</v>
      </c>
      <c r="F2158" t="s">
        <v>26</v>
      </c>
      <c r="G2158" t="s">
        <v>27</v>
      </c>
    </row>
    <row r="2159" spans="1:7" x14ac:dyDescent="0.2">
      <c r="A2159">
        <v>21</v>
      </c>
      <c r="B2159">
        <v>45</v>
      </c>
      <c r="C2159" t="s">
        <v>1379</v>
      </c>
      <c r="D2159" t="s">
        <v>24</v>
      </c>
      <c r="E2159" t="s">
        <v>25</v>
      </c>
      <c r="F2159" t="s">
        <v>26</v>
      </c>
      <c r="G2159" t="s">
        <v>27</v>
      </c>
    </row>
    <row r="2160" spans="1:7" x14ac:dyDescent="0.2">
      <c r="A2160">
        <v>21</v>
      </c>
      <c r="B2160">
        <v>45</v>
      </c>
      <c r="C2160" t="s">
        <v>1259</v>
      </c>
      <c r="D2160" t="s">
        <v>24</v>
      </c>
      <c r="E2160" t="s">
        <v>25</v>
      </c>
      <c r="F2160" t="s">
        <v>26</v>
      </c>
      <c r="G2160" t="s">
        <v>27</v>
      </c>
    </row>
    <row r="2161" spans="1:7" x14ac:dyDescent="0.2">
      <c r="A2161">
        <v>21</v>
      </c>
      <c r="B2161">
        <v>45</v>
      </c>
      <c r="C2161" t="s">
        <v>1370</v>
      </c>
      <c r="D2161" t="s">
        <v>24</v>
      </c>
      <c r="E2161" t="s">
        <v>25</v>
      </c>
      <c r="F2161" t="s">
        <v>26</v>
      </c>
      <c r="G2161" t="s">
        <v>27</v>
      </c>
    </row>
    <row r="2162" spans="1:7" x14ac:dyDescent="0.2">
      <c r="A2162">
        <v>22</v>
      </c>
      <c r="B2162">
        <v>45</v>
      </c>
      <c r="C2162" t="s">
        <v>1252</v>
      </c>
      <c r="D2162" t="s">
        <v>24</v>
      </c>
      <c r="E2162" t="s">
        <v>31</v>
      </c>
      <c r="F2162" t="s">
        <v>26</v>
      </c>
      <c r="G2162" t="s">
        <v>27</v>
      </c>
    </row>
    <row r="2163" spans="1:7" x14ac:dyDescent="0.2">
      <c r="A2163">
        <v>22</v>
      </c>
      <c r="B2163">
        <v>45</v>
      </c>
      <c r="C2163" t="s">
        <v>1380</v>
      </c>
      <c r="D2163" t="s">
        <v>24</v>
      </c>
      <c r="E2163" t="s">
        <v>31</v>
      </c>
      <c r="F2163" t="s">
        <v>26</v>
      </c>
      <c r="G2163" t="s">
        <v>27</v>
      </c>
    </row>
    <row r="2164" spans="1:7" x14ac:dyDescent="0.2">
      <c r="A2164">
        <v>22</v>
      </c>
      <c r="B2164">
        <v>45</v>
      </c>
      <c r="C2164" t="s">
        <v>1249</v>
      </c>
      <c r="D2164" t="s">
        <v>24</v>
      </c>
      <c r="E2164" t="s">
        <v>31</v>
      </c>
      <c r="F2164" t="s">
        <v>26</v>
      </c>
      <c r="G2164" t="s">
        <v>27</v>
      </c>
    </row>
    <row r="2165" spans="1:7" x14ac:dyDescent="0.2">
      <c r="A2165">
        <v>22</v>
      </c>
      <c r="B2165">
        <v>45</v>
      </c>
      <c r="C2165" t="s">
        <v>1354</v>
      </c>
      <c r="D2165" t="s">
        <v>24</v>
      </c>
      <c r="E2165" t="s">
        <v>31</v>
      </c>
      <c r="F2165" t="s">
        <v>26</v>
      </c>
      <c r="G2165" t="s">
        <v>27</v>
      </c>
    </row>
    <row r="2166" spans="1:7" x14ac:dyDescent="0.2">
      <c r="A2166">
        <v>22</v>
      </c>
      <c r="B2166">
        <v>45</v>
      </c>
      <c r="C2166" t="s">
        <v>1381</v>
      </c>
      <c r="D2166" t="s">
        <v>24</v>
      </c>
      <c r="E2166" t="s">
        <v>31</v>
      </c>
      <c r="F2166" t="s">
        <v>26</v>
      </c>
      <c r="G2166" t="s">
        <v>27</v>
      </c>
    </row>
    <row r="2167" spans="1:7" x14ac:dyDescent="0.2">
      <c r="A2167">
        <v>22</v>
      </c>
      <c r="B2167">
        <v>45</v>
      </c>
      <c r="C2167" t="s">
        <v>1371</v>
      </c>
      <c r="D2167" t="s">
        <v>24</v>
      </c>
      <c r="E2167" t="s">
        <v>31</v>
      </c>
      <c r="F2167" t="s">
        <v>26</v>
      </c>
      <c r="G2167" t="s">
        <v>27</v>
      </c>
    </row>
    <row r="2168" spans="1:7" x14ac:dyDescent="0.2">
      <c r="A2168">
        <v>22</v>
      </c>
      <c r="B2168">
        <v>45</v>
      </c>
      <c r="C2168" t="s">
        <v>1382</v>
      </c>
      <c r="D2168" t="s">
        <v>24</v>
      </c>
      <c r="E2168" t="s">
        <v>31</v>
      </c>
      <c r="F2168" t="s">
        <v>26</v>
      </c>
      <c r="G2168" t="s">
        <v>27</v>
      </c>
    </row>
    <row r="2169" spans="1:7" x14ac:dyDescent="0.2">
      <c r="A2169">
        <v>22</v>
      </c>
      <c r="B2169">
        <v>45</v>
      </c>
      <c r="C2169" t="s">
        <v>1250</v>
      </c>
      <c r="D2169" t="s">
        <v>24</v>
      </c>
      <c r="E2169" t="s">
        <v>31</v>
      </c>
      <c r="F2169" t="s">
        <v>26</v>
      </c>
      <c r="G2169" t="s">
        <v>27</v>
      </c>
    </row>
    <row r="2170" spans="1:7" x14ac:dyDescent="0.2">
      <c r="A2170">
        <v>22</v>
      </c>
      <c r="B2170">
        <v>45</v>
      </c>
      <c r="C2170" t="s">
        <v>1383</v>
      </c>
      <c r="D2170" t="s">
        <v>24</v>
      </c>
      <c r="E2170" t="s">
        <v>31</v>
      </c>
      <c r="F2170" t="s">
        <v>26</v>
      </c>
      <c r="G2170" t="s">
        <v>27</v>
      </c>
    </row>
    <row r="2171" spans="1:7" x14ac:dyDescent="0.2">
      <c r="A2171">
        <v>22</v>
      </c>
      <c r="B2171">
        <v>45</v>
      </c>
      <c r="C2171" t="s">
        <v>1384</v>
      </c>
      <c r="D2171" t="s">
        <v>24</v>
      </c>
      <c r="E2171" t="s">
        <v>31</v>
      </c>
      <c r="F2171" t="s">
        <v>26</v>
      </c>
      <c r="G2171" t="s">
        <v>27</v>
      </c>
    </row>
    <row r="2172" spans="1:7" x14ac:dyDescent="0.2">
      <c r="A2172">
        <v>22</v>
      </c>
      <c r="B2172">
        <v>45</v>
      </c>
      <c r="C2172" t="s">
        <v>1265</v>
      </c>
      <c r="D2172" t="s">
        <v>24</v>
      </c>
      <c r="E2172" t="s">
        <v>31</v>
      </c>
      <c r="F2172" t="s">
        <v>26</v>
      </c>
      <c r="G2172" t="s">
        <v>27</v>
      </c>
    </row>
    <row r="2173" spans="1:7" x14ac:dyDescent="0.2">
      <c r="A2173">
        <v>22</v>
      </c>
      <c r="B2173">
        <v>45</v>
      </c>
      <c r="C2173" t="s">
        <v>1385</v>
      </c>
      <c r="D2173" t="s">
        <v>24</v>
      </c>
      <c r="E2173" t="s">
        <v>31</v>
      </c>
      <c r="F2173" t="s">
        <v>26</v>
      </c>
      <c r="G2173" t="s">
        <v>27</v>
      </c>
    </row>
    <row r="2174" spans="1:7" x14ac:dyDescent="0.2">
      <c r="A2174">
        <v>22</v>
      </c>
      <c r="B2174">
        <v>45</v>
      </c>
      <c r="C2174" t="s">
        <v>1374</v>
      </c>
      <c r="D2174" t="s">
        <v>24</v>
      </c>
      <c r="E2174" t="s">
        <v>31</v>
      </c>
      <c r="F2174" t="s">
        <v>26</v>
      </c>
      <c r="G2174" t="s">
        <v>27</v>
      </c>
    </row>
    <row r="2175" spans="1:7" x14ac:dyDescent="0.2">
      <c r="A2175">
        <v>22</v>
      </c>
      <c r="B2175">
        <v>45</v>
      </c>
      <c r="C2175" t="s">
        <v>1386</v>
      </c>
      <c r="D2175" t="s">
        <v>24</v>
      </c>
      <c r="E2175" t="s">
        <v>31</v>
      </c>
      <c r="F2175" t="s">
        <v>26</v>
      </c>
      <c r="G2175" t="s">
        <v>27</v>
      </c>
    </row>
    <row r="2176" spans="1:7" x14ac:dyDescent="0.2">
      <c r="A2176">
        <v>22</v>
      </c>
      <c r="B2176">
        <v>45</v>
      </c>
      <c r="C2176" t="s">
        <v>1387</v>
      </c>
      <c r="D2176" t="s">
        <v>24</v>
      </c>
      <c r="E2176" t="s">
        <v>31</v>
      </c>
      <c r="F2176" t="s">
        <v>26</v>
      </c>
      <c r="G2176" t="s">
        <v>27</v>
      </c>
    </row>
    <row r="2177" spans="1:7" x14ac:dyDescent="0.2">
      <c r="A2177">
        <v>22</v>
      </c>
      <c r="B2177">
        <v>45</v>
      </c>
      <c r="C2177" t="s">
        <v>1254</v>
      </c>
      <c r="D2177" t="s">
        <v>24</v>
      </c>
      <c r="E2177" t="s">
        <v>31</v>
      </c>
      <c r="F2177" t="s">
        <v>26</v>
      </c>
      <c r="G2177" t="s">
        <v>27</v>
      </c>
    </row>
    <row r="2178" spans="1:7" x14ac:dyDescent="0.2">
      <c r="A2178">
        <v>22</v>
      </c>
      <c r="B2178">
        <v>45</v>
      </c>
      <c r="C2178" t="s">
        <v>1388</v>
      </c>
      <c r="D2178" t="s">
        <v>24</v>
      </c>
      <c r="E2178" t="s">
        <v>31</v>
      </c>
      <c r="F2178" t="s">
        <v>26</v>
      </c>
      <c r="G2178" t="s">
        <v>27</v>
      </c>
    </row>
    <row r="2179" spans="1:7" x14ac:dyDescent="0.2">
      <c r="A2179">
        <v>22</v>
      </c>
      <c r="B2179">
        <v>45</v>
      </c>
      <c r="C2179" t="s">
        <v>1389</v>
      </c>
      <c r="D2179" t="s">
        <v>24</v>
      </c>
      <c r="E2179" t="s">
        <v>31</v>
      </c>
      <c r="F2179" t="s">
        <v>47</v>
      </c>
      <c r="G2179" t="s">
        <v>27</v>
      </c>
    </row>
    <row r="2180" spans="1:7" x14ac:dyDescent="0.2">
      <c r="A2180">
        <v>22</v>
      </c>
      <c r="B2180">
        <v>45</v>
      </c>
      <c r="C2180" t="s">
        <v>1256</v>
      </c>
      <c r="D2180" t="s">
        <v>24</v>
      </c>
      <c r="E2180" t="s">
        <v>31</v>
      </c>
      <c r="F2180" t="s">
        <v>26</v>
      </c>
      <c r="G2180" t="s">
        <v>27</v>
      </c>
    </row>
    <row r="2181" spans="1:7" x14ac:dyDescent="0.2">
      <c r="A2181">
        <v>22</v>
      </c>
      <c r="B2181">
        <v>45</v>
      </c>
      <c r="C2181" t="s">
        <v>1390</v>
      </c>
      <c r="D2181" t="s">
        <v>24</v>
      </c>
      <c r="E2181" t="s">
        <v>31</v>
      </c>
      <c r="F2181" t="s">
        <v>47</v>
      </c>
      <c r="G2181" t="s">
        <v>27</v>
      </c>
    </row>
    <row r="2182" spans="1:7" x14ac:dyDescent="0.2">
      <c r="A2182">
        <v>22</v>
      </c>
      <c r="B2182">
        <v>45</v>
      </c>
      <c r="C2182" t="s">
        <v>1391</v>
      </c>
      <c r="D2182" t="s">
        <v>24</v>
      </c>
      <c r="E2182" t="s">
        <v>31</v>
      </c>
      <c r="F2182" t="s">
        <v>26</v>
      </c>
      <c r="G2182" t="s">
        <v>27</v>
      </c>
    </row>
    <row r="2183" spans="1:7" x14ac:dyDescent="0.2">
      <c r="A2183">
        <v>22</v>
      </c>
      <c r="B2183">
        <v>45</v>
      </c>
      <c r="C2183" t="s">
        <v>1392</v>
      </c>
      <c r="D2183" t="s">
        <v>24</v>
      </c>
      <c r="E2183" t="s">
        <v>31</v>
      </c>
      <c r="F2183" t="s">
        <v>26</v>
      </c>
      <c r="G2183" t="s">
        <v>27</v>
      </c>
    </row>
    <row r="2184" spans="1:7" x14ac:dyDescent="0.2">
      <c r="A2184">
        <v>22</v>
      </c>
      <c r="B2184">
        <v>45</v>
      </c>
      <c r="C2184" t="s">
        <v>1259</v>
      </c>
      <c r="D2184" t="s">
        <v>24</v>
      </c>
      <c r="E2184" t="s">
        <v>31</v>
      </c>
      <c r="F2184" t="s">
        <v>26</v>
      </c>
      <c r="G2184" t="s">
        <v>27</v>
      </c>
    </row>
    <row r="2185" spans="1:7" x14ac:dyDescent="0.2">
      <c r="A2185">
        <v>22</v>
      </c>
      <c r="B2185">
        <v>45</v>
      </c>
      <c r="C2185" t="s">
        <v>1393</v>
      </c>
      <c r="D2185" t="s">
        <v>24</v>
      </c>
      <c r="E2185" t="s">
        <v>31</v>
      </c>
      <c r="F2185" t="s">
        <v>26</v>
      </c>
      <c r="G2185" t="s">
        <v>27</v>
      </c>
    </row>
    <row r="2186" spans="1:7" x14ac:dyDescent="0.2">
      <c r="A2186">
        <v>22</v>
      </c>
      <c r="B2186">
        <v>45</v>
      </c>
      <c r="C2186" t="s">
        <v>1394</v>
      </c>
      <c r="D2186" t="s">
        <v>24</v>
      </c>
      <c r="E2186" t="s">
        <v>31</v>
      </c>
      <c r="F2186" t="s">
        <v>26</v>
      </c>
      <c r="G2186" t="s">
        <v>27</v>
      </c>
    </row>
    <row r="2187" spans="1:7" x14ac:dyDescent="0.2">
      <c r="A2187">
        <v>22</v>
      </c>
      <c r="B2187">
        <v>45</v>
      </c>
      <c r="C2187" t="s">
        <v>1395</v>
      </c>
      <c r="D2187" t="s">
        <v>24</v>
      </c>
      <c r="E2187" t="s">
        <v>31</v>
      </c>
      <c r="F2187" t="s">
        <v>26</v>
      </c>
      <c r="G2187" t="s">
        <v>27</v>
      </c>
    </row>
    <row r="2188" spans="1:7" x14ac:dyDescent="0.2">
      <c r="A2188">
        <v>22</v>
      </c>
      <c r="B2188">
        <v>45</v>
      </c>
      <c r="C2188" t="s">
        <v>1396</v>
      </c>
      <c r="D2188" t="s">
        <v>24</v>
      </c>
      <c r="E2188" t="s">
        <v>31</v>
      </c>
      <c r="F2188" t="s">
        <v>26</v>
      </c>
      <c r="G2188" t="s">
        <v>27</v>
      </c>
    </row>
    <row r="2189" spans="1:7" x14ac:dyDescent="0.2">
      <c r="A2189">
        <v>23</v>
      </c>
      <c r="B2189">
        <v>45</v>
      </c>
      <c r="C2189" t="s">
        <v>1252</v>
      </c>
      <c r="D2189" t="s">
        <v>24</v>
      </c>
      <c r="E2189" t="s">
        <v>31</v>
      </c>
      <c r="F2189" t="s">
        <v>26</v>
      </c>
      <c r="G2189" t="s">
        <v>27</v>
      </c>
    </row>
    <row r="2190" spans="1:7" x14ac:dyDescent="0.2">
      <c r="A2190">
        <v>23</v>
      </c>
      <c r="B2190">
        <v>45</v>
      </c>
      <c r="C2190" t="s">
        <v>1397</v>
      </c>
      <c r="D2190" t="s">
        <v>24</v>
      </c>
      <c r="E2190" t="s">
        <v>31</v>
      </c>
      <c r="F2190" t="s">
        <v>26</v>
      </c>
      <c r="G2190" t="s">
        <v>27</v>
      </c>
    </row>
    <row r="2191" spans="1:7" x14ac:dyDescent="0.2">
      <c r="A2191">
        <v>23</v>
      </c>
      <c r="B2191">
        <v>45</v>
      </c>
      <c r="C2191" t="s">
        <v>1398</v>
      </c>
      <c r="D2191" t="s">
        <v>24</v>
      </c>
      <c r="E2191" t="s">
        <v>31</v>
      </c>
      <c r="F2191" t="s">
        <v>26</v>
      </c>
      <c r="G2191" t="s">
        <v>27</v>
      </c>
    </row>
    <row r="2192" spans="1:7" x14ac:dyDescent="0.2">
      <c r="A2192">
        <v>23</v>
      </c>
      <c r="B2192">
        <v>45</v>
      </c>
      <c r="C2192" t="s">
        <v>1383</v>
      </c>
      <c r="D2192" t="s">
        <v>24</v>
      </c>
      <c r="E2192" t="s">
        <v>31</v>
      </c>
      <c r="F2192" t="s">
        <v>26</v>
      </c>
      <c r="G2192" t="s">
        <v>27</v>
      </c>
    </row>
    <row r="2193" spans="1:7" x14ac:dyDescent="0.2">
      <c r="A2193">
        <v>23</v>
      </c>
      <c r="B2193">
        <v>45</v>
      </c>
      <c r="C2193" t="s">
        <v>1265</v>
      </c>
      <c r="D2193" t="s">
        <v>24</v>
      </c>
      <c r="E2193" t="s">
        <v>31</v>
      </c>
      <c r="F2193" t="s">
        <v>26</v>
      </c>
      <c r="G2193" t="s">
        <v>27</v>
      </c>
    </row>
    <row r="2194" spans="1:7" x14ac:dyDescent="0.2">
      <c r="A2194">
        <v>23</v>
      </c>
      <c r="B2194">
        <v>45</v>
      </c>
      <c r="C2194" t="s">
        <v>1254</v>
      </c>
      <c r="D2194" t="s">
        <v>24</v>
      </c>
      <c r="E2194" t="s">
        <v>31</v>
      </c>
      <c r="F2194" t="s">
        <v>26</v>
      </c>
      <c r="G2194" t="s">
        <v>27</v>
      </c>
    </row>
    <row r="2195" spans="1:7" x14ac:dyDescent="0.2">
      <c r="A2195">
        <v>23</v>
      </c>
      <c r="B2195">
        <v>45</v>
      </c>
      <c r="C2195" t="s">
        <v>1399</v>
      </c>
      <c r="D2195" t="s">
        <v>24</v>
      </c>
      <c r="E2195" t="s">
        <v>31</v>
      </c>
      <c r="F2195" t="s">
        <v>26</v>
      </c>
      <c r="G2195" t="s">
        <v>27</v>
      </c>
    </row>
    <row r="2196" spans="1:7" x14ac:dyDescent="0.2">
      <c r="A2196">
        <v>23</v>
      </c>
      <c r="B2196">
        <v>45</v>
      </c>
      <c r="C2196" t="s">
        <v>1259</v>
      </c>
      <c r="D2196" t="s">
        <v>24</v>
      </c>
      <c r="E2196" t="s">
        <v>31</v>
      </c>
      <c r="F2196" t="s">
        <v>26</v>
      </c>
      <c r="G2196" t="s">
        <v>27</v>
      </c>
    </row>
    <row r="2197" spans="1:7" x14ac:dyDescent="0.2">
      <c r="A2197">
        <v>7</v>
      </c>
      <c r="B2197">
        <v>46</v>
      </c>
      <c r="C2197" t="s">
        <v>1400</v>
      </c>
      <c r="D2197" t="s">
        <v>24</v>
      </c>
      <c r="E2197" t="s">
        <v>25</v>
      </c>
      <c r="F2197" t="s">
        <v>26</v>
      </c>
      <c r="G2197" t="s">
        <v>27</v>
      </c>
    </row>
    <row r="2198" spans="1:7" x14ac:dyDescent="0.2">
      <c r="A2198">
        <v>7</v>
      </c>
      <c r="B2198">
        <v>46</v>
      </c>
      <c r="C2198" t="s">
        <v>1401</v>
      </c>
      <c r="D2198" t="s">
        <v>24</v>
      </c>
      <c r="E2198" t="s">
        <v>25</v>
      </c>
      <c r="F2198" t="s">
        <v>26</v>
      </c>
      <c r="G2198" t="s">
        <v>27</v>
      </c>
    </row>
    <row r="2199" spans="1:7" x14ac:dyDescent="0.2">
      <c r="A2199">
        <v>7</v>
      </c>
      <c r="B2199">
        <v>46</v>
      </c>
      <c r="C2199" t="s">
        <v>1402</v>
      </c>
      <c r="D2199" t="s">
        <v>24</v>
      </c>
      <c r="E2199" t="s">
        <v>25</v>
      </c>
      <c r="F2199" t="s">
        <v>26</v>
      </c>
      <c r="G2199" t="s">
        <v>27</v>
      </c>
    </row>
    <row r="2200" spans="1:7" x14ac:dyDescent="0.2">
      <c r="A2200">
        <v>7</v>
      </c>
      <c r="B2200">
        <v>46</v>
      </c>
      <c r="C2200" t="s">
        <v>1403</v>
      </c>
      <c r="D2200" t="s">
        <v>24</v>
      </c>
      <c r="E2200" t="s">
        <v>25</v>
      </c>
      <c r="F2200" t="s">
        <v>26</v>
      </c>
      <c r="G2200" t="s">
        <v>27</v>
      </c>
    </row>
    <row r="2201" spans="1:7" x14ac:dyDescent="0.2">
      <c r="A2201">
        <v>8</v>
      </c>
      <c r="B2201">
        <v>46</v>
      </c>
      <c r="C2201" t="s">
        <v>1404</v>
      </c>
      <c r="D2201" t="s">
        <v>24</v>
      </c>
      <c r="E2201" t="s">
        <v>31</v>
      </c>
      <c r="F2201" t="s">
        <v>26</v>
      </c>
      <c r="G2201" t="s">
        <v>27</v>
      </c>
    </row>
    <row r="2202" spans="1:7" x14ac:dyDescent="0.2">
      <c r="A2202">
        <v>8</v>
      </c>
      <c r="B2202">
        <v>46</v>
      </c>
      <c r="C2202" t="s">
        <v>1405</v>
      </c>
      <c r="D2202" t="s">
        <v>24</v>
      </c>
      <c r="E2202" t="s">
        <v>31</v>
      </c>
      <c r="F2202" t="s">
        <v>26</v>
      </c>
      <c r="G2202" t="s">
        <v>27</v>
      </c>
    </row>
    <row r="2203" spans="1:7" x14ac:dyDescent="0.2">
      <c r="A2203">
        <v>8</v>
      </c>
      <c r="B2203">
        <v>46</v>
      </c>
      <c r="C2203" t="s">
        <v>1406</v>
      </c>
      <c r="D2203" t="s">
        <v>24</v>
      </c>
      <c r="E2203" t="s">
        <v>31</v>
      </c>
      <c r="F2203" t="s">
        <v>26</v>
      </c>
      <c r="G2203" t="s">
        <v>27</v>
      </c>
    </row>
    <row r="2204" spans="1:7" x14ac:dyDescent="0.2">
      <c r="A2204">
        <v>9</v>
      </c>
      <c r="B2204">
        <v>46</v>
      </c>
      <c r="C2204" t="s">
        <v>1405</v>
      </c>
      <c r="D2204" t="s">
        <v>24</v>
      </c>
      <c r="E2204" t="s">
        <v>31</v>
      </c>
      <c r="F2204" t="s">
        <v>26</v>
      </c>
      <c r="G2204" t="s">
        <v>27</v>
      </c>
    </row>
    <row r="2205" spans="1:7" x14ac:dyDescent="0.2">
      <c r="A2205">
        <v>9</v>
      </c>
      <c r="B2205">
        <v>46</v>
      </c>
      <c r="C2205" t="s">
        <v>1407</v>
      </c>
      <c r="D2205" t="s">
        <v>24</v>
      </c>
      <c r="E2205" t="s">
        <v>31</v>
      </c>
      <c r="F2205" t="s">
        <v>26</v>
      </c>
      <c r="G2205" t="s">
        <v>27</v>
      </c>
    </row>
    <row r="2206" spans="1:7" x14ac:dyDescent="0.2">
      <c r="A2206">
        <v>9</v>
      </c>
      <c r="B2206">
        <v>46</v>
      </c>
      <c r="C2206" t="s">
        <v>1408</v>
      </c>
      <c r="D2206" t="s">
        <v>24</v>
      </c>
      <c r="E2206" t="s">
        <v>31</v>
      </c>
      <c r="F2206" t="s">
        <v>26</v>
      </c>
      <c r="G2206" t="s">
        <v>27</v>
      </c>
    </row>
    <row r="2207" spans="1:7" x14ac:dyDescent="0.2">
      <c r="A2207">
        <v>10</v>
      </c>
      <c r="B2207">
        <v>46</v>
      </c>
      <c r="C2207" t="s">
        <v>1409</v>
      </c>
      <c r="D2207" t="s">
        <v>24</v>
      </c>
      <c r="E2207" t="s">
        <v>25</v>
      </c>
      <c r="F2207" t="s">
        <v>26</v>
      </c>
      <c r="G2207" t="s">
        <v>27</v>
      </c>
    </row>
    <row r="2208" spans="1:7" x14ac:dyDescent="0.2">
      <c r="A2208">
        <v>10</v>
      </c>
      <c r="B2208">
        <v>46</v>
      </c>
      <c r="C2208" t="s">
        <v>1410</v>
      </c>
      <c r="D2208" t="s">
        <v>24</v>
      </c>
      <c r="E2208" t="s">
        <v>25</v>
      </c>
      <c r="F2208" t="s">
        <v>26</v>
      </c>
      <c r="G2208" t="s">
        <v>27</v>
      </c>
    </row>
    <row r="2209" spans="1:7" x14ac:dyDescent="0.2">
      <c r="A2209">
        <v>10</v>
      </c>
      <c r="B2209">
        <v>46</v>
      </c>
      <c r="C2209" t="s">
        <v>1411</v>
      </c>
      <c r="D2209" t="s">
        <v>24</v>
      </c>
      <c r="E2209" t="s">
        <v>25</v>
      </c>
      <c r="F2209" t="s">
        <v>26</v>
      </c>
      <c r="G2209" t="s">
        <v>27</v>
      </c>
    </row>
    <row r="2210" spans="1:7" x14ac:dyDescent="0.2">
      <c r="A2210">
        <v>10</v>
      </c>
      <c r="B2210">
        <v>46</v>
      </c>
      <c r="C2210" t="s">
        <v>1412</v>
      </c>
      <c r="D2210" t="s">
        <v>24</v>
      </c>
      <c r="E2210" t="s">
        <v>25</v>
      </c>
      <c r="F2210" t="s">
        <v>26</v>
      </c>
      <c r="G2210" t="s">
        <v>27</v>
      </c>
    </row>
    <row r="2211" spans="1:7" x14ac:dyDescent="0.2">
      <c r="A2211">
        <v>10</v>
      </c>
      <c r="B2211">
        <v>46</v>
      </c>
      <c r="C2211" t="s">
        <v>1413</v>
      </c>
      <c r="D2211" t="s">
        <v>24</v>
      </c>
      <c r="E2211" t="s">
        <v>25</v>
      </c>
      <c r="F2211" t="s">
        <v>26</v>
      </c>
      <c r="G2211" t="s">
        <v>27</v>
      </c>
    </row>
    <row r="2212" spans="1:7" x14ac:dyDescent="0.2">
      <c r="A2212">
        <v>10</v>
      </c>
      <c r="B2212">
        <v>46</v>
      </c>
      <c r="C2212" t="s">
        <v>1414</v>
      </c>
      <c r="D2212" t="s">
        <v>24</v>
      </c>
      <c r="E2212" t="s">
        <v>25</v>
      </c>
      <c r="F2212" t="s">
        <v>26</v>
      </c>
      <c r="G2212" t="s">
        <v>27</v>
      </c>
    </row>
    <row r="2213" spans="1:7" x14ac:dyDescent="0.2">
      <c r="A2213">
        <v>10</v>
      </c>
      <c r="B2213">
        <v>46</v>
      </c>
      <c r="C2213" t="s">
        <v>1415</v>
      </c>
      <c r="D2213" t="s">
        <v>24</v>
      </c>
      <c r="E2213" t="s">
        <v>25</v>
      </c>
      <c r="F2213" t="s">
        <v>26</v>
      </c>
      <c r="G2213" t="s">
        <v>27</v>
      </c>
    </row>
    <row r="2214" spans="1:7" x14ac:dyDescent="0.2">
      <c r="A2214">
        <v>11</v>
      </c>
      <c r="B2214">
        <v>46</v>
      </c>
      <c r="C2214" t="s">
        <v>1416</v>
      </c>
      <c r="D2214" t="s">
        <v>24</v>
      </c>
      <c r="E2214" t="s">
        <v>31</v>
      </c>
      <c r="F2214" t="s">
        <v>26</v>
      </c>
      <c r="G2214" t="s">
        <v>27</v>
      </c>
    </row>
    <row r="2215" spans="1:7" x14ac:dyDescent="0.2">
      <c r="A2215">
        <v>11</v>
      </c>
      <c r="B2215">
        <v>46</v>
      </c>
      <c r="C2215" t="s">
        <v>1405</v>
      </c>
      <c r="D2215" t="s">
        <v>24</v>
      </c>
      <c r="E2215" t="s">
        <v>31</v>
      </c>
      <c r="F2215" t="s">
        <v>26</v>
      </c>
      <c r="G2215" t="s">
        <v>27</v>
      </c>
    </row>
    <row r="2216" spans="1:7" x14ac:dyDescent="0.2">
      <c r="A2216">
        <v>11</v>
      </c>
      <c r="B2216">
        <v>46</v>
      </c>
      <c r="C2216" t="s">
        <v>1417</v>
      </c>
      <c r="D2216" t="s">
        <v>24</v>
      </c>
      <c r="E2216" t="s">
        <v>31</v>
      </c>
      <c r="F2216" t="s">
        <v>26</v>
      </c>
      <c r="G2216" t="s">
        <v>27</v>
      </c>
    </row>
    <row r="2217" spans="1:7" x14ac:dyDescent="0.2">
      <c r="A2217">
        <v>11</v>
      </c>
      <c r="B2217">
        <v>46</v>
      </c>
      <c r="C2217" t="s">
        <v>1418</v>
      </c>
      <c r="D2217" t="s">
        <v>24</v>
      </c>
      <c r="E2217" t="s">
        <v>31</v>
      </c>
      <c r="F2217" t="s">
        <v>26</v>
      </c>
      <c r="G2217" t="s">
        <v>27</v>
      </c>
    </row>
    <row r="2218" spans="1:7" x14ac:dyDescent="0.2">
      <c r="A2218">
        <v>12</v>
      </c>
      <c r="B2218">
        <v>46</v>
      </c>
      <c r="C2218" t="s">
        <v>1419</v>
      </c>
      <c r="D2218" t="s">
        <v>24</v>
      </c>
      <c r="E2218" t="s">
        <v>31</v>
      </c>
      <c r="F2218" t="s">
        <v>47</v>
      </c>
      <c r="G2218" t="s">
        <v>27</v>
      </c>
    </row>
    <row r="2219" spans="1:7" x14ac:dyDescent="0.2">
      <c r="A2219">
        <v>12</v>
      </c>
      <c r="B2219">
        <v>46</v>
      </c>
      <c r="C2219" t="s">
        <v>1420</v>
      </c>
      <c r="D2219" t="s">
        <v>24</v>
      </c>
      <c r="E2219" t="s">
        <v>31</v>
      </c>
      <c r="F2219" t="s">
        <v>47</v>
      </c>
      <c r="G2219" t="s">
        <v>27</v>
      </c>
    </row>
    <row r="2220" spans="1:7" x14ac:dyDescent="0.2">
      <c r="A2220">
        <v>12</v>
      </c>
      <c r="B2220">
        <v>46</v>
      </c>
      <c r="C2220" t="s">
        <v>1417</v>
      </c>
      <c r="D2220" t="s">
        <v>24</v>
      </c>
      <c r="E2220" t="s">
        <v>31</v>
      </c>
      <c r="F2220" t="s">
        <v>47</v>
      </c>
      <c r="G2220" t="s">
        <v>27</v>
      </c>
    </row>
    <row r="2221" spans="1:7" x14ac:dyDescent="0.2">
      <c r="A2221">
        <v>12</v>
      </c>
      <c r="B2221">
        <v>46</v>
      </c>
      <c r="C2221" t="s">
        <v>1405</v>
      </c>
      <c r="D2221" t="s">
        <v>24</v>
      </c>
      <c r="E2221" t="s">
        <v>31</v>
      </c>
      <c r="F2221" t="s">
        <v>47</v>
      </c>
      <c r="G2221" t="s">
        <v>27</v>
      </c>
    </row>
    <row r="2222" spans="1:7" x14ac:dyDescent="0.2">
      <c r="A2222">
        <v>12</v>
      </c>
      <c r="B2222">
        <v>46</v>
      </c>
      <c r="C2222" t="s">
        <v>1416</v>
      </c>
      <c r="D2222" t="s">
        <v>24</v>
      </c>
      <c r="E2222" t="s">
        <v>31</v>
      </c>
      <c r="F2222" t="s">
        <v>47</v>
      </c>
      <c r="G2222" t="s">
        <v>27</v>
      </c>
    </row>
    <row r="2223" spans="1:7" x14ac:dyDescent="0.2">
      <c r="A2223">
        <v>12</v>
      </c>
      <c r="B2223">
        <v>46</v>
      </c>
      <c r="C2223" t="s">
        <v>1421</v>
      </c>
      <c r="D2223" t="s">
        <v>24</v>
      </c>
      <c r="E2223" t="s">
        <v>31</v>
      </c>
      <c r="F2223" t="s">
        <v>47</v>
      </c>
      <c r="G2223" t="s">
        <v>27</v>
      </c>
    </row>
    <row r="2224" spans="1:7" x14ac:dyDescent="0.2">
      <c r="A2224">
        <v>12</v>
      </c>
      <c r="B2224">
        <v>46</v>
      </c>
      <c r="C2224" t="s">
        <v>1422</v>
      </c>
      <c r="D2224" t="s">
        <v>24</v>
      </c>
      <c r="E2224" t="s">
        <v>31</v>
      </c>
      <c r="F2224" t="s">
        <v>47</v>
      </c>
      <c r="G2224" t="s">
        <v>27</v>
      </c>
    </row>
    <row r="2225" spans="1:7" x14ac:dyDescent="0.2">
      <c r="A2225">
        <v>12</v>
      </c>
      <c r="B2225">
        <v>46</v>
      </c>
      <c r="C2225" t="s">
        <v>1423</v>
      </c>
      <c r="D2225" t="s">
        <v>24</v>
      </c>
      <c r="E2225" t="s">
        <v>31</v>
      </c>
      <c r="F2225" t="s">
        <v>47</v>
      </c>
      <c r="G2225" t="s">
        <v>27</v>
      </c>
    </row>
    <row r="2226" spans="1:7" x14ac:dyDescent="0.2">
      <c r="A2226">
        <v>12</v>
      </c>
      <c r="B2226">
        <v>46</v>
      </c>
      <c r="C2226" t="s">
        <v>1424</v>
      </c>
      <c r="D2226" t="s">
        <v>24</v>
      </c>
      <c r="E2226" t="s">
        <v>31</v>
      </c>
      <c r="F2226" t="s">
        <v>47</v>
      </c>
      <c r="G2226" t="s">
        <v>27</v>
      </c>
    </row>
    <row r="2227" spans="1:7" x14ac:dyDescent="0.2">
      <c r="A2227">
        <v>13</v>
      </c>
      <c r="B2227">
        <v>48</v>
      </c>
      <c r="C2227" t="s">
        <v>1423</v>
      </c>
      <c r="D2227" t="s">
        <v>24</v>
      </c>
      <c r="E2227" t="s">
        <v>25</v>
      </c>
      <c r="F2227" t="s">
        <v>26</v>
      </c>
      <c r="G2227" t="s">
        <v>27</v>
      </c>
    </row>
    <row r="2228" spans="1:7" x14ac:dyDescent="0.2">
      <c r="A2228">
        <v>13</v>
      </c>
      <c r="B2228">
        <v>46</v>
      </c>
      <c r="C2228" t="s">
        <v>1425</v>
      </c>
      <c r="D2228" t="s">
        <v>24</v>
      </c>
      <c r="E2228" t="s">
        <v>25</v>
      </c>
      <c r="F2228" t="s">
        <v>26</v>
      </c>
      <c r="G2228" t="s">
        <v>27</v>
      </c>
    </row>
    <row r="2229" spans="1:7" x14ac:dyDescent="0.2">
      <c r="A2229">
        <v>13</v>
      </c>
      <c r="B2229">
        <v>48</v>
      </c>
      <c r="C2229" t="s">
        <v>1421</v>
      </c>
      <c r="D2229" t="s">
        <v>24</v>
      </c>
      <c r="E2229" t="s">
        <v>25</v>
      </c>
      <c r="F2229" t="s">
        <v>26</v>
      </c>
      <c r="G2229" t="s">
        <v>27</v>
      </c>
    </row>
    <row r="2230" spans="1:7" x14ac:dyDescent="0.2">
      <c r="A2230">
        <v>13</v>
      </c>
      <c r="B2230">
        <v>46</v>
      </c>
      <c r="C2230" t="s">
        <v>1416</v>
      </c>
      <c r="D2230" t="s">
        <v>24</v>
      </c>
      <c r="E2230" t="s">
        <v>25</v>
      </c>
      <c r="F2230" t="s">
        <v>26</v>
      </c>
      <c r="G2230" t="s">
        <v>27</v>
      </c>
    </row>
    <row r="2231" spans="1:7" x14ac:dyDescent="0.2">
      <c r="A2231">
        <v>13</v>
      </c>
      <c r="B2231">
        <v>46</v>
      </c>
      <c r="C2231" t="s">
        <v>1405</v>
      </c>
      <c r="D2231" t="s">
        <v>24</v>
      </c>
      <c r="E2231" t="s">
        <v>25</v>
      </c>
      <c r="F2231" t="s">
        <v>26</v>
      </c>
      <c r="G2231" t="s">
        <v>27</v>
      </c>
    </row>
    <row r="2232" spans="1:7" x14ac:dyDescent="0.2">
      <c r="A2232">
        <v>13</v>
      </c>
      <c r="B2232">
        <v>46</v>
      </c>
      <c r="C2232" t="s">
        <v>1417</v>
      </c>
      <c r="D2232" t="s">
        <v>24</v>
      </c>
      <c r="E2232" t="s">
        <v>25</v>
      </c>
      <c r="F2232" t="s">
        <v>26</v>
      </c>
      <c r="G2232" t="s">
        <v>27</v>
      </c>
    </row>
    <row r="2233" spans="1:7" x14ac:dyDescent="0.2">
      <c r="A2233">
        <v>14</v>
      </c>
      <c r="B2233">
        <v>46</v>
      </c>
      <c r="C2233" t="s">
        <v>1416</v>
      </c>
      <c r="D2233" t="s">
        <v>24</v>
      </c>
      <c r="E2233" t="s">
        <v>31</v>
      </c>
      <c r="F2233" t="s">
        <v>47</v>
      </c>
      <c r="G2233" t="s">
        <v>27</v>
      </c>
    </row>
    <row r="2234" spans="1:7" x14ac:dyDescent="0.2">
      <c r="A2234">
        <v>14</v>
      </c>
      <c r="B2234">
        <v>46</v>
      </c>
      <c r="C2234" t="s">
        <v>1426</v>
      </c>
      <c r="D2234" t="s">
        <v>24</v>
      </c>
      <c r="E2234" t="s">
        <v>31</v>
      </c>
      <c r="F2234" t="s">
        <v>47</v>
      </c>
      <c r="G2234" t="s">
        <v>27</v>
      </c>
    </row>
    <row r="2235" spans="1:7" x14ac:dyDescent="0.2">
      <c r="A2235">
        <v>14</v>
      </c>
      <c r="B2235">
        <v>46</v>
      </c>
      <c r="C2235" t="s">
        <v>1405</v>
      </c>
      <c r="D2235" t="s">
        <v>24</v>
      </c>
      <c r="E2235" t="s">
        <v>31</v>
      </c>
      <c r="F2235" t="s">
        <v>47</v>
      </c>
      <c r="G2235" t="s">
        <v>27</v>
      </c>
    </row>
    <row r="2236" spans="1:7" x14ac:dyDescent="0.2">
      <c r="A2236">
        <v>15</v>
      </c>
      <c r="B2236">
        <v>46</v>
      </c>
      <c r="C2236" t="s">
        <v>1416</v>
      </c>
      <c r="D2236" t="s">
        <v>24</v>
      </c>
      <c r="E2236" t="s">
        <v>31</v>
      </c>
      <c r="F2236" t="s">
        <v>47</v>
      </c>
      <c r="G2236" t="s">
        <v>27</v>
      </c>
    </row>
    <row r="2237" spans="1:7" x14ac:dyDescent="0.2">
      <c r="A2237">
        <v>15</v>
      </c>
      <c r="B2237">
        <v>46</v>
      </c>
      <c r="C2237" t="s">
        <v>1427</v>
      </c>
      <c r="D2237" t="s">
        <v>24</v>
      </c>
      <c r="E2237" t="s">
        <v>31</v>
      </c>
      <c r="F2237" t="s">
        <v>47</v>
      </c>
      <c r="G2237" t="s">
        <v>27</v>
      </c>
    </row>
    <row r="2238" spans="1:7" x14ac:dyDescent="0.2">
      <c r="A2238">
        <v>15</v>
      </c>
      <c r="B2238">
        <v>46</v>
      </c>
      <c r="C2238" t="s">
        <v>1428</v>
      </c>
      <c r="D2238" t="s">
        <v>24</v>
      </c>
      <c r="E2238" t="s">
        <v>31</v>
      </c>
      <c r="F2238" t="s">
        <v>47</v>
      </c>
      <c r="G2238" t="s">
        <v>27</v>
      </c>
    </row>
    <row r="2239" spans="1:7" x14ac:dyDescent="0.2">
      <c r="A2239">
        <v>16</v>
      </c>
      <c r="B2239">
        <v>46</v>
      </c>
      <c r="C2239" t="s">
        <v>2053</v>
      </c>
      <c r="D2239" t="s">
        <v>24</v>
      </c>
      <c r="E2239" t="s">
        <v>31</v>
      </c>
      <c r="F2239" t="s">
        <v>26</v>
      </c>
      <c r="G2239" t="s">
        <v>27</v>
      </c>
    </row>
    <row r="2240" spans="1:7" x14ac:dyDescent="0.2">
      <c r="A2240">
        <v>16</v>
      </c>
      <c r="B2240">
        <v>46</v>
      </c>
      <c r="C2240" t="s">
        <v>1417</v>
      </c>
      <c r="D2240" t="s">
        <v>24</v>
      </c>
      <c r="E2240" t="s">
        <v>31</v>
      </c>
      <c r="F2240" t="s">
        <v>26</v>
      </c>
      <c r="G2240" t="s">
        <v>27</v>
      </c>
    </row>
    <row r="2241" spans="1:7" x14ac:dyDescent="0.2">
      <c r="A2241">
        <v>17</v>
      </c>
      <c r="B2241">
        <v>46</v>
      </c>
      <c r="C2241" t="s">
        <v>1429</v>
      </c>
      <c r="D2241" t="s">
        <v>24</v>
      </c>
      <c r="E2241" t="s">
        <v>25</v>
      </c>
      <c r="F2241" t="s">
        <v>26</v>
      </c>
      <c r="G2241" t="s">
        <v>27</v>
      </c>
    </row>
    <row r="2242" spans="1:7" x14ac:dyDescent="0.2">
      <c r="A2242">
        <v>17</v>
      </c>
      <c r="B2242">
        <v>46</v>
      </c>
      <c r="C2242" t="s">
        <v>1430</v>
      </c>
      <c r="D2242" t="s">
        <v>24</v>
      </c>
      <c r="E2242" t="s">
        <v>31</v>
      </c>
      <c r="F2242" t="s">
        <v>26</v>
      </c>
      <c r="G2242" t="s">
        <v>27</v>
      </c>
    </row>
    <row r="2243" spans="1:7" x14ac:dyDescent="0.2">
      <c r="A2243">
        <v>17</v>
      </c>
      <c r="B2243">
        <v>46</v>
      </c>
      <c r="C2243" t="s">
        <v>1431</v>
      </c>
      <c r="D2243" t="s">
        <v>24</v>
      </c>
      <c r="E2243" t="s">
        <v>31</v>
      </c>
      <c r="F2243" t="s">
        <v>26</v>
      </c>
      <c r="G2243" t="s">
        <v>27</v>
      </c>
    </row>
    <row r="2244" spans="1:7" x14ac:dyDescent="0.2">
      <c r="A2244">
        <v>17</v>
      </c>
      <c r="B2244">
        <v>46</v>
      </c>
      <c r="C2244" t="s">
        <v>1417</v>
      </c>
      <c r="D2244" t="s">
        <v>24</v>
      </c>
      <c r="E2244" t="s">
        <v>31</v>
      </c>
      <c r="F2244" t="s">
        <v>26</v>
      </c>
      <c r="G2244" t="s">
        <v>27</v>
      </c>
    </row>
    <row r="2245" spans="1:7" x14ac:dyDescent="0.2">
      <c r="A2245">
        <v>18</v>
      </c>
      <c r="B2245">
        <v>46</v>
      </c>
      <c r="C2245" t="s">
        <v>1416</v>
      </c>
      <c r="D2245" t="s">
        <v>24</v>
      </c>
      <c r="E2245" t="s">
        <v>31</v>
      </c>
      <c r="F2245" t="s">
        <v>47</v>
      </c>
      <c r="G2245" t="s">
        <v>27</v>
      </c>
    </row>
    <row r="2246" spans="1:7" x14ac:dyDescent="0.2">
      <c r="A2246">
        <v>18</v>
      </c>
      <c r="B2246">
        <v>46</v>
      </c>
      <c r="C2246" t="s">
        <v>1427</v>
      </c>
      <c r="D2246" t="s">
        <v>24</v>
      </c>
      <c r="E2246" t="s">
        <v>31</v>
      </c>
      <c r="F2246" t="s">
        <v>47</v>
      </c>
      <c r="G2246" t="s">
        <v>27</v>
      </c>
    </row>
    <row r="2247" spans="1:7" x14ac:dyDescent="0.2">
      <c r="A2247">
        <v>18</v>
      </c>
      <c r="B2247">
        <v>46</v>
      </c>
      <c r="C2247" t="s">
        <v>1405</v>
      </c>
      <c r="D2247" t="s">
        <v>24</v>
      </c>
      <c r="E2247" t="s">
        <v>31</v>
      </c>
      <c r="F2247" t="s">
        <v>47</v>
      </c>
      <c r="G2247" t="s">
        <v>27</v>
      </c>
    </row>
    <row r="2248" spans="1:7" x14ac:dyDescent="0.2">
      <c r="A2248">
        <v>18</v>
      </c>
      <c r="B2248">
        <v>46</v>
      </c>
      <c r="C2248" t="s">
        <v>1432</v>
      </c>
      <c r="D2248" t="s">
        <v>24</v>
      </c>
      <c r="E2248" t="s">
        <v>31</v>
      </c>
      <c r="F2248" t="s">
        <v>47</v>
      </c>
      <c r="G2248" t="s">
        <v>27</v>
      </c>
    </row>
    <row r="2249" spans="1:7" x14ac:dyDescent="0.2">
      <c r="A2249">
        <v>19</v>
      </c>
      <c r="B2249">
        <v>46</v>
      </c>
      <c r="C2249" t="s">
        <v>1433</v>
      </c>
      <c r="D2249" t="s">
        <v>24</v>
      </c>
      <c r="E2249" t="s">
        <v>31</v>
      </c>
      <c r="F2249" t="s">
        <v>26</v>
      </c>
      <c r="G2249" t="s">
        <v>27</v>
      </c>
    </row>
    <row r="2250" spans="1:7" x14ac:dyDescent="0.2">
      <c r="A2250">
        <v>19</v>
      </c>
      <c r="B2250">
        <v>46</v>
      </c>
      <c r="C2250" t="s">
        <v>1434</v>
      </c>
      <c r="D2250" t="s">
        <v>24</v>
      </c>
      <c r="E2250" t="s">
        <v>31</v>
      </c>
      <c r="F2250" t="s">
        <v>26</v>
      </c>
      <c r="G2250" t="s">
        <v>27</v>
      </c>
    </row>
    <row r="2251" spans="1:7" x14ac:dyDescent="0.2">
      <c r="A2251">
        <v>20</v>
      </c>
      <c r="B2251">
        <v>46</v>
      </c>
      <c r="C2251" t="s">
        <v>1429</v>
      </c>
      <c r="D2251" t="s">
        <v>24</v>
      </c>
      <c r="E2251" t="s">
        <v>31</v>
      </c>
      <c r="F2251" t="s">
        <v>26</v>
      </c>
      <c r="G2251" t="s">
        <v>27</v>
      </c>
    </row>
    <row r="2252" spans="1:7" x14ac:dyDescent="0.2">
      <c r="A2252">
        <v>20</v>
      </c>
      <c r="B2252">
        <v>46</v>
      </c>
      <c r="C2252" t="s">
        <v>1430</v>
      </c>
      <c r="D2252" t="s">
        <v>24</v>
      </c>
      <c r="E2252" t="s">
        <v>31</v>
      </c>
      <c r="F2252" t="s">
        <v>26</v>
      </c>
      <c r="G2252" t="s">
        <v>27</v>
      </c>
    </row>
    <row r="2253" spans="1:7" x14ac:dyDescent="0.2">
      <c r="A2253">
        <v>20</v>
      </c>
      <c r="B2253">
        <v>46</v>
      </c>
      <c r="C2253" t="s">
        <v>1434</v>
      </c>
      <c r="D2253" t="s">
        <v>24</v>
      </c>
      <c r="E2253" t="s">
        <v>31</v>
      </c>
      <c r="F2253" t="s">
        <v>26</v>
      </c>
      <c r="G2253" t="s">
        <v>27</v>
      </c>
    </row>
    <row r="2254" spans="1:7" x14ac:dyDescent="0.2">
      <c r="A2254">
        <v>20</v>
      </c>
      <c r="B2254">
        <v>46</v>
      </c>
      <c r="C2254" t="s">
        <v>1433</v>
      </c>
      <c r="D2254" t="s">
        <v>24</v>
      </c>
      <c r="E2254" t="s">
        <v>31</v>
      </c>
      <c r="F2254" t="s">
        <v>26</v>
      </c>
      <c r="G2254" t="s">
        <v>27</v>
      </c>
    </row>
    <row r="2255" spans="1:7" x14ac:dyDescent="0.2">
      <c r="A2255">
        <v>21</v>
      </c>
      <c r="B2255">
        <v>46</v>
      </c>
      <c r="C2255" t="s">
        <v>1435</v>
      </c>
      <c r="D2255" t="s">
        <v>24</v>
      </c>
      <c r="E2255" t="s">
        <v>25</v>
      </c>
      <c r="F2255" t="s">
        <v>26</v>
      </c>
      <c r="G2255" t="s">
        <v>27</v>
      </c>
    </row>
    <row r="2256" spans="1:7" x14ac:dyDescent="0.2">
      <c r="A2256">
        <v>21</v>
      </c>
      <c r="B2256">
        <v>46</v>
      </c>
      <c r="C2256" t="s">
        <v>1436</v>
      </c>
      <c r="D2256" t="s">
        <v>24</v>
      </c>
      <c r="E2256" t="s">
        <v>25</v>
      </c>
      <c r="F2256" t="s">
        <v>26</v>
      </c>
      <c r="G2256" t="s">
        <v>27</v>
      </c>
    </row>
    <row r="2257" spans="1:7" x14ac:dyDescent="0.2">
      <c r="A2257">
        <v>21</v>
      </c>
      <c r="B2257">
        <v>46</v>
      </c>
      <c r="C2257" t="s">
        <v>1437</v>
      </c>
      <c r="D2257" t="s">
        <v>24</v>
      </c>
      <c r="E2257" t="s">
        <v>25</v>
      </c>
      <c r="F2257" t="s">
        <v>26</v>
      </c>
      <c r="G2257" t="s">
        <v>27</v>
      </c>
    </row>
    <row r="2258" spans="1:7" x14ac:dyDescent="0.2">
      <c r="A2258">
        <v>22</v>
      </c>
      <c r="B2258">
        <v>46</v>
      </c>
      <c r="C2258" t="s">
        <v>1429</v>
      </c>
      <c r="D2258" t="s">
        <v>24</v>
      </c>
      <c r="E2258" t="s">
        <v>25</v>
      </c>
      <c r="F2258" t="s">
        <v>26</v>
      </c>
      <c r="G2258" t="s">
        <v>27</v>
      </c>
    </row>
    <row r="2259" spans="1:7" x14ac:dyDescent="0.2">
      <c r="A2259">
        <v>22</v>
      </c>
      <c r="B2259">
        <v>46</v>
      </c>
      <c r="C2259" t="s">
        <v>1438</v>
      </c>
      <c r="D2259" t="s">
        <v>24</v>
      </c>
      <c r="E2259" t="s">
        <v>31</v>
      </c>
      <c r="F2259" t="s">
        <v>26</v>
      </c>
      <c r="G2259" t="s">
        <v>27</v>
      </c>
    </row>
    <row r="2260" spans="1:7" x14ac:dyDescent="0.2">
      <c r="A2260">
        <v>22</v>
      </c>
      <c r="B2260">
        <v>46</v>
      </c>
      <c r="C2260" t="s">
        <v>1406</v>
      </c>
      <c r="D2260" t="s">
        <v>24</v>
      </c>
      <c r="E2260" t="s">
        <v>31</v>
      </c>
      <c r="F2260" t="s">
        <v>26</v>
      </c>
      <c r="G2260" t="s">
        <v>27</v>
      </c>
    </row>
    <row r="2261" spans="1:7" x14ac:dyDescent="0.2">
      <c r="A2261">
        <v>22</v>
      </c>
      <c r="B2261">
        <v>46</v>
      </c>
      <c r="C2261" t="s">
        <v>1439</v>
      </c>
      <c r="D2261" t="s">
        <v>24</v>
      </c>
      <c r="E2261" t="s">
        <v>31</v>
      </c>
      <c r="F2261" t="s">
        <v>26</v>
      </c>
      <c r="G2261" t="s">
        <v>27</v>
      </c>
    </row>
    <row r="2262" spans="1:7" x14ac:dyDescent="0.2">
      <c r="A2262">
        <v>22</v>
      </c>
      <c r="B2262">
        <v>46</v>
      </c>
      <c r="C2262" t="s">
        <v>1440</v>
      </c>
      <c r="D2262" t="s">
        <v>24</v>
      </c>
      <c r="E2262" t="s">
        <v>31</v>
      </c>
      <c r="F2262" t="s">
        <v>26</v>
      </c>
      <c r="G2262" t="s">
        <v>27</v>
      </c>
    </row>
    <row r="2263" spans="1:7" x14ac:dyDescent="0.2">
      <c r="A2263">
        <v>22</v>
      </c>
      <c r="B2263">
        <v>46</v>
      </c>
      <c r="C2263" t="s">
        <v>1441</v>
      </c>
      <c r="D2263" t="s">
        <v>24</v>
      </c>
      <c r="E2263" t="s">
        <v>31</v>
      </c>
      <c r="F2263" t="s">
        <v>26</v>
      </c>
      <c r="G2263" t="s">
        <v>27</v>
      </c>
    </row>
    <row r="2264" spans="1:7" x14ac:dyDescent="0.2">
      <c r="A2264">
        <v>23</v>
      </c>
      <c r="B2264">
        <v>46</v>
      </c>
      <c r="C2264" t="s">
        <v>1429</v>
      </c>
      <c r="D2264" t="s">
        <v>24</v>
      </c>
      <c r="E2264" t="s">
        <v>31</v>
      </c>
      <c r="F2264" t="s">
        <v>26</v>
      </c>
      <c r="G2264" t="s">
        <v>27</v>
      </c>
    </row>
    <row r="2265" spans="1:7" x14ac:dyDescent="0.2">
      <c r="A2265">
        <v>23</v>
      </c>
      <c r="B2265">
        <v>46</v>
      </c>
      <c r="C2265" t="s">
        <v>1438</v>
      </c>
      <c r="D2265" t="s">
        <v>24</v>
      </c>
      <c r="E2265" t="s">
        <v>31</v>
      </c>
      <c r="F2265" t="s">
        <v>26</v>
      </c>
      <c r="G2265" t="s">
        <v>27</v>
      </c>
    </row>
    <row r="2266" spans="1:7" x14ac:dyDescent="0.2">
      <c r="A2266">
        <v>7</v>
      </c>
      <c r="B2266">
        <v>47</v>
      </c>
      <c r="C2266" t="s">
        <v>1442</v>
      </c>
      <c r="D2266" t="s">
        <v>24</v>
      </c>
      <c r="E2266" t="s">
        <v>25</v>
      </c>
      <c r="F2266" t="s">
        <v>26</v>
      </c>
      <c r="G2266" t="s">
        <v>27</v>
      </c>
    </row>
    <row r="2267" spans="1:7" x14ac:dyDescent="0.2">
      <c r="A2267">
        <v>7</v>
      </c>
      <c r="B2267">
        <v>47</v>
      </c>
      <c r="C2267" t="s">
        <v>1443</v>
      </c>
      <c r="D2267" t="s">
        <v>24</v>
      </c>
      <c r="E2267" t="s">
        <v>25</v>
      </c>
      <c r="F2267" t="s">
        <v>26</v>
      </c>
      <c r="G2267" t="s">
        <v>27</v>
      </c>
    </row>
    <row r="2268" spans="1:7" x14ac:dyDescent="0.2">
      <c r="A2268">
        <v>7</v>
      </c>
      <c r="B2268">
        <v>47</v>
      </c>
      <c r="C2268" t="s">
        <v>1413</v>
      </c>
      <c r="D2268" t="s">
        <v>24</v>
      </c>
      <c r="E2268" t="s">
        <v>25</v>
      </c>
      <c r="F2268" t="s">
        <v>26</v>
      </c>
      <c r="G2268" t="s">
        <v>27</v>
      </c>
    </row>
    <row r="2269" spans="1:7" x14ac:dyDescent="0.2">
      <c r="A2269">
        <v>8</v>
      </c>
      <c r="B2269">
        <v>47</v>
      </c>
      <c r="C2269" t="s">
        <v>1444</v>
      </c>
      <c r="D2269" t="s">
        <v>24</v>
      </c>
      <c r="E2269" t="s">
        <v>31</v>
      </c>
      <c r="F2269" t="s">
        <v>26</v>
      </c>
      <c r="G2269" t="s">
        <v>27</v>
      </c>
    </row>
    <row r="2270" spans="1:7" x14ac:dyDescent="0.2">
      <c r="A2270">
        <v>8</v>
      </c>
      <c r="B2270">
        <v>47</v>
      </c>
      <c r="C2270" t="s">
        <v>1445</v>
      </c>
      <c r="D2270" t="s">
        <v>24</v>
      </c>
      <c r="E2270" t="s">
        <v>31</v>
      </c>
      <c r="F2270" t="s">
        <v>26</v>
      </c>
      <c r="G2270" t="s">
        <v>27</v>
      </c>
    </row>
    <row r="2271" spans="1:7" x14ac:dyDescent="0.2">
      <c r="A2271">
        <v>8</v>
      </c>
      <c r="B2271">
        <v>47</v>
      </c>
      <c r="C2271" t="s">
        <v>1446</v>
      </c>
      <c r="D2271" t="s">
        <v>24</v>
      </c>
      <c r="E2271" t="s">
        <v>31</v>
      </c>
      <c r="F2271" t="s">
        <v>26</v>
      </c>
      <c r="G2271" t="s">
        <v>27</v>
      </c>
    </row>
    <row r="2272" spans="1:7" x14ac:dyDescent="0.2">
      <c r="A2272">
        <v>10</v>
      </c>
      <c r="B2272">
        <v>47</v>
      </c>
      <c r="C2272" t="s">
        <v>1447</v>
      </c>
      <c r="D2272" t="s">
        <v>24</v>
      </c>
      <c r="E2272" t="s">
        <v>25</v>
      </c>
      <c r="F2272" t="s">
        <v>26</v>
      </c>
      <c r="G2272" t="s">
        <v>27</v>
      </c>
    </row>
    <row r="2273" spans="1:7" x14ac:dyDescent="0.2">
      <c r="A2273">
        <v>10</v>
      </c>
      <c r="B2273">
        <v>47</v>
      </c>
      <c r="C2273" t="s">
        <v>1448</v>
      </c>
      <c r="D2273" t="s">
        <v>24</v>
      </c>
      <c r="E2273" t="s">
        <v>25</v>
      </c>
      <c r="F2273" t="s">
        <v>26</v>
      </c>
      <c r="G2273" t="s">
        <v>27</v>
      </c>
    </row>
    <row r="2274" spans="1:7" x14ac:dyDescent="0.2">
      <c r="A2274">
        <v>10</v>
      </c>
      <c r="B2274">
        <v>47</v>
      </c>
      <c r="C2274" t="s">
        <v>1403</v>
      </c>
      <c r="D2274" t="s">
        <v>24</v>
      </c>
      <c r="E2274" t="s">
        <v>25</v>
      </c>
      <c r="F2274" t="s">
        <v>26</v>
      </c>
      <c r="G2274" t="s">
        <v>27</v>
      </c>
    </row>
    <row r="2275" spans="1:7" x14ac:dyDescent="0.2">
      <c r="A2275">
        <v>10</v>
      </c>
      <c r="B2275">
        <v>47</v>
      </c>
      <c r="C2275" t="s">
        <v>1449</v>
      </c>
      <c r="D2275" t="s">
        <v>24</v>
      </c>
      <c r="E2275" t="s">
        <v>25</v>
      </c>
      <c r="F2275" t="s">
        <v>26</v>
      </c>
      <c r="G2275" t="s">
        <v>27</v>
      </c>
    </row>
    <row r="2276" spans="1:7" x14ac:dyDescent="0.2">
      <c r="A2276">
        <v>11</v>
      </c>
      <c r="B2276">
        <v>47</v>
      </c>
      <c r="C2276" t="s">
        <v>1419</v>
      </c>
      <c r="D2276" t="s">
        <v>24</v>
      </c>
      <c r="E2276" t="s">
        <v>25</v>
      </c>
      <c r="F2276" t="s">
        <v>26</v>
      </c>
      <c r="G2276" t="s">
        <v>27</v>
      </c>
    </row>
    <row r="2277" spans="1:7" x14ac:dyDescent="0.2">
      <c r="A2277">
        <v>11</v>
      </c>
      <c r="B2277">
        <v>47</v>
      </c>
      <c r="C2277" t="s">
        <v>1450</v>
      </c>
      <c r="D2277" t="s">
        <v>24</v>
      </c>
      <c r="E2277" t="s">
        <v>25</v>
      </c>
      <c r="F2277" t="s">
        <v>26</v>
      </c>
      <c r="G2277" t="s">
        <v>27</v>
      </c>
    </row>
    <row r="2278" spans="1:7" x14ac:dyDescent="0.2">
      <c r="A2278">
        <v>11</v>
      </c>
      <c r="B2278">
        <v>47</v>
      </c>
      <c r="C2278" t="s">
        <v>1451</v>
      </c>
      <c r="D2278" t="s">
        <v>24</v>
      </c>
      <c r="E2278" t="s">
        <v>31</v>
      </c>
      <c r="F2278" t="s">
        <v>26</v>
      </c>
      <c r="G2278" t="s">
        <v>27</v>
      </c>
    </row>
    <row r="2279" spans="1:7" x14ac:dyDescent="0.2">
      <c r="A2279">
        <v>12</v>
      </c>
      <c r="B2279">
        <v>47</v>
      </c>
      <c r="C2279" t="s">
        <v>1452</v>
      </c>
      <c r="D2279" t="s">
        <v>24</v>
      </c>
      <c r="E2279" t="s">
        <v>31</v>
      </c>
      <c r="F2279" t="s">
        <v>47</v>
      </c>
      <c r="G2279" t="s">
        <v>27</v>
      </c>
    </row>
    <row r="2280" spans="1:7" x14ac:dyDescent="0.2">
      <c r="A2280">
        <v>12</v>
      </c>
      <c r="B2280">
        <v>47</v>
      </c>
      <c r="C2280" t="s">
        <v>1453</v>
      </c>
      <c r="D2280" t="s">
        <v>24</v>
      </c>
      <c r="E2280" t="s">
        <v>31</v>
      </c>
      <c r="F2280" t="s">
        <v>47</v>
      </c>
      <c r="G2280" t="s">
        <v>27</v>
      </c>
    </row>
    <row r="2281" spans="1:7" x14ac:dyDescent="0.2">
      <c r="A2281">
        <v>12</v>
      </c>
      <c r="B2281">
        <v>47</v>
      </c>
      <c r="C2281" t="s">
        <v>1454</v>
      </c>
      <c r="D2281" t="s">
        <v>24</v>
      </c>
      <c r="E2281" t="s">
        <v>31</v>
      </c>
      <c r="F2281" t="s">
        <v>47</v>
      </c>
      <c r="G2281" t="s">
        <v>27</v>
      </c>
    </row>
    <row r="2282" spans="1:7" x14ac:dyDescent="0.2">
      <c r="A2282">
        <v>12</v>
      </c>
      <c r="B2282">
        <v>47</v>
      </c>
      <c r="C2282" t="s">
        <v>1455</v>
      </c>
      <c r="D2282" t="s">
        <v>24</v>
      </c>
      <c r="E2282" t="s">
        <v>31</v>
      </c>
      <c r="F2282" t="s">
        <v>47</v>
      </c>
      <c r="G2282" t="s">
        <v>27</v>
      </c>
    </row>
    <row r="2283" spans="1:7" x14ac:dyDescent="0.2">
      <c r="A2283">
        <v>12</v>
      </c>
      <c r="B2283">
        <v>47</v>
      </c>
      <c r="C2283" t="s">
        <v>1445</v>
      </c>
      <c r="D2283" t="s">
        <v>24</v>
      </c>
      <c r="E2283" t="s">
        <v>31</v>
      </c>
      <c r="F2283" t="s">
        <v>47</v>
      </c>
      <c r="G2283" t="s">
        <v>27</v>
      </c>
    </row>
    <row r="2284" spans="1:7" x14ac:dyDescent="0.2">
      <c r="A2284">
        <v>12</v>
      </c>
      <c r="B2284">
        <v>47</v>
      </c>
      <c r="C2284" t="s">
        <v>1456</v>
      </c>
      <c r="D2284" t="s">
        <v>24</v>
      </c>
      <c r="E2284" t="s">
        <v>31</v>
      </c>
      <c r="F2284" t="s">
        <v>47</v>
      </c>
      <c r="G2284" t="s">
        <v>27</v>
      </c>
    </row>
    <row r="2285" spans="1:7" x14ac:dyDescent="0.2">
      <c r="A2285">
        <v>12</v>
      </c>
      <c r="B2285">
        <v>47</v>
      </c>
      <c r="C2285" t="s">
        <v>1457</v>
      </c>
      <c r="D2285" t="s">
        <v>24</v>
      </c>
      <c r="E2285" t="s">
        <v>31</v>
      </c>
      <c r="F2285" t="s">
        <v>47</v>
      </c>
      <c r="G2285" t="s">
        <v>27</v>
      </c>
    </row>
    <row r="2286" spans="1:7" x14ac:dyDescent="0.2">
      <c r="A2286">
        <v>12</v>
      </c>
      <c r="B2286">
        <v>47</v>
      </c>
      <c r="C2286" t="s">
        <v>1458</v>
      </c>
      <c r="D2286" t="s">
        <v>24</v>
      </c>
      <c r="E2286" t="s">
        <v>31</v>
      </c>
      <c r="F2286" t="s">
        <v>47</v>
      </c>
      <c r="G2286" t="s">
        <v>27</v>
      </c>
    </row>
    <row r="2287" spans="1:7" x14ac:dyDescent="0.2">
      <c r="A2287">
        <v>12</v>
      </c>
      <c r="B2287">
        <v>47</v>
      </c>
      <c r="C2287" t="s">
        <v>1451</v>
      </c>
      <c r="D2287" t="s">
        <v>24</v>
      </c>
      <c r="E2287" t="s">
        <v>31</v>
      </c>
      <c r="F2287" t="s">
        <v>47</v>
      </c>
      <c r="G2287" t="s">
        <v>27</v>
      </c>
    </row>
    <row r="2288" spans="1:7" x14ac:dyDescent="0.2">
      <c r="A2288">
        <v>12</v>
      </c>
      <c r="B2288">
        <v>47</v>
      </c>
      <c r="C2288" t="s">
        <v>1450</v>
      </c>
      <c r="D2288" t="s">
        <v>24</v>
      </c>
      <c r="E2288" t="s">
        <v>31</v>
      </c>
      <c r="F2288" t="s">
        <v>47</v>
      </c>
      <c r="G2288" t="s">
        <v>27</v>
      </c>
    </row>
    <row r="2289" spans="1:7" x14ac:dyDescent="0.2">
      <c r="A2289">
        <v>13</v>
      </c>
      <c r="B2289">
        <v>47</v>
      </c>
      <c r="C2289" t="s">
        <v>1459</v>
      </c>
      <c r="D2289" t="s">
        <v>24</v>
      </c>
      <c r="E2289" t="s">
        <v>25</v>
      </c>
      <c r="F2289" t="s">
        <v>26</v>
      </c>
      <c r="G2289" t="s">
        <v>27</v>
      </c>
    </row>
    <row r="2290" spans="1:7" x14ac:dyDescent="0.2">
      <c r="A2290">
        <v>13</v>
      </c>
      <c r="B2290">
        <v>47</v>
      </c>
      <c r="C2290" t="s">
        <v>1460</v>
      </c>
      <c r="D2290" t="s">
        <v>24</v>
      </c>
      <c r="E2290" t="s">
        <v>25</v>
      </c>
      <c r="F2290" t="s">
        <v>26</v>
      </c>
      <c r="G2290" t="s">
        <v>27</v>
      </c>
    </row>
    <row r="2291" spans="1:7" x14ac:dyDescent="0.2">
      <c r="A2291">
        <v>13</v>
      </c>
      <c r="B2291">
        <v>47</v>
      </c>
      <c r="C2291" t="s">
        <v>1461</v>
      </c>
      <c r="D2291" t="s">
        <v>24</v>
      </c>
      <c r="E2291" t="s">
        <v>25</v>
      </c>
      <c r="F2291" t="s">
        <v>26</v>
      </c>
      <c r="G2291" t="s">
        <v>27</v>
      </c>
    </row>
    <row r="2292" spans="1:7" x14ac:dyDescent="0.2">
      <c r="A2292">
        <v>13</v>
      </c>
      <c r="B2292">
        <v>47</v>
      </c>
      <c r="C2292" t="s">
        <v>1458</v>
      </c>
      <c r="D2292" t="s">
        <v>24</v>
      </c>
      <c r="E2292" t="s">
        <v>25</v>
      </c>
      <c r="F2292" t="s">
        <v>26</v>
      </c>
      <c r="G2292" t="s">
        <v>27</v>
      </c>
    </row>
    <row r="2293" spans="1:7" x14ac:dyDescent="0.2">
      <c r="A2293">
        <v>13</v>
      </c>
      <c r="B2293">
        <v>47</v>
      </c>
      <c r="C2293" t="s">
        <v>1457</v>
      </c>
      <c r="D2293" t="s">
        <v>24</v>
      </c>
      <c r="E2293" t="s">
        <v>25</v>
      </c>
      <c r="F2293" t="s">
        <v>26</v>
      </c>
      <c r="G2293" t="s">
        <v>27</v>
      </c>
    </row>
    <row r="2294" spans="1:7" x14ac:dyDescent="0.2">
      <c r="A2294">
        <v>13</v>
      </c>
      <c r="B2294">
        <v>47</v>
      </c>
      <c r="C2294" t="s">
        <v>1462</v>
      </c>
      <c r="D2294" t="s">
        <v>24</v>
      </c>
      <c r="E2294" t="s">
        <v>25</v>
      </c>
      <c r="F2294" t="s">
        <v>26</v>
      </c>
      <c r="G2294" t="s">
        <v>27</v>
      </c>
    </row>
    <row r="2295" spans="1:7" x14ac:dyDescent="0.2">
      <c r="A2295">
        <v>14</v>
      </c>
      <c r="B2295">
        <v>47</v>
      </c>
      <c r="C2295" t="s">
        <v>2054</v>
      </c>
      <c r="D2295" t="s">
        <v>24</v>
      </c>
      <c r="E2295" t="s">
        <v>31</v>
      </c>
      <c r="F2295" t="s">
        <v>47</v>
      </c>
      <c r="G2295" t="s">
        <v>27</v>
      </c>
    </row>
    <row r="2296" spans="1:7" x14ac:dyDescent="0.2">
      <c r="A2296">
        <v>15</v>
      </c>
      <c r="B2296">
        <v>47</v>
      </c>
      <c r="C2296" t="s">
        <v>1463</v>
      </c>
      <c r="D2296" t="s">
        <v>24</v>
      </c>
      <c r="E2296" t="s">
        <v>31</v>
      </c>
      <c r="F2296" t="s">
        <v>47</v>
      </c>
      <c r="G2296" t="s">
        <v>27</v>
      </c>
    </row>
    <row r="2297" spans="1:7" x14ac:dyDescent="0.2">
      <c r="A2297">
        <v>15</v>
      </c>
      <c r="B2297">
        <v>47</v>
      </c>
      <c r="C2297" t="s">
        <v>1451</v>
      </c>
      <c r="D2297" t="s">
        <v>24</v>
      </c>
      <c r="E2297" t="s">
        <v>31</v>
      </c>
      <c r="F2297" t="s">
        <v>47</v>
      </c>
      <c r="G2297" t="s">
        <v>27</v>
      </c>
    </row>
    <row r="2298" spans="1:7" x14ac:dyDescent="0.2">
      <c r="A2298">
        <v>17</v>
      </c>
      <c r="B2298">
        <v>47</v>
      </c>
      <c r="C2298" t="s">
        <v>1419</v>
      </c>
      <c r="D2298" t="s">
        <v>24</v>
      </c>
      <c r="E2298" t="s">
        <v>31</v>
      </c>
      <c r="F2298" t="s">
        <v>26</v>
      </c>
      <c r="G2298" t="s">
        <v>27</v>
      </c>
    </row>
    <row r="2299" spans="1:7" x14ac:dyDescent="0.2">
      <c r="A2299">
        <v>17</v>
      </c>
      <c r="B2299">
        <v>47</v>
      </c>
      <c r="C2299" t="s">
        <v>1451</v>
      </c>
      <c r="D2299" t="s">
        <v>24</v>
      </c>
      <c r="E2299" t="s">
        <v>31</v>
      </c>
      <c r="F2299" t="s">
        <v>26</v>
      </c>
      <c r="G2299" t="s">
        <v>27</v>
      </c>
    </row>
    <row r="2300" spans="1:7" x14ac:dyDescent="0.2">
      <c r="A2300">
        <v>17</v>
      </c>
      <c r="B2300">
        <v>47</v>
      </c>
      <c r="C2300" t="s">
        <v>1457</v>
      </c>
      <c r="D2300" t="s">
        <v>24</v>
      </c>
      <c r="E2300" t="s">
        <v>31</v>
      </c>
      <c r="F2300" t="s">
        <v>26</v>
      </c>
      <c r="G2300" t="s">
        <v>27</v>
      </c>
    </row>
    <row r="2301" spans="1:7" x14ac:dyDescent="0.2">
      <c r="A2301">
        <v>17</v>
      </c>
      <c r="B2301">
        <v>47</v>
      </c>
      <c r="C2301" t="s">
        <v>1445</v>
      </c>
      <c r="D2301" t="s">
        <v>24</v>
      </c>
      <c r="E2301" t="s">
        <v>25</v>
      </c>
      <c r="F2301" t="s">
        <v>47</v>
      </c>
      <c r="G2301" t="s">
        <v>27</v>
      </c>
    </row>
    <row r="2302" spans="1:7" x14ac:dyDescent="0.2">
      <c r="A2302">
        <v>17</v>
      </c>
      <c r="B2302">
        <v>47</v>
      </c>
      <c r="C2302" t="s">
        <v>1464</v>
      </c>
      <c r="D2302" t="s">
        <v>24</v>
      </c>
      <c r="E2302" t="s">
        <v>31</v>
      </c>
      <c r="F2302" t="s">
        <v>26</v>
      </c>
      <c r="G2302" t="s">
        <v>27</v>
      </c>
    </row>
    <row r="2303" spans="1:7" x14ac:dyDescent="0.2">
      <c r="A2303">
        <v>18</v>
      </c>
      <c r="B2303">
        <v>47</v>
      </c>
      <c r="C2303" t="s">
        <v>1465</v>
      </c>
      <c r="D2303" t="s">
        <v>24</v>
      </c>
      <c r="E2303" t="s">
        <v>31</v>
      </c>
      <c r="F2303" t="s">
        <v>47</v>
      </c>
      <c r="G2303" t="s">
        <v>27</v>
      </c>
    </row>
    <row r="2304" spans="1:7" x14ac:dyDescent="0.2">
      <c r="A2304">
        <v>18</v>
      </c>
      <c r="B2304">
        <v>47</v>
      </c>
      <c r="C2304" t="s">
        <v>1419</v>
      </c>
      <c r="D2304" t="s">
        <v>24</v>
      </c>
      <c r="E2304" t="s">
        <v>31</v>
      </c>
      <c r="F2304" t="s">
        <v>47</v>
      </c>
      <c r="G2304" t="s">
        <v>27</v>
      </c>
    </row>
    <row r="2305" spans="1:7" x14ac:dyDescent="0.2">
      <c r="A2305">
        <v>19</v>
      </c>
      <c r="B2305">
        <v>47</v>
      </c>
      <c r="C2305" t="s">
        <v>1466</v>
      </c>
      <c r="D2305" t="s">
        <v>24</v>
      </c>
      <c r="E2305" t="s">
        <v>31</v>
      </c>
      <c r="F2305" t="s">
        <v>26</v>
      </c>
      <c r="G2305" t="s">
        <v>27</v>
      </c>
    </row>
    <row r="2306" spans="1:7" x14ac:dyDescent="0.2">
      <c r="A2306">
        <v>20</v>
      </c>
      <c r="B2306">
        <v>47</v>
      </c>
      <c r="C2306" t="s">
        <v>1457</v>
      </c>
      <c r="D2306" t="s">
        <v>24</v>
      </c>
      <c r="E2306" t="s">
        <v>31</v>
      </c>
      <c r="F2306" t="s">
        <v>26</v>
      </c>
      <c r="G2306" t="s">
        <v>27</v>
      </c>
    </row>
    <row r="2307" spans="1:7" x14ac:dyDescent="0.2">
      <c r="A2307">
        <v>20</v>
      </c>
      <c r="B2307">
        <v>47</v>
      </c>
      <c r="C2307" t="s">
        <v>1467</v>
      </c>
      <c r="D2307" t="s">
        <v>24</v>
      </c>
      <c r="E2307" t="s">
        <v>31</v>
      </c>
      <c r="F2307" t="s">
        <v>26</v>
      </c>
      <c r="G2307" t="s">
        <v>27</v>
      </c>
    </row>
    <row r="2308" spans="1:7" x14ac:dyDescent="0.2">
      <c r="A2308">
        <v>20</v>
      </c>
      <c r="B2308">
        <v>47</v>
      </c>
      <c r="C2308" t="s">
        <v>1468</v>
      </c>
      <c r="D2308" t="s">
        <v>24</v>
      </c>
      <c r="E2308" t="s">
        <v>31</v>
      </c>
      <c r="F2308" t="s">
        <v>26</v>
      </c>
      <c r="G2308" t="s">
        <v>27</v>
      </c>
    </row>
    <row r="2309" spans="1:7" x14ac:dyDescent="0.2">
      <c r="A2309">
        <v>21</v>
      </c>
      <c r="B2309">
        <v>47</v>
      </c>
      <c r="C2309" t="s">
        <v>1419</v>
      </c>
      <c r="D2309" t="s">
        <v>24</v>
      </c>
      <c r="E2309" t="s">
        <v>25</v>
      </c>
      <c r="F2309" t="s">
        <v>26</v>
      </c>
      <c r="G2309" t="s">
        <v>27</v>
      </c>
    </row>
    <row r="2310" spans="1:7" x14ac:dyDescent="0.2">
      <c r="A2310">
        <v>21</v>
      </c>
      <c r="B2310">
        <v>47</v>
      </c>
      <c r="C2310" t="s">
        <v>1457</v>
      </c>
      <c r="D2310" t="s">
        <v>24</v>
      </c>
      <c r="E2310" t="s">
        <v>25</v>
      </c>
      <c r="F2310" t="s">
        <v>26</v>
      </c>
      <c r="G2310" t="s">
        <v>27</v>
      </c>
    </row>
    <row r="2311" spans="1:7" x14ac:dyDescent="0.2">
      <c r="A2311">
        <v>22</v>
      </c>
      <c r="B2311">
        <v>47</v>
      </c>
      <c r="C2311" t="s">
        <v>1445</v>
      </c>
      <c r="D2311" t="s">
        <v>24</v>
      </c>
      <c r="E2311" t="s">
        <v>25</v>
      </c>
      <c r="F2311" t="s">
        <v>26</v>
      </c>
      <c r="G2311" t="s">
        <v>27</v>
      </c>
    </row>
    <row r="2312" spans="1:7" x14ac:dyDescent="0.2">
      <c r="A2312">
        <v>22</v>
      </c>
      <c r="B2312">
        <v>47</v>
      </c>
      <c r="C2312" t="s">
        <v>1469</v>
      </c>
      <c r="D2312" t="s">
        <v>24</v>
      </c>
      <c r="E2312" t="s">
        <v>31</v>
      </c>
      <c r="F2312" t="s">
        <v>26</v>
      </c>
      <c r="G2312" t="s">
        <v>27</v>
      </c>
    </row>
    <row r="2313" spans="1:7" x14ac:dyDescent="0.2">
      <c r="A2313">
        <v>22</v>
      </c>
      <c r="B2313">
        <v>47</v>
      </c>
      <c r="C2313" t="s">
        <v>1470</v>
      </c>
      <c r="D2313" t="s">
        <v>24</v>
      </c>
      <c r="E2313" t="s">
        <v>31</v>
      </c>
      <c r="F2313" t="s">
        <v>26</v>
      </c>
      <c r="G2313" t="s">
        <v>27</v>
      </c>
    </row>
    <row r="2314" spans="1:7" x14ac:dyDescent="0.2">
      <c r="A2314">
        <v>23</v>
      </c>
      <c r="B2314">
        <v>47</v>
      </c>
      <c r="C2314" t="s">
        <v>1471</v>
      </c>
      <c r="D2314" t="s">
        <v>24</v>
      </c>
      <c r="E2314" t="s">
        <v>31</v>
      </c>
      <c r="F2314" t="s">
        <v>26</v>
      </c>
      <c r="G2314" t="s">
        <v>27</v>
      </c>
    </row>
    <row r="2315" spans="1:7" x14ac:dyDescent="0.2">
      <c r="A2315">
        <v>7</v>
      </c>
      <c r="B2315">
        <v>48</v>
      </c>
      <c r="C2315" t="s">
        <v>1472</v>
      </c>
      <c r="D2315" t="s">
        <v>24</v>
      </c>
      <c r="E2315" t="s">
        <v>31</v>
      </c>
      <c r="F2315" t="s">
        <v>26</v>
      </c>
      <c r="G2315" t="s">
        <v>27</v>
      </c>
    </row>
    <row r="2316" spans="1:7" x14ac:dyDescent="0.2">
      <c r="A2316">
        <v>7</v>
      </c>
      <c r="B2316">
        <v>48</v>
      </c>
      <c r="C2316" t="s">
        <v>1473</v>
      </c>
      <c r="D2316" t="s">
        <v>24</v>
      </c>
      <c r="E2316" t="s">
        <v>31</v>
      </c>
      <c r="F2316" t="s">
        <v>26</v>
      </c>
      <c r="G2316" t="s">
        <v>27</v>
      </c>
    </row>
    <row r="2317" spans="1:7" x14ac:dyDescent="0.2">
      <c r="A2317">
        <v>7</v>
      </c>
      <c r="B2317">
        <v>48</v>
      </c>
      <c r="C2317" t="s">
        <v>1474</v>
      </c>
      <c r="D2317" t="s">
        <v>24</v>
      </c>
      <c r="E2317" t="s">
        <v>31</v>
      </c>
      <c r="F2317" t="s">
        <v>26</v>
      </c>
      <c r="G2317" t="s">
        <v>27</v>
      </c>
    </row>
    <row r="2318" spans="1:7" x14ac:dyDescent="0.2">
      <c r="A2318">
        <v>8</v>
      </c>
      <c r="B2318">
        <v>48</v>
      </c>
      <c r="C2318" t="s">
        <v>1472</v>
      </c>
      <c r="D2318" t="s">
        <v>24</v>
      </c>
      <c r="E2318" t="s">
        <v>31</v>
      </c>
      <c r="F2318" t="s">
        <v>26</v>
      </c>
      <c r="G2318" t="s">
        <v>27</v>
      </c>
    </row>
    <row r="2319" spans="1:7" x14ac:dyDescent="0.2">
      <c r="A2319">
        <v>8</v>
      </c>
      <c r="B2319">
        <v>48</v>
      </c>
      <c r="C2319" t="s">
        <v>1474</v>
      </c>
      <c r="D2319" t="s">
        <v>24</v>
      </c>
      <c r="E2319" t="s">
        <v>31</v>
      </c>
      <c r="F2319" t="s">
        <v>26</v>
      </c>
      <c r="G2319" t="s">
        <v>27</v>
      </c>
    </row>
    <row r="2320" spans="1:7" x14ac:dyDescent="0.2">
      <c r="A2320">
        <v>9</v>
      </c>
      <c r="B2320">
        <v>48</v>
      </c>
      <c r="C2320" t="s">
        <v>1475</v>
      </c>
      <c r="D2320" t="s">
        <v>24</v>
      </c>
      <c r="E2320" t="s">
        <v>25</v>
      </c>
      <c r="F2320" t="s">
        <v>26</v>
      </c>
      <c r="G2320" t="s">
        <v>27</v>
      </c>
    </row>
    <row r="2321" spans="1:7" x14ac:dyDescent="0.2">
      <c r="A2321">
        <v>9</v>
      </c>
      <c r="B2321">
        <v>48</v>
      </c>
      <c r="C2321" t="s">
        <v>1476</v>
      </c>
      <c r="D2321" t="s">
        <v>24</v>
      </c>
      <c r="E2321" t="s">
        <v>25</v>
      </c>
      <c r="F2321" t="s">
        <v>26</v>
      </c>
      <c r="G2321" t="s">
        <v>27</v>
      </c>
    </row>
    <row r="2322" spans="1:7" x14ac:dyDescent="0.2">
      <c r="A2322">
        <v>9</v>
      </c>
      <c r="B2322">
        <v>48</v>
      </c>
      <c r="C2322" t="s">
        <v>1477</v>
      </c>
      <c r="D2322" t="s">
        <v>24</v>
      </c>
      <c r="E2322" t="s">
        <v>25</v>
      </c>
      <c r="F2322" t="s">
        <v>26</v>
      </c>
      <c r="G2322" t="s">
        <v>27</v>
      </c>
    </row>
    <row r="2323" spans="1:7" x14ac:dyDescent="0.2">
      <c r="A2323">
        <v>10</v>
      </c>
      <c r="B2323">
        <v>48</v>
      </c>
      <c r="C2323" t="s">
        <v>1478</v>
      </c>
      <c r="D2323" t="s">
        <v>24</v>
      </c>
      <c r="E2323" t="s">
        <v>31</v>
      </c>
      <c r="F2323" t="s">
        <v>26</v>
      </c>
      <c r="G2323" t="s">
        <v>27</v>
      </c>
    </row>
    <row r="2324" spans="1:7" x14ac:dyDescent="0.2">
      <c r="A2324">
        <v>10</v>
      </c>
      <c r="B2324">
        <v>48</v>
      </c>
      <c r="C2324" t="s">
        <v>1479</v>
      </c>
      <c r="D2324" t="s">
        <v>24</v>
      </c>
      <c r="E2324" t="s">
        <v>31</v>
      </c>
      <c r="F2324" t="s">
        <v>26</v>
      </c>
      <c r="G2324" t="s">
        <v>27</v>
      </c>
    </row>
    <row r="2325" spans="1:7" x14ac:dyDescent="0.2">
      <c r="A2325">
        <v>10</v>
      </c>
      <c r="B2325">
        <v>48</v>
      </c>
      <c r="C2325" t="s">
        <v>1480</v>
      </c>
      <c r="D2325" t="s">
        <v>24</v>
      </c>
      <c r="E2325" t="s">
        <v>31</v>
      </c>
      <c r="F2325" t="s">
        <v>26</v>
      </c>
      <c r="G2325" t="s">
        <v>27</v>
      </c>
    </row>
    <row r="2326" spans="1:7" x14ac:dyDescent="0.2">
      <c r="A2326">
        <v>10</v>
      </c>
      <c r="B2326">
        <v>48</v>
      </c>
      <c r="C2326" t="s">
        <v>1481</v>
      </c>
      <c r="D2326" t="s">
        <v>24</v>
      </c>
      <c r="E2326" t="s">
        <v>31</v>
      </c>
      <c r="F2326" t="s">
        <v>26</v>
      </c>
      <c r="G2326" t="s">
        <v>27</v>
      </c>
    </row>
    <row r="2327" spans="1:7" x14ac:dyDescent="0.2">
      <c r="A2327">
        <v>10</v>
      </c>
      <c r="B2327">
        <v>48</v>
      </c>
      <c r="C2327" t="s">
        <v>1482</v>
      </c>
      <c r="D2327" t="s">
        <v>24</v>
      </c>
      <c r="E2327" t="s">
        <v>31</v>
      </c>
      <c r="F2327" t="s">
        <v>26</v>
      </c>
      <c r="G2327" t="s">
        <v>27</v>
      </c>
    </row>
    <row r="2328" spans="1:7" x14ac:dyDescent="0.2">
      <c r="A2328">
        <v>10</v>
      </c>
      <c r="B2328">
        <v>48</v>
      </c>
      <c r="C2328" t="s">
        <v>344</v>
      </c>
      <c r="D2328" t="s">
        <v>24</v>
      </c>
      <c r="E2328" t="s">
        <v>31</v>
      </c>
      <c r="F2328" t="s">
        <v>26</v>
      </c>
      <c r="G2328" t="s">
        <v>27</v>
      </c>
    </row>
    <row r="2329" spans="1:7" x14ac:dyDescent="0.2">
      <c r="A2329">
        <v>10</v>
      </c>
      <c r="B2329">
        <v>48</v>
      </c>
      <c r="C2329" t="s">
        <v>1483</v>
      </c>
      <c r="D2329" t="s">
        <v>24</v>
      </c>
      <c r="E2329" t="s">
        <v>31</v>
      </c>
      <c r="F2329" t="s">
        <v>26</v>
      </c>
      <c r="G2329" t="s">
        <v>27</v>
      </c>
    </row>
    <row r="2330" spans="1:7" x14ac:dyDescent="0.2">
      <c r="A2330">
        <v>10</v>
      </c>
      <c r="B2330">
        <v>48</v>
      </c>
      <c r="C2330" t="s">
        <v>1484</v>
      </c>
      <c r="D2330" t="s">
        <v>24</v>
      </c>
      <c r="E2330" t="s">
        <v>31</v>
      </c>
      <c r="F2330" t="s">
        <v>26</v>
      </c>
      <c r="G2330" t="s">
        <v>27</v>
      </c>
    </row>
    <row r="2331" spans="1:7" x14ac:dyDescent="0.2">
      <c r="A2331">
        <v>10</v>
      </c>
      <c r="B2331">
        <v>48</v>
      </c>
      <c r="C2331" t="s">
        <v>1474</v>
      </c>
      <c r="D2331" t="s">
        <v>24</v>
      </c>
      <c r="E2331" t="s">
        <v>31</v>
      </c>
      <c r="F2331" t="s">
        <v>26</v>
      </c>
      <c r="G2331" t="s">
        <v>27</v>
      </c>
    </row>
    <row r="2332" spans="1:7" x14ac:dyDescent="0.2">
      <c r="A2332">
        <v>11</v>
      </c>
      <c r="B2332">
        <v>48</v>
      </c>
      <c r="C2332" t="s">
        <v>1482</v>
      </c>
      <c r="D2332" t="s">
        <v>24</v>
      </c>
      <c r="E2332" t="s">
        <v>31</v>
      </c>
      <c r="F2332" t="s">
        <v>26</v>
      </c>
      <c r="G2332" t="s">
        <v>27</v>
      </c>
    </row>
    <row r="2333" spans="1:7" x14ac:dyDescent="0.2">
      <c r="A2333">
        <v>11</v>
      </c>
      <c r="B2333">
        <v>48</v>
      </c>
      <c r="C2333" t="s">
        <v>1485</v>
      </c>
      <c r="D2333" t="s">
        <v>24</v>
      </c>
      <c r="E2333" t="s">
        <v>31</v>
      </c>
      <c r="F2333" t="s">
        <v>26</v>
      </c>
      <c r="G2333" t="s">
        <v>27</v>
      </c>
    </row>
    <row r="2334" spans="1:7" x14ac:dyDescent="0.2">
      <c r="A2334">
        <v>11</v>
      </c>
      <c r="B2334">
        <v>48</v>
      </c>
      <c r="C2334" t="s">
        <v>1486</v>
      </c>
      <c r="D2334" t="s">
        <v>24</v>
      </c>
      <c r="E2334" t="s">
        <v>31</v>
      </c>
      <c r="F2334" t="s">
        <v>26</v>
      </c>
      <c r="G2334" t="s">
        <v>27</v>
      </c>
    </row>
    <row r="2335" spans="1:7" x14ac:dyDescent="0.2">
      <c r="A2335">
        <v>11</v>
      </c>
      <c r="B2335">
        <v>48</v>
      </c>
      <c r="C2335" t="s">
        <v>1487</v>
      </c>
      <c r="D2335" t="s">
        <v>24</v>
      </c>
      <c r="E2335" t="s">
        <v>31</v>
      </c>
      <c r="F2335" t="s">
        <v>26</v>
      </c>
      <c r="G2335" t="s">
        <v>27</v>
      </c>
    </row>
    <row r="2336" spans="1:7" x14ac:dyDescent="0.2">
      <c r="A2336">
        <v>11</v>
      </c>
      <c r="B2336">
        <v>48</v>
      </c>
      <c r="C2336" t="s">
        <v>1488</v>
      </c>
      <c r="D2336" t="s">
        <v>24</v>
      </c>
      <c r="E2336" t="s">
        <v>31</v>
      </c>
      <c r="F2336" t="s">
        <v>26</v>
      </c>
      <c r="G2336" t="s">
        <v>27</v>
      </c>
    </row>
    <row r="2337" spans="1:7" x14ac:dyDescent="0.2">
      <c r="A2337">
        <v>11</v>
      </c>
      <c r="B2337">
        <v>48</v>
      </c>
      <c r="C2337" t="s">
        <v>1489</v>
      </c>
      <c r="D2337" t="s">
        <v>24</v>
      </c>
      <c r="E2337" t="s">
        <v>31</v>
      </c>
      <c r="F2337" t="s">
        <v>26</v>
      </c>
      <c r="G2337" t="s">
        <v>27</v>
      </c>
    </row>
    <row r="2338" spans="1:7" x14ac:dyDescent="0.2">
      <c r="A2338">
        <v>11</v>
      </c>
      <c r="B2338">
        <v>48</v>
      </c>
      <c r="C2338" t="s">
        <v>44</v>
      </c>
      <c r="D2338" t="s">
        <v>24</v>
      </c>
      <c r="E2338" t="s">
        <v>31</v>
      </c>
      <c r="F2338" t="s">
        <v>26</v>
      </c>
      <c r="G2338" t="s">
        <v>27</v>
      </c>
    </row>
    <row r="2339" spans="1:7" x14ac:dyDescent="0.2">
      <c r="A2339">
        <v>11</v>
      </c>
      <c r="B2339">
        <v>48</v>
      </c>
      <c r="C2339" t="s">
        <v>1490</v>
      </c>
      <c r="D2339" t="s">
        <v>24</v>
      </c>
      <c r="E2339" t="s">
        <v>31</v>
      </c>
      <c r="F2339" t="s">
        <v>26</v>
      </c>
      <c r="G2339" t="s">
        <v>27</v>
      </c>
    </row>
    <row r="2340" spans="1:7" x14ac:dyDescent="0.2">
      <c r="A2340">
        <v>11</v>
      </c>
      <c r="B2340">
        <v>48</v>
      </c>
      <c r="C2340" t="s">
        <v>1474</v>
      </c>
      <c r="D2340" t="s">
        <v>24</v>
      </c>
      <c r="E2340" t="s">
        <v>31</v>
      </c>
      <c r="F2340" t="s">
        <v>26</v>
      </c>
      <c r="G2340" t="s">
        <v>27</v>
      </c>
    </row>
    <row r="2341" spans="1:7" x14ac:dyDescent="0.2">
      <c r="A2341">
        <v>11</v>
      </c>
      <c r="B2341">
        <v>48</v>
      </c>
      <c r="C2341" t="s">
        <v>1491</v>
      </c>
      <c r="D2341" t="s">
        <v>24</v>
      </c>
      <c r="E2341" t="s">
        <v>31</v>
      </c>
      <c r="F2341" t="s">
        <v>26</v>
      </c>
      <c r="G2341" t="s">
        <v>27</v>
      </c>
    </row>
    <row r="2342" spans="1:7" x14ac:dyDescent="0.2">
      <c r="A2342">
        <v>12</v>
      </c>
      <c r="B2342">
        <v>48</v>
      </c>
      <c r="C2342" t="s">
        <v>1492</v>
      </c>
      <c r="D2342" t="s">
        <v>24</v>
      </c>
      <c r="E2342" t="s">
        <v>25</v>
      </c>
      <c r="F2342" t="s">
        <v>26</v>
      </c>
      <c r="G2342" t="s">
        <v>27</v>
      </c>
    </row>
    <row r="2343" spans="1:7" x14ac:dyDescent="0.2">
      <c r="A2343">
        <v>12</v>
      </c>
      <c r="B2343">
        <v>48</v>
      </c>
      <c r="C2343" t="s">
        <v>1493</v>
      </c>
      <c r="D2343" t="s">
        <v>24</v>
      </c>
      <c r="E2343" t="s">
        <v>25</v>
      </c>
      <c r="F2343" t="s">
        <v>26</v>
      </c>
      <c r="G2343" t="s">
        <v>27</v>
      </c>
    </row>
    <row r="2344" spans="1:7" x14ac:dyDescent="0.2">
      <c r="A2344">
        <v>12</v>
      </c>
      <c r="B2344">
        <v>48</v>
      </c>
      <c r="C2344" t="s">
        <v>1480</v>
      </c>
      <c r="D2344" t="s">
        <v>24</v>
      </c>
      <c r="E2344" t="s">
        <v>25</v>
      </c>
      <c r="F2344" t="s">
        <v>26</v>
      </c>
      <c r="G2344" t="s">
        <v>27</v>
      </c>
    </row>
    <row r="2345" spans="1:7" x14ac:dyDescent="0.2">
      <c r="A2345">
        <v>12</v>
      </c>
      <c r="B2345">
        <v>48</v>
      </c>
      <c r="C2345" t="s">
        <v>1494</v>
      </c>
      <c r="D2345" t="s">
        <v>24</v>
      </c>
      <c r="E2345" t="s">
        <v>25</v>
      </c>
      <c r="F2345" t="s">
        <v>26</v>
      </c>
      <c r="G2345" t="s">
        <v>27</v>
      </c>
    </row>
    <row r="2346" spans="1:7" x14ac:dyDescent="0.2">
      <c r="A2346">
        <v>12</v>
      </c>
      <c r="B2346">
        <v>48</v>
      </c>
      <c r="C2346" t="s">
        <v>1482</v>
      </c>
      <c r="D2346" t="s">
        <v>24</v>
      </c>
      <c r="E2346" t="s">
        <v>25</v>
      </c>
      <c r="F2346" t="s">
        <v>26</v>
      </c>
      <c r="G2346" t="s">
        <v>27</v>
      </c>
    </row>
    <row r="2347" spans="1:7" x14ac:dyDescent="0.2">
      <c r="A2347">
        <v>12</v>
      </c>
      <c r="B2347">
        <v>48</v>
      </c>
      <c r="C2347" t="s">
        <v>1495</v>
      </c>
      <c r="D2347" t="s">
        <v>24</v>
      </c>
      <c r="E2347" t="s">
        <v>25</v>
      </c>
      <c r="F2347" t="s">
        <v>26</v>
      </c>
      <c r="G2347" t="s">
        <v>27</v>
      </c>
    </row>
    <row r="2348" spans="1:7" x14ac:dyDescent="0.2">
      <c r="A2348">
        <v>12</v>
      </c>
      <c r="B2348">
        <v>48</v>
      </c>
      <c r="C2348" t="s">
        <v>1486</v>
      </c>
      <c r="D2348" t="s">
        <v>24</v>
      </c>
      <c r="E2348" t="s">
        <v>25</v>
      </c>
      <c r="F2348" t="s">
        <v>26</v>
      </c>
      <c r="G2348" t="s">
        <v>27</v>
      </c>
    </row>
    <row r="2349" spans="1:7" x14ac:dyDescent="0.2">
      <c r="A2349">
        <v>12</v>
      </c>
      <c r="B2349">
        <v>48</v>
      </c>
      <c r="C2349" t="s">
        <v>1496</v>
      </c>
      <c r="D2349" t="s">
        <v>24</v>
      </c>
      <c r="E2349" t="s">
        <v>25</v>
      </c>
      <c r="F2349" t="s">
        <v>26</v>
      </c>
      <c r="G2349" t="s">
        <v>27</v>
      </c>
    </row>
    <row r="2350" spans="1:7" x14ac:dyDescent="0.2">
      <c r="A2350">
        <v>12</v>
      </c>
      <c r="B2350">
        <v>48</v>
      </c>
      <c r="C2350" t="s">
        <v>1497</v>
      </c>
      <c r="D2350" t="s">
        <v>24</v>
      </c>
      <c r="E2350" t="s">
        <v>25</v>
      </c>
      <c r="F2350" t="s">
        <v>26</v>
      </c>
      <c r="G2350" t="s">
        <v>27</v>
      </c>
    </row>
    <row r="2351" spans="1:7" x14ac:dyDescent="0.2">
      <c r="A2351">
        <v>12</v>
      </c>
      <c r="B2351">
        <v>48</v>
      </c>
      <c r="C2351" t="s">
        <v>1487</v>
      </c>
      <c r="D2351" t="s">
        <v>24</v>
      </c>
      <c r="E2351" t="s">
        <v>25</v>
      </c>
      <c r="F2351" t="s">
        <v>26</v>
      </c>
      <c r="G2351" t="s">
        <v>27</v>
      </c>
    </row>
    <row r="2352" spans="1:7" x14ac:dyDescent="0.2">
      <c r="A2352">
        <v>12</v>
      </c>
      <c r="B2352">
        <v>48</v>
      </c>
      <c r="C2352" t="s">
        <v>1498</v>
      </c>
      <c r="D2352" t="s">
        <v>24</v>
      </c>
      <c r="E2352" t="s">
        <v>25</v>
      </c>
      <c r="F2352" t="s">
        <v>26</v>
      </c>
      <c r="G2352" t="s">
        <v>27</v>
      </c>
    </row>
    <row r="2353" spans="1:7" x14ac:dyDescent="0.2">
      <c r="A2353">
        <v>12</v>
      </c>
      <c r="B2353">
        <v>48</v>
      </c>
      <c r="C2353" t="s">
        <v>1499</v>
      </c>
      <c r="D2353" t="s">
        <v>24</v>
      </c>
      <c r="E2353" t="s">
        <v>25</v>
      </c>
      <c r="F2353" t="s">
        <v>26</v>
      </c>
      <c r="G2353" t="s">
        <v>27</v>
      </c>
    </row>
    <row r="2354" spans="1:7" x14ac:dyDescent="0.2">
      <c r="A2354">
        <v>12</v>
      </c>
      <c r="B2354">
        <v>48</v>
      </c>
      <c r="C2354" t="s">
        <v>1500</v>
      </c>
      <c r="D2354" t="s">
        <v>24</v>
      </c>
      <c r="E2354" t="s">
        <v>25</v>
      </c>
      <c r="F2354" t="s">
        <v>26</v>
      </c>
      <c r="G2354" t="s">
        <v>27</v>
      </c>
    </row>
    <row r="2355" spans="1:7" x14ac:dyDescent="0.2">
      <c r="A2355">
        <v>12</v>
      </c>
      <c r="B2355">
        <v>48</v>
      </c>
      <c r="C2355" t="s">
        <v>1501</v>
      </c>
      <c r="D2355" t="s">
        <v>24</v>
      </c>
      <c r="E2355" t="s">
        <v>25</v>
      </c>
      <c r="F2355" t="s">
        <v>26</v>
      </c>
      <c r="G2355" t="s">
        <v>27</v>
      </c>
    </row>
    <row r="2356" spans="1:7" x14ac:dyDescent="0.2">
      <c r="A2356">
        <v>12</v>
      </c>
      <c r="B2356">
        <v>48</v>
      </c>
      <c r="C2356" t="s">
        <v>1491</v>
      </c>
      <c r="D2356" t="s">
        <v>24</v>
      </c>
      <c r="E2356" t="s">
        <v>25</v>
      </c>
      <c r="F2356" t="s">
        <v>26</v>
      </c>
      <c r="G2356" t="s">
        <v>27</v>
      </c>
    </row>
    <row r="2357" spans="1:7" x14ac:dyDescent="0.2">
      <c r="A2357">
        <v>12</v>
      </c>
      <c r="B2357">
        <v>48</v>
      </c>
      <c r="C2357" t="s">
        <v>1502</v>
      </c>
      <c r="D2357" t="s">
        <v>24</v>
      </c>
      <c r="E2357" t="s">
        <v>25</v>
      </c>
      <c r="F2357" t="s">
        <v>26</v>
      </c>
      <c r="G2357" t="s">
        <v>27</v>
      </c>
    </row>
    <row r="2358" spans="1:7" x14ac:dyDescent="0.2">
      <c r="A2358">
        <v>13</v>
      </c>
      <c r="B2358">
        <v>48</v>
      </c>
      <c r="C2358" t="s">
        <v>1503</v>
      </c>
      <c r="D2358" t="s">
        <v>24</v>
      </c>
      <c r="E2358" t="s">
        <v>31</v>
      </c>
      <c r="F2358" t="s">
        <v>47</v>
      </c>
      <c r="G2358" t="s">
        <v>27</v>
      </c>
    </row>
    <row r="2359" spans="1:7" x14ac:dyDescent="0.2">
      <c r="A2359">
        <v>13</v>
      </c>
      <c r="B2359">
        <v>48</v>
      </c>
      <c r="C2359" t="s">
        <v>1494</v>
      </c>
      <c r="D2359" t="s">
        <v>24</v>
      </c>
      <c r="E2359" t="s">
        <v>31</v>
      </c>
      <c r="F2359" t="s">
        <v>47</v>
      </c>
      <c r="G2359" t="s">
        <v>27</v>
      </c>
    </row>
    <row r="2360" spans="1:7" x14ac:dyDescent="0.2">
      <c r="A2360">
        <v>13</v>
      </c>
      <c r="B2360">
        <v>48</v>
      </c>
      <c r="C2360" t="s">
        <v>1504</v>
      </c>
      <c r="D2360" t="s">
        <v>24</v>
      </c>
      <c r="E2360" t="s">
        <v>31</v>
      </c>
      <c r="F2360" t="s">
        <v>47</v>
      </c>
      <c r="G2360" t="s">
        <v>27</v>
      </c>
    </row>
    <row r="2361" spans="1:7" x14ac:dyDescent="0.2">
      <c r="A2361">
        <v>13</v>
      </c>
      <c r="B2361">
        <v>48</v>
      </c>
      <c r="C2361" t="s">
        <v>1505</v>
      </c>
      <c r="D2361" t="s">
        <v>24</v>
      </c>
      <c r="E2361" t="s">
        <v>31</v>
      </c>
      <c r="F2361" t="s">
        <v>47</v>
      </c>
      <c r="G2361" t="s">
        <v>27</v>
      </c>
    </row>
    <row r="2362" spans="1:7" x14ac:dyDescent="0.2">
      <c r="A2362">
        <v>13</v>
      </c>
      <c r="B2362">
        <v>48</v>
      </c>
      <c r="C2362" t="s">
        <v>1486</v>
      </c>
      <c r="D2362" t="s">
        <v>24</v>
      </c>
      <c r="E2362" t="s">
        <v>31</v>
      </c>
      <c r="F2362" t="s">
        <v>47</v>
      </c>
      <c r="G2362" t="s">
        <v>27</v>
      </c>
    </row>
    <row r="2363" spans="1:7" x14ac:dyDescent="0.2">
      <c r="A2363">
        <v>13</v>
      </c>
      <c r="B2363">
        <v>48</v>
      </c>
      <c r="C2363" t="s">
        <v>1497</v>
      </c>
      <c r="D2363" t="s">
        <v>24</v>
      </c>
      <c r="E2363" t="s">
        <v>31</v>
      </c>
      <c r="F2363" t="s">
        <v>47</v>
      </c>
      <c r="G2363" t="s">
        <v>27</v>
      </c>
    </row>
    <row r="2364" spans="1:7" x14ac:dyDescent="0.2">
      <c r="A2364">
        <v>13</v>
      </c>
      <c r="B2364">
        <v>48</v>
      </c>
      <c r="C2364" t="s">
        <v>1506</v>
      </c>
      <c r="D2364" t="s">
        <v>24</v>
      </c>
      <c r="E2364" t="s">
        <v>31</v>
      </c>
      <c r="F2364" t="s">
        <v>47</v>
      </c>
      <c r="G2364" t="s">
        <v>27</v>
      </c>
    </row>
    <row r="2365" spans="1:7" x14ac:dyDescent="0.2">
      <c r="A2365">
        <v>14</v>
      </c>
      <c r="B2365">
        <v>48</v>
      </c>
      <c r="C2365" t="s">
        <v>1435</v>
      </c>
      <c r="D2365" t="s">
        <v>24</v>
      </c>
      <c r="E2365" t="s">
        <v>25</v>
      </c>
      <c r="F2365" t="s">
        <v>26</v>
      </c>
      <c r="G2365" t="s">
        <v>27</v>
      </c>
    </row>
    <row r="2366" spans="1:7" x14ac:dyDescent="0.2">
      <c r="A2366">
        <v>14</v>
      </c>
      <c r="B2366">
        <v>48</v>
      </c>
      <c r="C2366" t="s">
        <v>1436</v>
      </c>
      <c r="D2366" t="s">
        <v>24</v>
      </c>
      <c r="E2366" t="s">
        <v>25</v>
      </c>
      <c r="F2366" t="s">
        <v>26</v>
      </c>
      <c r="G2366" t="s">
        <v>27</v>
      </c>
    </row>
    <row r="2367" spans="1:7" x14ac:dyDescent="0.2">
      <c r="A2367">
        <v>14</v>
      </c>
      <c r="B2367">
        <v>48</v>
      </c>
      <c r="C2367" t="s">
        <v>1437</v>
      </c>
      <c r="D2367" t="s">
        <v>24</v>
      </c>
      <c r="E2367" t="s">
        <v>25</v>
      </c>
      <c r="F2367" t="s">
        <v>26</v>
      </c>
      <c r="G2367" t="s">
        <v>27</v>
      </c>
    </row>
    <row r="2368" spans="1:7" x14ac:dyDescent="0.2">
      <c r="A2368">
        <v>14</v>
      </c>
      <c r="B2368">
        <v>48</v>
      </c>
      <c r="C2368" t="s">
        <v>1507</v>
      </c>
      <c r="D2368" t="s">
        <v>24</v>
      </c>
      <c r="E2368" t="s">
        <v>25</v>
      </c>
      <c r="F2368" t="s">
        <v>26</v>
      </c>
      <c r="G2368" t="s">
        <v>27</v>
      </c>
    </row>
    <row r="2369" spans="1:7" x14ac:dyDescent="0.2">
      <c r="A2369">
        <v>15</v>
      </c>
      <c r="B2369">
        <v>48</v>
      </c>
      <c r="C2369" t="s">
        <v>1508</v>
      </c>
      <c r="D2369" t="s">
        <v>24</v>
      </c>
      <c r="E2369" t="s">
        <v>31</v>
      </c>
      <c r="F2369" t="s">
        <v>26</v>
      </c>
      <c r="G2369" t="s">
        <v>27</v>
      </c>
    </row>
    <row r="2370" spans="1:7" x14ac:dyDescent="0.2">
      <c r="A2370">
        <v>15</v>
      </c>
      <c r="B2370">
        <v>48</v>
      </c>
      <c r="C2370" t="s">
        <v>1509</v>
      </c>
      <c r="D2370" t="s">
        <v>24</v>
      </c>
      <c r="E2370" t="s">
        <v>31</v>
      </c>
      <c r="F2370" t="s">
        <v>26</v>
      </c>
      <c r="G2370" t="s">
        <v>27</v>
      </c>
    </row>
    <row r="2371" spans="1:7" x14ac:dyDescent="0.2">
      <c r="A2371">
        <v>15</v>
      </c>
      <c r="B2371">
        <v>48</v>
      </c>
      <c r="C2371" t="s">
        <v>1510</v>
      </c>
      <c r="D2371" t="s">
        <v>24</v>
      </c>
      <c r="E2371" t="s">
        <v>31</v>
      </c>
      <c r="F2371" t="s">
        <v>26</v>
      </c>
      <c r="G2371" t="s">
        <v>27</v>
      </c>
    </row>
    <row r="2372" spans="1:7" x14ac:dyDescent="0.2">
      <c r="A2372">
        <v>15</v>
      </c>
      <c r="B2372">
        <v>48</v>
      </c>
      <c r="C2372" t="s">
        <v>1511</v>
      </c>
      <c r="D2372" t="s">
        <v>24</v>
      </c>
      <c r="E2372" t="s">
        <v>31</v>
      </c>
      <c r="F2372" t="s">
        <v>26</v>
      </c>
      <c r="G2372" t="s">
        <v>27</v>
      </c>
    </row>
    <row r="2373" spans="1:7" x14ac:dyDescent="0.2">
      <c r="A2373">
        <v>15</v>
      </c>
      <c r="B2373">
        <v>48</v>
      </c>
      <c r="C2373" t="s">
        <v>1512</v>
      </c>
      <c r="D2373" t="s">
        <v>24</v>
      </c>
      <c r="E2373" t="s">
        <v>31</v>
      </c>
      <c r="F2373" t="s">
        <v>26</v>
      </c>
      <c r="G2373" t="s">
        <v>27</v>
      </c>
    </row>
    <row r="2374" spans="1:7" x14ac:dyDescent="0.2">
      <c r="A2374">
        <v>16</v>
      </c>
      <c r="B2374">
        <v>48</v>
      </c>
      <c r="C2374" t="s">
        <v>1513</v>
      </c>
      <c r="D2374" t="s">
        <v>24</v>
      </c>
      <c r="E2374" t="s">
        <v>31</v>
      </c>
      <c r="F2374" t="s">
        <v>26</v>
      </c>
      <c r="G2374" t="s">
        <v>27</v>
      </c>
    </row>
    <row r="2375" spans="1:7" x14ac:dyDescent="0.2">
      <c r="A2375">
        <v>16</v>
      </c>
      <c r="B2375">
        <v>48</v>
      </c>
      <c r="C2375" t="s">
        <v>1514</v>
      </c>
      <c r="D2375" t="s">
        <v>24</v>
      </c>
      <c r="E2375" t="s">
        <v>31</v>
      </c>
      <c r="F2375" t="s">
        <v>26</v>
      </c>
      <c r="G2375" t="s">
        <v>27</v>
      </c>
    </row>
    <row r="2376" spans="1:7" x14ac:dyDescent="0.2">
      <c r="A2376">
        <v>16</v>
      </c>
      <c r="B2376">
        <v>48</v>
      </c>
      <c r="C2376" t="s">
        <v>1515</v>
      </c>
      <c r="D2376" t="s">
        <v>24</v>
      </c>
      <c r="E2376" t="s">
        <v>31</v>
      </c>
      <c r="F2376" t="s">
        <v>26</v>
      </c>
      <c r="G2376" t="s">
        <v>27</v>
      </c>
    </row>
    <row r="2377" spans="1:7" x14ac:dyDescent="0.2">
      <c r="A2377">
        <v>16</v>
      </c>
      <c r="B2377">
        <v>48</v>
      </c>
      <c r="C2377" t="s">
        <v>1480</v>
      </c>
      <c r="D2377" t="s">
        <v>24</v>
      </c>
      <c r="E2377" t="s">
        <v>31</v>
      </c>
      <c r="F2377" t="s">
        <v>26</v>
      </c>
      <c r="G2377" t="s">
        <v>27</v>
      </c>
    </row>
    <row r="2378" spans="1:7" x14ac:dyDescent="0.2">
      <c r="A2378">
        <v>16</v>
      </c>
      <c r="B2378">
        <v>48</v>
      </c>
      <c r="C2378" t="s">
        <v>1516</v>
      </c>
      <c r="D2378" t="s">
        <v>24</v>
      </c>
      <c r="E2378" t="s">
        <v>31</v>
      </c>
      <c r="F2378" t="s">
        <v>26</v>
      </c>
      <c r="G2378" t="s">
        <v>27</v>
      </c>
    </row>
    <row r="2379" spans="1:7" x14ac:dyDescent="0.2">
      <c r="A2379">
        <v>16</v>
      </c>
      <c r="B2379">
        <v>48</v>
      </c>
      <c r="C2379" t="s">
        <v>1482</v>
      </c>
      <c r="D2379" t="s">
        <v>24</v>
      </c>
      <c r="E2379" t="s">
        <v>31</v>
      </c>
      <c r="F2379" t="s">
        <v>26</v>
      </c>
      <c r="G2379" t="s">
        <v>27</v>
      </c>
    </row>
    <row r="2380" spans="1:7" x14ac:dyDescent="0.2">
      <c r="A2380">
        <v>16</v>
      </c>
      <c r="B2380">
        <v>48</v>
      </c>
      <c r="C2380" t="s">
        <v>1517</v>
      </c>
      <c r="D2380" t="s">
        <v>24</v>
      </c>
      <c r="E2380" t="s">
        <v>31</v>
      </c>
      <c r="F2380" t="s">
        <v>26</v>
      </c>
      <c r="G2380" t="s">
        <v>27</v>
      </c>
    </row>
    <row r="2381" spans="1:7" x14ac:dyDescent="0.2">
      <c r="A2381">
        <v>16</v>
      </c>
      <c r="B2381">
        <v>48</v>
      </c>
      <c r="C2381" t="s">
        <v>1206</v>
      </c>
      <c r="D2381" t="s">
        <v>24</v>
      </c>
      <c r="E2381" t="s">
        <v>31</v>
      </c>
      <c r="F2381" t="s">
        <v>26</v>
      </c>
      <c r="G2381" t="s">
        <v>27</v>
      </c>
    </row>
    <row r="2382" spans="1:7" x14ac:dyDescent="0.2">
      <c r="A2382">
        <v>16</v>
      </c>
      <c r="B2382">
        <v>48</v>
      </c>
      <c r="C2382" t="s">
        <v>1496</v>
      </c>
      <c r="D2382" t="s">
        <v>24</v>
      </c>
      <c r="E2382" t="s">
        <v>31</v>
      </c>
      <c r="F2382" t="s">
        <v>26</v>
      </c>
      <c r="G2382" t="s">
        <v>27</v>
      </c>
    </row>
    <row r="2383" spans="1:7" x14ac:dyDescent="0.2">
      <c r="A2383">
        <v>16</v>
      </c>
      <c r="B2383">
        <v>48</v>
      </c>
      <c r="C2383" t="s">
        <v>1518</v>
      </c>
      <c r="D2383" t="s">
        <v>24</v>
      </c>
      <c r="E2383" t="s">
        <v>31</v>
      </c>
      <c r="F2383" t="s">
        <v>26</v>
      </c>
      <c r="G2383" t="s">
        <v>27</v>
      </c>
    </row>
    <row r="2384" spans="1:7" x14ac:dyDescent="0.2">
      <c r="A2384">
        <v>16</v>
      </c>
      <c r="B2384">
        <v>48</v>
      </c>
      <c r="C2384" t="s">
        <v>1519</v>
      </c>
      <c r="D2384" t="s">
        <v>24</v>
      </c>
      <c r="E2384" t="s">
        <v>31</v>
      </c>
      <c r="F2384" t="s">
        <v>26</v>
      </c>
      <c r="G2384" t="s">
        <v>27</v>
      </c>
    </row>
    <row r="2385" spans="1:7" x14ac:dyDescent="0.2">
      <c r="A2385">
        <v>16</v>
      </c>
      <c r="B2385">
        <v>48</v>
      </c>
      <c r="C2385" t="s">
        <v>1491</v>
      </c>
      <c r="D2385" t="s">
        <v>24</v>
      </c>
      <c r="E2385" t="s">
        <v>31</v>
      </c>
      <c r="F2385" t="s">
        <v>26</v>
      </c>
      <c r="G2385" t="s">
        <v>27</v>
      </c>
    </row>
    <row r="2386" spans="1:7" x14ac:dyDescent="0.2">
      <c r="A2386">
        <v>17</v>
      </c>
      <c r="B2386">
        <v>48</v>
      </c>
      <c r="C2386" t="s">
        <v>1503</v>
      </c>
      <c r="D2386" t="s">
        <v>24</v>
      </c>
      <c r="E2386" t="s">
        <v>31</v>
      </c>
      <c r="F2386" t="s">
        <v>47</v>
      </c>
      <c r="G2386" t="s">
        <v>27</v>
      </c>
    </row>
    <row r="2387" spans="1:7" x14ac:dyDescent="0.2">
      <c r="A2387">
        <v>17</v>
      </c>
      <c r="B2387">
        <v>48</v>
      </c>
      <c r="C2387" t="s">
        <v>1520</v>
      </c>
      <c r="D2387" t="s">
        <v>24</v>
      </c>
      <c r="E2387" t="s">
        <v>31</v>
      </c>
      <c r="F2387" t="s">
        <v>47</v>
      </c>
      <c r="G2387" t="s">
        <v>27</v>
      </c>
    </row>
    <row r="2388" spans="1:7" x14ac:dyDescent="0.2">
      <c r="A2388">
        <v>17</v>
      </c>
      <c r="B2388">
        <v>48</v>
      </c>
      <c r="C2388" t="s">
        <v>1486</v>
      </c>
      <c r="D2388" t="s">
        <v>24</v>
      </c>
      <c r="E2388" t="s">
        <v>31</v>
      </c>
      <c r="F2388" t="s">
        <v>47</v>
      </c>
      <c r="G2388" t="s">
        <v>27</v>
      </c>
    </row>
    <row r="2389" spans="1:7" x14ac:dyDescent="0.2">
      <c r="A2389">
        <v>17</v>
      </c>
      <c r="B2389">
        <v>48</v>
      </c>
      <c r="C2389" t="s">
        <v>1497</v>
      </c>
      <c r="D2389" t="s">
        <v>24</v>
      </c>
      <c r="E2389" t="s">
        <v>31</v>
      </c>
      <c r="F2389" t="s">
        <v>47</v>
      </c>
      <c r="G2389" t="s">
        <v>27</v>
      </c>
    </row>
    <row r="2390" spans="1:7" x14ac:dyDescent="0.2">
      <c r="A2390">
        <v>17</v>
      </c>
      <c r="B2390">
        <v>48</v>
      </c>
      <c r="C2390" t="s">
        <v>1521</v>
      </c>
      <c r="D2390" t="s">
        <v>24</v>
      </c>
      <c r="E2390" t="s">
        <v>31</v>
      </c>
      <c r="F2390" t="s">
        <v>47</v>
      </c>
      <c r="G2390" t="s">
        <v>27</v>
      </c>
    </row>
    <row r="2391" spans="1:7" x14ac:dyDescent="0.2">
      <c r="A2391">
        <v>18</v>
      </c>
      <c r="B2391">
        <v>48</v>
      </c>
      <c r="C2391" t="s">
        <v>1482</v>
      </c>
      <c r="D2391" t="s">
        <v>24</v>
      </c>
      <c r="E2391" t="s">
        <v>31</v>
      </c>
      <c r="F2391" t="s">
        <v>26</v>
      </c>
      <c r="G2391" t="s">
        <v>27</v>
      </c>
    </row>
    <row r="2392" spans="1:7" x14ac:dyDescent="0.2">
      <c r="A2392">
        <v>18</v>
      </c>
      <c r="B2392">
        <v>48</v>
      </c>
      <c r="C2392" t="s">
        <v>1509</v>
      </c>
      <c r="D2392" t="s">
        <v>24</v>
      </c>
      <c r="E2392" t="s">
        <v>31</v>
      </c>
      <c r="F2392" t="s">
        <v>26</v>
      </c>
      <c r="G2392" t="s">
        <v>27</v>
      </c>
    </row>
    <row r="2393" spans="1:7" x14ac:dyDescent="0.2">
      <c r="A2393">
        <v>18</v>
      </c>
      <c r="B2393">
        <v>48</v>
      </c>
      <c r="C2393" t="s">
        <v>1496</v>
      </c>
      <c r="D2393" t="s">
        <v>24</v>
      </c>
      <c r="E2393" t="s">
        <v>31</v>
      </c>
      <c r="F2393" t="s">
        <v>26</v>
      </c>
      <c r="G2393" t="s">
        <v>27</v>
      </c>
    </row>
    <row r="2394" spans="1:7" x14ac:dyDescent="0.2">
      <c r="A2394">
        <v>18</v>
      </c>
      <c r="B2394">
        <v>48</v>
      </c>
      <c r="C2394" t="s">
        <v>1522</v>
      </c>
      <c r="D2394" t="s">
        <v>24</v>
      </c>
      <c r="E2394" t="s">
        <v>31</v>
      </c>
      <c r="F2394" t="s">
        <v>26</v>
      </c>
      <c r="G2394" t="s">
        <v>27</v>
      </c>
    </row>
    <row r="2395" spans="1:7" x14ac:dyDescent="0.2">
      <c r="A2395">
        <v>18</v>
      </c>
      <c r="B2395">
        <v>48</v>
      </c>
      <c r="C2395" t="s">
        <v>1523</v>
      </c>
      <c r="D2395" t="s">
        <v>24</v>
      </c>
      <c r="E2395" t="s">
        <v>31</v>
      </c>
      <c r="F2395" t="s">
        <v>26</v>
      </c>
      <c r="G2395" t="s">
        <v>27</v>
      </c>
    </row>
    <row r="2396" spans="1:7" x14ac:dyDescent="0.2">
      <c r="A2396">
        <v>18</v>
      </c>
      <c r="B2396">
        <v>48</v>
      </c>
      <c r="C2396" t="s">
        <v>1524</v>
      </c>
      <c r="D2396" t="s">
        <v>24</v>
      </c>
      <c r="E2396" t="s">
        <v>31</v>
      </c>
      <c r="F2396" t="s">
        <v>26</v>
      </c>
      <c r="G2396" t="s">
        <v>27</v>
      </c>
    </row>
    <row r="2397" spans="1:7" x14ac:dyDescent="0.2">
      <c r="A2397">
        <v>18</v>
      </c>
      <c r="B2397">
        <v>48</v>
      </c>
      <c r="C2397" t="s">
        <v>1525</v>
      </c>
      <c r="D2397" t="s">
        <v>24</v>
      </c>
      <c r="E2397" t="s">
        <v>31</v>
      </c>
      <c r="F2397" t="s">
        <v>26</v>
      </c>
      <c r="G2397" t="s">
        <v>27</v>
      </c>
    </row>
    <row r="2398" spans="1:7" x14ac:dyDescent="0.2">
      <c r="A2398">
        <v>19</v>
      </c>
      <c r="B2398">
        <v>48</v>
      </c>
      <c r="C2398" t="s">
        <v>1526</v>
      </c>
      <c r="D2398" t="s">
        <v>24</v>
      </c>
      <c r="E2398" t="s">
        <v>31</v>
      </c>
      <c r="F2398" t="s">
        <v>26</v>
      </c>
      <c r="G2398" t="s">
        <v>27</v>
      </c>
    </row>
    <row r="2399" spans="1:7" x14ac:dyDescent="0.2">
      <c r="A2399">
        <v>19</v>
      </c>
      <c r="B2399">
        <v>48</v>
      </c>
      <c r="C2399" t="s">
        <v>1527</v>
      </c>
      <c r="D2399" t="s">
        <v>24</v>
      </c>
      <c r="E2399" t="s">
        <v>31</v>
      </c>
      <c r="F2399" t="s">
        <v>26</v>
      </c>
      <c r="G2399" t="s">
        <v>27</v>
      </c>
    </row>
    <row r="2400" spans="1:7" x14ac:dyDescent="0.2">
      <c r="A2400">
        <v>19</v>
      </c>
      <c r="B2400">
        <v>48</v>
      </c>
      <c r="C2400" t="s">
        <v>1503</v>
      </c>
      <c r="D2400" t="s">
        <v>24</v>
      </c>
      <c r="E2400" t="s">
        <v>31</v>
      </c>
      <c r="F2400" t="s">
        <v>26</v>
      </c>
      <c r="G2400" t="s">
        <v>27</v>
      </c>
    </row>
    <row r="2401" spans="1:7" x14ac:dyDescent="0.2">
      <c r="A2401">
        <v>19</v>
      </c>
      <c r="B2401">
        <v>48</v>
      </c>
      <c r="C2401" t="s">
        <v>1480</v>
      </c>
      <c r="D2401" t="s">
        <v>24</v>
      </c>
      <c r="E2401" t="s">
        <v>31</v>
      </c>
      <c r="F2401" t="s">
        <v>26</v>
      </c>
      <c r="G2401" t="s">
        <v>27</v>
      </c>
    </row>
    <row r="2402" spans="1:7" x14ac:dyDescent="0.2">
      <c r="A2402">
        <v>19</v>
      </c>
      <c r="B2402">
        <v>48</v>
      </c>
      <c r="C2402" t="s">
        <v>1482</v>
      </c>
      <c r="D2402" t="s">
        <v>24</v>
      </c>
      <c r="E2402" t="s">
        <v>31</v>
      </c>
      <c r="F2402" t="s">
        <v>26</v>
      </c>
      <c r="G2402" t="s">
        <v>27</v>
      </c>
    </row>
    <row r="2403" spans="1:7" x14ac:dyDescent="0.2">
      <c r="A2403">
        <v>19</v>
      </c>
      <c r="B2403">
        <v>48</v>
      </c>
      <c r="C2403" t="s">
        <v>1517</v>
      </c>
      <c r="D2403" t="s">
        <v>24</v>
      </c>
      <c r="E2403" t="s">
        <v>31</v>
      </c>
      <c r="F2403" t="s">
        <v>26</v>
      </c>
      <c r="G2403" t="s">
        <v>27</v>
      </c>
    </row>
    <row r="2404" spans="1:7" x14ac:dyDescent="0.2">
      <c r="A2404">
        <v>19</v>
      </c>
      <c r="B2404">
        <v>48</v>
      </c>
      <c r="C2404" t="s">
        <v>1509</v>
      </c>
      <c r="D2404" t="s">
        <v>24</v>
      </c>
      <c r="E2404" t="s">
        <v>31</v>
      </c>
      <c r="F2404" t="s">
        <v>26</v>
      </c>
      <c r="G2404" t="s">
        <v>27</v>
      </c>
    </row>
    <row r="2405" spans="1:7" x14ac:dyDescent="0.2">
      <c r="A2405">
        <v>19</v>
      </c>
      <c r="B2405">
        <v>48</v>
      </c>
      <c r="C2405" t="s">
        <v>1528</v>
      </c>
      <c r="D2405" t="s">
        <v>24</v>
      </c>
      <c r="E2405" t="s">
        <v>31</v>
      </c>
      <c r="F2405" t="s">
        <v>26</v>
      </c>
      <c r="G2405" t="s">
        <v>27</v>
      </c>
    </row>
    <row r="2406" spans="1:7" x14ac:dyDescent="0.2">
      <c r="A2406">
        <v>19</v>
      </c>
      <c r="B2406">
        <v>48</v>
      </c>
      <c r="C2406" t="s">
        <v>1529</v>
      </c>
      <c r="D2406" t="s">
        <v>24</v>
      </c>
      <c r="E2406" t="s">
        <v>31</v>
      </c>
      <c r="F2406" t="s">
        <v>26</v>
      </c>
      <c r="G2406" t="s">
        <v>27</v>
      </c>
    </row>
    <row r="2407" spans="1:7" x14ac:dyDescent="0.2">
      <c r="A2407">
        <v>19</v>
      </c>
      <c r="B2407">
        <v>48</v>
      </c>
      <c r="C2407" t="s">
        <v>1530</v>
      </c>
      <c r="D2407" t="s">
        <v>24</v>
      </c>
      <c r="E2407" t="s">
        <v>31</v>
      </c>
      <c r="F2407" t="s">
        <v>26</v>
      </c>
      <c r="G2407" t="s">
        <v>27</v>
      </c>
    </row>
    <row r="2408" spans="1:7" x14ac:dyDescent="0.2">
      <c r="A2408">
        <v>19</v>
      </c>
      <c r="B2408">
        <v>48</v>
      </c>
      <c r="C2408" t="s">
        <v>1491</v>
      </c>
      <c r="D2408" t="s">
        <v>24</v>
      </c>
      <c r="E2408" t="s">
        <v>31</v>
      </c>
      <c r="F2408" t="s">
        <v>26</v>
      </c>
      <c r="G2408" t="s">
        <v>27</v>
      </c>
    </row>
    <row r="2409" spans="1:7" x14ac:dyDescent="0.2">
      <c r="A2409">
        <v>20</v>
      </c>
      <c r="B2409">
        <v>48</v>
      </c>
      <c r="C2409" t="s">
        <v>1531</v>
      </c>
      <c r="D2409" t="s">
        <v>24</v>
      </c>
      <c r="E2409" t="s">
        <v>25</v>
      </c>
      <c r="F2409" t="s">
        <v>26</v>
      </c>
      <c r="G2409" t="s">
        <v>27</v>
      </c>
    </row>
    <row r="2410" spans="1:7" x14ac:dyDescent="0.2">
      <c r="A2410">
        <v>20</v>
      </c>
      <c r="B2410">
        <v>48</v>
      </c>
      <c r="C2410" t="s">
        <v>1532</v>
      </c>
      <c r="D2410" t="s">
        <v>24</v>
      </c>
      <c r="E2410" t="s">
        <v>25</v>
      </c>
      <c r="F2410" t="s">
        <v>26</v>
      </c>
      <c r="G2410" t="s">
        <v>27</v>
      </c>
    </row>
    <row r="2411" spans="1:7" x14ac:dyDescent="0.2">
      <c r="A2411">
        <v>20</v>
      </c>
      <c r="B2411">
        <v>48</v>
      </c>
      <c r="C2411" t="s">
        <v>1533</v>
      </c>
      <c r="D2411" t="s">
        <v>24</v>
      </c>
      <c r="E2411" t="s">
        <v>25</v>
      </c>
      <c r="F2411" t="s">
        <v>26</v>
      </c>
      <c r="G2411" t="s">
        <v>27</v>
      </c>
    </row>
    <row r="2412" spans="1:7" x14ac:dyDescent="0.2">
      <c r="A2412">
        <v>20</v>
      </c>
      <c r="B2412">
        <v>48</v>
      </c>
      <c r="C2412" t="s">
        <v>1534</v>
      </c>
      <c r="D2412" t="s">
        <v>24</v>
      </c>
      <c r="E2412" t="s">
        <v>25</v>
      </c>
      <c r="F2412" t="s">
        <v>26</v>
      </c>
      <c r="G2412" t="s">
        <v>27</v>
      </c>
    </row>
    <row r="2413" spans="1:7" x14ac:dyDescent="0.2">
      <c r="A2413">
        <v>20</v>
      </c>
      <c r="B2413">
        <v>48</v>
      </c>
      <c r="C2413" t="s">
        <v>1535</v>
      </c>
      <c r="D2413" t="s">
        <v>24</v>
      </c>
      <c r="E2413" t="s">
        <v>25</v>
      </c>
      <c r="F2413" t="s">
        <v>26</v>
      </c>
      <c r="G2413" t="s">
        <v>27</v>
      </c>
    </row>
    <row r="2414" spans="1:7" x14ac:dyDescent="0.2">
      <c r="A2414">
        <v>20</v>
      </c>
      <c r="B2414">
        <v>48</v>
      </c>
      <c r="C2414" t="s">
        <v>1528</v>
      </c>
      <c r="D2414" t="s">
        <v>24</v>
      </c>
      <c r="E2414" t="s">
        <v>25</v>
      </c>
      <c r="F2414" t="s">
        <v>26</v>
      </c>
      <c r="G2414" t="s">
        <v>27</v>
      </c>
    </row>
    <row r="2415" spans="1:7" x14ac:dyDescent="0.2">
      <c r="A2415">
        <v>20</v>
      </c>
      <c r="B2415">
        <v>48</v>
      </c>
      <c r="C2415" t="s">
        <v>1509</v>
      </c>
      <c r="D2415" t="s">
        <v>24</v>
      </c>
      <c r="E2415" t="s">
        <v>25</v>
      </c>
      <c r="F2415" t="s">
        <v>26</v>
      </c>
      <c r="G2415" t="s">
        <v>27</v>
      </c>
    </row>
    <row r="2416" spans="1:7" x14ac:dyDescent="0.2">
      <c r="A2416">
        <v>20</v>
      </c>
      <c r="B2416">
        <v>48</v>
      </c>
      <c r="C2416" t="s">
        <v>1536</v>
      </c>
      <c r="D2416" t="s">
        <v>24</v>
      </c>
      <c r="E2416" t="s">
        <v>25</v>
      </c>
      <c r="F2416" t="s">
        <v>26</v>
      </c>
      <c r="G2416" t="s">
        <v>27</v>
      </c>
    </row>
    <row r="2417" spans="1:7" x14ac:dyDescent="0.2">
      <c r="A2417">
        <v>20</v>
      </c>
      <c r="B2417">
        <v>48</v>
      </c>
      <c r="C2417" t="s">
        <v>1537</v>
      </c>
      <c r="D2417" t="s">
        <v>24</v>
      </c>
      <c r="E2417" t="s">
        <v>25</v>
      </c>
      <c r="F2417" t="s">
        <v>26</v>
      </c>
      <c r="G2417" t="s">
        <v>27</v>
      </c>
    </row>
    <row r="2418" spans="1:7" x14ac:dyDescent="0.2">
      <c r="A2418">
        <v>20</v>
      </c>
      <c r="B2418">
        <v>48</v>
      </c>
      <c r="C2418" t="s">
        <v>1538</v>
      </c>
      <c r="D2418" t="s">
        <v>24</v>
      </c>
      <c r="E2418" t="s">
        <v>25</v>
      </c>
      <c r="F2418" t="s">
        <v>26</v>
      </c>
      <c r="G2418" t="s">
        <v>27</v>
      </c>
    </row>
    <row r="2419" spans="1:7" x14ac:dyDescent="0.2">
      <c r="A2419">
        <v>20</v>
      </c>
      <c r="B2419">
        <v>48</v>
      </c>
      <c r="C2419" t="s">
        <v>1539</v>
      </c>
      <c r="D2419" t="s">
        <v>24</v>
      </c>
      <c r="E2419" t="s">
        <v>25</v>
      </c>
      <c r="F2419" t="s">
        <v>26</v>
      </c>
      <c r="G2419" t="s">
        <v>27</v>
      </c>
    </row>
    <row r="2420" spans="1:7" x14ac:dyDescent="0.2">
      <c r="A2420">
        <v>20</v>
      </c>
      <c r="B2420">
        <v>48</v>
      </c>
      <c r="C2420" t="s">
        <v>1491</v>
      </c>
      <c r="D2420" t="s">
        <v>24</v>
      </c>
      <c r="E2420" t="s">
        <v>25</v>
      </c>
      <c r="F2420" t="s">
        <v>26</v>
      </c>
      <c r="G2420" t="s">
        <v>27</v>
      </c>
    </row>
    <row r="2421" spans="1:7" x14ac:dyDescent="0.2">
      <c r="A2421">
        <v>21</v>
      </c>
      <c r="B2421">
        <v>48</v>
      </c>
      <c r="C2421" t="s">
        <v>1540</v>
      </c>
      <c r="D2421" t="s">
        <v>24</v>
      </c>
      <c r="E2421" t="s">
        <v>31</v>
      </c>
      <c r="F2421" t="s">
        <v>26</v>
      </c>
      <c r="G2421" t="s">
        <v>27</v>
      </c>
    </row>
    <row r="2422" spans="1:7" x14ac:dyDescent="0.2">
      <c r="A2422">
        <v>21</v>
      </c>
      <c r="B2422">
        <v>48</v>
      </c>
      <c r="C2422" t="s">
        <v>1541</v>
      </c>
      <c r="D2422" t="s">
        <v>24</v>
      </c>
      <c r="E2422" t="s">
        <v>31</v>
      </c>
      <c r="F2422" t="s">
        <v>26</v>
      </c>
      <c r="G2422" t="s">
        <v>27</v>
      </c>
    </row>
    <row r="2423" spans="1:7" x14ac:dyDescent="0.2">
      <c r="A2423">
        <v>21</v>
      </c>
      <c r="B2423">
        <v>48</v>
      </c>
      <c r="C2423" t="s">
        <v>1542</v>
      </c>
      <c r="D2423" t="s">
        <v>24</v>
      </c>
      <c r="E2423" t="s">
        <v>31</v>
      </c>
      <c r="F2423" t="s">
        <v>26</v>
      </c>
      <c r="G2423" t="s">
        <v>27</v>
      </c>
    </row>
    <row r="2424" spans="1:7" x14ac:dyDescent="0.2">
      <c r="A2424">
        <v>21</v>
      </c>
      <c r="B2424">
        <v>48</v>
      </c>
      <c r="C2424" t="s">
        <v>1494</v>
      </c>
      <c r="D2424" t="s">
        <v>24</v>
      </c>
      <c r="E2424" t="s">
        <v>31</v>
      </c>
      <c r="F2424" t="s">
        <v>26</v>
      </c>
      <c r="G2424" t="s">
        <v>27</v>
      </c>
    </row>
    <row r="2425" spans="1:7" x14ac:dyDescent="0.2">
      <c r="A2425">
        <v>21</v>
      </c>
      <c r="B2425">
        <v>48</v>
      </c>
      <c r="C2425" t="s">
        <v>1543</v>
      </c>
      <c r="D2425" t="s">
        <v>24</v>
      </c>
      <c r="E2425" t="s">
        <v>31</v>
      </c>
      <c r="F2425" t="s">
        <v>26</v>
      </c>
      <c r="G2425" t="s">
        <v>27</v>
      </c>
    </row>
    <row r="2426" spans="1:7" x14ac:dyDescent="0.2">
      <c r="A2426">
        <v>21</v>
      </c>
      <c r="B2426">
        <v>48</v>
      </c>
      <c r="C2426" t="s">
        <v>1544</v>
      </c>
      <c r="D2426" t="s">
        <v>24</v>
      </c>
      <c r="E2426" t="s">
        <v>31</v>
      </c>
      <c r="F2426" t="s">
        <v>26</v>
      </c>
      <c r="G2426" t="s">
        <v>27</v>
      </c>
    </row>
    <row r="2427" spans="1:7" x14ac:dyDescent="0.2">
      <c r="A2427">
        <v>21</v>
      </c>
      <c r="B2427">
        <v>48</v>
      </c>
      <c r="C2427" t="s">
        <v>1545</v>
      </c>
      <c r="D2427" t="s">
        <v>24</v>
      </c>
      <c r="E2427" t="s">
        <v>31</v>
      </c>
      <c r="F2427" t="s">
        <v>26</v>
      </c>
      <c r="G2427" t="s">
        <v>27</v>
      </c>
    </row>
    <row r="2428" spans="1:7" x14ac:dyDescent="0.2">
      <c r="A2428">
        <v>21</v>
      </c>
      <c r="B2428">
        <v>48</v>
      </c>
      <c r="C2428" t="s">
        <v>1509</v>
      </c>
      <c r="D2428" t="s">
        <v>24</v>
      </c>
      <c r="E2428" t="s">
        <v>31</v>
      </c>
      <c r="F2428" t="s">
        <v>26</v>
      </c>
      <c r="G2428" t="s">
        <v>27</v>
      </c>
    </row>
    <row r="2429" spans="1:7" x14ac:dyDescent="0.2">
      <c r="A2429">
        <v>21</v>
      </c>
      <c r="B2429">
        <v>48</v>
      </c>
      <c r="C2429" t="s">
        <v>1522</v>
      </c>
      <c r="D2429" t="s">
        <v>24</v>
      </c>
      <c r="E2429" t="s">
        <v>31</v>
      </c>
      <c r="F2429" t="s">
        <v>26</v>
      </c>
      <c r="G2429" t="s">
        <v>27</v>
      </c>
    </row>
    <row r="2430" spans="1:7" x14ac:dyDescent="0.2">
      <c r="A2430">
        <v>21</v>
      </c>
      <c r="B2430">
        <v>48</v>
      </c>
      <c r="C2430" t="s">
        <v>1529</v>
      </c>
      <c r="D2430" t="s">
        <v>24</v>
      </c>
      <c r="E2430" t="s">
        <v>31</v>
      </c>
      <c r="F2430" t="s">
        <v>26</v>
      </c>
      <c r="G2430" t="s">
        <v>27</v>
      </c>
    </row>
    <row r="2431" spans="1:7" x14ac:dyDescent="0.2">
      <c r="A2431">
        <v>22</v>
      </c>
      <c r="B2431">
        <v>48</v>
      </c>
      <c r="C2431" t="s">
        <v>1546</v>
      </c>
      <c r="D2431" t="s">
        <v>24</v>
      </c>
      <c r="E2431" t="s">
        <v>31</v>
      </c>
      <c r="F2431" t="s">
        <v>26</v>
      </c>
      <c r="G2431" t="s">
        <v>27</v>
      </c>
    </row>
    <row r="2432" spans="1:7" x14ac:dyDescent="0.2">
      <c r="A2432">
        <v>22</v>
      </c>
      <c r="B2432">
        <v>48</v>
      </c>
      <c r="C2432" t="s">
        <v>1509</v>
      </c>
      <c r="D2432" t="s">
        <v>24</v>
      </c>
      <c r="E2432" t="s">
        <v>31</v>
      </c>
      <c r="F2432" t="s">
        <v>26</v>
      </c>
      <c r="G2432" t="s">
        <v>27</v>
      </c>
    </row>
    <row r="2433" spans="1:7" x14ac:dyDescent="0.2">
      <c r="A2433">
        <v>22</v>
      </c>
      <c r="B2433">
        <v>48</v>
      </c>
      <c r="C2433" t="s">
        <v>1547</v>
      </c>
      <c r="D2433" t="s">
        <v>24</v>
      </c>
      <c r="E2433" t="s">
        <v>31</v>
      </c>
      <c r="F2433" t="s">
        <v>26</v>
      </c>
      <c r="G2433" t="s">
        <v>27</v>
      </c>
    </row>
    <row r="2434" spans="1:7" x14ac:dyDescent="0.2">
      <c r="A2434">
        <v>23</v>
      </c>
      <c r="B2434">
        <v>48</v>
      </c>
      <c r="C2434" t="s">
        <v>1509</v>
      </c>
      <c r="D2434" t="s">
        <v>24</v>
      </c>
      <c r="E2434" t="s">
        <v>25</v>
      </c>
      <c r="F2434" t="s">
        <v>26</v>
      </c>
      <c r="G2434" t="s">
        <v>27</v>
      </c>
    </row>
    <row r="2435" spans="1:7" x14ac:dyDescent="0.2">
      <c r="A2435">
        <v>23</v>
      </c>
      <c r="B2435">
        <v>48</v>
      </c>
      <c r="C2435" t="s">
        <v>1547</v>
      </c>
      <c r="D2435" t="s">
        <v>24</v>
      </c>
      <c r="E2435" t="s">
        <v>25</v>
      </c>
      <c r="F2435" t="s">
        <v>26</v>
      </c>
      <c r="G2435" t="s">
        <v>27</v>
      </c>
    </row>
    <row r="2436" spans="1:7" x14ac:dyDescent="0.2">
      <c r="A2436">
        <v>23</v>
      </c>
      <c r="B2436">
        <v>48</v>
      </c>
      <c r="C2436" t="s">
        <v>1548</v>
      </c>
      <c r="D2436" t="s">
        <v>24</v>
      </c>
      <c r="E2436" t="s">
        <v>25</v>
      </c>
      <c r="F2436" t="s">
        <v>26</v>
      </c>
      <c r="G2436" t="s">
        <v>27</v>
      </c>
    </row>
    <row r="2437" spans="1:7" x14ac:dyDescent="0.2">
      <c r="A2437">
        <v>7</v>
      </c>
      <c r="B2437">
        <v>49</v>
      </c>
      <c r="C2437" t="s">
        <v>1478</v>
      </c>
      <c r="D2437" t="s">
        <v>24</v>
      </c>
      <c r="E2437" t="s">
        <v>31</v>
      </c>
      <c r="F2437" t="s">
        <v>26</v>
      </c>
      <c r="G2437" t="s">
        <v>27</v>
      </c>
    </row>
    <row r="2438" spans="1:7" x14ac:dyDescent="0.2">
      <c r="A2438">
        <v>7</v>
      </c>
      <c r="B2438">
        <v>49</v>
      </c>
      <c r="C2438" t="s">
        <v>1549</v>
      </c>
      <c r="D2438" t="s">
        <v>24</v>
      </c>
      <c r="E2438" t="s">
        <v>31</v>
      </c>
      <c r="F2438" t="s">
        <v>26</v>
      </c>
      <c r="G2438" t="s">
        <v>27</v>
      </c>
    </row>
    <row r="2439" spans="1:7" x14ac:dyDescent="0.2">
      <c r="A2439">
        <v>7</v>
      </c>
      <c r="B2439">
        <v>49</v>
      </c>
      <c r="C2439" t="s">
        <v>1550</v>
      </c>
      <c r="D2439" t="s">
        <v>24</v>
      </c>
      <c r="E2439" t="s">
        <v>31</v>
      </c>
      <c r="F2439" t="s">
        <v>26</v>
      </c>
      <c r="G2439" t="s">
        <v>27</v>
      </c>
    </row>
    <row r="2440" spans="1:7" x14ac:dyDescent="0.2">
      <c r="A2440">
        <v>7</v>
      </c>
      <c r="B2440">
        <v>49</v>
      </c>
      <c r="C2440" t="s">
        <v>1551</v>
      </c>
      <c r="D2440" t="s">
        <v>24</v>
      </c>
      <c r="E2440" t="s">
        <v>31</v>
      </c>
      <c r="F2440" t="s">
        <v>26</v>
      </c>
      <c r="G2440" t="s">
        <v>27</v>
      </c>
    </row>
    <row r="2441" spans="1:7" x14ac:dyDescent="0.2">
      <c r="A2441">
        <v>7</v>
      </c>
      <c r="B2441">
        <v>49</v>
      </c>
      <c r="C2441" t="s">
        <v>1552</v>
      </c>
      <c r="D2441" t="s">
        <v>24</v>
      </c>
      <c r="E2441" t="s">
        <v>31</v>
      </c>
      <c r="F2441" t="s">
        <v>26</v>
      </c>
      <c r="G2441" t="s">
        <v>27</v>
      </c>
    </row>
    <row r="2442" spans="1:7" x14ac:dyDescent="0.2">
      <c r="A2442">
        <v>7</v>
      </c>
      <c r="B2442">
        <v>49</v>
      </c>
      <c r="C2442" t="s">
        <v>1553</v>
      </c>
      <c r="D2442" t="s">
        <v>30</v>
      </c>
      <c r="E2442" t="s">
        <v>31</v>
      </c>
      <c r="F2442" t="s">
        <v>26</v>
      </c>
      <c r="G2442" t="s">
        <v>27</v>
      </c>
    </row>
    <row r="2443" spans="1:7" x14ac:dyDescent="0.2">
      <c r="A2443">
        <v>7</v>
      </c>
      <c r="B2443">
        <v>49</v>
      </c>
      <c r="C2443" t="s">
        <v>1554</v>
      </c>
      <c r="D2443" t="s">
        <v>24</v>
      </c>
      <c r="E2443" t="s">
        <v>31</v>
      </c>
      <c r="F2443" t="s">
        <v>26</v>
      </c>
      <c r="G2443" t="s">
        <v>27</v>
      </c>
    </row>
    <row r="2444" spans="1:7" x14ac:dyDescent="0.2">
      <c r="A2444">
        <v>8</v>
      </c>
      <c r="B2444">
        <v>49</v>
      </c>
      <c r="C2444" t="s">
        <v>1553</v>
      </c>
      <c r="D2444" t="s">
        <v>30</v>
      </c>
      <c r="E2444" t="s">
        <v>31</v>
      </c>
      <c r="F2444" t="s">
        <v>26</v>
      </c>
      <c r="G2444" t="s">
        <v>27</v>
      </c>
    </row>
    <row r="2445" spans="1:7" x14ac:dyDescent="0.2">
      <c r="A2445">
        <v>8</v>
      </c>
      <c r="B2445">
        <v>49</v>
      </c>
      <c r="C2445" t="s">
        <v>1551</v>
      </c>
      <c r="D2445" t="s">
        <v>24</v>
      </c>
      <c r="E2445" t="s">
        <v>31</v>
      </c>
      <c r="F2445" t="s">
        <v>26</v>
      </c>
      <c r="G2445" t="s">
        <v>27</v>
      </c>
    </row>
    <row r="2446" spans="1:7" x14ac:dyDescent="0.2">
      <c r="A2446">
        <v>8</v>
      </c>
      <c r="B2446">
        <v>49</v>
      </c>
      <c r="C2446" t="s">
        <v>1555</v>
      </c>
      <c r="D2446" t="s">
        <v>24</v>
      </c>
      <c r="E2446" t="s">
        <v>31</v>
      </c>
      <c r="F2446" t="s">
        <v>26</v>
      </c>
      <c r="G2446" t="s">
        <v>27</v>
      </c>
    </row>
    <row r="2447" spans="1:7" x14ac:dyDescent="0.2">
      <c r="A2447">
        <v>8</v>
      </c>
      <c r="B2447">
        <v>49</v>
      </c>
      <c r="C2447" t="s">
        <v>1554</v>
      </c>
      <c r="D2447" t="s">
        <v>24</v>
      </c>
      <c r="E2447" t="s">
        <v>31</v>
      </c>
      <c r="F2447" t="s">
        <v>26</v>
      </c>
      <c r="G2447" t="s">
        <v>27</v>
      </c>
    </row>
    <row r="2448" spans="1:7" x14ac:dyDescent="0.2">
      <c r="A2448">
        <v>9</v>
      </c>
      <c r="B2448">
        <v>49</v>
      </c>
      <c r="C2448" t="s">
        <v>1556</v>
      </c>
      <c r="D2448" t="s">
        <v>24</v>
      </c>
      <c r="E2448" t="s">
        <v>25</v>
      </c>
      <c r="F2448" t="s">
        <v>26</v>
      </c>
      <c r="G2448" t="s">
        <v>27</v>
      </c>
    </row>
    <row r="2449" spans="1:7" x14ac:dyDescent="0.2">
      <c r="A2449">
        <v>9</v>
      </c>
      <c r="B2449">
        <v>49</v>
      </c>
      <c r="C2449" t="s">
        <v>1557</v>
      </c>
      <c r="D2449" t="s">
        <v>24</v>
      </c>
      <c r="E2449" t="s">
        <v>25</v>
      </c>
      <c r="F2449" t="s">
        <v>26</v>
      </c>
      <c r="G2449" t="s">
        <v>27</v>
      </c>
    </row>
    <row r="2450" spans="1:7" x14ac:dyDescent="0.2">
      <c r="A2450">
        <v>9</v>
      </c>
      <c r="B2450">
        <v>49</v>
      </c>
      <c r="C2450" t="s">
        <v>1558</v>
      </c>
      <c r="D2450" t="s">
        <v>24</v>
      </c>
      <c r="E2450" t="s">
        <v>25</v>
      </c>
      <c r="F2450" t="s">
        <v>26</v>
      </c>
      <c r="G2450" t="s">
        <v>27</v>
      </c>
    </row>
    <row r="2451" spans="1:7" x14ac:dyDescent="0.2">
      <c r="A2451">
        <v>9</v>
      </c>
      <c r="B2451">
        <v>49</v>
      </c>
      <c r="C2451" t="s">
        <v>1559</v>
      </c>
      <c r="D2451" t="s">
        <v>24</v>
      </c>
      <c r="E2451" t="s">
        <v>25</v>
      </c>
      <c r="F2451" t="s">
        <v>26</v>
      </c>
      <c r="G2451" t="s">
        <v>27</v>
      </c>
    </row>
    <row r="2452" spans="1:7" x14ac:dyDescent="0.2">
      <c r="A2452">
        <v>9</v>
      </c>
      <c r="B2452">
        <v>49</v>
      </c>
      <c r="C2452" t="s">
        <v>1560</v>
      </c>
      <c r="D2452" t="s">
        <v>24</v>
      </c>
      <c r="E2452" t="s">
        <v>25</v>
      </c>
      <c r="F2452" t="s">
        <v>26</v>
      </c>
      <c r="G2452" t="s">
        <v>27</v>
      </c>
    </row>
    <row r="2453" spans="1:7" x14ac:dyDescent="0.2">
      <c r="A2453">
        <v>10</v>
      </c>
      <c r="B2453">
        <v>49</v>
      </c>
      <c r="C2453" t="s">
        <v>1561</v>
      </c>
      <c r="D2453" t="s">
        <v>24</v>
      </c>
      <c r="E2453" t="s">
        <v>31</v>
      </c>
      <c r="F2453" t="s">
        <v>26</v>
      </c>
      <c r="G2453" t="s">
        <v>27</v>
      </c>
    </row>
    <row r="2454" spans="1:7" x14ac:dyDescent="0.2">
      <c r="A2454">
        <v>10</v>
      </c>
      <c r="B2454">
        <v>49</v>
      </c>
      <c r="C2454" t="s">
        <v>1562</v>
      </c>
      <c r="D2454" t="s">
        <v>24</v>
      </c>
      <c r="E2454" t="s">
        <v>31</v>
      </c>
      <c r="F2454" t="s">
        <v>26</v>
      </c>
      <c r="G2454" t="s">
        <v>27</v>
      </c>
    </row>
    <row r="2455" spans="1:7" x14ac:dyDescent="0.2">
      <c r="A2455">
        <v>10</v>
      </c>
      <c r="B2455">
        <v>49</v>
      </c>
      <c r="C2455" t="s">
        <v>1549</v>
      </c>
      <c r="D2455" t="s">
        <v>24</v>
      </c>
      <c r="E2455" t="s">
        <v>31</v>
      </c>
      <c r="F2455" t="s">
        <v>26</v>
      </c>
      <c r="G2455" t="s">
        <v>27</v>
      </c>
    </row>
    <row r="2456" spans="1:7" x14ac:dyDescent="0.2">
      <c r="A2456">
        <v>10</v>
      </c>
      <c r="B2456">
        <v>49</v>
      </c>
      <c r="C2456" t="s">
        <v>1563</v>
      </c>
      <c r="D2456" t="s">
        <v>24</v>
      </c>
      <c r="E2456" t="s">
        <v>31</v>
      </c>
      <c r="F2456" t="s">
        <v>26</v>
      </c>
      <c r="G2456" t="s">
        <v>27</v>
      </c>
    </row>
    <row r="2457" spans="1:7" x14ac:dyDescent="0.2">
      <c r="A2457">
        <v>10</v>
      </c>
      <c r="B2457">
        <v>49</v>
      </c>
      <c r="C2457" t="s">
        <v>1564</v>
      </c>
      <c r="D2457" t="s">
        <v>24</v>
      </c>
      <c r="E2457" t="s">
        <v>31</v>
      </c>
      <c r="F2457" t="s">
        <v>26</v>
      </c>
      <c r="G2457" t="s">
        <v>27</v>
      </c>
    </row>
    <row r="2458" spans="1:7" x14ac:dyDescent="0.2">
      <c r="A2458">
        <v>10</v>
      </c>
      <c r="B2458">
        <v>49</v>
      </c>
      <c r="C2458" t="s">
        <v>1565</v>
      </c>
      <c r="D2458" t="s">
        <v>30</v>
      </c>
      <c r="E2458" t="s">
        <v>31</v>
      </c>
      <c r="F2458" t="s">
        <v>26</v>
      </c>
      <c r="G2458" t="s">
        <v>27</v>
      </c>
    </row>
    <row r="2459" spans="1:7" x14ac:dyDescent="0.2">
      <c r="A2459">
        <v>10</v>
      </c>
      <c r="B2459">
        <v>49</v>
      </c>
      <c r="C2459" t="s">
        <v>1551</v>
      </c>
      <c r="D2459" t="s">
        <v>24</v>
      </c>
      <c r="E2459" t="s">
        <v>31</v>
      </c>
      <c r="F2459" t="s">
        <v>26</v>
      </c>
      <c r="G2459" t="s">
        <v>27</v>
      </c>
    </row>
    <row r="2460" spans="1:7" x14ac:dyDescent="0.2">
      <c r="A2460">
        <v>10</v>
      </c>
      <c r="B2460">
        <v>49</v>
      </c>
      <c r="C2460" t="s">
        <v>1552</v>
      </c>
      <c r="D2460" t="s">
        <v>24</v>
      </c>
      <c r="E2460" t="s">
        <v>31</v>
      </c>
      <c r="F2460" t="s">
        <v>26</v>
      </c>
      <c r="G2460" t="s">
        <v>27</v>
      </c>
    </row>
    <row r="2461" spans="1:7" x14ac:dyDescent="0.2">
      <c r="A2461">
        <v>11</v>
      </c>
      <c r="B2461">
        <v>49</v>
      </c>
      <c r="C2461" t="s">
        <v>1566</v>
      </c>
      <c r="D2461" t="s">
        <v>24</v>
      </c>
      <c r="E2461" t="s">
        <v>31</v>
      </c>
      <c r="F2461" t="s">
        <v>26</v>
      </c>
      <c r="G2461" t="s">
        <v>27</v>
      </c>
    </row>
    <row r="2462" spans="1:7" x14ac:dyDescent="0.2">
      <c r="A2462">
        <v>11</v>
      </c>
      <c r="B2462">
        <v>49</v>
      </c>
      <c r="C2462" t="s">
        <v>1567</v>
      </c>
      <c r="D2462" t="s">
        <v>24</v>
      </c>
      <c r="E2462" t="s">
        <v>31</v>
      </c>
      <c r="F2462" t="s">
        <v>26</v>
      </c>
      <c r="G2462" t="s">
        <v>27</v>
      </c>
    </row>
    <row r="2463" spans="1:7" x14ac:dyDescent="0.2">
      <c r="A2463">
        <v>11</v>
      </c>
      <c r="B2463">
        <v>49</v>
      </c>
      <c r="C2463" t="s">
        <v>1568</v>
      </c>
      <c r="D2463" t="s">
        <v>24</v>
      </c>
      <c r="E2463" t="s">
        <v>31</v>
      </c>
      <c r="F2463" t="s">
        <v>26</v>
      </c>
      <c r="G2463" t="s">
        <v>27</v>
      </c>
    </row>
    <row r="2464" spans="1:7" x14ac:dyDescent="0.2">
      <c r="A2464">
        <v>11</v>
      </c>
      <c r="B2464">
        <v>49</v>
      </c>
      <c r="C2464" t="s">
        <v>1549</v>
      </c>
      <c r="D2464" t="s">
        <v>24</v>
      </c>
      <c r="E2464" t="s">
        <v>31</v>
      </c>
      <c r="F2464" t="s">
        <v>26</v>
      </c>
      <c r="G2464" t="s">
        <v>27</v>
      </c>
    </row>
    <row r="2465" spans="1:7" x14ac:dyDescent="0.2">
      <c r="A2465">
        <v>11</v>
      </c>
      <c r="B2465">
        <v>49</v>
      </c>
      <c r="C2465" t="s">
        <v>1569</v>
      </c>
      <c r="D2465" t="s">
        <v>24</v>
      </c>
      <c r="E2465" t="s">
        <v>31</v>
      </c>
      <c r="F2465" t="s">
        <v>26</v>
      </c>
      <c r="G2465" t="s">
        <v>27</v>
      </c>
    </row>
    <row r="2466" spans="1:7" x14ac:dyDescent="0.2">
      <c r="A2466">
        <v>11</v>
      </c>
      <c r="B2466">
        <v>49</v>
      </c>
      <c r="C2466" t="s">
        <v>1570</v>
      </c>
      <c r="D2466" t="s">
        <v>24</v>
      </c>
      <c r="E2466" t="s">
        <v>31</v>
      </c>
      <c r="F2466" t="s">
        <v>26</v>
      </c>
      <c r="G2466" t="s">
        <v>27</v>
      </c>
    </row>
    <row r="2467" spans="1:7" x14ac:dyDescent="0.2">
      <c r="A2467">
        <v>11</v>
      </c>
      <c r="B2467">
        <v>49</v>
      </c>
      <c r="C2467" t="s">
        <v>1571</v>
      </c>
      <c r="D2467" t="s">
        <v>24</v>
      </c>
      <c r="E2467" t="s">
        <v>31</v>
      </c>
      <c r="F2467" t="s">
        <v>26</v>
      </c>
      <c r="G2467" t="s">
        <v>27</v>
      </c>
    </row>
    <row r="2468" spans="1:7" x14ac:dyDescent="0.2">
      <c r="A2468">
        <v>12</v>
      </c>
      <c r="B2468">
        <v>49</v>
      </c>
      <c r="C2468" t="s">
        <v>1572</v>
      </c>
      <c r="D2468" t="s">
        <v>24</v>
      </c>
      <c r="E2468" t="s">
        <v>25</v>
      </c>
      <c r="F2468" t="s">
        <v>26</v>
      </c>
      <c r="G2468" t="s">
        <v>27</v>
      </c>
    </row>
    <row r="2469" spans="1:7" x14ac:dyDescent="0.2">
      <c r="A2469">
        <v>12</v>
      </c>
      <c r="B2469">
        <v>49</v>
      </c>
      <c r="C2469" t="s">
        <v>1573</v>
      </c>
      <c r="D2469" t="s">
        <v>24</v>
      </c>
      <c r="E2469" t="s">
        <v>25</v>
      </c>
      <c r="F2469" t="s">
        <v>26</v>
      </c>
      <c r="G2469" t="s">
        <v>27</v>
      </c>
    </row>
    <row r="2470" spans="1:7" x14ac:dyDescent="0.2">
      <c r="A2470">
        <v>12</v>
      </c>
      <c r="B2470">
        <v>49</v>
      </c>
      <c r="C2470" t="s">
        <v>1549</v>
      </c>
      <c r="D2470" t="s">
        <v>24</v>
      </c>
      <c r="E2470" t="s">
        <v>25</v>
      </c>
      <c r="F2470" t="s">
        <v>26</v>
      </c>
      <c r="G2470" t="s">
        <v>27</v>
      </c>
    </row>
    <row r="2471" spans="1:7" x14ac:dyDescent="0.2">
      <c r="A2471">
        <v>12</v>
      </c>
      <c r="B2471">
        <v>49</v>
      </c>
      <c r="C2471" t="s">
        <v>1570</v>
      </c>
      <c r="D2471" t="s">
        <v>24</v>
      </c>
      <c r="E2471" t="s">
        <v>25</v>
      </c>
      <c r="F2471" t="s">
        <v>26</v>
      </c>
      <c r="G2471" t="s">
        <v>27</v>
      </c>
    </row>
    <row r="2472" spans="1:7" x14ac:dyDescent="0.2">
      <c r="A2472">
        <v>12</v>
      </c>
      <c r="B2472">
        <v>49</v>
      </c>
      <c r="C2472" t="s">
        <v>1564</v>
      </c>
      <c r="D2472" t="s">
        <v>24</v>
      </c>
      <c r="E2472" t="s">
        <v>25</v>
      </c>
      <c r="F2472" t="s">
        <v>26</v>
      </c>
      <c r="G2472" t="s">
        <v>27</v>
      </c>
    </row>
    <row r="2473" spans="1:7" x14ac:dyDescent="0.2">
      <c r="A2473">
        <v>12</v>
      </c>
      <c r="B2473">
        <v>49</v>
      </c>
      <c r="C2473" t="s">
        <v>1551</v>
      </c>
      <c r="D2473" t="s">
        <v>24</v>
      </c>
      <c r="E2473" t="s">
        <v>25</v>
      </c>
      <c r="F2473" t="s">
        <v>26</v>
      </c>
      <c r="G2473" t="s">
        <v>27</v>
      </c>
    </row>
    <row r="2474" spans="1:7" x14ac:dyDescent="0.2">
      <c r="A2474">
        <v>13</v>
      </c>
      <c r="B2474">
        <v>49</v>
      </c>
      <c r="C2474" t="s">
        <v>1574</v>
      </c>
      <c r="D2474" t="s">
        <v>24</v>
      </c>
      <c r="E2474" t="s">
        <v>31</v>
      </c>
      <c r="F2474" t="s">
        <v>47</v>
      </c>
      <c r="G2474" t="s">
        <v>27</v>
      </c>
    </row>
    <row r="2475" spans="1:7" x14ac:dyDescent="0.2">
      <c r="A2475">
        <v>13</v>
      </c>
      <c r="B2475">
        <v>49</v>
      </c>
      <c r="C2475" t="s">
        <v>1566</v>
      </c>
      <c r="D2475" t="s">
        <v>24</v>
      </c>
      <c r="E2475" t="s">
        <v>31</v>
      </c>
      <c r="F2475" t="s">
        <v>47</v>
      </c>
      <c r="G2475" t="s">
        <v>27</v>
      </c>
    </row>
    <row r="2476" spans="1:7" x14ac:dyDescent="0.2">
      <c r="A2476">
        <v>13</v>
      </c>
      <c r="B2476">
        <v>49</v>
      </c>
      <c r="C2476" t="s">
        <v>1549</v>
      </c>
      <c r="D2476" t="s">
        <v>24</v>
      </c>
      <c r="E2476" t="s">
        <v>31</v>
      </c>
      <c r="F2476" t="s">
        <v>47</v>
      </c>
      <c r="G2476" t="s">
        <v>27</v>
      </c>
    </row>
    <row r="2477" spans="1:7" x14ac:dyDescent="0.2">
      <c r="A2477">
        <v>13</v>
      </c>
      <c r="B2477">
        <v>49</v>
      </c>
      <c r="C2477" t="s">
        <v>1575</v>
      </c>
      <c r="D2477" t="s">
        <v>24</v>
      </c>
      <c r="E2477" t="s">
        <v>31</v>
      </c>
      <c r="F2477" t="s">
        <v>47</v>
      </c>
      <c r="G2477" t="s">
        <v>27</v>
      </c>
    </row>
    <row r="2478" spans="1:7" x14ac:dyDescent="0.2">
      <c r="A2478">
        <v>13</v>
      </c>
      <c r="B2478">
        <v>49</v>
      </c>
      <c r="C2478" t="s">
        <v>1576</v>
      </c>
      <c r="D2478" t="s">
        <v>24</v>
      </c>
      <c r="E2478" t="s">
        <v>31</v>
      </c>
      <c r="F2478" t="s">
        <v>47</v>
      </c>
      <c r="G2478" t="s">
        <v>27</v>
      </c>
    </row>
    <row r="2479" spans="1:7" x14ac:dyDescent="0.2">
      <c r="A2479">
        <v>14</v>
      </c>
      <c r="B2479">
        <v>49</v>
      </c>
      <c r="C2479" t="s">
        <v>1575</v>
      </c>
      <c r="D2479" t="s">
        <v>24</v>
      </c>
      <c r="E2479" t="s">
        <v>31</v>
      </c>
      <c r="F2479" t="s">
        <v>47</v>
      </c>
      <c r="G2479" t="s">
        <v>27</v>
      </c>
    </row>
    <row r="2480" spans="1:7" x14ac:dyDescent="0.2">
      <c r="A2480">
        <v>14</v>
      </c>
      <c r="B2480">
        <v>49</v>
      </c>
      <c r="C2480" t="s">
        <v>1577</v>
      </c>
      <c r="D2480" t="s">
        <v>24</v>
      </c>
      <c r="E2480" t="s">
        <v>31</v>
      </c>
      <c r="F2480" t="s">
        <v>47</v>
      </c>
      <c r="G2480" t="s">
        <v>27</v>
      </c>
    </row>
    <row r="2481" spans="1:7" x14ac:dyDescent="0.2">
      <c r="A2481">
        <v>14</v>
      </c>
      <c r="B2481">
        <v>49</v>
      </c>
      <c r="C2481" t="s">
        <v>1578</v>
      </c>
      <c r="D2481" t="s">
        <v>24</v>
      </c>
      <c r="E2481" t="s">
        <v>31</v>
      </c>
      <c r="F2481" t="s">
        <v>47</v>
      </c>
      <c r="G2481" t="s">
        <v>27</v>
      </c>
    </row>
    <row r="2482" spans="1:7" x14ac:dyDescent="0.2">
      <c r="A2482">
        <v>14</v>
      </c>
      <c r="B2482">
        <v>49</v>
      </c>
      <c r="C2482" t="s">
        <v>1579</v>
      </c>
      <c r="D2482" t="s">
        <v>24</v>
      </c>
      <c r="E2482" t="s">
        <v>31</v>
      </c>
      <c r="F2482" t="s">
        <v>47</v>
      </c>
      <c r="G2482" t="s">
        <v>27</v>
      </c>
    </row>
    <row r="2483" spans="1:7" x14ac:dyDescent="0.2">
      <c r="A2483">
        <v>15</v>
      </c>
      <c r="B2483">
        <v>49</v>
      </c>
      <c r="C2483" t="s">
        <v>1578</v>
      </c>
      <c r="D2483" t="s">
        <v>24</v>
      </c>
      <c r="E2483" t="s">
        <v>31</v>
      </c>
      <c r="F2483" t="s">
        <v>47</v>
      </c>
      <c r="G2483" t="s">
        <v>27</v>
      </c>
    </row>
    <row r="2484" spans="1:7" x14ac:dyDescent="0.2">
      <c r="A2484">
        <v>15</v>
      </c>
      <c r="B2484">
        <v>49</v>
      </c>
      <c r="C2484" t="s">
        <v>1579</v>
      </c>
      <c r="D2484" t="s">
        <v>24</v>
      </c>
      <c r="E2484" t="s">
        <v>31</v>
      </c>
      <c r="F2484" t="s">
        <v>26</v>
      </c>
      <c r="G2484" t="s">
        <v>27</v>
      </c>
    </row>
    <row r="2485" spans="1:7" x14ac:dyDescent="0.2">
      <c r="A2485">
        <v>15</v>
      </c>
      <c r="B2485">
        <v>49</v>
      </c>
      <c r="C2485" t="s">
        <v>1580</v>
      </c>
      <c r="D2485" t="s">
        <v>24</v>
      </c>
      <c r="E2485" t="s">
        <v>31</v>
      </c>
      <c r="F2485" t="s">
        <v>26</v>
      </c>
      <c r="G2485" t="s">
        <v>27</v>
      </c>
    </row>
    <row r="2486" spans="1:7" x14ac:dyDescent="0.2">
      <c r="A2486">
        <v>15</v>
      </c>
      <c r="B2486">
        <v>49</v>
      </c>
      <c r="C2486" t="s">
        <v>1581</v>
      </c>
      <c r="D2486" t="s">
        <v>24</v>
      </c>
      <c r="E2486" t="s">
        <v>31</v>
      </c>
      <c r="F2486" t="s">
        <v>26</v>
      </c>
      <c r="G2486" t="s">
        <v>27</v>
      </c>
    </row>
    <row r="2487" spans="1:7" x14ac:dyDescent="0.2">
      <c r="A2487">
        <v>15</v>
      </c>
      <c r="B2487">
        <v>49</v>
      </c>
      <c r="C2487" t="s">
        <v>1582</v>
      </c>
      <c r="D2487" t="s">
        <v>24</v>
      </c>
      <c r="E2487" t="s">
        <v>31</v>
      </c>
      <c r="F2487" t="s">
        <v>26</v>
      </c>
      <c r="G2487" t="s">
        <v>27</v>
      </c>
    </row>
    <row r="2488" spans="1:7" x14ac:dyDescent="0.2">
      <c r="A2488">
        <v>16</v>
      </c>
      <c r="B2488">
        <v>49</v>
      </c>
      <c r="C2488" t="s">
        <v>1583</v>
      </c>
      <c r="D2488" t="s">
        <v>24</v>
      </c>
      <c r="E2488" t="s">
        <v>31</v>
      </c>
      <c r="F2488" t="s">
        <v>26</v>
      </c>
      <c r="G2488" t="s">
        <v>27</v>
      </c>
    </row>
    <row r="2489" spans="1:7" x14ac:dyDescent="0.2">
      <c r="A2489">
        <v>16</v>
      </c>
      <c r="B2489">
        <v>49</v>
      </c>
      <c r="C2489" t="s">
        <v>1579</v>
      </c>
      <c r="D2489" t="s">
        <v>24</v>
      </c>
      <c r="E2489" t="s">
        <v>31</v>
      </c>
      <c r="F2489" t="s">
        <v>26</v>
      </c>
      <c r="G2489" t="s">
        <v>27</v>
      </c>
    </row>
    <row r="2490" spans="1:7" x14ac:dyDescent="0.2">
      <c r="A2490">
        <v>16</v>
      </c>
      <c r="B2490">
        <v>49</v>
      </c>
      <c r="C2490" t="s">
        <v>402</v>
      </c>
      <c r="D2490" t="s">
        <v>24</v>
      </c>
      <c r="E2490" t="s">
        <v>31</v>
      </c>
      <c r="F2490" t="s">
        <v>26</v>
      </c>
      <c r="G2490" t="s">
        <v>27</v>
      </c>
    </row>
    <row r="2491" spans="1:7" x14ac:dyDescent="0.2">
      <c r="A2491">
        <v>16</v>
      </c>
      <c r="B2491">
        <v>49</v>
      </c>
      <c r="C2491" t="s">
        <v>1549</v>
      </c>
      <c r="D2491" t="s">
        <v>24</v>
      </c>
      <c r="E2491" t="s">
        <v>31</v>
      </c>
      <c r="F2491" t="s">
        <v>26</v>
      </c>
      <c r="G2491" t="s">
        <v>27</v>
      </c>
    </row>
    <row r="2492" spans="1:7" x14ac:dyDescent="0.2">
      <c r="A2492">
        <v>16</v>
      </c>
      <c r="B2492">
        <v>49</v>
      </c>
      <c r="C2492" t="s">
        <v>1584</v>
      </c>
      <c r="D2492" t="s">
        <v>24</v>
      </c>
      <c r="E2492" t="s">
        <v>31</v>
      </c>
      <c r="F2492" t="s">
        <v>26</v>
      </c>
      <c r="G2492" t="s">
        <v>27</v>
      </c>
    </row>
    <row r="2493" spans="1:7" x14ac:dyDescent="0.2">
      <c r="A2493">
        <v>16</v>
      </c>
      <c r="B2493">
        <v>49</v>
      </c>
      <c r="C2493" t="s">
        <v>1585</v>
      </c>
      <c r="D2493" t="s">
        <v>24</v>
      </c>
      <c r="E2493" t="s">
        <v>31</v>
      </c>
      <c r="F2493" t="s">
        <v>26</v>
      </c>
      <c r="G2493" t="s">
        <v>27</v>
      </c>
    </row>
    <row r="2494" spans="1:7" x14ac:dyDescent="0.2">
      <c r="A2494">
        <v>16</v>
      </c>
      <c r="B2494">
        <v>49</v>
      </c>
      <c r="C2494" t="s">
        <v>1586</v>
      </c>
      <c r="D2494" t="s">
        <v>24</v>
      </c>
      <c r="E2494" t="s">
        <v>31</v>
      </c>
      <c r="F2494" t="s">
        <v>26</v>
      </c>
      <c r="G2494" t="s">
        <v>27</v>
      </c>
    </row>
    <row r="2495" spans="1:7" x14ac:dyDescent="0.2">
      <c r="A2495">
        <v>16</v>
      </c>
      <c r="B2495">
        <v>49</v>
      </c>
      <c r="C2495" t="s">
        <v>1587</v>
      </c>
      <c r="D2495" t="s">
        <v>24</v>
      </c>
      <c r="E2495" t="s">
        <v>31</v>
      </c>
      <c r="F2495" t="s">
        <v>26</v>
      </c>
      <c r="G2495" t="s">
        <v>27</v>
      </c>
    </row>
    <row r="2496" spans="1:7" x14ac:dyDescent="0.2">
      <c r="A2496">
        <v>16</v>
      </c>
      <c r="B2496">
        <v>49</v>
      </c>
      <c r="C2496" t="s">
        <v>1551</v>
      </c>
      <c r="D2496" t="s">
        <v>24</v>
      </c>
      <c r="E2496" t="s">
        <v>31</v>
      </c>
      <c r="F2496" t="s">
        <v>26</v>
      </c>
      <c r="G2496" t="s">
        <v>27</v>
      </c>
    </row>
    <row r="2497" spans="1:7" x14ac:dyDescent="0.2">
      <c r="A2497">
        <v>16</v>
      </c>
      <c r="B2497">
        <v>49</v>
      </c>
      <c r="C2497" t="s">
        <v>1588</v>
      </c>
      <c r="D2497" t="s">
        <v>24</v>
      </c>
      <c r="E2497" t="s">
        <v>31</v>
      </c>
      <c r="F2497" t="s">
        <v>26</v>
      </c>
      <c r="G2497" t="s">
        <v>27</v>
      </c>
    </row>
    <row r="2498" spans="1:7" x14ac:dyDescent="0.2">
      <c r="A2498">
        <v>16</v>
      </c>
      <c r="B2498">
        <v>49</v>
      </c>
      <c r="C2498" t="s">
        <v>1571</v>
      </c>
      <c r="D2498" t="s">
        <v>24</v>
      </c>
      <c r="E2498" t="s">
        <v>31</v>
      </c>
      <c r="F2498" t="s">
        <v>26</v>
      </c>
      <c r="G2498" t="s">
        <v>27</v>
      </c>
    </row>
    <row r="2499" spans="1:7" x14ac:dyDescent="0.2">
      <c r="A2499">
        <v>16</v>
      </c>
      <c r="B2499">
        <v>49</v>
      </c>
      <c r="C2499" t="s">
        <v>1554</v>
      </c>
      <c r="D2499" t="s">
        <v>24</v>
      </c>
      <c r="E2499" t="s">
        <v>31</v>
      </c>
      <c r="F2499" t="s">
        <v>26</v>
      </c>
      <c r="G2499" t="s">
        <v>27</v>
      </c>
    </row>
    <row r="2500" spans="1:7" x14ac:dyDescent="0.2">
      <c r="A2500">
        <v>17</v>
      </c>
      <c r="B2500">
        <v>49</v>
      </c>
      <c r="C2500" t="s">
        <v>1574</v>
      </c>
      <c r="D2500" t="s">
        <v>24</v>
      </c>
      <c r="E2500" t="s">
        <v>31</v>
      </c>
      <c r="F2500" t="s">
        <v>47</v>
      </c>
      <c r="G2500" t="s">
        <v>27</v>
      </c>
    </row>
    <row r="2501" spans="1:7" x14ac:dyDescent="0.2">
      <c r="A2501">
        <v>17</v>
      </c>
      <c r="B2501">
        <v>49</v>
      </c>
      <c r="C2501" t="s">
        <v>1566</v>
      </c>
      <c r="D2501" t="s">
        <v>24</v>
      </c>
      <c r="E2501" t="s">
        <v>31</v>
      </c>
      <c r="F2501" t="s">
        <v>47</v>
      </c>
      <c r="G2501" t="s">
        <v>27</v>
      </c>
    </row>
    <row r="2502" spans="1:7" x14ac:dyDescent="0.2">
      <c r="A2502">
        <v>17</v>
      </c>
      <c r="B2502">
        <v>49</v>
      </c>
      <c r="C2502" t="s">
        <v>1589</v>
      </c>
      <c r="D2502" t="s">
        <v>24</v>
      </c>
      <c r="E2502" t="s">
        <v>31</v>
      </c>
      <c r="F2502" t="s">
        <v>47</v>
      </c>
      <c r="G2502" t="s">
        <v>27</v>
      </c>
    </row>
    <row r="2503" spans="1:7" x14ac:dyDescent="0.2">
      <c r="A2503">
        <v>17</v>
      </c>
      <c r="B2503">
        <v>49</v>
      </c>
      <c r="C2503" t="s">
        <v>1549</v>
      </c>
      <c r="D2503" t="s">
        <v>24</v>
      </c>
      <c r="E2503" t="s">
        <v>31</v>
      </c>
      <c r="F2503" t="s">
        <v>47</v>
      </c>
      <c r="G2503" t="s">
        <v>27</v>
      </c>
    </row>
    <row r="2504" spans="1:7" x14ac:dyDescent="0.2">
      <c r="A2504">
        <v>17</v>
      </c>
      <c r="B2504">
        <v>49</v>
      </c>
      <c r="C2504" t="s">
        <v>1549</v>
      </c>
      <c r="D2504" t="s">
        <v>24</v>
      </c>
      <c r="E2504" t="s">
        <v>31</v>
      </c>
      <c r="F2504" t="s">
        <v>47</v>
      </c>
      <c r="G2504" t="s">
        <v>27</v>
      </c>
    </row>
    <row r="2505" spans="1:7" x14ac:dyDescent="0.2">
      <c r="A2505">
        <v>17</v>
      </c>
      <c r="B2505">
        <v>49</v>
      </c>
      <c r="C2505" t="s">
        <v>1575</v>
      </c>
      <c r="D2505" t="s">
        <v>24</v>
      </c>
      <c r="E2505" t="s">
        <v>31</v>
      </c>
      <c r="F2505" t="s">
        <v>47</v>
      </c>
      <c r="G2505" t="s">
        <v>27</v>
      </c>
    </row>
    <row r="2506" spans="1:7" x14ac:dyDescent="0.2">
      <c r="A2506">
        <v>17</v>
      </c>
      <c r="B2506">
        <v>49</v>
      </c>
      <c r="C2506" t="s">
        <v>1590</v>
      </c>
      <c r="D2506" t="s">
        <v>24</v>
      </c>
      <c r="E2506" t="s">
        <v>31</v>
      </c>
      <c r="F2506" t="s">
        <v>47</v>
      </c>
      <c r="G2506" t="s">
        <v>27</v>
      </c>
    </row>
    <row r="2507" spans="1:7" x14ac:dyDescent="0.2">
      <c r="A2507">
        <v>17</v>
      </c>
      <c r="B2507">
        <v>49</v>
      </c>
      <c r="C2507" t="s">
        <v>1571</v>
      </c>
      <c r="D2507" t="s">
        <v>24</v>
      </c>
      <c r="E2507" t="s">
        <v>31</v>
      </c>
      <c r="F2507" t="s">
        <v>47</v>
      </c>
      <c r="G2507" t="s">
        <v>27</v>
      </c>
    </row>
    <row r="2508" spans="1:7" x14ac:dyDescent="0.2">
      <c r="A2508">
        <v>18</v>
      </c>
      <c r="B2508">
        <v>49</v>
      </c>
      <c r="C2508" t="s">
        <v>1591</v>
      </c>
      <c r="D2508" t="s">
        <v>24</v>
      </c>
      <c r="E2508" t="s">
        <v>31</v>
      </c>
      <c r="F2508" t="s">
        <v>26</v>
      </c>
      <c r="G2508" t="s">
        <v>27</v>
      </c>
    </row>
    <row r="2509" spans="1:7" x14ac:dyDescent="0.2">
      <c r="A2509">
        <v>18</v>
      </c>
      <c r="B2509">
        <v>49</v>
      </c>
      <c r="C2509" t="s">
        <v>1592</v>
      </c>
      <c r="D2509" t="s">
        <v>24</v>
      </c>
      <c r="E2509" t="s">
        <v>31</v>
      </c>
      <c r="F2509" t="s">
        <v>26</v>
      </c>
      <c r="G2509" t="s">
        <v>27</v>
      </c>
    </row>
    <row r="2510" spans="1:7" x14ac:dyDescent="0.2">
      <c r="A2510">
        <v>18</v>
      </c>
      <c r="B2510">
        <v>49</v>
      </c>
      <c r="C2510" t="s">
        <v>1593</v>
      </c>
      <c r="D2510" t="s">
        <v>24</v>
      </c>
      <c r="E2510" t="s">
        <v>31</v>
      </c>
      <c r="F2510" t="s">
        <v>26</v>
      </c>
      <c r="G2510" t="s">
        <v>27</v>
      </c>
    </row>
    <row r="2511" spans="1:7" x14ac:dyDescent="0.2">
      <c r="A2511">
        <v>18</v>
      </c>
      <c r="B2511">
        <v>49</v>
      </c>
      <c r="C2511" t="s">
        <v>1594</v>
      </c>
      <c r="D2511" t="s">
        <v>24</v>
      </c>
      <c r="E2511" t="s">
        <v>31</v>
      </c>
      <c r="F2511" t="s">
        <v>26</v>
      </c>
      <c r="G2511" t="s">
        <v>27</v>
      </c>
    </row>
    <row r="2512" spans="1:7" x14ac:dyDescent="0.2">
      <c r="A2512">
        <v>19</v>
      </c>
      <c r="B2512">
        <v>49</v>
      </c>
      <c r="C2512" t="s">
        <v>1595</v>
      </c>
      <c r="D2512" t="s">
        <v>24</v>
      </c>
      <c r="E2512" t="s">
        <v>31</v>
      </c>
      <c r="F2512" t="s">
        <v>26</v>
      </c>
      <c r="G2512" t="s">
        <v>27</v>
      </c>
    </row>
    <row r="2513" spans="1:7" x14ac:dyDescent="0.2">
      <c r="A2513">
        <v>19</v>
      </c>
      <c r="B2513">
        <v>49</v>
      </c>
      <c r="C2513" t="s">
        <v>1591</v>
      </c>
      <c r="D2513" t="s">
        <v>24</v>
      </c>
      <c r="E2513" t="s">
        <v>31</v>
      </c>
      <c r="F2513" t="s">
        <v>26</v>
      </c>
      <c r="G2513" t="s">
        <v>27</v>
      </c>
    </row>
    <row r="2514" spans="1:7" x14ac:dyDescent="0.2">
      <c r="A2514">
        <v>19</v>
      </c>
      <c r="B2514">
        <v>49</v>
      </c>
      <c r="C2514" t="s">
        <v>1592</v>
      </c>
      <c r="D2514" t="s">
        <v>24</v>
      </c>
      <c r="E2514" t="s">
        <v>31</v>
      </c>
      <c r="F2514" t="s">
        <v>26</v>
      </c>
      <c r="G2514" t="s">
        <v>27</v>
      </c>
    </row>
    <row r="2515" spans="1:7" x14ac:dyDescent="0.2">
      <c r="A2515">
        <v>19</v>
      </c>
      <c r="B2515">
        <v>49</v>
      </c>
      <c r="C2515" t="s">
        <v>1594</v>
      </c>
      <c r="D2515" t="s">
        <v>24</v>
      </c>
      <c r="E2515" t="s">
        <v>31</v>
      </c>
      <c r="F2515" t="s">
        <v>26</v>
      </c>
      <c r="G2515" t="s">
        <v>27</v>
      </c>
    </row>
    <row r="2516" spans="1:7" x14ac:dyDescent="0.2">
      <c r="A2516">
        <v>19</v>
      </c>
      <c r="B2516">
        <v>49</v>
      </c>
      <c r="C2516" t="s">
        <v>1596</v>
      </c>
      <c r="D2516" t="s">
        <v>24</v>
      </c>
      <c r="E2516" t="s">
        <v>31</v>
      </c>
      <c r="F2516" t="s">
        <v>26</v>
      </c>
      <c r="G2516" t="s">
        <v>27</v>
      </c>
    </row>
    <row r="2517" spans="1:7" x14ac:dyDescent="0.2">
      <c r="A2517">
        <v>20</v>
      </c>
      <c r="B2517">
        <v>49</v>
      </c>
      <c r="C2517" t="s">
        <v>1597</v>
      </c>
      <c r="D2517" t="s">
        <v>24</v>
      </c>
      <c r="E2517" t="s">
        <v>25</v>
      </c>
      <c r="F2517" t="s">
        <v>26</v>
      </c>
      <c r="G2517" t="s">
        <v>27</v>
      </c>
    </row>
    <row r="2518" spans="1:7" x14ac:dyDescent="0.2">
      <c r="A2518">
        <v>20</v>
      </c>
      <c r="B2518">
        <v>49</v>
      </c>
      <c r="C2518" t="s">
        <v>1598</v>
      </c>
      <c r="D2518" t="s">
        <v>24</v>
      </c>
      <c r="E2518" t="s">
        <v>25</v>
      </c>
      <c r="F2518" t="s">
        <v>26</v>
      </c>
      <c r="G2518" t="s">
        <v>27</v>
      </c>
    </row>
    <row r="2519" spans="1:7" x14ac:dyDescent="0.2">
      <c r="A2519">
        <v>20</v>
      </c>
      <c r="B2519">
        <v>49</v>
      </c>
      <c r="C2519" t="s">
        <v>1599</v>
      </c>
      <c r="D2519" t="s">
        <v>24</v>
      </c>
      <c r="E2519" t="s">
        <v>25</v>
      </c>
      <c r="F2519" t="s">
        <v>26</v>
      </c>
      <c r="G2519" t="s">
        <v>27</v>
      </c>
    </row>
    <row r="2520" spans="1:7" x14ac:dyDescent="0.2">
      <c r="A2520">
        <v>20</v>
      </c>
      <c r="B2520">
        <v>49</v>
      </c>
      <c r="C2520" t="s">
        <v>1599</v>
      </c>
      <c r="D2520" t="s">
        <v>24</v>
      </c>
      <c r="E2520" t="s">
        <v>25</v>
      </c>
      <c r="F2520" t="s">
        <v>26</v>
      </c>
      <c r="G2520" t="s">
        <v>27</v>
      </c>
    </row>
    <row r="2521" spans="1:7" x14ac:dyDescent="0.2">
      <c r="A2521">
        <v>20</v>
      </c>
      <c r="B2521">
        <v>49</v>
      </c>
      <c r="C2521" t="s">
        <v>1591</v>
      </c>
      <c r="D2521" t="s">
        <v>24</v>
      </c>
      <c r="E2521" t="s">
        <v>25</v>
      </c>
      <c r="F2521" t="s">
        <v>26</v>
      </c>
      <c r="G2521" t="s">
        <v>27</v>
      </c>
    </row>
    <row r="2522" spans="1:7" x14ac:dyDescent="0.2">
      <c r="A2522">
        <v>20</v>
      </c>
      <c r="B2522">
        <v>49</v>
      </c>
      <c r="C2522" t="s">
        <v>1600</v>
      </c>
      <c r="D2522" t="s">
        <v>24</v>
      </c>
      <c r="E2522" t="s">
        <v>25</v>
      </c>
      <c r="F2522" t="s">
        <v>26</v>
      </c>
      <c r="G2522" t="s">
        <v>27</v>
      </c>
    </row>
    <row r="2523" spans="1:7" x14ac:dyDescent="0.2">
      <c r="A2523">
        <v>20</v>
      </c>
      <c r="B2523">
        <v>49</v>
      </c>
      <c r="C2523" t="s">
        <v>1594</v>
      </c>
      <c r="D2523" t="s">
        <v>24</v>
      </c>
      <c r="E2523" t="s">
        <v>25</v>
      </c>
      <c r="F2523" t="s">
        <v>26</v>
      </c>
      <c r="G2523" t="s">
        <v>27</v>
      </c>
    </row>
    <row r="2524" spans="1:7" x14ac:dyDescent="0.2">
      <c r="A2524">
        <v>20</v>
      </c>
      <c r="B2524">
        <v>49</v>
      </c>
      <c r="C2524" t="s">
        <v>1596</v>
      </c>
      <c r="D2524" t="s">
        <v>24</v>
      </c>
      <c r="E2524" t="s">
        <v>25</v>
      </c>
      <c r="F2524" t="s">
        <v>26</v>
      </c>
      <c r="G2524" t="s">
        <v>27</v>
      </c>
    </row>
    <row r="2525" spans="1:7" x14ac:dyDescent="0.2">
      <c r="A2525">
        <v>20</v>
      </c>
      <c r="B2525">
        <v>49</v>
      </c>
      <c r="C2525" t="s">
        <v>1582</v>
      </c>
      <c r="D2525" t="s">
        <v>24</v>
      </c>
      <c r="E2525" t="s">
        <v>25</v>
      </c>
      <c r="F2525" t="s">
        <v>26</v>
      </c>
      <c r="G2525" t="s">
        <v>27</v>
      </c>
    </row>
    <row r="2526" spans="1:7" x14ac:dyDescent="0.2">
      <c r="A2526">
        <v>20</v>
      </c>
      <c r="B2526">
        <v>49</v>
      </c>
      <c r="C2526" t="s">
        <v>1601</v>
      </c>
      <c r="D2526" t="s">
        <v>24</v>
      </c>
      <c r="E2526" t="s">
        <v>25</v>
      </c>
      <c r="F2526" t="s">
        <v>26</v>
      </c>
      <c r="G2526" t="s">
        <v>27</v>
      </c>
    </row>
    <row r="2527" spans="1:7" x14ac:dyDescent="0.2">
      <c r="A2527">
        <v>21</v>
      </c>
      <c r="B2527">
        <v>49</v>
      </c>
      <c r="C2527" t="s">
        <v>1602</v>
      </c>
      <c r="D2527" t="s">
        <v>24</v>
      </c>
      <c r="E2527" t="s">
        <v>31</v>
      </c>
      <c r="F2527" t="s">
        <v>26</v>
      </c>
      <c r="G2527" t="s">
        <v>27</v>
      </c>
    </row>
    <row r="2528" spans="1:7" x14ac:dyDescent="0.2">
      <c r="A2528">
        <v>21</v>
      </c>
      <c r="B2528">
        <v>49</v>
      </c>
      <c r="C2528" t="s">
        <v>1598</v>
      </c>
      <c r="D2528" t="s">
        <v>24</v>
      </c>
      <c r="E2528" t="s">
        <v>31</v>
      </c>
      <c r="F2528" t="s">
        <v>26</v>
      </c>
      <c r="G2528" t="s">
        <v>27</v>
      </c>
    </row>
    <row r="2529" spans="1:7" x14ac:dyDescent="0.2">
      <c r="A2529">
        <v>21</v>
      </c>
      <c r="B2529">
        <v>49</v>
      </c>
      <c r="C2529" t="s">
        <v>1603</v>
      </c>
      <c r="D2529" t="s">
        <v>24</v>
      </c>
      <c r="E2529" t="s">
        <v>31</v>
      </c>
      <c r="F2529" t="s">
        <v>26</v>
      </c>
      <c r="G2529" t="s">
        <v>27</v>
      </c>
    </row>
    <row r="2530" spans="1:7" x14ac:dyDescent="0.2">
      <c r="A2530">
        <v>21</v>
      </c>
      <c r="B2530">
        <v>49</v>
      </c>
      <c r="C2530" t="s">
        <v>1591</v>
      </c>
      <c r="D2530" t="s">
        <v>24</v>
      </c>
      <c r="E2530" t="s">
        <v>31</v>
      </c>
      <c r="F2530" t="s">
        <v>26</v>
      </c>
      <c r="G2530" t="s">
        <v>27</v>
      </c>
    </row>
    <row r="2531" spans="1:7" x14ac:dyDescent="0.2">
      <c r="A2531">
        <v>21</v>
      </c>
      <c r="B2531">
        <v>49</v>
      </c>
      <c r="C2531" t="s">
        <v>1604</v>
      </c>
      <c r="D2531" t="s">
        <v>24</v>
      </c>
      <c r="E2531" t="s">
        <v>31</v>
      </c>
      <c r="F2531" t="s">
        <v>26</v>
      </c>
      <c r="G2531" t="s">
        <v>27</v>
      </c>
    </row>
    <row r="2532" spans="1:7" x14ac:dyDescent="0.2">
      <c r="A2532">
        <v>21</v>
      </c>
      <c r="B2532">
        <v>49</v>
      </c>
      <c r="C2532" t="s">
        <v>1605</v>
      </c>
      <c r="D2532" t="s">
        <v>24</v>
      </c>
      <c r="E2532" t="s">
        <v>31</v>
      </c>
      <c r="F2532" t="s">
        <v>26</v>
      </c>
      <c r="G2532" t="s">
        <v>27</v>
      </c>
    </row>
    <row r="2533" spans="1:7" x14ac:dyDescent="0.2">
      <c r="A2533">
        <v>21</v>
      </c>
      <c r="B2533">
        <v>49</v>
      </c>
      <c r="C2533" t="s">
        <v>1596</v>
      </c>
      <c r="D2533" t="s">
        <v>24</v>
      </c>
      <c r="E2533" t="s">
        <v>31</v>
      </c>
      <c r="F2533" t="s">
        <v>26</v>
      </c>
      <c r="G2533" t="s">
        <v>27</v>
      </c>
    </row>
    <row r="2534" spans="1:7" x14ac:dyDescent="0.2">
      <c r="A2534">
        <v>21</v>
      </c>
      <c r="B2534">
        <v>49</v>
      </c>
      <c r="C2534" t="s">
        <v>1582</v>
      </c>
      <c r="D2534" t="s">
        <v>24</v>
      </c>
      <c r="E2534" t="s">
        <v>31</v>
      </c>
      <c r="F2534" t="s">
        <v>26</v>
      </c>
      <c r="G2534" t="s">
        <v>27</v>
      </c>
    </row>
    <row r="2535" spans="1:7" x14ac:dyDescent="0.2">
      <c r="A2535">
        <v>21</v>
      </c>
      <c r="B2535">
        <v>49</v>
      </c>
      <c r="C2535" t="s">
        <v>1551</v>
      </c>
      <c r="D2535" t="s">
        <v>24</v>
      </c>
      <c r="E2535" t="s">
        <v>31</v>
      </c>
      <c r="F2535" t="s">
        <v>26</v>
      </c>
      <c r="G2535" t="s">
        <v>27</v>
      </c>
    </row>
    <row r="2536" spans="1:7" x14ac:dyDescent="0.2">
      <c r="A2536">
        <v>21</v>
      </c>
      <c r="B2536">
        <v>49</v>
      </c>
      <c r="C2536" t="s">
        <v>1586</v>
      </c>
      <c r="D2536" t="s">
        <v>24</v>
      </c>
      <c r="E2536" t="s">
        <v>31</v>
      </c>
      <c r="F2536" t="s">
        <v>26</v>
      </c>
      <c r="G2536" t="s">
        <v>27</v>
      </c>
    </row>
    <row r="2537" spans="1:7" x14ac:dyDescent="0.2">
      <c r="A2537">
        <v>21</v>
      </c>
      <c r="B2537">
        <v>49</v>
      </c>
      <c r="C2537" t="s">
        <v>1554</v>
      </c>
      <c r="D2537" t="s">
        <v>24</v>
      </c>
      <c r="E2537" t="s">
        <v>31</v>
      </c>
      <c r="F2537" t="s">
        <v>26</v>
      </c>
      <c r="G2537" t="s">
        <v>27</v>
      </c>
    </row>
    <row r="2538" spans="1:7" x14ac:dyDescent="0.2">
      <c r="A2538">
        <v>22</v>
      </c>
      <c r="B2538">
        <v>49</v>
      </c>
      <c r="C2538" t="s">
        <v>1591</v>
      </c>
      <c r="D2538" t="s">
        <v>24</v>
      </c>
      <c r="E2538" t="s">
        <v>31</v>
      </c>
      <c r="F2538" t="s">
        <v>26</v>
      </c>
      <c r="G2538" t="s">
        <v>27</v>
      </c>
    </row>
    <row r="2539" spans="1:7" x14ac:dyDescent="0.2">
      <c r="A2539">
        <v>22</v>
      </c>
      <c r="B2539">
        <v>49</v>
      </c>
      <c r="C2539" t="s">
        <v>1606</v>
      </c>
      <c r="D2539" t="s">
        <v>24</v>
      </c>
      <c r="E2539" t="s">
        <v>31</v>
      </c>
      <c r="F2539" t="s">
        <v>26</v>
      </c>
      <c r="G2539" t="s">
        <v>27</v>
      </c>
    </row>
    <row r="2540" spans="1:7" x14ac:dyDescent="0.2">
      <c r="A2540">
        <v>22</v>
      </c>
      <c r="B2540">
        <v>49</v>
      </c>
      <c r="C2540" t="s">
        <v>1607</v>
      </c>
      <c r="D2540" t="s">
        <v>24</v>
      </c>
      <c r="E2540" t="s">
        <v>31</v>
      </c>
      <c r="F2540" t="s">
        <v>26</v>
      </c>
      <c r="G2540" t="s">
        <v>27</v>
      </c>
    </row>
    <row r="2541" spans="1:7" x14ac:dyDescent="0.2">
      <c r="A2541">
        <v>23</v>
      </c>
      <c r="B2541">
        <v>49</v>
      </c>
      <c r="C2541" t="s">
        <v>197</v>
      </c>
      <c r="D2541" t="s">
        <v>24</v>
      </c>
      <c r="E2541" t="s">
        <v>25</v>
      </c>
      <c r="F2541" t="s">
        <v>26</v>
      </c>
      <c r="G2541" t="s">
        <v>27</v>
      </c>
    </row>
    <row r="2542" spans="1:7" x14ac:dyDescent="0.2">
      <c r="A2542">
        <v>23</v>
      </c>
      <c r="B2542">
        <v>49</v>
      </c>
      <c r="C2542" t="s">
        <v>196</v>
      </c>
      <c r="D2542" t="s">
        <v>24</v>
      </c>
      <c r="E2542" t="s">
        <v>25</v>
      </c>
      <c r="F2542" t="s">
        <v>26</v>
      </c>
      <c r="G2542" t="s">
        <v>27</v>
      </c>
    </row>
    <row r="2543" spans="1:7" x14ac:dyDescent="0.2">
      <c r="A2543">
        <v>23</v>
      </c>
      <c r="B2543">
        <v>49</v>
      </c>
      <c r="C2543" t="s">
        <v>1608</v>
      </c>
      <c r="D2543" t="s">
        <v>24</v>
      </c>
      <c r="E2543" t="s">
        <v>25</v>
      </c>
      <c r="F2543" t="s">
        <v>26</v>
      </c>
      <c r="G2543" t="s">
        <v>27</v>
      </c>
    </row>
    <row r="2544" spans="1:7" x14ac:dyDescent="0.2">
      <c r="A2544">
        <v>7</v>
      </c>
      <c r="B2544">
        <v>50</v>
      </c>
      <c r="C2544" t="s">
        <v>1609</v>
      </c>
      <c r="D2544" t="s">
        <v>24</v>
      </c>
      <c r="E2544" t="s">
        <v>31</v>
      </c>
      <c r="F2544" t="s">
        <v>26</v>
      </c>
      <c r="G2544" t="s">
        <v>27</v>
      </c>
    </row>
    <row r="2545" spans="1:7" x14ac:dyDescent="0.2">
      <c r="A2545">
        <v>7</v>
      </c>
      <c r="B2545">
        <v>50</v>
      </c>
      <c r="C2545" t="s">
        <v>1610</v>
      </c>
      <c r="D2545" t="s">
        <v>30</v>
      </c>
      <c r="E2545" t="s">
        <v>31</v>
      </c>
      <c r="F2545" t="s">
        <v>26</v>
      </c>
      <c r="G2545" t="s">
        <v>27</v>
      </c>
    </row>
    <row r="2546" spans="1:7" x14ac:dyDescent="0.2">
      <c r="A2546">
        <v>7</v>
      </c>
      <c r="B2546">
        <v>50</v>
      </c>
      <c r="C2546" t="s">
        <v>1611</v>
      </c>
      <c r="D2546" t="s">
        <v>24</v>
      </c>
      <c r="E2546" t="s">
        <v>31</v>
      </c>
      <c r="F2546" t="s">
        <v>26</v>
      </c>
      <c r="G2546" t="s">
        <v>27</v>
      </c>
    </row>
    <row r="2547" spans="1:7" x14ac:dyDescent="0.2">
      <c r="A2547">
        <v>7</v>
      </c>
      <c r="B2547">
        <v>50</v>
      </c>
      <c r="C2547" t="s">
        <v>1612</v>
      </c>
      <c r="D2547" t="s">
        <v>24</v>
      </c>
      <c r="E2547" t="s">
        <v>31</v>
      </c>
      <c r="F2547" t="s">
        <v>26</v>
      </c>
      <c r="G2547" t="s">
        <v>27</v>
      </c>
    </row>
    <row r="2548" spans="1:7" x14ac:dyDescent="0.2">
      <c r="A2548">
        <v>7</v>
      </c>
      <c r="B2548">
        <v>50</v>
      </c>
      <c r="C2548" t="s">
        <v>1613</v>
      </c>
      <c r="D2548" t="s">
        <v>30</v>
      </c>
      <c r="E2548" t="s">
        <v>31</v>
      </c>
      <c r="F2548" t="s">
        <v>26</v>
      </c>
      <c r="G2548" t="s">
        <v>27</v>
      </c>
    </row>
    <row r="2549" spans="1:7" x14ac:dyDescent="0.2">
      <c r="A2549">
        <v>7</v>
      </c>
      <c r="B2549">
        <v>50</v>
      </c>
      <c r="C2549" t="s">
        <v>1614</v>
      </c>
      <c r="D2549" t="s">
        <v>24</v>
      </c>
      <c r="E2549" t="s">
        <v>31</v>
      </c>
      <c r="F2549" t="s">
        <v>26</v>
      </c>
      <c r="G2549" t="s">
        <v>27</v>
      </c>
    </row>
    <row r="2550" spans="1:7" x14ac:dyDescent="0.2">
      <c r="A2550">
        <v>7</v>
      </c>
      <c r="B2550">
        <v>50</v>
      </c>
      <c r="C2550" t="s">
        <v>1615</v>
      </c>
      <c r="D2550" t="s">
        <v>24</v>
      </c>
      <c r="E2550" t="s">
        <v>31</v>
      </c>
      <c r="F2550" t="s">
        <v>26</v>
      </c>
      <c r="G2550" t="s">
        <v>27</v>
      </c>
    </row>
    <row r="2551" spans="1:7" x14ac:dyDescent="0.2">
      <c r="A2551">
        <v>7</v>
      </c>
      <c r="B2551">
        <v>50</v>
      </c>
      <c r="C2551" t="s">
        <v>1616</v>
      </c>
      <c r="D2551" t="s">
        <v>24</v>
      </c>
      <c r="E2551" t="s">
        <v>31</v>
      </c>
      <c r="F2551" t="s">
        <v>26</v>
      </c>
      <c r="G2551" t="s">
        <v>27</v>
      </c>
    </row>
    <row r="2552" spans="1:7" x14ac:dyDescent="0.2">
      <c r="A2552">
        <v>7</v>
      </c>
      <c r="B2552">
        <v>50</v>
      </c>
      <c r="C2552" t="s">
        <v>1617</v>
      </c>
      <c r="D2552" t="s">
        <v>24</v>
      </c>
      <c r="E2552" t="s">
        <v>31</v>
      </c>
      <c r="F2552" t="s">
        <v>26</v>
      </c>
      <c r="G2552" t="s">
        <v>27</v>
      </c>
    </row>
    <row r="2553" spans="1:7" x14ac:dyDescent="0.2">
      <c r="A2553">
        <v>7</v>
      </c>
      <c r="B2553">
        <v>50</v>
      </c>
      <c r="C2553" t="s">
        <v>1618</v>
      </c>
      <c r="D2553" t="s">
        <v>24</v>
      </c>
      <c r="E2553" t="s">
        <v>31</v>
      </c>
      <c r="F2553" t="s">
        <v>26</v>
      </c>
      <c r="G2553" t="s">
        <v>27</v>
      </c>
    </row>
    <row r="2554" spans="1:7" x14ac:dyDescent="0.2">
      <c r="A2554">
        <v>8</v>
      </c>
      <c r="B2554">
        <v>50</v>
      </c>
      <c r="C2554" t="s">
        <v>1610</v>
      </c>
      <c r="D2554" t="s">
        <v>30</v>
      </c>
      <c r="E2554" t="s">
        <v>31</v>
      </c>
      <c r="F2554" t="s">
        <v>26</v>
      </c>
      <c r="G2554" t="s">
        <v>27</v>
      </c>
    </row>
    <row r="2555" spans="1:7" x14ac:dyDescent="0.2">
      <c r="A2555">
        <v>8</v>
      </c>
      <c r="B2555">
        <v>50</v>
      </c>
      <c r="C2555" t="s">
        <v>1613</v>
      </c>
      <c r="D2555" t="s">
        <v>30</v>
      </c>
      <c r="E2555" t="s">
        <v>31</v>
      </c>
      <c r="F2555" t="s">
        <v>26</v>
      </c>
      <c r="G2555" t="s">
        <v>27</v>
      </c>
    </row>
    <row r="2556" spans="1:7" x14ac:dyDescent="0.2">
      <c r="A2556">
        <v>8</v>
      </c>
      <c r="B2556">
        <v>50</v>
      </c>
      <c r="C2556" t="s">
        <v>1614</v>
      </c>
      <c r="D2556" t="s">
        <v>24</v>
      </c>
      <c r="E2556" t="s">
        <v>31</v>
      </c>
      <c r="F2556" t="s">
        <v>26</v>
      </c>
      <c r="G2556" t="s">
        <v>27</v>
      </c>
    </row>
    <row r="2557" spans="1:7" x14ac:dyDescent="0.2">
      <c r="A2557">
        <v>8</v>
      </c>
      <c r="B2557">
        <v>50</v>
      </c>
      <c r="C2557" t="s">
        <v>1617</v>
      </c>
      <c r="D2557" t="s">
        <v>24</v>
      </c>
      <c r="E2557" t="s">
        <v>31</v>
      </c>
      <c r="F2557" t="s">
        <v>26</v>
      </c>
      <c r="G2557" t="s">
        <v>27</v>
      </c>
    </row>
    <row r="2558" spans="1:7" x14ac:dyDescent="0.2">
      <c r="A2558">
        <v>8</v>
      </c>
      <c r="B2558">
        <v>50</v>
      </c>
      <c r="C2558" t="s">
        <v>1618</v>
      </c>
      <c r="D2558" t="s">
        <v>24</v>
      </c>
      <c r="E2558" t="s">
        <v>31</v>
      </c>
      <c r="F2558" t="s">
        <v>26</v>
      </c>
      <c r="G2558" t="s">
        <v>27</v>
      </c>
    </row>
    <row r="2559" spans="1:7" x14ac:dyDescent="0.2">
      <c r="A2559">
        <v>8</v>
      </c>
      <c r="B2559">
        <v>50</v>
      </c>
      <c r="C2559" t="s">
        <v>1619</v>
      </c>
      <c r="D2559" t="s">
        <v>24</v>
      </c>
      <c r="E2559" t="s">
        <v>31</v>
      </c>
      <c r="F2559" t="s">
        <v>26</v>
      </c>
      <c r="G2559" t="s">
        <v>27</v>
      </c>
    </row>
    <row r="2560" spans="1:7" x14ac:dyDescent="0.2">
      <c r="A2560">
        <v>9</v>
      </c>
      <c r="B2560">
        <v>50</v>
      </c>
      <c r="C2560" t="s">
        <v>1620</v>
      </c>
      <c r="D2560" t="s">
        <v>24</v>
      </c>
      <c r="E2560" t="s">
        <v>25</v>
      </c>
      <c r="F2560" t="s">
        <v>26</v>
      </c>
      <c r="G2560" t="s">
        <v>27</v>
      </c>
    </row>
    <row r="2561" spans="1:7" x14ac:dyDescent="0.2">
      <c r="A2561">
        <v>9</v>
      </c>
      <c r="B2561">
        <v>50</v>
      </c>
      <c r="C2561" t="s">
        <v>1621</v>
      </c>
      <c r="D2561" t="s">
        <v>24</v>
      </c>
      <c r="E2561" t="s">
        <v>25</v>
      </c>
      <c r="F2561" t="s">
        <v>26</v>
      </c>
      <c r="G2561" t="s">
        <v>27</v>
      </c>
    </row>
    <row r="2562" spans="1:7" x14ac:dyDescent="0.2">
      <c r="A2562">
        <v>9</v>
      </c>
      <c r="B2562">
        <v>50</v>
      </c>
      <c r="C2562" t="s">
        <v>1622</v>
      </c>
      <c r="D2562" t="s">
        <v>24</v>
      </c>
      <c r="E2562" t="s">
        <v>25</v>
      </c>
      <c r="F2562" t="s">
        <v>26</v>
      </c>
      <c r="G2562" t="s">
        <v>27</v>
      </c>
    </row>
    <row r="2563" spans="1:7" x14ac:dyDescent="0.2">
      <c r="A2563">
        <v>9</v>
      </c>
      <c r="B2563">
        <v>50</v>
      </c>
      <c r="C2563" t="s">
        <v>223</v>
      </c>
      <c r="D2563" t="s">
        <v>24</v>
      </c>
      <c r="E2563" t="s">
        <v>25</v>
      </c>
      <c r="F2563" t="s">
        <v>26</v>
      </c>
      <c r="G2563" t="s">
        <v>27</v>
      </c>
    </row>
    <row r="2564" spans="1:7" x14ac:dyDescent="0.2">
      <c r="A2564">
        <v>9</v>
      </c>
      <c r="B2564">
        <v>50</v>
      </c>
      <c r="C2564" t="s">
        <v>227</v>
      </c>
      <c r="D2564" t="s">
        <v>30</v>
      </c>
      <c r="E2564" t="s">
        <v>25</v>
      </c>
      <c r="F2564" t="s">
        <v>26</v>
      </c>
      <c r="G2564" t="s">
        <v>27</v>
      </c>
    </row>
    <row r="2565" spans="1:7" x14ac:dyDescent="0.2">
      <c r="A2565">
        <v>9</v>
      </c>
      <c r="B2565">
        <v>50</v>
      </c>
      <c r="C2565" t="s">
        <v>228</v>
      </c>
      <c r="D2565" t="s">
        <v>24</v>
      </c>
      <c r="E2565" t="s">
        <v>25</v>
      </c>
      <c r="F2565" t="s">
        <v>26</v>
      </c>
      <c r="G2565" t="s">
        <v>27</v>
      </c>
    </row>
    <row r="2566" spans="1:7" x14ac:dyDescent="0.2">
      <c r="A2566">
        <v>9</v>
      </c>
      <c r="B2566">
        <v>50</v>
      </c>
      <c r="C2566" t="s">
        <v>254</v>
      </c>
      <c r="D2566" t="s">
        <v>24</v>
      </c>
      <c r="E2566" t="s">
        <v>25</v>
      </c>
      <c r="F2566" t="s">
        <v>26</v>
      </c>
      <c r="G2566" t="s">
        <v>27</v>
      </c>
    </row>
    <row r="2567" spans="1:7" x14ac:dyDescent="0.2">
      <c r="A2567">
        <v>9</v>
      </c>
      <c r="B2567">
        <v>50</v>
      </c>
      <c r="C2567" t="s">
        <v>1623</v>
      </c>
      <c r="D2567" t="s">
        <v>24</v>
      </c>
      <c r="E2567" t="s">
        <v>25</v>
      </c>
      <c r="F2567" t="s">
        <v>26</v>
      </c>
      <c r="G2567" t="s">
        <v>27</v>
      </c>
    </row>
    <row r="2568" spans="1:7" x14ac:dyDescent="0.2">
      <c r="A2568">
        <v>9</v>
      </c>
      <c r="B2568">
        <v>50</v>
      </c>
      <c r="C2568" t="s">
        <v>1624</v>
      </c>
      <c r="D2568" t="s">
        <v>24</v>
      </c>
      <c r="E2568" t="s">
        <v>25</v>
      </c>
      <c r="F2568" t="s">
        <v>26</v>
      </c>
      <c r="G2568" t="s">
        <v>27</v>
      </c>
    </row>
    <row r="2569" spans="1:7" x14ac:dyDescent="0.2">
      <c r="A2569">
        <v>9</v>
      </c>
      <c r="B2569">
        <v>50</v>
      </c>
      <c r="C2569" t="s">
        <v>252</v>
      </c>
      <c r="D2569" t="s">
        <v>24</v>
      </c>
      <c r="E2569" t="s">
        <v>25</v>
      </c>
      <c r="F2569" t="s">
        <v>26</v>
      </c>
      <c r="G2569" t="s">
        <v>27</v>
      </c>
    </row>
    <row r="2570" spans="1:7" x14ac:dyDescent="0.2">
      <c r="A2570">
        <v>9</v>
      </c>
      <c r="B2570">
        <v>50</v>
      </c>
      <c r="C2570" t="s">
        <v>1625</v>
      </c>
      <c r="D2570" t="s">
        <v>24</v>
      </c>
      <c r="E2570" t="s">
        <v>25</v>
      </c>
      <c r="F2570" t="s">
        <v>26</v>
      </c>
      <c r="G2570" t="s">
        <v>27</v>
      </c>
    </row>
    <row r="2571" spans="1:7" x14ac:dyDescent="0.2">
      <c r="A2571">
        <v>9</v>
      </c>
      <c r="B2571">
        <v>50</v>
      </c>
      <c r="C2571" t="s">
        <v>1626</v>
      </c>
      <c r="D2571" t="s">
        <v>24</v>
      </c>
      <c r="E2571" t="s">
        <v>25</v>
      </c>
      <c r="F2571" t="s">
        <v>26</v>
      </c>
      <c r="G2571" t="s">
        <v>27</v>
      </c>
    </row>
    <row r="2572" spans="1:7" x14ac:dyDescent="0.2">
      <c r="A2572">
        <v>10</v>
      </c>
      <c r="B2572">
        <v>50</v>
      </c>
      <c r="C2572" t="s">
        <v>1627</v>
      </c>
      <c r="D2572" t="s">
        <v>24</v>
      </c>
      <c r="E2572" t="s">
        <v>31</v>
      </c>
      <c r="F2572" t="s">
        <v>26</v>
      </c>
      <c r="G2572" t="s">
        <v>27</v>
      </c>
    </row>
    <row r="2573" spans="1:7" x14ac:dyDescent="0.2">
      <c r="A2573">
        <v>10</v>
      </c>
      <c r="B2573">
        <v>50</v>
      </c>
      <c r="C2573" t="s">
        <v>1210</v>
      </c>
      <c r="D2573" t="s">
        <v>24</v>
      </c>
      <c r="E2573" t="s">
        <v>31</v>
      </c>
      <c r="F2573" t="s">
        <v>26</v>
      </c>
      <c r="G2573" t="s">
        <v>27</v>
      </c>
    </row>
    <row r="2574" spans="1:7" x14ac:dyDescent="0.2">
      <c r="A2574">
        <v>10</v>
      </c>
      <c r="B2574">
        <v>50</v>
      </c>
      <c r="C2574" t="s">
        <v>1628</v>
      </c>
      <c r="D2574" t="s">
        <v>24</v>
      </c>
      <c r="E2574" t="s">
        <v>31</v>
      </c>
      <c r="F2574" t="s">
        <v>26</v>
      </c>
      <c r="G2574" t="s">
        <v>27</v>
      </c>
    </row>
    <row r="2575" spans="1:7" x14ac:dyDescent="0.2">
      <c r="A2575">
        <v>10</v>
      </c>
      <c r="B2575">
        <v>50</v>
      </c>
      <c r="C2575" t="s">
        <v>1629</v>
      </c>
      <c r="D2575" t="s">
        <v>24</v>
      </c>
      <c r="E2575" t="s">
        <v>31</v>
      </c>
      <c r="F2575" t="s">
        <v>26</v>
      </c>
      <c r="G2575" t="s">
        <v>27</v>
      </c>
    </row>
    <row r="2576" spans="1:7" x14ac:dyDescent="0.2">
      <c r="A2576">
        <v>10</v>
      </c>
      <c r="B2576">
        <v>50</v>
      </c>
      <c r="C2576" t="s">
        <v>1630</v>
      </c>
      <c r="D2576" t="s">
        <v>24</v>
      </c>
      <c r="E2576" t="s">
        <v>31</v>
      </c>
      <c r="F2576" t="s">
        <v>26</v>
      </c>
      <c r="G2576" t="s">
        <v>27</v>
      </c>
    </row>
    <row r="2577" spans="1:7" x14ac:dyDescent="0.2">
      <c r="A2577">
        <v>10</v>
      </c>
      <c r="B2577">
        <v>50</v>
      </c>
      <c r="C2577" t="s">
        <v>1631</v>
      </c>
      <c r="D2577" t="s">
        <v>24</v>
      </c>
      <c r="E2577" t="s">
        <v>31</v>
      </c>
      <c r="F2577" t="s">
        <v>26</v>
      </c>
      <c r="G2577" t="s">
        <v>27</v>
      </c>
    </row>
    <row r="2578" spans="1:7" x14ac:dyDescent="0.2">
      <c r="A2578">
        <v>10</v>
      </c>
      <c r="B2578">
        <v>50</v>
      </c>
      <c r="C2578" t="s">
        <v>1613</v>
      </c>
      <c r="D2578" t="s">
        <v>30</v>
      </c>
      <c r="E2578" t="s">
        <v>31</v>
      </c>
      <c r="F2578" t="s">
        <v>26</v>
      </c>
      <c r="G2578" t="s">
        <v>27</v>
      </c>
    </row>
    <row r="2579" spans="1:7" x14ac:dyDescent="0.2">
      <c r="A2579">
        <v>10</v>
      </c>
      <c r="B2579">
        <v>50</v>
      </c>
      <c r="C2579" t="s">
        <v>1614</v>
      </c>
      <c r="D2579" t="s">
        <v>24</v>
      </c>
      <c r="E2579" t="s">
        <v>31</v>
      </c>
      <c r="F2579" t="s">
        <v>26</v>
      </c>
      <c r="G2579" t="s">
        <v>27</v>
      </c>
    </row>
    <row r="2580" spans="1:7" x14ac:dyDescent="0.2">
      <c r="A2580">
        <v>10</v>
      </c>
      <c r="B2580">
        <v>50</v>
      </c>
      <c r="C2580" t="s">
        <v>1632</v>
      </c>
      <c r="D2580" t="s">
        <v>24</v>
      </c>
      <c r="E2580" t="s">
        <v>31</v>
      </c>
      <c r="F2580" t="s">
        <v>26</v>
      </c>
      <c r="G2580" t="s">
        <v>27</v>
      </c>
    </row>
    <row r="2581" spans="1:7" x14ac:dyDescent="0.2">
      <c r="A2581">
        <v>10</v>
      </c>
      <c r="B2581">
        <v>50</v>
      </c>
      <c r="C2581" t="s">
        <v>1633</v>
      </c>
      <c r="D2581" t="s">
        <v>24</v>
      </c>
      <c r="E2581" t="s">
        <v>31</v>
      </c>
      <c r="F2581" t="s">
        <v>26</v>
      </c>
      <c r="G2581" t="s">
        <v>27</v>
      </c>
    </row>
    <row r="2582" spans="1:7" x14ac:dyDescent="0.2">
      <c r="A2582">
        <v>10</v>
      </c>
      <c r="B2582">
        <v>50</v>
      </c>
      <c r="C2582" t="s">
        <v>1634</v>
      </c>
      <c r="D2582" t="s">
        <v>24</v>
      </c>
      <c r="E2582" t="s">
        <v>31</v>
      </c>
      <c r="F2582" t="s">
        <v>26</v>
      </c>
      <c r="G2582" t="s">
        <v>27</v>
      </c>
    </row>
    <row r="2583" spans="1:7" x14ac:dyDescent="0.2">
      <c r="A2583">
        <v>10</v>
      </c>
      <c r="B2583">
        <v>50</v>
      </c>
      <c r="C2583" t="s">
        <v>1635</v>
      </c>
      <c r="D2583" t="s">
        <v>24</v>
      </c>
      <c r="E2583" t="s">
        <v>31</v>
      </c>
      <c r="F2583" t="s">
        <v>26</v>
      </c>
      <c r="G2583" t="s">
        <v>27</v>
      </c>
    </row>
    <row r="2584" spans="1:7" x14ac:dyDescent="0.2">
      <c r="A2584">
        <v>10</v>
      </c>
      <c r="B2584">
        <v>50</v>
      </c>
      <c r="C2584" t="s">
        <v>1636</v>
      </c>
      <c r="D2584" t="s">
        <v>24</v>
      </c>
      <c r="E2584" t="s">
        <v>31</v>
      </c>
      <c r="F2584" t="s">
        <v>26</v>
      </c>
      <c r="G2584" t="s">
        <v>27</v>
      </c>
    </row>
    <row r="2585" spans="1:7" x14ac:dyDescent="0.2">
      <c r="A2585">
        <v>10</v>
      </c>
      <c r="B2585">
        <v>50</v>
      </c>
      <c r="C2585" t="s">
        <v>1618</v>
      </c>
      <c r="D2585" t="s">
        <v>24</v>
      </c>
      <c r="E2585" t="s">
        <v>31</v>
      </c>
      <c r="F2585" t="s">
        <v>26</v>
      </c>
      <c r="G2585" t="s">
        <v>27</v>
      </c>
    </row>
    <row r="2586" spans="1:7" x14ac:dyDescent="0.2">
      <c r="A2586">
        <v>10</v>
      </c>
      <c r="B2586">
        <v>50</v>
      </c>
      <c r="C2586" t="s">
        <v>1637</v>
      </c>
      <c r="D2586" t="s">
        <v>24</v>
      </c>
      <c r="E2586" t="s">
        <v>31</v>
      </c>
      <c r="F2586" t="s">
        <v>26</v>
      </c>
      <c r="G2586" t="s">
        <v>27</v>
      </c>
    </row>
    <row r="2587" spans="1:7" x14ac:dyDescent="0.2">
      <c r="A2587">
        <v>11</v>
      </c>
      <c r="B2587">
        <v>50</v>
      </c>
      <c r="C2587" t="s">
        <v>1631</v>
      </c>
      <c r="D2587" t="s">
        <v>24</v>
      </c>
      <c r="E2587" t="s">
        <v>31</v>
      </c>
      <c r="F2587" t="s">
        <v>26</v>
      </c>
      <c r="G2587" t="s">
        <v>27</v>
      </c>
    </row>
    <row r="2588" spans="1:7" x14ac:dyDescent="0.2">
      <c r="A2588">
        <v>11</v>
      </c>
      <c r="B2588">
        <v>50</v>
      </c>
      <c r="C2588" t="s">
        <v>1613</v>
      </c>
      <c r="D2588" t="s">
        <v>30</v>
      </c>
      <c r="E2588" t="s">
        <v>31</v>
      </c>
      <c r="F2588" t="s">
        <v>26</v>
      </c>
      <c r="G2588" t="s">
        <v>27</v>
      </c>
    </row>
    <row r="2589" spans="1:7" x14ac:dyDescent="0.2">
      <c r="A2589">
        <v>11</v>
      </c>
      <c r="B2589">
        <v>50</v>
      </c>
      <c r="C2589" t="s">
        <v>1638</v>
      </c>
      <c r="D2589" t="s">
        <v>24</v>
      </c>
      <c r="E2589" t="s">
        <v>31</v>
      </c>
      <c r="F2589" t="s">
        <v>26</v>
      </c>
      <c r="G2589" t="s">
        <v>27</v>
      </c>
    </row>
    <row r="2590" spans="1:7" x14ac:dyDescent="0.2">
      <c r="A2590">
        <v>11</v>
      </c>
      <c r="B2590">
        <v>50</v>
      </c>
      <c r="C2590" t="s">
        <v>1632</v>
      </c>
      <c r="D2590" t="s">
        <v>24</v>
      </c>
      <c r="E2590" t="s">
        <v>31</v>
      </c>
      <c r="F2590" t="s">
        <v>26</v>
      </c>
      <c r="G2590" t="s">
        <v>27</v>
      </c>
    </row>
    <row r="2591" spans="1:7" x14ac:dyDescent="0.2">
      <c r="A2591">
        <v>11</v>
      </c>
      <c r="B2591">
        <v>50</v>
      </c>
      <c r="C2591" t="s">
        <v>1633</v>
      </c>
      <c r="D2591" t="s">
        <v>24</v>
      </c>
      <c r="E2591" t="s">
        <v>31</v>
      </c>
      <c r="F2591" t="s">
        <v>26</v>
      </c>
      <c r="G2591" t="s">
        <v>27</v>
      </c>
    </row>
    <row r="2592" spans="1:7" x14ac:dyDescent="0.2">
      <c r="A2592">
        <v>11</v>
      </c>
      <c r="B2592">
        <v>50</v>
      </c>
      <c r="C2592" t="s">
        <v>1634</v>
      </c>
      <c r="D2592" t="s">
        <v>24</v>
      </c>
      <c r="E2592" t="s">
        <v>31</v>
      </c>
      <c r="F2592" t="s">
        <v>26</v>
      </c>
      <c r="G2592" t="s">
        <v>27</v>
      </c>
    </row>
    <row r="2593" spans="1:7" x14ac:dyDescent="0.2">
      <c r="A2593">
        <v>11</v>
      </c>
      <c r="B2593">
        <v>50</v>
      </c>
      <c r="C2593" t="s">
        <v>1635</v>
      </c>
      <c r="D2593" t="s">
        <v>24</v>
      </c>
      <c r="E2593" t="s">
        <v>31</v>
      </c>
      <c r="F2593" t="s">
        <v>26</v>
      </c>
      <c r="G2593" t="s">
        <v>27</v>
      </c>
    </row>
    <row r="2594" spans="1:7" x14ac:dyDescent="0.2">
      <c r="A2594">
        <v>11</v>
      </c>
      <c r="B2594">
        <v>50</v>
      </c>
      <c r="C2594" t="s">
        <v>1636</v>
      </c>
      <c r="D2594" t="s">
        <v>24</v>
      </c>
      <c r="E2594" t="s">
        <v>31</v>
      </c>
      <c r="F2594" t="s">
        <v>26</v>
      </c>
      <c r="G2594" t="s">
        <v>27</v>
      </c>
    </row>
    <row r="2595" spans="1:7" x14ac:dyDescent="0.2">
      <c r="A2595">
        <v>11</v>
      </c>
      <c r="B2595">
        <v>50</v>
      </c>
      <c r="C2595" t="s">
        <v>1618</v>
      </c>
      <c r="D2595" t="s">
        <v>24</v>
      </c>
      <c r="E2595" t="s">
        <v>31</v>
      </c>
      <c r="F2595" t="s">
        <v>26</v>
      </c>
      <c r="G2595" t="s">
        <v>27</v>
      </c>
    </row>
    <row r="2596" spans="1:7" x14ac:dyDescent="0.2">
      <c r="A2596">
        <v>11</v>
      </c>
      <c r="B2596">
        <v>50</v>
      </c>
      <c r="C2596" t="s">
        <v>1639</v>
      </c>
      <c r="D2596" t="s">
        <v>24</v>
      </c>
      <c r="E2596" t="s">
        <v>31</v>
      </c>
      <c r="F2596" t="s">
        <v>26</v>
      </c>
      <c r="G2596" t="s">
        <v>27</v>
      </c>
    </row>
    <row r="2597" spans="1:7" x14ac:dyDescent="0.2">
      <c r="A2597">
        <v>12</v>
      </c>
      <c r="B2597">
        <v>50</v>
      </c>
      <c r="C2597" t="s">
        <v>1630</v>
      </c>
      <c r="D2597" t="s">
        <v>24</v>
      </c>
      <c r="E2597" t="s">
        <v>25</v>
      </c>
      <c r="F2597" t="s">
        <v>26</v>
      </c>
      <c r="G2597" t="s">
        <v>27</v>
      </c>
    </row>
    <row r="2598" spans="1:7" x14ac:dyDescent="0.2">
      <c r="A2598">
        <v>12</v>
      </c>
      <c r="B2598">
        <v>50</v>
      </c>
      <c r="C2598" t="s">
        <v>1631</v>
      </c>
      <c r="D2598" t="s">
        <v>24</v>
      </c>
      <c r="E2598" t="s">
        <v>25</v>
      </c>
      <c r="F2598" t="s">
        <v>26</v>
      </c>
      <c r="G2598" t="s">
        <v>27</v>
      </c>
    </row>
    <row r="2599" spans="1:7" x14ac:dyDescent="0.2">
      <c r="A2599">
        <v>12</v>
      </c>
      <c r="B2599">
        <v>50</v>
      </c>
      <c r="C2599" t="s">
        <v>1613</v>
      </c>
      <c r="D2599" t="s">
        <v>24</v>
      </c>
      <c r="E2599" t="s">
        <v>25</v>
      </c>
      <c r="F2599" t="s">
        <v>26</v>
      </c>
      <c r="G2599" t="s">
        <v>27</v>
      </c>
    </row>
    <row r="2600" spans="1:7" x14ac:dyDescent="0.2">
      <c r="A2600">
        <v>12</v>
      </c>
      <c r="B2600">
        <v>50</v>
      </c>
      <c r="C2600" t="s">
        <v>1632</v>
      </c>
      <c r="D2600" t="s">
        <v>24</v>
      </c>
      <c r="E2600" t="s">
        <v>25</v>
      </c>
      <c r="F2600" t="s">
        <v>26</v>
      </c>
      <c r="G2600" t="s">
        <v>27</v>
      </c>
    </row>
    <row r="2601" spans="1:7" x14ac:dyDescent="0.2">
      <c r="A2601">
        <v>12</v>
      </c>
      <c r="B2601">
        <v>50</v>
      </c>
      <c r="C2601" t="s">
        <v>1640</v>
      </c>
      <c r="D2601" t="s">
        <v>24</v>
      </c>
      <c r="E2601" t="s">
        <v>25</v>
      </c>
      <c r="F2601" t="s">
        <v>26</v>
      </c>
      <c r="G2601" t="s">
        <v>27</v>
      </c>
    </row>
    <row r="2602" spans="1:7" x14ac:dyDescent="0.2">
      <c r="A2602">
        <v>12</v>
      </c>
      <c r="B2602">
        <v>50</v>
      </c>
      <c r="C2602" t="s">
        <v>1636</v>
      </c>
      <c r="D2602" t="s">
        <v>24</v>
      </c>
      <c r="E2602" t="s">
        <v>25</v>
      </c>
      <c r="F2602" t="s">
        <v>26</v>
      </c>
      <c r="G2602" t="s">
        <v>27</v>
      </c>
    </row>
    <row r="2603" spans="1:7" x14ac:dyDescent="0.2">
      <c r="A2603">
        <v>13</v>
      </c>
      <c r="B2603">
        <v>50</v>
      </c>
      <c r="C2603" t="s">
        <v>1627</v>
      </c>
      <c r="D2603" t="s">
        <v>24</v>
      </c>
      <c r="E2603" t="s">
        <v>31</v>
      </c>
      <c r="F2603" t="s">
        <v>47</v>
      </c>
      <c r="G2603" t="s">
        <v>27</v>
      </c>
    </row>
    <row r="2604" spans="1:7" x14ac:dyDescent="0.2">
      <c r="A2604">
        <v>13</v>
      </c>
      <c r="B2604">
        <v>50</v>
      </c>
      <c r="C2604" t="s">
        <v>1641</v>
      </c>
      <c r="D2604" t="s">
        <v>24</v>
      </c>
      <c r="E2604" t="s">
        <v>31</v>
      </c>
      <c r="F2604" t="s">
        <v>47</v>
      </c>
      <c r="G2604" t="s">
        <v>27</v>
      </c>
    </row>
    <row r="2605" spans="1:7" x14ac:dyDescent="0.2">
      <c r="A2605">
        <v>13</v>
      </c>
      <c r="B2605">
        <v>50</v>
      </c>
      <c r="C2605" t="s">
        <v>1636</v>
      </c>
      <c r="D2605" t="s">
        <v>24</v>
      </c>
      <c r="E2605" t="s">
        <v>31</v>
      </c>
      <c r="F2605" t="s">
        <v>47</v>
      </c>
      <c r="G2605" t="s">
        <v>27</v>
      </c>
    </row>
    <row r="2606" spans="1:7" x14ac:dyDescent="0.2">
      <c r="A2606">
        <v>13</v>
      </c>
      <c r="B2606">
        <v>50</v>
      </c>
      <c r="C2606" t="s">
        <v>1642</v>
      </c>
      <c r="D2606" t="s">
        <v>24</v>
      </c>
      <c r="E2606" t="s">
        <v>31</v>
      </c>
      <c r="F2606" t="s">
        <v>47</v>
      </c>
      <c r="G2606" t="s">
        <v>27</v>
      </c>
    </row>
    <row r="2607" spans="1:7" x14ac:dyDescent="0.2">
      <c r="A2607">
        <v>13</v>
      </c>
      <c r="B2607">
        <v>50</v>
      </c>
      <c r="C2607" t="s">
        <v>1634</v>
      </c>
      <c r="D2607" t="s">
        <v>24</v>
      </c>
      <c r="E2607" t="s">
        <v>31</v>
      </c>
      <c r="F2607" t="s">
        <v>47</v>
      </c>
      <c r="G2607" t="s">
        <v>27</v>
      </c>
    </row>
    <row r="2608" spans="1:7" x14ac:dyDescent="0.2">
      <c r="A2608">
        <v>14</v>
      </c>
      <c r="B2608">
        <v>50</v>
      </c>
      <c r="C2608" t="s">
        <v>1632</v>
      </c>
      <c r="D2608" t="s">
        <v>24</v>
      </c>
      <c r="E2608" t="s">
        <v>31</v>
      </c>
      <c r="F2608" t="s">
        <v>26</v>
      </c>
      <c r="G2608" t="s">
        <v>27</v>
      </c>
    </row>
    <row r="2609" spans="1:7" x14ac:dyDescent="0.2">
      <c r="A2609">
        <v>14</v>
      </c>
      <c r="B2609">
        <v>50</v>
      </c>
      <c r="C2609" t="s">
        <v>1634</v>
      </c>
      <c r="D2609" t="s">
        <v>24</v>
      </c>
      <c r="E2609" t="s">
        <v>31</v>
      </c>
      <c r="F2609" t="s">
        <v>26</v>
      </c>
      <c r="G2609" t="s">
        <v>27</v>
      </c>
    </row>
    <row r="2610" spans="1:7" x14ac:dyDescent="0.2">
      <c r="A2610">
        <v>14</v>
      </c>
      <c r="B2610">
        <v>50</v>
      </c>
      <c r="C2610" t="s">
        <v>1643</v>
      </c>
      <c r="D2610" t="s">
        <v>24</v>
      </c>
      <c r="E2610" t="s">
        <v>31</v>
      </c>
      <c r="F2610" t="s">
        <v>26</v>
      </c>
      <c r="G2610" t="s">
        <v>27</v>
      </c>
    </row>
    <row r="2611" spans="1:7" x14ac:dyDescent="0.2">
      <c r="A2611">
        <v>15</v>
      </c>
      <c r="B2611">
        <v>50</v>
      </c>
      <c r="C2611" t="s">
        <v>1634</v>
      </c>
      <c r="D2611" t="s">
        <v>24</v>
      </c>
      <c r="E2611" t="s">
        <v>31</v>
      </c>
      <c r="F2611" t="s">
        <v>26</v>
      </c>
      <c r="G2611" t="s">
        <v>27</v>
      </c>
    </row>
    <row r="2612" spans="1:7" x14ac:dyDescent="0.2">
      <c r="A2612">
        <v>15</v>
      </c>
      <c r="B2612">
        <v>50</v>
      </c>
      <c r="C2612" t="s">
        <v>1644</v>
      </c>
      <c r="D2612" t="s">
        <v>24</v>
      </c>
      <c r="E2612" t="s">
        <v>31</v>
      </c>
      <c r="F2612" t="s">
        <v>26</v>
      </c>
      <c r="G2612" t="s">
        <v>27</v>
      </c>
    </row>
    <row r="2613" spans="1:7" x14ac:dyDescent="0.2">
      <c r="A2613">
        <v>15</v>
      </c>
      <c r="B2613">
        <v>50</v>
      </c>
      <c r="C2613" t="s">
        <v>1645</v>
      </c>
      <c r="D2613" t="s">
        <v>24</v>
      </c>
      <c r="E2613" t="s">
        <v>31</v>
      </c>
      <c r="F2613" t="s">
        <v>26</v>
      </c>
      <c r="G2613" t="s">
        <v>27</v>
      </c>
    </row>
    <row r="2614" spans="1:7" x14ac:dyDescent="0.2">
      <c r="A2614">
        <v>15</v>
      </c>
      <c r="B2614">
        <v>50</v>
      </c>
      <c r="C2614" t="s">
        <v>1646</v>
      </c>
      <c r="D2614" t="s">
        <v>24</v>
      </c>
      <c r="E2614" t="s">
        <v>31</v>
      </c>
      <c r="F2614" t="s">
        <v>26</v>
      </c>
      <c r="G2614" t="s">
        <v>27</v>
      </c>
    </row>
    <row r="2615" spans="1:7" x14ac:dyDescent="0.2">
      <c r="A2615">
        <v>15</v>
      </c>
      <c r="B2615">
        <v>50</v>
      </c>
      <c r="C2615" t="s">
        <v>1647</v>
      </c>
      <c r="D2615" t="s">
        <v>24</v>
      </c>
      <c r="E2615" t="s">
        <v>31</v>
      </c>
      <c r="F2615" t="s">
        <v>26</v>
      </c>
      <c r="G2615" t="s">
        <v>27</v>
      </c>
    </row>
    <row r="2616" spans="1:7" x14ac:dyDescent="0.2">
      <c r="A2616">
        <v>16</v>
      </c>
      <c r="B2616">
        <v>50</v>
      </c>
      <c r="C2616" t="s">
        <v>1607</v>
      </c>
      <c r="D2616" t="s">
        <v>24</v>
      </c>
      <c r="E2616" t="s">
        <v>31</v>
      </c>
      <c r="F2616" t="s">
        <v>26</v>
      </c>
      <c r="G2616" t="s">
        <v>27</v>
      </c>
    </row>
    <row r="2617" spans="1:7" x14ac:dyDescent="0.2">
      <c r="A2617">
        <v>16</v>
      </c>
      <c r="B2617">
        <v>50</v>
      </c>
      <c r="C2617" t="s">
        <v>1648</v>
      </c>
      <c r="D2617" t="s">
        <v>24</v>
      </c>
      <c r="E2617" t="s">
        <v>31</v>
      </c>
      <c r="F2617" t="s">
        <v>26</v>
      </c>
      <c r="G2617" t="s">
        <v>27</v>
      </c>
    </row>
    <row r="2618" spans="1:7" x14ac:dyDescent="0.2">
      <c r="A2618">
        <v>16</v>
      </c>
      <c r="B2618">
        <v>50</v>
      </c>
      <c r="C2618" t="s">
        <v>1612</v>
      </c>
      <c r="D2618" t="s">
        <v>24</v>
      </c>
      <c r="E2618" t="s">
        <v>31</v>
      </c>
      <c r="F2618" t="s">
        <v>26</v>
      </c>
      <c r="G2618" t="s">
        <v>27</v>
      </c>
    </row>
    <row r="2619" spans="1:7" x14ac:dyDescent="0.2">
      <c r="A2619">
        <v>16</v>
      </c>
      <c r="B2619">
        <v>50</v>
      </c>
      <c r="C2619" t="s">
        <v>1649</v>
      </c>
      <c r="D2619" t="s">
        <v>24</v>
      </c>
      <c r="E2619" t="s">
        <v>31</v>
      </c>
      <c r="F2619" t="s">
        <v>26</v>
      </c>
      <c r="G2619" t="s">
        <v>27</v>
      </c>
    </row>
    <row r="2620" spans="1:7" x14ac:dyDescent="0.2">
      <c r="A2620">
        <v>16</v>
      </c>
      <c r="B2620">
        <v>50</v>
      </c>
      <c r="C2620" t="s">
        <v>1590</v>
      </c>
      <c r="D2620" t="s">
        <v>24</v>
      </c>
      <c r="E2620" t="s">
        <v>31</v>
      </c>
      <c r="F2620" t="s">
        <v>26</v>
      </c>
      <c r="G2620" t="s">
        <v>27</v>
      </c>
    </row>
    <row r="2621" spans="1:7" x14ac:dyDescent="0.2">
      <c r="A2621">
        <v>16</v>
      </c>
      <c r="B2621">
        <v>50</v>
      </c>
      <c r="C2621" t="s">
        <v>1650</v>
      </c>
      <c r="D2621" t="s">
        <v>24</v>
      </c>
      <c r="E2621" t="s">
        <v>31</v>
      </c>
      <c r="F2621" t="s">
        <v>26</v>
      </c>
      <c r="G2621" t="s">
        <v>27</v>
      </c>
    </row>
    <row r="2622" spans="1:7" x14ac:dyDescent="0.2">
      <c r="A2622">
        <v>16</v>
      </c>
      <c r="B2622">
        <v>50</v>
      </c>
      <c r="C2622" t="s">
        <v>1651</v>
      </c>
      <c r="D2622" t="s">
        <v>24</v>
      </c>
      <c r="E2622" t="s">
        <v>31</v>
      </c>
      <c r="F2622" t="s">
        <v>26</v>
      </c>
      <c r="G2622" t="s">
        <v>27</v>
      </c>
    </row>
    <row r="2623" spans="1:7" x14ac:dyDescent="0.2">
      <c r="A2623">
        <v>16</v>
      </c>
      <c r="B2623">
        <v>50</v>
      </c>
      <c r="C2623" t="s">
        <v>1630</v>
      </c>
      <c r="D2623" t="s">
        <v>24</v>
      </c>
      <c r="E2623" t="s">
        <v>31</v>
      </c>
      <c r="F2623" t="s">
        <v>26</v>
      </c>
      <c r="G2623" t="s">
        <v>27</v>
      </c>
    </row>
    <row r="2624" spans="1:7" x14ac:dyDescent="0.2">
      <c r="A2624">
        <v>16</v>
      </c>
      <c r="B2624">
        <v>50</v>
      </c>
      <c r="C2624" t="s">
        <v>1652</v>
      </c>
      <c r="D2624" t="s">
        <v>30</v>
      </c>
      <c r="E2624" t="s">
        <v>31</v>
      </c>
      <c r="F2624" t="s">
        <v>26</v>
      </c>
      <c r="G2624" t="s">
        <v>27</v>
      </c>
    </row>
    <row r="2625" spans="1:7" x14ac:dyDescent="0.2">
      <c r="A2625">
        <v>16</v>
      </c>
      <c r="B2625">
        <v>50</v>
      </c>
      <c r="C2625" t="s">
        <v>1614</v>
      </c>
      <c r="D2625" t="s">
        <v>24</v>
      </c>
      <c r="E2625" t="s">
        <v>31</v>
      </c>
      <c r="F2625" t="s">
        <v>26</v>
      </c>
      <c r="G2625" t="s">
        <v>27</v>
      </c>
    </row>
    <row r="2626" spans="1:7" x14ac:dyDescent="0.2">
      <c r="A2626">
        <v>16</v>
      </c>
      <c r="B2626">
        <v>50</v>
      </c>
      <c r="C2626" t="s">
        <v>1632</v>
      </c>
      <c r="D2626" t="s">
        <v>24</v>
      </c>
      <c r="E2626" t="s">
        <v>31</v>
      </c>
      <c r="F2626" t="s">
        <v>26</v>
      </c>
      <c r="G2626" t="s">
        <v>27</v>
      </c>
    </row>
    <row r="2627" spans="1:7" x14ac:dyDescent="0.2">
      <c r="A2627">
        <v>16</v>
      </c>
      <c r="B2627">
        <v>50</v>
      </c>
      <c r="C2627" t="s">
        <v>1634</v>
      </c>
      <c r="D2627" t="s">
        <v>24</v>
      </c>
      <c r="E2627" t="s">
        <v>31</v>
      </c>
      <c r="F2627" t="s">
        <v>26</v>
      </c>
      <c r="G2627" t="s">
        <v>27</v>
      </c>
    </row>
    <row r="2628" spans="1:7" x14ac:dyDescent="0.2">
      <c r="A2628">
        <v>16</v>
      </c>
      <c r="B2628">
        <v>50</v>
      </c>
      <c r="C2628" t="s">
        <v>1644</v>
      </c>
      <c r="D2628" t="s">
        <v>24</v>
      </c>
      <c r="E2628" t="s">
        <v>31</v>
      </c>
      <c r="F2628" t="s">
        <v>26</v>
      </c>
      <c r="G2628" t="s">
        <v>27</v>
      </c>
    </row>
    <row r="2629" spans="1:7" x14ac:dyDescent="0.2">
      <c r="A2629">
        <v>16</v>
      </c>
      <c r="B2629">
        <v>50</v>
      </c>
      <c r="C2629" t="s">
        <v>1653</v>
      </c>
      <c r="D2629" t="s">
        <v>24</v>
      </c>
      <c r="E2629" t="s">
        <v>31</v>
      </c>
      <c r="F2629" t="s">
        <v>26</v>
      </c>
      <c r="G2629" t="s">
        <v>27</v>
      </c>
    </row>
    <row r="2630" spans="1:7" x14ac:dyDescent="0.2">
      <c r="A2630">
        <v>16</v>
      </c>
      <c r="B2630">
        <v>50</v>
      </c>
      <c r="C2630" t="s">
        <v>1636</v>
      </c>
      <c r="D2630" t="s">
        <v>24</v>
      </c>
      <c r="E2630" t="s">
        <v>31</v>
      </c>
      <c r="F2630" t="s">
        <v>26</v>
      </c>
      <c r="G2630" t="s">
        <v>27</v>
      </c>
    </row>
    <row r="2631" spans="1:7" x14ac:dyDescent="0.2">
      <c r="A2631">
        <v>17</v>
      </c>
      <c r="B2631">
        <v>50</v>
      </c>
      <c r="C2631" t="s">
        <v>1627</v>
      </c>
      <c r="D2631" t="s">
        <v>24</v>
      </c>
      <c r="E2631" t="s">
        <v>31</v>
      </c>
      <c r="F2631" t="s">
        <v>47</v>
      </c>
      <c r="G2631" t="s">
        <v>27</v>
      </c>
    </row>
    <row r="2632" spans="1:7" x14ac:dyDescent="0.2">
      <c r="A2632">
        <v>17</v>
      </c>
      <c r="B2632">
        <v>50</v>
      </c>
      <c r="C2632" t="s">
        <v>1654</v>
      </c>
      <c r="D2632" t="s">
        <v>24</v>
      </c>
      <c r="E2632" t="s">
        <v>31</v>
      </c>
      <c r="F2632" t="s">
        <v>47</v>
      </c>
      <c r="G2632" t="s">
        <v>27</v>
      </c>
    </row>
    <row r="2633" spans="1:7" x14ac:dyDescent="0.2">
      <c r="A2633">
        <v>17</v>
      </c>
      <c r="B2633">
        <v>50</v>
      </c>
      <c r="C2633" t="s">
        <v>1655</v>
      </c>
      <c r="D2633" t="s">
        <v>24</v>
      </c>
      <c r="E2633" t="s">
        <v>31</v>
      </c>
      <c r="F2633" t="s">
        <v>47</v>
      </c>
      <c r="G2633" t="s">
        <v>27</v>
      </c>
    </row>
    <row r="2634" spans="1:7" x14ac:dyDescent="0.2">
      <c r="A2634">
        <v>17</v>
      </c>
      <c r="B2634">
        <v>50</v>
      </c>
      <c r="C2634" t="s">
        <v>1613</v>
      </c>
      <c r="D2634" t="s">
        <v>24</v>
      </c>
      <c r="E2634" t="s">
        <v>31</v>
      </c>
      <c r="F2634" t="s">
        <v>47</v>
      </c>
      <c r="G2634" t="s">
        <v>27</v>
      </c>
    </row>
    <row r="2635" spans="1:7" x14ac:dyDescent="0.2">
      <c r="A2635">
        <v>17</v>
      </c>
      <c r="B2635">
        <v>50</v>
      </c>
      <c r="C2635" t="s">
        <v>1632</v>
      </c>
      <c r="D2635" t="s">
        <v>24</v>
      </c>
      <c r="E2635" t="s">
        <v>31</v>
      </c>
      <c r="F2635" t="s">
        <v>47</v>
      </c>
      <c r="G2635" t="s">
        <v>27</v>
      </c>
    </row>
    <row r="2636" spans="1:7" x14ac:dyDescent="0.2">
      <c r="A2636">
        <v>17</v>
      </c>
      <c r="B2636">
        <v>50</v>
      </c>
      <c r="C2636" t="s">
        <v>1636</v>
      </c>
      <c r="D2636" t="s">
        <v>24</v>
      </c>
      <c r="E2636" t="s">
        <v>31</v>
      </c>
      <c r="F2636" t="s">
        <v>47</v>
      </c>
      <c r="G2636" t="s">
        <v>27</v>
      </c>
    </row>
    <row r="2637" spans="1:7" x14ac:dyDescent="0.2">
      <c r="A2637">
        <v>17</v>
      </c>
      <c r="B2637">
        <v>50</v>
      </c>
      <c r="C2637" t="s">
        <v>1644</v>
      </c>
      <c r="D2637" t="s">
        <v>24</v>
      </c>
      <c r="E2637" t="s">
        <v>31</v>
      </c>
      <c r="F2637" t="s">
        <v>47</v>
      </c>
      <c r="G2637" t="s">
        <v>27</v>
      </c>
    </row>
    <row r="2638" spans="1:7" x14ac:dyDescent="0.2">
      <c r="A2638">
        <v>17</v>
      </c>
      <c r="B2638">
        <v>50</v>
      </c>
      <c r="C2638" t="s">
        <v>1634</v>
      </c>
      <c r="D2638" t="s">
        <v>24</v>
      </c>
      <c r="E2638" t="s">
        <v>31</v>
      </c>
      <c r="F2638" t="s">
        <v>47</v>
      </c>
      <c r="G2638" t="s">
        <v>27</v>
      </c>
    </row>
    <row r="2639" spans="1:7" x14ac:dyDescent="0.2">
      <c r="A2639">
        <v>18</v>
      </c>
      <c r="B2639">
        <v>50</v>
      </c>
      <c r="C2639" t="s">
        <v>1656</v>
      </c>
      <c r="D2639" t="s">
        <v>24</v>
      </c>
      <c r="E2639" t="s">
        <v>31</v>
      </c>
      <c r="F2639" t="s">
        <v>26</v>
      </c>
      <c r="G2639" t="s">
        <v>27</v>
      </c>
    </row>
    <row r="2640" spans="1:7" x14ac:dyDescent="0.2">
      <c r="A2640">
        <v>18</v>
      </c>
      <c r="B2640">
        <v>50</v>
      </c>
      <c r="C2640" t="s">
        <v>1614</v>
      </c>
      <c r="D2640" t="s">
        <v>24</v>
      </c>
      <c r="E2640" t="s">
        <v>31</v>
      </c>
      <c r="F2640" t="s">
        <v>26</v>
      </c>
      <c r="G2640" t="s">
        <v>27</v>
      </c>
    </row>
    <row r="2641" spans="1:7" x14ac:dyDescent="0.2">
      <c r="A2641">
        <v>18</v>
      </c>
      <c r="B2641">
        <v>50</v>
      </c>
      <c r="C2641" t="s">
        <v>1617</v>
      </c>
      <c r="D2641" t="s">
        <v>24</v>
      </c>
      <c r="E2641" t="s">
        <v>31</v>
      </c>
      <c r="F2641" t="s">
        <v>26</v>
      </c>
      <c r="G2641" t="s">
        <v>27</v>
      </c>
    </row>
    <row r="2642" spans="1:7" x14ac:dyDescent="0.2">
      <c r="A2642">
        <v>18</v>
      </c>
      <c r="B2642">
        <v>50</v>
      </c>
      <c r="C2642" t="s">
        <v>1657</v>
      </c>
      <c r="D2642" t="s">
        <v>24</v>
      </c>
      <c r="E2642" t="s">
        <v>31</v>
      </c>
      <c r="F2642" t="s">
        <v>26</v>
      </c>
      <c r="G2642" t="s">
        <v>27</v>
      </c>
    </row>
    <row r="2643" spans="1:7" x14ac:dyDescent="0.2">
      <c r="A2643">
        <v>19</v>
      </c>
      <c r="B2643">
        <v>50</v>
      </c>
      <c r="C2643" t="s">
        <v>1607</v>
      </c>
      <c r="D2643" t="s">
        <v>24</v>
      </c>
      <c r="E2643" t="s">
        <v>31</v>
      </c>
      <c r="F2643" t="s">
        <v>26</v>
      </c>
      <c r="G2643" t="s">
        <v>27</v>
      </c>
    </row>
    <row r="2644" spans="1:7" x14ac:dyDescent="0.2">
      <c r="A2644">
        <v>19</v>
      </c>
      <c r="B2644">
        <v>50</v>
      </c>
      <c r="C2644" t="s">
        <v>1647</v>
      </c>
      <c r="D2644" t="s">
        <v>24</v>
      </c>
      <c r="E2644" t="s">
        <v>31</v>
      </c>
      <c r="F2644" t="s">
        <v>26</v>
      </c>
      <c r="G2644" t="s">
        <v>27</v>
      </c>
    </row>
    <row r="2645" spans="1:7" x14ac:dyDescent="0.2">
      <c r="A2645">
        <v>19</v>
      </c>
      <c r="B2645">
        <v>50</v>
      </c>
      <c r="C2645" t="s">
        <v>1658</v>
      </c>
      <c r="D2645" t="s">
        <v>24</v>
      </c>
      <c r="E2645" t="s">
        <v>31</v>
      </c>
      <c r="F2645" t="s">
        <v>26</v>
      </c>
      <c r="G2645" t="s">
        <v>27</v>
      </c>
    </row>
    <row r="2646" spans="1:7" x14ac:dyDescent="0.2">
      <c r="A2646">
        <v>19</v>
      </c>
      <c r="B2646">
        <v>50</v>
      </c>
      <c r="C2646" t="s">
        <v>1659</v>
      </c>
      <c r="D2646" t="s">
        <v>24</v>
      </c>
      <c r="E2646" t="s">
        <v>31</v>
      </c>
      <c r="F2646" t="s">
        <v>26</v>
      </c>
      <c r="G2646" t="s">
        <v>27</v>
      </c>
    </row>
    <row r="2647" spans="1:7" x14ac:dyDescent="0.2">
      <c r="A2647">
        <v>19</v>
      </c>
      <c r="B2647">
        <v>50</v>
      </c>
      <c r="C2647" t="s">
        <v>1590</v>
      </c>
      <c r="D2647" t="s">
        <v>24</v>
      </c>
      <c r="E2647" t="s">
        <v>31</v>
      </c>
      <c r="F2647" t="s">
        <v>26</v>
      </c>
      <c r="G2647" t="s">
        <v>27</v>
      </c>
    </row>
    <row r="2648" spans="1:7" x14ac:dyDescent="0.2">
      <c r="A2648">
        <v>19</v>
      </c>
      <c r="B2648">
        <v>50</v>
      </c>
      <c r="C2648" t="s">
        <v>1656</v>
      </c>
      <c r="D2648" t="s">
        <v>24</v>
      </c>
      <c r="E2648" t="s">
        <v>31</v>
      </c>
      <c r="F2648" t="s">
        <v>26</v>
      </c>
      <c r="G2648" t="s">
        <v>27</v>
      </c>
    </row>
    <row r="2649" spans="1:7" x14ac:dyDescent="0.2">
      <c r="A2649">
        <v>19</v>
      </c>
      <c r="B2649">
        <v>50</v>
      </c>
      <c r="C2649" t="s">
        <v>1614</v>
      </c>
      <c r="D2649" t="s">
        <v>24</v>
      </c>
      <c r="E2649" t="s">
        <v>31</v>
      </c>
      <c r="F2649" t="s">
        <v>26</v>
      </c>
      <c r="G2649" t="s">
        <v>27</v>
      </c>
    </row>
    <row r="2650" spans="1:7" x14ac:dyDescent="0.2">
      <c r="A2650">
        <v>19</v>
      </c>
      <c r="B2650">
        <v>50</v>
      </c>
      <c r="C2650" t="s">
        <v>1632</v>
      </c>
      <c r="D2650" t="s">
        <v>24</v>
      </c>
      <c r="E2650" t="s">
        <v>31</v>
      </c>
      <c r="F2650" t="s">
        <v>26</v>
      </c>
      <c r="G2650" t="s">
        <v>27</v>
      </c>
    </row>
    <row r="2651" spans="1:7" x14ac:dyDescent="0.2">
      <c r="A2651">
        <v>19</v>
      </c>
      <c r="B2651">
        <v>50</v>
      </c>
      <c r="C2651" t="s">
        <v>1657</v>
      </c>
      <c r="D2651" t="s">
        <v>24</v>
      </c>
      <c r="E2651" t="s">
        <v>31</v>
      </c>
      <c r="F2651" t="s">
        <v>26</v>
      </c>
      <c r="G2651" t="s">
        <v>27</v>
      </c>
    </row>
    <row r="2652" spans="1:7" x14ac:dyDescent="0.2">
      <c r="A2652">
        <v>20</v>
      </c>
      <c r="B2652">
        <v>50</v>
      </c>
      <c r="C2652" t="s">
        <v>1659</v>
      </c>
      <c r="D2652" t="s">
        <v>24</v>
      </c>
      <c r="E2652" t="s">
        <v>25</v>
      </c>
      <c r="F2652" t="s">
        <v>26</v>
      </c>
      <c r="G2652" t="s">
        <v>27</v>
      </c>
    </row>
    <row r="2653" spans="1:7" x14ac:dyDescent="0.2">
      <c r="A2653">
        <v>20</v>
      </c>
      <c r="B2653">
        <v>50</v>
      </c>
      <c r="C2653" t="s">
        <v>1590</v>
      </c>
      <c r="D2653" t="s">
        <v>24</v>
      </c>
      <c r="E2653" t="s">
        <v>25</v>
      </c>
      <c r="F2653" t="s">
        <v>26</v>
      </c>
      <c r="G2653" t="s">
        <v>27</v>
      </c>
    </row>
    <row r="2654" spans="1:7" x14ac:dyDescent="0.2">
      <c r="A2654">
        <v>20</v>
      </c>
      <c r="B2654">
        <v>50</v>
      </c>
      <c r="C2654" t="s">
        <v>1630</v>
      </c>
      <c r="D2654" t="s">
        <v>24</v>
      </c>
      <c r="E2654" t="s">
        <v>25</v>
      </c>
      <c r="F2654" t="s">
        <v>26</v>
      </c>
      <c r="G2654" t="s">
        <v>27</v>
      </c>
    </row>
    <row r="2655" spans="1:7" x14ac:dyDescent="0.2">
      <c r="A2655">
        <v>20</v>
      </c>
      <c r="B2655">
        <v>50</v>
      </c>
      <c r="C2655" t="s">
        <v>1632</v>
      </c>
      <c r="D2655" t="s">
        <v>24</v>
      </c>
      <c r="E2655" t="s">
        <v>25</v>
      </c>
      <c r="F2655" t="s">
        <v>26</v>
      </c>
      <c r="G2655" t="s">
        <v>27</v>
      </c>
    </row>
    <row r="2656" spans="1:7" x14ac:dyDescent="0.2">
      <c r="A2656">
        <v>20</v>
      </c>
      <c r="B2656">
        <v>50</v>
      </c>
      <c r="C2656" t="s">
        <v>1617</v>
      </c>
      <c r="D2656" t="s">
        <v>24</v>
      </c>
      <c r="E2656" t="s">
        <v>25</v>
      </c>
      <c r="F2656" t="s">
        <v>26</v>
      </c>
      <c r="G2656" t="s">
        <v>27</v>
      </c>
    </row>
    <row r="2657" spans="1:7" x14ac:dyDescent="0.2">
      <c r="A2657">
        <v>20</v>
      </c>
      <c r="B2657">
        <v>50</v>
      </c>
      <c r="C2657" t="s">
        <v>1657</v>
      </c>
      <c r="D2657" t="s">
        <v>24</v>
      </c>
      <c r="E2657" t="s">
        <v>25</v>
      </c>
      <c r="F2657" t="s">
        <v>26</v>
      </c>
      <c r="G2657" t="s">
        <v>27</v>
      </c>
    </row>
    <row r="2658" spans="1:7" x14ac:dyDescent="0.2">
      <c r="A2658">
        <v>21</v>
      </c>
      <c r="B2658">
        <v>50</v>
      </c>
      <c r="C2658" t="s">
        <v>1609</v>
      </c>
      <c r="D2658" t="s">
        <v>24</v>
      </c>
      <c r="E2658" t="s">
        <v>31</v>
      </c>
      <c r="F2658" t="s">
        <v>26</v>
      </c>
      <c r="G2658" t="s">
        <v>27</v>
      </c>
    </row>
    <row r="2659" spans="1:7" x14ac:dyDescent="0.2">
      <c r="A2659">
        <v>21</v>
      </c>
      <c r="B2659">
        <v>50</v>
      </c>
      <c r="C2659" t="s">
        <v>1607</v>
      </c>
      <c r="D2659" t="s">
        <v>24</v>
      </c>
      <c r="E2659" t="s">
        <v>31</v>
      </c>
      <c r="F2659" t="s">
        <v>26</v>
      </c>
      <c r="G2659" t="s">
        <v>27</v>
      </c>
    </row>
    <row r="2660" spans="1:7" x14ac:dyDescent="0.2">
      <c r="A2660">
        <v>21</v>
      </c>
      <c r="B2660">
        <v>50</v>
      </c>
      <c r="C2660" t="s">
        <v>1660</v>
      </c>
      <c r="D2660" t="s">
        <v>24</v>
      </c>
      <c r="E2660" t="s">
        <v>31</v>
      </c>
      <c r="F2660" t="s">
        <v>26</v>
      </c>
      <c r="G2660" t="s">
        <v>27</v>
      </c>
    </row>
    <row r="2661" spans="1:7" x14ac:dyDescent="0.2">
      <c r="A2661">
        <v>21</v>
      </c>
      <c r="B2661">
        <v>50</v>
      </c>
      <c r="C2661" t="s">
        <v>1647</v>
      </c>
      <c r="D2661" t="s">
        <v>24</v>
      </c>
      <c r="E2661" t="s">
        <v>31</v>
      </c>
      <c r="F2661" t="s">
        <v>26</v>
      </c>
      <c r="G2661" t="s">
        <v>27</v>
      </c>
    </row>
    <row r="2662" spans="1:7" x14ac:dyDescent="0.2">
      <c r="A2662">
        <v>21</v>
      </c>
      <c r="B2662">
        <v>50</v>
      </c>
      <c r="C2662" t="s">
        <v>1661</v>
      </c>
      <c r="D2662" t="s">
        <v>24</v>
      </c>
      <c r="E2662" t="s">
        <v>31</v>
      </c>
      <c r="F2662" t="s">
        <v>26</v>
      </c>
      <c r="G2662" t="s">
        <v>27</v>
      </c>
    </row>
    <row r="2663" spans="1:7" x14ac:dyDescent="0.2">
      <c r="A2663">
        <v>21</v>
      </c>
      <c r="B2663">
        <v>50</v>
      </c>
      <c r="C2663" t="s">
        <v>1590</v>
      </c>
      <c r="D2663" t="s">
        <v>24</v>
      </c>
      <c r="E2663" t="s">
        <v>31</v>
      </c>
      <c r="F2663" t="s">
        <v>26</v>
      </c>
      <c r="G2663" t="s">
        <v>27</v>
      </c>
    </row>
    <row r="2664" spans="1:7" x14ac:dyDescent="0.2">
      <c r="A2664">
        <v>21</v>
      </c>
      <c r="B2664">
        <v>50</v>
      </c>
      <c r="C2664" t="s">
        <v>1630</v>
      </c>
      <c r="D2664" t="s">
        <v>24</v>
      </c>
      <c r="E2664" t="s">
        <v>31</v>
      </c>
      <c r="F2664" t="s">
        <v>26</v>
      </c>
      <c r="G2664" t="s">
        <v>27</v>
      </c>
    </row>
    <row r="2665" spans="1:7" x14ac:dyDescent="0.2">
      <c r="A2665">
        <v>21</v>
      </c>
      <c r="B2665">
        <v>50</v>
      </c>
      <c r="C2665" t="s">
        <v>1662</v>
      </c>
      <c r="D2665" t="s">
        <v>24</v>
      </c>
      <c r="E2665" t="s">
        <v>31</v>
      </c>
      <c r="F2665" t="s">
        <v>26</v>
      </c>
      <c r="G2665" t="s">
        <v>27</v>
      </c>
    </row>
    <row r="2666" spans="1:7" x14ac:dyDescent="0.2">
      <c r="A2666">
        <v>21</v>
      </c>
      <c r="B2666">
        <v>50</v>
      </c>
      <c r="C2666" t="s">
        <v>1632</v>
      </c>
      <c r="D2666" t="s">
        <v>24</v>
      </c>
      <c r="E2666" t="s">
        <v>31</v>
      </c>
      <c r="F2666" t="s">
        <v>26</v>
      </c>
      <c r="G2666" t="s">
        <v>27</v>
      </c>
    </row>
    <row r="2667" spans="1:7" x14ac:dyDescent="0.2">
      <c r="A2667">
        <v>21</v>
      </c>
      <c r="B2667">
        <v>50</v>
      </c>
      <c r="C2667" t="s">
        <v>1617</v>
      </c>
      <c r="D2667" t="s">
        <v>24</v>
      </c>
      <c r="E2667" t="s">
        <v>31</v>
      </c>
      <c r="F2667" t="s">
        <v>26</v>
      </c>
      <c r="G2667" t="s">
        <v>27</v>
      </c>
    </row>
    <row r="2668" spans="1:7" x14ac:dyDescent="0.2">
      <c r="A2668">
        <v>21</v>
      </c>
      <c r="B2668">
        <v>50</v>
      </c>
      <c r="C2668" t="s">
        <v>1580</v>
      </c>
      <c r="D2668" t="s">
        <v>24</v>
      </c>
      <c r="E2668" t="s">
        <v>31</v>
      </c>
      <c r="F2668" t="s">
        <v>26</v>
      </c>
      <c r="G2668" t="s">
        <v>27</v>
      </c>
    </row>
    <row r="2669" spans="1:7" x14ac:dyDescent="0.2">
      <c r="A2669">
        <v>21</v>
      </c>
      <c r="B2669">
        <v>50</v>
      </c>
      <c r="C2669" t="s">
        <v>1663</v>
      </c>
      <c r="D2669" t="s">
        <v>24</v>
      </c>
      <c r="E2669" t="s">
        <v>31</v>
      </c>
      <c r="F2669" t="s">
        <v>26</v>
      </c>
      <c r="G2669" t="s">
        <v>27</v>
      </c>
    </row>
    <row r="2670" spans="1:7" x14ac:dyDescent="0.2">
      <c r="A2670">
        <v>21</v>
      </c>
      <c r="B2670">
        <v>50</v>
      </c>
      <c r="C2670" t="s">
        <v>1657</v>
      </c>
      <c r="D2670" t="s">
        <v>24</v>
      </c>
      <c r="E2670" t="s">
        <v>31</v>
      </c>
      <c r="F2670" t="s">
        <v>26</v>
      </c>
      <c r="G2670" t="s">
        <v>27</v>
      </c>
    </row>
    <row r="2671" spans="1:7" x14ac:dyDescent="0.2">
      <c r="A2671">
        <v>21</v>
      </c>
      <c r="B2671">
        <v>50</v>
      </c>
      <c r="C2671" t="s">
        <v>1615</v>
      </c>
      <c r="D2671" t="s">
        <v>24</v>
      </c>
      <c r="E2671" t="s">
        <v>31</v>
      </c>
      <c r="F2671" t="s">
        <v>26</v>
      </c>
      <c r="G2671" t="s">
        <v>27</v>
      </c>
    </row>
    <row r="2672" spans="1:7" x14ac:dyDescent="0.2">
      <c r="A2672">
        <v>22</v>
      </c>
      <c r="B2672">
        <v>50</v>
      </c>
      <c r="C2672" t="s">
        <v>1647</v>
      </c>
      <c r="D2672" t="s">
        <v>24</v>
      </c>
      <c r="E2672" t="s">
        <v>31</v>
      </c>
      <c r="F2672" t="s">
        <v>26</v>
      </c>
      <c r="G2672" t="s">
        <v>27</v>
      </c>
    </row>
    <row r="2673" spans="1:7" x14ac:dyDescent="0.2">
      <c r="A2673">
        <v>22</v>
      </c>
      <c r="B2673">
        <v>50</v>
      </c>
      <c r="C2673" t="s">
        <v>1612</v>
      </c>
      <c r="D2673" t="s">
        <v>24</v>
      </c>
      <c r="E2673" t="s">
        <v>31</v>
      </c>
      <c r="F2673" t="s">
        <v>26</v>
      </c>
      <c r="G2673" t="s">
        <v>27</v>
      </c>
    </row>
    <row r="2674" spans="1:7" x14ac:dyDescent="0.2">
      <c r="A2674">
        <v>22</v>
      </c>
      <c r="B2674">
        <v>50</v>
      </c>
      <c r="C2674" t="s">
        <v>1661</v>
      </c>
      <c r="D2674" t="s">
        <v>24</v>
      </c>
      <c r="E2674" t="s">
        <v>31</v>
      </c>
      <c r="F2674" t="s">
        <v>26</v>
      </c>
      <c r="G2674" t="s">
        <v>27</v>
      </c>
    </row>
    <row r="2675" spans="1:7" x14ac:dyDescent="0.2">
      <c r="A2675">
        <v>22</v>
      </c>
      <c r="B2675">
        <v>50</v>
      </c>
      <c r="C2675" t="s">
        <v>1664</v>
      </c>
      <c r="D2675" t="s">
        <v>24</v>
      </c>
      <c r="E2675" t="s">
        <v>31</v>
      </c>
      <c r="F2675" t="s">
        <v>26</v>
      </c>
      <c r="G2675" t="s">
        <v>27</v>
      </c>
    </row>
    <row r="2676" spans="1:7" x14ac:dyDescent="0.2">
      <c r="A2676">
        <v>22</v>
      </c>
      <c r="B2676">
        <v>50</v>
      </c>
      <c r="C2676" t="s">
        <v>1665</v>
      </c>
      <c r="D2676" t="s">
        <v>24</v>
      </c>
      <c r="E2676" t="s">
        <v>31</v>
      </c>
      <c r="F2676" t="s">
        <v>26</v>
      </c>
      <c r="G2676" t="s">
        <v>27</v>
      </c>
    </row>
    <row r="2677" spans="1:7" x14ac:dyDescent="0.2">
      <c r="A2677">
        <v>22</v>
      </c>
      <c r="B2677">
        <v>50</v>
      </c>
      <c r="C2677" t="s">
        <v>1632</v>
      </c>
      <c r="D2677" t="s">
        <v>24</v>
      </c>
      <c r="E2677" t="s">
        <v>31</v>
      </c>
      <c r="F2677" t="s">
        <v>26</v>
      </c>
      <c r="G2677" t="s">
        <v>27</v>
      </c>
    </row>
    <row r="2678" spans="1:7" x14ac:dyDescent="0.2">
      <c r="A2678">
        <v>22</v>
      </c>
      <c r="B2678">
        <v>50</v>
      </c>
      <c r="C2678" t="s">
        <v>1580</v>
      </c>
      <c r="D2678" t="s">
        <v>24</v>
      </c>
      <c r="E2678" t="s">
        <v>31</v>
      </c>
      <c r="F2678" t="s">
        <v>26</v>
      </c>
      <c r="G2678" t="s">
        <v>27</v>
      </c>
    </row>
    <row r="2679" spans="1:7" x14ac:dyDescent="0.2">
      <c r="A2679">
        <v>22</v>
      </c>
      <c r="B2679">
        <v>50</v>
      </c>
      <c r="C2679" t="s">
        <v>1615</v>
      </c>
      <c r="D2679" t="s">
        <v>24</v>
      </c>
      <c r="E2679" t="s">
        <v>31</v>
      </c>
      <c r="F2679" t="s">
        <v>26</v>
      </c>
      <c r="G2679" t="s">
        <v>27</v>
      </c>
    </row>
    <row r="2680" spans="1:7" x14ac:dyDescent="0.2">
      <c r="A2680">
        <v>23</v>
      </c>
      <c r="B2680">
        <v>50</v>
      </c>
      <c r="C2680" t="s">
        <v>1630</v>
      </c>
      <c r="D2680" t="s">
        <v>24</v>
      </c>
      <c r="E2680" t="s">
        <v>25</v>
      </c>
      <c r="F2680" t="s">
        <v>26</v>
      </c>
      <c r="G2680" t="s">
        <v>27</v>
      </c>
    </row>
    <row r="2681" spans="1:7" x14ac:dyDescent="0.2">
      <c r="A2681">
        <v>23</v>
      </c>
      <c r="B2681">
        <v>50</v>
      </c>
      <c r="C2681" t="s">
        <v>1665</v>
      </c>
      <c r="D2681" t="s">
        <v>24</v>
      </c>
      <c r="E2681" t="s">
        <v>25</v>
      </c>
      <c r="F2681" t="s">
        <v>26</v>
      </c>
      <c r="G2681" t="s">
        <v>27</v>
      </c>
    </row>
    <row r="2682" spans="1:7" x14ac:dyDescent="0.2">
      <c r="A2682">
        <v>23</v>
      </c>
      <c r="B2682">
        <v>50</v>
      </c>
      <c r="C2682" t="s">
        <v>1614</v>
      </c>
      <c r="D2682" t="s">
        <v>24</v>
      </c>
      <c r="E2682" t="s">
        <v>25</v>
      </c>
      <c r="F2682" t="s">
        <v>26</v>
      </c>
      <c r="G2682" t="s">
        <v>27</v>
      </c>
    </row>
    <row r="2683" spans="1:7" x14ac:dyDescent="0.2">
      <c r="A2683">
        <v>23</v>
      </c>
      <c r="B2683">
        <v>50</v>
      </c>
      <c r="C2683" t="s">
        <v>1666</v>
      </c>
      <c r="D2683" t="s">
        <v>24</v>
      </c>
      <c r="E2683" t="s">
        <v>25</v>
      </c>
      <c r="F2683" t="s">
        <v>26</v>
      </c>
      <c r="G2683" t="s">
        <v>27</v>
      </c>
    </row>
    <row r="2684" spans="1:7" x14ac:dyDescent="0.2">
      <c r="A2684">
        <v>23</v>
      </c>
      <c r="B2684">
        <v>50</v>
      </c>
      <c r="C2684" t="s">
        <v>1617</v>
      </c>
      <c r="D2684" t="s">
        <v>24</v>
      </c>
      <c r="E2684" t="s">
        <v>25</v>
      </c>
      <c r="F2684" t="s">
        <v>26</v>
      </c>
      <c r="G2684" t="s">
        <v>27</v>
      </c>
    </row>
    <row r="2685" spans="1:7" x14ac:dyDescent="0.2">
      <c r="A2685">
        <v>23</v>
      </c>
      <c r="B2685">
        <v>50</v>
      </c>
      <c r="C2685" t="s">
        <v>1580</v>
      </c>
      <c r="D2685" t="s">
        <v>24</v>
      </c>
      <c r="E2685" t="s">
        <v>25</v>
      </c>
      <c r="F2685" t="s">
        <v>26</v>
      </c>
      <c r="G2685" t="s">
        <v>27</v>
      </c>
    </row>
    <row r="2686" spans="1:7" x14ac:dyDescent="0.2">
      <c r="A2686">
        <v>7</v>
      </c>
      <c r="B2686">
        <v>51</v>
      </c>
      <c r="C2686" t="s">
        <v>1667</v>
      </c>
      <c r="D2686" t="s">
        <v>24</v>
      </c>
      <c r="E2686" t="s">
        <v>31</v>
      </c>
      <c r="F2686" t="s">
        <v>26</v>
      </c>
      <c r="G2686" t="s">
        <v>27</v>
      </c>
    </row>
    <row r="2687" spans="1:7" x14ac:dyDescent="0.2">
      <c r="A2687">
        <v>7</v>
      </c>
      <c r="B2687">
        <v>51</v>
      </c>
      <c r="C2687" t="s">
        <v>1668</v>
      </c>
      <c r="D2687" t="s">
        <v>24</v>
      </c>
      <c r="E2687" t="s">
        <v>31</v>
      </c>
      <c r="F2687" t="s">
        <v>26</v>
      </c>
      <c r="G2687" t="s">
        <v>27</v>
      </c>
    </row>
    <row r="2688" spans="1:7" x14ac:dyDescent="0.2">
      <c r="A2688">
        <v>7</v>
      </c>
      <c r="B2688">
        <v>51</v>
      </c>
      <c r="C2688" t="s">
        <v>1669</v>
      </c>
      <c r="D2688" t="s">
        <v>24</v>
      </c>
      <c r="E2688" t="s">
        <v>31</v>
      </c>
      <c r="F2688" t="s">
        <v>26</v>
      </c>
      <c r="G2688" t="s">
        <v>27</v>
      </c>
    </row>
    <row r="2689" spans="1:7" x14ac:dyDescent="0.2">
      <c r="A2689">
        <v>7</v>
      </c>
      <c r="B2689">
        <v>51</v>
      </c>
      <c r="C2689" t="s">
        <v>1670</v>
      </c>
      <c r="D2689" t="s">
        <v>24</v>
      </c>
      <c r="E2689" t="s">
        <v>31</v>
      </c>
      <c r="F2689" t="s">
        <v>26</v>
      </c>
      <c r="G2689" t="s">
        <v>27</v>
      </c>
    </row>
    <row r="2690" spans="1:7" x14ac:dyDescent="0.2">
      <c r="A2690">
        <v>7</v>
      </c>
      <c r="B2690">
        <v>51</v>
      </c>
      <c r="C2690" t="s">
        <v>1671</v>
      </c>
      <c r="D2690" t="s">
        <v>24</v>
      </c>
      <c r="E2690" t="s">
        <v>31</v>
      </c>
      <c r="F2690" t="s">
        <v>26</v>
      </c>
      <c r="G2690" t="s">
        <v>27</v>
      </c>
    </row>
    <row r="2691" spans="1:7" x14ac:dyDescent="0.2">
      <c r="A2691">
        <v>7</v>
      </c>
      <c r="B2691">
        <v>51</v>
      </c>
      <c r="C2691" t="s">
        <v>1672</v>
      </c>
      <c r="D2691" t="s">
        <v>24</v>
      </c>
      <c r="E2691" t="s">
        <v>31</v>
      </c>
      <c r="F2691" t="s">
        <v>26</v>
      </c>
      <c r="G2691" t="s">
        <v>27</v>
      </c>
    </row>
    <row r="2692" spans="1:7" x14ac:dyDescent="0.2">
      <c r="A2692">
        <v>7</v>
      </c>
      <c r="B2692">
        <v>51</v>
      </c>
      <c r="C2692" t="s">
        <v>1673</v>
      </c>
      <c r="D2692" t="s">
        <v>24</v>
      </c>
      <c r="E2692" t="s">
        <v>31</v>
      </c>
      <c r="F2692" t="s">
        <v>26</v>
      </c>
      <c r="G2692" t="s">
        <v>27</v>
      </c>
    </row>
    <row r="2693" spans="1:7" x14ac:dyDescent="0.2">
      <c r="A2693">
        <v>7</v>
      </c>
      <c r="B2693">
        <v>51</v>
      </c>
      <c r="C2693" t="s">
        <v>1674</v>
      </c>
      <c r="D2693" t="s">
        <v>24</v>
      </c>
      <c r="E2693" t="s">
        <v>31</v>
      </c>
      <c r="F2693" t="s">
        <v>26</v>
      </c>
      <c r="G2693" t="s">
        <v>27</v>
      </c>
    </row>
    <row r="2694" spans="1:7" x14ac:dyDescent="0.2">
      <c r="A2694">
        <v>7</v>
      </c>
      <c r="B2694">
        <v>51</v>
      </c>
      <c r="C2694" t="s">
        <v>1675</v>
      </c>
      <c r="D2694" t="s">
        <v>24</v>
      </c>
      <c r="E2694" t="s">
        <v>31</v>
      </c>
      <c r="F2694" t="s">
        <v>47</v>
      </c>
      <c r="G2694" t="s">
        <v>27</v>
      </c>
    </row>
    <row r="2695" spans="1:7" x14ac:dyDescent="0.2">
      <c r="A2695">
        <v>7</v>
      </c>
      <c r="B2695">
        <v>51</v>
      </c>
      <c r="C2695" t="s">
        <v>1676</v>
      </c>
      <c r="D2695" t="s">
        <v>24</v>
      </c>
      <c r="E2695" t="s">
        <v>31</v>
      </c>
      <c r="F2695" t="s">
        <v>47</v>
      </c>
      <c r="G2695" t="s">
        <v>27</v>
      </c>
    </row>
    <row r="2696" spans="1:7" x14ac:dyDescent="0.2">
      <c r="A2696">
        <v>7</v>
      </c>
      <c r="B2696">
        <v>51</v>
      </c>
      <c r="C2696" t="s">
        <v>1677</v>
      </c>
      <c r="D2696" t="s">
        <v>24</v>
      </c>
      <c r="E2696" t="s">
        <v>31</v>
      </c>
      <c r="F2696" t="s">
        <v>26</v>
      </c>
      <c r="G2696" t="s">
        <v>27</v>
      </c>
    </row>
    <row r="2697" spans="1:7" x14ac:dyDescent="0.2">
      <c r="A2697">
        <v>7</v>
      </c>
      <c r="B2697">
        <v>51</v>
      </c>
      <c r="C2697" t="s">
        <v>1678</v>
      </c>
      <c r="D2697" t="s">
        <v>24</v>
      </c>
      <c r="E2697" t="s">
        <v>31</v>
      </c>
      <c r="F2697" t="s">
        <v>26</v>
      </c>
      <c r="G2697" t="s">
        <v>27</v>
      </c>
    </row>
    <row r="2698" spans="1:7" x14ac:dyDescent="0.2">
      <c r="A2698">
        <v>7</v>
      </c>
      <c r="B2698">
        <v>51</v>
      </c>
      <c r="C2698" t="s">
        <v>1679</v>
      </c>
      <c r="D2698" t="s">
        <v>24</v>
      </c>
      <c r="E2698" t="s">
        <v>31</v>
      </c>
      <c r="F2698" t="s">
        <v>26</v>
      </c>
      <c r="G2698" t="s">
        <v>27</v>
      </c>
    </row>
    <row r="2699" spans="1:7" x14ac:dyDescent="0.2">
      <c r="A2699">
        <v>8</v>
      </c>
      <c r="B2699">
        <v>51</v>
      </c>
      <c r="C2699" t="s">
        <v>1668</v>
      </c>
      <c r="D2699" t="s">
        <v>24</v>
      </c>
      <c r="E2699" t="s">
        <v>31</v>
      </c>
      <c r="F2699" t="s">
        <v>26</v>
      </c>
      <c r="G2699" t="s">
        <v>27</v>
      </c>
    </row>
    <row r="2700" spans="1:7" x14ac:dyDescent="0.2">
      <c r="A2700">
        <v>8</v>
      </c>
      <c r="B2700">
        <v>51</v>
      </c>
      <c r="C2700" t="s">
        <v>1669</v>
      </c>
      <c r="D2700" t="s">
        <v>24</v>
      </c>
      <c r="E2700" t="s">
        <v>31</v>
      </c>
      <c r="F2700" t="s">
        <v>26</v>
      </c>
      <c r="G2700" t="s">
        <v>27</v>
      </c>
    </row>
    <row r="2701" spans="1:7" x14ac:dyDescent="0.2">
      <c r="A2701">
        <v>8</v>
      </c>
      <c r="B2701">
        <v>51</v>
      </c>
      <c r="C2701" t="s">
        <v>1674</v>
      </c>
      <c r="D2701" t="s">
        <v>24</v>
      </c>
      <c r="E2701" t="s">
        <v>31</v>
      </c>
      <c r="F2701" t="s">
        <v>26</v>
      </c>
      <c r="G2701" t="s">
        <v>27</v>
      </c>
    </row>
    <row r="2702" spans="1:7" x14ac:dyDescent="0.2">
      <c r="A2702">
        <v>8</v>
      </c>
      <c r="B2702">
        <v>51</v>
      </c>
      <c r="C2702" t="s">
        <v>1675</v>
      </c>
      <c r="D2702" t="s">
        <v>24</v>
      </c>
      <c r="E2702" t="s">
        <v>31</v>
      </c>
      <c r="F2702" t="s">
        <v>47</v>
      </c>
      <c r="G2702" t="s">
        <v>27</v>
      </c>
    </row>
    <row r="2703" spans="1:7" x14ac:dyDescent="0.2">
      <c r="A2703">
        <v>8</v>
      </c>
      <c r="B2703">
        <v>51</v>
      </c>
      <c r="C2703" t="s">
        <v>1679</v>
      </c>
      <c r="D2703" t="s">
        <v>24</v>
      </c>
      <c r="E2703" t="s">
        <v>31</v>
      </c>
      <c r="F2703" t="s">
        <v>26</v>
      </c>
      <c r="G2703" t="s">
        <v>27</v>
      </c>
    </row>
    <row r="2704" spans="1:7" x14ac:dyDescent="0.2">
      <c r="A2704">
        <v>9</v>
      </c>
      <c r="B2704">
        <v>51</v>
      </c>
      <c r="C2704" t="s">
        <v>1680</v>
      </c>
      <c r="D2704" t="s">
        <v>24</v>
      </c>
      <c r="E2704" t="s">
        <v>25</v>
      </c>
      <c r="F2704" t="s">
        <v>26</v>
      </c>
      <c r="G2704" t="s">
        <v>27</v>
      </c>
    </row>
    <row r="2705" spans="1:7" x14ac:dyDescent="0.2">
      <c r="A2705">
        <v>9</v>
      </c>
      <c r="B2705">
        <v>51</v>
      </c>
      <c r="C2705" t="s">
        <v>316</v>
      </c>
      <c r="D2705" t="s">
        <v>24</v>
      </c>
      <c r="E2705" t="s">
        <v>25</v>
      </c>
      <c r="F2705" t="s">
        <v>26</v>
      </c>
      <c r="G2705" t="s">
        <v>27</v>
      </c>
    </row>
    <row r="2706" spans="1:7" x14ac:dyDescent="0.2">
      <c r="A2706">
        <v>9</v>
      </c>
      <c r="B2706">
        <v>51</v>
      </c>
      <c r="C2706" t="s">
        <v>314</v>
      </c>
      <c r="D2706" t="s">
        <v>24</v>
      </c>
      <c r="E2706" t="s">
        <v>25</v>
      </c>
      <c r="F2706" t="s">
        <v>26</v>
      </c>
      <c r="G2706" t="s">
        <v>27</v>
      </c>
    </row>
    <row r="2707" spans="1:7" x14ac:dyDescent="0.2">
      <c r="A2707">
        <v>9</v>
      </c>
      <c r="B2707">
        <v>51</v>
      </c>
      <c r="C2707" t="s">
        <v>1681</v>
      </c>
      <c r="D2707" t="s">
        <v>24</v>
      </c>
      <c r="E2707" t="s">
        <v>25</v>
      </c>
      <c r="F2707" t="s">
        <v>26</v>
      </c>
      <c r="G2707" t="s">
        <v>27</v>
      </c>
    </row>
    <row r="2708" spans="1:7" x14ac:dyDescent="0.2">
      <c r="A2708">
        <v>9</v>
      </c>
      <c r="B2708">
        <v>51</v>
      </c>
      <c r="C2708" t="s">
        <v>1682</v>
      </c>
      <c r="D2708" t="s">
        <v>24</v>
      </c>
      <c r="E2708" t="s">
        <v>25</v>
      </c>
      <c r="F2708" t="s">
        <v>26</v>
      </c>
      <c r="G2708" t="s">
        <v>27</v>
      </c>
    </row>
    <row r="2709" spans="1:7" x14ac:dyDescent="0.2">
      <c r="A2709">
        <v>9</v>
      </c>
      <c r="B2709">
        <v>51</v>
      </c>
      <c r="C2709" t="s">
        <v>1683</v>
      </c>
      <c r="D2709" t="s">
        <v>24</v>
      </c>
      <c r="E2709" t="s">
        <v>31</v>
      </c>
      <c r="F2709" t="s">
        <v>26</v>
      </c>
      <c r="G2709" t="s">
        <v>27</v>
      </c>
    </row>
    <row r="2710" spans="1:7" x14ac:dyDescent="0.2">
      <c r="A2710">
        <v>9</v>
      </c>
      <c r="B2710">
        <v>51</v>
      </c>
      <c r="C2710" t="s">
        <v>1684</v>
      </c>
      <c r="D2710" t="s">
        <v>24</v>
      </c>
      <c r="E2710" t="s">
        <v>25</v>
      </c>
      <c r="F2710" t="s">
        <v>26</v>
      </c>
      <c r="G2710" t="s">
        <v>27</v>
      </c>
    </row>
    <row r="2711" spans="1:7" x14ac:dyDescent="0.2">
      <c r="A2711">
        <v>9</v>
      </c>
      <c r="B2711">
        <v>51</v>
      </c>
      <c r="C2711" t="s">
        <v>1685</v>
      </c>
      <c r="D2711" t="s">
        <v>24</v>
      </c>
      <c r="E2711" t="s">
        <v>25</v>
      </c>
      <c r="F2711" t="s">
        <v>26</v>
      </c>
      <c r="G2711" t="s">
        <v>27</v>
      </c>
    </row>
    <row r="2712" spans="1:7" x14ac:dyDescent="0.2">
      <c r="A2712">
        <v>10</v>
      </c>
      <c r="B2712">
        <v>51</v>
      </c>
      <c r="C2712" t="s">
        <v>1686</v>
      </c>
      <c r="D2712" t="s">
        <v>24</v>
      </c>
      <c r="E2712" t="s">
        <v>31</v>
      </c>
      <c r="F2712" t="s">
        <v>26</v>
      </c>
      <c r="G2712" t="s">
        <v>27</v>
      </c>
    </row>
    <row r="2713" spans="1:7" x14ac:dyDescent="0.2">
      <c r="A2713">
        <v>10</v>
      </c>
      <c r="B2713">
        <v>51</v>
      </c>
      <c r="C2713" t="s">
        <v>1687</v>
      </c>
      <c r="D2713" t="s">
        <v>24</v>
      </c>
      <c r="E2713" t="s">
        <v>31</v>
      </c>
      <c r="F2713" t="s">
        <v>26</v>
      </c>
      <c r="G2713" t="s">
        <v>27</v>
      </c>
    </row>
    <row r="2714" spans="1:7" x14ac:dyDescent="0.2">
      <c r="A2714">
        <v>10</v>
      </c>
      <c r="B2714">
        <v>51</v>
      </c>
      <c r="C2714" t="s">
        <v>1669</v>
      </c>
      <c r="D2714" t="s">
        <v>24</v>
      </c>
      <c r="E2714" t="s">
        <v>31</v>
      </c>
      <c r="F2714" t="s">
        <v>26</v>
      </c>
      <c r="G2714" t="s">
        <v>27</v>
      </c>
    </row>
    <row r="2715" spans="1:7" x14ac:dyDescent="0.2">
      <c r="A2715">
        <v>10</v>
      </c>
      <c r="B2715">
        <v>51</v>
      </c>
      <c r="C2715" t="s">
        <v>1670</v>
      </c>
      <c r="D2715" t="s">
        <v>24</v>
      </c>
      <c r="E2715" t="s">
        <v>31</v>
      </c>
      <c r="F2715" t="s">
        <v>26</v>
      </c>
      <c r="G2715" t="s">
        <v>27</v>
      </c>
    </row>
    <row r="2716" spans="1:7" x14ac:dyDescent="0.2">
      <c r="A2716">
        <v>10</v>
      </c>
      <c r="B2716">
        <v>51</v>
      </c>
      <c r="C2716" t="s">
        <v>1688</v>
      </c>
      <c r="D2716" t="s">
        <v>24</v>
      </c>
      <c r="E2716" t="s">
        <v>31</v>
      </c>
      <c r="F2716" t="s">
        <v>26</v>
      </c>
      <c r="G2716" t="s">
        <v>27</v>
      </c>
    </row>
    <row r="2717" spans="1:7" x14ac:dyDescent="0.2">
      <c r="A2717">
        <v>10</v>
      </c>
      <c r="B2717">
        <v>51</v>
      </c>
      <c r="C2717" t="s">
        <v>1671</v>
      </c>
      <c r="D2717" t="s">
        <v>24</v>
      </c>
      <c r="E2717" t="s">
        <v>31</v>
      </c>
      <c r="F2717" t="s">
        <v>26</v>
      </c>
      <c r="G2717" t="s">
        <v>27</v>
      </c>
    </row>
    <row r="2718" spans="1:7" x14ac:dyDescent="0.2">
      <c r="A2718">
        <v>10</v>
      </c>
      <c r="B2718">
        <v>51</v>
      </c>
      <c r="C2718" t="s">
        <v>1689</v>
      </c>
      <c r="D2718" t="s">
        <v>24</v>
      </c>
      <c r="E2718" t="s">
        <v>31</v>
      </c>
      <c r="F2718" t="s">
        <v>26</v>
      </c>
      <c r="G2718" t="s">
        <v>27</v>
      </c>
    </row>
    <row r="2719" spans="1:7" x14ac:dyDescent="0.2">
      <c r="A2719">
        <v>10</v>
      </c>
      <c r="B2719">
        <v>51</v>
      </c>
      <c r="C2719" t="s">
        <v>1674</v>
      </c>
      <c r="D2719" t="s">
        <v>24</v>
      </c>
      <c r="E2719" t="s">
        <v>31</v>
      </c>
      <c r="F2719" t="s">
        <v>26</v>
      </c>
      <c r="G2719" t="s">
        <v>27</v>
      </c>
    </row>
    <row r="2720" spans="1:7" x14ac:dyDescent="0.2">
      <c r="A2720">
        <v>10</v>
      </c>
      <c r="B2720">
        <v>51</v>
      </c>
      <c r="C2720" t="s">
        <v>1690</v>
      </c>
      <c r="D2720" t="s">
        <v>24</v>
      </c>
      <c r="E2720" t="s">
        <v>31</v>
      </c>
      <c r="F2720" t="s">
        <v>47</v>
      </c>
      <c r="G2720" t="s">
        <v>27</v>
      </c>
    </row>
    <row r="2721" spans="1:7" x14ac:dyDescent="0.2">
      <c r="A2721">
        <v>10</v>
      </c>
      <c r="B2721">
        <v>51</v>
      </c>
      <c r="C2721" t="s">
        <v>1691</v>
      </c>
      <c r="D2721" t="s">
        <v>24</v>
      </c>
      <c r="E2721" t="s">
        <v>31</v>
      </c>
      <c r="F2721" t="s">
        <v>47</v>
      </c>
      <c r="G2721" t="s">
        <v>27</v>
      </c>
    </row>
    <row r="2722" spans="1:7" x14ac:dyDescent="0.2">
      <c r="A2722">
        <v>10</v>
      </c>
      <c r="B2722">
        <v>51</v>
      </c>
      <c r="C2722" t="s">
        <v>1676</v>
      </c>
      <c r="D2722" t="s">
        <v>24</v>
      </c>
      <c r="E2722" t="s">
        <v>31</v>
      </c>
      <c r="F2722" t="s">
        <v>26</v>
      </c>
      <c r="G2722" t="s">
        <v>27</v>
      </c>
    </row>
    <row r="2723" spans="1:7" x14ac:dyDescent="0.2">
      <c r="A2723">
        <v>10</v>
      </c>
      <c r="B2723">
        <v>51</v>
      </c>
      <c r="C2723" t="s">
        <v>1692</v>
      </c>
      <c r="D2723" t="s">
        <v>24</v>
      </c>
      <c r="E2723" t="s">
        <v>31</v>
      </c>
      <c r="F2723" t="s">
        <v>26</v>
      </c>
      <c r="G2723" t="s">
        <v>27</v>
      </c>
    </row>
    <row r="2724" spans="1:7" x14ac:dyDescent="0.2">
      <c r="A2724">
        <v>10</v>
      </c>
      <c r="B2724">
        <v>51</v>
      </c>
      <c r="C2724" t="s">
        <v>1678</v>
      </c>
      <c r="D2724" t="s">
        <v>24</v>
      </c>
      <c r="E2724" t="s">
        <v>31</v>
      </c>
      <c r="F2724" t="s">
        <v>26</v>
      </c>
      <c r="G2724" t="s">
        <v>27</v>
      </c>
    </row>
    <row r="2725" spans="1:7" x14ac:dyDescent="0.2">
      <c r="A2725">
        <v>10</v>
      </c>
      <c r="B2725">
        <v>51</v>
      </c>
      <c r="C2725" t="s">
        <v>1693</v>
      </c>
      <c r="D2725" t="s">
        <v>24</v>
      </c>
      <c r="E2725" t="s">
        <v>31</v>
      </c>
      <c r="F2725" t="s">
        <v>26</v>
      </c>
      <c r="G2725" t="s">
        <v>27</v>
      </c>
    </row>
    <row r="2726" spans="1:7" x14ac:dyDescent="0.2">
      <c r="A2726">
        <v>11</v>
      </c>
      <c r="B2726">
        <v>51</v>
      </c>
      <c r="C2726" t="s">
        <v>1694</v>
      </c>
      <c r="D2726" t="s">
        <v>24</v>
      </c>
      <c r="E2726" t="s">
        <v>31</v>
      </c>
      <c r="F2726" t="s">
        <v>26</v>
      </c>
      <c r="G2726" t="s">
        <v>27</v>
      </c>
    </row>
    <row r="2727" spans="1:7" x14ac:dyDescent="0.2">
      <c r="A2727">
        <v>11</v>
      </c>
      <c r="B2727">
        <v>51</v>
      </c>
      <c r="C2727" t="s">
        <v>1328</v>
      </c>
      <c r="D2727" t="s">
        <v>24</v>
      </c>
      <c r="E2727" t="s">
        <v>31</v>
      </c>
      <c r="F2727" t="s">
        <v>26</v>
      </c>
      <c r="G2727" t="s">
        <v>27</v>
      </c>
    </row>
    <row r="2728" spans="1:7" x14ac:dyDescent="0.2">
      <c r="A2728">
        <v>11</v>
      </c>
      <c r="B2728">
        <v>51</v>
      </c>
      <c r="C2728" t="s">
        <v>1669</v>
      </c>
      <c r="D2728" t="s">
        <v>24</v>
      </c>
      <c r="E2728" t="s">
        <v>31</v>
      </c>
      <c r="F2728" t="s">
        <v>26</v>
      </c>
      <c r="G2728" t="s">
        <v>27</v>
      </c>
    </row>
    <row r="2729" spans="1:7" x14ac:dyDescent="0.2">
      <c r="A2729">
        <v>11</v>
      </c>
      <c r="B2729">
        <v>51</v>
      </c>
      <c r="C2729" t="s">
        <v>1695</v>
      </c>
      <c r="D2729" t="s">
        <v>24</v>
      </c>
      <c r="E2729" t="s">
        <v>31</v>
      </c>
      <c r="F2729" t="s">
        <v>26</v>
      </c>
      <c r="G2729" t="s">
        <v>27</v>
      </c>
    </row>
    <row r="2730" spans="1:7" x14ac:dyDescent="0.2">
      <c r="A2730">
        <v>11</v>
      </c>
      <c r="B2730">
        <v>51</v>
      </c>
      <c r="C2730" t="s">
        <v>1671</v>
      </c>
      <c r="D2730" t="s">
        <v>24</v>
      </c>
      <c r="E2730" t="s">
        <v>31</v>
      </c>
      <c r="F2730" t="s">
        <v>26</v>
      </c>
      <c r="G2730" t="s">
        <v>27</v>
      </c>
    </row>
    <row r="2731" spans="1:7" x14ac:dyDescent="0.2">
      <c r="A2731">
        <v>11</v>
      </c>
      <c r="B2731">
        <v>51</v>
      </c>
      <c r="C2731" t="s">
        <v>1689</v>
      </c>
      <c r="D2731" t="s">
        <v>24</v>
      </c>
      <c r="E2731" t="s">
        <v>31</v>
      </c>
      <c r="F2731" t="s">
        <v>26</v>
      </c>
      <c r="G2731" t="s">
        <v>27</v>
      </c>
    </row>
    <row r="2732" spans="1:7" x14ac:dyDescent="0.2">
      <c r="A2732">
        <v>11</v>
      </c>
      <c r="B2732">
        <v>51</v>
      </c>
      <c r="C2732" t="s">
        <v>1696</v>
      </c>
      <c r="D2732" t="s">
        <v>24</v>
      </c>
      <c r="E2732" t="s">
        <v>31</v>
      </c>
      <c r="F2732" t="s">
        <v>26</v>
      </c>
      <c r="G2732" t="s">
        <v>27</v>
      </c>
    </row>
    <row r="2733" spans="1:7" x14ac:dyDescent="0.2">
      <c r="A2733">
        <v>11</v>
      </c>
      <c r="B2733">
        <v>51</v>
      </c>
      <c r="C2733" t="s">
        <v>1697</v>
      </c>
      <c r="D2733" t="s">
        <v>24</v>
      </c>
      <c r="E2733" t="s">
        <v>31</v>
      </c>
      <c r="F2733" t="s">
        <v>26</v>
      </c>
      <c r="G2733" t="s">
        <v>27</v>
      </c>
    </row>
    <row r="2734" spans="1:7" x14ac:dyDescent="0.2">
      <c r="A2734">
        <v>11</v>
      </c>
      <c r="B2734">
        <v>51</v>
      </c>
      <c r="C2734" t="s">
        <v>1674</v>
      </c>
      <c r="D2734" t="s">
        <v>24</v>
      </c>
      <c r="E2734" t="s">
        <v>31</v>
      </c>
      <c r="F2734" t="s">
        <v>26</v>
      </c>
      <c r="G2734" t="s">
        <v>27</v>
      </c>
    </row>
    <row r="2735" spans="1:7" x14ac:dyDescent="0.2">
      <c r="A2735">
        <v>11</v>
      </c>
      <c r="B2735">
        <v>51</v>
      </c>
      <c r="C2735" t="s">
        <v>1691</v>
      </c>
      <c r="D2735" t="s">
        <v>24</v>
      </c>
      <c r="E2735" t="s">
        <v>25</v>
      </c>
      <c r="F2735" t="s">
        <v>26</v>
      </c>
      <c r="G2735" t="s">
        <v>27</v>
      </c>
    </row>
    <row r="2736" spans="1:7" x14ac:dyDescent="0.2">
      <c r="A2736">
        <v>11</v>
      </c>
      <c r="B2736">
        <v>51</v>
      </c>
      <c r="C2736" t="s">
        <v>1676</v>
      </c>
      <c r="D2736" t="s">
        <v>24</v>
      </c>
      <c r="E2736" t="s">
        <v>25</v>
      </c>
      <c r="F2736" t="s">
        <v>47</v>
      </c>
      <c r="G2736" t="s">
        <v>27</v>
      </c>
    </row>
    <row r="2737" spans="1:7" x14ac:dyDescent="0.2">
      <c r="A2737">
        <v>11</v>
      </c>
      <c r="B2737">
        <v>51</v>
      </c>
      <c r="C2737" t="s">
        <v>1698</v>
      </c>
      <c r="D2737" t="s">
        <v>24</v>
      </c>
      <c r="E2737" t="s">
        <v>25</v>
      </c>
      <c r="F2737" t="s">
        <v>47</v>
      </c>
      <c r="G2737" t="s">
        <v>27</v>
      </c>
    </row>
    <row r="2738" spans="1:7" x14ac:dyDescent="0.2">
      <c r="A2738">
        <v>11</v>
      </c>
      <c r="B2738">
        <v>51</v>
      </c>
      <c r="C2738" t="s">
        <v>1699</v>
      </c>
      <c r="D2738" t="s">
        <v>24</v>
      </c>
      <c r="E2738" t="s">
        <v>31</v>
      </c>
      <c r="F2738" t="s">
        <v>26</v>
      </c>
      <c r="G2738" t="s">
        <v>27</v>
      </c>
    </row>
    <row r="2739" spans="1:7" x14ac:dyDescent="0.2">
      <c r="A2739">
        <v>11</v>
      </c>
      <c r="B2739">
        <v>51</v>
      </c>
      <c r="C2739" t="s">
        <v>1700</v>
      </c>
      <c r="D2739" t="s">
        <v>24</v>
      </c>
      <c r="E2739" t="s">
        <v>31</v>
      </c>
      <c r="F2739" t="s">
        <v>26</v>
      </c>
      <c r="G2739" t="s">
        <v>27</v>
      </c>
    </row>
    <row r="2740" spans="1:7" x14ac:dyDescent="0.2">
      <c r="A2740">
        <v>11</v>
      </c>
      <c r="B2740">
        <v>51</v>
      </c>
      <c r="C2740" t="s">
        <v>1692</v>
      </c>
      <c r="D2740" t="s">
        <v>24</v>
      </c>
      <c r="E2740" t="s">
        <v>31</v>
      </c>
      <c r="F2740" t="s">
        <v>26</v>
      </c>
      <c r="G2740" t="s">
        <v>27</v>
      </c>
    </row>
    <row r="2741" spans="1:7" x14ac:dyDescent="0.2">
      <c r="A2741">
        <v>11</v>
      </c>
      <c r="B2741">
        <v>51</v>
      </c>
      <c r="C2741" t="s">
        <v>1701</v>
      </c>
      <c r="D2741" t="s">
        <v>24</v>
      </c>
      <c r="E2741" t="s">
        <v>31</v>
      </c>
      <c r="F2741" t="s">
        <v>26</v>
      </c>
      <c r="G2741" t="s">
        <v>27</v>
      </c>
    </row>
    <row r="2742" spans="1:7" x14ac:dyDescent="0.2">
      <c r="A2742">
        <v>11</v>
      </c>
      <c r="B2742">
        <v>51</v>
      </c>
      <c r="C2742" t="s">
        <v>1702</v>
      </c>
      <c r="D2742" t="s">
        <v>24</v>
      </c>
      <c r="E2742" t="s">
        <v>31</v>
      </c>
      <c r="F2742" t="s">
        <v>26</v>
      </c>
      <c r="G2742" t="s">
        <v>27</v>
      </c>
    </row>
    <row r="2743" spans="1:7" x14ac:dyDescent="0.2">
      <c r="A2743">
        <v>11</v>
      </c>
      <c r="B2743">
        <v>51</v>
      </c>
      <c r="C2743" t="s">
        <v>1703</v>
      </c>
      <c r="D2743" t="s">
        <v>24</v>
      </c>
      <c r="E2743" t="s">
        <v>31</v>
      </c>
      <c r="F2743" t="s">
        <v>26</v>
      </c>
      <c r="G2743" t="s">
        <v>27</v>
      </c>
    </row>
    <row r="2744" spans="1:7" x14ac:dyDescent="0.2">
      <c r="A2744">
        <v>11</v>
      </c>
      <c r="B2744">
        <v>51</v>
      </c>
      <c r="C2744" t="s">
        <v>1704</v>
      </c>
      <c r="D2744" t="s">
        <v>24</v>
      </c>
      <c r="E2744" t="s">
        <v>31</v>
      </c>
      <c r="F2744" t="s">
        <v>26</v>
      </c>
      <c r="G2744" t="s">
        <v>27</v>
      </c>
    </row>
    <row r="2745" spans="1:7" x14ac:dyDescent="0.2">
      <c r="A2745">
        <v>11</v>
      </c>
      <c r="B2745">
        <v>51</v>
      </c>
      <c r="C2745" t="s">
        <v>1705</v>
      </c>
      <c r="D2745" t="s">
        <v>24</v>
      </c>
      <c r="E2745" t="s">
        <v>31</v>
      </c>
      <c r="F2745" t="s">
        <v>26</v>
      </c>
      <c r="G2745" t="s">
        <v>27</v>
      </c>
    </row>
    <row r="2746" spans="1:7" x14ac:dyDescent="0.2">
      <c r="A2746">
        <v>11</v>
      </c>
      <c r="B2746">
        <v>51</v>
      </c>
      <c r="C2746" t="s">
        <v>1706</v>
      </c>
      <c r="D2746" t="s">
        <v>24</v>
      </c>
      <c r="E2746" t="s">
        <v>31</v>
      </c>
      <c r="F2746" t="s">
        <v>26</v>
      </c>
      <c r="G2746" t="s">
        <v>27</v>
      </c>
    </row>
    <row r="2747" spans="1:7" x14ac:dyDescent="0.2">
      <c r="A2747">
        <v>12</v>
      </c>
      <c r="B2747">
        <v>51</v>
      </c>
      <c r="C2747" t="s">
        <v>1584</v>
      </c>
      <c r="D2747" t="s">
        <v>24</v>
      </c>
      <c r="E2747" t="s">
        <v>25</v>
      </c>
      <c r="F2747" t="s">
        <v>26</v>
      </c>
      <c r="G2747" t="s">
        <v>27</v>
      </c>
    </row>
    <row r="2748" spans="1:7" x14ac:dyDescent="0.2">
      <c r="A2748">
        <v>12</v>
      </c>
      <c r="B2748">
        <v>51</v>
      </c>
      <c r="C2748" t="s">
        <v>1669</v>
      </c>
      <c r="D2748" t="s">
        <v>24</v>
      </c>
      <c r="E2748" t="s">
        <v>25</v>
      </c>
      <c r="F2748" t="s">
        <v>26</v>
      </c>
      <c r="G2748" t="s">
        <v>27</v>
      </c>
    </row>
    <row r="2749" spans="1:7" x14ac:dyDescent="0.2">
      <c r="A2749">
        <v>12</v>
      </c>
      <c r="B2749">
        <v>51</v>
      </c>
      <c r="C2749" t="s">
        <v>1707</v>
      </c>
      <c r="D2749" t="s">
        <v>24</v>
      </c>
      <c r="E2749" t="s">
        <v>25</v>
      </c>
      <c r="F2749" t="s">
        <v>26</v>
      </c>
      <c r="G2749" t="s">
        <v>27</v>
      </c>
    </row>
    <row r="2750" spans="1:7" x14ac:dyDescent="0.2">
      <c r="A2750">
        <v>12</v>
      </c>
      <c r="B2750">
        <v>51</v>
      </c>
      <c r="C2750" t="s">
        <v>1695</v>
      </c>
      <c r="D2750" t="s">
        <v>24</v>
      </c>
      <c r="E2750" t="s">
        <v>25</v>
      </c>
      <c r="F2750" t="s">
        <v>26</v>
      </c>
      <c r="G2750" t="s">
        <v>27</v>
      </c>
    </row>
    <row r="2751" spans="1:7" x14ac:dyDescent="0.2">
      <c r="A2751">
        <v>12</v>
      </c>
      <c r="B2751">
        <v>51</v>
      </c>
      <c r="C2751" t="s">
        <v>1671</v>
      </c>
      <c r="D2751" t="s">
        <v>24</v>
      </c>
      <c r="E2751" t="s">
        <v>25</v>
      </c>
      <c r="F2751" t="s">
        <v>26</v>
      </c>
      <c r="G2751" t="s">
        <v>27</v>
      </c>
    </row>
    <row r="2752" spans="1:7" x14ac:dyDescent="0.2">
      <c r="A2752">
        <v>12</v>
      </c>
      <c r="B2752">
        <v>51</v>
      </c>
      <c r="C2752" t="s">
        <v>1689</v>
      </c>
      <c r="D2752" t="s">
        <v>24</v>
      </c>
      <c r="E2752" t="s">
        <v>25</v>
      </c>
      <c r="F2752" t="s">
        <v>26</v>
      </c>
      <c r="G2752" t="s">
        <v>27</v>
      </c>
    </row>
    <row r="2753" spans="1:7" x14ac:dyDescent="0.2">
      <c r="A2753">
        <v>12</v>
      </c>
      <c r="B2753">
        <v>51</v>
      </c>
      <c r="C2753" t="s">
        <v>1708</v>
      </c>
      <c r="D2753" t="s">
        <v>24</v>
      </c>
      <c r="E2753" t="s">
        <v>25</v>
      </c>
      <c r="F2753" t="s">
        <v>26</v>
      </c>
      <c r="G2753" t="s">
        <v>27</v>
      </c>
    </row>
    <row r="2754" spans="1:7" x14ac:dyDescent="0.2">
      <c r="A2754">
        <v>12</v>
      </c>
      <c r="B2754">
        <v>51</v>
      </c>
      <c r="C2754" t="s">
        <v>1697</v>
      </c>
      <c r="D2754" t="s">
        <v>24</v>
      </c>
      <c r="E2754" t="s">
        <v>25</v>
      </c>
      <c r="F2754" t="s">
        <v>26</v>
      </c>
      <c r="G2754" t="s">
        <v>27</v>
      </c>
    </row>
    <row r="2755" spans="1:7" x14ac:dyDescent="0.2">
      <c r="A2755">
        <v>12</v>
      </c>
      <c r="B2755">
        <v>51</v>
      </c>
      <c r="C2755" t="s">
        <v>1709</v>
      </c>
      <c r="D2755" t="s">
        <v>24</v>
      </c>
      <c r="E2755" t="s">
        <v>25</v>
      </c>
      <c r="F2755" t="s">
        <v>47</v>
      </c>
      <c r="G2755" t="s">
        <v>27</v>
      </c>
    </row>
    <row r="2756" spans="1:7" x14ac:dyDescent="0.2">
      <c r="A2756">
        <v>12</v>
      </c>
      <c r="B2756">
        <v>51</v>
      </c>
      <c r="C2756" t="s">
        <v>1710</v>
      </c>
      <c r="D2756" t="s">
        <v>24</v>
      </c>
      <c r="E2756" t="s">
        <v>25</v>
      </c>
      <c r="F2756" t="s">
        <v>47</v>
      </c>
      <c r="G2756" t="s">
        <v>27</v>
      </c>
    </row>
    <row r="2757" spans="1:7" x14ac:dyDescent="0.2">
      <c r="A2757">
        <v>12</v>
      </c>
      <c r="B2757">
        <v>51</v>
      </c>
      <c r="C2757" t="s">
        <v>1676</v>
      </c>
      <c r="D2757" t="s">
        <v>24</v>
      </c>
      <c r="E2757" t="s">
        <v>25</v>
      </c>
      <c r="F2757" t="s">
        <v>26</v>
      </c>
      <c r="G2757" t="s">
        <v>27</v>
      </c>
    </row>
    <row r="2758" spans="1:7" x14ac:dyDescent="0.2">
      <c r="A2758">
        <v>12</v>
      </c>
      <c r="B2758">
        <v>51</v>
      </c>
      <c r="C2758" t="s">
        <v>1698</v>
      </c>
      <c r="D2758" t="s">
        <v>24</v>
      </c>
      <c r="E2758" t="s">
        <v>25</v>
      </c>
      <c r="F2758" t="s">
        <v>26</v>
      </c>
      <c r="G2758" t="s">
        <v>27</v>
      </c>
    </row>
    <row r="2759" spans="1:7" x14ac:dyDescent="0.2">
      <c r="A2759">
        <v>12</v>
      </c>
      <c r="B2759">
        <v>51</v>
      </c>
      <c r="C2759" t="s">
        <v>1699</v>
      </c>
      <c r="D2759" t="s">
        <v>24</v>
      </c>
      <c r="E2759" t="s">
        <v>25</v>
      </c>
      <c r="F2759" t="s">
        <v>26</v>
      </c>
      <c r="G2759" t="s">
        <v>27</v>
      </c>
    </row>
    <row r="2760" spans="1:7" x14ac:dyDescent="0.2">
      <c r="A2760">
        <v>12</v>
      </c>
      <c r="B2760">
        <v>51</v>
      </c>
      <c r="C2760" t="s">
        <v>1701</v>
      </c>
      <c r="D2760" t="s">
        <v>24</v>
      </c>
      <c r="E2760" t="s">
        <v>25</v>
      </c>
      <c r="F2760" t="s">
        <v>26</v>
      </c>
      <c r="G2760" t="s">
        <v>27</v>
      </c>
    </row>
    <row r="2761" spans="1:7" x14ac:dyDescent="0.2">
      <c r="A2761">
        <v>13</v>
      </c>
      <c r="B2761">
        <v>51</v>
      </c>
      <c r="C2761" t="s">
        <v>1711</v>
      </c>
      <c r="D2761" t="s">
        <v>24</v>
      </c>
      <c r="E2761" t="s">
        <v>25</v>
      </c>
      <c r="F2761" t="s">
        <v>26</v>
      </c>
      <c r="G2761" t="s">
        <v>27</v>
      </c>
    </row>
    <row r="2762" spans="1:7" x14ac:dyDescent="0.2">
      <c r="A2762">
        <v>13</v>
      </c>
      <c r="B2762">
        <v>51</v>
      </c>
      <c r="C2762" t="s">
        <v>1699</v>
      </c>
      <c r="D2762" t="s">
        <v>24</v>
      </c>
      <c r="E2762" t="s">
        <v>25</v>
      </c>
      <c r="F2762" t="s">
        <v>26</v>
      </c>
      <c r="G2762" t="s">
        <v>27</v>
      </c>
    </row>
    <row r="2763" spans="1:7" x14ac:dyDescent="0.2">
      <c r="A2763">
        <v>13</v>
      </c>
      <c r="B2763">
        <v>51</v>
      </c>
      <c r="C2763" t="s">
        <v>1712</v>
      </c>
      <c r="D2763" t="s">
        <v>24</v>
      </c>
      <c r="E2763" t="s">
        <v>25</v>
      </c>
      <c r="F2763" t="s">
        <v>26</v>
      </c>
      <c r="G2763" t="s">
        <v>27</v>
      </c>
    </row>
    <row r="2764" spans="1:7" x14ac:dyDescent="0.2">
      <c r="A2764">
        <v>13</v>
      </c>
      <c r="B2764">
        <v>51</v>
      </c>
      <c r="C2764" t="s">
        <v>1713</v>
      </c>
      <c r="D2764" t="s">
        <v>24</v>
      </c>
      <c r="E2764" t="s">
        <v>25</v>
      </c>
      <c r="F2764" t="s">
        <v>26</v>
      </c>
      <c r="G2764" t="s">
        <v>27</v>
      </c>
    </row>
    <row r="2765" spans="1:7" x14ac:dyDescent="0.2">
      <c r="A2765">
        <v>13</v>
      </c>
      <c r="B2765">
        <v>51</v>
      </c>
      <c r="C2765" t="s">
        <v>1714</v>
      </c>
      <c r="D2765" t="s">
        <v>24</v>
      </c>
      <c r="E2765" t="s">
        <v>25</v>
      </c>
      <c r="F2765" t="s">
        <v>26</v>
      </c>
      <c r="G2765" t="s">
        <v>27</v>
      </c>
    </row>
    <row r="2766" spans="1:7" x14ac:dyDescent="0.2">
      <c r="A2766">
        <v>14</v>
      </c>
      <c r="B2766">
        <v>51</v>
      </c>
      <c r="C2766" t="s">
        <v>1715</v>
      </c>
      <c r="D2766" t="s">
        <v>24</v>
      </c>
      <c r="E2766" t="s">
        <v>31</v>
      </c>
      <c r="F2766" t="s">
        <v>47</v>
      </c>
      <c r="G2766" t="s">
        <v>27</v>
      </c>
    </row>
    <row r="2767" spans="1:7" x14ac:dyDescent="0.2">
      <c r="A2767">
        <v>14</v>
      </c>
      <c r="B2767">
        <v>51</v>
      </c>
      <c r="C2767" t="s">
        <v>1671</v>
      </c>
      <c r="D2767" t="s">
        <v>24</v>
      </c>
      <c r="E2767" t="s">
        <v>31</v>
      </c>
      <c r="F2767" t="s">
        <v>47</v>
      </c>
      <c r="G2767" t="s">
        <v>27</v>
      </c>
    </row>
    <row r="2768" spans="1:7" x14ac:dyDescent="0.2">
      <c r="A2768">
        <v>14</v>
      </c>
      <c r="B2768">
        <v>51</v>
      </c>
      <c r="C2768" t="s">
        <v>1716</v>
      </c>
      <c r="D2768" t="s">
        <v>24</v>
      </c>
      <c r="E2768" t="s">
        <v>31</v>
      </c>
      <c r="F2768" t="s">
        <v>47</v>
      </c>
      <c r="G2768" t="s">
        <v>27</v>
      </c>
    </row>
    <row r="2769" spans="1:7" x14ac:dyDescent="0.2">
      <c r="A2769">
        <v>14</v>
      </c>
      <c r="B2769">
        <v>51</v>
      </c>
      <c r="C2769" t="s">
        <v>1717</v>
      </c>
      <c r="D2769" t="s">
        <v>24</v>
      </c>
      <c r="E2769" t="s">
        <v>31</v>
      </c>
      <c r="F2769" t="s">
        <v>47</v>
      </c>
      <c r="G2769" t="s">
        <v>27</v>
      </c>
    </row>
    <row r="2770" spans="1:7" x14ac:dyDescent="0.2">
      <c r="A2770">
        <v>14</v>
      </c>
      <c r="B2770">
        <v>51</v>
      </c>
      <c r="C2770" t="s">
        <v>1718</v>
      </c>
      <c r="D2770" t="s">
        <v>24</v>
      </c>
      <c r="E2770" t="s">
        <v>31</v>
      </c>
      <c r="F2770" t="s">
        <v>47</v>
      </c>
      <c r="G2770" t="s">
        <v>27</v>
      </c>
    </row>
    <row r="2771" spans="1:7" x14ac:dyDescent="0.2">
      <c r="A2771">
        <v>14</v>
      </c>
      <c r="B2771">
        <v>51</v>
      </c>
      <c r="C2771" t="s">
        <v>1699</v>
      </c>
      <c r="D2771" t="s">
        <v>24</v>
      </c>
      <c r="E2771" t="s">
        <v>31</v>
      </c>
      <c r="F2771" t="s">
        <v>47</v>
      </c>
      <c r="G2771" t="s">
        <v>27</v>
      </c>
    </row>
    <row r="2772" spans="1:7" x14ac:dyDescent="0.2">
      <c r="A2772">
        <v>14</v>
      </c>
      <c r="B2772">
        <v>51</v>
      </c>
      <c r="C2772" t="s">
        <v>1692</v>
      </c>
      <c r="D2772" t="s">
        <v>24</v>
      </c>
      <c r="E2772" t="s">
        <v>31</v>
      </c>
      <c r="F2772" t="s">
        <v>47</v>
      </c>
      <c r="G2772" t="s">
        <v>27</v>
      </c>
    </row>
    <row r="2773" spans="1:7" x14ac:dyDescent="0.2">
      <c r="A2773">
        <v>14</v>
      </c>
      <c r="B2773">
        <v>51</v>
      </c>
      <c r="C2773" t="s">
        <v>1719</v>
      </c>
      <c r="D2773" t="s">
        <v>24</v>
      </c>
      <c r="E2773" t="s">
        <v>31</v>
      </c>
      <c r="F2773" t="s">
        <v>47</v>
      </c>
      <c r="G2773" t="s">
        <v>27</v>
      </c>
    </row>
    <row r="2774" spans="1:7" x14ac:dyDescent="0.2">
      <c r="A2774">
        <v>14</v>
      </c>
      <c r="B2774">
        <v>51</v>
      </c>
      <c r="C2774" t="s">
        <v>1702</v>
      </c>
      <c r="D2774" t="s">
        <v>24</v>
      </c>
      <c r="E2774" t="s">
        <v>31</v>
      </c>
      <c r="F2774" t="s">
        <v>47</v>
      </c>
      <c r="G2774" t="s">
        <v>27</v>
      </c>
    </row>
    <row r="2775" spans="1:7" x14ac:dyDescent="0.2">
      <c r="A2775">
        <v>14</v>
      </c>
      <c r="B2775">
        <v>51</v>
      </c>
      <c r="C2775" t="s">
        <v>1720</v>
      </c>
      <c r="D2775" t="s">
        <v>24</v>
      </c>
      <c r="E2775" t="s">
        <v>31</v>
      </c>
      <c r="F2775" t="s">
        <v>47</v>
      </c>
      <c r="G2775" t="s">
        <v>27</v>
      </c>
    </row>
    <row r="2776" spans="1:7" x14ac:dyDescent="0.2">
      <c r="A2776">
        <v>14</v>
      </c>
      <c r="B2776">
        <v>51</v>
      </c>
      <c r="C2776" t="s">
        <v>1709</v>
      </c>
      <c r="D2776" t="s">
        <v>24</v>
      </c>
      <c r="E2776" t="s">
        <v>31</v>
      </c>
      <c r="F2776" t="s">
        <v>47</v>
      </c>
      <c r="G2776" t="s">
        <v>27</v>
      </c>
    </row>
    <row r="2777" spans="1:7" x14ac:dyDescent="0.2">
      <c r="A2777">
        <v>14</v>
      </c>
      <c r="B2777">
        <v>51</v>
      </c>
      <c r="C2777" t="s">
        <v>1721</v>
      </c>
      <c r="D2777" t="s">
        <v>30</v>
      </c>
      <c r="E2777" t="s">
        <v>31</v>
      </c>
      <c r="F2777" t="s">
        <v>47</v>
      </c>
      <c r="G2777" t="s">
        <v>27</v>
      </c>
    </row>
    <row r="2778" spans="1:7" x14ac:dyDescent="0.2">
      <c r="A2778">
        <v>15</v>
      </c>
      <c r="B2778">
        <v>51</v>
      </c>
      <c r="C2778" t="s">
        <v>1722</v>
      </c>
      <c r="D2778" t="s">
        <v>24</v>
      </c>
      <c r="E2778" t="s">
        <v>31</v>
      </c>
      <c r="F2778" t="s">
        <v>26</v>
      </c>
      <c r="G2778" t="s">
        <v>27</v>
      </c>
    </row>
    <row r="2779" spans="1:7" x14ac:dyDescent="0.2">
      <c r="A2779">
        <v>15</v>
      </c>
      <c r="B2779">
        <v>51</v>
      </c>
      <c r="C2779" t="s">
        <v>1699</v>
      </c>
      <c r="D2779" t="s">
        <v>24</v>
      </c>
      <c r="E2779" t="s">
        <v>25</v>
      </c>
      <c r="F2779" t="s">
        <v>26</v>
      </c>
      <c r="G2779" t="s">
        <v>27</v>
      </c>
    </row>
    <row r="2780" spans="1:7" x14ac:dyDescent="0.2">
      <c r="A2780">
        <v>15</v>
      </c>
      <c r="B2780">
        <v>51</v>
      </c>
      <c r="C2780" t="s">
        <v>1692</v>
      </c>
      <c r="D2780" t="s">
        <v>24</v>
      </c>
      <c r="E2780" t="s">
        <v>31</v>
      </c>
      <c r="F2780" t="s">
        <v>26</v>
      </c>
      <c r="G2780" t="s">
        <v>27</v>
      </c>
    </row>
    <row r="2781" spans="1:7" x14ac:dyDescent="0.2">
      <c r="A2781">
        <v>15</v>
      </c>
      <c r="B2781">
        <v>51</v>
      </c>
      <c r="C2781" t="s">
        <v>1723</v>
      </c>
      <c r="D2781" t="s">
        <v>24</v>
      </c>
      <c r="E2781" t="s">
        <v>31</v>
      </c>
      <c r="F2781" t="s">
        <v>26</v>
      </c>
      <c r="G2781" t="s">
        <v>27</v>
      </c>
    </row>
    <row r="2782" spans="1:7" x14ac:dyDescent="0.2">
      <c r="A2782">
        <v>15</v>
      </c>
      <c r="B2782">
        <v>51</v>
      </c>
      <c r="C2782" t="s">
        <v>1669</v>
      </c>
      <c r="D2782" t="s">
        <v>24</v>
      </c>
      <c r="E2782" t="s">
        <v>31</v>
      </c>
      <c r="F2782" t="s">
        <v>26</v>
      </c>
      <c r="G2782" t="s">
        <v>27</v>
      </c>
    </row>
    <row r="2783" spans="1:7" x14ac:dyDescent="0.2">
      <c r="A2783">
        <v>16</v>
      </c>
      <c r="B2783">
        <v>51</v>
      </c>
      <c r="C2783" t="s">
        <v>1724</v>
      </c>
      <c r="D2783" t="s">
        <v>24</v>
      </c>
      <c r="E2783" t="s">
        <v>31</v>
      </c>
      <c r="F2783" t="s">
        <v>26</v>
      </c>
      <c r="G2783" t="s">
        <v>27</v>
      </c>
    </row>
    <row r="2784" spans="1:7" x14ac:dyDescent="0.2">
      <c r="A2784">
        <v>16</v>
      </c>
      <c r="B2784">
        <v>51</v>
      </c>
      <c r="C2784" t="s">
        <v>1725</v>
      </c>
      <c r="D2784" t="s">
        <v>24</v>
      </c>
      <c r="E2784" t="s">
        <v>31</v>
      </c>
      <c r="F2784" t="s">
        <v>26</v>
      </c>
      <c r="G2784" t="s">
        <v>27</v>
      </c>
    </row>
    <row r="2785" spans="1:7" x14ac:dyDescent="0.2">
      <c r="A2785">
        <v>16</v>
      </c>
      <c r="B2785">
        <v>51</v>
      </c>
      <c r="C2785" t="s">
        <v>1726</v>
      </c>
      <c r="D2785" t="s">
        <v>24</v>
      </c>
      <c r="E2785" t="s">
        <v>31</v>
      </c>
      <c r="F2785" t="s">
        <v>26</v>
      </c>
      <c r="G2785" t="s">
        <v>27</v>
      </c>
    </row>
    <row r="2786" spans="1:7" x14ac:dyDescent="0.2">
      <c r="A2786">
        <v>16</v>
      </c>
      <c r="B2786">
        <v>51</v>
      </c>
      <c r="C2786" t="s">
        <v>1727</v>
      </c>
      <c r="D2786" t="s">
        <v>24</v>
      </c>
      <c r="E2786" t="s">
        <v>31</v>
      </c>
      <c r="F2786" t="s">
        <v>26</v>
      </c>
      <c r="G2786" t="s">
        <v>27</v>
      </c>
    </row>
    <row r="2787" spans="1:7" x14ac:dyDescent="0.2">
      <c r="A2787">
        <v>16</v>
      </c>
      <c r="B2787">
        <v>51</v>
      </c>
      <c r="C2787" t="s">
        <v>1728</v>
      </c>
      <c r="D2787" t="s">
        <v>24</v>
      </c>
      <c r="E2787" t="s">
        <v>31</v>
      </c>
      <c r="F2787" t="s">
        <v>26</v>
      </c>
      <c r="G2787" t="s">
        <v>27</v>
      </c>
    </row>
    <row r="2788" spans="1:7" x14ac:dyDescent="0.2">
      <c r="A2788">
        <v>16</v>
      </c>
      <c r="B2788">
        <v>51</v>
      </c>
      <c r="C2788" t="s">
        <v>1729</v>
      </c>
      <c r="D2788" t="s">
        <v>24</v>
      </c>
      <c r="E2788" t="s">
        <v>31</v>
      </c>
      <c r="F2788" t="s">
        <v>26</v>
      </c>
      <c r="G2788" t="s">
        <v>27</v>
      </c>
    </row>
    <row r="2789" spans="1:7" x14ac:dyDescent="0.2">
      <c r="A2789">
        <v>16</v>
      </c>
      <c r="B2789">
        <v>51</v>
      </c>
      <c r="C2789" t="s">
        <v>1730</v>
      </c>
      <c r="D2789" t="s">
        <v>24</v>
      </c>
      <c r="E2789" t="s">
        <v>25</v>
      </c>
      <c r="F2789" t="s">
        <v>47</v>
      </c>
      <c r="G2789" t="s">
        <v>27</v>
      </c>
    </row>
    <row r="2790" spans="1:7" x14ac:dyDescent="0.2">
      <c r="A2790">
        <v>16</v>
      </c>
      <c r="B2790">
        <v>51</v>
      </c>
      <c r="C2790" t="s">
        <v>1691</v>
      </c>
      <c r="D2790" t="s">
        <v>24</v>
      </c>
      <c r="E2790" t="s">
        <v>25</v>
      </c>
      <c r="F2790" t="s">
        <v>47</v>
      </c>
      <c r="G2790" t="s">
        <v>27</v>
      </c>
    </row>
    <row r="2791" spans="1:7" x14ac:dyDescent="0.2">
      <c r="A2791">
        <v>16</v>
      </c>
      <c r="B2791">
        <v>51</v>
      </c>
      <c r="C2791" t="s">
        <v>1731</v>
      </c>
      <c r="D2791" t="s">
        <v>24</v>
      </c>
      <c r="E2791" t="s">
        <v>25</v>
      </c>
      <c r="F2791" t="s">
        <v>47</v>
      </c>
      <c r="G2791" t="s">
        <v>27</v>
      </c>
    </row>
    <row r="2792" spans="1:7" x14ac:dyDescent="0.2">
      <c r="A2792">
        <v>16</v>
      </c>
      <c r="B2792">
        <v>51</v>
      </c>
      <c r="C2792" t="s">
        <v>1732</v>
      </c>
      <c r="D2792" t="s">
        <v>24</v>
      </c>
      <c r="E2792" t="s">
        <v>25</v>
      </c>
      <c r="F2792" t="s">
        <v>47</v>
      </c>
      <c r="G2792" t="s">
        <v>27</v>
      </c>
    </row>
    <row r="2793" spans="1:7" x14ac:dyDescent="0.2">
      <c r="A2793">
        <v>16</v>
      </c>
      <c r="B2793">
        <v>51</v>
      </c>
      <c r="C2793" t="s">
        <v>1733</v>
      </c>
      <c r="D2793" t="s">
        <v>24</v>
      </c>
      <c r="E2793" t="s">
        <v>25</v>
      </c>
      <c r="F2793" t="s">
        <v>47</v>
      </c>
      <c r="G2793" t="s">
        <v>27</v>
      </c>
    </row>
    <row r="2794" spans="1:7" x14ac:dyDescent="0.2">
      <c r="A2794">
        <v>16</v>
      </c>
      <c r="B2794">
        <v>51</v>
      </c>
      <c r="C2794" t="s">
        <v>1699</v>
      </c>
      <c r="D2794" t="s">
        <v>24</v>
      </c>
      <c r="E2794" t="s">
        <v>31</v>
      </c>
      <c r="F2794" t="s">
        <v>26</v>
      </c>
      <c r="G2794" t="s">
        <v>27</v>
      </c>
    </row>
    <row r="2795" spans="1:7" x14ac:dyDescent="0.2">
      <c r="A2795">
        <v>16</v>
      </c>
      <c r="B2795">
        <v>51</v>
      </c>
      <c r="C2795" t="s">
        <v>1734</v>
      </c>
      <c r="D2795" t="s">
        <v>24</v>
      </c>
      <c r="E2795" t="s">
        <v>31</v>
      </c>
      <c r="F2795" t="s">
        <v>26</v>
      </c>
      <c r="G2795" t="s">
        <v>27</v>
      </c>
    </row>
    <row r="2796" spans="1:7" x14ac:dyDescent="0.2">
      <c r="A2796">
        <v>16</v>
      </c>
      <c r="B2796">
        <v>51</v>
      </c>
      <c r="C2796" t="s">
        <v>1692</v>
      </c>
      <c r="D2796" t="s">
        <v>24</v>
      </c>
      <c r="E2796" t="s">
        <v>31</v>
      </c>
      <c r="F2796" t="s">
        <v>26</v>
      </c>
      <c r="G2796" t="s">
        <v>27</v>
      </c>
    </row>
    <row r="2797" spans="1:7" x14ac:dyDescent="0.2">
      <c r="A2797">
        <v>16</v>
      </c>
      <c r="B2797">
        <v>51</v>
      </c>
      <c r="C2797" t="s">
        <v>1735</v>
      </c>
      <c r="D2797" t="s">
        <v>24</v>
      </c>
      <c r="E2797" t="s">
        <v>31</v>
      </c>
      <c r="F2797" t="s">
        <v>26</v>
      </c>
      <c r="G2797" t="s">
        <v>27</v>
      </c>
    </row>
    <row r="2798" spans="1:7" x14ac:dyDescent="0.2">
      <c r="A2798">
        <v>16</v>
      </c>
      <c r="B2798">
        <v>51</v>
      </c>
      <c r="C2798" t="s">
        <v>1736</v>
      </c>
      <c r="D2798" t="s">
        <v>24</v>
      </c>
      <c r="E2798" t="s">
        <v>31</v>
      </c>
      <c r="F2798" t="s">
        <v>26</v>
      </c>
      <c r="G2798" t="s">
        <v>27</v>
      </c>
    </row>
    <row r="2799" spans="1:7" x14ac:dyDescent="0.2">
      <c r="A2799">
        <v>16</v>
      </c>
      <c r="B2799">
        <v>51</v>
      </c>
      <c r="C2799" t="s">
        <v>1702</v>
      </c>
      <c r="D2799" t="s">
        <v>24</v>
      </c>
      <c r="E2799" t="s">
        <v>31</v>
      </c>
      <c r="F2799" t="s">
        <v>26</v>
      </c>
      <c r="G2799" t="s">
        <v>27</v>
      </c>
    </row>
    <row r="2800" spans="1:7" x14ac:dyDescent="0.2">
      <c r="A2800">
        <v>16</v>
      </c>
      <c r="B2800">
        <v>51</v>
      </c>
      <c r="C2800" t="s">
        <v>1722</v>
      </c>
      <c r="D2800" t="s">
        <v>24</v>
      </c>
      <c r="E2800" t="s">
        <v>31</v>
      </c>
      <c r="F2800" t="s">
        <v>26</v>
      </c>
      <c r="G2800" t="s">
        <v>27</v>
      </c>
    </row>
    <row r="2801" spans="1:7" x14ac:dyDescent="0.2">
      <c r="A2801">
        <v>17</v>
      </c>
      <c r="B2801">
        <v>51</v>
      </c>
      <c r="C2801" t="s">
        <v>1715</v>
      </c>
      <c r="D2801" t="s">
        <v>24</v>
      </c>
      <c r="E2801" t="s">
        <v>31</v>
      </c>
      <c r="F2801" t="s">
        <v>47</v>
      </c>
      <c r="G2801" t="s">
        <v>27</v>
      </c>
    </row>
    <row r="2802" spans="1:7" x14ac:dyDescent="0.2">
      <c r="A2802">
        <v>17</v>
      </c>
      <c r="B2802">
        <v>51</v>
      </c>
      <c r="C2802" t="s">
        <v>1671</v>
      </c>
      <c r="D2802" t="s">
        <v>24</v>
      </c>
      <c r="E2802" t="s">
        <v>31</v>
      </c>
      <c r="F2802" t="s">
        <v>47</v>
      </c>
      <c r="G2802" t="s">
        <v>27</v>
      </c>
    </row>
    <row r="2803" spans="1:7" x14ac:dyDescent="0.2">
      <c r="A2803">
        <v>17</v>
      </c>
      <c r="B2803">
        <v>51</v>
      </c>
      <c r="C2803" t="s">
        <v>1716</v>
      </c>
      <c r="D2803" t="s">
        <v>24</v>
      </c>
      <c r="E2803" t="s">
        <v>31</v>
      </c>
      <c r="F2803" t="s">
        <v>47</v>
      </c>
      <c r="G2803" t="s">
        <v>27</v>
      </c>
    </row>
    <row r="2804" spans="1:7" x14ac:dyDescent="0.2">
      <c r="A2804">
        <v>17</v>
      </c>
      <c r="B2804">
        <v>51</v>
      </c>
      <c r="C2804" t="s">
        <v>1702</v>
      </c>
      <c r="D2804" t="s">
        <v>24</v>
      </c>
      <c r="E2804" t="s">
        <v>31</v>
      </c>
      <c r="F2804" t="s">
        <v>47</v>
      </c>
      <c r="G2804" t="s">
        <v>27</v>
      </c>
    </row>
    <row r="2805" spans="1:7" x14ac:dyDescent="0.2">
      <c r="A2805">
        <v>17</v>
      </c>
      <c r="B2805">
        <v>51</v>
      </c>
      <c r="C2805" t="s">
        <v>1698</v>
      </c>
      <c r="D2805" t="s">
        <v>24</v>
      </c>
      <c r="E2805" t="s">
        <v>31</v>
      </c>
      <c r="F2805" t="s">
        <v>47</v>
      </c>
      <c r="G2805" t="s">
        <v>27</v>
      </c>
    </row>
    <row r="2806" spans="1:7" x14ac:dyDescent="0.2">
      <c r="A2806">
        <v>17</v>
      </c>
      <c r="B2806">
        <v>51</v>
      </c>
      <c r="C2806" t="s">
        <v>1719</v>
      </c>
      <c r="D2806" t="s">
        <v>24</v>
      </c>
      <c r="E2806" t="s">
        <v>31</v>
      </c>
      <c r="F2806" t="s">
        <v>47</v>
      </c>
      <c r="G2806" t="s">
        <v>27</v>
      </c>
    </row>
    <row r="2807" spans="1:7" x14ac:dyDescent="0.2">
      <c r="A2807">
        <v>17</v>
      </c>
      <c r="B2807">
        <v>51</v>
      </c>
      <c r="C2807" t="s">
        <v>1720</v>
      </c>
      <c r="D2807" t="s">
        <v>24</v>
      </c>
      <c r="E2807" t="s">
        <v>31</v>
      </c>
      <c r="F2807" t="s">
        <v>47</v>
      </c>
      <c r="G2807" t="s">
        <v>27</v>
      </c>
    </row>
    <row r="2808" spans="1:7" x14ac:dyDescent="0.2">
      <c r="A2808">
        <v>17</v>
      </c>
      <c r="B2808">
        <v>51</v>
      </c>
      <c r="C2808" t="s">
        <v>1737</v>
      </c>
      <c r="D2808" t="s">
        <v>24</v>
      </c>
      <c r="E2808" t="s">
        <v>31</v>
      </c>
      <c r="F2808" t="s">
        <v>47</v>
      </c>
      <c r="G2808" t="s">
        <v>27</v>
      </c>
    </row>
    <row r="2809" spans="1:7" x14ac:dyDescent="0.2">
      <c r="A2809">
        <v>17</v>
      </c>
      <c r="B2809">
        <v>51</v>
      </c>
      <c r="C2809" t="s">
        <v>1738</v>
      </c>
      <c r="D2809" t="s">
        <v>24</v>
      </c>
      <c r="E2809" t="s">
        <v>31</v>
      </c>
      <c r="F2809" t="s">
        <v>47</v>
      </c>
      <c r="G2809" t="s">
        <v>27</v>
      </c>
    </row>
    <row r="2810" spans="1:7" x14ac:dyDescent="0.2">
      <c r="A2810">
        <v>18</v>
      </c>
      <c r="B2810">
        <v>51</v>
      </c>
      <c r="C2810" t="s">
        <v>1739</v>
      </c>
      <c r="D2810" t="s">
        <v>24</v>
      </c>
      <c r="E2810" t="s">
        <v>31</v>
      </c>
      <c r="F2810" t="s">
        <v>26</v>
      </c>
      <c r="G2810" t="s">
        <v>27</v>
      </c>
    </row>
    <row r="2811" spans="1:7" x14ac:dyDescent="0.2">
      <c r="A2811">
        <v>18</v>
      </c>
      <c r="B2811">
        <v>51</v>
      </c>
      <c r="C2811" t="s">
        <v>1669</v>
      </c>
      <c r="D2811" t="s">
        <v>24</v>
      </c>
      <c r="E2811" t="s">
        <v>31</v>
      </c>
      <c r="F2811" t="s">
        <v>26</v>
      </c>
      <c r="G2811" t="s">
        <v>27</v>
      </c>
    </row>
    <row r="2812" spans="1:7" x14ac:dyDescent="0.2">
      <c r="A2812">
        <v>18</v>
      </c>
      <c r="B2812">
        <v>51</v>
      </c>
      <c r="C2812" t="s">
        <v>1740</v>
      </c>
      <c r="D2812" t="s">
        <v>24</v>
      </c>
      <c r="E2812" t="s">
        <v>31</v>
      </c>
      <c r="F2812" t="s">
        <v>26</v>
      </c>
      <c r="G2812" t="s">
        <v>27</v>
      </c>
    </row>
    <row r="2813" spans="1:7" x14ac:dyDescent="0.2">
      <c r="A2813">
        <v>18</v>
      </c>
      <c r="B2813">
        <v>51</v>
      </c>
      <c r="C2813" t="s">
        <v>1671</v>
      </c>
      <c r="D2813" t="s">
        <v>24</v>
      </c>
      <c r="E2813" t="s">
        <v>31</v>
      </c>
      <c r="F2813" t="s">
        <v>26</v>
      </c>
      <c r="G2813" t="s">
        <v>27</v>
      </c>
    </row>
    <row r="2814" spans="1:7" x14ac:dyDescent="0.2">
      <c r="A2814">
        <v>18</v>
      </c>
      <c r="B2814">
        <v>51</v>
      </c>
      <c r="C2814" t="s">
        <v>1741</v>
      </c>
      <c r="D2814" t="s">
        <v>24</v>
      </c>
      <c r="E2814" t="s">
        <v>31</v>
      </c>
      <c r="F2814" t="s">
        <v>26</v>
      </c>
      <c r="G2814" t="s">
        <v>27</v>
      </c>
    </row>
    <row r="2815" spans="1:7" x14ac:dyDescent="0.2">
      <c r="A2815">
        <v>18</v>
      </c>
      <c r="B2815">
        <v>51</v>
      </c>
      <c r="C2815" t="s">
        <v>1742</v>
      </c>
      <c r="D2815" t="s">
        <v>24</v>
      </c>
      <c r="E2815" t="s">
        <v>31</v>
      </c>
      <c r="F2815" t="s">
        <v>26</v>
      </c>
      <c r="G2815" t="s">
        <v>27</v>
      </c>
    </row>
    <row r="2816" spans="1:7" x14ac:dyDescent="0.2">
      <c r="A2816">
        <v>18</v>
      </c>
      <c r="B2816">
        <v>51</v>
      </c>
      <c r="C2816" t="s">
        <v>1743</v>
      </c>
      <c r="D2816" t="s">
        <v>24</v>
      </c>
      <c r="E2816" t="s">
        <v>31</v>
      </c>
      <c r="F2816" t="s">
        <v>26</v>
      </c>
      <c r="G2816" t="s">
        <v>27</v>
      </c>
    </row>
    <row r="2817" spans="1:7" x14ac:dyDescent="0.2">
      <c r="A2817">
        <v>18</v>
      </c>
      <c r="B2817">
        <v>51</v>
      </c>
      <c r="C2817" t="s">
        <v>1744</v>
      </c>
      <c r="D2817" t="s">
        <v>24</v>
      </c>
      <c r="E2817" t="s">
        <v>31</v>
      </c>
      <c r="F2817" t="s">
        <v>47</v>
      </c>
      <c r="G2817" t="s">
        <v>27</v>
      </c>
    </row>
    <row r="2818" spans="1:7" x14ac:dyDescent="0.2">
      <c r="A2818">
        <v>18</v>
      </c>
      <c r="B2818">
        <v>51</v>
      </c>
      <c r="C2818" t="s">
        <v>1745</v>
      </c>
      <c r="D2818" t="s">
        <v>24</v>
      </c>
      <c r="E2818" t="s">
        <v>31</v>
      </c>
      <c r="F2818" t="s">
        <v>47</v>
      </c>
      <c r="G2818" t="s">
        <v>27</v>
      </c>
    </row>
    <row r="2819" spans="1:7" x14ac:dyDescent="0.2">
      <c r="A2819">
        <v>18</v>
      </c>
      <c r="B2819">
        <v>51</v>
      </c>
      <c r="C2819" t="s">
        <v>1731</v>
      </c>
      <c r="D2819" t="s">
        <v>24</v>
      </c>
      <c r="E2819" t="s">
        <v>31</v>
      </c>
      <c r="F2819" t="s">
        <v>47</v>
      </c>
      <c r="G2819" t="s">
        <v>27</v>
      </c>
    </row>
    <row r="2820" spans="1:7" x14ac:dyDescent="0.2">
      <c r="A2820">
        <v>18</v>
      </c>
      <c r="B2820">
        <v>51</v>
      </c>
      <c r="C2820" t="s">
        <v>1746</v>
      </c>
      <c r="D2820" t="s">
        <v>24</v>
      </c>
      <c r="E2820" t="s">
        <v>31</v>
      </c>
      <c r="F2820" t="s">
        <v>26</v>
      </c>
      <c r="G2820" t="s">
        <v>27</v>
      </c>
    </row>
    <row r="2821" spans="1:7" x14ac:dyDescent="0.2">
      <c r="A2821">
        <v>18</v>
      </c>
      <c r="B2821">
        <v>51</v>
      </c>
      <c r="C2821" t="s">
        <v>1702</v>
      </c>
      <c r="D2821" t="s">
        <v>24</v>
      </c>
      <c r="E2821" t="s">
        <v>31</v>
      </c>
      <c r="F2821" t="s">
        <v>26</v>
      </c>
      <c r="G2821" t="s">
        <v>27</v>
      </c>
    </row>
    <row r="2822" spans="1:7" x14ac:dyDescent="0.2">
      <c r="A2822">
        <v>19</v>
      </c>
      <c r="B2822">
        <v>51</v>
      </c>
      <c r="C2822" t="s">
        <v>1669</v>
      </c>
      <c r="D2822" t="s">
        <v>24</v>
      </c>
      <c r="E2822" t="s">
        <v>31</v>
      </c>
      <c r="F2822" t="s">
        <v>26</v>
      </c>
      <c r="G2822" t="s">
        <v>27</v>
      </c>
    </row>
    <row r="2823" spans="1:7" x14ac:dyDescent="0.2">
      <c r="A2823">
        <v>19</v>
      </c>
      <c r="B2823">
        <v>51</v>
      </c>
      <c r="C2823" t="s">
        <v>1747</v>
      </c>
      <c r="D2823" t="s">
        <v>24</v>
      </c>
      <c r="E2823" t="s">
        <v>31</v>
      </c>
      <c r="F2823" t="s">
        <v>26</v>
      </c>
      <c r="G2823" t="s">
        <v>27</v>
      </c>
    </row>
    <row r="2824" spans="1:7" x14ac:dyDescent="0.2">
      <c r="A2824">
        <v>19</v>
      </c>
      <c r="B2824">
        <v>51</v>
      </c>
      <c r="C2824" t="s">
        <v>1671</v>
      </c>
      <c r="D2824" t="s">
        <v>24</v>
      </c>
      <c r="E2824" t="s">
        <v>31</v>
      </c>
      <c r="F2824" t="s">
        <v>26</v>
      </c>
      <c r="G2824" t="s">
        <v>27</v>
      </c>
    </row>
    <row r="2825" spans="1:7" x14ac:dyDescent="0.2">
      <c r="A2825">
        <v>19</v>
      </c>
      <c r="B2825">
        <v>51</v>
      </c>
      <c r="C2825" t="s">
        <v>1535</v>
      </c>
      <c r="D2825" t="s">
        <v>24</v>
      </c>
      <c r="E2825" t="s">
        <v>31</v>
      </c>
      <c r="F2825" t="s">
        <v>26</v>
      </c>
      <c r="G2825" t="s">
        <v>27</v>
      </c>
    </row>
    <row r="2826" spans="1:7" x14ac:dyDescent="0.2">
      <c r="A2826">
        <v>19</v>
      </c>
      <c r="B2826">
        <v>51</v>
      </c>
      <c r="C2826" t="s">
        <v>1742</v>
      </c>
      <c r="D2826" t="s">
        <v>24</v>
      </c>
      <c r="E2826" t="s">
        <v>31</v>
      </c>
      <c r="F2826" t="s">
        <v>26</v>
      </c>
      <c r="G2826" t="s">
        <v>27</v>
      </c>
    </row>
    <row r="2827" spans="1:7" x14ac:dyDescent="0.2">
      <c r="A2827">
        <v>19</v>
      </c>
      <c r="B2827">
        <v>51</v>
      </c>
      <c r="C2827" t="s">
        <v>1744</v>
      </c>
      <c r="D2827" t="s">
        <v>24</v>
      </c>
      <c r="E2827" t="s">
        <v>31</v>
      </c>
      <c r="F2827" t="s">
        <v>47</v>
      </c>
      <c r="G2827" t="s">
        <v>27</v>
      </c>
    </row>
    <row r="2828" spans="1:7" x14ac:dyDescent="0.2">
      <c r="A2828">
        <v>19</v>
      </c>
      <c r="B2828">
        <v>51</v>
      </c>
      <c r="C2828" t="s">
        <v>1734</v>
      </c>
      <c r="D2828" t="s">
        <v>24</v>
      </c>
      <c r="E2828" t="s">
        <v>31</v>
      </c>
      <c r="F2828" t="s">
        <v>26</v>
      </c>
      <c r="G2828" t="s">
        <v>27</v>
      </c>
    </row>
    <row r="2829" spans="1:7" x14ac:dyDescent="0.2">
      <c r="A2829">
        <v>19</v>
      </c>
      <c r="B2829">
        <v>51</v>
      </c>
      <c r="C2829" t="s">
        <v>1746</v>
      </c>
      <c r="D2829" t="s">
        <v>24</v>
      </c>
      <c r="E2829" t="s">
        <v>31</v>
      </c>
      <c r="F2829" t="s">
        <v>26</v>
      </c>
      <c r="G2829" t="s">
        <v>27</v>
      </c>
    </row>
    <row r="2830" spans="1:7" x14ac:dyDescent="0.2">
      <c r="A2830">
        <v>20</v>
      </c>
      <c r="B2830">
        <v>51</v>
      </c>
      <c r="C2830" t="s">
        <v>1748</v>
      </c>
      <c r="D2830" t="s">
        <v>24</v>
      </c>
      <c r="E2830" t="s">
        <v>25</v>
      </c>
      <c r="F2830" t="s">
        <v>26</v>
      </c>
      <c r="G2830" t="s">
        <v>27</v>
      </c>
    </row>
    <row r="2831" spans="1:7" x14ac:dyDescent="0.2">
      <c r="A2831">
        <v>20</v>
      </c>
      <c r="B2831">
        <v>51</v>
      </c>
      <c r="C2831" t="s">
        <v>1749</v>
      </c>
      <c r="D2831" t="s">
        <v>24</v>
      </c>
      <c r="E2831" t="s">
        <v>25</v>
      </c>
      <c r="F2831" t="s">
        <v>26</v>
      </c>
      <c r="G2831" t="s">
        <v>27</v>
      </c>
    </row>
    <row r="2832" spans="1:7" x14ac:dyDescent="0.2">
      <c r="A2832">
        <v>20</v>
      </c>
      <c r="B2832">
        <v>51</v>
      </c>
      <c r="C2832" t="s">
        <v>1669</v>
      </c>
      <c r="D2832" t="s">
        <v>24</v>
      </c>
      <c r="E2832" t="s">
        <v>25</v>
      </c>
      <c r="F2832" t="s">
        <v>26</v>
      </c>
      <c r="G2832" t="s">
        <v>27</v>
      </c>
    </row>
    <row r="2833" spans="1:7" x14ac:dyDescent="0.2">
      <c r="A2833">
        <v>20</v>
      </c>
      <c r="B2833">
        <v>51</v>
      </c>
      <c r="C2833" t="s">
        <v>1739</v>
      </c>
      <c r="D2833" t="s">
        <v>24</v>
      </c>
      <c r="E2833" t="s">
        <v>25</v>
      </c>
      <c r="F2833" t="s">
        <v>26</v>
      </c>
      <c r="G2833" t="s">
        <v>27</v>
      </c>
    </row>
    <row r="2834" spans="1:7" x14ac:dyDescent="0.2">
      <c r="A2834">
        <v>20</v>
      </c>
      <c r="B2834">
        <v>51</v>
      </c>
      <c r="C2834" t="s">
        <v>1750</v>
      </c>
      <c r="D2834" t="s">
        <v>24</v>
      </c>
      <c r="E2834" t="s">
        <v>25</v>
      </c>
      <c r="F2834" t="s">
        <v>26</v>
      </c>
      <c r="G2834" t="s">
        <v>27</v>
      </c>
    </row>
    <row r="2835" spans="1:7" x14ac:dyDescent="0.2">
      <c r="A2835">
        <v>20</v>
      </c>
      <c r="B2835">
        <v>51</v>
      </c>
      <c r="C2835" t="s">
        <v>1671</v>
      </c>
      <c r="D2835" t="s">
        <v>24</v>
      </c>
      <c r="E2835" t="s">
        <v>25</v>
      </c>
      <c r="F2835" t="s">
        <v>26</v>
      </c>
      <c r="G2835" t="s">
        <v>27</v>
      </c>
    </row>
    <row r="2836" spans="1:7" x14ac:dyDescent="0.2">
      <c r="A2836">
        <v>20</v>
      </c>
      <c r="B2836">
        <v>51</v>
      </c>
      <c r="C2836" t="s">
        <v>1751</v>
      </c>
      <c r="D2836" t="s">
        <v>24</v>
      </c>
      <c r="E2836" t="s">
        <v>31</v>
      </c>
      <c r="F2836" t="s">
        <v>26</v>
      </c>
      <c r="G2836" t="s">
        <v>27</v>
      </c>
    </row>
    <row r="2837" spans="1:7" x14ac:dyDescent="0.2">
      <c r="A2837">
        <v>20</v>
      </c>
      <c r="B2837">
        <v>51</v>
      </c>
      <c r="C2837" t="s">
        <v>1752</v>
      </c>
      <c r="D2837" t="s">
        <v>24</v>
      </c>
      <c r="E2837" t="s">
        <v>25</v>
      </c>
      <c r="F2837" t="s">
        <v>26</v>
      </c>
      <c r="G2837" t="s">
        <v>27</v>
      </c>
    </row>
    <row r="2838" spans="1:7" x14ac:dyDescent="0.2">
      <c r="A2838">
        <v>20</v>
      </c>
      <c r="B2838">
        <v>51</v>
      </c>
      <c r="C2838" t="s">
        <v>1753</v>
      </c>
      <c r="D2838" t="s">
        <v>24</v>
      </c>
      <c r="E2838" t="s">
        <v>25</v>
      </c>
      <c r="F2838" t="s">
        <v>47</v>
      </c>
      <c r="G2838" t="s">
        <v>27</v>
      </c>
    </row>
    <row r="2839" spans="1:7" x14ac:dyDescent="0.2">
      <c r="A2839">
        <v>20</v>
      </c>
      <c r="B2839">
        <v>51</v>
      </c>
      <c r="C2839" t="s">
        <v>1744</v>
      </c>
      <c r="D2839" t="s">
        <v>24</v>
      </c>
      <c r="E2839" t="s">
        <v>25</v>
      </c>
      <c r="F2839" t="s">
        <v>47</v>
      </c>
      <c r="G2839" t="s">
        <v>27</v>
      </c>
    </row>
    <row r="2840" spans="1:7" x14ac:dyDescent="0.2">
      <c r="A2840">
        <v>20</v>
      </c>
      <c r="B2840">
        <v>51</v>
      </c>
      <c r="C2840" t="s">
        <v>1754</v>
      </c>
      <c r="D2840" t="s">
        <v>24</v>
      </c>
      <c r="E2840" t="s">
        <v>25</v>
      </c>
      <c r="F2840" t="s">
        <v>26</v>
      </c>
      <c r="G2840" t="s">
        <v>27</v>
      </c>
    </row>
    <row r="2841" spans="1:7" x14ac:dyDescent="0.2">
      <c r="A2841">
        <v>20</v>
      </c>
      <c r="B2841">
        <v>51</v>
      </c>
      <c r="C2841" t="s">
        <v>1734</v>
      </c>
      <c r="D2841" t="s">
        <v>24</v>
      </c>
      <c r="E2841" t="s">
        <v>25</v>
      </c>
      <c r="F2841" t="s">
        <v>26</v>
      </c>
      <c r="G2841" t="s">
        <v>27</v>
      </c>
    </row>
    <row r="2842" spans="1:7" x14ac:dyDescent="0.2">
      <c r="A2842">
        <v>20</v>
      </c>
      <c r="B2842">
        <v>51</v>
      </c>
      <c r="C2842" t="s">
        <v>1723</v>
      </c>
      <c r="D2842" t="s">
        <v>24</v>
      </c>
      <c r="E2842" t="s">
        <v>25</v>
      </c>
      <c r="F2842" t="s">
        <v>26</v>
      </c>
      <c r="G2842" t="s">
        <v>27</v>
      </c>
    </row>
    <row r="2843" spans="1:7" x14ac:dyDescent="0.2">
      <c r="A2843">
        <v>20</v>
      </c>
      <c r="B2843">
        <v>51</v>
      </c>
      <c r="C2843" t="s">
        <v>1755</v>
      </c>
      <c r="D2843" t="s">
        <v>24</v>
      </c>
      <c r="E2843" t="s">
        <v>25</v>
      </c>
      <c r="F2843" t="s">
        <v>26</v>
      </c>
      <c r="G2843" t="s">
        <v>27</v>
      </c>
    </row>
    <row r="2844" spans="1:7" x14ac:dyDescent="0.2">
      <c r="A2844">
        <v>20</v>
      </c>
      <c r="B2844">
        <v>51</v>
      </c>
      <c r="C2844" t="s">
        <v>1756</v>
      </c>
      <c r="D2844" t="s">
        <v>24</v>
      </c>
      <c r="E2844" t="s">
        <v>25</v>
      </c>
      <c r="F2844" t="s">
        <v>26</v>
      </c>
      <c r="G2844" t="s">
        <v>27</v>
      </c>
    </row>
    <row r="2845" spans="1:7" x14ac:dyDescent="0.2">
      <c r="A2845">
        <v>20</v>
      </c>
      <c r="B2845">
        <v>51</v>
      </c>
      <c r="C2845" t="s">
        <v>1757</v>
      </c>
      <c r="D2845" t="s">
        <v>24</v>
      </c>
      <c r="E2845" t="s">
        <v>25</v>
      </c>
      <c r="F2845" t="s">
        <v>26</v>
      </c>
      <c r="G2845" t="s">
        <v>27</v>
      </c>
    </row>
    <row r="2846" spans="1:7" x14ac:dyDescent="0.2">
      <c r="A2846">
        <v>20</v>
      </c>
      <c r="B2846">
        <v>51</v>
      </c>
      <c r="C2846" t="s">
        <v>1758</v>
      </c>
      <c r="D2846" t="s">
        <v>24</v>
      </c>
      <c r="E2846" t="s">
        <v>25</v>
      </c>
      <c r="F2846" t="s">
        <v>26</v>
      </c>
      <c r="G2846" t="s">
        <v>27</v>
      </c>
    </row>
    <row r="2847" spans="1:7" x14ac:dyDescent="0.2">
      <c r="A2847">
        <v>20</v>
      </c>
      <c r="B2847">
        <v>51</v>
      </c>
      <c r="C2847" t="s">
        <v>1759</v>
      </c>
      <c r="D2847" t="s">
        <v>24</v>
      </c>
      <c r="E2847" t="s">
        <v>25</v>
      </c>
      <c r="F2847" t="s">
        <v>26</v>
      </c>
      <c r="G2847" t="s">
        <v>27</v>
      </c>
    </row>
    <row r="2848" spans="1:7" x14ac:dyDescent="0.2">
      <c r="A2848">
        <v>21</v>
      </c>
      <c r="B2848">
        <v>51</v>
      </c>
      <c r="C2848" t="s">
        <v>1760</v>
      </c>
      <c r="D2848" t="s">
        <v>24</v>
      </c>
      <c r="E2848" t="s">
        <v>31</v>
      </c>
      <c r="F2848" t="s">
        <v>26</v>
      </c>
      <c r="G2848" t="s">
        <v>27</v>
      </c>
    </row>
    <row r="2849" spans="1:7" x14ac:dyDescent="0.2">
      <c r="A2849">
        <v>21</v>
      </c>
      <c r="B2849">
        <v>51</v>
      </c>
      <c r="C2849" t="s">
        <v>1761</v>
      </c>
      <c r="D2849" t="s">
        <v>24</v>
      </c>
      <c r="E2849" t="s">
        <v>31</v>
      </c>
      <c r="F2849" t="s">
        <v>26</v>
      </c>
      <c r="G2849" t="s">
        <v>27</v>
      </c>
    </row>
    <row r="2850" spans="1:7" x14ac:dyDescent="0.2">
      <c r="A2850">
        <v>21</v>
      </c>
      <c r="B2850">
        <v>51</v>
      </c>
      <c r="C2850" t="s">
        <v>1669</v>
      </c>
      <c r="D2850" t="s">
        <v>24</v>
      </c>
      <c r="E2850" t="s">
        <v>31</v>
      </c>
      <c r="F2850" t="s">
        <v>26</v>
      </c>
      <c r="G2850" t="s">
        <v>27</v>
      </c>
    </row>
    <row r="2851" spans="1:7" x14ac:dyDescent="0.2">
      <c r="A2851">
        <v>21</v>
      </c>
      <c r="B2851">
        <v>51</v>
      </c>
      <c r="C2851" t="s">
        <v>1750</v>
      </c>
      <c r="D2851" t="s">
        <v>24</v>
      </c>
      <c r="E2851" t="s">
        <v>31</v>
      </c>
      <c r="F2851" t="s">
        <v>26</v>
      </c>
      <c r="G2851" t="s">
        <v>27</v>
      </c>
    </row>
    <row r="2852" spans="1:7" x14ac:dyDescent="0.2">
      <c r="A2852">
        <v>21</v>
      </c>
      <c r="B2852">
        <v>51</v>
      </c>
      <c r="C2852" t="s">
        <v>1671</v>
      </c>
      <c r="D2852" t="s">
        <v>24</v>
      </c>
      <c r="E2852" t="s">
        <v>31</v>
      </c>
      <c r="F2852" t="s">
        <v>26</v>
      </c>
      <c r="G2852" t="s">
        <v>27</v>
      </c>
    </row>
    <row r="2853" spans="1:7" x14ac:dyDescent="0.2">
      <c r="A2853">
        <v>21</v>
      </c>
      <c r="B2853">
        <v>51</v>
      </c>
      <c r="C2853" t="s">
        <v>1762</v>
      </c>
      <c r="D2853" t="s">
        <v>24</v>
      </c>
      <c r="E2853" t="s">
        <v>31</v>
      </c>
      <c r="F2853" t="s">
        <v>26</v>
      </c>
      <c r="G2853" t="s">
        <v>27</v>
      </c>
    </row>
    <row r="2854" spans="1:7" x14ac:dyDescent="0.2">
      <c r="A2854">
        <v>21</v>
      </c>
      <c r="B2854">
        <v>51</v>
      </c>
      <c r="C2854" t="s">
        <v>1752</v>
      </c>
      <c r="D2854" t="s">
        <v>24</v>
      </c>
      <c r="E2854" t="s">
        <v>31</v>
      </c>
      <c r="F2854" t="s">
        <v>26</v>
      </c>
      <c r="G2854" t="s">
        <v>27</v>
      </c>
    </row>
    <row r="2855" spans="1:7" x14ac:dyDescent="0.2">
      <c r="A2855">
        <v>21</v>
      </c>
      <c r="B2855">
        <v>51</v>
      </c>
      <c r="C2855" t="s">
        <v>1674</v>
      </c>
      <c r="D2855" t="s">
        <v>24</v>
      </c>
      <c r="E2855" t="s">
        <v>31</v>
      </c>
      <c r="F2855" t="s">
        <v>26</v>
      </c>
      <c r="G2855" t="s">
        <v>27</v>
      </c>
    </row>
    <row r="2856" spans="1:7" x14ac:dyDescent="0.2">
      <c r="A2856">
        <v>21</v>
      </c>
      <c r="B2856">
        <v>51</v>
      </c>
      <c r="C2856" t="s">
        <v>1691</v>
      </c>
      <c r="D2856" t="s">
        <v>24</v>
      </c>
      <c r="E2856" t="s">
        <v>31</v>
      </c>
      <c r="F2856" t="s">
        <v>47</v>
      </c>
      <c r="G2856" t="s">
        <v>27</v>
      </c>
    </row>
    <row r="2857" spans="1:7" x14ac:dyDescent="0.2">
      <c r="A2857">
        <v>21</v>
      </c>
      <c r="B2857">
        <v>51</v>
      </c>
      <c r="C2857" t="s">
        <v>1734</v>
      </c>
      <c r="D2857" t="s">
        <v>24</v>
      </c>
      <c r="E2857" t="s">
        <v>31</v>
      </c>
      <c r="F2857" t="s">
        <v>26</v>
      </c>
      <c r="G2857" t="s">
        <v>27</v>
      </c>
    </row>
    <row r="2858" spans="1:7" x14ac:dyDescent="0.2">
      <c r="A2858">
        <v>21</v>
      </c>
      <c r="B2858">
        <v>51</v>
      </c>
      <c r="C2858" t="s">
        <v>1758</v>
      </c>
      <c r="D2858" t="s">
        <v>24</v>
      </c>
      <c r="E2858" t="s">
        <v>31</v>
      </c>
      <c r="F2858" t="s">
        <v>26</v>
      </c>
      <c r="G2858" t="s">
        <v>27</v>
      </c>
    </row>
    <row r="2859" spans="1:7" x14ac:dyDescent="0.2">
      <c r="A2859">
        <v>21</v>
      </c>
      <c r="B2859">
        <v>51</v>
      </c>
      <c r="C2859" t="s">
        <v>1722</v>
      </c>
      <c r="D2859" t="s">
        <v>24</v>
      </c>
      <c r="E2859" t="s">
        <v>31</v>
      </c>
      <c r="F2859" t="s">
        <v>26</v>
      </c>
      <c r="G2859" t="s">
        <v>27</v>
      </c>
    </row>
    <row r="2860" spans="1:7" x14ac:dyDescent="0.2">
      <c r="A2860">
        <v>22</v>
      </c>
      <c r="B2860">
        <v>51</v>
      </c>
      <c r="C2860" t="s">
        <v>1668</v>
      </c>
      <c r="D2860" t="s">
        <v>24</v>
      </c>
      <c r="E2860" t="s">
        <v>31</v>
      </c>
      <c r="F2860" t="s">
        <v>26</v>
      </c>
      <c r="G2860" t="s">
        <v>27</v>
      </c>
    </row>
    <row r="2861" spans="1:7" x14ac:dyDescent="0.2">
      <c r="A2861">
        <v>22</v>
      </c>
      <c r="B2861">
        <v>51</v>
      </c>
      <c r="C2861" t="s">
        <v>1761</v>
      </c>
      <c r="D2861" t="s">
        <v>24</v>
      </c>
      <c r="E2861" t="s">
        <v>31</v>
      </c>
      <c r="F2861" t="s">
        <v>26</v>
      </c>
      <c r="G2861" t="s">
        <v>27</v>
      </c>
    </row>
    <row r="2862" spans="1:7" x14ac:dyDescent="0.2">
      <c r="A2862">
        <v>22</v>
      </c>
      <c r="B2862">
        <v>51</v>
      </c>
      <c r="C2862" t="s">
        <v>1669</v>
      </c>
      <c r="D2862" t="s">
        <v>24</v>
      </c>
      <c r="E2862" t="s">
        <v>31</v>
      </c>
      <c r="F2862" t="s">
        <v>26</v>
      </c>
      <c r="G2862" t="s">
        <v>27</v>
      </c>
    </row>
    <row r="2863" spans="1:7" x14ac:dyDescent="0.2">
      <c r="A2863">
        <v>22</v>
      </c>
      <c r="B2863">
        <v>51</v>
      </c>
      <c r="C2863" t="s">
        <v>1671</v>
      </c>
      <c r="D2863" t="s">
        <v>24</v>
      </c>
      <c r="E2863" t="s">
        <v>31</v>
      </c>
      <c r="F2863" t="s">
        <v>26</v>
      </c>
      <c r="G2863" t="s">
        <v>27</v>
      </c>
    </row>
    <row r="2864" spans="1:7" x14ac:dyDescent="0.2">
      <c r="A2864">
        <v>22</v>
      </c>
      <c r="B2864">
        <v>51</v>
      </c>
      <c r="C2864" t="s">
        <v>1752</v>
      </c>
      <c r="D2864" t="s">
        <v>24</v>
      </c>
      <c r="E2864" t="s">
        <v>31</v>
      </c>
      <c r="F2864" t="s">
        <v>26</v>
      </c>
      <c r="G2864" t="s">
        <v>27</v>
      </c>
    </row>
    <row r="2865" spans="1:7" x14ac:dyDescent="0.2">
      <c r="A2865">
        <v>22</v>
      </c>
      <c r="B2865">
        <v>51</v>
      </c>
      <c r="C2865" t="s">
        <v>1763</v>
      </c>
      <c r="D2865" t="s">
        <v>24</v>
      </c>
      <c r="E2865" t="s">
        <v>31</v>
      </c>
      <c r="F2865" t="s">
        <v>26</v>
      </c>
      <c r="G2865" t="s">
        <v>27</v>
      </c>
    </row>
    <row r="2866" spans="1:7" x14ac:dyDescent="0.2">
      <c r="A2866">
        <v>22</v>
      </c>
      <c r="B2866">
        <v>51</v>
      </c>
      <c r="C2866" t="s">
        <v>1764</v>
      </c>
      <c r="D2866" t="s">
        <v>24</v>
      </c>
      <c r="E2866" t="s">
        <v>31</v>
      </c>
      <c r="F2866" t="s">
        <v>26</v>
      </c>
      <c r="G2866" t="s">
        <v>27</v>
      </c>
    </row>
    <row r="2867" spans="1:7" x14ac:dyDescent="0.2">
      <c r="A2867">
        <v>22</v>
      </c>
      <c r="B2867">
        <v>51</v>
      </c>
      <c r="C2867" t="s">
        <v>1765</v>
      </c>
      <c r="D2867" t="s">
        <v>24</v>
      </c>
      <c r="E2867" t="s">
        <v>31</v>
      </c>
      <c r="F2867" t="s">
        <v>26</v>
      </c>
      <c r="G2867" t="s">
        <v>27</v>
      </c>
    </row>
    <row r="2868" spans="1:7" x14ac:dyDescent="0.2">
      <c r="A2868">
        <v>23</v>
      </c>
      <c r="B2868">
        <v>51</v>
      </c>
      <c r="C2868" t="s">
        <v>1668</v>
      </c>
      <c r="D2868" t="s">
        <v>24</v>
      </c>
      <c r="E2868" t="s">
        <v>25</v>
      </c>
      <c r="F2868" t="s">
        <v>26</v>
      </c>
      <c r="G2868" t="s">
        <v>27</v>
      </c>
    </row>
    <row r="2869" spans="1:7" x14ac:dyDescent="0.2">
      <c r="A2869">
        <v>23</v>
      </c>
      <c r="B2869">
        <v>51</v>
      </c>
      <c r="C2869" t="s">
        <v>1761</v>
      </c>
      <c r="D2869" t="s">
        <v>24</v>
      </c>
      <c r="E2869" t="s">
        <v>25</v>
      </c>
      <c r="F2869" t="s">
        <v>26</v>
      </c>
      <c r="G2869" t="s">
        <v>27</v>
      </c>
    </row>
    <row r="2870" spans="1:7" x14ac:dyDescent="0.2">
      <c r="A2870">
        <v>23</v>
      </c>
      <c r="B2870">
        <v>51</v>
      </c>
      <c r="C2870" t="s">
        <v>1669</v>
      </c>
      <c r="D2870" t="s">
        <v>24</v>
      </c>
      <c r="E2870" t="s">
        <v>25</v>
      </c>
      <c r="F2870" t="s">
        <v>26</v>
      </c>
      <c r="G2870" t="s">
        <v>27</v>
      </c>
    </row>
    <row r="2871" spans="1:7" x14ac:dyDescent="0.2">
      <c r="A2871">
        <v>23</v>
      </c>
      <c r="B2871">
        <v>51</v>
      </c>
      <c r="C2871" t="s">
        <v>1671</v>
      </c>
      <c r="D2871" t="s">
        <v>24</v>
      </c>
      <c r="E2871" t="s">
        <v>25</v>
      </c>
      <c r="F2871" t="s">
        <v>26</v>
      </c>
      <c r="G2871" t="s">
        <v>27</v>
      </c>
    </row>
    <row r="2872" spans="1:7" x14ac:dyDescent="0.2">
      <c r="A2872">
        <v>23</v>
      </c>
      <c r="B2872">
        <v>51</v>
      </c>
      <c r="C2872" t="s">
        <v>1766</v>
      </c>
      <c r="D2872" t="s">
        <v>24</v>
      </c>
      <c r="E2872" t="s">
        <v>25</v>
      </c>
      <c r="F2872" t="s">
        <v>26</v>
      </c>
      <c r="G2872" t="s">
        <v>27</v>
      </c>
    </row>
    <row r="2873" spans="1:7" x14ac:dyDescent="0.2">
      <c r="A2873">
        <v>23</v>
      </c>
      <c r="B2873">
        <v>51</v>
      </c>
      <c r="C2873" t="s">
        <v>1767</v>
      </c>
      <c r="D2873" t="s">
        <v>24</v>
      </c>
      <c r="E2873" t="s">
        <v>25</v>
      </c>
      <c r="F2873" t="s">
        <v>26</v>
      </c>
      <c r="G2873" t="s">
        <v>27</v>
      </c>
    </row>
    <row r="2874" spans="1:7" x14ac:dyDescent="0.2">
      <c r="A2874">
        <v>23</v>
      </c>
      <c r="B2874">
        <v>51</v>
      </c>
      <c r="C2874" t="s">
        <v>1763</v>
      </c>
      <c r="D2874" t="s">
        <v>24</v>
      </c>
      <c r="E2874" t="s">
        <v>25</v>
      </c>
      <c r="F2874" t="s">
        <v>26</v>
      </c>
      <c r="G2874" t="s">
        <v>27</v>
      </c>
    </row>
    <row r="2875" spans="1:7" x14ac:dyDescent="0.2">
      <c r="A2875">
        <v>23</v>
      </c>
      <c r="B2875">
        <v>51</v>
      </c>
      <c r="C2875" t="s">
        <v>1764</v>
      </c>
      <c r="D2875" t="s">
        <v>24</v>
      </c>
      <c r="E2875" t="s">
        <v>25</v>
      </c>
      <c r="F2875" t="s">
        <v>26</v>
      </c>
      <c r="G2875" t="s">
        <v>27</v>
      </c>
    </row>
    <row r="2876" spans="1:7" x14ac:dyDescent="0.2">
      <c r="A2876">
        <v>23</v>
      </c>
      <c r="B2876">
        <v>51</v>
      </c>
      <c r="C2876" t="s">
        <v>1768</v>
      </c>
      <c r="D2876" t="s">
        <v>30</v>
      </c>
      <c r="E2876" t="s">
        <v>25</v>
      </c>
      <c r="F2876" t="s">
        <v>26</v>
      </c>
      <c r="G2876" t="s">
        <v>27</v>
      </c>
    </row>
    <row r="2877" spans="1:7" x14ac:dyDescent="0.2">
      <c r="A2877">
        <v>23</v>
      </c>
      <c r="B2877">
        <v>51</v>
      </c>
      <c r="C2877" t="s">
        <v>1706</v>
      </c>
      <c r="D2877" t="s">
        <v>24</v>
      </c>
      <c r="E2877" t="s">
        <v>25</v>
      </c>
      <c r="F2877" t="s">
        <v>26</v>
      </c>
      <c r="G2877" t="s">
        <v>27</v>
      </c>
    </row>
    <row r="2878" spans="1:7" x14ac:dyDescent="0.2">
      <c r="A2878">
        <v>23</v>
      </c>
      <c r="B2878">
        <v>51</v>
      </c>
      <c r="C2878" t="s">
        <v>1769</v>
      </c>
      <c r="D2878" t="s">
        <v>24</v>
      </c>
      <c r="E2878" t="s">
        <v>25</v>
      </c>
      <c r="F2878" t="s">
        <v>26</v>
      </c>
      <c r="G2878" t="s">
        <v>27</v>
      </c>
    </row>
    <row r="2879" spans="1:7" x14ac:dyDescent="0.2">
      <c r="A2879">
        <v>7</v>
      </c>
      <c r="B2879">
        <v>52</v>
      </c>
      <c r="C2879" t="s">
        <v>1770</v>
      </c>
      <c r="D2879" t="s">
        <v>24</v>
      </c>
      <c r="E2879" t="s">
        <v>31</v>
      </c>
      <c r="F2879" t="s">
        <v>26</v>
      </c>
      <c r="G2879" t="s">
        <v>27</v>
      </c>
    </row>
    <row r="2880" spans="1:7" x14ac:dyDescent="0.2">
      <c r="A2880">
        <v>7</v>
      </c>
      <c r="B2880">
        <v>52</v>
      </c>
      <c r="C2880" t="s">
        <v>1771</v>
      </c>
      <c r="D2880" t="s">
        <v>24</v>
      </c>
      <c r="E2880" t="s">
        <v>31</v>
      </c>
      <c r="F2880" t="s">
        <v>26</v>
      </c>
      <c r="G2880" t="s">
        <v>27</v>
      </c>
    </row>
    <row r="2881" spans="1:7" x14ac:dyDescent="0.2">
      <c r="A2881">
        <v>7</v>
      </c>
      <c r="B2881">
        <v>52</v>
      </c>
      <c r="C2881" t="s">
        <v>1772</v>
      </c>
      <c r="D2881" t="s">
        <v>24</v>
      </c>
      <c r="E2881" t="s">
        <v>31</v>
      </c>
      <c r="F2881" t="s">
        <v>26</v>
      </c>
      <c r="G2881" t="s">
        <v>27</v>
      </c>
    </row>
    <row r="2882" spans="1:7" x14ac:dyDescent="0.2">
      <c r="A2882">
        <v>7</v>
      </c>
      <c r="B2882">
        <v>52</v>
      </c>
      <c r="C2882" t="s">
        <v>1773</v>
      </c>
      <c r="D2882" t="s">
        <v>24</v>
      </c>
      <c r="E2882" t="s">
        <v>31</v>
      </c>
      <c r="F2882" t="s">
        <v>26</v>
      </c>
      <c r="G2882" t="s">
        <v>27</v>
      </c>
    </row>
    <row r="2883" spans="1:7" x14ac:dyDescent="0.2">
      <c r="A2883">
        <v>7</v>
      </c>
      <c r="B2883">
        <v>52</v>
      </c>
      <c r="C2883" t="s">
        <v>1774</v>
      </c>
      <c r="D2883" t="s">
        <v>24</v>
      </c>
      <c r="E2883" t="s">
        <v>31</v>
      </c>
      <c r="F2883" t="s">
        <v>26</v>
      </c>
      <c r="G2883" t="s">
        <v>27</v>
      </c>
    </row>
    <row r="2884" spans="1:7" x14ac:dyDescent="0.2">
      <c r="A2884">
        <v>8</v>
      </c>
      <c r="B2884">
        <v>52</v>
      </c>
      <c r="C2884" t="s">
        <v>1772</v>
      </c>
      <c r="D2884" t="s">
        <v>24</v>
      </c>
      <c r="E2884" t="s">
        <v>31</v>
      </c>
      <c r="F2884" t="s">
        <v>26</v>
      </c>
      <c r="G2884" t="s">
        <v>27</v>
      </c>
    </row>
    <row r="2885" spans="1:7" x14ac:dyDescent="0.2">
      <c r="A2885">
        <v>8</v>
      </c>
      <c r="B2885">
        <v>52</v>
      </c>
      <c r="C2885" t="s">
        <v>1774</v>
      </c>
      <c r="D2885" t="s">
        <v>24</v>
      </c>
      <c r="E2885" t="s">
        <v>31</v>
      </c>
      <c r="F2885" t="s">
        <v>26</v>
      </c>
      <c r="G2885" t="s">
        <v>27</v>
      </c>
    </row>
    <row r="2886" spans="1:7" x14ac:dyDescent="0.2">
      <c r="A2886">
        <v>8</v>
      </c>
      <c r="B2886">
        <v>52</v>
      </c>
      <c r="C2886" t="s">
        <v>1771</v>
      </c>
      <c r="D2886" t="s">
        <v>24</v>
      </c>
      <c r="E2886" t="s">
        <v>31</v>
      </c>
      <c r="F2886" t="s">
        <v>26</v>
      </c>
      <c r="G2886" t="s">
        <v>27</v>
      </c>
    </row>
    <row r="2887" spans="1:7" x14ac:dyDescent="0.2">
      <c r="A2887">
        <v>9</v>
      </c>
      <c r="B2887">
        <v>52</v>
      </c>
      <c r="C2887" t="s">
        <v>1775</v>
      </c>
      <c r="D2887" t="s">
        <v>30</v>
      </c>
      <c r="E2887" t="s">
        <v>25</v>
      </c>
      <c r="F2887" t="s">
        <v>26</v>
      </c>
      <c r="G2887" t="s">
        <v>27</v>
      </c>
    </row>
    <row r="2888" spans="1:7" x14ac:dyDescent="0.2">
      <c r="A2888">
        <v>9</v>
      </c>
      <c r="B2888">
        <v>52</v>
      </c>
      <c r="C2888" t="s">
        <v>1776</v>
      </c>
      <c r="D2888" t="s">
        <v>24</v>
      </c>
      <c r="E2888" t="s">
        <v>25</v>
      </c>
      <c r="F2888" t="s">
        <v>26</v>
      </c>
      <c r="G2888" t="s">
        <v>27</v>
      </c>
    </row>
    <row r="2889" spans="1:7" x14ac:dyDescent="0.2">
      <c r="A2889">
        <v>9</v>
      </c>
      <c r="B2889">
        <v>52</v>
      </c>
      <c r="C2889" t="s">
        <v>1777</v>
      </c>
      <c r="D2889" t="s">
        <v>30</v>
      </c>
      <c r="E2889" t="s">
        <v>25</v>
      </c>
      <c r="F2889" t="s">
        <v>26</v>
      </c>
      <c r="G2889" t="s">
        <v>27</v>
      </c>
    </row>
    <row r="2890" spans="1:7" x14ac:dyDescent="0.2">
      <c r="A2890">
        <v>9</v>
      </c>
      <c r="B2890">
        <v>52</v>
      </c>
      <c r="C2890" t="s">
        <v>1778</v>
      </c>
      <c r="D2890" t="s">
        <v>24</v>
      </c>
      <c r="E2890" t="s">
        <v>25</v>
      </c>
      <c r="F2890" t="s">
        <v>26</v>
      </c>
      <c r="G2890" t="s">
        <v>27</v>
      </c>
    </row>
    <row r="2891" spans="1:7" x14ac:dyDescent="0.2">
      <c r="A2891">
        <v>9</v>
      </c>
      <c r="B2891">
        <v>52</v>
      </c>
      <c r="C2891" t="s">
        <v>1779</v>
      </c>
      <c r="D2891" t="s">
        <v>24</v>
      </c>
      <c r="E2891" t="s">
        <v>25</v>
      </c>
      <c r="F2891" t="s">
        <v>26</v>
      </c>
      <c r="G2891" t="s">
        <v>27</v>
      </c>
    </row>
    <row r="2892" spans="1:7" x14ac:dyDescent="0.2">
      <c r="A2892">
        <v>9</v>
      </c>
      <c r="B2892">
        <v>52</v>
      </c>
      <c r="C2892" t="s">
        <v>1780</v>
      </c>
      <c r="D2892" t="s">
        <v>24</v>
      </c>
      <c r="E2892" t="s">
        <v>25</v>
      </c>
      <c r="F2892" t="s">
        <v>26</v>
      </c>
      <c r="G2892" t="s">
        <v>27</v>
      </c>
    </row>
    <row r="2893" spans="1:7" x14ac:dyDescent="0.2">
      <c r="A2893">
        <v>9</v>
      </c>
      <c r="B2893">
        <v>52</v>
      </c>
      <c r="C2893" t="s">
        <v>1781</v>
      </c>
      <c r="D2893" t="s">
        <v>24</v>
      </c>
      <c r="E2893" t="s">
        <v>25</v>
      </c>
      <c r="F2893" t="s">
        <v>26</v>
      </c>
      <c r="G2893" t="s">
        <v>27</v>
      </c>
    </row>
    <row r="2894" spans="1:7" x14ac:dyDescent="0.2">
      <c r="A2894">
        <v>9</v>
      </c>
      <c r="B2894">
        <v>52</v>
      </c>
      <c r="C2894" t="s">
        <v>1782</v>
      </c>
      <c r="D2894" t="s">
        <v>30</v>
      </c>
      <c r="E2894" t="s">
        <v>25</v>
      </c>
      <c r="F2894" t="s">
        <v>26</v>
      </c>
      <c r="G2894" t="s">
        <v>27</v>
      </c>
    </row>
    <row r="2895" spans="1:7" x14ac:dyDescent="0.2">
      <c r="A2895">
        <v>9</v>
      </c>
      <c r="B2895">
        <v>52</v>
      </c>
      <c r="C2895" t="s">
        <v>1783</v>
      </c>
      <c r="D2895" t="s">
        <v>24</v>
      </c>
      <c r="E2895" t="s">
        <v>25</v>
      </c>
      <c r="F2895" t="s">
        <v>26</v>
      </c>
      <c r="G2895" t="s">
        <v>27</v>
      </c>
    </row>
    <row r="2896" spans="1:7" x14ac:dyDescent="0.2">
      <c r="A2896">
        <v>9</v>
      </c>
      <c r="B2896">
        <v>52</v>
      </c>
      <c r="C2896" t="s">
        <v>1784</v>
      </c>
      <c r="D2896" t="s">
        <v>24</v>
      </c>
      <c r="E2896" t="s">
        <v>25</v>
      </c>
      <c r="F2896" t="s">
        <v>26</v>
      </c>
      <c r="G2896" t="s">
        <v>27</v>
      </c>
    </row>
    <row r="2897" spans="1:7" x14ac:dyDescent="0.2">
      <c r="A2897">
        <v>9</v>
      </c>
      <c r="B2897">
        <v>52</v>
      </c>
      <c r="C2897" t="s">
        <v>1785</v>
      </c>
      <c r="D2897" t="s">
        <v>24</v>
      </c>
      <c r="E2897" t="s">
        <v>25</v>
      </c>
      <c r="F2897" t="s">
        <v>26</v>
      </c>
      <c r="G2897" t="s">
        <v>27</v>
      </c>
    </row>
    <row r="2898" spans="1:7" x14ac:dyDescent="0.2">
      <c r="A2898">
        <v>9</v>
      </c>
      <c r="B2898">
        <v>52</v>
      </c>
      <c r="C2898" t="s">
        <v>1786</v>
      </c>
      <c r="D2898" t="s">
        <v>24</v>
      </c>
      <c r="E2898" t="s">
        <v>25</v>
      </c>
      <c r="F2898" t="s">
        <v>26</v>
      </c>
      <c r="G2898" t="s">
        <v>27</v>
      </c>
    </row>
    <row r="2899" spans="1:7" x14ac:dyDescent="0.2">
      <c r="A2899">
        <v>10</v>
      </c>
      <c r="B2899">
        <v>52</v>
      </c>
      <c r="C2899" t="s">
        <v>1787</v>
      </c>
      <c r="D2899" t="s">
        <v>24</v>
      </c>
      <c r="E2899" t="s">
        <v>31</v>
      </c>
      <c r="F2899" t="s">
        <v>26</v>
      </c>
      <c r="G2899" t="s">
        <v>27</v>
      </c>
    </row>
    <row r="2900" spans="1:7" x14ac:dyDescent="0.2">
      <c r="A2900">
        <v>10</v>
      </c>
      <c r="B2900">
        <v>52</v>
      </c>
      <c r="C2900" t="s">
        <v>1721</v>
      </c>
      <c r="D2900" t="s">
        <v>24</v>
      </c>
      <c r="E2900" t="s">
        <v>31</v>
      </c>
      <c r="F2900" t="s">
        <v>26</v>
      </c>
      <c r="G2900" t="s">
        <v>27</v>
      </c>
    </row>
    <row r="2901" spans="1:7" x14ac:dyDescent="0.2">
      <c r="A2901">
        <v>10</v>
      </c>
      <c r="B2901">
        <v>52</v>
      </c>
      <c r="C2901" t="s">
        <v>1788</v>
      </c>
      <c r="D2901" t="s">
        <v>24</v>
      </c>
      <c r="E2901" t="s">
        <v>31</v>
      </c>
      <c r="F2901" t="s">
        <v>26</v>
      </c>
      <c r="G2901" t="s">
        <v>27</v>
      </c>
    </row>
    <row r="2902" spans="1:7" x14ac:dyDescent="0.2">
      <c r="A2902">
        <v>10</v>
      </c>
      <c r="B2902">
        <v>52</v>
      </c>
      <c r="C2902" t="s">
        <v>1789</v>
      </c>
      <c r="D2902" t="s">
        <v>24</v>
      </c>
      <c r="E2902" t="s">
        <v>31</v>
      </c>
      <c r="F2902" t="s">
        <v>26</v>
      </c>
      <c r="G2902" t="s">
        <v>27</v>
      </c>
    </row>
    <row r="2903" spans="1:7" x14ac:dyDescent="0.2">
      <c r="A2903">
        <v>10</v>
      </c>
      <c r="B2903">
        <v>52</v>
      </c>
      <c r="C2903" t="s">
        <v>1790</v>
      </c>
      <c r="D2903" t="s">
        <v>24</v>
      </c>
      <c r="E2903" t="s">
        <v>31</v>
      </c>
      <c r="F2903" t="s">
        <v>26</v>
      </c>
      <c r="G2903" t="s">
        <v>27</v>
      </c>
    </row>
    <row r="2904" spans="1:7" x14ac:dyDescent="0.2">
      <c r="A2904">
        <v>10</v>
      </c>
      <c r="B2904">
        <v>52</v>
      </c>
      <c r="C2904" t="s">
        <v>1771</v>
      </c>
      <c r="D2904" t="s">
        <v>24</v>
      </c>
      <c r="E2904" t="s">
        <v>31</v>
      </c>
      <c r="F2904" t="s">
        <v>26</v>
      </c>
      <c r="G2904" t="s">
        <v>27</v>
      </c>
    </row>
    <row r="2905" spans="1:7" x14ac:dyDescent="0.2">
      <c r="A2905">
        <v>10</v>
      </c>
      <c r="B2905">
        <v>52</v>
      </c>
      <c r="C2905" t="s">
        <v>1791</v>
      </c>
      <c r="D2905" t="s">
        <v>24</v>
      </c>
      <c r="E2905" t="s">
        <v>31</v>
      </c>
      <c r="F2905" t="s">
        <v>26</v>
      </c>
      <c r="G2905" t="s">
        <v>27</v>
      </c>
    </row>
    <row r="2906" spans="1:7" x14ac:dyDescent="0.2">
      <c r="A2906">
        <v>10</v>
      </c>
      <c r="B2906">
        <v>52</v>
      </c>
      <c r="C2906" t="s">
        <v>1792</v>
      </c>
      <c r="D2906" t="s">
        <v>24</v>
      </c>
      <c r="E2906" t="s">
        <v>31</v>
      </c>
      <c r="F2906" t="s">
        <v>26</v>
      </c>
      <c r="G2906" t="s">
        <v>27</v>
      </c>
    </row>
    <row r="2907" spans="1:7" x14ac:dyDescent="0.2">
      <c r="A2907">
        <v>10</v>
      </c>
      <c r="B2907">
        <v>52</v>
      </c>
      <c r="C2907" t="s">
        <v>1793</v>
      </c>
      <c r="D2907" t="s">
        <v>24</v>
      </c>
      <c r="E2907" t="s">
        <v>31</v>
      </c>
      <c r="F2907" t="s">
        <v>26</v>
      </c>
      <c r="G2907" t="s">
        <v>27</v>
      </c>
    </row>
    <row r="2908" spans="1:7" x14ac:dyDescent="0.2">
      <c r="A2908">
        <v>10</v>
      </c>
      <c r="B2908">
        <v>52</v>
      </c>
      <c r="C2908" t="s">
        <v>1794</v>
      </c>
      <c r="D2908" t="s">
        <v>24</v>
      </c>
      <c r="E2908" t="s">
        <v>31</v>
      </c>
      <c r="F2908" t="s">
        <v>26</v>
      </c>
      <c r="G2908" t="s">
        <v>27</v>
      </c>
    </row>
    <row r="2909" spans="1:7" x14ac:dyDescent="0.2">
      <c r="A2909">
        <v>10</v>
      </c>
      <c r="B2909">
        <v>52</v>
      </c>
      <c r="C2909" t="s">
        <v>1795</v>
      </c>
      <c r="D2909" t="s">
        <v>24</v>
      </c>
      <c r="E2909" t="s">
        <v>31</v>
      </c>
      <c r="F2909" t="s">
        <v>26</v>
      </c>
      <c r="G2909" t="s">
        <v>27</v>
      </c>
    </row>
    <row r="2910" spans="1:7" x14ac:dyDescent="0.2">
      <c r="A2910">
        <v>10</v>
      </c>
      <c r="B2910">
        <v>52</v>
      </c>
      <c r="C2910">
        <v>36726</v>
      </c>
      <c r="D2910" t="s">
        <v>24</v>
      </c>
      <c r="E2910" t="s">
        <v>31</v>
      </c>
      <c r="F2910" t="s">
        <v>26</v>
      </c>
      <c r="G2910" t="s">
        <v>27</v>
      </c>
    </row>
    <row r="2911" spans="1:7" x14ac:dyDescent="0.2">
      <c r="A2911">
        <v>10</v>
      </c>
      <c r="B2911">
        <v>52</v>
      </c>
      <c r="C2911" t="s">
        <v>1774</v>
      </c>
      <c r="D2911" t="s">
        <v>24</v>
      </c>
      <c r="E2911" t="s">
        <v>31</v>
      </c>
      <c r="F2911" t="s">
        <v>26</v>
      </c>
      <c r="G2911" t="s">
        <v>27</v>
      </c>
    </row>
    <row r="2912" spans="1:7" x14ac:dyDescent="0.2">
      <c r="A2912">
        <v>10</v>
      </c>
      <c r="B2912">
        <v>52</v>
      </c>
      <c r="C2912" t="s">
        <v>1796</v>
      </c>
      <c r="D2912" t="s">
        <v>24</v>
      </c>
      <c r="E2912" t="s">
        <v>31</v>
      </c>
      <c r="F2912" t="s">
        <v>26</v>
      </c>
      <c r="G2912" t="s">
        <v>27</v>
      </c>
    </row>
    <row r="2913" spans="1:7" x14ac:dyDescent="0.2">
      <c r="A2913">
        <v>10</v>
      </c>
      <c r="B2913">
        <v>52</v>
      </c>
      <c r="C2913" t="s">
        <v>1797</v>
      </c>
      <c r="D2913" t="s">
        <v>24</v>
      </c>
      <c r="E2913" t="s">
        <v>31</v>
      </c>
      <c r="F2913" t="s">
        <v>26</v>
      </c>
      <c r="G2913" t="s">
        <v>27</v>
      </c>
    </row>
    <row r="2914" spans="1:7" x14ac:dyDescent="0.2">
      <c r="A2914">
        <v>11</v>
      </c>
      <c r="B2914">
        <v>52</v>
      </c>
      <c r="C2914" t="s">
        <v>1798</v>
      </c>
      <c r="D2914" t="s">
        <v>24</v>
      </c>
      <c r="E2914" t="s">
        <v>31</v>
      </c>
      <c r="F2914" t="s">
        <v>26</v>
      </c>
      <c r="G2914" t="s">
        <v>27</v>
      </c>
    </row>
    <row r="2915" spans="1:7" x14ac:dyDescent="0.2">
      <c r="A2915">
        <v>11</v>
      </c>
      <c r="B2915">
        <v>52</v>
      </c>
      <c r="C2915" t="s">
        <v>1799</v>
      </c>
      <c r="D2915" t="s">
        <v>24</v>
      </c>
      <c r="E2915" t="s">
        <v>31</v>
      </c>
      <c r="F2915" t="s">
        <v>26</v>
      </c>
      <c r="G2915" t="s">
        <v>27</v>
      </c>
    </row>
    <row r="2916" spans="1:7" x14ac:dyDescent="0.2">
      <c r="A2916">
        <v>11</v>
      </c>
      <c r="B2916">
        <v>52</v>
      </c>
      <c r="C2916" t="s">
        <v>1800</v>
      </c>
      <c r="D2916" t="s">
        <v>24</v>
      </c>
      <c r="E2916" t="s">
        <v>31</v>
      </c>
      <c r="F2916" t="s">
        <v>26</v>
      </c>
      <c r="G2916" t="s">
        <v>27</v>
      </c>
    </row>
    <row r="2917" spans="1:7" x14ac:dyDescent="0.2">
      <c r="A2917">
        <v>11</v>
      </c>
      <c r="B2917">
        <v>52</v>
      </c>
      <c r="C2917" t="s">
        <v>1721</v>
      </c>
      <c r="D2917" t="s">
        <v>30</v>
      </c>
      <c r="E2917" t="s">
        <v>31</v>
      </c>
      <c r="F2917" t="s">
        <v>26</v>
      </c>
      <c r="G2917" t="s">
        <v>27</v>
      </c>
    </row>
    <row r="2918" spans="1:7" x14ac:dyDescent="0.2">
      <c r="A2918">
        <v>11</v>
      </c>
      <c r="B2918">
        <v>52</v>
      </c>
      <c r="C2918" t="s">
        <v>1801</v>
      </c>
      <c r="D2918" t="s">
        <v>24</v>
      </c>
      <c r="E2918" t="s">
        <v>31</v>
      </c>
      <c r="F2918" t="s">
        <v>26</v>
      </c>
      <c r="G2918" t="s">
        <v>27</v>
      </c>
    </row>
    <row r="2919" spans="1:7" x14ac:dyDescent="0.2">
      <c r="A2919">
        <v>11</v>
      </c>
      <c r="B2919">
        <v>52</v>
      </c>
      <c r="C2919" t="s">
        <v>1802</v>
      </c>
      <c r="D2919" t="s">
        <v>30</v>
      </c>
      <c r="E2919" t="s">
        <v>31</v>
      </c>
      <c r="F2919" t="s">
        <v>26</v>
      </c>
      <c r="G2919" t="s">
        <v>27</v>
      </c>
    </row>
    <row r="2920" spans="1:7" x14ac:dyDescent="0.2">
      <c r="A2920">
        <v>11</v>
      </c>
      <c r="B2920">
        <v>52</v>
      </c>
      <c r="C2920" t="s">
        <v>1803</v>
      </c>
      <c r="D2920" t="s">
        <v>24</v>
      </c>
      <c r="E2920" t="s">
        <v>31</v>
      </c>
      <c r="F2920" t="s">
        <v>26</v>
      </c>
      <c r="G2920" t="s">
        <v>27</v>
      </c>
    </row>
    <row r="2921" spans="1:7" x14ac:dyDescent="0.2">
      <c r="A2921">
        <v>11</v>
      </c>
      <c r="B2921">
        <v>52</v>
      </c>
      <c r="C2921" t="s">
        <v>1790</v>
      </c>
      <c r="D2921" t="s">
        <v>24</v>
      </c>
      <c r="E2921" t="s">
        <v>31</v>
      </c>
      <c r="F2921" t="s">
        <v>26</v>
      </c>
      <c r="G2921" t="s">
        <v>27</v>
      </c>
    </row>
    <row r="2922" spans="1:7" x14ac:dyDescent="0.2">
      <c r="A2922">
        <v>11</v>
      </c>
      <c r="B2922">
        <v>52</v>
      </c>
      <c r="C2922" t="s">
        <v>1804</v>
      </c>
      <c r="D2922" t="s">
        <v>24</v>
      </c>
      <c r="E2922" t="s">
        <v>31</v>
      </c>
      <c r="F2922" t="s">
        <v>26</v>
      </c>
      <c r="G2922" t="s">
        <v>27</v>
      </c>
    </row>
    <row r="2923" spans="1:7" x14ac:dyDescent="0.2">
      <c r="A2923">
        <v>11</v>
      </c>
      <c r="B2923">
        <v>52</v>
      </c>
      <c r="C2923" t="s">
        <v>1805</v>
      </c>
      <c r="D2923" t="s">
        <v>24</v>
      </c>
      <c r="E2923" t="s">
        <v>31</v>
      </c>
      <c r="F2923" t="s">
        <v>26</v>
      </c>
      <c r="G2923" t="s">
        <v>27</v>
      </c>
    </row>
    <row r="2924" spans="1:7" x14ac:dyDescent="0.2">
      <c r="A2924">
        <v>11</v>
      </c>
      <c r="B2924">
        <v>52</v>
      </c>
      <c r="C2924" t="s">
        <v>1771</v>
      </c>
      <c r="D2924" t="s">
        <v>24</v>
      </c>
      <c r="E2924" t="s">
        <v>31</v>
      </c>
      <c r="F2924" t="s">
        <v>26</v>
      </c>
      <c r="G2924" t="s">
        <v>27</v>
      </c>
    </row>
    <row r="2925" spans="1:7" x14ac:dyDescent="0.2">
      <c r="A2925">
        <v>11</v>
      </c>
      <c r="B2925">
        <v>52</v>
      </c>
      <c r="C2925" t="s">
        <v>1806</v>
      </c>
      <c r="D2925" t="s">
        <v>24</v>
      </c>
      <c r="E2925" t="s">
        <v>31</v>
      </c>
      <c r="F2925" t="s">
        <v>26</v>
      </c>
      <c r="G2925" t="s">
        <v>27</v>
      </c>
    </row>
    <row r="2926" spans="1:7" x14ac:dyDescent="0.2">
      <c r="A2926">
        <v>11</v>
      </c>
      <c r="B2926">
        <v>52</v>
      </c>
      <c r="C2926" t="s">
        <v>1772</v>
      </c>
      <c r="D2926" t="s">
        <v>24</v>
      </c>
      <c r="E2926" t="s">
        <v>31</v>
      </c>
      <c r="F2926" t="s">
        <v>26</v>
      </c>
      <c r="G2926" t="s">
        <v>27</v>
      </c>
    </row>
    <row r="2927" spans="1:7" x14ac:dyDescent="0.2">
      <c r="A2927">
        <v>11</v>
      </c>
      <c r="B2927">
        <v>52</v>
      </c>
      <c r="C2927" t="s">
        <v>1807</v>
      </c>
      <c r="D2927" t="s">
        <v>24</v>
      </c>
      <c r="E2927" t="s">
        <v>31</v>
      </c>
      <c r="F2927" t="s">
        <v>26</v>
      </c>
      <c r="G2927" t="s">
        <v>27</v>
      </c>
    </row>
    <row r="2928" spans="1:7" x14ac:dyDescent="0.2">
      <c r="A2928">
        <v>11</v>
      </c>
      <c r="B2928">
        <v>52</v>
      </c>
      <c r="C2928" t="s">
        <v>1808</v>
      </c>
      <c r="D2928" t="s">
        <v>24</v>
      </c>
      <c r="E2928" t="s">
        <v>31</v>
      </c>
      <c r="F2928" t="s">
        <v>26</v>
      </c>
      <c r="G2928" t="s">
        <v>27</v>
      </c>
    </row>
    <row r="2929" spans="1:7" x14ac:dyDescent="0.2">
      <c r="A2929">
        <v>11</v>
      </c>
      <c r="B2929">
        <v>52</v>
      </c>
      <c r="C2929" t="s">
        <v>1809</v>
      </c>
      <c r="D2929" t="s">
        <v>24</v>
      </c>
      <c r="E2929" t="s">
        <v>31</v>
      </c>
      <c r="F2929" t="s">
        <v>26</v>
      </c>
      <c r="G2929" t="s">
        <v>27</v>
      </c>
    </row>
    <row r="2930" spans="1:7" x14ac:dyDescent="0.2">
      <c r="A2930">
        <v>11</v>
      </c>
      <c r="B2930">
        <v>52</v>
      </c>
      <c r="C2930" t="s">
        <v>1810</v>
      </c>
      <c r="D2930" t="s">
        <v>24</v>
      </c>
      <c r="E2930" t="s">
        <v>31</v>
      </c>
      <c r="F2930" t="s">
        <v>26</v>
      </c>
      <c r="G2930" t="s">
        <v>27</v>
      </c>
    </row>
    <row r="2931" spans="1:7" x14ac:dyDescent="0.2">
      <c r="A2931">
        <v>11</v>
      </c>
      <c r="B2931">
        <v>52</v>
      </c>
      <c r="C2931" t="s">
        <v>1811</v>
      </c>
      <c r="D2931" t="s">
        <v>30</v>
      </c>
      <c r="E2931" t="s">
        <v>31</v>
      </c>
      <c r="F2931" t="s">
        <v>26</v>
      </c>
      <c r="G2931" t="s">
        <v>27</v>
      </c>
    </row>
    <row r="2932" spans="1:7" x14ac:dyDescent="0.2">
      <c r="A2932">
        <v>11</v>
      </c>
      <c r="B2932">
        <v>52</v>
      </c>
      <c r="C2932" t="s">
        <v>1812</v>
      </c>
      <c r="D2932" t="s">
        <v>24</v>
      </c>
      <c r="E2932" t="s">
        <v>31</v>
      </c>
      <c r="F2932" t="s">
        <v>26</v>
      </c>
      <c r="G2932" t="s">
        <v>27</v>
      </c>
    </row>
    <row r="2933" spans="1:7" x14ac:dyDescent="0.2">
      <c r="A2933">
        <v>11</v>
      </c>
      <c r="B2933">
        <v>52</v>
      </c>
      <c r="C2933" t="s">
        <v>1774</v>
      </c>
      <c r="D2933" t="s">
        <v>24</v>
      </c>
      <c r="E2933" t="s">
        <v>31</v>
      </c>
      <c r="F2933" t="s">
        <v>26</v>
      </c>
      <c r="G2933" t="s">
        <v>27</v>
      </c>
    </row>
    <row r="2934" spans="1:7" x14ac:dyDescent="0.2">
      <c r="A2934">
        <v>11</v>
      </c>
      <c r="B2934">
        <v>52</v>
      </c>
      <c r="C2934" t="s">
        <v>1813</v>
      </c>
      <c r="D2934" t="s">
        <v>24</v>
      </c>
      <c r="E2934" t="s">
        <v>31</v>
      </c>
      <c r="F2934" t="s">
        <v>26</v>
      </c>
      <c r="G2934" t="s">
        <v>27</v>
      </c>
    </row>
    <row r="2935" spans="1:7" x14ac:dyDescent="0.2">
      <c r="A2935">
        <v>11</v>
      </c>
      <c r="B2935">
        <v>52</v>
      </c>
      <c r="C2935" t="s">
        <v>1796</v>
      </c>
      <c r="D2935" t="s">
        <v>24</v>
      </c>
      <c r="E2935" t="s">
        <v>31</v>
      </c>
      <c r="F2935" t="s">
        <v>26</v>
      </c>
      <c r="G2935" t="s">
        <v>27</v>
      </c>
    </row>
    <row r="2936" spans="1:7" x14ac:dyDescent="0.2">
      <c r="A2936">
        <v>11</v>
      </c>
      <c r="B2936">
        <v>52</v>
      </c>
      <c r="C2936" t="s">
        <v>1814</v>
      </c>
      <c r="D2936" t="s">
        <v>24</v>
      </c>
      <c r="E2936" t="s">
        <v>31</v>
      </c>
      <c r="F2936" t="s">
        <v>26</v>
      </c>
      <c r="G2936" t="s">
        <v>27</v>
      </c>
    </row>
    <row r="2937" spans="1:7" x14ac:dyDescent="0.2">
      <c r="A2937">
        <v>11</v>
      </c>
      <c r="B2937">
        <v>52</v>
      </c>
      <c r="C2937" t="s">
        <v>1815</v>
      </c>
      <c r="D2937" t="s">
        <v>24</v>
      </c>
      <c r="E2937" t="s">
        <v>31</v>
      </c>
      <c r="F2937" t="s">
        <v>26</v>
      </c>
      <c r="G2937" t="s">
        <v>27</v>
      </c>
    </row>
    <row r="2938" spans="1:7" x14ac:dyDescent="0.2">
      <c r="A2938">
        <v>11</v>
      </c>
      <c r="B2938">
        <v>52</v>
      </c>
      <c r="C2938" t="s">
        <v>1816</v>
      </c>
      <c r="D2938" t="s">
        <v>24</v>
      </c>
      <c r="E2938" t="s">
        <v>31</v>
      </c>
      <c r="F2938" t="s">
        <v>26</v>
      </c>
      <c r="G2938" t="s">
        <v>27</v>
      </c>
    </row>
    <row r="2939" spans="1:7" x14ac:dyDescent="0.2">
      <c r="A2939">
        <v>12</v>
      </c>
      <c r="B2939">
        <v>52</v>
      </c>
      <c r="C2939" t="s">
        <v>1817</v>
      </c>
      <c r="D2939" t="s">
        <v>24</v>
      </c>
      <c r="E2939" t="s">
        <v>25</v>
      </c>
      <c r="F2939" t="s">
        <v>26</v>
      </c>
      <c r="G2939" t="s">
        <v>27</v>
      </c>
    </row>
    <row r="2940" spans="1:7" x14ac:dyDescent="0.2">
      <c r="A2940">
        <v>12</v>
      </c>
      <c r="B2940">
        <v>52</v>
      </c>
      <c r="C2940" t="s">
        <v>1721</v>
      </c>
      <c r="D2940" t="s">
        <v>30</v>
      </c>
      <c r="E2940" t="s">
        <v>25</v>
      </c>
      <c r="F2940" t="s">
        <v>26</v>
      </c>
      <c r="G2940" t="s">
        <v>27</v>
      </c>
    </row>
    <row r="2941" spans="1:7" x14ac:dyDescent="0.2">
      <c r="A2941">
        <v>12</v>
      </c>
      <c r="B2941">
        <v>52</v>
      </c>
      <c r="C2941" t="s">
        <v>1802</v>
      </c>
      <c r="D2941" t="s">
        <v>24</v>
      </c>
      <c r="E2941" t="s">
        <v>25</v>
      </c>
      <c r="F2941" t="s">
        <v>26</v>
      </c>
      <c r="G2941" t="s">
        <v>27</v>
      </c>
    </row>
    <row r="2942" spans="1:7" x14ac:dyDescent="0.2">
      <c r="A2942">
        <v>12</v>
      </c>
      <c r="B2942">
        <v>52</v>
      </c>
      <c r="C2942" t="s">
        <v>1818</v>
      </c>
      <c r="D2942" t="s">
        <v>24</v>
      </c>
      <c r="E2942" t="s">
        <v>25</v>
      </c>
      <c r="F2942" t="s">
        <v>26</v>
      </c>
      <c r="G2942" t="s">
        <v>27</v>
      </c>
    </row>
    <row r="2943" spans="1:7" x14ac:dyDescent="0.2">
      <c r="A2943">
        <v>12</v>
      </c>
      <c r="B2943">
        <v>52</v>
      </c>
      <c r="C2943" t="s">
        <v>1790</v>
      </c>
      <c r="D2943" t="s">
        <v>24</v>
      </c>
      <c r="E2943" t="s">
        <v>25</v>
      </c>
      <c r="F2943" t="s">
        <v>26</v>
      </c>
      <c r="G2943" t="s">
        <v>27</v>
      </c>
    </row>
    <row r="2944" spans="1:7" x14ac:dyDescent="0.2">
      <c r="A2944">
        <v>12</v>
      </c>
      <c r="B2944">
        <v>52</v>
      </c>
      <c r="C2944" t="s">
        <v>1771</v>
      </c>
      <c r="D2944" t="s">
        <v>24</v>
      </c>
      <c r="E2944" t="s">
        <v>25</v>
      </c>
      <c r="F2944" t="s">
        <v>26</v>
      </c>
      <c r="G2944" t="s">
        <v>27</v>
      </c>
    </row>
    <row r="2945" spans="1:7" x14ac:dyDescent="0.2">
      <c r="A2945">
        <v>12</v>
      </c>
      <c r="B2945">
        <v>52</v>
      </c>
      <c r="C2945" t="s">
        <v>1819</v>
      </c>
      <c r="D2945" t="s">
        <v>24</v>
      </c>
      <c r="E2945" t="s">
        <v>25</v>
      </c>
      <c r="F2945" t="s">
        <v>26</v>
      </c>
      <c r="G2945" t="s">
        <v>27</v>
      </c>
    </row>
    <row r="2946" spans="1:7" x14ac:dyDescent="0.2">
      <c r="A2946">
        <v>12</v>
      </c>
      <c r="B2946">
        <v>52</v>
      </c>
      <c r="C2946" t="s">
        <v>1807</v>
      </c>
      <c r="D2946" t="s">
        <v>24</v>
      </c>
      <c r="E2946" t="s">
        <v>25</v>
      </c>
      <c r="F2946" t="s">
        <v>26</v>
      </c>
      <c r="G2946" t="s">
        <v>27</v>
      </c>
    </row>
    <row r="2947" spans="1:7" x14ac:dyDescent="0.2">
      <c r="A2947">
        <v>12</v>
      </c>
      <c r="B2947">
        <v>52</v>
      </c>
      <c r="C2947" t="s">
        <v>1810</v>
      </c>
      <c r="D2947" t="s">
        <v>24</v>
      </c>
      <c r="E2947" t="s">
        <v>25</v>
      </c>
      <c r="F2947" t="s">
        <v>26</v>
      </c>
      <c r="G2947" t="s">
        <v>27</v>
      </c>
    </row>
    <row r="2948" spans="1:7" x14ac:dyDescent="0.2">
      <c r="A2948">
        <v>12</v>
      </c>
      <c r="B2948">
        <v>52</v>
      </c>
      <c r="C2948" t="s">
        <v>1820</v>
      </c>
      <c r="D2948" t="s">
        <v>24</v>
      </c>
      <c r="E2948" t="s">
        <v>25</v>
      </c>
      <c r="F2948" t="s">
        <v>26</v>
      </c>
      <c r="G2948" t="s">
        <v>27</v>
      </c>
    </row>
    <row r="2949" spans="1:7" x14ac:dyDescent="0.2">
      <c r="A2949">
        <v>12</v>
      </c>
      <c r="B2949">
        <v>52</v>
      </c>
      <c r="C2949" t="s">
        <v>1821</v>
      </c>
      <c r="D2949" t="s">
        <v>24</v>
      </c>
      <c r="E2949" t="s">
        <v>25</v>
      </c>
      <c r="F2949" t="s">
        <v>26</v>
      </c>
      <c r="G2949" t="s">
        <v>27</v>
      </c>
    </row>
    <row r="2950" spans="1:7" x14ac:dyDescent="0.2">
      <c r="A2950">
        <v>12</v>
      </c>
      <c r="B2950">
        <v>52</v>
      </c>
      <c r="C2950" t="s">
        <v>1812</v>
      </c>
      <c r="D2950" t="s">
        <v>24</v>
      </c>
      <c r="E2950" t="s">
        <v>25</v>
      </c>
      <c r="F2950" t="s">
        <v>26</v>
      </c>
      <c r="G2950" t="s">
        <v>27</v>
      </c>
    </row>
    <row r="2951" spans="1:7" x14ac:dyDescent="0.2">
      <c r="A2951">
        <v>12</v>
      </c>
      <c r="B2951">
        <v>52</v>
      </c>
      <c r="C2951" t="s">
        <v>1774</v>
      </c>
      <c r="D2951" t="s">
        <v>24</v>
      </c>
      <c r="E2951" t="s">
        <v>25</v>
      </c>
      <c r="F2951" t="s">
        <v>26</v>
      </c>
      <c r="G2951" t="s">
        <v>27</v>
      </c>
    </row>
    <row r="2952" spans="1:7" x14ac:dyDescent="0.2">
      <c r="A2952">
        <v>12</v>
      </c>
      <c r="B2952">
        <v>52</v>
      </c>
      <c r="C2952" t="s">
        <v>1796</v>
      </c>
      <c r="D2952" t="s">
        <v>24</v>
      </c>
      <c r="E2952" t="s">
        <v>25</v>
      </c>
      <c r="F2952" t="s">
        <v>26</v>
      </c>
      <c r="G2952" t="s">
        <v>27</v>
      </c>
    </row>
    <row r="2953" spans="1:7" x14ac:dyDescent="0.2">
      <c r="A2953">
        <v>13</v>
      </c>
      <c r="B2953">
        <v>52</v>
      </c>
      <c r="C2953" t="s">
        <v>1823</v>
      </c>
      <c r="D2953" t="s">
        <v>24</v>
      </c>
      <c r="E2953" t="s">
        <v>25</v>
      </c>
      <c r="F2953" t="s">
        <v>26</v>
      </c>
      <c r="G2953" t="s">
        <v>27</v>
      </c>
    </row>
    <row r="2954" spans="1:7" x14ac:dyDescent="0.2">
      <c r="A2954">
        <v>13</v>
      </c>
      <c r="B2954">
        <v>52</v>
      </c>
      <c r="C2954" t="s">
        <v>1799</v>
      </c>
      <c r="D2954" t="s">
        <v>24</v>
      </c>
      <c r="E2954" t="s">
        <v>31</v>
      </c>
      <c r="F2954" t="s">
        <v>26</v>
      </c>
      <c r="G2954" t="s">
        <v>27</v>
      </c>
    </row>
    <row r="2955" spans="1:7" x14ac:dyDescent="0.2">
      <c r="A2955">
        <v>13</v>
      </c>
      <c r="B2955">
        <v>52</v>
      </c>
      <c r="C2955" t="s">
        <v>1824</v>
      </c>
      <c r="D2955" t="s">
        <v>24</v>
      </c>
      <c r="E2955" t="s">
        <v>31</v>
      </c>
      <c r="F2955" t="s">
        <v>26</v>
      </c>
      <c r="G2955" t="s">
        <v>27</v>
      </c>
    </row>
    <row r="2956" spans="1:7" x14ac:dyDescent="0.2">
      <c r="A2956">
        <v>13</v>
      </c>
      <c r="B2956">
        <v>52</v>
      </c>
      <c r="C2956" t="s">
        <v>1825</v>
      </c>
      <c r="D2956" t="s">
        <v>24</v>
      </c>
      <c r="E2956" t="s">
        <v>31</v>
      </c>
      <c r="F2956" t="s">
        <v>26</v>
      </c>
      <c r="G2956" t="s">
        <v>27</v>
      </c>
    </row>
    <row r="2957" spans="1:7" x14ac:dyDescent="0.2">
      <c r="A2957">
        <v>14</v>
      </c>
      <c r="B2957">
        <v>52</v>
      </c>
      <c r="C2957" t="s">
        <v>1798</v>
      </c>
      <c r="D2957" t="s">
        <v>24</v>
      </c>
      <c r="E2957" t="s">
        <v>31</v>
      </c>
      <c r="F2957" t="s">
        <v>47</v>
      </c>
      <c r="G2957" t="s">
        <v>27</v>
      </c>
    </row>
    <row r="2958" spans="1:7" x14ac:dyDescent="0.2">
      <c r="A2958">
        <v>14</v>
      </c>
      <c r="B2958">
        <v>52</v>
      </c>
      <c r="C2958" t="s">
        <v>1799</v>
      </c>
      <c r="D2958" t="s">
        <v>24</v>
      </c>
      <c r="E2958" t="s">
        <v>31</v>
      </c>
      <c r="F2958" t="s">
        <v>47</v>
      </c>
      <c r="G2958" t="s">
        <v>27</v>
      </c>
    </row>
    <row r="2959" spans="1:7" x14ac:dyDescent="0.2">
      <c r="A2959">
        <v>14</v>
      </c>
      <c r="B2959">
        <v>52</v>
      </c>
      <c r="C2959" t="s">
        <v>1802</v>
      </c>
      <c r="D2959" t="s">
        <v>24</v>
      </c>
      <c r="E2959" t="s">
        <v>31</v>
      </c>
      <c r="F2959" t="s">
        <v>47</v>
      </c>
      <c r="G2959" t="s">
        <v>27</v>
      </c>
    </row>
    <row r="2960" spans="1:7" x14ac:dyDescent="0.2">
      <c r="A2960">
        <v>14</v>
      </c>
      <c r="B2960">
        <v>52</v>
      </c>
      <c r="C2960" t="s">
        <v>1826</v>
      </c>
      <c r="D2960" t="s">
        <v>24</v>
      </c>
      <c r="E2960" t="s">
        <v>31</v>
      </c>
      <c r="F2960" t="s">
        <v>47</v>
      </c>
      <c r="G2960" t="s">
        <v>27</v>
      </c>
    </row>
    <row r="2961" spans="1:7" x14ac:dyDescent="0.2">
      <c r="A2961">
        <v>14</v>
      </c>
      <c r="B2961">
        <v>52</v>
      </c>
      <c r="C2961" t="s">
        <v>1827</v>
      </c>
      <c r="D2961" t="s">
        <v>24</v>
      </c>
      <c r="E2961" t="s">
        <v>31</v>
      </c>
      <c r="F2961" t="s">
        <v>47</v>
      </c>
      <c r="G2961" t="s">
        <v>27</v>
      </c>
    </row>
    <row r="2962" spans="1:7" x14ac:dyDescent="0.2">
      <c r="A2962">
        <v>15</v>
      </c>
      <c r="B2962">
        <v>52</v>
      </c>
      <c r="C2962" t="s">
        <v>1828</v>
      </c>
      <c r="D2962" t="s">
        <v>24</v>
      </c>
      <c r="E2962" t="s">
        <v>31</v>
      </c>
      <c r="F2962" t="s">
        <v>26</v>
      </c>
      <c r="G2962" t="s">
        <v>27</v>
      </c>
    </row>
    <row r="2963" spans="1:7" x14ac:dyDescent="0.2">
      <c r="A2963">
        <v>15</v>
      </c>
      <c r="B2963">
        <v>52</v>
      </c>
      <c r="C2963" t="s">
        <v>1799</v>
      </c>
      <c r="D2963" t="s">
        <v>24</v>
      </c>
      <c r="E2963" t="s">
        <v>31</v>
      </c>
      <c r="F2963" t="s">
        <v>26</v>
      </c>
      <c r="G2963" t="s">
        <v>27</v>
      </c>
    </row>
    <row r="2964" spans="1:7" x14ac:dyDescent="0.2">
      <c r="A2964">
        <v>15</v>
      </c>
      <c r="B2964">
        <v>52</v>
      </c>
      <c r="C2964" t="s">
        <v>1829</v>
      </c>
      <c r="D2964" t="s">
        <v>24</v>
      </c>
      <c r="E2964" t="s">
        <v>31</v>
      </c>
      <c r="F2964" t="s">
        <v>26</v>
      </c>
      <c r="G2964" t="s">
        <v>27</v>
      </c>
    </row>
    <row r="2965" spans="1:7" x14ac:dyDescent="0.2">
      <c r="A2965">
        <v>15</v>
      </c>
      <c r="B2965">
        <v>52</v>
      </c>
      <c r="C2965" t="s">
        <v>1830</v>
      </c>
      <c r="D2965" t="s">
        <v>24</v>
      </c>
      <c r="E2965" t="s">
        <v>31</v>
      </c>
      <c r="F2965" t="s">
        <v>26</v>
      </c>
      <c r="G2965" t="s">
        <v>27</v>
      </c>
    </row>
    <row r="2966" spans="1:7" x14ac:dyDescent="0.2">
      <c r="A2966">
        <v>16</v>
      </c>
      <c r="B2966">
        <v>52</v>
      </c>
      <c r="C2966" t="s">
        <v>1831</v>
      </c>
      <c r="D2966" t="s">
        <v>24</v>
      </c>
      <c r="E2966" t="s">
        <v>31</v>
      </c>
      <c r="F2966" t="s">
        <v>26</v>
      </c>
      <c r="G2966" t="s">
        <v>27</v>
      </c>
    </row>
    <row r="2967" spans="1:7" x14ac:dyDescent="0.2">
      <c r="A2967">
        <v>16</v>
      </c>
      <c r="B2967">
        <v>52</v>
      </c>
      <c r="C2967" t="s">
        <v>1799</v>
      </c>
      <c r="D2967" t="s">
        <v>24</v>
      </c>
      <c r="E2967" t="s">
        <v>31</v>
      </c>
      <c r="F2967" t="s">
        <v>26</v>
      </c>
      <c r="G2967" t="s">
        <v>27</v>
      </c>
    </row>
    <row r="2968" spans="1:7" x14ac:dyDescent="0.2">
      <c r="A2968">
        <v>16</v>
      </c>
      <c r="B2968">
        <v>52</v>
      </c>
      <c r="C2968" t="s">
        <v>1803</v>
      </c>
      <c r="D2968" t="s">
        <v>24</v>
      </c>
      <c r="E2968" t="s">
        <v>31</v>
      </c>
      <c r="F2968" t="s">
        <v>26</v>
      </c>
      <c r="G2968" t="s">
        <v>27</v>
      </c>
    </row>
    <row r="2969" spans="1:7" x14ac:dyDescent="0.2">
      <c r="A2969">
        <v>16</v>
      </c>
      <c r="B2969">
        <v>52</v>
      </c>
      <c r="C2969" t="s">
        <v>1805</v>
      </c>
      <c r="D2969" t="s">
        <v>24</v>
      </c>
      <c r="E2969" t="s">
        <v>31</v>
      </c>
      <c r="F2969" t="s">
        <v>26</v>
      </c>
      <c r="G2969" t="s">
        <v>27</v>
      </c>
    </row>
    <row r="2970" spans="1:7" x14ac:dyDescent="0.2">
      <c r="A2970">
        <v>16</v>
      </c>
      <c r="B2970">
        <v>52</v>
      </c>
      <c r="C2970" t="s">
        <v>1771</v>
      </c>
      <c r="D2970" t="s">
        <v>24</v>
      </c>
      <c r="E2970" t="s">
        <v>31</v>
      </c>
      <c r="F2970" t="s">
        <v>26</v>
      </c>
      <c r="G2970" t="s">
        <v>27</v>
      </c>
    </row>
    <row r="2971" spans="1:7" x14ac:dyDescent="0.2">
      <c r="A2971">
        <v>16</v>
      </c>
      <c r="B2971">
        <v>52</v>
      </c>
      <c r="C2971" t="s">
        <v>1832</v>
      </c>
      <c r="D2971" t="s">
        <v>24</v>
      </c>
      <c r="E2971" t="s">
        <v>31</v>
      </c>
      <c r="F2971" t="s">
        <v>26</v>
      </c>
      <c r="G2971" t="s">
        <v>27</v>
      </c>
    </row>
    <row r="2972" spans="1:7" x14ac:dyDescent="0.2">
      <c r="A2972">
        <v>16</v>
      </c>
      <c r="B2972">
        <v>52</v>
      </c>
      <c r="C2972" t="s">
        <v>1772</v>
      </c>
      <c r="D2972" t="s">
        <v>24</v>
      </c>
      <c r="E2972" t="s">
        <v>31</v>
      </c>
      <c r="F2972" t="s">
        <v>26</v>
      </c>
      <c r="G2972" t="s">
        <v>27</v>
      </c>
    </row>
    <row r="2973" spans="1:7" x14ac:dyDescent="0.2">
      <c r="A2973">
        <v>16</v>
      </c>
      <c r="B2973">
        <v>52</v>
      </c>
      <c r="C2973" t="s">
        <v>1833</v>
      </c>
      <c r="D2973" t="s">
        <v>24</v>
      </c>
      <c r="E2973" t="s">
        <v>31</v>
      </c>
      <c r="F2973" t="s">
        <v>26</v>
      </c>
      <c r="G2973" t="s">
        <v>27</v>
      </c>
    </row>
    <row r="2974" spans="1:7" x14ac:dyDescent="0.2">
      <c r="A2974">
        <v>16</v>
      </c>
      <c r="B2974">
        <v>52</v>
      </c>
      <c r="C2974" t="s">
        <v>1834</v>
      </c>
      <c r="D2974" t="s">
        <v>24</v>
      </c>
      <c r="E2974" t="s">
        <v>31</v>
      </c>
      <c r="F2974" t="s">
        <v>26</v>
      </c>
      <c r="G2974" t="s">
        <v>27</v>
      </c>
    </row>
    <row r="2975" spans="1:7" x14ac:dyDescent="0.2">
      <c r="A2975">
        <v>16</v>
      </c>
      <c r="B2975">
        <v>52</v>
      </c>
      <c r="C2975" t="s">
        <v>1821</v>
      </c>
      <c r="D2975" t="s">
        <v>24</v>
      </c>
      <c r="E2975" t="s">
        <v>31</v>
      </c>
      <c r="F2975" t="s">
        <v>26</v>
      </c>
      <c r="G2975" t="s">
        <v>27</v>
      </c>
    </row>
    <row r="2976" spans="1:7" x14ac:dyDescent="0.2">
      <c r="A2976">
        <v>16</v>
      </c>
      <c r="B2976">
        <v>52</v>
      </c>
      <c r="C2976" t="s">
        <v>1835</v>
      </c>
      <c r="D2976" t="s">
        <v>24</v>
      </c>
      <c r="E2976" t="s">
        <v>31</v>
      </c>
      <c r="F2976" t="s">
        <v>26</v>
      </c>
      <c r="G2976" t="s">
        <v>27</v>
      </c>
    </row>
    <row r="2977" spans="1:7" x14ac:dyDescent="0.2">
      <c r="A2977">
        <v>16</v>
      </c>
      <c r="B2977">
        <v>52</v>
      </c>
      <c r="C2977" t="s">
        <v>1827</v>
      </c>
      <c r="D2977" t="s">
        <v>24</v>
      </c>
      <c r="E2977" t="s">
        <v>31</v>
      </c>
      <c r="F2977" t="s">
        <v>26</v>
      </c>
      <c r="G2977" t="s">
        <v>27</v>
      </c>
    </row>
    <row r="2978" spans="1:7" x14ac:dyDescent="0.2">
      <c r="A2978">
        <v>16</v>
      </c>
      <c r="B2978">
        <v>52</v>
      </c>
      <c r="C2978" t="s">
        <v>1774</v>
      </c>
      <c r="D2978" t="s">
        <v>24</v>
      </c>
      <c r="E2978" t="s">
        <v>31</v>
      </c>
      <c r="F2978" t="s">
        <v>26</v>
      </c>
      <c r="G2978" t="s">
        <v>27</v>
      </c>
    </row>
    <row r="2979" spans="1:7" x14ac:dyDescent="0.2">
      <c r="A2979">
        <v>16</v>
      </c>
      <c r="B2979">
        <v>52</v>
      </c>
      <c r="C2979" t="s">
        <v>1796</v>
      </c>
      <c r="D2979" t="s">
        <v>24</v>
      </c>
      <c r="E2979" t="s">
        <v>31</v>
      </c>
      <c r="F2979" t="s">
        <v>26</v>
      </c>
      <c r="G2979" t="s">
        <v>27</v>
      </c>
    </row>
    <row r="2980" spans="1:7" x14ac:dyDescent="0.2">
      <c r="A2980">
        <v>16</v>
      </c>
      <c r="B2980">
        <v>52</v>
      </c>
      <c r="C2980" t="s">
        <v>1836</v>
      </c>
      <c r="D2980" t="s">
        <v>24</v>
      </c>
      <c r="E2980" t="s">
        <v>31</v>
      </c>
      <c r="F2980" t="s">
        <v>26</v>
      </c>
      <c r="G2980" t="s">
        <v>27</v>
      </c>
    </row>
    <row r="2981" spans="1:7" x14ac:dyDescent="0.2">
      <c r="A2981">
        <v>17</v>
      </c>
      <c r="B2981">
        <v>52</v>
      </c>
      <c r="C2981" t="s">
        <v>1837</v>
      </c>
      <c r="D2981" t="s">
        <v>24</v>
      </c>
      <c r="E2981" t="s">
        <v>31</v>
      </c>
      <c r="F2981" t="s">
        <v>26</v>
      </c>
      <c r="G2981" t="s">
        <v>27</v>
      </c>
    </row>
    <row r="2982" spans="1:7" x14ac:dyDescent="0.2">
      <c r="A2982">
        <v>17</v>
      </c>
      <c r="B2982">
        <v>52</v>
      </c>
      <c r="C2982" t="s">
        <v>1821</v>
      </c>
      <c r="D2982" t="s">
        <v>24</v>
      </c>
      <c r="E2982" t="s">
        <v>31</v>
      </c>
      <c r="F2982" t="s">
        <v>47</v>
      </c>
      <c r="G2982" t="s">
        <v>27</v>
      </c>
    </row>
    <row r="2983" spans="1:7" x14ac:dyDescent="0.2">
      <c r="A2983">
        <v>17</v>
      </c>
      <c r="B2983">
        <v>52</v>
      </c>
      <c r="C2983" t="s">
        <v>1772</v>
      </c>
      <c r="D2983" t="s">
        <v>24</v>
      </c>
      <c r="E2983" t="s">
        <v>31</v>
      </c>
      <c r="F2983" t="s">
        <v>47</v>
      </c>
      <c r="G2983" t="s">
        <v>27</v>
      </c>
    </row>
    <row r="2984" spans="1:7" x14ac:dyDescent="0.2">
      <c r="A2984">
        <v>17</v>
      </c>
      <c r="B2984">
        <v>52</v>
      </c>
      <c r="C2984" t="s">
        <v>1826</v>
      </c>
      <c r="D2984" t="s">
        <v>24</v>
      </c>
      <c r="E2984" t="s">
        <v>31</v>
      </c>
      <c r="F2984" t="s">
        <v>47</v>
      </c>
      <c r="G2984" t="s">
        <v>27</v>
      </c>
    </row>
    <row r="2985" spans="1:7" x14ac:dyDescent="0.2">
      <c r="A2985">
        <v>17</v>
      </c>
      <c r="B2985">
        <v>52</v>
      </c>
      <c r="C2985" t="s">
        <v>1805</v>
      </c>
      <c r="D2985" t="s">
        <v>24</v>
      </c>
      <c r="E2985" t="s">
        <v>31</v>
      </c>
      <c r="F2985" t="s">
        <v>47</v>
      </c>
      <c r="G2985" t="s">
        <v>27</v>
      </c>
    </row>
    <row r="2986" spans="1:7" x14ac:dyDescent="0.2">
      <c r="A2986">
        <v>17</v>
      </c>
      <c r="B2986">
        <v>52</v>
      </c>
      <c r="C2986" t="s">
        <v>1799</v>
      </c>
      <c r="D2986" t="s">
        <v>24</v>
      </c>
      <c r="E2986" t="s">
        <v>31</v>
      </c>
      <c r="F2986" t="s">
        <v>47</v>
      </c>
      <c r="G2986" t="s">
        <v>27</v>
      </c>
    </row>
    <row r="2987" spans="1:7" x14ac:dyDescent="0.2">
      <c r="A2987">
        <v>18</v>
      </c>
      <c r="B2987">
        <v>52</v>
      </c>
      <c r="C2987" t="s">
        <v>1799</v>
      </c>
      <c r="D2987" t="s">
        <v>24</v>
      </c>
      <c r="E2987" t="s">
        <v>31</v>
      </c>
      <c r="F2987" t="s">
        <v>26</v>
      </c>
      <c r="G2987" t="s">
        <v>27</v>
      </c>
    </row>
    <row r="2988" spans="1:7" x14ac:dyDescent="0.2">
      <c r="A2988">
        <v>18</v>
      </c>
      <c r="B2988">
        <v>52</v>
      </c>
      <c r="C2988" t="s">
        <v>1830</v>
      </c>
      <c r="D2988" t="s">
        <v>24</v>
      </c>
      <c r="E2988" t="s">
        <v>31</v>
      </c>
      <c r="F2988" t="s">
        <v>26</v>
      </c>
      <c r="G2988" t="s">
        <v>27</v>
      </c>
    </row>
    <row r="2989" spans="1:7" x14ac:dyDescent="0.2">
      <c r="A2989">
        <v>18</v>
      </c>
      <c r="B2989">
        <v>52</v>
      </c>
      <c r="C2989" t="s">
        <v>1838</v>
      </c>
      <c r="D2989" t="s">
        <v>24</v>
      </c>
      <c r="E2989" t="s">
        <v>31</v>
      </c>
      <c r="F2989" t="s">
        <v>26</v>
      </c>
      <c r="G2989" t="s">
        <v>27</v>
      </c>
    </row>
    <row r="2990" spans="1:7" x14ac:dyDescent="0.2">
      <c r="A2990">
        <v>18</v>
      </c>
      <c r="B2990">
        <v>52</v>
      </c>
      <c r="C2990" t="s">
        <v>1803</v>
      </c>
      <c r="D2990" t="s">
        <v>24</v>
      </c>
      <c r="E2990" t="s">
        <v>31</v>
      </c>
      <c r="F2990" t="s">
        <v>26</v>
      </c>
      <c r="G2990" t="s">
        <v>27</v>
      </c>
    </row>
    <row r="2991" spans="1:7" x14ac:dyDescent="0.2">
      <c r="A2991">
        <v>18</v>
      </c>
      <c r="B2991">
        <v>52</v>
      </c>
      <c r="C2991" t="s">
        <v>1839</v>
      </c>
      <c r="D2991" t="s">
        <v>24</v>
      </c>
      <c r="E2991" t="s">
        <v>31</v>
      </c>
      <c r="F2991" t="s">
        <v>26</v>
      </c>
      <c r="G2991" t="s">
        <v>27</v>
      </c>
    </row>
    <row r="2992" spans="1:7" x14ac:dyDescent="0.2">
      <c r="A2992">
        <v>18</v>
      </c>
      <c r="B2992">
        <v>52</v>
      </c>
      <c r="C2992" t="s">
        <v>1832</v>
      </c>
      <c r="D2992" t="s">
        <v>24</v>
      </c>
      <c r="E2992" t="s">
        <v>31</v>
      </c>
      <c r="F2992" t="s">
        <v>26</v>
      </c>
      <c r="G2992" t="s">
        <v>27</v>
      </c>
    </row>
    <row r="2993" spans="1:7" x14ac:dyDescent="0.2">
      <c r="A2993">
        <v>18</v>
      </c>
      <c r="B2993">
        <v>52</v>
      </c>
      <c r="C2993" t="s">
        <v>1772</v>
      </c>
      <c r="D2993" t="s">
        <v>24</v>
      </c>
      <c r="E2993" t="s">
        <v>31</v>
      </c>
      <c r="F2993" t="s">
        <v>26</v>
      </c>
      <c r="G2993" t="s">
        <v>27</v>
      </c>
    </row>
    <row r="2994" spans="1:7" x14ac:dyDescent="0.2">
      <c r="A2994">
        <v>18</v>
      </c>
      <c r="B2994">
        <v>52</v>
      </c>
      <c r="C2994" t="s">
        <v>1821</v>
      </c>
      <c r="D2994" t="s">
        <v>24</v>
      </c>
      <c r="E2994" t="s">
        <v>31</v>
      </c>
      <c r="F2994" t="s">
        <v>26</v>
      </c>
      <c r="G2994" t="s">
        <v>27</v>
      </c>
    </row>
    <row r="2995" spans="1:7" x14ac:dyDescent="0.2">
      <c r="A2995">
        <v>18</v>
      </c>
      <c r="B2995">
        <v>52</v>
      </c>
      <c r="C2995" t="s">
        <v>1827</v>
      </c>
      <c r="D2995" t="s">
        <v>24</v>
      </c>
      <c r="E2995" t="s">
        <v>31</v>
      </c>
      <c r="F2995" t="s">
        <v>26</v>
      </c>
      <c r="G2995" t="s">
        <v>27</v>
      </c>
    </row>
    <row r="2996" spans="1:7" x14ac:dyDescent="0.2">
      <c r="A2996">
        <v>19</v>
      </c>
      <c r="B2996">
        <v>52</v>
      </c>
      <c r="C2996" t="s">
        <v>1799</v>
      </c>
      <c r="D2996" t="s">
        <v>24</v>
      </c>
      <c r="E2996" t="s">
        <v>31</v>
      </c>
      <c r="F2996" t="s">
        <v>26</v>
      </c>
      <c r="G2996" t="s">
        <v>27</v>
      </c>
    </row>
    <row r="2997" spans="1:7" x14ac:dyDescent="0.2">
      <c r="A2997">
        <v>19</v>
      </c>
      <c r="B2997">
        <v>52</v>
      </c>
      <c r="C2997" t="s">
        <v>1830</v>
      </c>
      <c r="D2997" t="s">
        <v>24</v>
      </c>
      <c r="E2997" t="s">
        <v>31</v>
      </c>
      <c r="F2997" t="s">
        <v>26</v>
      </c>
      <c r="G2997" t="s">
        <v>27</v>
      </c>
    </row>
    <row r="2998" spans="1:7" x14ac:dyDescent="0.2">
      <c r="A2998">
        <v>19</v>
      </c>
      <c r="B2998">
        <v>52</v>
      </c>
      <c r="C2998" t="s">
        <v>1840</v>
      </c>
      <c r="D2998" t="s">
        <v>24</v>
      </c>
      <c r="E2998" t="s">
        <v>31</v>
      </c>
      <c r="F2998" t="s">
        <v>26</v>
      </c>
      <c r="G2998" t="s">
        <v>27</v>
      </c>
    </row>
    <row r="2999" spans="1:7" x14ac:dyDescent="0.2">
      <c r="A2999">
        <v>19</v>
      </c>
      <c r="B2999">
        <v>52</v>
      </c>
      <c r="C2999" t="s">
        <v>1803</v>
      </c>
      <c r="D2999" t="s">
        <v>24</v>
      </c>
      <c r="E2999" t="s">
        <v>31</v>
      </c>
      <c r="F2999" t="s">
        <v>26</v>
      </c>
      <c r="G2999" t="s">
        <v>27</v>
      </c>
    </row>
    <row r="3000" spans="1:7" x14ac:dyDescent="0.2">
      <c r="A3000">
        <v>19</v>
      </c>
      <c r="B3000">
        <v>52</v>
      </c>
      <c r="C3000" t="s">
        <v>1839</v>
      </c>
      <c r="D3000" t="s">
        <v>24</v>
      </c>
      <c r="E3000" t="s">
        <v>31</v>
      </c>
      <c r="F3000" t="s">
        <v>26</v>
      </c>
      <c r="G3000" t="s">
        <v>27</v>
      </c>
    </row>
    <row r="3001" spans="1:7" x14ac:dyDescent="0.2">
      <c r="A3001">
        <v>19</v>
      </c>
      <c r="B3001">
        <v>52</v>
      </c>
      <c r="C3001" t="s">
        <v>1805</v>
      </c>
      <c r="D3001" t="s">
        <v>24</v>
      </c>
      <c r="E3001" t="s">
        <v>31</v>
      </c>
      <c r="F3001" t="s">
        <v>26</v>
      </c>
      <c r="G3001" t="s">
        <v>27</v>
      </c>
    </row>
    <row r="3002" spans="1:7" x14ac:dyDescent="0.2">
      <c r="A3002">
        <v>19</v>
      </c>
      <c r="B3002">
        <v>52</v>
      </c>
      <c r="C3002" t="s">
        <v>1772</v>
      </c>
      <c r="D3002" t="s">
        <v>24</v>
      </c>
      <c r="E3002" t="s">
        <v>31</v>
      </c>
      <c r="F3002" t="s">
        <v>26</v>
      </c>
      <c r="G3002" t="s">
        <v>27</v>
      </c>
    </row>
    <row r="3003" spans="1:7" x14ac:dyDescent="0.2">
      <c r="A3003">
        <v>19</v>
      </c>
      <c r="B3003">
        <v>52</v>
      </c>
      <c r="C3003" t="s">
        <v>1774</v>
      </c>
      <c r="D3003" t="s">
        <v>24</v>
      </c>
      <c r="E3003" t="s">
        <v>31</v>
      </c>
      <c r="F3003" t="s">
        <v>26</v>
      </c>
      <c r="G3003" t="s">
        <v>27</v>
      </c>
    </row>
    <row r="3004" spans="1:7" x14ac:dyDescent="0.2">
      <c r="A3004">
        <v>20</v>
      </c>
      <c r="B3004">
        <v>52</v>
      </c>
      <c r="C3004" t="s">
        <v>1799</v>
      </c>
      <c r="D3004" t="s">
        <v>24</v>
      </c>
      <c r="E3004" t="s">
        <v>25</v>
      </c>
      <c r="F3004" t="s">
        <v>26</v>
      </c>
      <c r="G3004" t="s">
        <v>27</v>
      </c>
    </row>
    <row r="3005" spans="1:7" x14ac:dyDescent="0.2">
      <c r="A3005">
        <v>20</v>
      </c>
      <c r="B3005">
        <v>52</v>
      </c>
      <c r="C3005" t="s">
        <v>785</v>
      </c>
      <c r="D3005" t="s">
        <v>24</v>
      </c>
      <c r="E3005" t="s">
        <v>25</v>
      </c>
      <c r="F3005" t="s">
        <v>26</v>
      </c>
      <c r="G3005" t="s">
        <v>27</v>
      </c>
    </row>
    <row r="3006" spans="1:7" x14ac:dyDescent="0.2">
      <c r="A3006">
        <v>20</v>
      </c>
      <c r="B3006">
        <v>52</v>
      </c>
      <c r="C3006" t="s">
        <v>1841</v>
      </c>
      <c r="D3006" t="s">
        <v>24</v>
      </c>
      <c r="E3006" t="s">
        <v>25</v>
      </c>
      <c r="F3006" t="s">
        <v>26</v>
      </c>
      <c r="G3006" t="s">
        <v>27</v>
      </c>
    </row>
    <row r="3007" spans="1:7" x14ac:dyDescent="0.2">
      <c r="A3007">
        <v>20</v>
      </c>
      <c r="B3007">
        <v>52</v>
      </c>
      <c r="C3007" t="s">
        <v>1842</v>
      </c>
      <c r="D3007" t="s">
        <v>24</v>
      </c>
      <c r="E3007" t="s">
        <v>25</v>
      </c>
      <c r="F3007" t="s">
        <v>26</v>
      </c>
      <c r="G3007" t="s">
        <v>27</v>
      </c>
    </row>
    <row r="3008" spans="1:7" x14ac:dyDescent="0.2">
      <c r="A3008">
        <v>20</v>
      </c>
      <c r="B3008">
        <v>52</v>
      </c>
      <c r="C3008" t="s">
        <v>1803</v>
      </c>
      <c r="D3008" t="s">
        <v>24</v>
      </c>
      <c r="E3008" t="s">
        <v>25</v>
      </c>
      <c r="F3008" t="s">
        <v>26</v>
      </c>
      <c r="G3008" t="s">
        <v>27</v>
      </c>
    </row>
    <row r="3009" spans="1:7" x14ac:dyDescent="0.2">
      <c r="A3009">
        <v>20</v>
      </c>
      <c r="B3009">
        <v>52</v>
      </c>
      <c r="C3009" t="s">
        <v>1843</v>
      </c>
      <c r="D3009" t="s">
        <v>24</v>
      </c>
      <c r="E3009" t="s">
        <v>25</v>
      </c>
      <c r="F3009" t="s">
        <v>26</v>
      </c>
      <c r="G3009" t="s">
        <v>27</v>
      </c>
    </row>
    <row r="3010" spans="1:7" x14ac:dyDescent="0.2">
      <c r="A3010">
        <v>20</v>
      </c>
      <c r="B3010">
        <v>52</v>
      </c>
      <c r="C3010" t="s">
        <v>1771</v>
      </c>
      <c r="D3010" t="s">
        <v>24</v>
      </c>
      <c r="E3010" t="s">
        <v>25</v>
      </c>
      <c r="F3010" t="s">
        <v>26</v>
      </c>
      <c r="G3010" t="s">
        <v>27</v>
      </c>
    </row>
    <row r="3011" spans="1:7" x14ac:dyDescent="0.2">
      <c r="A3011">
        <v>20</v>
      </c>
      <c r="B3011">
        <v>52</v>
      </c>
      <c r="C3011" t="s">
        <v>1844</v>
      </c>
      <c r="D3011" t="s">
        <v>24</v>
      </c>
      <c r="E3011" t="s">
        <v>25</v>
      </c>
      <c r="F3011" t="s">
        <v>26</v>
      </c>
      <c r="G3011" t="s">
        <v>27</v>
      </c>
    </row>
    <row r="3012" spans="1:7" x14ac:dyDescent="0.2">
      <c r="A3012">
        <v>20</v>
      </c>
      <c r="B3012">
        <v>52</v>
      </c>
      <c r="C3012" t="s">
        <v>1845</v>
      </c>
      <c r="D3012" t="s">
        <v>24</v>
      </c>
      <c r="E3012" t="s">
        <v>25</v>
      </c>
      <c r="F3012" t="s">
        <v>26</v>
      </c>
      <c r="G3012" t="s">
        <v>27</v>
      </c>
    </row>
    <row r="3013" spans="1:7" x14ac:dyDescent="0.2">
      <c r="A3013">
        <v>20</v>
      </c>
      <c r="B3013">
        <v>52</v>
      </c>
      <c r="C3013" t="s">
        <v>1846</v>
      </c>
      <c r="D3013" t="s">
        <v>24</v>
      </c>
      <c r="E3013" t="s">
        <v>25</v>
      </c>
      <c r="F3013" t="s">
        <v>26</v>
      </c>
      <c r="G3013" t="s">
        <v>27</v>
      </c>
    </row>
    <row r="3014" spans="1:7" x14ac:dyDescent="0.2">
      <c r="A3014">
        <v>20</v>
      </c>
      <c r="B3014">
        <v>52</v>
      </c>
      <c r="C3014" t="s">
        <v>1847</v>
      </c>
      <c r="D3014" t="s">
        <v>24</v>
      </c>
      <c r="E3014" t="s">
        <v>25</v>
      </c>
      <c r="F3014" t="s">
        <v>26</v>
      </c>
      <c r="G3014" t="s">
        <v>27</v>
      </c>
    </row>
    <row r="3015" spans="1:7" x14ac:dyDescent="0.2">
      <c r="A3015">
        <v>20</v>
      </c>
      <c r="B3015">
        <v>52</v>
      </c>
      <c r="C3015" t="s">
        <v>1774</v>
      </c>
      <c r="D3015" t="s">
        <v>24</v>
      </c>
      <c r="E3015" t="s">
        <v>25</v>
      </c>
      <c r="F3015" t="s">
        <v>26</v>
      </c>
      <c r="G3015" t="s">
        <v>27</v>
      </c>
    </row>
    <row r="3016" spans="1:7" x14ac:dyDescent="0.2">
      <c r="A3016">
        <v>20</v>
      </c>
      <c r="B3016">
        <v>52</v>
      </c>
      <c r="C3016" t="s">
        <v>1848</v>
      </c>
      <c r="D3016" t="s">
        <v>24</v>
      </c>
      <c r="E3016" t="s">
        <v>25</v>
      </c>
      <c r="F3016" t="s">
        <v>26</v>
      </c>
      <c r="G3016" t="s">
        <v>27</v>
      </c>
    </row>
    <row r="3017" spans="1:7" x14ac:dyDescent="0.2">
      <c r="A3017">
        <v>21</v>
      </c>
      <c r="B3017">
        <v>52</v>
      </c>
      <c r="C3017" t="s">
        <v>1849</v>
      </c>
      <c r="D3017" t="s">
        <v>24</v>
      </c>
      <c r="E3017" t="s">
        <v>31</v>
      </c>
      <c r="F3017" t="s">
        <v>26</v>
      </c>
      <c r="G3017" t="s">
        <v>27</v>
      </c>
    </row>
    <row r="3018" spans="1:7" x14ac:dyDescent="0.2">
      <c r="A3018">
        <v>21</v>
      </c>
      <c r="B3018">
        <v>52</v>
      </c>
      <c r="C3018" t="s">
        <v>1799</v>
      </c>
      <c r="D3018" t="s">
        <v>24</v>
      </c>
      <c r="E3018" t="s">
        <v>31</v>
      </c>
      <c r="F3018" t="s">
        <v>26</v>
      </c>
      <c r="G3018" t="s">
        <v>27</v>
      </c>
    </row>
    <row r="3019" spans="1:7" x14ac:dyDescent="0.2">
      <c r="A3019">
        <v>21</v>
      </c>
      <c r="B3019">
        <v>52</v>
      </c>
      <c r="C3019" t="s">
        <v>1850</v>
      </c>
      <c r="D3019" t="s">
        <v>24</v>
      </c>
      <c r="E3019" t="s">
        <v>31</v>
      </c>
      <c r="F3019" t="s">
        <v>26</v>
      </c>
      <c r="G3019" t="s">
        <v>27</v>
      </c>
    </row>
    <row r="3020" spans="1:7" x14ac:dyDescent="0.2">
      <c r="A3020">
        <v>21</v>
      </c>
      <c r="B3020">
        <v>52</v>
      </c>
      <c r="C3020" t="s">
        <v>1851</v>
      </c>
      <c r="D3020" t="s">
        <v>24</v>
      </c>
      <c r="E3020" t="s">
        <v>31</v>
      </c>
      <c r="F3020" t="s">
        <v>26</v>
      </c>
      <c r="G3020" t="s">
        <v>27</v>
      </c>
    </row>
    <row r="3021" spans="1:7" x14ac:dyDescent="0.2">
      <c r="A3021">
        <v>21</v>
      </c>
      <c r="B3021">
        <v>52</v>
      </c>
      <c r="C3021" t="s">
        <v>1852</v>
      </c>
      <c r="D3021" t="s">
        <v>24</v>
      </c>
      <c r="E3021" t="s">
        <v>31</v>
      </c>
      <c r="F3021" t="s">
        <v>26</v>
      </c>
      <c r="G3021" t="s">
        <v>27</v>
      </c>
    </row>
    <row r="3022" spans="1:7" x14ac:dyDescent="0.2">
      <c r="A3022">
        <v>21</v>
      </c>
      <c r="B3022">
        <v>52</v>
      </c>
      <c r="C3022" t="s">
        <v>1803</v>
      </c>
      <c r="D3022" t="s">
        <v>24</v>
      </c>
      <c r="E3022" t="s">
        <v>31</v>
      </c>
      <c r="F3022" t="s">
        <v>26</v>
      </c>
      <c r="G3022" t="s">
        <v>27</v>
      </c>
    </row>
    <row r="3023" spans="1:7" x14ac:dyDescent="0.2">
      <c r="A3023">
        <v>21</v>
      </c>
      <c r="B3023">
        <v>52</v>
      </c>
      <c r="C3023" t="s">
        <v>1853</v>
      </c>
      <c r="D3023" t="s">
        <v>24</v>
      </c>
      <c r="E3023" t="s">
        <v>31</v>
      </c>
      <c r="F3023" t="s">
        <v>26</v>
      </c>
      <c r="G3023" t="s">
        <v>27</v>
      </c>
    </row>
    <row r="3024" spans="1:7" x14ac:dyDescent="0.2">
      <c r="A3024">
        <v>21</v>
      </c>
      <c r="B3024">
        <v>52</v>
      </c>
      <c r="C3024" t="s">
        <v>1854</v>
      </c>
      <c r="D3024" t="s">
        <v>24</v>
      </c>
      <c r="E3024" t="s">
        <v>31</v>
      </c>
      <c r="F3024" t="s">
        <v>26</v>
      </c>
      <c r="G3024" t="s">
        <v>27</v>
      </c>
    </row>
    <row r="3025" spans="1:7" x14ac:dyDescent="0.2">
      <c r="A3025">
        <v>21</v>
      </c>
      <c r="B3025">
        <v>52</v>
      </c>
      <c r="C3025" t="s">
        <v>1771</v>
      </c>
      <c r="D3025" t="s">
        <v>24</v>
      </c>
      <c r="E3025" t="s">
        <v>31</v>
      </c>
      <c r="F3025" t="s">
        <v>26</v>
      </c>
      <c r="G3025" t="s">
        <v>27</v>
      </c>
    </row>
    <row r="3026" spans="1:7" x14ac:dyDescent="0.2">
      <c r="A3026">
        <v>21</v>
      </c>
      <c r="B3026">
        <v>52</v>
      </c>
      <c r="C3026" t="s">
        <v>1770</v>
      </c>
      <c r="D3026" t="s">
        <v>24</v>
      </c>
      <c r="E3026" t="s">
        <v>31</v>
      </c>
      <c r="F3026" t="s">
        <v>26</v>
      </c>
      <c r="G3026" t="s">
        <v>27</v>
      </c>
    </row>
    <row r="3027" spans="1:7" x14ac:dyDescent="0.2">
      <c r="A3027">
        <v>21</v>
      </c>
      <c r="B3027">
        <v>52</v>
      </c>
      <c r="C3027" t="s">
        <v>1772</v>
      </c>
      <c r="D3027" t="s">
        <v>30</v>
      </c>
      <c r="E3027" t="s">
        <v>31</v>
      </c>
      <c r="F3027" t="s">
        <v>26</v>
      </c>
      <c r="G3027" t="s">
        <v>27</v>
      </c>
    </row>
    <row r="3028" spans="1:7" x14ac:dyDescent="0.2">
      <c r="A3028">
        <v>21</v>
      </c>
      <c r="B3028">
        <v>52</v>
      </c>
      <c r="C3028" t="s">
        <v>1844</v>
      </c>
      <c r="D3028" t="s">
        <v>30</v>
      </c>
      <c r="E3028" t="s">
        <v>31</v>
      </c>
      <c r="F3028" t="s">
        <v>26</v>
      </c>
      <c r="G3028" t="s">
        <v>27</v>
      </c>
    </row>
    <row r="3029" spans="1:7" x14ac:dyDescent="0.2">
      <c r="A3029">
        <v>21</v>
      </c>
      <c r="B3029">
        <v>52</v>
      </c>
      <c r="C3029" t="s">
        <v>1855</v>
      </c>
      <c r="D3029" t="s">
        <v>24</v>
      </c>
      <c r="E3029" t="s">
        <v>31</v>
      </c>
      <c r="F3029" t="s">
        <v>26</v>
      </c>
      <c r="G3029" t="s">
        <v>27</v>
      </c>
    </row>
    <row r="3030" spans="1:7" x14ac:dyDescent="0.2">
      <c r="A3030">
        <v>21</v>
      </c>
      <c r="B3030">
        <v>52</v>
      </c>
      <c r="C3030" t="s">
        <v>1856</v>
      </c>
      <c r="D3030" t="s">
        <v>24</v>
      </c>
      <c r="E3030" t="s">
        <v>31</v>
      </c>
      <c r="F3030" t="s">
        <v>26</v>
      </c>
      <c r="G3030" t="s">
        <v>27</v>
      </c>
    </row>
    <row r="3031" spans="1:7" x14ac:dyDescent="0.2">
      <c r="A3031">
        <v>21</v>
      </c>
      <c r="B3031">
        <v>52</v>
      </c>
      <c r="C3031" t="s">
        <v>1857</v>
      </c>
      <c r="D3031" t="s">
        <v>24</v>
      </c>
      <c r="E3031" t="s">
        <v>31</v>
      </c>
      <c r="F3031" t="s">
        <v>26</v>
      </c>
      <c r="G3031" t="s">
        <v>27</v>
      </c>
    </row>
    <row r="3032" spans="1:7" x14ac:dyDescent="0.2">
      <c r="A3032">
        <v>21</v>
      </c>
      <c r="B3032">
        <v>52</v>
      </c>
      <c r="C3032" t="s">
        <v>1858</v>
      </c>
      <c r="D3032" t="s">
        <v>24</v>
      </c>
      <c r="E3032" t="s">
        <v>31</v>
      </c>
      <c r="F3032" t="s">
        <v>26</v>
      </c>
      <c r="G3032" t="s">
        <v>27</v>
      </c>
    </row>
    <row r="3033" spans="1:7" x14ac:dyDescent="0.2">
      <c r="A3033">
        <v>21</v>
      </c>
      <c r="B3033">
        <v>52</v>
      </c>
      <c r="C3033" t="s">
        <v>1847</v>
      </c>
      <c r="D3033" t="s">
        <v>24</v>
      </c>
      <c r="E3033" t="s">
        <v>31</v>
      </c>
      <c r="F3033" t="s">
        <v>26</v>
      </c>
      <c r="G3033" t="s">
        <v>27</v>
      </c>
    </row>
    <row r="3034" spans="1:7" x14ac:dyDescent="0.2">
      <c r="A3034">
        <v>21</v>
      </c>
      <c r="B3034">
        <v>52</v>
      </c>
      <c r="C3034" t="s">
        <v>1774</v>
      </c>
      <c r="D3034" t="s">
        <v>24</v>
      </c>
      <c r="E3034" t="s">
        <v>31</v>
      </c>
      <c r="F3034" t="s">
        <v>26</v>
      </c>
      <c r="G3034" t="s">
        <v>27</v>
      </c>
    </row>
    <row r="3035" spans="1:7" x14ac:dyDescent="0.2">
      <c r="A3035">
        <v>21</v>
      </c>
      <c r="B3035">
        <v>52</v>
      </c>
      <c r="C3035" t="s">
        <v>1859</v>
      </c>
      <c r="D3035" t="s">
        <v>24</v>
      </c>
      <c r="E3035" t="s">
        <v>31</v>
      </c>
      <c r="F3035" t="s">
        <v>26</v>
      </c>
      <c r="G3035" t="s">
        <v>27</v>
      </c>
    </row>
    <row r="3036" spans="1:7" x14ac:dyDescent="0.2">
      <c r="A3036">
        <v>22</v>
      </c>
      <c r="B3036">
        <v>52</v>
      </c>
      <c r="C3036" t="s">
        <v>1799</v>
      </c>
      <c r="D3036" t="s">
        <v>24</v>
      </c>
      <c r="E3036" t="s">
        <v>31</v>
      </c>
      <c r="F3036" t="s">
        <v>26</v>
      </c>
      <c r="G3036" t="s">
        <v>27</v>
      </c>
    </row>
    <row r="3037" spans="1:7" x14ac:dyDescent="0.2">
      <c r="A3037">
        <v>22</v>
      </c>
      <c r="B3037">
        <v>52</v>
      </c>
      <c r="C3037" t="s">
        <v>1860</v>
      </c>
      <c r="D3037" t="s">
        <v>24</v>
      </c>
      <c r="E3037" t="s">
        <v>31</v>
      </c>
      <c r="F3037" t="s">
        <v>26</v>
      </c>
      <c r="G3037" t="s">
        <v>27</v>
      </c>
    </row>
    <row r="3038" spans="1:7" x14ac:dyDescent="0.2">
      <c r="A3038">
        <v>22</v>
      </c>
      <c r="B3038">
        <v>52</v>
      </c>
      <c r="C3038" t="s">
        <v>1853</v>
      </c>
      <c r="D3038" t="s">
        <v>24</v>
      </c>
      <c r="E3038" t="s">
        <v>31</v>
      </c>
      <c r="F3038" t="s">
        <v>26</v>
      </c>
      <c r="G3038" t="s">
        <v>27</v>
      </c>
    </row>
    <row r="3039" spans="1:7" x14ac:dyDescent="0.2">
      <c r="A3039">
        <v>22</v>
      </c>
      <c r="B3039">
        <v>52</v>
      </c>
      <c r="C3039" t="s">
        <v>1770</v>
      </c>
      <c r="D3039" t="s">
        <v>24</v>
      </c>
      <c r="E3039" t="s">
        <v>31</v>
      </c>
      <c r="F3039" t="s">
        <v>26</v>
      </c>
      <c r="G3039" t="s">
        <v>27</v>
      </c>
    </row>
    <row r="3040" spans="1:7" x14ac:dyDescent="0.2">
      <c r="A3040">
        <v>22</v>
      </c>
      <c r="B3040">
        <v>52</v>
      </c>
      <c r="C3040" t="s">
        <v>1772</v>
      </c>
      <c r="D3040" t="s">
        <v>30</v>
      </c>
      <c r="E3040" t="s">
        <v>31</v>
      </c>
      <c r="F3040" t="s">
        <v>26</v>
      </c>
      <c r="G3040" t="s">
        <v>27</v>
      </c>
    </row>
    <row r="3041" spans="1:7" x14ac:dyDescent="0.2">
      <c r="A3041">
        <v>22</v>
      </c>
      <c r="B3041">
        <v>52</v>
      </c>
      <c r="C3041" t="s">
        <v>1861</v>
      </c>
      <c r="D3041" t="s">
        <v>24</v>
      </c>
      <c r="E3041" t="s">
        <v>31</v>
      </c>
      <c r="F3041" t="s">
        <v>26</v>
      </c>
      <c r="G3041" t="s">
        <v>27</v>
      </c>
    </row>
    <row r="3042" spans="1:7" x14ac:dyDescent="0.2">
      <c r="A3042">
        <v>22</v>
      </c>
      <c r="B3042">
        <v>52</v>
      </c>
      <c r="C3042" t="s">
        <v>1855</v>
      </c>
      <c r="D3042" t="s">
        <v>24</v>
      </c>
      <c r="E3042" t="s">
        <v>31</v>
      </c>
      <c r="F3042" t="s">
        <v>26</v>
      </c>
      <c r="G3042" t="s">
        <v>27</v>
      </c>
    </row>
    <row r="3043" spans="1:7" x14ac:dyDescent="0.2">
      <c r="A3043">
        <v>22</v>
      </c>
      <c r="B3043">
        <v>52</v>
      </c>
      <c r="C3043" t="s">
        <v>1862</v>
      </c>
      <c r="D3043" t="s">
        <v>24</v>
      </c>
      <c r="E3043" t="s">
        <v>31</v>
      </c>
      <c r="F3043" t="s">
        <v>26</v>
      </c>
      <c r="G3043" t="s">
        <v>27</v>
      </c>
    </row>
    <row r="3044" spans="1:7" x14ac:dyDescent="0.2">
      <c r="A3044">
        <v>22</v>
      </c>
      <c r="B3044">
        <v>52</v>
      </c>
      <c r="C3044" t="s">
        <v>1863</v>
      </c>
      <c r="D3044" t="s">
        <v>24</v>
      </c>
      <c r="E3044" t="s">
        <v>31</v>
      </c>
      <c r="F3044" t="s">
        <v>26</v>
      </c>
      <c r="G3044" t="s">
        <v>27</v>
      </c>
    </row>
    <row r="3045" spans="1:7" x14ac:dyDescent="0.2">
      <c r="A3045">
        <v>23</v>
      </c>
      <c r="B3045">
        <v>52</v>
      </c>
      <c r="C3045" t="s">
        <v>1774</v>
      </c>
      <c r="D3045" t="s">
        <v>24</v>
      </c>
      <c r="E3045" t="s">
        <v>25</v>
      </c>
      <c r="F3045" t="s">
        <v>26</v>
      </c>
      <c r="G3045" t="s">
        <v>27</v>
      </c>
    </row>
    <row r="3046" spans="1:7" x14ac:dyDescent="0.2">
      <c r="A3046">
        <v>23</v>
      </c>
      <c r="B3046">
        <v>52</v>
      </c>
      <c r="C3046" t="s">
        <v>1848</v>
      </c>
      <c r="D3046" t="s">
        <v>24</v>
      </c>
      <c r="E3046" t="s">
        <v>25</v>
      </c>
      <c r="F3046" t="s">
        <v>26</v>
      </c>
      <c r="G3046" t="s">
        <v>27</v>
      </c>
    </row>
    <row r="3047" spans="1:7" x14ac:dyDescent="0.2">
      <c r="A3047">
        <v>23</v>
      </c>
      <c r="B3047">
        <v>52</v>
      </c>
      <c r="C3047" t="s">
        <v>1859</v>
      </c>
      <c r="D3047" t="s">
        <v>24</v>
      </c>
      <c r="E3047" t="s">
        <v>25</v>
      </c>
      <c r="F3047" t="s">
        <v>26</v>
      </c>
      <c r="G3047" t="s">
        <v>27</v>
      </c>
    </row>
    <row r="3048" spans="1:7" x14ac:dyDescent="0.2">
      <c r="A3048">
        <v>23</v>
      </c>
      <c r="B3048">
        <v>52</v>
      </c>
      <c r="C3048" t="s">
        <v>1864</v>
      </c>
      <c r="D3048" t="s">
        <v>24</v>
      </c>
      <c r="E3048" t="s">
        <v>25</v>
      </c>
      <c r="F3048" t="s">
        <v>26</v>
      </c>
      <c r="G3048" t="s">
        <v>27</v>
      </c>
    </row>
    <row r="3049" spans="1:7" x14ac:dyDescent="0.2">
      <c r="A3049">
        <v>23</v>
      </c>
      <c r="B3049">
        <v>52</v>
      </c>
      <c r="C3049" t="s">
        <v>1771</v>
      </c>
      <c r="D3049" t="s">
        <v>24</v>
      </c>
      <c r="E3049" t="s">
        <v>25</v>
      </c>
      <c r="F3049" t="s">
        <v>26</v>
      </c>
      <c r="G3049" t="s">
        <v>27</v>
      </c>
    </row>
    <row r="3050" spans="1:7" x14ac:dyDescent="0.2">
      <c r="A3050">
        <v>9</v>
      </c>
      <c r="B3050">
        <v>53</v>
      </c>
      <c r="C3050" t="s">
        <v>2055</v>
      </c>
      <c r="D3050" t="s">
        <v>24</v>
      </c>
      <c r="E3050" t="s">
        <v>31</v>
      </c>
      <c r="F3050" t="s">
        <v>26</v>
      </c>
      <c r="G3050" t="s">
        <v>27</v>
      </c>
    </row>
    <row r="3051" spans="1:7" x14ac:dyDescent="0.2">
      <c r="A3051">
        <v>9</v>
      </c>
      <c r="B3051">
        <v>53</v>
      </c>
      <c r="C3051" t="s">
        <v>1865</v>
      </c>
      <c r="D3051" t="s">
        <v>24</v>
      </c>
      <c r="E3051" t="s">
        <v>25</v>
      </c>
      <c r="F3051" t="s">
        <v>26</v>
      </c>
      <c r="G3051" t="s">
        <v>27</v>
      </c>
    </row>
    <row r="3052" spans="1:7" x14ac:dyDescent="0.2">
      <c r="A3052">
        <v>9</v>
      </c>
      <c r="B3052">
        <v>53</v>
      </c>
      <c r="C3052" t="s">
        <v>1866</v>
      </c>
      <c r="D3052" t="s">
        <v>24</v>
      </c>
      <c r="E3052" t="s">
        <v>25</v>
      </c>
      <c r="F3052" t="s">
        <v>26</v>
      </c>
      <c r="G3052" t="s">
        <v>27</v>
      </c>
    </row>
    <row r="3053" spans="1:7" x14ac:dyDescent="0.2">
      <c r="A3053">
        <v>12</v>
      </c>
      <c r="B3053">
        <v>53</v>
      </c>
      <c r="C3053" t="s">
        <v>2056</v>
      </c>
      <c r="D3053" t="s">
        <v>24</v>
      </c>
      <c r="E3053" t="s">
        <v>31</v>
      </c>
      <c r="F3053" t="s">
        <v>26</v>
      </c>
      <c r="G3053" t="s">
        <v>27</v>
      </c>
    </row>
    <row r="3054" spans="1:7" x14ac:dyDescent="0.2">
      <c r="A3054">
        <v>14</v>
      </c>
      <c r="B3054">
        <v>53</v>
      </c>
      <c r="C3054" t="s">
        <v>2057</v>
      </c>
      <c r="D3054" t="s">
        <v>24</v>
      </c>
      <c r="E3054" t="s">
        <v>31</v>
      </c>
      <c r="F3054" t="s">
        <v>26</v>
      </c>
      <c r="G3054" t="s">
        <v>27</v>
      </c>
    </row>
    <row r="3055" spans="1:7" x14ac:dyDescent="0.2">
      <c r="A3055">
        <v>16</v>
      </c>
      <c r="B3055">
        <v>53</v>
      </c>
      <c r="C3055" t="s">
        <v>1867</v>
      </c>
      <c r="D3055" t="s">
        <v>24</v>
      </c>
      <c r="E3055" t="s">
        <v>31</v>
      </c>
      <c r="F3055" t="s">
        <v>26</v>
      </c>
      <c r="G3055" t="s">
        <v>27</v>
      </c>
    </row>
    <row r="3056" spans="1:7" x14ac:dyDescent="0.2">
      <c r="A3056">
        <v>16</v>
      </c>
      <c r="B3056">
        <v>53</v>
      </c>
      <c r="C3056" t="s">
        <v>1868</v>
      </c>
      <c r="D3056" t="s">
        <v>24</v>
      </c>
      <c r="E3056" t="s">
        <v>31</v>
      </c>
      <c r="F3056" t="s">
        <v>26</v>
      </c>
      <c r="G3056" t="s">
        <v>27</v>
      </c>
    </row>
    <row r="3057" spans="1:7" x14ac:dyDescent="0.2">
      <c r="A3057">
        <v>16</v>
      </c>
      <c r="B3057">
        <v>53</v>
      </c>
      <c r="C3057" t="s">
        <v>1869</v>
      </c>
      <c r="D3057" t="s">
        <v>24</v>
      </c>
      <c r="E3057" t="s">
        <v>31</v>
      </c>
      <c r="F3057" t="s">
        <v>26</v>
      </c>
      <c r="G3057" t="s">
        <v>27</v>
      </c>
    </row>
    <row r="3058" spans="1:7" x14ac:dyDescent="0.2">
      <c r="A3058">
        <v>17</v>
      </c>
      <c r="B3058">
        <v>53</v>
      </c>
      <c r="C3058" t="s">
        <v>1870</v>
      </c>
      <c r="D3058" t="s">
        <v>24</v>
      </c>
      <c r="E3058" t="s">
        <v>31</v>
      </c>
      <c r="F3058" t="s">
        <v>87</v>
      </c>
      <c r="G3058" t="s">
        <v>27</v>
      </c>
    </row>
    <row r="3059" spans="1:7" x14ac:dyDescent="0.2">
      <c r="A3059">
        <v>18</v>
      </c>
      <c r="B3059">
        <v>53</v>
      </c>
      <c r="C3059" t="s">
        <v>1871</v>
      </c>
      <c r="D3059" t="s">
        <v>24</v>
      </c>
      <c r="E3059" t="s">
        <v>256</v>
      </c>
      <c r="F3059" t="s">
        <v>87</v>
      </c>
      <c r="G3059" t="s">
        <v>27</v>
      </c>
    </row>
    <row r="3060" spans="1:7" x14ac:dyDescent="0.2">
      <c r="A3060">
        <v>20</v>
      </c>
      <c r="B3060">
        <v>53</v>
      </c>
      <c r="C3060" t="s">
        <v>1868</v>
      </c>
      <c r="D3060" t="s">
        <v>24</v>
      </c>
      <c r="E3060" t="s">
        <v>25</v>
      </c>
      <c r="F3060" t="s">
        <v>26</v>
      </c>
      <c r="G3060" t="s">
        <v>27</v>
      </c>
    </row>
    <row r="3061" spans="1:7" x14ac:dyDescent="0.2">
      <c r="A3061">
        <v>23</v>
      </c>
      <c r="B3061">
        <v>53</v>
      </c>
      <c r="C3061" t="s">
        <v>2058</v>
      </c>
      <c r="D3061" t="s">
        <v>24</v>
      </c>
      <c r="E3061" t="s">
        <v>25</v>
      </c>
      <c r="F3061" t="s">
        <v>26</v>
      </c>
      <c r="G3061" t="s">
        <v>27</v>
      </c>
    </row>
    <row r="3062" spans="1:7" x14ac:dyDescent="0.2">
      <c r="A3062">
        <v>7</v>
      </c>
      <c r="B3062">
        <v>54</v>
      </c>
      <c r="C3062" t="s">
        <v>1873</v>
      </c>
      <c r="D3062" t="s">
        <v>24</v>
      </c>
      <c r="E3062" t="s">
        <v>256</v>
      </c>
      <c r="F3062" t="s">
        <v>26</v>
      </c>
      <c r="G3062" t="s">
        <v>27</v>
      </c>
    </row>
    <row r="3063" spans="1:7" x14ac:dyDescent="0.2">
      <c r="A3063">
        <v>7</v>
      </c>
      <c r="B3063">
        <v>54</v>
      </c>
      <c r="C3063" t="s">
        <v>1874</v>
      </c>
      <c r="D3063" t="s">
        <v>24</v>
      </c>
      <c r="E3063" t="s">
        <v>256</v>
      </c>
      <c r="F3063" t="s">
        <v>26</v>
      </c>
      <c r="G3063" t="s">
        <v>27</v>
      </c>
    </row>
    <row r="3064" spans="1:7" x14ac:dyDescent="0.2">
      <c r="A3064">
        <v>7</v>
      </c>
      <c r="B3064">
        <v>54</v>
      </c>
      <c r="C3064" t="s">
        <v>1871</v>
      </c>
      <c r="D3064" t="s">
        <v>24</v>
      </c>
      <c r="E3064" t="s">
        <v>256</v>
      </c>
      <c r="F3064" t="s">
        <v>26</v>
      </c>
      <c r="G3064" t="s">
        <v>27</v>
      </c>
    </row>
    <row r="3065" spans="1:7" x14ac:dyDescent="0.2">
      <c r="A3065">
        <v>7</v>
      </c>
      <c r="B3065">
        <v>54</v>
      </c>
      <c r="C3065" t="s">
        <v>1238</v>
      </c>
      <c r="D3065" t="s">
        <v>24</v>
      </c>
      <c r="E3065" t="s">
        <v>256</v>
      </c>
      <c r="F3065" t="s">
        <v>26</v>
      </c>
      <c r="G3065" t="s">
        <v>27</v>
      </c>
    </row>
    <row r="3066" spans="1:7" x14ac:dyDescent="0.2">
      <c r="A3066">
        <v>7</v>
      </c>
      <c r="B3066">
        <v>54</v>
      </c>
      <c r="C3066" t="s">
        <v>1875</v>
      </c>
      <c r="D3066" t="s">
        <v>24</v>
      </c>
      <c r="E3066" t="s">
        <v>256</v>
      </c>
      <c r="F3066" t="s">
        <v>26</v>
      </c>
      <c r="G3066" t="s">
        <v>27</v>
      </c>
    </row>
    <row r="3067" spans="1:7" x14ac:dyDescent="0.2">
      <c r="A3067">
        <v>8</v>
      </c>
      <c r="B3067">
        <v>54</v>
      </c>
      <c r="C3067" t="s">
        <v>1876</v>
      </c>
      <c r="D3067" t="s">
        <v>24</v>
      </c>
      <c r="E3067" t="s">
        <v>256</v>
      </c>
      <c r="F3067" t="s">
        <v>26</v>
      </c>
      <c r="G3067" t="s">
        <v>27</v>
      </c>
    </row>
    <row r="3068" spans="1:7" x14ac:dyDescent="0.2">
      <c r="A3068">
        <v>8</v>
      </c>
      <c r="B3068">
        <v>54</v>
      </c>
      <c r="C3068" t="s">
        <v>1875</v>
      </c>
      <c r="D3068" t="s">
        <v>24</v>
      </c>
      <c r="E3068" t="s">
        <v>256</v>
      </c>
      <c r="F3068" t="s">
        <v>26</v>
      </c>
      <c r="G3068" t="s">
        <v>27</v>
      </c>
    </row>
    <row r="3069" spans="1:7" x14ac:dyDescent="0.2">
      <c r="A3069">
        <v>8</v>
      </c>
      <c r="B3069">
        <v>54</v>
      </c>
      <c r="C3069" t="s">
        <v>1871</v>
      </c>
      <c r="D3069" t="s">
        <v>24</v>
      </c>
      <c r="E3069" t="s">
        <v>256</v>
      </c>
      <c r="F3069" t="s">
        <v>26</v>
      </c>
      <c r="G3069" t="s">
        <v>27</v>
      </c>
    </row>
    <row r="3070" spans="1:7" x14ac:dyDescent="0.2">
      <c r="A3070">
        <v>8</v>
      </c>
      <c r="B3070">
        <v>54</v>
      </c>
      <c r="C3070" t="s">
        <v>1874</v>
      </c>
      <c r="D3070" t="s">
        <v>24</v>
      </c>
      <c r="E3070" t="s">
        <v>256</v>
      </c>
      <c r="F3070" t="s">
        <v>26</v>
      </c>
      <c r="G3070" t="s">
        <v>27</v>
      </c>
    </row>
    <row r="3071" spans="1:7" x14ac:dyDescent="0.2">
      <c r="A3071">
        <v>9</v>
      </c>
      <c r="B3071">
        <v>54</v>
      </c>
      <c r="C3071" t="s">
        <v>1877</v>
      </c>
      <c r="D3071" t="s">
        <v>24</v>
      </c>
      <c r="E3071" t="s">
        <v>25</v>
      </c>
      <c r="F3071" t="s">
        <v>26</v>
      </c>
      <c r="G3071" t="s">
        <v>27</v>
      </c>
    </row>
    <row r="3072" spans="1:7" x14ac:dyDescent="0.2">
      <c r="A3072">
        <v>9</v>
      </c>
      <c r="B3072">
        <v>54</v>
      </c>
      <c r="C3072" t="s">
        <v>1878</v>
      </c>
      <c r="D3072" t="s">
        <v>24</v>
      </c>
      <c r="E3072" t="s">
        <v>25</v>
      </c>
      <c r="F3072" t="s">
        <v>26</v>
      </c>
      <c r="G3072" t="s">
        <v>27</v>
      </c>
    </row>
    <row r="3073" spans="1:7" x14ac:dyDescent="0.2">
      <c r="A3073">
        <v>9</v>
      </c>
      <c r="B3073">
        <v>54</v>
      </c>
      <c r="C3073" t="s">
        <v>1879</v>
      </c>
      <c r="D3073" t="s">
        <v>24</v>
      </c>
      <c r="E3073" t="s">
        <v>25</v>
      </c>
      <c r="F3073" t="s">
        <v>26</v>
      </c>
      <c r="G3073" t="s">
        <v>27</v>
      </c>
    </row>
    <row r="3074" spans="1:7" x14ac:dyDescent="0.2">
      <c r="A3074">
        <v>9</v>
      </c>
      <c r="B3074">
        <v>54</v>
      </c>
      <c r="C3074" t="s">
        <v>1880</v>
      </c>
      <c r="D3074" t="s">
        <v>24</v>
      </c>
      <c r="E3074" t="s">
        <v>25</v>
      </c>
      <c r="F3074" t="s">
        <v>26</v>
      </c>
      <c r="G3074" t="s">
        <v>27</v>
      </c>
    </row>
    <row r="3075" spans="1:7" x14ac:dyDescent="0.2">
      <c r="A3075">
        <v>9</v>
      </c>
      <c r="B3075">
        <v>54</v>
      </c>
      <c r="C3075" t="s">
        <v>1881</v>
      </c>
      <c r="D3075" t="s">
        <v>24</v>
      </c>
      <c r="E3075" t="s">
        <v>25</v>
      </c>
      <c r="F3075" t="s">
        <v>26</v>
      </c>
      <c r="G3075" t="s">
        <v>27</v>
      </c>
    </row>
    <row r="3076" spans="1:7" x14ac:dyDescent="0.2">
      <c r="A3076">
        <v>9</v>
      </c>
      <c r="B3076">
        <v>54</v>
      </c>
      <c r="C3076" t="s">
        <v>1882</v>
      </c>
      <c r="D3076" t="s">
        <v>24</v>
      </c>
      <c r="E3076" t="s">
        <v>25</v>
      </c>
      <c r="F3076" t="s">
        <v>26</v>
      </c>
      <c r="G3076" t="s">
        <v>27</v>
      </c>
    </row>
    <row r="3077" spans="1:7" x14ac:dyDescent="0.2">
      <c r="A3077">
        <v>10</v>
      </c>
      <c r="B3077">
        <v>54</v>
      </c>
      <c r="C3077" t="s">
        <v>1883</v>
      </c>
      <c r="D3077" t="s">
        <v>24</v>
      </c>
      <c r="E3077" t="s">
        <v>256</v>
      </c>
      <c r="F3077" t="s">
        <v>87</v>
      </c>
      <c r="G3077" t="s">
        <v>27</v>
      </c>
    </row>
    <row r="3078" spans="1:7" x14ac:dyDescent="0.2">
      <c r="A3078">
        <v>10</v>
      </c>
      <c r="B3078">
        <v>54</v>
      </c>
      <c r="C3078" t="s">
        <v>1874</v>
      </c>
      <c r="D3078" t="s">
        <v>24</v>
      </c>
      <c r="E3078" t="s">
        <v>256</v>
      </c>
      <c r="F3078" t="s">
        <v>87</v>
      </c>
      <c r="G3078" t="s">
        <v>27</v>
      </c>
    </row>
    <row r="3079" spans="1:7" x14ac:dyDescent="0.2">
      <c r="A3079">
        <v>10</v>
      </c>
      <c r="B3079">
        <v>54</v>
      </c>
      <c r="C3079" t="s">
        <v>1871</v>
      </c>
      <c r="D3079" t="s">
        <v>24</v>
      </c>
      <c r="E3079" t="s">
        <v>256</v>
      </c>
      <c r="F3079" t="s">
        <v>87</v>
      </c>
      <c r="G3079" t="s">
        <v>27</v>
      </c>
    </row>
    <row r="3080" spans="1:7" x14ac:dyDescent="0.2">
      <c r="A3080">
        <v>10</v>
      </c>
      <c r="B3080">
        <v>54</v>
      </c>
      <c r="C3080" t="s">
        <v>1875</v>
      </c>
      <c r="D3080" t="s">
        <v>24</v>
      </c>
      <c r="E3080" t="s">
        <v>256</v>
      </c>
      <c r="F3080" t="s">
        <v>87</v>
      </c>
      <c r="G3080" t="s">
        <v>27</v>
      </c>
    </row>
    <row r="3081" spans="1:7" x14ac:dyDescent="0.2">
      <c r="A3081">
        <v>11</v>
      </c>
      <c r="B3081">
        <v>54</v>
      </c>
      <c r="C3081" t="s">
        <v>1871</v>
      </c>
      <c r="D3081" t="s">
        <v>24</v>
      </c>
      <c r="E3081" t="s">
        <v>25</v>
      </c>
      <c r="F3081" t="s">
        <v>26</v>
      </c>
      <c r="G3081" t="s">
        <v>27</v>
      </c>
    </row>
    <row r="3082" spans="1:7" x14ac:dyDescent="0.2">
      <c r="A3082">
        <v>11</v>
      </c>
      <c r="B3082">
        <v>54</v>
      </c>
      <c r="C3082" t="s">
        <v>1875</v>
      </c>
      <c r="D3082" t="s">
        <v>24</v>
      </c>
      <c r="E3082" t="s">
        <v>25</v>
      </c>
      <c r="F3082" t="s">
        <v>26</v>
      </c>
      <c r="G3082" t="s">
        <v>27</v>
      </c>
    </row>
    <row r="3083" spans="1:7" x14ac:dyDescent="0.2">
      <c r="A3083">
        <v>11</v>
      </c>
      <c r="B3083">
        <v>54</v>
      </c>
      <c r="C3083" t="s">
        <v>1884</v>
      </c>
      <c r="D3083" t="s">
        <v>24</v>
      </c>
      <c r="E3083" t="s">
        <v>25</v>
      </c>
      <c r="F3083" t="s">
        <v>26</v>
      </c>
      <c r="G3083" t="s">
        <v>27</v>
      </c>
    </row>
    <row r="3084" spans="1:7" x14ac:dyDescent="0.2">
      <c r="A3084">
        <v>11</v>
      </c>
      <c r="B3084">
        <v>54</v>
      </c>
      <c r="C3084" t="s">
        <v>1885</v>
      </c>
      <c r="D3084" t="s">
        <v>24</v>
      </c>
      <c r="E3084" t="s">
        <v>25</v>
      </c>
      <c r="F3084" t="s">
        <v>26</v>
      </c>
      <c r="G3084" t="s">
        <v>27</v>
      </c>
    </row>
    <row r="3085" spans="1:7" x14ac:dyDescent="0.2">
      <c r="A3085">
        <v>11</v>
      </c>
      <c r="B3085">
        <v>54</v>
      </c>
      <c r="C3085" t="s">
        <v>1886</v>
      </c>
      <c r="D3085" t="s">
        <v>24</v>
      </c>
      <c r="E3085" t="s">
        <v>31</v>
      </c>
      <c r="F3085" t="s">
        <v>26</v>
      </c>
      <c r="G3085" t="s">
        <v>27</v>
      </c>
    </row>
    <row r="3086" spans="1:7" x14ac:dyDescent="0.2">
      <c r="A3086">
        <v>12</v>
      </c>
      <c r="B3086">
        <v>54</v>
      </c>
      <c r="C3086" t="s">
        <v>1887</v>
      </c>
      <c r="D3086" t="s">
        <v>24</v>
      </c>
      <c r="E3086" t="s">
        <v>25</v>
      </c>
      <c r="F3086" t="s">
        <v>26</v>
      </c>
      <c r="G3086" t="s">
        <v>27</v>
      </c>
    </row>
    <row r="3087" spans="1:7" x14ac:dyDescent="0.2">
      <c r="A3087">
        <v>12</v>
      </c>
      <c r="B3087">
        <v>54</v>
      </c>
      <c r="C3087" t="s">
        <v>1875</v>
      </c>
      <c r="D3087" t="s">
        <v>24</v>
      </c>
      <c r="E3087" t="s">
        <v>25</v>
      </c>
      <c r="F3087" t="s">
        <v>26</v>
      </c>
      <c r="G3087" t="s">
        <v>27</v>
      </c>
    </row>
    <row r="3088" spans="1:7" x14ac:dyDescent="0.2">
      <c r="A3088">
        <v>13</v>
      </c>
      <c r="B3088">
        <v>8</v>
      </c>
      <c r="C3088" t="s">
        <v>1876</v>
      </c>
      <c r="D3088" t="s">
        <v>24</v>
      </c>
      <c r="E3088" t="s">
        <v>256</v>
      </c>
      <c r="F3088" t="s">
        <v>26</v>
      </c>
      <c r="G3088" t="s">
        <v>27</v>
      </c>
    </row>
    <row r="3089" spans="1:7" x14ac:dyDescent="0.2">
      <c r="A3089">
        <v>14</v>
      </c>
      <c r="B3089">
        <v>54</v>
      </c>
      <c r="C3089" t="s">
        <v>1888</v>
      </c>
      <c r="D3089" t="s">
        <v>24</v>
      </c>
      <c r="E3089" t="s">
        <v>31</v>
      </c>
      <c r="F3089" t="s">
        <v>87</v>
      </c>
      <c r="G3089" t="s">
        <v>27</v>
      </c>
    </row>
    <row r="3090" spans="1:7" x14ac:dyDescent="0.2">
      <c r="A3090">
        <v>14</v>
      </c>
      <c r="B3090">
        <v>54</v>
      </c>
      <c r="C3090" t="s">
        <v>1889</v>
      </c>
      <c r="D3090" t="s">
        <v>24</v>
      </c>
      <c r="E3090" t="s">
        <v>31</v>
      </c>
      <c r="F3090" t="s">
        <v>87</v>
      </c>
      <c r="G3090" t="s">
        <v>27</v>
      </c>
    </row>
    <row r="3091" spans="1:7" x14ac:dyDescent="0.2">
      <c r="A3091">
        <v>15</v>
      </c>
      <c r="B3091">
        <v>54</v>
      </c>
      <c r="C3091" t="s">
        <v>1890</v>
      </c>
      <c r="D3091" t="s">
        <v>24</v>
      </c>
      <c r="E3091" t="s">
        <v>31</v>
      </c>
      <c r="F3091" t="s">
        <v>26</v>
      </c>
      <c r="G3091" t="s">
        <v>27</v>
      </c>
    </row>
    <row r="3092" spans="1:7" x14ac:dyDescent="0.2">
      <c r="A3092">
        <v>15</v>
      </c>
      <c r="B3092">
        <v>54</v>
      </c>
      <c r="C3092" t="s">
        <v>1891</v>
      </c>
      <c r="D3092" t="s">
        <v>24</v>
      </c>
      <c r="E3092" t="s">
        <v>31</v>
      </c>
      <c r="F3092" t="s">
        <v>26</v>
      </c>
      <c r="G3092" t="s">
        <v>27</v>
      </c>
    </row>
    <row r="3093" spans="1:7" x14ac:dyDescent="0.2">
      <c r="A3093">
        <v>16</v>
      </c>
      <c r="B3093">
        <v>54</v>
      </c>
      <c r="C3093" t="s">
        <v>1566</v>
      </c>
      <c r="D3093" t="s">
        <v>24</v>
      </c>
      <c r="E3093" t="s">
        <v>31</v>
      </c>
      <c r="F3093" t="s">
        <v>26</v>
      </c>
      <c r="G3093" t="s">
        <v>27</v>
      </c>
    </row>
    <row r="3094" spans="1:7" x14ac:dyDescent="0.2">
      <c r="A3094">
        <v>16</v>
      </c>
      <c r="B3094">
        <v>54</v>
      </c>
      <c r="C3094" t="s">
        <v>1892</v>
      </c>
      <c r="D3094" t="s">
        <v>24</v>
      </c>
      <c r="E3094" t="s">
        <v>31</v>
      </c>
      <c r="F3094" t="s">
        <v>26</v>
      </c>
      <c r="G3094" t="s">
        <v>27</v>
      </c>
    </row>
    <row r="3095" spans="1:7" x14ac:dyDescent="0.2">
      <c r="A3095">
        <v>16</v>
      </c>
      <c r="B3095">
        <v>54</v>
      </c>
      <c r="C3095" t="s">
        <v>1580</v>
      </c>
      <c r="D3095" t="s">
        <v>24</v>
      </c>
      <c r="E3095" t="s">
        <v>31</v>
      </c>
      <c r="F3095" t="s">
        <v>26</v>
      </c>
      <c r="G3095" t="s">
        <v>27</v>
      </c>
    </row>
    <row r="3096" spans="1:7" x14ac:dyDescent="0.2">
      <c r="A3096">
        <v>16</v>
      </c>
      <c r="B3096">
        <v>54</v>
      </c>
      <c r="C3096" t="s">
        <v>1582</v>
      </c>
      <c r="D3096" t="s">
        <v>24</v>
      </c>
      <c r="E3096" t="s">
        <v>31</v>
      </c>
      <c r="F3096" t="s">
        <v>26</v>
      </c>
      <c r="G3096" t="s">
        <v>27</v>
      </c>
    </row>
    <row r="3097" spans="1:7" x14ac:dyDescent="0.2">
      <c r="A3097">
        <v>16</v>
      </c>
      <c r="B3097">
        <v>54</v>
      </c>
      <c r="C3097" t="s">
        <v>1571</v>
      </c>
      <c r="D3097" t="s">
        <v>24</v>
      </c>
      <c r="E3097" t="s">
        <v>31</v>
      </c>
      <c r="F3097" t="s">
        <v>26</v>
      </c>
      <c r="G3097" t="s">
        <v>27</v>
      </c>
    </row>
    <row r="3098" spans="1:7" x14ac:dyDescent="0.2">
      <c r="A3098">
        <v>16</v>
      </c>
      <c r="B3098">
        <v>54</v>
      </c>
      <c r="C3098" t="s">
        <v>1893</v>
      </c>
      <c r="D3098" t="s">
        <v>24</v>
      </c>
      <c r="E3098" t="s">
        <v>31</v>
      </c>
      <c r="F3098" t="s">
        <v>26</v>
      </c>
      <c r="G3098" t="s">
        <v>27</v>
      </c>
    </row>
    <row r="3099" spans="1:7" x14ac:dyDescent="0.2">
      <c r="A3099">
        <v>17</v>
      </c>
      <c r="B3099">
        <v>54</v>
      </c>
      <c r="C3099" t="s">
        <v>1888</v>
      </c>
      <c r="D3099" t="s">
        <v>24</v>
      </c>
      <c r="E3099" t="s">
        <v>31</v>
      </c>
      <c r="F3099" t="s">
        <v>47</v>
      </c>
      <c r="G3099" t="s">
        <v>27</v>
      </c>
    </row>
    <row r="3100" spans="1:7" x14ac:dyDescent="0.2">
      <c r="A3100">
        <v>17</v>
      </c>
      <c r="B3100">
        <v>54</v>
      </c>
      <c r="C3100" t="s">
        <v>1894</v>
      </c>
      <c r="D3100" t="s">
        <v>24</v>
      </c>
      <c r="E3100" t="s">
        <v>31</v>
      </c>
      <c r="F3100" t="s">
        <v>87</v>
      </c>
      <c r="G3100" t="s">
        <v>27</v>
      </c>
    </row>
    <row r="3101" spans="1:7" x14ac:dyDescent="0.2">
      <c r="A3101">
        <v>18</v>
      </c>
      <c r="B3101">
        <v>54</v>
      </c>
      <c r="C3101" t="s">
        <v>1895</v>
      </c>
      <c r="D3101" t="s">
        <v>24</v>
      </c>
      <c r="E3101" t="s">
        <v>256</v>
      </c>
      <c r="F3101" t="s">
        <v>87</v>
      </c>
      <c r="G3101" t="s">
        <v>27</v>
      </c>
    </row>
    <row r="3102" spans="1:7" x14ac:dyDescent="0.2">
      <c r="A3102">
        <v>18</v>
      </c>
      <c r="B3102">
        <v>54</v>
      </c>
      <c r="C3102" t="s">
        <v>1896</v>
      </c>
      <c r="D3102" t="s">
        <v>24</v>
      </c>
      <c r="E3102" t="s">
        <v>256</v>
      </c>
      <c r="F3102" t="s">
        <v>87</v>
      </c>
      <c r="G3102" t="s">
        <v>27</v>
      </c>
    </row>
    <row r="3103" spans="1:7" x14ac:dyDescent="0.2">
      <c r="A3103">
        <v>18</v>
      </c>
      <c r="B3103">
        <v>54</v>
      </c>
      <c r="C3103" t="s">
        <v>1897</v>
      </c>
      <c r="D3103" t="s">
        <v>24</v>
      </c>
      <c r="E3103" t="s">
        <v>256</v>
      </c>
      <c r="F3103" t="s">
        <v>87</v>
      </c>
      <c r="G3103" t="s">
        <v>27</v>
      </c>
    </row>
    <row r="3104" spans="1:7" x14ac:dyDescent="0.2">
      <c r="A3104">
        <v>19</v>
      </c>
      <c r="B3104">
        <v>54</v>
      </c>
      <c r="C3104" t="s">
        <v>1898</v>
      </c>
      <c r="D3104" t="s">
        <v>24</v>
      </c>
      <c r="E3104" t="s">
        <v>31</v>
      </c>
      <c r="F3104" t="s">
        <v>26</v>
      </c>
      <c r="G3104" t="s">
        <v>27</v>
      </c>
    </row>
    <row r="3105" spans="1:7" x14ac:dyDescent="0.2">
      <c r="A3105">
        <v>19</v>
      </c>
      <c r="B3105">
        <v>54</v>
      </c>
      <c r="C3105" t="s">
        <v>1899</v>
      </c>
      <c r="D3105" t="s">
        <v>30</v>
      </c>
      <c r="E3105" t="s">
        <v>31</v>
      </c>
      <c r="F3105" t="s">
        <v>26</v>
      </c>
      <c r="G3105" t="s">
        <v>27</v>
      </c>
    </row>
    <row r="3106" spans="1:7" x14ac:dyDescent="0.2">
      <c r="A3106">
        <v>19</v>
      </c>
      <c r="B3106">
        <v>54</v>
      </c>
      <c r="C3106" t="s">
        <v>1900</v>
      </c>
      <c r="D3106" t="s">
        <v>24</v>
      </c>
      <c r="E3106" t="s">
        <v>31</v>
      </c>
      <c r="F3106" t="s">
        <v>26</v>
      </c>
      <c r="G3106" t="s">
        <v>27</v>
      </c>
    </row>
    <row r="3107" spans="1:7" x14ac:dyDescent="0.2">
      <c r="A3107">
        <v>20</v>
      </c>
      <c r="B3107">
        <v>54</v>
      </c>
      <c r="C3107" t="s">
        <v>1901</v>
      </c>
      <c r="D3107" t="s">
        <v>24</v>
      </c>
      <c r="E3107" t="s">
        <v>25</v>
      </c>
      <c r="F3107" t="s">
        <v>26</v>
      </c>
      <c r="G3107" t="s">
        <v>27</v>
      </c>
    </row>
    <row r="3108" spans="1:7" x14ac:dyDescent="0.2">
      <c r="A3108">
        <v>20</v>
      </c>
      <c r="B3108">
        <v>54</v>
      </c>
      <c r="C3108" t="s">
        <v>1871</v>
      </c>
      <c r="D3108" t="s">
        <v>24</v>
      </c>
      <c r="E3108" t="s">
        <v>25</v>
      </c>
      <c r="F3108" t="s">
        <v>26</v>
      </c>
      <c r="G3108" t="s">
        <v>27</v>
      </c>
    </row>
    <row r="3109" spans="1:7" x14ac:dyDescent="0.2">
      <c r="A3109">
        <v>20</v>
      </c>
      <c r="B3109">
        <v>54</v>
      </c>
      <c r="C3109" t="s">
        <v>1884</v>
      </c>
      <c r="D3109" t="s">
        <v>24</v>
      </c>
      <c r="E3109" t="s">
        <v>25</v>
      </c>
      <c r="F3109" t="s">
        <v>26</v>
      </c>
      <c r="G3109" t="s">
        <v>27</v>
      </c>
    </row>
    <row r="3110" spans="1:7" x14ac:dyDescent="0.2">
      <c r="A3110">
        <v>20</v>
      </c>
      <c r="B3110">
        <v>54</v>
      </c>
      <c r="C3110" t="s">
        <v>1875</v>
      </c>
      <c r="D3110" t="s">
        <v>24</v>
      </c>
      <c r="E3110" t="s">
        <v>25</v>
      </c>
      <c r="F3110" t="s">
        <v>26</v>
      </c>
      <c r="G3110" t="s">
        <v>27</v>
      </c>
    </row>
    <row r="3111" spans="1:7" x14ac:dyDescent="0.2">
      <c r="A3111">
        <v>20</v>
      </c>
      <c r="B3111">
        <v>54</v>
      </c>
      <c r="C3111" t="s">
        <v>1874</v>
      </c>
      <c r="D3111" t="s">
        <v>24</v>
      </c>
      <c r="E3111" t="s">
        <v>25</v>
      </c>
      <c r="F3111" t="s">
        <v>26</v>
      </c>
      <c r="G3111" t="s">
        <v>27</v>
      </c>
    </row>
    <row r="3112" spans="1:7" x14ac:dyDescent="0.2">
      <c r="A3112">
        <v>21</v>
      </c>
      <c r="B3112">
        <v>54</v>
      </c>
      <c r="C3112" t="s">
        <v>1902</v>
      </c>
      <c r="D3112" t="s">
        <v>24</v>
      </c>
      <c r="E3112" t="s">
        <v>31</v>
      </c>
      <c r="F3112" t="s">
        <v>87</v>
      </c>
      <c r="G3112" t="s">
        <v>27</v>
      </c>
    </row>
    <row r="3113" spans="1:7" x14ac:dyDescent="0.2">
      <c r="A3113">
        <v>21</v>
      </c>
      <c r="B3113">
        <v>54</v>
      </c>
      <c r="C3113" t="s">
        <v>1903</v>
      </c>
      <c r="D3113" t="s">
        <v>24</v>
      </c>
      <c r="E3113" t="s">
        <v>31</v>
      </c>
      <c r="F3113" t="s">
        <v>87</v>
      </c>
      <c r="G3113" t="s">
        <v>27</v>
      </c>
    </row>
    <row r="3114" spans="1:7" x14ac:dyDescent="0.2">
      <c r="A3114">
        <v>21</v>
      </c>
      <c r="B3114">
        <v>54</v>
      </c>
      <c r="C3114" t="s">
        <v>1875</v>
      </c>
      <c r="D3114" t="s">
        <v>24</v>
      </c>
      <c r="E3114" t="s">
        <v>31</v>
      </c>
      <c r="F3114" t="s">
        <v>87</v>
      </c>
      <c r="G3114" t="s">
        <v>27</v>
      </c>
    </row>
    <row r="3115" spans="1:7" x14ac:dyDescent="0.2">
      <c r="A3115">
        <v>21</v>
      </c>
      <c r="B3115">
        <v>54</v>
      </c>
      <c r="C3115" t="s">
        <v>1884</v>
      </c>
      <c r="D3115" t="s">
        <v>24</v>
      </c>
      <c r="E3115" t="s">
        <v>31</v>
      </c>
      <c r="F3115" t="s">
        <v>87</v>
      </c>
      <c r="G3115" t="s">
        <v>27</v>
      </c>
    </row>
    <row r="3116" spans="1:7" x14ac:dyDescent="0.2">
      <c r="A3116">
        <v>21</v>
      </c>
      <c r="B3116">
        <v>54</v>
      </c>
      <c r="C3116" t="s">
        <v>1871</v>
      </c>
      <c r="D3116" t="s">
        <v>24</v>
      </c>
      <c r="E3116" t="s">
        <v>31</v>
      </c>
      <c r="F3116" t="s">
        <v>87</v>
      </c>
      <c r="G3116" t="s">
        <v>27</v>
      </c>
    </row>
    <row r="3117" spans="1:7" x14ac:dyDescent="0.2">
      <c r="A3117">
        <v>21</v>
      </c>
      <c r="B3117">
        <v>54</v>
      </c>
      <c r="C3117" t="s">
        <v>1904</v>
      </c>
      <c r="D3117" t="s">
        <v>24</v>
      </c>
      <c r="E3117" t="s">
        <v>31</v>
      </c>
      <c r="F3117" t="s">
        <v>87</v>
      </c>
      <c r="G3117" t="s">
        <v>27</v>
      </c>
    </row>
    <row r="3118" spans="1:7" x14ac:dyDescent="0.2">
      <c r="A3118">
        <v>21</v>
      </c>
      <c r="B3118">
        <v>54</v>
      </c>
      <c r="C3118" t="s">
        <v>1873</v>
      </c>
      <c r="D3118" t="s">
        <v>24</v>
      </c>
      <c r="E3118" t="s">
        <v>31</v>
      </c>
      <c r="F3118" t="s">
        <v>87</v>
      </c>
      <c r="G3118" t="s">
        <v>27</v>
      </c>
    </row>
    <row r="3119" spans="1:7" x14ac:dyDescent="0.2">
      <c r="A3119">
        <v>22</v>
      </c>
      <c r="B3119">
        <v>54</v>
      </c>
      <c r="C3119" t="s">
        <v>1898</v>
      </c>
      <c r="D3119" t="s">
        <v>24</v>
      </c>
      <c r="E3119" t="s">
        <v>31</v>
      </c>
      <c r="F3119" t="s">
        <v>26</v>
      </c>
      <c r="G3119" t="s">
        <v>27</v>
      </c>
    </row>
    <row r="3120" spans="1:7" x14ac:dyDescent="0.2">
      <c r="A3120">
        <v>22</v>
      </c>
      <c r="B3120">
        <v>54</v>
      </c>
      <c r="C3120" t="s">
        <v>1893</v>
      </c>
      <c r="D3120" t="s">
        <v>30</v>
      </c>
      <c r="E3120" t="s">
        <v>31</v>
      </c>
      <c r="F3120" t="s">
        <v>26</v>
      </c>
      <c r="G3120" t="s">
        <v>27</v>
      </c>
    </row>
    <row r="3121" spans="1:7" x14ac:dyDescent="0.2">
      <c r="A3121">
        <v>23</v>
      </c>
      <c r="B3121">
        <v>54</v>
      </c>
      <c r="C3121" t="s">
        <v>1871</v>
      </c>
      <c r="D3121" t="s">
        <v>24</v>
      </c>
      <c r="E3121" t="s">
        <v>25</v>
      </c>
      <c r="F3121" t="s">
        <v>26</v>
      </c>
      <c r="G3121" t="s">
        <v>27</v>
      </c>
    </row>
    <row r="3122" spans="1:7" x14ac:dyDescent="0.2">
      <c r="A3122">
        <v>23</v>
      </c>
      <c r="B3122">
        <v>54</v>
      </c>
      <c r="C3122" t="s">
        <v>1875</v>
      </c>
      <c r="D3122" t="s">
        <v>24</v>
      </c>
      <c r="E3122" t="s">
        <v>25</v>
      </c>
      <c r="F3122" t="s">
        <v>26</v>
      </c>
      <c r="G3122" t="s">
        <v>27</v>
      </c>
    </row>
    <row r="3123" spans="1:7" x14ac:dyDescent="0.2">
      <c r="A3123">
        <v>7</v>
      </c>
      <c r="B3123">
        <v>55</v>
      </c>
      <c r="C3123" t="s">
        <v>1905</v>
      </c>
      <c r="D3123" t="s">
        <v>24</v>
      </c>
      <c r="E3123" t="s">
        <v>256</v>
      </c>
      <c r="F3123" t="s">
        <v>87</v>
      </c>
      <c r="G3123" t="s">
        <v>27</v>
      </c>
    </row>
    <row r="3124" spans="1:7" x14ac:dyDescent="0.2">
      <c r="A3124">
        <v>9</v>
      </c>
      <c r="B3124">
        <v>55</v>
      </c>
      <c r="C3124" t="s">
        <v>1907</v>
      </c>
      <c r="D3124" t="s">
        <v>24</v>
      </c>
      <c r="E3124" t="s">
        <v>25</v>
      </c>
      <c r="F3124" t="s">
        <v>26</v>
      </c>
      <c r="G3124" t="s">
        <v>27</v>
      </c>
    </row>
    <row r="3125" spans="1:7" x14ac:dyDescent="0.2">
      <c r="A3125">
        <v>9</v>
      </c>
      <c r="B3125">
        <v>55</v>
      </c>
      <c r="C3125" t="s">
        <v>1908</v>
      </c>
      <c r="D3125" t="s">
        <v>24</v>
      </c>
      <c r="E3125" t="s">
        <v>25</v>
      </c>
      <c r="F3125" t="s">
        <v>26</v>
      </c>
      <c r="G3125" t="s">
        <v>27</v>
      </c>
    </row>
    <row r="3126" spans="1:7" x14ac:dyDescent="0.2">
      <c r="A3126">
        <v>9</v>
      </c>
      <c r="B3126">
        <v>55</v>
      </c>
      <c r="C3126" t="s">
        <v>1909</v>
      </c>
      <c r="D3126" t="s">
        <v>24</v>
      </c>
      <c r="E3126" t="s">
        <v>25</v>
      </c>
      <c r="F3126" t="s">
        <v>26</v>
      </c>
      <c r="G3126" t="s">
        <v>27</v>
      </c>
    </row>
    <row r="3127" spans="1:7" x14ac:dyDescent="0.2">
      <c r="A3127">
        <v>10</v>
      </c>
      <c r="B3127">
        <v>55</v>
      </c>
      <c r="C3127" t="s">
        <v>1910</v>
      </c>
      <c r="D3127" t="s">
        <v>24</v>
      </c>
      <c r="E3127" t="s">
        <v>256</v>
      </c>
      <c r="F3127" t="s">
        <v>87</v>
      </c>
      <c r="G3127" t="s">
        <v>27</v>
      </c>
    </row>
    <row r="3128" spans="1:7" x14ac:dyDescent="0.2">
      <c r="A3128">
        <v>10</v>
      </c>
      <c r="B3128">
        <v>55</v>
      </c>
      <c r="C3128" t="s">
        <v>1911</v>
      </c>
      <c r="D3128" t="s">
        <v>24</v>
      </c>
      <c r="E3128" t="s">
        <v>256</v>
      </c>
      <c r="F3128" t="s">
        <v>87</v>
      </c>
      <c r="G3128" t="s">
        <v>27</v>
      </c>
    </row>
    <row r="3129" spans="1:7" x14ac:dyDescent="0.2">
      <c r="A3129">
        <v>11</v>
      </c>
      <c r="B3129">
        <v>55</v>
      </c>
      <c r="C3129" t="s">
        <v>1912</v>
      </c>
      <c r="D3129" t="s">
        <v>24</v>
      </c>
      <c r="E3129" t="s">
        <v>31</v>
      </c>
      <c r="F3129" t="s">
        <v>26</v>
      </c>
      <c r="G3129" t="s">
        <v>27</v>
      </c>
    </row>
    <row r="3130" spans="1:7" x14ac:dyDescent="0.2">
      <c r="A3130">
        <v>11</v>
      </c>
      <c r="B3130">
        <v>55</v>
      </c>
      <c r="C3130" t="s">
        <v>1913</v>
      </c>
      <c r="D3130" t="s">
        <v>24</v>
      </c>
      <c r="E3130" t="s">
        <v>31</v>
      </c>
      <c r="F3130" t="s">
        <v>26</v>
      </c>
      <c r="G3130" t="s">
        <v>27</v>
      </c>
    </row>
    <row r="3131" spans="1:7" x14ac:dyDescent="0.2">
      <c r="A3131">
        <v>12</v>
      </c>
      <c r="B3131">
        <v>55</v>
      </c>
      <c r="C3131" t="s">
        <v>1914</v>
      </c>
      <c r="D3131" t="s">
        <v>24</v>
      </c>
      <c r="E3131" t="s">
        <v>25</v>
      </c>
      <c r="F3131" t="s">
        <v>26</v>
      </c>
      <c r="G3131" t="s">
        <v>27</v>
      </c>
    </row>
    <row r="3132" spans="1:7" x14ac:dyDescent="0.2">
      <c r="A3132">
        <v>12</v>
      </c>
      <c r="B3132">
        <v>55</v>
      </c>
      <c r="C3132" t="s">
        <v>1911</v>
      </c>
      <c r="D3132" t="s">
        <v>24</v>
      </c>
      <c r="E3132" t="s">
        <v>25</v>
      </c>
      <c r="F3132" t="s">
        <v>26</v>
      </c>
      <c r="G3132" t="s">
        <v>27</v>
      </c>
    </row>
    <row r="3133" spans="1:7" x14ac:dyDescent="0.2">
      <c r="A3133">
        <v>13</v>
      </c>
      <c r="B3133">
        <v>55</v>
      </c>
      <c r="C3133" t="s">
        <v>855</v>
      </c>
      <c r="D3133" t="s">
        <v>24</v>
      </c>
      <c r="E3133" t="s">
        <v>31</v>
      </c>
      <c r="F3133" t="s">
        <v>26</v>
      </c>
      <c r="G3133" t="s">
        <v>27</v>
      </c>
    </row>
    <row r="3134" spans="1:7" x14ac:dyDescent="0.2">
      <c r="A3134">
        <v>13</v>
      </c>
      <c r="B3134">
        <v>55</v>
      </c>
      <c r="C3134" t="s">
        <v>831</v>
      </c>
      <c r="D3134" t="s">
        <v>24</v>
      </c>
      <c r="E3134" t="s">
        <v>31</v>
      </c>
      <c r="F3134" t="s">
        <v>26</v>
      </c>
      <c r="G3134" t="s">
        <v>27</v>
      </c>
    </row>
    <row r="3135" spans="1:7" x14ac:dyDescent="0.2">
      <c r="A3135">
        <v>14</v>
      </c>
      <c r="B3135">
        <v>55</v>
      </c>
      <c r="C3135" t="s">
        <v>1796</v>
      </c>
      <c r="D3135" t="s">
        <v>24</v>
      </c>
      <c r="E3135" t="s">
        <v>31</v>
      </c>
      <c r="F3135" t="s">
        <v>87</v>
      </c>
      <c r="G3135" t="s">
        <v>27</v>
      </c>
    </row>
    <row r="3136" spans="1:7" x14ac:dyDescent="0.2">
      <c r="A3136">
        <v>15</v>
      </c>
      <c r="B3136">
        <v>55</v>
      </c>
      <c r="C3136" t="s">
        <v>1796</v>
      </c>
      <c r="D3136" t="s">
        <v>24</v>
      </c>
      <c r="E3136" t="s">
        <v>31</v>
      </c>
      <c r="F3136" t="s">
        <v>87</v>
      </c>
      <c r="G3136" t="s">
        <v>27</v>
      </c>
    </row>
    <row r="3137" spans="1:7" x14ac:dyDescent="0.2">
      <c r="A3137">
        <v>16</v>
      </c>
      <c r="B3137">
        <v>55</v>
      </c>
      <c r="C3137" t="s">
        <v>1915</v>
      </c>
      <c r="D3137" t="s">
        <v>24</v>
      </c>
      <c r="E3137" t="s">
        <v>31</v>
      </c>
      <c r="F3137" t="s">
        <v>26</v>
      </c>
      <c r="G3137" t="s">
        <v>27</v>
      </c>
    </row>
    <row r="3138" spans="1:7" x14ac:dyDescent="0.2">
      <c r="A3138">
        <v>16</v>
      </c>
      <c r="B3138">
        <v>55</v>
      </c>
      <c r="C3138" t="s">
        <v>1916</v>
      </c>
      <c r="D3138" t="s">
        <v>24</v>
      </c>
      <c r="E3138" t="s">
        <v>31</v>
      </c>
      <c r="F3138" t="s">
        <v>26</v>
      </c>
      <c r="G3138" t="s">
        <v>27</v>
      </c>
    </row>
    <row r="3139" spans="1:7" x14ac:dyDescent="0.2">
      <c r="A3139">
        <v>16</v>
      </c>
      <c r="B3139">
        <v>55</v>
      </c>
      <c r="C3139" t="s">
        <v>1917</v>
      </c>
      <c r="D3139" t="s">
        <v>30</v>
      </c>
      <c r="E3139" t="s">
        <v>25</v>
      </c>
      <c r="F3139" t="s">
        <v>87</v>
      </c>
      <c r="G3139" t="s">
        <v>27</v>
      </c>
    </row>
    <row r="3140" spans="1:7" x14ac:dyDescent="0.2">
      <c r="A3140">
        <v>16</v>
      </c>
      <c r="B3140">
        <v>55</v>
      </c>
      <c r="C3140" t="s">
        <v>1918</v>
      </c>
      <c r="D3140" t="s">
        <v>24</v>
      </c>
      <c r="E3140" t="s">
        <v>31</v>
      </c>
      <c r="F3140" t="s">
        <v>26</v>
      </c>
      <c r="G3140" t="s">
        <v>27</v>
      </c>
    </row>
    <row r="3141" spans="1:7" x14ac:dyDescent="0.2">
      <c r="A3141">
        <v>17</v>
      </c>
      <c r="B3141">
        <v>55</v>
      </c>
      <c r="C3141" t="s">
        <v>1796</v>
      </c>
      <c r="D3141" t="s">
        <v>24</v>
      </c>
      <c r="E3141" t="s">
        <v>31</v>
      </c>
      <c r="F3141" t="s">
        <v>87</v>
      </c>
      <c r="G3141" t="s">
        <v>27</v>
      </c>
    </row>
    <row r="3142" spans="1:7" x14ac:dyDescent="0.2">
      <c r="A3142">
        <v>18</v>
      </c>
      <c r="B3142">
        <v>55</v>
      </c>
      <c r="C3142" t="s">
        <v>1919</v>
      </c>
      <c r="D3142" t="s">
        <v>24</v>
      </c>
      <c r="E3142" t="s">
        <v>31</v>
      </c>
      <c r="F3142" t="s">
        <v>26</v>
      </c>
      <c r="G3142" t="s">
        <v>27</v>
      </c>
    </row>
    <row r="3143" spans="1:7" x14ac:dyDescent="0.2">
      <c r="A3143">
        <v>19</v>
      </c>
      <c r="B3143">
        <v>55</v>
      </c>
      <c r="C3143" t="s">
        <v>1917</v>
      </c>
      <c r="D3143" t="s">
        <v>30</v>
      </c>
      <c r="E3143" t="s">
        <v>31</v>
      </c>
      <c r="F3143" t="s">
        <v>87</v>
      </c>
      <c r="G3143" t="s">
        <v>27</v>
      </c>
    </row>
    <row r="3144" spans="1:7" x14ac:dyDescent="0.2">
      <c r="A3144">
        <v>19</v>
      </c>
      <c r="B3144">
        <v>55</v>
      </c>
      <c r="C3144" t="s">
        <v>1912</v>
      </c>
      <c r="D3144" t="s">
        <v>24</v>
      </c>
      <c r="E3144" t="s">
        <v>31</v>
      </c>
      <c r="F3144" t="s">
        <v>26</v>
      </c>
      <c r="G3144" t="s">
        <v>27</v>
      </c>
    </row>
    <row r="3145" spans="1:7" x14ac:dyDescent="0.2">
      <c r="A3145">
        <v>19</v>
      </c>
      <c r="B3145">
        <v>55</v>
      </c>
      <c r="C3145" t="s">
        <v>1913</v>
      </c>
      <c r="D3145" t="s">
        <v>24</v>
      </c>
      <c r="E3145" t="s">
        <v>31</v>
      </c>
      <c r="F3145" t="s">
        <v>26</v>
      </c>
      <c r="G3145" t="s">
        <v>27</v>
      </c>
    </row>
    <row r="3146" spans="1:7" x14ac:dyDescent="0.2">
      <c r="A3146">
        <v>20</v>
      </c>
      <c r="B3146">
        <v>55</v>
      </c>
      <c r="C3146" t="s">
        <v>1905</v>
      </c>
      <c r="D3146" t="s">
        <v>24</v>
      </c>
      <c r="E3146" t="s">
        <v>25</v>
      </c>
      <c r="F3146" t="s">
        <v>26</v>
      </c>
      <c r="G3146" t="s">
        <v>27</v>
      </c>
    </row>
    <row r="3147" spans="1:7" x14ac:dyDescent="0.2">
      <c r="A3147">
        <v>20</v>
      </c>
      <c r="B3147">
        <v>55</v>
      </c>
      <c r="C3147" t="s">
        <v>1911</v>
      </c>
      <c r="D3147" t="s">
        <v>24</v>
      </c>
      <c r="E3147" t="s">
        <v>25</v>
      </c>
      <c r="F3147" t="s">
        <v>26</v>
      </c>
      <c r="G3147" t="s">
        <v>27</v>
      </c>
    </row>
    <row r="3148" spans="1:7" x14ac:dyDescent="0.2">
      <c r="A3148">
        <v>21</v>
      </c>
      <c r="B3148">
        <v>55</v>
      </c>
      <c r="C3148" t="s">
        <v>1905</v>
      </c>
      <c r="D3148" t="s">
        <v>24</v>
      </c>
      <c r="E3148" t="s">
        <v>31</v>
      </c>
      <c r="F3148" t="s">
        <v>26</v>
      </c>
      <c r="G3148" t="s">
        <v>27</v>
      </c>
    </row>
    <row r="3149" spans="1:7" x14ac:dyDescent="0.2">
      <c r="A3149">
        <v>22</v>
      </c>
      <c r="B3149">
        <v>55</v>
      </c>
      <c r="C3149" t="s">
        <v>1917</v>
      </c>
      <c r="D3149" t="s">
        <v>30</v>
      </c>
      <c r="E3149" t="s">
        <v>31</v>
      </c>
      <c r="F3149" t="s">
        <v>26</v>
      </c>
      <c r="G3149" t="s">
        <v>27</v>
      </c>
    </row>
    <row r="3150" spans="1:7" x14ac:dyDescent="0.2">
      <c r="A3150">
        <v>22</v>
      </c>
      <c r="B3150">
        <v>55</v>
      </c>
      <c r="C3150" t="s">
        <v>1912</v>
      </c>
      <c r="D3150" t="s">
        <v>24</v>
      </c>
      <c r="E3150" t="s">
        <v>31</v>
      </c>
      <c r="F3150" t="s">
        <v>26</v>
      </c>
      <c r="G3150" t="s">
        <v>27</v>
      </c>
    </row>
    <row r="3151" spans="1:7" x14ac:dyDescent="0.2">
      <c r="A3151">
        <v>22</v>
      </c>
      <c r="B3151">
        <v>55</v>
      </c>
      <c r="C3151" t="s">
        <v>1913</v>
      </c>
      <c r="D3151" t="s">
        <v>24</v>
      </c>
      <c r="E3151" t="s">
        <v>31</v>
      </c>
      <c r="F3151" t="s">
        <v>26</v>
      </c>
      <c r="G3151" t="s">
        <v>27</v>
      </c>
    </row>
    <row r="3152" spans="1:7" x14ac:dyDescent="0.2">
      <c r="A3152">
        <v>22</v>
      </c>
      <c r="B3152">
        <v>55</v>
      </c>
      <c r="C3152" t="s">
        <v>1905</v>
      </c>
      <c r="D3152" t="s">
        <v>24</v>
      </c>
      <c r="E3152" t="s">
        <v>31</v>
      </c>
      <c r="F3152" t="s">
        <v>26</v>
      </c>
      <c r="G3152" t="s">
        <v>27</v>
      </c>
    </row>
    <row r="3153" spans="1:7" x14ac:dyDescent="0.2">
      <c r="A3153">
        <v>23</v>
      </c>
      <c r="B3153">
        <v>55</v>
      </c>
      <c r="C3153" t="s">
        <v>1914</v>
      </c>
      <c r="D3153" t="s">
        <v>24</v>
      </c>
      <c r="E3153" t="s">
        <v>25</v>
      </c>
      <c r="F3153" t="s">
        <v>26</v>
      </c>
      <c r="G3153" t="s">
        <v>27</v>
      </c>
    </row>
    <row r="3154" spans="1:7" x14ac:dyDescent="0.2">
      <c r="A3154">
        <v>23</v>
      </c>
      <c r="B3154">
        <v>55</v>
      </c>
      <c r="C3154" t="s">
        <v>1911</v>
      </c>
      <c r="D3154" t="s">
        <v>24</v>
      </c>
      <c r="E3154" t="s">
        <v>25</v>
      </c>
      <c r="F3154" t="s">
        <v>26</v>
      </c>
      <c r="G3154" t="s">
        <v>27</v>
      </c>
    </row>
    <row r="3155" spans="1:7" x14ac:dyDescent="0.2">
      <c r="A3155">
        <v>7</v>
      </c>
      <c r="B3155">
        <v>56</v>
      </c>
      <c r="C3155" t="s">
        <v>1920</v>
      </c>
      <c r="D3155" t="s">
        <v>24</v>
      </c>
      <c r="E3155" t="s">
        <v>31</v>
      </c>
      <c r="F3155" t="s">
        <v>26</v>
      </c>
      <c r="G3155" t="s">
        <v>27</v>
      </c>
    </row>
    <row r="3156" spans="1:7" x14ac:dyDescent="0.2">
      <c r="A3156">
        <v>7</v>
      </c>
      <c r="B3156">
        <v>56</v>
      </c>
      <c r="C3156" t="s">
        <v>1921</v>
      </c>
      <c r="D3156" t="s">
        <v>24</v>
      </c>
      <c r="E3156" t="s">
        <v>31</v>
      </c>
      <c r="F3156" t="s">
        <v>26</v>
      </c>
      <c r="G3156" t="s">
        <v>27</v>
      </c>
    </row>
    <row r="3157" spans="1:7" x14ac:dyDescent="0.2">
      <c r="A3157">
        <v>7</v>
      </c>
      <c r="B3157">
        <v>56</v>
      </c>
      <c r="C3157" t="s">
        <v>1922</v>
      </c>
      <c r="D3157" t="s">
        <v>24</v>
      </c>
      <c r="E3157" t="s">
        <v>31</v>
      </c>
      <c r="F3157" t="s">
        <v>26</v>
      </c>
      <c r="G3157" t="s">
        <v>27</v>
      </c>
    </row>
    <row r="3158" spans="1:7" x14ac:dyDescent="0.2">
      <c r="A3158">
        <v>7</v>
      </c>
      <c r="B3158">
        <v>56</v>
      </c>
      <c r="C3158" t="s">
        <v>1923</v>
      </c>
      <c r="D3158" t="s">
        <v>24</v>
      </c>
      <c r="E3158" t="s">
        <v>31</v>
      </c>
      <c r="F3158" t="s">
        <v>26</v>
      </c>
      <c r="G3158" t="s">
        <v>27</v>
      </c>
    </row>
    <row r="3159" spans="1:7" x14ac:dyDescent="0.2">
      <c r="A3159">
        <v>7</v>
      </c>
      <c r="B3159">
        <v>56</v>
      </c>
      <c r="C3159" t="s">
        <v>1924</v>
      </c>
      <c r="D3159" t="s">
        <v>24</v>
      </c>
      <c r="E3159" t="s">
        <v>31</v>
      </c>
      <c r="F3159" t="s">
        <v>26</v>
      </c>
      <c r="G3159" t="s">
        <v>27</v>
      </c>
    </row>
    <row r="3160" spans="1:7" x14ac:dyDescent="0.2">
      <c r="A3160">
        <v>8</v>
      </c>
      <c r="B3160">
        <v>56</v>
      </c>
      <c r="C3160" t="s">
        <v>1921</v>
      </c>
      <c r="D3160" t="s">
        <v>24</v>
      </c>
      <c r="E3160" t="s">
        <v>31</v>
      </c>
      <c r="F3160" t="s">
        <v>26</v>
      </c>
      <c r="G3160" t="s">
        <v>27</v>
      </c>
    </row>
    <row r="3161" spans="1:7" x14ac:dyDescent="0.2">
      <c r="A3161">
        <v>8</v>
      </c>
      <c r="B3161">
        <v>56</v>
      </c>
      <c r="C3161" t="s">
        <v>1923</v>
      </c>
      <c r="D3161" t="s">
        <v>24</v>
      </c>
      <c r="E3161" t="s">
        <v>31</v>
      </c>
      <c r="F3161" t="s">
        <v>26</v>
      </c>
      <c r="G3161" t="s">
        <v>27</v>
      </c>
    </row>
    <row r="3162" spans="1:7" x14ac:dyDescent="0.2">
      <c r="A3162">
        <v>8</v>
      </c>
      <c r="B3162">
        <v>56</v>
      </c>
      <c r="C3162" t="s">
        <v>1924</v>
      </c>
      <c r="D3162" t="s">
        <v>24</v>
      </c>
      <c r="E3162" t="s">
        <v>31</v>
      </c>
      <c r="F3162" t="s">
        <v>26</v>
      </c>
      <c r="G3162" t="s">
        <v>27</v>
      </c>
    </row>
    <row r="3163" spans="1:7" x14ac:dyDescent="0.2">
      <c r="A3163">
        <v>8</v>
      </c>
      <c r="B3163">
        <v>56</v>
      </c>
      <c r="C3163" t="s">
        <v>1920</v>
      </c>
      <c r="D3163" t="s">
        <v>24</v>
      </c>
      <c r="E3163" t="s">
        <v>31</v>
      </c>
      <c r="F3163" t="s">
        <v>26</v>
      </c>
      <c r="G3163" t="s">
        <v>27</v>
      </c>
    </row>
    <row r="3164" spans="1:7" x14ac:dyDescent="0.2">
      <c r="A3164">
        <v>9</v>
      </c>
      <c r="B3164">
        <v>56</v>
      </c>
      <c r="C3164" t="s">
        <v>1925</v>
      </c>
      <c r="D3164" t="s">
        <v>24</v>
      </c>
      <c r="E3164" t="s">
        <v>25</v>
      </c>
      <c r="F3164" t="s">
        <v>26</v>
      </c>
      <c r="G3164" t="s">
        <v>27</v>
      </c>
    </row>
    <row r="3165" spans="1:7" x14ac:dyDescent="0.2">
      <c r="A3165">
        <v>9</v>
      </c>
      <c r="B3165">
        <v>56</v>
      </c>
      <c r="C3165" t="s">
        <v>1926</v>
      </c>
      <c r="D3165" t="s">
        <v>24</v>
      </c>
      <c r="E3165" t="s">
        <v>25</v>
      </c>
      <c r="F3165" t="s">
        <v>26</v>
      </c>
      <c r="G3165" t="s">
        <v>27</v>
      </c>
    </row>
    <row r="3166" spans="1:7" x14ac:dyDescent="0.2">
      <c r="A3166">
        <v>9</v>
      </c>
      <c r="B3166">
        <v>56</v>
      </c>
      <c r="C3166" t="s">
        <v>1927</v>
      </c>
      <c r="D3166" t="s">
        <v>24</v>
      </c>
      <c r="E3166" t="s">
        <v>25</v>
      </c>
      <c r="F3166" t="s">
        <v>26</v>
      </c>
      <c r="G3166" t="s">
        <v>27</v>
      </c>
    </row>
    <row r="3167" spans="1:7" x14ac:dyDescent="0.2">
      <c r="A3167">
        <v>9</v>
      </c>
      <c r="B3167">
        <v>56</v>
      </c>
      <c r="C3167" t="s">
        <v>1928</v>
      </c>
      <c r="D3167" t="s">
        <v>24</v>
      </c>
      <c r="E3167" t="s">
        <v>25</v>
      </c>
      <c r="F3167" t="s">
        <v>26</v>
      </c>
      <c r="G3167" t="s">
        <v>27</v>
      </c>
    </row>
    <row r="3168" spans="1:7" x14ac:dyDescent="0.2">
      <c r="A3168">
        <v>9</v>
      </c>
      <c r="B3168">
        <v>56</v>
      </c>
      <c r="C3168" t="s">
        <v>1928</v>
      </c>
      <c r="D3168" t="s">
        <v>24</v>
      </c>
      <c r="E3168" t="s">
        <v>25</v>
      </c>
      <c r="F3168" t="s">
        <v>26</v>
      </c>
      <c r="G3168" t="s">
        <v>27</v>
      </c>
    </row>
    <row r="3169" spans="1:7" x14ac:dyDescent="0.2">
      <c r="A3169">
        <v>9</v>
      </c>
      <c r="B3169">
        <v>56</v>
      </c>
      <c r="C3169" t="s">
        <v>1929</v>
      </c>
      <c r="D3169" t="s">
        <v>24</v>
      </c>
      <c r="E3169" t="s">
        <v>25</v>
      </c>
      <c r="F3169" t="s">
        <v>26</v>
      </c>
      <c r="G3169" t="s">
        <v>27</v>
      </c>
    </row>
    <row r="3170" spans="1:7" x14ac:dyDescent="0.2">
      <c r="A3170">
        <v>9</v>
      </c>
      <c r="B3170">
        <v>56</v>
      </c>
      <c r="C3170" t="s">
        <v>1930</v>
      </c>
      <c r="D3170" t="s">
        <v>24</v>
      </c>
      <c r="E3170" t="s">
        <v>25</v>
      </c>
      <c r="F3170" t="s">
        <v>26</v>
      </c>
      <c r="G3170" t="s">
        <v>27</v>
      </c>
    </row>
    <row r="3171" spans="1:7" x14ac:dyDescent="0.2">
      <c r="A3171">
        <v>10</v>
      </c>
      <c r="B3171">
        <v>56</v>
      </c>
      <c r="C3171" t="s">
        <v>1931</v>
      </c>
      <c r="D3171" t="s">
        <v>24</v>
      </c>
      <c r="E3171" t="s">
        <v>31</v>
      </c>
      <c r="F3171" t="s">
        <v>26</v>
      </c>
      <c r="G3171" t="s">
        <v>27</v>
      </c>
    </row>
    <row r="3172" spans="1:7" x14ac:dyDescent="0.2">
      <c r="A3172">
        <v>10</v>
      </c>
      <c r="B3172">
        <v>56</v>
      </c>
      <c r="C3172" t="s">
        <v>1932</v>
      </c>
      <c r="D3172" t="s">
        <v>24</v>
      </c>
      <c r="E3172" t="s">
        <v>31</v>
      </c>
      <c r="F3172" t="s">
        <v>26</v>
      </c>
      <c r="G3172" t="s">
        <v>27</v>
      </c>
    </row>
    <row r="3173" spans="1:7" x14ac:dyDescent="0.2">
      <c r="A3173">
        <v>10</v>
      </c>
      <c r="B3173">
        <v>56</v>
      </c>
      <c r="C3173" t="s">
        <v>1933</v>
      </c>
      <c r="D3173" t="s">
        <v>24</v>
      </c>
      <c r="E3173" t="s">
        <v>31</v>
      </c>
      <c r="F3173" t="s">
        <v>26</v>
      </c>
      <c r="G3173" t="s">
        <v>27</v>
      </c>
    </row>
    <row r="3174" spans="1:7" x14ac:dyDescent="0.2">
      <c r="A3174">
        <v>10</v>
      </c>
      <c r="B3174">
        <v>56</v>
      </c>
      <c r="C3174" t="s">
        <v>1934</v>
      </c>
      <c r="D3174" t="s">
        <v>24</v>
      </c>
      <c r="E3174" t="s">
        <v>31</v>
      </c>
      <c r="F3174" t="s">
        <v>26</v>
      </c>
      <c r="G3174" t="s">
        <v>27</v>
      </c>
    </row>
    <row r="3175" spans="1:7" x14ac:dyDescent="0.2">
      <c r="A3175">
        <v>10</v>
      </c>
      <c r="B3175">
        <v>56</v>
      </c>
      <c r="C3175" t="s">
        <v>1922</v>
      </c>
      <c r="D3175" t="s">
        <v>24</v>
      </c>
      <c r="E3175" t="s">
        <v>31</v>
      </c>
      <c r="F3175" t="s">
        <v>26</v>
      </c>
      <c r="G3175" t="s">
        <v>27</v>
      </c>
    </row>
    <row r="3176" spans="1:7" x14ac:dyDescent="0.2">
      <c r="A3176">
        <v>10</v>
      </c>
      <c r="B3176">
        <v>56</v>
      </c>
      <c r="C3176" t="s">
        <v>1921</v>
      </c>
      <c r="D3176" t="s">
        <v>24</v>
      </c>
      <c r="E3176" t="s">
        <v>31</v>
      </c>
      <c r="F3176" t="s">
        <v>26</v>
      </c>
      <c r="G3176" t="s">
        <v>27</v>
      </c>
    </row>
    <row r="3177" spans="1:7" x14ac:dyDescent="0.2">
      <c r="A3177">
        <v>10</v>
      </c>
      <c r="B3177">
        <v>56</v>
      </c>
      <c r="C3177" t="s">
        <v>1920</v>
      </c>
      <c r="D3177" t="s">
        <v>24</v>
      </c>
      <c r="E3177" t="s">
        <v>31</v>
      </c>
      <c r="F3177" t="s">
        <v>26</v>
      </c>
      <c r="G3177" t="s">
        <v>27</v>
      </c>
    </row>
    <row r="3178" spans="1:7" x14ac:dyDescent="0.2">
      <c r="A3178">
        <v>10</v>
      </c>
      <c r="B3178">
        <v>56</v>
      </c>
      <c r="C3178" t="s">
        <v>1935</v>
      </c>
      <c r="D3178" t="s">
        <v>24</v>
      </c>
      <c r="E3178" t="s">
        <v>31</v>
      </c>
      <c r="F3178" t="s">
        <v>26</v>
      </c>
      <c r="G3178" t="s">
        <v>27</v>
      </c>
    </row>
    <row r="3179" spans="1:7" x14ac:dyDescent="0.2">
      <c r="A3179">
        <v>10</v>
      </c>
      <c r="B3179">
        <v>56</v>
      </c>
      <c r="C3179" t="s">
        <v>1936</v>
      </c>
      <c r="D3179" t="s">
        <v>24</v>
      </c>
      <c r="E3179" t="s">
        <v>31</v>
      </c>
      <c r="F3179" t="s">
        <v>26</v>
      </c>
      <c r="G3179" t="s">
        <v>27</v>
      </c>
    </row>
    <row r="3180" spans="1:7" x14ac:dyDescent="0.2">
      <c r="A3180">
        <v>10</v>
      </c>
      <c r="B3180">
        <v>56</v>
      </c>
      <c r="C3180" t="s">
        <v>1937</v>
      </c>
      <c r="D3180" t="s">
        <v>24</v>
      </c>
      <c r="E3180" t="s">
        <v>31</v>
      </c>
      <c r="F3180" t="s">
        <v>26</v>
      </c>
      <c r="G3180" t="s">
        <v>27</v>
      </c>
    </row>
    <row r="3181" spans="1:7" x14ac:dyDescent="0.2">
      <c r="A3181">
        <v>11</v>
      </c>
      <c r="B3181">
        <v>56</v>
      </c>
      <c r="C3181" t="s">
        <v>1936</v>
      </c>
      <c r="D3181" t="s">
        <v>24</v>
      </c>
      <c r="E3181" t="s">
        <v>31</v>
      </c>
      <c r="F3181" t="s">
        <v>26</v>
      </c>
      <c r="G3181" t="s">
        <v>27</v>
      </c>
    </row>
    <row r="3182" spans="1:7" x14ac:dyDescent="0.2">
      <c r="A3182">
        <v>11</v>
      </c>
      <c r="B3182">
        <v>56</v>
      </c>
      <c r="C3182" t="s">
        <v>1920</v>
      </c>
      <c r="D3182" t="s">
        <v>24</v>
      </c>
      <c r="E3182" t="s">
        <v>31</v>
      </c>
      <c r="F3182" t="s">
        <v>26</v>
      </c>
      <c r="G3182" t="s">
        <v>27</v>
      </c>
    </row>
    <row r="3183" spans="1:7" x14ac:dyDescent="0.2">
      <c r="A3183">
        <v>11</v>
      </c>
      <c r="B3183">
        <v>56</v>
      </c>
      <c r="C3183" t="s">
        <v>1921</v>
      </c>
      <c r="D3183" t="s">
        <v>24</v>
      </c>
      <c r="E3183" t="s">
        <v>31</v>
      </c>
      <c r="F3183" t="s">
        <v>26</v>
      </c>
      <c r="G3183" t="s">
        <v>27</v>
      </c>
    </row>
    <row r="3184" spans="1:7" x14ac:dyDescent="0.2">
      <c r="A3184">
        <v>11</v>
      </c>
      <c r="B3184">
        <v>56</v>
      </c>
      <c r="C3184" t="s">
        <v>1922</v>
      </c>
      <c r="D3184" t="s">
        <v>24</v>
      </c>
      <c r="E3184" t="s">
        <v>31</v>
      </c>
      <c r="F3184" t="s">
        <v>26</v>
      </c>
      <c r="G3184" t="s">
        <v>27</v>
      </c>
    </row>
    <row r="3185" spans="1:7" x14ac:dyDescent="0.2">
      <c r="A3185">
        <v>11</v>
      </c>
      <c r="B3185">
        <v>56</v>
      </c>
      <c r="C3185" t="s">
        <v>1938</v>
      </c>
      <c r="D3185" t="s">
        <v>24</v>
      </c>
      <c r="E3185" t="s">
        <v>31</v>
      </c>
      <c r="F3185" t="s">
        <v>26</v>
      </c>
      <c r="G3185" t="s">
        <v>27</v>
      </c>
    </row>
    <row r="3186" spans="1:7" x14ac:dyDescent="0.2">
      <c r="A3186">
        <v>11</v>
      </c>
      <c r="B3186">
        <v>56</v>
      </c>
      <c r="C3186" t="s">
        <v>1934</v>
      </c>
      <c r="D3186" t="s">
        <v>24</v>
      </c>
      <c r="E3186" t="s">
        <v>31</v>
      </c>
      <c r="F3186" t="s">
        <v>26</v>
      </c>
      <c r="G3186" t="s">
        <v>27</v>
      </c>
    </row>
    <row r="3187" spans="1:7" x14ac:dyDescent="0.2">
      <c r="A3187">
        <v>11</v>
      </c>
      <c r="B3187">
        <v>56</v>
      </c>
      <c r="C3187" t="s">
        <v>1939</v>
      </c>
      <c r="D3187" t="s">
        <v>24</v>
      </c>
      <c r="E3187" t="s">
        <v>31</v>
      </c>
      <c r="F3187" t="s">
        <v>26</v>
      </c>
      <c r="G3187" t="s">
        <v>27</v>
      </c>
    </row>
    <row r="3188" spans="1:7" x14ac:dyDescent="0.2">
      <c r="A3188">
        <v>11</v>
      </c>
      <c r="B3188">
        <v>56</v>
      </c>
      <c r="C3188" t="s">
        <v>1932</v>
      </c>
      <c r="D3188" t="s">
        <v>24</v>
      </c>
      <c r="E3188" t="s">
        <v>31</v>
      </c>
      <c r="F3188" t="s">
        <v>26</v>
      </c>
      <c r="G3188" t="s">
        <v>27</v>
      </c>
    </row>
    <row r="3189" spans="1:7" x14ac:dyDescent="0.2">
      <c r="A3189">
        <v>11</v>
      </c>
      <c r="B3189">
        <v>56</v>
      </c>
      <c r="C3189" t="s">
        <v>1940</v>
      </c>
      <c r="D3189" t="s">
        <v>24</v>
      </c>
      <c r="E3189" t="s">
        <v>31</v>
      </c>
      <c r="F3189" t="s">
        <v>26</v>
      </c>
      <c r="G3189" t="s">
        <v>27</v>
      </c>
    </row>
    <row r="3190" spans="1:7" x14ac:dyDescent="0.2">
      <c r="A3190">
        <v>11</v>
      </c>
      <c r="B3190">
        <v>56</v>
      </c>
      <c r="C3190" t="s">
        <v>1941</v>
      </c>
      <c r="D3190" t="s">
        <v>24</v>
      </c>
      <c r="E3190" t="s">
        <v>31</v>
      </c>
      <c r="F3190" t="s">
        <v>26</v>
      </c>
      <c r="G3190" t="s">
        <v>27</v>
      </c>
    </row>
    <row r="3191" spans="1:7" x14ac:dyDescent="0.2">
      <c r="A3191">
        <v>11</v>
      </c>
      <c r="B3191">
        <v>56</v>
      </c>
      <c r="C3191" t="s">
        <v>1888</v>
      </c>
      <c r="D3191" t="s">
        <v>24</v>
      </c>
      <c r="E3191" t="s">
        <v>31</v>
      </c>
      <c r="F3191" t="s">
        <v>26</v>
      </c>
      <c r="G3191" t="s">
        <v>27</v>
      </c>
    </row>
    <row r="3192" spans="1:7" x14ac:dyDescent="0.2">
      <c r="A3192">
        <v>11</v>
      </c>
      <c r="B3192">
        <v>56</v>
      </c>
      <c r="C3192" t="s">
        <v>1942</v>
      </c>
      <c r="D3192" t="s">
        <v>30</v>
      </c>
      <c r="E3192" t="s">
        <v>31</v>
      </c>
      <c r="F3192" t="s">
        <v>26</v>
      </c>
      <c r="G3192" t="s">
        <v>27</v>
      </c>
    </row>
    <row r="3193" spans="1:7" x14ac:dyDescent="0.2">
      <c r="A3193">
        <v>12</v>
      </c>
      <c r="B3193">
        <v>56</v>
      </c>
      <c r="C3193" t="s">
        <v>1943</v>
      </c>
      <c r="D3193" t="s">
        <v>1872</v>
      </c>
      <c r="E3193" t="s">
        <v>25</v>
      </c>
      <c r="F3193" t="s">
        <v>26</v>
      </c>
      <c r="G3193" t="s">
        <v>27</v>
      </c>
    </row>
    <row r="3194" spans="1:7" x14ac:dyDescent="0.2">
      <c r="A3194">
        <v>12</v>
      </c>
      <c r="B3194">
        <v>56</v>
      </c>
      <c r="C3194" t="s">
        <v>1888</v>
      </c>
      <c r="D3194" t="s">
        <v>24</v>
      </c>
      <c r="E3194" t="s">
        <v>25</v>
      </c>
      <c r="F3194" t="s">
        <v>26</v>
      </c>
      <c r="G3194" t="s">
        <v>27</v>
      </c>
    </row>
    <row r="3195" spans="1:7" x14ac:dyDescent="0.2">
      <c r="A3195">
        <v>12</v>
      </c>
      <c r="B3195">
        <v>56</v>
      </c>
      <c r="C3195" t="s">
        <v>1940</v>
      </c>
      <c r="D3195" t="s">
        <v>24</v>
      </c>
      <c r="E3195" t="s">
        <v>25</v>
      </c>
      <c r="F3195" t="s">
        <v>26</v>
      </c>
      <c r="G3195" t="s">
        <v>27</v>
      </c>
    </row>
    <row r="3196" spans="1:7" x14ac:dyDescent="0.2">
      <c r="A3196">
        <v>12</v>
      </c>
      <c r="B3196">
        <v>56</v>
      </c>
      <c r="C3196" t="s">
        <v>1932</v>
      </c>
      <c r="D3196" t="s">
        <v>24</v>
      </c>
      <c r="E3196" t="s">
        <v>25</v>
      </c>
      <c r="F3196" t="s">
        <v>26</v>
      </c>
      <c r="G3196" t="s">
        <v>27</v>
      </c>
    </row>
    <row r="3197" spans="1:7" x14ac:dyDescent="0.2">
      <c r="A3197">
        <v>12</v>
      </c>
      <c r="B3197">
        <v>56</v>
      </c>
      <c r="C3197" t="s">
        <v>1938</v>
      </c>
      <c r="D3197" t="s">
        <v>24</v>
      </c>
      <c r="E3197" t="s">
        <v>25</v>
      </c>
      <c r="F3197" t="s">
        <v>26</v>
      </c>
      <c r="G3197" t="s">
        <v>27</v>
      </c>
    </row>
    <row r="3198" spans="1:7" x14ac:dyDescent="0.2">
      <c r="A3198">
        <v>12</v>
      </c>
      <c r="B3198">
        <v>56</v>
      </c>
      <c r="C3198" t="s">
        <v>1920</v>
      </c>
      <c r="D3198" t="s">
        <v>24</v>
      </c>
      <c r="E3198" t="s">
        <v>25</v>
      </c>
      <c r="F3198" t="s">
        <v>26</v>
      </c>
      <c r="G3198" t="s">
        <v>27</v>
      </c>
    </row>
    <row r="3199" spans="1:7" x14ac:dyDescent="0.2">
      <c r="A3199">
        <v>12</v>
      </c>
      <c r="B3199">
        <v>56</v>
      </c>
      <c r="C3199" t="s">
        <v>1936</v>
      </c>
      <c r="D3199" t="s">
        <v>24</v>
      </c>
      <c r="E3199" t="s">
        <v>25</v>
      </c>
      <c r="F3199" t="s">
        <v>26</v>
      </c>
      <c r="G3199" t="s">
        <v>27</v>
      </c>
    </row>
    <row r="3200" spans="1:7" x14ac:dyDescent="0.2">
      <c r="A3200">
        <v>12</v>
      </c>
      <c r="B3200">
        <v>56</v>
      </c>
      <c r="C3200" t="s">
        <v>1944</v>
      </c>
      <c r="D3200" t="s">
        <v>24</v>
      </c>
      <c r="E3200" t="s">
        <v>25</v>
      </c>
      <c r="F3200" t="s">
        <v>26</v>
      </c>
      <c r="G3200" t="s">
        <v>27</v>
      </c>
    </row>
    <row r="3201" spans="1:7" x14ac:dyDescent="0.2">
      <c r="A3201">
        <v>13</v>
      </c>
      <c r="B3201">
        <v>56</v>
      </c>
      <c r="C3201" t="s">
        <v>1920</v>
      </c>
      <c r="D3201" t="s">
        <v>24</v>
      </c>
      <c r="E3201" t="s">
        <v>31</v>
      </c>
      <c r="F3201" t="s">
        <v>26</v>
      </c>
      <c r="G3201" t="s">
        <v>27</v>
      </c>
    </row>
    <row r="3202" spans="1:7" x14ac:dyDescent="0.2">
      <c r="A3202">
        <v>13</v>
      </c>
      <c r="B3202">
        <v>56</v>
      </c>
      <c r="C3202" t="s">
        <v>1944</v>
      </c>
      <c r="D3202" t="s">
        <v>24</v>
      </c>
      <c r="E3202" t="s">
        <v>25</v>
      </c>
      <c r="F3202" t="s">
        <v>26</v>
      </c>
      <c r="G3202" t="s">
        <v>27</v>
      </c>
    </row>
    <row r="3203" spans="1:7" x14ac:dyDescent="0.2">
      <c r="A3203">
        <v>14</v>
      </c>
      <c r="B3203">
        <v>56</v>
      </c>
      <c r="C3203" t="s">
        <v>1945</v>
      </c>
      <c r="D3203" t="s">
        <v>24</v>
      </c>
      <c r="E3203" t="s">
        <v>31</v>
      </c>
      <c r="F3203" t="s">
        <v>26</v>
      </c>
      <c r="G3203" t="s">
        <v>27</v>
      </c>
    </row>
    <row r="3204" spans="1:7" x14ac:dyDescent="0.2">
      <c r="A3204">
        <v>14</v>
      </c>
      <c r="B3204">
        <v>56</v>
      </c>
      <c r="C3204" t="s">
        <v>1946</v>
      </c>
      <c r="D3204" t="s">
        <v>24</v>
      </c>
      <c r="E3204" t="s">
        <v>31</v>
      </c>
      <c r="F3204" t="s">
        <v>26</v>
      </c>
      <c r="G3204" t="s">
        <v>27</v>
      </c>
    </row>
    <row r="3205" spans="1:7" x14ac:dyDescent="0.2">
      <c r="A3205">
        <v>15</v>
      </c>
      <c r="B3205">
        <v>56</v>
      </c>
      <c r="C3205" t="s">
        <v>1920</v>
      </c>
      <c r="D3205" t="s">
        <v>24</v>
      </c>
      <c r="E3205" t="s">
        <v>31</v>
      </c>
      <c r="F3205" t="s">
        <v>26</v>
      </c>
      <c r="G3205" t="s">
        <v>27</v>
      </c>
    </row>
    <row r="3206" spans="1:7" x14ac:dyDescent="0.2">
      <c r="A3206">
        <v>15</v>
      </c>
      <c r="B3206">
        <v>56</v>
      </c>
      <c r="C3206" t="s">
        <v>1945</v>
      </c>
      <c r="D3206" t="s">
        <v>24</v>
      </c>
      <c r="E3206" t="s">
        <v>31</v>
      </c>
      <c r="F3206" t="s">
        <v>26</v>
      </c>
      <c r="G3206" t="s">
        <v>27</v>
      </c>
    </row>
    <row r="3207" spans="1:7" x14ac:dyDescent="0.2">
      <c r="A3207">
        <v>16</v>
      </c>
      <c r="B3207">
        <v>56</v>
      </c>
      <c r="C3207" t="s">
        <v>1920</v>
      </c>
      <c r="D3207" t="s">
        <v>24</v>
      </c>
      <c r="E3207" t="s">
        <v>31</v>
      </c>
      <c r="F3207" t="s">
        <v>26</v>
      </c>
      <c r="G3207" t="s">
        <v>27</v>
      </c>
    </row>
    <row r="3208" spans="1:7" x14ac:dyDescent="0.2">
      <c r="A3208">
        <v>16</v>
      </c>
      <c r="B3208">
        <v>56</v>
      </c>
      <c r="C3208" t="s">
        <v>1947</v>
      </c>
      <c r="D3208" t="s">
        <v>24</v>
      </c>
      <c r="E3208" t="s">
        <v>31</v>
      </c>
      <c r="F3208" t="s">
        <v>26</v>
      </c>
      <c r="G3208" t="s">
        <v>27</v>
      </c>
    </row>
    <row r="3209" spans="1:7" x14ac:dyDescent="0.2">
      <c r="A3209">
        <v>16</v>
      </c>
      <c r="B3209">
        <v>56</v>
      </c>
      <c r="C3209" t="s">
        <v>1948</v>
      </c>
      <c r="D3209" t="s">
        <v>24</v>
      </c>
      <c r="E3209" t="s">
        <v>31</v>
      </c>
      <c r="F3209" t="s">
        <v>26</v>
      </c>
      <c r="G3209" t="s">
        <v>27</v>
      </c>
    </row>
    <row r="3210" spans="1:7" x14ac:dyDescent="0.2">
      <c r="A3210">
        <v>16</v>
      </c>
      <c r="B3210">
        <v>56</v>
      </c>
      <c r="C3210" t="s">
        <v>1949</v>
      </c>
      <c r="D3210" t="s">
        <v>24</v>
      </c>
      <c r="E3210" t="s">
        <v>31</v>
      </c>
      <c r="F3210" t="s">
        <v>26</v>
      </c>
      <c r="G3210" t="s">
        <v>27</v>
      </c>
    </row>
    <row r="3211" spans="1:7" x14ac:dyDescent="0.2">
      <c r="A3211">
        <v>16</v>
      </c>
      <c r="B3211">
        <v>56</v>
      </c>
      <c r="C3211" t="s">
        <v>1942</v>
      </c>
      <c r="D3211" t="s">
        <v>30</v>
      </c>
      <c r="E3211" t="s">
        <v>31</v>
      </c>
      <c r="F3211" t="s">
        <v>26</v>
      </c>
      <c r="G3211" t="s">
        <v>27</v>
      </c>
    </row>
    <row r="3212" spans="1:7" x14ac:dyDescent="0.2">
      <c r="A3212">
        <v>17</v>
      </c>
      <c r="B3212">
        <v>56</v>
      </c>
      <c r="C3212" t="s">
        <v>1945</v>
      </c>
      <c r="D3212" t="s">
        <v>24</v>
      </c>
      <c r="E3212" t="s">
        <v>31</v>
      </c>
      <c r="F3212" t="s">
        <v>26</v>
      </c>
      <c r="G3212" t="s">
        <v>27</v>
      </c>
    </row>
    <row r="3213" spans="1:7" x14ac:dyDescent="0.2">
      <c r="A3213">
        <v>18</v>
      </c>
      <c r="B3213">
        <v>56</v>
      </c>
      <c r="C3213" t="s">
        <v>1921</v>
      </c>
      <c r="D3213" t="s">
        <v>24</v>
      </c>
      <c r="E3213" t="s">
        <v>31</v>
      </c>
      <c r="F3213" t="s">
        <v>26</v>
      </c>
      <c r="G3213" t="s">
        <v>27</v>
      </c>
    </row>
    <row r="3214" spans="1:7" x14ac:dyDescent="0.2">
      <c r="A3214">
        <v>19</v>
      </c>
      <c r="B3214">
        <v>56</v>
      </c>
      <c r="C3214" t="s">
        <v>1919</v>
      </c>
      <c r="D3214" t="s">
        <v>24</v>
      </c>
      <c r="E3214" t="s">
        <v>31</v>
      </c>
      <c r="F3214" t="s">
        <v>26</v>
      </c>
      <c r="G3214" t="s">
        <v>27</v>
      </c>
    </row>
    <row r="3215" spans="1:7" x14ac:dyDescent="0.2">
      <c r="A3215">
        <v>19</v>
      </c>
      <c r="B3215">
        <v>56</v>
      </c>
      <c r="C3215" t="s">
        <v>1950</v>
      </c>
      <c r="D3215" t="s">
        <v>24</v>
      </c>
      <c r="E3215" t="s">
        <v>31</v>
      </c>
      <c r="F3215" t="s">
        <v>26</v>
      </c>
      <c r="G3215" t="s">
        <v>27</v>
      </c>
    </row>
    <row r="3216" spans="1:7" x14ac:dyDescent="0.2">
      <c r="A3216">
        <v>19</v>
      </c>
      <c r="B3216">
        <v>56</v>
      </c>
      <c r="C3216" t="s">
        <v>1951</v>
      </c>
      <c r="D3216" t="s">
        <v>24</v>
      </c>
      <c r="E3216" t="s">
        <v>31</v>
      </c>
      <c r="F3216" t="s">
        <v>26</v>
      </c>
      <c r="G3216" t="s">
        <v>27</v>
      </c>
    </row>
    <row r="3217" spans="1:7" x14ac:dyDescent="0.2">
      <c r="A3217">
        <v>20</v>
      </c>
      <c r="B3217">
        <v>56</v>
      </c>
      <c r="C3217" t="s">
        <v>1952</v>
      </c>
      <c r="D3217" t="s">
        <v>24</v>
      </c>
      <c r="E3217" t="s">
        <v>25</v>
      </c>
      <c r="F3217" t="s">
        <v>26</v>
      </c>
      <c r="G3217" t="s">
        <v>27</v>
      </c>
    </row>
    <row r="3218" spans="1:7" x14ac:dyDescent="0.2">
      <c r="A3218">
        <v>20</v>
      </c>
      <c r="B3218">
        <v>56</v>
      </c>
      <c r="C3218" t="s">
        <v>74</v>
      </c>
      <c r="D3218" t="s">
        <v>24</v>
      </c>
      <c r="E3218" t="s">
        <v>25</v>
      </c>
      <c r="F3218" t="s">
        <v>26</v>
      </c>
      <c r="G3218" t="s">
        <v>27</v>
      </c>
    </row>
    <row r="3219" spans="1:7" x14ac:dyDescent="0.2">
      <c r="A3219">
        <v>20</v>
      </c>
      <c r="B3219">
        <v>56</v>
      </c>
      <c r="C3219" t="s">
        <v>1919</v>
      </c>
      <c r="D3219" t="s">
        <v>24</v>
      </c>
      <c r="E3219" t="s">
        <v>25</v>
      </c>
      <c r="F3219" t="s">
        <v>26</v>
      </c>
      <c r="G3219" t="s">
        <v>27</v>
      </c>
    </row>
    <row r="3220" spans="1:7" x14ac:dyDescent="0.2">
      <c r="A3220">
        <v>20</v>
      </c>
      <c r="B3220">
        <v>56</v>
      </c>
      <c r="C3220" t="s">
        <v>1950</v>
      </c>
      <c r="D3220" t="s">
        <v>24</v>
      </c>
      <c r="E3220" t="s">
        <v>25</v>
      </c>
      <c r="F3220" t="s">
        <v>26</v>
      </c>
      <c r="G3220" t="s">
        <v>27</v>
      </c>
    </row>
    <row r="3221" spans="1:7" x14ac:dyDescent="0.2">
      <c r="A3221">
        <v>20</v>
      </c>
      <c r="B3221">
        <v>56</v>
      </c>
      <c r="C3221" t="s">
        <v>1953</v>
      </c>
      <c r="D3221" t="s">
        <v>24</v>
      </c>
      <c r="E3221" t="s">
        <v>25</v>
      </c>
      <c r="F3221" t="s">
        <v>26</v>
      </c>
      <c r="G3221" t="s">
        <v>27</v>
      </c>
    </row>
    <row r="3222" spans="1:7" x14ac:dyDescent="0.2">
      <c r="A3222">
        <v>20</v>
      </c>
      <c r="B3222">
        <v>56</v>
      </c>
      <c r="C3222" t="s">
        <v>1954</v>
      </c>
      <c r="D3222" t="s">
        <v>24</v>
      </c>
      <c r="E3222" t="s">
        <v>25</v>
      </c>
      <c r="F3222" t="s">
        <v>26</v>
      </c>
      <c r="G3222" t="s">
        <v>27</v>
      </c>
    </row>
    <row r="3223" spans="1:7" x14ac:dyDescent="0.2">
      <c r="A3223">
        <v>20</v>
      </c>
      <c r="B3223">
        <v>56</v>
      </c>
      <c r="C3223" t="s">
        <v>1955</v>
      </c>
      <c r="D3223" t="s">
        <v>24</v>
      </c>
      <c r="E3223" t="s">
        <v>25</v>
      </c>
      <c r="F3223" t="s">
        <v>26</v>
      </c>
      <c r="G3223" t="s">
        <v>27</v>
      </c>
    </row>
    <row r="3224" spans="1:7" x14ac:dyDescent="0.2">
      <c r="A3224">
        <v>20</v>
      </c>
      <c r="B3224">
        <v>56</v>
      </c>
      <c r="C3224" t="s">
        <v>1956</v>
      </c>
      <c r="D3224" t="s">
        <v>24</v>
      </c>
      <c r="E3224" t="s">
        <v>25</v>
      </c>
      <c r="F3224" t="s">
        <v>26</v>
      </c>
      <c r="G3224" t="s">
        <v>27</v>
      </c>
    </row>
    <row r="3225" spans="1:7" x14ac:dyDescent="0.2">
      <c r="A3225">
        <v>20</v>
      </c>
      <c r="B3225">
        <v>56</v>
      </c>
      <c r="C3225" t="s">
        <v>1957</v>
      </c>
      <c r="D3225" t="s">
        <v>24</v>
      </c>
      <c r="E3225" t="s">
        <v>25</v>
      </c>
      <c r="F3225" t="s">
        <v>26</v>
      </c>
      <c r="G3225" t="s">
        <v>27</v>
      </c>
    </row>
    <row r="3226" spans="1:7" x14ac:dyDescent="0.2">
      <c r="A3226">
        <v>21</v>
      </c>
      <c r="B3226">
        <v>56</v>
      </c>
      <c r="C3226" t="s">
        <v>1920</v>
      </c>
      <c r="D3226" t="s">
        <v>24</v>
      </c>
      <c r="E3226" t="s">
        <v>31</v>
      </c>
      <c r="F3226" t="s">
        <v>26</v>
      </c>
      <c r="G3226" t="s">
        <v>27</v>
      </c>
    </row>
    <row r="3227" spans="1:7" x14ac:dyDescent="0.2">
      <c r="A3227">
        <v>21</v>
      </c>
      <c r="B3227">
        <v>56</v>
      </c>
      <c r="C3227" t="s">
        <v>1958</v>
      </c>
      <c r="D3227" t="s">
        <v>24</v>
      </c>
      <c r="E3227" t="s">
        <v>31</v>
      </c>
      <c r="F3227" t="s">
        <v>26</v>
      </c>
      <c r="G3227" t="s">
        <v>27</v>
      </c>
    </row>
    <row r="3228" spans="1:7" x14ac:dyDescent="0.2">
      <c r="A3228">
        <v>21</v>
      </c>
      <c r="B3228">
        <v>56</v>
      </c>
      <c r="C3228" t="s">
        <v>1959</v>
      </c>
      <c r="D3228" t="s">
        <v>24</v>
      </c>
      <c r="E3228" t="s">
        <v>31</v>
      </c>
      <c r="F3228" t="s">
        <v>26</v>
      </c>
      <c r="G3228" t="s">
        <v>27</v>
      </c>
    </row>
    <row r="3229" spans="1:7" x14ac:dyDescent="0.2">
      <c r="A3229">
        <v>21</v>
      </c>
      <c r="B3229">
        <v>56</v>
      </c>
      <c r="C3229" t="s">
        <v>1960</v>
      </c>
      <c r="D3229" t="s">
        <v>24</v>
      </c>
      <c r="E3229" t="s">
        <v>31</v>
      </c>
      <c r="F3229" t="s">
        <v>26</v>
      </c>
      <c r="G3229" t="s">
        <v>27</v>
      </c>
    </row>
    <row r="3230" spans="1:7" x14ac:dyDescent="0.2">
      <c r="A3230">
        <v>21</v>
      </c>
      <c r="B3230">
        <v>56</v>
      </c>
      <c r="C3230" t="s">
        <v>1957</v>
      </c>
      <c r="D3230" t="s">
        <v>24</v>
      </c>
      <c r="E3230" t="s">
        <v>31</v>
      </c>
      <c r="F3230" t="s">
        <v>26</v>
      </c>
      <c r="G3230" t="s">
        <v>27</v>
      </c>
    </row>
    <row r="3231" spans="1:7" x14ac:dyDescent="0.2">
      <c r="A3231">
        <v>22</v>
      </c>
      <c r="B3231">
        <v>56</v>
      </c>
      <c r="C3231" t="s">
        <v>1961</v>
      </c>
      <c r="D3231" t="s">
        <v>24</v>
      </c>
      <c r="E3231" t="s">
        <v>31</v>
      </c>
      <c r="F3231" t="s">
        <v>26</v>
      </c>
      <c r="G3231" t="s">
        <v>27</v>
      </c>
    </row>
    <row r="3232" spans="1:7" x14ac:dyDescent="0.2">
      <c r="A3232">
        <v>22</v>
      </c>
      <c r="B3232">
        <v>56</v>
      </c>
      <c r="C3232" t="s">
        <v>1962</v>
      </c>
      <c r="D3232" t="s">
        <v>24</v>
      </c>
      <c r="E3232" t="s">
        <v>31</v>
      </c>
      <c r="F3232" t="s">
        <v>26</v>
      </c>
      <c r="G3232" t="s">
        <v>27</v>
      </c>
    </row>
    <row r="3233" spans="1:7" x14ac:dyDescent="0.2">
      <c r="A3233">
        <v>22</v>
      </c>
      <c r="B3233">
        <v>56</v>
      </c>
      <c r="C3233" t="s">
        <v>1920</v>
      </c>
      <c r="D3233" t="s">
        <v>24</v>
      </c>
      <c r="E3233" t="s">
        <v>31</v>
      </c>
      <c r="F3233" t="s">
        <v>26</v>
      </c>
      <c r="G3233" t="s">
        <v>27</v>
      </c>
    </row>
    <row r="3234" spans="1:7" x14ac:dyDescent="0.2">
      <c r="A3234">
        <v>22</v>
      </c>
      <c r="B3234">
        <v>56</v>
      </c>
      <c r="C3234" t="s">
        <v>1959</v>
      </c>
      <c r="D3234" t="s">
        <v>24</v>
      </c>
      <c r="E3234" t="s">
        <v>31</v>
      </c>
      <c r="F3234" t="s">
        <v>26</v>
      </c>
      <c r="G3234" t="s">
        <v>27</v>
      </c>
    </row>
    <row r="3235" spans="1:7" x14ac:dyDescent="0.2">
      <c r="A3235">
        <v>22</v>
      </c>
      <c r="B3235">
        <v>56</v>
      </c>
      <c r="C3235" t="s">
        <v>1955</v>
      </c>
      <c r="D3235" t="s">
        <v>24</v>
      </c>
      <c r="E3235" t="s">
        <v>31</v>
      </c>
      <c r="F3235" t="s">
        <v>26</v>
      </c>
      <c r="G3235" t="s">
        <v>27</v>
      </c>
    </row>
    <row r="3236" spans="1:7" x14ac:dyDescent="0.2">
      <c r="A3236">
        <v>23</v>
      </c>
      <c r="B3236">
        <v>56</v>
      </c>
      <c r="C3236" t="s">
        <v>1888</v>
      </c>
      <c r="D3236" t="s">
        <v>24</v>
      </c>
      <c r="E3236" t="s">
        <v>25</v>
      </c>
      <c r="F3236" t="s">
        <v>26</v>
      </c>
      <c r="G3236" t="s">
        <v>27</v>
      </c>
    </row>
    <row r="3237" spans="1:7" x14ac:dyDescent="0.2">
      <c r="A3237">
        <v>23</v>
      </c>
      <c r="B3237">
        <v>56</v>
      </c>
      <c r="C3237" t="s">
        <v>1963</v>
      </c>
      <c r="D3237" t="s">
        <v>24</v>
      </c>
      <c r="E3237" t="s">
        <v>25</v>
      </c>
      <c r="F3237" t="s">
        <v>26</v>
      </c>
      <c r="G3237" t="s">
        <v>27</v>
      </c>
    </row>
    <row r="3238" spans="1:7" x14ac:dyDescent="0.2">
      <c r="A3238">
        <v>23</v>
      </c>
      <c r="B3238">
        <v>56</v>
      </c>
      <c r="C3238" t="s">
        <v>1932</v>
      </c>
      <c r="D3238" t="s">
        <v>24</v>
      </c>
      <c r="E3238" t="s">
        <v>25</v>
      </c>
      <c r="F3238" t="s">
        <v>26</v>
      </c>
      <c r="G3238" t="s">
        <v>27</v>
      </c>
    </row>
    <row r="3239" spans="1:7" x14ac:dyDescent="0.2">
      <c r="A3239">
        <v>23</v>
      </c>
      <c r="B3239">
        <v>56</v>
      </c>
      <c r="C3239" t="s">
        <v>1938</v>
      </c>
      <c r="D3239" t="s">
        <v>24</v>
      </c>
      <c r="E3239" t="s">
        <v>25</v>
      </c>
      <c r="F3239" t="s">
        <v>26</v>
      </c>
      <c r="G3239" t="s">
        <v>27</v>
      </c>
    </row>
    <row r="3240" spans="1:7" x14ac:dyDescent="0.2">
      <c r="A3240">
        <v>23</v>
      </c>
      <c r="B3240">
        <v>56</v>
      </c>
      <c r="C3240" t="s">
        <v>1920</v>
      </c>
      <c r="D3240" t="s">
        <v>24</v>
      </c>
      <c r="E3240" t="s">
        <v>25</v>
      </c>
      <c r="F3240" t="s">
        <v>26</v>
      </c>
      <c r="G3240" t="s">
        <v>27</v>
      </c>
    </row>
    <row r="3241" spans="1:7" x14ac:dyDescent="0.2">
      <c r="A3241">
        <v>23</v>
      </c>
      <c r="B3241">
        <v>56</v>
      </c>
      <c r="C3241" t="s">
        <v>1944</v>
      </c>
      <c r="D3241" t="s">
        <v>24</v>
      </c>
      <c r="E3241" t="s">
        <v>25</v>
      </c>
      <c r="F3241" t="s">
        <v>26</v>
      </c>
      <c r="G3241" t="s">
        <v>27</v>
      </c>
    </row>
    <row r="3242" spans="1:7" x14ac:dyDescent="0.2">
      <c r="A3242">
        <v>7</v>
      </c>
      <c r="B3242" t="s">
        <v>1964</v>
      </c>
      <c r="C3242" t="s">
        <v>1965</v>
      </c>
      <c r="D3242" t="s">
        <v>24</v>
      </c>
      <c r="E3242" t="s">
        <v>25</v>
      </c>
      <c r="F3242" t="s">
        <v>26</v>
      </c>
      <c r="G3242" t="s">
        <v>27</v>
      </c>
    </row>
    <row r="3243" spans="1:7" x14ac:dyDescent="0.2">
      <c r="A3243">
        <v>7</v>
      </c>
      <c r="B3243" t="s">
        <v>1964</v>
      </c>
      <c r="C3243" t="s">
        <v>1966</v>
      </c>
      <c r="D3243" t="s">
        <v>24</v>
      </c>
      <c r="E3243" t="s">
        <v>25</v>
      </c>
      <c r="F3243" t="s">
        <v>26</v>
      </c>
      <c r="G3243" t="s">
        <v>27</v>
      </c>
    </row>
    <row r="3244" spans="1:7" x14ac:dyDescent="0.2">
      <c r="A3244">
        <v>7</v>
      </c>
      <c r="B3244" t="s">
        <v>1964</v>
      </c>
      <c r="C3244" t="s">
        <v>1967</v>
      </c>
      <c r="D3244" t="s">
        <v>24</v>
      </c>
      <c r="E3244" t="s">
        <v>25</v>
      </c>
      <c r="F3244" t="s">
        <v>26</v>
      </c>
      <c r="G3244" t="s">
        <v>27</v>
      </c>
    </row>
    <row r="3245" spans="1:7" x14ac:dyDescent="0.2">
      <c r="A3245">
        <v>7</v>
      </c>
      <c r="B3245" t="s">
        <v>1964</v>
      </c>
      <c r="C3245" t="s">
        <v>1968</v>
      </c>
      <c r="D3245" t="s">
        <v>24</v>
      </c>
      <c r="E3245" t="s">
        <v>25</v>
      </c>
      <c r="F3245" t="s">
        <v>26</v>
      </c>
      <c r="G3245" t="s">
        <v>27</v>
      </c>
    </row>
    <row r="3246" spans="1:7" x14ac:dyDescent="0.2">
      <c r="A3246">
        <v>8</v>
      </c>
      <c r="B3246" t="s">
        <v>1964</v>
      </c>
      <c r="C3246" t="s">
        <v>1969</v>
      </c>
      <c r="D3246" t="s">
        <v>24</v>
      </c>
      <c r="E3246" t="s">
        <v>25</v>
      </c>
      <c r="F3246" t="s">
        <v>26</v>
      </c>
      <c r="G3246" t="s">
        <v>27</v>
      </c>
    </row>
    <row r="3247" spans="1:7" x14ac:dyDescent="0.2">
      <c r="A3247">
        <v>8</v>
      </c>
      <c r="B3247" t="s">
        <v>1964</v>
      </c>
      <c r="C3247" t="s">
        <v>1970</v>
      </c>
      <c r="D3247" t="s">
        <v>24</v>
      </c>
      <c r="E3247" t="s">
        <v>25</v>
      </c>
      <c r="F3247" t="s">
        <v>26</v>
      </c>
      <c r="G3247" t="s">
        <v>27</v>
      </c>
    </row>
    <row r="3248" spans="1:7" x14ac:dyDescent="0.2">
      <c r="A3248">
        <v>8</v>
      </c>
      <c r="B3248" t="s">
        <v>1964</v>
      </c>
      <c r="C3248" t="s">
        <v>1971</v>
      </c>
      <c r="D3248" t="s">
        <v>24</v>
      </c>
      <c r="E3248" t="s">
        <v>25</v>
      </c>
      <c r="F3248" t="s">
        <v>26</v>
      </c>
      <c r="G3248" t="s">
        <v>27</v>
      </c>
    </row>
    <row r="3249" spans="1:7" x14ac:dyDescent="0.2">
      <c r="A3249">
        <v>8</v>
      </c>
      <c r="B3249" t="s">
        <v>1964</v>
      </c>
      <c r="C3249" t="s">
        <v>1972</v>
      </c>
      <c r="D3249" t="s">
        <v>24</v>
      </c>
      <c r="E3249" t="s">
        <v>25</v>
      </c>
      <c r="F3249" t="s">
        <v>26</v>
      </c>
      <c r="G3249" t="s">
        <v>27</v>
      </c>
    </row>
    <row r="3250" spans="1:7" x14ac:dyDescent="0.2">
      <c r="A3250">
        <v>8</v>
      </c>
      <c r="B3250" t="s">
        <v>1964</v>
      </c>
      <c r="C3250" t="s">
        <v>1965</v>
      </c>
      <c r="D3250" t="s">
        <v>24</v>
      </c>
      <c r="E3250" t="s">
        <v>25</v>
      </c>
      <c r="F3250" t="s">
        <v>26</v>
      </c>
      <c r="G3250" t="s">
        <v>27</v>
      </c>
    </row>
    <row r="3251" spans="1:7" x14ac:dyDescent="0.2">
      <c r="A3251">
        <v>8</v>
      </c>
      <c r="B3251" t="s">
        <v>1964</v>
      </c>
      <c r="C3251" t="s">
        <v>1966</v>
      </c>
      <c r="D3251" t="s">
        <v>24</v>
      </c>
      <c r="E3251" t="s">
        <v>25</v>
      </c>
      <c r="F3251" t="s">
        <v>26</v>
      </c>
      <c r="G3251" t="s">
        <v>27</v>
      </c>
    </row>
    <row r="3252" spans="1:7" x14ac:dyDescent="0.2">
      <c r="A3252">
        <v>8</v>
      </c>
      <c r="B3252" t="s">
        <v>1964</v>
      </c>
      <c r="C3252" t="s">
        <v>1968</v>
      </c>
      <c r="D3252" t="s">
        <v>24</v>
      </c>
      <c r="E3252" t="s">
        <v>25</v>
      </c>
      <c r="F3252" t="s">
        <v>26</v>
      </c>
      <c r="G3252" t="s">
        <v>27</v>
      </c>
    </row>
    <row r="3253" spans="1:7" x14ac:dyDescent="0.2">
      <c r="A3253">
        <v>8</v>
      </c>
      <c r="B3253" t="s">
        <v>1964</v>
      </c>
      <c r="C3253" t="s">
        <v>1967</v>
      </c>
      <c r="D3253" t="s">
        <v>24</v>
      </c>
      <c r="E3253" t="s">
        <v>25</v>
      </c>
      <c r="F3253" t="s">
        <v>26</v>
      </c>
      <c r="G3253" t="s">
        <v>27</v>
      </c>
    </row>
    <row r="3254" spans="1:7" x14ac:dyDescent="0.2">
      <c r="A3254">
        <v>8</v>
      </c>
      <c r="B3254" t="s">
        <v>1964</v>
      </c>
      <c r="C3254" t="s">
        <v>1973</v>
      </c>
      <c r="D3254" t="s">
        <v>24</v>
      </c>
      <c r="E3254" t="s">
        <v>25</v>
      </c>
      <c r="F3254" t="s">
        <v>26</v>
      </c>
      <c r="G3254" t="s">
        <v>27</v>
      </c>
    </row>
    <row r="3255" spans="1:7" x14ac:dyDescent="0.2">
      <c r="A3255">
        <v>8</v>
      </c>
      <c r="B3255" t="s">
        <v>1964</v>
      </c>
      <c r="C3255" t="s">
        <v>1974</v>
      </c>
      <c r="D3255" t="s">
        <v>24</v>
      </c>
      <c r="E3255" t="s">
        <v>25</v>
      </c>
      <c r="F3255" t="s">
        <v>26</v>
      </c>
      <c r="G3255" t="s">
        <v>27</v>
      </c>
    </row>
    <row r="3256" spans="1:7" x14ac:dyDescent="0.2">
      <c r="A3256">
        <v>8</v>
      </c>
      <c r="B3256" t="s">
        <v>1964</v>
      </c>
      <c r="C3256" t="s">
        <v>1975</v>
      </c>
      <c r="D3256" t="s">
        <v>24</v>
      </c>
      <c r="E3256" t="s">
        <v>25</v>
      </c>
      <c r="F3256" t="s">
        <v>26</v>
      </c>
      <c r="G3256" t="s">
        <v>27</v>
      </c>
    </row>
    <row r="3257" spans="1:7" x14ac:dyDescent="0.2">
      <c r="A3257">
        <v>8</v>
      </c>
      <c r="B3257" t="s">
        <v>1964</v>
      </c>
      <c r="C3257" t="s">
        <v>1976</v>
      </c>
      <c r="D3257" t="s">
        <v>24</v>
      </c>
      <c r="E3257" t="s">
        <v>25</v>
      </c>
      <c r="F3257" t="s">
        <v>26</v>
      </c>
      <c r="G3257" t="s">
        <v>27</v>
      </c>
    </row>
    <row r="3258" spans="1:7" x14ac:dyDescent="0.2">
      <c r="A3258">
        <v>8</v>
      </c>
      <c r="B3258" t="s">
        <v>1964</v>
      </c>
      <c r="C3258" t="s">
        <v>1977</v>
      </c>
      <c r="D3258" t="s">
        <v>24</v>
      </c>
      <c r="E3258" t="s">
        <v>25</v>
      </c>
      <c r="F3258" t="s">
        <v>26</v>
      </c>
      <c r="G3258" t="s">
        <v>27</v>
      </c>
    </row>
    <row r="3259" spans="1:7" x14ac:dyDescent="0.2">
      <c r="A3259">
        <v>8</v>
      </c>
      <c r="B3259" t="s">
        <v>1964</v>
      </c>
      <c r="C3259" t="s">
        <v>1978</v>
      </c>
      <c r="D3259" t="s">
        <v>24</v>
      </c>
      <c r="E3259" t="s">
        <v>25</v>
      </c>
      <c r="F3259" t="s">
        <v>26</v>
      </c>
      <c r="G3259" t="s">
        <v>27</v>
      </c>
    </row>
    <row r="3260" spans="1:7" x14ac:dyDescent="0.2">
      <c r="A3260">
        <v>9</v>
      </c>
      <c r="B3260" t="s">
        <v>1964</v>
      </c>
      <c r="C3260" t="s">
        <v>1979</v>
      </c>
      <c r="D3260" t="s">
        <v>24</v>
      </c>
      <c r="E3260" t="s">
        <v>256</v>
      </c>
      <c r="F3260" t="s">
        <v>87</v>
      </c>
      <c r="G3260" t="s">
        <v>27</v>
      </c>
    </row>
    <row r="3261" spans="1:7" x14ac:dyDescent="0.2">
      <c r="A3261">
        <v>9</v>
      </c>
      <c r="B3261" t="s">
        <v>1964</v>
      </c>
      <c r="C3261" t="s">
        <v>1980</v>
      </c>
      <c r="D3261" t="s">
        <v>24</v>
      </c>
      <c r="E3261" t="s">
        <v>25</v>
      </c>
      <c r="F3261" t="s">
        <v>26</v>
      </c>
      <c r="G3261" t="s">
        <v>27</v>
      </c>
    </row>
    <row r="3262" spans="1:7" x14ac:dyDescent="0.2">
      <c r="A3262">
        <v>9</v>
      </c>
      <c r="B3262" t="s">
        <v>1964</v>
      </c>
      <c r="C3262" t="s">
        <v>1981</v>
      </c>
      <c r="D3262" t="s">
        <v>24</v>
      </c>
      <c r="E3262" t="s">
        <v>256</v>
      </c>
      <c r="F3262" t="s">
        <v>26</v>
      </c>
      <c r="G3262" t="s">
        <v>27</v>
      </c>
    </row>
    <row r="3263" spans="1:7" x14ac:dyDescent="0.2">
      <c r="A3263">
        <v>9</v>
      </c>
      <c r="B3263" t="s">
        <v>1964</v>
      </c>
      <c r="C3263" t="s">
        <v>1982</v>
      </c>
      <c r="D3263" t="s">
        <v>24</v>
      </c>
      <c r="E3263" t="s">
        <v>256</v>
      </c>
      <c r="F3263" t="s">
        <v>26</v>
      </c>
      <c r="G3263" t="s">
        <v>27</v>
      </c>
    </row>
    <row r="3264" spans="1:7" x14ac:dyDescent="0.2">
      <c r="A3264">
        <v>9</v>
      </c>
      <c r="B3264" t="s">
        <v>1964</v>
      </c>
      <c r="C3264" t="s">
        <v>1983</v>
      </c>
      <c r="D3264" t="s">
        <v>24</v>
      </c>
      <c r="E3264" t="s">
        <v>256</v>
      </c>
      <c r="F3264" t="s">
        <v>26</v>
      </c>
      <c r="G3264" t="s">
        <v>27</v>
      </c>
    </row>
    <row r="3265" spans="1:7" x14ac:dyDescent="0.2">
      <c r="A3265">
        <v>9</v>
      </c>
      <c r="B3265" t="s">
        <v>1964</v>
      </c>
      <c r="C3265" t="s">
        <v>1984</v>
      </c>
      <c r="D3265" t="s">
        <v>24</v>
      </c>
      <c r="E3265" t="s">
        <v>256</v>
      </c>
      <c r="F3265" t="s">
        <v>87</v>
      </c>
      <c r="G3265" t="s">
        <v>27</v>
      </c>
    </row>
    <row r="3266" spans="1:7" x14ac:dyDescent="0.2">
      <c r="A3266">
        <v>9</v>
      </c>
      <c r="B3266" t="s">
        <v>1964</v>
      </c>
      <c r="C3266" t="s">
        <v>1985</v>
      </c>
      <c r="D3266" t="s">
        <v>24</v>
      </c>
      <c r="E3266" t="s">
        <v>256</v>
      </c>
      <c r="F3266" t="s">
        <v>47</v>
      </c>
      <c r="G3266" t="s">
        <v>27</v>
      </c>
    </row>
    <row r="3267" spans="1:7" x14ac:dyDescent="0.2">
      <c r="A3267">
        <v>9</v>
      </c>
      <c r="B3267" t="s">
        <v>1964</v>
      </c>
      <c r="C3267" t="s">
        <v>1986</v>
      </c>
      <c r="D3267" t="s">
        <v>24</v>
      </c>
      <c r="E3267" t="s">
        <v>256</v>
      </c>
      <c r="F3267" t="s">
        <v>47</v>
      </c>
      <c r="G3267" t="s">
        <v>27</v>
      </c>
    </row>
    <row r="3268" spans="1:7" x14ac:dyDescent="0.2">
      <c r="A3268">
        <v>10</v>
      </c>
      <c r="B3268" t="s">
        <v>1964</v>
      </c>
      <c r="C3268" t="s">
        <v>1987</v>
      </c>
      <c r="D3268" t="s">
        <v>24</v>
      </c>
      <c r="E3268" t="s">
        <v>31</v>
      </c>
      <c r="F3268" t="s">
        <v>26</v>
      </c>
      <c r="G3268" t="s">
        <v>27</v>
      </c>
    </row>
    <row r="3269" spans="1:7" x14ac:dyDescent="0.2">
      <c r="A3269">
        <v>10</v>
      </c>
      <c r="B3269" t="s">
        <v>1964</v>
      </c>
      <c r="C3269" t="s">
        <v>1988</v>
      </c>
      <c r="D3269" t="s">
        <v>24</v>
      </c>
      <c r="E3269" t="s">
        <v>31</v>
      </c>
      <c r="F3269" t="s">
        <v>26</v>
      </c>
      <c r="G3269" t="s">
        <v>27</v>
      </c>
    </row>
    <row r="3270" spans="1:7" x14ac:dyDescent="0.2">
      <c r="A3270">
        <v>10</v>
      </c>
      <c r="B3270" t="s">
        <v>1964</v>
      </c>
      <c r="C3270" t="s">
        <v>1989</v>
      </c>
      <c r="D3270" t="s">
        <v>24</v>
      </c>
      <c r="E3270" t="s">
        <v>31</v>
      </c>
      <c r="F3270" t="s">
        <v>26</v>
      </c>
      <c r="G3270" t="s">
        <v>27</v>
      </c>
    </row>
    <row r="3271" spans="1:7" x14ac:dyDescent="0.2">
      <c r="A3271">
        <v>10</v>
      </c>
      <c r="B3271" t="s">
        <v>1964</v>
      </c>
      <c r="C3271" t="s">
        <v>1990</v>
      </c>
      <c r="D3271" t="s">
        <v>24</v>
      </c>
      <c r="E3271" t="s">
        <v>25</v>
      </c>
      <c r="F3271" t="s">
        <v>26</v>
      </c>
      <c r="G3271" t="s">
        <v>27</v>
      </c>
    </row>
    <row r="3272" spans="1:7" x14ac:dyDescent="0.2">
      <c r="A3272">
        <v>10</v>
      </c>
      <c r="B3272" t="s">
        <v>1964</v>
      </c>
      <c r="C3272" t="s">
        <v>1991</v>
      </c>
      <c r="D3272" t="s">
        <v>24</v>
      </c>
      <c r="E3272" t="s">
        <v>25</v>
      </c>
      <c r="F3272" t="s">
        <v>26</v>
      </c>
      <c r="G3272" t="s">
        <v>27</v>
      </c>
    </row>
    <row r="3273" spans="1:7" x14ac:dyDescent="0.2">
      <c r="A3273">
        <v>10</v>
      </c>
      <c r="B3273" t="s">
        <v>1964</v>
      </c>
      <c r="C3273" t="s">
        <v>1992</v>
      </c>
      <c r="D3273" t="s">
        <v>24</v>
      </c>
      <c r="E3273" t="s">
        <v>25</v>
      </c>
      <c r="F3273" t="s">
        <v>26</v>
      </c>
      <c r="G3273" t="s">
        <v>27</v>
      </c>
    </row>
    <row r="3274" spans="1:7" x14ac:dyDescent="0.2">
      <c r="A3274">
        <v>10</v>
      </c>
      <c r="B3274" t="s">
        <v>1964</v>
      </c>
      <c r="C3274" t="s">
        <v>1993</v>
      </c>
      <c r="D3274" t="s">
        <v>24</v>
      </c>
      <c r="E3274" t="s">
        <v>25</v>
      </c>
      <c r="F3274" t="s">
        <v>26</v>
      </c>
      <c r="G3274" t="s">
        <v>27</v>
      </c>
    </row>
    <row r="3275" spans="1:7" x14ac:dyDescent="0.2">
      <c r="A3275">
        <v>10</v>
      </c>
      <c r="B3275" t="s">
        <v>1964</v>
      </c>
      <c r="C3275" t="s">
        <v>1994</v>
      </c>
      <c r="D3275" t="s">
        <v>24</v>
      </c>
      <c r="E3275" t="s">
        <v>25</v>
      </c>
      <c r="F3275" t="s">
        <v>26</v>
      </c>
      <c r="G3275" t="s">
        <v>27</v>
      </c>
    </row>
    <row r="3276" spans="1:7" x14ac:dyDescent="0.2">
      <c r="A3276">
        <v>10</v>
      </c>
      <c r="B3276" t="s">
        <v>1964</v>
      </c>
      <c r="C3276" t="s">
        <v>1981</v>
      </c>
      <c r="D3276" t="s">
        <v>24</v>
      </c>
      <c r="E3276" t="s">
        <v>25</v>
      </c>
      <c r="F3276" t="s">
        <v>87</v>
      </c>
      <c r="G3276" t="s">
        <v>27</v>
      </c>
    </row>
    <row r="3277" spans="1:7" x14ac:dyDescent="0.2">
      <c r="A3277">
        <v>10</v>
      </c>
      <c r="B3277" t="s">
        <v>1964</v>
      </c>
      <c r="C3277" t="s">
        <v>1995</v>
      </c>
      <c r="D3277" t="s">
        <v>24</v>
      </c>
      <c r="E3277" t="s">
        <v>25</v>
      </c>
      <c r="F3277" t="s">
        <v>87</v>
      </c>
      <c r="G3277" t="s">
        <v>27</v>
      </c>
    </row>
    <row r="3278" spans="1:7" x14ac:dyDescent="0.2">
      <c r="A3278">
        <v>10</v>
      </c>
      <c r="B3278" t="s">
        <v>1964</v>
      </c>
      <c r="C3278" t="s">
        <v>1996</v>
      </c>
      <c r="D3278" t="s">
        <v>24</v>
      </c>
      <c r="E3278" t="s">
        <v>31</v>
      </c>
      <c r="F3278" t="s">
        <v>26</v>
      </c>
      <c r="G3278" t="s">
        <v>27</v>
      </c>
    </row>
    <row r="3279" spans="1:7" x14ac:dyDescent="0.2">
      <c r="A3279">
        <v>10</v>
      </c>
      <c r="B3279" t="s">
        <v>1964</v>
      </c>
      <c r="C3279" t="s">
        <v>1983</v>
      </c>
      <c r="D3279" t="s">
        <v>24</v>
      </c>
      <c r="E3279" t="s">
        <v>25</v>
      </c>
      <c r="F3279" t="s">
        <v>26</v>
      </c>
      <c r="G3279" t="s">
        <v>27</v>
      </c>
    </row>
    <row r="3280" spans="1:7" x14ac:dyDescent="0.2">
      <c r="A3280">
        <v>11</v>
      </c>
      <c r="B3280" t="s">
        <v>1964</v>
      </c>
      <c r="C3280" t="s">
        <v>1993</v>
      </c>
      <c r="D3280" t="s">
        <v>24</v>
      </c>
      <c r="E3280" t="s">
        <v>25</v>
      </c>
      <c r="F3280" t="s">
        <v>26</v>
      </c>
      <c r="G3280" t="s">
        <v>27</v>
      </c>
    </row>
    <row r="3281" spans="1:7" x14ac:dyDescent="0.2">
      <c r="A3281">
        <v>11</v>
      </c>
      <c r="B3281" t="s">
        <v>1964</v>
      </c>
      <c r="C3281" t="s">
        <v>1974</v>
      </c>
      <c r="D3281" t="s">
        <v>24</v>
      </c>
      <c r="E3281" t="s">
        <v>25</v>
      </c>
      <c r="F3281" t="s">
        <v>26</v>
      </c>
      <c r="G3281" t="s">
        <v>27</v>
      </c>
    </row>
    <row r="3282" spans="1:7" x14ac:dyDescent="0.2">
      <c r="A3282">
        <v>11</v>
      </c>
      <c r="B3282" t="s">
        <v>1964</v>
      </c>
      <c r="C3282" t="s">
        <v>1978</v>
      </c>
      <c r="D3282" t="s">
        <v>24</v>
      </c>
      <c r="E3282" t="s">
        <v>25</v>
      </c>
      <c r="F3282" t="s">
        <v>26</v>
      </c>
      <c r="G3282" t="s">
        <v>27</v>
      </c>
    </row>
    <row r="3283" spans="1:7" x14ac:dyDescent="0.2">
      <c r="A3283">
        <v>11</v>
      </c>
      <c r="B3283" t="s">
        <v>1964</v>
      </c>
      <c r="C3283" t="s">
        <v>1981</v>
      </c>
      <c r="D3283" t="s">
        <v>24</v>
      </c>
      <c r="E3283" t="s">
        <v>25</v>
      </c>
      <c r="F3283" t="s">
        <v>26</v>
      </c>
      <c r="G3283" t="s">
        <v>27</v>
      </c>
    </row>
    <row r="3284" spans="1:7" x14ac:dyDescent="0.2">
      <c r="A3284">
        <v>11</v>
      </c>
      <c r="B3284" t="s">
        <v>1964</v>
      </c>
      <c r="C3284" t="s">
        <v>1997</v>
      </c>
      <c r="D3284" t="s">
        <v>24</v>
      </c>
      <c r="E3284" t="s">
        <v>25</v>
      </c>
      <c r="F3284" t="s">
        <v>26</v>
      </c>
      <c r="G3284" t="s">
        <v>27</v>
      </c>
    </row>
    <row r="3285" spans="1:7" x14ac:dyDescent="0.2">
      <c r="A3285">
        <v>11</v>
      </c>
      <c r="B3285" t="s">
        <v>1964</v>
      </c>
      <c r="C3285" t="s">
        <v>1998</v>
      </c>
      <c r="D3285" t="s">
        <v>24</v>
      </c>
      <c r="E3285" t="s">
        <v>31</v>
      </c>
      <c r="F3285" t="s">
        <v>26</v>
      </c>
      <c r="G3285" t="s">
        <v>27</v>
      </c>
    </row>
    <row r="3286" spans="1:7" x14ac:dyDescent="0.2">
      <c r="A3286">
        <v>11</v>
      </c>
      <c r="B3286" t="s">
        <v>1964</v>
      </c>
      <c r="C3286" t="s">
        <v>1999</v>
      </c>
      <c r="D3286" t="s">
        <v>24</v>
      </c>
      <c r="E3286" t="s">
        <v>25</v>
      </c>
      <c r="F3286" t="s">
        <v>26</v>
      </c>
      <c r="G3286" t="s">
        <v>27</v>
      </c>
    </row>
    <row r="3287" spans="1:7" x14ac:dyDescent="0.2">
      <c r="A3287">
        <v>11</v>
      </c>
      <c r="B3287" t="s">
        <v>1964</v>
      </c>
      <c r="C3287" t="s">
        <v>1968</v>
      </c>
      <c r="D3287" t="s">
        <v>24</v>
      </c>
      <c r="E3287" t="s">
        <v>25</v>
      </c>
      <c r="F3287" t="s">
        <v>26</v>
      </c>
      <c r="G3287" t="s">
        <v>27</v>
      </c>
    </row>
    <row r="3288" spans="1:7" x14ac:dyDescent="0.2">
      <c r="A3288">
        <v>11</v>
      </c>
      <c r="B3288" t="s">
        <v>1964</v>
      </c>
      <c r="C3288" t="s">
        <v>2000</v>
      </c>
      <c r="D3288" t="s">
        <v>24</v>
      </c>
      <c r="E3288" t="s">
        <v>25</v>
      </c>
      <c r="F3288" t="s">
        <v>26</v>
      </c>
      <c r="G3288" t="s">
        <v>27</v>
      </c>
    </row>
    <row r="3289" spans="1:7" x14ac:dyDescent="0.2">
      <c r="A3289">
        <v>11</v>
      </c>
      <c r="B3289" t="s">
        <v>1964</v>
      </c>
      <c r="C3289" t="s">
        <v>2001</v>
      </c>
      <c r="D3289" t="s">
        <v>24</v>
      </c>
      <c r="E3289" t="s">
        <v>25</v>
      </c>
      <c r="F3289" t="s">
        <v>26</v>
      </c>
      <c r="G3289" t="s">
        <v>27</v>
      </c>
    </row>
    <row r="3290" spans="1:7" x14ac:dyDescent="0.2">
      <c r="A3290">
        <v>11</v>
      </c>
      <c r="B3290" t="s">
        <v>1964</v>
      </c>
      <c r="C3290" t="s">
        <v>2002</v>
      </c>
      <c r="D3290" t="s">
        <v>24</v>
      </c>
      <c r="E3290" t="s">
        <v>25</v>
      </c>
      <c r="F3290" t="s">
        <v>26</v>
      </c>
      <c r="G3290" t="s">
        <v>27</v>
      </c>
    </row>
    <row r="3291" spans="1:7" x14ac:dyDescent="0.2">
      <c r="A3291">
        <v>11</v>
      </c>
      <c r="B3291" t="s">
        <v>1964</v>
      </c>
      <c r="C3291" t="s">
        <v>2003</v>
      </c>
      <c r="D3291" t="s">
        <v>24</v>
      </c>
      <c r="E3291" t="s">
        <v>31</v>
      </c>
      <c r="F3291" t="s">
        <v>87</v>
      </c>
      <c r="G3291" t="s">
        <v>27</v>
      </c>
    </row>
    <row r="3292" spans="1:7" x14ac:dyDescent="0.2">
      <c r="A3292">
        <v>11</v>
      </c>
      <c r="B3292" t="s">
        <v>1964</v>
      </c>
      <c r="C3292" t="s">
        <v>2004</v>
      </c>
      <c r="D3292" t="s">
        <v>24</v>
      </c>
      <c r="E3292" t="s">
        <v>31</v>
      </c>
      <c r="F3292" t="s">
        <v>87</v>
      </c>
      <c r="G3292" t="s">
        <v>27</v>
      </c>
    </row>
    <row r="3293" spans="1:7" x14ac:dyDescent="0.2">
      <c r="A3293">
        <v>11</v>
      </c>
      <c r="B3293" t="s">
        <v>1964</v>
      </c>
      <c r="C3293" t="s">
        <v>2005</v>
      </c>
      <c r="D3293" t="s">
        <v>24</v>
      </c>
      <c r="E3293" t="s">
        <v>31</v>
      </c>
      <c r="F3293" t="s">
        <v>87</v>
      </c>
      <c r="G3293" t="s">
        <v>27</v>
      </c>
    </row>
    <row r="3294" spans="1:7" x14ac:dyDescent="0.2">
      <c r="A3294">
        <v>11</v>
      </c>
      <c r="B3294" t="s">
        <v>1964</v>
      </c>
      <c r="C3294" t="s">
        <v>2006</v>
      </c>
      <c r="D3294" t="s">
        <v>24</v>
      </c>
      <c r="E3294" t="s">
        <v>31</v>
      </c>
      <c r="F3294" t="s">
        <v>87</v>
      </c>
      <c r="G3294" t="s">
        <v>27</v>
      </c>
    </row>
    <row r="3295" spans="1:7" x14ac:dyDescent="0.2">
      <c r="A3295">
        <v>12</v>
      </c>
      <c r="B3295" t="s">
        <v>1964</v>
      </c>
      <c r="C3295" t="s">
        <v>2007</v>
      </c>
      <c r="D3295" t="s">
        <v>24</v>
      </c>
      <c r="E3295" t="s">
        <v>31</v>
      </c>
      <c r="F3295" t="s">
        <v>87</v>
      </c>
      <c r="G3295" t="s">
        <v>27</v>
      </c>
    </row>
    <row r="3296" spans="1:7" x14ac:dyDescent="0.2">
      <c r="A3296">
        <v>12</v>
      </c>
      <c r="B3296" t="s">
        <v>1964</v>
      </c>
      <c r="C3296" t="s">
        <v>2008</v>
      </c>
      <c r="D3296" t="s">
        <v>24</v>
      </c>
      <c r="E3296" t="s">
        <v>31</v>
      </c>
      <c r="F3296" t="s">
        <v>87</v>
      </c>
      <c r="G3296" t="s">
        <v>27</v>
      </c>
    </row>
    <row r="3297" spans="1:7" x14ac:dyDescent="0.2">
      <c r="A3297">
        <v>12</v>
      </c>
      <c r="B3297" t="s">
        <v>1964</v>
      </c>
      <c r="C3297" t="s">
        <v>1984</v>
      </c>
      <c r="D3297" t="s">
        <v>24</v>
      </c>
      <c r="E3297" t="s">
        <v>31</v>
      </c>
      <c r="F3297" t="s">
        <v>87</v>
      </c>
      <c r="G3297" t="s">
        <v>27</v>
      </c>
    </row>
    <row r="3298" spans="1:7" x14ac:dyDescent="0.2">
      <c r="A3298">
        <v>12</v>
      </c>
      <c r="B3298" t="s">
        <v>1964</v>
      </c>
      <c r="C3298" t="s">
        <v>2009</v>
      </c>
      <c r="D3298" t="s">
        <v>24</v>
      </c>
      <c r="E3298" t="s">
        <v>31</v>
      </c>
      <c r="F3298" t="s">
        <v>87</v>
      </c>
      <c r="G3298" t="s">
        <v>27</v>
      </c>
    </row>
    <row r="3299" spans="1:7" x14ac:dyDescent="0.2">
      <c r="A3299">
        <v>12</v>
      </c>
      <c r="B3299" t="s">
        <v>1964</v>
      </c>
      <c r="C3299" t="s">
        <v>2010</v>
      </c>
      <c r="D3299" t="s">
        <v>24</v>
      </c>
      <c r="E3299" t="s">
        <v>31</v>
      </c>
      <c r="F3299" t="s">
        <v>87</v>
      </c>
      <c r="G3299" t="s">
        <v>27</v>
      </c>
    </row>
    <row r="3300" spans="1:7" x14ac:dyDescent="0.2">
      <c r="A3300">
        <v>13</v>
      </c>
      <c r="B3300" t="s">
        <v>1964</v>
      </c>
      <c r="C3300" t="s">
        <v>1984</v>
      </c>
      <c r="D3300" t="s">
        <v>24</v>
      </c>
      <c r="E3300" t="s">
        <v>31</v>
      </c>
      <c r="F3300" t="s">
        <v>87</v>
      </c>
      <c r="G3300" t="s">
        <v>27</v>
      </c>
    </row>
    <row r="3301" spans="1:7" x14ac:dyDescent="0.2">
      <c r="A3301">
        <v>13</v>
      </c>
      <c r="B3301" t="s">
        <v>1964</v>
      </c>
      <c r="C3301" t="s">
        <v>2011</v>
      </c>
      <c r="D3301" t="s">
        <v>24</v>
      </c>
      <c r="E3301" t="s">
        <v>31</v>
      </c>
      <c r="F3301" t="s">
        <v>26</v>
      </c>
      <c r="G3301" t="s">
        <v>27</v>
      </c>
    </row>
    <row r="3302" spans="1:7" x14ac:dyDescent="0.2">
      <c r="A3302">
        <v>13</v>
      </c>
      <c r="B3302" t="s">
        <v>1964</v>
      </c>
      <c r="C3302" t="s">
        <v>1991</v>
      </c>
      <c r="D3302" t="s">
        <v>24</v>
      </c>
      <c r="E3302" t="s">
        <v>25</v>
      </c>
      <c r="F3302" t="s">
        <v>26</v>
      </c>
      <c r="G3302" t="s">
        <v>27</v>
      </c>
    </row>
    <row r="3303" spans="1:7" x14ac:dyDescent="0.2">
      <c r="A3303">
        <v>13</v>
      </c>
      <c r="B3303" t="s">
        <v>1964</v>
      </c>
      <c r="C3303" t="s">
        <v>2012</v>
      </c>
      <c r="D3303" t="s">
        <v>30</v>
      </c>
      <c r="E3303" t="s">
        <v>25</v>
      </c>
      <c r="F3303" t="s">
        <v>26</v>
      </c>
      <c r="G3303" t="s">
        <v>27</v>
      </c>
    </row>
    <row r="3304" spans="1:7" x14ac:dyDescent="0.2">
      <c r="A3304">
        <v>13</v>
      </c>
      <c r="B3304" t="s">
        <v>1964</v>
      </c>
      <c r="C3304" t="s">
        <v>1990</v>
      </c>
      <c r="D3304" t="s">
        <v>24</v>
      </c>
      <c r="E3304" t="s">
        <v>25</v>
      </c>
      <c r="F3304" t="s">
        <v>26</v>
      </c>
      <c r="G3304" t="s">
        <v>27</v>
      </c>
    </row>
    <row r="3305" spans="1:7" x14ac:dyDescent="0.2">
      <c r="A3305">
        <v>13</v>
      </c>
      <c r="B3305" t="s">
        <v>1964</v>
      </c>
      <c r="C3305" t="s">
        <v>2013</v>
      </c>
      <c r="D3305" t="s">
        <v>24</v>
      </c>
      <c r="E3305" t="s">
        <v>25</v>
      </c>
      <c r="F3305" t="s">
        <v>26</v>
      </c>
      <c r="G3305" t="s">
        <v>27</v>
      </c>
    </row>
    <row r="3306" spans="1:7" x14ac:dyDescent="0.2">
      <c r="A3306">
        <v>14</v>
      </c>
      <c r="B3306" t="s">
        <v>1964</v>
      </c>
      <c r="C3306" t="s">
        <v>2014</v>
      </c>
      <c r="D3306" t="s">
        <v>24</v>
      </c>
      <c r="E3306" t="s">
        <v>31</v>
      </c>
      <c r="F3306" t="s">
        <v>47</v>
      </c>
      <c r="G3306" t="s">
        <v>27</v>
      </c>
    </row>
    <row r="3307" spans="1:7" x14ac:dyDescent="0.2">
      <c r="A3307">
        <v>14</v>
      </c>
      <c r="B3307" t="s">
        <v>1964</v>
      </c>
      <c r="C3307" t="s">
        <v>2015</v>
      </c>
      <c r="D3307" t="s">
        <v>24</v>
      </c>
      <c r="E3307" t="s">
        <v>31</v>
      </c>
      <c r="F3307" t="s">
        <v>47</v>
      </c>
      <c r="G3307" t="s">
        <v>27</v>
      </c>
    </row>
    <row r="3308" spans="1:7" x14ac:dyDescent="0.2">
      <c r="A3308">
        <v>14</v>
      </c>
      <c r="B3308" t="s">
        <v>1964</v>
      </c>
      <c r="C3308" t="s">
        <v>2016</v>
      </c>
      <c r="D3308" t="s">
        <v>24</v>
      </c>
      <c r="E3308" t="s">
        <v>31</v>
      </c>
      <c r="F3308" t="s">
        <v>47</v>
      </c>
      <c r="G3308" t="s">
        <v>27</v>
      </c>
    </row>
    <row r="3309" spans="1:7" x14ac:dyDescent="0.2">
      <c r="A3309">
        <v>14</v>
      </c>
      <c r="B3309" t="s">
        <v>1964</v>
      </c>
      <c r="C3309" t="s">
        <v>2017</v>
      </c>
      <c r="D3309" t="s">
        <v>24</v>
      </c>
      <c r="E3309" t="s">
        <v>31</v>
      </c>
      <c r="F3309" t="s">
        <v>47</v>
      </c>
      <c r="G3309" t="s">
        <v>27</v>
      </c>
    </row>
    <row r="3310" spans="1:7" x14ac:dyDescent="0.2">
      <c r="A3310">
        <v>15</v>
      </c>
      <c r="B3310" t="s">
        <v>1964</v>
      </c>
      <c r="C3310" t="s">
        <v>1981</v>
      </c>
      <c r="D3310" t="s">
        <v>24</v>
      </c>
      <c r="E3310" t="s">
        <v>31</v>
      </c>
      <c r="F3310" t="s">
        <v>26</v>
      </c>
      <c r="G3310" t="s">
        <v>27</v>
      </c>
    </row>
    <row r="3311" spans="1:7" x14ac:dyDescent="0.2">
      <c r="A3311">
        <v>15</v>
      </c>
      <c r="B3311" t="s">
        <v>1964</v>
      </c>
      <c r="C3311" t="s">
        <v>2018</v>
      </c>
      <c r="D3311" t="s">
        <v>24</v>
      </c>
      <c r="E3311" t="s">
        <v>31</v>
      </c>
      <c r="F3311" t="s">
        <v>26</v>
      </c>
      <c r="G3311" t="s">
        <v>27</v>
      </c>
    </row>
    <row r="3312" spans="1:7" x14ac:dyDescent="0.2">
      <c r="A3312">
        <v>15</v>
      </c>
      <c r="B3312" t="s">
        <v>1964</v>
      </c>
      <c r="C3312" t="s">
        <v>1982</v>
      </c>
      <c r="D3312" t="s">
        <v>24</v>
      </c>
      <c r="E3312" t="s">
        <v>31</v>
      </c>
      <c r="F3312" t="s">
        <v>26</v>
      </c>
      <c r="G3312" t="s">
        <v>27</v>
      </c>
    </row>
    <row r="3313" spans="1:7" x14ac:dyDescent="0.2">
      <c r="A3313">
        <v>15</v>
      </c>
      <c r="B3313" t="s">
        <v>1964</v>
      </c>
      <c r="C3313" t="s">
        <v>1983</v>
      </c>
      <c r="D3313" t="s">
        <v>24</v>
      </c>
      <c r="E3313" t="s">
        <v>256</v>
      </c>
      <c r="F3313" t="s">
        <v>87</v>
      </c>
      <c r="G3313" t="s">
        <v>27</v>
      </c>
    </row>
    <row r="3314" spans="1:7" x14ac:dyDescent="0.2">
      <c r="A3314">
        <v>15</v>
      </c>
      <c r="B3314" t="s">
        <v>1964</v>
      </c>
      <c r="C3314" t="s">
        <v>2019</v>
      </c>
      <c r="D3314" t="s">
        <v>24</v>
      </c>
      <c r="E3314" t="s">
        <v>256</v>
      </c>
      <c r="F3314" t="s">
        <v>87</v>
      </c>
      <c r="G3314" t="s">
        <v>27</v>
      </c>
    </row>
    <row r="3315" spans="1:7" x14ac:dyDescent="0.2">
      <c r="A3315">
        <v>15</v>
      </c>
      <c r="B3315" t="s">
        <v>1964</v>
      </c>
      <c r="C3315" t="s">
        <v>2020</v>
      </c>
      <c r="D3315" t="s">
        <v>24</v>
      </c>
      <c r="E3315" t="s">
        <v>256</v>
      </c>
      <c r="F3315" t="s">
        <v>87</v>
      </c>
      <c r="G3315" t="s">
        <v>27</v>
      </c>
    </row>
    <row r="3316" spans="1:7" x14ac:dyDescent="0.2">
      <c r="A3316">
        <v>15</v>
      </c>
      <c r="B3316" t="s">
        <v>1964</v>
      </c>
      <c r="C3316" t="s">
        <v>2003</v>
      </c>
      <c r="D3316" t="s">
        <v>24</v>
      </c>
      <c r="E3316" t="s">
        <v>256</v>
      </c>
      <c r="F3316" t="s">
        <v>87</v>
      </c>
      <c r="G3316" t="s">
        <v>27</v>
      </c>
    </row>
    <row r="3317" spans="1:7" x14ac:dyDescent="0.2">
      <c r="A3317">
        <v>15</v>
      </c>
      <c r="B3317" t="s">
        <v>1964</v>
      </c>
      <c r="C3317" t="s">
        <v>2021</v>
      </c>
      <c r="D3317" t="s">
        <v>24</v>
      </c>
      <c r="E3317" t="s">
        <v>256</v>
      </c>
      <c r="F3317" t="s">
        <v>87</v>
      </c>
      <c r="G3317" t="s">
        <v>27</v>
      </c>
    </row>
    <row r="3318" spans="1:7" x14ac:dyDescent="0.2">
      <c r="A3318">
        <v>15</v>
      </c>
      <c r="B3318" t="s">
        <v>1964</v>
      </c>
      <c r="C3318" t="s">
        <v>2022</v>
      </c>
      <c r="D3318" t="s">
        <v>24</v>
      </c>
      <c r="E3318" t="s">
        <v>256</v>
      </c>
      <c r="F3318" t="s">
        <v>87</v>
      </c>
      <c r="G3318" t="s">
        <v>27</v>
      </c>
    </row>
    <row r="3319" spans="1:7" x14ac:dyDescent="0.2">
      <c r="A3319">
        <v>15</v>
      </c>
      <c r="B3319" t="s">
        <v>1964</v>
      </c>
      <c r="C3319" t="s">
        <v>2023</v>
      </c>
      <c r="D3319" t="s">
        <v>24</v>
      </c>
      <c r="E3319" t="s">
        <v>256</v>
      </c>
      <c r="F3319" t="s">
        <v>87</v>
      </c>
      <c r="G3319" t="s">
        <v>27</v>
      </c>
    </row>
    <row r="3320" spans="1:7" x14ac:dyDescent="0.2">
      <c r="A3320">
        <v>15</v>
      </c>
      <c r="B3320" t="s">
        <v>1964</v>
      </c>
      <c r="C3320" t="s">
        <v>2004</v>
      </c>
      <c r="D3320" t="s">
        <v>24</v>
      </c>
      <c r="E3320" t="s">
        <v>256</v>
      </c>
      <c r="F3320" t="s">
        <v>87</v>
      </c>
      <c r="G3320" t="s">
        <v>27</v>
      </c>
    </row>
    <row r="3321" spans="1:7" x14ac:dyDescent="0.2">
      <c r="A3321">
        <v>16</v>
      </c>
      <c r="B3321" t="s">
        <v>1964</v>
      </c>
      <c r="C3321" t="s">
        <v>2024</v>
      </c>
      <c r="D3321" t="s">
        <v>24</v>
      </c>
      <c r="E3321" t="s">
        <v>31</v>
      </c>
      <c r="F3321" t="s">
        <v>87</v>
      </c>
      <c r="G3321" t="s">
        <v>27</v>
      </c>
    </row>
    <row r="3322" spans="1:7" x14ac:dyDescent="0.2">
      <c r="A3322">
        <v>16</v>
      </c>
      <c r="B3322" t="s">
        <v>1964</v>
      </c>
      <c r="C3322" t="s">
        <v>2025</v>
      </c>
      <c r="D3322" t="s">
        <v>30</v>
      </c>
      <c r="E3322" t="s">
        <v>31</v>
      </c>
      <c r="F3322" t="s">
        <v>87</v>
      </c>
      <c r="G3322" t="s">
        <v>27</v>
      </c>
    </row>
    <row r="3323" spans="1:7" x14ac:dyDescent="0.2">
      <c r="A3323">
        <v>16</v>
      </c>
      <c r="B3323" t="s">
        <v>1964</v>
      </c>
      <c r="C3323" t="s">
        <v>1965</v>
      </c>
      <c r="D3323" t="s">
        <v>24</v>
      </c>
      <c r="E3323" t="s">
        <v>31</v>
      </c>
      <c r="F3323" t="s">
        <v>87</v>
      </c>
      <c r="G3323" t="s">
        <v>27</v>
      </c>
    </row>
    <row r="3324" spans="1:7" x14ac:dyDescent="0.2">
      <c r="A3324">
        <v>16</v>
      </c>
      <c r="B3324" t="s">
        <v>1964</v>
      </c>
      <c r="C3324" t="s">
        <v>2026</v>
      </c>
      <c r="D3324" t="s">
        <v>24</v>
      </c>
      <c r="E3324" t="s">
        <v>25</v>
      </c>
      <c r="F3324" t="s">
        <v>87</v>
      </c>
      <c r="G3324" t="s">
        <v>27</v>
      </c>
    </row>
    <row r="3325" spans="1:7" x14ac:dyDescent="0.2">
      <c r="A3325">
        <v>16</v>
      </c>
      <c r="B3325" t="s">
        <v>1964</v>
      </c>
      <c r="C3325" t="s">
        <v>1980</v>
      </c>
      <c r="D3325" t="s">
        <v>24</v>
      </c>
      <c r="E3325" t="s">
        <v>31</v>
      </c>
      <c r="F3325" t="s">
        <v>87</v>
      </c>
      <c r="G3325" t="s">
        <v>27</v>
      </c>
    </row>
    <row r="3326" spans="1:7" x14ac:dyDescent="0.2">
      <c r="A3326">
        <v>17</v>
      </c>
      <c r="B3326" t="s">
        <v>1964</v>
      </c>
      <c r="C3326" t="s">
        <v>2027</v>
      </c>
      <c r="D3326" t="s">
        <v>24</v>
      </c>
      <c r="E3326" t="s">
        <v>256</v>
      </c>
      <c r="F3326" t="s">
        <v>87</v>
      </c>
      <c r="G3326" t="s">
        <v>27</v>
      </c>
    </row>
    <row r="3327" spans="1:7" x14ac:dyDescent="0.2">
      <c r="A3327">
        <v>17</v>
      </c>
      <c r="B3327" t="s">
        <v>1964</v>
      </c>
      <c r="C3327" t="s">
        <v>2028</v>
      </c>
      <c r="D3327" t="s">
        <v>24</v>
      </c>
      <c r="E3327" t="s">
        <v>256</v>
      </c>
      <c r="F3327" t="s">
        <v>87</v>
      </c>
      <c r="G3327" t="s">
        <v>27</v>
      </c>
    </row>
    <row r="3328" spans="1:7" x14ac:dyDescent="0.2">
      <c r="A3328">
        <v>17</v>
      </c>
      <c r="B3328" t="s">
        <v>1964</v>
      </c>
      <c r="C3328" t="s">
        <v>1982</v>
      </c>
      <c r="D3328" t="s">
        <v>24</v>
      </c>
      <c r="E3328" t="s">
        <v>256</v>
      </c>
      <c r="F3328" t="s">
        <v>87</v>
      </c>
      <c r="G3328" t="s">
        <v>27</v>
      </c>
    </row>
    <row r="3329" spans="1:7" x14ac:dyDescent="0.2">
      <c r="A3329">
        <v>17</v>
      </c>
      <c r="B3329" t="s">
        <v>1964</v>
      </c>
      <c r="C3329" t="s">
        <v>2029</v>
      </c>
      <c r="D3329" t="s">
        <v>24</v>
      </c>
      <c r="E3329" t="s">
        <v>256</v>
      </c>
      <c r="F3329" t="s">
        <v>87</v>
      </c>
      <c r="G3329" t="s">
        <v>27</v>
      </c>
    </row>
    <row r="3330" spans="1:7" x14ac:dyDescent="0.2">
      <c r="A3330">
        <v>17</v>
      </c>
      <c r="B3330" t="s">
        <v>1964</v>
      </c>
      <c r="C3330" t="s">
        <v>2019</v>
      </c>
      <c r="D3330" t="s">
        <v>24</v>
      </c>
      <c r="E3330" t="s">
        <v>256</v>
      </c>
      <c r="F3330" t="s">
        <v>87</v>
      </c>
      <c r="G3330" t="s">
        <v>27</v>
      </c>
    </row>
    <row r="3331" spans="1:7" x14ac:dyDescent="0.2">
      <c r="A3331">
        <v>17</v>
      </c>
      <c r="B3331" t="s">
        <v>1964</v>
      </c>
      <c r="C3331" t="s">
        <v>1984</v>
      </c>
      <c r="D3331" t="s">
        <v>24</v>
      </c>
      <c r="E3331" t="s">
        <v>256</v>
      </c>
      <c r="F3331" t="s">
        <v>87</v>
      </c>
      <c r="G3331" t="s">
        <v>27</v>
      </c>
    </row>
    <row r="3332" spans="1:7" x14ac:dyDescent="0.2">
      <c r="A3332">
        <v>18</v>
      </c>
      <c r="B3332" t="s">
        <v>1964</v>
      </c>
      <c r="C3332" t="s">
        <v>2027</v>
      </c>
      <c r="D3332" t="s">
        <v>24</v>
      </c>
      <c r="E3332" t="s">
        <v>31</v>
      </c>
      <c r="F3332" t="s">
        <v>87</v>
      </c>
      <c r="G3332" t="s">
        <v>27</v>
      </c>
    </row>
    <row r="3333" spans="1:7" x14ac:dyDescent="0.2">
      <c r="A3333">
        <v>18</v>
      </c>
      <c r="B3333" t="s">
        <v>1964</v>
      </c>
      <c r="C3333" t="s">
        <v>1980</v>
      </c>
      <c r="D3333" t="s">
        <v>24</v>
      </c>
      <c r="E3333" t="s">
        <v>31</v>
      </c>
      <c r="F3333" t="s">
        <v>87</v>
      </c>
      <c r="G3333" t="s">
        <v>27</v>
      </c>
    </row>
    <row r="3334" spans="1:7" x14ac:dyDescent="0.2">
      <c r="A3334">
        <v>18</v>
      </c>
      <c r="B3334" t="s">
        <v>1964</v>
      </c>
      <c r="C3334" t="s">
        <v>1504</v>
      </c>
      <c r="D3334" t="s">
        <v>30</v>
      </c>
      <c r="E3334" t="s">
        <v>31</v>
      </c>
      <c r="F3334" t="s">
        <v>87</v>
      </c>
      <c r="G3334" t="s">
        <v>27</v>
      </c>
    </row>
    <row r="3335" spans="1:7" x14ac:dyDescent="0.2">
      <c r="A3335">
        <v>18</v>
      </c>
      <c r="B3335" t="s">
        <v>1964</v>
      </c>
      <c r="C3335" t="s">
        <v>2028</v>
      </c>
      <c r="D3335" t="s">
        <v>24</v>
      </c>
      <c r="E3335" t="s">
        <v>31</v>
      </c>
      <c r="F3335" t="s">
        <v>87</v>
      </c>
      <c r="G3335" t="s">
        <v>27</v>
      </c>
    </row>
    <row r="3336" spans="1:7" x14ac:dyDescent="0.2">
      <c r="A3336">
        <v>18</v>
      </c>
      <c r="B3336" t="s">
        <v>1964</v>
      </c>
      <c r="C3336" t="s">
        <v>1983</v>
      </c>
      <c r="D3336" t="s">
        <v>24</v>
      </c>
      <c r="E3336" t="s">
        <v>31</v>
      </c>
      <c r="F3336" t="s">
        <v>87</v>
      </c>
      <c r="G3336" t="s">
        <v>27</v>
      </c>
    </row>
    <row r="3337" spans="1:7" x14ac:dyDescent="0.2">
      <c r="A3337">
        <v>18</v>
      </c>
      <c r="B3337" t="s">
        <v>1964</v>
      </c>
      <c r="C3337" t="s">
        <v>2019</v>
      </c>
      <c r="D3337" t="s">
        <v>24</v>
      </c>
      <c r="E3337" t="s">
        <v>31</v>
      </c>
      <c r="F3337" t="s">
        <v>87</v>
      </c>
      <c r="G3337" t="s">
        <v>27</v>
      </c>
    </row>
    <row r="3338" spans="1:7" x14ac:dyDescent="0.2">
      <c r="A3338">
        <v>19</v>
      </c>
      <c r="B3338" t="s">
        <v>1964</v>
      </c>
      <c r="C3338" t="s">
        <v>1485</v>
      </c>
      <c r="D3338" t="s">
        <v>24</v>
      </c>
      <c r="E3338" t="s">
        <v>25</v>
      </c>
      <c r="F3338" t="s">
        <v>26</v>
      </c>
      <c r="G3338" t="s">
        <v>27</v>
      </c>
    </row>
    <row r="3339" spans="1:7" x14ac:dyDescent="0.2">
      <c r="A3339">
        <v>19</v>
      </c>
      <c r="B3339" t="s">
        <v>1964</v>
      </c>
      <c r="C3339" t="s">
        <v>1987</v>
      </c>
      <c r="D3339" t="s">
        <v>24</v>
      </c>
      <c r="E3339" t="s">
        <v>25</v>
      </c>
      <c r="F3339" t="s">
        <v>26</v>
      </c>
      <c r="G3339" t="s">
        <v>27</v>
      </c>
    </row>
    <row r="3340" spans="1:7" x14ac:dyDescent="0.2">
      <c r="A3340">
        <v>19</v>
      </c>
      <c r="B3340" t="s">
        <v>1964</v>
      </c>
      <c r="C3340" t="s">
        <v>2030</v>
      </c>
      <c r="D3340" t="s">
        <v>24</v>
      </c>
      <c r="E3340" t="s">
        <v>25</v>
      </c>
      <c r="F3340" t="s">
        <v>26</v>
      </c>
      <c r="G3340" t="s">
        <v>27</v>
      </c>
    </row>
    <row r="3341" spans="1:7" x14ac:dyDescent="0.2">
      <c r="A3341">
        <v>19</v>
      </c>
      <c r="B3341" t="s">
        <v>1964</v>
      </c>
      <c r="C3341" t="s">
        <v>2031</v>
      </c>
      <c r="D3341" t="s">
        <v>24</v>
      </c>
      <c r="E3341" t="s">
        <v>25</v>
      </c>
      <c r="F3341" t="s">
        <v>26</v>
      </c>
      <c r="G3341" t="s">
        <v>27</v>
      </c>
    </row>
    <row r="3342" spans="1:7" x14ac:dyDescent="0.2">
      <c r="A3342">
        <v>19</v>
      </c>
      <c r="B3342" t="s">
        <v>1964</v>
      </c>
      <c r="C3342" t="s">
        <v>1990</v>
      </c>
      <c r="D3342" t="s">
        <v>24</v>
      </c>
      <c r="E3342" t="s">
        <v>25</v>
      </c>
      <c r="F3342" t="s">
        <v>26</v>
      </c>
      <c r="G3342" t="s">
        <v>27</v>
      </c>
    </row>
    <row r="3343" spans="1:7" x14ac:dyDescent="0.2">
      <c r="A3343">
        <v>19</v>
      </c>
      <c r="B3343" t="s">
        <v>1964</v>
      </c>
      <c r="C3343" t="s">
        <v>2032</v>
      </c>
      <c r="D3343" t="s">
        <v>24</v>
      </c>
      <c r="E3343" t="s">
        <v>25</v>
      </c>
      <c r="F3343" t="s">
        <v>26</v>
      </c>
      <c r="G3343" t="s">
        <v>27</v>
      </c>
    </row>
    <row r="3344" spans="1:7" x14ac:dyDescent="0.2">
      <c r="A3344">
        <v>19</v>
      </c>
      <c r="B3344" t="s">
        <v>1964</v>
      </c>
      <c r="C3344" t="s">
        <v>2033</v>
      </c>
      <c r="D3344" t="s">
        <v>24</v>
      </c>
      <c r="E3344" t="s">
        <v>25</v>
      </c>
      <c r="F3344" t="s">
        <v>26</v>
      </c>
      <c r="G3344" t="s">
        <v>27</v>
      </c>
    </row>
    <row r="3345" spans="1:7" x14ac:dyDescent="0.2">
      <c r="A3345">
        <v>19</v>
      </c>
      <c r="B3345" t="s">
        <v>1964</v>
      </c>
      <c r="C3345" t="s">
        <v>1993</v>
      </c>
      <c r="D3345" t="s">
        <v>24</v>
      </c>
      <c r="E3345" t="s">
        <v>25</v>
      </c>
      <c r="F3345" t="s">
        <v>26</v>
      </c>
      <c r="G3345" t="s">
        <v>27</v>
      </c>
    </row>
    <row r="3346" spans="1:7" x14ac:dyDescent="0.2">
      <c r="A3346">
        <v>19</v>
      </c>
      <c r="B3346" t="s">
        <v>1964</v>
      </c>
      <c r="C3346" t="s">
        <v>2027</v>
      </c>
      <c r="D3346" t="s">
        <v>24</v>
      </c>
      <c r="E3346" t="s">
        <v>25</v>
      </c>
      <c r="F3346" t="s">
        <v>26</v>
      </c>
      <c r="G3346" t="s">
        <v>27</v>
      </c>
    </row>
    <row r="3347" spans="1:7" x14ac:dyDescent="0.2">
      <c r="A3347">
        <v>19</v>
      </c>
      <c r="B3347" t="s">
        <v>1964</v>
      </c>
      <c r="C3347" t="s">
        <v>1980</v>
      </c>
      <c r="D3347" t="s">
        <v>24</v>
      </c>
      <c r="E3347" t="s">
        <v>25</v>
      </c>
      <c r="F3347" t="s">
        <v>26</v>
      </c>
      <c r="G3347" t="s">
        <v>27</v>
      </c>
    </row>
    <row r="3348" spans="1:7" x14ac:dyDescent="0.2">
      <c r="A3348">
        <v>19</v>
      </c>
      <c r="B3348" t="s">
        <v>1964</v>
      </c>
      <c r="C3348" t="s">
        <v>2034</v>
      </c>
      <c r="D3348" t="s">
        <v>24</v>
      </c>
      <c r="E3348" t="s">
        <v>25</v>
      </c>
      <c r="F3348" t="s">
        <v>26</v>
      </c>
      <c r="G3348" t="s">
        <v>27</v>
      </c>
    </row>
    <row r="3349" spans="1:7" x14ac:dyDescent="0.2">
      <c r="A3349">
        <v>19</v>
      </c>
      <c r="B3349" t="s">
        <v>1964</v>
      </c>
      <c r="C3349" t="s">
        <v>1504</v>
      </c>
      <c r="D3349" t="s">
        <v>30</v>
      </c>
      <c r="E3349" t="s">
        <v>25</v>
      </c>
      <c r="F3349" t="s">
        <v>26</v>
      </c>
      <c r="G3349" t="s">
        <v>27</v>
      </c>
    </row>
    <row r="3350" spans="1:7" x14ac:dyDescent="0.2">
      <c r="A3350">
        <v>19</v>
      </c>
      <c r="B3350" t="s">
        <v>1964</v>
      </c>
      <c r="C3350" t="s">
        <v>2035</v>
      </c>
      <c r="D3350" t="s">
        <v>24</v>
      </c>
      <c r="E3350" t="s">
        <v>25</v>
      </c>
      <c r="F3350" t="s">
        <v>26</v>
      </c>
      <c r="G3350" t="s">
        <v>27</v>
      </c>
    </row>
    <row r="3351" spans="1:7" x14ac:dyDescent="0.2">
      <c r="A3351">
        <v>19</v>
      </c>
      <c r="B3351" t="s">
        <v>1964</v>
      </c>
      <c r="C3351" t="s">
        <v>2036</v>
      </c>
      <c r="D3351" t="s">
        <v>24</v>
      </c>
      <c r="E3351" t="s">
        <v>25</v>
      </c>
      <c r="F3351" t="s">
        <v>26</v>
      </c>
      <c r="G3351" t="s">
        <v>27</v>
      </c>
    </row>
    <row r="3352" spans="1:7" x14ac:dyDescent="0.2">
      <c r="A3352">
        <v>19</v>
      </c>
      <c r="B3352" t="s">
        <v>1964</v>
      </c>
      <c r="C3352" t="s">
        <v>2037</v>
      </c>
      <c r="D3352" t="s">
        <v>24</v>
      </c>
      <c r="E3352" t="s">
        <v>25</v>
      </c>
      <c r="F3352" t="s">
        <v>26</v>
      </c>
      <c r="G3352" t="s">
        <v>27</v>
      </c>
    </row>
    <row r="3353" spans="1:7" x14ac:dyDescent="0.2">
      <c r="A3353">
        <v>19</v>
      </c>
      <c r="B3353" t="s">
        <v>1964</v>
      </c>
      <c r="C3353" t="s">
        <v>2038</v>
      </c>
      <c r="D3353" t="s">
        <v>24</v>
      </c>
      <c r="E3353" t="s">
        <v>25</v>
      </c>
      <c r="F3353" t="s">
        <v>26</v>
      </c>
      <c r="G3353" t="s">
        <v>27</v>
      </c>
    </row>
    <row r="3354" spans="1:7" x14ac:dyDescent="0.2">
      <c r="A3354">
        <v>19</v>
      </c>
      <c r="B3354" t="s">
        <v>1964</v>
      </c>
      <c r="C3354" t="s">
        <v>2035</v>
      </c>
      <c r="D3354" t="s">
        <v>24</v>
      </c>
      <c r="E3354" t="s">
        <v>25</v>
      </c>
      <c r="F3354" t="s">
        <v>26</v>
      </c>
      <c r="G3354" t="s">
        <v>27</v>
      </c>
    </row>
    <row r="3355" spans="1:7" x14ac:dyDescent="0.2">
      <c r="A3355">
        <v>19</v>
      </c>
      <c r="B3355" t="s">
        <v>1964</v>
      </c>
      <c r="C3355" t="s">
        <v>2028</v>
      </c>
      <c r="D3355" t="s">
        <v>24</v>
      </c>
      <c r="E3355" t="s">
        <v>25</v>
      </c>
      <c r="F3355" t="s">
        <v>26</v>
      </c>
      <c r="G3355" t="s">
        <v>27</v>
      </c>
    </row>
    <row r="3356" spans="1:7" x14ac:dyDescent="0.2">
      <c r="A3356">
        <v>19</v>
      </c>
      <c r="B3356" t="s">
        <v>1964</v>
      </c>
      <c r="C3356" t="s">
        <v>1982</v>
      </c>
      <c r="D3356" t="s">
        <v>24</v>
      </c>
      <c r="E3356" t="s">
        <v>25</v>
      </c>
      <c r="F3356" t="s">
        <v>26</v>
      </c>
      <c r="G3356" t="s">
        <v>27</v>
      </c>
    </row>
    <row r="3357" spans="1:7" x14ac:dyDescent="0.2">
      <c r="A3357">
        <v>20</v>
      </c>
      <c r="B3357" t="s">
        <v>1964</v>
      </c>
      <c r="C3357" t="s">
        <v>1980</v>
      </c>
      <c r="D3357" t="s">
        <v>24</v>
      </c>
      <c r="E3357" t="s">
        <v>31</v>
      </c>
      <c r="F3357" t="s">
        <v>87</v>
      </c>
      <c r="G3357" t="s">
        <v>27</v>
      </c>
    </row>
    <row r="3358" spans="1:7" x14ac:dyDescent="0.2">
      <c r="A3358">
        <v>20</v>
      </c>
      <c r="B3358" t="s">
        <v>1964</v>
      </c>
      <c r="C3358" t="s">
        <v>2034</v>
      </c>
      <c r="D3358" t="s">
        <v>24</v>
      </c>
      <c r="E3358" t="s">
        <v>25</v>
      </c>
      <c r="F3358" t="s">
        <v>87</v>
      </c>
      <c r="G3358" t="s">
        <v>27</v>
      </c>
    </row>
    <row r="3359" spans="1:7" x14ac:dyDescent="0.2">
      <c r="A3359">
        <v>20</v>
      </c>
      <c r="B3359" t="s">
        <v>1964</v>
      </c>
      <c r="C3359" t="s">
        <v>1504</v>
      </c>
      <c r="D3359" t="s">
        <v>30</v>
      </c>
      <c r="E3359" t="s">
        <v>25</v>
      </c>
      <c r="F3359" t="s">
        <v>87</v>
      </c>
      <c r="G3359" t="s">
        <v>27</v>
      </c>
    </row>
    <row r="3360" spans="1:7" x14ac:dyDescent="0.2">
      <c r="A3360">
        <v>20</v>
      </c>
      <c r="B3360" t="s">
        <v>1964</v>
      </c>
      <c r="C3360" t="s">
        <v>2039</v>
      </c>
      <c r="D3360" t="s">
        <v>24</v>
      </c>
      <c r="E3360" t="s">
        <v>25</v>
      </c>
      <c r="F3360" t="s">
        <v>87</v>
      </c>
      <c r="G3360" t="s">
        <v>27</v>
      </c>
    </row>
    <row r="3361" spans="1:7" x14ac:dyDescent="0.2">
      <c r="A3361">
        <v>20</v>
      </c>
      <c r="B3361" t="s">
        <v>1964</v>
      </c>
      <c r="C3361" t="s">
        <v>2040</v>
      </c>
      <c r="D3361" t="s">
        <v>30</v>
      </c>
      <c r="E3361" t="s">
        <v>31</v>
      </c>
      <c r="F3361" t="s">
        <v>87</v>
      </c>
      <c r="G3361" t="s">
        <v>27</v>
      </c>
    </row>
    <row r="3362" spans="1:7" x14ac:dyDescent="0.2">
      <c r="A3362">
        <v>20</v>
      </c>
      <c r="B3362" t="s">
        <v>1964</v>
      </c>
      <c r="C3362" t="s">
        <v>1982</v>
      </c>
      <c r="D3362" t="s">
        <v>24</v>
      </c>
      <c r="E3362" t="s">
        <v>31</v>
      </c>
      <c r="F3362" t="s">
        <v>87</v>
      </c>
      <c r="G3362" t="s">
        <v>27</v>
      </c>
    </row>
    <row r="3363" spans="1:7" x14ac:dyDescent="0.2">
      <c r="A3363">
        <v>20</v>
      </c>
      <c r="B3363" t="s">
        <v>1964</v>
      </c>
      <c r="C3363" t="s">
        <v>2019</v>
      </c>
      <c r="D3363" t="s">
        <v>24</v>
      </c>
      <c r="E3363" t="s">
        <v>31</v>
      </c>
      <c r="F3363" t="s">
        <v>87</v>
      </c>
      <c r="G3363" t="s">
        <v>27</v>
      </c>
    </row>
    <row r="3364" spans="1:7" x14ac:dyDescent="0.2">
      <c r="A3364">
        <v>20</v>
      </c>
      <c r="B3364" t="s">
        <v>1964</v>
      </c>
      <c r="C3364" t="s">
        <v>2041</v>
      </c>
      <c r="D3364" t="s">
        <v>24</v>
      </c>
      <c r="E3364" t="s">
        <v>31</v>
      </c>
      <c r="F3364" t="s">
        <v>87</v>
      </c>
      <c r="G3364" t="s">
        <v>27</v>
      </c>
    </row>
    <row r="3365" spans="1:7" x14ac:dyDescent="0.2">
      <c r="A3365">
        <v>20</v>
      </c>
      <c r="B3365" t="s">
        <v>1964</v>
      </c>
      <c r="C3365" t="s">
        <v>2042</v>
      </c>
      <c r="D3365" t="s">
        <v>24</v>
      </c>
      <c r="E3365" t="s">
        <v>31</v>
      </c>
      <c r="F3365" t="s">
        <v>26</v>
      </c>
      <c r="G3365" t="s">
        <v>27</v>
      </c>
    </row>
    <row r="3366" spans="1:7" x14ac:dyDescent="0.2">
      <c r="A3366">
        <v>20</v>
      </c>
      <c r="B3366" t="s">
        <v>1964</v>
      </c>
      <c r="C3366" t="s">
        <v>2043</v>
      </c>
      <c r="D3366" t="s">
        <v>24</v>
      </c>
      <c r="E3366" t="s">
        <v>31</v>
      </c>
      <c r="F3366" t="s">
        <v>47</v>
      </c>
      <c r="G3366" t="s">
        <v>27</v>
      </c>
    </row>
    <row r="3367" spans="1:7" x14ac:dyDescent="0.2">
      <c r="A3367">
        <v>20</v>
      </c>
      <c r="B3367" t="s">
        <v>1964</v>
      </c>
      <c r="C3367" t="s">
        <v>2044</v>
      </c>
      <c r="D3367" t="s">
        <v>24</v>
      </c>
      <c r="E3367" t="s">
        <v>31</v>
      </c>
      <c r="F3367" t="s">
        <v>47</v>
      </c>
      <c r="G3367" t="s">
        <v>27</v>
      </c>
    </row>
    <row r="3368" spans="1:7" x14ac:dyDescent="0.2">
      <c r="A3368">
        <v>21</v>
      </c>
      <c r="B3368" t="s">
        <v>1964</v>
      </c>
      <c r="C3368" t="s">
        <v>1980</v>
      </c>
      <c r="D3368" t="s">
        <v>24</v>
      </c>
      <c r="E3368" t="s">
        <v>31</v>
      </c>
      <c r="F3368" t="s">
        <v>87</v>
      </c>
      <c r="G3368" t="s">
        <v>27</v>
      </c>
    </row>
    <row r="3369" spans="1:7" x14ac:dyDescent="0.2">
      <c r="A3369">
        <v>21</v>
      </c>
      <c r="B3369" t="s">
        <v>1964</v>
      </c>
      <c r="C3369" t="s">
        <v>2034</v>
      </c>
      <c r="D3369" t="s">
        <v>24</v>
      </c>
      <c r="E3369" t="s">
        <v>31</v>
      </c>
      <c r="F3369" t="s">
        <v>87</v>
      </c>
      <c r="G3369" t="s">
        <v>27</v>
      </c>
    </row>
    <row r="3370" spans="1:7" x14ac:dyDescent="0.2">
      <c r="A3370">
        <v>21</v>
      </c>
      <c r="B3370" t="s">
        <v>1964</v>
      </c>
      <c r="C3370" t="s">
        <v>2035</v>
      </c>
      <c r="D3370" t="s">
        <v>24</v>
      </c>
      <c r="E3370" t="s">
        <v>31</v>
      </c>
      <c r="F3370" t="s">
        <v>87</v>
      </c>
      <c r="G3370" t="s">
        <v>27</v>
      </c>
    </row>
    <row r="3371" spans="1:7" x14ac:dyDescent="0.2">
      <c r="A3371">
        <v>21</v>
      </c>
      <c r="B3371" t="s">
        <v>1964</v>
      </c>
      <c r="C3371" t="s">
        <v>2028</v>
      </c>
      <c r="D3371" t="s">
        <v>24</v>
      </c>
      <c r="E3371" t="s">
        <v>31</v>
      </c>
      <c r="F3371" t="s">
        <v>87</v>
      </c>
      <c r="G3371" t="s">
        <v>27</v>
      </c>
    </row>
    <row r="3372" spans="1:7" x14ac:dyDescent="0.2">
      <c r="A3372">
        <v>22</v>
      </c>
      <c r="B3372" t="s">
        <v>1964</v>
      </c>
      <c r="C3372" t="s">
        <v>1987</v>
      </c>
      <c r="D3372" t="s">
        <v>24</v>
      </c>
      <c r="E3372" t="s">
        <v>25</v>
      </c>
      <c r="F3372" t="s">
        <v>26</v>
      </c>
      <c r="G3372" t="s">
        <v>27</v>
      </c>
    </row>
    <row r="3373" spans="1:7" x14ac:dyDescent="0.2">
      <c r="A3373">
        <v>22</v>
      </c>
      <c r="B3373" t="s">
        <v>1964</v>
      </c>
      <c r="C3373" t="s">
        <v>1991</v>
      </c>
      <c r="D3373" t="s">
        <v>24</v>
      </c>
      <c r="E3373" t="s">
        <v>25</v>
      </c>
      <c r="F3373" t="s">
        <v>26</v>
      </c>
      <c r="G3373" t="s">
        <v>27</v>
      </c>
    </row>
    <row r="3374" spans="1:7" x14ac:dyDescent="0.2">
      <c r="A3374">
        <v>22</v>
      </c>
      <c r="B3374" t="s">
        <v>1964</v>
      </c>
      <c r="C3374" t="s">
        <v>1990</v>
      </c>
      <c r="D3374" t="s">
        <v>24</v>
      </c>
      <c r="E3374" t="s">
        <v>25</v>
      </c>
      <c r="F3374" t="s">
        <v>26</v>
      </c>
      <c r="G3374" t="s">
        <v>27</v>
      </c>
    </row>
    <row r="3375" spans="1:7" x14ac:dyDescent="0.2">
      <c r="A3375">
        <v>22</v>
      </c>
      <c r="B3375" t="s">
        <v>1964</v>
      </c>
      <c r="C3375" t="s">
        <v>2030</v>
      </c>
      <c r="D3375" t="s">
        <v>24</v>
      </c>
      <c r="E3375" t="s">
        <v>25</v>
      </c>
      <c r="F3375" t="s">
        <v>26</v>
      </c>
      <c r="G3375" t="s">
        <v>27</v>
      </c>
    </row>
    <row r="3376" spans="1:7" x14ac:dyDescent="0.2">
      <c r="A3376">
        <v>22</v>
      </c>
      <c r="B3376" t="s">
        <v>1964</v>
      </c>
      <c r="C3376" t="s">
        <v>2045</v>
      </c>
      <c r="D3376" t="s">
        <v>24</v>
      </c>
      <c r="E3376" t="s">
        <v>25</v>
      </c>
      <c r="F3376" t="s">
        <v>26</v>
      </c>
      <c r="G3376" t="s">
        <v>27</v>
      </c>
    </row>
    <row r="3377" spans="1:7" x14ac:dyDescent="0.2">
      <c r="A3377">
        <v>22</v>
      </c>
      <c r="B3377" t="s">
        <v>1964</v>
      </c>
      <c r="C3377" t="s">
        <v>2034</v>
      </c>
      <c r="D3377" t="s">
        <v>24</v>
      </c>
      <c r="E3377" t="s">
        <v>25</v>
      </c>
      <c r="F3377" t="s">
        <v>26</v>
      </c>
      <c r="G3377" t="s">
        <v>27</v>
      </c>
    </row>
    <row r="3378" spans="1:7" x14ac:dyDescent="0.2">
      <c r="A3378">
        <v>22</v>
      </c>
      <c r="B3378" t="s">
        <v>1964</v>
      </c>
      <c r="C3378" t="s">
        <v>1980</v>
      </c>
      <c r="D3378" t="s">
        <v>24</v>
      </c>
      <c r="E3378" t="s">
        <v>25</v>
      </c>
      <c r="F3378" t="s">
        <v>26</v>
      </c>
      <c r="G3378" t="s">
        <v>27</v>
      </c>
    </row>
    <row r="3379" spans="1:7" x14ac:dyDescent="0.2">
      <c r="A3379">
        <v>22</v>
      </c>
      <c r="B3379" t="s">
        <v>1964</v>
      </c>
      <c r="C3379" t="s">
        <v>2035</v>
      </c>
      <c r="D3379" t="s">
        <v>24</v>
      </c>
      <c r="E3379" t="s">
        <v>25</v>
      </c>
      <c r="F3379" t="s">
        <v>26</v>
      </c>
      <c r="G3379" t="s">
        <v>27</v>
      </c>
    </row>
    <row r="3380" spans="1:7" x14ac:dyDescent="0.2">
      <c r="A3380">
        <v>23</v>
      </c>
      <c r="B3380" t="s">
        <v>1964</v>
      </c>
      <c r="C3380" t="s">
        <v>1970</v>
      </c>
      <c r="D3380" t="s">
        <v>24</v>
      </c>
      <c r="E3380" t="s">
        <v>31</v>
      </c>
      <c r="F3380" t="s">
        <v>87</v>
      </c>
      <c r="G3380" t="s">
        <v>27</v>
      </c>
    </row>
    <row r="3381" spans="1:7" x14ac:dyDescent="0.2">
      <c r="A3381">
        <v>23</v>
      </c>
      <c r="B3381" t="s">
        <v>1964</v>
      </c>
      <c r="C3381" t="s">
        <v>1965</v>
      </c>
      <c r="D3381" t="s">
        <v>24</v>
      </c>
      <c r="E3381" t="s">
        <v>31</v>
      </c>
      <c r="F3381" t="s">
        <v>87</v>
      </c>
      <c r="G3381" t="s">
        <v>27</v>
      </c>
    </row>
    <row r="3382" spans="1:7" x14ac:dyDescent="0.2">
      <c r="A3382">
        <v>23</v>
      </c>
      <c r="B3382" t="s">
        <v>1964</v>
      </c>
      <c r="C3382" t="s">
        <v>2046</v>
      </c>
      <c r="D3382" t="s">
        <v>24</v>
      </c>
      <c r="E3382" t="s">
        <v>31</v>
      </c>
      <c r="F3382" t="s">
        <v>87</v>
      </c>
      <c r="G3382" t="s">
        <v>27</v>
      </c>
    </row>
    <row r="3383" spans="1:7" x14ac:dyDescent="0.2">
      <c r="A3383">
        <v>23</v>
      </c>
      <c r="B3383" t="s">
        <v>1964</v>
      </c>
      <c r="C3383" t="s">
        <v>1969</v>
      </c>
      <c r="D3383" t="s">
        <v>24</v>
      </c>
      <c r="E3383" t="s">
        <v>31</v>
      </c>
      <c r="F3383" t="s">
        <v>87</v>
      </c>
      <c r="G3383" t="s">
        <v>27</v>
      </c>
    </row>
    <row r="3384" spans="1:7" x14ac:dyDescent="0.2">
      <c r="A3384">
        <v>23</v>
      </c>
      <c r="B3384" t="s">
        <v>1964</v>
      </c>
      <c r="C3384" t="s">
        <v>2047</v>
      </c>
      <c r="D3384" t="s">
        <v>24</v>
      </c>
      <c r="E3384" t="s">
        <v>31</v>
      </c>
      <c r="F3384" t="s">
        <v>87</v>
      </c>
      <c r="G3384" t="s">
        <v>27</v>
      </c>
    </row>
    <row r="3385" spans="1:7" x14ac:dyDescent="0.2">
      <c r="A3385">
        <v>23</v>
      </c>
      <c r="B3385" t="s">
        <v>1964</v>
      </c>
      <c r="C3385" t="s">
        <v>2048</v>
      </c>
      <c r="D3385" t="s">
        <v>30</v>
      </c>
      <c r="E3385" t="s">
        <v>31</v>
      </c>
      <c r="F3385" t="s">
        <v>26</v>
      </c>
      <c r="G3385" t="s">
        <v>27</v>
      </c>
    </row>
    <row r="3386" spans="1:7" x14ac:dyDescent="0.2">
      <c r="A3386">
        <v>23</v>
      </c>
      <c r="B3386" t="s">
        <v>1964</v>
      </c>
      <c r="C3386" t="s">
        <v>1968</v>
      </c>
      <c r="D3386" t="s">
        <v>24</v>
      </c>
      <c r="E3386" t="s">
        <v>31</v>
      </c>
      <c r="F3386" t="s">
        <v>87</v>
      </c>
      <c r="G3386" t="s">
        <v>27</v>
      </c>
    </row>
    <row r="3387" spans="1:7" x14ac:dyDescent="0.2">
      <c r="A3387">
        <v>23</v>
      </c>
      <c r="B3387" t="s">
        <v>1964</v>
      </c>
      <c r="C3387" t="s">
        <v>2000</v>
      </c>
      <c r="D3387" t="s">
        <v>24</v>
      </c>
      <c r="E3387" t="s">
        <v>31</v>
      </c>
      <c r="F3387" t="s">
        <v>87</v>
      </c>
      <c r="G3387" t="s">
        <v>27</v>
      </c>
    </row>
    <row r="3388" spans="1:7" x14ac:dyDescent="0.2">
      <c r="A3388">
        <v>23</v>
      </c>
      <c r="B3388" t="s">
        <v>1964</v>
      </c>
      <c r="C3388" t="s">
        <v>2049</v>
      </c>
      <c r="D3388" t="s">
        <v>24</v>
      </c>
      <c r="E3388" t="s">
        <v>31</v>
      </c>
      <c r="F3388" t="s">
        <v>87</v>
      </c>
      <c r="G3388" t="s">
        <v>27</v>
      </c>
    </row>
    <row r="3389" spans="1:7" x14ac:dyDescent="0.2">
      <c r="A3389">
        <v>23</v>
      </c>
      <c r="B3389" t="s">
        <v>1964</v>
      </c>
      <c r="C3389" t="s">
        <v>1967</v>
      </c>
      <c r="D3389" t="s">
        <v>24</v>
      </c>
      <c r="E3389" t="s">
        <v>31</v>
      </c>
      <c r="F3389" t="s">
        <v>26</v>
      </c>
      <c r="G3389" t="s">
        <v>27</v>
      </c>
    </row>
    <row r="3390" spans="1:7" x14ac:dyDescent="0.2">
      <c r="A3390">
        <v>23</v>
      </c>
      <c r="B3390" t="s">
        <v>1964</v>
      </c>
      <c r="C3390" t="s">
        <v>1966</v>
      </c>
      <c r="D3390" t="s">
        <v>24</v>
      </c>
      <c r="E3390" t="s">
        <v>31</v>
      </c>
      <c r="F3390" t="s">
        <v>26</v>
      </c>
      <c r="G3390" t="s">
        <v>27</v>
      </c>
    </row>
  </sheetData>
  <autoFilter ref="A2:G3390" xr:uid="{00000000-0001-0000-2100-000000000000}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G66"/>
  <sheetViews>
    <sheetView workbookViewId="0"/>
  </sheetViews>
  <sheetFormatPr defaultRowHeight="12.75" x14ac:dyDescent="0.2"/>
  <cols>
    <col min="1" max="1" width="50"/>
    <col min="2" max="4" width="18"/>
    <col min="6" max="7" width="16"/>
  </cols>
  <sheetData>
    <row r="1" spans="1:7" ht="18.75" x14ac:dyDescent="0.3">
      <c r="A1" s="43" t="s">
        <v>2059</v>
      </c>
      <c r="F1" s="42" t="s">
        <v>7</v>
      </c>
      <c r="G1" s="42" t="s">
        <v>2060</v>
      </c>
    </row>
    <row r="2" spans="1:7" x14ac:dyDescent="0.2">
      <c r="A2" t="s">
        <v>2061</v>
      </c>
      <c r="F2">
        <v>8</v>
      </c>
      <c r="G2" s="45"/>
    </row>
    <row r="3" spans="1:7" x14ac:dyDescent="0.2">
      <c r="A3" t="s">
        <v>2062</v>
      </c>
      <c r="F3">
        <v>25</v>
      </c>
      <c r="G3" s="45"/>
    </row>
    <row r="4" spans="1:7" x14ac:dyDescent="0.2">
      <c r="A4" t="s">
        <v>2063</v>
      </c>
      <c r="F4">
        <v>26</v>
      </c>
      <c r="G4" s="45"/>
    </row>
    <row r="5" spans="1:7" x14ac:dyDescent="0.2">
      <c r="F5">
        <v>27</v>
      </c>
      <c r="G5" s="45"/>
    </row>
    <row r="6" spans="1:7" ht="18.75" x14ac:dyDescent="0.3">
      <c r="A6" s="43" t="s">
        <v>2064</v>
      </c>
      <c r="F6">
        <v>28</v>
      </c>
      <c r="G6" s="45"/>
    </row>
    <row r="7" spans="1:7" x14ac:dyDescent="0.2">
      <c r="A7" t="s">
        <v>2065</v>
      </c>
      <c r="C7">
        <f>COUNTA('CALC Combined'!$A$2:$A$1743)</f>
        <v>1742</v>
      </c>
      <c r="F7">
        <v>29</v>
      </c>
      <c r="G7" s="45"/>
    </row>
    <row r="8" spans="1:7" ht="15" x14ac:dyDescent="0.25">
      <c r="A8" s="44" t="s">
        <v>2066</v>
      </c>
      <c r="F8">
        <v>30</v>
      </c>
      <c r="G8" s="45"/>
    </row>
    <row r="9" spans="1:7" x14ac:dyDescent="0.2">
      <c r="A9" t="s">
        <v>2067</v>
      </c>
      <c r="C9" s="47">
        <f>AVERAGE('CALC Combined'!$T$2:$T$1743)</f>
        <v>1.3645235361653272</v>
      </c>
      <c r="D9" t="s">
        <v>2068</v>
      </c>
      <c r="F9">
        <v>31</v>
      </c>
      <c r="G9" s="45"/>
    </row>
    <row r="10" spans="1:7" x14ac:dyDescent="0.2">
      <c r="A10" t="s">
        <v>2069</v>
      </c>
      <c r="C10" s="47">
        <f>MEDIAN('CALC Combined'!$T$2:$T$1743)</f>
        <v>1</v>
      </c>
      <c r="D10" t="s">
        <v>2068</v>
      </c>
      <c r="F10">
        <v>32</v>
      </c>
      <c r="G10" s="45"/>
    </row>
    <row r="11" spans="1:7" ht="15" x14ac:dyDescent="0.25">
      <c r="A11" s="44" t="s">
        <v>2070</v>
      </c>
      <c r="F11">
        <v>33</v>
      </c>
      <c r="G11" s="45"/>
    </row>
    <row r="12" spans="1:7" x14ac:dyDescent="0.2">
      <c r="A12" t="s">
        <v>2071</v>
      </c>
      <c r="C12">
        <f>SUM('CALC Combined'!$U$2:$U$1743)</f>
        <v>0</v>
      </c>
      <c r="F12">
        <v>34</v>
      </c>
      <c r="G12" s="45"/>
    </row>
    <row r="13" spans="1:7" x14ac:dyDescent="0.2">
      <c r="A13" t="s">
        <v>2060</v>
      </c>
      <c r="C13">
        <f>SUM(G2:G34)</f>
        <v>0</v>
      </c>
      <c r="D13" t="s">
        <v>2072</v>
      </c>
      <c r="F13">
        <v>35</v>
      </c>
      <c r="G13" s="45"/>
    </row>
    <row r="14" spans="1:7" x14ac:dyDescent="0.2">
      <c r="A14" t="s">
        <v>2073</v>
      </c>
      <c r="C14" s="47" t="str">
        <f>IF($C$13=0,"",C12/C13)</f>
        <v/>
      </c>
      <c r="D14" t="s">
        <v>2074</v>
      </c>
      <c r="F14">
        <v>36</v>
      </c>
      <c r="G14" s="45"/>
    </row>
    <row r="15" spans="1:7" ht="15" x14ac:dyDescent="0.25">
      <c r="A15" s="44" t="s">
        <v>2075</v>
      </c>
      <c r="F15">
        <v>37</v>
      </c>
      <c r="G15" s="45"/>
    </row>
    <row r="16" spans="1:7" x14ac:dyDescent="0.2">
      <c r="A16" t="s">
        <v>2076</v>
      </c>
      <c r="C16" s="46">
        <f>COUNTIF('CALC Combined'!$T$2:$T$1743,17)/C7</f>
        <v>0</v>
      </c>
      <c r="F16">
        <v>38</v>
      </c>
      <c r="G16" s="45"/>
    </row>
    <row r="17" spans="1:7" x14ac:dyDescent="0.2">
      <c r="A17" t="s">
        <v>2077</v>
      </c>
      <c r="C17" s="46">
        <f>COUNTIF('CALC Combined'!$T$2:$T$1743,"&gt;=16")/C7</f>
        <v>0</v>
      </c>
      <c r="F17">
        <v>39</v>
      </c>
      <c r="G17" s="45"/>
    </row>
    <row r="18" spans="1:7" x14ac:dyDescent="0.2">
      <c r="A18" t="s">
        <v>2078</v>
      </c>
      <c r="C18" s="46">
        <f>COUNTIF('CALC Combined'!$T$2:$T$1743,"&gt;=12")/C7</f>
        <v>0</v>
      </c>
      <c r="F18">
        <v>41</v>
      </c>
      <c r="G18" s="45"/>
    </row>
    <row r="19" spans="1:7" x14ac:dyDescent="0.2">
      <c r="F19">
        <v>42</v>
      </c>
      <c r="G19" s="45"/>
    </row>
    <row r="20" spans="1:7" ht="18.75" x14ac:dyDescent="0.3">
      <c r="A20" s="43" t="s">
        <v>2079</v>
      </c>
      <c r="F20">
        <v>43</v>
      </c>
      <c r="G20" s="45"/>
    </row>
    <row r="21" spans="1:7" x14ac:dyDescent="0.2">
      <c r="A21" t="s">
        <v>2065</v>
      </c>
      <c r="C21">
        <f>COUNTA('CALC On-Street'!$A$2:$A$1675)</f>
        <v>1674</v>
      </c>
      <c r="F21">
        <v>44</v>
      </c>
      <c r="G21" s="45"/>
    </row>
    <row r="22" spans="1:7" ht="15" x14ac:dyDescent="0.25">
      <c r="A22" s="44" t="s">
        <v>2066</v>
      </c>
      <c r="F22">
        <v>45</v>
      </c>
      <c r="G22" s="45"/>
    </row>
    <row r="23" spans="1:7" x14ac:dyDescent="0.2">
      <c r="A23" t="s">
        <v>2067</v>
      </c>
      <c r="C23" s="47">
        <f>AVERAGE('CALC On-Street'!$T$2:$T$1675)</f>
        <v>1.3530465949820789</v>
      </c>
      <c r="D23" t="s">
        <v>2068</v>
      </c>
      <c r="F23">
        <v>46</v>
      </c>
      <c r="G23" s="45"/>
    </row>
    <row r="24" spans="1:7" x14ac:dyDescent="0.2">
      <c r="A24" t="s">
        <v>2069</v>
      </c>
      <c r="C24" s="47">
        <f>MEDIAN('CALC On-Street'!$T$2:$T$1675)</f>
        <v>1</v>
      </c>
      <c r="D24" t="s">
        <v>2068</v>
      </c>
      <c r="F24">
        <v>47</v>
      </c>
      <c r="G24" s="45"/>
    </row>
    <row r="25" spans="1:7" ht="15" x14ac:dyDescent="0.25">
      <c r="A25" s="44" t="s">
        <v>2070</v>
      </c>
      <c r="F25">
        <v>48</v>
      </c>
      <c r="G25" s="45"/>
    </row>
    <row r="26" spans="1:7" x14ac:dyDescent="0.2">
      <c r="A26" t="s">
        <v>2071</v>
      </c>
      <c r="C26">
        <f>SUM('CALC On-Street'!$U$2:$U$1675)</f>
        <v>0</v>
      </c>
      <c r="F26">
        <v>49</v>
      </c>
      <c r="G26" s="45"/>
    </row>
    <row r="27" spans="1:7" x14ac:dyDescent="0.2">
      <c r="A27" t="s">
        <v>2060</v>
      </c>
      <c r="C27">
        <f>SUM(G2:G33)</f>
        <v>0</v>
      </c>
      <c r="D27" t="s">
        <v>2072</v>
      </c>
      <c r="F27">
        <v>50</v>
      </c>
      <c r="G27" s="45"/>
    </row>
    <row r="28" spans="1:7" x14ac:dyDescent="0.2">
      <c r="A28" t="s">
        <v>2073</v>
      </c>
      <c r="C28" s="47" t="str">
        <f>IF($C$27=0,"",C26/C27)</f>
        <v/>
      </c>
      <c r="D28" t="s">
        <v>2074</v>
      </c>
      <c r="F28">
        <v>51</v>
      </c>
      <c r="G28" s="45"/>
    </row>
    <row r="29" spans="1:7" ht="15" x14ac:dyDescent="0.25">
      <c r="A29" s="44" t="s">
        <v>2075</v>
      </c>
      <c r="F29">
        <v>52</v>
      </c>
      <c r="G29" s="45"/>
    </row>
    <row r="30" spans="1:7" x14ac:dyDescent="0.2">
      <c r="A30" t="s">
        <v>2076</v>
      </c>
      <c r="C30" s="46">
        <f>COUNTIF('CALC On-Street'!$T$2:$T$1675,17)/C21</f>
        <v>0</v>
      </c>
      <c r="F30">
        <v>53</v>
      </c>
      <c r="G30" s="45"/>
    </row>
    <row r="31" spans="1:7" x14ac:dyDescent="0.2">
      <c r="A31" t="s">
        <v>2077</v>
      </c>
      <c r="C31" s="46">
        <f>COUNTIF('CALC On-Street'!$T$2:$T$1675,"&gt;=16")/C21</f>
        <v>0</v>
      </c>
      <c r="F31">
        <v>54</v>
      </c>
      <c r="G31" s="45"/>
    </row>
    <row r="32" spans="1:7" x14ac:dyDescent="0.2">
      <c r="A32" t="s">
        <v>2078</v>
      </c>
      <c r="C32" s="46">
        <f>COUNTIF('CALC On-Street'!$T$2:$T$1675,"&gt;=12")/C21</f>
        <v>0</v>
      </c>
      <c r="F32">
        <v>55</v>
      </c>
      <c r="G32" s="45"/>
    </row>
    <row r="33" spans="1:7" x14ac:dyDescent="0.2">
      <c r="F33">
        <v>56</v>
      </c>
      <c r="G33" s="45"/>
    </row>
    <row r="34" spans="1:7" ht="18.75" x14ac:dyDescent="0.3">
      <c r="A34" s="43" t="s">
        <v>2080</v>
      </c>
      <c r="F34" t="s">
        <v>1964</v>
      </c>
      <c r="G34" s="45"/>
    </row>
    <row r="35" spans="1:7" x14ac:dyDescent="0.2">
      <c r="A35" t="s">
        <v>2065</v>
      </c>
      <c r="C35">
        <f>COUNTA('CALC Off-Street'!$A$2:$A$71)</f>
        <v>70</v>
      </c>
    </row>
    <row r="36" spans="1:7" ht="15" x14ac:dyDescent="0.25">
      <c r="A36" s="44" t="s">
        <v>2066</v>
      </c>
    </row>
    <row r="37" spans="1:7" x14ac:dyDescent="0.2">
      <c r="A37" t="s">
        <v>2067</v>
      </c>
      <c r="C37" s="47">
        <f>AVERAGE('CALC Off-Street'!$T$2:$T$71)</f>
        <v>1.6</v>
      </c>
      <c r="D37" t="s">
        <v>2068</v>
      </c>
    </row>
    <row r="38" spans="1:7" x14ac:dyDescent="0.2">
      <c r="A38" t="s">
        <v>2069</v>
      </c>
      <c r="C38" s="47">
        <f>MEDIAN('CALC Off-Street'!$T$2:$T$71)</f>
        <v>1</v>
      </c>
      <c r="D38" t="s">
        <v>2068</v>
      </c>
    </row>
    <row r="39" spans="1:7" ht="15" x14ac:dyDescent="0.25">
      <c r="A39" s="44" t="s">
        <v>2070</v>
      </c>
    </row>
    <row r="40" spans="1:7" x14ac:dyDescent="0.2">
      <c r="A40" t="s">
        <v>2071</v>
      </c>
      <c r="C40">
        <f>SUM('CALC Off-Street'!$U$2:$U$71)</f>
        <v>0</v>
      </c>
    </row>
    <row r="41" spans="1:7" x14ac:dyDescent="0.2">
      <c r="A41" t="s">
        <v>2060</v>
      </c>
      <c r="C41">
        <f>G34</f>
        <v>0</v>
      </c>
      <c r="D41" t="s">
        <v>2072</v>
      </c>
    </row>
    <row r="42" spans="1:7" x14ac:dyDescent="0.2">
      <c r="A42" t="s">
        <v>2073</v>
      </c>
      <c r="C42" s="47" t="str">
        <f>IF($C$41=0,"",C40/C41)</f>
        <v/>
      </c>
      <c r="D42" t="s">
        <v>2074</v>
      </c>
    </row>
    <row r="43" spans="1:7" ht="15" x14ac:dyDescent="0.25">
      <c r="A43" s="44" t="s">
        <v>2075</v>
      </c>
    </row>
    <row r="44" spans="1:7" x14ac:dyDescent="0.2">
      <c r="A44" t="s">
        <v>2076</v>
      </c>
      <c r="C44" s="46">
        <f>COUNTIF('CALC Off-Street'!$T$2:$T$71,17)/C35</f>
        <v>0</v>
      </c>
    </row>
    <row r="45" spans="1:7" x14ac:dyDescent="0.2">
      <c r="A45" t="s">
        <v>2077</v>
      </c>
      <c r="C45" s="46">
        <f>COUNTIF('CALC Off-Street'!$T$2:$T$71,"&gt;=16")/C35</f>
        <v>0</v>
      </c>
    </row>
    <row r="46" spans="1:7" x14ac:dyDescent="0.2">
      <c r="A46" t="s">
        <v>2078</v>
      </c>
      <c r="C46" s="46">
        <f>COUNTIF('CALC Off-Street'!$T$2:$T$71,"&gt;=12")/C35</f>
        <v>0</v>
      </c>
    </row>
    <row r="48" spans="1:7" ht="15" x14ac:dyDescent="0.25">
      <c r="A48" s="44" t="s">
        <v>2081</v>
      </c>
    </row>
    <row r="49" spans="1:4" ht="15" x14ac:dyDescent="0.25">
      <c r="A49" s="42" t="s">
        <v>2082</v>
      </c>
      <c r="B49" s="42" t="s">
        <v>2083</v>
      </c>
      <c r="C49" s="42" t="s">
        <v>2084</v>
      </c>
      <c r="D49" s="42" t="s">
        <v>2085</v>
      </c>
    </row>
    <row r="50" spans="1:4" x14ac:dyDescent="0.2">
      <c r="A50">
        <v>1</v>
      </c>
      <c r="B50">
        <f>COUNTIF('CALC Combined'!$T$2:$T$1743,1)</f>
        <v>1340</v>
      </c>
      <c r="C50">
        <f>COUNTIF('CALC On-Street'!$T$2:$T$1675,1)</f>
        <v>1295</v>
      </c>
      <c r="D50">
        <f>COUNTIF('CALC Off-Street'!$T$2:$T$71,1)</f>
        <v>49</v>
      </c>
    </row>
    <row r="51" spans="1:4" x14ac:dyDescent="0.2">
      <c r="A51">
        <v>2</v>
      </c>
      <c r="B51">
        <f>COUNTIF('CALC Combined'!$T$2:$T$1743,2)</f>
        <v>239</v>
      </c>
      <c r="C51">
        <f>COUNTIF('CALC On-Street'!$T$2:$T$1675,2)</f>
        <v>227</v>
      </c>
      <c r="D51">
        <f>COUNTIF('CALC Off-Street'!$T$2:$T$71,2)</f>
        <v>10</v>
      </c>
    </row>
    <row r="52" spans="1:4" x14ac:dyDescent="0.2">
      <c r="A52">
        <v>3</v>
      </c>
      <c r="B52">
        <f>COUNTIF('CALC Combined'!$T$2:$T$1743,3)</f>
        <v>100</v>
      </c>
      <c r="C52">
        <f>COUNTIF('CALC On-Street'!$T$2:$T$1675,3)</f>
        <v>96</v>
      </c>
      <c r="D52">
        <f>COUNTIF('CALC Off-Street'!$T$2:$T$71,3)</f>
        <v>4</v>
      </c>
    </row>
    <row r="53" spans="1:4" x14ac:dyDescent="0.2">
      <c r="A53">
        <v>4</v>
      </c>
      <c r="B53">
        <f>COUNTIF('CALC Combined'!$T$2:$T$1743,4)</f>
        <v>46</v>
      </c>
      <c r="C53">
        <f>COUNTIF('CALC On-Street'!$T$2:$T$1675,4)</f>
        <v>41</v>
      </c>
      <c r="D53">
        <f>COUNTIF('CALC Off-Street'!$T$2:$T$71,4)</f>
        <v>5</v>
      </c>
    </row>
    <row r="54" spans="1:4" x14ac:dyDescent="0.2">
      <c r="A54">
        <v>5</v>
      </c>
      <c r="B54">
        <f>COUNTIF('CALC Combined'!$T$2:$T$1743,5)</f>
        <v>10</v>
      </c>
      <c r="C54">
        <f>COUNTIF('CALC On-Street'!$T$2:$T$1675,5)</f>
        <v>9</v>
      </c>
      <c r="D54">
        <f>COUNTIF('CALC Off-Street'!$T$2:$T$71,5)</f>
        <v>1</v>
      </c>
    </row>
    <row r="55" spans="1:4" x14ac:dyDescent="0.2">
      <c r="A55">
        <v>6</v>
      </c>
      <c r="B55">
        <f>COUNTIF('CALC Combined'!$T$2:$T$1743,6)</f>
        <v>3</v>
      </c>
      <c r="C55">
        <f>COUNTIF('CALC On-Street'!$T$2:$T$1675,6)</f>
        <v>2</v>
      </c>
      <c r="D55">
        <f>COUNTIF('CALC Off-Street'!$T$2:$T$71,6)</f>
        <v>1</v>
      </c>
    </row>
    <row r="56" spans="1:4" x14ac:dyDescent="0.2">
      <c r="A56">
        <v>7</v>
      </c>
      <c r="B56">
        <f>COUNTIF('CALC Combined'!$T$2:$T$1743,7)</f>
        <v>1</v>
      </c>
      <c r="C56">
        <f>COUNTIF('CALC On-Street'!$T$2:$T$1675,7)</f>
        <v>1</v>
      </c>
      <c r="D56">
        <f>COUNTIF('CALC Off-Street'!$T$2:$T$71,7)</f>
        <v>0</v>
      </c>
    </row>
    <row r="57" spans="1:4" x14ac:dyDescent="0.2">
      <c r="A57">
        <v>8</v>
      </c>
      <c r="B57">
        <f>COUNTIF('CALC Combined'!$T$2:$T$1743,8)</f>
        <v>0</v>
      </c>
      <c r="C57">
        <f>COUNTIF('CALC On-Street'!$T$2:$T$1675,8)</f>
        <v>0</v>
      </c>
      <c r="D57">
        <f>COUNTIF('CALC Off-Street'!$T$2:$T$71,8)</f>
        <v>0</v>
      </c>
    </row>
    <row r="58" spans="1:4" x14ac:dyDescent="0.2">
      <c r="A58">
        <v>9</v>
      </c>
      <c r="B58">
        <f>COUNTIF('CALC Combined'!$T$2:$T$1743,9)</f>
        <v>0</v>
      </c>
      <c r="C58">
        <f>COUNTIF('CALC On-Street'!$T$2:$T$1675,9)</f>
        <v>0</v>
      </c>
      <c r="D58">
        <f>COUNTIF('CALC Off-Street'!$T$2:$T$71,9)</f>
        <v>0</v>
      </c>
    </row>
    <row r="59" spans="1:4" x14ac:dyDescent="0.2">
      <c r="A59">
        <v>10</v>
      </c>
      <c r="B59">
        <f>COUNTIF('CALC Combined'!$T$2:$T$1743,10)</f>
        <v>0</v>
      </c>
      <c r="C59">
        <f>COUNTIF('CALC On-Street'!$T$2:$T$1675,10)</f>
        <v>0</v>
      </c>
      <c r="D59">
        <f>COUNTIF('CALC Off-Street'!$T$2:$T$71,10)</f>
        <v>0</v>
      </c>
    </row>
    <row r="60" spans="1:4" x14ac:dyDescent="0.2">
      <c r="A60">
        <v>11</v>
      </c>
      <c r="B60">
        <f>COUNTIF('CALC Combined'!$T$2:$T$1743,11)</f>
        <v>0</v>
      </c>
      <c r="C60">
        <f>COUNTIF('CALC On-Street'!$T$2:$T$1675,11)</f>
        <v>0</v>
      </c>
      <c r="D60">
        <f>COUNTIF('CALC Off-Street'!$T$2:$T$71,11)</f>
        <v>0</v>
      </c>
    </row>
    <row r="61" spans="1:4" x14ac:dyDescent="0.2">
      <c r="A61">
        <v>12</v>
      </c>
      <c r="B61">
        <f>COUNTIF('CALC Combined'!$T$2:$T$1743,12)</f>
        <v>0</v>
      </c>
      <c r="C61">
        <f>COUNTIF('CALC On-Street'!$T$2:$T$1675,12)</f>
        <v>0</v>
      </c>
      <c r="D61">
        <f>COUNTIF('CALC Off-Street'!$T$2:$T$71,12)</f>
        <v>0</v>
      </c>
    </row>
    <row r="62" spans="1:4" x14ac:dyDescent="0.2">
      <c r="A62">
        <v>13</v>
      </c>
      <c r="B62">
        <f>COUNTIF('CALC Combined'!$T$2:$T$1743,13)</f>
        <v>0</v>
      </c>
      <c r="C62">
        <f>COUNTIF('CALC On-Street'!$T$2:$T$1675,13)</f>
        <v>0</v>
      </c>
      <c r="D62">
        <f>COUNTIF('CALC Off-Street'!$T$2:$T$71,13)</f>
        <v>0</v>
      </c>
    </row>
    <row r="63" spans="1:4" x14ac:dyDescent="0.2">
      <c r="A63">
        <v>14</v>
      </c>
      <c r="B63">
        <f>COUNTIF('CALC Combined'!$T$2:$T$1743,14)</f>
        <v>0</v>
      </c>
      <c r="C63">
        <f>COUNTIF('CALC On-Street'!$T$2:$T$1675,14)</f>
        <v>0</v>
      </c>
      <c r="D63">
        <f>COUNTIF('CALC Off-Street'!$T$2:$T$71,14)</f>
        <v>0</v>
      </c>
    </row>
    <row r="64" spans="1:4" x14ac:dyDescent="0.2">
      <c r="A64">
        <v>15</v>
      </c>
      <c r="B64">
        <f>COUNTIF('CALC Combined'!$T$2:$T$1743,15)</f>
        <v>0</v>
      </c>
      <c r="C64">
        <f>COUNTIF('CALC On-Street'!$T$2:$T$1675,15)</f>
        <v>0</v>
      </c>
      <c r="D64">
        <f>COUNTIF('CALC Off-Street'!$T$2:$T$71,15)</f>
        <v>0</v>
      </c>
    </row>
    <row r="65" spans="1:4" x14ac:dyDescent="0.2">
      <c r="A65">
        <v>16</v>
      </c>
      <c r="B65">
        <f>COUNTIF('CALC Combined'!$T$2:$T$1743,16)</f>
        <v>0</v>
      </c>
      <c r="C65">
        <f>COUNTIF('CALC On-Street'!$T$2:$T$1675,16)</f>
        <v>0</v>
      </c>
      <c r="D65">
        <f>COUNTIF('CALC Off-Street'!$T$2:$T$71,16)</f>
        <v>0</v>
      </c>
    </row>
    <row r="66" spans="1:4" x14ac:dyDescent="0.2">
      <c r="A66">
        <v>17</v>
      </c>
      <c r="B66">
        <f>COUNTIF('CALC Combined'!$T$2:$T$1743,17)</f>
        <v>0</v>
      </c>
      <c r="C66">
        <f>COUNTIF('CALC On-Street'!$T$2:$T$1675,17)</f>
        <v>0</v>
      </c>
      <c r="D66">
        <f>COUNTIF('CALC Off-Street'!$T$2:$T$71,17)</f>
        <v>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T1743"/>
  <sheetViews>
    <sheetView workbookViewId="0"/>
  </sheetViews>
  <sheetFormatPr defaultRowHeight="12.75" x14ac:dyDescent="0.2"/>
  <sheetData>
    <row r="1" spans="1:20" ht="15" x14ac:dyDescent="0.25">
      <c r="A1" s="42" t="s">
        <v>8</v>
      </c>
      <c r="B1" s="42">
        <v>7</v>
      </c>
      <c r="C1" s="42">
        <v>8</v>
      </c>
      <c r="D1" s="42">
        <v>9</v>
      </c>
      <c r="E1" s="42">
        <v>10</v>
      </c>
      <c r="F1" s="42">
        <v>11</v>
      </c>
      <c r="G1" s="42">
        <v>12</v>
      </c>
      <c r="H1" s="42">
        <v>13</v>
      </c>
      <c r="I1" s="42">
        <v>14</v>
      </c>
      <c r="J1" s="42">
        <v>15</v>
      </c>
      <c r="K1" s="42">
        <v>16</v>
      </c>
      <c r="L1" s="42">
        <v>17</v>
      </c>
      <c r="M1" s="42">
        <v>18</v>
      </c>
      <c r="N1" s="42">
        <v>19</v>
      </c>
      <c r="O1" s="42">
        <v>20</v>
      </c>
      <c r="P1" s="42">
        <v>21</v>
      </c>
      <c r="Q1" s="42">
        <v>22</v>
      </c>
      <c r="R1" s="42">
        <v>23</v>
      </c>
      <c r="S1" s="42" t="s">
        <v>2082</v>
      </c>
      <c r="T1" s="42" t="s">
        <v>2071</v>
      </c>
    </row>
    <row r="2" spans="1:20" x14ac:dyDescent="0.2">
      <c r="A2" t="s">
        <v>23</v>
      </c>
      <c r="B2">
        <f>IF(COUNTIFS('United Data'!$A$3:$A$3390,B$1,'United Data'!$C$3:$C$3390,$A2)&gt;0,1,0)</f>
        <v>0</v>
      </c>
      <c r="C2">
        <f>IF(COUNTIFS('United Data'!$A$3:$A$3390,C$1,'United Data'!$C$3:$C$3390,$A2)&gt;0,1,0)</f>
        <v>1</v>
      </c>
      <c r="D2">
        <f>IF(COUNTIFS('United Data'!$A$3:$A$3390,D$1,'United Data'!$C$3:$C$3390,$A2)&gt;0,1,0)</f>
        <v>0</v>
      </c>
      <c r="E2">
        <f>IF(COUNTIFS('United Data'!$A$3:$A$3390,E$1,'United Data'!$C$3:$C$3390,$A2)&gt;0,1,0)</f>
        <v>0</v>
      </c>
      <c r="F2">
        <f>IF(COUNTIFS('United Data'!$A$3:$A$3390,F$1,'United Data'!$C$3:$C$3390,$A2)&gt;0,1,0)</f>
        <v>0</v>
      </c>
      <c r="G2">
        <f>IF(COUNTIFS('United Data'!$A$3:$A$3390,G$1,'United Data'!$C$3:$C$3390,$A2)&gt;0,1,0)</f>
        <v>0</v>
      </c>
      <c r="H2">
        <f>IF(COUNTIFS('United Data'!$A$3:$A$3390,H$1,'United Data'!$C$3:$C$3390,$A2)&gt;0,1,0)</f>
        <v>0</v>
      </c>
      <c r="I2">
        <f>IF(COUNTIFS('United Data'!$A$3:$A$3390,I$1,'United Data'!$C$3:$C$3390,$A2)&gt;0,1,0)</f>
        <v>0</v>
      </c>
      <c r="J2">
        <f>IF(COUNTIFS('United Data'!$A$3:$A$3390,J$1,'United Data'!$C$3:$C$3390,$A2)&gt;0,1,0)</f>
        <v>0</v>
      </c>
      <c r="K2">
        <f>IF(COUNTIFS('United Data'!$A$3:$A$3390,K$1,'United Data'!$C$3:$C$3390,$A2)&gt;0,1,0)</f>
        <v>0</v>
      </c>
      <c r="L2">
        <f>IF(COUNTIFS('United Data'!$A$3:$A$3390,L$1,'United Data'!$C$3:$C$3390,$A2)&gt;0,1,0)</f>
        <v>0</v>
      </c>
      <c r="M2">
        <f>IF(COUNTIFS('United Data'!$A$3:$A$3390,M$1,'United Data'!$C$3:$C$3390,$A2)&gt;0,1,0)</f>
        <v>0</v>
      </c>
      <c r="N2">
        <f>IF(COUNTIFS('United Data'!$A$3:$A$3390,N$1,'United Data'!$C$3:$C$3390,$A2)&gt;0,1,0)</f>
        <v>0</v>
      </c>
      <c r="O2">
        <f>IF(COUNTIFS('United Data'!$A$3:$A$3390,O$1,'United Data'!$C$3:$C$3390,$A2)&gt;0,1,0)</f>
        <v>0</v>
      </c>
      <c r="P2">
        <f>IF(COUNTIFS('United Data'!$A$3:$A$3390,P$1,'United Data'!$C$3:$C$3390,$A2)&gt;0,1,0)</f>
        <v>0</v>
      </c>
      <c r="Q2">
        <f>IF(COUNTIFS('United Data'!$A$3:$A$3390,Q$1,'United Data'!$C$3:$C$3390,$A2)&gt;0,1,0)</f>
        <v>0</v>
      </c>
      <c r="R2">
        <f>IF(COUNTIFS('United Data'!$A$3:$A$3390,R$1,'United Data'!$C$3:$C$3390,$A2)&gt;0,1,0)</f>
        <v>0</v>
      </c>
      <c r="S2">
        <f t="shared" ref="S2:S65" si="0">SUM(B2:R2)</f>
        <v>1</v>
      </c>
      <c r="T2">
        <f t="shared" ref="T2:T65" si="1">B2+SUMPRODUCT(--(C2:R2&gt;B2:Q2))</f>
        <v>1</v>
      </c>
    </row>
    <row r="3" spans="1:20" x14ac:dyDescent="0.2">
      <c r="A3" t="s">
        <v>29</v>
      </c>
      <c r="B3">
        <f>IF(COUNTIFS('United Data'!$A$3:$A$3390,B$1,'United Data'!$C$3:$C$3390,$A3)&gt;0,1,0)</f>
        <v>0</v>
      </c>
      <c r="C3">
        <f>IF(COUNTIFS('United Data'!$A$3:$A$3390,C$1,'United Data'!$C$3:$C$3390,$A3)&gt;0,1,0)</f>
        <v>0</v>
      </c>
      <c r="D3">
        <f>IF(COUNTIFS('United Data'!$A$3:$A$3390,D$1,'United Data'!$C$3:$C$3390,$A3)&gt;0,1,0)</f>
        <v>1</v>
      </c>
      <c r="E3">
        <f>IF(COUNTIFS('United Data'!$A$3:$A$3390,E$1,'United Data'!$C$3:$C$3390,$A3)&gt;0,1,0)</f>
        <v>0</v>
      </c>
      <c r="F3">
        <f>IF(COUNTIFS('United Data'!$A$3:$A$3390,F$1,'United Data'!$C$3:$C$3390,$A3)&gt;0,1,0)</f>
        <v>0</v>
      </c>
      <c r="G3">
        <f>IF(COUNTIFS('United Data'!$A$3:$A$3390,G$1,'United Data'!$C$3:$C$3390,$A3)&gt;0,1,0)</f>
        <v>0</v>
      </c>
      <c r="H3">
        <f>IF(COUNTIFS('United Data'!$A$3:$A$3390,H$1,'United Data'!$C$3:$C$3390,$A3)&gt;0,1,0)</f>
        <v>0</v>
      </c>
      <c r="I3">
        <f>IF(COUNTIFS('United Data'!$A$3:$A$3390,I$1,'United Data'!$C$3:$C$3390,$A3)&gt;0,1,0)</f>
        <v>0</v>
      </c>
      <c r="J3">
        <f>IF(COUNTIFS('United Data'!$A$3:$A$3390,J$1,'United Data'!$C$3:$C$3390,$A3)&gt;0,1,0)</f>
        <v>0</v>
      </c>
      <c r="K3">
        <f>IF(COUNTIFS('United Data'!$A$3:$A$3390,K$1,'United Data'!$C$3:$C$3390,$A3)&gt;0,1,0)</f>
        <v>0</v>
      </c>
      <c r="L3">
        <f>IF(COUNTIFS('United Data'!$A$3:$A$3390,L$1,'United Data'!$C$3:$C$3390,$A3)&gt;0,1,0)</f>
        <v>0</v>
      </c>
      <c r="M3">
        <f>IF(COUNTIFS('United Data'!$A$3:$A$3390,M$1,'United Data'!$C$3:$C$3390,$A3)&gt;0,1,0)</f>
        <v>0</v>
      </c>
      <c r="N3">
        <f>IF(COUNTIFS('United Data'!$A$3:$A$3390,N$1,'United Data'!$C$3:$C$3390,$A3)&gt;0,1,0)</f>
        <v>0</v>
      </c>
      <c r="O3">
        <f>IF(COUNTIFS('United Data'!$A$3:$A$3390,O$1,'United Data'!$C$3:$C$3390,$A3)&gt;0,1,0)</f>
        <v>0</v>
      </c>
      <c r="P3">
        <f>IF(COUNTIFS('United Data'!$A$3:$A$3390,P$1,'United Data'!$C$3:$C$3390,$A3)&gt;0,1,0)</f>
        <v>0</v>
      </c>
      <c r="Q3">
        <f>IF(COUNTIFS('United Data'!$A$3:$A$3390,Q$1,'United Data'!$C$3:$C$3390,$A3)&gt;0,1,0)</f>
        <v>0</v>
      </c>
      <c r="R3">
        <f>IF(COUNTIFS('United Data'!$A$3:$A$3390,R$1,'United Data'!$C$3:$C$3390,$A3)&gt;0,1,0)</f>
        <v>0</v>
      </c>
      <c r="S3">
        <f t="shared" si="0"/>
        <v>1</v>
      </c>
      <c r="T3">
        <f t="shared" si="1"/>
        <v>1</v>
      </c>
    </row>
    <row r="4" spans="1:20" x14ac:dyDescent="0.2">
      <c r="A4" t="s">
        <v>32</v>
      </c>
      <c r="B4">
        <f>IF(COUNTIFS('United Data'!$A$3:$A$3390,B$1,'United Data'!$C$3:$C$3390,$A4)&gt;0,1,0)</f>
        <v>0</v>
      </c>
      <c r="C4">
        <f>IF(COUNTIFS('United Data'!$A$3:$A$3390,C$1,'United Data'!$C$3:$C$3390,$A4)&gt;0,1,0)</f>
        <v>0</v>
      </c>
      <c r="D4">
        <f>IF(COUNTIFS('United Data'!$A$3:$A$3390,D$1,'United Data'!$C$3:$C$3390,$A4)&gt;0,1,0)</f>
        <v>1</v>
      </c>
      <c r="E4">
        <f>IF(COUNTIFS('United Data'!$A$3:$A$3390,E$1,'United Data'!$C$3:$C$3390,$A4)&gt;0,1,0)</f>
        <v>1</v>
      </c>
      <c r="F4">
        <f>IF(COUNTIFS('United Data'!$A$3:$A$3390,F$1,'United Data'!$C$3:$C$3390,$A4)&gt;0,1,0)</f>
        <v>0</v>
      </c>
      <c r="G4">
        <f>IF(COUNTIFS('United Data'!$A$3:$A$3390,G$1,'United Data'!$C$3:$C$3390,$A4)&gt;0,1,0)</f>
        <v>0</v>
      </c>
      <c r="H4">
        <f>IF(COUNTIFS('United Data'!$A$3:$A$3390,H$1,'United Data'!$C$3:$C$3390,$A4)&gt;0,1,0)</f>
        <v>0</v>
      </c>
      <c r="I4">
        <f>IF(COUNTIFS('United Data'!$A$3:$A$3390,I$1,'United Data'!$C$3:$C$3390,$A4)&gt;0,1,0)</f>
        <v>0</v>
      </c>
      <c r="J4">
        <f>IF(COUNTIFS('United Data'!$A$3:$A$3390,J$1,'United Data'!$C$3:$C$3390,$A4)&gt;0,1,0)</f>
        <v>0</v>
      </c>
      <c r="K4">
        <f>IF(COUNTIFS('United Data'!$A$3:$A$3390,K$1,'United Data'!$C$3:$C$3390,$A4)&gt;0,1,0)</f>
        <v>0</v>
      </c>
      <c r="L4">
        <f>IF(COUNTIFS('United Data'!$A$3:$A$3390,L$1,'United Data'!$C$3:$C$3390,$A4)&gt;0,1,0)</f>
        <v>0</v>
      </c>
      <c r="M4">
        <f>IF(COUNTIFS('United Data'!$A$3:$A$3390,M$1,'United Data'!$C$3:$C$3390,$A4)&gt;0,1,0)</f>
        <v>0</v>
      </c>
      <c r="N4">
        <f>IF(COUNTIFS('United Data'!$A$3:$A$3390,N$1,'United Data'!$C$3:$C$3390,$A4)&gt;0,1,0)</f>
        <v>0</v>
      </c>
      <c r="O4">
        <f>IF(COUNTIFS('United Data'!$A$3:$A$3390,O$1,'United Data'!$C$3:$C$3390,$A4)&gt;0,1,0)</f>
        <v>0</v>
      </c>
      <c r="P4">
        <f>IF(COUNTIFS('United Data'!$A$3:$A$3390,P$1,'United Data'!$C$3:$C$3390,$A4)&gt;0,1,0)</f>
        <v>0</v>
      </c>
      <c r="Q4">
        <f>IF(COUNTIFS('United Data'!$A$3:$A$3390,Q$1,'United Data'!$C$3:$C$3390,$A4)&gt;0,1,0)</f>
        <v>0</v>
      </c>
      <c r="R4">
        <f>IF(COUNTIFS('United Data'!$A$3:$A$3390,R$1,'United Data'!$C$3:$C$3390,$A4)&gt;0,1,0)</f>
        <v>0</v>
      </c>
      <c r="S4">
        <f t="shared" si="0"/>
        <v>2</v>
      </c>
      <c r="T4">
        <f t="shared" si="1"/>
        <v>1</v>
      </c>
    </row>
    <row r="5" spans="1:20" x14ac:dyDescent="0.2">
      <c r="A5" t="s">
        <v>34</v>
      </c>
      <c r="B5">
        <f>IF(COUNTIFS('United Data'!$A$3:$A$3390,B$1,'United Data'!$C$3:$C$3390,$A5)&gt;0,1,0)</f>
        <v>0</v>
      </c>
      <c r="C5">
        <f>IF(COUNTIFS('United Data'!$A$3:$A$3390,C$1,'United Data'!$C$3:$C$3390,$A5)&gt;0,1,0)</f>
        <v>0</v>
      </c>
      <c r="D5">
        <f>IF(COUNTIFS('United Data'!$A$3:$A$3390,D$1,'United Data'!$C$3:$C$3390,$A5)&gt;0,1,0)</f>
        <v>0</v>
      </c>
      <c r="E5">
        <f>IF(COUNTIFS('United Data'!$A$3:$A$3390,E$1,'United Data'!$C$3:$C$3390,$A5)&gt;0,1,0)</f>
        <v>1</v>
      </c>
      <c r="F5">
        <f>IF(COUNTIFS('United Data'!$A$3:$A$3390,F$1,'United Data'!$C$3:$C$3390,$A5)&gt;0,1,0)</f>
        <v>0</v>
      </c>
      <c r="G5">
        <f>IF(COUNTIFS('United Data'!$A$3:$A$3390,G$1,'United Data'!$C$3:$C$3390,$A5)&gt;0,1,0)</f>
        <v>0</v>
      </c>
      <c r="H5">
        <f>IF(COUNTIFS('United Data'!$A$3:$A$3390,H$1,'United Data'!$C$3:$C$3390,$A5)&gt;0,1,0)</f>
        <v>0</v>
      </c>
      <c r="I5">
        <f>IF(COUNTIFS('United Data'!$A$3:$A$3390,I$1,'United Data'!$C$3:$C$3390,$A5)&gt;0,1,0)</f>
        <v>0</v>
      </c>
      <c r="J5">
        <f>IF(COUNTIFS('United Data'!$A$3:$A$3390,J$1,'United Data'!$C$3:$C$3390,$A5)&gt;0,1,0)</f>
        <v>0</v>
      </c>
      <c r="K5">
        <f>IF(COUNTIFS('United Data'!$A$3:$A$3390,K$1,'United Data'!$C$3:$C$3390,$A5)&gt;0,1,0)</f>
        <v>0</v>
      </c>
      <c r="L5">
        <f>IF(COUNTIFS('United Data'!$A$3:$A$3390,L$1,'United Data'!$C$3:$C$3390,$A5)&gt;0,1,0)</f>
        <v>0</v>
      </c>
      <c r="M5">
        <f>IF(COUNTIFS('United Data'!$A$3:$A$3390,M$1,'United Data'!$C$3:$C$3390,$A5)&gt;0,1,0)</f>
        <v>0</v>
      </c>
      <c r="N5">
        <f>IF(COUNTIFS('United Data'!$A$3:$A$3390,N$1,'United Data'!$C$3:$C$3390,$A5)&gt;0,1,0)</f>
        <v>0</v>
      </c>
      <c r="O5">
        <f>IF(COUNTIFS('United Data'!$A$3:$A$3390,O$1,'United Data'!$C$3:$C$3390,$A5)&gt;0,1,0)</f>
        <v>0</v>
      </c>
      <c r="P5">
        <f>IF(COUNTIFS('United Data'!$A$3:$A$3390,P$1,'United Data'!$C$3:$C$3390,$A5)&gt;0,1,0)</f>
        <v>0</v>
      </c>
      <c r="Q5">
        <f>IF(COUNTIFS('United Data'!$A$3:$A$3390,Q$1,'United Data'!$C$3:$C$3390,$A5)&gt;0,1,0)</f>
        <v>0</v>
      </c>
      <c r="R5">
        <f>IF(COUNTIFS('United Data'!$A$3:$A$3390,R$1,'United Data'!$C$3:$C$3390,$A5)&gt;0,1,0)</f>
        <v>0</v>
      </c>
      <c r="S5">
        <f t="shared" si="0"/>
        <v>1</v>
      </c>
      <c r="T5">
        <f t="shared" si="1"/>
        <v>1</v>
      </c>
    </row>
    <row r="6" spans="1:20" x14ac:dyDescent="0.2">
      <c r="A6" t="s">
        <v>35</v>
      </c>
      <c r="B6">
        <f>IF(COUNTIFS('United Data'!$A$3:$A$3390,B$1,'United Data'!$C$3:$C$3390,$A6)&gt;0,1,0)</f>
        <v>0</v>
      </c>
      <c r="C6">
        <f>IF(COUNTIFS('United Data'!$A$3:$A$3390,C$1,'United Data'!$C$3:$C$3390,$A6)&gt;0,1,0)</f>
        <v>0</v>
      </c>
      <c r="D6">
        <f>IF(COUNTIFS('United Data'!$A$3:$A$3390,D$1,'United Data'!$C$3:$C$3390,$A6)&gt;0,1,0)</f>
        <v>0</v>
      </c>
      <c r="E6">
        <f>IF(COUNTIFS('United Data'!$A$3:$A$3390,E$1,'United Data'!$C$3:$C$3390,$A6)&gt;0,1,0)</f>
        <v>1</v>
      </c>
      <c r="F6">
        <f>IF(COUNTIFS('United Data'!$A$3:$A$3390,F$1,'United Data'!$C$3:$C$3390,$A6)&gt;0,1,0)</f>
        <v>0</v>
      </c>
      <c r="G6">
        <f>IF(COUNTIFS('United Data'!$A$3:$A$3390,G$1,'United Data'!$C$3:$C$3390,$A6)&gt;0,1,0)</f>
        <v>0</v>
      </c>
      <c r="H6">
        <f>IF(COUNTIFS('United Data'!$A$3:$A$3390,H$1,'United Data'!$C$3:$C$3390,$A6)&gt;0,1,0)</f>
        <v>0</v>
      </c>
      <c r="I6">
        <f>IF(COUNTIFS('United Data'!$A$3:$A$3390,I$1,'United Data'!$C$3:$C$3390,$A6)&gt;0,1,0)</f>
        <v>0</v>
      </c>
      <c r="J6">
        <f>IF(COUNTIFS('United Data'!$A$3:$A$3390,J$1,'United Data'!$C$3:$C$3390,$A6)&gt;0,1,0)</f>
        <v>0</v>
      </c>
      <c r="K6">
        <f>IF(COUNTIFS('United Data'!$A$3:$A$3390,K$1,'United Data'!$C$3:$C$3390,$A6)&gt;0,1,0)</f>
        <v>0</v>
      </c>
      <c r="L6">
        <f>IF(COUNTIFS('United Data'!$A$3:$A$3390,L$1,'United Data'!$C$3:$C$3390,$A6)&gt;0,1,0)</f>
        <v>0</v>
      </c>
      <c r="M6">
        <f>IF(COUNTIFS('United Data'!$A$3:$A$3390,M$1,'United Data'!$C$3:$C$3390,$A6)&gt;0,1,0)</f>
        <v>0</v>
      </c>
      <c r="N6">
        <f>IF(COUNTIFS('United Data'!$A$3:$A$3390,N$1,'United Data'!$C$3:$C$3390,$A6)&gt;0,1,0)</f>
        <v>0</v>
      </c>
      <c r="O6">
        <f>IF(COUNTIFS('United Data'!$A$3:$A$3390,O$1,'United Data'!$C$3:$C$3390,$A6)&gt;0,1,0)</f>
        <v>0</v>
      </c>
      <c r="P6">
        <f>IF(COUNTIFS('United Data'!$A$3:$A$3390,P$1,'United Data'!$C$3:$C$3390,$A6)&gt;0,1,0)</f>
        <v>0</v>
      </c>
      <c r="Q6">
        <f>IF(COUNTIFS('United Data'!$A$3:$A$3390,Q$1,'United Data'!$C$3:$C$3390,$A6)&gt;0,1,0)</f>
        <v>0</v>
      </c>
      <c r="R6">
        <f>IF(COUNTIFS('United Data'!$A$3:$A$3390,R$1,'United Data'!$C$3:$C$3390,$A6)&gt;0,1,0)</f>
        <v>0</v>
      </c>
      <c r="S6">
        <f t="shared" si="0"/>
        <v>1</v>
      </c>
      <c r="T6">
        <f t="shared" si="1"/>
        <v>1</v>
      </c>
    </row>
    <row r="7" spans="1:20" x14ac:dyDescent="0.2">
      <c r="A7" t="s">
        <v>36</v>
      </c>
      <c r="B7">
        <f>IF(COUNTIFS('United Data'!$A$3:$A$3390,B$1,'United Data'!$C$3:$C$3390,$A7)&gt;0,1,0)</f>
        <v>0</v>
      </c>
      <c r="C7">
        <f>IF(COUNTIFS('United Data'!$A$3:$A$3390,C$1,'United Data'!$C$3:$C$3390,$A7)&gt;0,1,0)</f>
        <v>0</v>
      </c>
      <c r="D7">
        <f>IF(COUNTIFS('United Data'!$A$3:$A$3390,D$1,'United Data'!$C$3:$C$3390,$A7)&gt;0,1,0)</f>
        <v>0</v>
      </c>
      <c r="E7">
        <f>IF(COUNTIFS('United Data'!$A$3:$A$3390,E$1,'United Data'!$C$3:$C$3390,$A7)&gt;0,1,0)</f>
        <v>1</v>
      </c>
      <c r="F7">
        <f>IF(COUNTIFS('United Data'!$A$3:$A$3390,F$1,'United Data'!$C$3:$C$3390,$A7)&gt;0,1,0)</f>
        <v>0</v>
      </c>
      <c r="G7">
        <f>IF(COUNTIFS('United Data'!$A$3:$A$3390,G$1,'United Data'!$C$3:$C$3390,$A7)&gt;0,1,0)</f>
        <v>0</v>
      </c>
      <c r="H7">
        <f>IF(COUNTIFS('United Data'!$A$3:$A$3390,H$1,'United Data'!$C$3:$C$3390,$A7)&gt;0,1,0)</f>
        <v>0</v>
      </c>
      <c r="I7">
        <f>IF(COUNTIFS('United Data'!$A$3:$A$3390,I$1,'United Data'!$C$3:$C$3390,$A7)&gt;0,1,0)</f>
        <v>0</v>
      </c>
      <c r="J7">
        <f>IF(COUNTIFS('United Data'!$A$3:$A$3390,J$1,'United Data'!$C$3:$C$3390,$A7)&gt;0,1,0)</f>
        <v>0</v>
      </c>
      <c r="K7">
        <f>IF(COUNTIFS('United Data'!$A$3:$A$3390,K$1,'United Data'!$C$3:$C$3390,$A7)&gt;0,1,0)</f>
        <v>0</v>
      </c>
      <c r="L7">
        <f>IF(COUNTIFS('United Data'!$A$3:$A$3390,L$1,'United Data'!$C$3:$C$3390,$A7)&gt;0,1,0)</f>
        <v>0</v>
      </c>
      <c r="M7">
        <f>IF(COUNTIFS('United Data'!$A$3:$A$3390,M$1,'United Data'!$C$3:$C$3390,$A7)&gt;0,1,0)</f>
        <v>0</v>
      </c>
      <c r="N7">
        <f>IF(COUNTIFS('United Data'!$A$3:$A$3390,N$1,'United Data'!$C$3:$C$3390,$A7)&gt;0,1,0)</f>
        <v>0</v>
      </c>
      <c r="O7">
        <f>IF(COUNTIFS('United Data'!$A$3:$A$3390,O$1,'United Data'!$C$3:$C$3390,$A7)&gt;0,1,0)</f>
        <v>0</v>
      </c>
      <c r="P7">
        <f>IF(COUNTIFS('United Data'!$A$3:$A$3390,P$1,'United Data'!$C$3:$C$3390,$A7)&gt;0,1,0)</f>
        <v>0</v>
      </c>
      <c r="Q7">
        <f>IF(COUNTIFS('United Data'!$A$3:$A$3390,Q$1,'United Data'!$C$3:$C$3390,$A7)&gt;0,1,0)</f>
        <v>0</v>
      </c>
      <c r="R7">
        <f>IF(COUNTIFS('United Data'!$A$3:$A$3390,R$1,'United Data'!$C$3:$C$3390,$A7)&gt;0,1,0)</f>
        <v>0</v>
      </c>
      <c r="S7">
        <f t="shared" si="0"/>
        <v>1</v>
      </c>
      <c r="T7">
        <f t="shared" si="1"/>
        <v>1</v>
      </c>
    </row>
    <row r="8" spans="1:20" x14ac:dyDescent="0.2">
      <c r="A8" t="s">
        <v>37</v>
      </c>
      <c r="B8">
        <f>IF(COUNTIFS('United Data'!$A$3:$A$3390,B$1,'United Data'!$C$3:$C$3390,$A8)&gt;0,1,0)</f>
        <v>0</v>
      </c>
      <c r="C8">
        <f>IF(COUNTIFS('United Data'!$A$3:$A$3390,C$1,'United Data'!$C$3:$C$3390,$A8)&gt;0,1,0)</f>
        <v>0</v>
      </c>
      <c r="D8">
        <f>IF(COUNTIFS('United Data'!$A$3:$A$3390,D$1,'United Data'!$C$3:$C$3390,$A8)&gt;0,1,0)</f>
        <v>0</v>
      </c>
      <c r="E8">
        <f>IF(COUNTIFS('United Data'!$A$3:$A$3390,E$1,'United Data'!$C$3:$C$3390,$A8)&gt;0,1,0)</f>
        <v>1</v>
      </c>
      <c r="F8">
        <f>IF(COUNTIFS('United Data'!$A$3:$A$3390,F$1,'United Data'!$C$3:$C$3390,$A8)&gt;0,1,0)</f>
        <v>1</v>
      </c>
      <c r="G8">
        <f>IF(COUNTIFS('United Data'!$A$3:$A$3390,G$1,'United Data'!$C$3:$C$3390,$A8)&gt;0,1,0)</f>
        <v>0</v>
      </c>
      <c r="H8">
        <f>IF(COUNTIFS('United Data'!$A$3:$A$3390,H$1,'United Data'!$C$3:$C$3390,$A8)&gt;0,1,0)</f>
        <v>0</v>
      </c>
      <c r="I8">
        <f>IF(COUNTIFS('United Data'!$A$3:$A$3390,I$1,'United Data'!$C$3:$C$3390,$A8)&gt;0,1,0)</f>
        <v>0</v>
      </c>
      <c r="J8">
        <f>IF(COUNTIFS('United Data'!$A$3:$A$3390,J$1,'United Data'!$C$3:$C$3390,$A8)&gt;0,1,0)</f>
        <v>0</v>
      </c>
      <c r="K8">
        <f>IF(COUNTIFS('United Data'!$A$3:$A$3390,K$1,'United Data'!$C$3:$C$3390,$A8)&gt;0,1,0)</f>
        <v>0</v>
      </c>
      <c r="L8">
        <f>IF(COUNTIFS('United Data'!$A$3:$A$3390,L$1,'United Data'!$C$3:$C$3390,$A8)&gt;0,1,0)</f>
        <v>0</v>
      </c>
      <c r="M8">
        <f>IF(COUNTIFS('United Data'!$A$3:$A$3390,M$1,'United Data'!$C$3:$C$3390,$A8)&gt;0,1,0)</f>
        <v>0</v>
      </c>
      <c r="N8">
        <f>IF(COUNTIFS('United Data'!$A$3:$A$3390,N$1,'United Data'!$C$3:$C$3390,$A8)&gt;0,1,0)</f>
        <v>1</v>
      </c>
      <c r="O8">
        <f>IF(COUNTIFS('United Data'!$A$3:$A$3390,O$1,'United Data'!$C$3:$C$3390,$A8)&gt;0,1,0)</f>
        <v>0</v>
      </c>
      <c r="P8">
        <f>IF(COUNTIFS('United Data'!$A$3:$A$3390,P$1,'United Data'!$C$3:$C$3390,$A8)&gt;0,1,0)</f>
        <v>0</v>
      </c>
      <c r="Q8">
        <f>IF(COUNTIFS('United Data'!$A$3:$A$3390,Q$1,'United Data'!$C$3:$C$3390,$A8)&gt;0,1,0)</f>
        <v>0</v>
      </c>
      <c r="R8">
        <f>IF(COUNTIFS('United Data'!$A$3:$A$3390,R$1,'United Data'!$C$3:$C$3390,$A8)&gt;0,1,0)</f>
        <v>0</v>
      </c>
      <c r="S8">
        <f t="shared" si="0"/>
        <v>3</v>
      </c>
      <c r="T8">
        <f t="shared" si="1"/>
        <v>2</v>
      </c>
    </row>
    <row r="9" spans="1:20" x14ac:dyDescent="0.2">
      <c r="A9" t="s">
        <v>39</v>
      </c>
      <c r="B9">
        <f>IF(COUNTIFS('United Data'!$A$3:$A$3390,B$1,'United Data'!$C$3:$C$3390,$A9)&gt;0,1,0)</f>
        <v>0</v>
      </c>
      <c r="C9">
        <f>IF(COUNTIFS('United Data'!$A$3:$A$3390,C$1,'United Data'!$C$3:$C$3390,$A9)&gt;0,1,0)</f>
        <v>0</v>
      </c>
      <c r="D9">
        <f>IF(COUNTIFS('United Data'!$A$3:$A$3390,D$1,'United Data'!$C$3:$C$3390,$A9)&gt;0,1,0)</f>
        <v>0</v>
      </c>
      <c r="E9">
        <f>IF(COUNTIFS('United Data'!$A$3:$A$3390,E$1,'United Data'!$C$3:$C$3390,$A9)&gt;0,1,0)</f>
        <v>0</v>
      </c>
      <c r="F9">
        <f>IF(COUNTIFS('United Data'!$A$3:$A$3390,F$1,'United Data'!$C$3:$C$3390,$A9)&gt;0,1,0)</f>
        <v>1</v>
      </c>
      <c r="G9">
        <f>IF(COUNTIFS('United Data'!$A$3:$A$3390,G$1,'United Data'!$C$3:$C$3390,$A9)&gt;0,1,0)</f>
        <v>0</v>
      </c>
      <c r="H9">
        <f>IF(COUNTIFS('United Data'!$A$3:$A$3390,H$1,'United Data'!$C$3:$C$3390,$A9)&gt;0,1,0)</f>
        <v>0</v>
      </c>
      <c r="I9">
        <f>IF(COUNTIFS('United Data'!$A$3:$A$3390,I$1,'United Data'!$C$3:$C$3390,$A9)&gt;0,1,0)</f>
        <v>0</v>
      </c>
      <c r="J9">
        <f>IF(COUNTIFS('United Data'!$A$3:$A$3390,J$1,'United Data'!$C$3:$C$3390,$A9)&gt;0,1,0)</f>
        <v>0</v>
      </c>
      <c r="K9">
        <f>IF(COUNTIFS('United Data'!$A$3:$A$3390,K$1,'United Data'!$C$3:$C$3390,$A9)&gt;0,1,0)</f>
        <v>0</v>
      </c>
      <c r="L9">
        <f>IF(COUNTIFS('United Data'!$A$3:$A$3390,L$1,'United Data'!$C$3:$C$3390,$A9)&gt;0,1,0)</f>
        <v>0</v>
      </c>
      <c r="M9">
        <f>IF(COUNTIFS('United Data'!$A$3:$A$3390,M$1,'United Data'!$C$3:$C$3390,$A9)&gt;0,1,0)</f>
        <v>0</v>
      </c>
      <c r="N9">
        <f>IF(COUNTIFS('United Data'!$A$3:$A$3390,N$1,'United Data'!$C$3:$C$3390,$A9)&gt;0,1,0)</f>
        <v>1</v>
      </c>
      <c r="O9">
        <f>IF(COUNTIFS('United Data'!$A$3:$A$3390,O$1,'United Data'!$C$3:$C$3390,$A9)&gt;0,1,0)</f>
        <v>1</v>
      </c>
      <c r="P9">
        <f>IF(COUNTIFS('United Data'!$A$3:$A$3390,P$1,'United Data'!$C$3:$C$3390,$A9)&gt;0,1,0)</f>
        <v>0</v>
      </c>
      <c r="Q9">
        <f>IF(COUNTIFS('United Data'!$A$3:$A$3390,Q$1,'United Data'!$C$3:$C$3390,$A9)&gt;0,1,0)</f>
        <v>1</v>
      </c>
      <c r="R9">
        <f>IF(COUNTIFS('United Data'!$A$3:$A$3390,R$1,'United Data'!$C$3:$C$3390,$A9)&gt;0,1,0)</f>
        <v>0</v>
      </c>
      <c r="S9">
        <f t="shared" si="0"/>
        <v>4</v>
      </c>
      <c r="T9">
        <f t="shared" si="1"/>
        <v>3</v>
      </c>
    </row>
    <row r="10" spans="1:20" x14ac:dyDescent="0.2">
      <c r="A10" t="s">
        <v>40</v>
      </c>
      <c r="B10">
        <f>IF(COUNTIFS('United Data'!$A$3:$A$3390,B$1,'United Data'!$C$3:$C$3390,$A10)&gt;0,1,0)</f>
        <v>0</v>
      </c>
      <c r="C10">
        <f>IF(COUNTIFS('United Data'!$A$3:$A$3390,C$1,'United Data'!$C$3:$C$3390,$A10)&gt;0,1,0)</f>
        <v>0</v>
      </c>
      <c r="D10">
        <f>IF(COUNTIFS('United Data'!$A$3:$A$3390,D$1,'United Data'!$C$3:$C$3390,$A10)&gt;0,1,0)</f>
        <v>0</v>
      </c>
      <c r="E10">
        <f>IF(COUNTIFS('United Data'!$A$3:$A$3390,E$1,'United Data'!$C$3:$C$3390,$A10)&gt;0,1,0)</f>
        <v>0</v>
      </c>
      <c r="F10">
        <f>IF(COUNTIFS('United Data'!$A$3:$A$3390,F$1,'United Data'!$C$3:$C$3390,$A10)&gt;0,1,0)</f>
        <v>1</v>
      </c>
      <c r="G10">
        <f>IF(COUNTIFS('United Data'!$A$3:$A$3390,G$1,'United Data'!$C$3:$C$3390,$A10)&gt;0,1,0)</f>
        <v>1</v>
      </c>
      <c r="H10">
        <f>IF(COUNTIFS('United Data'!$A$3:$A$3390,H$1,'United Data'!$C$3:$C$3390,$A10)&gt;0,1,0)</f>
        <v>0</v>
      </c>
      <c r="I10">
        <f>IF(COUNTIFS('United Data'!$A$3:$A$3390,I$1,'United Data'!$C$3:$C$3390,$A10)&gt;0,1,0)</f>
        <v>0</v>
      </c>
      <c r="J10">
        <f>IF(COUNTIFS('United Data'!$A$3:$A$3390,J$1,'United Data'!$C$3:$C$3390,$A10)&gt;0,1,0)</f>
        <v>1</v>
      </c>
      <c r="K10">
        <f>IF(COUNTIFS('United Data'!$A$3:$A$3390,K$1,'United Data'!$C$3:$C$3390,$A10)&gt;0,1,0)</f>
        <v>1</v>
      </c>
      <c r="L10">
        <f>IF(COUNTIFS('United Data'!$A$3:$A$3390,L$1,'United Data'!$C$3:$C$3390,$A10)&gt;0,1,0)</f>
        <v>0</v>
      </c>
      <c r="M10">
        <f>IF(COUNTIFS('United Data'!$A$3:$A$3390,M$1,'United Data'!$C$3:$C$3390,$A10)&gt;0,1,0)</f>
        <v>0</v>
      </c>
      <c r="N10">
        <f>IF(COUNTIFS('United Data'!$A$3:$A$3390,N$1,'United Data'!$C$3:$C$3390,$A10)&gt;0,1,0)</f>
        <v>0</v>
      </c>
      <c r="O10">
        <f>IF(COUNTIFS('United Data'!$A$3:$A$3390,O$1,'United Data'!$C$3:$C$3390,$A10)&gt;0,1,0)</f>
        <v>0</v>
      </c>
      <c r="P10">
        <f>IF(COUNTIFS('United Data'!$A$3:$A$3390,P$1,'United Data'!$C$3:$C$3390,$A10)&gt;0,1,0)</f>
        <v>0</v>
      </c>
      <c r="Q10">
        <f>IF(COUNTIFS('United Data'!$A$3:$A$3390,Q$1,'United Data'!$C$3:$C$3390,$A10)&gt;0,1,0)</f>
        <v>0</v>
      </c>
      <c r="R10">
        <f>IF(COUNTIFS('United Data'!$A$3:$A$3390,R$1,'United Data'!$C$3:$C$3390,$A10)&gt;0,1,0)</f>
        <v>0</v>
      </c>
      <c r="S10">
        <f t="shared" si="0"/>
        <v>4</v>
      </c>
      <c r="T10">
        <f t="shared" si="1"/>
        <v>2</v>
      </c>
    </row>
    <row r="11" spans="1:20" x14ac:dyDescent="0.2">
      <c r="A11" t="s">
        <v>41</v>
      </c>
      <c r="B11">
        <f>IF(COUNTIFS('United Data'!$A$3:$A$3390,B$1,'United Data'!$C$3:$C$3390,$A11)&gt;0,1,0)</f>
        <v>0</v>
      </c>
      <c r="C11">
        <f>IF(COUNTIFS('United Data'!$A$3:$A$3390,C$1,'United Data'!$C$3:$C$3390,$A11)&gt;0,1,0)</f>
        <v>0</v>
      </c>
      <c r="D11">
        <f>IF(COUNTIFS('United Data'!$A$3:$A$3390,D$1,'United Data'!$C$3:$C$3390,$A11)&gt;0,1,0)</f>
        <v>0</v>
      </c>
      <c r="E11">
        <f>IF(COUNTIFS('United Data'!$A$3:$A$3390,E$1,'United Data'!$C$3:$C$3390,$A11)&gt;0,1,0)</f>
        <v>0</v>
      </c>
      <c r="F11">
        <f>IF(COUNTIFS('United Data'!$A$3:$A$3390,F$1,'United Data'!$C$3:$C$3390,$A11)&gt;0,1,0)</f>
        <v>1</v>
      </c>
      <c r="G11">
        <f>IF(COUNTIFS('United Data'!$A$3:$A$3390,G$1,'United Data'!$C$3:$C$3390,$A11)&gt;0,1,0)</f>
        <v>0</v>
      </c>
      <c r="H11">
        <f>IF(COUNTIFS('United Data'!$A$3:$A$3390,H$1,'United Data'!$C$3:$C$3390,$A11)&gt;0,1,0)</f>
        <v>0</v>
      </c>
      <c r="I11">
        <f>IF(COUNTIFS('United Data'!$A$3:$A$3390,I$1,'United Data'!$C$3:$C$3390,$A11)&gt;0,1,0)</f>
        <v>0</v>
      </c>
      <c r="J11">
        <f>IF(COUNTIFS('United Data'!$A$3:$A$3390,J$1,'United Data'!$C$3:$C$3390,$A11)&gt;0,1,0)</f>
        <v>0</v>
      </c>
      <c r="K11">
        <f>IF(COUNTIFS('United Data'!$A$3:$A$3390,K$1,'United Data'!$C$3:$C$3390,$A11)&gt;0,1,0)</f>
        <v>0</v>
      </c>
      <c r="L11">
        <f>IF(COUNTIFS('United Data'!$A$3:$A$3390,L$1,'United Data'!$C$3:$C$3390,$A11)&gt;0,1,0)</f>
        <v>0</v>
      </c>
      <c r="M11">
        <f>IF(COUNTIFS('United Data'!$A$3:$A$3390,M$1,'United Data'!$C$3:$C$3390,$A11)&gt;0,1,0)</f>
        <v>0</v>
      </c>
      <c r="N11">
        <f>IF(COUNTIFS('United Data'!$A$3:$A$3390,N$1,'United Data'!$C$3:$C$3390,$A11)&gt;0,1,0)</f>
        <v>0</v>
      </c>
      <c r="O11">
        <f>IF(COUNTIFS('United Data'!$A$3:$A$3390,O$1,'United Data'!$C$3:$C$3390,$A11)&gt;0,1,0)</f>
        <v>0</v>
      </c>
      <c r="P11">
        <f>IF(COUNTIFS('United Data'!$A$3:$A$3390,P$1,'United Data'!$C$3:$C$3390,$A11)&gt;0,1,0)</f>
        <v>0</v>
      </c>
      <c r="Q11">
        <f>IF(COUNTIFS('United Data'!$A$3:$A$3390,Q$1,'United Data'!$C$3:$C$3390,$A11)&gt;0,1,0)</f>
        <v>0</v>
      </c>
      <c r="R11">
        <f>IF(COUNTIFS('United Data'!$A$3:$A$3390,R$1,'United Data'!$C$3:$C$3390,$A11)&gt;0,1,0)</f>
        <v>0</v>
      </c>
      <c r="S11">
        <f t="shared" si="0"/>
        <v>1</v>
      </c>
      <c r="T11">
        <f t="shared" si="1"/>
        <v>1</v>
      </c>
    </row>
    <row r="12" spans="1:20" x14ac:dyDescent="0.2">
      <c r="A12" t="s">
        <v>42</v>
      </c>
      <c r="B12">
        <f>IF(COUNTIFS('United Data'!$A$3:$A$3390,B$1,'United Data'!$C$3:$C$3390,$A12)&gt;0,1,0)</f>
        <v>0</v>
      </c>
      <c r="C12">
        <f>IF(COUNTIFS('United Data'!$A$3:$A$3390,C$1,'United Data'!$C$3:$C$3390,$A12)&gt;0,1,0)</f>
        <v>0</v>
      </c>
      <c r="D12">
        <f>IF(COUNTIFS('United Data'!$A$3:$A$3390,D$1,'United Data'!$C$3:$C$3390,$A12)&gt;0,1,0)</f>
        <v>0</v>
      </c>
      <c r="E12">
        <f>IF(COUNTIFS('United Data'!$A$3:$A$3390,E$1,'United Data'!$C$3:$C$3390,$A12)&gt;0,1,0)</f>
        <v>0</v>
      </c>
      <c r="F12">
        <f>IF(COUNTIFS('United Data'!$A$3:$A$3390,F$1,'United Data'!$C$3:$C$3390,$A12)&gt;0,1,0)</f>
        <v>1</v>
      </c>
      <c r="G12">
        <f>IF(COUNTIFS('United Data'!$A$3:$A$3390,G$1,'United Data'!$C$3:$C$3390,$A12)&gt;0,1,0)</f>
        <v>0</v>
      </c>
      <c r="H12">
        <f>IF(COUNTIFS('United Data'!$A$3:$A$3390,H$1,'United Data'!$C$3:$C$3390,$A12)&gt;0,1,0)</f>
        <v>0</v>
      </c>
      <c r="I12">
        <f>IF(COUNTIFS('United Data'!$A$3:$A$3390,I$1,'United Data'!$C$3:$C$3390,$A12)&gt;0,1,0)</f>
        <v>0</v>
      </c>
      <c r="J12">
        <f>IF(COUNTIFS('United Data'!$A$3:$A$3390,J$1,'United Data'!$C$3:$C$3390,$A12)&gt;0,1,0)</f>
        <v>0</v>
      </c>
      <c r="K12">
        <f>IF(COUNTIFS('United Data'!$A$3:$A$3390,K$1,'United Data'!$C$3:$C$3390,$A12)&gt;0,1,0)</f>
        <v>0</v>
      </c>
      <c r="L12">
        <f>IF(COUNTIFS('United Data'!$A$3:$A$3390,L$1,'United Data'!$C$3:$C$3390,$A12)&gt;0,1,0)</f>
        <v>0</v>
      </c>
      <c r="M12">
        <f>IF(COUNTIFS('United Data'!$A$3:$A$3390,M$1,'United Data'!$C$3:$C$3390,$A12)&gt;0,1,0)</f>
        <v>0</v>
      </c>
      <c r="N12">
        <f>IF(COUNTIFS('United Data'!$A$3:$A$3390,N$1,'United Data'!$C$3:$C$3390,$A12)&gt;0,1,0)</f>
        <v>0</v>
      </c>
      <c r="O12">
        <f>IF(COUNTIFS('United Data'!$A$3:$A$3390,O$1,'United Data'!$C$3:$C$3390,$A12)&gt;0,1,0)</f>
        <v>0</v>
      </c>
      <c r="P12">
        <f>IF(COUNTIFS('United Data'!$A$3:$A$3390,P$1,'United Data'!$C$3:$C$3390,$A12)&gt;0,1,0)</f>
        <v>0</v>
      </c>
      <c r="Q12">
        <f>IF(COUNTIFS('United Data'!$A$3:$A$3390,Q$1,'United Data'!$C$3:$C$3390,$A12)&gt;0,1,0)</f>
        <v>0</v>
      </c>
      <c r="R12">
        <f>IF(COUNTIFS('United Data'!$A$3:$A$3390,R$1,'United Data'!$C$3:$C$3390,$A12)&gt;0,1,0)</f>
        <v>0</v>
      </c>
      <c r="S12">
        <f t="shared" si="0"/>
        <v>1</v>
      </c>
      <c r="T12">
        <f t="shared" si="1"/>
        <v>1</v>
      </c>
    </row>
    <row r="13" spans="1:20" x14ac:dyDescent="0.2">
      <c r="A13" t="s">
        <v>43</v>
      </c>
      <c r="B13">
        <f>IF(COUNTIFS('United Data'!$A$3:$A$3390,B$1,'United Data'!$C$3:$C$3390,$A13)&gt;0,1,0)</f>
        <v>0</v>
      </c>
      <c r="C13">
        <f>IF(COUNTIFS('United Data'!$A$3:$A$3390,C$1,'United Data'!$C$3:$C$3390,$A13)&gt;0,1,0)</f>
        <v>0</v>
      </c>
      <c r="D13">
        <f>IF(COUNTIFS('United Data'!$A$3:$A$3390,D$1,'United Data'!$C$3:$C$3390,$A13)&gt;0,1,0)</f>
        <v>0</v>
      </c>
      <c r="E13">
        <f>IF(COUNTIFS('United Data'!$A$3:$A$3390,E$1,'United Data'!$C$3:$C$3390,$A13)&gt;0,1,0)</f>
        <v>0</v>
      </c>
      <c r="F13">
        <f>IF(COUNTIFS('United Data'!$A$3:$A$3390,F$1,'United Data'!$C$3:$C$3390,$A13)&gt;0,1,0)</f>
        <v>1</v>
      </c>
      <c r="G13">
        <f>IF(COUNTIFS('United Data'!$A$3:$A$3390,G$1,'United Data'!$C$3:$C$3390,$A13)&gt;0,1,0)</f>
        <v>0</v>
      </c>
      <c r="H13">
        <f>IF(COUNTIFS('United Data'!$A$3:$A$3390,H$1,'United Data'!$C$3:$C$3390,$A13)&gt;0,1,0)</f>
        <v>0</v>
      </c>
      <c r="I13">
        <f>IF(COUNTIFS('United Data'!$A$3:$A$3390,I$1,'United Data'!$C$3:$C$3390,$A13)&gt;0,1,0)</f>
        <v>0</v>
      </c>
      <c r="J13">
        <f>IF(COUNTIFS('United Data'!$A$3:$A$3390,J$1,'United Data'!$C$3:$C$3390,$A13)&gt;0,1,0)</f>
        <v>0</v>
      </c>
      <c r="K13">
        <f>IF(COUNTIFS('United Data'!$A$3:$A$3390,K$1,'United Data'!$C$3:$C$3390,$A13)&gt;0,1,0)</f>
        <v>0</v>
      </c>
      <c r="L13">
        <f>IF(COUNTIFS('United Data'!$A$3:$A$3390,L$1,'United Data'!$C$3:$C$3390,$A13)&gt;0,1,0)</f>
        <v>0</v>
      </c>
      <c r="M13">
        <f>IF(COUNTIFS('United Data'!$A$3:$A$3390,M$1,'United Data'!$C$3:$C$3390,$A13)&gt;0,1,0)</f>
        <v>0</v>
      </c>
      <c r="N13">
        <f>IF(COUNTIFS('United Data'!$A$3:$A$3390,N$1,'United Data'!$C$3:$C$3390,$A13)&gt;0,1,0)</f>
        <v>0</v>
      </c>
      <c r="O13">
        <f>IF(COUNTIFS('United Data'!$A$3:$A$3390,O$1,'United Data'!$C$3:$C$3390,$A13)&gt;0,1,0)</f>
        <v>0</v>
      </c>
      <c r="P13">
        <f>IF(COUNTIFS('United Data'!$A$3:$A$3390,P$1,'United Data'!$C$3:$C$3390,$A13)&gt;0,1,0)</f>
        <v>0</v>
      </c>
      <c r="Q13">
        <f>IF(COUNTIFS('United Data'!$A$3:$A$3390,Q$1,'United Data'!$C$3:$C$3390,$A13)&gt;0,1,0)</f>
        <v>0</v>
      </c>
      <c r="R13">
        <f>IF(COUNTIFS('United Data'!$A$3:$A$3390,R$1,'United Data'!$C$3:$C$3390,$A13)&gt;0,1,0)</f>
        <v>0</v>
      </c>
      <c r="S13">
        <f t="shared" si="0"/>
        <v>1</v>
      </c>
      <c r="T13">
        <f t="shared" si="1"/>
        <v>1</v>
      </c>
    </row>
    <row r="14" spans="1:20" x14ac:dyDescent="0.2">
      <c r="A14" t="s">
        <v>44</v>
      </c>
      <c r="B14">
        <f>IF(COUNTIFS('United Data'!$A$3:$A$3390,B$1,'United Data'!$C$3:$C$3390,$A14)&gt;0,1,0)</f>
        <v>0</v>
      </c>
      <c r="C14">
        <f>IF(COUNTIFS('United Data'!$A$3:$A$3390,C$1,'United Data'!$C$3:$C$3390,$A14)&gt;0,1,0)</f>
        <v>0</v>
      </c>
      <c r="D14">
        <f>IF(COUNTIFS('United Data'!$A$3:$A$3390,D$1,'United Data'!$C$3:$C$3390,$A14)&gt;0,1,0)</f>
        <v>0</v>
      </c>
      <c r="E14">
        <f>IF(COUNTIFS('United Data'!$A$3:$A$3390,E$1,'United Data'!$C$3:$C$3390,$A14)&gt;0,1,0)</f>
        <v>0</v>
      </c>
      <c r="F14">
        <f>IF(COUNTIFS('United Data'!$A$3:$A$3390,F$1,'United Data'!$C$3:$C$3390,$A14)&gt;0,1,0)</f>
        <v>1</v>
      </c>
      <c r="G14">
        <f>IF(COUNTIFS('United Data'!$A$3:$A$3390,G$1,'United Data'!$C$3:$C$3390,$A14)&gt;0,1,0)</f>
        <v>0</v>
      </c>
      <c r="H14">
        <f>IF(COUNTIFS('United Data'!$A$3:$A$3390,H$1,'United Data'!$C$3:$C$3390,$A14)&gt;0,1,0)</f>
        <v>0</v>
      </c>
      <c r="I14">
        <f>IF(COUNTIFS('United Data'!$A$3:$A$3390,I$1,'United Data'!$C$3:$C$3390,$A14)&gt;0,1,0)</f>
        <v>0</v>
      </c>
      <c r="J14">
        <f>IF(COUNTIFS('United Data'!$A$3:$A$3390,J$1,'United Data'!$C$3:$C$3390,$A14)&gt;0,1,0)</f>
        <v>0</v>
      </c>
      <c r="K14">
        <f>IF(COUNTIFS('United Data'!$A$3:$A$3390,K$1,'United Data'!$C$3:$C$3390,$A14)&gt;0,1,0)</f>
        <v>0</v>
      </c>
      <c r="L14">
        <f>IF(COUNTIFS('United Data'!$A$3:$A$3390,L$1,'United Data'!$C$3:$C$3390,$A14)&gt;0,1,0)</f>
        <v>0</v>
      </c>
      <c r="M14">
        <f>IF(COUNTIFS('United Data'!$A$3:$A$3390,M$1,'United Data'!$C$3:$C$3390,$A14)&gt;0,1,0)</f>
        <v>0</v>
      </c>
      <c r="N14">
        <f>IF(COUNTIFS('United Data'!$A$3:$A$3390,N$1,'United Data'!$C$3:$C$3390,$A14)&gt;0,1,0)</f>
        <v>0</v>
      </c>
      <c r="O14">
        <f>IF(COUNTIFS('United Data'!$A$3:$A$3390,O$1,'United Data'!$C$3:$C$3390,$A14)&gt;0,1,0)</f>
        <v>0</v>
      </c>
      <c r="P14">
        <f>IF(COUNTIFS('United Data'!$A$3:$A$3390,P$1,'United Data'!$C$3:$C$3390,$A14)&gt;0,1,0)</f>
        <v>0</v>
      </c>
      <c r="Q14">
        <f>IF(COUNTIFS('United Data'!$A$3:$A$3390,Q$1,'United Data'!$C$3:$C$3390,$A14)&gt;0,1,0)</f>
        <v>0</v>
      </c>
      <c r="R14">
        <f>IF(COUNTIFS('United Data'!$A$3:$A$3390,R$1,'United Data'!$C$3:$C$3390,$A14)&gt;0,1,0)</f>
        <v>0</v>
      </c>
      <c r="S14">
        <f t="shared" si="0"/>
        <v>1</v>
      </c>
      <c r="T14">
        <f t="shared" si="1"/>
        <v>1</v>
      </c>
    </row>
    <row r="15" spans="1:20" x14ac:dyDescent="0.2">
      <c r="A15" t="s">
        <v>45</v>
      </c>
      <c r="B15">
        <f>IF(COUNTIFS('United Data'!$A$3:$A$3390,B$1,'United Data'!$C$3:$C$3390,$A15)&gt;0,1,0)</f>
        <v>0</v>
      </c>
      <c r="C15">
        <f>IF(COUNTIFS('United Data'!$A$3:$A$3390,C$1,'United Data'!$C$3:$C$3390,$A15)&gt;0,1,0)</f>
        <v>0</v>
      </c>
      <c r="D15">
        <f>IF(COUNTIFS('United Data'!$A$3:$A$3390,D$1,'United Data'!$C$3:$C$3390,$A15)&gt;0,1,0)</f>
        <v>0</v>
      </c>
      <c r="E15">
        <f>IF(COUNTIFS('United Data'!$A$3:$A$3390,E$1,'United Data'!$C$3:$C$3390,$A15)&gt;0,1,0)</f>
        <v>0</v>
      </c>
      <c r="F15">
        <f>IF(COUNTIFS('United Data'!$A$3:$A$3390,F$1,'United Data'!$C$3:$C$3390,$A15)&gt;0,1,0)</f>
        <v>1</v>
      </c>
      <c r="G15">
        <f>IF(COUNTIFS('United Data'!$A$3:$A$3390,G$1,'United Data'!$C$3:$C$3390,$A15)&gt;0,1,0)</f>
        <v>0</v>
      </c>
      <c r="H15">
        <f>IF(COUNTIFS('United Data'!$A$3:$A$3390,H$1,'United Data'!$C$3:$C$3390,$A15)&gt;0,1,0)</f>
        <v>0</v>
      </c>
      <c r="I15">
        <f>IF(COUNTIFS('United Data'!$A$3:$A$3390,I$1,'United Data'!$C$3:$C$3390,$A15)&gt;0,1,0)</f>
        <v>0</v>
      </c>
      <c r="J15">
        <f>IF(COUNTIFS('United Data'!$A$3:$A$3390,J$1,'United Data'!$C$3:$C$3390,$A15)&gt;0,1,0)</f>
        <v>0</v>
      </c>
      <c r="K15">
        <f>IF(COUNTIFS('United Data'!$A$3:$A$3390,K$1,'United Data'!$C$3:$C$3390,$A15)&gt;0,1,0)</f>
        <v>0</v>
      </c>
      <c r="L15">
        <f>IF(COUNTIFS('United Data'!$A$3:$A$3390,L$1,'United Data'!$C$3:$C$3390,$A15)&gt;0,1,0)</f>
        <v>0</v>
      </c>
      <c r="M15">
        <f>IF(COUNTIFS('United Data'!$A$3:$A$3390,M$1,'United Data'!$C$3:$C$3390,$A15)&gt;0,1,0)</f>
        <v>0</v>
      </c>
      <c r="N15">
        <f>IF(COUNTIFS('United Data'!$A$3:$A$3390,N$1,'United Data'!$C$3:$C$3390,$A15)&gt;0,1,0)</f>
        <v>0</v>
      </c>
      <c r="O15">
        <f>IF(COUNTIFS('United Data'!$A$3:$A$3390,O$1,'United Data'!$C$3:$C$3390,$A15)&gt;0,1,0)</f>
        <v>0</v>
      </c>
      <c r="P15">
        <f>IF(COUNTIFS('United Data'!$A$3:$A$3390,P$1,'United Data'!$C$3:$C$3390,$A15)&gt;0,1,0)</f>
        <v>0</v>
      </c>
      <c r="Q15">
        <f>IF(COUNTIFS('United Data'!$A$3:$A$3390,Q$1,'United Data'!$C$3:$C$3390,$A15)&gt;0,1,0)</f>
        <v>0</v>
      </c>
      <c r="R15">
        <f>IF(COUNTIFS('United Data'!$A$3:$A$3390,R$1,'United Data'!$C$3:$C$3390,$A15)&gt;0,1,0)</f>
        <v>0</v>
      </c>
      <c r="S15">
        <f t="shared" si="0"/>
        <v>1</v>
      </c>
      <c r="T15">
        <f t="shared" si="1"/>
        <v>1</v>
      </c>
    </row>
    <row r="16" spans="1:20" x14ac:dyDescent="0.2">
      <c r="A16" t="s">
        <v>48</v>
      </c>
      <c r="B16">
        <f>IF(COUNTIFS('United Data'!$A$3:$A$3390,B$1,'United Data'!$C$3:$C$3390,$A16)&gt;0,1,0)</f>
        <v>0</v>
      </c>
      <c r="C16">
        <f>IF(COUNTIFS('United Data'!$A$3:$A$3390,C$1,'United Data'!$C$3:$C$3390,$A16)&gt;0,1,0)</f>
        <v>0</v>
      </c>
      <c r="D16">
        <f>IF(COUNTIFS('United Data'!$A$3:$A$3390,D$1,'United Data'!$C$3:$C$3390,$A16)&gt;0,1,0)</f>
        <v>0</v>
      </c>
      <c r="E16">
        <f>IF(COUNTIFS('United Data'!$A$3:$A$3390,E$1,'United Data'!$C$3:$C$3390,$A16)&gt;0,1,0)</f>
        <v>0</v>
      </c>
      <c r="F16">
        <f>IF(COUNTIFS('United Data'!$A$3:$A$3390,F$1,'United Data'!$C$3:$C$3390,$A16)&gt;0,1,0)</f>
        <v>0</v>
      </c>
      <c r="G16">
        <f>IF(COUNTIFS('United Data'!$A$3:$A$3390,G$1,'United Data'!$C$3:$C$3390,$A16)&gt;0,1,0)</f>
        <v>1</v>
      </c>
      <c r="H16">
        <f>IF(COUNTIFS('United Data'!$A$3:$A$3390,H$1,'United Data'!$C$3:$C$3390,$A16)&gt;0,1,0)</f>
        <v>0</v>
      </c>
      <c r="I16">
        <f>IF(COUNTIFS('United Data'!$A$3:$A$3390,I$1,'United Data'!$C$3:$C$3390,$A16)&gt;0,1,0)</f>
        <v>0</v>
      </c>
      <c r="J16">
        <f>IF(COUNTIFS('United Data'!$A$3:$A$3390,J$1,'United Data'!$C$3:$C$3390,$A16)&gt;0,1,0)</f>
        <v>0</v>
      </c>
      <c r="K16">
        <f>IF(COUNTIFS('United Data'!$A$3:$A$3390,K$1,'United Data'!$C$3:$C$3390,$A16)&gt;0,1,0)</f>
        <v>1</v>
      </c>
      <c r="L16">
        <f>IF(COUNTIFS('United Data'!$A$3:$A$3390,L$1,'United Data'!$C$3:$C$3390,$A16)&gt;0,1,0)</f>
        <v>0</v>
      </c>
      <c r="M16">
        <f>IF(COUNTIFS('United Data'!$A$3:$A$3390,M$1,'United Data'!$C$3:$C$3390,$A16)&gt;0,1,0)</f>
        <v>0</v>
      </c>
      <c r="N16">
        <f>IF(COUNTIFS('United Data'!$A$3:$A$3390,N$1,'United Data'!$C$3:$C$3390,$A16)&gt;0,1,0)</f>
        <v>0</v>
      </c>
      <c r="O16">
        <f>IF(COUNTIFS('United Data'!$A$3:$A$3390,O$1,'United Data'!$C$3:$C$3390,$A16)&gt;0,1,0)</f>
        <v>0</v>
      </c>
      <c r="P16">
        <f>IF(COUNTIFS('United Data'!$A$3:$A$3390,P$1,'United Data'!$C$3:$C$3390,$A16)&gt;0,1,0)</f>
        <v>0</v>
      </c>
      <c r="Q16">
        <f>IF(COUNTIFS('United Data'!$A$3:$A$3390,Q$1,'United Data'!$C$3:$C$3390,$A16)&gt;0,1,0)</f>
        <v>0</v>
      </c>
      <c r="R16">
        <f>IF(COUNTIFS('United Data'!$A$3:$A$3390,R$1,'United Data'!$C$3:$C$3390,$A16)&gt;0,1,0)</f>
        <v>0</v>
      </c>
      <c r="S16">
        <f t="shared" si="0"/>
        <v>2</v>
      </c>
      <c r="T16">
        <f t="shared" si="1"/>
        <v>2</v>
      </c>
    </row>
    <row r="17" spans="1:20" x14ac:dyDescent="0.2">
      <c r="A17" t="s">
        <v>50</v>
      </c>
      <c r="B17">
        <f>IF(COUNTIFS('United Data'!$A$3:$A$3390,B$1,'United Data'!$C$3:$C$3390,$A17)&gt;0,1,0)</f>
        <v>0</v>
      </c>
      <c r="C17">
        <f>IF(COUNTIFS('United Data'!$A$3:$A$3390,C$1,'United Data'!$C$3:$C$3390,$A17)&gt;0,1,0)</f>
        <v>0</v>
      </c>
      <c r="D17">
        <f>IF(COUNTIFS('United Data'!$A$3:$A$3390,D$1,'United Data'!$C$3:$C$3390,$A17)&gt;0,1,0)</f>
        <v>0</v>
      </c>
      <c r="E17">
        <f>IF(COUNTIFS('United Data'!$A$3:$A$3390,E$1,'United Data'!$C$3:$C$3390,$A17)&gt;0,1,0)</f>
        <v>0</v>
      </c>
      <c r="F17">
        <f>IF(COUNTIFS('United Data'!$A$3:$A$3390,F$1,'United Data'!$C$3:$C$3390,$A17)&gt;0,1,0)</f>
        <v>0</v>
      </c>
      <c r="G17">
        <f>IF(COUNTIFS('United Data'!$A$3:$A$3390,G$1,'United Data'!$C$3:$C$3390,$A17)&gt;0,1,0)</f>
        <v>0</v>
      </c>
      <c r="H17">
        <f>IF(COUNTIFS('United Data'!$A$3:$A$3390,H$1,'United Data'!$C$3:$C$3390,$A17)&gt;0,1,0)</f>
        <v>1</v>
      </c>
      <c r="I17">
        <f>IF(COUNTIFS('United Data'!$A$3:$A$3390,I$1,'United Data'!$C$3:$C$3390,$A17)&gt;0,1,0)</f>
        <v>0</v>
      </c>
      <c r="J17">
        <f>IF(COUNTIFS('United Data'!$A$3:$A$3390,J$1,'United Data'!$C$3:$C$3390,$A17)&gt;0,1,0)</f>
        <v>0</v>
      </c>
      <c r="K17">
        <f>IF(COUNTIFS('United Data'!$A$3:$A$3390,K$1,'United Data'!$C$3:$C$3390,$A17)&gt;0,1,0)</f>
        <v>0</v>
      </c>
      <c r="L17">
        <f>IF(COUNTIFS('United Data'!$A$3:$A$3390,L$1,'United Data'!$C$3:$C$3390,$A17)&gt;0,1,0)</f>
        <v>0</v>
      </c>
      <c r="M17">
        <f>IF(COUNTIFS('United Data'!$A$3:$A$3390,M$1,'United Data'!$C$3:$C$3390,$A17)&gt;0,1,0)</f>
        <v>0</v>
      </c>
      <c r="N17">
        <f>IF(COUNTIFS('United Data'!$A$3:$A$3390,N$1,'United Data'!$C$3:$C$3390,$A17)&gt;0,1,0)</f>
        <v>0</v>
      </c>
      <c r="O17">
        <f>IF(COUNTIFS('United Data'!$A$3:$A$3390,O$1,'United Data'!$C$3:$C$3390,$A17)&gt;0,1,0)</f>
        <v>0</v>
      </c>
      <c r="P17">
        <f>IF(COUNTIFS('United Data'!$A$3:$A$3390,P$1,'United Data'!$C$3:$C$3390,$A17)&gt;0,1,0)</f>
        <v>0</v>
      </c>
      <c r="Q17">
        <f>IF(COUNTIFS('United Data'!$A$3:$A$3390,Q$1,'United Data'!$C$3:$C$3390,$A17)&gt;0,1,0)</f>
        <v>0</v>
      </c>
      <c r="R17">
        <f>IF(COUNTIFS('United Data'!$A$3:$A$3390,R$1,'United Data'!$C$3:$C$3390,$A17)&gt;0,1,0)</f>
        <v>0</v>
      </c>
      <c r="S17">
        <f t="shared" si="0"/>
        <v>1</v>
      </c>
      <c r="T17">
        <f t="shared" si="1"/>
        <v>1</v>
      </c>
    </row>
    <row r="18" spans="1:20" x14ac:dyDescent="0.2">
      <c r="A18" t="s">
        <v>51</v>
      </c>
      <c r="B18">
        <f>IF(COUNTIFS('United Data'!$A$3:$A$3390,B$1,'United Data'!$C$3:$C$3390,$A18)&gt;0,1,0)</f>
        <v>0</v>
      </c>
      <c r="C18">
        <f>IF(COUNTIFS('United Data'!$A$3:$A$3390,C$1,'United Data'!$C$3:$C$3390,$A18)&gt;0,1,0)</f>
        <v>0</v>
      </c>
      <c r="D18">
        <f>IF(COUNTIFS('United Data'!$A$3:$A$3390,D$1,'United Data'!$C$3:$C$3390,$A18)&gt;0,1,0)</f>
        <v>0</v>
      </c>
      <c r="E18">
        <f>IF(COUNTIFS('United Data'!$A$3:$A$3390,E$1,'United Data'!$C$3:$C$3390,$A18)&gt;0,1,0)</f>
        <v>0</v>
      </c>
      <c r="F18">
        <f>IF(COUNTIFS('United Data'!$A$3:$A$3390,F$1,'United Data'!$C$3:$C$3390,$A18)&gt;0,1,0)</f>
        <v>0</v>
      </c>
      <c r="G18">
        <f>IF(COUNTIFS('United Data'!$A$3:$A$3390,G$1,'United Data'!$C$3:$C$3390,$A18)&gt;0,1,0)</f>
        <v>0</v>
      </c>
      <c r="H18">
        <f>IF(COUNTIFS('United Data'!$A$3:$A$3390,H$1,'United Data'!$C$3:$C$3390,$A18)&gt;0,1,0)</f>
        <v>1</v>
      </c>
      <c r="I18">
        <f>IF(COUNTIFS('United Data'!$A$3:$A$3390,I$1,'United Data'!$C$3:$C$3390,$A18)&gt;0,1,0)</f>
        <v>0</v>
      </c>
      <c r="J18">
        <f>IF(COUNTIFS('United Data'!$A$3:$A$3390,J$1,'United Data'!$C$3:$C$3390,$A18)&gt;0,1,0)</f>
        <v>0</v>
      </c>
      <c r="K18">
        <f>IF(COUNTIFS('United Data'!$A$3:$A$3390,K$1,'United Data'!$C$3:$C$3390,$A18)&gt;0,1,0)</f>
        <v>0</v>
      </c>
      <c r="L18">
        <f>IF(COUNTIFS('United Data'!$A$3:$A$3390,L$1,'United Data'!$C$3:$C$3390,$A18)&gt;0,1,0)</f>
        <v>0</v>
      </c>
      <c r="M18">
        <f>IF(COUNTIFS('United Data'!$A$3:$A$3390,M$1,'United Data'!$C$3:$C$3390,$A18)&gt;0,1,0)</f>
        <v>0</v>
      </c>
      <c r="N18">
        <f>IF(COUNTIFS('United Data'!$A$3:$A$3390,N$1,'United Data'!$C$3:$C$3390,$A18)&gt;0,1,0)</f>
        <v>0</v>
      </c>
      <c r="O18">
        <f>IF(COUNTIFS('United Data'!$A$3:$A$3390,O$1,'United Data'!$C$3:$C$3390,$A18)&gt;0,1,0)</f>
        <v>0</v>
      </c>
      <c r="P18">
        <f>IF(COUNTIFS('United Data'!$A$3:$A$3390,P$1,'United Data'!$C$3:$C$3390,$A18)&gt;0,1,0)</f>
        <v>0</v>
      </c>
      <c r="Q18">
        <f>IF(COUNTIFS('United Data'!$A$3:$A$3390,Q$1,'United Data'!$C$3:$C$3390,$A18)&gt;0,1,0)</f>
        <v>0</v>
      </c>
      <c r="R18">
        <f>IF(COUNTIFS('United Data'!$A$3:$A$3390,R$1,'United Data'!$C$3:$C$3390,$A18)&gt;0,1,0)</f>
        <v>0</v>
      </c>
      <c r="S18">
        <f t="shared" si="0"/>
        <v>1</v>
      </c>
      <c r="T18">
        <f t="shared" si="1"/>
        <v>1</v>
      </c>
    </row>
    <row r="19" spans="1:20" x14ac:dyDescent="0.2">
      <c r="A19" t="s">
        <v>53</v>
      </c>
      <c r="B19">
        <f>IF(COUNTIFS('United Data'!$A$3:$A$3390,B$1,'United Data'!$C$3:$C$3390,$A19)&gt;0,1,0)</f>
        <v>0</v>
      </c>
      <c r="C19">
        <f>IF(COUNTIFS('United Data'!$A$3:$A$3390,C$1,'United Data'!$C$3:$C$3390,$A19)&gt;0,1,0)</f>
        <v>0</v>
      </c>
      <c r="D19">
        <f>IF(COUNTIFS('United Data'!$A$3:$A$3390,D$1,'United Data'!$C$3:$C$3390,$A19)&gt;0,1,0)</f>
        <v>0</v>
      </c>
      <c r="E19">
        <f>IF(COUNTIFS('United Data'!$A$3:$A$3390,E$1,'United Data'!$C$3:$C$3390,$A19)&gt;0,1,0)</f>
        <v>0</v>
      </c>
      <c r="F19">
        <f>IF(COUNTIFS('United Data'!$A$3:$A$3390,F$1,'United Data'!$C$3:$C$3390,$A19)&gt;0,1,0)</f>
        <v>0</v>
      </c>
      <c r="G19">
        <f>IF(COUNTIFS('United Data'!$A$3:$A$3390,G$1,'United Data'!$C$3:$C$3390,$A19)&gt;0,1,0)</f>
        <v>0</v>
      </c>
      <c r="H19">
        <f>IF(COUNTIFS('United Data'!$A$3:$A$3390,H$1,'United Data'!$C$3:$C$3390,$A19)&gt;0,1,0)</f>
        <v>0</v>
      </c>
      <c r="I19">
        <f>IF(COUNTIFS('United Data'!$A$3:$A$3390,I$1,'United Data'!$C$3:$C$3390,$A19)&gt;0,1,0)</f>
        <v>1</v>
      </c>
      <c r="J19">
        <f>IF(COUNTIFS('United Data'!$A$3:$A$3390,J$1,'United Data'!$C$3:$C$3390,$A19)&gt;0,1,0)</f>
        <v>0</v>
      </c>
      <c r="K19">
        <f>IF(COUNTIFS('United Data'!$A$3:$A$3390,K$1,'United Data'!$C$3:$C$3390,$A19)&gt;0,1,0)</f>
        <v>0</v>
      </c>
      <c r="L19">
        <f>IF(COUNTIFS('United Data'!$A$3:$A$3390,L$1,'United Data'!$C$3:$C$3390,$A19)&gt;0,1,0)</f>
        <v>0</v>
      </c>
      <c r="M19">
        <f>IF(COUNTIFS('United Data'!$A$3:$A$3390,M$1,'United Data'!$C$3:$C$3390,$A19)&gt;0,1,0)</f>
        <v>0</v>
      </c>
      <c r="N19">
        <f>IF(COUNTIFS('United Data'!$A$3:$A$3390,N$1,'United Data'!$C$3:$C$3390,$A19)&gt;0,1,0)</f>
        <v>0</v>
      </c>
      <c r="O19">
        <f>IF(COUNTIFS('United Data'!$A$3:$A$3390,O$1,'United Data'!$C$3:$C$3390,$A19)&gt;0,1,0)</f>
        <v>0</v>
      </c>
      <c r="P19">
        <f>IF(COUNTIFS('United Data'!$A$3:$A$3390,P$1,'United Data'!$C$3:$C$3390,$A19)&gt;0,1,0)</f>
        <v>0</v>
      </c>
      <c r="Q19">
        <f>IF(COUNTIFS('United Data'!$A$3:$A$3390,Q$1,'United Data'!$C$3:$C$3390,$A19)&gt;0,1,0)</f>
        <v>0</v>
      </c>
      <c r="R19">
        <f>IF(COUNTIFS('United Data'!$A$3:$A$3390,R$1,'United Data'!$C$3:$C$3390,$A19)&gt;0,1,0)</f>
        <v>0</v>
      </c>
      <c r="S19">
        <f t="shared" si="0"/>
        <v>1</v>
      </c>
      <c r="T19">
        <f t="shared" si="1"/>
        <v>1</v>
      </c>
    </row>
    <row r="20" spans="1:20" x14ac:dyDescent="0.2">
      <c r="A20" t="s">
        <v>54</v>
      </c>
      <c r="B20">
        <f>IF(COUNTIFS('United Data'!$A$3:$A$3390,B$1,'United Data'!$C$3:$C$3390,$A20)&gt;0,1,0)</f>
        <v>0</v>
      </c>
      <c r="C20">
        <f>IF(COUNTIFS('United Data'!$A$3:$A$3390,C$1,'United Data'!$C$3:$C$3390,$A20)&gt;0,1,0)</f>
        <v>0</v>
      </c>
      <c r="D20">
        <f>IF(COUNTIFS('United Data'!$A$3:$A$3390,D$1,'United Data'!$C$3:$C$3390,$A20)&gt;0,1,0)</f>
        <v>0</v>
      </c>
      <c r="E20">
        <f>IF(COUNTIFS('United Data'!$A$3:$A$3390,E$1,'United Data'!$C$3:$C$3390,$A20)&gt;0,1,0)</f>
        <v>0</v>
      </c>
      <c r="F20">
        <f>IF(COUNTIFS('United Data'!$A$3:$A$3390,F$1,'United Data'!$C$3:$C$3390,$A20)&gt;0,1,0)</f>
        <v>0</v>
      </c>
      <c r="G20">
        <f>IF(COUNTIFS('United Data'!$A$3:$A$3390,G$1,'United Data'!$C$3:$C$3390,$A20)&gt;0,1,0)</f>
        <v>0</v>
      </c>
      <c r="H20">
        <f>IF(COUNTIFS('United Data'!$A$3:$A$3390,H$1,'United Data'!$C$3:$C$3390,$A20)&gt;0,1,0)</f>
        <v>0</v>
      </c>
      <c r="I20">
        <f>IF(COUNTIFS('United Data'!$A$3:$A$3390,I$1,'United Data'!$C$3:$C$3390,$A20)&gt;0,1,0)</f>
        <v>1</v>
      </c>
      <c r="J20">
        <f>IF(COUNTIFS('United Data'!$A$3:$A$3390,J$1,'United Data'!$C$3:$C$3390,$A20)&gt;0,1,0)</f>
        <v>0</v>
      </c>
      <c r="K20">
        <f>IF(COUNTIFS('United Data'!$A$3:$A$3390,K$1,'United Data'!$C$3:$C$3390,$A20)&gt;0,1,0)</f>
        <v>0</v>
      </c>
      <c r="L20">
        <f>IF(COUNTIFS('United Data'!$A$3:$A$3390,L$1,'United Data'!$C$3:$C$3390,$A20)&gt;0,1,0)</f>
        <v>0</v>
      </c>
      <c r="M20">
        <f>IF(COUNTIFS('United Data'!$A$3:$A$3390,M$1,'United Data'!$C$3:$C$3390,$A20)&gt;0,1,0)</f>
        <v>0</v>
      </c>
      <c r="N20">
        <f>IF(COUNTIFS('United Data'!$A$3:$A$3390,N$1,'United Data'!$C$3:$C$3390,$A20)&gt;0,1,0)</f>
        <v>0</v>
      </c>
      <c r="O20">
        <f>IF(COUNTIFS('United Data'!$A$3:$A$3390,O$1,'United Data'!$C$3:$C$3390,$A20)&gt;0,1,0)</f>
        <v>0</v>
      </c>
      <c r="P20">
        <f>IF(COUNTIFS('United Data'!$A$3:$A$3390,P$1,'United Data'!$C$3:$C$3390,$A20)&gt;0,1,0)</f>
        <v>0</v>
      </c>
      <c r="Q20">
        <f>IF(COUNTIFS('United Data'!$A$3:$A$3390,Q$1,'United Data'!$C$3:$C$3390,$A20)&gt;0,1,0)</f>
        <v>0</v>
      </c>
      <c r="R20">
        <f>IF(COUNTIFS('United Data'!$A$3:$A$3390,R$1,'United Data'!$C$3:$C$3390,$A20)&gt;0,1,0)</f>
        <v>0</v>
      </c>
      <c r="S20">
        <f t="shared" si="0"/>
        <v>1</v>
      </c>
      <c r="T20">
        <f t="shared" si="1"/>
        <v>1</v>
      </c>
    </row>
    <row r="21" spans="1:20" x14ac:dyDescent="0.2">
      <c r="A21" t="s">
        <v>55</v>
      </c>
      <c r="B21">
        <f>IF(COUNTIFS('United Data'!$A$3:$A$3390,B$1,'United Data'!$C$3:$C$3390,$A21)&gt;0,1,0)</f>
        <v>0</v>
      </c>
      <c r="C21">
        <f>IF(COUNTIFS('United Data'!$A$3:$A$3390,C$1,'United Data'!$C$3:$C$3390,$A21)&gt;0,1,0)</f>
        <v>0</v>
      </c>
      <c r="D21">
        <f>IF(COUNTIFS('United Data'!$A$3:$A$3390,D$1,'United Data'!$C$3:$C$3390,$A21)&gt;0,1,0)</f>
        <v>0</v>
      </c>
      <c r="E21">
        <f>IF(COUNTIFS('United Data'!$A$3:$A$3390,E$1,'United Data'!$C$3:$C$3390,$A21)&gt;0,1,0)</f>
        <v>0</v>
      </c>
      <c r="F21">
        <f>IF(COUNTIFS('United Data'!$A$3:$A$3390,F$1,'United Data'!$C$3:$C$3390,$A21)&gt;0,1,0)</f>
        <v>0</v>
      </c>
      <c r="G21">
        <f>IF(COUNTIFS('United Data'!$A$3:$A$3390,G$1,'United Data'!$C$3:$C$3390,$A21)&gt;0,1,0)</f>
        <v>0</v>
      </c>
      <c r="H21">
        <f>IF(COUNTIFS('United Data'!$A$3:$A$3390,H$1,'United Data'!$C$3:$C$3390,$A21)&gt;0,1,0)</f>
        <v>0</v>
      </c>
      <c r="I21">
        <f>IF(COUNTIFS('United Data'!$A$3:$A$3390,I$1,'United Data'!$C$3:$C$3390,$A21)&gt;0,1,0)</f>
        <v>1</v>
      </c>
      <c r="J21">
        <f>IF(COUNTIFS('United Data'!$A$3:$A$3390,J$1,'United Data'!$C$3:$C$3390,$A21)&gt;0,1,0)</f>
        <v>0</v>
      </c>
      <c r="K21">
        <f>IF(COUNTIFS('United Data'!$A$3:$A$3390,K$1,'United Data'!$C$3:$C$3390,$A21)&gt;0,1,0)</f>
        <v>0</v>
      </c>
      <c r="L21">
        <f>IF(COUNTIFS('United Data'!$A$3:$A$3390,L$1,'United Data'!$C$3:$C$3390,$A21)&gt;0,1,0)</f>
        <v>0</v>
      </c>
      <c r="M21">
        <f>IF(COUNTIFS('United Data'!$A$3:$A$3390,M$1,'United Data'!$C$3:$C$3390,$A21)&gt;0,1,0)</f>
        <v>0</v>
      </c>
      <c r="N21">
        <f>IF(COUNTIFS('United Data'!$A$3:$A$3390,N$1,'United Data'!$C$3:$C$3390,$A21)&gt;0,1,0)</f>
        <v>0</v>
      </c>
      <c r="O21">
        <f>IF(COUNTIFS('United Data'!$A$3:$A$3390,O$1,'United Data'!$C$3:$C$3390,$A21)&gt;0,1,0)</f>
        <v>0</v>
      </c>
      <c r="P21">
        <f>IF(COUNTIFS('United Data'!$A$3:$A$3390,P$1,'United Data'!$C$3:$C$3390,$A21)&gt;0,1,0)</f>
        <v>0</v>
      </c>
      <c r="Q21">
        <f>IF(COUNTIFS('United Data'!$A$3:$A$3390,Q$1,'United Data'!$C$3:$C$3390,$A21)&gt;0,1,0)</f>
        <v>0</v>
      </c>
      <c r="R21">
        <f>IF(COUNTIFS('United Data'!$A$3:$A$3390,R$1,'United Data'!$C$3:$C$3390,$A21)&gt;0,1,0)</f>
        <v>0</v>
      </c>
      <c r="S21">
        <f t="shared" si="0"/>
        <v>1</v>
      </c>
      <c r="T21">
        <f t="shared" si="1"/>
        <v>1</v>
      </c>
    </row>
    <row r="22" spans="1:20" x14ac:dyDescent="0.2">
      <c r="A22" t="s">
        <v>56</v>
      </c>
      <c r="B22">
        <f>IF(COUNTIFS('United Data'!$A$3:$A$3390,B$1,'United Data'!$C$3:$C$3390,$A22)&gt;0,1,0)</f>
        <v>0</v>
      </c>
      <c r="C22">
        <f>IF(COUNTIFS('United Data'!$A$3:$A$3390,C$1,'United Data'!$C$3:$C$3390,$A22)&gt;0,1,0)</f>
        <v>0</v>
      </c>
      <c r="D22">
        <f>IF(COUNTIFS('United Data'!$A$3:$A$3390,D$1,'United Data'!$C$3:$C$3390,$A22)&gt;0,1,0)</f>
        <v>0</v>
      </c>
      <c r="E22">
        <f>IF(COUNTIFS('United Data'!$A$3:$A$3390,E$1,'United Data'!$C$3:$C$3390,$A22)&gt;0,1,0)</f>
        <v>0</v>
      </c>
      <c r="F22">
        <f>IF(COUNTIFS('United Data'!$A$3:$A$3390,F$1,'United Data'!$C$3:$C$3390,$A22)&gt;0,1,0)</f>
        <v>0</v>
      </c>
      <c r="G22">
        <f>IF(COUNTIFS('United Data'!$A$3:$A$3390,G$1,'United Data'!$C$3:$C$3390,$A22)&gt;0,1,0)</f>
        <v>0</v>
      </c>
      <c r="H22">
        <f>IF(COUNTIFS('United Data'!$A$3:$A$3390,H$1,'United Data'!$C$3:$C$3390,$A22)&gt;0,1,0)</f>
        <v>0</v>
      </c>
      <c r="I22">
        <f>IF(COUNTIFS('United Data'!$A$3:$A$3390,I$1,'United Data'!$C$3:$C$3390,$A22)&gt;0,1,0)</f>
        <v>1</v>
      </c>
      <c r="J22">
        <f>IF(COUNTIFS('United Data'!$A$3:$A$3390,J$1,'United Data'!$C$3:$C$3390,$A22)&gt;0,1,0)</f>
        <v>0</v>
      </c>
      <c r="K22">
        <f>IF(COUNTIFS('United Data'!$A$3:$A$3390,K$1,'United Data'!$C$3:$C$3390,$A22)&gt;0,1,0)</f>
        <v>0</v>
      </c>
      <c r="L22">
        <f>IF(COUNTIFS('United Data'!$A$3:$A$3390,L$1,'United Data'!$C$3:$C$3390,$A22)&gt;0,1,0)</f>
        <v>0</v>
      </c>
      <c r="M22">
        <f>IF(COUNTIFS('United Data'!$A$3:$A$3390,M$1,'United Data'!$C$3:$C$3390,$A22)&gt;0,1,0)</f>
        <v>0</v>
      </c>
      <c r="N22">
        <f>IF(COUNTIFS('United Data'!$A$3:$A$3390,N$1,'United Data'!$C$3:$C$3390,$A22)&gt;0,1,0)</f>
        <v>0</v>
      </c>
      <c r="O22">
        <f>IF(COUNTIFS('United Data'!$A$3:$A$3390,O$1,'United Data'!$C$3:$C$3390,$A22)&gt;0,1,0)</f>
        <v>0</v>
      </c>
      <c r="P22">
        <f>IF(COUNTIFS('United Data'!$A$3:$A$3390,P$1,'United Data'!$C$3:$C$3390,$A22)&gt;0,1,0)</f>
        <v>0</v>
      </c>
      <c r="Q22">
        <f>IF(COUNTIFS('United Data'!$A$3:$A$3390,Q$1,'United Data'!$C$3:$C$3390,$A22)&gt;0,1,0)</f>
        <v>0</v>
      </c>
      <c r="R22">
        <f>IF(COUNTIFS('United Data'!$A$3:$A$3390,R$1,'United Data'!$C$3:$C$3390,$A22)&gt;0,1,0)</f>
        <v>0</v>
      </c>
      <c r="S22">
        <f t="shared" si="0"/>
        <v>1</v>
      </c>
      <c r="T22">
        <f t="shared" si="1"/>
        <v>1</v>
      </c>
    </row>
    <row r="23" spans="1:20" x14ac:dyDescent="0.2">
      <c r="A23" t="s">
        <v>57</v>
      </c>
      <c r="B23">
        <f>IF(COUNTIFS('United Data'!$A$3:$A$3390,B$1,'United Data'!$C$3:$C$3390,$A23)&gt;0,1,0)</f>
        <v>0</v>
      </c>
      <c r="C23">
        <f>IF(COUNTIFS('United Data'!$A$3:$A$3390,C$1,'United Data'!$C$3:$C$3390,$A23)&gt;0,1,0)</f>
        <v>0</v>
      </c>
      <c r="D23">
        <f>IF(COUNTIFS('United Data'!$A$3:$A$3390,D$1,'United Data'!$C$3:$C$3390,$A23)&gt;0,1,0)</f>
        <v>0</v>
      </c>
      <c r="E23">
        <f>IF(COUNTIFS('United Data'!$A$3:$A$3390,E$1,'United Data'!$C$3:$C$3390,$A23)&gt;0,1,0)</f>
        <v>0</v>
      </c>
      <c r="F23">
        <f>IF(COUNTIFS('United Data'!$A$3:$A$3390,F$1,'United Data'!$C$3:$C$3390,$A23)&gt;0,1,0)</f>
        <v>0</v>
      </c>
      <c r="G23">
        <f>IF(COUNTIFS('United Data'!$A$3:$A$3390,G$1,'United Data'!$C$3:$C$3390,$A23)&gt;0,1,0)</f>
        <v>0</v>
      </c>
      <c r="H23">
        <f>IF(COUNTIFS('United Data'!$A$3:$A$3390,H$1,'United Data'!$C$3:$C$3390,$A23)&gt;0,1,0)</f>
        <v>0</v>
      </c>
      <c r="I23">
        <f>IF(COUNTIFS('United Data'!$A$3:$A$3390,I$1,'United Data'!$C$3:$C$3390,$A23)&gt;0,1,0)</f>
        <v>1</v>
      </c>
      <c r="J23">
        <f>IF(COUNTIFS('United Data'!$A$3:$A$3390,J$1,'United Data'!$C$3:$C$3390,$A23)&gt;0,1,0)</f>
        <v>0</v>
      </c>
      <c r="K23">
        <f>IF(COUNTIFS('United Data'!$A$3:$A$3390,K$1,'United Data'!$C$3:$C$3390,$A23)&gt;0,1,0)</f>
        <v>0</v>
      </c>
      <c r="L23">
        <f>IF(COUNTIFS('United Data'!$A$3:$A$3390,L$1,'United Data'!$C$3:$C$3390,$A23)&gt;0,1,0)</f>
        <v>0</v>
      </c>
      <c r="M23">
        <f>IF(COUNTIFS('United Data'!$A$3:$A$3390,M$1,'United Data'!$C$3:$C$3390,$A23)&gt;0,1,0)</f>
        <v>0</v>
      </c>
      <c r="N23">
        <f>IF(COUNTIFS('United Data'!$A$3:$A$3390,N$1,'United Data'!$C$3:$C$3390,$A23)&gt;0,1,0)</f>
        <v>0</v>
      </c>
      <c r="O23">
        <f>IF(COUNTIFS('United Data'!$A$3:$A$3390,O$1,'United Data'!$C$3:$C$3390,$A23)&gt;0,1,0)</f>
        <v>0</v>
      </c>
      <c r="P23">
        <f>IF(COUNTIFS('United Data'!$A$3:$A$3390,P$1,'United Data'!$C$3:$C$3390,$A23)&gt;0,1,0)</f>
        <v>0</v>
      </c>
      <c r="Q23">
        <f>IF(COUNTIFS('United Data'!$A$3:$A$3390,Q$1,'United Data'!$C$3:$C$3390,$A23)&gt;0,1,0)</f>
        <v>0</v>
      </c>
      <c r="R23">
        <f>IF(COUNTIFS('United Data'!$A$3:$A$3390,R$1,'United Data'!$C$3:$C$3390,$A23)&gt;0,1,0)</f>
        <v>0</v>
      </c>
      <c r="S23">
        <f t="shared" si="0"/>
        <v>1</v>
      </c>
      <c r="T23">
        <f t="shared" si="1"/>
        <v>1</v>
      </c>
    </row>
    <row r="24" spans="1:20" x14ac:dyDescent="0.2">
      <c r="A24" t="s">
        <v>58</v>
      </c>
      <c r="B24">
        <f>IF(COUNTIFS('United Data'!$A$3:$A$3390,B$1,'United Data'!$C$3:$C$3390,$A24)&gt;0,1,0)</f>
        <v>0</v>
      </c>
      <c r="C24">
        <f>IF(COUNTIFS('United Data'!$A$3:$A$3390,C$1,'United Data'!$C$3:$C$3390,$A24)&gt;0,1,0)</f>
        <v>0</v>
      </c>
      <c r="D24">
        <f>IF(COUNTIFS('United Data'!$A$3:$A$3390,D$1,'United Data'!$C$3:$C$3390,$A24)&gt;0,1,0)</f>
        <v>0</v>
      </c>
      <c r="E24">
        <f>IF(COUNTIFS('United Data'!$A$3:$A$3390,E$1,'United Data'!$C$3:$C$3390,$A24)&gt;0,1,0)</f>
        <v>0</v>
      </c>
      <c r="F24">
        <f>IF(COUNTIFS('United Data'!$A$3:$A$3390,F$1,'United Data'!$C$3:$C$3390,$A24)&gt;0,1,0)</f>
        <v>0</v>
      </c>
      <c r="G24">
        <f>IF(COUNTIFS('United Data'!$A$3:$A$3390,G$1,'United Data'!$C$3:$C$3390,$A24)&gt;0,1,0)</f>
        <v>0</v>
      </c>
      <c r="H24">
        <f>IF(COUNTIFS('United Data'!$A$3:$A$3390,H$1,'United Data'!$C$3:$C$3390,$A24)&gt;0,1,0)</f>
        <v>0</v>
      </c>
      <c r="I24">
        <f>IF(COUNTIFS('United Data'!$A$3:$A$3390,I$1,'United Data'!$C$3:$C$3390,$A24)&gt;0,1,0)</f>
        <v>1</v>
      </c>
      <c r="J24">
        <f>IF(COUNTIFS('United Data'!$A$3:$A$3390,J$1,'United Data'!$C$3:$C$3390,$A24)&gt;0,1,0)</f>
        <v>0</v>
      </c>
      <c r="K24">
        <f>IF(COUNTIFS('United Data'!$A$3:$A$3390,K$1,'United Data'!$C$3:$C$3390,$A24)&gt;0,1,0)</f>
        <v>0</v>
      </c>
      <c r="L24">
        <f>IF(COUNTIFS('United Data'!$A$3:$A$3390,L$1,'United Data'!$C$3:$C$3390,$A24)&gt;0,1,0)</f>
        <v>0</v>
      </c>
      <c r="M24">
        <f>IF(COUNTIFS('United Data'!$A$3:$A$3390,M$1,'United Data'!$C$3:$C$3390,$A24)&gt;0,1,0)</f>
        <v>0</v>
      </c>
      <c r="N24">
        <f>IF(COUNTIFS('United Data'!$A$3:$A$3390,N$1,'United Data'!$C$3:$C$3390,$A24)&gt;0,1,0)</f>
        <v>0</v>
      </c>
      <c r="O24">
        <f>IF(COUNTIFS('United Data'!$A$3:$A$3390,O$1,'United Data'!$C$3:$C$3390,$A24)&gt;0,1,0)</f>
        <v>0</v>
      </c>
      <c r="P24">
        <f>IF(COUNTIFS('United Data'!$A$3:$A$3390,P$1,'United Data'!$C$3:$C$3390,$A24)&gt;0,1,0)</f>
        <v>0</v>
      </c>
      <c r="Q24">
        <f>IF(COUNTIFS('United Data'!$A$3:$A$3390,Q$1,'United Data'!$C$3:$C$3390,$A24)&gt;0,1,0)</f>
        <v>0</v>
      </c>
      <c r="R24">
        <f>IF(COUNTIFS('United Data'!$A$3:$A$3390,R$1,'United Data'!$C$3:$C$3390,$A24)&gt;0,1,0)</f>
        <v>0</v>
      </c>
      <c r="S24">
        <f t="shared" si="0"/>
        <v>1</v>
      </c>
      <c r="T24">
        <f t="shared" si="1"/>
        <v>1</v>
      </c>
    </row>
    <row r="25" spans="1:20" x14ac:dyDescent="0.2">
      <c r="A25" t="s">
        <v>60</v>
      </c>
      <c r="B25">
        <f>IF(COUNTIFS('United Data'!$A$3:$A$3390,B$1,'United Data'!$C$3:$C$3390,$A25)&gt;0,1,0)</f>
        <v>0</v>
      </c>
      <c r="C25">
        <f>IF(COUNTIFS('United Data'!$A$3:$A$3390,C$1,'United Data'!$C$3:$C$3390,$A25)&gt;0,1,0)</f>
        <v>0</v>
      </c>
      <c r="D25">
        <f>IF(COUNTIFS('United Data'!$A$3:$A$3390,D$1,'United Data'!$C$3:$C$3390,$A25)&gt;0,1,0)</f>
        <v>0</v>
      </c>
      <c r="E25">
        <f>IF(COUNTIFS('United Data'!$A$3:$A$3390,E$1,'United Data'!$C$3:$C$3390,$A25)&gt;0,1,0)</f>
        <v>0</v>
      </c>
      <c r="F25">
        <f>IF(COUNTIFS('United Data'!$A$3:$A$3390,F$1,'United Data'!$C$3:$C$3390,$A25)&gt;0,1,0)</f>
        <v>0</v>
      </c>
      <c r="G25">
        <f>IF(COUNTIFS('United Data'!$A$3:$A$3390,G$1,'United Data'!$C$3:$C$3390,$A25)&gt;0,1,0)</f>
        <v>0</v>
      </c>
      <c r="H25">
        <f>IF(COUNTIFS('United Data'!$A$3:$A$3390,H$1,'United Data'!$C$3:$C$3390,$A25)&gt;0,1,0)</f>
        <v>0</v>
      </c>
      <c r="I25">
        <f>IF(COUNTIFS('United Data'!$A$3:$A$3390,I$1,'United Data'!$C$3:$C$3390,$A25)&gt;0,1,0)</f>
        <v>0</v>
      </c>
      <c r="J25">
        <f>IF(COUNTIFS('United Data'!$A$3:$A$3390,J$1,'United Data'!$C$3:$C$3390,$A25)&gt;0,1,0)</f>
        <v>1</v>
      </c>
      <c r="K25">
        <f>IF(COUNTIFS('United Data'!$A$3:$A$3390,K$1,'United Data'!$C$3:$C$3390,$A25)&gt;0,1,0)</f>
        <v>0</v>
      </c>
      <c r="L25">
        <f>IF(COUNTIFS('United Data'!$A$3:$A$3390,L$1,'United Data'!$C$3:$C$3390,$A25)&gt;0,1,0)</f>
        <v>0</v>
      </c>
      <c r="M25">
        <f>IF(COUNTIFS('United Data'!$A$3:$A$3390,M$1,'United Data'!$C$3:$C$3390,$A25)&gt;0,1,0)</f>
        <v>0</v>
      </c>
      <c r="N25">
        <f>IF(COUNTIFS('United Data'!$A$3:$A$3390,N$1,'United Data'!$C$3:$C$3390,$A25)&gt;0,1,0)</f>
        <v>0</v>
      </c>
      <c r="O25">
        <f>IF(COUNTIFS('United Data'!$A$3:$A$3390,O$1,'United Data'!$C$3:$C$3390,$A25)&gt;0,1,0)</f>
        <v>0</v>
      </c>
      <c r="P25">
        <f>IF(COUNTIFS('United Data'!$A$3:$A$3390,P$1,'United Data'!$C$3:$C$3390,$A25)&gt;0,1,0)</f>
        <v>0</v>
      </c>
      <c r="Q25">
        <f>IF(COUNTIFS('United Data'!$A$3:$A$3390,Q$1,'United Data'!$C$3:$C$3390,$A25)&gt;0,1,0)</f>
        <v>0</v>
      </c>
      <c r="R25">
        <f>IF(COUNTIFS('United Data'!$A$3:$A$3390,R$1,'United Data'!$C$3:$C$3390,$A25)&gt;0,1,0)</f>
        <v>0</v>
      </c>
      <c r="S25">
        <f t="shared" si="0"/>
        <v>1</v>
      </c>
      <c r="T25">
        <f t="shared" si="1"/>
        <v>1</v>
      </c>
    </row>
    <row r="26" spans="1:20" x14ac:dyDescent="0.2">
      <c r="A26" t="s">
        <v>63</v>
      </c>
      <c r="B26">
        <f>IF(COUNTIFS('United Data'!$A$3:$A$3390,B$1,'United Data'!$C$3:$C$3390,$A26)&gt;0,1,0)</f>
        <v>0</v>
      </c>
      <c r="C26">
        <f>IF(COUNTIFS('United Data'!$A$3:$A$3390,C$1,'United Data'!$C$3:$C$3390,$A26)&gt;0,1,0)</f>
        <v>0</v>
      </c>
      <c r="D26">
        <f>IF(COUNTIFS('United Data'!$A$3:$A$3390,D$1,'United Data'!$C$3:$C$3390,$A26)&gt;0,1,0)</f>
        <v>0</v>
      </c>
      <c r="E26">
        <f>IF(COUNTIFS('United Data'!$A$3:$A$3390,E$1,'United Data'!$C$3:$C$3390,$A26)&gt;0,1,0)</f>
        <v>0</v>
      </c>
      <c r="F26">
        <f>IF(COUNTIFS('United Data'!$A$3:$A$3390,F$1,'United Data'!$C$3:$C$3390,$A26)&gt;0,1,0)</f>
        <v>0</v>
      </c>
      <c r="G26">
        <f>IF(COUNTIFS('United Data'!$A$3:$A$3390,G$1,'United Data'!$C$3:$C$3390,$A26)&gt;0,1,0)</f>
        <v>0</v>
      </c>
      <c r="H26">
        <f>IF(COUNTIFS('United Data'!$A$3:$A$3390,H$1,'United Data'!$C$3:$C$3390,$A26)&gt;0,1,0)</f>
        <v>0</v>
      </c>
      <c r="I26">
        <f>IF(COUNTIFS('United Data'!$A$3:$A$3390,I$1,'United Data'!$C$3:$C$3390,$A26)&gt;0,1,0)</f>
        <v>0</v>
      </c>
      <c r="J26">
        <f>IF(COUNTIFS('United Data'!$A$3:$A$3390,J$1,'United Data'!$C$3:$C$3390,$A26)&gt;0,1,0)</f>
        <v>0</v>
      </c>
      <c r="K26">
        <f>IF(COUNTIFS('United Data'!$A$3:$A$3390,K$1,'United Data'!$C$3:$C$3390,$A26)&gt;0,1,0)</f>
        <v>0</v>
      </c>
      <c r="L26">
        <f>IF(COUNTIFS('United Data'!$A$3:$A$3390,L$1,'United Data'!$C$3:$C$3390,$A26)&gt;0,1,0)</f>
        <v>1</v>
      </c>
      <c r="M26">
        <f>IF(COUNTIFS('United Data'!$A$3:$A$3390,M$1,'United Data'!$C$3:$C$3390,$A26)&gt;0,1,0)</f>
        <v>1</v>
      </c>
      <c r="N26">
        <f>IF(COUNTIFS('United Data'!$A$3:$A$3390,N$1,'United Data'!$C$3:$C$3390,$A26)&gt;0,1,0)</f>
        <v>0</v>
      </c>
      <c r="O26">
        <f>IF(COUNTIFS('United Data'!$A$3:$A$3390,O$1,'United Data'!$C$3:$C$3390,$A26)&gt;0,1,0)</f>
        <v>0</v>
      </c>
      <c r="P26">
        <f>IF(COUNTIFS('United Data'!$A$3:$A$3390,P$1,'United Data'!$C$3:$C$3390,$A26)&gt;0,1,0)</f>
        <v>0</v>
      </c>
      <c r="Q26">
        <f>IF(COUNTIFS('United Data'!$A$3:$A$3390,Q$1,'United Data'!$C$3:$C$3390,$A26)&gt;0,1,0)</f>
        <v>0</v>
      </c>
      <c r="R26">
        <f>IF(COUNTIFS('United Data'!$A$3:$A$3390,R$1,'United Data'!$C$3:$C$3390,$A26)&gt;0,1,0)</f>
        <v>0</v>
      </c>
      <c r="S26">
        <f t="shared" si="0"/>
        <v>2</v>
      </c>
      <c r="T26">
        <f t="shared" si="1"/>
        <v>1</v>
      </c>
    </row>
    <row r="27" spans="1:20" x14ac:dyDescent="0.2">
      <c r="A27" t="s">
        <v>64</v>
      </c>
      <c r="B27">
        <f>IF(COUNTIFS('United Data'!$A$3:$A$3390,B$1,'United Data'!$C$3:$C$3390,$A27)&gt;0,1,0)</f>
        <v>0</v>
      </c>
      <c r="C27">
        <f>IF(COUNTIFS('United Data'!$A$3:$A$3390,C$1,'United Data'!$C$3:$C$3390,$A27)&gt;0,1,0)</f>
        <v>0</v>
      </c>
      <c r="D27">
        <f>IF(COUNTIFS('United Data'!$A$3:$A$3390,D$1,'United Data'!$C$3:$C$3390,$A27)&gt;0,1,0)</f>
        <v>0</v>
      </c>
      <c r="E27">
        <f>IF(COUNTIFS('United Data'!$A$3:$A$3390,E$1,'United Data'!$C$3:$C$3390,$A27)&gt;0,1,0)</f>
        <v>0</v>
      </c>
      <c r="F27">
        <f>IF(COUNTIFS('United Data'!$A$3:$A$3390,F$1,'United Data'!$C$3:$C$3390,$A27)&gt;0,1,0)</f>
        <v>0</v>
      </c>
      <c r="G27">
        <f>IF(COUNTIFS('United Data'!$A$3:$A$3390,G$1,'United Data'!$C$3:$C$3390,$A27)&gt;0,1,0)</f>
        <v>0</v>
      </c>
      <c r="H27">
        <f>IF(COUNTIFS('United Data'!$A$3:$A$3390,H$1,'United Data'!$C$3:$C$3390,$A27)&gt;0,1,0)</f>
        <v>0</v>
      </c>
      <c r="I27">
        <f>IF(COUNTIFS('United Data'!$A$3:$A$3390,I$1,'United Data'!$C$3:$C$3390,$A27)&gt;0,1,0)</f>
        <v>0</v>
      </c>
      <c r="J27">
        <f>IF(COUNTIFS('United Data'!$A$3:$A$3390,J$1,'United Data'!$C$3:$C$3390,$A27)&gt;0,1,0)</f>
        <v>0</v>
      </c>
      <c r="K27">
        <f>IF(COUNTIFS('United Data'!$A$3:$A$3390,K$1,'United Data'!$C$3:$C$3390,$A27)&gt;0,1,0)</f>
        <v>0</v>
      </c>
      <c r="L27">
        <f>IF(COUNTIFS('United Data'!$A$3:$A$3390,L$1,'United Data'!$C$3:$C$3390,$A27)&gt;0,1,0)</f>
        <v>1</v>
      </c>
      <c r="M27">
        <f>IF(COUNTIFS('United Data'!$A$3:$A$3390,M$1,'United Data'!$C$3:$C$3390,$A27)&gt;0,1,0)</f>
        <v>0</v>
      </c>
      <c r="N27">
        <f>IF(COUNTIFS('United Data'!$A$3:$A$3390,N$1,'United Data'!$C$3:$C$3390,$A27)&gt;0,1,0)</f>
        <v>0</v>
      </c>
      <c r="O27">
        <f>IF(COUNTIFS('United Data'!$A$3:$A$3390,O$1,'United Data'!$C$3:$C$3390,$A27)&gt;0,1,0)</f>
        <v>0</v>
      </c>
      <c r="P27">
        <f>IF(COUNTIFS('United Data'!$A$3:$A$3390,P$1,'United Data'!$C$3:$C$3390,$A27)&gt;0,1,0)</f>
        <v>0</v>
      </c>
      <c r="Q27">
        <f>IF(COUNTIFS('United Data'!$A$3:$A$3390,Q$1,'United Data'!$C$3:$C$3390,$A27)&gt;0,1,0)</f>
        <v>0</v>
      </c>
      <c r="R27">
        <f>IF(COUNTIFS('United Data'!$A$3:$A$3390,R$1,'United Data'!$C$3:$C$3390,$A27)&gt;0,1,0)</f>
        <v>0</v>
      </c>
      <c r="S27">
        <f t="shared" si="0"/>
        <v>1</v>
      </c>
      <c r="T27">
        <f t="shared" si="1"/>
        <v>1</v>
      </c>
    </row>
    <row r="28" spans="1:20" x14ac:dyDescent="0.2">
      <c r="A28" t="s">
        <v>65</v>
      </c>
      <c r="B28">
        <f>IF(COUNTIFS('United Data'!$A$3:$A$3390,B$1,'United Data'!$C$3:$C$3390,$A28)&gt;0,1,0)</f>
        <v>0</v>
      </c>
      <c r="C28">
        <f>IF(COUNTIFS('United Data'!$A$3:$A$3390,C$1,'United Data'!$C$3:$C$3390,$A28)&gt;0,1,0)</f>
        <v>0</v>
      </c>
      <c r="D28">
        <f>IF(COUNTIFS('United Data'!$A$3:$A$3390,D$1,'United Data'!$C$3:$C$3390,$A28)&gt;0,1,0)</f>
        <v>0</v>
      </c>
      <c r="E28">
        <f>IF(COUNTIFS('United Data'!$A$3:$A$3390,E$1,'United Data'!$C$3:$C$3390,$A28)&gt;0,1,0)</f>
        <v>0</v>
      </c>
      <c r="F28">
        <f>IF(COUNTIFS('United Data'!$A$3:$A$3390,F$1,'United Data'!$C$3:$C$3390,$A28)&gt;0,1,0)</f>
        <v>0</v>
      </c>
      <c r="G28">
        <f>IF(COUNTIFS('United Data'!$A$3:$A$3390,G$1,'United Data'!$C$3:$C$3390,$A28)&gt;0,1,0)</f>
        <v>0</v>
      </c>
      <c r="H28">
        <f>IF(COUNTIFS('United Data'!$A$3:$A$3390,H$1,'United Data'!$C$3:$C$3390,$A28)&gt;0,1,0)</f>
        <v>0</v>
      </c>
      <c r="I28">
        <f>IF(COUNTIFS('United Data'!$A$3:$A$3390,I$1,'United Data'!$C$3:$C$3390,$A28)&gt;0,1,0)</f>
        <v>0</v>
      </c>
      <c r="J28">
        <f>IF(COUNTIFS('United Data'!$A$3:$A$3390,J$1,'United Data'!$C$3:$C$3390,$A28)&gt;0,1,0)</f>
        <v>0</v>
      </c>
      <c r="K28">
        <f>IF(COUNTIFS('United Data'!$A$3:$A$3390,K$1,'United Data'!$C$3:$C$3390,$A28)&gt;0,1,0)</f>
        <v>0</v>
      </c>
      <c r="L28">
        <f>IF(COUNTIFS('United Data'!$A$3:$A$3390,L$1,'United Data'!$C$3:$C$3390,$A28)&gt;0,1,0)</f>
        <v>1</v>
      </c>
      <c r="M28">
        <f>IF(COUNTIFS('United Data'!$A$3:$A$3390,M$1,'United Data'!$C$3:$C$3390,$A28)&gt;0,1,0)</f>
        <v>0</v>
      </c>
      <c r="N28">
        <f>IF(COUNTIFS('United Data'!$A$3:$A$3390,N$1,'United Data'!$C$3:$C$3390,$A28)&gt;0,1,0)</f>
        <v>0</v>
      </c>
      <c r="O28">
        <f>IF(COUNTIFS('United Data'!$A$3:$A$3390,O$1,'United Data'!$C$3:$C$3390,$A28)&gt;0,1,0)</f>
        <v>0</v>
      </c>
      <c r="P28">
        <f>IF(COUNTIFS('United Data'!$A$3:$A$3390,P$1,'United Data'!$C$3:$C$3390,$A28)&gt;0,1,0)</f>
        <v>0</v>
      </c>
      <c r="Q28">
        <f>IF(COUNTIFS('United Data'!$A$3:$A$3390,Q$1,'United Data'!$C$3:$C$3390,$A28)&gt;0,1,0)</f>
        <v>0</v>
      </c>
      <c r="R28">
        <f>IF(COUNTIFS('United Data'!$A$3:$A$3390,R$1,'United Data'!$C$3:$C$3390,$A28)&gt;0,1,0)</f>
        <v>0</v>
      </c>
      <c r="S28">
        <f t="shared" si="0"/>
        <v>1</v>
      </c>
      <c r="T28">
        <f t="shared" si="1"/>
        <v>1</v>
      </c>
    </row>
    <row r="29" spans="1:20" x14ac:dyDescent="0.2">
      <c r="A29" t="s">
        <v>66</v>
      </c>
      <c r="B29">
        <f>IF(COUNTIFS('United Data'!$A$3:$A$3390,B$1,'United Data'!$C$3:$C$3390,$A29)&gt;0,1,0)</f>
        <v>0</v>
      </c>
      <c r="C29">
        <f>IF(COUNTIFS('United Data'!$A$3:$A$3390,C$1,'United Data'!$C$3:$C$3390,$A29)&gt;0,1,0)</f>
        <v>0</v>
      </c>
      <c r="D29">
        <f>IF(COUNTIFS('United Data'!$A$3:$A$3390,D$1,'United Data'!$C$3:$C$3390,$A29)&gt;0,1,0)</f>
        <v>0</v>
      </c>
      <c r="E29">
        <f>IF(COUNTIFS('United Data'!$A$3:$A$3390,E$1,'United Data'!$C$3:$C$3390,$A29)&gt;0,1,0)</f>
        <v>0</v>
      </c>
      <c r="F29">
        <f>IF(COUNTIFS('United Data'!$A$3:$A$3390,F$1,'United Data'!$C$3:$C$3390,$A29)&gt;0,1,0)</f>
        <v>0</v>
      </c>
      <c r="G29">
        <f>IF(COUNTIFS('United Data'!$A$3:$A$3390,G$1,'United Data'!$C$3:$C$3390,$A29)&gt;0,1,0)</f>
        <v>0</v>
      </c>
      <c r="H29">
        <f>IF(COUNTIFS('United Data'!$A$3:$A$3390,H$1,'United Data'!$C$3:$C$3390,$A29)&gt;0,1,0)</f>
        <v>0</v>
      </c>
      <c r="I29">
        <f>IF(COUNTIFS('United Data'!$A$3:$A$3390,I$1,'United Data'!$C$3:$C$3390,$A29)&gt;0,1,0)</f>
        <v>0</v>
      </c>
      <c r="J29">
        <f>IF(COUNTIFS('United Data'!$A$3:$A$3390,J$1,'United Data'!$C$3:$C$3390,$A29)&gt;0,1,0)</f>
        <v>0</v>
      </c>
      <c r="K29">
        <f>IF(COUNTIFS('United Data'!$A$3:$A$3390,K$1,'United Data'!$C$3:$C$3390,$A29)&gt;0,1,0)</f>
        <v>0</v>
      </c>
      <c r="L29">
        <f>IF(COUNTIFS('United Data'!$A$3:$A$3390,L$1,'United Data'!$C$3:$C$3390,$A29)&gt;0,1,0)</f>
        <v>1</v>
      </c>
      <c r="M29">
        <f>IF(COUNTIFS('United Data'!$A$3:$A$3390,M$1,'United Data'!$C$3:$C$3390,$A29)&gt;0,1,0)</f>
        <v>0</v>
      </c>
      <c r="N29">
        <f>IF(COUNTIFS('United Data'!$A$3:$A$3390,N$1,'United Data'!$C$3:$C$3390,$A29)&gt;0,1,0)</f>
        <v>0</v>
      </c>
      <c r="O29">
        <f>IF(COUNTIFS('United Data'!$A$3:$A$3390,O$1,'United Data'!$C$3:$C$3390,$A29)&gt;0,1,0)</f>
        <v>0</v>
      </c>
      <c r="P29">
        <f>IF(COUNTIFS('United Data'!$A$3:$A$3390,P$1,'United Data'!$C$3:$C$3390,$A29)&gt;0,1,0)</f>
        <v>0</v>
      </c>
      <c r="Q29">
        <f>IF(COUNTIFS('United Data'!$A$3:$A$3390,Q$1,'United Data'!$C$3:$C$3390,$A29)&gt;0,1,0)</f>
        <v>0</v>
      </c>
      <c r="R29">
        <f>IF(COUNTIFS('United Data'!$A$3:$A$3390,R$1,'United Data'!$C$3:$C$3390,$A29)&gt;0,1,0)</f>
        <v>0</v>
      </c>
      <c r="S29">
        <f t="shared" si="0"/>
        <v>1</v>
      </c>
      <c r="T29">
        <f t="shared" si="1"/>
        <v>1</v>
      </c>
    </row>
    <row r="30" spans="1:20" x14ac:dyDescent="0.2">
      <c r="A30" t="s">
        <v>67</v>
      </c>
      <c r="B30">
        <f>IF(COUNTIFS('United Data'!$A$3:$A$3390,B$1,'United Data'!$C$3:$C$3390,$A30)&gt;0,1,0)</f>
        <v>0</v>
      </c>
      <c r="C30">
        <f>IF(COUNTIFS('United Data'!$A$3:$A$3390,C$1,'United Data'!$C$3:$C$3390,$A30)&gt;0,1,0)</f>
        <v>0</v>
      </c>
      <c r="D30">
        <f>IF(COUNTIFS('United Data'!$A$3:$A$3390,D$1,'United Data'!$C$3:$C$3390,$A30)&gt;0,1,0)</f>
        <v>0</v>
      </c>
      <c r="E30">
        <f>IF(COUNTIFS('United Data'!$A$3:$A$3390,E$1,'United Data'!$C$3:$C$3390,$A30)&gt;0,1,0)</f>
        <v>0</v>
      </c>
      <c r="F30">
        <f>IF(COUNTIFS('United Data'!$A$3:$A$3390,F$1,'United Data'!$C$3:$C$3390,$A30)&gt;0,1,0)</f>
        <v>0</v>
      </c>
      <c r="G30">
        <f>IF(COUNTIFS('United Data'!$A$3:$A$3390,G$1,'United Data'!$C$3:$C$3390,$A30)&gt;0,1,0)</f>
        <v>0</v>
      </c>
      <c r="H30">
        <f>IF(COUNTIFS('United Data'!$A$3:$A$3390,H$1,'United Data'!$C$3:$C$3390,$A30)&gt;0,1,0)</f>
        <v>0</v>
      </c>
      <c r="I30">
        <f>IF(COUNTIFS('United Data'!$A$3:$A$3390,I$1,'United Data'!$C$3:$C$3390,$A30)&gt;0,1,0)</f>
        <v>0</v>
      </c>
      <c r="J30">
        <f>IF(COUNTIFS('United Data'!$A$3:$A$3390,J$1,'United Data'!$C$3:$C$3390,$A30)&gt;0,1,0)</f>
        <v>0</v>
      </c>
      <c r="K30">
        <f>IF(COUNTIFS('United Data'!$A$3:$A$3390,K$1,'United Data'!$C$3:$C$3390,$A30)&gt;0,1,0)</f>
        <v>0</v>
      </c>
      <c r="L30">
        <f>IF(COUNTIFS('United Data'!$A$3:$A$3390,L$1,'United Data'!$C$3:$C$3390,$A30)&gt;0,1,0)</f>
        <v>1</v>
      </c>
      <c r="M30">
        <f>IF(COUNTIFS('United Data'!$A$3:$A$3390,M$1,'United Data'!$C$3:$C$3390,$A30)&gt;0,1,0)</f>
        <v>0</v>
      </c>
      <c r="N30">
        <f>IF(COUNTIFS('United Data'!$A$3:$A$3390,N$1,'United Data'!$C$3:$C$3390,$A30)&gt;0,1,0)</f>
        <v>0</v>
      </c>
      <c r="O30">
        <f>IF(COUNTIFS('United Data'!$A$3:$A$3390,O$1,'United Data'!$C$3:$C$3390,$A30)&gt;0,1,0)</f>
        <v>0</v>
      </c>
      <c r="P30">
        <f>IF(COUNTIFS('United Data'!$A$3:$A$3390,P$1,'United Data'!$C$3:$C$3390,$A30)&gt;0,1,0)</f>
        <v>0</v>
      </c>
      <c r="Q30">
        <f>IF(COUNTIFS('United Data'!$A$3:$A$3390,Q$1,'United Data'!$C$3:$C$3390,$A30)&gt;0,1,0)</f>
        <v>0</v>
      </c>
      <c r="R30">
        <f>IF(COUNTIFS('United Data'!$A$3:$A$3390,R$1,'United Data'!$C$3:$C$3390,$A30)&gt;0,1,0)</f>
        <v>0</v>
      </c>
      <c r="S30">
        <f t="shared" si="0"/>
        <v>1</v>
      </c>
      <c r="T30">
        <f t="shared" si="1"/>
        <v>1</v>
      </c>
    </row>
    <row r="31" spans="1:20" x14ac:dyDescent="0.2">
      <c r="A31" t="s">
        <v>68</v>
      </c>
      <c r="B31">
        <f>IF(COUNTIFS('United Data'!$A$3:$A$3390,B$1,'United Data'!$C$3:$C$3390,$A31)&gt;0,1,0)</f>
        <v>0</v>
      </c>
      <c r="C31">
        <f>IF(COUNTIFS('United Data'!$A$3:$A$3390,C$1,'United Data'!$C$3:$C$3390,$A31)&gt;0,1,0)</f>
        <v>0</v>
      </c>
      <c r="D31">
        <f>IF(COUNTIFS('United Data'!$A$3:$A$3390,D$1,'United Data'!$C$3:$C$3390,$A31)&gt;0,1,0)</f>
        <v>0</v>
      </c>
      <c r="E31">
        <f>IF(COUNTIFS('United Data'!$A$3:$A$3390,E$1,'United Data'!$C$3:$C$3390,$A31)&gt;0,1,0)</f>
        <v>0</v>
      </c>
      <c r="F31">
        <f>IF(COUNTIFS('United Data'!$A$3:$A$3390,F$1,'United Data'!$C$3:$C$3390,$A31)&gt;0,1,0)</f>
        <v>0</v>
      </c>
      <c r="G31">
        <f>IF(COUNTIFS('United Data'!$A$3:$A$3390,G$1,'United Data'!$C$3:$C$3390,$A31)&gt;0,1,0)</f>
        <v>0</v>
      </c>
      <c r="H31">
        <f>IF(COUNTIFS('United Data'!$A$3:$A$3390,H$1,'United Data'!$C$3:$C$3390,$A31)&gt;0,1,0)</f>
        <v>0</v>
      </c>
      <c r="I31">
        <f>IF(COUNTIFS('United Data'!$A$3:$A$3390,I$1,'United Data'!$C$3:$C$3390,$A31)&gt;0,1,0)</f>
        <v>0</v>
      </c>
      <c r="J31">
        <f>IF(COUNTIFS('United Data'!$A$3:$A$3390,J$1,'United Data'!$C$3:$C$3390,$A31)&gt;0,1,0)</f>
        <v>0</v>
      </c>
      <c r="K31">
        <f>IF(COUNTIFS('United Data'!$A$3:$A$3390,K$1,'United Data'!$C$3:$C$3390,$A31)&gt;0,1,0)</f>
        <v>0</v>
      </c>
      <c r="L31">
        <f>IF(COUNTIFS('United Data'!$A$3:$A$3390,L$1,'United Data'!$C$3:$C$3390,$A31)&gt;0,1,0)</f>
        <v>1</v>
      </c>
      <c r="M31">
        <f>IF(COUNTIFS('United Data'!$A$3:$A$3390,M$1,'United Data'!$C$3:$C$3390,$A31)&gt;0,1,0)</f>
        <v>0</v>
      </c>
      <c r="N31">
        <f>IF(COUNTIFS('United Data'!$A$3:$A$3390,N$1,'United Data'!$C$3:$C$3390,$A31)&gt;0,1,0)</f>
        <v>0</v>
      </c>
      <c r="O31">
        <f>IF(COUNTIFS('United Data'!$A$3:$A$3390,O$1,'United Data'!$C$3:$C$3390,$A31)&gt;0,1,0)</f>
        <v>0</v>
      </c>
      <c r="P31">
        <f>IF(COUNTIFS('United Data'!$A$3:$A$3390,P$1,'United Data'!$C$3:$C$3390,$A31)&gt;0,1,0)</f>
        <v>0</v>
      </c>
      <c r="Q31">
        <f>IF(COUNTIFS('United Data'!$A$3:$A$3390,Q$1,'United Data'!$C$3:$C$3390,$A31)&gt;0,1,0)</f>
        <v>0</v>
      </c>
      <c r="R31">
        <f>IF(COUNTIFS('United Data'!$A$3:$A$3390,R$1,'United Data'!$C$3:$C$3390,$A31)&gt;0,1,0)</f>
        <v>0</v>
      </c>
      <c r="S31">
        <f t="shared" si="0"/>
        <v>1</v>
      </c>
      <c r="T31">
        <f t="shared" si="1"/>
        <v>1</v>
      </c>
    </row>
    <row r="32" spans="1:20" x14ac:dyDescent="0.2">
      <c r="A32" t="s">
        <v>69</v>
      </c>
      <c r="B32">
        <f>IF(COUNTIFS('United Data'!$A$3:$A$3390,B$1,'United Data'!$C$3:$C$3390,$A32)&gt;0,1,0)</f>
        <v>0</v>
      </c>
      <c r="C32">
        <f>IF(COUNTIFS('United Data'!$A$3:$A$3390,C$1,'United Data'!$C$3:$C$3390,$A32)&gt;0,1,0)</f>
        <v>0</v>
      </c>
      <c r="D32">
        <f>IF(COUNTIFS('United Data'!$A$3:$A$3390,D$1,'United Data'!$C$3:$C$3390,$A32)&gt;0,1,0)</f>
        <v>0</v>
      </c>
      <c r="E32">
        <f>IF(COUNTIFS('United Data'!$A$3:$A$3390,E$1,'United Data'!$C$3:$C$3390,$A32)&gt;0,1,0)</f>
        <v>0</v>
      </c>
      <c r="F32">
        <f>IF(COUNTIFS('United Data'!$A$3:$A$3390,F$1,'United Data'!$C$3:$C$3390,$A32)&gt;0,1,0)</f>
        <v>0</v>
      </c>
      <c r="G32">
        <f>IF(COUNTIFS('United Data'!$A$3:$A$3390,G$1,'United Data'!$C$3:$C$3390,$A32)&gt;0,1,0)</f>
        <v>0</v>
      </c>
      <c r="H32">
        <f>IF(COUNTIFS('United Data'!$A$3:$A$3390,H$1,'United Data'!$C$3:$C$3390,$A32)&gt;0,1,0)</f>
        <v>0</v>
      </c>
      <c r="I32">
        <f>IF(COUNTIFS('United Data'!$A$3:$A$3390,I$1,'United Data'!$C$3:$C$3390,$A32)&gt;0,1,0)</f>
        <v>0</v>
      </c>
      <c r="J32">
        <f>IF(COUNTIFS('United Data'!$A$3:$A$3390,J$1,'United Data'!$C$3:$C$3390,$A32)&gt;0,1,0)</f>
        <v>0</v>
      </c>
      <c r="K32">
        <f>IF(COUNTIFS('United Data'!$A$3:$A$3390,K$1,'United Data'!$C$3:$C$3390,$A32)&gt;0,1,0)</f>
        <v>0</v>
      </c>
      <c r="L32">
        <f>IF(COUNTIFS('United Data'!$A$3:$A$3390,L$1,'United Data'!$C$3:$C$3390,$A32)&gt;0,1,0)</f>
        <v>1</v>
      </c>
      <c r="M32">
        <f>IF(COUNTIFS('United Data'!$A$3:$A$3390,M$1,'United Data'!$C$3:$C$3390,$A32)&gt;0,1,0)</f>
        <v>0</v>
      </c>
      <c r="N32">
        <f>IF(COUNTIFS('United Data'!$A$3:$A$3390,N$1,'United Data'!$C$3:$C$3390,$A32)&gt;0,1,0)</f>
        <v>0</v>
      </c>
      <c r="O32">
        <f>IF(COUNTIFS('United Data'!$A$3:$A$3390,O$1,'United Data'!$C$3:$C$3390,$A32)&gt;0,1,0)</f>
        <v>0</v>
      </c>
      <c r="P32">
        <f>IF(COUNTIFS('United Data'!$A$3:$A$3390,P$1,'United Data'!$C$3:$C$3390,$A32)&gt;0,1,0)</f>
        <v>0</v>
      </c>
      <c r="Q32">
        <f>IF(COUNTIFS('United Data'!$A$3:$A$3390,Q$1,'United Data'!$C$3:$C$3390,$A32)&gt;0,1,0)</f>
        <v>0</v>
      </c>
      <c r="R32">
        <f>IF(COUNTIFS('United Data'!$A$3:$A$3390,R$1,'United Data'!$C$3:$C$3390,$A32)&gt;0,1,0)</f>
        <v>0</v>
      </c>
      <c r="S32">
        <f t="shared" si="0"/>
        <v>1</v>
      </c>
      <c r="T32">
        <f t="shared" si="1"/>
        <v>1</v>
      </c>
    </row>
    <row r="33" spans="1:20" x14ac:dyDescent="0.2">
      <c r="A33" t="s">
        <v>71</v>
      </c>
      <c r="B33">
        <f>IF(COUNTIFS('United Data'!$A$3:$A$3390,B$1,'United Data'!$C$3:$C$3390,$A33)&gt;0,1,0)</f>
        <v>0</v>
      </c>
      <c r="C33">
        <f>IF(COUNTIFS('United Data'!$A$3:$A$3390,C$1,'United Data'!$C$3:$C$3390,$A33)&gt;0,1,0)</f>
        <v>0</v>
      </c>
      <c r="D33">
        <f>IF(COUNTIFS('United Data'!$A$3:$A$3390,D$1,'United Data'!$C$3:$C$3390,$A33)&gt;0,1,0)</f>
        <v>0</v>
      </c>
      <c r="E33">
        <f>IF(COUNTIFS('United Data'!$A$3:$A$3390,E$1,'United Data'!$C$3:$C$3390,$A33)&gt;0,1,0)</f>
        <v>0</v>
      </c>
      <c r="F33">
        <f>IF(COUNTIFS('United Data'!$A$3:$A$3390,F$1,'United Data'!$C$3:$C$3390,$A33)&gt;0,1,0)</f>
        <v>0</v>
      </c>
      <c r="G33">
        <f>IF(COUNTIFS('United Data'!$A$3:$A$3390,G$1,'United Data'!$C$3:$C$3390,$A33)&gt;0,1,0)</f>
        <v>0</v>
      </c>
      <c r="H33">
        <f>IF(COUNTIFS('United Data'!$A$3:$A$3390,H$1,'United Data'!$C$3:$C$3390,$A33)&gt;0,1,0)</f>
        <v>0</v>
      </c>
      <c r="I33">
        <f>IF(COUNTIFS('United Data'!$A$3:$A$3390,I$1,'United Data'!$C$3:$C$3390,$A33)&gt;0,1,0)</f>
        <v>0</v>
      </c>
      <c r="J33">
        <f>IF(COUNTIFS('United Data'!$A$3:$A$3390,J$1,'United Data'!$C$3:$C$3390,$A33)&gt;0,1,0)</f>
        <v>0</v>
      </c>
      <c r="K33">
        <f>IF(COUNTIFS('United Data'!$A$3:$A$3390,K$1,'United Data'!$C$3:$C$3390,$A33)&gt;0,1,0)</f>
        <v>0</v>
      </c>
      <c r="L33">
        <f>IF(COUNTIFS('United Data'!$A$3:$A$3390,L$1,'United Data'!$C$3:$C$3390,$A33)&gt;0,1,0)</f>
        <v>1</v>
      </c>
      <c r="M33">
        <f>IF(COUNTIFS('United Data'!$A$3:$A$3390,M$1,'United Data'!$C$3:$C$3390,$A33)&gt;0,1,0)</f>
        <v>1</v>
      </c>
      <c r="N33">
        <f>IF(COUNTIFS('United Data'!$A$3:$A$3390,N$1,'United Data'!$C$3:$C$3390,$A33)&gt;0,1,0)</f>
        <v>0</v>
      </c>
      <c r="O33">
        <f>IF(COUNTIFS('United Data'!$A$3:$A$3390,O$1,'United Data'!$C$3:$C$3390,$A33)&gt;0,1,0)</f>
        <v>1</v>
      </c>
      <c r="P33">
        <f>IF(COUNTIFS('United Data'!$A$3:$A$3390,P$1,'United Data'!$C$3:$C$3390,$A33)&gt;0,1,0)</f>
        <v>0</v>
      </c>
      <c r="Q33">
        <f>IF(COUNTIFS('United Data'!$A$3:$A$3390,Q$1,'United Data'!$C$3:$C$3390,$A33)&gt;0,1,0)</f>
        <v>1</v>
      </c>
      <c r="R33">
        <f>IF(COUNTIFS('United Data'!$A$3:$A$3390,R$1,'United Data'!$C$3:$C$3390,$A33)&gt;0,1,0)</f>
        <v>0</v>
      </c>
      <c r="S33">
        <f t="shared" si="0"/>
        <v>4</v>
      </c>
      <c r="T33">
        <f t="shared" si="1"/>
        <v>3</v>
      </c>
    </row>
    <row r="34" spans="1:20" x14ac:dyDescent="0.2">
      <c r="A34" t="s">
        <v>72</v>
      </c>
      <c r="B34">
        <f>IF(COUNTIFS('United Data'!$A$3:$A$3390,B$1,'United Data'!$C$3:$C$3390,$A34)&gt;0,1,0)</f>
        <v>0</v>
      </c>
      <c r="C34">
        <f>IF(COUNTIFS('United Data'!$A$3:$A$3390,C$1,'United Data'!$C$3:$C$3390,$A34)&gt;0,1,0)</f>
        <v>0</v>
      </c>
      <c r="D34">
        <f>IF(COUNTIFS('United Data'!$A$3:$A$3390,D$1,'United Data'!$C$3:$C$3390,$A34)&gt;0,1,0)</f>
        <v>0</v>
      </c>
      <c r="E34">
        <f>IF(COUNTIFS('United Data'!$A$3:$A$3390,E$1,'United Data'!$C$3:$C$3390,$A34)&gt;0,1,0)</f>
        <v>0</v>
      </c>
      <c r="F34">
        <f>IF(COUNTIFS('United Data'!$A$3:$A$3390,F$1,'United Data'!$C$3:$C$3390,$A34)&gt;0,1,0)</f>
        <v>0</v>
      </c>
      <c r="G34">
        <f>IF(COUNTIFS('United Data'!$A$3:$A$3390,G$1,'United Data'!$C$3:$C$3390,$A34)&gt;0,1,0)</f>
        <v>0</v>
      </c>
      <c r="H34">
        <f>IF(COUNTIFS('United Data'!$A$3:$A$3390,H$1,'United Data'!$C$3:$C$3390,$A34)&gt;0,1,0)</f>
        <v>0</v>
      </c>
      <c r="I34">
        <f>IF(COUNTIFS('United Data'!$A$3:$A$3390,I$1,'United Data'!$C$3:$C$3390,$A34)&gt;0,1,0)</f>
        <v>0</v>
      </c>
      <c r="J34">
        <f>IF(COUNTIFS('United Data'!$A$3:$A$3390,J$1,'United Data'!$C$3:$C$3390,$A34)&gt;0,1,0)</f>
        <v>0</v>
      </c>
      <c r="K34">
        <f>IF(COUNTIFS('United Data'!$A$3:$A$3390,K$1,'United Data'!$C$3:$C$3390,$A34)&gt;0,1,0)</f>
        <v>0</v>
      </c>
      <c r="L34">
        <f>IF(COUNTIFS('United Data'!$A$3:$A$3390,L$1,'United Data'!$C$3:$C$3390,$A34)&gt;0,1,0)</f>
        <v>0</v>
      </c>
      <c r="M34">
        <f>IF(COUNTIFS('United Data'!$A$3:$A$3390,M$1,'United Data'!$C$3:$C$3390,$A34)&gt;0,1,0)</f>
        <v>1</v>
      </c>
      <c r="N34">
        <f>IF(COUNTIFS('United Data'!$A$3:$A$3390,N$1,'United Data'!$C$3:$C$3390,$A34)&gt;0,1,0)</f>
        <v>0</v>
      </c>
      <c r="O34">
        <f>IF(COUNTIFS('United Data'!$A$3:$A$3390,O$1,'United Data'!$C$3:$C$3390,$A34)&gt;0,1,0)</f>
        <v>0</v>
      </c>
      <c r="P34">
        <f>IF(COUNTIFS('United Data'!$A$3:$A$3390,P$1,'United Data'!$C$3:$C$3390,$A34)&gt;0,1,0)</f>
        <v>0</v>
      </c>
      <c r="Q34">
        <f>IF(COUNTIFS('United Data'!$A$3:$A$3390,Q$1,'United Data'!$C$3:$C$3390,$A34)&gt;0,1,0)</f>
        <v>0</v>
      </c>
      <c r="R34">
        <f>IF(COUNTIFS('United Data'!$A$3:$A$3390,R$1,'United Data'!$C$3:$C$3390,$A34)&gt;0,1,0)</f>
        <v>0</v>
      </c>
      <c r="S34">
        <f t="shared" si="0"/>
        <v>1</v>
      </c>
      <c r="T34">
        <f t="shared" si="1"/>
        <v>1</v>
      </c>
    </row>
    <row r="35" spans="1:20" x14ac:dyDescent="0.2">
      <c r="A35" t="s">
        <v>74</v>
      </c>
      <c r="B35">
        <f>IF(COUNTIFS('United Data'!$A$3:$A$3390,B$1,'United Data'!$C$3:$C$3390,$A35)&gt;0,1,0)</f>
        <v>0</v>
      </c>
      <c r="C35">
        <f>IF(COUNTIFS('United Data'!$A$3:$A$3390,C$1,'United Data'!$C$3:$C$3390,$A35)&gt;0,1,0)</f>
        <v>0</v>
      </c>
      <c r="D35">
        <f>IF(COUNTIFS('United Data'!$A$3:$A$3390,D$1,'United Data'!$C$3:$C$3390,$A35)&gt;0,1,0)</f>
        <v>0</v>
      </c>
      <c r="E35">
        <f>IF(COUNTIFS('United Data'!$A$3:$A$3390,E$1,'United Data'!$C$3:$C$3390,$A35)&gt;0,1,0)</f>
        <v>0</v>
      </c>
      <c r="F35">
        <f>IF(COUNTIFS('United Data'!$A$3:$A$3390,F$1,'United Data'!$C$3:$C$3390,$A35)&gt;0,1,0)</f>
        <v>0</v>
      </c>
      <c r="G35">
        <f>IF(COUNTIFS('United Data'!$A$3:$A$3390,G$1,'United Data'!$C$3:$C$3390,$A35)&gt;0,1,0)</f>
        <v>0</v>
      </c>
      <c r="H35">
        <f>IF(COUNTIFS('United Data'!$A$3:$A$3390,H$1,'United Data'!$C$3:$C$3390,$A35)&gt;0,1,0)</f>
        <v>0</v>
      </c>
      <c r="I35">
        <f>IF(COUNTIFS('United Data'!$A$3:$A$3390,I$1,'United Data'!$C$3:$C$3390,$A35)&gt;0,1,0)</f>
        <v>0</v>
      </c>
      <c r="J35">
        <f>IF(COUNTIFS('United Data'!$A$3:$A$3390,J$1,'United Data'!$C$3:$C$3390,$A35)&gt;0,1,0)</f>
        <v>0</v>
      </c>
      <c r="K35">
        <f>IF(COUNTIFS('United Data'!$A$3:$A$3390,K$1,'United Data'!$C$3:$C$3390,$A35)&gt;0,1,0)</f>
        <v>0</v>
      </c>
      <c r="L35">
        <f>IF(COUNTIFS('United Data'!$A$3:$A$3390,L$1,'United Data'!$C$3:$C$3390,$A35)&gt;0,1,0)</f>
        <v>0</v>
      </c>
      <c r="M35">
        <f>IF(COUNTIFS('United Data'!$A$3:$A$3390,M$1,'United Data'!$C$3:$C$3390,$A35)&gt;0,1,0)</f>
        <v>0</v>
      </c>
      <c r="N35">
        <f>IF(COUNTIFS('United Data'!$A$3:$A$3390,N$1,'United Data'!$C$3:$C$3390,$A35)&gt;0,1,0)</f>
        <v>1</v>
      </c>
      <c r="O35">
        <f>IF(COUNTIFS('United Data'!$A$3:$A$3390,O$1,'United Data'!$C$3:$C$3390,$A35)&gt;0,1,0)</f>
        <v>1</v>
      </c>
      <c r="P35">
        <f>IF(COUNTIFS('United Data'!$A$3:$A$3390,P$1,'United Data'!$C$3:$C$3390,$A35)&gt;0,1,0)</f>
        <v>0</v>
      </c>
      <c r="Q35">
        <f>IF(COUNTIFS('United Data'!$A$3:$A$3390,Q$1,'United Data'!$C$3:$C$3390,$A35)&gt;0,1,0)</f>
        <v>0</v>
      </c>
      <c r="R35">
        <f>IF(COUNTIFS('United Data'!$A$3:$A$3390,R$1,'United Data'!$C$3:$C$3390,$A35)&gt;0,1,0)</f>
        <v>0</v>
      </c>
      <c r="S35">
        <f t="shared" si="0"/>
        <v>2</v>
      </c>
      <c r="T35">
        <f t="shared" si="1"/>
        <v>1</v>
      </c>
    </row>
    <row r="36" spans="1:20" x14ac:dyDescent="0.2">
      <c r="A36" t="s">
        <v>75</v>
      </c>
      <c r="B36">
        <f>IF(COUNTIFS('United Data'!$A$3:$A$3390,B$1,'United Data'!$C$3:$C$3390,$A36)&gt;0,1,0)</f>
        <v>0</v>
      </c>
      <c r="C36">
        <f>IF(COUNTIFS('United Data'!$A$3:$A$3390,C$1,'United Data'!$C$3:$C$3390,$A36)&gt;0,1,0)</f>
        <v>0</v>
      </c>
      <c r="D36">
        <f>IF(COUNTIFS('United Data'!$A$3:$A$3390,D$1,'United Data'!$C$3:$C$3390,$A36)&gt;0,1,0)</f>
        <v>0</v>
      </c>
      <c r="E36">
        <f>IF(COUNTIFS('United Data'!$A$3:$A$3390,E$1,'United Data'!$C$3:$C$3390,$A36)&gt;0,1,0)</f>
        <v>0</v>
      </c>
      <c r="F36">
        <f>IF(COUNTIFS('United Data'!$A$3:$A$3390,F$1,'United Data'!$C$3:$C$3390,$A36)&gt;0,1,0)</f>
        <v>0</v>
      </c>
      <c r="G36">
        <f>IF(COUNTIFS('United Data'!$A$3:$A$3390,G$1,'United Data'!$C$3:$C$3390,$A36)&gt;0,1,0)</f>
        <v>0</v>
      </c>
      <c r="H36">
        <f>IF(COUNTIFS('United Data'!$A$3:$A$3390,H$1,'United Data'!$C$3:$C$3390,$A36)&gt;0,1,0)</f>
        <v>0</v>
      </c>
      <c r="I36">
        <f>IF(COUNTIFS('United Data'!$A$3:$A$3390,I$1,'United Data'!$C$3:$C$3390,$A36)&gt;0,1,0)</f>
        <v>0</v>
      </c>
      <c r="J36">
        <f>IF(COUNTIFS('United Data'!$A$3:$A$3390,J$1,'United Data'!$C$3:$C$3390,$A36)&gt;0,1,0)</f>
        <v>0</v>
      </c>
      <c r="K36">
        <f>IF(COUNTIFS('United Data'!$A$3:$A$3390,K$1,'United Data'!$C$3:$C$3390,$A36)&gt;0,1,0)</f>
        <v>0</v>
      </c>
      <c r="L36">
        <f>IF(COUNTIFS('United Data'!$A$3:$A$3390,L$1,'United Data'!$C$3:$C$3390,$A36)&gt;0,1,0)</f>
        <v>0</v>
      </c>
      <c r="M36">
        <f>IF(COUNTIFS('United Data'!$A$3:$A$3390,M$1,'United Data'!$C$3:$C$3390,$A36)&gt;0,1,0)</f>
        <v>0</v>
      </c>
      <c r="N36">
        <f>IF(COUNTIFS('United Data'!$A$3:$A$3390,N$1,'United Data'!$C$3:$C$3390,$A36)&gt;0,1,0)</f>
        <v>1</v>
      </c>
      <c r="O36">
        <f>IF(COUNTIFS('United Data'!$A$3:$A$3390,O$1,'United Data'!$C$3:$C$3390,$A36)&gt;0,1,0)</f>
        <v>0</v>
      </c>
      <c r="P36">
        <f>IF(COUNTIFS('United Data'!$A$3:$A$3390,P$1,'United Data'!$C$3:$C$3390,$A36)&gt;0,1,0)</f>
        <v>0</v>
      </c>
      <c r="Q36">
        <f>IF(COUNTIFS('United Data'!$A$3:$A$3390,Q$1,'United Data'!$C$3:$C$3390,$A36)&gt;0,1,0)</f>
        <v>0</v>
      </c>
      <c r="R36">
        <f>IF(COUNTIFS('United Data'!$A$3:$A$3390,R$1,'United Data'!$C$3:$C$3390,$A36)&gt;0,1,0)</f>
        <v>0</v>
      </c>
      <c r="S36">
        <f t="shared" si="0"/>
        <v>1</v>
      </c>
      <c r="T36">
        <f t="shared" si="1"/>
        <v>1</v>
      </c>
    </row>
    <row r="37" spans="1:20" x14ac:dyDescent="0.2">
      <c r="A37" t="s">
        <v>76</v>
      </c>
      <c r="B37">
        <f>IF(COUNTIFS('United Data'!$A$3:$A$3390,B$1,'United Data'!$C$3:$C$3390,$A37)&gt;0,1,0)</f>
        <v>0</v>
      </c>
      <c r="C37">
        <f>IF(COUNTIFS('United Data'!$A$3:$A$3390,C$1,'United Data'!$C$3:$C$3390,$A37)&gt;0,1,0)</f>
        <v>0</v>
      </c>
      <c r="D37">
        <f>IF(COUNTIFS('United Data'!$A$3:$A$3390,D$1,'United Data'!$C$3:$C$3390,$A37)&gt;0,1,0)</f>
        <v>0</v>
      </c>
      <c r="E37">
        <f>IF(COUNTIFS('United Data'!$A$3:$A$3390,E$1,'United Data'!$C$3:$C$3390,$A37)&gt;0,1,0)</f>
        <v>0</v>
      </c>
      <c r="F37">
        <f>IF(COUNTIFS('United Data'!$A$3:$A$3390,F$1,'United Data'!$C$3:$C$3390,$A37)&gt;0,1,0)</f>
        <v>0</v>
      </c>
      <c r="G37">
        <f>IF(COUNTIFS('United Data'!$A$3:$A$3390,G$1,'United Data'!$C$3:$C$3390,$A37)&gt;0,1,0)</f>
        <v>0</v>
      </c>
      <c r="H37">
        <f>IF(COUNTIFS('United Data'!$A$3:$A$3390,H$1,'United Data'!$C$3:$C$3390,$A37)&gt;0,1,0)</f>
        <v>0</v>
      </c>
      <c r="I37">
        <f>IF(COUNTIFS('United Data'!$A$3:$A$3390,I$1,'United Data'!$C$3:$C$3390,$A37)&gt;0,1,0)</f>
        <v>0</v>
      </c>
      <c r="J37">
        <f>IF(COUNTIFS('United Data'!$A$3:$A$3390,J$1,'United Data'!$C$3:$C$3390,$A37)&gt;0,1,0)</f>
        <v>0</v>
      </c>
      <c r="K37">
        <f>IF(COUNTIFS('United Data'!$A$3:$A$3390,K$1,'United Data'!$C$3:$C$3390,$A37)&gt;0,1,0)</f>
        <v>0</v>
      </c>
      <c r="L37">
        <f>IF(COUNTIFS('United Data'!$A$3:$A$3390,L$1,'United Data'!$C$3:$C$3390,$A37)&gt;0,1,0)</f>
        <v>0</v>
      </c>
      <c r="M37">
        <f>IF(COUNTIFS('United Data'!$A$3:$A$3390,M$1,'United Data'!$C$3:$C$3390,$A37)&gt;0,1,0)</f>
        <v>0</v>
      </c>
      <c r="N37">
        <f>IF(COUNTIFS('United Data'!$A$3:$A$3390,N$1,'United Data'!$C$3:$C$3390,$A37)&gt;0,1,0)</f>
        <v>1</v>
      </c>
      <c r="O37">
        <f>IF(COUNTIFS('United Data'!$A$3:$A$3390,O$1,'United Data'!$C$3:$C$3390,$A37)&gt;0,1,0)</f>
        <v>0</v>
      </c>
      <c r="P37">
        <f>IF(COUNTIFS('United Data'!$A$3:$A$3390,P$1,'United Data'!$C$3:$C$3390,$A37)&gt;0,1,0)</f>
        <v>0</v>
      </c>
      <c r="Q37">
        <f>IF(COUNTIFS('United Data'!$A$3:$A$3390,Q$1,'United Data'!$C$3:$C$3390,$A37)&gt;0,1,0)</f>
        <v>0</v>
      </c>
      <c r="R37">
        <f>IF(COUNTIFS('United Data'!$A$3:$A$3390,R$1,'United Data'!$C$3:$C$3390,$A37)&gt;0,1,0)</f>
        <v>0</v>
      </c>
      <c r="S37">
        <f t="shared" si="0"/>
        <v>1</v>
      </c>
      <c r="T37">
        <f t="shared" si="1"/>
        <v>1</v>
      </c>
    </row>
    <row r="38" spans="1:20" x14ac:dyDescent="0.2">
      <c r="A38" t="s">
        <v>78</v>
      </c>
      <c r="B38">
        <f>IF(COUNTIFS('United Data'!$A$3:$A$3390,B$1,'United Data'!$C$3:$C$3390,$A38)&gt;0,1,0)</f>
        <v>0</v>
      </c>
      <c r="C38">
        <f>IF(COUNTIFS('United Data'!$A$3:$A$3390,C$1,'United Data'!$C$3:$C$3390,$A38)&gt;0,1,0)</f>
        <v>0</v>
      </c>
      <c r="D38">
        <f>IF(COUNTIFS('United Data'!$A$3:$A$3390,D$1,'United Data'!$C$3:$C$3390,$A38)&gt;0,1,0)</f>
        <v>0</v>
      </c>
      <c r="E38">
        <f>IF(COUNTIFS('United Data'!$A$3:$A$3390,E$1,'United Data'!$C$3:$C$3390,$A38)&gt;0,1,0)</f>
        <v>0</v>
      </c>
      <c r="F38">
        <f>IF(COUNTIFS('United Data'!$A$3:$A$3390,F$1,'United Data'!$C$3:$C$3390,$A38)&gt;0,1,0)</f>
        <v>0</v>
      </c>
      <c r="G38">
        <f>IF(COUNTIFS('United Data'!$A$3:$A$3390,G$1,'United Data'!$C$3:$C$3390,$A38)&gt;0,1,0)</f>
        <v>0</v>
      </c>
      <c r="H38">
        <f>IF(COUNTIFS('United Data'!$A$3:$A$3390,H$1,'United Data'!$C$3:$C$3390,$A38)&gt;0,1,0)</f>
        <v>0</v>
      </c>
      <c r="I38">
        <f>IF(COUNTIFS('United Data'!$A$3:$A$3390,I$1,'United Data'!$C$3:$C$3390,$A38)&gt;0,1,0)</f>
        <v>0</v>
      </c>
      <c r="J38">
        <f>IF(COUNTIFS('United Data'!$A$3:$A$3390,J$1,'United Data'!$C$3:$C$3390,$A38)&gt;0,1,0)</f>
        <v>0</v>
      </c>
      <c r="K38">
        <f>IF(COUNTIFS('United Data'!$A$3:$A$3390,K$1,'United Data'!$C$3:$C$3390,$A38)&gt;0,1,0)</f>
        <v>0</v>
      </c>
      <c r="L38">
        <f>IF(COUNTIFS('United Data'!$A$3:$A$3390,L$1,'United Data'!$C$3:$C$3390,$A38)&gt;0,1,0)</f>
        <v>0</v>
      </c>
      <c r="M38">
        <f>IF(COUNTIFS('United Data'!$A$3:$A$3390,M$1,'United Data'!$C$3:$C$3390,$A38)&gt;0,1,0)</f>
        <v>0</v>
      </c>
      <c r="N38">
        <f>IF(COUNTIFS('United Data'!$A$3:$A$3390,N$1,'United Data'!$C$3:$C$3390,$A38)&gt;0,1,0)</f>
        <v>0</v>
      </c>
      <c r="O38">
        <f>IF(COUNTIFS('United Data'!$A$3:$A$3390,O$1,'United Data'!$C$3:$C$3390,$A38)&gt;0,1,0)</f>
        <v>1</v>
      </c>
      <c r="P38">
        <f>IF(COUNTIFS('United Data'!$A$3:$A$3390,P$1,'United Data'!$C$3:$C$3390,$A38)&gt;0,1,0)</f>
        <v>0</v>
      </c>
      <c r="Q38">
        <f>IF(COUNTIFS('United Data'!$A$3:$A$3390,Q$1,'United Data'!$C$3:$C$3390,$A38)&gt;0,1,0)</f>
        <v>0</v>
      </c>
      <c r="R38">
        <f>IF(COUNTIFS('United Data'!$A$3:$A$3390,R$1,'United Data'!$C$3:$C$3390,$A38)&gt;0,1,0)</f>
        <v>0</v>
      </c>
      <c r="S38">
        <f t="shared" si="0"/>
        <v>1</v>
      </c>
      <c r="T38">
        <f t="shared" si="1"/>
        <v>1</v>
      </c>
    </row>
    <row r="39" spans="1:20" x14ac:dyDescent="0.2">
      <c r="A39" t="s">
        <v>80</v>
      </c>
      <c r="B39">
        <f>IF(COUNTIFS('United Data'!$A$3:$A$3390,B$1,'United Data'!$C$3:$C$3390,$A39)&gt;0,1,0)</f>
        <v>0</v>
      </c>
      <c r="C39">
        <f>IF(COUNTIFS('United Data'!$A$3:$A$3390,C$1,'United Data'!$C$3:$C$3390,$A39)&gt;0,1,0)</f>
        <v>0</v>
      </c>
      <c r="D39">
        <f>IF(COUNTIFS('United Data'!$A$3:$A$3390,D$1,'United Data'!$C$3:$C$3390,$A39)&gt;0,1,0)</f>
        <v>0</v>
      </c>
      <c r="E39">
        <f>IF(COUNTIFS('United Data'!$A$3:$A$3390,E$1,'United Data'!$C$3:$C$3390,$A39)&gt;0,1,0)</f>
        <v>0</v>
      </c>
      <c r="F39">
        <f>IF(COUNTIFS('United Data'!$A$3:$A$3390,F$1,'United Data'!$C$3:$C$3390,$A39)&gt;0,1,0)</f>
        <v>0</v>
      </c>
      <c r="G39">
        <f>IF(COUNTIFS('United Data'!$A$3:$A$3390,G$1,'United Data'!$C$3:$C$3390,$A39)&gt;0,1,0)</f>
        <v>0</v>
      </c>
      <c r="H39">
        <f>IF(COUNTIFS('United Data'!$A$3:$A$3390,H$1,'United Data'!$C$3:$C$3390,$A39)&gt;0,1,0)</f>
        <v>0</v>
      </c>
      <c r="I39">
        <f>IF(COUNTIFS('United Data'!$A$3:$A$3390,I$1,'United Data'!$C$3:$C$3390,$A39)&gt;0,1,0)</f>
        <v>0</v>
      </c>
      <c r="J39">
        <f>IF(COUNTIFS('United Data'!$A$3:$A$3390,J$1,'United Data'!$C$3:$C$3390,$A39)&gt;0,1,0)</f>
        <v>0</v>
      </c>
      <c r="K39">
        <f>IF(COUNTIFS('United Data'!$A$3:$A$3390,K$1,'United Data'!$C$3:$C$3390,$A39)&gt;0,1,0)</f>
        <v>0</v>
      </c>
      <c r="L39">
        <f>IF(COUNTIFS('United Data'!$A$3:$A$3390,L$1,'United Data'!$C$3:$C$3390,$A39)&gt;0,1,0)</f>
        <v>0</v>
      </c>
      <c r="M39">
        <f>IF(COUNTIFS('United Data'!$A$3:$A$3390,M$1,'United Data'!$C$3:$C$3390,$A39)&gt;0,1,0)</f>
        <v>0</v>
      </c>
      <c r="N39">
        <f>IF(COUNTIFS('United Data'!$A$3:$A$3390,N$1,'United Data'!$C$3:$C$3390,$A39)&gt;0,1,0)</f>
        <v>0</v>
      </c>
      <c r="O39">
        <f>IF(COUNTIFS('United Data'!$A$3:$A$3390,O$1,'United Data'!$C$3:$C$3390,$A39)&gt;0,1,0)</f>
        <v>0</v>
      </c>
      <c r="P39">
        <f>IF(COUNTIFS('United Data'!$A$3:$A$3390,P$1,'United Data'!$C$3:$C$3390,$A39)&gt;0,1,0)</f>
        <v>1</v>
      </c>
      <c r="Q39">
        <f>IF(COUNTIFS('United Data'!$A$3:$A$3390,Q$1,'United Data'!$C$3:$C$3390,$A39)&gt;0,1,0)</f>
        <v>1</v>
      </c>
      <c r="R39">
        <f>IF(COUNTIFS('United Data'!$A$3:$A$3390,R$1,'United Data'!$C$3:$C$3390,$A39)&gt;0,1,0)</f>
        <v>0</v>
      </c>
      <c r="S39">
        <f t="shared" si="0"/>
        <v>2</v>
      </c>
      <c r="T39">
        <f t="shared" si="1"/>
        <v>1</v>
      </c>
    </row>
    <row r="40" spans="1:20" x14ac:dyDescent="0.2">
      <c r="A40" t="s">
        <v>81</v>
      </c>
      <c r="B40">
        <f>IF(COUNTIFS('United Data'!$A$3:$A$3390,B$1,'United Data'!$C$3:$C$3390,$A40)&gt;0,1,0)</f>
        <v>0</v>
      </c>
      <c r="C40">
        <f>IF(COUNTIFS('United Data'!$A$3:$A$3390,C$1,'United Data'!$C$3:$C$3390,$A40)&gt;0,1,0)</f>
        <v>0</v>
      </c>
      <c r="D40">
        <f>IF(COUNTIFS('United Data'!$A$3:$A$3390,D$1,'United Data'!$C$3:$C$3390,$A40)&gt;0,1,0)</f>
        <v>0</v>
      </c>
      <c r="E40">
        <f>IF(COUNTIFS('United Data'!$A$3:$A$3390,E$1,'United Data'!$C$3:$C$3390,$A40)&gt;0,1,0)</f>
        <v>0</v>
      </c>
      <c r="F40">
        <f>IF(COUNTIFS('United Data'!$A$3:$A$3390,F$1,'United Data'!$C$3:$C$3390,$A40)&gt;0,1,0)</f>
        <v>0</v>
      </c>
      <c r="G40">
        <f>IF(COUNTIFS('United Data'!$A$3:$A$3390,G$1,'United Data'!$C$3:$C$3390,$A40)&gt;0,1,0)</f>
        <v>0</v>
      </c>
      <c r="H40">
        <f>IF(COUNTIFS('United Data'!$A$3:$A$3390,H$1,'United Data'!$C$3:$C$3390,$A40)&gt;0,1,0)</f>
        <v>0</v>
      </c>
      <c r="I40">
        <f>IF(COUNTIFS('United Data'!$A$3:$A$3390,I$1,'United Data'!$C$3:$C$3390,$A40)&gt;0,1,0)</f>
        <v>0</v>
      </c>
      <c r="J40">
        <f>IF(COUNTIFS('United Data'!$A$3:$A$3390,J$1,'United Data'!$C$3:$C$3390,$A40)&gt;0,1,0)</f>
        <v>0</v>
      </c>
      <c r="K40">
        <f>IF(COUNTIFS('United Data'!$A$3:$A$3390,K$1,'United Data'!$C$3:$C$3390,$A40)&gt;0,1,0)</f>
        <v>0</v>
      </c>
      <c r="L40">
        <f>IF(COUNTIFS('United Data'!$A$3:$A$3390,L$1,'United Data'!$C$3:$C$3390,$A40)&gt;0,1,0)</f>
        <v>0</v>
      </c>
      <c r="M40">
        <f>IF(COUNTIFS('United Data'!$A$3:$A$3390,M$1,'United Data'!$C$3:$C$3390,$A40)&gt;0,1,0)</f>
        <v>0</v>
      </c>
      <c r="N40">
        <f>IF(COUNTIFS('United Data'!$A$3:$A$3390,N$1,'United Data'!$C$3:$C$3390,$A40)&gt;0,1,0)</f>
        <v>0</v>
      </c>
      <c r="O40">
        <f>IF(COUNTIFS('United Data'!$A$3:$A$3390,O$1,'United Data'!$C$3:$C$3390,$A40)&gt;0,1,0)</f>
        <v>0</v>
      </c>
      <c r="P40">
        <f>IF(COUNTIFS('United Data'!$A$3:$A$3390,P$1,'United Data'!$C$3:$C$3390,$A40)&gt;0,1,0)</f>
        <v>1</v>
      </c>
      <c r="Q40">
        <f>IF(COUNTIFS('United Data'!$A$3:$A$3390,Q$1,'United Data'!$C$3:$C$3390,$A40)&gt;0,1,0)</f>
        <v>0</v>
      </c>
      <c r="R40">
        <f>IF(COUNTIFS('United Data'!$A$3:$A$3390,R$1,'United Data'!$C$3:$C$3390,$A40)&gt;0,1,0)</f>
        <v>0</v>
      </c>
      <c r="S40">
        <f t="shared" si="0"/>
        <v>1</v>
      </c>
      <c r="T40">
        <f t="shared" si="1"/>
        <v>1</v>
      </c>
    </row>
    <row r="41" spans="1:20" x14ac:dyDescent="0.2">
      <c r="A41" t="s">
        <v>82</v>
      </c>
      <c r="B41">
        <f>IF(COUNTIFS('United Data'!$A$3:$A$3390,B$1,'United Data'!$C$3:$C$3390,$A41)&gt;0,1,0)</f>
        <v>0</v>
      </c>
      <c r="C41">
        <f>IF(COUNTIFS('United Data'!$A$3:$A$3390,C$1,'United Data'!$C$3:$C$3390,$A41)&gt;0,1,0)</f>
        <v>0</v>
      </c>
      <c r="D41">
        <f>IF(COUNTIFS('United Data'!$A$3:$A$3390,D$1,'United Data'!$C$3:$C$3390,$A41)&gt;0,1,0)</f>
        <v>0</v>
      </c>
      <c r="E41">
        <f>IF(COUNTIFS('United Data'!$A$3:$A$3390,E$1,'United Data'!$C$3:$C$3390,$A41)&gt;0,1,0)</f>
        <v>0</v>
      </c>
      <c r="F41">
        <f>IF(COUNTIFS('United Data'!$A$3:$A$3390,F$1,'United Data'!$C$3:$C$3390,$A41)&gt;0,1,0)</f>
        <v>0</v>
      </c>
      <c r="G41">
        <f>IF(COUNTIFS('United Data'!$A$3:$A$3390,G$1,'United Data'!$C$3:$C$3390,$A41)&gt;0,1,0)</f>
        <v>0</v>
      </c>
      <c r="H41">
        <f>IF(COUNTIFS('United Data'!$A$3:$A$3390,H$1,'United Data'!$C$3:$C$3390,$A41)&gt;0,1,0)</f>
        <v>0</v>
      </c>
      <c r="I41">
        <f>IF(COUNTIFS('United Data'!$A$3:$A$3390,I$1,'United Data'!$C$3:$C$3390,$A41)&gt;0,1,0)</f>
        <v>0</v>
      </c>
      <c r="J41">
        <f>IF(COUNTIFS('United Data'!$A$3:$A$3390,J$1,'United Data'!$C$3:$C$3390,$A41)&gt;0,1,0)</f>
        <v>0</v>
      </c>
      <c r="K41">
        <f>IF(COUNTIFS('United Data'!$A$3:$A$3390,K$1,'United Data'!$C$3:$C$3390,$A41)&gt;0,1,0)</f>
        <v>0</v>
      </c>
      <c r="L41">
        <f>IF(COUNTIFS('United Data'!$A$3:$A$3390,L$1,'United Data'!$C$3:$C$3390,$A41)&gt;0,1,0)</f>
        <v>0</v>
      </c>
      <c r="M41">
        <f>IF(COUNTIFS('United Data'!$A$3:$A$3390,M$1,'United Data'!$C$3:$C$3390,$A41)&gt;0,1,0)</f>
        <v>0</v>
      </c>
      <c r="N41">
        <f>IF(COUNTIFS('United Data'!$A$3:$A$3390,N$1,'United Data'!$C$3:$C$3390,$A41)&gt;0,1,0)</f>
        <v>0</v>
      </c>
      <c r="O41">
        <f>IF(COUNTIFS('United Data'!$A$3:$A$3390,O$1,'United Data'!$C$3:$C$3390,$A41)&gt;0,1,0)</f>
        <v>0</v>
      </c>
      <c r="P41">
        <f>IF(COUNTIFS('United Data'!$A$3:$A$3390,P$1,'United Data'!$C$3:$C$3390,$A41)&gt;0,1,0)</f>
        <v>1</v>
      </c>
      <c r="Q41">
        <f>IF(COUNTIFS('United Data'!$A$3:$A$3390,Q$1,'United Data'!$C$3:$C$3390,$A41)&gt;0,1,0)</f>
        <v>0</v>
      </c>
      <c r="R41">
        <f>IF(COUNTIFS('United Data'!$A$3:$A$3390,R$1,'United Data'!$C$3:$C$3390,$A41)&gt;0,1,0)</f>
        <v>0</v>
      </c>
      <c r="S41">
        <f t="shared" si="0"/>
        <v>1</v>
      </c>
      <c r="T41">
        <f t="shared" si="1"/>
        <v>1</v>
      </c>
    </row>
    <row r="42" spans="1:20" x14ac:dyDescent="0.2">
      <c r="A42" t="s">
        <v>84</v>
      </c>
      <c r="B42">
        <f>IF(COUNTIFS('United Data'!$A$3:$A$3390,B$1,'United Data'!$C$3:$C$3390,$A42)&gt;0,1,0)</f>
        <v>0</v>
      </c>
      <c r="C42">
        <f>IF(COUNTIFS('United Data'!$A$3:$A$3390,C$1,'United Data'!$C$3:$C$3390,$A42)&gt;0,1,0)</f>
        <v>0</v>
      </c>
      <c r="D42">
        <f>IF(COUNTIFS('United Data'!$A$3:$A$3390,D$1,'United Data'!$C$3:$C$3390,$A42)&gt;0,1,0)</f>
        <v>0</v>
      </c>
      <c r="E42">
        <f>IF(COUNTIFS('United Data'!$A$3:$A$3390,E$1,'United Data'!$C$3:$C$3390,$A42)&gt;0,1,0)</f>
        <v>0</v>
      </c>
      <c r="F42">
        <f>IF(COUNTIFS('United Data'!$A$3:$A$3390,F$1,'United Data'!$C$3:$C$3390,$A42)&gt;0,1,0)</f>
        <v>0</v>
      </c>
      <c r="G42">
        <f>IF(COUNTIFS('United Data'!$A$3:$A$3390,G$1,'United Data'!$C$3:$C$3390,$A42)&gt;0,1,0)</f>
        <v>0</v>
      </c>
      <c r="H42">
        <f>IF(COUNTIFS('United Data'!$A$3:$A$3390,H$1,'United Data'!$C$3:$C$3390,$A42)&gt;0,1,0)</f>
        <v>0</v>
      </c>
      <c r="I42">
        <f>IF(COUNTIFS('United Data'!$A$3:$A$3390,I$1,'United Data'!$C$3:$C$3390,$A42)&gt;0,1,0)</f>
        <v>0</v>
      </c>
      <c r="J42">
        <f>IF(COUNTIFS('United Data'!$A$3:$A$3390,J$1,'United Data'!$C$3:$C$3390,$A42)&gt;0,1,0)</f>
        <v>0</v>
      </c>
      <c r="K42">
        <f>IF(COUNTIFS('United Data'!$A$3:$A$3390,K$1,'United Data'!$C$3:$C$3390,$A42)&gt;0,1,0)</f>
        <v>0</v>
      </c>
      <c r="L42">
        <f>IF(COUNTIFS('United Data'!$A$3:$A$3390,L$1,'United Data'!$C$3:$C$3390,$A42)&gt;0,1,0)</f>
        <v>0</v>
      </c>
      <c r="M42">
        <f>IF(COUNTIFS('United Data'!$A$3:$A$3390,M$1,'United Data'!$C$3:$C$3390,$A42)&gt;0,1,0)</f>
        <v>0</v>
      </c>
      <c r="N42">
        <f>IF(COUNTIFS('United Data'!$A$3:$A$3390,N$1,'United Data'!$C$3:$C$3390,$A42)&gt;0,1,0)</f>
        <v>0</v>
      </c>
      <c r="O42">
        <f>IF(COUNTIFS('United Data'!$A$3:$A$3390,O$1,'United Data'!$C$3:$C$3390,$A42)&gt;0,1,0)</f>
        <v>0</v>
      </c>
      <c r="P42">
        <f>IF(COUNTIFS('United Data'!$A$3:$A$3390,P$1,'United Data'!$C$3:$C$3390,$A42)&gt;0,1,0)</f>
        <v>0</v>
      </c>
      <c r="Q42">
        <f>IF(COUNTIFS('United Data'!$A$3:$A$3390,Q$1,'United Data'!$C$3:$C$3390,$A42)&gt;0,1,0)</f>
        <v>1</v>
      </c>
      <c r="R42">
        <f>IF(COUNTIFS('United Data'!$A$3:$A$3390,R$1,'United Data'!$C$3:$C$3390,$A42)&gt;0,1,0)</f>
        <v>0</v>
      </c>
      <c r="S42">
        <f t="shared" si="0"/>
        <v>1</v>
      </c>
      <c r="T42">
        <f t="shared" si="1"/>
        <v>1</v>
      </c>
    </row>
    <row r="43" spans="1:20" x14ac:dyDescent="0.2">
      <c r="A43" t="s">
        <v>86</v>
      </c>
      <c r="B43">
        <f>IF(COUNTIFS('United Data'!$A$3:$A$3390,B$1,'United Data'!$C$3:$C$3390,$A43)&gt;0,1,0)</f>
        <v>1</v>
      </c>
      <c r="C43">
        <f>IF(COUNTIFS('United Data'!$A$3:$A$3390,C$1,'United Data'!$C$3:$C$3390,$A43)&gt;0,1,0)</f>
        <v>0</v>
      </c>
      <c r="D43">
        <f>IF(COUNTIFS('United Data'!$A$3:$A$3390,D$1,'United Data'!$C$3:$C$3390,$A43)&gt;0,1,0)</f>
        <v>0</v>
      </c>
      <c r="E43">
        <f>IF(COUNTIFS('United Data'!$A$3:$A$3390,E$1,'United Data'!$C$3:$C$3390,$A43)&gt;0,1,0)</f>
        <v>0</v>
      </c>
      <c r="F43">
        <f>IF(COUNTIFS('United Data'!$A$3:$A$3390,F$1,'United Data'!$C$3:$C$3390,$A43)&gt;0,1,0)</f>
        <v>0</v>
      </c>
      <c r="G43">
        <f>IF(COUNTIFS('United Data'!$A$3:$A$3390,G$1,'United Data'!$C$3:$C$3390,$A43)&gt;0,1,0)</f>
        <v>0</v>
      </c>
      <c r="H43">
        <f>IF(COUNTIFS('United Data'!$A$3:$A$3390,H$1,'United Data'!$C$3:$C$3390,$A43)&gt;0,1,0)</f>
        <v>0</v>
      </c>
      <c r="I43">
        <f>IF(COUNTIFS('United Data'!$A$3:$A$3390,I$1,'United Data'!$C$3:$C$3390,$A43)&gt;0,1,0)</f>
        <v>0</v>
      </c>
      <c r="J43">
        <f>IF(COUNTIFS('United Data'!$A$3:$A$3390,J$1,'United Data'!$C$3:$C$3390,$A43)&gt;0,1,0)</f>
        <v>0</v>
      </c>
      <c r="K43">
        <f>IF(COUNTIFS('United Data'!$A$3:$A$3390,K$1,'United Data'!$C$3:$C$3390,$A43)&gt;0,1,0)</f>
        <v>0</v>
      </c>
      <c r="L43">
        <f>IF(COUNTIFS('United Data'!$A$3:$A$3390,L$1,'United Data'!$C$3:$C$3390,$A43)&gt;0,1,0)</f>
        <v>0</v>
      </c>
      <c r="M43">
        <f>IF(COUNTIFS('United Data'!$A$3:$A$3390,M$1,'United Data'!$C$3:$C$3390,$A43)&gt;0,1,0)</f>
        <v>0</v>
      </c>
      <c r="N43">
        <f>IF(COUNTIFS('United Data'!$A$3:$A$3390,N$1,'United Data'!$C$3:$C$3390,$A43)&gt;0,1,0)</f>
        <v>0</v>
      </c>
      <c r="O43">
        <f>IF(COUNTIFS('United Data'!$A$3:$A$3390,O$1,'United Data'!$C$3:$C$3390,$A43)&gt;0,1,0)</f>
        <v>0</v>
      </c>
      <c r="P43">
        <f>IF(COUNTIFS('United Data'!$A$3:$A$3390,P$1,'United Data'!$C$3:$C$3390,$A43)&gt;0,1,0)</f>
        <v>0</v>
      </c>
      <c r="Q43">
        <f>IF(COUNTIFS('United Data'!$A$3:$A$3390,Q$1,'United Data'!$C$3:$C$3390,$A43)&gt;0,1,0)</f>
        <v>0</v>
      </c>
      <c r="R43">
        <f>IF(COUNTIFS('United Data'!$A$3:$A$3390,R$1,'United Data'!$C$3:$C$3390,$A43)&gt;0,1,0)</f>
        <v>0</v>
      </c>
      <c r="S43">
        <f t="shared" si="0"/>
        <v>1</v>
      </c>
      <c r="T43">
        <f t="shared" si="1"/>
        <v>1</v>
      </c>
    </row>
    <row r="44" spans="1:20" x14ac:dyDescent="0.2">
      <c r="A44" t="s">
        <v>88</v>
      </c>
      <c r="B44">
        <f>IF(COUNTIFS('United Data'!$A$3:$A$3390,B$1,'United Data'!$C$3:$C$3390,$A44)&gt;0,1,0)</f>
        <v>0</v>
      </c>
      <c r="C44">
        <f>IF(COUNTIFS('United Data'!$A$3:$A$3390,C$1,'United Data'!$C$3:$C$3390,$A44)&gt;0,1,0)</f>
        <v>0</v>
      </c>
      <c r="D44">
        <f>IF(COUNTIFS('United Data'!$A$3:$A$3390,D$1,'United Data'!$C$3:$C$3390,$A44)&gt;0,1,0)</f>
        <v>1</v>
      </c>
      <c r="E44">
        <f>IF(COUNTIFS('United Data'!$A$3:$A$3390,E$1,'United Data'!$C$3:$C$3390,$A44)&gt;0,1,0)</f>
        <v>0</v>
      </c>
      <c r="F44">
        <f>IF(COUNTIFS('United Data'!$A$3:$A$3390,F$1,'United Data'!$C$3:$C$3390,$A44)&gt;0,1,0)</f>
        <v>0</v>
      </c>
      <c r="G44">
        <f>IF(COUNTIFS('United Data'!$A$3:$A$3390,G$1,'United Data'!$C$3:$C$3390,$A44)&gt;0,1,0)</f>
        <v>0</v>
      </c>
      <c r="H44">
        <f>IF(COUNTIFS('United Data'!$A$3:$A$3390,H$1,'United Data'!$C$3:$C$3390,$A44)&gt;0,1,0)</f>
        <v>1</v>
      </c>
      <c r="I44">
        <f>IF(COUNTIFS('United Data'!$A$3:$A$3390,I$1,'United Data'!$C$3:$C$3390,$A44)&gt;0,1,0)</f>
        <v>1</v>
      </c>
      <c r="J44">
        <f>IF(COUNTIFS('United Data'!$A$3:$A$3390,J$1,'United Data'!$C$3:$C$3390,$A44)&gt;0,1,0)</f>
        <v>0</v>
      </c>
      <c r="K44">
        <f>IF(COUNTIFS('United Data'!$A$3:$A$3390,K$1,'United Data'!$C$3:$C$3390,$A44)&gt;0,1,0)</f>
        <v>0</v>
      </c>
      <c r="L44">
        <f>IF(COUNTIFS('United Data'!$A$3:$A$3390,L$1,'United Data'!$C$3:$C$3390,$A44)&gt;0,1,0)</f>
        <v>1</v>
      </c>
      <c r="M44">
        <f>IF(COUNTIFS('United Data'!$A$3:$A$3390,M$1,'United Data'!$C$3:$C$3390,$A44)&gt;0,1,0)</f>
        <v>1</v>
      </c>
      <c r="N44">
        <f>IF(COUNTIFS('United Data'!$A$3:$A$3390,N$1,'United Data'!$C$3:$C$3390,$A44)&gt;0,1,0)</f>
        <v>0</v>
      </c>
      <c r="O44">
        <f>IF(COUNTIFS('United Data'!$A$3:$A$3390,O$1,'United Data'!$C$3:$C$3390,$A44)&gt;0,1,0)</f>
        <v>0</v>
      </c>
      <c r="P44">
        <f>IF(COUNTIFS('United Data'!$A$3:$A$3390,P$1,'United Data'!$C$3:$C$3390,$A44)&gt;0,1,0)</f>
        <v>0</v>
      </c>
      <c r="Q44">
        <f>IF(COUNTIFS('United Data'!$A$3:$A$3390,Q$1,'United Data'!$C$3:$C$3390,$A44)&gt;0,1,0)</f>
        <v>0</v>
      </c>
      <c r="R44">
        <f>IF(COUNTIFS('United Data'!$A$3:$A$3390,R$1,'United Data'!$C$3:$C$3390,$A44)&gt;0,1,0)</f>
        <v>0</v>
      </c>
      <c r="S44">
        <f t="shared" si="0"/>
        <v>5</v>
      </c>
      <c r="T44">
        <f t="shared" si="1"/>
        <v>3</v>
      </c>
    </row>
    <row r="45" spans="1:20" x14ac:dyDescent="0.2">
      <c r="A45" t="s">
        <v>89</v>
      </c>
      <c r="B45">
        <f>IF(COUNTIFS('United Data'!$A$3:$A$3390,B$1,'United Data'!$C$3:$C$3390,$A45)&gt;0,1,0)</f>
        <v>0</v>
      </c>
      <c r="C45">
        <f>IF(COUNTIFS('United Data'!$A$3:$A$3390,C$1,'United Data'!$C$3:$C$3390,$A45)&gt;0,1,0)</f>
        <v>0</v>
      </c>
      <c r="D45">
        <f>IF(COUNTIFS('United Data'!$A$3:$A$3390,D$1,'United Data'!$C$3:$C$3390,$A45)&gt;0,1,0)</f>
        <v>1</v>
      </c>
      <c r="E45">
        <f>IF(COUNTIFS('United Data'!$A$3:$A$3390,E$1,'United Data'!$C$3:$C$3390,$A45)&gt;0,1,0)</f>
        <v>0</v>
      </c>
      <c r="F45">
        <f>IF(COUNTIFS('United Data'!$A$3:$A$3390,F$1,'United Data'!$C$3:$C$3390,$A45)&gt;0,1,0)</f>
        <v>0</v>
      </c>
      <c r="G45">
        <f>IF(COUNTIFS('United Data'!$A$3:$A$3390,G$1,'United Data'!$C$3:$C$3390,$A45)&gt;0,1,0)</f>
        <v>0</v>
      </c>
      <c r="H45">
        <f>IF(COUNTIFS('United Data'!$A$3:$A$3390,H$1,'United Data'!$C$3:$C$3390,$A45)&gt;0,1,0)</f>
        <v>0</v>
      </c>
      <c r="I45">
        <f>IF(COUNTIFS('United Data'!$A$3:$A$3390,I$1,'United Data'!$C$3:$C$3390,$A45)&gt;0,1,0)</f>
        <v>0</v>
      </c>
      <c r="J45">
        <f>IF(COUNTIFS('United Data'!$A$3:$A$3390,J$1,'United Data'!$C$3:$C$3390,$A45)&gt;0,1,0)</f>
        <v>0</v>
      </c>
      <c r="K45">
        <f>IF(COUNTIFS('United Data'!$A$3:$A$3390,K$1,'United Data'!$C$3:$C$3390,$A45)&gt;0,1,0)</f>
        <v>0</v>
      </c>
      <c r="L45">
        <f>IF(COUNTIFS('United Data'!$A$3:$A$3390,L$1,'United Data'!$C$3:$C$3390,$A45)&gt;0,1,0)</f>
        <v>0</v>
      </c>
      <c r="M45">
        <f>IF(COUNTIFS('United Data'!$A$3:$A$3390,M$1,'United Data'!$C$3:$C$3390,$A45)&gt;0,1,0)</f>
        <v>0</v>
      </c>
      <c r="N45">
        <f>IF(COUNTIFS('United Data'!$A$3:$A$3390,N$1,'United Data'!$C$3:$C$3390,$A45)&gt;0,1,0)</f>
        <v>0</v>
      </c>
      <c r="O45">
        <f>IF(COUNTIFS('United Data'!$A$3:$A$3390,O$1,'United Data'!$C$3:$C$3390,$A45)&gt;0,1,0)</f>
        <v>0</v>
      </c>
      <c r="P45">
        <f>IF(COUNTIFS('United Data'!$A$3:$A$3390,P$1,'United Data'!$C$3:$C$3390,$A45)&gt;0,1,0)</f>
        <v>0</v>
      </c>
      <c r="Q45">
        <f>IF(COUNTIFS('United Data'!$A$3:$A$3390,Q$1,'United Data'!$C$3:$C$3390,$A45)&gt;0,1,0)</f>
        <v>0</v>
      </c>
      <c r="R45">
        <f>IF(COUNTIFS('United Data'!$A$3:$A$3390,R$1,'United Data'!$C$3:$C$3390,$A45)&gt;0,1,0)</f>
        <v>0</v>
      </c>
      <c r="S45">
        <f t="shared" si="0"/>
        <v>1</v>
      </c>
      <c r="T45">
        <f t="shared" si="1"/>
        <v>1</v>
      </c>
    </row>
    <row r="46" spans="1:20" x14ac:dyDescent="0.2">
      <c r="A46" t="s">
        <v>90</v>
      </c>
      <c r="B46">
        <f>IF(COUNTIFS('United Data'!$A$3:$A$3390,B$1,'United Data'!$C$3:$C$3390,$A46)&gt;0,1,0)</f>
        <v>0</v>
      </c>
      <c r="C46">
        <f>IF(COUNTIFS('United Data'!$A$3:$A$3390,C$1,'United Data'!$C$3:$C$3390,$A46)&gt;0,1,0)</f>
        <v>0</v>
      </c>
      <c r="D46">
        <f>IF(COUNTIFS('United Data'!$A$3:$A$3390,D$1,'United Data'!$C$3:$C$3390,$A46)&gt;0,1,0)</f>
        <v>0</v>
      </c>
      <c r="E46">
        <f>IF(COUNTIFS('United Data'!$A$3:$A$3390,E$1,'United Data'!$C$3:$C$3390,$A46)&gt;0,1,0)</f>
        <v>1</v>
      </c>
      <c r="F46">
        <f>IF(COUNTIFS('United Data'!$A$3:$A$3390,F$1,'United Data'!$C$3:$C$3390,$A46)&gt;0,1,0)</f>
        <v>0</v>
      </c>
      <c r="G46">
        <f>IF(COUNTIFS('United Data'!$A$3:$A$3390,G$1,'United Data'!$C$3:$C$3390,$A46)&gt;0,1,0)</f>
        <v>0</v>
      </c>
      <c r="H46">
        <f>IF(COUNTIFS('United Data'!$A$3:$A$3390,H$1,'United Data'!$C$3:$C$3390,$A46)&gt;0,1,0)</f>
        <v>0</v>
      </c>
      <c r="I46">
        <f>IF(COUNTIFS('United Data'!$A$3:$A$3390,I$1,'United Data'!$C$3:$C$3390,$A46)&gt;0,1,0)</f>
        <v>0</v>
      </c>
      <c r="J46">
        <f>IF(COUNTIFS('United Data'!$A$3:$A$3390,J$1,'United Data'!$C$3:$C$3390,$A46)&gt;0,1,0)</f>
        <v>0</v>
      </c>
      <c r="K46">
        <f>IF(COUNTIFS('United Data'!$A$3:$A$3390,K$1,'United Data'!$C$3:$C$3390,$A46)&gt;0,1,0)</f>
        <v>0</v>
      </c>
      <c r="L46">
        <f>IF(COUNTIFS('United Data'!$A$3:$A$3390,L$1,'United Data'!$C$3:$C$3390,$A46)&gt;0,1,0)</f>
        <v>0</v>
      </c>
      <c r="M46">
        <f>IF(COUNTIFS('United Data'!$A$3:$A$3390,M$1,'United Data'!$C$3:$C$3390,$A46)&gt;0,1,0)</f>
        <v>0</v>
      </c>
      <c r="N46">
        <f>IF(COUNTIFS('United Data'!$A$3:$A$3390,N$1,'United Data'!$C$3:$C$3390,$A46)&gt;0,1,0)</f>
        <v>0</v>
      </c>
      <c r="O46">
        <f>IF(COUNTIFS('United Data'!$A$3:$A$3390,O$1,'United Data'!$C$3:$C$3390,$A46)&gt;0,1,0)</f>
        <v>0</v>
      </c>
      <c r="P46">
        <f>IF(COUNTIFS('United Data'!$A$3:$A$3390,P$1,'United Data'!$C$3:$C$3390,$A46)&gt;0,1,0)</f>
        <v>0</v>
      </c>
      <c r="Q46">
        <f>IF(COUNTIFS('United Data'!$A$3:$A$3390,Q$1,'United Data'!$C$3:$C$3390,$A46)&gt;0,1,0)</f>
        <v>0</v>
      </c>
      <c r="R46">
        <f>IF(COUNTIFS('United Data'!$A$3:$A$3390,R$1,'United Data'!$C$3:$C$3390,$A46)&gt;0,1,0)</f>
        <v>0</v>
      </c>
      <c r="S46">
        <f t="shared" si="0"/>
        <v>1</v>
      </c>
      <c r="T46">
        <f t="shared" si="1"/>
        <v>1</v>
      </c>
    </row>
    <row r="47" spans="1:20" x14ac:dyDescent="0.2">
      <c r="A47" t="s">
        <v>91</v>
      </c>
      <c r="B47">
        <f>IF(COUNTIFS('United Data'!$A$3:$A$3390,B$1,'United Data'!$C$3:$C$3390,$A47)&gt;0,1,0)</f>
        <v>0</v>
      </c>
      <c r="C47">
        <f>IF(COUNTIFS('United Data'!$A$3:$A$3390,C$1,'United Data'!$C$3:$C$3390,$A47)&gt;0,1,0)</f>
        <v>0</v>
      </c>
      <c r="D47">
        <f>IF(COUNTIFS('United Data'!$A$3:$A$3390,D$1,'United Data'!$C$3:$C$3390,$A47)&gt;0,1,0)</f>
        <v>0</v>
      </c>
      <c r="E47">
        <f>IF(COUNTIFS('United Data'!$A$3:$A$3390,E$1,'United Data'!$C$3:$C$3390,$A47)&gt;0,1,0)</f>
        <v>1</v>
      </c>
      <c r="F47">
        <f>IF(COUNTIFS('United Data'!$A$3:$A$3390,F$1,'United Data'!$C$3:$C$3390,$A47)&gt;0,1,0)</f>
        <v>0</v>
      </c>
      <c r="G47">
        <f>IF(COUNTIFS('United Data'!$A$3:$A$3390,G$1,'United Data'!$C$3:$C$3390,$A47)&gt;0,1,0)</f>
        <v>0</v>
      </c>
      <c r="H47">
        <f>IF(COUNTIFS('United Data'!$A$3:$A$3390,H$1,'United Data'!$C$3:$C$3390,$A47)&gt;0,1,0)</f>
        <v>0</v>
      </c>
      <c r="I47">
        <f>IF(COUNTIFS('United Data'!$A$3:$A$3390,I$1,'United Data'!$C$3:$C$3390,$A47)&gt;0,1,0)</f>
        <v>0</v>
      </c>
      <c r="J47">
        <f>IF(COUNTIFS('United Data'!$A$3:$A$3390,J$1,'United Data'!$C$3:$C$3390,$A47)&gt;0,1,0)</f>
        <v>0</v>
      </c>
      <c r="K47">
        <f>IF(COUNTIFS('United Data'!$A$3:$A$3390,K$1,'United Data'!$C$3:$C$3390,$A47)&gt;0,1,0)</f>
        <v>0</v>
      </c>
      <c r="L47">
        <f>IF(COUNTIFS('United Data'!$A$3:$A$3390,L$1,'United Data'!$C$3:$C$3390,$A47)&gt;0,1,0)</f>
        <v>0</v>
      </c>
      <c r="M47">
        <f>IF(COUNTIFS('United Data'!$A$3:$A$3390,M$1,'United Data'!$C$3:$C$3390,$A47)&gt;0,1,0)</f>
        <v>0</v>
      </c>
      <c r="N47">
        <f>IF(COUNTIFS('United Data'!$A$3:$A$3390,N$1,'United Data'!$C$3:$C$3390,$A47)&gt;0,1,0)</f>
        <v>0</v>
      </c>
      <c r="O47">
        <f>IF(COUNTIFS('United Data'!$A$3:$A$3390,O$1,'United Data'!$C$3:$C$3390,$A47)&gt;0,1,0)</f>
        <v>0</v>
      </c>
      <c r="P47">
        <f>IF(COUNTIFS('United Data'!$A$3:$A$3390,P$1,'United Data'!$C$3:$C$3390,$A47)&gt;0,1,0)</f>
        <v>0</v>
      </c>
      <c r="Q47">
        <f>IF(COUNTIFS('United Data'!$A$3:$A$3390,Q$1,'United Data'!$C$3:$C$3390,$A47)&gt;0,1,0)</f>
        <v>0</v>
      </c>
      <c r="R47">
        <f>IF(COUNTIFS('United Data'!$A$3:$A$3390,R$1,'United Data'!$C$3:$C$3390,$A47)&gt;0,1,0)</f>
        <v>0</v>
      </c>
      <c r="S47">
        <f t="shared" si="0"/>
        <v>1</v>
      </c>
      <c r="T47">
        <f t="shared" si="1"/>
        <v>1</v>
      </c>
    </row>
    <row r="48" spans="1:20" x14ac:dyDescent="0.2">
      <c r="A48" t="s">
        <v>92</v>
      </c>
      <c r="B48">
        <f>IF(COUNTIFS('United Data'!$A$3:$A$3390,B$1,'United Data'!$C$3:$C$3390,$A48)&gt;0,1,0)</f>
        <v>0</v>
      </c>
      <c r="C48">
        <f>IF(COUNTIFS('United Data'!$A$3:$A$3390,C$1,'United Data'!$C$3:$C$3390,$A48)&gt;0,1,0)</f>
        <v>0</v>
      </c>
      <c r="D48">
        <f>IF(COUNTIFS('United Data'!$A$3:$A$3390,D$1,'United Data'!$C$3:$C$3390,$A48)&gt;0,1,0)</f>
        <v>0</v>
      </c>
      <c r="E48">
        <f>IF(COUNTIFS('United Data'!$A$3:$A$3390,E$1,'United Data'!$C$3:$C$3390,$A48)&gt;0,1,0)</f>
        <v>1</v>
      </c>
      <c r="F48">
        <f>IF(COUNTIFS('United Data'!$A$3:$A$3390,F$1,'United Data'!$C$3:$C$3390,$A48)&gt;0,1,0)</f>
        <v>0</v>
      </c>
      <c r="G48">
        <f>IF(COUNTIFS('United Data'!$A$3:$A$3390,G$1,'United Data'!$C$3:$C$3390,$A48)&gt;0,1,0)</f>
        <v>0</v>
      </c>
      <c r="H48">
        <f>IF(COUNTIFS('United Data'!$A$3:$A$3390,H$1,'United Data'!$C$3:$C$3390,$A48)&gt;0,1,0)</f>
        <v>0</v>
      </c>
      <c r="I48">
        <f>IF(COUNTIFS('United Data'!$A$3:$A$3390,I$1,'United Data'!$C$3:$C$3390,$A48)&gt;0,1,0)</f>
        <v>0</v>
      </c>
      <c r="J48">
        <f>IF(COUNTIFS('United Data'!$A$3:$A$3390,J$1,'United Data'!$C$3:$C$3390,$A48)&gt;0,1,0)</f>
        <v>0</v>
      </c>
      <c r="K48">
        <f>IF(COUNTIFS('United Data'!$A$3:$A$3390,K$1,'United Data'!$C$3:$C$3390,$A48)&gt;0,1,0)</f>
        <v>0</v>
      </c>
      <c r="L48">
        <f>IF(COUNTIFS('United Data'!$A$3:$A$3390,L$1,'United Data'!$C$3:$C$3390,$A48)&gt;0,1,0)</f>
        <v>0</v>
      </c>
      <c r="M48">
        <f>IF(COUNTIFS('United Data'!$A$3:$A$3390,M$1,'United Data'!$C$3:$C$3390,$A48)&gt;0,1,0)</f>
        <v>0</v>
      </c>
      <c r="N48">
        <f>IF(COUNTIFS('United Data'!$A$3:$A$3390,N$1,'United Data'!$C$3:$C$3390,$A48)&gt;0,1,0)</f>
        <v>0</v>
      </c>
      <c r="O48">
        <f>IF(COUNTIFS('United Data'!$A$3:$A$3390,O$1,'United Data'!$C$3:$C$3390,$A48)&gt;0,1,0)</f>
        <v>0</v>
      </c>
      <c r="P48">
        <f>IF(COUNTIFS('United Data'!$A$3:$A$3390,P$1,'United Data'!$C$3:$C$3390,$A48)&gt;0,1,0)</f>
        <v>0</v>
      </c>
      <c r="Q48">
        <f>IF(COUNTIFS('United Data'!$A$3:$A$3390,Q$1,'United Data'!$C$3:$C$3390,$A48)&gt;0,1,0)</f>
        <v>0</v>
      </c>
      <c r="R48">
        <f>IF(COUNTIFS('United Data'!$A$3:$A$3390,R$1,'United Data'!$C$3:$C$3390,$A48)&gt;0,1,0)</f>
        <v>0</v>
      </c>
      <c r="S48">
        <f t="shared" si="0"/>
        <v>1</v>
      </c>
      <c r="T48">
        <f t="shared" si="1"/>
        <v>1</v>
      </c>
    </row>
    <row r="49" spans="1:20" x14ac:dyDescent="0.2">
      <c r="A49" t="s">
        <v>93</v>
      </c>
      <c r="B49">
        <f>IF(COUNTIFS('United Data'!$A$3:$A$3390,B$1,'United Data'!$C$3:$C$3390,$A49)&gt;0,1,0)</f>
        <v>0</v>
      </c>
      <c r="C49">
        <f>IF(COUNTIFS('United Data'!$A$3:$A$3390,C$1,'United Data'!$C$3:$C$3390,$A49)&gt;0,1,0)</f>
        <v>0</v>
      </c>
      <c r="D49">
        <f>IF(COUNTIFS('United Data'!$A$3:$A$3390,D$1,'United Data'!$C$3:$C$3390,$A49)&gt;0,1,0)</f>
        <v>0</v>
      </c>
      <c r="E49">
        <f>IF(COUNTIFS('United Data'!$A$3:$A$3390,E$1,'United Data'!$C$3:$C$3390,$A49)&gt;0,1,0)</f>
        <v>1</v>
      </c>
      <c r="F49">
        <f>IF(COUNTIFS('United Data'!$A$3:$A$3390,F$1,'United Data'!$C$3:$C$3390,$A49)&gt;0,1,0)</f>
        <v>0</v>
      </c>
      <c r="G49">
        <f>IF(COUNTIFS('United Data'!$A$3:$A$3390,G$1,'United Data'!$C$3:$C$3390,$A49)&gt;0,1,0)</f>
        <v>0</v>
      </c>
      <c r="H49">
        <f>IF(COUNTIFS('United Data'!$A$3:$A$3390,H$1,'United Data'!$C$3:$C$3390,$A49)&gt;0,1,0)</f>
        <v>0</v>
      </c>
      <c r="I49">
        <f>IF(COUNTIFS('United Data'!$A$3:$A$3390,I$1,'United Data'!$C$3:$C$3390,$A49)&gt;0,1,0)</f>
        <v>0</v>
      </c>
      <c r="J49">
        <f>IF(COUNTIFS('United Data'!$A$3:$A$3390,J$1,'United Data'!$C$3:$C$3390,$A49)&gt;0,1,0)</f>
        <v>0</v>
      </c>
      <c r="K49">
        <f>IF(COUNTIFS('United Data'!$A$3:$A$3390,K$1,'United Data'!$C$3:$C$3390,$A49)&gt;0,1,0)</f>
        <v>0</v>
      </c>
      <c r="L49">
        <f>IF(COUNTIFS('United Data'!$A$3:$A$3390,L$1,'United Data'!$C$3:$C$3390,$A49)&gt;0,1,0)</f>
        <v>0</v>
      </c>
      <c r="M49">
        <f>IF(COUNTIFS('United Data'!$A$3:$A$3390,M$1,'United Data'!$C$3:$C$3390,$A49)&gt;0,1,0)</f>
        <v>0</v>
      </c>
      <c r="N49">
        <f>IF(COUNTIFS('United Data'!$A$3:$A$3390,N$1,'United Data'!$C$3:$C$3390,$A49)&gt;0,1,0)</f>
        <v>0</v>
      </c>
      <c r="O49">
        <f>IF(COUNTIFS('United Data'!$A$3:$A$3390,O$1,'United Data'!$C$3:$C$3390,$A49)&gt;0,1,0)</f>
        <v>0</v>
      </c>
      <c r="P49">
        <f>IF(COUNTIFS('United Data'!$A$3:$A$3390,P$1,'United Data'!$C$3:$C$3390,$A49)&gt;0,1,0)</f>
        <v>0</v>
      </c>
      <c r="Q49">
        <f>IF(COUNTIFS('United Data'!$A$3:$A$3390,Q$1,'United Data'!$C$3:$C$3390,$A49)&gt;0,1,0)</f>
        <v>0</v>
      </c>
      <c r="R49">
        <f>IF(COUNTIFS('United Data'!$A$3:$A$3390,R$1,'United Data'!$C$3:$C$3390,$A49)&gt;0,1,0)</f>
        <v>0</v>
      </c>
      <c r="S49">
        <f t="shared" si="0"/>
        <v>1</v>
      </c>
      <c r="T49">
        <f t="shared" si="1"/>
        <v>1</v>
      </c>
    </row>
    <row r="50" spans="1:20" x14ac:dyDescent="0.2">
      <c r="A50" t="s">
        <v>94</v>
      </c>
      <c r="B50">
        <f>IF(COUNTIFS('United Data'!$A$3:$A$3390,B$1,'United Data'!$C$3:$C$3390,$A50)&gt;0,1,0)</f>
        <v>0</v>
      </c>
      <c r="C50">
        <f>IF(COUNTIFS('United Data'!$A$3:$A$3390,C$1,'United Data'!$C$3:$C$3390,$A50)&gt;0,1,0)</f>
        <v>0</v>
      </c>
      <c r="D50">
        <f>IF(COUNTIFS('United Data'!$A$3:$A$3390,D$1,'United Data'!$C$3:$C$3390,$A50)&gt;0,1,0)</f>
        <v>0</v>
      </c>
      <c r="E50">
        <f>IF(COUNTIFS('United Data'!$A$3:$A$3390,E$1,'United Data'!$C$3:$C$3390,$A50)&gt;0,1,0)</f>
        <v>0</v>
      </c>
      <c r="F50">
        <f>IF(COUNTIFS('United Data'!$A$3:$A$3390,F$1,'United Data'!$C$3:$C$3390,$A50)&gt;0,1,0)</f>
        <v>1</v>
      </c>
      <c r="G50">
        <f>IF(COUNTIFS('United Data'!$A$3:$A$3390,G$1,'United Data'!$C$3:$C$3390,$A50)&gt;0,1,0)</f>
        <v>1</v>
      </c>
      <c r="H50">
        <f>IF(COUNTIFS('United Data'!$A$3:$A$3390,H$1,'United Data'!$C$3:$C$3390,$A50)&gt;0,1,0)</f>
        <v>0</v>
      </c>
      <c r="I50">
        <f>IF(COUNTIFS('United Data'!$A$3:$A$3390,I$1,'United Data'!$C$3:$C$3390,$A50)&gt;0,1,0)</f>
        <v>0</v>
      </c>
      <c r="J50">
        <f>IF(COUNTIFS('United Data'!$A$3:$A$3390,J$1,'United Data'!$C$3:$C$3390,$A50)&gt;0,1,0)</f>
        <v>0</v>
      </c>
      <c r="K50">
        <f>IF(COUNTIFS('United Data'!$A$3:$A$3390,K$1,'United Data'!$C$3:$C$3390,$A50)&gt;0,1,0)</f>
        <v>0</v>
      </c>
      <c r="L50">
        <f>IF(COUNTIFS('United Data'!$A$3:$A$3390,L$1,'United Data'!$C$3:$C$3390,$A50)&gt;0,1,0)</f>
        <v>0</v>
      </c>
      <c r="M50">
        <f>IF(COUNTIFS('United Data'!$A$3:$A$3390,M$1,'United Data'!$C$3:$C$3390,$A50)&gt;0,1,0)</f>
        <v>0</v>
      </c>
      <c r="N50">
        <f>IF(COUNTIFS('United Data'!$A$3:$A$3390,N$1,'United Data'!$C$3:$C$3390,$A50)&gt;0,1,0)</f>
        <v>0</v>
      </c>
      <c r="O50">
        <f>IF(COUNTIFS('United Data'!$A$3:$A$3390,O$1,'United Data'!$C$3:$C$3390,$A50)&gt;0,1,0)</f>
        <v>0</v>
      </c>
      <c r="P50">
        <f>IF(COUNTIFS('United Data'!$A$3:$A$3390,P$1,'United Data'!$C$3:$C$3390,$A50)&gt;0,1,0)</f>
        <v>0</v>
      </c>
      <c r="Q50">
        <f>IF(COUNTIFS('United Data'!$A$3:$A$3390,Q$1,'United Data'!$C$3:$C$3390,$A50)&gt;0,1,0)</f>
        <v>0</v>
      </c>
      <c r="R50">
        <f>IF(COUNTIFS('United Data'!$A$3:$A$3390,R$1,'United Data'!$C$3:$C$3390,$A50)&gt;0,1,0)</f>
        <v>0</v>
      </c>
      <c r="S50">
        <f t="shared" si="0"/>
        <v>2</v>
      </c>
      <c r="T50">
        <f t="shared" si="1"/>
        <v>1</v>
      </c>
    </row>
    <row r="51" spans="1:20" x14ac:dyDescent="0.2">
      <c r="A51" t="s">
        <v>95</v>
      </c>
      <c r="B51">
        <f>IF(COUNTIFS('United Data'!$A$3:$A$3390,B$1,'United Data'!$C$3:$C$3390,$A51)&gt;0,1,0)</f>
        <v>0</v>
      </c>
      <c r="C51">
        <f>IF(COUNTIFS('United Data'!$A$3:$A$3390,C$1,'United Data'!$C$3:$C$3390,$A51)&gt;0,1,0)</f>
        <v>0</v>
      </c>
      <c r="D51">
        <f>IF(COUNTIFS('United Data'!$A$3:$A$3390,D$1,'United Data'!$C$3:$C$3390,$A51)&gt;0,1,0)</f>
        <v>0</v>
      </c>
      <c r="E51">
        <f>IF(COUNTIFS('United Data'!$A$3:$A$3390,E$1,'United Data'!$C$3:$C$3390,$A51)&gt;0,1,0)</f>
        <v>0</v>
      </c>
      <c r="F51">
        <f>IF(COUNTIFS('United Data'!$A$3:$A$3390,F$1,'United Data'!$C$3:$C$3390,$A51)&gt;0,1,0)</f>
        <v>1</v>
      </c>
      <c r="G51">
        <f>IF(COUNTIFS('United Data'!$A$3:$A$3390,G$1,'United Data'!$C$3:$C$3390,$A51)&gt;0,1,0)</f>
        <v>0</v>
      </c>
      <c r="H51">
        <f>IF(COUNTIFS('United Data'!$A$3:$A$3390,H$1,'United Data'!$C$3:$C$3390,$A51)&gt;0,1,0)</f>
        <v>0</v>
      </c>
      <c r="I51">
        <f>IF(COUNTIFS('United Data'!$A$3:$A$3390,I$1,'United Data'!$C$3:$C$3390,$A51)&gt;0,1,0)</f>
        <v>0</v>
      </c>
      <c r="J51">
        <f>IF(COUNTIFS('United Data'!$A$3:$A$3390,J$1,'United Data'!$C$3:$C$3390,$A51)&gt;0,1,0)</f>
        <v>0</v>
      </c>
      <c r="K51">
        <f>IF(COUNTIFS('United Data'!$A$3:$A$3390,K$1,'United Data'!$C$3:$C$3390,$A51)&gt;0,1,0)</f>
        <v>0</v>
      </c>
      <c r="L51">
        <f>IF(COUNTIFS('United Data'!$A$3:$A$3390,L$1,'United Data'!$C$3:$C$3390,$A51)&gt;0,1,0)</f>
        <v>0</v>
      </c>
      <c r="M51">
        <f>IF(COUNTIFS('United Data'!$A$3:$A$3390,M$1,'United Data'!$C$3:$C$3390,$A51)&gt;0,1,0)</f>
        <v>0</v>
      </c>
      <c r="N51">
        <f>IF(COUNTIFS('United Data'!$A$3:$A$3390,N$1,'United Data'!$C$3:$C$3390,$A51)&gt;0,1,0)</f>
        <v>0</v>
      </c>
      <c r="O51">
        <f>IF(COUNTIFS('United Data'!$A$3:$A$3390,O$1,'United Data'!$C$3:$C$3390,$A51)&gt;0,1,0)</f>
        <v>0</v>
      </c>
      <c r="P51">
        <f>IF(COUNTIFS('United Data'!$A$3:$A$3390,P$1,'United Data'!$C$3:$C$3390,$A51)&gt;0,1,0)</f>
        <v>0</v>
      </c>
      <c r="Q51">
        <f>IF(COUNTIFS('United Data'!$A$3:$A$3390,Q$1,'United Data'!$C$3:$C$3390,$A51)&gt;0,1,0)</f>
        <v>0</v>
      </c>
      <c r="R51">
        <f>IF(COUNTIFS('United Data'!$A$3:$A$3390,R$1,'United Data'!$C$3:$C$3390,$A51)&gt;0,1,0)</f>
        <v>0</v>
      </c>
      <c r="S51">
        <f t="shared" si="0"/>
        <v>1</v>
      </c>
      <c r="T51">
        <f t="shared" si="1"/>
        <v>1</v>
      </c>
    </row>
    <row r="52" spans="1:20" x14ac:dyDescent="0.2">
      <c r="A52" t="s">
        <v>96</v>
      </c>
      <c r="B52">
        <f>IF(COUNTIFS('United Data'!$A$3:$A$3390,B$1,'United Data'!$C$3:$C$3390,$A52)&gt;0,1,0)</f>
        <v>1</v>
      </c>
      <c r="C52">
        <f>IF(COUNTIFS('United Data'!$A$3:$A$3390,C$1,'United Data'!$C$3:$C$3390,$A52)&gt;0,1,0)</f>
        <v>0</v>
      </c>
      <c r="D52">
        <f>IF(COUNTIFS('United Data'!$A$3:$A$3390,D$1,'United Data'!$C$3:$C$3390,$A52)&gt;0,1,0)</f>
        <v>0</v>
      </c>
      <c r="E52">
        <f>IF(COUNTIFS('United Data'!$A$3:$A$3390,E$1,'United Data'!$C$3:$C$3390,$A52)&gt;0,1,0)</f>
        <v>0</v>
      </c>
      <c r="F52">
        <f>IF(COUNTIFS('United Data'!$A$3:$A$3390,F$1,'United Data'!$C$3:$C$3390,$A52)&gt;0,1,0)</f>
        <v>0</v>
      </c>
      <c r="G52">
        <f>IF(COUNTIFS('United Data'!$A$3:$A$3390,G$1,'United Data'!$C$3:$C$3390,$A52)&gt;0,1,0)</f>
        <v>0</v>
      </c>
      <c r="H52">
        <f>IF(COUNTIFS('United Data'!$A$3:$A$3390,H$1,'United Data'!$C$3:$C$3390,$A52)&gt;0,1,0)</f>
        <v>1</v>
      </c>
      <c r="I52">
        <f>IF(COUNTIFS('United Data'!$A$3:$A$3390,I$1,'United Data'!$C$3:$C$3390,$A52)&gt;0,1,0)</f>
        <v>0</v>
      </c>
      <c r="J52">
        <f>IF(COUNTIFS('United Data'!$A$3:$A$3390,J$1,'United Data'!$C$3:$C$3390,$A52)&gt;0,1,0)</f>
        <v>0</v>
      </c>
      <c r="K52">
        <f>IF(COUNTIFS('United Data'!$A$3:$A$3390,K$1,'United Data'!$C$3:$C$3390,$A52)&gt;0,1,0)</f>
        <v>0</v>
      </c>
      <c r="L52">
        <f>IF(COUNTIFS('United Data'!$A$3:$A$3390,L$1,'United Data'!$C$3:$C$3390,$A52)&gt;0,1,0)</f>
        <v>0</v>
      </c>
      <c r="M52">
        <f>IF(COUNTIFS('United Data'!$A$3:$A$3390,M$1,'United Data'!$C$3:$C$3390,$A52)&gt;0,1,0)</f>
        <v>0</v>
      </c>
      <c r="N52">
        <f>IF(COUNTIFS('United Data'!$A$3:$A$3390,N$1,'United Data'!$C$3:$C$3390,$A52)&gt;0,1,0)</f>
        <v>0</v>
      </c>
      <c r="O52">
        <f>IF(COUNTIFS('United Data'!$A$3:$A$3390,O$1,'United Data'!$C$3:$C$3390,$A52)&gt;0,1,0)</f>
        <v>0</v>
      </c>
      <c r="P52">
        <f>IF(COUNTIFS('United Data'!$A$3:$A$3390,P$1,'United Data'!$C$3:$C$3390,$A52)&gt;0,1,0)</f>
        <v>0</v>
      </c>
      <c r="Q52">
        <f>IF(COUNTIFS('United Data'!$A$3:$A$3390,Q$1,'United Data'!$C$3:$C$3390,$A52)&gt;0,1,0)</f>
        <v>0</v>
      </c>
      <c r="R52">
        <f>IF(COUNTIFS('United Data'!$A$3:$A$3390,R$1,'United Data'!$C$3:$C$3390,$A52)&gt;0,1,0)</f>
        <v>0</v>
      </c>
      <c r="S52">
        <f t="shared" si="0"/>
        <v>2</v>
      </c>
      <c r="T52">
        <f t="shared" si="1"/>
        <v>2</v>
      </c>
    </row>
    <row r="53" spans="1:20" x14ac:dyDescent="0.2">
      <c r="A53" t="s">
        <v>97</v>
      </c>
      <c r="B53">
        <f>IF(COUNTIFS('United Data'!$A$3:$A$3390,B$1,'United Data'!$C$3:$C$3390,$A53)&gt;0,1,0)</f>
        <v>0</v>
      </c>
      <c r="C53">
        <f>IF(COUNTIFS('United Data'!$A$3:$A$3390,C$1,'United Data'!$C$3:$C$3390,$A53)&gt;0,1,0)</f>
        <v>0</v>
      </c>
      <c r="D53">
        <f>IF(COUNTIFS('United Data'!$A$3:$A$3390,D$1,'United Data'!$C$3:$C$3390,$A53)&gt;0,1,0)</f>
        <v>0</v>
      </c>
      <c r="E53">
        <f>IF(COUNTIFS('United Data'!$A$3:$A$3390,E$1,'United Data'!$C$3:$C$3390,$A53)&gt;0,1,0)</f>
        <v>0</v>
      </c>
      <c r="F53">
        <f>IF(COUNTIFS('United Data'!$A$3:$A$3390,F$1,'United Data'!$C$3:$C$3390,$A53)&gt;0,1,0)</f>
        <v>0</v>
      </c>
      <c r="G53">
        <f>IF(COUNTIFS('United Data'!$A$3:$A$3390,G$1,'United Data'!$C$3:$C$3390,$A53)&gt;0,1,0)</f>
        <v>0</v>
      </c>
      <c r="H53">
        <f>IF(COUNTIFS('United Data'!$A$3:$A$3390,H$1,'United Data'!$C$3:$C$3390,$A53)&gt;0,1,0)</f>
        <v>0</v>
      </c>
      <c r="I53">
        <f>IF(COUNTIFS('United Data'!$A$3:$A$3390,I$1,'United Data'!$C$3:$C$3390,$A53)&gt;0,1,0)</f>
        <v>1</v>
      </c>
      <c r="J53">
        <f>IF(COUNTIFS('United Data'!$A$3:$A$3390,J$1,'United Data'!$C$3:$C$3390,$A53)&gt;0,1,0)</f>
        <v>0</v>
      </c>
      <c r="K53">
        <f>IF(COUNTIFS('United Data'!$A$3:$A$3390,K$1,'United Data'!$C$3:$C$3390,$A53)&gt;0,1,0)</f>
        <v>0</v>
      </c>
      <c r="L53">
        <f>IF(COUNTIFS('United Data'!$A$3:$A$3390,L$1,'United Data'!$C$3:$C$3390,$A53)&gt;0,1,0)</f>
        <v>0</v>
      </c>
      <c r="M53">
        <f>IF(COUNTIFS('United Data'!$A$3:$A$3390,M$1,'United Data'!$C$3:$C$3390,$A53)&gt;0,1,0)</f>
        <v>0</v>
      </c>
      <c r="N53">
        <f>IF(COUNTIFS('United Data'!$A$3:$A$3390,N$1,'United Data'!$C$3:$C$3390,$A53)&gt;0,1,0)</f>
        <v>0</v>
      </c>
      <c r="O53">
        <f>IF(COUNTIFS('United Data'!$A$3:$A$3390,O$1,'United Data'!$C$3:$C$3390,$A53)&gt;0,1,0)</f>
        <v>0</v>
      </c>
      <c r="P53">
        <f>IF(COUNTIFS('United Data'!$A$3:$A$3390,P$1,'United Data'!$C$3:$C$3390,$A53)&gt;0,1,0)</f>
        <v>0</v>
      </c>
      <c r="Q53">
        <f>IF(COUNTIFS('United Data'!$A$3:$A$3390,Q$1,'United Data'!$C$3:$C$3390,$A53)&gt;0,1,0)</f>
        <v>0</v>
      </c>
      <c r="R53">
        <f>IF(COUNTIFS('United Data'!$A$3:$A$3390,R$1,'United Data'!$C$3:$C$3390,$A53)&gt;0,1,0)</f>
        <v>0</v>
      </c>
      <c r="S53">
        <f t="shared" si="0"/>
        <v>1</v>
      </c>
      <c r="T53">
        <f t="shared" si="1"/>
        <v>1</v>
      </c>
    </row>
    <row r="54" spans="1:20" x14ac:dyDescent="0.2">
      <c r="A54" t="s">
        <v>98</v>
      </c>
      <c r="B54">
        <f>IF(COUNTIFS('United Data'!$A$3:$A$3390,B$1,'United Data'!$C$3:$C$3390,$A54)&gt;0,1,0)</f>
        <v>0</v>
      </c>
      <c r="C54">
        <f>IF(COUNTIFS('United Data'!$A$3:$A$3390,C$1,'United Data'!$C$3:$C$3390,$A54)&gt;0,1,0)</f>
        <v>0</v>
      </c>
      <c r="D54">
        <f>IF(COUNTIFS('United Data'!$A$3:$A$3390,D$1,'United Data'!$C$3:$C$3390,$A54)&gt;0,1,0)</f>
        <v>0</v>
      </c>
      <c r="E54">
        <f>IF(COUNTIFS('United Data'!$A$3:$A$3390,E$1,'United Data'!$C$3:$C$3390,$A54)&gt;0,1,0)</f>
        <v>0</v>
      </c>
      <c r="F54">
        <f>IF(COUNTIFS('United Data'!$A$3:$A$3390,F$1,'United Data'!$C$3:$C$3390,$A54)&gt;0,1,0)</f>
        <v>0</v>
      </c>
      <c r="G54">
        <f>IF(COUNTIFS('United Data'!$A$3:$A$3390,G$1,'United Data'!$C$3:$C$3390,$A54)&gt;0,1,0)</f>
        <v>0</v>
      </c>
      <c r="H54">
        <f>IF(COUNTIFS('United Data'!$A$3:$A$3390,H$1,'United Data'!$C$3:$C$3390,$A54)&gt;0,1,0)</f>
        <v>0</v>
      </c>
      <c r="I54">
        <f>IF(COUNTIFS('United Data'!$A$3:$A$3390,I$1,'United Data'!$C$3:$C$3390,$A54)&gt;0,1,0)</f>
        <v>1</v>
      </c>
      <c r="J54">
        <f>IF(COUNTIFS('United Data'!$A$3:$A$3390,J$1,'United Data'!$C$3:$C$3390,$A54)&gt;0,1,0)</f>
        <v>0</v>
      </c>
      <c r="K54">
        <f>IF(COUNTIFS('United Data'!$A$3:$A$3390,K$1,'United Data'!$C$3:$C$3390,$A54)&gt;0,1,0)</f>
        <v>0</v>
      </c>
      <c r="L54">
        <f>IF(COUNTIFS('United Data'!$A$3:$A$3390,L$1,'United Data'!$C$3:$C$3390,$A54)&gt;0,1,0)</f>
        <v>0</v>
      </c>
      <c r="M54">
        <f>IF(COUNTIFS('United Data'!$A$3:$A$3390,M$1,'United Data'!$C$3:$C$3390,$A54)&gt;0,1,0)</f>
        <v>0</v>
      </c>
      <c r="N54">
        <f>IF(COUNTIFS('United Data'!$A$3:$A$3390,N$1,'United Data'!$C$3:$C$3390,$A54)&gt;0,1,0)</f>
        <v>0</v>
      </c>
      <c r="O54">
        <f>IF(COUNTIFS('United Data'!$A$3:$A$3390,O$1,'United Data'!$C$3:$C$3390,$A54)&gt;0,1,0)</f>
        <v>0</v>
      </c>
      <c r="P54">
        <f>IF(COUNTIFS('United Data'!$A$3:$A$3390,P$1,'United Data'!$C$3:$C$3390,$A54)&gt;0,1,0)</f>
        <v>0</v>
      </c>
      <c r="Q54">
        <f>IF(COUNTIFS('United Data'!$A$3:$A$3390,Q$1,'United Data'!$C$3:$C$3390,$A54)&gt;0,1,0)</f>
        <v>0</v>
      </c>
      <c r="R54">
        <f>IF(COUNTIFS('United Data'!$A$3:$A$3390,R$1,'United Data'!$C$3:$C$3390,$A54)&gt;0,1,0)</f>
        <v>0</v>
      </c>
      <c r="S54">
        <f t="shared" si="0"/>
        <v>1</v>
      </c>
      <c r="T54">
        <f t="shared" si="1"/>
        <v>1</v>
      </c>
    </row>
    <row r="55" spans="1:20" x14ac:dyDescent="0.2">
      <c r="A55" t="s">
        <v>99</v>
      </c>
      <c r="B55">
        <f>IF(COUNTIFS('United Data'!$A$3:$A$3390,B$1,'United Data'!$C$3:$C$3390,$A55)&gt;0,1,0)</f>
        <v>0</v>
      </c>
      <c r="C55">
        <f>IF(COUNTIFS('United Data'!$A$3:$A$3390,C$1,'United Data'!$C$3:$C$3390,$A55)&gt;0,1,0)</f>
        <v>0</v>
      </c>
      <c r="D55">
        <f>IF(COUNTIFS('United Data'!$A$3:$A$3390,D$1,'United Data'!$C$3:$C$3390,$A55)&gt;0,1,0)</f>
        <v>0</v>
      </c>
      <c r="E55">
        <f>IF(COUNTIFS('United Data'!$A$3:$A$3390,E$1,'United Data'!$C$3:$C$3390,$A55)&gt;0,1,0)</f>
        <v>0</v>
      </c>
      <c r="F55">
        <f>IF(COUNTIFS('United Data'!$A$3:$A$3390,F$1,'United Data'!$C$3:$C$3390,$A55)&gt;0,1,0)</f>
        <v>0</v>
      </c>
      <c r="G55">
        <f>IF(COUNTIFS('United Data'!$A$3:$A$3390,G$1,'United Data'!$C$3:$C$3390,$A55)&gt;0,1,0)</f>
        <v>0</v>
      </c>
      <c r="H55">
        <f>IF(COUNTIFS('United Data'!$A$3:$A$3390,H$1,'United Data'!$C$3:$C$3390,$A55)&gt;0,1,0)</f>
        <v>0</v>
      </c>
      <c r="I55">
        <f>IF(COUNTIFS('United Data'!$A$3:$A$3390,I$1,'United Data'!$C$3:$C$3390,$A55)&gt;0,1,0)</f>
        <v>1</v>
      </c>
      <c r="J55">
        <f>IF(COUNTIFS('United Data'!$A$3:$A$3390,J$1,'United Data'!$C$3:$C$3390,$A55)&gt;0,1,0)</f>
        <v>0</v>
      </c>
      <c r="K55">
        <f>IF(COUNTIFS('United Data'!$A$3:$A$3390,K$1,'United Data'!$C$3:$C$3390,$A55)&gt;0,1,0)</f>
        <v>0</v>
      </c>
      <c r="L55">
        <f>IF(COUNTIFS('United Data'!$A$3:$A$3390,L$1,'United Data'!$C$3:$C$3390,$A55)&gt;0,1,0)</f>
        <v>0</v>
      </c>
      <c r="M55">
        <f>IF(COUNTIFS('United Data'!$A$3:$A$3390,M$1,'United Data'!$C$3:$C$3390,$A55)&gt;0,1,0)</f>
        <v>0</v>
      </c>
      <c r="N55">
        <f>IF(COUNTIFS('United Data'!$A$3:$A$3390,N$1,'United Data'!$C$3:$C$3390,$A55)&gt;0,1,0)</f>
        <v>0</v>
      </c>
      <c r="O55">
        <f>IF(COUNTIFS('United Data'!$A$3:$A$3390,O$1,'United Data'!$C$3:$C$3390,$A55)&gt;0,1,0)</f>
        <v>0</v>
      </c>
      <c r="P55">
        <f>IF(COUNTIFS('United Data'!$A$3:$A$3390,P$1,'United Data'!$C$3:$C$3390,$A55)&gt;0,1,0)</f>
        <v>0</v>
      </c>
      <c r="Q55">
        <f>IF(COUNTIFS('United Data'!$A$3:$A$3390,Q$1,'United Data'!$C$3:$C$3390,$A55)&gt;0,1,0)</f>
        <v>0</v>
      </c>
      <c r="R55">
        <f>IF(COUNTIFS('United Data'!$A$3:$A$3390,R$1,'United Data'!$C$3:$C$3390,$A55)&gt;0,1,0)</f>
        <v>0</v>
      </c>
      <c r="S55">
        <f t="shared" si="0"/>
        <v>1</v>
      </c>
      <c r="T55">
        <f t="shared" si="1"/>
        <v>1</v>
      </c>
    </row>
    <row r="56" spans="1:20" x14ac:dyDescent="0.2">
      <c r="A56" t="s">
        <v>100</v>
      </c>
      <c r="B56">
        <f>IF(COUNTIFS('United Data'!$A$3:$A$3390,B$1,'United Data'!$C$3:$C$3390,$A56)&gt;0,1,0)</f>
        <v>0</v>
      </c>
      <c r="C56">
        <f>IF(COUNTIFS('United Data'!$A$3:$A$3390,C$1,'United Data'!$C$3:$C$3390,$A56)&gt;0,1,0)</f>
        <v>0</v>
      </c>
      <c r="D56">
        <f>IF(COUNTIFS('United Data'!$A$3:$A$3390,D$1,'United Data'!$C$3:$C$3390,$A56)&gt;0,1,0)</f>
        <v>0</v>
      </c>
      <c r="E56">
        <f>IF(COUNTIFS('United Data'!$A$3:$A$3390,E$1,'United Data'!$C$3:$C$3390,$A56)&gt;0,1,0)</f>
        <v>0</v>
      </c>
      <c r="F56">
        <f>IF(COUNTIFS('United Data'!$A$3:$A$3390,F$1,'United Data'!$C$3:$C$3390,$A56)&gt;0,1,0)</f>
        <v>0</v>
      </c>
      <c r="G56">
        <f>IF(COUNTIFS('United Data'!$A$3:$A$3390,G$1,'United Data'!$C$3:$C$3390,$A56)&gt;0,1,0)</f>
        <v>0</v>
      </c>
      <c r="H56">
        <f>IF(COUNTIFS('United Data'!$A$3:$A$3390,H$1,'United Data'!$C$3:$C$3390,$A56)&gt;0,1,0)</f>
        <v>0</v>
      </c>
      <c r="I56">
        <f>IF(COUNTIFS('United Data'!$A$3:$A$3390,I$1,'United Data'!$C$3:$C$3390,$A56)&gt;0,1,0)</f>
        <v>0</v>
      </c>
      <c r="J56">
        <f>IF(COUNTIFS('United Data'!$A$3:$A$3390,J$1,'United Data'!$C$3:$C$3390,$A56)&gt;0,1,0)</f>
        <v>1</v>
      </c>
      <c r="K56">
        <f>IF(COUNTIFS('United Data'!$A$3:$A$3390,K$1,'United Data'!$C$3:$C$3390,$A56)&gt;0,1,0)</f>
        <v>0</v>
      </c>
      <c r="L56">
        <f>IF(COUNTIFS('United Data'!$A$3:$A$3390,L$1,'United Data'!$C$3:$C$3390,$A56)&gt;0,1,0)</f>
        <v>0</v>
      </c>
      <c r="M56">
        <f>IF(COUNTIFS('United Data'!$A$3:$A$3390,M$1,'United Data'!$C$3:$C$3390,$A56)&gt;0,1,0)</f>
        <v>0</v>
      </c>
      <c r="N56">
        <f>IF(COUNTIFS('United Data'!$A$3:$A$3390,N$1,'United Data'!$C$3:$C$3390,$A56)&gt;0,1,0)</f>
        <v>0</v>
      </c>
      <c r="O56">
        <f>IF(COUNTIFS('United Data'!$A$3:$A$3390,O$1,'United Data'!$C$3:$C$3390,$A56)&gt;0,1,0)</f>
        <v>0</v>
      </c>
      <c r="P56">
        <f>IF(COUNTIFS('United Data'!$A$3:$A$3390,P$1,'United Data'!$C$3:$C$3390,$A56)&gt;0,1,0)</f>
        <v>0</v>
      </c>
      <c r="Q56">
        <f>IF(COUNTIFS('United Data'!$A$3:$A$3390,Q$1,'United Data'!$C$3:$C$3390,$A56)&gt;0,1,0)</f>
        <v>0</v>
      </c>
      <c r="R56">
        <f>IF(COUNTIFS('United Data'!$A$3:$A$3390,R$1,'United Data'!$C$3:$C$3390,$A56)&gt;0,1,0)</f>
        <v>0</v>
      </c>
      <c r="S56">
        <f t="shared" si="0"/>
        <v>1</v>
      </c>
      <c r="T56">
        <f t="shared" si="1"/>
        <v>1</v>
      </c>
    </row>
    <row r="57" spans="1:20" x14ac:dyDescent="0.2">
      <c r="A57" t="s">
        <v>102</v>
      </c>
      <c r="B57">
        <f>IF(COUNTIFS('United Data'!$A$3:$A$3390,B$1,'United Data'!$C$3:$C$3390,$A57)&gt;0,1,0)</f>
        <v>0</v>
      </c>
      <c r="C57">
        <f>IF(COUNTIFS('United Data'!$A$3:$A$3390,C$1,'United Data'!$C$3:$C$3390,$A57)&gt;0,1,0)</f>
        <v>0</v>
      </c>
      <c r="D57">
        <f>IF(COUNTIFS('United Data'!$A$3:$A$3390,D$1,'United Data'!$C$3:$C$3390,$A57)&gt;0,1,0)</f>
        <v>0</v>
      </c>
      <c r="E57">
        <f>IF(COUNTIFS('United Data'!$A$3:$A$3390,E$1,'United Data'!$C$3:$C$3390,$A57)&gt;0,1,0)</f>
        <v>0</v>
      </c>
      <c r="F57">
        <f>IF(COUNTIFS('United Data'!$A$3:$A$3390,F$1,'United Data'!$C$3:$C$3390,$A57)&gt;0,1,0)</f>
        <v>0</v>
      </c>
      <c r="G57">
        <f>IF(COUNTIFS('United Data'!$A$3:$A$3390,G$1,'United Data'!$C$3:$C$3390,$A57)&gt;0,1,0)</f>
        <v>0</v>
      </c>
      <c r="H57">
        <f>IF(COUNTIFS('United Data'!$A$3:$A$3390,H$1,'United Data'!$C$3:$C$3390,$A57)&gt;0,1,0)</f>
        <v>0</v>
      </c>
      <c r="I57">
        <f>IF(COUNTIFS('United Data'!$A$3:$A$3390,I$1,'United Data'!$C$3:$C$3390,$A57)&gt;0,1,0)</f>
        <v>0</v>
      </c>
      <c r="J57">
        <f>IF(COUNTIFS('United Data'!$A$3:$A$3390,J$1,'United Data'!$C$3:$C$3390,$A57)&gt;0,1,0)</f>
        <v>0</v>
      </c>
      <c r="K57">
        <f>IF(COUNTIFS('United Data'!$A$3:$A$3390,K$1,'United Data'!$C$3:$C$3390,$A57)&gt;0,1,0)</f>
        <v>0</v>
      </c>
      <c r="L57">
        <f>IF(COUNTIFS('United Data'!$A$3:$A$3390,L$1,'United Data'!$C$3:$C$3390,$A57)&gt;0,1,0)</f>
        <v>1</v>
      </c>
      <c r="M57">
        <f>IF(COUNTIFS('United Data'!$A$3:$A$3390,M$1,'United Data'!$C$3:$C$3390,$A57)&gt;0,1,0)</f>
        <v>0</v>
      </c>
      <c r="N57">
        <f>IF(COUNTIFS('United Data'!$A$3:$A$3390,N$1,'United Data'!$C$3:$C$3390,$A57)&gt;0,1,0)</f>
        <v>0</v>
      </c>
      <c r="O57">
        <f>IF(COUNTIFS('United Data'!$A$3:$A$3390,O$1,'United Data'!$C$3:$C$3390,$A57)&gt;0,1,0)</f>
        <v>0</v>
      </c>
      <c r="P57">
        <f>IF(COUNTIFS('United Data'!$A$3:$A$3390,P$1,'United Data'!$C$3:$C$3390,$A57)&gt;0,1,0)</f>
        <v>0</v>
      </c>
      <c r="Q57">
        <f>IF(COUNTIFS('United Data'!$A$3:$A$3390,Q$1,'United Data'!$C$3:$C$3390,$A57)&gt;0,1,0)</f>
        <v>0</v>
      </c>
      <c r="R57">
        <f>IF(COUNTIFS('United Data'!$A$3:$A$3390,R$1,'United Data'!$C$3:$C$3390,$A57)&gt;0,1,0)</f>
        <v>0</v>
      </c>
      <c r="S57">
        <f t="shared" si="0"/>
        <v>1</v>
      </c>
      <c r="T57">
        <f t="shared" si="1"/>
        <v>1</v>
      </c>
    </row>
    <row r="58" spans="1:20" x14ac:dyDescent="0.2">
      <c r="A58" t="s">
        <v>103</v>
      </c>
      <c r="B58">
        <f>IF(COUNTIFS('United Data'!$A$3:$A$3390,B$1,'United Data'!$C$3:$C$3390,$A58)&gt;0,1,0)</f>
        <v>0</v>
      </c>
      <c r="C58">
        <f>IF(COUNTIFS('United Data'!$A$3:$A$3390,C$1,'United Data'!$C$3:$C$3390,$A58)&gt;0,1,0)</f>
        <v>0</v>
      </c>
      <c r="D58">
        <f>IF(COUNTIFS('United Data'!$A$3:$A$3390,D$1,'United Data'!$C$3:$C$3390,$A58)&gt;0,1,0)</f>
        <v>0</v>
      </c>
      <c r="E58">
        <f>IF(COUNTIFS('United Data'!$A$3:$A$3390,E$1,'United Data'!$C$3:$C$3390,$A58)&gt;0,1,0)</f>
        <v>0</v>
      </c>
      <c r="F58">
        <f>IF(COUNTIFS('United Data'!$A$3:$A$3390,F$1,'United Data'!$C$3:$C$3390,$A58)&gt;0,1,0)</f>
        <v>0</v>
      </c>
      <c r="G58">
        <f>IF(COUNTIFS('United Data'!$A$3:$A$3390,G$1,'United Data'!$C$3:$C$3390,$A58)&gt;0,1,0)</f>
        <v>0</v>
      </c>
      <c r="H58">
        <f>IF(COUNTIFS('United Data'!$A$3:$A$3390,H$1,'United Data'!$C$3:$C$3390,$A58)&gt;0,1,0)</f>
        <v>0</v>
      </c>
      <c r="I58">
        <f>IF(COUNTIFS('United Data'!$A$3:$A$3390,I$1,'United Data'!$C$3:$C$3390,$A58)&gt;0,1,0)</f>
        <v>0</v>
      </c>
      <c r="J58">
        <f>IF(COUNTIFS('United Data'!$A$3:$A$3390,J$1,'United Data'!$C$3:$C$3390,$A58)&gt;0,1,0)</f>
        <v>0</v>
      </c>
      <c r="K58">
        <f>IF(COUNTIFS('United Data'!$A$3:$A$3390,K$1,'United Data'!$C$3:$C$3390,$A58)&gt;0,1,0)</f>
        <v>0</v>
      </c>
      <c r="L58">
        <f>IF(COUNTIFS('United Data'!$A$3:$A$3390,L$1,'United Data'!$C$3:$C$3390,$A58)&gt;0,1,0)</f>
        <v>0</v>
      </c>
      <c r="M58">
        <f>IF(COUNTIFS('United Data'!$A$3:$A$3390,M$1,'United Data'!$C$3:$C$3390,$A58)&gt;0,1,0)</f>
        <v>1</v>
      </c>
      <c r="N58">
        <f>IF(COUNTIFS('United Data'!$A$3:$A$3390,N$1,'United Data'!$C$3:$C$3390,$A58)&gt;0,1,0)</f>
        <v>0</v>
      </c>
      <c r="O58">
        <f>IF(COUNTIFS('United Data'!$A$3:$A$3390,O$1,'United Data'!$C$3:$C$3390,$A58)&gt;0,1,0)</f>
        <v>0</v>
      </c>
      <c r="P58">
        <f>IF(COUNTIFS('United Data'!$A$3:$A$3390,P$1,'United Data'!$C$3:$C$3390,$A58)&gt;0,1,0)</f>
        <v>0</v>
      </c>
      <c r="Q58">
        <f>IF(COUNTIFS('United Data'!$A$3:$A$3390,Q$1,'United Data'!$C$3:$C$3390,$A58)&gt;0,1,0)</f>
        <v>0</v>
      </c>
      <c r="R58">
        <f>IF(COUNTIFS('United Data'!$A$3:$A$3390,R$1,'United Data'!$C$3:$C$3390,$A58)&gt;0,1,0)</f>
        <v>0</v>
      </c>
      <c r="S58">
        <f t="shared" si="0"/>
        <v>1</v>
      </c>
      <c r="T58">
        <f t="shared" si="1"/>
        <v>1</v>
      </c>
    </row>
    <row r="59" spans="1:20" x14ac:dyDescent="0.2">
      <c r="A59" t="s">
        <v>104</v>
      </c>
      <c r="B59">
        <f>IF(COUNTIFS('United Data'!$A$3:$A$3390,B$1,'United Data'!$C$3:$C$3390,$A59)&gt;0,1,0)</f>
        <v>0</v>
      </c>
      <c r="C59">
        <f>IF(COUNTIFS('United Data'!$A$3:$A$3390,C$1,'United Data'!$C$3:$C$3390,$A59)&gt;0,1,0)</f>
        <v>0</v>
      </c>
      <c r="D59">
        <f>IF(COUNTIFS('United Data'!$A$3:$A$3390,D$1,'United Data'!$C$3:$C$3390,$A59)&gt;0,1,0)</f>
        <v>0</v>
      </c>
      <c r="E59">
        <f>IF(COUNTIFS('United Data'!$A$3:$A$3390,E$1,'United Data'!$C$3:$C$3390,$A59)&gt;0,1,0)</f>
        <v>0</v>
      </c>
      <c r="F59">
        <f>IF(COUNTIFS('United Data'!$A$3:$A$3390,F$1,'United Data'!$C$3:$C$3390,$A59)&gt;0,1,0)</f>
        <v>0</v>
      </c>
      <c r="G59">
        <f>IF(COUNTIFS('United Data'!$A$3:$A$3390,G$1,'United Data'!$C$3:$C$3390,$A59)&gt;0,1,0)</f>
        <v>0</v>
      </c>
      <c r="H59">
        <f>IF(COUNTIFS('United Data'!$A$3:$A$3390,H$1,'United Data'!$C$3:$C$3390,$A59)&gt;0,1,0)</f>
        <v>0</v>
      </c>
      <c r="I59">
        <f>IF(COUNTIFS('United Data'!$A$3:$A$3390,I$1,'United Data'!$C$3:$C$3390,$A59)&gt;0,1,0)</f>
        <v>0</v>
      </c>
      <c r="J59">
        <f>IF(COUNTIFS('United Data'!$A$3:$A$3390,J$1,'United Data'!$C$3:$C$3390,$A59)&gt;0,1,0)</f>
        <v>0</v>
      </c>
      <c r="K59">
        <f>IF(COUNTIFS('United Data'!$A$3:$A$3390,K$1,'United Data'!$C$3:$C$3390,$A59)&gt;0,1,0)</f>
        <v>0</v>
      </c>
      <c r="L59">
        <f>IF(COUNTIFS('United Data'!$A$3:$A$3390,L$1,'United Data'!$C$3:$C$3390,$A59)&gt;0,1,0)</f>
        <v>0</v>
      </c>
      <c r="M59">
        <f>IF(COUNTIFS('United Data'!$A$3:$A$3390,M$1,'United Data'!$C$3:$C$3390,$A59)&gt;0,1,0)</f>
        <v>0</v>
      </c>
      <c r="N59">
        <f>IF(COUNTIFS('United Data'!$A$3:$A$3390,N$1,'United Data'!$C$3:$C$3390,$A59)&gt;0,1,0)</f>
        <v>1</v>
      </c>
      <c r="O59">
        <f>IF(COUNTIFS('United Data'!$A$3:$A$3390,O$1,'United Data'!$C$3:$C$3390,$A59)&gt;0,1,0)</f>
        <v>0</v>
      </c>
      <c r="P59">
        <f>IF(COUNTIFS('United Data'!$A$3:$A$3390,P$1,'United Data'!$C$3:$C$3390,$A59)&gt;0,1,0)</f>
        <v>0</v>
      </c>
      <c r="Q59">
        <f>IF(COUNTIFS('United Data'!$A$3:$A$3390,Q$1,'United Data'!$C$3:$C$3390,$A59)&gt;0,1,0)</f>
        <v>0</v>
      </c>
      <c r="R59">
        <f>IF(COUNTIFS('United Data'!$A$3:$A$3390,R$1,'United Data'!$C$3:$C$3390,$A59)&gt;0,1,0)</f>
        <v>0</v>
      </c>
      <c r="S59">
        <f t="shared" si="0"/>
        <v>1</v>
      </c>
      <c r="T59">
        <f t="shared" si="1"/>
        <v>1</v>
      </c>
    </row>
    <row r="60" spans="1:20" x14ac:dyDescent="0.2">
      <c r="A60" t="s">
        <v>105</v>
      </c>
      <c r="B60">
        <f>IF(COUNTIFS('United Data'!$A$3:$A$3390,B$1,'United Data'!$C$3:$C$3390,$A60)&gt;0,1,0)</f>
        <v>0</v>
      </c>
      <c r="C60">
        <f>IF(COUNTIFS('United Data'!$A$3:$A$3390,C$1,'United Data'!$C$3:$C$3390,$A60)&gt;0,1,0)</f>
        <v>0</v>
      </c>
      <c r="D60">
        <f>IF(COUNTIFS('United Data'!$A$3:$A$3390,D$1,'United Data'!$C$3:$C$3390,$A60)&gt;0,1,0)</f>
        <v>0</v>
      </c>
      <c r="E60">
        <f>IF(COUNTIFS('United Data'!$A$3:$A$3390,E$1,'United Data'!$C$3:$C$3390,$A60)&gt;0,1,0)</f>
        <v>0</v>
      </c>
      <c r="F60">
        <f>IF(COUNTIFS('United Data'!$A$3:$A$3390,F$1,'United Data'!$C$3:$C$3390,$A60)&gt;0,1,0)</f>
        <v>0</v>
      </c>
      <c r="G60">
        <f>IF(COUNTIFS('United Data'!$A$3:$A$3390,G$1,'United Data'!$C$3:$C$3390,$A60)&gt;0,1,0)</f>
        <v>0</v>
      </c>
      <c r="H60">
        <f>IF(COUNTIFS('United Data'!$A$3:$A$3390,H$1,'United Data'!$C$3:$C$3390,$A60)&gt;0,1,0)</f>
        <v>0</v>
      </c>
      <c r="I60">
        <f>IF(COUNTIFS('United Data'!$A$3:$A$3390,I$1,'United Data'!$C$3:$C$3390,$A60)&gt;0,1,0)</f>
        <v>0</v>
      </c>
      <c r="J60">
        <f>IF(COUNTIFS('United Data'!$A$3:$A$3390,J$1,'United Data'!$C$3:$C$3390,$A60)&gt;0,1,0)</f>
        <v>0</v>
      </c>
      <c r="K60">
        <f>IF(COUNTIFS('United Data'!$A$3:$A$3390,K$1,'United Data'!$C$3:$C$3390,$A60)&gt;0,1,0)</f>
        <v>0</v>
      </c>
      <c r="L60">
        <f>IF(COUNTIFS('United Data'!$A$3:$A$3390,L$1,'United Data'!$C$3:$C$3390,$A60)&gt;0,1,0)</f>
        <v>0</v>
      </c>
      <c r="M60">
        <f>IF(COUNTIFS('United Data'!$A$3:$A$3390,M$1,'United Data'!$C$3:$C$3390,$A60)&gt;0,1,0)</f>
        <v>0</v>
      </c>
      <c r="N60">
        <f>IF(COUNTIFS('United Data'!$A$3:$A$3390,N$1,'United Data'!$C$3:$C$3390,$A60)&gt;0,1,0)</f>
        <v>1</v>
      </c>
      <c r="O60">
        <f>IF(COUNTIFS('United Data'!$A$3:$A$3390,O$1,'United Data'!$C$3:$C$3390,$A60)&gt;0,1,0)</f>
        <v>0</v>
      </c>
      <c r="P60">
        <f>IF(COUNTIFS('United Data'!$A$3:$A$3390,P$1,'United Data'!$C$3:$C$3390,$A60)&gt;0,1,0)</f>
        <v>0</v>
      </c>
      <c r="Q60">
        <f>IF(COUNTIFS('United Data'!$A$3:$A$3390,Q$1,'United Data'!$C$3:$C$3390,$A60)&gt;0,1,0)</f>
        <v>0</v>
      </c>
      <c r="R60">
        <f>IF(COUNTIFS('United Data'!$A$3:$A$3390,R$1,'United Data'!$C$3:$C$3390,$A60)&gt;0,1,0)</f>
        <v>0</v>
      </c>
      <c r="S60">
        <f t="shared" si="0"/>
        <v>1</v>
      </c>
      <c r="T60">
        <f t="shared" si="1"/>
        <v>1</v>
      </c>
    </row>
    <row r="61" spans="1:20" x14ac:dyDescent="0.2">
      <c r="A61" t="s">
        <v>106</v>
      </c>
      <c r="B61">
        <f>IF(COUNTIFS('United Data'!$A$3:$A$3390,B$1,'United Data'!$C$3:$C$3390,$A61)&gt;0,1,0)</f>
        <v>0</v>
      </c>
      <c r="C61">
        <f>IF(COUNTIFS('United Data'!$A$3:$A$3390,C$1,'United Data'!$C$3:$C$3390,$A61)&gt;0,1,0)</f>
        <v>1</v>
      </c>
      <c r="D61">
        <f>IF(COUNTIFS('United Data'!$A$3:$A$3390,D$1,'United Data'!$C$3:$C$3390,$A61)&gt;0,1,0)</f>
        <v>1</v>
      </c>
      <c r="E61">
        <f>IF(COUNTIFS('United Data'!$A$3:$A$3390,E$1,'United Data'!$C$3:$C$3390,$A61)&gt;0,1,0)</f>
        <v>1</v>
      </c>
      <c r="F61">
        <f>IF(COUNTIFS('United Data'!$A$3:$A$3390,F$1,'United Data'!$C$3:$C$3390,$A61)&gt;0,1,0)</f>
        <v>0</v>
      </c>
      <c r="G61">
        <f>IF(COUNTIFS('United Data'!$A$3:$A$3390,G$1,'United Data'!$C$3:$C$3390,$A61)&gt;0,1,0)</f>
        <v>0</v>
      </c>
      <c r="H61">
        <f>IF(COUNTIFS('United Data'!$A$3:$A$3390,H$1,'United Data'!$C$3:$C$3390,$A61)&gt;0,1,0)</f>
        <v>0</v>
      </c>
      <c r="I61">
        <f>IF(COUNTIFS('United Data'!$A$3:$A$3390,I$1,'United Data'!$C$3:$C$3390,$A61)&gt;0,1,0)</f>
        <v>0</v>
      </c>
      <c r="J61">
        <f>IF(COUNTIFS('United Data'!$A$3:$A$3390,J$1,'United Data'!$C$3:$C$3390,$A61)&gt;0,1,0)</f>
        <v>0</v>
      </c>
      <c r="K61">
        <f>IF(COUNTIFS('United Data'!$A$3:$A$3390,K$1,'United Data'!$C$3:$C$3390,$A61)&gt;0,1,0)</f>
        <v>0</v>
      </c>
      <c r="L61">
        <f>IF(COUNTIFS('United Data'!$A$3:$A$3390,L$1,'United Data'!$C$3:$C$3390,$A61)&gt;0,1,0)</f>
        <v>1</v>
      </c>
      <c r="M61">
        <f>IF(COUNTIFS('United Data'!$A$3:$A$3390,M$1,'United Data'!$C$3:$C$3390,$A61)&gt;0,1,0)</f>
        <v>1</v>
      </c>
      <c r="N61">
        <f>IF(COUNTIFS('United Data'!$A$3:$A$3390,N$1,'United Data'!$C$3:$C$3390,$A61)&gt;0,1,0)</f>
        <v>1</v>
      </c>
      <c r="O61">
        <f>IF(COUNTIFS('United Data'!$A$3:$A$3390,O$1,'United Data'!$C$3:$C$3390,$A61)&gt;0,1,0)</f>
        <v>1</v>
      </c>
      <c r="P61">
        <f>IF(COUNTIFS('United Data'!$A$3:$A$3390,P$1,'United Data'!$C$3:$C$3390,$A61)&gt;0,1,0)</f>
        <v>1</v>
      </c>
      <c r="Q61">
        <f>IF(COUNTIFS('United Data'!$A$3:$A$3390,Q$1,'United Data'!$C$3:$C$3390,$A61)&gt;0,1,0)</f>
        <v>1</v>
      </c>
      <c r="R61">
        <f>IF(COUNTIFS('United Data'!$A$3:$A$3390,R$1,'United Data'!$C$3:$C$3390,$A61)&gt;0,1,0)</f>
        <v>0</v>
      </c>
      <c r="S61">
        <f t="shared" si="0"/>
        <v>9</v>
      </c>
      <c r="T61">
        <f t="shared" si="1"/>
        <v>2</v>
      </c>
    </row>
    <row r="62" spans="1:20" x14ac:dyDescent="0.2">
      <c r="A62" t="s">
        <v>107</v>
      </c>
      <c r="B62">
        <f>IF(COUNTIFS('United Data'!$A$3:$A$3390,B$1,'United Data'!$C$3:$C$3390,$A62)&gt;0,1,0)</f>
        <v>0</v>
      </c>
      <c r="C62">
        <f>IF(COUNTIFS('United Data'!$A$3:$A$3390,C$1,'United Data'!$C$3:$C$3390,$A62)&gt;0,1,0)</f>
        <v>0</v>
      </c>
      <c r="D62">
        <f>IF(COUNTIFS('United Data'!$A$3:$A$3390,D$1,'United Data'!$C$3:$C$3390,$A62)&gt;0,1,0)</f>
        <v>0</v>
      </c>
      <c r="E62">
        <f>IF(COUNTIFS('United Data'!$A$3:$A$3390,E$1,'United Data'!$C$3:$C$3390,$A62)&gt;0,1,0)</f>
        <v>0</v>
      </c>
      <c r="F62">
        <f>IF(COUNTIFS('United Data'!$A$3:$A$3390,F$1,'United Data'!$C$3:$C$3390,$A62)&gt;0,1,0)</f>
        <v>0</v>
      </c>
      <c r="G62">
        <f>IF(COUNTIFS('United Data'!$A$3:$A$3390,G$1,'United Data'!$C$3:$C$3390,$A62)&gt;0,1,0)</f>
        <v>0</v>
      </c>
      <c r="H62">
        <f>IF(COUNTIFS('United Data'!$A$3:$A$3390,H$1,'United Data'!$C$3:$C$3390,$A62)&gt;0,1,0)</f>
        <v>0</v>
      </c>
      <c r="I62">
        <f>IF(COUNTIFS('United Data'!$A$3:$A$3390,I$1,'United Data'!$C$3:$C$3390,$A62)&gt;0,1,0)</f>
        <v>0</v>
      </c>
      <c r="J62">
        <f>IF(COUNTIFS('United Data'!$A$3:$A$3390,J$1,'United Data'!$C$3:$C$3390,$A62)&gt;0,1,0)</f>
        <v>0</v>
      </c>
      <c r="K62">
        <f>IF(COUNTIFS('United Data'!$A$3:$A$3390,K$1,'United Data'!$C$3:$C$3390,$A62)&gt;0,1,0)</f>
        <v>0</v>
      </c>
      <c r="L62">
        <f>IF(COUNTIFS('United Data'!$A$3:$A$3390,L$1,'United Data'!$C$3:$C$3390,$A62)&gt;0,1,0)</f>
        <v>0</v>
      </c>
      <c r="M62">
        <f>IF(COUNTIFS('United Data'!$A$3:$A$3390,M$1,'United Data'!$C$3:$C$3390,$A62)&gt;0,1,0)</f>
        <v>0</v>
      </c>
      <c r="N62">
        <f>IF(COUNTIFS('United Data'!$A$3:$A$3390,N$1,'United Data'!$C$3:$C$3390,$A62)&gt;0,1,0)</f>
        <v>0</v>
      </c>
      <c r="O62">
        <f>IF(COUNTIFS('United Data'!$A$3:$A$3390,O$1,'United Data'!$C$3:$C$3390,$A62)&gt;0,1,0)</f>
        <v>1</v>
      </c>
      <c r="P62">
        <f>IF(COUNTIFS('United Data'!$A$3:$A$3390,P$1,'United Data'!$C$3:$C$3390,$A62)&gt;0,1,0)</f>
        <v>0</v>
      </c>
      <c r="Q62">
        <f>IF(COUNTIFS('United Data'!$A$3:$A$3390,Q$1,'United Data'!$C$3:$C$3390,$A62)&gt;0,1,0)</f>
        <v>1</v>
      </c>
      <c r="R62">
        <f>IF(COUNTIFS('United Data'!$A$3:$A$3390,R$1,'United Data'!$C$3:$C$3390,$A62)&gt;0,1,0)</f>
        <v>0</v>
      </c>
      <c r="S62">
        <f t="shared" si="0"/>
        <v>2</v>
      </c>
      <c r="T62">
        <f t="shared" si="1"/>
        <v>2</v>
      </c>
    </row>
    <row r="63" spans="1:20" x14ac:dyDescent="0.2">
      <c r="A63" t="s">
        <v>108</v>
      </c>
      <c r="B63">
        <f>IF(COUNTIFS('United Data'!$A$3:$A$3390,B$1,'United Data'!$C$3:$C$3390,$A63)&gt;0,1,0)</f>
        <v>0</v>
      </c>
      <c r="C63">
        <f>IF(COUNTIFS('United Data'!$A$3:$A$3390,C$1,'United Data'!$C$3:$C$3390,$A63)&gt;0,1,0)</f>
        <v>0</v>
      </c>
      <c r="D63">
        <f>IF(COUNTIFS('United Data'!$A$3:$A$3390,D$1,'United Data'!$C$3:$C$3390,$A63)&gt;0,1,0)</f>
        <v>0</v>
      </c>
      <c r="E63">
        <f>IF(COUNTIFS('United Data'!$A$3:$A$3390,E$1,'United Data'!$C$3:$C$3390,$A63)&gt;0,1,0)</f>
        <v>0</v>
      </c>
      <c r="F63">
        <f>IF(COUNTIFS('United Data'!$A$3:$A$3390,F$1,'United Data'!$C$3:$C$3390,$A63)&gt;0,1,0)</f>
        <v>0</v>
      </c>
      <c r="G63">
        <f>IF(COUNTIFS('United Data'!$A$3:$A$3390,G$1,'United Data'!$C$3:$C$3390,$A63)&gt;0,1,0)</f>
        <v>0</v>
      </c>
      <c r="H63">
        <f>IF(COUNTIFS('United Data'!$A$3:$A$3390,H$1,'United Data'!$C$3:$C$3390,$A63)&gt;0,1,0)</f>
        <v>0</v>
      </c>
      <c r="I63">
        <f>IF(COUNTIFS('United Data'!$A$3:$A$3390,I$1,'United Data'!$C$3:$C$3390,$A63)&gt;0,1,0)</f>
        <v>0</v>
      </c>
      <c r="J63">
        <f>IF(COUNTIFS('United Data'!$A$3:$A$3390,J$1,'United Data'!$C$3:$C$3390,$A63)&gt;0,1,0)</f>
        <v>0</v>
      </c>
      <c r="K63">
        <f>IF(COUNTIFS('United Data'!$A$3:$A$3390,K$1,'United Data'!$C$3:$C$3390,$A63)&gt;0,1,0)</f>
        <v>0</v>
      </c>
      <c r="L63">
        <f>IF(COUNTIFS('United Data'!$A$3:$A$3390,L$1,'United Data'!$C$3:$C$3390,$A63)&gt;0,1,0)</f>
        <v>0</v>
      </c>
      <c r="M63">
        <f>IF(COUNTIFS('United Data'!$A$3:$A$3390,M$1,'United Data'!$C$3:$C$3390,$A63)&gt;0,1,0)</f>
        <v>0</v>
      </c>
      <c r="N63">
        <f>IF(COUNTIFS('United Data'!$A$3:$A$3390,N$1,'United Data'!$C$3:$C$3390,$A63)&gt;0,1,0)</f>
        <v>0</v>
      </c>
      <c r="O63">
        <f>IF(COUNTIFS('United Data'!$A$3:$A$3390,O$1,'United Data'!$C$3:$C$3390,$A63)&gt;0,1,0)</f>
        <v>0</v>
      </c>
      <c r="P63">
        <f>IF(COUNTIFS('United Data'!$A$3:$A$3390,P$1,'United Data'!$C$3:$C$3390,$A63)&gt;0,1,0)</f>
        <v>1</v>
      </c>
      <c r="Q63">
        <f>IF(COUNTIFS('United Data'!$A$3:$A$3390,Q$1,'United Data'!$C$3:$C$3390,$A63)&gt;0,1,0)</f>
        <v>1</v>
      </c>
      <c r="R63">
        <f>IF(COUNTIFS('United Data'!$A$3:$A$3390,R$1,'United Data'!$C$3:$C$3390,$A63)&gt;0,1,0)</f>
        <v>0</v>
      </c>
      <c r="S63">
        <f t="shared" si="0"/>
        <v>2</v>
      </c>
      <c r="T63">
        <f t="shared" si="1"/>
        <v>1</v>
      </c>
    </row>
    <row r="64" spans="1:20" x14ac:dyDescent="0.2">
      <c r="A64" t="s">
        <v>109</v>
      </c>
      <c r="B64">
        <f>IF(COUNTIFS('United Data'!$A$3:$A$3390,B$1,'United Data'!$C$3:$C$3390,$A64)&gt;0,1,0)</f>
        <v>0</v>
      </c>
      <c r="C64">
        <f>IF(COUNTIFS('United Data'!$A$3:$A$3390,C$1,'United Data'!$C$3:$C$3390,$A64)&gt;0,1,0)</f>
        <v>0</v>
      </c>
      <c r="D64">
        <f>IF(COUNTIFS('United Data'!$A$3:$A$3390,D$1,'United Data'!$C$3:$C$3390,$A64)&gt;0,1,0)</f>
        <v>0</v>
      </c>
      <c r="E64">
        <f>IF(COUNTIFS('United Data'!$A$3:$A$3390,E$1,'United Data'!$C$3:$C$3390,$A64)&gt;0,1,0)</f>
        <v>0</v>
      </c>
      <c r="F64">
        <f>IF(COUNTIFS('United Data'!$A$3:$A$3390,F$1,'United Data'!$C$3:$C$3390,$A64)&gt;0,1,0)</f>
        <v>0</v>
      </c>
      <c r="G64">
        <f>IF(COUNTIFS('United Data'!$A$3:$A$3390,G$1,'United Data'!$C$3:$C$3390,$A64)&gt;0,1,0)</f>
        <v>0</v>
      </c>
      <c r="H64">
        <f>IF(COUNTIFS('United Data'!$A$3:$A$3390,H$1,'United Data'!$C$3:$C$3390,$A64)&gt;0,1,0)</f>
        <v>0</v>
      </c>
      <c r="I64">
        <f>IF(COUNTIFS('United Data'!$A$3:$A$3390,I$1,'United Data'!$C$3:$C$3390,$A64)&gt;0,1,0)</f>
        <v>0</v>
      </c>
      <c r="J64">
        <f>IF(COUNTIFS('United Data'!$A$3:$A$3390,J$1,'United Data'!$C$3:$C$3390,$A64)&gt;0,1,0)</f>
        <v>0</v>
      </c>
      <c r="K64">
        <f>IF(COUNTIFS('United Data'!$A$3:$A$3390,K$1,'United Data'!$C$3:$C$3390,$A64)&gt;0,1,0)</f>
        <v>0</v>
      </c>
      <c r="L64">
        <f>IF(COUNTIFS('United Data'!$A$3:$A$3390,L$1,'United Data'!$C$3:$C$3390,$A64)&gt;0,1,0)</f>
        <v>0</v>
      </c>
      <c r="M64">
        <f>IF(COUNTIFS('United Data'!$A$3:$A$3390,M$1,'United Data'!$C$3:$C$3390,$A64)&gt;0,1,0)</f>
        <v>0</v>
      </c>
      <c r="N64">
        <f>IF(COUNTIFS('United Data'!$A$3:$A$3390,N$1,'United Data'!$C$3:$C$3390,$A64)&gt;0,1,0)</f>
        <v>0</v>
      </c>
      <c r="O64">
        <f>IF(COUNTIFS('United Data'!$A$3:$A$3390,O$1,'United Data'!$C$3:$C$3390,$A64)&gt;0,1,0)</f>
        <v>0</v>
      </c>
      <c r="P64">
        <f>IF(COUNTIFS('United Data'!$A$3:$A$3390,P$1,'United Data'!$C$3:$C$3390,$A64)&gt;0,1,0)</f>
        <v>0</v>
      </c>
      <c r="Q64">
        <f>IF(COUNTIFS('United Data'!$A$3:$A$3390,Q$1,'United Data'!$C$3:$C$3390,$A64)&gt;0,1,0)</f>
        <v>0</v>
      </c>
      <c r="R64">
        <f>IF(COUNTIFS('United Data'!$A$3:$A$3390,R$1,'United Data'!$C$3:$C$3390,$A64)&gt;0,1,0)</f>
        <v>1</v>
      </c>
      <c r="S64">
        <f t="shared" si="0"/>
        <v>1</v>
      </c>
      <c r="T64">
        <f t="shared" si="1"/>
        <v>1</v>
      </c>
    </row>
    <row r="65" spans="1:20" x14ac:dyDescent="0.2">
      <c r="A65" t="s">
        <v>110</v>
      </c>
      <c r="B65">
        <f>IF(COUNTIFS('United Data'!$A$3:$A$3390,B$1,'United Data'!$C$3:$C$3390,$A65)&gt;0,1,0)</f>
        <v>0</v>
      </c>
      <c r="C65">
        <f>IF(COUNTIFS('United Data'!$A$3:$A$3390,C$1,'United Data'!$C$3:$C$3390,$A65)&gt;0,1,0)</f>
        <v>1</v>
      </c>
      <c r="D65">
        <f>IF(COUNTIFS('United Data'!$A$3:$A$3390,D$1,'United Data'!$C$3:$C$3390,$A65)&gt;0,1,0)</f>
        <v>0</v>
      </c>
      <c r="E65">
        <f>IF(COUNTIFS('United Data'!$A$3:$A$3390,E$1,'United Data'!$C$3:$C$3390,$A65)&gt;0,1,0)</f>
        <v>0</v>
      </c>
      <c r="F65">
        <f>IF(COUNTIFS('United Data'!$A$3:$A$3390,F$1,'United Data'!$C$3:$C$3390,$A65)&gt;0,1,0)</f>
        <v>0</v>
      </c>
      <c r="G65">
        <f>IF(COUNTIFS('United Data'!$A$3:$A$3390,G$1,'United Data'!$C$3:$C$3390,$A65)&gt;0,1,0)</f>
        <v>0</v>
      </c>
      <c r="H65">
        <f>IF(COUNTIFS('United Data'!$A$3:$A$3390,H$1,'United Data'!$C$3:$C$3390,$A65)&gt;0,1,0)</f>
        <v>0</v>
      </c>
      <c r="I65">
        <f>IF(COUNTIFS('United Data'!$A$3:$A$3390,I$1,'United Data'!$C$3:$C$3390,$A65)&gt;0,1,0)</f>
        <v>0</v>
      </c>
      <c r="J65">
        <f>IF(COUNTIFS('United Data'!$A$3:$A$3390,J$1,'United Data'!$C$3:$C$3390,$A65)&gt;0,1,0)</f>
        <v>0</v>
      </c>
      <c r="K65">
        <f>IF(COUNTIFS('United Data'!$A$3:$A$3390,K$1,'United Data'!$C$3:$C$3390,$A65)&gt;0,1,0)</f>
        <v>0</v>
      </c>
      <c r="L65">
        <f>IF(COUNTIFS('United Data'!$A$3:$A$3390,L$1,'United Data'!$C$3:$C$3390,$A65)&gt;0,1,0)</f>
        <v>0</v>
      </c>
      <c r="M65">
        <f>IF(COUNTIFS('United Data'!$A$3:$A$3390,M$1,'United Data'!$C$3:$C$3390,$A65)&gt;0,1,0)</f>
        <v>0</v>
      </c>
      <c r="N65">
        <f>IF(COUNTIFS('United Data'!$A$3:$A$3390,N$1,'United Data'!$C$3:$C$3390,$A65)&gt;0,1,0)</f>
        <v>0</v>
      </c>
      <c r="O65">
        <f>IF(COUNTIFS('United Data'!$A$3:$A$3390,O$1,'United Data'!$C$3:$C$3390,$A65)&gt;0,1,0)</f>
        <v>0</v>
      </c>
      <c r="P65">
        <f>IF(COUNTIFS('United Data'!$A$3:$A$3390,P$1,'United Data'!$C$3:$C$3390,$A65)&gt;0,1,0)</f>
        <v>0</v>
      </c>
      <c r="Q65">
        <f>IF(COUNTIFS('United Data'!$A$3:$A$3390,Q$1,'United Data'!$C$3:$C$3390,$A65)&gt;0,1,0)</f>
        <v>0</v>
      </c>
      <c r="R65">
        <f>IF(COUNTIFS('United Data'!$A$3:$A$3390,R$1,'United Data'!$C$3:$C$3390,$A65)&gt;0,1,0)</f>
        <v>0</v>
      </c>
      <c r="S65">
        <f t="shared" si="0"/>
        <v>1</v>
      </c>
      <c r="T65">
        <f t="shared" si="1"/>
        <v>1</v>
      </c>
    </row>
    <row r="66" spans="1:20" x14ac:dyDescent="0.2">
      <c r="A66" t="s">
        <v>111</v>
      </c>
      <c r="B66">
        <f>IF(COUNTIFS('United Data'!$A$3:$A$3390,B$1,'United Data'!$C$3:$C$3390,$A66)&gt;0,1,0)</f>
        <v>0</v>
      </c>
      <c r="C66">
        <f>IF(COUNTIFS('United Data'!$A$3:$A$3390,C$1,'United Data'!$C$3:$C$3390,$A66)&gt;0,1,0)</f>
        <v>1</v>
      </c>
      <c r="D66">
        <f>IF(COUNTIFS('United Data'!$A$3:$A$3390,D$1,'United Data'!$C$3:$C$3390,$A66)&gt;0,1,0)</f>
        <v>1</v>
      </c>
      <c r="E66">
        <f>IF(COUNTIFS('United Data'!$A$3:$A$3390,E$1,'United Data'!$C$3:$C$3390,$A66)&gt;0,1,0)</f>
        <v>1</v>
      </c>
      <c r="F66">
        <f>IF(COUNTIFS('United Data'!$A$3:$A$3390,F$1,'United Data'!$C$3:$C$3390,$A66)&gt;0,1,0)</f>
        <v>1</v>
      </c>
      <c r="G66">
        <f>IF(COUNTIFS('United Data'!$A$3:$A$3390,G$1,'United Data'!$C$3:$C$3390,$A66)&gt;0,1,0)</f>
        <v>0</v>
      </c>
      <c r="H66">
        <f>IF(COUNTIFS('United Data'!$A$3:$A$3390,H$1,'United Data'!$C$3:$C$3390,$A66)&gt;0,1,0)</f>
        <v>0</v>
      </c>
      <c r="I66">
        <f>IF(COUNTIFS('United Data'!$A$3:$A$3390,I$1,'United Data'!$C$3:$C$3390,$A66)&gt;0,1,0)</f>
        <v>0</v>
      </c>
      <c r="J66">
        <f>IF(COUNTIFS('United Data'!$A$3:$A$3390,J$1,'United Data'!$C$3:$C$3390,$A66)&gt;0,1,0)</f>
        <v>0</v>
      </c>
      <c r="K66">
        <f>IF(COUNTIFS('United Data'!$A$3:$A$3390,K$1,'United Data'!$C$3:$C$3390,$A66)&gt;0,1,0)</f>
        <v>0</v>
      </c>
      <c r="L66">
        <f>IF(COUNTIFS('United Data'!$A$3:$A$3390,L$1,'United Data'!$C$3:$C$3390,$A66)&gt;0,1,0)</f>
        <v>0</v>
      </c>
      <c r="M66">
        <f>IF(COUNTIFS('United Data'!$A$3:$A$3390,M$1,'United Data'!$C$3:$C$3390,$A66)&gt;0,1,0)</f>
        <v>0</v>
      </c>
      <c r="N66">
        <f>IF(COUNTIFS('United Data'!$A$3:$A$3390,N$1,'United Data'!$C$3:$C$3390,$A66)&gt;0,1,0)</f>
        <v>0</v>
      </c>
      <c r="O66">
        <f>IF(COUNTIFS('United Data'!$A$3:$A$3390,O$1,'United Data'!$C$3:$C$3390,$A66)&gt;0,1,0)</f>
        <v>0</v>
      </c>
      <c r="P66">
        <f>IF(COUNTIFS('United Data'!$A$3:$A$3390,P$1,'United Data'!$C$3:$C$3390,$A66)&gt;0,1,0)</f>
        <v>0</v>
      </c>
      <c r="Q66">
        <f>IF(COUNTIFS('United Data'!$A$3:$A$3390,Q$1,'United Data'!$C$3:$C$3390,$A66)&gt;0,1,0)</f>
        <v>0</v>
      </c>
      <c r="R66">
        <f>IF(COUNTIFS('United Data'!$A$3:$A$3390,R$1,'United Data'!$C$3:$C$3390,$A66)&gt;0,1,0)</f>
        <v>0</v>
      </c>
      <c r="S66">
        <f t="shared" ref="S66:S129" si="2">SUM(B66:R66)</f>
        <v>4</v>
      </c>
      <c r="T66">
        <f t="shared" ref="T66:T129" si="3">B66+SUMPRODUCT(--(C66:R66&gt;B66:Q66))</f>
        <v>1</v>
      </c>
    </row>
    <row r="67" spans="1:20" x14ac:dyDescent="0.2">
      <c r="A67" t="s">
        <v>114</v>
      </c>
      <c r="B67">
        <f>IF(COUNTIFS('United Data'!$A$3:$A$3390,B$1,'United Data'!$C$3:$C$3390,$A67)&gt;0,1,0)</f>
        <v>0</v>
      </c>
      <c r="C67">
        <f>IF(COUNTIFS('United Data'!$A$3:$A$3390,C$1,'United Data'!$C$3:$C$3390,$A67)&gt;0,1,0)</f>
        <v>0</v>
      </c>
      <c r="D67">
        <f>IF(COUNTIFS('United Data'!$A$3:$A$3390,D$1,'United Data'!$C$3:$C$3390,$A67)&gt;0,1,0)</f>
        <v>1</v>
      </c>
      <c r="E67">
        <f>IF(COUNTIFS('United Data'!$A$3:$A$3390,E$1,'United Data'!$C$3:$C$3390,$A67)&gt;0,1,0)</f>
        <v>1</v>
      </c>
      <c r="F67">
        <f>IF(COUNTIFS('United Data'!$A$3:$A$3390,F$1,'United Data'!$C$3:$C$3390,$A67)&gt;0,1,0)</f>
        <v>1</v>
      </c>
      <c r="G67">
        <f>IF(COUNTIFS('United Data'!$A$3:$A$3390,G$1,'United Data'!$C$3:$C$3390,$A67)&gt;0,1,0)</f>
        <v>1</v>
      </c>
      <c r="H67">
        <f>IF(COUNTIFS('United Data'!$A$3:$A$3390,H$1,'United Data'!$C$3:$C$3390,$A67)&gt;0,1,0)</f>
        <v>0</v>
      </c>
      <c r="I67">
        <f>IF(COUNTIFS('United Data'!$A$3:$A$3390,I$1,'United Data'!$C$3:$C$3390,$A67)&gt;0,1,0)</f>
        <v>0</v>
      </c>
      <c r="J67">
        <f>IF(COUNTIFS('United Data'!$A$3:$A$3390,J$1,'United Data'!$C$3:$C$3390,$A67)&gt;0,1,0)</f>
        <v>0</v>
      </c>
      <c r="K67">
        <f>IF(COUNTIFS('United Data'!$A$3:$A$3390,K$1,'United Data'!$C$3:$C$3390,$A67)&gt;0,1,0)</f>
        <v>0</v>
      </c>
      <c r="L67">
        <f>IF(COUNTIFS('United Data'!$A$3:$A$3390,L$1,'United Data'!$C$3:$C$3390,$A67)&gt;0,1,0)</f>
        <v>1</v>
      </c>
      <c r="M67">
        <f>IF(COUNTIFS('United Data'!$A$3:$A$3390,M$1,'United Data'!$C$3:$C$3390,$A67)&gt;0,1,0)</f>
        <v>0</v>
      </c>
      <c r="N67">
        <f>IF(COUNTIFS('United Data'!$A$3:$A$3390,N$1,'United Data'!$C$3:$C$3390,$A67)&gt;0,1,0)</f>
        <v>0</v>
      </c>
      <c r="O67">
        <f>IF(COUNTIFS('United Data'!$A$3:$A$3390,O$1,'United Data'!$C$3:$C$3390,$A67)&gt;0,1,0)</f>
        <v>0</v>
      </c>
      <c r="P67">
        <f>IF(COUNTIFS('United Data'!$A$3:$A$3390,P$1,'United Data'!$C$3:$C$3390,$A67)&gt;0,1,0)</f>
        <v>0</v>
      </c>
      <c r="Q67">
        <f>IF(COUNTIFS('United Data'!$A$3:$A$3390,Q$1,'United Data'!$C$3:$C$3390,$A67)&gt;0,1,0)</f>
        <v>0</v>
      </c>
      <c r="R67">
        <f>IF(COUNTIFS('United Data'!$A$3:$A$3390,R$1,'United Data'!$C$3:$C$3390,$A67)&gt;0,1,0)</f>
        <v>0</v>
      </c>
      <c r="S67">
        <f t="shared" si="2"/>
        <v>5</v>
      </c>
      <c r="T67">
        <f t="shared" si="3"/>
        <v>2</v>
      </c>
    </row>
    <row r="68" spans="1:20" x14ac:dyDescent="0.2">
      <c r="A68" t="s">
        <v>115</v>
      </c>
      <c r="B68">
        <f>IF(COUNTIFS('United Data'!$A$3:$A$3390,B$1,'United Data'!$C$3:$C$3390,$A68)&gt;0,1,0)</f>
        <v>0</v>
      </c>
      <c r="C68">
        <f>IF(COUNTIFS('United Data'!$A$3:$A$3390,C$1,'United Data'!$C$3:$C$3390,$A68)&gt;0,1,0)</f>
        <v>0</v>
      </c>
      <c r="D68">
        <f>IF(COUNTIFS('United Data'!$A$3:$A$3390,D$1,'United Data'!$C$3:$C$3390,$A68)&gt;0,1,0)</f>
        <v>1</v>
      </c>
      <c r="E68">
        <f>IF(COUNTIFS('United Data'!$A$3:$A$3390,E$1,'United Data'!$C$3:$C$3390,$A68)&gt;0,1,0)</f>
        <v>0</v>
      </c>
      <c r="F68">
        <f>IF(COUNTIFS('United Data'!$A$3:$A$3390,F$1,'United Data'!$C$3:$C$3390,$A68)&gt;0,1,0)</f>
        <v>0</v>
      </c>
      <c r="G68">
        <f>IF(COUNTIFS('United Data'!$A$3:$A$3390,G$1,'United Data'!$C$3:$C$3390,$A68)&gt;0,1,0)</f>
        <v>0</v>
      </c>
      <c r="H68">
        <f>IF(COUNTIFS('United Data'!$A$3:$A$3390,H$1,'United Data'!$C$3:$C$3390,$A68)&gt;0,1,0)</f>
        <v>0</v>
      </c>
      <c r="I68">
        <f>IF(COUNTIFS('United Data'!$A$3:$A$3390,I$1,'United Data'!$C$3:$C$3390,$A68)&gt;0,1,0)</f>
        <v>0</v>
      </c>
      <c r="J68">
        <f>IF(COUNTIFS('United Data'!$A$3:$A$3390,J$1,'United Data'!$C$3:$C$3390,$A68)&gt;0,1,0)</f>
        <v>0</v>
      </c>
      <c r="K68">
        <f>IF(COUNTIFS('United Data'!$A$3:$A$3390,K$1,'United Data'!$C$3:$C$3390,$A68)&gt;0,1,0)</f>
        <v>0</v>
      </c>
      <c r="L68">
        <f>IF(COUNTIFS('United Data'!$A$3:$A$3390,L$1,'United Data'!$C$3:$C$3390,$A68)&gt;0,1,0)</f>
        <v>0</v>
      </c>
      <c r="M68">
        <f>IF(COUNTIFS('United Data'!$A$3:$A$3390,M$1,'United Data'!$C$3:$C$3390,$A68)&gt;0,1,0)</f>
        <v>0</v>
      </c>
      <c r="N68">
        <f>IF(COUNTIFS('United Data'!$A$3:$A$3390,N$1,'United Data'!$C$3:$C$3390,$A68)&gt;0,1,0)</f>
        <v>0</v>
      </c>
      <c r="O68">
        <f>IF(COUNTIFS('United Data'!$A$3:$A$3390,O$1,'United Data'!$C$3:$C$3390,$A68)&gt;0,1,0)</f>
        <v>0</v>
      </c>
      <c r="P68">
        <f>IF(COUNTIFS('United Data'!$A$3:$A$3390,P$1,'United Data'!$C$3:$C$3390,$A68)&gt;0,1,0)</f>
        <v>0</v>
      </c>
      <c r="Q68">
        <f>IF(COUNTIFS('United Data'!$A$3:$A$3390,Q$1,'United Data'!$C$3:$C$3390,$A68)&gt;0,1,0)</f>
        <v>0</v>
      </c>
      <c r="R68">
        <f>IF(COUNTIFS('United Data'!$A$3:$A$3390,R$1,'United Data'!$C$3:$C$3390,$A68)&gt;0,1,0)</f>
        <v>0</v>
      </c>
      <c r="S68">
        <f t="shared" si="2"/>
        <v>1</v>
      </c>
      <c r="T68">
        <f t="shared" si="3"/>
        <v>1</v>
      </c>
    </row>
    <row r="69" spans="1:20" x14ac:dyDescent="0.2">
      <c r="A69" t="s">
        <v>116</v>
      </c>
      <c r="B69">
        <f>IF(COUNTIFS('United Data'!$A$3:$A$3390,B$1,'United Data'!$C$3:$C$3390,$A69)&gt;0,1,0)</f>
        <v>0</v>
      </c>
      <c r="C69">
        <f>IF(COUNTIFS('United Data'!$A$3:$A$3390,C$1,'United Data'!$C$3:$C$3390,$A69)&gt;0,1,0)</f>
        <v>0</v>
      </c>
      <c r="D69">
        <f>IF(COUNTIFS('United Data'!$A$3:$A$3390,D$1,'United Data'!$C$3:$C$3390,$A69)&gt;0,1,0)</f>
        <v>0</v>
      </c>
      <c r="E69">
        <f>IF(COUNTIFS('United Data'!$A$3:$A$3390,E$1,'United Data'!$C$3:$C$3390,$A69)&gt;0,1,0)</f>
        <v>0</v>
      </c>
      <c r="F69">
        <f>IF(COUNTIFS('United Data'!$A$3:$A$3390,F$1,'United Data'!$C$3:$C$3390,$A69)&gt;0,1,0)</f>
        <v>1</v>
      </c>
      <c r="G69">
        <f>IF(COUNTIFS('United Data'!$A$3:$A$3390,G$1,'United Data'!$C$3:$C$3390,$A69)&gt;0,1,0)</f>
        <v>0</v>
      </c>
      <c r="H69">
        <f>IF(COUNTIFS('United Data'!$A$3:$A$3390,H$1,'United Data'!$C$3:$C$3390,$A69)&gt;0,1,0)</f>
        <v>0</v>
      </c>
      <c r="I69">
        <f>IF(COUNTIFS('United Data'!$A$3:$A$3390,I$1,'United Data'!$C$3:$C$3390,$A69)&gt;0,1,0)</f>
        <v>0</v>
      </c>
      <c r="J69">
        <f>IF(COUNTIFS('United Data'!$A$3:$A$3390,J$1,'United Data'!$C$3:$C$3390,$A69)&gt;0,1,0)</f>
        <v>0</v>
      </c>
      <c r="K69">
        <f>IF(COUNTIFS('United Data'!$A$3:$A$3390,K$1,'United Data'!$C$3:$C$3390,$A69)&gt;0,1,0)</f>
        <v>0</v>
      </c>
      <c r="L69">
        <f>IF(COUNTIFS('United Data'!$A$3:$A$3390,L$1,'United Data'!$C$3:$C$3390,$A69)&gt;0,1,0)</f>
        <v>0</v>
      </c>
      <c r="M69">
        <f>IF(COUNTIFS('United Data'!$A$3:$A$3390,M$1,'United Data'!$C$3:$C$3390,$A69)&gt;0,1,0)</f>
        <v>0</v>
      </c>
      <c r="N69">
        <f>IF(COUNTIFS('United Data'!$A$3:$A$3390,N$1,'United Data'!$C$3:$C$3390,$A69)&gt;0,1,0)</f>
        <v>0</v>
      </c>
      <c r="O69">
        <f>IF(COUNTIFS('United Data'!$A$3:$A$3390,O$1,'United Data'!$C$3:$C$3390,$A69)&gt;0,1,0)</f>
        <v>0</v>
      </c>
      <c r="P69">
        <f>IF(COUNTIFS('United Data'!$A$3:$A$3390,P$1,'United Data'!$C$3:$C$3390,$A69)&gt;0,1,0)</f>
        <v>0</v>
      </c>
      <c r="Q69">
        <f>IF(COUNTIFS('United Data'!$A$3:$A$3390,Q$1,'United Data'!$C$3:$C$3390,$A69)&gt;0,1,0)</f>
        <v>0</v>
      </c>
      <c r="R69">
        <f>IF(COUNTIFS('United Data'!$A$3:$A$3390,R$1,'United Data'!$C$3:$C$3390,$A69)&gt;0,1,0)</f>
        <v>0</v>
      </c>
      <c r="S69">
        <f t="shared" si="2"/>
        <v>1</v>
      </c>
      <c r="T69">
        <f t="shared" si="3"/>
        <v>1</v>
      </c>
    </row>
    <row r="70" spans="1:20" x14ac:dyDescent="0.2">
      <c r="A70" t="s">
        <v>117</v>
      </c>
      <c r="B70">
        <f>IF(COUNTIFS('United Data'!$A$3:$A$3390,B$1,'United Data'!$C$3:$C$3390,$A70)&gt;0,1,0)</f>
        <v>0</v>
      </c>
      <c r="C70">
        <f>IF(COUNTIFS('United Data'!$A$3:$A$3390,C$1,'United Data'!$C$3:$C$3390,$A70)&gt;0,1,0)</f>
        <v>0</v>
      </c>
      <c r="D70">
        <f>IF(COUNTIFS('United Data'!$A$3:$A$3390,D$1,'United Data'!$C$3:$C$3390,$A70)&gt;0,1,0)</f>
        <v>0</v>
      </c>
      <c r="E70">
        <f>IF(COUNTIFS('United Data'!$A$3:$A$3390,E$1,'United Data'!$C$3:$C$3390,$A70)&gt;0,1,0)</f>
        <v>0</v>
      </c>
      <c r="F70">
        <f>IF(COUNTIFS('United Data'!$A$3:$A$3390,F$1,'United Data'!$C$3:$C$3390,$A70)&gt;0,1,0)</f>
        <v>1</v>
      </c>
      <c r="G70">
        <f>IF(COUNTIFS('United Data'!$A$3:$A$3390,G$1,'United Data'!$C$3:$C$3390,$A70)&gt;0,1,0)</f>
        <v>0</v>
      </c>
      <c r="H70">
        <f>IF(COUNTIFS('United Data'!$A$3:$A$3390,H$1,'United Data'!$C$3:$C$3390,$A70)&gt;0,1,0)</f>
        <v>0</v>
      </c>
      <c r="I70">
        <f>IF(COUNTIFS('United Data'!$A$3:$A$3390,I$1,'United Data'!$C$3:$C$3390,$A70)&gt;0,1,0)</f>
        <v>0</v>
      </c>
      <c r="J70">
        <f>IF(COUNTIFS('United Data'!$A$3:$A$3390,J$1,'United Data'!$C$3:$C$3390,$A70)&gt;0,1,0)</f>
        <v>0</v>
      </c>
      <c r="K70">
        <f>IF(COUNTIFS('United Data'!$A$3:$A$3390,K$1,'United Data'!$C$3:$C$3390,$A70)&gt;0,1,0)</f>
        <v>0</v>
      </c>
      <c r="L70">
        <f>IF(COUNTIFS('United Data'!$A$3:$A$3390,L$1,'United Data'!$C$3:$C$3390,$A70)&gt;0,1,0)</f>
        <v>0</v>
      </c>
      <c r="M70">
        <f>IF(COUNTIFS('United Data'!$A$3:$A$3390,M$1,'United Data'!$C$3:$C$3390,$A70)&gt;0,1,0)</f>
        <v>0</v>
      </c>
      <c r="N70">
        <f>IF(COUNTIFS('United Data'!$A$3:$A$3390,N$1,'United Data'!$C$3:$C$3390,$A70)&gt;0,1,0)</f>
        <v>0</v>
      </c>
      <c r="O70">
        <f>IF(COUNTIFS('United Data'!$A$3:$A$3390,O$1,'United Data'!$C$3:$C$3390,$A70)&gt;0,1,0)</f>
        <v>0</v>
      </c>
      <c r="P70">
        <f>IF(COUNTIFS('United Data'!$A$3:$A$3390,P$1,'United Data'!$C$3:$C$3390,$A70)&gt;0,1,0)</f>
        <v>0</v>
      </c>
      <c r="Q70">
        <f>IF(COUNTIFS('United Data'!$A$3:$A$3390,Q$1,'United Data'!$C$3:$C$3390,$A70)&gt;0,1,0)</f>
        <v>0</v>
      </c>
      <c r="R70">
        <f>IF(COUNTIFS('United Data'!$A$3:$A$3390,R$1,'United Data'!$C$3:$C$3390,$A70)&gt;0,1,0)</f>
        <v>0</v>
      </c>
      <c r="S70">
        <f t="shared" si="2"/>
        <v>1</v>
      </c>
      <c r="T70">
        <f t="shared" si="3"/>
        <v>1</v>
      </c>
    </row>
    <row r="71" spans="1:20" x14ac:dyDescent="0.2">
      <c r="A71" t="s">
        <v>118</v>
      </c>
      <c r="B71">
        <f>IF(COUNTIFS('United Data'!$A$3:$A$3390,B$1,'United Data'!$C$3:$C$3390,$A71)&gt;0,1,0)</f>
        <v>0</v>
      </c>
      <c r="C71">
        <f>IF(COUNTIFS('United Data'!$A$3:$A$3390,C$1,'United Data'!$C$3:$C$3390,$A71)&gt;0,1,0)</f>
        <v>0</v>
      </c>
      <c r="D71">
        <f>IF(COUNTIFS('United Data'!$A$3:$A$3390,D$1,'United Data'!$C$3:$C$3390,$A71)&gt;0,1,0)</f>
        <v>0</v>
      </c>
      <c r="E71">
        <f>IF(COUNTIFS('United Data'!$A$3:$A$3390,E$1,'United Data'!$C$3:$C$3390,$A71)&gt;0,1,0)</f>
        <v>0</v>
      </c>
      <c r="F71">
        <f>IF(COUNTIFS('United Data'!$A$3:$A$3390,F$1,'United Data'!$C$3:$C$3390,$A71)&gt;0,1,0)</f>
        <v>1</v>
      </c>
      <c r="G71">
        <f>IF(COUNTIFS('United Data'!$A$3:$A$3390,G$1,'United Data'!$C$3:$C$3390,$A71)&gt;0,1,0)</f>
        <v>0</v>
      </c>
      <c r="H71">
        <f>IF(COUNTIFS('United Data'!$A$3:$A$3390,H$1,'United Data'!$C$3:$C$3390,$A71)&gt;0,1,0)</f>
        <v>0</v>
      </c>
      <c r="I71">
        <f>IF(COUNTIFS('United Data'!$A$3:$A$3390,I$1,'United Data'!$C$3:$C$3390,$A71)&gt;0,1,0)</f>
        <v>0</v>
      </c>
      <c r="J71">
        <f>IF(COUNTIFS('United Data'!$A$3:$A$3390,J$1,'United Data'!$C$3:$C$3390,$A71)&gt;0,1,0)</f>
        <v>0</v>
      </c>
      <c r="K71">
        <f>IF(COUNTIFS('United Data'!$A$3:$A$3390,K$1,'United Data'!$C$3:$C$3390,$A71)&gt;0,1,0)</f>
        <v>0</v>
      </c>
      <c r="L71">
        <f>IF(COUNTIFS('United Data'!$A$3:$A$3390,L$1,'United Data'!$C$3:$C$3390,$A71)&gt;0,1,0)</f>
        <v>0</v>
      </c>
      <c r="M71">
        <f>IF(COUNTIFS('United Data'!$A$3:$A$3390,M$1,'United Data'!$C$3:$C$3390,$A71)&gt;0,1,0)</f>
        <v>0</v>
      </c>
      <c r="N71">
        <f>IF(COUNTIFS('United Data'!$A$3:$A$3390,N$1,'United Data'!$C$3:$C$3390,$A71)&gt;0,1,0)</f>
        <v>0</v>
      </c>
      <c r="O71">
        <f>IF(COUNTIFS('United Data'!$A$3:$A$3390,O$1,'United Data'!$C$3:$C$3390,$A71)&gt;0,1,0)</f>
        <v>0</v>
      </c>
      <c r="P71">
        <f>IF(COUNTIFS('United Data'!$A$3:$A$3390,P$1,'United Data'!$C$3:$C$3390,$A71)&gt;0,1,0)</f>
        <v>0</v>
      </c>
      <c r="Q71">
        <f>IF(COUNTIFS('United Data'!$A$3:$A$3390,Q$1,'United Data'!$C$3:$C$3390,$A71)&gt;0,1,0)</f>
        <v>0</v>
      </c>
      <c r="R71">
        <f>IF(COUNTIFS('United Data'!$A$3:$A$3390,R$1,'United Data'!$C$3:$C$3390,$A71)&gt;0,1,0)</f>
        <v>0</v>
      </c>
      <c r="S71">
        <f t="shared" si="2"/>
        <v>1</v>
      </c>
      <c r="T71">
        <f t="shared" si="3"/>
        <v>1</v>
      </c>
    </row>
    <row r="72" spans="1:20" x14ac:dyDescent="0.2">
      <c r="A72" t="s">
        <v>119</v>
      </c>
      <c r="B72">
        <f>IF(COUNTIFS('United Data'!$A$3:$A$3390,B$1,'United Data'!$C$3:$C$3390,$A72)&gt;0,1,0)</f>
        <v>0</v>
      </c>
      <c r="C72">
        <f>IF(COUNTIFS('United Data'!$A$3:$A$3390,C$1,'United Data'!$C$3:$C$3390,$A72)&gt;0,1,0)</f>
        <v>0</v>
      </c>
      <c r="D72">
        <f>IF(COUNTIFS('United Data'!$A$3:$A$3390,D$1,'United Data'!$C$3:$C$3390,$A72)&gt;0,1,0)</f>
        <v>0</v>
      </c>
      <c r="E72">
        <f>IF(COUNTIFS('United Data'!$A$3:$A$3390,E$1,'United Data'!$C$3:$C$3390,$A72)&gt;0,1,0)</f>
        <v>0</v>
      </c>
      <c r="F72">
        <f>IF(COUNTIFS('United Data'!$A$3:$A$3390,F$1,'United Data'!$C$3:$C$3390,$A72)&gt;0,1,0)</f>
        <v>0</v>
      </c>
      <c r="G72">
        <f>IF(COUNTIFS('United Data'!$A$3:$A$3390,G$1,'United Data'!$C$3:$C$3390,$A72)&gt;0,1,0)</f>
        <v>1</v>
      </c>
      <c r="H72">
        <f>IF(COUNTIFS('United Data'!$A$3:$A$3390,H$1,'United Data'!$C$3:$C$3390,$A72)&gt;0,1,0)</f>
        <v>0</v>
      </c>
      <c r="I72">
        <f>IF(COUNTIFS('United Data'!$A$3:$A$3390,I$1,'United Data'!$C$3:$C$3390,$A72)&gt;0,1,0)</f>
        <v>0</v>
      </c>
      <c r="J72">
        <f>IF(COUNTIFS('United Data'!$A$3:$A$3390,J$1,'United Data'!$C$3:$C$3390,$A72)&gt;0,1,0)</f>
        <v>0</v>
      </c>
      <c r="K72">
        <f>IF(COUNTIFS('United Data'!$A$3:$A$3390,K$1,'United Data'!$C$3:$C$3390,$A72)&gt;0,1,0)</f>
        <v>0</v>
      </c>
      <c r="L72">
        <f>IF(COUNTIFS('United Data'!$A$3:$A$3390,L$1,'United Data'!$C$3:$C$3390,$A72)&gt;0,1,0)</f>
        <v>0</v>
      </c>
      <c r="M72">
        <f>IF(COUNTIFS('United Data'!$A$3:$A$3390,M$1,'United Data'!$C$3:$C$3390,$A72)&gt;0,1,0)</f>
        <v>0</v>
      </c>
      <c r="N72">
        <f>IF(COUNTIFS('United Data'!$A$3:$A$3390,N$1,'United Data'!$C$3:$C$3390,$A72)&gt;0,1,0)</f>
        <v>0</v>
      </c>
      <c r="O72">
        <f>IF(COUNTIFS('United Data'!$A$3:$A$3390,O$1,'United Data'!$C$3:$C$3390,$A72)&gt;0,1,0)</f>
        <v>0</v>
      </c>
      <c r="P72">
        <f>IF(COUNTIFS('United Data'!$A$3:$A$3390,P$1,'United Data'!$C$3:$C$3390,$A72)&gt;0,1,0)</f>
        <v>0</v>
      </c>
      <c r="Q72">
        <f>IF(COUNTIFS('United Data'!$A$3:$A$3390,Q$1,'United Data'!$C$3:$C$3390,$A72)&gt;0,1,0)</f>
        <v>0</v>
      </c>
      <c r="R72">
        <f>IF(COUNTIFS('United Data'!$A$3:$A$3390,R$1,'United Data'!$C$3:$C$3390,$A72)&gt;0,1,0)</f>
        <v>0</v>
      </c>
      <c r="S72">
        <f t="shared" si="2"/>
        <v>1</v>
      </c>
      <c r="T72">
        <f t="shared" si="3"/>
        <v>1</v>
      </c>
    </row>
    <row r="73" spans="1:20" x14ac:dyDescent="0.2">
      <c r="A73" t="s">
        <v>120</v>
      </c>
      <c r="B73">
        <f>IF(COUNTIFS('United Data'!$A$3:$A$3390,B$1,'United Data'!$C$3:$C$3390,$A73)&gt;0,1,0)</f>
        <v>0</v>
      </c>
      <c r="C73">
        <f>IF(COUNTIFS('United Data'!$A$3:$A$3390,C$1,'United Data'!$C$3:$C$3390,$A73)&gt;0,1,0)</f>
        <v>0</v>
      </c>
      <c r="D73">
        <f>IF(COUNTIFS('United Data'!$A$3:$A$3390,D$1,'United Data'!$C$3:$C$3390,$A73)&gt;0,1,0)</f>
        <v>0</v>
      </c>
      <c r="E73">
        <f>IF(COUNTIFS('United Data'!$A$3:$A$3390,E$1,'United Data'!$C$3:$C$3390,$A73)&gt;0,1,0)</f>
        <v>0</v>
      </c>
      <c r="F73">
        <f>IF(COUNTIFS('United Data'!$A$3:$A$3390,F$1,'United Data'!$C$3:$C$3390,$A73)&gt;0,1,0)</f>
        <v>0</v>
      </c>
      <c r="G73">
        <f>IF(COUNTIFS('United Data'!$A$3:$A$3390,G$1,'United Data'!$C$3:$C$3390,$A73)&gt;0,1,0)</f>
        <v>1</v>
      </c>
      <c r="H73">
        <f>IF(COUNTIFS('United Data'!$A$3:$A$3390,H$1,'United Data'!$C$3:$C$3390,$A73)&gt;0,1,0)</f>
        <v>0</v>
      </c>
      <c r="I73">
        <f>IF(COUNTIFS('United Data'!$A$3:$A$3390,I$1,'United Data'!$C$3:$C$3390,$A73)&gt;0,1,0)</f>
        <v>0</v>
      </c>
      <c r="J73">
        <f>IF(COUNTIFS('United Data'!$A$3:$A$3390,J$1,'United Data'!$C$3:$C$3390,$A73)&gt;0,1,0)</f>
        <v>0</v>
      </c>
      <c r="K73">
        <f>IF(COUNTIFS('United Data'!$A$3:$A$3390,K$1,'United Data'!$C$3:$C$3390,$A73)&gt;0,1,0)</f>
        <v>1</v>
      </c>
      <c r="L73">
        <f>IF(COUNTIFS('United Data'!$A$3:$A$3390,L$1,'United Data'!$C$3:$C$3390,$A73)&gt;0,1,0)</f>
        <v>0</v>
      </c>
      <c r="M73">
        <f>IF(COUNTIFS('United Data'!$A$3:$A$3390,M$1,'United Data'!$C$3:$C$3390,$A73)&gt;0,1,0)</f>
        <v>0</v>
      </c>
      <c r="N73">
        <f>IF(COUNTIFS('United Data'!$A$3:$A$3390,N$1,'United Data'!$C$3:$C$3390,$A73)&gt;0,1,0)</f>
        <v>0</v>
      </c>
      <c r="O73">
        <f>IF(COUNTIFS('United Data'!$A$3:$A$3390,O$1,'United Data'!$C$3:$C$3390,$A73)&gt;0,1,0)</f>
        <v>0</v>
      </c>
      <c r="P73">
        <f>IF(COUNTIFS('United Data'!$A$3:$A$3390,P$1,'United Data'!$C$3:$C$3390,$A73)&gt;0,1,0)</f>
        <v>0</v>
      </c>
      <c r="Q73">
        <f>IF(COUNTIFS('United Data'!$A$3:$A$3390,Q$1,'United Data'!$C$3:$C$3390,$A73)&gt;0,1,0)</f>
        <v>0</v>
      </c>
      <c r="R73">
        <f>IF(COUNTIFS('United Data'!$A$3:$A$3390,R$1,'United Data'!$C$3:$C$3390,$A73)&gt;0,1,0)</f>
        <v>0</v>
      </c>
      <c r="S73">
        <f t="shared" si="2"/>
        <v>2</v>
      </c>
      <c r="T73">
        <f t="shared" si="3"/>
        <v>2</v>
      </c>
    </row>
    <row r="74" spans="1:20" x14ac:dyDescent="0.2">
      <c r="A74" t="s">
        <v>121</v>
      </c>
      <c r="B74">
        <f>IF(COUNTIFS('United Data'!$A$3:$A$3390,B$1,'United Data'!$C$3:$C$3390,$A74)&gt;0,1,0)</f>
        <v>0</v>
      </c>
      <c r="C74">
        <f>IF(COUNTIFS('United Data'!$A$3:$A$3390,C$1,'United Data'!$C$3:$C$3390,$A74)&gt;0,1,0)</f>
        <v>0</v>
      </c>
      <c r="D74">
        <f>IF(COUNTIFS('United Data'!$A$3:$A$3390,D$1,'United Data'!$C$3:$C$3390,$A74)&gt;0,1,0)</f>
        <v>0</v>
      </c>
      <c r="E74">
        <f>IF(COUNTIFS('United Data'!$A$3:$A$3390,E$1,'United Data'!$C$3:$C$3390,$A74)&gt;0,1,0)</f>
        <v>0</v>
      </c>
      <c r="F74">
        <f>IF(COUNTIFS('United Data'!$A$3:$A$3390,F$1,'United Data'!$C$3:$C$3390,$A74)&gt;0,1,0)</f>
        <v>0</v>
      </c>
      <c r="G74">
        <f>IF(COUNTIFS('United Data'!$A$3:$A$3390,G$1,'United Data'!$C$3:$C$3390,$A74)&gt;0,1,0)</f>
        <v>0</v>
      </c>
      <c r="H74">
        <f>IF(COUNTIFS('United Data'!$A$3:$A$3390,H$1,'United Data'!$C$3:$C$3390,$A74)&gt;0,1,0)</f>
        <v>1</v>
      </c>
      <c r="I74">
        <f>IF(COUNTIFS('United Data'!$A$3:$A$3390,I$1,'United Data'!$C$3:$C$3390,$A74)&gt;0,1,0)</f>
        <v>1</v>
      </c>
      <c r="J74">
        <f>IF(COUNTIFS('United Data'!$A$3:$A$3390,J$1,'United Data'!$C$3:$C$3390,$A74)&gt;0,1,0)</f>
        <v>0</v>
      </c>
      <c r="K74">
        <f>IF(COUNTIFS('United Data'!$A$3:$A$3390,K$1,'United Data'!$C$3:$C$3390,$A74)&gt;0,1,0)</f>
        <v>0</v>
      </c>
      <c r="L74">
        <f>IF(COUNTIFS('United Data'!$A$3:$A$3390,L$1,'United Data'!$C$3:$C$3390,$A74)&gt;0,1,0)</f>
        <v>0</v>
      </c>
      <c r="M74">
        <f>IF(COUNTIFS('United Data'!$A$3:$A$3390,M$1,'United Data'!$C$3:$C$3390,$A74)&gt;0,1,0)</f>
        <v>0</v>
      </c>
      <c r="N74">
        <f>IF(COUNTIFS('United Data'!$A$3:$A$3390,N$1,'United Data'!$C$3:$C$3390,$A74)&gt;0,1,0)</f>
        <v>0</v>
      </c>
      <c r="O74">
        <f>IF(COUNTIFS('United Data'!$A$3:$A$3390,O$1,'United Data'!$C$3:$C$3390,$A74)&gt;0,1,0)</f>
        <v>0</v>
      </c>
      <c r="P74">
        <f>IF(COUNTIFS('United Data'!$A$3:$A$3390,P$1,'United Data'!$C$3:$C$3390,$A74)&gt;0,1,0)</f>
        <v>0</v>
      </c>
      <c r="Q74">
        <f>IF(COUNTIFS('United Data'!$A$3:$A$3390,Q$1,'United Data'!$C$3:$C$3390,$A74)&gt;0,1,0)</f>
        <v>0</v>
      </c>
      <c r="R74">
        <f>IF(COUNTIFS('United Data'!$A$3:$A$3390,R$1,'United Data'!$C$3:$C$3390,$A74)&gt;0,1,0)</f>
        <v>0</v>
      </c>
      <c r="S74">
        <f t="shared" si="2"/>
        <v>2</v>
      </c>
      <c r="T74">
        <f t="shared" si="3"/>
        <v>1</v>
      </c>
    </row>
    <row r="75" spans="1:20" x14ac:dyDescent="0.2">
      <c r="A75" t="s">
        <v>123</v>
      </c>
      <c r="B75">
        <f>IF(COUNTIFS('United Data'!$A$3:$A$3390,B$1,'United Data'!$C$3:$C$3390,$A75)&gt;0,1,0)</f>
        <v>0</v>
      </c>
      <c r="C75">
        <f>IF(COUNTIFS('United Data'!$A$3:$A$3390,C$1,'United Data'!$C$3:$C$3390,$A75)&gt;0,1,0)</f>
        <v>0</v>
      </c>
      <c r="D75">
        <f>IF(COUNTIFS('United Data'!$A$3:$A$3390,D$1,'United Data'!$C$3:$C$3390,$A75)&gt;0,1,0)</f>
        <v>0</v>
      </c>
      <c r="E75">
        <f>IF(COUNTIFS('United Data'!$A$3:$A$3390,E$1,'United Data'!$C$3:$C$3390,$A75)&gt;0,1,0)</f>
        <v>0</v>
      </c>
      <c r="F75">
        <f>IF(COUNTIFS('United Data'!$A$3:$A$3390,F$1,'United Data'!$C$3:$C$3390,$A75)&gt;0,1,0)</f>
        <v>0</v>
      </c>
      <c r="G75">
        <f>IF(COUNTIFS('United Data'!$A$3:$A$3390,G$1,'United Data'!$C$3:$C$3390,$A75)&gt;0,1,0)</f>
        <v>0</v>
      </c>
      <c r="H75">
        <f>IF(COUNTIFS('United Data'!$A$3:$A$3390,H$1,'United Data'!$C$3:$C$3390,$A75)&gt;0,1,0)</f>
        <v>0</v>
      </c>
      <c r="I75">
        <f>IF(COUNTIFS('United Data'!$A$3:$A$3390,I$1,'United Data'!$C$3:$C$3390,$A75)&gt;0,1,0)</f>
        <v>1</v>
      </c>
      <c r="J75">
        <f>IF(COUNTIFS('United Data'!$A$3:$A$3390,J$1,'United Data'!$C$3:$C$3390,$A75)&gt;0,1,0)</f>
        <v>0</v>
      </c>
      <c r="K75">
        <f>IF(COUNTIFS('United Data'!$A$3:$A$3390,K$1,'United Data'!$C$3:$C$3390,$A75)&gt;0,1,0)</f>
        <v>0</v>
      </c>
      <c r="L75">
        <f>IF(COUNTIFS('United Data'!$A$3:$A$3390,L$1,'United Data'!$C$3:$C$3390,$A75)&gt;0,1,0)</f>
        <v>0</v>
      </c>
      <c r="M75">
        <f>IF(COUNTIFS('United Data'!$A$3:$A$3390,M$1,'United Data'!$C$3:$C$3390,$A75)&gt;0,1,0)</f>
        <v>0</v>
      </c>
      <c r="N75">
        <f>IF(COUNTIFS('United Data'!$A$3:$A$3390,N$1,'United Data'!$C$3:$C$3390,$A75)&gt;0,1,0)</f>
        <v>0</v>
      </c>
      <c r="O75">
        <f>IF(COUNTIFS('United Data'!$A$3:$A$3390,O$1,'United Data'!$C$3:$C$3390,$A75)&gt;0,1,0)</f>
        <v>0</v>
      </c>
      <c r="P75">
        <f>IF(COUNTIFS('United Data'!$A$3:$A$3390,P$1,'United Data'!$C$3:$C$3390,$A75)&gt;0,1,0)</f>
        <v>0</v>
      </c>
      <c r="Q75">
        <f>IF(COUNTIFS('United Data'!$A$3:$A$3390,Q$1,'United Data'!$C$3:$C$3390,$A75)&gt;0,1,0)</f>
        <v>0</v>
      </c>
      <c r="R75">
        <f>IF(COUNTIFS('United Data'!$A$3:$A$3390,R$1,'United Data'!$C$3:$C$3390,$A75)&gt;0,1,0)</f>
        <v>0</v>
      </c>
      <c r="S75">
        <f t="shared" si="2"/>
        <v>1</v>
      </c>
      <c r="T75">
        <f t="shared" si="3"/>
        <v>1</v>
      </c>
    </row>
    <row r="76" spans="1:20" x14ac:dyDescent="0.2">
      <c r="A76" t="s">
        <v>124</v>
      </c>
      <c r="B76">
        <f>IF(COUNTIFS('United Data'!$A$3:$A$3390,B$1,'United Data'!$C$3:$C$3390,$A76)&gt;0,1,0)</f>
        <v>0</v>
      </c>
      <c r="C76">
        <f>IF(COUNTIFS('United Data'!$A$3:$A$3390,C$1,'United Data'!$C$3:$C$3390,$A76)&gt;0,1,0)</f>
        <v>0</v>
      </c>
      <c r="D76">
        <f>IF(COUNTIFS('United Data'!$A$3:$A$3390,D$1,'United Data'!$C$3:$C$3390,$A76)&gt;0,1,0)</f>
        <v>0</v>
      </c>
      <c r="E76">
        <f>IF(COUNTIFS('United Data'!$A$3:$A$3390,E$1,'United Data'!$C$3:$C$3390,$A76)&gt;0,1,0)</f>
        <v>0</v>
      </c>
      <c r="F76">
        <f>IF(COUNTIFS('United Data'!$A$3:$A$3390,F$1,'United Data'!$C$3:$C$3390,$A76)&gt;0,1,0)</f>
        <v>0</v>
      </c>
      <c r="G76">
        <f>IF(COUNTIFS('United Data'!$A$3:$A$3390,G$1,'United Data'!$C$3:$C$3390,$A76)&gt;0,1,0)</f>
        <v>0</v>
      </c>
      <c r="H76">
        <f>IF(COUNTIFS('United Data'!$A$3:$A$3390,H$1,'United Data'!$C$3:$C$3390,$A76)&gt;0,1,0)</f>
        <v>0</v>
      </c>
      <c r="I76">
        <f>IF(COUNTIFS('United Data'!$A$3:$A$3390,I$1,'United Data'!$C$3:$C$3390,$A76)&gt;0,1,0)</f>
        <v>1</v>
      </c>
      <c r="J76">
        <f>IF(COUNTIFS('United Data'!$A$3:$A$3390,J$1,'United Data'!$C$3:$C$3390,$A76)&gt;0,1,0)</f>
        <v>0</v>
      </c>
      <c r="K76">
        <f>IF(COUNTIFS('United Data'!$A$3:$A$3390,K$1,'United Data'!$C$3:$C$3390,$A76)&gt;0,1,0)</f>
        <v>0</v>
      </c>
      <c r="L76">
        <f>IF(COUNTIFS('United Data'!$A$3:$A$3390,L$1,'United Data'!$C$3:$C$3390,$A76)&gt;0,1,0)</f>
        <v>0</v>
      </c>
      <c r="M76">
        <f>IF(COUNTIFS('United Data'!$A$3:$A$3390,M$1,'United Data'!$C$3:$C$3390,$A76)&gt;0,1,0)</f>
        <v>0</v>
      </c>
      <c r="N76">
        <f>IF(COUNTIFS('United Data'!$A$3:$A$3390,N$1,'United Data'!$C$3:$C$3390,$A76)&gt;0,1,0)</f>
        <v>0</v>
      </c>
      <c r="O76">
        <f>IF(COUNTIFS('United Data'!$A$3:$A$3390,O$1,'United Data'!$C$3:$C$3390,$A76)&gt;0,1,0)</f>
        <v>0</v>
      </c>
      <c r="P76">
        <f>IF(COUNTIFS('United Data'!$A$3:$A$3390,P$1,'United Data'!$C$3:$C$3390,$A76)&gt;0,1,0)</f>
        <v>0</v>
      </c>
      <c r="Q76">
        <f>IF(COUNTIFS('United Data'!$A$3:$A$3390,Q$1,'United Data'!$C$3:$C$3390,$A76)&gt;0,1,0)</f>
        <v>0</v>
      </c>
      <c r="R76">
        <f>IF(COUNTIFS('United Data'!$A$3:$A$3390,R$1,'United Data'!$C$3:$C$3390,$A76)&gt;0,1,0)</f>
        <v>0</v>
      </c>
      <c r="S76">
        <f t="shared" si="2"/>
        <v>1</v>
      </c>
      <c r="T76">
        <f t="shared" si="3"/>
        <v>1</v>
      </c>
    </row>
    <row r="77" spans="1:20" x14ac:dyDescent="0.2">
      <c r="A77" t="s">
        <v>125</v>
      </c>
      <c r="B77">
        <f>IF(COUNTIFS('United Data'!$A$3:$A$3390,B$1,'United Data'!$C$3:$C$3390,$A77)&gt;0,1,0)</f>
        <v>0</v>
      </c>
      <c r="C77">
        <f>IF(COUNTIFS('United Data'!$A$3:$A$3390,C$1,'United Data'!$C$3:$C$3390,$A77)&gt;0,1,0)</f>
        <v>0</v>
      </c>
      <c r="D77">
        <f>IF(COUNTIFS('United Data'!$A$3:$A$3390,D$1,'United Data'!$C$3:$C$3390,$A77)&gt;0,1,0)</f>
        <v>0</v>
      </c>
      <c r="E77">
        <f>IF(COUNTIFS('United Data'!$A$3:$A$3390,E$1,'United Data'!$C$3:$C$3390,$A77)&gt;0,1,0)</f>
        <v>0</v>
      </c>
      <c r="F77">
        <f>IF(COUNTIFS('United Data'!$A$3:$A$3390,F$1,'United Data'!$C$3:$C$3390,$A77)&gt;0,1,0)</f>
        <v>0</v>
      </c>
      <c r="G77">
        <f>IF(COUNTIFS('United Data'!$A$3:$A$3390,G$1,'United Data'!$C$3:$C$3390,$A77)&gt;0,1,0)</f>
        <v>0</v>
      </c>
      <c r="H77">
        <f>IF(COUNTIFS('United Data'!$A$3:$A$3390,H$1,'United Data'!$C$3:$C$3390,$A77)&gt;0,1,0)</f>
        <v>0</v>
      </c>
      <c r="I77">
        <f>IF(COUNTIFS('United Data'!$A$3:$A$3390,I$1,'United Data'!$C$3:$C$3390,$A77)&gt;0,1,0)</f>
        <v>1</v>
      </c>
      <c r="J77">
        <f>IF(COUNTIFS('United Data'!$A$3:$A$3390,J$1,'United Data'!$C$3:$C$3390,$A77)&gt;0,1,0)</f>
        <v>0</v>
      </c>
      <c r="K77">
        <f>IF(COUNTIFS('United Data'!$A$3:$A$3390,K$1,'United Data'!$C$3:$C$3390,$A77)&gt;0,1,0)</f>
        <v>0</v>
      </c>
      <c r="L77">
        <f>IF(COUNTIFS('United Data'!$A$3:$A$3390,L$1,'United Data'!$C$3:$C$3390,$A77)&gt;0,1,0)</f>
        <v>0</v>
      </c>
      <c r="M77">
        <f>IF(COUNTIFS('United Data'!$A$3:$A$3390,M$1,'United Data'!$C$3:$C$3390,$A77)&gt;0,1,0)</f>
        <v>0</v>
      </c>
      <c r="N77">
        <f>IF(COUNTIFS('United Data'!$A$3:$A$3390,N$1,'United Data'!$C$3:$C$3390,$A77)&gt;0,1,0)</f>
        <v>0</v>
      </c>
      <c r="O77">
        <f>IF(COUNTIFS('United Data'!$A$3:$A$3390,O$1,'United Data'!$C$3:$C$3390,$A77)&gt;0,1,0)</f>
        <v>0</v>
      </c>
      <c r="P77">
        <f>IF(COUNTIFS('United Data'!$A$3:$A$3390,P$1,'United Data'!$C$3:$C$3390,$A77)&gt;0,1,0)</f>
        <v>0</v>
      </c>
      <c r="Q77">
        <f>IF(COUNTIFS('United Data'!$A$3:$A$3390,Q$1,'United Data'!$C$3:$C$3390,$A77)&gt;0,1,0)</f>
        <v>0</v>
      </c>
      <c r="R77">
        <f>IF(COUNTIFS('United Data'!$A$3:$A$3390,R$1,'United Data'!$C$3:$C$3390,$A77)&gt;0,1,0)</f>
        <v>0</v>
      </c>
      <c r="S77">
        <f t="shared" si="2"/>
        <v>1</v>
      </c>
      <c r="T77">
        <f t="shared" si="3"/>
        <v>1</v>
      </c>
    </row>
    <row r="78" spans="1:20" x14ac:dyDescent="0.2">
      <c r="A78" t="s">
        <v>126</v>
      </c>
      <c r="B78">
        <f>IF(COUNTIFS('United Data'!$A$3:$A$3390,B$1,'United Data'!$C$3:$C$3390,$A78)&gt;0,1,0)</f>
        <v>0</v>
      </c>
      <c r="C78">
        <f>IF(COUNTIFS('United Data'!$A$3:$A$3390,C$1,'United Data'!$C$3:$C$3390,$A78)&gt;0,1,0)</f>
        <v>0</v>
      </c>
      <c r="D78">
        <f>IF(COUNTIFS('United Data'!$A$3:$A$3390,D$1,'United Data'!$C$3:$C$3390,$A78)&gt;0,1,0)</f>
        <v>0</v>
      </c>
      <c r="E78">
        <f>IF(COUNTIFS('United Data'!$A$3:$A$3390,E$1,'United Data'!$C$3:$C$3390,$A78)&gt;0,1,0)</f>
        <v>0</v>
      </c>
      <c r="F78">
        <f>IF(COUNTIFS('United Data'!$A$3:$A$3390,F$1,'United Data'!$C$3:$C$3390,$A78)&gt;0,1,0)</f>
        <v>0</v>
      </c>
      <c r="G78">
        <f>IF(COUNTIFS('United Data'!$A$3:$A$3390,G$1,'United Data'!$C$3:$C$3390,$A78)&gt;0,1,0)</f>
        <v>0</v>
      </c>
      <c r="H78">
        <f>IF(COUNTIFS('United Data'!$A$3:$A$3390,H$1,'United Data'!$C$3:$C$3390,$A78)&gt;0,1,0)</f>
        <v>0</v>
      </c>
      <c r="I78">
        <f>IF(COUNTIFS('United Data'!$A$3:$A$3390,I$1,'United Data'!$C$3:$C$3390,$A78)&gt;0,1,0)</f>
        <v>1</v>
      </c>
      <c r="J78">
        <f>IF(COUNTIFS('United Data'!$A$3:$A$3390,J$1,'United Data'!$C$3:$C$3390,$A78)&gt;0,1,0)</f>
        <v>0</v>
      </c>
      <c r="K78">
        <f>IF(COUNTIFS('United Data'!$A$3:$A$3390,K$1,'United Data'!$C$3:$C$3390,$A78)&gt;0,1,0)</f>
        <v>0</v>
      </c>
      <c r="L78">
        <f>IF(COUNTIFS('United Data'!$A$3:$A$3390,L$1,'United Data'!$C$3:$C$3390,$A78)&gt;0,1,0)</f>
        <v>0</v>
      </c>
      <c r="M78">
        <f>IF(COUNTIFS('United Data'!$A$3:$A$3390,M$1,'United Data'!$C$3:$C$3390,$A78)&gt;0,1,0)</f>
        <v>0</v>
      </c>
      <c r="N78">
        <f>IF(COUNTIFS('United Data'!$A$3:$A$3390,N$1,'United Data'!$C$3:$C$3390,$A78)&gt;0,1,0)</f>
        <v>0</v>
      </c>
      <c r="O78">
        <f>IF(COUNTIFS('United Data'!$A$3:$A$3390,O$1,'United Data'!$C$3:$C$3390,$A78)&gt;0,1,0)</f>
        <v>0</v>
      </c>
      <c r="P78">
        <f>IF(COUNTIFS('United Data'!$A$3:$A$3390,P$1,'United Data'!$C$3:$C$3390,$A78)&gt;0,1,0)</f>
        <v>0</v>
      </c>
      <c r="Q78">
        <f>IF(COUNTIFS('United Data'!$A$3:$A$3390,Q$1,'United Data'!$C$3:$C$3390,$A78)&gt;0,1,0)</f>
        <v>0</v>
      </c>
      <c r="R78">
        <f>IF(COUNTIFS('United Data'!$A$3:$A$3390,R$1,'United Data'!$C$3:$C$3390,$A78)&gt;0,1,0)</f>
        <v>0</v>
      </c>
      <c r="S78">
        <f t="shared" si="2"/>
        <v>1</v>
      </c>
      <c r="T78">
        <f t="shared" si="3"/>
        <v>1</v>
      </c>
    </row>
    <row r="79" spans="1:20" x14ac:dyDescent="0.2">
      <c r="A79" t="s">
        <v>127</v>
      </c>
      <c r="B79">
        <f>IF(COUNTIFS('United Data'!$A$3:$A$3390,B$1,'United Data'!$C$3:$C$3390,$A79)&gt;0,1,0)</f>
        <v>0</v>
      </c>
      <c r="C79">
        <f>IF(COUNTIFS('United Data'!$A$3:$A$3390,C$1,'United Data'!$C$3:$C$3390,$A79)&gt;0,1,0)</f>
        <v>0</v>
      </c>
      <c r="D79">
        <f>IF(COUNTIFS('United Data'!$A$3:$A$3390,D$1,'United Data'!$C$3:$C$3390,$A79)&gt;0,1,0)</f>
        <v>0</v>
      </c>
      <c r="E79">
        <f>IF(COUNTIFS('United Data'!$A$3:$A$3390,E$1,'United Data'!$C$3:$C$3390,$A79)&gt;0,1,0)</f>
        <v>0</v>
      </c>
      <c r="F79">
        <f>IF(COUNTIFS('United Data'!$A$3:$A$3390,F$1,'United Data'!$C$3:$C$3390,$A79)&gt;0,1,0)</f>
        <v>0</v>
      </c>
      <c r="G79">
        <f>IF(COUNTIFS('United Data'!$A$3:$A$3390,G$1,'United Data'!$C$3:$C$3390,$A79)&gt;0,1,0)</f>
        <v>0</v>
      </c>
      <c r="H79">
        <f>IF(COUNTIFS('United Data'!$A$3:$A$3390,H$1,'United Data'!$C$3:$C$3390,$A79)&gt;0,1,0)</f>
        <v>0</v>
      </c>
      <c r="I79">
        <f>IF(COUNTIFS('United Data'!$A$3:$A$3390,I$1,'United Data'!$C$3:$C$3390,$A79)&gt;0,1,0)</f>
        <v>0</v>
      </c>
      <c r="J79">
        <f>IF(COUNTIFS('United Data'!$A$3:$A$3390,J$1,'United Data'!$C$3:$C$3390,$A79)&gt;0,1,0)</f>
        <v>1</v>
      </c>
      <c r="K79">
        <f>IF(COUNTIFS('United Data'!$A$3:$A$3390,K$1,'United Data'!$C$3:$C$3390,$A79)&gt;0,1,0)</f>
        <v>1</v>
      </c>
      <c r="L79">
        <f>IF(COUNTIFS('United Data'!$A$3:$A$3390,L$1,'United Data'!$C$3:$C$3390,$A79)&gt;0,1,0)</f>
        <v>0</v>
      </c>
      <c r="M79">
        <f>IF(COUNTIFS('United Data'!$A$3:$A$3390,M$1,'United Data'!$C$3:$C$3390,$A79)&gt;0,1,0)</f>
        <v>0</v>
      </c>
      <c r="N79">
        <f>IF(COUNTIFS('United Data'!$A$3:$A$3390,N$1,'United Data'!$C$3:$C$3390,$A79)&gt;0,1,0)</f>
        <v>0</v>
      </c>
      <c r="O79">
        <f>IF(COUNTIFS('United Data'!$A$3:$A$3390,O$1,'United Data'!$C$3:$C$3390,$A79)&gt;0,1,0)</f>
        <v>0</v>
      </c>
      <c r="P79">
        <f>IF(COUNTIFS('United Data'!$A$3:$A$3390,P$1,'United Data'!$C$3:$C$3390,$A79)&gt;0,1,0)</f>
        <v>0</v>
      </c>
      <c r="Q79">
        <f>IF(COUNTIFS('United Data'!$A$3:$A$3390,Q$1,'United Data'!$C$3:$C$3390,$A79)&gt;0,1,0)</f>
        <v>0</v>
      </c>
      <c r="R79">
        <f>IF(COUNTIFS('United Data'!$A$3:$A$3390,R$1,'United Data'!$C$3:$C$3390,$A79)&gt;0,1,0)</f>
        <v>0</v>
      </c>
      <c r="S79">
        <f t="shared" si="2"/>
        <v>2</v>
      </c>
      <c r="T79">
        <f t="shared" si="3"/>
        <v>1</v>
      </c>
    </row>
    <row r="80" spans="1:20" x14ac:dyDescent="0.2">
      <c r="A80" t="s">
        <v>128</v>
      </c>
      <c r="B80">
        <f>IF(COUNTIFS('United Data'!$A$3:$A$3390,B$1,'United Data'!$C$3:$C$3390,$A80)&gt;0,1,0)</f>
        <v>0</v>
      </c>
      <c r="C80">
        <f>IF(COUNTIFS('United Data'!$A$3:$A$3390,C$1,'United Data'!$C$3:$C$3390,$A80)&gt;0,1,0)</f>
        <v>0</v>
      </c>
      <c r="D80">
        <f>IF(COUNTIFS('United Data'!$A$3:$A$3390,D$1,'United Data'!$C$3:$C$3390,$A80)&gt;0,1,0)</f>
        <v>0</v>
      </c>
      <c r="E80">
        <f>IF(COUNTIFS('United Data'!$A$3:$A$3390,E$1,'United Data'!$C$3:$C$3390,$A80)&gt;0,1,0)</f>
        <v>0</v>
      </c>
      <c r="F80">
        <f>IF(COUNTIFS('United Data'!$A$3:$A$3390,F$1,'United Data'!$C$3:$C$3390,$A80)&gt;0,1,0)</f>
        <v>0</v>
      </c>
      <c r="G80">
        <f>IF(COUNTIFS('United Data'!$A$3:$A$3390,G$1,'United Data'!$C$3:$C$3390,$A80)&gt;0,1,0)</f>
        <v>0</v>
      </c>
      <c r="H80">
        <f>IF(COUNTIFS('United Data'!$A$3:$A$3390,H$1,'United Data'!$C$3:$C$3390,$A80)&gt;0,1,0)</f>
        <v>0</v>
      </c>
      <c r="I80">
        <f>IF(COUNTIFS('United Data'!$A$3:$A$3390,I$1,'United Data'!$C$3:$C$3390,$A80)&gt;0,1,0)</f>
        <v>0</v>
      </c>
      <c r="J80">
        <f>IF(COUNTIFS('United Data'!$A$3:$A$3390,J$1,'United Data'!$C$3:$C$3390,$A80)&gt;0,1,0)</f>
        <v>1</v>
      </c>
      <c r="K80">
        <f>IF(COUNTIFS('United Data'!$A$3:$A$3390,K$1,'United Data'!$C$3:$C$3390,$A80)&gt;0,1,0)</f>
        <v>0</v>
      </c>
      <c r="L80">
        <f>IF(COUNTIFS('United Data'!$A$3:$A$3390,L$1,'United Data'!$C$3:$C$3390,$A80)&gt;0,1,0)</f>
        <v>0</v>
      </c>
      <c r="M80">
        <f>IF(COUNTIFS('United Data'!$A$3:$A$3390,M$1,'United Data'!$C$3:$C$3390,$A80)&gt;0,1,0)</f>
        <v>0</v>
      </c>
      <c r="N80">
        <f>IF(COUNTIFS('United Data'!$A$3:$A$3390,N$1,'United Data'!$C$3:$C$3390,$A80)&gt;0,1,0)</f>
        <v>0</v>
      </c>
      <c r="O80">
        <f>IF(COUNTIFS('United Data'!$A$3:$A$3390,O$1,'United Data'!$C$3:$C$3390,$A80)&gt;0,1,0)</f>
        <v>1</v>
      </c>
      <c r="P80">
        <f>IF(COUNTIFS('United Data'!$A$3:$A$3390,P$1,'United Data'!$C$3:$C$3390,$A80)&gt;0,1,0)</f>
        <v>0</v>
      </c>
      <c r="Q80">
        <f>IF(COUNTIFS('United Data'!$A$3:$A$3390,Q$1,'United Data'!$C$3:$C$3390,$A80)&gt;0,1,0)</f>
        <v>0</v>
      </c>
      <c r="R80">
        <f>IF(COUNTIFS('United Data'!$A$3:$A$3390,R$1,'United Data'!$C$3:$C$3390,$A80)&gt;0,1,0)</f>
        <v>0</v>
      </c>
      <c r="S80">
        <f t="shared" si="2"/>
        <v>2</v>
      </c>
      <c r="T80">
        <f t="shared" si="3"/>
        <v>2</v>
      </c>
    </row>
    <row r="81" spans="1:20" x14ac:dyDescent="0.2">
      <c r="A81" t="s">
        <v>129</v>
      </c>
      <c r="B81">
        <f>IF(COUNTIFS('United Data'!$A$3:$A$3390,B$1,'United Data'!$C$3:$C$3390,$A81)&gt;0,1,0)</f>
        <v>0</v>
      </c>
      <c r="C81">
        <f>IF(COUNTIFS('United Data'!$A$3:$A$3390,C$1,'United Data'!$C$3:$C$3390,$A81)&gt;0,1,0)</f>
        <v>0</v>
      </c>
      <c r="D81">
        <f>IF(COUNTIFS('United Data'!$A$3:$A$3390,D$1,'United Data'!$C$3:$C$3390,$A81)&gt;0,1,0)</f>
        <v>0</v>
      </c>
      <c r="E81">
        <f>IF(COUNTIFS('United Data'!$A$3:$A$3390,E$1,'United Data'!$C$3:$C$3390,$A81)&gt;0,1,0)</f>
        <v>0</v>
      </c>
      <c r="F81">
        <f>IF(COUNTIFS('United Data'!$A$3:$A$3390,F$1,'United Data'!$C$3:$C$3390,$A81)&gt;0,1,0)</f>
        <v>0</v>
      </c>
      <c r="G81">
        <f>IF(COUNTIFS('United Data'!$A$3:$A$3390,G$1,'United Data'!$C$3:$C$3390,$A81)&gt;0,1,0)</f>
        <v>0</v>
      </c>
      <c r="H81">
        <f>IF(COUNTIFS('United Data'!$A$3:$A$3390,H$1,'United Data'!$C$3:$C$3390,$A81)&gt;0,1,0)</f>
        <v>0</v>
      </c>
      <c r="I81">
        <f>IF(COUNTIFS('United Data'!$A$3:$A$3390,I$1,'United Data'!$C$3:$C$3390,$A81)&gt;0,1,0)</f>
        <v>0</v>
      </c>
      <c r="J81">
        <f>IF(COUNTIFS('United Data'!$A$3:$A$3390,J$1,'United Data'!$C$3:$C$3390,$A81)&gt;0,1,0)</f>
        <v>0</v>
      </c>
      <c r="K81">
        <f>IF(COUNTIFS('United Data'!$A$3:$A$3390,K$1,'United Data'!$C$3:$C$3390,$A81)&gt;0,1,0)</f>
        <v>0</v>
      </c>
      <c r="L81">
        <f>IF(COUNTIFS('United Data'!$A$3:$A$3390,L$1,'United Data'!$C$3:$C$3390,$A81)&gt;0,1,0)</f>
        <v>1</v>
      </c>
      <c r="M81">
        <f>IF(COUNTIFS('United Data'!$A$3:$A$3390,M$1,'United Data'!$C$3:$C$3390,$A81)&gt;0,1,0)</f>
        <v>0</v>
      </c>
      <c r="N81">
        <f>IF(COUNTIFS('United Data'!$A$3:$A$3390,N$1,'United Data'!$C$3:$C$3390,$A81)&gt;0,1,0)</f>
        <v>0</v>
      </c>
      <c r="O81">
        <f>IF(COUNTIFS('United Data'!$A$3:$A$3390,O$1,'United Data'!$C$3:$C$3390,$A81)&gt;0,1,0)</f>
        <v>0</v>
      </c>
      <c r="P81">
        <f>IF(COUNTIFS('United Data'!$A$3:$A$3390,P$1,'United Data'!$C$3:$C$3390,$A81)&gt;0,1,0)</f>
        <v>0</v>
      </c>
      <c r="Q81">
        <f>IF(COUNTIFS('United Data'!$A$3:$A$3390,Q$1,'United Data'!$C$3:$C$3390,$A81)&gt;0,1,0)</f>
        <v>0</v>
      </c>
      <c r="R81">
        <f>IF(COUNTIFS('United Data'!$A$3:$A$3390,R$1,'United Data'!$C$3:$C$3390,$A81)&gt;0,1,0)</f>
        <v>0</v>
      </c>
      <c r="S81">
        <f t="shared" si="2"/>
        <v>1</v>
      </c>
      <c r="T81">
        <f t="shared" si="3"/>
        <v>1</v>
      </c>
    </row>
    <row r="82" spans="1:20" x14ac:dyDescent="0.2">
      <c r="A82" t="s">
        <v>130</v>
      </c>
      <c r="B82">
        <f>IF(COUNTIFS('United Data'!$A$3:$A$3390,B$1,'United Data'!$C$3:$C$3390,$A82)&gt;0,1,0)</f>
        <v>0</v>
      </c>
      <c r="C82">
        <f>IF(COUNTIFS('United Data'!$A$3:$A$3390,C$1,'United Data'!$C$3:$C$3390,$A82)&gt;0,1,0)</f>
        <v>0</v>
      </c>
      <c r="D82">
        <f>IF(COUNTIFS('United Data'!$A$3:$A$3390,D$1,'United Data'!$C$3:$C$3390,$A82)&gt;0,1,0)</f>
        <v>0</v>
      </c>
      <c r="E82">
        <f>IF(COUNTIFS('United Data'!$A$3:$A$3390,E$1,'United Data'!$C$3:$C$3390,$A82)&gt;0,1,0)</f>
        <v>0</v>
      </c>
      <c r="F82">
        <f>IF(COUNTIFS('United Data'!$A$3:$A$3390,F$1,'United Data'!$C$3:$C$3390,$A82)&gt;0,1,0)</f>
        <v>0</v>
      </c>
      <c r="G82">
        <f>IF(COUNTIFS('United Data'!$A$3:$A$3390,G$1,'United Data'!$C$3:$C$3390,$A82)&gt;0,1,0)</f>
        <v>0</v>
      </c>
      <c r="H82">
        <f>IF(COUNTIFS('United Data'!$A$3:$A$3390,H$1,'United Data'!$C$3:$C$3390,$A82)&gt;0,1,0)</f>
        <v>0</v>
      </c>
      <c r="I82">
        <f>IF(COUNTIFS('United Data'!$A$3:$A$3390,I$1,'United Data'!$C$3:$C$3390,$A82)&gt;0,1,0)</f>
        <v>0</v>
      </c>
      <c r="J82">
        <f>IF(COUNTIFS('United Data'!$A$3:$A$3390,J$1,'United Data'!$C$3:$C$3390,$A82)&gt;0,1,0)</f>
        <v>0</v>
      </c>
      <c r="K82">
        <f>IF(COUNTIFS('United Data'!$A$3:$A$3390,K$1,'United Data'!$C$3:$C$3390,$A82)&gt;0,1,0)</f>
        <v>0</v>
      </c>
      <c r="L82">
        <f>IF(COUNTIFS('United Data'!$A$3:$A$3390,L$1,'United Data'!$C$3:$C$3390,$A82)&gt;0,1,0)</f>
        <v>1</v>
      </c>
      <c r="M82">
        <f>IF(COUNTIFS('United Data'!$A$3:$A$3390,M$1,'United Data'!$C$3:$C$3390,$A82)&gt;0,1,0)</f>
        <v>0</v>
      </c>
      <c r="N82">
        <f>IF(COUNTIFS('United Data'!$A$3:$A$3390,N$1,'United Data'!$C$3:$C$3390,$A82)&gt;0,1,0)</f>
        <v>0</v>
      </c>
      <c r="O82">
        <f>IF(COUNTIFS('United Data'!$A$3:$A$3390,O$1,'United Data'!$C$3:$C$3390,$A82)&gt;0,1,0)</f>
        <v>0</v>
      </c>
      <c r="P82">
        <f>IF(COUNTIFS('United Data'!$A$3:$A$3390,P$1,'United Data'!$C$3:$C$3390,$A82)&gt;0,1,0)</f>
        <v>0</v>
      </c>
      <c r="Q82">
        <f>IF(COUNTIFS('United Data'!$A$3:$A$3390,Q$1,'United Data'!$C$3:$C$3390,$A82)&gt;0,1,0)</f>
        <v>0</v>
      </c>
      <c r="R82">
        <f>IF(COUNTIFS('United Data'!$A$3:$A$3390,R$1,'United Data'!$C$3:$C$3390,$A82)&gt;0,1,0)</f>
        <v>0</v>
      </c>
      <c r="S82">
        <f t="shared" si="2"/>
        <v>1</v>
      </c>
      <c r="T82">
        <f t="shared" si="3"/>
        <v>1</v>
      </c>
    </row>
    <row r="83" spans="1:20" x14ac:dyDescent="0.2">
      <c r="A83" t="s">
        <v>131</v>
      </c>
      <c r="B83">
        <f>IF(COUNTIFS('United Data'!$A$3:$A$3390,B$1,'United Data'!$C$3:$C$3390,$A83)&gt;0,1,0)</f>
        <v>0</v>
      </c>
      <c r="C83">
        <f>IF(COUNTIFS('United Data'!$A$3:$A$3390,C$1,'United Data'!$C$3:$C$3390,$A83)&gt;0,1,0)</f>
        <v>0</v>
      </c>
      <c r="D83">
        <f>IF(COUNTIFS('United Data'!$A$3:$A$3390,D$1,'United Data'!$C$3:$C$3390,$A83)&gt;0,1,0)</f>
        <v>0</v>
      </c>
      <c r="E83">
        <f>IF(COUNTIFS('United Data'!$A$3:$A$3390,E$1,'United Data'!$C$3:$C$3390,$A83)&gt;0,1,0)</f>
        <v>0</v>
      </c>
      <c r="F83">
        <f>IF(COUNTIFS('United Data'!$A$3:$A$3390,F$1,'United Data'!$C$3:$C$3390,$A83)&gt;0,1,0)</f>
        <v>0</v>
      </c>
      <c r="G83">
        <f>IF(COUNTIFS('United Data'!$A$3:$A$3390,G$1,'United Data'!$C$3:$C$3390,$A83)&gt;0,1,0)</f>
        <v>0</v>
      </c>
      <c r="H83">
        <f>IF(COUNTIFS('United Data'!$A$3:$A$3390,H$1,'United Data'!$C$3:$C$3390,$A83)&gt;0,1,0)</f>
        <v>0</v>
      </c>
      <c r="I83">
        <f>IF(COUNTIFS('United Data'!$A$3:$A$3390,I$1,'United Data'!$C$3:$C$3390,$A83)&gt;0,1,0)</f>
        <v>0</v>
      </c>
      <c r="J83">
        <f>IF(COUNTIFS('United Data'!$A$3:$A$3390,J$1,'United Data'!$C$3:$C$3390,$A83)&gt;0,1,0)</f>
        <v>0</v>
      </c>
      <c r="K83">
        <f>IF(COUNTIFS('United Data'!$A$3:$A$3390,K$1,'United Data'!$C$3:$C$3390,$A83)&gt;0,1,0)</f>
        <v>0</v>
      </c>
      <c r="L83">
        <f>IF(COUNTIFS('United Data'!$A$3:$A$3390,L$1,'United Data'!$C$3:$C$3390,$A83)&gt;0,1,0)</f>
        <v>0</v>
      </c>
      <c r="M83">
        <f>IF(COUNTIFS('United Data'!$A$3:$A$3390,M$1,'United Data'!$C$3:$C$3390,$A83)&gt;0,1,0)</f>
        <v>1</v>
      </c>
      <c r="N83">
        <f>IF(COUNTIFS('United Data'!$A$3:$A$3390,N$1,'United Data'!$C$3:$C$3390,$A83)&gt;0,1,0)</f>
        <v>1</v>
      </c>
      <c r="O83">
        <f>IF(COUNTIFS('United Data'!$A$3:$A$3390,O$1,'United Data'!$C$3:$C$3390,$A83)&gt;0,1,0)</f>
        <v>1</v>
      </c>
      <c r="P83">
        <f>IF(COUNTIFS('United Data'!$A$3:$A$3390,P$1,'United Data'!$C$3:$C$3390,$A83)&gt;0,1,0)</f>
        <v>1</v>
      </c>
      <c r="Q83">
        <f>IF(COUNTIFS('United Data'!$A$3:$A$3390,Q$1,'United Data'!$C$3:$C$3390,$A83)&gt;0,1,0)</f>
        <v>1</v>
      </c>
      <c r="R83">
        <f>IF(COUNTIFS('United Data'!$A$3:$A$3390,R$1,'United Data'!$C$3:$C$3390,$A83)&gt;0,1,0)</f>
        <v>0</v>
      </c>
      <c r="S83">
        <f t="shared" si="2"/>
        <v>5</v>
      </c>
      <c r="T83">
        <f t="shared" si="3"/>
        <v>1</v>
      </c>
    </row>
    <row r="84" spans="1:20" x14ac:dyDescent="0.2">
      <c r="A84" t="s">
        <v>132</v>
      </c>
      <c r="B84">
        <f>IF(COUNTIFS('United Data'!$A$3:$A$3390,B$1,'United Data'!$C$3:$C$3390,$A84)&gt;0,1,0)</f>
        <v>0</v>
      </c>
      <c r="C84">
        <f>IF(COUNTIFS('United Data'!$A$3:$A$3390,C$1,'United Data'!$C$3:$C$3390,$A84)&gt;0,1,0)</f>
        <v>0</v>
      </c>
      <c r="D84">
        <f>IF(COUNTIFS('United Data'!$A$3:$A$3390,D$1,'United Data'!$C$3:$C$3390,$A84)&gt;0,1,0)</f>
        <v>0</v>
      </c>
      <c r="E84">
        <f>IF(COUNTIFS('United Data'!$A$3:$A$3390,E$1,'United Data'!$C$3:$C$3390,$A84)&gt;0,1,0)</f>
        <v>0</v>
      </c>
      <c r="F84">
        <f>IF(COUNTIFS('United Data'!$A$3:$A$3390,F$1,'United Data'!$C$3:$C$3390,$A84)&gt;0,1,0)</f>
        <v>0</v>
      </c>
      <c r="G84">
        <f>IF(COUNTIFS('United Data'!$A$3:$A$3390,G$1,'United Data'!$C$3:$C$3390,$A84)&gt;0,1,0)</f>
        <v>0</v>
      </c>
      <c r="H84">
        <f>IF(COUNTIFS('United Data'!$A$3:$A$3390,H$1,'United Data'!$C$3:$C$3390,$A84)&gt;0,1,0)</f>
        <v>0</v>
      </c>
      <c r="I84">
        <f>IF(COUNTIFS('United Data'!$A$3:$A$3390,I$1,'United Data'!$C$3:$C$3390,$A84)&gt;0,1,0)</f>
        <v>0</v>
      </c>
      <c r="J84">
        <f>IF(COUNTIFS('United Data'!$A$3:$A$3390,J$1,'United Data'!$C$3:$C$3390,$A84)&gt;0,1,0)</f>
        <v>0</v>
      </c>
      <c r="K84">
        <f>IF(COUNTIFS('United Data'!$A$3:$A$3390,K$1,'United Data'!$C$3:$C$3390,$A84)&gt;0,1,0)</f>
        <v>0</v>
      </c>
      <c r="L84">
        <f>IF(COUNTIFS('United Data'!$A$3:$A$3390,L$1,'United Data'!$C$3:$C$3390,$A84)&gt;0,1,0)</f>
        <v>0</v>
      </c>
      <c r="M84">
        <f>IF(COUNTIFS('United Data'!$A$3:$A$3390,M$1,'United Data'!$C$3:$C$3390,$A84)&gt;0,1,0)</f>
        <v>0</v>
      </c>
      <c r="N84">
        <f>IF(COUNTIFS('United Data'!$A$3:$A$3390,N$1,'United Data'!$C$3:$C$3390,$A84)&gt;0,1,0)</f>
        <v>1</v>
      </c>
      <c r="O84">
        <f>IF(COUNTIFS('United Data'!$A$3:$A$3390,O$1,'United Data'!$C$3:$C$3390,$A84)&gt;0,1,0)</f>
        <v>0</v>
      </c>
      <c r="P84">
        <f>IF(COUNTIFS('United Data'!$A$3:$A$3390,P$1,'United Data'!$C$3:$C$3390,$A84)&gt;0,1,0)</f>
        <v>0</v>
      </c>
      <c r="Q84">
        <f>IF(COUNTIFS('United Data'!$A$3:$A$3390,Q$1,'United Data'!$C$3:$C$3390,$A84)&gt;0,1,0)</f>
        <v>0</v>
      </c>
      <c r="R84">
        <f>IF(COUNTIFS('United Data'!$A$3:$A$3390,R$1,'United Data'!$C$3:$C$3390,$A84)&gt;0,1,0)</f>
        <v>0</v>
      </c>
      <c r="S84">
        <f t="shared" si="2"/>
        <v>1</v>
      </c>
      <c r="T84">
        <f t="shared" si="3"/>
        <v>1</v>
      </c>
    </row>
    <row r="85" spans="1:20" x14ac:dyDescent="0.2">
      <c r="A85" t="s">
        <v>133</v>
      </c>
      <c r="B85">
        <f>IF(COUNTIFS('United Data'!$A$3:$A$3390,B$1,'United Data'!$C$3:$C$3390,$A85)&gt;0,1,0)</f>
        <v>0</v>
      </c>
      <c r="C85">
        <f>IF(COUNTIFS('United Data'!$A$3:$A$3390,C$1,'United Data'!$C$3:$C$3390,$A85)&gt;0,1,0)</f>
        <v>0</v>
      </c>
      <c r="D85">
        <f>IF(COUNTIFS('United Data'!$A$3:$A$3390,D$1,'United Data'!$C$3:$C$3390,$A85)&gt;0,1,0)</f>
        <v>0</v>
      </c>
      <c r="E85">
        <f>IF(COUNTIFS('United Data'!$A$3:$A$3390,E$1,'United Data'!$C$3:$C$3390,$A85)&gt;0,1,0)</f>
        <v>0</v>
      </c>
      <c r="F85">
        <f>IF(COUNTIFS('United Data'!$A$3:$A$3390,F$1,'United Data'!$C$3:$C$3390,$A85)&gt;0,1,0)</f>
        <v>0</v>
      </c>
      <c r="G85">
        <f>IF(COUNTIFS('United Data'!$A$3:$A$3390,G$1,'United Data'!$C$3:$C$3390,$A85)&gt;0,1,0)</f>
        <v>0</v>
      </c>
      <c r="H85">
        <f>IF(COUNTIFS('United Data'!$A$3:$A$3390,H$1,'United Data'!$C$3:$C$3390,$A85)&gt;0,1,0)</f>
        <v>0</v>
      </c>
      <c r="I85">
        <f>IF(COUNTIFS('United Data'!$A$3:$A$3390,I$1,'United Data'!$C$3:$C$3390,$A85)&gt;0,1,0)</f>
        <v>0</v>
      </c>
      <c r="J85">
        <f>IF(COUNTIFS('United Data'!$A$3:$A$3390,J$1,'United Data'!$C$3:$C$3390,$A85)&gt;0,1,0)</f>
        <v>0</v>
      </c>
      <c r="K85">
        <f>IF(COUNTIFS('United Data'!$A$3:$A$3390,K$1,'United Data'!$C$3:$C$3390,$A85)&gt;0,1,0)</f>
        <v>0</v>
      </c>
      <c r="L85">
        <f>IF(COUNTIFS('United Data'!$A$3:$A$3390,L$1,'United Data'!$C$3:$C$3390,$A85)&gt;0,1,0)</f>
        <v>0</v>
      </c>
      <c r="M85">
        <f>IF(COUNTIFS('United Data'!$A$3:$A$3390,M$1,'United Data'!$C$3:$C$3390,$A85)&gt;0,1,0)</f>
        <v>0</v>
      </c>
      <c r="N85">
        <f>IF(COUNTIFS('United Data'!$A$3:$A$3390,N$1,'United Data'!$C$3:$C$3390,$A85)&gt;0,1,0)</f>
        <v>0</v>
      </c>
      <c r="O85">
        <f>IF(COUNTIFS('United Data'!$A$3:$A$3390,O$1,'United Data'!$C$3:$C$3390,$A85)&gt;0,1,0)</f>
        <v>1</v>
      </c>
      <c r="P85">
        <f>IF(COUNTIFS('United Data'!$A$3:$A$3390,P$1,'United Data'!$C$3:$C$3390,$A85)&gt;0,1,0)</f>
        <v>0</v>
      </c>
      <c r="Q85">
        <f>IF(COUNTIFS('United Data'!$A$3:$A$3390,Q$1,'United Data'!$C$3:$C$3390,$A85)&gt;0,1,0)</f>
        <v>0</v>
      </c>
      <c r="R85">
        <f>IF(COUNTIFS('United Data'!$A$3:$A$3390,R$1,'United Data'!$C$3:$C$3390,$A85)&gt;0,1,0)</f>
        <v>0</v>
      </c>
      <c r="S85">
        <f t="shared" si="2"/>
        <v>1</v>
      </c>
      <c r="T85">
        <f t="shared" si="3"/>
        <v>1</v>
      </c>
    </row>
    <row r="86" spans="1:20" x14ac:dyDescent="0.2">
      <c r="A86" t="s">
        <v>134</v>
      </c>
      <c r="B86">
        <f>IF(COUNTIFS('United Data'!$A$3:$A$3390,B$1,'United Data'!$C$3:$C$3390,$A86)&gt;0,1,0)</f>
        <v>0</v>
      </c>
      <c r="C86">
        <f>IF(COUNTIFS('United Data'!$A$3:$A$3390,C$1,'United Data'!$C$3:$C$3390,$A86)&gt;0,1,0)</f>
        <v>0</v>
      </c>
      <c r="D86">
        <f>IF(COUNTIFS('United Data'!$A$3:$A$3390,D$1,'United Data'!$C$3:$C$3390,$A86)&gt;0,1,0)</f>
        <v>0</v>
      </c>
      <c r="E86">
        <f>IF(COUNTIFS('United Data'!$A$3:$A$3390,E$1,'United Data'!$C$3:$C$3390,$A86)&gt;0,1,0)</f>
        <v>0</v>
      </c>
      <c r="F86">
        <f>IF(COUNTIFS('United Data'!$A$3:$A$3390,F$1,'United Data'!$C$3:$C$3390,$A86)&gt;0,1,0)</f>
        <v>0</v>
      </c>
      <c r="G86">
        <f>IF(COUNTIFS('United Data'!$A$3:$A$3390,G$1,'United Data'!$C$3:$C$3390,$A86)&gt;0,1,0)</f>
        <v>0</v>
      </c>
      <c r="H86">
        <f>IF(COUNTIFS('United Data'!$A$3:$A$3390,H$1,'United Data'!$C$3:$C$3390,$A86)&gt;0,1,0)</f>
        <v>0</v>
      </c>
      <c r="I86">
        <f>IF(COUNTIFS('United Data'!$A$3:$A$3390,I$1,'United Data'!$C$3:$C$3390,$A86)&gt;0,1,0)</f>
        <v>0</v>
      </c>
      <c r="J86">
        <f>IF(COUNTIFS('United Data'!$A$3:$A$3390,J$1,'United Data'!$C$3:$C$3390,$A86)&gt;0,1,0)</f>
        <v>0</v>
      </c>
      <c r="K86">
        <f>IF(COUNTIFS('United Data'!$A$3:$A$3390,K$1,'United Data'!$C$3:$C$3390,$A86)&gt;0,1,0)</f>
        <v>0</v>
      </c>
      <c r="L86">
        <f>IF(COUNTIFS('United Data'!$A$3:$A$3390,L$1,'United Data'!$C$3:$C$3390,$A86)&gt;0,1,0)</f>
        <v>0</v>
      </c>
      <c r="M86">
        <f>IF(COUNTIFS('United Data'!$A$3:$A$3390,M$1,'United Data'!$C$3:$C$3390,$A86)&gt;0,1,0)</f>
        <v>0</v>
      </c>
      <c r="N86">
        <f>IF(COUNTIFS('United Data'!$A$3:$A$3390,N$1,'United Data'!$C$3:$C$3390,$A86)&gt;0,1,0)</f>
        <v>0</v>
      </c>
      <c r="O86">
        <f>IF(COUNTIFS('United Data'!$A$3:$A$3390,O$1,'United Data'!$C$3:$C$3390,$A86)&gt;0,1,0)</f>
        <v>1</v>
      </c>
      <c r="P86">
        <f>IF(COUNTIFS('United Data'!$A$3:$A$3390,P$1,'United Data'!$C$3:$C$3390,$A86)&gt;0,1,0)</f>
        <v>0</v>
      </c>
      <c r="Q86">
        <f>IF(COUNTIFS('United Data'!$A$3:$A$3390,Q$1,'United Data'!$C$3:$C$3390,$A86)&gt;0,1,0)</f>
        <v>0</v>
      </c>
      <c r="R86">
        <f>IF(COUNTIFS('United Data'!$A$3:$A$3390,R$1,'United Data'!$C$3:$C$3390,$A86)&gt;0,1,0)</f>
        <v>0</v>
      </c>
      <c r="S86">
        <f t="shared" si="2"/>
        <v>1</v>
      </c>
      <c r="T86">
        <f t="shared" si="3"/>
        <v>1</v>
      </c>
    </row>
    <row r="87" spans="1:20" x14ac:dyDescent="0.2">
      <c r="A87" t="s">
        <v>135</v>
      </c>
      <c r="B87">
        <f>IF(COUNTIFS('United Data'!$A$3:$A$3390,B$1,'United Data'!$C$3:$C$3390,$A87)&gt;0,1,0)</f>
        <v>0</v>
      </c>
      <c r="C87">
        <f>IF(COUNTIFS('United Data'!$A$3:$A$3390,C$1,'United Data'!$C$3:$C$3390,$A87)&gt;0,1,0)</f>
        <v>0</v>
      </c>
      <c r="D87">
        <f>IF(COUNTIFS('United Data'!$A$3:$A$3390,D$1,'United Data'!$C$3:$C$3390,$A87)&gt;0,1,0)</f>
        <v>0</v>
      </c>
      <c r="E87">
        <f>IF(COUNTIFS('United Data'!$A$3:$A$3390,E$1,'United Data'!$C$3:$C$3390,$A87)&gt;0,1,0)</f>
        <v>0</v>
      </c>
      <c r="F87">
        <f>IF(COUNTIFS('United Data'!$A$3:$A$3390,F$1,'United Data'!$C$3:$C$3390,$A87)&gt;0,1,0)</f>
        <v>0</v>
      </c>
      <c r="G87">
        <f>IF(COUNTIFS('United Data'!$A$3:$A$3390,G$1,'United Data'!$C$3:$C$3390,$A87)&gt;0,1,0)</f>
        <v>0</v>
      </c>
      <c r="H87">
        <f>IF(COUNTIFS('United Data'!$A$3:$A$3390,H$1,'United Data'!$C$3:$C$3390,$A87)&gt;0,1,0)</f>
        <v>0</v>
      </c>
      <c r="I87">
        <f>IF(COUNTIFS('United Data'!$A$3:$A$3390,I$1,'United Data'!$C$3:$C$3390,$A87)&gt;0,1,0)</f>
        <v>0</v>
      </c>
      <c r="J87">
        <f>IF(COUNTIFS('United Data'!$A$3:$A$3390,J$1,'United Data'!$C$3:$C$3390,$A87)&gt;0,1,0)</f>
        <v>0</v>
      </c>
      <c r="K87">
        <f>IF(COUNTIFS('United Data'!$A$3:$A$3390,K$1,'United Data'!$C$3:$C$3390,$A87)&gt;0,1,0)</f>
        <v>0</v>
      </c>
      <c r="L87">
        <f>IF(COUNTIFS('United Data'!$A$3:$A$3390,L$1,'United Data'!$C$3:$C$3390,$A87)&gt;0,1,0)</f>
        <v>0</v>
      </c>
      <c r="M87">
        <f>IF(COUNTIFS('United Data'!$A$3:$A$3390,M$1,'United Data'!$C$3:$C$3390,$A87)&gt;0,1,0)</f>
        <v>0</v>
      </c>
      <c r="N87">
        <f>IF(COUNTIFS('United Data'!$A$3:$A$3390,N$1,'United Data'!$C$3:$C$3390,$A87)&gt;0,1,0)</f>
        <v>0</v>
      </c>
      <c r="O87">
        <f>IF(COUNTIFS('United Data'!$A$3:$A$3390,O$1,'United Data'!$C$3:$C$3390,$A87)&gt;0,1,0)</f>
        <v>1</v>
      </c>
      <c r="P87">
        <f>IF(COUNTIFS('United Data'!$A$3:$A$3390,P$1,'United Data'!$C$3:$C$3390,$A87)&gt;0,1,0)</f>
        <v>0</v>
      </c>
      <c r="Q87">
        <f>IF(COUNTIFS('United Data'!$A$3:$A$3390,Q$1,'United Data'!$C$3:$C$3390,$A87)&gt;0,1,0)</f>
        <v>0</v>
      </c>
      <c r="R87">
        <f>IF(COUNTIFS('United Data'!$A$3:$A$3390,R$1,'United Data'!$C$3:$C$3390,$A87)&gt;0,1,0)</f>
        <v>0</v>
      </c>
      <c r="S87">
        <f t="shared" si="2"/>
        <v>1</v>
      </c>
      <c r="T87">
        <f t="shared" si="3"/>
        <v>1</v>
      </c>
    </row>
    <row r="88" spans="1:20" x14ac:dyDescent="0.2">
      <c r="A88" t="s">
        <v>136</v>
      </c>
      <c r="B88">
        <f>IF(COUNTIFS('United Data'!$A$3:$A$3390,B$1,'United Data'!$C$3:$C$3390,$A88)&gt;0,1,0)</f>
        <v>0</v>
      </c>
      <c r="C88">
        <f>IF(COUNTIFS('United Data'!$A$3:$A$3390,C$1,'United Data'!$C$3:$C$3390,$A88)&gt;0,1,0)</f>
        <v>0</v>
      </c>
      <c r="D88">
        <f>IF(COUNTIFS('United Data'!$A$3:$A$3390,D$1,'United Data'!$C$3:$C$3390,$A88)&gt;0,1,0)</f>
        <v>0</v>
      </c>
      <c r="E88">
        <f>IF(COUNTIFS('United Data'!$A$3:$A$3390,E$1,'United Data'!$C$3:$C$3390,$A88)&gt;0,1,0)</f>
        <v>0</v>
      </c>
      <c r="F88">
        <f>IF(COUNTIFS('United Data'!$A$3:$A$3390,F$1,'United Data'!$C$3:$C$3390,$A88)&gt;0,1,0)</f>
        <v>0</v>
      </c>
      <c r="G88">
        <f>IF(COUNTIFS('United Data'!$A$3:$A$3390,G$1,'United Data'!$C$3:$C$3390,$A88)&gt;0,1,0)</f>
        <v>0</v>
      </c>
      <c r="H88">
        <f>IF(COUNTIFS('United Data'!$A$3:$A$3390,H$1,'United Data'!$C$3:$C$3390,$A88)&gt;0,1,0)</f>
        <v>0</v>
      </c>
      <c r="I88">
        <f>IF(COUNTIFS('United Data'!$A$3:$A$3390,I$1,'United Data'!$C$3:$C$3390,$A88)&gt;0,1,0)</f>
        <v>0</v>
      </c>
      <c r="J88">
        <f>IF(COUNTIFS('United Data'!$A$3:$A$3390,J$1,'United Data'!$C$3:$C$3390,$A88)&gt;0,1,0)</f>
        <v>0</v>
      </c>
      <c r="K88">
        <f>IF(COUNTIFS('United Data'!$A$3:$A$3390,K$1,'United Data'!$C$3:$C$3390,$A88)&gt;0,1,0)</f>
        <v>0</v>
      </c>
      <c r="L88">
        <f>IF(COUNTIFS('United Data'!$A$3:$A$3390,L$1,'United Data'!$C$3:$C$3390,$A88)&gt;0,1,0)</f>
        <v>0</v>
      </c>
      <c r="M88">
        <f>IF(COUNTIFS('United Data'!$A$3:$A$3390,M$1,'United Data'!$C$3:$C$3390,$A88)&gt;0,1,0)</f>
        <v>0</v>
      </c>
      <c r="N88">
        <f>IF(COUNTIFS('United Data'!$A$3:$A$3390,N$1,'United Data'!$C$3:$C$3390,$A88)&gt;0,1,0)</f>
        <v>0</v>
      </c>
      <c r="O88">
        <f>IF(COUNTIFS('United Data'!$A$3:$A$3390,O$1,'United Data'!$C$3:$C$3390,$A88)&gt;0,1,0)</f>
        <v>0</v>
      </c>
      <c r="P88">
        <f>IF(COUNTIFS('United Data'!$A$3:$A$3390,P$1,'United Data'!$C$3:$C$3390,$A88)&gt;0,1,0)</f>
        <v>1</v>
      </c>
      <c r="Q88">
        <f>IF(COUNTIFS('United Data'!$A$3:$A$3390,Q$1,'United Data'!$C$3:$C$3390,$A88)&gt;0,1,0)</f>
        <v>1</v>
      </c>
      <c r="R88">
        <f>IF(COUNTIFS('United Data'!$A$3:$A$3390,R$1,'United Data'!$C$3:$C$3390,$A88)&gt;0,1,0)</f>
        <v>0</v>
      </c>
      <c r="S88">
        <f t="shared" si="2"/>
        <v>2</v>
      </c>
      <c r="T88">
        <f t="shared" si="3"/>
        <v>1</v>
      </c>
    </row>
    <row r="89" spans="1:20" x14ac:dyDescent="0.2">
      <c r="A89" t="s">
        <v>137</v>
      </c>
      <c r="B89">
        <f>IF(COUNTIFS('United Data'!$A$3:$A$3390,B$1,'United Data'!$C$3:$C$3390,$A89)&gt;0,1,0)</f>
        <v>0</v>
      </c>
      <c r="C89">
        <f>IF(COUNTIFS('United Data'!$A$3:$A$3390,C$1,'United Data'!$C$3:$C$3390,$A89)&gt;0,1,0)</f>
        <v>0</v>
      </c>
      <c r="D89">
        <f>IF(COUNTIFS('United Data'!$A$3:$A$3390,D$1,'United Data'!$C$3:$C$3390,$A89)&gt;0,1,0)</f>
        <v>0</v>
      </c>
      <c r="E89">
        <f>IF(COUNTIFS('United Data'!$A$3:$A$3390,E$1,'United Data'!$C$3:$C$3390,$A89)&gt;0,1,0)</f>
        <v>0</v>
      </c>
      <c r="F89">
        <f>IF(COUNTIFS('United Data'!$A$3:$A$3390,F$1,'United Data'!$C$3:$C$3390,$A89)&gt;0,1,0)</f>
        <v>0</v>
      </c>
      <c r="G89">
        <f>IF(COUNTIFS('United Data'!$A$3:$A$3390,G$1,'United Data'!$C$3:$C$3390,$A89)&gt;0,1,0)</f>
        <v>0</v>
      </c>
      <c r="H89">
        <f>IF(COUNTIFS('United Data'!$A$3:$A$3390,H$1,'United Data'!$C$3:$C$3390,$A89)&gt;0,1,0)</f>
        <v>0</v>
      </c>
      <c r="I89">
        <f>IF(COUNTIFS('United Data'!$A$3:$A$3390,I$1,'United Data'!$C$3:$C$3390,$A89)&gt;0,1,0)</f>
        <v>0</v>
      </c>
      <c r="J89">
        <f>IF(COUNTIFS('United Data'!$A$3:$A$3390,J$1,'United Data'!$C$3:$C$3390,$A89)&gt;0,1,0)</f>
        <v>0</v>
      </c>
      <c r="K89">
        <f>IF(COUNTIFS('United Data'!$A$3:$A$3390,K$1,'United Data'!$C$3:$C$3390,$A89)&gt;0,1,0)</f>
        <v>0</v>
      </c>
      <c r="L89">
        <f>IF(COUNTIFS('United Data'!$A$3:$A$3390,L$1,'United Data'!$C$3:$C$3390,$A89)&gt;0,1,0)</f>
        <v>0</v>
      </c>
      <c r="M89">
        <f>IF(COUNTIFS('United Data'!$A$3:$A$3390,M$1,'United Data'!$C$3:$C$3390,$A89)&gt;0,1,0)</f>
        <v>0</v>
      </c>
      <c r="N89">
        <f>IF(COUNTIFS('United Data'!$A$3:$A$3390,N$1,'United Data'!$C$3:$C$3390,$A89)&gt;0,1,0)</f>
        <v>0</v>
      </c>
      <c r="O89">
        <f>IF(COUNTIFS('United Data'!$A$3:$A$3390,O$1,'United Data'!$C$3:$C$3390,$A89)&gt;0,1,0)</f>
        <v>0</v>
      </c>
      <c r="P89">
        <f>IF(COUNTIFS('United Data'!$A$3:$A$3390,P$1,'United Data'!$C$3:$C$3390,$A89)&gt;0,1,0)</f>
        <v>0</v>
      </c>
      <c r="Q89">
        <f>IF(COUNTIFS('United Data'!$A$3:$A$3390,Q$1,'United Data'!$C$3:$C$3390,$A89)&gt;0,1,0)</f>
        <v>1</v>
      </c>
      <c r="R89">
        <f>IF(COUNTIFS('United Data'!$A$3:$A$3390,R$1,'United Data'!$C$3:$C$3390,$A89)&gt;0,1,0)</f>
        <v>0</v>
      </c>
      <c r="S89">
        <f t="shared" si="2"/>
        <v>1</v>
      </c>
      <c r="T89">
        <f t="shared" si="3"/>
        <v>1</v>
      </c>
    </row>
    <row r="90" spans="1:20" x14ac:dyDescent="0.2">
      <c r="A90" t="s">
        <v>138</v>
      </c>
      <c r="B90">
        <f>IF(COUNTIFS('United Data'!$A$3:$A$3390,B$1,'United Data'!$C$3:$C$3390,$A90)&gt;0,1,0)</f>
        <v>0</v>
      </c>
      <c r="C90">
        <f>IF(COUNTIFS('United Data'!$A$3:$A$3390,C$1,'United Data'!$C$3:$C$3390,$A90)&gt;0,1,0)</f>
        <v>0</v>
      </c>
      <c r="D90">
        <f>IF(COUNTIFS('United Data'!$A$3:$A$3390,D$1,'United Data'!$C$3:$C$3390,$A90)&gt;0,1,0)</f>
        <v>0</v>
      </c>
      <c r="E90">
        <f>IF(COUNTIFS('United Data'!$A$3:$A$3390,E$1,'United Data'!$C$3:$C$3390,$A90)&gt;0,1,0)</f>
        <v>0</v>
      </c>
      <c r="F90">
        <f>IF(COUNTIFS('United Data'!$A$3:$A$3390,F$1,'United Data'!$C$3:$C$3390,$A90)&gt;0,1,0)</f>
        <v>0</v>
      </c>
      <c r="G90">
        <f>IF(COUNTIFS('United Data'!$A$3:$A$3390,G$1,'United Data'!$C$3:$C$3390,$A90)&gt;0,1,0)</f>
        <v>0</v>
      </c>
      <c r="H90">
        <f>IF(COUNTIFS('United Data'!$A$3:$A$3390,H$1,'United Data'!$C$3:$C$3390,$A90)&gt;0,1,0)</f>
        <v>0</v>
      </c>
      <c r="I90">
        <f>IF(COUNTIFS('United Data'!$A$3:$A$3390,I$1,'United Data'!$C$3:$C$3390,$A90)&gt;0,1,0)</f>
        <v>0</v>
      </c>
      <c r="J90">
        <f>IF(COUNTIFS('United Data'!$A$3:$A$3390,J$1,'United Data'!$C$3:$C$3390,$A90)&gt;0,1,0)</f>
        <v>0</v>
      </c>
      <c r="K90">
        <f>IF(COUNTIFS('United Data'!$A$3:$A$3390,K$1,'United Data'!$C$3:$C$3390,$A90)&gt;0,1,0)</f>
        <v>0</v>
      </c>
      <c r="L90">
        <f>IF(COUNTIFS('United Data'!$A$3:$A$3390,L$1,'United Data'!$C$3:$C$3390,$A90)&gt;0,1,0)</f>
        <v>0</v>
      </c>
      <c r="M90">
        <f>IF(COUNTIFS('United Data'!$A$3:$A$3390,M$1,'United Data'!$C$3:$C$3390,$A90)&gt;0,1,0)</f>
        <v>0</v>
      </c>
      <c r="N90">
        <f>IF(COUNTIFS('United Data'!$A$3:$A$3390,N$1,'United Data'!$C$3:$C$3390,$A90)&gt;0,1,0)</f>
        <v>0</v>
      </c>
      <c r="O90">
        <f>IF(COUNTIFS('United Data'!$A$3:$A$3390,O$1,'United Data'!$C$3:$C$3390,$A90)&gt;0,1,0)</f>
        <v>0</v>
      </c>
      <c r="P90">
        <f>IF(COUNTIFS('United Data'!$A$3:$A$3390,P$1,'United Data'!$C$3:$C$3390,$A90)&gt;0,1,0)</f>
        <v>0</v>
      </c>
      <c r="Q90">
        <f>IF(COUNTIFS('United Data'!$A$3:$A$3390,Q$1,'United Data'!$C$3:$C$3390,$A90)&gt;0,1,0)</f>
        <v>1</v>
      </c>
      <c r="R90">
        <f>IF(COUNTIFS('United Data'!$A$3:$A$3390,R$1,'United Data'!$C$3:$C$3390,$A90)&gt;0,1,0)</f>
        <v>0</v>
      </c>
      <c r="S90">
        <f t="shared" si="2"/>
        <v>1</v>
      </c>
      <c r="T90">
        <f t="shared" si="3"/>
        <v>1</v>
      </c>
    </row>
    <row r="91" spans="1:20" x14ac:dyDescent="0.2">
      <c r="A91" t="s">
        <v>139</v>
      </c>
      <c r="B91">
        <f>IF(COUNTIFS('United Data'!$A$3:$A$3390,B$1,'United Data'!$C$3:$C$3390,$A91)&gt;0,1,0)</f>
        <v>0</v>
      </c>
      <c r="C91">
        <f>IF(COUNTIFS('United Data'!$A$3:$A$3390,C$1,'United Data'!$C$3:$C$3390,$A91)&gt;0,1,0)</f>
        <v>0</v>
      </c>
      <c r="D91">
        <f>IF(COUNTIFS('United Data'!$A$3:$A$3390,D$1,'United Data'!$C$3:$C$3390,$A91)&gt;0,1,0)</f>
        <v>0</v>
      </c>
      <c r="E91">
        <f>IF(COUNTIFS('United Data'!$A$3:$A$3390,E$1,'United Data'!$C$3:$C$3390,$A91)&gt;0,1,0)</f>
        <v>0</v>
      </c>
      <c r="F91">
        <f>IF(COUNTIFS('United Data'!$A$3:$A$3390,F$1,'United Data'!$C$3:$C$3390,$A91)&gt;0,1,0)</f>
        <v>0</v>
      </c>
      <c r="G91">
        <f>IF(COUNTIFS('United Data'!$A$3:$A$3390,G$1,'United Data'!$C$3:$C$3390,$A91)&gt;0,1,0)</f>
        <v>0</v>
      </c>
      <c r="H91">
        <f>IF(COUNTIFS('United Data'!$A$3:$A$3390,H$1,'United Data'!$C$3:$C$3390,$A91)&gt;0,1,0)</f>
        <v>0</v>
      </c>
      <c r="I91">
        <f>IF(COUNTIFS('United Data'!$A$3:$A$3390,I$1,'United Data'!$C$3:$C$3390,$A91)&gt;0,1,0)</f>
        <v>0</v>
      </c>
      <c r="J91">
        <f>IF(COUNTIFS('United Data'!$A$3:$A$3390,J$1,'United Data'!$C$3:$C$3390,$A91)&gt;0,1,0)</f>
        <v>0</v>
      </c>
      <c r="K91">
        <f>IF(COUNTIFS('United Data'!$A$3:$A$3390,K$1,'United Data'!$C$3:$C$3390,$A91)&gt;0,1,0)</f>
        <v>0</v>
      </c>
      <c r="L91">
        <f>IF(COUNTIFS('United Data'!$A$3:$A$3390,L$1,'United Data'!$C$3:$C$3390,$A91)&gt;0,1,0)</f>
        <v>0</v>
      </c>
      <c r="M91">
        <f>IF(COUNTIFS('United Data'!$A$3:$A$3390,M$1,'United Data'!$C$3:$C$3390,$A91)&gt;0,1,0)</f>
        <v>0</v>
      </c>
      <c r="N91">
        <f>IF(COUNTIFS('United Data'!$A$3:$A$3390,N$1,'United Data'!$C$3:$C$3390,$A91)&gt;0,1,0)</f>
        <v>0</v>
      </c>
      <c r="O91">
        <f>IF(COUNTIFS('United Data'!$A$3:$A$3390,O$1,'United Data'!$C$3:$C$3390,$A91)&gt;0,1,0)</f>
        <v>0</v>
      </c>
      <c r="P91">
        <f>IF(COUNTIFS('United Data'!$A$3:$A$3390,P$1,'United Data'!$C$3:$C$3390,$A91)&gt;0,1,0)</f>
        <v>0</v>
      </c>
      <c r="Q91">
        <f>IF(COUNTIFS('United Data'!$A$3:$A$3390,Q$1,'United Data'!$C$3:$C$3390,$A91)&gt;0,1,0)</f>
        <v>0</v>
      </c>
      <c r="R91">
        <f>IF(COUNTIFS('United Data'!$A$3:$A$3390,R$1,'United Data'!$C$3:$C$3390,$A91)&gt;0,1,0)</f>
        <v>1</v>
      </c>
      <c r="S91">
        <f t="shared" si="2"/>
        <v>1</v>
      </c>
      <c r="T91">
        <f t="shared" si="3"/>
        <v>1</v>
      </c>
    </row>
    <row r="92" spans="1:20" x14ac:dyDescent="0.2">
      <c r="A92" t="s">
        <v>140</v>
      </c>
      <c r="B92">
        <f>IF(COUNTIFS('United Data'!$A$3:$A$3390,B$1,'United Data'!$C$3:$C$3390,$A92)&gt;0,1,0)</f>
        <v>1</v>
      </c>
      <c r="C92">
        <f>IF(COUNTIFS('United Data'!$A$3:$A$3390,C$1,'United Data'!$C$3:$C$3390,$A92)&gt;0,1,0)</f>
        <v>0</v>
      </c>
      <c r="D92">
        <f>IF(COUNTIFS('United Data'!$A$3:$A$3390,D$1,'United Data'!$C$3:$C$3390,$A92)&gt;0,1,0)</f>
        <v>0</v>
      </c>
      <c r="E92">
        <f>IF(COUNTIFS('United Data'!$A$3:$A$3390,E$1,'United Data'!$C$3:$C$3390,$A92)&gt;0,1,0)</f>
        <v>0</v>
      </c>
      <c r="F92">
        <f>IF(COUNTIFS('United Data'!$A$3:$A$3390,F$1,'United Data'!$C$3:$C$3390,$A92)&gt;0,1,0)</f>
        <v>0</v>
      </c>
      <c r="G92">
        <f>IF(COUNTIFS('United Data'!$A$3:$A$3390,G$1,'United Data'!$C$3:$C$3390,$A92)&gt;0,1,0)</f>
        <v>0</v>
      </c>
      <c r="H92">
        <f>IF(COUNTIFS('United Data'!$A$3:$A$3390,H$1,'United Data'!$C$3:$C$3390,$A92)&gt;0,1,0)</f>
        <v>1</v>
      </c>
      <c r="I92">
        <f>IF(COUNTIFS('United Data'!$A$3:$A$3390,I$1,'United Data'!$C$3:$C$3390,$A92)&gt;0,1,0)</f>
        <v>0</v>
      </c>
      <c r="J92">
        <f>IF(COUNTIFS('United Data'!$A$3:$A$3390,J$1,'United Data'!$C$3:$C$3390,$A92)&gt;0,1,0)</f>
        <v>0</v>
      </c>
      <c r="K92">
        <f>IF(COUNTIFS('United Data'!$A$3:$A$3390,K$1,'United Data'!$C$3:$C$3390,$A92)&gt;0,1,0)</f>
        <v>0</v>
      </c>
      <c r="L92">
        <f>IF(COUNTIFS('United Data'!$A$3:$A$3390,L$1,'United Data'!$C$3:$C$3390,$A92)&gt;0,1,0)</f>
        <v>0</v>
      </c>
      <c r="M92">
        <f>IF(COUNTIFS('United Data'!$A$3:$A$3390,M$1,'United Data'!$C$3:$C$3390,$A92)&gt;0,1,0)</f>
        <v>0</v>
      </c>
      <c r="N92">
        <f>IF(COUNTIFS('United Data'!$A$3:$A$3390,N$1,'United Data'!$C$3:$C$3390,$A92)&gt;0,1,0)</f>
        <v>0</v>
      </c>
      <c r="O92">
        <f>IF(COUNTIFS('United Data'!$A$3:$A$3390,O$1,'United Data'!$C$3:$C$3390,$A92)&gt;0,1,0)</f>
        <v>0</v>
      </c>
      <c r="P92">
        <f>IF(COUNTIFS('United Data'!$A$3:$A$3390,P$1,'United Data'!$C$3:$C$3390,$A92)&gt;0,1,0)</f>
        <v>0</v>
      </c>
      <c r="Q92">
        <f>IF(COUNTIFS('United Data'!$A$3:$A$3390,Q$1,'United Data'!$C$3:$C$3390,$A92)&gt;0,1,0)</f>
        <v>0</v>
      </c>
      <c r="R92">
        <f>IF(COUNTIFS('United Data'!$A$3:$A$3390,R$1,'United Data'!$C$3:$C$3390,$A92)&gt;0,1,0)</f>
        <v>0</v>
      </c>
      <c r="S92">
        <f t="shared" si="2"/>
        <v>2</v>
      </c>
      <c r="T92">
        <f t="shared" si="3"/>
        <v>2</v>
      </c>
    </row>
    <row r="93" spans="1:20" x14ac:dyDescent="0.2">
      <c r="A93" t="s">
        <v>141</v>
      </c>
      <c r="B93">
        <f>IF(COUNTIFS('United Data'!$A$3:$A$3390,B$1,'United Data'!$C$3:$C$3390,$A93)&gt;0,1,0)</f>
        <v>1</v>
      </c>
      <c r="C93">
        <f>IF(COUNTIFS('United Data'!$A$3:$A$3390,C$1,'United Data'!$C$3:$C$3390,$A93)&gt;0,1,0)</f>
        <v>0</v>
      </c>
      <c r="D93">
        <f>IF(COUNTIFS('United Data'!$A$3:$A$3390,D$1,'United Data'!$C$3:$C$3390,$A93)&gt;0,1,0)</f>
        <v>0</v>
      </c>
      <c r="E93">
        <f>IF(COUNTIFS('United Data'!$A$3:$A$3390,E$1,'United Data'!$C$3:$C$3390,$A93)&gt;0,1,0)</f>
        <v>0</v>
      </c>
      <c r="F93">
        <f>IF(COUNTIFS('United Data'!$A$3:$A$3390,F$1,'United Data'!$C$3:$C$3390,$A93)&gt;0,1,0)</f>
        <v>0</v>
      </c>
      <c r="G93">
        <f>IF(COUNTIFS('United Data'!$A$3:$A$3390,G$1,'United Data'!$C$3:$C$3390,$A93)&gt;0,1,0)</f>
        <v>0</v>
      </c>
      <c r="H93">
        <f>IF(COUNTIFS('United Data'!$A$3:$A$3390,H$1,'United Data'!$C$3:$C$3390,$A93)&gt;0,1,0)</f>
        <v>0</v>
      </c>
      <c r="I93">
        <f>IF(COUNTIFS('United Data'!$A$3:$A$3390,I$1,'United Data'!$C$3:$C$3390,$A93)&gt;0,1,0)</f>
        <v>0</v>
      </c>
      <c r="J93">
        <f>IF(COUNTIFS('United Data'!$A$3:$A$3390,J$1,'United Data'!$C$3:$C$3390,$A93)&gt;0,1,0)</f>
        <v>1</v>
      </c>
      <c r="K93">
        <f>IF(COUNTIFS('United Data'!$A$3:$A$3390,K$1,'United Data'!$C$3:$C$3390,$A93)&gt;0,1,0)</f>
        <v>0</v>
      </c>
      <c r="L93">
        <f>IF(COUNTIFS('United Data'!$A$3:$A$3390,L$1,'United Data'!$C$3:$C$3390,$A93)&gt;0,1,0)</f>
        <v>0</v>
      </c>
      <c r="M93">
        <f>IF(COUNTIFS('United Data'!$A$3:$A$3390,M$1,'United Data'!$C$3:$C$3390,$A93)&gt;0,1,0)</f>
        <v>0</v>
      </c>
      <c r="N93">
        <f>IF(COUNTIFS('United Data'!$A$3:$A$3390,N$1,'United Data'!$C$3:$C$3390,$A93)&gt;0,1,0)</f>
        <v>0</v>
      </c>
      <c r="O93">
        <f>IF(COUNTIFS('United Data'!$A$3:$A$3390,O$1,'United Data'!$C$3:$C$3390,$A93)&gt;0,1,0)</f>
        <v>0</v>
      </c>
      <c r="P93">
        <f>IF(COUNTIFS('United Data'!$A$3:$A$3390,P$1,'United Data'!$C$3:$C$3390,$A93)&gt;0,1,0)</f>
        <v>0</v>
      </c>
      <c r="Q93">
        <f>IF(COUNTIFS('United Data'!$A$3:$A$3390,Q$1,'United Data'!$C$3:$C$3390,$A93)&gt;0,1,0)</f>
        <v>0</v>
      </c>
      <c r="R93">
        <f>IF(COUNTIFS('United Data'!$A$3:$A$3390,R$1,'United Data'!$C$3:$C$3390,$A93)&gt;0,1,0)</f>
        <v>0</v>
      </c>
      <c r="S93">
        <f t="shared" si="2"/>
        <v>2</v>
      </c>
      <c r="T93">
        <f t="shared" si="3"/>
        <v>2</v>
      </c>
    </row>
    <row r="94" spans="1:20" x14ac:dyDescent="0.2">
      <c r="A94" t="s">
        <v>142</v>
      </c>
      <c r="B94">
        <f>IF(COUNTIFS('United Data'!$A$3:$A$3390,B$1,'United Data'!$C$3:$C$3390,$A94)&gt;0,1,0)</f>
        <v>0</v>
      </c>
      <c r="C94">
        <f>IF(COUNTIFS('United Data'!$A$3:$A$3390,C$1,'United Data'!$C$3:$C$3390,$A94)&gt;0,1,0)</f>
        <v>1</v>
      </c>
      <c r="D94">
        <f>IF(COUNTIFS('United Data'!$A$3:$A$3390,D$1,'United Data'!$C$3:$C$3390,$A94)&gt;0,1,0)</f>
        <v>0</v>
      </c>
      <c r="E94">
        <f>IF(COUNTIFS('United Data'!$A$3:$A$3390,E$1,'United Data'!$C$3:$C$3390,$A94)&gt;0,1,0)</f>
        <v>0</v>
      </c>
      <c r="F94">
        <f>IF(COUNTIFS('United Data'!$A$3:$A$3390,F$1,'United Data'!$C$3:$C$3390,$A94)&gt;0,1,0)</f>
        <v>0</v>
      </c>
      <c r="G94">
        <f>IF(COUNTIFS('United Data'!$A$3:$A$3390,G$1,'United Data'!$C$3:$C$3390,$A94)&gt;0,1,0)</f>
        <v>0</v>
      </c>
      <c r="H94">
        <f>IF(COUNTIFS('United Data'!$A$3:$A$3390,H$1,'United Data'!$C$3:$C$3390,$A94)&gt;0,1,0)</f>
        <v>0</v>
      </c>
      <c r="I94">
        <f>IF(COUNTIFS('United Data'!$A$3:$A$3390,I$1,'United Data'!$C$3:$C$3390,$A94)&gt;0,1,0)</f>
        <v>0</v>
      </c>
      <c r="J94">
        <f>IF(COUNTIFS('United Data'!$A$3:$A$3390,J$1,'United Data'!$C$3:$C$3390,$A94)&gt;0,1,0)</f>
        <v>0</v>
      </c>
      <c r="K94">
        <f>IF(COUNTIFS('United Data'!$A$3:$A$3390,K$1,'United Data'!$C$3:$C$3390,$A94)&gt;0,1,0)</f>
        <v>0</v>
      </c>
      <c r="L94">
        <f>IF(COUNTIFS('United Data'!$A$3:$A$3390,L$1,'United Data'!$C$3:$C$3390,$A94)&gt;0,1,0)</f>
        <v>0</v>
      </c>
      <c r="M94">
        <f>IF(COUNTIFS('United Data'!$A$3:$A$3390,M$1,'United Data'!$C$3:$C$3390,$A94)&gt;0,1,0)</f>
        <v>0</v>
      </c>
      <c r="N94">
        <f>IF(COUNTIFS('United Data'!$A$3:$A$3390,N$1,'United Data'!$C$3:$C$3390,$A94)&gt;0,1,0)</f>
        <v>1</v>
      </c>
      <c r="O94">
        <f>IF(COUNTIFS('United Data'!$A$3:$A$3390,O$1,'United Data'!$C$3:$C$3390,$A94)&gt;0,1,0)</f>
        <v>1</v>
      </c>
      <c r="P94">
        <f>IF(COUNTIFS('United Data'!$A$3:$A$3390,P$1,'United Data'!$C$3:$C$3390,$A94)&gt;0,1,0)</f>
        <v>0</v>
      </c>
      <c r="Q94">
        <f>IF(COUNTIFS('United Data'!$A$3:$A$3390,Q$1,'United Data'!$C$3:$C$3390,$A94)&gt;0,1,0)</f>
        <v>0</v>
      </c>
      <c r="R94">
        <f>IF(COUNTIFS('United Data'!$A$3:$A$3390,R$1,'United Data'!$C$3:$C$3390,$A94)&gt;0,1,0)</f>
        <v>0</v>
      </c>
      <c r="S94">
        <f t="shared" si="2"/>
        <v>3</v>
      </c>
      <c r="T94">
        <f t="shared" si="3"/>
        <v>2</v>
      </c>
    </row>
    <row r="95" spans="1:20" x14ac:dyDescent="0.2">
      <c r="A95" t="s">
        <v>143</v>
      </c>
      <c r="B95">
        <f>IF(COUNTIFS('United Data'!$A$3:$A$3390,B$1,'United Data'!$C$3:$C$3390,$A95)&gt;0,1,0)</f>
        <v>0</v>
      </c>
      <c r="C95">
        <f>IF(COUNTIFS('United Data'!$A$3:$A$3390,C$1,'United Data'!$C$3:$C$3390,$A95)&gt;0,1,0)</f>
        <v>1</v>
      </c>
      <c r="D95">
        <f>IF(COUNTIFS('United Data'!$A$3:$A$3390,D$1,'United Data'!$C$3:$C$3390,$A95)&gt;0,1,0)</f>
        <v>0</v>
      </c>
      <c r="E95">
        <f>IF(COUNTIFS('United Data'!$A$3:$A$3390,E$1,'United Data'!$C$3:$C$3390,$A95)&gt;0,1,0)</f>
        <v>0</v>
      </c>
      <c r="F95">
        <f>IF(COUNTIFS('United Data'!$A$3:$A$3390,F$1,'United Data'!$C$3:$C$3390,$A95)&gt;0,1,0)</f>
        <v>0</v>
      </c>
      <c r="G95">
        <f>IF(COUNTIFS('United Data'!$A$3:$A$3390,G$1,'United Data'!$C$3:$C$3390,$A95)&gt;0,1,0)</f>
        <v>0</v>
      </c>
      <c r="H95">
        <f>IF(COUNTIFS('United Data'!$A$3:$A$3390,H$1,'United Data'!$C$3:$C$3390,$A95)&gt;0,1,0)</f>
        <v>0</v>
      </c>
      <c r="I95">
        <f>IF(COUNTIFS('United Data'!$A$3:$A$3390,I$1,'United Data'!$C$3:$C$3390,$A95)&gt;0,1,0)</f>
        <v>0</v>
      </c>
      <c r="J95">
        <f>IF(COUNTIFS('United Data'!$A$3:$A$3390,J$1,'United Data'!$C$3:$C$3390,$A95)&gt;0,1,0)</f>
        <v>0</v>
      </c>
      <c r="K95">
        <f>IF(COUNTIFS('United Data'!$A$3:$A$3390,K$1,'United Data'!$C$3:$C$3390,$A95)&gt;0,1,0)</f>
        <v>0</v>
      </c>
      <c r="L95">
        <f>IF(COUNTIFS('United Data'!$A$3:$A$3390,L$1,'United Data'!$C$3:$C$3390,$A95)&gt;0,1,0)</f>
        <v>0</v>
      </c>
      <c r="M95">
        <f>IF(COUNTIFS('United Data'!$A$3:$A$3390,M$1,'United Data'!$C$3:$C$3390,$A95)&gt;0,1,0)</f>
        <v>0</v>
      </c>
      <c r="N95">
        <f>IF(COUNTIFS('United Data'!$A$3:$A$3390,N$1,'United Data'!$C$3:$C$3390,$A95)&gt;0,1,0)</f>
        <v>0</v>
      </c>
      <c r="O95">
        <f>IF(COUNTIFS('United Data'!$A$3:$A$3390,O$1,'United Data'!$C$3:$C$3390,$A95)&gt;0,1,0)</f>
        <v>0</v>
      </c>
      <c r="P95">
        <f>IF(COUNTIFS('United Data'!$A$3:$A$3390,P$1,'United Data'!$C$3:$C$3390,$A95)&gt;0,1,0)</f>
        <v>0</v>
      </c>
      <c r="Q95">
        <f>IF(COUNTIFS('United Data'!$A$3:$A$3390,Q$1,'United Data'!$C$3:$C$3390,$A95)&gt;0,1,0)</f>
        <v>0</v>
      </c>
      <c r="R95">
        <f>IF(COUNTIFS('United Data'!$A$3:$A$3390,R$1,'United Data'!$C$3:$C$3390,$A95)&gt;0,1,0)</f>
        <v>0</v>
      </c>
      <c r="S95">
        <f t="shared" si="2"/>
        <v>1</v>
      </c>
      <c r="T95">
        <f t="shared" si="3"/>
        <v>1</v>
      </c>
    </row>
    <row r="96" spans="1:20" x14ac:dyDescent="0.2">
      <c r="A96" t="s">
        <v>144</v>
      </c>
      <c r="B96">
        <f>IF(COUNTIFS('United Data'!$A$3:$A$3390,B$1,'United Data'!$C$3:$C$3390,$A96)&gt;0,1,0)</f>
        <v>0</v>
      </c>
      <c r="C96">
        <f>IF(COUNTIFS('United Data'!$A$3:$A$3390,C$1,'United Data'!$C$3:$C$3390,$A96)&gt;0,1,0)</f>
        <v>1</v>
      </c>
      <c r="D96">
        <f>IF(COUNTIFS('United Data'!$A$3:$A$3390,D$1,'United Data'!$C$3:$C$3390,$A96)&gt;0,1,0)</f>
        <v>1</v>
      </c>
      <c r="E96">
        <f>IF(COUNTIFS('United Data'!$A$3:$A$3390,E$1,'United Data'!$C$3:$C$3390,$A96)&gt;0,1,0)</f>
        <v>0</v>
      </c>
      <c r="F96">
        <f>IF(COUNTIFS('United Data'!$A$3:$A$3390,F$1,'United Data'!$C$3:$C$3390,$A96)&gt;0,1,0)</f>
        <v>1</v>
      </c>
      <c r="G96">
        <f>IF(COUNTIFS('United Data'!$A$3:$A$3390,G$1,'United Data'!$C$3:$C$3390,$A96)&gt;0,1,0)</f>
        <v>0</v>
      </c>
      <c r="H96">
        <f>IF(COUNTIFS('United Data'!$A$3:$A$3390,H$1,'United Data'!$C$3:$C$3390,$A96)&gt;0,1,0)</f>
        <v>0</v>
      </c>
      <c r="I96">
        <f>IF(COUNTIFS('United Data'!$A$3:$A$3390,I$1,'United Data'!$C$3:$C$3390,$A96)&gt;0,1,0)</f>
        <v>0</v>
      </c>
      <c r="J96">
        <f>IF(COUNTIFS('United Data'!$A$3:$A$3390,J$1,'United Data'!$C$3:$C$3390,$A96)&gt;0,1,0)</f>
        <v>0</v>
      </c>
      <c r="K96">
        <f>IF(COUNTIFS('United Data'!$A$3:$A$3390,K$1,'United Data'!$C$3:$C$3390,$A96)&gt;0,1,0)</f>
        <v>0</v>
      </c>
      <c r="L96">
        <f>IF(COUNTIFS('United Data'!$A$3:$A$3390,L$1,'United Data'!$C$3:$C$3390,$A96)&gt;0,1,0)</f>
        <v>0</v>
      </c>
      <c r="M96">
        <f>IF(COUNTIFS('United Data'!$A$3:$A$3390,M$1,'United Data'!$C$3:$C$3390,$A96)&gt;0,1,0)</f>
        <v>0</v>
      </c>
      <c r="N96">
        <f>IF(COUNTIFS('United Data'!$A$3:$A$3390,N$1,'United Data'!$C$3:$C$3390,$A96)&gt;0,1,0)</f>
        <v>0</v>
      </c>
      <c r="O96">
        <f>IF(COUNTIFS('United Data'!$A$3:$A$3390,O$1,'United Data'!$C$3:$C$3390,$A96)&gt;0,1,0)</f>
        <v>0</v>
      </c>
      <c r="P96">
        <f>IF(COUNTIFS('United Data'!$A$3:$A$3390,P$1,'United Data'!$C$3:$C$3390,$A96)&gt;0,1,0)</f>
        <v>0</v>
      </c>
      <c r="Q96">
        <f>IF(COUNTIFS('United Data'!$A$3:$A$3390,Q$1,'United Data'!$C$3:$C$3390,$A96)&gt;0,1,0)</f>
        <v>0</v>
      </c>
      <c r="R96">
        <f>IF(COUNTIFS('United Data'!$A$3:$A$3390,R$1,'United Data'!$C$3:$C$3390,$A96)&gt;0,1,0)</f>
        <v>0</v>
      </c>
      <c r="S96">
        <f t="shared" si="2"/>
        <v>3</v>
      </c>
      <c r="T96">
        <f t="shared" si="3"/>
        <v>2</v>
      </c>
    </row>
    <row r="97" spans="1:20" x14ac:dyDescent="0.2">
      <c r="A97" t="s">
        <v>145</v>
      </c>
      <c r="B97">
        <f>IF(COUNTIFS('United Data'!$A$3:$A$3390,B$1,'United Data'!$C$3:$C$3390,$A97)&gt;0,1,0)</f>
        <v>0</v>
      </c>
      <c r="C97">
        <f>IF(COUNTIFS('United Data'!$A$3:$A$3390,C$1,'United Data'!$C$3:$C$3390,$A97)&gt;0,1,0)</f>
        <v>1</v>
      </c>
      <c r="D97">
        <f>IF(COUNTIFS('United Data'!$A$3:$A$3390,D$1,'United Data'!$C$3:$C$3390,$A97)&gt;0,1,0)</f>
        <v>1</v>
      </c>
      <c r="E97">
        <f>IF(COUNTIFS('United Data'!$A$3:$A$3390,E$1,'United Data'!$C$3:$C$3390,$A97)&gt;0,1,0)</f>
        <v>0</v>
      </c>
      <c r="F97">
        <f>IF(COUNTIFS('United Data'!$A$3:$A$3390,F$1,'United Data'!$C$3:$C$3390,$A97)&gt;0,1,0)</f>
        <v>1</v>
      </c>
      <c r="G97">
        <f>IF(COUNTIFS('United Data'!$A$3:$A$3390,G$1,'United Data'!$C$3:$C$3390,$A97)&gt;0,1,0)</f>
        <v>0</v>
      </c>
      <c r="H97">
        <f>IF(COUNTIFS('United Data'!$A$3:$A$3390,H$1,'United Data'!$C$3:$C$3390,$A97)&gt;0,1,0)</f>
        <v>0</v>
      </c>
      <c r="I97">
        <f>IF(COUNTIFS('United Data'!$A$3:$A$3390,I$1,'United Data'!$C$3:$C$3390,$A97)&gt;0,1,0)</f>
        <v>0</v>
      </c>
      <c r="J97">
        <f>IF(COUNTIFS('United Data'!$A$3:$A$3390,J$1,'United Data'!$C$3:$C$3390,$A97)&gt;0,1,0)</f>
        <v>0</v>
      </c>
      <c r="K97">
        <f>IF(COUNTIFS('United Data'!$A$3:$A$3390,K$1,'United Data'!$C$3:$C$3390,$A97)&gt;0,1,0)</f>
        <v>0</v>
      </c>
      <c r="L97">
        <f>IF(COUNTIFS('United Data'!$A$3:$A$3390,L$1,'United Data'!$C$3:$C$3390,$A97)&gt;0,1,0)</f>
        <v>0</v>
      </c>
      <c r="M97">
        <f>IF(COUNTIFS('United Data'!$A$3:$A$3390,M$1,'United Data'!$C$3:$C$3390,$A97)&gt;0,1,0)</f>
        <v>0</v>
      </c>
      <c r="N97">
        <f>IF(COUNTIFS('United Data'!$A$3:$A$3390,N$1,'United Data'!$C$3:$C$3390,$A97)&gt;0,1,0)</f>
        <v>0</v>
      </c>
      <c r="O97">
        <f>IF(COUNTIFS('United Data'!$A$3:$A$3390,O$1,'United Data'!$C$3:$C$3390,$A97)&gt;0,1,0)</f>
        <v>1</v>
      </c>
      <c r="P97">
        <f>IF(COUNTIFS('United Data'!$A$3:$A$3390,P$1,'United Data'!$C$3:$C$3390,$A97)&gt;0,1,0)</f>
        <v>1</v>
      </c>
      <c r="Q97">
        <f>IF(COUNTIFS('United Data'!$A$3:$A$3390,Q$1,'United Data'!$C$3:$C$3390,$A97)&gt;0,1,0)</f>
        <v>1</v>
      </c>
      <c r="R97">
        <f>IF(COUNTIFS('United Data'!$A$3:$A$3390,R$1,'United Data'!$C$3:$C$3390,$A97)&gt;0,1,0)</f>
        <v>0</v>
      </c>
      <c r="S97">
        <f t="shared" si="2"/>
        <v>6</v>
      </c>
      <c r="T97">
        <f t="shared" si="3"/>
        <v>3</v>
      </c>
    </row>
    <row r="98" spans="1:20" x14ac:dyDescent="0.2">
      <c r="A98" t="s">
        <v>146</v>
      </c>
      <c r="B98">
        <f>IF(COUNTIFS('United Data'!$A$3:$A$3390,B$1,'United Data'!$C$3:$C$3390,$A98)&gt;0,1,0)</f>
        <v>0</v>
      </c>
      <c r="C98">
        <f>IF(COUNTIFS('United Data'!$A$3:$A$3390,C$1,'United Data'!$C$3:$C$3390,$A98)&gt;0,1,0)</f>
        <v>1</v>
      </c>
      <c r="D98">
        <f>IF(COUNTIFS('United Data'!$A$3:$A$3390,D$1,'United Data'!$C$3:$C$3390,$A98)&gt;0,1,0)</f>
        <v>1</v>
      </c>
      <c r="E98">
        <f>IF(COUNTIFS('United Data'!$A$3:$A$3390,E$1,'United Data'!$C$3:$C$3390,$A98)&gt;0,1,0)</f>
        <v>0</v>
      </c>
      <c r="F98">
        <f>IF(COUNTIFS('United Data'!$A$3:$A$3390,F$1,'United Data'!$C$3:$C$3390,$A98)&gt;0,1,0)</f>
        <v>0</v>
      </c>
      <c r="G98">
        <f>IF(COUNTIFS('United Data'!$A$3:$A$3390,G$1,'United Data'!$C$3:$C$3390,$A98)&gt;0,1,0)</f>
        <v>0</v>
      </c>
      <c r="H98">
        <f>IF(COUNTIFS('United Data'!$A$3:$A$3390,H$1,'United Data'!$C$3:$C$3390,$A98)&gt;0,1,0)</f>
        <v>0</v>
      </c>
      <c r="I98">
        <f>IF(COUNTIFS('United Data'!$A$3:$A$3390,I$1,'United Data'!$C$3:$C$3390,$A98)&gt;0,1,0)</f>
        <v>0</v>
      </c>
      <c r="J98">
        <f>IF(COUNTIFS('United Data'!$A$3:$A$3390,J$1,'United Data'!$C$3:$C$3390,$A98)&gt;0,1,0)</f>
        <v>0</v>
      </c>
      <c r="K98">
        <f>IF(COUNTIFS('United Data'!$A$3:$A$3390,K$1,'United Data'!$C$3:$C$3390,$A98)&gt;0,1,0)</f>
        <v>0</v>
      </c>
      <c r="L98">
        <f>IF(COUNTIFS('United Data'!$A$3:$A$3390,L$1,'United Data'!$C$3:$C$3390,$A98)&gt;0,1,0)</f>
        <v>0</v>
      </c>
      <c r="M98">
        <f>IF(COUNTIFS('United Data'!$A$3:$A$3390,M$1,'United Data'!$C$3:$C$3390,$A98)&gt;0,1,0)</f>
        <v>1</v>
      </c>
      <c r="N98">
        <f>IF(COUNTIFS('United Data'!$A$3:$A$3390,N$1,'United Data'!$C$3:$C$3390,$A98)&gt;0,1,0)</f>
        <v>1</v>
      </c>
      <c r="O98">
        <f>IF(COUNTIFS('United Data'!$A$3:$A$3390,O$1,'United Data'!$C$3:$C$3390,$A98)&gt;0,1,0)</f>
        <v>1</v>
      </c>
      <c r="P98">
        <f>IF(COUNTIFS('United Data'!$A$3:$A$3390,P$1,'United Data'!$C$3:$C$3390,$A98)&gt;0,1,0)</f>
        <v>0</v>
      </c>
      <c r="Q98">
        <f>IF(COUNTIFS('United Data'!$A$3:$A$3390,Q$1,'United Data'!$C$3:$C$3390,$A98)&gt;0,1,0)</f>
        <v>1</v>
      </c>
      <c r="R98">
        <f>IF(COUNTIFS('United Data'!$A$3:$A$3390,R$1,'United Data'!$C$3:$C$3390,$A98)&gt;0,1,0)</f>
        <v>0</v>
      </c>
      <c r="S98">
        <f t="shared" si="2"/>
        <v>6</v>
      </c>
      <c r="T98">
        <f t="shared" si="3"/>
        <v>3</v>
      </c>
    </row>
    <row r="99" spans="1:20" x14ac:dyDescent="0.2">
      <c r="A99" t="s">
        <v>147</v>
      </c>
      <c r="B99">
        <f>IF(COUNTIFS('United Data'!$A$3:$A$3390,B$1,'United Data'!$C$3:$C$3390,$A99)&gt;0,1,0)</f>
        <v>0</v>
      </c>
      <c r="C99">
        <f>IF(COUNTIFS('United Data'!$A$3:$A$3390,C$1,'United Data'!$C$3:$C$3390,$A99)&gt;0,1,0)</f>
        <v>1</v>
      </c>
      <c r="D99">
        <f>IF(COUNTIFS('United Data'!$A$3:$A$3390,D$1,'United Data'!$C$3:$C$3390,$A99)&gt;0,1,0)</f>
        <v>1</v>
      </c>
      <c r="E99">
        <f>IF(COUNTIFS('United Data'!$A$3:$A$3390,E$1,'United Data'!$C$3:$C$3390,$A99)&gt;0,1,0)</f>
        <v>1</v>
      </c>
      <c r="F99">
        <f>IF(COUNTIFS('United Data'!$A$3:$A$3390,F$1,'United Data'!$C$3:$C$3390,$A99)&gt;0,1,0)</f>
        <v>1</v>
      </c>
      <c r="G99">
        <f>IF(COUNTIFS('United Data'!$A$3:$A$3390,G$1,'United Data'!$C$3:$C$3390,$A99)&gt;0,1,0)</f>
        <v>1</v>
      </c>
      <c r="H99">
        <f>IF(COUNTIFS('United Data'!$A$3:$A$3390,H$1,'United Data'!$C$3:$C$3390,$A99)&gt;0,1,0)</f>
        <v>1</v>
      </c>
      <c r="I99">
        <f>IF(COUNTIFS('United Data'!$A$3:$A$3390,I$1,'United Data'!$C$3:$C$3390,$A99)&gt;0,1,0)</f>
        <v>1</v>
      </c>
      <c r="J99">
        <f>IF(COUNTIFS('United Data'!$A$3:$A$3390,J$1,'United Data'!$C$3:$C$3390,$A99)&gt;0,1,0)</f>
        <v>1</v>
      </c>
      <c r="K99">
        <f>IF(COUNTIFS('United Data'!$A$3:$A$3390,K$1,'United Data'!$C$3:$C$3390,$A99)&gt;0,1,0)</f>
        <v>1</v>
      </c>
      <c r="L99">
        <f>IF(COUNTIFS('United Data'!$A$3:$A$3390,L$1,'United Data'!$C$3:$C$3390,$A99)&gt;0,1,0)</f>
        <v>1</v>
      </c>
      <c r="M99">
        <f>IF(COUNTIFS('United Data'!$A$3:$A$3390,M$1,'United Data'!$C$3:$C$3390,$A99)&gt;0,1,0)</f>
        <v>1</v>
      </c>
      <c r="N99">
        <f>IF(COUNTIFS('United Data'!$A$3:$A$3390,N$1,'United Data'!$C$3:$C$3390,$A99)&gt;0,1,0)</f>
        <v>1</v>
      </c>
      <c r="O99">
        <f>IF(COUNTIFS('United Data'!$A$3:$A$3390,O$1,'United Data'!$C$3:$C$3390,$A99)&gt;0,1,0)</f>
        <v>1</v>
      </c>
      <c r="P99">
        <f>IF(COUNTIFS('United Data'!$A$3:$A$3390,P$1,'United Data'!$C$3:$C$3390,$A99)&gt;0,1,0)</f>
        <v>0</v>
      </c>
      <c r="Q99">
        <f>IF(COUNTIFS('United Data'!$A$3:$A$3390,Q$1,'United Data'!$C$3:$C$3390,$A99)&gt;0,1,0)</f>
        <v>0</v>
      </c>
      <c r="R99">
        <f>IF(COUNTIFS('United Data'!$A$3:$A$3390,R$1,'United Data'!$C$3:$C$3390,$A99)&gt;0,1,0)</f>
        <v>0</v>
      </c>
      <c r="S99">
        <f t="shared" si="2"/>
        <v>13</v>
      </c>
      <c r="T99">
        <f t="shared" si="3"/>
        <v>1</v>
      </c>
    </row>
    <row r="100" spans="1:20" x14ac:dyDescent="0.2">
      <c r="A100" t="s">
        <v>148</v>
      </c>
      <c r="B100">
        <f>IF(COUNTIFS('United Data'!$A$3:$A$3390,B$1,'United Data'!$C$3:$C$3390,$A100)&gt;0,1,0)</f>
        <v>0</v>
      </c>
      <c r="C100">
        <f>IF(COUNTIFS('United Data'!$A$3:$A$3390,C$1,'United Data'!$C$3:$C$3390,$A100)&gt;0,1,0)</f>
        <v>1</v>
      </c>
      <c r="D100">
        <f>IF(COUNTIFS('United Data'!$A$3:$A$3390,D$1,'United Data'!$C$3:$C$3390,$A100)&gt;0,1,0)</f>
        <v>0</v>
      </c>
      <c r="E100">
        <f>IF(COUNTIFS('United Data'!$A$3:$A$3390,E$1,'United Data'!$C$3:$C$3390,$A100)&gt;0,1,0)</f>
        <v>0</v>
      </c>
      <c r="F100">
        <f>IF(COUNTIFS('United Data'!$A$3:$A$3390,F$1,'United Data'!$C$3:$C$3390,$A100)&gt;0,1,0)</f>
        <v>0</v>
      </c>
      <c r="G100">
        <f>IF(COUNTIFS('United Data'!$A$3:$A$3390,G$1,'United Data'!$C$3:$C$3390,$A100)&gt;0,1,0)</f>
        <v>0</v>
      </c>
      <c r="H100">
        <f>IF(COUNTIFS('United Data'!$A$3:$A$3390,H$1,'United Data'!$C$3:$C$3390,$A100)&gt;0,1,0)</f>
        <v>0</v>
      </c>
      <c r="I100">
        <f>IF(COUNTIFS('United Data'!$A$3:$A$3390,I$1,'United Data'!$C$3:$C$3390,$A100)&gt;0,1,0)</f>
        <v>0</v>
      </c>
      <c r="J100">
        <f>IF(COUNTIFS('United Data'!$A$3:$A$3390,J$1,'United Data'!$C$3:$C$3390,$A100)&gt;0,1,0)</f>
        <v>0</v>
      </c>
      <c r="K100">
        <f>IF(COUNTIFS('United Data'!$A$3:$A$3390,K$1,'United Data'!$C$3:$C$3390,$A100)&gt;0,1,0)</f>
        <v>0</v>
      </c>
      <c r="L100">
        <f>IF(COUNTIFS('United Data'!$A$3:$A$3390,L$1,'United Data'!$C$3:$C$3390,$A100)&gt;0,1,0)</f>
        <v>0</v>
      </c>
      <c r="M100">
        <f>IF(COUNTIFS('United Data'!$A$3:$A$3390,M$1,'United Data'!$C$3:$C$3390,$A100)&gt;0,1,0)</f>
        <v>0</v>
      </c>
      <c r="N100">
        <f>IF(COUNTIFS('United Data'!$A$3:$A$3390,N$1,'United Data'!$C$3:$C$3390,$A100)&gt;0,1,0)</f>
        <v>0</v>
      </c>
      <c r="O100">
        <f>IF(COUNTIFS('United Data'!$A$3:$A$3390,O$1,'United Data'!$C$3:$C$3390,$A100)&gt;0,1,0)</f>
        <v>0</v>
      </c>
      <c r="P100">
        <f>IF(COUNTIFS('United Data'!$A$3:$A$3390,P$1,'United Data'!$C$3:$C$3390,$A100)&gt;0,1,0)</f>
        <v>0</v>
      </c>
      <c r="Q100">
        <f>IF(COUNTIFS('United Data'!$A$3:$A$3390,Q$1,'United Data'!$C$3:$C$3390,$A100)&gt;0,1,0)</f>
        <v>0</v>
      </c>
      <c r="R100">
        <f>IF(COUNTIFS('United Data'!$A$3:$A$3390,R$1,'United Data'!$C$3:$C$3390,$A100)&gt;0,1,0)</f>
        <v>0</v>
      </c>
      <c r="S100">
        <f t="shared" si="2"/>
        <v>1</v>
      </c>
      <c r="T100">
        <f t="shared" si="3"/>
        <v>1</v>
      </c>
    </row>
    <row r="101" spans="1:20" x14ac:dyDescent="0.2">
      <c r="A101" t="s">
        <v>149</v>
      </c>
      <c r="B101">
        <f>IF(COUNTIFS('United Data'!$A$3:$A$3390,B$1,'United Data'!$C$3:$C$3390,$A101)&gt;0,1,0)</f>
        <v>0</v>
      </c>
      <c r="C101">
        <f>IF(COUNTIFS('United Data'!$A$3:$A$3390,C$1,'United Data'!$C$3:$C$3390,$A101)&gt;0,1,0)</f>
        <v>1</v>
      </c>
      <c r="D101">
        <f>IF(COUNTIFS('United Data'!$A$3:$A$3390,D$1,'United Data'!$C$3:$C$3390,$A101)&gt;0,1,0)</f>
        <v>1</v>
      </c>
      <c r="E101">
        <f>IF(COUNTIFS('United Data'!$A$3:$A$3390,E$1,'United Data'!$C$3:$C$3390,$A101)&gt;0,1,0)</f>
        <v>0</v>
      </c>
      <c r="F101">
        <f>IF(COUNTIFS('United Data'!$A$3:$A$3390,F$1,'United Data'!$C$3:$C$3390,$A101)&gt;0,1,0)</f>
        <v>0</v>
      </c>
      <c r="G101">
        <f>IF(COUNTIFS('United Data'!$A$3:$A$3390,G$1,'United Data'!$C$3:$C$3390,$A101)&gt;0,1,0)</f>
        <v>0</v>
      </c>
      <c r="H101">
        <f>IF(COUNTIFS('United Data'!$A$3:$A$3390,H$1,'United Data'!$C$3:$C$3390,$A101)&gt;0,1,0)</f>
        <v>0</v>
      </c>
      <c r="I101">
        <f>IF(COUNTIFS('United Data'!$A$3:$A$3390,I$1,'United Data'!$C$3:$C$3390,$A101)&gt;0,1,0)</f>
        <v>0</v>
      </c>
      <c r="J101">
        <f>IF(COUNTIFS('United Data'!$A$3:$A$3390,J$1,'United Data'!$C$3:$C$3390,$A101)&gt;0,1,0)</f>
        <v>0</v>
      </c>
      <c r="K101">
        <f>IF(COUNTIFS('United Data'!$A$3:$A$3390,K$1,'United Data'!$C$3:$C$3390,$A101)&gt;0,1,0)</f>
        <v>0</v>
      </c>
      <c r="L101">
        <f>IF(COUNTIFS('United Data'!$A$3:$A$3390,L$1,'United Data'!$C$3:$C$3390,$A101)&gt;0,1,0)</f>
        <v>0</v>
      </c>
      <c r="M101">
        <f>IF(COUNTIFS('United Data'!$A$3:$A$3390,M$1,'United Data'!$C$3:$C$3390,$A101)&gt;0,1,0)</f>
        <v>0</v>
      </c>
      <c r="N101">
        <f>IF(COUNTIFS('United Data'!$A$3:$A$3390,N$1,'United Data'!$C$3:$C$3390,$A101)&gt;0,1,0)</f>
        <v>0</v>
      </c>
      <c r="O101">
        <f>IF(COUNTIFS('United Data'!$A$3:$A$3390,O$1,'United Data'!$C$3:$C$3390,$A101)&gt;0,1,0)</f>
        <v>0</v>
      </c>
      <c r="P101">
        <f>IF(COUNTIFS('United Data'!$A$3:$A$3390,P$1,'United Data'!$C$3:$C$3390,$A101)&gt;0,1,0)</f>
        <v>0</v>
      </c>
      <c r="Q101">
        <f>IF(COUNTIFS('United Data'!$A$3:$A$3390,Q$1,'United Data'!$C$3:$C$3390,$A101)&gt;0,1,0)</f>
        <v>0</v>
      </c>
      <c r="R101">
        <f>IF(COUNTIFS('United Data'!$A$3:$A$3390,R$1,'United Data'!$C$3:$C$3390,$A101)&gt;0,1,0)</f>
        <v>0</v>
      </c>
      <c r="S101">
        <f t="shared" si="2"/>
        <v>2</v>
      </c>
      <c r="T101">
        <f t="shared" si="3"/>
        <v>1</v>
      </c>
    </row>
    <row r="102" spans="1:20" x14ac:dyDescent="0.2">
      <c r="A102" t="s">
        <v>150</v>
      </c>
      <c r="B102">
        <f>IF(COUNTIFS('United Data'!$A$3:$A$3390,B$1,'United Data'!$C$3:$C$3390,$A102)&gt;0,1,0)</f>
        <v>0</v>
      </c>
      <c r="C102">
        <f>IF(COUNTIFS('United Data'!$A$3:$A$3390,C$1,'United Data'!$C$3:$C$3390,$A102)&gt;0,1,0)</f>
        <v>0</v>
      </c>
      <c r="D102">
        <f>IF(COUNTIFS('United Data'!$A$3:$A$3390,D$1,'United Data'!$C$3:$C$3390,$A102)&gt;0,1,0)</f>
        <v>1</v>
      </c>
      <c r="E102">
        <f>IF(COUNTIFS('United Data'!$A$3:$A$3390,E$1,'United Data'!$C$3:$C$3390,$A102)&gt;0,1,0)</f>
        <v>0</v>
      </c>
      <c r="F102">
        <f>IF(COUNTIFS('United Data'!$A$3:$A$3390,F$1,'United Data'!$C$3:$C$3390,$A102)&gt;0,1,0)</f>
        <v>0</v>
      </c>
      <c r="G102">
        <f>IF(COUNTIFS('United Data'!$A$3:$A$3390,G$1,'United Data'!$C$3:$C$3390,$A102)&gt;0,1,0)</f>
        <v>0</v>
      </c>
      <c r="H102">
        <f>IF(COUNTIFS('United Data'!$A$3:$A$3390,H$1,'United Data'!$C$3:$C$3390,$A102)&gt;0,1,0)</f>
        <v>0</v>
      </c>
      <c r="I102">
        <f>IF(COUNTIFS('United Data'!$A$3:$A$3390,I$1,'United Data'!$C$3:$C$3390,$A102)&gt;0,1,0)</f>
        <v>0</v>
      </c>
      <c r="J102">
        <f>IF(COUNTIFS('United Data'!$A$3:$A$3390,J$1,'United Data'!$C$3:$C$3390,$A102)&gt;0,1,0)</f>
        <v>0</v>
      </c>
      <c r="K102">
        <f>IF(COUNTIFS('United Data'!$A$3:$A$3390,K$1,'United Data'!$C$3:$C$3390,$A102)&gt;0,1,0)</f>
        <v>0</v>
      </c>
      <c r="L102">
        <f>IF(COUNTIFS('United Data'!$A$3:$A$3390,L$1,'United Data'!$C$3:$C$3390,$A102)&gt;0,1,0)</f>
        <v>0</v>
      </c>
      <c r="M102">
        <f>IF(COUNTIFS('United Data'!$A$3:$A$3390,M$1,'United Data'!$C$3:$C$3390,$A102)&gt;0,1,0)</f>
        <v>0</v>
      </c>
      <c r="N102">
        <f>IF(COUNTIFS('United Data'!$A$3:$A$3390,N$1,'United Data'!$C$3:$C$3390,$A102)&gt;0,1,0)</f>
        <v>0</v>
      </c>
      <c r="O102">
        <f>IF(COUNTIFS('United Data'!$A$3:$A$3390,O$1,'United Data'!$C$3:$C$3390,$A102)&gt;0,1,0)</f>
        <v>0</v>
      </c>
      <c r="P102">
        <f>IF(COUNTIFS('United Data'!$A$3:$A$3390,P$1,'United Data'!$C$3:$C$3390,$A102)&gt;0,1,0)</f>
        <v>0</v>
      </c>
      <c r="Q102">
        <f>IF(COUNTIFS('United Data'!$A$3:$A$3390,Q$1,'United Data'!$C$3:$C$3390,$A102)&gt;0,1,0)</f>
        <v>0</v>
      </c>
      <c r="R102">
        <f>IF(COUNTIFS('United Data'!$A$3:$A$3390,R$1,'United Data'!$C$3:$C$3390,$A102)&gt;0,1,0)</f>
        <v>0</v>
      </c>
      <c r="S102">
        <f t="shared" si="2"/>
        <v>1</v>
      </c>
      <c r="T102">
        <f t="shared" si="3"/>
        <v>1</v>
      </c>
    </row>
    <row r="103" spans="1:20" x14ac:dyDescent="0.2">
      <c r="A103" t="s">
        <v>154</v>
      </c>
      <c r="B103">
        <f>IF(COUNTIFS('United Data'!$A$3:$A$3390,B$1,'United Data'!$C$3:$C$3390,$A103)&gt;0,1,0)</f>
        <v>0</v>
      </c>
      <c r="C103">
        <f>IF(COUNTIFS('United Data'!$A$3:$A$3390,C$1,'United Data'!$C$3:$C$3390,$A103)&gt;0,1,0)</f>
        <v>0</v>
      </c>
      <c r="D103">
        <f>IF(COUNTIFS('United Data'!$A$3:$A$3390,D$1,'United Data'!$C$3:$C$3390,$A103)&gt;0,1,0)</f>
        <v>1</v>
      </c>
      <c r="E103">
        <f>IF(COUNTIFS('United Data'!$A$3:$A$3390,E$1,'United Data'!$C$3:$C$3390,$A103)&gt;0,1,0)</f>
        <v>0</v>
      </c>
      <c r="F103">
        <f>IF(COUNTIFS('United Data'!$A$3:$A$3390,F$1,'United Data'!$C$3:$C$3390,$A103)&gt;0,1,0)</f>
        <v>0</v>
      </c>
      <c r="G103">
        <f>IF(COUNTIFS('United Data'!$A$3:$A$3390,G$1,'United Data'!$C$3:$C$3390,$A103)&gt;0,1,0)</f>
        <v>0</v>
      </c>
      <c r="H103">
        <f>IF(COUNTIFS('United Data'!$A$3:$A$3390,H$1,'United Data'!$C$3:$C$3390,$A103)&gt;0,1,0)</f>
        <v>0</v>
      </c>
      <c r="I103">
        <f>IF(COUNTIFS('United Data'!$A$3:$A$3390,I$1,'United Data'!$C$3:$C$3390,$A103)&gt;0,1,0)</f>
        <v>0</v>
      </c>
      <c r="J103">
        <f>IF(COUNTIFS('United Data'!$A$3:$A$3390,J$1,'United Data'!$C$3:$C$3390,$A103)&gt;0,1,0)</f>
        <v>0</v>
      </c>
      <c r="K103">
        <f>IF(COUNTIFS('United Data'!$A$3:$A$3390,K$1,'United Data'!$C$3:$C$3390,$A103)&gt;0,1,0)</f>
        <v>0</v>
      </c>
      <c r="L103">
        <f>IF(COUNTIFS('United Data'!$A$3:$A$3390,L$1,'United Data'!$C$3:$C$3390,$A103)&gt;0,1,0)</f>
        <v>0</v>
      </c>
      <c r="M103">
        <f>IF(COUNTIFS('United Data'!$A$3:$A$3390,M$1,'United Data'!$C$3:$C$3390,$A103)&gt;0,1,0)</f>
        <v>0</v>
      </c>
      <c r="N103">
        <f>IF(COUNTIFS('United Data'!$A$3:$A$3390,N$1,'United Data'!$C$3:$C$3390,$A103)&gt;0,1,0)</f>
        <v>0</v>
      </c>
      <c r="O103">
        <f>IF(COUNTIFS('United Data'!$A$3:$A$3390,O$1,'United Data'!$C$3:$C$3390,$A103)&gt;0,1,0)</f>
        <v>0</v>
      </c>
      <c r="P103">
        <f>IF(COUNTIFS('United Data'!$A$3:$A$3390,P$1,'United Data'!$C$3:$C$3390,$A103)&gt;0,1,0)</f>
        <v>0</v>
      </c>
      <c r="Q103">
        <f>IF(COUNTIFS('United Data'!$A$3:$A$3390,Q$1,'United Data'!$C$3:$C$3390,$A103)&gt;0,1,0)</f>
        <v>0</v>
      </c>
      <c r="R103">
        <f>IF(COUNTIFS('United Data'!$A$3:$A$3390,R$1,'United Data'!$C$3:$C$3390,$A103)&gt;0,1,0)</f>
        <v>0</v>
      </c>
      <c r="S103">
        <f t="shared" si="2"/>
        <v>1</v>
      </c>
      <c r="T103">
        <f t="shared" si="3"/>
        <v>1</v>
      </c>
    </row>
    <row r="104" spans="1:20" x14ac:dyDescent="0.2">
      <c r="A104" t="s">
        <v>156</v>
      </c>
      <c r="B104">
        <f>IF(COUNTIFS('United Data'!$A$3:$A$3390,B$1,'United Data'!$C$3:$C$3390,$A104)&gt;0,1,0)</f>
        <v>0</v>
      </c>
      <c r="C104">
        <f>IF(COUNTIFS('United Data'!$A$3:$A$3390,C$1,'United Data'!$C$3:$C$3390,$A104)&gt;0,1,0)</f>
        <v>0</v>
      </c>
      <c r="D104">
        <f>IF(COUNTIFS('United Data'!$A$3:$A$3390,D$1,'United Data'!$C$3:$C$3390,$A104)&gt;0,1,0)</f>
        <v>1</v>
      </c>
      <c r="E104">
        <f>IF(COUNTIFS('United Data'!$A$3:$A$3390,E$1,'United Data'!$C$3:$C$3390,$A104)&gt;0,1,0)</f>
        <v>1</v>
      </c>
      <c r="F104">
        <f>IF(COUNTIFS('United Data'!$A$3:$A$3390,F$1,'United Data'!$C$3:$C$3390,$A104)&gt;0,1,0)</f>
        <v>1</v>
      </c>
      <c r="G104">
        <f>IF(COUNTIFS('United Data'!$A$3:$A$3390,G$1,'United Data'!$C$3:$C$3390,$A104)&gt;0,1,0)</f>
        <v>1</v>
      </c>
      <c r="H104">
        <f>IF(COUNTIFS('United Data'!$A$3:$A$3390,H$1,'United Data'!$C$3:$C$3390,$A104)&gt;0,1,0)</f>
        <v>0</v>
      </c>
      <c r="I104">
        <f>IF(COUNTIFS('United Data'!$A$3:$A$3390,I$1,'United Data'!$C$3:$C$3390,$A104)&gt;0,1,0)</f>
        <v>0</v>
      </c>
      <c r="J104">
        <f>IF(COUNTIFS('United Data'!$A$3:$A$3390,J$1,'United Data'!$C$3:$C$3390,$A104)&gt;0,1,0)</f>
        <v>0</v>
      </c>
      <c r="K104">
        <f>IF(COUNTIFS('United Data'!$A$3:$A$3390,K$1,'United Data'!$C$3:$C$3390,$A104)&gt;0,1,0)</f>
        <v>0</v>
      </c>
      <c r="L104">
        <f>IF(COUNTIFS('United Data'!$A$3:$A$3390,L$1,'United Data'!$C$3:$C$3390,$A104)&gt;0,1,0)</f>
        <v>1</v>
      </c>
      <c r="M104">
        <f>IF(COUNTIFS('United Data'!$A$3:$A$3390,M$1,'United Data'!$C$3:$C$3390,$A104)&gt;0,1,0)</f>
        <v>0</v>
      </c>
      <c r="N104">
        <f>IF(COUNTIFS('United Data'!$A$3:$A$3390,N$1,'United Data'!$C$3:$C$3390,$A104)&gt;0,1,0)</f>
        <v>0</v>
      </c>
      <c r="O104">
        <f>IF(COUNTIFS('United Data'!$A$3:$A$3390,O$1,'United Data'!$C$3:$C$3390,$A104)&gt;0,1,0)</f>
        <v>0</v>
      </c>
      <c r="P104">
        <f>IF(COUNTIFS('United Data'!$A$3:$A$3390,P$1,'United Data'!$C$3:$C$3390,$A104)&gt;0,1,0)</f>
        <v>0</v>
      </c>
      <c r="Q104">
        <f>IF(COUNTIFS('United Data'!$A$3:$A$3390,Q$1,'United Data'!$C$3:$C$3390,$A104)&gt;0,1,0)</f>
        <v>0</v>
      </c>
      <c r="R104">
        <f>IF(COUNTIFS('United Data'!$A$3:$A$3390,R$1,'United Data'!$C$3:$C$3390,$A104)&gt;0,1,0)</f>
        <v>0</v>
      </c>
      <c r="S104">
        <f t="shared" si="2"/>
        <v>5</v>
      </c>
      <c r="T104">
        <f t="shared" si="3"/>
        <v>2</v>
      </c>
    </row>
    <row r="105" spans="1:20" x14ac:dyDescent="0.2">
      <c r="A105" t="s">
        <v>158</v>
      </c>
      <c r="B105">
        <f>IF(COUNTIFS('United Data'!$A$3:$A$3390,B$1,'United Data'!$C$3:$C$3390,$A105)&gt;0,1,0)</f>
        <v>0</v>
      </c>
      <c r="C105">
        <f>IF(COUNTIFS('United Data'!$A$3:$A$3390,C$1,'United Data'!$C$3:$C$3390,$A105)&gt;0,1,0)</f>
        <v>0</v>
      </c>
      <c r="D105">
        <f>IF(COUNTIFS('United Data'!$A$3:$A$3390,D$1,'United Data'!$C$3:$C$3390,$A105)&gt;0,1,0)</f>
        <v>0</v>
      </c>
      <c r="E105">
        <f>IF(COUNTIFS('United Data'!$A$3:$A$3390,E$1,'United Data'!$C$3:$C$3390,$A105)&gt;0,1,0)</f>
        <v>1</v>
      </c>
      <c r="F105">
        <f>IF(COUNTIFS('United Data'!$A$3:$A$3390,F$1,'United Data'!$C$3:$C$3390,$A105)&gt;0,1,0)</f>
        <v>0</v>
      </c>
      <c r="G105">
        <f>IF(COUNTIFS('United Data'!$A$3:$A$3390,G$1,'United Data'!$C$3:$C$3390,$A105)&gt;0,1,0)</f>
        <v>1</v>
      </c>
      <c r="H105">
        <f>IF(COUNTIFS('United Data'!$A$3:$A$3390,H$1,'United Data'!$C$3:$C$3390,$A105)&gt;0,1,0)</f>
        <v>1</v>
      </c>
      <c r="I105">
        <f>IF(COUNTIFS('United Data'!$A$3:$A$3390,I$1,'United Data'!$C$3:$C$3390,$A105)&gt;0,1,0)</f>
        <v>1</v>
      </c>
      <c r="J105">
        <f>IF(COUNTIFS('United Data'!$A$3:$A$3390,J$1,'United Data'!$C$3:$C$3390,$A105)&gt;0,1,0)</f>
        <v>1</v>
      </c>
      <c r="K105">
        <f>IF(COUNTIFS('United Data'!$A$3:$A$3390,K$1,'United Data'!$C$3:$C$3390,$A105)&gt;0,1,0)</f>
        <v>1</v>
      </c>
      <c r="L105">
        <f>IF(COUNTIFS('United Data'!$A$3:$A$3390,L$1,'United Data'!$C$3:$C$3390,$A105)&gt;0,1,0)</f>
        <v>1</v>
      </c>
      <c r="M105">
        <f>IF(COUNTIFS('United Data'!$A$3:$A$3390,M$1,'United Data'!$C$3:$C$3390,$A105)&gt;0,1,0)</f>
        <v>0</v>
      </c>
      <c r="N105">
        <f>IF(COUNTIFS('United Data'!$A$3:$A$3390,N$1,'United Data'!$C$3:$C$3390,$A105)&gt;0,1,0)</f>
        <v>1</v>
      </c>
      <c r="O105">
        <f>IF(COUNTIFS('United Data'!$A$3:$A$3390,O$1,'United Data'!$C$3:$C$3390,$A105)&gt;0,1,0)</f>
        <v>0</v>
      </c>
      <c r="P105">
        <f>IF(COUNTIFS('United Data'!$A$3:$A$3390,P$1,'United Data'!$C$3:$C$3390,$A105)&gt;0,1,0)</f>
        <v>0</v>
      </c>
      <c r="Q105">
        <f>IF(COUNTIFS('United Data'!$A$3:$A$3390,Q$1,'United Data'!$C$3:$C$3390,$A105)&gt;0,1,0)</f>
        <v>0</v>
      </c>
      <c r="R105">
        <f>IF(COUNTIFS('United Data'!$A$3:$A$3390,R$1,'United Data'!$C$3:$C$3390,$A105)&gt;0,1,0)</f>
        <v>0</v>
      </c>
      <c r="S105">
        <f t="shared" si="2"/>
        <v>8</v>
      </c>
      <c r="T105">
        <f t="shared" si="3"/>
        <v>3</v>
      </c>
    </row>
    <row r="106" spans="1:20" x14ac:dyDescent="0.2">
      <c r="A106" t="s">
        <v>159</v>
      </c>
      <c r="B106">
        <f>IF(COUNTIFS('United Data'!$A$3:$A$3390,B$1,'United Data'!$C$3:$C$3390,$A106)&gt;0,1,0)</f>
        <v>0</v>
      </c>
      <c r="C106">
        <f>IF(COUNTIFS('United Data'!$A$3:$A$3390,C$1,'United Data'!$C$3:$C$3390,$A106)&gt;0,1,0)</f>
        <v>0</v>
      </c>
      <c r="D106">
        <f>IF(COUNTIFS('United Data'!$A$3:$A$3390,D$1,'United Data'!$C$3:$C$3390,$A106)&gt;0,1,0)</f>
        <v>0</v>
      </c>
      <c r="E106">
        <f>IF(COUNTIFS('United Data'!$A$3:$A$3390,E$1,'United Data'!$C$3:$C$3390,$A106)&gt;0,1,0)</f>
        <v>1</v>
      </c>
      <c r="F106">
        <f>IF(COUNTIFS('United Data'!$A$3:$A$3390,F$1,'United Data'!$C$3:$C$3390,$A106)&gt;0,1,0)</f>
        <v>0</v>
      </c>
      <c r="G106">
        <f>IF(COUNTIFS('United Data'!$A$3:$A$3390,G$1,'United Data'!$C$3:$C$3390,$A106)&gt;0,1,0)</f>
        <v>0</v>
      </c>
      <c r="H106">
        <f>IF(COUNTIFS('United Data'!$A$3:$A$3390,H$1,'United Data'!$C$3:$C$3390,$A106)&gt;0,1,0)</f>
        <v>0</v>
      </c>
      <c r="I106">
        <f>IF(COUNTIFS('United Data'!$A$3:$A$3390,I$1,'United Data'!$C$3:$C$3390,$A106)&gt;0,1,0)</f>
        <v>0</v>
      </c>
      <c r="J106">
        <f>IF(COUNTIFS('United Data'!$A$3:$A$3390,J$1,'United Data'!$C$3:$C$3390,$A106)&gt;0,1,0)</f>
        <v>0</v>
      </c>
      <c r="K106">
        <f>IF(COUNTIFS('United Data'!$A$3:$A$3390,K$1,'United Data'!$C$3:$C$3390,$A106)&gt;0,1,0)</f>
        <v>0</v>
      </c>
      <c r="L106">
        <f>IF(COUNTIFS('United Data'!$A$3:$A$3390,L$1,'United Data'!$C$3:$C$3390,$A106)&gt;0,1,0)</f>
        <v>0</v>
      </c>
      <c r="M106">
        <f>IF(COUNTIFS('United Data'!$A$3:$A$3390,M$1,'United Data'!$C$3:$C$3390,$A106)&gt;0,1,0)</f>
        <v>0</v>
      </c>
      <c r="N106">
        <f>IF(COUNTIFS('United Data'!$A$3:$A$3390,N$1,'United Data'!$C$3:$C$3390,$A106)&gt;0,1,0)</f>
        <v>0</v>
      </c>
      <c r="O106">
        <f>IF(COUNTIFS('United Data'!$A$3:$A$3390,O$1,'United Data'!$C$3:$C$3390,$A106)&gt;0,1,0)</f>
        <v>0</v>
      </c>
      <c r="P106">
        <f>IF(COUNTIFS('United Data'!$A$3:$A$3390,P$1,'United Data'!$C$3:$C$3390,$A106)&gt;0,1,0)</f>
        <v>0</v>
      </c>
      <c r="Q106">
        <f>IF(COUNTIFS('United Data'!$A$3:$A$3390,Q$1,'United Data'!$C$3:$C$3390,$A106)&gt;0,1,0)</f>
        <v>0</v>
      </c>
      <c r="R106">
        <f>IF(COUNTIFS('United Data'!$A$3:$A$3390,R$1,'United Data'!$C$3:$C$3390,$A106)&gt;0,1,0)</f>
        <v>0</v>
      </c>
      <c r="S106">
        <f t="shared" si="2"/>
        <v>1</v>
      </c>
      <c r="T106">
        <f t="shared" si="3"/>
        <v>1</v>
      </c>
    </row>
    <row r="107" spans="1:20" x14ac:dyDescent="0.2">
      <c r="A107" t="s">
        <v>160</v>
      </c>
      <c r="B107">
        <f>IF(COUNTIFS('United Data'!$A$3:$A$3390,B$1,'United Data'!$C$3:$C$3390,$A107)&gt;0,1,0)</f>
        <v>0</v>
      </c>
      <c r="C107">
        <f>IF(COUNTIFS('United Data'!$A$3:$A$3390,C$1,'United Data'!$C$3:$C$3390,$A107)&gt;0,1,0)</f>
        <v>0</v>
      </c>
      <c r="D107">
        <f>IF(COUNTIFS('United Data'!$A$3:$A$3390,D$1,'United Data'!$C$3:$C$3390,$A107)&gt;0,1,0)</f>
        <v>0</v>
      </c>
      <c r="E107">
        <f>IF(COUNTIFS('United Data'!$A$3:$A$3390,E$1,'United Data'!$C$3:$C$3390,$A107)&gt;0,1,0)</f>
        <v>1</v>
      </c>
      <c r="F107">
        <f>IF(COUNTIFS('United Data'!$A$3:$A$3390,F$1,'United Data'!$C$3:$C$3390,$A107)&gt;0,1,0)</f>
        <v>0</v>
      </c>
      <c r="G107">
        <f>IF(COUNTIFS('United Data'!$A$3:$A$3390,G$1,'United Data'!$C$3:$C$3390,$A107)&gt;0,1,0)</f>
        <v>0</v>
      </c>
      <c r="H107">
        <f>IF(COUNTIFS('United Data'!$A$3:$A$3390,H$1,'United Data'!$C$3:$C$3390,$A107)&gt;0,1,0)</f>
        <v>0</v>
      </c>
      <c r="I107">
        <f>IF(COUNTIFS('United Data'!$A$3:$A$3390,I$1,'United Data'!$C$3:$C$3390,$A107)&gt;0,1,0)</f>
        <v>0</v>
      </c>
      <c r="J107">
        <f>IF(COUNTIFS('United Data'!$A$3:$A$3390,J$1,'United Data'!$C$3:$C$3390,$A107)&gt;0,1,0)</f>
        <v>0</v>
      </c>
      <c r="K107">
        <f>IF(COUNTIFS('United Data'!$A$3:$A$3390,K$1,'United Data'!$C$3:$C$3390,$A107)&gt;0,1,0)</f>
        <v>0</v>
      </c>
      <c r="L107">
        <f>IF(COUNTIFS('United Data'!$A$3:$A$3390,L$1,'United Data'!$C$3:$C$3390,$A107)&gt;0,1,0)</f>
        <v>0</v>
      </c>
      <c r="M107">
        <f>IF(COUNTIFS('United Data'!$A$3:$A$3390,M$1,'United Data'!$C$3:$C$3390,$A107)&gt;0,1,0)</f>
        <v>0</v>
      </c>
      <c r="N107">
        <f>IF(COUNTIFS('United Data'!$A$3:$A$3390,N$1,'United Data'!$C$3:$C$3390,$A107)&gt;0,1,0)</f>
        <v>0</v>
      </c>
      <c r="O107">
        <f>IF(COUNTIFS('United Data'!$A$3:$A$3390,O$1,'United Data'!$C$3:$C$3390,$A107)&gt;0,1,0)</f>
        <v>0</v>
      </c>
      <c r="P107">
        <f>IF(COUNTIFS('United Data'!$A$3:$A$3390,P$1,'United Data'!$C$3:$C$3390,$A107)&gt;0,1,0)</f>
        <v>0</v>
      </c>
      <c r="Q107">
        <f>IF(COUNTIFS('United Data'!$A$3:$A$3390,Q$1,'United Data'!$C$3:$C$3390,$A107)&gt;0,1,0)</f>
        <v>0</v>
      </c>
      <c r="R107">
        <f>IF(COUNTIFS('United Data'!$A$3:$A$3390,R$1,'United Data'!$C$3:$C$3390,$A107)&gt;0,1,0)</f>
        <v>0</v>
      </c>
      <c r="S107">
        <f t="shared" si="2"/>
        <v>1</v>
      </c>
      <c r="T107">
        <f t="shared" si="3"/>
        <v>1</v>
      </c>
    </row>
    <row r="108" spans="1:20" x14ac:dyDescent="0.2">
      <c r="A108" t="s">
        <v>161</v>
      </c>
      <c r="B108">
        <f>IF(COUNTIFS('United Data'!$A$3:$A$3390,B$1,'United Data'!$C$3:$C$3390,$A108)&gt;0,1,0)</f>
        <v>0</v>
      </c>
      <c r="C108">
        <f>IF(COUNTIFS('United Data'!$A$3:$A$3390,C$1,'United Data'!$C$3:$C$3390,$A108)&gt;0,1,0)</f>
        <v>0</v>
      </c>
      <c r="D108">
        <f>IF(COUNTIFS('United Data'!$A$3:$A$3390,D$1,'United Data'!$C$3:$C$3390,$A108)&gt;0,1,0)</f>
        <v>0</v>
      </c>
      <c r="E108">
        <f>IF(COUNTIFS('United Data'!$A$3:$A$3390,E$1,'United Data'!$C$3:$C$3390,$A108)&gt;0,1,0)</f>
        <v>1</v>
      </c>
      <c r="F108">
        <f>IF(COUNTIFS('United Data'!$A$3:$A$3390,F$1,'United Data'!$C$3:$C$3390,$A108)&gt;0,1,0)</f>
        <v>0</v>
      </c>
      <c r="G108">
        <f>IF(COUNTIFS('United Data'!$A$3:$A$3390,G$1,'United Data'!$C$3:$C$3390,$A108)&gt;0,1,0)</f>
        <v>0</v>
      </c>
      <c r="H108">
        <f>IF(COUNTIFS('United Data'!$A$3:$A$3390,H$1,'United Data'!$C$3:$C$3390,$A108)&gt;0,1,0)</f>
        <v>0</v>
      </c>
      <c r="I108">
        <f>IF(COUNTIFS('United Data'!$A$3:$A$3390,I$1,'United Data'!$C$3:$C$3390,$A108)&gt;0,1,0)</f>
        <v>0</v>
      </c>
      <c r="J108">
        <f>IF(COUNTIFS('United Data'!$A$3:$A$3390,J$1,'United Data'!$C$3:$C$3390,$A108)&gt;0,1,0)</f>
        <v>0</v>
      </c>
      <c r="K108">
        <f>IF(COUNTIFS('United Data'!$A$3:$A$3390,K$1,'United Data'!$C$3:$C$3390,$A108)&gt;0,1,0)</f>
        <v>0</v>
      </c>
      <c r="L108">
        <f>IF(COUNTIFS('United Data'!$A$3:$A$3390,L$1,'United Data'!$C$3:$C$3390,$A108)&gt;0,1,0)</f>
        <v>0</v>
      </c>
      <c r="M108">
        <f>IF(COUNTIFS('United Data'!$A$3:$A$3390,M$1,'United Data'!$C$3:$C$3390,$A108)&gt;0,1,0)</f>
        <v>0</v>
      </c>
      <c r="N108">
        <f>IF(COUNTIFS('United Data'!$A$3:$A$3390,N$1,'United Data'!$C$3:$C$3390,$A108)&gt;0,1,0)</f>
        <v>0</v>
      </c>
      <c r="O108">
        <f>IF(COUNTIFS('United Data'!$A$3:$A$3390,O$1,'United Data'!$C$3:$C$3390,$A108)&gt;0,1,0)</f>
        <v>0</v>
      </c>
      <c r="P108">
        <f>IF(COUNTIFS('United Data'!$A$3:$A$3390,P$1,'United Data'!$C$3:$C$3390,$A108)&gt;0,1,0)</f>
        <v>0</v>
      </c>
      <c r="Q108">
        <f>IF(COUNTIFS('United Data'!$A$3:$A$3390,Q$1,'United Data'!$C$3:$C$3390,$A108)&gt;0,1,0)</f>
        <v>0</v>
      </c>
      <c r="R108">
        <f>IF(COUNTIFS('United Data'!$A$3:$A$3390,R$1,'United Data'!$C$3:$C$3390,$A108)&gt;0,1,0)</f>
        <v>0</v>
      </c>
      <c r="S108">
        <f t="shared" si="2"/>
        <v>1</v>
      </c>
      <c r="T108">
        <f t="shared" si="3"/>
        <v>1</v>
      </c>
    </row>
    <row r="109" spans="1:20" x14ac:dyDescent="0.2">
      <c r="A109" t="s">
        <v>162</v>
      </c>
      <c r="B109">
        <f>IF(COUNTIFS('United Data'!$A$3:$A$3390,B$1,'United Data'!$C$3:$C$3390,$A109)&gt;0,1,0)</f>
        <v>0</v>
      </c>
      <c r="C109">
        <f>IF(COUNTIFS('United Data'!$A$3:$A$3390,C$1,'United Data'!$C$3:$C$3390,$A109)&gt;0,1,0)</f>
        <v>0</v>
      </c>
      <c r="D109">
        <f>IF(COUNTIFS('United Data'!$A$3:$A$3390,D$1,'United Data'!$C$3:$C$3390,$A109)&gt;0,1,0)</f>
        <v>0</v>
      </c>
      <c r="E109">
        <f>IF(COUNTIFS('United Data'!$A$3:$A$3390,E$1,'United Data'!$C$3:$C$3390,$A109)&gt;0,1,0)</f>
        <v>1</v>
      </c>
      <c r="F109">
        <f>IF(COUNTIFS('United Data'!$A$3:$A$3390,F$1,'United Data'!$C$3:$C$3390,$A109)&gt;0,1,0)</f>
        <v>1</v>
      </c>
      <c r="G109">
        <f>IF(COUNTIFS('United Data'!$A$3:$A$3390,G$1,'United Data'!$C$3:$C$3390,$A109)&gt;0,1,0)</f>
        <v>0</v>
      </c>
      <c r="H109">
        <f>IF(COUNTIFS('United Data'!$A$3:$A$3390,H$1,'United Data'!$C$3:$C$3390,$A109)&gt;0,1,0)</f>
        <v>0</v>
      </c>
      <c r="I109">
        <f>IF(COUNTIFS('United Data'!$A$3:$A$3390,I$1,'United Data'!$C$3:$C$3390,$A109)&gt;0,1,0)</f>
        <v>1</v>
      </c>
      <c r="J109">
        <f>IF(COUNTIFS('United Data'!$A$3:$A$3390,J$1,'United Data'!$C$3:$C$3390,$A109)&gt;0,1,0)</f>
        <v>0</v>
      </c>
      <c r="K109">
        <f>IF(COUNTIFS('United Data'!$A$3:$A$3390,K$1,'United Data'!$C$3:$C$3390,$A109)&gt;0,1,0)</f>
        <v>0</v>
      </c>
      <c r="L109">
        <f>IF(COUNTIFS('United Data'!$A$3:$A$3390,L$1,'United Data'!$C$3:$C$3390,$A109)&gt;0,1,0)</f>
        <v>1</v>
      </c>
      <c r="M109">
        <f>IF(COUNTIFS('United Data'!$A$3:$A$3390,M$1,'United Data'!$C$3:$C$3390,$A109)&gt;0,1,0)</f>
        <v>1</v>
      </c>
      <c r="N109">
        <f>IF(COUNTIFS('United Data'!$A$3:$A$3390,N$1,'United Data'!$C$3:$C$3390,$A109)&gt;0,1,0)</f>
        <v>1</v>
      </c>
      <c r="O109">
        <f>IF(COUNTIFS('United Data'!$A$3:$A$3390,O$1,'United Data'!$C$3:$C$3390,$A109)&gt;0,1,0)</f>
        <v>0</v>
      </c>
      <c r="P109">
        <f>IF(COUNTIFS('United Data'!$A$3:$A$3390,P$1,'United Data'!$C$3:$C$3390,$A109)&gt;0,1,0)</f>
        <v>0</v>
      </c>
      <c r="Q109">
        <f>IF(COUNTIFS('United Data'!$A$3:$A$3390,Q$1,'United Data'!$C$3:$C$3390,$A109)&gt;0,1,0)</f>
        <v>0</v>
      </c>
      <c r="R109">
        <f>IF(COUNTIFS('United Data'!$A$3:$A$3390,R$1,'United Data'!$C$3:$C$3390,$A109)&gt;0,1,0)</f>
        <v>0</v>
      </c>
      <c r="S109">
        <f t="shared" si="2"/>
        <v>6</v>
      </c>
      <c r="T109">
        <f t="shared" si="3"/>
        <v>3</v>
      </c>
    </row>
    <row r="110" spans="1:20" x14ac:dyDescent="0.2">
      <c r="A110" t="s">
        <v>163</v>
      </c>
      <c r="B110">
        <f>IF(COUNTIFS('United Data'!$A$3:$A$3390,B$1,'United Data'!$C$3:$C$3390,$A110)&gt;0,1,0)</f>
        <v>0</v>
      </c>
      <c r="C110">
        <f>IF(COUNTIFS('United Data'!$A$3:$A$3390,C$1,'United Data'!$C$3:$C$3390,$A110)&gt;0,1,0)</f>
        <v>0</v>
      </c>
      <c r="D110">
        <f>IF(COUNTIFS('United Data'!$A$3:$A$3390,D$1,'United Data'!$C$3:$C$3390,$A110)&gt;0,1,0)</f>
        <v>0</v>
      </c>
      <c r="E110">
        <f>IF(COUNTIFS('United Data'!$A$3:$A$3390,E$1,'United Data'!$C$3:$C$3390,$A110)&gt;0,1,0)</f>
        <v>1</v>
      </c>
      <c r="F110">
        <f>IF(COUNTIFS('United Data'!$A$3:$A$3390,F$1,'United Data'!$C$3:$C$3390,$A110)&gt;0,1,0)</f>
        <v>0</v>
      </c>
      <c r="G110">
        <f>IF(COUNTIFS('United Data'!$A$3:$A$3390,G$1,'United Data'!$C$3:$C$3390,$A110)&gt;0,1,0)</f>
        <v>0</v>
      </c>
      <c r="H110">
        <f>IF(COUNTIFS('United Data'!$A$3:$A$3390,H$1,'United Data'!$C$3:$C$3390,$A110)&gt;0,1,0)</f>
        <v>0</v>
      </c>
      <c r="I110">
        <f>IF(COUNTIFS('United Data'!$A$3:$A$3390,I$1,'United Data'!$C$3:$C$3390,$A110)&gt;0,1,0)</f>
        <v>0</v>
      </c>
      <c r="J110">
        <f>IF(COUNTIFS('United Data'!$A$3:$A$3390,J$1,'United Data'!$C$3:$C$3390,$A110)&gt;0,1,0)</f>
        <v>0</v>
      </c>
      <c r="K110">
        <f>IF(COUNTIFS('United Data'!$A$3:$A$3390,K$1,'United Data'!$C$3:$C$3390,$A110)&gt;0,1,0)</f>
        <v>0</v>
      </c>
      <c r="L110">
        <f>IF(COUNTIFS('United Data'!$A$3:$A$3390,L$1,'United Data'!$C$3:$C$3390,$A110)&gt;0,1,0)</f>
        <v>0</v>
      </c>
      <c r="M110">
        <f>IF(COUNTIFS('United Data'!$A$3:$A$3390,M$1,'United Data'!$C$3:$C$3390,$A110)&gt;0,1,0)</f>
        <v>0</v>
      </c>
      <c r="N110">
        <f>IF(COUNTIFS('United Data'!$A$3:$A$3390,N$1,'United Data'!$C$3:$C$3390,$A110)&gt;0,1,0)</f>
        <v>0</v>
      </c>
      <c r="O110">
        <f>IF(COUNTIFS('United Data'!$A$3:$A$3390,O$1,'United Data'!$C$3:$C$3390,$A110)&gt;0,1,0)</f>
        <v>0</v>
      </c>
      <c r="P110">
        <f>IF(COUNTIFS('United Data'!$A$3:$A$3390,P$1,'United Data'!$C$3:$C$3390,$A110)&gt;0,1,0)</f>
        <v>0</v>
      </c>
      <c r="Q110">
        <f>IF(COUNTIFS('United Data'!$A$3:$A$3390,Q$1,'United Data'!$C$3:$C$3390,$A110)&gt;0,1,0)</f>
        <v>0</v>
      </c>
      <c r="R110">
        <f>IF(COUNTIFS('United Data'!$A$3:$A$3390,R$1,'United Data'!$C$3:$C$3390,$A110)&gt;0,1,0)</f>
        <v>0</v>
      </c>
      <c r="S110">
        <f t="shared" si="2"/>
        <v>1</v>
      </c>
      <c r="T110">
        <f t="shared" si="3"/>
        <v>1</v>
      </c>
    </row>
    <row r="111" spans="1:20" x14ac:dyDescent="0.2">
      <c r="A111" t="s">
        <v>164</v>
      </c>
      <c r="B111">
        <f>IF(COUNTIFS('United Data'!$A$3:$A$3390,B$1,'United Data'!$C$3:$C$3390,$A111)&gt;0,1,0)</f>
        <v>0</v>
      </c>
      <c r="C111">
        <f>IF(COUNTIFS('United Data'!$A$3:$A$3390,C$1,'United Data'!$C$3:$C$3390,$A111)&gt;0,1,0)</f>
        <v>0</v>
      </c>
      <c r="D111">
        <f>IF(COUNTIFS('United Data'!$A$3:$A$3390,D$1,'United Data'!$C$3:$C$3390,$A111)&gt;0,1,0)</f>
        <v>0</v>
      </c>
      <c r="E111">
        <f>IF(COUNTIFS('United Data'!$A$3:$A$3390,E$1,'United Data'!$C$3:$C$3390,$A111)&gt;0,1,0)</f>
        <v>0</v>
      </c>
      <c r="F111">
        <f>IF(COUNTIFS('United Data'!$A$3:$A$3390,F$1,'United Data'!$C$3:$C$3390,$A111)&gt;0,1,0)</f>
        <v>1</v>
      </c>
      <c r="G111">
        <f>IF(COUNTIFS('United Data'!$A$3:$A$3390,G$1,'United Data'!$C$3:$C$3390,$A111)&gt;0,1,0)</f>
        <v>0</v>
      </c>
      <c r="H111">
        <f>IF(COUNTIFS('United Data'!$A$3:$A$3390,H$1,'United Data'!$C$3:$C$3390,$A111)&gt;0,1,0)</f>
        <v>0</v>
      </c>
      <c r="I111">
        <f>IF(COUNTIFS('United Data'!$A$3:$A$3390,I$1,'United Data'!$C$3:$C$3390,$A111)&gt;0,1,0)</f>
        <v>0</v>
      </c>
      <c r="J111">
        <f>IF(COUNTIFS('United Data'!$A$3:$A$3390,J$1,'United Data'!$C$3:$C$3390,$A111)&gt;0,1,0)</f>
        <v>0</v>
      </c>
      <c r="K111">
        <f>IF(COUNTIFS('United Data'!$A$3:$A$3390,K$1,'United Data'!$C$3:$C$3390,$A111)&gt;0,1,0)</f>
        <v>0</v>
      </c>
      <c r="L111">
        <f>IF(COUNTIFS('United Data'!$A$3:$A$3390,L$1,'United Data'!$C$3:$C$3390,$A111)&gt;0,1,0)</f>
        <v>0</v>
      </c>
      <c r="M111">
        <f>IF(COUNTIFS('United Data'!$A$3:$A$3390,M$1,'United Data'!$C$3:$C$3390,$A111)&gt;0,1,0)</f>
        <v>0</v>
      </c>
      <c r="N111">
        <f>IF(COUNTIFS('United Data'!$A$3:$A$3390,N$1,'United Data'!$C$3:$C$3390,$A111)&gt;0,1,0)</f>
        <v>0</v>
      </c>
      <c r="O111">
        <f>IF(COUNTIFS('United Data'!$A$3:$A$3390,O$1,'United Data'!$C$3:$C$3390,$A111)&gt;0,1,0)</f>
        <v>0</v>
      </c>
      <c r="P111">
        <f>IF(COUNTIFS('United Data'!$A$3:$A$3390,P$1,'United Data'!$C$3:$C$3390,$A111)&gt;0,1,0)</f>
        <v>0</v>
      </c>
      <c r="Q111">
        <f>IF(COUNTIFS('United Data'!$A$3:$A$3390,Q$1,'United Data'!$C$3:$C$3390,$A111)&gt;0,1,0)</f>
        <v>0</v>
      </c>
      <c r="R111">
        <f>IF(COUNTIFS('United Data'!$A$3:$A$3390,R$1,'United Data'!$C$3:$C$3390,$A111)&gt;0,1,0)</f>
        <v>0</v>
      </c>
      <c r="S111">
        <f t="shared" si="2"/>
        <v>1</v>
      </c>
      <c r="T111">
        <f t="shared" si="3"/>
        <v>1</v>
      </c>
    </row>
    <row r="112" spans="1:20" x14ac:dyDescent="0.2">
      <c r="A112" t="s">
        <v>165</v>
      </c>
      <c r="B112">
        <f>IF(COUNTIFS('United Data'!$A$3:$A$3390,B$1,'United Data'!$C$3:$C$3390,$A112)&gt;0,1,0)</f>
        <v>0</v>
      </c>
      <c r="C112">
        <f>IF(COUNTIFS('United Data'!$A$3:$A$3390,C$1,'United Data'!$C$3:$C$3390,$A112)&gt;0,1,0)</f>
        <v>0</v>
      </c>
      <c r="D112">
        <f>IF(COUNTIFS('United Data'!$A$3:$A$3390,D$1,'United Data'!$C$3:$C$3390,$A112)&gt;0,1,0)</f>
        <v>0</v>
      </c>
      <c r="E112">
        <f>IF(COUNTIFS('United Data'!$A$3:$A$3390,E$1,'United Data'!$C$3:$C$3390,$A112)&gt;0,1,0)</f>
        <v>0</v>
      </c>
      <c r="F112">
        <f>IF(COUNTIFS('United Data'!$A$3:$A$3390,F$1,'United Data'!$C$3:$C$3390,$A112)&gt;0,1,0)</f>
        <v>1</v>
      </c>
      <c r="G112">
        <f>IF(COUNTIFS('United Data'!$A$3:$A$3390,G$1,'United Data'!$C$3:$C$3390,$A112)&gt;0,1,0)</f>
        <v>0</v>
      </c>
      <c r="H112">
        <f>IF(COUNTIFS('United Data'!$A$3:$A$3390,H$1,'United Data'!$C$3:$C$3390,$A112)&gt;0,1,0)</f>
        <v>0</v>
      </c>
      <c r="I112">
        <f>IF(COUNTIFS('United Data'!$A$3:$A$3390,I$1,'United Data'!$C$3:$C$3390,$A112)&gt;0,1,0)</f>
        <v>0</v>
      </c>
      <c r="J112">
        <f>IF(COUNTIFS('United Data'!$A$3:$A$3390,J$1,'United Data'!$C$3:$C$3390,$A112)&gt;0,1,0)</f>
        <v>0</v>
      </c>
      <c r="K112">
        <f>IF(COUNTIFS('United Data'!$A$3:$A$3390,K$1,'United Data'!$C$3:$C$3390,$A112)&gt;0,1,0)</f>
        <v>0</v>
      </c>
      <c r="L112">
        <f>IF(COUNTIFS('United Data'!$A$3:$A$3390,L$1,'United Data'!$C$3:$C$3390,$A112)&gt;0,1,0)</f>
        <v>0</v>
      </c>
      <c r="M112">
        <f>IF(COUNTIFS('United Data'!$A$3:$A$3390,M$1,'United Data'!$C$3:$C$3390,$A112)&gt;0,1,0)</f>
        <v>0</v>
      </c>
      <c r="N112">
        <f>IF(COUNTIFS('United Data'!$A$3:$A$3390,N$1,'United Data'!$C$3:$C$3390,$A112)&gt;0,1,0)</f>
        <v>0</v>
      </c>
      <c r="O112">
        <f>IF(COUNTIFS('United Data'!$A$3:$A$3390,O$1,'United Data'!$C$3:$C$3390,$A112)&gt;0,1,0)</f>
        <v>0</v>
      </c>
      <c r="P112">
        <f>IF(COUNTIFS('United Data'!$A$3:$A$3390,P$1,'United Data'!$C$3:$C$3390,$A112)&gt;0,1,0)</f>
        <v>0</v>
      </c>
      <c r="Q112">
        <f>IF(COUNTIFS('United Data'!$A$3:$A$3390,Q$1,'United Data'!$C$3:$C$3390,$A112)&gt;0,1,0)</f>
        <v>0</v>
      </c>
      <c r="R112">
        <f>IF(COUNTIFS('United Data'!$A$3:$A$3390,R$1,'United Data'!$C$3:$C$3390,$A112)&gt;0,1,0)</f>
        <v>0</v>
      </c>
      <c r="S112">
        <f t="shared" si="2"/>
        <v>1</v>
      </c>
      <c r="T112">
        <f t="shared" si="3"/>
        <v>1</v>
      </c>
    </row>
    <row r="113" spans="1:20" x14ac:dyDescent="0.2">
      <c r="A113" t="s">
        <v>166</v>
      </c>
      <c r="B113">
        <f>IF(COUNTIFS('United Data'!$A$3:$A$3390,B$1,'United Data'!$C$3:$C$3390,$A113)&gt;0,1,0)</f>
        <v>0</v>
      </c>
      <c r="C113">
        <f>IF(COUNTIFS('United Data'!$A$3:$A$3390,C$1,'United Data'!$C$3:$C$3390,$A113)&gt;0,1,0)</f>
        <v>0</v>
      </c>
      <c r="D113">
        <f>IF(COUNTIFS('United Data'!$A$3:$A$3390,D$1,'United Data'!$C$3:$C$3390,$A113)&gt;0,1,0)</f>
        <v>0</v>
      </c>
      <c r="E113">
        <f>IF(COUNTIFS('United Data'!$A$3:$A$3390,E$1,'United Data'!$C$3:$C$3390,$A113)&gt;0,1,0)</f>
        <v>0</v>
      </c>
      <c r="F113">
        <f>IF(COUNTIFS('United Data'!$A$3:$A$3390,F$1,'United Data'!$C$3:$C$3390,$A113)&gt;0,1,0)</f>
        <v>1</v>
      </c>
      <c r="G113">
        <f>IF(COUNTIFS('United Data'!$A$3:$A$3390,G$1,'United Data'!$C$3:$C$3390,$A113)&gt;0,1,0)</f>
        <v>0</v>
      </c>
      <c r="H113">
        <f>IF(COUNTIFS('United Data'!$A$3:$A$3390,H$1,'United Data'!$C$3:$C$3390,$A113)&gt;0,1,0)</f>
        <v>0</v>
      </c>
      <c r="I113">
        <f>IF(COUNTIFS('United Data'!$A$3:$A$3390,I$1,'United Data'!$C$3:$C$3390,$A113)&gt;0,1,0)</f>
        <v>0</v>
      </c>
      <c r="J113">
        <f>IF(COUNTIFS('United Data'!$A$3:$A$3390,J$1,'United Data'!$C$3:$C$3390,$A113)&gt;0,1,0)</f>
        <v>0</v>
      </c>
      <c r="K113">
        <f>IF(COUNTIFS('United Data'!$A$3:$A$3390,K$1,'United Data'!$C$3:$C$3390,$A113)&gt;0,1,0)</f>
        <v>0</v>
      </c>
      <c r="L113">
        <f>IF(COUNTIFS('United Data'!$A$3:$A$3390,L$1,'United Data'!$C$3:$C$3390,$A113)&gt;0,1,0)</f>
        <v>0</v>
      </c>
      <c r="M113">
        <f>IF(COUNTIFS('United Data'!$A$3:$A$3390,M$1,'United Data'!$C$3:$C$3390,$A113)&gt;0,1,0)</f>
        <v>0</v>
      </c>
      <c r="N113">
        <f>IF(COUNTIFS('United Data'!$A$3:$A$3390,N$1,'United Data'!$C$3:$C$3390,$A113)&gt;0,1,0)</f>
        <v>0</v>
      </c>
      <c r="O113">
        <f>IF(COUNTIFS('United Data'!$A$3:$A$3390,O$1,'United Data'!$C$3:$C$3390,$A113)&gt;0,1,0)</f>
        <v>0</v>
      </c>
      <c r="P113">
        <f>IF(COUNTIFS('United Data'!$A$3:$A$3390,P$1,'United Data'!$C$3:$C$3390,$A113)&gt;0,1,0)</f>
        <v>0</v>
      </c>
      <c r="Q113">
        <f>IF(COUNTIFS('United Data'!$A$3:$A$3390,Q$1,'United Data'!$C$3:$C$3390,$A113)&gt;0,1,0)</f>
        <v>0</v>
      </c>
      <c r="R113">
        <f>IF(COUNTIFS('United Data'!$A$3:$A$3390,R$1,'United Data'!$C$3:$C$3390,$A113)&gt;0,1,0)</f>
        <v>0</v>
      </c>
      <c r="S113">
        <f t="shared" si="2"/>
        <v>1</v>
      </c>
      <c r="T113">
        <f t="shared" si="3"/>
        <v>1</v>
      </c>
    </row>
    <row r="114" spans="1:20" x14ac:dyDescent="0.2">
      <c r="A114" t="s">
        <v>167</v>
      </c>
      <c r="B114">
        <f>IF(COUNTIFS('United Data'!$A$3:$A$3390,B$1,'United Data'!$C$3:$C$3390,$A114)&gt;0,1,0)</f>
        <v>0</v>
      </c>
      <c r="C114">
        <f>IF(COUNTIFS('United Data'!$A$3:$A$3390,C$1,'United Data'!$C$3:$C$3390,$A114)&gt;0,1,0)</f>
        <v>0</v>
      </c>
      <c r="D114">
        <f>IF(COUNTIFS('United Data'!$A$3:$A$3390,D$1,'United Data'!$C$3:$C$3390,$A114)&gt;0,1,0)</f>
        <v>0</v>
      </c>
      <c r="E114">
        <f>IF(COUNTIFS('United Data'!$A$3:$A$3390,E$1,'United Data'!$C$3:$C$3390,$A114)&gt;0,1,0)</f>
        <v>0</v>
      </c>
      <c r="F114">
        <f>IF(COUNTIFS('United Data'!$A$3:$A$3390,F$1,'United Data'!$C$3:$C$3390,$A114)&gt;0,1,0)</f>
        <v>1</v>
      </c>
      <c r="G114">
        <f>IF(COUNTIFS('United Data'!$A$3:$A$3390,G$1,'United Data'!$C$3:$C$3390,$A114)&gt;0,1,0)</f>
        <v>0</v>
      </c>
      <c r="H114">
        <f>IF(COUNTIFS('United Data'!$A$3:$A$3390,H$1,'United Data'!$C$3:$C$3390,$A114)&gt;0,1,0)</f>
        <v>0</v>
      </c>
      <c r="I114">
        <f>IF(COUNTIFS('United Data'!$A$3:$A$3390,I$1,'United Data'!$C$3:$C$3390,$A114)&gt;0,1,0)</f>
        <v>0</v>
      </c>
      <c r="J114">
        <f>IF(COUNTIFS('United Data'!$A$3:$A$3390,J$1,'United Data'!$C$3:$C$3390,$A114)&gt;0,1,0)</f>
        <v>0</v>
      </c>
      <c r="K114">
        <f>IF(COUNTIFS('United Data'!$A$3:$A$3390,K$1,'United Data'!$C$3:$C$3390,$A114)&gt;0,1,0)</f>
        <v>0</v>
      </c>
      <c r="L114">
        <f>IF(COUNTIFS('United Data'!$A$3:$A$3390,L$1,'United Data'!$C$3:$C$3390,$A114)&gt;0,1,0)</f>
        <v>0</v>
      </c>
      <c r="M114">
        <f>IF(COUNTIFS('United Data'!$A$3:$A$3390,M$1,'United Data'!$C$3:$C$3390,$A114)&gt;0,1,0)</f>
        <v>0</v>
      </c>
      <c r="N114">
        <f>IF(COUNTIFS('United Data'!$A$3:$A$3390,N$1,'United Data'!$C$3:$C$3390,$A114)&gt;0,1,0)</f>
        <v>0</v>
      </c>
      <c r="O114">
        <f>IF(COUNTIFS('United Data'!$A$3:$A$3390,O$1,'United Data'!$C$3:$C$3390,$A114)&gt;0,1,0)</f>
        <v>0</v>
      </c>
      <c r="P114">
        <f>IF(COUNTIFS('United Data'!$A$3:$A$3390,P$1,'United Data'!$C$3:$C$3390,$A114)&gt;0,1,0)</f>
        <v>0</v>
      </c>
      <c r="Q114">
        <f>IF(COUNTIFS('United Data'!$A$3:$A$3390,Q$1,'United Data'!$C$3:$C$3390,$A114)&gt;0,1,0)</f>
        <v>0</v>
      </c>
      <c r="R114">
        <f>IF(COUNTIFS('United Data'!$A$3:$A$3390,R$1,'United Data'!$C$3:$C$3390,$A114)&gt;0,1,0)</f>
        <v>0</v>
      </c>
      <c r="S114">
        <f t="shared" si="2"/>
        <v>1</v>
      </c>
      <c r="T114">
        <f t="shared" si="3"/>
        <v>1</v>
      </c>
    </row>
    <row r="115" spans="1:20" x14ac:dyDescent="0.2">
      <c r="A115" t="s">
        <v>168</v>
      </c>
      <c r="B115">
        <f>IF(COUNTIFS('United Data'!$A$3:$A$3390,B$1,'United Data'!$C$3:$C$3390,$A115)&gt;0,1,0)</f>
        <v>0</v>
      </c>
      <c r="C115">
        <f>IF(COUNTIFS('United Data'!$A$3:$A$3390,C$1,'United Data'!$C$3:$C$3390,$A115)&gt;0,1,0)</f>
        <v>0</v>
      </c>
      <c r="D115">
        <f>IF(COUNTIFS('United Data'!$A$3:$A$3390,D$1,'United Data'!$C$3:$C$3390,$A115)&gt;0,1,0)</f>
        <v>0</v>
      </c>
      <c r="E115">
        <f>IF(COUNTIFS('United Data'!$A$3:$A$3390,E$1,'United Data'!$C$3:$C$3390,$A115)&gt;0,1,0)</f>
        <v>0</v>
      </c>
      <c r="F115">
        <f>IF(COUNTIFS('United Data'!$A$3:$A$3390,F$1,'United Data'!$C$3:$C$3390,$A115)&gt;0,1,0)</f>
        <v>1</v>
      </c>
      <c r="G115">
        <f>IF(COUNTIFS('United Data'!$A$3:$A$3390,G$1,'United Data'!$C$3:$C$3390,$A115)&gt;0,1,0)</f>
        <v>0</v>
      </c>
      <c r="H115">
        <f>IF(COUNTIFS('United Data'!$A$3:$A$3390,H$1,'United Data'!$C$3:$C$3390,$A115)&gt;0,1,0)</f>
        <v>0</v>
      </c>
      <c r="I115">
        <f>IF(COUNTIFS('United Data'!$A$3:$A$3390,I$1,'United Data'!$C$3:$C$3390,$A115)&gt;0,1,0)</f>
        <v>0</v>
      </c>
      <c r="J115">
        <f>IF(COUNTIFS('United Data'!$A$3:$A$3390,J$1,'United Data'!$C$3:$C$3390,$A115)&gt;0,1,0)</f>
        <v>0</v>
      </c>
      <c r="K115">
        <f>IF(COUNTIFS('United Data'!$A$3:$A$3390,K$1,'United Data'!$C$3:$C$3390,$A115)&gt;0,1,0)</f>
        <v>0</v>
      </c>
      <c r="L115">
        <f>IF(COUNTIFS('United Data'!$A$3:$A$3390,L$1,'United Data'!$C$3:$C$3390,$A115)&gt;0,1,0)</f>
        <v>0</v>
      </c>
      <c r="M115">
        <f>IF(COUNTIFS('United Data'!$A$3:$A$3390,M$1,'United Data'!$C$3:$C$3390,$A115)&gt;0,1,0)</f>
        <v>0</v>
      </c>
      <c r="N115">
        <f>IF(COUNTIFS('United Data'!$A$3:$A$3390,N$1,'United Data'!$C$3:$C$3390,$A115)&gt;0,1,0)</f>
        <v>0</v>
      </c>
      <c r="O115">
        <f>IF(COUNTIFS('United Data'!$A$3:$A$3390,O$1,'United Data'!$C$3:$C$3390,$A115)&gt;0,1,0)</f>
        <v>0</v>
      </c>
      <c r="P115">
        <f>IF(COUNTIFS('United Data'!$A$3:$A$3390,P$1,'United Data'!$C$3:$C$3390,$A115)&gt;0,1,0)</f>
        <v>0</v>
      </c>
      <c r="Q115">
        <f>IF(COUNTIFS('United Data'!$A$3:$A$3390,Q$1,'United Data'!$C$3:$C$3390,$A115)&gt;0,1,0)</f>
        <v>0</v>
      </c>
      <c r="R115">
        <f>IF(COUNTIFS('United Data'!$A$3:$A$3390,R$1,'United Data'!$C$3:$C$3390,$A115)&gt;0,1,0)</f>
        <v>0</v>
      </c>
      <c r="S115">
        <f t="shared" si="2"/>
        <v>1</v>
      </c>
      <c r="T115">
        <f t="shared" si="3"/>
        <v>1</v>
      </c>
    </row>
    <row r="116" spans="1:20" x14ac:dyDescent="0.2">
      <c r="A116" t="s">
        <v>169</v>
      </c>
      <c r="B116">
        <f>IF(COUNTIFS('United Data'!$A$3:$A$3390,B$1,'United Data'!$C$3:$C$3390,$A116)&gt;0,1,0)</f>
        <v>0</v>
      </c>
      <c r="C116">
        <f>IF(COUNTIFS('United Data'!$A$3:$A$3390,C$1,'United Data'!$C$3:$C$3390,$A116)&gt;0,1,0)</f>
        <v>0</v>
      </c>
      <c r="D116">
        <f>IF(COUNTIFS('United Data'!$A$3:$A$3390,D$1,'United Data'!$C$3:$C$3390,$A116)&gt;0,1,0)</f>
        <v>0</v>
      </c>
      <c r="E116">
        <f>IF(COUNTIFS('United Data'!$A$3:$A$3390,E$1,'United Data'!$C$3:$C$3390,$A116)&gt;0,1,0)</f>
        <v>0</v>
      </c>
      <c r="F116">
        <f>IF(COUNTIFS('United Data'!$A$3:$A$3390,F$1,'United Data'!$C$3:$C$3390,$A116)&gt;0,1,0)</f>
        <v>0</v>
      </c>
      <c r="G116">
        <f>IF(COUNTIFS('United Data'!$A$3:$A$3390,G$1,'United Data'!$C$3:$C$3390,$A116)&gt;0,1,0)</f>
        <v>0</v>
      </c>
      <c r="H116">
        <f>IF(COUNTIFS('United Data'!$A$3:$A$3390,H$1,'United Data'!$C$3:$C$3390,$A116)&gt;0,1,0)</f>
        <v>0</v>
      </c>
      <c r="I116">
        <f>IF(COUNTIFS('United Data'!$A$3:$A$3390,I$1,'United Data'!$C$3:$C$3390,$A116)&gt;0,1,0)</f>
        <v>1</v>
      </c>
      <c r="J116">
        <f>IF(COUNTIFS('United Data'!$A$3:$A$3390,J$1,'United Data'!$C$3:$C$3390,$A116)&gt;0,1,0)</f>
        <v>0</v>
      </c>
      <c r="K116">
        <f>IF(COUNTIFS('United Data'!$A$3:$A$3390,K$1,'United Data'!$C$3:$C$3390,$A116)&gt;0,1,0)</f>
        <v>0</v>
      </c>
      <c r="L116">
        <f>IF(COUNTIFS('United Data'!$A$3:$A$3390,L$1,'United Data'!$C$3:$C$3390,$A116)&gt;0,1,0)</f>
        <v>0</v>
      </c>
      <c r="M116">
        <f>IF(COUNTIFS('United Data'!$A$3:$A$3390,M$1,'United Data'!$C$3:$C$3390,$A116)&gt;0,1,0)</f>
        <v>0</v>
      </c>
      <c r="N116">
        <f>IF(COUNTIFS('United Data'!$A$3:$A$3390,N$1,'United Data'!$C$3:$C$3390,$A116)&gt;0,1,0)</f>
        <v>0</v>
      </c>
      <c r="O116">
        <f>IF(COUNTIFS('United Data'!$A$3:$A$3390,O$1,'United Data'!$C$3:$C$3390,$A116)&gt;0,1,0)</f>
        <v>0</v>
      </c>
      <c r="P116">
        <f>IF(COUNTIFS('United Data'!$A$3:$A$3390,P$1,'United Data'!$C$3:$C$3390,$A116)&gt;0,1,0)</f>
        <v>0</v>
      </c>
      <c r="Q116">
        <f>IF(COUNTIFS('United Data'!$A$3:$A$3390,Q$1,'United Data'!$C$3:$C$3390,$A116)&gt;0,1,0)</f>
        <v>0</v>
      </c>
      <c r="R116">
        <f>IF(COUNTIFS('United Data'!$A$3:$A$3390,R$1,'United Data'!$C$3:$C$3390,$A116)&gt;0,1,0)</f>
        <v>0</v>
      </c>
      <c r="S116">
        <f t="shared" si="2"/>
        <v>1</v>
      </c>
      <c r="T116">
        <f t="shared" si="3"/>
        <v>1</v>
      </c>
    </row>
    <row r="117" spans="1:20" x14ac:dyDescent="0.2">
      <c r="A117" t="s">
        <v>170</v>
      </c>
      <c r="B117">
        <f>IF(COUNTIFS('United Data'!$A$3:$A$3390,B$1,'United Data'!$C$3:$C$3390,$A117)&gt;0,1,0)</f>
        <v>0</v>
      </c>
      <c r="C117">
        <f>IF(COUNTIFS('United Data'!$A$3:$A$3390,C$1,'United Data'!$C$3:$C$3390,$A117)&gt;0,1,0)</f>
        <v>0</v>
      </c>
      <c r="D117">
        <f>IF(COUNTIFS('United Data'!$A$3:$A$3390,D$1,'United Data'!$C$3:$C$3390,$A117)&gt;0,1,0)</f>
        <v>0</v>
      </c>
      <c r="E117">
        <f>IF(COUNTIFS('United Data'!$A$3:$A$3390,E$1,'United Data'!$C$3:$C$3390,$A117)&gt;0,1,0)</f>
        <v>0</v>
      </c>
      <c r="F117">
        <f>IF(COUNTIFS('United Data'!$A$3:$A$3390,F$1,'United Data'!$C$3:$C$3390,$A117)&gt;0,1,0)</f>
        <v>0</v>
      </c>
      <c r="G117">
        <f>IF(COUNTIFS('United Data'!$A$3:$A$3390,G$1,'United Data'!$C$3:$C$3390,$A117)&gt;0,1,0)</f>
        <v>0</v>
      </c>
      <c r="H117">
        <f>IF(COUNTIFS('United Data'!$A$3:$A$3390,H$1,'United Data'!$C$3:$C$3390,$A117)&gt;0,1,0)</f>
        <v>0</v>
      </c>
      <c r="I117">
        <f>IF(COUNTIFS('United Data'!$A$3:$A$3390,I$1,'United Data'!$C$3:$C$3390,$A117)&gt;0,1,0)</f>
        <v>1</v>
      </c>
      <c r="J117">
        <f>IF(COUNTIFS('United Data'!$A$3:$A$3390,J$1,'United Data'!$C$3:$C$3390,$A117)&gt;0,1,0)</f>
        <v>0</v>
      </c>
      <c r="K117">
        <f>IF(COUNTIFS('United Data'!$A$3:$A$3390,K$1,'United Data'!$C$3:$C$3390,$A117)&gt;0,1,0)</f>
        <v>0</v>
      </c>
      <c r="L117">
        <f>IF(COUNTIFS('United Data'!$A$3:$A$3390,L$1,'United Data'!$C$3:$C$3390,$A117)&gt;0,1,0)</f>
        <v>0</v>
      </c>
      <c r="M117">
        <f>IF(COUNTIFS('United Data'!$A$3:$A$3390,M$1,'United Data'!$C$3:$C$3390,$A117)&gt;0,1,0)</f>
        <v>0</v>
      </c>
      <c r="N117">
        <f>IF(COUNTIFS('United Data'!$A$3:$A$3390,N$1,'United Data'!$C$3:$C$3390,$A117)&gt;0,1,0)</f>
        <v>0</v>
      </c>
      <c r="O117">
        <f>IF(COUNTIFS('United Data'!$A$3:$A$3390,O$1,'United Data'!$C$3:$C$3390,$A117)&gt;0,1,0)</f>
        <v>0</v>
      </c>
      <c r="P117">
        <f>IF(COUNTIFS('United Data'!$A$3:$A$3390,P$1,'United Data'!$C$3:$C$3390,$A117)&gt;0,1,0)</f>
        <v>0</v>
      </c>
      <c r="Q117">
        <f>IF(COUNTIFS('United Data'!$A$3:$A$3390,Q$1,'United Data'!$C$3:$C$3390,$A117)&gt;0,1,0)</f>
        <v>0</v>
      </c>
      <c r="R117">
        <f>IF(COUNTIFS('United Data'!$A$3:$A$3390,R$1,'United Data'!$C$3:$C$3390,$A117)&gt;0,1,0)</f>
        <v>0</v>
      </c>
      <c r="S117">
        <f t="shared" si="2"/>
        <v>1</v>
      </c>
      <c r="T117">
        <f t="shared" si="3"/>
        <v>1</v>
      </c>
    </row>
    <row r="118" spans="1:20" x14ac:dyDescent="0.2">
      <c r="A118" t="s">
        <v>172</v>
      </c>
      <c r="B118">
        <f>IF(COUNTIFS('United Data'!$A$3:$A$3390,B$1,'United Data'!$C$3:$C$3390,$A118)&gt;0,1,0)</f>
        <v>0</v>
      </c>
      <c r="C118">
        <f>IF(COUNTIFS('United Data'!$A$3:$A$3390,C$1,'United Data'!$C$3:$C$3390,$A118)&gt;0,1,0)</f>
        <v>0</v>
      </c>
      <c r="D118">
        <f>IF(COUNTIFS('United Data'!$A$3:$A$3390,D$1,'United Data'!$C$3:$C$3390,$A118)&gt;0,1,0)</f>
        <v>0</v>
      </c>
      <c r="E118">
        <f>IF(COUNTIFS('United Data'!$A$3:$A$3390,E$1,'United Data'!$C$3:$C$3390,$A118)&gt;0,1,0)</f>
        <v>0</v>
      </c>
      <c r="F118">
        <f>IF(COUNTIFS('United Data'!$A$3:$A$3390,F$1,'United Data'!$C$3:$C$3390,$A118)&gt;0,1,0)</f>
        <v>0</v>
      </c>
      <c r="G118">
        <f>IF(COUNTIFS('United Data'!$A$3:$A$3390,G$1,'United Data'!$C$3:$C$3390,$A118)&gt;0,1,0)</f>
        <v>0</v>
      </c>
      <c r="H118">
        <f>IF(COUNTIFS('United Data'!$A$3:$A$3390,H$1,'United Data'!$C$3:$C$3390,$A118)&gt;0,1,0)</f>
        <v>0</v>
      </c>
      <c r="I118">
        <f>IF(COUNTIFS('United Data'!$A$3:$A$3390,I$1,'United Data'!$C$3:$C$3390,$A118)&gt;0,1,0)</f>
        <v>0</v>
      </c>
      <c r="J118">
        <f>IF(COUNTIFS('United Data'!$A$3:$A$3390,J$1,'United Data'!$C$3:$C$3390,$A118)&gt;0,1,0)</f>
        <v>0</v>
      </c>
      <c r="K118">
        <f>IF(COUNTIFS('United Data'!$A$3:$A$3390,K$1,'United Data'!$C$3:$C$3390,$A118)&gt;0,1,0)</f>
        <v>0</v>
      </c>
      <c r="L118">
        <f>IF(COUNTIFS('United Data'!$A$3:$A$3390,L$1,'United Data'!$C$3:$C$3390,$A118)&gt;0,1,0)</f>
        <v>0</v>
      </c>
      <c r="M118">
        <f>IF(COUNTIFS('United Data'!$A$3:$A$3390,M$1,'United Data'!$C$3:$C$3390,$A118)&gt;0,1,0)</f>
        <v>1</v>
      </c>
      <c r="N118">
        <f>IF(COUNTIFS('United Data'!$A$3:$A$3390,N$1,'United Data'!$C$3:$C$3390,$A118)&gt;0,1,0)</f>
        <v>0</v>
      </c>
      <c r="O118">
        <f>IF(COUNTIFS('United Data'!$A$3:$A$3390,O$1,'United Data'!$C$3:$C$3390,$A118)&gt;0,1,0)</f>
        <v>0</v>
      </c>
      <c r="P118">
        <f>IF(COUNTIFS('United Data'!$A$3:$A$3390,P$1,'United Data'!$C$3:$C$3390,$A118)&gt;0,1,0)</f>
        <v>0</v>
      </c>
      <c r="Q118">
        <f>IF(COUNTIFS('United Data'!$A$3:$A$3390,Q$1,'United Data'!$C$3:$C$3390,$A118)&gt;0,1,0)</f>
        <v>0</v>
      </c>
      <c r="R118">
        <f>IF(COUNTIFS('United Data'!$A$3:$A$3390,R$1,'United Data'!$C$3:$C$3390,$A118)&gt;0,1,0)</f>
        <v>0</v>
      </c>
      <c r="S118">
        <f t="shared" si="2"/>
        <v>1</v>
      </c>
      <c r="T118">
        <f t="shared" si="3"/>
        <v>1</v>
      </c>
    </row>
    <row r="119" spans="1:20" x14ac:dyDescent="0.2">
      <c r="A119" t="s">
        <v>173</v>
      </c>
      <c r="B119">
        <f>IF(COUNTIFS('United Data'!$A$3:$A$3390,B$1,'United Data'!$C$3:$C$3390,$A119)&gt;0,1,0)</f>
        <v>0</v>
      </c>
      <c r="C119">
        <f>IF(COUNTIFS('United Data'!$A$3:$A$3390,C$1,'United Data'!$C$3:$C$3390,$A119)&gt;0,1,0)</f>
        <v>0</v>
      </c>
      <c r="D119">
        <f>IF(COUNTIFS('United Data'!$A$3:$A$3390,D$1,'United Data'!$C$3:$C$3390,$A119)&gt;0,1,0)</f>
        <v>0</v>
      </c>
      <c r="E119">
        <f>IF(COUNTIFS('United Data'!$A$3:$A$3390,E$1,'United Data'!$C$3:$C$3390,$A119)&gt;0,1,0)</f>
        <v>0</v>
      </c>
      <c r="F119">
        <f>IF(COUNTIFS('United Data'!$A$3:$A$3390,F$1,'United Data'!$C$3:$C$3390,$A119)&gt;0,1,0)</f>
        <v>0</v>
      </c>
      <c r="G119">
        <f>IF(COUNTIFS('United Data'!$A$3:$A$3390,G$1,'United Data'!$C$3:$C$3390,$A119)&gt;0,1,0)</f>
        <v>0</v>
      </c>
      <c r="H119">
        <f>IF(COUNTIFS('United Data'!$A$3:$A$3390,H$1,'United Data'!$C$3:$C$3390,$A119)&gt;0,1,0)</f>
        <v>0</v>
      </c>
      <c r="I119">
        <f>IF(COUNTIFS('United Data'!$A$3:$A$3390,I$1,'United Data'!$C$3:$C$3390,$A119)&gt;0,1,0)</f>
        <v>0</v>
      </c>
      <c r="J119">
        <f>IF(COUNTIFS('United Data'!$A$3:$A$3390,J$1,'United Data'!$C$3:$C$3390,$A119)&gt;0,1,0)</f>
        <v>0</v>
      </c>
      <c r="K119">
        <f>IF(COUNTIFS('United Data'!$A$3:$A$3390,K$1,'United Data'!$C$3:$C$3390,$A119)&gt;0,1,0)</f>
        <v>0</v>
      </c>
      <c r="L119">
        <f>IF(COUNTIFS('United Data'!$A$3:$A$3390,L$1,'United Data'!$C$3:$C$3390,$A119)&gt;0,1,0)</f>
        <v>0</v>
      </c>
      <c r="M119">
        <f>IF(COUNTIFS('United Data'!$A$3:$A$3390,M$1,'United Data'!$C$3:$C$3390,$A119)&gt;0,1,0)</f>
        <v>1</v>
      </c>
      <c r="N119">
        <f>IF(COUNTIFS('United Data'!$A$3:$A$3390,N$1,'United Data'!$C$3:$C$3390,$A119)&gt;0,1,0)</f>
        <v>0</v>
      </c>
      <c r="O119">
        <f>IF(COUNTIFS('United Data'!$A$3:$A$3390,O$1,'United Data'!$C$3:$C$3390,$A119)&gt;0,1,0)</f>
        <v>0</v>
      </c>
      <c r="P119">
        <f>IF(COUNTIFS('United Data'!$A$3:$A$3390,P$1,'United Data'!$C$3:$C$3390,$A119)&gt;0,1,0)</f>
        <v>0</v>
      </c>
      <c r="Q119">
        <f>IF(COUNTIFS('United Data'!$A$3:$A$3390,Q$1,'United Data'!$C$3:$C$3390,$A119)&gt;0,1,0)</f>
        <v>0</v>
      </c>
      <c r="R119">
        <f>IF(COUNTIFS('United Data'!$A$3:$A$3390,R$1,'United Data'!$C$3:$C$3390,$A119)&gt;0,1,0)</f>
        <v>0</v>
      </c>
      <c r="S119">
        <f t="shared" si="2"/>
        <v>1</v>
      </c>
      <c r="T119">
        <f t="shared" si="3"/>
        <v>1</v>
      </c>
    </row>
    <row r="120" spans="1:20" x14ac:dyDescent="0.2">
      <c r="A120" t="s">
        <v>174</v>
      </c>
      <c r="B120">
        <f>IF(COUNTIFS('United Data'!$A$3:$A$3390,B$1,'United Data'!$C$3:$C$3390,$A120)&gt;0,1,0)</f>
        <v>0</v>
      </c>
      <c r="C120">
        <f>IF(COUNTIFS('United Data'!$A$3:$A$3390,C$1,'United Data'!$C$3:$C$3390,$A120)&gt;0,1,0)</f>
        <v>0</v>
      </c>
      <c r="D120">
        <f>IF(COUNTIFS('United Data'!$A$3:$A$3390,D$1,'United Data'!$C$3:$C$3390,$A120)&gt;0,1,0)</f>
        <v>0</v>
      </c>
      <c r="E120">
        <f>IF(COUNTIFS('United Data'!$A$3:$A$3390,E$1,'United Data'!$C$3:$C$3390,$A120)&gt;0,1,0)</f>
        <v>0</v>
      </c>
      <c r="F120">
        <f>IF(COUNTIFS('United Data'!$A$3:$A$3390,F$1,'United Data'!$C$3:$C$3390,$A120)&gt;0,1,0)</f>
        <v>0</v>
      </c>
      <c r="G120">
        <f>IF(COUNTIFS('United Data'!$A$3:$A$3390,G$1,'United Data'!$C$3:$C$3390,$A120)&gt;0,1,0)</f>
        <v>0</v>
      </c>
      <c r="H120">
        <f>IF(COUNTIFS('United Data'!$A$3:$A$3390,H$1,'United Data'!$C$3:$C$3390,$A120)&gt;0,1,0)</f>
        <v>0</v>
      </c>
      <c r="I120">
        <f>IF(COUNTIFS('United Data'!$A$3:$A$3390,I$1,'United Data'!$C$3:$C$3390,$A120)&gt;0,1,0)</f>
        <v>0</v>
      </c>
      <c r="J120">
        <f>IF(COUNTIFS('United Data'!$A$3:$A$3390,J$1,'United Data'!$C$3:$C$3390,$A120)&gt;0,1,0)</f>
        <v>0</v>
      </c>
      <c r="K120">
        <f>IF(COUNTIFS('United Data'!$A$3:$A$3390,K$1,'United Data'!$C$3:$C$3390,$A120)&gt;0,1,0)</f>
        <v>0</v>
      </c>
      <c r="L120">
        <f>IF(COUNTIFS('United Data'!$A$3:$A$3390,L$1,'United Data'!$C$3:$C$3390,$A120)&gt;0,1,0)</f>
        <v>0</v>
      </c>
      <c r="M120">
        <f>IF(COUNTIFS('United Data'!$A$3:$A$3390,M$1,'United Data'!$C$3:$C$3390,$A120)&gt;0,1,0)</f>
        <v>1</v>
      </c>
      <c r="N120">
        <f>IF(COUNTIFS('United Data'!$A$3:$A$3390,N$1,'United Data'!$C$3:$C$3390,$A120)&gt;0,1,0)</f>
        <v>0</v>
      </c>
      <c r="O120">
        <f>IF(COUNTIFS('United Data'!$A$3:$A$3390,O$1,'United Data'!$C$3:$C$3390,$A120)&gt;0,1,0)</f>
        <v>0</v>
      </c>
      <c r="P120">
        <f>IF(COUNTIFS('United Data'!$A$3:$A$3390,P$1,'United Data'!$C$3:$C$3390,$A120)&gt;0,1,0)</f>
        <v>1</v>
      </c>
      <c r="Q120">
        <f>IF(COUNTIFS('United Data'!$A$3:$A$3390,Q$1,'United Data'!$C$3:$C$3390,$A120)&gt;0,1,0)</f>
        <v>0</v>
      </c>
      <c r="R120">
        <f>IF(COUNTIFS('United Data'!$A$3:$A$3390,R$1,'United Data'!$C$3:$C$3390,$A120)&gt;0,1,0)</f>
        <v>0</v>
      </c>
      <c r="S120">
        <f t="shared" si="2"/>
        <v>2</v>
      </c>
      <c r="T120">
        <f t="shared" si="3"/>
        <v>2</v>
      </c>
    </row>
    <row r="121" spans="1:20" x14ac:dyDescent="0.2">
      <c r="A121" t="s">
        <v>175</v>
      </c>
      <c r="B121">
        <f>IF(COUNTIFS('United Data'!$A$3:$A$3390,B$1,'United Data'!$C$3:$C$3390,$A121)&gt;0,1,0)</f>
        <v>0</v>
      </c>
      <c r="C121">
        <f>IF(COUNTIFS('United Data'!$A$3:$A$3390,C$1,'United Data'!$C$3:$C$3390,$A121)&gt;0,1,0)</f>
        <v>0</v>
      </c>
      <c r="D121">
        <f>IF(COUNTIFS('United Data'!$A$3:$A$3390,D$1,'United Data'!$C$3:$C$3390,$A121)&gt;0,1,0)</f>
        <v>0</v>
      </c>
      <c r="E121">
        <f>IF(COUNTIFS('United Data'!$A$3:$A$3390,E$1,'United Data'!$C$3:$C$3390,$A121)&gt;0,1,0)</f>
        <v>0</v>
      </c>
      <c r="F121">
        <f>IF(COUNTIFS('United Data'!$A$3:$A$3390,F$1,'United Data'!$C$3:$C$3390,$A121)&gt;0,1,0)</f>
        <v>0</v>
      </c>
      <c r="G121">
        <f>IF(COUNTIFS('United Data'!$A$3:$A$3390,G$1,'United Data'!$C$3:$C$3390,$A121)&gt;0,1,0)</f>
        <v>0</v>
      </c>
      <c r="H121">
        <f>IF(COUNTIFS('United Data'!$A$3:$A$3390,H$1,'United Data'!$C$3:$C$3390,$A121)&gt;0,1,0)</f>
        <v>0</v>
      </c>
      <c r="I121">
        <f>IF(COUNTIFS('United Data'!$A$3:$A$3390,I$1,'United Data'!$C$3:$C$3390,$A121)&gt;0,1,0)</f>
        <v>0</v>
      </c>
      <c r="J121">
        <f>IF(COUNTIFS('United Data'!$A$3:$A$3390,J$1,'United Data'!$C$3:$C$3390,$A121)&gt;0,1,0)</f>
        <v>0</v>
      </c>
      <c r="K121">
        <f>IF(COUNTIFS('United Data'!$A$3:$A$3390,K$1,'United Data'!$C$3:$C$3390,$A121)&gt;0,1,0)</f>
        <v>0</v>
      </c>
      <c r="L121">
        <f>IF(COUNTIFS('United Data'!$A$3:$A$3390,L$1,'United Data'!$C$3:$C$3390,$A121)&gt;0,1,0)</f>
        <v>0</v>
      </c>
      <c r="M121">
        <f>IF(COUNTIFS('United Data'!$A$3:$A$3390,M$1,'United Data'!$C$3:$C$3390,$A121)&gt;0,1,0)</f>
        <v>1</v>
      </c>
      <c r="N121">
        <f>IF(COUNTIFS('United Data'!$A$3:$A$3390,N$1,'United Data'!$C$3:$C$3390,$A121)&gt;0,1,0)</f>
        <v>0</v>
      </c>
      <c r="O121">
        <f>IF(COUNTIFS('United Data'!$A$3:$A$3390,O$1,'United Data'!$C$3:$C$3390,$A121)&gt;0,1,0)</f>
        <v>0</v>
      </c>
      <c r="P121">
        <f>IF(COUNTIFS('United Data'!$A$3:$A$3390,P$1,'United Data'!$C$3:$C$3390,$A121)&gt;0,1,0)</f>
        <v>0</v>
      </c>
      <c r="Q121">
        <f>IF(COUNTIFS('United Data'!$A$3:$A$3390,Q$1,'United Data'!$C$3:$C$3390,$A121)&gt;0,1,0)</f>
        <v>0</v>
      </c>
      <c r="R121">
        <f>IF(COUNTIFS('United Data'!$A$3:$A$3390,R$1,'United Data'!$C$3:$C$3390,$A121)&gt;0,1,0)</f>
        <v>0</v>
      </c>
      <c r="S121">
        <f t="shared" si="2"/>
        <v>1</v>
      </c>
      <c r="T121">
        <f t="shared" si="3"/>
        <v>1</v>
      </c>
    </row>
    <row r="122" spans="1:20" x14ac:dyDescent="0.2">
      <c r="A122" t="s">
        <v>176</v>
      </c>
      <c r="B122">
        <f>IF(COUNTIFS('United Data'!$A$3:$A$3390,B$1,'United Data'!$C$3:$C$3390,$A122)&gt;0,1,0)</f>
        <v>0</v>
      </c>
      <c r="C122">
        <f>IF(COUNTIFS('United Data'!$A$3:$A$3390,C$1,'United Data'!$C$3:$C$3390,$A122)&gt;0,1,0)</f>
        <v>0</v>
      </c>
      <c r="D122">
        <f>IF(COUNTIFS('United Data'!$A$3:$A$3390,D$1,'United Data'!$C$3:$C$3390,$A122)&gt;0,1,0)</f>
        <v>0</v>
      </c>
      <c r="E122">
        <f>IF(COUNTIFS('United Data'!$A$3:$A$3390,E$1,'United Data'!$C$3:$C$3390,$A122)&gt;0,1,0)</f>
        <v>0</v>
      </c>
      <c r="F122">
        <f>IF(COUNTIFS('United Data'!$A$3:$A$3390,F$1,'United Data'!$C$3:$C$3390,$A122)&gt;0,1,0)</f>
        <v>0</v>
      </c>
      <c r="G122">
        <f>IF(COUNTIFS('United Data'!$A$3:$A$3390,G$1,'United Data'!$C$3:$C$3390,$A122)&gt;0,1,0)</f>
        <v>0</v>
      </c>
      <c r="H122">
        <f>IF(COUNTIFS('United Data'!$A$3:$A$3390,H$1,'United Data'!$C$3:$C$3390,$A122)&gt;0,1,0)</f>
        <v>0</v>
      </c>
      <c r="I122">
        <f>IF(COUNTIFS('United Data'!$A$3:$A$3390,I$1,'United Data'!$C$3:$C$3390,$A122)&gt;0,1,0)</f>
        <v>0</v>
      </c>
      <c r="J122">
        <f>IF(COUNTIFS('United Data'!$A$3:$A$3390,J$1,'United Data'!$C$3:$C$3390,$A122)&gt;0,1,0)</f>
        <v>0</v>
      </c>
      <c r="K122">
        <f>IF(COUNTIFS('United Data'!$A$3:$A$3390,K$1,'United Data'!$C$3:$C$3390,$A122)&gt;0,1,0)</f>
        <v>0</v>
      </c>
      <c r="L122">
        <f>IF(COUNTIFS('United Data'!$A$3:$A$3390,L$1,'United Data'!$C$3:$C$3390,$A122)&gt;0,1,0)</f>
        <v>0</v>
      </c>
      <c r="M122">
        <f>IF(COUNTIFS('United Data'!$A$3:$A$3390,M$1,'United Data'!$C$3:$C$3390,$A122)&gt;0,1,0)</f>
        <v>1</v>
      </c>
      <c r="N122">
        <f>IF(COUNTIFS('United Data'!$A$3:$A$3390,N$1,'United Data'!$C$3:$C$3390,$A122)&gt;0,1,0)</f>
        <v>1</v>
      </c>
      <c r="O122">
        <f>IF(COUNTIFS('United Data'!$A$3:$A$3390,O$1,'United Data'!$C$3:$C$3390,$A122)&gt;0,1,0)</f>
        <v>0</v>
      </c>
      <c r="P122">
        <f>IF(COUNTIFS('United Data'!$A$3:$A$3390,P$1,'United Data'!$C$3:$C$3390,$A122)&gt;0,1,0)</f>
        <v>0</v>
      </c>
      <c r="Q122">
        <f>IF(COUNTIFS('United Data'!$A$3:$A$3390,Q$1,'United Data'!$C$3:$C$3390,$A122)&gt;0,1,0)</f>
        <v>0</v>
      </c>
      <c r="R122">
        <f>IF(COUNTIFS('United Data'!$A$3:$A$3390,R$1,'United Data'!$C$3:$C$3390,$A122)&gt;0,1,0)</f>
        <v>0</v>
      </c>
      <c r="S122">
        <f t="shared" si="2"/>
        <v>2</v>
      </c>
      <c r="T122">
        <f t="shared" si="3"/>
        <v>1</v>
      </c>
    </row>
    <row r="123" spans="1:20" x14ac:dyDescent="0.2">
      <c r="A123" t="s">
        <v>177</v>
      </c>
      <c r="B123">
        <f>IF(COUNTIFS('United Data'!$A$3:$A$3390,B$1,'United Data'!$C$3:$C$3390,$A123)&gt;0,1,0)</f>
        <v>0</v>
      </c>
      <c r="C123">
        <f>IF(COUNTIFS('United Data'!$A$3:$A$3390,C$1,'United Data'!$C$3:$C$3390,$A123)&gt;0,1,0)</f>
        <v>0</v>
      </c>
      <c r="D123">
        <f>IF(COUNTIFS('United Data'!$A$3:$A$3390,D$1,'United Data'!$C$3:$C$3390,$A123)&gt;0,1,0)</f>
        <v>0</v>
      </c>
      <c r="E123">
        <f>IF(COUNTIFS('United Data'!$A$3:$A$3390,E$1,'United Data'!$C$3:$C$3390,$A123)&gt;0,1,0)</f>
        <v>0</v>
      </c>
      <c r="F123">
        <f>IF(COUNTIFS('United Data'!$A$3:$A$3390,F$1,'United Data'!$C$3:$C$3390,$A123)&gt;0,1,0)</f>
        <v>0</v>
      </c>
      <c r="G123">
        <f>IF(COUNTIFS('United Data'!$A$3:$A$3390,G$1,'United Data'!$C$3:$C$3390,$A123)&gt;0,1,0)</f>
        <v>0</v>
      </c>
      <c r="H123">
        <f>IF(COUNTIFS('United Data'!$A$3:$A$3390,H$1,'United Data'!$C$3:$C$3390,$A123)&gt;0,1,0)</f>
        <v>0</v>
      </c>
      <c r="I123">
        <f>IF(COUNTIFS('United Data'!$A$3:$A$3390,I$1,'United Data'!$C$3:$C$3390,$A123)&gt;0,1,0)</f>
        <v>0</v>
      </c>
      <c r="J123">
        <f>IF(COUNTIFS('United Data'!$A$3:$A$3390,J$1,'United Data'!$C$3:$C$3390,$A123)&gt;0,1,0)</f>
        <v>0</v>
      </c>
      <c r="K123">
        <f>IF(COUNTIFS('United Data'!$A$3:$A$3390,K$1,'United Data'!$C$3:$C$3390,$A123)&gt;0,1,0)</f>
        <v>0</v>
      </c>
      <c r="L123">
        <f>IF(COUNTIFS('United Data'!$A$3:$A$3390,L$1,'United Data'!$C$3:$C$3390,$A123)&gt;0,1,0)</f>
        <v>0</v>
      </c>
      <c r="M123">
        <f>IF(COUNTIFS('United Data'!$A$3:$A$3390,M$1,'United Data'!$C$3:$C$3390,$A123)&gt;0,1,0)</f>
        <v>0</v>
      </c>
      <c r="N123">
        <f>IF(COUNTIFS('United Data'!$A$3:$A$3390,N$1,'United Data'!$C$3:$C$3390,$A123)&gt;0,1,0)</f>
        <v>1</v>
      </c>
      <c r="O123">
        <f>IF(COUNTIFS('United Data'!$A$3:$A$3390,O$1,'United Data'!$C$3:$C$3390,$A123)&gt;0,1,0)</f>
        <v>0</v>
      </c>
      <c r="P123">
        <f>IF(COUNTIFS('United Data'!$A$3:$A$3390,P$1,'United Data'!$C$3:$C$3390,$A123)&gt;0,1,0)</f>
        <v>0</v>
      </c>
      <c r="Q123">
        <f>IF(COUNTIFS('United Data'!$A$3:$A$3390,Q$1,'United Data'!$C$3:$C$3390,$A123)&gt;0,1,0)</f>
        <v>0</v>
      </c>
      <c r="R123">
        <f>IF(COUNTIFS('United Data'!$A$3:$A$3390,R$1,'United Data'!$C$3:$C$3390,$A123)&gt;0,1,0)</f>
        <v>0</v>
      </c>
      <c r="S123">
        <f t="shared" si="2"/>
        <v>1</v>
      </c>
      <c r="T123">
        <f t="shared" si="3"/>
        <v>1</v>
      </c>
    </row>
    <row r="124" spans="1:20" x14ac:dyDescent="0.2">
      <c r="A124" t="s">
        <v>179</v>
      </c>
      <c r="B124">
        <f>IF(COUNTIFS('United Data'!$A$3:$A$3390,B$1,'United Data'!$C$3:$C$3390,$A124)&gt;0,1,0)</f>
        <v>0</v>
      </c>
      <c r="C124">
        <f>IF(COUNTIFS('United Data'!$A$3:$A$3390,C$1,'United Data'!$C$3:$C$3390,$A124)&gt;0,1,0)</f>
        <v>0</v>
      </c>
      <c r="D124">
        <f>IF(COUNTIFS('United Data'!$A$3:$A$3390,D$1,'United Data'!$C$3:$C$3390,$A124)&gt;0,1,0)</f>
        <v>0</v>
      </c>
      <c r="E124">
        <f>IF(COUNTIFS('United Data'!$A$3:$A$3390,E$1,'United Data'!$C$3:$C$3390,$A124)&gt;0,1,0)</f>
        <v>0</v>
      </c>
      <c r="F124">
        <f>IF(COUNTIFS('United Data'!$A$3:$A$3390,F$1,'United Data'!$C$3:$C$3390,$A124)&gt;0,1,0)</f>
        <v>0</v>
      </c>
      <c r="G124">
        <f>IF(COUNTIFS('United Data'!$A$3:$A$3390,G$1,'United Data'!$C$3:$C$3390,$A124)&gt;0,1,0)</f>
        <v>0</v>
      </c>
      <c r="H124">
        <f>IF(COUNTIFS('United Data'!$A$3:$A$3390,H$1,'United Data'!$C$3:$C$3390,$A124)&gt;0,1,0)</f>
        <v>0</v>
      </c>
      <c r="I124">
        <f>IF(COUNTIFS('United Data'!$A$3:$A$3390,I$1,'United Data'!$C$3:$C$3390,$A124)&gt;0,1,0)</f>
        <v>0</v>
      </c>
      <c r="J124">
        <f>IF(COUNTIFS('United Data'!$A$3:$A$3390,J$1,'United Data'!$C$3:$C$3390,$A124)&gt;0,1,0)</f>
        <v>0</v>
      </c>
      <c r="K124">
        <f>IF(COUNTIFS('United Data'!$A$3:$A$3390,K$1,'United Data'!$C$3:$C$3390,$A124)&gt;0,1,0)</f>
        <v>0</v>
      </c>
      <c r="L124">
        <f>IF(COUNTIFS('United Data'!$A$3:$A$3390,L$1,'United Data'!$C$3:$C$3390,$A124)&gt;0,1,0)</f>
        <v>0</v>
      </c>
      <c r="M124">
        <f>IF(COUNTIFS('United Data'!$A$3:$A$3390,M$1,'United Data'!$C$3:$C$3390,$A124)&gt;0,1,0)</f>
        <v>0</v>
      </c>
      <c r="N124">
        <f>IF(COUNTIFS('United Data'!$A$3:$A$3390,N$1,'United Data'!$C$3:$C$3390,$A124)&gt;0,1,0)</f>
        <v>1</v>
      </c>
      <c r="O124">
        <f>IF(COUNTIFS('United Data'!$A$3:$A$3390,O$1,'United Data'!$C$3:$C$3390,$A124)&gt;0,1,0)</f>
        <v>0</v>
      </c>
      <c r="P124">
        <f>IF(COUNTIFS('United Data'!$A$3:$A$3390,P$1,'United Data'!$C$3:$C$3390,$A124)&gt;0,1,0)</f>
        <v>0</v>
      </c>
      <c r="Q124">
        <f>IF(COUNTIFS('United Data'!$A$3:$A$3390,Q$1,'United Data'!$C$3:$C$3390,$A124)&gt;0,1,0)</f>
        <v>0</v>
      </c>
      <c r="R124">
        <f>IF(COUNTIFS('United Data'!$A$3:$A$3390,R$1,'United Data'!$C$3:$C$3390,$A124)&gt;0,1,0)</f>
        <v>0</v>
      </c>
      <c r="S124">
        <f t="shared" si="2"/>
        <v>1</v>
      </c>
      <c r="T124">
        <f t="shared" si="3"/>
        <v>1</v>
      </c>
    </row>
    <row r="125" spans="1:20" x14ac:dyDescent="0.2">
      <c r="A125" t="s">
        <v>180</v>
      </c>
      <c r="B125">
        <f>IF(COUNTIFS('United Data'!$A$3:$A$3390,B$1,'United Data'!$C$3:$C$3390,$A125)&gt;0,1,0)</f>
        <v>0</v>
      </c>
      <c r="C125">
        <f>IF(COUNTIFS('United Data'!$A$3:$A$3390,C$1,'United Data'!$C$3:$C$3390,$A125)&gt;0,1,0)</f>
        <v>0</v>
      </c>
      <c r="D125">
        <f>IF(COUNTIFS('United Data'!$A$3:$A$3390,D$1,'United Data'!$C$3:$C$3390,$A125)&gt;0,1,0)</f>
        <v>0</v>
      </c>
      <c r="E125">
        <f>IF(COUNTIFS('United Data'!$A$3:$A$3390,E$1,'United Data'!$C$3:$C$3390,$A125)&gt;0,1,0)</f>
        <v>0</v>
      </c>
      <c r="F125">
        <f>IF(COUNTIFS('United Data'!$A$3:$A$3390,F$1,'United Data'!$C$3:$C$3390,$A125)&gt;0,1,0)</f>
        <v>0</v>
      </c>
      <c r="G125">
        <f>IF(COUNTIFS('United Data'!$A$3:$A$3390,G$1,'United Data'!$C$3:$C$3390,$A125)&gt;0,1,0)</f>
        <v>0</v>
      </c>
      <c r="H125">
        <f>IF(COUNTIFS('United Data'!$A$3:$A$3390,H$1,'United Data'!$C$3:$C$3390,$A125)&gt;0,1,0)</f>
        <v>0</v>
      </c>
      <c r="I125">
        <f>IF(COUNTIFS('United Data'!$A$3:$A$3390,I$1,'United Data'!$C$3:$C$3390,$A125)&gt;0,1,0)</f>
        <v>0</v>
      </c>
      <c r="J125">
        <f>IF(COUNTIFS('United Data'!$A$3:$A$3390,J$1,'United Data'!$C$3:$C$3390,$A125)&gt;0,1,0)</f>
        <v>0</v>
      </c>
      <c r="K125">
        <f>IF(COUNTIFS('United Data'!$A$3:$A$3390,K$1,'United Data'!$C$3:$C$3390,$A125)&gt;0,1,0)</f>
        <v>0</v>
      </c>
      <c r="L125">
        <f>IF(COUNTIFS('United Data'!$A$3:$A$3390,L$1,'United Data'!$C$3:$C$3390,$A125)&gt;0,1,0)</f>
        <v>0</v>
      </c>
      <c r="M125">
        <f>IF(COUNTIFS('United Data'!$A$3:$A$3390,M$1,'United Data'!$C$3:$C$3390,$A125)&gt;0,1,0)</f>
        <v>0</v>
      </c>
      <c r="N125">
        <f>IF(COUNTIFS('United Data'!$A$3:$A$3390,N$1,'United Data'!$C$3:$C$3390,$A125)&gt;0,1,0)</f>
        <v>1</v>
      </c>
      <c r="O125">
        <f>IF(COUNTIFS('United Data'!$A$3:$A$3390,O$1,'United Data'!$C$3:$C$3390,$A125)&gt;0,1,0)</f>
        <v>1</v>
      </c>
      <c r="P125">
        <f>IF(COUNTIFS('United Data'!$A$3:$A$3390,P$1,'United Data'!$C$3:$C$3390,$A125)&gt;0,1,0)</f>
        <v>1</v>
      </c>
      <c r="Q125">
        <f>IF(COUNTIFS('United Data'!$A$3:$A$3390,Q$1,'United Data'!$C$3:$C$3390,$A125)&gt;0,1,0)</f>
        <v>1</v>
      </c>
      <c r="R125">
        <f>IF(COUNTIFS('United Data'!$A$3:$A$3390,R$1,'United Data'!$C$3:$C$3390,$A125)&gt;0,1,0)</f>
        <v>0</v>
      </c>
      <c r="S125">
        <f t="shared" si="2"/>
        <v>4</v>
      </c>
      <c r="T125">
        <f t="shared" si="3"/>
        <v>1</v>
      </c>
    </row>
    <row r="126" spans="1:20" x14ac:dyDescent="0.2">
      <c r="A126" t="s">
        <v>181</v>
      </c>
      <c r="B126">
        <f>IF(COUNTIFS('United Data'!$A$3:$A$3390,B$1,'United Data'!$C$3:$C$3390,$A126)&gt;0,1,0)</f>
        <v>0</v>
      </c>
      <c r="C126">
        <f>IF(COUNTIFS('United Data'!$A$3:$A$3390,C$1,'United Data'!$C$3:$C$3390,$A126)&gt;0,1,0)</f>
        <v>0</v>
      </c>
      <c r="D126">
        <f>IF(COUNTIFS('United Data'!$A$3:$A$3390,D$1,'United Data'!$C$3:$C$3390,$A126)&gt;0,1,0)</f>
        <v>0</v>
      </c>
      <c r="E126">
        <f>IF(COUNTIFS('United Data'!$A$3:$A$3390,E$1,'United Data'!$C$3:$C$3390,$A126)&gt;0,1,0)</f>
        <v>0</v>
      </c>
      <c r="F126">
        <f>IF(COUNTIFS('United Data'!$A$3:$A$3390,F$1,'United Data'!$C$3:$C$3390,$A126)&gt;0,1,0)</f>
        <v>0</v>
      </c>
      <c r="G126">
        <f>IF(COUNTIFS('United Data'!$A$3:$A$3390,G$1,'United Data'!$C$3:$C$3390,$A126)&gt;0,1,0)</f>
        <v>0</v>
      </c>
      <c r="H126">
        <f>IF(COUNTIFS('United Data'!$A$3:$A$3390,H$1,'United Data'!$C$3:$C$3390,$A126)&gt;0,1,0)</f>
        <v>0</v>
      </c>
      <c r="I126">
        <f>IF(COUNTIFS('United Data'!$A$3:$A$3390,I$1,'United Data'!$C$3:$C$3390,$A126)&gt;0,1,0)</f>
        <v>0</v>
      </c>
      <c r="J126">
        <f>IF(COUNTIFS('United Data'!$A$3:$A$3390,J$1,'United Data'!$C$3:$C$3390,$A126)&gt;0,1,0)</f>
        <v>0</v>
      </c>
      <c r="K126">
        <f>IF(COUNTIFS('United Data'!$A$3:$A$3390,K$1,'United Data'!$C$3:$C$3390,$A126)&gt;0,1,0)</f>
        <v>0</v>
      </c>
      <c r="L126">
        <f>IF(COUNTIFS('United Data'!$A$3:$A$3390,L$1,'United Data'!$C$3:$C$3390,$A126)&gt;0,1,0)</f>
        <v>0</v>
      </c>
      <c r="M126">
        <f>IF(COUNTIFS('United Data'!$A$3:$A$3390,M$1,'United Data'!$C$3:$C$3390,$A126)&gt;0,1,0)</f>
        <v>0</v>
      </c>
      <c r="N126">
        <f>IF(COUNTIFS('United Data'!$A$3:$A$3390,N$1,'United Data'!$C$3:$C$3390,$A126)&gt;0,1,0)</f>
        <v>0</v>
      </c>
      <c r="O126">
        <f>IF(COUNTIFS('United Data'!$A$3:$A$3390,O$1,'United Data'!$C$3:$C$3390,$A126)&gt;0,1,0)</f>
        <v>1</v>
      </c>
      <c r="P126">
        <f>IF(COUNTIFS('United Data'!$A$3:$A$3390,P$1,'United Data'!$C$3:$C$3390,$A126)&gt;0,1,0)</f>
        <v>0</v>
      </c>
      <c r="Q126">
        <f>IF(COUNTIFS('United Data'!$A$3:$A$3390,Q$1,'United Data'!$C$3:$C$3390,$A126)&gt;0,1,0)</f>
        <v>0</v>
      </c>
      <c r="R126">
        <f>IF(COUNTIFS('United Data'!$A$3:$A$3390,R$1,'United Data'!$C$3:$C$3390,$A126)&gt;0,1,0)</f>
        <v>0</v>
      </c>
      <c r="S126">
        <f t="shared" si="2"/>
        <v>1</v>
      </c>
      <c r="T126">
        <f t="shared" si="3"/>
        <v>1</v>
      </c>
    </row>
    <row r="127" spans="1:20" x14ac:dyDescent="0.2">
      <c r="A127" t="s">
        <v>182</v>
      </c>
      <c r="B127">
        <f>IF(COUNTIFS('United Data'!$A$3:$A$3390,B$1,'United Data'!$C$3:$C$3390,$A127)&gt;0,1,0)</f>
        <v>0</v>
      </c>
      <c r="C127">
        <f>IF(COUNTIFS('United Data'!$A$3:$A$3390,C$1,'United Data'!$C$3:$C$3390,$A127)&gt;0,1,0)</f>
        <v>0</v>
      </c>
      <c r="D127">
        <f>IF(COUNTIFS('United Data'!$A$3:$A$3390,D$1,'United Data'!$C$3:$C$3390,$A127)&gt;0,1,0)</f>
        <v>0</v>
      </c>
      <c r="E127">
        <f>IF(COUNTIFS('United Data'!$A$3:$A$3390,E$1,'United Data'!$C$3:$C$3390,$A127)&gt;0,1,0)</f>
        <v>0</v>
      </c>
      <c r="F127">
        <f>IF(COUNTIFS('United Data'!$A$3:$A$3390,F$1,'United Data'!$C$3:$C$3390,$A127)&gt;0,1,0)</f>
        <v>0</v>
      </c>
      <c r="G127">
        <f>IF(COUNTIFS('United Data'!$A$3:$A$3390,G$1,'United Data'!$C$3:$C$3390,$A127)&gt;0,1,0)</f>
        <v>0</v>
      </c>
      <c r="H127">
        <f>IF(COUNTIFS('United Data'!$A$3:$A$3390,H$1,'United Data'!$C$3:$C$3390,$A127)&gt;0,1,0)</f>
        <v>0</v>
      </c>
      <c r="I127">
        <f>IF(COUNTIFS('United Data'!$A$3:$A$3390,I$1,'United Data'!$C$3:$C$3390,$A127)&gt;0,1,0)</f>
        <v>0</v>
      </c>
      <c r="J127">
        <f>IF(COUNTIFS('United Data'!$A$3:$A$3390,J$1,'United Data'!$C$3:$C$3390,$A127)&gt;0,1,0)</f>
        <v>0</v>
      </c>
      <c r="K127">
        <f>IF(COUNTIFS('United Data'!$A$3:$A$3390,K$1,'United Data'!$C$3:$C$3390,$A127)&gt;0,1,0)</f>
        <v>0</v>
      </c>
      <c r="L127">
        <f>IF(COUNTIFS('United Data'!$A$3:$A$3390,L$1,'United Data'!$C$3:$C$3390,$A127)&gt;0,1,0)</f>
        <v>0</v>
      </c>
      <c r="M127">
        <f>IF(COUNTIFS('United Data'!$A$3:$A$3390,M$1,'United Data'!$C$3:$C$3390,$A127)&gt;0,1,0)</f>
        <v>0</v>
      </c>
      <c r="N127">
        <f>IF(COUNTIFS('United Data'!$A$3:$A$3390,N$1,'United Data'!$C$3:$C$3390,$A127)&gt;0,1,0)</f>
        <v>0</v>
      </c>
      <c r="O127">
        <f>IF(COUNTIFS('United Data'!$A$3:$A$3390,O$1,'United Data'!$C$3:$C$3390,$A127)&gt;0,1,0)</f>
        <v>1</v>
      </c>
      <c r="P127">
        <f>IF(COUNTIFS('United Data'!$A$3:$A$3390,P$1,'United Data'!$C$3:$C$3390,$A127)&gt;0,1,0)</f>
        <v>0</v>
      </c>
      <c r="Q127">
        <f>IF(COUNTIFS('United Data'!$A$3:$A$3390,Q$1,'United Data'!$C$3:$C$3390,$A127)&gt;0,1,0)</f>
        <v>0</v>
      </c>
      <c r="R127">
        <f>IF(COUNTIFS('United Data'!$A$3:$A$3390,R$1,'United Data'!$C$3:$C$3390,$A127)&gt;0,1,0)</f>
        <v>0</v>
      </c>
      <c r="S127">
        <f t="shared" si="2"/>
        <v>1</v>
      </c>
      <c r="T127">
        <f t="shared" si="3"/>
        <v>1</v>
      </c>
    </row>
    <row r="128" spans="1:20" x14ac:dyDescent="0.2">
      <c r="A128" t="s">
        <v>183</v>
      </c>
      <c r="B128">
        <f>IF(COUNTIFS('United Data'!$A$3:$A$3390,B$1,'United Data'!$C$3:$C$3390,$A128)&gt;0,1,0)</f>
        <v>0</v>
      </c>
      <c r="C128">
        <f>IF(COUNTIFS('United Data'!$A$3:$A$3390,C$1,'United Data'!$C$3:$C$3390,$A128)&gt;0,1,0)</f>
        <v>0</v>
      </c>
      <c r="D128">
        <f>IF(COUNTIFS('United Data'!$A$3:$A$3390,D$1,'United Data'!$C$3:$C$3390,$A128)&gt;0,1,0)</f>
        <v>0</v>
      </c>
      <c r="E128">
        <f>IF(COUNTIFS('United Data'!$A$3:$A$3390,E$1,'United Data'!$C$3:$C$3390,$A128)&gt;0,1,0)</f>
        <v>0</v>
      </c>
      <c r="F128">
        <f>IF(COUNTIFS('United Data'!$A$3:$A$3390,F$1,'United Data'!$C$3:$C$3390,$A128)&gt;0,1,0)</f>
        <v>0</v>
      </c>
      <c r="G128">
        <f>IF(COUNTIFS('United Data'!$A$3:$A$3390,G$1,'United Data'!$C$3:$C$3390,$A128)&gt;0,1,0)</f>
        <v>0</v>
      </c>
      <c r="H128">
        <f>IF(COUNTIFS('United Data'!$A$3:$A$3390,H$1,'United Data'!$C$3:$C$3390,$A128)&gt;0,1,0)</f>
        <v>0</v>
      </c>
      <c r="I128">
        <f>IF(COUNTIFS('United Data'!$A$3:$A$3390,I$1,'United Data'!$C$3:$C$3390,$A128)&gt;0,1,0)</f>
        <v>0</v>
      </c>
      <c r="J128">
        <f>IF(COUNTIFS('United Data'!$A$3:$A$3390,J$1,'United Data'!$C$3:$C$3390,$A128)&gt;0,1,0)</f>
        <v>0</v>
      </c>
      <c r="K128">
        <f>IF(COUNTIFS('United Data'!$A$3:$A$3390,K$1,'United Data'!$C$3:$C$3390,$A128)&gt;0,1,0)</f>
        <v>0</v>
      </c>
      <c r="L128">
        <f>IF(COUNTIFS('United Data'!$A$3:$A$3390,L$1,'United Data'!$C$3:$C$3390,$A128)&gt;0,1,0)</f>
        <v>0</v>
      </c>
      <c r="M128">
        <f>IF(COUNTIFS('United Data'!$A$3:$A$3390,M$1,'United Data'!$C$3:$C$3390,$A128)&gt;0,1,0)</f>
        <v>0</v>
      </c>
      <c r="N128">
        <f>IF(COUNTIFS('United Data'!$A$3:$A$3390,N$1,'United Data'!$C$3:$C$3390,$A128)&gt;0,1,0)</f>
        <v>0</v>
      </c>
      <c r="O128">
        <f>IF(COUNTIFS('United Data'!$A$3:$A$3390,O$1,'United Data'!$C$3:$C$3390,$A128)&gt;0,1,0)</f>
        <v>1</v>
      </c>
      <c r="P128">
        <f>IF(COUNTIFS('United Data'!$A$3:$A$3390,P$1,'United Data'!$C$3:$C$3390,$A128)&gt;0,1,0)</f>
        <v>0</v>
      </c>
      <c r="Q128">
        <f>IF(COUNTIFS('United Data'!$A$3:$A$3390,Q$1,'United Data'!$C$3:$C$3390,$A128)&gt;0,1,0)</f>
        <v>1</v>
      </c>
      <c r="R128">
        <f>IF(COUNTIFS('United Data'!$A$3:$A$3390,R$1,'United Data'!$C$3:$C$3390,$A128)&gt;0,1,0)</f>
        <v>0</v>
      </c>
      <c r="S128">
        <f t="shared" si="2"/>
        <v>2</v>
      </c>
      <c r="T128">
        <f t="shared" si="3"/>
        <v>2</v>
      </c>
    </row>
    <row r="129" spans="1:20" x14ac:dyDescent="0.2">
      <c r="A129" t="s">
        <v>184</v>
      </c>
      <c r="B129">
        <f>IF(COUNTIFS('United Data'!$A$3:$A$3390,B$1,'United Data'!$C$3:$C$3390,$A129)&gt;0,1,0)</f>
        <v>0</v>
      </c>
      <c r="C129">
        <f>IF(COUNTIFS('United Data'!$A$3:$A$3390,C$1,'United Data'!$C$3:$C$3390,$A129)&gt;0,1,0)</f>
        <v>0</v>
      </c>
      <c r="D129">
        <f>IF(COUNTIFS('United Data'!$A$3:$A$3390,D$1,'United Data'!$C$3:$C$3390,$A129)&gt;0,1,0)</f>
        <v>0</v>
      </c>
      <c r="E129">
        <f>IF(COUNTIFS('United Data'!$A$3:$A$3390,E$1,'United Data'!$C$3:$C$3390,$A129)&gt;0,1,0)</f>
        <v>0</v>
      </c>
      <c r="F129">
        <f>IF(COUNTIFS('United Data'!$A$3:$A$3390,F$1,'United Data'!$C$3:$C$3390,$A129)&gt;0,1,0)</f>
        <v>0</v>
      </c>
      <c r="G129">
        <f>IF(COUNTIFS('United Data'!$A$3:$A$3390,G$1,'United Data'!$C$3:$C$3390,$A129)&gt;0,1,0)</f>
        <v>0</v>
      </c>
      <c r="H129">
        <f>IF(COUNTIFS('United Data'!$A$3:$A$3390,H$1,'United Data'!$C$3:$C$3390,$A129)&gt;0,1,0)</f>
        <v>0</v>
      </c>
      <c r="I129">
        <f>IF(COUNTIFS('United Data'!$A$3:$A$3390,I$1,'United Data'!$C$3:$C$3390,$A129)&gt;0,1,0)</f>
        <v>0</v>
      </c>
      <c r="J129">
        <f>IF(COUNTIFS('United Data'!$A$3:$A$3390,J$1,'United Data'!$C$3:$C$3390,$A129)&gt;0,1,0)</f>
        <v>0</v>
      </c>
      <c r="K129">
        <f>IF(COUNTIFS('United Data'!$A$3:$A$3390,K$1,'United Data'!$C$3:$C$3390,$A129)&gt;0,1,0)</f>
        <v>0</v>
      </c>
      <c r="L129">
        <f>IF(COUNTIFS('United Data'!$A$3:$A$3390,L$1,'United Data'!$C$3:$C$3390,$A129)&gt;0,1,0)</f>
        <v>0</v>
      </c>
      <c r="M129">
        <f>IF(COUNTIFS('United Data'!$A$3:$A$3390,M$1,'United Data'!$C$3:$C$3390,$A129)&gt;0,1,0)</f>
        <v>0</v>
      </c>
      <c r="N129">
        <f>IF(COUNTIFS('United Data'!$A$3:$A$3390,N$1,'United Data'!$C$3:$C$3390,$A129)&gt;0,1,0)</f>
        <v>0</v>
      </c>
      <c r="O129">
        <f>IF(COUNTIFS('United Data'!$A$3:$A$3390,O$1,'United Data'!$C$3:$C$3390,$A129)&gt;0,1,0)</f>
        <v>1</v>
      </c>
      <c r="P129">
        <f>IF(COUNTIFS('United Data'!$A$3:$A$3390,P$1,'United Data'!$C$3:$C$3390,$A129)&gt;0,1,0)</f>
        <v>0</v>
      </c>
      <c r="Q129">
        <f>IF(COUNTIFS('United Data'!$A$3:$A$3390,Q$1,'United Data'!$C$3:$C$3390,$A129)&gt;0,1,0)</f>
        <v>0</v>
      </c>
      <c r="R129">
        <f>IF(COUNTIFS('United Data'!$A$3:$A$3390,R$1,'United Data'!$C$3:$C$3390,$A129)&gt;0,1,0)</f>
        <v>0</v>
      </c>
      <c r="S129">
        <f t="shared" si="2"/>
        <v>1</v>
      </c>
      <c r="T129">
        <f t="shared" si="3"/>
        <v>1</v>
      </c>
    </row>
    <row r="130" spans="1:20" x14ac:dyDescent="0.2">
      <c r="A130" t="s">
        <v>185</v>
      </c>
      <c r="B130">
        <f>IF(COUNTIFS('United Data'!$A$3:$A$3390,B$1,'United Data'!$C$3:$C$3390,$A130)&gt;0,1,0)</f>
        <v>0</v>
      </c>
      <c r="C130">
        <f>IF(COUNTIFS('United Data'!$A$3:$A$3390,C$1,'United Data'!$C$3:$C$3390,$A130)&gt;0,1,0)</f>
        <v>0</v>
      </c>
      <c r="D130">
        <f>IF(COUNTIFS('United Data'!$A$3:$A$3390,D$1,'United Data'!$C$3:$C$3390,$A130)&gt;0,1,0)</f>
        <v>0</v>
      </c>
      <c r="E130">
        <f>IF(COUNTIFS('United Data'!$A$3:$A$3390,E$1,'United Data'!$C$3:$C$3390,$A130)&gt;0,1,0)</f>
        <v>0</v>
      </c>
      <c r="F130">
        <f>IF(COUNTIFS('United Data'!$A$3:$A$3390,F$1,'United Data'!$C$3:$C$3390,$A130)&gt;0,1,0)</f>
        <v>0</v>
      </c>
      <c r="G130">
        <f>IF(COUNTIFS('United Data'!$A$3:$A$3390,G$1,'United Data'!$C$3:$C$3390,$A130)&gt;0,1,0)</f>
        <v>0</v>
      </c>
      <c r="H130">
        <f>IF(COUNTIFS('United Data'!$A$3:$A$3390,H$1,'United Data'!$C$3:$C$3390,$A130)&gt;0,1,0)</f>
        <v>0</v>
      </c>
      <c r="I130">
        <f>IF(COUNTIFS('United Data'!$A$3:$A$3390,I$1,'United Data'!$C$3:$C$3390,$A130)&gt;0,1,0)</f>
        <v>0</v>
      </c>
      <c r="J130">
        <f>IF(COUNTIFS('United Data'!$A$3:$A$3390,J$1,'United Data'!$C$3:$C$3390,$A130)&gt;0,1,0)</f>
        <v>0</v>
      </c>
      <c r="K130">
        <f>IF(COUNTIFS('United Data'!$A$3:$A$3390,K$1,'United Data'!$C$3:$C$3390,$A130)&gt;0,1,0)</f>
        <v>0</v>
      </c>
      <c r="L130">
        <f>IF(COUNTIFS('United Data'!$A$3:$A$3390,L$1,'United Data'!$C$3:$C$3390,$A130)&gt;0,1,0)</f>
        <v>0</v>
      </c>
      <c r="M130">
        <f>IF(COUNTIFS('United Data'!$A$3:$A$3390,M$1,'United Data'!$C$3:$C$3390,$A130)&gt;0,1,0)</f>
        <v>0</v>
      </c>
      <c r="N130">
        <f>IF(COUNTIFS('United Data'!$A$3:$A$3390,N$1,'United Data'!$C$3:$C$3390,$A130)&gt;0,1,0)</f>
        <v>0</v>
      </c>
      <c r="O130">
        <f>IF(COUNTIFS('United Data'!$A$3:$A$3390,O$1,'United Data'!$C$3:$C$3390,$A130)&gt;0,1,0)</f>
        <v>1</v>
      </c>
      <c r="P130">
        <f>IF(COUNTIFS('United Data'!$A$3:$A$3390,P$1,'United Data'!$C$3:$C$3390,$A130)&gt;0,1,0)</f>
        <v>0</v>
      </c>
      <c r="Q130">
        <f>IF(COUNTIFS('United Data'!$A$3:$A$3390,Q$1,'United Data'!$C$3:$C$3390,$A130)&gt;0,1,0)</f>
        <v>0</v>
      </c>
      <c r="R130">
        <f>IF(COUNTIFS('United Data'!$A$3:$A$3390,R$1,'United Data'!$C$3:$C$3390,$A130)&gt;0,1,0)</f>
        <v>0</v>
      </c>
      <c r="S130">
        <f t="shared" ref="S130:S193" si="4">SUM(B130:R130)</f>
        <v>1</v>
      </c>
      <c r="T130">
        <f t="shared" ref="T130:T193" si="5">B130+SUMPRODUCT(--(C130:R130&gt;B130:Q130))</f>
        <v>1</v>
      </c>
    </row>
    <row r="131" spans="1:20" x14ac:dyDescent="0.2">
      <c r="A131" t="s">
        <v>186</v>
      </c>
      <c r="B131">
        <f>IF(COUNTIFS('United Data'!$A$3:$A$3390,B$1,'United Data'!$C$3:$C$3390,$A131)&gt;0,1,0)</f>
        <v>0</v>
      </c>
      <c r="C131">
        <f>IF(COUNTIFS('United Data'!$A$3:$A$3390,C$1,'United Data'!$C$3:$C$3390,$A131)&gt;0,1,0)</f>
        <v>0</v>
      </c>
      <c r="D131">
        <f>IF(COUNTIFS('United Data'!$A$3:$A$3390,D$1,'United Data'!$C$3:$C$3390,$A131)&gt;0,1,0)</f>
        <v>0</v>
      </c>
      <c r="E131">
        <f>IF(COUNTIFS('United Data'!$A$3:$A$3390,E$1,'United Data'!$C$3:$C$3390,$A131)&gt;0,1,0)</f>
        <v>0</v>
      </c>
      <c r="F131">
        <f>IF(COUNTIFS('United Data'!$A$3:$A$3390,F$1,'United Data'!$C$3:$C$3390,$A131)&gt;0,1,0)</f>
        <v>0</v>
      </c>
      <c r="G131">
        <f>IF(COUNTIFS('United Data'!$A$3:$A$3390,G$1,'United Data'!$C$3:$C$3390,$A131)&gt;0,1,0)</f>
        <v>0</v>
      </c>
      <c r="H131">
        <f>IF(COUNTIFS('United Data'!$A$3:$A$3390,H$1,'United Data'!$C$3:$C$3390,$A131)&gt;0,1,0)</f>
        <v>0</v>
      </c>
      <c r="I131">
        <f>IF(COUNTIFS('United Data'!$A$3:$A$3390,I$1,'United Data'!$C$3:$C$3390,$A131)&gt;0,1,0)</f>
        <v>0</v>
      </c>
      <c r="J131">
        <f>IF(COUNTIFS('United Data'!$A$3:$A$3390,J$1,'United Data'!$C$3:$C$3390,$A131)&gt;0,1,0)</f>
        <v>0</v>
      </c>
      <c r="K131">
        <f>IF(COUNTIFS('United Data'!$A$3:$A$3390,K$1,'United Data'!$C$3:$C$3390,$A131)&gt;0,1,0)</f>
        <v>0</v>
      </c>
      <c r="L131">
        <f>IF(COUNTIFS('United Data'!$A$3:$A$3390,L$1,'United Data'!$C$3:$C$3390,$A131)&gt;0,1,0)</f>
        <v>0</v>
      </c>
      <c r="M131">
        <f>IF(COUNTIFS('United Data'!$A$3:$A$3390,M$1,'United Data'!$C$3:$C$3390,$A131)&gt;0,1,0)</f>
        <v>0</v>
      </c>
      <c r="N131">
        <f>IF(COUNTIFS('United Data'!$A$3:$A$3390,N$1,'United Data'!$C$3:$C$3390,$A131)&gt;0,1,0)</f>
        <v>0</v>
      </c>
      <c r="O131">
        <f>IF(COUNTIFS('United Data'!$A$3:$A$3390,O$1,'United Data'!$C$3:$C$3390,$A131)&gt;0,1,0)</f>
        <v>0</v>
      </c>
      <c r="P131">
        <f>IF(COUNTIFS('United Data'!$A$3:$A$3390,P$1,'United Data'!$C$3:$C$3390,$A131)&gt;0,1,0)</f>
        <v>1</v>
      </c>
      <c r="Q131">
        <f>IF(COUNTIFS('United Data'!$A$3:$A$3390,Q$1,'United Data'!$C$3:$C$3390,$A131)&gt;0,1,0)</f>
        <v>0</v>
      </c>
      <c r="R131">
        <f>IF(COUNTIFS('United Data'!$A$3:$A$3390,R$1,'United Data'!$C$3:$C$3390,$A131)&gt;0,1,0)</f>
        <v>0</v>
      </c>
      <c r="S131">
        <f t="shared" si="4"/>
        <v>1</v>
      </c>
      <c r="T131">
        <f t="shared" si="5"/>
        <v>1</v>
      </c>
    </row>
    <row r="132" spans="1:20" x14ac:dyDescent="0.2">
      <c r="A132" t="s">
        <v>187</v>
      </c>
      <c r="B132">
        <f>IF(COUNTIFS('United Data'!$A$3:$A$3390,B$1,'United Data'!$C$3:$C$3390,$A132)&gt;0,1,0)</f>
        <v>0</v>
      </c>
      <c r="C132">
        <f>IF(COUNTIFS('United Data'!$A$3:$A$3390,C$1,'United Data'!$C$3:$C$3390,$A132)&gt;0,1,0)</f>
        <v>1</v>
      </c>
      <c r="D132">
        <f>IF(COUNTIFS('United Data'!$A$3:$A$3390,D$1,'United Data'!$C$3:$C$3390,$A132)&gt;0,1,0)</f>
        <v>0</v>
      </c>
      <c r="E132">
        <f>IF(COUNTIFS('United Data'!$A$3:$A$3390,E$1,'United Data'!$C$3:$C$3390,$A132)&gt;0,1,0)</f>
        <v>0</v>
      </c>
      <c r="F132">
        <f>IF(COUNTIFS('United Data'!$A$3:$A$3390,F$1,'United Data'!$C$3:$C$3390,$A132)&gt;0,1,0)</f>
        <v>0</v>
      </c>
      <c r="G132">
        <f>IF(COUNTIFS('United Data'!$A$3:$A$3390,G$1,'United Data'!$C$3:$C$3390,$A132)&gt;0,1,0)</f>
        <v>0</v>
      </c>
      <c r="H132">
        <f>IF(COUNTIFS('United Data'!$A$3:$A$3390,H$1,'United Data'!$C$3:$C$3390,$A132)&gt;0,1,0)</f>
        <v>0</v>
      </c>
      <c r="I132">
        <f>IF(COUNTIFS('United Data'!$A$3:$A$3390,I$1,'United Data'!$C$3:$C$3390,$A132)&gt;0,1,0)</f>
        <v>0</v>
      </c>
      <c r="J132">
        <f>IF(COUNTIFS('United Data'!$A$3:$A$3390,J$1,'United Data'!$C$3:$C$3390,$A132)&gt;0,1,0)</f>
        <v>0</v>
      </c>
      <c r="K132">
        <f>IF(COUNTIFS('United Data'!$A$3:$A$3390,K$1,'United Data'!$C$3:$C$3390,$A132)&gt;0,1,0)</f>
        <v>0</v>
      </c>
      <c r="L132">
        <f>IF(COUNTIFS('United Data'!$A$3:$A$3390,L$1,'United Data'!$C$3:$C$3390,$A132)&gt;0,1,0)</f>
        <v>0</v>
      </c>
      <c r="M132">
        <f>IF(COUNTIFS('United Data'!$A$3:$A$3390,M$1,'United Data'!$C$3:$C$3390,$A132)&gt;0,1,0)</f>
        <v>0</v>
      </c>
      <c r="N132">
        <f>IF(COUNTIFS('United Data'!$A$3:$A$3390,N$1,'United Data'!$C$3:$C$3390,$A132)&gt;0,1,0)</f>
        <v>0</v>
      </c>
      <c r="O132">
        <f>IF(COUNTIFS('United Data'!$A$3:$A$3390,O$1,'United Data'!$C$3:$C$3390,$A132)&gt;0,1,0)</f>
        <v>0</v>
      </c>
      <c r="P132">
        <f>IF(COUNTIFS('United Data'!$A$3:$A$3390,P$1,'United Data'!$C$3:$C$3390,$A132)&gt;0,1,0)</f>
        <v>1</v>
      </c>
      <c r="Q132">
        <f>IF(COUNTIFS('United Data'!$A$3:$A$3390,Q$1,'United Data'!$C$3:$C$3390,$A132)&gt;0,1,0)</f>
        <v>0</v>
      </c>
      <c r="R132">
        <f>IF(COUNTIFS('United Data'!$A$3:$A$3390,R$1,'United Data'!$C$3:$C$3390,$A132)&gt;0,1,0)</f>
        <v>0</v>
      </c>
      <c r="S132">
        <f t="shared" si="4"/>
        <v>2</v>
      </c>
      <c r="T132">
        <f t="shared" si="5"/>
        <v>2</v>
      </c>
    </row>
    <row r="133" spans="1:20" x14ac:dyDescent="0.2">
      <c r="A133" t="s">
        <v>188</v>
      </c>
      <c r="B133">
        <f>IF(COUNTIFS('United Data'!$A$3:$A$3390,B$1,'United Data'!$C$3:$C$3390,$A133)&gt;0,1,0)</f>
        <v>0</v>
      </c>
      <c r="C133">
        <f>IF(COUNTIFS('United Data'!$A$3:$A$3390,C$1,'United Data'!$C$3:$C$3390,$A133)&gt;0,1,0)</f>
        <v>0</v>
      </c>
      <c r="D133">
        <f>IF(COUNTIFS('United Data'!$A$3:$A$3390,D$1,'United Data'!$C$3:$C$3390,$A133)&gt;0,1,0)</f>
        <v>0</v>
      </c>
      <c r="E133">
        <f>IF(COUNTIFS('United Data'!$A$3:$A$3390,E$1,'United Data'!$C$3:$C$3390,$A133)&gt;0,1,0)</f>
        <v>0</v>
      </c>
      <c r="F133">
        <f>IF(COUNTIFS('United Data'!$A$3:$A$3390,F$1,'United Data'!$C$3:$C$3390,$A133)&gt;0,1,0)</f>
        <v>0</v>
      </c>
      <c r="G133">
        <f>IF(COUNTIFS('United Data'!$A$3:$A$3390,G$1,'United Data'!$C$3:$C$3390,$A133)&gt;0,1,0)</f>
        <v>0</v>
      </c>
      <c r="H133">
        <f>IF(COUNTIFS('United Data'!$A$3:$A$3390,H$1,'United Data'!$C$3:$C$3390,$A133)&gt;0,1,0)</f>
        <v>0</v>
      </c>
      <c r="I133">
        <f>IF(COUNTIFS('United Data'!$A$3:$A$3390,I$1,'United Data'!$C$3:$C$3390,$A133)&gt;0,1,0)</f>
        <v>0</v>
      </c>
      <c r="J133">
        <f>IF(COUNTIFS('United Data'!$A$3:$A$3390,J$1,'United Data'!$C$3:$C$3390,$A133)&gt;0,1,0)</f>
        <v>0</v>
      </c>
      <c r="K133">
        <f>IF(COUNTIFS('United Data'!$A$3:$A$3390,K$1,'United Data'!$C$3:$C$3390,$A133)&gt;0,1,0)</f>
        <v>0</v>
      </c>
      <c r="L133">
        <f>IF(COUNTIFS('United Data'!$A$3:$A$3390,L$1,'United Data'!$C$3:$C$3390,$A133)&gt;0,1,0)</f>
        <v>0</v>
      </c>
      <c r="M133">
        <f>IF(COUNTIFS('United Data'!$A$3:$A$3390,M$1,'United Data'!$C$3:$C$3390,$A133)&gt;0,1,0)</f>
        <v>0</v>
      </c>
      <c r="N133">
        <f>IF(COUNTIFS('United Data'!$A$3:$A$3390,N$1,'United Data'!$C$3:$C$3390,$A133)&gt;0,1,0)</f>
        <v>0</v>
      </c>
      <c r="O133">
        <f>IF(COUNTIFS('United Data'!$A$3:$A$3390,O$1,'United Data'!$C$3:$C$3390,$A133)&gt;0,1,0)</f>
        <v>0</v>
      </c>
      <c r="P133">
        <f>IF(COUNTIFS('United Data'!$A$3:$A$3390,P$1,'United Data'!$C$3:$C$3390,$A133)&gt;0,1,0)</f>
        <v>1</v>
      </c>
      <c r="Q133">
        <f>IF(COUNTIFS('United Data'!$A$3:$A$3390,Q$1,'United Data'!$C$3:$C$3390,$A133)&gt;0,1,0)</f>
        <v>1</v>
      </c>
      <c r="R133">
        <f>IF(COUNTIFS('United Data'!$A$3:$A$3390,R$1,'United Data'!$C$3:$C$3390,$A133)&gt;0,1,0)</f>
        <v>0</v>
      </c>
      <c r="S133">
        <f t="shared" si="4"/>
        <v>2</v>
      </c>
      <c r="T133">
        <f t="shared" si="5"/>
        <v>1</v>
      </c>
    </row>
    <row r="134" spans="1:20" x14ac:dyDescent="0.2">
      <c r="A134" t="s">
        <v>189</v>
      </c>
      <c r="B134">
        <f>IF(COUNTIFS('United Data'!$A$3:$A$3390,B$1,'United Data'!$C$3:$C$3390,$A134)&gt;0,1,0)</f>
        <v>0</v>
      </c>
      <c r="C134">
        <f>IF(COUNTIFS('United Data'!$A$3:$A$3390,C$1,'United Data'!$C$3:$C$3390,$A134)&gt;0,1,0)</f>
        <v>0</v>
      </c>
      <c r="D134">
        <f>IF(COUNTIFS('United Data'!$A$3:$A$3390,D$1,'United Data'!$C$3:$C$3390,$A134)&gt;0,1,0)</f>
        <v>0</v>
      </c>
      <c r="E134">
        <f>IF(COUNTIFS('United Data'!$A$3:$A$3390,E$1,'United Data'!$C$3:$C$3390,$A134)&gt;0,1,0)</f>
        <v>0</v>
      </c>
      <c r="F134">
        <f>IF(COUNTIFS('United Data'!$A$3:$A$3390,F$1,'United Data'!$C$3:$C$3390,$A134)&gt;0,1,0)</f>
        <v>0</v>
      </c>
      <c r="G134">
        <f>IF(COUNTIFS('United Data'!$A$3:$A$3390,G$1,'United Data'!$C$3:$C$3390,$A134)&gt;0,1,0)</f>
        <v>0</v>
      </c>
      <c r="H134">
        <f>IF(COUNTIFS('United Data'!$A$3:$A$3390,H$1,'United Data'!$C$3:$C$3390,$A134)&gt;0,1,0)</f>
        <v>0</v>
      </c>
      <c r="I134">
        <f>IF(COUNTIFS('United Data'!$A$3:$A$3390,I$1,'United Data'!$C$3:$C$3390,$A134)&gt;0,1,0)</f>
        <v>0</v>
      </c>
      <c r="J134">
        <f>IF(COUNTIFS('United Data'!$A$3:$A$3390,J$1,'United Data'!$C$3:$C$3390,$A134)&gt;0,1,0)</f>
        <v>0</v>
      </c>
      <c r="K134">
        <f>IF(COUNTIFS('United Data'!$A$3:$A$3390,K$1,'United Data'!$C$3:$C$3390,$A134)&gt;0,1,0)</f>
        <v>0</v>
      </c>
      <c r="L134">
        <f>IF(COUNTIFS('United Data'!$A$3:$A$3390,L$1,'United Data'!$C$3:$C$3390,$A134)&gt;0,1,0)</f>
        <v>0</v>
      </c>
      <c r="M134">
        <f>IF(COUNTIFS('United Data'!$A$3:$A$3390,M$1,'United Data'!$C$3:$C$3390,$A134)&gt;0,1,0)</f>
        <v>0</v>
      </c>
      <c r="N134">
        <f>IF(COUNTIFS('United Data'!$A$3:$A$3390,N$1,'United Data'!$C$3:$C$3390,$A134)&gt;0,1,0)</f>
        <v>0</v>
      </c>
      <c r="O134">
        <f>IF(COUNTIFS('United Data'!$A$3:$A$3390,O$1,'United Data'!$C$3:$C$3390,$A134)&gt;0,1,0)</f>
        <v>0</v>
      </c>
      <c r="P134">
        <f>IF(COUNTIFS('United Data'!$A$3:$A$3390,P$1,'United Data'!$C$3:$C$3390,$A134)&gt;0,1,0)</f>
        <v>1</v>
      </c>
      <c r="Q134">
        <f>IF(COUNTIFS('United Data'!$A$3:$A$3390,Q$1,'United Data'!$C$3:$C$3390,$A134)&gt;0,1,0)</f>
        <v>0</v>
      </c>
      <c r="R134">
        <f>IF(COUNTIFS('United Data'!$A$3:$A$3390,R$1,'United Data'!$C$3:$C$3390,$A134)&gt;0,1,0)</f>
        <v>0</v>
      </c>
      <c r="S134">
        <f t="shared" si="4"/>
        <v>1</v>
      </c>
      <c r="T134">
        <f t="shared" si="5"/>
        <v>1</v>
      </c>
    </row>
    <row r="135" spans="1:20" x14ac:dyDescent="0.2">
      <c r="A135" t="s">
        <v>190</v>
      </c>
      <c r="B135">
        <f>IF(COUNTIFS('United Data'!$A$3:$A$3390,B$1,'United Data'!$C$3:$C$3390,$A135)&gt;0,1,0)</f>
        <v>0</v>
      </c>
      <c r="C135">
        <f>IF(COUNTIFS('United Data'!$A$3:$A$3390,C$1,'United Data'!$C$3:$C$3390,$A135)&gt;0,1,0)</f>
        <v>0</v>
      </c>
      <c r="D135">
        <f>IF(COUNTIFS('United Data'!$A$3:$A$3390,D$1,'United Data'!$C$3:$C$3390,$A135)&gt;0,1,0)</f>
        <v>0</v>
      </c>
      <c r="E135">
        <f>IF(COUNTIFS('United Data'!$A$3:$A$3390,E$1,'United Data'!$C$3:$C$3390,$A135)&gt;0,1,0)</f>
        <v>0</v>
      </c>
      <c r="F135">
        <f>IF(COUNTIFS('United Data'!$A$3:$A$3390,F$1,'United Data'!$C$3:$C$3390,$A135)&gt;0,1,0)</f>
        <v>0</v>
      </c>
      <c r="G135">
        <f>IF(COUNTIFS('United Data'!$A$3:$A$3390,G$1,'United Data'!$C$3:$C$3390,$A135)&gt;0,1,0)</f>
        <v>0</v>
      </c>
      <c r="H135">
        <f>IF(COUNTIFS('United Data'!$A$3:$A$3390,H$1,'United Data'!$C$3:$C$3390,$A135)&gt;0,1,0)</f>
        <v>0</v>
      </c>
      <c r="I135">
        <f>IF(COUNTIFS('United Data'!$A$3:$A$3390,I$1,'United Data'!$C$3:$C$3390,$A135)&gt;0,1,0)</f>
        <v>0</v>
      </c>
      <c r="J135">
        <f>IF(COUNTIFS('United Data'!$A$3:$A$3390,J$1,'United Data'!$C$3:$C$3390,$A135)&gt;0,1,0)</f>
        <v>0</v>
      </c>
      <c r="K135">
        <f>IF(COUNTIFS('United Data'!$A$3:$A$3390,K$1,'United Data'!$C$3:$C$3390,$A135)&gt;0,1,0)</f>
        <v>0</v>
      </c>
      <c r="L135">
        <f>IF(COUNTIFS('United Data'!$A$3:$A$3390,L$1,'United Data'!$C$3:$C$3390,$A135)&gt;0,1,0)</f>
        <v>0</v>
      </c>
      <c r="M135">
        <f>IF(COUNTIFS('United Data'!$A$3:$A$3390,M$1,'United Data'!$C$3:$C$3390,$A135)&gt;0,1,0)</f>
        <v>0</v>
      </c>
      <c r="N135">
        <f>IF(COUNTIFS('United Data'!$A$3:$A$3390,N$1,'United Data'!$C$3:$C$3390,$A135)&gt;0,1,0)</f>
        <v>0</v>
      </c>
      <c r="O135">
        <f>IF(COUNTIFS('United Data'!$A$3:$A$3390,O$1,'United Data'!$C$3:$C$3390,$A135)&gt;0,1,0)</f>
        <v>0</v>
      </c>
      <c r="P135">
        <f>IF(COUNTIFS('United Data'!$A$3:$A$3390,P$1,'United Data'!$C$3:$C$3390,$A135)&gt;0,1,0)</f>
        <v>0</v>
      </c>
      <c r="Q135">
        <f>IF(COUNTIFS('United Data'!$A$3:$A$3390,Q$1,'United Data'!$C$3:$C$3390,$A135)&gt;0,1,0)</f>
        <v>1</v>
      </c>
      <c r="R135">
        <f>IF(COUNTIFS('United Data'!$A$3:$A$3390,R$1,'United Data'!$C$3:$C$3390,$A135)&gt;0,1,0)</f>
        <v>0</v>
      </c>
      <c r="S135">
        <f t="shared" si="4"/>
        <v>1</v>
      </c>
      <c r="T135">
        <f t="shared" si="5"/>
        <v>1</v>
      </c>
    </row>
    <row r="136" spans="1:20" x14ac:dyDescent="0.2">
      <c r="A136" t="s">
        <v>191</v>
      </c>
      <c r="B136">
        <f>IF(COUNTIFS('United Data'!$A$3:$A$3390,B$1,'United Data'!$C$3:$C$3390,$A136)&gt;0,1,0)</f>
        <v>0</v>
      </c>
      <c r="C136">
        <f>IF(COUNTIFS('United Data'!$A$3:$A$3390,C$1,'United Data'!$C$3:$C$3390,$A136)&gt;0,1,0)</f>
        <v>0</v>
      </c>
      <c r="D136">
        <f>IF(COUNTIFS('United Data'!$A$3:$A$3390,D$1,'United Data'!$C$3:$C$3390,$A136)&gt;0,1,0)</f>
        <v>0</v>
      </c>
      <c r="E136">
        <f>IF(COUNTIFS('United Data'!$A$3:$A$3390,E$1,'United Data'!$C$3:$C$3390,$A136)&gt;0,1,0)</f>
        <v>0</v>
      </c>
      <c r="F136">
        <f>IF(COUNTIFS('United Data'!$A$3:$A$3390,F$1,'United Data'!$C$3:$C$3390,$A136)&gt;0,1,0)</f>
        <v>0</v>
      </c>
      <c r="G136">
        <f>IF(COUNTIFS('United Data'!$A$3:$A$3390,G$1,'United Data'!$C$3:$C$3390,$A136)&gt;0,1,0)</f>
        <v>0</v>
      </c>
      <c r="H136">
        <f>IF(COUNTIFS('United Data'!$A$3:$A$3390,H$1,'United Data'!$C$3:$C$3390,$A136)&gt;0,1,0)</f>
        <v>0</v>
      </c>
      <c r="I136">
        <f>IF(COUNTIFS('United Data'!$A$3:$A$3390,I$1,'United Data'!$C$3:$C$3390,$A136)&gt;0,1,0)</f>
        <v>0</v>
      </c>
      <c r="J136">
        <f>IF(COUNTIFS('United Data'!$A$3:$A$3390,J$1,'United Data'!$C$3:$C$3390,$A136)&gt;0,1,0)</f>
        <v>0</v>
      </c>
      <c r="K136">
        <f>IF(COUNTIFS('United Data'!$A$3:$A$3390,K$1,'United Data'!$C$3:$C$3390,$A136)&gt;0,1,0)</f>
        <v>0</v>
      </c>
      <c r="L136">
        <f>IF(COUNTIFS('United Data'!$A$3:$A$3390,L$1,'United Data'!$C$3:$C$3390,$A136)&gt;0,1,0)</f>
        <v>0</v>
      </c>
      <c r="M136">
        <f>IF(COUNTIFS('United Data'!$A$3:$A$3390,M$1,'United Data'!$C$3:$C$3390,$A136)&gt;0,1,0)</f>
        <v>0</v>
      </c>
      <c r="N136">
        <f>IF(COUNTIFS('United Data'!$A$3:$A$3390,N$1,'United Data'!$C$3:$C$3390,$A136)&gt;0,1,0)</f>
        <v>0</v>
      </c>
      <c r="O136">
        <f>IF(COUNTIFS('United Data'!$A$3:$A$3390,O$1,'United Data'!$C$3:$C$3390,$A136)&gt;0,1,0)</f>
        <v>0</v>
      </c>
      <c r="P136">
        <f>IF(COUNTIFS('United Data'!$A$3:$A$3390,P$1,'United Data'!$C$3:$C$3390,$A136)&gt;0,1,0)</f>
        <v>0</v>
      </c>
      <c r="Q136">
        <f>IF(COUNTIFS('United Data'!$A$3:$A$3390,Q$1,'United Data'!$C$3:$C$3390,$A136)&gt;0,1,0)</f>
        <v>1</v>
      </c>
      <c r="R136">
        <f>IF(COUNTIFS('United Data'!$A$3:$A$3390,R$1,'United Data'!$C$3:$C$3390,$A136)&gt;0,1,0)</f>
        <v>0</v>
      </c>
      <c r="S136">
        <f t="shared" si="4"/>
        <v>1</v>
      </c>
      <c r="T136">
        <f t="shared" si="5"/>
        <v>1</v>
      </c>
    </row>
    <row r="137" spans="1:20" x14ac:dyDescent="0.2">
      <c r="A137" t="s">
        <v>192</v>
      </c>
      <c r="B137">
        <f>IF(COUNTIFS('United Data'!$A$3:$A$3390,B$1,'United Data'!$C$3:$C$3390,$A137)&gt;0,1,0)</f>
        <v>0</v>
      </c>
      <c r="C137">
        <f>IF(COUNTIFS('United Data'!$A$3:$A$3390,C$1,'United Data'!$C$3:$C$3390,$A137)&gt;0,1,0)</f>
        <v>0</v>
      </c>
      <c r="D137">
        <f>IF(COUNTIFS('United Data'!$A$3:$A$3390,D$1,'United Data'!$C$3:$C$3390,$A137)&gt;0,1,0)</f>
        <v>0</v>
      </c>
      <c r="E137">
        <f>IF(COUNTIFS('United Data'!$A$3:$A$3390,E$1,'United Data'!$C$3:$C$3390,$A137)&gt;0,1,0)</f>
        <v>0</v>
      </c>
      <c r="F137">
        <f>IF(COUNTIFS('United Data'!$A$3:$A$3390,F$1,'United Data'!$C$3:$C$3390,$A137)&gt;0,1,0)</f>
        <v>0</v>
      </c>
      <c r="G137">
        <f>IF(COUNTIFS('United Data'!$A$3:$A$3390,G$1,'United Data'!$C$3:$C$3390,$A137)&gt;0,1,0)</f>
        <v>0</v>
      </c>
      <c r="H137">
        <f>IF(COUNTIFS('United Data'!$A$3:$A$3390,H$1,'United Data'!$C$3:$C$3390,$A137)&gt;0,1,0)</f>
        <v>0</v>
      </c>
      <c r="I137">
        <f>IF(COUNTIFS('United Data'!$A$3:$A$3390,I$1,'United Data'!$C$3:$C$3390,$A137)&gt;0,1,0)</f>
        <v>0</v>
      </c>
      <c r="J137">
        <f>IF(COUNTIFS('United Data'!$A$3:$A$3390,J$1,'United Data'!$C$3:$C$3390,$A137)&gt;0,1,0)</f>
        <v>0</v>
      </c>
      <c r="K137">
        <f>IF(COUNTIFS('United Data'!$A$3:$A$3390,K$1,'United Data'!$C$3:$C$3390,$A137)&gt;0,1,0)</f>
        <v>0</v>
      </c>
      <c r="L137">
        <f>IF(COUNTIFS('United Data'!$A$3:$A$3390,L$1,'United Data'!$C$3:$C$3390,$A137)&gt;0,1,0)</f>
        <v>0</v>
      </c>
      <c r="M137">
        <f>IF(COUNTIFS('United Data'!$A$3:$A$3390,M$1,'United Data'!$C$3:$C$3390,$A137)&gt;0,1,0)</f>
        <v>0</v>
      </c>
      <c r="N137">
        <f>IF(COUNTIFS('United Data'!$A$3:$A$3390,N$1,'United Data'!$C$3:$C$3390,$A137)&gt;0,1,0)</f>
        <v>0</v>
      </c>
      <c r="O137">
        <f>IF(COUNTIFS('United Data'!$A$3:$A$3390,O$1,'United Data'!$C$3:$C$3390,$A137)&gt;0,1,0)</f>
        <v>0</v>
      </c>
      <c r="P137">
        <f>IF(COUNTIFS('United Data'!$A$3:$A$3390,P$1,'United Data'!$C$3:$C$3390,$A137)&gt;0,1,0)</f>
        <v>0</v>
      </c>
      <c r="Q137">
        <f>IF(COUNTIFS('United Data'!$A$3:$A$3390,Q$1,'United Data'!$C$3:$C$3390,$A137)&gt;0,1,0)</f>
        <v>1</v>
      </c>
      <c r="R137">
        <f>IF(COUNTIFS('United Data'!$A$3:$A$3390,R$1,'United Data'!$C$3:$C$3390,$A137)&gt;0,1,0)</f>
        <v>0</v>
      </c>
      <c r="S137">
        <f t="shared" si="4"/>
        <v>1</v>
      </c>
      <c r="T137">
        <f t="shared" si="5"/>
        <v>1</v>
      </c>
    </row>
    <row r="138" spans="1:20" x14ac:dyDescent="0.2">
      <c r="A138" t="s">
        <v>193</v>
      </c>
      <c r="B138">
        <f>IF(COUNTIFS('United Data'!$A$3:$A$3390,B$1,'United Data'!$C$3:$C$3390,$A138)&gt;0,1,0)</f>
        <v>0</v>
      </c>
      <c r="C138">
        <f>IF(COUNTIFS('United Data'!$A$3:$A$3390,C$1,'United Data'!$C$3:$C$3390,$A138)&gt;0,1,0)</f>
        <v>0</v>
      </c>
      <c r="D138">
        <f>IF(COUNTIFS('United Data'!$A$3:$A$3390,D$1,'United Data'!$C$3:$C$3390,$A138)&gt;0,1,0)</f>
        <v>0</v>
      </c>
      <c r="E138">
        <f>IF(COUNTIFS('United Data'!$A$3:$A$3390,E$1,'United Data'!$C$3:$C$3390,$A138)&gt;0,1,0)</f>
        <v>0</v>
      </c>
      <c r="F138">
        <f>IF(COUNTIFS('United Data'!$A$3:$A$3390,F$1,'United Data'!$C$3:$C$3390,$A138)&gt;0,1,0)</f>
        <v>0</v>
      </c>
      <c r="G138">
        <f>IF(COUNTIFS('United Data'!$A$3:$A$3390,G$1,'United Data'!$C$3:$C$3390,$A138)&gt;0,1,0)</f>
        <v>0</v>
      </c>
      <c r="H138">
        <f>IF(COUNTIFS('United Data'!$A$3:$A$3390,H$1,'United Data'!$C$3:$C$3390,$A138)&gt;0,1,0)</f>
        <v>0</v>
      </c>
      <c r="I138">
        <f>IF(COUNTIFS('United Data'!$A$3:$A$3390,I$1,'United Data'!$C$3:$C$3390,$A138)&gt;0,1,0)</f>
        <v>0</v>
      </c>
      <c r="J138">
        <f>IF(COUNTIFS('United Data'!$A$3:$A$3390,J$1,'United Data'!$C$3:$C$3390,$A138)&gt;0,1,0)</f>
        <v>0</v>
      </c>
      <c r="K138">
        <f>IF(COUNTIFS('United Data'!$A$3:$A$3390,K$1,'United Data'!$C$3:$C$3390,$A138)&gt;0,1,0)</f>
        <v>0</v>
      </c>
      <c r="L138">
        <f>IF(COUNTIFS('United Data'!$A$3:$A$3390,L$1,'United Data'!$C$3:$C$3390,$A138)&gt;0,1,0)</f>
        <v>0</v>
      </c>
      <c r="M138">
        <f>IF(COUNTIFS('United Data'!$A$3:$A$3390,M$1,'United Data'!$C$3:$C$3390,$A138)&gt;0,1,0)</f>
        <v>0</v>
      </c>
      <c r="N138">
        <f>IF(COUNTIFS('United Data'!$A$3:$A$3390,N$1,'United Data'!$C$3:$C$3390,$A138)&gt;0,1,0)</f>
        <v>0</v>
      </c>
      <c r="O138">
        <f>IF(COUNTIFS('United Data'!$A$3:$A$3390,O$1,'United Data'!$C$3:$C$3390,$A138)&gt;0,1,0)</f>
        <v>0</v>
      </c>
      <c r="P138">
        <f>IF(COUNTIFS('United Data'!$A$3:$A$3390,P$1,'United Data'!$C$3:$C$3390,$A138)&gt;0,1,0)</f>
        <v>0</v>
      </c>
      <c r="Q138">
        <f>IF(COUNTIFS('United Data'!$A$3:$A$3390,Q$1,'United Data'!$C$3:$C$3390,$A138)&gt;0,1,0)</f>
        <v>0</v>
      </c>
      <c r="R138">
        <f>IF(COUNTIFS('United Data'!$A$3:$A$3390,R$1,'United Data'!$C$3:$C$3390,$A138)&gt;0,1,0)</f>
        <v>1</v>
      </c>
      <c r="S138">
        <f t="shared" si="4"/>
        <v>1</v>
      </c>
      <c r="T138">
        <f t="shared" si="5"/>
        <v>1</v>
      </c>
    </row>
    <row r="139" spans="1:20" x14ac:dyDescent="0.2">
      <c r="A139" t="s">
        <v>194</v>
      </c>
      <c r="B139">
        <f>IF(COUNTIFS('United Data'!$A$3:$A$3390,B$1,'United Data'!$C$3:$C$3390,$A139)&gt;0,1,0)</f>
        <v>0</v>
      </c>
      <c r="C139">
        <f>IF(COUNTIFS('United Data'!$A$3:$A$3390,C$1,'United Data'!$C$3:$C$3390,$A139)&gt;0,1,0)</f>
        <v>0</v>
      </c>
      <c r="D139">
        <f>IF(COUNTIFS('United Data'!$A$3:$A$3390,D$1,'United Data'!$C$3:$C$3390,$A139)&gt;0,1,0)</f>
        <v>0</v>
      </c>
      <c r="E139">
        <f>IF(COUNTIFS('United Data'!$A$3:$A$3390,E$1,'United Data'!$C$3:$C$3390,$A139)&gt;0,1,0)</f>
        <v>0</v>
      </c>
      <c r="F139">
        <f>IF(COUNTIFS('United Data'!$A$3:$A$3390,F$1,'United Data'!$C$3:$C$3390,$A139)&gt;0,1,0)</f>
        <v>0</v>
      </c>
      <c r="G139">
        <f>IF(COUNTIFS('United Data'!$A$3:$A$3390,G$1,'United Data'!$C$3:$C$3390,$A139)&gt;0,1,0)</f>
        <v>0</v>
      </c>
      <c r="H139">
        <f>IF(COUNTIFS('United Data'!$A$3:$A$3390,H$1,'United Data'!$C$3:$C$3390,$A139)&gt;0,1,0)</f>
        <v>0</v>
      </c>
      <c r="I139">
        <f>IF(COUNTIFS('United Data'!$A$3:$A$3390,I$1,'United Data'!$C$3:$C$3390,$A139)&gt;0,1,0)</f>
        <v>0</v>
      </c>
      <c r="J139">
        <f>IF(COUNTIFS('United Data'!$A$3:$A$3390,J$1,'United Data'!$C$3:$C$3390,$A139)&gt;0,1,0)</f>
        <v>0</v>
      </c>
      <c r="K139">
        <f>IF(COUNTIFS('United Data'!$A$3:$A$3390,K$1,'United Data'!$C$3:$C$3390,$A139)&gt;0,1,0)</f>
        <v>0</v>
      </c>
      <c r="L139">
        <f>IF(COUNTIFS('United Data'!$A$3:$A$3390,L$1,'United Data'!$C$3:$C$3390,$A139)&gt;0,1,0)</f>
        <v>0</v>
      </c>
      <c r="M139">
        <f>IF(COUNTIFS('United Data'!$A$3:$A$3390,M$1,'United Data'!$C$3:$C$3390,$A139)&gt;0,1,0)</f>
        <v>0</v>
      </c>
      <c r="N139">
        <f>IF(COUNTIFS('United Data'!$A$3:$A$3390,N$1,'United Data'!$C$3:$C$3390,$A139)&gt;0,1,0)</f>
        <v>0</v>
      </c>
      <c r="O139">
        <f>IF(COUNTIFS('United Data'!$A$3:$A$3390,O$1,'United Data'!$C$3:$C$3390,$A139)&gt;0,1,0)</f>
        <v>0</v>
      </c>
      <c r="P139">
        <f>IF(COUNTIFS('United Data'!$A$3:$A$3390,P$1,'United Data'!$C$3:$C$3390,$A139)&gt;0,1,0)</f>
        <v>0</v>
      </c>
      <c r="Q139">
        <f>IF(COUNTIFS('United Data'!$A$3:$A$3390,Q$1,'United Data'!$C$3:$C$3390,$A139)&gt;0,1,0)</f>
        <v>0</v>
      </c>
      <c r="R139">
        <f>IF(COUNTIFS('United Data'!$A$3:$A$3390,R$1,'United Data'!$C$3:$C$3390,$A139)&gt;0,1,0)</f>
        <v>1</v>
      </c>
      <c r="S139">
        <f t="shared" si="4"/>
        <v>1</v>
      </c>
      <c r="T139">
        <f t="shared" si="5"/>
        <v>1</v>
      </c>
    </row>
    <row r="140" spans="1:20" x14ac:dyDescent="0.2">
      <c r="A140" t="s">
        <v>195</v>
      </c>
      <c r="B140">
        <f>IF(COUNTIFS('United Data'!$A$3:$A$3390,B$1,'United Data'!$C$3:$C$3390,$A140)&gt;0,1,0)</f>
        <v>0</v>
      </c>
      <c r="C140">
        <f>IF(COUNTIFS('United Data'!$A$3:$A$3390,C$1,'United Data'!$C$3:$C$3390,$A140)&gt;0,1,0)</f>
        <v>0</v>
      </c>
      <c r="D140">
        <f>IF(COUNTIFS('United Data'!$A$3:$A$3390,D$1,'United Data'!$C$3:$C$3390,$A140)&gt;0,1,0)</f>
        <v>0</v>
      </c>
      <c r="E140">
        <f>IF(COUNTIFS('United Data'!$A$3:$A$3390,E$1,'United Data'!$C$3:$C$3390,$A140)&gt;0,1,0)</f>
        <v>0</v>
      </c>
      <c r="F140">
        <f>IF(COUNTIFS('United Data'!$A$3:$A$3390,F$1,'United Data'!$C$3:$C$3390,$A140)&gt;0,1,0)</f>
        <v>0</v>
      </c>
      <c r="G140">
        <f>IF(COUNTIFS('United Data'!$A$3:$A$3390,G$1,'United Data'!$C$3:$C$3390,$A140)&gt;0,1,0)</f>
        <v>0</v>
      </c>
      <c r="H140">
        <f>IF(COUNTIFS('United Data'!$A$3:$A$3390,H$1,'United Data'!$C$3:$C$3390,$A140)&gt;0,1,0)</f>
        <v>0</v>
      </c>
      <c r="I140">
        <f>IF(COUNTIFS('United Data'!$A$3:$A$3390,I$1,'United Data'!$C$3:$C$3390,$A140)&gt;0,1,0)</f>
        <v>0</v>
      </c>
      <c r="J140">
        <f>IF(COUNTIFS('United Data'!$A$3:$A$3390,J$1,'United Data'!$C$3:$C$3390,$A140)&gt;0,1,0)</f>
        <v>0</v>
      </c>
      <c r="K140">
        <f>IF(COUNTIFS('United Data'!$A$3:$A$3390,K$1,'United Data'!$C$3:$C$3390,$A140)&gt;0,1,0)</f>
        <v>0</v>
      </c>
      <c r="L140">
        <f>IF(COUNTIFS('United Data'!$A$3:$A$3390,L$1,'United Data'!$C$3:$C$3390,$A140)&gt;0,1,0)</f>
        <v>0</v>
      </c>
      <c r="M140">
        <f>IF(COUNTIFS('United Data'!$A$3:$A$3390,M$1,'United Data'!$C$3:$C$3390,$A140)&gt;0,1,0)</f>
        <v>0</v>
      </c>
      <c r="N140">
        <f>IF(COUNTIFS('United Data'!$A$3:$A$3390,N$1,'United Data'!$C$3:$C$3390,$A140)&gt;0,1,0)</f>
        <v>0</v>
      </c>
      <c r="O140">
        <f>IF(COUNTIFS('United Data'!$A$3:$A$3390,O$1,'United Data'!$C$3:$C$3390,$A140)&gt;0,1,0)</f>
        <v>0</v>
      </c>
      <c r="P140">
        <f>IF(COUNTIFS('United Data'!$A$3:$A$3390,P$1,'United Data'!$C$3:$C$3390,$A140)&gt;0,1,0)</f>
        <v>1</v>
      </c>
      <c r="Q140">
        <f>IF(COUNTIFS('United Data'!$A$3:$A$3390,Q$1,'United Data'!$C$3:$C$3390,$A140)&gt;0,1,0)</f>
        <v>0</v>
      </c>
      <c r="R140">
        <f>IF(COUNTIFS('United Data'!$A$3:$A$3390,R$1,'United Data'!$C$3:$C$3390,$A140)&gt;0,1,0)</f>
        <v>1</v>
      </c>
      <c r="S140">
        <f t="shared" si="4"/>
        <v>2</v>
      </c>
      <c r="T140">
        <f t="shared" si="5"/>
        <v>2</v>
      </c>
    </row>
    <row r="141" spans="1:20" x14ac:dyDescent="0.2">
      <c r="A141" t="s">
        <v>196</v>
      </c>
      <c r="B141">
        <f>IF(COUNTIFS('United Data'!$A$3:$A$3390,B$1,'United Data'!$C$3:$C$3390,$A141)&gt;0,1,0)</f>
        <v>0</v>
      </c>
      <c r="C141">
        <f>IF(COUNTIFS('United Data'!$A$3:$A$3390,C$1,'United Data'!$C$3:$C$3390,$A141)&gt;0,1,0)</f>
        <v>0</v>
      </c>
      <c r="D141">
        <f>IF(COUNTIFS('United Data'!$A$3:$A$3390,D$1,'United Data'!$C$3:$C$3390,$A141)&gt;0,1,0)</f>
        <v>0</v>
      </c>
      <c r="E141">
        <f>IF(COUNTIFS('United Data'!$A$3:$A$3390,E$1,'United Data'!$C$3:$C$3390,$A141)&gt;0,1,0)</f>
        <v>0</v>
      </c>
      <c r="F141">
        <f>IF(COUNTIFS('United Data'!$A$3:$A$3390,F$1,'United Data'!$C$3:$C$3390,$A141)&gt;0,1,0)</f>
        <v>0</v>
      </c>
      <c r="G141">
        <f>IF(COUNTIFS('United Data'!$A$3:$A$3390,G$1,'United Data'!$C$3:$C$3390,$A141)&gt;0,1,0)</f>
        <v>0</v>
      </c>
      <c r="H141">
        <f>IF(COUNTIFS('United Data'!$A$3:$A$3390,H$1,'United Data'!$C$3:$C$3390,$A141)&gt;0,1,0)</f>
        <v>0</v>
      </c>
      <c r="I141">
        <f>IF(COUNTIFS('United Data'!$A$3:$A$3390,I$1,'United Data'!$C$3:$C$3390,$A141)&gt;0,1,0)</f>
        <v>0</v>
      </c>
      <c r="J141">
        <f>IF(COUNTIFS('United Data'!$A$3:$A$3390,J$1,'United Data'!$C$3:$C$3390,$A141)&gt;0,1,0)</f>
        <v>0</v>
      </c>
      <c r="K141">
        <f>IF(COUNTIFS('United Data'!$A$3:$A$3390,K$1,'United Data'!$C$3:$C$3390,$A141)&gt;0,1,0)</f>
        <v>1</v>
      </c>
      <c r="L141">
        <f>IF(COUNTIFS('United Data'!$A$3:$A$3390,L$1,'United Data'!$C$3:$C$3390,$A141)&gt;0,1,0)</f>
        <v>1</v>
      </c>
      <c r="M141">
        <f>IF(COUNTIFS('United Data'!$A$3:$A$3390,M$1,'United Data'!$C$3:$C$3390,$A141)&gt;0,1,0)</f>
        <v>0</v>
      </c>
      <c r="N141">
        <f>IF(COUNTIFS('United Data'!$A$3:$A$3390,N$1,'United Data'!$C$3:$C$3390,$A141)&gt;0,1,0)</f>
        <v>1</v>
      </c>
      <c r="O141">
        <f>IF(COUNTIFS('United Data'!$A$3:$A$3390,O$1,'United Data'!$C$3:$C$3390,$A141)&gt;0,1,0)</f>
        <v>1</v>
      </c>
      <c r="P141">
        <f>IF(COUNTIFS('United Data'!$A$3:$A$3390,P$1,'United Data'!$C$3:$C$3390,$A141)&gt;0,1,0)</f>
        <v>1</v>
      </c>
      <c r="Q141">
        <f>IF(COUNTIFS('United Data'!$A$3:$A$3390,Q$1,'United Data'!$C$3:$C$3390,$A141)&gt;0,1,0)</f>
        <v>0</v>
      </c>
      <c r="R141">
        <f>IF(COUNTIFS('United Data'!$A$3:$A$3390,R$1,'United Data'!$C$3:$C$3390,$A141)&gt;0,1,0)</f>
        <v>1</v>
      </c>
      <c r="S141">
        <f t="shared" si="4"/>
        <v>6</v>
      </c>
      <c r="T141">
        <f t="shared" si="5"/>
        <v>3</v>
      </c>
    </row>
    <row r="142" spans="1:20" x14ac:dyDescent="0.2">
      <c r="A142" t="s">
        <v>197</v>
      </c>
      <c r="B142">
        <f>IF(COUNTIFS('United Data'!$A$3:$A$3390,B$1,'United Data'!$C$3:$C$3390,$A142)&gt;0,1,0)</f>
        <v>0</v>
      </c>
      <c r="C142">
        <f>IF(COUNTIFS('United Data'!$A$3:$A$3390,C$1,'United Data'!$C$3:$C$3390,$A142)&gt;0,1,0)</f>
        <v>0</v>
      </c>
      <c r="D142">
        <f>IF(COUNTIFS('United Data'!$A$3:$A$3390,D$1,'United Data'!$C$3:$C$3390,$A142)&gt;0,1,0)</f>
        <v>0</v>
      </c>
      <c r="E142">
        <f>IF(COUNTIFS('United Data'!$A$3:$A$3390,E$1,'United Data'!$C$3:$C$3390,$A142)&gt;0,1,0)</f>
        <v>0</v>
      </c>
      <c r="F142">
        <f>IF(COUNTIFS('United Data'!$A$3:$A$3390,F$1,'United Data'!$C$3:$C$3390,$A142)&gt;0,1,0)</f>
        <v>0</v>
      </c>
      <c r="G142">
        <f>IF(COUNTIFS('United Data'!$A$3:$A$3390,G$1,'United Data'!$C$3:$C$3390,$A142)&gt;0,1,0)</f>
        <v>0</v>
      </c>
      <c r="H142">
        <f>IF(COUNTIFS('United Data'!$A$3:$A$3390,H$1,'United Data'!$C$3:$C$3390,$A142)&gt;0,1,0)</f>
        <v>0</v>
      </c>
      <c r="I142">
        <f>IF(COUNTIFS('United Data'!$A$3:$A$3390,I$1,'United Data'!$C$3:$C$3390,$A142)&gt;0,1,0)</f>
        <v>0</v>
      </c>
      <c r="J142">
        <f>IF(COUNTIFS('United Data'!$A$3:$A$3390,J$1,'United Data'!$C$3:$C$3390,$A142)&gt;0,1,0)</f>
        <v>0</v>
      </c>
      <c r="K142">
        <f>IF(COUNTIFS('United Data'!$A$3:$A$3390,K$1,'United Data'!$C$3:$C$3390,$A142)&gt;0,1,0)</f>
        <v>0</v>
      </c>
      <c r="L142">
        <f>IF(COUNTIFS('United Data'!$A$3:$A$3390,L$1,'United Data'!$C$3:$C$3390,$A142)&gt;0,1,0)</f>
        <v>0</v>
      </c>
      <c r="M142">
        <f>IF(COUNTIFS('United Data'!$A$3:$A$3390,M$1,'United Data'!$C$3:$C$3390,$A142)&gt;0,1,0)</f>
        <v>1</v>
      </c>
      <c r="N142">
        <f>IF(COUNTIFS('United Data'!$A$3:$A$3390,N$1,'United Data'!$C$3:$C$3390,$A142)&gt;0,1,0)</f>
        <v>1</v>
      </c>
      <c r="O142">
        <f>IF(COUNTIFS('United Data'!$A$3:$A$3390,O$1,'United Data'!$C$3:$C$3390,$A142)&gt;0,1,0)</f>
        <v>1</v>
      </c>
      <c r="P142">
        <f>IF(COUNTIFS('United Data'!$A$3:$A$3390,P$1,'United Data'!$C$3:$C$3390,$A142)&gt;0,1,0)</f>
        <v>1</v>
      </c>
      <c r="Q142">
        <f>IF(COUNTIFS('United Data'!$A$3:$A$3390,Q$1,'United Data'!$C$3:$C$3390,$A142)&gt;0,1,0)</f>
        <v>1</v>
      </c>
      <c r="R142">
        <f>IF(COUNTIFS('United Data'!$A$3:$A$3390,R$1,'United Data'!$C$3:$C$3390,$A142)&gt;0,1,0)</f>
        <v>1</v>
      </c>
      <c r="S142">
        <f t="shared" si="4"/>
        <v>6</v>
      </c>
      <c r="T142">
        <f t="shared" si="5"/>
        <v>1</v>
      </c>
    </row>
    <row r="143" spans="1:20" x14ac:dyDescent="0.2">
      <c r="A143" t="s">
        <v>198</v>
      </c>
      <c r="B143">
        <f>IF(COUNTIFS('United Data'!$A$3:$A$3390,B$1,'United Data'!$C$3:$C$3390,$A143)&gt;0,1,0)</f>
        <v>0</v>
      </c>
      <c r="C143">
        <f>IF(COUNTIFS('United Data'!$A$3:$A$3390,C$1,'United Data'!$C$3:$C$3390,$A143)&gt;0,1,0)</f>
        <v>0</v>
      </c>
      <c r="D143">
        <f>IF(COUNTIFS('United Data'!$A$3:$A$3390,D$1,'United Data'!$C$3:$C$3390,$A143)&gt;0,1,0)</f>
        <v>0</v>
      </c>
      <c r="E143">
        <f>IF(COUNTIFS('United Data'!$A$3:$A$3390,E$1,'United Data'!$C$3:$C$3390,$A143)&gt;0,1,0)</f>
        <v>0</v>
      </c>
      <c r="F143">
        <f>IF(COUNTIFS('United Data'!$A$3:$A$3390,F$1,'United Data'!$C$3:$C$3390,$A143)&gt;0,1,0)</f>
        <v>0</v>
      </c>
      <c r="G143">
        <f>IF(COUNTIFS('United Data'!$A$3:$A$3390,G$1,'United Data'!$C$3:$C$3390,$A143)&gt;0,1,0)</f>
        <v>0</v>
      </c>
      <c r="H143">
        <f>IF(COUNTIFS('United Data'!$A$3:$A$3390,H$1,'United Data'!$C$3:$C$3390,$A143)&gt;0,1,0)</f>
        <v>0</v>
      </c>
      <c r="I143">
        <f>IF(COUNTIFS('United Data'!$A$3:$A$3390,I$1,'United Data'!$C$3:$C$3390,$A143)&gt;0,1,0)</f>
        <v>0</v>
      </c>
      <c r="J143">
        <f>IF(COUNTIFS('United Data'!$A$3:$A$3390,J$1,'United Data'!$C$3:$C$3390,$A143)&gt;0,1,0)</f>
        <v>0</v>
      </c>
      <c r="K143">
        <f>IF(COUNTIFS('United Data'!$A$3:$A$3390,K$1,'United Data'!$C$3:$C$3390,$A143)&gt;0,1,0)</f>
        <v>0</v>
      </c>
      <c r="L143">
        <f>IF(COUNTIFS('United Data'!$A$3:$A$3390,L$1,'United Data'!$C$3:$C$3390,$A143)&gt;0,1,0)</f>
        <v>0</v>
      </c>
      <c r="M143">
        <f>IF(COUNTIFS('United Data'!$A$3:$A$3390,M$1,'United Data'!$C$3:$C$3390,$A143)&gt;0,1,0)</f>
        <v>0</v>
      </c>
      <c r="N143">
        <f>IF(COUNTIFS('United Data'!$A$3:$A$3390,N$1,'United Data'!$C$3:$C$3390,$A143)&gt;0,1,0)</f>
        <v>0</v>
      </c>
      <c r="O143">
        <f>IF(COUNTIFS('United Data'!$A$3:$A$3390,O$1,'United Data'!$C$3:$C$3390,$A143)&gt;0,1,0)</f>
        <v>0</v>
      </c>
      <c r="P143">
        <f>IF(COUNTIFS('United Data'!$A$3:$A$3390,P$1,'United Data'!$C$3:$C$3390,$A143)&gt;0,1,0)</f>
        <v>0</v>
      </c>
      <c r="Q143">
        <f>IF(COUNTIFS('United Data'!$A$3:$A$3390,Q$1,'United Data'!$C$3:$C$3390,$A143)&gt;0,1,0)</f>
        <v>0</v>
      </c>
      <c r="R143">
        <f>IF(COUNTIFS('United Data'!$A$3:$A$3390,R$1,'United Data'!$C$3:$C$3390,$A143)&gt;0,1,0)</f>
        <v>1</v>
      </c>
      <c r="S143">
        <f t="shared" si="4"/>
        <v>1</v>
      </c>
      <c r="T143">
        <f t="shared" si="5"/>
        <v>1</v>
      </c>
    </row>
    <row r="144" spans="1:20" x14ac:dyDescent="0.2">
      <c r="A144" t="s">
        <v>199</v>
      </c>
      <c r="B144">
        <f>IF(COUNTIFS('United Data'!$A$3:$A$3390,B$1,'United Data'!$C$3:$C$3390,$A144)&gt;0,1,0)</f>
        <v>1</v>
      </c>
      <c r="C144">
        <f>IF(COUNTIFS('United Data'!$A$3:$A$3390,C$1,'United Data'!$C$3:$C$3390,$A144)&gt;0,1,0)</f>
        <v>0</v>
      </c>
      <c r="D144">
        <f>IF(COUNTIFS('United Data'!$A$3:$A$3390,D$1,'United Data'!$C$3:$C$3390,$A144)&gt;0,1,0)</f>
        <v>0</v>
      </c>
      <c r="E144">
        <f>IF(COUNTIFS('United Data'!$A$3:$A$3390,E$1,'United Data'!$C$3:$C$3390,$A144)&gt;0,1,0)</f>
        <v>0</v>
      </c>
      <c r="F144">
        <f>IF(COUNTIFS('United Data'!$A$3:$A$3390,F$1,'United Data'!$C$3:$C$3390,$A144)&gt;0,1,0)</f>
        <v>0</v>
      </c>
      <c r="G144">
        <f>IF(COUNTIFS('United Data'!$A$3:$A$3390,G$1,'United Data'!$C$3:$C$3390,$A144)&gt;0,1,0)</f>
        <v>0</v>
      </c>
      <c r="H144">
        <f>IF(COUNTIFS('United Data'!$A$3:$A$3390,H$1,'United Data'!$C$3:$C$3390,$A144)&gt;0,1,0)</f>
        <v>0</v>
      </c>
      <c r="I144">
        <f>IF(COUNTIFS('United Data'!$A$3:$A$3390,I$1,'United Data'!$C$3:$C$3390,$A144)&gt;0,1,0)</f>
        <v>0</v>
      </c>
      <c r="J144">
        <f>IF(COUNTIFS('United Data'!$A$3:$A$3390,J$1,'United Data'!$C$3:$C$3390,$A144)&gt;0,1,0)</f>
        <v>1</v>
      </c>
      <c r="K144">
        <f>IF(COUNTIFS('United Data'!$A$3:$A$3390,K$1,'United Data'!$C$3:$C$3390,$A144)&gt;0,1,0)</f>
        <v>0</v>
      </c>
      <c r="L144">
        <f>IF(COUNTIFS('United Data'!$A$3:$A$3390,L$1,'United Data'!$C$3:$C$3390,$A144)&gt;0,1,0)</f>
        <v>0</v>
      </c>
      <c r="M144">
        <f>IF(COUNTIFS('United Data'!$A$3:$A$3390,M$1,'United Data'!$C$3:$C$3390,$A144)&gt;0,1,0)</f>
        <v>0</v>
      </c>
      <c r="N144">
        <f>IF(COUNTIFS('United Data'!$A$3:$A$3390,N$1,'United Data'!$C$3:$C$3390,$A144)&gt;0,1,0)</f>
        <v>0</v>
      </c>
      <c r="O144">
        <f>IF(COUNTIFS('United Data'!$A$3:$A$3390,O$1,'United Data'!$C$3:$C$3390,$A144)&gt;0,1,0)</f>
        <v>0</v>
      </c>
      <c r="P144">
        <f>IF(COUNTIFS('United Data'!$A$3:$A$3390,P$1,'United Data'!$C$3:$C$3390,$A144)&gt;0,1,0)</f>
        <v>0</v>
      </c>
      <c r="Q144">
        <f>IF(COUNTIFS('United Data'!$A$3:$A$3390,Q$1,'United Data'!$C$3:$C$3390,$A144)&gt;0,1,0)</f>
        <v>0</v>
      </c>
      <c r="R144">
        <f>IF(COUNTIFS('United Data'!$A$3:$A$3390,R$1,'United Data'!$C$3:$C$3390,$A144)&gt;0,1,0)</f>
        <v>0</v>
      </c>
      <c r="S144">
        <f t="shared" si="4"/>
        <v>2</v>
      </c>
      <c r="T144">
        <f t="shared" si="5"/>
        <v>2</v>
      </c>
    </row>
    <row r="145" spans="1:20" x14ac:dyDescent="0.2">
      <c r="A145" t="s">
        <v>200</v>
      </c>
      <c r="B145">
        <f>IF(COUNTIFS('United Data'!$A$3:$A$3390,B$1,'United Data'!$C$3:$C$3390,$A145)&gt;0,1,0)</f>
        <v>1</v>
      </c>
      <c r="C145">
        <f>IF(COUNTIFS('United Data'!$A$3:$A$3390,C$1,'United Data'!$C$3:$C$3390,$A145)&gt;0,1,0)</f>
        <v>0</v>
      </c>
      <c r="D145">
        <f>IF(COUNTIFS('United Data'!$A$3:$A$3390,D$1,'United Data'!$C$3:$C$3390,$A145)&gt;0,1,0)</f>
        <v>0</v>
      </c>
      <c r="E145">
        <f>IF(COUNTIFS('United Data'!$A$3:$A$3390,E$1,'United Data'!$C$3:$C$3390,$A145)&gt;0,1,0)</f>
        <v>0</v>
      </c>
      <c r="F145">
        <f>IF(COUNTIFS('United Data'!$A$3:$A$3390,F$1,'United Data'!$C$3:$C$3390,$A145)&gt;0,1,0)</f>
        <v>0</v>
      </c>
      <c r="G145">
        <f>IF(COUNTIFS('United Data'!$A$3:$A$3390,G$1,'United Data'!$C$3:$C$3390,$A145)&gt;0,1,0)</f>
        <v>0</v>
      </c>
      <c r="H145">
        <f>IF(COUNTIFS('United Data'!$A$3:$A$3390,H$1,'United Data'!$C$3:$C$3390,$A145)&gt;0,1,0)</f>
        <v>0</v>
      </c>
      <c r="I145">
        <f>IF(COUNTIFS('United Data'!$A$3:$A$3390,I$1,'United Data'!$C$3:$C$3390,$A145)&gt;0,1,0)</f>
        <v>0</v>
      </c>
      <c r="J145">
        <f>IF(COUNTIFS('United Data'!$A$3:$A$3390,J$1,'United Data'!$C$3:$C$3390,$A145)&gt;0,1,0)</f>
        <v>1</v>
      </c>
      <c r="K145">
        <f>IF(COUNTIFS('United Data'!$A$3:$A$3390,K$1,'United Data'!$C$3:$C$3390,$A145)&gt;0,1,0)</f>
        <v>0</v>
      </c>
      <c r="L145">
        <f>IF(COUNTIFS('United Data'!$A$3:$A$3390,L$1,'United Data'!$C$3:$C$3390,$A145)&gt;0,1,0)</f>
        <v>0</v>
      </c>
      <c r="M145">
        <f>IF(COUNTIFS('United Data'!$A$3:$A$3390,M$1,'United Data'!$C$3:$C$3390,$A145)&gt;0,1,0)</f>
        <v>0</v>
      </c>
      <c r="N145">
        <f>IF(COUNTIFS('United Data'!$A$3:$A$3390,N$1,'United Data'!$C$3:$C$3390,$A145)&gt;0,1,0)</f>
        <v>0</v>
      </c>
      <c r="O145">
        <f>IF(COUNTIFS('United Data'!$A$3:$A$3390,O$1,'United Data'!$C$3:$C$3390,$A145)&gt;0,1,0)</f>
        <v>0</v>
      </c>
      <c r="P145">
        <f>IF(COUNTIFS('United Data'!$A$3:$A$3390,P$1,'United Data'!$C$3:$C$3390,$A145)&gt;0,1,0)</f>
        <v>0</v>
      </c>
      <c r="Q145">
        <f>IF(COUNTIFS('United Data'!$A$3:$A$3390,Q$1,'United Data'!$C$3:$C$3390,$A145)&gt;0,1,0)</f>
        <v>0</v>
      </c>
      <c r="R145">
        <f>IF(COUNTIFS('United Data'!$A$3:$A$3390,R$1,'United Data'!$C$3:$C$3390,$A145)&gt;0,1,0)</f>
        <v>0</v>
      </c>
      <c r="S145">
        <f t="shared" si="4"/>
        <v>2</v>
      </c>
      <c r="T145">
        <f t="shared" si="5"/>
        <v>2</v>
      </c>
    </row>
    <row r="146" spans="1:20" x14ac:dyDescent="0.2">
      <c r="A146" t="s">
        <v>201</v>
      </c>
      <c r="B146">
        <f>IF(COUNTIFS('United Data'!$A$3:$A$3390,B$1,'United Data'!$C$3:$C$3390,$A146)&gt;0,1,0)</f>
        <v>0</v>
      </c>
      <c r="C146">
        <f>IF(COUNTIFS('United Data'!$A$3:$A$3390,C$1,'United Data'!$C$3:$C$3390,$A146)&gt;0,1,0)</f>
        <v>1</v>
      </c>
      <c r="D146">
        <f>IF(COUNTIFS('United Data'!$A$3:$A$3390,D$1,'United Data'!$C$3:$C$3390,$A146)&gt;0,1,0)</f>
        <v>1</v>
      </c>
      <c r="E146">
        <f>IF(COUNTIFS('United Data'!$A$3:$A$3390,E$1,'United Data'!$C$3:$C$3390,$A146)&gt;0,1,0)</f>
        <v>1</v>
      </c>
      <c r="F146">
        <f>IF(COUNTIFS('United Data'!$A$3:$A$3390,F$1,'United Data'!$C$3:$C$3390,$A146)&gt;0,1,0)</f>
        <v>1</v>
      </c>
      <c r="G146">
        <f>IF(COUNTIFS('United Data'!$A$3:$A$3390,G$1,'United Data'!$C$3:$C$3390,$A146)&gt;0,1,0)</f>
        <v>0</v>
      </c>
      <c r="H146">
        <f>IF(COUNTIFS('United Data'!$A$3:$A$3390,H$1,'United Data'!$C$3:$C$3390,$A146)&gt;0,1,0)</f>
        <v>0</v>
      </c>
      <c r="I146">
        <f>IF(COUNTIFS('United Data'!$A$3:$A$3390,I$1,'United Data'!$C$3:$C$3390,$A146)&gt;0,1,0)</f>
        <v>0</v>
      </c>
      <c r="J146">
        <f>IF(COUNTIFS('United Data'!$A$3:$A$3390,J$1,'United Data'!$C$3:$C$3390,$A146)&gt;0,1,0)</f>
        <v>0</v>
      </c>
      <c r="K146">
        <f>IF(COUNTIFS('United Data'!$A$3:$A$3390,K$1,'United Data'!$C$3:$C$3390,$A146)&gt;0,1,0)</f>
        <v>0</v>
      </c>
      <c r="L146">
        <f>IF(COUNTIFS('United Data'!$A$3:$A$3390,L$1,'United Data'!$C$3:$C$3390,$A146)&gt;0,1,0)</f>
        <v>0</v>
      </c>
      <c r="M146">
        <f>IF(COUNTIFS('United Data'!$A$3:$A$3390,M$1,'United Data'!$C$3:$C$3390,$A146)&gt;0,1,0)</f>
        <v>0</v>
      </c>
      <c r="N146">
        <f>IF(COUNTIFS('United Data'!$A$3:$A$3390,N$1,'United Data'!$C$3:$C$3390,$A146)&gt;0,1,0)</f>
        <v>0</v>
      </c>
      <c r="O146">
        <f>IF(COUNTIFS('United Data'!$A$3:$A$3390,O$1,'United Data'!$C$3:$C$3390,$A146)&gt;0,1,0)</f>
        <v>0</v>
      </c>
      <c r="P146">
        <f>IF(COUNTIFS('United Data'!$A$3:$A$3390,P$1,'United Data'!$C$3:$C$3390,$A146)&gt;0,1,0)</f>
        <v>0</v>
      </c>
      <c r="Q146">
        <f>IF(COUNTIFS('United Data'!$A$3:$A$3390,Q$1,'United Data'!$C$3:$C$3390,$A146)&gt;0,1,0)</f>
        <v>0</v>
      </c>
      <c r="R146">
        <f>IF(COUNTIFS('United Data'!$A$3:$A$3390,R$1,'United Data'!$C$3:$C$3390,$A146)&gt;0,1,0)</f>
        <v>0</v>
      </c>
      <c r="S146">
        <f t="shared" si="4"/>
        <v>4</v>
      </c>
      <c r="T146">
        <f t="shared" si="5"/>
        <v>1</v>
      </c>
    </row>
    <row r="147" spans="1:20" x14ac:dyDescent="0.2">
      <c r="A147" t="s">
        <v>203</v>
      </c>
      <c r="B147">
        <f>IF(COUNTIFS('United Data'!$A$3:$A$3390,B$1,'United Data'!$C$3:$C$3390,$A147)&gt;0,1,0)</f>
        <v>0</v>
      </c>
      <c r="C147">
        <f>IF(COUNTIFS('United Data'!$A$3:$A$3390,C$1,'United Data'!$C$3:$C$3390,$A147)&gt;0,1,0)</f>
        <v>1</v>
      </c>
      <c r="D147">
        <f>IF(COUNTIFS('United Data'!$A$3:$A$3390,D$1,'United Data'!$C$3:$C$3390,$A147)&gt;0,1,0)</f>
        <v>0</v>
      </c>
      <c r="E147">
        <f>IF(COUNTIFS('United Data'!$A$3:$A$3390,E$1,'United Data'!$C$3:$C$3390,$A147)&gt;0,1,0)</f>
        <v>0</v>
      </c>
      <c r="F147">
        <f>IF(COUNTIFS('United Data'!$A$3:$A$3390,F$1,'United Data'!$C$3:$C$3390,$A147)&gt;0,1,0)</f>
        <v>0</v>
      </c>
      <c r="G147">
        <f>IF(COUNTIFS('United Data'!$A$3:$A$3390,G$1,'United Data'!$C$3:$C$3390,$A147)&gt;0,1,0)</f>
        <v>0</v>
      </c>
      <c r="H147">
        <f>IF(COUNTIFS('United Data'!$A$3:$A$3390,H$1,'United Data'!$C$3:$C$3390,$A147)&gt;0,1,0)</f>
        <v>0</v>
      </c>
      <c r="I147">
        <f>IF(COUNTIFS('United Data'!$A$3:$A$3390,I$1,'United Data'!$C$3:$C$3390,$A147)&gt;0,1,0)</f>
        <v>0</v>
      </c>
      <c r="J147">
        <f>IF(COUNTIFS('United Data'!$A$3:$A$3390,J$1,'United Data'!$C$3:$C$3390,$A147)&gt;0,1,0)</f>
        <v>0</v>
      </c>
      <c r="K147">
        <f>IF(COUNTIFS('United Data'!$A$3:$A$3390,K$1,'United Data'!$C$3:$C$3390,$A147)&gt;0,1,0)</f>
        <v>0</v>
      </c>
      <c r="L147">
        <f>IF(COUNTIFS('United Data'!$A$3:$A$3390,L$1,'United Data'!$C$3:$C$3390,$A147)&gt;0,1,0)</f>
        <v>0</v>
      </c>
      <c r="M147">
        <f>IF(COUNTIFS('United Data'!$A$3:$A$3390,M$1,'United Data'!$C$3:$C$3390,$A147)&gt;0,1,0)</f>
        <v>0</v>
      </c>
      <c r="N147">
        <f>IF(COUNTIFS('United Data'!$A$3:$A$3390,N$1,'United Data'!$C$3:$C$3390,$A147)&gt;0,1,0)</f>
        <v>0</v>
      </c>
      <c r="O147">
        <f>IF(COUNTIFS('United Data'!$A$3:$A$3390,O$1,'United Data'!$C$3:$C$3390,$A147)&gt;0,1,0)</f>
        <v>0</v>
      </c>
      <c r="P147">
        <f>IF(COUNTIFS('United Data'!$A$3:$A$3390,P$1,'United Data'!$C$3:$C$3390,$A147)&gt;0,1,0)</f>
        <v>0</v>
      </c>
      <c r="Q147">
        <f>IF(COUNTIFS('United Data'!$A$3:$A$3390,Q$1,'United Data'!$C$3:$C$3390,$A147)&gt;0,1,0)</f>
        <v>0</v>
      </c>
      <c r="R147">
        <f>IF(COUNTIFS('United Data'!$A$3:$A$3390,R$1,'United Data'!$C$3:$C$3390,$A147)&gt;0,1,0)</f>
        <v>0</v>
      </c>
      <c r="S147">
        <f t="shared" si="4"/>
        <v>1</v>
      </c>
      <c r="T147">
        <f t="shared" si="5"/>
        <v>1</v>
      </c>
    </row>
    <row r="148" spans="1:20" x14ac:dyDescent="0.2">
      <c r="A148" t="s">
        <v>204</v>
      </c>
      <c r="B148">
        <f>IF(COUNTIFS('United Data'!$A$3:$A$3390,B$1,'United Data'!$C$3:$C$3390,$A148)&gt;0,1,0)</f>
        <v>0</v>
      </c>
      <c r="C148">
        <f>IF(COUNTIFS('United Data'!$A$3:$A$3390,C$1,'United Data'!$C$3:$C$3390,$A148)&gt;0,1,0)</f>
        <v>1</v>
      </c>
      <c r="D148">
        <f>IF(COUNTIFS('United Data'!$A$3:$A$3390,D$1,'United Data'!$C$3:$C$3390,$A148)&gt;0,1,0)</f>
        <v>1</v>
      </c>
      <c r="E148">
        <f>IF(COUNTIFS('United Data'!$A$3:$A$3390,E$1,'United Data'!$C$3:$C$3390,$A148)&gt;0,1,0)</f>
        <v>0</v>
      </c>
      <c r="F148">
        <f>IF(COUNTIFS('United Data'!$A$3:$A$3390,F$1,'United Data'!$C$3:$C$3390,$A148)&gt;0,1,0)</f>
        <v>1</v>
      </c>
      <c r="G148">
        <f>IF(COUNTIFS('United Data'!$A$3:$A$3390,G$1,'United Data'!$C$3:$C$3390,$A148)&gt;0,1,0)</f>
        <v>0</v>
      </c>
      <c r="H148">
        <f>IF(COUNTIFS('United Data'!$A$3:$A$3390,H$1,'United Data'!$C$3:$C$3390,$A148)&gt;0,1,0)</f>
        <v>0</v>
      </c>
      <c r="I148">
        <f>IF(COUNTIFS('United Data'!$A$3:$A$3390,I$1,'United Data'!$C$3:$C$3390,$A148)&gt;0,1,0)</f>
        <v>1</v>
      </c>
      <c r="J148">
        <f>IF(COUNTIFS('United Data'!$A$3:$A$3390,J$1,'United Data'!$C$3:$C$3390,$A148)&gt;0,1,0)</f>
        <v>0</v>
      </c>
      <c r="K148">
        <f>IF(COUNTIFS('United Data'!$A$3:$A$3390,K$1,'United Data'!$C$3:$C$3390,$A148)&gt;0,1,0)</f>
        <v>0</v>
      </c>
      <c r="L148">
        <f>IF(COUNTIFS('United Data'!$A$3:$A$3390,L$1,'United Data'!$C$3:$C$3390,$A148)&gt;0,1,0)</f>
        <v>1</v>
      </c>
      <c r="M148">
        <f>IF(COUNTIFS('United Data'!$A$3:$A$3390,M$1,'United Data'!$C$3:$C$3390,$A148)&gt;0,1,0)</f>
        <v>0</v>
      </c>
      <c r="N148">
        <f>IF(COUNTIFS('United Data'!$A$3:$A$3390,N$1,'United Data'!$C$3:$C$3390,$A148)&gt;0,1,0)</f>
        <v>0</v>
      </c>
      <c r="O148">
        <f>IF(COUNTIFS('United Data'!$A$3:$A$3390,O$1,'United Data'!$C$3:$C$3390,$A148)&gt;0,1,0)</f>
        <v>0</v>
      </c>
      <c r="P148">
        <f>IF(COUNTIFS('United Data'!$A$3:$A$3390,P$1,'United Data'!$C$3:$C$3390,$A148)&gt;0,1,0)</f>
        <v>0</v>
      </c>
      <c r="Q148">
        <f>IF(COUNTIFS('United Data'!$A$3:$A$3390,Q$1,'United Data'!$C$3:$C$3390,$A148)&gt;0,1,0)</f>
        <v>0</v>
      </c>
      <c r="R148">
        <f>IF(COUNTIFS('United Data'!$A$3:$A$3390,R$1,'United Data'!$C$3:$C$3390,$A148)&gt;0,1,0)</f>
        <v>0</v>
      </c>
      <c r="S148">
        <f t="shared" si="4"/>
        <v>5</v>
      </c>
      <c r="T148">
        <f t="shared" si="5"/>
        <v>4</v>
      </c>
    </row>
    <row r="149" spans="1:20" x14ac:dyDescent="0.2">
      <c r="A149" t="s">
        <v>205</v>
      </c>
      <c r="B149">
        <f>IF(COUNTIFS('United Data'!$A$3:$A$3390,B$1,'United Data'!$C$3:$C$3390,$A149)&gt;0,1,0)</f>
        <v>0</v>
      </c>
      <c r="C149">
        <f>IF(COUNTIFS('United Data'!$A$3:$A$3390,C$1,'United Data'!$C$3:$C$3390,$A149)&gt;0,1,0)</f>
        <v>1</v>
      </c>
      <c r="D149">
        <f>IF(COUNTIFS('United Data'!$A$3:$A$3390,D$1,'United Data'!$C$3:$C$3390,$A149)&gt;0,1,0)</f>
        <v>0</v>
      </c>
      <c r="E149">
        <f>IF(COUNTIFS('United Data'!$A$3:$A$3390,E$1,'United Data'!$C$3:$C$3390,$A149)&gt;0,1,0)</f>
        <v>0</v>
      </c>
      <c r="F149">
        <f>IF(COUNTIFS('United Data'!$A$3:$A$3390,F$1,'United Data'!$C$3:$C$3390,$A149)&gt;0,1,0)</f>
        <v>0</v>
      </c>
      <c r="G149">
        <f>IF(COUNTIFS('United Data'!$A$3:$A$3390,G$1,'United Data'!$C$3:$C$3390,$A149)&gt;0,1,0)</f>
        <v>0</v>
      </c>
      <c r="H149">
        <f>IF(COUNTIFS('United Data'!$A$3:$A$3390,H$1,'United Data'!$C$3:$C$3390,$A149)&gt;0,1,0)</f>
        <v>0</v>
      </c>
      <c r="I149">
        <f>IF(COUNTIFS('United Data'!$A$3:$A$3390,I$1,'United Data'!$C$3:$C$3390,$A149)&gt;0,1,0)</f>
        <v>0</v>
      </c>
      <c r="J149">
        <f>IF(COUNTIFS('United Data'!$A$3:$A$3390,J$1,'United Data'!$C$3:$C$3390,$A149)&gt;0,1,0)</f>
        <v>0</v>
      </c>
      <c r="K149">
        <f>IF(COUNTIFS('United Data'!$A$3:$A$3390,K$1,'United Data'!$C$3:$C$3390,$A149)&gt;0,1,0)</f>
        <v>0</v>
      </c>
      <c r="L149">
        <f>IF(COUNTIFS('United Data'!$A$3:$A$3390,L$1,'United Data'!$C$3:$C$3390,$A149)&gt;0,1,0)</f>
        <v>0</v>
      </c>
      <c r="M149">
        <f>IF(COUNTIFS('United Data'!$A$3:$A$3390,M$1,'United Data'!$C$3:$C$3390,$A149)&gt;0,1,0)</f>
        <v>0</v>
      </c>
      <c r="N149">
        <f>IF(COUNTIFS('United Data'!$A$3:$A$3390,N$1,'United Data'!$C$3:$C$3390,$A149)&gt;0,1,0)</f>
        <v>0</v>
      </c>
      <c r="O149">
        <f>IF(COUNTIFS('United Data'!$A$3:$A$3390,O$1,'United Data'!$C$3:$C$3390,$A149)&gt;0,1,0)</f>
        <v>0</v>
      </c>
      <c r="P149">
        <f>IF(COUNTIFS('United Data'!$A$3:$A$3390,P$1,'United Data'!$C$3:$C$3390,$A149)&gt;0,1,0)</f>
        <v>0</v>
      </c>
      <c r="Q149">
        <f>IF(COUNTIFS('United Data'!$A$3:$A$3390,Q$1,'United Data'!$C$3:$C$3390,$A149)&gt;0,1,0)</f>
        <v>0</v>
      </c>
      <c r="R149">
        <f>IF(COUNTIFS('United Data'!$A$3:$A$3390,R$1,'United Data'!$C$3:$C$3390,$A149)&gt;0,1,0)</f>
        <v>0</v>
      </c>
      <c r="S149">
        <f t="shared" si="4"/>
        <v>1</v>
      </c>
      <c r="T149">
        <f t="shared" si="5"/>
        <v>1</v>
      </c>
    </row>
    <row r="150" spans="1:20" x14ac:dyDescent="0.2">
      <c r="A150" t="s">
        <v>206</v>
      </c>
      <c r="B150">
        <f>IF(COUNTIFS('United Data'!$A$3:$A$3390,B$1,'United Data'!$C$3:$C$3390,$A150)&gt;0,1,0)</f>
        <v>0</v>
      </c>
      <c r="C150">
        <f>IF(COUNTIFS('United Data'!$A$3:$A$3390,C$1,'United Data'!$C$3:$C$3390,$A150)&gt;0,1,0)</f>
        <v>1</v>
      </c>
      <c r="D150">
        <f>IF(COUNTIFS('United Data'!$A$3:$A$3390,D$1,'United Data'!$C$3:$C$3390,$A150)&gt;0,1,0)</f>
        <v>1</v>
      </c>
      <c r="E150">
        <f>IF(COUNTIFS('United Data'!$A$3:$A$3390,E$1,'United Data'!$C$3:$C$3390,$A150)&gt;0,1,0)</f>
        <v>0</v>
      </c>
      <c r="F150">
        <f>IF(COUNTIFS('United Data'!$A$3:$A$3390,F$1,'United Data'!$C$3:$C$3390,$A150)&gt;0,1,0)</f>
        <v>1</v>
      </c>
      <c r="G150">
        <f>IF(COUNTIFS('United Data'!$A$3:$A$3390,G$1,'United Data'!$C$3:$C$3390,$A150)&gt;0,1,0)</f>
        <v>0</v>
      </c>
      <c r="H150">
        <f>IF(COUNTIFS('United Data'!$A$3:$A$3390,H$1,'United Data'!$C$3:$C$3390,$A150)&gt;0,1,0)</f>
        <v>0</v>
      </c>
      <c r="I150">
        <f>IF(COUNTIFS('United Data'!$A$3:$A$3390,I$1,'United Data'!$C$3:$C$3390,$A150)&gt;0,1,0)</f>
        <v>0</v>
      </c>
      <c r="J150">
        <f>IF(COUNTIFS('United Data'!$A$3:$A$3390,J$1,'United Data'!$C$3:$C$3390,$A150)&gt;0,1,0)</f>
        <v>0</v>
      </c>
      <c r="K150">
        <f>IF(COUNTIFS('United Data'!$A$3:$A$3390,K$1,'United Data'!$C$3:$C$3390,$A150)&gt;0,1,0)</f>
        <v>0</v>
      </c>
      <c r="L150">
        <f>IF(COUNTIFS('United Data'!$A$3:$A$3390,L$1,'United Data'!$C$3:$C$3390,$A150)&gt;0,1,0)</f>
        <v>0</v>
      </c>
      <c r="M150">
        <f>IF(COUNTIFS('United Data'!$A$3:$A$3390,M$1,'United Data'!$C$3:$C$3390,$A150)&gt;0,1,0)</f>
        <v>0</v>
      </c>
      <c r="N150">
        <f>IF(COUNTIFS('United Data'!$A$3:$A$3390,N$1,'United Data'!$C$3:$C$3390,$A150)&gt;0,1,0)</f>
        <v>0</v>
      </c>
      <c r="O150">
        <f>IF(COUNTIFS('United Data'!$A$3:$A$3390,O$1,'United Data'!$C$3:$C$3390,$A150)&gt;0,1,0)</f>
        <v>0</v>
      </c>
      <c r="P150">
        <f>IF(COUNTIFS('United Data'!$A$3:$A$3390,P$1,'United Data'!$C$3:$C$3390,$A150)&gt;0,1,0)</f>
        <v>0</v>
      </c>
      <c r="Q150">
        <f>IF(COUNTIFS('United Data'!$A$3:$A$3390,Q$1,'United Data'!$C$3:$C$3390,$A150)&gt;0,1,0)</f>
        <v>0</v>
      </c>
      <c r="R150">
        <f>IF(COUNTIFS('United Data'!$A$3:$A$3390,R$1,'United Data'!$C$3:$C$3390,$A150)&gt;0,1,0)</f>
        <v>0</v>
      </c>
      <c r="S150">
        <f t="shared" si="4"/>
        <v>3</v>
      </c>
      <c r="T150">
        <f t="shared" si="5"/>
        <v>2</v>
      </c>
    </row>
    <row r="151" spans="1:20" x14ac:dyDescent="0.2">
      <c r="A151" t="s">
        <v>207</v>
      </c>
      <c r="B151">
        <f>IF(COUNTIFS('United Data'!$A$3:$A$3390,B$1,'United Data'!$C$3:$C$3390,$A151)&gt;0,1,0)</f>
        <v>0</v>
      </c>
      <c r="C151">
        <f>IF(COUNTIFS('United Data'!$A$3:$A$3390,C$1,'United Data'!$C$3:$C$3390,$A151)&gt;0,1,0)</f>
        <v>1</v>
      </c>
      <c r="D151">
        <f>IF(COUNTIFS('United Data'!$A$3:$A$3390,D$1,'United Data'!$C$3:$C$3390,$A151)&gt;0,1,0)</f>
        <v>0</v>
      </c>
      <c r="E151">
        <f>IF(COUNTIFS('United Data'!$A$3:$A$3390,E$1,'United Data'!$C$3:$C$3390,$A151)&gt;0,1,0)</f>
        <v>0</v>
      </c>
      <c r="F151">
        <f>IF(COUNTIFS('United Data'!$A$3:$A$3390,F$1,'United Data'!$C$3:$C$3390,$A151)&gt;0,1,0)</f>
        <v>0</v>
      </c>
      <c r="G151">
        <f>IF(COUNTIFS('United Data'!$A$3:$A$3390,G$1,'United Data'!$C$3:$C$3390,$A151)&gt;0,1,0)</f>
        <v>1</v>
      </c>
      <c r="H151">
        <f>IF(COUNTIFS('United Data'!$A$3:$A$3390,H$1,'United Data'!$C$3:$C$3390,$A151)&gt;0,1,0)</f>
        <v>0</v>
      </c>
      <c r="I151">
        <f>IF(COUNTIFS('United Data'!$A$3:$A$3390,I$1,'United Data'!$C$3:$C$3390,$A151)&gt;0,1,0)</f>
        <v>1</v>
      </c>
      <c r="J151">
        <f>IF(COUNTIFS('United Data'!$A$3:$A$3390,J$1,'United Data'!$C$3:$C$3390,$A151)&gt;0,1,0)</f>
        <v>0</v>
      </c>
      <c r="K151">
        <f>IF(COUNTIFS('United Data'!$A$3:$A$3390,K$1,'United Data'!$C$3:$C$3390,$A151)&gt;0,1,0)</f>
        <v>0</v>
      </c>
      <c r="L151">
        <f>IF(COUNTIFS('United Data'!$A$3:$A$3390,L$1,'United Data'!$C$3:$C$3390,$A151)&gt;0,1,0)</f>
        <v>1</v>
      </c>
      <c r="M151">
        <f>IF(COUNTIFS('United Data'!$A$3:$A$3390,M$1,'United Data'!$C$3:$C$3390,$A151)&gt;0,1,0)</f>
        <v>0</v>
      </c>
      <c r="N151">
        <f>IF(COUNTIFS('United Data'!$A$3:$A$3390,N$1,'United Data'!$C$3:$C$3390,$A151)&gt;0,1,0)</f>
        <v>1</v>
      </c>
      <c r="O151">
        <f>IF(COUNTIFS('United Data'!$A$3:$A$3390,O$1,'United Data'!$C$3:$C$3390,$A151)&gt;0,1,0)</f>
        <v>1</v>
      </c>
      <c r="P151">
        <f>IF(COUNTIFS('United Data'!$A$3:$A$3390,P$1,'United Data'!$C$3:$C$3390,$A151)&gt;0,1,0)</f>
        <v>0</v>
      </c>
      <c r="Q151">
        <f>IF(COUNTIFS('United Data'!$A$3:$A$3390,Q$1,'United Data'!$C$3:$C$3390,$A151)&gt;0,1,0)</f>
        <v>1</v>
      </c>
      <c r="R151">
        <f>IF(COUNTIFS('United Data'!$A$3:$A$3390,R$1,'United Data'!$C$3:$C$3390,$A151)&gt;0,1,0)</f>
        <v>0</v>
      </c>
      <c r="S151">
        <f t="shared" si="4"/>
        <v>7</v>
      </c>
      <c r="T151">
        <f t="shared" si="5"/>
        <v>6</v>
      </c>
    </row>
    <row r="152" spans="1:20" x14ac:dyDescent="0.2">
      <c r="A152" t="s">
        <v>209</v>
      </c>
      <c r="B152">
        <f>IF(COUNTIFS('United Data'!$A$3:$A$3390,B$1,'United Data'!$C$3:$C$3390,$A152)&gt;0,1,0)</f>
        <v>0</v>
      </c>
      <c r="C152">
        <f>IF(COUNTIFS('United Data'!$A$3:$A$3390,C$1,'United Data'!$C$3:$C$3390,$A152)&gt;0,1,0)</f>
        <v>0</v>
      </c>
      <c r="D152">
        <f>IF(COUNTIFS('United Data'!$A$3:$A$3390,D$1,'United Data'!$C$3:$C$3390,$A152)&gt;0,1,0)</f>
        <v>1</v>
      </c>
      <c r="E152">
        <f>IF(COUNTIFS('United Data'!$A$3:$A$3390,E$1,'United Data'!$C$3:$C$3390,$A152)&gt;0,1,0)</f>
        <v>1</v>
      </c>
      <c r="F152">
        <f>IF(COUNTIFS('United Data'!$A$3:$A$3390,F$1,'United Data'!$C$3:$C$3390,$A152)&gt;0,1,0)</f>
        <v>0</v>
      </c>
      <c r="G152">
        <f>IF(COUNTIFS('United Data'!$A$3:$A$3390,G$1,'United Data'!$C$3:$C$3390,$A152)&gt;0,1,0)</f>
        <v>0</v>
      </c>
      <c r="H152">
        <f>IF(COUNTIFS('United Data'!$A$3:$A$3390,H$1,'United Data'!$C$3:$C$3390,$A152)&gt;0,1,0)</f>
        <v>0</v>
      </c>
      <c r="I152">
        <f>IF(COUNTIFS('United Data'!$A$3:$A$3390,I$1,'United Data'!$C$3:$C$3390,$A152)&gt;0,1,0)</f>
        <v>0</v>
      </c>
      <c r="J152">
        <f>IF(COUNTIFS('United Data'!$A$3:$A$3390,J$1,'United Data'!$C$3:$C$3390,$A152)&gt;0,1,0)</f>
        <v>0</v>
      </c>
      <c r="K152">
        <f>IF(COUNTIFS('United Data'!$A$3:$A$3390,K$1,'United Data'!$C$3:$C$3390,$A152)&gt;0,1,0)</f>
        <v>0</v>
      </c>
      <c r="L152">
        <f>IF(COUNTIFS('United Data'!$A$3:$A$3390,L$1,'United Data'!$C$3:$C$3390,$A152)&gt;0,1,0)</f>
        <v>0</v>
      </c>
      <c r="M152">
        <f>IF(COUNTIFS('United Data'!$A$3:$A$3390,M$1,'United Data'!$C$3:$C$3390,$A152)&gt;0,1,0)</f>
        <v>0</v>
      </c>
      <c r="N152">
        <f>IF(COUNTIFS('United Data'!$A$3:$A$3390,N$1,'United Data'!$C$3:$C$3390,$A152)&gt;0,1,0)</f>
        <v>0</v>
      </c>
      <c r="O152">
        <f>IF(COUNTIFS('United Data'!$A$3:$A$3390,O$1,'United Data'!$C$3:$C$3390,$A152)&gt;0,1,0)</f>
        <v>0</v>
      </c>
      <c r="P152">
        <f>IF(COUNTIFS('United Data'!$A$3:$A$3390,P$1,'United Data'!$C$3:$C$3390,$A152)&gt;0,1,0)</f>
        <v>0</v>
      </c>
      <c r="Q152">
        <f>IF(COUNTIFS('United Data'!$A$3:$A$3390,Q$1,'United Data'!$C$3:$C$3390,$A152)&gt;0,1,0)</f>
        <v>0</v>
      </c>
      <c r="R152">
        <f>IF(COUNTIFS('United Data'!$A$3:$A$3390,R$1,'United Data'!$C$3:$C$3390,$A152)&gt;0,1,0)</f>
        <v>0</v>
      </c>
      <c r="S152">
        <f t="shared" si="4"/>
        <v>2</v>
      </c>
      <c r="T152">
        <f t="shared" si="5"/>
        <v>1</v>
      </c>
    </row>
    <row r="153" spans="1:20" x14ac:dyDescent="0.2">
      <c r="A153" t="s">
        <v>210</v>
      </c>
      <c r="B153">
        <f>IF(COUNTIFS('United Data'!$A$3:$A$3390,B$1,'United Data'!$C$3:$C$3390,$A153)&gt;0,1,0)</f>
        <v>0</v>
      </c>
      <c r="C153">
        <f>IF(COUNTIFS('United Data'!$A$3:$A$3390,C$1,'United Data'!$C$3:$C$3390,$A153)&gt;0,1,0)</f>
        <v>0</v>
      </c>
      <c r="D153">
        <f>IF(COUNTIFS('United Data'!$A$3:$A$3390,D$1,'United Data'!$C$3:$C$3390,$A153)&gt;0,1,0)</f>
        <v>1</v>
      </c>
      <c r="E153">
        <f>IF(COUNTIFS('United Data'!$A$3:$A$3390,E$1,'United Data'!$C$3:$C$3390,$A153)&gt;0,1,0)</f>
        <v>1</v>
      </c>
      <c r="F153">
        <f>IF(COUNTIFS('United Data'!$A$3:$A$3390,F$1,'United Data'!$C$3:$C$3390,$A153)&gt;0,1,0)</f>
        <v>0</v>
      </c>
      <c r="G153">
        <f>IF(COUNTIFS('United Data'!$A$3:$A$3390,G$1,'United Data'!$C$3:$C$3390,$A153)&gt;0,1,0)</f>
        <v>0</v>
      </c>
      <c r="H153">
        <f>IF(COUNTIFS('United Data'!$A$3:$A$3390,H$1,'United Data'!$C$3:$C$3390,$A153)&gt;0,1,0)</f>
        <v>0</v>
      </c>
      <c r="I153">
        <f>IF(COUNTIFS('United Data'!$A$3:$A$3390,I$1,'United Data'!$C$3:$C$3390,$A153)&gt;0,1,0)</f>
        <v>0</v>
      </c>
      <c r="J153">
        <f>IF(COUNTIFS('United Data'!$A$3:$A$3390,J$1,'United Data'!$C$3:$C$3390,$A153)&gt;0,1,0)</f>
        <v>0</v>
      </c>
      <c r="K153">
        <f>IF(COUNTIFS('United Data'!$A$3:$A$3390,K$1,'United Data'!$C$3:$C$3390,$A153)&gt;0,1,0)</f>
        <v>0</v>
      </c>
      <c r="L153">
        <f>IF(COUNTIFS('United Data'!$A$3:$A$3390,L$1,'United Data'!$C$3:$C$3390,$A153)&gt;0,1,0)</f>
        <v>0</v>
      </c>
      <c r="M153">
        <f>IF(COUNTIFS('United Data'!$A$3:$A$3390,M$1,'United Data'!$C$3:$C$3390,$A153)&gt;0,1,0)</f>
        <v>0</v>
      </c>
      <c r="N153">
        <f>IF(COUNTIFS('United Data'!$A$3:$A$3390,N$1,'United Data'!$C$3:$C$3390,$A153)&gt;0,1,0)</f>
        <v>0</v>
      </c>
      <c r="O153">
        <f>IF(COUNTIFS('United Data'!$A$3:$A$3390,O$1,'United Data'!$C$3:$C$3390,$A153)&gt;0,1,0)</f>
        <v>0</v>
      </c>
      <c r="P153">
        <f>IF(COUNTIFS('United Data'!$A$3:$A$3390,P$1,'United Data'!$C$3:$C$3390,$A153)&gt;0,1,0)</f>
        <v>0</v>
      </c>
      <c r="Q153">
        <f>IF(COUNTIFS('United Data'!$A$3:$A$3390,Q$1,'United Data'!$C$3:$C$3390,$A153)&gt;0,1,0)</f>
        <v>0</v>
      </c>
      <c r="R153">
        <f>IF(COUNTIFS('United Data'!$A$3:$A$3390,R$1,'United Data'!$C$3:$C$3390,$A153)&gt;0,1,0)</f>
        <v>0</v>
      </c>
      <c r="S153">
        <f t="shared" si="4"/>
        <v>2</v>
      </c>
      <c r="T153">
        <f t="shared" si="5"/>
        <v>1</v>
      </c>
    </row>
    <row r="154" spans="1:20" x14ac:dyDescent="0.2">
      <c r="A154" t="s">
        <v>211</v>
      </c>
      <c r="B154">
        <f>IF(COUNTIFS('United Data'!$A$3:$A$3390,B$1,'United Data'!$C$3:$C$3390,$A154)&gt;0,1,0)</f>
        <v>0</v>
      </c>
      <c r="C154">
        <f>IF(COUNTIFS('United Data'!$A$3:$A$3390,C$1,'United Data'!$C$3:$C$3390,$A154)&gt;0,1,0)</f>
        <v>0</v>
      </c>
      <c r="D154">
        <f>IF(COUNTIFS('United Data'!$A$3:$A$3390,D$1,'United Data'!$C$3:$C$3390,$A154)&gt;0,1,0)</f>
        <v>1</v>
      </c>
      <c r="E154">
        <f>IF(COUNTIFS('United Data'!$A$3:$A$3390,E$1,'United Data'!$C$3:$C$3390,$A154)&gt;0,1,0)</f>
        <v>0</v>
      </c>
      <c r="F154">
        <f>IF(COUNTIFS('United Data'!$A$3:$A$3390,F$1,'United Data'!$C$3:$C$3390,$A154)&gt;0,1,0)</f>
        <v>0</v>
      </c>
      <c r="G154">
        <f>IF(COUNTIFS('United Data'!$A$3:$A$3390,G$1,'United Data'!$C$3:$C$3390,$A154)&gt;0,1,0)</f>
        <v>0</v>
      </c>
      <c r="H154">
        <f>IF(COUNTIFS('United Data'!$A$3:$A$3390,H$1,'United Data'!$C$3:$C$3390,$A154)&gt;0,1,0)</f>
        <v>0</v>
      </c>
      <c r="I154">
        <f>IF(COUNTIFS('United Data'!$A$3:$A$3390,I$1,'United Data'!$C$3:$C$3390,$A154)&gt;0,1,0)</f>
        <v>0</v>
      </c>
      <c r="J154">
        <f>IF(COUNTIFS('United Data'!$A$3:$A$3390,J$1,'United Data'!$C$3:$C$3390,$A154)&gt;0,1,0)</f>
        <v>0</v>
      </c>
      <c r="K154">
        <f>IF(COUNTIFS('United Data'!$A$3:$A$3390,K$1,'United Data'!$C$3:$C$3390,$A154)&gt;0,1,0)</f>
        <v>0</v>
      </c>
      <c r="L154">
        <f>IF(COUNTIFS('United Data'!$A$3:$A$3390,L$1,'United Data'!$C$3:$C$3390,$A154)&gt;0,1,0)</f>
        <v>0</v>
      </c>
      <c r="M154">
        <f>IF(COUNTIFS('United Data'!$A$3:$A$3390,M$1,'United Data'!$C$3:$C$3390,$A154)&gt;0,1,0)</f>
        <v>0</v>
      </c>
      <c r="N154">
        <f>IF(COUNTIFS('United Data'!$A$3:$A$3390,N$1,'United Data'!$C$3:$C$3390,$A154)&gt;0,1,0)</f>
        <v>0</v>
      </c>
      <c r="O154">
        <f>IF(COUNTIFS('United Data'!$A$3:$A$3390,O$1,'United Data'!$C$3:$C$3390,$A154)&gt;0,1,0)</f>
        <v>0</v>
      </c>
      <c r="P154">
        <f>IF(COUNTIFS('United Data'!$A$3:$A$3390,P$1,'United Data'!$C$3:$C$3390,$A154)&gt;0,1,0)</f>
        <v>0</v>
      </c>
      <c r="Q154">
        <f>IF(COUNTIFS('United Data'!$A$3:$A$3390,Q$1,'United Data'!$C$3:$C$3390,$A154)&gt;0,1,0)</f>
        <v>0</v>
      </c>
      <c r="R154">
        <f>IF(COUNTIFS('United Data'!$A$3:$A$3390,R$1,'United Data'!$C$3:$C$3390,$A154)&gt;0,1,0)</f>
        <v>0</v>
      </c>
      <c r="S154">
        <f t="shared" si="4"/>
        <v>1</v>
      </c>
      <c r="T154">
        <f t="shared" si="5"/>
        <v>1</v>
      </c>
    </row>
    <row r="155" spans="1:20" x14ac:dyDescent="0.2">
      <c r="A155" t="s">
        <v>213</v>
      </c>
      <c r="B155">
        <f>IF(COUNTIFS('United Data'!$A$3:$A$3390,B$1,'United Data'!$C$3:$C$3390,$A155)&gt;0,1,0)</f>
        <v>0</v>
      </c>
      <c r="C155">
        <f>IF(COUNTIFS('United Data'!$A$3:$A$3390,C$1,'United Data'!$C$3:$C$3390,$A155)&gt;0,1,0)</f>
        <v>0</v>
      </c>
      <c r="D155">
        <f>IF(COUNTIFS('United Data'!$A$3:$A$3390,D$1,'United Data'!$C$3:$C$3390,$A155)&gt;0,1,0)</f>
        <v>1</v>
      </c>
      <c r="E155">
        <f>IF(COUNTIFS('United Data'!$A$3:$A$3390,E$1,'United Data'!$C$3:$C$3390,$A155)&gt;0,1,0)</f>
        <v>0</v>
      </c>
      <c r="F155">
        <f>IF(COUNTIFS('United Data'!$A$3:$A$3390,F$1,'United Data'!$C$3:$C$3390,$A155)&gt;0,1,0)</f>
        <v>1</v>
      </c>
      <c r="G155">
        <f>IF(COUNTIFS('United Data'!$A$3:$A$3390,G$1,'United Data'!$C$3:$C$3390,$A155)&gt;0,1,0)</f>
        <v>0</v>
      </c>
      <c r="H155">
        <f>IF(COUNTIFS('United Data'!$A$3:$A$3390,H$1,'United Data'!$C$3:$C$3390,$A155)&gt;0,1,0)</f>
        <v>0</v>
      </c>
      <c r="I155">
        <f>IF(COUNTIFS('United Data'!$A$3:$A$3390,I$1,'United Data'!$C$3:$C$3390,$A155)&gt;0,1,0)</f>
        <v>0</v>
      </c>
      <c r="J155">
        <f>IF(COUNTIFS('United Data'!$A$3:$A$3390,J$1,'United Data'!$C$3:$C$3390,$A155)&gt;0,1,0)</f>
        <v>0</v>
      </c>
      <c r="K155">
        <f>IF(COUNTIFS('United Data'!$A$3:$A$3390,K$1,'United Data'!$C$3:$C$3390,$A155)&gt;0,1,0)</f>
        <v>0</v>
      </c>
      <c r="L155">
        <f>IF(COUNTIFS('United Data'!$A$3:$A$3390,L$1,'United Data'!$C$3:$C$3390,$A155)&gt;0,1,0)</f>
        <v>0</v>
      </c>
      <c r="M155">
        <f>IF(COUNTIFS('United Data'!$A$3:$A$3390,M$1,'United Data'!$C$3:$C$3390,$A155)&gt;0,1,0)</f>
        <v>0</v>
      </c>
      <c r="N155">
        <f>IF(COUNTIFS('United Data'!$A$3:$A$3390,N$1,'United Data'!$C$3:$C$3390,$A155)&gt;0,1,0)</f>
        <v>0</v>
      </c>
      <c r="O155">
        <f>IF(COUNTIFS('United Data'!$A$3:$A$3390,O$1,'United Data'!$C$3:$C$3390,$A155)&gt;0,1,0)</f>
        <v>0</v>
      </c>
      <c r="P155">
        <f>IF(COUNTIFS('United Data'!$A$3:$A$3390,P$1,'United Data'!$C$3:$C$3390,$A155)&gt;0,1,0)</f>
        <v>0</v>
      </c>
      <c r="Q155">
        <f>IF(COUNTIFS('United Data'!$A$3:$A$3390,Q$1,'United Data'!$C$3:$C$3390,$A155)&gt;0,1,0)</f>
        <v>0</v>
      </c>
      <c r="R155">
        <f>IF(COUNTIFS('United Data'!$A$3:$A$3390,R$1,'United Data'!$C$3:$C$3390,$A155)&gt;0,1,0)</f>
        <v>0</v>
      </c>
      <c r="S155">
        <f t="shared" si="4"/>
        <v>2</v>
      </c>
      <c r="T155">
        <f t="shared" si="5"/>
        <v>2</v>
      </c>
    </row>
    <row r="156" spans="1:20" x14ac:dyDescent="0.2">
      <c r="A156" t="s">
        <v>215</v>
      </c>
      <c r="B156">
        <f>IF(COUNTIFS('United Data'!$A$3:$A$3390,B$1,'United Data'!$C$3:$C$3390,$A156)&gt;0,1,0)</f>
        <v>0</v>
      </c>
      <c r="C156">
        <f>IF(COUNTIFS('United Data'!$A$3:$A$3390,C$1,'United Data'!$C$3:$C$3390,$A156)&gt;0,1,0)</f>
        <v>0</v>
      </c>
      <c r="D156">
        <f>IF(COUNTIFS('United Data'!$A$3:$A$3390,D$1,'United Data'!$C$3:$C$3390,$A156)&gt;0,1,0)</f>
        <v>0</v>
      </c>
      <c r="E156">
        <f>IF(COUNTIFS('United Data'!$A$3:$A$3390,E$1,'United Data'!$C$3:$C$3390,$A156)&gt;0,1,0)</f>
        <v>1</v>
      </c>
      <c r="F156">
        <f>IF(COUNTIFS('United Data'!$A$3:$A$3390,F$1,'United Data'!$C$3:$C$3390,$A156)&gt;0,1,0)</f>
        <v>1</v>
      </c>
      <c r="G156">
        <f>IF(COUNTIFS('United Data'!$A$3:$A$3390,G$1,'United Data'!$C$3:$C$3390,$A156)&gt;0,1,0)</f>
        <v>0</v>
      </c>
      <c r="H156">
        <f>IF(COUNTIFS('United Data'!$A$3:$A$3390,H$1,'United Data'!$C$3:$C$3390,$A156)&gt;0,1,0)</f>
        <v>0</v>
      </c>
      <c r="I156">
        <f>IF(COUNTIFS('United Data'!$A$3:$A$3390,I$1,'United Data'!$C$3:$C$3390,$A156)&gt;0,1,0)</f>
        <v>0</v>
      </c>
      <c r="J156">
        <f>IF(COUNTIFS('United Data'!$A$3:$A$3390,J$1,'United Data'!$C$3:$C$3390,$A156)&gt;0,1,0)</f>
        <v>0</v>
      </c>
      <c r="K156">
        <f>IF(COUNTIFS('United Data'!$A$3:$A$3390,K$1,'United Data'!$C$3:$C$3390,$A156)&gt;0,1,0)</f>
        <v>0</v>
      </c>
      <c r="L156">
        <f>IF(COUNTIFS('United Data'!$A$3:$A$3390,L$1,'United Data'!$C$3:$C$3390,$A156)&gt;0,1,0)</f>
        <v>0</v>
      </c>
      <c r="M156">
        <f>IF(COUNTIFS('United Data'!$A$3:$A$3390,M$1,'United Data'!$C$3:$C$3390,$A156)&gt;0,1,0)</f>
        <v>0</v>
      </c>
      <c r="N156">
        <f>IF(COUNTIFS('United Data'!$A$3:$A$3390,N$1,'United Data'!$C$3:$C$3390,$A156)&gt;0,1,0)</f>
        <v>0</v>
      </c>
      <c r="O156">
        <f>IF(COUNTIFS('United Data'!$A$3:$A$3390,O$1,'United Data'!$C$3:$C$3390,$A156)&gt;0,1,0)</f>
        <v>0</v>
      </c>
      <c r="P156">
        <f>IF(COUNTIFS('United Data'!$A$3:$A$3390,P$1,'United Data'!$C$3:$C$3390,$A156)&gt;0,1,0)</f>
        <v>0</v>
      </c>
      <c r="Q156">
        <f>IF(COUNTIFS('United Data'!$A$3:$A$3390,Q$1,'United Data'!$C$3:$C$3390,$A156)&gt;0,1,0)</f>
        <v>0</v>
      </c>
      <c r="R156">
        <f>IF(COUNTIFS('United Data'!$A$3:$A$3390,R$1,'United Data'!$C$3:$C$3390,$A156)&gt;0,1,0)</f>
        <v>0</v>
      </c>
      <c r="S156">
        <f t="shared" si="4"/>
        <v>2</v>
      </c>
      <c r="T156">
        <f t="shared" si="5"/>
        <v>1</v>
      </c>
    </row>
    <row r="157" spans="1:20" x14ac:dyDescent="0.2">
      <c r="A157" t="s">
        <v>216</v>
      </c>
      <c r="B157">
        <f>IF(COUNTIFS('United Data'!$A$3:$A$3390,B$1,'United Data'!$C$3:$C$3390,$A157)&gt;0,1,0)</f>
        <v>0</v>
      </c>
      <c r="C157">
        <f>IF(COUNTIFS('United Data'!$A$3:$A$3390,C$1,'United Data'!$C$3:$C$3390,$A157)&gt;0,1,0)</f>
        <v>0</v>
      </c>
      <c r="D157">
        <f>IF(COUNTIFS('United Data'!$A$3:$A$3390,D$1,'United Data'!$C$3:$C$3390,$A157)&gt;0,1,0)</f>
        <v>0</v>
      </c>
      <c r="E157">
        <f>IF(COUNTIFS('United Data'!$A$3:$A$3390,E$1,'United Data'!$C$3:$C$3390,$A157)&gt;0,1,0)</f>
        <v>1</v>
      </c>
      <c r="F157">
        <f>IF(COUNTIFS('United Data'!$A$3:$A$3390,F$1,'United Data'!$C$3:$C$3390,$A157)&gt;0,1,0)</f>
        <v>0</v>
      </c>
      <c r="G157">
        <f>IF(COUNTIFS('United Data'!$A$3:$A$3390,G$1,'United Data'!$C$3:$C$3390,$A157)&gt;0,1,0)</f>
        <v>0</v>
      </c>
      <c r="H157">
        <f>IF(COUNTIFS('United Data'!$A$3:$A$3390,H$1,'United Data'!$C$3:$C$3390,$A157)&gt;0,1,0)</f>
        <v>0</v>
      </c>
      <c r="I157">
        <f>IF(COUNTIFS('United Data'!$A$3:$A$3390,I$1,'United Data'!$C$3:$C$3390,$A157)&gt;0,1,0)</f>
        <v>0</v>
      </c>
      <c r="J157">
        <f>IF(COUNTIFS('United Data'!$A$3:$A$3390,J$1,'United Data'!$C$3:$C$3390,$A157)&gt;0,1,0)</f>
        <v>0</v>
      </c>
      <c r="K157">
        <f>IF(COUNTIFS('United Data'!$A$3:$A$3390,K$1,'United Data'!$C$3:$C$3390,$A157)&gt;0,1,0)</f>
        <v>0</v>
      </c>
      <c r="L157">
        <f>IF(COUNTIFS('United Data'!$A$3:$A$3390,L$1,'United Data'!$C$3:$C$3390,$A157)&gt;0,1,0)</f>
        <v>0</v>
      </c>
      <c r="M157">
        <f>IF(COUNTIFS('United Data'!$A$3:$A$3390,M$1,'United Data'!$C$3:$C$3390,$A157)&gt;0,1,0)</f>
        <v>0</v>
      </c>
      <c r="N157">
        <f>IF(COUNTIFS('United Data'!$A$3:$A$3390,N$1,'United Data'!$C$3:$C$3390,$A157)&gt;0,1,0)</f>
        <v>0</v>
      </c>
      <c r="O157">
        <f>IF(COUNTIFS('United Data'!$A$3:$A$3390,O$1,'United Data'!$C$3:$C$3390,$A157)&gt;0,1,0)</f>
        <v>0</v>
      </c>
      <c r="P157">
        <f>IF(COUNTIFS('United Data'!$A$3:$A$3390,P$1,'United Data'!$C$3:$C$3390,$A157)&gt;0,1,0)</f>
        <v>0</v>
      </c>
      <c r="Q157">
        <f>IF(COUNTIFS('United Data'!$A$3:$A$3390,Q$1,'United Data'!$C$3:$C$3390,$A157)&gt;0,1,0)</f>
        <v>0</v>
      </c>
      <c r="R157">
        <f>IF(COUNTIFS('United Data'!$A$3:$A$3390,R$1,'United Data'!$C$3:$C$3390,$A157)&gt;0,1,0)</f>
        <v>0</v>
      </c>
      <c r="S157">
        <f t="shared" si="4"/>
        <v>1</v>
      </c>
      <c r="T157">
        <f t="shared" si="5"/>
        <v>1</v>
      </c>
    </row>
    <row r="158" spans="1:20" x14ac:dyDescent="0.2">
      <c r="A158" t="s">
        <v>217</v>
      </c>
      <c r="B158">
        <f>IF(COUNTIFS('United Data'!$A$3:$A$3390,B$1,'United Data'!$C$3:$C$3390,$A158)&gt;0,1,0)</f>
        <v>0</v>
      </c>
      <c r="C158">
        <f>IF(COUNTIFS('United Data'!$A$3:$A$3390,C$1,'United Data'!$C$3:$C$3390,$A158)&gt;0,1,0)</f>
        <v>0</v>
      </c>
      <c r="D158">
        <f>IF(COUNTIFS('United Data'!$A$3:$A$3390,D$1,'United Data'!$C$3:$C$3390,$A158)&gt;0,1,0)</f>
        <v>0</v>
      </c>
      <c r="E158">
        <f>IF(COUNTIFS('United Data'!$A$3:$A$3390,E$1,'United Data'!$C$3:$C$3390,$A158)&gt;0,1,0)</f>
        <v>0</v>
      </c>
      <c r="F158">
        <f>IF(COUNTIFS('United Data'!$A$3:$A$3390,F$1,'United Data'!$C$3:$C$3390,$A158)&gt;0,1,0)</f>
        <v>1</v>
      </c>
      <c r="G158">
        <f>IF(COUNTIFS('United Data'!$A$3:$A$3390,G$1,'United Data'!$C$3:$C$3390,$A158)&gt;0,1,0)</f>
        <v>0</v>
      </c>
      <c r="H158">
        <f>IF(COUNTIFS('United Data'!$A$3:$A$3390,H$1,'United Data'!$C$3:$C$3390,$A158)&gt;0,1,0)</f>
        <v>0</v>
      </c>
      <c r="I158">
        <f>IF(COUNTIFS('United Data'!$A$3:$A$3390,I$1,'United Data'!$C$3:$C$3390,$A158)&gt;0,1,0)</f>
        <v>0</v>
      </c>
      <c r="J158">
        <f>IF(COUNTIFS('United Data'!$A$3:$A$3390,J$1,'United Data'!$C$3:$C$3390,$A158)&gt;0,1,0)</f>
        <v>0</v>
      </c>
      <c r="K158">
        <f>IF(COUNTIFS('United Data'!$A$3:$A$3390,K$1,'United Data'!$C$3:$C$3390,$A158)&gt;0,1,0)</f>
        <v>0</v>
      </c>
      <c r="L158">
        <f>IF(COUNTIFS('United Data'!$A$3:$A$3390,L$1,'United Data'!$C$3:$C$3390,$A158)&gt;0,1,0)</f>
        <v>0</v>
      </c>
      <c r="M158">
        <f>IF(COUNTIFS('United Data'!$A$3:$A$3390,M$1,'United Data'!$C$3:$C$3390,$A158)&gt;0,1,0)</f>
        <v>0</v>
      </c>
      <c r="N158">
        <f>IF(COUNTIFS('United Data'!$A$3:$A$3390,N$1,'United Data'!$C$3:$C$3390,$A158)&gt;0,1,0)</f>
        <v>0</v>
      </c>
      <c r="O158">
        <f>IF(COUNTIFS('United Data'!$A$3:$A$3390,O$1,'United Data'!$C$3:$C$3390,$A158)&gt;0,1,0)</f>
        <v>0</v>
      </c>
      <c r="P158">
        <f>IF(COUNTIFS('United Data'!$A$3:$A$3390,P$1,'United Data'!$C$3:$C$3390,$A158)&gt;0,1,0)</f>
        <v>0</v>
      </c>
      <c r="Q158">
        <f>IF(COUNTIFS('United Data'!$A$3:$A$3390,Q$1,'United Data'!$C$3:$C$3390,$A158)&gt;0,1,0)</f>
        <v>0</v>
      </c>
      <c r="R158">
        <f>IF(COUNTIFS('United Data'!$A$3:$A$3390,R$1,'United Data'!$C$3:$C$3390,$A158)&gt;0,1,0)</f>
        <v>0</v>
      </c>
      <c r="S158">
        <f t="shared" si="4"/>
        <v>1</v>
      </c>
      <c r="T158">
        <f t="shared" si="5"/>
        <v>1</v>
      </c>
    </row>
    <row r="159" spans="1:20" x14ac:dyDescent="0.2">
      <c r="A159" t="s">
        <v>218</v>
      </c>
      <c r="B159">
        <f>IF(COUNTIFS('United Data'!$A$3:$A$3390,B$1,'United Data'!$C$3:$C$3390,$A159)&gt;0,1,0)</f>
        <v>0</v>
      </c>
      <c r="C159">
        <f>IF(COUNTIFS('United Data'!$A$3:$A$3390,C$1,'United Data'!$C$3:$C$3390,$A159)&gt;0,1,0)</f>
        <v>0</v>
      </c>
      <c r="D159">
        <f>IF(COUNTIFS('United Data'!$A$3:$A$3390,D$1,'United Data'!$C$3:$C$3390,$A159)&gt;0,1,0)</f>
        <v>0</v>
      </c>
      <c r="E159">
        <f>IF(COUNTIFS('United Data'!$A$3:$A$3390,E$1,'United Data'!$C$3:$C$3390,$A159)&gt;0,1,0)</f>
        <v>0</v>
      </c>
      <c r="F159">
        <f>IF(COUNTIFS('United Data'!$A$3:$A$3390,F$1,'United Data'!$C$3:$C$3390,$A159)&gt;0,1,0)</f>
        <v>1</v>
      </c>
      <c r="G159">
        <f>IF(COUNTIFS('United Data'!$A$3:$A$3390,G$1,'United Data'!$C$3:$C$3390,$A159)&gt;0,1,0)</f>
        <v>0</v>
      </c>
      <c r="H159">
        <f>IF(COUNTIFS('United Data'!$A$3:$A$3390,H$1,'United Data'!$C$3:$C$3390,$A159)&gt;0,1,0)</f>
        <v>0</v>
      </c>
      <c r="I159">
        <f>IF(COUNTIFS('United Data'!$A$3:$A$3390,I$1,'United Data'!$C$3:$C$3390,$A159)&gt;0,1,0)</f>
        <v>0</v>
      </c>
      <c r="J159">
        <f>IF(COUNTIFS('United Data'!$A$3:$A$3390,J$1,'United Data'!$C$3:$C$3390,$A159)&gt;0,1,0)</f>
        <v>0</v>
      </c>
      <c r="K159">
        <f>IF(COUNTIFS('United Data'!$A$3:$A$3390,K$1,'United Data'!$C$3:$C$3390,$A159)&gt;0,1,0)</f>
        <v>0</v>
      </c>
      <c r="L159">
        <f>IF(COUNTIFS('United Data'!$A$3:$A$3390,L$1,'United Data'!$C$3:$C$3390,$A159)&gt;0,1,0)</f>
        <v>0</v>
      </c>
      <c r="M159">
        <f>IF(COUNTIFS('United Data'!$A$3:$A$3390,M$1,'United Data'!$C$3:$C$3390,$A159)&gt;0,1,0)</f>
        <v>0</v>
      </c>
      <c r="N159">
        <f>IF(COUNTIFS('United Data'!$A$3:$A$3390,N$1,'United Data'!$C$3:$C$3390,$A159)&gt;0,1,0)</f>
        <v>0</v>
      </c>
      <c r="O159">
        <f>IF(COUNTIFS('United Data'!$A$3:$A$3390,O$1,'United Data'!$C$3:$C$3390,$A159)&gt;0,1,0)</f>
        <v>0</v>
      </c>
      <c r="P159">
        <f>IF(COUNTIFS('United Data'!$A$3:$A$3390,P$1,'United Data'!$C$3:$C$3390,$A159)&gt;0,1,0)</f>
        <v>0</v>
      </c>
      <c r="Q159">
        <f>IF(COUNTIFS('United Data'!$A$3:$A$3390,Q$1,'United Data'!$C$3:$C$3390,$A159)&gt;0,1,0)</f>
        <v>0</v>
      </c>
      <c r="R159">
        <f>IF(COUNTIFS('United Data'!$A$3:$A$3390,R$1,'United Data'!$C$3:$C$3390,$A159)&gt;0,1,0)</f>
        <v>0</v>
      </c>
      <c r="S159">
        <f t="shared" si="4"/>
        <v>1</v>
      </c>
      <c r="T159">
        <f t="shared" si="5"/>
        <v>1</v>
      </c>
    </row>
    <row r="160" spans="1:20" x14ac:dyDescent="0.2">
      <c r="A160" t="s">
        <v>219</v>
      </c>
      <c r="B160">
        <f>IF(COUNTIFS('United Data'!$A$3:$A$3390,B$1,'United Data'!$C$3:$C$3390,$A160)&gt;0,1,0)</f>
        <v>0</v>
      </c>
      <c r="C160">
        <f>IF(COUNTIFS('United Data'!$A$3:$A$3390,C$1,'United Data'!$C$3:$C$3390,$A160)&gt;0,1,0)</f>
        <v>0</v>
      </c>
      <c r="D160">
        <f>IF(COUNTIFS('United Data'!$A$3:$A$3390,D$1,'United Data'!$C$3:$C$3390,$A160)&gt;0,1,0)</f>
        <v>0</v>
      </c>
      <c r="E160">
        <f>IF(COUNTIFS('United Data'!$A$3:$A$3390,E$1,'United Data'!$C$3:$C$3390,$A160)&gt;0,1,0)</f>
        <v>0</v>
      </c>
      <c r="F160">
        <f>IF(COUNTIFS('United Data'!$A$3:$A$3390,F$1,'United Data'!$C$3:$C$3390,$A160)&gt;0,1,0)</f>
        <v>1</v>
      </c>
      <c r="G160">
        <f>IF(COUNTIFS('United Data'!$A$3:$A$3390,G$1,'United Data'!$C$3:$C$3390,$A160)&gt;0,1,0)</f>
        <v>0</v>
      </c>
      <c r="H160">
        <f>IF(COUNTIFS('United Data'!$A$3:$A$3390,H$1,'United Data'!$C$3:$C$3390,$A160)&gt;0,1,0)</f>
        <v>0</v>
      </c>
      <c r="I160">
        <f>IF(COUNTIFS('United Data'!$A$3:$A$3390,I$1,'United Data'!$C$3:$C$3390,$A160)&gt;0,1,0)</f>
        <v>0</v>
      </c>
      <c r="J160">
        <f>IF(COUNTIFS('United Data'!$A$3:$A$3390,J$1,'United Data'!$C$3:$C$3390,$A160)&gt;0,1,0)</f>
        <v>0</v>
      </c>
      <c r="K160">
        <f>IF(COUNTIFS('United Data'!$A$3:$A$3390,K$1,'United Data'!$C$3:$C$3390,$A160)&gt;0,1,0)</f>
        <v>0</v>
      </c>
      <c r="L160">
        <f>IF(COUNTIFS('United Data'!$A$3:$A$3390,L$1,'United Data'!$C$3:$C$3390,$A160)&gt;0,1,0)</f>
        <v>0</v>
      </c>
      <c r="M160">
        <f>IF(COUNTIFS('United Data'!$A$3:$A$3390,M$1,'United Data'!$C$3:$C$3390,$A160)&gt;0,1,0)</f>
        <v>0</v>
      </c>
      <c r="N160">
        <f>IF(COUNTIFS('United Data'!$A$3:$A$3390,N$1,'United Data'!$C$3:$C$3390,$A160)&gt;0,1,0)</f>
        <v>0</v>
      </c>
      <c r="O160">
        <f>IF(COUNTIFS('United Data'!$A$3:$A$3390,O$1,'United Data'!$C$3:$C$3390,$A160)&gt;0,1,0)</f>
        <v>0</v>
      </c>
      <c r="P160">
        <f>IF(COUNTIFS('United Data'!$A$3:$A$3390,P$1,'United Data'!$C$3:$C$3390,$A160)&gt;0,1,0)</f>
        <v>0</v>
      </c>
      <c r="Q160">
        <f>IF(COUNTIFS('United Data'!$A$3:$A$3390,Q$1,'United Data'!$C$3:$C$3390,$A160)&gt;0,1,0)</f>
        <v>0</v>
      </c>
      <c r="R160">
        <f>IF(COUNTIFS('United Data'!$A$3:$A$3390,R$1,'United Data'!$C$3:$C$3390,$A160)&gt;0,1,0)</f>
        <v>0</v>
      </c>
      <c r="S160">
        <f t="shared" si="4"/>
        <v>1</v>
      </c>
      <c r="T160">
        <f t="shared" si="5"/>
        <v>1</v>
      </c>
    </row>
    <row r="161" spans="1:20" x14ac:dyDescent="0.2">
      <c r="A161" t="s">
        <v>221</v>
      </c>
      <c r="B161">
        <f>IF(COUNTIFS('United Data'!$A$3:$A$3390,B$1,'United Data'!$C$3:$C$3390,$A161)&gt;0,1,0)</f>
        <v>0</v>
      </c>
      <c r="C161">
        <f>IF(COUNTIFS('United Data'!$A$3:$A$3390,C$1,'United Data'!$C$3:$C$3390,$A161)&gt;0,1,0)</f>
        <v>0</v>
      </c>
      <c r="D161">
        <f>IF(COUNTIFS('United Data'!$A$3:$A$3390,D$1,'United Data'!$C$3:$C$3390,$A161)&gt;0,1,0)</f>
        <v>0</v>
      </c>
      <c r="E161">
        <f>IF(COUNTIFS('United Data'!$A$3:$A$3390,E$1,'United Data'!$C$3:$C$3390,$A161)&gt;0,1,0)</f>
        <v>0</v>
      </c>
      <c r="F161">
        <f>IF(COUNTIFS('United Data'!$A$3:$A$3390,F$1,'United Data'!$C$3:$C$3390,$A161)&gt;0,1,0)</f>
        <v>0</v>
      </c>
      <c r="G161">
        <f>IF(COUNTIFS('United Data'!$A$3:$A$3390,G$1,'United Data'!$C$3:$C$3390,$A161)&gt;0,1,0)</f>
        <v>1</v>
      </c>
      <c r="H161">
        <f>IF(COUNTIFS('United Data'!$A$3:$A$3390,H$1,'United Data'!$C$3:$C$3390,$A161)&gt;0,1,0)</f>
        <v>0</v>
      </c>
      <c r="I161">
        <f>IF(COUNTIFS('United Data'!$A$3:$A$3390,I$1,'United Data'!$C$3:$C$3390,$A161)&gt;0,1,0)</f>
        <v>0</v>
      </c>
      <c r="J161">
        <f>IF(COUNTIFS('United Data'!$A$3:$A$3390,J$1,'United Data'!$C$3:$C$3390,$A161)&gt;0,1,0)</f>
        <v>0</v>
      </c>
      <c r="K161">
        <f>IF(COUNTIFS('United Data'!$A$3:$A$3390,K$1,'United Data'!$C$3:$C$3390,$A161)&gt;0,1,0)</f>
        <v>0</v>
      </c>
      <c r="L161">
        <f>IF(COUNTIFS('United Data'!$A$3:$A$3390,L$1,'United Data'!$C$3:$C$3390,$A161)&gt;0,1,0)</f>
        <v>0</v>
      </c>
      <c r="M161">
        <f>IF(COUNTIFS('United Data'!$A$3:$A$3390,M$1,'United Data'!$C$3:$C$3390,$A161)&gt;0,1,0)</f>
        <v>0</v>
      </c>
      <c r="N161">
        <f>IF(COUNTIFS('United Data'!$A$3:$A$3390,N$1,'United Data'!$C$3:$C$3390,$A161)&gt;0,1,0)</f>
        <v>0</v>
      </c>
      <c r="O161">
        <f>IF(COUNTIFS('United Data'!$A$3:$A$3390,O$1,'United Data'!$C$3:$C$3390,$A161)&gt;0,1,0)</f>
        <v>0</v>
      </c>
      <c r="P161">
        <f>IF(COUNTIFS('United Data'!$A$3:$A$3390,P$1,'United Data'!$C$3:$C$3390,$A161)&gt;0,1,0)</f>
        <v>0</v>
      </c>
      <c r="Q161">
        <f>IF(COUNTIFS('United Data'!$A$3:$A$3390,Q$1,'United Data'!$C$3:$C$3390,$A161)&gt;0,1,0)</f>
        <v>0</v>
      </c>
      <c r="R161">
        <f>IF(COUNTIFS('United Data'!$A$3:$A$3390,R$1,'United Data'!$C$3:$C$3390,$A161)&gt;0,1,0)</f>
        <v>0</v>
      </c>
      <c r="S161">
        <f t="shared" si="4"/>
        <v>1</v>
      </c>
      <c r="T161">
        <f t="shared" si="5"/>
        <v>1</v>
      </c>
    </row>
    <row r="162" spans="1:20" x14ac:dyDescent="0.2">
      <c r="A162" t="s">
        <v>222</v>
      </c>
      <c r="B162">
        <f>IF(COUNTIFS('United Data'!$A$3:$A$3390,B$1,'United Data'!$C$3:$C$3390,$A162)&gt;0,1,0)</f>
        <v>0</v>
      </c>
      <c r="C162">
        <f>IF(COUNTIFS('United Data'!$A$3:$A$3390,C$1,'United Data'!$C$3:$C$3390,$A162)&gt;0,1,0)</f>
        <v>0</v>
      </c>
      <c r="D162">
        <f>IF(COUNTIFS('United Data'!$A$3:$A$3390,D$1,'United Data'!$C$3:$C$3390,$A162)&gt;0,1,0)</f>
        <v>0</v>
      </c>
      <c r="E162">
        <f>IF(COUNTIFS('United Data'!$A$3:$A$3390,E$1,'United Data'!$C$3:$C$3390,$A162)&gt;0,1,0)</f>
        <v>0</v>
      </c>
      <c r="F162">
        <f>IF(COUNTIFS('United Data'!$A$3:$A$3390,F$1,'United Data'!$C$3:$C$3390,$A162)&gt;0,1,0)</f>
        <v>0</v>
      </c>
      <c r="G162">
        <f>IF(COUNTIFS('United Data'!$A$3:$A$3390,G$1,'United Data'!$C$3:$C$3390,$A162)&gt;0,1,0)</f>
        <v>0</v>
      </c>
      <c r="H162">
        <f>IF(COUNTIFS('United Data'!$A$3:$A$3390,H$1,'United Data'!$C$3:$C$3390,$A162)&gt;0,1,0)</f>
        <v>1</v>
      </c>
      <c r="I162">
        <f>IF(COUNTIFS('United Data'!$A$3:$A$3390,I$1,'United Data'!$C$3:$C$3390,$A162)&gt;0,1,0)</f>
        <v>0</v>
      </c>
      <c r="J162">
        <f>IF(COUNTIFS('United Data'!$A$3:$A$3390,J$1,'United Data'!$C$3:$C$3390,$A162)&gt;0,1,0)</f>
        <v>0</v>
      </c>
      <c r="K162">
        <f>IF(COUNTIFS('United Data'!$A$3:$A$3390,K$1,'United Data'!$C$3:$C$3390,$A162)&gt;0,1,0)</f>
        <v>0</v>
      </c>
      <c r="L162">
        <f>IF(COUNTIFS('United Data'!$A$3:$A$3390,L$1,'United Data'!$C$3:$C$3390,$A162)&gt;0,1,0)</f>
        <v>0</v>
      </c>
      <c r="M162">
        <f>IF(COUNTIFS('United Data'!$A$3:$A$3390,M$1,'United Data'!$C$3:$C$3390,$A162)&gt;0,1,0)</f>
        <v>0</v>
      </c>
      <c r="N162">
        <f>IF(COUNTIFS('United Data'!$A$3:$A$3390,N$1,'United Data'!$C$3:$C$3390,$A162)&gt;0,1,0)</f>
        <v>0</v>
      </c>
      <c r="O162">
        <f>IF(COUNTIFS('United Data'!$A$3:$A$3390,O$1,'United Data'!$C$3:$C$3390,$A162)&gt;0,1,0)</f>
        <v>0</v>
      </c>
      <c r="P162">
        <f>IF(COUNTIFS('United Data'!$A$3:$A$3390,P$1,'United Data'!$C$3:$C$3390,$A162)&gt;0,1,0)</f>
        <v>0</v>
      </c>
      <c r="Q162">
        <f>IF(COUNTIFS('United Data'!$A$3:$A$3390,Q$1,'United Data'!$C$3:$C$3390,$A162)&gt;0,1,0)</f>
        <v>1</v>
      </c>
      <c r="R162">
        <f>IF(COUNTIFS('United Data'!$A$3:$A$3390,R$1,'United Data'!$C$3:$C$3390,$A162)&gt;0,1,0)</f>
        <v>1</v>
      </c>
      <c r="S162">
        <f t="shared" si="4"/>
        <v>3</v>
      </c>
      <c r="T162">
        <f t="shared" si="5"/>
        <v>2</v>
      </c>
    </row>
    <row r="163" spans="1:20" x14ac:dyDescent="0.2">
      <c r="A163" t="s">
        <v>223</v>
      </c>
      <c r="B163">
        <f>IF(COUNTIFS('United Data'!$A$3:$A$3390,B$1,'United Data'!$C$3:$C$3390,$A163)&gt;0,1,0)</f>
        <v>0</v>
      </c>
      <c r="C163">
        <f>IF(COUNTIFS('United Data'!$A$3:$A$3390,C$1,'United Data'!$C$3:$C$3390,$A163)&gt;0,1,0)</f>
        <v>0</v>
      </c>
      <c r="D163">
        <f>IF(COUNTIFS('United Data'!$A$3:$A$3390,D$1,'United Data'!$C$3:$C$3390,$A163)&gt;0,1,0)</f>
        <v>1</v>
      </c>
      <c r="E163">
        <f>IF(COUNTIFS('United Data'!$A$3:$A$3390,E$1,'United Data'!$C$3:$C$3390,$A163)&gt;0,1,0)</f>
        <v>1</v>
      </c>
      <c r="F163">
        <f>IF(COUNTIFS('United Data'!$A$3:$A$3390,F$1,'United Data'!$C$3:$C$3390,$A163)&gt;0,1,0)</f>
        <v>0</v>
      </c>
      <c r="G163">
        <f>IF(COUNTIFS('United Data'!$A$3:$A$3390,G$1,'United Data'!$C$3:$C$3390,$A163)&gt;0,1,0)</f>
        <v>1</v>
      </c>
      <c r="H163">
        <f>IF(COUNTIFS('United Data'!$A$3:$A$3390,H$1,'United Data'!$C$3:$C$3390,$A163)&gt;0,1,0)</f>
        <v>1</v>
      </c>
      <c r="I163">
        <f>IF(COUNTIFS('United Data'!$A$3:$A$3390,I$1,'United Data'!$C$3:$C$3390,$A163)&gt;0,1,0)</f>
        <v>0</v>
      </c>
      <c r="J163">
        <f>IF(COUNTIFS('United Data'!$A$3:$A$3390,J$1,'United Data'!$C$3:$C$3390,$A163)&gt;0,1,0)</f>
        <v>0</v>
      </c>
      <c r="K163">
        <f>IF(COUNTIFS('United Data'!$A$3:$A$3390,K$1,'United Data'!$C$3:$C$3390,$A163)&gt;0,1,0)</f>
        <v>1</v>
      </c>
      <c r="L163">
        <f>IF(COUNTIFS('United Data'!$A$3:$A$3390,L$1,'United Data'!$C$3:$C$3390,$A163)&gt;0,1,0)</f>
        <v>0</v>
      </c>
      <c r="M163">
        <f>IF(COUNTIFS('United Data'!$A$3:$A$3390,M$1,'United Data'!$C$3:$C$3390,$A163)&gt;0,1,0)</f>
        <v>0</v>
      </c>
      <c r="N163">
        <f>IF(COUNTIFS('United Data'!$A$3:$A$3390,N$1,'United Data'!$C$3:$C$3390,$A163)&gt;0,1,0)</f>
        <v>0</v>
      </c>
      <c r="O163">
        <f>IF(COUNTIFS('United Data'!$A$3:$A$3390,O$1,'United Data'!$C$3:$C$3390,$A163)&gt;0,1,0)</f>
        <v>1</v>
      </c>
      <c r="P163">
        <f>IF(COUNTIFS('United Data'!$A$3:$A$3390,P$1,'United Data'!$C$3:$C$3390,$A163)&gt;0,1,0)</f>
        <v>1</v>
      </c>
      <c r="Q163">
        <f>IF(COUNTIFS('United Data'!$A$3:$A$3390,Q$1,'United Data'!$C$3:$C$3390,$A163)&gt;0,1,0)</f>
        <v>0</v>
      </c>
      <c r="R163">
        <f>IF(COUNTIFS('United Data'!$A$3:$A$3390,R$1,'United Data'!$C$3:$C$3390,$A163)&gt;0,1,0)</f>
        <v>1</v>
      </c>
      <c r="S163">
        <f t="shared" si="4"/>
        <v>8</v>
      </c>
      <c r="T163">
        <f t="shared" si="5"/>
        <v>5</v>
      </c>
    </row>
    <row r="164" spans="1:20" x14ac:dyDescent="0.2">
      <c r="A164" t="s">
        <v>224</v>
      </c>
      <c r="B164">
        <f>IF(COUNTIFS('United Data'!$A$3:$A$3390,B$1,'United Data'!$C$3:$C$3390,$A164)&gt;0,1,0)</f>
        <v>0</v>
      </c>
      <c r="C164">
        <f>IF(COUNTIFS('United Data'!$A$3:$A$3390,C$1,'United Data'!$C$3:$C$3390,$A164)&gt;0,1,0)</f>
        <v>0</v>
      </c>
      <c r="D164">
        <f>IF(COUNTIFS('United Data'!$A$3:$A$3390,D$1,'United Data'!$C$3:$C$3390,$A164)&gt;0,1,0)</f>
        <v>0</v>
      </c>
      <c r="E164">
        <f>IF(COUNTIFS('United Data'!$A$3:$A$3390,E$1,'United Data'!$C$3:$C$3390,$A164)&gt;0,1,0)</f>
        <v>0</v>
      </c>
      <c r="F164">
        <f>IF(COUNTIFS('United Data'!$A$3:$A$3390,F$1,'United Data'!$C$3:$C$3390,$A164)&gt;0,1,0)</f>
        <v>0</v>
      </c>
      <c r="G164">
        <f>IF(COUNTIFS('United Data'!$A$3:$A$3390,G$1,'United Data'!$C$3:$C$3390,$A164)&gt;0,1,0)</f>
        <v>0</v>
      </c>
      <c r="H164">
        <f>IF(COUNTIFS('United Data'!$A$3:$A$3390,H$1,'United Data'!$C$3:$C$3390,$A164)&gt;0,1,0)</f>
        <v>0</v>
      </c>
      <c r="I164">
        <f>IF(COUNTIFS('United Data'!$A$3:$A$3390,I$1,'United Data'!$C$3:$C$3390,$A164)&gt;0,1,0)</f>
        <v>1</v>
      </c>
      <c r="J164">
        <f>IF(COUNTIFS('United Data'!$A$3:$A$3390,J$1,'United Data'!$C$3:$C$3390,$A164)&gt;0,1,0)</f>
        <v>0</v>
      </c>
      <c r="K164">
        <f>IF(COUNTIFS('United Data'!$A$3:$A$3390,K$1,'United Data'!$C$3:$C$3390,$A164)&gt;0,1,0)</f>
        <v>0</v>
      </c>
      <c r="L164">
        <f>IF(COUNTIFS('United Data'!$A$3:$A$3390,L$1,'United Data'!$C$3:$C$3390,$A164)&gt;0,1,0)</f>
        <v>0</v>
      </c>
      <c r="M164">
        <f>IF(COUNTIFS('United Data'!$A$3:$A$3390,M$1,'United Data'!$C$3:$C$3390,$A164)&gt;0,1,0)</f>
        <v>0</v>
      </c>
      <c r="N164">
        <f>IF(COUNTIFS('United Data'!$A$3:$A$3390,N$1,'United Data'!$C$3:$C$3390,$A164)&gt;0,1,0)</f>
        <v>0</v>
      </c>
      <c r="O164">
        <f>IF(COUNTIFS('United Data'!$A$3:$A$3390,O$1,'United Data'!$C$3:$C$3390,$A164)&gt;0,1,0)</f>
        <v>0</v>
      </c>
      <c r="P164">
        <f>IF(COUNTIFS('United Data'!$A$3:$A$3390,P$1,'United Data'!$C$3:$C$3390,$A164)&gt;0,1,0)</f>
        <v>0</v>
      </c>
      <c r="Q164">
        <f>IF(COUNTIFS('United Data'!$A$3:$A$3390,Q$1,'United Data'!$C$3:$C$3390,$A164)&gt;0,1,0)</f>
        <v>0</v>
      </c>
      <c r="R164">
        <f>IF(COUNTIFS('United Data'!$A$3:$A$3390,R$1,'United Data'!$C$3:$C$3390,$A164)&gt;0,1,0)</f>
        <v>0</v>
      </c>
      <c r="S164">
        <f t="shared" si="4"/>
        <v>1</v>
      </c>
      <c r="T164">
        <f t="shared" si="5"/>
        <v>1</v>
      </c>
    </row>
    <row r="165" spans="1:20" x14ac:dyDescent="0.2">
      <c r="A165" t="s">
        <v>225</v>
      </c>
      <c r="B165">
        <f>IF(COUNTIFS('United Data'!$A$3:$A$3390,B$1,'United Data'!$C$3:$C$3390,$A165)&gt;0,1,0)</f>
        <v>0</v>
      </c>
      <c r="C165">
        <f>IF(COUNTIFS('United Data'!$A$3:$A$3390,C$1,'United Data'!$C$3:$C$3390,$A165)&gt;0,1,0)</f>
        <v>0</v>
      </c>
      <c r="D165">
        <f>IF(COUNTIFS('United Data'!$A$3:$A$3390,D$1,'United Data'!$C$3:$C$3390,$A165)&gt;0,1,0)</f>
        <v>0</v>
      </c>
      <c r="E165">
        <f>IF(COUNTIFS('United Data'!$A$3:$A$3390,E$1,'United Data'!$C$3:$C$3390,$A165)&gt;0,1,0)</f>
        <v>0</v>
      </c>
      <c r="F165">
        <f>IF(COUNTIFS('United Data'!$A$3:$A$3390,F$1,'United Data'!$C$3:$C$3390,$A165)&gt;0,1,0)</f>
        <v>0</v>
      </c>
      <c r="G165">
        <f>IF(COUNTIFS('United Data'!$A$3:$A$3390,G$1,'United Data'!$C$3:$C$3390,$A165)&gt;0,1,0)</f>
        <v>0</v>
      </c>
      <c r="H165">
        <f>IF(COUNTIFS('United Data'!$A$3:$A$3390,H$1,'United Data'!$C$3:$C$3390,$A165)&gt;0,1,0)</f>
        <v>0</v>
      </c>
      <c r="I165">
        <f>IF(COUNTIFS('United Data'!$A$3:$A$3390,I$1,'United Data'!$C$3:$C$3390,$A165)&gt;0,1,0)</f>
        <v>1</v>
      </c>
      <c r="J165">
        <f>IF(COUNTIFS('United Data'!$A$3:$A$3390,J$1,'United Data'!$C$3:$C$3390,$A165)&gt;0,1,0)</f>
        <v>0</v>
      </c>
      <c r="K165">
        <f>IF(COUNTIFS('United Data'!$A$3:$A$3390,K$1,'United Data'!$C$3:$C$3390,$A165)&gt;0,1,0)</f>
        <v>0</v>
      </c>
      <c r="L165">
        <f>IF(COUNTIFS('United Data'!$A$3:$A$3390,L$1,'United Data'!$C$3:$C$3390,$A165)&gt;0,1,0)</f>
        <v>0</v>
      </c>
      <c r="M165">
        <f>IF(COUNTIFS('United Data'!$A$3:$A$3390,M$1,'United Data'!$C$3:$C$3390,$A165)&gt;0,1,0)</f>
        <v>0</v>
      </c>
      <c r="N165">
        <f>IF(COUNTIFS('United Data'!$A$3:$A$3390,N$1,'United Data'!$C$3:$C$3390,$A165)&gt;0,1,0)</f>
        <v>0</v>
      </c>
      <c r="O165">
        <f>IF(COUNTIFS('United Data'!$A$3:$A$3390,O$1,'United Data'!$C$3:$C$3390,$A165)&gt;0,1,0)</f>
        <v>0</v>
      </c>
      <c r="P165">
        <f>IF(COUNTIFS('United Data'!$A$3:$A$3390,P$1,'United Data'!$C$3:$C$3390,$A165)&gt;0,1,0)</f>
        <v>0</v>
      </c>
      <c r="Q165">
        <f>IF(COUNTIFS('United Data'!$A$3:$A$3390,Q$1,'United Data'!$C$3:$C$3390,$A165)&gt;0,1,0)</f>
        <v>0</v>
      </c>
      <c r="R165">
        <f>IF(COUNTIFS('United Data'!$A$3:$A$3390,R$1,'United Data'!$C$3:$C$3390,$A165)&gt;0,1,0)</f>
        <v>0</v>
      </c>
      <c r="S165">
        <f t="shared" si="4"/>
        <v>1</v>
      </c>
      <c r="T165">
        <f t="shared" si="5"/>
        <v>1</v>
      </c>
    </row>
    <row r="166" spans="1:20" x14ac:dyDescent="0.2">
      <c r="A166" t="s">
        <v>226</v>
      </c>
      <c r="B166">
        <f>IF(COUNTIFS('United Data'!$A$3:$A$3390,B$1,'United Data'!$C$3:$C$3390,$A166)&gt;0,1,0)</f>
        <v>0</v>
      </c>
      <c r="C166">
        <f>IF(COUNTIFS('United Data'!$A$3:$A$3390,C$1,'United Data'!$C$3:$C$3390,$A166)&gt;0,1,0)</f>
        <v>0</v>
      </c>
      <c r="D166">
        <f>IF(COUNTIFS('United Data'!$A$3:$A$3390,D$1,'United Data'!$C$3:$C$3390,$A166)&gt;0,1,0)</f>
        <v>0</v>
      </c>
      <c r="E166">
        <f>IF(COUNTIFS('United Data'!$A$3:$A$3390,E$1,'United Data'!$C$3:$C$3390,$A166)&gt;0,1,0)</f>
        <v>0</v>
      </c>
      <c r="F166">
        <f>IF(COUNTIFS('United Data'!$A$3:$A$3390,F$1,'United Data'!$C$3:$C$3390,$A166)&gt;0,1,0)</f>
        <v>0</v>
      </c>
      <c r="G166">
        <f>IF(COUNTIFS('United Data'!$A$3:$A$3390,G$1,'United Data'!$C$3:$C$3390,$A166)&gt;0,1,0)</f>
        <v>0</v>
      </c>
      <c r="H166">
        <f>IF(COUNTIFS('United Data'!$A$3:$A$3390,H$1,'United Data'!$C$3:$C$3390,$A166)&gt;0,1,0)</f>
        <v>0</v>
      </c>
      <c r="I166">
        <f>IF(COUNTIFS('United Data'!$A$3:$A$3390,I$1,'United Data'!$C$3:$C$3390,$A166)&gt;0,1,0)</f>
        <v>1</v>
      </c>
      <c r="J166">
        <f>IF(COUNTIFS('United Data'!$A$3:$A$3390,J$1,'United Data'!$C$3:$C$3390,$A166)&gt;0,1,0)</f>
        <v>0</v>
      </c>
      <c r="K166">
        <f>IF(COUNTIFS('United Data'!$A$3:$A$3390,K$1,'United Data'!$C$3:$C$3390,$A166)&gt;0,1,0)</f>
        <v>0</v>
      </c>
      <c r="L166">
        <f>IF(COUNTIFS('United Data'!$A$3:$A$3390,L$1,'United Data'!$C$3:$C$3390,$A166)&gt;0,1,0)</f>
        <v>0</v>
      </c>
      <c r="M166">
        <f>IF(COUNTIFS('United Data'!$A$3:$A$3390,M$1,'United Data'!$C$3:$C$3390,$A166)&gt;0,1,0)</f>
        <v>0</v>
      </c>
      <c r="N166">
        <f>IF(COUNTIFS('United Data'!$A$3:$A$3390,N$1,'United Data'!$C$3:$C$3390,$A166)&gt;0,1,0)</f>
        <v>0</v>
      </c>
      <c r="O166">
        <f>IF(COUNTIFS('United Data'!$A$3:$A$3390,O$1,'United Data'!$C$3:$C$3390,$A166)&gt;0,1,0)</f>
        <v>0</v>
      </c>
      <c r="P166">
        <f>IF(COUNTIFS('United Data'!$A$3:$A$3390,P$1,'United Data'!$C$3:$C$3390,$A166)&gt;0,1,0)</f>
        <v>0</v>
      </c>
      <c r="Q166">
        <f>IF(COUNTIFS('United Data'!$A$3:$A$3390,Q$1,'United Data'!$C$3:$C$3390,$A166)&gt;0,1,0)</f>
        <v>0</v>
      </c>
      <c r="R166">
        <f>IF(COUNTIFS('United Data'!$A$3:$A$3390,R$1,'United Data'!$C$3:$C$3390,$A166)&gt;0,1,0)</f>
        <v>0</v>
      </c>
      <c r="S166">
        <f t="shared" si="4"/>
        <v>1</v>
      </c>
      <c r="T166">
        <f t="shared" si="5"/>
        <v>1</v>
      </c>
    </row>
    <row r="167" spans="1:20" x14ac:dyDescent="0.2">
      <c r="A167" t="s">
        <v>227</v>
      </c>
      <c r="B167">
        <f>IF(COUNTIFS('United Data'!$A$3:$A$3390,B$1,'United Data'!$C$3:$C$3390,$A167)&gt;0,1,0)</f>
        <v>1</v>
      </c>
      <c r="C167">
        <f>IF(COUNTIFS('United Data'!$A$3:$A$3390,C$1,'United Data'!$C$3:$C$3390,$A167)&gt;0,1,0)</f>
        <v>1</v>
      </c>
      <c r="D167">
        <f>IF(COUNTIFS('United Data'!$A$3:$A$3390,D$1,'United Data'!$C$3:$C$3390,$A167)&gt;0,1,0)</f>
        <v>1</v>
      </c>
      <c r="E167">
        <f>IF(COUNTIFS('United Data'!$A$3:$A$3390,E$1,'United Data'!$C$3:$C$3390,$A167)&gt;0,1,0)</f>
        <v>1</v>
      </c>
      <c r="F167">
        <f>IF(COUNTIFS('United Data'!$A$3:$A$3390,F$1,'United Data'!$C$3:$C$3390,$A167)&gt;0,1,0)</f>
        <v>1</v>
      </c>
      <c r="G167">
        <f>IF(COUNTIFS('United Data'!$A$3:$A$3390,G$1,'United Data'!$C$3:$C$3390,$A167)&gt;0,1,0)</f>
        <v>1</v>
      </c>
      <c r="H167">
        <f>IF(COUNTIFS('United Data'!$A$3:$A$3390,H$1,'United Data'!$C$3:$C$3390,$A167)&gt;0,1,0)</f>
        <v>0</v>
      </c>
      <c r="I167">
        <f>IF(COUNTIFS('United Data'!$A$3:$A$3390,I$1,'United Data'!$C$3:$C$3390,$A167)&gt;0,1,0)</f>
        <v>0</v>
      </c>
      <c r="J167">
        <f>IF(COUNTIFS('United Data'!$A$3:$A$3390,J$1,'United Data'!$C$3:$C$3390,$A167)&gt;0,1,0)</f>
        <v>0</v>
      </c>
      <c r="K167">
        <f>IF(COUNTIFS('United Data'!$A$3:$A$3390,K$1,'United Data'!$C$3:$C$3390,$A167)&gt;0,1,0)</f>
        <v>1</v>
      </c>
      <c r="L167">
        <f>IF(COUNTIFS('United Data'!$A$3:$A$3390,L$1,'United Data'!$C$3:$C$3390,$A167)&gt;0,1,0)</f>
        <v>1</v>
      </c>
      <c r="M167">
        <f>IF(COUNTIFS('United Data'!$A$3:$A$3390,M$1,'United Data'!$C$3:$C$3390,$A167)&gt;0,1,0)</f>
        <v>0</v>
      </c>
      <c r="N167">
        <f>IF(COUNTIFS('United Data'!$A$3:$A$3390,N$1,'United Data'!$C$3:$C$3390,$A167)&gt;0,1,0)</f>
        <v>0</v>
      </c>
      <c r="O167">
        <f>IF(COUNTIFS('United Data'!$A$3:$A$3390,O$1,'United Data'!$C$3:$C$3390,$A167)&gt;0,1,0)</f>
        <v>0</v>
      </c>
      <c r="P167">
        <f>IF(COUNTIFS('United Data'!$A$3:$A$3390,P$1,'United Data'!$C$3:$C$3390,$A167)&gt;0,1,0)</f>
        <v>0</v>
      </c>
      <c r="Q167">
        <f>IF(COUNTIFS('United Data'!$A$3:$A$3390,Q$1,'United Data'!$C$3:$C$3390,$A167)&gt;0,1,0)</f>
        <v>0</v>
      </c>
      <c r="R167">
        <f>IF(COUNTIFS('United Data'!$A$3:$A$3390,R$1,'United Data'!$C$3:$C$3390,$A167)&gt;0,1,0)</f>
        <v>0</v>
      </c>
      <c r="S167">
        <f t="shared" si="4"/>
        <v>8</v>
      </c>
      <c r="T167">
        <f t="shared" si="5"/>
        <v>2</v>
      </c>
    </row>
    <row r="168" spans="1:20" x14ac:dyDescent="0.2">
      <c r="A168" t="s">
        <v>228</v>
      </c>
      <c r="B168">
        <f>IF(COUNTIFS('United Data'!$A$3:$A$3390,B$1,'United Data'!$C$3:$C$3390,$A168)&gt;0,1,0)</f>
        <v>1</v>
      </c>
      <c r="C168">
        <f>IF(COUNTIFS('United Data'!$A$3:$A$3390,C$1,'United Data'!$C$3:$C$3390,$A168)&gt;0,1,0)</f>
        <v>1</v>
      </c>
      <c r="D168">
        <f>IF(COUNTIFS('United Data'!$A$3:$A$3390,D$1,'United Data'!$C$3:$C$3390,$A168)&gt;0,1,0)</f>
        <v>1</v>
      </c>
      <c r="E168">
        <f>IF(COUNTIFS('United Data'!$A$3:$A$3390,E$1,'United Data'!$C$3:$C$3390,$A168)&gt;0,1,0)</f>
        <v>1</v>
      </c>
      <c r="F168">
        <f>IF(COUNTIFS('United Data'!$A$3:$A$3390,F$1,'United Data'!$C$3:$C$3390,$A168)&gt;0,1,0)</f>
        <v>0</v>
      </c>
      <c r="G168">
        <f>IF(COUNTIFS('United Data'!$A$3:$A$3390,G$1,'United Data'!$C$3:$C$3390,$A168)&gt;0,1,0)</f>
        <v>0</v>
      </c>
      <c r="H168">
        <f>IF(COUNTIFS('United Data'!$A$3:$A$3390,H$1,'United Data'!$C$3:$C$3390,$A168)&gt;0,1,0)</f>
        <v>0</v>
      </c>
      <c r="I168">
        <f>IF(COUNTIFS('United Data'!$A$3:$A$3390,I$1,'United Data'!$C$3:$C$3390,$A168)&gt;0,1,0)</f>
        <v>0</v>
      </c>
      <c r="J168">
        <f>IF(COUNTIFS('United Data'!$A$3:$A$3390,J$1,'United Data'!$C$3:$C$3390,$A168)&gt;0,1,0)</f>
        <v>0</v>
      </c>
      <c r="K168">
        <f>IF(COUNTIFS('United Data'!$A$3:$A$3390,K$1,'United Data'!$C$3:$C$3390,$A168)&gt;0,1,0)</f>
        <v>1</v>
      </c>
      <c r="L168">
        <f>IF(COUNTIFS('United Data'!$A$3:$A$3390,L$1,'United Data'!$C$3:$C$3390,$A168)&gt;0,1,0)</f>
        <v>0</v>
      </c>
      <c r="M168">
        <f>IF(COUNTIFS('United Data'!$A$3:$A$3390,M$1,'United Data'!$C$3:$C$3390,$A168)&gt;0,1,0)</f>
        <v>1</v>
      </c>
      <c r="N168">
        <f>IF(COUNTIFS('United Data'!$A$3:$A$3390,N$1,'United Data'!$C$3:$C$3390,$A168)&gt;0,1,0)</f>
        <v>1</v>
      </c>
      <c r="O168">
        <f>IF(COUNTIFS('United Data'!$A$3:$A$3390,O$1,'United Data'!$C$3:$C$3390,$A168)&gt;0,1,0)</f>
        <v>0</v>
      </c>
      <c r="P168">
        <f>IF(COUNTIFS('United Data'!$A$3:$A$3390,P$1,'United Data'!$C$3:$C$3390,$A168)&gt;0,1,0)</f>
        <v>0</v>
      </c>
      <c r="Q168">
        <f>IF(COUNTIFS('United Data'!$A$3:$A$3390,Q$1,'United Data'!$C$3:$C$3390,$A168)&gt;0,1,0)</f>
        <v>0</v>
      </c>
      <c r="R168">
        <f>IF(COUNTIFS('United Data'!$A$3:$A$3390,R$1,'United Data'!$C$3:$C$3390,$A168)&gt;0,1,0)</f>
        <v>1</v>
      </c>
      <c r="S168">
        <f t="shared" si="4"/>
        <v>8</v>
      </c>
      <c r="T168">
        <f t="shared" si="5"/>
        <v>4</v>
      </c>
    </row>
    <row r="169" spans="1:20" x14ac:dyDescent="0.2">
      <c r="A169" t="s">
        <v>229</v>
      </c>
      <c r="B169">
        <f>IF(COUNTIFS('United Data'!$A$3:$A$3390,B$1,'United Data'!$C$3:$C$3390,$A169)&gt;0,1,0)</f>
        <v>0</v>
      </c>
      <c r="C169">
        <f>IF(COUNTIFS('United Data'!$A$3:$A$3390,C$1,'United Data'!$C$3:$C$3390,$A169)&gt;0,1,0)</f>
        <v>0</v>
      </c>
      <c r="D169">
        <f>IF(COUNTIFS('United Data'!$A$3:$A$3390,D$1,'United Data'!$C$3:$C$3390,$A169)&gt;0,1,0)</f>
        <v>0</v>
      </c>
      <c r="E169">
        <f>IF(COUNTIFS('United Data'!$A$3:$A$3390,E$1,'United Data'!$C$3:$C$3390,$A169)&gt;0,1,0)</f>
        <v>0</v>
      </c>
      <c r="F169">
        <f>IF(COUNTIFS('United Data'!$A$3:$A$3390,F$1,'United Data'!$C$3:$C$3390,$A169)&gt;0,1,0)</f>
        <v>0</v>
      </c>
      <c r="G169">
        <f>IF(COUNTIFS('United Data'!$A$3:$A$3390,G$1,'United Data'!$C$3:$C$3390,$A169)&gt;0,1,0)</f>
        <v>0</v>
      </c>
      <c r="H169">
        <f>IF(COUNTIFS('United Data'!$A$3:$A$3390,H$1,'United Data'!$C$3:$C$3390,$A169)&gt;0,1,0)</f>
        <v>0</v>
      </c>
      <c r="I169">
        <f>IF(COUNTIFS('United Data'!$A$3:$A$3390,I$1,'United Data'!$C$3:$C$3390,$A169)&gt;0,1,0)</f>
        <v>0</v>
      </c>
      <c r="J169">
        <f>IF(COUNTIFS('United Data'!$A$3:$A$3390,J$1,'United Data'!$C$3:$C$3390,$A169)&gt;0,1,0)</f>
        <v>0</v>
      </c>
      <c r="K169">
        <f>IF(COUNTIFS('United Data'!$A$3:$A$3390,K$1,'United Data'!$C$3:$C$3390,$A169)&gt;0,1,0)</f>
        <v>0</v>
      </c>
      <c r="L169">
        <f>IF(COUNTIFS('United Data'!$A$3:$A$3390,L$1,'United Data'!$C$3:$C$3390,$A169)&gt;0,1,0)</f>
        <v>1</v>
      </c>
      <c r="M169">
        <f>IF(COUNTIFS('United Data'!$A$3:$A$3390,M$1,'United Data'!$C$3:$C$3390,$A169)&gt;0,1,0)</f>
        <v>1</v>
      </c>
      <c r="N169">
        <f>IF(COUNTIFS('United Data'!$A$3:$A$3390,N$1,'United Data'!$C$3:$C$3390,$A169)&gt;0,1,0)</f>
        <v>1</v>
      </c>
      <c r="O169">
        <f>IF(COUNTIFS('United Data'!$A$3:$A$3390,O$1,'United Data'!$C$3:$C$3390,$A169)&gt;0,1,0)</f>
        <v>0</v>
      </c>
      <c r="P169">
        <f>IF(COUNTIFS('United Data'!$A$3:$A$3390,P$1,'United Data'!$C$3:$C$3390,$A169)&gt;0,1,0)</f>
        <v>0</v>
      </c>
      <c r="Q169">
        <f>IF(COUNTIFS('United Data'!$A$3:$A$3390,Q$1,'United Data'!$C$3:$C$3390,$A169)&gt;0,1,0)</f>
        <v>0</v>
      </c>
      <c r="R169">
        <f>IF(COUNTIFS('United Data'!$A$3:$A$3390,R$1,'United Data'!$C$3:$C$3390,$A169)&gt;0,1,0)</f>
        <v>0</v>
      </c>
      <c r="S169">
        <f t="shared" si="4"/>
        <v>3</v>
      </c>
      <c r="T169">
        <f t="shared" si="5"/>
        <v>1</v>
      </c>
    </row>
    <row r="170" spans="1:20" x14ac:dyDescent="0.2">
      <c r="A170" t="s">
        <v>230</v>
      </c>
      <c r="B170">
        <f>IF(COUNTIFS('United Data'!$A$3:$A$3390,B$1,'United Data'!$C$3:$C$3390,$A170)&gt;0,1,0)</f>
        <v>0</v>
      </c>
      <c r="C170">
        <f>IF(COUNTIFS('United Data'!$A$3:$A$3390,C$1,'United Data'!$C$3:$C$3390,$A170)&gt;0,1,0)</f>
        <v>0</v>
      </c>
      <c r="D170">
        <f>IF(COUNTIFS('United Data'!$A$3:$A$3390,D$1,'United Data'!$C$3:$C$3390,$A170)&gt;0,1,0)</f>
        <v>0</v>
      </c>
      <c r="E170">
        <f>IF(COUNTIFS('United Data'!$A$3:$A$3390,E$1,'United Data'!$C$3:$C$3390,$A170)&gt;0,1,0)</f>
        <v>0</v>
      </c>
      <c r="F170">
        <f>IF(COUNTIFS('United Data'!$A$3:$A$3390,F$1,'United Data'!$C$3:$C$3390,$A170)&gt;0,1,0)</f>
        <v>0</v>
      </c>
      <c r="G170">
        <f>IF(COUNTIFS('United Data'!$A$3:$A$3390,G$1,'United Data'!$C$3:$C$3390,$A170)&gt;0,1,0)</f>
        <v>0</v>
      </c>
      <c r="H170">
        <f>IF(COUNTIFS('United Data'!$A$3:$A$3390,H$1,'United Data'!$C$3:$C$3390,$A170)&gt;0,1,0)</f>
        <v>0</v>
      </c>
      <c r="I170">
        <f>IF(COUNTIFS('United Data'!$A$3:$A$3390,I$1,'United Data'!$C$3:$C$3390,$A170)&gt;0,1,0)</f>
        <v>0</v>
      </c>
      <c r="J170">
        <f>IF(COUNTIFS('United Data'!$A$3:$A$3390,J$1,'United Data'!$C$3:$C$3390,$A170)&gt;0,1,0)</f>
        <v>0</v>
      </c>
      <c r="K170">
        <f>IF(COUNTIFS('United Data'!$A$3:$A$3390,K$1,'United Data'!$C$3:$C$3390,$A170)&gt;0,1,0)</f>
        <v>0</v>
      </c>
      <c r="L170">
        <f>IF(COUNTIFS('United Data'!$A$3:$A$3390,L$1,'United Data'!$C$3:$C$3390,$A170)&gt;0,1,0)</f>
        <v>1</v>
      </c>
      <c r="M170">
        <f>IF(COUNTIFS('United Data'!$A$3:$A$3390,M$1,'United Data'!$C$3:$C$3390,$A170)&gt;0,1,0)</f>
        <v>0</v>
      </c>
      <c r="N170">
        <f>IF(COUNTIFS('United Data'!$A$3:$A$3390,N$1,'United Data'!$C$3:$C$3390,$A170)&gt;0,1,0)</f>
        <v>0</v>
      </c>
      <c r="O170">
        <f>IF(COUNTIFS('United Data'!$A$3:$A$3390,O$1,'United Data'!$C$3:$C$3390,$A170)&gt;0,1,0)</f>
        <v>0</v>
      </c>
      <c r="P170">
        <f>IF(COUNTIFS('United Data'!$A$3:$A$3390,P$1,'United Data'!$C$3:$C$3390,$A170)&gt;0,1,0)</f>
        <v>0</v>
      </c>
      <c r="Q170">
        <f>IF(COUNTIFS('United Data'!$A$3:$A$3390,Q$1,'United Data'!$C$3:$C$3390,$A170)&gt;0,1,0)</f>
        <v>0</v>
      </c>
      <c r="R170">
        <f>IF(COUNTIFS('United Data'!$A$3:$A$3390,R$1,'United Data'!$C$3:$C$3390,$A170)&gt;0,1,0)</f>
        <v>0</v>
      </c>
      <c r="S170">
        <f t="shared" si="4"/>
        <v>1</v>
      </c>
      <c r="T170">
        <f t="shared" si="5"/>
        <v>1</v>
      </c>
    </row>
    <row r="171" spans="1:20" x14ac:dyDescent="0.2">
      <c r="A171" t="s">
        <v>231</v>
      </c>
      <c r="B171">
        <f>IF(COUNTIFS('United Data'!$A$3:$A$3390,B$1,'United Data'!$C$3:$C$3390,$A171)&gt;0,1,0)</f>
        <v>0</v>
      </c>
      <c r="C171">
        <f>IF(COUNTIFS('United Data'!$A$3:$A$3390,C$1,'United Data'!$C$3:$C$3390,$A171)&gt;0,1,0)</f>
        <v>0</v>
      </c>
      <c r="D171">
        <f>IF(COUNTIFS('United Data'!$A$3:$A$3390,D$1,'United Data'!$C$3:$C$3390,$A171)&gt;0,1,0)</f>
        <v>0</v>
      </c>
      <c r="E171">
        <f>IF(COUNTIFS('United Data'!$A$3:$A$3390,E$1,'United Data'!$C$3:$C$3390,$A171)&gt;0,1,0)</f>
        <v>0</v>
      </c>
      <c r="F171">
        <f>IF(COUNTIFS('United Data'!$A$3:$A$3390,F$1,'United Data'!$C$3:$C$3390,$A171)&gt;0,1,0)</f>
        <v>0</v>
      </c>
      <c r="G171">
        <f>IF(COUNTIFS('United Data'!$A$3:$A$3390,G$1,'United Data'!$C$3:$C$3390,$A171)&gt;0,1,0)</f>
        <v>0</v>
      </c>
      <c r="H171">
        <f>IF(COUNTIFS('United Data'!$A$3:$A$3390,H$1,'United Data'!$C$3:$C$3390,$A171)&gt;0,1,0)</f>
        <v>0</v>
      </c>
      <c r="I171">
        <f>IF(COUNTIFS('United Data'!$A$3:$A$3390,I$1,'United Data'!$C$3:$C$3390,$A171)&gt;0,1,0)</f>
        <v>0</v>
      </c>
      <c r="J171">
        <f>IF(COUNTIFS('United Data'!$A$3:$A$3390,J$1,'United Data'!$C$3:$C$3390,$A171)&gt;0,1,0)</f>
        <v>0</v>
      </c>
      <c r="K171">
        <f>IF(COUNTIFS('United Data'!$A$3:$A$3390,K$1,'United Data'!$C$3:$C$3390,$A171)&gt;0,1,0)</f>
        <v>0</v>
      </c>
      <c r="L171">
        <f>IF(COUNTIFS('United Data'!$A$3:$A$3390,L$1,'United Data'!$C$3:$C$3390,$A171)&gt;0,1,0)</f>
        <v>0</v>
      </c>
      <c r="M171">
        <f>IF(COUNTIFS('United Data'!$A$3:$A$3390,M$1,'United Data'!$C$3:$C$3390,$A171)&gt;0,1,0)</f>
        <v>1</v>
      </c>
      <c r="N171">
        <f>IF(COUNTIFS('United Data'!$A$3:$A$3390,N$1,'United Data'!$C$3:$C$3390,$A171)&gt;0,1,0)</f>
        <v>0</v>
      </c>
      <c r="O171">
        <f>IF(COUNTIFS('United Data'!$A$3:$A$3390,O$1,'United Data'!$C$3:$C$3390,$A171)&gt;0,1,0)</f>
        <v>0</v>
      </c>
      <c r="P171">
        <f>IF(COUNTIFS('United Data'!$A$3:$A$3390,P$1,'United Data'!$C$3:$C$3390,$A171)&gt;0,1,0)</f>
        <v>0</v>
      </c>
      <c r="Q171">
        <f>IF(COUNTIFS('United Data'!$A$3:$A$3390,Q$1,'United Data'!$C$3:$C$3390,$A171)&gt;0,1,0)</f>
        <v>0</v>
      </c>
      <c r="R171">
        <f>IF(COUNTIFS('United Data'!$A$3:$A$3390,R$1,'United Data'!$C$3:$C$3390,$A171)&gt;0,1,0)</f>
        <v>0</v>
      </c>
      <c r="S171">
        <f t="shared" si="4"/>
        <v>1</v>
      </c>
      <c r="T171">
        <f t="shared" si="5"/>
        <v>1</v>
      </c>
    </row>
    <row r="172" spans="1:20" x14ac:dyDescent="0.2">
      <c r="A172" t="s">
        <v>232</v>
      </c>
      <c r="B172">
        <f>IF(COUNTIFS('United Data'!$A$3:$A$3390,B$1,'United Data'!$C$3:$C$3390,$A172)&gt;0,1,0)</f>
        <v>0</v>
      </c>
      <c r="C172">
        <f>IF(COUNTIFS('United Data'!$A$3:$A$3390,C$1,'United Data'!$C$3:$C$3390,$A172)&gt;0,1,0)</f>
        <v>0</v>
      </c>
      <c r="D172">
        <f>IF(COUNTIFS('United Data'!$A$3:$A$3390,D$1,'United Data'!$C$3:$C$3390,$A172)&gt;0,1,0)</f>
        <v>0</v>
      </c>
      <c r="E172">
        <f>IF(COUNTIFS('United Data'!$A$3:$A$3390,E$1,'United Data'!$C$3:$C$3390,$A172)&gt;0,1,0)</f>
        <v>0</v>
      </c>
      <c r="F172">
        <f>IF(COUNTIFS('United Data'!$A$3:$A$3390,F$1,'United Data'!$C$3:$C$3390,$A172)&gt;0,1,0)</f>
        <v>0</v>
      </c>
      <c r="G172">
        <f>IF(COUNTIFS('United Data'!$A$3:$A$3390,G$1,'United Data'!$C$3:$C$3390,$A172)&gt;0,1,0)</f>
        <v>0</v>
      </c>
      <c r="H172">
        <f>IF(COUNTIFS('United Data'!$A$3:$A$3390,H$1,'United Data'!$C$3:$C$3390,$A172)&gt;0,1,0)</f>
        <v>0</v>
      </c>
      <c r="I172">
        <f>IF(COUNTIFS('United Data'!$A$3:$A$3390,I$1,'United Data'!$C$3:$C$3390,$A172)&gt;0,1,0)</f>
        <v>0</v>
      </c>
      <c r="J172">
        <f>IF(COUNTIFS('United Data'!$A$3:$A$3390,J$1,'United Data'!$C$3:$C$3390,$A172)&gt;0,1,0)</f>
        <v>0</v>
      </c>
      <c r="K172">
        <f>IF(COUNTIFS('United Data'!$A$3:$A$3390,K$1,'United Data'!$C$3:$C$3390,$A172)&gt;0,1,0)</f>
        <v>0</v>
      </c>
      <c r="L172">
        <f>IF(COUNTIFS('United Data'!$A$3:$A$3390,L$1,'United Data'!$C$3:$C$3390,$A172)&gt;0,1,0)</f>
        <v>0</v>
      </c>
      <c r="M172">
        <f>IF(COUNTIFS('United Data'!$A$3:$A$3390,M$1,'United Data'!$C$3:$C$3390,$A172)&gt;0,1,0)</f>
        <v>1</v>
      </c>
      <c r="N172">
        <f>IF(COUNTIFS('United Data'!$A$3:$A$3390,N$1,'United Data'!$C$3:$C$3390,$A172)&gt;0,1,0)</f>
        <v>0</v>
      </c>
      <c r="O172">
        <f>IF(COUNTIFS('United Data'!$A$3:$A$3390,O$1,'United Data'!$C$3:$C$3390,$A172)&gt;0,1,0)</f>
        <v>0</v>
      </c>
      <c r="P172">
        <f>IF(COUNTIFS('United Data'!$A$3:$A$3390,P$1,'United Data'!$C$3:$C$3390,$A172)&gt;0,1,0)</f>
        <v>0</v>
      </c>
      <c r="Q172">
        <f>IF(COUNTIFS('United Data'!$A$3:$A$3390,Q$1,'United Data'!$C$3:$C$3390,$A172)&gt;0,1,0)</f>
        <v>0</v>
      </c>
      <c r="R172">
        <f>IF(COUNTIFS('United Data'!$A$3:$A$3390,R$1,'United Data'!$C$3:$C$3390,$A172)&gt;0,1,0)</f>
        <v>0</v>
      </c>
      <c r="S172">
        <f t="shared" si="4"/>
        <v>1</v>
      </c>
      <c r="T172">
        <f t="shared" si="5"/>
        <v>1</v>
      </c>
    </row>
    <row r="173" spans="1:20" x14ac:dyDescent="0.2">
      <c r="A173" t="s">
        <v>233</v>
      </c>
      <c r="B173">
        <f>IF(COUNTIFS('United Data'!$A$3:$A$3390,B$1,'United Data'!$C$3:$C$3390,$A173)&gt;0,1,0)</f>
        <v>0</v>
      </c>
      <c r="C173">
        <f>IF(COUNTIFS('United Data'!$A$3:$A$3390,C$1,'United Data'!$C$3:$C$3390,$A173)&gt;0,1,0)</f>
        <v>0</v>
      </c>
      <c r="D173">
        <f>IF(COUNTIFS('United Data'!$A$3:$A$3390,D$1,'United Data'!$C$3:$C$3390,$A173)&gt;0,1,0)</f>
        <v>0</v>
      </c>
      <c r="E173">
        <f>IF(COUNTIFS('United Data'!$A$3:$A$3390,E$1,'United Data'!$C$3:$C$3390,$A173)&gt;0,1,0)</f>
        <v>0</v>
      </c>
      <c r="F173">
        <f>IF(COUNTIFS('United Data'!$A$3:$A$3390,F$1,'United Data'!$C$3:$C$3390,$A173)&gt;0,1,0)</f>
        <v>0</v>
      </c>
      <c r="G173">
        <f>IF(COUNTIFS('United Data'!$A$3:$A$3390,G$1,'United Data'!$C$3:$C$3390,$A173)&gt;0,1,0)</f>
        <v>0</v>
      </c>
      <c r="H173">
        <f>IF(COUNTIFS('United Data'!$A$3:$A$3390,H$1,'United Data'!$C$3:$C$3390,$A173)&gt;0,1,0)</f>
        <v>0</v>
      </c>
      <c r="I173">
        <f>IF(COUNTIFS('United Data'!$A$3:$A$3390,I$1,'United Data'!$C$3:$C$3390,$A173)&gt;0,1,0)</f>
        <v>0</v>
      </c>
      <c r="J173">
        <f>IF(COUNTIFS('United Data'!$A$3:$A$3390,J$1,'United Data'!$C$3:$C$3390,$A173)&gt;0,1,0)</f>
        <v>0</v>
      </c>
      <c r="K173">
        <f>IF(COUNTIFS('United Data'!$A$3:$A$3390,K$1,'United Data'!$C$3:$C$3390,$A173)&gt;0,1,0)</f>
        <v>0</v>
      </c>
      <c r="L173">
        <f>IF(COUNTIFS('United Data'!$A$3:$A$3390,L$1,'United Data'!$C$3:$C$3390,$A173)&gt;0,1,0)</f>
        <v>0</v>
      </c>
      <c r="M173">
        <f>IF(COUNTIFS('United Data'!$A$3:$A$3390,M$1,'United Data'!$C$3:$C$3390,$A173)&gt;0,1,0)</f>
        <v>1</v>
      </c>
      <c r="N173">
        <f>IF(COUNTIFS('United Data'!$A$3:$A$3390,N$1,'United Data'!$C$3:$C$3390,$A173)&gt;0,1,0)</f>
        <v>0</v>
      </c>
      <c r="O173">
        <f>IF(COUNTIFS('United Data'!$A$3:$A$3390,O$1,'United Data'!$C$3:$C$3390,$A173)&gt;0,1,0)</f>
        <v>0</v>
      </c>
      <c r="P173">
        <f>IF(COUNTIFS('United Data'!$A$3:$A$3390,P$1,'United Data'!$C$3:$C$3390,$A173)&gt;0,1,0)</f>
        <v>0</v>
      </c>
      <c r="Q173">
        <f>IF(COUNTIFS('United Data'!$A$3:$A$3390,Q$1,'United Data'!$C$3:$C$3390,$A173)&gt;0,1,0)</f>
        <v>0</v>
      </c>
      <c r="R173">
        <f>IF(COUNTIFS('United Data'!$A$3:$A$3390,R$1,'United Data'!$C$3:$C$3390,$A173)&gt;0,1,0)</f>
        <v>0</v>
      </c>
      <c r="S173">
        <f t="shared" si="4"/>
        <v>1</v>
      </c>
      <c r="T173">
        <f t="shared" si="5"/>
        <v>1</v>
      </c>
    </row>
    <row r="174" spans="1:20" x14ac:dyDescent="0.2">
      <c r="A174" t="s">
        <v>234</v>
      </c>
      <c r="B174">
        <f>IF(COUNTIFS('United Data'!$A$3:$A$3390,B$1,'United Data'!$C$3:$C$3390,$A174)&gt;0,1,0)</f>
        <v>0</v>
      </c>
      <c r="C174">
        <f>IF(COUNTIFS('United Data'!$A$3:$A$3390,C$1,'United Data'!$C$3:$C$3390,$A174)&gt;0,1,0)</f>
        <v>0</v>
      </c>
      <c r="D174">
        <f>IF(COUNTIFS('United Data'!$A$3:$A$3390,D$1,'United Data'!$C$3:$C$3390,$A174)&gt;0,1,0)</f>
        <v>0</v>
      </c>
      <c r="E174">
        <f>IF(COUNTIFS('United Data'!$A$3:$A$3390,E$1,'United Data'!$C$3:$C$3390,$A174)&gt;0,1,0)</f>
        <v>0</v>
      </c>
      <c r="F174">
        <f>IF(COUNTIFS('United Data'!$A$3:$A$3390,F$1,'United Data'!$C$3:$C$3390,$A174)&gt;0,1,0)</f>
        <v>0</v>
      </c>
      <c r="G174">
        <f>IF(COUNTIFS('United Data'!$A$3:$A$3390,G$1,'United Data'!$C$3:$C$3390,$A174)&gt;0,1,0)</f>
        <v>0</v>
      </c>
      <c r="H174">
        <f>IF(COUNTIFS('United Data'!$A$3:$A$3390,H$1,'United Data'!$C$3:$C$3390,$A174)&gt;0,1,0)</f>
        <v>0</v>
      </c>
      <c r="I174">
        <f>IF(COUNTIFS('United Data'!$A$3:$A$3390,I$1,'United Data'!$C$3:$C$3390,$A174)&gt;0,1,0)</f>
        <v>0</v>
      </c>
      <c r="J174">
        <f>IF(COUNTIFS('United Data'!$A$3:$A$3390,J$1,'United Data'!$C$3:$C$3390,$A174)&gt;0,1,0)</f>
        <v>0</v>
      </c>
      <c r="K174">
        <f>IF(COUNTIFS('United Data'!$A$3:$A$3390,K$1,'United Data'!$C$3:$C$3390,$A174)&gt;0,1,0)</f>
        <v>0</v>
      </c>
      <c r="L174">
        <f>IF(COUNTIFS('United Data'!$A$3:$A$3390,L$1,'United Data'!$C$3:$C$3390,$A174)&gt;0,1,0)</f>
        <v>0</v>
      </c>
      <c r="M174">
        <f>IF(COUNTIFS('United Data'!$A$3:$A$3390,M$1,'United Data'!$C$3:$C$3390,$A174)&gt;0,1,0)</f>
        <v>1</v>
      </c>
      <c r="N174">
        <f>IF(COUNTIFS('United Data'!$A$3:$A$3390,N$1,'United Data'!$C$3:$C$3390,$A174)&gt;0,1,0)</f>
        <v>0</v>
      </c>
      <c r="O174">
        <f>IF(COUNTIFS('United Data'!$A$3:$A$3390,O$1,'United Data'!$C$3:$C$3390,$A174)&gt;0,1,0)</f>
        <v>0</v>
      </c>
      <c r="P174">
        <f>IF(COUNTIFS('United Data'!$A$3:$A$3390,P$1,'United Data'!$C$3:$C$3390,$A174)&gt;0,1,0)</f>
        <v>0</v>
      </c>
      <c r="Q174">
        <f>IF(COUNTIFS('United Data'!$A$3:$A$3390,Q$1,'United Data'!$C$3:$C$3390,$A174)&gt;0,1,0)</f>
        <v>0</v>
      </c>
      <c r="R174">
        <f>IF(COUNTIFS('United Data'!$A$3:$A$3390,R$1,'United Data'!$C$3:$C$3390,$A174)&gt;0,1,0)</f>
        <v>0</v>
      </c>
      <c r="S174">
        <f t="shared" si="4"/>
        <v>1</v>
      </c>
      <c r="T174">
        <f t="shared" si="5"/>
        <v>1</v>
      </c>
    </row>
    <row r="175" spans="1:20" x14ac:dyDescent="0.2">
      <c r="A175" t="s">
        <v>235</v>
      </c>
      <c r="B175">
        <f>IF(COUNTIFS('United Data'!$A$3:$A$3390,B$1,'United Data'!$C$3:$C$3390,$A175)&gt;0,1,0)</f>
        <v>0</v>
      </c>
      <c r="C175">
        <f>IF(COUNTIFS('United Data'!$A$3:$A$3390,C$1,'United Data'!$C$3:$C$3390,$A175)&gt;0,1,0)</f>
        <v>0</v>
      </c>
      <c r="D175">
        <f>IF(COUNTIFS('United Data'!$A$3:$A$3390,D$1,'United Data'!$C$3:$C$3390,$A175)&gt;0,1,0)</f>
        <v>0</v>
      </c>
      <c r="E175">
        <f>IF(COUNTIFS('United Data'!$A$3:$A$3390,E$1,'United Data'!$C$3:$C$3390,$A175)&gt;0,1,0)</f>
        <v>0</v>
      </c>
      <c r="F175">
        <f>IF(COUNTIFS('United Data'!$A$3:$A$3390,F$1,'United Data'!$C$3:$C$3390,$A175)&gt;0,1,0)</f>
        <v>0</v>
      </c>
      <c r="G175">
        <f>IF(COUNTIFS('United Data'!$A$3:$A$3390,G$1,'United Data'!$C$3:$C$3390,$A175)&gt;0,1,0)</f>
        <v>0</v>
      </c>
      <c r="H175">
        <f>IF(COUNTIFS('United Data'!$A$3:$A$3390,H$1,'United Data'!$C$3:$C$3390,$A175)&gt;0,1,0)</f>
        <v>0</v>
      </c>
      <c r="I175">
        <f>IF(COUNTIFS('United Data'!$A$3:$A$3390,I$1,'United Data'!$C$3:$C$3390,$A175)&gt;0,1,0)</f>
        <v>0</v>
      </c>
      <c r="J175">
        <f>IF(COUNTIFS('United Data'!$A$3:$A$3390,J$1,'United Data'!$C$3:$C$3390,$A175)&gt;0,1,0)</f>
        <v>0</v>
      </c>
      <c r="K175">
        <f>IF(COUNTIFS('United Data'!$A$3:$A$3390,K$1,'United Data'!$C$3:$C$3390,$A175)&gt;0,1,0)</f>
        <v>0</v>
      </c>
      <c r="L175">
        <f>IF(COUNTIFS('United Data'!$A$3:$A$3390,L$1,'United Data'!$C$3:$C$3390,$A175)&gt;0,1,0)</f>
        <v>0</v>
      </c>
      <c r="M175">
        <f>IF(COUNTIFS('United Data'!$A$3:$A$3390,M$1,'United Data'!$C$3:$C$3390,$A175)&gt;0,1,0)</f>
        <v>0</v>
      </c>
      <c r="N175">
        <f>IF(COUNTIFS('United Data'!$A$3:$A$3390,N$1,'United Data'!$C$3:$C$3390,$A175)&gt;0,1,0)</f>
        <v>1</v>
      </c>
      <c r="O175">
        <f>IF(COUNTIFS('United Data'!$A$3:$A$3390,O$1,'United Data'!$C$3:$C$3390,$A175)&gt;0,1,0)</f>
        <v>0</v>
      </c>
      <c r="P175">
        <f>IF(COUNTIFS('United Data'!$A$3:$A$3390,P$1,'United Data'!$C$3:$C$3390,$A175)&gt;0,1,0)</f>
        <v>0</v>
      </c>
      <c r="Q175">
        <f>IF(COUNTIFS('United Data'!$A$3:$A$3390,Q$1,'United Data'!$C$3:$C$3390,$A175)&gt;0,1,0)</f>
        <v>0</v>
      </c>
      <c r="R175">
        <f>IF(COUNTIFS('United Data'!$A$3:$A$3390,R$1,'United Data'!$C$3:$C$3390,$A175)&gt;0,1,0)</f>
        <v>0</v>
      </c>
      <c r="S175">
        <f t="shared" si="4"/>
        <v>1</v>
      </c>
      <c r="T175">
        <f t="shared" si="5"/>
        <v>1</v>
      </c>
    </row>
    <row r="176" spans="1:20" x14ac:dyDescent="0.2">
      <c r="A176" t="s">
        <v>236</v>
      </c>
      <c r="B176">
        <f>IF(COUNTIFS('United Data'!$A$3:$A$3390,B$1,'United Data'!$C$3:$C$3390,$A176)&gt;0,1,0)</f>
        <v>0</v>
      </c>
      <c r="C176">
        <f>IF(COUNTIFS('United Data'!$A$3:$A$3390,C$1,'United Data'!$C$3:$C$3390,$A176)&gt;0,1,0)</f>
        <v>0</v>
      </c>
      <c r="D176">
        <f>IF(COUNTIFS('United Data'!$A$3:$A$3390,D$1,'United Data'!$C$3:$C$3390,$A176)&gt;0,1,0)</f>
        <v>0</v>
      </c>
      <c r="E176">
        <f>IF(COUNTIFS('United Data'!$A$3:$A$3390,E$1,'United Data'!$C$3:$C$3390,$A176)&gt;0,1,0)</f>
        <v>0</v>
      </c>
      <c r="F176">
        <f>IF(COUNTIFS('United Data'!$A$3:$A$3390,F$1,'United Data'!$C$3:$C$3390,$A176)&gt;0,1,0)</f>
        <v>0</v>
      </c>
      <c r="G176">
        <f>IF(COUNTIFS('United Data'!$A$3:$A$3390,G$1,'United Data'!$C$3:$C$3390,$A176)&gt;0,1,0)</f>
        <v>0</v>
      </c>
      <c r="H176">
        <f>IF(COUNTIFS('United Data'!$A$3:$A$3390,H$1,'United Data'!$C$3:$C$3390,$A176)&gt;0,1,0)</f>
        <v>0</v>
      </c>
      <c r="I176">
        <f>IF(COUNTIFS('United Data'!$A$3:$A$3390,I$1,'United Data'!$C$3:$C$3390,$A176)&gt;0,1,0)</f>
        <v>0</v>
      </c>
      <c r="J176">
        <f>IF(COUNTIFS('United Data'!$A$3:$A$3390,J$1,'United Data'!$C$3:$C$3390,$A176)&gt;0,1,0)</f>
        <v>0</v>
      </c>
      <c r="K176">
        <f>IF(COUNTIFS('United Data'!$A$3:$A$3390,K$1,'United Data'!$C$3:$C$3390,$A176)&gt;0,1,0)</f>
        <v>0</v>
      </c>
      <c r="L176">
        <f>IF(COUNTIFS('United Data'!$A$3:$A$3390,L$1,'United Data'!$C$3:$C$3390,$A176)&gt;0,1,0)</f>
        <v>0</v>
      </c>
      <c r="M176">
        <f>IF(COUNTIFS('United Data'!$A$3:$A$3390,M$1,'United Data'!$C$3:$C$3390,$A176)&gt;0,1,0)</f>
        <v>0</v>
      </c>
      <c r="N176">
        <f>IF(COUNTIFS('United Data'!$A$3:$A$3390,N$1,'United Data'!$C$3:$C$3390,$A176)&gt;0,1,0)</f>
        <v>1</v>
      </c>
      <c r="O176">
        <f>IF(COUNTIFS('United Data'!$A$3:$A$3390,O$1,'United Data'!$C$3:$C$3390,$A176)&gt;0,1,0)</f>
        <v>1</v>
      </c>
      <c r="P176">
        <f>IF(COUNTIFS('United Data'!$A$3:$A$3390,P$1,'United Data'!$C$3:$C$3390,$A176)&gt;0,1,0)</f>
        <v>0</v>
      </c>
      <c r="Q176">
        <f>IF(COUNTIFS('United Data'!$A$3:$A$3390,Q$1,'United Data'!$C$3:$C$3390,$A176)&gt;0,1,0)</f>
        <v>0</v>
      </c>
      <c r="R176">
        <f>IF(COUNTIFS('United Data'!$A$3:$A$3390,R$1,'United Data'!$C$3:$C$3390,$A176)&gt;0,1,0)</f>
        <v>0</v>
      </c>
      <c r="S176">
        <f t="shared" si="4"/>
        <v>2</v>
      </c>
      <c r="T176">
        <f t="shared" si="5"/>
        <v>1</v>
      </c>
    </row>
    <row r="177" spans="1:20" x14ac:dyDescent="0.2">
      <c r="A177" t="s">
        <v>237</v>
      </c>
      <c r="B177">
        <f>IF(COUNTIFS('United Data'!$A$3:$A$3390,B$1,'United Data'!$C$3:$C$3390,$A177)&gt;0,1,0)</f>
        <v>0</v>
      </c>
      <c r="C177">
        <f>IF(COUNTIFS('United Data'!$A$3:$A$3390,C$1,'United Data'!$C$3:$C$3390,$A177)&gt;0,1,0)</f>
        <v>0</v>
      </c>
      <c r="D177">
        <f>IF(COUNTIFS('United Data'!$A$3:$A$3390,D$1,'United Data'!$C$3:$C$3390,$A177)&gt;0,1,0)</f>
        <v>0</v>
      </c>
      <c r="E177">
        <f>IF(COUNTIFS('United Data'!$A$3:$A$3390,E$1,'United Data'!$C$3:$C$3390,$A177)&gt;0,1,0)</f>
        <v>0</v>
      </c>
      <c r="F177">
        <f>IF(COUNTIFS('United Data'!$A$3:$A$3390,F$1,'United Data'!$C$3:$C$3390,$A177)&gt;0,1,0)</f>
        <v>0</v>
      </c>
      <c r="G177">
        <f>IF(COUNTIFS('United Data'!$A$3:$A$3390,G$1,'United Data'!$C$3:$C$3390,$A177)&gt;0,1,0)</f>
        <v>0</v>
      </c>
      <c r="H177">
        <f>IF(COUNTIFS('United Data'!$A$3:$A$3390,H$1,'United Data'!$C$3:$C$3390,$A177)&gt;0,1,0)</f>
        <v>0</v>
      </c>
      <c r="I177">
        <f>IF(COUNTIFS('United Data'!$A$3:$A$3390,I$1,'United Data'!$C$3:$C$3390,$A177)&gt;0,1,0)</f>
        <v>0</v>
      </c>
      <c r="J177">
        <f>IF(COUNTIFS('United Data'!$A$3:$A$3390,J$1,'United Data'!$C$3:$C$3390,$A177)&gt;0,1,0)</f>
        <v>0</v>
      </c>
      <c r="K177">
        <f>IF(COUNTIFS('United Data'!$A$3:$A$3390,K$1,'United Data'!$C$3:$C$3390,$A177)&gt;0,1,0)</f>
        <v>0</v>
      </c>
      <c r="L177">
        <f>IF(COUNTIFS('United Data'!$A$3:$A$3390,L$1,'United Data'!$C$3:$C$3390,$A177)&gt;0,1,0)</f>
        <v>0</v>
      </c>
      <c r="M177">
        <f>IF(COUNTIFS('United Data'!$A$3:$A$3390,M$1,'United Data'!$C$3:$C$3390,$A177)&gt;0,1,0)</f>
        <v>0</v>
      </c>
      <c r="N177">
        <f>IF(COUNTIFS('United Data'!$A$3:$A$3390,N$1,'United Data'!$C$3:$C$3390,$A177)&gt;0,1,0)</f>
        <v>0</v>
      </c>
      <c r="O177">
        <f>IF(COUNTIFS('United Data'!$A$3:$A$3390,O$1,'United Data'!$C$3:$C$3390,$A177)&gt;0,1,0)</f>
        <v>1</v>
      </c>
      <c r="P177">
        <f>IF(COUNTIFS('United Data'!$A$3:$A$3390,P$1,'United Data'!$C$3:$C$3390,$A177)&gt;0,1,0)</f>
        <v>0</v>
      </c>
      <c r="Q177">
        <f>IF(COUNTIFS('United Data'!$A$3:$A$3390,Q$1,'United Data'!$C$3:$C$3390,$A177)&gt;0,1,0)</f>
        <v>0</v>
      </c>
      <c r="R177">
        <f>IF(COUNTIFS('United Data'!$A$3:$A$3390,R$1,'United Data'!$C$3:$C$3390,$A177)&gt;0,1,0)</f>
        <v>0</v>
      </c>
      <c r="S177">
        <f t="shared" si="4"/>
        <v>1</v>
      </c>
      <c r="T177">
        <f t="shared" si="5"/>
        <v>1</v>
      </c>
    </row>
    <row r="178" spans="1:20" x14ac:dyDescent="0.2">
      <c r="A178" t="s">
        <v>238</v>
      </c>
      <c r="B178">
        <f>IF(COUNTIFS('United Data'!$A$3:$A$3390,B$1,'United Data'!$C$3:$C$3390,$A178)&gt;0,1,0)</f>
        <v>0</v>
      </c>
      <c r="C178">
        <f>IF(COUNTIFS('United Data'!$A$3:$A$3390,C$1,'United Data'!$C$3:$C$3390,$A178)&gt;0,1,0)</f>
        <v>0</v>
      </c>
      <c r="D178">
        <f>IF(COUNTIFS('United Data'!$A$3:$A$3390,D$1,'United Data'!$C$3:$C$3390,$A178)&gt;0,1,0)</f>
        <v>0</v>
      </c>
      <c r="E178">
        <f>IF(COUNTIFS('United Data'!$A$3:$A$3390,E$1,'United Data'!$C$3:$C$3390,$A178)&gt;0,1,0)</f>
        <v>0</v>
      </c>
      <c r="F178">
        <f>IF(COUNTIFS('United Data'!$A$3:$A$3390,F$1,'United Data'!$C$3:$C$3390,$A178)&gt;0,1,0)</f>
        <v>0</v>
      </c>
      <c r="G178">
        <f>IF(COUNTIFS('United Data'!$A$3:$A$3390,G$1,'United Data'!$C$3:$C$3390,$A178)&gt;0,1,0)</f>
        <v>0</v>
      </c>
      <c r="H178">
        <f>IF(COUNTIFS('United Data'!$A$3:$A$3390,H$1,'United Data'!$C$3:$C$3390,$A178)&gt;0,1,0)</f>
        <v>0</v>
      </c>
      <c r="I178">
        <f>IF(COUNTIFS('United Data'!$A$3:$A$3390,I$1,'United Data'!$C$3:$C$3390,$A178)&gt;0,1,0)</f>
        <v>0</v>
      </c>
      <c r="J178">
        <f>IF(COUNTIFS('United Data'!$A$3:$A$3390,J$1,'United Data'!$C$3:$C$3390,$A178)&gt;0,1,0)</f>
        <v>0</v>
      </c>
      <c r="K178">
        <f>IF(COUNTIFS('United Data'!$A$3:$A$3390,K$1,'United Data'!$C$3:$C$3390,$A178)&gt;0,1,0)</f>
        <v>0</v>
      </c>
      <c r="L178">
        <f>IF(COUNTIFS('United Data'!$A$3:$A$3390,L$1,'United Data'!$C$3:$C$3390,$A178)&gt;0,1,0)</f>
        <v>0</v>
      </c>
      <c r="M178">
        <f>IF(COUNTIFS('United Data'!$A$3:$A$3390,M$1,'United Data'!$C$3:$C$3390,$A178)&gt;0,1,0)</f>
        <v>0</v>
      </c>
      <c r="N178">
        <f>IF(COUNTIFS('United Data'!$A$3:$A$3390,N$1,'United Data'!$C$3:$C$3390,$A178)&gt;0,1,0)</f>
        <v>0</v>
      </c>
      <c r="O178">
        <f>IF(COUNTIFS('United Data'!$A$3:$A$3390,O$1,'United Data'!$C$3:$C$3390,$A178)&gt;0,1,0)</f>
        <v>1</v>
      </c>
      <c r="P178">
        <f>IF(COUNTIFS('United Data'!$A$3:$A$3390,P$1,'United Data'!$C$3:$C$3390,$A178)&gt;0,1,0)</f>
        <v>0</v>
      </c>
      <c r="Q178">
        <f>IF(COUNTIFS('United Data'!$A$3:$A$3390,Q$1,'United Data'!$C$3:$C$3390,$A178)&gt;0,1,0)</f>
        <v>0</v>
      </c>
      <c r="R178">
        <f>IF(COUNTIFS('United Data'!$A$3:$A$3390,R$1,'United Data'!$C$3:$C$3390,$A178)&gt;0,1,0)</f>
        <v>0</v>
      </c>
      <c r="S178">
        <f t="shared" si="4"/>
        <v>1</v>
      </c>
      <c r="T178">
        <f t="shared" si="5"/>
        <v>1</v>
      </c>
    </row>
    <row r="179" spans="1:20" x14ac:dyDescent="0.2">
      <c r="A179" t="s">
        <v>239</v>
      </c>
      <c r="B179">
        <f>IF(COUNTIFS('United Data'!$A$3:$A$3390,B$1,'United Data'!$C$3:$C$3390,$A179)&gt;0,1,0)</f>
        <v>0</v>
      </c>
      <c r="C179">
        <f>IF(COUNTIFS('United Data'!$A$3:$A$3390,C$1,'United Data'!$C$3:$C$3390,$A179)&gt;0,1,0)</f>
        <v>0</v>
      </c>
      <c r="D179">
        <f>IF(COUNTIFS('United Data'!$A$3:$A$3390,D$1,'United Data'!$C$3:$C$3390,$A179)&gt;0,1,0)</f>
        <v>1</v>
      </c>
      <c r="E179">
        <f>IF(COUNTIFS('United Data'!$A$3:$A$3390,E$1,'United Data'!$C$3:$C$3390,$A179)&gt;0,1,0)</f>
        <v>1</v>
      </c>
      <c r="F179">
        <f>IF(COUNTIFS('United Data'!$A$3:$A$3390,F$1,'United Data'!$C$3:$C$3390,$A179)&gt;0,1,0)</f>
        <v>1</v>
      </c>
      <c r="G179">
        <f>IF(COUNTIFS('United Data'!$A$3:$A$3390,G$1,'United Data'!$C$3:$C$3390,$A179)&gt;0,1,0)</f>
        <v>0</v>
      </c>
      <c r="H179">
        <f>IF(COUNTIFS('United Data'!$A$3:$A$3390,H$1,'United Data'!$C$3:$C$3390,$A179)&gt;0,1,0)</f>
        <v>0</v>
      </c>
      <c r="I179">
        <f>IF(COUNTIFS('United Data'!$A$3:$A$3390,I$1,'United Data'!$C$3:$C$3390,$A179)&gt;0,1,0)</f>
        <v>1</v>
      </c>
      <c r="J179">
        <f>IF(COUNTIFS('United Data'!$A$3:$A$3390,J$1,'United Data'!$C$3:$C$3390,$A179)&gt;0,1,0)</f>
        <v>0</v>
      </c>
      <c r="K179">
        <f>IF(COUNTIFS('United Data'!$A$3:$A$3390,K$1,'United Data'!$C$3:$C$3390,$A179)&gt;0,1,0)</f>
        <v>0</v>
      </c>
      <c r="L179">
        <f>IF(COUNTIFS('United Data'!$A$3:$A$3390,L$1,'United Data'!$C$3:$C$3390,$A179)&gt;0,1,0)</f>
        <v>0</v>
      </c>
      <c r="M179">
        <f>IF(COUNTIFS('United Data'!$A$3:$A$3390,M$1,'United Data'!$C$3:$C$3390,$A179)&gt;0,1,0)</f>
        <v>0</v>
      </c>
      <c r="N179">
        <f>IF(COUNTIFS('United Data'!$A$3:$A$3390,N$1,'United Data'!$C$3:$C$3390,$A179)&gt;0,1,0)</f>
        <v>0</v>
      </c>
      <c r="O179">
        <f>IF(COUNTIFS('United Data'!$A$3:$A$3390,O$1,'United Data'!$C$3:$C$3390,$A179)&gt;0,1,0)</f>
        <v>1</v>
      </c>
      <c r="P179">
        <f>IF(COUNTIFS('United Data'!$A$3:$A$3390,P$1,'United Data'!$C$3:$C$3390,$A179)&gt;0,1,0)</f>
        <v>0</v>
      </c>
      <c r="Q179">
        <f>IF(COUNTIFS('United Data'!$A$3:$A$3390,Q$1,'United Data'!$C$3:$C$3390,$A179)&gt;0,1,0)</f>
        <v>0</v>
      </c>
      <c r="R179">
        <f>IF(COUNTIFS('United Data'!$A$3:$A$3390,R$1,'United Data'!$C$3:$C$3390,$A179)&gt;0,1,0)</f>
        <v>0</v>
      </c>
      <c r="S179">
        <f t="shared" si="4"/>
        <v>5</v>
      </c>
      <c r="T179">
        <f t="shared" si="5"/>
        <v>3</v>
      </c>
    </row>
    <row r="180" spans="1:20" x14ac:dyDescent="0.2">
      <c r="A180" t="s">
        <v>240</v>
      </c>
      <c r="B180">
        <f>IF(COUNTIFS('United Data'!$A$3:$A$3390,B$1,'United Data'!$C$3:$C$3390,$A180)&gt;0,1,0)</f>
        <v>0</v>
      </c>
      <c r="C180">
        <f>IF(COUNTIFS('United Data'!$A$3:$A$3390,C$1,'United Data'!$C$3:$C$3390,$A180)&gt;0,1,0)</f>
        <v>0</v>
      </c>
      <c r="D180">
        <f>IF(COUNTIFS('United Data'!$A$3:$A$3390,D$1,'United Data'!$C$3:$C$3390,$A180)&gt;0,1,0)</f>
        <v>0</v>
      </c>
      <c r="E180">
        <f>IF(COUNTIFS('United Data'!$A$3:$A$3390,E$1,'United Data'!$C$3:$C$3390,$A180)&gt;0,1,0)</f>
        <v>0</v>
      </c>
      <c r="F180">
        <f>IF(COUNTIFS('United Data'!$A$3:$A$3390,F$1,'United Data'!$C$3:$C$3390,$A180)&gt;0,1,0)</f>
        <v>0</v>
      </c>
      <c r="G180">
        <f>IF(COUNTIFS('United Data'!$A$3:$A$3390,G$1,'United Data'!$C$3:$C$3390,$A180)&gt;0,1,0)</f>
        <v>0</v>
      </c>
      <c r="H180">
        <f>IF(COUNTIFS('United Data'!$A$3:$A$3390,H$1,'United Data'!$C$3:$C$3390,$A180)&gt;0,1,0)</f>
        <v>0</v>
      </c>
      <c r="I180">
        <f>IF(COUNTIFS('United Data'!$A$3:$A$3390,I$1,'United Data'!$C$3:$C$3390,$A180)&gt;0,1,0)</f>
        <v>0</v>
      </c>
      <c r="J180">
        <f>IF(COUNTIFS('United Data'!$A$3:$A$3390,J$1,'United Data'!$C$3:$C$3390,$A180)&gt;0,1,0)</f>
        <v>0</v>
      </c>
      <c r="K180">
        <f>IF(COUNTIFS('United Data'!$A$3:$A$3390,K$1,'United Data'!$C$3:$C$3390,$A180)&gt;0,1,0)</f>
        <v>0</v>
      </c>
      <c r="L180">
        <f>IF(COUNTIFS('United Data'!$A$3:$A$3390,L$1,'United Data'!$C$3:$C$3390,$A180)&gt;0,1,0)</f>
        <v>0</v>
      </c>
      <c r="M180">
        <f>IF(COUNTIFS('United Data'!$A$3:$A$3390,M$1,'United Data'!$C$3:$C$3390,$A180)&gt;0,1,0)</f>
        <v>0</v>
      </c>
      <c r="N180">
        <f>IF(COUNTIFS('United Data'!$A$3:$A$3390,N$1,'United Data'!$C$3:$C$3390,$A180)&gt;0,1,0)</f>
        <v>0</v>
      </c>
      <c r="O180">
        <f>IF(COUNTIFS('United Data'!$A$3:$A$3390,O$1,'United Data'!$C$3:$C$3390,$A180)&gt;0,1,0)</f>
        <v>1</v>
      </c>
      <c r="P180">
        <f>IF(COUNTIFS('United Data'!$A$3:$A$3390,P$1,'United Data'!$C$3:$C$3390,$A180)&gt;0,1,0)</f>
        <v>0</v>
      </c>
      <c r="Q180">
        <f>IF(COUNTIFS('United Data'!$A$3:$A$3390,Q$1,'United Data'!$C$3:$C$3390,$A180)&gt;0,1,0)</f>
        <v>0</v>
      </c>
      <c r="R180">
        <f>IF(COUNTIFS('United Data'!$A$3:$A$3390,R$1,'United Data'!$C$3:$C$3390,$A180)&gt;0,1,0)</f>
        <v>0</v>
      </c>
      <c r="S180">
        <f t="shared" si="4"/>
        <v>1</v>
      </c>
      <c r="T180">
        <f t="shared" si="5"/>
        <v>1</v>
      </c>
    </row>
    <row r="181" spans="1:20" x14ac:dyDescent="0.2">
      <c r="A181" t="s">
        <v>241</v>
      </c>
      <c r="B181">
        <f>IF(COUNTIFS('United Data'!$A$3:$A$3390,B$1,'United Data'!$C$3:$C$3390,$A181)&gt;0,1,0)</f>
        <v>0</v>
      </c>
      <c r="C181">
        <f>IF(COUNTIFS('United Data'!$A$3:$A$3390,C$1,'United Data'!$C$3:$C$3390,$A181)&gt;0,1,0)</f>
        <v>0</v>
      </c>
      <c r="D181">
        <f>IF(COUNTIFS('United Data'!$A$3:$A$3390,D$1,'United Data'!$C$3:$C$3390,$A181)&gt;0,1,0)</f>
        <v>0</v>
      </c>
      <c r="E181">
        <f>IF(COUNTIFS('United Data'!$A$3:$A$3390,E$1,'United Data'!$C$3:$C$3390,$A181)&gt;0,1,0)</f>
        <v>0</v>
      </c>
      <c r="F181">
        <f>IF(COUNTIFS('United Data'!$A$3:$A$3390,F$1,'United Data'!$C$3:$C$3390,$A181)&gt;0,1,0)</f>
        <v>0</v>
      </c>
      <c r="G181">
        <f>IF(COUNTIFS('United Data'!$A$3:$A$3390,G$1,'United Data'!$C$3:$C$3390,$A181)&gt;0,1,0)</f>
        <v>0</v>
      </c>
      <c r="H181">
        <f>IF(COUNTIFS('United Data'!$A$3:$A$3390,H$1,'United Data'!$C$3:$C$3390,$A181)&gt;0,1,0)</f>
        <v>0</v>
      </c>
      <c r="I181">
        <f>IF(COUNTIFS('United Data'!$A$3:$A$3390,I$1,'United Data'!$C$3:$C$3390,$A181)&gt;0,1,0)</f>
        <v>0</v>
      </c>
      <c r="J181">
        <f>IF(COUNTIFS('United Data'!$A$3:$A$3390,J$1,'United Data'!$C$3:$C$3390,$A181)&gt;0,1,0)</f>
        <v>0</v>
      </c>
      <c r="K181">
        <f>IF(COUNTIFS('United Data'!$A$3:$A$3390,K$1,'United Data'!$C$3:$C$3390,$A181)&gt;0,1,0)</f>
        <v>0</v>
      </c>
      <c r="L181">
        <f>IF(COUNTIFS('United Data'!$A$3:$A$3390,L$1,'United Data'!$C$3:$C$3390,$A181)&gt;0,1,0)</f>
        <v>0</v>
      </c>
      <c r="M181">
        <f>IF(COUNTIFS('United Data'!$A$3:$A$3390,M$1,'United Data'!$C$3:$C$3390,$A181)&gt;0,1,0)</f>
        <v>0</v>
      </c>
      <c r="N181">
        <f>IF(COUNTIFS('United Data'!$A$3:$A$3390,N$1,'United Data'!$C$3:$C$3390,$A181)&gt;0,1,0)</f>
        <v>0</v>
      </c>
      <c r="O181">
        <f>IF(COUNTIFS('United Data'!$A$3:$A$3390,O$1,'United Data'!$C$3:$C$3390,$A181)&gt;0,1,0)</f>
        <v>0</v>
      </c>
      <c r="P181">
        <f>IF(COUNTIFS('United Data'!$A$3:$A$3390,P$1,'United Data'!$C$3:$C$3390,$A181)&gt;0,1,0)</f>
        <v>1</v>
      </c>
      <c r="Q181">
        <f>IF(COUNTIFS('United Data'!$A$3:$A$3390,Q$1,'United Data'!$C$3:$C$3390,$A181)&gt;0,1,0)</f>
        <v>1</v>
      </c>
      <c r="R181">
        <f>IF(COUNTIFS('United Data'!$A$3:$A$3390,R$1,'United Data'!$C$3:$C$3390,$A181)&gt;0,1,0)</f>
        <v>0</v>
      </c>
      <c r="S181">
        <f t="shared" si="4"/>
        <v>2</v>
      </c>
      <c r="T181">
        <f t="shared" si="5"/>
        <v>1</v>
      </c>
    </row>
    <row r="182" spans="1:20" x14ac:dyDescent="0.2">
      <c r="A182" t="s">
        <v>242</v>
      </c>
      <c r="B182">
        <f>IF(COUNTIFS('United Data'!$A$3:$A$3390,B$1,'United Data'!$C$3:$C$3390,$A182)&gt;0,1,0)</f>
        <v>0</v>
      </c>
      <c r="C182">
        <f>IF(COUNTIFS('United Data'!$A$3:$A$3390,C$1,'United Data'!$C$3:$C$3390,$A182)&gt;0,1,0)</f>
        <v>0</v>
      </c>
      <c r="D182">
        <f>IF(COUNTIFS('United Data'!$A$3:$A$3390,D$1,'United Data'!$C$3:$C$3390,$A182)&gt;0,1,0)</f>
        <v>0</v>
      </c>
      <c r="E182">
        <f>IF(COUNTIFS('United Data'!$A$3:$A$3390,E$1,'United Data'!$C$3:$C$3390,$A182)&gt;0,1,0)</f>
        <v>0</v>
      </c>
      <c r="F182">
        <f>IF(COUNTIFS('United Data'!$A$3:$A$3390,F$1,'United Data'!$C$3:$C$3390,$A182)&gt;0,1,0)</f>
        <v>0</v>
      </c>
      <c r="G182">
        <f>IF(COUNTIFS('United Data'!$A$3:$A$3390,G$1,'United Data'!$C$3:$C$3390,$A182)&gt;0,1,0)</f>
        <v>0</v>
      </c>
      <c r="H182">
        <f>IF(COUNTIFS('United Data'!$A$3:$A$3390,H$1,'United Data'!$C$3:$C$3390,$A182)&gt;0,1,0)</f>
        <v>0</v>
      </c>
      <c r="I182">
        <f>IF(COUNTIFS('United Data'!$A$3:$A$3390,I$1,'United Data'!$C$3:$C$3390,$A182)&gt;0,1,0)</f>
        <v>0</v>
      </c>
      <c r="J182">
        <f>IF(COUNTIFS('United Data'!$A$3:$A$3390,J$1,'United Data'!$C$3:$C$3390,$A182)&gt;0,1,0)</f>
        <v>0</v>
      </c>
      <c r="K182">
        <f>IF(COUNTIFS('United Data'!$A$3:$A$3390,K$1,'United Data'!$C$3:$C$3390,$A182)&gt;0,1,0)</f>
        <v>0</v>
      </c>
      <c r="L182">
        <f>IF(COUNTIFS('United Data'!$A$3:$A$3390,L$1,'United Data'!$C$3:$C$3390,$A182)&gt;0,1,0)</f>
        <v>0</v>
      </c>
      <c r="M182">
        <f>IF(COUNTIFS('United Data'!$A$3:$A$3390,M$1,'United Data'!$C$3:$C$3390,$A182)&gt;0,1,0)</f>
        <v>0</v>
      </c>
      <c r="N182">
        <f>IF(COUNTIFS('United Data'!$A$3:$A$3390,N$1,'United Data'!$C$3:$C$3390,$A182)&gt;0,1,0)</f>
        <v>0</v>
      </c>
      <c r="O182">
        <f>IF(COUNTIFS('United Data'!$A$3:$A$3390,O$1,'United Data'!$C$3:$C$3390,$A182)&gt;0,1,0)</f>
        <v>0</v>
      </c>
      <c r="P182">
        <f>IF(COUNTIFS('United Data'!$A$3:$A$3390,P$1,'United Data'!$C$3:$C$3390,$A182)&gt;0,1,0)</f>
        <v>1</v>
      </c>
      <c r="Q182">
        <f>IF(COUNTIFS('United Data'!$A$3:$A$3390,Q$1,'United Data'!$C$3:$C$3390,$A182)&gt;0,1,0)</f>
        <v>0</v>
      </c>
      <c r="R182">
        <f>IF(COUNTIFS('United Data'!$A$3:$A$3390,R$1,'United Data'!$C$3:$C$3390,$A182)&gt;0,1,0)</f>
        <v>0</v>
      </c>
      <c r="S182">
        <f t="shared" si="4"/>
        <v>1</v>
      </c>
      <c r="T182">
        <f t="shared" si="5"/>
        <v>1</v>
      </c>
    </row>
    <row r="183" spans="1:20" x14ac:dyDescent="0.2">
      <c r="A183" t="s">
        <v>243</v>
      </c>
      <c r="B183">
        <f>IF(COUNTIFS('United Data'!$A$3:$A$3390,B$1,'United Data'!$C$3:$C$3390,$A183)&gt;0,1,0)</f>
        <v>0</v>
      </c>
      <c r="C183">
        <f>IF(COUNTIFS('United Data'!$A$3:$A$3390,C$1,'United Data'!$C$3:$C$3390,$A183)&gt;0,1,0)</f>
        <v>0</v>
      </c>
      <c r="D183">
        <f>IF(COUNTIFS('United Data'!$A$3:$A$3390,D$1,'United Data'!$C$3:$C$3390,$A183)&gt;0,1,0)</f>
        <v>0</v>
      </c>
      <c r="E183">
        <f>IF(COUNTIFS('United Data'!$A$3:$A$3390,E$1,'United Data'!$C$3:$C$3390,$A183)&gt;0,1,0)</f>
        <v>0</v>
      </c>
      <c r="F183">
        <f>IF(COUNTIFS('United Data'!$A$3:$A$3390,F$1,'United Data'!$C$3:$C$3390,$A183)&gt;0,1,0)</f>
        <v>0</v>
      </c>
      <c r="G183">
        <f>IF(COUNTIFS('United Data'!$A$3:$A$3390,G$1,'United Data'!$C$3:$C$3390,$A183)&gt;0,1,0)</f>
        <v>0</v>
      </c>
      <c r="H183">
        <f>IF(COUNTIFS('United Data'!$A$3:$A$3390,H$1,'United Data'!$C$3:$C$3390,$A183)&gt;0,1,0)</f>
        <v>0</v>
      </c>
      <c r="I183">
        <f>IF(COUNTIFS('United Data'!$A$3:$A$3390,I$1,'United Data'!$C$3:$C$3390,$A183)&gt;0,1,0)</f>
        <v>0</v>
      </c>
      <c r="J183">
        <f>IF(COUNTIFS('United Data'!$A$3:$A$3390,J$1,'United Data'!$C$3:$C$3390,$A183)&gt;0,1,0)</f>
        <v>0</v>
      </c>
      <c r="K183">
        <f>IF(COUNTIFS('United Data'!$A$3:$A$3390,K$1,'United Data'!$C$3:$C$3390,$A183)&gt;0,1,0)</f>
        <v>0</v>
      </c>
      <c r="L183">
        <f>IF(COUNTIFS('United Data'!$A$3:$A$3390,L$1,'United Data'!$C$3:$C$3390,$A183)&gt;0,1,0)</f>
        <v>0</v>
      </c>
      <c r="M183">
        <f>IF(COUNTIFS('United Data'!$A$3:$A$3390,M$1,'United Data'!$C$3:$C$3390,$A183)&gt;0,1,0)</f>
        <v>0</v>
      </c>
      <c r="N183">
        <f>IF(COUNTIFS('United Data'!$A$3:$A$3390,N$1,'United Data'!$C$3:$C$3390,$A183)&gt;0,1,0)</f>
        <v>0</v>
      </c>
      <c r="O183">
        <f>IF(COUNTIFS('United Data'!$A$3:$A$3390,O$1,'United Data'!$C$3:$C$3390,$A183)&gt;0,1,0)</f>
        <v>0</v>
      </c>
      <c r="P183">
        <f>IF(COUNTIFS('United Data'!$A$3:$A$3390,P$1,'United Data'!$C$3:$C$3390,$A183)&gt;0,1,0)</f>
        <v>1</v>
      </c>
      <c r="Q183">
        <f>IF(COUNTIFS('United Data'!$A$3:$A$3390,Q$1,'United Data'!$C$3:$C$3390,$A183)&gt;0,1,0)</f>
        <v>0</v>
      </c>
      <c r="R183">
        <f>IF(COUNTIFS('United Data'!$A$3:$A$3390,R$1,'United Data'!$C$3:$C$3390,$A183)&gt;0,1,0)</f>
        <v>0</v>
      </c>
      <c r="S183">
        <f t="shared" si="4"/>
        <v>1</v>
      </c>
      <c r="T183">
        <f t="shared" si="5"/>
        <v>1</v>
      </c>
    </row>
    <row r="184" spans="1:20" x14ac:dyDescent="0.2">
      <c r="A184" t="s">
        <v>244</v>
      </c>
      <c r="B184">
        <f>IF(COUNTIFS('United Data'!$A$3:$A$3390,B$1,'United Data'!$C$3:$C$3390,$A184)&gt;0,1,0)</f>
        <v>0</v>
      </c>
      <c r="C184">
        <f>IF(COUNTIFS('United Data'!$A$3:$A$3390,C$1,'United Data'!$C$3:$C$3390,$A184)&gt;0,1,0)</f>
        <v>0</v>
      </c>
      <c r="D184">
        <f>IF(COUNTIFS('United Data'!$A$3:$A$3390,D$1,'United Data'!$C$3:$C$3390,$A184)&gt;0,1,0)</f>
        <v>0</v>
      </c>
      <c r="E184">
        <f>IF(COUNTIFS('United Data'!$A$3:$A$3390,E$1,'United Data'!$C$3:$C$3390,$A184)&gt;0,1,0)</f>
        <v>0</v>
      </c>
      <c r="F184">
        <f>IF(COUNTIFS('United Data'!$A$3:$A$3390,F$1,'United Data'!$C$3:$C$3390,$A184)&gt;0,1,0)</f>
        <v>0</v>
      </c>
      <c r="G184">
        <f>IF(COUNTIFS('United Data'!$A$3:$A$3390,G$1,'United Data'!$C$3:$C$3390,$A184)&gt;0,1,0)</f>
        <v>0</v>
      </c>
      <c r="H184">
        <f>IF(COUNTIFS('United Data'!$A$3:$A$3390,H$1,'United Data'!$C$3:$C$3390,$A184)&gt;0,1,0)</f>
        <v>0</v>
      </c>
      <c r="I184">
        <f>IF(COUNTIFS('United Data'!$A$3:$A$3390,I$1,'United Data'!$C$3:$C$3390,$A184)&gt;0,1,0)</f>
        <v>0</v>
      </c>
      <c r="J184">
        <f>IF(COUNTIFS('United Data'!$A$3:$A$3390,J$1,'United Data'!$C$3:$C$3390,$A184)&gt;0,1,0)</f>
        <v>0</v>
      </c>
      <c r="K184">
        <f>IF(COUNTIFS('United Data'!$A$3:$A$3390,K$1,'United Data'!$C$3:$C$3390,$A184)&gt;0,1,0)</f>
        <v>0</v>
      </c>
      <c r="L184">
        <f>IF(COUNTIFS('United Data'!$A$3:$A$3390,L$1,'United Data'!$C$3:$C$3390,$A184)&gt;0,1,0)</f>
        <v>0</v>
      </c>
      <c r="M184">
        <f>IF(COUNTIFS('United Data'!$A$3:$A$3390,M$1,'United Data'!$C$3:$C$3390,$A184)&gt;0,1,0)</f>
        <v>0</v>
      </c>
      <c r="N184">
        <f>IF(COUNTIFS('United Data'!$A$3:$A$3390,N$1,'United Data'!$C$3:$C$3390,$A184)&gt;0,1,0)</f>
        <v>0</v>
      </c>
      <c r="O184">
        <f>IF(COUNTIFS('United Data'!$A$3:$A$3390,O$1,'United Data'!$C$3:$C$3390,$A184)&gt;0,1,0)</f>
        <v>0</v>
      </c>
      <c r="P184">
        <f>IF(COUNTIFS('United Data'!$A$3:$A$3390,P$1,'United Data'!$C$3:$C$3390,$A184)&gt;0,1,0)</f>
        <v>1</v>
      </c>
      <c r="Q184">
        <f>IF(COUNTIFS('United Data'!$A$3:$A$3390,Q$1,'United Data'!$C$3:$C$3390,$A184)&gt;0,1,0)</f>
        <v>0</v>
      </c>
      <c r="R184">
        <f>IF(COUNTIFS('United Data'!$A$3:$A$3390,R$1,'United Data'!$C$3:$C$3390,$A184)&gt;0,1,0)</f>
        <v>0</v>
      </c>
      <c r="S184">
        <f t="shared" si="4"/>
        <v>1</v>
      </c>
      <c r="T184">
        <f t="shared" si="5"/>
        <v>1</v>
      </c>
    </row>
    <row r="185" spans="1:20" x14ac:dyDescent="0.2">
      <c r="A185" t="s">
        <v>245</v>
      </c>
      <c r="B185">
        <f>IF(COUNTIFS('United Data'!$A$3:$A$3390,B$1,'United Data'!$C$3:$C$3390,$A185)&gt;0,1,0)</f>
        <v>0</v>
      </c>
      <c r="C185">
        <f>IF(COUNTIFS('United Data'!$A$3:$A$3390,C$1,'United Data'!$C$3:$C$3390,$A185)&gt;0,1,0)</f>
        <v>0</v>
      </c>
      <c r="D185">
        <f>IF(COUNTIFS('United Data'!$A$3:$A$3390,D$1,'United Data'!$C$3:$C$3390,$A185)&gt;0,1,0)</f>
        <v>0</v>
      </c>
      <c r="E185">
        <f>IF(COUNTIFS('United Data'!$A$3:$A$3390,E$1,'United Data'!$C$3:$C$3390,$A185)&gt;0,1,0)</f>
        <v>0</v>
      </c>
      <c r="F185">
        <f>IF(COUNTIFS('United Data'!$A$3:$A$3390,F$1,'United Data'!$C$3:$C$3390,$A185)&gt;0,1,0)</f>
        <v>0</v>
      </c>
      <c r="G185">
        <f>IF(COUNTIFS('United Data'!$A$3:$A$3390,G$1,'United Data'!$C$3:$C$3390,$A185)&gt;0,1,0)</f>
        <v>0</v>
      </c>
      <c r="H185">
        <f>IF(COUNTIFS('United Data'!$A$3:$A$3390,H$1,'United Data'!$C$3:$C$3390,$A185)&gt;0,1,0)</f>
        <v>0</v>
      </c>
      <c r="I185">
        <f>IF(COUNTIFS('United Data'!$A$3:$A$3390,I$1,'United Data'!$C$3:$C$3390,$A185)&gt;0,1,0)</f>
        <v>0</v>
      </c>
      <c r="J185">
        <f>IF(COUNTIFS('United Data'!$A$3:$A$3390,J$1,'United Data'!$C$3:$C$3390,$A185)&gt;0,1,0)</f>
        <v>0</v>
      </c>
      <c r="K185">
        <f>IF(COUNTIFS('United Data'!$A$3:$A$3390,K$1,'United Data'!$C$3:$C$3390,$A185)&gt;0,1,0)</f>
        <v>0</v>
      </c>
      <c r="L185">
        <f>IF(COUNTIFS('United Data'!$A$3:$A$3390,L$1,'United Data'!$C$3:$C$3390,$A185)&gt;0,1,0)</f>
        <v>0</v>
      </c>
      <c r="M185">
        <f>IF(COUNTIFS('United Data'!$A$3:$A$3390,M$1,'United Data'!$C$3:$C$3390,$A185)&gt;0,1,0)</f>
        <v>0</v>
      </c>
      <c r="N185">
        <f>IF(COUNTIFS('United Data'!$A$3:$A$3390,N$1,'United Data'!$C$3:$C$3390,$A185)&gt;0,1,0)</f>
        <v>0</v>
      </c>
      <c r="O185">
        <f>IF(COUNTIFS('United Data'!$A$3:$A$3390,O$1,'United Data'!$C$3:$C$3390,$A185)&gt;0,1,0)</f>
        <v>0</v>
      </c>
      <c r="P185">
        <f>IF(COUNTIFS('United Data'!$A$3:$A$3390,P$1,'United Data'!$C$3:$C$3390,$A185)&gt;0,1,0)</f>
        <v>1</v>
      </c>
      <c r="Q185">
        <f>IF(COUNTIFS('United Data'!$A$3:$A$3390,Q$1,'United Data'!$C$3:$C$3390,$A185)&gt;0,1,0)</f>
        <v>0</v>
      </c>
      <c r="R185">
        <f>IF(COUNTIFS('United Data'!$A$3:$A$3390,R$1,'United Data'!$C$3:$C$3390,$A185)&gt;0,1,0)</f>
        <v>0</v>
      </c>
      <c r="S185">
        <f t="shared" si="4"/>
        <v>1</v>
      </c>
      <c r="T185">
        <f t="shared" si="5"/>
        <v>1</v>
      </c>
    </row>
    <row r="186" spans="1:20" x14ac:dyDescent="0.2">
      <c r="A186" t="s">
        <v>246</v>
      </c>
      <c r="B186">
        <f>IF(COUNTIFS('United Data'!$A$3:$A$3390,B$1,'United Data'!$C$3:$C$3390,$A186)&gt;0,1,0)</f>
        <v>0</v>
      </c>
      <c r="C186">
        <f>IF(COUNTIFS('United Data'!$A$3:$A$3390,C$1,'United Data'!$C$3:$C$3390,$A186)&gt;0,1,0)</f>
        <v>0</v>
      </c>
      <c r="D186">
        <f>IF(COUNTIFS('United Data'!$A$3:$A$3390,D$1,'United Data'!$C$3:$C$3390,$A186)&gt;0,1,0)</f>
        <v>0</v>
      </c>
      <c r="E186">
        <f>IF(COUNTIFS('United Data'!$A$3:$A$3390,E$1,'United Data'!$C$3:$C$3390,$A186)&gt;0,1,0)</f>
        <v>0</v>
      </c>
      <c r="F186">
        <f>IF(COUNTIFS('United Data'!$A$3:$A$3390,F$1,'United Data'!$C$3:$C$3390,$A186)&gt;0,1,0)</f>
        <v>0</v>
      </c>
      <c r="G186">
        <f>IF(COUNTIFS('United Data'!$A$3:$A$3390,G$1,'United Data'!$C$3:$C$3390,$A186)&gt;0,1,0)</f>
        <v>0</v>
      </c>
      <c r="H186">
        <f>IF(COUNTIFS('United Data'!$A$3:$A$3390,H$1,'United Data'!$C$3:$C$3390,$A186)&gt;0,1,0)</f>
        <v>0</v>
      </c>
      <c r="I186">
        <f>IF(COUNTIFS('United Data'!$A$3:$A$3390,I$1,'United Data'!$C$3:$C$3390,$A186)&gt;0,1,0)</f>
        <v>0</v>
      </c>
      <c r="J186">
        <f>IF(COUNTIFS('United Data'!$A$3:$A$3390,J$1,'United Data'!$C$3:$C$3390,$A186)&gt;0,1,0)</f>
        <v>0</v>
      </c>
      <c r="K186">
        <f>IF(COUNTIFS('United Data'!$A$3:$A$3390,K$1,'United Data'!$C$3:$C$3390,$A186)&gt;0,1,0)</f>
        <v>0</v>
      </c>
      <c r="L186">
        <f>IF(COUNTIFS('United Data'!$A$3:$A$3390,L$1,'United Data'!$C$3:$C$3390,$A186)&gt;0,1,0)</f>
        <v>0</v>
      </c>
      <c r="M186">
        <f>IF(COUNTIFS('United Data'!$A$3:$A$3390,M$1,'United Data'!$C$3:$C$3390,$A186)&gt;0,1,0)</f>
        <v>0</v>
      </c>
      <c r="N186">
        <f>IF(COUNTIFS('United Data'!$A$3:$A$3390,N$1,'United Data'!$C$3:$C$3390,$A186)&gt;0,1,0)</f>
        <v>0</v>
      </c>
      <c r="O186">
        <f>IF(COUNTIFS('United Data'!$A$3:$A$3390,O$1,'United Data'!$C$3:$C$3390,$A186)&gt;0,1,0)</f>
        <v>0</v>
      </c>
      <c r="P186">
        <f>IF(COUNTIFS('United Data'!$A$3:$A$3390,P$1,'United Data'!$C$3:$C$3390,$A186)&gt;0,1,0)</f>
        <v>1</v>
      </c>
      <c r="Q186">
        <f>IF(COUNTIFS('United Data'!$A$3:$A$3390,Q$1,'United Data'!$C$3:$C$3390,$A186)&gt;0,1,0)</f>
        <v>0</v>
      </c>
      <c r="R186">
        <f>IF(COUNTIFS('United Data'!$A$3:$A$3390,R$1,'United Data'!$C$3:$C$3390,$A186)&gt;0,1,0)</f>
        <v>0</v>
      </c>
      <c r="S186">
        <f t="shared" si="4"/>
        <v>1</v>
      </c>
      <c r="T186">
        <f t="shared" si="5"/>
        <v>1</v>
      </c>
    </row>
    <row r="187" spans="1:20" x14ac:dyDescent="0.2">
      <c r="A187" t="s">
        <v>247</v>
      </c>
      <c r="B187">
        <f>IF(COUNTIFS('United Data'!$A$3:$A$3390,B$1,'United Data'!$C$3:$C$3390,$A187)&gt;0,1,0)</f>
        <v>0</v>
      </c>
      <c r="C187">
        <f>IF(COUNTIFS('United Data'!$A$3:$A$3390,C$1,'United Data'!$C$3:$C$3390,$A187)&gt;0,1,0)</f>
        <v>0</v>
      </c>
      <c r="D187">
        <f>IF(COUNTIFS('United Data'!$A$3:$A$3390,D$1,'United Data'!$C$3:$C$3390,$A187)&gt;0,1,0)</f>
        <v>0</v>
      </c>
      <c r="E187">
        <f>IF(COUNTIFS('United Data'!$A$3:$A$3390,E$1,'United Data'!$C$3:$C$3390,$A187)&gt;0,1,0)</f>
        <v>0</v>
      </c>
      <c r="F187">
        <f>IF(COUNTIFS('United Data'!$A$3:$A$3390,F$1,'United Data'!$C$3:$C$3390,$A187)&gt;0,1,0)</f>
        <v>0</v>
      </c>
      <c r="G187">
        <f>IF(COUNTIFS('United Data'!$A$3:$A$3390,G$1,'United Data'!$C$3:$C$3390,$A187)&gt;0,1,0)</f>
        <v>0</v>
      </c>
      <c r="H187">
        <f>IF(COUNTIFS('United Data'!$A$3:$A$3390,H$1,'United Data'!$C$3:$C$3390,$A187)&gt;0,1,0)</f>
        <v>0</v>
      </c>
      <c r="I187">
        <f>IF(COUNTIFS('United Data'!$A$3:$A$3390,I$1,'United Data'!$C$3:$C$3390,$A187)&gt;0,1,0)</f>
        <v>0</v>
      </c>
      <c r="J187">
        <f>IF(COUNTIFS('United Data'!$A$3:$A$3390,J$1,'United Data'!$C$3:$C$3390,$A187)&gt;0,1,0)</f>
        <v>0</v>
      </c>
      <c r="K187">
        <f>IF(COUNTIFS('United Data'!$A$3:$A$3390,K$1,'United Data'!$C$3:$C$3390,$A187)&gt;0,1,0)</f>
        <v>0</v>
      </c>
      <c r="L187">
        <f>IF(COUNTIFS('United Data'!$A$3:$A$3390,L$1,'United Data'!$C$3:$C$3390,$A187)&gt;0,1,0)</f>
        <v>0</v>
      </c>
      <c r="M187">
        <f>IF(COUNTIFS('United Data'!$A$3:$A$3390,M$1,'United Data'!$C$3:$C$3390,$A187)&gt;0,1,0)</f>
        <v>0</v>
      </c>
      <c r="N187">
        <f>IF(COUNTIFS('United Data'!$A$3:$A$3390,N$1,'United Data'!$C$3:$C$3390,$A187)&gt;0,1,0)</f>
        <v>0</v>
      </c>
      <c r="O187">
        <f>IF(COUNTIFS('United Data'!$A$3:$A$3390,O$1,'United Data'!$C$3:$C$3390,$A187)&gt;0,1,0)</f>
        <v>0</v>
      </c>
      <c r="P187">
        <f>IF(COUNTIFS('United Data'!$A$3:$A$3390,P$1,'United Data'!$C$3:$C$3390,$A187)&gt;0,1,0)</f>
        <v>0</v>
      </c>
      <c r="Q187">
        <f>IF(COUNTIFS('United Data'!$A$3:$A$3390,Q$1,'United Data'!$C$3:$C$3390,$A187)&gt;0,1,0)</f>
        <v>1</v>
      </c>
      <c r="R187">
        <f>IF(COUNTIFS('United Data'!$A$3:$A$3390,R$1,'United Data'!$C$3:$C$3390,$A187)&gt;0,1,0)</f>
        <v>0</v>
      </c>
      <c r="S187">
        <f t="shared" si="4"/>
        <v>1</v>
      </c>
      <c r="T187">
        <f t="shared" si="5"/>
        <v>1</v>
      </c>
    </row>
    <row r="188" spans="1:20" x14ac:dyDescent="0.2">
      <c r="A188" t="s">
        <v>248</v>
      </c>
      <c r="B188">
        <f>IF(COUNTIFS('United Data'!$A$3:$A$3390,B$1,'United Data'!$C$3:$C$3390,$A188)&gt;0,1,0)</f>
        <v>0</v>
      </c>
      <c r="C188">
        <f>IF(COUNTIFS('United Data'!$A$3:$A$3390,C$1,'United Data'!$C$3:$C$3390,$A188)&gt;0,1,0)</f>
        <v>0</v>
      </c>
      <c r="D188">
        <f>IF(COUNTIFS('United Data'!$A$3:$A$3390,D$1,'United Data'!$C$3:$C$3390,$A188)&gt;0,1,0)</f>
        <v>0</v>
      </c>
      <c r="E188">
        <f>IF(COUNTIFS('United Data'!$A$3:$A$3390,E$1,'United Data'!$C$3:$C$3390,$A188)&gt;0,1,0)</f>
        <v>0</v>
      </c>
      <c r="F188">
        <f>IF(COUNTIFS('United Data'!$A$3:$A$3390,F$1,'United Data'!$C$3:$C$3390,$A188)&gt;0,1,0)</f>
        <v>0</v>
      </c>
      <c r="G188">
        <f>IF(COUNTIFS('United Data'!$A$3:$A$3390,G$1,'United Data'!$C$3:$C$3390,$A188)&gt;0,1,0)</f>
        <v>0</v>
      </c>
      <c r="H188">
        <f>IF(COUNTIFS('United Data'!$A$3:$A$3390,H$1,'United Data'!$C$3:$C$3390,$A188)&gt;0,1,0)</f>
        <v>0</v>
      </c>
      <c r="I188">
        <f>IF(COUNTIFS('United Data'!$A$3:$A$3390,I$1,'United Data'!$C$3:$C$3390,$A188)&gt;0,1,0)</f>
        <v>0</v>
      </c>
      <c r="J188">
        <f>IF(COUNTIFS('United Data'!$A$3:$A$3390,J$1,'United Data'!$C$3:$C$3390,$A188)&gt;0,1,0)</f>
        <v>0</v>
      </c>
      <c r="K188">
        <f>IF(COUNTIFS('United Data'!$A$3:$A$3390,K$1,'United Data'!$C$3:$C$3390,$A188)&gt;0,1,0)</f>
        <v>0</v>
      </c>
      <c r="L188">
        <f>IF(COUNTIFS('United Data'!$A$3:$A$3390,L$1,'United Data'!$C$3:$C$3390,$A188)&gt;0,1,0)</f>
        <v>0</v>
      </c>
      <c r="M188">
        <f>IF(COUNTIFS('United Data'!$A$3:$A$3390,M$1,'United Data'!$C$3:$C$3390,$A188)&gt;0,1,0)</f>
        <v>0</v>
      </c>
      <c r="N188">
        <f>IF(COUNTIFS('United Data'!$A$3:$A$3390,N$1,'United Data'!$C$3:$C$3390,$A188)&gt;0,1,0)</f>
        <v>0</v>
      </c>
      <c r="O188">
        <f>IF(COUNTIFS('United Data'!$A$3:$A$3390,O$1,'United Data'!$C$3:$C$3390,$A188)&gt;0,1,0)</f>
        <v>0</v>
      </c>
      <c r="P188">
        <f>IF(COUNTIFS('United Data'!$A$3:$A$3390,P$1,'United Data'!$C$3:$C$3390,$A188)&gt;0,1,0)</f>
        <v>0</v>
      </c>
      <c r="Q188">
        <f>IF(COUNTIFS('United Data'!$A$3:$A$3390,Q$1,'United Data'!$C$3:$C$3390,$A188)&gt;0,1,0)</f>
        <v>1</v>
      </c>
      <c r="R188">
        <f>IF(COUNTIFS('United Data'!$A$3:$A$3390,R$1,'United Data'!$C$3:$C$3390,$A188)&gt;0,1,0)</f>
        <v>0</v>
      </c>
      <c r="S188">
        <f t="shared" si="4"/>
        <v>1</v>
      </c>
      <c r="T188">
        <f t="shared" si="5"/>
        <v>1</v>
      </c>
    </row>
    <row r="189" spans="1:20" x14ac:dyDescent="0.2">
      <c r="A189" t="s">
        <v>249</v>
      </c>
      <c r="B189">
        <f>IF(COUNTIFS('United Data'!$A$3:$A$3390,B$1,'United Data'!$C$3:$C$3390,$A189)&gt;0,1,0)</f>
        <v>1</v>
      </c>
      <c r="C189">
        <f>IF(COUNTIFS('United Data'!$A$3:$A$3390,C$1,'United Data'!$C$3:$C$3390,$A189)&gt;0,1,0)</f>
        <v>0</v>
      </c>
      <c r="D189">
        <f>IF(COUNTIFS('United Data'!$A$3:$A$3390,D$1,'United Data'!$C$3:$C$3390,$A189)&gt;0,1,0)</f>
        <v>0</v>
      </c>
      <c r="E189">
        <f>IF(COUNTIFS('United Data'!$A$3:$A$3390,E$1,'United Data'!$C$3:$C$3390,$A189)&gt;0,1,0)</f>
        <v>0</v>
      </c>
      <c r="F189">
        <f>IF(COUNTIFS('United Data'!$A$3:$A$3390,F$1,'United Data'!$C$3:$C$3390,$A189)&gt;0,1,0)</f>
        <v>0</v>
      </c>
      <c r="G189">
        <f>IF(COUNTIFS('United Data'!$A$3:$A$3390,G$1,'United Data'!$C$3:$C$3390,$A189)&gt;0,1,0)</f>
        <v>0</v>
      </c>
      <c r="H189">
        <f>IF(COUNTIFS('United Data'!$A$3:$A$3390,H$1,'United Data'!$C$3:$C$3390,$A189)&gt;0,1,0)</f>
        <v>0</v>
      </c>
      <c r="I189">
        <f>IF(COUNTIFS('United Data'!$A$3:$A$3390,I$1,'United Data'!$C$3:$C$3390,$A189)&gt;0,1,0)</f>
        <v>0</v>
      </c>
      <c r="J189">
        <f>IF(COUNTIFS('United Data'!$A$3:$A$3390,J$1,'United Data'!$C$3:$C$3390,$A189)&gt;0,1,0)</f>
        <v>0</v>
      </c>
      <c r="K189">
        <f>IF(COUNTIFS('United Data'!$A$3:$A$3390,K$1,'United Data'!$C$3:$C$3390,$A189)&gt;0,1,0)</f>
        <v>0</v>
      </c>
      <c r="L189">
        <f>IF(COUNTIFS('United Data'!$A$3:$A$3390,L$1,'United Data'!$C$3:$C$3390,$A189)&gt;0,1,0)</f>
        <v>0</v>
      </c>
      <c r="M189">
        <f>IF(COUNTIFS('United Data'!$A$3:$A$3390,M$1,'United Data'!$C$3:$C$3390,$A189)&gt;0,1,0)</f>
        <v>0</v>
      </c>
      <c r="N189">
        <f>IF(COUNTIFS('United Data'!$A$3:$A$3390,N$1,'United Data'!$C$3:$C$3390,$A189)&gt;0,1,0)</f>
        <v>0</v>
      </c>
      <c r="O189">
        <f>IF(COUNTIFS('United Data'!$A$3:$A$3390,O$1,'United Data'!$C$3:$C$3390,$A189)&gt;0,1,0)</f>
        <v>0</v>
      </c>
      <c r="P189">
        <f>IF(COUNTIFS('United Data'!$A$3:$A$3390,P$1,'United Data'!$C$3:$C$3390,$A189)&gt;0,1,0)</f>
        <v>1</v>
      </c>
      <c r="Q189">
        <f>IF(COUNTIFS('United Data'!$A$3:$A$3390,Q$1,'United Data'!$C$3:$C$3390,$A189)&gt;0,1,0)</f>
        <v>1</v>
      </c>
      <c r="R189">
        <f>IF(COUNTIFS('United Data'!$A$3:$A$3390,R$1,'United Data'!$C$3:$C$3390,$A189)&gt;0,1,0)</f>
        <v>1</v>
      </c>
      <c r="S189">
        <f t="shared" si="4"/>
        <v>4</v>
      </c>
      <c r="T189">
        <f t="shared" si="5"/>
        <v>2</v>
      </c>
    </row>
    <row r="190" spans="1:20" x14ac:dyDescent="0.2">
      <c r="A190" t="s">
        <v>250</v>
      </c>
      <c r="B190">
        <f>IF(COUNTIFS('United Data'!$A$3:$A$3390,B$1,'United Data'!$C$3:$C$3390,$A190)&gt;0,1,0)</f>
        <v>1</v>
      </c>
      <c r="C190">
        <f>IF(COUNTIFS('United Data'!$A$3:$A$3390,C$1,'United Data'!$C$3:$C$3390,$A190)&gt;0,1,0)</f>
        <v>1</v>
      </c>
      <c r="D190">
        <f>IF(COUNTIFS('United Data'!$A$3:$A$3390,D$1,'United Data'!$C$3:$C$3390,$A190)&gt;0,1,0)</f>
        <v>0</v>
      </c>
      <c r="E190">
        <f>IF(COUNTIFS('United Data'!$A$3:$A$3390,E$1,'United Data'!$C$3:$C$3390,$A190)&gt;0,1,0)</f>
        <v>1</v>
      </c>
      <c r="F190">
        <f>IF(COUNTIFS('United Data'!$A$3:$A$3390,F$1,'United Data'!$C$3:$C$3390,$A190)&gt;0,1,0)</f>
        <v>1</v>
      </c>
      <c r="G190">
        <f>IF(COUNTIFS('United Data'!$A$3:$A$3390,G$1,'United Data'!$C$3:$C$3390,$A190)&gt;0,1,0)</f>
        <v>0</v>
      </c>
      <c r="H190">
        <f>IF(COUNTIFS('United Data'!$A$3:$A$3390,H$1,'United Data'!$C$3:$C$3390,$A190)&gt;0,1,0)</f>
        <v>0</v>
      </c>
      <c r="I190">
        <f>IF(COUNTIFS('United Data'!$A$3:$A$3390,I$1,'United Data'!$C$3:$C$3390,$A190)&gt;0,1,0)</f>
        <v>0</v>
      </c>
      <c r="J190">
        <f>IF(COUNTIFS('United Data'!$A$3:$A$3390,J$1,'United Data'!$C$3:$C$3390,$A190)&gt;0,1,0)</f>
        <v>0</v>
      </c>
      <c r="K190">
        <f>IF(COUNTIFS('United Data'!$A$3:$A$3390,K$1,'United Data'!$C$3:$C$3390,$A190)&gt;0,1,0)</f>
        <v>0</v>
      </c>
      <c r="L190">
        <f>IF(COUNTIFS('United Data'!$A$3:$A$3390,L$1,'United Data'!$C$3:$C$3390,$A190)&gt;0,1,0)</f>
        <v>0</v>
      </c>
      <c r="M190">
        <f>IF(COUNTIFS('United Data'!$A$3:$A$3390,M$1,'United Data'!$C$3:$C$3390,$A190)&gt;0,1,0)</f>
        <v>0</v>
      </c>
      <c r="N190">
        <f>IF(COUNTIFS('United Data'!$A$3:$A$3390,N$1,'United Data'!$C$3:$C$3390,$A190)&gt;0,1,0)</f>
        <v>0</v>
      </c>
      <c r="O190">
        <f>IF(COUNTIFS('United Data'!$A$3:$A$3390,O$1,'United Data'!$C$3:$C$3390,$A190)&gt;0,1,0)</f>
        <v>0</v>
      </c>
      <c r="P190">
        <f>IF(COUNTIFS('United Data'!$A$3:$A$3390,P$1,'United Data'!$C$3:$C$3390,$A190)&gt;0,1,0)</f>
        <v>0</v>
      </c>
      <c r="Q190">
        <f>IF(COUNTIFS('United Data'!$A$3:$A$3390,Q$1,'United Data'!$C$3:$C$3390,$A190)&gt;0,1,0)</f>
        <v>0</v>
      </c>
      <c r="R190">
        <f>IF(COUNTIFS('United Data'!$A$3:$A$3390,R$1,'United Data'!$C$3:$C$3390,$A190)&gt;0,1,0)</f>
        <v>1</v>
      </c>
      <c r="S190">
        <f t="shared" si="4"/>
        <v>5</v>
      </c>
      <c r="T190">
        <f t="shared" si="5"/>
        <v>3</v>
      </c>
    </row>
    <row r="191" spans="1:20" x14ac:dyDescent="0.2">
      <c r="A191" t="s">
        <v>251</v>
      </c>
      <c r="B191">
        <f>IF(COUNTIFS('United Data'!$A$3:$A$3390,B$1,'United Data'!$C$3:$C$3390,$A191)&gt;0,1,0)</f>
        <v>0</v>
      </c>
      <c r="C191">
        <f>IF(COUNTIFS('United Data'!$A$3:$A$3390,C$1,'United Data'!$C$3:$C$3390,$A191)&gt;0,1,0)</f>
        <v>0</v>
      </c>
      <c r="D191">
        <f>IF(COUNTIFS('United Data'!$A$3:$A$3390,D$1,'United Data'!$C$3:$C$3390,$A191)&gt;0,1,0)</f>
        <v>0</v>
      </c>
      <c r="E191">
        <f>IF(COUNTIFS('United Data'!$A$3:$A$3390,E$1,'United Data'!$C$3:$C$3390,$A191)&gt;0,1,0)</f>
        <v>0</v>
      </c>
      <c r="F191">
        <f>IF(COUNTIFS('United Data'!$A$3:$A$3390,F$1,'United Data'!$C$3:$C$3390,$A191)&gt;0,1,0)</f>
        <v>0</v>
      </c>
      <c r="G191">
        <f>IF(COUNTIFS('United Data'!$A$3:$A$3390,G$1,'United Data'!$C$3:$C$3390,$A191)&gt;0,1,0)</f>
        <v>0</v>
      </c>
      <c r="H191">
        <f>IF(COUNTIFS('United Data'!$A$3:$A$3390,H$1,'United Data'!$C$3:$C$3390,$A191)&gt;0,1,0)</f>
        <v>0</v>
      </c>
      <c r="I191">
        <f>IF(COUNTIFS('United Data'!$A$3:$A$3390,I$1,'United Data'!$C$3:$C$3390,$A191)&gt;0,1,0)</f>
        <v>0</v>
      </c>
      <c r="J191">
        <f>IF(COUNTIFS('United Data'!$A$3:$A$3390,J$1,'United Data'!$C$3:$C$3390,$A191)&gt;0,1,0)</f>
        <v>1</v>
      </c>
      <c r="K191">
        <f>IF(COUNTIFS('United Data'!$A$3:$A$3390,K$1,'United Data'!$C$3:$C$3390,$A191)&gt;0,1,0)</f>
        <v>1</v>
      </c>
      <c r="L191">
        <f>IF(COUNTIFS('United Data'!$A$3:$A$3390,L$1,'United Data'!$C$3:$C$3390,$A191)&gt;0,1,0)</f>
        <v>0</v>
      </c>
      <c r="M191">
        <f>IF(COUNTIFS('United Data'!$A$3:$A$3390,M$1,'United Data'!$C$3:$C$3390,$A191)&gt;0,1,0)</f>
        <v>0</v>
      </c>
      <c r="N191">
        <f>IF(COUNTIFS('United Data'!$A$3:$A$3390,N$1,'United Data'!$C$3:$C$3390,$A191)&gt;0,1,0)</f>
        <v>0</v>
      </c>
      <c r="O191">
        <f>IF(COUNTIFS('United Data'!$A$3:$A$3390,O$1,'United Data'!$C$3:$C$3390,$A191)&gt;0,1,0)</f>
        <v>0</v>
      </c>
      <c r="P191">
        <f>IF(COUNTIFS('United Data'!$A$3:$A$3390,P$1,'United Data'!$C$3:$C$3390,$A191)&gt;0,1,0)</f>
        <v>1</v>
      </c>
      <c r="Q191">
        <f>IF(COUNTIFS('United Data'!$A$3:$A$3390,Q$1,'United Data'!$C$3:$C$3390,$A191)&gt;0,1,0)</f>
        <v>1</v>
      </c>
      <c r="R191">
        <f>IF(COUNTIFS('United Data'!$A$3:$A$3390,R$1,'United Data'!$C$3:$C$3390,$A191)&gt;0,1,0)</f>
        <v>1</v>
      </c>
      <c r="S191">
        <f t="shared" si="4"/>
        <v>5</v>
      </c>
      <c r="T191">
        <f t="shared" si="5"/>
        <v>2</v>
      </c>
    </row>
    <row r="192" spans="1:20" x14ac:dyDescent="0.2">
      <c r="A192" t="s">
        <v>252</v>
      </c>
      <c r="B192">
        <f>IF(COUNTIFS('United Data'!$A$3:$A$3390,B$1,'United Data'!$C$3:$C$3390,$A192)&gt;0,1,0)</f>
        <v>1</v>
      </c>
      <c r="C192">
        <f>IF(COUNTIFS('United Data'!$A$3:$A$3390,C$1,'United Data'!$C$3:$C$3390,$A192)&gt;0,1,0)</f>
        <v>1</v>
      </c>
      <c r="D192">
        <f>IF(COUNTIFS('United Data'!$A$3:$A$3390,D$1,'United Data'!$C$3:$C$3390,$A192)&gt;0,1,0)</f>
        <v>1</v>
      </c>
      <c r="E192">
        <f>IF(COUNTIFS('United Data'!$A$3:$A$3390,E$1,'United Data'!$C$3:$C$3390,$A192)&gt;0,1,0)</f>
        <v>0</v>
      </c>
      <c r="F192">
        <f>IF(COUNTIFS('United Data'!$A$3:$A$3390,F$1,'United Data'!$C$3:$C$3390,$A192)&gt;0,1,0)</f>
        <v>0</v>
      </c>
      <c r="G192">
        <f>IF(COUNTIFS('United Data'!$A$3:$A$3390,G$1,'United Data'!$C$3:$C$3390,$A192)&gt;0,1,0)</f>
        <v>0</v>
      </c>
      <c r="H192">
        <f>IF(COUNTIFS('United Data'!$A$3:$A$3390,H$1,'United Data'!$C$3:$C$3390,$A192)&gt;0,1,0)</f>
        <v>0</v>
      </c>
      <c r="I192">
        <f>IF(COUNTIFS('United Data'!$A$3:$A$3390,I$1,'United Data'!$C$3:$C$3390,$A192)&gt;0,1,0)</f>
        <v>0</v>
      </c>
      <c r="J192">
        <f>IF(COUNTIFS('United Data'!$A$3:$A$3390,J$1,'United Data'!$C$3:$C$3390,$A192)&gt;0,1,0)</f>
        <v>0</v>
      </c>
      <c r="K192">
        <f>IF(COUNTIFS('United Data'!$A$3:$A$3390,K$1,'United Data'!$C$3:$C$3390,$A192)&gt;0,1,0)</f>
        <v>0</v>
      </c>
      <c r="L192">
        <f>IF(COUNTIFS('United Data'!$A$3:$A$3390,L$1,'United Data'!$C$3:$C$3390,$A192)&gt;0,1,0)</f>
        <v>0</v>
      </c>
      <c r="M192">
        <f>IF(COUNTIFS('United Data'!$A$3:$A$3390,M$1,'United Data'!$C$3:$C$3390,$A192)&gt;0,1,0)</f>
        <v>1</v>
      </c>
      <c r="N192">
        <f>IF(COUNTIFS('United Data'!$A$3:$A$3390,N$1,'United Data'!$C$3:$C$3390,$A192)&gt;0,1,0)</f>
        <v>0</v>
      </c>
      <c r="O192">
        <f>IF(COUNTIFS('United Data'!$A$3:$A$3390,O$1,'United Data'!$C$3:$C$3390,$A192)&gt;0,1,0)</f>
        <v>1</v>
      </c>
      <c r="P192">
        <f>IF(COUNTIFS('United Data'!$A$3:$A$3390,P$1,'United Data'!$C$3:$C$3390,$A192)&gt;0,1,0)</f>
        <v>1</v>
      </c>
      <c r="Q192">
        <f>IF(COUNTIFS('United Data'!$A$3:$A$3390,Q$1,'United Data'!$C$3:$C$3390,$A192)&gt;0,1,0)</f>
        <v>0</v>
      </c>
      <c r="R192">
        <f>IF(COUNTIFS('United Data'!$A$3:$A$3390,R$1,'United Data'!$C$3:$C$3390,$A192)&gt;0,1,0)</f>
        <v>1</v>
      </c>
      <c r="S192">
        <f t="shared" si="4"/>
        <v>7</v>
      </c>
      <c r="T192">
        <f t="shared" si="5"/>
        <v>4</v>
      </c>
    </row>
    <row r="193" spans="1:20" x14ac:dyDescent="0.2">
      <c r="A193" t="s">
        <v>253</v>
      </c>
      <c r="B193">
        <f>IF(COUNTIFS('United Data'!$A$3:$A$3390,B$1,'United Data'!$C$3:$C$3390,$A193)&gt;0,1,0)</f>
        <v>0</v>
      </c>
      <c r="C193">
        <f>IF(COUNTIFS('United Data'!$A$3:$A$3390,C$1,'United Data'!$C$3:$C$3390,$A193)&gt;0,1,0)</f>
        <v>0</v>
      </c>
      <c r="D193">
        <f>IF(COUNTIFS('United Data'!$A$3:$A$3390,D$1,'United Data'!$C$3:$C$3390,$A193)&gt;0,1,0)</f>
        <v>0</v>
      </c>
      <c r="E193">
        <f>IF(COUNTIFS('United Data'!$A$3:$A$3390,E$1,'United Data'!$C$3:$C$3390,$A193)&gt;0,1,0)</f>
        <v>0</v>
      </c>
      <c r="F193">
        <f>IF(COUNTIFS('United Data'!$A$3:$A$3390,F$1,'United Data'!$C$3:$C$3390,$A193)&gt;0,1,0)</f>
        <v>0</v>
      </c>
      <c r="G193">
        <f>IF(COUNTIFS('United Data'!$A$3:$A$3390,G$1,'United Data'!$C$3:$C$3390,$A193)&gt;0,1,0)</f>
        <v>0</v>
      </c>
      <c r="H193">
        <f>IF(COUNTIFS('United Data'!$A$3:$A$3390,H$1,'United Data'!$C$3:$C$3390,$A193)&gt;0,1,0)</f>
        <v>0</v>
      </c>
      <c r="I193">
        <f>IF(COUNTIFS('United Data'!$A$3:$A$3390,I$1,'United Data'!$C$3:$C$3390,$A193)&gt;0,1,0)</f>
        <v>0</v>
      </c>
      <c r="J193">
        <f>IF(COUNTIFS('United Data'!$A$3:$A$3390,J$1,'United Data'!$C$3:$C$3390,$A193)&gt;0,1,0)</f>
        <v>0</v>
      </c>
      <c r="K193">
        <f>IF(COUNTIFS('United Data'!$A$3:$A$3390,K$1,'United Data'!$C$3:$C$3390,$A193)&gt;0,1,0)</f>
        <v>0</v>
      </c>
      <c r="L193">
        <f>IF(COUNTIFS('United Data'!$A$3:$A$3390,L$1,'United Data'!$C$3:$C$3390,$A193)&gt;0,1,0)</f>
        <v>0</v>
      </c>
      <c r="M193">
        <f>IF(COUNTIFS('United Data'!$A$3:$A$3390,M$1,'United Data'!$C$3:$C$3390,$A193)&gt;0,1,0)</f>
        <v>0</v>
      </c>
      <c r="N193">
        <f>IF(COUNTIFS('United Data'!$A$3:$A$3390,N$1,'United Data'!$C$3:$C$3390,$A193)&gt;0,1,0)</f>
        <v>0</v>
      </c>
      <c r="O193">
        <f>IF(COUNTIFS('United Data'!$A$3:$A$3390,O$1,'United Data'!$C$3:$C$3390,$A193)&gt;0,1,0)</f>
        <v>0</v>
      </c>
      <c r="P193">
        <f>IF(COUNTIFS('United Data'!$A$3:$A$3390,P$1,'United Data'!$C$3:$C$3390,$A193)&gt;0,1,0)</f>
        <v>0</v>
      </c>
      <c r="Q193">
        <f>IF(COUNTIFS('United Data'!$A$3:$A$3390,Q$1,'United Data'!$C$3:$C$3390,$A193)&gt;0,1,0)</f>
        <v>0</v>
      </c>
      <c r="R193">
        <f>IF(COUNTIFS('United Data'!$A$3:$A$3390,R$1,'United Data'!$C$3:$C$3390,$A193)&gt;0,1,0)</f>
        <v>1</v>
      </c>
      <c r="S193">
        <f t="shared" si="4"/>
        <v>1</v>
      </c>
      <c r="T193">
        <f t="shared" si="5"/>
        <v>1</v>
      </c>
    </row>
    <row r="194" spans="1:20" x14ac:dyDescent="0.2">
      <c r="A194" t="s">
        <v>254</v>
      </c>
      <c r="B194">
        <f>IF(COUNTIFS('United Data'!$A$3:$A$3390,B$1,'United Data'!$C$3:$C$3390,$A194)&gt;0,1,0)</f>
        <v>0</v>
      </c>
      <c r="C194">
        <f>IF(COUNTIFS('United Data'!$A$3:$A$3390,C$1,'United Data'!$C$3:$C$3390,$A194)&gt;0,1,0)</f>
        <v>0</v>
      </c>
      <c r="D194">
        <f>IF(COUNTIFS('United Data'!$A$3:$A$3390,D$1,'United Data'!$C$3:$C$3390,$A194)&gt;0,1,0)</f>
        <v>1</v>
      </c>
      <c r="E194">
        <f>IF(COUNTIFS('United Data'!$A$3:$A$3390,E$1,'United Data'!$C$3:$C$3390,$A194)&gt;0,1,0)</f>
        <v>1</v>
      </c>
      <c r="F194">
        <f>IF(COUNTIFS('United Data'!$A$3:$A$3390,F$1,'United Data'!$C$3:$C$3390,$A194)&gt;0,1,0)</f>
        <v>1</v>
      </c>
      <c r="G194">
        <f>IF(COUNTIFS('United Data'!$A$3:$A$3390,G$1,'United Data'!$C$3:$C$3390,$A194)&gt;0,1,0)</f>
        <v>1</v>
      </c>
      <c r="H194">
        <f>IF(COUNTIFS('United Data'!$A$3:$A$3390,H$1,'United Data'!$C$3:$C$3390,$A194)&gt;0,1,0)</f>
        <v>0</v>
      </c>
      <c r="I194">
        <f>IF(COUNTIFS('United Data'!$A$3:$A$3390,I$1,'United Data'!$C$3:$C$3390,$A194)&gt;0,1,0)</f>
        <v>1</v>
      </c>
      <c r="J194">
        <f>IF(COUNTIFS('United Data'!$A$3:$A$3390,J$1,'United Data'!$C$3:$C$3390,$A194)&gt;0,1,0)</f>
        <v>0</v>
      </c>
      <c r="K194">
        <f>IF(COUNTIFS('United Data'!$A$3:$A$3390,K$1,'United Data'!$C$3:$C$3390,$A194)&gt;0,1,0)</f>
        <v>1</v>
      </c>
      <c r="L194">
        <f>IF(COUNTIFS('United Data'!$A$3:$A$3390,L$1,'United Data'!$C$3:$C$3390,$A194)&gt;0,1,0)</f>
        <v>1</v>
      </c>
      <c r="M194">
        <f>IF(COUNTIFS('United Data'!$A$3:$A$3390,M$1,'United Data'!$C$3:$C$3390,$A194)&gt;0,1,0)</f>
        <v>0</v>
      </c>
      <c r="N194">
        <f>IF(COUNTIFS('United Data'!$A$3:$A$3390,N$1,'United Data'!$C$3:$C$3390,$A194)&gt;0,1,0)</f>
        <v>1</v>
      </c>
      <c r="O194">
        <f>IF(COUNTIFS('United Data'!$A$3:$A$3390,O$1,'United Data'!$C$3:$C$3390,$A194)&gt;0,1,0)</f>
        <v>1</v>
      </c>
      <c r="P194">
        <f>IF(COUNTIFS('United Data'!$A$3:$A$3390,P$1,'United Data'!$C$3:$C$3390,$A194)&gt;0,1,0)</f>
        <v>1</v>
      </c>
      <c r="Q194">
        <f>IF(COUNTIFS('United Data'!$A$3:$A$3390,Q$1,'United Data'!$C$3:$C$3390,$A194)&gt;0,1,0)</f>
        <v>1</v>
      </c>
      <c r="R194">
        <f>IF(COUNTIFS('United Data'!$A$3:$A$3390,R$1,'United Data'!$C$3:$C$3390,$A194)&gt;0,1,0)</f>
        <v>1</v>
      </c>
      <c r="S194">
        <f t="shared" ref="S194:S257" si="6">SUM(B194:R194)</f>
        <v>12</v>
      </c>
      <c r="T194">
        <f t="shared" ref="T194:T257" si="7">B194+SUMPRODUCT(--(C194:R194&gt;B194:Q194))</f>
        <v>4</v>
      </c>
    </row>
    <row r="195" spans="1:20" x14ac:dyDescent="0.2">
      <c r="A195" t="s">
        <v>255</v>
      </c>
      <c r="B195">
        <f>IF(COUNTIFS('United Data'!$A$3:$A$3390,B$1,'United Data'!$C$3:$C$3390,$A195)&gt;0,1,0)</f>
        <v>1</v>
      </c>
      <c r="C195">
        <f>IF(COUNTIFS('United Data'!$A$3:$A$3390,C$1,'United Data'!$C$3:$C$3390,$A195)&gt;0,1,0)</f>
        <v>0</v>
      </c>
      <c r="D195">
        <f>IF(COUNTIFS('United Data'!$A$3:$A$3390,D$1,'United Data'!$C$3:$C$3390,$A195)&gt;0,1,0)</f>
        <v>0</v>
      </c>
      <c r="E195">
        <f>IF(COUNTIFS('United Data'!$A$3:$A$3390,E$1,'United Data'!$C$3:$C$3390,$A195)&gt;0,1,0)</f>
        <v>0</v>
      </c>
      <c r="F195">
        <f>IF(COUNTIFS('United Data'!$A$3:$A$3390,F$1,'United Data'!$C$3:$C$3390,$A195)&gt;0,1,0)</f>
        <v>0</v>
      </c>
      <c r="G195">
        <f>IF(COUNTIFS('United Data'!$A$3:$A$3390,G$1,'United Data'!$C$3:$C$3390,$A195)&gt;0,1,0)</f>
        <v>0</v>
      </c>
      <c r="H195">
        <f>IF(COUNTIFS('United Data'!$A$3:$A$3390,H$1,'United Data'!$C$3:$C$3390,$A195)&gt;0,1,0)</f>
        <v>0</v>
      </c>
      <c r="I195">
        <f>IF(COUNTIFS('United Data'!$A$3:$A$3390,I$1,'United Data'!$C$3:$C$3390,$A195)&gt;0,1,0)</f>
        <v>0</v>
      </c>
      <c r="J195">
        <f>IF(COUNTIFS('United Data'!$A$3:$A$3390,J$1,'United Data'!$C$3:$C$3390,$A195)&gt;0,1,0)</f>
        <v>0</v>
      </c>
      <c r="K195">
        <f>IF(COUNTIFS('United Data'!$A$3:$A$3390,K$1,'United Data'!$C$3:$C$3390,$A195)&gt;0,1,0)</f>
        <v>0</v>
      </c>
      <c r="L195">
        <f>IF(COUNTIFS('United Data'!$A$3:$A$3390,L$1,'United Data'!$C$3:$C$3390,$A195)&gt;0,1,0)</f>
        <v>0</v>
      </c>
      <c r="M195">
        <f>IF(COUNTIFS('United Data'!$A$3:$A$3390,M$1,'United Data'!$C$3:$C$3390,$A195)&gt;0,1,0)</f>
        <v>0</v>
      </c>
      <c r="N195">
        <f>IF(COUNTIFS('United Data'!$A$3:$A$3390,N$1,'United Data'!$C$3:$C$3390,$A195)&gt;0,1,0)</f>
        <v>0</v>
      </c>
      <c r="O195">
        <f>IF(COUNTIFS('United Data'!$A$3:$A$3390,O$1,'United Data'!$C$3:$C$3390,$A195)&gt;0,1,0)</f>
        <v>0</v>
      </c>
      <c r="P195">
        <f>IF(COUNTIFS('United Data'!$A$3:$A$3390,P$1,'United Data'!$C$3:$C$3390,$A195)&gt;0,1,0)</f>
        <v>0</v>
      </c>
      <c r="Q195">
        <f>IF(COUNTIFS('United Data'!$A$3:$A$3390,Q$1,'United Data'!$C$3:$C$3390,$A195)&gt;0,1,0)</f>
        <v>0</v>
      </c>
      <c r="R195">
        <f>IF(COUNTIFS('United Data'!$A$3:$A$3390,R$1,'United Data'!$C$3:$C$3390,$A195)&gt;0,1,0)</f>
        <v>0</v>
      </c>
      <c r="S195">
        <f t="shared" si="6"/>
        <v>1</v>
      </c>
      <c r="T195">
        <f t="shared" si="7"/>
        <v>1</v>
      </c>
    </row>
    <row r="196" spans="1:20" x14ac:dyDescent="0.2">
      <c r="A196" t="s">
        <v>257</v>
      </c>
      <c r="B196">
        <f>IF(COUNTIFS('United Data'!$A$3:$A$3390,B$1,'United Data'!$C$3:$C$3390,$A196)&gt;0,1,0)</f>
        <v>0</v>
      </c>
      <c r="C196">
        <f>IF(COUNTIFS('United Data'!$A$3:$A$3390,C$1,'United Data'!$C$3:$C$3390,$A196)&gt;0,1,0)</f>
        <v>1</v>
      </c>
      <c r="D196">
        <f>IF(COUNTIFS('United Data'!$A$3:$A$3390,D$1,'United Data'!$C$3:$C$3390,$A196)&gt;0,1,0)</f>
        <v>1</v>
      </c>
      <c r="E196">
        <f>IF(COUNTIFS('United Data'!$A$3:$A$3390,E$1,'United Data'!$C$3:$C$3390,$A196)&gt;0,1,0)</f>
        <v>0</v>
      </c>
      <c r="F196">
        <f>IF(COUNTIFS('United Data'!$A$3:$A$3390,F$1,'United Data'!$C$3:$C$3390,$A196)&gt;0,1,0)</f>
        <v>0</v>
      </c>
      <c r="G196">
        <f>IF(COUNTIFS('United Data'!$A$3:$A$3390,G$1,'United Data'!$C$3:$C$3390,$A196)&gt;0,1,0)</f>
        <v>0</v>
      </c>
      <c r="H196">
        <f>IF(COUNTIFS('United Data'!$A$3:$A$3390,H$1,'United Data'!$C$3:$C$3390,$A196)&gt;0,1,0)</f>
        <v>0</v>
      </c>
      <c r="I196">
        <f>IF(COUNTIFS('United Data'!$A$3:$A$3390,I$1,'United Data'!$C$3:$C$3390,$A196)&gt;0,1,0)</f>
        <v>0</v>
      </c>
      <c r="J196">
        <f>IF(COUNTIFS('United Data'!$A$3:$A$3390,J$1,'United Data'!$C$3:$C$3390,$A196)&gt;0,1,0)</f>
        <v>0</v>
      </c>
      <c r="K196">
        <f>IF(COUNTIFS('United Data'!$A$3:$A$3390,K$1,'United Data'!$C$3:$C$3390,$A196)&gt;0,1,0)</f>
        <v>0</v>
      </c>
      <c r="L196">
        <f>IF(COUNTIFS('United Data'!$A$3:$A$3390,L$1,'United Data'!$C$3:$C$3390,$A196)&gt;0,1,0)</f>
        <v>0</v>
      </c>
      <c r="M196">
        <f>IF(COUNTIFS('United Data'!$A$3:$A$3390,M$1,'United Data'!$C$3:$C$3390,$A196)&gt;0,1,0)</f>
        <v>0</v>
      </c>
      <c r="N196">
        <f>IF(COUNTIFS('United Data'!$A$3:$A$3390,N$1,'United Data'!$C$3:$C$3390,$A196)&gt;0,1,0)</f>
        <v>0</v>
      </c>
      <c r="O196">
        <f>IF(COUNTIFS('United Data'!$A$3:$A$3390,O$1,'United Data'!$C$3:$C$3390,$A196)&gt;0,1,0)</f>
        <v>0</v>
      </c>
      <c r="P196">
        <f>IF(COUNTIFS('United Data'!$A$3:$A$3390,P$1,'United Data'!$C$3:$C$3390,$A196)&gt;0,1,0)</f>
        <v>0</v>
      </c>
      <c r="Q196">
        <f>IF(COUNTIFS('United Data'!$A$3:$A$3390,Q$1,'United Data'!$C$3:$C$3390,$A196)&gt;0,1,0)</f>
        <v>0</v>
      </c>
      <c r="R196">
        <f>IF(COUNTIFS('United Data'!$A$3:$A$3390,R$1,'United Data'!$C$3:$C$3390,$A196)&gt;0,1,0)</f>
        <v>0</v>
      </c>
      <c r="S196">
        <f t="shared" si="6"/>
        <v>2</v>
      </c>
      <c r="T196">
        <f t="shared" si="7"/>
        <v>1</v>
      </c>
    </row>
    <row r="197" spans="1:20" x14ac:dyDescent="0.2">
      <c r="A197" t="s">
        <v>258</v>
      </c>
      <c r="B197">
        <f>IF(COUNTIFS('United Data'!$A$3:$A$3390,B$1,'United Data'!$C$3:$C$3390,$A197)&gt;0,1,0)</f>
        <v>0</v>
      </c>
      <c r="C197">
        <f>IF(COUNTIFS('United Data'!$A$3:$A$3390,C$1,'United Data'!$C$3:$C$3390,$A197)&gt;0,1,0)</f>
        <v>1</v>
      </c>
      <c r="D197">
        <f>IF(COUNTIFS('United Data'!$A$3:$A$3390,D$1,'United Data'!$C$3:$C$3390,$A197)&gt;0,1,0)</f>
        <v>1</v>
      </c>
      <c r="E197">
        <f>IF(COUNTIFS('United Data'!$A$3:$A$3390,E$1,'United Data'!$C$3:$C$3390,$A197)&gt;0,1,0)</f>
        <v>1</v>
      </c>
      <c r="F197">
        <f>IF(COUNTIFS('United Data'!$A$3:$A$3390,F$1,'United Data'!$C$3:$C$3390,$A197)&gt;0,1,0)</f>
        <v>1</v>
      </c>
      <c r="G197">
        <f>IF(COUNTIFS('United Data'!$A$3:$A$3390,G$1,'United Data'!$C$3:$C$3390,$A197)&gt;0,1,0)</f>
        <v>0</v>
      </c>
      <c r="H197">
        <f>IF(COUNTIFS('United Data'!$A$3:$A$3390,H$1,'United Data'!$C$3:$C$3390,$A197)&gt;0,1,0)</f>
        <v>0</v>
      </c>
      <c r="I197">
        <f>IF(COUNTIFS('United Data'!$A$3:$A$3390,I$1,'United Data'!$C$3:$C$3390,$A197)&gt;0,1,0)</f>
        <v>0</v>
      </c>
      <c r="J197">
        <f>IF(COUNTIFS('United Data'!$A$3:$A$3390,J$1,'United Data'!$C$3:$C$3390,$A197)&gt;0,1,0)</f>
        <v>0</v>
      </c>
      <c r="K197">
        <f>IF(COUNTIFS('United Data'!$A$3:$A$3390,K$1,'United Data'!$C$3:$C$3390,$A197)&gt;0,1,0)</f>
        <v>1</v>
      </c>
      <c r="L197">
        <f>IF(COUNTIFS('United Data'!$A$3:$A$3390,L$1,'United Data'!$C$3:$C$3390,$A197)&gt;0,1,0)</f>
        <v>0</v>
      </c>
      <c r="M197">
        <f>IF(COUNTIFS('United Data'!$A$3:$A$3390,M$1,'United Data'!$C$3:$C$3390,$A197)&gt;0,1,0)</f>
        <v>0</v>
      </c>
      <c r="N197">
        <f>IF(COUNTIFS('United Data'!$A$3:$A$3390,N$1,'United Data'!$C$3:$C$3390,$A197)&gt;0,1,0)</f>
        <v>0</v>
      </c>
      <c r="O197">
        <f>IF(COUNTIFS('United Data'!$A$3:$A$3390,O$1,'United Data'!$C$3:$C$3390,$A197)&gt;0,1,0)</f>
        <v>0</v>
      </c>
      <c r="P197">
        <f>IF(COUNTIFS('United Data'!$A$3:$A$3390,P$1,'United Data'!$C$3:$C$3390,$A197)&gt;0,1,0)</f>
        <v>0</v>
      </c>
      <c r="Q197">
        <f>IF(COUNTIFS('United Data'!$A$3:$A$3390,Q$1,'United Data'!$C$3:$C$3390,$A197)&gt;0,1,0)</f>
        <v>1</v>
      </c>
      <c r="R197">
        <f>IF(COUNTIFS('United Data'!$A$3:$A$3390,R$1,'United Data'!$C$3:$C$3390,$A197)&gt;0,1,0)</f>
        <v>0</v>
      </c>
      <c r="S197">
        <f t="shared" si="6"/>
        <v>6</v>
      </c>
      <c r="T197">
        <f t="shared" si="7"/>
        <v>3</v>
      </c>
    </row>
    <row r="198" spans="1:20" x14ac:dyDescent="0.2">
      <c r="A198" t="s">
        <v>259</v>
      </c>
      <c r="B198">
        <f>IF(COUNTIFS('United Data'!$A$3:$A$3390,B$1,'United Data'!$C$3:$C$3390,$A198)&gt;0,1,0)</f>
        <v>0</v>
      </c>
      <c r="C198">
        <f>IF(COUNTIFS('United Data'!$A$3:$A$3390,C$1,'United Data'!$C$3:$C$3390,$A198)&gt;0,1,0)</f>
        <v>1</v>
      </c>
      <c r="D198">
        <f>IF(COUNTIFS('United Data'!$A$3:$A$3390,D$1,'United Data'!$C$3:$C$3390,$A198)&gt;0,1,0)</f>
        <v>1</v>
      </c>
      <c r="E198">
        <f>IF(COUNTIFS('United Data'!$A$3:$A$3390,E$1,'United Data'!$C$3:$C$3390,$A198)&gt;0,1,0)</f>
        <v>1</v>
      </c>
      <c r="F198">
        <f>IF(COUNTIFS('United Data'!$A$3:$A$3390,F$1,'United Data'!$C$3:$C$3390,$A198)&gt;0,1,0)</f>
        <v>0</v>
      </c>
      <c r="G198">
        <f>IF(COUNTIFS('United Data'!$A$3:$A$3390,G$1,'United Data'!$C$3:$C$3390,$A198)&gt;0,1,0)</f>
        <v>0</v>
      </c>
      <c r="H198">
        <f>IF(COUNTIFS('United Data'!$A$3:$A$3390,H$1,'United Data'!$C$3:$C$3390,$A198)&gt;0,1,0)</f>
        <v>0</v>
      </c>
      <c r="I198">
        <f>IF(COUNTIFS('United Data'!$A$3:$A$3390,I$1,'United Data'!$C$3:$C$3390,$A198)&gt;0,1,0)</f>
        <v>1</v>
      </c>
      <c r="J198">
        <f>IF(COUNTIFS('United Data'!$A$3:$A$3390,J$1,'United Data'!$C$3:$C$3390,$A198)&gt;0,1,0)</f>
        <v>1</v>
      </c>
      <c r="K198">
        <f>IF(COUNTIFS('United Data'!$A$3:$A$3390,K$1,'United Data'!$C$3:$C$3390,$A198)&gt;0,1,0)</f>
        <v>0</v>
      </c>
      <c r="L198">
        <f>IF(COUNTIFS('United Data'!$A$3:$A$3390,L$1,'United Data'!$C$3:$C$3390,$A198)&gt;0,1,0)</f>
        <v>0</v>
      </c>
      <c r="M198">
        <f>IF(COUNTIFS('United Data'!$A$3:$A$3390,M$1,'United Data'!$C$3:$C$3390,$A198)&gt;0,1,0)</f>
        <v>0</v>
      </c>
      <c r="N198">
        <f>IF(COUNTIFS('United Data'!$A$3:$A$3390,N$1,'United Data'!$C$3:$C$3390,$A198)&gt;0,1,0)</f>
        <v>0</v>
      </c>
      <c r="O198">
        <f>IF(COUNTIFS('United Data'!$A$3:$A$3390,O$1,'United Data'!$C$3:$C$3390,$A198)&gt;0,1,0)</f>
        <v>1</v>
      </c>
      <c r="P198">
        <f>IF(COUNTIFS('United Data'!$A$3:$A$3390,P$1,'United Data'!$C$3:$C$3390,$A198)&gt;0,1,0)</f>
        <v>1</v>
      </c>
      <c r="Q198">
        <f>IF(COUNTIFS('United Data'!$A$3:$A$3390,Q$1,'United Data'!$C$3:$C$3390,$A198)&gt;0,1,0)</f>
        <v>1</v>
      </c>
      <c r="R198">
        <f>IF(COUNTIFS('United Data'!$A$3:$A$3390,R$1,'United Data'!$C$3:$C$3390,$A198)&gt;0,1,0)</f>
        <v>0</v>
      </c>
      <c r="S198">
        <f t="shared" si="6"/>
        <v>8</v>
      </c>
      <c r="T198">
        <f t="shared" si="7"/>
        <v>3</v>
      </c>
    </row>
    <row r="199" spans="1:20" x14ac:dyDescent="0.2">
      <c r="A199" t="s">
        <v>260</v>
      </c>
      <c r="B199">
        <f>IF(COUNTIFS('United Data'!$A$3:$A$3390,B$1,'United Data'!$C$3:$C$3390,$A199)&gt;0,1,0)</f>
        <v>0</v>
      </c>
      <c r="C199">
        <f>IF(COUNTIFS('United Data'!$A$3:$A$3390,C$1,'United Data'!$C$3:$C$3390,$A199)&gt;0,1,0)</f>
        <v>1</v>
      </c>
      <c r="D199">
        <f>IF(COUNTIFS('United Data'!$A$3:$A$3390,D$1,'United Data'!$C$3:$C$3390,$A199)&gt;0,1,0)</f>
        <v>1</v>
      </c>
      <c r="E199">
        <f>IF(COUNTIFS('United Data'!$A$3:$A$3390,E$1,'United Data'!$C$3:$C$3390,$A199)&gt;0,1,0)</f>
        <v>1</v>
      </c>
      <c r="F199">
        <f>IF(COUNTIFS('United Data'!$A$3:$A$3390,F$1,'United Data'!$C$3:$C$3390,$A199)&gt;0,1,0)</f>
        <v>1</v>
      </c>
      <c r="G199">
        <f>IF(COUNTIFS('United Data'!$A$3:$A$3390,G$1,'United Data'!$C$3:$C$3390,$A199)&gt;0,1,0)</f>
        <v>1</v>
      </c>
      <c r="H199">
        <f>IF(COUNTIFS('United Data'!$A$3:$A$3390,H$1,'United Data'!$C$3:$C$3390,$A199)&gt;0,1,0)</f>
        <v>0</v>
      </c>
      <c r="I199">
        <f>IF(COUNTIFS('United Data'!$A$3:$A$3390,I$1,'United Data'!$C$3:$C$3390,$A199)&gt;0,1,0)</f>
        <v>0</v>
      </c>
      <c r="J199">
        <f>IF(COUNTIFS('United Data'!$A$3:$A$3390,J$1,'United Data'!$C$3:$C$3390,$A199)&gt;0,1,0)</f>
        <v>0</v>
      </c>
      <c r="K199">
        <f>IF(COUNTIFS('United Data'!$A$3:$A$3390,K$1,'United Data'!$C$3:$C$3390,$A199)&gt;0,1,0)</f>
        <v>0</v>
      </c>
      <c r="L199">
        <f>IF(COUNTIFS('United Data'!$A$3:$A$3390,L$1,'United Data'!$C$3:$C$3390,$A199)&gt;0,1,0)</f>
        <v>0</v>
      </c>
      <c r="M199">
        <f>IF(COUNTIFS('United Data'!$A$3:$A$3390,M$1,'United Data'!$C$3:$C$3390,$A199)&gt;0,1,0)</f>
        <v>0</v>
      </c>
      <c r="N199">
        <f>IF(COUNTIFS('United Data'!$A$3:$A$3390,N$1,'United Data'!$C$3:$C$3390,$A199)&gt;0,1,0)</f>
        <v>0</v>
      </c>
      <c r="O199">
        <f>IF(COUNTIFS('United Data'!$A$3:$A$3390,O$1,'United Data'!$C$3:$C$3390,$A199)&gt;0,1,0)</f>
        <v>1</v>
      </c>
      <c r="P199">
        <f>IF(COUNTIFS('United Data'!$A$3:$A$3390,P$1,'United Data'!$C$3:$C$3390,$A199)&gt;0,1,0)</f>
        <v>0</v>
      </c>
      <c r="Q199">
        <f>IF(COUNTIFS('United Data'!$A$3:$A$3390,Q$1,'United Data'!$C$3:$C$3390,$A199)&gt;0,1,0)</f>
        <v>1</v>
      </c>
      <c r="R199">
        <f>IF(COUNTIFS('United Data'!$A$3:$A$3390,R$1,'United Data'!$C$3:$C$3390,$A199)&gt;0,1,0)</f>
        <v>0</v>
      </c>
      <c r="S199">
        <f t="shared" si="6"/>
        <v>7</v>
      </c>
      <c r="T199">
        <f t="shared" si="7"/>
        <v>3</v>
      </c>
    </row>
    <row r="200" spans="1:20" x14ac:dyDescent="0.2">
      <c r="A200" t="s">
        <v>261</v>
      </c>
      <c r="B200">
        <f>IF(COUNTIFS('United Data'!$A$3:$A$3390,B$1,'United Data'!$C$3:$C$3390,$A200)&gt;0,1,0)</f>
        <v>0</v>
      </c>
      <c r="C200">
        <f>IF(COUNTIFS('United Data'!$A$3:$A$3390,C$1,'United Data'!$C$3:$C$3390,$A200)&gt;0,1,0)</f>
        <v>1</v>
      </c>
      <c r="D200">
        <f>IF(COUNTIFS('United Data'!$A$3:$A$3390,D$1,'United Data'!$C$3:$C$3390,$A200)&gt;0,1,0)</f>
        <v>1</v>
      </c>
      <c r="E200">
        <f>IF(COUNTIFS('United Data'!$A$3:$A$3390,E$1,'United Data'!$C$3:$C$3390,$A200)&gt;0,1,0)</f>
        <v>1</v>
      </c>
      <c r="F200">
        <f>IF(COUNTIFS('United Data'!$A$3:$A$3390,F$1,'United Data'!$C$3:$C$3390,$A200)&gt;0,1,0)</f>
        <v>0</v>
      </c>
      <c r="G200">
        <f>IF(COUNTIFS('United Data'!$A$3:$A$3390,G$1,'United Data'!$C$3:$C$3390,$A200)&gt;0,1,0)</f>
        <v>0</v>
      </c>
      <c r="H200">
        <f>IF(COUNTIFS('United Data'!$A$3:$A$3390,H$1,'United Data'!$C$3:$C$3390,$A200)&gt;0,1,0)</f>
        <v>1</v>
      </c>
      <c r="I200">
        <f>IF(COUNTIFS('United Data'!$A$3:$A$3390,I$1,'United Data'!$C$3:$C$3390,$A200)&gt;0,1,0)</f>
        <v>0</v>
      </c>
      <c r="J200">
        <f>IF(COUNTIFS('United Data'!$A$3:$A$3390,J$1,'United Data'!$C$3:$C$3390,$A200)&gt;0,1,0)</f>
        <v>0</v>
      </c>
      <c r="K200">
        <f>IF(COUNTIFS('United Data'!$A$3:$A$3390,K$1,'United Data'!$C$3:$C$3390,$A200)&gt;0,1,0)</f>
        <v>0</v>
      </c>
      <c r="L200">
        <f>IF(COUNTIFS('United Data'!$A$3:$A$3390,L$1,'United Data'!$C$3:$C$3390,$A200)&gt;0,1,0)</f>
        <v>0</v>
      </c>
      <c r="M200">
        <f>IF(COUNTIFS('United Data'!$A$3:$A$3390,M$1,'United Data'!$C$3:$C$3390,$A200)&gt;0,1,0)</f>
        <v>0</v>
      </c>
      <c r="N200">
        <f>IF(COUNTIFS('United Data'!$A$3:$A$3390,N$1,'United Data'!$C$3:$C$3390,$A200)&gt;0,1,0)</f>
        <v>1</v>
      </c>
      <c r="O200">
        <f>IF(COUNTIFS('United Data'!$A$3:$A$3390,O$1,'United Data'!$C$3:$C$3390,$A200)&gt;0,1,0)</f>
        <v>0</v>
      </c>
      <c r="P200">
        <f>IF(COUNTIFS('United Data'!$A$3:$A$3390,P$1,'United Data'!$C$3:$C$3390,$A200)&gt;0,1,0)</f>
        <v>0</v>
      </c>
      <c r="Q200">
        <f>IF(COUNTIFS('United Data'!$A$3:$A$3390,Q$1,'United Data'!$C$3:$C$3390,$A200)&gt;0,1,0)</f>
        <v>0</v>
      </c>
      <c r="R200">
        <f>IF(COUNTIFS('United Data'!$A$3:$A$3390,R$1,'United Data'!$C$3:$C$3390,$A200)&gt;0,1,0)</f>
        <v>0</v>
      </c>
      <c r="S200">
        <f t="shared" si="6"/>
        <v>5</v>
      </c>
      <c r="T200">
        <f t="shared" si="7"/>
        <v>3</v>
      </c>
    </row>
    <row r="201" spans="1:20" x14ac:dyDescent="0.2">
      <c r="A201" t="s">
        <v>263</v>
      </c>
      <c r="B201">
        <f>IF(COUNTIFS('United Data'!$A$3:$A$3390,B$1,'United Data'!$C$3:$C$3390,$A201)&gt;0,1,0)</f>
        <v>0</v>
      </c>
      <c r="C201">
        <f>IF(COUNTIFS('United Data'!$A$3:$A$3390,C$1,'United Data'!$C$3:$C$3390,$A201)&gt;0,1,0)</f>
        <v>0</v>
      </c>
      <c r="D201">
        <f>IF(COUNTIFS('United Data'!$A$3:$A$3390,D$1,'United Data'!$C$3:$C$3390,$A201)&gt;0,1,0)</f>
        <v>1</v>
      </c>
      <c r="E201">
        <f>IF(COUNTIFS('United Data'!$A$3:$A$3390,E$1,'United Data'!$C$3:$C$3390,$A201)&gt;0,1,0)</f>
        <v>0</v>
      </c>
      <c r="F201">
        <f>IF(COUNTIFS('United Data'!$A$3:$A$3390,F$1,'United Data'!$C$3:$C$3390,$A201)&gt;0,1,0)</f>
        <v>0</v>
      </c>
      <c r="G201">
        <f>IF(COUNTIFS('United Data'!$A$3:$A$3390,G$1,'United Data'!$C$3:$C$3390,$A201)&gt;0,1,0)</f>
        <v>0</v>
      </c>
      <c r="H201">
        <f>IF(COUNTIFS('United Data'!$A$3:$A$3390,H$1,'United Data'!$C$3:$C$3390,$A201)&gt;0,1,0)</f>
        <v>0</v>
      </c>
      <c r="I201">
        <f>IF(COUNTIFS('United Data'!$A$3:$A$3390,I$1,'United Data'!$C$3:$C$3390,$A201)&gt;0,1,0)</f>
        <v>0</v>
      </c>
      <c r="J201">
        <f>IF(COUNTIFS('United Data'!$A$3:$A$3390,J$1,'United Data'!$C$3:$C$3390,$A201)&gt;0,1,0)</f>
        <v>0</v>
      </c>
      <c r="K201">
        <f>IF(COUNTIFS('United Data'!$A$3:$A$3390,K$1,'United Data'!$C$3:$C$3390,$A201)&gt;0,1,0)</f>
        <v>0</v>
      </c>
      <c r="L201">
        <f>IF(COUNTIFS('United Data'!$A$3:$A$3390,L$1,'United Data'!$C$3:$C$3390,$A201)&gt;0,1,0)</f>
        <v>0</v>
      </c>
      <c r="M201">
        <f>IF(COUNTIFS('United Data'!$A$3:$A$3390,M$1,'United Data'!$C$3:$C$3390,$A201)&gt;0,1,0)</f>
        <v>0</v>
      </c>
      <c r="N201">
        <f>IF(COUNTIFS('United Data'!$A$3:$A$3390,N$1,'United Data'!$C$3:$C$3390,$A201)&gt;0,1,0)</f>
        <v>0</v>
      </c>
      <c r="O201">
        <f>IF(COUNTIFS('United Data'!$A$3:$A$3390,O$1,'United Data'!$C$3:$C$3390,$A201)&gt;0,1,0)</f>
        <v>0</v>
      </c>
      <c r="P201">
        <f>IF(COUNTIFS('United Data'!$A$3:$A$3390,P$1,'United Data'!$C$3:$C$3390,$A201)&gt;0,1,0)</f>
        <v>0</v>
      </c>
      <c r="Q201">
        <f>IF(COUNTIFS('United Data'!$A$3:$A$3390,Q$1,'United Data'!$C$3:$C$3390,$A201)&gt;0,1,0)</f>
        <v>0</v>
      </c>
      <c r="R201">
        <f>IF(COUNTIFS('United Data'!$A$3:$A$3390,R$1,'United Data'!$C$3:$C$3390,$A201)&gt;0,1,0)</f>
        <v>0</v>
      </c>
      <c r="S201">
        <f t="shared" si="6"/>
        <v>1</v>
      </c>
      <c r="T201">
        <f t="shared" si="7"/>
        <v>1</v>
      </c>
    </row>
    <row r="202" spans="1:20" x14ac:dyDescent="0.2">
      <c r="A202" t="s">
        <v>265</v>
      </c>
      <c r="B202">
        <f>IF(COUNTIFS('United Data'!$A$3:$A$3390,B$1,'United Data'!$C$3:$C$3390,$A202)&gt;0,1,0)</f>
        <v>0</v>
      </c>
      <c r="C202">
        <f>IF(COUNTIFS('United Data'!$A$3:$A$3390,C$1,'United Data'!$C$3:$C$3390,$A202)&gt;0,1,0)</f>
        <v>0</v>
      </c>
      <c r="D202">
        <f>IF(COUNTIFS('United Data'!$A$3:$A$3390,D$1,'United Data'!$C$3:$C$3390,$A202)&gt;0,1,0)</f>
        <v>1</v>
      </c>
      <c r="E202">
        <f>IF(COUNTIFS('United Data'!$A$3:$A$3390,E$1,'United Data'!$C$3:$C$3390,$A202)&gt;0,1,0)</f>
        <v>0</v>
      </c>
      <c r="F202">
        <f>IF(COUNTIFS('United Data'!$A$3:$A$3390,F$1,'United Data'!$C$3:$C$3390,$A202)&gt;0,1,0)</f>
        <v>1</v>
      </c>
      <c r="G202">
        <f>IF(COUNTIFS('United Data'!$A$3:$A$3390,G$1,'United Data'!$C$3:$C$3390,$A202)&gt;0,1,0)</f>
        <v>0</v>
      </c>
      <c r="H202">
        <f>IF(COUNTIFS('United Data'!$A$3:$A$3390,H$1,'United Data'!$C$3:$C$3390,$A202)&gt;0,1,0)</f>
        <v>0</v>
      </c>
      <c r="I202">
        <f>IF(COUNTIFS('United Data'!$A$3:$A$3390,I$1,'United Data'!$C$3:$C$3390,$A202)&gt;0,1,0)</f>
        <v>1</v>
      </c>
      <c r="J202">
        <f>IF(COUNTIFS('United Data'!$A$3:$A$3390,J$1,'United Data'!$C$3:$C$3390,$A202)&gt;0,1,0)</f>
        <v>0</v>
      </c>
      <c r="K202">
        <f>IF(COUNTIFS('United Data'!$A$3:$A$3390,K$1,'United Data'!$C$3:$C$3390,$A202)&gt;0,1,0)</f>
        <v>0</v>
      </c>
      <c r="L202">
        <f>IF(COUNTIFS('United Data'!$A$3:$A$3390,L$1,'United Data'!$C$3:$C$3390,$A202)&gt;0,1,0)</f>
        <v>0</v>
      </c>
      <c r="M202">
        <f>IF(COUNTIFS('United Data'!$A$3:$A$3390,M$1,'United Data'!$C$3:$C$3390,$A202)&gt;0,1,0)</f>
        <v>1</v>
      </c>
      <c r="N202">
        <f>IF(COUNTIFS('United Data'!$A$3:$A$3390,N$1,'United Data'!$C$3:$C$3390,$A202)&gt;0,1,0)</f>
        <v>0</v>
      </c>
      <c r="O202">
        <f>IF(COUNTIFS('United Data'!$A$3:$A$3390,O$1,'United Data'!$C$3:$C$3390,$A202)&gt;0,1,0)</f>
        <v>1</v>
      </c>
      <c r="P202">
        <f>IF(COUNTIFS('United Data'!$A$3:$A$3390,P$1,'United Data'!$C$3:$C$3390,$A202)&gt;0,1,0)</f>
        <v>1</v>
      </c>
      <c r="Q202">
        <f>IF(COUNTIFS('United Data'!$A$3:$A$3390,Q$1,'United Data'!$C$3:$C$3390,$A202)&gt;0,1,0)</f>
        <v>0</v>
      </c>
      <c r="R202">
        <f>IF(COUNTIFS('United Data'!$A$3:$A$3390,R$1,'United Data'!$C$3:$C$3390,$A202)&gt;0,1,0)</f>
        <v>0</v>
      </c>
      <c r="S202">
        <f t="shared" si="6"/>
        <v>6</v>
      </c>
      <c r="T202">
        <f t="shared" si="7"/>
        <v>5</v>
      </c>
    </row>
    <row r="203" spans="1:20" x14ac:dyDescent="0.2">
      <c r="A203" t="s">
        <v>268</v>
      </c>
      <c r="B203">
        <f>IF(COUNTIFS('United Data'!$A$3:$A$3390,B$1,'United Data'!$C$3:$C$3390,$A203)&gt;0,1,0)</f>
        <v>0</v>
      </c>
      <c r="C203">
        <f>IF(COUNTIFS('United Data'!$A$3:$A$3390,C$1,'United Data'!$C$3:$C$3390,$A203)&gt;0,1,0)</f>
        <v>0</v>
      </c>
      <c r="D203">
        <f>IF(COUNTIFS('United Data'!$A$3:$A$3390,D$1,'United Data'!$C$3:$C$3390,$A203)&gt;0,1,0)</f>
        <v>1</v>
      </c>
      <c r="E203">
        <f>IF(COUNTIFS('United Data'!$A$3:$A$3390,E$1,'United Data'!$C$3:$C$3390,$A203)&gt;0,1,0)</f>
        <v>1</v>
      </c>
      <c r="F203">
        <f>IF(COUNTIFS('United Data'!$A$3:$A$3390,F$1,'United Data'!$C$3:$C$3390,$A203)&gt;0,1,0)</f>
        <v>1</v>
      </c>
      <c r="G203">
        <f>IF(COUNTIFS('United Data'!$A$3:$A$3390,G$1,'United Data'!$C$3:$C$3390,$A203)&gt;0,1,0)</f>
        <v>0</v>
      </c>
      <c r="H203">
        <f>IF(COUNTIFS('United Data'!$A$3:$A$3390,H$1,'United Data'!$C$3:$C$3390,$A203)&gt;0,1,0)</f>
        <v>0</v>
      </c>
      <c r="I203">
        <f>IF(COUNTIFS('United Data'!$A$3:$A$3390,I$1,'United Data'!$C$3:$C$3390,$A203)&gt;0,1,0)</f>
        <v>0</v>
      </c>
      <c r="J203">
        <f>IF(COUNTIFS('United Data'!$A$3:$A$3390,J$1,'United Data'!$C$3:$C$3390,$A203)&gt;0,1,0)</f>
        <v>0</v>
      </c>
      <c r="K203">
        <f>IF(COUNTIFS('United Data'!$A$3:$A$3390,K$1,'United Data'!$C$3:$C$3390,$A203)&gt;0,1,0)</f>
        <v>0</v>
      </c>
      <c r="L203">
        <f>IF(COUNTIFS('United Data'!$A$3:$A$3390,L$1,'United Data'!$C$3:$C$3390,$A203)&gt;0,1,0)</f>
        <v>0</v>
      </c>
      <c r="M203">
        <f>IF(COUNTIFS('United Data'!$A$3:$A$3390,M$1,'United Data'!$C$3:$C$3390,$A203)&gt;0,1,0)</f>
        <v>0</v>
      </c>
      <c r="N203">
        <f>IF(COUNTIFS('United Data'!$A$3:$A$3390,N$1,'United Data'!$C$3:$C$3390,$A203)&gt;0,1,0)</f>
        <v>0</v>
      </c>
      <c r="O203">
        <f>IF(COUNTIFS('United Data'!$A$3:$A$3390,O$1,'United Data'!$C$3:$C$3390,$A203)&gt;0,1,0)</f>
        <v>0</v>
      </c>
      <c r="P203">
        <f>IF(COUNTIFS('United Data'!$A$3:$A$3390,P$1,'United Data'!$C$3:$C$3390,$A203)&gt;0,1,0)</f>
        <v>0</v>
      </c>
      <c r="Q203">
        <f>IF(COUNTIFS('United Data'!$A$3:$A$3390,Q$1,'United Data'!$C$3:$C$3390,$A203)&gt;0,1,0)</f>
        <v>0</v>
      </c>
      <c r="R203">
        <f>IF(COUNTIFS('United Data'!$A$3:$A$3390,R$1,'United Data'!$C$3:$C$3390,$A203)&gt;0,1,0)</f>
        <v>0</v>
      </c>
      <c r="S203">
        <f t="shared" si="6"/>
        <v>3</v>
      </c>
      <c r="T203">
        <f t="shared" si="7"/>
        <v>1</v>
      </c>
    </row>
    <row r="204" spans="1:20" x14ac:dyDescent="0.2">
      <c r="A204" t="s">
        <v>269</v>
      </c>
      <c r="B204">
        <f>IF(COUNTIFS('United Data'!$A$3:$A$3390,B$1,'United Data'!$C$3:$C$3390,$A204)&gt;0,1,0)</f>
        <v>0</v>
      </c>
      <c r="C204">
        <f>IF(COUNTIFS('United Data'!$A$3:$A$3390,C$1,'United Data'!$C$3:$C$3390,$A204)&gt;0,1,0)</f>
        <v>0</v>
      </c>
      <c r="D204">
        <f>IF(COUNTIFS('United Data'!$A$3:$A$3390,D$1,'United Data'!$C$3:$C$3390,$A204)&gt;0,1,0)</f>
        <v>1</v>
      </c>
      <c r="E204">
        <f>IF(COUNTIFS('United Data'!$A$3:$A$3390,E$1,'United Data'!$C$3:$C$3390,$A204)&gt;0,1,0)</f>
        <v>0</v>
      </c>
      <c r="F204">
        <f>IF(COUNTIFS('United Data'!$A$3:$A$3390,F$1,'United Data'!$C$3:$C$3390,$A204)&gt;0,1,0)</f>
        <v>0</v>
      </c>
      <c r="G204">
        <f>IF(COUNTIFS('United Data'!$A$3:$A$3390,G$1,'United Data'!$C$3:$C$3390,$A204)&gt;0,1,0)</f>
        <v>0</v>
      </c>
      <c r="H204">
        <f>IF(COUNTIFS('United Data'!$A$3:$A$3390,H$1,'United Data'!$C$3:$C$3390,$A204)&gt;0,1,0)</f>
        <v>0</v>
      </c>
      <c r="I204">
        <f>IF(COUNTIFS('United Data'!$A$3:$A$3390,I$1,'United Data'!$C$3:$C$3390,$A204)&gt;0,1,0)</f>
        <v>0</v>
      </c>
      <c r="J204">
        <f>IF(COUNTIFS('United Data'!$A$3:$A$3390,J$1,'United Data'!$C$3:$C$3390,$A204)&gt;0,1,0)</f>
        <v>0</v>
      </c>
      <c r="K204">
        <f>IF(COUNTIFS('United Data'!$A$3:$A$3390,K$1,'United Data'!$C$3:$C$3390,$A204)&gt;0,1,0)</f>
        <v>0</v>
      </c>
      <c r="L204">
        <f>IF(COUNTIFS('United Data'!$A$3:$A$3390,L$1,'United Data'!$C$3:$C$3390,$A204)&gt;0,1,0)</f>
        <v>0</v>
      </c>
      <c r="M204">
        <f>IF(COUNTIFS('United Data'!$A$3:$A$3390,M$1,'United Data'!$C$3:$C$3390,$A204)&gt;0,1,0)</f>
        <v>0</v>
      </c>
      <c r="N204">
        <f>IF(COUNTIFS('United Data'!$A$3:$A$3390,N$1,'United Data'!$C$3:$C$3390,$A204)&gt;0,1,0)</f>
        <v>0</v>
      </c>
      <c r="O204">
        <f>IF(COUNTIFS('United Data'!$A$3:$A$3390,O$1,'United Data'!$C$3:$C$3390,$A204)&gt;0,1,0)</f>
        <v>0</v>
      </c>
      <c r="P204">
        <f>IF(COUNTIFS('United Data'!$A$3:$A$3390,P$1,'United Data'!$C$3:$C$3390,$A204)&gt;0,1,0)</f>
        <v>0</v>
      </c>
      <c r="Q204">
        <f>IF(COUNTIFS('United Data'!$A$3:$A$3390,Q$1,'United Data'!$C$3:$C$3390,$A204)&gt;0,1,0)</f>
        <v>0</v>
      </c>
      <c r="R204">
        <f>IF(COUNTIFS('United Data'!$A$3:$A$3390,R$1,'United Data'!$C$3:$C$3390,$A204)&gt;0,1,0)</f>
        <v>0</v>
      </c>
      <c r="S204">
        <f t="shared" si="6"/>
        <v>1</v>
      </c>
      <c r="T204">
        <f t="shared" si="7"/>
        <v>1</v>
      </c>
    </row>
    <row r="205" spans="1:20" x14ac:dyDescent="0.2">
      <c r="A205" t="s">
        <v>271</v>
      </c>
      <c r="B205">
        <f>IF(COUNTIFS('United Data'!$A$3:$A$3390,B$1,'United Data'!$C$3:$C$3390,$A205)&gt;0,1,0)</f>
        <v>0</v>
      </c>
      <c r="C205">
        <f>IF(COUNTIFS('United Data'!$A$3:$A$3390,C$1,'United Data'!$C$3:$C$3390,$A205)&gt;0,1,0)</f>
        <v>0</v>
      </c>
      <c r="D205">
        <f>IF(COUNTIFS('United Data'!$A$3:$A$3390,D$1,'United Data'!$C$3:$C$3390,$A205)&gt;0,1,0)</f>
        <v>0</v>
      </c>
      <c r="E205">
        <f>IF(COUNTIFS('United Data'!$A$3:$A$3390,E$1,'United Data'!$C$3:$C$3390,$A205)&gt;0,1,0)</f>
        <v>1</v>
      </c>
      <c r="F205">
        <f>IF(COUNTIFS('United Data'!$A$3:$A$3390,F$1,'United Data'!$C$3:$C$3390,$A205)&gt;0,1,0)</f>
        <v>0</v>
      </c>
      <c r="G205">
        <f>IF(COUNTIFS('United Data'!$A$3:$A$3390,G$1,'United Data'!$C$3:$C$3390,$A205)&gt;0,1,0)</f>
        <v>0</v>
      </c>
      <c r="H205">
        <f>IF(COUNTIFS('United Data'!$A$3:$A$3390,H$1,'United Data'!$C$3:$C$3390,$A205)&gt;0,1,0)</f>
        <v>0</v>
      </c>
      <c r="I205">
        <f>IF(COUNTIFS('United Data'!$A$3:$A$3390,I$1,'United Data'!$C$3:$C$3390,$A205)&gt;0,1,0)</f>
        <v>0</v>
      </c>
      <c r="J205">
        <f>IF(COUNTIFS('United Data'!$A$3:$A$3390,J$1,'United Data'!$C$3:$C$3390,$A205)&gt;0,1,0)</f>
        <v>0</v>
      </c>
      <c r="K205">
        <f>IF(COUNTIFS('United Data'!$A$3:$A$3390,K$1,'United Data'!$C$3:$C$3390,$A205)&gt;0,1,0)</f>
        <v>0</v>
      </c>
      <c r="L205">
        <f>IF(COUNTIFS('United Data'!$A$3:$A$3390,L$1,'United Data'!$C$3:$C$3390,$A205)&gt;0,1,0)</f>
        <v>0</v>
      </c>
      <c r="M205">
        <f>IF(COUNTIFS('United Data'!$A$3:$A$3390,M$1,'United Data'!$C$3:$C$3390,$A205)&gt;0,1,0)</f>
        <v>0</v>
      </c>
      <c r="N205">
        <f>IF(COUNTIFS('United Data'!$A$3:$A$3390,N$1,'United Data'!$C$3:$C$3390,$A205)&gt;0,1,0)</f>
        <v>0</v>
      </c>
      <c r="O205">
        <f>IF(COUNTIFS('United Data'!$A$3:$A$3390,O$1,'United Data'!$C$3:$C$3390,$A205)&gt;0,1,0)</f>
        <v>0</v>
      </c>
      <c r="P205">
        <f>IF(COUNTIFS('United Data'!$A$3:$A$3390,P$1,'United Data'!$C$3:$C$3390,$A205)&gt;0,1,0)</f>
        <v>0</v>
      </c>
      <c r="Q205">
        <f>IF(COUNTIFS('United Data'!$A$3:$A$3390,Q$1,'United Data'!$C$3:$C$3390,$A205)&gt;0,1,0)</f>
        <v>0</v>
      </c>
      <c r="R205">
        <f>IF(COUNTIFS('United Data'!$A$3:$A$3390,R$1,'United Data'!$C$3:$C$3390,$A205)&gt;0,1,0)</f>
        <v>0</v>
      </c>
      <c r="S205">
        <f t="shared" si="6"/>
        <v>1</v>
      </c>
      <c r="T205">
        <f t="shared" si="7"/>
        <v>1</v>
      </c>
    </row>
    <row r="206" spans="1:20" x14ac:dyDescent="0.2">
      <c r="A206" t="s">
        <v>272</v>
      </c>
      <c r="B206">
        <f>IF(COUNTIFS('United Data'!$A$3:$A$3390,B$1,'United Data'!$C$3:$C$3390,$A206)&gt;0,1,0)</f>
        <v>0</v>
      </c>
      <c r="C206">
        <f>IF(COUNTIFS('United Data'!$A$3:$A$3390,C$1,'United Data'!$C$3:$C$3390,$A206)&gt;0,1,0)</f>
        <v>0</v>
      </c>
      <c r="D206">
        <f>IF(COUNTIFS('United Data'!$A$3:$A$3390,D$1,'United Data'!$C$3:$C$3390,$A206)&gt;0,1,0)</f>
        <v>0</v>
      </c>
      <c r="E206">
        <f>IF(COUNTIFS('United Data'!$A$3:$A$3390,E$1,'United Data'!$C$3:$C$3390,$A206)&gt;0,1,0)</f>
        <v>1</v>
      </c>
      <c r="F206">
        <f>IF(COUNTIFS('United Data'!$A$3:$A$3390,F$1,'United Data'!$C$3:$C$3390,$A206)&gt;0,1,0)</f>
        <v>0</v>
      </c>
      <c r="G206">
        <f>IF(COUNTIFS('United Data'!$A$3:$A$3390,G$1,'United Data'!$C$3:$C$3390,$A206)&gt;0,1,0)</f>
        <v>0</v>
      </c>
      <c r="H206">
        <f>IF(COUNTIFS('United Data'!$A$3:$A$3390,H$1,'United Data'!$C$3:$C$3390,$A206)&gt;0,1,0)</f>
        <v>0</v>
      </c>
      <c r="I206">
        <f>IF(COUNTIFS('United Data'!$A$3:$A$3390,I$1,'United Data'!$C$3:$C$3390,$A206)&gt;0,1,0)</f>
        <v>0</v>
      </c>
      <c r="J206">
        <f>IF(COUNTIFS('United Data'!$A$3:$A$3390,J$1,'United Data'!$C$3:$C$3390,$A206)&gt;0,1,0)</f>
        <v>0</v>
      </c>
      <c r="K206">
        <f>IF(COUNTIFS('United Data'!$A$3:$A$3390,K$1,'United Data'!$C$3:$C$3390,$A206)&gt;0,1,0)</f>
        <v>0</v>
      </c>
      <c r="L206">
        <f>IF(COUNTIFS('United Data'!$A$3:$A$3390,L$1,'United Data'!$C$3:$C$3390,$A206)&gt;0,1,0)</f>
        <v>0</v>
      </c>
      <c r="M206">
        <f>IF(COUNTIFS('United Data'!$A$3:$A$3390,M$1,'United Data'!$C$3:$C$3390,$A206)&gt;0,1,0)</f>
        <v>0</v>
      </c>
      <c r="N206">
        <f>IF(COUNTIFS('United Data'!$A$3:$A$3390,N$1,'United Data'!$C$3:$C$3390,$A206)&gt;0,1,0)</f>
        <v>0</v>
      </c>
      <c r="O206">
        <f>IF(COUNTIFS('United Data'!$A$3:$A$3390,O$1,'United Data'!$C$3:$C$3390,$A206)&gt;0,1,0)</f>
        <v>0</v>
      </c>
      <c r="P206">
        <f>IF(COUNTIFS('United Data'!$A$3:$A$3390,P$1,'United Data'!$C$3:$C$3390,$A206)&gt;0,1,0)</f>
        <v>0</v>
      </c>
      <c r="Q206">
        <f>IF(COUNTIFS('United Data'!$A$3:$A$3390,Q$1,'United Data'!$C$3:$C$3390,$A206)&gt;0,1,0)</f>
        <v>0</v>
      </c>
      <c r="R206">
        <f>IF(COUNTIFS('United Data'!$A$3:$A$3390,R$1,'United Data'!$C$3:$C$3390,$A206)&gt;0,1,0)</f>
        <v>0</v>
      </c>
      <c r="S206">
        <f t="shared" si="6"/>
        <v>1</v>
      </c>
      <c r="T206">
        <f t="shared" si="7"/>
        <v>1</v>
      </c>
    </row>
    <row r="207" spans="1:20" x14ac:dyDescent="0.2">
      <c r="A207" t="s">
        <v>273</v>
      </c>
      <c r="B207">
        <f>IF(COUNTIFS('United Data'!$A$3:$A$3390,B$1,'United Data'!$C$3:$C$3390,$A207)&gt;0,1,0)</f>
        <v>0</v>
      </c>
      <c r="C207">
        <f>IF(COUNTIFS('United Data'!$A$3:$A$3390,C$1,'United Data'!$C$3:$C$3390,$A207)&gt;0,1,0)</f>
        <v>0</v>
      </c>
      <c r="D207">
        <f>IF(COUNTIFS('United Data'!$A$3:$A$3390,D$1,'United Data'!$C$3:$C$3390,$A207)&gt;0,1,0)</f>
        <v>0</v>
      </c>
      <c r="E207">
        <f>IF(COUNTIFS('United Data'!$A$3:$A$3390,E$1,'United Data'!$C$3:$C$3390,$A207)&gt;0,1,0)</f>
        <v>1</v>
      </c>
      <c r="F207">
        <f>IF(COUNTIFS('United Data'!$A$3:$A$3390,F$1,'United Data'!$C$3:$C$3390,$A207)&gt;0,1,0)</f>
        <v>0</v>
      </c>
      <c r="G207">
        <f>IF(COUNTIFS('United Data'!$A$3:$A$3390,G$1,'United Data'!$C$3:$C$3390,$A207)&gt;0,1,0)</f>
        <v>0</v>
      </c>
      <c r="H207">
        <f>IF(COUNTIFS('United Data'!$A$3:$A$3390,H$1,'United Data'!$C$3:$C$3390,$A207)&gt;0,1,0)</f>
        <v>0</v>
      </c>
      <c r="I207">
        <f>IF(COUNTIFS('United Data'!$A$3:$A$3390,I$1,'United Data'!$C$3:$C$3390,$A207)&gt;0,1,0)</f>
        <v>0</v>
      </c>
      <c r="J207">
        <f>IF(COUNTIFS('United Data'!$A$3:$A$3390,J$1,'United Data'!$C$3:$C$3390,$A207)&gt;0,1,0)</f>
        <v>0</v>
      </c>
      <c r="K207">
        <f>IF(COUNTIFS('United Data'!$A$3:$A$3390,K$1,'United Data'!$C$3:$C$3390,$A207)&gt;0,1,0)</f>
        <v>0</v>
      </c>
      <c r="L207">
        <f>IF(COUNTIFS('United Data'!$A$3:$A$3390,L$1,'United Data'!$C$3:$C$3390,$A207)&gt;0,1,0)</f>
        <v>0</v>
      </c>
      <c r="M207">
        <f>IF(COUNTIFS('United Data'!$A$3:$A$3390,M$1,'United Data'!$C$3:$C$3390,$A207)&gt;0,1,0)</f>
        <v>0</v>
      </c>
      <c r="N207">
        <f>IF(COUNTIFS('United Data'!$A$3:$A$3390,N$1,'United Data'!$C$3:$C$3390,$A207)&gt;0,1,0)</f>
        <v>0</v>
      </c>
      <c r="O207">
        <f>IF(COUNTIFS('United Data'!$A$3:$A$3390,O$1,'United Data'!$C$3:$C$3390,$A207)&gt;0,1,0)</f>
        <v>0</v>
      </c>
      <c r="P207">
        <f>IF(COUNTIFS('United Data'!$A$3:$A$3390,P$1,'United Data'!$C$3:$C$3390,$A207)&gt;0,1,0)</f>
        <v>0</v>
      </c>
      <c r="Q207">
        <f>IF(COUNTIFS('United Data'!$A$3:$A$3390,Q$1,'United Data'!$C$3:$C$3390,$A207)&gt;0,1,0)</f>
        <v>0</v>
      </c>
      <c r="R207">
        <f>IF(COUNTIFS('United Data'!$A$3:$A$3390,R$1,'United Data'!$C$3:$C$3390,$A207)&gt;0,1,0)</f>
        <v>0</v>
      </c>
      <c r="S207">
        <f t="shared" si="6"/>
        <v>1</v>
      </c>
      <c r="T207">
        <f t="shared" si="7"/>
        <v>1</v>
      </c>
    </row>
    <row r="208" spans="1:20" x14ac:dyDescent="0.2">
      <c r="A208" t="s">
        <v>274</v>
      </c>
      <c r="B208">
        <f>IF(COUNTIFS('United Data'!$A$3:$A$3390,B$1,'United Data'!$C$3:$C$3390,$A208)&gt;0,1,0)</f>
        <v>0</v>
      </c>
      <c r="C208">
        <f>IF(COUNTIFS('United Data'!$A$3:$A$3390,C$1,'United Data'!$C$3:$C$3390,$A208)&gt;0,1,0)</f>
        <v>0</v>
      </c>
      <c r="D208">
        <f>IF(COUNTIFS('United Data'!$A$3:$A$3390,D$1,'United Data'!$C$3:$C$3390,$A208)&gt;0,1,0)</f>
        <v>0</v>
      </c>
      <c r="E208">
        <f>IF(COUNTIFS('United Data'!$A$3:$A$3390,E$1,'United Data'!$C$3:$C$3390,$A208)&gt;0,1,0)</f>
        <v>1</v>
      </c>
      <c r="F208">
        <f>IF(COUNTIFS('United Data'!$A$3:$A$3390,F$1,'United Data'!$C$3:$C$3390,$A208)&gt;0,1,0)</f>
        <v>0</v>
      </c>
      <c r="G208">
        <f>IF(COUNTIFS('United Data'!$A$3:$A$3390,G$1,'United Data'!$C$3:$C$3390,$A208)&gt;0,1,0)</f>
        <v>0</v>
      </c>
      <c r="H208">
        <f>IF(COUNTIFS('United Data'!$A$3:$A$3390,H$1,'United Data'!$C$3:$C$3390,$A208)&gt;0,1,0)</f>
        <v>0</v>
      </c>
      <c r="I208">
        <f>IF(COUNTIFS('United Data'!$A$3:$A$3390,I$1,'United Data'!$C$3:$C$3390,$A208)&gt;0,1,0)</f>
        <v>0</v>
      </c>
      <c r="J208">
        <f>IF(COUNTIFS('United Data'!$A$3:$A$3390,J$1,'United Data'!$C$3:$C$3390,$A208)&gt;0,1,0)</f>
        <v>0</v>
      </c>
      <c r="K208">
        <f>IF(COUNTIFS('United Data'!$A$3:$A$3390,K$1,'United Data'!$C$3:$C$3390,$A208)&gt;0,1,0)</f>
        <v>0</v>
      </c>
      <c r="L208">
        <f>IF(COUNTIFS('United Data'!$A$3:$A$3390,L$1,'United Data'!$C$3:$C$3390,$A208)&gt;0,1,0)</f>
        <v>0</v>
      </c>
      <c r="M208">
        <f>IF(COUNTIFS('United Data'!$A$3:$A$3390,M$1,'United Data'!$C$3:$C$3390,$A208)&gt;0,1,0)</f>
        <v>0</v>
      </c>
      <c r="N208">
        <f>IF(COUNTIFS('United Data'!$A$3:$A$3390,N$1,'United Data'!$C$3:$C$3390,$A208)&gt;0,1,0)</f>
        <v>0</v>
      </c>
      <c r="O208">
        <f>IF(COUNTIFS('United Data'!$A$3:$A$3390,O$1,'United Data'!$C$3:$C$3390,$A208)&gt;0,1,0)</f>
        <v>0</v>
      </c>
      <c r="P208">
        <f>IF(COUNTIFS('United Data'!$A$3:$A$3390,P$1,'United Data'!$C$3:$C$3390,$A208)&gt;0,1,0)</f>
        <v>0</v>
      </c>
      <c r="Q208">
        <f>IF(COUNTIFS('United Data'!$A$3:$A$3390,Q$1,'United Data'!$C$3:$C$3390,$A208)&gt;0,1,0)</f>
        <v>0</v>
      </c>
      <c r="R208">
        <f>IF(COUNTIFS('United Data'!$A$3:$A$3390,R$1,'United Data'!$C$3:$C$3390,$A208)&gt;0,1,0)</f>
        <v>0</v>
      </c>
      <c r="S208">
        <f t="shared" si="6"/>
        <v>1</v>
      </c>
      <c r="T208">
        <f t="shared" si="7"/>
        <v>1</v>
      </c>
    </row>
    <row r="209" spans="1:20" x14ac:dyDescent="0.2">
      <c r="A209" t="s">
        <v>275</v>
      </c>
      <c r="B209">
        <f>IF(COUNTIFS('United Data'!$A$3:$A$3390,B$1,'United Data'!$C$3:$C$3390,$A209)&gt;0,1,0)</f>
        <v>0</v>
      </c>
      <c r="C209">
        <f>IF(COUNTIFS('United Data'!$A$3:$A$3390,C$1,'United Data'!$C$3:$C$3390,$A209)&gt;0,1,0)</f>
        <v>0</v>
      </c>
      <c r="D209">
        <f>IF(COUNTIFS('United Data'!$A$3:$A$3390,D$1,'United Data'!$C$3:$C$3390,$A209)&gt;0,1,0)</f>
        <v>0</v>
      </c>
      <c r="E209">
        <f>IF(COUNTIFS('United Data'!$A$3:$A$3390,E$1,'United Data'!$C$3:$C$3390,$A209)&gt;0,1,0)</f>
        <v>1</v>
      </c>
      <c r="F209">
        <f>IF(COUNTIFS('United Data'!$A$3:$A$3390,F$1,'United Data'!$C$3:$C$3390,$A209)&gt;0,1,0)</f>
        <v>0</v>
      </c>
      <c r="G209">
        <f>IF(COUNTIFS('United Data'!$A$3:$A$3390,G$1,'United Data'!$C$3:$C$3390,$A209)&gt;0,1,0)</f>
        <v>0</v>
      </c>
      <c r="H209">
        <f>IF(COUNTIFS('United Data'!$A$3:$A$3390,H$1,'United Data'!$C$3:$C$3390,$A209)&gt;0,1,0)</f>
        <v>0</v>
      </c>
      <c r="I209">
        <f>IF(COUNTIFS('United Data'!$A$3:$A$3390,I$1,'United Data'!$C$3:$C$3390,$A209)&gt;0,1,0)</f>
        <v>1</v>
      </c>
      <c r="J209">
        <f>IF(COUNTIFS('United Data'!$A$3:$A$3390,J$1,'United Data'!$C$3:$C$3390,$A209)&gt;0,1,0)</f>
        <v>0</v>
      </c>
      <c r="K209">
        <f>IF(COUNTIFS('United Data'!$A$3:$A$3390,K$1,'United Data'!$C$3:$C$3390,$A209)&gt;0,1,0)</f>
        <v>0</v>
      </c>
      <c r="L209">
        <f>IF(COUNTIFS('United Data'!$A$3:$A$3390,L$1,'United Data'!$C$3:$C$3390,$A209)&gt;0,1,0)</f>
        <v>0</v>
      </c>
      <c r="M209">
        <f>IF(COUNTIFS('United Data'!$A$3:$A$3390,M$1,'United Data'!$C$3:$C$3390,$A209)&gt;0,1,0)</f>
        <v>0</v>
      </c>
      <c r="N209">
        <f>IF(COUNTIFS('United Data'!$A$3:$A$3390,N$1,'United Data'!$C$3:$C$3390,$A209)&gt;0,1,0)</f>
        <v>0</v>
      </c>
      <c r="O209">
        <f>IF(COUNTIFS('United Data'!$A$3:$A$3390,O$1,'United Data'!$C$3:$C$3390,$A209)&gt;0,1,0)</f>
        <v>0</v>
      </c>
      <c r="P209">
        <f>IF(COUNTIFS('United Data'!$A$3:$A$3390,P$1,'United Data'!$C$3:$C$3390,$A209)&gt;0,1,0)</f>
        <v>0</v>
      </c>
      <c r="Q209">
        <f>IF(COUNTIFS('United Data'!$A$3:$A$3390,Q$1,'United Data'!$C$3:$C$3390,$A209)&gt;0,1,0)</f>
        <v>0</v>
      </c>
      <c r="R209">
        <f>IF(COUNTIFS('United Data'!$A$3:$A$3390,R$1,'United Data'!$C$3:$C$3390,$A209)&gt;0,1,0)</f>
        <v>0</v>
      </c>
      <c r="S209">
        <f t="shared" si="6"/>
        <v>2</v>
      </c>
      <c r="T209">
        <f t="shared" si="7"/>
        <v>2</v>
      </c>
    </row>
    <row r="210" spans="1:20" x14ac:dyDescent="0.2">
      <c r="A210" t="s">
        <v>276</v>
      </c>
      <c r="B210">
        <f>IF(COUNTIFS('United Data'!$A$3:$A$3390,B$1,'United Data'!$C$3:$C$3390,$A210)&gt;0,1,0)</f>
        <v>0</v>
      </c>
      <c r="C210">
        <f>IF(COUNTIFS('United Data'!$A$3:$A$3390,C$1,'United Data'!$C$3:$C$3390,$A210)&gt;0,1,0)</f>
        <v>0</v>
      </c>
      <c r="D210">
        <f>IF(COUNTIFS('United Data'!$A$3:$A$3390,D$1,'United Data'!$C$3:$C$3390,$A210)&gt;0,1,0)</f>
        <v>0</v>
      </c>
      <c r="E210">
        <f>IF(COUNTIFS('United Data'!$A$3:$A$3390,E$1,'United Data'!$C$3:$C$3390,$A210)&gt;0,1,0)</f>
        <v>1</v>
      </c>
      <c r="F210">
        <f>IF(COUNTIFS('United Data'!$A$3:$A$3390,F$1,'United Data'!$C$3:$C$3390,$A210)&gt;0,1,0)</f>
        <v>0</v>
      </c>
      <c r="G210">
        <f>IF(COUNTIFS('United Data'!$A$3:$A$3390,G$1,'United Data'!$C$3:$C$3390,$A210)&gt;0,1,0)</f>
        <v>0</v>
      </c>
      <c r="H210">
        <f>IF(COUNTIFS('United Data'!$A$3:$A$3390,H$1,'United Data'!$C$3:$C$3390,$A210)&gt;0,1,0)</f>
        <v>0</v>
      </c>
      <c r="I210">
        <f>IF(COUNTIFS('United Data'!$A$3:$A$3390,I$1,'United Data'!$C$3:$C$3390,$A210)&gt;0,1,0)</f>
        <v>0</v>
      </c>
      <c r="J210">
        <f>IF(COUNTIFS('United Data'!$A$3:$A$3390,J$1,'United Data'!$C$3:$C$3390,$A210)&gt;0,1,0)</f>
        <v>0</v>
      </c>
      <c r="K210">
        <f>IF(COUNTIFS('United Data'!$A$3:$A$3390,K$1,'United Data'!$C$3:$C$3390,$A210)&gt;0,1,0)</f>
        <v>0</v>
      </c>
      <c r="L210">
        <f>IF(COUNTIFS('United Data'!$A$3:$A$3390,L$1,'United Data'!$C$3:$C$3390,$A210)&gt;0,1,0)</f>
        <v>0</v>
      </c>
      <c r="M210">
        <f>IF(COUNTIFS('United Data'!$A$3:$A$3390,M$1,'United Data'!$C$3:$C$3390,$A210)&gt;0,1,0)</f>
        <v>0</v>
      </c>
      <c r="N210">
        <f>IF(COUNTIFS('United Data'!$A$3:$A$3390,N$1,'United Data'!$C$3:$C$3390,$A210)&gt;0,1,0)</f>
        <v>0</v>
      </c>
      <c r="O210">
        <f>IF(COUNTIFS('United Data'!$A$3:$A$3390,O$1,'United Data'!$C$3:$C$3390,$A210)&gt;0,1,0)</f>
        <v>0</v>
      </c>
      <c r="P210">
        <f>IF(COUNTIFS('United Data'!$A$3:$A$3390,P$1,'United Data'!$C$3:$C$3390,$A210)&gt;0,1,0)</f>
        <v>0</v>
      </c>
      <c r="Q210">
        <f>IF(COUNTIFS('United Data'!$A$3:$A$3390,Q$1,'United Data'!$C$3:$C$3390,$A210)&gt;0,1,0)</f>
        <v>0</v>
      </c>
      <c r="R210">
        <f>IF(COUNTIFS('United Data'!$A$3:$A$3390,R$1,'United Data'!$C$3:$C$3390,$A210)&gt;0,1,0)</f>
        <v>0</v>
      </c>
      <c r="S210">
        <f t="shared" si="6"/>
        <v>1</v>
      </c>
      <c r="T210">
        <f t="shared" si="7"/>
        <v>1</v>
      </c>
    </row>
    <row r="211" spans="1:20" x14ac:dyDescent="0.2">
      <c r="A211" t="s">
        <v>277</v>
      </c>
      <c r="B211">
        <f>IF(COUNTIFS('United Data'!$A$3:$A$3390,B$1,'United Data'!$C$3:$C$3390,$A211)&gt;0,1,0)</f>
        <v>0</v>
      </c>
      <c r="C211">
        <f>IF(COUNTIFS('United Data'!$A$3:$A$3390,C$1,'United Data'!$C$3:$C$3390,$A211)&gt;0,1,0)</f>
        <v>0</v>
      </c>
      <c r="D211">
        <f>IF(COUNTIFS('United Data'!$A$3:$A$3390,D$1,'United Data'!$C$3:$C$3390,$A211)&gt;0,1,0)</f>
        <v>0</v>
      </c>
      <c r="E211">
        <f>IF(COUNTIFS('United Data'!$A$3:$A$3390,E$1,'United Data'!$C$3:$C$3390,$A211)&gt;0,1,0)</f>
        <v>1</v>
      </c>
      <c r="F211">
        <f>IF(COUNTIFS('United Data'!$A$3:$A$3390,F$1,'United Data'!$C$3:$C$3390,$A211)&gt;0,1,0)</f>
        <v>0</v>
      </c>
      <c r="G211">
        <f>IF(COUNTIFS('United Data'!$A$3:$A$3390,G$1,'United Data'!$C$3:$C$3390,$A211)&gt;0,1,0)</f>
        <v>0</v>
      </c>
      <c r="H211">
        <f>IF(COUNTIFS('United Data'!$A$3:$A$3390,H$1,'United Data'!$C$3:$C$3390,$A211)&gt;0,1,0)</f>
        <v>0</v>
      </c>
      <c r="I211">
        <f>IF(COUNTIFS('United Data'!$A$3:$A$3390,I$1,'United Data'!$C$3:$C$3390,$A211)&gt;0,1,0)</f>
        <v>0</v>
      </c>
      <c r="J211">
        <f>IF(COUNTIFS('United Data'!$A$3:$A$3390,J$1,'United Data'!$C$3:$C$3390,$A211)&gt;0,1,0)</f>
        <v>0</v>
      </c>
      <c r="K211">
        <f>IF(COUNTIFS('United Data'!$A$3:$A$3390,K$1,'United Data'!$C$3:$C$3390,$A211)&gt;0,1,0)</f>
        <v>0</v>
      </c>
      <c r="L211">
        <f>IF(COUNTIFS('United Data'!$A$3:$A$3390,L$1,'United Data'!$C$3:$C$3390,$A211)&gt;0,1,0)</f>
        <v>0</v>
      </c>
      <c r="M211">
        <f>IF(COUNTIFS('United Data'!$A$3:$A$3390,M$1,'United Data'!$C$3:$C$3390,$A211)&gt;0,1,0)</f>
        <v>0</v>
      </c>
      <c r="N211">
        <f>IF(COUNTIFS('United Data'!$A$3:$A$3390,N$1,'United Data'!$C$3:$C$3390,$A211)&gt;0,1,0)</f>
        <v>0</v>
      </c>
      <c r="O211">
        <f>IF(COUNTIFS('United Data'!$A$3:$A$3390,O$1,'United Data'!$C$3:$C$3390,$A211)&gt;0,1,0)</f>
        <v>0</v>
      </c>
      <c r="P211">
        <f>IF(COUNTIFS('United Data'!$A$3:$A$3390,P$1,'United Data'!$C$3:$C$3390,$A211)&gt;0,1,0)</f>
        <v>0</v>
      </c>
      <c r="Q211">
        <f>IF(COUNTIFS('United Data'!$A$3:$A$3390,Q$1,'United Data'!$C$3:$C$3390,$A211)&gt;0,1,0)</f>
        <v>0</v>
      </c>
      <c r="R211">
        <f>IF(COUNTIFS('United Data'!$A$3:$A$3390,R$1,'United Data'!$C$3:$C$3390,$A211)&gt;0,1,0)</f>
        <v>0</v>
      </c>
      <c r="S211">
        <f t="shared" si="6"/>
        <v>1</v>
      </c>
      <c r="T211">
        <f t="shared" si="7"/>
        <v>1</v>
      </c>
    </row>
    <row r="212" spans="1:20" x14ac:dyDescent="0.2">
      <c r="A212" t="s">
        <v>278</v>
      </c>
      <c r="B212">
        <f>IF(COUNTIFS('United Data'!$A$3:$A$3390,B$1,'United Data'!$C$3:$C$3390,$A212)&gt;0,1,0)</f>
        <v>0</v>
      </c>
      <c r="C212">
        <f>IF(COUNTIFS('United Data'!$A$3:$A$3390,C$1,'United Data'!$C$3:$C$3390,$A212)&gt;0,1,0)</f>
        <v>0</v>
      </c>
      <c r="D212">
        <f>IF(COUNTIFS('United Data'!$A$3:$A$3390,D$1,'United Data'!$C$3:$C$3390,$A212)&gt;0,1,0)</f>
        <v>0</v>
      </c>
      <c r="E212">
        <f>IF(COUNTIFS('United Data'!$A$3:$A$3390,E$1,'United Data'!$C$3:$C$3390,$A212)&gt;0,1,0)</f>
        <v>1</v>
      </c>
      <c r="F212">
        <f>IF(COUNTIFS('United Data'!$A$3:$A$3390,F$1,'United Data'!$C$3:$C$3390,$A212)&gt;0,1,0)</f>
        <v>0</v>
      </c>
      <c r="G212">
        <f>IF(COUNTIFS('United Data'!$A$3:$A$3390,G$1,'United Data'!$C$3:$C$3390,$A212)&gt;0,1,0)</f>
        <v>0</v>
      </c>
      <c r="H212">
        <f>IF(COUNTIFS('United Data'!$A$3:$A$3390,H$1,'United Data'!$C$3:$C$3390,$A212)&gt;0,1,0)</f>
        <v>1</v>
      </c>
      <c r="I212">
        <f>IF(COUNTIFS('United Data'!$A$3:$A$3390,I$1,'United Data'!$C$3:$C$3390,$A212)&gt;0,1,0)</f>
        <v>1</v>
      </c>
      <c r="J212">
        <f>IF(COUNTIFS('United Data'!$A$3:$A$3390,J$1,'United Data'!$C$3:$C$3390,$A212)&gt;0,1,0)</f>
        <v>0</v>
      </c>
      <c r="K212">
        <f>IF(COUNTIFS('United Data'!$A$3:$A$3390,K$1,'United Data'!$C$3:$C$3390,$A212)&gt;0,1,0)</f>
        <v>0</v>
      </c>
      <c r="L212">
        <f>IF(COUNTIFS('United Data'!$A$3:$A$3390,L$1,'United Data'!$C$3:$C$3390,$A212)&gt;0,1,0)</f>
        <v>0</v>
      </c>
      <c r="M212">
        <f>IF(COUNTIFS('United Data'!$A$3:$A$3390,M$1,'United Data'!$C$3:$C$3390,$A212)&gt;0,1,0)</f>
        <v>1</v>
      </c>
      <c r="N212">
        <f>IF(COUNTIFS('United Data'!$A$3:$A$3390,N$1,'United Data'!$C$3:$C$3390,$A212)&gt;0,1,0)</f>
        <v>0</v>
      </c>
      <c r="O212">
        <f>IF(COUNTIFS('United Data'!$A$3:$A$3390,O$1,'United Data'!$C$3:$C$3390,$A212)&gt;0,1,0)</f>
        <v>1</v>
      </c>
      <c r="P212">
        <f>IF(COUNTIFS('United Data'!$A$3:$A$3390,P$1,'United Data'!$C$3:$C$3390,$A212)&gt;0,1,0)</f>
        <v>1</v>
      </c>
      <c r="Q212">
        <f>IF(COUNTIFS('United Data'!$A$3:$A$3390,Q$1,'United Data'!$C$3:$C$3390,$A212)&gt;0,1,0)</f>
        <v>1</v>
      </c>
      <c r="R212">
        <f>IF(COUNTIFS('United Data'!$A$3:$A$3390,R$1,'United Data'!$C$3:$C$3390,$A212)&gt;0,1,0)</f>
        <v>0</v>
      </c>
      <c r="S212">
        <f t="shared" si="6"/>
        <v>7</v>
      </c>
      <c r="T212">
        <f t="shared" si="7"/>
        <v>4</v>
      </c>
    </row>
    <row r="213" spans="1:20" x14ac:dyDescent="0.2">
      <c r="A213" t="s">
        <v>279</v>
      </c>
      <c r="B213">
        <f>IF(COUNTIFS('United Data'!$A$3:$A$3390,B$1,'United Data'!$C$3:$C$3390,$A213)&gt;0,1,0)</f>
        <v>0</v>
      </c>
      <c r="C213">
        <f>IF(COUNTIFS('United Data'!$A$3:$A$3390,C$1,'United Data'!$C$3:$C$3390,$A213)&gt;0,1,0)</f>
        <v>0</v>
      </c>
      <c r="D213">
        <f>IF(COUNTIFS('United Data'!$A$3:$A$3390,D$1,'United Data'!$C$3:$C$3390,$A213)&gt;0,1,0)</f>
        <v>0</v>
      </c>
      <c r="E213">
        <f>IF(COUNTIFS('United Data'!$A$3:$A$3390,E$1,'United Data'!$C$3:$C$3390,$A213)&gt;0,1,0)</f>
        <v>1</v>
      </c>
      <c r="F213">
        <f>IF(COUNTIFS('United Data'!$A$3:$A$3390,F$1,'United Data'!$C$3:$C$3390,$A213)&gt;0,1,0)</f>
        <v>0</v>
      </c>
      <c r="G213">
        <f>IF(COUNTIFS('United Data'!$A$3:$A$3390,G$1,'United Data'!$C$3:$C$3390,$A213)&gt;0,1,0)</f>
        <v>0</v>
      </c>
      <c r="H213">
        <f>IF(COUNTIFS('United Data'!$A$3:$A$3390,H$1,'United Data'!$C$3:$C$3390,$A213)&gt;0,1,0)</f>
        <v>0</v>
      </c>
      <c r="I213">
        <f>IF(COUNTIFS('United Data'!$A$3:$A$3390,I$1,'United Data'!$C$3:$C$3390,$A213)&gt;0,1,0)</f>
        <v>0</v>
      </c>
      <c r="J213">
        <f>IF(COUNTIFS('United Data'!$A$3:$A$3390,J$1,'United Data'!$C$3:$C$3390,$A213)&gt;0,1,0)</f>
        <v>0</v>
      </c>
      <c r="K213">
        <f>IF(COUNTIFS('United Data'!$A$3:$A$3390,K$1,'United Data'!$C$3:$C$3390,$A213)&gt;0,1,0)</f>
        <v>0</v>
      </c>
      <c r="L213">
        <f>IF(COUNTIFS('United Data'!$A$3:$A$3390,L$1,'United Data'!$C$3:$C$3390,$A213)&gt;0,1,0)</f>
        <v>0</v>
      </c>
      <c r="M213">
        <f>IF(COUNTIFS('United Data'!$A$3:$A$3390,M$1,'United Data'!$C$3:$C$3390,$A213)&gt;0,1,0)</f>
        <v>0</v>
      </c>
      <c r="N213">
        <f>IF(COUNTIFS('United Data'!$A$3:$A$3390,N$1,'United Data'!$C$3:$C$3390,$A213)&gt;0,1,0)</f>
        <v>0</v>
      </c>
      <c r="O213">
        <f>IF(COUNTIFS('United Data'!$A$3:$A$3390,O$1,'United Data'!$C$3:$C$3390,$A213)&gt;0,1,0)</f>
        <v>0</v>
      </c>
      <c r="P213">
        <f>IF(COUNTIFS('United Data'!$A$3:$A$3390,P$1,'United Data'!$C$3:$C$3390,$A213)&gt;0,1,0)</f>
        <v>0</v>
      </c>
      <c r="Q213">
        <f>IF(COUNTIFS('United Data'!$A$3:$A$3390,Q$1,'United Data'!$C$3:$C$3390,$A213)&gt;0,1,0)</f>
        <v>0</v>
      </c>
      <c r="R213">
        <f>IF(COUNTIFS('United Data'!$A$3:$A$3390,R$1,'United Data'!$C$3:$C$3390,$A213)&gt;0,1,0)</f>
        <v>0</v>
      </c>
      <c r="S213">
        <f t="shared" si="6"/>
        <v>1</v>
      </c>
      <c r="T213">
        <f t="shared" si="7"/>
        <v>1</v>
      </c>
    </row>
    <row r="214" spans="1:20" x14ac:dyDescent="0.2">
      <c r="A214" t="s">
        <v>281</v>
      </c>
      <c r="B214">
        <f>IF(COUNTIFS('United Data'!$A$3:$A$3390,B$1,'United Data'!$C$3:$C$3390,$A214)&gt;0,1,0)</f>
        <v>0</v>
      </c>
      <c r="C214">
        <f>IF(COUNTIFS('United Data'!$A$3:$A$3390,C$1,'United Data'!$C$3:$C$3390,$A214)&gt;0,1,0)</f>
        <v>0</v>
      </c>
      <c r="D214">
        <f>IF(COUNTIFS('United Data'!$A$3:$A$3390,D$1,'United Data'!$C$3:$C$3390,$A214)&gt;0,1,0)</f>
        <v>0</v>
      </c>
      <c r="E214">
        <f>IF(COUNTIFS('United Data'!$A$3:$A$3390,E$1,'United Data'!$C$3:$C$3390,$A214)&gt;0,1,0)</f>
        <v>1</v>
      </c>
      <c r="F214">
        <f>IF(COUNTIFS('United Data'!$A$3:$A$3390,F$1,'United Data'!$C$3:$C$3390,$A214)&gt;0,1,0)</f>
        <v>1</v>
      </c>
      <c r="G214">
        <f>IF(COUNTIFS('United Data'!$A$3:$A$3390,G$1,'United Data'!$C$3:$C$3390,$A214)&gt;0,1,0)</f>
        <v>0</v>
      </c>
      <c r="H214">
        <f>IF(COUNTIFS('United Data'!$A$3:$A$3390,H$1,'United Data'!$C$3:$C$3390,$A214)&gt;0,1,0)</f>
        <v>1</v>
      </c>
      <c r="I214">
        <f>IF(COUNTIFS('United Data'!$A$3:$A$3390,I$1,'United Data'!$C$3:$C$3390,$A214)&gt;0,1,0)</f>
        <v>1</v>
      </c>
      <c r="J214">
        <f>IF(COUNTIFS('United Data'!$A$3:$A$3390,J$1,'United Data'!$C$3:$C$3390,$A214)&gt;0,1,0)</f>
        <v>0</v>
      </c>
      <c r="K214">
        <f>IF(COUNTIFS('United Data'!$A$3:$A$3390,K$1,'United Data'!$C$3:$C$3390,$A214)&gt;0,1,0)</f>
        <v>0</v>
      </c>
      <c r="L214">
        <f>IF(COUNTIFS('United Data'!$A$3:$A$3390,L$1,'United Data'!$C$3:$C$3390,$A214)&gt;0,1,0)</f>
        <v>0</v>
      </c>
      <c r="M214">
        <f>IF(COUNTIFS('United Data'!$A$3:$A$3390,M$1,'United Data'!$C$3:$C$3390,$A214)&gt;0,1,0)</f>
        <v>0</v>
      </c>
      <c r="N214">
        <f>IF(COUNTIFS('United Data'!$A$3:$A$3390,N$1,'United Data'!$C$3:$C$3390,$A214)&gt;0,1,0)</f>
        <v>0</v>
      </c>
      <c r="O214">
        <f>IF(COUNTIFS('United Data'!$A$3:$A$3390,O$1,'United Data'!$C$3:$C$3390,$A214)&gt;0,1,0)</f>
        <v>0</v>
      </c>
      <c r="P214">
        <f>IF(COUNTIFS('United Data'!$A$3:$A$3390,P$1,'United Data'!$C$3:$C$3390,$A214)&gt;0,1,0)</f>
        <v>0</v>
      </c>
      <c r="Q214">
        <f>IF(COUNTIFS('United Data'!$A$3:$A$3390,Q$1,'United Data'!$C$3:$C$3390,$A214)&gt;0,1,0)</f>
        <v>0</v>
      </c>
      <c r="R214">
        <f>IF(COUNTIFS('United Data'!$A$3:$A$3390,R$1,'United Data'!$C$3:$C$3390,$A214)&gt;0,1,0)</f>
        <v>0</v>
      </c>
      <c r="S214">
        <f t="shared" si="6"/>
        <v>4</v>
      </c>
      <c r="T214">
        <f t="shared" si="7"/>
        <v>2</v>
      </c>
    </row>
    <row r="215" spans="1:20" x14ac:dyDescent="0.2">
      <c r="A215" t="s">
        <v>282</v>
      </c>
      <c r="B215">
        <f>IF(COUNTIFS('United Data'!$A$3:$A$3390,B$1,'United Data'!$C$3:$C$3390,$A215)&gt;0,1,0)</f>
        <v>0</v>
      </c>
      <c r="C215">
        <f>IF(COUNTIFS('United Data'!$A$3:$A$3390,C$1,'United Data'!$C$3:$C$3390,$A215)&gt;0,1,0)</f>
        <v>0</v>
      </c>
      <c r="D215">
        <f>IF(COUNTIFS('United Data'!$A$3:$A$3390,D$1,'United Data'!$C$3:$C$3390,$A215)&gt;0,1,0)</f>
        <v>0</v>
      </c>
      <c r="E215">
        <f>IF(COUNTIFS('United Data'!$A$3:$A$3390,E$1,'United Data'!$C$3:$C$3390,$A215)&gt;0,1,0)</f>
        <v>1</v>
      </c>
      <c r="F215">
        <f>IF(COUNTIFS('United Data'!$A$3:$A$3390,F$1,'United Data'!$C$3:$C$3390,$A215)&gt;0,1,0)</f>
        <v>0</v>
      </c>
      <c r="G215">
        <f>IF(COUNTIFS('United Data'!$A$3:$A$3390,G$1,'United Data'!$C$3:$C$3390,$A215)&gt;0,1,0)</f>
        <v>0</v>
      </c>
      <c r="H215">
        <f>IF(COUNTIFS('United Data'!$A$3:$A$3390,H$1,'United Data'!$C$3:$C$3390,$A215)&gt;0,1,0)</f>
        <v>0</v>
      </c>
      <c r="I215">
        <f>IF(COUNTIFS('United Data'!$A$3:$A$3390,I$1,'United Data'!$C$3:$C$3390,$A215)&gt;0,1,0)</f>
        <v>0</v>
      </c>
      <c r="J215">
        <f>IF(COUNTIFS('United Data'!$A$3:$A$3390,J$1,'United Data'!$C$3:$C$3390,$A215)&gt;0,1,0)</f>
        <v>1</v>
      </c>
      <c r="K215">
        <f>IF(COUNTIFS('United Data'!$A$3:$A$3390,K$1,'United Data'!$C$3:$C$3390,$A215)&gt;0,1,0)</f>
        <v>0</v>
      </c>
      <c r="L215">
        <f>IF(COUNTIFS('United Data'!$A$3:$A$3390,L$1,'United Data'!$C$3:$C$3390,$A215)&gt;0,1,0)</f>
        <v>1</v>
      </c>
      <c r="M215">
        <f>IF(COUNTIFS('United Data'!$A$3:$A$3390,M$1,'United Data'!$C$3:$C$3390,$A215)&gt;0,1,0)</f>
        <v>1</v>
      </c>
      <c r="N215">
        <f>IF(COUNTIFS('United Data'!$A$3:$A$3390,N$1,'United Data'!$C$3:$C$3390,$A215)&gt;0,1,0)</f>
        <v>1</v>
      </c>
      <c r="O215">
        <f>IF(COUNTIFS('United Data'!$A$3:$A$3390,O$1,'United Data'!$C$3:$C$3390,$A215)&gt;0,1,0)</f>
        <v>1</v>
      </c>
      <c r="P215">
        <f>IF(COUNTIFS('United Data'!$A$3:$A$3390,P$1,'United Data'!$C$3:$C$3390,$A215)&gt;0,1,0)</f>
        <v>0</v>
      </c>
      <c r="Q215">
        <f>IF(COUNTIFS('United Data'!$A$3:$A$3390,Q$1,'United Data'!$C$3:$C$3390,$A215)&gt;0,1,0)</f>
        <v>0</v>
      </c>
      <c r="R215">
        <f>IF(COUNTIFS('United Data'!$A$3:$A$3390,R$1,'United Data'!$C$3:$C$3390,$A215)&gt;0,1,0)</f>
        <v>0</v>
      </c>
      <c r="S215">
        <f t="shared" si="6"/>
        <v>6</v>
      </c>
      <c r="T215">
        <f t="shared" si="7"/>
        <v>3</v>
      </c>
    </row>
    <row r="216" spans="1:20" x14ac:dyDescent="0.2">
      <c r="A216" t="s">
        <v>283</v>
      </c>
      <c r="B216">
        <f>IF(COUNTIFS('United Data'!$A$3:$A$3390,B$1,'United Data'!$C$3:$C$3390,$A216)&gt;0,1,0)</f>
        <v>0</v>
      </c>
      <c r="C216">
        <f>IF(COUNTIFS('United Data'!$A$3:$A$3390,C$1,'United Data'!$C$3:$C$3390,$A216)&gt;0,1,0)</f>
        <v>1</v>
      </c>
      <c r="D216">
        <f>IF(COUNTIFS('United Data'!$A$3:$A$3390,D$1,'United Data'!$C$3:$C$3390,$A216)&gt;0,1,0)</f>
        <v>1</v>
      </c>
      <c r="E216">
        <f>IF(COUNTIFS('United Data'!$A$3:$A$3390,E$1,'United Data'!$C$3:$C$3390,$A216)&gt;0,1,0)</f>
        <v>1</v>
      </c>
      <c r="F216">
        <f>IF(COUNTIFS('United Data'!$A$3:$A$3390,F$1,'United Data'!$C$3:$C$3390,$A216)&gt;0,1,0)</f>
        <v>1</v>
      </c>
      <c r="G216">
        <f>IF(COUNTIFS('United Data'!$A$3:$A$3390,G$1,'United Data'!$C$3:$C$3390,$A216)&gt;0,1,0)</f>
        <v>0</v>
      </c>
      <c r="H216">
        <f>IF(COUNTIFS('United Data'!$A$3:$A$3390,H$1,'United Data'!$C$3:$C$3390,$A216)&gt;0,1,0)</f>
        <v>0</v>
      </c>
      <c r="I216">
        <f>IF(COUNTIFS('United Data'!$A$3:$A$3390,I$1,'United Data'!$C$3:$C$3390,$A216)&gt;0,1,0)</f>
        <v>0</v>
      </c>
      <c r="J216">
        <f>IF(COUNTIFS('United Data'!$A$3:$A$3390,J$1,'United Data'!$C$3:$C$3390,$A216)&gt;0,1,0)</f>
        <v>0</v>
      </c>
      <c r="K216">
        <f>IF(COUNTIFS('United Data'!$A$3:$A$3390,K$1,'United Data'!$C$3:$C$3390,$A216)&gt;0,1,0)</f>
        <v>1</v>
      </c>
      <c r="L216">
        <f>IF(COUNTIFS('United Data'!$A$3:$A$3390,L$1,'United Data'!$C$3:$C$3390,$A216)&gt;0,1,0)</f>
        <v>0</v>
      </c>
      <c r="M216">
        <f>IF(COUNTIFS('United Data'!$A$3:$A$3390,M$1,'United Data'!$C$3:$C$3390,$A216)&gt;0,1,0)</f>
        <v>0</v>
      </c>
      <c r="N216">
        <f>IF(COUNTIFS('United Data'!$A$3:$A$3390,N$1,'United Data'!$C$3:$C$3390,$A216)&gt;0,1,0)</f>
        <v>0</v>
      </c>
      <c r="O216">
        <f>IF(COUNTIFS('United Data'!$A$3:$A$3390,O$1,'United Data'!$C$3:$C$3390,$A216)&gt;0,1,0)</f>
        <v>0</v>
      </c>
      <c r="P216">
        <f>IF(COUNTIFS('United Data'!$A$3:$A$3390,P$1,'United Data'!$C$3:$C$3390,$A216)&gt;0,1,0)</f>
        <v>0</v>
      </c>
      <c r="Q216">
        <f>IF(COUNTIFS('United Data'!$A$3:$A$3390,Q$1,'United Data'!$C$3:$C$3390,$A216)&gt;0,1,0)</f>
        <v>0</v>
      </c>
      <c r="R216">
        <f>IF(COUNTIFS('United Data'!$A$3:$A$3390,R$1,'United Data'!$C$3:$C$3390,$A216)&gt;0,1,0)</f>
        <v>0</v>
      </c>
      <c r="S216">
        <f t="shared" si="6"/>
        <v>5</v>
      </c>
      <c r="T216">
        <f t="shared" si="7"/>
        <v>2</v>
      </c>
    </row>
    <row r="217" spans="1:20" x14ac:dyDescent="0.2">
      <c r="A217" t="s">
        <v>284</v>
      </c>
      <c r="B217">
        <f>IF(COUNTIFS('United Data'!$A$3:$A$3390,B$1,'United Data'!$C$3:$C$3390,$A217)&gt;0,1,0)</f>
        <v>0</v>
      </c>
      <c r="C217">
        <f>IF(COUNTIFS('United Data'!$A$3:$A$3390,C$1,'United Data'!$C$3:$C$3390,$A217)&gt;0,1,0)</f>
        <v>0</v>
      </c>
      <c r="D217">
        <f>IF(COUNTIFS('United Data'!$A$3:$A$3390,D$1,'United Data'!$C$3:$C$3390,$A217)&gt;0,1,0)</f>
        <v>0</v>
      </c>
      <c r="E217">
        <f>IF(COUNTIFS('United Data'!$A$3:$A$3390,E$1,'United Data'!$C$3:$C$3390,$A217)&gt;0,1,0)</f>
        <v>0</v>
      </c>
      <c r="F217">
        <f>IF(COUNTIFS('United Data'!$A$3:$A$3390,F$1,'United Data'!$C$3:$C$3390,$A217)&gt;0,1,0)</f>
        <v>1</v>
      </c>
      <c r="G217">
        <f>IF(COUNTIFS('United Data'!$A$3:$A$3390,G$1,'United Data'!$C$3:$C$3390,$A217)&gt;0,1,0)</f>
        <v>0</v>
      </c>
      <c r="H217">
        <f>IF(COUNTIFS('United Data'!$A$3:$A$3390,H$1,'United Data'!$C$3:$C$3390,$A217)&gt;0,1,0)</f>
        <v>0</v>
      </c>
      <c r="I217">
        <f>IF(COUNTIFS('United Data'!$A$3:$A$3390,I$1,'United Data'!$C$3:$C$3390,$A217)&gt;0,1,0)</f>
        <v>0</v>
      </c>
      <c r="J217">
        <f>IF(COUNTIFS('United Data'!$A$3:$A$3390,J$1,'United Data'!$C$3:$C$3390,$A217)&gt;0,1,0)</f>
        <v>0</v>
      </c>
      <c r="K217">
        <f>IF(COUNTIFS('United Data'!$A$3:$A$3390,K$1,'United Data'!$C$3:$C$3390,$A217)&gt;0,1,0)</f>
        <v>0</v>
      </c>
      <c r="L217">
        <f>IF(COUNTIFS('United Data'!$A$3:$A$3390,L$1,'United Data'!$C$3:$C$3390,$A217)&gt;0,1,0)</f>
        <v>0</v>
      </c>
      <c r="M217">
        <f>IF(COUNTIFS('United Data'!$A$3:$A$3390,M$1,'United Data'!$C$3:$C$3390,$A217)&gt;0,1,0)</f>
        <v>0</v>
      </c>
      <c r="N217">
        <f>IF(COUNTIFS('United Data'!$A$3:$A$3390,N$1,'United Data'!$C$3:$C$3390,$A217)&gt;0,1,0)</f>
        <v>0</v>
      </c>
      <c r="O217">
        <f>IF(COUNTIFS('United Data'!$A$3:$A$3390,O$1,'United Data'!$C$3:$C$3390,$A217)&gt;0,1,0)</f>
        <v>0</v>
      </c>
      <c r="P217">
        <f>IF(COUNTIFS('United Data'!$A$3:$A$3390,P$1,'United Data'!$C$3:$C$3390,$A217)&gt;0,1,0)</f>
        <v>0</v>
      </c>
      <c r="Q217">
        <f>IF(COUNTIFS('United Data'!$A$3:$A$3390,Q$1,'United Data'!$C$3:$C$3390,$A217)&gt;0,1,0)</f>
        <v>0</v>
      </c>
      <c r="R217">
        <f>IF(COUNTIFS('United Data'!$A$3:$A$3390,R$1,'United Data'!$C$3:$C$3390,$A217)&gt;0,1,0)</f>
        <v>0</v>
      </c>
      <c r="S217">
        <f t="shared" si="6"/>
        <v>1</v>
      </c>
      <c r="T217">
        <f t="shared" si="7"/>
        <v>1</v>
      </c>
    </row>
    <row r="218" spans="1:20" x14ac:dyDescent="0.2">
      <c r="A218" t="s">
        <v>285</v>
      </c>
      <c r="B218">
        <f>IF(COUNTIFS('United Data'!$A$3:$A$3390,B$1,'United Data'!$C$3:$C$3390,$A218)&gt;0,1,0)</f>
        <v>0</v>
      </c>
      <c r="C218">
        <f>IF(COUNTIFS('United Data'!$A$3:$A$3390,C$1,'United Data'!$C$3:$C$3390,$A218)&gt;0,1,0)</f>
        <v>0</v>
      </c>
      <c r="D218">
        <f>IF(COUNTIFS('United Data'!$A$3:$A$3390,D$1,'United Data'!$C$3:$C$3390,$A218)&gt;0,1,0)</f>
        <v>0</v>
      </c>
      <c r="E218">
        <f>IF(COUNTIFS('United Data'!$A$3:$A$3390,E$1,'United Data'!$C$3:$C$3390,$A218)&gt;0,1,0)</f>
        <v>0</v>
      </c>
      <c r="F218">
        <f>IF(COUNTIFS('United Data'!$A$3:$A$3390,F$1,'United Data'!$C$3:$C$3390,$A218)&gt;0,1,0)</f>
        <v>1</v>
      </c>
      <c r="G218">
        <f>IF(COUNTIFS('United Data'!$A$3:$A$3390,G$1,'United Data'!$C$3:$C$3390,$A218)&gt;0,1,0)</f>
        <v>0</v>
      </c>
      <c r="H218">
        <f>IF(COUNTIFS('United Data'!$A$3:$A$3390,H$1,'United Data'!$C$3:$C$3390,$A218)&gt;0,1,0)</f>
        <v>0</v>
      </c>
      <c r="I218">
        <f>IF(COUNTIFS('United Data'!$A$3:$A$3390,I$1,'United Data'!$C$3:$C$3390,$A218)&gt;0,1,0)</f>
        <v>0</v>
      </c>
      <c r="J218">
        <f>IF(COUNTIFS('United Data'!$A$3:$A$3390,J$1,'United Data'!$C$3:$C$3390,$A218)&gt;0,1,0)</f>
        <v>0</v>
      </c>
      <c r="K218">
        <f>IF(COUNTIFS('United Data'!$A$3:$A$3390,K$1,'United Data'!$C$3:$C$3390,$A218)&gt;0,1,0)</f>
        <v>1</v>
      </c>
      <c r="L218">
        <f>IF(COUNTIFS('United Data'!$A$3:$A$3390,L$1,'United Data'!$C$3:$C$3390,$A218)&gt;0,1,0)</f>
        <v>0</v>
      </c>
      <c r="M218">
        <f>IF(COUNTIFS('United Data'!$A$3:$A$3390,M$1,'United Data'!$C$3:$C$3390,$A218)&gt;0,1,0)</f>
        <v>0</v>
      </c>
      <c r="N218">
        <f>IF(COUNTIFS('United Data'!$A$3:$A$3390,N$1,'United Data'!$C$3:$C$3390,$A218)&gt;0,1,0)</f>
        <v>0</v>
      </c>
      <c r="O218">
        <f>IF(COUNTIFS('United Data'!$A$3:$A$3390,O$1,'United Data'!$C$3:$C$3390,$A218)&gt;0,1,0)</f>
        <v>0</v>
      </c>
      <c r="P218">
        <f>IF(COUNTIFS('United Data'!$A$3:$A$3390,P$1,'United Data'!$C$3:$C$3390,$A218)&gt;0,1,0)</f>
        <v>0</v>
      </c>
      <c r="Q218">
        <f>IF(COUNTIFS('United Data'!$A$3:$A$3390,Q$1,'United Data'!$C$3:$C$3390,$A218)&gt;0,1,0)</f>
        <v>0</v>
      </c>
      <c r="R218">
        <f>IF(COUNTIFS('United Data'!$A$3:$A$3390,R$1,'United Data'!$C$3:$C$3390,$A218)&gt;0,1,0)</f>
        <v>0</v>
      </c>
      <c r="S218">
        <f t="shared" si="6"/>
        <v>2</v>
      </c>
      <c r="T218">
        <f t="shared" si="7"/>
        <v>2</v>
      </c>
    </row>
    <row r="219" spans="1:20" x14ac:dyDescent="0.2">
      <c r="A219" t="s">
        <v>286</v>
      </c>
      <c r="B219">
        <f>IF(COUNTIFS('United Data'!$A$3:$A$3390,B$1,'United Data'!$C$3:$C$3390,$A219)&gt;0,1,0)</f>
        <v>0</v>
      </c>
      <c r="C219">
        <f>IF(COUNTIFS('United Data'!$A$3:$A$3390,C$1,'United Data'!$C$3:$C$3390,$A219)&gt;0,1,0)</f>
        <v>1</v>
      </c>
      <c r="D219">
        <f>IF(COUNTIFS('United Data'!$A$3:$A$3390,D$1,'United Data'!$C$3:$C$3390,$A219)&gt;0,1,0)</f>
        <v>1</v>
      </c>
      <c r="E219">
        <f>IF(COUNTIFS('United Data'!$A$3:$A$3390,E$1,'United Data'!$C$3:$C$3390,$A219)&gt;0,1,0)</f>
        <v>0</v>
      </c>
      <c r="F219">
        <f>IF(COUNTIFS('United Data'!$A$3:$A$3390,F$1,'United Data'!$C$3:$C$3390,$A219)&gt;0,1,0)</f>
        <v>1</v>
      </c>
      <c r="G219">
        <f>IF(COUNTIFS('United Data'!$A$3:$A$3390,G$1,'United Data'!$C$3:$C$3390,$A219)&gt;0,1,0)</f>
        <v>1</v>
      </c>
      <c r="H219">
        <f>IF(COUNTIFS('United Data'!$A$3:$A$3390,H$1,'United Data'!$C$3:$C$3390,$A219)&gt;0,1,0)</f>
        <v>0</v>
      </c>
      <c r="I219">
        <f>IF(COUNTIFS('United Data'!$A$3:$A$3390,I$1,'United Data'!$C$3:$C$3390,$A219)&gt;0,1,0)</f>
        <v>1</v>
      </c>
      <c r="J219">
        <f>IF(COUNTIFS('United Data'!$A$3:$A$3390,J$1,'United Data'!$C$3:$C$3390,$A219)&gt;0,1,0)</f>
        <v>0</v>
      </c>
      <c r="K219">
        <f>IF(COUNTIFS('United Data'!$A$3:$A$3390,K$1,'United Data'!$C$3:$C$3390,$A219)&gt;0,1,0)</f>
        <v>0</v>
      </c>
      <c r="L219">
        <f>IF(COUNTIFS('United Data'!$A$3:$A$3390,L$1,'United Data'!$C$3:$C$3390,$A219)&gt;0,1,0)</f>
        <v>0</v>
      </c>
      <c r="M219">
        <f>IF(COUNTIFS('United Data'!$A$3:$A$3390,M$1,'United Data'!$C$3:$C$3390,$A219)&gt;0,1,0)</f>
        <v>1</v>
      </c>
      <c r="N219">
        <f>IF(COUNTIFS('United Data'!$A$3:$A$3390,N$1,'United Data'!$C$3:$C$3390,$A219)&gt;0,1,0)</f>
        <v>1</v>
      </c>
      <c r="O219">
        <f>IF(COUNTIFS('United Data'!$A$3:$A$3390,O$1,'United Data'!$C$3:$C$3390,$A219)&gt;0,1,0)</f>
        <v>1</v>
      </c>
      <c r="P219">
        <f>IF(COUNTIFS('United Data'!$A$3:$A$3390,P$1,'United Data'!$C$3:$C$3390,$A219)&gt;0,1,0)</f>
        <v>0</v>
      </c>
      <c r="Q219">
        <f>IF(COUNTIFS('United Data'!$A$3:$A$3390,Q$1,'United Data'!$C$3:$C$3390,$A219)&gt;0,1,0)</f>
        <v>1</v>
      </c>
      <c r="R219">
        <f>IF(COUNTIFS('United Data'!$A$3:$A$3390,R$1,'United Data'!$C$3:$C$3390,$A219)&gt;0,1,0)</f>
        <v>0</v>
      </c>
      <c r="S219">
        <f t="shared" si="6"/>
        <v>9</v>
      </c>
      <c r="T219">
        <f t="shared" si="7"/>
        <v>5</v>
      </c>
    </row>
    <row r="220" spans="1:20" x14ac:dyDescent="0.2">
      <c r="A220" t="s">
        <v>287</v>
      </c>
      <c r="B220">
        <f>IF(COUNTIFS('United Data'!$A$3:$A$3390,B$1,'United Data'!$C$3:$C$3390,$A220)&gt;0,1,0)</f>
        <v>0</v>
      </c>
      <c r="C220">
        <f>IF(COUNTIFS('United Data'!$A$3:$A$3390,C$1,'United Data'!$C$3:$C$3390,$A220)&gt;0,1,0)</f>
        <v>0</v>
      </c>
      <c r="D220">
        <f>IF(COUNTIFS('United Data'!$A$3:$A$3390,D$1,'United Data'!$C$3:$C$3390,$A220)&gt;0,1,0)</f>
        <v>0</v>
      </c>
      <c r="E220">
        <f>IF(COUNTIFS('United Data'!$A$3:$A$3390,E$1,'United Data'!$C$3:$C$3390,$A220)&gt;0,1,0)</f>
        <v>0</v>
      </c>
      <c r="F220">
        <f>IF(COUNTIFS('United Data'!$A$3:$A$3390,F$1,'United Data'!$C$3:$C$3390,$A220)&gt;0,1,0)</f>
        <v>1</v>
      </c>
      <c r="G220">
        <f>IF(COUNTIFS('United Data'!$A$3:$A$3390,G$1,'United Data'!$C$3:$C$3390,$A220)&gt;0,1,0)</f>
        <v>0</v>
      </c>
      <c r="H220">
        <f>IF(COUNTIFS('United Data'!$A$3:$A$3390,H$1,'United Data'!$C$3:$C$3390,$A220)&gt;0,1,0)</f>
        <v>0</v>
      </c>
      <c r="I220">
        <f>IF(COUNTIFS('United Data'!$A$3:$A$3390,I$1,'United Data'!$C$3:$C$3390,$A220)&gt;0,1,0)</f>
        <v>1</v>
      </c>
      <c r="J220">
        <f>IF(COUNTIFS('United Data'!$A$3:$A$3390,J$1,'United Data'!$C$3:$C$3390,$A220)&gt;0,1,0)</f>
        <v>0</v>
      </c>
      <c r="K220">
        <f>IF(COUNTIFS('United Data'!$A$3:$A$3390,K$1,'United Data'!$C$3:$C$3390,$A220)&gt;0,1,0)</f>
        <v>0</v>
      </c>
      <c r="L220">
        <f>IF(COUNTIFS('United Data'!$A$3:$A$3390,L$1,'United Data'!$C$3:$C$3390,$A220)&gt;0,1,0)</f>
        <v>0</v>
      </c>
      <c r="M220">
        <f>IF(COUNTIFS('United Data'!$A$3:$A$3390,M$1,'United Data'!$C$3:$C$3390,$A220)&gt;0,1,0)</f>
        <v>1</v>
      </c>
      <c r="N220">
        <f>IF(COUNTIFS('United Data'!$A$3:$A$3390,N$1,'United Data'!$C$3:$C$3390,$A220)&gt;0,1,0)</f>
        <v>1</v>
      </c>
      <c r="O220">
        <f>IF(COUNTIFS('United Data'!$A$3:$A$3390,O$1,'United Data'!$C$3:$C$3390,$A220)&gt;0,1,0)</f>
        <v>0</v>
      </c>
      <c r="P220">
        <f>IF(COUNTIFS('United Data'!$A$3:$A$3390,P$1,'United Data'!$C$3:$C$3390,$A220)&gt;0,1,0)</f>
        <v>0</v>
      </c>
      <c r="Q220">
        <f>IF(COUNTIFS('United Data'!$A$3:$A$3390,Q$1,'United Data'!$C$3:$C$3390,$A220)&gt;0,1,0)</f>
        <v>0</v>
      </c>
      <c r="R220">
        <f>IF(COUNTIFS('United Data'!$A$3:$A$3390,R$1,'United Data'!$C$3:$C$3390,$A220)&gt;0,1,0)</f>
        <v>0</v>
      </c>
      <c r="S220">
        <f t="shared" si="6"/>
        <v>4</v>
      </c>
      <c r="T220">
        <f t="shared" si="7"/>
        <v>3</v>
      </c>
    </row>
    <row r="221" spans="1:20" x14ac:dyDescent="0.2">
      <c r="A221" t="s">
        <v>288</v>
      </c>
      <c r="B221">
        <f>IF(COUNTIFS('United Data'!$A$3:$A$3390,B$1,'United Data'!$C$3:$C$3390,$A221)&gt;0,1,0)</f>
        <v>0</v>
      </c>
      <c r="C221">
        <f>IF(COUNTIFS('United Data'!$A$3:$A$3390,C$1,'United Data'!$C$3:$C$3390,$A221)&gt;0,1,0)</f>
        <v>1</v>
      </c>
      <c r="D221">
        <f>IF(COUNTIFS('United Data'!$A$3:$A$3390,D$1,'United Data'!$C$3:$C$3390,$A221)&gt;0,1,0)</f>
        <v>1</v>
      </c>
      <c r="E221">
        <f>IF(COUNTIFS('United Data'!$A$3:$A$3390,E$1,'United Data'!$C$3:$C$3390,$A221)&gt;0,1,0)</f>
        <v>0</v>
      </c>
      <c r="F221">
        <f>IF(COUNTIFS('United Data'!$A$3:$A$3390,F$1,'United Data'!$C$3:$C$3390,$A221)&gt;0,1,0)</f>
        <v>1</v>
      </c>
      <c r="G221">
        <f>IF(COUNTIFS('United Data'!$A$3:$A$3390,G$1,'United Data'!$C$3:$C$3390,$A221)&gt;0,1,0)</f>
        <v>0</v>
      </c>
      <c r="H221">
        <f>IF(COUNTIFS('United Data'!$A$3:$A$3390,H$1,'United Data'!$C$3:$C$3390,$A221)&gt;0,1,0)</f>
        <v>0</v>
      </c>
      <c r="I221">
        <f>IF(COUNTIFS('United Data'!$A$3:$A$3390,I$1,'United Data'!$C$3:$C$3390,$A221)&gt;0,1,0)</f>
        <v>0</v>
      </c>
      <c r="J221">
        <f>IF(COUNTIFS('United Data'!$A$3:$A$3390,J$1,'United Data'!$C$3:$C$3390,$A221)&gt;0,1,0)</f>
        <v>0</v>
      </c>
      <c r="K221">
        <f>IF(COUNTIFS('United Data'!$A$3:$A$3390,K$1,'United Data'!$C$3:$C$3390,$A221)&gt;0,1,0)</f>
        <v>0</v>
      </c>
      <c r="L221">
        <f>IF(COUNTIFS('United Data'!$A$3:$A$3390,L$1,'United Data'!$C$3:$C$3390,$A221)&gt;0,1,0)</f>
        <v>0</v>
      </c>
      <c r="M221">
        <f>IF(COUNTIFS('United Data'!$A$3:$A$3390,M$1,'United Data'!$C$3:$C$3390,$A221)&gt;0,1,0)</f>
        <v>0</v>
      </c>
      <c r="N221">
        <f>IF(COUNTIFS('United Data'!$A$3:$A$3390,N$1,'United Data'!$C$3:$C$3390,$A221)&gt;0,1,0)</f>
        <v>0</v>
      </c>
      <c r="O221">
        <f>IF(COUNTIFS('United Data'!$A$3:$A$3390,O$1,'United Data'!$C$3:$C$3390,$A221)&gt;0,1,0)</f>
        <v>0</v>
      </c>
      <c r="P221">
        <f>IF(COUNTIFS('United Data'!$A$3:$A$3390,P$1,'United Data'!$C$3:$C$3390,$A221)&gt;0,1,0)</f>
        <v>0</v>
      </c>
      <c r="Q221">
        <f>IF(COUNTIFS('United Data'!$A$3:$A$3390,Q$1,'United Data'!$C$3:$C$3390,$A221)&gt;0,1,0)</f>
        <v>1</v>
      </c>
      <c r="R221">
        <f>IF(COUNTIFS('United Data'!$A$3:$A$3390,R$1,'United Data'!$C$3:$C$3390,$A221)&gt;0,1,0)</f>
        <v>0</v>
      </c>
      <c r="S221">
        <f t="shared" si="6"/>
        <v>4</v>
      </c>
      <c r="T221">
        <f t="shared" si="7"/>
        <v>3</v>
      </c>
    </row>
    <row r="222" spans="1:20" x14ac:dyDescent="0.2">
      <c r="A222" t="s">
        <v>289</v>
      </c>
      <c r="B222">
        <f>IF(COUNTIFS('United Data'!$A$3:$A$3390,B$1,'United Data'!$C$3:$C$3390,$A222)&gt;0,1,0)</f>
        <v>0</v>
      </c>
      <c r="C222">
        <f>IF(COUNTIFS('United Data'!$A$3:$A$3390,C$1,'United Data'!$C$3:$C$3390,$A222)&gt;0,1,0)</f>
        <v>0</v>
      </c>
      <c r="D222">
        <f>IF(COUNTIFS('United Data'!$A$3:$A$3390,D$1,'United Data'!$C$3:$C$3390,$A222)&gt;0,1,0)</f>
        <v>0</v>
      </c>
      <c r="E222">
        <f>IF(COUNTIFS('United Data'!$A$3:$A$3390,E$1,'United Data'!$C$3:$C$3390,$A222)&gt;0,1,0)</f>
        <v>0</v>
      </c>
      <c r="F222">
        <f>IF(COUNTIFS('United Data'!$A$3:$A$3390,F$1,'United Data'!$C$3:$C$3390,$A222)&gt;0,1,0)</f>
        <v>1</v>
      </c>
      <c r="G222">
        <f>IF(COUNTIFS('United Data'!$A$3:$A$3390,G$1,'United Data'!$C$3:$C$3390,$A222)&gt;0,1,0)</f>
        <v>0</v>
      </c>
      <c r="H222">
        <f>IF(COUNTIFS('United Data'!$A$3:$A$3390,H$1,'United Data'!$C$3:$C$3390,$A222)&gt;0,1,0)</f>
        <v>0</v>
      </c>
      <c r="I222">
        <f>IF(COUNTIFS('United Data'!$A$3:$A$3390,I$1,'United Data'!$C$3:$C$3390,$A222)&gt;0,1,0)</f>
        <v>0</v>
      </c>
      <c r="J222">
        <f>IF(COUNTIFS('United Data'!$A$3:$A$3390,J$1,'United Data'!$C$3:$C$3390,$A222)&gt;0,1,0)</f>
        <v>0</v>
      </c>
      <c r="K222">
        <f>IF(COUNTIFS('United Data'!$A$3:$A$3390,K$1,'United Data'!$C$3:$C$3390,$A222)&gt;0,1,0)</f>
        <v>0</v>
      </c>
      <c r="L222">
        <f>IF(COUNTIFS('United Data'!$A$3:$A$3390,L$1,'United Data'!$C$3:$C$3390,$A222)&gt;0,1,0)</f>
        <v>0</v>
      </c>
      <c r="M222">
        <f>IF(COUNTIFS('United Data'!$A$3:$A$3390,M$1,'United Data'!$C$3:$C$3390,$A222)&gt;0,1,0)</f>
        <v>0</v>
      </c>
      <c r="N222">
        <f>IF(COUNTIFS('United Data'!$A$3:$A$3390,N$1,'United Data'!$C$3:$C$3390,$A222)&gt;0,1,0)</f>
        <v>0</v>
      </c>
      <c r="O222">
        <f>IF(COUNTIFS('United Data'!$A$3:$A$3390,O$1,'United Data'!$C$3:$C$3390,$A222)&gt;0,1,0)</f>
        <v>0</v>
      </c>
      <c r="P222">
        <f>IF(COUNTIFS('United Data'!$A$3:$A$3390,P$1,'United Data'!$C$3:$C$3390,$A222)&gt;0,1,0)</f>
        <v>0</v>
      </c>
      <c r="Q222">
        <f>IF(COUNTIFS('United Data'!$A$3:$A$3390,Q$1,'United Data'!$C$3:$C$3390,$A222)&gt;0,1,0)</f>
        <v>0</v>
      </c>
      <c r="R222">
        <f>IF(COUNTIFS('United Data'!$A$3:$A$3390,R$1,'United Data'!$C$3:$C$3390,$A222)&gt;0,1,0)</f>
        <v>0</v>
      </c>
      <c r="S222">
        <f t="shared" si="6"/>
        <v>1</v>
      </c>
      <c r="T222">
        <f t="shared" si="7"/>
        <v>1</v>
      </c>
    </row>
    <row r="223" spans="1:20" x14ac:dyDescent="0.2">
      <c r="A223" t="s">
        <v>290</v>
      </c>
      <c r="B223">
        <f>IF(COUNTIFS('United Data'!$A$3:$A$3390,B$1,'United Data'!$C$3:$C$3390,$A223)&gt;0,1,0)</f>
        <v>0</v>
      </c>
      <c r="C223">
        <f>IF(COUNTIFS('United Data'!$A$3:$A$3390,C$1,'United Data'!$C$3:$C$3390,$A223)&gt;0,1,0)</f>
        <v>0</v>
      </c>
      <c r="D223">
        <f>IF(COUNTIFS('United Data'!$A$3:$A$3390,D$1,'United Data'!$C$3:$C$3390,$A223)&gt;0,1,0)</f>
        <v>0</v>
      </c>
      <c r="E223">
        <f>IF(COUNTIFS('United Data'!$A$3:$A$3390,E$1,'United Data'!$C$3:$C$3390,$A223)&gt;0,1,0)</f>
        <v>0</v>
      </c>
      <c r="F223">
        <f>IF(COUNTIFS('United Data'!$A$3:$A$3390,F$1,'United Data'!$C$3:$C$3390,$A223)&gt;0,1,0)</f>
        <v>1</v>
      </c>
      <c r="G223">
        <f>IF(COUNTIFS('United Data'!$A$3:$A$3390,G$1,'United Data'!$C$3:$C$3390,$A223)&gt;0,1,0)</f>
        <v>1</v>
      </c>
      <c r="H223">
        <f>IF(COUNTIFS('United Data'!$A$3:$A$3390,H$1,'United Data'!$C$3:$C$3390,$A223)&gt;0,1,0)</f>
        <v>0</v>
      </c>
      <c r="I223">
        <f>IF(COUNTIFS('United Data'!$A$3:$A$3390,I$1,'United Data'!$C$3:$C$3390,$A223)&gt;0,1,0)</f>
        <v>0</v>
      </c>
      <c r="J223">
        <f>IF(COUNTIFS('United Data'!$A$3:$A$3390,J$1,'United Data'!$C$3:$C$3390,$A223)&gt;0,1,0)</f>
        <v>0</v>
      </c>
      <c r="K223">
        <f>IF(COUNTIFS('United Data'!$A$3:$A$3390,K$1,'United Data'!$C$3:$C$3390,$A223)&gt;0,1,0)</f>
        <v>0</v>
      </c>
      <c r="L223">
        <f>IF(COUNTIFS('United Data'!$A$3:$A$3390,L$1,'United Data'!$C$3:$C$3390,$A223)&gt;0,1,0)</f>
        <v>0</v>
      </c>
      <c r="M223">
        <f>IF(COUNTIFS('United Data'!$A$3:$A$3390,M$1,'United Data'!$C$3:$C$3390,$A223)&gt;0,1,0)</f>
        <v>0</v>
      </c>
      <c r="N223">
        <f>IF(COUNTIFS('United Data'!$A$3:$A$3390,N$1,'United Data'!$C$3:$C$3390,$A223)&gt;0,1,0)</f>
        <v>0</v>
      </c>
      <c r="O223">
        <f>IF(COUNTIFS('United Data'!$A$3:$A$3390,O$1,'United Data'!$C$3:$C$3390,$A223)&gt;0,1,0)</f>
        <v>0</v>
      </c>
      <c r="P223">
        <f>IF(COUNTIFS('United Data'!$A$3:$A$3390,P$1,'United Data'!$C$3:$C$3390,$A223)&gt;0,1,0)</f>
        <v>0</v>
      </c>
      <c r="Q223">
        <f>IF(COUNTIFS('United Data'!$A$3:$A$3390,Q$1,'United Data'!$C$3:$C$3390,$A223)&gt;0,1,0)</f>
        <v>0</v>
      </c>
      <c r="R223">
        <f>IF(COUNTIFS('United Data'!$A$3:$A$3390,R$1,'United Data'!$C$3:$C$3390,$A223)&gt;0,1,0)</f>
        <v>0</v>
      </c>
      <c r="S223">
        <f t="shared" si="6"/>
        <v>2</v>
      </c>
      <c r="T223">
        <f t="shared" si="7"/>
        <v>1</v>
      </c>
    </row>
    <row r="224" spans="1:20" x14ac:dyDescent="0.2">
      <c r="A224" t="s">
        <v>294</v>
      </c>
      <c r="B224">
        <f>IF(COUNTIFS('United Data'!$A$3:$A$3390,B$1,'United Data'!$C$3:$C$3390,$A224)&gt;0,1,0)</f>
        <v>0</v>
      </c>
      <c r="C224">
        <f>IF(COUNTIFS('United Data'!$A$3:$A$3390,C$1,'United Data'!$C$3:$C$3390,$A224)&gt;0,1,0)</f>
        <v>0</v>
      </c>
      <c r="D224">
        <f>IF(COUNTIFS('United Data'!$A$3:$A$3390,D$1,'United Data'!$C$3:$C$3390,$A224)&gt;0,1,0)</f>
        <v>0</v>
      </c>
      <c r="E224">
        <f>IF(COUNTIFS('United Data'!$A$3:$A$3390,E$1,'United Data'!$C$3:$C$3390,$A224)&gt;0,1,0)</f>
        <v>0</v>
      </c>
      <c r="F224">
        <f>IF(COUNTIFS('United Data'!$A$3:$A$3390,F$1,'United Data'!$C$3:$C$3390,$A224)&gt;0,1,0)</f>
        <v>0</v>
      </c>
      <c r="G224">
        <f>IF(COUNTIFS('United Data'!$A$3:$A$3390,G$1,'United Data'!$C$3:$C$3390,$A224)&gt;0,1,0)</f>
        <v>1</v>
      </c>
      <c r="H224">
        <f>IF(COUNTIFS('United Data'!$A$3:$A$3390,H$1,'United Data'!$C$3:$C$3390,$A224)&gt;0,1,0)</f>
        <v>0</v>
      </c>
      <c r="I224">
        <f>IF(COUNTIFS('United Data'!$A$3:$A$3390,I$1,'United Data'!$C$3:$C$3390,$A224)&gt;0,1,0)</f>
        <v>0</v>
      </c>
      <c r="J224">
        <f>IF(COUNTIFS('United Data'!$A$3:$A$3390,J$1,'United Data'!$C$3:$C$3390,$A224)&gt;0,1,0)</f>
        <v>0</v>
      </c>
      <c r="K224">
        <f>IF(COUNTIFS('United Data'!$A$3:$A$3390,K$1,'United Data'!$C$3:$C$3390,$A224)&gt;0,1,0)</f>
        <v>1</v>
      </c>
      <c r="L224">
        <f>IF(COUNTIFS('United Data'!$A$3:$A$3390,L$1,'United Data'!$C$3:$C$3390,$A224)&gt;0,1,0)</f>
        <v>0</v>
      </c>
      <c r="M224">
        <f>IF(COUNTIFS('United Data'!$A$3:$A$3390,M$1,'United Data'!$C$3:$C$3390,$A224)&gt;0,1,0)</f>
        <v>0</v>
      </c>
      <c r="N224">
        <f>IF(COUNTIFS('United Data'!$A$3:$A$3390,N$1,'United Data'!$C$3:$C$3390,$A224)&gt;0,1,0)</f>
        <v>0</v>
      </c>
      <c r="O224">
        <f>IF(COUNTIFS('United Data'!$A$3:$A$3390,O$1,'United Data'!$C$3:$C$3390,$A224)&gt;0,1,0)</f>
        <v>0</v>
      </c>
      <c r="P224">
        <f>IF(COUNTIFS('United Data'!$A$3:$A$3390,P$1,'United Data'!$C$3:$C$3390,$A224)&gt;0,1,0)</f>
        <v>0</v>
      </c>
      <c r="Q224">
        <f>IF(COUNTIFS('United Data'!$A$3:$A$3390,Q$1,'United Data'!$C$3:$C$3390,$A224)&gt;0,1,0)</f>
        <v>0</v>
      </c>
      <c r="R224">
        <f>IF(COUNTIFS('United Data'!$A$3:$A$3390,R$1,'United Data'!$C$3:$C$3390,$A224)&gt;0,1,0)</f>
        <v>0</v>
      </c>
      <c r="S224">
        <f t="shared" si="6"/>
        <v>2</v>
      </c>
      <c r="T224">
        <f t="shared" si="7"/>
        <v>2</v>
      </c>
    </row>
    <row r="225" spans="1:20" x14ac:dyDescent="0.2">
      <c r="A225" t="s">
        <v>296</v>
      </c>
      <c r="B225">
        <f>IF(COUNTIFS('United Data'!$A$3:$A$3390,B$1,'United Data'!$C$3:$C$3390,$A225)&gt;0,1,0)</f>
        <v>0</v>
      </c>
      <c r="C225">
        <f>IF(COUNTIFS('United Data'!$A$3:$A$3390,C$1,'United Data'!$C$3:$C$3390,$A225)&gt;0,1,0)</f>
        <v>0</v>
      </c>
      <c r="D225">
        <f>IF(COUNTIFS('United Data'!$A$3:$A$3390,D$1,'United Data'!$C$3:$C$3390,$A225)&gt;0,1,0)</f>
        <v>0</v>
      </c>
      <c r="E225">
        <f>IF(COUNTIFS('United Data'!$A$3:$A$3390,E$1,'United Data'!$C$3:$C$3390,$A225)&gt;0,1,0)</f>
        <v>0</v>
      </c>
      <c r="F225">
        <f>IF(COUNTIFS('United Data'!$A$3:$A$3390,F$1,'United Data'!$C$3:$C$3390,$A225)&gt;0,1,0)</f>
        <v>0</v>
      </c>
      <c r="G225">
        <f>IF(COUNTIFS('United Data'!$A$3:$A$3390,G$1,'United Data'!$C$3:$C$3390,$A225)&gt;0,1,0)</f>
        <v>1</v>
      </c>
      <c r="H225">
        <f>IF(COUNTIFS('United Data'!$A$3:$A$3390,H$1,'United Data'!$C$3:$C$3390,$A225)&gt;0,1,0)</f>
        <v>0</v>
      </c>
      <c r="I225">
        <f>IF(COUNTIFS('United Data'!$A$3:$A$3390,I$1,'United Data'!$C$3:$C$3390,$A225)&gt;0,1,0)</f>
        <v>0</v>
      </c>
      <c r="J225">
        <f>IF(COUNTIFS('United Data'!$A$3:$A$3390,J$1,'United Data'!$C$3:$C$3390,$A225)&gt;0,1,0)</f>
        <v>0</v>
      </c>
      <c r="K225">
        <f>IF(COUNTIFS('United Data'!$A$3:$A$3390,K$1,'United Data'!$C$3:$C$3390,$A225)&gt;0,1,0)</f>
        <v>1</v>
      </c>
      <c r="L225">
        <f>IF(COUNTIFS('United Data'!$A$3:$A$3390,L$1,'United Data'!$C$3:$C$3390,$A225)&gt;0,1,0)</f>
        <v>0</v>
      </c>
      <c r="M225">
        <f>IF(COUNTIFS('United Data'!$A$3:$A$3390,M$1,'United Data'!$C$3:$C$3390,$A225)&gt;0,1,0)</f>
        <v>0</v>
      </c>
      <c r="N225">
        <f>IF(COUNTIFS('United Data'!$A$3:$A$3390,N$1,'United Data'!$C$3:$C$3390,$A225)&gt;0,1,0)</f>
        <v>0</v>
      </c>
      <c r="O225">
        <f>IF(COUNTIFS('United Data'!$A$3:$A$3390,O$1,'United Data'!$C$3:$C$3390,$A225)&gt;0,1,0)</f>
        <v>0</v>
      </c>
      <c r="P225">
        <f>IF(COUNTIFS('United Data'!$A$3:$A$3390,P$1,'United Data'!$C$3:$C$3390,$A225)&gt;0,1,0)</f>
        <v>0</v>
      </c>
      <c r="Q225">
        <f>IF(COUNTIFS('United Data'!$A$3:$A$3390,Q$1,'United Data'!$C$3:$C$3390,$A225)&gt;0,1,0)</f>
        <v>0</v>
      </c>
      <c r="R225">
        <f>IF(COUNTIFS('United Data'!$A$3:$A$3390,R$1,'United Data'!$C$3:$C$3390,$A225)&gt;0,1,0)</f>
        <v>0</v>
      </c>
      <c r="S225">
        <f t="shared" si="6"/>
        <v>2</v>
      </c>
      <c r="T225">
        <f t="shared" si="7"/>
        <v>2</v>
      </c>
    </row>
    <row r="226" spans="1:20" x14ac:dyDescent="0.2">
      <c r="A226" t="s">
        <v>297</v>
      </c>
      <c r="B226">
        <f>IF(COUNTIFS('United Data'!$A$3:$A$3390,B$1,'United Data'!$C$3:$C$3390,$A226)&gt;0,1,0)</f>
        <v>0</v>
      </c>
      <c r="C226">
        <f>IF(COUNTIFS('United Data'!$A$3:$A$3390,C$1,'United Data'!$C$3:$C$3390,$A226)&gt;0,1,0)</f>
        <v>0</v>
      </c>
      <c r="D226">
        <f>IF(COUNTIFS('United Data'!$A$3:$A$3390,D$1,'United Data'!$C$3:$C$3390,$A226)&gt;0,1,0)</f>
        <v>0</v>
      </c>
      <c r="E226">
        <f>IF(COUNTIFS('United Data'!$A$3:$A$3390,E$1,'United Data'!$C$3:$C$3390,$A226)&gt;0,1,0)</f>
        <v>0</v>
      </c>
      <c r="F226">
        <f>IF(COUNTIFS('United Data'!$A$3:$A$3390,F$1,'United Data'!$C$3:$C$3390,$A226)&gt;0,1,0)</f>
        <v>0</v>
      </c>
      <c r="G226">
        <f>IF(COUNTIFS('United Data'!$A$3:$A$3390,G$1,'United Data'!$C$3:$C$3390,$A226)&gt;0,1,0)</f>
        <v>0</v>
      </c>
      <c r="H226">
        <f>IF(COUNTIFS('United Data'!$A$3:$A$3390,H$1,'United Data'!$C$3:$C$3390,$A226)&gt;0,1,0)</f>
        <v>1</v>
      </c>
      <c r="I226">
        <f>IF(COUNTIFS('United Data'!$A$3:$A$3390,I$1,'United Data'!$C$3:$C$3390,$A226)&gt;0,1,0)</f>
        <v>1</v>
      </c>
      <c r="J226">
        <f>IF(COUNTIFS('United Data'!$A$3:$A$3390,J$1,'United Data'!$C$3:$C$3390,$A226)&gt;0,1,0)</f>
        <v>1</v>
      </c>
      <c r="K226">
        <f>IF(COUNTIFS('United Data'!$A$3:$A$3390,K$1,'United Data'!$C$3:$C$3390,$A226)&gt;0,1,0)</f>
        <v>0</v>
      </c>
      <c r="L226">
        <f>IF(COUNTIFS('United Data'!$A$3:$A$3390,L$1,'United Data'!$C$3:$C$3390,$A226)&gt;0,1,0)</f>
        <v>0</v>
      </c>
      <c r="M226">
        <f>IF(COUNTIFS('United Data'!$A$3:$A$3390,M$1,'United Data'!$C$3:$C$3390,$A226)&gt;0,1,0)</f>
        <v>0</v>
      </c>
      <c r="N226">
        <f>IF(COUNTIFS('United Data'!$A$3:$A$3390,N$1,'United Data'!$C$3:$C$3390,$A226)&gt;0,1,0)</f>
        <v>0</v>
      </c>
      <c r="O226">
        <f>IF(COUNTIFS('United Data'!$A$3:$A$3390,O$1,'United Data'!$C$3:$C$3390,$A226)&gt;0,1,0)</f>
        <v>0</v>
      </c>
      <c r="P226">
        <f>IF(COUNTIFS('United Data'!$A$3:$A$3390,P$1,'United Data'!$C$3:$C$3390,$A226)&gt;0,1,0)</f>
        <v>0</v>
      </c>
      <c r="Q226">
        <f>IF(COUNTIFS('United Data'!$A$3:$A$3390,Q$1,'United Data'!$C$3:$C$3390,$A226)&gt;0,1,0)</f>
        <v>0</v>
      </c>
      <c r="R226">
        <f>IF(COUNTIFS('United Data'!$A$3:$A$3390,R$1,'United Data'!$C$3:$C$3390,$A226)&gt;0,1,0)</f>
        <v>0</v>
      </c>
      <c r="S226">
        <f t="shared" si="6"/>
        <v>3</v>
      </c>
      <c r="T226">
        <f t="shared" si="7"/>
        <v>1</v>
      </c>
    </row>
    <row r="227" spans="1:20" x14ac:dyDescent="0.2">
      <c r="A227" t="s">
        <v>298</v>
      </c>
      <c r="B227">
        <f>IF(COUNTIFS('United Data'!$A$3:$A$3390,B$1,'United Data'!$C$3:$C$3390,$A227)&gt;0,1,0)</f>
        <v>0</v>
      </c>
      <c r="C227">
        <f>IF(COUNTIFS('United Data'!$A$3:$A$3390,C$1,'United Data'!$C$3:$C$3390,$A227)&gt;0,1,0)</f>
        <v>0</v>
      </c>
      <c r="D227">
        <f>IF(COUNTIFS('United Data'!$A$3:$A$3390,D$1,'United Data'!$C$3:$C$3390,$A227)&gt;0,1,0)</f>
        <v>0</v>
      </c>
      <c r="E227">
        <f>IF(COUNTIFS('United Data'!$A$3:$A$3390,E$1,'United Data'!$C$3:$C$3390,$A227)&gt;0,1,0)</f>
        <v>0</v>
      </c>
      <c r="F227">
        <f>IF(COUNTIFS('United Data'!$A$3:$A$3390,F$1,'United Data'!$C$3:$C$3390,$A227)&gt;0,1,0)</f>
        <v>0</v>
      </c>
      <c r="G227">
        <f>IF(COUNTIFS('United Data'!$A$3:$A$3390,G$1,'United Data'!$C$3:$C$3390,$A227)&gt;0,1,0)</f>
        <v>0</v>
      </c>
      <c r="H227">
        <f>IF(COUNTIFS('United Data'!$A$3:$A$3390,H$1,'United Data'!$C$3:$C$3390,$A227)&gt;0,1,0)</f>
        <v>0</v>
      </c>
      <c r="I227">
        <f>IF(COUNTIFS('United Data'!$A$3:$A$3390,I$1,'United Data'!$C$3:$C$3390,$A227)&gt;0,1,0)</f>
        <v>1</v>
      </c>
      <c r="J227">
        <f>IF(COUNTIFS('United Data'!$A$3:$A$3390,J$1,'United Data'!$C$3:$C$3390,$A227)&gt;0,1,0)</f>
        <v>0</v>
      </c>
      <c r="K227">
        <f>IF(COUNTIFS('United Data'!$A$3:$A$3390,K$1,'United Data'!$C$3:$C$3390,$A227)&gt;0,1,0)</f>
        <v>0</v>
      </c>
      <c r="L227">
        <f>IF(COUNTIFS('United Data'!$A$3:$A$3390,L$1,'United Data'!$C$3:$C$3390,$A227)&gt;0,1,0)</f>
        <v>1</v>
      </c>
      <c r="M227">
        <f>IF(COUNTIFS('United Data'!$A$3:$A$3390,M$1,'United Data'!$C$3:$C$3390,$A227)&gt;0,1,0)</f>
        <v>0</v>
      </c>
      <c r="N227">
        <f>IF(COUNTIFS('United Data'!$A$3:$A$3390,N$1,'United Data'!$C$3:$C$3390,$A227)&gt;0,1,0)</f>
        <v>1</v>
      </c>
      <c r="O227">
        <f>IF(COUNTIFS('United Data'!$A$3:$A$3390,O$1,'United Data'!$C$3:$C$3390,$A227)&gt;0,1,0)</f>
        <v>0</v>
      </c>
      <c r="P227">
        <f>IF(COUNTIFS('United Data'!$A$3:$A$3390,P$1,'United Data'!$C$3:$C$3390,$A227)&gt;0,1,0)</f>
        <v>0</v>
      </c>
      <c r="Q227">
        <f>IF(COUNTIFS('United Data'!$A$3:$A$3390,Q$1,'United Data'!$C$3:$C$3390,$A227)&gt;0,1,0)</f>
        <v>0</v>
      </c>
      <c r="R227">
        <f>IF(COUNTIFS('United Data'!$A$3:$A$3390,R$1,'United Data'!$C$3:$C$3390,$A227)&gt;0,1,0)</f>
        <v>0</v>
      </c>
      <c r="S227">
        <f t="shared" si="6"/>
        <v>3</v>
      </c>
      <c r="T227">
        <f t="shared" si="7"/>
        <v>3</v>
      </c>
    </row>
    <row r="228" spans="1:20" x14ac:dyDescent="0.2">
      <c r="A228" t="s">
        <v>299</v>
      </c>
      <c r="B228">
        <f>IF(COUNTIFS('United Data'!$A$3:$A$3390,B$1,'United Data'!$C$3:$C$3390,$A228)&gt;0,1,0)</f>
        <v>0</v>
      </c>
      <c r="C228">
        <f>IF(COUNTIFS('United Data'!$A$3:$A$3390,C$1,'United Data'!$C$3:$C$3390,$A228)&gt;0,1,0)</f>
        <v>0</v>
      </c>
      <c r="D228">
        <f>IF(COUNTIFS('United Data'!$A$3:$A$3390,D$1,'United Data'!$C$3:$C$3390,$A228)&gt;0,1,0)</f>
        <v>0</v>
      </c>
      <c r="E228">
        <f>IF(COUNTIFS('United Data'!$A$3:$A$3390,E$1,'United Data'!$C$3:$C$3390,$A228)&gt;0,1,0)</f>
        <v>0</v>
      </c>
      <c r="F228">
        <f>IF(COUNTIFS('United Data'!$A$3:$A$3390,F$1,'United Data'!$C$3:$C$3390,$A228)&gt;0,1,0)</f>
        <v>0</v>
      </c>
      <c r="G228">
        <f>IF(COUNTIFS('United Data'!$A$3:$A$3390,G$1,'United Data'!$C$3:$C$3390,$A228)&gt;0,1,0)</f>
        <v>0</v>
      </c>
      <c r="H228">
        <f>IF(COUNTIFS('United Data'!$A$3:$A$3390,H$1,'United Data'!$C$3:$C$3390,$A228)&gt;0,1,0)</f>
        <v>0</v>
      </c>
      <c r="I228">
        <f>IF(COUNTIFS('United Data'!$A$3:$A$3390,I$1,'United Data'!$C$3:$C$3390,$A228)&gt;0,1,0)</f>
        <v>1</v>
      </c>
      <c r="J228">
        <f>IF(COUNTIFS('United Data'!$A$3:$A$3390,J$1,'United Data'!$C$3:$C$3390,$A228)&gt;0,1,0)</f>
        <v>0</v>
      </c>
      <c r="K228">
        <f>IF(COUNTIFS('United Data'!$A$3:$A$3390,K$1,'United Data'!$C$3:$C$3390,$A228)&gt;0,1,0)</f>
        <v>0</v>
      </c>
      <c r="L228">
        <f>IF(COUNTIFS('United Data'!$A$3:$A$3390,L$1,'United Data'!$C$3:$C$3390,$A228)&gt;0,1,0)</f>
        <v>0</v>
      </c>
      <c r="M228">
        <f>IF(COUNTIFS('United Data'!$A$3:$A$3390,M$1,'United Data'!$C$3:$C$3390,$A228)&gt;0,1,0)</f>
        <v>0</v>
      </c>
      <c r="N228">
        <f>IF(COUNTIFS('United Data'!$A$3:$A$3390,N$1,'United Data'!$C$3:$C$3390,$A228)&gt;0,1,0)</f>
        <v>0</v>
      </c>
      <c r="O228">
        <f>IF(COUNTIFS('United Data'!$A$3:$A$3390,O$1,'United Data'!$C$3:$C$3390,$A228)&gt;0,1,0)</f>
        <v>0</v>
      </c>
      <c r="P228">
        <f>IF(COUNTIFS('United Data'!$A$3:$A$3390,P$1,'United Data'!$C$3:$C$3390,$A228)&gt;0,1,0)</f>
        <v>0</v>
      </c>
      <c r="Q228">
        <f>IF(COUNTIFS('United Data'!$A$3:$A$3390,Q$1,'United Data'!$C$3:$C$3390,$A228)&gt;0,1,0)</f>
        <v>0</v>
      </c>
      <c r="R228">
        <f>IF(COUNTIFS('United Data'!$A$3:$A$3390,R$1,'United Data'!$C$3:$C$3390,$A228)&gt;0,1,0)</f>
        <v>0</v>
      </c>
      <c r="S228">
        <f t="shared" si="6"/>
        <v>1</v>
      </c>
      <c r="T228">
        <f t="shared" si="7"/>
        <v>1</v>
      </c>
    </row>
    <row r="229" spans="1:20" x14ac:dyDescent="0.2">
      <c r="A229" t="s">
        <v>300</v>
      </c>
      <c r="B229">
        <f>IF(COUNTIFS('United Data'!$A$3:$A$3390,B$1,'United Data'!$C$3:$C$3390,$A229)&gt;0,1,0)</f>
        <v>0</v>
      </c>
      <c r="C229">
        <f>IF(COUNTIFS('United Data'!$A$3:$A$3390,C$1,'United Data'!$C$3:$C$3390,$A229)&gt;0,1,0)</f>
        <v>0</v>
      </c>
      <c r="D229">
        <f>IF(COUNTIFS('United Data'!$A$3:$A$3390,D$1,'United Data'!$C$3:$C$3390,$A229)&gt;0,1,0)</f>
        <v>0</v>
      </c>
      <c r="E229">
        <f>IF(COUNTIFS('United Data'!$A$3:$A$3390,E$1,'United Data'!$C$3:$C$3390,$A229)&gt;0,1,0)</f>
        <v>0</v>
      </c>
      <c r="F229">
        <f>IF(COUNTIFS('United Data'!$A$3:$A$3390,F$1,'United Data'!$C$3:$C$3390,$A229)&gt;0,1,0)</f>
        <v>0</v>
      </c>
      <c r="G229">
        <f>IF(COUNTIFS('United Data'!$A$3:$A$3390,G$1,'United Data'!$C$3:$C$3390,$A229)&gt;0,1,0)</f>
        <v>0</v>
      </c>
      <c r="H229">
        <f>IF(COUNTIFS('United Data'!$A$3:$A$3390,H$1,'United Data'!$C$3:$C$3390,$A229)&gt;0,1,0)</f>
        <v>0</v>
      </c>
      <c r="I229">
        <f>IF(COUNTIFS('United Data'!$A$3:$A$3390,I$1,'United Data'!$C$3:$C$3390,$A229)&gt;0,1,0)</f>
        <v>0</v>
      </c>
      <c r="J229">
        <f>IF(COUNTIFS('United Data'!$A$3:$A$3390,J$1,'United Data'!$C$3:$C$3390,$A229)&gt;0,1,0)</f>
        <v>1</v>
      </c>
      <c r="K229">
        <f>IF(COUNTIFS('United Data'!$A$3:$A$3390,K$1,'United Data'!$C$3:$C$3390,$A229)&gt;0,1,0)</f>
        <v>0</v>
      </c>
      <c r="L229">
        <f>IF(COUNTIFS('United Data'!$A$3:$A$3390,L$1,'United Data'!$C$3:$C$3390,$A229)&gt;0,1,0)</f>
        <v>0</v>
      </c>
      <c r="M229">
        <f>IF(COUNTIFS('United Data'!$A$3:$A$3390,M$1,'United Data'!$C$3:$C$3390,$A229)&gt;0,1,0)</f>
        <v>0</v>
      </c>
      <c r="N229">
        <f>IF(COUNTIFS('United Data'!$A$3:$A$3390,N$1,'United Data'!$C$3:$C$3390,$A229)&gt;0,1,0)</f>
        <v>0</v>
      </c>
      <c r="O229">
        <f>IF(COUNTIFS('United Data'!$A$3:$A$3390,O$1,'United Data'!$C$3:$C$3390,$A229)&gt;0,1,0)</f>
        <v>0</v>
      </c>
      <c r="P229">
        <f>IF(COUNTIFS('United Data'!$A$3:$A$3390,P$1,'United Data'!$C$3:$C$3390,$A229)&gt;0,1,0)</f>
        <v>0</v>
      </c>
      <c r="Q229">
        <f>IF(COUNTIFS('United Data'!$A$3:$A$3390,Q$1,'United Data'!$C$3:$C$3390,$A229)&gt;0,1,0)</f>
        <v>0</v>
      </c>
      <c r="R229">
        <f>IF(COUNTIFS('United Data'!$A$3:$A$3390,R$1,'United Data'!$C$3:$C$3390,$A229)&gt;0,1,0)</f>
        <v>0</v>
      </c>
      <c r="S229">
        <f t="shared" si="6"/>
        <v>1</v>
      </c>
      <c r="T229">
        <f t="shared" si="7"/>
        <v>1</v>
      </c>
    </row>
    <row r="230" spans="1:20" x14ac:dyDescent="0.2">
      <c r="A230" t="s">
        <v>301</v>
      </c>
      <c r="B230">
        <f>IF(COUNTIFS('United Data'!$A$3:$A$3390,B$1,'United Data'!$C$3:$C$3390,$A230)&gt;0,1,0)</f>
        <v>0</v>
      </c>
      <c r="C230">
        <f>IF(COUNTIFS('United Data'!$A$3:$A$3390,C$1,'United Data'!$C$3:$C$3390,$A230)&gt;0,1,0)</f>
        <v>0</v>
      </c>
      <c r="D230">
        <f>IF(COUNTIFS('United Data'!$A$3:$A$3390,D$1,'United Data'!$C$3:$C$3390,$A230)&gt;0,1,0)</f>
        <v>0</v>
      </c>
      <c r="E230">
        <f>IF(COUNTIFS('United Data'!$A$3:$A$3390,E$1,'United Data'!$C$3:$C$3390,$A230)&gt;0,1,0)</f>
        <v>0</v>
      </c>
      <c r="F230">
        <f>IF(COUNTIFS('United Data'!$A$3:$A$3390,F$1,'United Data'!$C$3:$C$3390,$A230)&gt;0,1,0)</f>
        <v>0</v>
      </c>
      <c r="G230">
        <f>IF(COUNTIFS('United Data'!$A$3:$A$3390,G$1,'United Data'!$C$3:$C$3390,$A230)&gt;0,1,0)</f>
        <v>0</v>
      </c>
      <c r="H230">
        <f>IF(COUNTIFS('United Data'!$A$3:$A$3390,H$1,'United Data'!$C$3:$C$3390,$A230)&gt;0,1,0)</f>
        <v>0</v>
      </c>
      <c r="I230">
        <f>IF(COUNTIFS('United Data'!$A$3:$A$3390,I$1,'United Data'!$C$3:$C$3390,$A230)&gt;0,1,0)</f>
        <v>0</v>
      </c>
      <c r="J230">
        <f>IF(COUNTIFS('United Data'!$A$3:$A$3390,J$1,'United Data'!$C$3:$C$3390,$A230)&gt;0,1,0)</f>
        <v>0</v>
      </c>
      <c r="K230">
        <f>IF(COUNTIFS('United Data'!$A$3:$A$3390,K$1,'United Data'!$C$3:$C$3390,$A230)&gt;0,1,0)</f>
        <v>1</v>
      </c>
      <c r="L230">
        <f>IF(COUNTIFS('United Data'!$A$3:$A$3390,L$1,'United Data'!$C$3:$C$3390,$A230)&gt;0,1,0)</f>
        <v>0</v>
      </c>
      <c r="M230">
        <f>IF(COUNTIFS('United Data'!$A$3:$A$3390,M$1,'United Data'!$C$3:$C$3390,$A230)&gt;0,1,0)</f>
        <v>0</v>
      </c>
      <c r="N230">
        <f>IF(COUNTIFS('United Data'!$A$3:$A$3390,N$1,'United Data'!$C$3:$C$3390,$A230)&gt;0,1,0)</f>
        <v>0</v>
      </c>
      <c r="O230">
        <f>IF(COUNTIFS('United Data'!$A$3:$A$3390,O$1,'United Data'!$C$3:$C$3390,$A230)&gt;0,1,0)</f>
        <v>0</v>
      </c>
      <c r="P230">
        <f>IF(COUNTIFS('United Data'!$A$3:$A$3390,P$1,'United Data'!$C$3:$C$3390,$A230)&gt;0,1,0)</f>
        <v>0</v>
      </c>
      <c r="Q230">
        <f>IF(COUNTIFS('United Data'!$A$3:$A$3390,Q$1,'United Data'!$C$3:$C$3390,$A230)&gt;0,1,0)</f>
        <v>0</v>
      </c>
      <c r="R230">
        <f>IF(COUNTIFS('United Data'!$A$3:$A$3390,R$1,'United Data'!$C$3:$C$3390,$A230)&gt;0,1,0)</f>
        <v>0</v>
      </c>
      <c r="S230">
        <f t="shared" si="6"/>
        <v>1</v>
      </c>
      <c r="T230">
        <f t="shared" si="7"/>
        <v>1</v>
      </c>
    </row>
    <row r="231" spans="1:20" x14ac:dyDescent="0.2">
      <c r="A231" t="s">
        <v>302</v>
      </c>
      <c r="B231">
        <f>IF(COUNTIFS('United Data'!$A$3:$A$3390,B$1,'United Data'!$C$3:$C$3390,$A231)&gt;0,1,0)</f>
        <v>0</v>
      </c>
      <c r="C231">
        <f>IF(COUNTIFS('United Data'!$A$3:$A$3390,C$1,'United Data'!$C$3:$C$3390,$A231)&gt;0,1,0)</f>
        <v>0</v>
      </c>
      <c r="D231">
        <f>IF(COUNTIFS('United Data'!$A$3:$A$3390,D$1,'United Data'!$C$3:$C$3390,$A231)&gt;0,1,0)</f>
        <v>0</v>
      </c>
      <c r="E231">
        <f>IF(COUNTIFS('United Data'!$A$3:$A$3390,E$1,'United Data'!$C$3:$C$3390,$A231)&gt;0,1,0)</f>
        <v>0</v>
      </c>
      <c r="F231">
        <f>IF(COUNTIFS('United Data'!$A$3:$A$3390,F$1,'United Data'!$C$3:$C$3390,$A231)&gt;0,1,0)</f>
        <v>0</v>
      </c>
      <c r="G231">
        <f>IF(COUNTIFS('United Data'!$A$3:$A$3390,G$1,'United Data'!$C$3:$C$3390,$A231)&gt;0,1,0)</f>
        <v>0</v>
      </c>
      <c r="H231">
        <f>IF(COUNTIFS('United Data'!$A$3:$A$3390,H$1,'United Data'!$C$3:$C$3390,$A231)&gt;0,1,0)</f>
        <v>0</v>
      </c>
      <c r="I231">
        <f>IF(COUNTIFS('United Data'!$A$3:$A$3390,I$1,'United Data'!$C$3:$C$3390,$A231)&gt;0,1,0)</f>
        <v>0</v>
      </c>
      <c r="J231">
        <f>IF(COUNTIFS('United Data'!$A$3:$A$3390,J$1,'United Data'!$C$3:$C$3390,$A231)&gt;0,1,0)</f>
        <v>0</v>
      </c>
      <c r="K231">
        <f>IF(COUNTIFS('United Data'!$A$3:$A$3390,K$1,'United Data'!$C$3:$C$3390,$A231)&gt;0,1,0)</f>
        <v>0</v>
      </c>
      <c r="L231">
        <f>IF(COUNTIFS('United Data'!$A$3:$A$3390,L$1,'United Data'!$C$3:$C$3390,$A231)&gt;0,1,0)</f>
        <v>1</v>
      </c>
      <c r="M231">
        <f>IF(COUNTIFS('United Data'!$A$3:$A$3390,M$1,'United Data'!$C$3:$C$3390,$A231)&gt;0,1,0)</f>
        <v>1</v>
      </c>
      <c r="N231">
        <f>IF(COUNTIFS('United Data'!$A$3:$A$3390,N$1,'United Data'!$C$3:$C$3390,$A231)&gt;0,1,0)</f>
        <v>1</v>
      </c>
      <c r="O231">
        <f>IF(COUNTIFS('United Data'!$A$3:$A$3390,O$1,'United Data'!$C$3:$C$3390,$A231)&gt;0,1,0)</f>
        <v>0</v>
      </c>
      <c r="P231">
        <f>IF(COUNTIFS('United Data'!$A$3:$A$3390,P$1,'United Data'!$C$3:$C$3390,$A231)&gt;0,1,0)</f>
        <v>0</v>
      </c>
      <c r="Q231">
        <f>IF(COUNTIFS('United Data'!$A$3:$A$3390,Q$1,'United Data'!$C$3:$C$3390,$A231)&gt;0,1,0)</f>
        <v>0</v>
      </c>
      <c r="R231">
        <f>IF(COUNTIFS('United Data'!$A$3:$A$3390,R$1,'United Data'!$C$3:$C$3390,$A231)&gt;0,1,0)</f>
        <v>0</v>
      </c>
      <c r="S231">
        <f t="shared" si="6"/>
        <v>3</v>
      </c>
      <c r="T231">
        <f t="shared" si="7"/>
        <v>1</v>
      </c>
    </row>
    <row r="232" spans="1:20" x14ac:dyDescent="0.2">
      <c r="A232" t="s">
        <v>303</v>
      </c>
      <c r="B232">
        <f>IF(COUNTIFS('United Data'!$A$3:$A$3390,B$1,'United Data'!$C$3:$C$3390,$A232)&gt;0,1,0)</f>
        <v>0</v>
      </c>
      <c r="C232">
        <f>IF(COUNTIFS('United Data'!$A$3:$A$3390,C$1,'United Data'!$C$3:$C$3390,$A232)&gt;0,1,0)</f>
        <v>0</v>
      </c>
      <c r="D232">
        <f>IF(COUNTIFS('United Data'!$A$3:$A$3390,D$1,'United Data'!$C$3:$C$3390,$A232)&gt;0,1,0)</f>
        <v>0</v>
      </c>
      <c r="E232">
        <f>IF(COUNTIFS('United Data'!$A$3:$A$3390,E$1,'United Data'!$C$3:$C$3390,$A232)&gt;0,1,0)</f>
        <v>0</v>
      </c>
      <c r="F232">
        <f>IF(COUNTIFS('United Data'!$A$3:$A$3390,F$1,'United Data'!$C$3:$C$3390,$A232)&gt;0,1,0)</f>
        <v>0</v>
      </c>
      <c r="G232">
        <f>IF(COUNTIFS('United Data'!$A$3:$A$3390,G$1,'United Data'!$C$3:$C$3390,$A232)&gt;0,1,0)</f>
        <v>0</v>
      </c>
      <c r="H232">
        <f>IF(COUNTIFS('United Data'!$A$3:$A$3390,H$1,'United Data'!$C$3:$C$3390,$A232)&gt;0,1,0)</f>
        <v>0</v>
      </c>
      <c r="I232">
        <f>IF(COUNTIFS('United Data'!$A$3:$A$3390,I$1,'United Data'!$C$3:$C$3390,$A232)&gt;0,1,0)</f>
        <v>0</v>
      </c>
      <c r="J232">
        <f>IF(COUNTIFS('United Data'!$A$3:$A$3390,J$1,'United Data'!$C$3:$C$3390,$A232)&gt;0,1,0)</f>
        <v>0</v>
      </c>
      <c r="K232">
        <f>IF(COUNTIFS('United Data'!$A$3:$A$3390,K$1,'United Data'!$C$3:$C$3390,$A232)&gt;0,1,0)</f>
        <v>0</v>
      </c>
      <c r="L232">
        <f>IF(COUNTIFS('United Data'!$A$3:$A$3390,L$1,'United Data'!$C$3:$C$3390,$A232)&gt;0,1,0)</f>
        <v>1</v>
      </c>
      <c r="M232">
        <f>IF(COUNTIFS('United Data'!$A$3:$A$3390,M$1,'United Data'!$C$3:$C$3390,$A232)&gt;0,1,0)</f>
        <v>1</v>
      </c>
      <c r="N232">
        <f>IF(COUNTIFS('United Data'!$A$3:$A$3390,N$1,'United Data'!$C$3:$C$3390,$A232)&gt;0,1,0)</f>
        <v>1</v>
      </c>
      <c r="O232">
        <f>IF(COUNTIFS('United Data'!$A$3:$A$3390,O$1,'United Data'!$C$3:$C$3390,$A232)&gt;0,1,0)</f>
        <v>0</v>
      </c>
      <c r="P232">
        <f>IF(COUNTIFS('United Data'!$A$3:$A$3390,P$1,'United Data'!$C$3:$C$3390,$A232)&gt;0,1,0)</f>
        <v>0</v>
      </c>
      <c r="Q232">
        <f>IF(COUNTIFS('United Data'!$A$3:$A$3390,Q$1,'United Data'!$C$3:$C$3390,$A232)&gt;0,1,0)</f>
        <v>0</v>
      </c>
      <c r="R232">
        <f>IF(COUNTIFS('United Data'!$A$3:$A$3390,R$1,'United Data'!$C$3:$C$3390,$A232)&gt;0,1,0)</f>
        <v>0</v>
      </c>
      <c r="S232">
        <f t="shared" si="6"/>
        <v>3</v>
      </c>
      <c r="T232">
        <f t="shared" si="7"/>
        <v>1</v>
      </c>
    </row>
    <row r="233" spans="1:20" x14ac:dyDescent="0.2">
      <c r="A233" t="s">
        <v>304</v>
      </c>
      <c r="B233">
        <f>IF(COUNTIFS('United Data'!$A$3:$A$3390,B$1,'United Data'!$C$3:$C$3390,$A233)&gt;0,1,0)</f>
        <v>0</v>
      </c>
      <c r="C233">
        <f>IF(COUNTIFS('United Data'!$A$3:$A$3390,C$1,'United Data'!$C$3:$C$3390,$A233)&gt;0,1,0)</f>
        <v>0</v>
      </c>
      <c r="D233">
        <f>IF(COUNTIFS('United Data'!$A$3:$A$3390,D$1,'United Data'!$C$3:$C$3390,$A233)&gt;0,1,0)</f>
        <v>0</v>
      </c>
      <c r="E233">
        <f>IF(COUNTIFS('United Data'!$A$3:$A$3390,E$1,'United Data'!$C$3:$C$3390,$A233)&gt;0,1,0)</f>
        <v>0</v>
      </c>
      <c r="F233">
        <f>IF(COUNTIFS('United Data'!$A$3:$A$3390,F$1,'United Data'!$C$3:$C$3390,$A233)&gt;0,1,0)</f>
        <v>0</v>
      </c>
      <c r="G233">
        <f>IF(COUNTIFS('United Data'!$A$3:$A$3390,G$1,'United Data'!$C$3:$C$3390,$A233)&gt;0,1,0)</f>
        <v>0</v>
      </c>
      <c r="H233">
        <f>IF(COUNTIFS('United Data'!$A$3:$A$3390,H$1,'United Data'!$C$3:$C$3390,$A233)&gt;0,1,0)</f>
        <v>0</v>
      </c>
      <c r="I233">
        <f>IF(COUNTIFS('United Data'!$A$3:$A$3390,I$1,'United Data'!$C$3:$C$3390,$A233)&gt;0,1,0)</f>
        <v>0</v>
      </c>
      <c r="J233">
        <f>IF(COUNTIFS('United Data'!$A$3:$A$3390,J$1,'United Data'!$C$3:$C$3390,$A233)&gt;0,1,0)</f>
        <v>0</v>
      </c>
      <c r="K233">
        <f>IF(COUNTIFS('United Data'!$A$3:$A$3390,K$1,'United Data'!$C$3:$C$3390,$A233)&gt;0,1,0)</f>
        <v>0</v>
      </c>
      <c r="L233">
        <f>IF(COUNTIFS('United Data'!$A$3:$A$3390,L$1,'United Data'!$C$3:$C$3390,$A233)&gt;0,1,0)</f>
        <v>0</v>
      </c>
      <c r="M233">
        <f>IF(COUNTIFS('United Data'!$A$3:$A$3390,M$1,'United Data'!$C$3:$C$3390,$A233)&gt;0,1,0)</f>
        <v>1</v>
      </c>
      <c r="N233">
        <f>IF(COUNTIFS('United Data'!$A$3:$A$3390,N$1,'United Data'!$C$3:$C$3390,$A233)&gt;0,1,0)</f>
        <v>0</v>
      </c>
      <c r="O233">
        <f>IF(COUNTIFS('United Data'!$A$3:$A$3390,O$1,'United Data'!$C$3:$C$3390,$A233)&gt;0,1,0)</f>
        <v>1</v>
      </c>
      <c r="P233">
        <f>IF(COUNTIFS('United Data'!$A$3:$A$3390,P$1,'United Data'!$C$3:$C$3390,$A233)&gt;0,1,0)</f>
        <v>0</v>
      </c>
      <c r="Q233">
        <f>IF(COUNTIFS('United Data'!$A$3:$A$3390,Q$1,'United Data'!$C$3:$C$3390,$A233)&gt;0,1,0)</f>
        <v>0</v>
      </c>
      <c r="R233">
        <f>IF(COUNTIFS('United Data'!$A$3:$A$3390,R$1,'United Data'!$C$3:$C$3390,$A233)&gt;0,1,0)</f>
        <v>0</v>
      </c>
      <c r="S233">
        <f t="shared" si="6"/>
        <v>2</v>
      </c>
      <c r="T233">
        <f t="shared" si="7"/>
        <v>2</v>
      </c>
    </row>
    <row r="234" spans="1:20" x14ac:dyDescent="0.2">
      <c r="A234" t="s">
        <v>305</v>
      </c>
      <c r="B234">
        <f>IF(COUNTIFS('United Data'!$A$3:$A$3390,B$1,'United Data'!$C$3:$C$3390,$A234)&gt;0,1,0)</f>
        <v>0</v>
      </c>
      <c r="C234">
        <f>IF(COUNTIFS('United Data'!$A$3:$A$3390,C$1,'United Data'!$C$3:$C$3390,$A234)&gt;0,1,0)</f>
        <v>0</v>
      </c>
      <c r="D234">
        <f>IF(COUNTIFS('United Data'!$A$3:$A$3390,D$1,'United Data'!$C$3:$C$3390,$A234)&gt;0,1,0)</f>
        <v>0</v>
      </c>
      <c r="E234">
        <f>IF(COUNTIFS('United Data'!$A$3:$A$3390,E$1,'United Data'!$C$3:$C$3390,$A234)&gt;0,1,0)</f>
        <v>0</v>
      </c>
      <c r="F234">
        <f>IF(COUNTIFS('United Data'!$A$3:$A$3390,F$1,'United Data'!$C$3:$C$3390,$A234)&gt;0,1,0)</f>
        <v>0</v>
      </c>
      <c r="G234">
        <f>IF(COUNTIFS('United Data'!$A$3:$A$3390,G$1,'United Data'!$C$3:$C$3390,$A234)&gt;0,1,0)</f>
        <v>0</v>
      </c>
      <c r="H234">
        <f>IF(COUNTIFS('United Data'!$A$3:$A$3390,H$1,'United Data'!$C$3:$C$3390,$A234)&gt;0,1,0)</f>
        <v>0</v>
      </c>
      <c r="I234">
        <f>IF(COUNTIFS('United Data'!$A$3:$A$3390,I$1,'United Data'!$C$3:$C$3390,$A234)&gt;0,1,0)</f>
        <v>0</v>
      </c>
      <c r="J234">
        <f>IF(COUNTIFS('United Data'!$A$3:$A$3390,J$1,'United Data'!$C$3:$C$3390,$A234)&gt;0,1,0)</f>
        <v>0</v>
      </c>
      <c r="K234">
        <f>IF(COUNTIFS('United Data'!$A$3:$A$3390,K$1,'United Data'!$C$3:$C$3390,$A234)&gt;0,1,0)</f>
        <v>0</v>
      </c>
      <c r="L234">
        <f>IF(COUNTIFS('United Data'!$A$3:$A$3390,L$1,'United Data'!$C$3:$C$3390,$A234)&gt;0,1,0)</f>
        <v>0</v>
      </c>
      <c r="M234">
        <f>IF(COUNTIFS('United Data'!$A$3:$A$3390,M$1,'United Data'!$C$3:$C$3390,$A234)&gt;0,1,0)</f>
        <v>0</v>
      </c>
      <c r="N234">
        <f>IF(COUNTIFS('United Data'!$A$3:$A$3390,N$1,'United Data'!$C$3:$C$3390,$A234)&gt;0,1,0)</f>
        <v>1</v>
      </c>
      <c r="O234">
        <f>IF(COUNTIFS('United Data'!$A$3:$A$3390,O$1,'United Data'!$C$3:$C$3390,$A234)&gt;0,1,0)</f>
        <v>0</v>
      </c>
      <c r="P234">
        <f>IF(COUNTIFS('United Data'!$A$3:$A$3390,P$1,'United Data'!$C$3:$C$3390,$A234)&gt;0,1,0)</f>
        <v>0</v>
      </c>
      <c r="Q234">
        <f>IF(COUNTIFS('United Data'!$A$3:$A$3390,Q$1,'United Data'!$C$3:$C$3390,$A234)&gt;0,1,0)</f>
        <v>0</v>
      </c>
      <c r="R234">
        <f>IF(COUNTIFS('United Data'!$A$3:$A$3390,R$1,'United Data'!$C$3:$C$3390,$A234)&gt;0,1,0)</f>
        <v>0</v>
      </c>
      <c r="S234">
        <f t="shared" si="6"/>
        <v>1</v>
      </c>
      <c r="T234">
        <f t="shared" si="7"/>
        <v>1</v>
      </c>
    </row>
    <row r="235" spans="1:20" x14ac:dyDescent="0.2">
      <c r="A235" t="s">
        <v>306</v>
      </c>
      <c r="B235">
        <f>IF(COUNTIFS('United Data'!$A$3:$A$3390,B$1,'United Data'!$C$3:$C$3390,$A235)&gt;0,1,0)</f>
        <v>0</v>
      </c>
      <c r="C235">
        <f>IF(COUNTIFS('United Data'!$A$3:$A$3390,C$1,'United Data'!$C$3:$C$3390,$A235)&gt;0,1,0)</f>
        <v>0</v>
      </c>
      <c r="D235">
        <f>IF(COUNTIFS('United Data'!$A$3:$A$3390,D$1,'United Data'!$C$3:$C$3390,$A235)&gt;0,1,0)</f>
        <v>0</v>
      </c>
      <c r="E235">
        <f>IF(COUNTIFS('United Data'!$A$3:$A$3390,E$1,'United Data'!$C$3:$C$3390,$A235)&gt;0,1,0)</f>
        <v>0</v>
      </c>
      <c r="F235">
        <f>IF(COUNTIFS('United Data'!$A$3:$A$3390,F$1,'United Data'!$C$3:$C$3390,$A235)&gt;0,1,0)</f>
        <v>0</v>
      </c>
      <c r="G235">
        <f>IF(COUNTIFS('United Data'!$A$3:$A$3390,G$1,'United Data'!$C$3:$C$3390,$A235)&gt;0,1,0)</f>
        <v>0</v>
      </c>
      <c r="H235">
        <f>IF(COUNTIFS('United Data'!$A$3:$A$3390,H$1,'United Data'!$C$3:$C$3390,$A235)&gt;0,1,0)</f>
        <v>0</v>
      </c>
      <c r="I235">
        <f>IF(COUNTIFS('United Data'!$A$3:$A$3390,I$1,'United Data'!$C$3:$C$3390,$A235)&gt;0,1,0)</f>
        <v>0</v>
      </c>
      <c r="J235">
        <f>IF(COUNTIFS('United Data'!$A$3:$A$3390,J$1,'United Data'!$C$3:$C$3390,$A235)&gt;0,1,0)</f>
        <v>0</v>
      </c>
      <c r="K235">
        <f>IF(COUNTIFS('United Data'!$A$3:$A$3390,K$1,'United Data'!$C$3:$C$3390,$A235)&gt;0,1,0)</f>
        <v>0</v>
      </c>
      <c r="L235">
        <f>IF(COUNTIFS('United Data'!$A$3:$A$3390,L$1,'United Data'!$C$3:$C$3390,$A235)&gt;0,1,0)</f>
        <v>0</v>
      </c>
      <c r="M235">
        <f>IF(COUNTIFS('United Data'!$A$3:$A$3390,M$1,'United Data'!$C$3:$C$3390,$A235)&gt;0,1,0)</f>
        <v>0</v>
      </c>
      <c r="N235">
        <f>IF(COUNTIFS('United Data'!$A$3:$A$3390,N$1,'United Data'!$C$3:$C$3390,$A235)&gt;0,1,0)</f>
        <v>1</v>
      </c>
      <c r="O235">
        <f>IF(COUNTIFS('United Data'!$A$3:$A$3390,O$1,'United Data'!$C$3:$C$3390,$A235)&gt;0,1,0)</f>
        <v>0</v>
      </c>
      <c r="P235">
        <f>IF(COUNTIFS('United Data'!$A$3:$A$3390,P$1,'United Data'!$C$3:$C$3390,$A235)&gt;0,1,0)</f>
        <v>0</v>
      </c>
      <c r="Q235">
        <f>IF(COUNTIFS('United Data'!$A$3:$A$3390,Q$1,'United Data'!$C$3:$C$3390,$A235)&gt;0,1,0)</f>
        <v>0</v>
      </c>
      <c r="R235">
        <f>IF(COUNTIFS('United Data'!$A$3:$A$3390,R$1,'United Data'!$C$3:$C$3390,$A235)&gt;0,1,0)</f>
        <v>0</v>
      </c>
      <c r="S235">
        <f t="shared" si="6"/>
        <v>1</v>
      </c>
      <c r="T235">
        <f t="shared" si="7"/>
        <v>1</v>
      </c>
    </row>
    <row r="236" spans="1:20" x14ac:dyDescent="0.2">
      <c r="A236" t="s">
        <v>307</v>
      </c>
      <c r="B236">
        <f>IF(COUNTIFS('United Data'!$A$3:$A$3390,B$1,'United Data'!$C$3:$C$3390,$A236)&gt;0,1,0)</f>
        <v>0</v>
      </c>
      <c r="C236">
        <f>IF(COUNTIFS('United Data'!$A$3:$A$3390,C$1,'United Data'!$C$3:$C$3390,$A236)&gt;0,1,0)</f>
        <v>0</v>
      </c>
      <c r="D236">
        <f>IF(COUNTIFS('United Data'!$A$3:$A$3390,D$1,'United Data'!$C$3:$C$3390,$A236)&gt;0,1,0)</f>
        <v>0</v>
      </c>
      <c r="E236">
        <f>IF(COUNTIFS('United Data'!$A$3:$A$3390,E$1,'United Data'!$C$3:$C$3390,$A236)&gt;0,1,0)</f>
        <v>0</v>
      </c>
      <c r="F236">
        <f>IF(COUNTIFS('United Data'!$A$3:$A$3390,F$1,'United Data'!$C$3:$C$3390,$A236)&gt;0,1,0)</f>
        <v>0</v>
      </c>
      <c r="G236">
        <f>IF(COUNTIFS('United Data'!$A$3:$A$3390,G$1,'United Data'!$C$3:$C$3390,$A236)&gt;0,1,0)</f>
        <v>0</v>
      </c>
      <c r="H236">
        <f>IF(COUNTIFS('United Data'!$A$3:$A$3390,H$1,'United Data'!$C$3:$C$3390,$A236)&gt;0,1,0)</f>
        <v>0</v>
      </c>
      <c r="I236">
        <f>IF(COUNTIFS('United Data'!$A$3:$A$3390,I$1,'United Data'!$C$3:$C$3390,$A236)&gt;0,1,0)</f>
        <v>0</v>
      </c>
      <c r="J236">
        <f>IF(COUNTIFS('United Data'!$A$3:$A$3390,J$1,'United Data'!$C$3:$C$3390,$A236)&gt;0,1,0)</f>
        <v>0</v>
      </c>
      <c r="K236">
        <f>IF(COUNTIFS('United Data'!$A$3:$A$3390,K$1,'United Data'!$C$3:$C$3390,$A236)&gt;0,1,0)</f>
        <v>0</v>
      </c>
      <c r="L236">
        <f>IF(COUNTIFS('United Data'!$A$3:$A$3390,L$1,'United Data'!$C$3:$C$3390,$A236)&gt;0,1,0)</f>
        <v>0</v>
      </c>
      <c r="M236">
        <f>IF(COUNTIFS('United Data'!$A$3:$A$3390,M$1,'United Data'!$C$3:$C$3390,$A236)&gt;0,1,0)</f>
        <v>0</v>
      </c>
      <c r="N236">
        <f>IF(COUNTIFS('United Data'!$A$3:$A$3390,N$1,'United Data'!$C$3:$C$3390,$A236)&gt;0,1,0)</f>
        <v>1</v>
      </c>
      <c r="O236">
        <f>IF(COUNTIFS('United Data'!$A$3:$A$3390,O$1,'United Data'!$C$3:$C$3390,$A236)&gt;0,1,0)</f>
        <v>1</v>
      </c>
      <c r="P236">
        <f>IF(COUNTIFS('United Data'!$A$3:$A$3390,P$1,'United Data'!$C$3:$C$3390,$A236)&gt;0,1,0)</f>
        <v>0</v>
      </c>
      <c r="Q236">
        <f>IF(COUNTIFS('United Data'!$A$3:$A$3390,Q$1,'United Data'!$C$3:$C$3390,$A236)&gt;0,1,0)</f>
        <v>0</v>
      </c>
      <c r="R236">
        <f>IF(COUNTIFS('United Data'!$A$3:$A$3390,R$1,'United Data'!$C$3:$C$3390,$A236)&gt;0,1,0)</f>
        <v>0</v>
      </c>
      <c r="S236">
        <f t="shared" si="6"/>
        <v>2</v>
      </c>
      <c r="T236">
        <f t="shared" si="7"/>
        <v>1</v>
      </c>
    </row>
    <row r="237" spans="1:20" x14ac:dyDescent="0.2">
      <c r="A237" t="s">
        <v>309</v>
      </c>
      <c r="B237">
        <f>IF(COUNTIFS('United Data'!$A$3:$A$3390,B$1,'United Data'!$C$3:$C$3390,$A237)&gt;0,1,0)</f>
        <v>0</v>
      </c>
      <c r="C237">
        <f>IF(COUNTIFS('United Data'!$A$3:$A$3390,C$1,'United Data'!$C$3:$C$3390,$A237)&gt;0,1,0)</f>
        <v>0</v>
      </c>
      <c r="D237">
        <f>IF(COUNTIFS('United Data'!$A$3:$A$3390,D$1,'United Data'!$C$3:$C$3390,$A237)&gt;0,1,0)</f>
        <v>0</v>
      </c>
      <c r="E237">
        <f>IF(COUNTIFS('United Data'!$A$3:$A$3390,E$1,'United Data'!$C$3:$C$3390,$A237)&gt;0,1,0)</f>
        <v>1</v>
      </c>
      <c r="F237">
        <f>IF(COUNTIFS('United Data'!$A$3:$A$3390,F$1,'United Data'!$C$3:$C$3390,$A237)&gt;0,1,0)</f>
        <v>1</v>
      </c>
      <c r="G237">
        <f>IF(COUNTIFS('United Data'!$A$3:$A$3390,G$1,'United Data'!$C$3:$C$3390,$A237)&gt;0,1,0)</f>
        <v>1</v>
      </c>
      <c r="H237">
        <f>IF(COUNTIFS('United Data'!$A$3:$A$3390,H$1,'United Data'!$C$3:$C$3390,$A237)&gt;0,1,0)</f>
        <v>1</v>
      </c>
      <c r="I237">
        <f>IF(COUNTIFS('United Data'!$A$3:$A$3390,I$1,'United Data'!$C$3:$C$3390,$A237)&gt;0,1,0)</f>
        <v>0</v>
      </c>
      <c r="J237">
        <f>IF(COUNTIFS('United Data'!$A$3:$A$3390,J$1,'United Data'!$C$3:$C$3390,$A237)&gt;0,1,0)</f>
        <v>0</v>
      </c>
      <c r="K237">
        <f>IF(COUNTIFS('United Data'!$A$3:$A$3390,K$1,'United Data'!$C$3:$C$3390,$A237)&gt;0,1,0)</f>
        <v>0</v>
      </c>
      <c r="L237">
        <f>IF(COUNTIFS('United Data'!$A$3:$A$3390,L$1,'United Data'!$C$3:$C$3390,$A237)&gt;0,1,0)</f>
        <v>0</v>
      </c>
      <c r="M237">
        <f>IF(COUNTIFS('United Data'!$A$3:$A$3390,M$1,'United Data'!$C$3:$C$3390,$A237)&gt;0,1,0)</f>
        <v>1</v>
      </c>
      <c r="N237">
        <f>IF(COUNTIFS('United Data'!$A$3:$A$3390,N$1,'United Data'!$C$3:$C$3390,$A237)&gt;0,1,0)</f>
        <v>1</v>
      </c>
      <c r="O237">
        <f>IF(COUNTIFS('United Data'!$A$3:$A$3390,O$1,'United Data'!$C$3:$C$3390,$A237)&gt;0,1,0)</f>
        <v>1</v>
      </c>
      <c r="P237">
        <f>IF(COUNTIFS('United Data'!$A$3:$A$3390,P$1,'United Data'!$C$3:$C$3390,$A237)&gt;0,1,0)</f>
        <v>0</v>
      </c>
      <c r="Q237">
        <f>IF(COUNTIFS('United Data'!$A$3:$A$3390,Q$1,'United Data'!$C$3:$C$3390,$A237)&gt;0,1,0)</f>
        <v>0</v>
      </c>
      <c r="R237">
        <f>IF(COUNTIFS('United Data'!$A$3:$A$3390,R$1,'United Data'!$C$3:$C$3390,$A237)&gt;0,1,0)</f>
        <v>0</v>
      </c>
      <c r="S237">
        <f t="shared" si="6"/>
        <v>7</v>
      </c>
      <c r="T237">
        <f t="shared" si="7"/>
        <v>2</v>
      </c>
    </row>
    <row r="238" spans="1:20" x14ac:dyDescent="0.2">
      <c r="A238" t="s">
        <v>310</v>
      </c>
      <c r="B238">
        <f>IF(COUNTIFS('United Data'!$A$3:$A$3390,B$1,'United Data'!$C$3:$C$3390,$A238)&gt;0,1,0)</f>
        <v>0</v>
      </c>
      <c r="C238">
        <f>IF(COUNTIFS('United Data'!$A$3:$A$3390,C$1,'United Data'!$C$3:$C$3390,$A238)&gt;0,1,0)</f>
        <v>0</v>
      </c>
      <c r="D238">
        <f>IF(COUNTIFS('United Data'!$A$3:$A$3390,D$1,'United Data'!$C$3:$C$3390,$A238)&gt;0,1,0)</f>
        <v>0</v>
      </c>
      <c r="E238">
        <f>IF(COUNTIFS('United Data'!$A$3:$A$3390,E$1,'United Data'!$C$3:$C$3390,$A238)&gt;0,1,0)</f>
        <v>0</v>
      </c>
      <c r="F238">
        <f>IF(COUNTIFS('United Data'!$A$3:$A$3390,F$1,'United Data'!$C$3:$C$3390,$A238)&gt;0,1,0)</f>
        <v>0</v>
      </c>
      <c r="G238">
        <f>IF(COUNTIFS('United Data'!$A$3:$A$3390,G$1,'United Data'!$C$3:$C$3390,$A238)&gt;0,1,0)</f>
        <v>0</v>
      </c>
      <c r="H238">
        <f>IF(COUNTIFS('United Data'!$A$3:$A$3390,H$1,'United Data'!$C$3:$C$3390,$A238)&gt;0,1,0)</f>
        <v>0</v>
      </c>
      <c r="I238">
        <f>IF(COUNTIFS('United Data'!$A$3:$A$3390,I$1,'United Data'!$C$3:$C$3390,$A238)&gt;0,1,0)</f>
        <v>0</v>
      </c>
      <c r="J238">
        <f>IF(COUNTIFS('United Data'!$A$3:$A$3390,J$1,'United Data'!$C$3:$C$3390,$A238)&gt;0,1,0)</f>
        <v>0</v>
      </c>
      <c r="K238">
        <f>IF(COUNTIFS('United Data'!$A$3:$A$3390,K$1,'United Data'!$C$3:$C$3390,$A238)&gt;0,1,0)</f>
        <v>0</v>
      </c>
      <c r="L238">
        <f>IF(COUNTIFS('United Data'!$A$3:$A$3390,L$1,'United Data'!$C$3:$C$3390,$A238)&gt;0,1,0)</f>
        <v>0</v>
      </c>
      <c r="M238">
        <f>IF(COUNTIFS('United Data'!$A$3:$A$3390,M$1,'United Data'!$C$3:$C$3390,$A238)&gt;0,1,0)</f>
        <v>0</v>
      </c>
      <c r="N238">
        <f>IF(COUNTIFS('United Data'!$A$3:$A$3390,N$1,'United Data'!$C$3:$C$3390,$A238)&gt;0,1,0)</f>
        <v>0</v>
      </c>
      <c r="O238">
        <f>IF(COUNTIFS('United Data'!$A$3:$A$3390,O$1,'United Data'!$C$3:$C$3390,$A238)&gt;0,1,0)</f>
        <v>1</v>
      </c>
      <c r="P238">
        <f>IF(COUNTIFS('United Data'!$A$3:$A$3390,P$1,'United Data'!$C$3:$C$3390,$A238)&gt;0,1,0)</f>
        <v>0</v>
      </c>
      <c r="Q238">
        <f>IF(COUNTIFS('United Data'!$A$3:$A$3390,Q$1,'United Data'!$C$3:$C$3390,$A238)&gt;0,1,0)</f>
        <v>0</v>
      </c>
      <c r="R238">
        <f>IF(COUNTIFS('United Data'!$A$3:$A$3390,R$1,'United Data'!$C$3:$C$3390,$A238)&gt;0,1,0)</f>
        <v>0</v>
      </c>
      <c r="S238">
        <f t="shared" si="6"/>
        <v>1</v>
      </c>
      <c r="T238">
        <f t="shared" si="7"/>
        <v>1</v>
      </c>
    </row>
    <row r="239" spans="1:20" x14ac:dyDescent="0.2">
      <c r="A239" t="s">
        <v>311</v>
      </c>
      <c r="B239">
        <f>IF(COUNTIFS('United Data'!$A$3:$A$3390,B$1,'United Data'!$C$3:$C$3390,$A239)&gt;0,1,0)</f>
        <v>0</v>
      </c>
      <c r="C239">
        <f>IF(COUNTIFS('United Data'!$A$3:$A$3390,C$1,'United Data'!$C$3:$C$3390,$A239)&gt;0,1,0)</f>
        <v>0</v>
      </c>
      <c r="D239">
        <f>IF(COUNTIFS('United Data'!$A$3:$A$3390,D$1,'United Data'!$C$3:$C$3390,$A239)&gt;0,1,0)</f>
        <v>0</v>
      </c>
      <c r="E239">
        <f>IF(COUNTIFS('United Data'!$A$3:$A$3390,E$1,'United Data'!$C$3:$C$3390,$A239)&gt;0,1,0)</f>
        <v>0</v>
      </c>
      <c r="F239">
        <f>IF(COUNTIFS('United Data'!$A$3:$A$3390,F$1,'United Data'!$C$3:$C$3390,$A239)&gt;0,1,0)</f>
        <v>0</v>
      </c>
      <c r="G239">
        <f>IF(COUNTIFS('United Data'!$A$3:$A$3390,G$1,'United Data'!$C$3:$C$3390,$A239)&gt;0,1,0)</f>
        <v>0</v>
      </c>
      <c r="H239">
        <f>IF(COUNTIFS('United Data'!$A$3:$A$3390,H$1,'United Data'!$C$3:$C$3390,$A239)&gt;0,1,0)</f>
        <v>0</v>
      </c>
      <c r="I239">
        <f>IF(COUNTIFS('United Data'!$A$3:$A$3390,I$1,'United Data'!$C$3:$C$3390,$A239)&gt;0,1,0)</f>
        <v>0</v>
      </c>
      <c r="J239">
        <f>IF(COUNTIFS('United Data'!$A$3:$A$3390,J$1,'United Data'!$C$3:$C$3390,$A239)&gt;0,1,0)</f>
        <v>0</v>
      </c>
      <c r="K239">
        <f>IF(COUNTIFS('United Data'!$A$3:$A$3390,K$1,'United Data'!$C$3:$C$3390,$A239)&gt;0,1,0)</f>
        <v>0</v>
      </c>
      <c r="L239">
        <f>IF(COUNTIFS('United Data'!$A$3:$A$3390,L$1,'United Data'!$C$3:$C$3390,$A239)&gt;0,1,0)</f>
        <v>0</v>
      </c>
      <c r="M239">
        <f>IF(COUNTIFS('United Data'!$A$3:$A$3390,M$1,'United Data'!$C$3:$C$3390,$A239)&gt;0,1,0)</f>
        <v>0</v>
      </c>
      <c r="N239">
        <f>IF(COUNTIFS('United Data'!$A$3:$A$3390,N$1,'United Data'!$C$3:$C$3390,$A239)&gt;0,1,0)</f>
        <v>0</v>
      </c>
      <c r="O239">
        <f>IF(COUNTIFS('United Data'!$A$3:$A$3390,O$1,'United Data'!$C$3:$C$3390,$A239)&gt;0,1,0)</f>
        <v>1</v>
      </c>
      <c r="P239">
        <f>IF(COUNTIFS('United Data'!$A$3:$A$3390,P$1,'United Data'!$C$3:$C$3390,$A239)&gt;0,1,0)</f>
        <v>0</v>
      </c>
      <c r="Q239">
        <f>IF(COUNTIFS('United Data'!$A$3:$A$3390,Q$1,'United Data'!$C$3:$C$3390,$A239)&gt;0,1,0)</f>
        <v>0</v>
      </c>
      <c r="R239">
        <f>IF(COUNTIFS('United Data'!$A$3:$A$3390,R$1,'United Data'!$C$3:$C$3390,$A239)&gt;0,1,0)</f>
        <v>0</v>
      </c>
      <c r="S239">
        <f t="shared" si="6"/>
        <v>1</v>
      </c>
      <c r="T239">
        <f t="shared" si="7"/>
        <v>1</v>
      </c>
    </row>
    <row r="240" spans="1:20" x14ac:dyDescent="0.2">
      <c r="A240" t="s">
        <v>312</v>
      </c>
      <c r="B240">
        <f>IF(COUNTIFS('United Data'!$A$3:$A$3390,B$1,'United Data'!$C$3:$C$3390,$A240)&gt;0,1,0)</f>
        <v>0</v>
      </c>
      <c r="C240">
        <f>IF(COUNTIFS('United Data'!$A$3:$A$3390,C$1,'United Data'!$C$3:$C$3390,$A240)&gt;0,1,0)</f>
        <v>0</v>
      </c>
      <c r="D240">
        <f>IF(COUNTIFS('United Data'!$A$3:$A$3390,D$1,'United Data'!$C$3:$C$3390,$A240)&gt;0,1,0)</f>
        <v>0</v>
      </c>
      <c r="E240">
        <f>IF(COUNTIFS('United Data'!$A$3:$A$3390,E$1,'United Data'!$C$3:$C$3390,$A240)&gt;0,1,0)</f>
        <v>0</v>
      </c>
      <c r="F240">
        <f>IF(COUNTIFS('United Data'!$A$3:$A$3390,F$1,'United Data'!$C$3:$C$3390,$A240)&gt;0,1,0)</f>
        <v>0</v>
      </c>
      <c r="G240">
        <f>IF(COUNTIFS('United Data'!$A$3:$A$3390,G$1,'United Data'!$C$3:$C$3390,$A240)&gt;0,1,0)</f>
        <v>0</v>
      </c>
      <c r="H240">
        <f>IF(COUNTIFS('United Data'!$A$3:$A$3390,H$1,'United Data'!$C$3:$C$3390,$A240)&gt;0,1,0)</f>
        <v>0</v>
      </c>
      <c r="I240">
        <f>IF(COUNTIFS('United Data'!$A$3:$A$3390,I$1,'United Data'!$C$3:$C$3390,$A240)&gt;0,1,0)</f>
        <v>0</v>
      </c>
      <c r="J240">
        <f>IF(COUNTIFS('United Data'!$A$3:$A$3390,J$1,'United Data'!$C$3:$C$3390,$A240)&gt;0,1,0)</f>
        <v>0</v>
      </c>
      <c r="K240">
        <f>IF(COUNTIFS('United Data'!$A$3:$A$3390,K$1,'United Data'!$C$3:$C$3390,$A240)&gt;0,1,0)</f>
        <v>0</v>
      </c>
      <c r="L240">
        <f>IF(COUNTIFS('United Data'!$A$3:$A$3390,L$1,'United Data'!$C$3:$C$3390,$A240)&gt;0,1,0)</f>
        <v>0</v>
      </c>
      <c r="M240">
        <f>IF(COUNTIFS('United Data'!$A$3:$A$3390,M$1,'United Data'!$C$3:$C$3390,$A240)&gt;0,1,0)</f>
        <v>0</v>
      </c>
      <c r="N240">
        <f>IF(COUNTIFS('United Data'!$A$3:$A$3390,N$1,'United Data'!$C$3:$C$3390,$A240)&gt;0,1,0)</f>
        <v>0</v>
      </c>
      <c r="O240">
        <f>IF(COUNTIFS('United Data'!$A$3:$A$3390,O$1,'United Data'!$C$3:$C$3390,$A240)&gt;0,1,0)</f>
        <v>1</v>
      </c>
      <c r="P240">
        <f>IF(COUNTIFS('United Data'!$A$3:$A$3390,P$1,'United Data'!$C$3:$C$3390,$A240)&gt;0,1,0)</f>
        <v>0</v>
      </c>
      <c r="Q240">
        <f>IF(COUNTIFS('United Data'!$A$3:$A$3390,Q$1,'United Data'!$C$3:$C$3390,$A240)&gt;0,1,0)</f>
        <v>0</v>
      </c>
      <c r="R240">
        <f>IF(COUNTIFS('United Data'!$A$3:$A$3390,R$1,'United Data'!$C$3:$C$3390,$A240)&gt;0,1,0)</f>
        <v>0</v>
      </c>
      <c r="S240">
        <f t="shared" si="6"/>
        <v>1</v>
      </c>
      <c r="T240">
        <f t="shared" si="7"/>
        <v>1</v>
      </c>
    </row>
    <row r="241" spans="1:20" x14ac:dyDescent="0.2">
      <c r="A241" t="s">
        <v>313</v>
      </c>
      <c r="B241">
        <f>IF(COUNTIFS('United Data'!$A$3:$A$3390,B$1,'United Data'!$C$3:$C$3390,$A241)&gt;0,1,0)</f>
        <v>0</v>
      </c>
      <c r="C241">
        <f>IF(COUNTIFS('United Data'!$A$3:$A$3390,C$1,'United Data'!$C$3:$C$3390,$A241)&gt;0,1,0)</f>
        <v>0</v>
      </c>
      <c r="D241">
        <f>IF(COUNTIFS('United Data'!$A$3:$A$3390,D$1,'United Data'!$C$3:$C$3390,$A241)&gt;0,1,0)</f>
        <v>0</v>
      </c>
      <c r="E241">
        <f>IF(COUNTIFS('United Data'!$A$3:$A$3390,E$1,'United Data'!$C$3:$C$3390,$A241)&gt;0,1,0)</f>
        <v>0</v>
      </c>
      <c r="F241">
        <f>IF(COUNTIFS('United Data'!$A$3:$A$3390,F$1,'United Data'!$C$3:$C$3390,$A241)&gt;0,1,0)</f>
        <v>0</v>
      </c>
      <c r="G241">
        <f>IF(COUNTIFS('United Data'!$A$3:$A$3390,G$1,'United Data'!$C$3:$C$3390,$A241)&gt;0,1,0)</f>
        <v>0</v>
      </c>
      <c r="H241">
        <f>IF(COUNTIFS('United Data'!$A$3:$A$3390,H$1,'United Data'!$C$3:$C$3390,$A241)&gt;0,1,0)</f>
        <v>0</v>
      </c>
      <c r="I241">
        <f>IF(COUNTIFS('United Data'!$A$3:$A$3390,I$1,'United Data'!$C$3:$C$3390,$A241)&gt;0,1,0)</f>
        <v>0</v>
      </c>
      <c r="J241">
        <f>IF(COUNTIFS('United Data'!$A$3:$A$3390,J$1,'United Data'!$C$3:$C$3390,$A241)&gt;0,1,0)</f>
        <v>0</v>
      </c>
      <c r="K241">
        <f>IF(COUNTIFS('United Data'!$A$3:$A$3390,K$1,'United Data'!$C$3:$C$3390,$A241)&gt;0,1,0)</f>
        <v>0</v>
      </c>
      <c r="L241">
        <f>IF(COUNTIFS('United Data'!$A$3:$A$3390,L$1,'United Data'!$C$3:$C$3390,$A241)&gt;0,1,0)</f>
        <v>0</v>
      </c>
      <c r="M241">
        <f>IF(COUNTIFS('United Data'!$A$3:$A$3390,M$1,'United Data'!$C$3:$C$3390,$A241)&gt;0,1,0)</f>
        <v>0</v>
      </c>
      <c r="N241">
        <f>IF(COUNTIFS('United Data'!$A$3:$A$3390,N$1,'United Data'!$C$3:$C$3390,$A241)&gt;0,1,0)</f>
        <v>0</v>
      </c>
      <c r="O241">
        <f>IF(COUNTIFS('United Data'!$A$3:$A$3390,O$1,'United Data'!$C$3:$C$3390,$A241)&gt;0,1,0)</f>
        <v>0</v>
      </c>
      <c r="P241">
        <f>IF(COUNTIFS('United Data'!$A$3:$A$3390,P$1,'United Data'!$C$3:$C$3390,$A241)&gt;0,1,0)</f>
        <v>1</v>
      </c>
      <c r="Q241">
        <f>IF(COUNTIFS('United Data'!$A$3:$A$3390,Q$1,'United Data'!$C$3:$C$3390,$A241)&gt;0,1,0)</f>
        <v>0</v>
      </c>
      <c r="R241">
        <f>IF(COUNTIFS('United Data'!$A$3:$A$3390,R$1,'United Data'!$C$3:$C$3390,$A241)&gt;0,1,0)</f>
        <v>0</v>
      </c>
      <c r="S241">
        <f t="shared" si="6"/>
        <v>1</v>
      </c>
      <c r="T241">
        <f t="shared" si="7"/>
        <v>1</v>
      </c>
    </row>
    <row r="242" spans="1:20" x14ac:dyDescent="0.2">
      <c r="A242" t="s">
        <v>314</v>
      </c>
      <c r="B242">
        <f>IF(COUNTIFS('United Data'!$A$3:$A$3390,B$1,'United Data'!$C$3:$C$3390,$A242)&gt;0,1,0)</f>
        <v>1</v>
      </c>
      <c r="C242">
        <f>IF(COUNTIFS('United Data'!$A$3:$A$3390,C$1,'United Data'!$C$3:$C$3390,$A242)&gt;0,1,0)</f>
        <v>1</v>
      </c>
      <c r="D242">
        <f>IF(COUNTIFS('United Data'!$A$3:$A$3390,D$1,'United Data'!$C$3:$C$3390,$A242)&gt;0,1,0)</f>
        <v>1</v>
      </c>
      <c r="E242">
        <f>IF(COUNTIFS('United Data'!$A$3:$A$3390,E$1,'United Data'!$C$3:$C$3390,$A242)&gt;0,1,0)</f>
        <v>1</v>
      </c>
      <c r="F242">
        <f>IF(COUNTIFS('United Data'!$A$3:$A$3390,F$1,'United Data'!$C$3:$C$3390,$A242)&gt;0,1,0)</f>
        <v>1</v>
      </c>
      <c r="G242">
        <f>IF(COUNTIFS('United Data'!$A$3:$A$3390,G$1,'United Data'!$C$3:$C$3390,$A242)&gt;0,1,0)</f>
        <v>1</v>
      </c>
      <c r="H242">
        <f>IF(COUNTIFS('United Data'!$A$3:$A$3390,H$1,'United Data'!$C$3:$C$3390,$A242)&gt;0,1,0)</f>
        <v>0</v>
      </c>
      <c r="I242">
        <f>IF(COUNTIFS('United Data'!$A$3:$A$3390,I$1,'United Data'!$C$3:$C$3390,$A242)&gt;0,1,0)</f>
        <v>0</v>
      </c>
      <c r="J242">
        <f>IF(COUNTIFS('United Data'!$A$3:$A$3390,J$1,'United Data'!$C$3:$C$3390,$A242)&gt;0,1,0)</f>
        <v>1</v>
      </c>
      <c r="K242">
        <f>IF(COUNTIFS('United Data'!$A$3:$A$3390,K$1,'United Data'!$C$3:$C$3390,$A242)&gt;0,1,0)</f>
        <v>0</v>
      </c>
      <c r="L242">
        <f>IF(COUNTIFS('United Data'!$A$3:$A$3390,L$1,'United Data'!$C$3:$C$3390,$A242)&gt;0,1,0)</f>
        <v>0</v>
      </c>
      <c r="M242">
        <f>IF(COUNTIFS('United Data'!$A$3:$A$3390,M$1,'United Data'!$C$3:$C$3390,$A242)&gt;0,1,0)</f>
        <v>1</v>
      </c>
      <c r="N242">
        <f>IF(COUNTIFS('United Data'!$A$3:$A$3390,N$1,'United Data'!$C$3:$C$3390,$A242)&gt;0,1,0)</f>
        <v>1</v>
      </c>
      <c r="O242">
        <f>IF(COUNTIFS('United Data'!$A$3:$A$3390,O$1,'United Data'!$C$3:$C$3390,$A242)&gt;0,1,0)</f>
        <v>1</v>
      </c>
      <c r="P242">
        <f>IF(COUNTIFS('United Data'!$A$3:$A$3390,P$1,'United Data'!$C$3:$C$3390,$A242)&gt;0,1,0)</f>
        <v>1</v>
      </c>
      <c r="Q242">
        <f>IF(COUNTIFS('United Data'!$A$3:$A$3390,Q$1,'United Data'!$C$3:$C$3390,$A242)&gt;0,1,0)</f>
        <v>1</v>
      </c>
      <c r="R242">
        <f>IF(COUNTIFS('United Data'!$A$3:$A$3390,R$1,'United Data'!$C$3:$C$3390,$A242)&gt;0,1,0)</f>
        <v>1</v>
      </c>
      <c r="S242">
        <f t="shared" si="6"/>
        <v>13</v>
      </c>
      <c r="T242">
        <f t="shared" si="7"/>
        <v>3</v>
      </c>
    </row>
    <row r="243" spans="1:20" x14ac:dyDescent="0.2">
      <c r="A243" t="s">
        <v>315</v>
      </c>
      <c r="B243">
        <f>IF(COUNTIFS('United Data'!$A$3:$A$3390,B$1,'United Data'!$C$3:$C$3390,$A243)&gt;0,1,0)</f>
        <v>0</v>
      </c>
      <c r="C243">
        <f>IF(COUNTIFS('United Data'!$A$3:$A$3390,C$1,'United Data'!$C$3:$C$3390,$A243)&gt;0,1,0)</f>
        <v>0</v>
      </c>
      <c r="D243">
        <f>IF(COUNTIFS('United Data'!$A$3:$A$3390,D$1,'United Data'!$C$3:$C$3390,$A243)&gt;0,1,0)</f>
        <v>0</v>
      </c>
      <c r="E243">
        <f>IF(COUNTIFS('United Data'!$A$3:$A$3390,E$1,'United Data'!$C$3:$C$3390,$A243)&gt;0,1,0)</f>
        <v>0</v>
      </c>
      <c r="F243">
        <f>IF(COUNTIFS('United Data'!$A$3:$A$3390,F$1,'United Data'!$C$3:$C$3390,$A243)&gt;0,1,0)</f>
        <v>0</v>
      </c>
      <c r="G243">
        <f>IF(COUNTIFS('United Data'!$A$3:$A$3390,G$1,'United Data'!$C$3:$C$3390,$A243)&gt;0,1,0)</f>
        <v>0</v>
      </c>
      <c r="H243">
        <f>IF(COUNTIFS('United Data'!$A$3:$A$3390,H$1,'United Data'!$C$3:$C$3390,$A243)&gt;0,1,0)</f>
        <v>0</v>
      </c>
      <c r="I243">
        <f>IF(COUNTIFS('United Data'!$A$3:$A$3390,I$1,'United Data'!$C$3:$C$3390,$A243)&gt;0,1,0)</f>
        <v>0</v>
      </c>
      <c r="J243">
        <f>IF(COUNTIFS('United Data'!$A$3:$A$3390,J$1,'United Data'!$C$3:$C$3390,$A243)&gt;0,1,0)</f>
        <v>0</v>
      </c>
      <c r="K243">
        <f>IF(COUNTIFS('United Data'!$A$3:$A$3390,K$1,'United Data'!$C$3:$C$3390,$A243)&gt;0,1,0)</f>
        <v>0</v>
      </c>
      <c r="L243">
        <f>IF(COUNTIFS('United Data'!$A$3:$A$3390,L$1,'United Data'!$C$3:$C$3390,$A243)&gt;0,1,0)</f>
        <v>0</v>
      </c>
      <c r="M243">
        <f>IF(COUNTIFS('United Data'!$A$3:$A$3390,M$1,'United Data'!$C$3:$C$3390,$A243)&gt;0,1,0)</f>
        <v>0</v>
      </c>
      <c r="N243">
        <f>IF(COUNTIFS('United Data'!$A$3:$A$3390,N$1,'United Data'!$C$3:$C$3390,$A243)&gt;0,1,0)</f>
        <v>0</v>
      </c>
      <c r="O243">
        <f>IF(COUNTIFS('United Data'!$A$3:$A$3390,O$1,'United Data'!$C$3:$C$3390,$A243)&gt;0,1,0)</f>
        <v>0</v>
      </c>
      <c r="P243">
        <f>IF(COUNTIFS('United Data'!$A$3:$A$3390,P$1,'United Data'!$C$3:$C$3390,$A243)&gt;0,1,0)</f>
        <v>1</v>
      </c>
      <c r="Q243">
        <f>IF(COUNTIFS('United Data'!$A$3:$A$3390,Q$1,'United Data'!$C$3:$C$3390,$A243)&gt;0,1,0)</f>
        <v>1</v>
      </c>
      <c r="R243">
        <f>IF(COUNTIFS('United Data'!$A$3:$A$3390,R$1,'United Data'!$C$3:$C$3390,$A243)&gt;0,1,0)</f>
        <v>1</v>
      </c>
      <c r="S243">
        <f t="shared" si="6"/>
        <v>3</v>
      </c>
      <c r="T243">
        <f t="shared" si="7"/>
        <v>1</v>
      </c>
    </row>
    <row r="244" spans="1:20" x14ac:dyDescent="0.2">
      <c r="A244" t="s">
        <v>316</v>
      </c>
      <c r="B244">
        <f>IF(COUNTIFS('United Data'!$A$3:$A$3390,B$1,'United Data'!$C$3:$C$3390,$A244)&gt;0,1,0)</f>
        <v>1</v>
      </c>
      <c r="C244">
        <f>IF(COUNTIFS('United Data'!$A$3:$A$3390,C$1,'United Data'!$C$3:$C$3390,$A244)&gt;0,1,0)</f>
        <v>1</v>
      </c>
      <c r="D244">
        <f>IF(COUNTIFS('United Data'!$A$3:$A$3390,D$1,'United Data'!$C$3:$C$3390,$A244)&gt;0,1,0)</f>
        <v>1</v>
      </c>
      <c r="E244">
        <f>IF(COUNTIFS('United Data'!$A$3:$A$3390,E$1,'United Data'!$C$3:$C$3390,$A244)&gt;0,1,0)</f>
        <v>0</v>
      </c>
      <c r="F244">
        <f>IF(COUNTIFS('United Data'!$A$3:$A$3390,F$1,'United Data'!$C$3:$C$3390,$A244)&gt;0,1,0)</f>
        <v>0</v>
      </c>
      <c r="G244">
        <f>IF(COUNTIFS('United Data'!$A$3:$A$3390,G$1,'United Data'!$C$3:$C$3390,$A244)&gt;0,1,0)</f>
        <v>0</v>
      </c>
      <c r="H244">
        <f>IF(COUNTIFS('United Data'!$A$3:$A$3390,H$1,'United Data'!$C$3:$C$3390,$A244)&gt;0,1,0)</f>
        <v>0</v>
      </c>
      <c r="I244">
        <f>IF(COUNTIFS('United Data'!$A$3:$A$3390,I$1,'United Data'!$C$3:$C$3390,$A244)&gt;0,1,0)</f>
        <v>0</v>
      </c>
      <c r="J244">
        <f>IF(COUNTIFS('United Data'!$A$3:$A$3390,J$1,'United Data'!$C$3:$C$3390,$A244)&gt;0,1,0)</f>
        <v>0</v>
      </c>
      <c r="K244">
        <f>IF(COUNTIFS('United Data'!$A$3:$A$3390,K$1,'United Data'!$C$3:$C$3390,$A244)&gt;0,1,0)</f>
        <v>0</v>
      </c>
      <c r="L244">
        <f>IF(COUNTIFS('United Data'!$A$3:$A$3390,L$1,'United Data'!$C$3:$C$3390,$A244)&gt;0,1,0)</f>
        <v>0</v>
      </c>
      <c r="M244">
        <f>IF(COUNTIFS('United Data'!$A$3:$A$3390,M$1,'United Data'!$C$3:$C$3390,$A244)&gt;0,1,0)</f>
        <v>0</v>
      </c>
      <c r="N244">
        <f>IF(COUNTIFS('United Data'!$A$3:$A$3390,N$1,'United Data'!$C$3:$C$3390,$A244)&gt;0,1,0)</f>
        <v>0</v>
      </c>
      <c r="O244">
        <f>IF(COUNTIFS('United Data'!$A$3:$A$3390,O$1,'United Data'!$C$3:$C$3390,$A244)&gt;0,1,0)</f>
        <v>0</v>
      </c>
      <c r="P244">
        <f>IF(COUNTIFS('United Data'!$A$3:$A$3390,P$1,'United Data'!$C$3:$C$3390,$A244)&gt;0,1,0)</f>
        <v>0</v>
      </c>
      <c r="Q244">
        <f>IF(COUNTIFS('United Data'!$A$3:$A$3390,Q$1,'United Data'!$C$3:$C$3390,$A244)&gt;0,1,0)</f>
        <v>1</v>
      </c>
      <c r="R244">
        <f>IF(COUNTIFS('United Data'!$A$3:$A$3390,R$1,'United Data'!$C$3:$C$3390,$A244)&gt;0,1,0)</f>
        <v>1</v>
      </c>
      <c r="S244">
        <f t="shared" si="6"/>
        <v>5</v>
      </c>
      <c r="T244">
        <f t="shared" si="7"/>
        <v>2</v>
      </c>
    </row>
    <row r="245" spans="1:20" x14ac:dyDescent="0.2">
      <c r="A245" t="s">
        <v>317</v>
      </c>
      <c r="B245">
        <f>IF(COUNTIFS('United Data'!$A$3:$A$3390,B$1,'United Data'!$C$3:$C$3390,$A245)&gt;0,1,0)</f>
        <v>1</v>
      </c>
      <c r="C245">
        <f>IF(COUNTIFS('United Data'!$A$3:$A$3390,C$1,'United Data'!$C$3:$C$3390,$A245)&gt;0,1,0)</f>
        <v>0</v>
      </c>
      <c r="D245">
        <f>IF(COUNTIFS('United Data'!$A$3:$A$3390,D$1,'United Data'!$C$3:$C$3390,$A245)&gt;0,1,0)</f>
        <v>0</v>
      </c>
      <c r="E245">
        <f>IF(COUNTIFS('United Data'!$A$3:$A$3390,E$1,'United Data'!$C$3:$C$3390,$A245)&gt;0,1,0)</f>
        <v>0</v>
      </c>
      <c r="F245">
        <f>IF(COUNTIFS('United Data'!$A$3:$A$3390,F$1,'United Data'!$C$3:$C$3390,$A245)&gt;0,1,0)</f>
        <v>0</v>
      </c>
      <c r="G245">
        <f>IF(COUNTIFS('United Data'!$A$3:$A$3390,G$1,'United Data'!$C$3:$C$3390,$A245)&gt;0,1,0)</f>
        <v>0</v>
      </c>
      <c r="H245">
        <f>IF(COUNTIFS('United Data'!$A$3:$A$3390,H$1,'United Data'!$C$3:$C$3390,$A245)&gt;0,1,0)</f>
        <v>0</v>
      </c>
      <c r="I245">
        <f>IF(COUNTIFS('United Data'!$A$3:$A$3390,I$1,'United Data'!$C$3:$C$3390,$A245)&gt;0,1,0)</f>
        <v>0</v>
      </c>
      <c r="J245">
        <f>IF(COUNTIFS('United Data'!$A$3:$A$3390,J$1,'United Data'!$C$3:$C$3390,$A245)&gt;0,1,0)</f>
        <v>0</v>
      </c>
      <c r="K245">
        <f>IF(COUNTIFS('United Data'!$A$3:$A$3390,K$1,'United Data'!$C$3:$C$3390,$A245)&gt;0,1,0)</f>
        <v>0</v>
      </c>
      <c r="L245">
        <f>IF(COUNTIFS('United Data'!$A$3:$A$3390,L$1,'United Data'!$C$3:$C$3390,$A245)&gt;0,1,0)</f>
        <v>0</v>
      </c>
      <c r="M245">
        <f>IF(COUNTIFS('United Data'!$A$3:$A$3390,M$1,'United Data'!$C$3:$C$3390,$A245)&gt;0,1,0)</f>
        <v>0</v>
      </c>
      <c r="N245">
        <f>IF(COUNTIFS('United Data'!$A$3:$A$3390,N$1,'United Data'!$C$3:$C$3390,$A245)&gt;0,1,0)</f>
        <v>0</v>
      </c>
      <c r="O245">
        <f>IF(COUNTIFS('United Data'!$A$3:$A$3390,O$1,'United Data'!$C$3:$C$3390,$A245)&gt;0,1,0)</f>
        <v>0</v>
      </c>
      <c r="P245">
        <f>IF(COUNTIFS('United Data'!$A$3:$A$3390,P$1,'United Data'!$C$3:$C$3390,$A245)&gt;0,1,0)</f>
        <v>0</v>
      </c>
      <c r="Q245">
        <f>IF(COUNTIFS('United Data'!$A$3:$A$3390,Q$1,'United Data'!$C$3:$C$3390,$A245)&gt;0,1,0)</f>
        <v>0</v>
      </c>
      <c r="R245">
        <f>IF(COUNTIFS('United Data'!$A$3:$A$3390,R$1,'United Data'!$C$3:$C$3390,$A245)&gt;0,1,0)</f>
        <v>0</v>
      </c>
      <c r="S245">
        <f t="shared" si="6"/>
        <v>1</v>
      </c>
      <c r="T245">
        <f t="shared" si="7"/>
        <v>1</v>
      </c>
    </row>
    <row r="246" spans="1:20" x14ac:dyDescent="0.2">
      <c r="A246" t="s">
        <v>318</v>
      </c>
      <c r="B246">
        <f>IF(COUNTIFS('United Data'!$A$3:$A$3390,B$1,'United Data'!$C$3:$C$3390,$A246)&gt;0,1,0)</f>
        <v>1</v>
      </c>
      <c r="C246">
        <f>IF(COUNTIFS('United Data'!$A$3:$A$3390,C$1,'United Data'!$C$3:$C$3390,$A246)&gt;0,1,0)</f>
        <v>0</v>
      </c>
      <c r="D246">
        <f>IF(COUNTIFS('United Data'!$A$3:$A$3390,D$1,'United Data'!$C$3:$C$3390,$A246)&gt;0,1,0)</f>
        <v>0</v>
      </c>
      <c r="E246">
        <f>IF(COUNTIFS('United Data'!$A$3:$A$3390,E$1,'United Data'!$C$3:$C$3390,$A246)&gt;0,1,0)</f>
        <v>0</v>
      </c>
      <c r="F246">
        <f>IF(COUNTIFS('United Data'!$A$3:$A$3390,F$1,'United Data'!$C$3:$C$3390,$A246)&gt;0,1,0)</f>
        <v>0</v>
      </c>
      <c r="G246">
        <f>IF(COUNTIFS('United Data'!$A$3:$A$3390,G$1,'United Data'!$C$3:$C$3390,$A246)&gt;0,1,0)</f>
        <v>0</v>
      </c>
      <c r="H246">
        <f>IF(COUNTIFS('United Data'!$A$3:$A$3390,H$1,'United Data'!$C$3:$C$3390,$A246)&gt;0,1,0)</f>
        <v>0</v>
      </c>
      <c r="I246">
        <f>IF(COUNTIFS('United Data'!$A$3:$A$3390,I$1,'United Data'!$C$3:$C$3390,$A246)&gt;0,1,0)</f>
        <v>0</v>
      </c>
      <c r="J246">
        <f>IF(COUNTIFS('United Data'!$A$3:$A$3390,J$1,'United Data'!$C$3:$C$3390,$A246)&gt;0,1,0)</f>
        <v>0</v>
      </c>
      <c r="K246">
        <f>IF(COUNTIFS('United Data'!$A$3:$A$3390,K$1,'United Data'!$C$3:$C$3390,$A246)&gt;0,1,0)</f>
        <v>0</v>
      </c>
      <c r="L246">
        <f>IF(COUNTIFS('United Data'!$A$3:$A$3390,L$1,'United Data'!$C$3:$C$3390,$A246)&gt;0,1,0)</f>
        <v>0</v>
      </c>
      <c r="M246">
        <f>IF(COUNTIFS('United Data'!$A$3:$A$3390,M$1,'United Data'!$C$3:$C$3390,$A246)&gt;0,1,0)</f>
        <v>0</v>
      </c>
      <c r="N246">
        <f>IF(COUNTIFS('United Data'!$A$3:$A$3390,N$1,'United Data'!$C$3:$C$3390,$A246)&gt;0,1,0)</f>
        <v>0</v>
      </c>
      <c r="O246">
        <f>IF(COUNTIFS('United Data'!$A$3:$A$3390,O$1,'United Data'!$C$3:$C$3390,$A246)&gt;0,1,0)</f>
        <v>0</v>
      </c>
      <c r="P246">
        <f>IF(COUNTIFS('United Data'!$A$3:$A$3390,P$1,'United Data'!$C$3:$C$3390,$A246)&gt;0,1,0)</f>
        <v>0</v>
      </c>
      <c r="Q246">
        <f>IF(COUNTIFS('United Data'!$A$3:$A$3390,Q$1,'United Data'!$C$3:$C$3390,$A246)&gt;0,1,0)</f>
        <v>0</v>
      </c>
      <c r="R246">
        <f>IF(COUNTIFS('United Data'!$A$3:$A$3390,R$1,'United Data'!$C$3:$C$3390,$A246)&gt;0,1,0)</f>
        <v>0</v>
      </c>
      <c r="S246">
        <f t="shared" si="6"/>
        <v>1</v>
      </c>
      <c r="T246">
        <f t="shared" si="7"/>
        <v>1</v>
      </c>
    </row>
    <row r="247" spans="1:20" x14ac:dyDescent="0.2">
      <c r="A247" t="s">
        <v>319</v>
      </c>
      <c r="B247">
        <f>IF(COUNTIFS('United Data'!$A$3:$A$3390,B$1,'United Data'!$C$3:$C$3390,$A247)&gt;0,1,0)</f>
        <v>0</v>
      </c>
      <c r="C247">
        <f>IF(COUNTIFS('United Data'!$A$3:$A$3390,C$1,'United Data'!$C$3:$C$3390,$A247)&gt;0,1,0)</f>
        <v>1</v>
      </c>
      <c r="D247">
        <f>IF(COUNTIFS('United Data'!$A$3:$A$3390,D$1,'United Data'!$C$3:$C$3390,$A247)&gt;0,1,0)</f>
        <v>0</v>
      </c>
      <c r="E247">
        <f>IF(COUNTIFS('United Data'!$A$3:$A$3390,E$1,'United Data'!$C$3:$C$3390,$A247)&gt;0,1,0)</f>
        <v>0</v>
      </c>
      <c r="F247">
        <f>IF(COUNTIFS('United Data'!$A$3:$A$3390,F$1,'United Data'!$C$3:$C$3390,$A247)&gt;0,1,0)</f>
        <v>0</v>
      </c>
      <c r="G247">
        <f>IF(COUNTIFS('United Data'!$A$3:$A$3390,G$1,'United Data'!$C$3:$C$3390,$A247)&gt;0,1,0)</f>
        <v>0</v>
      </c>
      <c r="H247">
        <f>IF(COUNTIFS('United Data'!$A$3:$A$3390,H$1,'United Data'!$C$3:$C$3390,$A247)&gt;0,1,0)</f>
        <v>0</v>
      </c>
      <c r="I247">
        <f>IF(COUNTIFS('United Data'!$A$3:$A$3390,I$1,'United Data'!$C$3:$C$3390,$A247)&gt;0,1,0)</f>
        <v>0</v>
      </c>
      <c r="J247">
        <f>IF(COUNTIFS('United Data'!$A$3:$A$3390,J$1,'United Data'!$C$3:$C$3390,$A247)&gt;0,1,0)</f>
        <v>0</v>
      </c>
      <c r="K247">
        <f>IF(COUNTIFS('United Data'!$A$3:$A$3390,K$1,'United Data'!$C$3:$C$3390,$A247)&gt;0,1,0)</f>
        <v>0</v>
      </c>
      <c r="L247">
        <f>IF(COUNTIFS('United Data'!$A$3:$A$3390,L$1,'United Data'!$C$3:$C$3390,$A247)&gt;0,1,0)</f>
        <v>0</v>
      </c>
      <c r="M247">
        <f>IF(COUNTIFS('United Data'!$A$3:$A$3390,M$1,'United Data'!$C$3:$C$3390,$A247)&gt;0,1,0)</f>
        <v>0</v>
      </c>
      <c r="N247">
        <f>IF(COUNTIFS('United Data'!$A$3:$A$3390,N$1,'United Data'!$C$3:$C$3390,$A247)&gt;0,1,0)</f>
        <v>1</v>
      </c>
      <c r="O247">
        <f>IF(COUNTIFS('United Data'!$A$3:$A$3390,O$1,'United Data'!$C$3:$C$3390,$A247)&gt;0,1,0)</f>
        <v>1</v>
      </c>
      <c r="P247">
        <f>IF(COUNTIFS('United Data'!$A$3:$A$3390,P$1,'United Data'!$C$3:$C$3390,$A247)&gt;0,1,0)</f>
        <v>1</v>
      </c>
      <c r="Q247">
        <f>IF(COUNTIFS('United Data'!$A$3:$A$3390,Q$1,'United Data'!$C$3:$C$3390,$A247)&gt;0,1,0)</f>
        <v>1</v>
      </c>
      <c r="R247">
        <f>IF(COUNTIFS('United Data'!$A$3:$A$3390,R$1,'United Data'!$C$3:$C$3390,$A247)&gt;0,1,0)</f>
        <v>0</v>
      </c>
      <c r="S247">
        <f t="shared" si="6"/>
        <v>5</v>
      </c>
      <c r="T247">
        <f t="shared" si="7"/>
        <v>2</v>
      </c>
    </row>
    <row r="248" spans="1:20" x14ac:dyDescent="0.2">
      <c r="A248" t="s">
        <v>320</v>
      </c>
      <c r="B248">
        <f>IF(COUNTIFS('United Data'!$A$3:$A$3390,B$1,'United Data'!$C$3:$C$3390,$A248)&gt;0,1,0)</f>
        <v>0</v>
      </c>
      <c r="C248">
        <f>IF(COUNTIFS('United Data'!$A$3:$A$3390,C$1,'United Data'!$C$3:$C$3390,$A248)&gt;0,1,0)</f>
        <v>0</v>
      </c>
      <c r="D248">
        <f>IF(COUNTIFS('United Data'!$A$3:$A$3390,D$1,'United Data'!$C$3:$C$3390,$A248)&gt;0,1,0)</f>
        <v>1</v>
      </c>
      <c r="E248">
        <f>IF(COUNTIFS('United Data'!$A$3:$A$3390,E$1,'United Data'!$C$3:$C$3390,$A248)&gt;0,1,0)</f>
        <v>1</v>
      </c>
      <c r="F248">
        <f>IF(COUNTIFS('United Data'!$A$3:$A$3390,F$1,'United Data'!$C$3:$C$3390,$A248)&gt;0,1,0)</f>
        <v>0</v>
      </c>
      <c r="G248">
        <f>IF(COUNTIFS('United Data'!$A$3:$A$3390,G$1,'United Data'!$C$3:$C$3390,$A248)&gt;0,1,0)</f>
        <v>0</v>
      </c>
      <c r="H248">
        <f>IF(COUNTIFS('United Data'!$A$3:$A$3390,H$1,'United Data'!$C$3:$C$3390,$A248)&gt;0,1,0)</f>
        <v>0</v>
      </c>
      <c r="I248">
        <f>IF(COUNTIFS('United Data'!$A$3:$A$3390,I$1,'United Data'!$C$3:$C$3390,$A248)&gt;0,1,0)</f>
        <v>0</v>
      </c>
      <c r="J248">
        <f>IF(COUNTIFS('United Data'!$A$3:$A$3390,J$1,'United Data'!$C$3:$C$3390,$A248)&gt;0,1,0)</f>
        <v>0</v>
      </c>
      <c r="K248">
        <f>IF(COUNTIFS('United Data'!$A$3:$A$3390,K$1,'United Data'!$C$3:$C$3390,$A248)&gt;0,1,0)</f>
        <v>0</v>
      </c>
      <c r="L248">
        <f>IF(COUNTIFS('United Data'!$A$3:$A$3390,L$1,'United Data'!$C$3:$C$3390,$A248)&gt;0,1,0)</f>
        <v>0</v>
      </c>
      <c r="M248">
        <f>IF(COUNTIFS('United Data'!$A$3:$A$3390,M$1,'United Data'!$C$3:$C$3390,$A248)&gt;0,1,0)</f>
        <v>0</v>
      </c>
      <c r="N248">
        <f>IF(COUNTIFS('United Data'!$A$3:$A$3390,N$1,'United Data'!$C$3:$C$3390,$A248)&gt;0,1,0)</f>
        <v>0</v>
      </c>
      <c r="O248">
        <f>IF(COUNTIFS('United Data'!$A$3:$A$3390,O$1,'United Data'!$C$3:$C$3390,$A248)&gt;0,1,0)</f>
        <v>0</v>
      </c>
      <c r="P248">
        <f>IF(COUNTIFS('United Data'!$A$3:$A$3390,P$1,'United Data'!$C$3:$C$3390,$A248)&gt;0,1,0)</f>
        <v>0</v>
      </c>
      <c r="Q248">
        <f>IF(COUNTIFS('United Data'!$A$3:$A$3390,Q$1,'United Data'!$C$3:$C$3390,$A248)&gt;0,1,0)</f>
        <v>0</v>
      </c>
      <c r="R248">
        <f>IF(COUNTIFS('United Data'!$A$3:$A$3390,R$1,'United Data'!$C$3:$C$3390,$A248)&gt;0,1,0)</f>
        <v>0</v>
      </c>
      <c r="S248">
        <f t="shared" si="6"/>
        <v>2</v>
      </c>
      <c r="T248">
        <f t="shared" si="7"/>
        <v>1</v>
      </c>
    </row>
    <row r="249" spans="1:20" x14ac:dyDescent="0.2">
      <c r="A249" t="s">
        <v>322</v>
      </c>
      <c r="B249">
        <f>IF(COUNTIFS('United Data'!$A$3:$A$3390,B$1,'United Data'!$C$3:$C$3390,$A249)&gt;0,1,0)</f>
        <v>0</v>
      </c>
      <c r="C249">
        <f>IF(COUNTIFS('United Data'!$A$3:$A$3390,C$1,'United Data'!$C$3:$C$3390,$A249)&gt;0,1,0)</f>
        <v>0</v>
      </c>
      <c r="D249">
        <f>IF(COUNTIFS('United Data'!$A$3:$A$3390,D$1,'United Data'!$C$3:$C$3390,$A249)&gt;0,1,0)</f>
        <v>0</v>
      </c>
      <c r="E249">
        <f>IF(COUNTIFS('United Data'!$A$3:$A$3390,E$1,'United Data'!$C$3:$C$3390,$A249)&gt;0,1,0)</f>
        <v>1</v>
      </c>
      <c r="F249">
        <f>IF(COUNTIFS('United Data'!$A$3:$A$3390,F$1,'United Data'!$C$3:$C$3390,$A249)&gt;0,1,0)</f>
        <v>0</v>
      </c>
      <c r="G249">
        <f>IF(COUNTIFS('United Data'!$A$3:$A$3390,G$1,'United Data'!$C$3:$C$3390,$A249)&gt;0,1,0)</f>
        <v>0</v>
      </c>
      <c r="H249">
        <f>IF(COUNTIFS('United Data'!$A$3:$A$3390,H$1,'United Data'!$C$3:$C$3390,$A249)&gt;0,1,0)</f>
        <v>0</v>
      </c>
      <c r="I249">
        <f>IF(COUNTIFS('United Data'!$A$3:$A$3390,I$1,'United Data'!$C$3:$C$3390,$A249)&gt;0,1,0)</f>
        <v>0</v>
      </c>
      <c r="J249">
        <f>IF(COUNTIFS('United Data'!$A$3:$A$3390,J$1,'United Data'!$C$3:$C$3390,$A249)&gt;0,1,0)</f>
        <v>0</v>
      </c>
      <c r="K249">
        <f>IF(COUNTIFS('United Data'!$A$3:$A$3390,K$1,'United Data'!$C$3:$C$3390,$A249)&gt;0,1,0)</f>
        <v>0</v>
      </c>
      <c r="L249">
        <f>IF(COUNTIFS('United Data'!$A$3:$A$3390,L$1,'United Data'!$C$3:$C$3390,$A249)&gt;0,1,0)</f>
        <v>0</v>
      </c>
      <c r="M249">
        <f>IF(COUNTIFS('United Data'!$A$3:$A$3390,M$1,'United Data'!$C$3:$C$3390,$A249)&gt;0,1,0)</f>
        <v>0</v>
      </c>
      <c r="N249">
        <f>IF(COUNTIFS('United Data'!$A$3:$A$3390,N$1,'United Data'!$C$3:$C$3390,$A249)&gt;0,1,0)</f>
        <v>0</v>
      </c>
      <c r="O249">
        <f>IF(COUNTIFS('United Data'!$A$3:$A$3390,O$1,'United Data'!$C$3:$C$3390,$A249)&gt;0,1,0)</f>
        <v>0</v>
      </c>
      <c r="P249">
        <f>IF(COUNTIFS('United Data'!$A$3:$A$3390,P$1,'United Data'!$C$3:$C$3390,$A249)&gt;0,1,0)</f>
        <v>0</v>
      </c>
      <c r="Q249">
        <f>IF(COUNTIFS('United Data'!$A$3:$A$3390,Q$1,'United Data'!$C$3:$C$3390,$A249)&gt;0,1,0)</f>
        <v>0</v>
      </c>
      <c r="R249">
        <f>IF(COUNTIFS('United Data'!$A$3:$A$3390,R$1,'United Data'!$C$3:$C$3390,$A249)&gt;0,1,0)</f>
        <v>0</v>
      </c>
      <c r="S249">
        <f t="shared" si="6"/>
        <v>1</v>
      </c>
      <c r="T249">
        <f t="shared" si="7"/>
        <v>1</v>
      </c>
    </row>
    <row r="250" spans="1:20" x14ac:dyDescent="0.2">
      <c r="A250" t="s">
        <v>323</v>
      </c>
      <c r="B250">
        <f>IF(COUNTIFS('United Data'!$A$3:$A$3390,B$1,'United Data'!$C$3:$C$3390,$A250)&gt;0,1,0)</f>
        <v>0</v>
      </c>
      <c r="C250">
        <f>IF(COUNTIFS('United Data'!$A$3:$A$3390,C$1,'United Data'!$C$3:$C$3390,$A250)&gt;0,1,0)</f>
        <v>0</v>
      </c>
      <c r="D250">
        <f>IF(COUNTIFS('United Data'!$A$3:$A$3390,D$1,'United Data'!$C$3:$C$3390,$A250)&gt;0,1,0)</f>
        <v>0</v>
      </c>
      <c r="E250">
        <f>IF(COUNTIFS('United Data'!$A$3:$A$3390,E$1,'United Data'!$C$3:$C$3390,$A250)&gt;0,1,0)</f>
        <v>1</v>
      </c>
      <c r="F250">
        <f>IF(COUNTIFS('United Data'!$A$3:$A$3390,F$1,'United Data'!$C$3:$C$3390,$A250)&gt;0,1,0)</f>
        <v>0</v>
      </c>
      <c r="G250">
        <f>IF(COUNTIFS('United Data'!$A$3:$A$3390,G$1,'United Data'!$C$3:$C$3390,$A250)&gt;0,1,0)</f>
        <v>0</v>
      </c>
      <c r="H250">
        <f>IF(COUNTIFS('United Data'!$A$3:$A$3390,H$1,'United Data'!$C$3:$C$3390,$A250)&gt;0,1,0)</f>
        <v>0</v>
      </c>
      <c r="I250">
        <f>IF(COUNTIFS('United Data'!$A$3:$A$3390,I$1,'United Data'!$C$3:$C$3390,$A250)&gt;0,1,0)</f>
        <v>0</v>
      </c>
      <c r="J250">
        <f>IF(COUNTIFS('United Data'!$A$3:$A$3390,J$1,'United Data'!$C$3:$C$3390,$A250)&gt;0,1,0)</f>
        <v>0</v>
      </c>
      <c r="K250">
        <f>IF(COUNTIFS('United Data'!$A$3:$A$3390,K$1,'United Data'!$C$3:$C$3390,$A250)&gt;0,1,0)</f>
        <v>0</v>
      </c>
      <c r="L250">
        <f>IF(COUNTIFS('United Data'!$A$3:$A$3390,L$1,'United Data'!$C$3:$C$3390,$A250)&gt;0,1,0)</f>
        <v>0</v>
      </c>
      <c r="M250">
        <f>IF(COUNTIFS('United Data'!$A$3:$A$3390,M$1,'United Data'!$C$3:$C$3390,$A250)&gt;0,1,0)</f>
        <v>0</v>
      </c>
      <c r="N250">
        <f>IF(COUNTIFS('United Data'!$A$3:$A$3390,N$1,'United Data'!$C$3:$C$3390,$A250)&gt;0,1,0)</f>
        <v>0</v>
      </c>
      <c r="O250">
        <f>IF(COUNTIFS('United Data'!$A$3:$A$3390,O$1,'United Data'!$C$3:$C$3390,$A250)&gt;0,1,0)</f>
        <v>0</v>
      </c>
      <c r="P250">
        <f>IF(COUNTIFS('United Data'!$A$3:$A$3390,P$1,'United Data'!$C$3:$C$3390,$A250)&gt;0,1,0)</f>
        <v>0</v>
      </c>
      <c r="Q250">
        <f>IF(COUNTIFS('United Data'!$A$3:$A$3390,Q$1,'United Data'!$C$3:$C$3390,$A250)&gt;0,1,0)</f>
        <v>0</v>
      </c>
      <c r="R250">
        <f>IF(COUNTIFS('United Data'!$A$3:$A$3390,R$1,'United Data'!$C$3:$C$3390,$A250)&gt;0,1,0)</f>
        <v>0</v>
      </c>
      <c r="S250">
        <f t="shared" si="6"/>
        <v>1</v>
      </c>
      <c r="T250">
        <f t="shared" si="7"/>
        <v>1</v>
      </c>
    </row>
    <row r="251" spans="1:20" x14ac:dyDescent="0.2">
      <c r="A251" t="s">
        <v>324</v>
      </c>
      <c r="B251">
        <f>IF(COUNTIFS('United Data'!$A$3:$A$3390,B$1,'United Data'!$C$3:$C$3390,$A251)&gt;0,1,0)</f>
        <v>0</v>
      </c>
      <c r="C251">
        <f>IF(COUNTIFS('United Data'!$A$3:$A$3390,C$1,'United Data'!$C$3:$C$3390,$A251)&gt;0,1,0)</f>
        <v>0</v>
      </c>
      <c r="D251">
        <f>IF(COUNTIFS('United Data'!$A$3:$A$3390,D$1,'United Data'!$C$3:$C$3390,$A251)&gt;0,1,0)</f>
        <v>0</v>
      </c>
      <c r="E251">
        <f>IF(COUNTIFS('United Data'!$A$3:$A$3390,E$1,'United Data'!$C$3:$C$3390,$A251)&gt;0,1,0)</f>
        <v>1</v>
      </c>
      <c r="F251">
        <f>IF(COUNTIFS('United Data'!$A$3:$A$3390,F$1,'United Data'!$C$3:$C$3390,$A251)&gt;0,1,0)</f>
        <v>0</v>
      </c>
      <c r="G251">
        <f>IF(COUNTIFS('United Data'!$A$3:$A$3390,G$1,'United Data'!$C$3:$C$3390,$A251)&gt;0,1,0)</f>
        <v>0</v>
      </c>
      <c r="H251">
        <f>IF(COUNTIFS('United Data'!$A$3:$A$3390,H$1,'United Data'!$C$3:$C$3390,$A251)&gt;0,1,0)</f>
        <v>0</v>
      </c>
      <c r="I251">
        <f>IF(COUNTIFS('United Data'!$A$3:$A$3390,I$1,'United Data'!$C$3:$C$3390,$A251)&gt;0,1,0)</f>
        <v>0</v>
      </c>
      <c r="J251">
        <f>IF(COUNTIFS('United Data'!$A$3:$A$3390,J$1,'United Data'!$C$3:$C$3390,$A251)&gt;0,1,0)</f>
        <v>0</v>
      </c>
      <c r="K251">
        <f>IF(COUNTIFS('United Data'!$A$3:$A$3390,K$1,'United Data'!$C$3:$C$3390,$A251)&gt;0,1,0)</f>
        <v>0</v>
      </c>
      <c r="L251">
        <f>IF(COUNTIFS('United Data'!$A$3:$A$3390,L$1,'United Data'!$C$3:$C$3390,$A251)&gt;0,1,0)</f>
        <v>0</v>
      </c>
      <c r="M251">
        <f>IF(COUNTIFS('United Data'!$A$3:$A$3390,M$1,'United Data'!$C$3:$C$3390,$A251)&gt;0,1,0)</f>
        <v>0</v>
      </c>
      <c r="N251">
        <f>IF(COUNTIFS('United Data'!$A$3:$A$3390,N$1,'United Data'!$C$3:$C$3390,$A251)&gt;0,1,0)</f>
        <v>0</v>
      </c>
      <c r="O251">
        <f>IF(COUNTIFS('United Data'!$A$3:$A$3390,O$1,'United Data'!$C$3:$C$3390,$A251)&gt;0,1,0)</f>
        <v>0</v>
      </c>
      <c r="P251">
        <f>IF(COUNTIFS('United Data'!$A$3:$A$3390,P$1,'United Data'!$C$3:$C$3390,$A251)&gt;0,1,0)</f>
        <v>0</v>
      </c>
      <c r="Q251">
        <f>IF(COUNTIFS('United Data'!$A$3:$A$3390,Q$1,'United Data'!$C$3:$C$3390,$A251)&gt;0,1,0)</f>
        <v>0</v>
      </c>
      <c r="R251">
        <f>IF(COUNTIFS('United Data'!$A$3:$A$3390,R$1,'United Data'!$C$3:$C$3390,$A251)&gt;0,1,0)</f>
        <v>0</v>
      </c>
      <c r="S251">
        <f t="shared" si="6"/>
        <v>1</v>
      </c>
      <c r="T251">
        <f t="shared" si="7"/>
        <v>1</v>
      </c>
    </row>
    <row r="252" spans="1:20" x14ac:dyDescent="0.2">
      <c r="A252" t="s">
        <v>325</v>
      </c>
      <c r="B252">
        <f>IF(COUNTIFS('United Data'!$A$3:$A$3390,B$1,'United Data'!$C$3:$C$3390,$A252)&gt;0,1,0)</f>
        <v>0</v>
      </c>
      <c r="C252">
        <f>IF(COUNTIFS('United Data'!$A$3:$A$3390,C$1,'United Data'!$C$3:$C$3390,$A252)&gt;0,1,0)</f>
        <v>0</v>
      </c>
      <c r="D252">
        <f>IF(COUNTIFS('United Data'!$A$3:$A$3390,D$1,'United Data'!$C$3:$C$3390,$A252)&gt;0,1,0)</f>
        <v>0</v>
      </c>
      <c r="E252">
        <f>IF(COUNTIFS('United Data'!$A$3:$A$3390,E$1,'United Data'!$C$3:$C$3390,$A252)&gt;0,1,0)</f>
        <v>1</v>
      </c>
      <c r="F252">
        <f>IF(COUNTIFS('United Data'!$A$3:$A$3390,F$1,'United Data'!$C$3:$C$3390,$A252)&gt;0,1,0)</f>
        <v>0</v>
      </c>
      <c r="G252">
        <f>IF(COUNTIFS('United Data'!$A$3:$A$3390,G$1,'United Data'!$C$3:$C$3390,$A252)&gt;0,1,0)</f>
        <v>0</v>
      </c>
      <c r="H252">
        <f>IF(COUNTIFS('United Data'!$A$3:$A$3390,H$1,'United Data'!$C$3:$C$3390,$A252)&gt;0,1,0)</f>
        <v>0</v>
      </c>
      <c r="I252">
        <f>IF(COUNTIFS('United Data'!$A$3:$A$3390,I$1,'United Data'!$C$3:$C$3390,$A252)&gt;0,1,0)</f>
        <v>0</v>
      </c>
      <c r="J252">
        <f>IF(COUNTIFS('United Data'!$A$3:$A$3390,J$1,'United Data'!$C$3:$C$3390,$A252)&gt;0,1,0)</f>
        <v>0</v>
      </c>
      <c r="K252">
        <f>IF(COUNTIFS('United Data'!$A$3:$A$3390,K$1,'United Data'!$C$3:$C$3390,$A252)&gt;0,1,0)</f>
        <v>0</v>
      </c>
      <c r="L252">
        <f>IF(COUNTIFS('United Data'!$A$3:$A$3390,L$1,'United Data'!$C$3:$C$3390,$A252)&gt;0,1,0)</f>
        <v>0</v>
      </c>
      <c r="M252">
        <f>IF(COUNTIFS('United Data'!$A$3:$A$3390,M$1,'United Data'!$C$3:$C$3390,$A252)&gt;0,1,0)</f>
        <v>0</v>
      </c>
      <c r="N252">
        <f>IF(COUNTIFS('United Data'!$A$3:$A$3390,N$1,'United Data'!$C$3:$C$3390,$A252)&gt;0,1,0)</f>
        <v>0</v>
      </c>
      <c r="O252">
        <f>IF(COUNTIFS('United Data'!$A$3:$A$3390,O$1,'United Data'!$C$3:$C$3390,$A252)&gt;0,1,0)</f>
        <v>0</v>
      </c>
      <c r="P252">
        <f>IF(COUNTIFS('United Data'!$A$3:$A$3390,P$1,'United Data'!$C$3:$C$3390,$A252)&gt;0,1,0)</f>
        <v>0</v>
      </c>
      <c r="Q252">
        <f>IF(COUNTIFS('United Data'!$A$3:$A$3390,Q$1,'United Data'!$C$3:$C$3390,$A252)&gt;0,1,0)</f>
        <v>0</v>
      </c>
      <c r="R252">
        <f>IF(COUNTIFS('United Data'!$A$3:$A$3390,R$1,'United Data'!$C$3:$C$3390,$A252)&gt;0,1,0)</f>
        <v>0</v>
      </c>
      <c r="S252">
        <f t="shared" si="6"/>
        <v>1</v>
      </c>
      <c r="T252">
        <f t="shared" si="7"/>
        <v>1</v>
      </c>
    </row>
    <row r="253" spans="1:20" x14ac:dyDescent="0.2">
      <c r="A253" t="s">
        <v>326</v>
      </c>
      <c r="B253">
        <f>IF(COUNTIFS('United Data'!$A$3:$A$3390,B$1,'United Data'!$C$3:$C$3390,$A253)&gt;0,1,0)</f>
        <v>0</v>
      </c>
      <c r="C253">
        <f>IF(COUNTIFS('United Data'!$A$3:$A$3390,C$1,'United Data'!$C$3:$C$3390,$A253)&gt;0,1,0)</f>
        <v>1</v>
      </c>
      <c r="D253">
        <f>IF(COUNTIFS('United Data'!$A$3:$A$3390,D$1,'United Data'!$C$3:$C$3390,$A253)&gt;0,1,0)</f>
        <v>1</v>
      </c>
      <c r="E253">
        <f>IF(COUNTIFS('United Data'!$A$3:$A$3390,E$1,'United Data'!$C$3:$C$3390,$A253)&gt;0,1,0)</f>
        <v>1</v>
      </c>
      <c r="F253">
        <f>IF(COUNTIFS('United Data'!$A$3:$A$3390,F$1,'United Data'!$C$3:$C$3390,$A253)&gt;0,1,0)</f>
        <v>1</v>
      </c>
      <c r="G253">
        <f>IF(COUNTIFS('United Data'!$A$3:$A$3390,G$1,'United Data'!$C$3:$C$3390,$A253)&gt;0,1,0)</f>
        <v>0</v>
      </c>
      <c r="H253">
        <f>IF(COUNTIFS('United Data'!$A$3:$A$3390,H$1,'United Data'!$C$3:$C$3390,$A253)&gt;0,1,0)</f>
        <v>0</v>
      </c>
      <c r="I253">
        <f>IF(COUNTIFS('United Data'!$A$3:$A$3390,I$1,'United Data'!$C$3:$C$3390,$A253)&gt;0,1,0)</f>
        <v>1</v>
      </c>
      <c r="J253">
        <f>IF(COUNTIFS('United Data'!$A$3:$A$3390,J$1,'United Data'!$C$3:$C$3390,$A253)&gt;0,1,0)</f>
        <v>0</v>
      </c>
      <c r="K253">
        <f>IF(COUNTIFS('United Data'!$A$3:$A$3390,K$1,'United Data'!$C$3:$C$3390,$A253)&gt;0,1,0)</f>
        <v>0</v>
      </c>
      <c r="L253">
        <f>IF(COUNTIFS('United Data'!$A$3:$A$3390,L$1,'United Data'!$C$3:$C$3390,$A253)&gt;0,1,0)</f>
        <v>0</v>
      </c>
      <c r="M253">
        <f>IF(COUNTIFS('United Data'!$A$3:$A$3390,M$1,'United Data'!$C$3:$C$3390,$A253)&gt;0,1,0)</f>
        <v>0</v>
      </c>
      <c r="N253">
        <f>IF(COUNTIFS('United Data'!$A$3:$A$3390,N$1,'United Data'!$C$3:$C$3390,$A253)&gt;0,1,0)</f>
        <v>1</v>
      </c>
      <c r="O253">
        <f>IF(COUNTIFS('United Data'!$A$3:$A$3390,O$1,'United Data'!$C$3:$C$3390,$A253)&gt;0,1,0)</f>
        <v>1</v>
      </c>
      <c r="P253">
        <f>IF(COUNTIFS('United Data'!$A$3:$A$3390,P$1,'United Data'!$C$3:$C$3390,$A253)&gt;0,1,0)</f>
        <v>0</v>
      </c>
      <c r="Q253">
        <f>IF(COUNTIFS('United Data'!$A$3:$A$3390,Q$1,'United Data'!$C$3:$C$3390,$A253)&gt;0,1,0)</f>
        <v>1</v>
      </c>
      <c r="R253">
        <f>IF(COUNTIFS('United Data'!$A$3:$A$3390,R$1,'United Data'!$C$3:$C$3390,$A253)&gt;0,1,0)</f>
        <v>0</v>
      </c>
      <c r="S253">
        <f t="shared" si="6"/>
        <v>8</v>
      </c>
      <c r="T253">
        <f t="shared" si="7"/>
        <v>4</v>
      </c>
    </row>
    <row r="254" spans="1:20" x14ac:dyDescent="0.2">
      <c r="A254" t="s">
        <v>327</v>
      </c>
      <c r="B254">
        <f>IF(COUNTIFS('United Data'!$A$3:$A$3390,B$1,'United Data'!$C$3:$C$3390,$A254)&gt;0,1,0)</f>
        <v>0</v>
      </c>
      <c r="C254">
        <f>IF(COUNTIFS('United Data'!$A$3:$A$3390,C$1,'United Data'!$C$3:$C$3390,$A254)&gt;0,1,0)</f>
        <v>1</v>
      </c>
      <c r="D254">
        <f>IF(COUNTIFS('United Data'!$A$3:$A$3390,D$1,'United Data'!$C$3:$C$3390,$A254)&gt;0,1,0)</f>
        <v>0</v>
      </c>
      <c r="E254">
        <f>IF(COUNTIFS('United Data'!$A$3:$A$3390,E$1,'United Data'!$C$3:$C$3390,$A254)&gt;0,1,0)</f>
        <v>1</v>
      </c>
      <c r="F254">
        <f>IF(COUNTIFS('United Data'!$A$3:$A$3390,F$1,'United Data'!$C$3:$C$3390,$A254)&gt;0,1,0)</f>
        <v>0</v>
      </c>
      <c r="G254">
        <f>IF(COUNTIFS('United Data'!$A$3:$A$3390,G$1,'United Data'!$C$3:$C$3390,$A254)&gt;0,1,0)</f>
        <v>1</v>
      </c>
      <c r="H254">
        <f>IF(COUNTIFS('United Data'!$A$3:$A$3390,H$1,'United Data'!$C$3:$C$3390,$A254)&gt;0,1,0)</f>
        <v>0</v>
      </c>
      <c r="I254">
        <f>IF(COUNTIFS('United Data'!$A$3:$A$3390,I$1,'United Data'!$C$3:$C$3390,$A254)&gt;0,1,0)</f>
        <v>0</v>
      </c>
      <c r="J254">
        <f>IF(COUNTIFS('United Data'!$A$3:$A$3390,J$1,'United Data'!$C$3:$C$3390,$A254)&gt;0,1,0)</f>
        <v>0</v>
      </c>
      <c r="K254">
        <f>IF(COUNTIFS('United Data'!$A$3:$A$3390,K$1,'United Data'!$C$3:$C$3390,$A254)&gt;0,1,0)</f>
        <v>1</v>
      </c>
      <c r="L254">
        <f>IF(COUNTIFS('United Data'!$A$3:$A$3390,L$1,'United Data'!$C$3:$C$3390,$A254)&gt;0,1,0)</f>
        <v>0</v>
      </c>
      <c r="M254">
        <f>IF(COUNTIFS('United Data'!$A$3:$A$3390,M$1,'United Data'!$C$3:$C$3390,$A254)&gt;0,1,0)</f>
        <v>0</v>
      </c>
      <c r="N254">
        <f>IF(COUNTIFS('United Data'!$A$3:$A$3390,N$1,'United Data'!$C$3:$C$3390,$A254)&gt;0,1,0)</f>
        <v>0</v>
      </c>
      <c r="O254">
        <f>IF(COUNTIFS('United Data'!$A$3:$A$3390,O$1,'United Data'!$C$3:$C$3390,$A254)&gt;0,1,0)</f>
        <v>1</v>
      </c>
      <c r="P254">
        <f>IF(COUNTIFS('United Data'!$A$3:$A$3390,P$1,'United Data'!$C$3:$C$3390,$A254)&gt;0,1,0)</f>
        <v>0</v>
      </c>
      <c r="Q254">
        <f>IF(COUNTIFS('United Data'!$A$3:$A$3390,Q$1,'United Data'!$C$3:$C$3390,$A254)&gt;0,1,0)</f>
        <v>1</v>
      </c>
      <c r="R254">
        <f>IF(COUNTIFS('United Data'!$A$3:$A$3390,R$1,'United Data'!$C$3:$C$3390,$A254)&gt;0,1,0)</f>
        <v>0</v>
      </c>
      <c r="S254">
        <f t="shared" si="6"/>
        <v>6</v>
      </c>
      <c r="T254">
        <f t="shared" si="7"/>
        <v>6</v>
      </c>
    </row>
    <row r="255" spans="1:20" x14ac:dyDescent="0.2">
      <c r="A255" t="s">
        <v>328</v>
      </c>
      <c r="B255">
        <f>IF(COUNTIFS('United Data'!$A$3:$A$3390,B$1,'United Data'!$C$3:$C$3390,$A255)&gt;0,1,0)</f>
        <v>0</v>
      </c>
      <c r="C255">
        <f>IF(COUNTIFS('United Data'!$A$3:$A$3390,C$1,'United Data'!$C$3:$C$3390,$A255)&gt;0,1,0)</f>
        <v>0</v>
      </c>
      <c r="D255">
        <f>IF(COUNTIFS('United Data'!$A$3:$A$3390,D$1,'United Data'!$C$3:$C$3390,$A255)&gt;0,1,0)</f>
        <v>0</v>
      </c>
      <c r="E255">
        <f>IF(COUNTIFS('United Data'!$A$3:$A$3390,E$1,'United Data'!$C$3:$C$3390,$A255)&gt;0,1,0)</f>
        <v>1</v>
      </c>
      <c r="F255">
        <f>IF(COUNTIFS('United Data'!$A$3:$A$3390,F$1,'United Data'!$C$3:$C$3390,$A255)&gt;0,1,0)</f>
        <v>0</v>
      </c>
      <c r="G255">
        <f>IF(COUNTIFS('United Data'!$A$3:$A$3390,G$1,'United Data'!$C$3:$C$3390,$A255)&gt;0,1,0)</f>
        <v>0</v>
      </c>
      <c r="H255">
        <f>IF(COUNTIFS('United Data'!$A$3:$A$3390,H$1,'United Data'!$C$3:$C$3390,$A255)&gt;0,1,0)</f>
        <v>0</v>
      </c>
      <c r="I255">
        <f>IF(COUNTIFS('United Data'!$A$3:$A$3390,I$1,'United Data'!$C$3:$C$3390,$A255)&gt;0,1,0)</f>
        <v>0</v>
      </c>
      <c r="J255">
        <f>IF(COUNTIFS('United Data'!$A$3:$A$3390,J$1,'United Data'!$C$3:$C$3390,$A255)&gt;0,1,0)</f>
        <v>0</v>
      </c>
      <c r="K255">
        <f>IF(COUNTIFS('United Data'!$A$3:$A$3390,K$1,'United Data'!$C$3:$C$3390,$A255)&gt;0,1,0)</f>
        <v>0</v>
      </c>
      <c r="L255">
        <f>IF(COUNTIFS('United Data'!$A$3:$A$3390,L$1,'United Data'!$C$3:$C$3390,$A255)&gt;0,1,0)</f>
        <v>0</v>
      </c>
      <c r="M255">
        <f>IF(COUNTIFS('United Data'!$A$3:$A$3390,M$1,'United Data'!$C$3:$C$3390,$A255)&gt;0,1,0)</f>
        <v>0</v>
      </c>
      <c r="N255">
        <f>IF(COUNTIFS('United Data'!$A$3:$A$3390,N$1,'United Data'!$C$3:$C$3390,$A255)&gt;0,1,0)</f>
        <v>0</v>
      </c>
      <c r="O255">
        <f>IF(COUNTIFS('United Data'!$A$3:$A$3390,O$1,'United Data'!$C$3:$C$3390,$A255)&gt;0,1,0)</f>
        <v>0</v>
      </c>
      <c r="P255">
        <f>IF(COUNTIFS('United Data'!$A$3:$A$3390,P$1,'United Data'!$C$3:$C$3390,$A255)&gt;0,1,0)</f>
        <v>0</v>
      </c>
      <c r="Q255">
        <f>IF(COUNTIFS('United Data'!$A$3:$A$3390,Q$1,'United Data'!$C$3:$C$3390,$A255)&gt;0,1,0)</f>
        <v>0</v>
      </c>
      <c r="R255">
        <f>IF(COUNTIFS('United Data'!$A$3:$A$3390,R$1,'United Data'!$C$3:$C$3390,$A255)&gt;0,1,0)</f>
        <v>0</v>
      </c>
      <c r="S255">
        <f t="shared" si="6"/>
        <v>1</v>
      </c>
      <c r="T255">
        <f t="shared" si="7"/>
        <v>1</v>
      </c>
    </row>
    <row r="256" spans="1:20" x14ac:dyDescent="0.2">
      <c r="A256" t="s">
        <v>330</v>
      </c>
      <c r="B256">
        <f>IF(COUNTIFS('United Data'!$A$3:$A$3390,B$1,'United Data'!$C$3:$C$3390,$A256)&gt;0,1,0)</f>
        <v>0</v>
      </c>
      <c r="C256">
        <f>IF(COUNTIFS('United Data'!$A$3:$A$3390,C$1,'United Data'!$C$3:$C$3390,$A256)&gt;0,1,0)</f>
        <v>0</v>
      </c>
      <c r="D256">
        <f>IF(COUNTIFS('United Data'!$A$3:$A$3390,D$1,'United Data'!$C$3:$C$3390,$A256)&gt;0,1,0)</f>
        <v>0</v>
      </c>
      <c r="E256">
        <f>IF(COUNTIFS('United Data'!$A$3:$A$3390,E$1,'United Data'!$C$3:$C$3390,$A256)&gt;0,1,0)</f>
        <v>0</v>
      </c>
      <c r="F256">
        <f>IF(COUNTIFS('United Data'!$A$3:$A$3390,F$1,'United Data'!$C$3:$C$3390,$A256)&gt;0,1,0)</f>
        <v>1</v>
      </c>
      <c r="G256">
        <f>IF(COUNTIFS('United Data'!$A$3:$A$3390,G$1,'United Data'!$C$3:$C$3390,$A256)&gt;0,1,0)</f>
        <v>0</v>
      </c>
      <c r="H256">
        <f>IF(COUNTIFS('United Data'!$A$3:$A$3390,H$1,'United Data'!$C$3:$C$3390,$A256)&gt;0,1,0)</f>
        <v>0</v>
      </c>
      <c r="I256">
        <f>IF(COUNTIFS('United Data'!$A$3:$A$3390,I$1,'United Data'!$C$3:$C$3390,$A256)&gt;0,1,0)</f>
        <v>0</v>
      </c>
      <c r="J256">
        <f>IF(COUNTIFS('United Data'!$A$3:$A$3390,J$1,'United Data'!$C$3:$C$3390,$A256)&gt;0,1,0)</f>
        <v>0</v>
      </c>
      <c r="K256">
        <f>IF(COUNTIFS('United Data'!$A$3:$A$3390,K$1,'United Data'!$C$3:$C$3390,$A256)&gt;0,1,0)</f>
        <v>0</v>
      </c>
      <c r="L256">
        <f>IF(COUNTIFS('United Data'!$A$3:$A$3390,L$1,'United Data'!$C$3:$C$3390,$A256)&gt;0,1,0)</f>
        <v>0</v>
      </c>
      <c r="M256">
        <f>IF(COUNTIFS('United Data'!$A$3:$A$3390,M$1,'United Data'!$C$3:$C$3390,$A256)&gt;0,1,0)</f>
        <v>0</v>
      </c>
      <c r="N256">
        <f>IF(COUNTIFS('United Data'!$A$3:$A$3390,N$1,'United Data'!$C$3:$C$3390,$A256)&gt;0,1,0)</f>
        <v>0</v>
      </c>
      <c r="O256">
        <f>IF(COUNTIFS('United Data'!$A$3:$A$3390,O$1,'United Data'!$C$3:$C$3390,$A256)&gt;0,1,0)</f>
        <v>0</v>
      </c>
      <c r="P256">
        <f>IF(COUNTIFS('United Data'!$A$3:$A$3390,P$1,'United Data'!$C$3:$C$3390,$A256)&gt;0,1,0)</f>
        <v>0</v>
      </c>
      <c r="Q256">
        <f>IF(COUNTIFS('United Data'!$A$3:$A$3390,Q$1,'United Data'!$C$3:$C$3390,$A256)&gt;0,1,0)</f>
        <v>0</v>
      </c>
      <c r="R256">
        <f>IF(COUNTIFS('United Data'!$A$3:$A$3390,R$1,'United Data'!$C$3:$C$3390,$A256)&gt;0,1,0)</f>
        <v>0</v>
      </c>
      <c r="S256">
        <f t="shared" si="6"/>
        <v>1</v>
      </c>
      <c r="T256">
        <f t="shared" si="7"/>
        <v>1</v>
      </c>
    </row>
    <row r="257" spans="1:20" x14ac:dyDescent="0.2">
      <c r="A257" t="s">
        <v>331</v>
      </c>
      <c r="B257">
        <f>IF(COUNTIFS('United Data'!$A$3:$A$3390,B$1,'United Data'!$C$3:$C$3390,$A257)&gt;0,1,0)</f>
        <v>0</v>
      </c>
      <c r="C257">
        <f>IF(COUNTIFS('United Data'!$A$3:$A$3390,C$1,'United Data'!$C$3:$C$3390,$A257)&gt;0,1,0)</f>
        <v>1</v>
      </c>
      <c r="D257">
        <f>IF(COUNTIFS('United Data'!$A$3:$A$3390,D$1,'United Data'!$C$3:$C$3390,$A257)&gt;0,1,0)</f>
        <v>1</v>
      </c>
      <c r="E257">
        <f>IF(COUNTIFS('United Data'!$A$3:$A$3390,E$1,'United Data'!$C$3:$C$3390,$A257)&gt;0,1,0)</f>
        <v>0</v>
      </c>
      <c r="F257">
        <f>IF(COUNTIFS('United Data'!$A$3:$A$3390,F$1,'United Data'!$C$3:$C$3390,$A257)&gt;0,1,0)</f>
        <v>1</v>
      </c>
      <c r="G257">
        <f>IF(COUNTIFS('United Data'!$A$3:$A$3390,G$1,'United Data'!$C$3:$C$3390,$A257)&gt;0,1,0)</f>
        <v>0</v>
      </c>
      <c r="H257">
        <f>IF(COUNTIFS('United Data'!$A$3:$A$3390,H$1,'United Data'!$C$3:$C$3390,$A257)&gt;0,1,0)</f>
        <v>0</v>
      </c>
      <c r="I257">
        <f>IF(COUNTIFS('United Data'!$A$3:$A$3390,I$1,'United Data'!$C$3:$C$3390,$A257)&gt;0,1,0)</f>
        <v>0</v>
      </c>
      <c r="J257">
        <f>IF(COUNTIFS('United Data'!$A$3:$A$3390,J$1,'United Data'!$C$3:$C$3390,$A257)&gt;0,1,0)</f>
        <v>0</v>
      </c>
      <c r="K257">
        <f>IF(COUNTIFS('United Data'!$A$3:$A$3390,K$1,'United Data'!$C$3:$C$3390,$A257)&gt;0,1,0)</f>
        <v>0</v>
      </c>
      <c r="L257">
        <f>IF(COUNTIFS('United Data'!$A$3:$A$3390,L$1,'United Data'!$C$3:$C$3390,$A257)&gt;0,1,0)</f>
        <v>0</v>
      </c>
      <c r="M257">
        <f>IF(COUNTIFS('United Data'!$A$3:$A$3390,M$1,'United Data'!$C$3:$C$3390,$A257)&gt;0,1,0)</f>
        <v>1</v>
      </c>
      <c r="N257">
        <f>IF(COUNTIFS('United Data'!$A$3:$A$3390,N$1,'United Data'!$C$3:$C$3390,$A257)&gt;0,1,0)</f>
        <v>1</v>
      </c>
      <c r="O257">
        <f>IF(COUNTIFS('United Data'!$A$3:$A$3390,O$1,'United Data'!$C$3:$C$3390,$A257)&gt;0,1,0)</f>
        <v>1</v>
      </c>
      <c r="P257">
        <f>IF(COUNTIFS('United Data'!$A$3:$A$3390,P$1,'United Data'!$C$3:$C$3390,$A257)&gt;0,1,0)</f>
        <v>1</v>
      </c>
      <c r="Q257">
        <f>IF(COUNTIFS('United Data'!$A$3:$A$3390,Q$1,'United Data'!$C$3:$C$3390,$A257)&gt;0,1,0)</f>
        <v>0</v>
      </c>
      <c r="R257">
        <f>IF(COUNTIFS('United Data'!$A$3:$A$3390,R$1,'United Data'!$C$3:$C$3390,$A257)&gt;0,1,0)</f>
        <v>0</v>
      </c>
      <c r="S257">
        <f t="shared" si="6"/>
        <v>7</v>
      </c>
      <c r="T257">
        <f t="shared" si="7"/>
        <v>3</v>
      </c>
    </row>
    <row r="258" spans="1:20" x14ac:dyDescent="0.2">
      <c r="A258" t="s">
        <v>334</v>
      </c>
      <c r="B258">
        <f>IF(COUNTIFS('United Data'!$A$3:$A$3390,B$1,'United Data'!$C$3:$C$3390,$A258)&gt;0,1,0)</f>
        <v>0</v>
      </c>
      <c r="C258">
        <f>IF(COUNTIFS('United Data'!$A$3:$A$3390,C$1,'United Data'!$C$3:$C$3390,$A258)&gt;0,1,0)</f>
        <v>0</v>
      </c>
      <c r="D258">
        <f>IF(COUNTIFS('United Data'!$A$3:$A$3390,D$1,'United Data'!$C$3:$C$3390,$A258)&gt;0,1,0)</f>
        <v>0</v>
      </c>
      <c r="E258">
        <f>IF(COUNTIFS('United Data'!$A$3:$A$3390,E$1,'United Data'!$C$3:$C$3390,$A258)&gt;0,1,0)</f>
        <v>0</v>
      </c>
      <c r="F258">
        <f>IF(COUNTIFS('United Data'!$A$3:$A$3390,F$1,'United Data'!$C$3:$C$3390,$A258)&gt;0,1,0)</f>
        <v>1</v>
      </c>
      <c r="G258">
        <f>IF(COUNTIFS('United Data'!$A$3:$A$3390,G$1,'United Data'!$C$3:$C$3390,$A258)&gt;0,1,0)</f>
        <v>0</v>
      </c>
      <c r="H258">
        <f>IF(COUNTIFS('United Data'!$A$3:$A$3390,H$1,'United Data'!$C$3:$C$3390,$A258)&gt;0,1,0)</f>
        <v>0</v>
      </c>
      <c r="I258">
        <f>IF(COUNTIFS('United Data'!$A$3:$A$3390,I$1,'United Data'!$C$3:$C$3390,$A258)&gt;0,1,0)</f>
        <v>0</v>
      </c>
      <c r="J258">
        <f>IF(COUNTIFS('United Data'!$A$3:$A$3390,J$1,'United Data'!$C$3:$C$3390,$A258)&gt;0,1,0)</f>
        <v>0</v>
      </c>
      <c r="K258">
        <f>IF(COUNTIFS('United Data'!$A$3:$A$3390,K$1,'United Data'!$C$3:$C$3390,$A258)&gt;0,1,0)</f>
        <v>0</v>
      </c>
      <c r="L258">
        <f>IF(COUNTIFS('United Data'!$A$3:$A$3390,L$1,'United Data'!$C$3:$C$3390,$A258)&gt;0,1,0)</f>
        <v>0</v>
      </c>
      <c r="M258">
        <f>IF(COUNTIFS('United Data'!$A$3:$A$3390,M$1,'United Data'!$C$3:$C$3390,$A258)&gt;0,1,0)</f>
        <v>0</v>
      </c>
      <c r="N258">
        <f>IF(COUNTIFS('United Data'!$A$3:$A$3390,N$1,'United Data'!$C$3:$C$3390,$A258)&gt;0,1,0)</f>
        <v>0</v>
      </c>
      <c r="O258">
        <f>IF(COUNTIFS('United Data'!$A$3:$A$3390,O$1,'United Data'!$C$3:$C$3390,$A258)&gt;0,1,0)</f>
        <v>0</v>
      </c>
      <c r="P258">
        <f>IF(COUNTIFS('United Data'!$A$3:$A$3390,P$1,'United Data'!$C$3:$C$3390,$A258)&gt;0,1,0)</f>
        <v>0</v>
      </c>
      <c r="Q258">
        <f>IF(COUNTIFS('United Data'!$A$3:$A$3390,Q$1,'United Data'!$C$3:$C$3390,$A258)&gt;0,1,0)</f>
        <v>0</v>
      </c>
      <c r="R258">
        <f>IF(COUNTIFS('United Data'!$A$3:$A$3390,R$1,'United Data'!$C$3:$C$3390,$A258)&gt;0,1,0)</f>
        <v>0</v>
      </c>
      <c r="S258">
        <f t="shared" ref="S258:S321" si="8">SUM(B258:R258)</f>
        <v>1</v>
      </c>
      <c r="T258">
        <f t="shared" ref="T258:T321" si="9">B258+SUMPRODUCT(--(C258:R258&gt;B258:Q258))</f>
        <v>1</v>
      </c>
    </row>
    <row r="259" spans="1:20" x14ac:dyDescent="0.2">
      <c r="A259" t="s">
        <v>335</v>
      </c>
      <c r="B259">
        <f>IF(COUNTIFS('United Data'!$A$3:$A$3390,B$1,'United Data'!$C$3:$C$3390,$A259)&gt;0,1,0)</f>
        <v>0</v>
      </c>
      <c r="C259">
        <f>IF(COUNTIFS('United Data'!$A$3:$A$3390,C$1,'United Data'!$C$3:$C$3390,$A259)&gt;0,1,0)</f>
        <v>0</v>
      </c>
      <c r="D259">
        <f>IF(COUNTIFS('United Data'!$A$3:$A$3390,D$1,'United Data'!$C$3:$C$3390,$A259)&gt;0,1,0)</f>
        <v>0</v>
      </c>
      <c r="E259">
        <f>IF(COUNTIFS('United Data'!$A$3:$A$3390,E$1,'United Data'!$C$3:$C$3390,$A259)&gt;0,1,0)</f>
        <v>0</v>
      </c>
      <c r="F259">
        <f>IF(COUNTIFS('United Data'!$A$3:$A$3390,F$1,'United Data'!$C$3:$C$3390,$A259)&gt;0,1,0)</f>
        <v>0</v>
      </c>
      <c r="G259">
        <f>IF(COUNTIFS('United Data'!$A$3:$A$3390,G$1,'United Data'!$C$3:$C$3390,$A259)&gt;0,1,0)</f>
        <v>1</v>
      </c>
      <c r="H259">
        <f>IF(COUNTIFS('United Data'!$A$3:$A$3390,H$1,'United Data'!$C$3:$C$3390,$A259)&gt;0,1,0)</f>
        <v>0</v>
      </c>
      <c r="I259">
        <f>IF(COUNTIFS('United Data'!$A$3:$A$3390,I$1,'United Data'!$C$3:$C$3390,$A259)&gt;0,1,0)</f>
        <v>0</v>
      </c>
      <c r="J259">
        <f>IF(COUNTIFS('United Data'!$A$3:$A$3390,J$1,'United Data'!$C$3:$C$3390,$A259)&gt;0,1,0)</f>
        <v>0</v>
      </c>
      <c r="K259">
        <f>IF(COUNTIFS('United Data'!$A$3:$A$3390,K$1,'United Data'!$C$3:$C$3390,$A259)&gt;0,1,0)</f>
        <v>0</v>
      </c>
      <c r="L259">
        <f>IF(COUNTIFS('United Data'!$A$3:$A$3390,L$1,'United Data'!$C$3:$C$3390,$A259)&gt;0,1,0)</f>
        <v>0</v>
      </c>
      <c r="M259">
        <f>IF(COUNTIFS('United Data'!$A$3:$A$3390,M$1,'United Data'!$C$3:$C$3390,$A259)&gt;0,1,0)</f>
        <v>0</v>
      </c>
      <c r="N259">
        <f>IF(COUNTIFS('United Data'!$A$3:$A$3390,N$1,'United Data'!$C$3:$C$3390,$A259)&gt;0,1,0)</f>
        <v>0</v>
      </c>
      <c r="O259">
        <f>IF(COUNTIFS('United Data'!$A$3:$A$3390,O$1,'United Data'!$C$3:$C$3390,$A259)&gt;0,1,0)</f>
        <v>0</v>
      </c>
      <c r="P259">
        <f>IF(COUNTIFS('United Data'!$A$3:$A$3390,P$1,'United Data'!$C$3:$C$3390,$A259)&gt;0,1,0)</f>
        <v>0</v>
      </c>
      <c r="Q259">
        <f>IF(COUNTIFS('United Data'!$A$3:$A$3390,Q$1,'United Data'!$C$3:$C$3390,$A259)&gt;0,1,0)</f>
        <v>0</v>
      </c>
      <c r="R259">
        <f>IF(COUNTIFS('United Data'!$A$3:$A$3390,R$1,'United Data'!$C$3:$C$3390,$A259)&gt;0,1,0)</f>
        <v>0</v>
      </c>
      <c r="S259">
        <f t="shared" si="8"/>
        <v>1</v>
      </c>
      <c r="T259">
        <f t="shared" si="9"/>
        <v>1</v>
      </c>
    </row>
    <row r="260" spans="1:20" x14ac:dyDescent="0.2">
      <c r="A260" t="s">
        <v>337</v>
      </c>
      <c r="B260">
        <f>IF(COUNTIFS('United Data'!$A$3:$A$3390,B$1,'United Data'!$C$3:$C$3390,$A260)&gt;0,1,0)</f>
        <v>0</v>
      </c>
      <c r="C260">
        <f>IF(COUNTIFS('United Data'!$A$3:$A$3390,C$1,'United Data'!$C$3:$C$3390,$A260)&gt;0,1,0)</f>
        <v>0</v>
      </c>
      <c r="D260">
        <f>IF(COUNTIFS('United Data'!$A$3:$A$3390,D$1,'United Data'!$C$3:$C$3390,$A260)&gt;0,1,0)</f>
        <v>0</v>
      </c>
      <c r="E260">
        <f>IF(COUNTIFS('United Data'!$A$3:$A$3390,E$1,'United Data'!$C$3:$C$3390,$A260)&gt;0,1,0)</f>
        <v>0</v>
      </c>
      <c r="F260">
        <f>IF(COUNTIFS('United Data'!$A$3:$A$3390,F$1,'United Data'!$C$3:$C$3390,$A260)&gt;0,1,0)</f>
        <v>0</v>
      </c>
      <c r="G260">
        <f>IF(COUNTIFS('United Data'!$A$3:$A$3390,G$1,'United Data'!$C$3:$C$3390,$A260)&gt;0,1,0)</f>
        <v>0</v>
      </c>
      <c r="H260">
        <f>IF(COUNTIFS('United Data'!$A$3:$A$3390,H$1,'United Data'!$C$3:$C$3390,$A260)&gt;0,1,0)</f>
        <v>0</v>
      </c>
      <c r="I260">
        <f>IF(COUNTIFS('United Data'!$A$3:$A$3390,I$1,'United Data'!$C$3:$C$3390,$A260)&gt;0,1,0)</f>
        <v>1</v>
      </c>
      <c r="J260">
        <f>IF(COUNTIFS('United Data'!$A$3:$A$3390,J$1,'United Data'!$C$3:$C$3390,$A260)&gt;0,1,0)</f>
        <v>1</v>
      </c>
      <c r="K260">
        <f>IF(COUNTIFS('United Data'!$A$3:$A$3390,K$1,'United Data'!$C$3:$C$3390,$A260)&gt;0,1,0)</f>
        <v>0</v>
      </c>
      <c r="L260">
        <f>IF(COUNTIFS('United Data'!$A$3:$A$3390,L$1,'United Data'!$C$3:$C$3390,$A260)&gt;0,1,0)</f>
        <v>0</v>
      </c>
      <c r="M260">
        <f>IF(COUNTIFS('United Data'!$A$3:$A$3390,M$1,'United Data'!$C$3:$C$3390,$A260)&gt;0,1,0)</f>
        <v>0</v>
      </c>
      <c r="N260">
        <f>IF(COUNTIFS('United Data'!$A$3:$A$3390,N$1,'United Data'!$C$3:$C$3390,$A260)&gt;0,1,0)</f>
        <v>0</v>
      </c>
      <c r="O260">
        <f>IF(COUNTIFS('United Data'!$A$3:$A$3390,O$1,'United Data'!$C$3:$C$3390,$A260)&gt;0,1,0)</f>
        <v>0</v>
      </c>
      <c r="P260">
        <f>IF(COUNTIFS('United Data'!$A$3:$A$3390,P$1,'United Data'!$C$3:$C$3390,$A260)&gt;0,1,0)</f>
        <v>0</v>
      </c>
      <c r="Q260">
        <f>IF(COUNTIFS('United Data'!$A$3:$A$3390,Q$1,'United Data'!$C$3:$C$3390,$A260)&gt;0,1,0)</f>
        <v>0</v>
      </c>
      <c r="R260">
        <f>IF(COUNTIFS('United Data'!$A$3:$A$3390,R$1,'United Data'!$C$3:$C$3390,$A260)&gt;0,1,0)</f>
        <v>0</v>
      </c>
      <c r="S260">
        <f t="shared" si="8"/>
        <v>2</v>
      </c>
      <c r="T260">
        <f t="shared" si="9"/>
        <v>1</v>
      </c>
    </row>
    <row r="261" spans="1:20" x14ac:dyDescent="0.2">
      <c r="A261" t="s">
        <v>338</v>
      </c>
      <c r="B261">
        <f>IF(COUNTIFS('United Data'!$A$3:$A$3390,B$1,'United Data'!$C$3:$C$3390,$A261)&gt;0,1,0)</f>
        <v>0</v>
      </c>
      <c r="C261">
        <f>IF(COUNTIFS('United Data'!$A$3:$A$3390,C$1,'United Data'!$C$3:$C$3390,$A261)&gt;0,1,0)</f>
        <v>0</v>
      </c>
      <c r="D261">
        <f>IF(COUNTIFS('United Data'!$A$3:$A$3390,D$1,'United Data'!$C$3:$C$3390,$A261)&gt;0,1,0)</f>
        <v>0</v>
      </c>
      <c r="E261">
        <f>IF(COUNTIFS('United Data'!$A$3:$A$3390,E$1,'United Data'!$C$3:$C$3390,$A261)&gt;0,1,0)</f>
        <v>0</v>
      </c>
      <c r="F261">
        <f>IF(COUNTIFS('United Data'!$A$3:$A$3390,F$1,'United Data'!$C$3:$C$3390,$A261)&gt;0,1,0)</f>
        <v>0</v>
      </c>
      <c r="G261">
        <f>IF(COUNTIFS('United Data'!$A$3:$A$3390,G$1,'United Data'!$C$3:$C$3390,$A261)&gt;0,1,0)</f>
        <v>0</v>
      </c>
      <c r="H261">
        <f>IF(COUNTIFS('United Data'!$A$3:$A$3390,H$1,'United Data'!$C$3:$C$3390,$A261)&gt;0,1,0)</f>
        <v>0</v>
      </c>
      <c r="I261">
        <f>IF(COUNTIFS('United Data'!$A$3:$A$3390,I$1,'United Data'!$C$3:$C$3390,$A261)&gt;0,1,0)</f>
        <v>1</v>
      </c>
      <c r="J261">
        <f>IF(COUNTIFS('United Data'!$A$3:$A$3390,J$1,'United Data'!$C$3:$C$3390,$A261)&gt;0,1,0)</f>
        <v>0</v>
      </c>
      <c r="K261">
        <f>IF(COUNTIFS('United Data'!$A$3:$A$3390,K$1,'United Data'!$C$3:$C$3390,$A261)&gt;0,1,0)</f>
        <v>0</v>
      </c>
      <c r="L261">
        <f>IF(COUNTIFS('United Data'!$A$3:$A$3390,L$1,'United Data'!$C$3:$C$3390,$A261)&gt;0,1,0)</f>
        <v>0</v>
      </c>
      <c r="M261">
        <f>IF(COUNTIFS('United Data'!$A$3:$A$3390,M$1,'United Data'!$C$3:$C$3390,$A261)&gt;0,1,0)</f>
        <v>0</v>
      </c>
      <c r="N261">
        <f>IF(COUNTIFS('United Data'!$A$3:$A$3390,N$1,'United Data'!$C$3:$C$3390,$A261)&gt;0,1,0)</f>
        <v>0</v>
      </c>
      <c r="O261">
        <f>IF(COUNTIFS('United Data'!$A$3:$A$3390,O$1,'United Data'!$C$3:$C$3390,$A261)&gt;0,1,0)</f>
        <v>0</v>
      </c>
      <c r="P261">
        <f>IF(COUNTIFS('United Data'!$A$3:$A$3390,P$1,'United Data'!$C$3:$C$3390,$A261)&gt;0,1,0)</f>
        <v>0</v>
      </c>
      <c r="Q261">
        <f>IF(COUNTIFS('United Data'!$A$3:$A$3390,Q$1,'United Data'!$C$3:$C$3390,$A261)&gt;0,1,0)</f>
        <v>0</v>
      </c>
      <c r="R261">
        <f>IF(COUNTIFS('United Data'!$A$3:$A$3390,R$1,'United Data'!$C$3:$C$3390,$A261)&gt;0,1,0)</f>
        <v>0</v>
      </c>
      <c r="S261">
        <f t="shared" si="8"/>
        <v>1</v>
      </c>
      <c r="T261">
        <f t="shared" si="9"/>
        <v>1</v>
      </c>
    </row>
    <row r="262" spans="1:20" x14ac:dyDescent="0.2">
      <c r="A262" t="s">
        <v>339</v>
      </c>
      <c r="B262">
        <f>IF(COUNTIFS('United Data'!$A$3:$A$3390,B$1,'United Data'!$C$3:$C$3390,$A262)&gt;0,1,0)</f>
        <v>0</v>
      </c>
      <c r="C262">
        <f>IF(COUNTIFS('United Data'!$A$3:$A$3390,C$1,'United Data'!$C$3:$C$3390,$A262)&gt;0,1,0)</f>
        <v>0</v>
      </c>
      <c r="D262">
        <f>IF(COUNTIFS('United Data'!$A$3:$A$3390,D$1,'United Data'!$C$3:$C$3390,$A262)&gt;0,1,0)</f>
        <v>0</v>
      </c>
      <c r="E262">
        <f>IF(COUNTIFS('United Data'!$A$3:$A$3390,E$1,'United Data'!$C$3:$C$3390,$A262)&gt;0,1,0)</f>
        <v>0</v>
      </c>
      <c r="F262">
        <f>IF(COUNTIFS('United Data'!$A$3:$A$3390,F$1,'United Data'!$C$3:$C$3390,$A262)&gt;0,1,0)</f>
        <v>0</v>
      </c>
      <c r="G262">
        <f>IF(COUNTIFS('United Data'!$A$3:$A$3390,G$1,'United Data'!$C$3:$C$3390,$A262)&gt;0,1,0)</f>
        <v>0</v>
      </c>
      <c r="H262">
        <f>IF(COUNTIFS('United Data'!$A$3:$A$3390,H$1,'United Data'!$C$3:$C$3390,$A262)&gt;0,1,0)</f>
        <v>0</v>
      </c>
      <c r="I262">
        <f>IF(COUNTIFS('United Data'!$A$3:$A$3390,I$1,'United Data'!$C$3:$C$3390,$A262)&gt;0,1,0)</f>
        <v>0</v>
      </c>
      <c r="J262">
        <f>IF(COUNTIFS('United Data'!$A$3:$A$3390,J$1,'United Data'!$C$3:$C$3390,$A262)&gt;0,1,0)</f>
        <v>0</v>
      </c>
      <c r="K262">
        <f>IF(COUNTIFS('United Data'!$A$3:$A$3390,K$1,'United Data'!$C$3:$C$3390,$A262)&gt;0,1,0)</f>
        <v>1</v>
      </c>
      <c r="L262">
        <f>IF(COUNTIFS('United Data'!$A$3:$A$3390,L$1,'United Data'!$C$3:$C$3390,$A262)&gt;0,1,0)</f>
        <v>0</v>
      </c>
      <c r="M262">
        <f>IF(COUNTIFS('United Data'!$A$3:$A$3390,M$1,'United Data'!$C$3:$C$3390,$A262)&gt;0,1,0)</f>
        <v>0</v>
      </c>
      <c r="N262">
        <f>IF(COUNTIFS('United Data'!$A$3:$A$3390,N$1,'United Data'!$C$3:$C$3390,$A262)&gt;0,1,0)</f>
        <v>0</v>
      </c>
      <c r="O262">
        <f>IF(COUNTIFS('United Data'!$A$3:$A$3390,O$1,'United Data'!$C$3:$C$3390,$A262)&gt;0,1,0)</f>
        <v>0</v>
      </c>
      <c r="P262">
        <f>IF(COUNTIFS('United Data'!$A$3:$A$3390,P$1,'United Data'!$C$3:$C$3390,$A262)&gt;0,1,0)</f>
        <v>0</v>
      </c>
      <c r="Q262">
        <f>IF(COUNTIFS('United Data'!$A$3:$A$3390,Q$1,'United Data'!$C$3:$C$3390,$A262)&gt;0,1,0)</f>
        <v>0</v>
      </c>
      <c r="R262">
        <f>IF(COUNTIFS('United Data'!$A$3:$A$3390,R$1,'United Data'!$C$3:$C$3390,$A262)&gt;0,1,0)</f>
        <v>0</v>
      </c>
      <c r="S262">
        <f t="shared" si="8"/>
        <v>1</v>
      </c>
      <c r="T262">
        <f t="shared" si="9"/>
        <v>1</v>
      </c>
    </row>
    <row r="263" spans="1:20" x14ac:dyDescent="0.2">
      <c r="A263" t="s">
        <v>340</v>
      </c>
      <c r="B263">
        <f>IF(COUNTIFS('United Data'!$A$3:$A$3390,B$1,'United Data'!$C$3:$C$3390,$A263)&gt;0,1,0)</f>
        <v>0</v>
      </c>
      <c r="C263">
        <f>IF(COUNTIFS('United Data'!$A$3:$A$3390,C$1,'United Data'!$C$3:$C$3390,$A263)&gt;0,1,0)</f>
        <v>0</v>
      </c>
      <c r="D263">
        <f>IF(COUNTIFS('United Data'!$A$3:$A$3390,D$1,'United Data'!$C$3:$C$3390,$A263)&gt;0,1,0)</f>
        <v>0</v>
      </c>
      <c r="E263">
        <f>IF(COUNTIFS('United Data'!$A$3:$A$3390,E$1,'United Data'!$C$3:$C$3390,$A263)&gt;0,1,0)</f>
        <v>0</v>
      </c>
      <c r="F263">
        <f>IF(COUNTIFS('United Data'!$A$3:$A$3390,F$1,'United Data'!$C$3:$C$3390,$A263)&gt;0,1,0)</f>
        <v>0</v>
      </c>
      <c r="G263">
        <f>IF(COUNTIFS('United Data'!$A$3:$A$3390,G$1,'United Data'!$C$3:$C$3390,$A263)&gt;0,1,0)</f>
        <v>0</v>
      </c>
      <c r="H263">
        <f>IF(COUNTIFS('United Data'!$A$3:$A$3390,H$1,'United Data'!$C$3:$C$3390,$A263)&gt;0,1,0)</f>
        <v>0</v>
      </c>
      <c r="I263">
        <f>IF(COUNTIFS('United Data'!$A$3:$A$3390,I$1,'United Data'!$C$3:$C$3390,$A263)&gt;0,1,0)</f>
        <v>0</v>
      </c>
      <c r="J263">
        <f>IF(COUNTIFS('United Data'!$A$3:$A$3390,J$1,'United Data'!$C$3:$C$3390,$A263)&gt;0,1,0)</f>
        <v>0</v>
      </c>
      <c r="K263">
        <f>IF(COUNTIFS('United Data'!$A$3:$A$3390,K$1,'United Data'!$C$3:$C$3390,$A263)&gt;0,1,0)</f>
        <v>0</v>
      </c>
      <c r="L263">
        <f>IF(COUNTIFS('United Data'!$A$3:$A$3390,L$1,'United Data'!$C$3:$C$3390,$A263)&gt;0,1,0)</f>
        <v>0</v>
      </c>
      <c r="M263">
        <f>IF(COUNTIFS('United Data'!$A$3:$A$3390,M$1,'United Data'!$C$3:$C$3390,$A263)&gt;0,1,0)</f>
        <v>1</v>
      </c>
      <c r="N263">
        <f>IF(COUNTIFS('United Data'!$A$3:$A$3390,N$1,'United Data'!$C$3:$C$3390,$A263)&gt;0,1,0)</f>
        <v>0</v>
      </c>
      <c r="O263">
        <f>IF(COUNTIFS('United Data'!$A$3:$A$3390,O$1,'United Data'!$C$3:$C$3390,$A263)&gt;0,1,0)</f>
        <v>0</v>
      </c>
      <c r="P263">
        <f>IF(COUNTIFS('United Data'!$A$3:$A$3390,P$1,'United Data'!$C$3:$C$3390,$A263)&gt;0,1,0)</f>
        <v>0</v>
      </c>
      <c r="Q263">
        <f>IF(COUNTIFS('United Data'!$A$3:$A$3390,Q$1,'United Data'!$C$3:$C$3390,$A263)&gt;0,1,0)</f>
        <v>0</v>
      </c>
      <c r="R263">
        <f>IF(COUNTIFS('United Data'!$A$3:$A$3390,R$1,'United Data'!$C$3:$C$3390,$A263)&gt;0,1,0)</f>
        <v>0</v>
      </c>
      <c r="S263">
        <f t="shared" si="8"/>
        <v>1</v>
      </c>
      <c r="T263">
        <f t="shared" si="9"/>
        <v>1</v>
      </c>
    </row>
    <row r="264" spans="1:20" x14ac:dyDescent="0.2">
      <c r="A264" t="s">
        <v>342</v>
      </c>
      <c r="B264">
        <f>IF(COUNTIFS('United Data'!$A$3:$A$3390,B$1,'United Data'!$C$3:$C$3390,$A264)&gt;0,1,0)</f>
        <v>0</v>
      </c>
      <c r="C264">
        <f>IF(COUNTIFS('United Data'!$A$3:$A$3390,C$1,'United Data'!$C$3:$C$3390,$A264)&gt;0,1,0)</f>
        <v>0</v>
      </c>
      <c r="D264">
        <f>IF(COUNTIFS('United Data'!$A$3:$A$3390,D$1,'United Data'!$C$3:$C$3390,$A264)&gt;0,1,0)</f>
        <v>0</v>
      </c>
      <c r="E264">
        <f>IF(COUNTIFS('United Data'!$A$3:$A$3390,E$1,'United Data'!$C$3:$C$3390,$A264)&gt;0,1,0)</f>
        <v>0</v>
      </c>
      <c r="F264">
        <f>IF(COUNTIFS('United Data'!$A$3:$A$3390,F$1,'United Data'!$C$3:$C$3390,$A264)&gt;0,1,0)</f>
        <v>0</v>
      </c>
      <c r="G264">
        <f>IF(COUNTIFS('United Data'!$A$3:$A$3390,G$1,'United Data'!$C$3:$C$3390,$A264)&gt;0,1,0)</f>
        <v>0</v>
      </c>
      <c r="H264">
        <f>IF(COUNTIFS('United Data'!$A$3:$A$3390,H$1,'United Data'!$C$3:$C$3390,$A264)&gt;0,1,0)</f>
        <v>0</v>
      </c>
      <c r="I264">
        <f>IF(COUNTIFS('United Data'!$A$3:$A$3390,I$1,'United Data'!$C$3:$C$3390,$A264)&gt;0,1,0)</f>
        <v>0</v>
      </c>
      <c r="J264">
        <f>IF(COUNTIFS('United Data'!$A$3:$A$3390,J$1,'United Data'!$C$3:$C$3390,$A264)&gt;0,1,0)</f>
        <v>0</v>
      </c>
      <c r="K264">
        <f>IF(COUNTIFS('United Data'!$A$3:$A$3390,K$1,'United Data'!$C$3:$C$3390,$A264)&gt;0,1,0)</f>
        <v>0</v>
      </c>
      <c r="L264">
        <f>IF(COUNTIFS('United Data'!$A$3:$A$3390,L$1,'United Data'!$C$3:$C$3390,$A264)&gt;0,1,0)</f>
        <v>1</v>
      </c>
      <c r="M264">
        <f>IF(COUNTIFS('United Data'!$A$3:$A$3390,M$1,'United Data'!$C$3:$C$3390,$A264)&gt;0,1,0)</f>
        <v>0</v>
      </c>
      <c r="N264">
        <f>IF(COUNTIFS('United Data'!$A$3:$A$3390,N$1,'United Data'!$C$3:$C$3390,$A264)&gt;0,1,0)</f>
        <v>1</v>
      </c>
      <c r="O264">
        <f>IF(COUNTIFS('United Data'!$A$3:$A$3390,O$1,'United Data'!$C$3:$C$3390,$A264)&gt;0,1,0)</f>
        <v>0</v>
      </c>
      <c r="P264">
        <f>IF(COUNTIFS('United Data'!$A$3:$A$3390,P$1,'United Data'!$C$3:$C$3390,$A264)&gt;0,1,0)</f>
        <v>0</v>
      </c>
      <c r="Q264">
        <f>IF(COUNTIFS('United Data'!$A$3:$A$3390,Q$1,'United Data'!$C$3:$C$3390,$A264)&gt;0,1,0)</f>
        <v>0</v>
      </c>
      <c r="R264">
        <f>IF(COUNTIFS('United Data'!$A$3:$A$3390,R$1,'United Data'!$C$3:$C$3390,$A264)&gt;0,1,0)</f>
        <v>0</v>
      </c>
      <c r="S264">
        <f t="shared" si="8"/>
        <v>2</v>
      </c>
      <c r="T264">
        <f t="shared" si="9"/>
        <v>2</v>
      </c>
    </row>
    <row r="265" spans="1:20" x14ac:dyDescent="0.2">
      <c r="A265" t="s">
        <v>343</v>
      </c>
      <c r="B265">
        <f>IF(COUNTIFS('United Data'!$A$3:$A$3390,B$1,'United Data'!$C$3:$C$3390,$A265)&gt;0,1,0)</f>
        <v>0</v>
      </c>
      <c r="C265">
        <f>IF(COUNTIFS('United Data'!$A$3:$A$3390,C$1,'United Data'!$C$3:$C$3390,$A265)&gt;0,1,0)</f>
        <v>0</v>
      </c>
      <c r="D265">
        <f>IF(COUNTIFS('United Data'!$A$3:$A$3390,D$1,'United Data'!$C$3:$C$3390,$A265)&gt;0,1,0)</f>
        <v>0</v>
      </c>
      <c r="E265">
        <f>IF(COUNTIFS('United Data'!$A$3:$A$3390,E$1,'United Data'!$C$3:$C$3390,$A265)&gt;0,1,0)</f>
        <v>0</v>
      </c>
      <c r="F265">
        <f>IF(COUNTIFS('United Data'!$A$3:$A$3390,F$1,'United Data'!$C$3:$C$3390,$A265)&gt;0,1,0)</f>
        <v>0</v>
      </c>
      <c r="G265">
        <f>IF(COUNTIFS('United Data'!$A$3:$A$3390,G$1,'United Data'!$C$3:$C$3390,$A265)&gt;0,1,0)</f>
        <v>0</v>
      </c>
      <c r="H265">
        <f>IF(COUNTIFS('United Data'!$A$3:$A$3390,H$1,'United Data'!$C$3:$C$3390,$A265)&gt;0,1,0)</f>
        <v>0</v>
      </c>
      <c r="I265">
        <f>IF(COUNTIFS('United Data'!$A$3:$A$3390,I$1,'United Data'!$C$3:$C$3390,$A265)&gt;0,1,0)</f>
        <v>0</v>
      </c>
      <c r="J265">
        <f>IF(COUNTIFS('United Data'!$A$3:$A$3390,J$1,'United Data'!$C$3:$C$3390,$A265)&gt;0,1,0)</f>
        <v>0</v>
      </c>
      <c r="K265">
        <f>IF(COUNTIFS('United Data'!$A$3:$A$3390,K$1,'United Data'!$C$3:$C$3390,$A265)&gt;0,1,0)</f>
        <v>0</v>
      </c>
      <c r="L265">
        <f>IF(COUNTIFS('United Data'!$A$3:$A$3390,L$1,'United Data'!$C$3:$C$3390,$A265)&gt;0,1,0)</f>
        <v>0</v>
      </c>
      <c r="M265">
        <f>IF(COUNTIFS('United Data'!$A$3:$A$3390,M$1,'United Data'!$C$3:$C$3390,$A265)&gt;0,1,0)</f>
        <v>0</v>
      </c>
      <c r="N265">
        <f>IF(COUNTIFS('United Data'!$A$3:$A$3390,N$1,'United Data'!$C$3:$C$3390,$A265)&gt;0,1,0)</f>
        <v>1</v>
      </c>
      <c r="O265">
        <f>IF(COUNTIFS('United Data'!$A$3:$A$3390,O$1,'United Data'!$C$3:$C$3390,$A265)&gt;0,1,0)</f>
        <v>0</v>
      </c>
      <c r="P265">
        <f>IF(COUNTIFS('United Data'!$A$3:$A$3390,P$1,'United Data'!$C$3:$C$3390,$A265)&gt;0,1,0)</f>
        <v>0</v>
      </c>
      <c r="Q265">
        <f>IF(COUNTIFS('United Data'!$A$3:$A$3390,Q$1,'United Data'!$C$3:$C$3390,$A265)&gt;0,1,0)</f>
        <v>0</v>
      </c>
      <c r="R265">
        <f>IF(COUNTIFS('United Data'!$A$3:$A$3390,R$1,'United Data'!$C$3:$C$3390,$A265)&gt;0,1,0)</f>
        <v>0</v>
      </c>
      <c r="S265">
        <f t="shared" si="8"/>
        <v>1</v>
      </c>
      <c r="T265">
        <f t="shared" si="9"/>
        <v>1</v>
      </c>
    </row>
    <row r="266" spans="1:20" x14ac:dyDescent="0.2">
      <c r="A266" t="s">
        <v>344</v>
      </c>
      <c r="B266">
        <f>IF(COUNTIFS('United Data'!$A$3:$A$3390,B$1,'United Data'!$C$3:$C$3390,$A266)&gt;0,1,0)</f>
        <v>0</v>
      </c>
      <c r="C266">
        <f>IF(COUNTIFS('United Data'!$A$3:$A$3390,C$1,'United Data'!$C$3:$C$3390,$A266)&gt;0,1,0)</f>
        <v>0</v>
      </c>
      <c r="D266">
        <f>IF(COUNTIFS('United Data'!$A$3:$A$3390,D$1,'United Data'!$C$3:$C$3390,$A266)&gt;0,1,0)</f>
        <v>0</v>
      </c>
      <c r="E266">
        <f>IF(COUNTIFS('United Data'!$A$3:$A$3390,E$1,'United Data'!$C$3:$C$3390,$A266)&gt;0,1,0)</f>
        <v>1</v>
      </c>
      <c r="F266">
        <f>IF(COUNTIFS('United Data'!$A$3:$A$3390,F$1,'United Data'!$C$3:$C$3390,$A266)&gt;0,1,0)</f>
        <v>0</v>
      </c>
      <c r="G266">
        <f>IF(COUNTIFS('United Data'!$A$3:$A$3390,G$1,'United Data'!$C$3:$C$3390,$A266)&gt;0,1,0)</f>
        <v>0</v>
      </c>
      <c r="H266">
        <f>IF(COUNTIFS('United Data'!$A$3:$A$3390,H$1,'United Data'!$C$3:$C$3390,$A266)&gt;0,1,0)</f>
        <v>0</v>
      </c>
      <c r="I266">
        <f>IF(COUNTIFS('United Data'!$A$3:$A$3390,I$1,'United Data'!$C$3:$C$3390,$A266)&gt;0,1,0)</f>
        <v>0</v>
      </c>
      <c r="J266">
        <f>IF(COUNTIFS('United Data'!$A$3:$A$3390,J$1,'United Data'!$C$3:$C$3390,$A266)&gt;0,1,0)</f>
        <v>0</v>
      </c>
      <c r="K266">
        <f>IF(COUNTIFS('United Data'!$A$3:$A$3390,K$1,'United Data'!$C$3:$C$3390,$A266)&gt;0,1,0)</f>
        <v>0</v>
      </c>
      <c r="L266">
        <f>IF(COUNTIFS('United Data'!$A$3:$A$3390,L$1,'United Data'!$C$3:$C$3390,$A266)&gt;0,1,0)</f>
        <v>0</v>
      </c>
      <c r="M266">
        <f>IF(COUNTIFS('United Data'!$A$3:$A$3390,M$1,'United Data'!$C$3:$C$3390,$A266)&gt;0,1,0)</f>
        <v>0</v>
      </c>
      <c r="N266">
        <f>IF(COUNTIFS('United Data'!$A$3:$A$3390,N$1,'United Data'!$C$3:$C$3390,$A266)&gt;0,1,0)</f>
        <v>0</v>
      </c>
      <c r="O266">
        <f>IF(COUNTIFS('United Data'!$A$3:$A$3390,O$1,'United Data'!$C$3:$C$3390,$A266)&gt;0,1,0)</f>
        <v>1</v>
      </c>
      <c r="P266">
        <f>IF(COUNTIFS('United Data'!$A$3:$A$3390,P$1,'United Data'!$C$3:$C$3390,$A266)&gt;0,1,0)</f>
        <v>0</v>
      </c>
      <c r="Q266">
        <f>IF(COUNTIFS('United Data'!$A$3:$A$3390,Q$1,'United Data'!$C$3:$C$3390,$A266)&gt;0,1,0)</f>
        <v>0</v>
      </c>
      <c r="R266">
        <f>IF(COUNTIFS('United Data'!$A$3:$A$3390,R$1,'United Data'!$C$3:$C$3390,$A266)&gt;0,1,0)</f>
        <v>0</v>
      </c>
      <c r="S266">
        <f t="shared" si="8"/>
        <v>2</v>
      </c>
      <c r="T266">
        <f t="shared" si="9"/>
        <v>2</v>
      </c>
    </row>
    <row r="267" spans="1:20" x14ac:dyDescent="0.2">
      <c r="A267" t="s">
        <v>345</v>
      </c>
      <c r="B267">
        <f>IF(COUNTIFS('United Data'!$A$3:$A$3390,B$1,'United Data'!$C$3:$C$3390,$A267)&gt;0,1,0)</f>
        <v>0</v>
      </c>
      <c r="C267">
        <f>IF(COUNTIFS('United Data'!$A$3:$A$3390,C$1,'United Data'!$C$3:$C$3390,$A267)&gt;0,1,0)</f>
        <v>0</v>
      </c>
      <c r="D267">
        <f>IF(COUNTIFS('United Data'!$A$3:$A$3390,D$1,'United Data'!$C$3:$C$3390,$A267)&gt;0,1,0)</f>
        <v>0</v>
      </c>
      <c r="E267">
        <f>IF(COUNTIFS('United Data'!$A$3:$A$3390,E$1,'United Data'!$C$3:$C$3390,$A267)&gt;0,1,0)</f>
        <v>0</v>
      </c>
      <c r="F267">
        <f>IF(COUNTIFS('United Data'!$A$3:$A$3390,F$1,'United Data'!$C$3:$C$3390,$A267)&gt;0,1,0)</f>
        <v>0</v>
      </c>
      <c r="G267">
        <f>IF(COUNTIFS('United Data'!$A$3:$A$3390,G$1,'United Data'!$C$3:$C$3390,$A267)&gt;0,1,0)</f>
        <v>0</v>
      </c>
      <c r="H267">
        <f>IF(COUNTIFS('United Data'!$A$3:$A$3390,H$1,'United Data'!$C$3:$C$3390,$A267)&gt;0,1,0)</f>
        <v>0</v>
      </c>
      <c r="I267">
        <f>IF(COUNTIFS('United Data'!$A$3:$A$3390,I$1,'United Data'!$C$3:$C$3390,$A267)&gt;0,1,0)</f>
        <v>0</v>
      </c>
      <c r="J267">
        <f>IF(COUNTIFS('United Data'!$A$3:$A$3390,J$1,'United Data'!$C$3:$C$3390,$A267)&gt;0,1,0)</f>
        <v>0</v>
      </c>
      <c r="K267">
        <f>IF(COUNTIFS('United Data'!$A$3:$A$3390,K$1,'United Data'!$C$3:$C$3390,$A267)&gt;0,1,0)</f>
        <v>0</v>
      </c>
      <c r="L267">
        <f>IF(COUNTIFS('United Data'!$A$3:$A$3390,L$1,'United Data'!$C$3:$C$3390,$A267)&gt;0,1,0)</f>
        <v>0</v>
      </c>
      <c r="M267">
        <f>IF(COUNTIFS('United Data'!$A$3:$A$3390,M$1,'United Data'!$C$3:$C$3390,$A267)&gt;0,1,0)</f>
        <v>0</v>
      </c>
      <c r="N267">
        <f>IF(COUNTIFS('United Data'!$A$3:$A$3390,N$1,'United Data'!$C$3:$C$3390,$A267)&gt;0,1,0)</f>
        <v>0</v>
      </c>
      <c r="O267">
        <f>IF(COUNTIFS('United Data'!$A$3:$A$3390,O$1,'United Data'!$C$3:$C$3390,$A267)&gt;0,1,0)</f>
        <v>1</v>
      </c>
      <c r="P267">
        <f>IF(COUNTIFS('United Data'!$A$3:$A$3390,P$1,'United Data'!$C$3:$C$3390,$A267)&gt;0,1,0)</f>
        <v>0</v>
      </c>
      <c r="Q267">
        <f>IF(COUNTIFS('United Data'!$A$3:$A$3390,Q$1,'United Data'!$C$3:$C$3390,$A267)&gt;0,1,0)</f>
        <v>0</v>
      </c>
      <c r="R267">
        <f>IF(COUNTIFS('United Data'!$A$3:$A$3390,R$1,'United Data'!$C$3:$C$3390,$A267)&gt;0,1,0)</f>
        <v>0</v>
      </c>
      <c r="S267">
        <f t="shared" si="8"/>
        <v>1</v>
      </c>
      <c r="T267">
        <f t="shared" si="9"/>
        <v>1</v>
      </c>
    </row>
    <row r="268" spans="1:20" x14ac:dyDescent="0.2">
      <c r="A268" t="s">
        <v>346</v>
      </c>
      <c r="B268">
        <f>IF(COUNTIFS('United Data'!$A$3:$A$3390,B$1,'United Data'!$C$3:$C$3390,$A268)&gt;0,1,0)</f>
        <v>0</v>
      </c>
      <c r="C268">
        <f>IF(COUNTIFS('United Data'!$A$3:$A$3390,C$1,'United Data'!$C$3:$C$3390,$A268)&gt;0,1,0)</f>
        <v>0</v>
      </c>
      <c r="D268">
        <f>IF(COUNTIFS('United Data'!$A$3:$A$3390,D$1,'United Data'!$C$3:$C$3390,$A268)&gt;0,1,0)</f>
        <v>0</v>
      </c>
      <c r="E268">
        <f>IF(COUNTIFS('United Data'!$A$3:$A$3390,E$1,'United Data'!$C$3:$C$3390,$A268)&gt;0,1,0)</f>
        <v>0</v>
      </c>
      <c r="F268">
        <f>IF(COUNTIFS('United Data'!$A$3:$A$3390,F$1,'United Data'!$C$3:$C$3390,$A268)&gt;0,1,0)</f>
        <v>0</v>
      </c>
      <c r="G268">
        <f>IF(COUNTIFS('United Data'!$A$3:$A$3390,G$1,'United Data'!$C$3:$C$3390,$A268)&gt;0,1,0)</f>
        <v>0</v>
      </c>
      <c r="H268">
        <f>IF(COUNTIFS('United Data'!$A$3:$A$3390,H$1,'United Data'!$C$3:$C$3390,$A268)&gt;0,1,0)</f>
        <v>0</v>
      </c>
      <c r="I268">
        <f>IF(COUNTIFS('United Data'!$A$3:$A$3390,I$1,'United Data'!$C$3:$C$3390,$A268)&gt;0,1,0)</f>
        <v>0</v>
      </c>
      <c r="J268">
        <f>IF(COUNTIFS('United Data'!$A$3:$A$3390,J$1,'United Data'!$C$3:$C$3390,$A268)&gt;0,1,0)</f>
        <v>0</v>
      </c>
      <c r="K268">
        <f>IF(COUNTIFS('United Data'!$A$3:$A$3390,K$1,'United Data'!$C$3:$C$3390,$A268)&gt;0,1,0)</f>
        <v>0</v>
      </c>
      <c r="L268">
        <f>IF(COUNTIFS('United Data'!$A$3:$A$3390,L$1,'United Data'!$C$3:$C$3390,$A268)&gt;0,1,0)</f>
        <v>0</v>
      </c>
      <c r="M268">
        <f>IF(COUNTIFS('United Data'!$A$3:$A$3390,M$1,'United Data'!$C$3:$C$3390,$A268)&gt;0,1,0)</f>
        <v>0</v>
      </c>
      <c r="N268">
        <f>IF(COUNTIFS('United Data'!$A$3:$A$3390,N$1,'United Data'!$C$3:$C$3390,$A268)&gt;0,1,0)</f>
        <v>0</v>
      </c>
      <c r="O268">
        <f>IF(COUNTIFS('United Data'!$A$3:$A$3390,O$1,'United Data'!$C$3:$C$3390,$A268)&gt;0,1,0)</f>
        <v>1</v>
      </c>
      <c r="P268">
        <f>IF(COUNTIFS('United Data'!$A$3:$A$3390,P$1,'United Data'!$C$3:$C$3390,$A268)&gt;0,1,0)</f>
        <v>0</v>
      </c>
      <c r="Q268">
        <f>IF(COUNTIFS('United Data'!$A$3:$A$3390,Q$1,'United Data'!$C$3:$C$3390,$A268)&gt;0,1,0)</f>
        <v>0</v>
      </c>
      <c r="R268">
        <f>IF(COUNTIFS('United Data'!$A$3:$A$3390,R$1,'United Data'!$C$3:$C$3390,$A268)&gt;0,1,0)</f>
        <v>0</v>
      </c>
      <c r="S268">
        <f t="shared" si="8"/>
        <v>1</v>
      </c>
      <c r="T268">
        <f t="shared" si="9"/>
        <v>1</v>
      </c>
    </row>
    <row r="269" spans="1:20" x14ac:dyDescent="0.2">
      <c r="A269" t="s">
        <v>347</v>
      </c>
      <c r="B269">
        <f>IF(COUNTIFS('United Data'!$A$3:$A$3390,B$1,'United Data'!$C$3:$C$3390,$A269)&gt;0,1,0)</f>
        <v>0</v>
      </c>
      <c r="C269">
        <f>IF(COUNTIFS('United Data'!$A$3:$A$3390,C$1,'United Data'!$C$3:$C$3390,$A269)&gt;0,1,0)</f>
        <v>0</v>
      </c>
      <c r="D269">
        <f>IF(COUNTIFS('United Data'!$A$3:$A$3390,D$1,'United Data'!$C$3:$C$3390,$A269)&gt;0,1,0)</f>
        <v>0</v>
      </c>
      <c r="E269">
        <f>IF(COUNTIFS('United Data'!$A$3:$A$3390,E$1,'United Data'!$C$3:$C$3390,$A269)&gt;0,1,0)</f>
        <v>0</v>
      </c>
      <c r="F269">
        <f>IF(COUNTIFS('United Data'!$A$3:$A$3390,F$1,'United Data'!$C$3:$C$3390,$A269)&gt;0,1,0)</f>
        <v>0</v>
      </c>
      <c r="G269">
        <f>IF(COUNTIFS('United Data'!$A$3:$A$3390,G$1,'United Data'!$C$3:$C$3390,$A269)&gt;0,1,0)</f>
        <v>0</v>
      </c>
      <c r="H269">
        <f>IF(COUNTIFS('United Data'!$A$3:$A$3390,H$1,'United Data'!$C$3:$C$3390,$A269)&gt;0,1,0)</f>
        <v>0</v>
      </c>
      <c r="I269">
        <f>IF(COUNTIFS('United Data'!$A$3:$A$3390,I$1,'United Data'!$C$3:$C$3390,$A269)&gt;0,1,0)</f>
        <v>0</v>
      </c>
      <c r="J269">
        <f>IF(COUNTIFS('United Data'!$A$3:$A$3390,J$1,'United Data'!$C$3:$C$3390,$A269)&gt;0,1,0)</f>
        <v>0</v>
      </c>
      <c r="K269">
        <f>IF(COUNTIFS('United Data'!$A$3:$A$3390,K$1,'United Data'!$C$3:$C$3390,$A269)&gt;0,1,0)</f>
        <v>0</v>
      </c>
      <c r="L269">
        <f>IF(COUNTIFS('United Data'!$A$3:$A$3390,L$1,'United Data'!$C$3:$C$3390,$A269)&gt;0,1,0)</f>
        <v>0</v>
      </c>
      <c r="M269">
        <f>IF(COUNTIFS('United Data'!$A$3:$A$3390,M$1,'United Data'!$C$3:$C$3390,$A269)&gt;0,1,0)</f>
        <v>0</v>
      </c>
      <c r="N269">
        <f>IF(COUNTIFS('United Data'!$A$3:$A$3390,N$1,'United Data'!$C$3:$C$3390,$A269)&gt;0,1,0)</f>
        <v>0</v>
      </c>
      <c r="O269">
        <f>IF(COUNTIFS('United Data'!$A$3:$A$3390,O$1,'United Data'!$C$3:$C$3390,$A269)&gt;0,1,0)</f>
        <v>1</v>
      </c>
      <c r="P269">
        <f>IF(COUNTIFS('United Data'!$A$3:$A$3390,P$1,'United Data'!$C$3:$C$3390,$A269)&gt;0,1,0)</f>
        <v>0</v>
      </c>
      <c r="Q269">
        <f>IF(COUNTIFS('United Data'!$A$3:$A$3390,Q$1,'United Data'!$C$3:$C$3390,$A269)&gt;0,1,0)</f>
        <v>0</v>
      </c>
      <c r="R269">
        <f>IF(COUNTIFS('United Data'!$A$3:$A$3390,R$1,'United Data'!$C$3:$C$3390,$A269)&gt;0,1,0)</f>
        <v>0</v>
      </c>
      <c r="S269">
        <f t="shared" si="8"/>
        <v>1</v>
      </c>
      <c r="T269">
        <f t="shared" si="9"/>
        <v>1</v>
      </c>
    </row>
    <row r="270" spans="1:20" x14ac:dyDescent="0.2">
      <c r="A270" t="s">
        <v>348</v>
      </c>
      <c r="B270">
        <f>IF(COUNTIFS('United Data'!$A$3:$A$3390,B$1,'United Data'!$C$3:$C$3390,$A270)&gt;0,1,0)</f>
        <v>0</v>
      </c>
      <c r="C270">
        <f>IF(COUNTIFS('United Data'!$A$3:$A$3390,C$1,'United Data'!$C$3:$C$3390,$A270)&gt;0,1,0)</f>
        <v>0</v>
      </c>
      <c r="D270">
        <f>IF(COUNTIFS('United Data'!$A$3:$A$3390,D$1,'United Data'!$C$3:$C$3390,$A270)&gt;0,1,0)</f>
        <v>0</v>
      </c>
      <c r="E270">
        <f>IF(COUNTIFS('United Data'!$A$3:$A$3390,E$1,'United Data'!$C$3:$C$3390,$A270)&gt;0,1,0)</f>
        <v>0</v>
      </c>
      <c r="F270">
        <f>IF(COUNTIFS('United Data'!$A$3:$A$3390,F$1,'United Data'!$C$3:$C$3390,$A270)&gt;0,1,0)</f>
        <v>0</v>
      </c>
      <c r="G270">
        <f>IF(COUNTIFS('United Data'!$A$3:$A$3390,G$1,'United Data'!$C$3:$C$3390,$A270)&gt;0,1,0)</f>
        <v>0</v>
      </c>
      <c r="H270">
        <f>IF(COUNTIFS('United Data'!$A$3:$A$3390,H$1,'United Data'!$C$3:$C$3390,$A270)&gt;0,1,0)</f>
        <v>0</v>
      </c>
      <c r="I270">
        <f>IF(COUNTIFS('United Data'!$A$3:$A$3390,I$1,'United Data'!$C$3:$C$3390,$A270)&gt;0,1,0)</f>
        <v>0</v>
      </c>
      <c r="J270">
        <f>IF(COUNTIFS('United Data'!$A$3:$A$3390,J$1,'United Data'!$C$3:$C$3390,$A270)&gt;0,1,0)</f>
        <v>0</v>
      </c>
      <c r="K270">
        <f>IF(COUNTIFS('United Data'!$A$3:$A$3390,K$1,'United Data'!$C$3:$C$3390,$A270)&gt;0,1,0)</f>
        <v>0</v>
      </c>
      <c r="L270">
        <f>IF(COUNTIFS('United Data'!$A$3:$A$3390,L$1,'United Data'!$C$3:$C$3390,$A270)&gt;0,1,0)</f>
        <v>0</v>
      </c>
      <c r="M270">
        <f>IF(COUNTIFS('United Data'!$A$3:$A$3390,M$1,'United Data'!$C$3:$C$3390,$A270)&gt;0,1,0)</f>
        <v>0</v>
      </c>
      <c r="N270">
        <f>IF(COUNTIFS('United Data'!$A$3:$A$3390,N$1,'United Data'!$C$3:$C$3390,$A270)&gt;0,1,0)</f>
        <v>0</v>
      </c>
      <c r="O270">
        <f>IF(COUNTIFS('United Data'!$A$3:$A$3390,O$1,'United Data'!$C$3:$C$3390,$A270)&gt;0,1,0)</f>
        <v>0</v>
      </c>
      <c r="P270">
        <f>IF(COUNTIFS('United Data'!$A$3:$A$3390,P$1,'United Data'!$C$3:$C$3390,$A270)&gt;0,1,0)</f>
        <v>1</v>
      </c>
      <c r="Q270">
        <f>IF(COUNTIFS('United Data'!$A$3:$A$3390,Q$1,'United Data'!$C$3:$C$3390,$A270)&gt;0,1,0)</f>
        <v>0</v>
      </c>
      <c r="R270">
        <f>IF(COUNTIFS('United Data'!$A$3:$A$3390,R$1,'United Data'!$C$3:$C$3390,$A270)&gt;0,1,0)</f>
        <v>0</v>
      </c>
      <c r="S270">
        <f t="shared" si="8"/>
        <v>1</v>
      </c>
      <c r="T270">
        <f t="shared" si="9"/>
        <v>1</v>
      </c>
    </row>
    <row r="271" spans="1:20" x14ac:dyDescent="0.2">
      <c r="A271" t="s">
        <v>350</v>
      </c>
      <c r="B271">
        <f>IF(COUNTIFS('United Data'!$A$3:$A$3390,B$1,'United Data'!$C$3:$C$3390,$A271)&gt;0,1,0)</f>
        <v>0</v>
      </c>
      <c r="C271">
        <f>IF(COUNTIFS('United Data'!$A$3:$A$3390,C$1,'United Data'!$C$3:$C$3390,$A271)&gt;0,1,0)</f>
        <v>0</v>
      </c>
      <c r="D271">
        <f>IF(COUNTIFS('United Data'!$A$3:$A$3390,D$1,'United Data'!$C$3:$C$3390,$A271)&gt;0,1,0)</f>
        <v>0</v>
      </c>
      <c r="E271">
        <f>IF(COUNTIFS('United Data'!$A$3:$A$3390,E$1,'United Data'!$C$3:$C$3390,$A271)&gt;0,1,0)</f>
        <v>0</v>
      </c>
      <c r="F271">
        <f>IF(COUNTIFS('United Data'!$A$3:$A$3390,F$1,'United Data'!$C$3:$C$3390,$A271)&gt;0,1,0)</f>
        <v>0</v>
      </c>
      <c r="G271">
        <f>IF(COUNTIFS('United Data'!$A$3:$A$3390,G$1,'United Data'!$C$3:$C$3390,$A271)&gt;0,1,0)</f>
        <v>0</v>
      </c>
      <c r="H271">
        <f>IF(COUNTIFS('United Data'!$A$3:$A$3390,H$1,'United Data'!$C$3:$C$3390,$A271)&gt;0,1,0)</f>
        <v>0</v>
      </c>
      <c r="I271">
        <f>IF(COUNTIFS('United Data'!$A$3:$A$3390,I$1,'United Data'!$C$3:$C$3390,$A271)&gt;0,1,0)</f>
        <v>0</v>
      </c>
      <c r="J271">
        <f>IF(COUNTIFS('United Data'!$A$3:$A$3390,J$1,'United Data'!$C$3:$C$3390,$A271)&gt;0,1,0)</f>
        <v>0</v>
      </c>
      <c r="K271">
        <f>IF(COUNTIFS('United Data'!$A$3:$A$3390,K$1,'United Data'!$C$3:$C$3390,$A271)&gt;0,1,0)</f>
        <v>0</v>
      </c>
      <c r="L271">
        <f>IF(COUNTIFS('United Data'!$A$3:$A$3390,L$1,'United Data'!$C$3:$C$3390,$A271)&gt;0,1,0)</f>
        <v>0</v>
      </c>
      <c r="M271">
        <f>IF(COUNTIFS('United Data'!$A$3:$A$3390,M$1,'United Data'!$C$3:$C$3390,$A271)&gt;0,1,0)</f>
        <v>0</v>
      </c>
      <c r="N271">
        <f>IF(COUNTIFS('United Data'!$A$3:$A$3390,N$1,'United Data'!$C$3:$C$3390,$A271)&gt;0,1,0)</f>
        <v>0</v>
      </c>
      <c r="O271">
        <f>IF(COUNTIFS('United Data'!$A$3:$A$3390,O$1,'United Data'!$C$3:$C$3390,$A271)&gt;0,1,0)</f>
        <v>0</v>
      </c>
      <c r="P271">
        <f>IF(COUNTIFS('United Data'!$A$3:$A$3390,P$1,'United Data'!$C$3:$C$3390,$A271)&gt;0,1,0)</f>
        <v>0</v>
      </c>
      <c r="Q271">
        <f>IF(COUNTIFS('United Data'!$A$3:$A$3390,Q$1,'United Data'!$C$3:$C$3390,$A271)&gt;0,1,0)</f>
        <v>1</v>
      </c>
      <c r="R271">
        <f>IF(COUNTIFS('United Data'!$A$3:$A$3390,R$1,'United Data'!$C$3:$C$3390,$A271)&gt;0,1,0)</f>
        <v>0</v>
      </c>
      <c r="S271">
        <f t="shared" si="8"/>
        <v>1</v>
      </c>
      <c r="T271">
        <f t="shared" si="9"/>
        <v>1</v>
      </c>
    </row>
    <row r="272" spans="1:20" x14ac:dyDescent="0.2">
      <c r="A272" t="s">
        <v>351</v>
      </c>
      <c r="B272">
        <f>IF(COUNTIFS('United Data'!$A$3:$A$3390,B$1,'United Data'!$C$3:$C$3390,$A272)&gt;0,1,0)</f>
        <v>0</v>
      </c>
      <c r="C272">
        <f>IF(COUNTIFS('United Data'!$A$3:$A$3390,C$1,'United Data'!$C$3:$C$3390,$A272)&gt;0,1,0)</f>
        <v>0</v>
      </c>
      <c r="D272">
        <f>IF(COUNTIFS('United Data'!$A$3:$A$3390,D$1,'United Data'!$C$3:$C$3390,$A272)&gt;0,1,0)</f>
        <v>0</v>
      </c>
      <c r="E272">
        <f>IF(COUNTIFS('United Data'!$A$3:$A$3390,E$1,'United Data'!$C$3:$C$3390,$A272)&gt;0,1,0)</f>
        <v>0</v>
      </c>
      <c r="F272">
        <f>IF(COUNTIFS('United Data'!$A$3:$A$3390,F$1,'United Data'!$C$3:$C$3390,$A272)&gt;0,1,0)</f>
        <v>0</v>
      </c>
      <c r="G272">
        <f>IF(COUNTIFS('United Data'!$A$3:$A$3390,G$1,'United Data'!$C$3:$C$3390,$A272)&gt;0,1,0)</f>
        <v>0</v>
      </c>
      <c r="H272">
        <f>IF(COUNTIFS('United Data'!$A$3:$A$3390,H$1,'United Data'!$C$3:$C$3390,$A272)&gt;0,1,0)</f>
        <v>0</v>
      </c>
      <c r="I272">
        <f>IF(COUNTIFS('United Data'!$A$3:$A$3390,I$1,'United Data'!$C$3:$C$3390,$A272)&gt;0,1,0)</f>
        <v>0</v>
      </c>
      <c r="J272">
        <f>IF(COUNTIFS('United Data'!$A$3:$A$3390,J$1,'United Data'!$C$3:$C$3390,$A272)&gt;0,1,0)</f>
        <v>0</v>
      </c>
      <c r="K272">
        <f>IF(COUNTIFS('United Data'!$A$3:$A$3390,K$1,'United Data'!$C$3:$C$3390,$A272)&gt;0,1,0)</f>
        <v>0</v>
      </c>
      <c r="L272">
        <f>IF(COUNTIFS('United Data'!$A$3:$A$3390,L$1,'United Data'!$C$3:$C$3390,$A272)&gt;0,1,0)</f>
        <v>0</v>
      </c>
      <c r="M272">
        <f>IF(COUNTIFS('United Data'!$A$3:$A$3390,M$1,'United Data'!$C$3:$C$3390,$A272)&gt;0,1,0)</f>
        <v>0</v>
      </c>
      <c r="N272">
        <f>IF(COUNTIFS('United Data'!$A$3:$A$3390,N$1,'United Data'!$C$3:$C$3390,$A272)&gt;0,1,0)</f>
        <v>0</v>
      </c>
      <c r="O272">
        <f>IF(COUNTIFS('United Data'!$A$3:$A$3390,O$1,'United Data'!$C$3:$C$3390,$A272)&gt;0,1,0)</f>
        <v>0</v>
      </c>
      <c r="P272">
        <f>IF(COUNTIFS('United Data'!$A$3:$A$3390,P$1,'United Data'!$C$3:$C$3390,$A272)&gt;0,1,0)</f>
        <v>0</v>
      </c>
      <c r="Q272">
        <f>IF(COUNTIFS('United Data'!$A$3:$A$3390,Q$1,'United Data'!$C$3:$C$3390,$A272)&gt;0,1,0)</f>
        <v>0</v>
      </c>
      <c r="R272">
        <f>IF(COUNTIFS('United Data'!$A$3:$A$3390,R$1,'United Data'!$C$3:$C$3390,$A272)&gt;0,1,0)</f>
        <v>1</v>
      </c>
      <c r="S272">
        <f t="shared" si="8"/>
        <v>1</v>
      </c>
      <c r="T272">
        <f t="shared" si="9"/>
        <v>1</v>
      </c>
    </row>
    <row r="273" spans="1:20" x14ac:dyDescent="0.2">
      <c r="A273" t="s">
        <v>352</v>
      </c>
      <c r="B273">
        <f>IF(COUNTIFS('United Data'!$A$3:$A$3390,B$1,'United Data'!$C$3:$C$3390,$A273)&gt;0,1,0)</f>
        <v>0</v>
      </c>
      <c r="C273">
        <f>IF(COUNTIFS('United Data'!$A$3:$A$3390,C$1,'United Data'!$C$3:$C$3390,$A273)&gt;0,1,0)</f>
        <v>0</v>
      </c>
      <c r="D273">
        <f>IF(COUNTIFS('United Data'!$A$3:$A$3390,D$1,'United Data'!$C$3:$C$3390,$A273)&gt;0,1,0)</f>
        <v>0</v>
      </c>
      <c r="E273">
        <f>IF(COUNTIFS('United Data'!$A$3:$A$3390,E$1,'United Data'!$C$3:$C$3390,$A273)&gt;0,1,0)</f>
        <v>0</v>
      </c>
      <c r="F273">
        <f>IF(COUNTIFS('United Data'!$A$3:$A$3390,F$1,'United Data'!$C$3:$C$3390,$A273)&gt;0,1,0)</f>
        <v>0</v>
      </c>
      <c r="G273">
        <f>IF(COUNTIFS('United Data'!$A$3:$A$3390,G$1,'United Data'!$C$3:$C$3390,$A273)&gt;0,1,0)</f>
        <v>0</v>
      </c>
      <c r="H273">
        <f>IF(COUNTIFS('United Data'!$A$3:$A$3390,H$1,'United Data'!$C$3:$C$3390,$A273)&gt;0,1,0)</f>
        <v>0</v>
      </c>
      <c r="I273">
        <f>IF(COUNTIFS('United Data'!$A$3:$A$3390,I$1,'United Data'!$C$3:$C$3390,$A273)&gt;0,1,0)</f>
        <v>0</v>
      </c>
      <c r="J273">
        <f>IF(COUNTIFS('United Data'!$A$3:$A$3390,J$1,'United Data'!$C$3:$C$3390,$A273)&gt;0,1,0)</f>
        <v>0</v>
      </c>
      <c r="K273">
        <f>IF(COUNTIFS('United Data'!$A$3:$A$3390,K$1,'United Data'!$C$3:$C$3390,$A273)&gt;0,1,0)</f>
        <v>0</v>
      </c>
      <c r="L273">
        <f>IF(COUNTIFS('United Data'!$A$3:$A$3390,L$1,'United Data'!$C$3:$C$3390,$A273)&gt;0,1,0)</f>
        <v>0</v>
      </c>
      <c r="M273">
        <f>IF(COUNTIFS('United Data'!$A$3:$A$3390,M$1,'United Data'!$C$3:$C$3390,$A273)&gt;0,1,0)</f>
        <v>0</v>
      </c>
      <c r="N273">
        <f>IF(COUNTIFS('United Data'!$A$3:$A$3390,N$1,'United Data'!$C$3:$C$3390,$A273)&gt;0,1,0)</f>
        <v>0</v>
      </c>
      <c r="O273">
        <f>IF(COUNTIFS('United Data'!$A$3:$A$3390,O$1,'United Data'!$C$3:$C$3390,$A273)&gt;0,1,0)</f>
        <v>1</v>
      </c>
      <c r="P273">
        <f>IF(COUNTIFS('United Data'!$A$3:$A$3390,P$1,'United Data'!$C$3:$C$3390,$A273)&gt;0,1,0)</f>
        <v>1</v>
      </c>
      <c r="Q273">
        <f>IF(COUNTIFS('United Data'!$A$3:$A$3390,Q$1,'United Data'!$C$3:$C$3390,$A273)&gt;0,1,0)</f>
        <v>1</v>
      </c>
      <c r="R273">
        <f>IF(COUNTIFS('United Data'!$A$3:$A$3390,R$1,'United Data'!$C$3:$C$3390,$A273)&gt;0,1,0)</f>
        <v>1</v>
      </c>
      <c r="S273">
        <f t="shared" si="8"/>
        <v>4</v>
      </c>
      <c r="T273">
        <f t="shared" si="9"/>
        <v>1</v>
      </c>
    </row>
    <row r="274" spans="1:20" x14ac:dyDescent="0.2">
      <c r="A274" t="s">
        <v>353</v>
      </c>
      <c r="B274">
        <f>IF(COUNTIFS('United Data'!$A$3:$A$3390,B$1,'United Data'!$C$3:$C$3390,$A274)&gt;0,1,0)</f>
        <v>0</v>
      </c>
      <c r="C274">
        <f>IF(COUNTIFS('United Data'!$A$3:$A$3390,C$1,'United Data'!$C$3:$C$3390,$A274)&gt;0,1,0)</f>
        <v>0</v>
      </c>
      <c r="D274">
        <f>IF(COUNTIFS('United Data'!$A$3:$A$3390,D$1,'United Data'!$C$3:$C$3390,$A274)&gt;0,1,0)</f>
        <v>0</v>
      </c>
      <c r="E274">
        <f>IF(COUNTIFS('United Data'!$A$3:$A$3390,E$1,'United Data'!$C$3:$C$3390,$A274)&gt;0,1,0)</f>
        <v>0</v>
      </c>
      <c r="F274">
        <f>IF(COUNTIFS('United Data'!$A$3:$A$3390,F$1,'United Data'!$C$3:$C$3390,$A274)&gt;0,1,0)</f>
        <v>0</v>
      </c>
      <c r="G274">
        <f>IF(COUNTIFS('United Data'!$A$3:$A$3390,G$1,'United Data'!$C$3:$C$3390,$A274)&gt;0,1,0)</f>
        <v>0</v>
      </c>
      <c r="H274">
        <f>IF(COUNTIFS('United Data'!$A$3:$A$3390,H$1,'United Data'!$C$3:$C$3390,$A274)&gt;0,1,0)</f>
        <v>0</v>
      </c>
      <c r="I274">
        <f>IF(COUNTIFS('United Data'!$A$3:$A$3390,I$1,'United Data'!$C$3:$C$3390,$A274)&gt;0,1,0)</f>
        <v>0</v>
      </c>
      <c r="J274">
        <f>IF(COUNTIFS('United Data'!$A$3:$A$3390,J$1,'United Data'!$C$3:$C$3390,$A274)&gt;0,1,0)</f>
        <v>0</v>
      </c>
      <c r="K274">
        <f>IF(COUNTIFS('United Data'!$A$3:$A$3390,K$1,'United Data'!$C$3:$C$3390,$A274)&gt;0,1,0)</f>
        <v>0</v>
      </c>
      <c r="L274">
        <f>IF(COUNTIFS('United Data'!$A$3:$A$3390,L$1,'United Data'!$C$3:$C$3390,$A274)&gt;0,1,0)</f>
        <v>0</v>
      </c>
      <c r="M274">
        <f>IF(COUNTIFS('United Data'!$A$3:$A$3390,M$1,'United Data'!$C$3:$C$3390,$A274)&gt;0,1,0)</f>
        <v>0</v>
      </c>
      <c r="N274">
        <f>IF(COUNTIFS('United Data'!$A$3:$A$3390,N$1,'United Data'!$C$3:$C$3390,$A274)&gt;0,1,0)</f>
        <v>0</v>
      </c>
      <c r="O274">
        <f>IF(COUNTIFS('United Data'!$A$3:$A$3390,O$1,'United Data'!$C$3:$C$3390,$A274)&gt;0,1,0)</f>
        <v>0</v>
      </c>
      <c r="P274">
        <f>IF(COUNTIFS('United Data'!$A$3:$A$3390,P$1,'United Data'!$C$3:$C$3390,$A274)&gt;0,1,0)</f>
        <v>0</v>
      </c>
      <c r="Q274">
        <f>IF(COUNTIFS('United Data'!$A$3:$A$3390,Q$1,'United Data'!$C$3:$C$3390,$A274)&gt;0,1,0)</f>
        <v>0</v>
      </c>
      <c r="R274">
        <f>IF(COUNTIFS('United Data'!$A$3:$A$3390,R$1,'United Data'!$C$3:$C$3390,$A274)&gt;0,1,0)</f>
        <v>1</v>
      </c>
      <c r="S274">
        <f t="shared" si="8"/>
        <v>1</v>
      </c>
      <c r="T274">
        <f t="shared" si="9"/>
        <v>1</v>
      </c>
    </row>
    <row r="275" spans="1:20" x14ac:dyDescent="0.2">
      <c r="A275" t="s">
        <v>354</v>
      </c>
      <c r="B275">
        <f>IF(COUNTIFS('United Data'!$A$3:$A$3390,B$1,'United Data'!$C$3:$C$3390,$A275)&gt;0,1,0)</f>
        <v>1</v>
      </c>
      <c r="C275">
        <f>IF(COUNTIFS('United Data'!$A$3:$A$3390,C$1,'United Data'!$C$3:$C$3390,$A275)&gt;0,1,0)</f>
        <v>0</v>
      </c>
      <c r="D275">
        <f>IF(COUNTIFS('United Data'!$A$3:$A$3390,D$1,'United Data'!$C$3:$C$3390,$A275)&gt;0,1,0)</f>
        <v>0</v>
      </c>
      <c r="E275">
        <f>IF(COUNTIFS('United Data'!$A$3:$A$3390,E$1,'United Data'!$C$3:$C$3390,$A275)&gt;0,1,0)</f>
        <v>1</v>
      </c>
      <c r="F275">
        <f>IF(COUNTIFS('United Data'!$A$3:$A$3390,F$1,'United Data'!$C$3:$C$3390,$A275)&gt;0,1,0)</f>
        <v>1</v>
      </c>
      <c r="G275">
        <f>IF(COUNTIFS('United Data'!$A$3:$A$3390,G$1,'United Data'!$C$3:$C$3390,$A275)&gt;0,1,0)</f>
        <v>1</v>
      </c>
      <c r="H275">
        <f>IF(COUNTIFS('United Data'!$A$3:$A$3390,H$1,'United Data'!$C$3:$C$3390,$A275)&gt;0,1,0)</f>
        <v>0</v>
      </c>
      <c r="I275">
        <f>IF(COUNTIFS('United Data'!$A$3:$A$3390,I$1,'United Data'!$C$3:$C$3390,$A275)&gt;0,1,0)</f>
        <v>1</v>
      </c>
      <c r="J275">
        <f>IF(COUNTIFS('United Data'!$A$3:$A$3390,J$1,'United Data'!$C$3:$C$3390,$A275)&gt;0,1,0)</f>
        <v>0</v>
      </c>
      <c r="K275">
        <f>IF(COUNTIFS('United Data'!$A$3:$A$3390,K$1,'United Data'!$C$3:$C$3390,$A275)&gt;0,1,0)</f>
        <v>0</v>
      </c>
      <c r="L275">
        <f>IF(COUNTIFS('United Data'!$A$3:$A$3390,L$1,'United Data'!$C$3:$C$3390,$A275)&gt;0,1,0)</f>
        <v>1</v>
      </c>
      <c r="M275">
        <f>IF(COUNTIFS('United Data'!$A$3:$A$3390,M$1,'United Data'!$C$3:$C$3390,$A275)&gt;0,1,0)</f>
        <v>1</v>
      </c>
      <c r="N275">
        <f>IF(COUNTIFS('United Data'!$A$3:$A$3390,N$1,'United Data'!$C$3:$C$3390,$A275)&gt;0,1,0)</f>
        <v>1</v>
      </c>
      <c r="O275">
        <f>IF(COUNTIFS('United Data'!$A$3:$A$3390,O$1,'United Data'!$C$3:$C$3390,$A275)&gt;0,1,0)</f>
        <v>1</v>
      </c>
      <c r="P275">
        <f>IF(COUNTIFS('United Data'!$A$3:$A$3390,P$1,'United Data'!$C$3:$C$3390,$A275)&gt;0,1,0)</f>
        <v>1</v>
      </c>
      <c r="Q275">
        <f>IF(COUNTIFS('United Data'!$A$3:$A$3390,Q$1,'United Data'!$C$3:$C$3390,$A275)&gt;0,1,0)</f>
        <v>1</v>
      </c>
      <c r="R275">
        <f>IF(COUNTIFS('United Data'!$A$3:$A$3390,R$1,'United Data'!$C$3:$C$3390,$A275)&gt;0,1,0)</f>
        <v>1</v>
      </c>
      <c r="S275">
        <f t="shared" si="8"/>
        <v>12</v>
      </c>
      <c r="T275">
        <f t="shared" si="9"/>
        <v>4</v>
      </c>
    </row>
    <row r="276" spans="1:20" x14ac:dyDescent="0.2">
      <c r="A276" t="s">
        <v>355</v>
      </c>
      <c r="B276">
        <f>IF(COUNTIFS('United Data'!$A$3:$A$3390,B$1,'United Data'!$C$3:$C$3390,$A276)&gt;0,1,0)</f>
        <v>1</v>
      </c>
      <c r="C276">
        <f>IF(COUNTIFS('United Data'!$A$3:$A$3390,C$1,'United Data'!$C$3:$C$3390,$A276)&gt;0,1,0)</f>
        <v>0</v>
      </c>
      <c r="D276">
        <f>IF(COUNTIFS('United Data'!$A$3:$A$3390,D$1,'United Data'!$C$3:$C$3390,$A276)&gt;0,1,0)</f>
        <v>0</v>
      </c>
      <c r="E276">
        <f>IF(COUNTIFS('United Data'!$A$3:$A$3390,E$1,'United Data'!$C$3:$C$3390,$A276)&gt;0,1,0)</f>
        <v>0</v>
      </c>
      <c r="F276">
        <f>IF(COUNTIFS('United Data'!$A$3:$A$3390,F$1,'United Data'!$C$3:$C$3390,$A276)&gt;0,1,0)</f>
        <v>0</v>
      </c>
      <c r="G276">
        <f>IF(COUNTIFS('United Data'!$A$3:$A$3390,G$1,'United Data'!$C$3:$C$3390,$A276)&gt;0,1,0)</f>
        <v>0</v>
      </c>
      <c r="H276">
        <f>IF(COUNTIFS('United Data'!$A$3:$A$3390,H$1,'United Data'!$C$3:$C$3390,$A276)&gt;0,1,0)</f>
        <v>0</v>
      </c>
      <c r="I276">
        <f>IF(COUNTIFS('United Data'!$A$3:$A$3390,I$1,'United Data'!$C$3:$C$3390,$A276)&gt;0,1,0)</f>
        <v>0</v>
      </c>
      <c r="J276">
        <f>IF(COUNTIFS('United Data'!$A$3:$A$3390,J$1,'United Data'!$C$3:$C$3390,$A276)&gt;0,1,0)</f>
        <v>0</v>
      </c>
      <c r="K276">
        <f>IF(COUNTIFS('United Data'!$A$3:$A$3390,K$1,'United Data'!$C$3:$C$3390,$A276)&gt;0,1,0)</f>
        <v>0</v>
      </c>
      <c r="L276">
        <f>IF(COUNTIFS('United Data'!$A$3:$A$3390,L$1,'United Data'!$C$3:$C$3390,$A276)&gt;0,1,0)</f>
        <v>0</v>
      </c>
      <c r="M276">
        <f>IF(COUNTIFS('United Data'!$A$3:$A$3390,M$1,'United Data'!$C$3:$C$3390,$A276)&gt;0,1,0)</f>
        <v>0</v>
      </c>
      <c r="N276">
        <f>IF(COUNTIFS('United Data'!$A$3:$A$3390,N$1,'United Data'!$C$3:$C$3390,$A276)&gt;0,1,0)</f>
        <v>0</v>
      </c>
      <c r="O276">
        <f>IF(COUNTIFS('United Data'!$A$3:$A$3390,O$1,'United Data'!$C$3:$C$3390,$A276)&gt;0,1,0)</f>
        <v>0</v>
      </c>
      <c r="P276">
        <f>IF(COUNTIFS('United Data'!$A$3:$A$3390,P$1,'United Data'!$C$3:$C$3390,$A276)&gt;0,1,0)</f>
        <v>0</v>
      </c>
      <c r="Q276">
        <f>IF(COUNTIFS('United Data'!$A$3:$A$3390,Q$1,'United Data'!$C$3:$C$3390,$A276)&gt;0,1,0)</f>
        <v>0</v>
      </c>
      <c r="R276">
        <f>IF(COUNTIFS('United Data'!$A$3:$A$3390,R$1,'United Data'!$C$3:$C$3390,$A276)&gt;0,1,0)</f>
        <v>0</v>
      </c>
      <c r="S276">
        <f t="shared" si="8"/>
        <v>1</v>
      </c>
      <c r="T276">
        <f t="shared" si="9"/>
        <v>1</v>
      </c>
    </row>
    <row r="277" spans="1:20" x14ac:dyDescent="0.2">
      <c r="A277" t="s">
        <v>356</v>
      </c>
      <c r="B277">
        <f>IF(COUNTIFS('United Data'!$A$3:$A$3390,B$1,'United Data'!$C$3:$C$3390,$A277)&gt;0,1,0)</f>
        <v>1</v>
      </c>
      <c r="C277">
        <f>IF(COUNTIFS('United Data'!$A$3:$A$3390,C$1,'United Data'!$C$3:$C$3390,$A277)&gt;0,1,0)</f>
        <v>0</v>
      </c>
      <c r="D277">
        <f>IF(COUNTIFS('United Data'!$A$3:$A$3390,D$1,'United Data'!$C$3:$C$3390,$A277)&gt;0,1,0)</f>
        <v>0</v>
      </c>
      <c r="E277">
        <f>IF(COUNTIFS('United Data'!$A$3:$A$3390,E$1,'United Data'!$C$3:$C$3390,$A277)&gt;0,1,0)</f>
        <v>0</v>
      </c>
      <c r="F277">
        <f>IF(COUNTIFS('United Data'!$A$3:$A$3390,F$1,'United Data'!$C$3:$C$3390,$A277)&gt;0,1,0)</f>
        <v>0</v>
      </c>
      <c r="G277">
        <f>IF(COUNTIFS('United Data'!$A$3:$A$3390,G$1,'United Data'!$C$3:$C$3390,$A277)&gt;0,1,0)</f>
        <v>0</v>
      </c>
      <c r="H277">
        <f>IF(COUNTIFS('United Data'!$A$3:$A$3390,H$1,'United Data'!$C$3:$C$3390,$A277)&gt;0,1,0)</f>
        <v>0</v>
      </c>
      <c r="I277">
        <f>IF(COUNTIFS('United Data'!$A$3:$A$3390,I$1,'United Data'!$C$3:$C$3390,$A277)&gt;0,1,0)</f>
        <v>0</v>
      </c>
      <c r="J277">
        <f>IF(COUNTIFS('United Data'!$A$3:$A$3390,J$1,'United Data'!$C$3:$C$3390,$A277)&gt;0,1,0)</f>
        <v>0</v>
      </c>
      <c r="K277">
        <f>IF(COUNTIFS('United Data'!$A$3:$A$3390,K$1,'United Data'!$C$3:$C$3390,$A277)&gt;0,1,0)</f>
        <v>0</v>
      </c>
      <c r="L277">
        <f>IF(COUNTIFS('United Data'!$A$3:$A$3390,L$1,'United Data'!$C$3:$C$3390,$A277)&gt;0,1,0)</f>
        <v>0</v>
      </c>
      <c r="M277">
        <f>IF(COUNTIFS('United Data'!$A$3:$A$3390,M$1,'United Data'!$C$3:$C$3390,$A277)&gt;0,1,0)</f>
        <v>0</v>
      </c>
      <c r="N277">
        <f>IF(COUNTIFS('United Data'!$A$3:$A$3390,N$1,'United Data'!$C$3:$C$3390,$A277)&gt;0,1,0)</f>
        <v>0</v>
      </c>
      <c r="O277">
        <f>IF(COUNTIFS('United Data'!$A$3:$A$3390,O$1,'United Data'!$C$3:$C$3390,$A277)&gt;0,1,0)</f>
        <v>0</v>
      </c>
      <c r="P277">
        <f>IF(COUNTIFS('United Data'!$A$3:$A$3390,P$1,'United Data'!$C$3:$C$3390,$A277)&gt;0,1,0)</f>
        <v>0</v>
      </c>
      <c r="Q277">
        <f>IF(COUNTIFS('United Data'!$A$3:$A$3390,Q$1,'United Data'!$C$3:$C$3390,$A277)&gt;0,1,0)</f>
        <v>0</v>
      </c>
      <c r="R277">
        <f>IF(COUNTIFS('United Data'!$A$3:$A$3390,R$1,'United Data'!$C$3:$C$3390,$A277)&gt;0,1,0)</f>
        <v>0</v>
      </c>
      <c r="S277">
        <f t="shared" si="8"/>
        <v>1</v>
      </c>
      <c r="T277">
        <f t="shared" si="9"/>
        <v>1</v>
      </c>
    </row>
    <row r="278" spans="1:20" x14ac:dyDescent="0.2">
      <c r="A278" t="s">
        <v>357</v>
      </c>
      <c r="B278">
        <f>IF(COUNTIFS('United Data'!$A$3:$A$3390,B$1,'United Data'!$C$3:$C$3390,$A278)&gt;0,1,0)</f>
        <v>1</v>
      </c>
      <c r="C278">
        <f>IF(COUNTIFS('United Data'!$A$3:$A$3390,C$1,'United Data'!$C$3:$C$3390,$A278)&gt;0,1,0)</f>
        <v>0</v>
      </c>
      <c r="D278">
        <f>IF(COUNTIFS('United Data'!$A$3:$A$3390,D$1,'United Data'!$C$3:$C$3390,$A278)&gt;0,1,0)</f>
        <v>0</v>
      </c>
      <c r="E278">
        <f>IF(COUNTIFS('United Data'!$A$3:$A$3390,E$1,'United Data'!$C$3:$C$3390,$A278)&gt;0,1,0)</f>
        <v>0</v>
      </c>
      <c r="F278">
        <f>IF(COUNTIFS('United Data'!$A$3:$A$3390,F$1,'United Data'!$C$3:$C$3390,$A278)&gt;0,1,0)</f>
        <v>0</v>
      </c>
      <c r="G278">
        <f>IF(COUNTIFS('United Data'!$A$3:$A$3390,G$1,'United Data'!$C$3:$C$3390,$A278)&gt;0,1,0)</f>
        <v>0</v>
      </c>
      <c r="H278">
        <f>IF(COUNTIFS('United Data'!$A$3:$A$3390,H$1,'United Data'!$C$3:$C$3390,$A278)&gt;0,1,0)</f>
        <v>0</v>
      </c>
      <c r="I278">
        <f>IF(COUNTIFS('United Data'!$A$3:$A$3390,I$1,'United Data'!$C$3:$C$3390,$A278)&gt;0,1,0)</f>
        <v>0</v>
      </c>
      <c r="J278">
        <f>IF(COUNTIFS('United Data'!$A$3:$A$3390,J$1,'United Data'!$C$3:$C$3390,$A278)&gt;0,1,0)</f>
        <v>0</v>
      </c>
      <c r="K278">
        <f>IF(COUNTIFS('United Data'!$A$3:$A$3390,K$1,'United Data'!$C$3:$C$3390,$A278)&gt;0,1,0)</f>
        <v>0</v>
      </c>
      <c r="L278">
        <f>IF(COUNTIFS('United Data'!$A$3:$A$3390,L$1,'United Data'!$C$3:$C$3390,$A278)&gt;0,1,0)</f>
        <v>0</v>
      </c>
      <c r="M278">
        <f>IF(COUNTIFS('United Data'!$A$3:$A$3390,M$1,'United Data'!$C$3:$C$3390,$A278)&gt;0,1,0)</f>
        <v>0</v>
      </c>
      <c r="N278">
        <f>IF(COUNTIFS('United Data'!$A$3:$A$3390,N$1,'United Data'!$C$3:$C$3390,$A278)&gt;0,1,0)</f>
        <v>0</v>
      </c>
      <c r="O278">
        <f>IF(COUNTIFS('United Data'!$A$3:$A$3390,O$1,'United Data'!$C$3:$C$3390,$A278)&gt;0,1,0)</f>
        <v>0</v>
      </c>
      <c r="P278">
        <f>IF(COUNTIFS('United Data'!$A$3:$A$3390,P$1,'United Data'!$C$3:$C$3390,$A278)&gt;0,1,0)</f>
        <v>0</v>
      </c>
      <c r="Q278">
        <f>IF(COUNTIFS('United Data'!$A$3:$A$3390,Q$1,'United Data'!$C$3:$C$3390,$A278)&gt;0,1,0)</f>
        <v>0</v>
      </c>
      <c r="R278">
        <f>IF(COUNTIFS('United Data'!$A$3:$A$3390,R$1,'United Data'!$C$3:$C$3390,$A278)&gt;0,1,0)</f>
        <v>0</v>
      </c>
      <c r="S278">
        <f t="shared" si="8"/>
        <v>1</v>
      </c>
      <c r="T278">
        <f t="shared" si="9"/>
        <v>1</v>
      </c>
    </row>
    <row r="279" spans="1:20" x14ac:dyDescent="0.2">
      <c r="A279" t="s">
        <v>358</v>
      </c>
      <c r="B279">
        <f>IF(COUNTIFS('United Data'!$A$3:$A$3390,B$1,'United Data'!$C$3:$C$3390,$A279)&gt;0,1,0)</f>
        <v>1</v>
      </c>
      <c r="C279">
        <f>IF(COUNTIFS('United Data'!$A$3:$A$3390,C$1,'United Data'!$C$3:$C$3390,$A279)&gt;0,1,0)</f>
        <v>0</v>
      </c>
      <c r="D279">
        <f>IF(COUNTIFS('United Data'!$A$3:$A$3390,D$1,'United Data'!$C$3:$C$3390,$A279)&gt;0,1,0)</f>
        <v>0</v>
      </c>
      <c r="E279">
        <f>IF(COUNTIFS('United Data'!$A$3:$A$3390,E$1,'United Data'!$C$3:$C$3390,$A279)&gt;0,1,0)</f>
        <v>0</v>
      </c>
      <c r="F279">
        <f>IF(COUNTIFS('United Data'!$A$3:$A$3390,F$1,'United Data'!$C$3:$C$3390,$A279)&gt;0,1,0)</f>
        <v>0</v>
      </c>
      <c r="G279">
        <f>IF(COUNTIFS('United Data'!$A$3:$A$3390,G$1,'United Data'!$C$3:$C$3390,$A279)&gt;0,1,0)</f>
        <v>0</v>
      </c>
      <c r="H279">
        <f>IF(COUNTIFS('United Data'!$A$3:$A$3390,H$1,'United Data'!$C$3:$C$3390,$A279)&gt;0,1,0)</f>
        <v>0</v>
      </c>
      <c r="I279">
        <f>IF(COUNTIFS('United Data'!$A$3:$A$3390,I$1,'United Data'!$C$3:$C$3390,$A279)&gt;0,1,0)</f>
        <v>0</v>
      </c>
      <c r="J279">
        <f>IF(COUNTIFS('United Data'!$A$3:$A$3390,J$1,'United Data'!$C$3:$C$3390,$A279)&gt;0,1,0)</f>
        <v>0</v>
      </c>
      <c r="K279">
        <f>IF(COUNTIFS('United Data'!$A$3:$A$3390,K$1,'United Data'!$C$3:$C$3390,$A279)&gt;0,1,0)</f>
        <v>0</v>
      </c>
      <c r="L279">
        <f>IF(COUNTIFS('United Data'!$A$3:$A$3390,L$1,'United Data'!$C$3:$C$3390,$A279)&gt;0,1,0)</f>
        <v>0</v>
      </c>
      <c r="M279">
        <f>IF(COUNTIFS('United Data'!$A$3:$A$3390,M$1,'United Data'!$C$3:$C$3390,$A279)&gt;0,1,0)</f>
        <v>0</v>
      </c>
      <c r="N279">
        <f>IF(COUNTIFS('United Data'!$A$3:$A$3390,N$1,'United Data'!$C$3:$C$3390,$A279)&gt;0,1,0)</f>
        <v>0</v>
      </c>
      <c r="O279">
        <f>IF(COUNTIFS('United Data'!$A$3:$A$3390,O$1,'United Data'!$C$3:$C$3390,$A279)&gt;0,1,0)</f>
        <v>0</v>
      </c>
      <c r="P279">
        <f>IF(COUNTIFS('United Data'!$A$3:$A$3390,P$1,'United Data'!$C$3:$C$3390,$A279)&gt;0,1,0)</f>
        <v>0</v>
      </c>
      <c r="Q279">
        <f>IF(COUNTIFS('United Data'!$A$3:$A$3390,Q$1,'United Data'!$C$3:$C$3390,$A279)&gt;0,1,0)</f>
        <v>0</v>
      </c>
      <c r="R279">
        <f>IF(COUNTIFS('United Data'!$A$3:$A$3390,R$1,'United Data'!$C$3:$C$3390,$A279)&gt;0,1,0)</f>
        <v>0</v>
      </c>
      <c r="S279">
        <f t="shared" si="8"/>
        <v>1</v>
      </c>
      <c r="T279">
        <f t="shared" si="9"/>
        <v>1</v>
      </c>
    </row>
    <row r="280" spans="1:20" x14ac:dyDescent="0.2">
      <c r="A280" t="s">
        <v>359</v>
      </c>
      <c r="B280">
        <f>IF(COUNTIFS('United Data'!$A$3:$A$3390,B$1,'United Data'!$C$3:$C$3390,$A280)&gt;0,1,0)</f>
        <v>0</v>
      </c>
      <c r="C280">
        <f>IF(COUNTIFS('United Data'!$A$3:$A$3390,C$1,'United Data'!$C$3:$C$3390,$A280)&gt;0,1,0)</f>
        <v>1</v>
      </c>
      <c r="D280">
        <f>IF(COUNTIFS('United Data'!$A$3:$A$3390,D$1,'United Data'!$C$3:$C$3390,$A280)&gt;0,1,0)</f>
        <v>1</v>
      </c>
      <c r="E280">
        <f>IF(COUNTIFS('United Data'!$A$3:$A$3390,E$1,'United Data'!$C$3:$C$3390,$A280)&gt;0,1,0)</f>
        <v>1</v>
      </c>
      <c r="F280">
        <f>IF(COUNTIFS('United Data'!$A$3:$A$3390,F$1,'United Data'!$C$3:$C$3390,$A280)&gt;0,1,0)</f>
        <v>1</v>
      </c>
      <c r="G280">
        <f>IF(COUNTIFS('United Data'!$A$3:$A$3390,G$1,'United Data'!$C$3:$C$3390,$A280)&gt;0,1,0)</f>
        <v>1</v>
      </c>
      <c r="H280">
        <f>IF(COUNTIFS('United Data'!$A$3:$A$3390,H$1,'United Data'!$C$3:$C$3390,$A280)&gt;0,1,0)</f>
        <v>1</v>
      </c>
      <c r="I280">
        <f>IF(COUNTIFS('United Data'!$A$3:$A$3390,I$1,'United Data'!$C$3:$C$3390,$A280)&gt;0,1,0)</f>
        <v>0</v>
      </c>
      <c r="J280">
        <f>IF(COUNTIFS('United Data'!$A$3:$A$3390,J$1,'United Data'!$C$3:$C$3390,$A280)&gt;0,1,0)</f>
        <v>0</v>
      </c>
      <c r="K280">
        <f>IF(COUNTIFS('United Data'!$A$3:$A$3390,K$1,'United Data'!$C$3:$C$3390,$A280)&gt;0,1,0)</f>
        <v>1</v>
      </c>
      <c r="L280">
        <f>IF(COUNTIFS('United Data'!$A$3:$A$3390,L$1,'United Data'!$C$3:$C$3390,$A280)&gt;0,1,0)</f>
        <v>0</v>
      </c>
      <c r="M280">
        <f>IF(COUNTIFS('United Data'!$A$3:$A$3390,M$1,'United Data'!$C$3:$C$3390,$A280)&gt;0,1,0)</f>
        <v>0</v>
      </c>
      <c r="N280">
        <f>IF(COUNTIFS('United Data'!$A$3:$A$3390,N$1,'United Data'!$C$3:$C$3390,$A280)&gt;0,1,0)</f>
        <v>0</v>
      </c>
      <c r="O280">
        <f>IF(COUNTIFS('United Data'!$A$3:$A$3390,O$1,'United Data'!$C$3:$C$3390,$A280)&gt;0,1,0)</f>
        <v>1</v>
      </c>
      <c r="P280">
        <f>IF(COUNTIFS('United Data'!$A$3:$A$3390,P$1,'United Data'!$C$3:$C$3390,$A280)&gt;0,1,0)</f>
        <v>0</v>
      </c>
      <c r="Q280">
        <f>IF(COUNTIFS('United Data'!$A$3:$A$3390,Q$1,'United Data'!$C$3:$C$3390,$A280)&gt;0,1,0)</f>
        <v>0</v>
      </c>
      <c r="R280">
        <f>IF(COUNTIFS('United Data'!$A$3:$A$3390,R$1,'United Data'!$C$3:$C$3390,$A280)&gt;0,1,0)</f>
        <v>0</v>
      </c>
      <c r="S280">
        <f t="shared" si="8"/>
        <v>8</v>
      </c>
      <c r="T280">
        <f t="shared" si="9"/>
        <v>3</v>
      </c>
    </row>
    <row r="281" spans="1:20" x14ac:dyDescent="0.2">
      <c r="A281" t="s">
        <v>360</v>
      </c>
      <c r="B281">
        <f>IF(COUNTIFS('United Data'!$A$3:$A$3390,B$1,'United Data'!$C$3:$C$3390,$A281)&gt;0,1,0)</f>
        <v>0</v>
      </c>
      <c r="C281">
        <f>IF(COUNTIFS('United Data'!$A$3:$A$3390,C$1,'United Data'!$C$3:$C$3390,$A281)&gt;0,1,0)</f>
        <v>1</v>
      </c>
      <c r="D281">
        <f>IF(COUNTIFS('United Data'!$A$3:$A$3390,D$1,'United Data'!$C$3:$C$3390,$A281)&gt;0,1,0)</f>
        <v>0</v>
      </c>
      <c r="E281">
        <f>IF(COUNTIFS('United Data'!$A$3:$A$3390,E$1,'United Data'!$C$3:$C$3390,$A281)&gt;0,1,0)</f>
        <v>0</v>
      </c>
      <c r="F281">
        <f>IF(COUNTIFS('United Data'!$A$3:$A$3390,F$1,'United Data'!$C$3:$C$3390,$A281)&gt;0,1,0)</f>
        <v>0</v>
      </c>
      <c r="G281">
        <f>IF(COUNTIFS('United Data'!$A$3:$A$3390,G$1,'United Data'!$C$3:$C$3390,$A281)&gt;0,1,0)</f>
        <v>0</v>
      </c>
      <c r="H281">
        <f>IF(COUNTIFS('United Data'!$A$3:$A$3390,H$1,'United Data'!$C$3:$C$3390,$A281)&gt;0,1,0)</f>
        <v>0</v>
      </c>
      <c r="I281">
        <f>IF(COUNTIFS('United Data'!$A$3:$A$3390,I$1,'United Data'!$C$3:$C$3390,$A281)&gt;0,1,0)</f>
        <v>0</v>
      </c>
      <c r="J281">
        <f>IF(COUNTIFS('United Data'!$A$3:$A$3390,J$1,'United Data'!$C$3:$C$3390,$A281)&gt;0,1,0)</f>
        <v>0</v>
      </c>
      <c r="K281">
        <f>IF(COUNTIFS('United Data'!$A$3:$A$3390,K$1,'United Data'!$C$3:$C$3390,$A281)&gt;0,1,0)</f>
        <v>0</v>
      </c>
      <c r="L281">
        <f>IF(COUNTIFS('United Data'!$A$3:$A$3390,L$1,'United Data'!$C$3:$C$3390,$A281)&gt;0,1,0)</f>
        <v>0</v>
      </c>
      <c r="M281">
        <f>IF(COUNTIFS('United Data'!$A$3:$A$3390,M$1,'United Data'!$C$3:$C$3390,$A281)&gt;0,1,0)</f>
        <v>0</v>
      </c>
      <c r="N281">
        <f>IF(COUNTIFS('United Data'!$A$3:$A$3390,N$1,'United Data'!$C$3:$C$3390,$A281)&gt;0,1,0)</f>
        <v>0</v>
      </c>
      <c r="O281">
        <f>IF(COUNTIFS('United Data'!$A$3:$A$3390,O$1,'United Data'!$C$3:$C$3390,$A281)&gt;0,1,0)</f>
        <v>0</v>
      </c>
      <c r="P281">
        <f>IF(COUNTIFS('United Data'!$A$3:$A$3390,P$1,'United Data'!$C$3:$C$3390,$A281)&gt;0,1,0)</f>
        <v>0</v>
      </c>
      <c r="Q281">
        <f>IF(COUNTIFS('United Data'!$A$3:$A$3390,Q$1,'United Data'!$C$3:$C$3390,$A281)&gt;0,1,0)</f>
        <v>0</v>
      </c>
      <c r="R281">
        <f>IF(COUNTIFS('United Data'!$A$3:$A$3390,R$1,'United Data'!$C$3:$C$3390,$A281)&gt;0,1,0)</f>
        <v>0</v>
      </c>
      <c r="S281">
        <f t="shared" si="8"/>
        <v>1</v>
      </c>
      <c r="T281">
        <f t="shared" si="9"/>
        <v>1</v>
      </c>
    </row>
    <row r="282" spans="1:20" x14ac:dyDescent="0.2">
      <c r="A282" t="s">
        <v>361</v>
      </c>
      <c r="B282">
        <f>IF(COUNTIFS('United Data'!$A$3:$A$3390,B$1,'United Data'!$C$3:$C$3390,$A282)&gt;0,1,0)</f>
        <v>0</v>
      </c>
      <c r="C282">
        <f>IF(COUNTIFS('United Data'!$A$3:$A$3390,C$1,'United Data'!$C$3:$C$3390,$A282)&gt;0,1,0)</f>
        <v>1</v>
      </c>
      <c r="D282">
        <f>IF(COUNTIFS('United Data'!$A$3:$A$3390,D$1,'United Data'!$C$3:$C$3390,$A282)&gt;0,1,0)</f>
        <v>1</v>
      </c>
      <c r="E282">
        <f>IF(COUNTIFS('United Data'!$A$3:$A$3390,E$1,'United Data'!$C$3:$C$3390,$A282)&gt;0,1,0)</f>
        <v>1</v>
      </c>
      <c r="F282">
        <f>IF(COUNTIFS('United Data'!$A$3:$A$3390,F$1,'United Data'!$C$3:$C$3390,$A282)&gt;0,1,0)</f>
        <v>1</v>
      </c>
      <c r="G282">
        <f>IF(COUNTIFS('United Data'!$A$3:$A$3390,G$1,'United Data'!$C$3:$C$3390,$A282)&gt;0,1,0)</f>
        <v>0</v>
      </c>
      <c r="H282">
        <f>IF(COUNTIFS('United Data'!$A$3:$A$3390,H$1,'United Data'!$C$3:$C$3390,$A282)&gt;0,1,0)</f>
        <v>1</v>
      </c>
      <c r="I282">
        <f>IF(COUNTIFS('United Data'!$A$3:$A$3390,I$1,'United Data'!$C$3:$C$3390,$A282)&gt;0,1,0)</f>
        <v>1</v>
      </c>
      <c r="J282">
        <f>IF(COUNTIFS('United Data'!$A$3:$A$3390,J$1,'United Data'!$C$3:$C$3390,$A282)&gt;0,1,0)</f>
        <v>1</v>
      </c>
      <c r="K282">
        <f>IF(COUNTIFS('United Data'!$A$3:$A$3390,K$1,'United Data'!$C$3:$C$3390,$A282)&gt;0,1,0)</f>
        <v>0</v>
      </c>
      <c r="L282">
        <f>IF(COUNTIFS('United Data'!$A$3:$A$3390,L$1,'United Data'!$C$3:$C$3390,$A282)&gt;0,1,0)</f>
        <v>1</v>
      </c>
      <c r="M282">
        <f>IF(COUNTIFS('United Data'!$A$3:$A$3390,M$1,'United Data'!$C$3:$C$3390,$A282)&gt;0,1,0)</f>
        <v>1</v>
      </c>
      <c r="N282">
        <f>IF(COUNTIFS('United Data'!$A$3:$A$3390,N$1,'United Data'!$C$3:$C$3390,$A282)&gt;0,1,0)</f>
        <v>1</v>
      </c>
      <c r="O282">
        <f>IF(COUNTIFS('United Data'!$A$3:$A$3390,O$1,'United Data'!$C$3:$C$3390,$A282)&gt;0,1,0)</f>
        <v>1</v>
      </c>
      <c r="P282">
        <f>IF(COUNTIFS('United Data'!$A$3:$A$3390,P$1,'United Data'!$C$3:$C$3390,$A282)&gt;0,1,0)</f>
        <v>1</v>
      </c>
      <c r="Q282">
        <f>IF(COUNTIFS('United Data'!$A$3:$A$3390,Q$1,'United Data'!$C$3:$C$3390,$A282)&gt;0,1,0)</f>
        <v>1</v>
      </c>
      <c r="R282">
        <f>IF(COUNTIFS('United Data'!$A$3:$A$3390,R$1,'United Data'!$C$3:$C$3390,$A282)&gt;0,1,0)</f>
        <v>0</v>
      </c>
      <c r="S282">
        <f t="shared" si="8"/>
        <v>13</v>
      </c>
      <c r="T282">
        <f t="shared" si="9"/>
        <v>3</v>
      </c>
    </row>
    <row r="283" spans="1:20" x14ac:dyDescent="0.2">
      <c r="A283" t="s">
        <v>362</v>
      </c>
      <c r="B283">
        <f>IF(COUNTIFS('United Data'!$A$3:$A$3390,B$1,'United Data'!$C$3:$C$3390,$A283)&gt;0,1,0)</f>
        <v>0</v>
      </c>
      <c r="C283">
        <f>IF(COUNTIFS('United Data'!$A$3:$A$3390,C$1,'United Data'!$C$3:$C$3390,$A283)&gt;0,1,0)</f>
        <v>1</v>
      </c>
      <c r="D283">
        <f>IF(COUNTIFS('United Data'!$A$3:$A$3390,D$1,'United Data'!$C$3:$C$3390,$A283)&gt;0,1,0)</f>
        <v>1</v>
      </c>
      <c r="E283">
        <f>IF(COUNTIFS('United Data'!$A$3:$A$3390,E$1,'United Data'!$C$3:$C$3390,$A283)&gt;0,1,0)</f>
        <v>1</v>
      </c>
      <c r="F283">
        <f>IF(COUNTIFS('United Data'!$A$3:$A$3390,F$1,'United Data'!$C$3:$C$3390,$A283)&gt;0,1,0)</f>
        <v>1</v>
      </c>
      <c r="G283">
        <f>IF(COUNTIFS('United Data'!$A$3:$A$3390,G$1,'United Data'!$C$3:$C$3390,$A283)&gt;0,1,0)</f>
        <v>0</v>
      </c>
      <c r="H283">
        <f>IF(COUNTIFS('United Data'!$A$3:$A$3390,H$1,'United Data'!$C$3:$C$3390,$A283)&gt;0,1,0)</f>
        <v>0</v>
      </c>
      <c r="I283">
        <f>IF(COUNTIFS('United Data'!$A$3:$A$3390,I$1,'United Data'!$C$3:$C$3390,$A283)&gt;0,1,0)</f>
        <v>0</v>
      </c>
      <c r="J283">
        <f>IF(COUNTIFS('United Data'!$A$3:$A$3390,J$1,'United Data'!$C$3:$C$3390,$A283)&gt;0,1,0)</f>
        <v>0</v>
      </c>
      <c r="K283">
        <f>IF(COUNTIFS('United Data'!$A$3:$A$3390,K$1,'United Data'!$C$3:$C$3390,$A283)&gt;0,1,0)</f>
        <v>0</v>
      </c>
      <c r="L283">
        <f>IF(COUNTIFS('United Data'!$A$3:$A$3390,L$1,'United Data'!$C$3:$C$3390,$A283)&gt;0,1,0)</f>
        <v>0</v>
      </c>
      <c r="M283">
        <f>IF(COUNTIFS('United Data'!$A$3:$A$3390,M$1,'United Data'!$C$3:$C$3390,$A283)&gt;0,1,0)</f>
        <v>0</v>
      </c>
      <c r="N283">
        <f>IF(COUNTIFS('United Data'!$A$3:$A$3390,N$1,'United Data'!$C$3:$C$3390,$A283)&gt;0,1,0)</f>
        <v>0</v>
      </c>
      <c r="O283">
        <f>IF(COUNTIFS('United Data'!$A$3:$A$3390,O$1,'United Data'!$C$3:$C$3390,$A283)&gt;0,1,0)</f>
        <v>0</v>
      </c>
      <c r="P283">
        <f>IF(COUNTIFS('United Data'!$A$3:$A$3390,P$1,'United Data'!$C$3:$C$3390,$A283)&gt;0,1,0)</f>
        <v>0</v>
      </c>
      <c r="Q283">
        <f>IF(COUNTIFS('United Data'!$A$3:$A$3390,Q$1,'United Data'!$C$3:$C$3390,$A283)&gt;0,1,0)</f>
        <v>0</v>
      </c>
      <c r="R283">
        <f>IF(COUNTIFS('United Data'!$A$3:$A$3390,R$1,'United Data'!$C$3:$C$3390,$A283)&gt;0,1,0)</f>
        <v>0</v>
      </c>
      <c r="S283">
        <f t="shared" si="8"/>
        <v>4</v>
      </c>
      <c r="T283">
        <f t="shared" si="9"/>
        <v>1</v>
      </c>
    </row>
    <row r="284" spans="1:20" x14ac:dyDescent="0.2">
      <c r="A284" t="s">
        <v>363</v>
      </c>
      <c r="B284">
        <f>IF(COUNTIFS('United Data'!$A$3:$A$3390,B$1,'United Data'!$C$3:$C$3390,$A284)&gt;0,1,0)</f>
        <v>0</v>
      </c>
      <c r="C284">
        <f>IF(COUNTIFS('United Data'!$A$3:$A$3390,C$1,'United Data'!$C$3:$C$3390,$A284)&gt;0,1,0)</f>
        <v>1</v>
      </c>
      <c r="D284">
        <f>IF(COUNTIFS('United Data'!$A$3:$A$3390,D$1,'United Data'!$C$3:$C$3390,$A284)&gt;0,1,0)</f>
        <v>1</v>
      </c>
      <c r="E284">
        <f>IF(COUNTIFS('United Data'!$A$3:$A$3390,E$1,'United Data'!$C$3:$C$3390,$A284)&gt;0,1,0)</f>
        <v>1</v>
      </c>
      <c r="F284">
        <f>IF(COUNTIFS('United Data'!$A$3:$A$3390,F$1,'United Data'!$C$3:$C$3390,$A284)&gt;0,1,0)</f>
        <v>1</v>
      </c>
      <c r="G284">
        <f>IF(COUNTIFS('United Data'!$A$3:$A$3390,G$1,'United Data'!$C$3:$C$3390,$A284)&gt;0,1,0)</f>
        <v>0</v>
      </c>
      <c r="H284">
        <f>IF(COUNTIFS('United Data'!$A$3:$A$3390,H$1,'United Data'!$C$3:$C$3390,$A284)&gt;0,1,0)</f>
        <v>0</v>
      </c>
      <c r="I284">
        <f>IF(COUNTIFS('United Data'!$A$3:$A$3390,I$1,'United Data'!$C$3:$C$3390,$A284)&gt;0,1,0)</f>
        <v>1</v>
      </c>
      <c r="J284">
        <f>IF(COUNTIFS('United Data'!$A$3:$A$3390,J$1,'United Data'!$C$3:$C$3390,$A284)&gt;0,1,0)</f>
        <v>1</v>
      </c>
      <c r="K284">
        <f>IF(COUNTIFS('United Data'!$A$3:$A$3390,K$1,'United Data'!$C$3:$C$3390,$A284)&gt;0,1,0)</f>
        <v>0</v>
      </c>
      <c r="L284">
        <f>IF(COUNTIFS('United Data'!$A$3:$A$3390,L$1,'United Data'!$C$3:$C$3390,$A284)&gt;0,1,0)</f>
        <v>1</v>
      </c>
      <c r="M284">
        <f>IF(COUNTIFS('United Data'!$A$3:$A$3390,M$1,'United Data'!$C$3:$C$3390,$A284)&gt;0,1,0)</f>
        <v>1</v>
      </c>
      <c r="N284">
        <f>IF(COUNTIFS('United Data'!$A$3:$A$3390,N$1,'United Data'!$C$3:$C$3390,$A284)&gt;0,1,0)</f>
        <v>0</v>
      </c>
      <c r="O284">
        <f>IF(COUNTIFS('United Data'!$A$3:$A$3390,O$1,'United Data'!$C$3:$C$3390,$A284)&gt;0,1,0)</f>
        <v>1</v>
      </c>
      <c r="P284">
        <f>IF(COUNTIFS('United Data'!$A$3:$A$3390,P$1,'United Data'!$C$3:$C$3390,$A284)&gt;0,1,0)</f>
        <v>1</v>
      </c>
      <c r="Q284">
        <f>IF(COUNTIFS('United Data'!$A$3:$A$3390,Q$1,'United Data'!$C$3:$C$3390,$A284)&gt;0,1,0)</f>
        <v>0</v>
      </c>
      <c r="R284">
        <f>IF(COUNTIFS('United Data'!$A$3:$A$3390,R$1,'United Data'!$C$3:$C$3390,$A284)&gt;0,1,0)</f>
        <v>0</v>
      </c>
      <c r="S284">
        <f t="shared" si="8"/>
        <v>10</v>
      </c>
      <c r="T284">
        <f t="shared" si="9"/>
        <v>4</v>
      </c>
    </row>
    <row r="285" spans="1:20" x14ac:dyDescent="0.2">
      <c r="A285" t="s">
        <v>364</v>
      </c>
      <c r="B285">
        <f>IF(COUNTIFS('United Data'!$A$3:$A$3390,B$1,'United Data'!$C$3:$C$3390,$A285)&gt;0,1,0)</f>
        <v>0</v>
      </c>
      <c r="C285">
        <f>IF(COUNTIFS('United Data'!$A$3:$A$3390,C$1,'United Data'!$C$3:$C$3390,$A285)&gt;0,1,0)</f>
        <v>1</v>
      </c>
      <c r="D285">
        <f>IF(COUNTIFS('United Data'!$A$3:$A$3390,D$1,'United Data'!$C$3:$C$3390,$A285)&gt;0,1,0)</f>
        <v>0</v>
      </c>
      <c r="E285">
        <f>IF(COUNTIFS('United Data'!$A$3:$A$3390,E$1,'United Data'!$C$3:$C$3390,$A285)&gt;0,1,0)</f>
        <v>0</v>
      </c>
      <c r="F285">
        <f>IF(COUNTIFS('United Data'!$A$3:$A$3390,F$1,'United Data'!$C$3:$C$3390,$A285)&gt;0,1,0)</f>
        <v>0</v>
      </c>
      <c r="G285">
        <f>IF(COUNTIFS('United Data'!$A$3:$A$3390,G$1,'United Data'!$C$3:$C$3390,$A285)&gt;0,1,0)</f>
        <v>0</v>
      </c>
      <c r="H285">
        <f>IF(COUNTIFS('United Data'!$A$3:$A$3390,H$1,'United Data'!$C$3:$C$3390,$A285)&gt;0,1,0)</f>
        <v>0</v>
      </c>
      <c r="I285">
        <f>IF(COUNTIFS('United Data'!$A$3:$A$3390,I$1,'United Data'!$C$3:$C$3390,$A285)&gt;0,1,0)</f>
        <v>0</v>
      </c>
      <c r="J285">
        <f>IF(COUNTIFS('United Data'!$A$3:$A$3390,J$1,'United Data'!$C$3:$C$3390,$A285)&gt;0,1,0)</f>
        <v>0</v>
      </c>
      <c r="K285">
        <f>IF(COUNTIFS('United Data'!$A$3:$A$3390,K$1,'United Data'!$C$3:$C$3390,$A285)&gt;0,1,0)</f>
        <v>0</v>
      </c>
      <c r="L285">
        <f>IF(COUNTIFS('United Data'!$A$3:$A$3390,L$1,'United Data'!$C$3:$C$3390,$A285)&gt;0,1,0)</f>
        <v>0</v>
      </c>
      <c r="M285">
        <f>IF(COUNTIFS('United Data'!$A$3:$A$3390,M$1,'United Data'!$C$3:$C$3390,$A285)&gt;0,1,0)</f>
        <v>0</v>
      </c>
      <c r="N285">
        <f>IF(COUNTIFS('United Data'!$A$3:$A$3390,N$1,'United Data'!$C$3:$C$3390,$A285)&gt;0,1,0)</f>
        <v>0</v>
      </c>
      <c r="O285">
        <f>IF(COUNTIFS('United Data'!$A$3:$A$3390,O$1,'United Data'!$C$3:$C$3390,$A285)&gt;0,1,0)</f>
        <v>0</v>
      </c>
      <c r="P285">
        <f>IF(COUNTIFS('United Data'!$A$3:$A$3390,P$1,'United Data'!$C$3:$C$3390,$A285)&gt;0,1,0)</f>
        <v>0</v>
      </c>
      <c r="Q285">
        <f>IF(COUNTIFS('United Data'!$A$3:$A$3390,Q$1,'United Data'!$C$3:$C$3390,$A285)&gt;0,1,0)</f>
        <v>0</v>
      </c>
      <c r="R285">
        <f>IF(COUNTIFS('United Data'!$A$3:$A$3390,R$1,'United Data'!$C$3:$C$3390,$A285)&gt;0,1,0)</f>
        <v>0</v>
      </c>
      <c r="S285">
        <f t="shared" si="8"/>
        <v>1</v>
      </c>
      <c r="T285">
        <f t="shared" si="9"/>
        <v>1</v>
      </c>
    </row>
    <row r="286" spans="1:20" x14ac:dyDescent="0.2">
      <c r="A286" t="s">
        <v>366</v>
      </c>
      <c r="B286">
        <f>IF(COUNTIFS('United Data'!$A$3:$A$3390,B$1,'United Data'!$C$3:$C$3390,$A286)&gt;0,1,0)</f>
        <v>0</v>
      </c>
      <c r="C286">
        <f>IF(COUNTIFS('United Data'!$A$3:$A$3390,C$1,'United Data'!$C$3:$C$3390,$A286)&gt;0,1,0)</f>
        <v>1</v>
      </c>
      <c r="D286">
        <f>IF(COUNTIFS('United Data'!$A$3:$A$3390,D$1,'United Data'!$C$3:$C$3390,$A286)&gt;0,1,0)</f>
        <v>0</v>
      </c>
      <c r="E286">
        <f>IF(COUNTIFS('United Data'!$A$3:$A$3390,E$1,'United Data'!$C$3:$C$3390,$A286)&gt;0,1,0)</f>
        <v>0</v>
      </c>
      <c r="F286">
        <f>IF(COUNTIFS('United Data'!$A$3:$A$3390,F$1,'United Data'!$C$3:$C$3390,$A286)&gt;0,1,0)</f>
        <v>0</v>
      </c>
      <c r="G286">
        <f>IF(COUNTIFS('United Data'!$A$3:$A$3390,G$1,'United Data'!$C$3:$C$3390,$A286)&gt;0,1,0)</f>
        <v>0</v>
      </c>
      <c r="H286">
        <f>IF(COUNTIFS('United Data'!$A$3:$A$3390,H$1,'United Data'!$C$3:$C$3390,$A286)&gt;0,1,0)</f>
        <v>0</v>
      </c>
      <c r="I286">
        <f>IF(COUNTIFS('United Data'!$A$3:$A$3390,I$1,'United Data'!$C$3:$C$3390,$A286)&gt;0,1,0)</f>
        <v>0</v>
      </c>
      <c r="J286">
        <f>IF(COUNTIFS('United Data'!$A$3:$A$3390,J$1,'United Data'!$C$3:$C$3390,$A286)&gt;0,1,0)</f>
        <v>0</v>
      </c>
      <c r="K286">
        <f>IF(COUNTIFS('United Data'!$A$3:$A$3390,K$1,'United Data'!$C$3:$C$3390,$A286)&gt;0,1,0)</f>
        <v>0</v>
      </c>
      <c r="L286">
        <f>IF(COUNTIFS('United Data'!$A$3:$A$3390,L$1,'United Data'!$C$3:$C$3390,$A286)&gt;0,1,0)</f>
        <v>0</v>
      </c>
      <c r="M286">
        <f>IF(COUNTIFS('United Data'!$A$3:$A$3390,M$1,'United Data'!$C$3:$C$3390,$A286)&gt;0,1,0)</f>
        <v>0</v>
      </c>
      <c r="N286">
        <f>IF(COUNTIFS('United Data'!$A$3:$A$3390,N$1,'United Data'!$C$3:$C$3390,$A286)&gt;0,1,0)</f>
        <v>0</v>
      </c>
      <c r="O286">
        <f>IF(COUNTIFS('United Data'!$A$3:$A$3390,O$1,'United Data'!$C$3:$C$3390,$A286)&gt;0,1,0)</f>
        <v>0</v>
      </c>
      <c r="P286">
        <f>IF(COUNTIFS('United Data'!$A$3:$A$3390,P$1,'United Data'!$C$3:$C$3390,$A286)&gt;0,1,0)</f>
        <v>0</v>
      </c>
      <c r="Q286">
        <f>IF(COUNTIFS('United Data'!$A$3:$A$3390,Q$1,'United Data'!$C$3:$C$3390,$A286)&gt;0,1,0)</f>
        <v>0</v>
      </c>
      <c r="R286">
        <f>IF(COUNTIFS('United Data'!$A$3:$A$3390,R$1,'United Data'!$C$3:$C$3390,$A286)&gt;0,1,0)</f>
        <v>0</v>
      </c>
      <c r="S286">
        <f t="shared" si="8"/>
        <v>1</v>
      </c>
      <c r="T286">
        <f t="shared" si="9"/>
        <v>1</v>
      </c>
    </row>
    <row r="287" spans="1:20" x14ac:dyDescent="0.2">
      <c r="A287" t="s">
        <v>367</v>
      </c>
      <c r="B287">
        <f>IF(COUNTIFS('United Data'!$A$3:$A$3390,B$1,'United Data'!$C$3:$C$3390,$A287)&gt;0,1,0)</f>
        <v>0</v>
      </c>
      <c r="C287">
        <f>IF(COUNTIFS('United Data'!$A$3:$A$3390,C$1,'United Data'!$C$3:$C$3390,$A287)&gt;0,1,0)</f>
        <v>0</v>
      </c>
      <c r="D287">
        <f>IF(COUNTIFS('United Data'!$A$3:$A$3390,D$1,'United Data'!$C$3:$C$3390,$A287)&gt;0,1,0)</f>
        <v>1</v>
      </c>
      <c r="E287">
        <f>IF(COUNTIFS('United Data'!$A$3:$A$3390,E$1,'United Data'!$C$3:$C$3390,$A287)&gt;0,1,0)</f>
        <v>0</v>
      </c>
      <c r="F287">
        <f>IF(COUNTIFS('United Data'!$A$3:$A$3390,F$1,'United Data'!$C$3:$C$3390,$A287)&gt;0,1,0)</f>
        <v>1</v>
      </c>
      <c r="G287">
        <f>IF(COUNTIFS('United Data'!$A$3:$A$3390,G$1,'United Data'!$C$3:$C$3390,$A287)&gt;0,1,0)</f>
        <v>1</v>
      </c>
      <c r="H287">
        <f>IF(COUNTIFS('United Data'!$A$3:$A$3390,H$1,'United Data'!$C$3:$C$3390,$A287)&gt;0,1,0)</f>
        <v>0</v>
      </c>
      <c r="I287">
        <f>IF(COUNTIFS('United Data'!$A$3:$A$3390,I$1,'United Data'!$C$3:$C$3390,$A287)&gt;0,1,0)</f>
        <v>0</v>
      </c>
      <c r="J287">
        <f>IF(COUNTIFS('United Data'!$A$3:$A$3390,J$1,'United Data'!$C$3:$C$3390,$A287)&gt;0,1,0)</f>
        <v>0</v>
      </c>
      <c r="K287">
        <f>IF(COUNTIFS('United Data'!$A$3:$A$3390,K$1,'United Data'!$C$3:$C$3390,$A287)&gt;0,1,0)</f>
        <v>0</v>
      </c>
      <c r="L287">
        <f>IF(COUNTIFS('United Data'!$A$3:$A$3390,L$1,'United Data'!$C$3:$C$3390,$A287)&gt;0,1,0)</f>
        <v>0</v>
      </c>
      <c r="M287">
        <f>IF(COUNTIFS('United Data'!$A$3:$A$3390,M$1,'United Data'!$C$3:$C$3390,$A287)&gt;0,1,0)</f>
        <v>0</v>
      </c>
      <c r="N287">
        <f>IF(COUNTIFS('United Data'!$A$3:$A$3390,N$1,'United Data'!$C$3:$C$3390,$A287)&gt;0,1,0)</f>
        <v>0</v>
      </c>
      <c r="O287">
        <f>IF(COUNTIFS('United Data'!$A$3:$A$3390,O$1,'United Data'!$C$3:$C$3390,$A287)&gt;0,1,0)</f>
        <v>0</v>
      </c>
      <c r="P287">
        <f>IF(COUNTIFS('United Data'!$A$3:$A$3390,P$1,'United Data'!$C$3:$C$3390,$A287)&gt;0,1,0)</f>
        <v>0</v>
      </c>
      <c r="Q287">
        <f>IF(COUNTIFS('United Data'!$A$3:$A$3390,Q$1,'United Data'!$C$3:$C$3390,$A287)&gt;0,1,0)</f>
        <v>0</v>
      </c>
      <c r="R287">
        <f>IF(COUNTIFS('United Data'!$A$3:$A$3390,R$1,'United Data'!$C$3:$C$3390,$A287)&gt;0,1,0)</f>
        <v>0</v>
      </c>
      <c r="S287">
        <f t="shared" si="8"/>
        <v>3</v>
      </c>
      <c r="T287">
        <f t="shared" si="9"/>
        <v>2</v>
      </c>
    </row>
    <row r="288" spans="1:20" x14ac:dyDescent="0.2">
      <c r="A288" t="s">
        <v>368</v>
      </c>
      <c r="B288">
        <f>IF(COUNTIFS('United Data'!$A$3:$A$3390,B$1,'United Data'!$C$3:$C$3390,$A288)&gt;0,1,0)</f>
        <v>0</v>
      </c>
      <c r="C288">
        <f>IF(COUNTIFS('United Data'!$A$3:$A$3390,C$1,'United Data'!$C$3:$C$3390,$A288)&gt;0,1,0)</f>
        <v>0</v>
      </c>
      <c r="D288">
        <f>IF(COUNTIFS('United Data'!$A$3:$A$3390,D$1,'United Data'!$C$3:$C$3390,$A288)&gt;0,1,0)</f>
        <v>1</v>
      </c>
      <c r="E288">
        <f>IF(COUNTIFS('United Data'!$A$3:$A$3390,E$1,'United Data'!$C$3:$C$3390,$A288)&gt;0,1,0)</f>
        <v>1</v>
      </c>
      <c r="F288">
        <f>IF(COUNTIFS('United Data'!$A$3:$A$3390,F$1,'United Data'!$C$3:$C$3390,$A288)&gt;0,1,0)</f>
        <v>0</v>
      </c>
      <c r="G288">
        <f>IF(COUNTIFS('United Data'!$A$3:$A$3390,G$1,'United Data'!$C$3:$C$3390,$A288)&gt;0,1,0)</f>
        <v>0</v>
      </c>
      <c r="H288">
        <f>IF(COUNTIFS('United Data'!$A$3:$A$3390,H$1,'United Data'!$C$3:$C$3390,$A288)&gt;0,1,0)</f>
        <v>0</v>
      </c>
      <c r="I288">
        <f>IF(COUNTIFS('United Data'!$A$3:$A$3390,I$1,'United Data'!$C$3:$C$3390,$A288)&gt;0,1,0)</f>
        <v>0</v>
      </c>
      <c r="J288">
        <f>IF(COUNTIFS('United Data'!$A$3:$A$3390,J$1,'United Data'!$C$3:$C$3390,$A288)&gt;0,1,0)</f>
        <v>0</v>
      </c>
      <c r="K288">
        <f>IF(COUNTIFS('United Data'!$A$3:$A$3390,K$1,'United Data'!$C$3:$C$3390,$A288)&gt;0,1,0)</f>
        <v>0</v>
      </c>
      <c r="L288">
        <f>IF(COUNTIFS('United Data'!$A$3:$A$3390,L$1,'United Data'!$C$3:$C$3390,$A288)&gt;0,1,0)</f>
        <v>0</v>
      </c>
      <c r="M288">
        <f>IF(COUNTIFS('United Data'!$A$3:$A$3390,M$1,'United Data'!$C$3:$C$3390,$A288)&gt;0,1,0)</f>
        <v>0</v>
      </c>
      <c r="N288">
        <f>IF(COUNTIFS('United Data'!$A$3:$A$3390,N$1,'United Data'!$C$3:$C$3390,$A288)&gt;0,1,0)</f>
        <v>0</v>
      </c>
      <c r="O288">
        <f>IF(COUNTIFS('United Data'!$A$3:$A$3390,O$1,'United Data'!$C$3:$C$3390,$A288)&gt;0,1,0)</f>
        <v>0</v>
      </c>
      <c r="P288">
        <f>IF(COUNTIFS('United Data'!$A$3:$A$3390,P$1,'United Data'!$C$3:$C$3390,$A288)&gt;0,1,0)</f>
        <v>0</v>
      </c>
      <c r="Q288">
        <f>IF(COUNTIFS('United Data'!$A$3:$A$3390,Q$1,'United Data'!$C$3:$C$3390,$A288)&gt;0,1,0)</f>
        <v>0</v>
      </c>
      <c r="R288">
        <f>IF(COUNTIFS('United Data'!$A$3:$A$3390,R$1,'United Data'!$C$3:$C$3390,$A288)&gt;0,1,0)</f>
        <v>0</v>
      </c>
      <c r="S288">
        <f t="shared" si="8"/>
        <v>2</v>
      </c>
      <c r="T288">
        <f t="shared" si="9"/>
        <v>1</v>
      </c>
    </row>
    <row r="289" spans="1:20" x14ac:dyDescent="0.2">
      <c r="A289" t="s">
        <v>371</v>
      </c>
      <c r="B289">
        <f>IF(COUNTIFS('United Data'!$A$3:$A$3390,B$1,'United Data'!$C$3:$C$3390,$A289)&gt;0,1,0)</f>
        <v>0</v>
      </c>
      <c r="C289">
        <f>IF(COUNTIFS('United Data'!$A$3:$A$3390,C$1,'United Data'!$C$3:$C$3390,$A289)&gt;0,1,0)</f>
        <v>0</v>
      </c>
      <c r="D289">
        <f>IF(COUNTIFS('United Data'!$A$3:$A$3390,D$1,'United Data'!$C$3:$C$3390,$A289)&gt;0,1,0)</f>
        <v>1</v>
      </c>
      <c r="E289">
        <f>IF(COUNTIFS('United Data'!$A$3:$A$3390,E$1,'United Data'!$C$3:$C$3390,$A289)&gt;0,1,0)</f>
        <v>1</v>
      </c>
      <c r="F289">
        <f>IF(COUNTIFS('United Data'!$A$3:$A$3390,F$1,'United Data'!$C$3:$C$3390,$A289)&gt;0,1,0)</f>
        <v>1</v>
      </c>
      <c r="G289">
        <f>IF(COUNTIFS('United Data'!$A$3:$A$3390,G$1,'United Data'!$C$3:$C$3390,$A289)&gt;0,1,0)</f>
        <v>0</v>
      </c>
      <c r="H289">
        <f>IF(COUNTIFS('United Data'!$A$3:$A$3390,H$1,'United Data'!$C$3:$C$3390,$A289)&gt;0,1,0)</f>
        <v>1</v>
      </c>
      <c r="I289">
        <f>IF(COUNTIFS('United Data'!$A$3:$A$3390,I$1,'United Data'!$C$3:$C$3390,$A289)&gt;0,1,0)</f>
        <v>0</v>
      </c>
      <c r="J289">
        <f>IF(COUNTIFS('United Data'!$A$3:$A$3390,J$1,'United Data'!$C$3:$C$3390,$A289)&gt;0,1,0)</f>
        <v>0</v>
      </c>
      <c r="K289">
        <f>IF(COUNTIFS('United Data'!$A$3:$A$3390,K$1,'United Data'!$C$3:$C$3390,$A289)&gt;0,1,0)</f>
        <v>0</v>
      </c>
      <c r="L289">
        <f>IF(COUNTIFS('United Data'!$A$3:$A$3390,L$1,'United Data'!$C$3:$C$3390,$A289)&gt;0,1,0)</f>
        <v>0</v>
      </c>
      <c r="M289">
        <f>IF(COUNTIFS('United Data'!$A$3:$A$3390,M$1,'United Data'!$C$3:$C$3390,$A289)&gt;0,1,0)</f>
        <v>0</v>
      </c>
      <c r="N289">
        <f>IF(COUNTIFS('United Data'!$A$3:$A$3390,N$1,'United Data'!$C$3:$C$3390,$A289)&gt;0,1,0)</f>
        <v>0</v>
      </c>
      <c r="O289">
        <f>IF(COUNTIFS('United Data'!$A$3:$A$3390,O$1,'United Data'!$C$3:$C$3390,$A289)&gt;0,1,0)</f>
        <v>0</v>
      </c>
      <c r="P289">
        <f>IF(COUNTIFS('United Data'!$A$3:$A$3390,P$1,'United Data'!$C$3:$C$3390,$A289)&gt;0,1,0)</f>
        <v>0</v>
      </c>
      <c r="Q289">
        <f>IF(COUNTIFS('United Data'!$A$3:$A$3390,Q$1,'United Data'!$C$3:$C$3390,$A289)&gt;0,1,0)</f>
        <v>0</v>
      </c>
      <c r="R289">
        <f>IF(COUNTIFS('United Data'!$A$3:$A$3390,R$1,'United Data'!$C$3:$C$3390,$A289)&gt;0,1,0)</f>
        <v>0</v>
      </c>
      <c r="S289">
        <f t="shared" si="8"/>
        <v>4</v>
      </c>
      <c r="T289">
        <f t="shared" si="9"/>
        <v>2</v>
      </c>
    </row>
    <row r="290" spans="1:20" x14ac:dyDescent="0.2">
      <c r="A290" t="s">
        <v>374</v>
      </c>
      <c r="B290">
        <f>IF(COUNTIFS('United Data'!$A$3:$A$3390,B$1,'United Data'!$C$3:$C$3390,$A290)&gt;0,1,0)</f>
        <v>0</v>
      </c>
      <c r="C290">
        <f>IF(COUNTIFS('United Data'!$A$3:$A$3390,C$1,'United Data'!$C$3:$C$3390,$A290)&gt;0,1,0)</f>
        <v>0</v>
      </c>
      <c r="D290">
        <f>IF(COUNTIFS('United Data'!$A$3:$A$3390,D$1,'United Data'!$C$3:$C$3390,$A290)&gt;0,1,0)</f>
        <v>1</v>
      </c>
      <c r="E290">
        <f>IF(COUNTIFS('United Data'!$A$3:$A$3390,E$1,'United Data'!$C$3:$C$3390,$A290)&gt;0,1,0)</f>
        <v>0</v>
      </c>
      <c r="F290">
        <f>IF(COUNTIFS('United Data'!$A$3:$A$3390,F$1,'United Data'!$C$3:$C$3390,$A290)&gt;0,1,0)</f>
        <v>0</v>
      </c>
      <c r="G290">
        <f>IF(COUNTIFS('United Data'!$A$3:$A$3390,G$1,'United Data'!$C$3:$C$3390,$A290)&gt;0,1,0)</f>
        <v>0</v>
      </c>
      <c r="H290">
        <f>IF(COUNTIFS('United Data'!$A$3:$A$3390,H$1,'United Data'!$C$3:$C$3390,$A290)&gt;0,1,0)</f>
        <v>0</v>
      </c>
      <c r="I290">
        <f>IF(COUNTIFS('United Data'!$A$3:$A$3390,I$1,'United Data'!$C$3:$C$3390,$A290)&gt;0,1,0)</f>
        <v>0</v>
      </c>
      <c r="J290">
        <f>IF(COUNTIFS('United Data'!$A$3:$A$3390,J$1,'United Data'!$C$3:$C$3390,$A290)&gt;0,1,0)</f>
        <v>0</v>
      </c>
      <c r="K290">
        <f>IF(COUNTIFS('United Data'!$A$3:$A$3390,K$1,'United Data'!$C$3:$C$3390,$A290)&gt;0,1,0)</f>
        <v>0</v>
      </c>
      <c r="L290">
        <f>IF(COUNTIFS('United Data'!$A$3:$A$3390,L$1,'United Data'!$C$3:$C$3390,$A290)&gt;0,1,0)</f>
        <v>0</v>
      </c>
      <c r="M290">
        <f>IF(COUNTIFS('United Data'!$A$3:$A$3390,M$1,'United Data'!$C$3:$C$3390,$A290)&gt;0,1,0)</f>
        <v>0</v>
      </c>
      <c r="N290">
        <f>IF(COUNTIFS('United Data'!$A$3:$A$3390,N$1,'United Data'!$C$3:$C$3390,$A290)&gt;0,1,0)</f>
        <v>0</v>
      </c>
      <c r="O290">
        <f>IF(COUNTIFS('United Data'!$A$3:$A$3390,O$1,'United Data'!$C$3:$C$3390,$A290)&gt;0,1,0)</f>
        <v>0</v>
      </c>
      <c r="P290">
        <f>IF(COUNTIFS('United Data'!$A$3:$A$3390,P$1,'United Data'!$C$3:$C$3390,$A290)&gt;0,1,0)</f>
        <v>0</v>
      </c>
      <c r="Q290">
        <f>IF(COUNTIFS('United Data'!$A$3:$A$3390,Q$1,'United Data'!$C$3:$C$3390,$A290)&gt;0,1,0)</f>
        <v>0</v>
      </c>
      <c r="R290">
        <f>IF(COUNTIFS('United Data'!$A$3:$A$3390,R$1,'United Data'!$C$3:$C$3390,$A290)&gt;0,1,0)</f>
        <v>0</v>
      </c>
      <c r="S290">
        <f t="shared" si="8"/>
        <v>1</v>
      </c>
      <c r="T290">
        <f t="shared" si="9"/>
        <v>1</v>
      </c>
    </row>
    <row r="291" spans="1:20" x14ac:dyDescent="0.2">
      <c r="A291" t="s">
        <v>376</v>
      </c>
      <c r="B291">
        <f>IF(COUNTIFS('United Data'!$A$3:$A$3390,B$1,'United Data'!$C$3:$C$3390,$A291)&gt;0,1,0)</f>
        <v>0</v>
      </c>
      <c r="C291">
        <f>IF(COUNTIFS('United Data'!$A$3:$A$3390,C$1,'United Data'!$C$3:$C$3390,$A291)&gt;0,1,0)</f>
        <v>0</v>
      </c>
      <c r="D291">
        <f>IF(COUNTIFS('United Data'!$A$3:$A$3390,D$1,'United Data'!$C$3:$C$3390,$A291)&gt;0,1,0)</f>
        <v>1</v>
      </c>
      <c r="E291">
        <f>IF(COUNTIFS('United Data'!$A$3:$A$3390,E$1,'United Data'!$C$3:$C$3390,$A291)&gt;0,1,0)</f>
        <v>0</v>
      </c>
      <c r="F291">
        <f>IF(COUNTIFS('United Data'!$A$3:$A$3390,F$1,'United Data'!$C$3:$C$3390,$A291)&gt;0,1,0)</f>
        <v>0</v>
      </c>
      <c r="G291">
        <f>IF(COUNTIFS('United Data'!$A$3:$A$3390,G$1,'United Data'!$C$3:$C$3390,$A291)&gt;0,1,0)</f>
        <v>0</v>
      </c>
      <c r="H291">
        <f>IF(COUNTIFS('United Data'!$A$3:$A$3390,H$1,'United Data'!$C$3:$C$3390,$A291)&gt;0,1,0)</f>
        <v>0</v>
      </c>
      <c r="I291">
        <f>IF(COUNTIFS('United Data'!$A$3:$A$3390,I$1,'United Data'!$C$3:$C$3390,$A291)&gt;0,1,0)</f>
        <v>0</v>
      </c>
      <c r="J291">
        <f>IF(COUNTIFS('United Data'!$A$3:$A$3390,J$1,'United Data'!$C$3:$C$3390,$A291)&gt;0,1,0)</f>
        <v>0</v>
      </c>
      <c r="K291">
        <f>IF(COUNTIFS('United Data'!$A$3:$A$3390,K$1,'United Data'!$C$3:$C$3390,$A291)&gt;0,1,0)</f>
        <v>0</v>
      </c>
      <c r="L291">
        <f>IF(COUNTIFS('United Data'!$A$3:$A$3390,L$1,'United Data'!$C$3:$C$3390,$A291)&gt;0,1,0)</f>
        <v>0</v>
      </c>
      <c r="M291">
        <f>IF(COUNTIFS('United Data'!$A$3:$A$3390,M$1,'United Data'!$C$3:$C$3390,$A291)&gt;0,1,0)</f>
        <v>0</v>
      </c>
      <c r="N291">
        <f>IF(COUNTIFS('United Data'!$A$3:$A$3390,N$1,'United Data'!$C$3:$C$3390,$A291)&gt;0,1,0)</f>
        <v>0</v>
      </c>
      <c r="O291">
        <f>IF(COUNTIFS('United Data'!$A$3:$A$3390,O$1,'United Data'!$C$3:$C$3390,$A291)&gt;0,1,0)</f>
        <v>0</v>
      </c>
      <c r="P291">
        <f>IF(COUNTIFS('United Data'!$A$3:$A$3390,P$1,'United Data'!$C$3:$C$3390,$A291)&gt;0,1,0)</f>
        <v>0</v>
      </c>
      <c r="Q291">
        <f>IF(COUNTIFS('United Data'!$A$3:$A$3390,Q$1,'United Data'!$C$3:$C$3390,$A291)&gt;0,1,0)</f>
        <v>0</v>
      </c>
      <c r="R291">
        <f>IF(COUNTIFS('United Data'!$A$3:$A$3390,R$1,'United Data'!$C$3:$C$3390,$A291)&gt;0,1,0)</f>
        <v>0</v>
      </c>
      <c r="S291">
        <f t="shared" si="8"/>
        <v>1</v>
      </c>
      <c r="T291">
        <f t="shared" si="9"/>
        <v>1</v>
      </c>
    </row>
    <row r="292" spans="1:20" x14ac:dyDescent="0.2">
      <c r="A292" t="s">
        <v>377</v>
      </c>
      <c r="B292">
        <f>IF(COUNTIFS('United Data'!$A$3:$A$3390,B$1,'United Data'!$C$3:$C$3390,$A292)&gt;0,1,0)</f>
        <v>0</v>
      </c>
      <c r="C292">
        <f>IF(COUNTIFS('United Data'!$A$3:$A$3390,C$1,'United Data'!$C$3:$C$3390,$A292)&gt;0,1,0)</f>
        <v>0</v>
      </c>
      <c r="D292">
        <f>IF(COUNTIFS('United Data'!$A$3:$A$3390,D$1,'United Data'!$C$3:$C$3390,$A292)&gt;0,1,0)</f>
        <v>1</v>
      </c>
      <c r="E292">
        <f>IF(COUNTIFS('United Data'!$A$3:$A$3390,E$1,'United Data'!$C$3:$C$3390,$A292)&gt;0,1,0)</f>
        <v>0</v>
      </c>
      <c r="F292">
        <f>IF(COUNTIFS('United Data'!$A$3:$A$3390,F$1,'United Data'!$C$3:$C$3390,$A292)&gt;0,1,0)</f>
        <v>0</v>
      </c>
      <c r="G292">
        <f>IF(COUNTIFS('United Data'!$A$3:$A$3390,G$1,'United Data'!$C$3:$C$3390,$A292)&gt;0,1,0)</f>
        <v>0</v>
      </c>
      <c r="H292">
        <f>IF(COUNTIFS('United Data'!$A$3:$A$3390,H$1,'United Data'!$C$3:$C$3390,$A292)&gt;0,1,0)</f>
        <v>0</v>
      </c>
      <c r="I292">
        <f>IF(COUNTIFS('United Data'!$A$3:$A$3390,I$1,'United Data'!$C$3:$C$3390,$A292)&gt;0,1,0)</f>
        <v>0</v>
      </c>
      <c r="J292">
        <f>IF(COUNTIFS('United Data'!$A$3:$A$3390,J$1,'United Data'!$C$3:$C$3390,$A292)&gt;0,1,0)</f>
        <v>0</v>
      </c>
      <c r="K292">
        <f>IF(COUNTIFS('United Data'!$A$3:$A$3390,K$1,'United Data'!$C$3:$C$3390,$A292)&gt;0,1,0)</f>
        <v>0</v>
      </c>
      <c r="L292">
        <f>IF(COUNTIFS('United Data'!$A$3:$A$3390,L$1,'United Data'!$C$3:$C$3390,$A292)&gt;0,1,0)</f>
        <v>0</v>
      </c>
      <c r="M292">
        <f>IF(COUNTIFS('United Data'!$A$3:$A$3390,M$1,'United Data'!$C$3:$C$3390,$A292)&gt;0,1,0)</f>
        <v>0</v>
      </c>
      <c r="N292">
        <f>IF(COUNTIFS('United Data'!$A$3:$A$3390,N$1,'United Data'!$C$3:$C$3390,$A292)&gt;0,1,0)</f>
        <v>0</v>
      </c>
      <c r="O292">
        <f>IF(COUNTIFS('United Data'!$A$3:$A$3390,O$1,'United Data'!$C$3:$C$3390,$A292)&gt;0,1,0)</f>
        <v>1</v>
      </c>
      <c r="P292">
        <f>IF(COUNTIFS('United Data'!$A$3:$A$3390,P$1,'United Data'!$C$3:$C$3390,$A292)&gt;0,1,0)</f>
        <v>1</v>
      </c>
      <c r="Q292">
        <f>IF(COUNTIFS('United Data'!$A$3:$A$3390,Q$1,'United Data'!$C$3:$C$3390,$A292)&gt;0,1,0)</f>
        <v>0</v>
      </c>
      <c r="R292">
        <f>IF(COUNTIFS('United Data'!$A$3:$A$3390,R$1,'United Data'!$C$3:$C$3390,$A292)&gt;0,1,0)</f>
        <v>0</v>
      </c>
      <c r="S292">
        <f t="shared" si="8"/>
        <v>3</v>
      </c>
      <c r="T292">
        <f t="shared" si="9"/>
        <v>2</v>
      </c>
    </row>
    <row r="293" spans="1:20" x14ac:dyDescent="0.2">
      <c r="A293" t="s">
        <v>378</v>
      </c>
      <c r="B293">
        <f>IF(COUNTIFS('United Data'!$A$3:$A$3390,B$1,'United Data'!$C$3:$C$3390,$A293)&gt;0,1,0)</f>
        <v>0</v>
      </c>
      <c r="C293">
        <f>IF(COUNTIFS('United Data'!$A$3:$A$3390,C$1,'United Data'!$C$3:$C$3390,$A293)&gt;0,1,0)</f>
        <v>0</v>
      </c>
      <c r="D293">
        <f>IF(COUNTIFS('United Data'!$A$3:$A$3390,D$1,'United Data'!$C$3:$C$3390,$A293)&gt;0,1,0)</f>
        <v>0</v>
      </c>
      <c r="E293">
        <f>IF(COUNTIFS('United Data'!$A$3:$A$3390,E$1,'United Data'!$C$3:$C$3390,$A293)&gt;0,1,0)</f>
        <v>1</v>
      </c>
      <c r="F293">
        <f>IF(COUNTIFS('United Data'!$A$3:$A$3390,F$1,'United Data'!$C$3:$C$3390,$A293)&gt;0,1,0)</f>
        <v>0</v>
      </c>
      <c r="G293">
        <f>IF(COUNTIFS('United Data'!$A$3:$A$3390,G$1,'United Data'!$C$3:$C$3390,$A293)&gt;0,1,0)</f>
        <v>0</v>
      </c>
      <c r="H293">
        <f>IF(COUNTIFS('United Data'!$A$3:$A$3390,H$1,'United Data'!$C$3:$C$3390,$A293)&gt;0,1,0)</f>
        <v>0</v>
      </c>
      <c r="I293">
        <f>IF(COUNTIFS('United Data'!$A$3:$A$3390,I$1,'United Data'!$C$3:$C$3390,$A293)&gt;0,1,0)</f>
        <v>0</v>
      </c>
      <c r="J293">
        <f>IF(COUNTIFS('United Data'!$A$3:$A$3390,J$1,'United Data'!$C$3:$C$3390,$A293)&gt;0,1,0)</f>
        <v>0</v>
      </c>
      <c r="K293">
        <f>IF(COUNTIFS('United Data'!$A$3:$A$3390,K$1,'United Data'!$C$3:$C$3390,$A293)&gt;0,1,0)</f>
        <v>0</v>
      </c>
      <c r="L293">
        <f>IF(COUNTIFS('United Data'!$A$3:$A$3390,L$1,'United Data'!$C$3:$C$3390,$A293)&gt;0,1,0)</f>
        <v>0</v>
      </c>
      <c r="M293">
        <f>IF(COUNTIFS('United Data'!$A$3:$A$3390,M$1,'United Data'!$C$3:$C$3390,$A293)&gt;0,1,0)</f>
        <v>0</v>
      </c>
      <c r="N293">
        <f>IF(COUNTIFS('United Data'!$A$3:$A$3390,N$1,'United Data'!$C$3:$C$3390,$A293)&gt;0,1,0)</f>
        <v>0</v>
      </c>
      <c r="O293">
        <f>IF(COUNTIFS('United Data'!$A$3:$A$3390,O$1,'United Data'!$C$3:$C$3390,$A293)&gt;0,1,0)</f>
        <v>0</v>
      </c>
      <c r="P293">
        <f>IF(COUNTIFS('United Data'!$A$3:$A$3390,P$1,'United Data'!$C$3:$C$3390,$A293)&gt;0,1,0)</f>
        <v>0</v>
      </c>
      <c r="Q293">
        <f>IF(COUNTIFS('United Data'!$A$3:$A$3390,Q$1,'United Data'!$C$3:$C$3390,$A293)&gt;0,1,0)</f>
        <v>0</v>
      </c>
      <c r="R293">
        <f>IF(COUNTIFS('United Data'!$A$3:$A$3390,R$1,'United Data'!$C$3:$C$3390,$A293)&gt;0,1,0)</f>
        <v>0</v>
      </c>
      <c r="S293">
        <f t="shared" si="8"/>
        <v>1</v>
      </c>
      <c r="T293">
        <f t="shared" si="9"/>
        <v>1</v>
      </c>
    </row>
    <row r="294" spans="1:20" x14ac:dyDescent="0.2">
      <c r="A294" t="s">
        <v>379</v>
      </c>
      <c r="B294">
        <f>IF(COUNTIFS('United Data'!$A$3:$A$3390,B$1,'United Data'!$C$3:$C$3390,$A294)&gt;0,1,0)</f>
        <v>0</v>
      </c>
      <c r="C294">
        <f>IF(COUNTIFS('United Data'!$A$3:$A$3390,C$1,'United Data'!$C$3:$C$3390,$A294)&gt;0,1,0)</f>
        <v>0</v>
      </c>
      <c r="D294">
        <f>IF(COUNTIFS('United Data'!$A$3:$A$3390,D$1,'United Data'!$C$3:$C$3390,$A294)&gt;0,1,0)</f>
        <v>0</v>
      </c>
      <c r="E294">
        <f>IF(COUNTIFS('United Data'!$A$3:$A$3390,E$1,'United Data'!$C$3:$C$3390,$A294)&gt;0,1,0)</f>
        <v>0</v>
      </c>
      <c r="F294">
        <f>IF(COUNTIFS('United Data'!$A$3:$A$3390,F$1,'United Data'!$C$3:$C$3390,$A294)&gt;0,1,0)</f>
        <v>0</v>
      </c>
      <c r="G294">
        <f>IF(COUNTIFS('United Data'!$A$3:$A$3390,G$1,'United Data'!$C$3:$C$3390,$A294)&gt;0,1,0)</f>
        <v>0</v>
      </c>
      <c r="H294">
        <f>IF(COUNTIFS('United Data'!$A$3:$A$3390,H$1,'United Data'!$C$3:$C$3390,$A294)&gt;0,1,0)</f>
        <v>0</v>
      </c>
      <c r="I294">
        <f>IF(COUNTIFS('United Data'!$A$3:$A$3390,I$1,'United Data'!$C$3:$C$3390,$A294)&gt;0,1,0)</f>
        <v>0</v>
      </c>
      <c r="J294">
        <f>IF(COUNTIFS('United Data'!$A$3:$A$3390,J$1,'United Data'!$C$3:$C$3390,$A294)&gt;0,1,0)</f>
        <v>0</v>
      </c>
      <c r="K294">
        <f>IF(COUNTIFS('United Data'!$A$3:$A$3390,K$1,'United Data'!$C$3:$C$3390,$A294)&gt;0,1,0)</f>
        <v>0</v>
      </c>
      <c r="L294">
        <f>IF(COUNTIFS('United Data'!$A$3:$A$3390,L$1,'United Data'!$C$3:$C$3390,$A294)&gt;0,1,0)</f>
        <v>0</v>
      </c>
      <c r="M294">
        <f>IF(COUNTIFS('United Data'!$A$3:$A$3390,M$1,'United Data'!$C$3:$C$3390,$A294)&gt;0,1,0)</f>
        <v>0</v>
      </c>
      <c r="N294">
        <f>IF(COUNTIFS('United Data'!$A$3:$A$3390,N$1,'United Data'!$C$3:$C$3390,$A294)&gt;0,1,0)</f>
        <v>0</v>
      </c>
      <c r="O294">
        <f>IF(COUNTIFS('United Data'!$A$3:$A$3390,O$1,'United Data'!$C$3:$C$3390,$A294)&gt;0,1,0)</f>
        <v>0</v>
      </c>
      <c r="P294">
        <f>IF(COUNTIFS('United Data'!$A$3:$A$3390,P$1,'United Data'!$C$3:$C$3390,$A294)&gt;0,1,0)</f>
        <v>0</v>
      </c>
      <c r="Q294">
        <f>IF(COUNTIFS('United Data'!$A$3:$A$3390,Q$1,'United Data'!$C$3:$C$3390,$A294)&gt;0,1,0)</f>
        <v>0</v>
      </c>
      <c r="R294">
        <f>IF(COUNTIFS('United Data'!$A$3:$A$3390,R$1,'United Data'!$C$3:$C$3390,$A294)&gt;0,1,0)</f>
        <v>0</v>
      </c>
      <c r="S294">
        <f t="shared" si="8"/>
        <v>0</v>
      </c>
      <c r="T294">
        <f t="shared" si="9"/>
        <v>0</v>
      </c>
    </row>
    <row r="295" spans="1:20" x14ac:dyDescent="0.2">
      <c r="A295" t="s">
        <v>380</v>
      </c>
      <c r="B295">
        <f>IF(COUNTIFS('United Data'!$A$3:$A$3390,B$1,'United Data'!$C$3:$C$3390,$A295)&gt;0,1,0)</f>
        <v>0</v>
      </c>
      <c r="C295">
        <f>IF(COUNTIFS('United Data'!$A$3:$A$3390,C$1,'United Data'!$C$3:$C$3390,$A295)&gt;0,1,0)</f>
        <v>0</v>
      </c>
      <c r="D295">
        <f>IF(COUNTIFS('United Data'!$A$3:$A$3390,D$1,'United Data'!$C$3:$C$3390,$A295)&gt;0,1,0)</f>
        <v>0</v>
      </c>
      <c r="E295">
        <f>IF(COUNTIFS('United Data'!$A$3:$A$3390,E$1,'United Data'!$C$3:$C$3390,$A295)&gt;0,1,0)</f>
        <v>1</v>
      </c>
      <c r="F295">
        <f>IF(COUNTIFS('United Data'!$A$3:$A$3390,F$1,'United Data'!$C$3:$C$3390,$A295)&gt;0,1,0)</f>
        <v>1</v>
      </c>
      <c r="G295">
        <f>IF(COUNTIFS('United Data'!$A$3:$A$3390,G$1,'United Data'!$C$3:$C$3390,$A295)&gt;0,1,0)</f>
        <v>0</v>
      </c>
      <c r="H295">
        <f>IF(COUNTIFS('United Data'!$A$3:$A$3390,H$1,'United Data'!$C$3:$C$3390,$A295)&gt;0,1,0)</f>
        <v>0</v>
      </c>
      <c r="I295">
        <f>IF(COUNTIFS('United Data'!$A$3:$A$3390,I$1,'United Data'!$C$3:$C$3390,$A295)&gt;0,1,0)</f>
        <v>0</v>
      </c>
      <c r="J295">
        <f>IF(COUNTIFS('United Data'!$A$3:$A$3390,J$1,'United Data'!$C$3:$C$3390,$A295)&gt;0,1,0)</f>
        <v>0</v>
      </c>
      <c r="K295">
        <f>IF(COUNTIFS('United Data'!$A$3:$A$3390,K$1,'United Data'!$C$3:$C$3390,$A295)&gt;0,1,0)</f>
        <v>0</v>
      </c>
      <c r="L295">
        <f>IF(COUNTIFS('United Data'!$A$3:$A$3390,L$1,'United Data'!$C$3:$C$3390,$A295)&gt;0,1,0)</f>
        <v>0</v>
      </c>
      <c r="M295">
        <f>IF(COUNTIFS('United Data'!$A$3:$A$3390,M$1,'United Data'!$C$3:$C$3390,$A295)&gt;0,1,0)</f>
        <v>0</v>
      </c>
      <c r="N295">
        <f>IF(COUNTIFS('United Data'!$A$3:$A$3390,N$1,'United Data'!$C$3:$C$3390,$A295)&gt;0,1,0)</f>
        <v>0</v>
      </c>
      <c r="O295">
        <f>IF(COUNTIFS('United Data'!$A$3:$A$3390,O$1,'United Data'!$C$3:$C$3390,$A295)&gt;0,1,0)</f>
        <v>0</v>
      </c>
      <c r="P295">
        <f>IF(COUNTIFS('United Data'!$A$3:$A$3390,P$1,'United Data'!$C$3:$C$3390,$A295)&gt;0,1,0)</f>
        <v>0</v>
      </c>
      <c r="Q295">
        <f>IF(COUNTIFS('United Data'!$A$3:$A$3390,Q$1,'United Data'!$C$3:$C$3390,$A295)&gt;0,1,0)</f>
        <v>0</v>
      </c>
      <c r="R295">
        <f>IF(COUNTIFS('United Data'!$A$3:$A$3390,R$1,'United Data'!$C$3:$C$3390,$A295)&gt;0,1,0)</f>
        <v>0</v>
      </c>
      <c r="S295">
        <f t="shared" si="8"/>
        <v>2</v>
      </c>
      <c r="T295">
        <f t="shared" si="9"/>
        <v>1</v>
      </c>
    </row>
    <row r="296" spans="1:20" x14ac:dyDescent="0.2">
      <c r="A296" t="s">
        <v>381</v>
      </c>
      <c r="B296">
        <f>IF(COUNTIFS('United Data'!$A$3:$A$3390,B$1,'United Data'!$C$3:$C$3390,$A296)&gt;0,1,0)</f>
        <v>0</v>
      </c>
      <c r="C296">
        <f>IF(COUNTIFS('United Data'!$A$3:$A$3390,C$1,'United Data'!$C$3:$C$3390,$A296)&gt;0,1,0)</f>
        <v>0</v>
      </c>
      <c r="D296">
        <f>IF(COUNTIFS('United Data'!$A$3:$A$3390,D$1,'United Data'!$C$3:$C$3390,$A296)&gt;0,1,0)</f>
        <v>0</v>
      </c>
      <c r="E296">
        <f>IF(COUNTIFS('United Data'!$A$3:$A$3390,E$1,'United Data'!$C$3:$C$3390,$A296)&gt;0,1,0)</f>
        <v>1</v>
      </c>
      <c r="F296">
        <f>IF(COUNTIFS('United Data'!$A$3:$A$3390,F$1,'United Data'!$C$3:$C$3390,$A296)&gt;0,1,0)</f>
        <v>0</v>
      </c>
      <c r="G296">
        <f>IF(COUNTIFS('United Data'!$A$3:$A$3390,G$1,'United Data'!$C$3:$C$3390,$A296)&gt;0,1,0)</f>
        <v>0</v>
      </c>
      <c r="H296">
        <f>IF(COUNTIFS('United Data'!$A$3:$A$3390,H$1,'United Data'!$C$3:$C$3390,$A296)&gt;0,1,0)</f>
        <v>0</v>
      </c>
      <c r="I296">
        <f>IF(COUNTIFS('United Data'!$A$3:$A$3390,I$1,'United Data'!$C$3:$C$3390,$A296)&gt;0,1,0)</f>
        <v>0</v>
      </c>
      <c r="J296">
        <f>IF(COUNTIFS('United Data'!$A$3:$A$3390,J$1,'United Data'!$C$3:$C$3390,$A296)&gt;0,1,0)</f>
        <v>0</v>
      </c>
      <c r="K296">
        <f>IF(COUNTIFS('United Data'!$A$3:$A$3390,K$1,'United Data'!$C$3:$C$3390,$A296)&gt;0,1,0)</f>
        <v>0</v>
      </c>
      <c r="L296">
        <f>IF(COUNTIFS('United Data'!$A$3:$A$3390,L$1,'United Data'!$C$3:$C$3390,$A296)&gt;0,1,0)</f>
        <v>0</v>
      </c>
      <c r="M296">
        <f>IF(COUNTIFS('United Data'!$A$3:$A$3390,M$1,'United Data'!$C$3:$C$3390,$A296)&gt;0,1,0)</f>
        <v>0</v>
      </c>
      <c r="N296">
        <f>IF(COUNTIFS('United Data'!$A$3:$A$3390,N$1,'United Data'!$C$3:$C$3390,$A296)&gt;0,1,0)</f>
        <v>0</v>
      </c>
      <c r="O296">
        <f>IF(COUNTIFS('United Data'!$A$3:$A$3390,O$1,'United Data'!$C$3:$C$3390,$A296)&gt;0,1,0)</f>
        <v>0</v>
      </c>
      <c r="P296">
        <f>IF(COUNTIFS('United Data'!$A$3:$A$3390,P$1,'United Data'!$C$3:$C$3390,$A296)&gt;0,1,0)</f>
        <v>0</v>
      </c>
      <c r="Q296">
        <f>IF(COUNTIFS('United Data'!$A$3:$A$3390,Q$1,'United Data'!$C$3:$C$3390,$A296)&gt;0,1,0)</f>
        <v>0</v>
      </c>
      <c r="R296">
        <f>IF(COUNTIFS('United Data'!$A$3:$A$3390,R$1,'United Data'!$C$3:$C$3390,$A296)&gt;0,1,0)</f>
        <v>0</v>
      </c>
      <c r="S296">
        <f t="shared" si="8"/>
        <v>1</v>
      </c>
      <c r="T296">
        <f t="shared" si="9"/>
        <v>1</v>
      </c>
    </row>
    <row r="297" spans="1:20" x14ac:dyDescent="0.2">
      <c r="A297" t="s">
        <v>384</v>
      </c>
      <c r="B297">
        <f>IF(COUNTIFS('United Data'!$A$3:$A$3390,B$1,'United Data'!$C$3:$C$3390,$A297)&gt;0,1,0)</f>
        <v>0</v>
      </c>
      <c r="C297">
        <f>IF(COUNTIFS('United Data'!$A$3:$A$3390,C$1,'United Data'!$C$3:$C$3390,$A297)&gt;0,1,0)</f>
        <v>0</v>
      </c>
      <c r="D297">
        <f>IF(COUNTIFS('United Data'!$A$3:$A$3390,D$1,'United Data'!$C$3:$C$3390,$A297)&gt;0,1,0)</f>
        <v>0</v>
      </c>
      <c r="E297">
        <f>IF(COUNTIFS('United Data'!$A$3:$A$3390,E$1,'United Data'!$C$3:$C$3390,$A297)&gt;0,1,0)</f>
        <v>0</v>
      </c>
      <c r="F297">
        <f>IF(COUNTIFS('United Data'!$A$3:$A$3390,F$1,'United Data'!$C$3:$C$3390,$A297)&gt;0,1,0)</f>
        <v>1</v>
      </c>
      <c r="G297">
        <f>IF(COUNTIFS('United Data'!$A$3:$A$3390,G$1,'United Data'!$C$3:$C$3390,$A297)&gt;0,1,0)</f>
        <v>0</v>
      </c>
      <c r="H297">
        <f>IF(COUNTIFS('United Data'!$A$3:$A$3390,H$1,'United Data'!$C$3:$C$3390,$A297)&gt;0,1,0)</f>
        <v>0</v>
      </c>
      <c r="I297">
        <f>IF(COUNTIFS('United Data'!$A$3:$A$3390,I$1,'United Data'!$C$3:$C$3390,$A297)&gt;0,1,0)</f>
        <v>0</v>
      </c>
      <c r="J297">
        <f>IF(COUNTIFS('United Data'!$A$3:$A$3390,J$1,'United Data'!$C$3:$C$3390,$A297)&gt;0,1,0)</f>
        <v>0</v>
      </c>
      <c r="K297">
        <f>IF(COUNTIFS('United Data'!$A$3:$A$3390,K$1,'United Data'!$C$3:$C$3390,$A297)&gt;0,1,0)</f>
        <v>0</v>
      </c>
      <c r="L297">
        <f>IF(COUNTIFS('United Data'!$A$3:$A$3390,L$1,'United Data'!$C$3:$C$3390,$A297)&gt;0,1,0)</f>
        <v>0</v>
      </c>
      <c r="M297">
        <f>IF(COUNTIFS('United Data'!$A$3:$A$3390,M$1,'United Data'!$C$3:$C$3390,$A297)&gt;0,1,0)</f>
        <v>0</v>
      </c>
      <c r="N297">
        <f>IF(COUNTIFS('United Data'!$A$3:$A$3390,N$1,'United Data'!$C$3:$C$3390,$A297)&gt;0,1,0)</f>
        <v>0</v>
      </c>
      <c r="O297">
        <f>IF(COUNTIFS('United Data'!$A$3:$A$3390,O$1,'United Data'!$C$3:$C$3390,$A297)&gt;0,1,0)</f>
        <v>0</v>
      </c>
      <c r="P297">
        <f>IF(COUNTIFS('United Data'!$A$3:$A$3390,P$1,'United Data'!$C$3:$C$3390,$A297)&gt;0,1,0)</f>
        <v>0</v>
      </c>
      <c r="Q297">
        <f>IF(COUNTIFS('United Data'!$A$3:$A$3390,Q$1,'United Data'!$C$3:$C$3390,$A297)&gt;0,1,0)</f>
        <v>0</v>
      </c>
      <c r="R297">
        <f>IF(COUNTIFS('United Data'!$A$3:$A$3390,R$1,'United Data'!$C$3:$C$3390,$A297)&gt;0,1,0)</f>
        <v>1</v>
      </c>
      <c r="S297">
        <f t="shared" si="8"/>
        <v>2</v>
      </c>
      <c r="T297">
        <f t="shared" si="9"/>
        <v>2</v>
      </c>
    </row>
    <row r="298" spans="1:20" x14ac:dyDescent="0.2">
      <c r="A298" t="s">
        <v>386</v>
      </c>
      <c r="B298">
        <f>IF(COUNTIFS('United Data'!$A$3:$A$3390,B$1,'United Data'!$C$3:$C$3390,$A298)&gt;0,1,0)</f>
        <v>0</v>
      </c>
      <c r="C298">
        <f>IF(COUNTIFS('United Data'!$A$3:$A$3390,C$1,'United Data'!$C$3:$C$3390,$A298)&gt;0,1,0)</f>
        <v>0</v>
      </c>
      <c r="D298">
        <f>IF(COUNTIFS('United Data'!$A$3:$A$3390,D$1,'United Data'!$C$3:$C$3390,$A298)&gt;0,1,0)</f>
        <v>0</v>
      </c>
      <c r="E298">
        <f>IF(COUNTIFS('United Data'!$A$3:$A$3390,E$1,'United Data'!$C$3:$C$3390,$A298)&gt;0,1,0)</f>
        <v>0</v>
      </c>
      <c r="F298">
        <f>IF(COUNTIFS('United Data'!$A$3:$A$3390,F$1,'United Data'!$C$3:$C$3390,$A298)&gt;0,1,0)</f>
        <v>0</v>
      </c>
      <c r="G298">
        <f>IF(COUNTIFS('United Data'!$A$3:$A$3390,G$1,'United Data'!$C$3:$C$3390,$A298)&gt;0,1,0)</f>
        <v>1</v>
      </c>
      <c r="H298">
        <f>IF(COUNTIFS('United Data'!$A$3:$A$3390,H$1,'United Data'!$C$3:$C$3390,$A298)&gt;0,1,0)</f>
        <v>0</v>
      </c>
      <c r="I298">
        <f>IF(COUNTIFS('United Data'!$A$3:$A$3390,I$1,'United Data'!$C$3:$C$3390,$A298)&gt;0,1,0)</f>
        <v>0</v>
      </c>
      <c r="J298">
        <f>IF(COUNTIFS('United Data'!$A$3:$A$3390,J$1,'United Data'!$C$3:$C$3390,$A298)&gt;0,1,0)</f>
        <v>0</v>
      </c>
      <c r="K298">
        <f>IF(COUNTIFS('United Data'!$A$3:$A$3390,K$1,'United Data'!$C$3:$C$3390,$A298)&gt;0,1,0)</f>
        <v>0</v>
      </c>
      <c r="L298">
        <f>IF(COUNTIFS('United Data'!$A$3:$A$3390,L$1,'United Data'!$C$3:$C$3390,$A298)&gt;0,1,0)</f>
        <v>0</v>
      </c>
      <c r="M298">
        <f>IF(COUNTIFS('United Data'!$A$3:$A$3390,M$1,'United Data'!$C$3:$C$3390,$A298)&gt;0,1,0)</f>
        <v>0</v>
      </c>
      <c r="N298">
        <f>IF(COUNTIFS('United Data'!$A$3:$A$3390,N$1,'United Data'!$C$3:$C$3390,$A298)&gt;0,1,0)</f>
        <v>0</v>
      </c>
      <c r="O298">
        <f>IF(COUNTIFS('United Data'!$A$3:$A$3390,O$1,'United Data'!$C$3:$C$3390,$A298)&gt;0,1,0)</f>
        <v>0</v>
      </c>
      <c r="P298">
        <f>IF(COUNTIFS('United Data'!$A$3:$A$3390,P$1,'United Data'!$C$3:$C$3390,$A298)&gt;0,1,0)</f>
        <v>0</v>
      </c>
      <c r="Q298">
        <f>IF(COUNTIFS('United Data'!$A$3:$A$3390,Q$1,'United Data'!$C$3:$C$3390,$A298)&gt;0,1,0)</f>
        <v>0</v>
      </c>
      <c r="R298">
        <f>IF(COUNTIFS('United Data'!$A$3:$A$3390,R$1,'United Data'!$C$3:$C$3390,$A298)&gt;0,1,0)</f>
        <v>0</v>
      </c>
      <c r="S298">
        <f t="shared" si="8"/>
        <v>1</v>
      </c>
      <c r="T298">
        <f t="shared" si="9"/>
        <v>1</v>
      </c>
    </row>
    <row r="299" spans="1:20" x14ac:dyDescent="0.2">
      <c r="A299" t="s">
        <v>387</v>
      </c>
      <c r="B299">
        <f>IF(COUNTIFS('United Data'!$A$3:$A$3390,B$1,'United Data'!$C$3:$C$3390,$A299)&gt;0,1,0)</f>
        <v>0</v>
      </c>
      <c r="C299">
        <f>IF(COUNTIFS('United Data'!$A$3:$A$3390,C$1,'United Data'!$C$3:$C$3390,$A299)&gt;0,1,0)</f>
        <v>0</v>
      </c>
      <c r="D299">
        <f>IF(COUNTIFS('United Data'!$A$3:$A$3390,D$1,'United Data'!$C$3:$C$3390,$A299)&gt;0,1,0)</f>
        <v>0</v>
      </c>
      <c r="E299">
        <f>IF(COUNTIFS('United Data'!$A$3:$A$3390,E$1,'United Data'!$C$3:$C$3390,$A299)&gt;0,1,0)</f>
        <v>0</v>
      </c>
      <c r="F299">
        <f>IF(COUNTIFS('United Data'!$A$3:$A$3390,F$1,'United Data'!$C$3:$C$3390,$A299)&gt;0,1,0)</f>
        <v>0</v>
      </c>
      <c r="G299">
        <f>IF(COUNTIFS('United Data'!$A$3:$A$3390,G$1,'United Data'!$C$3:$C$3390,$A299)&gt;0,1,0)</f>
        <v>0</v>
      </c>
      <c r="H299">
        <f>IF(COUNTIFS('United Data'!$A$3:$A$3390,H$1,'United Data'!$C$3:$C$3390,$A299)&gt;0,1,0)</f>
        <v>1</v>
      </c>
      <c r="I299">
        <f>IF(COUNTIFS('United Data'!$A$3:$A$3390,I$1,'United Data'!$C$3:$C$3390,$A299)&gt;0,1,0)</f>
        <v>0</v>
      </c>
      <c r="J299">
        <f>IF(COUNTIFS('United Data'!$A$3:$A$3390,J$1,'United Data'!$C$3:$C$3390,$A299)&gt;0,1,0)</f>
        <v>0</v>
      </c>
      <c r="K299">
        <f>IF(COUNTIFS('United Data'!$A$3:$A$3390,K$1,'United Data'!$C$3:$C$3390,$A299)&gt;0,1,0)</f>
        <v>0</v>
      </c>
      <c r="L299">
        <f>IF(COUNTIFS('United Data'!$A$3:$A$3390,L$1,'United Data'!$C$3:$C$3390,$A299)&gt;0,1,0)</f>
        <v>0</v>
      </c>
      <c r="M299">
        <f>IF(COUNTIFS('United Data'!$A$3:$A$3390,M$1,'United Data'!$C$3:$C$3390,$A299)&gt;0,1,0)</f>
        <v>0</v>
      </c>
      <c r="N299">
        <f>IF(COUNTIFS('United Data'!$A$3:$A$3390,N$1,'United Data'!$C$3:$C$3390,$A299)&gt;0,1,0)</f>
        <v>0</v>
      </c>
      <c r="O299">
        <f>IF(COUNTIFS('United Data'!$A$3:$A$3390,O$1,'United Data'!$C$3:$C$3390,$A299)&gt;0,1,0)</f>
        <v>0</v>
      </c>
      <c r="P299">
        <f>IF(COUNTIFS('United Data'!$A$3:$A$3390,P$1,'United Data'!$C$3:$C$3390,$A299)&gt;0,1,0)</f>
        <v>0</v>
      </c>
      <c r="Q299">
        <f>IF(COUNTIFS('United Data'!$A$3:$A$3390,Q$1,'United Data'!$C$3:$C$3390,$A299)&gt;0,1,0)</f>
        <v>0</v>
      </c>
      <c r="R299">
        <f>IF(COUNTIFS('United Data'!$A$3:$A$3390,R$1,'United Data'!$C$3:$C$3390,$A299)&gt;0,1,0)</f>
        <v>0</v>
      </c>
      <c r="S299">
        <f t="shared" si="8"/>
        <v>1</v>
      </c>
      <c r="T299">
        <f t="shared" si="9"/>
        <v>1</v>
      </c>
    </row>
    <row r="300" spans="1:20" x14ac:dyDescent="0.2">
      <c r="A300" t="s">
        <v>388</v>
      </c>
      <c r="B300">
        <f>IF(COUNTIFS('United Data'!$A$3:$A$3390,B$1,'United Data'!$C$3:$C$3390,$A300)&gt;0,1,0)</f>
        <v>0</v>
      </c>
      <c r="C300">
        <f>IF(COUNTIFS('United Data'!$A$3:$A$3390,C$1,'United Data'!$C$3:$C$3390,$A300)&gt;0,1,0)</f>
        <v>0</v>
      </c>
      <c r="D300">
        <f>IF(COUNTIFS('United Data'!$A$3:$A$3390,D$1,'United Data'!$C$3:$C$3390,$A300)&gt;0,1,0)</f>
        <v>0</v>
      </c>
      <c r="E300">
        <f>IF(COUNTIFS('United Data'!$A$3:$A$3390,E$1,'United Data'!$C$3:$C$3390,$A300)&gt;0,1,0)</f>
        <v>0</v>
      </c>
      <c r="F300">
        <f>IF(COUNTIFS('United Data'!$A$3:$A$3390,F$1,'United Data'!$C$3:$C$3390,$A300)&gt;0,1,0)</f>
        <v>0</v>
      </c>
      <c r="G300">
        <f>IF(COUNTIFS('United Data'!$A$3:$A$3390,G$1,'United Data'!$C$3:$C$3390,$A300)&gt;0,1,0)</f>
        <v>0</v>
      </c>
      <c r="H300">
        <f>IF(COUNTIFS('United Data'!$A$3:$A$3390,H$1,'United Data'!$C$3:$C$3390,$A300)&gt;0,1,0)</f>
        <v>1</v>
      </c>
      <c r="I300">
        <f>IF(COUNTIFS('United Data'!$A$3:$A$3390,I$1,'United Data'!$C$3:$C$3390,$A300)&gt;0,1,0)</f>
        <v>0</v>
      </c>
      <c r="J300">
        <f>IF(COUNTIFS('United Data'!$A$3:$A$3390,J$1,'United Data'!$C$3:$C$3390,$A300)&gt;0,1,0)</f>
        <v>0</v>
      </c>
      <c r="K300">
        <f>IF(COUNTIFS('United Data'!$A$3:$A$3390,K$1,'United Data'!$C$3:$C$3390,$A300)&gt;0,1,0)</f>
        <v>0</v>
      </c>
      <c r="L300">
        <f>IF(COUNTIFS('United Data'!$A$3:$A$3390,L$1,'United Data'!$C$3:$C$3390,$A300)&gt;0,1,0)</f>
        <v>0</v>
      </c>
      <c r="M300">
        <f>IF(COUNTIFS('United Data'!$A$3:$A$3390,M$1,'United Data'!$C$3:$C$3390,$A300)&gt;0,1,0)</f>
        <v>0</v>
      </c>
      <c r="N300">
        <f>IF(COUNTIFS('United Data'!$A$3:$A$3390,N$1,'United Data'!$C$3:$C$3390,$A300)&gt;0,1,0)</f>
        <v>0</v>
      </c>
      <c r="O300">
        <f>IF(COUNTIFS('United Data'!$A$3:$A$3390,O$1,'United Data'!$C$3:$C$3390,$A300)&gt;0,1,0)</f>
        <v>0</v>
      </c>
      <c r="P300">
        <f>IF(COUNTIFS('United Data'!$A$3:$A$3390,P$1,'United Data'!$C$3:$C$3390,$A300)&gt;0,1,0)</f>
        <v>0</v>
      </c>
      <c r="Q300">
        <f>IF(COUNTIFS('United Data'!$A$3:$A$3390,Q$1,'United Data'!$C$3:$C$3390,$A300)&gt;0,1,0)</f>
        <v>0</v>
      </c>
      <c r="R300">
        <f>IF(COUNTIFS('United Data'!$A$3:$A$3390,R$1,'United Data'!$C$3:$C$3390,$A300)&gt;0,1,0)</f>
        <v>0</v>
      </c>
      <c r="S300">
        <f t="shared" si="8"/>
        <v>1</v>
      </c>
      <c r="T300">
        <f t="shared" si="9"/>
        <v>1</v>
      </c>
    </row>
    <row r="301" spans="1:20" x14ac:dyDescent="0.2">
      <c r="A301" t="s">
        <v>389</v>
      </c>
      <c r="B301">
        <f>IF(COUNTIFS('United Data'!$A$3:$A$3390,B$1,'United Data'!$C$3:$C$3390,$A301)&gt;0,1,0)</f>
        <v>0</v>
      </c>
      <c r="C301">
        <f>IF(COUNTIFS('United Data'!$A$3:$A$3390,C$1,'United Data'!$C$3:$C$3390,$A301)&gt;0,1,0)</f>
        <v>0</v>
      </c>
      <c r="D301">
        <f>IF(COUNTIFS('United Data'!$A$3:$A$3390,D$1,'United Data'!$C$3:$C$3390,$A301)&gt;0,1,0)</f>
        <v>0</v>
      </c>
      <c r="E301">
        <f>IF(COUNTIFS('United Data'!$A$3:$A$3390,E$1,'United Data'!$C$3:$C$3390,$A301)&gt;0,1,0)</f>
        <v>0</v>
      </c>
      <c r="F301">
        <f>IF(COUNTIFS('United Data'!$A$3:$A$3390,F$1,'United Data'!$C$3:$C$3390,$A301)&gt;0,1,0)</f>
        <v>0</v>
      </c>
      <c r="G301">
        <f>IF(COUNTIFS('United Data'!$A$3:$A$3390,G$1,'United Data'!$C$3:$C$3390,$A301)&gt;0,1,0)</f>
        <v>0</v>
      </c>
      <c r="H301">
        <f>IF(COUNTIFS('United Data'!$A$3:$A$3390,H$1,'United Data'!$C$3:$C$3390,$A301)&gt;0,1,0)</f>
        <v>0</v>
      </c>
      <c r="I301">
        <f>IF(COUNTIFS('United Data'!$A$3:$A$3390,I$1,'United Data'!$C$3:$C$3390,$A301)&gt;0,1,0)</f>
        <v>1</v>
      </c>
      <c r="J301">
        <f>IF(COUNTIFS('United Data'!$A$3:$A$3390,J$1,'United Data'!$C$3:$C$3390,$A301)&gt;0,1,0)</f>
        <v>0</v>
      </c>
      <c r="K301">
        <f>IF(COUNTIFS('United Data'!$A$3:$A$3390,K$1,'United Data'!$C$3:$C$3390,$A301)&gt;0,1,0)</f>
        <v>0</v>
      </c>
      <c r="L301">
        <f>IF(COUNTIFS('United Data'!$A$3:$A$3390,L$1,'United Data'!$C$3:$C$3390,$A301)&gt;0,1,0)</f>
        <v>0</v>
      </c>
      <c r="M301">
        <f>IF(COUNTIFS('United Data'!$A$3:$A$3390,M$1,'United Data'!$C$3:$C$3390,$A301)&gt;0,1,0)</f>
        <v>0</v>
      </c>
      <c r="N301">
        <f>IF(COUNTIFS('United Data'!$A$3:$A$3390,N$1,'United Data'!$C$3:$C$3390,$A301)&gt;0,1,0)</f>
        <v>0</v>
      </c>
      <c r="O301">
        <f>IF(COUNTIFS('United Data'!$A$3:$A$3390,O$1,'United Data'!$C$3:$C$3390,$A301)&gt;0,1,0)</f>
        <v>0</v>
      </c>
      <c r="P301">
        <f>IF(COUNTIFS('United Data'!$A$3:$A$3390,P$1,'United Data'!$C$3:$C$3390,$A301)&gt;0,1,0)</f>
        <v>0</v>
      </c>
      <c r="Q301">
        <f>IF(COUNTIFS('United Data'!$A$3:$A$3390,Q$1,'United Data'!$C$3:$C$3390,$A301)&gt;0,1,0)</f>
        <v>0</v>
      </c>
      <c r="R301">
        <f>IF(COUNTIFS('United Data'!$A$3:$A$3390,R$1,'United Data'!$C$3:$C$3390,$A301)&gt;0,1,0)</f>
        <v>0</v>
      </c>
      <c r="S301">
        <f t="shared" si="8"/>
        <v>1</v>
      </c>
      <c r="T301">
        <f t="shared" si="9"/>
        <v>1</v>
      </c>
    </row>
    <row r="302" spans="1:20" x14ac:dyDescent="0.2">
      <c r="A302" t="s">
        <v>390</v>
      </c>
      <c r="B302">
        <f>IF(COUNTIFS('United Data'!$A$3:$A$3390,B$1,'United Data'!$C$3:$C$3390,$A302)&gt;0,1,0)</f>
        <v>0</v>
      </c>
      <c r="C302">
        <f>IF(COUNTIFS('United Data'!$A$3:$A$3390,C$1,'United Data'!$C$3:$C$3390,$A302)&gt;0,1,0)</f>
        <v>0</v>
      </c>
      <c r="D302">
        <f>IF(COUNTIFS('United Data'!$A$3:$A$3390,D$1,'United Data'!$C$3:$C$3390,$A302)&gt;0,1,0)</f>
        <v>0</v>
      </c>
      <c r="E302">
        <f>IF(COUNTIFS('United Data'!$A$3:$A$3390,E$1,'United Data'!$C$3:$C$3390,$A302)&gt;0,1,0)</f>
        <v>0</v>
      </c>
      <c r="F302">
        <f>IF(COUNTIFS('United Data'!$A$3:$A$3390,F$1,'United Data'!$C$3:$C$3390,$A302)&gt;0,1,0)</f>
        <v>0</v>
      </c>
      <c r="G302">
        <f>IF(COUNTIFS('United Data'!$A$3:$A$3390,G$1,'United Data'!$C$3:$C$3390,$A302)&gt;0,1,0)</f>
        <v>0</v>
      </c>
      <c r="H302">
        <f>IF(COUNTIFS('United Data'!$A$3:$A$3390,H$1,'United Data'!$C$3:$C$3390,$A302)&gt;0,1,0)</f>
        <v>0</v>
      </c>
      <c r="I302">
        <f>IF(COUNTIFS('United Data'!$A$3:$A$3390,I$1,'United Data'!$C$3:$C$3390,$A302)&gt;0,1,0)</f>
        <v>1</v>
      </c>
      <c r="J302">
        <f>IF(COUNTIFS('United Data'!$A$3:$A$3390,J$1,'United Data'!$C$3:$C$3390,$A302)&gt;0,1,0)</f>
        <v>0</v>
      </c>
      <c r="K302">
        <f>IF(COUNTIFS('United Data'!$A$3:$A$3390,K$1,'United Data'!$C$3:$C$3390,$A302)&gt;0,1,0)</f>
        <v>0</v>
      </c>
      <c r="L302">
        <f>IF(COUNTIFS('United Data'!$A$3:$A$3390,L$1,'United Data'!$C$3:$C$3390,$A302)&gt;0,1,0)</f>
        <v>0</v>
      </c>
      <c r="M302">
        <f>IF(COUNTIFS('United Data'!$A$3:$A$3390,M$1,'United Data'!$C$3:$C$3390,$A302)&gt;0,1,0)</f>
        <v>0</v>
      </c>
      <c r="N302">
        <f>IF(COUNTIFS('United Data'!$A$3:$A$3390,N$1,'United Data'!$C$3:$C$3390,$A302)&gt;0,1,0)</f>
        <v>0</v>
      </c>
      <c r="O302">
        <f>IF(COUNTIFS('United Data'!$A$3:$A$3390,O$1,'United Data'!$C$3:$C$3390,$A302)&gt;0,1,0)</f>
        <v>0</v>
      </c>
      <c r="P302">
        <f>IF(COUNTIFS('United Data'!$A$3:$A$3390,P$1,'United Data'!$C$3:$C$3390,$A302)&gt;0,1,0)</f>
        <v>0</v>
      </c>
      <c r="Q302">
        <f>IF(COUNTIFS('United Data'!$A$3:$A$3390,Q$1,'United Data'!$C$3:$C$3390,$A302)&gt;0,1,0)</f>
        <v>0</v>
      </c>
      <c r="R302">
        <f>IF(COUNTIFS('United Data'!$A$3:$A$3390,R$1,'United Data'!$C$3:$C$3390,$A302)&gt;0,1,0)</f>
        <v>0</v>
      </c>
      <c r="S302">
        <f t="shared" si="8"/>
        <v>1</v>
      </c>
      <c r="T302">
        <f t="shared" si="9"/>
        <v>1</v>
      </c>
    </row>
    <row r="303" spans="1:20" x14ac:dyDescent="0.2">
      <c r="A303" t="s">
        <v>391</v>
      </c>
      <c r="B303">
        <f>IF(COUNTIFS('United Data'!$A$3:$A$3390,B$1,'United Data'!$C$3:$C$3390,$A303)&gt;0,1,0)</f>
        <v>0</v>
      </c>
      <c r="C303">
        <f>IF(COUNTIFS('United Data'!$A$3:$A$3390,C$1,'United Data'!$C$3:$C$3390,$A303)&gt;0,1,0)</f>
        <v>0</v>
      </c>
      <c r="D303">
        <f>IF(COUNTIFS('United Data'!$A$3:$A$3390,D$1,'United Data'!$C$3:$C$3390,$A303)&gt;0,1,0)</f>
        <v>0</v>
      </c>
      <c r="E303">
        <f>IF(COUNTIFS('United Data'!$A$3:$A$3390,E$1,'United Data'!$C$3:$C$3390,$A303)&gt;0,1,0)</f>
        <v>0</v>
      </c>
      <c r="F303">
        <f>IF(COUNTIFS('United Data'!$A$3:$A$3390,F$1,'United Data'!$C$3:$C$3390,$A303)&gt;0,1,0)</f>
        <v>0</v>
      </c>
      <c r="G303">
        <f>IF(COUNTIFS('United Data'!$A$3:$A$3390,G$1,'United Data'!$C$3:$C$3390,$A303)&gt;0,1,0)</f>
        <v>0</v>
      </c>
      <c r="H303">
        <f>IF(COUNTIFS('United Data'!$A$3:$A$3390,H$1,'United Data'!$C$3:$C$3390,$A303)&gt;0,1,0)</f>
        <v>0</v>
      </c>
      <c r="I303">
        <f>IF(COUNTIFS('United Data'!$A$3:$A$3390,I$1,'United Data'!$C$3:$C$3390,$A303)&gt;0,1,0)</f>
        <v>1</v>
      </c>
      <c r="J303">
        <f>IF(COUNTIFS('United Data'!$A$3:$A$3390,J$1,'United Data'!$C$3:$C$3390,$A303)&gt;0,1,0)</f>
        <v>0</v>
      </c>
      <c r="K303">
        <f>IF(COUNTIFS('United Data'!$A$3:$A$3390,K$1,'United Data'!$C$3:$C$3390,$A303)&gt;0,1,0)</f>
        <v>0</v>
      </c>
      <c r="L303">
        <f>IF(COUNTIFS('United Data'!$A$3:$A$3390,L$1,'United Data'!$C$3:$C$3390,$A303)&gt;0,1,0)</f>
        <v>0</v>
      </c>
      <c r="M303">
        <f>IF(COUNTIFS('United Data'!$A$3:$A$3390,M$1,'United Data'!$C$3:$C$3390,$A303)&gt;0,1,0)</f>
        <v>0</v>
      </c>
      <c r="N303">
        <f>IF(COUNTIFS('United Data'!$A$3:$A$3390,N$1,'United Data'!$C$3:$C$3390,$A303)&gt;0,1,0)</f>
        <v>0</v>
      </c>
      <c r="O303">
        <f>IF(COUNTIFS('United Data'!$A$3:$A$3390,O$1,'United Data'!$C$3:$C$3390,$A303)&gt;0,1,0)</f>
        <v>0</v>
      </c>
      <c r="P303">
        <f>IF(COUNTIFS('United Data'!$A$3:$A$3390,P$1,'United Data'!$C$3:$C$3390,$A303)&gt;0,1,0)</f>
        <v>0</v>
      </c>
      <c r="Q303">
        <f>IF(COUNTIFS('United Data'!$A$3:$A$3390,Q$1,'United Data'!$C$3:$C$3390,$A303)&gt;0,1,0)</f>
        <v>0</v>
      </c>
      <c r="R303">
        <f>IF(COUNTIFS('United Data'!$A$3:$A$3390,R$1,'United Data'!$C$3:$C$3390,$A303)&gt;0,1,0)</f>
        <v>0</v>
      </c>
      <c r="S303">
        <f t="shared" si="8"/>
        <v>1</v>
      </c>
      <c r="T303">
        <f t="shared" si="9"/>
        <v>1</v>
      </c>
    </row>
    <row r="304" spans="1:20" x14ac:dyDescent="0.2">
      <c r="A304" t="s">
        <v>392</v>
      </c>
      <c r="B304">
        <f>IF(COUNTIFS('United Data'!$A$3:$A$3390,B$1,'United Data'!$C$3:$C$3390,$A304)&gt;0,1,0)</f>
        <v>0</v>
      </c>
      <c r="C304">
        <f>IF(COUNTIFS('United Data'!$A$3:$A$3390,C$1,'United Data'!$C$3:$C$3390,$A304)&gt;0,1,0)</f>
        <v>0</v>
      </c>
      <c r="D304">
        <f>IF(COUNTIFS('United Data'!$A$3:$A$3390,D$1,'United Data'!$C$3:$C$3390,$A304)&gt;0,1,0)</f>
        <v>0</v>
      </c>
      <c r="E304">
        <f>IF(COUNTIFS('United Data'!$A$3:$A$3390,E$1,'United Data'!$C$3:$C$3390,$A304)&gt;0,1,0)</f>
        <v>0</v>
      </c>
      <c r="F304">
        <f>IF(COUNTIFS('United Data'!$A$3:$A$3390,F$1,'United Data'!$C$3:$C$3390,$A304)&gt;0,1,0)</f>
        <v>0</v>
      </c>
      <c r="G304">
        <f>IF(COUNTIFS('United Data'!$A$3:$A$3390,G$1,'United Data'!$C$3:$C$3390,$A304)&gt;0,1,0)</f>
        <v>1</v>
      </c>
      <c r="H304">
        <f>IF(COUNTIFS('United Data'!$A$3:$A$3390,H$1,'United Data'!$C$3:$C$3390,$A304)&gt;0,1,0)</f>
        <v>1</v>
      </c>
      <c r="I304">
        <f>IF(COUNTIFS('United Data'!$A$3:$A$3390,I$1,'United Data'!$C$3:$C$3390,$A304)&gt;0,1,0)</f>
        <v>1</v>
      </c>
      <c r="J304">
        <f>IF(COUNTIFS('United Data'!$A$3:$A$3390,J$1,'United Data'!$C$3:$C$3390,$A304)&gt;0,1,0)</f>
        <v>1</v>
      </c>
      <c r="K304">
        <f>IF(COUNTIFS('United Data'!$A$3:$A$3390,K$1,'United Data'!$C$3:$C$3390,$A304)&gt;0,1,0)</f>
        <v>0</v>
      </c>
      <c r="L304">
        <f>IF(COUNTIFS('United Data'!$A$3:$A$3390,L$1,'United Data'!$C$3:$C$3390,$A304)&gt;0,1,0)</f>
        <v>0</v>
      </c>
      <c r="M304">
        <f>IF(COUNTIFS('United Data'!$A$3:$A$3390,M$1,'United Data'!$C$3:$C$3390,$A304)&gt;0,1,0)</f>
        <v>0</v>
      </c>
      <c r="N304">
        <f>IF(COUNTIFS('United Data'!$A$3:$A$3390,N$1,'United Data'!$C$3:$C$3390,$A304)&gt;0,1,0)</f>
        <v>0</v>
      </c>
      <c r="O304">
        <f>IF(COUNTIFS('United Data'!$A$3:$A$3390,O$1,'United Data'!$C$3:$C$3390,$A304)&gt;0,1,0)</f>
        <v>1</v>
      </c>
      <c r="P304">
        <f>IF(COUNTIFS('United Data'!$A$3:$A$3390,P$1,'United Data'!$C$3:$C$3390,$A304)&gt;0,1,0)</f>
        <v>1</v>
      </c>
      <c r="Q304">
        <f>IF(COUNTIFS('United Data'!$A$3:$A$3390,Q$1,'United Data'!$C$3:$C$3390,$A304)&gt;0,1,0)</f>
        <v>0</v>
      </c>
      <c r="R304">
        <f>IF(COUNTIFS('United Data'!$A$3:$A$3390,R$1,'United Data'!$C$3:$C$3390,$A304)&gt;0,1,0)</f>
        <v>0</v>
      </c>
      <c r="S304">
        <f t="shared" si="8"/>
        <v>6</v>
      </c>
      <c r="T304">
        <f t="shared" si="9"/>
        <v>2</v>
      </c>
    </row>
    <row r="305" spans="1:20" x14ac:dyDescent="0.2">
      <c r="A305" t="s">
        <v>393</v>
      </c>
      <c r="B305">
        <f>IF(COUNTIFS('United Data'!$A$3:$A$3390,B$1,'United Data'!$C$3:$C$3390,$A305)&gt;0,1,0)</f>
        <v>0</v>
      </c>
      <c r="C305">
        <f>IF(COUNTIFS('United Data'!$A$3:$A$3390,C$1,'United Data'!$C$3:$C$3390,$A305)&gt;0,1,0)</f>
        <v>0</v>
      </c>
      <c r="D305">
        <f>IF(COUNTIFS('United Data'!$A$3:$A$3390,D$1,'United Data'!$C$3:$C$3390,$A305)&gt;0,1,0)</f>
        <v>0</v>
      </c>
      <c r="E305">
        <f>IF(COUNTIFS('United Data'!$A$3:$A$3390,E$1,'United Data'!$C$3:$C$3390,$A305)&gt;0,1,0)</f>
        <v>0</v>
      </c>
      <c r="F305">
        <f>IF(COUNTIFS('United Data'!$A$3:$A$3390,F$1,'United Data'!$C$3:$C$3390,$A305)&gt;0,1,0)</f>
        <v>0</v>
      </c>
      <c r="G305">
        <f>IF(COUNTIFS('United Data'!$A$3:$A$3390,G$1,'United Data'!$C$3:$C$3390,$A305)&gt;0,1,0)</f>
        <v>0</v>
      </c>
      <c r="H305">
        <f>IF(COUNTIFS('United Data'!$A$3:$A$3390,H$1,'United Data'!$C$3:$C$3390,$A305)&gt;0,1,0)</f>
        <v>0</v>
      </c>
      <c r="I305">
        <f>IF(COUNTIFS('United Data'!$A$3:$A$3390,I$1,'United Data'!$C$3:$C$3390,$A305)&gt;0,1,0)</f>
        <v>1</v>
      </c>
      <c r="J305">
        <f>IF(COUNTIFS('United Data'!$A$3:$A$3390,J$1,'United Data'!$C$3:$C$3390,$A305)&gt;0,1,0)</f>
        <v>0</v>
      </c>
      <c r="K305">
        <f>IF(COUNTIFS('United Data'!$A$3:$A$3390,K$1,'United Data'!$C$3:$C$3390,$A305)&gt;0,1,0)</f>
        <v>0</v>
      </c>
      <c r="L305">
        <f>IF(COUNTIFS('United Data'!$A$3:$A$3390,L$1,'United Data'!$C$3:$C$3390,$A305)&gt;0,1,0)</f>
        <v>0</v>
      </c>
      <c r="M305">
        <f>IF(COUNTIFS('United Data'!$A$3:$A$3390,M$1,'United Data'!$C$3:$C$3390,$A305)&gt;0,1,0)</f>
        <v>0</v>
      </c>
      <c r="N305">
        <f>IF(COUNTIFS('United Data'!$A$3:$A$3390,N$1,'United Data'!$C$3:$C$3390,$A305)&gt;0,1,0)</f>
        <v>0</v>
      </c>
      <c r="O305">
        <f>IF(COUNTIFS('United Data'!$A$3:$A$3390,O$1,'United Data'!$C$3:$C$3390,$A305)&gt;0,1,0)</f>
        <v>0</v>
      </c>
      <c r="P305">
        <f>IF(COUNTIFS('United Data'!$A$3:$A$3390,P$1,'United Data'!$C$3:$C$3390,$A305)&gt;0,1,0)</f>
        <v>0</v>
      </c>
      <c r="Q305">
        <f>IF(COUNTIFS('United Data'!$A$3:$A$3390,Q$1,'United Data'!$C$3:$C$3390,$A305)&gt;0,1,0)</f>
        <v>0</v>
      </c>
      <c r="R305">
        <f>IF(COUNTIFS('United Data'!$A$3:$A$3390,R$1,'United Data'!$C$3:$C$3390,$A305)&gt;0,1,0)</f>
        <v>0</v>
      </c>
      <c r="S305">
        <f t="shared" si="8"/>
        <v>1</v>
      </c>
      <c r="T305">
        <f t="shared" si="9"/>
        <v>1</v>
      </c>
    </row>
    <row r="306" spans="1:20" x14ac:dyDescent="0.2">
      <c r="A306" t="s">
        <v>395</v>
      </c>
      <c r="B306">
        <f>IF(COUNTIFS('United Data'!$A$3:$A$3390,B$1,'United Data'!$C$3:$C$3390,$A306)&gt;0,1,0)</f>
        <v>0</v>
      </c>
      <c r="C306">
        <f>IF(COUNTIFS('United Data'!$A$3:$A$3390,C$1,'United Data'!$C$3:$C$3390,$A306)&gt;0,1,0)</f>
        <v>0</v>
      </c>
      <c r="D306">
        <f>IF(COUNTIFS('United Data'!$A$3:$A$3390,D$1,'United Data'!$C$3:$C$3390,$A306)&gt;0,1,0)</f>
        <v>0</v>
      </c>
      <c r="E306">
        <f>IF(COUNTIFS('United Data'!$A$3:$A$3390,E$1,'United Data'!$C$3:$C$3390,$A306)&gt;0,1,0)</f>
        <v>0</v>
      </c>
      <c r="F306">
        <f>IF(COUNTIFS('United Data'!$A$3:$A$3390,F$1,'United Data'!$C$3:$C$3390,$A306)&gt;0,1,0)</f>
        <v>0</v>
      </c>
      <c r="G306">
        <f>IF(COUNTIFS('United Data'!$A$3:$A$3390,G$1,'United Data'!$C$3:$C$3390,$A306)&gt;0,1,0)</f>
        <v>0</v>
      </c>
      <c r="H306">
        <f>IF(COUNTIFS('United Data'!$A$3:$A$3390,H$1,'United Data'!$C$3:$C$3390,$A306)&gt;0,1,0)</f>
        <v>0</v>
      </c>
      <c r="I306">
        <f>IF(COUNTIFS('United Data'!$A$3:$A$3390,I$1,'United Data'!$C$3:$C$3390,$A306)&gt;0,1,0)</f>
        <v>0</v>
      </c>
      <c r="J306">
        <f>IF(COUNTIFS('United Data'!$A$3:$A$3390,J$1,'United Data'!$C$3:$C$3390,$A306)&gt;0,1,0)</f>
        <v>1</v>
      </c>
      <c r="K306">
        <f>IF(COUNTIFS('United Data'!$A$3:$A$3390,K$1,'United Data'!$C$3:$C$3390,$A306)&gt;0,1,0)</f>
        <v>0</v>
      </c>
      <c r="L306">
        <f>IF(COUNTIFS('United Data'!$A$3:$A$3390,L$1,'United Data'!$C$3:$C$3390,$A306)&gt;0,1,0)</f>
        <v>0</v>
      </c>
      <c r="M306">
        <f>IF(COUNTIFS('United Data'!$A$3:$A$3390,M$1,'United Data'!$C$3:$C$3390,$A306)&gt;0,1,0)</f>
        <v>0</v>
      </c>
      <c r="N306">
        <f>IF(COUNTIFS('United Data'!$A$3:$A$3390,N$1,'United Data'!$C$3:$C$3390,$A306)&gt;0,1,0)</f>
        <v>0</v>
      </c>
      <c r="O306">
        <f>IF(COUNTIFS('United Data'!$A$3:$A$3390,O$1,'United Data'!$C$3:$C$3390,$A306)&gt;0,1,0)</f>
        <v>0</v>
      </c>
      <c r="P306">
        <f>IF(COUNTIFS('United Data'!$A$3:$A$3390,P$1,'United Data'!$C$3:$C$3390,$A306)&gt;0,1,0)</f>
        <v>0</v>
      </c>
      <c r="Q306">
        <f>IF(COUNTIFS('United Data'!$A$3:$A$3390,Q$1,'United Data'!$C$3:$C$3390,$A306)&gt;0,1,0)</f>
        <v>0</v>
      </c>
      <c r="R306">
        <f>IF(COUNTIFS('United Data'!$A$3:$A$3390,R$1,'United Data'!$C$3:$C$3390,$A306)&gt;0,1,0)</f>
        <v>0</v>
      </c>
      <c r="S306">
        <f t="shared" si="8"/>
        <v>1</v>
      </c>
      <c r="T306">
        <f t="shared" si="9"/>
        <v>1</v>
      </c>
    </row>
    <row r="307" spans="1:20" x14ac:dyDescent="0.2">
      <c r="A307" t="s">
        <v>396</v>
      </c>
      <c r="B307">
        <f>IF(COUNTIFS('United Data'!$A$3:$A$3390,B$1,'United Data'!$C$3:$C$3390,$A307)&gt;0,1,0)</f>
        <v>0</v>
      </c>
      <c r="C307">
        <f>IF(COUNTIFS('United Data'!$A$3:$A$3390,C$1,'United Data'!$C$3:$C$3390,$A307)&gt;0,1,0)</f>
        <v>0</v>
      </c>
      <c r="D307">
        <f>IF(COUNTIFS('United Data'!$A$3:$A$3390,D$1,'United Data'!$C$3:$C$3390,$A307)&gt;0,1,0)</f>
        <v>0</v>
      </c>
      <c r="E307">
        <f>IF(COUNTIFS('United Data'!$A$3:$A$3390,E$1,'United Data'!$C$3:$C$3390,$A307)&gt;0,1,0)</f>
        <v>0</v>
      </c>
      <c r="F307">
        <f>IF(COUNTIFS('United Data'!$A$3:$A$3390,F$1,'United Data'!$C$3:$C$3390,$A307)&gt;0,1,0)</f>
        <v>0</v>
      </c>
      <c r="G307">
        <f>IF(COUNTIFS('United Data'!$A$3:$A$3390,G$1,'United Data'!$C$3:$C$3390,$A307)&gt;0,1,0)</f>
        <v>0</v>
      </c>
      <c r="H307">
        <f>IF(COUNTIFS('United Data'!$A$3:$A$3390,H$1,'United Data'!$C$3:$C$3390,$A307)&gt;0,1,0)</f>
        <v>0</v>
      </c>
      <c r="I307">
        <f>IF(COUNTIFS('United Data'!$A$3:$A$3390,I$1,'United Data'!$C$3:$C$3390,$A307)&gt;0,1,0)</f>
        <v>0</v>
      </c>
      <c r="J307">
        <f>IF(COUNTIFS('United Data'!$A$3:$A$3390,J$1,'United Data'!$C$3:$C$3390,$A307)&gt;0,1,0)</f>
        <v>0</v>
      </c>
      <c r="K307">
        <f>IF(COUNTIFS('United Data'!$A$3:$A$3390,K$1,'United Data'!$C$3:$C$3390,$A307)&gt;0,1,0)</f>
        <v>1</v>
      </c>
      <c r="L307">
        <f>IF(COUNTIFS('United Data'!$A$3:$A$3390,L$1,'United Data'!$C$3:$C$3390,$A307)&gt;0,1,0)</f>
        <v>0</v>
      </c>
      <c r="M307">
        <f>IF(COUNTIFS('United Data'!$A$3:$A$3390,M$1,'United Data'!$C$3:$C$3390,$A307)&gt;0,1,0)</f>
        <v>0</v>
      </c>
      <c r="N307">
        <f>IF(COUNTIFS('United Data'!$A$3:$A$3390,N$1,'United Data'!$C$3:$C$3390,$A307)&gt;0,1,0)</f>
        <v>0</v>
      </c>
      <c r="O307">
        <f>IF(COUNTIFS('United Data'!$A$3:$A$3390,O$1,'United Data'!$C$3:$C$3390,$A307)&gt;0,1,0)</f>
        <v>0</v>
      </c>
      <c r="P307">
        <f>IF(COUNTIFS('United Data'!$A$3:$A$3390,P$1,'United Data'!$C$3:$C$3390,$A307)&gt;0,1,0)</f>
        <v>0</v>
      </c>
      <c r="Q307">
        <f>IF(COUNTIFS('United Data'!$A$3:$A$3390,Q$1,'United Data'!$C$3:$C$3390,$A307)&gt;0,1,0)</f>
        <v>0</v>
      </c>
      <c r="R307">
        <f>IF(COUNTIFS('United Data'!$A$3:$A$3390,R$1,'United Data'!$C$3:$C$3390,$A307)&gt;0,1,0)</f>
        <v>0</v>
      </c>
      <c r="S307">
        <f t="shared" si="8"/>
        <v>1</v>
      </c>
      <c r="T307">
        <f t="shared" si="9"/>
        <v>1</v>
      </c>
    </row>
    <row r="308" spans="1:20" x14ac:dyDescent="0.2">
      <c r="A308" t="s">
        <v>397</v>
      </c>
      <c r="B308">
        <f>IF(COUNTIFS('United Data'!$A$3:$A$3390,B$1,'United Data'!$C$3:$C$3390,$A308)&gt;0,1,0)</f>
        <v>0</v>
      </c>
      <c r="C308">
        <f>IF(COUNTIFS('United Data'!$A$3:$A$3390,C$1,'United Data'!$C$3:$C$3390,$A308)&gt;0,1,0)</f>
        <v>0</v>
      </c>
      <c r="D308">
        <f>IF(COUNTIFS('United Data'!$A$3:$A$3390,D$1,'United Data'!$C$3:$C$3390,$A308)&gt;0,1,0)</f>
        <v>0</v>
      </c>
      <c r="E308">
        <f>IF(COUNTIFS('United Data'!$A$3:$A$3390,E$1,'United Data'!$C$3:$C$3390,$A308)&gt;0,1,0)</f>
        <v>0</v>
      </c>
      <c r="F308">
        <f>IF(COUNTIFS('United Data'!$A$3:$A$3390,F$1,'United Data'!$C$3:$C$3390,$A308)&gt;0,1,0)</f>
        <v>0</v>
      </c>
      <c r="G308">
        <f>IF(COUNTIFS('United Data'!$A$3:$A$3390,G$1,'United Data'!$C$3:$C$3390,$A308)&gt;0,1,0)</f>
        <v>0</v>
      </c>
      <c r="H308">
        <f>IF(COUNTIFS('United Data'!$A$3:$A$3390,H$1,'United Data'!$C$3:$C$3390,$A308)&gt;0,1,0)</f>
        <v>0</v>
      </c>
      <c r="I308">
        <f>IF(COUNTIFS('United Data'!$A$3:$A$3390,I$1,'United Data'!$C$3:$C$3390,$A308)&gt;0,1,0)</f>
        <v>0</v>
      </c>
      <c r="J308">
        <f>IF(COUNTIFS('United Data'!$A$3:$A$3390,J$1,'United Data'!$C$3:$C$3390,$A308)&gt;0,1,0)</f>
        <v>0</v>
      </c>
      <c r="K308">
        <f>IF(COUNTIFS('United Data'!$A$3:$A$3390,K$1,'United Data'!$C$3:$C$3390,$A308)&gt;0,1,0)</f>
        <v>1</v>
      </c>
      <c r="L308">
        <f>IF(COUNTIFS('United Data'!$A$3:$A$3390,L$1,'United Data'!$C$3:$C$3390,$A308)&gt;0,1,0)</f>
        <v>0</v>
      </c>
      <c r="M308">
        <f>IF(COUNTIFS('United Data'!$A$3:$A$3390,M$1,'United Data'!$C$3:$C$3390,$A308)&gt;0,1,0)</f>
        <v>0</v>
      </c>
      <c r="N308">
        <f>IF(COUNTIFS('United Data'!$A$3:$A$3390,N$1,'United Data'!$C$3:$C$3390,$A308)&gt;0,1,0)</f>
        <v>0</v>
      </c>
      <c r="O308">
        <f>IF(COUNTIFS('United Data'!$A$3:$A$3390,O$1,'United Data'!$C$3:$C$3390,$A308)&gt;0,1,0)</f>
        <v>0</v>
      </c>
      <c r="P308">
        <f>IF(COUNTIFS('United Data'!$A$3:$A$3390,P$1,'United Data'!$C$3:$C$3390,$A308)&gt;0,1,0)</f>
        <v>0</v>
      </c>
      <c r="Q308">
        <f>IF(COUNTIFS('United Data'!$A$3:$A$3390,Q$1,'United Data'!$C$3:$C$3390,$A308)&gt;0,1,0)</f>
        <v>0</v>
      </c>
      <c r="R308">
        <f>IF(COUNTIFS('United Data'!$A$3:$A$3390,R$1,'United Data'!$C$3:$C$3390,$A308)&gt;0,1,0)</f>
        <v>0</v>
      </c>
      <c r="S308">
        <f t="shared" si="8"/>
        <v>1</v>
      </c>
      <c r="T308">
        <f t="shared" si="9"/>
        <v>1</v>
      </c>
    </row>
    <row r="309" spans="1:20" x14ac:dyDescent="0.2">
      <c r="A309" t="s">
        <v>398</v>
      </c>
      <c r="B309">
        <f>IF(COUNTIFS('United Data'!$A$3:$A$3390,B$1,'United Data'!$C$3:$C$3390,$A309)&gt;0,1,0)</f>
        <v>0</v>
      </c>
      <c r="C309">
        <f>IF(COUNTIFS('United Data'!$A$3:$A$3390,C$1,'United Data'!$C$3:$C$3390,$A309)&gt;0,1,0)</f>
        <v>0</v>
      </c>
      <c r="D309">
        <f>IF(COUNTIFS('United Data'!$A$3:$A$3390,D$1,'United Data'!$C$3:$C$3390,$A309)&gt;0,1,0)</f>
        <v>0</v>
      </c>
      <c r="E309">
        <f>IF(COUNTIFS('United Data'!$A$3:$A$3390,E$1,'United Data'!$C$3:$C$3390,$A309)&gt;0,1,0)</f>
        <v>0</v>
      </c>
      <c r="F309">
        <f>IF(COUNTIFS('United Data'!$A$3:$A$3390,F$1,'United Data'!$C$3:$C$3390,$A309)&gt;0,1,0)</f>
        <v>0</v>
      </c>
      <c r="G309">
        <f>IF(COUNTIFS('United Data'!$A$3:$A$3390,G$1,'United Data'!$C$3:$C$3390,$A309)&gt;0,1,0)</f>
        <v>1</v>
      </c>
      <c r="H309">
        <f>IF(COUNTIFS('United Data'!$A$3:$A$3390,H$1,'United Data'!$C$3:$C$3390,$A309)&gt;0,1,0)</f>
        <v>0</v>
      </c>
      <c r="I309">
        <f>IF(COUNTIFS('United Data'!$A$3:$A$3390,I$1,'United Data'!$C$3:$C$3390,$A309)&gt;0,1,0)</f>
        <v>0</v>
      </c>
      <c r="J309">
        <f>IF(COUNTIFS('United Data'!$A$3:$A$3390,J$1,'United Data'!$C$3:$C$3390,$A309)&gt;0,1,0)</f>
        <v>0</v>
      </c>
      <c r="K309">
        <f>IF(COUNTIFS('United Data'!$A$3:$A$3390,K$1,'United Data'!$C$3:$C$3390,$A309)&gt;0,1,0)</f>
        <v>1</v>
      </c>
      <c r="L309">
        <f>IF(COUNTIFS('United Data'!$A$3:$A$3390,L$1,'United Data'!$C$3:$C$3390,$A309)&gt;0,1,0)</f>
        <v>0</v>
      </c>
      <c r="M309">
        <f>IF(COUNTIFS('United Data'!$A$3:$A$3390,M$1,'United Data'!$C$3:$C$3390,$A309)&gt;0,1,0)</f>
        <v>0</v>
      </c>
      <c r="N309">
        <f>IF(COUNTIFS('United Data'!$A$3:$A$3390,N$1,'United Data'!$C$3:$C$3390,$A309)&gt;0,1,0)</f>
        <v>0</v>
      </c>
      <c r="O309">
        <f>IF(COUNTIFS('United Data'!$A$3:$A$3390,O$1,'United Data'!$C$3:$C$3390,$A309)&gt;0,1,0)</f>
        <v>0</v>
      </c>
      <c r="P309">
        <f>IF(COUNTIFS('United Data'!$A$3:$A$3390,P$1,'United Data'!$C$3:$C$3390,$A309)&gt;0,1,0)</f>
        <v>0</v>
      </c>
      <c r="Q309">
        <f>IF(COUNTIFS('United Data'!$A$3:$A$3390,Q$1,'United Data'!$C$3:$C$3390,$A309)&gt;0,1,0)</f>
        <v>0</v>
      </c>
      <c r="R309">
        <f>IF(COUNTIFS('United Data'!$A$3:$A$3390,R$1,'United Data'!$C$3:$C$3390,$A309)&gt;0,1,0)</f>
        <v>0</v>
      </c>
      <c r="S309">
        <f t="shared" si="8"/>
        <v>2</v>
      </c>
      <c r="T309">
        <f t="shared" si="9"/>
        <v>2</v>
      </c>
    </row>
    <row r="310" spans="1:20" x14ac:dyDescent="0.2">
      <c r="A310" t="s">
        <v>399</v>
      </c>
      <c r="B310">
        <f>IF(COUNTIFS('United Data'!$A$3:$A$3390,B$1,'United Data'!$C$3:$C$3390,$A310)&gt;0,1,0)</f>
        <v>0</v>
      </c>
      <c r="C310">
        <f>IF(COUNTIFS('United Data'!$A$3:$A$3390,C$1,'United Data'!$C$3:$C$3390,$A310)&gt;0,1,0)</f>
        <v>0</v>
      </c>
      <c r="D310">
        <f>IF(COUNTIFS('United Data'!$A$3:$A$3390,D$1,'United Data'!$C$3:$C$3390,$A310)&gt;0,1,0)</f>
        <v>0</v>
      </c>
      <c r="E310">
        <f>IF(COUNTIFS('United Data'!$A$3:$A$3390,E$1,'United Data'!$C$3:$C$3390,$A310)&gt;0,1,0)</f>
        <v>0</v>
      </c>
      <c r="F310">
        <f>IF(COUNTIFS('United Data'!$A$3:$A$3390,F$1,'United Data'!$C$3:$C$3390,$A310)&gt;0,1,0)</f>
        <v>0</v>
      </c>
      <c r="G310">
        <f>IF(COUNTIFS('United Data'!$A$3:$A$3390,G$1,'United Data'!$C$3:$C$3390,$A310)&gt;0,1,0)</f>
        <v>0</v>
      </c>
      <c r="H310">
        <f>IF(COUNTIFS('United Data'!$A$3:$A$3390,H$1,'United Data'!$C$3:$C$3390,$A310)&gt;0,1,0)</f>
        <v>0</v>
      </c>
      <c r="I310">
        <f>IF(COUNTIFS('United Data'!$A$3:$A$3390,I$1,'United Data'!$C$3:$C$3390,$A310)&gt;0,1,0)</f>
        <v>0</v>
      </c>
      <c r="J310">
        <f>IF(COUNTIFS('United Data'!$A$3:$A$3390,J$1,'United Data'!$C$3:$C$3390,$A310)&gt;0,1,0)</f>
        <v>0</v>
      </c>
      <c r="K310">
        <f>IF(COUNTIFS('United Data'!$A$3:$A$3390,K$1,'United Data'!$C$3:$C$3390,$A310)&gt;0,1,0)</f>
        <v>1</v>
      </c>
      <c r="L310">
        <f>IF(COUNTIFS('United Data'!$A$3:$A$3390,L$1,'United Data'!$C$3:$C$3390,$A310)&gt;0,1,0)</f>
        <v>0</v>
      </c>
      <c r="M310">
        <f>IF(COUNTIFS('United Data'!$A$3:$A$3390,M$1,'United Data'!$C$3:$C$3390,$A310)&gt;0,1,0)</f>
        <v>0</v>
      </c>
      <c r="N310">
        <f>IF(COUNTIFS('United Data'!$A$3:$A$3390,N$1,'United Data'!$C$3:$C$3390,$A310)&gt;0,1,0)</f>
        <v>0</v>
      </c>
      <c r="O310">
        <f>IF(COUNTIFS('United Data'!$A$3:$A$3390,O$1,'United Data'!$C$3:$C$3390,$A310)&gt;0,1,0)</f>
        <v>0</v>
      </c>
      <c r="P310">
        <f>IF(COUNTIFS('United Data'!$A$3:$A$3390,P$1,'United Data'!$C$3:$C$3390,$A310)&gt;0,1,0)</f>
        <v>0</v>
      </c>
      <c r="Q310">
        <f>IF(COUNTIFS('United Data'!$A$3:$A$3390,Q$1,'United Data'!$C$3:$C$3390,$A310)&gt;0,1,0)</f>
        <v>0</v>
      </c>
      <c r="R310">
        <f>IF(COUNTIFS('United Data'!$A$3:$A$3390,R$1,'United Data'!$C$3:$C$3390,$A310)&gt;0,1,0)</f>
        <v>0</v>
      </c>
      <c r="S310">
        <f t="shared" si="8"/>
        <v>1</v>
      </c>
      <c r="T310">
        <f t="shared" si="9"/>
        <v>1</v>
      </c>
    </row>
    <row r="311" spans="1:20" x14ac:dyDescent="0.2">
      <c r="A311" t="s">
        <v>400</v>
      </c>
      <c r="B311">
        <f>IF(COUNTIFS('United Data'!$A$3:$A$3390,B$1,'United Data'!$C$3:$C$3390,$A311)&gt;0,1,0)</f>
        <v>0</v>
      </c>
      <c r="C311">
        <f>IF(COUNTIFS('United Data'!$A$3:$A$3390,C$1,'United Data'!$C$3:$C$3390,$A311)&gt;0,1,0)</f>
        <v>0</v>
      </c>
      <c r="D311">
        <f>IF(COUNTIFS('United Data'!$A$3:$A$3390,D$1,'United Data'!$C$3:$C$3390,$A311)&gt;0,1,0)</f>
        <v>0</v>
      </c>
      <c r="E311">
        <f>IF(COUNTIFS('United Data'!$A$3:$A$3390,E$1,'United Data'!$C$3:$C$3390,$A311)&gt;0,1,0)</f>
        <v>0</v>
      </c>
      <c r="F311">
        <f>IF(COUNTIFS('United Data'!$A$3:$A$3390,F$1,'United Data'!$C$3:$C$3390,$A311)&gt;0,1,0)</f>
        <v>0</v>
      </c>
      <c r="G311">
        <f>IF(COUNTIFS('United Data'!$A$3:$A$3390,G$1,'United Data'!$C$3:$C$3390,$A311)&gt;0,1,0)</f>
        <v>0</v>
      </c>
      <c r="H311">
        <f>IF(COUNTIFS('United Data'!$A$3:$A$3390,H$1,'United Data'!$C$3:$C$3390,$A311)&gt;0,1,0)</f>
        <v>0</v>
      </c>
      <c r="I311">
        <f>IF(COUNTIFS('United Data'!$A$3:$A$3390,I$1,'United Data'!$C$3:$C$3390,$A311)&gt;0,1,0)</f>
        <v>0</v>
      </c>
      <c r="J311">
        <f>IF(COUNTIFS('United Data'!$A$3:$A$3390,J$1,'United Data'!$C$3:$C$3390,$A311)&gt;0,1,0)</f>
        <v>0</v>
      </c>
      <c r="K311">
        <f>IF(COUNTIFS('United Data'!$A$3:$A$3390,K$1,'United Data'!$C$3:$C$3390,$A311)&gt;0,1,0)</f>
        <v>0</v>
      </c>
      <c r="L311">
        <f>IF(COUNTIFS('United Data'!$A$3:$A$3390,L$1,'United Data'!$C$3:$C$3390,$A311)&gt;0,1,0)</f>
        <v>1</v>
      </c>
      <c r="M311">
        <f>IF(COUNTIFS('United Data'!$A$3:$A$3390,M$1,'United Data'!$C$3:$C$3390,$A311)&gt;0,1,0)</f>
        <v>0</v>
      </c>
      <c r="N311">
        <f>IF(COUNTIFS('United Data'!$A$3:$A$3390,N$1,'United Data'!$C$3:$C$3390,$A311)&gt;0,1,0)</f>
        <v>0</v>
      </c>
      <c r="O311">
        <f>IF(COUNTIFS('United Data'!$A$3:$A$3390,O$1,'United Data'!$C$3:$C$3390,$A311)&gt;0,1,0)</f>
        <v>0</v>
      </c>
      <c r="P311">
        <f>IF(COUNTIFS('United Data'!$A$3:$A$3390,P$1,'United Data'!$C$3:$C$3390,$A311)&gt;0,1,0)</f>
        <v>0</v>
      </c>
      <c r="Q311">
        <f>IF(COUNTIFS('United Data'!$A$3:$A$3390,Q$1,'United Data'!$C$3:$C$3390,$A311)&gt;0,1,0)</f>
        <v>0</v>
      </c>
      <c r="R311">
        <f>IF(COUNTIFS('United Data'!$A$3:$A$3390,R$1,'United Data'!$C$3:$C$3390,$A311)&gt;0,1,0)</f>
        <v>0</v>
      </c>
      <c r="S311">
        <f t="shared" si="8"/>
        <v>1</v>
      </c>
      <c r="T311">
        <f t="shared" si="9"/>
        <v>1</v>
      </c>
    </row>
    <row r="312" spans="1:20" x14ac:dyDescent="0.2">
      <c r="A312" t="s">
        <v>401</v>
      </c>
      <c r="B312">
        <f>IF(COUNTIFS('United Data'!$A$3:$A$3390,B$1,'United Data'!$C$3:$C$3390,$A312)&gt;0,1,0)</f>
        <v>0</v>
      </c>
      <c r="C312">
        <f>IF(COUNTIFS('United Data'!$A$3:$A$3390,C$1,'United Data'!$C$3:$C$3390,$A312)&gt;0,1,0)</f>
        <v>0</v>
      </c>
      <c r="D312">
        <f>IF(COUNTIFS('United Data'!$A$3:$A$3390,D$1,'United Data'!$C$3:$C$3390,$A312)&gt;0,1,0)</f>
        <v>0</v>
      </c>
      <c r="E312">
        <f>IF(COUNTIFS('United Data'!$A$3:$A$3390,E$1,'United Data'!$C$3:$C$3390,$A312)&gt;0,1,0)</f>
        <v>0</v>
      </c>
      <c r="F312">
        <f>IF(COUNTIFS('United Data'!$A$3:$A$3390,F$1,'United Data'!$C$3:$C$3390,$A312)&gt;0,1,0)</f>
        <v>0</v>
      </c>
      <c r="G312">
        <f>IF(COUNTIFS('United Data'!$A$3:$A$3390,G$1,'United Data'!$C$3:$C$3390,$A312)&gt;0,1,0)</f>
        <v>0</v>
      </c>
      <c r="H312">
        <f>IF(COUNTIFS('United Data'!$A$3:$A$3390,H$1,'United Data'!$C$3:$C$3390,$A312)&gt;0,1,0)</f>
        <v>0</v>
      </c>
      <c r="I312">
        <f>IF(COUNTIFS('United Data'!$A$3:$A$3390,I$1,'United Data'!$C$3:$C$3390,$A312)&gt;0,1,0)</f>
        <v>0</v>
      </c>
      <c r="J312">
        <f>IF(COUNTIFS('United Data'!$A$3:$A$3390,J$1,'United Data'!$C$3:$C$3390,$A312)&gt;0,1,0)</f>
        <v>0</v>
      </c>
      <c r="K312">
        <f>IF(COUNTIFS('United Data'!$A$3:$A$3390,K$1,'United Data'!$C$3:$C$3390,$A312)&gt;0,1,0)</f>
        <v>0</v>
      </c>
      <c r="L312">
        <f>IF(COUNTIFS('United Data'!$A$3:$A$3390,L$1,'United Data'!$C$3:$C$3390,$A312)&gt;0,1,0)</f>
        <v>1</v>
      </c>
      <c r="M312">
        <f>IF(COUNTIFS('United Data'!$A$3:$A$3390,M$1,'United Data'!$C$3:$C$3390,$A312)&gt;0,1,0)</f>
        <v>0</v>
      </c>
      <c r="N312">
        <f>IF(COUNTIFS('United Data'!$A$3:$A$3390,N$1,'United Data'!$C$3:$C$3390,$A312)&gt;0,1,0)</f>
        <v>0</v>
      </c>
      <c r="O312">
        <f>IF(COUNTIFS('United Data'!$A$3:$A$3390,O$1,'United Data'!$C$3:$C$3390,$A312)&gt;0,1,0)</f>
        <v>0</v>
      </c>
      <c r="P312">
        <f>IF(COUNTIFS('United Data'!$A$3:$A$3390,P$1,'United Data'!$C$3:$C$3390,$A312)&gt;0,1,0)</f>
        <v>0</v>
      </c>
      <c r="Q312">
        <f>IF(COUNTIFS('United Data'!$A$3:$A$3390,Q$1,'United Data'!$C$3:$C$3390,$A312)&gt;0,1,0)</f>
        <v>0</v>
      </c>
      <c r="R312">
        <f>IF(COUNTIFS('United Data'!$A$3:$A$3390,R$1,'United Data'!$C$3:$C$3390,$A312)&gt;0,1,0)</f>
        <v>0</v>
      </c>
      <c r="S312">
        <f t="shared" si="8"/>
        <v>1</v>
      </c>
      <c r="T312">
        <f t="shared" si="9"/>
        <v>1</v>
      </c>
    </row>
    <row r="313" spans="1:20" x14ac:dyDescent="0.2">
      <c r="A313" t="s">
        <v>402</v>
      </c>
      <c r="B313">
        <f>IF(COUNTIFS('United Data'!$A$3:$A$3390,B$1,'United Data'!$C$3:$C$3390,$A313)&gt;0,1,0)</f>
        <v>0</v>
      </c>
      <c r="C313">
        <f>IF(COUNTIFS('United Data'!$A$3:$A$3390,C$1,'United Data'!$C$3:$C$3390,$A313)&gt;0,1,0)</f>
        <v>0</v>
      </c>
      <c r="D313">
        <f>IF(COUNTIFS('United Data'!$A$3:$A$3390,D$1,'United Data'!$C$3:$C$3390,$A313)&gt;0,1,0)</f>
        <v>1</v>
      </c>
      <c r="E313">
        <f>IF(COUNTIFS('United Data'!$A$3:$A$3390,E$1,'United Data'!$C$3:$C$3390,$A313)&gt;0,1,0)</f>
        <v>0</v>
      </c>
      <c r="F313">
        <f>IF(COUNTIFS('United Data'!$A$3:$A$3390,F$1,'United Data'!$C$3:$C$3390,$A313)&gt;0,1,0)</f>
        <v>0</v>
      </c>
      <c r="G313">
        <f>IF(COUNTIFS('United Data'!$A$3:$A$3390,G$1,'United Data'!$C$3:$C$3390,$A313)&gt;0,1,0)</f>
        <v>0</v>
      </c>
      <c r="H313">
        <f>IF(COUNTIFS('United Data'!$A$3:$A$3390,H$1,'United Data'!$C$3:$C$3390,$A313)&gt;0,1,0)</f>
        <v>0</v>
      </c>
      <c r="I313">
        <f>IF(COUNTIFS('United Data'!$A$3:$A$3390,I$1,'United Data'!$C$3:$C$3390,$A313)&gt;0,1,0)</f>
        <v>0</v>
      </c>
      <c r="J313">
        <f>IF(COUNTIFS('United Data'!$A$3:$A$3390,J$1,'United Data'!$C$3:$C$3390,$A313)&gt;0,1,0)</f>
        <v>0</v>
      </c>
      <c r="K313">
        <f>IF(COUNTIFS('United Data'!$A$3:$A$3390,K$1,'United Data'!$C$3:$C$3390,$A313)&gt;0,1,0)</f>
        <v>1</v>
      </c>
      <c r="L313">
        <f>IF(COUNTIFS('United Data'!$A$3:$A$3390,L$1,'United Data'!$C$3:$C$3390,$A313)&gt;0,1,0)</f>
        <v>1</v>
      </c>
      <c r="M313">
        <f>IF(COUNTIFS('United Data'!$A$3:$A$3390,M$1,'United Data'!$C$3:$C$3390,$A313)&gt;0,1,0)</f>
        <v>0</v>
      </c>
      <c r="N313">
        <f>IF(COUNTIFS('United Data'!$A$3:$A$3390,N$1,'United Data'!$C$3:$C$3390,$A313)&gt;0,1,0)</f>
        <v>0</v>
      </c>
      <c r="O313">
        <f>IF(COUNTIFS('United Data'!$A$3:$A$3390,O$1,'United Data'!$C$3:$C$3390,$A313)&gt;0,1,0)</f>
        <v>0</v>
      </c>
      <c r="P313">
        <f>IF(COUNTIFS('United Data'!$A$3:$A$3390,P$1,'United Data'!$C$3:$C$3390,$A313)&gt;0,1,0)</f>
        <v>0</v>
      </c>
      <c r="Q313">
        <f>IF(COUNTIFS('United Data'!$A$3:$A$3390,Q$1,'United Data'!$C$3:$C$3390,$A313)&gt;0,1,0)</f>
        <v>0</v>
      </c>
      <c r="R313">
        <f>IF(COUNTIFS('United Data'!$A$3:$A$3390,R$1,'United Data'!$C$3:$C$3390,$A313)&gt;0,1,0)</f>
        <v>0</v>
      </c>
      <c r="S313">
        <f t="shared" si="8"/>
        <v>3</v>
      </c>
      <c r="T313">
        <f t="shared" si="9"/>
        <v>2</v>
      </c>
    </row>
    <row r="314" spans="1:20" x14ac:dyDescent="0.2">
      <c r="A314" t="s">
        <v>403</v>
      </c>
      <c r="B314">
        <f>IF(COUNTIFS('United Data'!$A$3:$A$3390,B$1,'United Data'!$C$3:$C$3390,$A314)&gt;0,1,0)</f>
        <v>0</v>
      </c>
      <c r="C314">
        <f>IF(COUNTIFS('United Data'!$A$3:$A$3390,C$1,'United Data'!$C$3:$C$3390,$A314)&gt;0,1,0)</f>
        <v>0</v>
      </c>
      <c r="D314">
        <f>IF(COUNTIFS('United Data'!$A$3:$A$3390,D$1,'United Data'!$C$3:$C$3390,$A314)&gt;0,1,0)</f>
        <v>0</v>
      </c>
      <c r="E314">
        <f>IF(COUNTIFS('United Data'!$A$3:$A$3390,E$1,'United Data'!$C$3:$C$3390,$A314)&gt;0,1,0)</f>
        <v>0</v>
      </c>
      <c r="F314">
        <f>IF(COUNTIFS('United Data'!$A$3:$A$3390,F$1,'United Data'!$C$3:$C$3390,$A314)&gt;0,1,0)</f>
        <v>0</v>
      </c>
      <c r="G314">
        <f>IF(COUNTIFS('United Data'!$A$3:$A$3390,G$1,'United Data'!$C$3:$C$3390,$A314)&gt;0,1,0)</f>
        <v>0</v>
      </c>
      <c r="H314">
        <f>IF(COUNTIFS('United Data'!$A$3:$A$3390,H$1,'United Data'!$C$3:$C$3390,$A314)&gt;0,1,0)</f>
        <v>0</v>
      </c>
      <c r="I314">
        <f>IF(COUNTIFS('United Data'!$A$3:$A$3390,I$1,'United Data'!$C$3:$C$3390,$A314)&gt;0,1,0)</f>
        <v>0</v>
      </c>
      <c r="J314">
        <f>IF(COUNTIFS('United Data'!$A$3:$A$3390,J$1,'United Data'!$C$3:$C$3390,$A314)&gt;0,1,0)</f>
        <v>0</v>
      </c>
      <c r="K314">
        <f>IF(COUNTIFS('United Data'!$A$3:$A$3390,K$1,'United Data'!$C$3:$C$3390,$A314)&gt;0,1,0)</f>
        <v>0</v>
      </c>
      <c r="L314">
        <f>IF(COUNTIFS('United Data'!$A$3:$A$3390,L$1,'United Data'!$C$3:$C$3390,$A314)&gt;0,1,0)</f>
        <v>1</v>
      </c>
      <c r="M314">
        <f>IF(COUNTIFS('United Data'!$A$3:$A$3390,M$1,'United Data'!$C$3:$C$3390,$A314)&gt;0,1,0)</f>
        <v>0</v>
      </c>
      <c r="N314">
        <f>IF(COUNTIFS('United Data'!$A$3:$A$3390,N$1,'United Data'!$C$3:$C$3390,$A314)&gt;0,1,0)</f>
        <v>0</v>
      </c>
      <c r="O314">
        <f>IF(COUNTIFS('United Data'!$A$3:$A$3390,O$1,'United Data'!$C$3:$C$3390,$A314)&gt;0,1,0)</f>
        <v>0</v>
      </c>
      <c r="P314">
        <f>IF(COUNTIFS('United Data'!$A$3:$A$3390,P$1,'United Data'!$C$3:$C$3390,$A314)&gt;0,1,0)</f>
        <v>0</v>
      </c>
      <c r="Q314">
        <f>IF(COUNTIFS('United Data'!$A$3:$A$3390,Q$1,'United Data'!$C$3:$C$3390,$A314)&gt;0,1,0)</f>
        <v>0</v>
      </c>
      <c r="R314">
        <f>IF(COUNTIFS('United Data'!$A$3:$A$3390,R$1,'United Data'!$C$3:$C$3390,$A314)&gt;0,1,0)</f>
        <v>0</v>
      </c>
      <c r="S314">
        <f t="shared" si="8"/>
        <v>1</v>
      </c>
      <c r="T314">
        <f t="shared" si="9"/>
        <v>1</v>
      </c>
    </row>
    <row r="315" spans="1:20" x14ac:dyDescent="0.2">
      <c r="A315" t="s">
        <v>404</v>
      </c>
      <c r="B315">
        <f>IF(COUNTIFS('United Data'!$A$3:$A$3390,B$1,'United Data'!$C$3:$C$3390,$A315)&gt;0,1,0)</f>
        <v>0</v>
      </c>
      <c r="C315">
        <f>IF(COUNTIFS('United Data'!$A$3:$A$3390,C$1,'United Data'!$C$3:$C$3390,$A315)&gt;0,1,0)</f>
        <v>0</v>
      </c>
      <c r="D315">
        <f>IF(COUNTIFS('United Data'!$A$3:$A$3390,D$1,'United Data'!$C$3:$C$3390,$A315)&gt;0,1,0)</f>
        <v>0</v>
      </c>
      <c r="E315">
        <f>IF(COUNTIFS('United Data'!$A$3:$A$3390,E$1,'United Data'!$C$3:$C$3390,$A315)&gt;0,1,0)</f>
        <v>0</v>
      </c>
      <c r="F315">
        <f>IF(COUNTIFS('United Data'!$A$3:$A$3390,F$1,'United Data'!$C$3:$C$3390,$A315)&gt;0,1,0)</f>
        <v>0</v>
      </c>
      <c r="G315">
        <f>IF(COUNTIFS('United Data'!$A$3:$A$3390,G$1,'United Data'!$C$3:$C$3390,$A315)&gt;0,1,0)</f>
        <v>0</v>
      </c>
      <c r="H315">
        <f>IF(COUNTIFS('United Data'!$A$3:$A$3390,H$1,'United Data'!$C$3:$C$3390,$A315)&gt;0,1,0)</f>
        <v>0</v>
      </c>
      <c r="I315">
        <f>IF(COUNTIFS('United Data'!$A$3:$A$3390,I$1,'United Data'!$C$3:$C$3390,$A315)&gt;0,1,0)</f>
        <v>0</v>
      </c>
      <c r="J315">
        <f>IF(COUNTIFS('United Data'!$A$3:$A$3390,J$1,'United Data'!$C$3:$C$3390,$A315)&gt;0,1,0)</f>
        <v>0</v>
      </c>
      <c r="K315">
        <f>IF(COUNTIFS('United Data'!$A$3:$A$3390,K$1,'United Data'!$C$3:$C$3390,$A315)&gt;0,1,0)</f>
        <v>0</v>
      </c>
      <c r="L315">
        <f>IF(COUNTIFS('United Data'!$A$3:$A$3390,L$1,'United Data'!$C$3:$C$3390,$A315)&gt;0,1,0)</f>
        <v>1</v>
      </c>
      <c r="M315">
        <f>IF(COUNTIFS('United Data'!$A$3:$A$3390,M$1,'United Data'!$C$3:$C$3390,$A315)&gt;0,1,0)</f>
        <v>0</v>
      </c>
      <c r="N315">
        <f>IF(COUNTIFS('United Data'!$A$3:$A$3390,N$1,'United Data'!$C$3:$C$3390,$A315)&gt;0,1,0)</f>
        <v>0</v>
      </c>
      <c r="O315">
        <f>IF(COUNTIFS('United Data'!$A$3:$A$3390,O$1,'United Data'!$C$3:$C$3390,$A315)&gt;0,1,0)</f>
        <v>0</v>
      </c>
      <c r="P315">
        <f>IF(COUNTIFS('United Data'!$A$3:$A$3390,P$1,'United Data'!$C$3:$C$3390,$A315)&gt;0,1,0)</f>
        <v>0</v>
      </c>
      <c r="Q315">
        <f>IF(COUNTIFS('United Data'!$A$3:$A$3390,Q$1,'United Data'!$C$3:$C$3390,$A315)&gt;0,1,0)</f>
        <v>0</v>
      </c>
      <c r="R315">
        <f>IF(COUNTIFS('United Data'!$A$3:$A$3390,R$1,'United Data'!$C$3:$C$3390,$A315)&gt;0,1,0)</f>
        <v>0</v>
      </c>
      <c r="S315">
        <f t="shared" si="8"/>
        <v>1</v>
      </c>
      <c r="T315">
        <f t="shared" si="9"/>
        <v>1</v>
      </c>
    </row>
    <row r="316" spans="1:20" x14ac:dyDescent="0.2">
      <c r="A316" t="s">
        <v>405</v>
      </c>
      <c r="B316">
        <f>IF(COUNTIFS('United Data'!$A$3:$A$3390,B$1,'United Data'!$C$3:$C$3390,$A316)&gt;0,1,0)</f>
        <v>0</v>
      </c>
      <c r="C316">
        <f>IF(COUNTIFS('United Data'!$A$3:$A$3390,C$1,'United Data'!$C$3:$C$3390,$A316)&gt;0,1,0)</f>
        <v>0</v>
      </c>
      <c r="D316">
        <f>IF(COUNTIFS('United Data'!$A$3:$A$3390,D$1,'United Data'!$C$3:$C$3390,$A316)&gt;0,1,0)</f>
        <v>0</v>
      </c>
      <c r="E316">
        <f>IF(COUNTIFS('United Data'!$A$3:$A$3390,E$1,'United Data'!$C$3:$C$3390,$A316)&gt;0,1,0)</f>
        <v>0</v>
      </c>
      <c r="F316">
        <f>IF(COUNTIFS('United Data'!$A$3:$A$3390,F$1,'United Data'!$C$3:$C$3390,$A316)&gt;0,1,0)</f>
        <v>0</v>
      </c>
      <c r="G316">
        <f>IF(COUNTIFS('United Data'!$A$3:$A$3390,G$1,'United Data'!$C$3:$C$3390,$A316)&gt;0,1,0)</f>
        <v>0</v>
      </c>
      <c r="H316">
        <f>IF(COUNTIFS('United Data'!$A$3:$A$3390,H$1,'United Data'!$C$3:$C$3390,$A316)&gt;0,1,0)</f>
        <v>0</v>
      </c>
      <c r="I316">
        <f>IF(COUNTIFS('United Data'!$A$3:$A$3390,I$1,'United Data'!$C$3:$C$3390,$A316)&gt;0,1,0)</f>
        <v>0</v>
      </c>
      <c r="J316">
        <f>IF(COUNTIFS('United Data'!$A$3:$A$3390,J$1,'United Data'!$C$3:$C$3390,$A316)&gt;0,1,0)</f>
        <v>0</v>
      </c>
      <c r="K316">
        <f>IF(COUNTIFS('United Data'!$A$3:$A$3390,K$1,'United Data'!$C$3:$C$3390,$A316)&gt;0,1,0)</f>
        <v>0</v>
      </c>
      <c r="L316">
        <f>IF(COUNTIFS('United Data'!$A$3:$A$3390,L$1,'United Data'!$C$3:$C$3390,$A316)&gt;0,1,0)</f>
        <v>1</v>
      </c>
      <c r="M316">
        <f>IF(COUNTIFS('United Data'!$A$3:$A$3390,M$1,'United Data'!$C$3:$C$3390,$A316)&gt;0,1,0)</f>
        <v>0</v>
      </c>
      <c r="N316">
        <f>IF(COUNTIFS('United Data'!$A$3:$A$3390,N$1,'United Data'!$C$3:$C$3390,$A316)&gt;0,1,0)</f>
        <v>0</v>
      </c>
      <c r="O316">
        <f>IF(COUNTIFS('United Data'!$A$3:$A$3390,O$1,'United Data'!$C$3:$C$3390,$A316)&gt;0,1,0)</f>
        <v>0</v>
      </c>
      <c r="P316">
        <f>IF(COUNTIFS('United Data'!$A$3:$A$3390,P$1,'United Data'!$C$3:$C$3390,$A316)&gt;0,1,0)</f>
        <v>0</v>
      </c>
      <c r="Q316">
        <f>IF(COUNTIFS('United Data'!$A$3:$A$3390,Q$1,'United Data'!$C$3:$C$3390,$A316)&gt;0,1,0)</f>
        <v>0</v>
      </c>
      <c r="R316">
        <f>IF(COUNTIFS('United Data'!$A$3:$A$3390,R$1,'United Data'!$C$3:$C$3390,$A316)&gt;0,1,0)</f>
        <v>0</v>
      </c>
      <c r="S316">
        <f t="shared" si="8"/>
        <v>1</v>
      </c>
      <c r="T316">
        <f t="shared" si="9"/>
        <v>1</v>
      </c>
    </row>
    <row r="317" spans="1:20" x14ac:dyDescent="0.2">
      <c r="A317" t="s">
        <v>406</v>
      </c>
      <c r="B317">
        <f>IF(COUNTIFS('United Data'!$A$3:$A$3390,B$1,'United Data'!$C$3:$C$3390,$A317)&gt;0,1,0)</f>
        <v>0</v>
      </c>
      <c r="C317">
        <f>IF(COUNTIFS('United Data'!$A$3:$A$3390,C$1,'United Data'!$C$3:$C$3390,$A317)&gt;0,1,0)</f>
        <v>0</v>
      </c>
      <c r="D317">
        <f>IF(COUNTIFS('United Data'!$A$3:$A$3390,D$1,'United Data'!$C$3:$C$3390,$A317)&gt;0,1,0)</f>
        <v>0</v>
      </c>
      <c r="E317">
        <f>IF(COUNTIFS('United Data'!$A$3:$A$3390,E$1,'United Data'!$C$3:$C$3390,$A317)&gt;0,1,0)</f>
        <v>0</v>
      </c>
      <c r="F317">
        <f>IF(COUNTIFS('United Data'!$A$3:$A$3390,F$1,'United Data'!$C$3:$C$3390,$A317)&gt;0,1,0)</f>
        <v>0</v>
      </c>
      <c r="G317">
        <f>IF(COUNTIFS('United Data'!$A$3:$A$3390,G$1,'United Data'!$C$3:$C$3390,$A317)&gt;0,1,0)</f>
        <v>0</v>
      </c>
      <c r="H317">
        <f>IF(COUNTIFS('United Data'!$A$3:$A$3390,H$1,'United Data'!$C$3:$C$3390,$A317)&gt;0,1,0)</f>
        <v>0</v>
      </c>
      <c r="I317">
        <f>IF(COUNTIFS('United Data'!$A$3:$A$3390,I$1,'United Data'!$C$3:$C$3390,$A317)&gt;0,1,0)</f>
        <v>0</v>
      </c>
      <c r="J317">
        <f>IF(COUNTIFS('United Data'!$A$3:$A$3390,J$1,'United Data'!$C$3:$C$3390,$A317)&gt;0,1,0)</f>
        <v>0</v>
      </c>
      <c r="K317">
        <f>IF(COUNTIFS('United Data'!$A$3:$A$3390,K$1,'United Data'!$C$3:$C$3390,$A317)&gt;0,1,0)</f>
        <v>0</v>
      </c>
      <c r="L317">
        <f>IF(COUNTIFS('United Data'!$A$3:$A$3390,L$1,'United Data'!$C$3:$C$3390,$A317)&gt;0,1,0)</f>
        <v>1</v>
      </c>
      <c r="M317">
        <f>IF(COUNTIFS('United Data'!$A$3:$A$3390,M$1,'United Data'!$C$3:$C$3390,$A317)&gt;0,1,0)</f>
        <v>0</v>
      </c>
      <c r="N317">
        <f>IF(COUNTIFS('United Data'!$A$3:$A$3390,N$1,'United Data'!$C$3:$C$3390,$A317)&gt;0,1,0)</f>
        <v>0</v>
      </c>
      <c r="O317">
        <f>IF(COUNTIFS('United Data'!$A$3:$A$3390,O$1,'United Data'!$C$3:$C$3390,$A317)&gt;0,1,0)</f>
        <v>0</v>
      </c>
      <c r="P317">
        <f>IF(COUNTIFS('United Data'!$A$3:$A$3390,P$1,'United Data'!$C$3:$C$3390,$A317)&gt;0,1,0)</f>
        <v>0</v>
      </c>
      <c r="Q317">
        <f>IF(COUNTIFS('United Data'!$A$3:$A$3390,Q$1,'United Data'!$C$3:$C$3390,$A317)&gt;0,1,0)</f>
        <v>0</v>
      </c>
      <c r="R317">
        <f>IF(COUNTIFS('United Data'!$A$3:$A$3390,R$1,'United Data'!$C$3:$C$3390,$A317)&gt;0,1,0)</f>
        <v>0</v>
      </c>
      <c r="S317">
        <f t="shared" si="8"/>
        <v>1</v>
      </c>
      <c r="T317">
        <f t="shared" si="9"/>
        <v>1</v>
      </c>
    </row>
    <row r="318" spans="1:20" x14ac:dyDescent="0.2">
      <c r="A318" t="s">
        <v>407</v>
      </c>
      <c r="B318">
        <f>IF(COUNTIFS('United Data'!$A$3:$A$3390,B$1,'United Data'!$C$3:$C$3390,$A318)&gt;0,1,0)</f>
        <v>0</v>
      </c>
      <c r="C318">
        <f>IF(COUNTIFS('United Data'!$A$3:$A$3390,C$1,'United Data'!$C$3:$C$3390,$A318)&gt;0,1,0)</f>
        <v>0</v>
      </c>
      <c r="D318">
        <f>IF(COUNTIFS('United Data'!$A$3:$A$3390,D$1,'United Data'!$C$3:$C$3390,$A318)&gt;0,1,0)</f>
        <v>0</v>
      </c>
      <c r="E318">
        <f>IF(COUNTIFS('United Data'!$A$3:$A$3390,E$1,'United Data'!$C$3:$C$3390,$A318)&gt;0,1,0)</f>
        <v>0</v>
      </c>
      <c r="F318">
        <f>IF(COUNTIFS('United Data'!$A$3:$A$3390,F$1,'United Data'!$C$3:$C$3390,$A318)&gt;0,1,0)</f>
        <v>0</v>
      </c>
      <c r="G318">
        <f>IF(COUNTIFS('United Data'!$A$3:$A$3390,G$1,'United Data'!$C$3:$C$3390,$A318)&gt;0,1,0)</f>
        <v>0</v>
      </c>
      <c r="H318">
        <f>IF(COUNTIFS('United Data'!$A$3:$A$3390,H$1,'United Data'!$C$3:$C$3390,$A318)&gt;0,1,0)</f>
        <v>0</v>
      </c>
      <c r="I318">
        <f>IF(COUNTIFS('United Data'!$A$3:$A$3390,I$1,'United Data'!$C$3:$C$3390,$A318)&gt;0,1,0)</f>
        <v>0</v>
      </c>
      <c r="J318">
        <f>IF(COUNTIFS('United Data'!$A$3:$A$3390,J$1,'United Data'!$C$3:$C$3390,$A318)&gt;0,1,0)</f>
        <v>0</v>
      </c>
      <c r="K318">
        <f>IF(COUNTIFS('United Data'!$A$3:$A$3390,K$1,'United Data'!$C$3:$C$3390,$A318)&gt;0,1,0)</f>
        <v>0</v>
      </c>
      <c r="L318">
        <f>IF(COUNTIFS('United Data'!$A$3:$A$3390,L$1,'United Data'!$C$3:$C$3390,$A318)&gt;0,1,0)</f>
        <v>1</v>
      </c>
      <c r="M318">
        <f>IF(COUNTIFS('United Data'!$A$3:$A$3390,M$1,'United Data'!$C$3:$C$3390,$A318)&gt;0,1,0)</f>
        <v>0</v>
      </c>
      <c r="N318">
        <f>IF(COUNTIFS('United Data'!$A$3:$A$3390,N$1,'United Data'!$C$3:$C$3390,$A318)&gt;0,1,0)</f>
        <v>0</v>
      </c>
      <c r="O318">
        <f>IF(COUNTIFS('United Data'!$A$3:$A$3390,O$1,'United Data'!$C$3:$C$3390,$A318)&gt;0,1,0)</f>
        <v>0</v>
      </c>
      <c r="P318">
        <f>IF(COUNTIFS('United Data'!$A$3:$A$3390,P$1,'United Data'!$C$3:$C$3390,$A318)&gt;0,1,0)</f>
        <v>0</v>
      </c>
      <c r="Q318">
        <f>IF(COUNTIFS('United Data'!$A$3:$A$3390,Q$1,'United Data'!$C$3:$C$3390,$A318)&gt;0,1,0)</f>
        <v>0</v>
      </c>
      <c r="R318">
        <f>IF(COUNTIFS('United Data'!$A$3:$A$3390,R$1,'United Data'!$C$3:$C$3390,$A318)&gt;0,1,0)</f>
        <v>0</v>
      </c>
      <c r="S318">
        <f t="shared" si="8"/>
        <v>1</v>
      </c>
      <c r="T318">
        <f t="shared" si="9"/>
        <v>1</v>
      </c>
    </row>
    <row r="319" spans="1:20" x14ac:dyDescent="0.2">
      <c r="A319" t="s">
        <v>408</v>
      </c>
      <c r="B319">
        <f>IF(COUNTIFS('United Data'!$A$3:$A$3390,B$1,'United Data'!$C$3:$C$3390,$A319)&gt;0,1,0)</f>
        <v>0</v>
      </c>
      <c r="C319">
        <f>IF(COUNTIFS('United Data'!$A$3:$A$3390,C$1,'United Data'!$C$3:$C$3390,$A319)&gt;0,1,0)</f>
        <v>0</v>
      </c>
      <c r="D319">
        <f>IF(COUNTIFS('United Data'!$A$3:$A$3390,D$1,'United Data'!$C$3:$C$3390,$A319)&gt;0,1,0)</f>
        <v>0</v>
      </c>
      <c r="E319">
        <f>IF(COUNTIFS('United Data'!$A$3:$A$3390,E$1,'United Data'!$C$3:$C$3390,$A319)&gt;0,1,0)</f>
        <v>0</v>
      </c>
      <c r="F319">
        <f>IF(COUNTIFS('United Data'!$A$3:$A$3390,F$1,'United Data'!$C$3:$C$3390,$A319)&gt;0,1,0)</f>
        <v>0</v>
      </c>
      <c r="G319">
        <f>IF(COUNTIFS('United Data'!$A$3:$A$3390,G$1,'United Data'!$C$3:$C$3390,$A319)&gt;0,1,0)</f>
        <v>0</v>
      </c>
      <c r="H319">
        <f>IF(COUNTIFS('United Data'!$A$3:$A$3390,H$1,'United Data'!$C$3:$C$3390,$A319)&gt;0,1,0)</f>
        <v>0</v>
      </c>
      <c r="I319">
        <f>IF(COUNTIFS('United Data'!$A$3:$A$3390,I$1,'United Data'!$C$3:$C$3390,$A319)&gt;0,1,0)</f>
        <v>0</v>
      </c>
      <c r="J319">
        <f>IF(COUNTIFS('United Data'!$A$3:$A$3390,J$1,'United Data'!$C$3:$C$3390,$A319)&gt;0,1,0)</f>
        <v>0</v>
      </c>
      <c r="K319">
        <f>IF(COUNTIFS('United Data'!$A$3:$A$3390,K$1,'United Data'!$C$3:$C$3390,$A319)&gt;0,1,0)</f>
        <v>0</v>
      </c>
      <c r="L319">
        <f>IF(COUNTIFS('United Data'!$A$3:$A$3390,L$1,'United Data'!$C$3:$C$3390,$A319)&gt;0,1,0)</f>
        <v>0</v>
      </c>
      <c r="M319">
        <f>IF(COUNTIFS('United Data'!$A$3:$A$3390,M$1,'United Data'!$C$3:$C$3390,$A319)&gt;0,1,0)</f>
        <v>1</v>
      </c>
      <c r="N319">
        <f>IF(COUNTIFS('United Data'!$A$3:$A$3390,N$1,'United Data'!$C$3:$C$3390,$A319)&gt;0,1,0)</f>
        <v>0</v>
      </c>
      <c r="O319">
        <f>IF(COUNTIFS('United Data'!$A$3:$A$3390,O$1,'United Data'!$C$3:$C$3390,$A319)&gt;0,1,0)</f>
        <v>1</v>
      </c>
      <c r="P319">
        <f>IF(COUNTIFS('United Data'!$A$3:$A$3390,P$1,'United Data'!$C$3:$C$3390,$A319)&gt;0,1,0)</f>
        <v>0</v>
      </c>
      <c r="Q319">
        <f>IF(COUNTIFS('United Data'!$A$3:$A$3390,Q$1,'United Data'!$C$3:$C$3390,$A319)&gt;0,1,0)</f>
        <v>0</v>
      </c>
      <c r="R319">
        <f>IF(COUNTIFS('United Data'!$A$3:$A$3390,R$1,'United Data'!$C$3:$C$3390,$A319)&gt;0,1,0)</f>
        <v>0</v>
      </c>
      <c r="S319">
        <f t="shared" si="8"/>
        <v>2</v>
      </c>
      <c r="T319">
        <f t="shared" si="9"/>
        <v>2</v>
      </c>
    </row>
    <row r="320" spans="1:20" x14ac:dyDescent="0.2">
      <c r="A320" t="s">
        <v>409</v>
      </c>
      <c r="B320">
        <f>IF(COUNTIFS('United Data'!$A$3:$A$3390,B$1,'United Data'!$C$3:$C$3390,$A320)&gt;0,1,0)</f>
        <v>0</v>
      </c>
      <c r="C320">
        <f>IF(COUNTIFS('United Data'!$A$3:$A$3390,C$1,'United Data'!$C$3:$C$3390,$A320)&gt;0,1,0)</f>
        <v>0</v>
      </c>
      <c r="D320">
        <f>IF(COUNTIFS('United Data'!$A$3:$A$3390,D$1,'United Data'!$C$3:$C$3390,$A320)&gt;0,1,0)</f>
        <v>0</v>
      </c>
      <c r="E320">
        <f>IF(COUNTIFS('United Data'!$A$3:$A$3390,E$1,'United Data'!$C$3:$C$3390,$A320)&gt;0,1,0)</f>
        <v>0</v>
      </c>
      <c r="F320">
        <f>IF(COUNTIFS('United Data'!$A$3:$A$3390,F$1,'United Data'!$C$3:$C$3390,$A320)&gt;0,1,0)</f>
        <v>0</v>
      </c>
      <c r="G320">
        <f>IF(COUNTIFS('United Data'!$A$3:$A$3390,G$1,'United Data'!$C$3:$C$3390,$A320)&gt;0,1,0)</f>
        <v>0</v>
      </c>
      <c r="H320">
        <f>IF(COUNTIFS('United Data'!$A$3:$A$3390,H$1,'United Data'!$C$3:$C$3390,$A320)&gt;0,1,0)</f>
        <v>0</v>
      </c>
      <c r="I320">
        <f>IF(COUNTIFS('United Data'!$A$3:$A$3390,I$1,'United Data'!$C$3:$C$3390,$A320)&gt;0,1,0)</f>
        <v>0</v>
      </c>
      <c r="J320">
        <f>IF(COUNTIFS('United Data'!$A$3:$A$3390,J$1,'United Data'!$C$3:$C$3390,$A320)&gt;0,1,0)</f>
        <v>0</v>
      </c>
      <c r="K320">
        <f>IF(COUNTIFS('United Data'!$A$3:$A$3390,K$1,'United Data'!$C$3:$C$3390,$A320)&gt;0,1,0)</f>
        <v>0</v>
      </c>
      <c r="L320">
        <f>IF(COUNTIFS('United Data'!$A$3:$A$3390,L$1,'United Data'!$C$3:$C$3390,$A320)&gt;0,1,0)</f>
        <v>0</v>
      </c>
      <c r="M320">
        <f>IF(COUNTIFS('United Data'!$A$3:$A$3390,M$1,'United Data'!$C$3:$C$3390,$A320)&gt;0,1,0)</f>
        <v>1</v>
      </c>
      <c r="N320">
        <f>IF(COUNTIFS('United Data'!$A$3:$A$3390,N$1,'United Data'!$C$3:$C$3390,$A320)&gt;0,1,0)</f>
        <v>0</v>
      </c>
      <c r="O320">
        <f>IF(COUNTIFS('United Data'!$A$3:$A$3390,O$1,'United Data'!$C$3:$C$3390,$A320)&gt;0,1,0)</f>
        <v>0</v>
      </c>
      <c r="P320">
        <f>IF(COUNTIFS('United Data'!$A$3:$A$3390,P$1,'United Data'!$C$3:$C$3390,$A320)&gt;0,1,0)</f>
        <v>0</v>
      </c>
      <c r="Q320">
        <f>IF(COUNTIFS('United Data'!$A$3:$A$3390,Q$1,'United Data'!$C$3:$C$3390,$A320)&gt;0,1,0)</f>
        <v>0</v>
      </c>
      <c r="R320">
        <f>IF(COUNTIFS('United Data'!$A$3:$A$3390,R$1,'United Data'!$C$3:$C$3390,$A320)&gt;0,1,0)</f>
        <v>0</v>
      </c>
      <c r="S320">
        <f t="shared" si="8"/>
        <v>1</v>
      </c>
      <c r="T320">
        <f t="shared" si="9"/>
        <v>1</v>
      </c>
    </row>
    <row r="321" spans="1:20" x14ac:dyDescent="0.2">
      <c r="A321" t="s">
        <v>410</v>
      </c>
      <c r="B321">
        <f>IF(COUNTIFS('United Data'!$A$3:$A$3390,B$1,'United Data'!$C$3:$C$3390,$A321)&gt;0,1,0)</f>
        <v>0</v>
      </c>
      <c r="C321">
        <f>IF(COUNTIFS('United Data'!$A$3:$A$3390,C$1,'United Data'!$C$3:$C$3390,$A321)&gt;0,1,0)</f>
        <v>0</v>
      </c>
      <c r="D321">
        <f>IF(COUNTIFS('United Data'!$A$3:$A$3390,D$1,'United Data'!$C$3:$C$3390,$A321)&gt;0,1,0)</f>
        <v>0</v>
      </c>
      <c r="E321">
        <f>IF(COUNTIFS('United Data'!$A$3:$A$3390,E$1,'United Data'!$C$3:$C$3390,$A321)&gt;0,1,0)</f>
        <v>0</v>
      </c>
      <c r="F321">
        <f>IF(COUNTIFS('United Data'!$A$3:$A$3390,F$1,'United Data'!$C$3:$C$3390,$A321)&gt;0,1,0)</f>
        <v>0</v>
      </c>
      <c r="G321">
        <f>IF(COUNTIFS('United Data'!$A$3:$A$3390,G$1,'United Data'!$C$3:$C$3390,$A321)&gt;0,1,0)</f>
        <v>0</v>
      </c>
      <c r="H321">
        <f>IF(COUNTIFS('United Data'!$A$3:$A$3390,H$1,'United Data'!$C$3:$C$3390,$A321)&gt;0,1,0)</f>
        <v>0</v>
      </c>
      <c r="I321">
        <f>IF(COUNTIFS('United Data'!$A$3:$A$3390,I$1,'United Data'!$C$3:$C$3390,$A321)&gt;0,1,0)</f>
        <v>0</v>
      </c>
      <c r="J321">
        <f>IF(COUNTIFS('United Data'!$A$3:$A$3390,J$1,'United Data'!$C$3:$C$3390,$A321)&gt;0,1,0)</f>
        <v>0</v>
      </c>
      <c r="K321">
        <f>IF(COUNTIFS('United Data'!$A$3:$A$3390,K$1,'United Data'!$C$3:$C$3390,$A321)&gt;0,1,0)</f>
        <v>0</v>
      </c>
      <c r="L321">
        <f>IF(COUNTIFS('United Data'!$A$3:$A$3390,L$1,'United Data'!$C$3:$C$3390,$A321)&gt;0,1,0)</f>
        <v>0</v>
      </c>
      <c r="M321">
        <f>IF(COUNTIFS('United Data'!$A$3:$A$3390,M$1,'United Data'!$C$3:$C$3390,$A321)&gt;0,1,0)</f>
        <v>1</v>
      </c>
      <c r="N321">
        <f>IF(COUNTIFS('United Data'!$A$3:$A$3390,N$1,'United Data'!$C$3:$C$3390,$A321)&gt;0,1,0)</f>
        <v>0</v>
      </c>
      <c r="O321">
        <f>IF(COUNTIFS('United Data'!$A$3:$A$3390,O$1,'United Data'!$C$3:$C$3390,$A321)&gt;0,1,0)</f>
        <v>0</v>
      </c>
      <c r="P321">
        <f>IF(COUNTIFS('United Data'!$A$3:$A$3390,P$1,'United Data'!$C$3:$C$3390,$A321)&gt;0,1,0)</f>
        <v>0</v>
      </c>
      <c r="Q321">
        <f>IF(COUNTIFS('United Data'!$A$3:$A$3390,Q$1,'United Data'!$C$3:$C$3390,$A321)&gt;0,1,0)</f>
        <v>0</v>
      </c>
      <c r="R321">
        <f>IF(COUNTIFS('United Data'!$A$3:$A$3390,R$1,'United Data'!$C$3:$C$3390,$A321)&gt;0,1,0)</f>
        <v>0</v>
      </c>
      <c r="S321">
        <f t="shared" si="8"/>
        <v>1</v>
      </c>
      <c r="T321">
        <f t="shared" si="9"/>
        <v>1</v>
      </c>
    </row>
    <row r="322" spans="1:20" x14ac:dyDescent="0.2">
      <c r="A322" t="s">
        <v>411</v>
      </c>
      <c r="B322">
        <f>IF(COUNTIFS('United Data'!$A$3:$A$3390,B$1,'United Data'!$C$3:$C$3390,$A322)&gt;0,1,0)</f>
        <v>0</v>
      </c>
      <c r="C322">
        <f>IF(COUNTIFS('United Data'!$A$3:$A$3390,C$1,'United Data'!$C$3:$C$3390,$A322)&gt;0,1,0)</f>
        <v>0</v>
      </c>
      <c r="D322">
        <f>IF(COUNTIFS('United Data'!$A$3:$A$3390,D$1,'United Data'!$C$3:$C$3390,$A322)&gt;0,1,0)</f>
        <v>0</v>
      </c>
      <c r="E322">
        <f>IF(COUNTIFS('United Data'!$A$3:$A$3390,E$1,'United Data'!$C$3:$C$3390,$A322)&gt;0,1,0)</f>
        <v>0</v>
      </c>
      <c r="F322">
        <f>IF(COUNTIFS('United Data'!$A$3:$A$3390,F$1,'United Data'!$C$3:$C$3390,$A322)&gt;0,1,0)</f>
        <v>0</v>
      </c>
      <c r="G322">
        <f>IF(COUNTIFS('United Data'!$A$3:$A$3390,G$1,'United Data'!$C$3:$C$3390,$A322)&gt;0,1,0)</f>
        <v>0</v>
      </c>
      <c r="H322">
        <f>IF(COUNTIFS('United Data'!$A$3:$A$3390,H$1,'United Data'!$C$3:$C$3390,$A322)&gt;0,1,0)</f>
        <v>0</v>
      </c>
      <c r="I322">
        <f>IF(COUNTIFS('United Data'!$A$3:$A$3390,I$1,'United Data'!$C$3:$C$3390,$A322)&gt;0,1,0)</f>
        <v>0</v>
      </c>
      <c r="J322">
        <f>IF(COUNTIFS('United Data'!$A$3:$A$3390,J$1,'United Data'!$C$3:$C$3390,$A322)&gt;0,1,0)</f>
        <v>0</v>
      </c>
      <c r="K322">
        <f>IF(COUNTIFS('United Data'!$A$3:$A$3390,K$1,'United Data'!$C$3:$C$3390,$A322)&gt;0,1,0)</f>
        <v>0</v>
      </c>
      <c r="L322">
        <f>IF(COUNTIFS('United Data'!$A$3:$A$3390,L$1,'United Data'!$C$3:$C$3390,$A322)&gt;0,1,0)</f>
        <v>0</v>
      </c>
      <c r="M322">
        <f>IF(COUNTIFS('United Data'!$A$3:$A$3390,M$1,'United Data'!$C$3:$C$3390,$A322)&gt;0,1,0)</f>
        <v>1</v>
      </c>
      <c r="N322">
        <f>IF(COUNTIFS('United Data'!$A$3:$A$3390,N$1,'United Data'!$C$3:$C$3390,$A322)&gt;0,1,0)</f>
        <v>0</v>
      </c>
      <c r="O322">
        <f>IF(COUNTIFS('United Data'!$A$3:$A$3390,O$1,'United Data'!$C$3:$C$3390,$A322)&gt;0,1,0)</f>
        <v>0</v>
      </c>
      <c r="P322">
        <f>IF(COUNTIFS('United Data'!$A$3:$A$3390,P$1,'United Data'!$C$3:$C$3390,$A322)&gt;0,1,0)</f>
        <v>0</v>
      </c>
      <c r="Q322">
        <f>IF(COUNTIFS('United Data'!$A$3:$A$3390,Q$1,'United Data'!$C$3:$C$3390,$A322)&gt;0,1,0)</f>
        <v>0</v>
      </c>
      <c r="R322">
        <f>IF(COUNTIFS('United Data'!$A$3:$A$3390,R$1,'United Data'!$C$3:$C$3390,$A322)&gt;0,1,0)</f>
        <v>0</v>
      </c>
      <c r="S322">
        <f t="shared" ref="S322:S385" si="10">SUM(B322:R322)</f>
        <v>1</v>
      </c>
      <c r="T322">
        <f t="shared" ref="T322:T385" si="11">B322+SUMPRODUCT(--(C322:R322&gt;B322:Q322))</f>
        <v>1</v>
      </c>
    </row>
    <row r="323" spans="1:20" x14ac:dyDescent="0.2">
      <c r="A323" t="s">
        <v>412</v>
      </c>
      <c r="B323">
        <f>IF(COUNTIFS('United Data'!$A$3:$A$3390,B$1,'United Data'!$C$3:$C$3390,$A323)&gt;0,1,0)</f>
        <v>0</v>
      </c>
      <c r="C323">
        <f>IF(COUNTIFS('United Data'!$A$3:$A$3390,C$1,'United Data'!$C$3:$C$3390,$A323)&gt;0,1,0)</f>
        <v>0</v>
      </c>
      <c r="D323">
        <f>IF(COUNTIFS('United Data'!$A$3:$A$3390,D$1,'United Data'!$C$3:$C$3390,$A323)&gt;0,1,0)</f>
        <v>0</v>
      </c>
      <c r="E323">
        <f>IF(COUNTIFS('United Data'!$A$3:$A$3390,E$1,'United Data'!$C$3:$C$3390,$A323)&gt;0,1,0)</f>
        <v>0</v>
      </c>
      <c r="F323">
        <f>IF(COUNTIFS('United Data'!$A$3:$A$3390,F$1,'United Data'!$C$3:$C$3390,$A323)&gt;0,1,0)</f>
        <v>0</v>
      </c>
      <c r="G323">
        <f>IF(COUNTIFS('United Data'!$A$3:$A$3390,G$1,'United Data'!$C$3:$C$3390,$A323)&gt;0,1,0)</f>
        <v>0</v>
      </c>
      <c r="H323">
        <f>IF(COUNTIFS('United Data'!$A$3:$A$3390,H$1,'United Data'!$C$3:$C$3390,$A323)&gt;0,1,0)</f>
        <v>0</v>
      </c>
      <c r="I323">
        <f>IF(COUNTIFS('United Data'!$A$3:$A$3390,I$1,'United Data'!$C$3:$C$3390,$A323)&gt;0,1,0)</f>
        <v>0</v>
      </c>
      <c r="J323">
        <f>IF(COUNTIFS('United Data'!$A$3:$A$3390,J$1,'United Data'!$C$3:$C$3390,$A323)&gt;0,1,0)</f>
        <v>0</v>
      </c>
      <c r="K323">
        <f>IF(COUNTIFS('United Data'!$A$3:$A$3390,K$1,'United Data'!$C$3:$C$3390,$A323)&gt;0,1,0)</f>
        <v>0</v>
      </c>
      <c r="L323">
        <f>IF(COUNTIFS('United Data'!$A$3:$A$3390,L$1,'United Data'!$C$3:$C$3390,$A323)&gt;0,1,0)</f>
        <v>0</v>
      </c>
      <c r="M323">
        <f>IF(COUNTIFS('United Data'!$A$3:$A$3390,M$1,'United Data'!$C$3:$C$3390,$A323)&gt;0,1,0)</f>
        <v>0</v>
      </c>
      <c r="N323">
        <f>IF(COUNTIFS('United Data'!$A$3:$A$3390,N$1,'United Data'!$C$3:$C$3390,$A323)&gt;0,1,0)</f>
        <v>1</v>
      </c>
      <c r="O323">
        <f>IF(COUNTIFS('United Data'!$A$3:$A$3390,O$1,'United Data'!$C$3:$C$3390,$A323)&gt;0,1,0)</f>
        <v>0</v>
      </c>
      <c r="P323">
        <f>IF(COUNTIFS('United Data'!$A$3:$A$3390,P$1,'United Data'!$C$3:$C$3390,$A323)&gt;0,1,0)</f>
        <v>0</v>
      </c>
      <c r="Q323">
        <f>IF(COUNTIFS('United Data'!$A$3:$A$3390,Q$1,'United Data'!$C$3:$C$3390,$A323)&gt;0,1,0)</f>
        <v>0</v>
      </c>
      <c r="R323">
        <f>IF(COUNTIFS('United Data'!$A$3:$A$3390,R$1,'United Data'!$C$3:$C$3390,$A323)&gt;0,1,0)</f>
        <v>0</v>
      </c>
      <c r="S323">
        <f t="shared" si="10"/>
        <v>1</v>
      </c>
      <c r="T323">
        <f t="shared" si="11"/>
        <v>1</v>
      </c>
    </row>
    <row r="324" spans="1:20" x14ac:dyDescent="0.2">
      <c r="A324" t="s">
        <v>413</v>
      </c>
      <c r="B324">
        <f>IF(COUNTIFS('United Data'!$A$3:$A$3390,B$1,'United Data'!$C$3:$C$3390,$A324)&gt;0,1,0)</f>
        <v>0</v>
      </c>
      <c r="C324">
        <f>IF(COUNTIFS('United Data'!$A$3:$A$3390,C$1,'United Data'!$C$3:$C$3390,$A324)&gt;0,1,0)</f>
        <v>0</v>
      </c>
      <c r="D324">
        <f>IF(COUNTIFS('United Data'!$A$3:$A$3390,D$1,'United Data'!$C$3:$C$3390,$A324)&gt;0,1,0)</f>
        <v>0</v>
      </c>
      <c r="E324">
        <f>IF(COUNTIFS('United Data'!$A$3:$A$3390,E$1,'United Data'!$C$3:$C$3390,$A324)&gt;0,1,0)</f>
        <v>0</v>
      </c>
      <c r="F324">
        <f>IF(COUNTIFS('United Data'!$A$3:$A$3390,F$1,'United Data'!$C$3:$C$3390,$A324)&gt;0,1,0)</f>
        <v>0</v>
      </c>
      <c r="G324">
        <f>IF(COUNTIFS('United Data'!$A$3:$A$3390,G$1,'United Data'!$C$3:$C$3390,$A324)&gt;0,1,0)</f>
        <v>0</v>
      </c>
      <c r="H324">
        <f>IF(COUNTIFS('United Data'!$A$3:$A$3390,H$1,'United Data'!$C$3:$C$3390,$A324)&gt;0,1,0)</f>
        <v>0</v>
      </c>
      <c r="I324">
        <f>IF(COUNTIFS('United Data'!$A$3:$A$3390,I$1,'United Data'!$C$3:$C$3390,$A324)&gt;0,1,0)</f>
        <v>0</v>
      </c>
      <c r="J324">
        <f>IF(COUNTIFS('United Data'!$A$3:$A$3390,J$1,'United Data'!$C$3:$C$3390,$A324)&gt;0,1,0)</f>
        <v>0</v>
      </c>
      <c r="K324">
        <f>IF(COUNTIFS('United Data'!$A$3:$A$3390,K$1,'United Data'!$C$3:$C$3390,$A324)&gt;0,1,0)</f>
        <v>0</v>
      </c>
      <c r="L324">
        <f>IF(COUNTIFS('United Data'!$A$3:$A$3390,L$1,'United Data'!$C$3:$C$3390,$A324)&gt;0,1,0)</f>
        <v>0</v>
      </c>
      <c r="M324">
        <f>IF(COUNTIFS('United Data'!$A$3:$A$3390,M$1,'United Data'!$C$3:$C$3390,$A324)&gt;0,1,0)</f>
        <v>0</v>
      </c>
      <c r="N324">
        <f>IF(COUNTIFS('United Data'!$A$3:$A$3390,N$1,'United Data'!$C$3:$C$3390,$A324)&gt;0,1,0)</f>
        <v>1</v>
      </c>
      <c r="O324">
        <f>IF(COUNTIFS('United Data'!$A$3:$A$3390,O$1,'United Data'!$C$3:$C$3390,$A324)&gt;0,1,0)</f>
        <v>0</v>
      </c>
      <c r="P324">
        <f>IF(COUNTIFS('United Data'!$A$3:$A$3390,P$1,'United Data'!$C$3:$C$3390,$A324)&gt;0,1,0)</f>
        <v>0</v>
      </c>
      <c r="Q324">
        <f>IF(COUNTIFS('United Data'!$A$3:$A$3390,Q$1,'United Data'!$C$3:$C$3390,$A324)&gt;0,1,0)</f>
        <v>0</v>
      </c>
      <c r="R324">
        <f>IF(COUNTIFS('United Data'!$A$3:$A$3390,R$1,'United Data'!$C$3:$C$3390,$A324)&gt;0,1,0)</f>
        <v>0</v>
      </c>
      <c r="S324">
        <f t="shared" si="10"/>
        <v>1</v>
      </c>
      <c r="T324">
        <f t="shared" si="11"/>
        <v>1</v>
      </c>
    </row>
    <row r="325" spans="1:20" x14ac:dyDescent="0.2">
      <c r="A325" t="s">
        <v>414</v>
      </c>
      <c r="B325">
        <f>IF(COUNTIFS('United Data'!$A$3:$A$3390,B$1,'United Data'!$C$3:$C$3390,$A325)&gt;0,1,0)</f>
        <v>0</v>
      </c>
      <c r="C325">
        <f>IF(COUNTIFS('United Data'!$A$3:$A$3390,C$1,'United Data'!$C$3:$C$3390,$A325)&gt;0,1,0)</f>
        <v>0</v>
      </c>
      <c r="D325">
        <f>IF(COUNTIFS('United Data'!$A$3:$A$3390,D$1,'United Data'!$C$3:$C$3390,$A325)&gt;0,1,0)</f>
        <v>0</v>
      </c>
      <c r="E325">
        <f>IF(COUNTIFS('United Data'!$A$3:$A$3390,E$1,'United Data'!$C$3:$C$3390,$A325)&gt;0,1,0)</f>
        <v>0</v>
      </c>
      <c r="F325">
        <f>IF(COUNTIFS('United Data'!$A$3:$A$3390,F$1,'United Data'!$C$3:$C$3390,$A325)&gt;0,1,0)</f>
        <v>0</v>
      </c>
      <c r="G325">
        <f>IF(COUNTIFS('United Data'!$A$3:$A$3390,G$1,'United Data'!$C$3:$C$3390,$A325)&gt;0,1,0)</f>
        <v>0</v>
      </c>
      <c r="H325">
        <f>IF(COUNTIFS('United Data'!$A$3:$A$3390,H$1,'United Data'!$C$3:$C$3390,$A325)&gt;0,1,0)</f>
        <v>0</v>
      </c>
      <c r="I325">
        <f>IF(COUNTIFS('United Data'!$A$3:$A$3390,I$1,'United Data'!$C$3:$C$3390,$A325)&gt;0,1,0)</f>
        <v>0</v>
      </c>
      <c r="J325">
        <f>IF(COUNTIFS('United Data'!$A$3:$A$3390,J$1,'United Data'!$C$3:$C$3390,$A325)&gt;0,1,0)</f>
        <v>0</v>
      </c>
      <c r="K325">
        <f>IF(COUNTIFS('United Data'!$A$3:$A$3390,K$1,'United Data'!$C$3:$C$3390,$A325)&gt;0,1,0)</f>
        <v>0</v>
      </c>
      <c r="L325">
        <f>IF(COUNTIFS('United Data'!$A$3:$A$3390,L$1,'United Data'!$C$3:$C$3390,$A325)&gt;0,1,0)</f>
        <v>0</v>
      </c>
      <c r="M325">
        <f>IF(COUNTIFS('United Data'!$A$3:$A$3390,M$1,'United Data'!$C$3:$C$3390,$A325)&gt;0,1,0)</f>
        <v>0</v>
      </c>
      <c r="N325">
        <f>IF(COUNTIFS('United Data'!$A$3:$A$3390,N$1,'United Data'!$C$3:$C$3390,$A325)&gt;0,1,0)</f>
        <v>1</v>
      </c>
      <c r="O325">
        <f>IF(COUNTIFS('United Data'!$A$3:$A$3390,O$1,'United Data'!$C$3:$C$3390,$A325)&gt;0,1,0)</f>
        <v>0</v>
      </c>
      <c r="P325">
        <f>IF(COUNTIFS('United Data'!$A$3:$A$3390,P$1,'United Data'!$C$3:$C$3390,$A325)&gt;0,1,0)</f>
        <v>0</v>
      </c>
      <c r="Q325">
        <f>IF(COUNTIFS('United Data'!$A$3:$A$3390,Q$1,'United Data'!$C$3:$C$3390,$A325)&gt;0,1,0)</f>
        <v>0</v>
      </c>
      <c r="R325">
        <f>IF(COUNTIFS('United Data'!$A$3:$A$3390,R$1,'United Data'!$C$3:$C$3390,$A325)&gt;0,1,0)</f>
        <v>0</v>
      </c>
      <c r="S325">
        <f t="shared" si="10"/>
        <v>1</v>
      </c>
      <c r="T325">
        <f t="shared" si="11"/>
        <v>1</v>
      </c>
    </row>
    <row r="326" spans="1:20" x14ac:dyDescent="0.2">
      <c r="A326" t="s">
        <v>415</v>
      </c>
      <c r="B326">
        <f>IF(COUNTIFS('United Data'!$A$3:$A$3390,B$1,'United Data'!$C$3:$C$3390,$A326)&gt;0,1,0)</f>
        <v>0</v>
      </c>
      <c r="C326">
        <f>IF(COUNTIFS('United Data'!$A$3:$A$3390,C$1,'United Data'!$C$3:$C$3390,$A326)&gt;0,1,0)</f>
        <v>0</v>
      </c>
      <c r="D326">
        <f>IF(COUNTIFS('United Data'!$A$3:$A$3390,D$1,'United Data'!$C$3:$C$3390,$A326)&gt;0,1,0)</f>
        <v>0</v>
      </c>
      <c r="E326">
        <f>IF(COUNTIFS('United Data'!$A$3:$A$3390,E$1,'United Data'!$C$3:$C$3390,$A326)&gt;0,1,0)</f>
        <v>0</v>
      </c>
      <c r="F326">
        <f>IF(COUNTIFS('United Data'!$A$3:$A$3390,F$1,'United Data'!$C$3:$C$3390,$A326)&gt;0,1,0)</f>
        <v>0</v>
      </c>
      <c r="G326">
        <f>IF(COUNTIFS('United Data'!$A$3:$A$3390,G$1,'United Data'!$C$3:$C$3390,$A326)&gt;0,1,0)</f>
        <v>0</v>
      </c>
      <c r="H326">
        <f>IF(COUNTIFS('United Data'!$A$3:$A$3390,H$1,'United Data'!$C$3:$C$3390,$A326)&gt;0,1,0)</f>
        <v>0</v>
      </c>
      <c r="I326">
        <f>IF(COUNTIFS('United Data'!$A$3:$A$3390,I$1,'United Data'!$C$3:$C$3390,$A326)&gt;0,1,0)</f>
        <v>0</v>
      </c>
      <c r="J326">
        <f>IF(COUNTIFS('United Data'!$A$3:$A$3390,J$1,'United Data'!$C$3:$C$3390,$A326)&gt;0,1,0)</f>
        <v>0</v>
      </c>
      <c r="K326">
        <f>IF(COUNTIFS('United Data'!$A$3:$A$3390,K$1,'United Data'!$C$3:$C$3390,$A326)&gt;0,1,0)</f>
        <v>0</v>
      </c>
      <c r="L326">
        <f>IF(COUNTIFS('United Data'!$A$3:$A$3390,L$1,'United Data'!$C$3:$C$3390,$A326)&gt;0,1,0)</f>
        <v>0</v>
      </c>
      <c r="M326">
        <f>IF(COUNTIFS('United Data'!$A$3:$A$3390,M$1,'United Data'!$C$3:$C$3390,$A326)&gt;0,1,0)</f>
        <v>0</v>
      </c>
      <c r="N326">
        <f>IF(COUNTIFS('United Data'!$A$3:$A$3390,N$1,'United Data'!$C$3:$C$3390,$A326)&gt;0,1,0)</f>
        <v>1</v>
      </c>
      <c r="O326">
        <f>IF(COUNTIFS('United Data'!$A$3:$A$3390,O$1,'United Data'!$C$3:$C$3390,$A326)&gt;0,1,0)</f>
        <v>0</v>
      </c>
      <c r="P326">
        <f>IF(COUNTIFS('United Data'!$A$3:$A$3390,P$1,'United Data'!$C$3:$C$3390,$A326)&gt;0,1,0)</f>
        <v>0</v>
      </c>
      <c r="Q326">
        <f>IF(COUNTIFS('United Data'!$A$3:$A$3390,Q$1,'United Data'!$C$3:$C$3390,$A326)&gt;0,1,0)</f>
        <v>0</v>
      </c>
      <c r="R326">
        <f>IF(COUNTIFS('United Data'!$A$3:$A$3390,R$1,'United Data'!$C$3:$C$3390,$A326)&gt;0,1,0)</f>
        <v>0</v>
      </c>
      <c r="S326">
        <f t="shared" si="10"/>
        <v>1</v>
      </c>
      <c r="T326">
        <f t="shared" si="11"/>
        <v>1</v>
      </c>
    </row>
    <row r="327" spans="1:20" x14ac:dyDescent="0.2">
      <c r="A327" t="s">
        <v>416</v>
      </c>
      <c r="B327">
        <f>IF(COUNTIFS('United Data'!$A$3:$A$3390,B$1,'United Data'!$C$3:$C$3390,$A327)&gt;0,1,0)</f>
        <v>0</v>
      </c>
      <c r="C327">
        <f>IF(COUNTIFS('United Data'!$A$3:$A$3390,C$1,'United Data'!$C$3:$C$3390,$A327)&gt;0,1,0)</f>
        <v>0</v>
      </c>
      <c r="D327">
        <f>IF(COUNTIFS('United Data'!$A$3:$A$3390,D$1,'United Data'!$C$3:$C$3390,$A327)&gt;0,1,0)</f>
        <v>0</v>
      </c>
      <c r="E327">
        <f>IF(COUNTIFS('United Data'!$A$3:$A$3390,E$1,'United Data'!$C$3:$C$3390,$A327)&gt;0,1,0)</f>
        <v>0</v>
      </c>
      <c r="F327">
        <f>IF(COUNTIFS('United Data'!$A$3:$A$3390,F$1,'United Data'!$C$3:$C$3390,$A327)&gt;0,1,0)</f>
        <v>0</v>
      </c>
      <c r="G327">
        <f>IF(COUNTIFS('United Data'!$A$3:$A$3390,G$1,'United Data'!$C$3:$C$3390,$A327)&gt;0,1,0)</f>
        <v>0</v>
      </c>
      <c r="H327">
        <f>IF(COUNTIFS('United Data'!$A$3:$A$3390,H$1,'United Data'!$C$3:$C$3390,$A327)&gt;0,1,0)</f>
        <v>0</v>
      </c>
      <c r="I327">
        <f>IF(COUNTIFS('United Data'!$A$3:$A$3390,I$1,'United Data'!$C$3:$C$3390,$A327)&gt;0,1,0)</f>
        <v>0</v>
      </c>
      <c r="J327">
        <f>IF(COUNTIFS('United Data'!$A$3:$A$3390,J$1,'United Data'!$C$3:$C$3390,$A327)&gt;0,1,0)</f>
        <v>0</v>
      </c>
      <c r="K327">
        <f>IF(COUNTIFS('United Data'!$A$3:$A$3390,K$1,'United Data'!$C$3:$C$3390,$A327)&gt;0,1,0)</f>
        <v>0</v>
      </c>
      <c r="L327">
        <f>IF(COUNTIFS('United Data'!$A$3:$A$3390,L$1,'United Data'!$C$3:$C$3390,$A327)&gt;0,1,0)</f>
        <v>0</v>
      </c>
      <c r="M327">
        <f>IF(COUNTIFS('United Data'!$A$3:$A$3390,M$1,'United Data'!$C$3:$C$3390,$A327)&gt;0,1,0)</f>
        <v>0</v>
      </c>
      <c r="N327">
        <f>IF(COUNTIFS('United Data'!$A$3:$A$3390,N$1,'United Data'!$C$3:$C$3390,$A327)&gt;0,1,0)</f>
        <v>0</v>
      </c>
      <c r="O327">
        <f>IF(COUNTIFS('United Data'!$A$3:$A$3390,O$1,'United Data'!$C$3:$C$3390,$A327)&gt;0,1,0)</f>
        <v>1</v>
      </c>
      <c r="P327">
        <f>IF(COUNTIFS('United Data'!$A$3:$A$3390,P$1,'United Data'!$C$3:$C$3390,$A327)&gt;0,1,0)</f>
        <v>1</v>
      </c>
      <c r="Q327">
        <f>IF(COUNTIFS('United Data'!$A$3:$A$3390,Q$1,'United Data'!$C$3:$C$3390,$A327)&gt;0,1,0)</f>
        <v>1</v>
      </c>
      <c r="R327">
        <f>IF(COUNTIFS('United Data'!$A$3:$A$3390,R$1,'United Data'!$C$3:$C$3390,$A327)&gt;0,1,0)</f>
        <v>0</v>
      </c>
      <c r="S327">
        <f t="shared" si="10"/>
        <v>3</v>
      </c>
      <c r="T327">
        <f t="shared" si="11"/>
        <v>1</v>
      </c>
    </row>
    <row r="328" spans="1:20" x14ac:dyDescent="0.2">
      <c r="A328" t="s">
        <v>417</v>
      </c>
      <c r="B328">
        <f>IF(COUNTIFS('United Data'!$A$3:$A$3390,B$1,'United Data'!$C$3:$C$3390,$A328)&gt;0,1,0)</f>
        <v>0</v>
      </c>
      <c r="C328">
        <f>IF(COUNTIFS('United Data'!$A$3:$A$3390,C$1,'United Data'!$C$3:$C$3390,$A328)&gt;0,1,0)</f>
        <v>0</v>
      </c>
      <c r="D328">
        <f>IF(COUNTIFS('United Data'!$A$3:$A$3390,D$1,'United Data'!$C$3:$C$3390,$A328)&gt;0,1,0)</f>
        <v>0</v>
      </c>
      <c r="E328">
        <f>IF(COUNTIFS('United Data'!$A$3:$A$3390,E$1,'United Data'!$C$3:$C$3390,$A328)&gt;0,1,0)</f>
        <v>0</v>
      </c>
      <c r="F328">
        <f>IF(COUNTIFS('United Data'!$A$3:$A$3390,F$1,'United Data'!$C$3:$C$3390,$A328)&gt;0,1,0)</f>
        <v>0</v>
      </c>
      <c r="G328">
        <f>IF(COUNTIFS('United Data'!$A$3:$A$3390,G$1,'United Data'!$C$3:$C$3390,$A328)&gt;0,1,0)</f>
        <v>0</v>
      </c>
      <c r="H328">
        <f>IF(COUNTIFS('United Data'!$A$3:$A$3390,H$1,'United Data'!$C$3:$C$3390,$A328)&gt;0,1,0)</f>
        <v>0</v>
      </c>
      <c r="I328">
        <f>IF(COUNTIFS('United Data'!$A$3:$A$3390,I$1,'United Data'!$C$3:$C$3390,$A328)&gt;0,1,0)</f>
        <v>0</v>
      </c>
      <c r="J328">
        <f>IF(COUNTIFS('United Data'!$A$3:$A$3390,J$1,'United Data'!$C$3:$C$3390,$A328)&gt;0,1,0)</f>
        <v>0</v>
      </c>
      <c r="K328">
        <f>IF(COUNTIFS('United Data'!$A$3:$A$3390,K$1,'United Data'!$C$3:$C$3390,$A328)&gt;0,1,0)</f>
        <v>0</v>
      </c>
      <c r="L328">
        <f>IF(COUNTIFS('United Data'!$A$3:$A$3390,L$1,'United Data'!$C$3:$C$3390,$A328)&gt;0,1,0)</f>
        <v>0</v>
      </c>
      <c r="M328">
        <f>IF(COUNTIFS('United Data'!$A$3:$A$3390,M$1,'United Data'!$C$3:$C$3390,$A328)&gt;0,1,0)</f>
        <v>0</v>
      </c>
      <c r="N328">
        <f>IF(COUNTIFS('United Data'!$A$3:$A$3390,N$1,'United Data'!$C$3:$C$3390,$A328)&gt;0,1,0)</f>
        <v>0</v>
      </c>
      <c r="O328">
        <f>IF(COUNTIFS('United Data'!$A$3:$A$3390,O$1,'United Data'!$C$3:$C$3390,$A328)&gt;0,1,0)</f>
        <v>1</v>
      </c>
      <c r="P328">
        <f>IF(COUNTIFS('United Data'!$A$3:$A$3390,P$1,'United Data'!$C$3:$C$3390,$A328)&gt;0,1,0)</f>
        <v>0</v>
      </c>
      <c r="Q328">
        <f>IF(COUNTIFS('United Data'!$A$3:$A$3390,Q$1,'United Data'!$C$3:$C$3390,$A328)&gt;0,1,0)</f>
        <v>0</v>
      </c>
      <c r="R328">
        <f>IF(COUNTIFS('United Data'!$A$3:$A$3390,R$1,'United Data'!$C$3:$C$3390,$A328)&gt;0,1,0)</f>
        <v>0</v>
      </c>
      <c r="S328">
        <f t="shared" si="10"/>
        <v>1</v>
      </c>
      <c r="T328">
        <f t="shared" si="11"/>
        <v>1</v>
      </c>
    </row>
    <row r="329" spans="1:20" x14ac:dyDescent="0.2">
      <c r="A329" t="s">
        <v>418</v>
      </c>
      <c r="B329">
        <f>IF(COUNTIFS('United Data'!$A$3:$A$3390,B$1,'United Data'!$C$3:$C$3390,$A329)&gt;0,1,0)</f>
        <v>0</v>
      </c>
      <c r="C329">
        <f>IF(COUNTIFS('United Data'!$A$3:$A$3390,C$1,'United Data'!$C$3:$C$3390,$A329)&gt;0,1,0)</f>
        <v>0</v>
      </c>
      <c r="D329">
        <f>IF(COUNTIFS('United Data'!$A$3:$A$3390,D$1,'United Data'!$C$3:$C$3390,$A329)&gt;0,1,0)</f>
        <v>0</v>
      </c>
      <c r="E329">
        <f>IF(COUNTIFS('United Data'!$A$3:$A$3390,E$1,'United Data'!$C$3:$C$3390,$A329)&gt;0,1,0)</f>
        <v>0</v>
      </c>
      <c r="F329">
        <f>IF(COUNTIFS('United Data'!$A$3:$A$3390,F$1,'United Data'!$C$3:$C$3390,$A329)&gt;0,1,0)</f>
        <v>0</v>
      </c>
      <c r="G329">
        <f>IF(COUNTIFS('United Data'!$A$3:$A$3390,G$1,'United Data'!$C$3:$C$3390,$A329)&gt;0,1,0)</f>
        <v>0</v>
      </c>
      <c r="H329">
        <f>IF(COUNTIFS('United Data'!$A$3:$A$3390,H$1,'United Data'!$C$3:$C$3390,$A329)&gt;0,1,0)</f>
        <v>0</v>
      </c>
      <c r="I329">
        <f>IF(COUNTIFS('United Data'!$A$3:$A$3390,I$1,'United Data'!$C$3:$C$3390,$A329)&gt;0,1,0)</f>
        <v>0</v>
      </c>
      <c r="J329">
        <f>IF(COUNTIFS('United Data'!$A$3:$A$3390,J$1,'United Data'!$C$3:$C$3390,$A329)&gt;0,1,0)</f>
        <v>0</v>
      </c>
      <c r="K329">
        <f>IF(COUNTIFS('United Data'!$A$3:$A$3390,K$1,'United Data'!$C$3:$C$3390,$A329)&gt;0,1,0)</f>
        <v>0</v>
      </c>
      <c r="L329">
        <f>IF(COUNTIFS('United Data'!$A$3:$A$3390,L$1,'United Data'!$C$3:$C$3390,$A329)&gt;0,1,0)</f>
        <v>0</v>
      </c>
      <c r="M329">
        <f>IF(COUNTIFS('United Data'!$A$3:$A$3390,M$1,'United Data'!$C$3:$C$3390,$A329)&gt;0,1,0)</f>
        <v>0</v>
      </c>
      <c r="N329">
        <f>IF(COUNTIFS('United Data'!$A$3:$A$3390,N$1,'United Data'!$C$3:$C$3390,$A329)&gt;0,1,0)</f>
        <v>0</v>
      </c>
      <c r="O329">
        <f>IF(COUNTIFS('United Data'!$A$3:$A$3390,O$1,'United Data'!$C$3:$C$3390,$A329)&gt;0,1,0)</f>
        <v>1</v>
      </c>
      <c r="P329">
        <f>IF(COUNTIFS('United Data'!$A$3:$A$3390,P$1,'United Data'!$C$3:$C$3390,$A329)&gt;0,1,0)</f>
        <v>0</v>
      </c>
      <c r="Q329">
        <f>IF(COUNTIFS('United Data'!$A$3:$A$3390,Q$1,'United Data'!$C$3:$C$3390,$A329)&gt;0,1,0)</f>
        <v>0</v>
      </c>
      <c r="R329">
        <f>IF(COUNTIFS('United Data'!$A$3:$A$3390,R$1,'United Data'!$C$3:$C$3390,$A329)&gt;0,1,0)</f>
        <v>0</v>
      </c>
      <c r="S329">
        <f t="shared" si="10"/>
        <v>1</v>
      </c>
      <c r="T329">
        <f t="shared" si="11"/>
        <v>1</v>
      </c>
    </row>
    <row r="330" spans="1:20" x14ac:dyDescent="0.2">
      <c r="A330" t="s">
        <v>419</v>
      </c>
      <c r="B330">
        <f>IF(COUNTIFS('United Data'!$A$3:$A$3390,B$1,'United Data'!$C$3:$C$3390,$A330)&gt;0,1,0)</f>
        <v>0</v>
      </c>
      <c r="C330">
        <f>IF(COUNTIFS('United Data'!$A$3:$A$3390,C$1,'United Data'!$C$3:$C$3390,$A330)&gt;0,1,0)</f>
        <v>0</v>
      </c>
      <c r="D330">
        <f>IF(COUNTIFS('United Data'!$A$3:$A$3390,D$1,'United Data'!$C$3:$C$3390,$A330)&gt;0,1,0)</f>
        <v>0</v>
      </c>
      <c r="E330">
        <f>IF(COUNTIFS('United Data'!$A$3:$A$3390,E$1,'United Data'!$C$3:$C$3390,$A330)&gt;0,1,0)</f>
        <v>0</v>
      </c>
      <c r="F330">
        <f>IF(COUNTIFS('United Data'!$A$3:$A$3390,F$1,'United Data'!$C$3:$C$3390,$A330)&gt;0,1,0)</f>
        <v>0</v>
      </c>
      <c r="G330">
        <f>IF(COUNTIFS('United Data'!$A$3:$A$3390,G$1,'United Data'!$C$3:$C$3390,$A330)&gt;0,1,0)</f>
        <v>0</v>
      </c>
      <c r="H330">
        <f>IF(COUNTIFS('United Data'!$A$3:$A$3390,H$1,'United Data'!$C$3:$C$3390,$A330)&gt;0,1,0)</f>
        <v>0</v>
      </c>
      <c r="I330">
        <f>IF(COUNTIFS('United Data'!$A$3:$A$3390,I$1,'United Data'!$C$3:$C$3390,$A330)&gt;0,1,0)</f>
        <v>0</v>
      </c>
      <c r="J330">
        <f>IF(COUNTIFS('United Data'!$A$3:$A$3390,J$1,'United Data'!$C$3:$C$3390,$A330)&gt;0,1,0)</f>
        <v>0</v>
      </c>
      <c r="K330">
        <f>IF(COUNTIFS('United Data'!$A$3:$A$3390,K$1,'United Data'!$C$3:$C$3390,$A330)&gt;0,1,0)</f>
        <v>0</v>
      </c>
      <c r="L330">
        <f>IF(COUNTIFS('United Data'!$A$3:$A$3390,L$1,'United Data'!$C$3:$C$3390,$A330)&gt;0,1,0)</f>
        <v>0</v>
      </c>
      <c r="M330">
        <f>IF(COUNTIFS('United Data'!$A$3:$A$3390,M$1,'United Data'!$C$3:$C$3390,$A330)&gt;0,1,0)</f>
        <v>0</v>
      </c>
      <c r="N330">
        <f>IF(COUNTIFS('United Data'!$A$3:$A$3390,N$1,'United Data'!$C$3:$C$3390,$A330)&gt;0,1,0)</f>
        <v>0</v>
      </c>
      <c r="O330">
        <f>IF(COUNTIFS('United Data'!$A$3:$A$3390,O$1,'United Data'!$C$3:$C$3390,$A330)&gt;0,1,0)</f>
        <v>1</v>
      </c>
      <c r="P330">
        <f>IF(COUNTIFS('United Data'!$A$3:$A$3390,P$1,'United Data'!$C$3:$C$3390,$A330)&gt;0,1,0)</f>
        <v>0</v>
      </c>
      <c r="Q330">
        <f>IF(COUNTIFS('United Data'!$A$3:$A$3390,Q$1,'United Data'!$C$3:$C$3390,$A330)&gt;0,1,0)</f>
        <v>0</v>
      </c>
      <c r="R330">
        <f>IF(COUNTIFS('United Data'!$A$3:$A$3390,R$1,'United Data'!$C$3:$C$3390,$A330)&gt;0,1,0)</f>
        <v>0</v>
      </c>
      <c r="S330">
        <f t="shared" si="10"/>
        <v>1</v>
      </c>
      <c r="T330">
        <f t="shared" si="11"/>
        <v>1</v>
      </c>
    </row>
    <row r="331" spans="1:20" x14ac:dyDescent="0.2">
      <c r="A331" t="s">
        <v>420</v>
      </c>
      <c r="B331">
        <f>IF(COUNTIFS('United Data'!$A$3:$A$3390,B$1,'United Data'!$C$3:$C$3390,$A331)&gt;0,1,0)</f>
        <v>0</v>
      </c>
      <c r="C331">
        <f>IF(COUNTIFS('United Data'!$A$3:$A$3390,C$1,'United Data'!$C$3:$C$3390,$A331)&gt;0,1,0)</f>
        <v>0</v>
      </c>
      <c r="D331">
        <f>IF(COUNTIFS('United Data'!$A$3:$A$3390,D$1,'United Data'!$C$3:$C$3390,$A331)&gt;0,1,0)</f>
        <v>0</v>
      </c>
      <c r="E331">
        <f>IF(COUNTIFS('United Data'!$A$3:$A$3390,E$1,'United Data'!$C$3:$C$3390,$A331)&gt;0,1,0)</f>
        <v>0</v>
      </c>
      <c r="F331">
        <f>IF(COUNTIFS('United Data'!$A$3:$A$3390,F$1,'United Data'!$C$3:$C$3390,$A331)&gt;0,1,0)</f>
        <v>0</v>
      </c>
      <c r="G331">
        <f>IF(COUNTIFS('United Data'!$A$3:$A$3390,G$1,'United Data'!$C$3:$C$3390,$A331)&gt;0,1,0)</f>
        <v>0</v>
      </c>
      <c r="H331">
        <f>IF(COUNTIFS('United Data'!$A$3:$A$3390,H$1,'United Data'!$C$3:$C$3390,$A331)&gt;0,1,0)</f>
        <v>0</v>
      </c>
      <c r="I331">
        <f>IF(COUNTIFS('United Data'!$A$3:$A$3390,I$1,'United Data'!$C$3:$C$3390,$A331)&gt;0,1,0)</f>
        <v>0</v>
      </c>
      <c r="J331">
        <f>IF(COUNTIFS('United Data'!$A$3:$A$3390,J$1,'United Data'!$C$3:$C$3390,$A331)&gt;0,1,0)</f>
        <v>0</v>
      </c>
      <c r="K331">
        <f>IF(COUNTIFS('United Data'!$A$3:$A$3390,K$1,'United Data'!$C$3:$C$3390,$A331)&gt;0,1,0)</f>
        <v>0</v>
      </c>
      <c r="L331">
        <f>IF(COUNTIFS('United Data'!$A$3:$A$3390,L$1,'United Data'!$C$3:$C$3390,$A331)&gt;0,1,0)</f>
        <v>0</v>
      </c>
      <c r="M331">
        <f>IF(COUNTIFS('United Data'!$A$3:$A$3390,M$1,'United Data'!$C$3:$C$3390,$A331)&gt;0,1,0)</f>
        <v>0</v>
      </c>
      <c r="N331">
        <f>IF(COUNTIFS('United Data'!$A$3:$A$3390,N$1,'United Data'!$C$3:$C$3390,$A331)&gt;0,1,0)</f>
        <v>0</v>
      </c>
      <c r="O331">
        <f>IF(COUNTIFS('United Data'!$A$3:$A$3390,O$1,'United Data'!$C$3:$C$3390,$A331)&gt;0,1,0)</f>
        <v>1</v>
      </c>
      <c r="P331">
        <f>IF(COUNTIFS('United Data'!$A$3:$A$3390,P$1,'United Data'!$C$3:$C$3390,$A331)&gt;0,1,0)</f>
        <v>0</v>
      </c>
      <c r="Q331">
        <f>IF(COUNTIFS('United Data'!$A$3:$A$3390,Q$1,'United Data'!$C$3:$C$3390,$A331)&gt;0,1,0)</f>
        <v>0</v>
      </c>
      <c r="R331">
        <f>IF(COUNTIFS('United Data'!$A$3:$A$3390,R$1,'United Data'!$C$3:$C$3390,$A331)&gt;0,1,0)</f>
        <v>0</v>
      </c>
      <c r="S331">
        <f t="shared" si="10"/>
        <v>1</v>
      </c>
      <c r="T331">
        <f t="shared" si="11"/>
        <v>1</v>
      </c>
    </row>
    <row r="332" spans="1:20" x14ac:dyDescent="0.2">
      <c r="A332" t="s">
        <v>421</v>
      </c>
      <c r="B332">
        <f>IF(COUNTIFS('United Data'!$A$3:$A$3390,B$1,'United Data'!$C$3:$C$3390,$A332)&gt;0,1,0)</f>
        <v>0</v>
      </c>
      <c r="C332">
        <f>IF(COUNTIFS('United Data'!$A$3:$A$3390,C$1,'United Data'!$C$3:$C$3390,$A332)&gt;0,1,0)</f>
        <v>0</v>
      </c>
      <c r="D332">
        <f>IF(COUNTIFS('United Data'!$A$3:$A$3390,D$1,'United Data'!$C$3:$C$3390,$A332)&gt;0,1,0)</f>
        <v>0</v>
      </c>
      <c r="E332">
        <f>IF(COUNTIFS('United Data'!$A$3:$A$3390,E$1,'United Data'!$C$3:$C$3390,$A332)&gt;0,1,0)</f>
        <v>0</v>
      </c>
      <c r="F332">
        <f>IF(COUNTIFS('United Data'!$A$3:$A$3390,F$1,'United Data'!$C$3:$C$3390,$A332)&gt;0,1,0)</f>
        <v>0</v>
      </c>
      <c r="G332">
        <f>IF(COUNTIFS('United Data'!$A$3:$A$3390,G$1,'United Data'!$C$3:$C$3390,$A332)&gt;0,1,0)</f>
        <v>0</v>
      </c>
      <c r="H332">
        <f>IF(COUNTIFS('United Data'!$A$3:$A$3390,H$1,'United Data'!$C$3:$C$3390,$A332)&gt;0,1,0)</f>
        <v>0</v>
      </c>
      <c r="I332">
        <f>IF(COUNTIFS('United Data'!$A$3:$A$3390,I$1,'United Data'!$C$3:$C$3390,$A332)&gt;0,1,0)</f>
        <v>0</v>
      </c>
      <c r="J332">
        <f>IF(COUNTIFS('United Data'!$A$3:$A$3390,J$1,'United Data'!$C$3:$C$3390,$A332)&gt;0,1,0)</f>
        <v>0</v>
      </c>
      <c r="K332">
        <f>IF(COUNTIFS('United Data'!$A$3:$A$3390,K$1,'United Data'!$C$3:$C$3390,$A332)&gt;0,1,0)</f>
        <v>0</v>
      </c>
      <c r="L332">
        <f>IF(COUNTIFS('United Data'!$A$3:$A$3390,L$1,'United Data'!$C$3:$C$3390,$A332)&gt;0,1,0)</f>
        <v>0</v>
      </c>
      <c r="M332">
        <f>IF(COUNTIFS('United Data'!$A$3:$A$3390,M$1,'United Data'!$C$3:$C$3390,$A332)&gt;0,1,0)</f>
        <v>0</v>
      </c>
      <c r="N332">
        <f>IF(COUNTIFS('United Data'!$A$3:$A$3390,N$1,'United Data'!$C$3:$C$3390,$A332)&gt;0,1,0)</f>
        <v>0</v>
      </c>
      <c r="O332">
        <f>IF(COUNTIFS('United Data'!$A$3:$A$3390,O$1,'United Data'!$C$3:$C$3390,$A332)&gt;0,1,0)</f>
        <v>1</v>
      </c>
      <c r="P332">
        <f>IF(COUNTIFS('United Data'!$A$3:$A$3390,P$1,'United Data'!$C$3:$C$3390,$A332)&gt;0,1,0)</f>
        <v>0</v>
      </c>
      <c r="Q332">
        <f>IF(COUNTIFS('United Data'!$A$3:$A$3390,Q$1,'United Data'!$C$3:$C$3390,$A332)&gt;0,1,0)</f>
        <v>0</v>
      </c>
      <c r="R332">
        <f>IF(COUNTIFS('United Data'!$A$3:$A$3390,R$1,'United Data'!$C$3:$C$3390,$A332)&gt;0,1,0)</f>
        <v>0</v>
      </c>
      <c r="S332">
        <f t="shared" si="10"/>
        <v>1</v>
      </c>
      <c r="T332">
        <f t="shared" si="11"/>
        <v>1</v>
      </c>
    </row>
    <row r="333" spans="1:20" x14ac:dyDescent="0.2">
      <c r="A333" t="s">
        <v>422</v>
      </c>
      <c r="B333">
        <f>IF(COUNTIFS('United Data'!$A$3:$A$3390,B$1,'United Data'!$C$3:$C$3390,$A333)&gt;0,1,0)</f>
        <v>0</v>
      </c>
      <c r="C333">
        <f>IF(COUNTIFS('United Data'!$A$3:$A$3390,C$1,'United Data'!$C$3:$C$3390,$A333)&gt;0,1,0)</f>
        <v>0</v>
      </c>
      <c r="D333">
        <f>IF(COUNTIFS('United Data'!$A$3:$A$3390,D$1,'United Data'!$C$3:$C$3390,$A333)&gt;0,1,0)</f>
        <v>0</v>
      </c>
      <c r="E333">
        <f>IF(COUNTIFS('United Data'!$A$3:$A$3390,E$1,'United Data'!$C$3:$C$3390,$A333)&gt;0,1,0)</f>
        <v>0</v>
      </c>
      <c r="F333">
        <f>IF(COUNTIFS('United Data'!$A$3:$A$3390,F$1,'United Data'!$C$3:$C$3390,$A333)&gt;0,1,0)</f>
        <v>0</v>
      </c>
      <c r="G333">
        <f>IF(COUNTIFS('United Data'!$A$3:$A$3390,G$1,'United Data'!$C$3:$C$3390,$A333)&gt;0,1,0)</f>
        <v>0</v>
      </c>
      <c r="H333">
        <f>IF(COUNTIFS('United Data'!$A$3:$A$3390,H$1,'United Data'!$C$3:$C$3390,$A333)&gt;0,1,0)</f>
        <v>0</v>
      </c>
      <c r="I333">
        <f>IF(COUNTIFS('United Data'!$A$3:$A$3390,I$1,'United Data'!$C$3:$C$3390,$A333)&gt;0,1,0)</f>
        <v>0</v>
      </c>
      <c r="J333">
        <f>IF(COUNTIFS('United Data'!$A$3:$A$3390,J$1,'United Data'!$C$3:$C$3390,$A333)&gt;0,1,0)</f>
        <v>0</v>
      </c>
      <c r="K333">
        <f>IF(COUNTIFS('United Data'!$A$3:$A$3390,K$1,'United Data'!$C$3:$C$3390,$A333)&gt;0,1,0)</f>
        <v>0</v>
      </c>
      <c r="L333">
        <f>IF(COUNTIFS('United Data'!$A$3:$A$3390,L$1,'United Data'!$C$3:$C$3390,$A333)&gt;0,1,0)</f>
        <v>0</v>
      </c>
      <c r="M333">
        <f>IF(COUNTIFS('United Data'!$A$3:$A$3390,M$1,'United Data'!$C$3:$C$3390,$A333)&gt;0,1,0)</f>
        <v>0</v>
      </c>
      <c r="N333">
        <f>IF(COUNTIFS('United Data'!$A$3:$A$3390,N$1,'United Data'!$C$3:$C$3390,$A333)&gt;0,1,0)</f>
        <v>0</v>
      </c>
      <c r="O333">
        <f>IF(COUNTIFS('United Data'!$A$3:$A$3390,O$1,'United Data'!$C$3:$C$3390,$A333)&gt;0,1,0)</f>
        <v>1</v>
      </c>
      <c r="P333">
        <f>IF(COUNTIFS('United Data'!$A$3:$A$3390,P$1,'United Data'!$C$3:$C$3390,$A333)&gt;0,1,0)</f>
        <v>0</v>
      </c>
      <c r="Q333">
        <f>IF(COUNTIFS('United Data'!$A$3:$A$3390,Q$1,'United Data'!$C$3:$C$3390,$A333)&gt;0,1,0)</f>
        <v>0</v>
      </c>
      <c r="R333">
        <f>IF(COUNTIFS('United Data'!$A$3:$A$3390,R$1,'United Data'!$C$3:$C$3390,$A333)&gt;0,1,0)</f>
        <v>0</v>
      </c>
      <c r="S333">
        <f t="shared" si="10"/>
        <v>1</v>
      </c>
      <c r="T333">
        <f t="shared" si="11"/>
        <v>1</v>
      </c>
    </row>
    <row r="334" spans="1:20" x14ac:dyDescent="0.2">
      <c r="A334" t="s">
        <v>423</v>
      </c>
      <c r="B334">
        <f>IF(COUNTIFS('United Data'!$A$3:$A$3390,B$1,'United Data'!$C$3:$C$3390,$A334)&gt;0,1,0)</f>
        <v>0</v>
      </c>
      <c r="C334">
        <f>IF(COUNTIFS('United Data'!$A$3:$A$3390,C$1,'United Data'!$C$3:$C$3390,$A334)&gt;0,1,0)</f>
        <v>0</v>
      </c>
      <c r="D334">
        <f>IF(COUNTIFS('United Data'!$A$3:$A$3390,D$1,'United Data'!$C$3:$C$3390,$A334)&gt;0,1,0)</f>
        <v>0</v>
      </c>
      <c r="E334">
        <f>IF(COUNTIFS('United Data'!$A$3:$A$3390,E$1,'United Data'!$C$3:$C$3390,$A334)&gt;0,1,0)</f>
        <v>0</v>
      </c>
      <c r="F334">
        <f>IF(COUNTIFS('United Data'!$A$3:$A$3390,F$1,'United Data'!$C$3:$C$3390,$A334)&gt;0,1,0)</f>
        <v>0</v>
      </c>
      <c r="G334">
        <f>IF(COUNTIFS('United Data'!$A$3:$A$3390,G$1,'United Data'!$C$3:$C$3390,$A334)&gt;0,1,0)</f>
        <v>0</v>
      </c>
      <c r="H334">
        <f>IF(COUNTIFS('United Data'!$A$3:$A$3390,H$1,'United Data'!$C$3:$C$3390,$A334)&gt;0,1,0)</f>
        <v>0</v>
      </c>
      <c r="I334">
        <f>IF(COUNTIFS('United Data'!$A$3:$A$3390,I$1,'United Data'!$C$3:$C$3390,$A334)&gt;0,1,0)</f>
        <v>0</v>
      </c>
      <c r="J334">
        <f>IF(COUNTIFS('United Data'!$A$3:$A$3390,J$1,'United Data'!$C$3:$C$3390,$A334)&gt;0,1,0)</f>
        <v>0</v>
      </c>
      <c r="K334">
        <f>IF(COUNTIFS('United Data'!$A$3:$A$3390,K$1,'United Data'!$C$3:$C$3390,$A334)&gt;0,1,0)</f>
        <v>0</v>
      </c>
      <c r="L334">
        <f>IF(COUNTIFS('United Data'!$A$3:$A$3390,L$1,'United Data'!$C$3:$C$3390,$A334)&gt;0,1,0)</f>
        <v>0</v>
      </c>
      <c r="M334">
        <f>IF(COUNTIFS('United Data'!$A$3:$A$3390,M$1,'United Data'!$C$3:$C$3390,$A334)&gt;0,1,0)</f>
        <v>0</v>
      </c>
      <c r="N334">
        <f>IF(COUNTIFS('United Data'!$A$3:$A$3390,N$1,'United Data'!$C$3:$C$3390,$A334)&gt;0,1,0)</f>
        <v>0</v>
      </c>
      <c r="O334">
        <f>IF(COUNTIFS('United Data'!$A$3:$A$3390,O$1,'United Data'!$C$3:$C$3390,$A334)&gt;0,1,0)</f>
        <v>1</v>
      </c>
      <c r="P334">
        <f>IF(COUNTIFS('United Data'!$A$3:$A$3390,P$1,'United Data'!$C$3:$C$3390,$A334)&gt;0,1,0)</f>
        <v>0</v>
      </c>
      <c r="Q334">
        <f>IF(COUNTIFS('United Data'!$A$3:$A$3390,Q$1,'United Data'!$C$3:$C$3390,$A334)&gt;0,1,0)</f>
        <v>0</v>
      </c>
      <c r="R334">
        <f>IF(COUNTIFS('United Data'!$A$3:$A$3390,R$1,'United Data'!$C$3:$C$3390,$A334)&gt;0,1,0)</f>
        <v>0</v>
      </c>
      <c r="S334">
        <f t="shared" si="10"/>
        <v>1</v>
      </c>
      <c r="T334">
        <f t="shared" si="11"/>
        <v>1</v>
      </c>
    </row>
    <row r="335" spans="1:20" x14ac:dyDescent="0.2">
      <c r="A335" t="s">
        <v>424</v>
      </c>
      <c r="B335">
        <f>IF(COUNTIFS('United Data'!$A$3:$A$3390,B$1,'United Data'!$C$3:$C$3390,$A335)&gt;0,1,0)</f>
        <v>0</v>
      </c>
      <c r="C335">
        <f>IF(COUNTIFS('United Data'!$A$3:$A$3390,C$1,'United Data'!$C$3:$C$3390,$A335)&gt;0,1,0)</f>
        <v>0</v>
      </c>
      <c r="D335">
        <f>IF(COUNTIFS('United Data'!$A$3:$A$3390,D$1,'United Data'!$C$3:$C$3390,$A335)&gt;0,1,0)</f>
        <v>0</v>
      </c>
      <c r="E335">
        <f>IF(COUNTIFS('United Data'!$A$3:$A$3390,E$1,'United Data'!$C$3:$C$3390,$A335)&gt;0,1,0)</f>
        <v>0</v>
      </c>
      <c r="F335">
        <f>IF(COUNTIFS('United Data'!$A$3:$A$3390,F$1,'United Data'!$C$3:$C$3390,$A335)&gt;0,1,0)</f>
        <v>0</v>
      </c>
      <c r="G335">
        <f>IF(COUNTIFS('United Data'!$A$3:$A$3390,G$1,'United Data'!$C$3:$C$3390,$A335)&gt;0,1,0)</f>
        <v>0</v>
      </c>
      <c r="H335">
        <f>IF(COUNTIFS('United Data'!$A$3:$A$3390,H$1,'United Data'!$C$3:$C$3390,$A335)&gt;0,1,0)</f>
        <v>0</v>
      </c>
      <c r="I335">
        <f>IF(COUNTIFS('United Data'!$A$3:$A$3390,I$1,'United Data'!$C$3:$C$3390,$A335)&gt;0,1,0)</f>
        <v>0</v>
      </c>
      <c r="J335">
        <f>IF(COUNTIFS('United Data'!$A$3:$A$3390,J$1,'United Data'!$C$3:$C$3390,$A335)&gt;0,1,0)</f>
        <v>0</v>
      </c>
      <c r="K335">
        <f>IF(COUNTIFS('United Data'!$A$3:$A$3390,K$1,'United Data'!$C$3:$C$3390,$A335)&gt;0,1,0)</f>
        <v>0</v>
      </c>
      <c r="L335">
        <f>IF(COUNTIFS('United Data'!$A$3:$A$3390,L$1,'United Data'!$C$3:$C$3390,$A335)&gt;0,1,0)</f>
        <v>0</v>
      </c>
      <c r="M335">
        <f>IF(COUNTIFS('United Data'!$A$3:$A$3390,M$1,'United Data'!$C$3:$C$3390,$A335)&gt;0,1,0)</f>
        <v>0</v>
      </c>
      <c r="N335">
        <f>IF(COUNTIFS('United Data'!$A$3:$A$3390,N$1,'United Data'!$C$3:$C$3390,$A335)&gt;0,1,0)</f>
        <v>0</v>
      </c>
      <c r="O335">
        <f>IF(COUNTIFS('United Data'!$A$3:$A$3390,O$1,'United Data'!$C$3:$C$3390,$A335)&gt;0,1,0)</f>
        <v>1</v>
      </c>
      <c r="P335">
        <f>IF(COUNTIFS('United Data'!$A$3:$A$3390,P$1,'United Data'!$C$3:$C$3390,$A335)&gt;0,1,0)</f>
        <v>0</v>
      </c>
      <c r="Q335">
        <f>IF(COUNTIFS('United Data'!$A$3:$A$3390,Q$1,'United Data'!$C$3:$C$3390,$A335)&gt;0,1,0)</f>
        <v>0</v>
      </c>
      <c r="R335">
        <f>IF(COUNTIFS('United Data'!$A$3:$A$3390,R$1,'United Data'!$C$3:$C$3390,$A335)&gt;0,1,0)</f>
        <v>0</v>
      </c>
      <c r="S335">
        <f t="shared" si="10"/>
        <v>1</v>
      </c>
      <c r="T335">
        <f t="shared" si="11"/>
        <v>1</v>
      </c>
    </row>
    <row r="336" spans="1:20" x14ac:dyDescent="0.2">
      <c r="A336" t="s">
        <v>425</v>
      </c>
      <c r="B336">
        <f>IF(COUNTIFS('United Data'!$A$3:$A$3390,B$1,'United Data'!$C$3:$C$3390,$A336)&gt;0,1,0)</f>
        <v>0</v>
      </c>
      <c r="C336">
        <f>IF(COUNTIFS('United Data'!$A$3:$A$3390,C$1,'United Data'!$C$3:$C$3390,$A336)&gt;0,1,0)</f>
        <v>0</v>
      </c>
      <c r="D336">
        <f>IF(COUNTIFS('United Data'!$A$3:$A$3390,D$1,'United Data'!$C$3:$C$3390,$A336)&gt;0,1,0)</f>
        <v>0</v>
      </c>
      <c r="E336">
        <f>IF(COUNTIFS('United Data'!$A$3:$A$3390,E$1,'United Data'!$C$3:$C$3390,$A336)&gt;0,1,0)</f>
        <v>0</v>
      </c>
      <c r="F336">
        <f>IF(COUNTIFS('United Data'!$A$3:$A$3390,F$1,'United Data'!$C$3:$C$3390,$A336)&gt;0,1,0)</f>
        <v>0</v>
      </c>
      <c r="G336">
        <f>IF(COUNTIFS('United Data'!$A$3:$A$3390,G$1,'United Data'!$C$3:$C$3390,$A336)&gt;0,1,0)</f>
        <v>0</v>
      </c>
      <c r="H336">
        <f>IF(COUNTIFS('United Data'!$A$3:$A$3390,H$1,'United Data'!$C$3:$C$3390,$A336)&gt;0,1,0)</f>
        <v>0</v>
      </c>
      <c r="I336">
        <f>IF(COUNTIFS('United Data'!$A$3:$A$3390,I$1,'United Data'!$C$3:$C$3390,$A336)&gt;0,1,0)</f>
        <v>0</v>
      </c>
      <c r="J336">
        <f>IF(COUNTIFS('United Data'!$A$3:$A$3390,J$1,'United Data'!$C$3:$C$3390,$A336)&gt;0,1,0)</f>
        <v>0</v>
      </c>
      <c r="K336">
        <f>IF(COUNTIFS('United Data'!$A$3:$A$3390,K$1,'United Data'!$C$3:$C$3390,$A336)&gt;0,1,0)</f>
        <v>0</v>
      </c>
      <c r="L336">
        <f>IF(COUNTIFS('United Data'!$A$3:$A$3390,L$1,'United Data'!$C$3:$C$3390,$A336)&gt;0,1,0)</f>
        <v>0</v>
      </c>
      <c r="M336">
        <f>IF(COUNTIFS('United Data'!$A$3:$A$3390,M$1,'United Data'!$C$3:$C$3390,$A336)&gt;0,1,0)</f>
        <v>0</v>
      </c>
      <c r="N336">
        <f>IF(COUNTIFS('United Data'!$A$3:$A$3390,N$1,'United Data'!$C$3:$C$3390,$A336)&gt;0,1,0)</f>
        <v>0</v>
      </c>
      <c r="O336">
        <f>IF(COUNTIFS('United Data'!$A$3:$A$3390,O$1,'United Data'!$C$3:$C$3390,$A336)&gt;0,1,0)</f>
        <v>1</v>
      </c>
      <c r="P336">
        <f>IF(COUNTIFS('United Data'!$A$3:$A$3390,P$1,'United Data'!$C$3:$C$3390,$A336)&gt;0,1,0)</f>
        <v>0</v>
      </c>
      <c r="Q336">
        <f>IF(COUNTIFS('United Data'!$A$3:$A$3390,Q$1,'United Data'!$C$3:$C$3390,$A336)&gt;0,1,0)</f>
        <v>0</v>
      </c>
      <c r="R336">
        <f>IF(COUNTIFS('United Data'!$A$3:$A$3390,R$1,'United Data'!$C$3:$C$3390,$A336)&gt;0,1,0)</f>
        <v>0</v>
      </c>
      <c r="S336">
        <f t="shared" si="10"/>
        <v>1</v>
      </c>
      <c r="T336">
        <f t="shared" si="11"/>
        <v>1</v>
      </c>
    </row>
    <row r="337" spans="1:20" x14ac:dyDescent="0.2">
      <c r="A337" t="s">
        <v>426</v>
      </c>
      <c r="B337">
        <f>IF(COUNTIFS('United Data'!$A$3:$A$3390,B$1,'United Data'!$C$3:$C$3390,$A337)&gt;0,1,0)</f>
        <v>0</v>
      </c>
      <c r="C337">
        <f>IF(COUNTIFS('United Data'!$A$3:$A$3390,C$1,'United Data'!$C$3:$C$3390,$A337)&gt;0,1,0)</f>
        <v>0</v>
      </c>
      <c r="D337">
        <f>IF(COUNTIFS('United Data'!$A$3:$A$3390,D$1,'United Data'!$C$3:$C$3390,$A337)&gt;0,1,0)</f>
        <v>0</v>
      </c>
      <c r="E337">
        <f>IF(COUNTIFS('United Data'!$A$3:$A$3390,E$1,'United Data'!$C$3:$C$3390,$A337)&gt;0,1,0)</f>
        <v>0</v>
      </c>
      <c r="F337">
        <f>IF(COUNTIFS('United Data'!$A$3:$A$3390,F$1,'United Data'!$C$3:$C$3390,$A337)&gt;0,1,0)</f>
        <v>0</v>
      </c>
      <c r="G337">
        <f>IF(COUNTIFS('United Data'!$A$3:$A$3390,G$1,'United Data'!$C$3:$C$3390,$A337)&gt;0,1,0)</f>
        <v>0</v>
      </c>
      <c r="H337">
        <f>IF(COUNTIFS('United Data'!$A$3:$A$3390,H$1,'United Data'!$C$3:$C$3390,$A337)&gt;0,1,0)</f>
        <v>0</v>
      </c>
      <c r="I337">
        <f>IF(COUNTIFS('United Data'!$A$3:$A$3390,I$1,'United Data'!$C$3:$C$3390,$A337)&gt;0,1,0)</f>
        <v>0</v>
      </c>
      <c r="J337">
        <f>IF(COUNTIFS('United Data'!$A$3:$A$3390,J$1,'United Data'!$C$3:$C$3390,$A337)&gt;0,1,0)</f>
        <v>0</v>
      </c>
      <c r="K337">
        <f>IF(COUNTIFS('United Data'!$A$3:$A$3390,K$1,'United Data'!$C$3:$C$3390,$A337)&gt;0,1,0)</f>
        <v>0</v>
      </c>
      <c r="L337">
        <f>IF(COUNTIFS('United Data'!$A$3:$A$3390,L$1,'United Data'!$C$3:$C$3390,$A337)&gt;0,1,0)</f>
        <v>0</v>
      </c>
      <c r="M337">
        <f>IF(COUNTIFS('United Data'!$A$3:$A$3390,M$1,'United Data'!$C$3:$C$3390,$A337)&gt;0,1,0)</f>
        <v>0</v>
      </c>
      <c r="N337">
        <f>IF(COUNTIFS('United Data'!$A$3:$A$3390,N$1,'United Data'!$C$3:$C$3390,$A337)&gt;0,1,0)</f>
        <v>0</v>
      </c>
      <c r="O337">
        <f>IF(COUNTIFS('United Data'!$A$3:$A$3390,O$1,'United Data'!$C$3:$C$3390,$A337)&gt;0,1,0)</f>
        <v>1</v>
      </c>
      <c r="P337">
        <f>IF(COUNTIFS('United Data'!$A$3:$A$3390,P$1,'United Data'!$C$3:$C$3390,$A337)&gt;0,1,0)</f>
        <v>0</v>
      </c>
      <c r="Q337">
        <f>IF(COUNTIFS('United Data'!$A$3:$A$3390,Q$1,'United Data'!$C$3:$C$3390,$A337)&gt;0,1,0)</f>
        <v>0</v>
      </c>
      <c r="R337">
        <f>IF(COUNTIFS('United Data'!$A$3:$A$3390,R$1,'United Data'!$C$3:$C$3390,$A337)&gt;0,1,0)</f>
        <v>0</v>
      </c>
      <c r="S337">
        <f t="shared" si="10"/>
        <v>1</v>
      </c>
      <c r="T337">
        <f t="shared" si="11"/>
        <v>1</v>
      </c>
    </row>
    <row r="338" spans="1:20" x14ac:dyDescent="0.2">
      <c r="A338" t="s">
        <v>427</v>
      </c>
      <c r="B338">
        <f>IF(COUNTIFS('United Data'!$A$3:$A$3390,B$1,'United Data'!$C$3:$C$3390,$A338)&gt;0,1,0)</f>
        <v>0</v>
      </c>
      <c r="C338">
        <f>IF(COUNTIFS('United Data'!$A$3:$A$3390,C$1,'United Data'!$C$3:$C$3390,$A338)&gt;0,1,0)</f>
        <v>0</v>
      </c>
      <c r="D338">
        <f>IF(COUNTIFS('United Data'!$A$3:$A$3390,D$1,'United Data'!$C$3:$C$3390,$A338)&gt;0,1,0)</f>
        <v>0</v>
      </c>
      <c r="E338">
        <f>IF(COUNTIFS('United Data'!$A$3:$A$3390,E$1,'United Data'!$C$3:$C$3390,$A338)&gt;0,1,0)</f>
        <v>0</v>
      </c>
      <c r="F338">
        <f>IF(COUNTIFS('United Data'!$A$3:$A$3390,F$1,'United Data'!$C$3:$C$3390,$A338)&gt;0,1,0)</f>
        <v>0</v>
      </c>
      <c r="G338">
        <f>IF(COUNTIFS('United Data'!$A$3:$A$3390,G$1,'United Data'!$C$3:$C$3390,$A338)&gt;0,1,0)</f>
        <v>0</v>
      </c>
      <c r="H338">
        <f>IF(COUNTIFS('United Data'!$A$3:$A$3390,H$1,'United Data'!$C$3:$C$3390,$A338)&gt;0,1,0)</f>
        <v>0</v>
      </c>
      <c r="I338">
        <f>IF(COUNTIFS('United Data'!$A$3:$A$3390,I$1,'United Data'!$C$3:$C$3390,$A338)&gt;0,1,0)</f>
        <v>0</v>
      </c>
      <c r="J338">
        <f>IF(COUNTIFS('United Data'!$A$3:$A$3390,J$1,'United Data'!$C$3:$C$3390,$A338)&gt;0,1,0)</f>
        <v>0</v>
      </c>
      <c r="K338">
        <f>IF(COUNTIFS('United Data'!$A$3:$A$3390,K$1,'United Data'!$C$3:$C$3390,$A338)&gt;0,1,0)</f>
        <v>0</v>
      </c>
      <c r="L338">
        <f>IF(COUNTIFS('United Data'!$A$3:$A$3390,L$1,'United Data'!$C$3:$C$3390,$A338)&gt;0,1,0)</f>
        <v>0</v>
      </c>
      <c r="M338">
        <f>IF(COUNTIFS('United Data'!$A$3:$A$3390,M$1,'United Data'!$C$3:$C$3390,$A338)&gt;0,1,0)</f>
        <v>0</v>
      </c>
      <c r="N338">
        <f>IF(COUNTIFS('United Data'!$A$3:$A$3390,N$1,'United Data'!$C$3:$C$3390,$A338)&gt;0,1,0)</f>
        <v>0</v>
      </c>
      <c r="O338">
        <f>IF(COUNTIFS('United Data'!$A$3:$A$3390,O$1,'United Data'!$C$3:$C$3390,$A338)&gt;0,1,0)</f>
        <v>0</v>
      </c>
      <c r="P338">
        <f>IF(COUNTIFS('United Data'!$A$3:$A$3390,P$1,'United Data'!$C$3:$C$3390,$A338)&gt;0,1,0)</f>
        <v>0</v>
      </c>
      <c r="Q338">
        <f>IF(COUNTIFS('United Data'!$A$3:$A$3390,Q$1,'United Data'!$C$3:$C$3390,$A338)&gt;0,1,0)</f>
        <v>1</v>
      </c>
      <c r="R338">
        <f>IF(COUNTIFS('United Data'!$A$3:$A$3390,R$1,'United Data'!$C$3:$C$3390,$A338)&gt;0,1,0)</f>
        <v>0</v>
      </c>
      <c r="S338">
        <f t="shared" si="10"/>
        <v>1</v>
      </c>
      <c r="T338">
        <f t="shared" si="11"/>
        <v>1</v>
      </c>
    </row>
    <row r="339" spans="1:20" x14ac:dyDescent="0.2">
      <c r="A339" t="s">
        <v>428</v>
      </c>
      <c r="B339">
        <f>IF(COUNTIFS('United Data'!$A$3:$A$3390,B$1,'United Data'!$C$3:$C$3390,$A339)&gt;0,1,0)</f>
        <v>0</v>
      </c>
      <c r="C339">
        <f>IF(COUNTIFS('United Data'!$A$3:$A$3390,C$1,'United Data'!$C$3:$C$3390,$A339)&gt;0,1,0)</f>
        <v>0</v>
      </c>
      <c r="D339">
        <f>IF(COUNTIFS('United Data'!$A$3:$A$3390,D$1,'United Data'!$C$3:$C$3390,$A339)&gt;0,1,0)</f>
        <v>0</v>
      </c>
      <c r="E339">
        <f>IF(COUNTIFS('United Data'!$A$3:$A$3390,E$1,'United Data'!$C$3:$C$3390,$A339)&gt;0,1,0)</f>
        <v>0</v>
      </c>
      <c r="F339">
        <f>IF(COUNTIFS('United Data'!$A$3:$A$3390,F$1,'United Data'!$C$3:$C$3390,$A339)&gt;0,1,0)</f>
        <v>0</v>
      </c>
      <c r="G339">
        <f>IF(COUNTIFS('United Data'!$A$3:$A$3390,G$1,'United Data'!$C$3:$C$3390,$A339)&gt;0,1,0)</f>
        <v>0</v>
      </c>
      <c r="H339">
        <f>IF(COUNTIFS('United Data'!$A$3:$A$3390,H$1,'United Data'!$C$3:$C$3390,$A339)&gt;0,1,0)</f>
        <v>0</v>
      </c>
      <c r="I339">
        <f>IF(COUNTIFS('United Data'!$A$3:$A$3390,I$1,'United Data'!$C$3:$C$3390,$A339)&gt;0,1,0)</f>
        <v>0</v>
      </c>
      <c r="J339">
        <f>IF(COUNTIFS('United Data'!$A$3:$A$3390,J$1,'United Data'!$C$3:$C$3390,$A339)&gt;0,1,0)</f>
        <v>0</v>
      </c>
      <c r="K339">
        <f>IF(COUNTIFS('United Data'!$A$3:$A$3390,K$1,'United Data'!$C$3:$C$3390,$A339)&gt;0,1,0)</f>
        <v>0</v>
      </c>
      <c r="L339">
        <f>IF(COUNTIFS('United Data'!$A$3:$A$3390,L$1,'United Data'!$C$3:$C$3390,$A339)&gt;0,1,0)</f>
        <v>0</v>
      </c>
      <c r="M339">
        <f>IF(COUNTIFS('United Data'!$A$3:$A$3390,M$1,'United Data'!$C$3:$C$3390,$A339)&gt;0,1,0)</f>
        <v>0</v>
      </c>
      <c r="N339">
        <f>IF(COUNTIFS('United Data'!$A$3:$A$3390,N$1,'United Data'!$C$3:$C$3390,$A339)&gt;0,1,0)</f>
        <v>0</v>
      </c>
      <c r="O339">
        <f>IF(COUNTIFS('United Data'!$A$3:$A$3390,O$1,'United Data'!$C$3:$C$3390,$A339)&gt;0,1,0)</f>
        <v>0</v>
      </c>
      <c r="P339">
        <f>IF(COUNTIFS('United Data'!$A$3:$A$3390,P$1,'United Data'!$C$3:$C$3390,$A339)&gt;0,1,0)</f>
        <v>0</v>
      </c>
      <c r="Q339">
        <f>IF(COUNTIFS('United Data'!$A$3:$A$3390,Q$1,'United Data'!$C$3:$C$3390,$A339)&gt;0,1,0)</f>
        <v>1</v>
      </c>
      <c r="R339">
        <f>IF(COUNTIFS('United Data'!$A$3:$A$3390,R$1,'United Data'!$C$3:$C$3390,$A339)&gt;0,1,0)</f>
        <v>0</v>
      </c>
      <c r="S339">
        <f t="shared" si="10"/>
        <v>1</v>
      </c>
      <c r="T339">
        <f t="shared" si="11"/>
        <v>1</v>
      </c>
    </row>
    <row r="340" spans="1:20" x14ac:dyDescent="0.2">
      <c r="A340" t="s">
        <v>429</v>
      </c>
      <c r="B340">
        <f>IF(COUNTIFS('United Data'!$A$3:$A$3390,B$1,'United Data'!$C$3:$C$3390,$A340)&gt;0,1,0)</f>
        <v>0</v>
      </c>
      <c r="C340">
        <f>IF(COUNTIFS('United Data'!$A$3:$A$3390,C$1,'United Data'!$C$3:$C$3390,$A340)&gt;0,1,0)</f>
        <v>0</v>
      </c>
      <c r="D340">
        <f>IF(COUNTIFS('United Data'!$A$3:$A$3390,D$1,'United Data'!$C$3:$C$3390,$A340)&gt;0,1,0)</f>
        <v>0</v>
      </c>
      <c r="E340">
        <f>IF(COUNTIFS('United Data'!$A$3:$A$3390,E$1,'United Data'!$C$3:$C$3390,$A340)&gt;0,1,0)</f>
        <v>0</v>
      </c>
      <c r="F340">
        <f>IF(COUNTIFS('United Data'!$A$3:$A$3390,F$1,'United Data'!$C$3:$C$3390,$A340)&gt;0,1,0)</f>
        <v>0</v>
      </c>
      <c r="G340">
        <f>IF(COUNTIFS('United Data'!$A$3:$A$3390,G$1,'United Data'!$C$3:$C$3390,$A340)&gt;0,1,0)</f>
        <v>0</v>
      </c>
      <c r="H340">
        <f>IF(COUNTIFS('United Data'!$A$3:$A$3390,H$1,'United Data'!$C$3:$C$3390,$A340)&gt;0,1,0)</f>
        <v>0</v>
      </c>
      <c r="I340">
        <f>IF(COUNTIFS('United Data'!$A$3:$A$3390,I$1,'United Data'!$C$3:$C$3390,$A340)&gt;0,1,0)</f>
        <v>0</v>
      </c>
      <c r="J340">
        <f>IF(COUNTIFS('United Data'!$A$3:$A$3390,J$1,'United Data'!$C$3:$C$3390,$A340)&gt;0,1,0)</f>
        <v>0</v>
      </c>
      <c r="K340">
        <f>IF(COUNTIFS('United Data'!$A$3:$A$3390,K$1,'United Data'!$C$3:$C$3390,$A340)&gt;0,1,0)</f>
        <v>0</v>
      </c>
      <c r="L340">
        <f>IF(COUNTIFS('United Data'!$A$3:$A$3390,L$1,'United Data'!$C$3:$C$3390,$A340)&gt;0,1,0)</f>
        <v>0</v>
      </c>
      <c r="M340">
        <f>IF(COUNTIFS('United Data'!$A$3:$A$3390,M$1,'United Data'!$C$3:$C$3390,$A340)&gt;0,1,0)</f>
        <v>0</v>
      </c>
      <c r="N340">
        <f>IF(COUNTIFS('United Data'!$A$3:$A$3390,N$1,'United Data'!$C$3:$C$3390,$A340)&gt;0,1,0)</f>
        <v>0</v>
      </c>
      <c r="O340">
        <f>IF(COUNTIFS('United Data'!$A$3:$A$3390,O$1,'United Data'!$C$3:$C$3390,$A340)&gt;0,1,0)</f>
        <v>0</v>
      </c>
      <c r="P340">
        <f>IF(COUNTIFS('United Data'!$A$3:$A$3390,P$1,'United Data'!$C$3:$C$3390,$A340)&gt;0,1,0)</f>
        <v>0</v>
      </c>
      <c r="Q340">
        <f>IF(COUNTIFS('United Data'!$A$3:$A$3390,Q$1,'United Data'!$C$3:$C$3390,$A340)&gt;0,1,0)</f>
        <v>1</v>
      </c>
      <c r="R340">
        <f>IF(COUNTIFS('United Data'!$A$3:$A$3390,R$1,'United Data'!$C$3:$C$3390,$A340)&gt;0,1,0)</f>
        <v>0</v>
      </c>
      <c r="S340">
        <f t="shared" si="10"/>
        <v>1</v>
      </c>
      <c r="T340">
        <f t="shared" si="11"/>
        <v>1</v>
      </c>
    </row>
    <row r="341" spans="1:20" x14ac:dyDescent="0.2">
      <c r="A341" t="s">
        <v>430</v>
      </c>
      <c r="B341">
        <f>IF(COUNTIFS('United Data'!$A$3:$A$3390,B$1,'United Data'!$C$3:$C$3390,$A341)&gt;0,1,0)</f>
        <v>0</v>
      </c>
      <c r="C341">
        <f>IF(COUNTIFS('United Data'!$A$3:$A$3390,C$1,'United Data'!$C$3:$C$3390,$A341)&gt;0,1,0)</f>
        <v>0</v>
      </c>
      <c r="D341">
        <f>IF(COUNTIFS('United Data'!$A$3:$A$3390,D$1,'United Data'!$C$3:$C$3390,$A341)&gt;0,1,0)</f>
        <v>0</v>
      </c>
      <c r="E341">
        <f>IF(COUNTIFS('United Data'!$A$3:$A$3390,E$1,'United Data'!$C$3:$C$3390,$A341)&gt;0,1,0)</f>
        <v>0</v>
      </c>
      <c r="F341">
        <f>IF(COUNTIFS('United Data'!$A$3:$A$3390,F$1,'United Data'!$C$3:$C$3390,$A341)&gt;0,1,0)</f>
        <v>0</v>
      </c>
      <c r="G341">
        <f>IF(COUNTIFS('United Data'!$A$3:$A$3390,G$1,'United Data'!$C$3:$C$3390,$A341)&gt;0,1,0)</f>
        <v>0</v>
      </c>
      <c r="H341">
        <f>IF(COUNTIFS('United Data'!$A$3:$A$3390,H$1,'United Data'!$C$3:$C$3390,$A341)&gt;0,1,0)</f>
        <v>0</v>
      </c>
      <c r="I341">
        <f>IF(COUNTIFS('United Data'!$A$3:$A$3390,I$1,'United Data'!$C$3:$C$3390,$A341)&gt;0,1,0)</f>
        <v>0</v>
      </c>
      <c r="J341">
        <f>IF(COUNTIFS('United Data'!$A$3:$A$3390,J$1,'United Data'!$C$3:$C$3390,$A341)&gt;0,1,0)</f>
        <v>0</v>
      </c>
      <c r="K341">
        <f>IF(COUNTIFS('United Data'!$A$3:$A$3390,K$1,'United Data'!$C$3:$C$3390,$A341)&gt;0,1,0)</f>
        <v>0</v>
      </c>
      <c r="L341">
        <f>IF(COUNTIFS('United Data'!$A$3:$A$3390,L$1,'United Data'!$C$3:$C$3390,$A341)&gt;0,1,0)</f>
        <v>0</v>
      </c>
      <c r="M341">
        <f>IF(COUNTIFS('United Data'!$A$3:$A$3390,M$1,'United Data'!$C$3:$C$3390,$A341)&gt;0,1,0)</f>
        <v>0</v>
      </c>
      <c r="N341">
        <f>IF(COUNTIFS('United Data'!$A$3:$A$3390,N$1,'United Data'!$C$3:$C$3390,$A341)&gt;0,1,0)</f>
        <v>0</v>
      </c>
      <c r="O341">
        <f>IF(COUNTIFS('United Data'!$A$3:$A$3390,O$1,'United Data'!$C$3:$C$3390,$A341)&gt;0,1,0)</f>
        <v>0</v>
      </c>
      <c r="P341">
        <f>IF(COUNTIFS('United Data'!$A$3:$A$3390,P$1,'United Data'!$C$3:$C$3390,$A341)&gt;0,1,0)</f>
        <v>0</v>
      </c>
      <c r="Q341">
        <f>IF(COUNTIFS('United Data'!$A$3:$A$3390,Q$1,'United Data'!$C$3:$C$3390,$A341)&gt;0,1,0)</f>
        <v>0</v>
      </c>
      <c r="R341">
        <f>IF(COUNTIFS('United Data'!$A$3:$A$3390,R$1,'United Data'!$C$3:$C$3390,$A341)&gt;0,1,0)</f>
        <v>1</v>
      </c>
      <c r="S341">
        <f t="shared" si="10"/>
        <v>1</v>
      </c>
      <c r="T341">
        <f t="shared" si="11"/>
        <v>1</v>
      </c>
    </row>
    <row r="342" spans="1:20" x14ac:dyDescent="0.2">
      <c r="A342" t="s">
        <v>431</v>
      </c>
      <c r="B342">
        <f>IF(COUNTIFS('United Data'!$A$3:$A$3390,B$1,'United Data'!$C$3:$C$3390,$A342)&gt;0,1,0)</f>
        <v>0</v>
      </c>
      <c r="C342">
        <f>IF(COUNTIFS('United Data'!$A$3:$A$3390,C$1,'United Data'!$C$3:$C$3390,$A342)&gt;0,1,0)</f>
        <v>0</v>
      </c>
      <c r="D342">
        <f>IF(COUNTIFS('United Data'!$A$3:$A$3390,D$1,'United Data'!$C$3:$C$3390,$A342)&gt;0,1,0)</f>
        <v>0</v>
      </c>
      <c r="E342">
        <f>IF(COUNTIFS('United Data'!$A$3:$A$3390,E$1,'United Data'!$C$3:$C$3390,$A342)&gt;0,1,0)</f>
        <v>0</v>
      </c>
      <c r="F342">
        <f>IF(COUNTIFS('United Data'!$A$3:$A$3390,F$1,'United Data'!$C$3:$C$3390,$A342)&gt;0,1,0)</f>
        <v>1</v>
      </c>
      <c r="G342">
        <f>IF(COUNTIFS('United Data'!$A$3:$A$3390,G$1,'United Data'!$C$3:$C$3390,$A342)&gt;0,1,0)</f>
        <v>0</v>
      </c>
      <c r="H342">
        <f>IF(COUNTIFS('United Data'!$A$3:$A$3390,H$1,'United Data'!$C$3:$C$3390,$A342)&gt;0,1,0)</f>
        <v>0</v>
      </c>
      <c r="I342">
        <f>IF(COUNTIFS('United Data'!$A$3:$A$3390,I$1,'United Data'!$C$3:$C$3390,$A342)&gt;0,1,0)</f>
        <v>0</v>
      </c>
      <c r="J342">
        <f>IF(COUNTIFS('United Data'!$A$3:$A$3390,J$1,'United Data'!$C$3:$C$3390,$A342)&gt;0,1,0)</f>
        <v>0</v>
      </c>
      <c r="K342">
        <f>IF(COUNTIFS('United Data'!$A$3:$A$3390,K$1,'United Data'!$C$3:$C$3390,$A342)&gt;0,1,0)</f>
        <v>0</v>
      </c>
      <c r="L342">
        <f>IF(COUNTIFS('United Data'!$A$3:$A$3390,L$1,'United Data'!$C$3:$C$3390,$A342)&gt;0,1,0)</f>
        <v>0</v>
      </c>
      <c r="M342">
        <f>IF(COUNTIFS('United Data'!$A$3:$A$3390,M$1,'United Data'!$C$3:$C$3390,$A342)&gt;0,1,0)</f>
        <v>0</v>
      </c>
      <c r="N342">
        <f>IF(COUNTIFS('United Data'!$A$3:$A$3390,N$1,'United Data'!$C$3:$C$3390,$A342)&gt;0,1,0)</f>
        <v>0</v>
      </c>
      <c r="O342">
        <f>IF(COUNTIFS('United Data'!$A$3:$A$3390,O$1,'United Data'!$C$3:$C$3390,$A342)&gt;0,1,0)</f>
        <v>0</v>
      </c>
      <c r="P342">
        <f>IF(COUNTIFS('United Data'!$A$3:$A$3390,P$1,'United Data'!$C$3:$C$3390,$A342)&gt;0,1,0)</f>
        <v>0</v>
      </c>
      <c r="Q342">
        <f>IF(COUNTIFS('United Data'!$A$3:$A$3390,Q$1,'United Data'!$C$3:$C$3390,$A342)&gt;0,1,0)</f>
        <v>0</v>
      </c>
      <c r="R342">
        <f>IF(COUNTIFS('United Data'!$A$3:$A$3390,R$1,'United Data'!$C$3:$C$3390,$A342)&gt;0,1,0)</f>
        <v>1</v>
      </c>
      <c r="S342">
        <f t="shared" si="10"/>
        <v>2</v>
      </c>
      <c r="T342">
        <f t="shared" si="11"/>
        <v>2</v>
      </c>
    </row>
    <row r="343" spans="1:20" x14ac:dyDescent="0.2">
      <c r="A343" t="s">
        <v>432</v>
      </c>
      <c r="B343">
        <f>IF(COUNTIFS('United Data'!$A$3:$A$3390,B$1,'United Data'!$C$3:$C$3390,$A343)&gt;0,1,0)</f>
        <v>0</v>
      </c>
      <c r="C343">
        <f>IF(COUNTIFS('United Data'!$A$3:$A$3390,C$1,'United Data'!$C$3:$C$3390,$A343)&gt;0,1,0)</f>
        <v>0</v>
      </c>
      <c r="D343">
        <f>IF(COUNTIFS('United Data'!$A$3:$A$3390,D$1,'United Data'!$C$3:$C$3390,$A343)&gt;0,1,0)</f>
        <v>0</v>
      </c>
      <c r="E343">
        <f>IF(COUNTIFS('United Data'!$A$3:$A$3390,E$1,'United Data'!$C$3:$C$3390,$A343)&gt;0,1,0)</f>
        <v>0</v>
      </c>
      <c r="F343">
        <f>IF(COUNTIFS('United Data'!$A$3:$A$3390,F$1,'United Data'!$C$3:$C$3390,$A343)&gt;0,1,0)</f>
        <v>0</v>
      </c>
      <c r="G343">
        <f>IF(COUNTIFS('United Data'!$A$3:$A$3390,G$1,'United Data'!$C$3:$C$3390,$A343)&gt;0,1,0)</f>
        <v>0</v>
      </c>
      <c r="H343">
        <f>IF(COUNTIFS('United Data'!$A$3:$A$3390,H$1,'United Data'!$C$3:$C$3390,$A343)&gt;0,1,0)</f>
        <v>0</v>
      </c>
      <c r="I343">
        <f>IF(COUNTIFS('United Data'!$A$3:$A$3390,I$1,'United Data'!$C$3:$C$3390,$A343)&gt;0,1,0)</f>
        <v>0</v>
      </c>
      <c r="J343">
        <f>IF(COUNTIFS('United Data'!$A$3:$A$3390,J$1,'United Data'!$C$3:$C$3390,$A343)&gt;0,1,0)</f>
        <v>0</v>
      </c>
      <c r="K343">
        <f>IF(COUNTIFS('United Data'!$A$3:$A$3390,K$1,'United Data'!$C$3:$C$3390,$A343)&gt;0,1,0)</f>
        <v>0</v>
      </c>
      <c r="L343">
        <f>IF(COUNTIFS('United Data'!$A$3:$A$3390,L$1,'United Data'!$C$3:$C$3390,$A343)&gt;0,1,0)</f>
        <v>0</v>
      </c>
      <c r="M343">
        <f>IF(COUNTIFS('United Data'!$A$3:$A$3390,M$1,'United Data'!$C$3:$C$3390,$A343)&gt;0,1,0)</f>
        <v>0</v>
      </c>
      <c r="N343">
        <f>IF(COUNTIFS('United Data'!$A$3:$A$3390,N$1,'United Data'!$C$3:$C$3390,$A343)&gt;0,1,0)</f>
        <v>0</v>
      </c>
      <c r="O343">
        <f>IF(COUNTIFS('United Data'!$A$3:$A$3390,O$1,'United Data'!$C$3:$C$3390,$A343)&gt;0,1,0)</f>
        <v>0</v>
      </c>
      <c r="P343">
        <f>IF(COUNTIFS('United Data'!$A$3:$A$3390,P$1,'United Data'!$C$3:$C$3390,$A343)&gt;0,1,0)</f>
        <v>0</v>
      </c>
      <c r="Q343">
        <f>IF(COUNTIFS('United Data'!$A$3:$A$3390,Q$1,'United Data'!$C$3:$C$3390,$A343)&gt;0,1,0)</f>
        <v>0</v>
      </c>
      <c r="R343">
        <f>IF(COUNTIFS('United Data'!$A$3:$A$3390,R$1,'United Data'!$C$3:$C$3390,$A343)&gt;0,1,0)</f>
        <v>1</v>
      </c>
      <c r="S343">
        <f t="shared" si="10"/>
        <v>1</v>
      </c>
      <c r="T343">
        <f t="shared" si="11"/>
        <v>1</v>
      </c>
    </row>
    <row r="344" spans="1:20" x14ac:dyDescent="0.2">
      <c r="A344" t="s">
        <v>433</v>
      </c>
      <c r="B344">
        <f>IF(COUNTIFS('United Data'!$A$3:$A$3390,B$1,'United Data'!$C$3:$C$3390,$A344)&gt;0,1,0)</f>
        <v>0</v>
      </c>
      <c r="C344">
        <f>IF(COUNTIFS('United Data'!$A$3:$A$3390,C$1,'United Data'!$C$3:$C$3390,$A344)&gt;0,1,0)</f>
        <v>0</v>
      </c>
      <c r="D344">
        <f>IF(COUNTIFS('United Data'!$A$3:$A$3390,D$1,'United Data'!$C$3:$C$3390,$A344)&gt;0,1,0)</f>
        <v>0</v>
      </c>
      <c r="E344">
        <f>IF(COUNTIFS('United Data'!$A$3:$A$3390,E$1,'United Data'!$C$3:$C$3390,$A344)&gt;0,1,0)</f>
        <v>0</v>
      </c>
      <c r="F344">
        <f>IF(COUNTIFS('United Data'!$A$3:$A$3390,F$1,'United Data'!$C$3:$C$3390,$A344)&gt;0,1,0)</f>
        <v>0</v>
      </c>
      <c r="G344">
        <f>IF(COUNTIFS('United Data'!$A$3:$A$3390,G$1,'United Data'!$C$3:$C$3390,$A344)&gt;0,1,0)</f>
        <v>0</v>
      </c>
      <c r="H344">
        <f>IF(COUNTIFS('United Data'!$A$3:$A$3390,H$1,'United Data'!$C$3:$C$3390,$A344)&gt;0,1,0)</f>
        <v>0</v>
      </c>
      <c r="I344">
        <f>IF(COUNTIFS('United Data'!$A$3:$A$3390,I$1,'United Data'!$C$3:$C$3390,$A344)&gt;0,1,0)</f>
        <v>0</v>
      </c>
      <c r="J344">
        <f>IF(COUNTIFS('United Data'!$A$3:$A$3390,J$1,'United Data'!$C$3:$C$3390,$A344)&gt;0,1,0)</f>
        <v>0</v>
      </c>
      <c r="K344">
        <f>IF(COUNTIFS('United Data'!$A$3:$A$3390,K$1,'United Data'!$C$3:$C$3390,$A344)&gt;0,1,0)</f>
        <v>0</v>
      </c>
      <c r="L344">
        <f>IF(COUNTIFS('United Data'!$A$3:$A$3390,L$1,'United Data'!$C$3:$C$3390,$A344)&gt;0,1,0)</f>
        <v>0</v>
      </c>
      <c r="M344">
        <f>IF(COUNTIFS('United Data'!$A$3:$A$3390,M$1,'United Data'!$C$3:$C$3390,$A344)&gt;0,1,0)</f>
        <v>0</v>
      </c>
      <c r="N344">
        <f>IF(COUNTIFS('United Data'!$A$3:$A$3390,N$1,'United Data'!$C$3:$C$3390,$A344)&gt;0,1,0)</f>
        <v>0</v>
      </c>
      <c r="O344">
        <f>IF(COUNTIFS('United Data'!$A$3:$A$3390,O$1,'United Data'!$C$3:$C$3390,$A344)&gt;0,1,0)</f>
        <v>0</v>
      </c>
      <c r="P344">
        <f>IF(COUNTIFS('United Data'!$A$3:$A$3390,P$1,'United Data'!$C$3:$C$3390,$A344)&gt;0,1,0)</f>
        <v>0</v>
      </c>
      <c r="Q344">
        <f>IF(COUNTIFS('United Data'!$A$3:$A$3390,Q$1,'United Data'!$C$3:$C$3390,$A344)&gt;0,1,0)</f>
        <v>0</v>
      </c>
      <c r="R344">
        <f>IF(COUNTIFS('United Data'!$A$3:$A$3390,R$1,'United Data'!$C$3:$C$3390,$A344)&gt;0,1,0)</f>
        <v>1</v>
      </c>
      <c r="S344">
        <f t="shared" si="10"/>
        <v>1</v>
      </c>
      <c r="T344">
        <f t="shared" si="11"/>
        <v>1</v>
      </c>
    </row>
    <row r="345" spans="1:20" x14ac:dyDescent="0.2">
      <c r="A345" t="s">
        <v>434</v>
      </c>
      <c r="B345">
        <f>IF(COUNTIFS('United Data'!$A$3:$A$3390,B$1,'United Data'!$C$3:$C$3390,$A345)&gt;0,1,0)</f>
        <v>1</v>
      </c>
      <c r="C345">
        <f>IF(COUNTIFS('United Data'!$A$3:$A$3390,C$1,'United Data'!$C$3:$C$3390,$A345)&gt;0,1,0)</f>
        <v>0</v>
      </c>
      <c r="D345">
        <f>IF(COUNTIFS('United Data'!$A$3:$A$3390,D$1,'United Data'!$C$3:$C$3390,$A345)&gt;0,1,0)</f>
        <v>0</v>
      </c>
      <c r="E345">
        <f>IF(COUNTIFS('United Data'!$A$3:$A$3390,E$1,'United Data'!$C$3:$C$3390,$A345)&gt;0,1,0)</f>
        <v>0</v>
      </c>
      <c r="F345">
        <f>IF(COUNTIFS('United Data'!$A$3:$A$3390,F$1,'United Data'!$C$3:$C$3390,$A345)&gt;0,1,0)</f>
        <v>0</v>
      </c>
      <c r="G345">
        <f>IF(COUNTIFS('United Data'!$A$3:$A$3390,G$1,'United Data'!$C$3:$C$3390,$A345)&gt;0,1,0)</f>
        <v>0</v>
      </c>
      <c r="H345">
        <f>IF(COUNTIFS('United Data'!$A$3:$A$3390,H$1,'United Data'!$C$3:$C$3390,$A345)&gt;0,1,0)</f>
        <v>0</v>
      </c>
      <c r="I345">
        <f>IF(COUNTIFS('United Data'!$A$3:$A$3390,I$1,'United Data'!$C$3:$C$3390,$A345)&gt;0,1,0)</f>
        <v>0</v>
      </c>
      <c r="J345">
        <f>IF(COUNTIFS('United Data'!$A$3:$A$3390,J$1,'United Data'!$C$3:$C$3390,$A345)&gt;0,1,0)</f>
        <v>0</v>
      </c>
      <c r="K345">
        <f>IF(COUNTIFS('United Data'!$A$3:$A$3390,K$1,'United Data'!$C$3:$C$3390,$A345)&gt;0,1,0)</f>
        <v>0</v>
      </c>
      <c r="L345">
        <f>IF(COUNTIFS('United Data'!$A$3:$A$3390,L$1,'United Data'!$C$3:$C$3390,$A345)&gt;0,1,0)</f>
        <v>0</v>
      </c>
      <c r="M345">
        <f>IF(COUNTIFS('United Data'!$A$3:$A$3390,M$1,'United Data'!$C$3:$C$3390,$A345)&gt;0,1,0)</f>
        <v>0</v>
      </c>
      <c r="N345">
        <f>IF(COUNTIFS('United Data'!$A$3:$A$3390,N$1,'United Data'!$C$3:$C$3390,$A345)&gt;0,1,0)</f>
        <v>0</v>
      </c>
      <c r="O345">
        <f>IF(COUNTIFS('United Data'!$A$3:$A$3390,O$1,'United Data'!$C$3:$C$3390,$A345)&gt;0,1,0)</f>
        <v>0</v>
      </c>
      <c r="P345">
        <f>IF(COUNTIFS('United Data'!$A$3:$A$3390,P$1,'United Data'!$C$3:$C$3390,$A345)&gt;0,1,0)</f>
        <v>0</v>
      </c>
      <c r="Q345">
        <f>IF(COUNTIFS('United Data'!$A$3:$A$3390,Q$1,'United Data'!$C$3:$C$3390,$A345)&gt;0,1,0)</f>
        <v>0</v>
      </c>
      <c r="R345">
        <f>IF(COUNTIFS('United Data'!$A$3:$A$3390,R$1,'United Data'!$C$3:$C$3390,$A345)&gt;0,1,0)</f>
        <v>0</v>
      </c>
      <c r="S345">
        <f t="shared" si="10"/>
        <v>1</v>
      </c>
      <c r="T345">
        <f t="shared" si="11"/>
        <v>1</v>
      </c>
    </row>
    <row r="346" spans="1:20" x14ac:dyDescent="0.2">
      <c r="A346" t="s">
        <v>435</v>
      </c>
      <c r="B346">
        <f>IF(COUNTIFS('United Data'!$A$3:$A$3390,B$1,'United Data'!$C$3:$C$3390,$A346)&gt;0,1,0)</f>
        <v>1</v>
      </c>
      <c r="C346">
        <f>IF(COUNTIFS('United Data'!$A$3:$A$3390,C$1,'United Data'!$C$3:$C$3390,$A346)&gt;0,1,0)</f>
        <v>0</v>
      </c>
      <c r="D346">
        <f>IF(COUNTIFS('United Data'!$A$3:$A$3390,D$1,'United Data'!$C$3:$C$3390,$A346)&gt;0,1,0)</f>
        <v>0</v>
      </c>
      <c r="E346">
        <f>IF(COUNTIFS('United Data'!$A$3:$A$3390,E$1,'United Data'!$C$3:$C$3390,$A346)&gt;0,1,0)</f>
        <v>0</v>
      </c>
      <c r="F346">
        <f>IF(COUNTIFS('United Data'!$A$3:$A$3390,F$1,'United Data'!$C$3:$C$3390,$A346)&gt;0,1,0)</f>
        <v>0</v>
      </c>
      <c r="G346">
        <f>IF(COUNTIFS('United Data'!$A$3:$A$3390,G$1,'United Data'!$C$3:$C$3390,$A346)&gt;0,1,0)</f>
        <v>0</v>
      </c>
      <c r="H346">
        <f>IF(COUNTIFS('United Data'!$A$3:$A$3390,H$1,'United Data'!$C$3:$C$3390,$A346)&gt;0,1,0)</f>
        <v>0</v>
      </c>
      <c r="I346">
        <f>IF(COUNTIFS('United Data'!$A$3:$A$3390,I$1,'United Data'!$C$3:$C$3390,$A346)&gt;0,1,0)</f>
        <v>0</v>
      </c>
      <c r="J346">
        <f>IF(COUNTIFS('United Data'!$A$3:$A$3390,J$1,'United Data'!$C$3:$C$3390,$A346)&gt;0,1,0)</f>
        <v>0</v>
      </c>
      <c r="K346">
        <f>IF(COUNTIFS('United Data'!$A$3:$A$3390,K$1,'United Data'!$C$3:$C$3390,$A346)&gt;0,1,0)</f>
        <v>0</v>
      </c>
      <c r="L346">
        <f>IF(COUNTIFS('United Data'!$A$3:$A$3390,L$1,'United Data'!$C$3:$C$3390,$A346)&gt;0,1,0)</f>
        <v>0</v>
      </c>
      <c r="M346">
        <f>IF(COUNTIFS('United Data'!$A$3:$A$3390,M$1,'United Data'!$C$3:$C$3390,$A346)&gt;0,1,0)</f>
        <v>0</v>
      </c>
      <c r="N346">
        <f>IF(COUNTIFS('United Data'!$A$3:$A$3390,N$1,'United Data'!$C$3:$C$3390,$A346)&gt;0,1,0)</f>
        <v>0</v>
      </c>
      <c r="O346">
        <f>IF(COUNTIFS('United Data'!$A$3:$A$3390,O$1,'United Data'!$C$3:$C$3390,$A346)&gt;0,1,0)</f>
        <v>0</v>
      </c>
      <c r="P346">
        <f>IF(COUNTIFS('United Data'!$A$3:$A$3390,P$1,'United Data'!$C$3:$C$3390,$A346)&gt;0,1,0)</f>
        <v>0</v>
      </c>
      <c r="Q346">
        <f>IF(COUNTIFS('United Data'!$A$3:$A$3390,Q$1,'United Data'!$C$3:$C$3390,$A346)&gt;0,1,0)</f>
        <v>0</v>
      </c>
      <c r="R346">
        <f>IF(COUNTIFS('United Data'!$A$3:$A$3390,R$1,'United Data'!$C$3:$C$3390,$A346)&gt;0,1,0)</f>
        <v>0</v>
      </c>
      <c r="S346">
        <f t="shared" si="10"/>
        <v>1</v>
      </c>
      <c r="T346">
        <f t="shared" si="11"/>
        <v>1</v>
      </c>
    </row>
    <row r="347" spans="1:20" x14ac:dyDescent="0.2">
      <c r="A347" t="s">
        <v>436</v>
      </c>
      <c r="B347">
        <f>IF(COUNTIFS('United Data'!$A$3:$A$3390,B$1,'United Data'!$C$3:$C$3390,$A347)&gt;0,1,0)</f>
        <v>1</v>
      </c>
      <c r="C347">
        <f>IF(COUNTIFS('United Data'!$A$3:$A$3390,C$1,'United Data'!$C$3:$C$3390,$A347)&gt;0,1,0)</f>
        <v>0</v>
      </c>
      <c r="D347">
        <f>IF(COUNTIFS('United Data'!$A$3:$A$3390,D$1,'United Data'!$C$3:$C$3390,$A347)&gt;0,1,0)</f>
        <v>0</v>
      </c>
      <c r="E347">
        <f>IF(COUNTIFS('United Data'!$A$3:$A$3390,E$1,'United Data'!$C$3:$C$3390,$A347)&gt;0,1,0)</f>
        <v>0</v>
      </c>
      <c r="F347">
        <f>IF(COUNTIFS('United Data'!$A$3:$A$3390,F$1,'United Data'!$C$3:$C$3390,$A347)&gt;0,1,0)</f>
        <v>0</v>
      </c>
      <c r="G347">
        <f>IF(COUNTIFS('United Data'!$A$3:$A$3390,G$1,'United Data'!$C$3:$C$3390,$A347)&gt;0,1,0)</f>
        <v>0</v>
      </c>
      <c r="H347">
        <f>IF(COUNTIFS('United Data'!$A$3:$A$3390,H$1,'United Data'!$C$3:$C$3390,$A347)&gt;0,1,0)</f>
        <v>0</v>
      </c>
      <c r="I347">
        <f>IF(COUNTIFS('United Data'!$A$3:$A$3390,I$1,'United Data'!$C$3:$C$3390,$A347)&gt;0,1,0)</f>
        <v>0</v>
      </c>
      <c r="J347">
        <f>IF(COUNTIFS('United Data'!$A$3:$A$3390,J$1,'United Data'!$C$3:$C$3390,$A347)&gt;0,1,0)</f>
        <v>0</v>
      </c>
      <c r="K347">
        <f>IF(COUNTIFS('United Data'!$A$3:$A$3390,K$1,'United Data'!$C$3:$C$3390,$A347)&gt;0,1,0)</f>
        <v>0</v>
      </c>
      <c r="L347">
        <f>IF(COUNTIFS('United Data'!$A$3:$A$3390,L$1,'United Data'!$C$3:$C$3390,$A347)&gt;0,1,0)</f>
        <v>0</v>
      </c>
      <c r="M347">
        <f>IF(COUNTIFS('United Data'!$A$3:$A$3390,M$1,'United Data'!$C$3:$C$3390,$A347)&gt;0,1,0)</f>
        <v>0</v>
      </c>
      <c r="N347">
        <f>IF(COUNTIFS('United Data'!$A$3:$A$3390,N$1,'United Data'!$C$3:$C$3390,$A347)&gt;0,1,0)</f>
        <v>0</v>
      </c>
      <c r="O347">
        <f>IF(COUNTIFS('United Data'!$A$3:$A$3390,O$1,'United Data'!$C$3:$C$3390,$A347)&gt;0,1,0)</f>
        <v>0</v>
      </c>
      <c r="P347">
        <f>IF(COUNTIFS('United Data'!$A$3:$A$3390,P$1,'United Data'!$C$3:$C$3390,$A347)&gt;0,1,0)</f>
        <v>0</v>
      </c>
      <c r="Q347">
        <f>IF(COUNTIFS('United Data'!$A$3:$A$3390,Q$1,'United Data'!$C$3:$C$3390,$A347)&gt;0,1,0)</f>
        <v>0</v>
      </c>
      <c r="R347">
        <f>IF(COUNTIFS('United Data'!$A$3:$A$3390,R$1,'United Data'!$C$3:$C$3390,$A347)&gt;0,1,0)</f>
        <v>0</v>
      </c>
      <c r="S347">
        <f t="shared" si="10"/>
        <v>1</v>
      </c>
      <c r="T347">
        <f t="shared" si="11"/>
        <v>1</v>
      </c>
    </row>
    <row r="348" spans="1:20" x14ac:dyDescent="0.2">
      <c r="A348" t="s">
        <v>437</v>
      </c>
      <c r="B348">
        <f>IF(COUNTIFS('United Data'!$A$3:$A$3390,B$1,'United Data'!$C$3:$C$3390,$A348)&gt;0,1,0)</f>
        <v>0</v>
      </c>
      <c r="C348">
        <f>IF(COUNTIFS('United Data'!$A$3:$A$3390,C$1,'United Data'!$C$3:$C$3390,$A348)&gt;0,1,0)</f>
        <v>1</v>
      </c>
      <c r="D348">
        <f>IF(COUNTIFS('United Data'!$A$3:$A$3390,D$1,'United Data'!$C$3:$C$3390,$A348)&gt;0,1,0)</f>
        <v>0</v>
      </c>
      <c r="E348">
        <f>IF(COUNTIFS('United Data'!$A$3:$A$3390,E$1,'United Data'!$C$3:$C$3390,$A348)&gt;0,1,0)</f>
        <v>0</v>
      </c>
      <c r="F348">
        <f>IF(COUNTIFS('United Data'!$A$3:$A$3390,F$1,'United Data'!$C$3:$C$3390,$A348)&gt;0,1,0)</f>
        <v>1</v>
      </c>
      <c r="G348">
        <f>IF(COUNTIFS('United Data'!$A$3:$A$3390,G$1,'United Data'!$C$3:$C$3390,$A348)&gt;0,1,0)</f>
        <v>1</v>
      </c>
      <c r="H348">
        <f>IF(COUNTIFS('United Data'!$A$3:$A$3390,H$1,'United Data'!$C$3:$C$3390,$A348)&gt;0,1,0)</f>
        <v>0</v>
      </c>
      <c r="I348">
        <f>IF(COUNTIFS('United Data'!$A$3:$A$3390,I$1,'United Data'!$C$3:$C$3390,$A348)&gt;0,1,0)</f>
        <v>0</v>
      </c>
      <c r="J348">
        <f>IF(COUNTIFS('United Data'!$A$3:$A$3390,J$1,'United Data'!$C$3:$C$3390,$A348)&gt;0,1,0)</f>
        <v>0</v>
      </c>
      <c r="K348">
        <f>IF(COUNTIFS('United Data'!$A$3:$A$3390,K$1,'United Data'!$C$3:$C$3390,$A348)&gt;0,1,0)</f>
        <v>1</v>
      </c>
      <c r="L348">
        <f>IF(COUNTIFS('United Data'!$A$3:$A$3390,L$1,'United Data'!$C$3:$C$3390,$A348)&gt;0,1,0)</f>
        <v>0</v>
      </c>
      <c r="M348">
        <f>IF(COUNTIFS('United Data'!$A$3:$A$3390,M$1,'United Data'!$C$3:$C$3390,$A348)&gt;0,1,0)</f>
        <v>1</v>
      </c>
      <c r="N348">
        <f>IF(COUNTIFS('United Data'!$A$3:$A$3390,N$1,'United Data'!$C$3:$C$3390,$A348)&gt;0,1,0)</f>
        <v>0</v>
      </c>
      <c r="O348">
        <f>IF(COUNTIFS('United Data'!$A$3:$A$3390,O$1,'United Data'!$C$3:$C$3390,$A348)&gt;0,1,0)</f>
        <v>0</v>
      </c>
      <c r="P348">
        <f>IF(COUNTIFS('United Data'!$A$3:$A$3390,P$1,'United Data'!$C$3:$C$3390,$A348)&gt;0,1,0)</f>
        <v>0</v>
      </c>
      <c r="Q348">
        <f>IF(COUNTIFS('United Data'!$A$3:$A$3390,Q$1,'United Data'!$C$3:$C$3390,$A348)&gt;0,1,0)</f>
        <v>1</v>
      </c>
      <c r="R348">
        <f>IF(COUNTIFS('United Data'!$A$3:$A$3390,R$1,'United Data'!$C$3:$C$3390,$A348)&gt;0,1,0)</f>
        <v>0</v>
      </c>
      <c r="S348">
        <f t="shared" si="10"/>
        <v>6</v>
      </c>
      <c r="T348">
        <f t="shared" si="11"/>
        <v>5</v>
      </c>
    </row>
    <row r="349" spans="1:20" x14ac:dyDescent="0.2">
      <c r="A349" t="s">
        <v>438</v>
      </c>
      <c r="B349">
        <f>IF(COUNTIFS('United Data'!$A$3:$A$3390,B$1,'United Data'!$C$3:$C$3390,$A349)&gt;0,1,0)</f>
        <v>0</v>
      </c>
      <c r="C349">
        <f>IF(COUNTIFS('United Data'!$A$3:$A$3390,C$1,'United Data'!$C$3:$C$3390,$A349)&gt;0,1,0)</f>
        <v>1</v>
      </c>
      <c r="D349">
        <f>IF(COUNTIFS('United Data'!$A$3:$A$3390,D$1,'United Data'!$C$3:$C$3390,$A349)&gt;0,1,0)</f>
        <v>1</v>
      </c>
      <c r="E349">
        <f>IF(COUNTIFS('United Data'!$A$3:$A$3390,E$1,'United Data'!$C$3:$C$3390,$A349)&gt;0,1,0)</f>
        <v>0</v>
      </c>
      <c r="F349">
        <f>IF(COUNTIFS('United Data'!$A$3:$A$3390,F$1,'United Data'!$C$3:$C$3390,$A349)&gt;0,1,0)</f>
        <v>0</v>
      </c>
      <c r="G349">
        <f>IF(COUNTIFS('United Data'!$A$3:$A$3390,G$1,'United Data'!$C$3:$C$3390,$A349)&gt;0,1,0)</f>
        <v>0</v>
      </c>
      <c r="H349">
        <f>IF(COUNTIFS('United Data'!$A$3:$A$3390,H$1,'United Data'!$C$3:$C$3390,$A349)&gt;0,1,0)</f>
        <v>0</v>
      </c>
      <c r="I349">
        <f>IF(COUNTIFS('United Data'!$A$3:$A$3390,I$1,'United Data'!$C$3:$C$3390,$A349)&gt;0,1,0)</f>
        <v>0</v>
      </c>
      <c r="J349">
        <f>IF(COUNTIFS('United Data'!$A$3:$A$3390,J$1,'United Data'!$C$3:$C$3390,$A349)&gt;0,1,0)</f>
        <v>0</v>
      </c>
      <c r="K349">
        <f>IF(COUNTIFS('United Data'!$A$3:$A$3390,K$1,'United Data'!$C$3:$C$3390,$A349)&gt;0,1,0)</f>
        <v>0</v>
      </c>
      <c r="L349">
        <f>IF(COUNTIFS('United Data'!$A$3:$A$3390,L$1,'United Data'!$C$3:$C$3390,$A349)&gt;0,1,0)</f>
        <v>0</v>
      </c>
      <c r="M349">
        <f>IF(COUNTIFS('United Data'!$A$3:$A$3390,M$1,'United Data'!$C$3:$C$3390,$A349)&gt;0,1,0)</f>
        <v>0</v>
      </c>
      <c r="N349">
        <f>IF(COUNTIFS('United Data'!$A$3:$A$3390,N$1,'United Data'!$C$3:$C$3390,$A349)&gt;0,1,0)</f>
        <v>1</v>
      </c>
      <c r="O349">
        <f>IF(COUNTIFS('United Data'!$A$3:$A$3390,O$1,'United Data'!$C$3:$C$3390,$A349)&gt;0,1,0)</f>
        <v>1</v>
      </c>
      <c r="P349">
        <f>IF(COUNTIFS('United Data'!$A$3:$A$3390,P$1,'United Data'!$C$3:$C$3390,$A349)&gt;0,1,0)</f>
        <v>0</v>
      </c>
      <c r="Q349">
        <f>IF(COUNTIFS('United Data'!$A$3:$A$3390,Q$1,'United Data'!$C$3:$C$3390,$A349)&gt;0,1,0)</f>
        <v>1</v>
      </c>
      <c r="R349">
        <f>IF(COUNTIFS('United Data'!$A$3:$A$3390,R$1,'United Data'!$C$3:$C$3390,$A349)&gt;0,1,0)</f>
        <v>0</v>
      </c>
      <c r="S349">
        <f t="shared" si="10"/>
        <v>5</v>
      </c>
      <c r="T349">
        <f t="shared" si="11"/>
        <v>3</v>
      </c>
    </row>
    <row r="350" spans="1:20" x14ac:dyDescent="0.2">
      <c r="A350" t="s">
        <v>439</v>
      </c>
      <c r="B350">
        <f>IF(COUNTIFS('United Data'!$A$3:$A$3390,B$1,'United Data'!$C$3:$C$3390,$A350)&gt;0,1,0)</f>
        <v>0</v>
      </c>
      <c r="C350">
        <f>IF(COUNTIFS('United Data'!$A$3:$A$3390,C$1,'United Data'!$C$3:$C$3390,$A350)&gt;0,1,0)</f>
        <v>1</v>
      </c>
      <c r="D350">
        <f>IF(COUNTIFS('United Data'!$A$3:$A$3390,D$1,'United Data'!$C$3:$C$3390,$A350)&gt;0,1,0)</f>
        <v>1</v>
      </c>
      <c r="E350">
        <f>IF(COUNTIFS('United Data'!$A$3:$A$3390,E$1,'United Data'!$C$3:$C$3390,$A350)&gt;0,1,0)</f>
        <v>1</v>
      </c>
      <c r="F350">
        <f>IF(COUNTIFS('United Data'!$A$3:$A$3390,F$1,'United Data'!$C$3:$C$3390,$A350)&gt;0,1,0)</f>
        <v>0</v>
      </c>
      <c r="G350">
        <f>IF(COUNTIFS('United Data'!$A$3:$A$3390,G$1,'United Data'!$C$3:$C$3390,$A350)&gt;0,1,0)</f>
        <v>0</v>
      </c>
      <c r="H350">
        <f>IF(COUNTIFS('United Data'!$A$3:$A$3390,H$1,'United Data'!$C$3:$C$3390,$A350)&gt;0,1,0)</f>
        <v>0</v>
      </c>
      <c r="I350">
        <f>IF(COUNTIFS('United Data'!$A$3:$A$3390,I$1,'United Data'!$C$3:$C$3390,$A350)&gt;0,1,0)</f>
        <v>0</v>
      </c>
      <c r="J350">
        <f>IF(COUNTIFS('United Data'!$A$3:$A$3390,J$1,'United Data'!$C$3:$C$3390,$A350)&gt;0,1,0)</f>
        <v>0</v>
      </c>
      <c r="K350">
        <f>IF(COUNTIFS('United Data'!$A$3:$A$3390,K$1,'United Data'!$C$3:$C$3390,$A350)&gt;0,1,0)</f>
        <v>0</v>
      </c>
      <c r="L350">
        <f>IF(COUNTIFS('United Data'!$A$3:$A$3390,L$1,'United Data'!$C$3:$C$3390,$A350)&gt;0,1,0)</f>
        <v>0</v>
      </c>
      <c r="M350">
        <f>IF(COUNTIFS('United Data'!$A$3:$A$3390,M$1,'United Data'!$C$3:$C$3390,$A350)&gt;0,1,0)</f>
        <v>0</v>
      </c>
      <c r="N350">
        <f>IF(COUNTIFS('United Data'!$A$3:$A$3390,N$1,'United Data'!$C$3:$C$3390,$A350)&gt;0,1,0)</f>
        <v>0</v>
      </c>
      <c r="O350">
        <f>IF(COUNTIFS('United Data'!$A$3:$A$3390,O$1,'United Data'!$C$3:$C$3390,$A350)&gt;0,1,0)</f>
        <v>0</v>
      </c>
      <c r="P350">
        <f>IF(COUNTIFS('United Data'!$A$3:$A$3390,P$1,'United Data'!$C$3:$C$3390,$A350)&gt;0,1,0)</f>
        <v>0</v>
      </c>
      <c r="Q350">
        <f>IF(COUNTIFS('United Data'!$A$3:$A$3390,Q$1,'United Data'!$C$3:$C$3390,$A350)&gt;0,1,0)</f>
        <v>0</v>
      </c>
      <c r="R350">
        <f>IF(COUNTIFS('United Data'!$A$3:$A$3390,R$1,'United Data'!$C$3:$C$3390,$A350)&gt;0,1,0)</f>
        <v>0</v>
      </c>
      <c r="S350">
        <f t="shared" si="10"/>
        <v>3</v>
      </c>
      <c r="T350">
        <f t="shared" si="11"/>
        <v>1</v>
      </c>
    </row>
    <row r="351" spans="1:20" x14ac:dyDescent="0.2">
      <c r="A351" t="s">
        <v>440</v>
      </c>
      <c r="B351">
        <f>IF(COUNTIFS('United Data'!$A$3:$A$3390,B$1,'United Data'!$C$3:$C$3390,$A351)&gt;0,1,0)</f>
        <v>0</v>
      </c>
      <c r="C351">
        <f>IF(COUNTIFS('United Data'!$A$3:$A$3390,C$1,'United Data'!$C$3:$C$3390,$A351)&gt;0,1,0)</f>
        <v>1</v>
      </c>
      <c r="D351">
        <f>IF(COUNTIFS('United Data'!$A$3:$A$3390,D$1,'United Data'!$C$3:$C$3390,$A351)&gt;0,1,0)</f>
        <v>1</v>
      </c>
      <c r="E351">
        <f>IF(COUNTIFS('United Data'!$A$3:$A$3390,E$1,'United Data'!$C$3:$C$3390,$A351)&gt;0,1,0)</f>
        <v>1</v>
      </c>
      <c r="F351">
        <f>IF(COUNTIFS('United Data'!$A$3:$A$3390,F$1,'United Data'!$C$3:$C$3390,$A351)&gt;0,1,0)</f>
        <v>1</v>
      </c>
      <c r="G351">
        <f>IF(COUNTIFS('United Data'!$A$3:$A$3390,G$1,'United Data'!$C$3:$C$3390,$A351)&gt;0,1,0)</f>
        <v>0</v>
      </c>
      <c r="H351">
        <f>IF(COUNTIFS('United Data'!$A$3:$A$3390,H$1,'United Data'!$C$3:$C$3390,$A351)&gt;0,1,0)</f>
        <v>0</v>
      </c>
      <c r="I351">
        <f>IF(COUNTIFS('United Data'!$A$3:$A$3390,I$1,'United Data'!$C$3:$C$3390,$A351)&gt;0,1,0)</f>
        <v>0</v>
      </c>
      <c r="J351">
        <f>IF(COUNTIFS('United Data'!$A$3:$A$3390,J$1,'United Data'!$C$3:$C$3390,$A351)&gt;0,1,0)</f>
        <v>0</v>
      </c>
      <c r="K351">
        <f>IF(COUNTIFS('United Data'!$A$3:$A$3390,K$1,'United Data'!$C$3:$C$3390,$A351)&gt;0,1,0)</f>
        <v>0</v>
      </c>
      <c r="L351">
        <f>IF(COUNTIFS('United Data'!$A$3:$A$3390,L$1,'United Data'!$C$3:$C$3390,$A351)&gt;0,1,0)</f>
        <v>0</v>
      </c>
      <c r="M351">
        <f>IF(COUNTIFS('United Data'!$A$3:$A$3390,M$1,'United Data'!$C$3:$C$3390,$A351)&gt;0,1,0)</f>
        <v>0</v>
      </c>
      <c r="N351">
        <f>IF(COUNTIFS('United Data'!$A$3:$A$3390,N$1,'United Data'!$C$3:$C$3390,$A351)&gt;0,1,0)</f>
        <v>0</v>
      </c>
      <c r="O351">
        <f>IF(COUNTIFS('United Data'!$A$3:$A$3390,O$1,'United Data'!$C$3:$C$3390,$A351)&gt;0,1,0)</f>
        <v>0</v>
      </c>
      <c r="P351">
        <f>IF(COUNTIFS('United Data'!$A$3:$A$3390,P$1,'United Data'!$C$3:$C$3390,$A351)&gt;0,1,0)</f>
        <v>0</v>
      </c>
      <c r="Q351">
        <f>IF(COUNTIFS('United Data'!$A$3:$A$3390,Q$1,'United Data'!$C$3:$C$3390,$A351)&gt;0,1,0)</f>
        <v>0</v>
      </c>
      <c r="R351">
        <f>IF(COUNTIFS('United Data'!$A$3:$A$3390,R$1,'United Data'!$C$3:$C$3390,$A351)&gt;0,1,0)</f>
        <v>0</v>
      </c>
      <c r="S351">
        <f t="shared" si="10"/>
        <v>4</v>
      </c>
      <c r="T351">
        <f t="shared" si="11"/>
        <v>1</v>
      </c>
    </row>
    <row r="352" spans="1:20" x14ac:dyDescent="0.2">
      <c r="A352" t="s">
        <v>441</v>
      </c>
      <c r="B352">
        <f>IF(COUNTIFS('United Data'!$A$3:$A$3390,B$1,'United Data'!$C$3:$C$3390,$A352)&gt;0,1,0)</f>
        <v>0</v>
      </c>
      <c r="C352">
        <f>IF(COUNTIFS('United Data'!$A$3:$A$3390,C$1,'United Data'!$C$3:$C$3390,$A352)&gt;0,1,0)</f>
        <v>1</v>
      </c>
      <c r="D352">
        <f>IF(COUNTIFS('United Data'!$A$3:$A$3390,D$1,'United Data'!$C$3:$C$3390,$A352)&gt;0,1,0)</f>
        <v>1</v>
      </c>
      <c r="E352">
        <f>IF(COUNTIFS('United Data'!$A$3:$A$3390,E$1,'United Data'!$C$3:$C$3390,$A352)&gt;0,1,0)</f>
        <v>1</v>
      </c>
      <c r="F352">
        <f>IF(COUNTIFS('United Data'!$A$3:$A$3390,F$1,'United Data'!$C$3:$C$3390,$A352)&gt;0,1,0)</f>
        <v>1</v>
      </c>
      <c r="G352">
        <f>IF(COUNTIFS('United Data'!$A$3:$A$3390,G$1,'United Data'!$C$3:$C$3390,$A352)&gt;0,1,0)</f>
        <v>0</v>
      </c>
      <c r="H352">
        <f>IF(COUNTIFS('United Data'!$A$3:$A$3390,H$1,'United Data'!$C$3:$C$3390,$A352)&gt;0,1,0)</f>
        <v>0</v>
      </c>
      <c r="I352">
        <f>IF(COUNTIFS('United Data'!$A$3:$A$3390,I$1,'United Data'!$C$3:$C$3390,$A352)&gt;0,1,0)</f>
        <v>0</v>
      </c>
      <c r="J352">
        <f>IF(COUNTIFS('United Data'!$A$3:$A$3390,J$1,'United Data'!$C$3:$C$3390,$A352)&gt;0,1,0)</f>
        <v>1</v>
      </c>
      <c r="K352">
        <f>IF(COUNTIFS('United Data'!$A$3:$A$3390,K$1,'United Data'!$C$3:$C$3390,$A352)&gt;0,1,0)</f>
        <v>0</v>
      </c>
      <c r="L352">
        <f>IF(COUNTIFS('United Data'!$A$3:$A$3390,L$1,'United Data'!$C$3:$C$3390,$A352)&gt;0,1,0)</f>
        <v>0</v>
      </c>
      <c r="M352">
        <f>IF(COUNTIFS('United Data'!$A$3:$A$3390,M$1,'United Data'!$C$3:$C$3390,$A352)&gt;0,1,0)</f>
        <v>0</v>
      </c>
      <c r="N352">
        <f>IF(COUNTIFS('United Data'!$A$3:$A$3390,N$1,'United Data'!$C$3:$C$3390,$A352)&gt;0,1,0)</f>
        <v>0</v>
      </c>
      <c r="O352">
        <f>IF(COUNTIFS('United Data'!$A$3:$A$3390,O$1,'United Data'!$C$3:$C$3390,$A352)&gt;0,1,0)</f>
        <v>0</v>
      </c>
      <c r="P352">
        <f>IF(COUNTIFS('United Data'!$A$3:$A$3390,P$1,'United Data'!$C$3:$C$3390,$A352)&gt;0,1,0)</f>
        <v>0</v>
      </c>
      <c r="Q352">
        <f>IF(COUNTIFS('United Data'!$A$3:$A$3390,Q$1,'United Data'!$C$3:$C$3390,$A352)&gt;0,1,0)</f>
        <v>0</v>
      </c>
      <c r="R352">
        <f>IF(COUNTIFS('United Data'!$A$3:$A$3390,R$1,'United Data'!$C$3:$C$3390,$A352)&gt;0,1,0)</f>
        <v>0</v>
      </c>
      <c r="S352">
        <f t="shared" si="10"/>
        <v>5</v>
      </c>
      <c r="T352">
        <f t="shared" si="11"/>
        <v>2</v>
      </c>
    </row>
    <row r="353" spans="1:20" x14ac:dyDescent="0.2">
      <c r="A353" t="s">
        <v>444</v>
      </c>
      <c r="B353">
        <f>IF(COUNTIFS('United Data'!$A$3:$A$3390,B$1,'United Data'!$C$3:$C$3390,$A353)&gt;0,1,0)</f>
        <v>0</v>
      </c>
      <c r="C353">
        <f>IF(COUNTIFS('United Data'!$A$3:$A$3390,C$1,'United Data'!$C$3:$C$3390,$A353)&gt;0,1,0)</f>
        <v>0</v>
      </c>
      <c r="D353">
        <f>IF(COUNTIFS('United Data'!$A$3:$A$3390,D$1,'United Data'!$C$3:$C$3390,$A353)&gt;0,1,0)</f>
        <v>1</v>
      </c>
      <c r="E353">
        <f>IF(COUNTIFS('United Data'!$A$3:$A$3390,E$1,'United Data'!$C$3:$C$3390,$A353)&gt;0,1,0)</f>
        <v>0</v>
      </c>
      <c r="F353">
        <f>IF(COUNTIFS('United Data'!$A$3:$A$3390,F$1,'United Data'!$C$3:$C$3390,$A353)&gt;0,1,0)</f>
        <v>0</v>
      </c>
      <c r="G353">
        <f>IF(COUNTIFS('United Data'!$A$3:$A$3390,G$1,'United Data'!$C$3:$C$3390,$A353)&gt;0,1,0)</f>
        <v>0</v>
      </c>
      <c r="H353">
        <f>IF(COUNTIFS('United Data'!$A$3:$A$3390,H$1,'United Data'!$C$3:$C$3390,$A353)&gt;0,1,0)</f>
        <v>0</v>
      </c>
      <c r="I353">
        <f>IF(COUNTIFS('United Data'!$A$3:$A$3390,I$1,'United Data'!$C$3:$C$3390,$A353)&gt;0,1,0)</f>
        <v>0</v>
      </c>
      <c r="J353">
        <f>IF(COUNTIFS('United Data'!$A$3:$A$3390,J$1,'United Data'!$C$3:$C$3390,$A353)&gt;0,1,0)</f>
        <v>0</v>
      </c>
      <c r="K353">
        <f>IF(COUNTIFS('United Data'!$A$3:$A$3390,K$1,'United Data'!$C$3:$C$3390,$A353)&gt;0,1,0)</f>
        <v>0</v>
      </c>
      <c r="L353">
        <f>IF(COUNTIFS('United Data'!$A$3:$A$3390,L$1,'United Data'!$C$3:$C$3390,$A353)&gt;0,1,0)</f>
        <v>0</v>
      </c>
      <c r="M353">
        <f>IF(COUNTIFS('United Data'!$A$3:$A$3390,M$1,'United Data'!$C$3:$C$3390,$A353)&gt;0,1,0)</f>
        <v>0</v>
      </c>
      <c r="N353">
        <f>IF(COUNTIFS('United Data'!$A$3:$A$3390,N$1,'United Data'!$C$3:$C$3390,$A353)&gt;0,1,0)</f>
        <v>0</v>
      </c>
      <c r="O353">
        <f>IF(COUNTIFS('United Data'!$A$3:$A$3390,O$1,'United Data'!$C$3:$C$3390,$A353)&gt;0,1,0)</f>
        <v>0</v>
      </c>
      <c r="P353">
        <f>IF(COUNTIFS('United Data'!$A$3:$A$3390,P$1,'United Data'!$C$3:$C$3390,$A353)&gt;0,1,0)</f>
        <v>0</v>
      </c>
      <c r="Q353">
        <f>IF(COUNTIFS('United Data'!$A$3:$A$3390,Q$1,'United Data'!$C$3:$C$3390,$A353)&gt;0,1,0)</f>
        <v>0</v>
      </c>
      <c r="R353">
        <f>IF(COUNTIFS('United Data'!$A$3:$A$3390,R$1,'United Data'!$C$3:$C$3390,$A353)&gt;0,1,0)</f>
        <v>0</v>
      </c>
      <c r="S353">
        <f t="shared" si="10"/>
        <v>1</v>
      </c>
      <c r="T353">
        <f t="shared" si="11"/>
        <v>1</v>
      </c>
    </row>
    <row r="354" spans="1:20" x14ac:dyDescent="0.2">
      <c r="A354" t="s">
        <v>445</v>
      </c>
      <c r="B354">
        <f>IF(COUNTIFS('United Data'!$A$3:$A$3390,B$1,'United Data'!$C$3:$C$3390,$A354)&gt;0,1,0)</f>
        <v>0</v>
      </c>
      <c r="C354">
        <f>IF(COUNTIFS('United Data'!$A$3:$A$3390,C$1,'United Data'!$C$3:$C$3390,$A354)&gt;0,1,0)</f>
        <v>0</v>
      </c>
      <c r="D354">
        <f>IF(COUNTIFS('United Data'!$A$3:$A$3390,D$1,'United Data'!$C$3:$C$3390,$A354)&gt;0,1,0)</f>
        <v>1</v>
      </c>
      <c r="E354">
        <f>IF(COUNTIFS('United Data'!$A$3:$A$3390,E$1,'United Data'!$C$3:$C$3390,$A354)&gt;0,1,0)</f>
        <v>1</v>
      </c>
      <c r="F354">
        <f>IF(COUNTIFS('United Data'!$A$3:$A$3390,F$1,'United Data'!$C$3:$C$3390,$A354)&gt;0,1,0)</f>
        <v>1</v>
      </c>
      <c r="G354">
        <f>IF(COUNTIFS('United Data'!$A$3:$A$3390,G$1,'United Data'!$C$3:$C$3390,$A354)&gt;0,1,0)</f>
        <v>1</v>
      </c>
      <c r="H354">
        <f>IF(COUNTIFS('United Data'!$A$3:$A$3390,H$1,'United Data'!$C$3:$C$3390,$A354)&gt;0,1,0)</f>
        <v>0</v>
      </c>
      <c r="I354">
        <f>IF(COUNTIFS('United Data'!$A$3:$A$3390,I$1,'United Data'!$C$3:$C$3390,$A354)&gt;0,1,0)</f>
        <v>0</v>
      </c>
      <c r="J354">
        <f>IF(COUNTIFS('United Data'!$A$3:$A$3390,J$1,'United Data'!$C$3:$C$3390,$A354)&gt;0,1,0)</f>
        <v>0</v>
      </c>
      <c r="K354">
        <f>IF(COUNTIFS('United Data'!$A$3:$A$3390,K$1,'United Data'!$C$3:$C$3390,$A354)&gt;0,1,0)</f>
        <v>0</v>
      </c>
      <c r="L354">
        <f>IF(COUNTIFS('United Data'!$A$3:$A$3390,L$1,'United Data'!$C$3:$C$3390,$A354)&gt;0,1,0)</f>
        <v>0</v>
      </c>
      <c r="M354">
        <f>IF(COUNTIFS('United Data'!$A$3:$A$3390,M$1,'United Data'!$C$3:$C$3390,$A354)&gt;0,1,0)</f>
        <v>0</v>
      </c>
      <c r="N354">
        <f>IF(COUNTIFS('United Data'!$A$3:$A$3390,N$1,'United Data'!$C$3:$C$3390,$A354)&gt;0,1,0)</f>
        <v>1</v>
      </c>
      <c r="O354">
        <f>IF(COUNTIFS('United Data'!$A$3:$A$3390,O$1,'United Data'!$C$3:$C$3390,$A354)&gt;0,1,0)</f>
        <v>1</v>
      </c>
      <c r="P354">
        <f>IF(COUNTIFS('United Data'!$A$3:$A$3390,P$1,'United Data'!$C$3:$C$3390,$A354)&gt;0,1,0)</f>
        <v>0</v>
      </c>
      <c r="Q354">
        <f>IF(COUNTIFS('United Data'!$A$3:$A$3390,Q$1,'United Data'!$C$3:$C$3390,$A354)&gt;0,1,0)</f>
        <v>1</v>
      </c>
      <c r="R354">
        <f>IF(COUNTIFS('United Data'!$A$3:$A$3390,R$1,'United Data'!$C$3:$C$3390,$A354)&gt;0,1,0)</f>
        <v>0</v>
      </c>
      <c r="S354">
        <f t="shared" si="10"/>
        <v>7</v>
      </c>
      <c r="T354">
        <f t="shared" si="11"/>
        <v>3</v>
      </c>
    </row>
    <row r="355" spans="1:20" x14ac:dyDescent="0.2">
      <c r="A355" t="s">
        <v>448</v>
      </c>
      <c r="B355">
        <f>IF(COUNTIFS('United Data'!$A$3:$A$3390,B$1,'United Data'!$C$3:$C$3390,$A355)&gt;0,1,0)</f>
        <v>0</v>
      </c>
      <c r="C355">
        <f>IF(COUNTIFS('United Data'!$A$3:$A$3390,C$1,'United Data'!$C$3:$C$3390,$A355)&gt;0,1,0)</f>
        <v>0</v>
      </c>
      <c r="D355">
        <f>IF(COUNTIFS('United Data'!$A$3:$A$3390,D$1,'United Data'!$C$3:$C$3390,$A355)&gt;0,1,0)</f>
        <v>0</v>
      </c>
      <c r="E355">
        <f>IF(COUNTIFS('United Data'!$A$3:$A$3390,E$1,'United Data'!$C$3:$C$3390,$A355)&gt;0,1,0)</f>
        <v>1</v>
      </c>
      <c r="F355">
        <f>IF(COUNTIFS('United Data'!$A$3:$A$3390,F$1,'United Data'!$C$3:$C$3390,$A355)&gt;0,1,0)</f>
        <v>1</v>
      </c>
      <c r="G355">
        <f>IF(COUNTIFS('United Data'!$A$3:$A$3390,G$1,'United Data'!$C$3:$C$3390,$A355)&gt;0,1,0)</f>
        <v>0</v>
      </c>
      <c r="H355">
        <f>IF(COUNTIFS('United Data'!$A$3:$A$3390,H$1,'United Data'!$C$3:$C$3390,$A355)&gt;0,1,0)</f>
        <v>0</v>
      </c>
      <c r="I355">
        <f>IF(COUNTIFS('United Data'!$A$3:$A$3390,I$1,'United Data'!$C$3:$C$3390,$A355)&gt;0,1,0)</f>
        <v>0</v>
      </c>
      <c r="J355">
        <f>IF(COUNTIFS('United Data'!$A$3:$A$3390,J$1,'United Data'!$C$3:$C$3390,$A355)&gt;0,1,0)</f>
        <v>1</v>
      </c>
      <c r="K355">
        <f>IF(COUNTIFS('United Data'!$A$3:$A$3390,K$1,'United Data'!$C$3:$C$3390,$A355)&gt;0,1,0)</f>
        <v>0</v>
      </c>
      <c r="L355">
        <f>IF(COUNTIFS('United Data'!$A$3:$A$3390,L$1,'United Data'!$C$3:$C$3390,$A355)&gt;0,1,0)</f>
        <v>0</v>
      </c>
      <c r="M355">
        <f>IF(COUNTIFS('United Data'!$A$3:$A$3390,M$1,'United Data'!$C$3:$C$3390,$A355)&gt;0,1,0)</f>
        <v>0</v>
      </c>
      <c r="N355">
        <f>IF(COUNTIFS('United Data'!$A$3:$A$3390,N$1,'United Data'!$C$3:$C$3390,$A355)&gt;0,1,0)</f>
        <v>0</v>
      </c>
      <c r="O355">
        <f>IF(COUNTIFS('United Data'!$A$3:$A$3390,O$1,'United Data'!$C$3:$C$3390,$A355)&gt;0,1,0)</f>
        <v>1</v>
      </c>
      <c r="P355">
        <f>IF(COUNTIFS('United Data'!$A$3:$A$3390,P$1,'United Data'!$C$3:$C$3390,$A355)&gt;0,1,0)</f>
        <v>0</v>
      </c>
      <c r="Q355">
        <f>IF(COUNTIFS('United Data'!$A$3:$A$3390,Q$1,'United Data'!$C$3:$C$3390,$A355)&gt;0,1,0)</f>
        <v>0</v>
      </c>
      <c r="R355">
        <f>IF(COUNTIFS('United Data'!$A$3:$A$3390,R$1,'United Data'!$C$3:$C$3390,$A355)&gt;0,1,0)</f>
        <v>0</v>
      </c>
      <c r="S355">
        <f t="shared" si="10"/>
        <v>4</v>
      </c>
      <c r="T355">
        <f t="shared" si="11"/>
        <v>3</v>
      </c>
    </row>
    <row r="356" spans="1:20" x14ac:dyDescent="0.2">
      <c r="A356" t="s">
        <v>449</v>
      </c>
      <c r="B356">
        <f>IF(COUNTIFS('United Data'!$A$3:$A$3390,B$1,'United Data'!$C$3:$C$3390,$A356)&gt;0,1,0)</f>
        <v>0</v>
      </c>
      <c r="C356">
        <f>IF(COUNTIFS('United Data'!$A$3:$A$3390,C$1,'United Data'!$C$3:$C$3390,$A356)&gt;0,1,0)</f>
        <v>0</v>
      </c>
      <c r="D356">
        <f>IF(COUNTIFS('United Data'!$A$3:$A$3390,D$1,'United Data'!$C$3:$C$3390,$A356)&gt;0,1,0)</f>
        <v>0</v>
      </c>
      <c r="E356">
        <f>IF(COUNTIFS('United Data'!$A$3:$A$3390,E$1,'United Data'!$C$3:$C$3390,$A356)&gt;0,1,0)</f>
        <v>1</v>
      </c>
      <c r="F356">
        <f>IF(COUNTIFS('United Data'!$A$3:$A$3390,F$1,'United Data'!$C$3:$C$3390,$A356)&gt;0,1,0)</f>
        <v>0</v>
      </c>
      <c r="G356">
        <f>IF(COUNTIFS('United Data'!$A$3:$A$3390,G$1,'United Data'!$C$3:$C$3390,$A356)&gt;0,1,0)</f>
        <v>0</v>
      </c>
      <c r="H356">
        <f>IF(COUNTIFS('United Data'!$A$3:$A$3390,H$1,'United Data'!$C$3:$C$3390,$A356)&gt;0,1,0)</f>
        <v>0</v>
      </c>
      <c r="I356">
        <f>IF(COUNTIFS('United Data'!$A$3:$A$3390,I$1,'United Data'!$C$3:$C$3390,$A356)&gt;0,1,0)</f>
        <v>0</v>
      </c>
      <c r="J356">
        <f>IF(COUNTIFS('United Data'!$A$3:$A$3390,J$1,'United Data'!$C$3:$C$3390,$A356)&gt;0,1,0)</f>
        <v>0</v>
      </c>
      <c r="K356">
        <f>IF(COUNTIFS('United Data'!$A$3:$A$3390,K$1,'United Data'!$C$3:$C$3390,$A356)&gt;0,1,0)</f>
        <v>0</v>
      </c>
      <c r="L356">
        <f>IF(COUNTIFS('United Data'!$A$3:$A$3390,L$1,'United Data'!$C$3:$C$3390,$A356)&gt;0,1,0)</f>
        <v>0</v>
      </c>
      <c r="M356">
        <f>IF(COUNTIFS('United Data'!$A$3:$A$3390,M$1,'United Data'!$C$3:$C$3390,$A356)&gt;0,1,0)</f>
        <v>0</v>
      </c>
      <c r="N356">
        <f>IF(COUNTIFS('United Data'!$A$3:$A$3390,N$1,'United Data'!$C$3:$C$3390,$A356)&gt;0,1,0)</f>
        <v>0</v>
      </c>
      <c r="O356">
        <f>IF(COUNTIFS('United Data'!$A$3:$A$3390,O$1,'United Data'!$C$3:$C$3390,$A356)&gt;0,1,0)</f>
        <v>0</v>
      </c>
      <c r="P356">
        <f>IF(COUNTIFS('United Data'!$A$3:$A$3390,P$1,'United Data'!$C$3:$C$3390,$A356)&gt;0,1,0)</f>
        <v>0</v>
      </c>
      <c r="Q356">
        <f>IF(COUNTIFS('United Data'!$A$3:$A$3390,Q$1,'United Data'!$C$3:$C$3390,$A356)&gt;0,1,0)</f>
        <v>0</v>
      </c>
      <c r="R356">
        <f>IF(COUNTIFS('United Data'!$A$3:$A$3390,R$1,'United Data'!$C$3:$C$3390,$A356)&gt;0,1,0)</f>
        <v>0</v>
      </c>
      <c r="S356">
        <f t="shared" si="10"/>
        <v>1</v>
      </c>
      <c r="T356">
        <f t="shared" si="11"/>
        <v>1</v>
      </c>
    </row>
    <row r="357" spans="1:20" x14ac:dyDescent="0.2">
      <c r="A357" t="s">
        <v>450</v>
      </c>
      <c r="B357">
        <f>IF(COUNTIFS('United Data'!$A$3:$A$3390,B$1,'United Data'!$C$3:$C$3390,$A357)&gt;0,1,0)</f>
        <v>0</v>
      </c>
      <c r="C357">
        <f>IF(COUNTIFS('United Data'!$A$3:$A$3390,C$1,'United Data'!$C$3:$C$3390,$A357)&gt;0,1,0)</f>
        <v>0</v>
      </c>
      <c r="D357">
        <f>IF(COUNTIFS('United Data'!$A$3:$A$3390,D$1,'United Data'!$C$3:$C$3390,$A357)&gt;0,1,0)</f>
        <v>0</v>
      </c>
      <c r="E357">
        <f>IF(COUNTIFS('United Data'!$A$3:$A$3390,E$1,'United Data'!$C$3:$C$3390,$A357)&gt;0,1,0)</f>
        <v>1</v>
      </c>
      <c r="F357">
        <f>IF(COUNTIFS('United Data'!$A$3:$A$3390,F$1,'United Data'!$C$3:$C$3390,$A357)&gt;0,1,0)</f>
        <v>0</v>
      </c>
      <c r="G357">
        <f>IF(COUNTIFS('United Data'!$A$3:$A$3390,G$1,'United Data'!$C$3:$C$3390,$A357)&gt;0,1,0)</f>
        <v>0</v>
      </c>
      <c r="H357">
        <f>IF(COUNTIFS('United Data'!$A$3:$A$3390,H$1,'United Data'!$C$3:$C$3390,$A357)&gt;0,1,0)</f>
        <v>0</v>
      </c>
      <c r="I357">
        <f>IF(COUNTIFS('United Data'!$A$3:$A$3390,I$1,'United Data'!$C$3:$C$3390,$A357)&gt;0,1,0)</f>
        <v>0</v>
      </c>
      <c r="J357">
        <f>IF(COUNTIFS('United Data'!$A$3:$A$3390,J$1,'United Data'!$C$3:$C$3390,$A357)&gt;0,1,0)</f>
        <v>0</v>
      </c>
      <c r="K357">
        <f>IF(COUNTIFS('United Data'!$A$3:$A$3390,K$1,'United Data'!$C$3:$C$3390,$A357)&gt;0,1,0)</f>
        <v>0</v>
      </c>
      <c r="L357">
        <f>IF(COUNTIFS('United Data'!$A$3:$A$3390,L$1,'United Data'!$C$3:$C$3390,$A357)&gt;0,1,0)</f>
        <v>0</v>
      </c>
      <c r="M357">
        <f>IF(COUNTIFS('United Data'!$A$3:$A$3390,M$1,'United Data'!$C$3:$C$3390,$A357)&gt;0,1,0)</f>
        <v>0</v>
      </c>
      <c r="N357">
        <f>IF(COUNTIFS('United Data'!$A$3:$A$3390,N$1,'United Data'!$C$3:$C$3390,$A357)&gt;0,1,0)</f>
        <v>0</v>
      </c>
      <c r="O357">
        <f>IF(COUNTIFS('United Data'!$A$3:$A$3390,O$1,'United Data'!$C$3:$C$3390,$A357)&gt;0,1,0)</f>
        <v>0</v>
      </c>
      <c r="P357">
        <f>IF(COUNTIFS('United Data'!$A$3:$A$3390,P$1,'United Data'!$C$3:$C$3390,$A357)&gt;0,1,0)</f>
        <v>0</v>
      </c>
      <c r="Q357">
        <f>IF(COUNTIFS('United Data'!$A$3:$A$3390,Q$1,'United Data'!$C$3:$C$3390,$A357)&gt;0,1,0)</f>
        <v>0</v>
      </c>
      <c r="R357">
        <f>IF(COUNTIFS('United Data'!$A$3:$A$3390,R$1,'United Data'!$C$3:$C$3390,$A357)&gt;0,1,0)</f>
        <v>0</v>
      </c>
      <c r="S357">
        <f t="shared" si="10"/>
        <v>1</v>
      </c>
      <c r="T357">
        <f t="shared" si="11"/>
        <v>1</v>
      </c>
    </row>
    <row r="358" spans="1:20" x14ac:dyDescent="0.2">
      <c r="A358" t="s">
        <v>451</v>
      </c>
      <c r="B358">
        <f>IF(COUNTIFS('United Data'!$A$3:$A$3390,B$1,'United Data'!$C$3:$C$3390,$A358)&gt;0,1,0)</f>
        <v>0</v>
      </c>
      <c r="C358">
        <f>IF(COUNTIFS('United Data'!$A$3:$A$3390,C$1,'United Data'!$C$3:$C$3390,$A358)&gt;0,1,0)</f>
        <v>0</v>
      </c>
      <c r="D358">
        <f>IF(COUNTIFS('United Data'!$A$3:$A$3390,D$1,'United Data'!$C$3:$C$3390,$A358)&gt;0,1,0)</f>
        <v>0</v>
      </c>
      <c r="E358">
        <f>IF(COUNTIFS('United Data'!$A$3:$A$3390,E$1,'United Data'!$C$3:$C$3390,$A358)&gt;0,1,0)</f>
        <v>1</v>
      </c>
      <c r="F358">
        <f>IF(COUNTIFS('United Data'!$A$3:$A$3390,F$1,'United Data'!$C$3:$C$3390,$A358)&gt;0,1,0)</f>
        <v>0</v>
      </c>
      <c r="G358">
        <f>IF(COUNTIFS('United Data'!$A$3:$A$3390,G$1,'United Data'!$C$3:$C$3390,$A358)&gt;0,1,0)</f>
        <v>0</v>
      </c>
      <c r="H358">
        <f>IF(COUNTIFS('United Data'!$A$3:$A$3390,H$1,'United Data'!$C$3:$C$3390,$A358)&gt;0,1,0)</f>
        <v>0</v>
      </c>
      <c r="I358">
        <f>IF(COUNTIFS('United Data'!$A$3:$A$3390,I$1,'United Data'!$C$3:$C$3390,$A358)&gt;0,1,0)</f>
        <v>0</v>
      </c>
      <c r="J358">
        <f>IF(COUNTIFS('United Data'!$A$3:$A$3390,J$1,'United Data'!$C$3:$C$3390,$A358)&gt;0,1,0)</f>
        <v>0</v>
      </c>
      <c r="K358">
        <f>IF(COUNTIFS('United Data'!$A$3:$A$3390,K$1,'United Data'!$C$3:$C$3390,$A358)&gt;0,1,0)</f>
        <v>0</v>
      </c>
      <c r="L358">
        <f>IF(COUNTIFS('United Data'!$A$3:$A$3390,L$1,'United Data'!$C$3:$C$3390,$A358)&gt;0,1,0)</f>
        <v>0</v>
      </c>
      <c r="M358">
        <f>IF(COUNTIFS('United Data'!$A$3:$A$3390,M$1,'United Data'!$C$3:$C$3390,$A358)&gt;0,1,0)</f>
        <v>0</v>
      </c>
      <c r="N358">
        <f>IF(COUNTIFS('United Data'!$A$3:$A$3390,N$1,'United Data'!$C$3:$C$3390,$A358)&gt;0,1,0)</f>
        <v>0</v>
      </c>
      <c r="O358">
        <f>IF(COUNTIFS('United Data'!$A$3:$A$3390,O$1,'United Data'!$C$3:$C$3390,$A358)&gt;0,1,0)</f>
        <v>1</v>
      </c>
      <c r="P358">
        <f>IF(COUNTIFS('United Data'!$A$3:$A$3390,P$1,'United Data'!$C$3:$C$3390,$A358)&gt;0,1,0)</f>
        <v>0</v>
      </c>
      <c r="Q358">
        <f>IF(COUNTIFS('United Data'!$A$3:$A$3390,Q$1,'United Data'!$C$3:$C$3390,$A358)&gt;0,1,0)</f>
        <v>0</v>
      </c>
      <c r="R358">
        <f>IF(COUNTIFS('United Data'!$A$3:$A$3390,R$1,'United Data'!$C$3:$C$3390,$A358)&gt;0,1,0)</f>
        <v>0</v>
      </c>
      <c r="S358">
        <f t="shared" si="10"/>
        <v>2</v>
      </c>
      <c r="T358">
        <f t="shared" si="11"/>
        <v>2</v>
      </c>
    </row>
    <row r="359" spans="1:20" x14ac:dyDescent="0.2">
      <c r="A359" t="s">
        <v>452</v>
      </c>
      <c r="B359">
        <f>IF(COUNTIFS('United Data'!$A$3:$A$3390,B$1,'United Data'!$C$3:$C$3390,$A359)&gt;0,1,0)</f>
        <v>0</v>
      </c>
      <c r="C359">
        <f>IF(COUNTIFS('United Data'!$A$3:$A$3390,C$1,'United Data'!$C$3:$C$3390,$A359)&gt;0,1,0)</f>
        <v>0</v>
      </c>
      <c r="D359">
        <f>IF(COUNTIFS('United Data'!$A$3:$A$3390,D$1,'United Data'!$C$3:$C$3390,$A359)&gt;0,1,0)</f>
        <v>0</v>
      </c>
      <c r="E359">
        <f>IF(COUNTIFS('United Data'!$A$3:$A$3390,E$1,'United Data'!$C$3:$C$3390,$A359)&gt;0,1,0)</f>
        <v>1</v>
      </c>
      <c r="F359">
        <f>IF(COUNTIFS('United Data'!$A$3:$A$3390,F$1,'United Data'!$C$3:$C$3390,$A359)&gt;0,1,0)</f>
        <v>0</v>
      </c>
      <c r="G359">
        <f>IF(COUNTIFS('United Data'!$A$3:$A$3390,G$1,'United Data'!$C$3:$C$3390,$A359)&gt;0,1,0)</f>
        <v>0</v>
      </c>
      <c r="H359">
        <f>IF(COUNTIFS('United Data'!$A$3:$A$3390,H$1,'United Data'!$C$3:$C$3390,$A359)&gt;0,1,0)</f>
        <v>0</v>
      </c>
      <c r="I359">
        <f>IF(COUNTIFS('United Data'!$A$3:$A$3390,I$1,'United Data'!$C$3:$C$3390,$A359)&gt;0,1,0)</f>
        <v>0</v>
      </c>
      <c r="J359">
        <f>IF(COUNTIFS('United Data'!$A$3:$A$3390,J$1,'United Data'!$C$3:$C$3390,$A359)&gt;0,1,0)</f>
        <v>0</v>
      </c>
      <c r="K359">
        <f>IF(COUNTIFS('United Data'!$A$3:$A$3390,K$1,'United Data'!$C$3:$C$3390,$A359)&gt;0,1,0)</f>
        <v>0</v>
      </c>
      <c r="L359">
        <f>IF(COUNTIFS('United Data'!$A$3:$A$3390,L$1,'United Data'!$C$3:$C$3390,$A359)&gt;0,1,0)</f>
        <v>0</v>
      </c>
      <c r="M359">
        <f>IF(COUNTIFS('United Data'!$A$3:$A$3390,M$1,'United Data'!$C$3:$C$3390,$A359)&gt;0,1,0)</f>
        <v>0</v>
      </c>
      <c r="N359">
        <f>IF(COUNTIFS('United Data'!$A$3:$A$3390,N$1,'United Data'!$C$3:$C$3390,$A359)&gt;0,1,0)</f>
        <v>0</v>
      </c>
      <c r="O359">
        <f>IF(COUNTIFS('United Data'!$A$3:$A$3390,O$1,'United Data'!$C$3:$C$3390,$A359)&gt;0,1,0)</f>
        <v>0</v>
      </c>
      <c r="P359">
        <f>IF(COUNTIFS('United Data'!$A$3:$A$3390,P$1,'United Data'!$C$3:$C$3390,$A359)&gt;0,1,0)</f>
        <v>0</v>
      </c>
      <c r="Q359">
        <f>IF(COUNTIFS('United Data'!$A$3:$A$3390,Q$1,'United Data'!$C$3:$C$3390,$A359)&gt;0,1,0)</f>
        <v>0</v>
      </c>
      <c r="R359">
        <f>IF(COUNTIFS('United Data'!$A$3:$A$3390,R$1,'United Data'!$C$3:$C$3390,$A359)&gt;0,1,0)</f>
        <v>0</v>
      </c>
      <c r="S359">
        <f t="shared" si="10"/>
        <v>1</v>
      </c>
      <c r="T359">
        <f t="shared" si="11"/>
        <v>1</v>
      </c>
    </row>
    <row r="360" spans="1:20" x14ac:dyDescent="0.2">
      <c r="A360" t="s">
        <v>453</v>
      </c>
      <c r="B360">
        <f>IF(COUNTIFS('United Data'!$A$3:$A$3390,B$1,'United Data'!$C$3:$C$3390,$A360)&gt;0,1,0)</f>
        <v>0</v>
      </c>
      <c r="C360">
        <f>IF(COUNTIFS('United Data'!$A$3:$A$3390,C$1,'United Data'!$C$3:$C$3390,$A360)&gt;0,1,0)</f>
        <v>0</v>
      </c>
      <c r="D360">
        <f>IF(COUNTIFS('United Data'!$A$3:$A$3390,D$1,'United Data'!$C$3:$C$3390,$A360)&gt;0,1,0)</f>
        <v>0</v>
      </c>
      <c r="E360">
        <f>IF(COUNTIFS('United Data'!$A$3:$A$3390,E$1,'United Data'!$C$3:$C$3390,$A360)&gt;0,1,0)</f>
        <v>0</v>
      </c>
      <c r="F360">
        <f>IF(COUNTIFS('United Data'!$A$3:$A$3390,F$1,'United Data'!$C$3:$C$3390,$A360)&gt;0,1,0)</f>
        <v>1</v>
      </c>
      <c r="G360">
        <f>IF(COUNTIFS('United Data'!$A$3:$A$3390,G$1,'United Data'!$C$3:$C$3390,$A360)&gt;0,1,0)</f>
        <v>0</v>
      </c>
      <c r="H360">
        <f>IF(COUNTIFS('United Data'!$A$3:$A$3390,H$1,'United Data'!$C$3:$C$3390,$A360)&gt;0,1,0)</f>
        <v>0</v>
      </c>
      <c r="I360">
        <f>IF(COUNTIFS('United Data'!$A$3:$A$3390,I$1,'United Data'!$C$3:$C$3390,$A360)&gt;0,1,0)</f>
        <v>0</v>
      </c>
      <c r="J360">
        <f>IF(COUNTIFS('United Data'!$A$3:$A$3390,J$1,'United Data'!$C$3:$C$3390,$A360)&gt;0,1,0)</f>
        <v>0</v>
      </c>
      <c r="K360">
        <f>IF(COUNTIFS('United Data'!$A$3:$A$3390,K$1,'United Data'!$C$3:$C$3390,$A360)&gt;0,1,0)</f>
        <v>0</v>
      </c>
      <c r="L360">
        <f>IF(COUNTIFS('United Data'!$A$3:$A$3390,L$1,'United Data'!$C$3:$C$3390,$A360)&gt;0,1,0)</f>
        <v>0</v>
      </c>
      <c r="M360">
        <f>IF(COUNTIFS('United Data'!$A$3:$A$3390,M$1,'United Data'!$C$3:$C$3390,$A360)&gt;0,1,0)</f>
        <v>1</v>
      </c>
      <c r="N360">
        <f>IF(COUNTIFS('United Data'!$A$3:$A$3390,N$1,'United Data'!$C$3:$C$3390,$A360)&gt;0,1,0)</f>
        <v>1</v>
      </c>
      <c r="O360">
        <f>IF(COUNTIFS('United Data'!$A$3:$A$3390,O$1,'United Data'!$C$3:$C$3390,$A360)&gt;0,1,0)</f>
        <v>0</v>
      </c>
      <c r="P360">
        <f>IF(COUNTIFS('United Data'!$A$3:$A$3390,P$1,'United Data'!$C$3:$C$3390,$A360)&gt;0,1,0)</f>
        <v>0</v>
      </c>
      <c r="Q360">
        <f>IF(COUNTIFS('United Data'!$A$3:$A$3390,Q$1,'United Data'!$C$3:$C$3390,$A360)&gt;0,1,0)</f>
        <v>1</v>
      </c>
      <c r="R360">
        <f>IF(COUNTIFS('United Data'!$A$3:$A$3390,R$1,'United Data'!$C$3:$C$3390,$A360)&gt;0,1,0)</f>
        <v>0</v>
      </c>
      <c r="S360">
        <f t="shared" si="10"/>
        <v>4</v>
      </c>
      <c r="T360">
        <f t="shared" si="11"/>
        <v>3</v>
      </c>
    </row>
    <row r="361" spans="1:20" x14ac:dyDescent="0.2">
      <c r="A361" t="s">
        <v>454</v>
      </c>
      <c r="B361">
        <f>IF(COUNTIFS('United Data'!$A$3:$A$3390,B$1,'United Data'!$C$3:$C$3390,$A361)&gt;0,1,0)</f>
        <v>0</v>
      </c>
      <c r="C361">
        <f>IF(COUNTIFS('United Data'!$A$3:$A$3390,C$1,'United Data'!$C$3:$C$3390,$A361)&gt;0,1,0)</f>
        <v>0</v>
      </c>
      <c r="D361">
        <f>IF(COUNTIFS('United Data'!$A$3:$A$3390,D$1,'United Data'!$C$3:$C$3390,$A361)&gt;0,1,0)</f>
        <v>0</v>
      </c>
      <c r="E361">
        <f>IF(COUNTIFS('United Data'!$A$3:$A$3390,E$1,'United Data'!$C$3:$C$3390,$A361)&gt;0,1,0)</f>
        <v>0</v>
      </c>
      <c r="F361">
        <f>IF(COUNTIFS('United Data'!$A$3:$A$3390,F$1,'United Data'!$C$3:$C$3390,$A361)&gt;0,1,0)</f>
        <v>1</v>
      </c>
      <c r="G361">
        <f>IF(COUNTIFS('United Data'!$A$3:$A$3390,G$1,'United Data'!$C$3:$C$3390,$A361)&gt;0,1,0)</f>
        <v>0</v>
      </c>
      <c r="H361">
        <f>IF(COUNTIFS('United Data'!$A$3:$A$3390,H$1,'United Data'!$C$3:$C$3390,$A361)&gt;0,1,0)</f>
        <v>0</v>
      </c>
      <c r="I361">
        <f>IF(COUNTIFS('United Data'!$A$3:$A$3390,I$1,'United Data'!$C$3:$C$3390,$A361)&gt;0,1,0)</f>
        <v>0</v>
      </c>
      <c r="J361">
        <f>IF(COUNTIFS('United Data'!$A$3:$A$3390,J$1,'United Data'!$C$3:$C$3390,$A361)&gt;0,1,0)</f>
        <v>0</v>
      </c>
      <c r="K361">
        <f>IF(COUNTIFS('United Data'!$A$3:$A$3390,K$1,'United Data'!$C$3:$C$3390,$A361)&gt;0,1,0)</f>
        <v>0</v>
      </c>
      <c r="L361">
        <f>IF(COUNTIFS('United Data'!$A$3:$A$3390,L$1,'United Data'!$C$3:$C$3390,$A361)&gt;0,1,0)</f>
        <v>0</v>
      </c>
      <c r="M361">
        <f>IF(COUNTIFS('United Data'!$A$3:$A$3390,M$1,'United Data'!$C$3:$C$3390,$A361)&gt;0,1,0)</f>
        <v>0</v>
      </c>
      <c r="N361">
        <f>IF(COUNTIFS('United Data'!$A$3:$A$3390,N$1,'United Data'!$C$3:$C$3390,$A361)&gt;0,1,0)</f>
        <v>0</v>
      </c>
      <c r="O361">
        <f>IF(COUNTIFS('United Data'!$A$3:$A$3390,O$1,'United Data'!$C$3:$C$3390,$A361)&gt;0,1,0)</f>
        <v>0</v>
      </c>
      <c r="P361">
        <f>IF(COUNTIFS('United Data'!$A$3:$A$3390,P$1,'United Data'!$C$3:$C$3390,$A361)&gt;0,1,0)</f>
        <v>0</v>
      </c>
      <c r="Q361">
        <f>IF(COUNTIFS('United Data'!$A$3:$A$3390,Q$1,'United Data'!$C$3:$C$3390,$A361)&gt;0,1,0)</f>
        <v>0</v>
      </c>
      <c r="R361">
        <f>IF(COUNTIFS('United Data'!$A$3:$A$3390,R$1,'United Data'!$C$3:$C$3390,$A361)&gt;0,1,0)</f>
        <v>0</v>
      </c>
      <c r="S361">
        <f t="shared" si="10"/>
        <v>1</v>
      </c>
      <c r="T361">
        <f t="shared" si="11"/>
        <v>1</v>
      </c>
    </row>
    <row r="362" spans="1:20" x14ac:dyDescent="0.2">
      <c r="A362" t="s">
        <v>455</v>
      </c>
      <c r="B362">
        <f>IF(COUNTIFS('United Data'!$A$3:$A$3390,B$1,'United Data'!$C$3:$C$3390,$A362)&gt;0,1,0)</f>
        <v>0</v>
      </c>
      <c r="C362">
        <f>IF(COUNTIFS('United Data'!$A$3:$A$3390,C$1,'United Data'!$C$3:$C$3390,$A362)&gt;0,1,0)</f>
        <v>0</v>
      </c>
      <c r="D362">
        <f>IF(COUNTIFS('United Data'!$A$3:$A$3390,D$1,'United Data'!$C$3:$C$3390,$A362)&gt;0,1,0)</f>
        <v>0</v>
      </c>
      <c r="E362">
        <f>IF(COUNTIFS('United Data'!$A$3:$A$3390,E$1,'United Data'!$C$3:$C$3390,$A362)&gt;0,1,0)</f>
        <v>0</v>
      </c>
      <c r="F362">
        <f>IF(COUNTIFS('United Data'!$A$3:$A$3390,F$1,'United Data'!$C$3:$C$3390,$A362)&gt;0,1,0)</f>
        <v>1</v>
      </c>
      <c r="G362">
        <f>IF(COUNTIFS('United Data'!$A$3:$A$3390,G$1,'United Data'!$C$3:$C$3390,$A362)&gt;0,1,0)</f>
        <v>1</v>
      </c>
      <c r="H362">
        <f>IF(COUNTIFS('United Data'!$A$3:$A$3390,H$1,'United Data'!$C$3:$C$3390,$A362)&gt;0,1,0)</f>
        <v>0</v>
      </c>
      <c r="I362">
        <f>IF(COUNTIFS('United Data'!$A$3:$A$3390,I$1,'United Data'!$C$3:$C$3390,$A362)&gt;0,1,0)</f>
        <v>0</v>
      </c>
      <c r="J362">
        <f>IF(COUNTIFS('United Data'!$A$3:$A$3390,J$1,'United Data'!$C$3:$C$3390,$A362)&gt;0,1,0)</f>
        <v>0</v>
      </c>
      <c r="K362">
        <f>IF(COUNTIFS('United Data'!$A$3:$A$3390,K$1,'United Data'!$C$3:$C$3390,$A362)&gt;0,1,0)</f>
        <v>0</v>
      </c>
      <c r="L362">
        <f>IF(COUNTIFS('United Data'!$A$3:$A$3390,L$1,'United Data'!$C$3:$C$3390,$A362)&gt;0,1,0)</f>
        <v>0</v>
      </c>
      <c r="M362">
        <f>IF(COUNTIFS('United Data'!$A$3:$A$3390,M$1,'United Data'!$C$3:$C$3390,$A362)&gt;0,1,0)</f>
        <v>0</v>
      </c>
      <c r="N362">
        <f>IF(COUNTIFS('United Data'!$A$3:$A$3390,N$1,'United Data'!$C$3:$C$3390,$A362)&gt;0,1,0)</f>
        <v>0</v>
      </c>
      <c r="O362">
        <f>IF(COUNTIFS('United Data'!$A$3:$A$3390,O$1,'United Data'!$C$3:$C$3390,$A362)&gt;0,1,0)</f>
        <v>0</v>
      </c>
      <c r="P362">
        <f>IF(COUNTIFS('United Data'!$A$3:$A$3390,P$1,'United Data'!$C$3:$C$3390,$A362)&gt;0,1,0)</f>
        <v>0</v>
      </c>
      <c r="Q362">
        <f>IF(COUNTIFS('United Data'!$A$3:$A$3390,Q$1,'United Data'!$C$3:$C$3390,$A362)&gt;0,1,0)</f>
        <v>0</v>
      </c>
      <c r="R362">
        <f>IF(COUNTIFS('United Data'!$A$3:$A$3390,R$1,'United Data'!$C$3:$C$3390,$A362)&gt;0,1,0)</f>
        <v>0</v>
      </c>
      <c r="S362">
        <f t="shared" si="10"/>
        <v>2</v>
      </c>
      <c r="T362">
        <f t="shared" si="11"/>
        <v>1</v>
      </c>
    </row>
    <row r="363" spans="1:20" x14ac:dyDescent="0.2">
      <c r="A363" t="s">
        <v>456</v>
      </c>
      <c r="B363">
        <f>IF(COUNTIFS('United Data'!$A$3:$A$3390,B$1,'United Data'!$C$3:$C$3390,$A363)&gt;0,1,0)</f>
        <v>0</v>
      </c>
      <c r="C363">
        <f>IF(COUNTIFS('United Data'!$A$3:$A$3390,C$1,'United Data'!$C$3:$C$3390,$A363)&gt;0,1,0)</f>
        <v>0</v>
      </c>
      <c r="D363">
        <f>IF(COUNTIFS('United Data'!$A$3:$A$3390,D$1,'United Data'!$C$3:$C$3390,$A363)&gt;0,1,0)</f>
        <v>0</v>
      </c>
      <c r="E363">
        <f>IF(COUNTIFS('United Data'!$A$3:$A$3390,E$1,'United Data'!$C$3:$C$3390,$A363)&gt;0,1,0)</f>
        <v>0</v>
      </c>
      <c r="F363">
        <f>IF(COUNTIFS('United Data'!$A$3:$A$3390,F$1,'United Data'!$C$3:$C$3390,$A363)&gt;0,1,0)</f>
        <v>1</v>
      </c>
      <c r="G363">
        <f>IF(COUNTIFS('United Data'!$A$3:$A$3390,G$1,'United Data'!$C$3:$C$3390,$A363)&gt;0,1,0)</f>
        <v>1</v>
      </c>
      <c r="H363">
        <f>IF(COUNTIFS('United Data'!$A$3:$A$3390,H$1,'United Data'!$C$3:$C$3390,$A363)&gt;0,1,0)</f>
        <v>0</v>
      </c>
      <c r="I363">
        <f>IF(COUNTIFS('United Data'!$A$3:$A$3390,I$1,'United Data'!$C$3:$C$3390,$A363)&gt;0,1,0)</f>
        <v>0</v>
      </c>
      <c r="J363">
        <f>IF(COUNTIFS('United Data'!$A$3:$A$3390,J$1,'United Data'!$C$3:$C$3390,$A363)&gt;0,1,0)</f>
        <v>0</v>
      </c>
      <c r="K363">
        <f>IF(COUNTIFS('United Data'!$A$3:$A$3390,K$1,'United Data'!$C$3:$C$3390,$A363)&gt;0,1,0)</f>
        <v>1</v>
      </c>
      <c r="L363">
        <f>IF(COUNTIFS('United Data'!$A$3:$A$3390,L$1,'United Data'!$C$3:$C$3390,$A363)&gt;0,1,0)</f>
        <v>0</v>
      </c>
      <c r="M363">
        <f>IF(COUNTIFS('United Data'!$A$3:$A$3390,M$1,'United Data'!$C$3:$C$3390,$A363)&gt;0,1,0)</f>
        <v>0</v>
      </c>
      <c r="N363">
        <f>IF(COUNTIFS('United Data'!$A$3:$A$3390,N$1,'United Data'!$C$3:$C$3390,$A363)&gt;0,1,0)</f>
        <v>0</v>
      </c>
      <c r="O363">
        <f>IF(COUNTIFS('United Data'!$A$3:$A$3390,O$1,'United Data'!$C$3:$C$3390,$A363)&gt;0,1,0)</f>
        <v>0</v>
      </c>
      <c r="P363">
        <f>IF(COUNTIFS('United Data'!$A$3:$A$3390,P$1,'United Data'!$C$3:$C$3390,$A363)&gt;0,1,0)</f>
        <v>0</v>
      </c>
      <c r="Q363">
        <f>IF(COUNTIFS('United Data'!$A$3:$A$3390,Q$1,'United Data'!$C$3:$C$3390,$A363)&gt;0,1,0)</f>
        <v>1</v>
      </c>
      <c r="R363">
        <f>IF(COUNTIFS('United Data'!$A$3:$A$3390,R$1,'United Data'!$C$3:$C$3390,$A363)&gt;0,1,0)</f>
        <v>0</v>
      </c>
      <c r="S363">
        <f t="shared" si="10"/>
        <v>4</v>
      </c>
      <c r="T363">
        <f t="shared" si="11"/>
        <v>3</v>
      </c>
    </row>
    <row r="364" spans="1:20" x14ac:dyDescent="0.2">
      <c r="A364" t="s">
        <v>457</v>
      </c>
      <c r="B364">
        <f>IF(COUNTIFS('United Data'!$A$3:$A$3390,B$1,'United Data'!$C$3:$C$3390,$A364)&gt;0,1,0)</f>
        <v>0</v>
      </c>
      <c r="C364">
        <f>IF(COUNTIFS('United Data'!$A$3:$A$3390,C$1,'United Data'!$C$3:$C$3390,$A364)&gt;0,1,0)</f>
        <v>0</v>
      </c>
      <c r="D364">
        <f>IF(COUNTIFS('United Data'!$A$3:$A$3390,D$1,'United Data'!$C$3:$C$3390,$A364)&gt;0,1,0)</f>
        <v>0</v>
      </c>
      <c r="E364">
        <f>IF(COUNTIFS('United Data'!$A$3:$A$3390,E$1,'United Data'!$C$3:$C$3390,$A364)&gt;0,1,0)</f>
        <v>0</v>
      </c>
      <c r="F364">
        <f>IF(COUNTIFS('United Data'!$A$3:$A$3390,F$1,'United Data'!$C$3:$C$3390,$A364)&gt;0,1,0)</f>
        <v>1</v>
      </c>
      <c r="G364">
        <f>IF(COUNTIFS('United Data'!$A$3:$A$3390,G$1,'United Data'!$C$3:$C$3390,$A364)&gt;0,1,0)</f>
        <v>0</v>
      </c>
      <c r="H364">
        <f>IF(COUNTIFS('United Data'!$A$3:$A$3390,H$1,'United Data'!$C$3:$C$3390,$A364)&gt;0,1,0)</f>
        <v>1</v>
      </c>
      <c r="I364">
        <f>IF(COUNTIFS('United Data'!$A$3:$A$3390,I$1,'United Data'!$C$3:$C$3390,$A364)&gt;0,1,0)</f>
        <v>0</v>
      </c>
      <c r="J364">
        <f>IF(COUNTIFS('United Data'!$A$3:$A$3390,J$1,'United Data'!$C$3:$C$3390,$A364)&gt;0,1,0)</f>
        <v>0</v>
      </c>
      <c r="K364">
        <f>IF(COUNTIFS('United Data'!$A$3:$A$3390,K$1,'United Data'!$C$3:$C$3390,$A364)&gt;0,1,0)</f>
        <v>0</v>
      </c>
      <c r="L364">
        <f>IF(COUNTIFS('United Data'!$A$3:$A$3390,L$1,'United Data'!$C$3:$C$3390,$A364)&gt;0,1,0)</f>
        <v>0</v>
      </c>
      <c r="M364">
        <f>IF(COUNTIFS('United Data'!$A$3:$A$3390,M$1,'United Data'!$C$3:$C$3390,$A364)&gt;0,1,0)</f>
        <v>0</v>
      </c>
      <c r="N364">
        <f>IF(COUNTIFS('United Data'!$A$3:$A$3390,N$1,'United Data'!$C$3:$C$3390,$A364)&gt;0,1,0)</f>
        <v>0</v>
      </c>
      <c r="O364">
        <f>IF(COUNTIFS('United Data'!$A$3:$A$3390,O$1,'United Data'!$C$3:$C$3390,$A364)&gt;0,1,0)</f>
        <v>0</v>
      </c>
      <c r="P364">
        <f>IF(COUNTIFS('United Data'!$A$3:$A$3390,P$1,'United Data'!$C$3:$C$3390,$A364)&gt;0,1,0)</f>
        <v>0</v>
      </c>
      <c r="Q364">
        <f>IF(COUNTIFS('United Data'!$A$3:$A$3390,Q$1,'United Data'!$C$3:$C$3390,$A364)&gt;0,1,0)</f>
        <v>0</v>
      </c>
      <c r="R364">
        <f>IF(COUNTIFS('United Data'!$A$3:$A$3390,R$1,'United Data'!$C$3:$C$3390,$A364)&gt;0,1,0)</f>
        <v>0</v>
      </c>
      <c r="S364">
        <f t="shared" si="10"/>
        <v>2</v>
      </c>
      <c r="T364">
        <f t="shared" si="11"/>
        <v>2</v>
      </c>
    </row>
    <row r="365" spans="1:20" x14ac:dyDescent="0.2">
      <c r="A365" t="s">
        <v>459</v>
      </c>
      <c r="B365">
        <f>IF(COUNTIFS('United Data'!$A$3:$A$3390,B$1,'United Data'!$C$3:$C$3390,$A365)&gt;0,1,0)</f>
        <v>0</v>
      </c>
      <c r="C365">
        <f>IF(COUNTIFS('United Data'!$A$3:$A$3390,C$1,'United Data'!$C$3:$C$3390,$A365)&gt;0,1,0)</f>
        <v>0</v>
      </c>
      <c r="D365">
        <f>IF(COUNTIFS('United Data'!$A$3:$A$3390,D$1,'United Data'!$C$3:$C$3390,$A365)&gt;0,1,0)</f>
        <v>0</v>
      </c>
      <c r="E365">
        <f>IF(COUNTIFS('United Data'!$A$3:$A$3390,E$1,'United Data'!$C$3:$C$3390,$A365)&gt;0,1,0)</f>
        <v>0</v>
      </c>
      <c r="F365">
        <f>IF(COUNTIFS('United Data'!$A$3:$A$3390,F$1,'United Data'!$C$3:$C$3390,$A365)&gt;0,1,0)</f>
        <v>1</v>
      </c>
      <c r="G365">
        <f>IF(COUNTIFS('United Data'!$A$3:$A$3390,G$1,'United Data'!$C$3:$C$3390,$A365)&gt;0,1,0)</f>
        <v>0</v>
      </c>
      <c r="H365">
        <f>IF(COUNTIFS('United Data'!$A$3:$A$3390,H$1,'United Data'!$C$3:$C$3390,$A365)&gt;0,1,0)</f>
        <v>0</v>
      </c>
      <c r="I365">
        <f>IF(COUNTIFS('United Data'!$A$3:$A$3390,I$1,'United Data'!$C$3:$C$3390,$A365)&gt;0,1,0)</f>
        <v>0</v>
      </c>
      <c r="J365">
        <f>IF(COUNTIFS('United Data'!$A$3:$A$3390,J$1,'United Data'!$C$3:$C$3390,$A365)&gt;0,1,0)</f>
        <v>0</v>
      </c>
      <c r="K365">
        <f>IF(COUNTIFS('United Data'!$A$3:$A$3390,K$1,'United Data'!$C$3:$C$3390,$A365)&gt;0,1,0)</f>
        <v>1</v>
      </c>
      <c r="L365">
        <f>IF(COUNTIFS('United Data'!$A$3:$A$3390,L$1,'United Data'!$C$3:$C$3390,$A365)&gt;0,1,0)</f>
        <v>0</v>
      </c>
      <c r="M365">
        <f>IF(COUNTIFS('United Data'!$A$3:$A$3390,M$1,'United Data'!$C$3:$C$3390,$A365)&gt;0,1,0)</f>
        <v>0</v>
      </c>
      <c r="N365">
        <f>IF(COUNTIFS('United Data'!$A$3:$A$3390,N$1,'United Data'!$C$3:$C$3390,$A365)&gt;0,1,0)</f>
        <v>0</v>
      </c>
      <c r="O365">
        <f>IF(COUNTIFS('United Data'!$A$3:$A$3390,O$1,'United Data'!$C$3:$C$3390,$A365)&gt;0,1,0)</f>
        <v>0</v>
      </c>
      <c r="P365">
        <f>IF(COUNTIFS('United Data'!$A$3:$A$3390,P$1,'United Data'!$C$3:$C$3390,$A365)&gt;0,1,0)</f>
        <v>0</v>
      </c>
      <c r="Q365">
        <f>IF(COUNTIFS('United Data'!$A$3:$A$3390,Q$1,'United Data'!$C$3:$C$3390,$A365)&gt;0,1,0)</f>
        <v>0</v>
      </c>
      <c r="R365">
        <f>IF(COUNTIFS('United Data'!$A$3:$A$3390,R$1,'United Data'!$C$3:$C$3390,$A365)&gt;0,1,0)</f>
        <v>0</v>
      </c>
      <c r="S365">
        <f t="shared" si="10"/>
        <v>2</v>
      </c>
      <c r="T365">
        <f t="shared" si="11"/>
        <v>2</v>
      </c>
    </row>
    <row r="366" spans="1:20" x14ac:dyDescent="0.2">
      <c r="A366" t="s">
        <v>460</v>
      </c>
      <c r="B366">
        <f>IF(COUNTIFS('United Data'!$A$3:$A$3390,B$1,'United Data'!$C$3:$C$3390,$A366)&gt;0,1,0)</f>
        <v>0</v>
      </c>
      <c r="C366">
        <f>IF(COUNTIFS('United Data'!$A$3:$A$3390,C$1,'United Data'!$C$3:$C$3390,$A366)&gt;0,1,0)</f>
        <v>0</v>
      </c>
      <c r="D366">
        <f>IF(COUNTIFS('United Data'!$A$3:$A$3390,D$1,'United Data'!$C$3:$C$3390,$A366)&gt;0,1,0)</f>
        <v>0</v>
      </c>
      <c r="E366">
        <f>IF(COUNTIFS('United Data'!$A$3:$A$3390,E$1,'United Data'!$C$3:$C$3390,$A366)&gt;0,1,0)</f>
        <v>0</v>
      </c>
      <c r="F366">
        <f>IF(COUNTIFS('United Data'!$A$3:$A$3390,F$1,'United Data'!$C$3:$C$3390,$A366)&gt;0,1,0)</f>
        <v>1</v>
      </c>
      <c r="G366">
        <f>IF(COUNTIFS('United Data'!$A$3:$A$3390,G$1,'United Data'!$C$3:$C$3390,$A366)&gt;0,1,0)</f>
        <v>0</v>
      </c>
      <c r="H366">
        <f>IF(COUNTIFS('United Data'!$A$3:$A$3390,H$1,'United Data'!$C$3:$C$3390,$A366)&gt;0,1,0)</f>
        <v>0</v>
      </c>
      <c r="I366">
        <f>IF(COUNTIFS('United Data'!$A$3:$A$3390,I$1,'United Data'!$C$3:$C$3390,$A366)&gt;0,1,0)</f>
        <v>0</v>
      </c>
      <c r="J366">
        <f>IF(COUNTIFS('United Data'!$A$3:$A$3390,J$1,'United Data'!$C$3:$C$3390,$A366)&gt;0,1,0)</f>
        <v>0</v>
      </c>
      <c r="K366">
        <f>IF(COUNTIFS('United Data'!$A$3:$A$3390,K$1,'United Data'!$C$3:$C$3390,$A366)&gt;0,1,0)</f>
        <v>0</v>
      </c>
      <c r="L366">
        <f>IF(COUNTIFS('United Data'!$A$3:$A$3390,L$1,'United Data'!$C$3:$C$3390,$A366)&gt;0,1,0)</f>
        <v>0</v>
      </c>
      <c r="M366">
        <f>IF(COUNTIFS('United Data'!$A$3:$A$3390,M$1,'United Data'!$C$3:$C$3390,$A366)&gt;0,1,0)</f>
        <v>0</v>
      </c>
      <c r="N366">
        <f>IF(COUNTIFS('United Data'!$A$3:$A$3390,N$1,'United Data'!$C$3:$C$3390,$A366)&gt;0,1,0)</f>
        <v>0</v>
      </c>
      <c r="O366">
        <f>IF(COUNTIFS('United Data'!$A$3:$A$3390,O$1,'United Data'!$C$3:$C$3390,$A366)&gt;0,1,0)</f>
        <v>0</v>
      </c>
      <c r="P366">
        <f>IF(COUNTIFS('United Data'!$A$3:$A$3390,P$1,'United Data'!$C$3:$C$3390,$A366)&gt;0,1,0)</f>
        <v>0</v>
      </c>
      <c r="Q366">
        <f>IF(COUNTIFS('United Data'!$A$3:$A$3390,Q$1,'United Data'!$C$3:$C$3390,$A366)&gt;0,1,0)</f>
        <v>0</v>
      </c>
      <c r="R366">
        <f>IF(COUNTIFS('United Data'!$A$3:$A$3390,R$1,'United Data'!$C$3:$C$3390,$A366)&gt;0,1,0)</f>
        <v>0</v>
      </c>
      <c r="S366">
        <f t="shared" si="10"/>
        <v>1</v>
      </c>
      <c r="T366">
        <f t="shared" si="11"/>
        <v>1</v>
      </c>
    </row>
    <row r="367" spans="1:20" x14ac:dyDescent="0.2">
      <c r="A367" t="s">
        <v>461</v>
      </c>
      <c r="B367">
        <f>IF(COUNTIFS('United Data'!$A$3:$A$3390,B$1,'United Data'!$C$3:$C$3390,$A367)&gt;0,1,0)</f>
        <v>0</v>
      </c>
      <c r="C367">
        <f>IF(COUNTIFS('United Data'!$A$3:$A$3390,C$1,'United Data'!$C$3:$C$3390,$A367)&gt;0,1,0)</f>
        <v>0</v>
      </c>
      <c r="D367">
        <f>IF(COUNTIFS('United Data'!$A$3:$A$3390,D$1,'United Data'!$C$3:$C$3390,$A367)&gt;0,1,0)</f>
        <v>0</v>
      </c>
      <c r="E367">
        <f>IF(COUNTIFS('United Data'!$A$3:$A$3390,E$1,'United Data'!$C$3:$C$3390,$A367)&gt;0,1,0)</f>
        <v>1</v>
      </c>
      <c r="F367">
        <f>IF(COUNTIFS('United Data'!$A$3:$A$3390,F$1,'United Data'!$C$3:$C$3390,$A367)&gt;0,1,0)</f>
        <v>1</v>
      </c>
      <c r="G367">
        <f>IF(COUNTIFS('United Data'!$A$3:$A$3390,G$1,'United Data'!$C$3:$C$3390,$A367)&gt;0,1,0)</f>
        <v>0</v>
      </c>
      <c r="H367">
        <f>IF(COUNTIFS('United Data'!$A$3:$A$3390,H$1,'United Data'!$C$3:$C$3390,$A367)&gt;0,1,0)</f>
        <v>0</v>
      </c>
      <c r="I367">
        <f>IF(COUNTIFS('United Data'!$A$3:$A$3390,I$1,'United Data'!$C$3:$C$3390,$A367)&gt;0,1,0)</f>
        <v>0</v>
      </c>
      <c r="J367">
        <f>IF(COUNTIFS('United Data'!$A$3:$A$3390,J$1,'United Data'!$C$3:$C$3390,$A367)&gt;0,1,0)</f>
        <v>0</v>
      </c>
      <c r="K367">
        <f>IF(COUNTIFS('United Data'!$A$3:$A$3390,K$1,'United Data'!$C$3:$C$3390,$A367)&gt;0,1,0)</f>
        <v>1</v>
      </c>
      <c r="L367">
        <f>IF(COUNTIFS('United Data'!$A$3:$A$3390,L$1,'United Data'!$C$3:$C$3390,$A367)&gt;0,1,0)</f>
        <v>0</v>
      </c>
      <c r="M367">
        <f>IF(COUNTIFS('United Data'!$A$3:$A$3390,M$1,'United Data'!$C$3:$C$3390,$A367)&gt;0,1,0)</f>
        <v>0</v>
      </c>
      <c r="N367">
        <f>IF(COUNTIFS('United Data'!$A$3:$A$3390,N$1,'United Data'!$C$3:$C$3390,$A367)&gt;0,1,0)</f>
        <v>0</v>
      </c>
      <c r="O367">
        <f>IF(COUNTIFS('United Data'!$A$3:$A$3390,O$1,'United Data'!$C$3:$C$3390,$A367)&gt;0,1,0)</f>
        <v>0</v>
      </c>
      <c r="P367">
        <f>IF(COUNTIFS('United Data'!$A$3:$A$3390,P$1,'United Data'!$C$3:$C$3390,$A367)&gt;0,1,0)</f>
        <v>0</v>
      </c>
      <c r="Q367">
        <f>IF(COUNTIFS('United Data'!$A$3:$A$3390,Q$1,'United Data'!$C$3:$C$3390,$A367)&gt;0,1,0)</f>
        <v>0</v>
      </c>
      <c r="R367">
        <f>IF(COUNTIFS('United Data'!$A$3:$A$3390,R$1,'United Data'!$C$3:$C$3390,$A367)&gt;0,1,0)</f>
        <v>0</v>
      </c>
      <c r="S367">
        <f t="shared" si="10"/>
        <v>3</v>
      </c>
      <c r="T367">
        <f t="shared" si="11"/>
        <v>2</v>
      </c>
    </row>
    <row r="368" spans="1:20" x14ac:dyDescent="0.2">
      <c r="A368" t="s">
        <v>462</v>
      </c>
      <c r="B368">
        <f>IF(COUNTIFS('United Data'!$A$3:$A$3390,B$1,'United Data'!$C$3:$C$3390,$A368)&gt;0,1,0)</f>
        <v>0</v>
      </c>
      <c r="C368">
        <f>IF(COUNTIFS('United Data'!$A$3:$A$3390,C$1,'United Data'!$C$3:$C$3390,$A368)&gt;0,1,0)</f>
        <v>0</v>
      </c>
      <c r="D368">
        <f>IF(COUNTIFS('United Data'!$A$3:$A$3390,D$1,'United Data'!$C$3:$C$3390,$A368)&gt;0,1,0)</f>
        <v>0</v>
      </c>
      <c r="E368">
        <f>IF(COUNTIFS('United Data'!$A$3:$A$3390,E$1,'United Data'!$C$3:$C$3390,$A368)&gt;0,1,0)</f>
        <v>0</v>
      </c>
      <c r="F368">
        <f>IF(COUNTIFS('United Data'!$A$3:$A$3390,F$1,'United Data'!$C$3:$C$3390,$A368)&gt;0,1,0)</f>
        <v>1</v>
      </c>
      <c r="G368">
        <f>IF(COUNTIFS('United Data'!$A$3:$A$3390,G$1,'United Data'!$C$3:$C$3390,$A368)&gt;0,1,0)</f>
        <v>0</v>
      </c>
      <c r="H368">
        <f>IF(COUNTIFS('United Data'!$A$3:$A$3390,H$1,'United Data'!$C$3:$C$3390,$A368)&gt;0,1,0)</f>
        <v>0</v>
      </c>
      <c r="I368">
        <f>IF(COUNTIFS('United Data'!$A$3:$A$3390,I$1,'United Data'!$C$3:$C$3390,$A368)&gt;0,1,0)</f>
        <v>0</v>
      </c>
      <c r="J368">
        <f>IF(COUNTIFS('United Data'!$A$3:$A$3390,J$1,'United Data'!$C$3:$C$3390,$A368)&gt;0,1,0)</f>
        <v>0</v>
      </c>
      <c r="K368">
        <f>IF(COUNTIFS('United Data'!$A$3:$A$3390,K$1,'United Data'!$C$3:$C$3390,$A368)&gt;0,1,0)</f>
        <v>0</v>
      </c>
      <c r="L368">
        <f>IF(COUNTIFS('United Data'!$A$3:$A$3390,L$1,'United Data'!$C$3:$C$3390,$A368)&gt;0,1,0)</f>
        <v>0</v>
      </c>
      <c r="M368">
        <f>IF(COUNTIFS('United Data'!$A$3:$A$3390,M$1,'United Data'!$C$3:$C$3390,$A368)&gt;0,1,0)</f>
        <v>0</v>
      </c>
      <c r="N368">
        <f>IF(COUNTIFS('United Data'!$A$3:$A$3390,N$1,'United Data'!$C$3:$C$3390,$A368)&gt;0,1,0)</f>
        <v>0</v>
      </c>
      <c r="O368">
        <f>IF(COUNTIFS('United Data'!$A$3:$A$3390,O$1,'United Data'!$C$3:$C$3390,$A368)&gt;0,1,0)</f>
        <v>0</v>
      </c>
      <c r="P368">
        <f>IF(COUNTIFS('United Data'!$A$3:$A$3390,P$1,'United Data'!$C$3:$C$3390,$A368)&gt;0,1,0)</f>
        <v>0</v>
      </c>
      <c r="Q368">
        <f>IF(COUNTIFS('United Data'!$A$3:$A$3390,Q$1,'United Data'!$C$3:$C$3390,$A368)&gt;0,1,0)</f>
        <v>0</v>
      </c>
      <c r="R368">
        <f>IF(COUNTIFS('United Data'!$A$3:$A$3390,R$1,'United Data'!$C$3:$C$3390,$A368)&gt;0,1,0)</f>
        <v>0</v>
      </c>
      <c r="S368">
        <f t="shared" si="10"/>
        <v>1</v>
      </c>
      <c r="T368">
        <f t="shared" si="11"/>
        <v>1</v>
      </c>
    </row>
    <row r="369" spans="1:20" x14ac:dyDescent="0.2">
      <c r="A369" t="s">
        <v>464</v>
      </c>
      <c r="B369">
        <f>IF(COUNTIFS('United Data'!$A$3:$A$3390,B$1,'United Data'!$C$3:$C$3390,$A369)&gt;0,1,0)</f>
        <v>0</v>
      </c>
      <c r="C369">
        <f>IF(COUNTIFS('United Data'!$A$3:$A$3390,C$1,'United Data'!$C$3:$C$3390,$A369)&gt;0,1,0)</f>
        <v>0</v>
      </c>
      <c r="D369">
        <f>IF(COUNTIFS('United Data'!$A$3:$A$3390,D$1,'United Data'!$C$3:$C$3390,$A369)&gt;0,1,0)</f>
        <v>0</v>
      </c>
      <c r="E369">
        <f>IF(COUNTIFS('United Data'!$A$3:$A$3390,E$1,'United Data'!$C$3:$C$3390,$A369)&gt;0,1,0)</f>
        <v>0</v>
      </c>
      <c r="F369">
        <f>IF(COUNTIFS('United Data'!$A$3:$A$3390,F$1,'United Data'!$C$3:$C$3390,$A369)&gt;0,1,0)</f>
        <v>0</v>
      </c>
      <c r="G369">
        <f>IF(COUNTIFS('United Data'!$A$3:$A$3390,G$1,'United Data'!$C$3:$C$3390,$A369)&gt;0,1,0)</f>
        <v>1</v>
      </c>
      <c r="H369">
        <f>IF(COUNTIFS('United Data'!$A$3:$A$3390,H$1,'United Data'!$C$3:$C$3390,$A369)&gt;0,1,0)</f>
        <v>0</v>
      </c>
      <c r="I369">
        <f>IF(COUNTIFS('United Data'!$A$3:$A$3390,I$1,'United Data'!$C$3:$C$3390,$A369)&gt;0,1,0)</f>
        <v>0</v>
      </c>
      <c r="J369">
        <f>IF(COUNTIFS('United Data'!$A$3:$A$3390,J$1,'United Data'!$C$3:$C$3390,$A369)&gt;0,1,0)</f>
        <v>0</v>
      </c>
      <c r="K369">
        <f>IF(COUNTIFS('United Data'!$A$3:$A$3390,K$1,'United Data'!$C$3:$C$3390,$A369)&gt;0,1,0)</f>
        <v>0</v>
      </c>
      <c r="L369">
        <f>IF(COUNTIFS('United Data'!$A$3:$A$3390,L$1,'United Data'!$C$3:$C$3390,$A369)&gt;0,1,0)</f>
        <v>0</v>
      </c>
      <c r="M369">
        <f>IF(COUNTIFS('United Data'!$A$3:$A$3390,M$1,'United Data'!$C$3:$C$3390,$A369)&gt;0,1,0)</f>
        <v>0</v>
      </c>
      <c r="N369">
        <f>IF(COUNTIFS('United Data'!$A$3:$A$3390,N$1,'United Data'!$C$3:$C$3390,$A369)&gt;0,1,0)</f>
        <v>0</v>
      </c>
      <c r="O369">
        <f>IF(COUNTIFS('United Data'!$A$3:$A$3390,O$1,'United Data'!$C$3:$C$3390,$A369)&gt;0,1,0)</f>
        <v>0</v>
      </c>
      <c r="P369">
        <f>IF(COUNTIFS('United Data'!$A$3:$A$3390,P$1,'United Data'!$C$3:$C$3390,$A369)&gt;0,1,0)</f>
        <v>0</v>
      </c>
      <c r="Q369">
        <f>IF(COUNTIFS('United Data'!$A$3:$A$3390,Q$1,'United Data'!$C$3:$C$3390,$A369)&gt;0,1,0)</f>
        <v>0</v>
      </c>
      <c r="R369">
        <f>IF(COUNTIFS('United Data'!$A$3:$A$3390,R$1,'United Data'!$C$3:$C$3390,$A369)&gt;0,1,0)</f>
        <v>0</v>
      </c>
      <c r="S369">
        <f t="shared" si="10"/>
        <v>1</v>
      </c>
      <c r="T369">
        <f t="shared" si="11"/>
        <v>1</v>
      </c>
    </row>
    <row r="370" spans="1:20" x14ac:dyDescent="0.2">
      <c r="A370" t="s">
        <v>467</v>
      </c>
      <c r="B370">
        <f>IF(COUNTIFS('United Data'!$A$3:$A$3390,B$1,'United Data'!$C$3:$C$3390,$A370)&gt;0,1,0)</f>
        <v>0</v>
      </c>
      <c r="C370">
        <f>IF(COUNTIFS('United Data'!$A$3:$A$3390,C$1,'United Data'!$C$3:$C$3390,$A370)&gt;0,1,0)</f>
        <v>0</v>
      </c>
      <c r="D370">
        <f>IF(COUNTIFS('United Data'!$A$3:$A$3390,D$1,'United Data'!$C$3:$C$3390,$A370)&gt;0,1,0)</f>
        <v>0</v>
      </c>
      <c r="E370">
        <f>IF(COUNTIFS('United Data'!$A$3:$A$3390,E$1,'United Data'!$C$3:$C$3390,$A370)&gt;0,1,0)</f>
        <v>0</v>
      </c>
      <c r="F370">
        <f>IF(COUNTIFS('United Data'!$A$3:$A$3390,F$1,'United Data'!$C$3:$C$3390,$A370)&gt;0,1,0)</f>
        <v>0</v>
      </c>
      <c r="G370">
        <f>IF(COUNTIFS('United Data'!$A$3:$A$3390,G$1,'United Data'!$C$3:$C$3390,$A370)&gt;0,1,0)</f>
        <v>1</v>
      </c>
      <c r="H370">
        <f>IF(COUNTIFS('United Data'!$A$3:$A$3390,H$1,'United Data'!$C$3:$C$3390,$A370)&gt;0,1,0)</f>
        <v>0</v>
      </c>
      <c r="I370">
        <f>IF(COUNTIFS('United Data'!$A$3:$A$3390,I$1,'United Data'!$C$3:$C$3390,$A370)&gt;0,1,0)</f>
        <v>0</v>
      </c>
      <c r="J370">
        <f>IF(COUNTIFS('United Data'!$A$3:$A$3390,J$1,'United Data'!$C$3:$C$3390,$A370)&gt;0,1,0)</f>
        <v>0</v>
      </c>
      <c r="K370">
        <f>IF(COUNTIFS('United Data'!$A$3:$A$3390,K$1,'United Data'!$C$3:$C$3390,$A370)&gt;0,1,0)</f>
        <v>0</v>
      </c>
      <c r="L370">
        <f>IF(COUNTIFS('United Data'!$A$3:$A$3390,L$1,'United Data'!$C$3:$C$3390,$A370)&gt;0,1,0)</f>
        <v>0</v>
      </c>
      <c r="M370">
        <f>IF(COUNTIFS('United Data'!$A$3:$A$3390,M$1,'United Data'!$C$3:$C$3390,$A370)&gt;0,1,0)</f>
        <v>0</v>
      </c>
      <c r="N370">
        <f>IF(COUNTIFS('United Data'!$A$3:$A$3390,N$1,'United Data'!$C$3:$C$3390,$A370)&gt;0,1,0)</f>
        <v>1</v>
      </c>
      <c r="O370">
        <f>IF(COUNTIFS('United Data'!$A$3:$A$3390,O$1,'United Data'!$C$3:$C$3390,$A370)&gt;0,1,0)</f>
        <v>0</v>
      </c>
      <c r="P370">
        <f>IF(COUNTIFS('United Data'!$A$3:$A$3390,P$1,'United Data'!$C$3:$C$3390,$A370)&gt;0,1,0)</f>
        <v>0</v>
      </c>
      <c r="Q370">
        <f>IF(COUNTIFS('United Data'!$A$3:$A$3390,Q$1,'United Data'!$C$3:$C$3390,$A370)&gt;0,1,0)</f>
        <v>0</v>
      </c>
      <c r="R370">
        <f>IF(COUNTIFS('United Data'!$A$3:$A$3390,R$1,'United Data'!$C$3:$C$3390,$A370)&gt;0,1,0)</f>
        <v>0</v>
      </c>
      <c r="S370">
        <f t="shared" si="10"/>
        <v>2</v>
      </c>
      <c r="T370">
        <f t="shared" si="11"/>
        <v>2</v>
      </c>
    </row>
    <row r="371" spans="1:20" x14ac:dyDescent="0.2">
      <c r="A371" t="s">
        <v>469</v>
      </c>
      <c r="B371">
        <f>IF(COUNTIFS('United Data'!$A$3:$A$3390,B$1,'United Data'!$C$3:$C$3390,$A371)&gt;0,1,0)</f>
        <v>0</v>
      </c>
      <c r="C371">
        <f>IF(COUNTIFS('United Data'!$A$3:$A$3390,C$1,'United Data'!$C$3:$C$3390,$A371)&gt;0,1,0)</f>
        <v>0</v>
      </c>
      <c r="D371">
        <f>IF(COUNTIFS('United Data'!$A$3:$A$3390,D$1,'United Data'!$C$3:$C$3390,$A371)&gt;0,1,0)</f>
        <v>0</v>
      </c>
      <c r="E371">
        <f>IF(COUNTIFS('United Data'!$A$3:$A$3390,E$1,'United Data'!$C$3:$C$3390,$A371)&gt;0,1,0)</f>
        <v>0</v>
      </c>
      <c r="F371">
        <f>IF(COUNTIFS('United Data'!$A$3:$A$3390,F$1,'United Data'!$C$3:$C$3390,$A371)&gt;0,1,0)</f>
        <v>0</v>
      </c>
      <c r="G371">
        <f>IF(COUNTIFS('United Data'!$A$3:$A$3390,G$1,'United Data'!$C$3:$C$3390,$A371)&gt;0,1,0)</f>
        <v>1</v>
      </c>
      <c r="H371">
        <f>IF(COUNTIFS('United Data'!$A$3:$A$3390,H$1,'United Data'!$C$3:$C$3390,$A371)&gt;0,1,0)</f>
        <v>0</v>
      </c>
      <c r="I371">
        <f>IF(COUNTIFS('United Data'!$A$3:$A$3390,I$1,'United Data'!$C$3:$C$3390,$A371)&gt;0,1,0)</f>
        <v>0</v>
      </c>
      <c r="J371">
        <f>IF(COUNTIFS('United Data'!$A$3:$A$3390,J$1,'United Data'!$C$3:$C$3390,$A371)&gt;0,1,0)</f>
        <v>0</v>
      </c>
      <c r="K371">
        <f>IF(COUNTIFS('United Data'!$A$3:$A$3390,K$1,'United Data'!$C$3:$C$3390,$A371)&gt;0,1,0)</f>
        <v>0</v>
      </c>
      <c r="L371">
        <f>IF(COUNTIFS('United Data'!$A$3:$A$3390,L$1,'United Data'!$C$3:$C$3390,$A371)&gt;0,1,0)</f>
        <v>0</v>
      </c>
      <c r="M371">
        <f>IF(COUNTIFS('United Data'!$A$3:$A$3390,M$1,'United Data'!$C$3:$C$3390,$A371)&gt;0,1,0)</f>
        <v>0</v>
      </c>
      <c r="N371">
        <f>IF(COUNTIFS('United Data'!$A$3:$A$3390,N$1,'United Data'!$C$3:$C$3390,$A371)&gt;0,1,0)</f>
        <v>0</v>
      </c>
      <c r="O371">
        <f>IF(COUNTIFS('United Data'!$A$3:$A$3390,O$1,'United Data'!$C$3:$C$3390,$A371)&gt;0,1,0)</f>
        <v>0</v>
      </c>
      <c r="P371">
        <f>IF(COUNTIFS('United Data'!$A$3:$A$3390,P$1,'United Data'!$C$3:$C$3390,$A371)&gt;0,1,0)</f>
        <v>0</v>
      </c>
      <c r="Q371">
        <f>IF(COUNTIFS('United Data'!$A$3:$A$3390,Q$1,'United Data'!$C$3:$C$3390,$A371)&gt;0,1,0)</f>
        <v>0</v>
      </c>
      <c r="R371">
        <f>IF(COUNTIFS('United Data'!$A$3:$A$3390,R$1,'United Data'!$C$3:$C$3390,$A371)&gt;0,1,0)</f>
        <v>0</v>
      </c>
      <c r="S371">
        <f t="shared" si="10"/>
        <v>1</v>
      </c>
      <c r="T371">
        <f t="shared" si="11"/>
        <v>1</v>
      </c>
    </row>
    <row r="372" spans="1:20" x14ac:dyDescent="0.2">
      <c r="A372" t="s">
        <v>2050</v>
      </c>
      <c r="B372">
        <f>IF(COUNTIFS('United Data'!$A$3:$A$3390,B$1,'United Data'!$C$3:$C$3390,$A372)&gt;0,1,0)</f>
        <v>0</v>
      </c>
      <c r="C372">
        <f>IF(COUNTIFS('United Data'!$A$3:$A$3390,C$1,'United Data'!$C$3:$C$3390,$A372)&gt;0,1,0)</f>
        <v>0</v>
      </c>
      <c r="D372">
        <f>IF(COUNTIFS('United Data'!$A$3:$A$3390,D$1,'United Data'!$C$3:$C$3390,$A372)&gt;0,1,0)</f>
        <v>0</v>
      </c>
      <c r="E372">
        <f>IF(COUNTIFS('United Data'!$A$3:$A$3390,E$1,'United Data'!$C$3:$C$3390,$A372)&gt;0,1,0)</f>
        <v>0</v>
      </c>
      <c r="F372">
        <f>IF(COUNTIFS('United Data'!$A$3:$A$3390,F$1,'United Data'!$C$3:$C$3390,$A372)&gt;0,1,0)</f>
        <v>0</v>
      </c>
      <c r="G372">
        <f>IF(COUNTIFS('United Data'!$A$3:$A$3390,G$1,'United Data'!$C$3:$C$3390,$A372)&gt;0,1,0)</f>
        <v>0</v>
      </c>
      <c r="H372">
        <f>IF(COUNTIFS('United Data'!$A$3:$A$3390,H$1,'United Data'!$C$3:$C$3390,$A372)&gt;0,1,0)</f>
        <v>1</v>
      </c>
      <c r="I372">
        <f>IF(COUNTIFS('United Data'!$A$3:$A$3390,I$1,'United Data'!$C$3:$C$3390,$A372)&gt;0,1,0)</f>
        <v>0</v>
      </c>
      <c r="J372">
        <f>IF(COUNTIFS('United Data'!$A$3:$A$3390,J$1,'United Data'!$C$3:$C$3390,$A372)&gt;0,1,0)</f>
        <v>0</v>
      </c>
      <c r="K372">
        <f>IF(COUNTIFS('United Data'!$A$3:$A$3390,K$1,'United Data'!$C$3:$C$3390,$A372)&gt;0,1,0)</f>
        <v>0</v>
      </c>
      <c r="L372">
        <f>IF(COUNTIFS('United Data'!$A$3:$A$3390,L$1,'United Data'!$C$3:$C$3390,$A372)&gt;0,1,0)</f>
        <v>0</v>
      </c>
      <c r="M372">
        <f>IF(COUNTIFS('United Data'!$A$3:$A$3390,M$1,'United Data'!$C$3:$C$3390,$A372)&gt;0,1,0)</f>
        <v>0</v>
      </c>
      <c r="N372">
        <f>IF(COUNTIFS('United Data'!$A$3:$A$3390,N$1,'United Data'!$C$3:$C$3390,$A372)&gt;0,1,0)</f>
        <v>0</v>
      </c>
      <c r="O372">
        <f>IF(COUNTIFS('United Data'!$A$3:$A$3390,O$1,'United Data'!$C$3:$C$3390,$A372)&gt;0,1,0)</f>
        <v>0</v>
      </c>
      <c r="P372">
        <f>IF(COUNTIFS('United Data'!$A$3:$A$3390,P$1,'United Data'!$C$3:$C$3390,$A372)&gt;0,1,0)</f>
        <v>0</v>
      </c>
      <c r="Q372">
        <f>IF(COUNTIFS('United Data'!$A$3:$A$3390,Q$1,'United Data'!$C$3:$C$3390,$A372)&gt;0,1,0)</f>
        <v>0</v>
      </c>
      <c r="R372">
        <f>IF(COUNTIFS('United Data'!$A$3:$A$3390,R$1,'United Data'!$C$3:$C$3390,$A372)&gt;0,1,0)</f>
        <v>0</v>
      </c>
      <c r="S372">
        <f t="shared" si="10"/>
        <v>1</v>
      </c>
      <c r="T372">
        <f t="shared" si="11"/>
        <v>1</v>
      </c>
    </row>
    <row r="373" spans="1:20" x14ac:dyDescent="0.2">
      <c r="A373" t="s">
        <v>472</v>
      </c>
      <c r="B373">
        <f>IF(COUNTIFS('United Data'!$A$3:$A$3390,B$1,'United Data'!$C$3:$C$3390,$A373)&gt;0,1,0)</f>
        <v>0</v>
      </c>
      <c r="C373">
        <f>IF(COUNTIFS('United Data'!$A$3:$A$3390,C$1,'United Data'!$C$3:$C$3390,$A373)&gt;0,1,0)</f>
        <v>0</v>
      </c>
      <c r="D373">
        <f>IF(COUNTIFS('United Data'!$A$3:$A$3390,D$1,'United Data'!$C$3:$C$3390,$A373)&gt;0,1,0)</f>
        <v>0</v>
      </c>
      <c r="E373">
        <f>IF(COUNTIFS('United Data'!$A$3:$A$3390,E$1,'United Data'!$C$3:$C$3390,$A373)&gt;0,1,0)</f>
        <v>1</v>
      </c>
      <c r="F373">
        <f>IF(COUNTIFS('United Data'!$A$3:$A$3390,F$1,'United Data'!$C$3:$C$3390,$A373)&gt;0,1,0)</f>
        <v>0</v>
      </c>
      <c r="G373">
        <f>IF(COUNTIFS('United Data'!$A$3:$A$3390,G$1,'United Data'!$C$3:$C$3390,$A373)&gt;0,1,0)</f>
        <v>1</v>
      </c>
      <c r="H373">
        <f>IF(COUNTIFS('United Data'!$A$3:$A$3390,H$1,'United Data'!$C$3:$C$3390,$A373)&gt;0,1,0)</f>
        <v>0</v>
      </c>
      <c r="I373">
        <f>IF(COUNTIFS('United Data'!$A$3:$A$3390,I$1,'United Data'!$C$3:$C$3390,$A373)&gt;0,1,0)</f>
        <v>1</v>
      </c>
      <c r="J373">
        <f>IF(COUNTIFS('United Data'!$A$3:$A$3390,J$1,'United Data'!$C$3:$C$3390,$A373)&gt;0,1,0)</f>
        <v>0</v>
      </c>
      <c r="K373">
        <f>IF(COUNTIFS('United Data'!$A$3:$A$3390,K$1,'United Data'!$C$3:$C$3390,$A373)&gt;0,1,0)</f>
        <v>0</v>
      </c>
      <c r="L373">
        <f>IF(COUNTIFS('United Data'!$A$3:$A$3390,L$1,'United Data'!$C$3:$C$3390,$A373)&gt;0,1,0)</f>
        <v>0</v>
      </c>
      <c r="M373">
        <f>IF(COUNTIFS('United Data'!$A$3:$A$3390,M$1,'United Data'!$C$3:$C$3390,$A373)&gt;0,1,0)</f>
        <v>1</v>
      </c>
      <c r="N373">
        <f>IF(COUNTIFS('United Data'!$A$3:$A$3390,N$1,'United Data'!$C$3:$C$3390,$A373)&gt;0,1,0)</f>
        <v>1</v>
      </c>
      <c r="O373">
        <f>IF(COUNTIFS('United Data'!$A$3:$A$3390,O$1,'United Data'!$C$3:$C$3390,$A373)&gt;0,1,0)</f>
        <v>0</v>
      </c>
      <c r="P373">
        <f>IF(COUNTIFS('United Data'!$A$3:$A$3390,P$1,'United Data'!$C$3:$C$3390,$A373)&gt;0,1,0)</f>
        <v>0</v>
      </c>
      <c r="Q373">
        <f>IF(COUNTIFS('United Data'!$A$3:$A$3390,Q$1,'United Data'!$C$3:$C$3390,$A373)&gt;0,1,0)</f>
        <v>0</v>
      </c>
      <c r="R373">
        <f>IF(COUNTIFS('United Data'!$A$3:$A$3390,R$1,'United Data'!$C$3:$C$3390,$A373)&gt;0,1,0)</f>
        <v>0</v>
      </c>
      <c r="S373">
        <f t="shared" si="10"/>
        <v>5</v>
      </c>
      <c r="T373">
        <f t="shared" si="11"/>
        <v>4</v>
      </c>
    </row>
    <row r="374" spans="1:20" x14ac:dyDescent="0.2">
      <c r="A374" t="s">
        <v>473</v>
      </c>
      <c r="B374">
        <f>IF(COUNTIFS('United Data'!$A$3:$A$3390,B$1,'United Data'!$C$3:$C$3390,$A374)&gt;0,1,0)</f>
        <v>0</v>
      </c>
      <c r="C374">
        <f>IF(COUNTIFS('United Data'!$A$3:$A$3390,C$1,'United Data'!$C$3:$C$3390,$A374)&gt;0,1,0)</f>
        <v>0</v>
      </c>
      <c r="D374">
        <f>IF(COUNTIFS('United Data'!$A$3:$A$3390,D$1,'United Data'!$C$3:$C$3390,$A374)&gt;0,1,0)</f>
        <v>1</v>
      </c>
      <c r="E374">
        <f>IF(COUNTIFS('United Data'!$A$3:$A$3390,E$1,'United Data'!$C$3:$C$3390,$A374)&gt;0,1,0)</f>
        <v>0</v>
      </c>
      <c r="F374">
        <f>IF(COUNTIFS('United Data'!$A$3:$A$3390,F$1,'United Data'!$C$3:$C$3390,$A374)&gt;0,1,0)</f>
        <v>1</v>
      </c>
      <c r="G374">
        <f>IF(COUNTIFS('United Data'!$A$3:$A$3390,G$1,'United Data'!$C$3:$C$3390,$A374)&gt;0,1,0)</f>
        <v>1</v>
      </c>
      <c r="H374">
        <f>IF(COUNTIFS('United Data'!$A$3:$A$3390,H$1,'United Data'!$C$3:$C$3390,$A374)&gt;0,1,0)</f>
        <v>0</v>
      </c>
      <c r="I374">
        <f>IF(COUNTIFS('United Data'!$A$3:$A$3390,I$1,'United Data'!$C$3:$C$3390,$A374)&gt;0,1,0)</f>
        <v>1</v>
      </c>
      <c r="J374">
        <f>IF(COUNTIFS('United Data'!$A$3:$A$3390,J$1,'United Data'!$C$3:$C$3390,$A374)&gt;0,1,0)</f>
        <v>1</v>
      </c>
      <c r="K374">
        <f>IF(COUNTIFS('United Data'!$A$3:$A$3390,K$1,'United Data'!$C$3:$C$3390,$A374)&gt;0,1,0)</f>
        <v>0</v>
      </c>
      <c r="L374">
        <f>IF(COUNTIFS('United Data'!$A$3:$A$3390,L$1,'United Data'!$C$3:$C$3390,$A374)&gt;0,1,0)</f>
        <v>1</v>
      </c>
      <c r="M374">
        <f>IF(COUNTIFS('United Data'!$A$3:$A$3390,M$1,'United Data'!$C$3:$C$3390,$A374)&gt;0,1,0)</f>
        <v>0</v>
      </c>
      <c r="N374">
        <f>IF(COUNTIFS('United Data'!$A$3:$A$3390,N$1,'United Data'!$C$3:$C$3390,$A374)&gt;0,1,0)</f>
        <v>0</v>
      </c>
      <c r="O374">
        <f>IF(COUNTIFS('United Data'!$A$3:$A$3390,O$1,'United Data'!$C$3:$C$3390,$A374)&gt;0,1,0)</f>
        <v>0</v>
      </c>
      <c r="P374">
        <f>IF(COUNTIFS('United Data'!$A$3:$A$3390,P$1,'United Data'!$C$3:$C$3390,$A374)&gt;0,1,0)</f>
        <v>0</v>
      </c>
      <c r="Q374">
        <f>IF(COUNTIFS('United Data'!$A$3:$A$3390,Q$1,'United Data'!$C$3:$C$3390,$A374)&gt;0,1,0)</f>
        <v>0</v>
      </c>
      <c r="R374">
        <f>IF(COUNTIFS('United Data'!$A$3:$A$3390,R$1,'United Data'!$C$3:$C$3390,$A374)&gt;0,1,0)</f>
        <v>0</v>
      </c>
      <c r="S374">
        <f t="shared" si="10"/>
        <v>6</v>
      </c>
      <c r="T374">
        <f t="shared" si="11"/>
        <v>4</v>
      </c>
    </row>
    <row r="375" spans="1:20" x14ac:dyDescent="0.2">
      <c r="A375" t="s">
        <v>474</v>
      </c>
      <c r="B375">
        <f>IF(COUNTIFS('United Data'!$A$3:$A$3390,B$1,'United Data'!$C$3:$C$3390,$A375)&gt;0,1,0)</f>
        <v>0</v>
      </c>
      <c r="C375">
        <f>IF(COUNTIFS('United Data'!$A$3:$A$3390,C$1,'United Data'!$C$3:$C$3390,$A375)&gt;0,1,0)</f>
        <v>0</v>
      </c>
      <c r="D375">
        <f>IF(COUNTIFS('United Data'!$A$3:$A$3390,D$1,'United Data'!$C$3:$C$3390,$A375)&gt;0,1,0)</f>
        <v>0</v>
      </c>
      <c r="E375">
        <f>IF(COUNTIFS('United Data'!$A$3:$A$3390,E$1,'United Data'!$C$3:$C$3390,$A375)&gt;0,1,0)</f>
        <v>0</v>
      </c>
      <c r="F375">
        <f>IF(COUNTIFS('United Data'!$A$3:$A$3390,F$1,'United Data'!$C$3:$C$3390,$A375)&gt;0,1,0)</f>
        <v>0</v>
      </c>
      <c r="G375">
        <f>IF(COUNTIFS('United Data'!$A$3:$A$3390,G$1,'United Data'!$C$3:$C$3390,$A375)&gt;0,1,0)</f>
        <v>1</v>
      </c>
      <c r="H375">
        <f>IF(COUNTIFS('United Data'!$A$3:$A$3390,H$1,'United Data'!$C$3:$C$3390,$A375)&gt;0,1,0)</f>
        <v>1</v>
      </c>
      <c r="I375">
        <f>IF(COUNTIFS('United Data'!$A$3:$A$3390,I$1,'United Data'!$C$3:$C$3390,$A375)&gt;0,1,0)</f>
        <v>1</v>
      </c>
      <c r="J375">
        <f>IF(COUNTIFS('United Data'!$A$3:$A$3390,J$1,'United Data'!$C$3:$C$3390,$A375)&gt;0,1,0)</f>
        <v>0</v>
      </c>
      <c r="K375">
        <f>IF(COUNTIFS('United Data'!$A$3:$A$3390,K$1,'United Data'!$C$3:$C$3390,$A375)&gt;0,1,0)</f>
        <v>0</v>
      </c>
      <c r="L375">
        <f>IF(COUNTIFS('United Data'!$A$3:$A$3390,L$1,'United Data'!$C$3:$C$3390,$A375)&gt;0,1,0)</f>
        <v>0</v>
      </c>
      <c r="M375">
        <f>IF(COUNTIFS('United Data'!$A$3:$A$3390,M$1,'United Data'!$C$3:$C$3390,$A375)&gt;0,1,0)</f>
        <v>1</v>
      </c>
      <c r="N375">
        <f>IF(COUNTIFS('United Data'!$A$3:$A$3390,N$1,'United Data'!$C$3:$C$3390,$A375)&gt;0,1,0)</f>
        <v>1</v>
      </c>
      <c r="O375">
        <f>IF(COUNTIFS('United Data'!$A$3:$A$3390,O$1,'United Data'!$C$3:$C$3390,$A375)&gt;0,1,0)</f>
        <v>0</v>
      </c>
      <c r="P375">
        <f>IF(COUNTIFS('United Data'!$A$3:$A$3390,P$1,'United Data'!$C$3:$C$3390,$A375)&gt;0,1,0)</f>
        <v>0</v>
      </c>
      <c r="Q375">
        <f>IF(COUNTIFS('United Data'!$A$3:$A$3390,Q$1,'United Data'!$C$3:$C$3390,$A375)&gt;0,1,0)</f>
        <v>1</v>
      </c>
      <c r="R375">
        <f>IF(COUNTIFS('United Data'!$A$3:$A$3390,R$1,'United Data'!$C$3:$C$3390,$A375)&gt;0,1,0)</f>
        <v>1</v>
      </c>
      <c r="S375">
        <f t="shared" si="10"/>
        <v>7</v>
      </c>
      <c r="T375">
        <f t="shared" si="11"/>
        <v>3</v>
      </c>
    </row>
    <row r="376" spans="1:20" x14ac:dyDescent="0.2">
      <c r="A376" t="s">
        <v>475</v>
      </c>
      <c r="B376">
        <f>IF(COUNTIFS('United Data'!$A$3:$A$3390,B$1,'United Data'!$C$3:$C$3390,$A376)&gt;0,1,0)</f>
        <v>0</v>
      </c>
      <c r="C376">
        <f>IF(COUNTIFS('United Data'!$A$3:$A$3390,C$1,'United Data'!$C$3:$C$3390,$A376)&gt;0,1,0)</f>
        <v>0</v>
      </c>
      <c r="D376">
        <f>IF(COUNTIFS('United Data'!$A$3:$A$3390,D$1,'United Data'!$C$3:$C$3390,$A376)&gt;0,1,0)</f>
        <v>1</v>
      </c>
      <c r="E376">
        <f>IF(COUNTIFS('United Data'!$A$3:$A$3390,E$1,'United Data'!$C$3:$C$3390,$A376)&gt;0,1,0)</f>
        <v>1</v>
      </c>
      <c r="F376">
        <f>IF(COUNTIFS('United Data'!$A$3:$A$3390,F$1,'United Data'!$C$3:$C$3390,$A376)&gt;0,1,0)</f>
        <v>0</v>
      </c>
      <c r="G376">
        <f>IF(COUNTIFS('United Data'!$A$3:$A$3390,G$1,'United Data'!$C$3:$C$3390,$A376)&gt;0,1,0)</f>
        <v>0</v>
      </c>
      <c r="H376">
        <f>IF(COUNTIFS('United Data'!$A$3:$A$3390,H$1,'United Data'!$C$3:$C$3390,$A376)&gt;0,1,0)</f>
        <v>1</v>
      </c>
      <c r="I376">
        <f>IF(COUNTIFS('United Data'!$A$3:$A$3390,I$1,'United Data'!$C$3:$C$3390,$A376)&gt;0,1,0)</f>
        <v>1</v>
      </c>
      <c r="J376">
        <f>IF(COUNTIFS('United Data'!$A$3:$A$3390,J$1,'United Data'!$C$3:$C$3390,$A376)&gt;0,1,0)</f>
        <v>0</v>
      </c>
      <c r="K376">
        <f>IF(COUNTIFS('United Data'!$A$3:$A$3390,K$1,'United Data'!$C$3:$C$3390,$A376)&gt;0,1,0)</f>
        <v>0</v>
      </c>
      <c r="L376">
        <f>IF(COUNTIFS('United Data'!$A$3:$A$3390,L$1,'United Data'!$C$3:$C$3390,$A376)&gt;0,1,0)</f>
        <v>0</v>
      </c>
      <c r="M376">
        <f>IF(COUNTIFS('United Data'!$A$3:$A$3390,M$1,'United Data'!$C$3:$C$3390,$A376)&gt;0,1,0)</f>
        <v>0</v>
      </c>
      <c r="N376">
        <f>IF(COUNTIFS('United Data'!$A$3:$A$3390,N$1,'United Data'!$C$3:$C$3390,$A376)&gt;0,1,0)</f>
        <v>0</v>
      </c>
      <c r="O376">
        <f>IF(COUNTIFS('United Data'!$A$3:$A$3390,O$1,'United Data'!$C$3:$C$3390,$A376)&gt;0,1,0)</f>
        <v>0</v>
      </c>
      <c r="P376">
        <f>IF(COUNTIFS('United Data'!$A$3:$A$3390,P$1,'United Data'!$C$3:$C$3390,$A376)&gt;0,1,0)</f>
        <v>0</v>
      </c>
      <c r="Q376">
        <f>IF(COUNTIFS('United Data'!$A$3:$A$3390,Q$1,'United Data'!$C$3:$C$3390,$A376)&gt;0,1,0)</f>
        <v>0</v>
      </c>
      <c r="R376">
        <f>IF(COUNTIFS('United Data'!$A$3:$A$3390,R$1,'United Data'!$C$3:$C$3390,$A376)&gt;0,1,0)</f>
        <v>0</v>
      </c>
      <c r="S376">
        <f t="shared" si="10"/>
        <v>4</v>
      </c>
      <c r="T376">
        <f t="shared" si="11"/>
        <v>2</v>
      </c>
    </row>
    <row r="377" spans="1:20" x14ac:dyDescent="0.2">
      <c r="A377" t="s">
        <v>476</v>
      </c>
      <c r="B377">
        <f>IF(COUNTIFS('United Data'!$A$3:$A$3390,B$1,'United Data'!$C$3:$C$3390,$A377)&gt;0,1,0)</f>
        <v>0</v>
      </c>
      <c r="C377">
        <f>IF(COUNTIFS('United Data'!$A$3:$A$3390,C$1,'United Data'!$C$3:$C$3390,$A377)&gt;0,1,0)</f>
        <v>0</v>
      </c>
      <c r="D377">
        <f>IF(COUNTIFS('United Data'!$A$3:$A$3390,D$1,'United Data'!$C$3:$C$3390,$A377)&gt;0,1,0)</f>
        <v>0</v>
      </c>
      <c r="E377">
        <f>IF(COUNTIFS('United Data'!$A$3:$A$3390,E$1,'United Data'!$C$3:$C$3390,$A377)&gt;0,1,0)</f>
        <v>0</v>
      </c>
      <c r="F377">
        <f>IF(COUNTIFS('United Data'!$A$3:$A$3390,F$1,'United Data'!$C$3:$C$3390,$A377)&gt;0,1,0)</f>
        <v>0</v>
      </c>
      <c r="G377">
        <f>IF(COUNTIFS('United Data'!$A$3:$A$3390,G$1,'United Data'!$C$3:$C$3390,$A377)&gt;0,1,0)</f>
        <v>0</v>
      </c>
      <c r="H377">
        <f>IF(COUNTIFS('United Data'!$A$3:$A$3390,H$1,'United Data'!$C$3:$C$3390,$A377)&gt;0,1,0)</f>
        <v>0</v>
      </c>
      <c r="I377">
        <f>IF(COUNTIFS('United Data'!$A$3:$A$3390,I$1,'United Data'!$C$3:$C$3390,$A377)&gt;0,1,0)</f>
        <v>1</v>
      </c>
      <c r="J377">
        <f>IF(COUNTIFS('United Data'!$A$3:$A$3390,J$1,'United Data'!$C$3:$C$3390,$A377)&gt;0,1,0)</f>
        <v>0</v>
      </c>
      <c r="K377">
        <f>IF(COUNTIFS('United Data'!$A$3:$A$3390,K$1,'United Data'!$C$3:$C$3390,$A377)&gt;0,1,0)</f>
        <v>0</v>
      </c>
      <c r="L377">
        <f>IF(COUNTIFS('United Data'!$A$3:$A$3390,L$1,'United Data'!$C$3:$C$3390,$A377)&gt;0,1,0)</f>
        <v>0</v>
      </c>
      <c r="M377">
        <f>IF(COUNTIFS('United Data'!$A$3:$A$3390,M$1,'United Data'!$C$3:$C$3390,$A377)&gt;0,1,0)</f>
        <v>0</v>
      </c>
      <c r="N377">
        <f>IF(COUNTIFS('United Data'!$A$3:$A$3390,N$1,'United Data'!$C$3:$C$3390,$A377)&gt;0,1,0)</f>
        <v>0</v>
      </c>
      <c r="O377">
        <f>IF(COUNTIFS('United Data'!$A$3:$A$3390,O$1,'United Data'!$C$3:$C$3390,$A377)&gt;0,1,0)</f>
        <v>0</v>
      </c>
      <c r="P377">
        <f>IF(COUNTIFS('United Data'!$A$3:$A$3390,P$1,'United Data'!$C$3:$C$3390,$A377)&gt;0,1,0)</f>
        <v>0</v>
      </c>
      <c r="Q377">
        <f>IF(COUNTIFS('United Data'!$A$3:$A$3390,Q$1,'United Data'!$C$3:$C$3390,$A377)&gt;0,1,0)</f>
        <v>0</v>
      </c>
      <c r="R377">
        <f>IF(COUNTIFS('United Data'!$A$3:$A$3390,R$1,'United Data'!$C$3:$C$3390,$A377)&gt;0,1,0)</f>
        <v>0</v>
      </c>
      <c r="S377">
        <f t="shared" si="10"/>
        <v>1</v>
      </c>
      <c r="T377">
        <f t="shared" si="11"/>
        <v>1</v>
      </c>
    </row>
    <row r="378" spans="1:20" x14ac:dyDescent="0.2">
      <c r="A378" t="s">
        <v>477</v>
      </c>
      <c r="B378">
        <f>IF(COUNTIFS('United Data'!$A$3:$A$3390,B$1,'United Data'!$C$3:$C$3390,$A378)&gt;0,1,0)</f>
        <v>0</v>
      </c>
      <c r="C378">
        <f>IF(COUNTIFS('United Data'!$A$3:$A$3390,C$1,'United Data'!$C$3:$C$3390,$A378)&gt;0,1,0)</f>
        <v>0</v>
      </c>
      <c r="D378">
        <f>IF(COUNTIFS('United Data'!$A$3:$A$3390,D$1,'United Data'!$C$3:$C$3390,$A378)&gt;0,1,0)</f>
        <v>1</v>
      </c>
      <c r="E378">
        <f>IF(COUNTIFS('United Data'!$A$3:$A$3390,E$1,'United Data'!$C$3:$C$3390,$A378)&gt;0,1,0)</f>
        <v>0</v>
      </c>
      <c r="F378">
        <f>IF(COUNTIFS('United Data'!$A$3:$A$3390,F$1,'United Data'!$C$3:$C$3390,$A378)&gt;0,1,0)</f>
        <v>0</v>
      </c>
      <c r="G378">
        <f>IF(COUNTIFS('United Data'!$A$3:$A$3390,G$1,'United Data'!$C$3:$C$3390,$A378)&gt;0,1,0)</f>
        <v>1</v>
      </c>
      <c r="H378">
        <f>IF(COUNTIFS('United Data'!$A$3:$A$3390,H$1,'United Data'!$C$3:$C$3390,$A378)&gt;0,1,0)</f>
        <v>0</v>
      </c>
      <c r="I378">
        <f>IF(COUNTIFS('United Data'!$A$3:$A$3390,I$1,'United Data'!$C$3:$C$3390,$A378)&gt;0,1,0)</f>
        <v>1</v>
      </c>
      <c r="J378">
        <f>IF(COUNTIFS('United Data'!$A$3:$A$3390,J$1,'United Data'!$C$3:$C$3390,$A378)&gt;0,1,0)</f>
        <v>0</v>
      </c>
      <c r="K378">
        <f>IF(COUNTIFS('United Data'!$A$3:$A$3390,K$1,'United Data'!$C$3:$C$3390,$A378)&gt;0,1,0)</f>
        <v>0</v>
      </c>
      <c r="L378">
        <f>IF(COUNTIFS('United Data'!$A$3:$A$3390,L$1,'United Data'!$C$3:$C$3390,$A378)&gt;0,1,0)</f>
        <v>0</v>
      </c>
      <c r="M378">
        <f>IF(COUNTIFS('United Data'!$A$3:$A$3390,M$1,'United Data'!$C$3:$C$3390,$A378)&gt;0,1,0)</f>
        <v>0</v>
      </c>
      <c r="N378">
        <f>IF(COUNTIFS('United Data'!$A$3:$A$3390,N$1,'United Data'!$C$3:$C$3390,$A378)&gt;0,1,0)</f>
        <v>0</v>
      </c>
      <c r="O378">
        <f>IF(COUNTIFS('United Data'!$A$3:$A$3390,O$1,'United Data'!$C$3:$C$3390,$A378)&gt;0,1,0)</f>
        <v>0</v>
      </c>
      <c r="P378">
        <f>IF(COUNTIFS('United Data'!$A$3:$A$3390,P$1,'United Data'!$C$3:$C$3390,$A378)&gt;0,1,0)</f>
        <v>0</v>
      </c>
      <c r="Q378">
        <f>IF(COUNTIFS('United Data'!$A$3:$A$3390,Q$1,'United Data'!$C$3:$C$3390,$A378)&gt;0,1,0)</f>
        <v>0</v>
      </c>
      <c r="R378">
        <f>IF(COUNTIFS('United Data'!$A$3:$A$3390,R$1,'United Data'!$C$3:$C$3390,$A378)&gt;0,1,0)</f>
        <v>0</v>
      </c>
      <c r="S378">
        <f t="shared" si="10"/>
        <v>3</v>
      </c>
      <c r="T378">
        <f t="shared" si="11"/>
        <v>3</v>
      </c>
    </row>
    <row r="379" spans="1:20" x14ac:dyDescent="0.2">
      <c r="A379" t="s">
        <v>478</v>
      </c>
      <c r="B379">
        <f>IF(COUNTIFS('United Data'!$A$3:$A$3390,B$1,'United Data'!$C$3:$C$3390,$A379)&gt;0,1,0)</f>
        <v>0</v>
      </c>
      <c r="C379">
        <f>IF(COUNTIFS('United Data'!$A$3:$A$3390,C$1,'United Data'!$C$3:$C$3390,$A379)&gt;0,1,0)</f>
        <v>0</v>
      </c>
      <c r="D379">
        <f>IF(COUNTIFS('United Data'!$A$3:$A$3390,D$1,'United Data'!$C$3:$C$3390,$A379)&gt;0,1,0)</f>
        <v>0</v>
      </c>
      <c r="E379">
        <f>IF(COUNTIFS('United Data'!$A$3:$A$3390,E$1,'United Data'!$C$3:$C$3390,$A379)&gt;0,1,0)</f>
        <v>0</v>
      </c>
      <c r="F379">
        <f>IF(COUNTIFS('United Data'!$A$3:$A$3390,F$1,'United Data'!$C$3:$C$3390,$A379)&gt;0,1,0)</f>
        <v>0</v>
      </c>
      <c r="G379">
        <f>IF(COUNTIFS('United Data'!$A$3:$A$3390,G$1,'United Data'!$C$3:$C$3390,$A379)&gt;0,1,0)</f>
        <v>0</v>
      </c>
      <c r="H379">
        <f>IF(COUNTIFS('United Data'!$A$3:$A$3390,H$1,'United Data'!$C$3:$C$3390,$A379)&gt;0,1,0)</f>
        <v>0</v>
      </c>
      <c r="I379">
        <f>IF(COUNTIFS('United Data'!$A$3:$A$3390,I$1,'United Data'!$C$3:$C$3390,$A379)&gt;0,1,0)</f>
        <v>1</v>
      </c>
      <c r="J379">
        <f>IF(COUNTIFS('United Data'!$A$3:$A$3390,J$1,'United Data'!$C$3:$C$3390,$A379)&gt;0,1,0)</f>
        <v>0</v>
      </c>
      <c r="K379">
        <f>IF(COUNTIFS('United Data'!$A$3:$A$3390,K$1,'United Data'!$C$3:$C$3390,$A379)&gt;0,1,0)</f>
        <v>0</v>
      </c>
      <c r="L379">
        <f>IF(COUNTIFS('United Data'!$A$3:$A$3390,L$1,'United Data'!$C$3:$C$3390,$A379)&gt;0,1,0)</f>
        <v>1</v>
      </c>
      <c r="M379">
        <f>IF(COUNTIFS('United Data'!$A$3:$A$3390,M$1,'United Data'!$C$3:$C$3390,$A379)&gt;0,1,0)</f>
        <v>0</v>
      </c>
      <c r="N379">
        <f>IF(COUNTIFS('United Data'!$A$3:$A$3390,N$1,'United Data'!$C$3:$C$3390,$A379)&gt;0,1,0)</f>
        <v>0</v>
      </c>
      <c r="O379">
        <f>IF(COUNTIFS('United Data'!$A$3:$A$3390,O$1,'United Data'!$C$3:$C$3390,$A379)&gt;0,1,0)</f>
        <v>0</v>
      </c>
      <c r="P379">
        <f>IF(COUNTIFS('United Data'!$A$3:$A$3390,P$1,'United Data'!$C$3:$C$3390,$A379)&gt;0,1,0)</f>
        <v>0</v>
      </c>
      <c r="Q379">
        <f>IF(COUNTIFS('United Data'!$A$3:$A$3390,Q$1,'United Data'!$C$3:$C$3390,$A379)&gt;0,1,0)</f>
        <v>0</v>
      </c>
      <c r="R379">
        <f>IF(COUNTIFS('United Data'!$A$3:$A$3390,R$1,'United Data'!$C$3:$C$3390,$A379)&gt;0,1,0)</f>
        <v>0</v>
      </c>
      <c r="S379">
        <f t="shared" si="10"/>
        <v>2</v>
      </c>
      <c r="T379">
        <f t="shared" si="11"/>
        <v>2</v>
      </c>
    </row>
    <row r="380" spans="1:20" x14ac:dyDescent="0.2">
      <c r="A380" t="s">
        <v>479</v>
      </c>
      <c r="B380">
        <f>IF(COUNTIFS('United Data'!$A$3:$A$3390,B$1,'United Data'!$C$3:$C$3390,$A380)&gt;0,1,0)</f>
        <v>0</v>
      </c>
      <c r="C380">
        <f>IF(COUNTIFS('United Data'!$A$3:$A$3390,C$1,'United Data'!$C$3:$C$3390,$A380)&gt;0,1,0)</f>
        <v>0</v>
      </c>
      <c r="D380">
        <f>IF(COUNTIFS('United Data'!$A$3:$A$3390,D$1,'United Data'!$C$3:$C$3390,$A380)&gt;0,1,0)</f>
        <v>0</v>
      </c>
      <c r="E380">
        <f>IF(COUNTIFS('United Data'!$A$3:$A$3390,E$1,'United Data'!$C$3:$C$3390,$A380)&gt;0,1,0)</f>
        <v>0</v>
      </c>
      <c r="F380">
        <f>IF(COUNTIFS('United Data'!$A$3:$A$3390,F$1,'United Data'!$C$3:$C$3390,$A380)&gt;0,1,0)</f>
        <v>0</v>
      </c>
      <c r="G380">
        <f>IF(COUNTIFS('United Data'!$A$3:$A$3390,G$1,'United Data'!$C$3:$C$3390,$A380)&gt;0,1,0)</f>
        <v>0</v>
      </c>
      <c r="H380">
        <f>IF(COUNTIFS('United Data'!$A$3:$A$3390,H$1,'United Data'!$C$3:$C$3390,$A380)&gt;0,1,0)</f>
        <v>0</v>
      </c>
      <c r="I380">
        <f>IF(COUNTIFS('United Data'!$A$3:$A$3390,I$1,'United Data'!$C$3:$C$3390,$A380)&gt;0,1,0)</f>
        <v>0</v>
      </c>
      <c r="J380">
        <f>IF(COUNTIFS('United Data'!$A$3:$A$3390,J$1,'United Data'!$C$3:$C$3390,$A380)&gt;0,1,0)</f>
        <v>1</v>
      </c>
      <c r="K380">
        <f>IF(COUNTIFS('United Data'!$A$3:$A$3390,K$1,'United Data'!$C$3:$C$3390,$A380)&gt;0,1,0)</f>
        <v>0</v>
      </c>
      <c r="L380">
        <f>IF(COUNTIFS('United Data'!$A$3:$A$3390,L$1,'United Data'!$C$3:$C$3390,$A380)&gt;0,1,0)</f>
        <v>0</v>
      </c>
      <c r="M380">
        <f>IF(COUNTIFS('United Data'!$A$3:$A$3390,M$1,'United Data'!$C$3:$C$3390,$A380)&gt;0,1,0)</f>
        <v>0</v>
      </c>
      <c r="N380">
        <f>IF(COUNTIFS('United Data'!$A$3:$A$3390,N$1,'United Data'!$C$3:$C$3390,$A380)&gt;0,1,0)</f>
        <v>0</v>
      </c>
      <c r="O380">
        <f>IF(COUNTIFS('United Data'!$A$3:$A$3390,O$1,'United Data'!$C$3:$C$3390,$A380)&gt;0,1,0)</f>
        <v>0</v>
      </c>
      <c r="P380">
        <f>IF(COUNTIFS('United Data'!$A$3:$A$3390,P$1,'United Data'!$C$3:$C$3390,$A380)&gt;0,1,0)</f>
        <v>0</v>
      </c>
      <c r="Q380">
        <f>IF(COUNTIFS('United Data'!$A$3:$A$3390,Q$1,'United Data'!$C$3:$C$3390,$A380)&gt;0,1,0)</f>
        <v>0</v>
      </c>
      <c r="R380">
        <f>IF(COUNTIFS('United Data'!$A$3:$A$3390,R$1,'United Data'!$C$3:$C$3390,$A380)&gt;0,1,0)</f>
        <v>0</v>
      </c>
      <c r="S380">
        <f t="shared" si="10"/>
        <v>1</v>
      </c>
      <c r="T380">
        <f t="shared" si="11"/>
        <v>1</v>
      </c>
    </row>
    <row r="381" spans="1:20" x14ac:dyDescent="0.2">
      <c r="A381" t="s">
        <v>480</v>
      </c>
      <c r="B381">
        <f>IF(COUNTIFS('United Data'!$A$3:$A$3390,B$1,'United Data'!$C$3:$C$3390,$A381)&gt;0,1,0)</f>
        <v>0</v>
      </c>
      <c r="C381">
        <f>IF(COUNTIFS('United Data'!$A$3:$A$3390,C$1,'United Data'!$C$3:$C$3390,$A381)&gt;0,1,0)</f>
        <v>0</v>
      </c>
      <c r="D381">
        <f>IF(COUNTIFS('United Data'!$A$3:$A$3390,D$1,'United Data'!$C$3:$C$3390,$A381)&gt;0,1,0)</f>
        <v>0</v>
      </c>
      <c r="E381">
        <f>IF(COUNTIFS('United Data'!$A$3:$A$3390,E$1,'United Data'!$C$3:$C$3390,$A381)&gt;0,1,0)</f>
        <v>0</v>
      </c>
      <c r="F381">
        <f>IF(COUNTIFS('United Data'!$A$3:$A$3390,F$1,'United Data'!$C$3:$C$3390,$A381)&gt;0,1,0)</f>
        <v>0</v>
      </c>
      <c r="G381">
        <f>IF(COUNTIFS('United Data'!$A$3:$A$3390,G$1,'United Data'!$C$3:$C$3390,$A381)&gt;0,1,0)</f>
        <v>0</v>
      </c>
      <c r="H381">
        <f>IF(COUNTIFS('United Data'!$A$3:$A$3390,H$1,'United Data'!$C$3:$C$3390,$A381)&gt;0,1,0)</f>
        <v>0</v>
      </c>
      <c r="I381">
        <f>IF(COUNTIFS('United Data'!$A$3:$A$3390,I$1,'United Data'!$C$3:$C$3390,$A381)&gt;0,1,0)</f>
        <v>0</v>
      </c>
      <c r="J381">
        <f>IF(COUNTIFS('United Data'!$A$3:$A$3390,J$1,'United Data'!$C$3:$C$3390,$A381)&gt;0,1,0)</f>
        <v>1</v>
      </c>
      <c r="K381">
        <f>IF(COUNTIFS('United Data'!$A$3:$A$3390,K$1,'United Data'!$C$3:$C$3390,$A381)&gt;0,1,0)</f>
        <v>0</v>
      </c>
      <c r="L381">
        <f>IF(COUNTIFS('United Data'!$A$3:$A$3390,L$1,'United Data'!$C$3:$C$3390,$A381)&gt;0,1,0)</f>
        <v>0</v>
      </c>
      <c r="M381">
        <f>IF(COUNTIFS('United Data'!$A$3:$A$3390,M$1,'United Data'!$C$3:$C$3390,$A381)&gt;0,1,0)</f>
        <v>0</v>
      </c>
      <c r="N381">
        <f>IF(COUNTIFS('United Data'!$A$3:$A$3390,N$1,'United Data'!$C$3:$C$3390,$A381)&gt;0,1,0)</f>
        <v>0</v>
      </c>
      <c r="O381">
        <f>IF(COUNTIFS('United Data'!$A$3:$A$3390,O$1,'United Data'!$C$3:$C$3390,$A381)&gt;0,1,0)</f>
        <v>0</v>
      </c>
      <c r="P381">
        <f>IF(COUNTIFS('United Data'!$A$3:$A$3390,P$1,'United Data'!$C$3:$C$3390,$A381)&gt;0,1,0)</f>
        <v>0</v>
      </c>
      <c r="Q381">
        <f>IF(COUNTIFS('United Data'!$A$3:$A$3390,Q$1,'United Data'!$C$3:$C$3390,$A381)&gt;0,1,0)</f>
        <v>0</v>
      </c>
      <c r="R381">
        <f>IF(COUNTIFS('United Data'!$A$3:$A$3390,R$1,'United Data'!$C$3:$C$3390,$A381)&gt;0,1,0)</f>
        <v>0</v>
      </c>
      <c r="S381">
        <f t="shared" si="10"/>
        <v>1</v>
      </c>
      <c r="T381">
        <f t="shared" si="11"/>
        <v>1</v>
      </c>
    </row>
    <row r="382" spans="1:20" x14ac:dyDescent="0.2">
      <c r="A382" t="s">
        <v>483</v>
      </c>
      <c r="B382">
        <f>IF(COUNTIFS('United Data'!$A$3:$A$3390,B$1,'United Data'!$C$3:$C$3390,$A382)&gt;0,1,0)</f>
        <v>0</v>
      </c>
      <c r="C382">
        <f>IF(COUNTIFS('United Data'!$A$3:$A$3390,C$1,'United Data'!$C$3:$C$3390,$A382)&gt;0,1,0)</f>
        <v>0</v>
      </c>
      <c r="D382">
        <f>IF(COUNTIFS('United Data'!$A$3:$A$3390,D$1,'United Data'!$C$3:$C$3390,$A382)&gt;0,1,0)</f>
        <v>0</v>
      </c>
      <c r="E382">
        <f>IF(COUNTIFS('United Data'!$A$3:$A$3390,E$1,'United Data'!$C$3:$C$3390,$A382)&gt;0,1,0)</f>
        <v>0</v>
      </c>
      <c r="F382">
        <f>IF(COUNTIFS('United Data'!$A$3:$A$3390,F$1,'United Data'!$C$3:$C$3390,$A382)&gt;0,1,0)</f>
        <v>0</v>
      </c>
      <c r="G382">
        <f>IF(COUNTIFS('United Data'!$A$3:$A$3390,G$1,'United Data'!$C$3:$C$3390,$A382)&gt;0,1,0)</f>
        <v>0</v>
      </c>
      <c r="H382">
        <f>IF(COUNTIFS('United Data'!$A$3:$A$3390,H$1,'United Data'!$C$3:$C$3390,$A382)&gt;0,1,0)</f>
        <v>0</v>
      </c>
      <c r="I382">
        <f>IF(COUNTIFS('United Data'!$A$3:$A$3390,I$1,'United Data'!$C$3:$C$3390,$A382)&gt;0,1,0)</f>
        <v>0</v>
      </c>
      <c r="J382">
        <f>IF(COUNTIFS('United Data'!$A$3:$A$3390,J$1,'United Data'!$C$3:$C$3390,$A382)&gt;0,1,0)</f>
        <v>0</v>
      </c>
      <c r="K382">
        <f>IF(COUNTIFS('United Data'!$A$3:$A$3390,K$1,'United Data'!$C$3:$C$3390,$A382)&gt;0,1,0)</f>
        <v>0</v>
      </c>
      <c r="L382">
        <f>IF(COUNTIFS('United Data'!$A$3:$A$3390,L$1,'United Data'!$C$3:$C$3390,$A382)&gt;0,1,0)</f>
        <v>1</v>
      </c>
      <c r="M382">
        <f>IF(COUNTIFS('United Data'!$A$3:$A$3390,M$1,'United Data'!$C$3:$C$3390,$A382)&gt;0,1,0)</f>
        <v>0</v>
      </c>
      <c r="N382">
        <f>IF(COUNTIFS('United Data'!$A$3:$A$3390,N$1,'United Data'!$C$3:$C$3390,$A382)&gt;0,1,0)</f>
        <v>0</v>
      </c>
      <c r="O382">
        <f>IF(COUNTIFS('United Data'!$A$3:$A$3390,O$1,'United Data'!$C$3:$C$3390,$A382)&gt;0,1,0)</f>
        <v>0</v>
      </c>
      <c r="P382">
        <f>IF(COUNTIFS('United Data'!$A$3:$A$3390,P$1,'United Data'!$C$3:$C$3390,$A382)&gt;0,1,0)</f>
        <v>0</v>
      </c>
      <c r="Q382">
        <f>IF(COUNTIFS('United Data'!$A$3:$A$3390,Q$1,'United Data'!$C$3:$C$3390,$A382)&gt;0,1,0)</f>
        <v>0</v>
      </c>
      <c r="R382">
        <f>IF(COUNTIFS('United Data'!$A$3:$A$3390,R$1,'United Data'!$C$3:$C$3390,$A382)&gt;0,1,0)</f>
        <v>0</v>
      </c>
      <c r="S382">
        <f t="shared" si="10"/>
        <v>1</v>
      </c>
      <c r="T382">
        <f t="shared" si="11"/>
        <v>1</v>
      </c>
    </row>
    <row r="383" spans="1:20" x14ac:dyDescent="0.2">
      <c r="A383" t="s">
        <v>484</v>
      </c>
      <c r="B383">
        <f>IF(COUNTIFS('United Data'!$A$3:$A$3390,B$1,'United Data'!$C$3:$C$3390,$A383)&gt;0,1,0)</f>
        <v>0</v>
      </c>
      <c r="C383">
        <f>IF(COUNTIFS('United Data'!$A$3:$A$3390,C$1,'United Data'!$C$3:$C$3390,$A383)&gt;0,1,0)</f>
        <v>0</v>
      </c>
      <c r="D383">
        <f>IF(COUNTIFS('United Data'!$A$3:$A$3390,D$1,'United Data'!$C$3:$C$3390,$A383)&gt;0,1,0)</f>
        <v>0</v>
      </c>
      <c r="E383">
        <f>IF(COUNTIFS('United Data'!$A$3:$A$3390,E$1,'United Data'!$C$3:$C$3390,$A383)&gt;0,1,0)</f>
        <v>0</v>
      </c>
      <c r="F383">
        <f>IF(COUNTIFS('United Data'!$A$3:$A$3390,F$1,'United Data'!$C$3:$C$3390,$A383)&gt;0,1,0)</f>
        <v>0</v>
      </c>
      <c r="G383">
        <f>IF(COUNTIFS('United Data'!$A$3:$A$3390,G$1,'United Data'!$C$3:$C$3390,$A383)&gt;0,1,0)</f>
        <v>0</v>
      </c>
      <c r="H383">
        <f>IF(COUNTIFS('United Data'!$A$3:$A$3390,H$1,'United Data'!$C$3:$C$3390,$A383)&gt;0,1,0)</f>
        <v>0</v>
      </c>
      <c r="I383">
        <f>IF(COUNTIFS('United Data'!$A$3:$A$3390,I$1,'United Data'!$C$3:$C$3390,$A383)&gt;0,1,0)</f>
        <v>0</v>
      </c>
      <c r="J383">
        <f>IF(COUNTIFS('United Data'!$A$3:$A$3390,J$1,'United Data'!$C$3:$C$3390,$A383)&gt;0,1,0)</f>
        <v>0</v>
      </c>
      <c r="K383">
        <f>IF(COUNTIFS('United Data'!$A$3:$A$3390,K$1,'United Data'!$C$3:$C$3390,$A383)&gt;0,1,0)</f>
        <v>0</v>
      </c>
      <c r="L383">
        <f>IF(COUNTIFS('United Data'!$A$3:$A$3390,L$1,'United Data'!$C$3:$C$3390,$A383)&gt;0,1,0)</f>
        <v>1</v>
      </c>
      <c r="M383">
        <f>IF(COUNTIFS('United Data'!$A$3:$A$3390,M$1,'United Data'!$C$3:$C$3390,$A383)&gt;0,1,0)</f>
        <v>0</v>
      </c>
      <c r="N383">
        <f>IF(COUNTIFS('United Data'!$A$3:$A$3390,N$1,'United Data'!$C$3:$C$3390,$A383)&gt;0,1,0)</f>
        <v>0</v>
      </c>
      <c r="O383">
        <f>IF(COUNTIFS('United Data'!$A$3:$A$3390,O$1,'United Data'!$C$3:$C$3390,$A383)&gt;0,1,0)</f>
        <v>0</v>
      </c>
      <c r="P383">
        <f>IF(COUNTIFS('United Data'!$A$3:$A$3390,P$1,'United Data'!$C$3:$C$3390,$A383)&gt;0,1,0)</f>
        <v>0</v>
      </c>
      <c r="Q383">
        <f>IF(COUNTIFS('United Data'!$A$3:$A$3390,Q$1,'United Data'!$C$3:$C$3390,$A383)&gt;0,1,0)</f>
        <v>0</v>
      </c>
      <c r="R383">
        <f>IF(COUNTIFS('United Data'!$A$3:$A$3390,R$1,'United Data'!$C$3:$C$3390,$A383)&gt;0,1,0)</f>
        <v>0</v>
      </c>
      <c r="S383">
        <f t="shared" si="10"/>
        <v>1</v>
      </c>
      <c r="T383">
        <f t="shared" si="11"/>
        <v>1</v>
      </c>
    </row>
    <row r="384" spans="1:20" x14ac:dyDescent="0.2">
      <c r="A384" t="s">
        <v>485</v>
      </c>
      <c r="B384">
        <f>IF(COUNTIFS('United Data'!$A$3:$A$3390,B$1,'United Data'!$C$3:$C$3390,$A384)&gt;0,1,0)</f>
        <v>0</v>
      </c>
      <c r="C384">
        <f>IF(COUNTIFS('United Data'!$A$3:$A$3390,C$1,'United Data'!$C$3:$C$3390,$A384)&gt;0,1,0)</f>
        <v>0</v>
      </c>
      <c r="D384">
        <f>IF(COUNTIFS('United Data'!$A$3:$A$3390,D$1,'United Data'!$C$3:$C$3390,$A384)&gt;0,1,0)</f>
        <v>0</v>
      </c>
      <c r="E384">
        <f>IF(COUNTIFS('United Data'!$A$3:$A$3390,E$1,'United Data'!$C$3:$C$3390,$A384)&gt;0,1,0)</f>
        <v>0</v>
      </c>
      <c r="F384">
        <f>IF(COUNTIFS('United Data'!$A$3:$A$3390,F$1,'United Data'!$C$3:$C$3390,$A384)&gt;0,1,0)</f>
        <v>0</v>
      </c>
      <c r="G384">
        <f>IF(COUNTIFS('United Data'!$A$3:$A$3390,G$1,'United Data'!$C$3:$C$3390,$A384)&gt;0,1,0)</f>
        <v>0</v>
      </c>
      <c r="H384">
        <f>IF(COUNTIFS('United Data'!$A$3:$A$3390,H$1,'United Data'!$C$3:$C$3390,$A384)&gt;0,1,0)</f>
        <v>0</v>
      </c>
      <c r="I384">
        <f>IF(COUNTIFS('United Data'!$A$3:$A$3390,I$1,'United Data'!$C$3:$C$3390,$A384)&gt;0,1,0)</f>
        <v>0</v>
      </c>
      <c r="J384">
        <f>IF(COUNTIFS('United Data'!$A$3:$A$3390,J$1,'United Data'!$C$3:$C$3390,$A384)&gt;0,1,0)</f>
        <v>0</v>
      </c>
      <c r="K384">
        <f>IF(COUNTIFS('United Data'!$A$3:$A$3390,K$1,'United Data'!$C$3:$C$3390,$A384)&gt;0,1,0)</f>
        <v>0</v>
      </c>
      <c r="L384">
        <f>IF(COUNTIFS('United Data'!$A$3:$A$3390,L$1,'United Data'!$C$3:$C$3390,$A384)&gt;0,1,0)</f>
        <v>1</v>
      </c>
      <c r="M384">
        <f>IF(COUNTIFS('United Data'!$A$3:$A$3390,M$1,'United Data'!$C$3:$C$3390,$A384)&gt;0,1,0)</f>
        <v>0</v>
      </c>
      <c r="N384">
        <f>IF(COUNTIFS('United Data'!$A$3:$A$3390,N$1,'United Data'!$C$3:$C$3390,$A384)&gt;0,1,0)</f>
        <v>0</v>
      </c>
      <c r="O384">
        <f>IF(COUNTIFS('United Data'!$A$3:$A$3390,O$1,'United Data'!$C$3:$C$3390,$A384)&gt;0,1,0)</f>
        <v>0</v>
      </c>
      <c r="P384">
        <f>IF(COUNTIFS('United Data'!$A$3:$A$3390,P$1,'United Data'!$C$3:$C$3390,$A384)&gt;0,1,0)</f>
        <v>0</v>
      </c>
      <c r="Q384">
        <f>IF(COUNTIFS('United Data'!$A$3:$A$3390,Q$1,'United Data'!$C$3:$C$3390,$A384)&gt;0,1,0)</f>
        <v>0</v>
      </c>
      <c r="R384">
        <f>IF(COUNTIFS('United Data'!$A$3:$A$3390,R$1,'United Data'!$C$3:$C$3390,$A384)&gt;0,1,0)</f>
        <v>0</v>
      </c>
      <c r="S384">
        <f t="shared" si="10"/>
        <v>1</v>
      </c>
      <c r="T384">
        <f t="shared" si="11"/>
        <v>1</v>
      </c>
    </row>
    <row r="385" spans="1:20" x14ac:dyDescent="0.2">
      <c r="A385" t="s">
        <v>487</v>
      </c>
      <c r="B385">
        <f>IF(COUNTIFS('United Data'!$A$3:$A$3390,B$1,'United Data'!$C$3:$C$3390,$A385)&gt;0,1,0)</f>
        <v>0</v>
      </c>
      <c r="C385">
        <f>IF(COUNTIFS('United Data'!$A$3:$A$3390,C$1,'United Data'!$C$3:$C$3390,$A385)&gt;0,1,0)</f>
        <v>0</v>
      </c>
      <c r="D385">
        <f>IF(COUNTIFS('United Data'!$A$3:$A$3390,D$1,'United Data'!$C$3:$C$3390,$A385)&gt;0,1,0)</f>
        <v>0</v>
      </c>
      <c r="E385">
        <f>IF(COUNTIFS('United Data'!$A$3:$A$3390,E$1,'United Data'!$C$3:$C$3390,$A385)&gt;0,1,0)</f>
        <v>0</v>
      </c>
      <c r="F385">
        <f>IF(COUNTIFS('United Data'!$A$3:$A$3390,F$1,'United Data'!$C$3:$C$3390,$A385)&gt;0,1,0)</f>
        <v>0</v>
      </c>
      <c r="G385">
        <f>IF(COUNTIFS('United Data'!$A$3:$A$3390,G$1,'United Data'!$C$3:$C$3390,$A385)&gt;0,1,0)</f>
        <v>0</v>
      </c>
      <c r="H385">
        <f>IF(COUNTIFS('United Data'!$A$3:$A$3390,H$1,'United Data'!$C$3:$C$3390,$A385)&gt;0,1,0)</f>
        <v>0</v>
      </c>
      <c r="I385">
        <f>IF(COUNTIFS('United Data'!$A$3:$A$3390,I$1,'United Data'!$C$3:$C$3390,$A385)&gt;0,1,0)</f>
        <v>0</v>
      </c>
      <c r="J385">
        <f>IF(COUNTIFS('United Data'!$A$3:$A$3390,J$1,'United Data'!$C$3:$C$3390,$A385)&gt;0,1,0)</f>
        <v>0</v>
      </c>
      <c r="K385">
        <f>IF(COUNTIFS('United Data'!$A$3:$A$3390,K$1,'United Data'!$C$3:$C$3390,$A385)&gt;0,1,0)</f>
        <v>0</v>
      </c>
      <c r="L385">
        <f>IF(COUNTIFS('United Data'!$A$3:$A$3390,L$1,'United Data'!$C$3:$C$3390,$A385)&gt;0,1,0)</f>
        <v>1</v>
      </c>
      <c r="M385">
        <f>IF(COUNTIFS('United Data'!$A$3:$A$3390,M$1,'United Data'!$C$3:$C$3390,$A385)&gt;0,1,0)</f>
        <v>0</v>
      </c>
      <c r="N385">
        <f>IF(COUNTIFS('United Data'!$A$3:$A$3390,N$1,'United Data'!$C$3:$C$3390,$A385)&gt;0,1,0)</f>
        <v>0</v>
      </c>
      <c r="O385">
        <f>IF(COUNTIFS('United Data'!$A$3:$A$3390,O$1,'United Data'!$C$3:$C$3390,$A385)&gt;0,1,0)</f>
        <v>0</v>
      </c>
      <c r="P385">
        <f>IF(COUNTIFS('United Data'!$A$3:$A$3390,P$1,'United Data'!$C$3:$C$3390,$A385)&gt;0,1,0)</f>
        <v>0</v>
      </c>
      <c r="Q385">
        <f>IF(COUNTIFS('United Data'!$A$3:$A$3390,Q$1,'United Data'!$C$3:$C$3390,$A385)&gt;0,1,0)</f>
        <v>0</v>
      </c>
      <c r="R385">
        <f>IF(COUNTIFS('United Data'!$A$3:$A$3390,R$1,'United Data'!$C$3:$C$3390,$A385)&gt;0,1,0)</f>
        <v>0</v>
      </c>
      <c r="S385">
        <f t="shared" si="10"/>
        <v>1</v>
      </c>
      <c r="T385">
        <f t="shared" si="11"/>
        <v>1</v>
      </c>
    </row>
    <row r="386" spans="1:20" x14ac:dyDescent="0.2">
      <c r="A386" t="s">
        <v>488</v>
      </c>
      <c r="B386">
        <f>IF(COUNTIFS('United Data'!$A$3:$A$3390,B$1,'United Data'!$C$3:$C$3390,$A386)&gt;0,1,0)</f>
        <v>0</v>
      </c>
      <c r="C386">
        <f>IF(COUNTIFS('United Data'!$A$3:$A$3390,C$1,'United Data'!$C$3:$C$3390,$A386)&gt;0,1,0)</f>
        <v>0</v>
      </c>
      <c r="D386">
        <f>IF(COUNTIFS('United Data'!$A$3:$A$3390,D$1,'United Data'!$C$3:$C$3390,$A386)&gt;0,1,0)</f>
        <v>0</v>
      </c>
      <c r="E386">
        <f>IF(COUNTIFS('United Data'!$A$3:$A$3390,E$1,'United Data'!$C$3:$C$3390,$A386)&gt;0,1,0)</f>
        <v>0</v>
      </c>
      <c r="F386">
        <f>IF(COUNTIFS('United Data'!$A$3:$A$3390,F$1,'United Data'!$C$3:$C$3390,$A386)&gt;0,1,0)</f>
        <v>0</v>
      </c>
      <c r="G386">
        <f>IF(COUNTIFS('United Data'!$A$3:$A$3390,G$1,'United Data'!$C$3:$C$3390,$A386)&gt;0,1,0)</f>
        <v>0</v>
      </c>
      <c r="H386">
        <f>IF(COUNTIFS('United Data'!$A$3:$A$3390,H$1,'United Data'!$C$3:$C$3390,$A386)&gt;0,1,0)</f>
        <v>0</v>
      </c>
      <c r="I386">
        <f>IF(COUNTIFS('United Data'!$A$3:$A$3390,I$1,'United Data'!$C$3:$C$3390,$A386)&gt;0,1,0)</f>
        <v>0</v>
      </c>
      <c r="J386">
        <f>IF(COUNTIFS('United Data'!$A$3:$A$3390,J$1,'United Data'!$C$3:$C$3390,$A386)&gt;0,1,0)</f>
        <v>0</v>
      </c>
      <c r="K386">
        <f>IF(COUNTIFS('United Data'!$A$3:$A$3390,K$1,'United Data'!$C$3:$C$3390,$A386)&gt;0,1,0)</f>
        <v>0</v>
      </c>
      <c r="L386">
        <f>IF(COUNTIFS('United Data'!$A$3:$A$3390,L$1,'United Data'!$C$3:$C$3390,$A386)&gt;0,1,0)</f>
        <v>0</v>
      </c>
      <c r="M386">
        <f>IF(COUNTIFS('United Data'!$A$3:$A$3390,M$1,'United Data'!$C$3:$C$3390,$A386)&gt;0,1,0)</f>
        <v>1</v>
      </c>
      <c r="N386">
        <f>IF(COUNTIFS('United Data'!$A$3:$A$3390,N$1,'United Data'!$C$3:$C$3390,$A386)&gt;0,1,0)</f>
        <v>0</v>
      </c>
      <c r="O386">
        <f>IF(COUNTIFS('United Data'!$A$3:$A$3390,O$1,'United Data'!$C$3:$C$3390,$A386)&gt;0,1,0)</f>
        <v>0</v>
      </c>
      <c r="P386">
        <f>IF(COUNTIFS('United Data'!$A$3:$A$3390,P$1,'United Data'!$C$3:$C$3390,$A386)&gt;0,1,0)</f>
        <v>1</v>
      </c>
      <c r="Q386">
        <f>IF(COUNTIFS('United Data'!$A$3:$A$3390,Q$1,'United Data'!$C$3:$C$3390,$A386)&gt;0,1,0)</f>
        <v>0</v>
      </c>
      <c r="R386">
        <f>IF(COUNTIFS('United Data'!$A$3:$A$3390,R$1,'United Data'!$C$3:$C$3390,$A386)&gt;0,1,0)</f>
        <v>0</v>
      </c>
      <c r="S386">
        <f t="shared" ref="S386:S449" si="12">SUM(B386:R386)</f>
        <v>2</v>
      </c>
      <c r="T386">
        <f t="shared" ref="T386:T449" si="13">B386+SUMPRODUCT(--(C386:R386&gt;B386:Q386))</f>
        <v>2</v>
      </c>
    </row>
    <row r="387" spans="1:20" x14ac:dyDescent="0.2">
      <c r="A387" t="s">
        <v>489</v>
      </c>
      <c r="B387">
        <f>IF(COUNTIFS('United Data'!$A$3:$A$3390,B$1,'United Data'!$C$3:$C$3390,$A387)&gt;0,1,0)</f>
        <v>0</v>
      </c>
      <c r="C387">
        <f>IF(COUNTIFS('United Data'!$A$3:$A$3390,C$1,'United Data'!$C$3:$C$3390,$A387)&gt;0,1,0)</f>
        <v>0</v>
      </c>
      <c r="D387">
        <f>IF(COUNTIFS('United Data'!$A$3:$A$3390,D$1,'United Data'!$C$3:$C$3390,$A387)&gt;0,1,0)</f>
        <v>0</v>
      </c>
      <c r="E387">
        <f>IF(COUNTIFS('United Data'!$A$3:$A$3390,E$1,'United Data'!$C$3:$C$3390,$A387)&gt;0,1,0)</f>
        <v>0</v>
      </c>
      <c r="F387">
        <f>IF(COUNTIFS('United Data'!$A$3:$A$3390,F$1,'United Data'!$C$3:$C$3390,$A387)&gt;0,1,0)</f>
        <v>0</v>
      </c>
      <c r="G387">
        <f>IF(COUNTIFS('United Data'!$A$3:$A$3390,G$1,'United Data'!$C$3:$C$3390,$A387)&gt;0,1,0)</f>
        <v>0</v>
      </c>
      <c r="H387">
        <f>IF(COUNTIFS('United Data'!$A$3:$A$3390,H$1,'United Data'!$C$3:$C$3390,$A387)&gt;0,1,0)</f>
        <v>0</v>
      </c>
      <c r="I387">
        <f>IF(COUNTIFS('United Data'!$A$3:$A$3390,I$1,'United Data'!$C$3:$C$3390,$A387)&gt;0,1,0)</f>
        <v>0</v>
      </c>
      <c r="J387">
        <f>IF(COUNTIFS('United Data'!$A$3:$A$3390,J$1,'United Data'!$C$3:$C$3390,$A387)&gt;0,1,0)</f>
        <v>0</v>
      </c>
      <c r="K387">
        <f>IF(COUNTIFS('United Data'!$A$3:$A$3390,K$1,'United Data'!$C$3:$C$3390,$A387)&gt;0,1,0)</f>
        <v>0</v>
      </c>
      <c r="L387">
        <f>IF(COUNTIFS('United Data'!$A$3:$A$3390,L$1,'United Data'!$C$3:$C$3390,$A387)&gt;0,1,0)</f>
        <v>0</v>
      </c>
      <c r="M387">
        <f>IF(COUNTIFS('United Data'!$A$3:$A$3390,M$1,'United Data'!$C$3:$C$3390,$A387)&gt;0,1,0)</f>
        <v>1</v>
      </c>
      <c r="N387">
        <f>IF(COUNTIFS('United Data'!$A$3:$A$3390,N$1,'United Data'!$C$3:$C$3390,$A387)&gt;0,1,0)</f>
        <v>0</v>
      </c>
      <c r="O387">
        <f>IF(COUNTIFS('United Data'!$A$3:$A$3390,O$1,'United Data'!$C$3:$C$3390,$A387)&gt;0,1,0)</f>
        <v>0</v>
      </c>
      <c r="P387">
        <f>IF(COUNTIFS('United Data'!$A$3:$A$3390,P$1,'United Data'!$C$3:$C$3390,$A387)&gt;0,1,0)</f>
        <v>1</v>
      </c>
      <c r="Q387">
        <f>IF(COUNTIFS('United Data'!$A$3:$A$3390,Q$1,'United Data'!$C$3:$C$3390,$A387)&gt;0,1,0)</f>
        <v>0</v>
      </c>
      <c r="R387">
        <f>IF(COUNTIFS('United Data'!$A$3:$A$3390,R$1,'United Data'!$C$3:$C$3390,$A387)&gt;0,1,0)</f>
        <v>0</v>
      </c>
      <c r="S387">
        <f t="shared" si="12"/>
        <v>2</v>
      </c>
      <c r="T387">
        <f t="shared" si="13"/>
        <v>2</v>
      </c>
    </row>
    <row r="388" spans="1:20" x14ac:dyDescent="0.2">
      <c r="A388" t="s">
        <v>490</v>
      </c>
      <c r="B388">
        <f>IF(COUNTIFS('United Data'!$A$3:$A$3390,B$1,'United Data'!$C$3:$C$3390,$A388)&gt;0,1,0)</f>
        <v>0</v>
      </c>
      <c r="C388">
        <f>IF(COUNTIFS('United Data'!$A$3:$A$3390,C$1,'United Data'!$C$3:$C$3390,$A388)&gt;0,1,0)</f>
        <v>0</v>
      </c>
      <c r="D388">
        <f>IF(COUNTIFS('United Data'!$A$3:$A$3390,D$1,'United Data'!$C$3:$C$3390,$A388)&gt;0,1,0)</f>
        <v>0</v>
      </c>
      <c r="E388">
        <f>IF(COUNTIFS('United Data'!$A$3:$A$3390,E$1,'United Data'!$C$3:$C$3390,$A388)&gt;0,1,0)</f>
        <v>0</v>
      </c>
      <c r="F388">
        <f>IF(COUNTIFS('United Data'!$A$3:$A$3390,F$1,'United Data'!$C$3:$C$3390,$A388)&gt;0,1,0)</f>
        <v>0</v>
      </c>
      <c r="G388">
        <f>IF(COUNTIFS('United Data'!$A$3:$A$3390,G$1,'United Data'!$C$3:$C$3390,$A388)&gt;0,1,0)</f>
        <v>0</v>
      </c>
      <c r="H388">
        <f>IF(COUNTIFS('United Data'!$A$3:$A$3390,H$1,'United Data'!$C$3:$C$3390,$A388)&gt;0,1,0)</f>
        <v>0</v>
      </c>
      <c r="I388">
        <f>IF(COUNTIFS('United Data'!$A$3:$A$3390,I$1,'United Data'!$C$3:$C$3390,$A388)&gt;0,1,0)</f>
        <v>0</v>
      </c>
      <c r="J388">
        <f>IF(COUNTIFS('United Data'!$A$3:$A$3390,J$1,'United Data'!$C$3:$C$3390,$A388)&gt;0,1,0)</f>
        <v>0</v>
      </c>
      <c r="K388">
        <f>IF(COUNTIFS('United Data'!$A$3:$A$3390,K$1,'United Data'!$C$3:$C$3390,$A388)&gt;0,1,0)</f>
        <v>0</v>
      </c>
      <c r="L388">
        <f>IF(COUNTIFS('United Data'!$A$3:$A$3390,L$1,'United Data'!$C$3:$C$3390,$A388)&gt;0,1,0)</f>
        <v>0</v>
      </c>
      <c r="M388">
        <f>IF(COUNTIFS('United Data'!$A$3:$A$3390,M$1,'United Data'!$C$3:$C$3390,$A388)&gt;0,1,0)</f>
        <v>1</v>
      </c>
      <c r="N388">
        <f>IF(COUNTIFS('United Data'!$A$3:$A$3390,N$1,'United Data'!$C$3:$C$3390,$A388)&gt;0,1,0)</f>
        <v>0</v>
      </c>
      <c r="O388">
        <f>IF(COUNTIFS('United Data'!$A$3:$A$3390,O$1,'United Data'!$C$3:$C$3390,$A388)&gt;0,1,0)</f>
        <v>0</v>
      </c>
      <c r="P388">
        <f>IF(COUNTIFS('United Data'!$A$3:$A$3390,P$1,'United Data'!$C$3:$C$3390,$A388)&gt;0,1,0)</f>
        <v>0</v>
      </c>
      <c r="Q388">
        <f>IF(COUNTIFS('United Data'!$A$3:$A$3390,Q$1,'United Data'!$C$3:$C$3390,$A388)&gt;0,1,0)</f>
        <v>0</v>
      </c>
      <c r="R388">
        <f>IF(COUNTIFS('United Data'!$A$3:$A$3390,R$1,'United Data'!$C$3:$C$3390,$A388)&gt;0,1,0)</f>
        <v>0</v>
      </c>
      <c r="S388">
        <f t="shared" si="12"/>
        <v>1</v>
      </c>
      <c r="T388">
        <f t="shared" si="13"/>
        <v>1</v>
      </c>
    </row>
    <row r="389" spans="1:20" x14ac:dyDescent="0.2">
      <c r="A389" t="s">
        <v>491</v>
      </c>
      <c r="B389">
        <f>IF(COUNTIFS('United Data'!$A$3:$A$3390,B$1,'United Data'!$C$3:$C$3390,$A389)&gt;0,1,0)</f>
        <v>0</v>
      </c>
      <c r="C389">
        <f>IF(COUNTIFS('United Data'!$A$3:$A$3390,C$1,'United Data'!$C$3:$C$3390,$A389)&gt;0,1,0)</f>
        <v>0</v>
      </c>
      <c r="D389">
        <f>IF(COUNTIFS('United Data'!$A$3:$A$3390,D$1,'United Data'!$C$3:$C$3390,$A389)&gt;0,1,0)</f>
        <v>0</v>
      </c>
      <c r="E389">
        <f>IF(COUNTIFS('United Data'!$A$3:$A$3390,E$1,'United Data'!$C$3:$C$3390,$A389)&gt;0,1,0)</f>
        <v>0</v>
      </c>
      <c r="F389">
        <f>IF(COUNTIFS('United Data'!$A$3:$A$3390,F$1,'United Data'!$C$3:$C$3390,$A389)&gt;0,1,0)</f>
        <v>0</v>
      </c>
      <c r="G389">
        <f>IF(COUNTIFS('United Data'!$A$3:$A$3390,G$1,'United Data'!$C$3:$C$3390,$A389)&gt;0,1,0)</f>
        <v>0</v>
      </c>
      <c r="H389">
        <f>IF(COUNTIFS('United Data'!$A$3:$A$3390,H$1,'United Data'!$C$3:$C$3390,$A389)&gt;0,1,0)</f>
        <v>0</v>
      </c>
      <c r="I389">
        <f>IF(COUNTIFS('United Data'!$A$3:$A$3390,I$1,'United Data'!$C$3:$C$3390,$A389)&gt;0,1,0)</f>
        <v>0</v>
      </c>
      <c r="J389">
        <f>IF(COUNTIFS('United Data'!$A$3:$A$3390,J$1,'United Data'!$C$3:$C$3390,$A389)&gt;0,1,0)</f>
        <v>0</v>
      </c>
      <c r="K389">
        <f>IF(COUNTIFS('United Data'!$A$3:$A$3390,K$1,'United Data'!$C$3:$C$3390,$A389)&gt;0,1,0)</f>
        <v>0</v>
      </c>
      <c r="L389">
        <f>IF(COUNTIFS('United Data'!$A$3:$A$3390,L$1,'United Data'!$C$3:$C$3390,$A389)&gt;0,1,0)</f>
        <v>0</v>
      </c>
      <c r="M389">
        <f>IF(COUNTIFS('United Data'!$A$3:$A$3390,M$1,'United Data'!$C$3:$C$3390,$A389)&gt;0,1,0)</f>
        <v>1</v>
      </c>
      <c r="N389">
        <f>IF(COUNTIFS('United Data'!$A$3:$A$3390,N$1,'United Data'!$C$3:$C$3390,$A389)&gt;0,1,0)</f>
        <v>0</v>
      </c>
      <c r="O389">
        <f>IF(COUNTIFS('United Data'!$A$3:$A$3390,O$1,'United Data'!$C$3:$C$3390,$A389)&gt;0,1,0)</f>
        <v>0</v>
      </c>
      <c r="P389">
        <f>IF(COUNTIFS('United Data'!$A$3:$A$3390,P$1,'United Data'!$C$3:$C$3390,$A389)&gt;0,1,0)</f>
        <v>0</v>
      </c>
      <c r="Q389">
        <f>IF(COUNTIFS('United Data'!$A$3:$A$3390,Q$1,'United Data'!$C$3:$C$3390,$A389)&gt;0,1,0)</f>
        <v>0</v>
      </c>
      <c r="R389">
        <f>IF(COUNTIFS('United Data'!$A$3:$A$3390,R$1,'United Data'!$C$3:$C$3390,$A389)&gt;0,1,0)</f>
        <v>0</v>
      </c>
      <c r="S389">
        <f t="shared" si="12"/>
        <v>1</v>
      </c>
      <c r="T389">
        <f t="shared" si="13"/>
        <v>1</v>
      </c>
    </row>
    <row r="390" spans="1:20" x14ac:dyDescent="0.2">
      <c r="A390" t="s">
        <v>492</v>
      </c>
      <c r="B390">
        <f>IF(COUNTIFS('United Data'!$A$3:$A$3390,B$1,'United Data'!$C$3:$C$3390,$A390)&gt;0,1,0)</f>
        <v>0</v>
      </c>
      <c r="C390">
        <f>IF(COUNTIFS('United Data'!$A$3:$A$3390,C$1,'United Data'!$C$3:$C$3390,$A390)&gt;0,1,0)</f>
        <v>0</v>
      </c>
      <c r="D390">
        <f>IF(COUNTIFS('United Data'!$A$3:$A$3390,D$1,'United Data'!$C$3:$C$3390,$A390)&gt;0,1,0)</f>
        <v>0</v>
      </c>
      <c r="E390">
        <f>IF(COUNTIFS('United Data'!$A$3:$A$3390,E$1,'United Data'!$C$3:$C$3390,$A390)&gt;0,1,0)</f>
        <v>0</v>
      </c>
      <c r="F390">
        <f>IF(COUNTIFS('United Data'!$A$3:$A$3390,F$1,'United Data'!$C$3:$C$3390,$A390)&gt;0,1,0)</f>
        <v>0</v>
      </c>
      <c r="G390">
        <f>IF(COUNTIFS('United Data'!$A$3:$A$3390,G$1,'United Data'!$C$3:$C$3390,$A390)&gt;0,1,0)</f>
        <v>0</v>
      </c>
      <c r="H390">
        <f>IF(COUNTIFS('United Data'!$A$3:$A$3390,H$1,'United Data'!$C$3:$C$3390,$A390)&gt;0,1,0)</f>
        <v>0</v>
      </c>
      <c r="I390">
        <f>IF(COUNTIFS('United Data'!$A$3:$A$3390,I$1,'United Data'!$C$3:$C$3390,$A390)&gt;0,1,0)</f>
        <v>0</v>
      </c>
      <c r="J390">
        <f>IF(COUNTIFS('United Data'!$A$3:$A$3390,J$1,'United Data'!$C$3:$C$3390,$A390)&gt;0,1,0)</f>
        <v>0</v>
      </c>
      <c r="K390">
        <f>IF(COUNTIFS('United Data'!$A$3:$A$3390,K$1,'United Data'!$C$3:$C$3390,$A390)&gt;0,1,0)</f>
        <v>0</v>
      </c>
      <c r="L390">
        <f>IF(COUNTIFS('United Data'!$A$3:$A$3390,L$1,'United Data'!$C$3:$C$3390,$A390)&gt;0,1,0)</f>
        <v>0</v>
      </c>
      <c r="M390">
        <f>IF(COUNTIFS('United Data'!$A$3:$A$3390,M$1,'United Data'!$C$3:$C$3390,$A390)&gt;0,1,0)</f>
        <v>1</v>
      </c>
      <c r="N390">
        <f>IF(COUNTIFS('United Data'!$A$3:$A$3390,N$1,'United Data'!$C$3:$C$3390,$A390)&gt;0,1,0)</f>
        <v>0</v>
      </c>
      <c r="O390">
        <f>IF(COUNTIFS('United Data'!$A$3:$A$3390,O$1,'United Data'!$C$3:$C$3390,$A390)&gt;0,1,0)</f>
        <v>0</v>
      </c>
      <c r="P390">
        <f>IF(COUNTIFS('United Data'!$A$3:$A$3390,P$1,'United Data'!$C$3:$C$3390,$A390)&gt;0,1,0)</f>
        <v>0</v>
      </c>
      <c r="Q390">
        <f>IF(COUNTIFS('United Data'!$A$3:$A$3390,Q$1,'United Data'!$C$3:$C$3390,$A390)&gt;0,1,0)</f>
        <v>0</v>
      </c>
      <c r="R390">
        <f>IF(COUNTIFS('United Data'!$A$3:$A$3390,R$1,'United Data'!$C$3:$C$3390,$A390)&gt;0,1,0)</f>
        <v>0</v>
      </c>
      <c r="S390">
        <f t="shared" si="12"/>
        <v>1</v>
      </c>
      <c r="T390">
        <f t="shared" si="13"/>
        <v>1</v>
      </c>
    </row>
    <row r="391" spans="1:20" x14ac:dyDescent="0.2">
      <c r="A391" t="s">
        <v>494</v>
      </c>
      <c r="B391">
        <f>IF(COUNTIFS('United Data'!$A$3:$A$3390,B$1,'United Data'!$C$3:$C$3390,$A391)&gt;0,1,0)</f>
        <v>0</v>
      </c>
      <c r="C391">
        <f>IF(COUNTIFS('United Data'!$A$3:$A$3390,C$1,'United Data'!$C$3:$C$3390,$A391)&gt;0,1,0)</f>
        <v>0</v>
      </c>
      <c r="D391">
        <f>IF(COUNTIFS('United Data'!$A$3:$A$3390,D$1,'United Data'!$C$3:$C$3390,$A391)&gt;0,1,0)</f>
        <v>0</v>
      </c>
      <c r="E391">
        <f>IF(COUNTIFS('United Data'!$A$3:$A$3390,E$1,'United Data'!$C$3:$C$3390,$A391)&gt;0,1,0)</f>
        <v>0</v>
      </c>
      <c r="F391">
        <f>IF(COUNTIFS('United Data'!$A$3:$A$3390,F$1,'United Data'!$C$3:$C$3390,$A391)&gt;0,1,0)</f>
        <v>0</v>
      </c>
      <c r="G391">
        <f>IF(COUNTIFS('United Data'!$A$3:$A$3390,G$1,'United Data'!$C$3:$C$3390,$A391)&gt;0,1,0)</f>
        <v>1</v>
      </c>
      <c r="H391">
        <f>IF(COUNTIFS('United Data'!$A$3:$A$3390,H$1,'United Data'!$C$3:$C$3390,$A391)&gt;0,1,0)</f>
        <v>0</v>
      </c>
      <c r="I391">
        <f>IF(COUNTIFS('United Data'!$A$3:$A$3390,I$1,'United Data'!$C$3:$C$3390,$A391)&gt;0,1,0)</f>
        <v>0</v>
      </c>
      <c r="J391">
        <f>IF(COUNTIFS('United Data'!$A$3:$A$3390,J$1,'United Data'!$C$3:$C$3390,$A391)&gt;0,1,0)</f>
        <v>0</v>
      </c>
      <c r="K391">
        <f>IF(COUNTIFS('United Data'!$A$3:$A$3390,K$1,'United Data'!$C$3:$C$3390,$A391)&gt;0,1,0)</f>
        <v>1</v>
      </c>
      <c r="L391">
        <f>IF(COUNTIFS('United Data'!$A$3:$A$3390,L$1,'United Data'!$C$3:$C$3390,$A391)&gt;0,1,0)</f>
        <v>0</v>
      </c>
      <c r="M391">
        <f>IF(COUNTIFS('United Data'!$A$3:$A$3390,M$1,'United Data'!$C$3:$C$3390,$A391)&gt;0,1,0)</f>
        <v>1</v>
      </c>
      <c r="N391">
        <f>IF(COUNTIFS('United Data'!$A$3:$A$3390,N$1,'United Data'!$C$3:$C$3390,$A391)&gt;0,1,0)</f>
        <v>1</v>
      </c>
      <c r="O391">
        <f>IF(COUNTIFS('United Data'!$A$3:$A$3390,O$1,'United Data'!$C$3:$C$3390,$A391)&gt;0,1,0)</f>
        <v>1</v>
      </c>
      <c r="P391">
        <f>IF(COUNTIFS('United Data'!$A$3:$A$3390,P$1,'United Data'!$C$3:$C$3390,$A391)&gt;0,1,0)</f>
        <v>1</v>
      </c>
      <c r="Q391">
        <f>IF(COUNTIFS('United Data'!$A$3:$A$3390,Q$1,'United Data'!$C$3:$C$3390,$A391)&gt;0,1,0)</f>
        <v>0</v>
      </c>
      <c r="R391">
        <f>IF(COUNTIFS('United Data'!$A$3:$A$3390,R$1,'United Data'!$C$3:$C$3390,$A391)&gt;0,1,0)</f>
        <v>0</v>
      </c>
      <c r="S391">
        <f t="shared" si="12"/>
        <v>6</v>
      </c>
      <c r="T391">
        <f t="shared" si="13"/>
        <v>3</v>
      </c>
    </row>
    <row r="392" spans="1:20" x14ac:dyDescent="0.2">
      <c r="A392" t="s">
        <v>495</v>
      </c>
      <c r="B392">
        <f>IF(COUNTIFS('United Data'!$A$3:$A$3390,B$1,'United Data'!$C$3:$C$3390,$A392)&gt;0,1,0)</f>
        <v>0</v>
      </c>
      <c r="C392">
        <f>IF(COUNTIFS('United Data'!$A$3:$A$3390,C$1,'United Data'!$C$3:$C$3390,$A392)&gt;0,1,0)</f>
        <v>0</v>
      </c>
      <c r="D392">
        <f>IF(COUNTIFS('United Data'!$A$3:$A$3390,D$1,'United Data'!$C$3:$C$3390,$A392)&gt;0,1,0)</f>
        <v>0</v>
      </c>
      <c r="E392">
        <f>IF(COUNTIFS('United Data'!$A$3:$A$3390,E$1,'United Data'!$C$3:$C$3390,$A392)&gt;0,1,0)</f>
        <v>0</v>
      </c>
      <c r="F392">
        <f>IF(COUNTIFS('United Data'!$A$3:$A$3390,F$1,'United Data'!$C$3:$C$3390,$A392)&gt;0,1,0)</f>
        <v>0</v>
      </c>
      <c r="G392">
        <f>IF(COUNTIFS('United Data'!$A$3:$A$3390,G$1,'United Data'!$C$3:$C$3390,$A392)&gt;0,1,0)</f>
        <v>0</v>
      </c>
      <c r="H392">
        <f>IF(COUNTIFS('United Data'!$A$3:$A$3390,H$1,'United Data'!$C$3:$C$3390,$A392)&gt;0,1,0)</f>
        <v>0</v>
      </c>
      <c r="I392">
        <f>IF(COUNTIFS('United Data'!$A$3:$A$3390,I$1,'United Data'!$C$3:$C$3390,$A392)&gt;0,1,0)</f>
        <v>0</v>
      </c>
      <c r="J392">
        <f>IF(COUNTIFS('United Data'!$A$3:$A$3390,J$1,'United Data'!$C$3:$C$3390,$A392)&gt;0,1,0)</f>
        <v>0</v>
      </c>
      <c r="K392">
        <f>IF(COUNTIFS('United Data'!$A$3:$A$3390,K$1,'United Data'!$C$3:$C$3390,$A392)&gt;0,1,0)</f>
        <v>0</v>
      </c>
      <c r="L392">
        <f>IF(COUNTIFS('United Data'!$A$3:$A$3390,L$1,'United Data'!$C$3:$C$3390,$A392)&gt;0,1,0)</f>
        <v>0</v>
      </c>
      <c r="M392">
        <f>IF(COUNTIFS('United Data'!$A$3:$A$3390,M$1,'United Data'!$C$3:$C$3390,$A392)&gt;0,1,0)</f>
        <v>0</v>
      </c>
      <c r="N392">
        <f>IF(COUNTIFS('United Data'!$A$3:$A$3390,N$1,'United Data'!$C$3:$C$3390,$A392)&gt;0,1,0)</f>
        <v>1</v>
      </c>
      <c r="O392">
        <f>IF(COUNTIFS('United Data'!$A$3:$A$3390,O$1,'United Data'!$C$3:$C$3390,$A392)&gt;0,1,0)</f>
        <v>0</v>
      </c>
      <c r="P392">
        <f>IF(COUNTIFS('United Data'!$A$3:$A$3390,P$1,'United Data'!$C$3:$C$3390,$A392)&gt;0,1,0)</f>
        <v>0</v>
      </c>
      <c r="Q392">
        <f>IF(COUNTIFS('United Data'!$A$3:$A$3390,Q$1,'United Data'!$C$3:$C$3390,$A392)&gt;0,1,0)</f>
        <v>0</v>
      </c>
      <c r="R392">
        <f>IF(COUNTIFS('United Data'!$A$3:$A$3390,R$1,'United Data'!$C$3:$C$3390,$A392)&gt;0,1,0)</f>
        <v>0</v>
      </c>
      <c r="S392">
        <f t="shared" si="12"/>
        <v>1</v>
      </c>
      <c r="T392">
        <f t="shared" si="13"/>
        <v>1</v>
      </c>
    </row>
    <row r="393" spans="1:20" x14ac:dyDescent="0.2">
      <c r="A393" t="s">
        <v>496</v>
      </c>
      <c r="B393">
        <f>IF(COUNTIFS('United Data'!$A$3:$A$3390,B$1,'United Data'!$C$3:$C$3390,$A393)&gt;0,1,0)</f>
        <v>0</v>
      </c>
      <c r="C393">
        <f>IF(COUNTIFS('United Data'!$A$3:$A$3390,C$1,'United Data'!$C$3:$C$3390,$A393)&gt;0,1,0)</f>
        <v>0</v>
      </c>
      <c r="D393">
        <f>IF(COUNTIFS('United Data'!$A$3:$A$3390,D$1,'United Data'!$C$3:$C$3390,$A393)&gt;0,1,0)</f>
        <v>0</v>
      </c>
      <c r="E393">
        <f>IF(COUNTIFS('United Data'!$A$3:$A$3390,E$1,'United Data'!$C$3:$C$3390,$A393)&gt;0,1,0)</f>
        <v>0</v>
      </c>
      <c r="F393">
        <f>IF(COUNTIFS('United Data'!$A$3:$A$3390,F$1,'United Data'!$C$3:$C$3390,$A393)&gt;0,1,0)</f>
        <v>0</v>
      </c>
      <c r="G393">
        <f>IF(COUNTIFS('United Data'!$A$3:$A$3390,G$1,'United Data'!$C$3:$C$3390,$A393)&gt;0,1,0)</f>
        <v>0</v>
      </c>
      <c r="H393">
        <f>IF(COUNTIFS('United Data'!$A$3:$A$3390,H$1,'United Data'!$C$3:$C$3390,$A393)&gt;0,1,0)</f>
        <v>0</v>
      </c>
      <c r="I393">
        <f>IF(COUNTIFS('United Data'!$A$3:$A$3390,I$1,'United Data'!$C$3:$C$3390,$A393)&gt;0,1,0)</f>
        <v>0</v>
      </c>
      <c r="J393">
        <f>IF(COUNTIFS('United Data'!$A$3:$A$3390,J$1,'United Data'!$C$3:$C$3390,$A393)&gt;0,1,0)</f>
        <v>0</v>
      </c>
      <c r="K393">
        <f>IF(COUNTIFS('United Data'!$A$3:$A$3390,K$1,'United Data'!$C$3:$C$3390,$A393)&gt;0,1,0)</f>
        <v>0</v>
      </c>
      <c r="L393">
        <f>IF(COUNTIFS('United Data'!$A$3:$A$3390,L$1,'United Data'!$C$3:$C$3390,$A393)&gt;0,1,0)</f>
        <v>0</v>
      </c>
      <c r="M393">
        <f>IF(COUNTIFS('United Data'!$A$3:$A$3390,M$1,'United Data'!$C$3:$C$3390,$A393)&gt;0,1,0)</f>
        <v>0</v>
      </c>
      <c r="N393">
        <f>IF(COUNTIFS('United Data'!$A$3:$A$3390,N$1,'United Data'!$C$3:$C$3390,$A393)&gt;0,1,0)</f>
        <v>1</v>
      </c>
      <c r="O393">
        <f>IF(COUNTIFS('United Data'!$A$3:$A$3390,O$1,'United Data'!$C$3:$C$3390,$A393)&gt;0,1,0)</f>
        <v>0</v>
      </c>
      <c r="P393">
        <f>IF(COUNTIFS('United Data'!$A$3:$A$3390,P$1,'United Data'!$C$3:$C$3390,$A393)&gt;0,1,0)</f>
        <v>0</v>
      </c>
      <c r="Q393">
        <f>IF(COUNTIFS('United Data'!$A$3:$A$3390,Q$1,'United Data'!$C$3:$C$3390,$A393)&gt;0,1,0)</f>
        <v>0</v>
      </c>
      <c r="R393">
        <f>IF(COUNTIFS('United Data'!$A$3:$A$3390,R$1,'United Data'!$C$3:$C$3390,$A393)&gt;0,1,0)</f>
        <v>0</v>
      </c>
      <c r="S393">
        <f t="shared" si="12"/>
        <v>1</v>
      </c>
      <c r="T393">
        <f t="shared" si="13"/>
        <v>1</v>
      </c>
    </row>
    <row r="394" spans="1:20" x14ac:dyDescent="0.2">
      <c r="A394" t="s">
        <v>497</v>
      </c>
      <c r="B394">
        <f>IF(COUNTIFS('United Data'!$A$3:$A$3390,B$1,'United Data'!$C$3:$C$3390,$A394)&gt;0,1,0)</f>
        <v>0</v>
      </c>
      <c r="C394">
        <f>IF(COUNTIFS('United Data'!$A$3:$A$3390,C$1,'United Data'!$C$3:$C$3390,$A394)&gt;0,1,0)</f>
        <v>0</v>
      </c>
      <c r="D394">
        <f>IF(COUNTIFS('United Data'!$A$3:$A$3390,D$1,'United Data'!$C$3:$C$3390,$A394)&gt;0,1,0)</f>
        <v>0</v>
      </c>
      <c r="E394">
        <f>IF(COUNTIFS('United Data'!$A$3:$A$3390,E$1,'United Data'!$C$3:$C$3390,$A394)&gt;0,1,0)</f>
        <v>0</v>
      </c>
      <c r="F394">
        <f>IF(COUNTIFS('United Data'!$A$3:$A$3390,F$1,'United Data'!$C$3:$C$3390,$A394)&gt;0,1,0)</f>
        <v>0</v>
      </c>
      <c r="G394">
        <f>IF(COUNTIFS('United Data'!$A$3:$A$3390,G$1,'United Data'!$C$3:$C$3390,$A394)&gt;0,1,0)</f>
        <v>0</v>
      </c>
      <c r="H394">
        <f>IF(COUNTIFS('United Data'!$A$3:$A$3390,H$1,'United Data'!$C$3:$C$3390,$A394)&gt;0,1,0)</f>
        <v>0</v>
      </c>
      <c r="I394">
        <f>IF(COUNTIFS('United Data'!$A$3:$A$3390,I$1,'United Data'!$C$3:$C$3390,$A394)&gt;0,1,0)</f>
        <v>0</v>
      </c>
      <c r="J394">
        <f>IF(COUNTIFS('United Data'!$A$3:$A$3390,J$1,'United Data'!$C$3:$C$3390,$A394)&gt;0,1,0)</f>
        <v>0</v>
      </c>
      <c r="K394">
        <f>IF(COUNTIFS('United Data'!$A$3:$A$3390,K$1,'United Data'!$C$3:$C$3390,$A394)&gt;0,1,0)</f>
        <v>0</v>
      </c>
      <c r="L394">
        <f>IF(COUNTIFS('United Data'!$A$3:$A$3390,L$1,'United Data'!$C$3:$C$3390,$A394)&gt;0,1,0)</f>
        <v>0</v>
      </c>
      <c r="M394">
        <f>IF(COUNTIFS('United Data'!$A$3:$A$3390,M$1,'United Data'!$C$3:$C$3390,$A394)&gt;0,1,0)</f>
        <v>0</v>
      </c>
      <c r="N394">
        <f>IF(COUNTIFS('United Data'!$A$3:$A$3390,N$1,'United Data'!$C$3:$C$3390,$A394)&gt;0,1,0)</f>
        <v>0</v>
      </c>
      <c r="O394">
        <f>IF(COUNTIFS('United Data'!$A$3:$A$3390,O$1,'United Data'!$C$3:$C$3390,$A394)&gt;0,1,0)</f>
        <v>1</v>
      </c>
      <c r="P394">
        <f>IF(COUNTIFS('United Data'!$A$3:$A$3390,P$1,'United Data'!$C$3:$C$3390,$A394)&gt;0,1,0)</f>
        <v>0</v>
      </c>
      <c r="Q394">
        <f>IF(COUNTIFS('United Data'!$A$3:$A$3390,Q$1,'United Data'!$C$3:$C$3390,$A394)&gt;0,1,0)</f>
        <v>0</v>
      </c>
      <c r="R394">
        <f>IF(COUNTIFS('United Data'!$A$3:$A$3390,R$1,'United Data'!$C$3:$C$3390,$A394)&gt;0,1,0)</f>
        <v>0</v>
      </c>
      <c r="S394">
        <f t="shared" si="12"/>
        <v>1</v>
      </c>
      <c r="T394">
        <f t="shared" si="13"/>
        <v>1</v>
      </c>
    </row>
    <row r="395" spans="1:20" x14ac:dyDescent="0.2">
      <c r="A395" t="s">
        <v>498</v>
      </c>
      <c r="B395">
        <f>IF(COUNTIFS('United Data'!$A$3:$A$3390,B$1,'United Data'!$C$3:$C$3390,$A395)&gt;0,1,0)</f>
        <v>0</v>
      </c>
      <c r="C395">
        <f>IF(COUNTIFS('United Data'!$A$3:$A$3390,C$1,'United Data'!$C$3:$C$3390,$A395)&gt;0,1,0)</f>
        <v>0</v>
      </c>
      <c r="D395">
        <f>IF(COUNTIFS('United Data'!$A$3:$A$3390,D$1,'United Data'!$C$3:$C$3390,$A395)&gt;0,1,0)</f>
        <v>0</v>
      </c>
      <c r="E395">
        <f>IF(COUNTIFS('United Data'!$A$3:$A$3390,E$1,'United Data'!$C$3:$C$3390,$A395)&gt;0,1,0)</f>
        <v>0</v>
      </c>
      <c r="F395">
        <f>IF(COUNTIFS('United Data'!$A$3:$A$3390,F$1,'United Data'!$C$3:$C$3390,$A395)&gt;0,1,0)</f>
        <v>0</v>
      </c>
      <c r="G395">
        <f>IF(COUNTIFS('United Data'!$A$3:$A$3390,G$1,'United Data'!$C$3:$C$3390,$A395)&gt;0,1,0)</f>
        <v>0</v>
      </c>
      <c r="H395">
        <f>IF(COUNTIFS('United Data'!$A$3:$A$3390,H$1,'United Data'!$C$3:$C$3390,$A395)&gt;0,1,0)</f>
        <v>0</v>
      </c>
      <c r="I395">
        <f>IF(COUNTIFS('United Data'!$A$3:$A$3390,I$1,'United Data'!$C$3:$C$3390,$A395)&gt;0,1,0)</f>
        <v>0</v>
      </c>
      <c r="J395">
        <f>IF(COUNTIFS('United Data'!$A$3:$A$3390,J$1,'United Data'!$C$3:$C$3390,$A395)&gt;0,1,0)</f>
        <v>0</v>
      </c>
      <c r="K395">
        <f>IF(COUNTIFS('United Data'!$A$3:$A$3390,K$1,'United Data'!$C$3:$C$3390,$A395)&gt;0,1,0)</f>
        <v>0</v>
      </c>
      <c r="L395">
        <f>IF(COUNTIFS('United Data'!$A$3:$A$3390,L$1,'United Data'!$C$3:$C$3390,$A395)&gt;0,1,0)</f>
        <v>0</v>
      </c>
      <c r="M395">
        <f>IF(COUNTIFS('United Data'!$A$3:$A$3390,M$1,'United Data'!$C$3:$C$3390,$A395)&gt;0,1,0)</f>
        <v>0</v>
      </c>
      <c r="N395">
        <f>IF(COUNTIFS('United Data'!$A$3:$A$3390,N$1,'United Data'!$C$3:$C$3390,$A395)&gt;0,1,0)</f>
        <v>0</v>
      </c>
      <c r="O395">
        <f>IF(COUNTIFS('United Data'!$A$3:$A$3390,O$1,'United Data'!$C$3:$C$3390,$A395)&gt;0,1,0)</f>
        <v>1</v>
      </c>
      <c r="P395">
        <f>IF(COUNTIFS('United Data'!$A$3:$A$3390,P$1,'United Data'!$C$3:$C$3390,$A395)&gt;0,1,0)</f>
        <v>0</v>
      </c>
      <c r="Q395">
        <f>IF(COUNTIFS('United Data'!$A$3:$A$3390,Q$1,'United Data'!$C$3:$C$3390,$A395)&gt;0,1,0)</f>
        <v>0</v>
      </c>
      <c r="R395">
        <f>IF(COUNTIFS('United Data'!$A$3:$A$3390,R$1,'United Data'!$C$3:$C$3390,$A395)&gt;0,1,0)</f>
        <v>0</v>
      </c>
      <c r="S395">
        <f t="shared" si="12"/>
        <v>1</v>
      </c>
      <c r="T395">
        <f t="shared" si="13"/>
        <v>1</v>
      </c>
    </row>
    <row r="396" spans="1:20" x14ac:dyDescent="0.2">
      <c r="A396" t="s">
        <v>499</v>
      </c>
      <c r="B396">
        <f>IF(COUNTIFS('United Data'!$A$3:$A$3390,B$1,'United Data'!$C$3:$C$3390,$A396)&gt;0,1,0)</f>
        <v>0</v>
      </c>
      <c r="C396">
        <f>IF(COUNTIFS('United Data'!$A$3:$A$3390,C$1,'United Data'!$C$3:$C$3390,$A396)&gt;0,1,0)</f>
        <v>0</v>
      </c>
      <c r="D396">
        <f>IF(COUNTIFS('United Data'!$A$3:$A$3390,D$1,'United Data'!$C$3:$C$3390,$A396)&gt;0,1,0)</f>
        <v>0</v>
      </c>
      <c r="E396">
        <f>IF(COUNTIFS('United Data'!$A$3:$A$3390,E$1,'United Data'!$C$3:$C$3390,$A396)&gt;0,1,0)</f>
        <v>0</v>
      </c>
      <c r="F396">
        <f>IF(COUNTIFS('United Data'!$A$3:$A$3390,F$1,'United Data'!$C$3:$C$3390,$A396)&gt;0,1,0)</f>
        <v>0</v>
      </c>
      <c r="G396">
        <f>IF(COUNTIFS('United Data'!$A$3:$A$3390,G$1,'United Data'!$C$3:$C$3390,$A396)&gt;0,1,0)</f>
        <v>0</v>
      </c>
      <c r="H396">
        <f>IF(COUNTIFS('United Data'!$A$3:$A$3390,H$1,'United Data'!$C$3:$C$3390,$A396)&gt;0,1,0)</f>
        <v>0</v>
      </c>
      <c r="I396">
        <f>IF(COUNTIFS('United Data'!$A$3:$A$3390,I$1,'United Data'!$C$3:$C$3390,$A396)&gt;0,1,0)</f>
        <v>0</v>
      </c>
      <c r="J396">
        <f>IF(COUNTIFS('United Data'!$A$3:$A$3390,J$1,'United Data'!$C$3:$C$3390,$A396)&gt;0,1,0)</f>
        <v>0</v>
      </c>
      <c r="K396">
        <f>IF(COUNTIFS('United Data'!$A$3:$A$3390,K$1,'United Data'!$C$3:$C$3390,$A396)&gt;0,1,0)</f>
        <v>0</v>
      </c>
      <c r="L396">
        <f>IF(COUNTIFS('United Data'!$A$3:$A$3390,L$1,'United Data'!$C$3:$C$3390,$A396)&gt;0,1,0)</f>
        <v>0</v>
      </c>
      <c r="M396">
        <f>IF(COUNTIFS('United Data'!$A$3:$A$3390,M$1,'United Data'!$C$3:$C$3390,$A396)&gt;0,1,0)</f>
        <v>0</v>
      </c>
      <c r="N396">
        <f>IF(COUNTIFS('United Data'!$A$3:$A$3390,N$1,'United Data'!$C$3:$C$3390,$A396)&gt;0,1,0)</f>
        <v>0</v>
      </c>
      <c r="O396">
        <f>IF(COUNTIFS('United Data'!$A$3:$A$3390,O$1,'United Data'!$C$3:$C$3390,$A396)&gt;0,1,0)</f>
        <v>1</v>
      </c>
      <c r="P396">
        <f>IF(COUNTIFS('United Data'!$A$3:$A$3390,P$1,'United Data'!$C$3:$C$3390,$A396)&gt;0,1,0)</f>
        <v>0</v>
      </c>
      <c r="Q396">
        <f>IF(COUNTIFS('United Data'!$A$3:$A$3390,Q$1,'United Data'!$C$3:$C$3390,$A396)&gt;0,1,0)</f>
        <v>0</v>
      </c>
      <c r="R396">
        <f>IF(COUNTIFS('United Data'!$A$3:$A$3390,R$1,'United Data'!$C$3:$C$3390,$A396)&gt;0,1,0)</f>
        <v>0</v>
      </c>
      <c r="S396">
        <f t="shared" si="12"/>
        <v>1</v>
      </c>
      <c r="T396">
        <f t="shared" si="13"/>
        <v>1</v>
      </c>
    </row>
    <row r="397" spans="1:20" x14ac:dyDescent="0.2">
      <c r="A397" t="s">
        <v>500</v>
      </c>
      <c r="B397">
        <f>IF(COUNTIFS('United Data'!$A$3:$A$3390,B$1,'United Data'!$C$3:$C$3390,$A397)&gt;0,1,0)</f>
        <v>0</v>
      </c>
      <c r="C397">
        <f>IF(COUNTIFS('United Data'!$A$3:$A$3390,C$1,'United Data'!$C$3:$C$3390,$A397)&gt;0,1,0)</f>
        <v>0</v>
      </c>
      <c r="D397">
        <f>IF(COUNTIFS('United Data'!$A$3:$A$3390,D$1,'United Data'!$C$3:$C$3390,$A397)&gt;0,1,0)</f>
        <v>0</v>
      </c>
      <c r="E397">
        <f>IF(COUNTIFS('United Data'!$A$3:$A$3390,E$1,'United Data'!$C$3:$C$3390,$A397)&gt;0,1,0)</f>
        <v>0</v>
      </c>
      <c r="F397">
        <f>IF(COUNTIFS('United Data'!$A$3:$A$3390,F$1,'United Data'!$C$3:$C$3390,$A397)&gt;0,1,0)</f>
        <v>0</v>
      </c>
      <c r="G397">
        <f>IF(COUNTIFS('United Data'!$A$3:$A$3390,G$1,'United Data'!$C$3:$C$3390,$A397)&gt;0,1,0)</f>
        <v>0</v>
      </c>
      <c r="H397">
        <f>IF(COUNTIFS('United Data'!$A$3:$A$3390,H$1,'United Data'!$C$3:$C$3390,$A397)&gt;0,1,0)</f>
        <v>0</v>
      </c>
      <c r="I397">
        <f>IF(COUNTIFS('United Data'!$A$3:$A$3390,I$1,'United Data'!$C$3:$C$3390,$A397)&gt;0,1,0)</f>
        <v>0</v>
      </c>
      <c r="J397">
        <f>IF(COUNTIFS('United Data'!$A$3:$A$3390,J$1,'United Data'!$C$3:$C$3390,$A397)&gt;0,1,0)</f>
        <v>0</v>
      </c>
      <c r="K397">
        <f>IF(COUNTIFS('United Data'!$A$3:$A$3390,K$1,'United Data'!$C$3:$C$3390,$A397)&gt;0,1,0)</f>
        <v>0</v>
      </c>
      <c r="L397">
        <f>IF(COUNTIFS('United Data'!$A$3:$A$3390,L$1,'United Data'!$C$3:$C$3390,$A397)&gt;0,1,0)</f>
        <v>0</v>
      </c>
      <c r="M397">
        <f>IF(COUNTIFS('United Data'!$A$3:$A$3390,M$1,'United Data'!$C$3:$C$3390,$A397)&gt;0,1,0)</f>
        <v>0</v>
      </c>
      <c r="N397">
        <f>IF(COUNTIFS('United Data'!$A$3:$A$3390,N$1,'United Data'!$C$3:$C$3390,$A397)&gt;0,1,0)</f>
        <v>0</v>
      </c>
      <c r="O397">
        <f>IF(COUNTIFS('United Data'!$A$3:$A$3390,O$1,'United Data'!$C$3:$C$3390,$A397)&gt;0,1,0)</f>
        <v>0</v>
      </c>
      <c r="P397">
        <f>IF(COUNTIFS('United Data'!$A$3:$A$3390,P$1,'United Data'!$C$3:$C$3390,$A397)&gt;0,1,0)</f>
        <v>1</v>
      </c>
      <c r="Q397">
        <f>IF(COUNTIFS('United Data'!$A$3:$A$3390,Q$1,'United Data'!$C$3:$C$3390,$A397)&gt;0,1,0)</f>
        <v>0</v>
      </c>
      <c r="R397">
        <f>IF(COUNTIFS('United Data'!$A$3:$A$3390,R$1,'United Data'!$C$3:$C$3390,$A397)&gt;0,1,0)</f>
        <v>0</v>
      </c>
      <c r="S397">
        <f t="shared" si="12"/>
        <v>1</v>
      </c>
      <c r="T397">
        <f t="shared" si="13"/>
        <v>1</v>
      </c>
    </row>
    <row r="398" spans="1:20" x14ac:dyDescent="0.2">
      <c r="A398" t="s">
        <v>501</v>
      </c>
      <c r="B398">
        <f>IF(COUNTIFS('United Data'!$A$3:$A$3390,B$1,'United Data'!$C$3:$C$3390,$A398)&gt;0,1,0)</f>
        <v>0</v>
      </c>
      <c r="C398">
        <f>IF(COUNTIFS('United Data'!$A$3:$A$3390,C$1,'United Data'!$C$3:$C$3390,$A398)&gt;0,1,0)</f>
        <v>0</v>
      </c>
      <c r="D398">
        <f>IF(COUNTIFS('United Data'!$A$3:$A$3390,D$1,'United Data'!$C$3:$C$3390,$A398)&gt;0,1,0)</f>
        <v>0</v>
      </c>
      <c r="E398">
        <f>IF(COUNTIFS('United Data'!$A$3:$A$3390,E$1,'United Data'!$C$3:$C$3390,$A398)&gt;0,1,0)</f>
        <v>0</v>
      </c>
      <c r="F398">
        <f>IF(COUNTIFS('United Data'!$A$3:$A$3390,F$1,'United Data'!$C$3:$C$3390,$A398)&gt;0,1,0)</f>
        <v>0</v>
      </c>
      <c r="G398">
        <f>IF(COUNTIFS('United Data'!$A$3:$A$3390,G$1,'United Data'!$C$3:$C$3390,$A398)&gt;0,1,0)</f>
        <v>0</v>
      </c>
      <c r="H398">
        <f>IF(COUNTIFS('United Data'!$A$3:$A$3390,H$1,'United Data'!$C$3:$C$3390,$A398)&gt;0,1,0)</f>
        <v>0</v>
      </c>
      <c r="I398">
        <f>IF(COUNTIFS('United Data'!$A$3:$A$3390,I$1,'United Data'!$C$3:$C$3390,$A398)&gt;0,1,0)</f>
        <v>0</v>
      </c>
      <c r="J398">
        <f>IF(COUNTIFS('United Data'!$A$3:$A$3390,J$1,'United Data'!$C$3:$C$3390,$A398)&gt;0,1,0)</f>
        <v>0</v>
      </c>
      <c r="K398">
        <f>IF(COUNTIFS('United Data'!$A$3:$A$3390,K$1,'United Data'!$C$3:$C$3390,$A398)&gt;0,1,0)</f>
        <v>0</v>
      </c>
      <c r="L398">
        <f>IF(COUNTIFS('United Data'!$A$3:$A$3390,L$1,'United Data'!$C$3:$C$3390,$A398)&gt;0,1,0)</f>
        <v>0</v>
      </c>
      <c r="M398">
        <f>IF(COUNTIFS('United Data'!$A$3:$A$3390,M$1,'United Data'!$C$3:$C$3390,$A398)&gt;0,1,0)</f>
        <v>0</v>
      </c>
      <c r="N398">
        <f>IF(COUNTIFS('United Data'!$A$3:$A$3390,N$1,'United Data'!$C$3:$C$3390,$A398)&gt;0,1,0)</f>
        <v>0</v>
      </c>
      <c r="O398">
        <f>IF(COUNTIFS('United Data'!$A$3:$A$3390,O$1,'United Data'!$C$3:$C$3390,$A398)&gt;0,1,0)</f>
        <v>0</v>
      </c>
      <c r="P398">
        <f>IF(COUNTIFS('United Data'!$A$3:$A$3390,P$1,'United Data'!$C$3:$C$3390,$A398)&gt;0,1,0)</f>
        <v>1</v>
      </c>
      <c r="Q398">
        <f>IF(COUNTIFS('United Data'!$A$3:$A$3390,Q$1,'United Data'!$C$3:$C$3390,$A398)&gt;0,1,0)</f>
        <v>0</v>
      </c>
      <c r="R398">
        <f>IF(COUNTIFS('United Data'!$A$3:$A$3390,R$1,'United Data'!$C$3:$C$3390,$A398)&gt;0,1,0)</f>
        <v>0</v>
      </c>
      <c r="S398">
        <f t="shared" si="12"/>
        <v>1</v>
      </c>
      <c r="T398">
        <f t="shared" si="13"/>
        <v>1</v>
      </c>
    </row>
    <row r="399" spans="1:20" x14ac:dyDescent="0.2">
      <c r="A399" t="s">
        <v>502</v>
      </c>
      <c r="B399">
        <f>IF(COUNTIFS('United Data'!$A$3:$A$3390,B$1,'United Data'!$C$3:$C$3390,$A399)&gt;0,1,0)</f>
        <v>0</v>
      </c>
      <c r="C399">
        <f>IF(COUNTIFS('United Data'!$A$3:$A$3390,C$1,'United Data'!$C$3:$C$3390,$A399)&gt;0,1,0)</f>
        <v>0</v>
      </c>
      <c r="D399">
        <f>IF(COUNTIFS('United Data'!$A$3:$A$3390,D$1,'United Data'!$C$3:$C$3390,$A399)&gt;0,1,0)</f>
        <v>0</v>
      </c>
      <c r="E399">
        <f>IF(COUNTIFS('United Data'!$A$3:$A$3390,E$1,'United Data'!$C$3:$C$3390,$A399)&gt;0,1,0)</f>
        <v>0</v>
      </c>
      <c r="F399">
        <f>IF(COUNTIFS('United Data'!$A$3:$A$3390,F$1,'United Data'!$C$3:$C$3390,$A399)&gt;0,1,0)</f>
        <v>0</v>
      </c>
      <c r="G399">
        <f>IF(COUNTIFS('United Data'!$A$3:$A$3390,G$1,'United Data'!$C$3:$C$3390,$A399)&gt;0,1,0)</f>
        <v>0</v>
      </c>
      <c r="H399">
        <f>IF(COUNTIFS('United Data'!$A$3:$A$3390,H$1,'United Data'!$C$3:$C$3390,$A399)&gt;0,1,0)</f>
        <v>0</v>
      </c>
      <c r="I399">
        <f>IF(COUNTIFS('United Data'!$A$3:$A$3390,I$1,'United Data'!$C$3:$C$3390,$A399)&gt;0,1,0)</f>
        <v>0</v>
      </c>
      <c r="J399">
        <f>IF(COUNTIFS('United Data'!$A$3:$A$3390,J$1,'United Data'!$C$3:$C$3390,$A399)&gt;0,1,0)</f>
        <v>0</v>
      </c>
      <c r="K399">
        <f>IF(COUNTIFS('United Data'!$A$3:$A$3390,K$1,'United Data'!$C$3:$C$3390,$A399)&gt;0,1,0)</f>
        <v>0</v>
      </c>
      <c r="L399">
        <f>IF(COUNTIFS('United Data'!$A$3:$A$3390,L$1,'United Data'!$C$3:$C$3390,$A399)&gt;0,1,0)</f>
        <v>0</v>
      </c>
      <c r="M399">
        <f>IF(COUNTIFS('United Data'!$A$3:$A$3390,M$1,'United Data'!$C$3:$C$3390,$A399)&gt;0,1,0)</f>
        <v>0</v>
      </c>
      <c r="N399">
        <f>IF(COUNTIFS('United Data'!$A$3:$A$3390,N$1,'United Data'!$C$3:$C$3390,$A399)&gt;0,1,0)</f>
        <v>0</v>
      </c>
      <c r="O399">
        <f>IF(COUNTIFS('United Data'!$A$3:$A$3390,O$1,'United Data'!$C$3:$C$3390,$A399)&gt;0,1,0)</f>
        <v>0</v>
      </c>
      <c r="P399">
        <f>IF(COUNTIFS('United Data'!$A$3:$A$3390,P$1,'United Data'!$C$3:$C$3390,$A399)&gt;0,1,0)</f>
        <v>1</v>
      </c>
      <c r="Q399">
        <f>IF(COUNTIFS('United Data'!$A$3:$A$3390,Q$1,'United Data'!$C$3:$C$3390,$A399)&gt;0,1,0)</f>
        <v>0</v>
      </c>
      <c r="R399">
        <f>IF(COUNTIFS('United Data'!$A$3:$A$3390,R$1,'United Data'!$C$3:$C$3390,$A399)&gt;0,1,0)</f>
        <v>0</v>
      </c>
      <c r="S399">
        <f t="shared" si="12"/>
        <v>1</v>
      </c>
      <c r="T399">
        <f t="shared" si="13"/>
        <v>1</v>
      </c>
    </row>
    <row r="400" spans="1:20" x14ac:dyDescent="0.2">
      <c r="A400" t="s">
        <v>503</v>
      </c>
      <c r="B400">
        <f>IF(COUNTIFS('United Data'!$A$3:$A$3390,B$1,'United Data'!$C$3:$C$3390,$A400)&gt;0,1,0)</f>
        <v>0</v>
      </c>
      <c r="C400">
        <f>IF(COUNTIFS('United Data'!$A$3:$A$3390,C$1,'United Data'!$C$3:$C$3390,$A400)&gt;0,1,0)</f>
        <v>0</v>
      </c>
      <c r="D400">
        <f>IF(COUNTIFS('United Data'!$A$3:$A$3390,D$1,'United Data'!$C$3:$C$3390,$A400)&gt;0,1,0)</f>
        <v>0</v>
      </c>
      <c r="E400">
        <f>IF(COUNTIFS('United Data'!$A$3:$A$3390,E$1,'United Data'!$C$3:$C$3390,$A400)&gt;0,1,0)</f>
        <v>0</v>
      </c>
      <c r="F400">
        <f>IF(COUNTIFS('United Data'!$A$3:$A$3390,F$1,'United Data'!$C$3:$C$3390,$A400)&gt;0,1,0)</f>
        <v>0</v>
      </c>
      <c r="G400">
        <f>IF(COUNTIFS('United Data'!$A$3:$A$3390,G$1,'United Data'!$C$3:$C$3390,$A400)&gt;0,1,0)</f>
        <v>0</v>
      </c>
      <c r="H400">
        <f>IF(COUNTIFS('United Data'!$A$3:$A$3390,H$1,'United Data'!$C$3:$C$3390,$A400)&gt;0,1,0)</f>
        <v>0</v>
      </c>
      <c r="I400">
        <f>IF(COUNTIFS('United Data'!$A$3:$A$3390,I$1,'United Data'!$C$3:$C$3390,$A400)&gt;0,1,0)</f>
        <v>0</v>
      </c>
      <c r="J400">
        <f>IF(COUNTIFS('United Data'!$A$3:$A$3390,J$1,'United Data'!$C$3:$C$3390,$A400)&gt;0,1,0)</f>
        <v>0</v>
      </c>
      <c r="K400">
        <f>IF(COUNTIFS('United Data'!$A$3:$A$3390,K$1,'United Data'!$C$3:$C$3390,$A400)&gt;0,1,0)</f>
        <v>0</v>
      </c>
      <c r="L400">
        <f>IF(COUNTIFS('United Data'!$A$3:$A$3390,L$1,'United Data'!$C$3:$C$3390,$A400)&gt;0,1,0)</f>
        <v>0</v>
      </c>
      <c r="M400">
        <f>IF(COUNTIFS('United Data'!$A$3:$A$3390,M$1,'United Data'!$C$3:$C$3390,$A400)&gt;0,1,0)</f>
        <v>0</v>
      </c>
      <c r="N400">
        <f>IF(COUNTIFS('United Data'!$A$3:$A$3390,N$1,'United Data'!$C$3:$C$3390,$A400)&gt;0,1,0)</f>
        <v>0</v>
      </c>
      <c r="O400">
        <f>IF(COUNTIFS('United Data'!$A$3:$A$3390,O$1,'United Data'!$C$3:$C$3390,$A400)&gt;0,1,0)</f>
        <v>0</v>
      </c>
      <c r="P400">
        <f>IF(COUNTIFS('United Data'!$A$3:$A$3390,P$1,'United Data'!$C$3:$C$3390,$A400)&gt;0,1,0)</f>
        <v>1</v>
      </c>
      <c r="Q400">
        <f>IF(COUNTIFS('United Data'!$A$3:$A$3390,Q$1,'United Data'!$C$3:$C$3390,$A400)&gt;0,1,0)</f>
        <v>0</v>
      </c>
      <c r="R400">
        <f>IF(COUNTIFS('United Data'!$A$3:$A$3390,R$1,'United Data'!$C$3:$C$3390,$A400)&gt;0,1,0)</f>
        <v>0</v>
      </c>
      <c r="S400">
        <f t="shared" si="12"/>
        <v>1</v>
      </c>
      <c r="T400">
        <f t="shared" si="13"/>
        <v>1</v>
      </c>
    </row>
    <row r="401" spans="1:20" x14ac:dyDescent="0.2">
      <c r="A401" t="s">
        <v>504</v>
      </c>
      <c r="B401">
        <f>IF(COUNTIFS('United Data'!$A$3:$A$3390,B$1,'United Data'!$C$3:$C$3390,$A401)&gt;0,1,0)</f>
        <v>0</v>
      </c>
      <c r="C401">
        <f>IF(COUNTIFS('United Data'!$A$3:$A$3390,C$1,'United Data'!$C$3:$C$3390,$A401)&gt;0,1,0)</f>
        <v>0</v>
      </c>
      <c r="D401">
        <f>IF(COUNTIFS('United Data'!$A$3:$A$3390,D$1,'United Data'!$C$3:$C$3390,$A401)&gt;0,1,0)</f>
        <v>0</v>
      </c>
      <c r="E401">
        <f>IF(COUNTIFS('United Data'!$A$3:$A$3390,E$1,'United Data'!$C$3:$C$3390,$A401)&gt;0,1,0)</f>
        <v>0</v>
      </c>
      <c r="F401">
        <f>IF(COUNTIFS('United Data'!$A$3:$A$3390,F$1,'United Data'!$C$3:$C$3390,$A401)&gt;0,1,0)</f>
        <v>0</v>
      </c>
      <c r="G401">
        <f>IF(COUNTIFS('United Data'!$A$3:$A$3390,G$1,'United Data'!$C$3:$C$3390,$A401)&gt;0,1,0)</f>
        <v>0</v>
      </c>
      <c r="H401">
        <f>IF(COUNTIFS('United Data'!$A$3:$A$3390,H$1,'United Data'!$C$3:$C$3390,$A401)&gt;0,1,0)</f>
        <v>0</v>
      </c>
      <c r="I401">
        <f>IF(COUNTIFS('United Data'!$A$3:$A$3390,I$1,'United Data'!$C$3:$C$3390,$A401)&gt;0,1,0)</f>
        <v>0</v>
      </c>
      <c r="J401">
        <f>IF(COUNTIFS('United Data'!$A$3:$A$3390,J$1,'United Data'!$C$3:$C$3390,$A401)&gt;0,1,0)</f>
        <v>0</v>
      </c>
      <c r="K401">
        <f>IF(COUNTIFS('United Data'!$A$3:$A$3390,K$1,'United Data'!$C$3:$C$3390,$A401)&gt;0,1,0)</f>
        <v>0</v>
      </c>
      <c r="L401">
        <f>IF(COUNTIFS('United Data'!$A$3:$A$3390,L$1,'United Data'!$C$3:$C$3390,$A401)&gt;0,1,0)</f>
        <v>0</v>
      </c>
      <c r="M401">
        <f>IF(COUNTIFS('United Data'!$A$3:$A$3390,M$1,'United Data'!$C$3:$C$3390,$A401)&gt;0,1,0)</f>
        <v>0</v>
      </c>
      <c r="N401">
        <f>IF(COUNTIFS('United Data'!$A$3:$A$3390,N$1,'United Data'!$C$3:$C$3390,$A401)&gt;0,1,0)</f>
        <v>0</v>
      </c>
      <c r="O401">
        <f>IF(COUNTIFS('United Data'!$A$3:$A$3390,O$1,'United Data'!$C$3:$C$3390,$A401)&gt;0,1,0)</f>
        <v>0</v>
      </c>
      <c r="P401">
        <f>IF(COUNTIFS('United Data'!$A$3:$A$3390,P$1,'United Data'!$C$3:$C$3390,$A401)&gt;0,1,0)</f>
        <v>1</v>
      </c>
      <c r="Q401">
        <f>IF(COUNTIFS('United Data'!$A$3:$A$3390,Q$1,'United Data'!$C$3:$C$3390,$A401)&gt;0,1,0)</f>
        <v>0</v>
      </c>
      <c r="R401">
        <f>IF(COUNTIFS('United Data'!$A$3:$A$3390,R$1,'United Data'!$C$3:$C$3390,$A401)&gt;0,1,0)</f>
        <v>0</v>
      </c>
      <c r="S401">
        <f t="shared" si="12"/>
        <v>1</v>
      </c>
      <c r="T401">
        <f t="shared" si="13"/>
        <v>1</v>
      </c>
    </row>
    <row r="402" spans="1:20" x14ac:dyDescent="0.2">
      <c r="A402" t="s">
        <v>505</v>
      </c>
      <c r="B402">
        <f>IF(COUNTIFS('United Data'!$A$3:$A$3390,B$1,'United Data'!$C$3:$C$3390,$A402)&gt;0,1,0)</f>
        <v>0</v>
      </c>
      <c r="C402">
        <f>IF(COUNTIFS('United Data'!$A$3:$A$3390,C$1,'United Data'!$C$3:$C$3390,$A402)&gt;0,1,0)</f>
        <v>0</v>
      </c>
      <c r="D402">
        <f>IF(COUNTIFS('United Data'!$A$3:$A$3390,D$1,'United Data'!$C$3:$C$3390,$A402)&gt;0,1,0)</f>
        <v>0</v>
      </c>
      <c r="E402">
        <f>IF(COUNTIFS('United Data'!$A$3:$A$3390,E$1,'United Data'!$C$3:$C$3390,$A402)&gt;0,1,0)</f>
        <v>0</v>
      </c>
      <c r="F402">
        <f>IF(COUNTIFS('United Data'!$A$3:$A$3390,F$1,'United Data'!$C$3:$C$3390,$A402)&gt;0,1,0)</f>
        <v>0</v>
      </c>
      <c r="G402">
        <f>IF(COUNTIFS('United Data'!$A$3:$A$3390,G$1,'United Data'!$C$3:$C$3390,$A402)&gt;0,1,0)</f>
        <v>0</v>
      </c>
      <c r="H402">
        <f>IF(COUNTIFS('United Data'!$A$3:$A$3390,H$1,'United Data'!$C$3:$C$3390,$A402)&gt;0,1,0)</f>
        <v>0</v>
      </c>
      <c r="I402">
        <f>IF(COUNTIFS('United Data'!$A$3:$A$3390,I$1,'United Data'!$C$3:$C$3390,$A402)&gt;0,1,0)</f>
        <v>0</v>
      </c>
      <c r="J402">
        <f>IF(COUNTIFS('United Data'!$A$3:$A$3390,J$1,'United Data'!$C$3:$C$3390,$A402)&gt;0,1,0)</f>
        <v>0</v>
      </c>
      <c r="K402">
        <f>IF(COUNTIFS('United Data'!$A$3:$A$3390,K$1,'United Data'!$C$3:$C$3390,$A402)&gt;0,1,0)</f>
        <v>0</v>
      </c>
      <c r="L402">
        <f>IF(COUNTIFS('United Data'!$A$3:$A$3390,L$1,'United Data'!$C$3:$C$3390,$A402)&gt;0,1,0)</f>
        <v>0</v>
      </c>
      <c r="M402">
        <f>IF(COUNTIFS('United Data'!$A$3:$A$3390,M$1,'United Data'!$C$3:$C$3390,$A402)&gt;0,1,0)</f>
        <v>0</v>
      </c>
      <c r="N402">
        <f>IF(COUNTIFS('United Data'!$A$3:$A$3390,N$1,'United Data'!$C$3:$C$3390,$A402)&gt;0,1,0)</f>
        <v>0</v>
      </c>
      <c r="O402">
        <f>IF(COUNTIFS('United Data'!$A$3:$A$3390,O$1,'United Data'!$C$3:$C$3390,$A402)&gt;0,1,0)</f>
        <v>0</v>
      </c>
      <c r="P402">
        <f>IF(COUNTIFS('United Data'!$A$3:$A$3390,P$1,'United Data'!$C$3:$C$3390,$A402)&gt;0,1,0)</f>
        <v>1</v>
      </c>
      <c r="Q402">
        <f>IF(COUNTIFS('United Data'!$A$3:$A$3390,Q$1,'United Data'!$C$3:$C$3390,$A402)&gt;0,1,0)</f>
        <v>1</v>
      </c>
      <c r="R402">
        <f>IF(COUNTIFS('United Data'!$A$3:$A$3390,R$1,'United Data'!$C$3:$C$3390,$A402)&gt;0,1,0)</f>
        <v>0</v>
      </c>
      <c r="S402">
        <f t="shared" si="12"/>
        <v>2</v>
      </c>
      <c r="T402">
        <f t="shared" si="13"/>
        <v>1</v>
      </c>
    </row>
    <row r="403" spans="1:20" x14ac:dyDescent="0.2">
      <c r="A403" t="s">
        <v>506</v>
      </c>
      <c r="B403">
        <f>IF(COUNTIFS('United Data'!$A$3:$A$3390,B$1,'United Data'!$C$3:$C$3390,$A403)&gt;0,1,0)</f>
        <v>0</v>
      </c>
      <c r="C403">
        <f>IF(COUNTIFS('United Data'!$A$3:$A$3390,C$1,'United Data'!$C$3:$C$3390,$A403)&gt;0,1,0)</f>
        <v>0</v>
      </c>
      <c r="D403">
        <f>IF(COUNTIFS('United Data'!$A$3:$A$3390,D$1,'United Data'!$C$3:$C$3390,$A403)&gt;0,1,0)</f>
        <v>0</v>
      </c>
      <c r="E403">
        <f>IF(COUNTIFS('United Data'!$A$3:$A$3390,E$1,'United Data'!$C$3:$C$3390,$A403)&gt;0,1,0)</f>
        <v>0</v>
      </c>
      <c r="F403">
        <f>IF(COUNTIFS('United Data'!$A$3:$A$3390,F$1,'United Data'!$C$3:$C$3390,$A403)&gt;0,1,0)</f>
        <v>0</v>
      </c>
      <c r="G403">
        <f>IF(COUNTIFS('United Data'!$A$3:$A$3390,G$1,'United Data'!$C$3:$C$3390,$A403)&gt;0,1,0)</f>
        <v>0</v>
      </c>
      <c r="H403">
        <f>IF(COUNTIFS('United Data'!$A$3:$A$3390,H$1,'United Data'!$C$3:$C$3390,$A403)&gt;0,1,0)</f>
        <v>0</v>
      </c>
      <c r="I403">
        <f>IF(COUNTIFS('United Data'!$A$3:$A$3390,I$1,'United Data'!$C$3:$C$3390,$A403)&gt;0,1,0)</f>
        <v>0</v>
      </c>
      <c r="J403">
        <f>IF(COUNTIFS('United Data'!$A$3:$A$3390,J$1,'United Data'!$C$3:$C$3390,$A403)&gt;0,1,0)</f>
        <v>0</v>
      </c>
      <c r="K403">
        <f>IF(COUNTIFS('United Data'!$A$3:$A$3390,K$1,'United Data'!$C$3:$C$3390,$A403)&gt;0,1,0)</f>
        <v>0</v>
      </c>
      <c r="L403">
        <f>IF(COUNTIFS('United Data'!$A$3:$A$3390,L$1,'United Data'!$C$3:$C$3390,$A403)&gt;0,1,0)</f>
        <v>0</v>
      </c>
      <c r="M403">
        <f>IF(COUNTIFS('United Data'!$A$3:$A$3390,M$1,'United Data'!$C$3:$C$3390,$A403)&gt;0,1,0)</f>
        <v>0</v>
      </c>
      <c r="N403">
        <f>IF(COUNTIFS('United Data'!$A$3:$A$3390,N$1,'United Data'!$C$3:$C$3390,$A403)&gt;0,1,0)</f>
        <v>0</v>
      </c>
      <c r="O403">
        <f>IF(COUNTIFS('United Data'!$A$3:$A$3390,O$1,'United Data'!$C$3:$C$3390,$A403)&gt;0,1,0)</f>
        <v>0</v>
      </c>
      <c r="P403">
        <f>IF(COUNTIFS('United Data'!$A$3:$A$3390,P$1,'United Data'!$C$3:$C$3390,$A403)&gt;0,1,0)</f>
        <v>0</v>
      </c>
      <c r="Q403">
        <f>IF(COUNTIFS('United Data'!$A$3:$A$3390,Q$1,'United Data'!$C$3:$C$3390,$A403)&gt;0,1,0)</f>
        <v>1</v>
      </c>
      <c r="R403">
        <f>IF(COUNTIFS('United Data'!$A$3:$A$3390,R$1,'United Data'!$C$3:$C$3390,$A403)&gt;0,1,0)</f>
        <v>0</v>
      </c>
      <c r="S403">
        <f t="shared" si="12"/>
        <v>1</v>
      </c>
      <c r="T403">
        <f t="shared" si="13"/>
        <v>1</v>
      </c>
    </row>
    <row r="404" spans="1:20" x14ac:dyDescent="0.2">
      <c r="A404" t="s">
        <v>507</v>
      </c>
      <c r="B404">
        <f>IF(COUNTIFS('United Data'!$A$3:$A$3390,B$1,'United Data'!$C$3:$C$3390,$A404)&gt;0,1,0)</f>
        <v>0</v>
      </c>
      <c r="C404">
        <f>IF(COUNTIFS('United Data'!$A$3:$A$3390,C$1,'United Data'!$C$3:$C$3390,$A404)&gt;0,1,0)</f>
        <v>0</v>
      </c>
      <c r="D404">
        <f>IF(COUNTIFS('United Data'!$A$3:$A$3390,D$1,'United Data'!$C$3:$C$3390,$A404)&gt;0,1,0)</f>
        <v>0</v>
      </c>
      <c r="E404">
        <f>IF(COUNTIFS('United Data'!$A$3:$A$3390,E$1,'United Data'!$C$3:$C$3390,$A404)&gt;0,1,0)</f>
        <v>0</v>
      </c>
      <c r="F404">
        <f>IF(COUNTIFS('United Data'!$A$3:$A$3390,F$1,'United Data'!$C$3:$C$3390,$A404)&gt;0,1,0)</f>
        <v>0</v>
      </c>
      <c r="G404">
        <f>IF(COUNTIFS('United Data'!$A$3:$A$3390,G$1,'United Data'!$C$3:$C$3390,$A404)&gt;0,1,0)</f>
        <v>0</v>
      </c>
      <c r="H404">
        <f>IF(COUNTIFS('United Data'!$A$3:$A$3390,H$1,'United Data'!$C$3:$C$3390,$A404)&gt;0,1,0)</f>
        <v>0</v>
      </c>
      <c r="I404">
        <f>IF(COUNTIFS('United Data'!$A$3:$A$3390,I$1,'United Data'!$C$3:$C$3390,$A404)&gt;0,1,0)</f>
        <v>0</v>
      </c>
      <c r="J404">
        <f>IF(COUNTIFS('United Data'!$A$3:$A$3390,J$1,'United Data'!$C$3:$C$3390,$A404)&gt;0,1,0)</f>
        <v>0</v>
      </c>
      <c r="K404">
        <f>IF(COUNTIFS('United Data'!$A$3:$A$3390,K$1,'United Data'!$C$3:$C$3390,$A404)&gt;0,1,0)</f>
        <v>0</v>
      </c>
      <c r="L404">
        <f>IF(COUNTIFS('United Data'!$A$3:$A$3390,L$1,'United Data'!$C$3:$C$3390,$A404)&gt;0,1,0)</f>
        <v>0</v>
      </c>
      <c r="M404">
        <f>IF(COUNTIFS('United Data'!$A$3:$A$3390,M$1,'United Data'!$C$3:$C$3390,$A404)&gt;0,1,0)</f>
        <v>0</v>
      </c>
      <c r="N404">
        <f>IF(COUNTIFS('United Data'!$A$3:$A$3390,N$1,'United Data'!$C$3:$C$3390,$A404)&gt;0,1,0)</f>
        <v>0</v>
      </c>
      <c r="O404">
        <f>IF(COUNTIFS('United Data'!$A$3:$A$3390,O$1,'United Data'!$C$3:$C$3390,$A404)&gt;0,1,0)</f>
        <v>0</v>
      </c>
      <c r="P404">
        <f>IF(COUNTIFS('United Data'!$A$3:$A$3390,P$1,'United Data'!$C$3:$C$3390,$A404)&gt;0,1,0)</f>
        <v>0</v>
      </c>
      <c r="Q404">
        <f>IF(COUNTIFS('United Data'!$A$3:$A$3390,Q$1,'United Data'!$C$3:$C$3390,$A404)&gt;0,1,0)</f>
        <v>1</v>
      </c>
      <c r="R404">
        <f>IF(COUNTIFS('United Data'!$A$3:$A$3390,R$1,'United Data'!$C$3:$C$3390,$A404)&gt;0,1,0)</f>
        <v>0</v>
      </c>
      <c r="S404">
        <f t="shared" si="12"/>
        <v>1</v>
      </c>
      <c r="T404">
        <f t="shared" si="13"/>
        <v>1</v>
      </c>
    </row>
    <row r="405" spans="1:20" x14ac:dyDescent="0.2">
      <c r="A405" t="s">
        <v>508</v>
      </c>
      <c r="B405">
        <f>IF(COUNTIFS('United Data'!$A$3:$A$3390,B$1,'United Data'!$C$3:$C$3390,$A405)&gt;0,1,0)</f>
        <v>1</v>
      </c>
      <c r="C405">
        <f>IF(COUNTIFS('United Data'!$A$3:$A$3390,C$1,'United Data'!$C$3:$C$3390,$A405)&gt;0,1,0)</f>
        <v>1</v>
      </c>
      <c r="D405">
        <f>IF(COUNTIFS('United Data'!$A$3:$A$3390,D$1,'United Data'!$C$3:$C$3390,$A405)&gt;0,1,0)</f>
        <v>1</v>
      </c>
      <c r="E405">
        <f>IF(COUNTIFS('United Data'!$A$3:$A$3390,E$1,'United Data'!$C$3:$C$3390,$A405)&gt;0,1,0)</f>
        <v>1</v>
      </c>
      <c r="F405">
        <f>IF(COUNTIFS('United Data'!$A$3:$A$3390,F$1,'United Data'!$C$3:$C$3390,$A405)&gt;0,1,0)</f>
        <v>1</v>
      </c>
      <c r="G405">
        <f>IF(COUNTIFS('United Data'!$A$3:$A$3390,G$1,'United Data'!$C$3:$C$3390,$A405)&gt;0,1,0)</f>
        <v>1</v>
      </c>
      <c r="H405">
        <f>IF(COUNTIFS('United Data'!$A$3:$A$3390,H$1,'United Data'!$C$3:$C$3390,$A405)&gt;0,1,0)</f>
        <v>0</v>
      </c>
      <c r="I405">
        <f>IF(COUNTIFS('United Data'!$A$3:$A$3390,I$1,'United Data'!$C$3:$C$3390,$A405)&gt;0,1,0)</f>
        <v>1</v>
      </c>
      <c r="J405">
        <f>IF(COUNTIFS('United Data'!$A$3:$A$3390,J$1,'United Data'!$C$3:$C$3390,$A405)&gt;0,1,0)</f>
        <v>0</v>
      </c>
      <c r="K405">
        <f>IF(COUNTIFS('United Data'!$A$3:$A$3390,K$1,'United Data'!$C$3:$C$3390,$A405)&gt;0,1,0)</f>
        <v>0</v>
      </c>
      <c r="L405">
        <f>IF(COUNTIFS('United Data'!$A$3:$A$3390,L$1,'United Data'!$C$3:$C$3390,$A405)&gt;0,1,0)</f>
        <v>1</v>
      </c>
      <c r="M405">
        <f>IF(COUNTIFS('United Data'!$A$3:$A$3390,M$1,'United Data'!$C$3:$C$3390,$A405)&gt;0,1,0)</f>
        <v>0</v>
      </c>
      <c r="N405">
        <f>IF(COUNTIFS('United Data'!$A$3:$A$3390,N$1,'United Data'!$C$3:$C$3390,$A405)&gt;0,1,0)</f>
        <v>1</v>
      </c>
      <c r="O405">
        <f>IF(COUNTIFS('United Data'!$A$3:$A$3390,O$1,'United Data'!$C$3:$C$3390,$A405)&gt;0,1,0)</f>
        <v>1</v>
      </c>
      <c r="P405">
        <f>IF(COUNTIFS('United Data'!$A$3:$A$3390,P$1,'United Data'!$C$3:$C$3390,$A405)&gt;0,1,0)</f>
        <v>1</v>
      </c>
      <c r="Q405">
        <f>IF(COUNTIFS('United Data'!$A$3:$A$3390,Q$1,'United Data'!$C$3:$C$3390,$A405)&gt;0,1,0)</f>
        <v>1</v>
      </c>
      <c r="R405">
        <f>IF(COUNTIFS('United Data'!$A$3:$A$3390,R$1,'United Data'!$C$3:$C$3390,$A405)&gt;0,1,0)</f>
        <v>1</v>
      </c>
      <c r="S405">
        <f t="shared" si="12"/>
        <v>13</v>
      </c>
      <c r="T405">
        <f t="shared" si="13"/>
        <v>4</v>
      </c>
    </row>
    <row r="406" spans="1:20" x14ac:dyDescent="0.2">
      <c r="A406" t="s">
        <v>509</v>
      </c>
      <c r="B406">
        <f>IF(COUNTIFS('United Data'!$A$3:$A$3390,B$1,'United Data'!$C$3:$C$3390,$A406)&gt;0,1,0)</f>
        <v>1</v>
      </c>
      <c r="C406">
        <f>IF(COUNTIFS('United Data'!$A$3:$A$3390,C$1,'United Data'!$C$3:$C$3390,$A406)&gt;0,1,0)</f>
        <v>0</v>
      </c>
      <c r="D406">
        <f>IF(COUNTIFS('United Data'!$A$3:$A$3390,D$1,'United Data'!$C$3:$C$3390,$A406)&gt;0,1,0)</f>
        <v>1</v>
      </c>
      <c r="E406">
        <f>IF(COUNTIFS('United Data'!$A$3:$A$3390,E$1,'United Data'!$C$3:$C$3390,$A406)&gt;0,1,0)</f>
        <v>0</v>
      </c>
      <c r="F406">
        <f>IF(COUNTIFS('United Data'!$A$3:$A$3390,F$1,'United Data'!$C$3:$C$3390,$A406)&gt;0,1,0)</f>
        <v>1</v>
      </c>
      <c r="G406">
        <f>IF(COUNTIFS('United Data'!$A$3:$A$3390,G$1,'United Data'!$C$3:$C$3390,$A406)&gt;0,1,0)</f>
        <v>1</v>
      </c>
      <c r="H406">
        <f>IF(COUNTIFS('United Data'!$A$3:$A$3390,H$1,'United Data'!$C$3:$C$3390,$A406)&gt;0,1,0)</f>
        <v>0</v>
      </c>
      <c r="I406">
        <f>IF(COUNTIFS('United Data'!$A$3:$A$3390,I$1,'United Data'!$C$3:$C$3390,$A406)&gt;0,1,0)</f>
        <v>1</v>
      </c>
      <c r="J406">
        <f>IF(COUNTIFS('United Data'!$A$3:$A$3390,J$1,'United Data'!$C$3:$C$3390,$A406)&gt;0,1,0)</f>
        <v>0</v>
      </c>
      <c r="K406">
        <f>IF(COUNTIFS('United Data'!$A$3:$A$3390,K$1,'United Data'!$C$3:$C$3390,$A406)&gt;0,1,0)</f>
        <v>0</v>
      </c>
      <c r="L406">
        <f>IF(COUNTIFS('United Data'!$A$3:$A$3390,L$1,'United Data'!$C$3:$C$3390,$A406)&gt;0,1,0)</f>
        <v>1</v>
      </c>
      <c r="M406">
        <f>IF(COUNTIFS('United Data'!$A$3:$A$3390,M$1,'United Data'!$C$3:$C$3390,$A406)&gt;0,1,0)</f>
        <v>0</v>
      </c>
      <c r="N406">
        <f>IF(COUNTIFS('United Data'!$A$3:$A$3390,N$1,'United Data'!$C$3:$C$3390,$A406)&gt;0,1,0)</f>
        <v>0</v>
      </c>
      <c r="O406">
        <f>IF(COUNTIFS('United Data'!$A$3:$A$3390,O$1,'United Data'!$C$3:$C$3390,$A406)&gt;0,1,0)</f>
        <v>1</v>
      </c>
      <c r="P406">
        <f>IF(COUNTIFS('United Data'!$A$3:$A$3390,P$1,'United Data'!$C$3:$C$3390,$A406)&gt;0,1,0)</f>
        <v>0</v>
      </c>
      <c r="Q406">
        <f>IF(COUNTIFS('United Data'!$A$3:$A$3390,Q$1,'United Data'!$C$3:$C$3390,$A406)&gt;0,1,0)</f>
        <v>1</v>
      </c>
      <c r="R406">
        <f>IF(COUNTIFS('United Data'!$A$3:$A$3390,R$1,'United Data'!$C$3:$C$3390,$A406)&gt;0,1,0)</f>
        <v>1</v>
      </c>
      <c r="S406">
        <f t="shared" si="12"/>
        <v>9</v>
      </c>
      <c r="T406">
        <f t="shared" si="13"/>
        <v>7</v>
      </c>
    </row>
    <row r="407" spans="1:20" x14ac:dyDescent="0.2">
      <c r="A407" t="s">
        <v>510</v>
      </c>
      <c r="B407">
        <f>IF(COUNTIFS('United Data'!$A$3:$A$3390,B$1,'United Data'!$C$3:$C$3390,$A407)&gt;0,1,0)</f>
        <v>0</v>
      </c>
      <c r="C407">
        <f>IF(COUNTIFS('United Data'!$A$3:$A$3390,C$1,'United Data'!$C$3:$C$3390,$A407)&gt;0,1,0)</f>
        <v>0</v>
      </c>
      <c r="D407">
        <f>IF(COUNTIFS('United Data'!$A$3:$A$3390,D$1,'United Data'!$C$3:$C$3390,$A407)&gt;0,1,0)</f>
        <v>0</v>
      </c>
      <c r="E407">
        <f>IF(COUNTIFS('United Data'!$A$3:$A$3390,E$1,'United Data'!$C$3:$C$3390,$A407)&gt;0,1,0)</f>
        <v>0</v>
      </c>
      <c r="F407">
        <f>IF(COUNTIFS('United Data'!$A$3:$A$3390,F$1,'United Data'!$C$3:$C$3390,$A407)&gt;0,1,0)</f>
        <v>0</v>
      </c>
      <c r="G407">
        <f>IF(COUNTIFS('United Data'!$A$3:$A$3390,G$1,'United Data'!$C$3:$C$3390,$A407)&gt;0,1,0)</f>
        <v>0</v>
      </c>
      <c r="H407">
        <f>IF(COUNTIFS('United Data'!$A$3:$A$3390,H$1,'United Data'!$C$3:$C$3390,$A407)&gt;0,1,0)</f>
        <v>0</v>
      </c>
      <c r="I407">
        <f>IF(COUNTIFS('United Data'!$A$3:$A$3390,I$1,'United Data'!$C$3:$C$3390,$A407)&gt;0,1,0)</f>
        <v>0</v>
      </c>
      <c r="J407">
        <f>IF(COUNTIFS('United Data'!$A$3:$A$3390,J$1,'United Data'!$C$3:$C$3390,$A407)&gt;0,1,0)</f>
        <v>0</v>
      </c>
      <c r="K407">
        <f>IF(COUNTIFS('United Data'!$A$3:$A$3390,K$1,'United Data'!$C$3:$C$3390,$A407)&gt;0,1,0)</f>
        <v>0</v>
      </c>
      <c r="L407">
        <f>IF(COUNTIFS('United Data'!$A$3:$A$3390,L$1,'United Data'!$C$3:$C$3390,$A407)&gt;0,1,0)</f>
        <v>0</v>
      </c>
      <c r="M407">
        <f>IF(COUNTIFS('United Data'!$A$3:$A$3390,M$1,'United Data'!$C$3:$C$3390,$A407)&gt;0,1,0)</f>
        <v>0</v>
      </c>
      <c r="N407">
        <f>IF(COUNTIFS('United Data'!$A$3:$A$3390,N$1,'United Data'!$C$3:$C$3390,$A407)&gt;0,1,0)</f>
        <v>0</v>
      </c>
      <c r="O407">
        <f>IF(COUNTIFS('United Data'!$A$3:$A$3390,O$1,'United Data'!$C$3:$C$3390,$A407)&gt;0,1,0)</f>
        <v>0</v>
      </c>
      <c r="P407">
        <f>IF(COUNTIFS('United Data'!$A$3:$A$3390,P$1,'United Data'!$C$3:$C$3390,$A407)&gt;0,1,0)</f>
        <v>0</v>
      </c>
      <c r="Q407">
        <f>IF(COUNTIFS('United Data'!$A$3:$A$3390,Q$1,'United Data'!$C$3:$C$3390,$A407)&gt;0,1,0)</f>
        <v>0</v>
      </c>
      <c r="R407">
        <f>IF(COUNTIFS('United Data'!$A$3:$A$3390,R$1,'United Data'!$C$3:$C$3390,$A407)&gt;0,1,0)</f>
        <v>1</v>
      </c>
      <c r="S407">
        <f t="shared" si="12"/>
        <v>1</v>
      </c>
      <c r="T407">
        <f t="shared" si="13"/>
        <v>1</v>
      </c>
    </row>
    <row r="408" spans="1:20" x14ac:dyDescent="0.2">
      <c r="A408" t="s">
        <v>511</v>
      </c>
      <c r="B408">
        <f>IF(COUNTIFS('United Data'!$A$3:$A$3390,B$1,'United Data'!$C$3:$C$3390,$A408)&gt;0,1,0)</f>
        <v>0</v>
      </c>
      <c r="C408">
        <f>IF(COUNTIFS('United Data'!$A$3:$A$3390,C$1,'United Data'!$C$3:$C$3390,$A408)&gt;0,1,0)</f>
        <v>0</v>
      </c>
      <c r="D408">
        <f>IF(COUNTIFS('United Data'!$A$3:$A$3390,D$1,'United Data'!$C$3:$C$3390,$A408)&gt;0,1,0)</f>
        <v>0</v>
      </c>
      <c r="E408">
        <f>IF(COUNTIFS('United Data'!$A$3:$A$3390,E$1,'United Data'!$C$3:$C$3390,$A408)&gt;0,1,0)</f>
        <v>0</v>
      </c>
      <c r="F408">
        <f>IF(COUNTIFS('United Data'!$A$3:$A$3390,F$1,'United Data'!$C$3:$C$3390,$A408)&gt;0,1,0)</f>
        <v>0</v>
      </c>
      <c r="G408">
        <f>IF(COUNTIFS('United Data'!$A$3:$A$3390,G$1,'United Data'!$C$3:$C$3390,$A408)&gt;0,1,0)</f>
        <v>0</v>
      </c>
      <c r="H408">
        <f>IF(COUNTIFS('United Data'!$A$3:$A$3390,H$1,'United Data'!$C$3:$C$3390,$A408)&gt;0,1,0)</f>
        <v>0</v>
      </c>
      <c r="I408">
        <f>IF(COUNTIFS('United Data'!$A$3:$A$3390,I$1,'United Data'!$C$3:$C$3390,$A408)&gt;0,1,0)</f>
        <v>0</v>
      </c>
      <c r="J408">
        <f>IF(COUNTIFS('United Data'!$A$3:$A$3390,J$1,'United Data'!$C$3:$C$3390,$A408)&gt;0,1,0)</f>
        <v>0</v>
      </c>
      <c r="K408">
        <f>IF(COUNTIFS('United Data'!$A$3:$A$3390,K$1,'United Data'!$C$3:$C$3390,$A408)&gt;0,1,0)</f>
        <v>0</v>
      </c>
      <c r="L408">
        <f>IF(COUNTIFS('United Data'!$A$3:$A$3390,L$1,'United Data'!$C$3:$C$3390,$A408)&gt;0,1,0)</f>
        <v>0</v>
      </c>
      <c r="M408">
        <f>IF(COUNTIFS('United Data'!$A$3:$A$3390,M$1,'United Data'!$C$3:$C$3390,$A408)&gt;0,1,0)</f>
        <v>0</v>
      </c>
      <c r="N408">
        <f>IF(COUNTIFS('United Data'!$A$3:$A$3390,N$1,'United Data'!$C$3:$C$3390,$A408)&gt;0,1,0)</f>
        <v>0</v>
      </c>
      <c r="O408">
        <f>IF(COUNTIFS('United Data'!$A$3:$A$3390,O$1,'United Data'!$C$3:$C$3390,$A408)&gt;0,1,0)</f>
        <v>0</v>
      </c>
      <c r="P408">
        <f>IF(COUNTIFS('United Data'!$A$3:$A$3390,P$1,'United Data'!$C$3:$C$3390,$A408)&gt;0,1,0)</f>
        <v>0</v>
      </c>
      <c r="Q408">
        <f>IF(COUNTIFS('United Data'!$A$3:$A$3390,Q$1,'United Data'!$C$3:$C$3390,$A408)&gt;0,1,0)</f>
        <v>0</v>
      </c>
      <c r="R408">
        <f>IF(COUNTIFS('United Data'!$A$3:$A$3390,R$1,'United Data'!$C$3:$C$3390,$A408)&gt;0,1,0)</f>
        <v>1</v>
      </c>
      <c r="S408">
        <f t="shared" si="12"/>
        <v>1</v>
      </c>
      <c r="T408">
        <f t="shared" si="13"/>
        <v>1</v>
      </c>
    </row>
    <row r="409" spans="1:20" x14ac:dyDescent="0.2">
      <c r="A409" t="s">
        <v>512</v>
      </c>
      <c r="B409">
        <f>IF(COUNTIFS('United Data'!$A$3:$A$3390,B$1,'United Data'!$C$3:$C$3390,$A409)&gt;0,1,0)</f>
        <v>1</v>
      </c>
      <c r="C409">
        <f>IF(COUNTIFS('United Data'!$A$3:$A$3390,C$1,'United Data'!$C$3:$C$3390,$A409)&gt;0,1,0)</f>
        <v>0</v>
      </c>
      <c r="D409">
        <f>IF(COUNTIFS('United Data'!$A$3:$A$3390,D$1,'United Data'!$C$3:$C$3390,$A409)&gt;0,1,0)</f>
        <v>0</v>
      </c>
      <c r="E409">
        <f>IF(COUNTIFS('United Data'!$A$3:$A$3390,E$1,'United Data'!$C$3:$C$3390,$A409)&gt;0,1,0)</f>
        <v>0</v>
      </c>
      <c r="F409">
        <f>IF(COUNTIFS('United Data'!$A$3:$A$3390,F$1,'United Data'!$C$3:$C$3390,$A409)&gt;0,1,0)</f>
        <v>0</v>
      </c>
      <c r="G409">
        <f>IF(COUNTIFS('United Data'!$A$3:$A$3390,G$1,'United Data'!$C$3:$C$3390,$A409)&gt;0,1,0)</f>
        <v>0</v>
      </c>
      <c r="H409">
        <f>IF(COUNTIFS('United Data'!$A$3:$A$3390,H$1,'United Data'!$C$3:$C$3390,$A409)&gt;0,1,0)</f>
        <v>0</v>
      </c>
      <c r="I409">
        <f>IF(COUNTIFS('United Data'!$A$3:$A$3390,I$1,'United Data'!$C$3:$C$3390,$A409)&gt;0,1,0)</f>
        <v>0</v>
      </c>
      <c r="J409">
        <f>IF(COUNTIFS('United Data'!$A$3:$A$3390,J$1,'United Data'!$C$3:$C$3390,$A409)&gt;0,1,0)</f>
        <v>0</v>
      </c>
      <c r="K409">
        <f>IF(COUNTIFS('United Data'!$A$3:$A$3390,K$1,'United Data'!$C$3:$C$3390,$A409)&gt;0,1,0)</f>
        <v>0</v>
      </c>
      <c r="L409">
        <f>IF(COUNTIFS('United Data'!$A$3:$A$3390,L$1,'United Data'!$C$3:$C$3390,$A409)&gt;0,1,0)</f>
        <v>0</v>
      </c>
      <c r="M409">
        <f>IF(COUNTIFS('United Data'!$A$3:$A$3390,M$1,'United Data'!$C$3:$C$3390,$A409)&gt;0,1,0)</f>
        <v>0</v>
      </c>
      <c r="N409">
        <f>IF(COUNTIFS('United Data'!$A$3:$A$3390,N$1,'United Data'!$C$3:$C$3390,$A409)&gt;0,1,0)</f>
        <v>0</v>
      </c>
      <c r="O409">
        <f>IF(COUNTIFS('United Data'!$A$3:$A$3390,O$1,'United Data'!$C$3:$C$3390,$A409)&gt;0,1,0)</f>
        <v>0</v>
      </c>
      <c r="P409">
        <f>IF(COUNTIFS('United Data'!$A$3:$A$3390,P$1,'United Data'!$C$3:$C$3390,$A409)&gt;0,1,0)</f>
        <v>0</v>
      </c>
      <c r="Q409">
        <f>IF(COUNTIFS('United Data'!$A$3:$A$3390,Q$1,'United Data'!$C$3:$C$3390,$A409)&gt;0,1,0)</f>
        <v>0</v>
      </c>
      <c r="R409">
        <f>IF(COUNTIFS('United Data'!$A$3:$A$3390,R$1,'United Data'!$C$3:$C$3390,$A409)&gt;0,1,0)</f>
        <v>0</v>
      </c>
      <c r="S409">
        <f t="shared" si="12"/>
        <v>1</v>
      </c>
      <c r="T409">
        <f t="shared" si="13"/>
        <v>1</v>
      </c>
    </row>
    <row r="410" spans="1:20" x14ac:dyDescent="0.2">
      <c r="A410" t="s">
        <v>513</v>
      </c>
      <c r="B410">
        <f>IF(COUNTIFS('United Data'!$A$3:$A$3390,B$1,'United Data'!$C$3:$C$3390,$A410)&gt;0,1,0)</f>
        <v>1</v>
      </c>
      <c r="C410">
        <f>IF(COUNTIFS('United Data'!$A$3:$A$3390,C$1,'United Data'!$C$3:$C$3390,$A410)&gt;0,1,0)</f>
        <v>0</v>
      </c>
      <c r="D410">
        <f>IF(COUNTIFS('United Data'!$A$3:$A$3390,D$1,'United Data'!$C$3:$C$3390,$A410)&gt;0,1,0)</f>
        <v>0</v>
      </c>
      <c r="E410">
        <f>IF(COUNTIFS('United Data'!$A$3:$A$3390,E$1,'United Data'!$C$3:$C$3390,$A410)&gt;0,1,0)</f>
        <v>0</v>
      </c>
      <c r="F410">
        <f>IF(COUNTIFS('United Data'!$A$3:$A$3390,F$1,'United Data'!$C$3:$C$3390,$A410)&gt;0,1,0)</f>
        <v>0</v>
      </c>
      <c r="G410">
        <f>IF(COUNTIFS('United Data'!$A$3:$A$3390,G$1,'United Data'!$C$3:$C$3390,$A410)&gt;0,1,0)</f>
        <v>0</v>
      </c>
      <c r="H410">
        <f>IF(COUNTIFS('United Data'!$A$3:$A$3390,H$1,'United Data'!$C$3:$C$3390,$A410)&gt;0,1,0)</f>
        <v>0</v>
      </c>
      <c r="I410">
        <f>IF(COUNTIFS('United Data'!$A$3:$A$3390,I$1,'United Data'!$C$3:$C$3390,$A410)&gt;0,1,0)</f>
        <v>0</v>
      </c>
      <c r="J410">
        <f>IF(COUNTIFS('United Data'!$A$3:$A$3390,J$1,'United Data'!$C$3:$C$3390,$A410)&gt;0,1,0)</f>
        <v>0</v>
      </c>
      <c r="K410">
        <f>IF(COUNTIFS('United Data'!$A$3:$A$3390,K$1,'United Data'!$C$3:$C$3390,$A410)&gt;0,1,0)</f>
        <v>0</v>
      </c>
      <c r="L410">
        <f>IF(COUNTIFS('United Data'!$A$3:$A$3390,L$1,'United Data'!$C$3:$C$3390,$A410)&gt;0,1,0)</f>
        <v>0</v>
      </c>
      <c r="M410">
        <f>IF(COUNTIFS('United Data'!$A$3:$A$3390,M$1,'United Data'!$C$3:$C$3390,$A410)&gt;0,1,0)</f>
        <v>0</v>
      </c>
      <c r="N410">
        <f>IF(COUNTIFS('United Data'!$A$3:$A$3390,N$1,'United Data'!$C$3:$C$3390,$A410)&gt;0,1,0)</f>
        <v>0</v>
      </c>
      <c r="O410">
        <f>IF(COUNTIFS('United Data'!$A$3:$A$3390,O$1,'United Data'!$C$3:$C$3390,$A410)&gt;0,1,0)</f>
        <v>0</v>
      </c>
      <c r="P410">
        <f>IF(COUNTIFS('United Data'!$A$3:$A$3390,P$1,'United Data'!$C$3:$C$3390,$A410)&gt;0,1,0)</f>
        <v>0</v>
      </c>
      <c r="Q410">
        <f>IF(COUNTIFS('United Data'!$A$3:$A$3390,Q$1,'United Data'!$C$3:$C$3390,$A410)&gt;0,1,0)</f>
        <v>0</v>
      </c>
      <c r="R410">
        <f>IF(COUNTIFS('United Data'!$A$3:$A$3390,R$1,'United Data'!$C$3:$C$3390,$A410)&gt;0,1,0)</f>
        <v>0</v>
      </c>
      <c r="S410">
        <f t="shared" si="12"/>
        <v>1</v>
      </c>
      <c r="T410">
        <f t="shared" si="13"/>
        <v>1</v>
      </c>
    </row>
    <row r="411" spans="1:20" x14ac:dyDescent="0.2">
      <c r="A411" t="s">
        <v>514</v>
      </c>
      <c r="B411">
        <f>IF(COUNTIFS('United Data'!$A$3:$A$3390,B$1,'United Data'!$C$3:$C$3390,$A411)&gt;0,1,0)</f>
        <v>1</v>
      </c>
      <c r="C411">
        <f>IF(COUNTIFS('United Data'!$A$3:$A$3390,C$1,'United Data'!$C$3:$C$3390,$A411)&gt;0,1,0)</f>
        <v>0</v>
      </c>
      <c r="D411">
        <f>IF(COUNTIFS('United Data'!$A$3:$A$3390,D$1,'United Data'!$C$3:$C$3390,$A411)&gt;0,1,0)</f>
        <v>0</v>
      </c>
      <c r="E411">
        <f>IF(COUNTIFS('United Data'!$A$3:$A$3390,E$1,'United Data'!$C$3:$C$3390,$A411)&gt;0,1,0)</f>
        <v>0</v>
      </c>
      <c r="F411">
        <f>IF(COUNTIFS('United Data'!$A$3:$A$3390,F$1,'United Data'!$C$3:$C$3390,$A411)&gt;0,1,0)</f>
        <v>0</v>
      </c>
      <c r="G411">
        <f>IF(COUNTIFS('United Data'!$A$3:$A$3390,G$1,'United Data'!$C$3:$C$3390,$A411)&gt;0,1,0)</f>
        <v>0</v>
      </c>
      <c r="H411">
        <f>IF(COUNTIFS('United Data'!$A$3:$A$3390,H$1,'United Data'!$C$3:$C$3390,$A411)&gt;0,1,0)</f>
        <v>0</v>
      </c>
      <c r="I411">
        <f>IF(COUNTIFS('United Data'!$A$3:$A$3390,I$1,'United Data'!$C$3:$C$3390,$A411)&gt;0,1,0)</f>
        <v>0</v>
      </c>
      <c r="J411">
        <f>IF(COUNTIFS('United Data'!$A$3:$A$3390,J$1,'United Data'!$C$3:$C$3390,$A411)&gt;0,1,0)</f>
        <v>0</v>
      </c>
      <c r="K411">
        <f>IF(COUNTIFS('United Data'!$A$3:$A$3390,K$1,'United Data'!$C$3:$C$3390,$A411)&gt;0,1,0)</f>
        <v>0</v>
      </c>
      <c r="L411">
        <f>IF(COUNTIFS('United Data'!$A$3:$A$3390,L$1,'United Data'!$C$3:$C$3390,$A411)&gt;0,1,0)</f>
        <v>0</v>
      </c>
      <c r="M411">
        <f>IF(COUNTIFS('United Data'!$A$3:$A$3390,M$1,'United Data'!$C$3:$C$3390,$A411)&gt;0,1,0)</f>
        <v>0</v>
      </c>
      <c r="N411">
        <f>IF(COUNTIFS('United Data'!$A$3:$A$3390,N$1,'United Data'!$C$3:$C$3390,$A411)&gt;0,1,0)</f>
        <v>0</v>
      </c>
      <c r="O411">
        <f>IF(COUNTIFS('United Data'!$A$3:$A$3390,O$1,'United Data'!$C$3:$C$3390,$A411)&gt;0,1,0)</f>
        <v>0</v>
      </c>
      <c r="P411">
        <f>IF(COUNTIFS('United Data'!$A$3:$A$3390,P$1,'United Data'!$C$3:$C$3390,$A411)&gt;0,1,0)</f>
        <v>0</v>
      </c>
      <c r="Q411">
        <f>IF(COUNTIFS('United Data'!$A$3:$A$3390,Q$1,'United Data'!$C$3:$C$3390,$A411)&gt;0,1,0)</f>
        <v>0</v>
      </c>
      <c r="R411">
        <f>IF(COUNTIFS('United Data'!$A$3:$A$3390,R$1,'United Data'!$C$3:$C$3390,$A411)&gt;0,1,0)</f>
        <v>0</v>
      </c>
      <c r="S411">
        <f t="shared" si="12"/>
        <v>1</v>
      </c>
      <c r="T411">
        <f t="shared" si="13"/>
        <v>1</v>
      </c>
    </row>
    <row r="412" spans="1:20" x14ac:dyDescent="0.2">
      <c r="A412" t="s">
        <v>515</v>
      </c>
      <c r="B412">
        <f>IF(COUNTIFS('United Data'!$A$3:$A$3390,B$1,'United Data'!$C$3:$C$3390,$A412)&gt;0,1,0)</f>
        <v>1</v>
      </c>
      <c r="C412">
        <f>IF(COUNTIFS('United Data'!$A$3:$A$3390,C$1,'United Data'!$C$3:$C$3390,$A412)&gt;0,1,0)</f>
        <v>0</v>
      </c>
      <c r="D412">
        <f>IF(COUNTIFS('United Data'!$A$3:$A$3390,D$1,'United Data'!$C$3:$C$3390,$A412)&gt;0,1,0)</f>
        <v>0</v>
      </c>
      <c r="E412">
        <f>IF(COUNTIFS('United Data'!$A$3:$A$3390,E$1,'United Data'!$C$3:$C$3390,$A412)&gt;0,1,0)</f>
        <v>0</v>
      </c>
      <c r="F412">
        <f>IF(COUNTIFS('United Data'!$A$3:$A$3390,F$1,'United Data'!$C$3:$C$3390,$A412)&gt;0,1,0)</f>
        <v>0</v>
      </c>
      <c r="G412">
        <f>IF(COUNTIFS('United Data'!$A$3:$A$3390,G$1,'United Data'!$C$3:$C$3390,$A412)&gt;0,1,0)</f>
        <v>0</v>
      </c>
      <c r="H412">
        <f>IF(COUNTIFS('United Data'!$A$3:$A$3390,H$1,'United Data'!$C$3:$C$3390,$A412)&gt;0,1,0)</f>
        <v>0</v>
      </c>
      <c r="I412">
        <f>IF(COUNTIFS('United Data'!$A$3:$A$3390,I$1,'United Data'!$C$3:$C$3390,$A412)&gt;0,1,0)</f>
        <v>0</v>
      </c>
      <c r="J412">
        <f>IF(COUNTIFS('United Data'!$A$3:$A$3390,J$1,'United Data'!$C$3:$C$3390,$A412)&gt;0,1,0)</f>
        <v>0</v>
      </c>
      <c r="K412">
        <f>IF(COUNTIFS('United Data'!$A$3:$A$3390,K$1,'United Data'!$C$3:$C$3390,$A412)&gt;0,1,0)</f>
        <v>0</v>
      </c>
      <c r="L412">
        <f>IF(COUNTIFS('United Data'!$A$3:$A$3390,L$1,'United Data'!$C$3:$C$3390,$A412)&gt;0,1,0)</f>
        <v>0</v>
      </c>
      <c r="M412">
        <f>IF(COUNTIFS('United Data'!$A$3:$A$3390,M$1,'United Data'!$C$3:$C$3390,$A412)&gt;0,1,0)</f>
        <v>0</v>
      </c>
      <c r="N412">
        <f>IF(COUNTIFS('United Data'!$A$3:$A$3390,N$1,'United Data'!$C$3:$C$3390,$A412)&gt;0,1,0)</f>
        <v>0</v>
      </c>
      <c r="O412">
        <f>IF(COUNTIFS('United Data'!$A$3:$A$3390,O$1,'United Data'!$C$3:$C$3390,$A412)&gt;0,1,0)</f>
        <v>0</v>
      </c>
      <c r="P412">
        <f>IF(COUNTIFS('United Data'!$A$3:$A$3390,P$1,'United Data'!$C$3:$C$3390,$A412)&gt;0,1,0)</f>
        <v>0</v>
      </c>
      <c r="Q412">
        <f>IF(COUNTIFS('United Data'!$A$3:$A$3390,Q$1,'United Data'!$C$3:$C$3390,$A412)&gt;0,1,0)</f>
        <v>0</v>
      </c>
      <c r="R412">
        <f>IF(COUNTIFS('United Data'!$A$3:$A$3390,R$1,'United Data'!$C$3:$C$3390,$A412)&gt;0,1,0)</f>
        <v>0</v>
      </c>
      <c r="S412">
        <f t="shared" si="12"/>
        <v>1</v>
      </c>
      <c r="T412">
        <f t="shared" si="13"/>
        <v>1</v>
      </c>
    </row>
    <row r="413" spans="1:20" x14ac:dyDescent="0.2">
      <c r="A413" t="s">
        <v>516</v>
      </c>
      <c r="B413">
        <f>IF(COUNTIFS('United Data'!$A$3:$A$3390,B$1,'United Data'!$C$3:$C$3390,$A413)&gt;0,1,0)</f>
        <v>1</v>
      </c>
      <c r="C413">
        <f>IF(COUNTIFS('United Data'!$A$3:$A$3390,C$1,'United Data'!$C$3:$C$3390,$A413)&gt;0,1,0)</f>
        <v>0</v>
      </c>
      <c r="D413">
        <f>IF(COUNTIFS('United Data'!$A$3:$A$3390,D$1,'United Data'!$C$3:$C$3390,$A413)&gt;0,1,0)</f>
        <v>0</v>
      </c>
      <c r="E413">
        <f>IF(COUNTIFS('United Data'!$A$3:$A$3390,E$1,'United Data'!$C$3:$C$3390,$A413)&gt;0,1,0)</f>
        <v>0</v>
      </c>
      <c r="F413">
        <f>IF(COUNTIFS('United Data'!$A$3:$A$3390,F$1,'United Data'!$C$3:$C$3390,$A413)&gt;0,1,0)</f>
        <v>0</v>
      </c>
      <c r="G413">
        <f>IF(COUNTIFS('United Data'!$A$3:$A$3390,G$1,'United Data'!$C$3:$C$3390,$A413)&gt;0,1,0)</f>
        <v>0</v>
      </c>
      <c r="H413">
        <f>IF(COUNTIFS('United Data'!$A$3:$A$3390,H$1,'United Data'!$C$3:$C$3390,$A413)&gt;0,1,0)</f>
        <v>0</v>
      </c>
      <c r="I413">
        <f>IF(COUNTIFS('United Data'!$A$3:$A$3390,I$1,'United Data'!$C$3:$C$3390,$A413)&gt;0,1,0)</f>
        <v>0</v>
      </c>
      <c r="J413">
        <f>IF(COUNTIFS('United Data'!$A$3:$A$3390,J$1,'United Data'!$C$3:$C$3390,$A413)&gt;0,1,0)</f>
        <v>0</v>
      </c>
      <c r="K413">
        <f>IF(COUNTIFS('United Data'!$A$3:$A$3390,K$1,'United Data'!$C$3:$C$3390,$A413)&gt;0,1,0)</f>
        <v>0</v>
      </c>
      <c r="L413">
        <f>IF(COUNTIFS('United Data'!$A$3:$A$3390,L$1,'United Data'!$C$3:$C$3390,$A413)&gt;0,1,0)</f>
        <v>0</v>
      </c>
      <c r="M413">
        <f>IF(COUNTIFS('United Data'!$A$3:$A$3390,M$1,'United Data'!$C$3:$C$3390,$A413)&gt;0,1,0)</f>
        <v>0</v>
      </c>
      <c r="N413">
        <f>IF(COUNTIFS('United Data'!$A$3:$A$3390,N$1,'United Data'!$C$3:$C$3390,$A413)&gt;0,1,0)</f>
        <v>0</v>
      </c>
      <c r="O413">
        <f>IF(COUNTIFS('United Data'!$A$3:$A$3390,O$1,'United Data'!$C$3:$C$3390,$A413)&gt;0,1,0)</f>
        <v>0</v>
      </c>
      <c r="P413">
        <f>IF(COUNTIFS('United Data'!$A$3:$A$3390,P$1,'United Data'!$C$3:$C$3390,$A413)&gt;0,1,0)</f>
        <v>0</v>
      </c>
      <c r="Q413">
        <f>IF(COUNTIFS('United Data'!$A$3:$A$3390,Q$1,'United Data'!$C$3:$C$3390,$A413)&gt;0,1,0)</f>
        <v>0</v>
      </c>
      <c r="R413">
        <f>IF(COUNTIFS('United Data'!$A$3:$A$3390,R$1,'United Data'!$C$3:$C$3390,$A413)&gt;0,1,0)</f>
        <v>0</v>
      </c>
      <c r="S413">
        <f t="shared" si="12"/>
        <v>1</v>
      </c>
      <c r="T413">
        <f t="shared" si="13"/>
        <v>1</v>
      </c>
    </row>
    <row r="414" spans="1:20" x14ac:dyDescent="0.2">
      <c r="A414" t="s">
        <v>517</v>
      </c>
      <c r="B414">
        <f>IF(COUNTIFS('United Data'!$A$3:$A$3390,B$1,'United Data'!$C$3:$C$3390,$A414)&gt;0,1,0)</f>
        <v>1</v>
      </c>
      <c r="C414">
        <f>IF(COUNTIFS('United Data'!$A$3:$A$3390,C$1,'United Data'!$C$3:$C$3390,$A414)&gt;0,1,0)</f>
        <v>0</v>
      </c>
      <c r="D414">
        <f>IF(COUNTIFS('United Data'!$A$3:$A$3390,D$1,'United Data'!$C$3:$C$3390,$A414)&gt;0,1,0)</f>
        <v>0</v>
      </c>
      <c r="E414">
        <f>IF(COUNTIFS('United Data'!$A$3:$A$3390,E$1,'United Data'!$C$3:$C$3390,$A414)&gt;0,1,0)</f>
        <v>0</v>
      </c>
      <c r="F414">
        <f>IF(COUNTIFS('United Data'!$A$3:$A$3390,F$1,'United Data'!$C$3:$C$3390,$A414)&gt;0,1,0)</f>
        <v>0</v>
      </c>
      <c r="G414">
        <f>IF(COUNTIFS('United Data'!$A$3:$A$3390,G$1,'United Data'!$C$3:$C$3390,$A414)&gt;0,1,0)</f>
        <v>0</v>
      </c>
      <c r="H414">
        <f>IF(COUNTIFS('United Data'!$A$3:$A$3390,H$1,'United Data'!$C$3:$C$3390,$A414)&gt;0,1,0)</f>
        <v>0</v>
      </c>
      <c r="I414">
        <f>IF(COUNTIFS('United Data'!$A$3:$A$3390,I$1,'United Data'!$C$3:$C$3390,$A414)&gt;0,1,0)</f>
        <v>0</v>
      </c>
      <c r="J414">
        <f>IF(COUNTIFS('United Data'!$A$3:$A$3390,J$1,'United Data'!$C$3:$C$3390,$A414)&gt;0,1,0)</f>
        <v>0</v>
      </c>
      <c r="K414">
        <f>IF(COUNTIFS('United Data'!$A$3:$A$3390,K$1,'United Data'!$C$3:$C$3390,$A414)&gt;0,1,0)</f>
        <v>0</v>
      </c>
      <c r="L414">
        <f>IF(COUNTIFS('United Data'!$A$3:$A$3390,L$1,'United Data'!$C$3:$C$3390,$A414)&gt;0,1,0)</f>
        <v>0</v>
      </c>
      <c r="M414">
        <f>IF(COUNTIFS('United Data'!$A$3:$A$3390,M$1,'United Data'!$C$3:$C$3390,$A414)&gt;0,1,0)</f>
        <v>0</v>
      </c>
      <c r="N414">
        <f>IF(COUNTIFS('United Data'!$A$3:$A$3390,N$1,'United Data'!$C$3:$C$3390,$A414)&gt;0,1,0)</f>
        <v>0</v>
      </c>
      <c r="O414">
        <f>IF(COUNTIFS('United Data'!$A$3:$A$3390,O$1,'United Data'!$C$3:$C$3390,$A414)&gt;0,1,0)</f>
        <v>0</v>
      </c>
      <c r="P414">
        <f>IF(COUNTIFS('United Data'!$A$3:$A$3390,P$1,'United Data'!$C$3:$C$3390,$A414)&gt;0,1,0)</f>
        <v>0</v>
      </c>
      <c r="Q414">
        <f>IF(COUNTIFS('United Data'!$A$3:$A$3390,Q$1,'United Data'!$C$3:$C$3390,$A414)&gt;0,1,0)</f>
        <v>0</v>
      </c>
      <c r="R414">
        <f>IF(COUNTIFS('United Data'!$A$3:$A$3390,R$1,'United Data'!$C$3:$C$3390,$A414)&gt;0,1,0)</f>
        <v>0</v>
      </c>
      <c r="S414">
        <f t="shared" si="12"/>
        <v>1</v>
      </c>
      <c r="T414">
        <f t="shared" si="13"/>
        <v>1</v>
      </c>
    </row>
    <row r="415" spans="1:20" x14ac:dyDescent="0.2">
      <c r="A415" t="s">
        <v>518</v>
      </c>
      <c r="B415">
        <f>IF(COUNTIFS('United Data'!$A$3:$A$3390,B$1,'United Data'!$C$3:$C$3390,$A415)&gt;0,1,0)</f>
        <v>0</v>
      </c>
      <c r="C415">
        <f>IF(COUNTIFS('United Data'!$A$3:$A$3390,C$1,'United Data'!$C$3:$C$3390,$A415)&gt;0,1,0)</f>
        <v>1</v>
      </c>
      <c r="D415">
        <f>IF(COUNTIFS('United Data'!$A$3:$A$3390,D$1,'United Data'!$C$3:$C$3390,$A415)&gt;0,1,0)</f>
        <v>0</v>
      </c>
      <c r="E415">
        <f>IF(COUNTIFS('United Data'!$A$3:$A$3390,E$1,'United Data'!$C$3:$C$3390,$A415)&gt;0,1,0)</f>
        <v>1</v>
      </c>
      <c r="F415">
        <f>IF(COUNTIFS('United Data'!$A$3:$A$3390,F$1,'United Data'!$C$3:$C$3390,$A415)&gt;0,1,0)</f>
        <v>1</v>
      </c>
      <c r="G415">
        <f>IF(COUNTIFS('United Data'!$A$3:$A$3390,G$1,'United Data'!$C$3:$C$3390,$A415)&gt;0,1,0)</f>
        <v>1</v>
      </c>
      <c r="H415">
        <f>IF(COUNTIFS('United Data'!$A$3:$A$3390,H$1,'United Data'!$C$3:$C$3390,$A415)&gt;0,1,0)</f>
        <v>0</v>
      </c>
      <c r="I415">
        <f>IF(COUNTIFS('United Data'!$A$3:$A$3390,I$1,'United Data'!$C$3:$C$3390,$A415)&gt;0,1,0)</f>
        <v>0</v>
      </c>
      <c r="J415">
        <f>IF(COUNTIFS('United Data'!$A$3:$A$3390,J$1,'United Data'!$C$3:$C$3390,$A415)&gt;0,1,0)</f>
        <v>0</v>
      </c>
      <c r="K415">
        <f>IF(COUNTIFS('United Data'!$A$3:$A$3390,K$1,'United Data'!$C$3:$C$3390,$A415)&gt;0,1,0)</f>
        <v>0</v>
      </c>
      <c r="L415">
        <f>IF(COUNTIFS('United Data'!$A$3:$A$3390,L$1,'United Data'!$C$3:$C$3390,$A415)&gt;0,1,0)</f>
        <v>0</v>
      </c>
      <c r="M415">
        <f>IF(COUNTIFS('United Data'!$A$3:$A$3390,M$1,'United Data'!$C$3:$C$3390,$A415)&gt;0,1,0)</f>
        <v>0</v>
      </c>
      <c r="N415">
        <f>IF(COUNTIFS('United Data'!$A$3:$A$3390,N$1,'United Data'!$C$3:$C$3390,$A415)&gt;0,1,0)</f>
        <v>0</v>
      </c>
      <c r="O415">
        <f>IF(COUNTIFS('United Data'!$A$3:$A$3390,O$1,'United Data'!$C$3:$C$3390,$A415)&gt;0,1,0)</f>
        <v>0</v>
      </c>
      <c r="P415">
        <f>IF(COUNTIFS('United Data'!$A$3:$A$3390,P$1,'United Data'!$C$3:$C$3390,$A415)&gt;0,1,0)</f>
        <v>0</v>
      </c>
      <c r="Q415">
        <f>IF(COUNTIFS('United Data'!$A$3:$A$3390,Q$1,'United Data'!$C$3:$C$3390,$A415)&gt;0,1,0)</f>
        <v>0</v>
      </c>
      <c r="R415">
        <f>IF(COUNTIFS('United Data'!$A$3:$A$3390,R$1,'United Data'!$C$3:$C$3390,$A415)&gt;0,1,0)</f>
        <v>0</v>
      </c>
      <c r="S415">
        <f t="shared" si="12"/>
        <v>4</v>
      </c>
      <c r="T415">
        <f t="shared" si="13"/>
        <v>2</v>
      </c>
    </row>
    <row r="416" spans="1:20" x14ac:dyDescent="0.2">
      <c r="A416" t="s">
        <v>519</v>
      </c>
      <c r="B416">
        <f>IF(COUNTIFS('United Data'!$A$3:$A$3390,B$1,'United Data'!$C$3:$C$3390,$A416)&gt;0,1,0)</f>
        <v>0</v>
      </c>
      <c r="C416">
        <f>IF(COUNTIFS('United Data'!$A$3:$A$3390,C$1,'United Data'!$C$3:$C$3390,$A416)&gt;0,1,0)</f>
        <v>1</v>
      </c>
      <c r="D416">
        <f>IF(COUNTIFS('United Data'!$A$3:$A$3390,D$1,'United Data'!$C$3:$C$3390,$A416)&gt;0,1,0)</f>
        <v>0</v>
      </c>
      <c r="E416">
        <f>IF(COUNTIFS('United Data'!$A$3:$A$3390,E$1,'United Data'!$C$3:$C$3390,$A416)&gt;0,1,0)</f>
        <v>0</v>
      </c>
      <c r="F416">
        <f>IF(COUNTIFS('United Data'!$A$3:$A$3390,F$1,'United Data'!$C$3:$C$3390,$A416)&gt;0,1,0)</f>
        <v>0</v>
      </c>
      <c r="G416">
        <f>IF(COUNTIFS('United Data'!$A$3:$A$3390,G$1,'United Data'!$C$3:$C$3390,$A416)&gt;0,1,0)</f>
        <v>0</v>
      </c>
      <c r="H416">
        <f>IF(COUNTIFS('United Data'!$A$3:$A$3390,H$1,'United Data'!$C$3:$C$3390,$A416)&gt;0,1,0)</f>
        <v>0</v>
      </c>
      <c r="I416">
        <f>IF(COUNTIFS('United Data'!$A$3:$A$3390,I$1,'United Data'!$C$3:$C$3390,$A416)&gt;0,1,0)</f>
        <v>0</v>
      </c>
      <c r="J416">
        <f>IF(COUNTIFS('United Data'!$A$3:$A$3390,J$1,'United Data'!$C$3:$C$3390,$A416)&gt;0,1,0)</f>
        <v>0</v>
      </c>
      <c r="K416">
        <f>IF(COUNTIFS('United Data'!$A$3:$A$3390,K$1,'United Data'!$C$3:$C$3390,$A416)&gt;0,1,0)</f>
        <v>0</v>
      </c>
      <c r="L416">
        <f>IF(COUNTIFS('United Data'!$A$3:$A$3390,L$1,'United Data'!$C$3:$C$3390,$A416)&gt;0,1,0)</f>
        <v>0</v>
      </c>
      <c r="M416">
        <f>IF(COUNTIFS('United Data'!$A$3:$A$3390,M$1,'United Data'!$C$3:$C$3390,$A416)&gt;0,1,0)</f>
        <v>0</v>
      </c>
      <c r="N416">
        <f>IF(COUNTIFS('United Data'!$A$3:$A$3390,N$1,'United Data'!$C$3:$C$3390,$A416)&gt;0,1,0)</f>
        <v>0</v>
      </c>
      <c r="O416">
        <f>IF(COUNTIFS('United Data'!$A$3:$A$3390,O$1,'United Data'!$C$3:$C$3390,$A416)&gt;0,1,0)</f>
        <v>0</v>
      </c>
      <c r="P416">
        <f>IF(COUNTIFS('United Data'!$A$3:$A$3390,P$1,'United Data'!$C$3:$C$3390,$A416)&gt;0,1,0)</f>
        <v>0</v>
      </c>
      <c r="Q416">
        <f>IF(COUNTIFS('United Data'!$A$3:$A$3390,Q$1,'United Data'!$C$3:$C$3390,$A416)&gt;0,1,0)</f>
        <v>0</v>
      </c>
      <c r="R416">
        <f>IF(COUNTIFS('United Data'!$A$3:$A$3390,R$1,'United Data'!$C$3:$C$3390,$A416)&gt;0,1,0)</f>
        <v>0</v>
      </c>
      <c r="S416">
        <f t="shared" si="12"/>
        <v>1</v>
      </c>
      <c r="T416">
        <f t="shared" si="13"/>
        <v>1</v>
      </c>
    </row>
    <row r="417" spans="1:20" x14ac:dyDescent="0.2">
      <c r="A417" t="s">
        <v>520</v>
      </c>
      <c r="B417">
        <f>IF(COUNTIFS('United Data'!$A$3:$A$3390,B$1,'United Data'!$C$3:$C$3390,$A417)&gt;0,1,0)</f>
        <v>0</v>
      </c>
      <c r="C417">
        <f>IF(COUNTIFS('United Data'!$A$3:$A$3390,C$1,'United Data'!$C$3:$C$3390,$A417)&gt;0,1,0)</f>
        <v>1</v>
      </c>
      <c r="D417">
        <f>IF(COUNTIFS('United Data'!$A$3:$A$3390,D$1,'United Data'!$C$3:$C$3390,$A417)&gt;0,1,0)</f>
        <v>0</v>
      </c>
      <c r="E417">
        <f>IF(COUNTIFS('United Data'!$A$3:$A$3390,E$1,'United Data'!$C$3:$C$3390,$A417)&gt;0,1,0)</f>
        <v>0</v>
      </c>
      <c r="F417">
        <f>IF(COUNTIFS('United Data'!$A$3:$A$3390,F$1,'United Data'!$C$3:$C$3390,$A417)&gt;0,1,0)</f>
        <v>0</v>
      </c>
      <c r="G417">
        <f>IF(COUNTIFS('United Data'!$A$3:$A$3390,G$1,'United Data'!$C$3:$C$3390,$A417)&gt;0,1,0)</f>
        <v>0</v>
      </c>
      <c r="H417">
        <f>IF(COUNTIFS('United Data'!$A$3:$A$3390,H$1,'United Data'!$C$3:$C$3390,$A417)&gt;0,1,0)</f>
        <v>0</v>
      </c>
      <c r="I417">
        <f>IF(COUNTIFS('United Data'!$A$3:$A$3390,I$1,'United Data'!$C$3:$C$3390,$A417)&gt;0,1,0)</f>
        <v>0</v>
      </c>
      <c r="J417">
        <f>IF(COUNTIFS('United Data'!$A$3:$A$3390,J$1,'United Data'!$C$3:$C$3390,$A417)&gt;0,1,0)</f>
        <v>0</v>
      </c>
      <c r="K417">
        <f>IF(COUNTIFS('United Data'!$A$3:$A$3390,K$1,'United Data'!$C$3:$C$3390,$A417)&gt;0,1,0)</f>
        <v>0</v>
      </c>
      <c r="L417">
        <f>IF(COUNTIFS('United Data'!$A$3:$A$3390,L$1,'United Data'!$C$3:$C$3390,$A417)&gt;0,1,0)</f>
        <v>0</v>
      </c>
      <c r="M417">
        <f>IF(COUNTIFS('United Data'!$A$3:$A$3390,M$1,'United Data'!$C$3:$C$3390,$A417)&gt;0,1,0)</f>
        <v>0</v>
      </c>
      <c r="N417">
        <f>IF(COUNTIFS('United Data'!$A$3:$A$3390,N$1,'United Data'!$C$3:$C$3390,$A417)&gt;0,1,0)</f>
        <v>0</v>
      </c>
      <c r="O417">
        <f>IF(COUNTIFS('United Data'!$A$3:$A$3390,O$1,'United Data'!$C$3:$C$3390,$A417)&gt;0,1,0)</f>
        <v>0</v>
      </c>
      <c r="P417">
        <f>IF(COUNTIFS('United Data'!$A$3:$A$3390,P$1,'United Data'!$C$3:$C$3390,$A417)&gt;0,1,0)</f>
        <v>0</v>
      </c>
      <c r="Q417">
        <f>IF(COUNTIFS('United Data'!$A$3:$A$3390,Q$1,'United Data'!$C$3:$C$3390,$A417)&gt;0,1,0)</f>
        <v>0</v>
      </c>
      <c r="R417">
        <f>IF(COUNTIFS('United Data'!$A$3:$A$3390,R$1,'United Data'!$C$3:$C$3390,$A417)&gt;0,1,0)</f>
        <v>0</v>
      </c>
      <c r="S417">
        <f t="shared" si="12"/>
        <v>1</v>
      </c>
      <c r="T417">
        <f t="shared" si="13"/>
        <v>1</v>
      </c>
    </row>
    <row r="418" spans="1:20" x14ac:dyDescent="0.2">
      <c r="A418" t="s">
        <v>521</v>
      </c>
      <c r="B418">
        <f>IF(COUNTIFS('United Data'!$A$3:$A$3390,B$1,'United Data'!$C$3:$C$3390,$A418)&gt;0,1,0)</f>
        <v>0</v>
      </c>
      <c r="C418">
        <f>IF(COUNTIFS('United Data'!$A$3:$A$3390,C$1,'United Data'!$C$3:$C$3390,$A418)&gt;0,1,0)</f>
        <v>1</v>
      </c>
      <c r="D418">
        <f>IF(COUNTIFS('United Data'!$A$3:$A$3390,D$1,'United Data'!$C$3:$C$3390,$A418)&gt;0,1,0)</f>
        <v>0</v>
      </c>
      <c r="E418">
        <f>IF(COUNTIFS('United Data'!$A$3:$A$3390,E$1,'United Data'!$C$3:$C$3390,$A418)&gt;0,1,0)</f>
        <v>0</v>
      </c>
      <c r="F418">
        <f>IF(COUNTIFS('United Data'!$A$3:$A$3390,F$1,'United Data'!$C$3:$C$3390,$A418)&gt;0,1,0)</f>
        <v>0</v>
      </c>
      <c r="G418">
        <f>IF(COUNTIFS('United Data'!$A$3:$A$3390,G$1,'United Data'!$C$3:$C$3390,$A418)&gt;0,1,0)</f>
        <v>0</v>
      </c>
      <c r="H418">
        <f>IF(COUNTIFS('United Data'!$A$3:$A$3390,H$1,'United Data'!$C$3:$C$3390,$A418)&gt;0,1,0)</f>
        <v>0</v>
      </c>
      <c r="I418">
        <f>IF(COUNTIFS('United Data'!$A$3:$A$3390,I$1,'United Data'!$C$3:$C$3390,$A418)&gt;0,1,0)</f>
        <v>0</v>
      </c>
      <c r="J418">
        <f>IF(COUNTIFS('United Data'!$A$3:$A$3390,J$1,'United Data'!$C$3:$C$3390,$A418)&gt;0,1,0)</f>
        <v>0</v>
      </c>
      <c r="K418">
        <f>IF(COUNTIFS('United Data'!$A$3:$A$3390,K$1,'United Data'!$C$3:$C$3390,$A418)&gt;0,1,0)</f>
        <v>0</v>
      </c>
      <c r="L418">
        <f>IF(COUNTIFS('United Data'!$A$3:$A$3390,L$1,'United Data'!$C$3:$C$3390,$A418)&gt;0,1,0)</f>
        <v>0</v>
      </c>
      <c r="M418">
        <f>IF(COUNTIFS('United Data'!$A$3:$A$3390,M$1,'United Data'!$C$3:$C$3390,$A418)&gt;0,1,0)</f>
        <v>0</v>
      </c>
      <c r="N418">
        <f>IF(COUNTIFS('United Data'!$A$3:$A$3390,N$1,'United Data'!$C$3:$C$3390,$A418)&gt;0,1,0)</f>
        <v>0</v>
      </c>
      <c r="O418">
        <f>IF(COUNTIFS('United Data'!$A$3:$A$3390,O$1,'United Data'!$C$3:$C$3390,$A418)&gt;0,1,0)</f>
        <v>0</v>
      </c>
      <c r="P418">
        <f>IF(COUNTIFS('United Data'!$A$3:$A$3390,P$1,'United Data'!$C$3:$C$3390,$A418)&gt;0,1,0)</f>
        <v>0</v>
      </c>
      <c r="Q418">
        <f>IF(COUNTIFS('United Data'!$A$3:$A$3390,Q$1,'United Data'!$C$3:$C$3390,$A418)&gt;0,1,0)</f>
        <v>0</v>
      </c>
      <c r="R418">
        <f>IF(COUNTIFS('United Data'!$A$3:$A$3390,R$1,'United Data'!$C$3:$C$3390,$A418)&gt;0,1,0)</f>
        <v>0</v>
      </c>
      <c r="S418">
        <f t="shared" si="12"/>
        <v>1</v>
      </c>
      <c r="T418">
        <f t="shared" si="13"/>
        <v>1</v>
      </c>
    </row>
    <row r="419" spans="1:20" x14ac:dyDescent="0.2">
      <c r="A419" t="s">
        <v>522</v>
      </c>
      <c r="B419">
        <f>IF(COUNTIFS('United Data'!$A$3:$A$3390,B$1,'United Data'!$C$3:$C$3390,$A419)&gt;0,1,0)</f>
        <v>0</v>
      </c>
      <c r="C419">
        <f>IF(COUNTIFS('United Data'!$A$3:$A$3390,C$1,'United Data'!$C$3:$C$3390,$A419)&gt;0,1,0)</f>
        <v>0</v>
      </c>
      <c r="D419">
        <f>IF(COUNTIFS('United Data'!$A$3:$A$3390,D$1,'United Data'!$C$3:$C$3390,$A419)&gt;0,1,0)</f>
        <v>1</v>
      </c>
      <c r="E419">
        <f>IF(COUNTIFS('United Data'!$A$3:$A$3390,E$1,'United Data'!$C$3:$C$3390,$A419)&gt;0,1,0)</f>
        <v>0</v>
      </c>
      <c r="F419">
        <f>IF(COUNTIFS('United Data'!$A$3:$A$3390,F$1,'United Data'!$C$3:$C$3390,$A419)&gt;0,1,0)</f>
        <v>0</v>
      </c>
      <c r="G419">
        <f>IF(COUNTIFS('United Data'!$A$3:$A$3390,G$1,'United Data'!$C$3:$C$3390,$A419)&gt;0,1,0)</f>
        <v>0</v>
      </c>
      <c r="H419">
        <f>IF(COUNTIFS('United Data'!$A$3:$A$3390,H$1,'United Data'!$C$3:$C$3390,$A419)&gt;0,1,0)</f>
        <v>0</v>
      </c>
      <c r="I419">
        <f>IF(COUNTIFS('United Data'!$A$3:$A$3390,I$1,'United Data'!$C$3:$C$3390,$A419)&gt;0,1,0)</f>
        <v>0</v>
      </c>
      <c r="J419">
        <f>IF(COUNTIFS('United Data'!$A$3:$A$3390,J$1,'United Data'!$C$3:$C$3390,$A419)&gt;0,1,0)</f>
        <v>0</v>
      </c>
      <c r="K419">
        <f>IF(COUNTIFS('United Data'!$A$3:$A$3390,K$1,'United Data'!$C$3:$C$3390,$A419)&gt;0,1,0)</f>
        <v>0</v>
      </c>
      <c r="L419">
        <f>IF(COUNTIFS('United Data'!$A$3:$A$3390,L$1,'United Data'!$C$3:$C$3390,$A419)&gt;0,1,0)</f>
        <v>0</v>
      </c>
      <c r="M419">
        <f>IF(COUNTIFS('United Data'!$A$3:$A$3390,M$1,'United Data'!$C$3:$C$3390,$A419)&gt;0,1,0)</f>
        <v>0</v>
      </c>
      <c r="N419">
        <f>IF(COUNTIFS('United Data'!$A$3:$A$3390,N$1,'United Data'!$C$3:$C$3390,$A419)&gt;0,1,0)</f>
        <v>0</v>
      </c>
      <c r="O419">
        <f>IF(COUNTIFS('United Data'!$A$3:$A$3390,O$1,'United Data'!$C$3:$C$3390,$A419)&gt;0,1,0)</f>
        <v>0</v>
      </c>
      <c r="P419">
        <f>IF(COUNTIFS('United Data'!$A$3:$A$3390,P$1,'United Data'!$C$3:$C$3390,$A419)&gt;0,1,0)</f>
        <v>0</v>
      </c>
      <c r="Q419">
        <f>IF(COUNTIFS('United Data'!$A$3:$A$3390,Q$1,'United Data'!$C$3:$C$3390,$A419)&gt;0,1,0)</f>
        <v>0</v>
      </c>
      <c r="R419">
        <f>IF(COUNTIFS('United Data'!$A$3:$A$3390,R$1,'United Data'!$C$3:$C$3390,$A419)&gt;0,1,0)</f>
        <v>0</v>
      </c>
      <c r="S419">
        <f t="shared" si="12"/>
        <v>1</v>
      </c>
      <c r="T419">
        <f t="shared" si="13"/>
        <v>1</v>
      </c>
    </row>
    <row r="420" spans="1:20" x14ac:dyDescent="0.2">
      <c r="A420" t="s">
        <v>523</v>
      </c>
      <c r="B420">
        <f>IF(COUNTIFS('United Data'!$A$3:$A$3390,B$1,'United Data'!$C$3:$C$3390,$A420)&gt;0,1,0)</f>
        <v>0</v>
      </c>
      <c r="C420">
        <f>IF(COUNTIFS('United Data'!$A$3:$A$3390,C$1,'United Data'!$C$3:$C$3390,$A420)&gt;0,1,0)</f>
        <v>0</v>
      </c>
      <c r="D420">
        <f>IF(COUNTIFS('United Data'!$A$3:$A$3390,D$1,'United Data'!$C$3:$C$3390,$A420)&gt;0,1,0)</f>
        <v>1</v>
      </c>
      <c r="E420">
        <f>IF(COUNTIFS('United Data'!$A$3:$A$3390,E$1,'United Data'!$C$3:$C$3390,$A420)&gt;0,1,0)</f>
        <v>1</v>
      </c>
      <c r="F420">
        <f>IF(COUNTIFS('United Data'!$A$3:$A$3390,F$1,'United Data'!$C$3:$C$3390,$A420)&gt;0,1,0)</f>
        <v>0</v>
      </c>
      <c r="G420">
        <f>IF(COUNTIFS('United Data'!$A$3:$A$3390,G$1,'United Data'!$C$3:$C$3390,$A420)&gt;0,1,0)</f>
        <v>0</v>
      </c>
      <c r="H420">
        <f>IF(COUNTIFS('United Data'!$A$3:$A$3390,H$1,'United Data'!$C$3:$C$3390,$A420)&gt;0,1,0)</f>
        <v>0</v>
      </c>
      <c r="I420">
        <f>IF(COUNTIFS('United Data'!$A$3:$A$3390,I$1,'United Data'!$C$3:$C$3390,$A420)&gt;0,1,0)</f>
        <v>0</v>
      </c>
      <c r="J420">
        <f>IF(COUNTIFS('United Data'!$A$3:$A$3390,J$1,'United Data'!$C$3:$C$3390,$A420)&gt;0,1,0)</f>
        <v>0</v>
      </c>
      <c r="K420">
        <f>IF(COUNTIFS('United Data'!$A$3:$A$3390,K$1,'United Data'!$C$3:$C$3390,$A420)&gt;0,1,0)</f>
        <v>0</v>
      </c>
      <c r="L420">
        <f>IF(COUNTIFS('United Data'!$A$3:$A$3390,L$1,'United Data'!$C$3:$C$3390,$A420)&gt;0,1,0)</f>
        <v>0</v>
      </c>
      <c r="M420">
        <f>IF(COUNTIFS('United Data'!$A$3:$A$3390,M$1,'United Data'!$C$3:$C$3390,$A420)&gt;0,1,0)</f>
        <v>0</v>
      </c>
      <c r="N420">
        <f>IF(COUNTIFS('United Data'!$A$3:$A$3390,N$1,'United Data'!$C$3:$C$3390,$A420)&gt;0,1,0)</f>
        <v>0</v>
      </c>
      <c r="O420">
        <f>IF(COUNTIFS('United Data'!$A$3:$A$3390,O$1,'United Data'!$C$3:$C$3390,$A420)&gt;0,1,0)</f>
        <v>0</v>
      </c>
      <c r="P420">
        <f>IF(COUNTIFS('United Data'!$A$3:$A$3390,P$1,'United Data'!$C$3:$C$3390,$A420)&gt;0,1,0)</f>
        <v>0</v>
      </c>
      <c r="Q420">
        <f>IF(COUNTIFS('United Data'!$A$3:$A$3390,Q$1,'United Data'!$C$3:$C$3390,$A420)&gt;0,1,0)</f>
        <v>0</v>
      </c>
      <c r="R420">
        <f>IF(COUNTIFS('United Data'!$A$3:$A$3390,R$1,'United Data'!$C$3:$C$3390,$A420)&gt;0,1,0)</f>
        <v>0</v>
      </c>
      <c r="S420">
        <f t="shared" si="12"/>
        <v>2</v>
      </c>
      <c r="T420">
        <f t="shared" si="13"/>
        <v>1</v>
      </c>
    </row>
    <row r="421" spans="1:20" x14ac:dyDescent="0.2">
      <c r="A421" t="s">
        <v>524</v>
      </c>
      <c r="B421">
        <f>IF(COUNTIFS('United Data'!$A$3:$A$3390,B$1,'United Data'!$C$3:$C$3390,$A421)&gt;0,1,0)</f>
        <v>0</v>
      </c>
      <c r="C421">
        <f>IF(COUNTIFS('United Data'!$A$3:$A$3390,C$1,'United Data'!$C$3:$C$3390,$A421)&gt;0,1,0)</f>
        <v>0</v>
      </c>
      <c r="D421">
        <f>IF(COUNTIFS('United Data'!$A$3:$A$3390,D$1,'United Data'!$C$3:$C$3390,$A421)&gt;0,1,0)</f>
        <v>1</v>
      </c>
      <c r="E421">
        <f>IF(COUNTIFS('United Data'!$A$3:$A$3390,E$1,'United Data'!$C$3:$C$3390,$A421)&gt;0,1,0)</f>
        <v>0</v>
      </c>
      <c r="F421">
        <f>IF(COUNTIFS('United Data'!$A$3:$A$3390,F$1,'United Data'!$C$3:$C$3390,$A421)&gt;0,1,0)</f>
        <v>0</v>
      </c>
      <c r="G421">
        <f>IF(COUNTIFS('United Data'!$A$3:$A$3390,G$1,'United Data'!$C$3:$C$3390,$A421)&gt;0,1,0)</f>
        <v>0</v>
      </c>
      <c r="H421">
        <f>IF(COUNTIFS('United Data'!$A$3:$A$3390,H$1,'United Data'!$C$3:$C$3390,$A421)&gt;0,1,0)</f>
        <v>0</v>
      </c>
      <c r="I421">
        <f>IF(COUNTIFS('United Data'!$A$3:$A$3390,I$1,'United Data'!$C$3:$C$3390,$A421)&gt;0,1,0)</f>
        <v>0</v>
      </c>
      <c r="J421">
        <f>IF(COUNTIFS('United Data'!$A$3:$A$3390,J$1,'United Data'!$C$3:$C$3390,$A421)&gt;0,1,0)</f>
        <v>0</v>
      </c>
      <c r="K421">
        <f>IF(COUNTIFS('United Data'!$A$3:$A$3390,K$1,'United Data'!$C$3:$C$3390,$A421)&gt;0,1,0)</f>
        <v>0</v>
      </c>
      <c r="L421">
        <f>IF(COUNTIFS('United Data'!$A$3:$A$3390,L$1,'United Data'!$C$3:$C$3390,$A421)&gt;0,1,0)</f>
        <v>0</v>
      </c>
      <c r="M421">
        <f>IF(COUNTIFS('United Data'!$A$3:$A$3390,M$1,'United Data'!$C$3:$C$3390,$A421)&gt;0,1,0)</f>
        <v>0</v>
      </c>
      <c r="N421">
        <f>IF(COUNTIFS('United Data'!$A$3:$A$3390,N$1,'United Data'!$C$3:$C$3390,$A421)&gt;0,1,0)</f>
        <v>0</v>
      </c>
      <c r="O421">
        <f>IF(COUNTIFS('United Data'!$A$3:$A$3390,O$1,'United Data'!$C$3:$C$3390,$A421)&gt;0,1,0)</f>
        <v>0</v>
      </c>
      <c r="P421">
        <f>IF(COUNTIFS('United Data'!$A$3:$A$3390,P$1,'United Data'!$C$3:$C$3390,$A421)&gt;0,1,0)</f>
        <v>0</v>
      </c>
      <c r="Q421">
        <f>IF(COUNTIFS('United Data'!$A$3:$A$3390,Q$1,'United Data'!$C$3:$C$3390,$A421)&gt;0,1,0)</f>
        <v>0</v>
      </c>
      <c r="R421">
        <f>IF(COUNTIFS('United Data'!$A$3:$A$3390,R$1,'United Data'!$C$3:$C$3390,$A421)&gt;0,1,0)</f>
        <v>0</v>
      </c>
      <c r="S421">
        <f t="shared" si="12"/>
        <v>1</v>
      </c>
      <c r="T421">
        <f t="shared" si="13"/>
        <v>1</v>
      </c>
    </row>
    <row r="422" spans="1:20" x14ac:dyDescent="0.2">
      <c r="A422" t="s">
        <v>525</v>
      </c>
      <c r="B422">
        <f>IF(COUNTIFS('United Data'!$A$3:$A$3390,B$1,'United Data'!$C$3:$C$3390,$A422)&gt;0,1,0)</f>
        <v>0</v>
      </c>
      <c r="C422">
        <f>IF(COUNTIFS('United Data'!$A$3:$A$3390,C$1,'United Data'!$C$3:$C$3390,$A422)&gt;0,1,0)</f>
        <v>0</v>
      </c>
      <c r="D422">
        <f>IF(COUNTIFS('United Data'!$A$3:$A$3390,D$1,'United Data'!$C$3:$C$3390,$A422)&gt;0,1,0)</f>
        <v>1</v>
      </c>
      <c r="E422">
        <f>IF(COUNTIFS('United Data'!$A$3:$A$3390,E$1,'United Data'!$C$3:$C$3390,$A422)&gt;0,1,0)</f>
        <v>0</v>
      </c>
      <c r="F422">
        <f>IF(COUNTIFS('United Data'!$A$3:$A$3390,F$1,'United Data'!$C$3:$C$3390,$A422)&gt;0,1,0)</f>
        <v>0</v>
      </c>
      <c r="G422">
        <f>IF(COUNTIFS('United Data'!$A$3:$A$3390,G$1,'United Data'!$C$3:$C$3390,$A422)&gt;0,1,0)</f>
        <v>0</v>
      </c>
      <c r="H422">
        <f>IF(COUNTIFS('United Data'!$A$3:$A$3390,H$1,'United Data'!$C$3:$C$3390,$A422)&gt;0,1,0)</f>
        <v>0</v>
      </c>
      <c r="I422">
        <f>IF(COUNTIFS('United Data'!$A$3:$A$3390,I$1,'United Data'!$C$3:$C$3390,$A422)&gt;0,1,0)</f>
        <v>0</v>
      </c>
      <c r="J422">
        <f>IF(COUNTIFS('United Data'!$A$3:$A$3390,J$1,'United Data'!$C$3:$C$3390,$A422)&gt;0,1,0)</f>
        <v>0</v>
      </c>
      <c r="K422">
        <f>IF(COUNTIFS('United Data'!$A$3:$A$3390,K$1,'United Data'!$C$3:$C$3390,$A422)&gt;0,1,0)</f>
        <v>0</v>
      </c>
      <c r="L422">
        <f>IF(COUNTIFS('United Data'!$A$3:$A$3390,L$1,'United Data'!$C$3:$C$3390,$A422)&gt;0,1,0)</f>
        <v>0</v>
      </c>
      <c r="M422">
        <f>IF(COUNTIFS('United Data'!$A$3:$A$3390,M$1,'United Data'!$C$3:$C$3390,$A422)&gt;0,1,0)</f>
        <v>0</v>
      </c>
      <c r="N422">
        <f>IF(COUNTIFS('United Data'!$A$3:$A$3390,N$1,'United Data'!$C$3:$C$3390,$A422)&gt;0,1,0)</f>
        <v>0</v>
      </c>
      <c r="O422">
        <f>IF(COUNTIFS('United Data'!$A$3:$A$3390,O$1,'United Data'!$C$3:$C$3390,$A422)&gt;0,1,0)</f>
        <v>0</v>
      </c>
      <c r="P422">
        <f>IF(COUNTIFS('United Data'!$A$3:$A$3390,P$1,'United Data'!$C$3:$C$3390,$A422)&gt;0,1,0)</f>
        <v>0</v>
      </c>
      <c r="Q422">
        <f>IF(COUNTIFS('United Data'!$A$3:$A$3390,Q$1,'United Data'!$C$3:$C$3390,$A422)&gt;0,1,0)</f>
        <v>0</v>
      </c>
      <c r="R422">
        <f>IF(COUNTIFS('United Data'!$A$3:$A$3390,R$1,'United Data'!$C$3:$C$3390,$A422)&gt;0,1,0)</f>
        <v>0</v>
      </c>
      <c r="S422">
        <f t="shared" si="12"/>
        <v>1</v>
      </c>
      <c r="T422">
        <f t="shared" si="13"/>
        <v>1</v>
      </c>
    </row>
    <row r="423" spans="1:20" x14ac:dyDescent="0.2">
      <c r="A423" t="s">
        <v>526</v>
      </c>
      <c r="B423">
        <f>IF(COUNTIFS('United Data'!$A$3:$A$3390,B$1,'United Data'!$C$3:$C$3390,$A423)&gt;0,1,0)</f>
        <v>0</v>
      </c>
      <c r="C423">
        <f>IF(COUNTIFS('United Data'!$A$3:$A$3390,C$1,'United Data'!$C$3:$C$3390,$A423)&gt;0,1,0)</f>
        <v>0</v>
      </c>
      <c r="D423">
        <f>IF(COUNTIFS('United Data'!$A$3:$A$3390,D$1,'United Data'!$C$3:$C$3390,$A423)&gt;0,1,0)</f>
        <v>1</v>
      </c>
      <c r="E423">
        <f>IF(COUNTIFS('United Data'!$A$3:$A$3390,E$1,'United Data'!$C$3:$C$3390,$A423)&gt;0,1,0)</f>
        <v>0</v>
      </c>
      <c r="F423">
        <f>IF(COUNTIFS('United Data'!$A$3:$A$3390,F$1,'United Data'!$C$3:$C$3390,$A423)&gt;0,1,0)</f>
        <v>0</v>
      </c>
      <c r="G423">
        <f>IF(COUNTIFS('United Data'!$A$3:$A$3390,G$1,'United Data'!$C$3:$C$3390,$A423)&gt;0,1,0)</f>
        <v>0</v>
      </c>
      <c r="H423">
        <f>IF(COUNTIFS('United Data'!$A$3:$A$3390,H$1,'United Data'!$C$3:$C$3390,$A423)&gt;0,1,0)</f>
        <v>0</v>
      </c>
      <c r="I423">
        <f>IF(COUNTIFS('United Data'!$A$3:$A$3390,I$1,'United Data'!$C$3:$C$3390,$A423)&gt;0,1,0)</f>
        <v>0</v>
      </c>
      <c r="J423">
        <f>IF(COUNTIFS('United Data'!$A$3:$A$3390,J$1,'United Data'!$C$3:$C$3390,$A423)&gt;0,1,0)</f>
        <v>0</v>
      </c>
      <c r="K423">
        <f>IF(COUNTIFS('United Data'!$A$3:$A$3390,K$1,'United Data'!$C$3:$C$3390,$A423)&gt;0,1,0)</f>
        <v>0</v>
      </c>
      <c r="L423">
        <f>IF(COUNTIFS('United Data'!$A$3:$A$3390,L$1,'United Data'!$C$3:$C$3390,$A423)&gt;0,1,0)</f>
        <v>0</v>
      </c>
      <c r="M423">
        <f>IF(COUNTIFS('United Data'!$A$3:$A$3390,M$1,'United Data'!$C$3:$C$3390,$A423)&gt;0,1,0)</f>
        <v>0</v>
      </c>
      <c r="N423">
        <f>IF(COUNTIFS('United Data'!$A$3:$A$3390,N$1,'United Data'!$C$3:$C$3390,$A423)&gt;0,1,0)</f>
        <v>0</v>
      </c>
      <c r="O423">
        <f>IF(COUNTIFS('United Data'!$A$3:$A$3390,O$1,'United Data'!$C$3:$C$3390,$A423)&gt;0,1,0)</f>
        <v>0</v>
      </c>
      <c r="P423">
        <f>IF(COUNTIFS('United Data'!$A$3:$A$3390,P$1,'United Data'!$C$3:$C$3390,$A423)&gt;0,1,0)</f>
        <v>0</v>
      </c>
      <c r="Q423">
        <f>IF(COUNTIFS('United Data'!$A$3:$A$3390,Q$1,'United Data'!$C$3:$C$3390,$A423)&gt;0,1,0)</f>
        <v>0</v>
      </c>
      <c r="R423">
        <f>IF(COUNTIFS('United Data'!$A$3:$A$3390,R$1,'United Data'!$C$3:$C$3390,$A423)&gt;0,1,0)</f>
        <v>0</v>
      </c>
      <c r="S423">
        <f t="shared" si="12"/>
        <v>1</v>
      </c>
      <c r="T423">
        <f t="shared" si="13"/>
        <v>1</v>
      </c>
    </row>
    <row r="424" spans="1:20" x14ac:dyDescent="0.2">
      <c r="A424" t="s">
        <v>527</v>
      </c>
      <c r="B424">
        <f>IF(COUNTIFS('United Data'!$A$3:$A$3390,B$1,'United Data'!$C$3:$C$3390,$A424)&gt;0,1,0)</f>
        <v>0</v>
      </c>
      <c r="C424">
        <f>IF(COUNTIFS('United Data'!$A$3:$A$3390,C$1,'United Data'!$C$3:$C$3390,$A424)&gt;0,1,0)</f>
        <v>0</v>
      </c>
      <c r="D424">
        <f>IF(COUNTIFS('United Data'!$A$3:$A$3390,D$1,'United Data'!$C$3:$C$3390,$A424)&gt;0,1,0)</f>
        <v>0</v>
      </c>
      <c r="E424">
        <f>IF(COUNTIFS('United Data'!$A$3:$A$3390,E$1,'United Data'!$C$3:$C$3390,$A424)&gt;0,1,0)</f>
        <v>1</v>
      </c>
      <c r="F424">
        <f>IF(COUNTIFS('United Data'!$A$3:$A$3390,F$1,'United Data'!$C$3:$C$3390,$A424)&gt;0,1,0)</f>
        <v>0</v>
      </c>
      <c r="G424">
        <f>IF(COUNTIFS('United Data'!$A$3:$A$3390,G$1,'United Data'!$C$3:$C$3390,$A424)&gt;0,1,0)</f>
        <v>0</v>
      </c>
      <c r="H424">
        <f>IF(COUNTIFS('United Data'!$A$3:$A$3390,H$1,'United Data'!$C$3:$C$3390,$A424)&gt;0,1,0)</f>
        <v>0</v>
      </c>
      <c r="I424">
        <f>IF(COUNTIFS('United Data'!$A$3:$A$3390,I$1,'United Data'!$C$3:$C$3390,$A424)&gt;0,1,0)</f>
        <v>0</v>
      </c>
      <c r="J424">
        <f>IF(COUNTIFS('United Data'!$A$3:$A$3390,J$1,'United Data'!$C$3:$C$3390,$A424)&gt;0,1,0)</f>
        <v>0</v>
      </c>
      <c r="K424">
        <f>IF(COUNTIFS('United Data'!$A$3:$A$3390,K$1,'United Data'!$C$3:$C$3390,$A424)&gt;0,1,0)</f>
        <v>0</v>
      </c>
      <c r="L424">
        <f>IF(COUNTIFS('United Data'!$A$3:$A$3390,L$1,'United Data'!$C$3:$C$3390,$A424)&gt;0,1,0)</f>
        <v>0</v>
      </c>
      <c r="M424">
        <f>IF(COUNTIFS('United Data'!$A$3:$A$3390,M$1,'United Data'!$C$3:$C$3390,$A424)&gt;0,1,0)</f>
        <v>0</v>
      </c>
      <c r="N424">
        <f>IF(COUNTIFS('United Data'!$A$3:$A$3390,N$1,'United Data'!$C$3:$C$3390,$A424)&gt;0,1,0)</f>
        <v>0</v>
      </c>
      <c r="O424">
        <f>IF(COUNTIFS('United Data'!$A$3:$A$3390,O$1,'United Data'!$C$3:$C$3390,$A424)&gt;0,1,0)</f>
        <v>0</v>
      </c>
      <c r="P424">
        <f>IF(COUNTIFS('United Data'!$A$3:$A$3390,P$1,'United Data'!$C$3:$C$3390,$A424)&gt;0,1,0)</f>
        <v>0</v>
      </c>
      <c r="Q424">
        <f>IF(COUNTIFS('United Data'!$A$3:$A$3390,Q$1,'United Data'!$C$3:$C$3390,$A424)&gt;0,1,0)</f>
        <v>0</v>
      </c>
      <c r="R424">
        <f>IF(COUNTIFS('United Data'!$A$3:$A$3390,R$1,'United Data'!$C$3:$C$3390,$A424)&gt;0,1,0)</f>
        <v>0</v>
      </c>
      <c r="S424">
        <f t="shared" si="12"/>
        <v>1</v>
      </c>
      <c r="T424">
        <f t="shared" si="13"/>
        <v>1</v>
      </c>
    </row>
    <row r="425" spans="1:20" x14ac:dyDescent="0.2">
      <c r="A425" t="s">
        <v>528</v>
      </c>
      <c r="B425">
        <f>IF(COUNTIFS('United Data'!$A$3:$A$3390,B$1,'United Data'!$C$3:$C$3390,$A425)&gt;0,1,0)</f>
        <v>0</v>
      </c>
      <c r="C425">
        <f>IF(COUNTIFS('United Data'!$A$3:$A$3390,C$1,'United Data'!$C$3:$C$3390,$A425)&gt;0,1,0)</f>
        <v>0</v>
      </c>
      <c r="D425">
        <f>IF(COUNTIFS('United Data'!$A$3:$A$3390,D$1,'United Data'!$C$3:$C$3390,$A425)&gt;0,1,0)</f>
        <v>0</v>
      </c>
      <c r="E425">
        <f>IF(COUNTIFS('United Data'!$A$3:$A$3390,E$1,'United Data'!$C$3:$C$3390,$A425)&gt;0,1,0)</f>
        <v>1</v>
      </c>
      <c r="F425">
        <f>IF(COUNTIFS('United Data'!$A$3:$A$3390,F$1,'United Data'!$C$3:$C$3390,$A425)&gt;0,1,0)</f>
        <v>0</v>
      </c>
      <c r="G425">
        <f>IF(COUNTIFS('United Data'!$A$3:$A$3390,G$1,'United Data'!$C$3:$C$3390,$A425)&gt;0,1,0)</f>
        <v>0</v>
      </c>
      <c r="H425">
        <f>IF(COUNTIFS('United Data'!$A$3:$A$3390,H$1,'United Data'!$C$3:$C$3390,$A425)&gt;0,1,0)</f>
        <v>0</v>
      </c>
      <c r="I425">
        <f>IF(COUNTIFS('United Data'!$A$3:$A$3390,I$1,'United Data'!$C$3:$C$3390,$A425)&gt;0,1,0)</f>
        <v>0</v>
      </c>
      <c r="J425">
        <f>IF(COUNTIFS('United Data'!$A$3:$A$3390,J$1,'United Data'!$C$3:$C$3390,$A425)&gt;0,1,0)</f>
        <v>0</v>
      </c>
      <c r="K425">
        <f>IF(COUNTIFS('United Data'!$A$3:$A$3390,K$1,'United Data'!$C$3:$C$3390,$A425)&gt;0,1,0)</f>
        <v>0</v>
      </c>
      <c r="L425">
        <f>IF(COUNTIFS('United Data'!$A$3:$A$3390,L$1,'United Data'!$C$3:$C$3390,$A425)&gt;0,1,0)</f>
        <v>0</v>
      </c>
      <c r="M425">
        <f>IF(COUNTIFS('United Data'!$A$3:$A$3390,M$1,'United Data'!$C$3:$C$3390,$A425)&gt;0,1,0)</f>
        <v>0</v>
      </c>
      <c r="N425">
        <f>IF(COUNTIFS('United Data'!$A$3:$A$3390,N$1,'United Data'!$C$3:$C$3390,$A425)&gt;0,1,0)</f>
        <v>0</v>
      </c>
      <c r="O425">
        <f>IF(COUNTIFS('United Data'!$A$3:$A$3390,O$1,'United Data'!$C$3:$C$3390,$A425)&gt;0,1,0)</f>
        <v>0</v>
      </c>
      <c r="P425">
        <f>IF(COUNTIFS('United Data'!$A$3:$A$3390,P$1,'United Data'!$C$3:$C$3390,$A425)&gt;0,1,0)</f>
        <v>0</v>
      </c>
      <c r="Q425">
        <f>IF(COUNTIFS('United Data'!$A$3:$A$3390,Q$1,'United Data'!$C$3:$C$3390,$A425)&gt;0,1,0)</f>
        <v>0</v>
      </c>
      <c r="R425">
        <f>IF(COUNTIFS('United Data'!$A$3:$A$3390,R$1,'United Data'!$C$3:$C$3390,$A425)&gt;0,1,0)</f>
        <v>0</v>
      </c>
      <c r="S425">
        <f t="shared" si="12"/>
        <v>1</v>
      </c>
      <c r="T425">
        <f t="shared" si="13"/>
        <v>1</v>
      </c>
    </row>
    <row r="426" spans="1:20" x14ac:dyDescent="0.2">
      <c r="A426" t="s">
        <v>529</v>
      </c>
      <c r="B426">
        <f>IF(COUNTIFS('United Data'!$A$3:$A$3390,B$1,'United Data'!$C$3:$C$3390,$A426)&gt;0,1,0)</f>
        <v>0</v>
      </c>
      <c r="C426">
        <f>IF(COUNTIFS('United Data'!$A$3:$A$3390,C$1,'United Data'!$C$3:$C$3390,$A426)&gt;0,1,0)</f>
        <v>0</v>
      </c>
      <c r="D426">
        <f>IF(COUNTIFS('United Data'!$A$3:$A$3390,D$1,'United Data'!$C$3:$C$3390,$A426)&gt;0,1,0)</f>
        <v>0</v>
      </c>
      <c r="E426">
        <f>IF(COUNTIFS('United Data'!$A$3:$A$3390,E$1,'United Data'!$C$3:$C$3390,$A426)&gt;0,1,0)</f>
        <v>1</v>
      </c>
      <c r="F426">
        <f>IF(COUNTIFS('United Data'!$A$3:$A$3390,F$1,'United Data'!$C$3:$C$3390,$A426)&gt;0,1,0)</f>
        <v>0</v>
      </c>
      <c r="G426">
        <f>IF(COUNTIFS('United Data'!$A$3:$A$3390,G$1,'United Data'!$C$3:$C$3390,$A426)&gt;0,1,0)</f>
        <v>0</v>
      </c>
      <c r="H426">
        <f>IF(COUNTIFS('United Data'!$A$3:$A$3390,H$1,'United Data'!$C$3:$C$3390,$A426)&gt;0,1,0)</f>
        <v>0</v>
      </c>
      <c r="I426">
        <f>IF(COUNTIFS('United Data'!$A$3:$A$3390,I$1,'United Data'!$C$3:$C$3390,$A426)&gt;0,1,0)</f>
        <v>0</v>
      </c>
      <c r="J426">
        <f>IF(COUNTIFS('United Data'!$A$3:$A$3390,J$1,'United Data'!$C$3:$C$3390,$A426)&gt;0,1,0)</f>
        <v>0</v>
      </c>
      <c r="K426">
        <f>IF(COUNTIFS('United Data'!$A$3:$A$3390,K$1,'United Data'!$C$3:$C$3390,$A426)&gt;0,1,0)</f>
        <v>0</v>
      </c>
      <c r="L426">
        <f>IF(COUNTIFS('United Data'!$A$3:$A$3390,L$1,'United Data'!$C$3:$C$3390,$A426)&gt;0,1,0)</f>
        <v>0</v>
      </c>
      <c r="M426">
        <f>IF(COUNTIFS('United Data'!$A$3:$A$3390,M$1,'United Data'!$C$3:$C$3390,$A426)&gt;0,1,0)</f>
        <v>0</v>
      </c>
      <c r="N426">
        <f>IF(COUNTIFS('United Data'!$A$3:$A$3390,N$1,'United Data'!$C$3:$C$3390,$A426)&gt;0,1,0)</f>
        <v>0</v>
      </c>
      <c r="O426">
        <f>IF(COUNTIFS('United Data'!$A$3:$A$3390,O$1,'United Data'!$C$3:$C$3390,$A426)&gt;0,1,0)</f>
        <v>0</v>
      </c>
      <c r="P426">
        <f>IF(COUNTIFS('United Data'!$A$3:$A$3390,P$1,'United Data'!$C$3:$C$3390,$A426)&gt;0,1,0)</f>
        <v>0</v>
      </c>
      <c r="Q426">
        <f>IF(COUNTIFS('United Data'!$A$3:$A$3390,Q$1,'United Data'!$C$3:$C$3390,$A426)&gt;0,1,0)</f>
        <v>1</v>
      </c>
      <c r="R426">
        <f>IF(COUNTIFS('United Data'!$A$3:$A$3390,R$1,'United Data'!$C$3:$C$3390,$A426)&gt;0,1,0)</f>
        <v>0</v>
      </c>
      <c r="S426">
        <f t="shared" si="12"/>
        <v>2</v>
      </c>
      <c r="T426">
        <f t="shared" si="13"/>
        <v>2</v>
      </c>
    </row>
    <row r="427" spans="1:20" x14ac:dyDescent="0.2">
      <c r="A427" t="s">
        <v>530</v>
      </c>
      <c r="B427">
        <f>IF(COUNTIFS('United Data'!$A$3:$A$3390,B$1,'United Data'!$C$3:$C$3390,$A427)&gt;0,1,0)</f>
        <v>0</v>
      </c>
      <c r="C427">
        <f>IF(COUNTIFS('United Data'!$A$3:$A$3390,C$1,'United Data'!$C$3:$C$3390,$A427)&gt;0,1,0)</f>
        <v>0</v>
      </c>
      <c r="D427">
        <f>IF(COUNTIFS('United Data'!$A$3:$A$3390,D$1,'United Data'!$C$3:$C$3390,$A427)&gt;0,1,0)</f>
        <v>0</v>
      </c>
      <c r="E427">
        <f>IF(COUNTIFS('United Data'!$A$3:$A$3390,E$1,'United Data'!$C$3:$C$3390,$A427)&gt;0,1,0)</f>
        <v>1</v>
      </c>
      <c r="F427">
        <f>IF(COUNTIFS('United Data'!$A$3:$A$3390,F$1,'United Data'!$C$3:$C$3390,$A427)&gt;0,1,0)</f>
        <v>1</v>
      </c>
      <c r="G427">
        <f>IF(COUNTIFS('United Data'!$A$3:$A$3390,G$1,'United Data'!$C$3:$C$3390,$A427)&gt;0,1,0)</f>
        <v>1</v>
      </c>
      <c r="H427">
        <f>IF(COUNTIFS('United Data'!$A$3:$A$3390,H$1,'United Data'!$C$3:$C$3390,$A427)&gt;0,1,0)</f>
        <v>0</v>
      </c>
      <c r="I427">
        <f>IF(COUNTIFS('United Data'!$A$3:$A$3390,I$1,'United Data'!$C$3:$C$3390,$A427)&gt;0,1,0)</f>
        <v>0</v>
      </c>
      <c r="J427">
        <f>IF(COUNTIFS('United Data'!$A$3:$A$3390,J$1,'United Data'!$C$3:$C$3390,$A427)&gt;0,1,0)</f>
        <v>0</v>
      </c>
      <c r="K427">
        <f>IF(COUNTIFS('United Data'!$A$3:$A$3390,K$1,'United Data'!$C$3:$C$3390,$A427)&gt;0,1,0)</f>
        <v>1</v>
      </c>
      <c r="L427">
        <f>IF(COUNTIFS('United Data'!$A$3:$A$3390,L$1,'United Data'!$C$3:$C$3390,$A427)&gt;0,1,0)</f>
        <v>0</v>
      </c>
      <c r="M427">
        <f>IF(COUNTIFS('United Data'!$A$3:$A$3390,M$1,'United Data'!$C$3:$C$3390,$A427)&gt;0,1,0)</f>
        <v>0</v>
      </c>
      <c r="N427">
        <f>IF(COUNTIFS('United Data'!$A$3:$A$3390,N$1,'United Data'!$C$3:$C$3390,$A427)&gt;0,1,0)</f>
        <v>1</v>
      </c>
      <c r="O427">
        <f>IF(COUNTIFS('United Data'!$A$3:$A$3390,O$1,'United Data'!$C$3:$C$3390,$A427)&gt;0,1,0)</f>
        <v>1</v>
      </c>
      <c r="P427">
        <f>IF(COUNTIFS('United Data'!$A$3:$A$3390,P$1,'United Data'!$C$3:$C$3390,$A427)&gt;0,1,0)</f>
        <v>1</v>
      </c>
      <c r="Q427">
        <f>IF(COUNTIFS('United Data'!$A$3:$A$3390,Q$1,'United Data'!$C$3:$C$3390,$A427)&gt;0,1,0)</f>
        <v>0</v>
      </c>
      <c r="R427">
        <f>IF(COUNTIFS('United Data'!$A$3:$A$3390,R$1,'United Data'!$C$3:$C$3390,$A427)&gt;0,1,0)</f>
        <v>0</v>
      </c>
      <c r="S427">
        <f t="shared" si="12"/>
        <v>7</v>
      </c>
      <c r="T427">
        <f t="shared" si="13"/>
        <v>3</v>
      </c>
    </row>
    <row r="428" spans="1:20" x14ac:dyDescent="0.2">
      <c r="A428" t="s">
        <v>531</v>
      </c>
      <c r="B428">
        <f>IF(COUNTIFS('United Data'!$A$3:$A$3390,B$1,'United Data'!$C$3:$C$3390,$A428)&gt;0,1,0)</f>
        <v>0</v>
      </c>
      <c r="C428">
        <f>IF(COUNTIFS('United Data'!$A$3:$A$3390,C$1,'United Data'!$C$3:$C$3390,$A428)&gt;0,1,0)</f>
        <v>0</v>
      </c>
      <c r="D428">
        <f>IF(COUNTIFS('United Data'!$A$3:$A$3390,D$1,'United Data'!$C$3:$C$3390,$A428)&gt;0,1,0)</f>
        <v>0</v>
      </c>
      <c r="E428">
        <f>IF(COUNTIFS('United Data'!$A$3:$A$3390,E$1,'United Data'!$C$3:$C$3390,$A428)&gt;0,1,0)</f>
        <v>1</v>
      </c>
      <c r="F428">
        <f>IF(COUNTIFS('United Data'!$A$3:$A$3390,F$1,'United Data'!$C$3:$C$3390,$A428)&gt;0,1,0)</f>
        <v>0</v>
      </c>
      <c r="G428">
        <f>IF(COUNTIFS('United Data'!$A$3:$A$3390,G$1,'United Data'!$C$3:$C$3390,$A428)&gt;0,1,0)</f>
        <v>0</v>
      </c>
      <c r="H428">
        <f>IF(COUNTIFS('United Data'!$A$3:$A$3390,H$1,'United Data'!$C$3:$C$3390,$A428)&gt;0,1,0)</f>
        <v>0</v>
      </c>
      <c r="I428">
        <f>IF(COUNTIFS('United Data'!$A$3:$A$3390,I$1,'United Data'!$C$3:$C$3390,$A428)&gt;0,1,0)</f>
        <v>0</v>
      </c>
      <c r="J428">
        <f>IF(COUNTIFS('United Data'!$A$3:$A$3390,J$1,'United Data'!$C$3:$C$3390,$A428)&gt;0,1,0)</f>
        <v>0</v>
      </c>
      <c r="K428">
        <f>IF(COUNTIFS('United Data'!$A$3:$A$3390,K$1,'United Data'!$C$3:$C$3390,$A428)&gt;0,1,0)</f>
        <v>0</v>
      </c>
      <c r="L428">
        <f>IF(COUNTIFS('United Data'!$A$3:$A$3390,L$1,'United Data'!$C$3:$C$3390,$A428)&gt;0,1,0)</f>
        <v>0</v>
      </c>
      <c r="M428">
        <f>IF(COUNTIFS('United Data'!$A$3:$A$3390,M$1,'United Data'!$C$3:$C$3390,$A428)&gt;0,1,0)</f>
        <v>0</v>
      </c>
      <c r="N428">
        <f>IF(COUNTIFS('United Data'!$A$3:$A$3390,N$1,'United Data'!$C$3:$C$3390,$A428)&gt;0,1,0)</f>
        <v>0</v>
      </c>
      <c r="O428">
        <f>IF(COUNTIFS('United Data'!$A$3:$A$3390,O$1,'United Data'!$C$3:$C$3390,$A428)&gt;0,1,0)</f>
        <v>0</v>
      </c>
      <c r="P428">
        <f>IF(COUNTIFS('United Data'!$A$3:$A$3390,P$1,'United Data'!$C$3:$C$3390,$A428)&gt;0,1,0)</f>
        <v>0</v>
      </c>
      <c r="Q428">
        <f>IF(COUNTIFS('United Data'!$A$3:$A$3390,Q$1,'United Data'!$C$3:$C$3390,$A428)&gt;0,1,0)</f>
        <v>0</v>
      </c>
      <c r="R428">
        <f>IF(COUNTIFS('United Data'!$A$3:$A$3390,R$1,'United Data'!$C$3:$C$3390,$A428)&gt;0,1,0)</f>
        <v>0</v>
      </c>
      <c r="S428">
        <f t="shared" si="12"/>
        <v>1</v>
      </c>
      <c r="T428">
        <f t="shared" si="13"/>
        <v>1</v>
      </c>
    </row>
    <row r="429" spans="1:20" x14ac:dyDescent="0.2">
      <c r="A429" t="s">
        <v>533</v>
      </c>
      <c r="B429">
        <f>IF(COUNTIFS('United Data'!$A$3:$A$3390,B$1,'United Data'!$C$3:$C$3390,$A429)&gt;0,1,0)</f>
        <v>0</v>
      </c>
      <c r="C429">
        <f>IF(COUNTIFS('United Data'!$A$3:$A$3390,C$1,'United Data'!$C$3:$C$3390,$A429)&gt;0,1,0)</f>
        <v>0</v>
      </c>
      <c r="D429">
        <f>IF(COUNTIFS('United Data'!$A$3:$A$3390,D$1,'United Data'!$C$3:$C$3390,$A429)&gt;0,1,0)</f>
        <v>0</v>
      </c>
      <c r="E429">
        <f>IF(COUNTIFS('United Data'!$A$3:$A$3390,E$1,'United Data'!$C$3:$C$3390,$A429)&gt;0,1,0)</f>
        <v>1</v>
      </c>
      <c r="F429">
        <f>IF(COUNTIFS('United Data'!$A$3:$A$3390,F$1,'United Data'!$C$3:$C$3390,$A429)&gt;0,1,0)</f>
        <v>0</v>
      </c>
      <c r="G429">
        <f>IF(COUNTIFS('United Data'!$A$3:$A$3390,G$1,'United Data'!$C$3:$C$3390,$A429)&gt;0,1,0)</f>
        <v>0</v>
      </c>
      <c r="H429">
        <f>IF(COUNTIFS('United Data'!$A$3:$A$3390,H$1,'United Data'!$C$3:$C$3390,$A429)&gt;0,1,0)</f>
        <v>0</v>
      </c>
      <c r="I429">
        <f>IF(COUNTIFS('United Data'!$A$3:$A$3390,I$1,'United Data'!$C$3:$C$3390,$A429)&gt;0,1,0)</f>
        <v>0</v>
      </c>
      <c r="J429">
        <f>IF(COUNTIFS('United Data'!$A$3:$A$3390,J$1,'United Data'!$C$3:$C$3390,$A429)&gt;0,1,0)</f>
        <v>0</v>
      </c>
      <c r="K429">
        <f>IF(COUNTIFS('United Data'!$A$3:$A$3390,K$1,'United Data'!$C$3:$C$3390,$A429)&gt;0,1,0)</f>
        <v>0</v>
      </c>
      <c r="L429">
        <f>IF(COUNTIFS('United Data'!$A$3:$A$3390,L$1,'United Data'!$C$3:$C$3390,$A429)&gt;0,1,0)</f>
        <v>0</v>
      </c>
      <c r="M429">
        <f>IF(COUNTIFS('United Data'!$A$3:$A$3390,M$1,'United Data'!$C$3:$C$3390,$A429)&gt;0,1,0)</f>
        <v>0</v>
      </c>
      <c r="N429">
        <f>IF(COUNTIFS('United Data'!$A$3:$A$3390,N$1,'United Data'!$C$3:$C$3390,$A429)&gt;0,1,0)</f>
        <v>0</v>
      </c>
      <c r="O429">
        <f>IF(COUNTIFS('United Data'!$A$3:$A$3390,O$1,'United Data'!$C$3:$C$3390,$A429)&gt;0,1,0)</f>
        <v>0</v>
      </c>
      <c r="P429">
        <f>IF(COUNTIFS('United Data'!$A$3:$A$3390,P$1,'United Data'!$C$3:$C$3390,$A429)&gt;0,1,0)</f>
        <v>0</v>
      </c>
      <c r="Q429">
        <f>IF(COUNTIFS('United Data'!$A$3:$A$3390,Q$1,'United Data'!$C$3:$C$3390,$A429)&gt;0,1,0)</f>
        <v>0</v>
      </c>
      <c r="R429">
        <f>IF(COUNTIFS('United Data'!$A$3:$A$3390,R$1,'United Data'!$C$3:$C$3390,$A429)&gt;0,1,0)</f>
        <v>0</v>
      </c>
      <c r="S429">
        <f t="shared" si="12"/>
        <v>1</v>
      </c>
      <c r="T429">
        <f t="shared" si="13"/>
        <v>1</v>
      </c>
    </row>
    <row r="430" spans="1:20" x14ac:dyDescent="0.2">
      <c r="A430" t="s">
        <v>535</v>
      </c>
      <c r="B430">
        <f>IF(COUNTIFS('United Data'!$A$3:$A$3390,B$1,'United Data'!$C$3:$C$3390,$A430)&gt;0,1,0)</f>
        <v>0</v>
      </c>
      <c r="C430">
        <f>IF(COUNTIFS('United Data'!$A$3:$A$3390,C$1,'United Data'!$C$3:$C$3390,$A430)&gt;0,1,0)</f>
        <v>0</v>
      </c>
      <c r="D430">
        <f>IF(COUNTIFS('United Data'!$A$3:$A$3390,D$1,'United Data'!$C$3:$C$3390,$A430)&gt;0,1,0)</f>
        <v>0</v>
      </c>
      <c r="E430">
        <f>IF(COUNTIFS('United Data'!$A$3:$A$3390,E$1,'United Data'!$C$3:$C$3390,$A430)&gt;0,1,0)</f>
        <v>0</v>
      </c>
      <c r="F430">
        <f>IF(COUNTIFS('United Data'!$A$3:$A$3390,F$1,'United Data'!$C$3:$C$3390,$A430)&gt;0,1,0)</f>
        <v>1</v>
      </c>
      <c r="G430">
        <f>IF(COUNTIFS('United Data'!$A$3:$A$3390,G$1,'United Data'!$C$3:$C$3390,$A430)&gt;0,1,0)</f>
        <v>0</v>
      </c>
      <c r="H430">
        <f>IF(COUNTIFS('United Data'!$A$3:$A$3390,H$1,'United Data'!$C$3:$C$3390,$A430)&gt;0,1,0)</f>
        <v>0</v>
      </c>
      <c r="I430">
        <f>IF(COUNTIFS('United Data'!$A$3:$A$3390,I$1,'United Data'!$C$3:$C$3390,$A430)&gt;0,1,0)</f>
        <v>0</v>
      </c>
      <c r="J430">
        <f>IF(COUNTIFS('United Data'!$A$3:$A$3390,J$1,'United Data'!$C$3:$C$3390,$A430)&gt;0,1,0)</f>
        <v>0</v>
      </c>
      <c r="K430">
        <f>IF(COUNTIFS('United Data'!$A$3:$A$3390,K$1,'United Data'!$C$3:$C$3390,$A430)&gt;0,1,0)</f>
        <v>0</v>
      </c>
      <c r="L430">
        <f>IF(COUNTIFS('United Data'!$A$3:$A$3390,L$1,'United Data'!$C$3:$C$3390,$A430)&gt;0,1,0)</f>
        <v>0</v>
      </c>
      <c r="M430">
        <f>IF(COUNTIFS('United Data'!$A$3:$A$3390,M$1,'United Data'!$C$3:$C$3390,$A430)&gt;0,1,0)</f>
        <v>0</v>
      </c>
      <c r="N430">
        <f>IF(COUNTIFS('United Data'!$A$3:$A$3390,N$1,'United Data'!$C$3:$C$3390,$A430)&gt;0,1,0)</f>
        <v>0</v>
      </c>
      <c r="O430">
        <f>IF(COUNTIFS('United Data'!$A$3:$A$3390,O$1,'United Data'!$C$3:$C$3390,$A430)&gt;0,1,0)</f>
        <v>0</v>
      </c>
      <c r="P430">
        <f>IF(COUNTIFS('United Data'!$A$3:$A$3390,P$1,'United Data'!$C$3:$C$3390,$A430)&gt;0,1,0)</f>
        <v>0</v>
      </c>
      <c r="Q430">
        <f>IF(COUNTIFS('United Data'!$A$3:$A$3390,Q$1,'United Data'!$C$3:$C$3390,$A430)&gt;0,1,0)</f>
        <v>0</v>
      </c>
      <c r="R430">
        <f>IF(COUNTIFS('United Data'!$A$3:$A$3390,R$1,'United Data'!$C$3:$C$3390,$A430)&gt;0,1,0)</f>
        <v>0</v>
      </c>
      <c r="S430">
        <f t="shared" si="12"/>
        <v>1</v>
      </c>
      <c r="T430">
        <f t="shared" si="13"/>
        <v>1</v>
      </c>
    </row>
    <row r="431" spans="1:20" x14ac:dyDescent="0.2">
      <c r="A431" t="s">
        <v>536</v>
      </c>
      <c r="B431">
        <f>IF(COUNTIFS('United Data'!$A$3:$A$3390,B$1,'United Data'!$C$3:$C$3390,$A431)&gt;0,1,0)</f>
        <v>0</v>
      </c>
      <c r="C431">
        <f>IF(COUNTIFS('United Data'!$A$3:$A$3390,C$1,'United Data'!$C$3:$C$3390,$A431)&gt;0,1,0)</f>
        <v>0</v>
      </c>
      <c r="D431">
        <f>IF(COUNTIFS('United Data'!$A$3:$A$3390,D$1,'United Data'!$C$3:$C$3390,$A431)&gt;0,1,0)</f>
        <v>0</v>
      </c>
      <c r="E431">
        <f>IF(COUNTIFS('United Data'!$A$3:$A$3390,E$1,'United Data'!$C$3:$C$3390,$A431)&gt;0,1,0)</f>
        <v>0</v>
      </c>
      <c r="F431">
        <f>IF(COUNTIFS('United Data'!$A$3:$A$3390,F$1,'United Data'!$C$3:$C$3390,$A431)&gt;0,1,0)</f>
        <v>1</v>
      </c>
      <c r="G431">
        <f>IF(COUNTIFS('United Data'!$A$3:$A$3390,G$1,'United Data'!$C$3:$C$3390,$A431)&gt;0,1,0)</f>
        <v>0</v>
      </c>
      <c r="H431">
        <f>IF(COUNTIFS('United Data'!$A$3:$A$3390,H$1,'United Data'!$C$3:$C$3390,$A431)&gt;0,1,0)</f>
        <v>0</v>
      </c>
      <c r="I431">
        <f>IF(COUNTIFS('United Data'!$A$3:$A$3390,I$1,'United Data'!$C$3:$C$3390,$A431)&gt;0,1,0)</f>
        <v>0</v>
      </c>
      <c r="J431">
        <f>IF(COUNTIFS('United Data'!$A$3:$A$3390,J$1,'United Data'!$C$3:$C$3390,$A431)&gt;0,1,0)</f>
        <v>0</v>
      </c>
      <c r="K431">
        <f>IF(COUNTIFS('United Data'!$A$3:$A$3390,K$1,'United Data'!$C$3:$C$3390,$A431)&gt;0,1,0)</f>
        <v>0</v>
      </c>
      <c r="L431">
        <f>IF(COUNTIFS('United Data'!$A$3:$A$3390,L$1,'United Data'!$C$3:$C$3390,$A431)&gt;0,1,0)</f>
        <v>0</v>
      </c>
      <c r="M431">
        <f>IF(COUNTIFS('United Data'!$A$3:$A$3390,M$1,'United Data'!$C$3:$C$3390,$A431)&gt;0,1,0)</f>
        <v>0</v>
      </c>
      <c r="N431">
        <f>IF(COUNTIFS('United Data'!$A$3:$A$3390,N$1,'United Data'!$C$3:$C$3390,$A431)&gt;0,1,0)</f>
        <v>0</v>
      </c>
      <c r="O431">
        <f>IF(COUNTIFS('United Data'!$A$3:$A$3390,O$1,'United Data'!$C$3:$C$3390,$A431)&gt;0,1,0)</f>
        <v>0</v>
      </c>
      <c r="P431">
        <f>IF(COUNTIFS('United Data'!$A$3:$A$3390,P$1,'United Data'!$C$3:$C$3390,$A431)&gt;0,1,0)</f>
        <v>0</v>
      </c>
      <c r="Q431">
        <f>IF(COUNTIFS('United Data'!$A$3:$A$3390,Q$1,'United Data'!$C$3:$C$3390,$A431)&gt;0,1,0)</f>
        <v>0</v>
      </c>
      <c r="R431">
        <f>IF(COUNTIFS('United Data'!$A$3:$A$3390,R$1,'United Data'!$C$3:$C$3390,$A431)&gt;0,1,0)</f>
        <v>0</v>
      </c>
      <c r="S431">
        <f t="shared" si="12"/>
        <v>1</v>
      </c>
      <c r="T431">
        <f t="shared" si="13"/>
        <v>1</v>
      </c>
    </row>
    <row r="432" spans="1:20" x14ac:dyDescent="0.2">
      <c r="A432" t="s">
        <v>537</v>
      </c>
      <c r="B432">
        <f>IF(COUNTIFS('United Data'!$A$3:$A$3390,B$1,'United Data'!$C$3:$C$3390,$A432)&gt;0,1,0)</f>
        <v>0</v>
      </c>
      <c r="C432">
        <f>IF(COUNTIFS('United Data'!$A$3:$A$3390,C$1,'United Data'!$C$3:$C$3390,$A432)&gt;0,1,0)</f>
        <v>0</v>
      </c>
      <c r="D432">
        <f>IF(COUNTIFS('United Data'!$A$3:$A$3390,D$1,'United Data'!$C$3:$C$3390,$A432)&gt;0,1,0)</f>
        <v>0</v>
      </c>
      <c r="E432">
        <f>IF(COUNTIFS('United Data'!$A$3:$A$3390,E$1,'United Data'!$C$3:$C$3390,$A432)&gt;0,1,0)</f>
        <v>0</v>
      </c>
      <c r="F432">
        <f>IF(COUNTIFS('United Data'!$A$3:$A$3390,F$1,'United Data'!$C$3:$C$3390,$A432)&gt;0,1,0)</f>
        <v>1</v>
      </c>
      <c r="G432">
        <f>IF(COUNTIFS('United Data'!$A$3:$A$3390,G$1,'United Data'!$C$3:$C$3390,$A432)&gt;0,1,0)</f>
        <v>0</v>
      </c>
      <c r="H432">
        <f>IF(COUNTIFS('United Data'!$A$3:$A$3390,H$1,'United Data'!$C$3:$C$3390,$A432)&gt;0,1,0)</f>
        <v>0</v>
      </c>
      <c r="I432">
        <f>IF(COUNTIFS('United Data'!$A$3:$A$3390,I$1,'United Data'!$C$3:$C$3390,$A432)&gt;0,1,0)</f>
        <v>0</v>
      </c>
      <c r="J432">
        <f>IF(COUNTIFS('United Data'!$A$3:$A$3390,J$1,'United Data'!$C$3:$C$3390,$A432)&gt;0,1,0)</f>
        <v>0</v>
      </c>
      <c r="K432">
        <f>IF(COUNTIFS('United Data'!$A$3:$A$3390,K$1,'United Data'!$C$3:$C$3390,$A432)&gt;0,1,0)</f>
        <v>0</v>
      </c>
      <c r="L432">
        <f>IF(COUNTIFS('United Data'!$A$3:$A$3390,L$1,'United Data'!$C$3:$C$3390,$A432)&gt;0,1,0)</f>
        <v>0</v>
      </c>
      <c r="M432">
        <f>IF(COUNTIFS('United Data'!$A$3:$A$3390,M$1,'United Data'!$C$3:$C$3390,$A432)&gt;0,1,0)</f>
        <v>0</v>
      </c>
      <c r="N432">
        <f>IF(COUNTIFS('United Data'!$A$3:$A$3390,N$1,'United Data'!$C$3:$C$3390,$A432)&gt;0,1,0)</f>
        <v>0</v>
      </c>
      <c r="O432">
        <f>IF(COUNTIFS('United Data'!$A$3:$A$3390,O$1,'United Data'!$C$3:$C$3390,$A432)&gt;0,1,0)</f>
        <v>0</v>
      </c>
      <c r="P432">
        <f>IF(COUNTIFS('United Data'!$A$3:$A$3390,P$1,'United Data'!$C$3:$C$3390,$A432)&gt;0,1,0)</f>
        <v>0</v>
      </c>
      <c r="Q432">
        <f>IF(COUNTIFS('United Data'!$A$3:$A$3390,Q$1,'United Data'!$C$3:$C$3390,$A432)&gt;0,1,0)</f>
        <v>0</v>
      </c>
      <c r="R432">
        <f>IF(COUNTIFS('United Data'!$A$3:$A$3390,R$1,'United Data'!$C$3:$C$3390,$A432)&gt;0,1,0)</f>
        <v>0</v>
      </c>
      <c r="S432">
        <f t="shared" si="12"/>
        <v>1</v>
      </c>
      <c r="T432">
        <f t="shared" si="13"/>
        <v>1</v>
      </c>
    </row>
    <row r="433" spans="1:20" x14ac:dyDescent="0.2">
      <c r="A433" t="s">
        <v>538</v>
      </c>
      <c r="B433">
        <f>IF(COUNTIFS('United Data'!$A$3:$A$3390,B$1,'United Data'!$C$3:$C$3390,$A433)&gt;0,1,0)</f>
        <v>0</v>
      </c>
      <c r="C433">
        <f>IF(COUNTIFS('United Data'!$A$3:$A$3390,C$1,'United Data'!$C$3:$C$3390,$A433)&gt;0,1,0)</f>
        <v>0</v>
      </c>
      <c r="D433">
        <f>IF(COUNTIFS('United Data'!$A$3:$A$3390,D$1,'United Data'!$C$3:$C$3390,$A433)&gt;0,1,0)</f>
        <v>0</v>
      </c>
      <c r="E433">
        <f>IF(COUNTIFS('United Data'!$A$3:$A$3390,E$1,'United Data'!$C$3:$C$3390,$A433)&gt;0,1,0)</f>
        <v>0</v>
      </c>
      <c r="F433">
        <f>IF(COUNTIFS('United Data'!$A$3:$A$3390,F$1,'United Data'!$C$3:$C$3390,$A433)&gt;0,1,0)</f>
        <v>1</v>
      </c>
      <c r="G433">
        <f>IF(COUNTIFS('United Data'!$A$3:$A$3390,G$1,'United Data'!$C$3:$C$3390,$A433)&gt;0,1,0)</f>
        <v>0</v>
      </c>
      <c r="H433">
        <f>IF(COUNTIFS('United Data'!$A$3:$A$3390,H$1,'United Data'!$C$3:$C$3390,$A433)&gt;0,1,0)</f>
        <v>0</v>
      </c>
      <c r="I433">
        <f>IF(COUNTIFS('United Data'!$A$3:$A$3390,I$1,'United Data'!$C$3:$C$3390,$A433)&gt;0,1,0)</f>
        <v>0</v>
      </c>
      <c r="J433">
        <f>IF(COUNTIFS('United Data'!$A$3:$A$3390,J$1,'United Data'!$C$3:$C$3390,$A433)&gt;0,1,0)</f>
        <v>0</v>
      </c>
      <c r="K433">
        <f>IF(COUNTIFS('United Data'!$A$3:$A$3390,K$1,'United Data'!$C$3:$C$3390,$A433)&gt;0,1,0)</f>
        <v>1</v>
      </c>
      <c r="L433">
        <f>IF(COUNTIFS('United Data'!$A$3:$A$3390,L$1,'United Data'!$C$3:$C$3390,$A433)&gt;0,1,0)</f>
        <v>0</v>
      </c>
      <c r="M433">
        <f>IF(COUNTIFS('United Data'!$A$3:$A$3390,M$1,'United Data'!$C$3:$C$3390,$A433)&gt;0,1,0)</f>
        <v>0</v>
      </c>
      <c r="N433">
        <f>IF(COUNTIFS('United Data'!$A$3:$A$3390,N$1,'United Data'!$C$3:$C$3390,$A433)&gt;0,1,0)</f>
        <v>0</v>
      </c>
      <c r="O433">
        <f>IF(COUNTIFS('United Data'!$A$3:$A$3390,O$1,'United Data'!$C$3:$C$3390,$A433)&gt;0,1,0)</f>
        <v>0</v>
      </c>
      <c r="P433">
        <f>IF(COUNTIFS('United Data'!$A$3:$A$3390,P$1,'United Data'!$C$3:$C$3390,$A433)&gt;0,1,0)</f>
        <v>0</v>
      </c>
      <c r="Q433">
        <f>IF(COUNTIFS('United Data'!$A$3:$A$3390,Q$1,'United Data'!$C$3:$C$3390,$A433)&gt;0,1,0)</f>
        <v>0</v>
      </c>
      <c r="R433">
        <f>IF(COUNTIFS('United Data'!$A$3:$A$3390,R$1,'United Data'!$C$3:$C$3390,$A433)&gt;0,1,0)</f>
        <v>0</v>
      </c>
      <c r="S433">
        <f t="shared" si="12"/>
        <v>2</v>
      </c>
      <c r="T433">
        <f t="shared" si="13"/>
        <v>2</v>
      </c>
    </row>
    <row r="434" spans="1:20" x14ac:dyDescent="0.2">
      <c r="A434" t="s">
        <v>539</v>
      </c>
      <c r="B434">
        <f>IF(COUNTIFS('United Data'!$A$3:$A$3390,B$1,'United Data'!$C$3:$C$3390,$A434)&gt;0,1,0)</f>
        <v>0</v>
      </c>
      <c r="C434">
        <f>IF(COUNTIFS('United Data'!$A$3:$A$3390,C$1,'United Data'!$C$3:$C$3390,$A434)&gt;0,1,0)</f>
        <v>0</v>
      </c>
      <c r="D434">
        <f>IF(COUNTIFS('United Data'!$A$3:$A$3390,D$1,'United Data'!$C$3:$C$3390,$A434)&gt;0,1,0)</f>
        <v>0</v>
      </c>
      <c r="E434">
        <f>IF(COUNTIFS('United Data'!$A$3:$A$3390,E$1,'United Data'!$C$3:$C$3390,$A434)&gt;0,1,0)</f>
        <v>0</v>
      </c>
      <c r="F434">
        <f>IF(COUNTIFS('United Data'!$A$3:$A$3390,F$1,'United Data'!$C$3:$C$3390,$A434)&gt;0,1,0)</f>
        <v>1</v>
      </c>
      <c r="G434">
        <f>IF(COUNTIFS('United Data'!$A$3:$A$3390,G$1,'United Data'!$C$3:$C$3390,$A434)&gt;0,1,0)</f>
        <v>0</v>
      </c>
      <c r="H434">
        <f>IF(COUNTIFS('United Data'!$A$3:$A$3390,H$1,'United Data'!$C$3:$C$3390,$A434)&gt;0,1,0)</f>
        <v>0</v>
      </c>
      <c r="I434">
        <f>IF(COUNTIFS('United Data'!$A$3:$A$3390,I$1,'United Data'!$C$3:$C$3390,$A434)&gt;0,1,0)</f>
        <v>0</v>
      </c>
      <c r="J434">
        <f>IF(COUNTIFS('United Data'!$A$3:$A$3390,J$1,'United Data'!$C$3:$C$3390,$A434)&gt;0,1,0)</f>
        <v>0</v>
      </c>
      <c r="K434">
        <f>IF(COUNTIFS('United Data'!$A$3:$A$3390,K$1,'United Data'!$C$3:$C$3390,$A434)&gt;0,1,0)</f>
        <v>0</v>
      </c>
      <c r="L434">
        <f>IF(COUNTIFS('United Data'!$A$3:$A$3390,L$1,'United Data'!$C$3:$C$3390,$A434)&gt;0,1,0)</f>
        <v>0</v>
      </c>
      <c r="M434">
        <f>IF(COUNTIFS('United Data'!$A$3:$A$3390,M$1,'United Data'!$C$3:$C$3390,$A434)&gt;0,1,0)</f>
        <v>1</v>
      </c>
      <c r="N434">
        <f>IF(COUNTIFS('United Data'!$A$3:$A$3390,N$1,'United Data'!$C$3:$C$3390,$A434)&gt;0,1,0)</f>
        <v>1</v>
      </c>
      <c r="O434">
        <f>IF(COUNTIFS('United Data'!$A$3:$A$3390,O$1,'United Data'!$C$3:$C$3390,$A434)&gt;0,1,0)</f>
        <v>0</v>
      </c>
      <c r="P434">
        <f>IF(COUNTIFS('United Data'!$A$3:$A$3390,P$1,'United Data'!$C$3:$C$3390,$A434)&gt;0,1,0)</f>
        <v>0</v>
      </c>
      <c r="Q434">
        <f>IF(COUNTIFS('United Data'!$A$3:$A$3390,Q$1,'United Data'!$C$3:$C$3390,$A434)&gt;0,1,0)</f>
        <v>0</v>
      </c>
      <c r="R434">
        <f>IF(COUNTIFS('United Data'!$A$3:$A$3390,R$1,'United Data'!$C$3:$C$3390,$A434)&gt;0,1,0)</f>
        <v>0</v>
      </c>
      <c r="S434">
        <f t="shared" si="12"/>
        <v>3</v>
      </c>
      <c r="T434">
        <f t="shared" si="13"/>
        <v>2</v>
      </c>
    </row>
    <row r="435" spans="1:20" x14ac:dyDescent="0.2">
      <c r="A435" t="s">
        <v>540</v>
      </c>
      <c r="B435">
        <f>IF(COUNTIFS('United Data'!$A$3:$A$3390,B$1,'United Data'!$C$3:$C$3390,$A435)&gt;0,1,0)</f>
        <v>0</v>
      </c>
      <c r="C435">
        <f>IF(COUNTIFS('United Data'!$A$3:$A$3390,C$1,'United Data'!$C$3:$C$3390,$A435)&gt;0,1,0)</f>
        <v>0</v>
      </c>
      <c r="D435">
        <f>IF(COUNTIFS('United Data'!$A$3:$A$3390,D$1,'United Data'!$C$3:$C$3390,$A435)&gt;0,1,0)</f>
        <v>0</v>
      </c>
      <c r="E435">
        <f>IF(COUNTIFS('United Data'!$A$3:$A$3390,E$1,'United Data'!$C$3:$C$3390,$A435)&gt;0,1,0)</f>
        <v>0</v>
      </c>
      <c r="F435">
        <f>IF(COUNTIFS('United Data'!$A$3:$A$3390,F$1,'United Data'!$C$3:$C$3390,$A435)&gt;0,1,0)</f>
        <v>1</v>
      </c>
      <c r="G435">
        <f>IF(COUNTIFS('United Data'!$A$3:$A$3390,G$1,'United Data'!$C$3:$C$3390,$A435)&gt;0,1,0)</f>
        <v>0</v>
      </c>
      <c r="H435">
        <f>IF(COUNTIFS('United Data'!$A$3:$A$3390,H$1,'United Data'!$C$3:$C$3390,$A435)&gt;0,1,0)</f>
        <v>0</v>
      </c>
      <c r="I435">
        <f>IF(COUNTIFS('United Data'!$A$3:$A$3390,I$1,'United Data'!$C$3:$C$3390,$A435)&gt;0,1,0)</f>
        <v>0</v>
      </c>
      <c r="J435">
        <f>IF(COUNTIFS('United Data'!$A$3:$A$3390,J$1,'United Data'!$C$3:$C$3390,$A435)&gt;0,1,0)</f>
        <v>0</v>
      </c>
      <c r="K435">
        <f>IF(COUNTIFS('United Data'!$A$3:$A$3390,K$1,'United Data'!$C$3:$C$3390,$A435)&gt;0,1,0)</f>
        <v>0</v>
      </c>
      <c r="L435">
        <f>IF(COUNTIFS('United Data'!$A$3:$A$3390,L$1,'United Data'!$C$3:$C$3390,$A435)&gt;0,1,0)</f>
        <v>0</v>
      </c>
      <c r="M435">
        <f>IF(COUNTIFS('United Data'!$A$3:$A$3390,M$1,'United Data'!$C$3:$C$3390,$A435)&gt;0,1,0)</f>
        <v>0</v>
      </c>
      <c r="N435">
        <f>IF(COUNTIFS('United Data'!$A$3:$A$3390,N$1,'United Data'!$C$3:$C$3390,$A435)&gt;0,1,0)</f>
        <v>0</v>
      </c>
      <c r="O435">
        <f>IF(COUNTIFS('United Data'!$A$3:$A$3390,O$1,'United Data'!$C$3:$C$3390,$A435)&gt;0,1,0)</f>
        <v>0</v>
      </c>
      <c r="P435">
        <f>IF(COUNTIFS('United Data'!$A$3:$A$3390,P$1,'United Data'!$C$3:$C$3390,$A435)&gt;0,1,0)</f>
        <v>0</v>
      </c>
      <c r="Q435">
        <f>IF(COUNTIFS('United Data'!$A$3:$A$3390,Q$1,'United Data'!$C$3:$C$3390,$A435)&gt;0,1,0)</f>
        <v>0</v>
      </c>
      <c r="R435">
        <f>IF(COUNTIFS('United Data'!$A$3:$A$3390,R$1,'United Data'!$C$3:$C$3390,$A435)&gt;0,1,0)</f>
        <v>0</v>
      </c>
      <c r="S435">
        <f t="shared" si="12"/>
        <v>1</v>
      </c>
      <c r="T435">
        <f t="shared" si="13"/>
        <v>1</v>
      </c>
    </row>
    <row r="436" spans="1:20" x14ac:dyDescent="0.2">
      <c r="A436" t="s">
        <v>541</v>
      </c>
      <c r="B436">
        <f>IF(COUNTIFS('United Data'!$A$3:$A$3390,B$1,'United Data'!$C$3:$C$3390,$A436)&gt;0,1,0)</f>
        <v>0</v>
      </c>
      <c r="C436">
        <f>IF(COUNTIFS('United Data'!$A$3:$A$3390,C$1,'United Data'!$C$3:$C$3390,$A436)&gt;0,1,0)</f>
        <v>0</v>
      </c>
      <c r="D436">
        <f>IF(COUNTIFS('United Data'!$A$3:$A$3390,D$1,'United Data'!$C$3:$C$3390,$A436)&gt;0,1,0)</f>
        <v>0</v>
      </c>
      <c r="E436">
        <f>IF(COUNTIFS('United Data'!$A$3:$A$3390,E$1,'United Data'!$C$3:$C$3390,$A436)&gt;0,1,0)</f>
        <v>0</v>
      </c>
      <c r="F436">
        <f>IF(COUNTIFS('United Data'!$A$3:$A$3390,F$1,'United Data'!$C$3:$C$3390,$A436)&gt;0,1,0)</f>
        <v>1</v>
      </c>
      <c r="G436">
        <f>IF(COUNTIFS('United Data'!$A$3:$A$3390,G$1,'United Data'!$C$3:$C$3390,$A436)&gt;0,1,0)</f>
        <v>0</v>
      </c>
      <c r="H436">
        <f>IF(COUNTIFS('United Data'!$A$3:$A$3390,H$1,'United Data'!$C$3:$C$3390,$A436)&gt;0,1,0)</f>
        <v>0</v>
      </c>
      <c r="I436">
        <f>IF(COUNTIFS('United Data'!$A$3:$A$3390,I$1,'United Data'!$C$3:$C$3390,$A436)&gt;0,1,0)</f>
        <v>0</v>
      </c>
      <c r="J436">
        <f>IF(COUNTIFS('United Data'!$A$3:$A$3390,J$1,'United Data'!$C$3:$C$3390,$A436)&gt;0,1,0)</f>
        <v>0</v>
      </c>
      <c r="K436">
        <f>IF(COUNTIFS('United Data'!$A$3:$A$3390,K$1,'United Data'!$C$3:$C$3390,$A436)&gt;0,1,0)</f>
        <v>0</v>
      </c>
      <c r="L436">
        <f>IF(COUNTIFS('United Data'!$A$3:$A$3390,L$1,'United Data'!$C$3:$C$3390,$A436)&gt;0,1,0)</f>
        <v>0</v>
      </c>
      <c r="M436">
        <f>IF(COUNTIFS('United Data'!$A$3:$A$3390,M$1,'United Data'!$C$3:$C$3390,$A436)&gt;0,1,0)</f>
        <v>0</v>
      </c>
      <c r="N436">
        <f>IF(COUNTIFS('United Data'!$A$3:$A$3390,N$1,'United Data'!$C$3:$C$3390,$A436)&gt;0,1,0)</f>
        <v>0</v>
      </c>
      <c r="O436">
        <f>IF(COUNTIFS('United Data'!$A$3:$A$3390,O$1,'United Data'!$C$3:$C$3390,$A436)&gt;0,1,0)</f>
        <v>0</v>
      </c>
      <c r="P436">
        <f>IF(COUNTIFS('United Data'!$A$3:$A$3390,P$1,'United Data'!$C$3:$C$3390,$A436)&gt;0,1,0)</f>
        <v>0</v>
      </c>
      <c r="Q436">
        <f>IF(COUNTIFS('United Data'!$A$3:$A$3390,Q$1,'United Data'!$C$3:$C$3390,$A436)&gt;0,1,0)</f>
        <v>0</v>
      </c>
      <c r="R436">
        <f>IF(COUNTIFS('United Data'!$A$3:$A$3390,R$1,'United Data'!$C$3:$C$3390,$A436)&gt;0,1,0)</f>
        <v>0</v>
      </c>
      <c r="S436">
        <f t="shared" si="12"/>
        <v>1</v>
      </c>
      <c r="T436">
        <f t="shared" si="13"/>
        <v>1</v>
      </c>
    </row>
    <row r="437" spans="1:20" x14ac:dyDescent="0.2">
      <c r="A437" t="s">
        <v>542</v>
      </c>
      <c r="B437">
        <f>IF(COUNTIFS('United Data'!$A$3:$A$3390,B$1,'United Data'!$C$3:$C$3390,$A437)&gt;0,1,0)</f>
        <v>0</v>
      </c>
      <c r="C437">
        <f>IF(COUNTIFS('United Data'!$A$3:$A$3390,C$1,'United Data'!$C$3:$C$3390,$A437)&gt;0,1,0)</f>
        <v>0</v>
      </c>
      <c r="D437">
        <f>IF(COUNTIFS('United Data'!$A$3:$A$3390,D$1,'United Data'!$C$3:$C$3390,$A437)&gt;0,1,0)</f>
        <v>0</v>
      </c>
      <c r="E437">
        <f>IF(COUNTIFS('United Data'!$A$3:$A$3390,E$1,'United Data'!$C$3:$C$3390,$A437)&gt;0,1,0)</f>
        <v>0</v>
      </c>
      <c r="F437">
        <f>IF(COUNTIFS('United Data'!$A$3:$A$3390,F$1,'United Data'!$C$3:$C$3390,$A437)&gt;0,1,0)</f>
        <v>1</v>
      </c>
      <c r="G437">
        <f>IF(COUNTIFS('United Data'!$A$3:$A$3390,G$1,'United Data'!$C$3:$C$3390,$A437)&gt;0,1,0)</f>
        <v>0</v>
      </c>
      <c r="H437">
        <f>IF(COUNTIFS('United Data'!$A$3:$A$3390,H$1,'United Data'!$C$3:$C$3390,$A437)&gt;0,1,0)</f>
        <v>0</v>
      </c>
      <c r="I437">
        <f>IF(COUNTIFS('United Data'!$A$3:$A$3390,I$1,'United Data'!$C$3:$C$3390,$A437)&gt;0,1,0)</f>
        <v>0</v>
      </c>
      <c r="J437">
        <f>IF(COUNTIFS('United Data'!$A$3:$A$3390,J$1,'United Data'!$C$3:$C$3390,$A437)&gt;0,1,0)</f>
        <v>0</v>
      </c>
      <c r="K437">
        <f>IF(COUNTIFS('United Data'!$A$3:$A$3390,K$1,'United Data'!$C$3:$C$3390,$A437)&gt;0,1,0)</f>
        <v>0</v>
      </c>
      <c r="L437">
        <f>IF(COUNTIFS('United Data'!$A$3:$A$3390,L$1,'United Data'!$C$3:$C$3390,$A437)&gt;0,1,0)</f>
        <v>0</v>
      </c>
      <c r="M437">
        <f>IF(COUNTIFS('United Data'!$A$3:$A$3390,M$1,'United Data'!$C$3:$C$3390,$A437)&gt;0,1,0)</f>
        <v>0</v>
      </c>
      <c r="N437">
        <f>IF(COUNTIFS('United Data'!$A$3:$A$3390,N$1,'United Data'!$C$3:$C$3390,$A437)&gt;0,1,0)</f>
        <v>0</v>
      </c>
      <c r="O437">
        <f>IF(COUNTIFS('United Data'!$A$3:$A$3390,O$1,'United Data'!$C$3:$C$3390,$A437)&gt;0,1,0)</f>
        <v>0</v>
      </c>
      <c r="P437">
        <f>IF(COUNTIFS('United Data'!$A$3:$A$3390,P$1,'United Data'!$C$3:$C$3390,$A437)&gt;0,1,0)</f>
        <v>0</v>
      </c>
      <c r="Q437">
        <f>IF(COUNTIFS('United Data'!$A$3:$A$3390,Q$1,'United Data'!$C$3:$C$3390,$A437)&gt;0,1,0)</f>
        <v>0</v>
      </c>
      <c r="R437">
        <f>IF(COUNTIFS('United Data'!$A$3:$A$3390,R$1,'United Data'!$C$3:$C$3390,$A437)&gt;0,1,0)</f>
        <v>0</v>
      </c>
      <c r="S437">
        <f t="shared" si="12"/>
        <v>1</v>
      </c>
      <c r="T437">
        <f t="shared" si="13"/>
        <v>1</v>
      </c>
    </row>
    <row r="438" spans="1:20" x14ac:dyDescent="0.2">
      <c r="A438" t="s">
        <v>543</v>
      </c>
      <c r="B438">
        <f>IF(COUNTIFS('United Data'!$A$3:$A$3390,B$1,'United Data'!$C$3:$C$3390,$A438)&gt;0,1,0)</f>
        <v>0</v>
      </c>
      <c r="C438">
        <f>IF(COUNTIFS('United Data'!$A$3:$A$3390,C$1,'United Data'!$C$3:$C$3390,$A438)&gt;0,1,0)</f>
        <v>0</v>
      </c>
      <c r="D438">
        <f>IF(COUNTIFS('United Data'!$A$3:$A$3390,D$1,'United Data'!$C$3:$C$3390,$A438)&gt;0,1,0)</f>
        <v>0</v>
      </c>
      <c r="E438">
        <f>IF(COUNTIFS('United Data'!$A$3:$A$3390,E$1,'United Data'!$C$3:$C$3390,$A438)&gt;0,1,0)</f>
        <v>0</v>
      </c>
      <c r="F438">
        <f>IF(COUNTIFS('United Data'!$A$3:$A$3390,F$1,'United Data'!$C$3:$C$3390,$A438)&gt;0,1,0)</f>
        <v>0</v>
      </c>
      <c r="G438">
        <f>IF(COUNTIFS('United Data'!$A$3:$A$3390,G$1,'United Data'!$C$3:$C$3390,$A438)&gt;0,1,0)</f>
        <v>1</v>
      </c>
      <c r="H438">
        <f>IF(COUNTIFS('United Data'!$A$3:$A$3390,H$1,'United Data'!$C$3:$C$3390,$A438)&gt;0,1,0)</f>
        <v>0</v>
      </c>
      <c r="I438">
        <f>IF(COUNTIFS('United Data'!$A$3:$A$3390,I$1,'United Data'!$C$3:$C$3390,$A438)&gt;0,1,0)</f>
        <v>0</v>
      </c>
      <c r="J438">
        <f>IF(COUNTIFS('United Data'!$A$3:$A$3390,J$1,'United Data'!$C$3:$C$3390,$A438)&gt;0,1,0)</f>
        <v>0</v>
      </c>
      <c r="K438">
        <f>IF(COUNTIFS('United Data'!$A$3:$A$3390,K$1,'United Data'!$C$3:$C$3390,$A438)&gt;0,1,0)</f>
        <v>0</v>
      </c>
      <c r="L438">
        <f>IF(COUNTIFS('United Data'!$A$3:$A$3390,L$1,'United Data'!$C$3:$C$3390,$A438)&gt;0,1,0)</f>
        <v>0</v>
      </c>
      <c r="M438">
        <f>IF(COUNTIFS('United Data'!$A$3:$A$3390,M$1,'United Data'!$C$3:$C$3390,$A438)&gt;0,1,0)</f>
        <v>0</v>
      </c>
      <c r="N438">
        <f>IF(COUNTIFS('United Data'!$A$3:$A$3390,N$1,'United Data'!$C$3:$C$3390,$A438)&gt;0,1,0)</f>
        <v>0</v>
      </c>
      <c r="O438">
        <f>IF(COUNTIFS('United Data'!$A$3:$A$3390,O$1,'United Data'!$C$3:$C$3390,$A438)&gt;0,1,0)</f>
        <v>0</v>
      </c>
      <c r="P438">
        <f>IF(COUNTIFS('United Data'!$A$3:$A$3390,P$1,'United Data'!$C$3:$C$3390,$A438)&gt;0,1,0)</f>
        <v>0</v>
      </c>
      <c r="Q438">
        <f>IF(COUNTIFS('United Data'!$A$3:$A$3390,Q$1,'United Data'!$C$3:$C$3390,$A438)&gt;0,1,0)</f>
        <v>0</v>
      </c>
      <c r="R438">
        <f>IF(COUNTIFS('United Data'!$A$3:$A$3390,R$1,'United Data'!$C$3:$C$3390,$A438)&gt;0,1,0)</f>
        <v>0</v>
      </c>
      <c r="S438">
        <f t="shared" si="12"/>
        <v>1</v>
      </c>
      <c r="T438">
        <f t="shared" si="13"/>
        <v>1</v>
      </c>
    </row>
    <row r="439" spans="1:20" x14ac:dyDescent="0.2">
      <c r="A439" t="s">
        <v>544</v>
      </c>
      <c r="B439">
        <f>IF(COUNTIFS('United Data'!$A$3:$A$3390,B$1,'United Data'!$C$3:$C$3390,$A439)&gt;0,1,0)</f>
        <v>0</v>
      </c>
      <c r="C439">
        <f>IF(COUNTIFS('United Data'!$A$3:$A$3390,C$1,'United Data'!$C$3:$C$3390,$A439)&gt;0,1,0)</f>
        <v>0</v>
      </c>
      <c r="D439">
        <f>IF(COUNTIFS('United Data'!$A$3:$A$3390,D$1,'United Data'!$C$3:$C$3390,$A439)&gt;0,1,0)</f>
        <v>0</v>
      </c>
      <c r="E439">
        <f>IF(COUNTIFS('United Data'!$A$3:$A$3390,E$1,'United Data'!$C$3:$C$3390,$A439)&gt;0,1,0)</f>
        <v>0</v>
      </c>
      <c r="F439">
        <f>IF(COUNTIFS('United Data'!$A$3:$A$3390,F$1,'United Data'!$C$3:$C$3390,$A439)&gt;0,1,0)</f>
        <v>0</v>
      </c>
      <c r="G439">
        <f>IF(COUNTIFS('United Data'!$A$3:$A$3390,G$1,'United Data'!$C$3:$C$3390,$A439)&gt;0,1,0)</f>
        <v>1</v>
      </c>
      <c r="H439">
        <f>IF(COUNTIFS('United Data'!$A$3:$A$3390,H$1,'United Data'!$C$3:$C$3390,$A439)&gt;0,1,0)</f>
        <v>0</v>
      </c>
      <c r="I439">
        <f>IF(COUNTIFS('United Data'!$A$3:$A$3390,I$1,'United Data'!$C$3:$C$3390,$A439)&gt;0,1,0)</f>
        <v>0</v>
      </c>
      <c r="J439">
        <f>IF(COUNTIFS('United Data'!$A$3:$A$3390,J$1,'United Data'!$C$3:$C$3390,$A439)&gt;0,1,0)</f>
        <v>0</v>
      </c>
      <c r="K439">
        <f>IF(COUNTIFS('United Data'!$A$3:$A$3390,K$1,'United Data'!$C$3:$C$3390,$A439)&gt;0,1,0)</f>
        <v>0</v>
      </c>
      <c r="L439">
        <f>IF(COUNTIFS('United Data'!$A$3:$A$3390,L$1,'United Data'!$C$3:$C$3390,$A439)&gt;0,1,0)</f>
        <v>0</v>
      </c>
      <c r="M439">
        <f>IF(COUNTIFS('United Data'!$A$3:$A$3390,M$1,'United Data'!$C$3:$C$3390,$A439)&gt;0,1,0)</f>
        <v>0</v>
      </c>
      <c r="N439">
        <f>IF(COUNTIFS('United Data'!$A$3:$A$3390,N$1,'United Data'!$C$3:$C$3390,$A439)&gt;0,1,0)</f>
        <v>0</v>
      </c>
      <c r="O439">
        <f>IF(COUNTIFS('United Data'!$A$3:$A$3390,O$1,'United Data'!$C$3:$C$3390,$A439)&gt;0,1,0)</f>
        <v>0</v>
      </c>
      <c r="P439">
        <f>IF(COUNTIFS('United Data'!$A$3:$A$3390,P$1,'United Data'!$C$3:$C$3390,$A439)&gt;0,1,0)</f>
        <v>0</v>
      </c>
      <c r="Q439">
        <f>IF(COUNTIFS('United Data'!$A$3:$A$3390,Q$1,'United Data'!$C$3:$C$3390,$A439)&gt;0,1,0)</f>
        <v>0</v>
      </c>
      <c r="R439">
        <f>IF(COUNTIFS('United Data'!$A$3:$A$3390,R$1,'United Data'!$C$3:$C$3390,$A439)&gt;0,1,0)</f>
        <v>0</v>
      </c>
      <c r="S439">
        <f t="shared" si="12"/>
        <v>1</v>
      </c>
      <c r="T439">
        <f t="shared" si="13"/>
        <v>1</v>
      </c>
    </row>
    <row r="440" spans="1:20" x14ac:dyDescent="0.2">
      <c r="A440" t="s">
        <v>545</v>
      </c>
      <c r="B440">
        <f>IF(COUNTIFS('United Data'!$A$3:$A$3390,B$1,'United Data'!$C$3:$C$3390,$A440)&gt;0,1,0)</f>
        <v>0</v>
      </c>
      <c r="C440">
        <f>IF(COUNTIFS('United Data'!$A$3:$A$3390,C$1,'United Data'!$C$3:$C$3390,$A440)&gt;0,1,0)</f>
        <v>0</v>
      </c>
      <c r="D440">
        <f>IF(COUNTIFS('United Data'!$A$3:$A$3390,D$1,'United Data'!$C$3:$C$3390,$A440)&gt;0,1,0)</f>
        <v>0</v>
      </c>
      <c r="E440">
        <f>IF(COUNTIFS('United Data'!$A$3:$A$3390,E$1,'United Data'!$C$3:$C$3390,$A440)&gt;0,1,0)</f>
        <v>0</v>
      </c>
      <c r="F440">
        <f>IF(COUNTIFS('United Data'!$A$3:$A$3390,F$1,'United Data'!$C$3:$C$3390,$A440)&gt;0,1,0)</f>
        <v>0</v>
      </c>
      <c r="G440">
        <f>IF(COUNTIFS('United Data'!$A$3:$A$3390,G$1,'United Data'!$C$3:$C$3390,$A440)&gt;0,1,0)</f>
        <v>0</v>
      </c>
      <c r="H440">
        <f>IF(COUNTIFS('United Data'!$A$3:$A$3390,H$1,'United Data'!$C$3:$C$3390,$A440)&gt;0,1,0)</f>
        <v>1</v>
      </c>
      <c r="I440">
        <f>IF(COUNTIFS('United Data'!$A$3:$A$3390,I$1,'United Data'!$C$3:$C$3390,$A440)&gt;0,1,0)</f>
        <v>0</v>
      </c>
      <c r="J440">
        <f>IF(COUNTIFS('United Data'!$A$3:$A$3390,J$1,'United Data'!$C$3:$C$3390,$A440)&gt;0,1,0)</f>
        <v>0</v>
      </c>
      <c r="K440">
        <f>IF(COUNTIFS('United Data'!$A$3:$A$3390,K$1,'United Data'!$C$3:$C$3390,$A440)&gt;0,1,0)</f>
        <v>0</v>
      </c>
      <c r="L440">
        <f>IF(COUNTIFS('United Data'!$A$3:$A$3390,L$1,'United Data'!$C$3:$C$3390,$A440)&gt;0,1,0)</f>
        <v>0</v>
      </c>
      <c r="M440">
        <f>IF(COUNTIFS('United Data'!$A$3:$A$3390,M$1,'United Data'!$C$3:$C$3390,$A440)&gt;0,1,0)</f>
        <v>0</v>
      </c>
      <c r="N440">
        <f>IF(COUNTIFS('United Data'!$A$3:$A$3390,N$1,'United Data'!$C$3:$C$3390,$A440)&gt;0,1,0)</f>
        <v>0</v>
      </c>
      <c r="O440">
        <f>IF(COUNTIFS('United Data'!$A$3:$A$3390,O$1,'United Data'!$C$3:$C$3390,$A440)&gt;0,1,0)</f>
        <v>0</v>
      </c>
      <c r="P440">
        <f>IF(COUNTIFS('United Data'!$A$3:$A$3390,P$1,'United Data'!$C$3:$C$3390,$A440)&gt;0,1,0)</f>
        <v>0</v>
      </c>
      <c r="Q440">
        <f>IF(COUNTIFS('United Data'!$A$3:$A$3390,Q$1,'United Data'!$C$3:$C$3390,$A440)&gt;0,1,0)</f>
        <v>0</v>
      </c>
      <c r="R440">
        <f>IF(COUNTIFS('United Data'!$A$3:$A$3390,R$1,'United Data'!$C$3:$C$3390,$A440)&gt;0,1,0)</f>
        <v>0</v>
      </c>
      <c r="S440">
        <f t="shared" si="12"/>
        <v>1</v>
      </c>
      <c r="T440">
        <f t="shared" si="13"/>
        <v>1</v>
      </c>
    </row>
    <row r="441" spans="1:20" x14ac:dyDescent="0.2">
      <c r="A441" t="s">
        <v>546</v>
      </c>
      <c r="B441">
        <f>IF(COUNTIFS('United Data'!$A$3:$A$3390,B$1,'United Data'!$C$3:$C$3390,$A441)&gt;0,1,0)</f>
        <v>0</v>
      </c>
      <c r="C441">
        <f>IF(COUNTIFS('United Data'!$A$3:$A$3390,C$1,'United Data'!$C$3:$C$3390,$A441)&gt;0,1,0)</f>
        <v>0</v>
      </c>
      <c r="D441">
        <f>IF(COUNTIFS('United Data'!$A$3:$A$3390,D$1,'United Data'!$C$3:$C$3390,$A441)&gt;0,1,0)</f>
        <v>0</v>
      </c>
      <c r="E441">
        <f>IF(COUNTIFS('United Data'!$A$3:$A$3390,E$1,'United Data'!$C$3:$C$3390,$A441)&gt;0,1,0)</f>
        <v>0</v>
      </c>
      <c r="F441">
        <f>IF(COUNTIFS('United Data'!$A$3:$A$3390,F$1,'United Data'!$C$3:$C$3390,$A441)&gt;0,1,0)</f>
        <v>0</v>
      </c>
      <c r="G441">
        <f>IF(COUNTIFS('United Data'!$A$3:$A$3390,G$1,'United Data'!$C$3:$C$3390,$A441)&gt;0,1,0)</f>
        <v>0</v>
      </c>
      <c r="H441">
        <f>IF(COUNTIFS('United Data'!$A$3:$A$3390,H$1,'United Data'!$C$3:$C$3390,$A441)&gt;0,1,0)</f>
        <v>1</v>
      </c>
      <c r="I441">
        <f>IF(COUNTIFS('United Data'!$A$3:$A$3390,I$1,'United Data'!$C$3:$C$3390,$A441)&gt;0,1,0)</f>
        <v>0</v>
      </c>
      <c r="J441">
        <f>IF(COUNTIFS('United Data'!$A$3:$A$3390,J$1,'United Data'!$C$3:$C$3390,$A441)&gt;0,1,0)</f>
        <v>0</v>
      </c>
      <c r="K441">
        <f>IF(COUNTIFS('United Data'!$A$3:$A$3390,K$1,'United Data'!$C$3:$C$3390,$A441)&gt;0,1,0)</f>
        <v>0</v>
      </c>
      <c r="L441">
        <f>IF(COUNTIFS('United Data'!$A$3:$A$3390,L$1,'United Data'!$C$3:$C$3390,$A441)&gt;0,1,0)</f>
        <v>0</v>
      </c>
      <c r="M441">
        <f>IF(COUNTIFS('United Data'!$A$3:$A$3390,M$1,'United Data'!$C$3:$C$3390,$A441)&gt;0,1,0)</f>
        <v>0</v>
      </c>
      <c r="N441">
        <f>IF(COUNTIFS('United Data'!$A$3:$A$3390,N$1,'United Data'!$C$3:$C$3390,$A441)&gt;0,1,0)</f>
        <v>0</v>
      </c>
      <c r="O441">
        <f>IF(COUNTIFS('United Data'!$A$3:$A$3390,O$1,'United Data'!$C$3:$C$3390,$A441)&gt;0,1,0)</f>
        <v>0</v>
      </c>
      <c r="P441">
        <f>IF(COUNTIFS('United Data'!$A$3:$A$3390,P$1,'United Data'!$C$3:$C$3390,$A441)&gt;0,1,0)</f>
        <v>0</v>
      </c>
      <c r="Q441">
        <f>IF(COUNTIFS('United Data'!$A$3:$A$3390,Q$1,'United Data'!$C$3:$C$3390,$A441)&gt;0,1,0)</f>
        <v>0</v>
      </c>
      <c r="R441">
        <f>IF(COUNTIFS('United Data'!$A$3:$A$3390,R$1,'United Data'!$C$3:$C$3390,$A441)&gt;0,1,0)</f>
        <v>0</v>
      </c>
      <c r="S441">
        <f t="shared" si="12"/>
        <v>1</v>
      </c>
      <c r="T441">
        <f t="shared" si="13"/>
        <v>1</v>
      </c>
    </row>
    <row r="442" spans="1:20" x14ac:dyDescent="0.2">
      <c r="A442" t="s">
        <v>547</v>
      </c>
      <c r="B442">
        <f>IF(COUNTIFS('United Data'!$A$3:$A$3390,B$1,'United Data'!$C$3:$C$3390,$A442)&gt;0,1,0)</f>
        <v>0</v>
      </c>
      <c r="C442">
        <f>IF(COUNTIFS('United Data'!$A$3:$A$3390,C$1,'United Data'!$C$3:$C$3390,$A442)&gt;0,1,0)</f>
        <v>0</v>
      </c>
      <c r="D442">
        <f>IF(COUNTIFS('United Data'!$A$3:$A$3390,D$1,'United Data'!$C$3:$C$3390,$A442)&gt;0,1,0)</f>
        <v>0</v>
      </c>
      <c r="E442">
        <f>IF(COUNTIFS('United Data'!$A$3:$A$3390,E$1,'United Data'!$C$3:$C$3390,$A442)&gt;0,1,0)</f>
        <v>0</v>
      </c>
      <c r="F442">
        <f>IF(COUNTIFS('United Data'!$A$3:$A$3390,F$1,'United Data'!$C$3:$C$3390,$A442)&gt;0,1,0)</f>
        <v>0</v>
      </c>
      <c r="G442">
        <f>IF(COUNTIFS('United Data'!$A$3:$A$3390,G$1,'United Data'!$C$3:$C$3390,$A442)&gt;0,1,0)</f>
        <v>0</v>
      </c>
      <c r="H442">
        <f>IF(COUNTIFS('United Data'!$A$3:$A$3390,H$1,'United Data'!$C$3:$C$3390,$A442)&gt;0,1,0)</f>
        <v>1</v>
      </c>
      <c r="I442">
        <f>IF(COUNTIFS('United Data'!$A$3:$A$3390,I$1,'United Data'!$C$3:$C$3390,$A442)&gt;0,1,0)</f>
        <v>0</v>
      </c>
      <c r="J442">
        <f>IF(COUNTIFS('United Data'!$A$3:$A$3390,J$1,'United Data'!$C$3:$C$3390,$A442)&gt;0,1,0)</f>
        <v>0</v>
      </c>
      <c r="K442">
        <f>IF(COUNTIFS('United Data'!$A$3:$A$3390,K$1,'United Data'!$C$3:$C$3390,$A442)&gt;0,1,0)</f>
        <v>0</v>
      </c>
      <c r="L442">
        <f>IF(COUNTIFS('United Data'!$A$3:$A$3390,L$1,'United Data'!$C$3:$C$3390,$A442)&gt;0,1,0)</f>
        <v>0</v>
      </c>
      <c r="M442">
        <f>IF(COUNTIFS('United Data'!$A$3:$A$3390,M$1,'United Data'!$C$3:$C$3390,$A442)&gt;0,1,0)</f>
        <v>0</v>
      </c>
      <c r="N442">
        <f>IF(COUNTIFS('United Data'!$A$3:$A$3390,N$1,'United Data'!$C$3:$C$3390,$A442)&gt;0,1,0)</f>
        <v>0</v>
      </c>
      <c r="O442">
        <f>IF(COUNTIFS('United Data'!$A$3:$A$3390,O$1,'United Data'!$C$3:$C$3390,$A442)&gt;0,1,0)</f>
        <v>0</v>
      </c>
      <c r="P442">
        <f>IF(COUNTIFS('United Data'!$A$3:$A$3390,P$1,'United Data'!$C$3:$C$3390,$A442)&gt;0,1,0)</f>
        <v>0</v>
      </c>
      <c r="Q442">
        <f>IF(COUNTIFS('United Data'!$A$3:$A$3390,Q$1,'United Data'!$C$3:$C$3390,$A442)&gt;0,1,0)</f>
        <v>0</v>
      </c>
      <c r="R442">
        <f>IF(COUNTIFS('United Data'!$A$3:$A$3390,R$1,'United Data'!$C$3:$C$3390,$A442)&gt;0,1,0)</f>
        <v>0</v>
      </c>
      <c r="S442">
        <f t="shared" si="12"/>
        <v>1</v>
      </c>
      <c r="T442">
        <f t="shared" si="13"/>
        <v>1</v>
      </c>
    </row>
    <row r="443" spans="1:20" x14ac:dyDescent="0.2">
      <c r="A443" t="s">
        <v>548</v>
      </c>
      <c r="B443">
        <f>IF(COUNTIFS('United Data'!$A$3:$A$3390,B$1,'United Data'!$C$3:$C$3390,$A443)&gt;0,1,0)</f>
        <v>0</v>
      </c>
      <c r="C443">
        <f>IF(COUNTIFS('United Data'!$A$3:$A$3390,C$1,'United Data'!$C$3:$C$3390,$A443)&gt;0,1,0)</f>
        <v>0</v>
      </c>
      <c r="D443">
        <f>IF(COUNTIFS('United Data'!$A$3:$A$3390,D$1,'United Data'!$C$3:$C$3390,$A443)&gt;0,1,0)</f>
        <v>0</v>
      </c>
      <c r="E443">
        <f>IF(COUNTIFS('United Data'!$A$3:$A$3390,E$1,'United Data'!$C$3:$C$3390,$A443)&gt;0,1,0)</f>
        <v>0</v>
      </c>
      <c r="F443">
        <f>IF(COUNTIFS('United Data'!$A$3:$A$3390,F$1,'United Data'!$C$3:$C$3390,$A443)&gt;0,1,0)</f>
        <v>0</v>
      </c>
      <c r="G443">
        <f>IF(COUNTIFS('United Data'!$A$3:$A$3390,G$1,'United Data'!$C$3:$C$3390,$A443)&gt;0,1,0)</f>
        <v>1</v>
      </c>
      <c r="H443">
        <f>IF(COUNTIFS('United Data'!$A$3:$A$3390,H$1,'United Data'!$C$3:$C$3390,$A443)&gt;0,1,0)</f>
        <v>0</v>
      </c>
      <c r="I443">
        <f>IF(COUNTIFS('United Data'!$A$3:$A$3390,I$1,'United Data'!$C$3:$C$3390,$A443)&gt;0,1,0)</f>
        <v>1</v>
      </c>
      <c r="J443">
        <f>IF(COUNTIFS('United Data'!$A$3:$A$3390,J$1,'United Data'!$C$3:$C$3390,$A443)&gt;0,1,0)</f>
        <v>0</v>
      </c>
      <c r="K443">
        <f>IF(COUNTIFS('United Data'!$A$3:$A$3390,K$1,'United Data'!$C$3:$C$3390,$A443)&gt;0,1,0)</f>
        <v>0</v>
      </c>
      <c r="L443">
        <f>IF(COUNTIFS('United Data'!$A$3:$A$3390,L$1,'United Data'!$C$3:$C$3390,$A443)&gt;0,1,0)</f>
        <v>1</v>
      </c>
      <c r="M443">
        <f>IF(COUNTIFS('United Data'!$A$3:$A$3390,M$1,'United Data'!$C$3:$C$3390,$A443)&gt;0,1,0)</f>
        <v>0</v>
      </c>
      <c r="N443">
        <f>IF(COUNTIFS('United Data'!$A$3:$A$3390,N$1,'United Data'!$C$3:$C$3390,$A443)&gt;0,1,0)</f>
        <v>0</v>
      </c>
      <c r="O443">
        <f>IF(COUNTIFS('United Data'!$A$3:$A$3390,O$1,'United Data'!$C$3:$C$3390,$A443)&gt;0,1,0)</f>
        <v>0</v>
      </c>
      <c r="P443">
        <f>IF(COUNTIFS('United Data'!$A$3:$A$3390,P$1,'United Data'!$C$3:$C$3390,$A443)&gt;0,1,0)</f>
        <v>0</v>
      </c>
      <c r="Q443">
        <f>IF(COUNTIFS('United Data'!$A$3:$A$3390,Q$1,'United Data'!$C$3:$C$3390,$A443)&gt;0,1,0)</f>
        <v>1</v>
      </c>
      <c r="R443">
        <f>IF(COUNTIFS('United Data'!$A$3:$A$3390,R$1,'United Data'!$C$3:$C$3390,$A443)&gt;0,1,0)</f>
        <v>0</v>
      </c>
      <c r="S443">
        <f t="shared" si="12"/>
        <v>4</v>
      </c>
      <c r="T443">
        <f t="shared" si="13"/>
        <v>4</v>
      </c>
    </row>
    <row r="444" spans="1:20" x14ac:dyDescent="0.2">
      <c r="A444" t="s">
        <v>549</v>
      </c>
      <c r="B444">
        <f>IF(COUNTIFS('United Data'!$A$3:$A$3390,B$1,'United Data'!$C$3:$C$3390,$A444)&gt;0,1,0)</f>
        <v>0</v>
      </c>
      <c r="C444">
        <f>IF(COUNTIFS('United Data'!$A$3:$A$3390,C$1,'United Data'!$C$3:$C$3390,$A444)&gt;0,1,0)</f>
        <v>0</v>
      </c>
      <c r="D444">
        <f>IF(COUNTIFS('United Data'!$A$3:$A$3390,D$1,'United Data'!$C$3:$C$3390,$A444)&gt;0,1,0)</f>
        <v>0</v>
      </c>
      <c r="E444">
        <f>IF(COUNTIFS('United Data'!$A$3:$A$3390,E$1,'United Data'!$C$3:$C$3390,$A444)&gt;0,1,0)</f>
        <v>0</v>
      </c>
      <c r="F444">
        <f>IF(COUNTIFS('United Data'!$A$3:$A$3390,F$1,'United Data'!$C$3:$C$3390,$A444)&gt;0,1,0)</f>
        <v>0</v>
      </c>
      <c r="G444">
        <f>IF(COUNTIFS('United Data'!$A$3:$A$3390,G$1,'United Data'!$C$3:$C$3390,$A444)&gt;0,1,0)</f>
        <v>1</v>
      </c>
      <c r="H444">
        <f>IF(COUNTIFS('United Data'!$A$3:$A$3390,H$1,'United Data'!$C$3:$C$3390,$A444)&gt;0,1,0)</f>
        <v>0</v>
      </c>
      <c r="I444">
        <f>IF(COUNTIFS('United Data'!$A$3:$A$3390,I$1,'United Data'!$C$3:$C$3390,$A444)&gt;0,1,0)</f>
        <v>1</v>
      </c>
      <c r="J444">
        <f>IF(COUNTIFS('United Data'!$A$3:$A$3390,J$1,'United Data'!$C$3:$C$3390,$A444)&gt;0,1,0)</f>
        <v>0</v>
      </c>
      <c r="K444">
        <f>IF(COUNTIFS('United Data'!$A$3:$A$3390,K$1,'United Data'!$C$3:$C$3390,$A444)&gt;0,1,0)</f>
        <v>0</v>
      </c>
      <c r="L444">
        <f>IF(COUNTIFS('United Data'!$A$3:$A$3390,L$1,'United Data'!$C$3:$C$3390,$A444)&gt;0,1,0)</f>
        <v>1</v>
      </c>
      <c r="M444">
        <f>IF(COUNTIFS('United Data'!$A$3:$A$3390,M$1,'United Data'!$C$3:$C$3390,$A444)&gt;0,1,0)</f>
        <v>0</v>
      </c>
      <c r="N444">
        <f>IF(COUNTIFS('United Data'!$A$3:$A$3390,N$1,'United Data'!$C$3:$C$3390,$A444)&gt;0,1,0)</f>
        <v>0</v>
      </c>
      <c r="O444">
        <f>IF(COUNTIFS('United Data'!$A$3:$A$3390,O$1,'United Data'!$C$3:$C$3390,$A444)&gt;0,1,0)</f>
        <v>0</v>
      </c>
      <c r="P444">
        <f>IF(COUNTIFS('United Data'!$A$3:$A$3390,P$1,'United Data'!$C$3:$C$3390,$A444)&gt;0,1,0)</f>
        <v>0</v>
      </c>
      <c r="Q444">
        <f>IF(COUNTIFS('United Data'!$A$3:$A$3390,Q$1,'United Data'!$C$3:$C$3390,$A444)&gt;0,1,0)</f>
        <v>0</v>
      </c>
      <c r="R444">
        <f>IF(COUNTIFS('United Data'!$A$3:$A$3390,R$1,'United Data'!$C$3:$C$3390,$A444)&gt;0,1,0)</f>
        <v>0</v>
      </c>
      <c r="S444">
        <f t="shared" si="12"/>
        <v>3</v>
      </c>
      <c r="T444">
        <f t="shared" si="13"/>
        <v>3</v>
      </c>
    </row>
    <row r="445" spans="1:20" x14ac:dyDescent="0.2">
      <c r="A445" t="s">
        <v>551</v>
      </c>
      <c r="B445">
        <f>IF(COUNTIFS('United Data'!$A$3:$A$3390,B$1,'United Data'!$C$3:$C$3390,$A445)&gt;0,1,0)</f>
        <v>0</v>
      </c>
      <c r="C445">
        <f>IF(COUNTIFS('United Data'!$A$3:$A$3390,C$1,'United Data'!$C$3:$C$3390,$A445)&gt;0,1,0)</f>
        <v>0</v>
      </c>
      <c r="D445">
        <f>IF(COUNTIFS('United Data'!$A$3:$A$3390,D$1,'United Data'!$C$3:$C$3390,$A445)&gt;0,1,0)</f>
        <v>0</v>
      </c>
      <c r="E445">
        <f>IF(COUNTIFS('United Data'!$A$3:$A$3390,E$1,'United Data'!$C$3:$C$3390,$A445)&gt;0,1,0)</f>
        <v>0</v>
      </c>
      <c r="F445">
        <f>IF(COUNTIFS('United Data'!$A$3:$A$3390,F$1,'United Data'!$C$3:$C$3390,$A445)&gt;0,1,0)</f>
        <v>0</v>
      </c>
      <c r="G445">
        <f>IF(COUNTIFS('United Data'!$A$3:$A$3390,G$1,'United Data'!$C$3:$C$3390,$A445)&gt;0,1,0)</f>
        <v>0</v>
      </c>
      <c r="H445">
        <f>IF(COUNTIFS('United Data'!$A$3:$A$3390,H$1,'United Data'!$C$3:$C$3390,$A445)&gt;0,1,0)</f>
        <v>0</v>
      </c>
      <c r="I445">
        <f>IF(COUNTIFS('United Data'!$A$3:$A$3390,I$1,'United Data'!$C$3:$C$3390,$A445)&gt;0,1,0)</f>
        <v>0</v>
      </c>
      <c r="J445">
        <f>IF(COUNTIFS('United Data'!$A$3:$A$3390,J$1,'United Data'!$C$3:$C$3390,$A445)&gt;0,1,0)</f>
        <v>1</v>
      </c>
      <c r="K445">
        <f>IF(COUNTIFS('United Data'!$A$3:$A$3390,K$1,'United Data'!$C$3:$C$3390,$A445)&gt;0,1,0)</f>
        <v>0</v>
      </c>
      <c r="L445">
        <f>IF(COUNTIFS('United Data'!$A$3:$A$3390,L$1,'United Data'!$C$3:$C$3390,$A445)&gt;0,1,0)</f>
        <v>0</v>
      </c>
      <c r="M445">
        <f>IF(COUNTIFS('United Data'!$A$3:$A$3390,M$1,'United Data'!$C$3:$C$3390,$A445)&gt;0,1,0)</f>
        <v>0</v>
      </c>
      <c r="N445">
        <f>IF(COUNTIFS('United Data'!$A$3:$A$3390,N$1,'United Data'!$C$3:$C$3390,$A445)&gt;0,1,0)</f>
        <v>0</v>
      </c>
      <c r="O445">
        <f>IF(COUNTIFS('United Data'!$A$3:$A$3390,O$1,'United Data'!$C$3:$C$3390,$A445)&gt;0,1,0)</f>
        <v>0</v>
      </c>
      <c r="P445">
        <f>IF(COUNTIFS('United Data'!$A$3:$A$3390,P$1,'United Data'!$C$3:$C$3390,$A445)&gt;0,1,0)</f>
        <v>0</v>
      </c>
      <c r="Q445">
        <f>IF(COUNTIFS('United Data'!$A$3:$A$3390,Q$1,'United Data'!$C$3:$C$3390,$A445)&gt;0,1,0)</f>
        <v>0</v>
      </c>
      <c r="R445">
        <f>IF(COUNTIFS('United Data'!$A$3:$A$3390,R$1,'United Data'!$C$3:$C$3390,$A445)&gt;0,1,0)</f>
        <v>0</v>
      </c>
      <c r="S445">
        <f t="shared" si="12"/>
        <v>1</v>
      </c>
      <c r="T445">
        <f t="shared" si="13"/>
        <v>1</v>
      </c>
    </row>
    <row r="446" spans="1:20" x14ac:dyDescent="0.2">
      <c r="A446" t="s">
        <v>552</v>
      </c>
      <c r="B446">
        <f>IF(COUNTIFS('United Data'!$A$3:$A$3390,B$1,'United Data'!$C$3:$C$3390,$A446)&gt;0,1,0)</f>
        <v>0</v>
      </c>
      <c r="C446">
        <f>IF(COUNTIFS('United Data'!$A$3:$A$3390,C$1,'United Data'!$C$3:$C$3390,$A446)&gt;0,1,0)</f>
        <v>0</v>
      </c>
      <c r="D446">
        <f>IF(COUNTIFS('United Data'!$A$3:$A$3390,D$1,'United Data'!$C$3:$C$3390,$A446)&gt;0,1,0)</f>
        <v>0</v>
      </c>
      <c r="E446">
        <f>IF(COUNTIFS('United Data'!$A$3:$A$3390,E$1,'United Data'!$C$3:$C$3390,$A446)&gt;0,1,0)</f>
        <v>0</v>
      </c>
      <c r="F446">
        <f>IF(COUNTIFS('United Data'!$A$3:$A$3390,F$1,'United Data'!$C$3:$C$3390,$A446)&gt;0,1,0)</f>
        <v>0</v>
      </c>
      <c r="G446">
        <f>IF(COUNTIFS('United Data'!$A$3:$A$3390,G$1,'United Data'!$C$3:$C$3390,$A446)&gt;0,1,0)</f>
        <v>0</v>
      </c>
      <c r="H446">
        <f>IF(COUNTIFS('United Data'!$A$3:$A$3390,H$1,'United Data'!$C$3:$C$3390,$A446)&gt;0,1,0)</f>
        <v>0</v>
      </c>
      <c r="I446">
        <f>IF(COUNTIFS('United Data'!$A$3:$A$3390,I$1,'United Data'!$C$3:$C$3390,$A446)&gt;0,1,0)</f>
        <v>0</v>
      </c>
      <c r="J446">
        <f>IF(COUNTIFS('United Data'!$A$3:$A$3390,J$1,'United Data'!$C$3:$C$3390,$A446)&gt;0,1,0)</f>
        <v>1</v>
      </c>
      <c r="K446">
        <f>IF(COUNTIFS('United Data'!$A$3:$A$3390,K$1,'United Data'!$C$3:$C$3390,$A446)&gt;0,1,0)</f>
        <v>1</v>
      </c>
      <c r="L446">
        <f>IF(COUNTIFS('United Data'!$A$3:$A$3390,L$1,'United Data'!$C$3:$C$3390,$A446)&gt;0,1,0)</f>
        <v>0</v>
      </c>
      <c r="M446">
        <f>IF(COUNTIFS('United Data'!$A$3:$A$3390,M$1,'United Data'!$C$3:$C$3390,$A446)&gt;0,1,0)</f>
        <v>0</v>
      </c>
      <c r="N446">
        <f>IF(COUNTIFS('United Data'!$A$3:$A$3390,N$1,'United Data'!$C$3:$C$3390,$A446)&gt;0,1,0)</f>
        <v>0</v>
      </c>
      <c r="O446">
        <f>IF(COUNTIFS('United Data'!$A$3:$A$3390,O$1,'United Data'!$C$3:$C$3390,$A446)&gt;0,1,0)</f>
        <v>0</v>
      </c>
      <c r="P446">
        <f>IF(COUNTIFS('United Data'!$A$3:$A$3390,P$1,'United Data'!$C$3:$C$3390,$A446)&gt;0,1,0)</f>
        <v>0</v>
      </c>
      <c r="Q446">
        <f>IF(COUNTIFS('United Data'!$A$3:$A$3390,Q$1,'United Data'!$C$3:$C$3390,$A446)&gt;0,1,0)</f>
        <v>0</v>
      </c>
      <c r="R446">
        <f>IF(COUNTIFS('United Data'!$A$3:$A$3390,R$1,'United Data'!$C$3:$C$3390,$A446)&gt;0,1,0)</f>
        <v>0</v>
      </c>
      <c r="S446">
        <f t="shared" si="12"/>
        <v>2</v>
      </c>
      <c r="T446">
        <f t="shared" si="13"/>
        <v>1</v>
      </c>
    </row>
    <row r="447" spans="1:20" x14ac:dyDescent="0.2">
      <c r="A447" t="s">
        <v>553</v>
      </c>
      <c r="B447">
        <f>IF(COUNTIFS('United Data'!$A$3:$A$3390,B$1,'United Data'!$C$3:$C$3390,$A447)&gt;0,1,0)</f>
        <v>0</v>
      </c>
      <c r="C447">
        <f>IF(COUNTIFS('United Data'!$A$3:$A$3390,C$1,'United Data'!$C$3:$C$3390,$A447)&gt;0,1,0)</f>
        <v>0</v>
      </c>
      <c r="D447">
        <f>IF(COUNTIFS('United Data'!$A$3:$A$3390,D$1,'United Data'!$C$3:$C$3390,$A447)&gt;0,1,0)</f>
        <v>0</v>
      </c>
      <c r="E447">
        <f>IF(COUNTIFS('United Data'!$A$3:$A$3390,E$1,'United Data'!$C$3:$C$3390,$A447)&gt;0,1,0)</f>
        <v>0</v>
      </c>
      <c r="F447">
        <f>IF(COUNTIFS('United Data'!$A$3:$A$3390,F$1,'United Data'!$C$3:$C$3390,$A447)&gt;0,1,0)</f>
        <v>0</v>
      </c>
      <c r="G447">
        <f>IF(COUNTIFS('United Data'!$A$3:$A$3390,G$1,'United Data'!$C$3:$C$3390,$A447)&gt;0,1,0)</f>
        <v>0</v>
      </c>
      <c r="H447">
        <f>IF(COUNTIFS('United Data'!$A$3:$A$3390,H$1,'United Data'!$C$3:$C$3390,$A447)&gt;0,1,0)</f>
        <v>0</v>
      </c>
      <c r="I447">
        <f>IF(COUNTIFS('United Data'!$A$3:$A$3390,I$1,'United Data'!$C$3:$C$3390,$A447)&gt;0,1,0)</f>
        <v>0</v>
      </c>
      <c r="J447">
        <f>IF(COUNTIFS('United Data'!$A$3:$A$3390,J$1,'United Data'!$C$3:$C$3390,$A447)&gt;0,1,0)</f>
        <v>0</v>
      </c>
      <c r="K447">
        <f>IF(COUNTIFS('United Data'!$A$3:$A$3390,K$1,'United Data'!$C$3:$C$3390,$A447)&gt;0,1,0)</f>
        <v>1</v>
      </c>
      <c r="L447">
        <f>IF(COUNTIFS('United Data'!$A$3:$A$3390,L$1,'United Data'!$C$3:$C$3390,$A447)&gt;0,1,0)</f>
        <v>0</v>
      </c>
      <c r="M447">
        <f>IF(COUNTIFS('United Data'!$A$3:$A$3390,M$1,'United Data'!$C$3:$C$3390,$A447)&gt;0,1,0)</f>
        <v>0</v>
      </c>
      <c r="N447">
        <f>IF(COUNTIFS('United Data'!$A$3:$A$3390,N$1,'United Data'!$C$3:$C$3390,$A447)&gt;0,1,0)</f>
        <v>0</v>
      </c>
      <c r="O447">
        <f>IF(COUNTIFS('United Data'!$A$3:$A$3390,O$1,'United Data'!$C$3:$C$3390,$A447)&gt;0,1,0)</f>
        <v>0</v>
      </c>
      <c r="P447">
        <f>IF(COUNTIFS('United Data'!$A$3:$A$3390,P$1,'United Data'!$C$3:$C$3390,$A447)&gt;0,1,0)</f>
        <v>0</v>
      </c>
      <c r="Q447">
        <f>IF(COUNTIFS('United Data'!$A$3:$A$3390,Q$1,'United Data'!$C$3:$C$3390,$A447)&gt;0,1,0)</f>
        <v>0</v>
      </c>
      <c r="R447">
        <f>IF(COUNTIFS('United Data'!$A$3:$A$3390,R$1,'United Data'!$C$3:$C$3390,$A447)&gt;0,1,0)</f>
        <v>0</v>
      </c>
      <c r="S447">
        <f t="shared" si="12"/>
        <v>1</v>
      </c>
      <c r="T447">
        <f t="shared" si="13"/>
        <v>1</v>
      </c>
    </row>
    <row r="448" spans="1:20" x14ac:dyDescent="0.2">
      <c r="A448" t="s">
        <v>554</v>
      </c>
      <c r="B448">
        <f>IF(COUNTIFS('United Data'!$A$3:$A$3390,B$1,'United Data'!$C$3:$C$3390,$A448)&gt;0,1,0)</f>
        <v>0</v>
      </c>
      <c r="C448">
        <f>IF(COUNTIFS('United Data'!$A$3:$A$3390,C$1,'United Data'!$C$3:$C$3390,$A448)&gt;0,1,0)</f>
        <v>0</v>
      </c>
      <c r="D448">
        <f>IF(COUNTIFS('United Data'!$A$3:$A$3390,D$1,'United Data'!$C$3:$C$3390,$A448)&gt;0,1,0)</f>
        <v>0</v>
      </c>
      <c r="E448">
        <f>IF(COUNTIFS('United Data'!$A$3:$A$3390,E$1,'United Data'!$C$3:$C$3390,$A448)&gt;0,1,0)</f>
        <v>0</v>
      </c>
      <c r="F448">
        <f>IF(COUNTIFS('United Data'!$A$3:$A$3390,F$1,'United Data'!$C$3:$C$3390,$A448)&gt;0,1,0)</f>
        <v>0</v>
      </c>
      <c r="G448">
        <f>IF(COUNTIFS('United Data'!$A$3:$A$3390,G$1,'United Data'!$C$3:$C$3390,$A448)&gt;0,1,0)</f>
        <v>0</v>
      </c>
      <c r="H448">
        <f>IF(COUNTIFS('United Data'!$A$3:$A$3390,H$1,'United Data'!$C$3:$C$3390,$A448)&gt;0,1,0)</f>
        <v>0</v>
      </c>
      <c r="I448">
        <f>IF(COUNTIFS('United Data'!$A$3:$A$3390,I$1,'United Data'!$C$3:$C$3390,$A448)&gt;0,1,0)</f>
        <v>0</v>
      </c>
      <c r="J448">
        <f>IF(COUNTIFS('United Data'!$A$3:$A$3390,J$1,'United Data'!$C$3:$C$3390,$A448)&gt;0,1,0)</f>
        <v>0</v>
      </c>
      <c r="K448">
        <f>IF(COUNTIFS('United Data'!$A$3:$A$3390,K$1,'United Data'!$C$3:$C$3390,$A448)&gt;0,1,0)</f>
        <v>1</v>
      </c>
      <c r="L448">
        <f>IF(COUNTIFS('United Data'!$A$3:$A$3390,L$1,'United Data'!$C$3:$C$3390,$A448)&gt;0,1,0)</f>
        <v>0</v>
      </c>
      <c r="M448">
        <f>IF(COUNTIFS('United Data'!$A$3:$A$3390,M$1,'United Data'!$C$3:$C$3390,$A448)&gt;0,1,0)</f>
        <v>0</v>
      </c>
      <c r="N448">
        <f>IF(COUNTIFS('United Data'!$A$3:$A$3390,N$1,'United Data'!$C$3:$C$3390,$A448)&gt;0,1,0)</f>
        <v>0</v>
      </c>
      <c r="O448">
        <f>IF(COUNTIFS('United Data'!$A$3:$A$3390,O$1,'United Data'!$C$3:$C$3390,$A448)&gt;0,1,0)</f>
        <v>0</v>
      </c>
      <c r="P448">
        <f>IF(COUNTIFS('United Data'!$A$3:$A$3390,P$1,'United Data'!$C$3:$C$3390,$A448)&gt;0,1,0)</f>
        <v>0</v>
      </c>
      <c r="Q448">
        <f>IF(COUNTIFS('United Data'!$A$3:$A$3390,Q$1,'United Data'!$C$3:$C$3390,$A448)&gt;0,1,0)</f>
        <v>0</v>
      </c>
      <c r="R448">
        <f>IF(COUNTIFS('United Data'!$A$3:$A$3390,R$1,'United Data'!$C$3:$C$3390,$A448)&gt;0,1,0)</f>
        <v>0</v>
      </c>
      <c r="S448">
        <f t="shared" si="12"/>
        <v>1</v>
      </c>
      <c r="T448">
        <f t="shared" si="13"/>
        <v>1</v>
      </c>
    </row>
    <row r="449" spans="1:20" x14ac:dyDescent="0.2">
      <c r="A449" t="s">
        <v>556</v>
      </c>
      <c r="B449">
        <f>IF(COUNTIFS('United Data'!$A$3:$A$3390,B$1,'United Data'!$C$3:$C$3390,$A449)&gt;0,1,0)</f>
        <v>0</v>
      </c>
      <c r="C449">
        <f>IF(COUNTIFS('United Data'!$A$3:$A$3390,C$1,'United Data'!$C$3:$C$3390,$A449)&gt;0,1,0)</f>
        <v>1</v>
      </c>
      <c r="D449">
        <f>IF(COUNTIFS('United Data'!$A$3:$A$3390,D$1,'United Data'!$C$3:$C$3390,$A449)&gt;0,1,0)</f>
        <v>1</v>
      </c>
      <c r="E449">
        <f>IF(COUNTIFS('United Data'!$A$3:$A$3390,E$1,'United Data'!$C$3:$C$3390,$A449)&gt;0,1,0)</f>
        <v>1</v>
      </c>
      <c r="F449">
        <f>IF(COUNTIFS('United Data'!$A$3:$A$3390,F$1,'United Data'!$C$3:$C$3390,$A449)&gt;0,1,0)</f>
        <v>1</v>
      </c>
      <c r="G449">
        <f>IF(COUNTIFS('United Data'!$A$3:$A$3390,G$1,'United Data'!$C$3:$C$3390,$A449)&gt;0,1,0)</f>
        <v>1</v>
      </c>
      <c r="H449">
        <f>IF(COUNTIFS('United Data'!$A$3:$A$3390,H$1,'United Data'!$C$3:$C$3390,$A449)&gt;0,1,0)</f>
        <v>1</v>
      </c>
      <c r="I449">
        <f>IF(COUNTIFS('United Data'!$A$3:$A$3390,I$1,'United Data'!$C$3:$C$3390,$A449)&gt;0,1,0)</f>
        <v>1</v>
      </c>
      <c r="J449">
        <f>IF(COUNTIFS('United Data'!$A$3:$A$3390,J$1,'United Data'!$C$3:$C$3390,$A449)&gt;0,1,0)</f>
        <v>0</v>
      </c>
      <c r="K449">
        <f>IF(COUNTIFS('United Data'!$A$3:$A$3390,K$1,'United Data'!$C$3:$C$3390,$A449)&gt;0,1,0)</f>
        <v>0</v>
      </c>
      <c r="L449">
        <f>IF(COUNTIFS('United Data'!$A$3:$A$3390,L$1,'United Data'!$C$3:$C$3390,$A449)&gt;0,1,0)</f>
        <v>1</v>
      </c>
      <c r="M449">
        <f>IF(COUNTIFS('United Data'!$A$3:$A$3390,M$1,'United Data'!$C$3:$C$3390,$A449)&gt;0,1,0)</f>
        <v>0</v>
      </c>
      <c r="N449">
        <f>IF(COUNTIFS('United Data'!$A$3:$A$3390,N$1,'United Data'!$C$3:$C$3390,$A449)&gt;0,1,0)</f>
        <v>0</v>
      </c>
      <c r="O449">
        <f>IF(COUNTIFS('United Data'!$A$3:$A$3390,O$1,'United Data'!$C$3:$C$3390,$A449)&gt;0,1,0)</f>
        <v>0</v>
      </c>
      <c r="P449">
        <f>IF(COUNTIFS('United Data'!$A$3:$A$3390,P$1,'United Data'!$C$3:$C$3390,$A449)&gt;0,1,0)</f>
        <v>0</v>
      </c>
      <c r="Q449">
        <f>IF(COUNTIFS('United Data'!$A$3:$A$3390,Q$1,'United Data'!$C$3:$C$3390,$A449)&gt;0,1,0)</f>
        <v>0</v>
      </c>
      <c r="R449">
        <f>IF(COUNTIFS('United Data'!$A$3:$A$3390,R$1,'United Data'!$C$3:$C$3390,$A449)&gt;0,1,0)</f>
        <v>0</v>
      </c>
      <c r="S449">
        <f t="shared" si="12"/>
        <v>8</v>
      </c>
      <c r="T449">
        <f t="shared" si="13"/>
        <v>2</v>
      </c>
    </row>
    <row r="450" spans="1:20" x14ac:dyDescent="0.2">
      <c r="A450" t="s">
        <v>557</v>
      </c>
      <c r="B450">
        <f>IF(COUNTIFS('United Data'!$A$3:$A$3390,B$1,'United Data'!$C$3:$C$3390,$A450)&gt;0,1,0)</f>
        <v>0</v>
      </c>
      <c r="C450">
        <f>IF(COUNTIFS('United Data'!$A$3:$A$3390,C$1,'United Data'!$C$3:$C$3390,$A450)&gt;0,1,0)</f>
        <v>0</v>
      </c>
      <c r="D450">
        <f>IF(COUNTIFS('United Data'!$A$3:$A$3390,D$1,'United Data'!$C$3:$C$3390,$A450)&gt;0,1,0)</f>
        <v>0</v>
      </c>
      <c r="E450">
        <f>IF(COUNTIFS('United Data'!$A$3:$A$3390,E$1,'United Data'!$C$3:$C$3390,$A450)&gt;0,1,0)</f>
        <v>0</v>
      </c>
      <c r="F450">
        <f>IF(COUNTIFS('United Data'!$A$3:$A$3390,F$1,'United Data'!$C$3:$C$3390,$A450)&gt;0,1,0)</f>
        <v>0</v>
      </c>
      <c r="G450">
        <f>IF(COUNTIFS('United Data'!$A$3:$A$3390,G$1,'United Data'!$C$3:$C$3390,$A450)&gt;0,1,0)</f>
        <v>0</v>
      </c>
      <c r="H450">
        <f>IF(COUNTIFS('United Data'!$A$3:$A$3390,H$1,'United Data'!$C$3:$C$3390,$A450)&gt;0,1,0)</f>
        <v>0</v>
      </c>
      <c r="I450">
        <f>IF(COUNTIFS('United Data'!$A$3:$A$3390,I$1,'United Data'!$C$3:$C$3390,$A450)&gt;0,1,0)</f>
        <v>0</v>
      </c>
      <c r="J450">
        <f>IF(COUNTIFS('United Data'!$A$3:$A$3390,J$1,'United Data'!$C$3:$C$3390,$A450)&gt;0,1,0)</f>
        <v>0</v>
      </c>
      <c r="K450">
        <f>IF(COUNTIFS('United Data'!$A$3:$A$3390,K$1,'United Data'!$C$3:$C$3390,$A450)&gt;0,1,0)</f>
        <v>0</v>
      </c>
      <c r="L450">
        <f>IF(COUNTIFS('United Data'!$A$3:$A$3390,L$1,'United Data'!$C$3:$C$3390,$A450)&gt;0,1,0)</f>
        <v>1</v>
      </c>
      <c r="M450">
        <f>IF(COUNTIFS('United Data'!$A$3:$A$3390,M$1,'United Data'!$C$3:$C$3390,$A450)&gt;0,1,0)</f>
        <v>0</v>
      </c>
      <c r="N450">
        <f>IF(COUNTIFS('United Data'!$A$3:$A$3390,N$1,'United Data'!$C$3:$C$3390,$A450)&gt;0,1,0)</f>
        <v>1</v>
      </c>
      <c r="O450">
        <f>IF(COUNTIFS('United Data'!$A$3:$A$3390,O$1,'United Data'!$C$3:$C$3390,$A450)&gt;0,1,0)</f>
        <v>0</v>
      </c>
      <c r="P450">
        <f>IF(COUNTIFS('United Data'!$A$3:$A$3390,P$1,'United Data'!$C$3:$C$3390,$A450)&gt;0,1,0)</f>
        <v>0</v>
      </c>
      <c r="Q450">
        <f>IF(COUNTIFS('United Data'!$A$3:$A$3390,Q$1,'United Data'!$C$3:$C$3390,$A450)&gt;0,1,0)</f>
        <v>0</v>
      </c>
      <c r="R450">
        <f>IF(COUNTIFS('United Data'!$A$3:$A$3390,R$1,'United Data'!$C$3:$C$3390,$A450)&gt;0,1,0)</f>
        <v>0</v>
      </c>
      <c r="S450">
        <f t="shared" ref="S450:S513" si="14">SUM(B450:R450)</f>
        <v>2</v>
      </c>
      <c r="T450">
        <f t="shared" ref="T450:T513" si="15">B450+SUMPRODUCT(--(C450:R450&gt;B450:Q450))</f>
        <v>2</v>
      </c>
    </row>
    <row r="451" spans="1:20" x14ac:dyDescent="0.2">
      <c r="A451" t="s">
        <v>558</v>
      </c>
      <c r="B451">
        <f>IF(COUNTIFS('United Data'!$A$3:$A$3390,B$1,'United Data'!$C$3:$C$3390,$A451)&gt;0,1,0)</f>
        <v>0</v>
      </c>
      <c r="C451">
        <f>IF(COUNTIFS('United Data'!$A$3:$A$3390,C$1,'United Data'!$C$3:$C$3390,$A451)&gt;0,1,0)</f>
        <v>0</v>
      </c>
      <c r="D451">
        <f>IF(COUNTIFS('United Data'!$A$3:$A$3390,D$1,'United Data'!$C$3:$C$3390,$A451)&gt;0,1,0)</f>
        <v>0</v>
      </c>
      <c r="E451">
        <f>IF(COUNTIFS('United Data'!$A$3:$A$3390,E$1,'United Data'!$C$3:$C$3390,$A451)&gt;0,1,0)</f>
        <v>0</v>
      </c>
      <c r="F451">
        <f>IF(COUNTIFS('United Data'!$A$3:$A$3390,F$1,'United Data'!$C$3:$C$3390,$A451)&gt;0,1,0)</f>
        <v>0</v>
      </c>
      <c r="G451">
        <f>IF(COUNTIFS('United Data'!$A$3:$A$3390,G$1,'United Data'!$C$3:$C$3390,$A451)&gt;0,1,0)</f>
        <v>0</v>
      </c>
      <c r="H451">
        <f>IF(COUNTIFS('United Data'!$A$3:$A$3390,H$1,'United Data'!$C$3:$C$3390,$A451)&gt;0,1,0)</f>
        <v>0</v>
      </c>
      <c r="I451">
        <f>IF(COUNTIFS('United Data'!$A$3:$A$3390,I$1,'United Data'!$C$3:$C$3390,$A451)&gt;0,1,0)</f>
        <v>0</v>
      </c>
      <c r="J451">
        <f>IF(COUNTIFS('United Data'!$A$3:$A$3390,J$1,'United Data'!$C$3:$C$3390,$A451)&gt;0,1,0)</f>
        <v>0</v>
      </c>
      <c r="K451">
        <f>IF(COUNTIFS('United Data'!$A$3:$A$3390,K$1,'United Data'!$C$3:$C$3390,$A451)&gt;0,1,0)</f>
        <v>0</v>
      </c>
      <c r="L451">
        <f>IF(COUNTIFS('United Data'!$A$3:$A$3390,L$1,'United Data'!$C$3:$C$3390,$A451)&gt;0,1,0)</f>
        <v>0</v>
      </c>
      <c r="M451">
        <f>IF(COUNTIFS('United Data'!$A$3:$A$3390,M$1,'United Data'!$C$3:$C$3390,$A451)&gt;0,1,0)</f>
        <v>1</v>
      </c>
      <c r="N451">
        <f>IF(COUNTIFS('United Data'!$A$3:$A$3390,N$1,'United Data'!$C$3:$C$3390,$A451)&gt;0,1,0)</f>
        <v>1</v>
      </c>
      <c r="O451">
        <f>IF(COUNTIFS('United Data'!$A$3:$A$3390,O$1,'United Data'!$C$3:$C$3390,$A451)&gt;0,1,0)</f>
        <v>0</v>
      </c>
      <c r="P451">
        <f>IF(COUNTIFS('United Data'!$A$3:$A$3390,P$1,'United Data'!$C$3:$C$3390,$A451)&gt;0,1,0)</f>
        <v>0</v>
      </c>
      <c r="Q451">
        <f>IF(COUNTIFS('United Data'!$A$3:$A$3390,Q$1,'United Data'!$C$3:$C$3390,$A451)&gt;0,1,0)</f>
        <v>0</v>
      </c>
      <c r="R451">
        <f>IF(COUNTIFS('United Data'!$A$3:$A$3390,R$1,'United Data'!$C$3:$C$3390,$A451)&gt;0,1,0)</f>
        <v>0</v>
      </c>
      <c r="S451">
        <f t="shared" si="14"/>
        <v>2</v>
      </c>
      <c r="T451">
        <f t="shared" si="15"/>
        <v>1</v>
      </c>
    </row>
    <row r="452" spans="1:20" x14ac:dyDescent="0.2">
      <c r="A452" t="s">
        <v>559</v>
      </c>
      <c r="B452">
        <f>IF(COUNTIFS('United Data'!$A$3:$A$3390,B$1,'United Data'!$C$3:$C$3390,$A452)&gt;0,1,0)</f>
        <v>0</v>
      </c>
      <c r="C452">
        <f>IF(COUNTIFS('United Data'!$A$3:$A$3390,C$1,'United Data'!$C$3:$C$3390,$A452)&gt;0,1,0)</f>
        <v>0</v>
      </c>
      <c r="D452">
        <f>IF(COUNTIFS('United Data'!$A$3:$A$3390,D$1,'United Data'!$C$3:$C$3390,$A452)&gt;0,1,0)</f>
        <v>0</v>
      </c>
      <c r="E452">
        <f>IF(COUNTIFS('United Data'!$A$3:$A$3390,E$1,'United Data'!$C$3:$C$3390,$A452)&gt;0,1,0)</f>
        <v>0</v>
      </c>
      <c r="F452">
        <f>IF(COUNTIFS('United Data'!$A$3:$A$3390,F$1,'United Data'!$C$3:$C$3390,$A452)&gt;0,1,0)</f>
        <v>0</v>
      </c>
      <c r="G452">
        <f>IF(COUNTIFS('United Data'!$A$3:$A$3390,G$1,'United Data'!$C$3:$C$3390,$A452)&gt;0,1,0)</f>
        <v>0</v>
      </c>
      <c r="H452">
        <f>IF(COUNTIFS('United Data'!$A$3:$A$3390,H$1,'United Data'!$C$3:$C$3390,$A452)&gt;0,1,0)</f>
        <v>0</v>
      </c>
      <c r="I452">
        <f>IF(COUNTIFS('United Data'!$A$3:$A$3390,I$1,'United Data'!$C$3:$C$3390,$A452)&gt;0,1,0)</f>
        <v>0</v>
      </c>
      <c r="J452">
        <f>IF(COUNTIFS('United Data'!$A$3:$A$3390,J$1,'United Data'!$C$3:$C$3390,$A452)&gt;0,1,0)</f>
        <v>0</v>
      </c>
      <c r="K452">
        <f>IF(COUNTIFS('United Data'!$A$3:$A$3390,K$1,'United Data'!$C$3:$C$3390,$A452)&gt;0,1,0)</f>
        <v>0</v>
      </c>
      <c r="L452">
        <f>IF(COUNTIFS('United Data'!$A$3:$A$3390,L$1,'United Data'!$C$3:$C$3390,$A452)&gt;0,1,0)</f>
        <v>0</v>
      </c>
      <c r="M452">
        <f>IF(COUNTIFS('United Data'!$A$3:$A$3390,M$1,'United Data'!$C$3:$C$3390,$A452)&gt;0,1,0)</f>
        <v>1</v>
      </c>
      <c r="N452">
        <f>IF(COUNTIFS('United Data'!$A$3:$A$3390,N$1,'United Data'!$C$3:$C$3390,$A452)&gt;0,1,0)</f>
        <v>0</v>
      </c>
      <c r="O452">
        <f>IF(COUNTIFS('United Data'!$A$3:$A$3390,O$1,'United Data'!$C$3:$C$3390,$A452)&gt;0,1,0)</f>
        <v>0</v>
      </c>
      <c r="P452">
        <f>IF(COUNTIFS('United Data'!$A$3:$A$3390,P$1,'United Data'!$C$3:$C$3390,$A452)&gt;0,1,0)</f>
        <v>0</v>
      </c>
      <c r="Q452">
        <f>IF(COUNTIFS('United Data'!$A$3:$A$3390,Q$1,'United Data'!$C$3:$C$3390,$A452)&gt;0,1,0)</f>
        <v>0</v>
      </c>
      <c r="R452">
        <f>IF(COUNTIFS('United Data'!$A$3:$A$3390,R$1,'United Data'!$C$3:$C$3390,$A452)&gt;0,1,0)</f>
        <v>0</v>
      </c>
      <c r="S452">
        <f t="shared" si="14"/>
        <v>1</v>
      </c>
      <c r="T452">
        <f t="shared" si="15"/>
        <v>1</v>
      </c>
    </row>
    <row r="453" spans="1:20" x14ac:dyDescent="0.2">
      <c r="A453" t="s">
        <v>561</v>
      </c>
      <c r="B453">
        <f>IF(COUNTIFS('United Data'!$A$3:$A$3390,B$1,'United Data'!$C$3:$C$3390,$A453)&gt;0,1,0)</f>
        <v>0</v>
      </c>
      <c r="C453">
        <f>IF(COUNTIFS('United Data'!$A$3:$A$3390,C$1,'United Data'!$C$3:$C$3390,$A453)&gt;0,1,0)</f>
        <v>0</v>
      </c>
      <c r="D453">
        <f>IF(COUNTIFS('United Data'!$A$3:$A$3390,D$1,'United Data'!$C$3:$C$3390,$A453)&gt;0,1,0)</f>
        <v>0</v>
      </c>
      <c r="E453">
        <f>IF(COUNTIFS('United Data'!$A$3:$A$3390,E$1,'United Data'!$C$3:$C$3390,$A453)&gt;0,1,0)</f>
        <v>0</v>
      </c>
      <c r="F453">
        <f>IF(COUNTIFS('United Data'!$A$3:$A$3390,F$1,'United Data'!$C$3:$C$3390,$A453)&gt;0,1,0)</f>
        <v>0</v>
      </c>
      <c r="G453">
        <f>IF(COUNTIFS('United Data'!$A$3:$A$3390,G$1,'United Data'!$C$3:$C$3390,$A453)&gt;0,1,0)</f>
        <v>0</v>
      </c>
      <c r="H453">
        <f>IF(COUNTIFS('United Data'!$A$3:$A$3390,H$1,'United Data'!$C$3:$C$3390,$A453)&gt;0,1,0)</f>
        <v>0</v>
      </c>
      <c r="I453">
        <f>IF(COUNTIFS('United Data'!$A$3:$A$3390,I$1,'United Data'!$C$3:$C$3390,$A453)&gt;0,1,0)</f>
        <v>0</v>
      </c>
      <c r="J453">
        <f>IF(COUNTIFS('United Data'!$A$3:$A$3390,J$1,'United Data'!$C$3:$C$3390,$A453)&gt;0,1,0)</f>
        <v>0</v>
      </c>
      <c r="K453">
        <f>IF(COUNTIFS('United Data'!$A$3:$A$3390,K$1,'United Data'!$C$3:$C$3390,$A453)&gt;0,1,0)</f>
        <v>0</v>
      </c>
      <c r="L453">
        <f>IF(COUNTIFS('United Data'!$A$3:$A$3390,L$1,'United Data'!$C$3:$C$3390,$A453)&gt;0,1,0)</f>
        <v>0</v>
      </c>
      <c r="M453">
        <f>IF(COUNTIFS('United Data'!$A$3:$A$3390,M$1,'United Data'!$C$3:$C$3390,$A453)&gt;0,1,0)</f>
        <v>1</v>
      </c>
      <c r="N453">
        <f>IF(COUNTIFS('United Data'!$A$3:$A$3390,N$1,'United Data'!$C$3:$C$3390,$A453)&gt;0,1,0)</f>
        <v>0</v>
      </c>
      <c r="O453">
        <f>IF(COUNTIFS('United Data'!$A$3:$A$3390,O$1,'United Data'!$C$3:$C$3390,$A453)&gt;0,1,0)</f>
        <v>0</v>
      </c>
      <c r="P453">
        <f>IF(COUNTIFS('United Data'!$A$3:$A$3390,P$1,'United Data'!$C$3:$C$3390,$A453)&gt;0,1,0)</f>
        <v>0</v>
      </c>
      <c r="Q453">
        <f>IF(COUNTIFS('United Data'!$A$3:$A$3390,Q$1,'United Data'!$C$3:$C$3390,$A453)&gt;0,1,0)</f>
        <v>0</v>
      </c>
      <c r="R453">
        <f>IF(COUNTIFS('United Data'!$A$3:$A$3390,R$1,'United Data'!$C$3:$C$3390,$A453)&gt;0,1,0)</f>
        <v>0</v>
      </c>
      <c r="S453">
        <f t="shared" si="14"/>
        <v>1</v>
      </c>
      <c r="T453">
        <f t="shared" si="15"/>
        <v>1</v>
      </c>
    </row>
    <row r="454" spans="1:20" x14ac:dyDescent="0.2">
      <c r="A454" t="s">
        <v>562</v>
      </c>
      <c r="B454">
        <f>IF(COUNTIFS('United Data'!$A$3:$A$3390,B$1,'United Data'!$C$3:$C$3390,$A454)&gt;0,1,0)</f>
        <v>0</v>
      </c>
      <c r="C454">
        <f>IF(COUNTIFS('United Data'!$A$3:$A$3390,C$1,'United Data'!$C$3:$C$3390,$A454)&gt;0,1,0)</f>
        <v>0</v>
      </c>
      <c r="D454">
        <f>IF(COUNTIFS('United Data'!$A$3:$A$3390,D$1,'United Data'!$C$3:$C$3390,$A454)&gt;0,1,0)</f>
        <v>0</v>
      </c>
      <c r="E454">
        <f>IF(COUNTIFS('United Data'!$A$3:$A$3390,E$1,'United Data'!$C$3:$C$3390,$A454)&gt;0,1,0)</f>
        <v>0</v>
      </c>
      <c r="F454">
        <f>IF(COUNTIFS('United Data'!$A$3:$A$3390,F$1,'United Data'!$C$3:$C$3390,$A454)&gt;0,1,0)</f>
        <v>0</v>
      </c>
      <c r="G454">
        <f>IF(COUNTIFS('United Data'!$A$3:$A$3390,G$1,'United Data'!$C$3:$C$3390,$A454)&gt;0,1,0)</f>
        <v>0</v>
      </c>
      <c r="H454">
        <f>IF(COUNTIFS('United Data'!$A$3:$A$3390,H$1,'United Data'!$C$3:$C$3390,$A454)&gt;0,1,0)</f>
        <v>0</v>
      </c>
      <c r="I454">
        <f>IF(COUNTIFS('United Data'!$A$3:$A$3390,I$1,'United Data'!$C$3:$C$3390,$A454)&gt;0,1,0)</f>
        <v>0</v>
      </c>
      <c r="J454">
        <f>IF(COUNTIFS('United Data'!$A$3:$A$3390,J$1,'United Data'!$C$3:$C$3390,$A454)&gt;0,1,0)</f>
        <v>0</v>
      </c>
      <c r="K454">
        <f>IF(COUNTIFS('United Data'!$A$3:$A$3390,K$1,'United Data'!$C$3:$C$3390,$A454)&gt;0,1,0)</f>
        <v>0</v>
      </c>
      <c r="L454">
        <f>IF(COUNTIFS('United Data'!$A$3:$A$3390,L$1,'United Data'!$C$3:$C$3390,$A454)&gt;0,1,0)</f>
        <v>0</v>
      </c>
      <c r="M454">
        <f>IF(COUNTIFS('United Data'!$A$3:$A$3390,M$1,'United Data'!$C$3:$C$3390,$A454)&gt;0,1,0)</f>
        <v>1</v>
      </c>
      <c r="N454">
        <f>IF(COUNTIFS('United Data'!$A$3:$A$3390,N$1,'United Data'!$C$3:$C$3390,$A454)&gt;0,1,0)</f>
        <v>0</v>
      </c>
      <c r="O454">
        <f>IF(COUNTIFS('United Data'!$A$3:$A$3390,O$1,'United Data'!$C$3:$C$3390,$A454)&gt;0,1,0)</f>
        <v>0</v>
      </c>
      <c r="P454">
        <f>IF(COUNTIFS('United Data'!$A$3:$A$3390,P$1,'United Data'!$C$3:$C$3390,$A454)&gt;0,1,0)</f>
        <v>0</v>
      </c>
      <c r="Q454">
        <f>IF(COUNTIFS('United Data'!$A$3:$A$3390,Q$1,'United Data'!$C$3:$C$3390,$A454)&gt;0,1,0)</f>
        <v>0</v>
      </c>
      <c r="R454">
        <f>IF(COUNTIFS('United Data'!$A$3:$A$3390,R$1,'United Data'!$C$3:$C$3390,$A454)&gt;0,1,0)</f>
        <v>0</v>
      </c>
      <c r="S454">
        <f t="shared" si="14"/>
        <v>1</v>
      </c>
      <c r="T454">
        <f t="shared" si="15"/>
        <v>1</v>
      </c>
    </row>
    <row r="455" spans="1:20" x14ac:dyDescent="0.2">
      <c r="A455" t="s">
        <v>563</v>
      </c>
      <c r="B455">
        <f>IF(COUNTIFS('United Data'!$A$3:$A$3390,B$1,'United Data'!$C$3:$C$3390,$A455)&gt;0,1,0)</f>
        <v>0</v>
      </c>
      <c r="C455">
        <f>IF(COUNTIFS('United Data'!$A$3:$A$3390,C$1,'United Data'!$C$3:$C$3390,$A455)&gt;0,1,0)</f>
        <v>0</v>
      </c>
      <c r="D455">
        <f>IF(COUNTIFS('United Data'!$A$3:$A$3390,D$1,'United Data'!$C$3:$C$3390,$A455)&gt;0,1,0)</f>
        <v>0</v>
      </c>
      <c r="E455">
        <f>IF(COUNTIFS('United Data'!$A$3:$A$3390,E$1,'United Data'!$C$3:$C$3390,$A455)&gt;0,1,0)</f>
        <v>0</v>
      </c>
      <c r="F455">
        <f>IF(COUNTIFS('United Data'!$A$3:$A$3390,F$1,'United Data'!$C$3:$C$3390,$A455)&gt;0,1,0)</f>
        <v>0</v>
      </c>
      <c r="G455">
        <f>IF(COUNTIFS('United Data'!$A$3:$A$3390,G$1,'United Data'!$C$3:$C$3390,$A455)&gt;0,1,0)</f>
        <v>0</v>
      </c>
      <c r="H455">
        <f>IF(COUNTIFS('United Data'!$A$3:$A$3390,H$1,'United Data'!$C$3:$C$3390,$A455)&gt;0,1,0)</f>
        <v>0</v>
      </c>
      <c r="I455">
        <f>IF(COUNTIFS('United Data'!$A$3:$A$3390,I$1,'United Data'!$C$3:$C$3390,$A455)&gt;0,1,0)</f>
        <v>0</v>
      </c>
      <c r="J455">
        <f>IF(COUNTIFS('United Data'!$A$3:$A$3390,J$1,'United Data'!$C$3:$C$3390,$A455)&gt;0,1,0)</f>
        <v>0</v>
      </c>
      <c r="K455">
        <f>IF(COUNTIFS('United Data'!$A$3:$A$3390,K$1,'United Data'!$C$3:$C$3390,$A455)&gt;0,1,0)</f>
        <v>0</v>
      </c>
      <c r="L455">
        <f>IF(COUNTIFS('United Data'!$A$3:$A$3390,L$1,'United Data'!$C$3:$C$3390,$A455)&gt;0,1,0)</f>
        <v>0</v>
      </c>
      <c r="M455">
        <f>IF(COUNTIFS('United Data'!$A$3:$A$3390,M$1,'United Data'!$C$3:$C$3390,$A455)&gt;0,1,0)</f>
        <v>1</v>
      </c>
      <c r="N455">
        <f>IF(COUNTIFS('United Data'!$A$3:$A$3390,N$1,'United Data'!$C$3:$C$3390,$A455)&gt;0,1,0)</f>
        <v>0</v>
      </c>
      <c r="O455">
        <f>IF(COUNTIFS('United Data'!$A$3:$A$3390,O$1,'United Data'!$C$3:$C$3390,$A455)&gt;0,1,0)</f>
        <v>0</v>
      </c>
      <c r="P455">
        <f>IF(COUNTIFS('United Data'!$A$3:$A$3390,P$1,'United Data'!$C$3:$C$3390,$A455)&gt;0,1,0)</f>
        <v>1</v>
      </c>
      <c r="Q455">
        <f>IF(COUNTIFS('United Data'!$A$3:$A$3390,Q$1,'United Data'!$C$3:$C$3390,$A455)&gt;0,1,0)</f>
        <v>0</v>
      </c>
      <c r="R455">
        <f>IF(COUNTIFS('United Data'!$A$3:$A$3390,R$1,'United Data'!$C$3:$C$3390,$A455)&gt;0,1,0)</f>
        <v>0</v>
      </c>
      <c r="S455">
        <f t="shared" si="14"/>
        <v>2</v>
      </c>
      <c r="T455">
        <f t="shared" si="15"/>
        <v>2</v>
      </c>
    </row>
    <row r="456" spans="1:20" x14ac:dyDescent="0.2">
      <c r="A456" t="s">
        <v>564</v>
      </c>
      <c r="B456">
        <f>IF(COUNTIFS('United Data'!$A$3:$A$3390,B$1,'United Data'!$C$3:$C$3390,$A456)&gt;0,1,0)</f>
        <v>0</v>
      </c>
      <c r="C456">
        <f>IF(COUNTIFS('United Data'!$A$3:$A$3390,C$1,'United Data'!$C$3:$C$3390,$A456)&gt;0,1,0)</f>
        <v>0</v>
      </c>
      <c r="D456">
        <f>IF(COUNTIFS('United Data'!$A$3:$A$3390,D$1,'United Data'!$C$3:$C$3390,$A456)&gt;0,1,0)</f>
        <v>0</v>
      </c>
      <c r="E456">
        <f>IF(COUNTIFS('United Data'!$A$3:$A$3390,E$1,'United Data'!$C$3:$C$3390,$A456)&gt;0,1,0)</f>
        <v>0</v>
      </c>
      <c r="F456">
        <f>IF(COUNTIFS('United Data'!$A$3:$A$3390,F$1,'United Data'!$C$3:$C$3390,$A456)&gt;0,1,0)</f>
        <v>0</v>
      </c>
      <c r="G456">
        <f>IF(COUNTIFS('United Data'!$A$3:$A$3390,G$1,'United Data'!$C$3:$C$3390,$A456)&gt;0,1,0)</f>
        <v>0</v>
      </c>
      <c r="H456">
        <f>IF(COUNTIFS('United Data'!$A$3:$A$3390,H$1,'United Data'!$C$3:$C$3390,$A456)&gt;0,1,0)</f>
        <v>0</v>
      </c>
      <c r="I456">
        <f>IF(COUNTIFS('United Data'!$A$3:$A$3390,I$1,'United Data'!$C$3:$C$3390,$A456)&gt;0,1,0)</f>
        <v>0</v>
      </c>
      <c r="J456">
        <f>IF(COUNTIFS('United Data'!$A$3:$A$3390,J$1,'United Data'!$C$3:$C$3390,$A456)&gt;0,1,0)</f>
        <v>0</v>
      </c>
      <c r="K456">
        <f>IF(COUNTIFS('United Data'!$A$3:$A$3390,K$1,'United Data'!$C$3:$C$3390,$A456)&gt;0,1,0)</f>
        <v>0</v>
      </c>
      <c r="L456">
        <f>IF(COUNTIFS('United Data'!$A$3:$A$3390,L$1,'United Data'!$C$3:$C$3390,$A456)&gt;0,1,0)</f>
        <v>0</v>
      </c>
      <c r="M456">
        <f>IF(COUNTIFS('United Data'!$A$3:$A$3390,M$1,'United Data'!$C$3:$C$3390,$A456)&gt;0,1,0)</f>
        <v>1</v>
      </c>
      <c r="N456">
        <f>IF(COUNTIFS('United Data'!$A$3:$A$3390,N$1,'United Data'!$C$3:$C$3390,$A456)&gt;0,1,0)</f>
        <v>0</v>
      </c>
      <c r="O456">
        <f>IF(COUNTIFS('United Data'!$A$3:$A$3390,O$1,'United Data'!$C$3:$C$3390,$A456)&gt;0,1,0)</f>
        <v>0</v>
      </c>
      <c r="P456">
        <f>IF(COUNTIFS('United Data'!$A$3:$A$3390,P$1,'United Data'!$C$3:$C$3390,$A456)&gt;0,1,0)</f>
        <v>0</v>
      </c>
      <c r="Q456">
        <f>IF(COUNTIFS('United Data'!$A$3:$A$3390,Q$1,'United Data'!$C$3:$C$3390,$A456)&gt;0,1,0)</f>
        <v>0</v>
      </c>
      <c r="R456">
        <f>IF(COUNTIFS('United Data'!$A$3:$A$3390,R$1,'United Data'!$C$3:$C$3390,$A456)&gt;0,1,0)</f>
        <v>0</v>
      </c>
      <c r="S456">
        <f t="shared" si="14"/>
        <v>1</v>
      </c>
      <c r="T456">
        <f t="shared" si="15"/>
        <v>1</v>
      </c>
    </row>
    <row r="457" spans="1:20" x14ac:dyDescent="0.2">
      <c r="A457" t="s">
        <v>565</v>
      </c>
      <c r="B457">
        <f>IF(COUNTIFS('United Data'!$A$3:$A$3390,B$1,'United Data'!$C$3:$C$3390,$A457)&gt;0,1,0)</f>
        <v>0</v>
      </c>
      <c r="C457">
        <f>IF(COUNTIFS('United Data'!$A$3:$A$3390,C$1,'United Data'!$C$3:$C$3390,$A457)&gt;0,1,0)</f>
        <v>0</v>
      </c>
      <c r="D457">
        <f>IF(COUNTIFS('United Data'!$A$3:$A$3390,D$1,'United Data'!$C$3:$C$3390,$A457)&gt;0,1,0)</f>
        <v>0</v>
      </c>
      <c r="E457">
        <f>IF(COUNTIFS('United Data'!$A$3:$A$3390,E$1,'United Data'!$C$3:$C$3390,$A457)&gt;0,1,0)</f>
        <v>0</v>
      </c>
      <c r="F457">
        <f>IF(COUNTIFS('United Data'!$A$3:$A$3390,F$1,'United Data'!$C$3:$C$3390,$A457)&gt;0,1,0)</f>
        <v>0</v>
      </c>
      <c r="G457">
        <f>IF(COUNTIFS('United Data'!$A$3:$A$3390,G$1,'United Data'!$C$3:$C$3390,$A457)&gt;0,1,0)</f>
        <v>0</v>
      </c>
      <c r="H457">
        <f>IF(COUNTIFS('United Data'!$A$3:$A$3390,H$1,'United Data'!$C$3:$C$3390,$A457)&gt;0,1,0)</f>
        <v>0</v>
      </c>
      <c r="I457">
        <f>IF(COUNTIFS('United Data'!$A$3:$A$3390,I$1,'United Data'!$C$3:$C$3390,$A457)&gt;0,1,0)</f>
        <v>0</v>
      </c>
      <c r="J457">
        <f>IF(COUNTIFS('United Data'!$A$3:$A$3390,J$1,'United Data'!$C$3:$C$3390,$A457)&gt;0,1,0)</f>
        <v>0</v>
      </c>
      <c r="K457">
        <f>IF(COUNTIFS('United Data'!$A$3:$A$3390,K$1,'United Data'!$C$3:$C$3390,$A457)&gt;0,1,0)</f>
        <v>0</v>
      </c>
      <c r="L457">
        <f>IF(COUNTIFS('United Data'!$A$3:$A$3390,L$1,'United Data'!$C$3:$C$3390,$A457)&gt;0,1,0)</f>
        <v>0</v>
      </c>
      <c r="M457">
        <f>IF(COUNTIFS('United Data'!$A$3:$A$3390,M$1,'United Data'!$C$3:$C$3390,$A457)&gt;0,1,0)</f>
        <v>0</v>
      </c>
      <c r="N457">
        <f>IF(COUNTIFS('United Data'!$A$3:$A$3390,N$1,'United Data'!$C$3:$C$3390,$A457)&gt;0,1,0)</f>
        <v>1</v>
      </c>
      <c r="O457">
        <f>IF(COUNTIFS('United Data'!$A$3:$A$3390,O$1,'United Data'!$C$3:$C$3390,$A457)&gt;0,1,0)</f>
        <v>0</v>
      </c>
      <c r="P457">
        <f>IF(COUNTIFS('United Data'!$A$3:$A$3390,P$1,'United Data'!$C$3:$C$3390,$A457)&gt;0,1,0)</f>
        <v>0</v>
      </c>
      <c r="Q457">
        <f>IF(COUNTIFS('United Data'!$A$3:$A$3390,Q$1,'United Data'!$C$3:$C$3390,$A457)&gt;0,1,0)</f>
        <v>0</v>
      </c>
      <c r="R457">
        <f>IF(COUNTIFS('United Data'!$A$3:$A$3390,R$1,'United Data'!$C$3:$C$3390,$A457)&gt;0,1,0)</f>
        <v>0</v>
      </c>
      <c r="S457">
        <f t="shared" si="14"/>
        <v>1</v>
      </c>
      <c r="T457">
        <f t="shared" si="15"/>
        <v>1</v>
      </c>
    </row>
    <row r="458" spans="1:20" x14ac:dyDescent="0.2">
      <c r="A458" t="s">
        <v>566</v>
      </c>
      <c r="B458">
        <f>IF(COUNTIFS('United Data'!$A$3:$A$3390,B$1,'United Data'!$C$3:$C$3390,$A458)&gt;0,1,0)</f>
        <v>0</v>
      </c>
      <c r="C458">
        <f>IF(COUNTIFS('United Data'!$A$3:$A$3390,C$1,'United Data'!$C$3:$C$3390,$A458)&gt;0,1,0)</f>
        <v>0</v>
      </c>
      <c r="D458">
        <f>IF(COUNTIFS('United Data'!$A$3:$A$3390,D$1,'United Data'!$C$3:$C$3390,$A458)&gt;0,1,0)</f>
        <v>0</v>
      </c>
      <c r="E458">
        <f>IF(COUNTIFS('United Data'!$A$3:$A$3390,E$1,'United Data'!$C$3:$C$3390,$A458)&gt;0,1,0)</f>
        <v>0</v>
      </c>
      <c r="F458">
        <f>IF(COUNTIFS('United Data'!$A$3:$A$3390,F$1,'United Data'!$C$3:$C$3390,$A458)&gt;0,1,0)</f>
        <v>0</v>
      </c>
      <c r="G458">
        <f>IF(COUNTIFS('United Data'!$A$3:$A$3390,G$1,'United Data'!$C$3:$C$3390,$A458)&gt;0,1,0)</f>
        <v>0</v>
      </c>
      <c r="H458">
        <f>IF(COUNTIFS('United Data'!$A$3:$A$3390,H$1,'United Data'!$C$3:$C$3390,$A458)&gt;0,1,0)</f>
        <v>0</v>
      </c>
      <c r="I458">
        <f>IF(COUNTIFS('United Data'!$A$3:$A$3390,I$1,'United Data'!$C$3:$C$3390,$A458)&gt;0,1,0)</f>
        <v>0</v>
      </c>
      <c r="J458">
        <f>IF(COUNTIFS('United Data'!$A$3:$A$3390,J$1,'United Data'!$C$3:$C$3390,$A458)&gt;0,1,0)</f>
        <v>0</v>
      </c>
      <c r="K458">
        <f>IF(COUNTIFS('United Data'!$A$3:$A$3390,K$1,'United Data'!$C$3:$C$3390,$A458)&gt;0,1,0)</f>
        <v>0</v>
      </c>
      <c r="L458">
        <f>IF(COUNTIFS('United Data'!$A$3:$A$3390,L$1,'United Data'!$C$3:$C$3390,$A458)&gt;0,1,0)</f>
        <v>0</v>
      </c>
      <c r="M458">
        <f>IF(COUNTIFS('United Data'!$A$3:$A$3390,M$1,'United Data'!$C$3:$C$3390,$A458)&gt;0,1,0)</f>
        <v>0</v>
      </c>
      <c r="N458">
        <f>IF(COUNTIFS('United Data'!$A$3:$A$3390,N$1,'United Data'!$C$3:$C$3390,$A458)&gt;0,1,0)</f>
        <v>1</v>
      </c>
      <c r="O458">
        <f>IF(COUNTIFS('United Data'!$A$3:$A$3390,O$1,'United Data'!$C$3:$C$3390,$A458)&gt;0,1,0)</f>
        <v>0</v>
      </c>
      <c r="P458">
        <f>IF(COUNTIFS('United Data'!$A$3:$A$3390,P$1,'United Data'!$C$3:$C$3390,$A458)&gt;0,1,0)</f>
        <v>0</v>
      </c>
      <c r="Q458">
        <f>IF(COUNTIFS('United Data'!$A$3:$A$3390,Q$1,'United Data'!$C$3:$C$3390,$A458)&gt;0,1,0)</f>
        <v>0</v>
      </c>
      <c r="R458">
        <f>IF(COUNTIFS('United Data'!$A$3:$A$3390,R$1,'United Data'!$C$3:$C$3390,$A458)&gt;0,1,0)</f>
        <v>0</v>
      </c>
      <c r="S458">
        <f t="shared" si="14"/>
        <v>1</v>
      </c>
      <c r="T458">
        <f t="shared" si="15"/>
        <v>1</v>
      </c>
    </row>
    <row r="459" spans="1:20" x14ac:dyDescent="0.2">
      <c r="A459" t="s">
        <v>567</v>
      </c>
      <c r="B459">
        <f>IF(COUNTIFS('United Data'!$A$3:$A$3390,B$1,'United Data'!$C$3:$C$3390,$A459)&gt;0,1,0)</f>
        <v>0</v>
      </c>
      <c r="C459">
        <f>IF(COUNTIFS('United Data'!$A$3:$A$3390,C$1,'United Data'!$C$3:$C$3390,$A459)&gt;0,1,0)</f>
        <v>0</v>
      </c>
      <c r="D459">
        <f>IF(COUNTIFS('United Data'!$A$3:$A$3390,D$1,'United Data'!$C$3:$C$3390,$A459)&gt;0,1,0)</f>
        <v>0</v>
      </c>
      <c r="E459">
        <f>IF(COUNTIFS('United Data'!$A$3:$A$3390,E$1,'United Data'!$C$3:$C$3390,$A459)&gt;0,1,0)</f>
        <v>0</v>
      </c>
      <c r="F459">
        <f>IF(COUNTIFS('United Data'!$A$3:$A$3390,F$1,'United Data'!$C$3:$C$3390,$A459)&gt;0,1,0)</f>
        <v>0</v>
      </c>
      <c r="G459">
        <f>IF(COUNTIFS('United Data'!$A$3:$A$3390,G$1,'United Data'!$C$3:$C$3390,$A459)&gt;0,1,0)</f>
        <v>0</v>
      </c>
      <c r="H459">
        <f>IF(COUNTIFS('United Data'!$A$3:$A$3390,H$1,'United Data'!$C$3:$C$3390,$A459)&gt;0,1,0)</f>
        <v>0</v>
      </c>
      <c r="I459">
        <f>IF(COUNTIFS('United Data'!$A$3:$A$3390,I$1,'United Data'!$C$3:$C$3390,$A459)&gt;0,1,0)</f>
        <v>0</v>
      </c>
      <c r="J459">
        <f>IF(COUNTIFS('United Data'!$A$3:$A$3390,J$1,'United Data'!$C$3:$C$3390,$A459)&gt;0,1,0)</f>
        <v>0</v>
      </c>
      <c r="K459">
        <f>IF(COUNTIFS('United Data'!$A$3:$A$3390,K$1,'United Data'!$C$3:$C$3390,$A459)&gt;0,1,0)</f>
        <v>0</v>
      </c>
      <c r="L459">
        <f>IF(COUNTIFS('United Data'!$A$3:$A$3390,L$1,'United Data'!$C$3:$C$3390,$A459)&gt;0,1,0)</f>
        <v>0</v>
      </c>
      <c r="M459">
        <f>IF(COUNTIFS('United Data'!$A$3:$A$3390,M$1,'United Data'!$C$3:$C$3390,$A459)&gt;0,1,0)</f>
        <v>0</v>
      </c>
      <c r="N459">
        <f>IF(COUNTIFS('United Data'!$A$3:$A$3390,N$1,'United Data'!$C$3:$C$3390,$A459)&gt;0,1,0)</f>
        <v>1</v>
      </c>
      <c r="O459">
        <f>IF(COUNTIFS('United Data'!$A$3:$A$3390,O$1,'United Data'!$C$3:$C$3390,$A459)&gt;0,1,0)</f>
        <v>0</v>
      </c>
      <c r="P459">
        <f>IF(COUNTIFS('United Data'!$A$3:$A$3390,P$1,'United Data'!$C$3:$C$3390,$A459)&gt;0,1,0)</f>
        <v>0</v>
      </c>
      <c r="Q459">
        <f>IF(COUNTIFS('United Data'!$A$3:$A$3390,Q$1,'United Data'!$C$3:$C$3390,$A459)&gt;0,1,0)</f>
        <v>0</v>
      </c>
      <c r="R459">
        <f>IF(COUNTIFS('United Data'!$A$3:$A$3390,R$1,'United Data'!$C$3:$C$3390,$A459)&gt;0,1,0)</f>
        <v>0</v>
      </c>
      <c r="S459">
        <f t="shared" si="14"/>
        <v>1</v>
      </c>
      <c r="T459">
        <f t="shared" si="15"/>
        <v>1</v>
      </c>
    </row>
    <row r="460" spans="1:20" x14ac:dyDescent="0.2">
      <c r="A460" t="s">
        <v>568</v>
      </c>
      <c r="B460">
        <f>IF(COUNTIFS('United Data'!$A$3:$A$3390,B$1,'United Data'!$C$3:$C$3390,$A460)&gt;0,1,0)</f>
        <v>0</v>
      </c>
      <c r="C460">
        <f>IF(COUNTIFS('United Data'!$A$3:$A$3390,C$1,'United Data'!$C$3:$C$3390,$A460)&gt;0,1,0)</f>
        <v>0</v>
      </c>
      <c r="D460">
        <f>IF(COUNTIFS('United Data'!$A$3:$A$3390,D$1,'United Data'!$C$3:$C$3390,$A460)&gt;0,1,0)</f>
        <v>0</v>
      </c>
      <c r="E460">
        <f>IF(COUNTIFS('United Data'!$A$3:$A$3390,E$1,'United Data'!$C$3:$C$3390,$A460)&gt;0,1,0)</f>
        <v>0</v>
      </c>
      <c r="F460">
        <f>IF(COUNTIFS('United Data'!$A$3:$A$3390,F$1,'United Data'!$C$3:$C$3390,$A460)&gt;0,1,0)</f>
        <v>0</v>
      </c>
      <c r="G460">
        <f>IF(COUNTIFS('United Data'!$A$3:$A$3390,G$1,'United Data'!$C$3:$C$3390,$A460)&gt;0,1,0)</f>
        <v>0</v>
      </c>
      <c r="H460">
        <f>IF(COUNTIFS('United Data'!$A$3:$A$3390,H$1,'United Data'!$C$3:$C$3390,$A460)&gt;0,1,0)</f>
        <v>0</v>
      </c>
      <c r="I460">
        <f>IF(COUNTIFS('United Data'!$A$3:$A$3390,I$1,'United Data'!$C$3:$C$3390,$A460)&gt;0,1,0)</f>
        <v>0</v>
      </c>
      <c r="J460">
        <f>IF(COUNTIFS('United Data'!$A$3:$A$3390,J$1,'United Data'!$C$3:$C$3390,$A460)&gt;0,1,0)</f>
        <v>0</v>
      </c>
      <c r="K460">
        <f>IF(COUNTIFS('United Data'!$A$3:$A$3390,K$1,'United Data'!$C$3:$C$3390,$A460)&gt;0,1,0)</f>
        <v>0</v>
      </c>
      <c r="L460">
        <f>IF(COUNTIFS('United Data'!$A$3:$A$3390,L$1,'United Data'!$C$3:$C$3390,$A460)&gt;0,1,0)</f>
        <v>0</v>
      </c>
      <c r="M460">
        <f>IF(COUNTIFS('United Data'!$A$3:$A$3390,M$1,'United Data'!$C$3:$C$3390,$A460)&gt;0,1,0)</f>
        <v>0</v>
      </c>
      <c r="N460">
        <f>IF(COUNTIFS('United Data'!$A$3:$A$3390,N$1,'United Data'!$C$3:$C$3390,$A460)&gt;0,1,0)</f>
        <v>1</v>
      </c>
      <c r="O460">
        <f>IF(COUNTIFS('United Data'!$A$3:$A$3390,O$1,'United Data'!$C$3:$C$3390,$A460)&gt;0,1,0)</f>
        <v>0</v>
      </c>
      <c r="P460">
        <f>IF(COUNTIFS('United Data'!$A$3:$A$3390,P$1,'United Data'!$C$3:$C$3390,$A460)&gt;0,1,0)</f>
        <v>0</v>
      </c>
      <c r="Q460">
        <f>IF(COUNTIFS('United Data'!$A$3:$A$3390,Q$1,'United Data'!$C$3:$C$3390,$A460)&gt;0,1,0)</f>
        <v>0</v>
      </c>
      <c r="R460">
        <f>IF(COUNTIFS('United Data'!$A$3:$A$3390,R$1,'United Data'!$C$3:$C$3390,$A460)&gt;0,1,0)</f>
        <v>0</v>
      </c>
      <c r="S460">
        <f t="shared" si="14"/>
        <v>1</v>
      </c>
      <c r="T460">
        <f t="shared" si="15"/>
        <v>1</v>
      </c>
    </row>
    <row r="461" spans="1:20" x14ac:dyDescent="0.2">
      <c r="A461" t="s">
        <v>569</v>
      </c>
      <c r="B461">
        <f>IF(COUNTIFS('United Data'!$A$3:$A$3390,B$1,'United Data'!$C$3:$C$3390,$A461)&gt;0,1,0)</f>
        <v>0</v>
      </c>
      <c r="C461">
        <f>IF(COUNTIFS('United Data'!$A$3:$A$3390,C$1,'United Data'!$C$3:$C$3390,$A461)&gt;0,1,0)</f>
        <v>0</v>
      </c>
      <c r="D461">
        <f>IF(COUNTIFS('United Data'!$A$3:$A$3390,D$1,'United Data'!$C$3:$C$3390,$A461)&gt;0,1,0)</f>
        <v>0</v>
      </c>
      <c r="E461">
        <f>IF(COUNTIFS('United Data'!$A$3:$A$3390,E$1,'United Data'!$C$3:$C$3390,$A461)&gt;0,1,0)</f>
        <v>0</v>
      </c>
      <c r="F461">
        <f>IF(COUNTIFS('United Data'!$A$3:$A$3390,F$1,'United Data'!$C$3:$C$3390,$A461)&gt;0,1,0)</f>
        <v>0</v>
      </c>
      <c r="G461">
        <f>IF(COUNTIFS('United Data'!$A$3:$A$3390,G$1,'United Data'!$C$3:$C$3390,$A461)&gt;0,1,0)</f>
        <v>0</v>
      </c>
      <c r="H461">
        <f>IF(COUNTIFS('United Data'!$A$3:$A$3390,H$1,'United Data'!$C$3:$C$3390,$A461)&gt;0,1,0)</f>
        <v>0</v>
      </c>
      <c r="I461">
        <f>IF(COUNTIFS('United Data'!$A$3:$A$3390,I$1,'United Data'!$C$3:$C$3390,$A461)&gt;0,1,0)</f>
        <v>0</v>
      </c>
      <c r="J461">
        <f>IF(COUNTIFS('United Data'!$A$3:$A$3390,J$1,'United Data'!$C$3:$C$3390,$A461)&gt;0,1,0)</f>
        <v>0</v>
      </c>
      <c r="K461">
        <f>IF(COUNTIFS('United Data'!$A$3:$A$3390,K$1,'United Data'!$C$3:$C$3390,$A461)&gt;0,1,0)</f>
        <v>0</v>
      </c>
      <c r="L461">
        <f>IF(COUNTIFS('United Data'!$A$3:$A$3390,L$1,'United Data'!$C$3:$C$3390,$A461)&gt;0,1,0)</f>
        <v>0</v>
      </c>
      <c r="M461">
        <f>IF(COUNTIFS('United Data'!$A$3:$A$3390,M$1,'United Data'!$C$3:$C$3390,$A461)&gt;0,1,0)</f>
        <v>0</v>
      </c>
      <c r="N461">
        <f>IF(COUNTIFS('United Data'!$A$3:$A$3390,N$1,'United Data'!$C$3:$C$3390,$A461)&gt;0,1,0)</f>
        <v>1</v>
      </c>
      <c r="O461">
        <f>IF(COUNTIFS('United Data'!$A$3:$A$3390,O$1,'United Data'!$C$3:$C$3390,$A461)&gt;0,1,0)</f>
        <v>0</v>
      </c>
      <c r="P461">
        <f>IF(COUNTIFS('United Data'!$A$3:$A$3390,P$1,'United Data'!$C$3:$C$3390,$A461)&gt;0,1,0)</f>
        <v>0</v>
      </c>
      <c r="Q461">
        <f>IF(COUNTIFS('United Data'!$A$3:$A$3390,Q$1,'United Data'!$C$3:$C$3390,$A461)&gt;0,1,0)</f>
        <v>0</v>
      </c>
      <c r="R461">
        <f>IF(COUNTIFS('United Data'!$A$3:$A$3390,R$1,'United Data'!$C$3:$C$3390,$A461)&gt;0,1,0)</f>
        <v>0</v>
      </c>
      <c r="S461">
        <f t="shared" si="14"/>
        <v>1</v>
      </c>
      <c r="T461">
        <f t="shared" si="15"/>
        <v>1</v>
      </c>
    </row>
    <row r="462" spans="1:20" x14ac:dyDescent="0.2">
      <c r="A462" t="s">
        <v>570</v>
      </c>
      <c r="B462">
        <f>IF(COUNTIFS('United Data'!$A$3:$A$3390,B$1,'United Data'!$C$3:$C$3390,$A462)&gt;0,1,0)</f>
        <v>0</v>
      </c>
      <c r="C462">
        <f>IF(COUNTIFS('United Data'!$A$3:$A$3390,C$1,'United Data'!$C$3:$C$3390,$A462)&gt;0,1,0)</f>
        <v>0</v>
      </c>
      <c r="D462">
        <f>IF(COUNTIFS('United Data'!$A$3:$A$3390,D$1,'United Data'!$C$3:$C$3390,$A462)&gt;0,1,0)</f>
        <v>0</v>
      </c>
      <c r="E462">
        <f>IF(COUNTIFS('United Data'!$A$3:$A$3390,E$1,'United Data'!$C$3:$C$3390,$A462)&gt;0,1,0)</f>
        <v>0</v>
      </c>
      <c r="F462">
        <f>IF(COUNTIFS('United Data'!$A$3:$A$3390,F$1,'United Data'!$C$3:$C$3390,$A462)&gt;0,1,0)</f>
        <v>0</v>
      </c>
      <c r="G462">
        <f>IF(COUNTIFS('United Data'!$A$3:$A$3390,G$1,'United Data'!$C$3:$C$3390,$A462)&gt;0,1,0)</f>
        <v>0</v>
      </c>
      <c r="H462">
        <f>IF(COUNTIFS('United Data'!$A$3:$A$3390,H$1,'United Data'!$C$3:$C$3390,$A462)&gt;0,1,0)</f>
        <v>0</v>
      </c>
      <c r="I462">
        <f>IF(COUNTIFS('United Data'!$A$3:$A$3390,I$1,'United Data'!$C$3:$C$3390,$A462)&gt;0,1,0)</f>
        <v>0</v>
      </c>
      <c r="J462">
        <f>IF(COUNTIFS('United Data'!$A$3:$A$3390,J$1,'United Data'!$C$3:$C$3390,$A462)&gt;0,1,0)</f>
        <v>0</v>
      </c>
      <c r="K462">
        <f>IF(COUNTIFS('United Data'!$A$3:$A$3390,K$1,'United Data'!$C$3:$C$3390,$A462)&gt;0,1,0)</f>
        <v>0</v>
      </c>
      <c r="L462">
        <f>IF(COUNTIFS('United Data'!$A$3:$A$3390,L$1,'United Data'!$C$3:$C$3390,$A462)&gt;0,1,0)</f>
        <v>0</v>
      </c>
      <c r="M462">
        <f>IF(COUNTIFS('United Data'!$A$3:$A$3390,M$1,'United Data'!$C$3:$C$3390,$A462)&gt;0,1,0)</f>
        <v>0</v>
      </c>
      <c r="N462">
        <f>IF(COUNTIFS('United Data'!$A$3:$A$3390,N$1,'United Data'!$C$3:$C$3390,$A462)&gt;0,1,0)</f>
        <v>1</v>
      </c>
      <c r="O462">
        <f>IF(COUNTIFS('United Data'!$A$3:$A$3390,O$1,'United Data'!$C$3:$C$3390,$A462)&gt;0,1,0)</f>
        <v>1</v>
      </c>
      <c r="P462">
        <f>IF(COUNTIFS('United Data'!$A$3:$A$3390,P$1,'United Data'!$C$3:$C$3390,$A462)&gt;0,1,0)</f>
        <v>0</v>
      </c>
      <c r="Q462">
        <f>IF(COUNTIFS('United Data'!$A$3:$A$3390,Q$1,'United Data'!$C$3:$C$3390,$A462)&gt;0,1,0)</f>
        <v>1</v>
      </c>
      <c r="R462">
        <f>IF(COUNTIFS('United Data'!$A$3:$A$3390,R$1,'United Data'!$C$3:$C$3390,$A462)&gt;0,1,0)</f>
        <v>0</v>
      </c>
      <c r="S462">
        <f t="shared" si="14"/>
        <v>3</v>
      </c>
      <c r="T462">
        <f t="shared" si="15"/>
        <v>2</v>
      </c>
    </row>
    <row r="463" spans="1:20" x14ac:dyDescent="0.2">
      <c r="A463" t="s">
        <v>571</v>
      </c>
      <c r="B463">
        <f>IF(COUNTIFS('United Data'!$A$3:$A$3390,B$1,'United Data'!$C$3:$C$3390,$A463)&gt;0,1,0)</f>
        <v>0</v>
      </c>
      <c r="C463">
        <f>IF(COUNTIFS('United Data'!$A$3:$A$3390,C$1,'United Data'!$C$3:$C$3390,$A463)&gt;0,1,0)</f>
        <v>0</v>
      </c>
      <c r="D463">
        <f>IF(COUNTIFS('United Data'!$A$3:$A$3390,D$1,'United Data'!$C$3:$C$3390,$A463)&gt;0,1,0)</f>
        <v>0</v>
      </c>
      <c r="E463">
        <f>IF(COUNTIFS('United Data'!$A$3:$A$3390,E$1,'United Data'!$C$3:$C$3390,$A463)&gt;0,1,0)</f>
        <v>0</v>
      </c>
      <c r="F463">
        <f>IF(COUNTIFS('United Data'!$A$3:$A$3390,F$1,'United Data'!$C$3:$C$3390,$A463)&gt;0,1,0)</f>
        <v>0</v>
      </c>
      <c r="G463">
        <f>IF(COUNTIFS('United Data'!$A$3:$A$3390,G$1,'United Data'!$C$3:$C$3390,$A463)&gt;0,1,0)</f>
        <v>0</v>
      </c>
      <c r="H463">
        <f>IF(COUNTIFS('United Data'!$A$3:$A$3390,H$1,'United Data'!$C$3:$C$3390,$A463)&gt;0,1,0)</f>
        <v>0</v>
      </c>
      <c r="I463">
        <f>IF(COUNTIFS('United Data'!$A$3:$A$3390,I$1,'United Data'!$C$3:$C$3390,$A463)&gt;0,1,0)</f>
        <v>0</v>
      </c>
      <c r="J463">
        <f>IF(COUNTIFS('United Data'!$A$3:$A$3390,J$1,'United Data'!$C$3:$C$3390,$A463)&gt;0,1,0)</f>
        <v>0</v>
      </c>
      <c r="K463">
        <f>IF(COUNTIFS('United Data'!$A$3:$A$3390,K$1,'United Data'!$C$3:$C$3390,$A463)&gt;0,1,0)</f>
        <v>0</v>
      </c>
      <c r="L463">
        <f>IF(COUNTIFS('United Data'!$A$3:$A$3390,L$1,'United Data'!$C$3:$C$3390,$A463)&gt;0,1,0)</f>
        <v>0</v>
      </c>
      <c r="M463">
        <f>IF(COUNTIFS('United Data'!$A$3:$A$3390,M$1,'United Data'!$C$3:$C$3390,$A463)&gt;0,1,0)</f>
        <v>0</v>
      </c>
      <c r="N463">
        <f>IF(COUNTIFS('United Data'!$A$3:$A$3390,N$1,'United Data'!$C$3:$C$3390,$A463)&gt;0,1,0)</f>
        <v>1</v>
      </c>
      <c r="O463">
        <f>IF(COUNTIFS('United Data'!$A$3:$A$3390,O$1,'United Data'!$C$3:$C$3390,$A463)&gt;0,1,0)</f>
        <v>0</v>
      </c>
      <c r="P463">
        <f>IF(COUNTIFS('United Data'!$A$3:$A$3390,P$1,'United Data'!$C$3:$C$3390,$A463)&gt;0,1,0)</f>
        <v>0</v>
      </c>
      <c r="Q463">
        <f>IF(COUNTIFS('United Data'!$A$3:$A$3390,Q$1,'United Data'!$C$3:$C$3390,$A463)&gt;0,1,0)</f>
        <v>0</v>
      </c>
      <c r="R463">
        <f>IF(COUNTIFS('United Data'!$A$3:$A$3390,R$1,'United Data'!$C$3:$C$3390,$A463)&gt;0,1,0)</f>
        <v>0</v>
      </c>
      <c r="S463">
        <f t="shared" si="14"/>
        <v>1</v>
      </c>
      <c r="T463">
        <f t="shared" si="15"/>
        <v>1</v>
      </c>
    </row>
    <row r="464" spans="1:20" x14ac:dyDescent="0.2">
      <c r="A464" t="s">
        <v>572</v>
      </c>
      <c r="B464">
        <f>IF(COUNTIFS('United Data'!$A$3:$A$3390,B$1,'United Data'!$C$3:$C$3390,$A464)&gt;0,1,0)</f>
        <v>0</v>
      </c>
      <c r="C464">
        <f>IF(COUNTIFS('United Data'!$A$3:$A$3390,C$1,'United Data'!$C$3:$C$3390,$A464)&gt;0,1,0)</f>
        <v>0</v>
      </c>
      <c r="D464">
        <f>IF(COUNTIFS('United Data'!$A$3:$A$3390,D$1,'United Data'!$C$3:$C$3390,$A464)&gt;0,1,0)</f>
        <v>0</v>
      </c>
      <c r="E464">
        <f>IF(COUNTIFS('United Data'!$A$3:$A$3390,E$1,'United Data'!$C$3:$C$3390,$A464)&gt;0,1,0)</f>
        <v>0</v>
      </c>
      <c r="F464">
        <f>IF(COUNTIFS('United Data'!$A$3:$A$3390,F$1,'United Data'!$C$3:$C$3390,$A464)&gt;0,1,0)</f>
        <v>0</v>
      </c>
      <c r="G464">
        <f>IF(COUNTIFS('United Data'!$A$3:$A$3390,G$1,'United Data'!$C$3:$C$3390,$A464)&gt;0,1,0)</f>
        <v>0</v>
      </c>
      <c r="H464">
        <f>IF(COUNTIFS('United Data'!$A$3:$A$3390,H$1,'United Data'!$C$3:$C$3390,$A464)&gt;0,1,0)</f>
        <v>0</v>
      </c>
      <c r="I464">
        <f>IF(COUNTIFS('United Data'!$A$3:$A$3390,I$1,'United Data'!$C$3:$C$3390,$A464)&gt;0,1,0)</f>
        <v>0</v>
      </c>
      <c r="J464">
        <f>IF(COUNTIFS('United Data'!$A$3:$A$3390,J$1,'United Data'!$C$3:$C$3390,$A464)&gt;0,1,0)</f>
        <v>0</v>
      </c>
      <c r="K464">
        <f>IF(COUNTIFS('United Data'!$A$3:$A$3390,K$1,'United Data'!$C$3:$C$3390,$A464)&gt;0,1,0)</f>
        <v>0</v>
      </c>
      <c r="L464">
        <f>IF(COUNTIFS('United Data'!$A$3:$A$3390,L$1,'United Data'!$C$3:$C$3390,$A464)&gt;0,1,0)</f>
        <v>0</v>
      </c>
      <c r="M464">
        <f>IF(COUNTIFS('United Data'!$A$3:$A$3390,M$1,'United Data'!$C$3:$C$3390,$A464)&gt;0,1,0)</f>
        <v>0</v>
      </c>
      <c r="N464">
        <f>IF(COUNTIFS('United Data'!$A$3:$A$3390,N$1,'United Data'!$C$3:$C$3390,$A464)&gt;0,1,0)</f>
        <v>1</v>
      </c>
      <c r="O464">
        <f>IF(COUNTIFS('United Data'!$A$3:$A$3390,O$1,'United Data'!$C$3:$C$3390,$A464)&gt;0,1,0)</f>
        <v>0</v>
      </c>
      <c r="P464">
        <f>IF(COUNTIFS('United Data'!$A$3:$A$3390,P$1,'United Data'!$C$3:$C$3390,$A464)&gt;0,1,0)</f>
        <v>0</v>
      </c>
      <c r="Q464">
        <f>IF(COUNTIFS('United Data'!$A$3:$A$3390,Q$1,'United Data'!$C$3:$C$3390,$A464)&gt;0,1,0)</f>
        <v>0</v>
      </c>
      <c r="R464">
        <f>IF(COUNTIFS('United Data'!$A$3:$A$3390,R$1,'United Data'!$C$3:$C$3390,$A464)&gt;0,1,0)</f>
        <v>0</v>
      </c>
      <c r="S464">
        <f t="shared" si="14"/>
        <v>1</v>
      </c>
      <c r="T464">
        <f t="shared" si="15"/>
        <v>1</v>
      </c>
    </row>
    <row r="465" spans="1:20" x14ac:dyDescent="0.2">
      <c r="A465" t="s">
        <v>573</v>
      </c>
      <c r="B465">
        <f>IF(COUNTIFS('United Data'!$A$3:$A$3390,B$1,'United Data'!$C$3:$C$3390,$A465)&gt;0,1,0)</f>
        <v>0</v>
      </c>
      <c r="C465">
        <f>IF(COUNTIFS('United Data'!$A$3:$A$3390,C$1,'United Data'!$C$3:$C$3390,$A465)&gt;0,1,0)</f>
        <v>0</v>
      </c>
      <c r="D465">
        <f>IF(COUNTIFS('United Data'!$A$3:$A$3390,D$1,'United Data'!$C$3:$C$3390,$A465)&gt;0,1,0)</f>
        <v>0</v>
      </c>
      <c r="E465">
        <f>IF(COUNTIFS('United Data'!$A$3:$A$3390,E$1,'United Data'!$C$3:$C$3390,$A465)&gt;0,1,0)</f>
        <v>0</v>
      </c>
      <c r="F465">
        <f>IF(COUNTIFS('United Data'!$A$3:$A$3390,F$1,'United Data'!$C$3:$C$3390,$A465)&gt;0,1,0)</f>
        <v>0</v>
      </c>
      <c r="G465">
        <f>IF(COUNTIFS('United Data'!$A$3:$A$3390,G$1,'United Data'!$C$3:$C$3390,$A465)&gt;0,1,0)</f>
        <v>0</v>
      </c>
      <c r="H465">
        <f>IF(COUNTIFS('United Data'!$A$3:$A$3390,H$1,'United Data'!$C$3:$C$3390,$A465)&gt;0,1,0)</f>
        <v>0</v>
      </c>
      <c r="I465">
        <f>IF(COUNTIFS('United Data'!$A$3:$A$3390,I$1,'United Data'!$C$3:$C$3390,$A465)&gt;0,1,0)</f>
        <v>0</v>
      </c>
      <c r="J465">
        <f>IF(COUNTIFS('United Data'!$A$3:$A$3390,J$1,'United Data'!$C$3:$C$3390,$A465)&gt;0,1,0)</f>
        <v>0</v>
      </c>
      <c r="K465">
        <f>IF(COUNTIFS('United Data'!$A$3:$A$3390,K$1,'United Data'!$C$3:$C$3390,$A465)&gt;0,1,0)</f>
        <v>0</v>
      </c>
      <c r="L465">
        <f>IF(COUNTIFS('United Data'!$A$3:$A$3390,L$1,'United Data'!$C$3:$C$3390,$A465)&gt;0,1,0)</f>
        <v>0</v>
      </c>
      <c r="M465">
        <f>IF(COUNTIFS('United Data'!$A$3:$A$3390,M$1,'United Data'!$C$3:$C$3390,$A465)&gt;0,1,0)</f>
        <v>0</v>
      </c>
      <c r="N465">
        <f>IF(COUNTIFS('United Data'!$A$3:$A$3390,N$1,'United Data'!$C$3:$C$3390,$A465)&gt;0,1,0)</f>
        <v>1</v>
      </c>
      <c r="O465">
        <f>IF(COUNTIFS('United Data'!$A$3:$A$3390,O$1,'United Data'!$C$3:$C$3390,$A465)&gt;0,1,0)</f>
        <v>0</v>
      </c>
      <c r="P465">
        <f>IF(COUNTIFS('United Data'!$A$3:$A$3390,P$1,'United Data'!$C$3:$C$3390,$A465)&gt;0,1,0)</f>
        <v>0</v>
      </c>
      <c r="Q465">
        <f>IF(COUNTIFS('United Data'!$A$3:$A$3390,Q$1,'United Data'!$C$3:$C$3390,$A465)&gt;0,1,0)</f>
        <v>0</v>
      </c>
      <c r="R465">
        <f>IF(COUNTIFS('United Data'!$A$3:$A$3390,R$1,'United Data'!$C$3:$C$3390,$A465)&gt;0,1,0)</f>
        <v>0</v>
      </c>
      <c r="S465">
        <f t="shared" si="14"/>
        <v>1</v>
      </c>
      <c r="T465">
        <f t="shared" si="15"/>
        <v>1</v>
      </c>
    </row>
    <row r="466" spans="1:20" x14ac:dyDescent="0.2">
      <c r="A466" t="s">
        <v>574</v>
      </c>
      <c r="B466">
        <f>IF(COUNTIFS('United Data'!$A$3:$A$3390,B$1,'United Data'!$C$3:$C$3390,$A466)&gt;0,1,0)</f>
        <v>0</v>
      </c>
      <c r="C466">
        <f>IF(COUNTIFS('United Data'!$A$3:$A$3390,C$1,'United Data'!$C$3:$C$3390,$A466)&gt;0,1,0)</f>
        <v>0</v>
      </c>
      <c r="D466">
        <f>IF(COUNTIFS('United Data'!$A$3:$A$3390,D$1,'United Data'!$C$3:$C$3390,$A466)&gt;0,1,0)</f>
        <v>0</v>
      </c>
      <c r="E466">
        <f>IF(COUNTIFS('United Data'!$A$3:$A$3390,E$1,'United Data'!$C$3:$C$3390,$A466)&gt;0,1,0)</f>
        <v>0</v>
      </c>
      <c r="F466">
        <f>IF(COUNTIFS('United Data'!$A$3:$A$3390,F$1,'United Data'!$C$3:$C$3390,$A466)&gt;0,1,0)</f>
        <v>0</v>
      </c>
      <c r="G466">
        <f>IF(COUNTIFS('United Data'!$A$3:$A$3390,G$1,'United Data'!$C$3:$C$3390,$A466)&gt;0,1,0)</f>
        <v>0</v>
      </c>
      <c r="H466">
        <f>IF(COUNTIFS('United Data'!$A$3:$A$3390,H$1,'United Data'!$C$3:$C$3390,$A466)&gt;0,1,0)</f>
        <v>0</v>
      </c>
      <c r="I466">
        <f>IF(COUNTIFS('United Data'!$A$3:$A$3390,I$1,'United Data'!$C$3:$C$3390,$A466)&gt;0,1,0)</f>
        <v>0</v>
      </c>
      <c r="J466">
        <f>IF(COUNTIFS('United Data'!$A$3:$A$3390,J$1,'United Data'!$C$3:$C$3390,$A466)&gt;0,1,0)</f>
        <v>0</v>
      </c>
      <c r="K466">
        <f>IF(COUNTIFS('United Data'!$A$3:$A$3390,K$1,'United Data'!$C$3:$C$3390,$A466)&gt;0,1,0)</f>
        <v>0</v>
      </c>
      <c r="L466">
        <f>IF(COUNTIFS('United Data'!$A$3:$A$3390,L$1,'United Data'!$C$3:$C$3390,$A466)&gt;0,1,0)</f>
        <v>0</v>
      </c>
      <c r="M466">
        <f>IF(COUNTIFS('United Data'!$A$3:$A$3390,M$1,'United Data'!$C$3:$C$3390,$A466)&gt;0,1,0)</f>
        <v>0</v>
      </c>
      <c r="N466">
        <f>IF(COUNTIFS('United Data'!$A$3:$A$3390,N$1,'United Data'!$C$3:$C$3390,$A466)&gt;0,1,0)</f>
        <v>0</v>
      </c>
      <c r="O466">
        <f>IF(COUNTIFS('United Data'!$A$3:$A$3390,O$1,'United Data'!$C$3:$C$3390,$A466)&gt;0,1,0)</f>
        <v>1</v>
      </c>
      <c r="P466">
        <f>IF(COUNTIFS('United Data'!$A$3:$A$3390,P$1,'United Data'!$C$3:$C$3390,$A466)&gt;0,1,0)</f>
        <v>0</v>
      </c>
      <c r="Q466">
        <f>IF(COUNTIFS('United Data'!$A$3:$A$3390,Q$1,'United Data'!$C$3:$C$3390,$A466)&gt;0,1,0)</f>
        <v>1</v>
      </c>
      <c r="R466">
        <f>IF(COUNTIFS('United Data'!$A$3:$A$3390,R$1,'United Data'!$C$3:$C$3390,$A466)&gt;0,1,0)</f>
        <v>0</v>
      </c>
      <c r="S466">
        <f t="shared" si="14"/>
        <v>2</v>
      </c>
      <c r="T466">
        <f t="shared" si="15"/>
        <v>2</v>
      </c>
    </row>
    <row r="467" spans="1:20" x14ac:dyDescent="0.2">
      <c r="A467" t="s">
        <v>575</v>
      </c>
      <c r="B467">
        <f>IF(COUNTIFS('United Data'!$A$3:$A$3390,B$1,'United Data'!$C$3:$C$3390,$A467)&gt;0,1,0)</f>
        <v>0</v>
      </c>
      <c r="C467">
        <f>IF(COUNTIFS('United Data'!$A$3:$A$3390,C$1,'United Data'!$C$3:$C$3390,$A467)&gt;0,1,0)</f>
        <v>1</v>
      </c>
      <c r="D467">
        <f>IF(COUNTIFS('United Data'!$A$3:$A$3390,D$1,'United Data'!$C$3:$C$3390,$A467)&gt;0,1,0)</f>
        <v>0</v>
      </c>
      <c r="E467">
        <f>IF(COUNTIFS('United Data'!$A$3:$A$3390,E$1,'United Data'!$C$3:$C$3390,$A467)&gt;0,1,0)</f>
        <v>0</v>
      </c>
      <c r="F467">
        <f>IF(COUNTIFS('United Data'!$A$3:$A$3390,F$1,'United Data'!$C$3:$C$3390,$A467)&gt;0,1,0)</f>
        <v>0</v>
      </c>
      <c r="G467">
        <f>IF(COUNTIFS('United Data'!$A$3:$A$3390,G$1,'United Data'!$C$3:$C$3390,$A467)&gt;0,1,0)</f>
        <v>0</v>
      </c>
      <c r="H467">
        <f>IF(COUNTIFS('United Data'!$A$3:$A$3390,H$1,'United Data'!$C$3:$C$3390,$A467)&gt;0,1,0)</f>
        <v>0</v>
      </c>
      <c r="I467">
        <f>IF(COUNTIFS('United Data'!$A$3:$A$3390,I$1,'United Data'!$C$3:$C$3390,$A467)&gt;0,1,0)</f>
        <v>0</v>
      </c>
      <c r="J467">
        <f>IF(COUNTIFS('United Data'!$A$3:$A$3390,J$1,'United Data'!$C$3:$C$3390,$A467)&gt;0,1,0)</f>
        <v>0</v>
      </c>
      <c r="K467">
        <f>IF(COUNTIFS('United Data'!$A$3:$A$3390,K$1,'United Data'!$C$3:$C$3390,$A467)&gt;0,1,0)</f>
        <v>0</v>
      </c>
      <c r="L467">
        <f>IF(COUNTIFS('United Data'!$A$3:$A$3390,L$1,'United Data'!$C$3:$C$3390,$A467)&gt;0,1,0)</f>
        <v>0</v>
      </c>
      <c r="M467">
        <f>IF(COUNTIFS('United Data'!$A$3:$A$3390,M$1,'United Data'!$C$3:$C$3390,$A467)&gt;0,1,0)</f>
        <v>0</v>
      </c>
      <c r="N467">
        <f>IF(COUNTIFS('United Data'!$A$3:$A$3390,N$1,'United Data'!$C$3:$C$3390,$A467)&gt;0,1,0)</f>
        <v>0</v>
      </c>
      <c r="O467">
        <f>IF(COUNTIFS('United Data'!$A$3:$A$3390,O$1,'United Data'!$C$3:$C$3390,$A467)&gt;0,1,0)</f>
        <v>1</v>
      </c>
      <c r="P467">
        <f>IF(COUNTIFS('United Data'!$A$3:$A$3390,P$1,'United Data'!$C$3:$C$3390,$A467)&gt;0,1,0)</f>
        <v>1</v>
      </c>
      <c r="Q467">
        <f>IF(COUNTIFS('United Data'!$A$3:$A$3390,Q$1,'United Data'!$C$3:$C$3390,$A467)&gt;0,1,0)</f>
        <v>1</v>
      </c>
      <c r="R467">
        <f>IF(COUNTIFS('United Data'!$A$3:$A$3390,R$1,'United Data'!$C$3:$C$3390,$A467)&gt;0,1,0)</f>
        <v>0</v>
      </c>
      <c r="S467">
        <f t="shared" si="14"/>
        <v>4</v>
      </c>
      <c r="T467">
        <f t="shared" si="15"/>
        <v>2</v>
      </c>
    </row>
    <row r="468" spans="1:20" x14ac:dyDescent="0.2">
      <c r="A468" t="s">
        <v>576</v>
      </c>
      <c r="B468">
        <f>IF(COUNTIFS('United Data'!$A$3:$A$3390,B$1,'United Data'!$C$3:$C$3390,$A468)&gt;0,1,0)</f>
        <v>0</v>
      </c>
      <c r="C468">
        <f>IF(COUNTIFS('United Data'!$A$3:$A$3390,C$1,'United Data'!$C$3:$C$3390,$A468)&gt;0,1,0)</f>
        <v>0</v>
      </c>
      <c r="D468">
        <f>IF(COUNTIFS('United Data'!$A$3:$A$3390,D$1,'United Data'!$C$3:$C$3390,$A468)&gt;0,1,0)</f>
        <v>0</v>
      </c>
      <c r="E468">
        <f>IF(COUNTIFS('United Data'!$A$3:$A$3390,E$1,'United Data'!$C$3:$C$3390,$A468)&gt;0,1,0)</f>
        <v>0</v>
      </c>
      <c r="F468">
        <f>IF(COUNTIFS('United Data'!$A$3:$A$3390,F$1,'United Data'!$C$3:$C$3390,$A468)&gt;0,1,0)</f>
        <v>0</v>
      </c>
      <c r="G468">
        <f>IF(COUNTIFS('United Data'!$A$3:$A$3390,G$1,'United Data'!$C$3:$C$3390,$A468)&gt;0,1,0)</f>
        <v>0</v>
      </c>
      <c r="H468">
        <f>IF(COUNTIFS('United Data'!$A$3:$A$3390,H$1,'United Data'!$C$3:$C$3390,$A468)&gt;0,1,0)</f>
        <v>0</v>
      </c>
      <c r="I468">
        <f>IF(COUNTIFS('United Data'!$A$3:$A$3390,I$1,'United Data'!$C$3:$C$3390,$A468)&gt;0,1,0)</f>
        <v>0</v>
      </c>
      <c r="J468">
        <f>IF(COUNTIFS('United Data'!$A$3:$A$3390,J$1,'United Data'!$C$3:$C$3390,$A468)&gt;0,1,0)</f>
        <v>0</v>
      </c>
      <c r="K468">
        <f>IF(COUNTIFS('United Data'!$A$3:$A$3390,K$1,'United Data'!$C$3:$C$3390,$A468)&gt;0,1,0)</f>
        <v>0</v>
      </c>
      <c r="L468">
        <f>IF(COUNTIFS('United Data'!$A$3:$A$3390,L$1,'United Data'!$C$3:$C$3390,$A468)&gt;0,1,0)</f>
        <v>0</v>
      </c>
      <c r="M468">
        <f>IF(COUNTIFS('United Data'!$A$3:$A$3390,M$1,'United Data'!$C$3:$C$3390,$A468)&gt;0,1,0)</f>
        <v>0</v>
      </c>
      <c r="N468">
        <f>IF(COUNTIFS('United Data'!$A$3:$A$3390,N$1,'United Data'!$C$3:$C$3390,$A468)&gt;0,1,0)</f>
        <v>0</v>
      </c>
      <c r="O468">
        <f>IF(COUNTIFS('United Data'!$A$3:$A$3390,O$1,'United Data'!$C$3:$C$3390,$A468)&gt;0,1,0)</f>
        <v>1</v>
      </c>
      <c r="P468">
        <f>IF(COUNTIFS('United Data'!$A$3:$A$3390,P$1,'United Data'!$C$3:$C$3390,$A468)&gt;0,1,0)</f>
        <v>1</v>
      </c>
      <c r="Q468">
        <f>IF(COUNTIFS('United Data'!$A$3:$A$3390,Q$1,'United Data'!$C$3:$C$3390,$A468)&gt;0,1,0)</f>
        <v>1</v>
      </c>
      <c r="R468">
        <f>IF(COUNTIFS('United Data'!$A$3:$A$3390,R$1,'United Data'!$C$3:$C$3390,$A468)&gt;0,1,0)</f>
        <v>0</v>
      </c>
      <c r="S468">
        <f t="shared" si="14"/>
        <v>3</v>
      </c>
      <c r="T468">
        <f t="shared" si="15"/>
        <v>1</v>
      </c>
    </row>
    <row r="469" spans="1:20" x14ac:dyDescent="0.2">
      <c r="A469" t="s">
        <v>577</v>
      </c>
      <c r="B469">
        <f>IF(COUNTIFS('United Data'!$A$3:$A$3390,B$1,'United Data'!$C$3:$C$3390,$A469)&gt;0,1,0)</f>
        <v>0</v>
      </c>
      <c r="C469">
        <f>IF(COUNTIFS('United Data'!$A$3:$A$3390,C$1,'United Data'!$C$3:$C$3390,$A469)&gt;0,1,0)</f>
        <v>0</v>
      </c>
      <c r="D469">
        <f>IF(COUNTIFS('United Data'!$A$3:$A$3390,D$1,'United Data'!$C$3:$C$3390,$A469)&gt;0,1,0)</f>
        <v>0</v>
      </c>
      <c r="E469">
        <f>IF(COUNTIFS('United Data'!$A$3:$A$3390,E$1,'United Data'!$C$3:$C$3390,$A469)&gt;0,1,0)</f>
        <v>0</v>
      </c>
      <c r="F469">
        <f>IF(COUNTIFS('United Data'!$A$3:$A$3390,F$1,'United Data'!$C$3:$C$3390,$A469)&gt;0,1,0)</f>
        <v>0</v>
      </c>
      <c r="G469">
        <f>IF(COUNTIFS('United Data'!$A$3:$A$3390,G$1,'United Data'!$C$3:$C$3390,$A469)&gt;0,1,0)</f>
        <v>0</v>
      </c>
      <c r="H469">
        <f>IF(COUNTIFS('United Data'!$A$3:$A$3390,H$1,'United Data'!$C$3:$C$3390,$A469)&gt;0,1,0)</f>
        <v>0</v>
      </c>
      <c r="I469">
        <f>IF(COUNTIFS('United Data'!$A$3:$A$3390,I$1,'United Data'!$C$3:$C$3390,$A469)&gt;0,1,0)</f>
        <v>0</v>
      </c>
      <c r="J469">
        <f>IF(COUNTIFS('United Data'!$A$3:$A$3390,J$1,'United Data'!$C$3:$C$3390,$A469)&gt;0,1,0)</f>
        <v>0</v>
      </c>
      <c r="K469">
        <f>IF(COUNTIFS('United Data'!$A$3:$A$3390,K$1,'United Data'!$C$3:$C$3390,$A469)&gt;0,1,0)</f>
        <v>0</v>
      </c>
      <c r="L469">
        <f>IF(COUNTIFS('United Data'!$A$3:$A$3390,L$1,'United Data'!$C$3:$C$3390,$A469)&gt;0,1,0)</f>
        <v>0</v>
      </c>
      <c r="M469">
        <f>IF(COUNTIFS('United Data'!$A$3:$A$3390,M$1,'United Data'!$C$3:$C$3390,$A469)&gt;0,1,0)</f>
        <v>0</v>
      </c>
      <c r="N469">
        <f>IF(COUNTIFS('United Data'!$A$3:$A$3390,N$1,'United Data'!$C$3:$C$3390,$A469)&gt;0,1,0)</f>
        <v>0</v>
      </c>
      <c r="O469">
        <f>IF(COUNTIFS('United Data'!$A$3:$A$3390,O$1,'United Data'!$C$3:$C$3390,$A469)&gt;0,1,0)</f>
        <v>1</v>
      </c>
      <c r="P469">
        <f>IF(COUNTIFS('United Data'!$A$3:$A$3390,P$1,'United Data'!$C$3:$C$3390,$A469)&gt;0,1,0)</f>
        <v>0</v>
      </c>
      <c r="Q469">
        <f>IF(COUNTIFS('United Data'!$A$3:$A$3390,Q$1,'United Data'!$C$3:$C$3390,$A469)&gt;0,1,0)</f>
        <v>0</v>
      </c>
      <c r="R469">
        <f>IF(COUNTIFS('United Data'!$A$3:$A$3390,R$1,'United Data'!$C$3:$C$3390,$A469)&gt;0,1,0)</f>
        <v>0</v>
      </c>
      <c r="S469">
        <f t="shared" si="14"/>
        <v>1</v>
      </c>
      <c r="T469">
        <f t="shared" si="15"/>
        <v>1</v>
      </c>
    </row>
    <row r="470" spans="1:20" x14ac:dyDescent="0.2">
      <c r="A470" t="s">
        <v>578</v>
      </c>
      <c r="B470">
        <f>IF(COUNTIFS('United Data'!$A$3:$A$3390,B$1,'United Data'!$C$3:$C$3390,$A470)&gt;0,1,0)</f>
        <v>0</v>
      </c>
      <c r="C470">
        <f>IF(COUNTIFS('United Data'!$A$3:$A$3390,C$1,'United Data'!$C$3:$C$3390,$A470)&gt;0,1,0)</f>
        <v>0</v>
      </c>
      <c r="D470">
        <f>IF(COUNTIFS('United Data'!$A$3:$A$3390,D$1,'United Data'!$C$3:$C$3390,$A470)&gt;0,1,0)</f>
        <v>0</v>
      </c>
      <c r="E470">
        <f>IF(COUNTIFS('United Data'!$A$3:$A$3390,E$1,'United Data'!$C$3:$C$3390,$A470)&gt;0,1,0)</f>
        <v>0</v>
      </c>
      <c r="F470">
        <f>IF(COUNTIFS('United Data'!$A$3:$A$3390,F$1,'United Data'!$C$3:$C$3390,$A470)&gt;0,1,0)</f>
        <v>0</v>
      </c>
      <c r="G470">
        <f>IF(COUNTIFS('United Data'!$A$3:$A$3390,G$1,'United Data'!$C$3:$C$3390,$A470)&gt;0,1,0)</f>
        <v>0</v>
      </c>
      <c r="H470">
        <f>IF(COUNTIFS('United Data'!$A$3:$A$3390,H$1,'United Data'!$C$3:$C$3390,$A470)&gt;0,1,0)</f>
        <v>0</v>
      </c>
      <c r="I470">
        <f>IF(COUNTIFS('United Data'!$A$3:$A$3390,I$1,'United Data'!$C$3:$C$3390,$A470)&gt;0,1,0)</f>
        <v>0</v>
      </c>
      <c r="J470">
        <f>IF(COUNTIFS('United Data'!$A$3:$A$3390,J$1,'United Data'!$C$3:$C$3390,$A470)&gt;0,1,0)</f>
        <v>0</v>
      </c>
      <c r="K470">
        <f>IF(COUNTIFS('United Data'!$A$3:$A$3390,K$1,'United Data'!$C$3:$C$3390,$A470)&gt;0,1,0)</f>
        <v>0</v>
      </c>
      <c r="L470">
        <f>IF(COUNTIFS('United Data'!$A$3:$A$3390,L$1,'United Data'!$C$3:$C$3390,$A470)&gt;0,1,0)</f>
        <v>0</v>
      </c>
      <c r="M470">
        <f>IF(COUNTIFS('United Data'!$A$3:$A$3390,M$1,'United Data'!$C$3:$C$3390,$A470)&gt;0,1,0)</f>
        <v>0</v>
      </c>
      <c r="N470">
        <f>IF(COUNTIFS('United Data'!$A$3:$A$3390,N$1,'United Data'!$C$3:$C$3390,$A470)&gt;0,1,0)</f>
        <v>0</v>
      </c>
      <c r="O470">
        <f>IF(COUNTIFS('United Data'!$A$3:$A$3390,O$1,'United Data'!$C$3:$C$3390,$A470)&gt;0,1,0)</f>
        <v>1</v>
      </c>
      <c r="P470">
        <f>IF(COUNTIFS('United Data'!$A$3:$A$3390,P$1,'United Data'!$C$3:$C$3390,$A470)&gt;0,1,0)</f>
        <v>0</v>
      </c>
      <c r="Q470">
        <f>IF(COUNTIFS('United Data'!$A$3:$A$3390,Q$1,'United Data'!$C$3:$C$3390,$A470)&gt;0,1,0)</f>
        <v>0</v>
      </c>
      <c r="R470">
        <f>IF(COUNTIFS('United Data'!$A$3:$A$3390,R$1,'United Data'!$C$3:$C$3390,$A470)&gt;0,1,0)</f>
        <v>0</v>
      </c>
      <c r="S470">
        <f t="shared" si="14"/>
        <v>1</v>
      </c>
      <c r="T470">
        <f t="shared" si="15"/>
        <v>1</v>
      </c>
    </row>
    <row r="471" spans="1:20" x14ac:dyDescent="0.2">
      <c r="A471" t="s">
        <v>579</v>
      </c>
      <c r="B471">
        <f>IF(COUNTIFS('United Data'!$A$3:$A$3390,B$1,'United Data'!$C$3:$C$3390,$A471)&gt;0,1,0)</f>
        <v>0</v>
      </c>
      <c r="C471">
        <f>IF(COUNTIFS('United Data'!$A$3:$A$3390,C$1,'United Data'!$C$3:$C$3390,$A471)&gt;0,1,0)</f>
        <v>0</v>
      </c>
      <c r="D471">
        <f>IF(COUNTIFS('United Data'!$A$3:$A$3390,D$1,'United Data'!$C$3:$C$3390,$A471)&gt;0,1,0)</f>
        <v>0</v>
      </c>
      <c r="E471">
        <f>IF(COUNTIFS('United Data'!$A$3:$A$3390,E$1,'United Data'!$C$3:$C$3390,$A471)&gt;0,1,0)</f>
        <v>0</v>
      </c>
      <c r="F471">
        <f>IF(COUNTIFS('United Data'!$A$3:$A$3390,F$1,'United Data'!$C$3:$C$3390,$A471)&gt;0,1,0)</f>
        <v>0</v>
      </c>
      <c r="G471">
        <f>IF(COUNTIFS('United Data'!$A$3:$A$3390,G$1,'United Data'!$C$3:$C$3390,$A471)&gt;0,1,0)</f>
        <v>0</v>
      </c>
      <c r="H471">
        <f>IF(COUNTIFS('United Data'!$A$3:$A$3390,H$1,'United Data'!$C$3:$C$3390,$A471)&gt;0,1,0)</f>
        <v>0</v>
      </c>
      <c r="I471">
        <f>IF(COUNTIFS('United Data'!$A$3:$A$3390,I$1,'United Data'!$C$3:$C$3390,$A471)&gt;0,1,0)</f>
        <v>0</v>
      </c>
      <c r="J471">
        <f>IF(COUNTIFS('United Data'!$A$3:$A$3390,J$1,'United Data'!$C$3:$C$3390,$A471)&gt;0,1,0)</f>
        <v>0</v>
      </c>
      <c r="K471">
        <f>IF(COUNTIFS('United Data'!$A$3:$A$3390,K$1,'United Data'!$C$3:$C$3390,$A471)&gt;0,1,0)</f>
        <v>0</v>
      </c>
      <c r="L471">
        <f>IF(COUNTIFS('United Data'!$A$3:$A$3390,L$1,'United Data'!$C$3:$C$3390,$A471)&gt;0,1,0)</f>
        <v>0</v>
      </c>
      <c r="M471">
        <f>IF(COUNTIFS('United Data'!$A$3:$A$3390,M$1,'United Data'!$C$3:$C$3390,$A471)&gt;0,1,0)</f>
        <v>0</v>
      </c>
      <c r="N471">
        <f>IF(COUNTIFS('United Data'!$A$3:$A$3390,N$1,'United Data'!$C$3:$C$3390,$A471)&gt;0,1,0)</f>
        <v>0</v>
      </c>
      <c r="O471">
        <f>IF(COUNTIFS('United Data'!$A$3:$A$3390,O$1,'United Data'!$C$3:$C$3390,$A471)&gt;0,1,0)</f>
        <v>1</v>
      </c>
      <c r="P471">
        <f>IF(COUNTIFS('United Data'!$A$3:$A$3390,P$1,'United Data'!$C$3:$C$3390,$A471)&gt;0,1,0)</f>
        <v>0</v>
      </c>
      <c r="Q471">
        <f>IF(COUNTIFS('United Data'!$A$3:$A$3390,Q$1,'United Data'!$C$3:$C$3390,$A471)&gt;0,1,0)</f>
        <v>0</v>
      </c>
      <c r="R471">
        <f>IF(COUNTIFS('United Data'!$A$3:$A$3390,R$1,'United Data'!$C$3:$C$3390,$A471)&gt;0,1,0)</f>
        <v>0</v>
      </c>
      <c r="S471">
        <f t="shared" si="14"/>
        <v>1</v>
      </c>
      <c r="T471">
        <f t="shared" si="15"/>
        <v>1</v>
      </c>
    </row>
    <row r="472" spans="1:20" x14ac:dyDescent="0.2">
      <c r="A472" t="s">
        <v>580</v>
      </c>
      <c r="B472">
        <f>IF(COUNTIFS('United Data'!$A$3:$A$3390,B$1,'United Data'!$C$3:$C$3390,$A472)&gt;0,1,0)</f>
        <v>0</v>
      </c>
      <c r="C472">
        <f>IF(COUNTIFS('United Data'!$A$3:$A$3390,C$1,'United Data'!$C$3:$C$3390,$A472)&gt;0,1,0)</f>
        <v>0</v>
      </c>
      <c r="D472">
        <f>IF(COUNTIFS('United Data'!$A$3:$A$3390,D$1,'United Data'!$C$3:$C$3390,$A472)&gt;0,1,0)</f>
        <v>0</v>
      </c>
      <c r="E472">
        <f>IF(COUNTIFS('United Data'!$A$3:$A$3390,E$1,'United Data'!$C$3:$C$3390,$A472)&gt;0,1,0)</f>
        <v>0</v>
      </c>
      <c r="F472">
        <f>IF(COUNTIFS('United Data'!$A$3:$A$3390,F$1,'United Data'!$C$3:$C$3390,$A472)&gt;0,1,0)</f>
        <v>0</v>
      </c>
      <c r="G472">
        <f>IF(COUNTIFS('United Data'!$A$3:$A$3390,G$1,'United Data'!$C$3:$C$3390,$A472)&gt;0,1,0)</f>
        <v>0</v>
      </c>
      <c r="H472">
        <f>IF(COUNTIFS('United Data'!$A$3:$A$3390,H$1,'United Data'!$C$3:$C$3390,$A472)&gt;0,1,0)</f>
        <v>0</v>
      </c>
      <c r="I472">
        <f>IF(COUNTIFS('United Data'!$A$3:$A$3390,I$1,'United Data'!$C$3:$C$3390,$A472)&gt;0,1,0)</f>
        <v>0</v>
      </c>
      <c r="J472">
        <f>IF(COUNTIFS('United Data'!$A$3:$A$3390,J$1,'United Data'!$C$3:$C$3390,$A472)&gt;0,1,0)</f>
        <v>0</v>
      </c>
      <c r="K472">
        <f>IF(COUNTIFS('United Data'!$A$3:$A$3390,K$1,'United Data'!$C$3:$C$3390,$A472)&gt;0,1,0)</f>
        <v>0</v>
      </c>
      <c r="L472">
        <f>IF(COUNTIFS('United Data'!$A$3:$A$3390,L$1,'United Data'!$C$3:$C$3390,$A472)&gt;0,1,0)</f>
        <v>0</v>
      </c>
      <c r="M472">
        <f>IF(COUNTIFS('United Data'!$A$3:$A$3390,M$1,'United Data'!$C$3:$C$3390,$A472)&gt;0,1,0)</f>
        <v>0</v>
      </c>
      <c r="N472">
        <f>IF(COUNTIFS('United Data'!$A$3:$A$3390,N$1,'United Data'!$C$3:$C$3390,$A472)&gt;0,1,0)</f>
        <v>0</v>
      </c>
      <c r="O472">
        <f>IF(COUNTIFS('United Data'!$A$3:$A$3390,O$1,'United Data'!$C$3:$C$3390,$A472)&gt;0,1,0)</f>
        <v>1</v>
      </c>
      <c r="P472">
        <f>IF(COUNTIFS('United Data'!$A$3:$A$3390,P$1,'United Data'!$C$3:$C$3390,$A472)&gt;0,1,0)</f>
        <v>0</v>
      </c>
      <c r="Q472">
        <f>IF(COUNTIFS('United Data'!$A$3:$A$3390,Q$1,'United Data'!$C$3:$C$3390,$A472)&gt;0,1,0)</f>
        <v>0</v>
      </c>
      <c r="R472">
        <f>IF(COUNTIFS('United Data'!$A$3:$A$3390,R$1,'United Data'!$C$3:$C$3390,$A472)&gt;0,1,0)</f>
        <v>0</v>
      </c>
      <c r="S472">
        <f t="shared" si="14"/>
        <v>1</v>
      </c>
      <c r="T472">
        <f t="shared" si="15"/>
        <v>1</v>
      </c>
    </row>
    <row r="473" spans="1:20" x14ac:dyDescent="0.2">
      <c r="A473" t="s">
        <v>581</v>
      </c>
      <c r="B473">
        <f>IF(COUNTIFS('United Data'!$A$3:$A$3390,B$1,'United Data'!$C$3:$C$3390,$A473)&gt;0,1,0)</f>
        <v>0</v>
      </c>
      <c r="C473">
        <f>IF(COUNTIFS('United Data'!$A$3:$A$3390,C$1,'United Data'!$C$3:$C$3390,$A473)&gt;0,1,0)</f>
        <v>0</v>
      </c>
      <c r="D473">
        <f>IF(COUNTIFS('United Data'!$A$3:$A$3390,D$1,'United Data'!$C$3:$C$3390,$A473)&gt;0,1,0)</f>
        <v>0</v>
      </c>
      <c r="E473">
        <f>IF(COUNTIFS('United Data'!$A$3:$A$3390,E$1,'United Data'!$C$3:$C$3390,$A473)&gt;0,1,0)</f>
        <v>0</v>
      </c>
      <c r="F473">
        <f>IF(COUNTIFS('United Data'!$A$3:$A$3390,F$1,'United Data'!$C$3:$C$3390,$A473)&gt;0,1,0)</f>
        <v>0</v>
      </c>
      <c r="G473">
        <f>IF(COUNTIFS('United Data'!$A$3:$A$3390,G$1,'United Data'!$C$3:$C$3390,$A473)&gt;0,1,0)</f>
        <v>0</v>
      </c>
      <c r="H473">
        <f>IF(COUNTIFS('United Data'!$A$3:$A$3390,H$1,'United Data'!$C$3:$C$3390,$A473)&gt;0,1,0)</f>
        <v>0</v>
      </c>
      <c r="I473">
        <f>IF(COUNTIFS('United Data'!$A$3:$A$3390,I$1,'United Data'!$C$3:$C$3390,$A473)&gt;0,1,0)</f>
        <v>0</v>
      </c>
      <c r="J473">
        <f>IF(COUNTIFS('United Data'!$A$3:$A$3390,J$1,'United Data'!$C$3:$C$3390,$A473)&gt;0,1,0)</f>
        <v>0</v>
      </c>
      <c r="K473">
        <f>IF(COUNTIFS('United Data'!$A$3:$A$3390,K$1,'United Data'!$C$3:$C$3390,$A473)&gt;0,1,0)</f>
        <v>0</v>
      </c>
      <c r="L473">
        <f>IF(COUNTIFS('United Data'!$A$3:$A$3390,L$1,'United Data'!$C$3:$C$3390,$A473)&gt;0,1,0)</f>
        <v>0</v>
      </c>
      <c r="M473">
        <f>IF(COUNTIFS('United Data'!$A$3:$A$3390,M$1,'United Data'!$C$3:$C$3390,$A473)&gt;0,1,0)</f>
        <v>0</v>
      </c>
      <c r="N473">
        <f>IF(COUNTIFS('United Data'!$A$3:$A$3390,N$1,'United Data'!$C$3:$C$3390,$A473)&gt;0,1,0)</f>
        <v>0</v>
      </c>
      <c r="O473">
        <f>IF(COUNTIFS('United Data'!$A$3:$A$3390,O$1,'United Data'!$C$3:$C$3390,$A473)&gt;0,1,0)</f>
        <v>0</v>
      </c>
      <c r="P473">
        <f>IF(COUNTIFS('United Data'!$A$3:$A$3390,P$1,'United Data'!$C$3:$C$3390,$A473)&gt;0,1,0)</f>
        <v>1</v>
      </c>
      <c r="Q473">
        <f>IF(COUNTIFS('United Data'!$A$3:$A$3390,Q$1,'United Data'!$C$3:$C$3390,$A473)&gt;0,1,0)</f>
        <v>0</v>
      </c>
      <c r="R473">
        <f>IF(COUNTIFS('United Data'!$A$3:$A$3390,R$1,'United Data'!$C$3:$C$3390,$A473)&gt;0,1,0)</f>
        <v>0</v>
      </c>
      <c r="S473">
        <f t="shared" si="14"/>
        <v>1</v>
      </c>
      <c r="T473">
        <f t="shared" si="15"/>
        <v>1</v>
      </c>
    </row>
    <row r="474" spans="1:20" x14ac:dyDescent="0.2">
      <c r="A474" t="s">
        <v>582</v>
      </c>
      <c r="B474">
        <f>IF(COUNTIFS('United Data'!$A$3:$A$3390,B$1,'United Data'!$C$3:$C$3390,$A474)&gt;0,1,0)</f>
        <v>0</v>
      </c>
      <c r="C474">
        <f>IF(COUNTIFS('United Data'!$A$3:$A$3390,C$1,'United Data'!$C$3:$C$3390,$A474)&gt;0,1,0)</f>
        <v>0</v>
      </c>
      <c r="D474">
        <f>IF(COUNTIFS('United Data'!$A$3:$A$3390,D$1,'United Data'!$C$3:$C$3390,$A474)&gt;0,1,0)</f>
        <v>0</v>
      </c>
      <c r="E474">
        <f>IF(COUNTIFS('United Data'!$A$3:$A$3390,E$1,'United Data'!$C$3:$C$3390,$A474)&gt;0,1,0)</f>
        <v>0</v>
      </c>
      <c r="F474">
        <f>IF(COUNTIFS('United Data'!$A$3:$A$3390,F$1,'United Data'!$C$3:$C$3390,$A474)&gt;0,1,0)</f>
        <v>0</v>
      </c>
      <c r="G474">
        <f>IF(COUNTIFS('United Data'!$A$3:$A$3390,G$1,'United Data'!$C$3:$C$3390,$A474)&gt;0,1,0)</f>
        <v>0</v>
      </c>
      <c r="H474">
        <f>IF(COUNTIFS('United Data'!$A$3:$A$3390,H$1,'United Data'!$C$3:$C$3390,$A474)&gt;0,1,0)</f>
        <v>0</v>
      </c>
      <c r="I474">
        <f>IF(COUNTIFS('United Data'!$A$3:$A$3390,I$1,'United Data'!$C$3:$C$3390,$A474)&gt;0,1,0)</f>
        <v>0</v>
      </c>
      <c r="J474">
        <f>IF(COUNTIFS('United Data'!$A$3:$A$3390,J$1,'United Data'!$C$3:$C$3390,$A474)&gt;0,1,0)</f>
        <v>0</v>
      </c>
      <c r="K474">
        <f>IF(COUNTIFS('United Data'!$A$3:$A$3390,K$1,'United Data'!$C$3:$C$3390,$A474)&gt;0,1,0)</f>
        <v>0</v>
      </c>
      <c r="L474">
        <f>IF(COUNTIFS('United Data'!$A$3:$A$3390,L$1,'United Data'!$C$3:$C$3390,$A474)&gt;0,1,0)</f>
        <v>0</v>
      </c>
      <c r="M474">
        <f>IF(COUNTIFS('United Data'!$A$3:$A$3390,M$1,'United Data'!$C$3:$C$3390,$A474)&gt;0,1,0)</f>
        <v>0</v>
      </c>
      <c r="N474">
        <f>IF(COUNTIFS('United Data'!$A$3:$A$3390,N$1,'United Data'!$C$3:$C$3390,$A474)&gt;0,1,0)</f>
        <v>0</v>
      </c>
      <c r="O474">
        <f>IF(COUNTIFS('United Data'!$A$3:$A$3390,O$1,'United Data'!$C$3:$C$3390,$A474)&gt;0,1,0)</f>
        <v>0</v>
      </c>
      <c r="P474">
        <f>IF(COUNTIFS('United Data'!$A$3:$A$3390,P$1,'United Data'!$C$3:$C$3390,$A474)&gt;0,1,0)</f>
        <v>1</v>
      </c>
      <c r="Q474">
        <f>IF(COUNTIFS('United Data'!$A$3:$A$3390,Q$1,'United Data'!$C$3:$C$3390,$A474)&gt;0,1,0)</f>
        <v>0</v>
      </c>
      <c r="R474">
        <f>IF(COUNTIFS('United Data'!$A$3:$A$3390,R$1,'United Data'!$C$3:$C$3390,$A474)&gt;0,1,0)</f>
        <v>0</v>
      </c>
      <c r="S474">
        <f t="shared" si="14"/>
        <v>1</v>
      </c>
      <c r="T474">
        <f t="shared" si="15"/>
        <v>1</v>
      </c>
    </row>
    <row r="475" spans="1:20" x14ac:dyDescent="0.2">
      <c r="A475" t="s">
        <v>583</v>
      </c>
      <c r="B475">
        <f>IF(COUNTIFS('United Data'!$A$3:$A$3390,B$1,'United Data'!$C$3:$C$3390,$A475)&gt;0,1,0)</f>
        <v>0</v>
      </c>
      <c r="C475">
        <f>IF(COUNTIFS('United Data'!$A$3:$A$3390,C$1,'United Data'!$C$3:$C$3390,$A475)&gt;0,1,0)</f>
        <v>0</v>
      </c>
      <c r="D475">
        <f>IF(COUNTIFS('United Data'!$A$3:$A$3390,D$1,'United Data'!$C$3:$C$3390,$A475)&gt;0,1,0)</f>
        <v>0</v>
      </c>
      <c r="E475">
        <f>IF(COUNTIFS('United Data'!$A$3:$A$3390,E$1,'United Data'!$C$3:$C$3390,$A475)&gt;0,1,0)</f>
        <v>0</v>
      </c>
      <c r="F475">
        <f>IF(COUNTIFS('United Data'!$A$3:$A$3390,F$1,'United Data'!$C$3:$C$3390,$A475)&gt;0,1,0)</f>
        <v>0</v>
      </c>
      <c r="G475">
        <f>IF(COUNTIFS('United Data'!$A$3:$A$3390,G$1,'United Data'!$C$3:$C$3390,$A475)&gt;0,1,0)</f>
        <v>0</v>
      </c>
      <c r="H475">
        <f>IF(COUNTIFS('United Data'!$A$3:$A$3390,H$1,'United Data'!$C$3:$C$3390,$A475)&gt;0,1,0)</f>
        <v>0</v>
      </c>
      <c r="I475">
        <f>IF(COUNTIFS('United Data'!$A$3:$A$3390,I$1,'United Data'!$C$3:$C$3390,$A475)&gt;0,1,0)</f>
        <v>0</v>
      </c>
      <c r="J475">
        <f>IF(COUNTIFS('United Data'!$A$3:$A$3390,J$1,'United Data'!$C$3:$C$3390,$A475)&gt;0,1,0)</f>
        <v>0</v>
      </c>
      <c r="K475">
        <f>IF(COUNTIFS('United Data'!$A$3:$A$3390,K$1,'United Data'!$C$3:$C$3390,$A475)&gt;0,1,0)</f>
        <v>0</v>
      </c>
      <c r="L475">
        <f>IF(COUNTIFS('United Data'!$A$3:$A$3390,L$1,'United Data'!$C$3:$C$3390,$A475)&gt;0,1,0)</f>
        <v>0</v>
      </c>
      <c r="M475">
        <f>IF(COUNTIFS('United Data'!$A$3:$A$3390,M$1,'United Data'!$C$3:$C$3390,$A475)&gt;0,1,0)</f>
        <v>0</v>
      </c>
      <c r="N475">
        <f>IF(COUNTIFS('United Data'!$A$3:$A$3390,N$1,'United Data'!$C$3:$C$3390,$A475)&gt;0,1,0)</f>
        <v>0</v>
      </c>
      <c r="O475">
        <f>IF(COUNTIFS('United Data'!$A$3:$A$3390,O$1,'United Data'!$C$3:$C$3390,$A475)&gt;0,1,0)</f>
        <v>0</v>
      </c>
      <c r="P475">
        <f>IF(COUNTIFS('United Data'!$A$3:$A$3390,P$1,'United Data'!$C$3:$C$3390,$A475)&gt;0,1,0)</f>
        <v>1</v>
      </c>
      <c r="Q475">
        <f>IF(COUNTIFS('United Data'!$A$3:$A$3390,Q$1,'United Data'!$C$3:$C$3390,$A475)&gt;0,1,0)</f>
        <v>0</v>
      </c>
      <c r="R475">
        <f>IF(COUNTIFS('United Data'!$A$3:$A$3390,R$1,'United Data'!$C$3:$C$3390,$A475)&gt;0,1,0)</f>
        <v>0</v>
      </c>
      <c r="S475">
        <f t="shared" si="14"/>
        <v>1</v>
      </c>
      <c r="T475">
        <f t="shared" si="15"/>
        <v>1</v>
      </c>
    </row>
    <row r="476" spans="1:20" x14ac:dyDescent="0.2">
      <c r="A476" t="s">
        <v>584</v>
      </c>
      <c r="B476">
        <f>IF(COUNTIFS('United Data'!$A$3:$A$3390,B$1,'United Data'!$C$3:$C$3390,$A476)&gt;0,1,0)</f>
        <v>0</v>
      </c>
      <c r="C476">
        <f>IF(COUNTIFS('United Data'!$A$3:$A$3390,C$1,'United Data'!$C$3:$C$3390,$A476)&gt;0,1,0)</f>
        <v>0</v>
      </c>
      <c r="D476">
        <f>IF(COUNTIFS('United Data'!$A$3:$A$3390,D$1,'United Data'!$C$3:$C$3390,$A476)&gt;0,1,0)</f>
        <v>0</v>
      </c>
      <c r="E476">
        <f>IF(COUNTIFS('United Data'!$A$3:$A$3390,E$1,'United Data'!$C$3:$C$3390,$A476)&gt;0,1,0)</f>
        <v>0</v>
      </c>
      <c r="F476">
        <f>IF(COUNTIFS('United Data'!$A$3:$A$3390,F$1,'United Data'!$C$3:$C$3390,$A476)&gt;0,1,0)</f>
        <v>0</v>
      </c>
      <c r="G476">
        <f>IF(COUNTIFS('United Data'!$A$3:$A$3390,G$1,'United Data'!$C$3:$C$3390,$A476)&gt;0,1,0)</f>
        <v>0</v>
      </c>
      <c r="H476">
        <f>IF(COUNTIFS('United Data'!$A$3:$A$3390,H$1,'United Data'!$C$3:$C$3390,$A476)&gt;0,1,0)</f>
        <v>0</v>
      </c>
      <c r="I476">
        <f>IF(COUNTIFS('United Data'!$A$3:$A$3390,I$1,'United Data'!$C$3:$C$3390,$A476)&gt;0,1,0)</f>
        <v>0</v>
      </c>
      <c r="J476">
        <f>IF(COUNTIFS('United Data'!$A$3:$A$3390,J$1,'United Data'!$C$3:$C$3390,$A476)&gt;0,1,0)</f>
        <v>0</v>
      </c>
      <c r="K476">
        <f>IF(COUNTIFS('United Data'!$A$3:$A$3390,K$1,'United Data'!$C$3:$C$3390,$A476)&gt;0,1,0)</f>
        <v>0</v>
      </c>
      <c r="L476">
        <f>IF(COUNTIFS('United Data'!$A$3:$A$3390,L$1,'United Data'!$C$3:$C$3390,$A476)&gt;0,1,0)</f>
        <v>0</v>
      </c>
      <c r="M476">
        <f>IF(COUNTIFS('United Data'!$A$3:$A$3390,M$1,'United Data'!$C$3:$C$3390,$A476)&gt;0,1,0)</f>
        <v>0</v>
      </c>
      <c r="N476">
        <f>IF(COUNTIFS('United Data'!$A$3:$A$3390,N$1,'United Data'!$C$3:$C$3390,$A476)&gt;0,1,0)</f>
        <v>0</v>
      </c>
      <c r="O476">
        <f>IF(COUNTIFS('United Data'!$A$3:$A$3390,O$1,'United Data'!$C$3:$C$3390,$A476)&gt;0,1,0)</f>
        <v>0</v>
      </c>
      <c r="P476">
        <f>IF(COUNTIFS('United Data'!$A$3:$A$3390,P$1,'United Data'!$C$3:$C$3390,$A476)&gt;0,1,0)</f>
        <v>1</v>
      </c>
      <c r="Q476">
        <f>IF(COUNTIFS('United Data'!$A$3:$A$3390,Q$1,'United Data'!$C$3:$C$3390,$A476)&gt;0,1,0)</f>
        <v>0</v>
      </c>
      <c r="R476">
        <f>IF(COUNTIFS('United Data'!$A$3:$A$3390,R$1,'United Data'!$C$3:$C$3390,$A476)&gt;0,1,0)</f>
        <v>0</v>
      </c>
      <c r="S476">
        <f t="shared" si="14"/>
        <v>1</v>
      </c>
      <c r="T476">
        <f t="shared" si="15"/>
        <v>1</v>
      </c>
    </row>
    <row r="477" spans="1:20" x14ac:dyDescent="0.2">
      <c r="A477" t="s">
        <v>585</v>
      </c>
      <c r="B477">
        <f>IF(COUNTIFS('United Data'!$A$3:$A$3390,B$1,'United Data'!$C$3:$C$3390,$A477)&gt;0,1,0)</f>
        <v>0</v>
      </c>
      <c r="C477">
        <f>IF(COUNTIFS('United Data'!$A$3:$A$3390,C$1,'United Data'!$C$3:$C$3390,$A477)&gt;0,1,0)</f>
        <v>0</v>
      </c>
      <c r="D477">
        <f>IF(COUNTIFS('United Data'!$A$3:$A$3390,D$1,'United Data'!$C$3:$C$3390,$A477)&gt;0,1,0)</f>
        <v>0</v>
      </c>
      <c r="E477">
        <f>IF(COUNTIFS('United Data'!$A$3:$A$3390,E$1,'United Data'!$C$3:$C$3390,$A477)&gt;0,1,0)</f>
        <v>0</v>
      </c>
      <c r="F477">
        <f>IF(COUNTIFS('United Data'!$A$3:$A$3390,F$1,'United Data'!$C$3:$C$3390,$A477)&gt;0,1,0)</f>
        <v>0</v>
      </c>
      <c r="G477">
        <f>IF(COUNTIFS('United Data'!$A$3:$A$3390,G$1,'United Data'!$C$3:$C$3390,$A477)&gt;0,1,0)</f>
        <v>0</v>
      </c>
      <c r="H477">
        <f>IF(COUNTIFS('United Data'!$A$3:$A$3390,H$1,'United Data'!$C$3:$C$3390,$A477)&gt;0,1,0)</f>
        <v>0</v>
      </c>
      <c r="I477">
        <f>IF(COUNTIFS('United Data'!$A$3:$A$3390,I$1,'United Data'!$C$3:$C$3390,$A477)&gt;0,1,0)</f>
        <v>0</v>
      </c>
      <c r="J477">
        <f>IF(COUNTIFS('United Data'!$A$3:$A$3390,J$1,'United Data'!$C$3:$C$3390,$A477)&gt;0,1,0)</f>
        <v>0</v>
      </c>
      <c r="K477">
        <f>IF(COUNTIFS('United Data'!$A$3:$A$3390,K$1,'United Data'!$C$3:$C$3390,$A477)&gt;0,1,0)</f>
        <v>0</v>
      </c>
      <c r="L477">
        <f>IF(COUNTIFS('United Data'!$A$3:$A$3390,L$1,'United Data'!$C$3:$C$3390,$A477)&gt;0,1,0)</f>
        <v>0</v>
      </c>
      <c r="M477">
        <f>IF(COUNTIFS('United Data'!$A$3:$A$3390,M$1,'United Data'!$C$3:$C$3390,$A477)&gt;0,1,0)</f>
        <v>0</v>
      </c>
      <c r="N477">
        <f>IF(COUNTIFS('United Data'!$A$3:$A$3390,N$1,'United Data'!$C$3:$C$3390,$A477)&gt;0,1,0)</f>
        <v>0</v>
      </c>
      <c r="O477">
        <f>IF(COUNTIFS('United Data'!$A$3:$A$3390,O$1,'United Data'!$C$3:$C$3390,$A477)&gt;0,1,0)</f>
        <v>0</v>
      </c>
      <c r="P477">
        <f>IF(COUNTIFS('United Data'!$A$3:$A$3390,P$1,'United Data'!$C$3:$C$3390,$A477)&gt;0,1,0)</f>
        <v>1</v>
      </c>
      <c r="Q477">
        <f>IF(COUNTIFS('United Data'!$A$3:$A$3390,Q$1,'United Data'!$C$3:$C$3390,$A477)&gt;0,1,0)</f>
        <v>0</v>
      </c>
      <c r="R477">
        <f>IF(COUNTIFS('United Data'!$A$3:$A$3390,R$1,'United Data'!$C$3:$C$3390,$A477)&gt;0,1,0)</f>
        <v>0</v>
      </c>
      <c r="S477">
        <f t="shared" si="14"/>
        <v>1</v>
      </c>
      <c r="T477">
        <f t="shared" si="15"/>
        <v>1</v>
      </c>
    </row>
    <row r="478" spans="1:20" x14ac:dyDescent="0.2">
      <c r="A478" t="s">
        <v>586</v>
      </c>
      <c r="B478">
        <f>IF(COUNTIFS('United Data'!$A$3:$A$3390,B$1,'United Data'!$C$3:$C$3390,$A478)&gt;0,1,0)</f>
        <v>0</v>
      </c>
      <c r="C478">
        <f>IF(COUNTIFS('United Data'!$A$3:$A$3390,C$1,'United Data'!$C$3:$C$3390,$A478)&gt;0,1,0)</f>
        <v>0</v>
      </c>
      <c r="D478">
        <f>IF(COUNTIFS('United Data'!$A$3:$A$3390,D$1,'United Data'!$C$3:$C$3390,$A478)&gt;0,1,0)</f>
        <v>0</v>
      </c>
      <c r="E478">
        <f>IF(COUNTIFS('United Data'!$A$3:$A$3390,E$1,'United Data'!$C$3:$C$3390,$A478)&gt;0,1,0)</f>
        <v>0</v>
      </c>
      <c r="F478">
        <f>IF(COUNTIFS('United Data'!$A$3:$A$3390,F$1,'United Data'!$C$3:$C$3390,$A478)&gt;0,1,0)</f>
        <v>0</v>
      </c>
      <c r="G478">
        <f>IF(COUNTIFS('United Data'!$A$3:$A$3390,G$1,'United Data'!$C$3:$C$3390,$A478)&gt;0,1,0)</f>
        <v>0</v>
      </c>
      <c r="H478">
        <f>IF(COUNTIFS('United Data'!$A$3:$A$3390,H$1,'United Data'!$C$3:$C$3390,$A478)&gt;0,1,0)</f>
        <v>0</v>
      </c>
      <c r="I478">
        <f>IF(COUNTIFS('United Data'!$A$3:$A$3390,I$1,'United Data'!$C$3:$C$3390,$A478)&gt;0,1,0)</f>
        <v>0</v>
      </c>
      <c r="J478">
        <f>IF(COUNTIFS('United Data'!$A$3:$A$3390,J$1,'United Data'!$C$3:$C$3390,$A478)&gt;0,1,0)</f>
        <v>0</v>
      </c>
      <c r="K478">
        <f>IF(COUNTIFS('United Data'!$A$3:$A$3390,K$1,'United Data'!$C$3:$C$3390,$A478)&gt;0,1,0)</f>
        <v>0</v>
      </c>
      <c r="L478">
        <f>IF(COUNTIFS('United Data'!$A$3:$A$3390,L$1,'United Data'!$C$3:$C$3390,$A478)&gt;0,1,0)</f>
        <v>0</v>
      </c>
      <c r="M478">
        <f>IF(COUNTIFS('United Data'!$A$3:$A$3390,M$1,'United Data'!$C$3:$C$3390,$A478)&gt;0,1,0)</f>
        <v>0</v>
      </c>
      <c r="N478">
        <f>IF(COUNTIFS('United Data'!$A$3:$A$3390,N$1,'United Data'!$C$3:$C$3390,$A478)&gt;0,1,0)</f>
        <v>0</v>
      </c>
      <c r="O478">
        <f>IF(COUNTIFS('United Data'!$A$3:$A$3390,O$1,'United Data'!$C$3:$C$3390,$A478)&gt;0,1,0)</f>
        <v>0</v>
      </c>
      <c r="P478">
        <f>IF(COUNTIFS('United Data'!$A$3:$A$3390,P$1,'United Data'!$C$3:$C$3390,$A478)&gt;0,1,0)</f>
        <v>0</v>
      </c>
      <c r="Q478">
        <f>IF(COUNTIFS('United Data'!$A$3:$A$3390,Q$1,'United Data'!$C$3:$C$3390,$A478)&gt;0,1,0)</f>
        <v>1</v>
      </c>
      <c r="R478">
        <f>IF(COUNTIFS('United Data'!$A$3:$A$3390,R$1,'United Data'!$C$3:$C$3390,$A478)&gt;0,1,0)</f>
        <v>0</v>
      </c>
      <c r="S478">
        <f t="shared" si="14"/>
        <v>1</v>
      </c>
      <c r="T478">
        <f t="shared" si="15"/>
        <v>1</v>
      </c>
    </row>
    <row r="479" spans="1:20" x14ac:dyDescent="0.2">
      <c r="A479" t="s">
        <v>587</v>
      </c>
      <c r="B479">
        <f>IF(COUNTIFS('United Data'!$A$3:$A$3390,B$1,'United Data'!$C$3:$C$3390,$A479)&gt;0,1,0)</f>
        <v>0</v>
      </c>
      <c r="C479">
        <f>IF(COUNTIFS('United Data'!$A$3:$A$3390,C$1,'United Data'!$C$3:$C$3390,$A479)&gt;0,1,0)</f>
        <v>0</v>
      </c>
      <c r="D479">
        <f>IF(COUNTIFS('United Data'!$A$3:$A$3390,D$1,'United Data'!$C$3:$C$3390,$A479)&gt;0,1,0)</f>
        <v>0</v>
      </c>
      <c r="E479">
        <f>IF(COUNTIFS('United Data'!$A$3:$A$3390,E$1,'United Data'!$C$3:$C$3390,$A479)&gt;0,1,0)</f>
        <v>0</v>
      </c>
      <c r="F479">
        <f>IF(COUNTIFS('United Data'!$A$3:$A$3390,F$1,'United Data'!$C$3:$C$3390,$A479)&gt;0,1,0)</f>
        <v>0</v>
      </c>
      <c r="G479">
        <f>IF(COUNTIFS('United Data'!$A$3:$A$3390,G$1,'United Data'!$C$3:$C$3390,$A479)&gt;0,1,0)</f>
        <v>0</v>
      </c>
      <c r="H479">
        <f>IF(COUNTIFS('United Data'!$A$3:$A$3390,H$1,'United Data'!$C$3:$C$3390,$A479)&gt;0,1,0)</f>
        <v>0</v>
      </c>
      <c r="I479">
        <f>IF(COUNTIFS('United Data'!$A$3:$A$3390,I$1,'United Data'!$C$3:$C$3390,$A479)&gt;0,1,0)</f>
        <v>0</v>
      </c>
      <c r="J479">
        <f>IF(COUNTIFS('United Data'!$A$3:$A$3390,J$1,'United Data'!$C$3:$C$3390,$A479)&gt;0,1,0)</f>
        <v>0</v>
      </c>
      <c r="K479">
        <f>IF(COUNTIFS('United Data'!$A$3:$A$3390,K$1,'United Data'!$C$3:$C$3390,$A479)&gt;0,1,0)</f>
        <v>0</v>
      </c>
      <c r="L479">
        <f>IF(COUNTIFS('United Data'!$A$3:$A$3390,L$1,'United Data'!$C$3:$C$3390,$A479)&gt;0,1,0)</f>
        <v>0</v>
      </c>
      <c r="M479">
        <f>IF(COUNTIFS('United Data'!$A$3:$A$3390,M$1,'United Data'!$C$3:$C$3390,$A479)&gt;0,1,0)</f>
        <v>0</v>
      </c>
      <c r="N479">
        <f>IF(COUNTIFS('United Data'!$A$3:$A$3390,N$1,'United Data'!$C$3:$C$3390,$A479)&gt;0,1,0)</f>
        <v>0</v>
      </c>
      <c r="O479">
        <f>IF(COUNTIFS('United Data'!$A$3:$A$3390,O$1,'United Data'!$C$3:$C$3390,$A479)&gt;0,1,0)</f>
        <v>0</v>
      </c>
      <c r="P479">
        <f>IF(COUNTIFS('United Data'!$A$3:$A$3390,P$1,'United Data'!$C$3:$C$3390,$A479)&gt;0,1,0)</f>
        <v>0</v>
      </c>
      <c r="Q479">
        <f>IF(COUNTIFS('United Data'!$A$3:$A$3390,Q$1,'United Data'!$C$3:$C$3390,$A479)&gt;0,1,0)</f>
        <v>1</v>
      </c>
      <c r="R479">
        <f>IF(COUNTIFS('United Data'!$A$3:$A$3390,R$1,'United Data'!$C$3:$C$3390,$A479)&gt;0,1,0)</f>
        <v>0</v>
      </c>
      <c r="S479">
        <f t="shared" si="14"/>
        <v>1</v>
      </c>
      <c r="T479">
        <f t="shared" si="15"/>
        <v>1</v>
      </c>
    </row>
    <row r="480" spans="1:20" x14ac:dyDescent="0.2">
      <c r="A480" t="s">
        <v>588</v>
      </c>
      <c r="B480">
        <f>IF(COUNTIFS('United Data'!$A$3:$A$3390,B$1,'United Data'!$C$3:$C$3390,$A480)&gt;0,1,0)</f>
        <v>0</v>
      </c>
      <c r="C480">
        <f>IF(COUNTIFS('United Data'!$A$3:$A$3390,C$1,'United Data'!$C$3:$C$3390,$A480)&gt;0,1,0)</f>
        <v>0</v>
      </c>
      <c r="D480">
        <f>IF(COUNTIFS('United Data'!$A$3:$A$3390,D$1,'United Data'!$C$3:$C$3390,$A480)&gt;0,1,0)</f>
        <v>0</v>
      </c>
      <c r="E480">
        <f>IF(COUNTIFS('United Data'!$A$3:$A$3390,E$1,'United Data'!$C$3:$C$3390,$A480)&gt;0,1,0)</f>
        <v>0</v>
      </c>
      <c r="F480">
        <f>IF(COUNTIFS('United Data'!$A$3:$A$3390,F$1,'United Data'!$C$3:$C$3390,$A480)&gt;0,1,0)</f>
        <v>0</v>
      </c>
      <c r="G480">
        <f>IF(COUNTIFS('United Data'!$A$3:$A$3390,G$1,'United Data'!$C$3:$C$3390,$A480)&gt;0,1,0)</f>
        <v>1</v>
      </c>
      <c r="H480">
        <f>IF(COUNTIFS('United Data'!$A$3:$A$3390,H$1,'United Data'!$C$3:$C$3390,$A480)&gt;0,1,0)</f>
        <v>0</v>
      </c>
      <c r="I480">
        <f>IF(COUNTIFS('United Data'!$A$3:$A$3390,I$1,'United Data'!$C$3:$C$3390,$A480)&gt;0,1,0)</f>
        <v>0</v>
      </c>
      <c r="J480">
        <f>IF(COUNTIFS('United Data'!$A$3:$A$3390,J$1,'United Data'!$C$3:$C$3390,$A480)&gt;0,1,0)</f>
        <v>0</v>
      </c>
      <c r="K480">
        <f>IF(COUNTIFS('United Data'!$A$3:$A$3390,K$1,'United Data'!$C$3:$C$3390,$A480)&gt;0,1,0)</f>
        <v>1</v>
      </c>
      <c r="L480">
        <f>IF(COUNTIFS('United Data'!$A$3:$A$3390,L$1,'United Data'!$C$3:$C$3390,$A480)&gt;0,1,0)</f>
        <v>0</v>
      </c>
      <c r="M480">
        <f>IF(COUNTIFS('United Data'!$A$3:$A$3390,M$1,'United Data'!$C$3:$C$3390,$A480)&gt;0,1,0)</f>
        <v>0</v>
      </c>
      <c r="N480">
        <f>IF(COUNTIFS('United Data'!$A$3:$A$3390,N$1,'United Data'!$C$3:$C$3390,$A480)&gt;0,1,0)</f>
        <v>0</v>
      </c>
      <c r="O480">
        <f>IF(COUNTIFS('United Data'!$A$3:$A$3390,O$1,'United Data'!$C$3:$C$3390,$A480)&gt;0,1,0)</f>
        <v>0</v>
      </c>
      <c r="P480">
        <f>IF(COUNTIFS('United Data'!$A$3:$A$3390,P$1,'United Data'!$C$3:$C$3390,$A480)&gt;0,1,0)</f>
        <v>0</v>
      </c>
      <c r="Q480">
        <f>IF(COUNTIFS('United Data'!$A$3:$A$3390,Q$1,'United Data'!$C$3:$C$3390,$A480)&gt;0,1,0)</f>
        <v>1</v>
      </c>
      <c r="R480">
        <f>IF(COUNTIFS('United Data'!$A$3:$A$3390,R$1,'United Data'!$C$3:$C$3390,$A480)&gt;0,1,0)</f>
        <v>0</v>
      </c>
      <c r="S480">
        <f t="shared" si="14"/>
        <v>3</v>
      </c>
      <c r="T480">
        <f t="shared" si="15"/>
        <v>3</v>
      </c>
    </row>
    <row r="481" spans="1:20" x14ac:dyDescent="0.2">
      <c r="A481" t="s">
        <v>589</v>
      </c>
      <c r="B481">
        <f>IF(COUNTIFS('United Data'!$A$3:$A$3390,B$1,'United Data'!$C$3:$C$3390,$A481)&gt;0,1,0)</f>
        <v>0</v>
      </c>
      <c r="C481">
        <f>IF(COUNTIFS('United Data'!$A$3:$A$3390,C$1,'United Data'!$C$3:$C$3390,$A481)&gt;0,1,0)</f>
        <v>0</v>
      </c>
      <c r="D481">
        <f>IF(COUNTIFS('United Data'!$A$3:$A$3390,D$1,'United Data'!$C$3:$C$3390,$A481)&gt;0,1,0)</f>
        <v>0</v>
      </c>
      <c r="E481">
        <f>IF(COUNTIFS('United Data'!$A$3:$A$3390,E$1,'United Data'!$C$3:$C$3390,$A481)&gt;0,1,0)</f>
        <v>0</v>
      </c>
      <c r="F481">
        <f>IF(COUNTIFS('United Data'!$A$3:$A$3390,F$1,'United Data'!$C$3:$C$3390,$A481)&gt;0,1,0)</f>
        <v>0</v>
      </c>
      <c r="G481">
        <f>IF(COUNTIFS('United Data'!$A$3:$A$3390,G$1,'United Data'!$C$3:$C$3390,$A481)&gt;0,1,0)</f>
        <v>0</v>
      </c>
      <c r="H481">
        <f>IF(COUNTIFS('United Data'!$A$3:$A$3390,H$1,'United Data'!$C$3:$C$3390,$A481)&gt;0,1,0)</f>
        <v>0</v>
      </c>
      <c r="I481">
        <f>IF(COUNTIFS('United Data'!$A$3:$A$3390,I$1,'United Data'!$C$3:$C$3390,$A481)&gt;0,1,0)</f>
        <v>0</v>
      </c>
      <c r="J481">
        <f>IF(COUNTIFS('United Data'!$A$3:$A$3390,J$1,'United Data'!$C$3:$C$3390,$A481)&gt;0,1,0)</f>
        <v>0</v>
      </c>
      <c r="K481">
        <f>IF(COUNTIFS('United Data'!$A$3:$A$3390,K$1,'United Data'!$C$3:$C$3390,$A481)&gt;0,1,0)</f>
        <v>0</v>
      </c>
      <c r="L481">
        <f>IF(COUNTIFS('United Data'!$A$3:$A$3390,L$1,'United Data'!$C$3:$C$3390,$A481)&gt;0,1,0)</f>
        <v>0</v>
      </c>
      <c r="M481">
        <f>IF(COUNTIFS('United Data'!$A$3:$A$3390,M$1,'United Data'!$C$3:$C$3390,$A481)&gt;0,1,0)</f>
        <v>0</v>
      </c>
      <c r="N481">
        <f>IF(COUNTIFS('United Data'!$A$3:$A$3390,N$1,'United Data'!$C$3:$C$3390,$A481)&gt;0,1,0)</f>
        <v>0</v>
      </c>
      <c r="O481">
        <f>IF(COUNTIFS('United Data'!$A$3:$A$3390,O$1,'United Data'!$C$3:$C$3390,$A481)&gt;0,1,0)</f>
        <v>0</v>
      </c>
      <c r="P481">
        <f>IF(COUNTIFS('United Data'!$A$3:$A$3390,P$1,'United Data'!$C$3:$C$3390,$A481)&gt;0,1,0)</f>
        <v>0</v>
      </c>
      <c r="Q481">
        <f>IF(COUNTIFS('United Data'!$A$3:$A$3390,Q$1,'United Data'!$C$3:$C$3390,$A481)&gt;0,1,0)</f>
        <v>1</v>
      </c>
      <c r="R481">
        <f>IF(COUNTIFS('United Data'!$A$3:$A$3390,R$1,'United Data'!$C$3:$C$3390,$A481)&gt;0,1,0)</f>
        <v>0</v>
      </c>
      <c r="S481">
        <f t="shared" si="14"/>
        <v>1</v>
      </c>
      <c r="T481">
        <f t="shared" si="15"/>
        <v>1</v>
      </c>
    </row>
    <row r="482" spans="1:20" x14ac:dyDescent="0.2">
      <c r="A482" t="s">
        <v>590</v>
      </c>
      <c r="B482">
        <f>IF(COUNTIFS('United Data'!$A$3:$A$3390,B$1,'United Data'!$C$3:$C$3390,$A482)&gt;0,1,0)</f>
        <v>0</v>
      </c>
      <c r="C482">
        <f>IF(COUNTIFS('United Data'!$A$3:$A$3390,C$1,'United Data'!$C$3:$C$3390,$A482)&gt;0,1,0)</f>
        <v>0</v>
      </c>
      <c r="D482">
        <f>IF(COUNTIFS('United Data'!$A$3:$A$3390,D$1,'United Data'!$C$3:$C$3390,$A482)&gt;0,1,0)</f>
        <v>0</v>
      </c>
      <c r="E482">
        <f>IF(COUNTIFS('United Data'!$A$3:$A$3390,E$1,'United Data'!$C$3:$C$3390,$A482)&gt;0,1,0)</f>
        <v>0</v>
      </c>
      <c r="F482">
        <f>IF(COUNTIFS('United Data'!$A$3:$A$3390,F$1,'United Data'!$C$3:$C$3390,$A482)&gt;0,1,0)</f>
        <v>0</v>
      </c>
      <c r="G482">
        <f>IF(COUNTIFS('United Data'!$A$3:$A$3390,G$1,'United Data'!$C$3:$C$3390,$A482)&gt;0,1,0)</f>
        <v>0</v>
      </c>
      <c r="H482">
        <f>IF(COUNTIFS('United Data'!$A$3:$A$3390,H$1,'United Data'!$C$3:$C$3390,$A482)&gt;0,1,0)</f>
        <v>0</v>
      </c>
      <c r="I482">
        <f>IF(COUNTIFS('United Data'!$A$3:$A$3390,I$1,'United Data'!$C$3:$C$3390,$A482)&gt;0,1,0)</f>
        <v>0</v>
      </c>
      <c r="J482">
        <f>IF(COUNTIFS('United Data'!$A$3:$A$3390,J$1,'United Data'!$C$3:$C$3390,$A482)&gt;0,1,0)</f>
        <v>0</v>
      </c>
      <c r="K482">
        <f>IF(COUNTIFS('United Data'!$A$3:$A$3390,K$1,'United Data'!$C$3:$C$3390,$A482)&gt;0,1,0)</f>
        <v>0</v>
      </c>
      <c r="L482">
        <f>IF(COUNTIFS('United Data'!$A$3:$A$3390,L$1,'United Data'!$C$3:$C$3390,$A482)&gt;0,1,0)</f>
        <v>0</v>
      </c>
      <c r="M482">
        <f>IF(COUNTIFS('United Data'!$A$3:$A$3390,M$1,'United Data'!$C$3:$C$3390,$A482)&gt;0,1,0)</f>
        <v>0</v>
      </c>
      <c r="N482">
        <f>IF(COUNTIFS('United Data'!$A$3:$A$3390,N$1,'United Data'!$C$3:$C$3390,$A482)&gt;0,1,0)</f>
        <v>0</v>
      </c>
      <c r="O482">
        <f>IF(COUNTIFS('United Data'!$A$3:$A$3390,O$1,'United Data'!$C$3:$C$3390,$A482)&gt;0,1,0)</f>
        <v>0</v>
      </c>
      <c r="P482">
        <f>IF(COUNTIFS('United Data'!$A$3:$A$3390,P$1,'United Data'!$C$3:$C$3390,$A482)&gt;0,1,0)</f>
        <v>0</v>
      </c>
      <c r="Q482">
        <f>IF(COUNTIFS('United Data'!$A$3:$A$3390,Q$1,'United Data'!$C$3:$C$3390,$A482)&gt;0,1,0)</f>
        <v>1</v>
      </c>
      <c r="R482">
        <f>IF(COUNTIFS('United Data'!$A$3:$A$3390,R$1,'United Data'!$C$3:$C$3390,$A482)&gt;0,1,0)</f>
        <v>0</v>
      </c>
      <c r="S482">
        <f t="shared" si="14"/>
        <v>1</v>
      </c>
      <c r="T482">
        <f t="shared" si="15"/>
        <v>1</v>
      </c>
    </row>
    <row r="483" spans="1:20" x14ac:dyDescent="0.2">
      <c r="A483" t="s">
        <v>591</v>
      </c>
      <c r="B483">
        <f>IF(COUNTIFS('United Data'!$A$3:$A$3390,B$1,'United Data'!$C$3:$C$3390,$A483)&gt;0,1,0)</f>
        <v>0</v>
      </c>
      <c r="C483">
        <f>IF(COUNTIFS('United Data'!$A$3:$A$3390,C$1,'United Data'!$C$3:$C$3390,$A483)&gt;0,1,0)</f>
        <v>0</v>
      </c>
      <c r="D483">
        <f>IF(COUNTIFS('United Data'!$A$3:$A$3390,D$1,'United Data'!$C$3:$C$3390,$A483)&gt;0,1,0)</f>
        <v>1</v>
      </c>
      <c r="E483">
        <f>IF(COUNTIFS('United Data'!$A$3:$A$3390,E$1,'United Data'!$C$3:$C$3390,$A483)&gt;0,1,0)</f>
        <v>1</v>
      </c>
      <c r="F483">
        <f>IF(COUNTIFS('United Data'!$A$3:$A$3390,F$1,'United Data'!$C$3:$C$3390,$A483)&gt;0,1,0)</f>
        <v>0</v>
      </c>
      <c r="G483">
        <f>IF(COUNTIFS('United Data'!$A$3:$A$3390,G$1,'United Data'!$C$3:$C$3390,$A483)&gt;0,1,0)</f>
        <v>0</v>
      </c>
      <c r="H483">
        <f>IF(COUNTIFS('United Data'!$A$3:$A$3390,H$1,'United Data'!$C$3:$C$3390,$A483)&gt;0,1,0)</f>
        <v>0</v>
      </c>
      <c r="I483">
        <f>IF(COUNTIFS('United Data'!$A$3:$A$3390,I$1,'United Data'!$C$3:$C$3390,$A483)&gt;0,1,0)</f>
        <v>0</v>
      </c>
      <c r="J483">
        <f>IF(COUNTIFS('United Data'!$A$3:$A$3390,J$1,'United Data'!$C$3:$C$3390,$A483)&gt;0,1,0)</f>
        <v>0</v>
      </c>
      <c r="K483">
        <f>IF(COUNTIFS('United Data'!$A$3:$A$3390,K$1,'United Data'!$C$3:$C$3390,$A483)&gt;0,1,0)</f>
        <v>0</v>
      </c>
      <c r="L483">
        <f>IF(COUNTIFS('United Data'!$A$3:$A$3390,L$1,'United Data'!$C$3:$C$3390,$A483)&gt;0,1,0)</f>
        <v>0</v>
      </c>
      <c r="M483">
        <f>IF(COUNTIFS('United Data'!$A$3:$A$3390,M$1,'United Data'!$C$3:$C$3390,$A483)&gt;0,1,0)</f>
        <v>0</v>
      </c>
      <c r="N483">
        <f>IF(COUNTIFS('United Data'!$A$3:$A$3390,N$1,'United Data'!$C$3:$C$3390,$A483)&gt;0,1,0)</f>
        <v>0</v>
      </c>
      <c r="O483">
        <f>IF(COUNTIFS('United Data'!$A$3:$A$3390,O$1,'United Data'!$C$3:$C$3390,$A483)&gt;0,1,0)</f>
        <v>0</v>
      </c>
      <c r="P483">
        <f>IF(COUNTIFS('United Data'!$A$3:$A$3390,P$1,'United Data'!$C$3:$C$3390,$A483)&gt;0,1,0)</f>
        <v>0</v>
      </c>
      <c r="Q483">
        <f>IF(COUNTIFS('United Data'!$A$3:$A$3390,Q$1,'United Data'!$C$3:$C$3390,$A483)&gt;0,1,0)</f>
        <v>1</v>
      </c>
      <c r="R483">
        <f>IF(COUNTIFS('United Data'!$A$3:$A$3390,R$1,'United Data'!$C$3:$C$3390,$A483)&gt;0,1,0)</f>
        <v>1</v>
      </c>
      <c r="S483">
        <f t="shared" si="14"/>
        <v>4</v>
      </c>
      <c r="T483">
        <f t="shared" si="15"/>
        <v>2</v>
      </c>
    </row>
    <row r="484" spans="1:20" x14ac:dyDescent="0.2">
      <c r="A484" t="s">
        <v>592</v>
      </c>
      <c r="B484">
        <f>IF(COUNTIFS('United Data'!$A$3:$A$3390,B$1,'United Data'!$C$3:$C$3390,$A484)&gt;0,1,0)</f>
        <v>0</v>
      </c>
      <c r="C484">
        <f>IF(COUNTIFS('United Data'!$A$3:$A$3390,C$1,'United Data'!$C$3:$C$3390,$A484)&gt;0,1,0)</f>
        <v>0</v>
      </c>
      <c r="D484">
        <f>IF(COUNTIFS('United Data'!$A$3:$A$3390,D$1,'United Data'!$C$3:$C$3390,$A484)&gt;0,1,0)</f>
        <v>0</v>
      </c>
      <c r="E484">
        <f>IF(COUNTIFS('United Data'!$A$3:$A$3390,E$1,'United Data'!$C$3:$C$3390,$A484)&gt;0,1,0)</f>
        <v>0</v>
      </c>
      <c r="F484">
        <f>IF(COUNTIFS('United Data'!$A$3:$A$3390,F$1,'United Data'!$C$3:$C$3390,$A484)&gt;0,1,0)</f>
        <v>0</v>
      </c>
      <c r="G484">
        <f>IF(COUNTIFS('United Data'!$A$3:$A$3390,G$1,'United Data'!$C$3:$C$3390,$A484)&gt;0,1,0)</f>
        <v>0</v>
      </c>
      <c r="H484">
        <f>IF(COUNTIFS('United Data'!$A$3:$A$3390,H$1,'United Data'!$C$3:$C$3390,$A484)&gt;0,1,0)</f>
        <v>0</v>
      </c>
      <c r="I484">
        <f>IF(COUNTIFS('United Data'!$A$3:$A$3390,I$1,'United Data'!$C$3:$C$3390,$A484)&gt;0,1,0)</f>
        <v>0</v>
      </c>
      <c r="J484">
        <f>IF(COUNTIFS('United Data'!$A$3:$A$3390,J$1,'United Data'!$C$3:$C$3390,$A484)&gt;0,1,0)</f>
        <v>0</v>
      </c>
      <c r="K484">
        <f>IF(COUNTIFS('United Data'!$A$3:$A$3390,K$1,'United Data'!$C$3:$C$3390,$A484)&gt;0,1,0)</f>
        <v>0</v>
      </c>
      <c r="L484">
        <f>IF(COUNTIFS('United Data'!$A$3:$A$3390,L$1,'United Data'!$C$3:$C$3390,$A484)&gt;0,1,0)</f>
        <v>0</v>
      </c>
      <c r="M484">
        <f>IF(COUNTIFS('United Data'!$A$3:$A$3390,M$1,'United Data'!$C$3:$C$3390,$A484)&gt;0,1,0)</f>
        <v>0</v>
      </c>
      <c r="N484">
        <f>IF(COUNTIFS('United Data'!$A$3:$A$3390,N$1,'United Data'!$C$3:$C$3390,$A484)&gt;0,1,0)</f>
        <v>0</v>
      </c>
      <c r="O484">
        <f>IF(COUNTIFS('United Data'!$A$3:$A$3390,O$1,'United Data'!$C$3:$C$3390,$A484)&gt;0,1,0)</f>
        <v>0</v>
      </c>
      <c r="P484">
        <f>IF(COUNTIFS('United Data'!$A$3:$A$3390,P$1,'United Data'!$C$3:$C$3390,$A484)&gt;0,1,0)</f>
        <v>1</v>
      </c>
      <c r="Q484">
        <f>IF(COUNTIFS('United Data'!$A$3:$A$3390,Q$1,'United Data'!$C$3:$C$3390,$A484)&gt;0,1,0)</f>
        <v>1</v>
      </c>
      <c r="R484">
        <f>IF(COUNTIFS('United Data'!$A$3:$A$3390,R$1,'United Data'!$C$3:$C$3390,$A484)&gt;0,1,0)</f>
        <v>1</v>
      </c>
      <c r="S484">
        <f t="shared" si="14"/>
        <v>3</v>
      </c>
      <c r="T484">
        <f t="shared" si="15"/>
        <v>1</v>
      </c>
    </row>
    <row r="485" spans="1:20" x14ac:dyDescent="0.2">
      <c r="A485" t="s">
        <v>593</v>
      </c>
      <c r="B485">
        <f>IF(COUNTIFS('United Data'!$A$3:$A$3390,B$1,'United Data'!$C$3:$C$3390,$A485)&gt;0,1,0)</f>
        <v>1</v>
      </c>
      <c r="C485">
        <f>IF(COUNTIFS('United Data'!$A$3:$A$3390,C$1,'United Data'!$C$3:$C$3390,$A485)&gt;0,1,0)</f>
        <v>1</v>
      </c>
      <c r="D485">
        <f>IF(COUNTIFS('United Data'!$A$3:$A$3390,D$1,'United Data'!$C$3:$C$3390,$A485)&gt;0,1,0)</f>
        <v>0</v>
      </c>
      <c r="E485">
        <f>IF(COUNTIFS('United Data'!$A$3:$A$3390,E$1,'United Data'!$C$3:$C$3390,$A485)&gt;0,1,0)</f>
        <v>1</v>
      </c>
      <c r="F485">
        <f>IF(COUNTIFS('United Data'!$A$3:$A$3390,F$1,'United Data'!$C$3:$C$3390,$A485)&gt;0,1,0)</f>
        <v>1</v>
      </c>
      <c r="G485">
        <f>IF(COUNTIFS('United Data'!$A$3:$A$3390,G$1,'United Data'!$C$3:$C$3390,$A485)&gt;0,1,0)</f>
        <v>1</v>
      </c>
      <c r="H485">
        <f>IF(COUNTIFS('United Data'!$A$3:$A$3390,H$1,'United Data'!$C$3:$C$3390,$A485)&gt;0,1,0)</f>
        <v>1</v>
      </c>
      <c r="I485">
        <f>IF(COUNTIFS('United Data'!$A$3:$A$3390,I$1,'United Data'!$C$3:$C$3390,$A485)&gt;0,1,0)</f>
        <v>1</v>
      </c>
      <c r="J485">
        <f>IF(COUNTIFS('United Data'!$A$3:$A$3390,J$1,'United Data'!$C$3:$C$3390,$A485)&gt;0,1,0)</f>
        <v>0</v>
      </c>
      <c r="K485">
        <f>IF(COUNTIFS('United Data'!$A$3:$A$3390,K$1,'United Data'!$C$3:$C$3390,$A485)&gt;0,1,0)</f>
        <v>0</v>
      </c>
      <c r="L485">
        <f>IF(COUNTIFS('United Data'!$A$3:$A$3390,L$1,'United Data'!$C$3:$C$3390,$A485)&gt;0,1,0)</f>
        <v>0</v>
      </c>
      <c r="M485">
        <f>IF(COUNTIFS('United Data'!$A$3:$A$3390,M$1,'United Data'!$C$3:$C$3390,$A485)&gt;0,1,0)</f>
        <v>0</v>
      </c>
      <c r="N485">
        <f>IF(COUNTIFS('United Data'!$A$3:$A$3390,N$1,'United Data'!$C$3:$C$3390,$A485)&gt;0,1,0)</f>
        <v>0</v>
      </c>
      <c r="O485">
        <f>IF(COUNTIFS('United Data'!$A$3:$A$3390,O$1,'United Data'!$C$3:$C$3390,$A485)&gt;0,1,0)</f>
        <v>0</v>
      </c>
      <c r="P485">
        <f>IF(COUNTIFS('United Data'!$A$3:$A$3390,P$1,'United Data'!$C$3:$C$3390,$A485)&gt;0,1,0)</f>
        <v>0</v>
      </c>
      <c r="Q485">
        <f>IF(COUNTIFS('United Data'!$A$3:$A$3390,Q$1,'United Data'!$C$3:$C$3390,$A485)&gt;0,1,0)</f>
        <v>1</v>
      </c>
      <c r="R485">
        <f>IF(COUNTIFS('United Data'!$A$3:$A$3390,R$1,'United Data'!$C$3:$C$3390,$A485)&gt;0,1,0)</f>
        <v>1</v>
      </c>
      <c r="S485">
        <f t="shared" si="14"/>
        <v>9</v>
      </c>
      <c r="T485">
        <f t="shared" si="15"/>
        <v>3</v>
      </c>
    </row>
    <row r="486" spans="1:20" x14ac:dyDescent="0.2">
      <c r="A486" t="s">
        <v>594</v>
      </c>
      <c r="B486">
        <f>IF(COUNTIFS('United Data'!$A$3:$A$3390,B$1,'United Data'!$C$3:$C$3390,$A486)&gt;0,1,0)</f>
        <v>0</v>
      </c>
      <c r="C486">
        <f>IF(COUNTIFS('United Data'!$A$3:$A$3390,C$1,'United Data'!$C$3:$C$3390,$A486)&gt;0,1,0)</f>
        <v>0</v>
      </c>
      <c r="D486">
        <f>IF(COUNTIFS('United Data'!$A$3:$A$3390,D$1,'United Data'!$C$3:$C$3390,$A486)&gt;0,1,0)</f>
        <v>0</v>
      </c>
      <c r="E486">
        <f>IF(COUNTIFS('United Data'!$A$3:$A$3390,E$1,'United Data'!$C$3:$C$3390,$A486)&gt;0,1,0)</f>
        <v>0</v>
      </c>
      <c r="F486">
        <f>IF(COUNTIFS('United Data'!$A$3:$A$3390,F$1,'United Data'!$C$3:$C$3390,$A486)&gt;0,1,0)</f>
        <v>0</v>
      </c>
      <c r="G486">
        <f>IF(COUNTIFS('United Data'!$A$3:$A$3390,G$1,'United Data'!$C$3:$C$3390,$A486)&gt;0,1,0)</f>
        <v>0</v>
      </c>
      <c r="H486">
        <f>IF(COUNTIFS('United Data'!$A$3:$A$3390,H$1,'United Data'!$C$3:$C$3390,$A486)&gt;0,1,0)</f>
        <v>0</v>
      </c>
      <c r="I486">
        <f>IF(COUNTIFS('United Data'!$A$3:$A$3390,I$1,'United Data'!$C$3:$C$3390,$A486)&gt;0,1,0)</f>
        <v>0</v>
      </c>
      <c r="J486">
        <f>IF(COUNTIFS('United Data'!$A$3:$A$3390,J$1,'United Data'!$C$3:$C$3390,$A486)&gt;0,1,0)</f>
        <v>0</v>
      </c>
      <c r="K486">
        <f>IF(COUNTIFS('United Data'!$A$3:$A$3390,K$1,'United Data'!$C$3:$C$3390,$A486)&gt;0,1,0)</f>
        <v>0</v>
      </c>
      <c r="L486">
        <f>IF(COUNTIFS('United Data'!$A$3:$A$3390,L$1,'United Data'!$C$3:$C$3390,$A486)&gt;0,1,0)</f>
        <v>0</v>
      </c>
      <c r="M486">
        <f>IF(COUNTIFS('United Data'!$A$3:$A$3390,M$1,'United Data'!$C$3:$C$3390,$A486)&gt;0,1,0)</f>
        <v>0</v>
      </c>
      <c r="N486">
        <f>IF(COUNTIFS('United Data'!$A$3:$A$3390,N$1,'United Data'!$C$3:$C$3390,$A486)&gt;0,1,0)</f>
        <v>0</v>
      </c>
      <c r="O486">
        <f>IF(COUNTIFS('United Data'!$A$3:$A$3390,O$1,'United Data'!$C$3:$C$3390,$A486)&gt;0,1,0)</f>
        <v>1</v>
      </c>
      <c r="P486">
        <f>IF(COUNTIFS('United Data'!$A$3:$A$3390,P$1,'United Data'!$C$3:$C$3390,$A486)&gt;0,1,0)</f>
        <v>1</v>
      </c>
      <c r="Q486">
        <f>IF(COUNTIFS('United Data'!$A$3:$A$3390,Q$1,'United Data'!$C$3:$C$3390,$A486)&gt;0,1,0)</f>
        <v>0</v>
      </c>
      <c r="R486">
        <f>IF(COUNTIFS('United Data'!$A$3:$A$3390,R$1,'United Data'!$C$3:$C$3390,$A486)&gt;0,1,0)</f>
        <v>1</v>
      </c>
      <c r="S486">
        <f t="shared" si="14"/>
        <v>3</v>
      </c>
      <c r="T486">
        <f t="shared" si="15"/>
        <v>2</v>
      </c>
    </row>
    <row r="487" spans="1:20" x14ac:dyDescent="0.2">
      <c r="A487" t="s">
        <v>595</v>
      </c>
      <c r="B487">
        <f>IF(COUNTIFS('United Data'!$A$3:$A$3390,B$1,'United Data'!$C$3:$C$3390,$A487)&gt;0,1,0)</f>
        <v>0</v>
      </c>
      <c r="C487">
        <f>IF(COUNTIFS('United Data'!$A$3:$A$3390,C$1,'United Data'!$C$3:$C$3390,$A487)&gt;0,1,0)</f>
        <v>0</v>
      </c>
      <c r="D487">
        <f>IF(COUNTIFS('United Data'!$A$3:$A$3390,D$1,'United Data'!$C$3:$C$3390,$A487)&gt;0,1,0)</f>
        <v>0</v>
      </c>
      <c r="E487">
        <f>IF(COUNTIFS('United Data'!$A$3:$A$3390,E$1,'United Data'!$C$3:$C$3390,$A487)&gt;0,1,0)</f>
        <v>0</v>
      </c>
      <c r="F487">
        <f>IF(COUNTIFS('United Data'!$A$3:$A$3390,F$1,'United Data'!$C$3:$C$3390,$A487)&gt;0,1,0)</f>
        <v>0</v>
      </c>
      <c r="G487">
        <f>IF(COUNTIFS('United Data'!$A$3:$A$3390,G$1,'United Data'!$C$3:$C$3390,$A487)&gt;0,1,0)</f>
        <v>0</v>
      </c>
      <c r="H487">
        <f>IF(COUNTIFS('United Data'!$A$3:$A$3390,H$1,'United Data'!$C$3:$C$3390,$A487)&gt;0,1,0)</f>
        <v>0</v>
      </c>
      <c r="I487">
        <f>IF(COUNTIFS('United Data'!$A$3:$A$3390,I$1,'United Data'!$C$3:$C$3390,$A487)&gt;0,1,0)</f>
        <v>0</v>
      </c>
      <c r="J487">
        <f>IF(COUNTIFS('United Data'!$A$3:$A$3390,J$1,'United Data'!$C$3:$C$3390,$A487)&gt;0,1,0)</f>
        <v>0</v>
      </c>
      <c r="K487">
        <f>IF(COUNTIFS('United Data'!$A$3:$A$3390,K$1,'United Data'!$C$3:$C$3390,$A487)&gt;0,1,0)</f>
        <v>0</v>
      </c>
      <c r="L487">
        <f>IF(COUNTIFS('United Data'!$A$3:$A$3390,L$1,'United Data'!$C$3:$C$3390,$A487)&gt;0,1,0)</f>
        <v>0</v>
      </c>
      <c r="M487">
        <f>IF(COUNTIFS('United Data'!$A$3:$A$3390,M$1,'United Data'!$C$3:$C$3390,$A487)&gt;0,1,0)</f>
        <v>0</v>
      </c>
      <c r="N487">
        <f>IF(COUNTIFS('United Data'!$A$3:$A$3390,N$1,'United Data'!$C$3:$C$3390,$A487)&gt;0,1,0)</f>
        <v>0</v>
      </c>
      <c r="O487">
        <f>IF(COUNTIFS('United Data'!$A$3:$A$3390,O$1,'United Data'!$C$3:$C$3390,$A487)&gt;0,1,0)</f>
        <v>0</v>
      </c>
      <c r="P487">
        <f>IF(COUNTIFS('United Data'!$A$3:$A$3390,P$1,'United Data'!$C$3:$C$3390,$A487)&gt;0,1,0)</f>
        <v>1</v>
      </c>
      <c r="Q487">
        <f>IF(COUNTIFS('United Data'!$A$3:$A$3390,Q$1,'United Data'!$C$3:$C$3390,$A487)&gt;0,1,0)</f>
        <v>1</v>
      </c>
      <c r="R487">
        <f>IF(COUNTIFS('United Data'!$A$3:$A$3390,R$1,'United Data'!$C$3:$C$3390,$A487)&gt;0,1,0)</f>
        <v>1</v>
      </c>
      <c r="S487">
        <f t="shared" si="14"/>
        <v>3</v>
      </c>
      <c r="T487">
        <f t="shared" si="15"/>
        <v>1</v>
      </c>
    </row>
    <row r="488" spans="1:20" x14ac:dyDescent="0.2">
      <c r="A488" t="s">
        <v>596</v>
      </c>
      <c r="B488">
        <f>IF(COUNTIFS('United Data'!$A$3:$A$3390,B$1,'United Data'!$C$3:$C$3390,$A488)&gt;0,1,0)</f>
        <v>1</v>
      </c>
      <c r="C488">
        <f>IF(COUNTIFS('United Data'!$A$3:$A$3390,C$1,'United Data'!$C$3:$C$3390,$A488)&gt;0,1,0)</f>
        <v>0</v>
      </c>
      <c r="D488">
        <f>IF(COUNTIFS('United Data'!$A$3:$A$3390,D$1,'United Data'!$C$3:$C$3390,$A488)&gt;0,1,0)</f>
        <v>0</v>
      </c>
      <c r="E488">
        <f>IF(COUNTIFS('United Data'!$A$3:$A$3390,E$1,'United Data'!$C$3:$C$3390,$A488)&gt;0,1,0)</f>
        <v>0</v>
      </c>
      <c r="F488">
        <f>IF(COUNTIFS('United Data'!$A$3:$A$3390,F$1,'United Data'!$C$3:$C$3390,$A488)&gt;0,1,0)</f>
        <v>0</v>
      </c>
      <c r="G488">
        <f>IF(COUNTIFS('United Data'!$A$3:$A$3390,G$1,'United Data'!$C$3:$C$3390,$A488)&gt;0,1,0)</f>
        <v>0</v>
      </c>
      <c r="H488">
        <f>IF(COUNTIFS('United Data'!$A$3:$A$3390,H$1,'United Data'!$C$3:$C$3390,$A488)&gt;0,1,0)</f>
        <v>0</v>
      </c>
      <c r="I488">
        <f>IF(COUNTIFS('United Data'!$A$3:$A$3390,I$1,'United Data'!$C$3:$C$3390,$A488)&gt;0,1,0)</f>
        <v>0</v>
      </c>
      <c r="J488">
        <f>IF(COUNTIFS('United Data'!$A$3:$A$3390,J$1,'United Data'!$C$3:$C$3390,$A488)&gt;0,1,0)</f>
        <v>0</v>
      </c>
      <c r="K488">
        <f>IF(COUNTIFS('United Data'!$A$3:$A$3390,K$1,'United Data'!$C$3:$C$3390,$A488)&gt;0,1,0)</f>
        <v>0</v>
      </c>
      <c r="L488">
        <f>IF(COUNTIFS('United Data'!$A$3:$A$3390,L$1,'United Data'!$C$3:$C$3390,$A488)&gt;0,1,0)</f>
        <v>0</v>
      </c>
      <c r="M488">
        <f>IF(COUNTIFS('United Data'!$A$3:$A$3390,M$1,'United Data'!$C$3:$C$3390,$A488)&gt;0,1,0)</f>
        <v>0</v>
      </c>
      <c r="N488">
        <f>IF(COUNTIFS('United Data'!$A$3:$A$3390,N$1,'United Data'!$C$3:$C$3390,$A488)&gt;0,1,0)</f>
        <v>0</v>
      </c>
      <c r="O488">
        <f>IF(COUNTIFS('United Data'!$A$3:$A$3390,O$1,'United Data'!$C$3:$C$3390,$A488)&gt;0,1,0)</f>
        <v>0</v>
      </c>
      <c r="P488">
        <f>IF(COUNTIFS('United Data'!$A$3:$A$3390,P$1,'United Data'!$C$3:$C$3390,$A488)&gt;0,1,0)</f>
        <v>0</v>
      </c>
      <c r="Q488">
        <f>IF(COUNTIFS('United Data'!$A$3:$A$3390,Q$1,'United Data'!$C$3:$C$3390,$A488)&gt;0,1,0)</f>
        <v>0</v>
      </c>
      <c r="R488">
        <f>IF(COUNTIFS('United Data'!$A$3:$A$3390,R$1,'United Data'!$C$3:$C$3390,$A488)&gt;0,1,0)</f>
        <v>0</v>
      </c>
      <c r="S488">
        <f t="shared" si="14"/>
        <v>1</v>
      </c>
      <c r="T488">
        <f t="shared" si="15"/>
        <v>1</v>
      </c>
    </row>
    <row r="489" spans="1:20" x14ac:dyDescent="0.2">
      <c r="A489" t="s">
        <v>597</v>
      </c>
      <c r="B489">
        <f>IF(COUNTIFS('United Data'!$A$3:$A$3390,B$1,'United Data'!$C$3:$C$3390,$A489)&gt;0,1,0)</f>
        <v>1</v>
      </c>
      <c r="C489">
        <f>IF(COUNTIFS('United Data'!$A$3:$A$3390,C$1,'United Data'!$C$3:$C$3390,$A489)&gt;0,1,0)</f>
        <v>0</v>
      </c>
      <c r="D489">
        <f>IF(COUNTIFS('United Data'!$A$3:$A$3390,D$1,'United Data'!$C$3:$C$3390,$A489)&gt;0,1,0)</f>
        <v>0</v>
      </c>
      <c r="E489">
        <f>IF(COUNTIFS('United Data'!$A$3:$A$3390,E$1,'United Data'!$C$3:$C$3390,$A489)&gt;0,1,0)</f>
        <v>0</v>
      </c>
      <c r="F489">
        <f>IF(COUNTIFS('United Data'!$A$3:$A$3390,F$1,'United Data'!$C$3:$C$3390,$A489)&gt;0,1,0)</f>
        <v>0</v>
      </c>
      <c r="G489">
        <f>IF(COUNTIFS('United Data'!$A$3:$A$3390,G$1,'United Data'!$C$3:$C$3390,$A489)&gt;0,1,0)</f>
        <v>0</v>
      </c>
      <c r="H489">
        <f>IF(COUNTIFS('United Data'!$A$3:$A$3390,H$1,'United Data'!$C$3:$C$3390,$A489)&gt;0,1,0)</f>
        <v>0</v>
      </c>
      <c r="I489">
        <f>IF(COUNTIFS('United Data'!$A$3:$A$3390,I$1,'United Data'!$C$3:$C$3390,$A489)&gt;0,1,0)</f>
        <v>0</v>
      </c>
      <c r="J489">
        <f>IF(COUNTIFS('United Data'!$A$3:$A$3390,J$1,'United Data'!$C$3:$C$3390,$A489)&gt;0,1,0)</f>
        <v>0</v>
      </c>
      <c r="K489">
        <f>IF(COUNTIFS('United Data'!$A$3:$A$3390,K$1,'United Data'!$C$3:$C$3390,$A489)&gt;0,1,0)</f>
        <v>0</v>
      </c>
      <c r="L489">
        <f>IF(COUNTIFS('United Data'!$A$3:$A$3390,L$1,'United Data'!$C$3:$C$3390,$A489)&gt;0,1,0)</f>
        <v>0</v>
      </c>
      <c r="M489">
        <f>IF(COUNTIFS('United Data'!$A$3:$A$3390,M$1,'United Data'!$C$3:$C$3390,$A489)&gt;0,1,0)</f>
        <v>0</v>
      </c>
      <c r="N489">
        <f>IF(COUNTIFS('United Data'!$A$3:$A$3390,N$1,'United Data'!$C$3:$C$3390,$A489)&gt;0,1,0)</f>
        <v>0</v>
      </c>
      <c r="O489">
        <f>IF(COUNTIFS('United Data'!$A$3:$A$3390,O$1,'United Data'!$C$3:$C$3390,$A489)&gt;0,1,0)</f>
        <v>0</v>
      </c>
      <c r="P489">
        <f>IF(COUNTIFS('United Data'!$A$3:$A$3390,P$1,'United Data'!$C$3:$C$3390,$A489)&gt;0,1,0)</f>
        <v>0</v>
      </c>
      <c r="Q489">
        <f>IF(COUNTIFS('United Data'!$A$3:$A$3390,Q$1,'United Data'!$C$3:$C$3390,$A489)&gt;0,1,0)</f>
        <v>0</v>
      </c>
      <c r="R489">
        <f>IF(COUNTIFS('United Data'!$A$3:$A$3390,R$1,'United Data'!$C$3:$C$3390,$A489)&gt;0,1,0)</f>
        <v>0</v>
      </c>
      <c r="S489">
        <f t="shared" si="14"/>
        <v>1</v>
      </c>
      <c r="T489">
        <f t="shared" si="15"/>
        <v>1</v>
      </c>
    </row>
    <row r="490" spans="1:20" x14ac:dyDescent="0.2">
      <c r="A490" t="s">
        <v>598</v>
      </c>
      <c r="B490">
        <f>IF(COUNTIFS('United Data'!$A$3:$A$3390,B$1,'United Data'!$C$3:$C$3390,$A490)&gt;0,1,0)</f>
        <v>1</v>
      </c>
      <c r="C490">
        <f>IF(COUNTIFS('United Data'!$A$3:$A$3390,C$1,'United Data'!$C$3:$C$3390,$A490)&gt;0,1,0)</f>
        <v>0</v>
      </c>
      <c r="D490">
        <f>IF(COUNTIFS('United Data'!$A$3:$A$3390,D$1,'United Data'!$C$3:$C$3390,$A490)&gt;0,1,0)</f>
        <v>0</v>
      </c>
      <c r="E490">
        <f>IF(COUNTIFS('United Data'!$A$3:$A$3390,E$1,'United Data'!$C$3:$C$3390,$A490)&gt;0,1,0)</f>
        <v>0</v>
      </c>
      <c r="F490">
        <f>IF(COUNTIFS('United Data'!$A$3:$A$3390,F$1,'United Data'!$C$3:$C$3390,$A490)&gt;0,1,0)</f>
        <v>0</v>
      </c>
      <c r="G490">
        <f>IF(COUNTIFS('United Data'!$A$3:$A$3390,G$1,'United Data'!$C$3:$C$3390,$A490)&gt;0,1,0)</f>
        <v>0</v>
      </c>
      <c r="H490">
        <f>IF(COUNTIFS('United Data'!$A$3:$A$3390,H$1,'United Data'!$C$3:$C$3390,$A490)&gt;0,1,0)</f>
        <v>0</v>
      </c>
      <c r="I490">
        <f>IF(COUNTIFS('United Data'!$A$3:$A$3390,I$1,'United Data'!$C$3:$C$3390,$A490)&gt;0,1,0)</f>
        <v>0</v>
      </c>
      <c r="J490">
        <f>IF(COUNTIFS('United Data'!$A$3:$A$3390,J$1,'United Data'!$C$3:$C$3390,$A490)&gt;0,1,0)</f>
        <v>0</v>
      </c>
      <c r="K490">
        <f>IF(COUNTIFS('United Data'!$A$3:$A$3390,K$1,'United Data'!$C$3:$C$3390,$A490)&gt;0,1,0)</f>
        <v>0</v>
      </c>
      <c r="L490">
        <f>IF(COUNTIFS('United Data'!$A$3:$A$3390,L$1,'United Data'!$C$3:$C$3390,$A490)&gt;0,1,0)</f>
        <v>0</v>
      </c>
      <c r="M490">
        <f>IF(COUNTIFS('United Data'!$A$3:$A$3390,M$1,'United Data'!$C$3:$C$3390,$A490)&gt;0,1,0)</f>
        <v>0</v>
      </c>
      <c r="N490">
        <f>IF(COUNTIFS('United Data'!$A$3:$A$3390,N$1,'United Data'!$C$3:$C$3390,$A490)&gt;0,1,0)</f>
        <v>0</v>
      </c>
      <c r="O490">
        <f>IF(COUNTIFS('United Data'!$A$3:$A$3390,O$1,'United Data'!$C$3:$C$3390,$A490)&gt;0,1,0)</f>
        <v>0</v>
      </c>
      <c r="P490">
        <f>IF(COUNTIFS('United Data'!$A$3:$A$3390,P$1,'United Data'!$C$3:$C$3390,$A490)&gt;0,1,0)</f>
        <v>0</v>
      </c>
      <c r="Q490">
        <f>IF(COUNTIFS('United Data'!$A$3:$A$3390,Q$1,'United Data'!$C$3:$C$3390,$A490)&gt;0,1,0)</f>
        <v>0</v>
      </c>
      <c r="R490">
        <f>IF(COUNTIFS('United Data'!$A$3:$A$3390,R$1,'United Data'!$C$3:$C$3390,$A490)&gt;0,1,0)</f>
        <v>0</v>
      </c>
      <c r="S490">
        <f t="shared" si="14"/>
        <v>1</v>
      </c>
      <c r="T490">
        <f t="shared" si="15"/>
        <v>1</v>
      </c>
    </row>
    <row r="491" spans="1:20" x14ac:dyDescent="0.2">
      <c r="A491" t="s">
        <v>599</v>
      </c>
      <c r="B491">
        <f>IF(COUNTIFS('United Data'!$A$3:$A$3390,B$1,'United Data'!$C$3:$C$3390,$A491)&gt;0,1,0)</f>
        <v>1</v>
      </c>
      <c r="C491">
        <f>IF(COUNTIFS('United Data'!$A$3:$A$3390,C$1,'United Data'!$C$3:$C$3390,$A491)&gt;0,1,0)</f>
        <v>0</v>
      </c>
      <c r="D491">
        <f>IF(COUNTIFS('United Data'!$A$3:$A$3390,D$1,'United Data'!$C$3:$C$3390,$A491)&gt;0,1,0)</f>
        <v>0</v>
      </c>
      <c r="E491">
        <f>IF(COUNTIFS('United Data'!$A$3:$A$3390,E$1,'United Data'!$C$3:$C$3390,$A491)&gt;0,1,0)</f>
        <v>0</v>
      </c>
      <c r="F491">
        <f>IF(COUNTIFS('United Data'!$A$3:$A$3390,F$1,'United Data'!$C$3:$C$3390,$A491)&gt;0,1,0)</f>
        <v>0</v>
      </c>
      <c r="G491">
        <f>IF(COUNTIFS('United Data'!$A$3:$A$3390,G$1,'United Data'!$C$3:$C$3390,$A491)&gt;0,1,0)</f>
        <v>0</v>
      </c>
      <c r="H491">
        <f>IF(COUNTIFS('United Data'!$A$3:$A$3390,H$1,'United Data'!$C$3:$C$3390,$A491)&gt;0,1,0)</f>
        <v>0</v>
      </c>
      <c r="I491">
        <f>IF(COUNTIFS('United Data'!$A$3:$A$3390,I$1,'United Data'!$C$3:$C$3390,$A491)&gt;0,1,0)</f>
        <v>0</v>
      </c>
      <c r="J491">
        <f>IF(COUNTIFS('United Data'!$A$3:$A$3390,J$1,'United Data'!$C$3:$C$3390,$A491)&gt;0,1,0)</f>
        <v>0</v>
      </c>
      <c r="K491">
        <f>IF(COUNTIFS('United Data'!$A$3:$A$3390,K$1,'United Data'!$C$3:$C$3390,$A491)&gt;0,1,0)</f>
        <v>0</v>
      </c>
      <c r="L491">
        <f>IF(COUNTIFS('United Data'!$A$3:$A$3390,L$1,'United Data'!$C$3:$C$3390,$A491)&gt;0,1,0)</f>
        <v>0</v>
      </c>
      <c r="M491">
        <f>IF(COUNTIFS('United Data'!$A$3:$A$3390,M$1,'United Data'!$C$3:$C$3390,$A491)&gt;0,1,0)</f>
        <v>0</v>
      </c>
      <c r="N491">
        <f>IF(COUNTIFS('United Data'!$A$3:$A$3390,N$1,'United Data'!$C$3:$C$3390,$A491)&gt;0,1,0)</f>
        <v>0</v>
      </c>
      <c r="O491">
        <f>IF(COUNTIFS('United Data'!$A$3:$A$3390,O$1,'United Data'!$C$3:$C$3390,$A491)&gt;0,1,0)</f>
        <v>0</v>
      </c>
      <c r="P491">
        <f>IF(COUNTIFS('United Data'!$A$3:$A$3390,P$1,'United Data'!$C$3:$C$3390,$A491)&gt;0,1,0)</f>
        <v>0</v>
      </c>
      <c r="Q491">
        <f>IF(COUNTIFS('United Data'!$A$3:$A$3390,Q$1,'United Data'!$C$3:$C$3390,$A491)&gt;0,1,0)</f>
        <v>0</v>
      </c>
      <c r="R491">
        <f>IF(COUNTIFS('United Data'!$A$3:$A$3390,R$1,'United Data'!$C$3:$C$3390,$A491)&gt;0,1,0)</f>
        <v>0</v>
      </c>
      <c r="S491">
        <f t="shared" si="14"/>
        <v>1</v>
      </c>
      <c r="T491">
        <f t="shared" si="15"/>
        <v>1</v>
      </c>
    </row>
    <row r="492" spans="1:20" x14ac:dyDescent="0.2">
      <c r="A492" t="s">
        <v>600</v>
      </c>
      <c r="B492">
        <f>IF(COUNTIFS('United Data'!$A$3:$A$3390,B$1,'United Data'!$C$3:$C$3390,$A492)&gt;0,1,0)</f>
        <v>1</v>
      </c>
      <c r="C492">
        <f>IF(COUNTIFS('United Data'!$A$3:$A$3390,C$1,'United Data'!$C$3:$C$3390,$A492)&gt;0,1,0)</f>
        <v>0</v>
      </c>
      <c r="D492">
        <f>IF(COUNTIFS('United Data'!$A$3:$A$3390,D$1,'United Data'!$C$3:$C$3390,$A492)&gt;0,1,0)</f>
        <v>0</v>
      </c>
      <c r="E492">
        <f>IF(COUNTIFS('United Data'!$A$3:$A$3390,E$1,'United Data'!$C$3:$C$3390,$A492)&gt;0,1,0)</f>
        <v>0</v>
      </c>
      <c r="F492">
        <f>IF(COUNTIFS('United Data'!$A$3:$A$3390,F$1,'United Data'!$C$3:$C$3390,$A492)&gt;0,1,0)</f>
        <v>0</v>
      </c>
      <c r="G492">
        <f>IF(COUNTIFS('United Data'!$A$3:$A$3390,G$1,'United Data'!$C$3:$C$3390,$A492)&gt;0,1,0)</f>
        <v>0</v>
      </c>
      <c r="H492">
        <f>IF(COUNTIFS('United Data'!$A$3:$A$3390,H$1,'United Data'!$C$3:$C$3390,$A492)&gt;0,1,0)</f>
        <v>0</v>
      </c>
      <c r="I492">
        <f>IF(COUNTIFS('United Data'!$A$3:$A$3390,I$1,'United Data'!$C$3:$C$3390,$A492)&gt;0,1,0)</f>
        <v>0</v>
      </c>
      <c r="J492">
        <f>IF(COUNTIFS('United Data'!$A$3:$A$3390,J$1,'United Data'!$C$3:$C$3390,$A492)&gt;0,1,0)</f>
        <v>0</v>
      </c>
      <c r="K492">
        <f>IF(COUNTIFS('United Data'!$A$3:$A$3390,K$1,'United Data'!$C$3:$C$3390,$A492)&gt;0,1,0)</f>
        <v>0</v>
      </c>
      <c r="L492">
        <f>IF(COUNTIFS('United Data'!$A$3:$A$3390,L$1,'United Data'!$C$3:$C$3390,$A492)&gt;0,1,0)</f>
        <v>0</v>
      </c>
      <c r="M492">
        <f>IF(COUNTIFS('United Data'!$A$3:$A$3390,M$1,'United Data'!$C$3:$C$3390,$A492)&gt;0,1,0)</f>
        <v>0</v>
      </c>
      <c r="N492">
        <f>IF(COUNTIFS('United Data'!$A$3:$A$3390,N$1,'United Data'!$C$3:$C$3390,$A492)&gt;0,1,0)</f>
        <v>0</v>
      </c>
      <c r="O492">
        <f>IF(COUNTIFS('United Data'!$A$3:$A$3390,O$1,'United Data'!$C$3:$C$3390,$A492)&gt;0,1,0)</f>
        <v>0</v>
      </c>
      <c r="P492">
        <f>IF(COUNTIFS('United Data'!$A$3:$A$3390,P$1,'United Data'!$C$3:$C$3390,$A492)&gt;0,1,0)</f>
        <v>0</v>
      </c>
      <c r="Q492">
        <f>IF(COUNTIFS('United Data'!$A$3:$A$3390,Q$1,'United Data'!$C$3:$C$3390,$A492)&gt;0,1,0)</f>
        <v>0</v>
      </c>
      <c r="R492">
        <f>IF(COUNTIFS('United Data'!$A$3:$A$3390,R$1,'United Data'!$C$3:$C$3390,$A492)&gt;0,1,0)</f>
        <v>0</v>
      </c>
      <c r="S492">
        <f t="shared" si="14"/>
        <v>1</v>
      </c>
      <c r="T492">
        <f t="shared" si="15"/>
        <v>1</v>
      </c>
    </row>
    <row r="493" spans="1:20" x14ac:dyDescent="0.2">
      <c r="A493" t="s">
        <v>601</v>
      </c>
      <c r="B493">
        <f>IF(COUNTIFS('United Data'!$A$3:$A$3390,B$1,'United Data'!$C$3:$C$3390,$A493)&gt;0,1,0)</f>
        <v>1</v>
      </c>
      <c r="C493">
        <f>IF(COUNTIFS('United Data'!$A$3:$A$3390,C$1,'United Data'!$C$3:$C$3390,$A493)&gt;0,1,0)</f>
        <v>0</v>
      </c>
      <c r="D493">
        <f>IF(COUNTIFS('United Data'!$A$3:$A$3390,D$1,'United Data'!$C$3:$C$3390,$A493)&gt;0,1,0)</f>
        <v>0</v>
      </c>
      <c r="E493">
        <f>IF(COUNTIFS('United Data'!$A$3:$A$3390,E$1,'United Data'!$C$3:$C$3390,$A493)&gt;0,1,0)</f>
        <v>0</v>
      </c>
      <c r="F493">
        <f>IF(COUNTIFS('United Data'!$A$3:$A$3390,F$1,'United Data'!$C$3:$C$3390,$A493)&gt;0,1,0)</f>
        <v>0</v>
      </c>
      <c r="G493">
        <f>IF(COUNTIFS('United Data'!$A$3:$A$3390,G$1,'United Data'!$C$3:$C$3390,$A493)&gt;0,1,0)</f>
        <v>0</v>
      </c>
      <c r="H493">
        <f>IF(COUNTIFS('United Data'!$A$3:$A$3390,H$1,'United Data'!$C$3:$C$3390,$A493)&gt;0,1,0)</f>
        <v>0</v>
      </c>
      <c r="I493">
        <f>IF(COUNTIFS('United Data'!$A$3:$A$3390,I$1,'United Data'!$C$3:$C$3390,$A493)&gt;0,1,0)</f>
        <v>0</v>
      </c>
      <c r="J493">
        <f>IF(COUNTIFS('United Data'!$A$3:$A$3390,J$1,'United Data'!$C$3:$C$3390,$A493)&gt;0,1,0)</f>
        <v>0</v>
      </c>
      <c r="K493">
        <f>IF(COUNTIFS('United Data'!$A$3:$A$3390,K$1,'United Data'!$C$3:$C$3390,$A493)&gt;0,1,0)</f>
        <v>0</v>
      </c>
      <c r="L493">
        <f>IF(COUNTIFS('United Data'!$A$3:$A$3390,L$1,'United Data'!$C$3:$C$3390,$A493)&gt;0,1,0)</f>
        <v>0</v>
      </c>
      <c r="M493">
        <f>IF(COUNTIFS('United Data'!$A$3:$A$3390,M$1,'United Data'!$C$3:$C$3390,$A493)&gt;0,1,0)</f>
        <v>0</v>
      </c>
      <c r="N493">
        <f>IF(COUNTIFS('United Data'!$A$3:$A$3390,N$1,'United Data'!$C$3:$C$3390,$A493)&gt;0,1,0)</f>
        <v>0</v>
      </c>
      <c r="O493">
        <f>IF(COUNTIFS('United Data'!$A$3:$A$3390,O$1,'United Data'!$C$3:$C$3390,$A493)&gt;0,1,0)</f>
        <v>0</v>
      </c>
      <c r="P493">
        <f>IF(COUNTIFS('United Data'!$A$3:$A$3390,P$1,'United Data'!$C$3:$C$3390,$A493)&gt;0,1,0)</f>
        <v>0</v>
      </c>
      <c r="Q493">
        <f>IF(COUNTIFS('United Data'!$A$3:$A$3390,Q$1,'United Data'!$C$3:$C$3390,$A493)&gt;0,1,0)</f>
        <v>0</v>
      </c>
      <c r="R493">
        <f>IF(COUNTIFS('United Data'!$A$3:$A$3390,R$1,'United Data'!$C$3:$C$3390,$A493)&gt;0,1,0)</f>
        <v>0</v>
      </c>
      <c r="S493">
        <f t="shared" si="14"/>
        <v>1</v>
      </c>
      <c r="T493">
        <f t="shared" si="15"/>
        <v>1</v>
      </c>
    </row>
    <row r="494" spans="1:20" x14ac:dyDescent="0.2">
      <c r="A494" t="s">
        <v>602</v>
      </c>
      <c r="B494">
        <f>IF(COUNTIFS('United Data'!$A$3:$A$3390,B$1,'United Data'!$C$3:$C$3390,$A494)&gt;0,1,0)</f>
        <v>1</v>
      </c>
      <c r="C494">
        <f>IF(COUNTIFS('United Data'!$A$3:$A$3390,C$1,'United Data'!$C$3:$C$3390,$A494)&gt;0,1,0)</f>
        <v>0</v>
      </c>
      <c r="D494">
        <f>IF(COUNTIFS('United Data'!$A$3:$A$3390,D$1,'United Data'!$C$3:$C$3390,$A494)&gt;0,1,0)</f>
        <v>0</v>
      </c>
      <c r="E494">
        <f>IF(COUNTIFS('United Data'!$A$3:$A$3390,E$1,'United Data'!$C$3:$C$3390,$A494)&gt;0,1,0)</f>
        <v>0</v>
      </c>
      <c r="F494">
        <f>IF(COUNTIFS('United Data'!$A$3:$A$3390,F$1,'United Data'!$C$3:$C$3390,$A494)&gt;0,1,0)</f>
        <v>0</v>
      </c>
      <c r="G494">
        <f>IF(COUNTIFS('United Data'!$A$3:$A$3390,G$1,'United Data'!$C$3:$C$3390,$A494)&gt;0,1,0)</f>
        <v>0</v>
      </c>
      <c r="H494">
        <f>IF(COUNTIFS('United Data'!$A$3:$A$3390,H$1,'United Data'!$C$3:$C$3390,$A494)&gt;0,1,0)</f>
        <v>0</v>
      </c>
      <c r="I494">
        <f>IF(COUNTIFS('United Data'!$A$3:$A$3390,I$1,'United Data'!$C$3:$C$3390,$A494)&gt;0,1,0)</f>
        <v>0</v>
      </c>
      <c r="J494">
        <f>IF(COUNTIFS('United Data'!$A$3:$A$3390,J$1,'United Data'!$C$3:$C$3390,$A494)&gt;0,1,0)</f>
        <v>0</v>
      </c>
      <c r="K494">
        <f>IF(COUNTIFS('United Data'!$A$3:$A$3390,K$1,'United Data'!$C$3:$C$3390,$A494)&gt;0,1,0)</f>
        <v>0</v>
      </c>
      <c r="L494">
        <f>IF(COUNTIFS('United Data'!$A$3:$A$3390,L$1,'United Data'!$C$3:$C$3390,$A494)&gt;0,1,0)</f>
        <v>0</v>
      </c>
      <c r="M494">
        <f>IF(COUNTIFS('United Data'!$A$3:$A$3390,M$1,'United Data'!$C$3:$C$3390,$A494)&gt;0,1,0)</f>
        <v>0</v>
      </c>
      <c r="N494">
        <f>IF(COUNTIFS('United Data'!$A$3:$A$3390,N$1,'United Data'!$C$3:$C$3390,$A494)&gt;0,1,0)</f>
        <v>0</v>
      </c>
      <c r="O494">
        <f>IF(COUNTIFS('United Data'!$A$3:$A$3390,O$1,'United Data'!$C$3:$C$3390,$A494)&gt;0,1,0)</f>
        <v>0</v>
      </c>
      <c r="P494">
        <f>IF(COUNTIFS('United Data'!$A$3:$A$3390,P$1,'United Data'!$C$3:$C$3390,$A494)&gt;0,1,0)</f>
        <v>0</v>
      </c>
      <c r="Q494">
        <f>IF(COUNTIFS('United Data'!$A$3:$A$3390,Q$1,'United Data'!$C$3:$C$3390,$A494)&gt;0,1,0)</f>
        <v>0</v>
      </c>
      <c r="R494">
        <f>IF(COUNTIFS('United Data'!$A$3:$A$3390,R$1,'United Data'!$C$3:$C$3390,$A494)&gt;0,1,0)</f>
        <v>0</v>
      </c>
      <c r="S494">
        <f t="shared" si="14"/>
        <v>1</v>
      </c>
      <c r="T494">
        <f t="shared" si="15"/>
        <v>1</v>
      </c>
    </row>
    <row r="495" spans="1:20" x14ac:dyDescent="0.2">
      <c r="A495" t="s">
        <v>603</v>
      </c>
      <c r="B495">
        <f>IF(COUNTIFS('United Data'!$A$3:$A$3390,B$1,'United Data'!$C$3:$C$3390,$A495)&gt;0,1,0)</f>
        <v>0</v>
      </c>
      <c r="C495">
        <f>IF(COUNTIFS('United Data'!$A$3:$A$3390,C$1,'United Data'!$C$3:$C$3390,$A495)&gt;0,1,0)</f>
        <v>1</v>
      </c>
      <c r="D495">
        <f>IF(COUNTIFS('United Data'!$A$3:$A$3390,D$1,'United Data'!$C$3:$C$3390,$A495)&gt;0,1,0)</f>
        <v>0</v>
      </c>
      <c r="E495">
        <f>IF(COUNTIFS('United Data'!$A$3:$A$3390,E$1,'United Data'!$C$3:$C$3390,$A495)&gt;0,1,0)</f>
        <v>0</v>
      </c>
      <c r="F495">
        <f>IF(COUNTIFS('United Data'!$A$3:$A$3390,F$1,'United Data'!$C$3:$C$3390,$A495)&gt;0,1,0)</f>
        <v>0</v>
      </c>
      <c r="G495">
        <f>IF(COUNTIFS('United Data'!$A$3:$A$3390,G$1,'United Data'!$C$3:$C$3390,$A495)&gt;0,1,0)</f>
        <v>0</v>
      </c>
      <c r="H495">
        <f>IF(COUNTIFS('United Data'!$A$3:$A$3390,H$1,'United Data'!$C$3:$C$3390,$A495)&gt;0,1,0)</f>
        <v>0</v>
      </c>
      <c r="I495">
        <f>IF(COUNTIFS('United Data'!$A$3:$A$3390,I$1,'United Data'!$C$3:$C$3390,$A495)&gt;0,1,0)</f>
        <v>0</v>
      </c>
      <c r="J495">
        <f>IF(COUNTIFS('United Data'!$A$3:$A$3390,J$1,'United Data'!$C$3:$C$3390,$A495)&gt;0,1,0)</f>
        <v>0</v>
      </c>
      <c r="K495">
        <f>IF(COUNTIFS('United Data'!$A$3:$A$3390,K$1,'United Data'!$C$3:$C$3390,$A495)&gt;0,1,0)</f>
        <v>0</v>
      </c>
      <c r="L495">
        <f>IF(COUNTIFS('United Data'!$A$3:$A$3390,L$1,'United Data'!$C$3:$C$3390,$A495)&gt;0,1,0)</f>
        <v>0</v>
      </c>
      <c r="M495">
        <f>IF(COUNTIFS('United Data'!$A$3:$A$3390,M$1,'United Data'!$C$3:$C$3390,$A495)&gt;0,1,0)</f>
        <v>0</v>
      </c>
      <c r="N495">
        <f>IF(COUNTIFS('United Data'!$A$3:$A$3390,N$1,'United Data'!$C$3:$C$3390,$A495)&gt;0,1,0)</f>
        <v>0</v>
      </c>
      <c r="O495">
        <f>IF(COUNTIFS('United Data'!$A$3:$A$3390,O$1,'United Data'!$C$3:$C$3390,$A495)&gt;0,1,0)</f>
        <v>0</v>
      </c>
      <c r="P495">
        <f>IF(COUNTIFS('United Data'!$A$3:$A$3390,P$1,'United Data'!$C$3:$C$3390,$A495)&gt;0,1,0)</f>
        <v>0</v>
      </c>
      <c r="Q495">
        <f>IF(COUNTIFS('United Data'!$A$3:$A$3390,Q$1,'United Data'!$C$3:$C$3390,$A495)&gt;0,1,0)</f>
        <v>0</v>
      </c>
      <c r="R495">
        <f>IF(COUNTIFS('United Data'!$A$3:$A$3390,R$1,'United Data'!$C$3:$C$3390,$A495)&gt;0,1,0)</f>
        <v>0</v>
      </c>
      <c r="S495">
        <f t="shared" si="14"/>
        <v>1</v>
      </c>
      <c r="T495">
        <f t="shared" si="15"/>
        <v>1</v>
      </c>
    </row>
    <row r="496" spans="1:20" x14ac:dyDescent="0.2">
      <c r="A496" t="s">
        <v>604</v>
      </c>
      <c r="B496">
        <f>IF(COUNTIFS('United Data'!$A$3:$A$3390,B$1,'United Data'!$C$3:$C$3390,$A496)&gt;0,1,0)</f>
        <v>0</v>
      </c>
      <c r="C496">
        <f>IF(COUNTIFS('United Data'!$A$3:$A$3390,C$1,'United Data'!$C$3:$C$3390,$A496)&gt;0,1,0)</f>
        <v>1</v>
      </c>
      <c r="D496">
        <f>IF(COUNTIFS('United Data'!$A$3:$A$3390,D$1,'United Data'!$C$3:$C$3390,$A496)&gt;0,1,0)</f>
        <v>0</v>
      </c>
      <c r="E496">
        <f>IF(COUNTIFS('United Data'!$A$3:$A$3390,E$1,'United Data'!$C$3:$C$3390,$A496)&gt;0,1,0)</f>
        <v>0</v>
      </c>
      <c r="F496">
        <f>IF(COUNTIFS('United Data'!$A$3:$A$3390,F$1,'United Data'!$C$3:$C$3390,$A496)&gt;0,1,0)</f>
        <v>0</v>
      </c>
      <c r="G496">
        <f>IF(COUNTIFS('United Data'!$A$3:$A$3390,G$1,'United Data'!$C$3:$C$3390,$A496)&gt;0,1,0)</f>
        <v>0</v>
      </c>
      <c r="H496">
        <f>IF(COUNTIFS('United Data'!$A$3:$A$3390,H$1,'United Data'!$C$3:$C$3390,$A496)&gt;0,1,0)</f>
        <v>0</v>
      </c>
      <c r="I496">
        <f>IF(COUNTIFS('United Data'!$A$3:$A$3390,I$1,'United Data'!$C$3:$C$3390,$A496)&gt;0,1,0)</f>
        <v>0</v>
      </c>
      <c r="J496">
        <f>IF(COUNTIFS('United Data'!$A$3:$A$3390,J$1,'United Data'!$C$3:$C$3390,$A496)&gt;0,1,0)</f>
        <v>0</v>
      </c>
      <c r="K496">
        <f>IF(COUNTIFS('United Data'!$A$3:$A$3390,K$1,'United Data'!$C$3:$C$3390,$A496)&gt;0,1,0)</f>
        <v>0</v>
      </c>
      <c r="L496">
        <f>IF(COUNTIFS('United Data'!$A$3:$A$3390,L$1,'United Data'!$C$3:$C$3390,$A496)&gt;0,1,0)</f>
        <v>0</v>
      </c>
      <c r="M496">
        <f>IF(COUNTIFS('United Data'!$A$3:$A$3390,M$1,'United Data'!$C$3:$C$3390,$A496)&gt;0,1,0)</f>
        <v>0</v>
      </c>
      <c r="N496">
        <f>IF(COUNTIFS('United Data'!$A$3:$A$3390,N$1,'United Data'!$C$3:$C$3390,$A496)&gt;0,1,0)</f>
        <v>0</v>
      </c>
      <c r="O496">
        <f>IF(COUNTIFS('United Data'!$A$3:$A$3390,O$1,'United Data'!$C$3:$C$3390,$A496)&gt;0,1,0)</f>
        <v>0</v>
      </c>
      <c r="P496">
        <f>IF(COUNTIFS('United Data'!$A$3:$A$3390,P$1,'United Data'!$C$3:$C$3390,$A496)&gt;0,1,0)</f>
        <v>0</v>
      </c>
      <c r="Q496">
        <f>IF(COUNTIFS('United Data'!$A$3:$A$3390,Q$1,'United Data'!$C$3:$C$3390,$A496)&gt;0,1,0)</f>
        <v>0</v>
      </c>
      <c r="R496">
        <f>IF(COUNTIFS('United Data'!$A$3:$A$3390,R$1,'United Data'!$C$3:$C$3390,$A496)&gt;0,1,0)</f>
        <v>0</v>
      </c>
      <c r="S496">
        <f t="shared" si="14"/>
        <v>1</v>
      </c>
      <c r="T496">
        <f t="shared" si="15"/>
        <v>1</v>
      </c>
    </row>
    <row r="497" spans="1:20" x14ac:dyDescent="0.2">
      <c r="A497" t="s">
        <v>605</v>
      </c>
      <c r="B497">
        <f>IF(COUNTIFS('United Data'!$A$3:$A$3390,B$1,'United Data'!$C$3:$C$3390,$A497)&gt;0,1,0)</f>
        <v>0</v>
      </c>
      <c r="C497">
        <f>IF(COUNTIFS('United Data'!$A$3:$A$3390,C$1,'United Data'!$C$3:$C$3390,$A497)&gt;0,1,0)</f>
        <v>1</v>
      </c>
      <c r="D497">
        <f>IF(COUNTIFS('United Data'!$A$3:$A$3390,D$1,'United Data'!$C$3:$C$3390,$A497)&gt;0,1,0)</f>
        <v>0</v>
      </c>
      <c r="E497">
        <f>IF(COUNTIFS('United Data'!$A$3:$A$3390,E$1,'United Data'!$C$3:$C$3390,$A497)&gt;0,1,0)</f>
        <v>0</v>
      </c>
      <c r="F497">
        <f>IF(COUNTIFS('United Data'!$A$3:$A$3390,F$1,'United Data'!$C$3:$C$3390,$A497)&gt;0,1,0)</f>
        <v>0</v>
      </c>
      <c r="G497">
        <f>IF(COUNTIFS('United Data'!$A$3:$A$3390,G$1,'United Data'!$C$3:$C$3390,$A497)&gt;0,1,0)</f>
        <v>0</v>
      </c>
      <c r="H497">
        <f>IF(COUNTIFS('United Data'!$A$3:$A$3390,H$1,'United Data'!$C$3:$C$3390,$A497)&gt;0,1,0)</f>
        <v>0</v>
      </c>
      <c r="I497">
        <f>IF(COUNTIFS('United Data'!$A$3:$A$3390,I$1,'United Data'!$C$3:$C$3390,$A497)&gt;0,1,0)</f>
        <v>0</v>
      </c>
      <c r="J497">
        <f>IF(COUNTIFS('United Data'!$A$3:$A$3390,J$1,'United Data'!$C$3:$C$3390,$A497)&gt;0,1,0)</f>
        <v>0</v>
      </c>
      <c r="K497">
        <f>IF(COUNTIFS('United Data'!$A$3:$A$3390,K$1,'United Data'!$C$3:$C$3390,$A497)&gt;0,1,0)</f>
        <v>0</v>
      </c>
      <c r="L497">
        <f>IF(COUNTIFS('United Data'!$A$3:$A$3390,L$1,'United Data'!$C$3:$C$3390,$A497)&gt;0,1,0)</f>
        <v>0</v>
      </c>
      <c r="M497">
        <f>IF(COUNTIFS('United Data'!$A$3:$A$3390,M$1,'United Data'!$C$3:$C$3390,$A497)&gt;0,1,0)</f>
        <v>0</v>
      </c>
      <c r="N497">
        <f>IF(COUNTIFS('United Data'!$A$3:$A$3390,N$1,'United Data'!$C$3:$C$3390,$A497)&gt;0,1,0)</f>
        <v>0</v>
      </c>
      <c r="O497">
        <f>IF(COUNTIFS('United Data'!$A$3:$A$3390,O$1,'United Data'!$C$3:$C$3390,$A497)&gt;0,1,0)</f>
        <v>0</v>
      </c>
      <c r="P497">
        <f>IF(COUNTIFS('United Data'!$A$3:$A$3390,P$1,'United Data'!$C$3:$C$3390,$A497)&gt;0,1,0)</f>
        <v>0</v>
      </c>
      <c r="Q497">
        <f>IF(COUNTIFS('United Data'!$A$3:$A$3390,Q$1,'United Data'!$C$3:$C$3390,$A497)&gt;0,1,0)</f>
        <v>0</v>
      </c>
      <c r="R497">
        <f>IF(COUNTIFS('United Data'!$A$3:$A$3390,R$1,'United Data'!$C$3:$C$3390,$A497)&gt;0,1,0)</f>
        <v>0</v>
      </c>
      <c r="S497">
        <f t="shared" si="14"/>
        <v>1</v>
      </c>
      <c r="T497">
        <f t="shared" si="15"/>
        <v>1</v>
      </c>
    </row>
    <row r="498" spans="1:20" x14ac:dyDescent="0.2">
      <c r="A498" t="s">
        <v>606</v>
      </c>
      <c r="B498">
        <f>IF(COUNTIFS('United Data'!$A$3:$A$3390,B$1,'United Data'!$C$3:$C$3390,$A498)&gt;0,1,0)</f>
        <v>0</v>
      </c>
      <c r="C498">
        <f>IF(COUNTIFS('United Data'!$A$3:$A$3390,C$1,'United Data'!$C$3:$C$3390,$A498)&gt;0,1,0)</f>
        <v>1</v>
      </c>
      <c r="D498">
        <f>IF(COUNTIFS('United Data'!$A$3:$A$3390,D$1,'United Data'!$C$3:$C$3390,$A498)&gt;0,1,0)</f>
        <v>1</v>
      </c>
      <c r="E498">
        <f>IF(COUNTIFS('United Data'!$A$3:$A$3390,E$1,'United Data'!$C$3:$C$3390,$A498)&gt;0,1,0)</f>
        <v>1</v>
      </c>
      <c r="F498">
        <f>IF(COUNTIFS('United Data'!$A$3:$A$3390,F$1,'United Data'!$C$3:$C$3390,$A498)&gt;0,1,0)</f>
        <v>1</v>
      </c>
      <c r="G498">
        <f>IF(COUNTIFS('United Data'!$A$3:$A$3390,G$1,'United Data'!$C$3:$C$3390,$A498)&gt;0,1,0)</f>
        <v>0</v>
      </c>
      <c r="H498">
        <f>IF(COUNTIFS('United Data'!$A$3:$A$3390,H$1,'United Data'!$C$3:$C$3390,$A498)&gt;0,1,0)</f>
        <v>0</v>
      </c>
      <c r="I498">
        <f>IF(COUNTIFS('United Data'!$A$3:$A$3390,I$1,'United Data'!$C$3:$C$3390,$A498)&gt;0,1,0)</f>
        <v>0</v>
      </c>
      <c r="J498">
        <f>IF(COUNTIFS('United Data'!$A$3:$A$3390,J$1,'United Data'!$C$3:$C$3390,$A498)&gt;0,1,0)</f>
        <v>0</v>
      </c>
      <c r="K498">
        <f>IF(COUNTIFS('United Data'!$A$3:$A$3390,K$1,'United Data'!$C$3:$C$3390,$A498)&gt;0,1,0)</f>
        <v>0</v>
      </c>
      <c r="L498">
        <f>IF(COUNTIFS('United Data'!$A$3:$A$3390,L$1,'United Data'!$C$3:$C$3390,$A498)&gt;0,1,0)</f>
        <v>0</v>
      </c>
      <c r="M498">
        <f>IF(COUNTIFS('United Data'!$A$3:$A$3390,M$1,'United Data'!$C$3:$C$3390,$A498)&gt;0,1,0)</f>
        <v>0</v>
      </c>
      <c r="N498">
        <f>IF(COUNTIFS('United Data'!$A$3:$A$3390,N$1,'United Data'!$C$3:$C$3390,$A498)&gt;0,1,0)</f>
        <v>0</v>
      </c>
      <c r="O498">
        <f>IF(COUNTIFS('United Data'!$A$3:$A$3390,O$1,'United Data'!$C$3:$C$3390,$A498)&gt;0,1,0)</f>
        <v>0</v>
      </c>
      <c r="P498">
        <f>IF(COUNTIFS('United Data'!$A$3:$A$3390,P$1,'United Data'!$C$3:$C$3390,$A498)&gt;0,1,0)</f>
        <v>0</v>
      </c>
      <c r="Q498">
        <f>IF(COUNTIFS('United Data'!$A$3:$A$3390,Q$1,'United Data'!$C$3:$C$3390,$A498)&gt;0,1,0)</f>
        <v>0</v>
      </c>
      <c r="R498">
        <f>IF(COUNTIFS('United Data'!$A$3:$A$3390,R$1,'United Data'!$C$3:$C$3390,$A498)&gt;0,1,0)</f>
        <v>0</v>
      </c>
      <c r="S498">
        <f t="shared" si="14"/>
        <v>4</v>
      </c>
      <c r="T498">
        <f t="shared" si="15"/>
        <v>1</v>
      </c>
    </row>
    <row r="499" spans="1:20" x14ac:dyDescent="0.2">
      <c r="A499" t="s">
        <v>607</v>
      </c>
      <c r="B499">
        <f>IF(COUNTIFS('United Data'!$A$3:$A$3390,B$1,'United Data'!$C$3:$C$3390,$A499)&gt;0,1,0)</f>
        <v>0</v>
      </c>
      <c r="C499">
        <f>IF(COUNTIFS('United Data'!$A$3:$A$3390,C$1,'United Data'!$C$3:$C$3390,$A499)&gt;0,1,0)</f>
        <v>1</v>
      </c>
      <c r="D499">
        <f>IF(COUNTIFS('United Data'!$A$3:$A$3390,D$1,'United Data'!$C$3:$C$3390,$A499)&gt;0,1,0)</f>
        <v>0</v>
      </c>
      <c r="E499">
        <f>IF(COUNTIFS('United Data'!$A$3:$A$3390,E$1,'United Data'!$C$3:$C$3390,$A499)&gt;0,1,0)</f>
        <v>0</v>
      </c>
      <c r="F499">
        <f>IF(COUNTIFS('United Data'!$A$3:$A$3390,F$1,'United Data'!$C$3:$C$3390,$A499)&gt;0,1,0)</f>
        <v>0</v>
      </c>
      <c r="G499">
        <f>IF(COUNTIFS('United Data'!$A$3:$A$3390,G$1,'United Data'!$C$3:$C$3390,$A499)&gt;0,1,0)</f>
        <v>0</v>
      </c>
      <c r="H499">
        <f>IF(COUNTIFS('United Data'!$A$3:$A$3390,H$1,'United Data'!$C$3:$C$3390,$A499)&gt;0,1,0)</f>
        <v>0</v>
      </c>
      <c r="I499">
        <f>IF(COUNTIFS('United Data'!$A$3:$A$3390,I$1,'United Data'!$C$3:$C$3390,$A499)&gt;0,1,0)</f>
        <v>0</v>
      </c>
      <c r="J499">
        <f>IF(COUNTIFS('United Data'!$A$3:$A$3390,J$1,'United Data'!$C$3:$C$3390,$A499)&gt;0,1,0)</f>
        <v>0</v>
      </c>
      <c r="K499">
        <f>IF(COUNTIFS('United Data'!$A$3:$A$3390,K$1,'United Data'!$C$3:$C$3390,$A499)&gt;0,1,0)</f>
        <v>0</v>
      </c>
      <c r="L499">
        <f>IF(COUNTIFS('United Data'!$A$3:$A$3390,L$1,'United Data'!$C$3:$C$3390,$A499)&gt;0,1,0)</f>
        <v>0</v>
      </c>
      <c r="M499">
        <f>IF(COUNTIFS('United Data'!$A$3:$A$3390,M$1,'United Data'!$C$3:$C$3390,$A499)&gt;0,1,0)</f>
        <v>0</v>
      </c>
      <c r="N499">
        <f>IF(COUNTIFS('United Data'!$A$3:$A$3390,N$1,'United Data'!$C$3:$C$3390,$A499)&gt;0,1,0)</f>
        <v>0</v>
      </c>
      <c r="O499">
        <f>IF(COUNTIFS('United Data'!$A$3:$A$3390,O$1,'United Data'!$C$3:$C$3390,$A499)&gt;0,1,0)</f>
        <v>0</v>
      </c>
      <c r="P499">
        <f>IF(COUNTIFS('United Data'!$A$3:$A$3390,P$1,'United Data'!$C$3:$C$3390,$A499)&gt;0,1,0)</f>
        <v>0</v>
      </c>
      <c r="Q499">
        <f>IF(COUNTIFS('United Data'!$A$3:$A$3390,Q$1,'United Data'!$C$3:$C$3390,$A499)&gt;0,1,0)</f>
        <v>0</v>
      </c>
      <c r="R499">
        <f>IF(COUNTIFS('United Data'!$A$3:$A$3390,R$1,'United Data'!$C$3:$C$3390,$A499)&gt;0,1,0)</f>
        <v>0</v>
      </c>
      <c r="S499">
        <f t="shared" si="14"/>
        <v>1</v>
      </c>
      <c r="T499">
        <f t="shared" si="15"/>
        <v>1</v>
      </c>
    </row>
    <row r="500" spans="1:20" x14ac:dyDescent="0.2">
      <c r="A500" t="s">
        <v>608</v>
      </c>
      <c r="B500">
        <f>IF(COUNTIFS('United Data'!$A$3:$A$3390,B$1,'United Data'!$C$3:$C$3390,$A500)&gt;0,1,0)</f>
        <v>0</v>
      </c>
      <c r="C500">
        <f>IF(COUNTIFS('United Data'!$A$3:$A$3390,C$1,'United Data'!$C$3:$C$3390,$A500)&gt;0,1,0)</f>
        <v>1</v>
      </c>
      <c r="D500">
        <f>IF(COUNTIFS('United Data'!$A$3:$A$3390,D$1,'United Data'!$C$3:$C$3390,$A500)&gt;0,1,0)</f>
        <v>1</v>
      </c>
      <c r="E500">
        <f>IF(COUNTIFS('United Data'!$A$3:$A$3390,E$1,'United Data'!$C$3:$C$3390,$A500)&gt;0,1,0)</f>
        <v>0</v>
      </c>
      <c r="F500">
        <f>IF(COUNTIFS('United Data'!$A$3:$A$3390,F$1,'United Data'!$C$3:$C$3390,$A500)&gt;0,1,0)</f>
        <v>0</v>
      </c>
      <c r="G500">
        <f>IF(COUNTIFS('United Data'!$A$3:$A$3390,G$1,'United Data'!$C$3:$C$3390,$A500)&gt;0,1,0)</f>
        <v>1</v>
      </c>
      <c r="H500">
        <f>IF(COUNTIFS('United Data'!$A$3:$A$3390,H$1,'United Data'!$C$3:$C$3390,$A500)&gt;0,1,0)</f>
        <v>0</v>
      </c>
      <c r="I500">
        <f>IF(COUNTIFS('United Data'!$A$3:$A$3390,I$1,'United Data'!$C$3:$C$3390,$A500)&gt;0,1,0)</f>
        <v>0</v>
      </c>
      <c r="J500">
        <f>IF(COUNTIFS('United Data'!$A$3:$A$3390,J$1,'United Data'!$C$3:$C$3390,$A500)&gt;0,1,0)</f>
        <v>0</v>
      </c>
      <c r="K500">
        <f>IF(COUNTIFS('United Data'!$A$3:$A$3390,K$1,'United Data'!$C$3:$C$3390,$A500)&gt;0,1,0)</f>
        <v>0</v>
      </c>
      <c r="L500">
        <f>IF(COUNTIFS('United Data'!$A$3:$A$3390,L$1,'United Data'!$C$3:$C$3390,$A500)&gt;0,1,0)</f>
        <v>0</v>
      </c>
      <c r="M500">
        <f>IF(COUNTIFS('United Data'!$A$3:$A$3390,M$1,'United Data'!$C$3:$C$3390,$A500)&gt;0,1,0)</f>
        <v>0</v>
      </c>
      <c r="N500">
        <f>IF(COUNTIFS('United Data'!$A$3:$A$3390,N$1,'United Data'!$C$3:$C$3390,$A500)&gt;0,1,0)</f>
        <v>0</v>
      </c>
      <c r="O500">
        <f>IF(COUNTIFS('United Data'!$A$3:$A$3390,O$1,'United Data'!$C$3:$C$3390,$A500)&gt;0,1,0)</f>
        <v>1</v>
      </c>
      <c r="P500">
        <f>IF(COUNTIFS('United Data'!$A$3:$A$3390,P$1,'United Data'!$C$3:$C$3390,$A500)&gt;0,1,0)</f>
        <v>1</v>
      </c>
      <c r="Q500">
        <f>IF(COUNTIFS('United Data'!$A$3:$A$3390,Q$1,'United Data'!$C$3:$C$3390,$A500)&gt;0,1,0)</f>
        <v>1</v>
      </c>
      <c r="R500">
        <f>IF(COUNTIFS('United Data'!$A$3:$A$3390,R$1,'United Data'!$C$3:$C$3390,$A500)&gt;0,1,0)</f>
        <v>0</v>
      </c>
      <c r="S500">
        <f t="shared" si="14"/>
        <v>6</v>
      </c>
      <c r="T500">
        <f t="shared" si="15"/>
        <v>3</v>
      </c>
    </row>
    <row r="501" spans="1:20" x14ac:dyDescent="0.2">
      <c r="A501" t="s">
        <v>609</v>
      </c>
      <c r="B501">
        <f>IF(COUNTIFS('United Data'!$A$3:$A$3390,B$1,'United Data'!$C$3:$C$3390,$A501)&gt;0,1,0)</f>
        <v>0</v>
      </c>
      <c r="C501">
        <f>IF(COUNTIFS('United Data'!$A$3:$A$3390,C$1,'United Data'!$C$3:$C$3390,$A501)&gt;0,1,0)</f>
        <v>1</v>
      </c>
      <c r="D501">
        <f>IF(COUNTIFS('United Data'!$A$3:$A$3390,D$1,'United Data'!$C$3:$C$3390,$A501)&gt;0,1,0)</f>
        <v>0</v>
      </c>
      <c r="E501">
        <f>IF(COUNTIFS('United Data'!$A$3:$A$3390,E$1,'United Data'!$C$3:$C$3390,$A501)&gt;0,1,0)</f>
        <v>0</v>
      </c>
      <c r="F501">
        <f>IF(COUNTIFS('United Data'!$A$3:$A$3390,F$1,'United Data'!$C$3:$C$3390,$A501)&gt;0,1,0)</f>
        <v>0</v>
      </c>
      <c r="G501">
        <f>IF(COUNTIFS('United Data'!$A$3:$A$3390,G$1,'United Data'!$C$3:$C$3390,$A501)&gt;0,1,0)</f>
        <v>0</v>
      </c>
      <c r="H501">
        <f>IF(COUNTIFS('United Data'!$A$3:$A$3390,H$1,'United Data'!$C$3:$C$3390,$A501)&gt;0,1,0)</f>
        <v>0</v>
      </c>
      <c r="I501">
        <f>IF(COUNTIFS('United Data'!$A$3:$A$3390,I$1,'United Data'!$C$3:$C$3390,$A501)&gt;0,1,0)</f>
        <v>0</v>
      </c>
      <c r="J501">
        <f>IF(COUNTIFS('United Data'!$A$3:$A$3390,J$1,'United Data'!$C$3:$C$3390,$A501)&gt;0,1,0)</f>
        <v>0</v>
      </c>
      <c r="K501">
        <f>IF(COUNTIFS('United Data'!$A$3:$A$3390,K$1,'United Data'!$C$3:$C$3390,$A501)&gt;0,1,0)</f>
        <v>0</v>
      </c>
      <c r="L501">
        <f>IF(COUNTIFS('United Data'!$A$3:$A$3390,L$1,'United Data'!$C$3:$C$3390,$A501)&gt;0,1,0)</f>
        <v>0</v>
      </c>
      <c r="M501">
        <f>IF(COUNTIFS('United Data'!$A$3:$A$3390,M$1,'United Data'!$C$3:$C$3390,$A501)&gt;0,1,0)</f>
        <v>0</v>
      </c>
      <c r="N501">
        <f>IF(COUNTIFS('United Data'!$A$3:$A$3390,N$1,'United Data'!$C$3:$C$3390,$A501)&gt;0,1,0)</f>
        <v>0</v>
      </c>
      <c r="O501">
        <f>IF(COUNTIFS('United Data'!$A$3:$A$3390,O$1,'United Data'!$C$3:$C$3390,$A501)&gt;0,1,0)</f>
        <v>0</v>
      </c>
      <c r="P501">
        <f>IF(COUNTIFS('United Data'!$A$3:$A$3390,P$1,'United Data'!$C$3:$C$3390,$A501)&gt;0,1,0)</f>
        <v>0</v>
      </c>
      <c r="Q501">
        <f>IF(COUNTIFS('United Data'!$A$3:$A$3390,Q$1,'United Data'!$C$3:$C$3390,$A501)&gt;0,1,0)</f>
        <v>0</v>
      </c>
      <c r="R501">
        <f>IF(COUNTIFS('United Data'!$A$3:$A$3390,R$1,'United Data'!$C$3:$C$3390,$A501)&gt;0,1,0)</f>
        <v>0</v>
      </c>
      <c r="S501">
        <f t="shared" si="14"/>
        <v>1</v>
      </c>
      <c r="T501">
        <f t="shared" si="15"/>
        <v>1</v>
      </c>
    </row>
    <row r="502" spans="1:20" x14ac:dyDescent="0.2">
      <c r="A502" t="s">
        <v>610</v>
      </c>
      <c r="B502">
        <f>IF(COUNTIFS('United Data'!$A$3:$A$3390,B$1,'United Data'!$C$3:$C$3390,$A502)&gt;0,1,0)</f>
        <v>0</v>
      </c>
      <c r="C502">
        <f>IF(COUNTIFS('United Data'!$A$3:$A$3390,C$1,'United Data'!$C$3:$C$3390,$A502)&gt;0,1,0)</f>
        <v>1</v>
      </c>
      <c r="D502">
        <f>IF(COUNTIFS('United Data'!$A$3:$A$3390,D$1,'United Data'!$C$3:$C$3390,$A502)&gt;0,1,0)</f>
        <v>1</v>
      </c>
      <c r="E502">
        <f>IF(COUNTIFS('United Data'!$A$3:$A$3390,E$1,'United Data'!$C$3:$C$3390,$A502)&gt;0,1,0)</f>
        <v>0</v>
      </c>
      <c r="F502">
        <f>IF(COUNTIFS('United Data'!$A$3:$A$3390,F$1,'United Data'!$C$3:$C$3390,$A502)&gt;0,1,0)</f>
        <v>1</v>
      </c>
      <c r="G502">
        <f>IF(COUNTIFS('United Data'!$A$3:$A$3390,G$1,'United Data'!$C$3:$C$3390,$A502)&gt;0,1,0)</f>
        <v>0</v>
      </c>
      <c r="H502">
        <f>IF(COUNTIFS('United Data'!$A$3:$A$3390,H$1,'United Data'!$C$3:$C$3390,$A502)&gt;0,1,0)</f>
        <v>0</v>
      </c>
      <c r="I502">
        <f>IF(COUNTIFS('United Data'!$A$3:$A$3390,I$1,'United Data'!$C$3:$C$3390,$A502)&gt;0,1,0)</f>
        <v>0</v>
      </c>
      <c r="J502">
        <f>IF(COUNTIFS('United Data'!$A$3:$A$3390,J$1,'United Data'!$C$3:$C$3390,$A502)&gt;0,1,0)</f>
        <v>0</v>
      </c>
      <c r="K502">
        <f>IF(COUNTIFS('United Data'!$A$3:$A$3390,K$1,'United Data'!$C$3:$C$3390,$A502)&gt;0,1,0)</f>
        <v>0</v>
      </c>
      <c r="L502">
        <f>IF(COUNTIFS('United Data'!$A$3:$A$3390,L$1,'United Data'!$C$3:$C$3390,$A502)&gt;0,1,0)</f>
        <v>0</v>
      </c>
      <c r="M502">
        <f>IF(COUNTIFS('United Data'!$A$3:$A$3390,M$1,'United Data'!$C$3:$C$3390,$A502)&gt;0,1,0)</f>
        <v>0</v>
      </c>
      <c r="N502">
        <f>IF(COUNTIFS('United Data'!$A$3:$A$3390,N$1,'United Data'!$C$3:$C$3390,$A502)&gt;0,1,0)</f>
        <v>0</v>
      </c>
      <c r="O502">
        <f>IF(COUNTIFS('United Data'!$A$3:$A$3390,O$1,'United Data'!$C$3:$C$3390,$A502)&gt;0,1,0)</f>
        <v>1</v>
      </c>
      <c r="P502">
        <f>IF(COUNTIFS('United Data'!$A$3:$A$3390,P$1,'United Data'!$C$3:$C$3390,$A502)&gt;0,1,0)</f>
        <v>0</v>
      </c>
      <c r="Q502">
        <f>IF(COUNTIFS('United Data'!$A$3:$A$3390,Q$1,'United Data'!$C$3:$C$3390,$A502)&gt;0,1,0)</f>
        <v>0</v>
      </c>
      <c r="R502">
        <f>IF(COUNTIFS('United Data'!$A$3:$A$3390,R$1,'United Data'!$C$3:$C$3390,$A502)&gt;0,1,0)</f>
        <v>0</v>
      </c>
      <c r="S502">
        <f t="shared" si="14"/>
        <v>4</v>
      </c>
      <c r="T502">
        <f t="shared" si="15"/>
        <v>3</v>
      </c>
    </row>
    <row r="503" spans="1:20" x14ac:dyDescent="0.2">
      <c r="A503" t="s">
        <v>611</v>
      </c>
      <c r="B503">
        <f>IF(COUNTIFS('United Data'!$A$3:$A$3390,B$1,'United Data'!$C$3:$C$3390,$A503)&gt;0,1,0)</f>
        <v>0</v>
      </c>
      <c r="C503">
        <f>IF(COUNTIFS('United Data'!$A$3:$A$3390,C$1,'United Data'!$C$3:$C$3390,$A503)&gt;0,1,0)</f>
        <v>1</v>
      </c>
      <c r="D503">
        <f>IF(COUNTIFS('United Data'!$A$3:$A$3390,D$1,'United Data'!$C$3:$C$3390,$A503)&gt;0,1,0)</f>
        <v>0</v>
      </c>
      <c r="E503">
        <f>IF(COUNTIFS('United Data'!$A$3:$A$3390,E$1,'United Data'!$C$3:$C$3390,$A503)&gt;0,1,0)</f>
        <v>0</v>
      </c>
      <c r="F503">
        <f>IF(COUNTIFS('United Data'!$A$3:$A$3390,F$1,'United Data'!$C$3:$C$3390,$A503)&gt;0,1,0)</f>
        <v>0</v>
      </c>
      <c r="G503">
        <f>IF(COUNTIFS('United Data'!$A$3:$A$3390,G$1,'United Data'!$C$3:$C$3390,$A503)&gt;0,1,0)</f>
        <v>0</v>
      </c>
      <c r="H503">
        <f>IF(COUNTIFS('United Data'!$A$3:$A$3390,H$1,'United Data'!$C$3:$C$3390,$A503)&gt;0,1,0)</f>
        <v>0</v>
      </c>
      <c r="I503">
        <f>IF(COUNTIFS('United Data'!$A$3:$A$3390,I$1,'United Data'!$C$3:$C$3390,$A503)&gt;0,1,0)</f>
        <v>0</v>
      </c>
      <c r="J503">
        <f>IF(COUNTIFS('United Data'!$A$3:$A$3390,J$1,'United Data'!$C$3:$C$3390,$A503)&gt;0,1,0)</f>
        <v>0</v>
      </c>
      <c r="K503">
        <f>IF(COUNTIFS('United Data'!$A$3:$A$3390,K$1,'United Data'!$C$3:$C$3390,$A503)&gt;0,1,0)</f>
        <v>0</v>
      </c>
      <c r="L503">
        <f>IF(COUNTIFS('United Data'!$A$3:$A$3390,L$1,'United Data'!$C$3:$C$3390,$A503)&gt;0,1,0)</f>
        <v>0</v>
      </c>
      <c r="M503">
        <f>IF(COUNTIFS('United Data'!$A$3:$A$3390,M$1,'United Data'!$C$3:$C$3390,$A503)&gt;0,1,0)</f>
        <v>0</v>
      </c>
      <c r="N503">
        <f>IF(COUNTIFS('United Data'!$A$3:$A$3390,N$1,'United Data'!$C$3:$C$3390,$A503)&gt;0,1,0)</f>
        <v>0</v>
      </c>
      <c r="O503">
        <f>IF(COUNTIFS('United Data'!$A$3:$A$3390,O$1,'United Data'!$C$3:$C$3390,$A503)&gt;0,1,0)</f>
        <v>0</v>
      </c>
      <c r="P503">
        <f>IF(COUNTIFS('United Data'!$A$3:$A$3390,P$1,'United Data'!$C$3:$C$3390,$A503)&gt;0,1,0)</f>
        <v>0</v>
      </c>
      <c r="Q503">
        <f>IF(COUNTIFS('United Data'!$A$3:$A$3390,Q$1,'United Data'!$C$3:$C$3390,$A503)&gt;0,1,0)</f>
        <v>0</v>
      </c>
      <c r="R503">
        <f>IF(COUNTIFS('United Data'!$A$3:$A$3390,R$1,'United Data'!$C$3:$C$3390,$A503)&gt;0,1,0)</f>
        <v>0</v>
      </c>
      <c r="S503">
        <f t="shared" si="14"/>
        <v>1</v>
      </c>
      <c r="T503">
        <f t="shared" si="15"/>
        <v>1</v>
      </c>
    </row>
    <row r="504" spans="1:20" x14ac:dyDescent="0.2">
      <c r="A504" t="s">
        <v>613</v>
      </c>
      <c r="B504">
        <f>IF(COUNTIFS('United Data'!$A$3:$A$3390,B$1,'United Data'!$C$3:$C$3390,$A504)&gt;0,1,0)</f>
        <v>0</v>
      </c>
      <c r="C504">
        <f>IF(COUNTIFS('United Data'!$A$3:$A$3390,C$1,'United Data'!$C$3:$C$3390,$A504)&gt;0,1,0)</f>
        <v>0</v>
      </c>
      <c r="D504">
        <f>IF(COUNTIFS('United Data'!$A$3:$A$3390,D$1,'United Data'!$C$3:$C$3390,$A504)&gt;0,1,0)</f>
        <v>1</v>
      </c>
      <c r="E504">
        <f>IF(COUNTIFS('United Data'!$A$3:$A$3390,E$1,'United Data'!$C$3:$C$3390,$A504)&gt;0,1,0)</f>
        <v>1</v>
      </c>
      <c r="F504">
        <f>IF(COUNTIFS('United Data'!$A$3:$A$3390,F$1,'United Data'!$C$3:$C$3390,$A504)&gt;0,1,0)</f>
        <v>1</v>
      </c>
      <c r="G504">
        <f>IF(COUNTIFS('United Data'!$A$3:$A$3390,G$1,'United Data'!$C$3:$C$3390,$A504)&gt;0,1,0)</f>
        <v>0</v>
      </c>
      <c r="H504">
        <f>IF(COUNTIFS('United Data'!$A$3:$A$3390,H$1,'United Data'!$C$3:$C$3390,$A504)&gt;0,1,0)</f>
        <v>0</v>
      </c>
      <c r="I504">
        <f>IF(COUNTIFS('United Data'!$A$3:$A$3390,I$1,'United Data'!$C$3:$C$3390,$A504)&gt;0,1,0)</f>
        <v>0</v>
      </c>
      <c r="J504">
        <f>IF(COUNTIFS('United Data'!$A$3:$A$3390,J$1,'United Data'!$C$3:$C$3390,$A504)&gt;0,1,0)</f>
        <v>0</v>
      </c>
      <c r="K504">
        <f>IF(COUNTIFS('United Data'!$A$3:$A$3390,K$1,'United Data'!$C$3:$C$3390,$A504)&gt;0,1,0)</f>
        <v>0</v>
      </c>
      <c r="L504">
        <f>IF(COUNTIFS('United Data'!$A$3:$A$3390,L$1,'United Data'!$C$3:$C$3390,$A504)&gt;0,1,0)</f>
        <v>0</v>
      </c>
      <c r="M504">
        <f>IF(COUNTIFS('United Data'!$A$3:$A$3390,M$1,'United Data'!$C$3:$C$3390,$A504)&gt;0,1,0)</f>
        <v>1</v>
      </c>
      <c r="N504">
        <f>IF(COUNTIFS('United Data'!$A$3:$A$3390,N$1,'United Data'!$C$3:$C$3390,$A504)&gt;0,1,0)</f>
        <v>0</v>
      </c>
      <c r="O504">
        <f>IF(COUNTIFS('United Data'!$A$3:$A$3390,O$1,'United Data'!$C$3:$C$3390,$A504)&gt;0,1,0)</f>
        <v>0</v>
      </c>
      <c r="P504">
        <f>IF(COUNTIFS('United Data'!$A$3:$A$3390,P$1,'United Data'!$C$3:$C$3390,$A504)&gt;0,1,0)</f>
        <v>0</v>
      </c>
      <c r="Q504">
        <f>IF(COUNTIFS('United Data'!$A$3:$A$3390,Q$1,'United Data'!$C$3:$C$3390,$A504)&gt;0,1,0)</f>
        <v>0</v>
      </c>
      <c r="R504">
        <f>IF(COUNTIFS('United Data'!$A$3:$A$3390,R$1,'United Data'!$C$3:$C$3390,$A504)&gt;0,1,0)</f>
        <v>0</v>
      </c>
      <c r="S504">
        <f t="shared" si="14"/>
        <v>4</v>
      </c>
      <c r="T504">
        <f t="shared" si="15"/>
        <v>2</v>
      </c>
    </row>
    <row r="505" spans="1:20" x14ac:dyDescent="0.2">
      <c r="A505" t="s">
        <v>614</v>
      </c>
      <c r="B505">
        <f>IF(COUNTIFS('United Data'!$A$3:$A$3390,B$1,'United Data'!$C$3:$C$3390,$A505)&gt;0,1,0)</f>
        <v>0</v>
      </c>
      <c r="C505">
        <f>IF(COUNTIFS('United Data'!$A$3:$A$3390,C$1,'United Data'!$C$3:$C$3390,$A505)&gt;0,1,0)</f>
        <v>0</v>
      </c>
      <c r="D505">
        <f>IF(COUNTIFS('United Data'!$A$3:$A$3390,D$1,'United Data'!$C$3:$C$3390,$A505)&gt;0,1,0)</f>
        <v>1</v>
      </c>
      <c r="E505">
        <f>IF(COUNTIFS('United Data'!$A$3:$A$3390,E$1,'United Data'!$C$3:$C$3390,$A505)&gt;0,1,0)</f>
        <v>0</v>
      </c>
      <c r="F505">
        <f>IF(COUNTIFS('United Data'!$A$3:$A$3390,F$1,'United Data'!$C$3:$C$3390,$A505)&gt;0,1,0)</f>
        <v>0</v>
      </c>
      <c r="G505">
        <f>IF(COUNTIFS('United Data'!$A$3:$A$3390,G$1,'United Data'!$C$3:$C$3390,$A505)&gt;0,1,0)</f>
        <v>0</v>
      </c>
      <c r="H505">
        <f>IF(COUNTIFS('United Data'!$A$3:$A$3390,H$1,'United Data'!$C$3:$C$3390,$A505)&gt;0,1,0)</f>
        <v>0</v>
      </c>
      <c r="I505">
        <f>IF(COUNTIFS('United Data'!$A$3:$A$3390,I$1,'United Data'!$C$3:$C$3390,$A505)&gt;0,1,0)</f>
        <v>0</v>
      </c>
      <c r="J505">
        <f>IF(COUNTIFS('United Data'!$A$3:$A$3390,J$1,'United Data'!$C$3:$C$3390,$A505)&gt;0,1,0)</f>
        <v>0</v>
      </c>
      <c r="K505">
        <f>IF(COUNTIFS('United Data'!$A$3:$A$3390,K$1,'United Data'!$C$3:$C$3390,$A505)&gt;0,1,0)</f>
        <v>0</v>
      </c>
      <c r="L505">
        <f>IF(COUNTIFS('United Data'!$A$3:$A$3390,L$1,'United Data'!$C$3:$C$3390,$A505)&gt;0,1,0)</f>
        <v>0</v>
      </c>
      <c r="M505">
        <f>IF(COUNTIFS('United Data'!$A$3:$A$3390,M$1,'United Data'!$C$3:$C$3390,$A505)&gt;0,1,0)</f>
        <v>0</v>
      </c>
      <c r="N505">
        <f>IF(COUNTIFS('United Data'!$A$3:$A$3390,N$1,'United Data'!$C$3:$C$3390,$A505)&gt;0,1,0)</f>
        <v>0</v>
      </c>
      <c r="O505">
        <f>IF(COUNTIFS('United Data'!$A$3:$A$3390,O$1,'United Data'!$C$3:$C$3390,$A505)&gt;0,1,0)</f>
        <v>0</v>
      </c>
      <c r="P505">
        <f>IF(COUNTIFS('United Data'!$A$3:$A$3390,P$1,'United Data'!$C$3:$C$3390,$A505)&gt;0,1,0)</f>
        <v>0</v>
      </c>
      <c r="Q505">
        <f>IF(COUNTIFS('United Data'!$A$3:$A$3390,Q$1,'United Data'!$C$3:$C$3390,$A505)&gt;0,1,0)</f>
        <v>0</v>
      </c>
      <c r="R505">
        <f>IF(COUNTIFS('United Data'!$A$3:$A$3390,R$1,'United Data'!$C$3:$C$3390,$A505)&gt;0,1,0)</f>
        <v>0</v>
      </c>
      <c r="S505">
        <f t="shared" si="14"/>
        <v>1</v>
      </c>
      <c r="T505">
        <f t="shared" si="15"/>
        <v>1</v>
      </c>
    </row>
    <row r="506" spans="1:20" x14ac:dyDescent="0.2">
      <c r="A506" t="s">
        <v>616</v>
      </c>
      <c r="B506">
        <f>IF(COUNTIFS('United Data'!$A$3:$A$3390,B$1,'United Data'!$C$3:$C$3390,$A506)&gt;0,1,0)</f>
        <v>0</v>
      </c>
      <c r="C506">
        <f>IF(COUNTIFS('United Data'!$A$3:$A$3390,C$1,'United Data'!$C$3:$C$3390,$A506)&gt;0,1,0)</f>
        <v>0</v>
      </c>
      <c r="D506">
        <f>IF(COUNTIFS('United Data'!$A$3:$A$3390,D$1,'United Data'!$C$3:$C$3390,$A506)&gt;0,1,0)</f>
        <v>1</v>
      </c>
      <c r="E506">
        <f>IF(COUNTIFS('United Data'!$A$3:$A$3390,E$1,'United Data'!$C$3:$C$3390,$A506)&gt;0,1,0)</f>
        <v>1</v>
      </c>
      <c r="F506">
        <f>IF(COUNTIFS('United Data'!$A$3:$A$3390,F$1,'United Data'!$C$3:$C$3390,$A506)&gt;0,1,0)</f>
        <v>1</v>
      </c>
      <c r="G506">
        <f>IF(COUNTIFS('United Data'!$A$3:$A$3390,G$1,'United Data'!$C$3:$C$3390,$A506)&gt;0,1,0)</f>
        <v>0</v>
      </c>
      <c r="H506">
        <f>IF(COUNTIFS('United Data'!$A$3:$A$3390,H$1,'United Data'!$C$3:$C$3390,$A506)&gt;0,1,0)</f>
        <v>0</v>
      </c>
      <c r="I506">
        <f>IF(COUNTIFS('United Data'!$A$3:$A$3390,I$1,'United Data'!$C$3:$C$3390,$A506)&gt;0,1,0)</f>
        <v>0</v>
      </c>
      <c r="J506">
        <f>IF(COUNTIFS('United Data'!$A$3:$A$3390,J$1,'United Data'!$C$3:$C$3390,$A506)&gt;0,1,0)</f>
        <v>1</v>
      </c>
      <c r="K506">
        <f>IF(COUNTIFS('United Data'!$A$3:$A$3390,K$1,'United Data'!$C$3:$C$3390,$A506)&gt;0,1,0)</f>
        <v>1</v>
      </c>
      <c r="L506">
        <f>IF(COUNTIFS('United Data'!$A$3:$A$3390,L$1,'United Data'!$C$3:$C$3390,$A506)&gt;0,1,0)</f>
        <v>0</v>
      </c>
      <c r="M506">
        <f>IF(COUNTIFS('United Data'!$A$3:$A$3390,M$1,'United Data'!$C$3:$C$3390,$A506)&gt;0,1,0)</f>
        <v>0</v>
      </c>
      <c r="N506">
        <f>IF(COUNTIFS('United Data'!$A$3:$A$3390,N$1,'United Data'!$C$3:$C$3390,$A506)&gt;0,1,0)</f>
        <v>0</v>
      </c>
      <c r="O506">
        <f>IF(COUNTIFS('United Data'!$A$3:$A$3390,O$1,'United Data'!$C$3:$C$3390,$A506)&gt;0,1,0)</f>
        <v>0</v>
      </c>
      <c r="P506">
        <f>IF(COUNTIFS('United Data'!$A$3:$A$3390,P$1,'United Data'!$C$3:$C$3390,$A506)&gt;0,1,0)</f>
        <v>0</v>
      </c>
      <c r="Q506">
        <f>IF(COUNTIFS('United Data'!$A$3:$A$3390,Q$1,'United Data'!$C$3:$C$3390,$A506)&gt;0,1,0)</f>
        <v>0</v>
      </c>
      <c r="R506">
        <f>IF(COUNTIFS('United Data'!$A$3:$A$3390,R$1,'United Data'!$C$3:$C$3390,$A506)&gt;0,1,0)</f>
        <v>0</v>
      </c>
      <c r="S506">
        <f t="shared" si="14"/>
        <v>5</v>
      </c>
      <c r="T506">
        <f t="shared" si="15"/>
        <v>2</v>
      </c>
    </row>
    <row r="507" spans="1:20" x14ac:dyDescent="0.2">
      <c r="A507" t="s">
        <v>617</v>
      </c>
      <c r="B507">
        <f>IF(COUNTIFS('United Data'!$A$3:$A$3390,B$1,'United Data'!$C$3:$C$3390,$A507)&gt;0,1,0)</f>
        <v>0</v>
      </c>
      <c r="C507">
        <f>IF(COUNTIFS('United Data'!$A$3:$A$3390,C$1,'United Data'!$C$3:$C$3390,$A507)&gt;0,1,0)</f>
        <v>0</v>
      </c>
      <c r="D507">
        <f>IF(COUNTIFS('United Data'!$A$3:$A$3390,D$1,'United Data'!$C$3:$C$3390,$A507)&gt;0,1,0)</f>
        <v>1</v>
      </c>
      <c r="E507">
        <f>IF(COUNTIFS('United Data'!$A$3:$A$3390,E$1,'United Data'!$C$3:$C$3390,$A507)&gt;0,1,0)</f>
        <v>0</v>
      </c>
      <c r="F507">
        <f>IF(COUNTIFS('United Data'!$A$3:$A$3390,F$1,'United Data'!$C$3:$C$3390,$A507)&gt;0,1,0)</f>
        <v>0</v>
      </c>
      <c r="G507">
        <f>IF(COUNTIFS('United Data'!$A$3:$A$3390,G$1,'United Data'!$C$3:$C$3390,$A507)&gt;0,1,0)</f>
        <v>0</v>
      </c>
      <c r="H507">
        <f>IF(COUNTIFS('United Data'!$A$3:$A$3390,H$1,'United Data'!$C$3:$C$3390,$A507)&gt;0,1,0)</f>
        <v>0</v>
      </c>
      <c r="I507">
        <f>IF(COUNTIFS('United Data'!$A$3:$A$3390,I$1,'United Data'!$C$3:$C$3390,$A507)&gt;0,1,0)</f>
        <v>0</v>
      </c>
      <c r="J507">
        <f>IF(COUNTIFS('United Data'!$A$3:$A$3390,J$1,'United Data'!$C$3:$C$3390,$A507)&gt;0,1,0)</f>
        <v>0</v>
      </c>
      <c r="K507">
        <f>IF(COUNTIFS('United Data'!$A$3:$A$3390,K$1,'United Data'!$C$3:$C$3390,$A507)&gt;0,1,0)</f>
        <v>0</v>
      </c>
      <c r="L507">
        <f>IF(COUNTIFS('United Data'!$A$3:$A$3390,L$1,'United Data'!$C$3:$C$3390,$A507)&gt;0,1,0)</f>
        <v>0</v>
      </c>
      <c r="M507">
        <f>IF(COUNTIFS('United Data'!$A$3:$A$3390,M$1,'United Data'!$C$3:$C$3390,$A507)&gt;0,1,0)</f>
        <v>0</v>
      </c>
      <c r="N507">
        <f>IF(COUNTIFS('United Data'!$A$3:$A$3390,N$1,'United Data'!$C$3:$C$3390,$A507)&gt;0,1,0)</f>
        <v>0</v>
      </c>
      <c r="O507">
        <f>IF(COUNTIFS('United Data'!$A$3:$A$3390,O$1,'United Data'!$C$3:$C$3390,$A507)&gt;0,1,0)</f>
        <v>0</v>
      </c>
      <c r="P507">
        <f>IF(COUNTIFS('United Data'!$A$3:$A$3390,P$1,'United Data'!$C$3:$C$3390,$A507)&gt;0,1,0)</f>
        <v>0</v>
      </c>
      <c r="Q507">
        <f>IF(COUNTIFS('United Data'!$A$3:$A$3390,Q$1,'United Data'!$C$3:$C$3390,$A507)&gt;0,1,0)</f>
        <v>0</v>
      </c>
      <c r="R507">
        <f>IF(COUNTIFS('United Data'!$A$3:$A$3390,R$1,'United Data'!$C$3:$C$3390,$A507)&gt;0,1,0)</f>
        <v>0</v>
      </c>
      <c r="S507">
        <f t="shared" si="14"/>
        <v>1</v>
      </c>
      <c r="T507">
        <f t="shared" si="15"/>
        <v>1</v>
      </c>
    </row>
    <row r="508" spans="1:20" x14ac:dyDescent="0.2">
      <c r="A508" t="s">
        <v>620</v>
      </c>
      <c r="B508">
        <f>IF(COUNTIFS('United Data'!$A$3:$A$3390,B$1,'United Data'!$C$3:$C$3390,$A508)&gt;0,1,0)</f>
        <v>0</v>
      </c>
      <c r="C508">
        <f>IF(COUNTIFS('United Data'!$A$3:$A$3390,C$1,'United Data'!$C$3:$C$3390,$A508)&gt;0,1,0)</f>
        <v>0</v>
      </c>
      <c r="D508">
        <f>IF(COUNTIFS('United Data'!$A$3:$A$3390,D$1,'United Data'!$C$3:$C$3390,$A508)&gt;0,1,0)</f>
        <v>0</v>
      </c>
      <c r="E508">
        <f>IF(COUNTIFS('United Data'!$A$3:$A$3390,E$1,'United Data'!$C$3:$C$3390,$A508)&gt;0,1,0)</f>
        <v>1</v>
      </c>
      <c r="F508">
        <f>IF(COUNTIFS('United Data'!$A$3:$A$3390,F$1,'United Data'!$C$3:$C$3390,$A508)&gt;0,1,0)</f>
        <v>0</v>
      </c>
      <c r="G508">
        <f>IF(COUNTIFS('United Data'!$A$3:$A$3390,G$1,'United Data'!$C$3:$C$3390,$A508)&gt;0,1,0)</f>
        <v>1</v>
      </c>
      <c r="H508">
        <f>IF(COUNTIFS('United Data'!$A$3:$A$3390,H$1,'United Data'!$C$3:$C$3390,$A508)&gt;0,1,0)</f>
        <v>0</v>
      </c>
      <c r="I508">
        <f>IF(COUNTIFS('United Data'!$A$3:$A$3390,I$1,'United Data'!$C$3:$C$3390,$A508)&gt;0,1,0)</f>
        <v>0</v>
      </c>
      <c r="J508">
        <f>IF(COUNTIFS('United Data'!$A$3:$A$3390,J$1,'United Data'!$C$3:$C$3390,$A508)&gt;0,1,0)</f>
        <v>0</v>
      </c>
      <c r="K508">
        <f>IF(COUNTIFS('United Data'!$A$3:$A$3390,K$1,'United Data'!$C$3:$C$3390,$A508)&gt;0,1,0)</f>
        <v>0</v>
      </c>
      <c r="L508">
        <f>IF(COUNTIFS('United Data'!$A$3:$A$3390,L$1,'United Data'!$C$3:$C$3390,$A508)&gt;0,1,0)</f>
        <v>0</v>
      </c>
      <c r="M508">
        <f>IF(COUNTIFS('United Data'!$A$3:$A$3390,M$1,'United Data'!$C$3:$C$3390,$A508)&gt;0,1,0)</f>
        <v>0</v>
      </c>
      <c r="N508">
        <f>IF(COUNTIFS('United Data'!$A$3:$A$3390,N$1,'United Data'!$C$3:$C$3390,$A508)&gt;0,1,0)</f>
        <v>0</v>
      </c>
      <c r="O508">
        <f>IF(COUNTIFS('United Data'!$A$3:$A$3390,O$1,'United Data'!$C$3:$C$3390,$A508)&gt;0,1,0)</f>
        <v>0</v>
      </c>
      <c r="P508">
        <f>IF(COUNTIFS('United Data'!$A$3:$A$3390,P$1,'United Data'!$C$3:$C$3390,$A508)&gt;0,1,0)</f>
        <v>0</v>
      </c>
      <c r="Q508">
        <f>IF(COUNTIFS('United Data'!$A$3:$A$3390,Q$1,'United Data'!$C$3:$C$3390,$A508)&gt;0,1,0)</f>
        <v>0</v>
      </c>
      <c r="R508">
        <f>IF(COUNTIFS('United Data'!$A$3:$A$3390,R$1,'United Data'!$C$3:$C$3390,$A508)&gt;0,1,0)</f>
        <v>0</v>
      </c>
      <c r="S508">
        <f t="shared" si="14"/>
        <v>2</v>
      </c>
      <c r="T508">
        <f t="shared" si="15"/>
        <v>2</v>
      </c>
    </row>
    <row r="509" spans="1:20" x14ac:dyDescent="0.2">
      <c r="A509" t="s">
        <v>621</v>
      </c>
      <c r="B509">
        <f>IF(COUNTIFS('United Data'!$A$3:$A$3390,B$1,'United Data'!$C$3:$C$3390,$A509)&gt;0,1,0)</f>
        <v>0</v>
      </c>
      <c r="C509">
        <f>IF(COUNTIFS('United Data'!$A$3:$A$3390,C$1,'United Data'!$C$3:$C$3390,$A509)&gt;0,1,0)</f>
        <v>0</v>
      </c>
      <c r="D509">
        <f>IF(COUNTIFS('United Data'!$A$3:$A$3390,D$1,'United Data'!$C$3:$C$3390,$A509)&gt;0,1,0)</f>
        <v>0</v>
      </c>
      <c r="E509">
        <f>IF(COUNTIFS('United Data'!$A$3:$A$3390,E$1,'United Data'!$C$3:$C$3390,$A509)&gt;0,1,0)</f>
        <v>1</v>
      </c>
      <c r="F509">
        <f>IF(COUNTIFS('United Data'!$A$3:$A$3390,F$1,'United Data'!$C$3:$C$3390,$A509)&gt;0,1,0)</f>
        <v>1</v>
      </c>
      <c r="G509">
        <f>IF(COUNTIFS('United Data'!$A$3:$A$3390,G$1,'United Data'!$C$3:$C$3390,$A509)&gt;0,1,0)</f>
        <v>0</v>
      </c>
      <c r="H509">
        <f>IF(COUNTIFS('United Data'!$A$3:$A$3390,H$1,'United Data'!$C$3:$C$3390,$A509)&gt;0,1,0)</f>
        <v>0</v>
      </c>
      <c r="I509">
        <f>IF(COUNTIFS('United Data'!$A$3:$A$3390,I$1,'United Data'!$C$3:$C$3390,$A509)&gt;0,1,0)</f>
        <v>0</v>
      </c>
      <c r="J509">
        <f>IF(COUNTIFS('United Data'!$A$3:$A$3390,J$1,'United Data'!$C$3:$C$3390,$A509)&gt;0,1,0)</f>
        <v>0</v>
      </c>
      <c r="K509">
        <f>IF(COUNTIFS('United Data'!$A$3:$A$3390,K$1,'United Data'!$C$3:$C$3390,$A509)&gt;0,1,0)</f>
        <v>0</v>
      </c>
      <c r="L509">
        <f>IF(COUNTIFS('United Data'!$A$3:$A$3390,L$1,'United Data'!$C$3:$C$3390,$A509)&gt;0,1,0)</f>
        <v>0</v>
      </c>
      <c r="M509">
        <f>IF(COUNTIFS('United Data'!$A$3:$A$3390,M$1,'United Data'!$C$3:$C$3390,$A509)&gt;0,1,0)</f>
        <v>0</v>
      </c>
      <c r="N509">
        <f>IF(COUNTIFS('United Data'!$A$3:$A$3390,N$1,'United Data'!$C$3:$C$3390,$A509)&gt;0,1,0)</f>
        <v>0</v>
      </c>
      <c r="O509">
        <f>IF(COUNTIFS('United Data'!$A$3:$A$3390,O$1,'United Data'!$C$3:$C$3390,$A509)&gt;0,1,0)</f>
        <v>1</v>
      </c>
      <c r="P509">
        <f>IF(COUNTIFS('United Data'!$A$3:$A$3390,P$1,'United Data'!$C$3:$C$3390,$A509)&gt;0,1,0)</f>
        <v>0</v>
      </c>
      <c r="Q509">
        <f>IF(COUNTIFS('United Data'!$A$3:$A$3390,Q$1,'United Data'!$C$3:$C$3390,$A509)&gt;0,1,0)</f>
        <v>0</v>
      </c>
      <c r="R509">
        <f>IF(COUNTIFS('United Data'!$A$3:$A$3390,R$1,'United Data'!$C$3:$C$3390,$A509)&gt;0,1,0)</f>
        <v>0</v>
      </c>
      <c r="S509">
        <f t="shared" si="14"/>
        <v>3</v>
      </c>
      <c r="T509">
        <f t="shared" si="15"/>
        <v>2</v>
      </c>
    </row>
    <row r="510" spans="1:20" x14ac:dyDescent="0.2">
      <c r="A510" t="s">
        <v>622</v>
      </c>
      <c r="B510">
        <f>IF(COUNTIFS('United Data'!$A$3:$A$3390,B$1,'United Data'!$C$3:$C$3390,$A510)&gt;0,1,0)</f>
        <v>0</v>
      </c>
      <c r="C510">
        <f>IF(COUNTIFS('United Data'!$A$3:$A$3390,C$1,'United Data'!$C$3:$C$3390,$A510)&gt;0,1,0)</f>
        <v>0</v>
      </c>
      <c r="D510">
        <f>IF(COUNTIFS('United Data'!$A$3:$A$3390,D$1,'United Data'!$C$3:$C$3390,$A510)&gt;0,1,0)</f>
        <v>0</v>
      </c>
      <c r="E510">
        <f>IF(COUNTIFS('United Data'!$A$3:$A$3390,E$1,'United Data'!$C$3:$C$3390,$A510)&gt;0,1,0)</f>
        <v>1</v>
      </c>
      <c r="F510">
        <f>IF(COUNTIFS('United Data'!$A$3:$A$3390,F$1,'United Data'!$C$3:$C$3390,$A510)&gt;0,1,0)</f>
        <v>0</v>
      </c>
      <c r="G510">
        <f>IF(COUNTIFS('United Data'!$A$3:$A$3390,G$1,'United Data'!$C$3:$C$3390,$A510)&gt;0,1,0)</f>
        <v>0</v>
      </c>
      <c r="H510">
        <f>IF(COUNTIFS('United Data'!$A$3:$A$3390,H$1,'United Data'!$C$3:$C$3390,$A510)&gt;0,1,0)</f>
        <v>0</v>
      </c>
      <c r="I510">
        <f>IF(COUNTIFS('United Data'!$A$3:$A$3390,I$1,'United Data'!$C$3:$C$3390,$A510)&gt;0,1,0)</f>
        <v>0</v>
      </c>
      <c r="J510">
        <f>IF(COUNTIFS('United Data'!$A$3:$A$3390,J$1,'United Data'!$C$3:$C$3390,$A510)&gt;0,1,0)</f>
        <v>0</v>
      </c>
      <c r="K510">
        <f>IF(COUNTIFS('United Data'!$A$3:$A$3390,K$1,'United Data'!$C$3:$C$3390,$A510)&gt;0,1,0)</f>
        <v>0</v>
      </c>
      <c r="L510">
        <f>IF(COUNTIFS('United Data'!$A$3:$A$3390,L$1,'United Data'!$C$3:$C$3390,$A510)&gt;0,1,0)</f>
        <v>0</v>
      </c>
      <c r="M510">
        <f>IF(COUNTIFS('United Data'!$A$3:$A$3390,M$1,'United Data'!$C$3:$C$3390,$A510)&gt;0,1,0)</f>
        <v>0</v>
      </c>
      <c r="N510">
        <f>IF(COUNTIFS('United Data'!$A$3:$A$3390,N$1,'United Data'!$C$3:$C$3390,$A510)&gt;0,1,0)</f>
        <v>0</v>
      </c>
      <c r="O510">
        <f>IF(COUNTIFS('United Data'!$A$3:$A$3390,O$1,'United Data'!$C$3:$C$3390,$A510)&gt;0,1,0)</f>
        <v>0</v>
      </c>
      <c r="P510">
        <f>IF(COUNTIFS('United Data'!$A$3:$A$3390,P$1,'United Data'!$C$3:$C$3390,$A510)&gt;0,1,0)</f>
        <v>0</v>
      </c>
      <c r="Q510">
        <f>IF(COUNTIFS('United Data'!$A$3:$A$3390,Q$1,'United Data'!$C$3:$C$3390,$A510)&gt;0,1,0)</f>
        <v>0</v>
      </c>
      <c r="R510">
        <f>IF(COUNTIFS('United Data'!$A$3:$A$3390,R$1,'United Data'!$C$3:$C$3390,$A510)&gt;0,1,0)</f>
        <v>0</v>
      </c>
      <c r="S510">
        <f t="shared" si="14"/>
        <v>1</v>
      </c>
      <c r="T510">
        <f t="shared" si="15"/>
        <v>1</v>
      </c>
    </row>
    <row r="511" spans="1:20" x14ac:dyDescent="0.2">
      <c r="A511" t="s">
        <v>623</v>
      </c>
      <c r="B511">
        <f>IF(COUNTIFS('United Data'!$A$3:$A$3390,B$1,'United Data'!$C$3:$C$3390,$A511)&gt;0,1,0)</f>
        <v>0</v>
      </c>
      <c r="C511">
        <f>IF(COUNTIFS('United Data'!$A$3:$A$3390,C$1,'United Data'!$C$3:$C$3390,$A511)&gt;0,1,0)</f>
        <v>0</v>
      </c>
      <c r="D511">
        <f>IF(COUNTIFS('United Data'!$A$3:$A$3390,D$1,'United Data'!$C$3:$C$3390,$A511)&gt;0,1,0)</f>
        <v>0</v>
      </c>
      <c r="E511">
        <f>IF(COUNTIFS('United Data'!$A$3:$A$3390,E$1,'United Data'!$C$3:$C$3390,$A511)&gt;0,1,0)</f>
        <v>1</v>
      </c>
      <c r="F511">
        <f>IF(COUNTIFS('United Data'!$A$3:$A$3390,F$1,'United Data'!$C$3:$C$3390,$A511)&gt;0,1,0)</f>
        <v>0</v>
      </c>
      <c r="G511">
        <f>IF(COUNTIFS('United Data'!$A$3:$A$3390,G$1,'United Data'!$C$3:$C$3390,$A511)&gt;0,1,0)</f>
        <v>0</v>
      </c>
      <c r="H511">
        <f>IF(COUNTIFS('United Data'!$A$3:$A$3390,H$1,'United Data'!$C$3:$C$3390,$A511)&gt;0,1,0)</f>
        <v>0</v>
      </c>
      <c r="I511">
        <f>IF(COUNTIFS('United Data'!$A$3:$A$3390,I$1,'United Data'!$C$3:$C$3390,$A511)&gt;0,1,0)</f>
        <v>0</v>
      </c>
      <c r="J511">
        <f>IF(COUNTIFS('United Data'!$A$3:$A$3390,J$1,'United Data'!$C$3:$C$3390,$A511)&gt;0,1,0)</f>
        <v>0</v>
      </c>
      <c r="K511">
        <f>IF(COUNTIFS('United Data'!$A$3:$A$3390,K$1,'United Data'!$C$3:$C$3390,$A511)&gt;0,1,0)</f>
        <v>0</v>
      </c>
      <c r="L511">
        <f>IF(COUNTIFS('United Data'!$A$3:$A$3390,L$1,'United Data'!$C$3:$C$3390,$A511)&gt;0,1,0)</f>
        <v>0</v>
      </c>
      <c r="M511">
        <f>IF(COUNTIFS('United Data'!$A$3:$A$3390,M$1,'United Data'!$C$3:$C$3390,$A511)&gt;0,1,0)</f>
        <v>0</v>
      </c>
      <c r="N511">
        <f>IF(COUNTIFS('United Data'!$A$3:$A$3390,N$1,'United Data'!$C$3:$C$3390,$A511)&gt;0,1,0)</f>
        <v>0</v>
      </c>
      <c r="O511">
        <f>IF(COUNTIFS('United Data'!$A$3:$A$3390,O$1,'United Data'!$C$3:$C$3390,$A511)&gt;0,1,0)</f>
        <v>0</v>
      </c>
      <c r="P511">
        <f>IF(COUNTIFS('United Data'!$A$3:$A$3390,P$1,'United Data'!$C$3:$C$3390,$A511)&gt;0,1,0)</f>
        <v>0</v>
      </c>
      <c r="Q511">
        <f>IF(COUNTIFS('United Data'!$A$3:$A$3390,Q$1,'United Data'!$C$3:$C$3390,$A511)&gt;0,1,0)</f>
        <v>0</v>
      </c>
      <c r="R511">
        <f>IF(COUNTIFS('United Data'!$A$3:$A$3390,R$1,'United Data'!$C$3:$C$3390,$A511)&gt;0,1,0)</f>
        <v>0</v>
      </c>
      <c r="S511">
        <f t="shared" si="14"/>
        <v>1</v>
      </c>
      <c r="T511">
        <f t="shared" si="15"/>
        <v>1</v>
      </c>
    </row>
    <row r="512" spans="1:20" x14ac:dyDescent="0.2">
      <c r="A512" t="s">
        <v>624</v>
      </c>
      <c r="B512">
        <f>IF(COUNTIFS('United Data'!$A$3:$A$3390,B$1,'United Data'!$C$3:$C$3390,$A512)&gt;0,1,0)</f>
        <v>0</v>
      </c>
      <c r="C512">
        <f>IF(COUNTIFS('United Data'!$A$3:$A$3390,C$1,'United Data'!$C$3:$C$3390,$A512)&gt;0,1,0)</f>
        <v>0</v>
      </c>
      <c r="D512">
        <f>IF(COUNTIFS('United Data'!$A$3:$A$3390,D$1,'United Data'!$C$3:$C$3390,$A512)&gt;0,1,0)</f>
        <v>0</v>
      </c>
      <c r="E512">
        <f>IF(COUNTIFS('United Data'!$A$3:$A$3390,E$1,'United Data'!$C$3:$C$3390,$A512)&gt;0,1,0)</f>
        <v>1</v>
      </c>
      <c r="F512">
        <f>IF(COUNTIFS('United Data'!$A$3:$A$3390,F$1,'United Data'!$C$3:$C$3390,$A512)&gt;0,1,0)</f>
        <v>0</v>
      </c>
      <c r="G512">
        <f>IF(COUNTIFS('United Data'!$A$3:$A$3390,G$1,'United Data'!$C$3:$C$3390,$A512)&gt;0,1,0)</f>
        <v>1</v>
      </c>
      <c r="H512">
        <f>IF(COUNTIFS('United Data'!$A$3:$A$3390,H$1,'United Data'!$C$3:$C$3390,$A512)&gt;0,1,0)</f>
        <v>0</v>
      </c>
      <c r="I512">
        <f>IF(COUNTIFS('United Data'!$A$3:$A$3390,I$1,'United Data'!$C$3:$C$3390,$A512)&gt;0,1,0)</f>
        <v>0</v>
      </c>
      <c r="J512">
        <f>IF(COUNTIFS('United Data'!$A$3:$A$3390,J$1,'United Data'!$C$3:$C$3390,$A512)&gt;0,1,0)</f>
        <v>1</v>
      </c>
      <c r="K512">
        <f>IF(COUNTIFS('United Data'!$A$3:$A$3390,K$1,'United Data'!$C$3:$C$3390,$A512)&gt;0,1,0)</f>
        <v>0</v>
      </c>
      <c r="L512">
        <f>IF(COUNTIFS('United Data'!$A$3:$A$3390,L$1,'United Data'!$C$3:$C$3390,$A512)&gt;0,1,0)</f>
        <v>0</v>
      </c>
      <c r="M512">
        <f>IF(COUNTIFS('United Data'!$A$3:$A$3390,M$1,'United Data'!$C$3:$C$3390,$A512)&gt;0,1,0)</f>
        <v>0</v>
      </c>
      <c r="N512">
        <f>IF(COUNTIFS('United Data'!$A$3:$A$3390,N$1,'United Data'!$C$3:$C$3390,$A512)&gt;0,1,0)</f>
        <v>0</v>
      </c>
      <c r="O512">
        <f>IF(COUNTIFS('United Data'!$A$3:$A$3390,O$1,'United Data'!$C$3:$C$3390,$A512)&gt;0,1,0)</f>
        <v>0</v>
      </c>
      <c r="P512">
        <f>IF(COUNTIFS('United Data'!$A$3:$A$3390,P$1,'United Data'!$C$3:$C$3390,$A512)&gt;0,1,0)</f>
        <v>0</v>
      </c>
      <c r="Q512">
        <f>IF(COUNTIFS('United Data'!$A$3:$A$3390,Q$1,'United Data'!$C$3:$C$3390,$A512)&gt;0,1,0)</f>
        <v>0</v>
      </c>
      <c r="R512">
        <f>IF(COUNTIFS('United Data'!$A$3:$A$3390,R$1,'United Data'!$C$3:$C$3390,$A512)&gt;0,1,0)</f>
        <v>0</v>
      </c>
      <c r="S512">
        <f t="shared" si="14"/>
        <v>3</v>
      </c>
      <c r="T512">
        <f t="shared" si="15"/>
        <v>3</v>
      </c>
    </row>
    <row r="513" spans="1:20" x14ac:dyDescent="0.2">
      <c r="A513" t="s">
        <v>625</v>
      </c>
      <c r="B513">
        <f>IF(COUNTIFS('United Data'!$A$3:$A$3390,B$1,'United Data'!$C$3:$C$3390,$A513)&gt;0,1,0)</f>
        <v>0</v>
      </c>
      <c r="C513">
        <f>IF(COUNTIFS('United Data'!$A$3:$A$3390,C$1,'United Data'!$C$3:$C$3390,$A513)&gt;0,1,0)</f>
        <v>0</v>
      </c>
      <c r="D513">
        <f>IF(COUNTIFS('United Data'!$A$3:$A$3390,D$1,'United Data'!$C$3:$C$3390,$A513)&gt;0,1,0)</f>
        <v>0</v>
      </c>
      <c r="E513">
        <f>IF(COUNTIFS('United Data'!$A$3:$A$3390,E$1,'United Data'!$C$3:$C$3390,$A513)&gt;0,1,0)</f>
        <v>1</v>
      </c>
      <c r="F513">
        <f>IF(COUNTIFS('United Data'!$A$3:$A$3390,F$1,'United Data'!$C$3:$C$3390,$A513)&gt;0,1,0)</f>
        <v>0</v>
      </c>
      <c r="G513">
        <f>IF(COUNTIFS('United Data'!$A$3:$A$3390,G$1,'United Data'!$C$3:$C$3390,$A513)&gt;0,1,0)</f>
        <v>1</v>
      </c>
      <c r="H513">
        <f>IF(COUNTIFS('United Data'!$A$3:$A$3390,H$1,'United Data'!$C$3:$C$3390,$A513)&gt;0,1,0)</f>
        <v>0</v>
      </c>
      <c r="I513">
        <f>IF(COUNTIFS('United Data'!$A$3:$A$3390,I$1,'United Data'!$C$3:$C$3390,$A513)&gt;0,1,0)</f>
        <v>0</v>
      </c>
      <c r="J513">
        <f>IF(COUNTIFS('United Data'!$A$3:$A$3390,J$1,'United Data'!$C$3:$C$3390,$A513)&gt;0,1,0)</f>
        <v>0</v>
      </c>
      <c r="K513">
        <f>IF(COUNTIFS('United Data'!$A$3:$A$3390,K$1,'United Data'!$C$3:$C$3390,$A513)&gt;0,1,0)</f>
        <v>0</v>
      </c>
      <c r="L513">
        <f>IF(COUNTIFS('United Data'!$A$3:$A$3390,L$1,'United Data'!$C$3:$C$3390,$A513)&gt;0,1,0)</f>
        <v>0</v>
      </c>
      <c r="M513">
        <f>IF(COUNTIFS('United Data'!$A$3:$A$3390,M$1,'United Data'!$C$3:$C$3390,$A513)&gt;0,1,0)</f>
        <v>0</v>
      </c>
      <c r="N513">
        <f>IF(COUNTIFS('United Data'!$A$3:$A$3390,N$1,'United Data'!$C$3:$C$3390,$A513)&gt;0,1,0)</f>
        <v>0</v>
      </c>
      <c r="O513">
        <f>IF(COUNTIFS('United Data'!$A$3:$A$3390,O$1,'United Data'!$C$3:$C$3390,$A513)&gt;0,1,0)</f>
        <v>0</v>
      </c>
      <c r="P513">
        <f>IF(COUNTIFS('United Data'!$A$3:$A$3390,P$1,'United Data'!$C$3:$C$3390,$A513)&gt;0,1,0)</f>
        <v>0</v>
      </c>
      <c r="Q513">
        <f>IF(COUNTIFS('United Data'!$A$3:$A$3390,Q$1,'United Data'!$C$3:$C$3390,$A513)&gt;0,1,0)</f>
        <v>0</v>
      </c>
      <c r="R513">
        <f>IF(COUNTIFS('United Data'!$A$3:$A$3390,R$1,'United Data'!$C$3:$C$3390,$A513)&gt;0,1,0)</f>
        <v>0</v>
      </c>
      <c r="S513">
        <f t="shared" si="14"/>
        <v>2</v>
      </c>
      <c r="T513">
        <f t="shared" si="15"/>
        <v>2</v>
      </c>
    </row>
    <row r="514" spans="1:20" x14ac:dyDescent="0.2">
      <c r="A514" t="s">
        <v>626</v>
      </c>
      <c r="B514">
        <f>IF(COUNTIFS('United Data'!$A$3:$A$3390,B$1,'United Data'!$C$3:$C$3390,$A514)&gt;0,1,0)</f>
        <v>0</v>
      </c>
      <c r="C514">
        <f>IF(COUNTIFS('United Data'!$A$3:$A$3390,C$1,'United Data'!$C$3:$C$3390,$A514)&gt;0,1,0)</f>
        <v>0</v>
      </c>
      <c r="D514">
        <f>IF(COUNTIFS('United Data'!$A$3:$A$3390,D$1,'United Data'!$C$3:$C$3390,$A514)&gt;0,1,0)</f>
        <v>0</v>
      </c>
      <c r="E514">
        <f>IF(COUNTIFS('United Data'!$A$3:$A$3390,E$1,'United Data'!$C$3:$C$3390,$A514)&gt;0,1,0)</f>
        <v>1</v>
      </c>
      <c r="F514">
        <f>IF(COUNTIFS('United Data'!$A$3:$A$3390,F$1,'United Data'!$C$3:$C$3390,$A514)&gt;0,1,0)</f>
        <v>0</v>
      </c>
      <c r="G514">
        <f>IF(COUNTIFS('United Data'!$A$3:$A$3390,G$1,'United Data'!$C$3:$C$3390,$A514)&gt;0,1,0)</f>
        <v>0</v>
      </c>
      <c r="H514">
        <f>IF(COUNTIFS('United Data'!$A$3:$A$3390,H$1,'United Data'!$C$3:$C$3390,$A514)&gt;0,1,0)</f>
        <v>0</v>
      </c>
      <c r="I514">
        <f>IF(COUNTIFS('United Data'!$A$3:$A$3390,I$1,'United Data'!$C$3:$C$3390,$A514)&gt;0,1,0)</f>
        <v>0</v>
      </c>
      <c r="J514">
        <f>IF(COUNTIFS('United Data'!$A$3:$A$3390,J$1,'United Data'!$C$3:$C$3390,$A514)&gt;0,1,0)</f>
        <v>0</v>
      </c>
      <c r="K514">
        <f>IF(COUNTIFS('United Data'!$A$3:$A$3390,K$1,'United Data'!$C$3:$C$3390,$A514)&gt;0,1,0)</f>
        <v>0</v>
      </c>
      <c r="L514">
        <f>IF(COUNTIFS('United Data'!$A$3:$A$3390,L$1,'United Data'!$C$3:$C$3390,$A514)&gt;0,1,0)</f>
        <v>0</v>
      </c>
      <c r="M514">
        <f>IF(COUNTIFS('United Data'!$A$3:$A$3390,M$1,'United Data'!$C$3:$C$3390,$A514)&gt;0,1,0)</f>
        <v>0</v>
      </c>
      <c r="N514">
        <f>IF(COUNTIFS('United Data'!$A$3:$A$3390,N$1,'United Data'!$C$3:$C$3390,$A514)&gt;0,1,0)</f>
        <v>0</v>
      </c>
      <c r="O514">
        <f>IF(COUNTIFS('United Data'!$A$3:$A$3390,O$1,'United Data'!$C$3:$C$3390,$A514)&gt;0,1,0)</f>
        <v>0</v>
      </c>
      <c r="P514">
        <f>IF(COUNTIFS('United Data'!$A$3:$A$3390,P$1,'United Data'!$C$3:$C$3390,$A514)&gt;0,1,0)</f>
        <v>0</v>
      </c>
      <c r="Q514">
        <f>IF(COUNTIFS('United Data'!$A$3:$A$3390,Q$1,'United Data'!$C$3:$C$3390,$A514)&gt;0,1,0)</f>
        <v>0</v>
      </c>
      <c r="R514">
        <f>IF(COUNTIFS('United Data'!$A$3:$A$3390,R$1,'United Data'!$C$3:$C$3390,$A514)&gt;0,1,0)</f>
        <v>0</v>
      </c>
      <c r="S514">
        <f t="shared" ref="S514:S577" si="16">SUM(B514:R514)</f>
        <v>1</v>
      </c>
      <c r="T514">
        <f t="shared" ref="T514:T577" si="17">B514+SUMPRODUCT(--(C514:R514&gt;B514:Q514))</f>
        <v>1</v>
      </c>
    </row>
    <row r="515" spans="1:20" x14ac:dyDescent="0.2">
      <c r="A515" t="s">
        <v>627</v>
      </c>
      <c r="B515">
        <f>IF(COUNTIFS('United Data'!$A$3:$A$3390,B$1,'United Data'!$C$3:$C$3390,$A515)&gt;0,1,0)</f>
        <v>0</v>
      </c>
      <c r="C515">
        <f>IF(COUNTIFS('United Data'!$A$3:$A$3390,C$1,'United Data'!$C$3:$C$3390,$A515)&gt;0,1,0)</f>
        <v>0</v>
      </c>
      <c r="D515">
        <f>IF(COUNTIFS('United Data'!$A$3:$A$3390,D$1,'United Data'!$C$3:$C$3390,$A515)&gt;0,1,0)</f>
        <v>0</v>
      </c>
      <c r="E515">
        <f>IF(COUNTIFS('United Data'!$A$3:$A$3390,E$1,'United Data'!$C$3:$C$3390,$A515)&gt;0,1,0)</f>
        <v>1</v>
      </c>
      <c r="F515">
        <f>IF(COUNTIFS('United Data'!$A$3:$A$3390,F$1,'United Data'!$C$3:$C$3390,$A515)&gt;0,1,0)</f>
        <v>1</v>
      </c>
      <c r="G515">
        <f>IF(COUNTIFS('United Data'!$A$3:$A$3390,G$1,'United Data'!$C$3:$C$3390,$A515)&gt;0,1,0)</f>
        <v>0</v>
      </c>
      <c r="H515">
        <f>IF(COUNTIFS('United Data'!$A$3:$A$3390,H$1,'United Data'!$C$3:$C$3390,$A515)&gt;0,1,0)</f>
        <v>0</v>
      </c>
      <c r="I515">
        <f>IF(COUNTIFS('United Data'!$A$3:$A$3390,I$1,'United Data'!$C$3:$C$3390,$A515)&gt;0,1,0)</f>
        <v>0</v>
      </c>
      <c r="J515">
        <f>IF(COUNTIFS('United Data'!$A$3:$A$3390,J$1,'United Data'!$C$3:$C$3390,$A515)&gt;0,1,0)</f>
        <v>0</v>
      </c>
      <c r="K515">
        <f>IF(COUNTIFS('United Data'!$A$3:$A$3390,K$1,'United Data'!$C$3:$C$3390,$A515)&gt;0,1,0)</f>
        <v>1</v>
      </c>
      <c r="L515">
        <f>IF(COUNTIFS('United Data'!$A$3:$A$3390,L$1,'United Data'!$C$3:$C$3390,$A515)&gt;0,1,0)</f>
        <v>0</v>
      </c>
      <c r="M515">
        <f>IF(COUNTIFS('United Data'!$A$3:$A$3390,M$1,'United Data'!$C$3:$C$3390,$A515)&gt;0,1,0)</f>
        <v>0</v>
      </c>
      <c r="N515">
        <f>IF(COUNTIFS('United Data'!$A$3:$A$3390,N$1,'United Data'!$C$3:$C$3390,$A515)&gt;0,1,0)</f>
        <v>0</v>
      </c>
      <c r="O515">
        <f>IF(COUNTIFS('United Data'!$A$3:$A$3390,O$1,'United Data'!$C$3:$C$3390,$A515)&gt;0,1,0)</f>
        <v>0</v>
      </c>
      <c r="P515">
        <f>IF(COUNTIFS('United Data'!$A$3:$A$3390,P$1,'United Data'!$C$3:$C$3390,$A515)&gt;0,1,0)</f>
        <v>1</v>
      </c>
      <c r="Q515">
        <f>IF(COUNTIFS('United Data'!$A$3:$A$3390,Q$1,'United Data'!$C$3:$C$3390,$A515)&gt;0,1,0)</f>
        <v>0</v>
      </c>
      <c r="R515">
        <f>IF(COUNTIFS('United Data'!$A$3:$A$3390,R$1,'United Data'!$C$3:$C$3390,$A515)&gt;0,1,0)</f>
        <v>0</v>
      </c>
      <c r="S515">
        <f t="shared" si="16"/>
        <v>4</v>
      </c>
      <c r="T515">
        <f t="shared" si="17"/>
        <v>3</v>
      </c>
    </row>
    <row r="516" spans="1:20" x14ac:dyDescent="0.2">
      <c r="A516" t="s">
        <v>628</v>
      </c>
      <c r="B516">
        <f>IF(COUNTIFS('United Data'!$A$3:$A$3390,B$1,'United Data'!$C$3:$C$3390,$A516)&gt;0,1,0)</f>
        <v>0</v>
      </c>
      <c r="C516">
        <f>IF(COUNTIFS('United Data'!$A$3:$A$3390,C$1,'United Data'!$C$3:$C$3390,$A516)&gt;0,1,0)</f>
        <v>0</v>
      </c>
      <c r="D516">
        <f>IF(COUNTIFS('United Data'!$A$3:$A$3390,D$1,'United Data'!$C$3:$C$3390,$A516)&gt;0,1,0)</f>
        <v>0</v>
      </c>
      <c r="E516">
        <f>IF(COUNTIFS('United Data'!$A$3:$A$3390,E$1,'United Data'!$C$3:$C$3390,$A516)&gt;0,1,0)</f>
        <v>1</v>
      </c>
      <c r="F516">
        <f>IF(COUNTIFS('United Data'!$A$3:$A$3390,F$1,'United Data'!$C$3:$C$3390,$A516)&gt;0,1,0)</f>
        <v>0</v>
      </c>
      <c r="G516">
        <f>IF(COUNTIFS('United Data'!$A$3:$A$3390,G$1,'United Data'!$C$3:$C$3390,$A516)&gt;0,1,0)</f>
        <v>0</v>
      </c>
      <c r="H516">
        <f>IF(COUNTIFS('United Data'!$A$3:$A$3390,H$1,'United Data'!$C$3:$C$3390,$A516)&gt;0,1,0)</f>
        <v>0</v>
      </c>
      <c r="I516">
        <f>IF(COUNTIFS('United Data'!$A$3:$A$3390,I$1,'United Data'!$C$3:$C$3390,$A516)&gt;0,1,0)</f>
        <v>0</v>
      </c>
      <c r="J516">
        <f>IF(COUNTIFS('United Data'!$A$3:$A$3390,J$1,'United Data'!$C$3:$C$3390,$A516)&gt;0,1,0)</f>
        <v>0</v>
      </c>
      <c r="K516">
        <f>IF(COUNTIFS('United Data'!$A$3:$A$3390,K$1,'United Data'!$C$3:$C$3390,$A516)&gt;0,1,0)</f>
        <v>0</v>
      </c>
      <c r="L516">
        <f>IF(COUNTIFS('United Data'!$A$3:$A$3390,L$1,'United Data'!$C$3:$C$3390,$A516)&gt;0,1,0)</f>
        <v>0</v>
      </c>
      <c r="M516">
        <f>IF(COUNTIFS('United Data'!$A$3:$A$3390,M$1,'United Data'!$C$3:$C$3390,$A516)&gt;0,1,0)</f>
        <v>0</v>
      </c>
      <c r="N516">
        <f>IF(COUNTIFS('United Data'!$A$3:$A$3390,N$1,'United Data'!$C$3:$C$3390,$A516)&gt;0,1,0)</f>
        <v>0</v>
      </c>
      <c r="O516">
        <f>IF(COUNTIFS('United Data'!$A$3:$A$3390,O$1,'United Data'!$C$3:$C$3390,$A516)&gt;0,1,0)</f>
        <v>0</v>
      </c>
      <c r="P516">
        <f>IF(COUNTIFS('United Data'!$A$3:$A$3390,P$1,'United Data'!$C$3:$C$3390,$A516)&gt;0,1,0)</f>
        <v>0</v>
      </c>
      <c r="Q516">
        <f>IF(COUNTIFS('United Data'!$A$3:$A$3390,Q$1,'United Data'!$C$3:$C$3390,$A516)&gt;0,1,0)</f>
        <v>0</v>
      </c>
      <c r="R516">
        <f>IF(COUNTIFS('United Data'!$A$3:$A$3390,R$1,'United Data'!$C$3:$C$3390,$A516)&gt;0,1,0)</f>
        <v>0</v>
      </c>
      <c r="S516">
        <f t="shared" si="16"/>
        <v>1</v>
      </c>
      <c r="T516">
        <f t="shared" si="17"/>
        <v>1</v>
      </c>
    </row>
    <row r="517" spans="1:20" x14ac:dyDescent="0.2">
      <c r="A517" t="s">
        <v>629</v>
      </c>
      <c r="B517">
        <f>IF(COUNTIFS('United Data'!$A$3:$A$3390,B$1,'United Data'!$C$3:$C$3390,$A517)&gt;0,1,0)</f>
        <v>0</v>
      </c>
      <c r="C517">
        <f>IF(COUNTIFS('United Data'!$A$3:$A$3390,C$1,'United Data'!$C$3:$C$3390,$A517)&gt;0,1,0)</f>
        <v>0</v>
      </c>
      <c r="D517">
        <f>IF(COUNTIFS('United Data'!$A$3:$A$3390,D$1,'United Data'!$C$3:$C$3390,$A517)&gt;0,1,0)</f>
        <v>0</v>
      </c>
      <c r="E517">
        <f>IF(COUNTIFS('United Data'!$A$3:$A$3390,E$1,'United Data'!$C$3:$C$3390,$A517)&gt;0,1,0)</f>
        <v>1</v>
      </c>
      <c r="F517">
        <f>IF(COUNTIFS('United Data'!$A$3:$A$3390,F$1,'United Data'!$C$3:$C$3390,$A517)&gt;0,1,0)</f>
        <v>0</v>
      </c>
      <c r="G517">
        <f>IF(COUNTIFS('United Data'!$A$3:$A$3390,G$1,'United Data'!$C$3:$C$3390,$A517)&gt;0,1,0)</f>
        <v>0</v>
      </c>
      <c r="H517">
        <f>IF(COUNTIFS('United Data'!$A$3:$A$3390,H$1,'United Data'!$C$3:$C$3390,$A517)&gt;0,1,0)</f>
        <v>0</v>
      </c>
      <c r="I517">
        <f>IF(COUNTIFS('United Data'!$A$3:$A$3390,I$1,'United Data'!$C$3:$C$3390,$A517)&gt;0,1,0)</f>
        <v>0</v>
      </c>
      <c r="J517">
        <f>IF(COUNTIFS('United Data'!$A$3:$A$3390,J$1,'United Data'!$C$3:$C$3390,$A517)&gt;0,1,0)</f>
        <v>0</v>
      </c>
      <c r="K517">
        <f>IF(COUNTIFS('United Data'!$A$3:$A$3390,K$1,'United Data'!$C$3:$C$3390,$A517)&gt;0,1,0)</f>
        <v>0</v>
      </c>
      <c r="L517">
        <f>IF(COUNTIFS('United Data'!$A$3:$A$3390,L$1,'United Data'!$C$3:$C$3390,$A517)&gt;0,1,0)</f>
        <v>0</v>
      </c>
      <c r="M517">
        <f>IF(COUNTIFS('United Data'!$A$3:$A$3390,M$1,'United Data'!$C$3:$C$3390,$A517)&gt;0,1,0)</f>
        <v>0</v>
      </c>
      <c r="N517">
        <f>IF(COUNTIFS('United Data'!$A$3:$A$3390,N$1,'United Data'!$C$3:$C$3390,$A517)&gt;0,1,0)</f>
        <v>0</v>
      </c>
      <c r="O517">
        <f>IF(COUNTIFS('United Data'!$A$3:$A$3390,O$1,'United Data'!$C$3:$C$3390,$A517)&gt;0,1,0)</f>
        <v>0</v>
      </c>
      <c r="P517">
        <f>IF(COUNTIFS('United Data'!$A$3:$A$3390,P$1,'United Data'!$C$3:$C$3390,$A517)&gt;0,1,0)</f>
        <v>0</v>
      </c>
      <c r="Q517">
        <f>IF(COUNTIFS('United Data'!$A$3:$A$3390,Q$1,'United Data'!$C$3:$C$3390,$A517)&gt;0,1,0)</f>
        <v>0</v>
      </c>
      <c r="R517">
        <f>IF(COUNTIFS('United Data'!$A$3:$A$3390,R$1,'United Data'!$C$3:$C$3390,$A517)&gt;0,1,0)</f>
        <v>0</v>
      </c>
      <c r="S517">
        <f t="shared" si="16"/>
        <v>1</v>
      </c>
      <c r="T517">
        <f t="shared" si="17"/>
        <v>1</v>
      </c>
    </row>
    <row r="518" spans="1:20" x14ac:dyDescent="0.2">
      <c r="A518" t="s">
        <v>630</v>
      </c>
      <c r="B518">
        <f>IF(COUNTIFS('United Data'!$A$3:$A$3390,B$1,'United Data'!$C$3:$C$3390,$A518)&gt;0,1,0)</f>
        <v>0</v>
      </c>
      <c r="C518">
        <f>IF(COUNTIFS('United Data'!$A$3:$A$3390,C$1,'United Data'!$C$3:$C$3390,$A518)&gt;0,1,0)</f>
        <v>0</v>
      </c>
      <c r="D518">
        <f>IF(COUNTIFS('United Data'!$A$3:$A$3390,D$1,'United Data'!$C$3:$C$3390,$A518)&gt;0,1,0)</f>
        <v>0</v>
      </c>
      <c r="E518">
        <f>IF(COUNTIFS('United Data'!$A$3:$A$3390,E$1,'United Data'!$C$3:$C$3390,$A518)&gt;0,1,0)</f>
        <v>1</v>
      </c>
      <c r="F518">
        <f>IF(COUNTIFS('United Data'!$A$3:$A$3390,F$1,'United Data'!$C$3:$C$3390,$A518)&gt;0,1,0)</f>
        <v>0</v>
      </c>
      <c r="G518">
        <f>IF(COUNTIFS('United Data'!$A$3:$A$3390,G$1,'United Data'!$C$3:$C$3390,$A518)&gt;0,1,0)</f>
        <v>0</v>
      </c>
      <c r="H518">
        <f>IF(COUNTIFS('United Data'!$A$3:$A$3390,H$1,'United Data'!$C$3:$C$3390,$A518)&gt;0,1,0)</f>
        <v>0</v>
      </c>
      <c r="I518">
        <f>IF(COUNTIFS('United Data'!$A$3:$A$3390,I$1,'United Data'!$C$3:$C$3390,$A518)&gt;0,1,0)</f>
        <v>0</v>
      </c>
      <c r="J518">
        <f>IF(COUNTIFS('United Data'!$A$3:$A$3390,J$1,'United Data'!$C$3:$C$3390,$A518)&gt;0,1,0)</f>
        <v>0</v>
      </c>
      <c r="K518">
        <f>IF(COUNTIFS('United Data'!$A$3:$A$3390,K$1,'United Data'!$C$3:$C$3390,$A518)&gt;0,1,0)</f>
        <v>0</v>
      </c>
      <c r="L518">
        <f>IF(COUNTIFS('United Data'!$A$3:$A$3390,L$1,'United Data'!$C$3:$C$3390,$A518)&gt;0,1,0)</f>
        <v>0</v>
      </c>
      <c r="M518">
        <f>IF(COUNTIFS('United Data'!$A$3:$A$3390,M$1,'United Data'!$C$3:$C$3390,$A518)&gt;0,1,0)</f>
        <v>0</v>
      </c>
      <c r="N518">
        <f>IF(COUNTIFS('United Data'!$A$3:$A$3390,N$1,'United Data'!$C$3:$C$3390,$A518)&gt;0,1,0)</f>
        <v>0</v>
      </c>
      <c r="O518">
        <f>IF(COUNTIFS('United Data'!$A$3:$A$3390,O$1,'United Data'!$C$3:$C$3390,$A518)&gt;0,1,0)</f>
        <v>0</v>
      </c>
      <c r="P518">
        <f>IF(COUNTIFS('United Data'!$A$3:$A$3390,P$1,'United Data'!$C$3:$C$3390,$A518)&gt;0,1,0)</f>
        <v>0</v>
      </c>
      <c r="Q518">
        <f>IF(COUNTIFS('United Data'!$A$3:$A$3390,Q$1,'United Data'!$C$3:$C$3390,$A518)&gt;0,1,0)</f>
        <v>0</v>
      </c>
      <c r="R518">
        <f>IF(COUNTIFS('United Data'!$A$3:$A$3390,R$1,'United Data'!$C$3:$C$3390,$A518)&gt;0,1,0)</f>
        <v>0</v>
      </c>
      <c r="S518">
        <f t="shared" si="16"/>
        <v>1</v>
      </c>
      <c r="T518">
        <f t="shared" si="17"/>
        <v>1</v>
      </c>
    </row>
    <row r="519" spans="1:20" x14ac:dyDescent="0.2">
      <c r="A519" t="s">
        <v>631</v>
      </c>
      <c r="B519">
        <f>IF(COUNTIFS('United Data'!$A$3:$A$3390,B$1,'United Data'!$C$3:$C$3390,$A519)&gt;0,1,0)</f>
        <v>0</v>
      </c>
      <c r="C519">
        <f>IF(COUNTIFS('United Data'!$A$3:$A$3390,C$1,'United Data'!$C$3:$C$3390,$A519)&gt;0,1,0)</f>
        <v>0</v>
      </c>
      <c r="D519">
        <f>IF(COUNTIFS('United Data'!$A$3:$A$3390,D$1,'United Data'!$C$3:$C$3390,$A519)&gt;0,1,0)</f>
        <v>0</v>
      </c>
      <c r="E519">
        <f>IF(COUNTIFS('United Data'!$A$3:$A$3390,E$1,'United Data'!$C$3:$C$3390,$A519)&gt;0,1,0)</f>
        <v>1</v>
      </c>
      <c r="F519">
        <f>IF(COUNTIFS('United Data'!$A$3:$A$3390,F$1,'United Data'!$C$3:$C$3390,$A519)&gt;0,1,0)</f>
        <v>0</v>
      </c>
      <c r="G519">
        <f>IF(COUNTIFS('United Data'!$A$3:$A$3390,G$1,'United Data'!$C$3:$C$3390,$A519)&gt;0,1,0)</f>
        <v>0</v>
      </c>
      <c r="H519">
        <f>IF(COUNTIFS('United Data'!$A$3:$A$3390,H$1,'United Data'!$C$3:$C$3390,$A519)&gt;0,1,0)</f>
        <v>0</v>
      </c>
      <c r="I519">
        <f>IF(COUNTIFS('United Data'!$A$3:$A$3390,I$1,'United Data'!$C$3:$C$3390,$A519)&gt;0,1,0)</f>
        <v>0</v>
      </c>
      <c r="J519">
        <f>IF(COUNTIFS('United Data'!$A$3:$A$3390,J$1,'United Data'!$C$3:$C$3390,$A519)&gt;0,1,0)</f>
        <v>1</v>
      </c>
      <c r="K519">
        <f>IF(COUNTIFS('United Data'!$A$3:$A$3390,K$1,'United Data'!$C$3:$C$3390,$A519)&gt;0,1,0)</f>
        <v>0</v>
      </c>
      <c r="L519">
        <f>IF(COUNTIFS('United Data'!$A$3:$A$3390,L$1,'United Data'!$C$3:$C$3390,$A519)&gt;0,1,0)</f>
        <v>0</v>
      </c>
      <c r="M519">
        <f>IF(COUNTIFS('United Data'!$A$3:$A$3390,M$1,'United Data'!$C$3:$C$3390,$A519)&gt;0,1,0)</f>
        <v>0</v>
      </c>
      <c r="N519">
        <f>IF(COUNTIFS('United Data'!$A$3:$A$3390,N$1,'United Data'!$C$3:$C$3390,$A519)&gt;0,1,0)</f>
        <v>0</v>
      </c>
      <c r="O519">
        <f>IF(COUNTIFS('United Data'!$A$3:$A$3390,O$1,'United Data'!$C$3:$C$3390,$A519)&gt;0,1,0)</f>
        <v>0</v>
      </c>
      <c r="P519">
        <f>IF(COUNTIFS('United Data'!$A$3:$A$3390,P$1,'United Data'!$C$3:$C$3390,$A519)&gt;0,1,0)</f>
        <v>0</v>
      </c>
      <c r="Q519">
        <f>IF(COUNTIFS('United Data'!$A$3:$A$3390,Q$1,'United Data'!$C$3:$C$3390,$A519)&gt;0,1,0)</f>
        <v>0</v>
      </c>
      <c r="R519">
        <f>IF(COUNTIFS('United Data'!$A$3:$A$3390,R$1,'United Data'!$C$3:$C$3390,$A519)&gt;0,1,0)</f>
        <v>0</v>
      </c>
      <c r="S519">
        <f t="shared" si="16"/>
        <v>2</v>
      </c>
      <c r="T519">
        <f t="shared" si="17"/>
        <v>2</v>
      </c>
    </row>
    <row r="520" spans="1:20" x14ac:dyDescent="0.2">
      <c r="A520" t="s">
        <v>632</v>
      </c>
      <c r="B520">
        <f>IF(COUNTIFS('United Data'!$A$3:$A$3390,B$1,'United Data'!$C$3:$C$3390,$A520)&gt;0,1,0)</f>
        <v>0</v>
      </c>
      <c r="C520">
        <f>IF(COUNTIFS('United Data'!$A$3:$A$3390,C$1,'United Data'!$C$3:$C$3390,$A520)&gt;0,1,0)</f>
        <v>0</v>
      </c>
      <c r="D520">
        <f>IF(COUNTIFS('United Data'!$A$3:$A$3390,D$1,'United Data'!$C$3:$C$3390,$A520)&gt;0,1,0)</f>
        <v>0</v>
      </c>
      <c r="E520">
        <f>IF(COUNTIFS('United Data'!$A$3:$A$3390,E$1,'United Data'!$C$3:$C$3390,$A520)&gt;0,1,0)</f>
        <v>1</v>
      </c>
      <c r="F520">
        <f>IF(COUNTIFS('United Data'!$A$3:$A$3390,F$1,'United Data'!$C$3:$C$3390,$A520)&gt;0,1,0)</f>
        <v>0</v>
      </c>
      <c r="G520">
        <f>IF(COUNTIFS('United Data'!$A$3:$A$3390,G$1,'United Data'!$C$3:$C$3390,$A520)&gt;0,1,0)</f>
        <v>0</v>
      </c>
      <c r="H520">
        <f>IF(COUNTIFS('United Data'!$A$3:$A$3390,H$1,'United Data'!$C$3:$C$3390,$A520)&gt;0,1,0)</f>
        <v>0</v>
      </c>
      <c r="I520">
        <f>IF(COUNTIFS('United Data'!$A$3:$A$3390,I$1,'United Data'!$C$3:$C$3390,$A520)&gt;0,1,0)</f>
        <v>0</v>
      </c>
      <c r="J520">
        <f>IF(COUNTIFS('United Data'!$A$3:$A$3390,J$1,'United Data'!$C$3:$C$3390,$A520)&gt;0,1,0)</f>
        <v>0</v>
      </c>
      <c r="K520">
        <f>IF(COUNTIFS('United Data'!$A$3:$A$3390,K$1,'United Data'!$C$3:$C$3390,$A520)&gt;0,1,0)</f>
        <v>0</v>
      </c>
      <c r="L520">
        <f>IF(COUNTIFS('United Data'!$A$3:$A$3390,L$1,'United Data'!$C$3:$C$3390,$A520)&gt;0,1,0)</f>
        <v>0</v>
      </c>
      <c r="M520">
        <f>IF(COUNTIFS('United Data'!$A$3:$A$3390,M$1,'United Data'!$C$3:$C$3390,$A520)&gt;0,1,0)</f>
        <v>0</v>
      </c>
      <c r="N520">
        <f>IF(COUNTIFS('United Data'!$A$3:$A$3390,N$1,'United Data'!$C$3:$C$3390,$A520)&gt;0,1,0)</f>
        <v>0</v>
      </c>
      <c r="O520">
        <f>IF(COUNTIFS('United Data'!$A$3:$A$3390,O$1,'United Data'!$C$3:$C$3390,$A520)&gt;0,1,0)</f>
        <v>0</v>
      </c>
      <c r="P520">
        <f>IF(COUNTIFS('United Data'!$A$3:$A$3390,P$1,'United Data'!$C$3:$C$3390,$A520)&gt;0,1,0)</f>
        <v>0</v>
      </c>
      <c r="Q520">
        <f>IF(COUNTIFS('United Data'!$A$3:$A$3390,Q$1,'United Data'!$C$3:$C$3390,$A520)&gt;0,1,0)</f>
        <v>0</v>
      </c>
      <c r="R520">
        <f>IF(COUNTIFS('United Data'!$A$3:$A$3390,R$1,'United Data'!$C$3:$C$3390,$A520)&gt;0,1,0)</f>
        <v>0</v>
      </c>
      <c r="S520">
        <f t="shared" si="16"/>
        <v>1</v>
      </c>
      <c r="T520">
        <f t="shared" si="17"/>
        <v>1</v>
      </c>
    </row>
    <row r="521" spans="1:20" x14ac:dyDescent="0.2">
      <c r="A521" t="s">
        <v>633</v>
      </c>
      <c r="B521">
        <f>IF(COUNTIFS('United Data'!$A$3:$A$3390,B$1,'United Data'!$C$3:$C$3390,$A521)&gt;0,1,0)</f>
        <v>0</v>
      </c>
      <c r="C521">
        <f>IF(COUNTIFS('United Data'!$A$3:$A$3390,C$1,'United Data'!$C$3:$C$3390,$A521)&gt;0,1,0)</f>
        <v>0</v>
      </c>
      <c r="D521">
        <f>IF(COUNTIFS('United Data'!$A$3:$A$3390,D$1,'United Data'!$C$3:$C$3390,$A521)&gt;0,1,0)</f>
        <v>0</v>
      </c>
      <c r="E521">
        <f>IF(COUNTIFS('United Data'!$A$3:$A$3390,E$1,'United Data'!$C$3:$C$3390,$A521)&gt;0,1,0)</f>
        <v>1</v>
      </c>
      <c r="F521">
        <f>IF(COUNTIFS('United Data'!$A$3:$A$3390,F$1,'United Data'!$C$3:$C$3390,$A521)&gt;0,1,0)</f>
        <v>0</v>
      </c>
      <c r="G521">
        <f>IF(COUNTIFS('United Data'!$A$3:$A$3390,G$1,'United Data'!$C$3:$C$3390,$A521)&gt;0,1,0)</f>
        <v>0</v>
      </c>
      <c r="H521">
        <f>IF(COUNTIFS('United Data'!$A$3:$A$3390,H$1,'United Data'!$C$3:$C$3390,$A521)&gt;0,1,0)</f>
        <v>0</v>
      </c>
      <c r="I521">
        <f>IF(COUNTIFS('United Data'!$A$3:$A$3390,I$1,'United Data'!$C$3:$C$3390,$A521)&gt;0,1,0)</f>
        <v>0</v>
      </c>
      <c r="J521">
        <f>IF(COUNTIFS('United Data'!$A$3:$A$3390,J$1,'United Data'!$C$3:$C$3390,$A521)&gt;0,1,0)</f>
        <v>0</v>
      </c>
      <c r="K521">
        <f>IF(COUNTIFS('United Data'!$A$3:$A$3390,K$1,'United Data'!$C$3:$C$3390,$A521)&gt;0,1,0)</f>
        <v>0</v>
      </c>
      <c r="L521">
        <f>IF(COUNTIFS('United Data'!$A$3:$A$3390,L$1,'United Data'!$C$3:$C$3390,$A521)&gt;0,1,0)</f>
        <v>0</v>
      </c>
      <c r="M521">
        <f>IF(COUNTIFS('United Data'!$A$3:$A$3390,M$1,'United Data'!$C$3:$C$3390,$A521)&gt;0,1,0)</f>
        <v>0</v>
      </c>
      <c r="N521">
        <f>IF(COUNTIFS('United Data'!$A$3:$A$3390,N$1,'United Data'!$C$3:$C$3390,$A521)&gt;0,1,0)</f>
        <v>0</v>
      </c>
      <c r="O521">
        <f>IF(COUNTIFS('United Data'!$A$3:$A$3390,O$1,'United Data'!$C$3:$C$3390,$A521)&gt;0,1,0)</f>
        <v>0</v>
      </c>
      <c r="P521">
        <f>IF(COUNTIFS('United Data'!$A$3:$A$3390,P$1,'United Data'!$C$3:$C$3390,$A521)&gt;0,1,0)</f>
        <v>0</v>
      </c>
      <c r="Q521">
        <f>IF(COUNTIFS('United Data'!$A$3:$A$3390,Q$1,'United Data'!$C$3:$C$3390,$A521)&gt;0,1,0)</f>
        <v>0</v>
      </c>
      <c r="R521">
        <f>IF(COUNTIFS('United Data'!$A$3:$A$3390,R$1,'United Data'!$C$3:$C$3390,$A521)&gt;0,1,0)</f>
        <v>0</v>
      </c>
      <c r="S521">
        <f t="shared" si="16"/>
        <v>1</v>
      </c>
      <c r="T521">
        <f t="shared" si="17"/>
        <v>1</v>
      </c>
    </row>
    <row r="522" spans="1:20" x14ac:dyDescent="0.2">
      <c r="A522" t="s">
        <v>634</v>
      </c>
      <c r="B522">
        <f>IF(COUNTIFS('United Data'!$A$3:$A$3390,B$1,'United Data'!$C$3:$C$3390,$A522)&gt;0,1,0)</f>
        <v>0</v>
      </c>
      <c r="C522">
        <f>IF(COUNTIFS('United Data'!$A$3:$A$3390,C$1,'United Data'!$C$3:$C$3390,$A522)&gt;0,1,0)</f>
        <v>0</v>
      </c>
      <c r="D522">
        <f>IF(COUNTIFS('United Data'!$A$3:$A$3390,D$1,'United Data'!$C$3:$C$3390,$A522)&gt;0,1,0)</f>
        <v>0</v>
      </c>
      <c r="E522">
        <f>IF(COUNTIFS('United Data'!$A$3:$A$3390,E$1,'United Data'!$C$3:$C$3390,$A522)&gt;0,1,0)</f>
        <v>1</v>
      </c>
      <c r="F522">
        <f>IF(COUNTIFS('United Data'!$A$3:$A$3390,F$1,'United Data'!$C$3:$C$3390,$A522)&gt;0,1,0)</f>
        <v>0</v>
      </c>
      <c r="G522">
        <f>IF(COUNTIFS('United Data'!$A$3:$A$3390,G$1,'United Data'!$C$3:$C$3390,$A522)&gt;0,1,0)</f>
        <v>0</v>
      </c>
      <c r="H522">
        <f>IF(COUNTIFS('United Data'!$A$3:$A$3390,H$1,'United Data'!$C$3:$C$3390,$A522)&gt;0,1,0)</f>
        <v>0</v>
      </c>
      <c r="I522">
        <f>IF(COUNTIFS('United Data'!$A$3:$A$3390,I$1,'United Data'!$C$3:$C$3390,$A522)&gt;0,1,0)</f>
        <v>0</v>
      </c>
      <c r="J522">
        <f>IF(COUNTIFS('United Data'!$A$3:$A$3390,J$1,'United Data'!$C$3:$C$3390,$A522)&gt;0,1,0)</f>
        <v>0</v>
      </c>
      <c r="K522">
        <f>IF(COUNTIFS('United Data'!$A$3:$A$3390,K$1,'United Data'!$C$3:$C$3390,$A522)&gt;0,1,0)</f>
        <v>0</v>
      </c>
      <c r="L522">
        <f>IF(COUNTIFS('United Data'!$A$3:$A$3390,L$1,'United Data'!$C$3:$C$3390,$A522)&gt;0,1,0)</f>
        <v>0</v>
      </c>
      <c r="M522">
        <f>IF(COUNTIFS('United Data'!$A$3:$A$3390,M$1,'United Data'!$C$3:$C$3390,$A522)&gt;0,1,0)</f>
        <v>0</v>
      </c>
      <c r="N522">
        <f>IF(COUNTIFS('United Data'!$A$3:$A$3390,N$1,'United Data'!$C$3:$C$3390,$A522)&gt;0,1,0)</f>
        <v>0</v>
      </c>
      <c r="O522">
        <f>IF(COUNTIFS('United Data'!$A$3:$A$3390,O$1,'United Data'!$C$3:$C$3390,$A522)&gt;0,1,0)</f>
        <v>0</v>
      </c>
      <c r="P522">
        <f>IF(COUNTIFS('United Data'!$A$3:$A$3390,P$1,'United Data'!$C$3:$C$3390,$A522)&gt;0,1,0)</f>
        <v>0</v>
      </c>
      <c r="Q522">
        <f>IF(COUNTIFS('United Data'!$A$3:$A$3390,Q$1,'United Data'!$C$3:$C$3390,$A522)&gt;0,1,0)</f>
        <v>0</v>
      </c>
      <c r="R522">
        <f>IF(COUNTIFS('United Data'!$A$3:$A$3390,R$1,'United Data'!$C$3:$C$3390,$A522)&gt;0,1,0)</f>
        <v>0</v>
      </c>
      <c r="S522">
        <f t="shared" si="16"/>
        <v>1</v>
      </c>
      <c r="T522">
        <f t="shared" si="17"/>
        <v>1</v>
      </c>
    </row>
    <row r="523" spans="1:20" x14ac:dyDescent="0.2">
      <c r="A523" t="s">
        <v>635</v>
      </c>
      <c r="B523">
        <f>IF(COUNTIFS('United Data'!$A$3:$A$3390,B$1,'United Data'!$C$3:$C$3390,$A523)&gt;0,1,0)</f>
        <v>0</v>
      </c>
      <c r="C523">
        <f>IF(COUNTIFS('United Data'!$A$3:$A$3390,C$1,'United Data'!$C$3:$C$3390,$A523)&gt;0,1,0)</f>
        <v>0</v>
      </c>
      <c r="D523">
        <f>IF(COUNTIFS('United Data'!$A$3:$A$3390,D$1,'United Data'!$C$3:$C$3390,$A523)&gt;0,1,0)</f>
        <v>0</v>
      </c>
      <c r="E523">
        <f>IF(COUNTIFS('United Data'!$A$3:$A$3390,E$1,'United Data'!$C$3:$C$3390,$A523)&gt;0,1,0)</f>
        <v>1</v>
      </c>
      <c r="F523">
        <f>IF(COUNTIFS('United Data'!$A$3:$A$3390,F$1,'United Data'!$C$3:$C$3390,$A523)&gt;0,1,0)</f>
        <v>0</v>
      </c>
      <c r="G523">
        <f>IF(COUNTIFS('United Data'!$A$3:$A$3390,G$1,'United Data'!$C$3:$C$3390,$A523)&gt;0,1,0)</f>
        <v>0</v>
      </c>
      <c r="H523">
        <f>IF(COUNTIFS('United Data'!$A$3:$A$3390,H$1,'United Data'!$C$3:$C$3390,$A523)&gt;0,1,0)</f>
        <v>0</v>
      </c>
      <c r="I523">
        <f>IF(COUNTIFS('United Data'!$A$3:$A$3390,I$1,'United Data'!$C$3:$C$3390,$A523)&gt;0,1,0)</f>
        <v>0</v>
      </c>
      <c r="J523">
        <f>IF(COUNTIFS('United Data'!$A$3:$A$3390,J$1,'United Data'!$C$3:$C$3390,$A523)&gt;0,1,0)</f>
        <v>0</v>
      </c>
      <c r="K523">
        <f>IF(COUNTIFS('United Data'!$A$3:$A$3390,K$1,'United Data'!$C$3:$C$3390,$A523)&gt;0,1,0)</f>
        <v>0</v>
      </c>
      <c r="L523">
        <f>IF(COUNTIFS('United Data'!$A$3:$A$3390,L$1,'United Data'!$C$3:$C$3390,$A523)&gt;0,1,0)</f>
        <v>0</v>
      </c>
      <c r="M523">
        <f>IF(COUNTIFS('United Data'!$A$3:$A$3390,M$1,'United Data'!$C$3:$C$3390,$A523)&gt;0,1,0)</f>
        <v>0</v>
      </c>
      <c r="N523">
        <f>IF(COUNTIFS('United Data'!$A$3:$A$3390,N$1,'United Data'!$C$3:$C$3390,$A523)&gt;0,1,0)</f>
        <v>0</v>
      </c>
      <c r="O523">
        <f>IF(COUNTIFS('United Data'!$A$3:$A$3390,O$1,'United Data'!$C$3:$C$3390,$A523)&gt;0,1,0)</f>
        <v>0</v>
      </c>
      <c r="P523">
        <f>IF(COUNTIFS('United Data'!$A$3:$A$3390,P$1,'United Data'!$C$3:$C$3390,$A523)&gt;0,1,0)</f>
        <v>0</v>
      </c>
      <c r="Q523">
        <f>IF(COUNTIFS('United Data'!$A$3:$A$3390,Q$1,'United Data'!$C$3:$C$3390,$A523)&gt;0,1,0)</f>
        <v>0</v>
      </c>
      <c r="R523">
        <f>IF(COUNTIFS('United Data'!$A$3:$A$3390,R$1,'United Data'!$C$3:$C$3390,$A523)&gt;0,1,0)</f>
        <v>0</v>
      </c>
      <c r="S523">
        <f t="shared" si="16"/>
        <v>1</v>
      </c>
      <c r="T523">
        <f t="shared" si="17"/>
        <v>1</v>
      </c>
    </row>
    <row r="524" spans="1:20" x14ac:dyDescent="0.2">
      <c r="A524" t="s">
        <v>636</v>
      </c>
      <c r="B524">
        <f>IF(COUNTIFS('United Data'!$A$3:$A$3390,B$1,'United Data'!$C$3:$C$3390,$A524)&gt;0,1,0)</f>
        <v>0</v>
      </c>
      <c r="C524">
        <f>IF(COUNTIFS('United Data'!$A$3:$A$3390,C$1,'United Data'!$C$3:$C$3390,$A524)&gt;0,1,0)</f>
        <v>0</v>
      </c>
      <c r="D524">
        <f>IF(COUNTIFS('United Data'!$A$3:$A$3390,D$1,'United Data'!$C$3:$C$3390,$A524)&gt;0,1,0)</f>
        <v>0</v>
      </c>
      <c r="E524">
        <f>IF(COUNTIFS('United Data'!$A$3:$A$3390,E$1,'United Data'!$C$3:$C$3390,$A524)&gt;0,1,0)</f>
        <v>0</v>
      </c>
      <c r="F524">
        <f>IF(COUNTIFS('United Data'!$A$3:$A$3390,F$1,'United Data'!$C$3:$C$3390,$A524)&gt;0,1,0)</f>
        <v>1</v>
      </c>
      <c r="G524">
        <f>IF(COUNTIFS('United Data'!$A$3:$A$3390,G$1,'United Data'!$C$3:$C$3390,$A524)&gt;0,1,0)</f>
        <v>0</v>
      </c>
      <c r="H524">
        <f>IF(COUNTIFS('United Data'!$A$3:$A$3390,H$1,'United Data'!$C$3:$C$3390,$A524)&gt;0,1,0)</f>
        <v>0</v>
      </c>
      <c r="I524">
        <f>IF(COUNTIFS('United Data'!$A$3:$A$3390,I$1,'United Data'!$C$3:$C$3390,$A524)&gt;0,1,0)</f>
        <v>0</v>
      </c>
      <c r="J524">
        <f>IF(COUNTIFS('United Data'!$A$3:$A$3390,J$1,'United Data'!$C$3:$C$3390,$A524)&gt;0,1,0)</f>
        <v>0</v>
      </c>
      <c r="K524">
        <f>IF(COUNTIFS('United Data'!$A$3:$A$3390,K$1,'United Data'!$C$3:$C$3390,$A524)&gt;0,1,0)</f>
        <v>0</v>
      </c>
      <c r="L524">
        <f>IF(COUNTIFS('United Data'!$A$3:$A$3390,L$1,'United Data'!$C$3:$C$3390,$A524)&gt;0,1,0)</f>
        <v>0</v>
      </c>
      <c r="M524">
        <f>IF(COUNTIFS('United Data'!$A$3:$A$3390,M$1,'United Data'!$C$3:$C$3390,$A524)&gt;0,1,0)</f>
        <v>0</v>
      </c>
      <c r="N524">
        <f>IF(COUNTIFS('United Data'!$A$3:$A$3390,N$1,'United Data'!$C$3:$C$3390,$A524)&gt;0,1,0)</f>
        <v>0</v>
      </c>
      <c r="O524">
        <f>IF(COUNTIFS('United Data'!$A$3:$A$3390,O$1,'United Data'!$C$3:$C$3390,$A524)&gt;0,1,0)</f>
        <v>0</v>
      </c>
      <c r="P524">
        <f>IF(COUNTIFS('United Data'!$A$3:$A$3390,P$1,'United Data'!$C$3:$C$3390,$A524)&gt;0,1,0)</f>
        <v>0</v>
      </c>
      <c r="Q524">
        <f>IF(COUNTIFS('United Data'!$A$3:$A$3390,Q$1,'United Data'!$C$3:$C$3390,$A524)&gt;0,1,0)</f>
        <v>0</v>
      </c>
      <c r="R524">
        <f>IF(COUNTIFS('United Data'!$A$3:$A$3390,R$1,'United Data'!$C$3:$C$3390,$A524)&gt;0,1,0)</f>
        <v>0</v>
      </c>
      <c r="S524">
        <f t="shared" si="16"/>
        <v>1</v>
      </c>
      <c r="T524">
        <f t="shared" si="17"/>
        <v>1</v>
      </c>
    </row>
    <row r="525" spans="1:20" x14ac:dyDescent="0.2">
      <c r="A525" t="s">
        <v>639</v>
      </c>
      <c r="B525">
        <f>IF(COUNTIFS('United Data'!$A$3:$A$3390,B$1,'United Data'!$C$3:$C$3390,$A525)&gt;0,1,0)</f>
        <v>0</v>
      </c>
      <c r="C525">
        <f>IF(COUNTIFS('United Data'!$A$3:$A$3390,C$1,'United Data'!$C$3:$C$3390,$A525)&gt;0,1,0)</f>
        <v>0</v>
      </c>
      <c r="D525">
        <f>IF(COUNTIFS('United Data'!$A$3:$A$3390,D$1,'United Data'!$C$3:$C$3390,$A525)&gt;0,1,0)</f>
        <v>0</v>
      </c>
      <c r="E525">
        <f>IF(COUNTIFS('United Data'!$A$3:$A$3390,E$1,'United Data'!$C$3:$C$3390,$A525)&gt;0,1,0)</f>
        <v>0</v>
      </c>
      <c r="F525">
        <f>IF(COUNTIFS('United Data'!$A$3:$A$3390,F$1,'United Data'!$C$3:$C$3390,$A525)&gt;0,1,0)</f>
        <v>1</v>
      </c>
      <c r="G525">
        <f>IF(COUNTIFS('United Data'!$A$3:$A$3390,G$1,'United Data'!$C$3:$C$3390,$A525)&gt;0,1,0)</f>
        <v>0</v>
      </c>
      <c r="H525">
        <f>IF(COUNTIFS('United Data'!$A$3:$A$3390,H$1,'United Data'!$C$3:$C$3390,$A525)&gt;0,1,0)</f>
        <v>0</v>
      </c>
      <c r="I525">
        <f>IF(COUNTIFS('United Data'!$A$3:$A$3390,I$1,'United Data'!$C$3:$C$3390,$A525)&gt;0,1,0)</f>
        <v>0</v>
      </c>
      <c r="J525">
        <f>IF(COUNTIFS('United Data'!$A$3:$A$3390,J$1,'United Data'!$C$3:$C$3390,$A525)&gt;0,1,0)</f>
        <v>0</v>
      </c>
      <c r="K525">
        <f>IF(COUNTIFS('United Data'!$A$3:$A$3390,K$1,'United Data'!$C$3:$C$3390,$A525)&gt;0,1,0)</f>
        <v>0</v>
      </c>
      <c r="L525">
        <f>IF(COUNTIFS('United Data'!$A$3:$A$3390,L$1,'United Data'!$C$3:$C$3390,$A525)&gt;0,1,0)</f>
        <v>0</v>
      </c>
      <c r="M525">
        <f>IF(COUNTIFS('United Data'!$A$3:$A$3390,M$1,'United Data'!$C$3:$C$3390,$A525)&gt;0,1,0)</f>
        <v>0</v>
      </c>
      <c r="N525">
        <f>IF(COUNTIFS('United Data'!$A$3:$A$3390,N$1,'United Data'!$C$3:$C$3390,$A525)&gt;0,1,0)</f>
        <v>0</v>
      </c>
      <c r="O525">
        <f>IF(COUNTIFS('United Data'!$A$3:$A$3390,O$1,'United Data'!$C$3:$C$3390,$A525)&gt;0,1,0)</f>
        <v>0</v>
      </c>
      <c r="P525">
        <f>IF(COUNTIFS('United Data'!$A$3:$A$3390,P$1,'United Data'!$C$3:$C$3390,$A525)&gt;0,1,0)</f>
        <v>0</v>
      </c>
      <c r="Q525">
        <f>IF(COUNTIFS('United Data'!$A$3:$A$3390,Q$1,'United Data'!$C$3:$C$3390,$A525)&gt;0,1,0)</f>
        <v>0</v>
      </c>
      <c r="R525">
        <f>IF(COUNTIFS('United Data'!$A$3:$A$3390,R$1,'United Data'!$C$3:$C$3390,$A525)&gt;0,1,0)</f>
        <v>0</v>
      </c>
      <c r="S525">
        <f t="shared" si="16"/>
        <v>1</v>
      </c>
      <c r="T525">
        <f t="shared" si="17"/>
        <v>1</v>
      </c>
    </row>
    <row r="526" spans="1:20" x14ac:dyDescent="0.2">
      <c r="A526" t="s">
        <v>640</v>
      </c>
      <c r="B526">
        <f>IF(COUNTIFS('United Data'!$A$3:$A$3390,B$1,'United Data'!$C$3:$C$3390,$A526)&gt;0,1,0)</f>
        <v>0</v>
      </c>
      <c r="C526">
        <f>IF(COUNTIFS('United Data'!$A$3:$A$3390,C$1,'United Data'!$C$3:$C$3390,$A526)&gt;0,1,0)</f>
        <v>0</v>
      </c>
      <c r="D526">
        <f>IF(COUNTIFS('United Data'!$A$3:$A$3390,D$1,'United Data'!$C$3:$C$3390,$A526)&gt;0,1,0)</f>
        <v>0</v>
      </c>
      <c r="E526">
        <f>IF(COUNTIFS('United Data'!$A$3:$A$3390,E$1,'United Data'!$C$3:$C$3390,$A526)&gt;0,1,0)</f>
        <v>0</v>
      </c>
      <c r="F526">
        <f>IF(COUNTIFS('United Data'!$A$3:$A$3390,F$1,'United Data'!$C$3:$C$3390,$A526)&gt;0,1,0)</f>
        <v>1</v>
      </c>
      <c r="G526">
        <f>IF(COUNTIFS('United Data'!$A$3:$A$3390,G$1,'United Data'!$C$3:$C$3390,$A526)&gt;0,1,0)</f>
        <v>0</v>
      </c>
      <c r="H526">
        <f>IF(COUNTIFS('United Data'!$A$3:$A$3390,H$1,'United Data'!$C$3:$C$3390,$A526)&gt;0,1,0)</f>
        <v>0</v>
      </c>
      <c r="I526">
        <f>IF(COUNTIFS('United Data'!$A$3:$A$3390,I$1,'United Data'!$C$3:$C$3390,$A526)&gt;0,1,0)</f>
        <v>0</v>
      </c>
      <c r="J526">
        <f>IF(COUNTIFS('United Data'!$A$3:$A$3390,J$1,'United Data'!$C$3:$C$3390,$A526)&gt;0,1,0)</f>
        <v>0</v>
      </c>
      <c r="K526">
        <f>IF(COUNTIFS('United Data'!$A$3:$A$3390,K$1,'United Data'!$C$3:$C$3390,$A526)&gt;0,1,0)</f>
        <v>1</v>
      </c>
      <c r="L526">
        <f>IF(COUNTIFS('United Data'!$A$3:$A$3390,L$1,'United Data'!$C$3:$C$3390,$A526)&gt;0,1,0)</f>
        <v>0</v>
      </c>
      <c r="M526">
        <f>IF(COUNTIFS('United Data'!$A$3:$A$3390,M$1,'United Data'!$C$3:$C$3390,$A526)&gt;0,1,0)</f>
        <v>0</v>
      </c>
      <c r="N526">
        <f>IF(COUNTIFS('United Data'!$A$3:$A$3390,N$1,'United Data'!$C$3:$C$3390,$A526)&gt;0,1,0)</f>
        <v>0</v>
      </c>
      <c r="O526">
        <f>IF(COUNTIFS('United Data'!$A$3:$A$3390,O$1,'United Data'!$C$3:$C$3390,$A526)&gt;0,1,0)</f>
        <v>0</v>
      </c>
      <c r="P526">
        <f>IF(COUNTIFS('United Data'!$A$3:$A$3390,P$1,'United Data'!$C$3:$C$3390,$A526)&gt;0,1,0)</f>
        <v>0</v>
      </c>
      <c r="Q526">
        <f>IF(COUNTIFS('United Data'!$A$3:$A$3390,Q$1,'United Data'!$C$3:$C$3390,$A526)&gt;0,1,0)</f>
        <v>0</v>
      </c>
      <c r="R526">
        <f>IF(COUNTIFS('United Data'!$A$3:$A$3390,R$1,'United Data'!$C$3:$C$3390,$A526)&gt;0,1,0)</f>
        <v>0</v>
      </c>
      <c r="S526">
        <f t="shared" si="16"/>
        <v>2</v>
      </c>
      <c r="T526">
        <f t="shared" si="17"/>
        <v>2</v>
      </c>
    </row>
    <row r="527" spans="1:20" x14ac:dyDescent="0.2">
      <c r="A527" t="s">
        <v>642</v>
      </c>
      <c r="B527">
        <f>IF(COUNTIFS('United Data'!$A$3:$A$3390,B$1,'United Data'!$C$3:$C$3390,$A527)&gt;0,1,0)</f>
        <v>0</v>
      </c>
      <c r="C527">
        <f>IF(COUNTIFS('United Data'!$A$3:$A$3390,C$1,'United Data'!$C$3:$C$3390,$A527)&gt;0,1,0)</f>
        <v>0</v>
      </c>
      <c r="D527">
        <f>IF(COUNTIFS('United Data'!$A$3:$A$3390,D$1,'United Data'!$C$3:$C$3390,$A527)&gt;0,1,0)</f>
        <v>0</v>
      </c>
      <c r="E527">
        <f>IF(COUNTIFS('United Data'!$A$3:$A$3390,E$1,'United Data'!$C$3:$C$3390,$A527)&gt;0,1,0)</f>
        <v>0</v>
      </c>
      <c r="F527">
        <f>IF(COUNTIFS('United Data'!$A$3:$A$3390,F$1,'United Data'!$C$3:$C$3390,$A527)&gt;0,1,0)</f>
        <v>1</v>
      </c>
      <c r="G527">
        <f>IF(COUNTIFS('United Data'!$A$3:$A$3390,G$1,'United Data'!$C$3:$C$3390,$A527)&gt;0,1,0)</f>
        <v>0</v>
      </c>
      <c r="H527">
        <f>IF(COUNTIFS('United Data'!$A$3:$A$3390,H$1,'United Data'!$C$3:$C$3390,$A527)&gt;0,1,0)</f>
        <v>0</v>
      </c>
      <c r="I527">
        <f>IF(COUNTIFS('United Data'!$A$3:$A$3390,I$1,'United Data'!$C$3:$C$3390,$A527)&gt;0,1,0)</f>
        <v>0</v>
      </c>
      <c r="J527">
        <f>IF(COUNTIFS('United Data'!$A$3:$A$3390,J$1,'United Data'!$C$3:$C$3390,$A527)&gt;0,1,0)</f>
        <v>0</v>
      </c>
      <c r="K527">
        <f>IF(COUNTIFS('United Data'!$A$3:$A$3390,K$1,'United Data'!$C$3:$C$3390,$A527)&gt;0,1,0)</f>
        <v>0</v>
      </c>
      <c r="L527">
        <f>IF(COUNTIFS('United Data'!$A$3:$A$3390,L$1,'United Data'!$C$3:$C$3390,$A527)&gt;0,1,0)</f>
        <v>0</v>
      </c>
      <c r="M527">
        <f>IF(COUNTIFS('United Data'!$A$3:$A$3390,M$1,'United Data'!$C$3:$C$3390,$A527)&gt;0,1,0)</f>
        <v>0</v>
      </c>
      <c r="N527">
        <f>IF(COUNTIFS('United Data'!$A$3:$A$3390,N$1,'United Data'!$C$3:$C$3390,$A527)&gt;0,1,0)</f>
        <v>0</v>
      </c>
      <c r="O527">
        <f>IF(COUNTIFS('United Data'!$A$3:$A$3390,O$1,'United Data'!$C$3:$C$3390,$A527)&gt;0,1,0)</f>
        <v>0</v>
      </c>
      <c r="P527">
        <f>IF(COUNTIFS('United Data'!$A$3:$A$3390,P$1,'United Data'!$C$3:$C$3390,$A527)&gt;0,1,0)</f>
        <v>0</v>
      </c>
      <c r="Q527">
        <f>IF(COUNTIFS('United Data'!$A$3:$A$3390,Q$1,'United Data'!$C$3:$C$3390,$A527)&gt;0,1,0)</f>
        <v>0</v>
      </c>
      <c r="R527">
        <f>IF(COUNTIFS('United Data'!$A$3:$A$3390,R$1,'United Data'!$C$3:$C$3390,$A527)&gt;0,1,0)</f>
        <v>0</v>
      </c>
      <c r="S527">
        <f t="shared" si="16"/>
        <v>1</v>
      </c>
      <c r="T527">
        <f t="shared" si="17"/>
        <v>1</v>
      </c>
    </row>
    <row r="528" spans="1:20" x14ac:dyDescent="0.2">
      <c r="A528" t="s">
        <v>643</v>
      </c>
      <c r="B528">
        <f>IF(COUNTIFS('United Data'!$A$3:$A$3390,B$1,'United Data'!$C$3:$C$3390,$A528)&gt;0,1,0)</f>
        <v>0</v>
      </c>
      <c r="C528">
        <f>IF(COUNTIFS('United Data'!$A$3:$A$3390,C$1,'United Data'!$C$3:$C$3390,$A528)&gt;0,1,0)</f>
        <v>0</v>
      </c>
      <c r="D528">
        <f>IF(COUNTIFS('United Data'!$A$3:$A$3390,D$1,'United Data'!$C$3:$C$3390,$A528)&gt;0,1,0)</f>
        <v>0</v>
      </c>
      <c r="E528">
        <f>IF(COUNTIFS('United Data'!$A$3:$A$3390,E$1,'United Data'!$C$3:$C$3390,$A528)&gt;0,1,0)</f>
        <v>0</v>
      </c>
      <c r="F528">
        <f>IF(COUNTIFS('United Data'!$A$3:$A$3390,F$1,'United Data'!$C$3:$C$3390,$A528)&gt;0,1,0)</f>
        <v>1</v>
      </c>
      <c r="G528">
        <f>IF(COUNTIFS('United Data'!$A$3:$A$3390,G$1,'United Data'!$C$3:$C$3390,$A528)&gt;0,1,0)</f>
        <v>0</v>
      </c>
      <c r="H528">
        <f>IF(COUNTIFS('United Data'!$A$3:$A$3390,H$1,'United Data'!$C$3:$C$3390,$A528)&gt;0,1,0)</f>
        <v>0</v>
      </c>
      <c r="I528">
        <f>IF(COUNTIFS('United Data'!$A$3:$A$3390,I$1,'United Data'!$C$3:$C$3390,$A528)&gt;0,1,0)</f>
        <v>0</v>
      </c>
      <c r="J528">
        <f>IF(COUNTIFS('United Data'!$A$3:$A$3390,J$1,'United Data'!$C$3:$C$3390,$A528)&gt;0,1,0)</f>
        <v>0</v>
      </c>
      <c r="K528">
        <f>IF(COUNTIFS('United Data'!$A$3:$A$3390,K$1,'United Data'!$C$3:$C$3390,$A528)&gt;0,1,0)</f>
        <v>0</v>
      </c>
      <c r="L528">
        <f>IF(COUNTIFS('United Data'!$A$3:$A$3390,L$1,'United Data'!$C$3:$C$3390,$A528)&gt;0,1,0)</f>
        <v>0</v>
      </c>
      <c r="M528">
        <f>IF(COUNTIFS('United Data'!$A$3:$A$3390,M$1,'United Data'!$C$3:$C$3390,$A528)&gt;0,1,0)</f>
        <v>0</v>
      </c>
      <c r="N528">
        <f>IF(COUNTIFS('United Data'!$A$3:$A$3390,N$1,'United Data'!$C$3:$C$3390,$A528)&gt;0,1,0)</f>
        <v>0</v>
      </c>
      <c r="O528">
        <f>IF(COUNTIFS('United Data'!$A$3:$A$3390,O$1,'United Data'!$C$3:$C$3390,$A528)&gt;0,1,0)</f>
        <v>0</v>
      </c>
      <c r="P528">
        <f>IF(COUNTIFS('United Data'!$A$3:$A$3390,P$1,'United Data'!$C$3:$C$3390,$A528)&gt;0,1,0)</f>
        <v>0</v>
      </c>
      <c r="Q528">
        <f>IF(COUNTIFS('United Data'!$A$3:$A$3390,Q$1,'United Data'!$C$3:$C$3390,$A528)&gt;0,1,0)</f>
        <v>0</v>
      </c>
      <c r="R528">
        <f>IF(COUNTIFS('United Data'!$A$3:$A$3390,R$1,'United Data'!$C$3:$C$3390,$A528)&gt;0,1,0)</f>
        <v>0</v>
      </c>
      <c r="S528">
        <f t="shared" si="16"/>
        <v>1</v>
      </c>
      <c r="T528">
        <f t="shared" si="17"/>
        <v>1</v>
      </c>
    </row>
    <row r="529" spans="1:20" x14ac:dyDescent="0.2">
      <c r="A529" t="s">
        <v>644</v>
      </c>
      <c r="B529">
        <f>IF(COUNTIFS('United Data'!$A$3:$A$3390,B$1,'United Data'!$C$3:$C$3390,$A529)&gt;0,1,0)</f>
        <v>0</v>
      </c>
      <c r="C529">
        <f>IF(COUNTIFS('United Data'!$A$3:$A$3390,C$1,'United Data'!$C$3:$C$3390,$A529)&gt;0,1,0)</f>
        <v>0</v>
      </c>
      <c r="D529">
        <f>IF(COUNTIFS('United Data'!$A$3:$A$3390,D$1,'United Data'!$C$3:$C$3390,$A529)&gt;0,1,0)</f>
        <v>0</v>
      </c>
      <c r="E529">
        <f>IF(COUNTIFS('United Data'!$A$3:$A$3390,E$1,'United Data'!$C$3:$C$3390,$A529)&gt;0,1,0)</f>
        <v>0</v>
      </c>
      <c r="F529">
        <f>IF(COUNTIFS('United Data'!$A$3:$A$3390,F$1,'United Data'!$C$3:$C$3390,$A529)&gt;0,1,0)</f>
        <v>1</v>
      </c>
      <c r="G529">
        <f>IF(COUNTIFS('United Data'!$A$3:$A$3390,G$1,'United Data'!$C$3:$C$3390,$A529)&gt;0,1,0)</f>
        <v>0</v>
      </c>
      <c r="H529">
        <f>IF(COUNTIFS('United Data'!$A$3:$A$3390,H$1,'United Data'!$C$3:$C$3390,$A529)&gt;0,1,0)</f>
        <v>0</v>
      </c>
      <c r="I529">
        <f>IF(COUNTIFS('United Data'!$A$3:$A$3390,I$1,'United Data'!$C$3:$C$3390,$A529)&gt;0,1,0)</f>
        <v>0</v>
      </c>
      <c r="J529">
        <f>IF(COUNTIFS('United Data'!$A$3:$A$3390,J$1,'United Data'!$C$3:$C$3390,$A529)&gt;0,1,0)</f>
        <v>0</v>
      </c>
      <c r="K529">
        <f>IF(COUNTIFS('United Data'!$A$3:$A$3390,K$1,'United Data'!$C$3:$C$3390,$A529)&gt;0,1,0)</f>
        <v>0</v>
      </c>
      <c r="L529">
        <f>IF(COUNTIFS('United Data'!$A$3:$A$3390,L$1,'United Data'!$C$3:$C$3390,$A529)&gt;0,1,0)</f>
        <v>0</v>
      </c>
      <c r="M529">
        <f>IF(COUNTIFS('United Data'!$A$3:$A$3390,M$1,'United Data'!$C$3:$C$3390,$A529)&gt;0,1,0)</f>
        <v>0</v>
      </c>
      <c r="N529">
        <f>IF(COUNTIFS('United Data'!$A$3:$A$3390,N$1,'United Data'!$C$3:$C$3390,$A529)&gt;0,1,0)</f>
        <v>0</v>
      </c>
      <c r="O529">
        <f>IF(COUNTIFS('United Data'!$A$3:$A$3390,O$1,'United Data'!$C$3:$C$3390,$A529)&gt;0,1,0)</f>
        <v>0</v>
      </c>
      <c r="P529">
        <f>IF(COUNTIFS('United Data'!$A$3:$A$3390,P$1,'United Data'!$C$3:$C$3390,$A529)&gt;0,1,0)</f>
        <v>0</v>
      </c>
      <c r="Q529">
        <f>IF(COUNTIFS('United Data'!$A$3:$A$3390,Q$1,'United Data'!$C$3:$C$3390,$A529)&gt;0,1,0)</f>
        <v>0</v>
      </c>
      <c r="R529">
        <f>IF(COUNTIFS('United Data'!$A$3:$A$3390,R$1,'United Data'!$C$3:$C$3390,$A529)&gt;0,1,0)</f>
        <v>0</v>
      </c>
      <c r="S529">
        <f t="shared" si="16"/>
        <v>1</v>
      </c>
      <c r="T529">
        <f t="shared" si="17"/>
        <v>1</v>
      </c>
    </row>
    <row r="530" spans="1:20" x14ac:dyDescent="0.2">
      <c r="A530" t="s">
        <v>646</v>
      </c>
      <c r="B530">
        <f>IF(COUNTIFS('United Data'!$A$3:$A$3390,B$1,'United Data'!$C$3:$C$3390,$A530)&gt;0,1,0)</f>
        <v>0</v>
      </c>
      <c r="C530">
        <f>IF(COUNTIFS('United Data'!$A$3:$A$3390,C$1,'United Data'!$C$3:$C$3390,$A530)&gt;0,1,0)</f>
        <v>0</v>
      </c>
      <c r="D530">
        <f>IF(COUNTIFS('United Data'!$A$3:$A$3390,D$1,'United Data'!$C$3:$C$3390,$A530)&gt;0,1,0)</f>
        <v>0</v>
      </c>
      <c r="E530">
        <f>IF(COUNTIFS('United Data'!$A$3:$A$3390,E$1,'United Data'!$C$3:$C$3390,$A530)&gt;0,1,0)</f>
        <v>0</v>
      </c>
      <c r="F530">
        <f>IF(COUNTIFS('United Data'!$A$3:$A$3390,F$1,'United Data'!$C$3:$C$3390,$A530)&gt;0,1,0)</f>
        <v>1</v>
      </c>
      <c r="G530">
        <f>IF(COUNTIFS('United Data'!$A$3:$A$3390,G$1,'United Data'!$C$3:$C$3390,$A530)&gt;0,1,0)</f>
        <v>0</v>
      </c>
      <c r="H530">
        <f>IF(COUNTIFS('United Data'!$A$3:$A$3390,H$1,'United Data'!$C$3:$C$3390,$A530)&gt;0,1,0)</f>
        <v>0</v>
      </c>
      <c r="I530">
        <f>IF(COUNTIFS('United Data'!$A$3:$A$3390,I$1,'United Data'!$C$3:$C$3390,$A530)&gt;0,1,0)</f>
        <v>0</v>
      </c>
      <c r="J530">
        <f>IF(COUNTIFS('United Data'!$A$3:$A$3390,J$1,'United Data'!$C$3:$C$3390,$A530)&gt;0,1,0)</f>
        <v>0</v>
      </c>
      <c r="K530">
        <f>IF(COUNTIFS('United Data'!$A$3:$A$3390,K$1,'United Data'!$C$3:$C$3390,$A530)&gt;0,1,0)</f>
        <v>0</v>
      </c>
      <c r="L530">
        <f>IF(COUNTIFS('United Data'!$A$3:$A$3390,L$1,'United Data'!$C$3:$C$3390,$A530)&gt;0,1,0)</f>
        <v>0</v>
      </c>
      <c r="M530">
        <f>IF(COUNTIFS('United Data'!$A$3:$A$3390,M$1,'United Data'!$C$3:$C$3390,$A530)&gt;0,1,0)</f>
        <v>0</v>
      </c>
      <c r="N530">
        <f>IF(COUNTIFS('United Data'!$A$3:$A$3390,N$1,'United Data'!$C$3:$C$3390,$A530)&gt;0,1,0)</f>
        <v>0</v>
      </c>
      <c r="O530">
        <f>IF(COUNTIFS('United Data'!$A$3:$A$3390,O$1,'United Data'!$C$3:$C$3390,$A530)&gt;0,1,0)</f>
        <v>0</v>
      </c>
      <c r="P530">
        <f>IF(COUNTIFS('United Data'!$A$3:$A$3390,P$1,'United Data'!$C$3:$C$3390,$A530)&gt;0,1,0)</f>
        <v>0</v>
      </c>
      <c r="Q530">
        <f>IF(COUNTIFS('United Data'!$A$3:$A$3390,Q$1,'United Data'!$C$3:$C$3390,$A530)&gt;0,1,0)</f>
        <v>0</v>
      </c>
      <c r="R530">
        <f>IF(COUNTIFS('United Data'!$A$3:$A$3390,R$1,'United Data'!$C$3:$C$3390,$A530)&gt;0,1,0)</f>
        <v>0</v>
      </c>
      <c r="S530">
        <f t="shared" si="16"/>
        <v>1</v>
      </c>
      <c r="T530">
        <f t="shared" si="17"/>
        <v>1</v>
      </c>
    </row>
    <row r="531" spans="1:20" x14ac:dyDescent="0.2">
      <c r="A531" t="s">
        <v>647</v>
      </c>
      <c r="B531">
        <f>IF(COUNTIFS('United Data'!$A$3:$A$3390,B$1,'United Data'!$C$3:$C$3390,$A531)&gt;0,1,0)</f>
        <v>0</v>
      </c>
      <c r="C531">
        <f>IF(COUNTIFS('United Data'!$A$3:$A$3390,C$1,'United Data'!$C$3:$C$3390,$A531)&gt;0,1,0)</f>
        <v>0</v>
      </c>
      <c r="D531">
        <f>IF(COUNTIFS('United Data'!$A$3:$A$3390,D$1,'United Data'!$C$3:$C$3390,$A531)&gt;0,1,0)</f>
        <v>0</v>
      </c>
      <c r="E531">
        <f>IF(COUNTIFS('United Data'!$A$3:$A$3390,E$1,'United Data'!$C$3:$C$3390,$A531)&gt;0,1,0)</f>
        <v>0</v>
      </c>
      <c r="F531">
        <f>IF(COUNTIFS('United Data'!$A$3:$A$3390,F$1,'United Data'!$C$3:$C$3390,$A531)&gt;0,1,0)</f>
        <v>0</v>
      </c>
      <c r="G531">
        <f>IF(COUNTIFS('United Data'!$A$3:$A$3390,G$1,'United Data'!$C$3:$C$3390,$A531)&gt;0,1,0)</f>
        <v>1</v>
      </c>
      <c r="H531">
        <f>IF(COUNTIFS('United Data'!$A$3:$A$3390,H$1,'United Data'!$C$3:$C$3390,$A531)&gt;0,1,0)</f>
        <v>0</v>
      </c>
      <c r="I531">
        <f>IF(COUNTIFS('United Data'!$A$3:$A$3390,I$1,'United Data'!$C$3:$C$3390,$A531)&gt;0,1,0)</f>
        <v>0</v>
      </c>
      <c r="J531">
        <f>IF(COUNTIFS('United Data'!$A$3:$A$3390,J$1,'United Data'!$C$3:$C$3390,$A531)&gt;0,1,0)</f>
        <v>1</v>
      </c>
      <c r="K531">
        <f>IF(COUNTIFS('United Data'!$A$3:$A$3390,K$1,'United Data'!$C$3:$C$3390,$A531)&gt;0,1,0)</f>
        <v>1</v>
      </c>
      <c r="L531">
        <f>IF(COUNTIFS('United Data'!$A$3:$A$3390,L$1,'United Data'!$C$3:$C$3390,$A531)&gt;0,1,0)</f>
        <v>0</v>
      </c>
      <c r="M531">
        <f>IF(COUNTIFS('United Data'!$A$3:$A$3390,M$1,'United Data'!$C$3:$C$3390,$A531)&gt;0,1,0)</f>
        <v>0</v>
      </c>
      <c r="N531">
        <f>IF(COUNTIFS('United Data'!$A$3:$A$3390,N$1,'United Data'!$C$3:$C$3390,$A531)&gt;0,1,0)</f>
        <v>0</v>
      </c>
      <c r="O531">
        <f>IF(COUNTIFS('United Data'!$A$3:$A$3390,O$1,'United Data'!$C$3:$C$3390,$A531)&gt;0,1,0)</f>
        <v>0</v>
      </c>
      <c r="P531">
        <f>IF(COUNTIFS('United Data'!$A$3:$A$3390,P$1,'United Data'!$C$3:$C$3390,$A531)&gt;0,1,0)</f>
        <v>0</v>
      </c>
      <c r="Q531">
        <f>IF(COUNTIFS('United Data'!$A$3:$A$3390,Q$1,'United Data'!$C$3:$C$3390,$A531)&gt;0,1,0)</f>
        <v>0</v>
      </c>
      <c r="R531">
        <f>IF(COUNTIFS('United Data'!$A$3:$A$3390,R$1,'United Data'!$C$3:$C$3390,$A531)&gt;0,1,0)</f>
        <v>0</v>
      </c>
      <c r="S531">
        <f t="shared" si="16"/>
        <v>3</v>
      </c>
      <c r="T531">
        <f t="shared" si="17"/>
        <v>2</v>
      </c>
    </row>
    <row r="532" spans="1:20" x14ac:dyDescent="0.2">
      <c r="A532" t="s">
        <v>648</v>
      </c>
      <c r="B532">
        <f>IF(COUNTIFS('United Data'!$A$3:$A$3390,B$1,'United Data'!$C$3:$C$3390,$A532)&gt;0,1,0)</f>
        <v>0</v>
      </c>
      <c r="C532">
        <f>IF(COUNTIFS('United Data'!$A$3:$A$3390,C$1,'United Data'!$C$3:$C$3390,$A532)&gt;0,1,0)</f>
        <v>0</v>
      </c>
      <c r="D532">
        <f>IF(COUNTIFS('United Data'!$A$3:$A$3390,D$1,'United Data'!$C$3:$C$3390,$A532)&gt;0,1,0)</f>
        <v>0</v>
      </c>
      <c r="E532">
        <f>IF(COUNTIFS('United Data'!$A$3:$A$3390,E$1,'United Data'!$C$3:$C$3390,$A532)&gt;0,1,0)</f>
        <v>0</v>
      </c>
      <c r="F532">
        <f>IF(COUNTIFS('United Data'!$A$3:$A$3390,F$1,'United Data'!$C$3:$C$3390,$A532)&gt;0,1,0)</f>
        <v>0</v>
      </c>
      <c r="G532">
        <f>IF(COUNTIFS('United Data'!$A$3:$A$3390,G$1,'United Data'!$C$3:$C$3390,$A532)&gt;0,1,0)</f>
        <v>1</v>
      </c>
      <c r="H532">
        <f>IF(COUNTIFS('United Data'!$A$3:$A$3390,H$1,'United Data'!$C$3:$C$3390,$A532)&gt;0,1,0)</f>
        <v>0</v>
      </c>
      <c r="I532">
        <f>IF(COUNTIFS('United Data'!$A$3:$A$3390,I$1,'United Data'!$C$3:$C$3390,$A532)&gt;0,1,0)</f>
        <v>0</v>
      </c>
      <c r="J532">
        <f>IF(COUNTIFS('United Data'!$A$3:$A$3390,J$1,'United Data'!$C$3:$C$3390,$A532)&gt;0,1,0)</f>
        <v>0</v>
      </c>
      <c r="K532">
        <f>IF(COUNTIFS('United Data'!$A$3:$A$3390,K$1,'United Data'!$C$3:$C$3390,$A532)&gt;0,1,0)</f>
        <v>1</v>
      </c>
      <c r="L532">
        <f>IF(COUNTIFS('United Data'!$A$3:$A$3390,L$1,'United Data'!$C$3:$C$3390,$A532)&gt;0,1,0)</f>
        <v>0</v>
      </c>
      <c r="M532">
        <f>IF(COUNTIFS('United Data'!$A$3:$A$3390,M$1,'United Data'!$C$3:$C$3390,$A532)&gt;0,1,0)</f>
        <v>0</v>
      </c>
      <c r="N532">
        <f>IF(COUNTIFS('United Data'!$A$3:$A$3390,N$1,'United Data'!$C$3:$C$3390,$A532)&gt;0,1,0)</f>
        <v>0</v>
      </c>
      <c r="O532">
        <f>IF(COUNTIFS('United Data'!$A$3:$A$3390,O$1,'United Data'!$C$3:$C$3390,$A532)&gt;0,1,0)</f>
        <v>0</v>
      </c>
      <c r="P532">
        <f>IF(COUNTIFS('United Data'!$A$3:$A$3390,P$1,'United Data'!$C$3:$C$3390,$A532)&gt;0,1,0)</f>
        <v>0</v>
      </c>
      <c r="Q532">
        <f>IF(COUNTIFS('United Data'!$A$3:$A$3390,Q$1,'United Data'!$C$3:$C$3390,$A532)&gt;0,1,0)</f>
        <v>0</v>
      </c>
      <c r="R532">
        <f>IF(COUNTIFS('United Data'!$A$3:$A$3390,R$1,'United Data'!$C$3:$C$3390,$A532)&gt;0,1,0)</f>
        <v>0</v>
      </c>
      <c r="S532">
        <f t="shared" si="16"/>
        <v>2</v>
      </c>
      <c r="T532">
        <f t="shared" si="17"/>
        <v>2</v>
      </c>
    </row>
    <row r="533" spans="1:20" x14ac:dyDescent="0.2">
      <c r="A533" t="s">
        <v>649</v>
      </c>
      <c r="B533">
        <f>IF(COUNTIFS('United Data'!$A$3:$A$3390,B$1,'United Data'!$C$3:$C$3390,$A533)&gt;0,1,0)</f>
        <v>0</v>
      </c>
      <c r="C533">
        <f>IF(COUNTIFS('United Data'!$A$3:$A$3390,C$1,'United Data'!$C$3:$C$3390,$A533)&gt;0,1,0)</f>
        <v>0</v>
      </c>
      <c r="D533">
        <f>IF(COUNTIFS('United Data'!$A$3:$A$3390,D$1,'United Data'!$C$3:$C$3390,$A533)&gt;0,1,0)</f>
        <v>0</v>
      </c>
      <c r="E533">
        <f>IF(COUNTIFS('United Data'!$A$3:$A$3390,E$1,'United Data'!$C$3:$C$3390,$A533)&gt;0,1,0)</f>
        <v>0</v>
      </c>
      <c r="F533">
        <f>IF(COUNTIFS('United Data'!$A$3:$A$3390,F$1,'United Data'!$C$3:$C$3390,$A533)&gt;0,1,0)</f>
        <v>0</v>
      </c>
      <c r="G533">
        <f>IF(COUNTIFS('United Data'!$A$3:$A$3390,G$1,'United Data'!$C$3:$C$3390,$A533)&gt;0,1,0)</f>
        <v>1</v>
      </c>
      <c r="H533">
        <f>IF(COUNTIFS('United Data'!$A$3:$A$3390,H$1,'United Data'!$C$3:$C$3390,$A533)&gt;0,1,0)</f>
        <v>0</v>
      </c>
      <c r="I533">
        <f>IF(COUNTIFS('United Data'!$A$3:$A$3390,I$1,'United Data'!$C$3:$C$3390,$A533)&gt;0,1,0)</f>
        <v>0</v>
      </c>
      <c r="J533">
        <f>IF(COUNTIFS('United Data'!$A$3:$A$3390,J$1,'United Data'!$C$3:$C$3390,$A533)&gt;0,1,0)</f>
        <v>0</v>
      </c>
      <c r="K533">
        <f>IF(COUNTIFS('United Data'!$A$3:$A$3390,K$1,'United Data'!$C$3:$C$3390,$A533)&gt;0,1,0)</f>
        <v>0</v>
      </c>
      <c r="L533">
        <f>IF(COUNTIFS('United Data'!$A$3:$A$3390,L$1,'United Data'!$C$3:$C$3390,$A533)&gt;0,1,0)</f>
        <v>0</v>
      </c>
      <c r="M533">
        <f>IF(COUNTIFS('United Data'!$A$3:$A$3390,M$1,'United Data'!$C$3:$C$3390,$A533)&gt;0,1,0)</f>
        <v>0</v>
      </c>
      <c r="N533">
        <f>IF(COUNTIFS('United Data'!$A$3:$A$3390,N$1,'United Data'!$C$3:$C$3390,$A533)&gt;0,1,0)</f>
        <v>0</v>
      </c>
      <c r="O533">
        <f>IF(COUNTIFS('United Data'!$A$3:$A$3390,O$1,'United Data'!$C$3:$C$3390,$A533)&gt;0,1,0)</f>
        <v>0</v>
      </c>
      <c r="P533">
        <f>IF(COUNTIFS('United Data'!$A$3:$A$3390,P$1,'United Data'!$C$3:$C$3390,$A533)&gt;0,1,0)</f>
        <v>0</v>
      </c>
      <c r="Q533">
        <f>IF(COUNTIFS('United Data'!$A$3:$A$3390,Q$1,'United Data'!$C$3:$C$3390,$A533)&gt;0,1,0)</f>
        <v>0</v>
      </c>
      <c r="R533">
        <f>IF(COUNTIFS('United Data'!$A$3:$A$3390,R$1,'United Data'!$C$3:$C$3390,$A533)&gt;0,1,0)</f>
        <v>0</v>
      </c>
      <c r="S533">
        <f t="shared" si="16"/>
        <v>1</v>
      </c>
      <c r="T533">
        <f t="shared" si="17"/>
        <v>1</v>
      </c>
    </row>
    <row r="534" spans="1:20" x14ac:dyDescent="0.2">
      <c r="A534" t="s">
        <v>650</v>
      </c>
      <c r="B534">
        <f>IF(COUNTIFS('United Data'!$A$3:$A$3390,B$1,'United Data'!$C$3:$C$3390,$A534)&gt;0,1,0)</f>
        <v>0</v>
      </c>
      <c r="C534">
        <f>IF(COUNTIFS('United Data'!$A$3:$A$3390,C$1,'United Data'!$C$3:$C$3390,$A534)&gt;0,1,0)</f>
        <v>0</v>
      </c>
      <c r="D534">
        <f>IF(COUNTIFS('United Data'!$A$3:$A$3390,D$1,'United Data'!$C$3:$C$3390,$A534)&gt;0,1,0)</f>
        <v>0</v>
      </c>
      <c r="E534">
        <f>IF(COUNTIFS('United Data'!$A$3:$A$3390,E$1,'United Data'!$C$3:$C$3390,$A534)&gt;0,1,0)</f>
        <v>0</v>
      </c>
      <c r="F534">
        <f>IF(COUNTIFS('United Data'!$A$3:$A$3390,F$1,'United Data'!$C$3:$C$3390,$A534)&gt;0,1,0)</f>
        <v>0</v>
      </c>
      <c r="G534">
        <f>IF(COUNTIFS('United Data'!$A$3:$A$3390,G$1,'United Data'!$C$3:$C$3390,$A534)&gt;0,1,0)</f>
        <v>1</v>
      </c>
      <c r="H534">
        <f>IF(COUNTIFS('United Data'!$A$3:$A$3390,H$1,'United Data'!$C$3:$C$3390,$A534)&gt;0,1,0)</f>
        <v>0</v>
      </c>
      <c r="I534">
        <f>IF(COUNTIFS('United Data'!$A$3:$A$3390,I$1,'United Data'!$C$3:$C$3390,$A534)&gt;0,1,0)</f>
        <v>0</v>
      </c>
      <c r="J534">
        <f>IF(COUNTIFS('United Data'!$A$3:$A$3390,J$1,'United Data'!$C$3:$C$3390,$A534)&gt;0,1,0)</f>
        <v>1</v>
      </c>
      <c r="K534">
        <f>IF(COUNTIFS('United Data'!$A$3:$A$3390,K$1,'United Data'!$C$3:$C$3390,$A534)&gt;0,1,0)</f>
        <v>0</v>
      </c>
      <c r="L534">
        <f>IF(COUNTIFS('United Data'!$A$3:$A$3390,L$1,'United Data'!$C$3:$C$3390,$A534)&gt;0,1,0)</f>
        <v>0</v>
      </c>
      <c r="M534">
        <f>IF(COUNTIFS('United Data'!$A$3:$A$3390,M$1,'United Data'!$C$3:$C$3390,$A534)&gt;0,1,0)</f>
        <v>0</v>
      </c>
      <c r="N534">
        <f>IF(COUNTIFS('United Data'!$A$3:$A$3390,N$1,'United Data'!$C$3:$C$3390,$A534)&gt;0,1,0)</f>
        <v>0</v>
      </c>
      <c r="O534">
        <f>IF(COUNTIFS('United Data'!$A$3:$A$3390,O$1,'United Data'!$C$3:$C$3390,$A534)&gt;0,1,0)</f>
        <v>0</v>
      </c>
      <c r="P534">
        <f>IF(COUNTIFS('United Data'!$A$3:$A$3390,P$1,'United Data'!$C$3:$C$3390,$A534)&gt;0,1,0)</f>
        <v>0</v>
      </c>
      <c r="Q534">
        <f>IF(COUNTIFS('United Data'!$A$3:$A$3390,Q$1,'United Data'!$C$3:$C$3390,$A534)&gt;0,1,0)</f>
        <v>0</v>
      </c>
      <c r="R534">
        <f>IF(COUNTIFS('United Data'!$A$3:$A$3390,R$1,'United Data'!$C$3:$C$3390,$A534)&gt;0,1,0)</f>
        <v>0</v>
      </c>
      <c r="S534">
        <f t="shared" si="16"/>
        <v>2</v>
      </c>
      <c r="T534">
        <f t="shared" si="17"/>
        <v>2</v>
      </c>
    </row>
    <row r="535" spans="1:20" x14ac:dyDescent="0.2">
      <c r="A535" t="s">
        <v>651</v>
      </c>
      <c r="B535">
        <f>IF(COUNTIFS('United Data'!$A$3:$A$3390,B$1,'United Data'!$C$3:$C$3390,$A535)&gt;0,1,0)</f>
        <v>0</v>
      </c>
      <c r="C535">
        <f>IF(COUNTIFS('United Data'!$A$3:$A$3390,C$1,'United Data'!$C$3:$C$3390,$A535)&gt;0,1,0)</f>
        <v>0</v>
      </c>
      <c r="D535">
        <f>IF(COUNTIFS('United Data'!$A$3:$A$3390,D$1,'United Data'!$C$3:$C$3390,$A535)&gt;0,1,0)</f>
        <v>0</v>
      </c>
      <c r="E535">
        <f>IF(COUNTIFS('United Data'!$A$3:$A$3390,E$1,'United Data'!$C$3:$C$3390,$A535)&gt;0,1,0)</f>
        <v>0</v>
      </c>
      <c r="F535">
        <f>IF(COUNTIFS('United Data'!$A$3:$A$3390,F$1,'United Data'!$C$3:$C$3390,$A535)&gt;0,1,0)</f>
        <v>0</v>
      </c>
      <c r="G535">
        <f>IF(COUNTIFS('United Data'!$A$3:$A$3390,G$1,'United Data'!$C$3:$C$3390,$A535)&gt;0,1,0)</f>
        <v>0</v>
      </c>
      <c r="H535">
        <f>IF(COUNTIFS('United Data'!$A$3:$A$3390,H$1,'United Data'!$C$3:$C$3390,$A535)&gt;0,1,0)</f>
        <v>1</v>
      </c>
      <c r="I535">
        <f>IF(COUNTIFS('United Data'!$A$3:$A$3390,I$1,'United Data'!$C$3:$C$3390,$A535)&gt;0,1,0)</f>
        <v>0</v>
      </c>
      <c r="J535">
        <f>IF(COUNTIFS('United Data'!$A$3:$A$3390,J$1,'United Data'!$C$3:$C$3390,$A535)&gt;0,1,0)</f>
        <v>0</v>
      </c>
      <c r="K535">
        <f>IF(COUNTIFS('United Data'!$A$3:$A$3390,K$1,'United Data'!$C$3:$C$3390,$A535)&gt;0,1,0)</f>
        <v>0</v>
      </c>
      <c r="L535">
        <f>IF(COUNTIFS('United Data'!$A$3:$A$3390,L$1,'United Data'!$C$3:$C$3390,$A535)&gt;0,1,0)</f>
        <v>0</v>
      </c>
      <c r="M535">
        <f>IF(COUNTIFS('United Data'!$A$3:$A$3390,M$1,'United Data'!$C$3:$C$3390,$A535)&gt;0,1,0)</f>
        <v>0</v>
      </c>
      <c r="N535">
        <f>IF(COUNTIFS('United Data'!$A$3:$A$3390,N$1,'United Data'!$C$3:$C$3390,$A535)&gt;0,1,0)</f>
        <v>0</v>
      </c>
      <c r="O535">
        <f>IF(COUNTIFS('United Data'!$A$3:$A$3390,O$1,'United Data'!$C$3:$C$3390,$A535)&gt;0,1,0)</f>
        <v>0</v>
      </c>
      <c r="P535">
        <f>IF(COUNTIFS('United Data'!$A$3:$A$3390,P$1,'United Data'!$C$3:$C$3390,$A535)&gt;0,1,0)</f>
        <v>0</v>
      </c>
      <c r="Q535">
        <f>IF(COUNTIFS('United Data'!$A$3:$A$3390,Q$1,'United Data'!$C$3:$C$3390,$A535)&gt;0,1,0)</f>
        <v>0</v>
      </c>
      <c r="R535">
        <f>IF(COUNTIFS('United Data'!$A$3:$A$3390,R$1,'United Data'!$C$3:$C$3390,$A535)&gt;0,1,0)</f>
        <v>0</v>
      </c>
      <c r="S535">
        <f t="shared" si="16"/>
        <v>1</v>
      </c>
      <c r="T535">
        <f t="shared" si="17"/>
        <v>1</v>
      </c>
    </row>
    <row r="536" spans="1:20" x14ac:dyDescent="0.2">
      <c r="A536" t="s">
        <v>652</v>
      </c>
      <c r="B536">
        <f>IF(COUNTIFS('United Data'!$A$3:$A$3390,B$1,'United Data'!$C$3:$C$3390,$A536)&gt;0,1,0)</f>
        <v>0</v>
      </c>
      <c r="C536">
        <f>IF(COUNTIFS('United Data'!$A$3:$A$3390,C$1,'United Data'!$C$3:$C$3390,$A536)&gt;0,1,0)</f>
        <v>0</v>
      </c>
      <c r="D536">
        <f>IF(COUNTIFS('United Data'!$A$3:$A$3390,D$1,'United Data'!$C$3:$C$3390,$A536)&gt;0,1,0)</f>
        <v>1</v>
      </c>
      <c r="E536">
        <f>IF(COUNTIFS('United Data'!$A$3:$A$3390,E$1,'United Data'!$C$3:$C$3390,$A536)&gt;0,1,0)</f>
        <v>0</v>
      </c>
      <c r="F536">
        <f>IF(COUNTIFS('United Data'!$A$3:$A$3390,F$1,'United Data'!$C$3:$C$3390,$A536)&gt;0,1,0)</f>
        <v>0</v>
      </c>
      <c r="G536">
        <f>IF(COUNTIFS('United Data'!$A$3:$A$3390,G$1,'United Data'!$C$3:$C$3390,$A536)&gt;0,1,0)</f>
        <v>0</v>
      </c>
      <c r="H536">
        <f>IF(COUNTIFS('United Data'!$A$3:$A$3390,H$1,'United Data'!$C$3:$C$3390,$A536)&gt;0,1,0)</f>
        <v>1</v>
      </c>
      <c r="I536">
        <f>IF(COUNTIFS('United Data'!$A$3:$A$3390,I$1,'United Data'!$C$3:$C$3390,$A536)&gt;0,1,0)</f>
        <v>0</v>
      </c>
      <c r="J536">
        <f>IF(COUNTIFS('United Data'!$A$3:$A$3390,J$1,'United Data'!$C$3:$C$3390,$A536)&gt;0,1,0)</f>
        <v>0</v>
      </c>
      <c r="K536">
        <f>IF(COUNTIFS('United Data'!$A$3:$A$3390,K$1,'United Data'!$C$3:$C$3390,$A536)&gt;0,1,0)</f>
        <v>0</v>
      </c>
      <c r="L536">
        <f>IF(COUNTIFS('United Data'!$A$3:$A$3390,L$1,'United Data'!$C$3:$C$3390,$A536)&gt;0,1,0)</f>
        <v>0</v>
      </c>
      <c r="M536">
        <f>IF(COUNTIFS('United Data'!$A$3:$A$3390,M$1,'United Data'!$C$3:$C$3390,$A536)&gt;0,1,0)</f>
        <v>0</v>
      </c>
      <c r="N536">
        <f>IF(COUNTIFS('United Data'!$A$3:$A$3390,N$1,'United Data'!$C$3:$C$3390,$A536)&gt;0,1,0)</f>
        <v>0</v>
      </c>
      <c r="O536">
        <f>IF(COUNTIFS('United Data'!$A$3:$A$3390,O$1,'United Data'!$C$3:$C$3390,$A536)&gt;0,1,0)</f>
        <v>0</v>
      </c>
      <c r="P536">
        <f>IF(COUNTIFS('United Data'!$A$3:$A$3390,P$1,'United Data'!$C$3:$C$3390,$A536)&gt;0,1,0)</f>
        <v>0</v>
      </c>
      <c r="Q536">
        <f>IF(COUNTIFS('United Data'!$A$3:$A$3390,Q$1,'United Data'!$C$3:$C$3390,$A536)&gt;0,1,0)</f>
        <v>0</v>
      </c>
      <c r="R536">
        <f>IF(COUNTIFS('United Data'!$A$3:$A$3390,R$1,'United Data'!$C$3:$C$3390,$A536)&gt;0,1,0)</f>
        <v>0</v>
      </c>
      <c r="S536">
        <f t="shared" si="16"/>
        <v>2</v>
      </c>
      <c r="T536">
        <f t="shared" si="17"/>
        <v>2</v>
      </c>
    </row>
    <row r="537" spans="1:20" x14ac:dyDescent="0.2">
      <c r="A537" t="s">
        <v>653</v>
      </c>
      <c r="B537">
        <f>IF(COUNTIFS('United Data'!$A$3:$A$3390,B$1,'United Data'!$C$3:$C$3390,$A537)&gt;0,1,0)</f>
        <v>1</v>
      </c>
      <c r="C537">
        <f>IF(COUNTIFS('United Data'!$A$3:$A$3390,C$1,'United Data'!$C$3:$C$3390,$A537)&gt;0,1,0)</f>
        <v>1</v>
      </c>
      <c r="D537">
        <f>IF(COUNTIFS('United Data'!$A$3:$A$3390,D$1,'United Data'!$C$3:$C$3390,$A537)&gt;0,1,0)</f>
        <v>1</v>
      </c>
      <c r="E537">
        <f>IF(COUNTIFS('United Data'!$A$3:$A$3390,E$1,'United Data'!$C$3:$C$3390,$A537)&gt;0,1,0)</f>
        <v>0</v>
      </c>
      <c r="F537">
        <f>IF(COUNTIFS('United Data'!$A$3:$A$3390,F$1,'United Data'!$C$3:$C$3390,$A537)&gt;0,1,0)</f>
        <v>1</v>
      </c>
      <c r="G537">
        <f>IF(COUNTIFS('United Data'!$A$3:$A$3390,G$1,'United Data'!$C$3:$C$3390,$A537)&gt;0,1,0)</f>
        <v>0</v>
      </c>
      <c r="H537">
        <f>IF(COUNTIFS('United Data'!$A$3:$A$3390,H$1,'United Data'!$C$3:$C$3390,$A537)&gt;0,1,0)</f>
        <v>1</v>
      </c>
      <c r="I537">
        <f>IF(COUNTIFS('United Data'!$A$3:$A$3390,I$1,'United Data'!$C$3:$C$3390,$A537)&gt;0,1,0)</f>
        <v>0</v>
      </c>
      <c r="J537">
        <f>IF(COUNTIFS('United Data'!$A$3:$A$3390,J$1,'United Data'!$C$3:$C$3390,$A537)&gt;0,1,0)</f>
        <v>0</v>
      </c>
      <c r="K537">
        <f>IF(COUNTIFS('United Data'!$A$3:$A$3390,K$1,'United Data'!$C$3:$C$3390,$A537)&gt;0,1,0)</f>
        <v>0</v>
      </c>
      <c r="L537">
        <f>IF(COUNTIFS('United Data'!$A$3:$A$3390,L$1,'United Data'!$C$3:$C$3390,$A537)&gt;0,1,0)</f>
        <v>0</v>
      </c>
      <c r="M537">
        <f>IF(COUNTIFS('United Data'!$A$3:$A$3390,M$1,'United Data'!$C$3:$C$3390,$A537)&gt;0,1,0)</f>
        <v>0</v>
      </c>
      <c r="N537">
        <f>IF(COUNTIFS('United Data'!$A$3:$A$3390,N$1,'United Data'!$C$3:$C$3390,$A537)&gt;0,1,0)</f>
        <v>0</v>
      </c>
      <c r="O537">
        <f>IF(COUNTIFS('United Data'!$A$3:$A$3390,O$1,'United Data'!$C$3:$C$3390,$A537)&gt;0,1,0)</f>
        <v>0</v>
      </c>
      <c r="P537">
        <f>IF(COUNTIFS('United Data'!$A$3:$A$3390,P$1,'United Data'!$C$3:$C$3390,$A537)&gt;0,1,0)</f>
        <v>0</v>
      </c>
      <c r="Q537">
        <f>IF(COUNTIFS('United Data'!$A$3:$A$3390,Q$1,'United Data'!$C$3:$C$3390,$A537)&gt;0,1,0)</f>
        <v>1</v>
      </c>
      <c r="R537">
        <f>IF(COUNTIFS('United Data'!$A$3:$A$3390,R$1,'United Data'!$C$3:$C$3390,$A537)&gt;0,1,0)</f>
        <v>1</v>
      </c>
      <c r="S537">
        <f t="shared" si="16"/>
        <v>7</v>
      </c>
      <c r="T537">
        <f t="shared" si="17"/>
        <v>4</v>
      </c>
    </row>
    <row r="538" spans="1:20" x14ac:dyDescent="0.2">
      <c r="A538" t="s">
        <v>654</v>
      </c>
      <c r="B538">
        <f>IF(COUNTIFS('United Data'!$A$3:$A$3390,B$1,'United Data'!$C$3:$C$3390,$A538)&gt;0,1,0)</f>
        <v>0</v>
      </c>
      <c r="C538">
        <f>IF(COUNTIFS('United Data'!$A$3:$A$3390,C$1,'United Data'!$C$3:$C$3390,$A538)&gt;0,1,0)</f>
        <v>0</v>
      </c>
      <c r="D538">
        <f>IF(COUNTIFS('United Data'!$A$3:$A$3390,D$1,'United Data'!$C$3:$C$3390,$A538)&gt;0,1,0)</f>
        <v>1</v>
      </c>
      <c r="E538">
        <f>IF(COUNTIFS('United Data'!$A$3:$A$3390,E$1,'United Data'!$C$3:$C$3390,$A538)&gt;0,1,0)</f>
        <v>1</v>
      </c>
      <c r="F538">
        <f>IF(COUNTIFS('United Data'!$A$3:$A$3390,F$1,'United Data'!$C$3:$C$3390,$A538)&gt;0,1,0)</f>
        <v>1</v>
      </c>
      <c r="G538">
        <f>IF(COUNTIFS('United Data'!$A$3:$A$3390,G$1,'United Data'!$C$3:$C$3390,$A538)&gt;0,1,0)</f>
        <v>1</v>
      </c>
      <c r="H538">
        <f>IF(COUNTIFS('United Data'!$A$3:$A$3390,H$1,'United Data'!$C$3:$C$3390,$A538)&gt;0,1,0)</f>
        <v>1</v>
      </c>
      <c r="I538">
        <f>IF(COUNTIFS('United Data'!$A$3:$A$3390,I$1,'United Data'!$C$3:$C$3390,$A538)&gt;0,1,0)</f>
        <v>0</v>
      </c>
      <c r="J538">
        <f>IF(COUNTIFS('United Data'!$A$3:$A$3390,J$1,'United Data'!$C$3:$C$3390,$A538)&gt;0,1,0)</f>
        <v>0</v>
      </c>
      <c r="K538">
        <f>IF(COUNTIFS('United Data'!$A$3:$A$3390,K$1,'United Data'!$C$3:$C$3390,$A538)&gt;0,1,0)</f>
        <v>0</v>
      </c>
      <c r="L538">
        <f>IF(COUNTIFS('United Data'!$A$3:$A$3390,L$1,'United Data'!$C$3:$C$3390,$A538)&gt;0,1,0)</f>
        <v>1</v>
      </c>
      <c r="M538">
        <f>IF(COUNTIFS('United Data'!$A$3:$A$3390,M$1,'United Data'!$C$3:$C$3390,$A538)&gt;0,1,0)</f>
        <v>0</v>
      </c>
      <c r="N538">
        <f>IF(COUNTIFS('United Data'!$A$3:$A$3390,N$1,'United Data'!$C$3:$C$3390,$A538)&gt;0,1,0)</f>
        <v>0</v>
      </c>
      <c r="O538">
        <f>IF(COUNTIFS('United Data'!$A$3:$A$3390,O$1,'United Data'!$C$3:$C$3390,$A538)&gt;0,1,0)</f>
        <v>0</v>
      </c>
      <c r="P538">
        <f>IF(COUNTIFS('United Data'!$A$3:$A$3390,P$1,'United Data'!$C$3:$C$3390,$A538)&gt;0,1,0)</f>
        <v>0</v>
      </c>
      <c r="Q538">
        <f>IF(COUNTIFS('United Data'!$A$3:$A$3390,Q$1,'United Data'!$C$3:$C$3390,$A538)&gt;0,1,0)</f>
        <v>0</v>
      </c>
      <c r="R538">
        <f>IF(COUNTIFS('United Data'!$A$3:$A$3390,R$1,'United Data'!$C$3:$C$3390,$A538)&gt;0,1,0)</f>
        <v>0</v>
      </c>
      <c r="S538">
        <f t="shared" si="16"/>
        <v>6</v>
      </c>
      <c r="T538">
        <f t="shared" si="17"/>
        <v>2</v>
      </c>
    </row>
    <row r="539" spans="1:20" x14ac:dyDescent="0.2">
      <c r="A539" t="s">
        <v>655</v>
      </c>
      <c r="B539">
        <f>IF(COUNTIFS('United Data'!$A$3:$A$3390,B$1,'United Data'!$C$3:$C$3390,$A539)&gt;0,1,0)</f>
        <v>0</v>
      </c>
      <c r="C539">
        <f>IF(COUNTIFS('United Data'!$A$3:$A$3390,C$1,'United Data'!$C$3:$C$3390,$A539)&gt;0,1,0)</f>
        <v>0</v>
      </c>
      <c r="D539">
        <f>IF(COUNTIFS('United Data'!$A$3:$A$3390,D$1,'United Data'!$C$3:$C$3390,$A539)&gt;0,1,0)</f>
        <v>0</v>
      </c>
      <c r="E539">
        <f>IF(COUNTIFS('United Data'!$A$3:$A$3390,E$1,'United Data'!$C$3:$C$3390,$A539)&gt;0,1,0)</f>
        <v>0</v>
      </c>
      <c r="F539">
        <f>IF(COUNTIFS('United Data'!$A$3:$A$3390,F$1,'United Data'!$C$3:$C$3390,$A539)&gt;0,1,0)</f>
        <v>0</v>
      </c>
      <c r="G539">
        <f>IF(COUNTIFS('United Data'!$A$3:$A$3390,G$1,'United Data'!$C$3:$C$3390,$A539)&gt;0,1,0)</f>
        <v>0</v>
      </c>
      <c r="H539">
        <f>IF(COUNTIFS('United Data'!$A$3:$A$3390,H$1,'United Data'!$C$3:$C$3390,$A539)&gt;0,1,0)</f>
        <v>0</v>
      </c>
      <c r="I539">
        <f>IF(COUNTIFS('United Data'!$A$3:$A$3390,I$1,'United Data'!$C$3:$C$3390,$A539)&gt;0,1,0)</f>
        <v>1</v>
      </c>
      <c r="J539">
        <f>IF(COUNTIFS('United Data'!$A$3:$A$3390,J$1,'United Data'!$C$3:$C$3390,$A539)&gt;0,1,0)</f>
        <v>1</v>
      </c>
      <c r="K539">
        <f>IF(COUNTIFS('United Data'!$A$3:$A$3390,K$1,'United Data'!$C$3:$C$3390,$A539)&gt;0,1,0)</f>
        <v>0</v>
      </c>
      <c r="L539">
        <f>IF(COUNTIFS('United Data'!$A$3:$A$3390,L$1,'United Data'!$C$3:$C$3390,$A539)&gt;0,1,0)</f>
        <v>0</v>
      </c>
      <c r="M539">
        <f>IF(COUNTIFS('United Data'!$A$3:$A$3390,M$1,'United Data'!$C$3:$C$3390,$A539)&gt;0,1,0)</f>
        <v>0</v>
      </c>
      <c r="N539">
        <f>IF(COUNTIFS('United Data'!$A$3:$A$3390,N$1,'United Data'!$C$3:$C$3390,$A539)&gt;0,1,0)</f>
        <v>0</v>
      </c>
      <c r="O539">
        <f>IF(COUNTIFS('United Data'!$A$3:$A$3390,O$1,'United Data'!$C$3:$C$3390,$A539)&gt;0,1,0)</f>
        <v>0</v>
      </c>
      <c r="P539">
        <f>IF(COUNTIFS('United Data'!$A$3:$A$3390,P$1,'United Data'!$C$3:$C$3390,$A539)&gt;0,1,0)</f>
        <v>0</v>
      </c>
      <c r="Q539">
        <f>IF(COUNTIFS('United Data'!$A$3:$A$3390,Q$1,'United Data'!$C$3:$C$3390,$A539)&gt;0,1,0)</f>
        <v>0</v>
      </c>
      <c r="R539">
        <f>IF(COUNTIFS('United Data'!$A$3:$A$3390,R$1,'United Data'!$C$3:$C$3390,$A539)&gt;0,1,0)</f>
        <v>0</v>
      </c>
      <c r="S539">
        <f t="shared" si="16"/>
        <v>2</v>
      </c>
      <c r="T539">
        <f t="shared" si="17"/>
        <v>1</v>
      </c>
    </row>
    <row r="540" spans="1:20" x14ac:dyDescent="0.2">
      <c r="A540" t="s">
        <v>656</v>
      </c>
      <c r="B540">
        <f>IF(COUNTIFS('United Data'!$A$3:$A$3390,B$1,'United Data'!$C$3:$C$3390,$A540)&gt;0,1,0)</f>
        <v>0</v>
      </c>
      <c r="C540">
        <f>IF(COUNTIFS('United Data'!$A$3:$A$3390,C$1,'United Data'!$C$3:$C$3390,$A540)&gt;0,1,0)</f>
        <v>0</v>
      </c>
      <c r="D540">
        <f>IF(COUNTIFS('United Data'!$A$3:$A$3390,D$1,'United Data'!$C$3:$C$3390,$A540)&gt;0,1,0)</f>
        <v>1</v>
      </c>
      <c r="E540">
        <f>IF(COUNTIFS('United Data'!$A$3:$A$3390,E$1,'United Data'!$C$3:$C$3390,$A540)&gt;0,1,0)</f>
        <v>1</v>
      </c>
      <c r="F540">
        <f>IF(COUNTIFS('United Data'!$A$3:$A$3390,F$1,'United Data'!$C$3:$C$3390,$A540)&gt;0,1,0)</f>
        <v>0</v>
      </c>
      <c r="G540">
        <f>IF(COUNTIFS('United Data'!$A$3:$A$3390,G$1,'United Data'!$C$3:$C$3390,$A540)&gt;0,1,0)</f>
        <v>0</v>
      </c>
      <c r="H540">
        <f>IF(COUNTIFS('United Data'!$A$3:$A$3390,H$1,'United Data'!$C$3:$C$3390,$A540)&gt;0,1,0)</f>
        <v>0</v>
      </c>
      <c r="I540">
        <f>IF(COUNTIFS('United Data'!$A$3:$A$3390,I$1,'United Data'!$C$3:$C$3390,$A540)&gt;0,1,0)</f>
        <v>1</v>
      </c>
      <c r="J540">
        <f>IF(COUNTIFS('United Data'!$A$3:$A$3390,J$1,'United Data'!$C$3:$C$3390,$A540)&gt;0,1,0)</f>
        <v>0</v>
      </c>
      <c r="K540">
        <f>IF(COUNTIFS('United Data'!$A$3:$A$3390,K$1,'United Data'!$C$3:$C$3390,$A540)&gt;0,1,0)</f>
        <v>0</v>
      </c>
      <c r="L540">
        <f>IF(COUNTIFS('United Data'!$A$3:$A$3390,L$1,'United Data'!$C$3:$C$3390,$A540)&gt;0,1,0)</f>
        <v>0</v>
      </c>
      <c r="M540">
        <f>IF(COUNTIFS('United Data'!$A$3:$A$3390,M$1,'United Data'!$C$3:$C$3390,$A540)&gt;0,1,0)</f>
        <v>0</v>
      </c>
      <c r="N540">
        <f>IF(COUNTIFS('United Data'!$A$3:$A$3390,N$1,'United Data'!$C$3:$C$3390,$A540)&gt;0,1,0)</f>
        <v>0</v>
      </c>
      <c r="O540">
        <f>IF(COUNTIFS('United Data'!$A$3:$A$3390,O$1,'United Data'!$C$3:$C$3390,$A540)&gt;0,1,0)</f>
        <v>0</v>
      </c>
      <c r="P540">
        <f>IF(COUNTIFS('United Data'!$A$3:$A$3390,P$1,'United Data'!$C$3:$C$3390,$A540)&gt;0,1,0)</f>
        <v>0</v>
      </c>
      <c r="Q540">
        <f>IF(COUNTIFS('United Data'!$A$3:$A$3390,Q$1,'United Data'!$C$3:$C$3390,$A540)&gt;0,1,0)</f>
        <v>0</v>
      </c>
      <c r="R540">
        <f>IF(COUNTIFS('United Data'!$A$3:$A$3390,R$1,'United Data'!$C$3:$C$3390,$A540)&gt;0,1,0)</f>
        <v>0</v>
      </c>
      <c r="S540">
        <f t="shared" si="16"/>
        <v>3</v>
      </c>
      <c r="T540">
        <f t="shared" si="17"/>
        <v>2</v>
      </c>
    </row>
    <row r="541" spans="1:20" x14ac:dyDescent="0.2">
      <c r="A541" t="s">
        <v>657</v>
      </c>
      <c r="B541">
        <f>IF(COUNTIFS('United Data'!$A$3:$A$3390,B$1,'United Data'!$C$3:$C$3390,$A541)&gt;0,1,0)</f>
        <v>0</v>
      </c>
      <c r="C541">
        <f>IF(COUNTIFS('United Data'!$A$3:$A$3390,C$1,'United Data'!$C$3:$C$3390,$A541)&gt;0,1,0)</f>
        <v>0</v>
      </c>
      <c r="D541">
        <f>IF(COUNTIFS('United Data'!$A$3:$A$3390,D$1,'United Data'!$C$3:$C$3390,$A541)&gt;0,1,0)</f>
        <v>1</v>
      </c>
      <c r="E541">
        <f>IF(COUNTIFS('United Data'!$A$3:$A$3390,E$1,'United Data'!$C$3:$C$3390,$A541)&gt;0,1,0)</f>
        <v>1</v>
      </c>
      <c r="F541">
        <f>IF(COUNTIFS('United Data'!$A$3:$A$3390,F$1,'United Data'!$C$3:$C$3390,$A541)&gt;0,1,0)</f>
        <v>0</v>
      </c>
      <c r="G541">
        <f>IF(COUNTIFS('United Data'!$A$3:$A$3390,G$1,'United Data'!$C$3:$C$3390,$A541)&gt;0,1,0)</f>
        <v>0</v>
      </c>
      <c r="H541">
        <f>IF(COUNTIFS('United Data'!$A$3:$A$3390,H$1,'United Data'!$C$3:$C$3390,$A541)&gt;0,1,0)</f>
        <v>0</v>
      </c>
      <c r="I541">
        <f>IF(COUNTIFS('United Data'!$A$3:$A$3390,I$1,'United Data'!$C$3:$C$3390,$A541)&gt;0,1,0)</f>
        <v>1</v>
      </c>
      <c r="J541">
        <f>IF(COUNTIFS('United Data'!$A$3:$A$3390,J$1,'United Data'!$C$3:$C$3390,$A541)&gt;0,1,0)</f>
        <v>0</v>
      </c>
      <c r="K541">
        <f>IF(COUNTIFS('United Data'!$A$3:$A$3390,K$1,'United Data'!$C$3:$C$3390,$A541)&gt;0,1,0)</f>
        <v>0</v>
      </c>
      <c r="L541">
        <f>IF(COUNTIFS('United Data'!$A$3:$A$3390,L$1,'United Data'!$C$3:$C$3390,$A541)&gt;0,1,0)</f>
        <v>0</v>
      </c>
      <c r="M541">
        <f>IF(COUNTIFS('United Data'!$A$3:$A$3390,M$1,'United Data'!$C$3:$C$3390,$A541)&gt;0,1,0)</f>
        <v>0</v>
      </c>
      <c r="N541">
        <f>IF(COUNTIFS('United Data'!$A$3:$A$3390,N$1,'United Data'!$C$3:$C$3390,$A541)&gt;0,1,0)</f>
        <v>0</v>
      </c>
      <c r="O541">
        <f>IF(COUNTIFS('United Data'!$A$3:$A$3390,O$1,'United Data'!$C$3:$C$3390,$A541)&gt;0,1,0)</f>
        <v>0</v>
      </c>
      <c r="P541">
        <f>IF(COUNTIFS('United Data'!$A$3:$A$3390,P$1,'United Data'!$C$3:$C$3390,$A541)&gt;0,1,0)</f>
        <v>0</v>
      </c>
      <c r="Q541">
        <f>IF(COUNTIFS('United Data'!$A$3:$A$3390,Q$1,'United Data'!$C$3:$C$3390,$A541)&gt;0,1,0)</f>
        <v>0</v>
      </c>
      <c r="R541">
        <f>IF(COUNTIFS('United Data'!$A$3:$A$3390,R$1,'United Data'!$C$3:$C$3390,$A541)&gt;0,1,0)</f>
        <v>0</v>
      </c>
      <c r="S541">
        <f t="shared" si="16"/>
        <v>3</v>
      </c>
      <c r="T541">
        <f t="shared" si="17"/>
        <v>2</v>
      </c>
    </row>
    <row r="542" spans="1:20" x14ac:dyDescent="0.2">
      <c r="A542" t="s">
        <v>658</v>
      </c>
      <c r="B542">
        <f>IF(COUNTIFS('United Data'!$A$3:$A$3390,B$1,'United Data'!$C$3:$C$3390,$A542)&gt;0,1,0)</f>
        <v>0</v>
      </c>
      <c r="C542">
        <f>IF(COUNTIFS('United Data'!$A$3:$A$3390,C$1,'United Data'!$C$3:$C$3390,$A542)&gt;0,1,0)</f>
        <v>0</v>
      </c>
      <c r="D542">
        <f>IF(COUNTIFS('United Data'!$A$3:$A$3390,D$1,'United Data'!$C$3:$C$3390,$A542)&gt;0,1,0)</f>
        <v>0</v>
      </c>
      <c r="E542">
        <f>IF(COUNTIFS('United Data'!$A$3:$A$3390,E$1,'United Data'!$C$3:$C$3390,$A542)&gt;0,1,0)</f>
        <v>0</v>
      </c>
      <c r="F542">
        <f>IF(COUNTIFS('United Data'!$A$3:$A$3390,F$1,'United Data'!$C$3:$C$3390,$A542)&gt;0,1,0)</f>
        <v>0</v>
      </c>
      <c r="G542">
        <f>IF(COUNTIFS('United Data'!$A$3:$A$3390,G$1,'United Data'!$C$3:$C$3390,$A542)&gt;0,1,0)</f>
        <v>0</v>
      </c>
      <c r="H542">
        <f>IF(COUNTIFS('United Data'!$A$3:$A$3390,H$1,'United Data'!$C$3:$C$3390,$A542)&gt;0,1,0)</f>
        <v>0</v>
      </c>
      <c r="I542">
        <f>IF(COUNTIFS('United Data'!$A$3:$A$3390,I$1,'United Data'!$C$3:$C$3390,$A542)&gt;0,1,0)</f>
        <v>1</v>
      </c>
      <c r="J542">
        <f>IF(COUNTIFS('United Data'!$A$3:$A$3390,J$1,'United Data'!$C$3:$C$3390,$A542)&gt;0,1,0)</f>
        <v>0</v>
      </c>
      <c r="K542">
        <f>IF(COUNTIFS('United Data'!$A$3:$A$3390,K$1,'United Data'!$C$3:$C$3390,$A542)&gt;0,1,0)</f>
        <v>0</v>
      </c>
      <c r="L542">
        <f>IF(COUNTIFS('United Data'!$A$3:$A$3390,L$1,'United Data'!$C$3:$C$3390,$A542)&gt;0,1,0)</f>
        <v>0</v>
      </c>
      <c r="M542">
        <f>IF(COUNTIFS('United Data'!$A$3:$A$3390,M$1,'United Data'!$C$3:$C$3390,$A542)&gt;0,1,0)</f>
        <v>0</v>
      </c>
      <c r="N542">
        <f>IF(COUNTIFS('United Data'!$A$3:$A$3390,N$1,'United Data'!$C$3:$C$3390,$A542)&gt;0,1,0)</f>
        <v>0</v>
      </c>
      <c r="O542">
        <f>IF(COUNTIFS('United Data'!$A$3:$A$3390,O$1,'United Data'!$C$3:$C$3390,$A542)&gt;0,1,0)</f>
        <v>0</v>
      </c>
      <c r="P542">
        <f>IF(COUNTIFS('United Data'!$A$3:$A$3390,P$1,'United Data'!$C$3:$C$3390,$A542)&gt;0,1,0)</f>
        <v>0</v>
      </c>
      <c r="Q542">
        <f>IF(COUNTIFS('United Data'!$A$3:$A$3390,Q$1,'United Data'!$C$3:$C$3390,$A542)&gt;0,1,0)</f>
        <v>0</v>
      </c>
      <c r="R542">
        <f>IF(COUNTIFS('United Data'!$A$3:$A$3390,R$1,'United Data'!$C$3:$C$3390,$A542)&gt;0,1,0)</f>
        <v>0</v>
      </c>
      <c r="S542">
        <f t="shared" si="16"/>
        <v>1</v>
      </c>
      <c r="T542">
        <f t="shared" si="17"/>
        <v>1</v>
      </c>
    </row>
    <row r="543" spans="1:20" x14ac:dyDescent="0.2">
      <c r="A543" t="s">
        <v>659</v>
      </c>
      <c r="B543">
        <f>IF(COUNTIFS('United Data'!$A$3:$A$3390,B$1,'United Data'!$C$3:$C$3390,$A543)&gt;0,1,0)</f>
        <v>0</v>
      </c>
      <c r="C543">
        <f>IF(COUNTIFS('United Data'!$A$3:$A$3390,C$1,'United Data'!$C$3:$C$3390,$A543)&gt;0,1,0)</f>
        <v>0</v>
      </c>
      <c r="D543">
        <f>IF(COUNTIFS('United Data'!$A$3:$A$3390,D$1,'United Data'!$C$3:$C$3390,$A543)&gt;0,1,0)</f>
        <v>0</v>
      </c>
      <c r="E543">
        <f>IF(COUNTIFS('United Data'!$A$3:$A$3390,E$1,'United Data'!$C$3:$C$3390,$A543)&gt;0,1,0)</f>
        <v>0</v>
      </c>
      <c r="F543">
        <f>IF(COUNTIFS('United Data'!$A$3:$A$3390,F$1,'United Data'!$C$3:$C$3390,$A543)&gt;0,1,0)</f>
        <v>0</v>
      </c>
      <c r="G543">
        <f>IF(COUNTIFS('United Data'!$A$3:$A$3390,G$1,'United Data'!$C$3:$C$3390,$A543)&gt;0,1,0)</f>
        <v>0</v>
      </c>
      <c r="H543">
        <f>IF(COUNTIFS('United Data'!$A$3:$A$3390,H$1,'United Data'!$C$3:$C$3390,$A543)&gt;0,1,0)</f>
        <v>0</v>
      </c>
      <c r="I543">
        <f>IF(COUNTIFS('United Data'!$A$3:$A$3390,I$1,'United Data'!$C$3:$C$3390,$A543)&gt;0,1,0)</f>
        <v>1</v>
      </c>
      <c r="J543">
        <f>IF(COUNTIFS('United Data'!$A$3:$A$3390,J$1,'United Data'!$C$3:$C$3390,$A543)&gt;0,1,0)</f>
        <v>0</v>
      </c>
      <c r="K543">
        <f>IF(COUNTIFS('United Data'!$A$3:$A$3390,K$1,'United Data'!$C$3:$C$3390,$A543)&gt;0,1,0)</f>
        <v>0</v>
      </c>
      <c r="L543">
        <f>IF(COUNTIFS('United Data'!$A$3:$A$3390,L$1,'United Data'!$C$3:$C$3390,$A543)&gt;0,1,0)</f>
        <v>0</v>
      </c>
      <c r="M543">
        <f>IF(COUNTIFS('United Data'!$A$3:$A$3390,M$1,'United Data'!$C$3:$C$3390,$A543)&gt;0,1,0)</f>
        <v>0</v>
      </c>
      <c r="N543">
        <f>IF(COUNTIFS('United Data'!$A$3:$A$3390,N$1,'United Data'!$C$3:$C$3390,$A543)&gt;0,1,0)</f>
        <v>0</v>
      </c>
      <c r="O543">
        <f>IF(COUNTIFS('United Data'!$A$3:$A$3390,O$1,'United Data'!$C$3:$C$3390,$A543)&gt;0,1,0)</f>
        <v>0</v>
      </c>
      <c r="P543">
        <f>IF(COUNTIFS('United Data'!$A$3:$A$3390,P$1,'United Data'!$C$3:$C$3390,$A543)&gt;0,1,0)</f>
        <v>0</v>
      </c>
      <c r="Q543">
        <f>IF(COUNTIFS('United Data'!$A$3:$A$3390,Q$1,'United Data'!$C$3:$C$3390,$A543)&gt;0,1,0)</f>
        <v>0</v>
      </c>
      <c r="R543">
        <f>IF(COUNTIFS('United Data'!$A$3:$A$3390,R$1,'United Data'!$C$3:$C$3390,$A543)&gt;0,1,0)</f>
        <v>0</v>
      </c>
      <c r="S543">
        <f t="shared" si="16"/>
        <v>1</v>
      </c>
      <c r="T543">
        <f t="shared" si="17"/>
        <v>1</v>
      </c>
    </row>
    <row r="544" spans="1:20" x14ac:dyDescent="0.2">
      <c r="A544" t="s">
        <v>660</v>
      </c>
      <c r="B544">
        <f>IF(COUNTIFS('United Data'!$A$3:$A$3390,B$1,'United Data'!$C$3:$C$3390,$A544)&gt;0,1,0)</f>
        <v>0</v>
      </c>
      <c r="C544">
        <f>IF(COUNTIFS('United Data'!$A$3:$A$3390,C$1,'United Data'!$C$3:$C$3390,$A544)&gt;0,1,0)</f>
        <v>0</v>
      </c>
      <c r="D544">
        <f>IF(COUNTIFS('United Data'!$A$3:$A$3390,D$1,'United Data'!$C$3:$C$3390,$A544)&gt;0,1,0)</f>
        <v>0</v>
      </c>
      <c r="E544">
        <f>IF(COUNTIFS('United Data'!$A$3:$A$3390,E$1,'United Data'!$C$3:$C$3390,$A544)&gt;0,1,0)</f>
        <v>0</v>
      </c>
      <c r="F544">
        <f>IF(COUNTIFS('United Data'!$A$3:$A$3390,F$1,'United Data'!$C$3:$C$3390,$A544)&gt;0,1,0)</f>
        <v>0</v>
      </c>
      <c r="G544">
        <f>IF(COUNTIFS('United Data'!$A$3:$A$3390,G$1,'United Data'!$C$3:$C$3390,$A544)&gt;0,1,0)</f>
        <v>0</v>
      </c>
      <c r="H544">
        <f>IF(COUNTIFS('United Data'!$A$3:$A$3390,H$1,'United Data'!$C$3:$C$3390,$A544)&gt;0,1,0)</f>
        <v>0</v>
      </c>
      <c r="I544">
        <f>IF(COUNTIFS('United Data'!$A$3:$A$3390,I$1,'United Data'!$C$3:$C$3390,$A544)&gt;0,1,0)</f>
        <v>1</v>
      </c>
      <c r="J544">
        <f>IF(COUNTIFS('United Data'!$A$3:$A$3390,J$1,'United Data'!$C$3:$C$3390,$A544)&gt;0,1,0)</f>
        <v>0</v>
      </c>
      <c r="K544">
        <f>IF(COUNTIFS('United Data'!$A$3:$A$3390,K$1,'United Data'!$C$3:$C$3390,$A544)&gt;0,1,0)</f>
        <v>0</v>
      </c>
      <c r="L544">
        <f>IF(COUNTIFS('United Data'!$A$3:$A$3390,L$1,'United Data'!$C$3:$C$3390,$A544)&gt;0,1,0)</f>
        <v>0</v>
      </c>
      <c r="M544">
        <f>IF(COUNTIFS('United Data'!$A$3:$A$3390,M$1,'United Data'!$C$3:$C$3390,$A544)&gt;0,1,0)</f>
        <v>0</v>
      </c>
      <c r="N544">
        <f>IF(COUNTIFS('United Data'!$A$3:$A$3390,N$1,'United Data'!$C$3:$C$3390,$A544)&gt;0,1,0)</f>
        <v>0</v>
      </c>
      <c r="O544">
        <f>IF(COUNTIFS('United Data'!$A$3:$A$3390,O$1,'United Data'!$C$3:$C$3390,$A544)&gt;0,1,0)</f>
        <v>0</v>
      </c>
      <c r="P544">
        <f>IF(COUNTIFS('United Data'!$A$3:$A$3390,P$1,'United Data'!$C$3:$C$3390,$A544)&gt;0,1,0)</f>
        <v>0</v>
      </c>
      <c r="Q544">
        <f>IF(COUNTIFS('United Data'!$A$3:$A$3390,Q$1,'United Data'!$C$3:$C$3390,$A544)&gt;0,1,0)</f>
        <v>0</v>
      </c>
      <c r="R544">
        <f>IF(COUNTIFS('United Data'!$A$3:$A$3390,R$1,'United Data'!$C$3:$C$3390,$A544)&gt;0,1,0)</f>
        <v>0</v>
      </c>
      <c r="S544">
        <f t="shared" si="16"/>
        <v>1</v>
      </c>
      <c r="T544">
        <f t="shared" si="17"/>
        <v>1</v>
      </c>
    </row>
    <row r="545" spans="1:20" x14ac:dyDescent="0.2">
      <c r="A545" t="s">
        <v>661</v>
      </c>
      <c r="B545">
        <f>IF(COUNTIFS('United Data'!$A$3:$A$3390,B$1,'United Data'!$C$3:$C$3390,$A545)&gt;0,1,0)</f>
        <v>0</v>
      </c>
      <c r="C545">
        <f>IF(COUNTIFS('United Data'!$A$3:$A$3390,C$1,'United Data'!$C$3:$C$3390,$A545)&gt;0,1,0)</f>
        <v>0</v>
      </c>
      <c r="D545">
        <f>IF(COUNTIFS('United Data'!$A$3:$A$3390,D$1,'United Data'!$C$3:$C$3390,$A545)&gt;0,1,0)</f>
        <v>0</v>
      </c>
      <c r="E545">
        <f>IF(COUNTIFS('United Data'!$A$3:$A$3390,E$1,'United Data'!$C$3:$C$3390,$A545)&gt;0,1,0)</f>
        <v>0</v>
      </c>
      <c r="F545">
        <f>IF(COUNTIFS('United Data'!$A$3:$A$3390,F$1,'United Data'!$C$3:$C$3390,$A545)&gt;0,1,0)</f>
        <v>0</v>
      </c>
      <c r="G545">
        <f>IF(COUNTIFS('United Data'!$A$3:$A$3390,G$1,'United Data'!$C$3:$C$3390,$A545)&gt;0,1,0)</f>
        <v>0</v>
      </c>
      <c r="H545">
        <f>IF(COUNTIFS('United Data'!$A$3:$A$3390,H$1,'United Data'!$C$3:$C$3390,$A545)&gt;0,1,0)</f>
        <v>0</v>
      </c>
      <c r="I545">
        <f>IF(COUNTIFS('United Data'!$A$3:$A$3390,I$1,'United Data'!$C$3:$C$3390,$A545)&gt;0,1,0)</f>
        <v>1</v>
      </c>
      <c r="J545">
        <f>IF(COUNTIFS('United Data'!$A$3:$A$3390,J$1,'United Data'!$C$3:$C$3390,$A545)&gt;0,1,0)</f>
        <v>0</v>
      </c>
      <c r="K545">
        <f>IF(COUNTIFS('United Data'!$A$3:$A$3390,K$1,'United Data'!$C$3:$C$3390,$A545)&gt;0,1,0)</f>
        <v>0</v>
      </c>
      <c r="L545">
        <f>IF(COUNTIFS('United Data'!$A$3:$A$3390,L$1,'United Data'!$C$3:$C$3390,$A545)&gt;0,1,0)</f>
        <v>0</v>
      </c>
      <c r="M545">
        <f>IF(COUNTIFS('United Data'!$A$3:$A$3390,M$1,'United Data'!$C$3:$C$3390,$A545)&gt;0,1,0)</f>
        <v>0</v>
      </c>
      <c r="N545">
        <f>IF(COUNTIFS('United Data'!$A$3:$A$3390,N$1,'United Data'!$C$3:$C$3390,$A545)&gt;0,1,0)</f>
        <v>0</v>
      </c>
      <c r="O545">
        <f>IF(COUNTIFS('United Data'!$A$3:$A$3390,O$1,'United Data'!$C$3:$C$3390,$A545)&gt;0,1,0)</f>
        <v>0</v>
      </c>
      <c r="P545">
        <f>IF(COUNTIFS('United Data'!$A$3:$A$3390,P$1,'United Data'!$C$3:$C$3390,$A545)&gt;0,1,0)</f>
        <v>0</v>
      </c>
      <c r="Q545">
        <f>IF(COUNTIFS('United Data'!$A$3:$A$3390,Q$1,'United Data'!$C$3:$C$3390,$A545)&gt;0,1,0)</f>
        <v>0</v>
      </c>
      <c r="R545">
        <f>IF(COUNTIFS('United Data'!$A$3:$A$3390,R$1,'United Data'!$C$3:$C$3390,$A545)&gt;0,1,0)</f>
        <v>0</v>
      </c>
      <c r="S545">
        <f t="shared" si="16"/>
        <v>1</v>
      </c>
      <c r="T545">
        <f t="shared" si="17"/>
        <v>1</v>
      </c>
    </row>
    <row r="546" spans="1:20" x14ac:dyDescent="0.2">
      <c r="A546" t="s">
        <v>662</v>
      </c>
      <c r="B546">
        <f>IF(COUNTIFS('United Data'!$A$3:$A$3390,B$1,'United Data'!$C$3:$C$3390,$A546)&gt;0,1,0)</f>
        <v>0</v>
      </c>
      <c r="C546">
        <f>IF(COUNTIFS('United Data'!$A$3:$A$3390,C$1,'United Data'!$C$3:$C$3390,$A546)&gt;0,1,0)</f>
        <v>0</v>
      </c>
      <c r="D546">
        <f>IF(COUNTIFS('United Data'!$A$3:$A$3390,D$1,'United Data'!$C$3:$C$3390,$A546)&gt;0,1,0)</f>
        <v>0</v>
      </c>
      <c r="E546">
        <f>IF(COUNTIFS('United Data'!$A$3:$A$3390,E$1,'United Data'!$C$3:$C$3390,$A546)&gt;0,1,0)</f>
        <v>0</v>
      </c>
      <c r="F546">
        <f>IF(COUNTIFS('United Data'!$A$3:$A$3390,F$1,'United Data'!$C$3:$C$3390,$A546)&gt;0,1,0)</f>
        <v>0</v>
      </c>
      <c r="G546">
        <f>IF(COUNTIFS('United Data'!$A$3:$A$3390,G$1,'United Data'!$C$3:$C$3390,$A546)&gt;0,1,0)</f>
        <v>0</v>
      </c>
      <c r="H546">
        <f>IF(COUNTIFS('United Data'!$A$3:$A$3390,H$1,'United Data'!$C$3:$C$3390,$A546)&gt;0,1,0)</f>
        <v>0</v>
      </c>
      <c r="I546">
        <f>IF(COUNTIFS('United Data'!$A$3:$A$3390,I$1,'United Data'!$C$3:$C$3390,$A546)&gt;0,1,0)</f>
        <v>1</v>
      </c>
      <c r="J546">
        <f>IF(COUNTIFS('United Data'!$A$3:$A$3390,J$1,'United Data'!$C$3:$C$3390,$A546)&gt;0,1,0)</f>
        <v>0</v>
      </c>
      <c r="K546">
        <f>IF(COUNTIFS('United Data'!$A$3:$A$3390,K$1,'United Data'!$C$3:$C$3390,$A546)&gt;0,1,0)</f>
        <v>0</v>
      </c>
      <c r="L546">
        <f>IF(COUNTIFS('United Data'!$A$3:$A$3390,L$1,'United Data'!$C$3:$C$3390,$A546)&gt;0,1,0)</f>
        <v>0</v>
      </c>
      <c r="M546">
        <f>IF(COUNTIFS('United Data'!$A$3:$A$3390,M$1,'United Data'!$C$3:$C$3390,$A546)&gt;0,1,0)</f>
        <v>0</v>
      </c>
      <c r="N546">
        <f>IF(COUNTIFS('United Data'!$A$3:$A$3390,N$1,'United Data'!$C$3:$C$3390,$A546)&gt;0,1,0)</f>
        <v>0</v>
      </c>
      <c r="O546">
        <f>IF(COUNTIFS('United Data'!$A$3:$A$3390,O$1,'United Data'!$C$3:$C$3390,$A546)&gt;0,1,0)</f>
        <v>0</v>
      </c>
      <c r="P546">
        <f>IF(COUNTIFS('United Data'!$A$3:$A$3390,P$1,'United Data'!$C$3:$C$3390,$A546)&gt;0,1,0)</f>
        <v>0</v>
      </c>
      <c r="Q546">
        <f>IF(COUNTIFS('United Data'!$A$3:$A$3390,Q$1,'United Data'!$C$3:$C$3390,$A546)&gt;0,1,0)</f>
        <v>0</v>
      </c>
      <c r="R546">
        <f>IF(COUNTIFS('United Data'!$A$3:$A$3390,R$1,'United Data'!$C$3:$C$3390,$A546)&gt;0,1,0)</f>
        <v>0</v>
      </c>
      <c r="S546">
        <f t="shared" si="16"/>
        <v>1</v>
      </c>
      <c r="T546">
        <f t="shared" si="17"/>
        <v>1</v>
      </c>
    </row>
    <row r="547" spans="1:20" x14ac:dyDescent="0.2">
      <c r="A547" t="s">
        <v>663</v>
      </c>
      <c r="B547">
        <f>IF(COUNTIFS('United Data'!$A$3:$A$3390,B$1,'United Data'!$C$3:$C$3390,$A547)&gt;0,1,0)</f>
        <v>0</v>
      </c>
      <c r="C547">
        <f>IF(COUNTIFS('United Data'!$A$3:$A$3390,C$1,'United Data'!$C$3:$C$3390,$A547)&gt;0,1,0)</f>
        <v>0</v>
      </c>
      <c r="D547">
        <f>IF(COUNTIFS('United Data'!$A$3:$A$3390,D$1,'United Data'!$C$3:$C$3390,$A547)&gt;0,1,0)</f>
        <v>0</v>
      </c>
      <c r="E547">
        <f>IF(COUNTIFS('United Data'!$A$3:$A$3390,E$1,'United Data'!$C$3:$C$3390,$A547)&gt;0,1,0)</f>
        <v>0</v>
      </c>
      <c r="F547">
        <f>IF(COUNTIFS('United Data'!$A$3:$A$3390,F$1,'United Data'!$C$3:$C$3390,$A547)&gt;0,1,0)</f>
        <v>0</v>
      </c>
      <c r="G547">
        <f>IF(COUNTIFS('United Data'!$A$3:$A$3390,G$1,'United Data'!$C$3:$C$3390,$A547)&gt;0,1,0)</f>
        <v>0</v>
      </c>
      <c r="H547">
        <f>IF(COUNTIFS('United Data'!$A$3:$A$3390,H$1,'United Data'!$C$3:$C$3390,$A547)&gt;0,1,0)</f>
        <v>0</v>
      </c>
      <c r="I547">
        <f>IF(COUNTIFS('United Data'!$A$3:$A$3390,I$1,'United Data'!$C$3:$C$3390,$A547)&gt;0,1,0)</f>
        <v>1</v>
      </c>
      <c r="J547">
        <f>IF(COUNTIFS('United Data'!$A$3:$A$3390,J$1,'United Data'!$C$3:$C$3390,$A547)&gt;0,1,0)</f>
        <v>0</v>
      </c>
      <c r="K547">
        <f>IF(COUNTIFS('United Data'!$A$3:$A$3390,K$1,'United Data'!$C$3:$C$3390,$A547)&gt;0,1,0)</f>
        <v>0</v>
      </c>
      <c r="L547">
        <f>IF(COUNTIFS('United Data'!$A$3:$A$3390,L$1,'United Data'!$C$3:$C$3390,$A547)&gt;0,1,0)</f>
        <v>0</v>
      </c>
      <c r="M547">
        <f>IF(COUNTIFS('United Data'!$A$3:$A$3390,M$1,'United Data'!$C$3:$C$3390,$A547)&gt;0,1,0)</f>
        <v>0</v>
      </c>
      <c r="N547">
        <f>IF(COUNTIFS('United Data'!$A$3:$A$3390,N$1,'United Data'!$C$3:$C$3390,$A547)&gt;0,1,0)</f>
        <v>0</v>
      </c>
      <c r="O547">
        <f>IF(COUNTIFS('United Data'!$A$3:$A$3390,O$1,'United Data'!$C$3:$C$3390,$A547)&gt;0,1,0)</f>
        <v>0</v>
      </c>
      <c r="P547">
        <f>IF(COUNTIFS('United Data'!$A$3:$A$3390,P$1,'United Data'!$C$3:$C$3390,$A547)&gt;0,1,0)</f>
        <v>0</v>
      </c>
      <c r="Q547">
        <f>IF(COUNTIFS('United Data'!$A$3:$A$3390,Q$1,'United Data'!$C$3:$C$3390,$A547)&gt;0,1,0)</f>
        <v>0</v>
      </c>
      <c r="R547">
        <f>IF(COUNTIFS('United Data'!$A$3:$A$3390,R$1,'United Data'!$C$3:$C$3390,$A547)&gt;0,1,0)</f>
        <v>0</v>
      </c>
      <c r="S547">
        <f t="shared" si="16"/>
        <v>1</v>
      </c>
      <c r="T547">
        <f t="shared" si="17"/>
        <v>1</v>
      </c>
    </row>
    <row r="548" spans="1:20" x14ac:dyDescent="0.2">
      <c r="A548" t="s">
        <v>664</v>
      </c>
      <c r="B548">
        <f>IF(COUNTIFS('United Data'!$A$3:$A$3390,B$1,'United Data'!$C$3:$C$3390,$A548)&gt;0,1,0)</f>
        <v>0</v>
      </c>
      <c r="C548">
        <f>IF(COUNTIFS('United Data'!$A$3:$A$3390,C$1,'United Data'!$C$3:$C$3390,$A548)&gt;0,1,0)</f>
        <v>0</v>
      </c>
      <c r="D548">
        <f>IF(COUNTIFS('United Data'!$A$3:$A$3390,D$1,'United Data'!$C$3:$C$3390,$A548)&gt;0,1,0)</f>
        <v>0</v>
      </c>
      <c r="E548">
        <f>IF(COUNTIFS('United Data'!$A$3:$A$3390,E$1,'United Data'!$C$3:$C$3390,$A548)&gt;0,1,0)</f>
        <v>1</v>
      </c>
      <c r="F548">
        <f>IF(COUNTIFS('United Data'!$A$3:$A$3390,F$1,'United Data'!$C$3:$C$3390,$A548)&gt;0,1,0)</f>
        <v>1</v>
      </c>
      <c r="G548">
        <f>IF(COUNTIFS('United Data'!$A$3:$A$3390,G$1,'United Data'!$C$3:$C$3390,$A548)&gt;0,1,0)</f>
        <v>1</v>
      </c>
      <c r="H548">
        <f>IF(COUNTIFS('United Data'!$A$3:$A$3390,H$1,'United Data'!$C$3:$C$3390,$A548)&gt;0,1,0)</f>
        <v>0</v>
      </c>
      <c r="I548">
        <f>IF(COUNTIFS('United Data'!$A$3:$A$3390,I$1,'United Data'!$C$3:$C$3390,$A548)&gt;0,1,0)</f>
        <v>1</v>
      </c>
      <c r="J548">
        <f>IF(COUNTIFS('United Data'!$A$3:$A$3390,J$1,'United Data'!$C$3:$C$3390,$A548)&gt;0,1,0)</f>
        <v>0</v>
      </c>
      <c r="K548">
        <f>IF(COUNTIFS('United Data'!$A$3:$A$3390,K$1,'United Data'!$C$3:$C$3390,$A548)&gt;0,1,0)</f>
        <v>0</v>
      </c>
      <c r="L548">
        <f>IF(COUNTIFS('United Data'!$A$3:$A$3390,L$1,'United Data'!$C$3:$C$3390,$A548)&gt;0,1,0)</f>
        <v>1</v>
      </c>
      <c r="M548">
        <f>IF(COUNTIFS('United Data'!$A$3:$A$3390,M$1,'United Data'!$C$3:$C$3390,$A548)&gt;0,1,0)</f>
        <v>0</v>
      </c>
      <c r="N548">
        <f>IF(COUNTIFS('United Data'!$A$3:$A$3390,N$1,'United Data'!$C$3:$C$3390,$A548)&gt;0,1,0)</f>
        <v>0</v>
      </c>
      <c r="O548">
        <f>IF(COUNTIFS('United Data'!$A$3:$A$3390,O$1,'United Data'!$C$3:$C$3390,$A548)&gt;0,1,0)</f>
        <v>0</v>
      </c>
      <c r="P548">
        <f>IF(COUNTIFS('United Data'!$A$3:$A$3390,P$1,'United Data'!$C$3:$C$3390,$A548)&gt;0,1,0)</f>
        <v>0</v>
      </c>
      <c r="Q548">
        <f>IF(COUNTIFS('United Data'!$A$3:$A$3390,Q$1,'United Data'!$C$3:$C$3390,$A548)&gt;0,1,0)</f>
        <v>0</v>
      </c>
      <c r="R548">
        <f>IF(COUNTIFS('United Data'!$A$3:$A$3390,R$1,'United Data'!$C$3:$C$3390,$A548)&gt;0,1,0)</f>
        <v>0</v>
      </c>
      <c r="S548">
        <f t="shared" si="16"/>
        <v>5</v>
      </c>
      <c r="T548">
        <f t="shared" si="17"/>
        <v>3</v>
      </c>
    </row>
    <row r="549" spans="1:20" x14ac:dyDescent="0.2">
      <c r="A549" t="s">
        <v>665</v>
      </c>
      <c r="B549">
        <f>IF(COUNTIFS('United Data'!$A$3:$A$3390,B$1,'United Data'!$C$3:$C$3390,$A549)&gt;0,1,0)</f>
        <v>0</v>
      </c>
      <c r="C549">
        <f>IF(COUNTIFS('United Data'!$A$3:$A$3390,C$1,'United Data'!$C$3:$C$3390,$A549)&gt;0,1,0)</f>
        <v>0</v>
      </c>
      <c r="D549">
        <f>IF(COUNTIFS('United Data'!$A$3:$A$3390,D$1,'United Data'!$C$3:$C$3390,$A549)&gt;0,1,0)</f>
        <v>0</v>
      </c>
      <c r="E549">
        <f>IF(COUNTIFS('United Data'!$A$3:$A$3390,E$1,'United Data'!$C$3:$C$3390,$A549)&gt;0,1,0)</f>
        <v>0</v>
      </c>
      <c r="F549">
        <f>IF(COUNTIFS('United Data'!$A$3:$A$3390,F$1,'United Data'!$C$3:$C$3390,$A549)&gt;0,1,0)</f>
        <v>0</v>
      </c>
      <c r="G549">
        <f>IF(COUNTIFS('United Data'!$A$3:$A$3390,G$1,'United Data'!$C$3:$C$3390,$A549)&gt;0,1,0)</f>
        <v>0</v>
      </c>
      <c r="H549">
        <f>IF(COUNTIFS('United Data'!$A$3:$A$3390,H$1,'United Data'!$C$3:$C$3390,$A549)&gt;0,1,0)</f>
        <v>0</v>
      </c>
      <c r="I549">
        <f>IF(COUNTIFS('United Data'!$A$3:$A$3390,I$1,'United Data'!$C$3:$C$3390,$A549)&gt;0,1,0)</f>
        <v>1</v>
      </c>
      <c r="J549">
        <f>IF(COUNTIFS('United Data'!$A$3:$A$3390,J$1,'United Data'!$C$3:$C$3390,$A549)&gt;0,1,0)</f>
        <v>0</v>
      </c>
      <c r="K549">
        <f>IF(COUNTIFS('United Data'!$A$3:$A$3390,K$1,'United Data'!$C$3:$C$3390,$A549)&gt;0,1,0)</f>
        <v>0</v>
      </c>
      <c r="L549">
        <f>IF(COUNTIFS('United Data'!$A$3:$A$3390,L$1,'United Data'!$C$3:$C$3390,$A549)&gt;0,1,0)</f>
        <v>0</v>
      </c>
      <c r="M549">
        <f>IF(COUNTIFS('United Data'!$A$3:$A$3390,M$1,'United Data'!$C$3:$C$3390,$A549)&gt;0,1,0)</f>
        <v>0</v>
      </c>
      <c r="N549">
        <f>IF(COUNTIFS('United Data'!$A$3:$A$3390,N$1,'United Data'!$C$3:$C$3390,$A549)&gt;0,1,0)</f>
        <v>0</v>
      </c>
      <c r="O549">
        <f>IF(COUNTIFS('United Data'!$A$3:$A$3390,O$1,'United Data'!$C$3:$C$3390,$A549)&gt;0,1,0)</f>
        <v>0</v>
      </c>
      <c r="P549">
        <f>IF(COUNTIFS('United Data'!$A$3:$A$3390,P$1,'United Data'!$C$3:$C$3390,$A549)&gt;0,1,0)</f>
        <v>0</v>
      </c>
      <c r="Q549">
        <f>IF(COUNTIFS('United Data'!$A$3:$A$3390,Q$1,'United Data'!$C$3:$C$3390,$A549)&gt;0,1,0)</f>
        <v>0</v>
      </c>
      <c r="R549">
        <f>IF(COUNTIFS('United Data'!$A$3:$A$3390,R$1,'United Data'!$C$3:$C$3390,$A549)&gt;0,1,0)</f>
        <v>0</v>
      </c>
      <c r="S549">
        <f t="shared" si="16"/>
        <v>1</v>
      </c>
      <c r="T549">
        <f t="shared" si="17"/>
        <v>1</v>
      </c>
    </row>
    <row r="550" spans="1:20" x14ac:dyDescent="0.2">
      <c r="A550" t="s">
        <v>667</v>
      </c>
      <c r="B550">
        <f>IF(COUNTIFS('United Data'!$A$3:$A$3390,B$1,'United Data'!$C$3:$C$3390,$A550)&gt;0,1,0)</f>
        <v>0</v>
      </c>
      <c r="C550">
        <f>IF(COUNTIFS('United Data'!$A$3:$A$3390,C$1,'United Data'!$C$3:$C$3390,$A550)&gt;0,1,0)</f>
        <v>0</v>
      </c>
      <c r="D550">
        <f>IF(COUNTIFS('United Data'!$A$3:$A$3390,D$1,'United Data'!$C$3:$C$3390,$A550)&gt;0,1,0)</f>
        <v>0</v>
      </c>
      <c r="E550">
        <f>IF(COUNTIFS('United Data'!$A$3:$A$3390,E$1,'United Data'!$C$3:$C$3390,$A550)&gt;0,1,0)</f>
        <v>0</v>
      </c>
      <c r="F550">
        <f>IF(COUNTIFS('United Data'!$A$3:$A$3390,F$1,'United Data'!$C$3:$C$3390,$A550)&gt;0,1,0)</f>
        <v>0</v>
      </c>
      <c r="G550">
        <f>IF(COUNTIFS('United Data'!$A$3:$A$3390,G$1,'United Data'!$C$3:$C$3390,$A550)&gt;0,1,0)</f>
        <v>0</v>
      </c>
      <c r="H550">
        <f>IF(COUNTIFS('United Data'!$A$3:$A$3390,H$1,'United Data'!$C$3:$C$3390,$A550)&gt;0,1,0)</f>
        <v>0</v>
      </c>
      <c r="I550">
        <f>IF(COUNTIFS('United Data'!$A$3:$A$3390,I$1,'United Data'!$C$3:$C$3390,$A550)&gt;0,1,0)</f>
        <v>0</v>
      </c>
      <c r="J550">
        <f>IF(COUNTIFS('United Data'!$A$3:$A$3390,J$1,'United Data'!$C$3:$C$3390,$A550)&gt;0,1,0)</f>
        <v>1</v>
      </c>
      <c r="K550">
        <f>IF(COUNTIFS('United Data'!$A$3:$A$3390,K$1,'United Data'!$C$3:$C$3390,$A550)&gt;0,1,0)</f>
        <v>0</v>
      </c>
      <c r="L550">
        <f>IF(COUNTIFS('United Data'!$A$3:$A$3390,L$1,'United Data'!$C$3:$C$3390,$A550)&gt;0,1,0)</f>
        <v>0</v>
      </c>
      <c r="M550">
        <f>IF(COUNTIFS('United Data'!$A$3:$A$3390,M$1,'United Data'!$C$3:$C$3390,$A550)&gt;0,1,0)</f>
        <v>0</v>
      </c>
      <c r="N550">
        <f>IF(COUNTIFS('United Data'!$A$3:$A$3390,N$1,'United Data'!$C$3:$C$3390,$A550)&gt;0,1,0)</f>
        <v>0</v>
      </c>
      <c r="O550">
        <f>IF(COUNTIFS('United Data'!$A$3:$A$3390,O$1,'United Data'!$C$3:$C$3390,$A550)&gt;0,1,0)</f>
        <v>0</v>
      </c>
      <c r="P550">
        <f>IF(COUNTIFS('United Data'!$A$3:$A$3390,P$1,'United Data'!$C$3:$C$3390,$A550)&gt;0,1,0)</f>
        <v>0</v>
      </c>
      <c r="Q550">
        <f>IF(COUNTIFS('United Data'!$A$3:$A$3390,Q$1,'United Data'!$C$3:$C$3390,$A550)&gt;0,1,0)</f>
        <v>0</v>
      </c>
      <c r="R550">
        <f>IF(COUNTIFS('United Data'!$A$3:$A$3390,R$1,'United Data'!$C$3:$C$3390,$A550)&gt;0,1,0)</f>
        <v>0</v>
      </c>
      <c r="S550">
        <f t="shared" si="16"/>
        <v>1</v>
      </c>
      <c r="T550">
        <f t="shared" si="17"/>
        <v>1</v>
      </c>
    </row>
    <row r="551" spans="1:20" x14ac:dyDescent="0.2">
      <c r="A551" t="s">
        <v>668</v>
      </c>
      <c r="B551">
        <f>IF(COUNTIFS('United Data'!$A$3:$A$3390,B$1,'United Data'!$C$3:$C$3390,$A551)&gt;0,1,0)</f>
        <v>0</v>
      </c>
      <c r="C551">
        <f>IF(COUNTIFS('United Data'!$A$3:$A$3390,C$1,'United Data'!$C$3:$C$3390,$A551)&gt;0,1,0)</f>
        <v>0</v>
      </c>
      <c r="D551">
        <f>IF(COUNTIFS('United Data'!$A$3:$A$3390,D$1,'United Data'!$C$3:$C$3390,$A551)&gt;0,1,0)</f>
        <v>0</v>
      </c>
      <c r="E551">
        <f>IF(COUNTIFS('United Data'!$A$3:$A$3390,E$1,'United Data'!$C$3:$C$3390,$A551)&gt;0,1,0)</f>
        <v>0</v>
      </c>
      <c r="F551">
        <f>IF(COUNTIFS('United Data'!$A$3:$A$3390,F$1,'United Data'!$C$3:$C$3390,$A551)&gt;0,1,0)</f>
        <v>0</v>
      </c>
      <c r="G551">
        <f>IF(COUNTIFS('United Data'!$A$3:$A$3390,G$1,'United Data'!$C$3:$C$3390,$A551)&gt;0,1,0)</f>
        <v>0</v>
      </c>
      <c r="H551">
        <f>IF(COUNTIFS('United Data'!$A$3:$A$3390,H$1,'United Data'!$C$3:$C$3390,$A551)&gt;0,1,0)</f>
        <v>0</v>
      </c>
      <c r="I551">
        <f>IF(COUNTIFS('United Data'!$A$3:$A$3390,I$1,'United Data'!$C$3:$C$3390,$A551)&gt;0,1,0)</f>
        <v>0</v>
      </c>
      <c r="J551">
        <f>IF(COUNTIFS('United Data'!$A$3:$A$3390,J$1,'United Data'!$C$3:$C$3390,$A551)&gt;0,1,0)</f>
        <v>0</v>
      </c>
      <c r="K551">
        <f>IF(COUNTIFS('United Data'!$A$3:$A$3390,K$1,'United Data'!$C$3:$C$3390,$A551)&gt;0,1,0)</f>
        <v>1</v>
      </c>
      <c r="L551">
        <f>IF(COUNTIFS('United Data'!$A$3:$A$3390,L$1,'United Data'!$C$3:$C$3390,$A551)&gt;0,1,0)</f>
        <v>0</v>
      </c>
      <c r="M551">
        <f>IF(COUNTIFS('United Data'!$A$3:$A$3390,M$1,'United Data'!$C$3:$C$3390,$A551)&gt;0,1,0)</f>
        <v>0</v>
      </c>
      <c r="N551">
        <f>IF(COUNTIFS('United Data'!$A$3:$A$3390,N$1,'United Data'!$C$3:$C$3390,$A551)&gt;0,1,0)</f>
        <v>0</v>
      </c>
      <c r="O551">
        <f>IF(COUNTIFS('United Data'!$A$3:$A$3390,O$1,'United Data'!$C$3:$C$3390,$A551)&gt;0,1,0)</f>
        <v>0</v>
      </c>
      <c r="P551">
        <f>IF(COUNTIFS('United Data'!$A$3:$A$3390,P$1,'United Data'!$C$3:$C$3390,$A551)&gt;0,1,0)</f>
        <v>0</v>
      </c>
      <c r="Q551">
        <f>IF(COUNTIFS('United Data'!$A$3:$A$3390,Q$1,'United Data'!$C$3:$C$3390,$A551)&gt;0,1,0)</f>
        <v>0</v>
      </c>
      <c r="R551">
        <f>IF(COUNTIFS('United Data'!$A$3:$A$3390,R$1,'United Data'!$C$3:$C$3390,$A551)&gt;0,1,0)</f>
        <v>0</v>
      </c>
      <c r="S551">
        <f t="shared" si="16"/>
        <v>1</v>
      </c>
      <c r="T551">
        <f t="shared" si="17"/>
        <v>1</v>
      </c>
    </row>
    <row r="552" spans="1:20" x14ac:dyDescent="0.2">
      <c r="A552" t="s">
        <v>670</v>
      </c>
      <c r="B552">
        <f>IF(COUNTIFS('United Data'!$A$3:$A$3390,B$1,'United Data'!$C$3:$C$3390,$A552)&gt;0,1,0)</f>
        <v>0</v>
      </c>
      <c r="C552">
        <f>IF(COUNTIFS('United Data'!$A$3:$A$3390,C$1,'United Data'!$C$3:$C$3390,$A552)&gt;0,1,0)</f>
        <v>0</v>
      </c>
      <c r="D552">
        <f>IF(COUNTIFS('United Data'!$A$3:$A$3390,D$1,'United Data'!$C$3:$C$3390,$A552)&gt;0,1,0)</f>
        <v>0</v>
      </c>
      <c r="E552">
        <f>IF(COUNTIFS('United Data'!$A$3:$A$3390,E$1,'United Data'!$C$3:$C$3390,$A552)&gt;0,1,0)</f>
        <v>0</v>
      </c>
      <c r="F552">
        <f>IF(COUNTIFS('United Data'!$A$3:$A$3390,F$1,'United Data'!$C$3:$C$3390,$A552)&gt;0,1,0)</f>
        <v>0</v>
      </c>
      <c r="G552">
        <f>IF(COUNTIFS('United Data'!$A$3:$A$3390,G$1,'United Data'!$C$3:$C$3390,$A552)&gt;0,1,0)</f>
        <v>0</v>
      </c>
      <c r="H552">
        <f>IF(COUNTIFS('United Data'!$A$3:$A$3390,H$1,'United Data'!$C$3:$C$3390,$A552)&gt;0,1,0)</f>
        <v>0</v>
      </c>
      <c r="I552">
        <f>IF(COUNTIFS('United Data'!$A$3:$A$3390,I$1,'United Data'!$C$3:$C$3390,$A552)&gt;0,1,0)</f>
        <v>0</v>
      </c>
      <c r="J552">
        <f>IF(COUNTIFS('United Data'!$A$3:$A$3390,J$1,'United Data'!$C$3:$C$3390,$A552)&gt;0,1,0)</f>
        <v>0</v>
      </c>
      <c r="K552">
        <f>IF(COUNTIFS('United Data'!$A$3:$A$3390,K$1,'United Data'!$C$3:$C$3390,$A552)&gt;0,1,0)</f>
        <v>1</v>
      </c>
      <c r="L552">
        <f>IF(COUNTIFS('United Data'!$A$3:$A$3390,L$1,'United Data'!$C$3:$C$3390,$A552)&gt;0,1,0)</f>
        <v>0</v>
      </c>
      <c r="M552">
        <f>IF(COUNTIFS('United Data'!$A$3:$A$3390,M$1,'United Data'!$C$3:$C$3390,$A552)&gt;0,1,0)</f>
        <v>0</v>
      </c>
      <c r="N552">
        <f>IF(COUNTIFS('United Data'!$A$3:$A$3390,N$1,'United Data'!$C$3:$C$3390,$A552)&gt;0,1,0)</f>
        <v>0</v>
      </c>
      <c r="O552">
        <f>IF(COUNTIFS('United Data'!$A$3:$A$3390,O$1,'United Data'!$C$3:$C$3390,$A552)&gt;0,1,0)</f>
        <v>0</v>
      </c>
      <c r="P552">
        <f>IF(COUNTIFS('United Data'!$A$3:$A$3390,P$1,'United Data'!$C$3:$C$3390,$A552)&gt;0,1,0)</f>
        <v>0</v>
      </c>
      <c r="Q552">
        <f>IF(COUNTIFS('United Data'!$A$3:$A$3390,Q$1,'United Data'!$C$3:$C$3390,$A552)&gt;0,1,0)</f>
        <v>0</v>
      </c>
      <c r="R552">
        <f>IF(COUNTIFS('United Data'!$A$3:$A$3390,R$1,'United Data'!$C$3:$C$3390,$A552)&gt;0,1,0)</f>
        <v>0</v>
      </c>
      <c r="S552">
        <f t="shared" si="16"/>
        <v>1</v>
      </c>
      <c r="T552">
        <f t="shared" si="17"/>
        <v>1</v>
      </c>
    </row>
    <row r="553" spans="1:20" x14ac:dyDescent="0.2">
      <c r="A553" t="s">
        <v>671</v>
      </c>
      <c r="B553">
        <f>IF(COUNTIFS('United Data'!$A$3:$A$3390,B$1,'United Data'!$C$3:$C$3390,$A553)&gt;0,1,0)</f>
        <v>0</v>
      </c>
      <c r="C553">
        <f>IF(COUNTIFS('United Data'!$A$3:$A$3390,C$1,'United Data'!$C$3:$C$3390,$A553)&gt;0,1,0)</f>
        <v>0</v>
      </c>
      <c r="D553">
        <f>IF(COUNTIFS('United Data'!$A$3:$A$3390,D$1,'United Data'!$C$3:$C$3390,$A553)&gt;0,1,0)</f>
        <v>0</v>
      </c>
      <c r="E553">
        <f>IF(COUNTIFS('United Data'!$A$3:$A$3390,E$1,'United Data'!$C$3:$C$3390,$A553)&gt;0,1,0)</f>
        <v>0</v>
      </c>
      <c r="F553">
        <f>IF(COUNTIFS('United Data'!$A$3:$A$3390,F$1,'United Data'!$C$3:$C$3390,$A553)&gt;0,1,0)</f>
        <v>0</v>
      </c>
      <c r="G553">
        <f>IF(COUNTIFS('United Data'!$A$3:$A$3390,G$1,'United Data'!$C$3:$C$3390,$A553)&gt;0,1,0)</f>
        <v>0</v>
      </c>
      <c r="H553">
        <f>IF(COUNTIFS('United Data'!$A$3:$A$3390,H$1,'United Data'!$C$3:$C$3390,$A553)&gt;0,1,0)</f>
        <v>0</v>
      </c>
      <c r="I553">
        <f>IF(COUNTIFS('United Data'!$A$3:$A$3390,I$1,'United Data'!$C$3:$C$3390,$A553)&gt;0,1,0)</f>
        <v>0</v>
      </c>
      <c r="J553">
        <f>IF(COUNTIFS('United Data'!$A$3:$A$3390,J$1,'United Data'!$C$3:$C$3390,$A553)&gt;0,1,0)</f>
        <v>0</v>
      </c>
      <c r="K553">
        <f>IF(COUNTIFS('United Data'!$A$3:$A$3390,K$1,'United Data'!$C$3:$C$3390,$A553)&gt;0,1,0)</f>
        <v>1</v>
      </c>
      <c r="L553">
        <f>IF(COUNTIFS('United Data'!$A$3:$A$3390,L$1,'United Data'!$C$3:$C$3390,$A553)&gt;0,1,0)</f>
        <v>0</v>
      </c>
      <c r="M553">
        <f>IF(COUNTIFS('United Data'!$A$3:$A$3390,M$1,'United Data'!$C$3:$C$3390,$A553)&gt;0,1,0)</f>
        <v>0</v>
      </c>
      <c r="N553">
        <f>IF(COUNTIFS('United Data'!$A$3:$A$3390,N$1,'United Data'!$C$3:$C$3390,$A553)&gt;0,1,0)</f>
        <v>0</v>
      </c>
      <c r="O553">
        <f>IF(COUNTIFS('United Data'!$A$3:$A$3390,O$1,'United Data'!$C$3:$C$3390,$A553)&gt;0,1,0)</f>
        <v>0</v>
      </c>
      <c r="P553">
        <f>IF(COUNTIFS('United Data'!$A$3:$A$3390,P$1,'United Data'!$C$3:$C$3390,$A553)&gt;0,1,0)</f>
        <v>0</v>
      </c>
      <c r="Q553">
        <f>IF(COUNTIFS('United Data'!$A$3:$A$3390,Q$1,'United Data'!$C$3:$C$3390,$A553)&gt;0,1,0)</f>
        <v>0</v>
      </c>
      <c r="R553">
        <f>IF(COUNTIFS('United Data'!$A$3:$A$3390,R$1,'United Data'!$C$3:$C$3390,$A553)&gt;0,1,0)</f>
        <v>0</v>
      </c>
      <c r="S553">
        <f t="shared" si="16"/>
        <v>1</v>
      </c>
      <c r="T553">
        <f t="shared" si="17"/>
        <v>1</v>
      </c>
    </row>
    <row r="554" spans="1:20" x14ac:dyDescent="0.2">
      <c r="A554" t="s">
        <v>672</v>
      </c>
      <c r="B554">
        <f>IF(COUNTIFS('United Data'!$A$3:$A$3390,B$1,'United Data'!$C$3:$C$3390,$A554)&gt;0,1,0)</f>
        <v>0</v>
      </c>
      <c r="C554">
        <f>IF(COUNTIFS('United Data'!$A$3:$A$3390,C$1,'United Data'!$C$3:$C$3390,$A554)&gt;0,1,0)</f>
        <v>0</v>
      </c>
      <c r="D554">
        <f>IF(COUNTIFS('United Data'!$A$3:$A$3390,D$1,'United Data'!$C$3:$C$3390,$A554)&gt;0,1,0)</f>
        <v>1</v>
      </c>
      <c r="E554">
        <f>IF(COUNTIFS('United Data'!$A$3:$A$3390,E$1,'United Data'!$C$3:$C$3390,$A554)&gt;0,1,0)</f>
        <v>0</v>
      </c>
      <c r="F554">
        <f>IF(COUNTIFS('United Data'!$A$3:$A$3390,F$1,'United Data'!$C$3:$C$3390,$A554)&gt;0,1,0)</f>
        <v>0</v>
      </c>
      <c r="G554">
        <f>IF(COUNTIFS('United Data'!$A$3:$A$3390,G$1,'United Data'!$C$3:$C$3390,$A554)&gt;0,1,0)</f>
        <v>0</v>
      </c>
      <c r="H554">
        <f>IF(COUNTIFS('United Data'!$A$3:$A$3390,H$1,'United Data'!$C$3:$C$3390,$A554)&gt;0,1,0)</f>
        <v>0</v>
      </c>
      <c r="I554">
        <f>IF(COUNTIFS('United Data'!$A$3:$A$3390,I$1,'United Data'!$C$3:$C$3390,$A554)&gt;0,1,0)</f>
        <v>0</v>
      </c>
      <c r="J554">
        <f>IF(COUNTIFS('United Data'!$A$3:$A$3390,J$1,'United Data'!$C$3:$C$3390,$A554)&gt;0,1,0)</f>
        <v>0</v>
      </c>
      <c r="K554">
        <f>IF(COUNTIFS('United Data'!$A$3:$A$3390,K$1,'United Data'!$C$3:$C$3390,$A554)&gt;0,1,0)</f>
        <v>0</v>
      </c>
      <c r="L554">
        <f>IF(COUNTIFS('United Data'!$A$3:$A$3390,L$1,'United Data'!$C$3:$C$3390,$A554)&gt;0,1,0)</f>
        <v>1</v>
      </c>
      <c r="M554">
        <f>IF(COUNTIFS('United Data'!$A$3:$A$3390,M$1,'United Data'!$C$3:$C$3390,$A554)&gt;0,1,0)</f>
        <v>0</v>
      </c>
      <c r="N554">
        <f>IF(COUNTIFS('United Data'!$A$3:$A$3390,N$1,'United Data'!$C$3:$C$3390,$A554)&gt;0,1,0)</f>
        <v>0</v>
      </c>
      <c r="O554">
        <f>IF(COUNTIFS('United Data'!$A$3:$A$3390,O$1,'United Data'!$C$3:$C$3390,$A554)&gt;0,1,0)</f>
        <v>0</v>
      </c>
      <c r="P554">
        <f>IF(COUNTIFS('United Data'!$A$3:$A$3390,P$1,'United Data'!$C$3:$C$3390,$A554)&gt;0,1,0)</f>
        <v>0</v>
      </c>
      <c r="Q554">
        <f>IF(COUNTIFS('United Data'!$A$3:$A$3390,Q$1,'United Data'!$C$3:$C$3390,$A554)&gt;0,1,0)</f>
        <v>0</v>
      </c>
      <c r="R554">
        <f>IF(COUNTIFS('United Data'!$A$3:$A$3390,R$1,'United Data'!$C$3:$C$3390,$A554)&gt;0,1,0)</f>
        <v>0</v>
      </c>
      <c r="S554">
        <f t="shared" si="16"/>
        <v>2</v>
      </c>
      <c r="T554">
        <f t="shared" si="17"/>
        <v>2</v>
      </c>
    </row>
    <row r="555" spans="1:20" x14ac:dyDescent="0.2">
      <c r="A555" t="s">
        <v>673</v>
      </c>
      <c r="B555">
        <f>IF(COUNTIFS('United Data'!$A$3:$A$3390,B$1,'United Data'!$C$3:$C$3390,$A555)&gt;0,1,0)</f>
        <v>0</v>
      </c>
      <c r="C555">
        <f>IF(COUNTIFS('United Data'!$A$3:$A$3390,C$1,'United Data'!$C$3:$C$3390,$A555)&gt;0,1,0)</f>
        <v>0</v>
      </c>
      <c r="D555">
        <f>IF(COUNTIFS('United Data'!$A$3:$A$3390,D$1,'United Data'!$C$3:$C$3390,$A555)&gt;0,1,0)</f>
        <v>0</v>
      </c>
      <c r="E555">
        <f>IF(COUNTIFS('United Data'!$A$3:$A$3390,E$1,'United Data'!$C$3:$C$3390,$A555)&gt;0,1,0)</f>
        <v>0</v>
      </c>
      <c r="F555">
        <f>IF(COUNTIFS('United Data'!$A$3:$A$3390,F$1,'United Data'!$C$3:$C$3390,$A555)&gt;0,1,0)</f>
        <v>1</v>
      </c>
      <c r="G555">
        <f>IF(COUNTIFS('United Data'!$A$3:$A$3390,G$1,'United Data'!$C$3:$C$3390,$A555)&gt;0,1,0)</f>
        <v>0</v>
      </c>
      <c r="H555">
        <f>IF(COUNTIFS('United Data'!$A$3:$A$3390,H$1,'United Data'!$C$3:$C$3390,$A555)&gt;0,1,0)</f>
        <v>0</v>
      </c>
      <c r="I555">
        <f>IF(COUNTIFS('United Data'!$A$3:$A$3390,I$1,'United Data'!$C$3:$C$3390,$A555)&gt;0,1,0)</f>
        <v>0</v>
      </c>
      <c r="J555">
        <f>IF(COUNTIFS('United Data'!$A$3:$A$3390,J$1,'United Data'!$C$3:$C$3390,$A555)&gt;0,1,0)</f>
        <v>0</v>
      </c>
      <c r="K555">
        <f>IF(COUNTIFS('United Data'!$A$3:$A$3390,K$1,'United Data'!$C$3:$C$3390,$A555)&gt;0,1,0)</f>
        <v>0</v>
      </c>
      <c r="L555">
        <f>IF(COUNTIFS('United Data'!$A$3:$A$3390,L$1,'United Data'!$C$3:$C$3390,$A555)&gt;0,1,0)</f>
        <v>1</v>
      </c>
      <c r="M555">
        <f>IF(COUNTIFS('United Data'!$A$3:$A$3390,M$1,'United Data'!$C$3:$C$3390,$A555)&gt;0,1,0)</f>
        <v>1</v>
      </c>
      <c r="N555">
        <f>IF(COUNTIFS('United Data'!$A$3:$A$3390,N$1,'United Data'!$C$3:$C$3390,$A555)&gt;0,1,0)</f>
        <v>1</v>
      </c>
      <c r="O555">
        <f>IF(COUNTIFS('United Data'!$A$3:$A$3390,O$1,'United Data'!$C$3:$C$3390,$A555)&gt;0,1,0)</f>
        <v>1</v>
      </c>
      <c r="P555">
        <f>IF(COUNTIFS('United Data'!$A$3:$A$3390,P$1,'United Data'!$C$3:$C$3390,$A555)&gt;0,1,0)</f>
        <v>0</v>
      </c>
      <c r="Q555">
        <f>IF(COUNTIFS('United Data'!$A$3:$A$3390,Q$1,'United Data'!$C$3:$C$3390,$A555)&gt;0,1,0)</f>
        <v>0</v>
      </c>
      <c r="R555">
        <f>IF(COUNTIFS('United Data'!$A$3:$A$3390,R$1,'United Data'!$C$3:$C$3390,$A555)&gt;0,1,0)</f>
        <v>0</v>
      </c>
      <c r="S555">
        <f t="shared" si="16"/>
        <v>5</v>
      </c>
      <c r="T555">
        <f t="shared" si="17"/>
        <v>2</v>
      </c>
    </row>
    <row r="556" spans="1:20" x14ac:dyDescent="0.2">
      <c r="A556" t="s">
        <v>674</v>
      </c>
      <c r="B556">
        <f>IF(COUNTIFS('United Data'!$A$3:$A$3390,B$1,'United Data'!$C$3:$C$3390,$A556)&gt;0,1,0)</f>
        <v>0</v>
      </c>
      <c r="C556">
        <f>IF(COUNTIFS('United Data'!$A$3:$A$3390,C$1,'United Data'!$C$3:$C$3390,$A556)&gt;0,1,0)</f>
        <v>0</v>
      </c>
      <c r="D556">
        <f>IF(COUNTIFS('United Data'!$A$3:$A$3390,D$1,'United Data'!$C$3:$C$3390,$A556)&gt;0,1,0)</f>
        <v>0</v>
      </c>
      <c r="E556">
        <f>IF(COUNTIFS('United Data'!$A$3:$A$3390,E$1,'United Data'!$C$3:$C$3390,$A556)&gt;0,1,0)</f>
        <v>0</v>
      </c>
      <c r="F556">
        <f>IF(COUNTIFS('United Data'!$A$3:$A$3390,F$1,'United Data'!$C$3:$C$3390,$A556)&gt;0,1,0)</f>
        <v>0</v>
      </c>
      <c r="G556">
        <f>IF(COUNTIFS('United Data'!$A$3:$A$3390,G$1,'United Data'!$C$3:$C$3390,$A556)&gt;0,1,0)</f>
        <v>0</v>
      </c>
      <c r="H556">
        <f>IF(COUNTIFS('United Data'!$A$3:$A$3390,H$1,'United Data'!$C$3:$C$3390,$A556)&gt;0,1,0)</f>
        <v>0</v>
      </c>
      <c r="I556">
        <f>IF(COUNTIFS('United Data'!$A$3:$A$3390,I$1,'United Data'!$C$3:$C$3390,$A556)&gt;0,1,0)</f>
        <v>0</v>
      </c>
      <c r="J556">
        <f>IF(COUNTIFS('United Data'!$A$3:$A$3390,J$1,'United Data'!$C$3:$C$3390,$A556)&gt;0,1,0)</f>
        <v>0</v>
      </c>
      <c r="K556">
        <f>IF(COUNTIFS('United Data'!$A$3:$A$3390,K$1,'United Data'!$C$3:$C$3390,$A556)&gt;0,1,0)</f>
        <v>0</v>
      </c>
      <c r="L556">
        <f>IF(COUNTIFS('United Data'!$A$3:$A$3390,L$1,'United Data'!$C$3:$C$3390,$A556)&gt;0,1,0)</f>
        <v>1</v>
      </c>
      <c r="M556">
        <f>IF(COUNTIFS('United Data'!$A$3:$A$3390,M$1,'United Data'!$C$3:$C$3390,$A556)&gt;0,1,0)</f>
        <v>0</v>
      </c>
      <c r="N556">
        <f>IF(COUNTIFS('United Data'!$A$3:$A$3390,N$1,'United Data'!$C$3:$C$3390,$A556)&gt;0,1,0)</f>
        <v>1</v>
      </c>
      <c r="O556">
        <f>IF(COUNTIFS('United Data'!$A$3:$A$3390,O$1,'United Data'!$C$3:$C$3390,$A556)&gt;0,1,0)</f>
        <v>0</v>
      </c>
      <c r="P556">
        <f>IF(COUNTIFS('United Data'!$A$3:$A$3390,P$1,'United Data'!$C$3:$C$3390,$A556)&gt;0,1,0)</f>
        <v>0</v>
      </c>
      <c r="Q556">
        <f>IF(COUNTIFS('United Data'!$A$3:$A$3390,Q$1,'United Data'!$C$3:$C$3390,$A556)&gt;0,1,0)</f>
        <v>0</v>
      </c>
      <c r="R556">
        <f>IF(COUNTIFS('United Data'!$A$3:$A$3390,R$1,'United Data'!$C$3:$C$3390,$A556)&gt;0,1,0)</f>
        <v>0</v>
      </c>
      <c r="S556">
        <f t="shared" si="16"/>
        <v>2</v>
      </c>
      <c r="T556">
        <f t="shared" si="17"/>
        <v>2</v>
      </c>
    </row>
    <row r="557" spans="1:20" x14ac:dyDescent="0.2">
      <c r="A557" t="s">
        <v>675</v>
      </c>
      <c r="B557">
        <f>IF(COUNTIFS('United Data'!$A$3:$A$3390,B$1,'United Data'!$C$3:$C$3390,$A557)&gt;0,1,0)</f>
        <v>0</v>
      </c>
      <c r="C557">
        <f>IF(COUNTIFS('United Data'!$A$3:$A$3390,C$1,'United Data'!$C$3:$C$3390,$A557)&gt;0,1,0)</f>
        <v>0</v>
      </c>
      <c r="D557">
        <f>IF(COUNTIFS('United Data'!$A$3:$A$3390,D$1,'United Data'!$C$3:$C$3390,$A557)&gt;0,1,0)</f>
        <v>0</v>
      </c>
      <c r="E557">
        <f>IF(COUNTIFS('United Data'!$A$3:$A$3390,E$1,'United Data'!$C$3:$C$3390,$A557)&gt;0,1,0)</f>
        <v>0</v>
      </c>
      <c r="F557">
        <f>IF(COUNTIFS('United Data'!$A$3:$A$3390,F$1,'United Data'!$C$3:$C$3390,$A557)&gt;0,1,0)</f>
        <v>0</v>
      </c>
      <c r="G557">
        <f>IF(COUNTIFS('United Data'!$A$3:$A$3390,G$1,'United Data'!$C$3:$C$3390,$A557)&gt;0,1,0)</f>
        <v>0</v>
      </c>
      <c r="H557">
        <f>IF(COUNTIFS('United Data'!$A$3:$A$3390,H$1,'United Data'!$C$3:$C$3390,$A557)&gt;0,1,0)</f>
        <v>0</v>
      </c>
      <c r="I557">
        <f>IF(COUNTIFS('United Data'!$A$3:$A$3390,I$1,'United Data'!$C$3:$C$3390,$A557)&gt;0,1,0)</f>
        <v>0</v>
      </c>
      <c r="J557">
        <f>IF(COUNTIFS('United Data'!$A$3:$A$3390,J$1,'United Data'!$C$3:$C$3390,$A557)&gt;0,1,0)</f>
        <v>0</v>
      </c>
      <c r="K557">
        <f>IF(COUNTIFS('United Data'!$A$3:$A$3390,K$1,'United Data'!$C$3:$C$3390,$A557)&gt;0,1,0)</f>
        <v>0</v>
      </c>
      <c r="L557">
        <f>IF(COUNTIFS('United Data'!$A$3:$A$3390,L$1,'United Data'!$C$3:$C$3390,$A557)&gt;0,1,0)</f>
        <v>1</v>
      </c>
      <c r="M557">
        <f>IF(COUNTIFS('United Data'!$A$3:$A$3390,M$1,'United Data'!$C$3:$C$3390,$A557)&gt;0,1,0)</f>
        <v>0</v>
      </c>
      <c r="N557">
        <f>IF(COUNTIFS('United Data'!$A$3:$A$3390,N$1,'United Data'!$C$3:$C$3390,$A557)&gt;0,1,0)</f>
        <v>0</v>
      </c>
      <c r="O557">
        <f>IF(COUNTIFS('United Data'!$A$3:$A$3390,O$1,'United Data'!$C$3:$C$3390,$A557)&gt;0,1,0)</f>
        <v>0</v>
      </c>
      <c r="P557">
        <f>IF(COUNTIFS('United Data'!$A$3:$A$3390,P$1,'United Data'!$C$3:$C$3390,$A557)&gt;0,1,0)</f>
        <v>0</v>
      </c>
      <c r="Q557">
        <f>IF(COUNTIFS('United Data'!$A$3:$A$3390,Q$1,'United Data'!$C$3:$C$3390,$A557)&gt;0,1,0)</f>
        <v>0</v>
      </c>
      <c r="R557">
        <f>IF(COUNTIFS('United Data'!$A$3:$A$3390,R$1,'United Data'!$C$3:$C$3390,$A557)&gt;0,1,0)</f>
        <v>0</v>
      </c>
      <c r="S557">
        <f t="shared" si="16"/>
        <v>1</v>
      </c>
      <c r="T557">
        <f t="shared" si="17"/>
        <v>1</v>
      </c>
    </row>
    <row r="558" spans="1:20" x14ac:dyDescent="0.2">
      <c r="A558" t="s">
        <v>676</v>
      </c>
      <c r="B558">
        <f>IF(COUNTIFS('United Data'!$A$3:$A$3390,B$1,'United Data'!$C$3:$C$3390,$A558)&gt;0,1,0)</f>
        <v>0</v>
      </c>
      <c r="C558">
        <f>IF(COUNTIFS('United Data'!$A$3:$A$3390,C$1,'United Data'!$C$3:$C$3390,$A558)&gt;0,1,0)</f>
        <v>0</v>
      </c>
      <c r="D558">
        <f>IF(COUNTIFS('United Data'!$A$3:$A$3390,D$1,'United Data'!$C$3:$C$3390,$A558)&gt;0,1,0)</f>
        <v>0</v>
      </c>
      <c r="E558">
        <f>IF(COUNTIFS('United Data'!$A$3:$A$3390,E$1,'United Data'!$C$3:$C$3390,$A558)&gt;0,1,0)</f>
        <v>0</v>
      </c>
      <c r="F558">
        <f>IF(COUNTIFS('United Data'!$A$3:$A$3390,F$1,'United Data'!$C$3:$C$3390,$A558)&gt;0,1,0)</f>
        <v>0</v>
      </c>
      <c r="G558">
        <f>IF(COUNTIFS('United Data'!$A$3:$A$3390,G$1,'United Data'!$C$3:$C$3390,$A558)&gt;0,1,0)</f>
        <v>0</v>
      </c>
      <c r="H558">
        <f>IF(COUNTIFS('United Data'!$A$3:$A$3390,H$1,'United Data'!$C$3:$C$3390,$A558)&gt;0,1,0)</f>
        <v>0</v>
      </c>
      <c r="I558">
        <f>IF(COUNTIFS('United Data'!$A$3:$A$3390,I$1,'United Data'!$C$3:$C$3390,$A558)&gt;0,1,0)</f>
        <v>0</v>
      </c>
      <c r="J558">
        <f>IF(COUNTIFS('United Data'!$A$3:$A$3390,J$1,'United Data'!$C$3:$C$3390,$A558)&gt;0,1,0)</f>
        <v>0</v>
      </c>
      <c r="K558">
        <f>IF(COUNTIFS('United Data'!$A$3:$A$3390,K$1,'United Data'!$C$3:$C$3390,$A558)&gt;0,1,0)</f>
        <v>0</v>
      </c>
      <c r="L558">
        <f>IF(COUNTIFS('United Data'!$A$3:$A$3390,L$1,'United Data'!$C$3:$C$3390,$A558)&gt;0,1,0)</f>
        <v>1</v>
      </c>
      <c r="M558">
        <f>IF(COUNTIFS('United Data'!$A$3:$A$3390,M$1,'United Data'!$C$3:$C$3390,$A558)&gt;0,1,0)</f>
        <v>0</v>
      </c>
      <c r="N558">
        <f>IF(COUNTIFS('United Data'!$A$3:$A$3390,N$1,'United Data'!$C$3:$C$3390,$A558)&gt;0,1,0)</f>
        <v>0</v>
      </c>
      <c r="O558">
        <f>IF(COUNTIFS('United Data'!$A$3:$A$3390,O$1,'United Data'!$C$3:$C$3390,$A558)&gt;0,1,0)</f>
        <v>0</v>
      </c>
      <c r="P558">
        <f>IF(COUNTIFS('United Data'!$A$3:$A$3390,P$1,'United Data'!$C$3:$C$3390,$A558)&gt;0,1,0)</f>
        <v>0</v>
      </c>
      <c r="Q558">
        <f>IF(COUNTIFS('United Data'!$A$3:$A$3390,Q$1,'United Data'!$C$3:$C$3390,$A558)&gt;0,1,0)</f>
        <v>0</v>
      </c>
      <c r="R558">
        <f>IF(COUNTIFS('United Data'!$A$3:$A$3390,R$1,'United Data'!$C$3:$C$3390,$A558)&gt;0,1,0)</f>
        <v>0</v>
      </c>
      <c r="S558">
        <f t="shared" si="16"/>
        <v>1</v>
      </c>
      <c r="T558">
        <f t="shared" si="17"/>
        <v>1</v>
      </c>
    </row>
    <row r="559" spans="1:20" x14ac:dyDescent="0.2">
      <c r="A559" t="s">
        <v>677</v>
      </c>
      <c r="B559">
        <f>IF(COUNTIFS('United Data'!$A$3:$A$3390,B$1,'United Data'!$C$3:$C$3390,$A559)&gt;0,1,0)</f>
        <v>0</v>
      </c>
      <c r="C559">
        <f>IF(COUNTIFS('United Data'!$A$3:$A$3390,C$1,'United Data'!$C$3:$C$3390,$A559)&gt;0,1,0)</f>
        <v>0</v>
      </c>
      <c r="D559">
        <f>IF(COUNTIFS('United Data'!$A$3:$A$3390,D$1,'United Data'!$C$3:$C$3390,$A559)&gt;0,1,0)</f>
        <v>0</v>
      </c>
      <c r="E559">
        <f>IF(COUNTIFS('United Data'!$A$3:$A$3390,E$1,'United Data'!$C$3:$C$3390,$A559)&gt;0,1,0)</f>
        <v>0</v>
      </c>
      <c r="F559">
        <f>IF(COUNTIFS('United Data'!$A$3:$A$3390,F$1,'United Data'!$C$3:$C$3390,$A559)&gt;0,1,0)</f>
        <v>0</v>
      </c>
      <c r="G559">
        <f>IF(COUNTIFS('United Data'!$A$3:$A$3390,G$1,'United Data'!$C$3:$C$3390,$A559)&gt;0,1,0)</f>
        <v>0</v>
      </c>
      <c r="H559">
        <f>IF(COUNTIFS('United Data'!$A$3:$A$3390,H$1,'United Data'!$C$3:$C$3390,$A559)&gt;0,1,0)</f>
        <v>0</v>
      </c>
      <c r="I559">
        <f>IF(COUNTIFS('United Data'!$A$3:$A$3390,I$1,'United Data'!$C$3:$C$3390,$A559)&gt;0,1,0)</f>
        <v>0</v>
      </c>
      <c r="J559">
        <f>IF(COUNTIFS('United Data'!$A$3:$A$3390,J$1,'United Data'!$C$3:$C$3390,$A559)&gt;0,1,0)</f>
        <v>0</v>
      </c>
      <c r="K559">
        <f>IF(COUNTIFS('United Data'!$A$3:$A$3390,K$1,'United Data'!$C$3:$C$3390,$A559)&gt;0,1,0)</f>
        <v>0</v>
      </c>
      <c r="L559">
        <f>IF(COUNTIFS('United Data'!$A$3:$A$3390,L$1,'United Data'!$C$3:$C$3390,$A559)&gt;0,1,0)</f>
        <v>1</v>
      </c>
      <c r="M559">
        <f>IF(COUNTIFS('United Data'!$A$3:$A$3390,M$1,'United Data'!$C$3:$C$3390,$A559)&gt;0,1,0)</f>
        <v>0</v>
      </c>
      <c r="N559">
        <f>IF(COUNTIFS('United Data'!$A$3:$A$3390,N$1,'United Data'!$C$3:$C$3390,$A559)&gt;0,1,0)</f>
        <v>0</v>
      </c>
      <c r="O559">
        <f>IF(COUNTIFS('United Data'!$A$3:$A$3390,O$1,'United Data'!$C$3:$C$3390,$A559)&gt;0,1,0)</f>
        <v>0</v>
      </c>
      <c r="P559">
        <f>IF(COUNTIFS('United Data'!$A$3:$A$3390,P$1,'United Data'!$C$3:$C$3390,$A559)&gt;0,1,0)</f>
        <v>0</v>
      </c>
      <c r="Q559">
        <f>IF(COUNTIFS('United Data'!$A$3:$A$3390,Q$1,'United Data'!$C$3:$C$3390,$A559)&gt;0,1,0)</f>
        <v>0</v>
      </c>
      <c r="R559">
        <f>IF(COUNTIFS('United Data'!$A$3:$A$3390,R$1,'United Data'!$C$3:$C$3390,$A559)&gt;0,1,0)</f>
        <v>0</v>
      </c>
      <c r="S559">
        <f t="shared" si="16"/>
        <v>1</v>
      </c>
      <c r="T559">
        <f t="shared" si="17"/>
        <v>1</v>
      </c>
    </row>
    <row r="560" spans="1:20" x14ac:dyDescent="0.2">
      <c r="A560" t="s">
        <v>678</v>
      </c>
      <c r="B560">
        <f>IF(COUNTIFS('United Data'!$A$3:$A$3390,B$1,'United Data'!$C$3:$C$3390,$A560)&gt;0,1,0)</f>
        <v>0</v>
      </c>
      <c r="C560">
        <f>IF(COUNTIFS('United Data'!$A$3:$A$3390,C$1,'United Data'!$C$3:$C$3390,$A560)&gt;0,1,0)</f>
        <v>0</v>
      </c>
      <c r="D560">
        <f>IF(COUNTIFS('United Data'!$A$3:$A$3390,D$1,'United Data'!$C$3:$C$3390,$A560)&gt;0,1,0)</f>
        <v>0</v>
      </c>
      <c r="E560">
        <f>IF(COUNTIFS('United Data'!$A$3:$A$3390,E$1,'United Data'!$C$3:$C$3390,$A560)&gt;0,1,0)</f>
        <v>0</v>
      </c>
      <c r="F560">
        <f>IF(COUNTIFS('United Data'!$A$3:$A$3390,F$1,'United Data'!$C$3:$C$3390,$A560)&gt;0,1,0)</f>
        <v>0</v>
      </c>
      <c r="G560">
        <f>IF(COUNTIFS('United Data'!$A$3:$A$3390,G$1,'United Data'!$C$3:$C$3390,$A560)&gt;0,1,0)</f>
        <v>0</v>
      </c>
      <c r="H560">
        <f>IF(COUNTIFS('United Data'!$A$3:$A$3390,H$1,'United Data'!$C$3:$C$3390,$A560)&gt;0,1,0)</f>
        <v>0</v>
      </c>
      <c r="I560">
        <f>IF(COUNTIFS('United Data'!$A$3:$A$3390,I$1,'United Data'!$C$3:$C$3390,$A560)&gt;0,1,0)</f>
        <v>0</v>
      </c>
      <c r="J560">
        <f>IF(COUNTIFS('United Data'!$A$3:$A$3390,J$1,'United Data'!$C$3:$C$3390,$A560)&gt;0,1,0)</f>
        <v>0</v>
      </c>
      <c r="K560">
        <f>IF(COUNTIFS('United Data'!$A$3:$A$3390,K$1,'United Data'!$C$3:$C$3390,$A560)&gt;0,1,0)</f>
        <v>0</v>
      </c>
      <c r="L560">
        <f>IF(COUNTIFS('United Data'!$A$3:$A$3390,L$1,'United Data'!$C$3:$C$3390,$A560)&gt;0,1,0)</f>
        <v>0</v>
      </c>
      <c r="M560">
        <f>IF(COUNTIFS('United Data'!$A$3:$A$3390,M$1,'United Data'!$C$3:$C$3390,$A560)&gt;0,1,0)</f>
        <v>1</v>
      </c>
      <c r="N560">
        <f>IF(COUNTIFS('United Data'!$A$3:$A$3390,N$1,'United Data'!$C$3:$C$3390,$A560)&gt;0,1,0)</f>
        <v>0</v>
      </c>
      <c r="O560">
        <f>IF(COUNTIFS('United Data'!$A$3:$A$3390,O$1,'United Data'!$C$3:$C$3390,$A560)&gt;0,1,0)</f>
        <v>0</v>
      </c>
      <c r="P560">
        <f>IF(COUNTIFS('United Data'!$A$3:$A$3390,P$1,'United Data'!$C$3:$C$3390,$A560)&gt;0,1,0)</f>
        <v>0</v>
      </c>
      <c r="Q560">
        <f>IF(COUNTIFS('United Data'!$A$3:$A$3390,Q$1,'United Data'!$C$3:$C$3390,$A560)&gt;0,1,0)</f>
        <v>0</v>
      </c>
      <c r="R560">
        <f>IF(COUNTIFS('United Data'!$A$3:$A$3390,R$1,'United Data'!$C$3:$C$3390,$A560)&gt;0,1,0)</f>
        <v>0</v>
      </c>
      <c r="S560">
        <f t="shared" si="16"/>
        <v>1</v>
      </c>
      <c r="T560">
        <f t="shared" si="17"/>
        <v>1</v>
      </c>
    </row>
    <row r="561" spans="1:20" x14ac:dyDescent="0.2">
      <c r="A561" t="s">
        <v>679</v>
      </c>
      <c r="B561">
        <f>IF(COUNTIFS('United Data'!$A$3:$A$3390,B$1,'United Data'!$C$3:$C$3390,$A561)&gt;0,1,0)</f>
        <v>0</v>
      </c>
      <c r="C561">
        <f>IF(COUNTIFS('United Data'!$A$3:$A$3390,C$1,'United Data'!$C$3:$C$3390,$A561)&gt;0,1,0)</f>
        <v>0</v>
      </c>
      <c r="D561">
        <f>IF(COUNTIFS('United Data'!$A$3:$A$3390,D$1,'United Data'!$C$3:$C$3390,$A561)&gt;0,1,0)</f>
        <v>0</v>
      </c>
      <c r="E561">
        <f>IF(COUNTIFS('United Data'!$A$3:$A$3390,E$1,'United Data'!$C$3:$C$3390,$A561)&gt;0,1,0)</f>
        <v>0</v>
      </c>
      <c r="F561">
        <f>IF(COUNTIFS('United Data'!$A$3:$A$3390,F$1,'United Data'!$C$3:$C$3390,$A561)&gt;0,1,0)</f>
        <v>0</v>
      </c>
      <c r="G561">
        <f>IF(COUNTIFS('United Data'!$A$3:$A$3390,G$1,'United Data'!$C$3:$C$3390,$A561)&gt;0,1,0)</f>
        <v>0</v>
      </c>
      <c r="H561">
        <f>IF(COUNTIFS('United Data'!$A$3:$A$3390,H$1,'United Data'!$C$3:$C$3390,$A561)&gt;0,1,0)</f>
        <v>0</v>
      </c>
      <c r="I561">
        <f>IF(COUNTIFS('United Data'!$A$3:$A$3390,I$1,'United Data'!$C$3:$C$3390,$A561)&gt;0,1,0)</f>
        <v>0</v>
      </c>
      <c r="J561">
        <f>IF(COUNTIFS('United Data'!$A$3:$A$3390,J$1,'United Data'!$C$3:$C$3390,$A561)&gt;0,1,0)</f>
        <v>0</v>
      </c>
      <c r="K561">
        <f>IF(COUNTIFS('United Data'!$A$3:$A$3390,K$1,'United Data'!$C$3:$C$3390,$A561)&gt;0,1,0)</f>
        <v>0</v>
      </c>
      <c r="L561">
        <f>IF(COUNTIFS('United Data'!$A$3:$A$3390,L$1,'United Data'!$C$3:$C$3390,$A561)&gt;0,1,0)</f>
        <v>0</v>
      </c>
      <c r="M561">
        <f>IF(COUNTIFS('United Data'!$A$3:$A$3390,M$1,'United Data'!$C$3:$C$3390,$A561)&gt;0,1,0)</f>
        <v>1</v>
      </c>
      <c r="N561">
        <f>IF(COUNTIFS('United Data'!$A$3:$A$3390,N$1,'United Data'!$C$3:$C$3390,$A561)&gt;0,1,0)</f>
        <v>1</v>
      </c>
      <c r="O561">
        <f>IF(COUNTIFS('United Data'!$A$3:$A$3390,O$1,'United Data'!$C$3:$C$3390,$A561)&gt;0,1,0)</f>
        <v>0</v>
      </c>
      <c r="P561">
        <f>IF(COUNTIFS('United Data'!$A$3:$A$3390,P$1,'United Data'!$C$3:$C$3390,$A561)&gt;0,1,0)</f>
        <v>0</v>
      </c>
      <c r="Q561">
        <f>IF(COUNTIFS('United Data'!$A$3:$A$3390,Q$1,'United Data'!$C$3:$C$3390,$A561)&gt;0,1,0)</f>
        <v>0</v>
      </c>
      <c r="R561">
        <f>IF(COUNTIFS('United Data'!$A$3:$A$3390,R$1,'United Data'!$C$3:$C$3390,$A561)&gt;0,1,0)</f>
        <v>0</v>
      </c>
      <c r="S561">
        <f t="shared" si="16"/>
        <v>2</v>
      </c>
      <c r="T561">
        <f t="shared" si="17"/>
        <v>1</v>
      </c>
    </row>
    <row r="562" spans="1:20" x14ac:dyDescent="0.2">
      <c r="A562" t="s">
        <v>680</v>
      </c>
      <c r="B562">
        <f>IF(COUNTIFS('United Data'!$A$3:$A$3390,B$1,'United Data'!$C$3:$C$3390,$A562)&gt;0,1,0)</f>
        <v>0</v>
      </c>
      <c r="C562">
        <f>IF(COUNTIFS('United Data'!$A$3:$A$3390,C$1,'United Data'!$C$3:$C$3390,$A562)&gt;0,1,0)</f>
        <v>0</v>
      </c>
      <c r="D562">
        <f>IF(COUNTIFS('United Data'!$A$3:$A$3390,D$1,'United Data'!$C$3:$C$3390,$A562)&gt;0,1,0)</f>
        <v>0</v>
      </c>
      <c r="E562">
        <f>IF(COUNTIFS('United Data'!$A$3:$A$3390,E$1,'United Data'!$C$3:$C$3390,$A562)&gt;0,1,0)</f>
        <v>0</v>
      </c>
      <c r="F562">
        <f>IF(COUNTIFS('United Data'!$A$3:$A$3390,F$1,'United Data'!$C$3:$C$3390,$A562)&gt;0,1,0)</f>
        <v>0</v>
      </c>
      <c r="G562">
        <f>IF(COUNTIFS('United Data'!$A$3:$A$3390,G$1,'United Data'!$C$3:$C$3390,$A562)&gt;0,1,0)</f>
        <v>0</v>
      </c>
      <c r="H562">
        <f>IF(COUNTIFS('United Data'!$A$3:$A$3390,H$1,'United Data'!$C$3:$C$3390,$A562)&gt;0,1,0)</f>
        <v>0</v>
      </c>
      <c r="I562">
        <f>IF(COUNTIFS('United Data'!$A$3:$A$3390,I$1,'United Data'!$C$3:$C$3390,$A562)&gt;0,1,0)</f>
        <v>0</v>
      </c>
      <c r="J562">
        <f>IF(COUNTIFS('United Data'!$A$3:$A$3390,J$1,'United Data'!$C$3:$C$3390,$A562)&gt;0,1,0)</f>
        <v>0</v>
      </c>
      <c r="K562">
        <f>IF(COUNTIFS('United Data'!$A$3:$A$3390,K$1,'United Data'!$C$3:$C$3390,$A562)&gt;0,1,0)</f>
        <v>0</v>
      </c>
      <c r="L562">
        <f>IF(COUNTIFS('United Data'!$A$3:$A$3390,L$1,'United Data'!$C$3:$C$3390,$A562)&gt;0,1,0)</f>
        <v>0</v>
      </c>
      <c r="M562">
        <f>IF(COUNTIFS('United Data'!$A$3:$A$3390,M$1,'United Data'!$C$3:$C$3390,$A562)&gt;0,1,0)</f>
        <v>1</v>
      </c>
      <c r="N562">
        <f>IF(COUNTIFS('United Data'!$A$3:$A$3390,N$1,'United Data'!$C$3:$C$3390,$A562)&gt;0,1,0)</f>
        <v>0</v>
      </c>
      <c r="O562">
        <f>IF(COUNTIFS('United Data'!$A$3:$A$3390,O$1,'United Data'!$C$3:$C$3390,$A562)&gt;0,1,0)</f>
        <v>0</v>
      </c>
      <c r="P562">
        <f>IF(COUNTIFS('United Data'!$A$3:$A$3390,P$1,'United Data'!$C$3:$C$3390,$A562)&gt;0,1,0)</f>
        <v>0</v>
      </c>
      <c r="Q562">
        <f>IF(COUNTIFS('United Data'!$A$3:$A$3390,Q$1,'United Data'!$C$3:$C$3390,$A562)&gt;0,1,0)</f>
        <v>0</v>
      </c>
      <c r="R562">
        <f>IF(COUNTIFS('United Data'!$A$3:$A$3390,R$1,'United Data'!$C$3:$C$3390,$A562)&gt;0,1,0)</f>
        <v>0</v>
      </c>
      <c r="S562">
        <f t="shared" si="16"/>
        <v>1</v>
      </c>
      <c r="T562">
        <f t="shared" si="17"/>
        <v>1</v>
      </c>
    </row>
    <row r="563" spans="1:20" x14ac:dyDescent="0.2">
      <c r="A563" t="s">
        <v>681</v>
      </c>
      <c r="B563">
        <f>IF(COUNTIFS('United Data'!$A$3:$A$3390,B$1,'United Data'!$C$3:$C$3390,$A563)&gt;0,1,0)</f>
        <v>0</v>
      </c>
      <c r="C563">
        <f>IF(COUNTIFS('United Data'!$A$3:$A$3390,C$1,'United Data'!$C$3:$C$3390,$A563)&gt;0,1,0)</f>
        <v>0</v>
      </c>
      <c r="D563">
        <f>IF(COUNTIFS('United Data'!$A$3:$A$3390,D$1,'United Data'!$C$3:$C$3390,$A563)&gt;0,1,0)</f>
        <v>0</v>
      </c>
      <c r="E563">
        <f>IF(COUNTIFS('United Data'!$A$3:$A$3390,E$1,'United Data'!$C$3:$C$3390,$A563)&gt;0,1,0)</f>
        <v>0</v>
      </c>
      <c r="F563">
        <f>IF(COUNTIFS('United Data'!$A$3:$A$3390,F$1,'United Data'!$C$3:$C$3390,$A563)&gt;0,1,0)</f>
        <v>0</v>
      </c>
      <c r="G563">
        <f>IF(COUNTIFS('United Data'!$A$3:$A$3390,G$1,'United Data'!$C$3:$C$3390,$A563)&gt;0,1,0)</f>
        <v>0</v>
      </c>
      <c r="H563">
        <f>IF(COUNTIFS('United Data'!$A$3:$A$3390,H$1,'United Data'!$C$3:$C$3390,$A563)&gt;0,1,0)</f>
        <v>0</v>
      </c>
      <c r="I563">
        <f>IF(COUNTIFS('United Data'!$A$3:$A$3390,I$1,'United Data'!$C$3:$C$3390,$A563)&gt;0,1,0)</f>
        <v>0</v>
      </c>
      <c r="J563">
        <f>IF(COUNTIFS('United Data'!$A$3:$A$3390,J$1,'United Data'!$C$3:$C$3390,$A563)&gt;0,1,0)</f>
        <v>0</v>
      </c>
      <c r="K563">
        <f>IF(COUNTIFS('United Data'!$A$3:$A$3390,K$1,'United Data'!$C$3:$C$3390,$A563)&gt;0,1,0)</f>
        <v>0</v>
      </c>
      <c r="L563">
        <f>IF(COUNTIFS('United Data'!$A$3:$A$3390,L$1,'United Data'!$C$3:$C$3390,$A563)&gt;0,1,0)</f>
        <v>0</v>
      </c>
      <c r="M563">
        <f>IF(COUNTIFS('United Data'!$A$3:$A$3390,M$1,'United Data'!$C$3:$C$3390,$A563)&gt;0,1,0)</f>
        <v>1</v>
      </c>
      <c r="N563">
        <f>IF(COUNTIFS('United Data'!$A$3:$A$3390,N$1,'United Data'!$C$3:$C$3390,$A563)&gt;0,1,0)</f>
        <v>1</v>
      </c>
      <c r="O563">
        <f>IF(COUNTIFS('United Data'!$A$3:$A$3390,O$1,'United Data'!$C$3:$C$3390,$A563)&gt;0,1,0)</f>
        <v>0</v>
      </c>
      <c r="P563">
        <f>IF(COUNTIFS('United Data'!$A$3:$A$3390,P$1,'United Data'!$C$3:$C$3390,$A563)&gt;0,1,0)</f>
        <v>0</v>
      </c>
      <c r="Q563">
        <f>IF(COUNTIFS('United Data'!$A$3:$A$3390,Q$1,'United Data'!$C$3:$C$3390,$A563)&gt;0,1,0)</f>
        <v>0</v>
      </c>
      <c r="R563">
        <f>IF(COUNTIFS('United Data'!$A$3:$A$3390,R$1,'United Data'!$C$3:$C$3390,$A563)&gt;0,1,0)</f>
        <v>0</v>
      </c>
      <c r="S563">
        <f t="shared" si="16"/>
        <v>2</v>
      </c>
      <c r="T563">
        <f t="shared" si="17"/>
        <v>1</v>
      </c>
    </row>
    <row r="564" spans="1:20" x14ac:dyDescent="0.2">
      <c r="A564" t="s">
        <v>682</v>
      </c>
      <c r="B564">
        <f>IF(COUNTIFS('United Data'!$A$3:$A$3390,B$1,'United Data'!$C$3:$C$3390,$A564)&gt;0,1,0)</f>
        <v>0</v>
      </c>
      <c r="C564">
        <f>IF(COUNTIFS('United Data'!$A$3:$A$3390,C$1,'United Data'!$C$3:$C$3390,$A564)&gt;0,1,0)</f>
        <v>0</v>
      </c>
      <c r="D564">
        <f>IF(COUNTIFS('United Data'!$A$3:$A$3390,D$1,'United Data'!$C$3:$C$3390,$A564)&gt;0,1,0)</f>
        <v>0</v>
      </c>
      <c r="E564">
        <f>IF(COUNTIFS('United Data'!$A$3:$A$3390,E$1,'United Data'!$C$3:$C$3390,$A564)&gt;0,1,0)</f>
        <v>0</v>
      </c>
      <c r="F564">
        <f>IF(COUNTIFS('United Data'!$A$3:$A$3390,F$1,'United Data'!$C$3:$C$3390,$A564)&gt;0,1,0)</f>
        <v>0</v>
      </c>
      <c r="G564">
        <f>IF(COUNTIFS('United Data'!$A$3:$A$3390,G$1,'United Data'!$C$3:$C$3390,$A564)&gt;0,1,0)</f>
        <v>0</v>
      </c>
      <c r="H564">
        <f>IF(COUNTIFS('United Data'!$A$3:$A$3390,H$1,'United Data'!$C$3:$C$3390,$A564)&gt;0,1,0)</f>
        <v>0</v>
      </c>
      <c r="I564">
        <f>IF(COUNTIFS('United Data'!$A$3:$A$3390,I$1,'United Data'!$C$3:$C$3390,$A564)&gt;0,1,0)</f>
        <v>0</v>
      </c>
      <c r="J564">
        <f>IF(COUNTIFS('United Data'!$A$3:$A$3390,J$1,'United Data'!$C$3:$C$3390,$A564)&gt;0,1,0)</f>
        <v>0</v>
      </c>
      <c r="K564">
        <f>IF(COUNTIFS('United Data'!$A$3:$A$3390,K$1,'United Data'!$C$3:$C$3390,$A564)&gt;0,1,0)</f>
        <v>0</v>
      </c>
      <c r="L564">
        <f>IF(COUNTIFS('United Data'!$A$3:$A$3390,L$1,'United Data'!$C$3:$C$3390,$A564)&gt;0,1,0)</f>
        <v>0</v>
      </c>
      <c r="M564">
        <f>IF(COUNTIFS('United Data'!$A$3:$A$3390,M$1,'United Data'!$C$3:$C$3390,$A564)&gt;0,1,0)</f>
        <v>1</v>
      </c>
      <c r="N564">
        <f>IF(COUNTIFS('United Data'!$A$3:$A$3390,N$1,'United Data'!$C$3:$C$3390,$A564)&gt;0,1,0)</f>
        <v>0</v>
      </c>
      <c r="O564">
        <f>IF(COUNTIFS('United Data'!$A$3:$A$3390,O$1,'United Data'!$C$3:$C$3390,$A564)&gt;0,1,0)</f>
        <v>0</v>
      </c>
      <c r="P564">
        <f>IF(COUNTIFS('United Data'!$A$3:$A$3390,P$1,'United Data'!$C$3:$C$3390,$A564)&gt;0,1,0)</f>
        <v>0</v>
      </c>
      <c r="Q564">
        <f>IF(COUNTIFS('United Data'!$A$3:$A$3390,Q$1,'United Data'!$C$3:$C$3390,$A564)&gt;0,1,0)</f>
        <v>0</v>
      </c>
      <c r="R564">
        <f>IF(COUNTIFS('United Data'!$A$3:$A$3390,R$1,'United Data'!$C$3:$C$3390,$A564)&gt;0,1,0)</f>
        <v>0</v>
      </c>
      <c r="S564">
        <f t="shared" si="16"/>
        <v>1</v>
      </c>
      <c r="T564">
        <f t="shared" si="17"/>
        <v>1</v>
      </c>
    </row>
    <row r="565" spans="1:20" x14ac:dyDescent="0.2">
      <c r="A565" t="s">
        <v>683</v>
      </c>
      <c r="B565">
        <f>IF(COUNTIFS('United Data'!$A$3:$A$3390,B$1,'United Data'!$C$3:$C$3390,$A565)&gt;0,1,0)</f>
        <v>0</v>
      </c>
      <c r="C565">
        <f>IF(COUNTIFS('United Data'!$A$3:$A$3390,C$1,'United Data'!$C$3:$C$3390,$A565)&gt;0,1,0)</f>
        <v>0</v>
      </c>
      <c r="D565">
        <f>IF(COUNTIFS('United Data'!$A$3:$A$3390,D$1,'United Data'!$C$3:$C$3390,$A565)&gt;0,1,0)</f>
        <v>0</v>
      </c>
      <c r="E565">
        <f>IF(COUNTIFS('United Data'!$A$3:$A$3390,E$1,'United Data'!$C$3:$C$3390,$A565)&gt;0,1,0)</f>
        <v>0</v>
      </c>
      <c r="F565">
        <f>IF(COUNTIFS('United Data'!$A$3:$A$3390,F$1,'United Data'!$C$3:$C$3390,$A565)&gt;0,1,0)</f>
        <v>0</v>
      </c>
      <c r="G565">
        <f>IF(COUNTIFS('United Data'!$A$3:$A$3390,G$1,'United Data'!$C$3:$C$3390,$A565)&gt;0,1,0)</f>
        <v>0</v>
      </c>
      <c r="H565">
        <f>IF(COUNTIFS('United Data'!$A$3:$A$3390,H$1,'United Data'!$C$3:$C$3390,$A565)&gt;0,1,0)</f>
        <v>0</v>
      </c>
      <c r="I565">
        <f>IF(COUNTIFS('United Data'!$A$3:$A$3390,I$1,'United Data'!$C$3:$C$3390,$A565)&gt;0,1,0)</f>
        <v>0</v>
      </c>
      <c r="J565">
        <f>IF(COUNTIFS('United Data'!$A$3:$A$3390,J$1,'United Data'!$C$3:$C$3390,$A565)&gt;0,1,0)</f>
        <v>0</v>
      </c>
      <c r="K565">
        <f>IF(COUNTIFS('United Data'!$A$3:$A$3390,K$1,'United Data'!$C$3:$C$3390,$A565)&gt;0,1,0)</f>
        <v>0</v>
      </c>
      <c r="L565">
        <f>IF(COUNTIFS('United Data'!$A$3:$A$3390,L$1,'United Data'!$C$3:$C$3390,$A565)&gt;0,1,0)</f>
        <v>0</v>
      </c>
      <c r="M565">
        <f>IF(COUNTIFS('United Data'!$A$3:$A$3390,M$1,'United Data'!$C$3:$C$3390,$A565)&gt;0,1,0)</f>
        <v>0</v>
      </c>
      <c r="N565">
        <f>IF(COUNTIFS('United Data'!$A$3:$A$3390,N$1,'United Data'!$C$3:$C$3390,$A565)&gt;0,1,0)</f>
        <v>1</v>
      </c>
      <c r="O565">
        <f>IF(COUNTIFS('United Data'!$A$3:$A$3390,O$1,'United Data'!$C$3:$C$3390,$A565)&gt;0,1,0)</f>
        <v>0</v>
      </c>
      <c r="P565">
        <f>IF(COUNTIFS('United Data'!$A$3:$A$3390,P$1,'United Data'!$C$3:$C$3390,$A565)&gt;0,1,0)</f>
        <v>0</v>
      </c>
      <c r="Q565">
        <f>IF(COUNTIFS('United Data'!$A$3:$A$3390,Q$1,'United Data'!$C$3:$C$3390,$A565)&gt;0,1,0)</f>
        <v>0</v>
      </c>
      <c r="R565">
        <f>IF(COUNTIFS('United Data'!$A$3:$A$3390,R$1,'United Data'!$C$3:$C$3390,$A565)&gt;0,1,0)</f>
        <v>0</v>
      </c>
      <c r="S565">
        <f t="shared" si="16"/>
        <v>1</v>
      </c>
      <c r="T565">
        <f t="shared" si="17"/>
        <v>1</v>
      </c>
    </row>
    <row r="566" spans="1:20" x14ac:dyDescent="0.2">
      <c r="A566" t="s">
        <v>684</v>
      </c>
      <c r="B566">
        <f>IF(COUNTIFS('United Data'!$A$3:$A$3390,B$1,'United Data'!$C$3:$C$3390,$A566)&gt;0,1,0)</f>
        <v>0</v>
      </c>
      <c r="C566">
        <f>IF(COUNTIFS('United Data'!$A$3:$A$3390,C$1,'United Data'!$C$3:$C$3390,$A566)&gt;0,1,0)</f>
        <v>0</v>
      </c>
      <c r="D566">
        <f>IF(COUNTIFS('United Data'!$A$3:$A$3390,D$1,'United Data'!$C$3:$C$3390,$A566)&gt;0,1,0)</f>
        <v>0</v>
      </c>
      <c r="E566">
        <f>IF(COUNTIFS('United Data'!$A$3:$A$3390,E$1,'United Data'!$C$3:$C$3390,$A566)&gt;0,1,0)</f>
        <v>0</v>
      </c>
      <c r="F566">
        <f>IF(COUNTIFS('United Data'!$A$3:$A$3390,F$1,'United Data'!$C$3:$C$3390,$A566)&gt;0,1,0)</f>
        <v>0</v>
      </c>
      <c r="G566">
        <f>IF(COUNTIFS('United Data'!$A$3:$A$3390,G$1,'United Data'!$C$3:$C$3390,$A566)&gt;0,1,0)</f>
        <v>0</v>
      </c>
      <c r="H566">
        <f>IF(COUNTIFS('United Data'!$A$3:$A$3390,H$1,'United Data'!$C$3:$C$3390,$A566)&gt;0,1,0)</f>
        <v>0</v>
      </c>
      <c r="I566">
        <f>IF(COUNTIFS('United Data'!$A$3:$A$3390,I$1,'United Data'!$C$3:$C$3390,$A566)&gt;0,1,0)</f>
        <v>0</v>
      </c>
      <c r="J566">
        <f>IF(COUNTIFS('United Data'!$A$3:$A$3390,J$1,'United Data'!$C$3:$C$3390,$A566)&gt;0,1,0)</f>
        <v>0</v>
      </c>
      <c r="K566">
        <f>IF(COUNTIFS('United Data'!$A$3:$A$3390,K$1,'United Data'!$C$3:$C$3390,$A566)&gt;0,1,0)</f>
        <v>0</v>
      </c>
      <c r="L566">
        <f>IF(COUNTIFS('United Data'!$A$3:$A$3390,L$1,'United Data'!$C$3:$C$3390,$A566)&gt;0,1,0)</f>
        <v>0</v>
      </c>
      <c r="M566">
        <f>IF(COUNTIFS('United Data'!$A$3:$A$3390,M$1,'United Data'!$C$3:$C$3390,$A566)&gt;0,1,0)</f>
        <v>0</v>
      </c>
      <c r="N566">
        <f>IF(COUNTIFS('United Data'!$A$3:$A$3390,N$1,'United Data'!$C$3:$C$3390,$A566)&gt;0,1,0)</f>
        <v>1</v>
      </c>
      <c r="O566">
        <f>IF(COUNTIFS('United Data'!$A$3:$A$3390,O$1,'United Data'!$C$3:$C$3390,$A566)&gt;0,1,0)</f>
        <v>0</v>
      </c>
      <c r="P566">
        <f>IF(COUNTIFS('United Data'!$A$3:$A$3390,P$1,'United Data'!$C$3:$C$3390,$A566)&gt;0,1,0)</f>
        <v>0</v>
      </c>
      <c r="Q566">
        <f>IF(COUNTIFS('United Data'!$A$3:$A$3390,Q$1,'United Data'!$C$3:$C$3390,$A566)&gt;0,1,0)</f>
        <v>0</v>
      </c>
      <c r="R566">
        <f>IF(COUNTIFS('United Data'!$A$3:$A$3390,R$1,'United Data'!$C$3:$C$3390,$A566)&gt;0,1,0)</f>
        <v>0</v>
      </c>
      <c r="S566">
        <f t="shared" si="16"/>
        <v>1</v>
      </c>
      <c r="T566">
        <f t="shared" si="17"/>
        <v>1</v>
      </c>
    </row>
    <row r="567" spans="1:20" x14ac:dyDescent="0.2">
      <c r="A567" t="s">
        <v>685</v>
      </c>
      <c r="B567">
        <f>IF(COUNTIFS('United Data'!$A$3:$A$3390,B$1,'United Data'!$C$3:$C$3390,$A567)&gt;0,1,0)</f>
        <v>0</v>
      </c>
      <c r="C567">
        <f>IF(COUNTIFS('United Data'!$A$3:$A$3390,C$1,'United Data'!$C$3:$C$3390,$A567)&gt;0,1,0)</f>
        <v>0</v>
      </c>
      <c r="D567">
        <f>IF(COUNTIFS('United Data'!$A$3:$A$3390,D$1,'United Data'!$C$3:$C$3390,$A567)&gt;0,1,0)</f>
        <v>0</v>
      </c>
      <c r="E567">
        <f>IF(COUNTIFS('United Data'!$A$3:$A$3390,E$1,'United Data'!$C$3:$C$3390,$A567)&gt;0,1,0)</f>
        <v>0</v>
      </c>
      <c r="F567">
        <f>IF(COUNTIFS('United Data'!$A$3:$A$3390,F$1,'United Data'!$C$3:$C$3390,$A567)&gt;0,1,0)</f>
        <v>0</v>
      </c>
      <c r="G567">
        <f>IF(COUNTIFS('United Data'!$A$3:$A$3390,G$1,'United Data'!$C$3:$C$3390,$A567)&gt;0,1,0)</f>
        <v>0</v>
      </c>
      <c r="H567">
        <f>IF(COUNTIFS('United Data'!$A$3:$A$3390,H$1,'United Data'!$C$3:$C$3390,$A567)&gt;0,1,0)</f>
        <v>0</v>
      </c>
      <c r="I567">
        <f>IF(COUNTIFS('United Data'!$A$3:$A$3390,I$1,'United Data'!$C$3:$C$3390,$A567)&gt;0,1,0)</f>
        <v>0</v>
      </c>
      <c r="J567">
        <f>IF(COUNTIFS('United Data'!$A$3:$A$3390,J$1,'United Data'!$C$3:$C$3390,$A567)&gt;0,1,0)</f>
        <v>0</v>
      </c>
      <c r="K567">
        <f>IF(COUNTIFS('United Data'!$A$3:$A$3390,K$1,'United Data'!$C$3:$C$3390,$A567)&gt;0,1,0)</f>
        <v>0</v>
      </c>
      <c r="L567">
        <f>IF(COUNTIFS('United Data'!$A$3:$A$3390,L$1,'United Data'!$C$3:$C$3390,$A567)&gt;0,1,0)</f>
        <v>0</v>
      </c>
      <c r="M567">
        <f>IF(COUNTIFS('United Data'!$A$3:$A$3390,M$1,'United Data'!$C$3:$C$3390,$A567)&gt;0,1,0)</f>
        <v>1</v>
      </c>
      <c r="N567">
        <f>IF(COUNTIFS('United Data'!$A$3:$A$3390,N$1,'United Data'!$C$3:$C$3390,$A567)&gt;0,1,0)</f>
        <v>1</v>
      </c>
      <c r="O567">
        <f>IF(COUNTIFS('United Data'!$A$3:$A$3390,O$1,'United Data'!$C$3:$C$3390,$A567)&gt;0,1,0)</f>
        <v>1</v>
      </c>
      <c r="P567">
        <f>IF(COUNTIFS('United Data'!$A$3:$A$3390,P$1,'United Data'!$C$3:$C$3390,$A567)&gt;0,1,0)</f>
        <v>0</v>
      </c>
      <c r="Q567">
        <f>IF(COUNTIFS('United Data'!$A$3:$A$3390,Q$1,'United Data'!$C$3:$C$3390,$A567)&gt;0,1,0)</f>
        <v>0</v>
      </c>
      <c r="R567">
        <f>IF(COUNTIFS('United Data'!$A$3:$A$3390,R$1,'United Data'!$C$3:$C$3390,$A567)&gt;0,1,0)</f>
        <v>0</v>
      </c>
      <c r="S567">
        <f t="shared" si="16"/>
        <v>3</v>
      </c>
      <c r="T567">
        <f t="shared" si="17"/>
        <v>1</v>
      </c>
    </row>
    <row r="568" spans="1:20" x14ac:dyDescent="0.2">
      <c r="A568" t="s">
        <v>686</v>
      </c>
      <c r="B568">
        <f>IF(COUNTIFS('United Data'!$A$3:$A$3390,B$1,'United Data'!$C$3:$C$3390,$A568)&gt;0,1,0)</f>
        <v>0</v>
      </c>
      <c r="C568">
        <f>IF(COUNTIFS('United Data'!$A$3:$A$3390,C$1,'United Data'!$C$3:$C$3390,$A568)&gt;0,1,0)</f>
        <v>0</v>
      </c>
      <c r="D568">
        <f>IF(COUNTIFS('United Data'!$A$3:$A$3390,D$1,'United Data'!$C$3:$C$3390,$A568)&gt;0,1,0)</f>
        <v>0</v>
      </c>
      <c r="E568">
        <f>IF(COUNTIFS('United Data'!$A$3:$A$3390,E$1,'United Data'!$C$3:$C$3390,$A568)&gt;0,1,0)</f>
        <v>0</v>
      </c>
      <c r="F568">
        <f>IF(COUNTIFS('United Data'!$A$3:$A$3390,F$1,'United Data'!$C$3:$C$3390,$A568)&gt;0,1,0)</f>
        <v>0</v>
      </c>
      <c r="G568">
        <f>IF(COUNTIFS('United Data'!$A$3:$A$3390,G$1,'United Data'!$C$3:$C$3390,$A568)&gt;0,1,0)</f>
        <v>0</v>
      </c>
      <c r="H568">
        <f>IF(COUNTIFS('United Data'!$A$3:$A$3390,H$1,'United Data'!$C$3:$C$3390,$A568)&gt;0,1,0)</f>
        <v>0</v>
      </c>
      <c r="I568">
        <f>IF(COUNTIFS('United Data'!$A$3:$A$3390,I$1,'United Data'!$C$3:$C$3390,$A568)&gt;0,1,0)</f>
        <v>1</v>
      </c>
      <c r="J568">
        <f>IF(COUNTIFS('United Data'!$A$3:$A$3390,J$1,'United Data'!$C$3:$C$3390,$A568)&gt;0,1,0)</f>
        <v>1</v>
      </c>
      <c r="K568">
        <f>IF(COUNTIFS('United Data'!$A$3:$A$3390,K$1,'United Data'!$C$3:$C$3390,$A568)&gt;0,1,0)</f>
        <v>0</v>
      </c>
      <c r="L568">
        <f>IF(COUNTIFS('United Data'!$A$3:$A$3390,L$1,'United Data'!$C$3:$C$3390,$A568)&gt;0,1,0)</f>
        <v>0</v>
      </c>
      <c r="M568">
        <f>IF(COUNTIFS('United Data'!$A$3:$A$3390,M$1,'United Data'!$C$3:$C$3390,$A568)&gt;0,1,0)</f>
        <v>0</v>
      </c>
      <c r="N568">
        <f>IF(COUNTIFS('United Data'!$A$3:$A$3390,N$1,'United Data'!$C$3:$C$3390,$A568)&gt;0,1,0)</f>
        <v>1</v>
      </c>
      <c r="O568">
        <f>IF(COUNTIFS('United Data'!$A$3:$A$3390,O$1,'United Data'!$C$3:$C$3390,$A568)&gt;0,1,0)</f>
        <v>0</v>
      </c>
      <c r="P568">
        <f>IF(COUNTIFS('United Data'!$A$3:$A$3390,P$1,'United Data'!$C$3:$C$3390,$A568)&gt;0,1,0)</f>
        <v>0</v>
      </c>
      <c r="Q568">
        <f>IF(COUNTIFS('United Data'!$A$3:$A$3390,Q$1,'United Data'!$C$3:$C$3390,$A568)&gt;0,1,0)</f>
        <v>0</v>
      </c>
      <c r="R568">
        <f>IF(COUNTIFS('United Data'!$A$3:$A$3390,R$1,'United Data'!$C$3:$C$3390,$A568)&gt;0,1,0)</f>
        <v>0</v>
      </c>
      <c r="S568">
        <f t="shared" si="16"/>
        <v>3</v>
      </c>
      <c r="T568">
        <f t="shared" si="17"/>
        <v>2</v>
      </c>
    </row>
    <row r="569" spans="1:20" x14ac:dyDescent="0.2">
      <c r="A569" t="s">
        <v>687</v>
      </c>
      <c r="B569">
        <f>IF(COUNTIFS('United Data'!$A$3:$A$3390,B$1,'United Data'!$C$3:$C$3390,$A569)&gt;0,1,0)</f>
        <v>0</v>
      </c>
      <c r="C569">
        <f>IF(COUNTIFS('United Data'!$A$3:$A$3390,C$1,'United Data'!$C$3:$C$3390,$A569)&gt;0,1,0)</f>
        <v>0</v>
      </c>
      <c r="D569">
        <f>IF(COUNTIFS('United Data'!$A$3:$A$3390,D$1,'United Data'!$C$3:$C$3390,$A569)&gt;0,1,0)</f>
        <v>0</v>
      </c>
      <c r="E569">
        <f>IF(COUNTIFS('United Data'!$A$3:$A$3390,E$1,'United Data'!$C$3:$C$3390,$A569)&gt;0,1,0)</f>
        <v>0</v>
      </c>
      <c r="F569">
        <f>IF(COUNTIFS('United Data'!$A$3:$A$3390,F$1,'United Data'!$C$3:$C$3390,$A569)&gt;0,1,0)</f>
        <v>0</v>
      </c>
      <c r="G569">
        <f>IF(COUNTIFS('United Data'!$A$3:$A$3390,G$1,'United Data'!$C$3:$C$3390,$A569)&gt;0,1,0)</f>
        <v>0</v>
      </c>
      <c r="H569">
        <f>IF(COUNTIFS('United Data'!$A$3:$A$3390,H$1,'United Data'!$C$3:$C$3390,$A569)&gt;0,1,0)</f>
        <v>0</v>
      </c>
      <c r="I569">
        <f>IF(COUNTIFS('United Data'!$A$3:$A$3390,I$1,'United Data'!$C$3:$C$3390,$A569)&gt;0,1,0)</f>
        <v>0</v>
      </c>
      <c r="J569">
        <f>IF(COUNTIFS('United Data'!$A$3:$A$3390,J$1,'United Data'!$C$3:$C$3390,$A569)&gt;0,1,0)</f>
        <v>0</v>
      </c>
      <c r="K569">
        <f>IF(COUNTIFS('United Data'!$A$3:$A$3390,K$1,'United Data'!$C$3:$C$3390,$A569)&gt;0,1,0)</f>
        <v>0</v>
      </c>
      <c r="L569">
        <f>IF(COUNTIFS('United Data'!$A$3:$A$3390,L$1,'United Data'!$C$3:$C$3390,$A569)&gt;0,1,0)</f>
        <v>0</v>
      </c>
      <c r="M569">
        <f>IF(COUNTIFS('United Data'!$A$3:$A$3390,M$1,'United Data'!$C$3:$C$3390,$A569)&gt;0,1,0)</f>
        <v>0</v>
      </c>
      <c r="N569">
        <f>IF(COUNTIFS('United Data'!$A$3:$A$3390,N$1,'United Data'!$C$3:$C$3390,$A569)&gt;0,1,0)</f>
        <v>1</v>
      </c>
      <c r="O569">
        <f>IF(COUNTIFS('United Data'!$A$3:$A$3390,O$1,'United Data'!$C$3:$C$3390,$A569)&gt;0,1,0)</f>
        <v>0</v>
      </c>
      <c r="P569">
        <f>IF(COUNTIFS('United Data'!$A$3:$A$3390,P$1,'United Data'!$C$3:$C$3390,$A569)&gt;0,1,0)</f>
        <v>0</v>
      </c>
      <c r="Q569">
        <f>IF(COUNTIFS('United Data'!$A$3:$A$3390,Q$1,'United Data'!$C$3:$C$3390,$A569)&gt;0,1,0)</f>
        <v>0</v>
      </c>
      <c r="R569">
        <f>IF(COUNTIFS('United Data'!$A$3:$A$3390,R$1,'United Data'!$C$3:$C$3390,$A569)&gt;0,1,0)</f>
        <v>0</v>
      </c>
      <c r="S569">
        <f t="shared" si="16"/>
        <v>1</v>
      </c>
      <c r="T569">
        <f t="shared" si="17"/>
        <v>1</v>
      </c>
    </row>
    <row r="570" spans="1:20" x14ac:dyDescent="0.2">
      <c r="A570" t="s">
        <v>688</v>
      </c>
      <c r="B570">
        <f>IF(COUNTIFS('United Data'!$A$3:$A$3390,B$1,'United Data'!$C$3:$C$3390,$A570)&gt;0,1,0)</f>
        <v>0</v>
      </c>
      <c r="C570">
        <f>IF(COUNTIFS('United Data'!$A$3:$A$3390,C$1,'United Data'!$C$3:$C$3390,$A570)&gt;0,1,0)</f>
        <v>0</v>
      </c>
      <c r="D570">
        <f>IF(COUNTIFS('United Data'!$A$3:$A$3390,D$1,'United Data'!$C$3:$C$3390,$A570)&gt;0,1,0)</f>
        <v>0</v>
      </c>
      <c r="E570">
        <f>IF(COUNTIFS('United Data'!$A$3:$A$3390,E$1,'United Data'!$C$3:$C$3390,$A570)&gt;0,1,0)</f>
        <v>0</v>
      </c>
      <c r="F570">
        <f>IF(COUNTIFS('United Data'!$A$3:$A$3390,F$1,'United Data'!$C$3:$C$3390,$A570)&gt;0,1,0)</f>
        <v>0</v>
      </c>
      <c r="G570">
        <f>IF(COUNTIFS('United Data'!$A$3:$A$3390,G$1,'United Data'!$C$3:$C$3390,$A570)&gt;0,1,0)</f>
        <v>0</v>
      </c>
      <c r="H570">
        <f>IF(COUNTIFS('United Data'!$A$3:$A$3390,H$1,'United Data'!$C$3:$C$3390,$A570)&gt;0,1,0)</f>
        <v>0</v>
      </c>
      <c r="I570">
        <f>IF(COUNTIFS('United Data'!$A$3:$A$3390,I$1,'United Data'!$C$3:$C$3390,$A570)&gt;0,1,0)</f>
        <v>0</v>
      </c>
      <c r="J570">
        <f>IF(COUNTIFS('United Data'!$A$3:$A$3390,J$1,'United Data'!$C$3:$C$3390,$A570)&gt;0,1,0)</f>
        <v>0</v>
      </c>
      <c r="K570">
        <f>IF(COUNTIFS('United Data'!$A$3:$A$3390,K$1,'United Data'!$C$3:$C$3390,$A570)&gt;0,1,0)</f>
        <v>0</v>
      </c>
      <c r="L570">
        <f>IF(COUNTIFS('United Data'!$A$3:$A$3390,L$1,'United Data'!$C$3:$C$3390,$A570)&gt;0,1,0)</f>
        <v>0</v>
      </c>
      <c r="M570">
        <f>IF(COUNTIFS('United Data'!$A$3:$A$3390,M$1,'United Data'!$C$3:$C$3390,$A570)&gt;0,1,0)</f>
        <v>0</v>
      </c>
      <c r="N570">
        <f>IF(COUNTIFS('United Data'!$A$3:$A$3390,N$1,'United Data'!$C$3:$C$3390,$A570)&gt;0,1,0)</f>
        <v>1</v>
      </c>
      <c r="O570">
        <f>IF(COUNTIFS('United Data'!$A$3:$A$3390,O$1,'United Data'!$C$3:$C$3390,$A570)&gt;0,1,0)</f>
        <v>0</v>
      </c>
      <c r="P570">
        <f>IF(COUNTIFS('United Data'!$A$3:$A$3390,P$1,'United Data'!$C$3:$C$3390,$A570)&gt;0,1,0)</f>
        <v>0</v>
      </c>
      <c r="Q570">
        <f>IF(COUNTIFS('United Data'!$A$3:$A$3390,Q$1,'United Data'!$C$3:$C$3390,$A570)&gt;0,1,0)</f>
        <v>0</v>
      </c>
      <c r="R570">
        <f>IF(COUNTIFS('United Data'!$A$3:$A$3390,R$1,'United Data'!$C$3:$C$3390,$A570)&gt;0,1,0)</f>
        <v>0</v>
      </c>
      <c r="S570">
        <f t="shared" si="16"/>
        <v>1</v>
      </c>
      <c r="T570">
        <f t="shared" si="17"/>
        <v>1</v>
      </c>
    </row>
    <row r="571" spans="1:20" x14ac:dyDescent="0.2">
      <c r="A571" t="s">
        <v>689</v>
      </c>
      <c r="B571">
        <f>IF(COUNTIFS('United Data'!$A$3:$A$3390,B$1,'United Data'!$C$3:$C$3390,$A571)&gt;0,1,0)</f>
        <v>0</v>
      </c>
      <c r="C571">
        <f>IF(COUNTIFS('United Data'!$A$3:$A$3390,C$1,'United Data'!$C$3:$C$3390,$A571)&gt;0,1,0)</f>
        <v>0</v>
      </c>
      <c r="D571">
        <f>IF(COUNTIFS('United Data'!$A$3:$A$3390,D$1,'United Data'!$C$3:$C$3390,$A571)&gt;0,1,0)</f>
        <v>0</v>
      </c>
      <c r="E571">
        <f>IF(COUNTIFS('United Data'!$A$3:$A$3390,E$1,'United Data'!$C$3:$C$3390,$A571)&gt;0,1,0)</f>
        <v>0</v>
      </c>
      <c r="F571">
        <f>IF(COUNTIFS('United Data'!$A$3:$A$3390,F$1,'United Data'!$C$3:$C$3390,$A571)&gt;0,1,0)</f>
        <v>0</v>
      </c>
      <c r="G571">
        <f>IF(COUNTIFS('United Data'!$A$3:$A$3390,G$1,'United Data'!$C$3:$C$3390,$A571)&gt;0,1,0)</f>
        <v>0</v>
      </c>
      <c r="H571">
        <f>IF(COUNTIFS('United Data'!$A$3:$A$3390,H$1,'United Data'!$C$3:$C$3390,$A571)&gt;0,1,0)</f>
        <v>0</v>
      </c>
      <c r="I571">
        <f>IF(COUNTIFS('United Data'!$A$3:$A$3390,I$1,'United Data'!$C$3:$C$3390,$A571)&gt;0,1,0)</f>
        <v>0</v>
      </c>
      <c r="J571">
        <f>IF(COUNTIFS('United Data'!$A$3:$A$3390,J$1,'United Data'!$C$3:$C$3390,$A571)&gt;0,1,0)</f>
        <v>0</v>
      </c>
      <c r="K571">
        <f>IF(COUNTIFS('United Data'!$A$3:$A$3390,K$1,'United Data'!$C$3:$C$3390,$A571)&gt;0,1,0)</f>
        <v>0</v>
      </c>
      <c r="L571">
        <f>IF(COUNTIFS('United Data'!$A$3:$A$3390,L$1,'United Data'!$C$3:$C$3390,$A571)&gt;0,1,0)</f>
        <v>0</v>
      </c>
      <c r="M571">
        <f>IF(COUNTIFS('United Data'!$A$3:$A$3390,M$1,'United Data'!$C$3:$C$3390,$A571)&gt;0,1,0)</f>
        <v>0</v>
      </c>
      <c r="N571">
        <f>IF(COUNTIFS('United Data'!$A$3:$A$3390,N$1,'United Data'!$C$3:$C$3390,$A571)&gt;0,1,0)</f>
        <v>0</v>
      </c>
      <c r="O571">
        <f>IF(COUNTIFS('United Data'!$A$3:$A$3390,O$1,'United Data'!$C$3:$C$3390,$A571)&gt;0,1,0)</f>
        <v>1</v>
      </c>
      <c r="P571">
        <f>IF(COUNTIFS('United Data'!$A$3:$A$3390,P$1,'United Data'!$C$3:$C$3390,$A571)&gt;0,1,0)</f>
        <v>0</v>
      </c>
      <c r="Q571">
        <f>IF(COUNTIFS('United Data'!$A$3:$A$3390,Q$1,'United Data'!$C$3:$C$3390,$A571)&gt;0,1,0)</f>
        <v>0</v>
      </c>
      <c r="R571">
        <f>IF(COUNTIFS('United Data'!$A$3:$A$3390,R$1,'United Data'!$C$3:$C$3390,$A571)&gt;0,1,0)</f>
        <v>0</v>
      </c>
      <c r="S571">
        <f t="shared" si="16"/>
        <v>1</v>
      </c>
      <c r="T571">
        <f t="shared" si="17"/>
        <v>1</v>
      </c>
    </row>
    <row r="572" spans="1:20" x14ac:dyDescent="0.2">
      <c r="A572" t="s">
        <v>690</v>
      </c>
      <c r="B572">
        <f>IF(COUNTIFS('United Data'!$A$3:$A$3390,B$1,'United Data'!$C$3:$C$3390,$A572)&gt;0,1,0)</f>
        <v>0</v>
      </c>
      <c r="C572">
        <f>IF(COUNTIFS('United Data'!$A$3:$A$3390,C$1,'United Data'!$C$3:$C$3390,$A572)&gt;0,1,0)</f>
        <v>0</v>
      </c>
      <c r="D572">
        <f>IF(COUNTIFS('United Data'!$A$3:$A$3390,D$1,'United Data'!$C$3:$C$3390,$A572)&gt;0,1,0)</f>
        <v>0</v>
      </c>
      <c r="E572">
        <f>IF(COUNTIFS('United Data'!$A$3:$A$3390,E$1,'United Data'!$C$3:$C$3390,$A572)&gt;0,1,0)</f>
        <v>0</v>
      </c>
      <c r="F572">
        <f>IF(COUNTIFS('United Data'!$A$3:$A$3390,F$1,'United Data'!$C$3:$C$3390,$A572)&gt;0,1,0)</f>
        <v>0</v>
      </c>
      <c r="G572">
        <f>IF(COUNTIFS('United Data'!$A$3:$A$3390,G$1,'United Data'!$C$3:$C$3390,$A572)&gt;0,1,0)</f>
        <v>0</v>
      </c>
      <c r="H572">
        <f>IF(COUNTIFS('United Data'!$A$3:$A$3390,H$1,'United Data'!$C$3:$C$3390,$A572)&gt;0,1,0)</f>
        <v>0</v>
      </c>
      <c r="I572">
        <f>IF(COUNTIFS('United Data'!$A$3:$A$3390,I$1,'United Data'!$C$3:$C$3390,$A572)&gt;0,1,0)</f>
        <v>0</v>
      </c>
      <c r="J572">
        <f>IF(COUNTIFS('United Data'!$A$3:$A$3390,J$1,'United Data'!$C$3:$C$3390,$A572)&gt;0,1,0)</f>
        <v>0</v>
      </c>
      <c r="K572">
        <f>IF(COUNTIFS('United Data'!$A$3:$A$3390,K$1,'United Data'!$C$3:$C$3390,$A572)&gt;0,1,0)</f>
        <v>0</v>
      </c>
      <c r="L572">
        <f>IF(COUNTIFS('United Data'!$A$3:$A$3390,L$1,'United Data'!$C$3:$C$3390,$A572)&gt;0,1,0)</f>
        <v>0</v>
      </c>
      <c r="M572">
        <f>IF(COUNTIFS('United Data'!$A$3:$A$3390,M$1,'United Data'!$C$3:$C$3390,$A572)&gt;0,1,0)</f>
        <v>0</v>
      </c>
      <c r="N572">
        <f>IF(COUNTIFS('United Data'!$A$3:$A$3390,N$1,'United Data'!$C$3:$C$3390,$A572)&gt;0,1,0)</f>
        <v>0</v>
      </c>
      <c r="O572">
        <f>IF(COUNTIFS('United Data'!$A$3:$A$3390,O$1,'United Data'!$C$3:$C$3390,$A572)&gt;0,1,0)</f>
        <v>1</v>
      </c>
      <c r="P572">
        <f>IF(COUNTIFS('United Data'!$A$3:$A$3390,P$1,'United Data'!$C$3:$C$3390,$A572)&gt;0,1,0)</f>
        <v>1</v>
      </c>
      <c r="Q572">
        <f>IF(COUNTIFS('United Data'!$A$3:$A$3390,Q$1,'United Data'!$C$3:$C$3390,$A572)&gt;0,1,0)</f>
        <v>0</v>
      </c>
      <c r="R572">
        <f>IF(COUNTIFS('United Data'!$A$3:$A$3390,R$1,'United Data'!$C$3:$C$3390,$A572)&gt;0,1,0)</f>
        <v>0</v>
      </c>
      <c r="S572">
        <f t="shared" si="16"/>
        <v>2</v>
      </c>
      <c r="T572">
        <f t="shared" si="17"/>
        <v>1</v>
      </c>
    </row>
    <row r="573" spans="1:20" x14ac:dyDescent="0.2">
      <c r="A573" t="s">
        <v>691</v>
      </c>
      <c r="B573">
        <f>IF(COUNTIFS('United Data'!$A$3:$A$3390,B$1,'United Data'!$C$3:$C$3390,$A573)&gt;0,1,0)</f>
        <v>0</v>
      </c>
      <c r="C573">
        <f>IF(COUNTIFS('United Data'!$A$3:$A$3390,C$1,'United Data'!$C$3:$C$3390,$A573)&gt;0,1,0)</f>
        <v>0</v>
      </c>
      <c r="D573">
        <f>IF(COUNTIFS('United Data'!$A$3:$A$3390,D$1,'United Data'!$C$3:$C$3390,$A573)&gt;0,1,0)</f>
        <v>0</v>
      </c>
      <c r="E573">
        <f>IF(COUNTIFS('United Data'!$A$3:$A$3390,E$1,'United Data'!$C$3:$C$3390,$A573)&gt;0,1,0)</f>
        <v>0</v>
      </c>
      <c r="F573">
        <f>IF(COUNTIFS('United Data'!$A$3:$A$3390,F$1,'United Data'!$C$3:$C$3390,$A573)&gt;0,1,0)</f>
        <v>0</v>
      </c>
      <c r="G573">
        <f>IF(COUNTIFS('United Data'!$A$3:$A$3390,G$1,'United Data'!$C$3:$C$3390,$A573)&gt;0,1,0)</f>
        <v>0</v>
      </c>
      <c r="H573">
        <f>IF(COUNTIFS('United Data'!$A$3:$A$3390,H$1,'United Data'!$C$3:$C$3390,$A573)&gt;0,1,0)</f>
        <v>0</v>
      </c>
      <c r="I573">
        <f>IF(COUNTIFS('United Data'!$A$3:$A$3390,I$1,'United Data'!$C$3:$C$3390,$A573)&gt;0,1,0)</f>
        <v>0</v>
      </c>
      <c r="J573">
        <f>IF(COUNTIFS('United Data'!$A$3:$A$3390,J$1,'United Data'!$C$3:$C$3390,$A573)&gt;0,1,0)</f>
        <v>0</v>
      </c>
      <c r="K573">
        <f>IF(COUNTIFS('United Data'!$A$3:$A$3390,K$1,'United Data'!$C$3:$C$3390,$A573)&gt;0,1,0)</f>
        <v>0</v>
      </c>
      <c r="L573">
        <f>IF(COUNTIFS('United Data'!$A$3:$A$3390,L$1,'United Data'!$C$3:$C$3390,$A573)&gt;0,1,0)</f>
        <v>0</v>
      </c>
      <c r="M573">
        <f>IF(COUNTIFS('United Data'!$A$3:$A$3390,M$1,'United Data'!$C$3:$C$3390,$A573)&gt;0,1,0)</f>
        <v>0</v>
      </c>
      <c r="N573">
        <f>IF(COUNTIFS('United Data'!$A$3:$A$3390,N$1,'United Data'!$C$3:$C$3390,$A573)&gt;0,1,0)</f>
        <v>0</v>
      </c>
      <c r="O573">
        <f>IF(COUNTIFS('United Data'!$A$3:$A$3390,O$1,'United Data'!$C$3:$C$3390,$A573)&gt;0,1,0)</f>
        <v>1</v>
      </c>
      <c r="P573">
        <f>IF(COUNTIFS('United Data'!$A$3:$A$3390,P$1,'United Data'!$C$3:$C$3390,$A573)&gt;0,1,0)</f>
        <v>0</v>
      </c>
      <c r="Q573">
        <f>IF(COUNTIFS('United Data'!$A$3:$A$3390,Q$1,'United Data'!$C$3:$C$3390,$A573)&gt;0,1,0)</f>
        <v>0</v>
      </c>
      <c r="R573">
        <f>IF(COUNTIFS('United Data'!$A$3:$A$3390,R$1,'United Data'!$C$3:$C$3390,$A573)&gt;0,1,0)</f>
        <v>0</v>
      </c>
      <c r="S573">
        <f t="shared" si="16"/>
        <v>1</v>
      </c>
      <c r="T573">
        <f t="shared" si="17"/>
        <v>1</v>
      </c>
    </row>
    <row r="574" spans="1:20" x14ac:dyDescent="0.2">
      <c r="A574" t="s">
        <v>692</v>
      </c>
      <c r="B574">
        <f>IF(COUNTIFS('United Data'!$A$3:$A$3390,B$1,'United Data'!$C$3:$C$3390,$A574)&gt;0,1,0)</f>
        <v>0</v>
      </c>
      <c r="C574">
        <f>IF(COUNTIFS('United Data'!$A$3:$A$3390,C$1,'United Data'!$C$3:$C$3390,$A574)&gt;0,1,0)</f>
        <v>0</v>
      </c>
      <c r="D574">
        <f>IF(COUNTIFS('United Data'!$A$3:$A$3390,D$1,'United Data'!$C$3:$C$3390,$A574)&gt;0,1,0)</f>
        <v>0</v>
      </c>
      <c r="E574">
        <f>IF(COUNTIFS('United Data'!$A$3:$A$3390,E$1,'United Data'!$C$3:$C$3390,$A574)&gt;0,1,0)</f>
        <v>0</v>
      </c>
      <c r="F574">
        <f>IF(COUNTIFS('United Data'!$A$3:$A$3390,F$1,'United Data'!$C$3:$C$3390,$A574)&gt;0,1,0)</f>
        <v>0</v>
      </c>
      <c r="G574">
        <f>IF(COUNTIFS('United Data'!$A$3:$A$3390,G$1,'United Data'!$C$3:$C$3390,$A574)&gt;0,1,0)</f>
        <v>0</v>
      </c>
      <c r="H574">
        <f>IF(COUNTIFS('United Data'!$A$3:$A$3390,H$1,'United Data'!$C$3:$C$3390,$A574)&gt;0,1,0)</f>
        <v>0</v>
      </c>
      <c r="I574">
        <f>IF(COUNTIFS('United Data'!$A$3:$A$3390,I$1,'United Data'!$C$3:$C$3390,$A574)&gt;0,1,0)</f>
        <v>0</v>
      </c>
      <c r="J574">
        <f>IF(COUNTIFS('United Data'!$A$3:$A$3390,J$1,'United Data'!$C$3:$C$3390,$A574)&gt;0,1,0)</f>
        <v>0</v>
      </c>
      <c r="K574">
        <f>IF(COUNTIFS('United Data'!$A$3:$A$3390,K$1,'United Data'!$C$3:$C$3390,$A574)&gt;0,1,0)</f>
        <v>0</v>
      </c>
      <c r="L574">
        <f>IF(COUNTIFS('United Data'!$A$3:$A$3390,L$1,'United Data'!$C$3:$C$3390,$A574)&gt;0,1,0)</f>
        <v>0</v>
      </c>
      <c r="M574">
        <f>IF(COUNTIFS('United Data'!$A$3:$A$3390,M$1,'United Data'!$C$3:$C$3390,$A574)&gt;0,1,0)</f>
        <v>0</v>
      </c>
      <c r="N574">
        <f>IF(COUNTIFS('United Data'!$A$3:$A$3390,N$1,'United Data'!$C$3:$C$3390,$A574)&gt;0,1,0)</f>
        <v>0</v>
      </c>
      <c r="O574">
        <f>IF(COUNTIFS('United Data'!$A$3:$A$3390,O$1,'United Data'!$C$3:$C$3390,$A574)&gt;0,1,0)</f>
        <v>1</v>
      </c>
      <c r="P574">
        <f>IF(COUNTIFS('United Data'!$A$3:$A$3390,P$1,'United Data'!$C$3:$C$3390,$A574)&gt;0,1,0)</f>
        <v>0</v>
      </c>
      <c r="Q574">
        <f>IF(COUNTIFS('United Data'!$A$3:$A$3390,Q$1,'United Data'!$C$3:$C$3390,$A574)&gt;0,1,0)</f>
        <v>0</v>
      </c>
      <c r="R574">
        <f>IF(COUNTIFS('United Data'!$A$3:$A$3390,R$1,'United Data'!$C$3:$C$3390,$A574)&gt;0,1,0)</f>
        <v>0</v>
      </c>
      <c r="S574">
        <f t="shared" si="16"/>
        <v>1</v>
      </c>
      <c r="T574">
        <f t="shared" si="17"/>
        <v>1</v>
      </c>
    </row>
    <row r="575" spans="1:20" x14ac:dyDescent="0.2">
      <c r="A575" t="s">
        <v>693</v>
      </c>
      <c r="B575">
        <f>IF(COUNTIFS('United Data'!$A$3:$A$3390,B$1,'United Data'!$C$3:$C$3390,$A575)&gt;0,1,0)</f>
        <v>0</v>
      </c>
      <c r="C575">
        <f>IF(COUNTIFS('United Data'!$A$3:$A$3390,C$1,'United Data'!$C$3:$C$3390,$A575)&gt;0,1,0)</f>
        <v>0</v>
      </c>
      <c r="D575">
        <f>IF(COUNTIFS('United Data'!$A$3:$A$3390,D$1,'United Data'!$C$3:$C$3390,$A575)&gt;0,1,0)</f>
        <v>0</v>
      </c>
      <c r="E575">
        <f>IF(COUNTIFS('United Data'!$A$3:$A$3390,E$1,'United Data'!$C$3:$C$3390,$A575)&gt;0,1,0)</f>
        <v>0</v>
      </c>
      <c r="F575">
        <f>IF(COUNTIFS('United Data'!$A$3:$A$3390,F$1,'United Data'!$C$3:$C$3390,$A575)&gt;0,1,0)</f>
        <v>0</v>
      </c>
      <c r="G575">
        <f>IF(COUNTIFS('United Data'!$A$3:$A$3390,G$1,'United Data'!$C$3:$C$3390,$A575)&gt;0,1,0)</f>
        <v>0</v>
      </c>
      <c r="H575">
        <f>IF(COUNTIFS('United Data'!$A$3:$A$3390,H$1,'United Data'!$C$3:$C$3390,$A575)&gt;0,1,0)</f>
        <v>0</v>
      </c>
      <c r="I575">
        <f>IF(COUNTIFS('United Data'!$A$3:$A$3390,I$1,'United Data'!$C$3:$C$3390,$A575)&gt;0,1,0)</f>
        <v>0</v>
      </c>
      <c r="J575">
        <f>IF(COUNTIFS('United Data'!$A$3:$A$3390,J$1,'United Data'!$C$3:$C$3390,$A575)&gt;0,1,0)</f>
        <v>0</v>
      </c>
      <c r="K575">
        <f>IF(COUNTIFS('United Data'!$A$3:$A$3390,K$1,'United Data'!$C$3:$C$3390,$A575)&gt;0,1,0)</f>
        <v>0</v>
      </c>
      <c r="L575">
        <f>IF(COUNTIFS('United Data'!$A$3:$A$3390,L$1,'United Data'!$C$3:$C$3390,$A575)&gt;0,1,0)</f>
        <v>0</v>
      </c>
      <c r="M575">
        <f>IF(COUNTIFS('United Data'!$A$3:$A$3390,M$1,'United Data'!$C$3:$C$3390,$A575)&gt;0,1,0)</f>
        <v>0</v>
      </c>
      <c r="N575">
        <f>IF(COUNTIFS('United Data'!$A$3:$A$3390,N$1,'United Data'!$C$3:$C$3390,$A575)&gt;0,1,0)</f>
        <v>0</v>
      </c>
      <c r="O575">
        <f>IF(COUNTIFS('United Data'!$A$3:$A$3390,O$1,'United Data'!$C$3:$C$3390,$A575)&gt;0,1,0)</f>
        <v>1</v>
      </c>
      <c r="P575">
        <f>IF(COUNTIFS('United Data'!$A$3:$A$3390,P$1,'United Data'!$C$3:$C$3390,$A575)&gt;0,1,0)</f>
        <v>0</v>
      </c>
      <c r="Q575">
        <f>IF(COUNTIFS('United Data'!$A$3:$A$3390,Q$1,'United Data'!$C$3:$C$3390,$A575)&gt;0,1,0)</f>
        <v>0</v>
      </c>
      <c r="R575">
        <f>IF(COUNTIFS('United Data'!$A$3:$A$3390,R$1,'United Data'!$C$3:$C$3390,$A575)&gt;0,1,0)</f>
        <v>0</v>
      </c>
      <c r="S575">
        <f t="shared" si="16"/>
        <v>1</v>
      </c>
      <c r="T575">
        <f t="shared" si="17"/>
        <v>1</v>
      </c>
    </row>
    <row r="576" spans="1:20" x14ac:dyDescent="0.2">
      <c r="A576" t="s">
        <v>694</v>
      </c>
      <c r="B576">
        <f>IF(COUNTIFS('United Data'!$A$3:$A$3390,B$1,'United Data'!$C$3:$C$3390,$A576)&gt;0,1,0)</f>
        <v>0</v>
      </c>
      <c r="C576">
        <f>IF(COUNTIFS('United Data'!$A$3:$A$3390,C$1,'United Data'!$C$3:$C$3390,$A576)&gt;0,1,0)</f>
        <v>0</v>
      </c>
      <c r="D576">
        <f>IF(COUNTIFS('United Data'!$A$3:$A$3390,D$1,'United Data'!$C$3:$C$3390,$A576)&gt;0,1,0)</f>
        <v>0</v>
      </c>
      <c r="E576">
        <f>IF(COUNTIFS('United Data'!$A$3:$A$3390,E$1,'United Data'!$C$3:$C$3390,$A576)&gt;0,1,0)</f>
        <v>0</v>
      </c>
      <c r="F576">
        <f>IF(COUNTIFS('United Data'!$A$3:$A$3390,F$1,'United Data'!$C$3:$C$3390,$A576)&gt;0,1,0)</f>
        <v>0</v>
      </c>
      <c r="G576">
        <f>IF(COUNTIFS('United Data'!$A$3:$A$3390,G$1,'United Data'!$C$3:$C$3390,$A576)&gt;0,1,0)</f>
        <v>0</v>
      </c>
      <c r="H576">
        <f>IF(COUNTIFS('United Data'!$A$3:$A$3390,H$1,'United Data'!$C$3:$C$3390,$A576)&gt;0,1,0)</f>
        <v>0</v>
      </c>
      <c r="I576">
        <f>IF(COUNTIFS('United Data'!$A$3:$A$3390,I$1,'United Data'!$C$3:$C$3390,$A576)&gt;0,1,0)</f>
        <v>0</v>
      </c>
      <c r="J576">
        <f>IF(COUNTIFS('United Data'!$A$3:$A$3390,J$1,'United Data'!$C$3:$C$3390,$A576)&gt;0,1,0)</f>
        <v>0</v>
      </c>
      <c r="K576">
        <f>IF(COUNTIFS('United Data'!$A$3:$A$3390,K$1,'United Data'!$C$3:$C$3390,$A576)&gt;0,1,0)</f>
        <v>0</v>
      </c>
      <c r="L576">
        <f>IF(COUNTIFS('United Data'!$A$3:$A$3390,L$1,'United Data'!$C$3:$C$3390,$A576)&gt;0,1,0)</f>
        <v>0</v>
      </c>
      <c r="M576">
        <f>IF(COUNTIFS('United Data'!$A$3:$A$3390,M$1,'United Data'!$C$3:$C$3390,$A576)&gt;0,1,0)</f>
        <v>0</v>
      </c>
      <c r="N576">
        <f>IF(COUNTIFS('United Data'!$A$3:$A$3390,N$1,'United Data'!$C$3:$C$3390,$A576)&gt;0,1,0)</f>
        <v>0</v>
      </c>
      <c r="O576">
        <f>IF(COUNTIFS('United Data'!$A$3:$A$3390,O$1,'United Data'!$C$3:$C$3390,$A576)&gt;0,1,0)</f>
        <v>1</v>
      </c>
      <c r="P576">
        <f>IF(COUNTIFS('United Data'!$A$3:$A$3390,P$1,'United Data'!$C$3:$C$3390,$A576)&gt;0,1,0)</f>
        <v>0</v>
      </c>
      <c r="Q576">
        <f>IF(COUNTIFS('United Data'!$A$3:$A$3390,Q$1,'United Data'!$C$3:$C$3390,$A576)&gt;0,1,0)</f>
        <v>0</v>
      </c>
      <c r="R576">
        <f>IF(COUNTIFS('United Data'!$A$3:$A$3390,R$1,'United Data'!$C$3:$C$3390,$A576)&gt;0,1,0)</f>
        <v>0</v>
      </c>
      <c r="S576">
        <f t="shared" si="16"/>
        <v>1</v>
      </c>
      <c r="T576">
        <f t="shared" si="17"/>
        <v>1</v>
      </c>
    </row>
    <row r="577" spans="1:20" x14ac:dyDescent="0.2">
      <c r="A577" t="s">
        <v>695</v>
      </c>
      <c r="B577">
        <f>IF(COUNTIFS('United Data'!$A$3:$A$3390,B$1,'United Data'!$C$3:$C$3390,$A577)&gt;0,1,0)</f>
        <v>0</v>
      </c>
      <c r="C577">
        <f>IF(COUNTIFS('United Data'!$A$3:$A$3390,C$1,'United Data'!$C$3:$C$3390,$A577)&gt;0,1,0)</f>
        <v>0</v>
      </c>
      <c r="D577">
        <f>IF(COUNTIFS('United Data'!$A$3:$A$3390,D$1,'United Data'!$C$3:$C$3390,$A577)&gt;0,1,0)</f>
        <v>0</v>
      </c>
      <c r="E577">
        <f>IF(COUNTIFS('United Data'!$A$3:$A$3390,E$1,'United Data'!$C$3:$C$3390,$A577)&gt;0,1,0)</f>
        <v>0</v>
      </c>
      <c r="F577">
        <f>IF(COUNTIFS('United Data'!$A$3:$A$3390,F$1,'United Data'!$C$3:$C$3390,$A577)&gt;0,1,0)</f>
        <v>0</v>
      </c>
      <c r="G577">
        <f>IF(COUNTIFS('United Data'!$A$3:$A$3390,G$1,'United Data'!$C$3:$C$3390,$A577)&gt;0,1,0)</f>
        <v>0</v>
      </c>
      <c r="H577">
        <f>IF(COUNTIFS('United Data'!$A$3:$A$3390,H$1,'United Data'!$C$3:$C$3390,$A577)&gt;0,1,0)</f>
        <v>0</v>
      </c>
      <c r="I577">
        <f>IF(COUNTIFS('United Data'!$A$3:$A$3390,I$1,'United Data'!$C$3:$C$3390,$A577)&gt;0,1,0)</f>
        <v>0</v>
      </c>
      <c r="J577">
        <f>IF(COUNTIFS('United Data'!$A$3:$A$3390,J$1,'United Data'!$C$3:$C$3390,$A577)&gt;0,1,0)</f>
        <v>0</v>
      </c>
      <c r="K577">
        <f>IF(COUNTIFS('United Data'!$A$3:$A$3390,K$1,'United Data'!$C$3:$C$3390,$A577)&gt;0,1,0)</f>
        <v>0</v>
      </c>
      <c r="L577">
        <f>IF(COUNTIFS('United Data'!$A$3:$A$3390,L$1,'United Data'!$C$3:$C$3390,$A577)&gt;0,1,0)</f>
        <v>0</v>
      </c>
      <c r="M577">
        <f>IF(COUNTIFS('United Data'!$A$3:$A$3390,M$1,'United Data'!$C$3:$C$3390,$A577)&gt;0,1,0)</f>
        <v>0</v>
      </c>
      <c r="N577">
        <f>IF(COUNTIFS('United Data'!$A$3:$A$3390,N$1,'United Data'!$C$3:$C$3390,$A577)&gt;0,1,0)</f>
        <v>0</v>
      </c>
      <c r="O577">
        <f>IF(COUNTIFS('United Data'!$A$3:$A$3390,O$1,'United Data'!$C$3:$C$3390,$A577)&gt;0,1,0)</f>
        <v>1</v>
      </c>
      <c r="P577">
        <f>IF(COUNTIFS('United Data'!$A$3:$A$3390,P$1,'United Data'!$C$3:$C$3390,$A577)&gt;0,1,0)</f>
        <v>0</v>
      </c>
      <c r="Q577">
        <f>IF(COUNTIFS('United Data'!$A$3:$A$3390,Q$1,'United Data'!$C$3:$C$3390,$A577)&gt;0,1,0)</f>
        <v>0</v>
      </c>
      <c r="R577">
        <f>IF(COUNTIFS('United Data'!$A$3:$A$3390,R$1,'United Data'!$C$3:$C$3390,$A577)&gt;0,1,0)</f>
        <v>0</v>
      </c>
      <c r="S577">
        <f t="shared" si="16"/>
        <v>1</v>
      </c>
      <c r="T577">
        <f t="shared" si="17"/>
        <v>1</v>
      </c>
    </row>
    <row r="578" spans="1:20" x14ac:dyDescent="0.2">
      <c r="A578" t="s">
        <v>696</v>
      </c>
      <c r="B578">
        <f>IF(COUNTIFS('United Data'!$A$3:$A$3390,B$1,'United Data'!$C$3:$C$3390,$A578)&gt;0,1,0)</f>
        <v>0</v>
      </c>
      <c r="C578">
        <f>IF(COUNTIFS('United Data'!$A$3:$A$3390,C$1,'United Data'!$C$3:$C$3390,$A578)&gt;0,1,0)</f>
        <v>0</v>
      </c>
      <c r="D578">
        <f>IF(COUNTIFS('United Data'!$A$3:$A$3390,D$1,'United Data'!$C$3:$C$3390,$A578)&gt;0,1,0)</f>
        <v>0</v>
      </c>
      <c r="E578">
        <f>IF(COUNTIFS('United Data'!$A$3:$A$3390,E$1,'United Data'!$C$3:$C$3390,$A578)&gt;0,1,0)</f>
        <v>0</v>
      </c>
      <c r="F578">
        <f>IF(COUNTIFS('United Data'!$A$3:$A$3390,F$1,'United Data'!$C$3:$C$3390,$A578)&gt;0,1,0)</f>
        <v>0</v>
      </c>
      <c r="G578">
        <f>IF(COUNTIFS('United Data'!$A$3:$A$3390,G$1,'United Data'!$C$3:$C$3390,$A578)&gt;0,1,0)</f>
        <v>0</v>
      </c>
      <c r="H578">
        <f>IF(COUNTIFS('United Data'!$A$3:$A$3390,H$1,'United Data'!$C$3:$C$3390,$A578)&gt;0,1,0)</f>
        <v>0</v>
      </c>
      <c r="I578">
        <f>IF(COUNTIFS('United Data'!$A$3:$A$3390,I$1,'United Data'!$C$3:$C$3390,$A578)&gt;0,1,0)</f>
        <v>0</v>
      </c>
      <c r="J578">
        <f>IF(COUNTIFS('United Data'!$A$3:$A$3390,J$1,'United Data'!$C$3:$C$3390,$A578)&gt;0,1,0)</f>
        <v>0</v>
      </c>
      <c r="K578">
        <f>IF(COUNTIFS('United Data'!$A$3:$A$3390,K$1,'United Data'!$C$3:$C$3390,$A578)&gt;0,1,0)</f>
        <v>0</v>
      </c>
      <c r="L578">
        <f>IF(COUNTIFS('United Data'!$A$3:$A$3390,L$1,'United Data'!$C$3:$C$3390,$A578)&gt;0,1,0)</f>
        <v>0</v>
      </c>
      <c r="M578">
        <f>IF(COUNTIFS('United Data'!$A$3:$A$3390,M$1,'United Data'!$C$3:$C$3390,$A578)&gt;0,1,0)</f>
        <v>0</v>
      </c>
      <c r="N578">
        <f>IF(COUNTIFS('United Data'!$A$3:$A$3390,N$1,'United Data'!$C$3:$C$3390,$A578)&gt;0,1,0)</f>
        <v>0</v>
      </c>
      <c r="O578">
        <f>IF(COUNTIFS('United Data'!$A$3:$A$3390,O$1,'United Data'!$C$3:$C$3390,$A578)&gt;0,1,0)</f>
        <v>1</v>
      </c>
      <c r="P578">
        <f>IF(COUNTIFS('United Data'!$A$3:$A$3390,P$1,'United Data'!$C$3:$C$3390,$A578)&gt;0,1,0)</f>
        <v>0</v>
      </c>
      <c r="Q578">
        <f>IF(COUNTIFS('United Data'!$A$3:$A$3390,Q$1,'United Data'!$C$3:$C$3390,$A578)&gt;0,1,0)</f>
        <v>0</v>
      </c>
      <c r="R578">
        <f>IF(COUNTIFS('United Data'!$A$3:$A$3390,R$1,'United Data'!$C$3:$C$3390,$A578)&gt;0,1,0)</f>
        <v>0</v>
      </c>
      <c r="S578">
        <f t="shared" ref="S578:S641" si="18">SUM(B578:R578)</f>
        <v>1</v>
      </c>
      <c r="T578">
        <f t="shared" ref="T578:T641" si="19">B578+SUMPRODUCT(--(C578:R578&gt;B578:Q578))</f>
        <v>1</v>
      </c>
    </row>
    <row r="579" spans="1:20" x14ac:dyDescent="0.2">
      <c r="A579" t="s">
        <v>697</v>
      </c>
      <c r="B579">
        <f>IF(COUNTIFS('United Data'!$A$3:$A$3390,B$1,'United Data'!$C$3:$C$3390,$A579)&gt;0,1,0)</f>
        <v>0</v>
      </c>
      <c r="C579">
        <f>IF(COUNTIFS('United Data'!$A$3:$A$3390,C$1,'United Data'!$C$3:$C$3390,$A579)&gt;0,1,0)</f>
        <v>0</v>
      </c>
      <c r="D579">
        <f>IF(COUNTIFS('United Data'!$A$3:$A$3390,D$1,'United Data'!$C$3:$C$3390,$A579)&gt;0,1,0)</f>
        <v>0</v>
      </c>
      <c r="E579">
        <f>IF(COUNTIFS('United Data'!$A$3:$A$3390,E$1,'United Data'!$C$3:$C$3390,$A579)&gt;0,1,0)</f>
        <v>0</v>
      </c>
      <c r="F579">
        <f>IF(COUNTIFS('United Data'!$A$3:$A$3390,F$1,'United Data'!$C$3:$C$3390,$A579)&gt;0,1,0)</f>
        <v>0</v>
      </c>
      <c r="G579">
        <f>IF(COUNTIFS('United Data'!$A$3:$A$3390,G$1,'United Data'!$C$3:$C$3390,$A579)&gt;0,1,0)</f>
        <v>0</v>
      </c>
      <c r="H579">
        <f>IF(COUNTIFS('United Data'!$A$3:$A$3390,H$1,'United Data'!$C$3:$C$3390,$A579)&gt;0,1,0)</f>
        <v>0</v>
      </c>
      <c r="I579">
        <f>IF(COUNTIFS('United Data'!$A$3:$A$3390,I$1,'United Data'!$C$3:$C$3390,$A579)&gt;0,1,0)</f>
        <v>0</v>
      </c>
      <c r="J579">
        <f>IF(COUNTIFS('United Data'!$A$3:$A$3390,J$1,'United Data'!$C$3:$C$3390,$A579)&gt;0,1,0)</f>
        <v>0</v>
      </c>
      <c r="K579">
        <f>IF(COUNTIFS('United Data'!$A$3:$A$3390,K$1,'United Data'!$C$3:$C$3390,$A579)&gt;0,1,0)</f>
        <v>0</v>
      </c>
      <c r="L579">
        <f>IF(COUNTIFS('United Data'!$A$3:$A$3390,L$1,'United Data'!$C$3:$C$3390,$A579)&gt;0,1,0)</f>
        <v>0</v>
      </c>
      <c r="M579">
        <f>IF(COUNTIFS('United Data'!$A$3:$A$3390,M$1,'United Data'!$C$3:$C$3390,$A579)&gt;0,1,0)</f>
        <v>0</v>
      </c>
      <c r="N579">
        <f>IF(COUNTIFS('United Data'!$A$3:$A$3390,N$1,'United Data'!$C$3:$C$3390,$A579)&gt;0,1,0)</f>
        <v>0</v>
      </c>
      <c r="O579">
        <f>IF(COUNTIFS('United Data'!$A$3:$A$3390,O$1,'United Data'!$C$3:$C$3390,$A579)&gt;0,1,0)</f>
        <v>1</v>
      </c>
      <c r="P579">
        <f>IF(COUNTIFS('United Data'!$A$3:$A$3390,P$1,'United Data'!$C$3:$C$3390,$A579)&gt;0,1,0)</f>
        <v>0</v>
      </c>
      <c r="Q579">
        <f>IF(COUNTIFS('United Data'!$A$3:$A$3390,Q$1,'United Data'!$C$3:$C$3390,$A579)&gt;0,1,0)</f>
        <v>0</v>
      </c>
      <c r="R579">
        <f>IF(COUNTIFS('United Data'!$A$3:$A$3390,R$1,'United Data'!$C$3:$C$3390,$A579)&gt;0,1,0)</f>
        <v>0</v>
      </c>
      <c r="S579">
        <f t="shared" si="18"/>
        <v>1</v>
      </c>
      <c r="T579">
        <f t="shared" si="19"/>
        <v>1</v>
      </c>
    </row>
    <row r="580" spans="1:20" x14ac:dyDescent="0.2">
      <c r="A580" t="s">
        <v>698</v>
      </c>
      <c r="B580">
        <f>IF(COUNTIFS('United Data'!$A$3:$A$3390,B$1,'United Data'!$C$3:$C$3390,$A580)&gt;0,1,0)</f>
        <v>0</v>
      </c>
      <c r="C580">
        <f>IF(COUNTIFS('United Data'!$A$3:$A$3390,C$1,'United Data'!$C$3:$C$3390,$A580)&gt;0,1,0)</f>
        <v>0</v>
      </c>
      <c r="D580">
        <f>IF(COUNTIFS('United Data'!$A$3:$A$3390,D$1,'United Data'!$C$3:$C$3390,$A580)&gt;0,1,0)</f>
        <v>0</v>
      </c>
      <c r="E580">
        <f>IF(COUNTIFS('United Data'!$A$3:$A$3390,E$1,'United Data'!$C$3:$C$3390,$A580)&gt;0,1,0)</f>
        <v>0</v>
      </c>
      <c r="F580">
        <f>IF(COUNTIFS('United Data'!$A$3:$A$3390,F$1,'United Data'!$C$3:$C$3390,$A580)&gt;0,1,0)</f>
        <v>0</v>
      </c>
      <c r="G580">
        <f>IF(COUNTIFS('United Data'!$A$3:$A$3390,G$1,'United Data'!$C$3:$C$3390,$A580)&gt;0,1,0)</f>
        <v>0</v>
      </c>
      <c r="H580">
        <f>IF(COUNTIFS('United Data'!$A$3:$A$3390,H$1,'United Data'!$C$3:$C$3390,$A580)&gt;0,1,0)</f>
        <v>0</v>
      </c>
      <c r="I580">
        <f>IF(COUNTIFS('United Data'!$A$3:$A$3390,I$1,'United Data'!$C$3:$C$3390,$A580)&gt;0,1,0)</f>
        <v>0</v>
      </c>
      <c r="J580">
        <f>IF(COUNTIFS('United Data'!$A$3:$A$3390,J$1,'United Data'!$C$3:$C$3390,$A580)&gt;0,1,0)</f>
        <v>0</v>
      </c>
      <c r="K580">
        <f>IF(COUNTIFS('United Data'!$A$3:$A$3390,K$1,'United Data'!$C$3:$C$3390,$A580)&gt;0,1,0)</f>
        <v>0</v>
      </c>
      <c r="L580">
        <f>IF(COUNTIFS('United Data'!$A$3:$A$3390,L$1,'United Data'!$C$3:$C$3390,$A580)&gt;0,1,0)</f>
        <v>0</v>
      </c>
      <c r="M580">
        <f>IF(COUNTIFS('United Data'!$A$3:$A$3390,M$1,'United Data'!$C$3:$C$3390,$A580)&gt;0,1,0)</f>
        <v>0</v>
      </c>
      <c r="N580">
        <f>IF(COUNTIFS('United Data'!$A$3:$A$3390,N$1,'United Data'!$C$3:$C$3390,$A580)&gt;0,1,0)</f>
        <v>0</v>
      </c>
      <c r="O580">
        <f>IF(COUNTIFS('United Data'!$A$3:$A$3390,O$1,'United Data'!$C$3:$C$3390,$A580)&gt;0,1,0)</f>
        <v>1</v>
      </c>
      <c r="P580">
        <f>IF(COUNTIFS('United Data'!$A$3:$A$3390,P$1,'United Data'!$C$3:$C$3390,$A580)&gt;0,1,0)</f>
        <v>0</v>
      </c>
      <c r="Q580">
        <f>IF(COUNTIFS('United Data'!$A$3:$A$3390,Q$1,'United Data'!$C$3:$C$3390,$A580)&gt;0,1,0)</f>
        <v>0</v>
      </c>
      <c r="R580">
        <f>IF(COUNTIFS('United Data'!$A$3:$A$3390,R$1,'United Data'!$C$3:$C$3390,$A580)&gt;0,1,0)</f>
        <v>0</v>
      </c>
      <c r="S580">
        <f t="shared" si="18"/>
        <v>1</v>
      </c>
      <c r="T580">
        <f t="shared" si="19"/>
        <v>1</v>
      </c>
    </row>
    <row r="581" spans="1:20" x14ac:dyDescent="0.2">
      <c r="A581" t="s">
        <v>699</v>
      </c>
      <c r="B581">
        <f>IF(COUNTIFS('United Data'!$A$3:$A$3390,B$1,'United Data'!$C$3:$C$3390,$A581)&gt;0,1,0)</f>
        <v>0</v>
      </c>
      <c r="C581">
        <f>IF(COUNTIFS('United Data'!$A$3:$A$3390,C$1,'United Data'!$C$3:$C$3390,$A581)&gt;0,1,0)</f>
        <v>0</v>
      </c>
      <c r="D581">
        <f>IF(COUNTIFS('United Data'!$A$3:$A$3390,D$1,'United Data'!$C$3:$C$3390,$A581)&gt;0,1,0)</f>
        <v>0</v>
      </c>
      <c r="E581">
        <f>IF(COUNTIFS('United Data'!$A$3:$A$3390,E$1,'United Data'!$C$3:$C$3390,$A581)&gt;0,1,0)</f>
        <v>0</v>
      </c>
      <c r="F581">
        <f>IF(COUNTIFS('United Data'!$A$3:$A$3390,F$1,'United Data'!$C$3:$C$3390,$A581)&gt;0,1,0)</f>
        <v>0</v>
      </c>
      <c r="G581">
        <f>IF(COUNTIFS('United Data'!$A$3:$A$3390,G$1,'United Data'!$C$3:$C$3390,$A581)&gt;0,1,0)</f>
        <v>0</v>
      </c>
      <c r="H581">
        <f>IF(COUNTIFS('United Data'!$A$3:$A$3390,H$1,'United Data'!$C$3:$C$3390,$A581)&gt;0,1,0)</f>
        <v>0</v>
      </c>
      <c r="I581">
        <f>IF(COUNTIFS('United Data'!$A$3:$A$3390,I$1,'United Data'!$C$3:$C$3390,$A581)&gt;0,1,0)</f>
        <v>0</v>
      </c>
      <c r="J581">
        <f>IF(COUNTIFS('United Data'!$A$3:$A$3390,J$1,'United Data'!$C$3:$C$3390,$A581)&gt;0,1,0)</f>
        <v>0</v>
      </c>
      <c r="K581">
        <f>IF(COUNTIFS('United Data'!$A$3:$A$3390,K$1,'United Data'!$C$3:$C$3390,$A581)&gt;0,1,0)</f>
        <v>0</v>
      </c>
      <c r="L581">
        <f>IF(COUNTIFS('United Data'!$A$3:$A$3390,L$1,'United Data'!$C$3:$C$3390,$A581)&gt;0,1,0)</f>
        <v>0</v>
      </c>
      <c r="M581">
        <f>IF(COUNTIFS('United Data'!$A$3:$A$3390,M$1,'United Data'!$C$3:$C$3390,$A581)&gt;0,1,0)</f>
        <v>0</v>
      </c>
      <c r="N581">
        <f>IF(COUNTIFS('United Data'!$A$3:$A$3390,N$1,'United Data'!$C$3:$C$3390,$A581)&gt;0,1,0)</f>
        <v>0</v>
      </c>
      <c r="O581">
        <f>IF(COUNTIFS('United Data'!$A$3:$A$3390,O$1,'United Data'!$C$3:$C$3390,$A581)&gt;0,1,0)</f>
        <v>1</v>
      </c>
      <c r="P581">
        <f>IF(COUNTIFS('United Data'!$A$3:$A$3390,P$1,'United Data'!$C$3:$C$3390,$A581)&gt;0,1,0)</f>
        <v>0</v>
      </c>
      <c r="Q581">
        <f>IF(COUNTIFS('United Data'!$A$3:$A$3390,Q$1,'United Data'!$C$3:$C$3390,$A581)&gt;0,1,0)</f>
        <v>0</v>
      </c>
      <c r="R581">
        <f>IF(COUNTIFS('United Data'!$A$3:$A$3390,R$1,'United Data'!$C$3:$C$3390,$A581)&gt;0,1,0)</f>
        <v>0</v>
      </c>
      <c r="S581">
        <f t="shared" si="18"/>
        <v>1</v>
      </c>
      <c r="T581">
        <f t="shared" si="19"/>
        <v>1</v>
      </c>
    </row>
    <row r="582" spans="1:20" x14ac:dyDescent="0.2">
      <c r="A582" t="s">
        <v>700</v>
      </c>
      <c r="B582">
        <f>IF(COUNTIFS('United Data'!$A$3:$A$3390,B$1,'United Data'!$C$3:$C$3390,$A582)&gt;0,1,0)</f>
        <v>0</v>
      </c>
      <c r="C582">
        <f>IF(COUNTIFS('United Data'!$A$3:$A$3390,C$1,'United Data'!$C$3:$C$3390,$A582)&gt;0,1,0)</f>
        <v>0</v>
      </c>
      <c r="D582">
        <f>IF(COUNTIFS('United Data'!$A$3:$A$3390,D$1,'United Data'!$C$3:$C$3390,$A582)&gt;0,1,0)</f>
        <v>0</v>
      </c>
      <c r="E582">
        <f>IF(COUNTIFS('United Data'!$A$3:$A$3390,E$1,'United Data'!$C$3:$C$3390,$A582)&gt;0,1,0)</f>
        <v>0</v>
      </c>
      <c r="F582">
        <f>IF(COUNTIFS('United Data'!$A$3:$A$3390,F$1,'United Data'!$C$3:$C$3390,$A582)&gt;0,1,0)</f>
        <v>0</v>
      </c>
      <c r="G582">
        <f>IF(COUNTIFS('United Data'!$A$3:$A$3390,G$1,'United Data'!$C$3:$C$3390,$A582)&gt;0,1,0)</f>
        <v>0</v>
      </c>
      <c r="H582">
        <f>IF(COUNTIFS('United Data'!$A$3:$A$3390,H$1,'United Data'!$C$3:$C$3390,$A582)&gt;0,1,0)</f>
        <v>0</v>
      </c>
      <c r="I582">
        <f>IF(COUNTIFS('United Data'!$A$3:$A$3390,I$1,'United Data'!$C$3:$C$3390,$A582)&gt;0,1,0)</f>
        <v>0</v>
      </c>
      <c r="J582">
        <f>IF(COUNTIFS('United Data'!$A$3:$A$3390,J$1,'United Data'!$C$3:$C$3390,$A582)&gt;0,1,0)</f>
        <v>0</v>
      </c>
      <c r="K582">
        <f>IF(COUNTIFS('United Data'!$A$3:$A$3390,K$1,'United Data'!$C$3:$C$3390,$A582)&gt;0,1,0)</f>
        <v>0</v>
      </c>
      <c r="L582">
        <f>IF(COUNTIFS('United Data'!$A$3:$A$3390,L$1,'United Data'!$C$3:$C$3390,$A582)&gt;0,1,0)</f>
        <v>0</v>
      </c>
      <c r="M582">
        <f>IF(COUNTIFS('United Data'!$A$3:$A$3390,M$1,'United Data'!$C$3:$C$3390,$A582)&gt;0,1,0)</f>
        <v>0</v>
      </c>
      <c r="N582">
        <f>IF(COUNTIFS('United Data'!$A$3:$A$3390,N$1,'United Data'!$C$3:$C$3390,$A582)&gt;0,1,0)</f>
        <v>0</v>
      </c>
      <c r="O582">
        <f>IF(COUNTIFS('United Data'!$A$3:$A$3390,O$1,'United Data'!$C$3:$C$3390,$A582)&gt;0,1,0)</f>
        <v>1</v>
      </c>
      <c r="P582">
        <f>IF(COUNTIFS('United Data'!$A$3:$A$3390,P$1,'United Data'!$C$3:$C$3390,$A582)&gt;0,1,0)</f>
        <v>0</v>
      </c>
      <c r="Q582">
        <f>IF(COUNTIFS('United Data'!$A$3:$A$3390,Q$1,'United Data'!$C$3:$C$3390,$A582)&gt;0,1,0)</f>
        <v>0</v>
      </c>
      <c r="R582">
        <f>IF(COUNTIFS('United Data'!$A$3:$A$3390,R$1,'United Data'!$C$3:$C$3390,$A582)&gt;0,1,0)</f>
        <v>0</v>
      </c>
      <c r="S582">
        <f t="shared" si="18"/>
        <v>1</v>
      </c>
      <c r="T582">
        <f t="shared" si="19"/>
        <v>1</v>
      </c>
    </row>
    <row r="583" spans="1:20" x14ac:dyDescent="0.2">
      <c r="A583" t="s">
        <v>701</v>
      </c>
      <c r="B583">
        <f>IF(COUNTIFS('United Data'!$A$3:$A$3390,B$1,'United Data'!$C$3:$C$3390,$A583)&gt;0,1,0)</f>
        <v>0</v>
      </c>
      <c r="C583">
        <f>IF(COUNTIFS('United Data'!$A$3:$A$3390,C$1,'United Data'!$C$3:$C$3390,$A583)&gt;0,1,0)</f>
        <v>0</v>
      </c>
      <c r="D583">
        <f>IF(COUNTIFS('United Data'!$A$3:$A$3390,D$1,'United Data'!$C$3:$C$3390,$A583)&gt;0,1,0)</f>
        <v>0</v>
      </c>
      <c r="E583">
        <f>IF(COUNTIFS('United Data'!$A$3:$A$3390,E$1,'United Data'!$C$3:$C$3390,$A583)&gt;0,1,0)</f>
        <v>0</v>
      </c>
      <c r="F583">
        <f>IF(COUNTIFS('United Data'!$A$3:$A$3390,F$1,'United Data'!$C$3:$C$3390,$A583)&gt;0,1,0)</f>
        <v>0</v>
      </c>
      <c r="G583">
        <f>IF(COUNTIFS('United Data'!$A$3:$A$3390,G$1,'United Data'!$C$3:$C$3390,$A583)&gt;0,1,0)</f>
        <v>0</v>
      </c>
      <c r="H583">
        <f>IF(COUNTIFS('United Data'!$A$3:$A$3390,H$1,'United Data'!$C$3:$C$3390,$A583)&gt;0,1,0)</f>
        <v>0</v>
      </c>
      <c r="I583">
        <f>IF(COUNTIFS('United Data'!$A$3:$A$3390,I$1,'United Data'!$C$3:$C$3390,$A583)&gt;0,1,0)</f>
        <v>0</v>
      </c>
      <c r="J583">
        <f>IF(COUNTIFS('United Data'!$A$3:$A$3390,J$1,'United Data'!$C$3:$C$3390,$A583)&gt;0,1,0)</f>
        <v>0</v>
      </c>
      <c r="K583">
        <f>IF(COUNTIFS('United Data'!$A$3:$A$3390,K$1,'United Data'!$C$3:$C$3390,$A583)&gt;0,1,0)</f>
        <v>0</v>
      </c>
      <c r="L583">
        <f>IF(COUNTIFS('United Data'!$A$3:$A$3390,L$1,'United Data'!$C$3:$C$3390,$A583)&gt;0,1,0)</f>
        <v>0</v>
      </c>
      <c r="M583">
        <f>IF(COUNTIFS('United Data'!$A$3:$A$3390,M$1,'United Data'!$C$3:$C$3390,$A583)&gt;0,1,0)</f>
        <v>0</v>
      </c>
      <c r="N583">
        <f>IF(COUNTIFS('United Data'!$A$3:$A$3390,N$1,'United Data'!$C$3:$C$3390,$A583)&gt;0,1,0)</f>
        <v>0</v>
      </c>
      <c r="O583">
        <f>IF(COUNTIFS('United Data'!$A$3:$A$3390,O$1,'United Data'!$C$3:$C$3390,$A583)&gt;0,1,0)</f>
        <v>1</v>
      </c>
      <c r="P583">
        <f>IF(COUNTIFS('United Data'!$A$3:$A$3390,P$1,'United Data'!$C$3:$C$3390,$A583)&gt;0,1,0)</f>
        <v>0</v>
      </c>
      <c r="Q583">
        <f>IF(COUNTIFS('United Data'!$A$3:$A$3390,Q$1,'United Data'!$C$3:$C$3390,$A583)&gt;0,1,0)</f>
        <v>0</v>
      </c>
      <c r="R583">
        <f>IF(COUNTIFS('United Data'!$A$3:$A$3390,R$1,'United Data'!$C$3:$C$3390,$A583)&gt;0,1,0)</f>
        <v>0</v>
      </c>
      <c r="S583">
        <f t="shared" si="18"/>
        <v>1</v>
      </c>
      <c r="T583">
        <f t="shared" si="19"/>
        <v>1</v>
      </c>
    </row>
    <row r="584" spans="1:20" x14ac:dyDescent="0.2">
      <c r="A584" t="s">
        <v>702</v>
      </c>
      <c r="B584">
        <f>IF(COUNTIFS('United Data'!$A$3:$A$3390,B$1,'United Data'!$C$3:$C$3390,$A584)&gt;0,1,0)</f>
        <v>0</v>
      </c>
      <c r="C584">
        <f>IF(COUNTIFS('United Data'!$A$3:$A$3390,C$1,'United Data'!$C$3:$C$3390,$A584)&gt;0,1,0)</f>
        <v>0</v>
      </c>
      <c r="D584">
        <f>IF(COUNTIFS('United Data'!$A$3:$A$3390,D$1,'United Data'!$C$3:$C$3390,$A584)&gt;0,1,0)</f>
        <v>0</v>
      </c>
      <c r="E584">
        <f>IF(COUNTIFS('United Data'!$A$3:$A$3390,E$1,'United Data'!$C$3:$C$3390,$A584)&gt;0,1,0)</f>
        <v>0</v>
      </c>
      <c r="F584">
        <f>IF(COUNTIFS('United Data'!$A$3:$A$3390,F$1,'United Data'!$C$3:$C$3390,$A584)&gt;0,1,0)</f>
        <v>0</v>
      </c>
      <c r="G584">
        <f>IF(COUNTIFS('United Data'!$A$3:$A$3390,G$1,'United Data'!$C$3:$C$3390,$A584)&gt;0,1,0)</f>
        <v>0</v>
      </c>
      <c r="H584">
        <f>IF(COUNTIFS('United Data'!$A$3:$A$3390,H$1,'United Data'!$C$3:$C$3390,$A584)&gt;0,1,0)</f>
        <v>0</v>
      </c>
      <c r="I584">
        <f>IF(COUNTIFS('United Data'!$A$3:$A$3390,I$1,'United Data'!$C$3:$C$3390,$A584)&gt;0,1,0)</f>
        <v>0</v>
      </c>
      <c r="J584">
        <f>IF(COUNTIFS('United Data'!$A$3:$A$3390,J$1,'United Data'!$C$3:$C$3390,$A584)&gt;0,1,0)</f>
        <v>0</v>
      </c>
      <c r="K584">
        <f>IF(COUNTIFS('United Data'!$A$3:$A$3390,K$1,'United Data'!$C$3:$C$3390,$A584)&gt;0,1,0)</f>
        <v>0</v>
      </c>
      <c r="L584">
        <f>IF(COUNTIFS('United Data'!$A$3:$A$3390,L$1,'United Data'!$C$3:$C$3390,$A584)&gt;0,1,0)</f>
        <v>0</v>
      </c>
      <c r="M584">
        <f>IF(COUNTIFS('United Data'!$A$3:$A$3390,M$1,'United Data'!$C$3:$C$3390,$A584)&gt;0,1,0)</f>
        <v>0</v>
      </c>
      <c r="N584">
        <f>IF(COUNTIFS('United Data'!$A$3:$A$3390,N$1,'United Data'!$C$3:$C$3390,$A584)&gt;0,1,0)</f>
        <v>0</v>
      </c>
      <c r="O584">
        <f>IF(COUNTIFS('United Data'!$A$3:$A$3390,O$1,'United Data'!$C$3:$C$3390,$A584)&gt;0,1,0)</f>
        <v>1</v>
      </c>
      <c r="P584">
        <f>IF(COUNTIFS('United Data'!$A$3:$A$3390,P$1,'United Data'!$C$3:$C$3390,$A584)&gt;0,1,0)</f>
        <v>0</v>
      </c>
      <c r="Q584">
        <f>IF(COUNTIFS('United Data'!$A$3:$A$3390,Q$1,'United Data'!$C$3:$C$3390,$A584)&gt;0,1,0)</f>
        <v>0</v>
      </c>
      <c r="R584">
        <f>IF(COUNTIFS('United Data'!$A$3:$A$3390,R$1,'United Data'!$C$3:$C$3390,$A584)&gt;0,1,0)</f>
        <v>0</v>
      </c>
      <c r="S584">
        <f t="shared" si="18"/>
        <v>1</v>
      </c>
      <c r="T584">
        <f t="shared" si="19"/>
        <v>1</v>
      </c>
    </row>
    <row r="585" spans="1:20" x14ac:dyDescent="0.2">
      <c r="A585" t="s">
        <v>703</v>
      </c>
      <c r="B585">
        <f>IF(COUNTIFS('United Data'!$A$3:$A$3390,B$1,'United Data'!$C$3:$C$3390,$A585)&gt;0,1,0)</f>
        <v>0</v>
      </c>
      <c r="C585">
        <f>IF(COUNTIFS('United Data'!$A$3:$A$3390,C$1,'United Data'!$C$3:$C$3390,$A585)&gt;0,1,0)</f>
        <v>0</v>
      </c>
      <c r="D585">
        <f>IF(COUNTIFS('United Data'!$A$3:$A$3390,D$1,'United Data'!$C$3:$C$3390,$A585)&gt;0,1,0)</f>
        <v>0</v>
      </c>
      <c r="E585">
        <f>IF(COUNTIFS('United Data'!$A$3:$A$3390,E$1,'United Data'!$C$3:$C$3390,$A585)&gt;0,1,0)</f>
        <v>0</v>
      </c>
      <c r="F585">
        <f>IF(COUNTIFS('United Data'!$A$3:$A$3390,F$1,'United Data'!$C$3:$C$3390,$A585)&gt;0,1,0)</f>
        <v>0</v>
      </c>
      <c r="G585">
        <f>IF(COUNTIFS('United Data'!$A$3:$A$3390,G$1,'United Data'!$C$3:$C$3390,$A585)&gt;0,1,0)</f>
        <v>0</v>
      </c>
      <c r="H585">
        <f>IF(COUNTIFS('United Data'!$A$3:$A$3390,H$1,'United Data'!$C$3:$C$3390,$A585)&gt;0,1,0)</f>
        <v>0</v>
      </c>
      <c r="I585">
        <f>IF(COUNTIFS('United Data'!$A$3:$A$3390,I$1,'United Data'!$C$3:$C$3390,$A585)&gt;0,1,0)</f>
        <v>0</v>
      </c>
      <c r="J585">
        <f>IF(COUNTIFS('United Data'!$A$3:$A$3390,J$1,'United Data'!$C$3:$C$3390,$A585)&gt;0,1,0)</f>
        <v>0</v>
      </c>
      <c r="K585">
        <f>IF(COUNTIFS('United Data'!$A$3:$A$3390,K$1,'United Data'!$C$3:$C$3390,$A585)&gt;0,1,0)</f>
        <v>0</v>
      </c>
      <c r="L585">
        <f>IF(COUNTIFS('United Data'!$A$3:$A$3390,L$1,'United Data'!$C$3:$C$3390,$A585)&gt;0,1,0)</f>
        <v>0</v>
      </c>
      <c r="M585">
        <f>IF(COUNTIFS('United Data'!$A$3:$A$3390,M$1,'United Data'!$C$3:$C$3390,$A585)&gt;0,1,0)</f>
        <v>0</v>
      </c>
      <c r="N585">
        <f>IF(COUNTIFS('United Data'!$A$3:$A$3390,N$1,'United Data'!$C$3:$C$3390,$A585)&gt;0,1,0)</f>
        <v>0</v>
      </c>
      <c r="O585">
        <f>IF(COUNTIFS('United Data'!$A$3:$A$3390,O$1,'United Data'!$C$3:$C$3390,$A585)&gt;0,1,0)</f>
        <v>1</v>
      </c>
      <c r="P585">
        <f>IF(COUNTIFS('United Data'!$A$3:$A$3390,P$1,'United Data'!$C$3:$C$3390,$A585)&gt;0,1,0)</f>
        <v>0</v>
      </c>
      <c r="Q585">
        <f>IF(COUNTIFS('United Data'!$A$3:$A$3390,Q$1,'United Data'!$C$3:$C$3390,$A585)&gt;0,1,0)</f>
        <v>0</v>
      </c>
      <c r="R585">
        <f>IF(COUNTIFS('United Data'!$A$3:$A$3390,R$1,'United Data'!$C$3:$C$3390,$A585)&gt;0,1,0)</f>
        <v>0</v>
      </c>
      <c r="S585">
        <f t="shared" si="18"/>
        <v>1</v>
      </c>
      <c r="T585">
        <f t="shared" si="19"/>
        <v>1</v>
      </c>
    </row>
    <row r="586" spans="1:20" x14ac:dyDescent="0.2">
      <c r="A586" t="s">
        <v>704</v>
      </c>
      <c r="B586">
        <f>IF(COUNTIFS('United Data'!$A$3:$A$3390,B$1,'United Data'!$C$3:$C$3390,$A586)&gt;0,1,0)</f>
        <v>0</v>
      </c>
      <c r="C586">
        <f>IF(COUNTIFS('United Data'!$A$3:$A$3390,C$1,'United Data'!$C$3:$C$3390,$A586)&gt;0,1,0)</f>
        <v>0</v>
      </c>
      <c r="D586">
        <f>IF(COUNTIFS('United Data'!$A$3:$A$3390,D$1,'United Data'!$C$3:$C$3390,$A586)&gt;0,1,0)</f>
        <v>0</v>
      </c>
      <c r="E586">
        <f>IF(COUNTIFS('United Data'!$A$3:$A$3390,E$1,'United Data'!$C$3:$C$3390,$A586)&gt;0,1,0)</f>
        <v>0</v>
      </c>
      <c r="F586">
        <f>IF(COUNTIFS('United Data'!$A$3:$A$3390,F$1,'United Data'!$C$3:$C$3390,$A586)&gt;0,1,0)</f>
        <v>0</v>
      </c>
      <c r="G586">
        <f>IF(COUNTIFS('United Data'!$A$3:$A$3390,G$1,'United Data'!$C$3:$C$3390,$A586)&gt;0,1,0)</f>
        <v>0</v>
      </c>
      <c r="H586">
        <f>IF(COUNTIFS('United Data'!$A$3:$A$3390,H$1,'United Data'!$C$3:$C$3390,$A586)&gt;0,1,0)</f>
        <v>0</v>
      </c>
      <c r="I586">
        <f>IF(COUNTIFS('United Data'!$A$3:$A$3390,I$1,'United Data'!$C$3:$C$3390,$A586)&gt;0,1,0)</f>
        <v>0</v>
      </c>
      <c r="J586">
        <f>IF(COUNTIFS('United Data'!$A$3:$A$3390,J$1,'United Data'!$C$3:$C$3390,$A586)&gt;0,1,0)</f>
        <v>0</v>
      </c>
      <c r="K586">
        <f>IF(COUNTIFS('United Data'!$A$3:$A$3390,K$1,'United Data'!$C$3:$C$3390,$A586)&gt;0,1,0)</f>
        <v>0</v>
      </c>
      <c r="L586">
        <f>IF(COUNTIFS('United Data'!$A$3:$A$3390,L$1,'United Data'!$C$3:$C$3390,$A586)&gt;0,1,0)</f>
        <v>0</v>
      </c>
      <c r="M586">
        <f>IF(COUNTIFS('United Data'!$A$3:$A$3390,M$1,'United Data'!$C$3:$C$3390,$A586)&gt;0,1,0)</f>
        <v>0</v>
      </c>
      <c r="N586">
        <f>IF(COUNTIFS('United Data'!$A$3:$A$3390,N$1,'United Data'!$C$3:$C$3390,$A586)&gt;0,1,0)</f>
        <v>0</v>
      </c>
      <c r="O586">
        <f>IF(COUNTIFS('United Data'!$A$3:$A$3390,O$1,'United Data'!$C$3:$C$3390,$A586)&gt;0,1,0)</f>
        <v>1</v>
      </c>
      <c r="P586">
        <f>IF(COUNTIFS('United Data'!$A$3:$A$3390,P$1,'United Data'!$C$3:$C$3390,$A586)&gt;0,1,0)</f>
        <v>0</v>
      </c>
      <c r="Q586">
        <f>IF(COUNTIFS('United Data'!$A$3:$A$3390,Q$1,'United Data'!$C$3:$C$3390,$A586)&gt;0,1,0)</f>
        <v>0</v>
      </c>
      <c r="R586">
        <f>IF(COUNTIFS('United Data'!$A$3:$A$3390,R$1,'United Data'!$C$3:$C$3390,$A586)&gt;0,1,0)</f>
        <v>0</v>
      </c>
      <c r="S586">
        <f t="shared" si="18"/>
        <v>1</v>
      </c>
      <c r="T586">
        <f t="shared" si="19"/>
        <v>1</v>
      </c>
    </row>
    <row r="587" spans="1:20" x14ac:dyDescent="0.2">
      <c r="A587" t="s">
        <v>705</v>
      </c>
      <c r="B587">
        <f>IF(COUNTIFS('United Data'!$A$3:$A$3390,B$1,'United Data'!$C$3:$C$3390,$A587)&gt;0,1,0)</f>
        <v>0</v>
      </c>
      <c r="C587">
        <f>IF(COUNTIFS('United Data'!$A$3:$A$3390,C$1,'United Data'!$C$3:$C$3390,$A587)&gt;0,1,0)</f>
        <v>0</v>
      </c>
      <c r="D587">
        <f>IF(COUNTIFS('United Data'!$A$3:$A$3390,D$1,'United Data'!$C$3:$C$3390,$A587)&gt;0,1,0)</f>
        <v>0</v>
      </c>
      <c r="E587">
        <f>IF(COUNTIFS('United Data'!$A$3:$A$3390,E$1,'United Data'!$C$3:$C$3390,$A587)&gt;0,1,0)</f>
        <v>0</v>
      </c>
      <c r="F587">
        <f>IF(COUNTIFS('United Data'!$A$3:$A$3390,F$1,'United Data'!$C$3:$C$3390,$A587)&gt;0,1,0)</f>
        <v>0</v>
      </c>
      <c r="G587">
        <f>IF(COUNTIFS('United Data'!$A$3:$A$3390,G$1,'United Data'!$C$3:$C$3390,$A587)&gt;0,1,0)</f>
        <v>0</v>
      </c>
      <c r="H587">
        <f>IF(COUNTIFS('United Data'!$A$3:$A$3390,H$1,'United Data'!$C$3:$C$3390,$A587)&gt;0,1,0)</f>
        <v>0</v>
      </c>
      <c r="I587">
        <f>IF(COUNTIFS('United Data'!$A$3:$A$3390,I$1,'United Data'!$C$3:$C$3390,$A587)&gt;0,1,0)</f>
        <v>0</v>
      </c>
      <c r="J587">
        <f>IF(COUNTIFS('United Data'!$A$3:$A$3390,J$1,'United Data'!$C$3:$C$3390,$A587)&gt;0,1,0)</f>
        <v>0</v>
      </c>
      <c r="K587">
        <f>IF(COUNTIFS('United Data'!$A$3:$A$3390,K$1,'United Data'!$C$3:$C$3390,$A587)&gt;0,1,0)</f>
        <v>0</v>
      </c>
      <c r="L587">
        <f>IF(COUNTIFS('United Data'!$A$3:$A$3390,L$1,'United Data'!$C$3:$C$3390,$A587)&gt;0,1,0)</f>
        <v>0</v>
      </c>
      <c r="M587">
        <f>IF(COUNTIFS('United Data'!$A$3:$A$3390,M$1,'United Data'!$C$3:$C$3390,$A587)&gt;0,1,0)</f>
        <v>0</v>
      </c>
      <c r="N587">
        <f>IF(COUNTIFS('United Data'!$A$3:$A$3390,N$1,'United Data'!$C$3:$C$3390,$A587)&gt;0,1,0)</f>
        <v>0</v>
      </c>
      <c r="O587">
        <f>IF(COUNTIFS('United Data'!$A$3:$A$3390,O$1,'United Data'!$C$3:$C$3390,$A587)&gt;0,1,0)</f>
        <v>0</v>
      </c>
      <c r="P587">
        <f>IF(COUNTIFS('United Data'!$A$3:$A$3390,P$1,'United Data'!$C$3:$C$3390,$A587)&gt;0,1,0)</f>
        <v>1</v>
      </c>
      <c r="Q587">
        <f>IF(COUNTIFS('United Data'!$A$3:$A$3390,Q$1,'United Data'!$C$3:$C$3390,$A587)&gt;0,1,0)</f>
        <v>0</v>
      </c>
      <c r="R587">
        <f>IF(COUNTIFS('United Data'!$A$3:$A$3390,R$1,'United Data'!$C$3:$C$3390,$A587)&gt;0,1,0)</f>
        <v>0</v>
      </c>
      <c r="S587">
        <f t="shared" si="18"/>
        <v>1</v>
      </c>
      <c r="T587">
        <f t="shared" si="19"/>
        <v>1</v>
      </c>
    </row>
    <row r="588" spans="1:20" x14ac:dyDescent="0.2">
      <c r="A588" t="s">
        <v>706</v>
      </c>
      <c r="B588">
        <f>IF(COUNTIFS('United Data'!$A$3:$A$3390,B$1,'United Data'!$C$3:$C$3390,$A588)&gt;0,1,0)</f>
        <v>0</v>
      </c>
      <c r="C588">
        <f>IF(COUNTIFS('United Data'!$A$3:$A$3390,C$1,'United Data'!$C$3:$C$3390,$A588)&gt;0,1,0)</f>
        <v>0</v>
      </c>
      <c r="D588">
        <f>IF(COUNTIFS('United Data'!$A$3:$A$3390,D$1,'United Data'!$C$3:$C$3390,$A588)&gt;0,1,0)</f>
        <v>0</v>
      </c>
      <c r="E588">
        <f>IF(COUNTIFS('United Data'!$A$3:$A$3390,E$1,'United Data'!$C$3:$C$3390,$A588)&gt;0,1,0)</f>
        <v>0</v>
      </c>
      <c r="F588">
        <f>IF(COUNTIFS('United Data'!$A$3:$A$3390,F$1,'United Data'!$C$3:$C$3390,$A588)&gt;0,1,0)</f>
        <v>0</v>
      </c>
      <c r="G588">
        <f>IF(COUNTIFS('United Data'!$A$3:$A$3390,G$1,'United Data'!$C$3:$C$3390,$A588)&gt;0,1,0)</f>
        <v>0</v>
      </c>
      <c r="H588">
        <f>IF(COUNTIFS('United Data'!$A$3:$A$3390,H$1,'United Data'!$C$3:$C$3390,$A588)&gt;0,1,0)</f>
        <v>0</v>
      </c>
      <c r="I588">
        <f>IF(COUNTIFS('United Data'!$A$3:$A$3390,I$1,'United Data'!$C$3:$C$3390,$A588)&gt;0,1,0)</f>
        <v>0</v>
      </c>
      <c r="J588">
        <f>IF(COUNTIFS('United Data'!$A$3:$A$3390,J$1,'United Data'!$C$3:$C$3390,$A588)&gt;0,1,0)</f>
        <v>0</v>
      </c>
      <c r="K588">
        <f>IF(COUNTIFS('United Data'!$A$3:$A$3390,K$1,'United Data'!$C$3:$C$3390,$A588)&gt;0,1,0)</f>
        <v>0</v>
      </c>
      <c r="L588">
        <f>IF(COUNTIFS('United Data'!$A$3:$A$3390,L$1,'United Data'!$C$3:$C$3390,$A588)&gt;0,1,0)</f>
        <v>0</v>
      </c>
      <c r="M588">
        <f>IF(COUNTIFS('United Data'!$A$3:$A$3390,M$1,'United Data'!$C$3:$C$3390,$A588)&gt;0,1,0)</f>
        <v>0</v>
      </c>
      <c r="N588">
        <f>IF(COUNTIFS('United Data'!$A$3:$A$3390,N$1,'United Data'!$C$3:$C$3390,$A588)&gt;0,1,0)</f>
        <v>0</v>
      </c>
      <c r="O588">
        <f>IF(COUNTIFS('United Data'!$A$3:$A$3390,O$1,'United Data'!$C$3:$C$3390,$A588)&gt;0,1,0)</f>
        <v>0</v>
      </c>
      <c r="P588">
        <f>IF(COUNTIFS('United Data'!$A$3:$A$3390,P$1,'United Data'!$C$3:$C$3390,$A588)&gt;0,1,0)</f>
        <v>1</v>
      </c>
      <c r="Q588">
        <f>IF(COUNTIFS('United Data'!$A$3:$A$3390,Q$1,'United Data'!$C$3:$C$3390,$A588)&gt;0,1,0)</f>
        <v>0</v>
      </c>
      <c r="R588">
        <f>IF(COUNTIFS('United Data'!$A$3:$A$3390,R$1,'United Data'!$C$3:$C$3390,$A588)&gt;0,1,0)</f>
        <v>0</v>
      </c>
      <c r="S588">
        <f t="shared" si="18"/>
        <v>1</v>
      </c>
      <c r="T588">
        <f t="shared" si="19"/>
        <v>1</v>
      </c>
    </row>
    <row r="589" spans="1:20" x14ac:dyDescent="0.2">
      <c r="A589" t="s">
        <v>707</v>
      </c>
      <c r="B589">
        <f>IF(COUNTIFS('United Data'!$A$3:$A$3390,B$1,'United Data'!$C$3:$C$3390,$A589)&gt;0,1,0)</f>
        <v>0</v>
      </c>
      <c r="C589">
        <f>IF(COUNTIFS('United Data'!$A$3:$A$3390,C$1,'United Data'!$C$3:$C$3390,$A589)&gt;0,1,0)</f>
        <v>0</v>
      </c>
      <c r="D589">
        <f>IF(COUNTIFS('United Data'!$A$3:$A$3390,D$1,'United Data'!$C$3:$C$3390,$A589)&gt;0,1,0)</f>
        <v>0</v>
      </c>
      <c r="E589">
        <f>IF(COUNTIFS('United Data'!$A$3:$A$3390,E$1,'United Data'!$C$3:$C$3390,$A589)&gt;0,1,0)</f>
        <v>0</v>
      </c>
      <c r="F589">
        <f>IF(COUNTIFS('United Data'!$A$3:$A$3390,F$1,'United Data'!$C$3:$C$3390,$A589)&gt;0,1,0)</f>
        <v>0</v>
      </c>
      <c r="G589">
        <f>IF(COUNTIFS('United Data'!$A$3:$A$3390,G$1,'United Data'!$C$3:$C$3390,$A589)&gt;0,1,0)</f>
        <v>0</v>
      </c>
      <c r="H589">
        <f>IF(COUNTIFS('United Data'!$A$3:$A$3390,H$1,'United Data'!$C$3:$C$3390,$A589)&gt;0,1,0)</f>
        <v>0</v>
      </c>
      <c r="I589">
        <f>IF(COUNTIFS('United Data'!$A$3:$A$3390,I$1,'United Data'!$C$3:$C$3390,$A589)&gt;0,1,0)</f>
        <v>0</v>
      </c>
      <c r="J589">
        <f>IF(COUNTIFS('United Data'!$A$3:$A$3390,J$1,'United Data'!$C$3:$C$3390,$A589)&gt;0,1,0)</f>
        <v>0</v>
      </c>
      <c r="K589">
        <f>IF(COUNTIFS('United Data'!$A$3:$A$3390,K$1,'United Data'!$C$3:$C$3390,$A589)&gt;0,1,0)</f>
        <v>0</v>
      </c>
      <c r="L589">
        <f>IF(COUNTIFS('United Data'!$A$3:$A$3390,L$1,'United Data'!$C$3:$C$3390,$A589)&gt;0,1,0)</f>
        <v>0</v>
      </c>
      <c r="M589">
        <f>IF(COUNTIFS('United Data'!$A$3:$A$3390,M$1,'United Data'!$C$3:$C$3390,$A589)&gt;0,1,0)</f>
        <v>1</v>
      </c>
      <c r="N589">
        <f>IF(COUNTIFS('United Data'!$A$3:$A$3390,N$1,'United Data'!$C$3:$C$3390,$A589)&gt;0,1,0)</f>
        <v>0</v>
      </c>
      <c r="O589">
        <f>IF(COUNTIFS('United Data'!$A$3:$A$3390,O$1,'United Data'!$C$3:$C$3390,$A589)&gt;0,1,0)</f>
        <v>0</v>
      </c>
      <c r="P589">
        <f>IF(COUNTIFS('United Data'!$A$3:$A$3390,P$1,'United Data'!$C$3:$C$3390,$A589)&gt;0,1,0)</f>
        <v>1</v>
      </c>
      <c r="Q589">
        <f>IF(COUNTIFS('United Data'!$A$3:$A$3390,Q$1,'United Data'!$C$3:$C$3390,$A589)&gt;0,1,0)</f>
        <v>0</v>
      </c>
      <c r="R589">
        <f>IF(COUNTIFS('United Data'!$A$3:$A$3390,R$1,'United Data'!$C$3:$C$3390,$A589)&gt;0,1,0)</f>
        <v>0</v>
      </c>
      <c r="S589">
        <f t="shared" si="18"/>
        <v>2</v>
      </c>
      <c r="T589">
        <f t="shared" si="19"/>
        <v>2</v>
      </c>
    </row>
    <row r="590" spans="1:20" x14ac:dyDescent="0.2">
      <c r="A590" t="s">
        <v>708</v>
      </c>
      <c r="B590">
        <f>IF(COUNTIFS('United Data'!$A$3:$A$3390,B$1,'United Data'!$C$3:$C$3390,$A590)&gt;0,1,0)</f>
        <v>0</v>
      </c>
      <c r="C590">
        <f>IF(COUNTIFS('United Data'!$A$3:$A$3390,C$1,'United Data'!$C$3:$C$3390,$A590)&gt;0,1,0)</f>
        <v>0</v>
      </c>
      <c r="D590">
        <f>IF(COUNTIFS('United Data'!$A$3:$A$3390,D$1,'United Data'!$C$3:$C$3390,$A590)&gt;0,1,0)</f>
        <v>0</v>
      </c>
      <c r="E590">
        <f>IF(COUNTIFS('United Data'!$A$3:$A$3390,E$1,'United Data'!$C$3:$C$3390,$A590)&gt;0,1,0)</f>
        <v>0</v>
      </c>
      <c r="F590">
        <f>IF(COUNTIFS('United Data'!$A$3:$A$3390,F$1,'United Data'!$C$3:$C$3390,$A590)&gt;0,1,0)</f>
        <v>0</v>
      </c>
      <c r="G590">
        <f>IF(COUNTIFS('United Data'!$A$3:$A$3390,G$1,'United Data'!$C$3:$C$3390,$A590)&gt;0,1,0)</f>
        <v>0</v>
      </c>
      <c r="H590">
        <f>IF(COUNTIFS('United Data'!$A$3:$A$3390,H$1,'United Data'!$C$3:$C$3390,$A590)&gt;0,1,0)</f>
        <v>0</v>
      </c>
      <c r="I590">
        <f>IF(COUNTIFS('United Data'!$A$3:$A$3390,I$1,'United Data'!$C$3:$C$3390,$A590)&gt;0,1,0)</f>
        <v>0</v>
      </c>
      <c r="J590">
        <f>IF(COUNTIFS('United Data'!$A$3:$A$3390,J$1,'United Data'!$C$3:$C$3390,$A590)&gt;0,1,0)</f>
        <v>0</v>
      </c>
      <c r="K590">
        <f>IF(COUNTIFS('United Data'!$A$3:$A$3390,K$1,'United Data'!$C$3:$C$3390,$A590)&gt;0,1,0)</f>
        <v>0</v>
      </c>
      <c r="L590">
        <f>IF(COUNTIFS('United Data'!$A$3:$A$3390,L$1,'United Data'!$C$3:$C$3390,$A590)&gt;0,1,0)</f>
        <v>0</v>
      </c>
      <c r="M590">
        <f>IF(COUNTIFS('United Data'!$A$3:$A$3390,M$1,'United Data'!$C$3:$C$3390,$A590)&gt;0,1,0)</f>
        <v>0</v>
      </c>
      <c r="N590">
        <f>IF(COUNTIFS('United Data'!$A$3:$A$3390,N$1,'United Data'!$C$3:$C$3390,$A590)&gt;0,1,0)</f>
        <v>0</v>
      </c>
      <c r="O590">
        <f>IF(COUNTIFS('United Data'!$A$3:$A$3390,O$1,'United Data'!$C$3:$C$3390,$A590)&gt;0,1,0)</f>
        <v>0</v>
      </c>
      <c r="P590">
        <f>IF(COUNTIFS('United Data'!$A$3:$A$3390,P$1,'United Data'!$C$3:$C$3390,$A590)&gt;0,1,0)</f>
        <v>1</v>
      </c>
      <c r="Q590">
        <f>IF(COUNTIFS('United Data'!$A$3:$A$3390,Q$1,'United Data'!$C$3:$C$3390,$A590)&gt;0,1,0)</f>
        <v>0</v>
      </c>
      <c r="R590">
        <f>IF(COUNTIFS('United Data'!$A$3:$A$3390,R$1,'United Data'!$C$3:$C$3390,$A590)&gt;0,1,0)</f>
        <v>0</v>
      </c>
      <c r="S590">
        <f t="shared" si="18"/>
        <v>1</v>
      </c>
      <c r="T590">
        <f t="shared" si="19"/>
        <v>1</v>
      </c>
    </row>
    <row r="591" spans="1:20" x14ac:dyDescent="0.2">
      <c r="A591" t="s">
        <v>709</v>
      </c>
      <c r="B591">
        <f>IF(COUNTIFS('United Data'!$A$3:$A$3390,B$1,'United Data'!$C$3:$C$3390,$A591)&gt;0,1,0)</f>
        <v>0</v>
      </c>
      <c r="C591">
        <f>IF(COUNTIFS('United Data'!$A$3:$A$3390,C$1,'United Data'!$C$3:$C$3390,$A591)&gt;0,1,0)</f>
        <v>0</v>
      </c>
      <c r="D591">
        <f>IF(COUNTIFS('United Data'!$A$3:$A$3390,D$1,'United Data'!$C$3:$C$3390,$A591)&gt;0,1,0)</f>
        <v>0</v>
      </c>
      <c r="E591">
        <f>IF(COUNTIFS('United Data'!$A$3:$A$3390,E$1,'United Data'!$C$3:$C$3390,$A591)&gt;0,1,0)</f>
        <v>0</v>
      </c>
      <c r="F591">
        <f>IF(COUNTIFS('United Data'!$A$3:$A$3390,F$1,'United Data'!$C$3:$C$3390,$A591)&gt;0,1,0)</f>
        <v>0</v>
      </c>
      <c r="G591">
        <f>IF(COUNTIFS('United Data'!$A$3:$A$3390,G$1,'United Data'!$C$3:$C$3390,$A591)&gt;0,1,0)</f>
        <v>0</v>
      </c>
      <c r="H591">
        <f>IF(COUNTIFS('United Data'!$A$3:$A$3390,H$1,'United Data'!$C$3:$C$3390,$A591)&gt;0,1,0)</f>
        <v>0</v>
      </c>
      <c r="I591">
        <f>IF(COUNTIFS('United Data'!$A$3:$A$3390,I$1,'United Data'!$C$3:$C$3390,$A591)&gt;0,1,0)</f>
        <v>0</v>
      </c>
      <c r="J591">
        <f>IF(COUNTIFS('United Data'!$A$3:$A$3390,J$1,'United Data'!$C$3:$C$3390,$A591)&gt;0,1,0)</f>
        <v>0</v>
      </c>
      <c r="K591">
        <f>IF(COUNTIFS('United Data'!$A$3:$A$3390,K$1,'United Data'!$C$3:$C$3390,$A591)&gt;0,1,0)</f>
        <v>0</v>
      </c>
      <c r="L591">
        <f>IF(COUNTIFS('United Data'!$A$3:$A$3390,L$1,'United Data'!$C$3:$C$3390,$A591)&gt;0,1,0)</f>
        <v>0</v>
      </c>
      <c r="M591">
        <f>IF(COUNTIFS('United Data'!$A$3:$A$3390,M$1,'United Data'!$C$3:$C$3390,$A591)&gt;0,1,0)</f>
        <v>0</v>
      </c>
      <c r="N591">
        <f>IF(COUNTIFS('United Data'!$A$3:$A$3390,N$1,'United Data'!$C$3:$C$3390,$A591)&gt;0,1,0)</f>
        <v>0</v>
      </c>
      <c r="O591">
        <f>IF(COUNTIFS('United Data'!$A$3:$A$3390,O$1,'United Data'!$C$3:$C$3390,$A591)&gt;0,1,0)</f>
        <v>0</v>
      </c>
      <c r="P591">
        <f>IF(COUNTIFS('United Data'!$A$3:$A$3390,P$1,'United Data'!$C$3:$C$3390,$A591)&gt;0,1,0)</f>
        <v>1</v>
      </c>
      <c r="Q591">
        <f>IF(COUNTIFS('United Data'!$A$3:$A$3390,Q$1,'United Data'!$C$3:$C$3390,$A591)&gt;0,1,0)</f>
        <v>0</v>
      </c>
      <c r="R591">
        <f>IF(COUNTIFS('United Data'!$A$3:$A$3390,R$1,'United Data'!$C$3:$C$3390,$A591)&gt;0,1,0)</f>
        <v>0</v>
      </c>
      <c r="S591">
        <f t="shared" si="18"/>
        <v>1</v>
      </c>
      <c r="T591">
        <f t="shared" si="19"/>
        <v>1</v>
      </c>
    </row>
    <row r="592" spans="1:20" x14ac:dyDescent="0.2">
      <c r="A592" t="s">
        <v>710</v>
      </c>
      <c r="B592">
        <f>IF(COUNTIFS('United Data'!$A$3:$A$3390,B$1,'United Data'!$C$3:$C$3390,$A592)&gt;0,1,0)</f>
        <v>0</v>
      </c>
      <c r="C592">
        <f>IF(COUNTIFS('United Data'!$A$3:$A$3390,C$1,'United Data'!$C$3:$C$3390,$A592)&gt;0,1,0)</f>
        <v>0</v>
      </c>
      <c r="D592">
        <f>IF(COUNTIFS('United Data'!$A$3:$A$3390,D$1,'United Data'!$C$3:$C$3390,$A592)&gt;0,1,0)</f>
        <v>0</v>
      </c>
      <c r="E592">
        <f>IF(COUNTIFS('United Data'!$A$3:$A$3390,E$1,'United Data'!$C$3:$C$3390,$A592)&gt;0,1,0)</f>
        <v>0</v>
      </c>
      <c r="F592">
        <f>IF(COUNTIFS('United Data'!$A$3:$A$3390,F$1,'United Data'!$C$3:$C$3390,$A592)&gt;0,1,0)</f>
        <v>0</v>
      </c>
      <c r="G592">
        <f>IF(COUNTIFS('United Data'!$A$3:$A$3390,G$1,'United Data'!$C$3:$C$3390,$A592)&gt;0,1,0)</f>
        <v>0</v>
      </c>
      <c r="H592">
        <f>IF(COUNTIFS('United Data'!$A$3:$A$3390,H$1,'United Data'!$C$3:$C$3390,$A592)&gt;0,1,0)</f>
        <v>0</v>
      </c>
      <c r="I592">
        <f>IF(COUNTIFS('United Data'!$A$3:$A$3390,I$1,'United Data'!$C$3:$C$3390,$A592)&gt;0,1,0)</f>
        <v>0</v>
      </c>
      <c r="J592">
        <f>IF(COUNTIFS('United Data'!$A$3:$A$3390,J$1,'United Data'!$C$3:$C$3390,$A592)&gt;0,1,0)</f>
        <v>0</v>
      </c>
      <c r="K592">
        <f>IF(COUNTIFS('United Data'!$A$3:$A$3390,K$1,'United Data'!$C$3:$C$3390,$A592)&gt;0,1,0)</f>
        <v>0</v>
      </c>
      <c r="L592">
        <f>IF(COUNTIFS('United Data'!$A$3:$A$3390,L$1,'United Data'!$C$3:$C$3390,$A592)&gt;0,1,0)</f>
        <v>0</v>
      </c>
      <c r="M592">
        <f>IF(COUNTIFS('United Data'!$A$3:$A$3390,M$1,'United Data'!$C$3:$C$3390,$A592)&gt;0,1,0)</f>
        <v>0</v>
      </c>
      <c r="N592">
        <f>IF(COUNTIFS('United Data'!$A$3:$A$3390,N$1,'United Data'!$C$3:$C$3390,$A592)&gt;0,1,0)</f>
        <v>0</v>
      </c>
      <c r="O592">
        <f>IF(COUNTIFS('United Data'!$A$3:$A$3390,O$1,'United Data'!$C$3:$C$3390,$A592)&gt;0,1,0)</f>
        <v>0</v>
      </c>
      <c r="P592">
        <f>IF(COUNTIFS('United Data'!$A$3:$A$3390,P$1,'United Data'!$C$3:$C$3390,$A592)&gt;0,1,0)</f>
        <v>1</v>
      </c>
      <c r="Q592">
        <f>IF(COUNTIFS('United Data'!$A$3:$A$3390,Q$1,'United Data'!$C$3:$C$3390,$A592)&gt;0,1,0)</f>
        <v>0</v>
      </c>
      <c r="R592">
        <f>IF(COUNTIFS('United Data'!$A$3:$A$3390,R$1,'United Data'!$C$3:$C$3390,$A592)&gt;0,1,0)</f>
        <v>0</v>
      </c>
      <c r="S592">
        <f t="shared" si="18"/>
        <v>1</v>
      </c>
      <c r="T592">
        <f t="shared" si="19"/>
        <v>1</v>
      </c>
    </row>
    <row r="593" spans="1:20" x14ac:dyDescent="0.2">
      <c r="A593" t="s">
        <v>711</v>
      </c>
      <c r="B593">
        <f>IF(COUNTIFS('United Data'!$A$3:$A$3390,B$1,'United Data'!$C$3:$C$3390,$A593)&gt;0,1,0)</f>
        <v>0</v>
      </c>
      <c r="C593">
        <f>IF(COUNTIFS('United Data'!$A$3:$A$3390,C$1,'United Data'!$C$3:$C$3390,$A593)&gt;0,1,0)</f>
        <v>0</v>
      </c>
      <c r="D593">
        <f>IF(COUNTIFS('United Data'!$A$3:$A$3390,D$1,'United Data'!$C$3:$C$3390,$A593)&gt;0,1,0)</f>
        <v>0</v>
      </c>
      <c r="E593">
        <f>IF(COUNTIFS('United Data'!$A$3:$A$3390,E$1,'United Data'!$C$3:$C$3390,$A593)&gt;0,1,0)</f>
        <v>0</v>
      </c>
      <c r="F593">
        <f>IF(COUNTIFS('United Data'!$A$3:$A$3390,F$1,'United Data'!$C$3:$C$3390,$A593)&gt;0,1,0)</f>
        <v>0</v>
      </c>
      <c r="G593">
        <f>IF(COUNTIFS('United Data'!$A$3:$A$3390,G$1,'United Data'!$C$3:$C$3390,$A593)&gt;0,1,0)</f>
        <v>0</v>
      </c>
      <c r="H593">
        <f>IF(COUNTIFS('United Data'!$A$3:$A$3390,H$1,'United Data'!$C$3:$C$3390,$A593)&gt;0,1,0)</f>
        <v>0</v>
      </c>
      <c r="I593">
        <f>IF(COUNTIFS('United Data'!$A$3:$A$3390,I$1,'United Data'!$C$3:$C$3390,$A593)&gt;0,1,0)</f>
        <v>0</v>
      </c>
      <c r="J593">
        <f>IF(COUNTIFS('United Data'!$A$3:$A$3390,J$1,'United Data'!$C$3:$C$3390,$A593)&gt;0,1,0)</f>
        <v>0</v>
      </c>
      <c r="K593">
        <f>IF(COUNTIFS('United Data'!$A$3:$A$3390,K$1,'United Data'!$C$3:$C$3390,$A593)&gt;0,1,0)</f>
        <v>0</v>
      </c>
      <c r="L593">
        <f>IF(COUNTIFS('United Data'!$A$3:$A$3390,L$1,'United Data'!$C$3:$C$3390,$A593)&gt;0,1,0)</f>
        <v>0</v>
      </c>
      <c r="M593">
        <f>IF(COUNTIFS('United Data'!$A$3:$A$3390,M$1,'United Data'!$C$3:$C$3390,$A593)&gt;0,1,0)</f>
        <v>0</v>
      </c>
      <c r="N593">
        <f>IF(COUNTIFS('United Data'!$A$3:$A$3390,N$1,'United Data'!$C$3:$C$3390,$A593)&gt;0,1,0)</f>
        <v>0</v>
      </c>
      <c r="O593">
        <f>IF(COUNTIFS('United Data'!$A$3:$A$3390,O$1,'United Data'!$C$3:$C$3390,$A593)&gt;0,1,0)</f>
        <v>0</v>
      </c>
      <c r="P593">
        <f>IF(COUNTIFS('United Data'!$A$3:$A$3390,P$1,'United Data'!$C$3:$C$3390,$A593)&gt;0,1,0)</f>
        <v>0</v>
      </c>
      <c r="Q593">
        <f>IF(COUNTIFS('United Data'!$A$3:$A$3390,Q$1,'United Data'!$C$3:$C$3390,$A593)&gt;0,1,0)</f>
        <v>1</v>
      </c>
      <c r="R593">
        <f>IF(COUNTIFS('United Data'!$A$3:$A$3390,R$1,'United Data'!$C$3:$C$3390,$A593)&gt;0,1,0)</f>
        <v>0</v>
      </c>
      <c r="S593">
        <f t="shared" si="18"/>
        <v>1</v>
      </c>
      <c r="T593">
        <f t="shared" si="19"/>
        <v>1</v>
      </c>
    </row>
    <row r="594" spans="1:20" x14ac:dyDescent="0.2">
      <c r="A594" t="s">
        <v>712</v>
      </c>
      <c r="B594">
        <f>IF(COUNTIFS('United Data'!$A$3:$A$3390,B$1,'United Data'!$C$3:$C$3390,$A594)&gt;0,1,0)</f>
        <v>0</v>
      </c>
      <c r="C594">
        <f>IF(COUNTIFS('United Data'!$A$3:$A$3390,C$1,'United Data'!$C$3:$C$3390,$A594)&gt;0,1,0)</f>
        <v>0</v>
      </c>
      <c r="D594">
        <f>IF(COUNTIFS('United Data'!$A$3:$A$3390,D$1,'United Data'!$C$3:$C$3390,$A594)&gt;0,1,0)</f>
        <v>0</v>
      </c>
      <c r="E594">
        <f>IF(COUNTIFS('United Data'!$A$3:$A$3390,E$1,'United Data'!$C$3:$C$3390,$A594)&gt;0,1,0)</f>
        <v>0</v>
      </c>
      <c r="F594">
        <f>IF(COUNTIFS('United Data'!$A$3:$A$3390,F$1,'United Data'!$C$3:$C$3390,$A594)&gt;0,1,0)</f>
        <v>0</v>
      </c>
      <c r="G594">
        <f>IF(COUNTIFS('United Data'!$A$3:$A$3390,G$1,'United Data'!$C$3:$C$3390,$A594)&gt;0,1,0)</f>
        <v>0</v>
      </c>
      <c r="H594">
        <f>IF(COUNTIFS('United Data'!$A$3:$A$3390,H$1,'United Data'!$C$3:$C$3390,$A594)&gt;0,1,0)</f>
        <v>0</v>
      </c>
      <c r="I594">
        <f>IF(COUNTIFS('United Data'!$A$3:$A$3390,I$1,'United Data'!$C$3:$C$3390,$A594)&gt;0,1,0)</f>
        <v>0</v>
      </c>
      <c r="J594">
        <f>IF(COUNTIFS('United Data'!$A$3:$A$3390,J$1,'United Data'!$C$3:$C$3390,$A594)&gt;0,1,0)</f>
        <v>0</v>
      </c>
      <c r="K594">
        <f>IF(COUNTIFS('United Data'!$A$3:$A$3390,K$1,'United Data'!$C$3:$C$3390,$A594)&gt;0,1,0)</f>
        <v>0</v>
      </c>
      <c r="L594">
        <f>IF(COUNTIFS('United Data'!$A$3:$A$3390,L$1,'United Data'!$C$3:$C$3390,$A594)&gt;0,1,0)</f>
        <v>0</v>
      </c>
      <c r="M594">
        <f>IF(COUNTIFS('United Data'!$A$3:$A$3390,M$1,'United Data'!$C$3:$C$3390,$A594)&gt;0,1,0)</f>
        <v>0</v>
      </c>
      <c r="N594">
        <f>IF(COUNTIFS('United Data'!$A$3:$A$3390,N$1,'United Data'!$C$3:$C$3390,$A594)&gt;0,1,0)</f>
        <v>0</v>
      </c>
      <c r="O594">
        <f>IF(COUNTIFS('United Data'!$A$3:$A$3390,O$1,'United Data'!$C$3:$C$3390,$A594)&gt;0,1,0)</f>
        <v>0</v>
      </c>
      <c r="P594">
        <f>IF(COUNTIFS('United Data'!$A$3:$A$3390,P$1,'United Data'!$C$3:$C$3390,$A594)&gt;0,1,0)</f>
        <v>0</v>
      </c>
      <c r="Q594">
        <f>IF(COUNTIFS('United Data'!$A$3:$A$3390,Q$1,'United Data'!$C$3:$C$3390,$A594)&gt;0,1,0)</f>
        <v>1</v>
      </c>
      <c r="R594">
        <f>IF(COUNTIFS('United Data'!$A$3:$A$3390,R$1,'United Data'!$C$3:$C$3390,$A594)&gt;0,1,0)</f>
        <v>0</v>
      </c>
      <c r="S594">
        <f t="shared" si="18"/>
        <v>1</v>
      </c>
      <c r="T594">
        <f t="shared" si="19"/>
        <v>1</v>
      </c>
    </row>
    <row r="595" spans="1:20" x14ac:dyDescent="0.2">
      <c r="A595" t="s">
        <v>713</v>
      </c>
      <c r="B595">
        <f>IF(COUNTIFS('United Data'!$A$3:$A$3390,B$1,'United Data'!$C$3:$C$3390,$A595)&gt;0,1,0)</f>
        <v>0</v>
      </c>
      <c r="C595">
        <f>IF(COUNTIFS('United Data'!$A$3:$A$3390,C$1,'United Data'!$C$3:$C$3390,$A595)&gt;0,1,0)</f>
        <v>0</v>
      </c>
      <c r="D595">
        <f>IF(COUNTIFS('United Data'!$A$3:$A$3390,D$1,'United Data'!$C$3:$C$3390,$A595)&gt;0,1,0)</f>
        <v>0</v>
      </c>
      <c r="E595">
        <f>IF(COUNTIFS('United Data'!$A$3:$A$3390,E$1,'United Data'!$C$3:$C$3390,$A595)&gt;0,1,0)</f>
        <v>0</v>
      </c>
      <c r="F595">
        <f>IF(COUNTIFS('United Data'!$A$3:$A$3390,F$1,'United Data'!$C$3:$C$3390,$A595)&gt;0,1,0)</f>
        <v>0</v>
      </c>
      <c r="G595">
        <f>IF(COUNTIFS('United Data'!$A$3:$A$3390,G$1,'United Data'!$C$3:$C$3390,$A595)&gt;0,1,0)</f>
        <v>0</v>
      </c>
      <c r="H595">
        <f>IF(COUNTIFS('United Data'!$A$3:$A$3390,H$1,'United Data'!$C$3:$C$3390,$A595)&gt;0,1,0)</f>
        <v>0</v>
      </c>
      <c r="I595">
        <f>IF(COUNTIFS('United Data'!$A$3:$A$3390,I$1,'United Data'!$C$3:$C$3390,$A595)&gt;0,1,0)</f>
        <v>0</v>
      </c>
      <c r="J595">
        <f>IF(COUNTIFS('United Data'!$A$3:$A$3390,J$1,'United Data'!$C$3:$C$3390,$A595)&gt;0,1,0)</f>
        <v>0</v>
      </c>
      <c r="K595">
        <f>IF(COUNTIFS('United Data'!$A$3:$A$3390,K$1,'United Data'!$C$3:$C$3390,$A595)&gt;0,1,0)</f>
        <v>0</v>
      </c>
      <c r="L595">
        <f>IF(COUNTIFS('United Data'!$A$3:$A$3390,L$1,'United Data'!$C$3:$C$3390,$A595)&gt;0,1,0)</f>
        <v>0</v>
      </c>
      <c r="M595">
        <f>IF(COUNTIFS('United Data'!$A$3:$A$3390,M$1,'United Data'!$C$3:$C$3390,$A595)&gt;0,1,0)</f>
        <v>0</v>
      </c>
      <c r="N595">
        <f>IF(COUNTIFS('United Data'!$A$3:$A$3390,N$1,'United Data'!$C$3:$C$3390,$A595)&gt;0,1,0)</f>
        <v>0</v>
      </c>
      <c r="O595">
        <f>IF(COUNTIFS('United Data'!$A$3:$A$3390,O$1,'United Data'!$C$3:$C$3390,$A595)&gt;0,1,0)</f>
        <v>0</v>
      </c>
      <c r="P595">
        <f>IF(COUNTIFS('United Data'!$A$3:$A$3390,P$1,'United Data'!$C$3:$C$3390,$A595)&gt;0,1,0)</f>
        <v>0</v>
      </c>
      <c r="Q595">
        <f>IF(COUNTIFS('United Data'!$A$3:$A$3390,Q$1,'United Data'!$C$3:$C$3390,$A595)&gt;0,1,0)</f>
        <v>1</v>
      </c>
      <c r="R595">
        <f>IF(COUNTIFS('United Data'!$A$3:$A$3390,R$1,'United Data'!$C$3:$C$3390,$A595)&gt;0,1,0)</f>
        <v>0</v>
      </c>
      <c r="S595">
        <f t="shared" si="18"/>
        <v>1</v>
      </c>
      <c r="T595">
        <f t="shared" si="19"/>
        <v>1</v>
      </c>
    </row>
    <row r="596" spans="1:20" x14ac:dyDescent="0.2">
      <c r="A596" t="s">
        <v>714</v>
      </c>
      <c r="B596">
        <f>IF(COUNTIFS('United Data'!$A$3:$A$3390,B$1,'United Data'!$C$3:$C$3390,$A596)&gt;0,1,0)</f>
        <v>0</v>
      </c>
      <c r="C596">
        <f>IF(COUNTIFS('United Data'!$A$3:$A$3390,C$1,'United Data'!$C$3:$C$3390,$A596)&gt;0,1,0)</f>
        <v>0</v>
      </c>
      <c r="D596">
        <f>IF(COUNTIFS('United Data'!$A$3:$A$3390,D$1,'United Data'!$C$3:$C$3390,$A596)&gt;0,1,0)</f>
        <v>0</v>
      </c>
      <c r="E596">
        <f>IF(COUNTIFS('United Data'!$A$3:$A$3390,E$1,'United Data'!$C$3:$C$3390,$A596)&gt;0,1,0)</f>
        <v>0</v>
      </c>
      <c r="F596">
        <f>IF(COUNTIFS('United Data'!$A$3:$A$3390,F$1,'United Data'!$C$3:$C$3390,$A596)&gt;0,1,0)</f>
        <v>0</v>
      </c>
      <c r="G596">
        <f>IF(COUNTIFS('United Data'!$A$3:$A$3390,G$1,'United Data'!$C$3:$C$3390,$A596)&gt;0,1,0)</f>
        <v>0</v>
      </c>
      <c r="H596">
        <f>IF(COUNTIFS('United Data'!$A$3:$A$3390,H$1,'United Data'!$C$3:$C$3390,$A596)&gt;0,1,0)</f>
        <v>0</v>
      </c>
      <c r="I596">
        <f>IF(COUNTIFS('United Data'!$A$3:$A$3390,I$1,'United Data'!$C$3:$C$3390,$A596)&gt;0,1,0)</f>
        <v>0</v>
      </c>
      <c r="J596">
        <f>IF(COUNTIFS('United Data'!$A$3:$A$3390,J$1,'United Data'!$C$3:$C$3390,$A596)&gt;0,1,0)</f>
        <v>0</v>
      </c>
      <c r="K596">
        <f>IF(COUNTIFS('United Data'!$A$3:$A$3390,K$1,'United Data'!$C$3:$C$3390,$A596)&gt;0,1,0)</f>
        <v>0</v>
      </c>
      <c r="L596">
        <f>IF(COUNTIFS('United Data'!$A$3:$A$3390,L$1,'United Data'!$C$3:$C$3390,$A596)&gt;0,1,0)</f>
        <v>0</v>
      </c>
      <c r="M596">
        <f>IF(COUNTIFS('United Data'!$A$3:$A$3390,M$1,'United Data'!$C$3:$C$3390,$A596)&gt;0,1,0)</f>
        <v>0</v>
      </c>
      <c r="N596">
        <f>IF(COUNTIFS('United Data'!$A$3:$A$3390,N$1,'United Data'!$C$3:$C$3390,$A596)&gt;0,1,0)</f>
        <v>0</v>
      </c>
      <c r="O596">
        <f>IF(COUNTIFS('United Data'!$A$3:$A$3390,O$1,'United Data'!$C$3:$C$3390,$A596)&gt;0,1,0)</f>
        <v>0</v>
      </c>
      <c r="P596">
        <f>IF(COUNTIFS('United Data'!$A$3:$A$3390,P$1,'United Data'!$C$3:$C$3390,$A596)&gt;0,1,0)</f>
        <v>0</v>
      </c>
      <c r="Q596">
        <f>IF(COUNTIFS('United Data'!$A$3:$A$3390,Q$1,'United Data'!$C$3:$C$3390,$A596)&gt;0,1,0)</f>
        <v>1</v>
      </c>
      <c r="R596">
        <f>IF(COUNTIFS('United Data'!$A$3:$A$3390,R$1,'United Data'!$C$3:$C$3390,$A596)&gt;0,1,0)</f>
        <v>0</v>
      </c>
      <c r="S596">
        <f t="shared" si="18"/>
        <v>1</v>
      </c>
      <c r="T596">
        <f t="shared" si="19"/>
        <v>1</v>
      </c>
    </row>
    <row r="597" spans="1:20" x14ac:dyDescent="0.2">
      <c r="A597" t="s">
        <v>715</v>
      </c>
      <c r="B597">
        <f>IF(COUNTIFS('United Data'!$A$3:$A$3390,B$1,'United Data'!$C$3:$C$3390,$A597)&gt;0,1,0)</f>
        <v>0</v>
      </c>
      <c r="C597">
        <f>IF(COUNTIFS('United Data'!$A$3:$A$3390,C$1,'United Data'!$C$3:$C$3390,$A597)&gt;0,1,0)</f>
        <v>0</v>
      </c>
      <c r="D597">
        <f>IF(COUNTIFS('United Data'!$A$3:$A$3390,D$1,'United Data'!$C$3:$C$3390,$A597)&gt;0,1,0)</f>
        <v>0</v>
      </c>
      <c r="E597">
        <f>IF(COUNTIFS('United Data'!$A$3:$A$3390,E$1,'United Data'!$C$3:$C$3390,$A597)&gt;0,1,0)</f>
        <v>0</v>
      </c>
      <c r="F597">
        <f>IF(COUNTIFS('United Data'!$A$3:$A$3390,F$1,'United Data'!$C$3:$C$3390,$A597)&gt;0,1,0)</f>
        <v>0</v>
      </c>
      <c r="G597">
        <f>IF(COUNTIFS('United Data'!$A$3:$A$3390,G$1,'United Data'!$C$3:$C$3390,$A597)&gt;0,1,0)</f>
        <v>0</v>
      </c>
      <c r="H597">
        <f>IF(COUNTIFS('United Data'!$A$3:$A$3390,H$1,'United Data'!$C$3:$C$3390,$A597)&gt;0,1,0)</f>
        <v>0</v>
      </c>
      <c r="I597">
        <f>IF(COUNTIFS('United Data'!$A$3:$A$3390,I$1,'United Data'!$C$3:$C$3390,$A597)&gt;0,1,0)</f>
        <v>0</v>
      </c>
      <c r="J597">
        <f>IF(COUNTIFS('United Data'!$A$3:$A$3390,J$1,'United Data'!$C$3:$C$3390,$A597)&gt;0,1,0)</f>
        <v>0</v>
      </c>
      <c r="K597">
        <f>IF(COUNTIFS('United Data'!$A$3:$A$3390,K$1,'United Data'!$C$3:$C$3390,$A597)&gt;0,1,0)</f>
        <v>0</v>
      </c>
      <c r="L597">
        <f>IF(COUNTIFS('United Data'!$A$3:$A$3390,L$1,'United Data'!$C$3:$C$3390,$A597)&gt;0,1,0)</f>
        <v>0</v>
      </c>
      <c r="M597">
        <f>IF(COUNTIFS('United Data'!$A$3:$A$3390,M$1,'United Data'!$C$3:$C$3390,$A597)&gt;0,1,0)</f>
        <v>0</v>
      </c>
      <c r="N597">
        <f>IF(COUNTIFS('United Data'!$A$3:$A$3390,N$1,'United Data'!$C$3:$C$3390,$A597)&gt;0,1,0)</f>
        <v>0</v>
      </c>
      <c r="O597">
        <f>IF(COUNTIFS('United Data'!$A$3:$A$3390,O$1,'United Data'!$C$3:$C$3390,$A597)&gt;0,1,0)</f>
        <v>0</v>
      </c>
      <c r="P597">
        <f>IF(COUNTIFS('United Data'!$A$3:$A$3390,P$1,'United Data'!$C$3:$C$3390,$A597)&gt;0,1,0)</f>
        <v>0</v>
      </c>
      <c r="Q597">
        <f>IF(COUNTIFS('United Data'!$A$3:$A$3390,Q$1,'United Data'!$C$3:$C$3390,$A597)&gt;0,1,0)</f>
        <v>1</v>
      </c>
      <c r="R597">
        <f>IF(COUNTIFS('United Data'!$A$3:$A$3390,R$1,'United Data'!$C$3:$C$3390,$A597)&gt;0,1,0)</f>
        <v>0</v>
      </c>
      <c r="S597">
        <f t="shared" si="18"/>
        <v>1</v>
      </c>
      <c r="T597">
        <f t="shared" si="19"/>
        <v>1</v>
      </c>
    </row>
    <row r="598" spans="1:20" x14ac:dyDescent="0.2">
      <c r="A598" t="s">
        <v>716</v>
      </c>
      <c r="B598">
        <f>IF(COUNTIFS('United Data'!$A$3:$A$3390,B$1,'United Data'!$C$3:$C$3390,$A598)&gt;0,1,0)</f>
        <v>0</v>
      </c>
      <c r="C598">
        <f>IF(COUNTIFS('United Data'!$A$3:$A$3390,C$1,'United Data'!$C$3:$C$3390,$A598)&gt;0,1,0)</f>
        <v>0</v>
      </c>
      <c r="D598">
        <f>IF(COUNTIFS('United Data'!$A$3:$A$3390,D$1,'United Data'!$C$3:$C$3390,$A598)&gt;0,1,0)</f>
        <v>0</v>
      </c>
      <c r="E598">
        <f>IF(COUNTIFS('United Data'!$A$3:$A$3390,E$1,'United Data'!$C$3:$C$3390,$A598)&gt;0,1,0)</f>
        <v>0</v>
      </c>
      <c r="F598">
        <f>IF(COUNTIFS('United Data'!$A$3:$A$3390,F$1,'United Data'!$C$3:$C$3390,$A598)&gt;0,1,0)</f>
        <v>0</v>
      </c>
      <c r="G598">
        <f>IF(COUNTIFS('United Data'!$A$3:$A$3390,G$1,'United Data'!$C$3:$C$3390,$A598)&gt;0,1,0)</f>
        <v>0</v>
      </c>
      <c r="H598">
        <f>IF(COUNTIFS('United Data'!$A$3:$A$3390,H$1,'United Data'!$C$3:$C$3390,$A598)&gt;0,1,0)</f>
        <v>0</v>
      </c>
      <c r="I598">
        <f>IF(COUNTIFS('United Data'!$A$3:$A$3390,I$1,'United Data'!$C$3:$C$3390,$A598)&gt;0,1,0)</f>
        <v>0</v>
      </c>
      <c r="J598">
        <f>IF(COUNTIFS('United Data'!$A$3:$A$3390,J$1,'United Data'!$C$3:$C$3390,$A598)&gt;0,1,0)</f>
        <v>0</v>
      </c>
      <c r="K598">
        <f>IF(COUNTIFS('United Data'!$A$3:$A$3390,K$1,'United Data'!$C$3:$C$3390,$A598)&gt;0,1,0)</f>
        <v>0</v>
      </c>
      <c r="L598">
        <f>IF(COUNTIFS('United Data'!$A$3:$A$3390,L$1,'United Data'!$C$3:$C$3390,$A598)&gt;0,1,0)</f>
        <v>0</v>
      </c>
      <c r="M598">
        <f>IF(COUNTIFS('United Data'!$A$3:$A$3390,M$1,'United Data'!$C$3:$C$3390,$A598)&gt;0,1,0)</f>
        <v>0</v>
      </c>
      <c r="N598">
        <f>IF(COUNTIFS('United Data'!$A$3:$A$3390,N$1,'United Data'!$C$3:$C$3390,$A598)&gt;0,1,0)</f>
        <v>0</v>
      </c>
      <c r="O598">
        <f>IF(COUNTIFS('United Data'!$A$3:$A$3390,O$1,'United Data'!$C$3:$C$3390,$A598)&gt;0,1,0)</f>
        <v>0</v>
      </c>
      <c r="P598">
        <f>IF(COUNTIFS('United Data'!$A$3:$A$3390,P$1,'United Data'!$C$3:$C$3390,$A598)&gt;0,1,0)</f>
        <v>0</v>
      </c>
      <c r="Q598">
        <f>IF(COUNTIFS('United Data'!$A$3:$A$3390,Q$1,'United Data'!$C$3:$C$3390,$A598)&gt;0,1,0)</f>
        <v>1</v>
      </c>
      <c r="R598">
        <f>IF(COUNTIFS('United Data'!$A$3:$A$3390,R$1,'United Data'!$C$3:$C$3390,$A598)&gt;0,1,0)</f>
        <v>0</v>
      </c>
      <c r="S598">
        <f t="shared" si="18"/>
        <v>1</v>
      </c>
      <c r="T598">
        <f t="shared" si="19"/>
        <v>1</v>
      </c>
    </row>
    <row r="599" spans="1:20" x14ac:dyDescent="0.2">
      <c r="A599" t="s">
        <v>717</v>
      </c>
      <c r="B599">
        <f>IF(COUNTIFS('United Data'!$A$3:$A$3390,B$1,'United Data'!$C$3:$C$3390,$A599)&gt;0,1,0)</f>
        <v>0</v>
      </c>
      <c r="C599">
        <f>IF(COUNTIFS('United Data'!$A$3:$A$3390,C$1,'United Data'!$C$3:$C$3390,$A599)&gt;0,1,0)</f>
        <v>0</v>
      </c>
      <c r="D599">
        <f>IF(COUNTIFS('United Data'!$A$3:$A$3390,D$1,'United Data'!$C$3:$C$3390,$A599)&gt;0,1,0)</f>
        <v>0</v>
      </c>
      <c r="E599">
        <f>IF(COUNTIFS('United Data'!$A$3:$A$3390,E$1,'United Data'!$C$3:$C$3390,$A599)&gt;0,1,0)</f>
        <v>0</v>
      </c>
      <c r="F599">
        <f>IF(COUNTIFS('United Data'!$A$3:$A$3390,F$1,'United Data'!$C$3:$C$3390,$A599)&gt;0,1,0)</f>
        <v>0</v>
      </c>
      <c r="G599">
        <f>IF(COUNTIFS('United Data'!$A$3:$A$3390,G$1,'United Data'!$C$3:$C$3390,$A599)&gt;0,1,0)</f>
        <v>0</v>
      </c>
      <c r="H599">
        <f>IF(COUNTIFS('United Data'!$A$3:$A$3390,H$1,'United Data'!$C$3:$C$3390,$A599)&gt;0,1,0)</f>
        <v>0</v>
      </c>
      <c r="I599">
        <f>IF(COUNTIFS('United Data'!$A$3:$A$3390,I$1,'United Data'!$C$3:$C$3390,$A599)&gt;0,1,0)</f>
        <v>0</v>
      </c>
      <c r="J599">
        <f>IF(COUNTIFS('United Data'!$A$3:$A$3390,J$1,'United Data'!$C$3:$C$3390,$A599)&gt;0,1,0)</f>
        <v>0</v>
      </c>
      <c r="K599">
        <f>IF(COUNTIFS('United Data'!$A$3:$A$3390,K$1,'United Data'!$C$3:$C$3390,$A599)&gt;0,1,0)</f>
        <v>0</v>
      </c>
      <c r="L599">
        <f>IF(COUNTIFS('United Data'!$A$3:$A$3390,L$1,'United Data'!$C$3:$C$3390,$A599)&gt;0,1,0)</f>
        <v>0</v>
      </c>
      <c r="M599">
        <f>IF(COUNTIFS('United Data'!$A$3:$A$3390,M$1,'United Data'!$C$3:$C$3390,$A599)&gt;0,1,0)</f>
        <v>0</v>
      </c>
      <c r="N599">
        <f>IF(COUNTIFS('United Data'!$A$3:$A$3390,N$1,'United Data'!$C$3:$C$3390,$A599)&gt;0,1,0)</f>
        <v>0</v>
      </c>
      <c r="O599">
        <f>IF(COUNTIFS('United Data'!$A$3:$A$3390,O$1,'United Data'!$C$3:$C$3390,$A599)&gt;0,1,0)</f>
        <v>0</v>
      </c>
      <c r="P599">
        <f>IF(COUNTIFS('United Data'!$A$3:$A$3390,P$1,'United Data'!$C$3:$C$3390,$A599)&gt;0,1,0)</f>
        <v>0</v>
      </c>
      <c r="Q599">
        <f>IF(COUNTIFS('United Data'!$A$3:$A$3390,Q$1,'United Data'!$C$3:$C$3390,$A599)&gt;0,1,0)</f>
        <v>1</v>
      </c>
      <c r="R599">
        <f>IF(COUNTIFS('United Data'!$A$3:$A$3390,R$1,'United Data'!$C$3:$C$3390,$A599)&gt;0,1,0)</f>
        <v>0</v>
      </c>
      <c r="S599">
        <f t="shared" si="18"/>
        <v>1</v>
      </c>
      <c r="T599">
        <f t="shared" si="19"/>
        <v>1</v>
      </c>
    </row>
    <row r="600" spans="1:20" x14ac:dyDescent="0.2">
      <c r="A600" t="s">
        <v>718</v>
      </c>
      <c r="B600">
        <f>IF(COUNTIFS('United Data'!$A$3:$A$3390,B$1,'United Data'!$C$3:$C$3390,$A600)&gt;0,1,0)</f>
        <v>0</v>
      </c>
      <c r="C600">
        <f>IF(COUNTIFS('United Data'!$A$3:$A$3390,C$1,'United Data'!$C$3:$C$3390,$A600)&gt;0,1,0)</f>
        <v>0</v>
      </c>
      <c r="D600">
        <f>IF(COUNTIFS('United Data'!$A$3:$A$3390,D$1,'United Data'!$C$3:$C$3390,$A600)&gt;0,1,0)</f>
        <v>0</v>
      </c>
      <c r="E600">
        <f>IF(COUNTIFS('United Data'!$A$3:$A$3390,E$1,'United Data'!$C$3:$C$3390,$A600)&gt;0,1,0)</f>
        <v>0</v>
      </c>
      <c r="F600">
        <f>IF(COUNTIFS('United Data'!$A$3:$A$3390,F$1,'United Data'!$C$3:$C$3390,$A600)&gt;0,1,0)</f>
        <v>0</v>
      </c>
      <c r="G600">
        <f>IF(COUNTIFS('United Data'!$A$3:$A$3390,G$1,'United Data'!$C$3:$C$3390,$A600)&gt;0,1,0)</f>
        <v>0</v>
      </c>
      <c r="H600">
        <f>IF(COUNTIFS('United Data'!$A$3:$A$3390,H$1,'United Data'!$C$3:$C$3390,$A600)&gt;0,1,0)</f>
        <v>0</v>
      </c>
      <c r="I600">
        <f>IF(COUNTIFS('United Data'!$A$3:$A$3390,I$1,'United Data'!$C$3:$C$3390,$A600)&gt;0,1,0)</f>
        <v>0</v>
      </c>
      <c r="J600">
        <f>IF(COUNTIFS('United Data'!$A$3:$A$3390,J$1,'United Data'!$C$3:$C$3390,$A600)&gt;0,1,0)</f>
        <v>0</v>
      </c>
      <c r="K600">
        <f>IF(COUNTIFS('United Data'!$A$3:$A$3390,K$1,'United Data'!$C$3:$C$3390,$A600)&gt;0,1,0)</f>
        <v>0</v>
      </c>
      <c r="L600">
        <f>IF(COUNTIFS('United Data'!$A$3:$A$3390,L$1,'United Data'!$C$3:$C$3390,$A600)&gt;0,1,0)</f>
        <v>0</v>
      </c>
      <c r="M600">
        <f>IF(COUNTIFS('United Data'!$A$3:$A$3390,M$1,'United Data'!$C$3:$C$3390,$A600)&gt;0,1,0)</f>
        <v>0</v>
      </c>
      <c r="N600">
        <f>IF(COUNTIFS('United Data'!$A$3:$A$3390,N$1,'United Data'!$C$3:$C$3390,$A600)&gt;0,1,0)</f>
        <v>0</v>
      </c>
      <c r="O600">
        <f>IF(COUNTIFS('United Data'!$A$3:$A$3390,O$1,'United Data'!$C$3:$C$3390,$A600)&gt;0,1,0)</f>
        <v>0</v>
      </c>
      <c r="P600">
        <f>IF(COUNTIFS('United Data'!$A$3:$A$3390,P$1,'United Data'!$C$3:$C$3390,$A600)&gt;0,1,0)</f>
        <v>0</v>
      </c>
      <c r="Q600">
        <f>IF(COUNTIFS('United Data'!$A$3:$A$3390,Q$1,'United Data'!$C$3:$C$3390,$A600)&gt;0,1,0)</f>
        <v>1</v>
      </c>
      <c r="R600">
        <f>IF(COUNTIFS('United Data'!$A$3:$A$3390,R$1,'United Data'!$C$3:$C$3390,$A600)&gt;0,1,0)</f>
        <v>0</v>
      </c>
      <c r="S600">
        <f t="shared" si="18"/>
        <v>1</v>
      </c>
      <c r="T600">
        <f t="shared" si="19"/>
        <v>1</v>
      </c>
    </row>
    <row r="601" spans="1:20" x14ac:dyDescent="0.2">
      <c r="A601" t="s">
        <v>719</v>
      </c>
      <c r="B601">
        <f>IF(COUNTIFS('United Data'!$A$3:$A$3390,B$1,'United Data'!$C$3:$C$3390,$A601)&gt;0,1,0)</f>
        <v>0</v>
      </c>
      <c r="C601">
        <f>IF(COUNTIFS('United Data'!$A$3:$A$3390,C$1,'United Data'!$C$3:$C$3390,$A601)&gt;0,1,0)</f>
        <v>0</v>
      </c>
      <c r="D601">
        <f>IF(COUNTIFS('United Data'!$A$3:$A$3390,D$1,'United Data'!$C$3:$C$3390,$A601)&gt;0,1,0)</f>
        <v>0</v>
      </c>
      <c r="E601">
        <f>IF(COUNTIFS('United Data'!$A$3:$A$3390,E$1,'United Data'!$C$3:$C$3390,$A601)&gt;0,1,0)</f>
        <v>0</v>
      </c>
      <c r="F601">
        <f>IF(COUNTIFS('United Data'!$A$3:$A$3390,F$1,'United Data'!$C$3:$C$3390,$A601)&gt;0,1,0)</f>
        <v>0</v>
      </c>
      <c r="G601">
        <f>IF(COUNTIFS('United Data'!$A$3:$A$3390,G$1,'United Data'!$C$3:$C$3390,$A601)&gt;0,1,0)</f>
        <v>0</v>
      </c>
      <c r="H601">
        <f>IF(COUNTIFS('United Data'!$A$3:$A$3390,H$1,'United Data'!$C$3:$C$3390,$A601)&gt;0,1,0)</f>
        <v>0</v>
      </c>
      <c r="I601">
        <f>IF(COUNTIFS('United Data'!$A$3:$A$3390,I$1,'United Data'!$C$3:$C$3390,$A601)&gt;0,1,0)</f>
        <v>0</v>
      </c>
      <c r="J601">
        <f>IF(COUNTIFS('United Data'!$A$3:$A$3390,J$1,'United Data'!$C$3:$C$3390,$A601)&gt;0,1,0)</f>
        <v>0</v>
      </c>
      <c r="K601">
        <f>IF(COUNTIFS('United Data'!$A$3:$A$3390,K$1,'United Data'!$C$3:$C$3390,$A601)&gt;0,1,0)</f>
        <v>0</v>
      </c>
      <c r="L601">
        <f>IF(COUNTIFS('United Data'!$A$3:$A$3390,L$1,'United Data'!$C$3:$C$3390,$A601)&gt;0,1,0)</f>
        <v>0</v>
      </c>
      <c r="M601">
        <f>IF(COUNTIFS('United Data'!$A$3:$A$3390,M$1,'United Data'!$C$3:$C$3390,$A601)&gt;0,1,0)</f>
        <v>0</v>
      </c>
      <c r="N601">
        <f>IF(COUNTIFS('United Data'!$A$3:$A$3390,N$1,'United Data'!$C$3:$C$3390,$A601)&gt;0,1,0)</f>
        <v>0</v>
      </c>
      <c r="O601">
        <f>IF(COUNTIFS('United Data'!$A$3:$A$3390,O$1,'United Data'!$C$3:$C$3390,$A601)&gt;0,1,0)</f>
        <v>0</v>
      </c>
      <c r="P601">
        <f>IF(COUNTIFS('United Data'!$A$3:$A$3390,P$1,'United Data'!$C$3:$C$3390,$A601)&gt;0,1,0)</f>
        <v>0</v>
      </c>
      <c r="Q601">
        <f>IF(COUNTIFS('United Data'!$A$3:$A$3390,Q$1,'United Data'!$C$3:$C$3390,$A601)&gt;0,1,0)</f>
        <v>1</v>
      </c>
      <c r="R601">
        <f>IF(COUNTIFS('United Data'!$A$3:$A$3390,R$1,'United Data'!$C$3:$C$3390,$A601)&gt;0,1,0)</f>
        <v>0</v>
      </c>
      <c r="S601">
        <f t="shared" si="18"/>
        <v>1</v>
      </c>
      <c r="T601">
        <f t="shared" si="19"/>
        <v>1</v>
      </c>
    </row>
    <row r="602" spans="1:20" x14ac:dyDescent="0.2">
      <c r="A602" t="s">
        <v>720</v>
      </c>
      <c r="B602">
        <f>IF(COUNTIFS('United Data'!$A$3:$A$3390,B$1,'United Data'!$C$3:$C$3390,$A602)&gt;0,1,0)</f>
        <v>0</v>
      </c>
      <c r="C602">
        <f>IF(COUNTIFS('United Data'!$A$3:$A$3390,C$1,'United Data'!$C$3:$C$3390,$A602)&gt;0,1,0)</f>
        <v>0</v>
      </c>
      <c r="D602">
        <f>IF(COUNTIFS('United Data'!$A$3:$A$3390,D$1,'United Data'!$C$3:$C$3390,$A602)&gt;0,1,0)</f>
        <v>0</v>
      </c>
      <c r="E602">
        <f>IF(COUNTIFS('United Data'!$A$3:$A$3390,E$1,'United Data'!$C$3:$C$3390,$A602)&gt;0,1,0)</f>
        <v>0</v>
      </c>
      <c r="F602">
        <f>IF(COUNTIFS('United Data'!$A$3:$A$3390,F$1,'United Data'!$C$3:$C$3390,$A602)&gt;0,1,0)</f>
        <v>0</v>
      </c>
      <c r="G602">
        <f>IF(COUNTIFS('United Data'!$A$3:$A$3390,G$1,'United Data'!$C$3:$C$3390,$A602)&gt;0,1,0)</f>
        <v>0</v>
      </c>
      <c r="H602">
        <f>IF(COUNTIFS('United Data'!$A$3:$A$3390,H$1,'United Data'!$C$3:$C$3390,$A602)&gt;0,1,0)</f>
        <v>0</v>
      </c>
      <c r="I602">
        <f>IF(COUNTIFS('United Data'!$A$3:$A$3390,I$1,'United Data'!$C$3:$C$3390,$A602)&gt;0,1,0)</f>
        <v>0</v>
      </c>
      <c r="J602">
        <f>IF(COUNTIFS('United Data'!$A$3:$A$3390,J$1,'United Data'!$C$3:$C$3390,$A602)&gt;0,1,0)</f>
        <v>0</v>
      </c>
      <c r="K602">
        <f>IF(COUNTIFS('United Data'!$A$3:$A$3390,K$1,'United Data'!$C$3:$C$3390,$A602)&gt;0,1,0)</f>
        <v>0</v>
      </c>
      <c r="L602">
        <f>IF(COUNTIFS('United Data'!$A$3:$A$3390,L$1,'United Data'!$C$3:$C$3390,$A602)&gt;0,1,0)</f>
        <v>0</v>
      </c>
      <c r="M602">
        <f>IF(COUNTIFS('United Data'!$A$3:$A$3390,M$1,'United Data'!$C$3:$C$3390,$A602)&gt;0,1,0)</f>
        <v>0</v>
      </c>
      <c r="N602">
        <f>IF(COUNTIFS('United Data'!$A$3:$A$3390,N$1,'United Data'!$C$3:$C$3390,$A602)&gt;0,1,0)</f>
        <v>0</v>
      </c>
      <c r="O602">
        <f>IF(COUNTIFS('United Data'!$A$3:$A$3390,O$1,'United Data'!$C$3:$C$3390,$A602)&gt;0,1,0)</f>
        <v>0</v>
      </c>
      <c r="P602">
        <f>IF(COUNTIFS('United Data'!$A$3:$A$3390,P$1,'United Data'!$C$3:$C$3390,$A602)&gt;0,1,0)</f>
        <v>0</v>
      </c>
      <c r="Q602">
        <f>IF(COUNTIFS('United Data'!$A$3:$A$3390,Q$1,'United Data'!$C$3:$C$3390,$A602)&gt;0,1,0)</f>
        <v>1</v>
      </c>
      <c r="R602">
        <f>IF(COUNTIFS('United Data'!$A$3:$A$3390,R$1,'United Data'!$C$3:$C$3390,$A602)&gt;0,1,0)</f>
        <v>0</v>
      </c>
      <c r="S602">
        <f t="shared" si="18"/>
        <v>1</v>
      </c>
      <c r="T602">
        <f t="shared" si="19"/>
        <v>1</v>
      </c>
    </row>
    <row r="603" spans="1:20" x14ac:dyDescent="0.2">
      <c r="A603" t="s">
        <v>722</v>
      </c>
      <c r="B603">
        <f>IF(COUNTIFS('United Data'!$A$3:$A$3390,B$1,'United Data'!$C$3:$C$3390,$A603)&gt;0,1,0)</f>
        <v>0</v>
      </c>
      <c r="C603">
        <f>IF(COUNTIFS('United Data'!$A$3:$A$3390,C$1,'United Data'!$C$3:$C$3390,$A603)&gt;0,1,0)</f>
        <v>0</v>
      </c>
      <c r="D603">
        <f>IF(COUNTIFS('United Data'!$A$3:$A$3390,D$1,'United Data'!$C$3:$C$3390,$A603)&gt;0,1,0)</f>
        <v>0</v>
      </c>
      <c r="E603">
        <f>IF(COUNTIFS('United Data'!$A$3:$A$3390,E$1,'United Data'!$C$3:$C$3390,$A603)&gt;0,1,0)</f>
        <v>0</v>
      </c>
      <c r="F603">
        <f>IF(COUNTIFS('United Data'!$A$3:$A$3390,F$1,'United Data'!$C$3:$C$3390,$A603)&gt;0,1,0)</f>
        <v>0</v>
      </c>
      <c r="G603">
        <f>IF(COUNTIFS('United Data'!$A$3:$A$3390,G$1,'United Data'!$C$3:$C$3390,$A603)&gt;0,1,0)</f>
        <v>0</v>
      </c>
      <c r="H603">
        <f>IF(COUNTIFS('United Data'!$A$3:$A$3390,H$1,'United Data'!$C$3:$C$3390,$A603)&gt;0,1,0)</f>
        <v>0</v>
      </c>
      <c r="I603">
        <f>IF(COUNTIFS('United Data'!$A$3:$A$3390,I$1,'United Data'!$C$3:$C$3390,$A603)&gt;0,1,0)</f>
        <v>0</v>
      </c>
      <c r="J603">
        <f>IF(COUNTIFS('United Data'!$A$3:$A$3390,J$1,'United Data'!$C$3:$C$3390,$A603)&gt;0,1,0)</f>
        <v>0</v>
      </c>
      <c r="K603">
        <f>IF(COUNTIFS('United Data'!$A$3:$A$3390,K$1,'United Data'!$C$3:$C$3390,$A603)&gt;0,1,0)</f>
        <v>0</v>
      </c>
      <c r="L603">
        <f>IF(COUNTIFS('United Data'!$A$3:$A$3390,L$1,'United Data'!$C$3:$C$3390,$A603)&gt;0,1,0)</f>
        <v>0</v>
      </c>
      <c r="M603">
        <f>IF(COUNTIFS('United Data'!$A$3:$A$3390,M$1,'United Data'!$C$3:$C$3390,$A603)&gt;0,1,0)</f>
        <v>0</v>
      </c>
      <c r="N603">
        <f>IF(COUNTIFS('United Data'!$A$3:$A$3390,N$1,'United Data'!$C$3:$C$3390,$A603)&gt;0,1,0)</f>
        <v>0</v>
      </c>
      <c r="O603">
        <f>IF(COUNTIFS('United Data'!$A$3:$A$3390,O$1,'United Data'!$C$3:$C$3390,$A603)&gt;0,1,0)</f>
        <v>0</v>
      </c>
      <c r="P603">
        <f>IF(COUNTIFS('United Data'!$A$3:$A$3390,P$1,'United Data'!$C$3:$C$3390,$A603)&gt;0,1,0)</f>
        <v>0</v>
      </c>
      <c r="Q603">
        <f>IF(COUNTIFS('United Data'!$A$3:$A$3390,Q$1,'United Data'!$C$3:$C$3390,$A603)&gt;0,1,0)</f>
        <v>0</v>
      </c>
      <c r="R603">
        <f>IF(COUNTIFS('United Data'!$A$3:$A$3390,R$1,'United Data'!$C$3:$C$3390,$A603)&gt;0,1,0)</f>
        <v>1</v>
      </c>
      <c r="S603">
        <f t="shared" si="18"/>
        <v>1</v>
      </c>
      <c r="T603">
        <f t="shared" si="19"/>
        <v>1</v>
      </c>
    </row>
    <row r="604" spans="1:20" x14ac:dyDescent="0.2">
      <c r="A604" t="s">
        <v>723</v>
      </c>
      <c r="B604">
        <f>IF(COUNTIFS('United Data'!$A$3:$A$3390,B$1,'United Data'!$C$3:$C$3390,$A604)&gt;0,1,0)</f>
        <v>0</v>
      </c>
      <c r="C604">
        <f>IF(COUNTIFS('United Data'!$A$3:$A$3390,C$1,'United Data'!$C$3:$C$3390,$A604)&gt;0,1,0)</f>
        <v>0</v>
      </c>
      <c r="D604">
        <f>IF(COUNTIFS('United Data'!$A$3:$A$3390,D$1,'United Data'!$C$3:$C$3390,$A604)&gt;0,1,0)</f>
        <v>0</v>
      </c>
      <c r="E604">
        <f>IF(COUNTIFS('United Data'!$A$3:$A$3390,E$1,'United Data'!$C$3:$C$3390,$A604)&gt;0,1,0)</f>
        <v>0</v>
      </c>
      <c r="F604">
        <f>IF(COUNTIFS('United Data'!$A$3:$A$3390,F$1,'United Data'!$C$3:$C$3390,$A604)&gt;0,1,0)</f>
        <v>0</v>
      </c>
      <c r="G604">
        <f>IF(COUNTIFS('United Data'!$A$3:$A$3390,G$1,'United Data'!$C$3:$C$3390,$A604)&gt;0,1,0)</f>
        <v>0</v>
      </c>
      <c r="H604">
        <f>IF(COUNTIFS('United Data'!$A$3:$A$3390,H$1,'United Data'!$C$3:$C$3390,$A604)&gt;0,1,0)</f>
        <v>0</v>
      </c>
      <c r="I604">
        <f>IF(COUNTIFS('United Data'!$A$3:$A$3390,I$1,'United Data'!$C$3:$C$3390,$A604)&gt;0,1,0)</f>
        <v>0</v>
      </c>
      <c r="J604">
        <f>IF(COUNTIFS('United Data'!$A$3:$A$3390,J$1,'United Data'!$C$3:$C$3390,$A604)&gt;0,1,0)</f>
        <v>0</v>
      </c>
      <c r="K604">
        <f>IF(COUNTIFS('United Data'!$A$3:$A$3390,K$1,'United Data'!$C$3:$C$3390,$A604)&gt;0,1,0)</f>
        <v>0</v>
      </c>
      <c r="L604">
        <f>IF(COUNTIFS('United Data'!$A$3:$A$3390,L$1,'United Data'!$C$3:$C$3390,$A604)&gt;0,1,0)</f>
        <v>0</v>
      </c>
      <c r="M604">
        <f>IF(COUNTIFS('United Data'!$A$3:$A$3390,M$1,'United Data'!$C$3:$C$3390,$A604)&gt;0,1,0)</f>
        <v>0</v>
      </c>
      <c r="N604">
        <f>IF(COUNTIFS('United Data'!$A$3:$A$3390,N$1,'United Data'!$C$3:$C$3390,$A604)&gt;0,1,0)</f>
        <v>0</v>
      </c>
      <c r="O604">
        <f>IF(COUNTIFS('United Data'!$A$3:$A$3390,O$1,'United Data'!$C$3:$C$3390,$A604)&gt;0,1,0)</f>
        <v>0</v>
      </c>
      <c r="P604">
        <f>IF(COUNTIFS('United Data'!$A$3:$A$3390,P$1,'United Data'!$C$3:$C$3390,$A604)&gt;0,1,0)</f>
        <v>0</v>
      </c>
      <c r="Q604">
        <f>IF(COUNTIFS('United Data'!$A$3:$A$3390,Q$1,'United Data'!$C$3:$C$3390,$A604)&gt;0,1,0)</f>
        <v>0</v>
      </c>
      <c r="R604">
        <f>IF(COUNTIFS('United Data'!$A$3:$A$3390,R$1,'United Data'!$C$3:$C$3390,$A604)&gt;0,1,0)</f>
        <v>1</v>
      </c>
      <c r="S604">
        <f t="shared" si="18"/>
        <v>1</v>
      </c>
      <c r="T604">
        <f t="shared" si="19"/>
        <v>1</v>
      </c>
    </row>
    <row r="605" spans="1:20" x14ac:dyDescent="0.2">
      <c r="A605" t="s">
        <v>724</v>
      </c>
      <c r="B605">
        <f>IF(COUNTIFS('United Data'!$A$3:$A$3390,B$1,'United Data'!$C$3:$C$3390,$A605)&gt;0,1,0)</f>
        <v>0</v>
      </c>
      <c r="C605">
        <f>IF(COUNTIFS('United Data'!$A$3:$A$3390,C$1,'United Data'!$C$3:$C$3390,$A605)&gt;0,1,0)</f>
        <v>0</v>
      </c>
      <c r="D605">
        <f>IF(COUNTIFS('United Data'!$A$3:$A$3390,D$1,'United Data'!$C$3:$C$3390,$A605)&gt;0,1,0)</f>
        <v>0</v>
      </c>
      <c r="E605">
        <f>IF(COUNTIFS('United Data'!$A$3:$A$3390,E$1,'United Data'!$C$3:$C$3390,$A605)&gt;0,1,0)</f>
        <v>0</v>
      </c>
      <c r="F605">
        <f>IF(COUNTIFS('United Data'!$A$3:$A$3390,F$1,'United Data'!$C$3:$C$3390,$A605)&gt;0,1,0)</f>
        <v>0</v>
      </c>
      <c r="G605">
        <f>IF(COUNTIFS('United Data'!$A$3:$A$3390,G$1,'United Data'!$C$3:$C$3390,$A605)&gt;0,1,0)</f>
        <v>0</v>
      </c>
      <c r="H605">
        <f>IF(COUNTIFS('United Data'!$A$3:$A$3390,H$1,'United Data'!$C$3:$C$3390,$A605)&gt;0,1,0)</f>
        <v>0</v>
      </c>
      <c r="I605">
        <f>IF(COUNTIFS('United Data'!$A$3:$A$3390,I$1,'United Data'!$C$3:$C$3390,$A605)&gt;0,1,0)</f>
        <v>0</v>
      </c>
      <c r="J605">
        <f>IF(COUNTIFS('United Data'!$A$3:$A$3390,J$1,'United Data'!$C$3:$C$3390,$A605)&gt;0,1,0)</f>
        <v>0</v>
      </c>
      <c r="K605">
        <f>IF(COUNTIFS('United Data'!$A$3:$A$3390,K$1,'United Data'!$C$3:$C$3390,$A605)&gt;0,1,0)</f>
        <v>0</v>
      </c>
      <c r="L605">
        <f>IF(COUNTIFS('United Data'!$A$3:$A$3390,L$1,'United Data'!$C$3:$C$3390,$A605)&gt;0,1,0)</f>
        <v>0</v>
      </c>
      <c r="M605">
        <f>IF(COUNTIFS('United Data'!$A$3:$A$3390,M$1,'United Data'!$C$3:$C$3390,$A605)&gt;0,1,0)</f>
        <v>0</v>
      </c>
      <c r="N605">
        <f>IF(COUNTIFS('United Data'!$A$3:$A$3390,N$1,'United Data'!$C$3:$C$3390,$A605)&gt;0,1,0)</f>
        <v>0</v>
      </c>
      <c r="O605">
        <f>IF(COUNTIFS('United Data'!$A$3:$A$3390,O$1,'United Data'!$C$3:$C$3390,$A605)&gt;0,1,0)</f>
        <v>0</v>
      </c>
      <c r="P605">
        <f>IF(COUNTIFS('United Data'!$A$3:$A$3390,P$1,'United Data'!$C$3:$C$3390,$A605)&gt;0,1,0)</f>
        <v>0</v>
      </c>
      <c r="Q605">
        <f>IF(COUNTIFS('United Data'!$A$3:$A$3390,Q$1,'United Data'!$C$3:$C$3390,$A605)&gt;0,1,0)</f>
        <v>0</v>
      </c>
      <c r="R605">
        <f>IF(COUNTIFS('United Data'!$A$3:$A$3390,R$1,'United Data'!$C$3:$C$3390,$A605)&gt;0,1,0)</f>
        <v>1</v>
      </c>
      <c r="S605">
        <f t="shared" si="18"/>
        <v>1</v>
      </c>
      <c r="T605">
        <f t="shared" si="19"/>
        <v>1</v>
      </c>
    </row>
    <row r="606" spans="1:20" x14ac:dyDescent="0.2">
      <c r="A606" t="s">
        <v>725</v>
      </c>
      <c r="B606">
        <f>IF(COUNTIFS('United Data'!$A$3:$A$3390,B$1,'United Data'!$C$3:$C$3390,$A606)&gt;0,1,0)</f>
        <v>0</v>
      </c>
      <c r="C606">
        <f>IF(COUNTIFS('United Data'!$A$3:$A$3390,C$1,'United Data'!$C$3:$C$3390,$A606)&gt;0,1,0)</f>
        <v>0</v>
      </c>
      <c r="D606">
        <f>IF(COUNTIFS('United Data'!$A$3:$A$3390,D$1,'United Data'!$C$3:$C$3390,$A606)&gt;0,1,0)</f>
        <v>0</v>
      </c>
      <c r="E606">
        <f>IF(COUNTIFS('United Data'!$A$3:$A$3390,E$1,'United Data'!$C$3:$C$3390,$A606)&gt;0,1,0)</f>
        <v>0</v>
      </c>
      <c r="F606">
        <f>IF(COUNTIFS('United Data'!$A$3:$A$3390,F$1,'United Data'!$C$3:$C$3390,$A606)&gt;0,1,0)</f>
        <v>0</v>
      </c>
      <c r="G606">
        <f>IF(COUNTIFS('United Data'!$A$3:$A$3390,G$1,'United Data'!$C$3:$C$3390,$A606)&gt;0,1,0)</f>
        <v>0</v>
      </c>
      <c r="H606">
        <f>IF(COUNTIFS('United Data'!$A$3:$A$3390,H$1,'United Data'!$C$3:$C$3390,$A606)&gt;0,1,0)</f>
        <v>0</v>
      </c>
      <c r="I606">
        <f>IF(COUNTIFS('United Data'!$A$3:$A$3390,I$1,'United Data'!$C$3:$C$3390,$A606)&gt;0,1,0)</f>
        <v>0</v>
      </c>
      <c r="J606">
        <f>IF(COUNTIFS('United Data'!$A$3:$A$3390,J$1,'United Data'!$C$3:$C$3390,$A606)&gt;0,1,0)</f>
        <v>0</v>
      </c>
      <c r="K606">
        <f>IF(COUNTIFS('United Data'!$A$3:$A$3390,K$1,'United Data'!$C$3:$C$3390,$A606)&gt;0,1,0)</f>
        <v>0</v>
      </c>
      <c r="L606">
        <f>IF(COUNTIFS('United Data'!$A$3:$A$3390,L$1,'United Data'!$C$3:$C$3390,$A606)&gt;0,1,0)</f>
        <v>0</v>
      </c>
      <c r="M606">
        <f>IF(COUNTIFS('United Data'!$A$3:$A$3390,M$1,'United Data'!$C$3:$C$3390,$A606)&gt;0,1,0)</f>
        <v>0</v>
      </c>
      <c r="N606">
        <f>IF(COUNTIFS('United Data'!$A$3:$A$3390,N$1,'United Data'!$C$3:$C$3390,$A606)&gt;0,1,0)</f>
        <v>0</v>
      </c>
      <c r="O606">
        <f>IF(COUNTIFS('United Data'!$A$3:$A$3390,O$1,'United Data'!$C$3:$C$3390,$A606)&gt;0,1,0)</f>
        <v>0</v>
      </c>
      <c r="P606">
        <f>IF(COUNTIFS('United Data'!$A$3:$A$3390,P$1,'United Data'!$C$3:$C$3390,$A606)&gt;0,1,0)</f>
        <v>0</v>
      </c>
      <c r="Q606">
        <f>IF(COUNTIFS('United Data'!$A$3:$A$3390,Q$1,'United Data'!$C$3:$C$3390,$A606)&gt;0,1,0)</f>
        <v>0</v>
      </c>
      <c r="R606">
        <f>IF(COUNTIFS('United Data'!$A$3:$A$3390,R$1,'United Data'!$C$3:$C$3390,$A606)&gt;0,1,0)</f>
        <v>1</v>
      </c>
      <c r="S606">
        <f t="shared" si="18"/>
        <v>1</v>
      </c>
      <c r="T606">
        <f t="shared" si="19"/>
        <v>1</v>
      </c>
    </row>
    <row r="607" spans="1:20" x14ac:dyDescent="0.2">
      <c r="A607" t="s">
        <v>726</v>
      </c>
      <c r="B607">
        <f>IF(COUNTIFS('United Data'!$A$3:$A$3390,B$1,'United Data'!$C$3:$C$3390,$A607)&gt;0,1,0)</f>
        <v>0</v>
      </c>
      <c r="C607">
        <f>IF(COUNTIFS('United Data'!$A$3:$A$3390,C$1,'United Data'!$C$3:$C$3390,$A607)&gt;0,1,0)</f>
        <v>0</v>
      </c>
      <c r="D607">
        <f>IF(COUNTIFS('United Data'!$A$3:$A$3390,D$1,'United Data'!$C$3:$C$3390,$A607)&gt;0,1,0)</f>
        <v>0</v>
      </c>
      <c r="E607">
        <f>IF(COUNTIFS('United Data'!$A$3:$A$3390,E$1,'United Data'!$C$3:$C$3390,$A607)&gt;0,1,0)</f>
        <v>0</v>
      </c>
      <c r="F607">
        <f>IF(COUNTIFS('United Data'!$A$3:$A$3390,F$1,'United Data'!$C$3:$C$3390,$A607)&gt;0,1,0)</f>
        <v>0</v>
      </c>
      <c r="G607">
        <f>IF(COUNTIFS('United Data'!$A$3:$A$3390,G$1,'United Data'!$C$3:$C$3390,$A607)&gt;0,1,0)</f>
        <v>0</v>
      </c>
      <c r="H607">
        <f>IF(COUNTIFS('United Data'!$A$3:$A$3390,H$1,'United Data'!$C$3:$C$3390,$A607)&gt;0,1,0)</f>
        <v>0</v>
      </c>
      <c r="I607">
        <f>IF(COUNTIFS('United Data'!$A$3:$A$3390,I$1,'United Data'!$C$3:$C$3390,$A607)&gt;0,1,0)</f>
        <v>0</v>
      </c>
      <c r="J607">
        <f>IF(COUNTIFS('United Data'!$A$3:$A$3390,J$1,'United Data'!$C$3:$C$3390,$A607)&gt;0,1,0)</f>
        <v>0</v>
      </c>
      <c r="K607">
        <f>IF(COUNTIFS('United Data'!$A$3:$A$3390,K$1,'United Data'!$C$3:$C$3390,$A607)&gt;0,1,0)</f>
        <v>0</v>
      </c>
      <c r="L607">
        <f>IF(COUNTIFS('United Data'!$A$3:$A$3390,L$1,'United Data'!$C$3:$C$3390,$A607)&gt;0,1,0)</f>
        <v>0</v>
      </c>
      <c r="M607">
        <f>IF(COUNTIFS('United Data'!$A$3:$A$3390,M$1,'United Data'!$C$3:$C$3390,$A607)&gt;0,1,0)</f>
        <v>0</v>
      </c>
      <c r="N607">
        <f>IF(COUNTIFS('United Data'!$A$3:$A$3390,N$1,'United Data'!$C$3:$C$3390,$A607)&gt;0,1,0)</f>
        <v>0</v>
      </c>
      <c r="O607">
        <f>IF(COUNTIFS('United Data'!$A$3:$A$3390,O$1,'United Data'!$C$3:$C$3390,$A607)&gt;0,1,0)</f>
        <v>0</v>
      </c>
      <c r="P607">
        <f>IF(COUNTIFS('United Data'!$A$3:$A$3390,P$1,'United Data'!$C$3:$C$3390,$A607)&gt;0,1,0)</f>
        <v>0</v>
      </c>
      <c r="Q607">
        <f>IF(COUNTIFS('United Data'!$A$3:$A$3390,Q$1,'United Data'!$C$3:$C$3390,$A607)&gt;0,1,0)</f>
        <v>1</v>
      </c>
      <c r="R607">
        <f>IF(COUNTIFS('United Data'!$A$3:$A$3390,R$1,'United Data'!$C$3:$C$3390,$A607)&gt;0,1,0)</f>
        <v>1</v>
      </c>
      <c r="S607">
        <f t="shared" si="18"/>
        <v>2</v>
      </c>
      <c r="T607">
        <f t="shared" si="19"/>
        <v>1</v>
      </c>
    </row>
    <row r="608" spans="1:20" x14ac:dyDescent="0.2">
      <c r="A608" t="s">
        <v>727</v>
      </c>
      <c r="B608">
        <f>IF(COUNTIFS('United Data'!$A$3:$A$3390,B$1,'United Data'!$C$3:$C$3390,$A608)&gt;0,1,0)</f>
        <v>0</v>
      </c>
      <c r="C608">
        <f>IF(COUNTIFS('United Data'!$A$3:$A$3390,C$1,'United Data'!$C$3:$C$3390,$A608)&gt;0,1,0)</f>
        <v>0</v>
      </c>
      <c r="D608">
        <f>IF(COUNTIFS('United Data'!$A$3:$A$3390,D$1,'United Data'!$C$3:$C$3390,$A608)&gt;0,1,0)</f>
        <v>0</v>
      </c>
      <c r="E608">
        <f>IF(COUNTIFS('United Data'!$A$3:$A$3390,E$1,'United Data'!$C$3:$C$3390,$A608)&gt;0,1,0)</f>
        <v>0</v>
      </c>
      <c r="F608">
        <f>IF(COUNTIFS('United Data'!$A$3:$A$3390,F$1,'United Data'!$C$3:$C$3390,$A608)&gt;0,1,0)</f>
        <v>0</v>
      </c>
      <c r="G608">
        <f>IF(COUNTIFS('United Data'!$A$3:$A$3390,G$1,'United Data'!$C$3:$C$3390,$A608)&gt;0,1,0)</f>
        <v>0</v>
      </c>
      <c r="H608">
        <f>IF(COUNTIFS('United Data'!$A$3:$A$3390,H$1,'United Data'!$C$3:$C$3390,$A608)&gt;0,1,0)</f>
        <v>0</v>
      </c>
      <c r="I608">
        <f>IF(COUNTIFS('United Data'!$A$3:$A$3390,I$1,'United Data'!$C$3:$C$3390,$A608)&gt;0,1,0)</f>
        <v>0</v>
      </c>
      <c r="J608">
        <f>IF(COUNTIFS('United Data'!$A$3:$A$3390,J$1,'United Data'!$C$3:$C$3390,$A608)&gt;0,1,0)</f>
        <v>0</v>
      </c>
      <c r="K608">
        <f>IF(COUNTIFS('United Data'!$A$3:$A$3390,K$1,'United Data'!$C$3:$C$3390,$A608)&gt;0,1,0)</f>
        <v>0</v>
      </c>
      <c r="L608">
        <f>IF(COUNTIFS('United Data'!$A$3:$A$3390,L$1,'United Data'!$C$3:$C$3390,$A608)&gt;0,1,0)</f>
        <v>0</v>
      </c>
      <c r="M608">
        <f>IF(COUNTIFS('United Data'!$A$3:$A$3390,M$1,'United Data'!$C$3:$C$3390,$A608)&gt;0,1,0)</f>
        <v>0</v>
      </c>
      <c r="N608">
        <f>IF(COUNTIFS('United Data'!$A$3:$A$3390,N$1,'United Data'!$C$3:$C$3390,$A608)&gt;0,1,0)</f>
        <v>0</v>
      </c>
      <c r="O608">
        <f>IF(COUNTIFS('United Data'!$A$3:$A$3390,O$1,'United Data'!$C$3:$C$3390,$A608)&gt;0,1,0)</f>
        <v>0</v>
      </c>
      <c r="P608">
        <f>IF(COUNTIFS('United Data'!$A$3:$A$3390,P$1,'United Data'!$C$3:$C$3390,$A608)&gt;0,1,0)</f>
        <v>0</v>
      </c>
      <c r="Q608">
        <f>IF(COUNTIFS('United Data'!$A$3:$A$3390,Q$1,'United Data'!$C$3:$C$3390,$A608)&gt;0,1,0)</f>
        <v>0</v>
      </c>
      <c r="R608">
        <f>IF(COUNTIFS('United Data'!$A$3:$A$3390,R$1,'United Data'!$C$3:$C$3390,$A608)&gt;0,1,0)</f>
        <v>1</v>
      </c>
      <c r="S608">
        <f t="shared" si="18"/>
        <v>1</v>
      </c>
      <c r="T608">
        <f t="shared" si="19"/>
        <v>1</v>
      </c>
    </row>
    <row r="609" spans="1:20" x14ac:dyDescent="0.2">
      <c r="A609" t="s">
        <v>728</v>
      </c>
      <c r="B609">
        <f>IF(COUNTIFS('United Data'!$A$3:$A$3390,B$1,'United Data'!$C$3:$C$3390,$A609)&gt;0,1,0)</f>
        <v>0</v>
      </c>
      <c r="C609">
        <f>IF(COUNTIFS('United Data'!$A$3:$A$3390,C$1,'United Data'!$C$3:$C$3390,$A609)&gt;0,1,0)</f>
        <v>0</v>
      </c>
      <c r="D609">
        <f>IF(COUNTIFS('United Data'!$A$3:$A$3390,D$1,'United Data'!$C$3:$C$3390,$A609)&gt;0,1,0)</f>
        <v>0</v>
      </c>
      <c r="E609">
        <f>IF(COUNTIFS('United Data'!$A$3:$A$3390,E$1,'United Data'!$C$3:$C$3390,$A609)&gt;0,1,0)</f>
        <v>0</v>
      </c>
      <c r="F609">
        <f>IF(COUNTIFS('United Data'!$A$3:$A$3390,F$1,'United Data'!$C$3:$C$3390,$A609)&gt;0,1,0)</f>
        <v>0</v>
      </c>
      <c r="G609">
        <f>IF(COUNTIFS('United Data'!$A$3:$A$3390,G$1,'United Data'!$C$3:$C$3390,$A609)&gt;0,1,0)</f>
        <v>0</v>
      </c>
      <c r="H609">
        <f>IF(COUNTIFS('United Data'!$A$3:$A$3390,H$1,'United Data'!$C$3:$C$3390,$A609)&gt;0,1,0)</f>
        <v>0</v>
      </c>
      <c r="I609">
        <f>IF(COUNTIFS('United Data'!$A$3:$A$3390,I$1,'United Data'!$C$3:$C$3390,$A609)&gt;0,1,0)</f>
        <v>0</v>
      </c>
      <c r="J609">
        <f>IF(COUNTIFS('United Data'!$A$3:$A$3390,J$1,'United Data'!$C$3:$C$3390,$A609)&gt;0,1,0)</f>
        <v>0</v>
      </c>
      <c r="K609">
        <f>IF(COUNTIFS('United Data'!$A$3:$A$3390,K$1,'United Data'!$C$3:$C$3390,$A609)&gt;0,1,0)</f>
        <v>0</v>
      </c>
      <c r="L609">
        <f>IF(COUNTIFS('United Data'!$A$3:$A$3390,L$1,'United Data'!$C$3:$C$3390,$A609)&gt;0,1,0)</f>
        <v>0</v>
      </c>
      <c r="M609">
        <f>IF(COUNTIFS('United Data'!$A$3:$A$3390,M$1,'United Data'!$C$3:$C$3390,$A609)&gt;0,1,0)</f>
        <v>0</v>
      </c>
      <c r="N609">
        <f>IF(COUNTIFS('United Data'!$A$3:$A$3390,N$1,'United Data'!$C$3:$C$3390,$A609)&gt;0,1,0)</f>
        <v>0</v>
      </c>
      <c r="O609">
        <f>IF(COUNTIFS('United Data'!$A$3:$A$3390,O$1,'United Data'!$C$3:$C$3390,$A609)&gt;0,1,0)</f>
        <v>0</v>
      </c>
      <c r="P609">
        <f>IF(COUNTIFS('United Data'!$A$3:$A$3390,P$1,'United Data'!$C$3:$C$3390,$A609)&gt;0,1,0)</f>
        <v>0</v>
      </c>
      <c r="Q609">
        <f>IF(COUNTIFS('United Data'!$A$3:$A$3390,Q$1,'United Data'!$C$3:$C$3390,$A609)&gt;0,1,0)</f>
        <v>0</v>
      </c>
      <c r="R609">
        <f>IF(COUNTIFS('United Data'!$A$3:$A$3390,R$1,'United Data'!$C$3:$C$3390,$A609)&gt;0,1,0)</f>
        <v>1</v>
      </c>
      <c r="S609">
        <f t="shared" si="18"/>
        <v>1</v>
      </c>
      <c r="T609">
        <f t="shared" si="19"/>
        <v>1</v>
      </c>
    </row>
    <row r="610" spans="1:20" x14ac:dyDescent="0.2">
      <c r="A610" t="s">
        <v>729</v>
      </c>
      <c r="B610">
        <f>IF(COUNTIFS('United Data'!$A$3:$A$3390,B$1,'United Data'!$C$3:$C$3390,$A610)&gt;0,1,0)</f>
        <v>0</v>
      </c>
      <c r="C610">
        <f>IF(COUNTIFS('United Data'!$A$3:$A$3390,C$1,'United Data'!$C$3:$C$3390,$A610)&gt;0,1,0)</f>
        <v>0</v>
      </c>
      <c r="D610">
        <f>IF(COUNTIFS('United Data'!$A$3:$A$3390,D$1,'United Data'!$C$3:$C$3390,$A610)&gt;0,1,0)</f>
        <v>0</v>
      </c>
      <c r="E610">
        <f>IF(COUNTIFS('United Data'!$A$3:$A$3390,E$1,'United Data'!$C$3:$C$3390,$A610)&gt;0,1,0)</f>
        <v>0</v>
      </c>
      <c r="F610">
        <f>IF(COUNTIFS('United Data'!$A$3:$A$3390,F$1,'United Data'!$C$3:$C$3390,$A610)&gt;0,1,0)</f>
        <v>0</v>
      </c>
      <c r="G610">
        <f>IF(COUNTIFS('United Data'!$A$3:$A$3390,G$1,'United Data'!$C$3:$C$3390,$A610)&gt;0,1,0)</f>
        <v>0</v>
      </c>
      <c r="H610">
        <f>IF(COUNTIFS('United Data'!$A$3:$A$3390,H$1,'United Data'!$C$3:$C$3390,$A610)&gt;0,1,0)</f>
        <v>0</v>
      </c>
      <c r="I610">
        <f>IF(COUNTIFS('United Data'!$A$3:$A$3390,I$1,'United Data'!$C$3:$C$3390,$A610)&gt;0,1,0)</f>
        <v>0</v>
      </c>
      <c r="J610">
        <f>IF(COUNTIFS('United Data'!$A$3:$A$3390,J$1,'United Data'!$C$3:$C$3390,$A610)&gt;0,1,0)</f>
        <v>0</v>
      </c>
      <c r="K610">
        <f>IF(COUNTIFS('United Data'!$A$3:$A$3390,K$1,'United Data'!$C$3:$C$3390,$A610)&gt;0,1,0)</f>
        <v>0</v>
      </c>
      <c r="L610">
        <f>IF(COUNTIFS('United Data'!$A$3:$A$3390,L$1,'United Data'!$C$3:$C$3390,$A610)&gt;0,1,0)</f>
        <v>0</v>
      </c>
      <c r="M610">
        <f>IF(COUNTIFS('United Data'!$A$3:$A$3390,M$1,'United Data'!$C$3:$C$3390,$A610)&gt;0,1,0)</f>
        <v>0</v>
      </c>
      <c r="N610">
        <f>IF(COUNTIFS('United Data'!$A$3:$A$3390,N$1,'United Data'!$C$3:$C$3390,$A610)&gt;0,1,0)</f>
        <v>0</v>
      </c>
      <c r="O610">
        <f>IF(COUNTIFS('United Data'!$A$3:$A$3390,O$1,'United Data'!$C$3:$C$3390,$A610)&gt;0,1,0)</f>
        <v>0</v>
      </c>
      <c r="P610">
        <f>IF(COUNTIFS('United Data'!$A$3:$A$3390,P$1,'United Data'!$C$3:$C$3390,$A610)&gt;0,1,0)</f>
        <v>0</v>
      </c>
      <c r="Q610">
        <f>IF(COUNTIFS('United Data'!$A$3:$A$3390,Q$1,'United Data'!$C$3:$C$3390,$A610)&gt;0,1,0)</f>
        <v>1</v>
      </c>
      <c r="R610">
        <f>IF(COUNTIFS('United Data'!$A$3:$A$3390,R$1,'United Data'!$C$3:$C$3390,$A610)&gt;0,1,0)</f>
        <v>1</v>
      </c>
      <c r="S610">
        <f t="shared" si="18"/>
        <v>2</v>
      </c>
      <c r="T610">
        <f t="shared" si="19"/>
        <v>1</v>
      </c>
    </row>
    <row r="611" spans="1:20" x14ac:dyDescent="0.2">
      <c r="A611" t="s">
        <v>730</v>
      </c>
      <c r="B611">
        <f>IF(COUNTIFS('United Data'!$A$3:$A$3390,B$1,'United Data'!$C$3:$C$3390,$A611)&gt;0,1,0)</f>
        <v>0</v>
      </c>
      <c r="C611">
        <f>IF(COUNTIFS('United Data'!$A$3:$A$3390,C$1,'United Data'!$C$3:$C$3390,$A611)&gt;0,1,0)</f>
        <v>0</v>
      </c>
      <c r="D611">
        <f>IF(COUNTIFS('United Data'!$A$3:$A$3390,D$1,'United Data'!$C$3:$C$3390,$A611)&gt;0,1,0)</f>
        <v>0</v>
      </c>
      <c r="E611">
        <f>IF(COUNTIFS('United Data'!$A$3:$A$3390,E$1,'United Data'!$C$3:$C$3390,$A611)&gt;0,1,0)</f>
        <v>0</v>
      </c>
      <c r="F611">
        <f>IF(COUNTIFS('United Data'!$A$3:$A$3390,F$1,'United Data'!$C$3:$C$3390,$A611)&gt;0,1,0)</f>
        <v>0</v>
      </c>
      <c r="G611">
        <f>IF(COUNTIFS('United Data'!$A$3:$A$3390,G$1,'United Data'!$C$3:$C$3390,$A611)&gt;0,1,0)</f>
        <v>0</v>
      </c>
      <c r="H611">
        <f>IF(COUNTIFS('United Data'!$A$3:$A$3390,H$1,'United Data'!$C$3:$C$3390,$A611)&gt;0,1,0)</f>
        <v>0</v>
      </c>
      <c r="I611">
        <f>IF(COUNTIFS('United Data'!$A$3:$A$3390,I$1,'United Data'!$C$3:$C$3390,$A611)&gt;0,1,0)</f>
        <v>0</v>
      </c>
      <c r="J611">
        <f>IF(COUNTIFS('United Data'!$A$3:$A$3390,J$1,'United Data'!$C$3:$C$3390,$A611)&gt;0,1,0)</f>
        <v>0</v>
      </c>
      <c r="K611">
        <f>IF(COUNTIFS('United Data'!$A$3:$A$3390,K$1,'United Data'!$C$3:$C$3390,$A611)&gt;0,1,0)</f>
        <v>0</v>
      </c>
      <c r="L611">
        <f>IF(COUNTIFS('United Data'!$A$3:$A$3390,L$1,'United Data'!$C$3:$C$3390,$A611)&gt;0,1,0)</f>
        <v>0</v>
      </c>
      <c r="M611">
        <f>IF(COUNTIFS('United Data'!$A$3:$A$3390,M$1,'United Data'!$C$3:$C$3390,$A611)&gt;0,1,0)</f>
        <v>0</v>
      </c>
      <c r="N611">
        <f>IF(COUNTIFS('United Data'!$A$3:$A$3390,N$1,'United Data'!$C$3:$C$3390,$A611)&gt;0,1,0)</f>
        <v>0</v>
      </c>
      <c r="O611">
        <f>IF(COUNTIFS('United Data'!$A$3:$A$3390,O$1,'United Data'!$C$3:$C$3390,$A611)&gt;0,1,0)</f>
        <v>0</v>
      </c>
      <c r="P611">
        <f>IF(COUNTIFS('United Data'!$A$3:$A$3390,P$1,'United Data'!$C$3:$C$3390,$A611)&gt;0,1,0)</f>
        <v>0</v>
      </c>
      <c r="Q611">
        <f>IF(COUNTIFS('United Data'!$A$3:$A$3390,Q$1,'United Data'!$C$3:$C$3390,$A611)&gt;0,1,0)</f>
        <v>0</v>
      </c>
      <c r="R611">
        <f>IF(COUNTIFS('United Data'!$A$3:$A$3390,R$1,'United Data'!$C$3:$C$3390,$A611)&gt;0,1,0)</f>
        <v>1</v>
      </c>
      <c r="S611">
        <f t="shared" si="18"/>
        <v>1</v>
      </c>
      <c r="T611">
        <f t="shared" si="19"/>
        <v>1</v>
      </c>
    </row>
    <row r="612" spans="1:20" x14ac:dyDescent="0.2">
      <c r="A612" t="s">
        <v>731</v>
      </c>
      <c r="B612">
        <f>IF(COUNTIFS('United Data'!$A$3:$A$3390,B$1,'United Data'!$C$3:$C$3390,$A612)&gt;0,1,0)</f>
        <v>0</v>
      </c>
      <c r="C612">
        <f>IF(COUNTIFS('United Data'!$A$3:$A$3390,C$1,'United Data'!$C$3:$C$3390,$A612)&gt;0,1,0)</f>
        <v>0</v>
      </c>
      <c r="D612">
        <f>IF(COUNTIFS('United Data'!$A$3:$A$3390,D$1,'United Data'!$C$3:$C$3390,$A612)&gt;0,1,0)</f>
        <v>1</v>
      </c>
      <c r="E612">
        <f>IF(COUNTIFS('United Data'!$A$3:$A$3390,E$1,'United Data'!$C$3:$C$3390,$A612)&gt;0,1,0)</f>
        <v>0</v>
      </c>
      <c r="F612">
        <f>IF(COUNTIFS('United Data'!$A$3:$A$3390,F$1,'United Data'!$C$3:$C$3390,$A612)&gt;0,1,0)</f>
        <v>0</v>
      </c>
      <c r="G612">
        <f>IF(COUNTIFS('United Data'!$A$3:$A$3390,G$1,'United Data'!$C$3:$C$3390,$A612)&gt;0,1,0)</f>
        <v>0</v>
      </c>
      <c r="H612">
        <f>IF(COUNTIFS('United Data'!$A$3:$A$3390,H$1,'United Data'!$C$3:$C$3390,$A612)&gt;0,1,0)</f>
        <v>0</v>
      </c>
      <c r="I612">
        <f>IF(COUNTIFS('United Data'!$A$3:$A$3390,I$1,'United Data'!$C$3:$C$3390,$A612)&gt;0,1,0)</f>
        <v>1</v>
      </c>
      <c r="J612">
        <f>IF(COUNTIFS('United Data'!$A$3:$A$3390,J$1,'United Data'!$C$3:$C$3390,$A612)&gt;0,1,0)</f>
        <v>1</v>
      </c>
      <c r="K612">
        <f>IF(COUNTIFS('United Data'!$A$3:$A$3390,K$1,'United Data'!$C$3:$C$3390,$A612)&gt;0,1,0)</f>
        <v>0</v>
      </c>
      <c r="L612">
        <f>IF(COUNTIFS('United Data'!$A$3:$A$3390,L$1,'United Data'!$C$3:$C$3390,$A612)&gt;0,1,0)</f>
        <v>0</v>
      </c>
      <c r="M612">
        <f>IF(COUNTIFS('United Data'!$A$3:$A$3390,M$1,'United Data'!$C$3:$C$3390,$A612)&gt;0,1,0)</f>
        <v>1</v>
      </c>
      <c r="N612">
        <f>IF(COUNTIFS('United Data'!$A$3:$A$3390,N$1,'United Data'!$C$3:$C$3390,$A612)&gt;0,1,0)</f>
        <v>0</v>
      </c>
      <c r="O612">
        <f>IF(COUNTIFS('United Data'!$A$3:$A$3390,O$1,'United Data'!$C$3:$C$3390,$A612)&gt;0,1,0)</f>
        <v>0</v>
      </c>
      <c r="P612">
        <f>IF(COUNTIFS('United Data'!$A$3:$A$3390,P$1,'United Data'!$C$3:$C$3390,$A612)&gt;0,1,0)</f>
        <v>0</v>
      </c>
      <c r="Q612">
        <f>IF(COUNTIFS('United Data'!$A$3:$A$3390,Q$1,'United Data'!$C$3:$C$3390,$A612)&gt;0,1,0)</f>
        <v>0</v>
      </c>
      <c r="R612">
        <f>IF(COUNTIFS('United Data'!$A$3:$A$3390,R$1,'United Data'!$C$3:$C$3390,$A612)&gt;0,1,0)</f>
        <v>1</v>
      </c>
      <c r="S612">
        <f t="shared" si="18"/>
        <v>5</v>
      </c>
      <c r="T612">
        <f t="shared" si="19"/>
        <v>4</v>
      </c>
    </row>
    <row r="613" spans="1:20" x14ac:dyDescent="0.2">
      <c r="A613" t="s">
        <v>732</v>
      </c>
      <c r="B613">
        <f>IF(COUNTIFS('United Data'!$A$3:$A$3390,B$1,'United Data'!$C$3:$C$3390,$A613)&gt;0,1,0)</f>
        <v>1</v>
      </c>
      <c r="C613">
        <f>IF(COUNTIFS('United Data'!$A$3:$A$3390,C$1,'United Data'!$C$3:$C$3390,$A613)&gt;0,1,0)</f>
        <v>0</v>
      </c>
      <c r="D613">
        <f>IF(COUNTIFS('United Data'!$A$3:$A$3390,D$1,'United Data'!$C$3:$C$3390,$A613)&gt;0,1,0)</f>
        <v>0</v>
      </c>
      <c r="E613">
        <f>IF(COUNTIFS('United Data'!$A$3:$A$3390,E$1,'United Data'!$C$3:$C$3390,$A613)&gt;0,1,0)</f>
        <v>0</v>
      </c>
      <c r="F613">
        <f>IF(COUNTIFS('United Data'!$A$3:$A$3390,F$1,'United Data'!$C$3:$C$3390,$A613)&gt;0,1,0)</f>
        <v>0</v>
      </c>
      <c r="G613">
        <f>IF(COUNTIFS('United Data'!$A$3:$A$3390,G$1,'United Data'!$C$3:$C$3390,$A613)&gt;0,1,0)</f>
        <v>0</v>
      </c>
      <c r="H613">
        <f>IF(COUNTIFS('United Data'!$A$3:$A$3390,H$1,'United Data'!$C$3:$C$3390,$A613)&gt;0,1,0)</f>
        <v>0</v>
      </c>
      <c r="I613">
        <f>IF(COUNTIFS('United Data'!$A$3:$A$3390,I$1,'United Data'!$C$3:$C$3390,$A613)&gt;0,1,0)</f>
        <v>0</v>
      </c>
      <c r="J613">
        <f>IF(COUNTIFS('United Data'!$A$3:$A$3390,J$1,'United Data'!$C$3:$C$3390,$A613)&gt;0,1,0)</f>
        <v>0</v>
      </c>
      <c r="K613">
        <f>IF(COUNTIFS('United Data'!$A$3:$A$3390,K$1,'United Data'!$C$3:$C$3390,$A613)&gt;0,1,0)</f>
        <v>0</v>
      </c>
      <c r="L613">
        <f>IF(COUNTIFS('United Data'!$A$3:$A$3390,L$1,'United Data'!$C$3:$C$3390,$A613)&gt;0,1,0)</f>
        <v>0</v>
      </c>
      <c r="M613">
        <f>IF(COUNTIFS('United Data'!$A$3:$A$3390,M$1,'United Data'!$C$3:$C$3390,$A613)&gt;0,1,0)</f>
        <v>0</v>
      </c>
      <c r="N613">
        <f>IF(COUNTIFS('United Data'!$A$3:$A$3390,N$1,'United Data'!$C$3:$C$3390,$A613)&gt;0,1,0)</f>
        <v>0</v>
      </c>
      <c r="O613">
        <f>IF(COUNTIFS('United Data'!$A$3:$A$3390,O$1,'United Data'!$C$3:$C$3390,$A613)&gt;0,1,0)</f>
        <v>0</v>
      </c>
      <c r="P613">
        <f>IF(COUNTIFS('United Data'!$A$3:$A$3390,P$1,'United Data'!$C$3:$C$3390,$A613)&gt;0,1,0)</f>
        <v>0</v>
      </c>
      <c r="Q613">
        <f>IF(COUNTIFS('United Data'!$A$3:$A$3390,Q$1,'United Data'!$C$3:$C$3390,$A613)&gt;0,1,0)</f>
        <v>0</v>
      </c>
      <c r="R613">
        <f>IF(COUNTIFS('United Data'!$A$3:$A$3390,R$1,'United Data'!$C$3:$C$3390,$A613)&gt;0,1,0)</f>
        <v>0</v>
      </c>
      <c r="S613">
        <f t="shared" si="18"/>
        <v>1</v>
      </c>
      <c r="T613">
        <f t="shared" si="19"/>
        <v>1</v>
      </c>
    </row>
    <row r="614" spans="1:20" x14ac:dyDescent="0.2">
      <c r="A614" t="s">
        <v>733</v>
      </c>
      <c r="B614">
        <f>IF(COUNTIFS('United Data'!$A$3:$A$3390,B$1,'United Data'!$C$3:$C$3390,$A614)&gt;0,1,0)</f>
        <v>1</v>
      </c>
      <c r="C614">
        <f>IF(COUNTIFS('United Data'!$A$3:$A$3390,C$1,'United Data'!$C$3:$C$3390,$A614)&gt;0,1,0)</f>
        <v>0</v>
      </c>
      <c r="D614">
        <f>IF(COUNTIFS('United Data'!$A$3:$A$3390,D$1,'United Data'!$C$3:$C$3390,$A614)&gt;0,1,0)</f>
        <v>0</v>
      </c>
      <c r="E614">
        <f>IF(COUNTIFS('United Data'!$A$3:$A$3390,E$1,'United Data'!$C$3:$C$3390,$A614)&gt;0,1,0)</f>
        <v>0</v>
      </c>
      <c r="F614">
        <f>IF(COUNTIFS('United Data'!$A$3:$A$3390,F$1,'United Data'!$C$3:$C$3390,$A614)&gt;0,1,0)</f>
        <v>0</v>
      </c>
      <c r="G614">
        <f>IF(COUNTIFS('United Data'!$A$3:$A$3390,G$1,'United Data'!$C$3:$C$3390,$A614)&gt;0,1,0)</f>
        <v>0</v>
      </c>
      <c r="H614">
        <f>IF(COUNTIFS('United Data'!$A$3:$A$3390,H$1,'United Data'!$C$3:$C$3390,$A614)&gt;0,1,0)</f>
        <v>0</v>
      </c>
      <c r="I614">
        <f>IF(COUNTIFS('United Data'!$A$3:$A$3390,I$1,'United Data'!$C$3:$C$3390,$A614)&gt;0,1,0)</f>
        <v>0</v>
      </c>
      <c r="J614">
        <f>IF(COUNTIFS('United Data'!$A$3:$A$3390,J$1,'United Data'!$C$3:$C$3390,$A614)&gt;0,1,0)</f>
        <v>0</v>
      </c>
      <c r="K614">
        <f>IF(COUNTIFS('United Data'!$A$3:$A$3390,K$1,'United Data'!$C$3:$C$3390,$A614)&gt;0,1,0)</f>
        <v>0</v>
      </c>
      <c r="L614">
        <f>IF(COUNTIFS('United Data'!$A$3:$A$3390,L$1,'United Data'!$C$3:$C$3390,$A614)&gt;0,1,0)</f>
        <v>0</v>
      </c>
      <c r="M614">
        <f>IF(COUNTIFS('United Data'!$A$3:$A$3390,M$1,'United Data'!$C$3:$C$3390,$A614)&gt;0,1,0)</f>
        <v>0</v>
      </c>
      <c r="N614">
        <f>IF(COUNTIFS('United Data'!$A$3:$A$3390,N$1,'United Data'!$C$3:$C$3390,$A614)&gt;0,1,0)</f>
        <v>0</v>
      </c>
      <c r="O614">
        <f>IF(COUNTIFS('United Data'!$A$3:$A$3390,O$1,'United Data'!$C$3:$C$3390,$A614)&gt;0,1,0)</f>
        <v>0</v>
      </c>
      <c r="P614">
        <f>IF(COUNTIFS('United Data'!$A$3:$A$3390,P$1,'United Data'!$C$3:$C$3390,$A614)&gt;0,1,0)</f>
        <v>0</v>
      </c>
      <c r="Q614">
        <f>IF(COUNTIFS('United Data'!$A$3:$A$3390,Q$1,'United Data'!$C$3:$C$3390,$A614)&gt;0,1,0)</f>
        <v>0</v>
      </c>
      <c r="R614">
        <f>IF(COUNTIFS('United Data'!$A$3:$A$3390,R$1,'United Data'!$C$3:$C$3390,$A614)&gt;0,1,0)</f>
        <v>0</v>
      </c>
      <c r="S614">
        <f t="shared" si="18"/>
        <v>1</v>
      </c>
      <c r="T614">
        <f t="shared" si="19"/>
        <v>1</v>
      </c>
    </row>
    <row r="615" spans="1:20" x14ac:dyDescent="0.2">
      <c r="A615" t="s">
        <v>734</v>
      </c>
      <c r="B615">
        <f>IF(COUNTIFS('United Data'!$A$3:$A$3390,B$1,'United Data'!$C$3:$C$3390,$A615)&gt;0,1,0)</f>
        <v>1</v>
      </c>
      <c r="C615">
        <f>IF(COUNTIFS('United Data'!$A$3:$A$3390,C$1,'United Data'!$C$3:$C$3390,$A615)&gt;0,1,0)</f>
        <v>1</v>
      </c>
      <c r="D615">
        <f>IF(COUNTIFS('United Data'!$A$3:$A$3390,D$1,'United Data'!$C$3:$C$3390,$A615)&gt;0,1,0)</f>
        <v>0</v>
      </c>
      <c r="E615">
        <f>IF(COUNTIFS('United Data'!$A$3:$A$3390,E$1,'United Data'!$C$3:$C$3390,$A615)&gt;0,1,0)</f>
        <v>1</v>
      </c>
      <c r="F615">
        <f>IF(COUNTIFS('United Data'!$A$3:$A$3390,F$1,'United Data'!$C$3:$C$3390,$A615)&gt;0,1,0)</f>
        <v>0</v>
      </c>
      <c r="G615">
        <f>IF(COUNTIFS('United Data'!$A$3:$A$3390,G$1,'United Data'!$C$3:$C$3390,$A615)&gt;0,1,0)</f>
        <v>0</v>
      </c>
      <c r="H615">
        <f>IF(COUNTIFS('United Data'!$A$3:$A$3390,H$1,'United Data'!$C$3:$C$3390,$A615)&gt;0,1,0)</f>
        <v>0</v>
      </c>
      <c r="I615">
        <f>IF(COUNTIFS('United Data'!$A$3:$A$3390,I$1,'United Data'!$C$3:$C$3390,$A615)&gt;0,1,0)</f>
        <v>0</v>
      </c>
      <c r="J615">
        <f>IF(COUNTIFS('United Data'!$A$3:$A$3390,J$1,'United Data'!$C$3:$C$3390,$A615)&gt;0,1,0)</f>
        <v>0</v>
      </c>
      <c r="K615">
        <f>IF(COUNTIFS('United Data'!$A$3:$A$3390,K$1,'United Data'!$C$3:$C$3390,$A615)&gt;0,1,0)</f>
        <v>0</v>
      </c>
      <c r="L615">
        <f>IF(COUNTIFS('United Data'!$A$3:$A$3390,L$1,'United Data'!$C$3:$C$3390,$A615)&gt;0,1,0)</f>
        <v>0</v>
      </c>
      <c r="M615">
        <f>IF(COUNTIFS('United Data'!$A$3:$A$3390,M$1,'United Data'!$C$3:$C$3390,$A615)&gt;0,1,0)</f>
        <v>0</v>
      </c>
      <c r="N615">
        <f>IF(COUNTIFS('United Data'!$A$3:$A$3390,N$1,'United Data'!$C$3:$C$3390,$A615)&gt;0,1,0)</f>
        <v>0</v>
      </c>
      <c r="O615">
        <f>IF(COUNTIFS('United Data'!$A$3:$A$3390,O$1,'United Data'!$C$3:$C$3390,$A615)&gt;0,1,0)</f>
        <v>0</v>
      </c>
      <c r="P615">
        <f>IF(COUNTIFS('United Data'!$A$3:$A$3390,P$1,'United Data'!$C$3:$C$3390,$A615)&gt;0,1,0)</f>
        <v>0</v>
      </c>
      <c r="Q615">
        <f>IF(COUNTIFS('United Data'!$A$3:$A$3390,Q$1,'United Data'!$C$3:$C$3390,$A615)&gt;0,1,0)</f>
        <v>0</v>
      </c>
      <c r="R615">
        <f>IF(COUNTIFS('United Data'!$A$3:$A$3390,R$1,'United Data'!$C$3:$C$3390,$A615)&gt;0,1,0)</f>
        <v>0</v>
      </c>
      <c r="S615">
        <f t="shared" si="18"/>
        <v>3</v>
      </c>
      <c r="T615">
        <f t="shared" si="19"/>
        <v>2</v>
      </c>
    </row>
    <row r="616" spans="1:20" x14ac:dyDescent="0.2">
      <c r="A616" t="s">
        <v>735</v>
      </c>
      <c r="B616">
        <f>IF(COUNTIFS('United Data'!$A$3:$A$3390,B$1,'United Data'!$C$3:$C$3390,$A616)&gt;0,1,0)</f>
        <v>0</v>
      </c>
      <c r="C616">
        <f>IF(COUNTIFS('United Data'!$A$3:$A$3390,C$1,'United Data'!$C$3:$C$3390,$A616)&gt;0,1,0)</f>
        <v>1</v>
      </c>
      <c r="D616">
        <f>IF(COUNTIFS('United Data'!$A$3:$A$3390,D$1,'United Data'!$C$3:$C$3390,$A616)&gt;0,1,0)</f>
        <v>0</v>
      </c>
      <c r="E616">
        <f>IF(COUNTIFS('United Data'!$A$3:$A$3390,E$1,'United Data'!$C$3:$C$3390,$A616)&gt;0,1,0)</f>
        <v>0</v>
      </c>
      <c r="F616">
        <f>IF(COUNTIFS('United Data'!$A$3:$A$3390,F$1,'United Data'!$C$3:$C$3390,$A616)&gt;0,1,0)</f>
        <v>1</v>
      </c>
      <c r="G616">
        <f>IF(COUNTIFS('United Data'!$A$3:$A$3390,G$1,'United Data'!$C$3:$C$3390,$A616)&gt;0,1,0)</f>
        <v>0</v>
      </c>
      <c r="H616">
        <f>IF(COUNTIFS('United Data'!$A$3:$A$3390,H$1,'United Data'!$C$3:$C$3390,$A616)&gt;0,1,0)</f>
        <v>0</v>
      </c>
      <c r="I616">
        <f>IF(COUNTIFS('United Data'!$A$3:$A$3390,I$1,'United Data'!$C$3:$C$3390,$A616)&gt;0,1,0)</f>
        <v>1</v>
      </c>
      <c r="J616">
        <f>IF(COUNTIFS('United Data'!$A$3:$A$3390,J$1,'United Data'!$C$3:$C$3390,$A616)&gt;0,1,0)</f>
        <v>1</v>
      </c>
      <c r="K616">
        <f>IF(COUNTIFS('United Data'!$A$3:$A$3390,K$1,'United Data'!$C$3:$C$3390,$A616)&gt;0,1,0)</f>
        <v>0</v>
      </c>
      <c r="L616">
        <f>IF(COUNTIFS('United Data'!$A$3:$A$3390,L$1,'United Data'!$C$3:$C$3390,$A616)&gt;0,1,0)</f>
        <v>0</v>
      </c>
      <c r="M616">
        <f>IF(COUNTIFS('United Data'!$A$3:$A$3390,M$1,'United Data'!$C$3:$C$3390,$A616)&gt;0,1,0)</f>
        <v>0</v>
      </c>
      <c r="N616">
        <f>IF(COUNTIFS('United Data'!$A$3:$A$3390,N$1,'United Data'!$C$3:$C$3390,$A616)&gt;0,1,0)</f>
        <v>0</v>
      </c>
      <c r="O616">
        <f>IF(COUNTIFS('United Data'!$A$3:$A$3390,O$1,'United Data'!$C$3:$C$3390,$A616)&gt;0,1,0)</f>
        <v>0</v>
      </c>
      <c r="P616">
        <f>IF(COUNTIFS('United Data'!$A$3:$A$3390,P$1,'United Data'!$C$3:$C$3390,$A616)&gt;0,1,0)</f>
        <v>0</v>
      </c>
      <c r="Q616">
        <f>IF(COUNTIFS('United Data'!$A$3:$A$3390,Q$1,'United Data'!$C$3:$C$3390,$A616)&gt;0,1,0)</f>
        <v>0</v>
      </c>
      <c r="R616">
        <f>IF(COUNTIFS('United Data'!$A$3:$A$3390,R$1,'United Data'!$C$3:$C$3390,$A616)&gt;0,1,0)</f>
        <v>0</v>
      </c>
      <c r="S616">
        <f t="shared" si="18"/>
        <v>4</v>
      </c>
      <c r="T616">
        <f t="shared" si="19"/>
        <v>3</v>
      </c>
    </row>
    <row r="617" spans="1:20" x14ac:dyDescent="0.2">
      <c r="A617" t="s">
        <v>736</v>
      </c>
      <c r="B617">
        <f>IF(COUNTIFS('United Data'!$A$3:$A$3390,B$1,'United Data'!$C$3:$C$3390,$A617)&gt;0,1,0)</f>
        <v>0</v>
      </c>
      <c r="C617">
        <f>IF(COUNTIFS('United Data'!$A$3:$A$3390,C$1,'United Data'!$C$3:$C$3390,$A617)&gt;0,1,0)</f>
        <v>1</v>
      </c>
      <c r="D617">
        <f>IF(COUNTIFS('United Data'!$A$3:$A$3390,D$1,'United Data'!$C$3:$C$3390,$A617)&gt;0,1,0)</f>
        <v>0</v>
      </c>
      <c r="E617">
        <f>IF(COUNTIFS('United Data'!$A$3:$A$3390,E$1,'United Data'!$C$3:$C$3390,$A617)&gt;0,1,0)</f>
        <v>0</v>
      </c>
      <c r="F617">
        <f>IF(COUNTIFS('United Data'!$A$3:$A$3390,F$1,'United Data'!$C$3:$C$3390,$A617)&gt;0,1,0)</f>
        <v>0</v>
      </c>
      <c r="G617">
        <f>IF(COUNTIFS('United Data'!$A$3:$A$3390,G$1,'United Data'!$C$3:$C$3390,$A617)&gt;0,1,0)</f>
        <v>0</v>
      </c>
      <c r="H617">
        <f>IF(COUNTIFS('United Data'!$A$3:$A$3390,H$1,'United Data'!$C$3:$C$3390,$A617)&gt;0,1,0)</f>
        <v>0</v>
      </c>
      <c r="I617">
        <f>IF(COUNTIFS('United Data'!$A$3:$A$3390,I$1,'United Data'!$C$3:$C$3390,$A617)&gt;0,1,0)</f>
        <v>0</v>
      </c>
      <c r="J617">
        <f>IF(COUNTIFS('United Data'!$A$3:$A$3390,J$1,'United Data'!$C$3:$C$3390,$A617)&gt;0,1,0)</f>
        <v>0</v>
      </c>
      <c r="K617">
        <f>IF(COUNTIFS('United Data'!$A$3:$A$3390,K$1,'United Data'!$C$3:$C$3390,$A617)&gt;0,1,0)</f>
        <v>0</v>
      </c>
      <c r="L617">
        <f>IF(COUNTIFS('United Data'!$A$3:$A$3390,L$1,'United Data'!$C$3:$C$3390,$A617)&gt;0,1,0)</f>
        <v>0</v>
      </c>
      <c r="M617">
        <f>IF(COUNTIFS('United Data'!$A$3:$A$3390,M$1,'United Data'!$C$3:$C$3390,$A617)&gt;0,1,0)</f>
        <v>0</v>
      </c>
      <c r="N617">
        <f>IF(COUNTIFS('United Data'!$A$3:$A$3390,N$1,'United Data'!$C$3:$C$3390,$A617)&gt;0,1,0)</f>
        <v>0</v>
      </c>
      <c r="O617">
        <f>IF(COUNTIFS('United Data'!$A$3:$A$3390,O$1,'United Data'!$C$3:$C$3390,$A617)&gt;0,1,0)</f>
        <v>0</v>
      </c>
      <c r="P617">
        <f>IF(COUNTIFS('United Data'!$A$3:$A$3390,P$1,'United Data'!$C$3:$C$3390,$A617)&gt;0,1,0)</f>
        <v>0</v>
      </c>
      <c r="Q617">
        <f>IF(COUNTIFS('United Data'!$A$3:$A$3390,Q$1,'United Data'!$C$3:$C$3390,$A617)&gt;0,1,0)</f>
        <v>0</v>
      </c>
      <c r="R617">
        <f>IF(COUNTIFS('United Data'!$A$3:$A$3390,R$1,'United Data'!$C$3:$C$3390,$A617)&gt;0,1,0)</f>
        <v>0</v>
      </c>
      <c r="S617">
        <f t="shared" si="18"/>
        <v>1</v>
      </c>
      <c r="T617">
        <f t="shared" si="19"/>
        <v>1</v>
      </c>
    </row>
    <row r="618" spans="1:20" x14ac:dyDescent="0.2">
      <c r="A618" t="s">
        <v>737</v>
      </c>
      <c r="B618">
        <f>IF(COUNTIFS('United Data'!$A$3:$A$3390,B$1,'United Data'!$C$3:$C$3390,$A618)&gt;0,1,0)</f>
        <v>0</v>
      </c>
      <c r="C618">
        <f>IF(COUNTIFS('United Data'!$A$3:$A$3390,C$1,'United Data'!$C$3:$C$3390,$A618)&gt;0,1,0)</f>
        <v>1</v>
      </c>
      <c r="D618">
        <f>IF(COUNTIFS('United Data'!$A$3:$A$3390,D$1,'United Data'!$C$3:$C$3390,$A618)&gt;0,1,0)</f>
        <v>0</v>
      </c>
      <c r="E618">
        <f>IF(COUNTIFS('United Data'!$A$3:$A$3390,E$1,'United Data'!$C$3:$C$3390,$A618)&gt;0,1,0)</f>
        <v>0</v>
      </c>
      <c r="F618">
        <f>IF(COUNTIFS('United Data'!$A$3:$A$3390,F$1,'United Data'!$C$3:$C$3390,$A618)&gt;0,1,0)</f>
        <v>0</v>
      </c>
      <c r="G618">
        <f>IF(COUNTIFS('United Data'!$A$3:$A$3390,G$1,'United Data'!$C$3:$C$3390,$A618)&gt;0,1,0)</f>
        <v>0</v>
      </c>
      <c r="H618">
        <f>IF(COUNTIFS('United Data'!$A$3:$A$3390,H$1,'United Data'!$C$3:$C$3390,$A618)&gt;0,1,0)</f>
        <v>0</v>
      </c>
      <c r="I618">
        <f>IF(COUNTIFS('United Data'!$A$3:$A$3390,I$1,'United Data'!$C$3:$C$3390,$A618)&gt;0,1,0)</f>
        <v>0</v>
      </c>
      <c r="J618">
        <f>IF(COUNTIFS('United Data'!$A$3:$A$3390,J$1,'United Data'!$C$3:$C$3390,$A618)&gt;0,1,0)</f>
        <v>0</v>
      </c>
      <c r="K618">
        <f>IF(COUNTIFS('United Data'!$A$3:$A$3390,K$1,'United Data'!$C$3:$C$3390,$A618)&gt;0,1,0)</f>
        <v>0</v>
      </c>
      <c r="L618">
        <f>IF(COUNTIFS('United Data'!$A$3:$A$3390,L$1,'United Data'!$C$3:$C$3390,$A618)&gt;0,1,0)</f>
        <v>0</v>
      </c>
      <c r="M618">
        <f>IF(COUNTIFS('United Data'!$A$3:$A$3390,M$1,'United Data'!$C$3:$C$3390,$A618)&gt;0,1,0)</f>
        <v>0</v>
      </c>
      <c r="N618">
        <f>IF(COUNTIFS('United Data'!$A$3:$A$3390,N$1,'United Data'!$C$3:$C$3390,$A618)&gt;0,1,0)</f>
        <v>0</v>
      </c>
      <c r="O618">
        <f>IF(COUNTIFS('United Data'!$A$3:$A$3390,O$1,'United Data'!$C$3:$C$3390,$A618)&gt;0,1,0)</f>
        <v>0</v>
      </c>
      <c r="P618">
        <f>IF(COUNTIFS('United Data'!$A$3:$A$3390,P$1,'United Data'!$C$3:$C$3390,$A618)&gt;0,1,0)</f>
        <v>0</v>
      </c>
      <c r="Q618">
        <f>IF(COUNTIFS('United Data'!$A$3:$A$3390,Q$1,'United Data'!$C$3:$C$3390,$A618)&gt;0,1,0)</f>
        <v>0</v>
      </c>
      <c r="R618">
        <f>IF(COUNTIFS('United Data'!$A$3:$A$3390,R$1,'United Data'!$C$3:$C$3390,$A618)&gt;0,1,0)</f>
        <v>0</v>
      </c>
      <c r="S618">
        <f t="shared" si="18"/>
        <v>1</v>
      </c>
      <c r="T618">
        <f t="shared" si="19"/>
        <v>1</v>
      </c>
    </row>
    <row r="619" spans="1:20" x14ac:dyDescent="0.2">
      <c r="A619" t="s">
        <v>738</v>
      </c>
      <c r="B619">
        <f>IF(COUNTIFS('United Data'!$A$3:$A$3390,B$1,'United Data'!$C$3:$C$3390,$A619)&gt;0,1,0)</f>
        <v>0</v>
      </c>
      <c r="C619">
        <f>IF(COUNTIFS('United Data'!$A$3:$A$3390,C$1,'United Data'!$C$3:$C$3390,$A619)&gt;0,1,0)</f>
        <v>1</v>
      </c>
      <c r="D619">
        <f>IF(COUNTIFS('United Data'!$A$3:$A$3390,D$1,'United Data'!$C$3:$C$3390,$A619)&gt;0,1,0)</f>
        <v>0</v>
      </c>
      <c r="E619">
        <f>IF(COUNTIFS('United Data'!$A$3:$A$3390,E$1,'United Data'!$C$3:$C$3390,$A619)&gt;0,1,0)</f>
        <v>0</v>
      </c>
      <c r="F619">
        <f>IF(COUNTIFS('United Data'!$A$3:$A$3390,F$1,'United Data'!$C$3:$C$3390,$A619)&gt;0,1,0)</f>
        <v>0</v>
      </c>
      <c r="G619">
        <f>IF(COUNTIFS('United Data'!$A$3:$A$3390,G$1,'United Data'!$C$3:$C$3390,$A619)&gt;0,1,0)</f>
        <v>0</v>
      </c>
      <c r="H619">
        <f>IF(COUNTIFS('United Data'!$A$3:$A$3390,H$1,'United Data'!$C$3:$C$3390,$A619)&gt;0,1,0)</f>
        <v>0</v>
      </c>
      <c r="I619">
        <f>IF(COUNTIFS('United Data'!$A$3:$A$3390,I$1,'United Data'!$C$3:$C$3390,$A619)&gt;0,1,0)</f>
        <v>0</v>
      </c>
      <c r="J619">
        <f>IF(COUNTIFS('United Data'!$A$3:$A$3390,J$1,'United Data'!$C$3:$C$3390,$A619)&gt;0,1,0)</f>
        <v>0</v>
      </c>
      <c r="K619">
        <f>IF(COUNTIFS('United Data'!$A$3:$A$3390,K$1,'United Data'!$C$3:$C$3390,$A619)&gt;0,1,0)</f>
        <v>0</v>
      </c>
      <c r="L619">
        <f>IF(COUNTIFS('United Data'!$A$3:$A$3390,L$1,'United Data'!$C$3:$C$3390,$A619)&gt;0,1,0)</f>
        <v>0</v>
      </c>
      <c r="M619">
        <f>IF(COUNTIFS('United Data'!$A$3:$A$3390,M$1,'United Data'!$C$3:$C$3390,$A619)&gt;0,1,0)</f>
        <v>0</v>
      </c>
      <c r="N619">
        <f>IF(COUNTIFS('United Data'!$A$3:$A$3390,N$1,'United Data'!$C$3:$C$3390,$A619)&gt;0,1,0)</f>
        <v>0</v>
      </c>
      <c r="O619">
        <f>IF(COUNTIFS('United Data'!$A$3:$A$3390,O$1,'United Data'!$C$3:$C$3390,$A619)&gt;0,1,0)</f>
        <v>0</v>
      </c>
      <c r="P619">
        <f>IF(COUNTIFS('United Data'!$A$3:$A$3390,P$1,'United Data'!$C$3:$C$3390,$A619)&gt;0,1,0)</f>
        <v>0</v>
      </c>
      <c r="Q619">
        <f>IF(COUNTIFS('United Data'!$A$3:$A$3390,Q$1,'United Data'!$C$3:$C$3390,$A619)&gt;0,1,0)</f>
        <v>0</v>
      </c>
      <c r="R619">
        <f>IF(COUNTIFS('United Data'!$A$3:$A$3390,R$1,'United Data'!$C$3:$C$3390,$A619)&gt;0,1,0)</f>
        <v>0</v>
      </c>
      <c r="S619">
        <f t="shared" si="18"/>
        <v>1</v>
      </c>
      <c r="T619">
        <f t="shared" si="19"/>
        <v>1</v>
      </c>
    </row>
    <row r="620" spans="1:20" x14ac:dyDescent="0.2">
      <c r="A620" t="s">
        <v>740</v>
      </c>
      <c r="B620">
        <f>IF(COUNTIFS('United Data'!$A$3:$A$3390,B$1,'United Data'!$C$3:$C$3390,$A620)&gt;0,1,0)</f>
        <v>0</v>
      </c>
      <c r="C620">
        <f>IF(COUNTIFS('United Data'!$A$3:$A$3390,C$1,'United Data'!$C$3:$C$3390,$A620)&gt;0,1,0)</f>
        <v>0</v>
      </c>
      <c r="D620">
        <f>IF(COUNTIFS('United Data'!$A$3:$A$3390,D$1,'United Data'!$C$3:$C$3390,$A620)&gt;0,1,0)</f>
        <v>1</v>
      </c>
      <c r="E620">
        <f>IF(COUNTIFS('United Data'!$A$3:$A$3390,E$1,'United Data'!$C$3:$C$3390,$A620)&gt;0,1,0)</f>
        <v>0</v>
      </c>
      <c r="F620">
        <f>IF(COUNTIFS('United Data'!$A$3:$A$3390,F$1,'United Data'!$C$3:$C$3390,$A620)&gt;0,1,0)</f>
        <v>0</v>
      </c>
      <c r="G620">
        <f>IF(COUNTIFS('United Data'!$A$3:$A$3390,G$1,'United Data'!$C$3:$C$3390,$A620)&gt;0,1,0)</f>
        <v>0</v>
      </c>
      <c r="H620">
        <f>IF(COUNTIFS('United Data'!$A$3:$A$3390,H$1,'United Data'!$C$3:$C$3390,$A620)&gt;0,1,0)</f>
        <v>0</v>
      </c>
      <c r="I620">
        <f>IF(COUNTIFS('United Data'!$A$3:$A$3390,I$1,'United Data'!$C$3:$C$3390,$A620)&gt;0,1,0)</f>
        <v>0</v>
      </c>
      <c r="J620">
        <f>IF(COUNTIFS('United Data'!$A$3:$A$3390,J$1,'United Data'!$C$3:$C$3390,$A620)&gt;0,1,0)</f>
        <v>0</v>
      </c>
      <c r="K620">
        <f>IF(COUNTIFS('United Data'!$A$3:$A$3390,K$1,'United Data'!$C$3:$C$3390,$A620)&gt;0,1,0)</f>
        <v>0</v>
      </c>
      <c r="L620">
        <f>IF(COUNTIFS('United Data'!$A$3:$A$3390,L$1,'United Data'!$C$3:$C$3390,$A620)&gt;0,1,0)</f>
        <v>0</v>
      </c>
      <c r="M620">
        <f>IF(COUNTIFS('United Data'!$A$3:$A$3390,M$1,'United Data'!$C$3:$C$3390,$A620)&gt;0,1,0)</f>
        <v>0</v>
      </c>
      <c r="N620">
        <f>IF(COUNTIFS('United Data'!$A$3:$A$3390,N$1,'United Data'!$C$3:$C$3390,$A620)&gt;0,1,0)</f>
        <v>0</v>
      </c>
      <c r="O620">
        <f>IF(COUNTIFS('United Data'!$A$3:$A$3390,O$1,'United Data'!$C$3:$C$3390,$A620)&gt;0,1,0)</f>
        <v>0</v>
      </c>
      <c r="P620">
        <f>IF(COUNTIFS('United Data'!$A$3:$A$3390,P$1,'United Data'!$C$3:$C$3390,$A620)&gt;0,1,0)</f>
        <v>0</v>
      </c>
      <c r="Q620">
        <f>IF(COUNTIFS('United Data'!$A$3:$A$3390,Q$1,'United Data'!$C$3:$C$3390,$A620)&gt;0,1,0)</f>
        <v>0</v>
      </c>
      <c r="R620">
        <f>IF(COUNTIFS('United Data'!$A$3:$A$3390,R$1,'United Data'!$C$3:$C$3390,$A620)&gt;0,1,0)</f>
        <v>0</v>
      </c>
      <c r="S620">
        <f t="shared" si="18"/>
        <v>1</v>
      </c>
      <c r="T620">
        <f t="shared" si="19"/>
        <v>1</v>
      </c>
    </row>
    <row r="621" spans="1:20" x14ac:dyDescent="0.2">
      <c r="A621" t="s">
        <v>741</v>
      </c>
      <c r="B621">
        <f>IF(COUNTIFS('United Data'!$A$3:$A$3390,B$1,'United Data'!$C$3:$C$3390,$A621)&gt;0,1,0)</f>
        <v>0</v>
      </c>
      <c r="C621">
        <f>IF(COUNTIFS('United Data'!$A$3:$A$3390,C$1,'United Data'!$C$3:$C$3390,$A621)&gt;0,1,0)</f>
        <v>0</v>
      </c>
      <c r="D621">
        <f>IF(COUNTIFS('United Data'!$A$3:$A$3390,D$1,'United Data'!$C$3:$C$3390,$A621)&gt;0,1,0)</f>
        <v>0</v>
      </c>
      <c r="E621">
        <f>IF(COUNTIFS('United Data'!$A$3:$A$3390,E$1,'United Data'!$C$3:$C$3390,$A621)&gt;0,1,0)</f>
        <v>1</v>
      </c>
      <c r="F621">
        <f>IF(COUNTIFS('United Data'!$A$3:$A$3390,F$1,'United Data'!$C$3:$C$3390,$A621)&gt;0,1,0)</f>
        <v>0</v>
      </c>
      <c r="G621">
        <f>IF(COUNTIFS('United Data'!$A$3:$A$3390,G$1,'United Data'!$C$3:$C$3390,$A621)&gt;0,1,0)</f>
        <v>0</v>
      </c>
      <c r="H621">
        <f>IF(COUNTIFS('United Data'!$A$3:$A$3390,H$1,'United Data'!$C$3:$C$3390,$A621)&gt;0,1,0)</f>
        <v>0</v>
      </c>
      <c r="I621">
        <f>IF(COUNTIFS('United Data'!$A$3:$A$3390,I$1,'United Data'!$C$3:$C$3390,$A621)&gt;0,1,0)</f>
        <v>0</v>
      </c>
      <c r="J621">
        <f>IF(COUNTIFS('United Data'!$A$3:$A$3390,J$1,'United Data'!$C$3:$C$3390,$A621)&gt;0,1,0)</f>
        <v>0</v>
      </c>
      <c r="K621">
        <f>IF(COUNTIFS('United Data'!$A$3:$A$3390,K$1,'United Data'!$C$3:$C$3390,$A621)&gt;0,1,0)</f>
        <v>0</v>
      </c>
      <c r="L621">
        <f>IF(COUNTIFS('United Data'!$A$3:$A$3390,L$1,'United Data'!$C$3:$C$3390,$A621)&gt;0,1,0)</f>
        <v>0</v>
      </c>
      <c r="M621">
        <f>IF(COUNTIFS('United Data'!$A$3:$A$3390,M$1,'United Data'!$C$3:$C$3390,$A621)&gt;0,1,0)</f>
        <v>0</v>
      </c>
      <c r="N621">
        <f>IF(COUNTIFS('United Data'!$A$3:$A$3390,N$1,'United Data'!$C$3:$C$3390,$A621)&gt;0,1,0)</f>
        <v>0</v>
      </c>
      <c r="O621">
        <f>IF(COUNTIFS('United Data'!$A$3:$A$3390,O$1,'United Data'!$C$3:$C$3390,$A621)&gt;0,1,0)</f>
        <v>0</v>
      </c>
      <c r="P621">
        <f>IF(COUNTIFS('United Data'!$A$3:$A$3390,P$1,'United Data'!$C$3:$C$3390,$A621)&gt;0,1,0)</f>
        <v>0</v>
      </c>
      <c r="Q621">
        <f>IF(COUNTIFS('United Data'!$A$3:$A$3390,Q$1,'United Data'!$C$3:$C$3390,$A621)&gt;0,1,0)</f>
        <v>0</v>
      </c>
      <c r="R621">
        <f>IF(COUNTIFS('United Data'!$A$3:$A$3390,R$1,'United Data'!$C$3:$C$3390,$A621)&gt;0,1,0)</f>
        <v>0</v>
      </c>
      <c r="S621">
        <f t="shared" si="18"/>
        <v>1</v>
      </c>
      <c r="T621">
        <f t="shared" si="19"/>
        <v>1</v>
      </c>
    </row>
    <row r="622" spans="1:20" x14ac:dyDescent="0.2">
      <c r="A622" t="s">
        <v>742</v>
      </c>
      <c r="B622">
        <f>IF(COUNTIFS('United Data'!$A$3:$A$3390,B$1,'United Data'!$C$3:$C$3390,$A622)&gt;0,1,0)</f>
        <v>0</v>
      </c>
      <c r="C622">
        <f>IF(COUNTIFS('United Data'!$A$3:$A$3390,C$1,'United Data'!$C$3:$C$3390,$A622)&gt;0,1,0)</f>
        <v>0</v>
      </c>
      <c r="D622">
        <f>IF(COUNTIFS('United Data'!$A$3:$A$3390,D$1,'United Data'!$C$3:$C$3390,$A622)&gt;0,1,0)</f>
        <v>0</v>
      </c>
      <c r="E622">
        <f>IF(COUNTIFS('United Data'!$A$3:$A$3390,E$1,'United Data'!$C$3:$C$3390,$A622)&gt;0,1,0)</f>
        <v>1</v>
      </c>
      <c r="F622">
        <f>IF(COUNTIFS('United Data'!$A$3:$A$3390,F$1,'United Data'!$C$3:$C$3390,$A622)&gt;0,1,0)</f>
        <v>1</v>
      </c>
      <c r="G622">
        <f>IF(COUNTIFS('United Data'!$A$3:$A$3390,G$1,'United Data'!$C$3:$C$3390,$A622)&gt;0,1,0)</f>
        <v>0</v>
      </c>
      <c r="H622">
        <f>IF(COUNTIFS('United Data'!$A$3:$A$3390,H$1,'United Data'!$C$3:$C$3390,$A622)&gt;0,1,0)</f>
        <v>1</v>
      </c>
      <c r="I622">
        <f>IF(COUNTIFS('United Data'!$A$3:$A$3390,I$1,'United Data'!$C$3:$C$3390,$A622)&gt;0,1,0)</f>
        <v>0</v>
      </c>
      <c r="J622">
        <f>IF(COUNTIFS('United Data'!$A$3:$A$3390,J$1,'United Data'!$C$3:$C$3390,$A622)&gt;0,1,0)</f>
        <v>0</v>
      </c>
      <c r="K622">
        <f>IF(COUNTIFS('United Data'!$A$3:$A$3390,K$1,'United Data'!$C$3:$C$3390,$A622)&gt;0,1,0)</f>
        <v>0</v>
      </c>
      <c r="L622">
        <f>IF(COUNTIFS('United Data'!$A$3:$A$3390,L$1,'United Data'!$C$3:$C$3390,$A622)&gt;0,1,0)</f>
        <v>0</v>
      </c>
      <c r="M622">
        <f>IF(COUNTIFS('United Data'!$A$3:$A$3390,M$1,'United Data'!$C$3:$C$3390,$A622)&gt;0,1,0)</f>
        <v>0</v>
      </c>
      <c r="N622">
        <f>IF(COUNTIFS('United Data'!$A$3:$A$3390,N$1,'United Data'!$C$3:$C$3390,$A622)&gt;0,1,0)</f>
        <v>0</v>
      </c>
      <c r="O622">
        <f>IF(COUNTIFS('United Data'!$A$3:$A$3390,O$1,'United Data'!$C$3:$C$3390,$A622)&gt;0,1,0)</f>
        <v>0</v>
      </c>
      <c r="P622">
        <f>IF(COUNTIFS('United Data'!$A$3:$A$3390,P$1,'United Data'!$C$3:$C$3390,$A622)&gt;0,1,0)</f>
        <v>0</v>
      </c>
      <c r="Q622">
        <f>IF(COUNTIFS('United Data'!$A$3:$A$3390,Q$1,'United Data'!$C$3:$C$3390,$A622)&gt;0,1,0)</f>
        <v>0</v>
      </c>
      <c r="R622">
        <f>IF(COUNTIFS('United Data'!$A$3:$A$3390,R$1,'United Data'!$C$3:$C$3390,$A622)&gt;0,1,0)</f>
        <v>0</v>
      </c>
      <c r="S622">
        <f t="shared" si="18"/>
        <v>3</v>
      </c>
      <c r="T622">
        <f t="shared" si="19"/>
        <v>2</v>
      </c>
    </row>
    <row r="623" spans="1:20" x14ac:dyDescent="0.2">
      <c r="A623" t="s">
        <v>743</v>
      </c>
      <c r="B623">
        <f>IF(COUNTIFS('United Data'!$A$3:$A$3390,B$1,'United Data'!$C$3:$C$3390,$A623)&gt;0,1,0)</f>
        <v>0</v>
      </c>
      <c r="C623">
        <f>IF(COUNTIFS('United Data'!$A$3:$A$3390,C$1,'United Data'!$C$3:$C$3390,$A623)&gt;0,1,0)</f>
        <v>0</v>
      </c>
      <c r="D623">
        <f>IF(COUNTIFS('United Data'!$A$3:$A$3390,D$1,'United Data'!$C$3:$C$3390,$A623)&gt;0,1,0)</f>
        <v>0</v>
      </c>
      <c r="E623">
        <f>IF(COUNTIFS('United Data'!$A$3:$A$3390,E$1,'United Data'!$C$3:$C$3390,$A623)&gt;0,1,0)</f>
        <v>1</v>
      </c>
      <c r="F623">
        <f>IF(COUNTIFS('United Data'!$A$3:$A$3390,F$1,'United Data'!$C$3:$C$3390,$A623)&gt;0,1,0)</f>
        <v>0</v>
      </c>
      <c r="G623">
        <f>IF(COUNTIFS('United Data'!$A$3:$A$3390,G$1,'United Data'!$C$3:$C$3390,$A623)&gt;0,1,0)</f>
        <v>0</v>
      </c>
      <c r="H623">
        <f>IF(COUNTIFS('United Data'!$A$3:$A$3390,H$1,'United Data'!$C$3:$C$3390,$A623)&gt;0,1,0)</f>
        <v>0</v>
      </c>
      <c r="I623">
        <f>IF(COUNTIFS('United Data'!$A$3:$A$3390,I$1,'United Data'!$C$3:$C$3390,$A623)&gt;0,1,0)</f>
        <v>0</v>
      </c>
      <c r="J623">
        <f>IF(COUNTIFS('United Data'!$A$3:$A$3390,J$1,'United Data'!$C$3:$C$3390,$A623)&gt;0,1,0)</f>
        <v>0</v>
      </c>
      <c r="K623">
        <f>IF(COUNTIFS('United Data'!$A$3:$A$3390,K$1,'United Data'!$C$3:$C$3390,$A623)&gt;0,1,0)</f>
        <v>0</v>
      </c>
      <c r="L623">
        <f>IF(COUNTIFS('United Data'!$A$3:$A$3390,L$1,'United Data'!$C$3:$C$3390,$A623)&gt;0,1,0)</f>
        <v>0</v>
      </c>
      <c r="M623">
        <f>IF(COUNTIFS('United Data'!$A$3:$A$3390,M$1,'United Data'!$C$3:$C$3390,$A623)&gt;0,1,0)</f>
        <v>0</v>
      </c>
      <c r="N623">
        <f>IF(COUNTIFS('United Data'!$A$3:$A$3390,N$1,'United Data'!$C$3:$C$3390,$A623)&gt;0,1,0)</f>
        <v>0</v>
      </c>
      <c r="O623">
        <f>IF(COUNTIFS('United Data'!$A$3:$A$3390,O$1,'United Data'!$C$3:$C$3390,$A623)&gt;0,1,0)</f>
        <v>0</v>
      </c>
      <c r="P623">
        <f>IF(COUNTIFS('United Data'!$A$3:$A$3390,P$1,'United Data'!$C$3:$C$3390,$A623)&gt;0,1,0)</f>
        <v>0</v>
      </c>
      <c r="Q623">
        <f>IF(COUNTIFS('United Data'!$A$3:$A$3390,Q$1,'United Data'!$C$3:$C$3390,$A623)&gt;0,1,0)</f>
        <v>0</v>
      </c>
      <c r="R623">
        <f>IF(COUNTIFS('United Data'!$A$3:$A$3390,R$1,'United Data'!$C$3:$C$3390,$A623)&gt;0,1,0)</f>
        <v>0</v>
      </c>
      <c r="S623">
        <f t="shared" si="18"/>
        <v>1</v>
      </c>
      <c r="T623">
        <f t="shared" si="19"/>
        <v>1</v>
      </c>
    </row>
    <row r="624" spans="1:20" x14ac:dyDescent="0.2">
      <c r="A624" t="s">
        <v>744</v>
      </c>
      <c r="B624">
        <f>IF(COUNTIFS('United Data'!$A$3:$A$3390,B$1,'United Data'!$C$3:$C$3390,$A624)&gt;0,1,0)</f>
        <v>0</v>
      </c>
      <c r="C624">
        <f>IF(COUNTIFS('United Data'!$A$3:$A$3390,C$1,'United Data'!$C$3:$C$3390,$A624)&gt;0,1,0)</f>
        <v>0</v>
      </c>
      <c r="D624">
        <f>IF(COUNTIFS('United Data'!$A$3:$A$3390,D$1,'United Data'!$C$3:$C$3390,$A624)&gt;0,1,0)</f>
        <v>0</v>
      </c>
      <c r="E624">
        <f>IF(COUNTIFS('United Data'!$A$3:$A$3390,E$1,'United Data'!$C$3:$C$3390,$A624)&gt;0,1,0)</f>
        <v>1</v>
      </c>
      <c r="F624">
        <f>IF(COUNTIFS('United Data'!$A$3:$A$3390,F$1,'United Data'!$C$3:$C$3390,$A624)&gt;0,1,0)</f>
        <v>1</v>
      </c>
      <c r="G624">
        <f>IF(COUNTIFS('United Data'!$A$3:$A$3390,G$1,'United Data'!$C$3:$C$3390,$A624)&gt;0,1,0)</f>
        <v>0</v>
      </c>
      <c r="H624">
        <f>IF(COUNTIFS('United Data'!$A$3:$A$3390,H$1,'United Data'!$C$3:$C$3390,$A624)&gt;0,1,0)</f>
        <v>1</v>
      </c>
      <c r="I624">
        <f>IF(COUNTIFS('United Data'!$A$3:$A$3390,I$1,'United Data'!$C$3:$C$3390,$A624)&gt;0,1,0)</f>
        <v>0</v>
      </c>
      <c r="J624">
        <f>IF(COUNTIFS('United Data'!$A$3:$A$3390,J$1,'United Data'!$C$3:$C$3390,$A624)&gt;0,1,0)</f>
        <v>0</v>
      </c>
      <c r="K624">
        <f>IF(COUNTIFS('United Data'!$A$3:$A$3390,K$1,'United Data'!$C$3:$C$3390,$A624)&gt;0,1,0)</f>
        <v>0</v>
      </c>
      <c r="L624">
        <f>IF(COUNTIFS('United Data'!$A$3:$A$3390,L$1,'United Data'!$C$3:$C$3390,$A624)&gt;0,1,0)</f>
        <v>0</v>
      </c>
      <c r="M624">
        <f>IF(COUNTIFS('United Data'!$A$3:$A$3390,M$1,'United Data'!$C$3:$C$3390,$A624)&gt;0,1,0)</f>
        <v>0</v>
      </c>
      <c r="N624">
        <f>IF(COUNTIFS('United Data'!$A$3:$A$3390,N$1,'United Data'!$C$3:$C$3390,$A624)&gt;0,1,0)</f>
        <v>0</v>
      </c>
      <c r="O624">
        <f>IF(COUNTIFS('United Data'!$A$3:$A$3390,O$1,'United Data'!$C$3:$C$3390,$A624)&gt;0,1,0)</f>
        <v>0</v>
      </c>
      <c r="P624">
        <f>IF(COUNTIFS('United Data'!$A$3:$A$3390,P$1,'United Data'!$C$3:$C$3390,$A624)&gt;0,1,0)</f>
        <v>0</v>
      </c>
      <c r="Q624">
        <f>IF(COUNTIFS('United Data'!$A$3:$A$3390,Q$1,'United Data'!$C$3:$C$3390,$A624)&gt;0,1,0)</f>
        <v>0</v>
      </c>
      <c r="R624">
        <f>IF(COUNTIFS('United Data'!$A$3:$A$3390,R$1,'United Data'!$C$3:$C$3390,$A624)&gt;0,1,0)</f>
        <v>0</v>
      </c>
      <c r="S624">
        <f t="shared" si="18"/>
        <v>3</v>
      </c>
      <c r="T624">
        <f t="shared" si="19"/>
        <v>2</v>
      </c>
    </row>
    <row r="625" spans="1:20" x14ac:dyDescent="0.2">
      <c r="A625" t="s">
        <v>745</v>
      </c>
      <c r="B625">
        <f>IF(COUNTIFS('United Data'!$A$3:$A$3390,B$1,'United Data'!$C$3:$C$3390,$A625)&gt;0,1,0)</f>
        <v>0</v>
      </c>
      <c r="C625">
        <f>IF(COUNTIFS('United Data'!$A$3:$A$3390,C$1,'United Data'!$C$3:$C$3390,$A625)&gt;0,1,0)</f>
        <v>0</v>
      </c>
      <c r="D625">
        <f>IF(COUNTIFS('United Data'!$A$3:$A$3390,D$1,'United Data'!$C$3:$C$3390,$A625)&gt;0,1,0)</f>
        <v>0</v>
      </c>
      <c r="E625">
        <f>IF(COUNTIFS('United Data'!$A$3:$A$3390,E$1,'United Data'!$C$3:$C$3390,$A625)&gt;0,1,0)</f>
        <v>1</v>
      </c>
      <c r="F625">
        <f>IF(COUNTIFS('United Data'!$A$3:$A$3390,F$1,'United Data'!$C$3:$C$3390,$A625)&gt;0,1,0)</f>
        <v>0</v>
      </c>
      <c r="G625">
        <f>IF(COUNTIFS('United Data'!$A$3:$A$3390,G$1,'United Data'!$C$3:$C$3390,$A625)&gt;0,1,0)</f>
        <v>0</v>
      </c>
      <c r="H625">
        <f>IF(COUNTIFS('United Data'!$A$3:$A$3390,H$1,'United Data'!$C$3:$C$3390,$A625)&gt;0,1,0)</f>
        <v>0</v>
      </c>
      <c r="I625">
        <f>IF(COUNTIFS('United Data'!$A$3:$A$3390,I$1,'United Data'!$C$3:$C$3390,$A625)&gt;0,1,0)</f>
        <v>0</v>
      </c>
      <c r="J625">
        <f>IF(COUNTIFS('United Data'!$A$3:$A$3390,J$1,'United Data'!$C$3:$C$3390,$A625)&gt;0,1,0)</f>
        <v>0</v>
      </c>
      <c r="K625">
        <f>IF(COUNTIFS('United Data'!$A$3:$A$3390,K$1,'United Data'!$C$3:$C$3390,$A625)&gt;0,1,0)</f>
        <v>0</v>
      </c>
      <c r="L625">
        <f>IF(COUNTIFS('United Data'!$A$3:$A$3390,L$1,'United Data'!$C$3:$C$3390,$A625)&gt;0,1,0)</f>
        <v>0</v>
      </c>
      <c r="M625">
        <f>IF(COUNTIFS('United Data'!$A$3:$A$3390,M$1,'United Data'!$C$3:$C$3390,$A625)&gt;0,1,0)</f>
        <v>0</v>
      </c>
      <c r="N625">
        <f>IF(COUNTIFS('United Data'!$A$3:$A$3390,N$1,'United Data'!$C$3:$C$3390,$A625)&gt;0,1,0)</f>
        <v>0</v>
      </c>
      <c r="O625">
        <f>IF(COUNTIFS('United Data'!$A$3:$A$3390,O$1,'United Data'!$C$3:$C$3390,$A625)&gt;0,1,0)</f>
        <v>0</v>
      </c>
      <c r="P625">
        <f>IF(COUNTIFS('United Data'!$A$3:$A$3390,P$1,'United Data'!$C$3:$C$3390,$A625)&gt;0,1,0)</f>
        <v>0</v>
      </c>
      <c r="Q625">
        <f>IF(COUNTIFS('United Data'!$A$3:$A$3390,Q$1,'United Data'!$C$3:$C$3390,$A625)&gt;0,1,0)</f>
        <v>0</v>
      </c>
      <c r="R625">
        <f>IF(COUNTIFS('United Data'!$A$3:$A$3390,R$1,'United Data'!$C$3:$C$3390,$A625)&gt;0,1,0)</f>
        <v>0</v>
      </c>
      <c r="S625">
        <f t="shared" si="18"/>
        <v>1</v>
      </c>
      <c r="T625">
        <f t="shared" si="19"/>
        <v>1</v>
      </c>
    </row>
    <row r="626" spans="1:20" x14ac:dyDescent="0.2">
      <c r="A626" t="s">
        <v>746</v>
      </c>
      <c r="B626">
        <f>IF(COUNTIFS('United Data'!$A$3:$A$3390,B$1,'United Data'!$C$3:$C$3390,$A626)&gt;0,1,0)</f>
        <v>0</v>
      </c>
      <c r="C626">
        <f>IF(COUNTIFS('United Data'!$A$3:$A$3390,C$1,'United Data'!$C$3:$C$3390,$A626)&gt;0,1,0)</f>
        <v>0</v>
      </c>
      <c r="D626">
        <f>IF(COUNTIFS('United Data'!$A$3:$A$3390,D$1,'United Data'!$C$3:$C$3390,$A626)&gt;0,1,0)</f>
        <v>0</v>
      </c>
      <c r="E626">
        <f>IF(COUNTIFS('United Data'!$A$3:$A$3390,E$1,'United Data'!$C$3:$C$3390,$A626)&gt;0,1,0)</f>
        <v>1</v>
      </c>
      <c r="F626">
        <f>IF(COUNTIFS('United Data'!$A$3:$A$3390,F$1,'United Data'!$C$3:$C$3390,$A626)&gt;0,1,0)</f>
        <v>0</v>
      </c>
      <c r="G626">
        <f>IF(COUNTIFS('United Data'!$A$3:$A$3390,G$1,'United Data'!$C$3:$C$3390,$A626)&gt;0,1,0)</f>
        <v>0</v>
      </c>
      <c r="H626">
        <f>IF(COUNTIFS('United Data'!$A$3:$A$3390,H$1,'United Data'!$C$3:$C$3390,$A626)&gt;0,1,0)</f>
        <v>0</v>
      </c>
      <c r="I626">
        <f>IF(COUNTIFS('United Data'!$A$3:$A$3390,I$1,'United Data'!$C$3:$C$3390,$A626)&gt;0,1,0)</f>
        <v>0</v>
      </c>
      <c r="J626">
        <f>IF(COUNTIFS('United Data'!$A$3:$A$3390,J$1,'United Data'!$C$3:$C$3390,$A626)&gt;0,1,0)</f>
        <v>0</v>
      </c>
      <c r="K626">
        <f>IF(COUNTIFS('United Data'!$A$3:$A$3390,K$1,'United Data'!$C$3:$C$3390,$A626)&gt;0,1,0)</f>
        <v>0</v>
      </c>
      <c r="L626">
        <f>IF(COUNTIFS('United Data'!$A$3:$A$3390,L$1,'United Data'!$C$3:$C$3390,$A626)&gt;0,1,0)</f>
        <v>0</v>
      </c>
      <c r="M626">
        <f>IF(COUNTIFS('United Data'!$A$3:$A$3390,M$1,'United Data'!$C$3:$C$3390,$A626)&gt;0,1,0)</f>
        <v>0</v>
      </c>
      <c r="N626">
        <f>IF(COUNTIFS('United Data'!$A$3:$A$3390,N$1,'United Data'!$C$3:$C$3390,$A626)&gt;0,1,0)</f>
        <v>0</v>
      </c>
      <c r="O626">
        <f>IF(COUNTIFS('United Data'!$A$3:$A$3390,O$1,'United Data'!$C$3:$C$3390,$A626)&gt;0,1,0)</f>
        <v>0</v>
      </c>
      <c r="P626">
        <f>IF(COUNTIFS('United Data'!$A$3:$A$3390,P$1,'United Data'!$C$3:$C$3390,$A626)&gt;0,1,0)</f>
        <v>0</v>
      </c>
      <c r="Q626">
        <f>IF(COUNTIFS('United Data'!$A$3:$A$3390,Q$1,'United Data'!$C$3:$C$3390,$A626)&gt;0,1,0)</f>
        <v>0</v>
      </c>
      <c r="R626">
        <f>IF(COUNTIFS('United Data'!$A$3:$A$3390,R$1,'United Data'!$C$3:$C$3390,$A626)&gt;0,1,0)</f>
        <v>0</v>
      </c>
      <c r="S626">
        <f t="shared" si="18"/>
        <v>1</v>
      </c>
      <c r="T626">
        <f t="shared" si="19"/>
        <v>1</v>
      </c>
    </row>
    <row r="627" spans="1:20" x14ac:dyDescent="0.2">
      <c r="A627" t="s">
        <v>747</v>
      </c>
      <c r="B627">
        <f>IF(COUNTIFS('United Data'!$A$3:$A$3390,B$1,'United Data'!$C$3:$C$3390,$A627)&gt;0,1,0)</f>
        <v>0</v>
      </c>
      <c r="C627">
        <f>IF(COUNTIFS('United Data'!$A$3:$A$3390,C$1,'United Data'!$C$3:$C$3390,$A627)&gt;0,1,0)</f>
        <v>0</v>
      </c>
      <c r="D627">
        <f>IF(COUNTIFS('United Data'!$A$3:$A$3390,D$1,'United Data'!$C$3:$C$3390,$A627)&gt;0,1,0)</f>
        <v>0</v>
      </c>
      <c r="E627">
        <f>IF(COUNTIFS('United Data'!$A$3:$A$3390,E$1,'United Data'!$C$3:$C$3390,$A627)&gt;0,1,0)</f>
        <v>0</v>
      </c>
      <c r="F627">
        <f>IF(COUNTIFS('United Data'!$A$3:$A$3390,F$1,'United Data'!$C$3:$C$3390,$A627)&gt;0,1,0)</f>
        <v>1</v>
      </c>
      <c r="G627">
        <f>IF(COUNTIFS('United Data'!$A$3:$A$3390,G$1,'United Data'!$C$3:$C$3390,$A627)&gt;0,1,0)</f>
        <v>0</v>
      </c>
      <c r="H627">
        <f>IF(COUNTIFS('United Data'!$A$3:$A$3390,H$1,'United Data'!$C$3:$C$3390,$A627)&gt;0,1,0)</f>
        <v>0</v>
      </c>
      <c r="I627">
        <f>IF(COUNTIFS('United Data'!$A$3:$A$3390,I$1,'United Data'!$C$3:$C$3390,$A627)&gt;0,1,0)</f>
        <v>0</v>
      </c>
      <c r="J627">
        <f>IF(COUNTIFS('United Data'!$A$3:$A$3390,J$1,'United Data'!$C$3:$C$3390,$A627)&gt;0,1,0)</f>
        <v>0</v>
      </c>
      <c r="K627">
        <f>IF(COUNTIFS('United Data'!$A$3:$A$3390,K$1,'United Data'!$C$3:$C$3390,$A627)&gt;0,1,0)</f>
        <v>0</v>
      </c>
      <c r="L627">
        <f>IF(COUNTIFS('United Data'!$A$3:$A$3390,L$1,'United Data'!$C$3:$C$3390,$A627)&gt;0,1,0)</f>
        <v>0</v>
      </c>
      <c r="M627">
        <f>IF(COUNTIFS('United Data'!$A$3:$A$3390,M$1,'United Data'!$C$3:$C$3390,$A627)&gt;0,1,0)</f>
        <v>0</v>
      </c>
      <c r="N627">
        <f>IF(COUNTIFS('United Data'!$A$3:$A$3390,N$1,'United Data'!$C$3:$C$3390,$A627)&gt;0,1,0)</f>
        <v>0</v>
      </c>
      <c r="O627">
        <f>IF(COUNTIFS('United Data'!$A$3:$A$3390,O$1,'United Data'!$C$3:$C$3390,$A627)&gt;0,1,0)</f>
        <v>0</v>
      </c>
      <c r="P627">
        <f>IF(COUNTIFS('United Data'!$A$3:$A$3390,P$1,'United Data'!$C$3:$C$3390,$A627)&gt;0,1,0)</f>
        <v>0</v>
      </c>
      <c r="Q627">
        <f>IF(COUNTIFS('United Data'!$A$3:$A$3390,Q$1,'United Data'!$C$3:$C$3390,$A627)&gt;0,1,0)</f>
        <v>0</v>
      </c>
      <c r="R627">
        <f>IF(COUNTIFS('United Data'!$A$3:$A$3390,R$1,'United Data'!$C$3:$C$3390,$A627)&gt;0,1,0)</f>
        <v>0</v>
      </c>
      <c r="S627">
        <f t="shared" si="18"/>
        <v>1</v>
      </c>
      <c r="T627">
        <f t="shared" si="19"/>
        <v>1</v>
      </c>
    </row>
    <row r="628" spans="1:20" x14ac:dyDescent="0.2">
      <c r="A628" t="s">
        <v>748</v>
      </c>
      <c r="B628">
        <f>IF(COUNTIFS('United Data'!$A$3:$A$3390,B$1,'United Data'!$C$3:$C$3390,$A628)&gt;0,1,0)</f>
        <v>0</v>
      </c>
      <c r="C628">
        <f>IF(COUNTIFS('United Data'!$A$3:$A$3390,C$1,'United Data'!$C$3:$C$3390,$A628)&gt;0,1,0)</f>
        <v>0</v>
      </c>
      <c r="D628">
        <f>IF(COUNTIFS('United Data'!$A$3:$A$3390,D$1,'United Data'!$C$3:$C$3390,$A628)&gt;0,1,0)</f>
        <v>0</v>
      </c>
      <c r="E628">
        <f>IF(COUNTIFS('United Data'!$A$3:$A$3390,E$1,'United Data'!$C$3:$C$3390,$A628)&gt;0,1,0)</f>
        <v>0</v>
      </c>
      <c r="F628">
        <f>IF(COUNTIFS('United Data'!$A$3:$A$3390,F$1,'United Data'!$C$3:$C$3390,$A628)&gt;0,1,0)</f>
        <v>1</v>
      </c>
      <c r="G628">
        <f>IF(COUNTIFS('United Data'!$A$3:$A$3390,G$1,'United Data'!$C$3:$C$3390,$A628)&gt;0,1,0)</f>
        <v>0</v>
      </c>
      <c r="H628">
        <f>IF(COUNTIFS('United Data'!$A$3:$A$3390,H$1,'United Data'!$C$3:$C$3390,$A628)&gt;0,1,0)</f>
        <v>0</v>
      </c>
      <c r="I628">
        <f>IF(COUNTIFS('United Data'!$A$3:$A$3390,I$1,'United Data'!$C$3:$C$3390,$A628)&gt;0,1,0)</f>
        <v>0</v>
      </c>
      <c r="J628">
        <f>IF(COUNTIFS('United Data'!$A$3:$A$3390,J$1,'United Data'!$C$3:$C$3390,$A628)&gt;0,1,0)</f>
        <v>1</v>
      </c>
      <c r="K628">
        <f>IF(COUNTIFS('United Data'!$A$3:$A$3390,K$1,'United Data'!$C$3:$C$3390,$A628)&gt;0,1,0)</f>
        <v>1</v>
      </c>
      <c r="L628">
        <f>IF(COUNTIFS('United Data'!$A$3:$A$3390,L$1,'United Data'!$C$3:$C$3390,$A628)&gt;0,1,0)</f>
        <v>1</v>
      </c>
      <c r="M628">
        <f>IF(COUNTIFS('United Data'!$A$3:$A$3390,M$1,'United Data'!$C$3:$C$3390,$A628)&gt;0,1,0)</f>
        <v>1</v>
      </c>
      <c r="N628">
        <f>IF(COUNTIFS('United Data'!$A$3:$A$3390,N$1,'United Data'!$C$3:$C$3390,$A628)&gt;0,1,0)</f>
        <v>1</v>
      </c>
      <c r="O628">
        <f>IF(COUNTIFS('United Data'!$A$3:$A$3390,O$1,'United Data'!$C$3:$C$3390,$A628)&gt;0,1,0)</f>
        <v>0</v>
      </c>
      <c r="P628">
        <f>IF(COUNTIFS('United Data'!$A$3:$A$3390,P$1,'United Data'!$C$3:$C$3390,$A628)&gt;0,1,0)</f>
        <v>0</v>
      </c>
      <c r="Q628">
        <f>IF(COUNTIFS('United Data'!$A$3:$A$3390,Q$1,'United Data'!$C$3:$C$3390,$A628)&gt;0,1,0)</f>
        <v>0</v>
      </c>
      <c r="R628">
        <f>IF(COUNTIFS('United Data'!$A$3:$A$3390,R$1,'United Data'!$C$3:$C$3390,$A628)&gt;0,1,0)</f>
        <v>0</v>
      </c>
      <c r="S628">
        <f t="shared" si="18"/>
        <v>6</v>
      </c>
      <c r="T628">
        <f t="shared" si="19"/>
        <v>2</v>
      </c>
    </row>
    <row r="629" spans="1:20" x14ac:dyDescent="0.2">
      <c r="A629" t="s">
        <v>749</v>
      </c>
      <c r="B629">
        <f>IF(COUNTIFS('United Data'!$A$3:$A$3390,B$1,'United Data'!$C$3:$C$3390,$A629)&gt;0,1,0)</f>
        <v>0</v>
      </c>
      <c r="C629">
        <f>IF(COUNTIFS('United Data'!$A$3:$A$3390,C$1,'United Data'!$C$3:$C$3390,$A629)&gt;0,1,0)</f>
        <v>0</v>
      </c>
      <c r="D629">
        <f>IF(COUNTIFS('United Data'!$A$3:$A$3390,D$1,'United Data'!$C$3:$C$3390,$A629)&gt;0,1,0)</f>
        <v>0</v>
      </c>
      <c r="E629">
        <f>IF(COUNTIFS('United Data'!$A$3:$A$3390,E$1,'United Data'!$C$3:$C$3390,$A629)&gt;0,1,0)</f>
        <v>0</v>
      </c>
      <c r="F629">
        <f>IF(COUNTIFS('United Data'!$A$3:$A$3390,F$1,'United Data'!$C$3:$C$3390,$A629)&gt;0,1,0)</f>
        <v>1</v>
      </c>
      <c r="G629">
        <f>IF(COUNTIFS('United Data'!$A$3:$A$3390,G$1,'United Data'!$C$3:$C$3390,$A629)&gt;0,1,0)</f>
        <v>0</v>
      </c>
      <c r="H629">
        <f>IF(COUNTIFS('United Data'!$A$3:$A$3390,H$1,'United Data'!$C$3:$C$3390,$A629)&gt;0,1,0)</f>
        <v>0</v>
      </c>
      <c r="I629">
        <f>IF(COUNTIFS('United Data'!$A$3:$A$3390,I$1,'United Data'!$C$3:$C$3390,$A629)&gt;0,1,0)</f>
        <v>0</v>
      </c>
      <c r="J629">
        <f>IF(COUNTIFS('United Data'!$A$3:$A$3390,J$1,'United Data'!$C$3:$C$3390,$A629)&gt;0,1,0)</f>
        <v>0</v>
      </c>
      <c r="K629">
        <f>IF(COUNTIFS('United Data'!$A$3:$A$3390,K$1,'United Data'!$C$3:$C$3390,$A629)&gt;0,1,0)</f>
        <v>0</v>
      </c>
      <c r="L629">
        <f>IF(COUNTIFS('United Data'!$A$3:$A$3390,L$1,'United Data'!$C$3:$C$3390,$A629)&gt;0,1,0)</f>
        <v>0</v>
      </c>
      <c r="M629">
        <f>IF(COUNTIFS('United Data'!$A$3:$A$3390,M$1,'United Data'!$C$3:$C$3390,$A629)&gt;0,1,0)</f>
        <v>0</v>
      </c>
      <c r="N629">
        <f>IF(COUNTIFS('United Data'!$A$3:$A$3390,N$1,'United Data'!$C$3:$C$3390,$A629)&gt;0,1,0)</f>
        <v>0</v>
      </c>
      <c r="O629">
        <f>IF(COUNTIFS('United Data'!$A$3:$A$3390,O$1,'United Data'!$C$3:$C$3390,$A629)&gt;0,1,0)</f>
        <v>0</v>
      </c>
      <c r="P629">
        <f>IF(COUNTIFS('United Data'!$A$3:$A$3390,P$1,'United Data'!$C$3:$C$3390,$A629)&gt;0,1,0)</f>
        <v>0</v>
      </c>
      <c r="Q629">
        <f>IF(COUNTIFS('United Data'!$A$3:$A$3390,Q$1,'United Data'!$C$3:$C$3390,$A629)&gt;0,1,0)</f>
        <v>0</v>
      </c>
      <c r="R629">
        <f>IF(COUNTIFS('United Data'!$A$3:$A$3390,R$1,'United Data'!$C$3:$C$3390,$A629)&gt;0,1,0)</f>
        <v>0</v>
      </c>
      <c r="S629">
        <f t="shared" si="18"/>
        <v>1</v>
      </c>
      <c r="T629">
        <f t="shared" si="19"/>
        <v>1</v>
      </c>
    </row>
    <row r="630" spans="1:20" x14ac:dyDescent="0.2">
      <c r="A630" t="s">
        <v>750</v>
      </c>
      <c r="B630">
        <f>IF(COUNTIFS('United Data'!$A$3:$A$3390,B$1,'United Data'!$C$3:$C$3390,$A630)&gt;0,1,0)</f>
        <v>0</v>
      </c>
      <c r="C630">
        <f>IF(COUNTIFS('United Data'!$A$3:$A$3390,C$1,'United Data'!$C$3:$C$3390,$A630)&gt;0,1,0)</f>
        <v>0</v>
      </c>
      <c r="D630">
        <f>IF(COUNTIFS('United Data'!$A$3:$A$3390,D$1,'United Data'!$C$3:$C$3390,$A630)&gt;0,1,0)</f>
        <v>0</v>
      </c>
      <c r="E630">
        <f>IF(COUNTIFS('United Data'!$A$3:$A$3390,E$1,'United Data'!$C$3:$C$3390,$A630)&gt;0,1,0)</f>
        <v>0</v>
      </c>
      <c r="F630">
        <f>IF(COUNTIFS('United Data'!$A$3:$A$3390,F$1,'United Data'!$C$3:$C$3390,$A630)&gt;0,1,0)</f>
        <v>1</v>
      </c>
      <c r="G630">
        <f>IF(COUNTIFS('United Data'!$A$3:$A$3390,G$1,'United Data'!$C$3:$C$3390,$A630)&gt;0,1,0)</f>
        <v>0</v>
      </c>
      <c r="H630">
        <f>IF(COUNTIFS('United Data'!$A$3:$A$3390,H$1,'United Data'!$C$3:$C$3390,$A630)&gt;0,1,0)</f>
        <v>0</v>
      </c>
      <c r="I630">
        <f>IF(COUNTIFS('United Data'!$A$3:$A$3390,I$1,'United Data'!$C$3:$C$3390,$A630)&gt;0,1,0)</f>
        <v>0</v>
      </c>
      <c r="J630">
        <f>IF(COUNTIFS('United Data'!$A$3:$A$3390,J$1,'United Data'!$C$3:$C$3390,$A630)&gt;0,1,0)</f>
        <v>0</v>
      </c>
      <c r="K630">
        <f>IF(COUNTIFS('United Data'!$A$3:$A$3390,K$1,'United Data'!$C$3:$C$3390,$A630)&gt;0,1,0)</f>
        <v>0</v>
      </c>
      <c r="L630">
        <f>IF(COUNTIFS('United Data'!$A$3:$A$3390,L$1,'United Data'!$C$3:$C$3390,$A630)&gt;0,1,0)</f>
        <v>0</v>
      </c>
      <c r="M630">
        <f>IF(COUNTIFS('United Data'!$A$3:$A$3390,M$1,'United Data'!$C$3:$C$3390,$A630)&gt;0,1,0)</f>
        <v>0</v>
      </c>
      <c r="N630">
        <f>IF(COUNTIFS('United Data'!$A$3:$A$3390,N$1,'United Data'!$C$3:$C$3390,$A630)&gt;0,1,0)</f>
        <v>0</v>
      </c>
      <c r="O630">
        <f>IF(COUNTIFS('United Data'!$A$3:$A$3390,O$1,'United Data'!$C$3:$C$3390,$A630)&gt;0,1,0)</f>
        <v>0</v>
      </c>
      <c r="P630">
        <f>IF(COUNTIFS('United Data'!$A$3:$A$3390,P$1,'United Data'!$C$3:$C$3390,$A630)&gt;0,1,0)</f>
        <v>0</v>
      </c>
      <c r="Q630">
        <f>IF(COUNTIFS('United Data'!$A$3:$A$3390,Q$1,'United Data'!$C$3:$C$3390,$A630)&gt;0,1,0)</f>
        <v>0</v>
      </c>
      <c r="R630">
        <f>IF(COUNTIFS('United Data'!$A$3:$A$3390,R$1,'United Data'!$C$3:$C$3390,$A630)&gt;0,1,0)</f>
        <v>0</v>
      </c>
      <c r="S630">
        <f t="shared" si="18"/>
        <v>1</v>
      </c>
      <c r="T630">
        <f t="shared" si="19"/>
        <v>1</v>
      </c>
    </row>
    <row r="631" spans="1:20" x14ac:dyDescent="0.2">
      <c r="A631" t="s">
        <v>751</v>
      </c>
      <c r="B631">
        <f>IF(COUNTIFS('United Data'!$A$3:$A$3390,B$1,'United Data'!$C$3:$C$3390,$A631)&gt;0,1,0)</f>
        <v>0</v>
      </c>
      <c r="C631">
        <f>IF(COUNTIFS('United Data'!$A$3:$A$3390,C$1,'United Data'!$C$3:$C$3390,$A631)&gt;0,1,0)</f>
        <v>0</v>
      </c>
      <c r="D631">
        <f>IF(COUNTIFS('United Data'!$A$3:$A$3390,D$1,'United Data'!$C$3:$C$3390,$A631)&gt;0,1,0)</f>
        <v>0</v>
      </c>
      <c r="E631">
        <f>IF(COUNTIFS('United Data'!$A$3:$A$3390,E$1,'United Data'!$C$3:$C$3390,$A631)&gt;0,1,0)</f>
        <v>0</v>
      </c>
      <c r="F631">
        <f>IF(COUNTIFS('United Data'!$A$3:$A$3390,F$1,'United Data'!$C$3:$C$3390,$A631)&gt;0,1,0)</f>
        <v>1</v>
      </c>
      <c r="G631">
        <f>IF(COUNTIFS('United Data'!$A$3:$A$3390,G$1,'United Data'!$C$3:$C$3390,$A631)&gt;0,1,0)</f>
        <v>0</v>
      </c>
      <c r="H631">
        <f>IF(COUNTIFS('United Data'!$A$3:$A$3390,H$1,'United Data'!$C$3:$C$3390,$A631)&gt;0,1,0)</f>
        <v>0</v>
      </c>
      <c r="I631">
        <f>IF(COUNTIFS('United Data'!$A$3:$A$3390,I$1,'United Data'!$C$3:$C$3390,$A631)&gt;0,1,0)</f>
        <v>0</v>
      </c>
      <c r="J631">
        <f>IF(COUNTIFS('United Data'!$A$3:$A$3390,J$1,'United Data'!$C$3:$C$3390,$A631)&gt;0,1,0)</f>
        <v>0</v>
      </c>
      <c r="K631">
        <f>IF(COUNTIFS('United Data'!$A$3:$A$3390,K$1,'United Data'!$C$3:$C$3390,$A631)&gt;0,1,0)</f>
        <v>0</v>
      </c>
      <c r="L631">
        <f>IF(COUNTIFS('United Data'!$A$3:$A$3390,L$1,'United Data'!$C$3:$C$3390,$A631)&gt;0,1,0)</f>
        <v>0</v>
      </c>
      <c r="M631">
        <f>IF(COUNTIFS('United Data'!$A$3:$A$3390,M$1,'United Data'!$C$3:$C$3390,$A631)&gt;0,1,0)</f>
        <v>0</v>
      </c>
      <c r="N631">
        <f>IF(COUNTIFS('United Data'!$A$3:$A$3390,N$1,'United Data'!$C$3:$C$3390,$A631)&gt;0,1,0)</f>
        <v>0</v>
      </c>
      <c r="O631">
        <f>IF(COUNTIFS('United Data'!$A$3:$A$3390,O$1,'United Data'!$C$3:$C$3390,$A631)&gt;0,1,0)</f>
        <v>0</v>
      </c>
      <c r="P631">
        <f>IF(COUNTIFS('United Data'!$A$3:$A$3390,P$1,'United Data'!$C$3:$C$3390,$A631)&gt;0,1,0)</f>
        <v>0</v>
      </c>
      <c r="Q631">
        <f>IF(COUNTIFS('United Data'!$A$3:$A$3390,Q$1,'United Data'!$C$3:$C$3390,$A631)&gt;0,1,0)</f>
        <v>0</v>
      </c>
      <c r="R631">
        <f>IF(COUNTIFS('United Data'!$A$3:$A$3390,R$1,'United Data'!$C$3:$C$3390,$A631)&gt;0,1,0)</f>
        <v>0</v>
      </c>
      <c r="S631">
        <f t="shared" si="18"/>
        <v>1</v>
      </c>
      <c r="T631">
        <f t="shared" si="19"/>
        <v>1</v>
      </c>
    </row>
    <row r="632" spans="1:20" x14ac:dyDescent="0.2">
      <c r="A632" t="s">
        <v>752</v>
      </c>
      <c r="B632">
        <f>IF(COUNTIFS('United Data'!$A$3:$A$3390,B$1,'United Data'!$C$3:$C$3390,$A632)&gt;0,1,0)</f>
        <v>0</v>
      </c>
      <c r="C632">
        <f>IF(COUNTIFS('United Data'!$A$3:$A$3390,C$1,'United Data'!$C$3:$C$3390,$A632)&gt;0,1,0)</f>
        <v>0</v>
      </c>
      <c r="D632">
        <f>IF(COUNTIFS('United Data'!$A$3:$A$3390,D$1,'United Data'!$C$3:$C$3390,$A632)&gt;0,1,0)</f>
        <v>0</v>
      </c>
      <c r="E632">
        <f>IF(COUNTIFS('United Data'!$A$3:$A$3390,E$1,'United Data'!$C$3:$C$3390,$A632)&gt;0,1,0)</f>
        <v>0</v>
      </c>
      <c r="F632">
        <f>IF(COUNTIFS('United Data'!$A$3:$A$3390,F$1,'United Data'!$C$3:$C$3390,$A632)&gt;0,1,0)</f>
        <v>1</v>
      </c>
      <c r="G632">
        <f>IF(COUNTIFS('United Data'!$A$3:$A$3390,G$1,'United Data'!$C$3:$C$3390,$A632)&gt;0,1,0)</f>
        <v>0</v>
      </c>
      <c r="H632">
        <f>IF(COUNTIFS('United Data'!$A$3:$A$3390,H$1,'United Data'!$C$3:$C$3390,$A632)&gt;0,1,0)</f>
        <v>0</v>
      </c>
      <c r="I632">
        <f>IF(COUNTIFS('United Data'!$A$3:$A$3390,I$1,'United Data'!$C$3:$C$3390,$A632)&gt;0,1,0)</f>
        <v>0</v>
      </c>
      <c r="J632">
        <f>IF(COUNTIFS('United Data'!$A$3:$A$3390,J$1,'United Data'!$C$3:$C$3390,$A632)&gt;0,1,0)</f>
        <v>0</v>
      </c>
      <c r="K632">
        <f>IF(COUNTIFS('United Data'!$A$3:$A$3390,K$1,'United Data'!$C$3:$C$3390,$A632)&gt;0,1,0)</f>
        <v>0</v>
      </c>
      <c r="L632">
        <f>IF(COUNTIFS('United Data'!$A$3:$A$3390,L$1,'United Data'!$C$3:$C$3390,$A632)&gt;0,1,0)</f>
        <v>0</v>
      </c>
      <c r="M632">
        <f>IF(COUNTIFS('United Data'!$A$3:$A$3390,M$1,'United Data'!$C$3:$C$3390,$A632)&gt;0,1,0)</f>
        <v>0</v>
      </c>
      <c r="N632">
        <f>IF(COUNTIFS('United Data'!$A$3:$A$3390,N$1,'United Data'!$C$3:$C$3390,$A632)&gt;0,1,0)</f>
        <v>0</v>
      </c>
      <c r="O632">
        <f>IF(COUNTIFS('United Data'!$A$3:$A$3390,O$1,'United Data'!$C$3:$C$3390,$A632)&gt;0,1,0)</f>
        <v>0</v>
      </c>
      <c r="P632">
        <f>IF(COUNTIFS('United Data'!$A$3:$A$3390,P$1,'United Data'!$C$3:$C$3390,$A632)&gt;0,1,0)</f>
        <v>0</v>
      </c>
      <c r="Q632">
        <f>IF(COUNTIFS('United Data'!$A$3:$A$3390,Q$1,'United Data'!$C$3:$C$3390,$A632)&gt;0,1,0)</f>
        <v>0</v>
      </c>
      <c r="R632">
        <f>IF(COUNTIFS('United Data'!$A$3:$A$3390,R$1,'United Data'!$C$3:$C$3390,$A632)&gt;0,1,0)</f>
        <v>0</v>
      </c>
      <c r="S632">
        <f t="shared" si="18"/>
        <v>1</v>
      </c>
      <c r="T632">
        <f t="shared" si="19"/>
        <v>1</v>
      </c>
    </row>
    <row r="633" spans="1:20" x14ac:dyDescent="0.2">
      <c r="A633" t="s">
        <v>754</v>
      </c>
      <c r="B633">
        <f>IF(COUNTIFS('United Data'!$A$3:$A$3390,B$1,'United Data'!$C$3:$C$3390,$A633)&gt;0,1,0)</f>
        <v>0</v>
      </c>
      <c r="C633">
        <f>IF(COUNTIFS('United Data'!$A$3:$A$3390,C$1,'United Data'!$C$3:$C$3390,$A633)&gt;0,1,0)</f>
        <v>0</v>
      </c>
      <c r="D633">
        <f>IF(COUNTIFS('United Data'!$A$3:$A$3390,D$1,'United Data'!$C$3:$C$3390,$A633)&gt;0,1,0)</f>
        <v>0</v>
      </c>
      <c r="E633">
        <f>IF(COUNTIFS('United Data'!$A$3:$A$3390,E$1,'United Data'!$C$3:$C$3390,$A633)&gt;0,1,0)</f>
        <v>0</v>
      </c>
      <c r="F633">
        <f>IF(COUNTIFS('United Data'!$A$3:$A$3390,F$1,'United Data'!$C$3:$C$3390,$A633)&gt;0,1,0)</f>
        <v>1</v>
      </c>
      <c r="G633">
        <f>IF(COUNTIFS('United Data'!$A$3:$A$3390,G$1,'United Data'!$C$3:$C$3390,$A633)&gt;0,1,0)</f>
        <v>0</v>
      </c>
      <c r="H633">
        <f>IF(COUNTIFS('United Data'!$A$3:$A$3390,H$1,'United Data'!$C$3:$C$3390,$A633)&gt;0,1,0)</f>
        <v>0</v>
      </c>
      <c r="I633">
        <f>IF(COUNTIFS('United Data'!$A$3:$A$3390,I$1,'United Data'!$C$3:$C$3390,$A633)&gt;0,1,0)</f>
        <v>0</v>
      </c>
      <c r="J633">
        <f>IF(COUNTIFS('United Data'!$A$3:$A$3390,J$1,'United Data'!$C$3:$C$3390,$A633)&gt;0,1,0)</f>
        <v>0</v>
      </c>
      <c r="K633">
        <f>IF(COUNTIFS('United Data'!$A$3:$A$3390,K$1,'United Data'!$C$3:$C$3390,$A633)&gt;0,1,0)</f>
        <v>0</v>
      </c>
      <c r="L633">
        <f>IF(COUNTIFS('United Data'!$A$3:$A$3390,L$1,'United Data'!$C$3:$C$3390,$A633)&gt;0,1,0)</f>
        <v>0</v>
      </c>
      <c r="M633">
        <f>IF(COUNTIFS('United Data'!$A$3:$A$3390,M$1,'United Data'!$C$3:$C$3390,$A633)&gt;0,1,0)</f>
        <v>0</v>
      </c>
      <c r="N633">
        <f>IF(COUNTIFS('United Data'!$A$3:$A$3390,N$1,'United Data'!$C$3:$C$3390,$A633)&gt;0,1,0)</f>
        <v>0</v>
      </c>
      <c r="O633">
        <f>IF(COUNTIFS('United Data'!$A$3:$A$3390,O$1,'United Data'!$C$3:$C$3390,$A633)&gt;0,1,0)</f>
        <v>0</v>
      </c>
      <c r="P633">
        <f>IF(COUNTIFS('United Data'!$A$3:$A$3390,P$1,'United Data'!$C$3:$C$3390,$A633)&gt;0,1,0)</f>
        <v>0</v>
      </c>
      <c r="Q633">
        <f>IF(COUNTIFS('United Data'!$A$3:$A$3390,Q$1,'United Data'!$C$3:$C$3390,$A633)&gt;0,1,0)</f>
        <v>0</v>
      </c>
      <c r="R633">
        <f>IF(COUNTIFS('United Data'!$A$3:$A$3390,R$1,'United Data'!$C$3:$C$3390,$A633)&gt;0,1,0)</f>
        <v>0</v>
      </c>
      <c r="S633">
        <f t="shared" si="18"/>
        <v>1</v>
      </c>
      <c r="T633">
        <f t="shared" si="19"/>
        <v>1</v>
      </c>
    </row>
    <row r="634" spans="1:20" x14ac:dyDescent="0.2">
      <c r="A634" t="s">
        <v>756</v>
      </c>
      <c r="B634">
        <f>IF(COUNTIFS('United Data'!$A$3:$A$3390,B$1,'United Data'!$C$3:$C$3390,$A634)&gt;0,1,0)</f>
        <v>0</v>
      </c>
      <c r="C634">
        <f>IF(COUNTIFS('United Data'!$A$3:$A$3390,C$1,'United Data'!$C$3:$C$3390,$A634)&gt;0,1,0)</f>
        <v>0</v>
      </c>
      <c r="D634">
        <f>IF(COUNTIFS('United Data'!$A$3:$A$3390,D$1,'United Data'!$C$3:$C$3390,$A634)&gt;0,1,0)</f>
        <v>0</v>
      </c>
      <c r="E634">
        <f>IF(COUNTIFS('United Data'!$A$3:$A$3390,E$1,'United Data'!$C$3:$C$3390,$A634)&gt;0,1,0)</f>
        <v>0</v>
      </c>
      <c r="F634">
        <f>IF(COUNTIFS('United Data'!$A$3:$A$3390,F$1,'United Data'!$C$3:$C$3390,$A634)&gt;0,1,0)</f>
        <v>0</v>
      </c>
      <c r="G634">
        <f>IF(COUNTIFS('United Data'!$A$3:$A$3390,G$1,'United Data'!$C$3:$C$3390,$A634)&gt;0,1,0)</f>
        <v>0</v>
      </c>
      <c r="H634">
        <f>IF(COUNTIFS('United Data'!$A$3:$A$3390,H$1,'United Data'!$C$3:$C$3390,$A634)&gt;0,1,0)</f>
        <v>1</v>
      </c>
      <c r="I634">
        <f>IF(COUNTIFS('United Data'!$A$3:$A$3390,I$1,'United Data'!$C$3:$C$3390,$A634)&gt;0,1,0)</f>
        <v>0</v>
      </c>
      <c r="J634">
        <f>IF(COUNTIFS('United Data'!$A$3:$A$3390,J$1,'United Data'!$C$3:$C$3390,$A634)&gt;0,1,0)</f>
        <v>0</v>
      </c>
      <c r="K634">
        <f>IF(COUNTIFS('United Data'!$A$3:$A$3390,K$1,'United Data'!$C$3:$C$3390,$A634)&gt;0,1,0)</f>
        <v>0</v>
      </c>
      <c r="L634">
        <f>IF(COUNTIFS('United Data'!$A$3:$A$3390,L$1,'United Data'!$C$3:$C$3390,$A634)&gt;0,1,0)</f>
        <v>0</v>
      </c>
      <c r="M634">
        <f>IF(COUNTIFS('United Data'!$A$3:$A$3390,M$1,'United Data'!$C$3:$C$3390,$A634)&gt;0,1,0)</f>
        <v>0</v>
      </c>
      <c r="N634">
        <f>IF(COUNTIFS('United Data'!$A$3:$A$3390,N$1,'United Data'!$C$3:$C$3390,$A634)&gt;0,1,0)</f>
        <v>0</v>
      </c>
      <c r="O634">
        <f>IF(COUNTIFS('United Data'!$A$3:$A$3390,O$1,'United Data'!$C$3:$C$3390,$A634)&gt;0,1,0)</f>
        <v>0</v>
      </c>
      <c r="P634">
        <f>IF(COUNTIFS('United Data'!$A$3:$A$3390,P$1,'United Data'!$C$3:$C$3390,$A634)&gt;0,1,0)</f>
        <v>0</v>
      </c>
      <c r="Q634">
        <f>IF(COUNTIFS('United Data'!$A$3:$A$3390,Q$1,'United Data'!$C$3:$C$3390,$A634)&gt;0,1,0)</f>
        <v>0</v>
      </c>
      <c r="R634">
        <f>IF(COUNTIFS('United Data'!$A$3:$A$3390,R$1,'United Data'!$C$3:$C$3390,$A634)&gt;0,1,0)</f>
        <v>0</v>
      </c>
      <c r="S634">
        <f t="shared" si="18"/>
        <v>1</v>
      </c>
      <c r="T634">
        <f t="shared" si="19"/>
        <v>1</v>
      </c>
    </row>
    <row r="635" spans="1:20" x14ac:dyDescent="0.2">
      <c r="A635" t="s">
        <v>757</v>
      </c>
      <c r="B635">
        <f>IF(COUNTIFS('United Data'!$A$3:$A$3390,B$1,'United Data'!$C$3:$C$3390,$A635)&gt;0,1,0)</f>
        <v>0</v>
      </c>
      <c r="C635">
        <f>IF(COUNTIFS('United Data'!$A$3:$A$3390,C$1,'United Data'!$C$3:$C$3390,$A635)&gt;0,1,0)</f>
        <v>0</v>
      </c>
      <c r="D635">
        <f>IF(COUNTIFS('United Data'!$A$3:$A$3390,D$1,'United Data'!$C$3:$C$3390,$A635)&gt;0,1,0)</f>
        <v>0</v>
      </c>
      <c r="E635">
        <f>IF(COUNTIFS('United Data'!$A$3:$A$3390,E$1,'United Data'!$C$3:$C$3390,$A635)&gt;0,1,0)</f>
        <v>0</v>
      </c>
      <c r="F635">
        <f>IF(COUNTIFS('United Data'!$A$3:$A$3390,F$1,'United Data'!$C$3:$C$3390,$A635)&gt;0,1,0)</f>
        <v>0</v>
      </c>
      <c r="G635">
        <f>IF(COUNTIFS('United Data'!$A$3:$A$3390,G$1,'United Data'!$C$3:$C$3390,$A635)&gt;0,1,0)</f>
        <v>0</v>
      </c>
      <c r="H635">
        <f>IF(COUNTIFS('United Data'!$A$3:$A$3390,H$1,'United Data'!$C$3:$C$3390,$A635)&gt;0,1,0)</f>
        <v>1</v>
      </c>
      <c r="I635">
        <f>IF(COUNTIFS('United Data'!$A$3:$A$3390,I$1,'United Data'!$C$3:$C$3390,$A635)&gt;0,1,0)</f>
        <v>0</v>
      </c>
      <c r="J635">
        <f>IF(COUNTIFS('United Data'!$A$3:$A$3390,J$1,'United Data'!$C$3:$C$3390,$A635)&gt;0,1,0)</f>
        <v>0</v>
      </c>
      <c r="K635">
        <f>IF(COUNTIFS('United Data'!$A$3:$A$3390,K$1,'United Data'!$C$3:$C$3390,$A635)&gt;0,1,0)</f>
        <v>0</v>
      </c>
      <c r="L635">
        <f>IF(COUNTIFS('United Data'!$A$3:$A$3390,L$1,'United Data'!$C$3:$C$3390,$A635)&gt;0,1,0)</f>
        <v>0</v>
      </c>
      <c r="M635">
        <f>IF(COUNTIFS('United Data'!$A$3:$A$3390,M$1,'United Data'!$C$3:$C$3390,$A635)&gt;0,1,0)</f>
        <v>0</v>
      </c>
      <c r="N635">
        <f>IF(COUNTIFS('United Data'!$A$3:$A$3390,N$1,'United Data'!$C$3:$C$3390,$A635)&gt;0,1,0)</f>
        <v>0</v>
      </c>
      <c r="O635">
        <f>IF(COUNTIFS('United Data'!$A$3:$A$3390,O$1,'United Data'!$C$3:$C$3390,$A635)&gt;0,1,0)</f>
        <v>0</v>
      </c>
      <c r="P635">
        <f>IF(COUNTIFS('United Data'!$A$3:$A$3390,P$1,'United Data'!$C$3:$C$3390,$A635)&gt;0,1,0)</f>
        <v>0</v>
      </c>
      <c r="Q635">
        <f>IF(COUNTIFS('United Data'!$A$3:$A$3390,Q$1,'United Data'!$C$3:$C$3390,$A635)&gt;0,1,0)</f>
        <v>0</v>
      </c>
      <c r="R635">
        <f>IF(COUNTIFS('United Data'!$A$3:$A$3390,R$1,'United Data'!$C$3:$C$3390,$A635)&gt;0,1,0)</f>
        <v>0</v>
      </c>
      <c r="S635">
        <f t="shared" si="18"/>
        <v>1</v>
      </c>
      <c r="T635">
        <f t="shared" si="19"/>
        <v>1</v>
      </c>
    </row>
    <row r="636" spans="1:20" x14ac:dyDescent="0.2">
      <c r="A636" t="s">
        <v>758</v>
      </c>
      <c r="B636">
        <f>IF(COUNTIFS('United Data'!$A$3:$A$3390,B$1,'United Data'!$C$3:$C$3390,$A636)&gt;0,1,0)</f>
        <v>0</v>
      </c>
      <c r="C636">
        <f>IF(COUNTIFS('United Data'!$A$3:$A$3390,C$1,'United Data'!$C$3:$C$3390,$A636)&gt;0,1,0)</f>
        <v>0</v>
      </c>
      <c r="D636">
        <f>IF(COUNTIFS('United Data'!$A$3:$A$3390,D$1,'United Data'!$C$3:$C$3390,$A636)&gt;0,1,0)</f>
        <v>0</v>
      </c>
      <c r="E636">
        <f>IF(COUNTIFS('United Data'!$A$3:$A$3390,E$1,'United Data'!$C$3:$C$3390,$A636)&gt;0,1,0)</f>
        <v>0</v>
      </c>
      <c r="F636">
        <f>IF(COUNTIFS('United Data'!$A$3:$A$3390,F$1,'United Data'!$C$3:$C$3390,$A636)&gt;0,1,0)</f>
        <v>0</v>
      </c>
      <c r="G636">
        <f>IF(COUNTIFS('United Data'!$A$3:$A$3390,G$1,'United Data'!$C$3:$C$3390,$A636)&gt;0,1,0)</f>
        <v>0</v>
      </c>
      <c r="H636">
        <f>IF(COUNTIFS('United Data'!$A$3:$A$3390,H$1,'United Data'!$C$3:$C$3390,$A636)&gt;0,1,0)</f>
        <v>1</v>
      </c>
      <c r="I636">
        <f>IF(COUNTIFS('United Data'!$A$3:$A$3390,I$1,'United Data'!$C$3:$C$3390,$A636)&gt;0,1,0)</f>
        <v>0</v>
      </c>
      <c r="J636">
        <f>IF(COUNTIFS('United Data'!$A$3:$A$3390,J$1,'United Data'!$C$3:$C$3390,$A636)&gt;0,1,0)</f>
        <v>0</v>
      </c>
      <c r="K636">
        <f>IF(COUNTIFS('United Data'!$A$3:$A$3390,K$1,'United Data'!$C$3:$C$3390,$A636)&gt;0,1,0)</f>
        <v>0</v>
      </c>
      <c r="L636">
        <f>IF(COUNTIFS('United Data'!$A$3:$A$3390,L$1,'United Data'!$C$3:$C$3390,$A636)&gt;0,1,0)</f>
        <v>0</v>
      </c>
      <c r="M636">
        <f>IF(COUNTIFS('United Data'!$A$3:$A$3390,M$1,'United Data'!$C$3:$C$3390,$A636)&gt;0,1,0)</f>
        <v>0</v>
      </c>
      <c r="N636">
        <f>IF(COUNTIFS('United Data'!$A$3:$A$3390,N$1,'United Data'!$C$3:$C$3390,$A636)&gt;0,1,0)</f>
        <v>0</v>
      </c>
      <c r="O636">
        <f>IF(COUNTIFS('United Data'!$A$3:$A$3390,O$1,'United Data'!$C$3:$C$3390,$A636)&gt;0,1,0)</f>
        <v>0</v>
      </c>
      <c r="P636">
        <f>IF(COUNTIFS('United Data'!$A$3:$A$3390,P$1,'United Data'!$C$3:$C$3390,$A636)&gt;0,1,0)</f>
        <v>0</v>
      </c>
      <c r="Q636">
        <f>IF(COUNTIFS('United Data'!$A$3:$A$3390,Q$1,'United Data'!$C$3:$C$3390,$A636)&gt;0,1,0)</f>
        <v>0</v>
      </c>
      <c r="R636">
        <f>IF(COUNTIFS('United Data'!$A$3:$A$3390,R$1,'United Data'!$C$3:$C$3390,$A636)&gt;0,1,0)</f>
        <v>0</v>
      </c>
      <c r="S636">
        <f t="shared" si="18"/>
        <v>1</v>
      </c>
      <c r="T636">
        <f t="shared" si="19"/>
        <v>1</v>
      </c>
    </row>
    <row r="637" spans="1:20" x14ac:dyDescent="0.2">
      <c r="A637" t="s">
        <v>759</v>
      </c>
      <c r="B637">
        <f>IF(COUNTIFS('United Data'!$A$3:$A$3390,B$1,'United Data'!$C$3:$C$3390,$A637)&gt;0,1,0)</f>
        <v>0</v>
      </c>
      <c r="C637">
        <f>IF(COUNTIFS('United Data'!$A$3:$A$3390,C$1,'United Data'!$C$3:$C$3390,$A637)&gt;0,1,0)</f>
        <v>0</v>
      </c>
      <c r="D637">
        <f>IF(COUNTIFS('United Data'!$A$3:$A$3390,D$1,'United Data'!$C$3:$C$3390,$A637)&gt;0,1,0)</f>
        <v>0</v>
      </c>
      <c r="E637">
        <f>IF(COUNTIFS('United Data'!$A$3:$A$3390,E$1,'United Data'!$C$3:$C$3390,$A637)&gt;0,1,0)</f>
        <v>0</v>
      </c>
      <c r="F637">
        <f>IF(COUNTIFS('United Data'!$A$3:$A$3390,F$1,'United Data'!$C$3:$C$3390,$A637)&gt;0,1,0)</f>
        <v>0</v>
      </c>
      <c r="G637">
        <f>IF(COUNTIFS('United Data'!$A$3:$A$3390,G$1,'United Data'!$C$3:$C$3390,$A637)&gt;0,1,0)</f>
        <v>0</v>
      </c>
      <c r="H637">
        <f>IF(COUNTIFS('United Data'!$A$3:$A$3390,H$1,'United Data'!$C$3:$C$3390,$A637)&gt;0,1,0)</f>
        <v>1</v>
      </c>
      <c r="I637">
        <f>IF(COUNTIFS('United Data'!$A$3:$A$3390,I$1,'United Data'!$C$3:$C$3390,$A637)&gt;0,1,0)</f>
        <v>0</v>
      </c>
      <c r="J637">
        <f>IF(COUNTIFS('United Data'!$A$3:$A$3390,J$1,'United Data'!$C$3:$C$3390,$A637)&gt;0,1,0)</f>
        <v>0</v>
      </c>
      <c r="K637">
        <f>IF(COUNTIFS('United Data'!$A$3:$A$3390,K$1,'United Data'!$C$3:$C$3390,$A637)&gt;0,1,0)</f>
        <v>0</v>
      </c>
      <c r="L637">
        <f>IF(COUNTIFS('United Data'!$A$3:$A$3390,L$1,'United Data'!$C$3:$C$3390,$A637)&gt;0,1,0)</f>
        <v>0</v>
      </c>
      <c r="M637">
        <f>IF(COUNTIFS('United Data'!$A$3:$A$3390,M$1,'United Data'!$C$3:$C$3390,$A637)&gt;0,1,0)</f>
        <v>0</v>
      </c>
      <c r="N637">
        <f>IF(COUNTIFS('United Data'!$A$3:$A$3390,N$1,'United Data'!$C$3:$C$3390,$A637)&gt;0,1,0)</f>
        <v>0</v>
      </c>
      <c r="O637">
        <f>IF(COUNTIFS('United Data'!$A$3:$A$3390,O$1,'United Data'!$C$3:$C$3390,$A637)&gt;0,1,0)</f>
        <v>0</v>
      </c>
      <c r="P637">
        <f>IF(COUNTIFS('United Data'!$A$3:$A$3390,P$1,'United Data'!$C$3:$C$3390,$A637)&gt;0,1,0)</f>
        <v>0</v>
      </c>
      <c r="Q637">
        <f>IF(COUNTIFS('United Data'!$A$3:$A$3390,Q$1,'United Data'!$C$3:$C$3390,$A637)&gt;0,1,0)</f>
        <v>0</v>
      </c>
      <c r="R637">
        <f>IF(COUNTIFS('United Data'!$A$3:$A$3390,R$1,'United Data'!$C$3:$C$3390,$A637)&gt;0,1,0)</f>
        <v>0</v>
      </c>
      <c r="S637">
        <f t="shared" si="18"/>
        <v>1</v>
      </c>
      <c r="T637">
        <f t="shared" si="19"/>
        <v>1</v>
      </c>
    </row>
    <row r="638" spans="1:20" x14ac:dyDescent="0.2">
      <c r="A638" t="s">
        <v>760</v>
      </c>
      <c r="B638">
        <f>IF(COUNTIFS('United Data'!$A$3:$A$3390,B$1,'United Data'!$C$3:$C$3390,$A638)&gt;0,1,0)</f>
        <v>0</v>
      </c>
      <c r="C638">
        <f>IF(COUNTIFS('United Data'!$A$3:$A$3390,C$1,'United Data'!$C$3:$C$3390,$A638)&gt;0,1,0)</f>
        <v>0</v>
      </c>
      <c r="D638">
        <f>IF(COUNTIFS('United Data'!$A$3:$A$3390,D$1,'United Data'!$C$3:$C$3390,$A638)&gt;0,1,0)</f>
        <v>0</v>
      </c>
      <c r="E638">
        <f>IF(COUNTIFS('United Data'!$A$3:$A$3390,E$1,'United Data'!$C$3:$C$3390,$A638)&gt;0,1,0)</f>
        <v>0</v>
      </c>
      <c r="F638">
        <f>IF(COUNTIFS('United Data'!$A$3:$A$3390,F$1,'United Data'!$C$3:$C$3390,$A638)&gt;0,1,0)</f>
        <v>0</v>
      </c>
      <c r="G638">
        <f>IF(COUNTIFS('United Data'!$A$3:$A$3390,G$1,'United Data'!$C$3:$C$3390,$A638)&gt;0,1,0)</f>
        <v>0</v>
      </c>
      <c r="H638">
        <f>IF(COUNTIFS('United Data'!$A$3:$A$3390,H$1,'United Data'!$C$3:$C$3390,$A638)&gt;0,1,0)</f>
        <v>0</v>
      </c>
      <c r="I638">
        <f>IF(COUNTIFS('United Data'!$A$3:$A$3390,I$1,'United Data'!$C$3:$C$3390,$A638)&gt;0,1,0)</f>
        <v>1</v>
      </c>
      <c r="J638">
        <f>IF(COUNTIFS('United Data'!$A$3:$A$3390,J$1,'United Data'!$C$3:$C$3390,$A638)&gt;0,1,0)</f>
        <v>0</v>
      </c>
      <c r="K638">
        <f>IF(COUNTIFS('United Data'!$A$3:$A$3390,K$1,'United Data'!$C$3:$C$3390,$A638)&gt;0,1,0)</f>
        <v>0</v>
      </c>
      <c r="L638">
        <f>IF(COUNTIFS('United Data'!$A$3:$A$3390,L$1,'United Data'!$C$3:$C$3390,$A638)&gt;0,1,0)</f>
        <v>0</v>
      </c>
      <c r="M638">
        <f>IF(COUNTIFS('United Data'!$A$3:$A$3390,M$1,'United Data'!$C$3:$C$3390,$A638)&gt;0,1,0)</f>
        <v>0</v>
      </c>
      <c r="N638">
        <f>IF(COUNTIFS('United Data'!$A$3:$A$3390,N$1,'United Data'!$C$3:$C$3390,$A638)&gt;0,1,0)</f>
        <v>0</v>
      </c>
      <c r="O638">
        <f>IF(COUNTIFS('United Data'!$A$3:$A$3390,O$1,'United Data'!$C$3:$C$3390,$A638)&gt;0,1,0)</f>
        <v>0</v>
      </c>
      <c r="P638">
        <f>IF(COUNTIFS('United Data'!$A$3:$A$3390,P$1,'United Data'!$C$3:$C$3390,$A638)&gt;0,1,0)</f>
        <v>0</v>
      </c>
      <c r="Q638">
        <f>IF(COUNTIFS('United Data'!$A$3:$A$3390,Q$1,'United Data'!$C$3:$C$3390,$A638)&gt;0,1,0)</f>
        <v>0</v>
      </c>
      <c r="R638">
        <f>IF(COUNTIFS('United Data'!$A$3:$A$3390,R$1,'United Data'!$C$3:$C$3390,$A638)&gt;0,1,0)</f>
        <v>0</v>
      </c>
      <c r="S638">
        <f t="shared" si="18"/>
        <v>1</v>
      </c>
      <c r="T638">
        <f t="shared" si="19"/>
        <v>1</v>
      </c>
    </row>
    <row r="639" spans="1:20" x14ac:dyDescent="0.2">
      <c r="A639" t="s">
        <v>761</v>
      </c>
      <c r="B639">
        <f>IF(COUNTIFS('United Data'!$A$3:$A$3390,B$1,'United Data'!$C$3:$C$3390,$A639)&gt;0,1,0)</f>
        <v>0</v>
      </c>
      <c r="C639">
        <f>IF(COUNTIFS('United Data'!$A$3:$A$3390,C$1,'United Data'!$C$3:$C$3390,$A639)&gt;0,1,0)</f>
        <v>0</v>
      </c>
      <c r="D639">
        <f>IF(COUNTIFS('United Data'!$A$3:$A$3390,D$1,'United Data'!$C$3:$C$3390,$A639)&gt;0,1,0)</f>
        <v>0</v>
      </c>
      <c r="E639">
        <f>IF(COUNTIFS('United Data'!$A$3:$A$3390,E$1,'United Data'!$C$3:$C$3390,$A639)&gt;0,1,0)</f>
        <v>0</v>
      </c>
      <c r="F639">
        <f>IF(COUNTIFS('United Data'!$A$3:$A$3390,F$1,'United Data'!$C$3:$C$3390,$A639)&gt;0,1,0)</f>
        <v>0</v>
      </c>
      <c r="G639">
        <f>IF(COUNTIFS('United Data'!$A$3:$A$3390,G$1,'United Data'!$C$3:$C$3390,$A639)&gt;0,1,0)</f>
        <v>0</v>
      </c>
      <c r="H639">
        <f>IF(COUNTIFS('United Data'!$A$3:$A$3390,H$1,'United Data'!$C$3:$C$3390,$A639)&gt;0,1,0)</f>
        <v>0</v>
      </c>
      <c r="I639">
        <f>IF(COUNTIFS('United Data'!$A$3:$A$3390,I$1,'United Data'!$C$3:$C$3390,$A639)&gt;0,1,0)</f>
        <v>1</v>
      </c>
      <c r="J639">
        <f>IF(COUNTIFS('United Data'!$A$3:$A$3390,J$1,'United Data'!$C$3:$C$3390,$A639)&gt;0,1,0)</f>
        <v>0</v>
      </c>
      <c r="K639">
        <f>IF(COUNTIFS('United Data'!$A$3:$A$3390,K$1,'United Data'!$C$3:$C$3390,$A639)&gt;0,1,0)</f>
        <v>0</v>
      </c>
      <c r="L639">
        <f>IF(COUNTIFS('United Data'!$A$3:$A$3390,L$1,'United Data'!$C$3:$C$3390,$A639)&gt;0,1,0)</f>
        <v>0</v>
      </c>
      <c r="M639">
        <f>IF(COUNTIFS('United Data'!$A$3:$A$3390,M$1,'United Data'!$C$3:$C$3390,$A639)&gt;0,1,0)</f>
        <v>0</v>
      </c>
      <c r="N639">
        <f>IF(COUNTIFS('United Data'!$A$3:$A$3390,N$1,'United Data'!$C$3:$C$3390,$A639)&gt;0,1,0)</f>
        <v>0</v>
      </c>
      <c r="O639">
        <f>IF(COUNTIFS('United Data'!$A$3:$A$3390,O$1,'United Data'!$C$3:$C$3390,$A639)&gt;0,1,0)</f>
        <v>0</v>
      </c>
      <c r="P639">
        <f>IF(COUNTIFS('United Data'!$A$3:$A$3390,P$1,'United Data'!$C$3:$C$3390,$A639)&gt;0,1,0)</f>
        <v>0</v>
      </c>
      <c r="Q639">
        <f>IF(COUNTIFS('United Data'!$A$3:$A$3390,Q$1,'United Data'!$C$3:$C$3390,$A639)&gt;0,1,0)</f>
        <v>0</v>
      </c>
      <c r="R639">
        <f>IF(COUNTIFS('United Data'!$A$3:$A$3390,R$1,'United Data'!$C$3:$C$3390,$A639)&gt;0,1,0)</f>
        <v>0</v>
      </c>
      <c r="S639">
        <f t="shared" si="18"/>
        <v>1</v>
      </c>
      <c r="T639">
        <f t="shared" si="19"/>
        <v>1</v>
      </c>
    </row>
    <row r="640" spans="1:20" x14ac:dyDescent="0.2">
      <c r="A640" t="s">
        <v>762</v>
      </c>
      <c r="B640">
        <f>IF(COUNTIFS('United Data'!$A$3:$A$3390,B$1,'United Data'!$C$3:$C$3390,$A640)&gt;0,1,0)</f>
        <v>0</v>
      </c>
      <c r="C640">
        <f>IF(COUNTIFS('United Data'!$A$3:$A$3390,C$1,'United Data'!$C$3:$C$3390,$A640)&gt;0,1,0)</f>
        <v>0</v>
      </c>
      <c r="D640">
        <f>IF(COUNTIFS('United Data'!$A$3:$A$3390,D$1,'United Data'!$C$3:$C$3390,$A640)&gt;0,1,0)</f>
        <v>0</v>
      </c>
      <c r="E640">
        <f>IF(COUNTIFS('United Data'!$A$3:$A$3390,E$1,'United Data'!$C$3:$C$3390,$A640)&gt;0,1,0)</f>
        <v>0</v>
      </c>
      <c r="F640">
        <f>IF(COUNTIFS('United Data'!$A$3:$A$3390,F$1,'United Data'!$C$3:$C$3390,$A640)&gt;0,1,0)</f>
        <v>0</v>
      </c>
      <c r="G640">
        <f>IF(COUNTIFS('United Data'!$A$3:$A$3390,G$1,'United Data'!$C$3:$C$3390,$A640)&gt;0,1,0)</f>
        <v>0</v>
      </c>
      <c r="H640">
        <f>IF(COUNTIFS('United Data'!$A$3:$A$3390,H$1,'United Data'!$C$3:$C$3390,$A640)&gt;0,1,0)</f>
        <v>0</v>
      </c>
      <c r="I640">
        <f>IF(COUNTIFS('United Data'!$A$3:$A$3390,I$1,'United Data'!$C$3:$C$3390,$A640)&gt;0,1,0)</f>
        <v>1</v>
      </c>
      <c r="J640">
        <f>IF(COUNTIFS('United Data'!$A$3:$A$3390,J$1,'United Data'!$C$3:$C$3390,$A640)&gt;0,1,0)</f>
        <v>0</v>
      </c>
      <c r="K640">
        <f>IF(COUNTIFS('United Data'!$A$3:$A$3390,K$1,'United Data'!$C$3:$C$3390,$A640)&gt;0,1,0)</f>
        <v>0</v>
      </c>
      <c r="L640">
        <f>IF(COUNTIFS('United Data'!$A$3:$A$3390,L$1,'United Data'!$C$3:$C$3390,$A640)&gt;0,1,0)</f>
        <v>0</v>
      </c>
      <c r="M640">
        <f>IF(COUNTIFS('United Data'!$A$3:$A$3390,M$1,'United Data'!$C$3:$C$3390,$A640)&gt;0,1,0)</f>
        <v>0</v>
      </c>
      <c r="N640">
        <f>IF(COUNTIFS('United Data'!$A$3:$A$3390,N$1,'United Data'!$C$3:$C$3390,$A640)&gt;0,1,0)</f>
        <v>0</v>
      </c>
      <c r="O640">
        <f>IF(COUNTIFS('United Data'!$A$3:$A$3390,O$1,'United Data'!$C$3:$C$3390,$A640)&gt;0,1,0)</f>
        <v>0</v>
      </c>
      <c r="P640">
        <f>IF(COUNTIFS('United Data'!$A$3:$A$3390,P$1,'United Data'!$C$3:$C$3390,$A640)&gt;0,1,0)</f>
        <v>0</v>
      </c>
      <c r="Q640">
        <f>IF(COUNTIFS('United Data'!$A$3:$A$3390,Q$1,'United Data'!$C$3:$C$3390,$A640)&gt;0,1,0)</f>
        <v>0</v>
      </c>
      <c r="R640">
        <f>IF(COUNTIFS('United Data'!$A$3:$A$3390,R$1,'United Data'!$C$3:$C$3390,$A640)&gt;0,1,0)</f>
        <v>0</v>
      </c>
      <c r="S640">
        <f t="shared" si="18"/>
        <v>1</v>
      </c>
      <c r="T640">
        <f t="shared" si="19"/>
        <v>1</v>
      </c>
    </row>
    <row r="641" spans="1:20" x14ac:dyDescent="0.2">
      <c r="A641" t="s">
        <v>763</v>
      </c>
      <c r="B641">
        <f>IF(COUNTIFS('United Data'!$A$3:$A$3390,B$1,'United Data'!$C$3:$C$3390,$A641)&gt;0,1,0)</f>
        <v>0</v>
      </c>
      <c r="C641">
        <f>IF(COUNTIFS('United Data'!$A$3:$A$3390,C$1,'United Data'!$C$3:$C$3390,$A641)&gt;0,1,0)</f>
        <v>0</v>
      </c>
      <c r="D641">
        <f>IF(COUNTIFS('United Data'!$A$3:$A$3390,D$1,'United Data'!$C$3:$C$3390,$A641)&gt;0,1,0)</f>
        <v>0</v>
      </c>
      <c r="E641">
        <f>IF(COUNTIFS('United Data'!$A$3:$A$3390,E$1,'United Data'!$C$3:$C$3390,$A641)&gt;0,1,0)</f>
        <v>0</v>
      </c>
      <c r="F641">
        <f>IF(COUNTIFS('United Data'!$A$3:$A$3390,F$1,'United Data'!$C$3:$C$3390,$A641)&gt;0,1,0)</f>
        <v>0</v>
      </c>
      <c r="G641">
        <f>IF(COUNTIFS('United Data'!$A$3:$A$3390,G$1,'United Data'!$C$3:$C$3390,$A641)&gt;0,1,0)</f>
        <v>0</v>
      </c>
      <c r="H641">
        <f>IF(COUNTIFS('United Data'!$A$3:$A$3390,H$1,'United Data'!$C$3:$C$3390,$A641)&gt;0,1,0)</f>
        <v>0</v>
      </c>
      <c r="I641">
        <f>IF(COUNTIFS('United Data'!$A$3:$A$3390,I$1,'United Data'!$C$3:$C$3390,$A641)&gt;0,1,0)</f>
        <v>0</v>
      </c>
      <c r="J641">
        <f>IF(COUNTIFS('United Data'!$A$3:$A$3390,J$1,'United Data'!$C$3:$C$3390,$A641)&gt;0,1,0)</f>
        <v>1</v>
      </c>
      <c r="K641">
        <f>IF(COUNTIFS('United Data'!$A$3:$A$3390,K$1,'United Data'!$C$3:$C$3390,$A641)&gt;0,1,0)</f>
        <v>0</v>
      </c>
      <c r="L641">
        <f>IF(COUNTIFS('United Data'!$A$3:$A$3390,L$1,'United Data'!$C$3:$C$3390,$A641)&gt;0,1,0)</f>
        <v>0</v>
      </c>
      <c r="M641">
        <f>IF(COUNTIFS('United Data'!$A$3:$A$3390,M$1,'United Data'!$C$3:$C$3390,$A641)&gt;0,1,0)</f>
        <v>0</v>
      </c>
      <c r="N641">
        <f>IF(COUNTIFS('United Data'!$A$3:$A$3390,N$1,'United Data'!$C$3:$C$3390,$A641)&gt;0,1,0)</f>
        <v>0</v>
      </c>
      <c r="O641">
        <f>IF(COUNTIFS('United Data'!$A$3:$A$3390,O$1,'United Data'!$C$3:$C$3390,$A641)&gt;0,1,0)</f>
        <v>0</v>
      </c>
      <c r="P641">
        <f>IF(COUNTIFS('United Data'!$A$3:$A$3390,P$1,'United Data'!$C$3:$C$3390,$A641)&gt;0,1,0)</f>
        <v>0</v>
      </c>
      <c r="Q641">
        <f>IF(COUNTIFS('United Data'!$A$3:$A$3390,Q$1,'United Data'!$C$3:$C$3390,$A641)&gt;0,1,0)</f>
        <v>0</v>
      </c>
      <c r="R641">
        <f>IF(COUNTIFS('United Data'!$A$3:$A$3390,R$1,'United Data'!$C$3:$C$3390,$A641)&gt;0,1,0)</f>
        <v>0</v>
      </c>
      <c r="S641">
        <f t="shared" si="18"/>
        <v>1</v>
      </c>
      <c r="T641">
        <f t="shared" si="19"/>
        <v>1</v>
      </c>
    </row>
    <row r="642" spans="1:20" x14ac:dyDescent="0.2">
      <c r="A642" t="s">
        <v>764</v>
      </c>
      <c r="B642">
        <f>IF(COUNTIFS('United Data'!$A$3:$A$3390,B$1,'United Data'!$C$3:$C$3390,$A642)&gt;0,1,0)</f>
        <v>0</v>
      </c>
      <c r="C642">
        <f>IF(COUNTIFS('United Data'!$A$3:$A$3390,C$1,'United Data'!$C$3:$C$3390,$A642)&gt;0,1,0)</f>
        <v>0</v>
      </c>
      <c r="D642">
        <f>IF(COUNTIFS('United Data'!$A$3:$A$3390,D$1,'United Data'!$C$3:$C$3390,$A642)&gt;0,1,0)</f>
        <v>0</v>
      </c>
      <c r="E642">
        <f>IF(COUNTIFS('United Data'!$A$3:$A$3390,E$1,'United Data'!$C$3:$C$3390,$A642)&gt;0,1,0)</f>
        <v>0</v>
      </c>
      <c r="F642">
        <f>IF(COUNTIFS('United Data'!$A$3:$A$3390,F$1,'United Data'!$C$3:$C$3390,$A642)&gt;0,1,0)</f>
        <v>0</v>
      </c>
      <c r="G642">
        <f>IF(COUNTIFS('United Data'!$A$3:$A$3390,G$1,'United Data'!$C$3:$C$3390,$A642)&gt;0,1,0)</f>
        <v>0</v>
      </c>
      <c r="H642">
        <f>IF(COUNTIFS('United Data'!$A$3:$A$3390,H$1,'United Data'!$C$3:$C$3390,$A642)&gt;0,1,0)</f>
        <v>0</v>
      </c>
      <c r="I642">
        <f>IF(COUNTIFS('United Data'!$A$3:$A$3390,I$1,'United Data'!$C$3:$C$3390,$A642)&gt;0,1,0)</f>
        <v>0</v>
      </c>
      <c r="J642">
        <f>IF(COUNTIFS('United Data'!$A$3:$A$3390,J$1,'United Data'!$C$3:$C$3390,$A642)&gt;0,1,0)</f>
        <v>1</v>
      </c>
      <c r="K642">
        <f>IF(COUNTIFS('United Data'!$A$3:$A$3390,K$1,'United Data'!$C$3:$C$3390,$A642)&gt;0,1,0)</f>
        <v>0</v>
      </c>
      <c r="L642">
        <f>IF(COUNTIFS('United Data'!$A$3:$A$3390,L$1,'United Data'!$C$3:$C$3390,$A642)&gt;0,1,0)</f>
        <v>0</v>
      </c>
      <c r="M642">
        <f>IF(COUNTIFS('United Data'!$A$3:$A$3390,M$1,'United Data'!$C$3:$C$3390,$A642)&gt;0,1,0)</f>
        <v>0</v>
      </c>
      <c r="N642">
        <f>IF(COUNTIFS('United Data'!$A$3:$A$3390,N$1,'United Data'!$C$3:$C$3390,$A642)&gt;0,1,0)</f>
        <v>0</v>
      </c>
      <c r="O642">
        <f>IF(COUNTIFS('United Data'!$A$3:$A$3390,O$1,'United Data'!$C$3:$C$3390,$A642)&gt;0,1,0)</f>
        <v>0</v>
      </c>
      <c r="P642">
        <f>IF(COUNTIFS('United Data'!$A$3:$A$3390,P$1,'United Data'!$C$3:$C$3390,$A642)&gt;0,1,0)</f>
        <v>0</v>
      </c>
      <c r="Q642">
        <f>IF(COUNTIFS('United Data'!$A$3:$A$3390,Q$1,'United Data'!$C$3:$C$3390,$A642)&gt;0,1,0)</f>
        <v>0</v>
      </c>
      <c r="R642">
        <f>IF(COUNTIFS('United Data'!$A$3:$A$3390,R$1,'United Data'!$C$3:$C$3390,$A642)&gt;0,1,0)</f>
        <v>0</v>
      </c>
      <c r="S642">
        <f t="shared" ref="S642:S705" si="20">SUM(B642:R642)</f>
        <v>1</v>
      </c>
      <c r="T642">
        <f t="shared" ref="T642:T705" si="21">B642+SUMPRODUCT(--(C642:R642&gt;B642:Q642))</f>
        <v>1</v>
      </c>
    </row>
    <row r="643" spans="1:20" x14ac:dyDescent="0.2">
      <c r="A643" t="s">
        <v>765</v>
      </c>
      <c r="B643">
        <f>IF(COUNTIFS('United Data'!$A$3:$A$3390,B$1,'United Data'!$C$3:$C$3390,$A643)&gt;0,1,0)</f>
        <v>0</v>
      </c>
      <c r="C643">
        <f>IF(COUNTIFS('United Data'!$A$3:$A$3390,C$1,'United Data'!$C$3:$C$3390,$A643)&gt;0,1,0)</f>
        <v>0</v>
      </c>
      <c r="D643">
        <f>IF(COUNTIFS('United Data'!$A$3:$A$3390,D$1,'United Data'!$C$3:$C$3390,$A643)&gt;0,1,0)</f>
        <v>0</v>
      </c>
      <c r="E643">
        <f>IF(COUNTIFS('United Data'!$A$3:$A$3390,E$1,'United Data'!$C$3:$C$3390,$A643)&gt;0,1,0)</f>
        <v>0</v>
      </c>
      <c r="F643">
        <f>IF(COUNTIFS('United Data'!$A$3:$A$3390,F$1,'United Data'!$C$3:$C$3390,$A643)&gt;0,1,0)</f>
        <v>0</v>
      </c>
      <c r="G643">
        <f>IF(COUNTIFS('United Data'!$A$3:$A$3390,G$1,'United Data'!$C$3:$C$3390,$A643)&gt;0,1,0)</f>
        <v>0</v>
      </c>
      <c r="H643">
        <f>IF(COUNTIFS('United Data'!$A$3:$A$3390,H$1,'United Data'!$C$3:$C$3390,$A643)&gt;0,1,0)</f>
        <v>0</v>
      </c>
      <c r="I643">
        <f>IF(COUNTIFS('United Data'!$A$3:$A$3390,I$1,'United Data'!$C$3:$C$3390,$A643)&gt;0,1,0)</f>
        <v>0</v>
      </c>
      <c r="J643">
        <f>IF(COUNTIFS('United Data'!$A$3:$A$3390,J$1,'United Data'!$C$3:$C$3390,$A643)&gt;0,1,0)</f>
        <v>0</v>
      </c>
      <c r="K643">
        <f>IF(COUNTIFS('United Data'!$A$3:$A$3390,K$1,'United Data'!$C$3:$C$3390,$A643)&gt;0,1,0)</f>
        <v>1</v>
      </c>
      <c r="L643">
        <f>IF(COUNTIFS('United Data'!$A$3:$A$3390,L$1,'United Data'!$C$3:$C$3390,$A643)&gt;0,1,0)</f>
        <v>1</v>
      </c>
      <c r="M643">
        <f>IF(COUNTIFS('United Data'!$A$3:$A$3390,M$1,'United Data'!$C$3:$C$3390,$A643)&gt;0,1,0)</f>
        <v>0</v>
      </c>
      <c r="N643">
        <f>IF(COUNTIFS('United Data'!$A$3:$A$3390,N$1,'United Data'!$C$3:$C$3390,$A643)&gt;0,1,0)</f>
        <v>0</v>
      </c>
      <c r="O643">
        <f>IF(COUNTIFS('United Data'!$A$3:$A$3390,O$1,'United Data'!$C$3:$C$3390,$A643)&gt;0,1,0)</f>
        <v>0</v>
      </c>
      <c r="P643">
        <f>IF(COUNTIFS('United Data'!$A$3:$A$3390,P$1,'United Data'!$C$3:$C$3390,$A643)&gt;0,1,0)</f>
        <v>0</v>
      </c>
      <c r="Q643">
        <f>IF(COUNTIFS('United Data'!$A$3:$A$3390,Q$1,'United Data'!$C$3:$C$3390,$A643)&gt;0,1,0)</f>
        <v>0</v>
      </c>
      <c r="R643">
        <f>IF(COUNTIFS('United Data'!$A$3:$A$3390,R$1,'United Data'!$C$3:$C$3390,$A643)&gt;0,1,0)</f>
        <v>0</v>
      </c>
      <c r="S643">
        <f t="shared" si="20"/>
        <v>2</v>
      </c>
      <c r="T643">
        <f t="shared" si="21"/>
        <v>1</v>
      </c>
    </row>
    <row r="644" spans="1:20" x14ac:dyDescent="0.2">
      <c r="A644" t="s">
        <v>766</v>
      </c>
      <c r="B644">
        <f>IF(COUNTIFS('United Data'!$A$3:$A$3390,B$1,'United Data'!$C$3:$C$3390,$A644)&gt;0,1,0)</f>
        <v>0</v>
      </c>
      <c r="C644">
        <f>IF(COUNTIFS('United Data'!$A$3:$A$3390,C$1,'United Data'!$C$3:$C$3390,$A644)&gt;0,1,0)</f>
        <v>0</v>
      </c>
      <c r="D644">
        <f>IF(COUNTIFS('United Data'!$A$3:$A$3390,D$1,'United Data'!$C$3:$C$3390,$A644)&gt;0,1,0)</f>
        <v>0</v>
      </c>
      <c r="E644">
        <f>IF(COUNTIFS('United Data'!$A$3:$A$3390,E$1,'United Data'!$C$3:$C$3390,$A644)&gt;0,1,0)</f>
        <v>0</v>
      </c>
      <c r="F644">
        <f>IF(COUNTIFS('United Data'!$A$3:$A$3390,F$1,'United Data'!$C$3:$C$3390,$A644)&gt;0,1,0)</f>
        <v>0</v>
      </c>
      <c r="G644">
        <f>IF(COUNTIFS('United Data'!$A$3:$A$3390,G$1,'United Data'!$C$3:$C$3390,$A644)&gt;0,1,0)</f>
        <v>0</v>
      </c>
      <c r="H644">
        <f>IF(COUNTIFS('United Data'!$A$3:$A$3390,H$1,'United Data'!$C$3:$C$3390,$A644)&gt;0,1,0)</f>
        <v>0</v>
      </c>
      <c r="I644">
        <f>IF(COUNTIFS('United Data'!$A$3:$A$3390,I$1,'United Data'!$C$3:$C$3390,$A644)&gt;0,1,0)</f>
        <v>0</v>
      </c>
      <c r="J644">
        <f>IF(COUNTIFS('United Data'!$A$3:$A$3390,J$1,'United Data'!$C$3:$C$3390,$A644)&gt;0,1,0)</f>
        <v>0</v>
      </c>
      <c r="K644">
        <f>IF(COUNTIFS('United Data'!$A$3:$A$3390,K$1,'United Data'!$C$3:$C$3390,$A644)&gt;0,1,0)</f>
        <v>0</v>
      </c>
      <c r="L644">
        <f>IF(COUNTIFS('United Data'!$A$3:$A$3390,L$1,'United Data'!$C$3:$C$3390,$A644)&gt;0,1,0)</f>
        <v>1</v>
      </c>
      <c r="M644">
        <f>IF(COUNTIFS('United Data'!$A$3:$A$3390,M$1,'United Data'!$C$3:$C$3390,$A644)&gt;0,1,0)</f>
        <v>0</v>
      </c>
      <c r="N644">
        <f>IF(COUNTIFS('United Data'!$A$3:$A$3390,N$1,'United Data'!$C$3:$C$3390,$A644)&gt;0,1,0)</f>
        <v>0</v>
      </c>
      <c r="O644">
        <f>IF(COUNTIFS('United Data'!$A$3:$A$3390,O$1,'United Data'!$C$3:$C$3390,$A644)&gt;0,1,0)</f>
        <v>0</v>
      </c>
      <c r="P644">
        <f>IF(COUNTIFS('United Data'!$A$3:$A$3390,P$1,'United Data'!$C$3:$C$3390,$A644)&gt;0,1,0)</f>
        <v>0</v>
      </c>
      <c r="Q644">
        <f>IF(COUNTIFS('United Data'!$A$3:$A$3390,Q$1,'United Data'!$C$3:$C$3390,$A644)&gt;0,1,0)</f>
        <v>0</v>
      </c>
      <c r="R644">
        <f>IF(COUNTIFS('United Data'!$A$3:$A$3390,R$1,'United Data'!$C$3:$C$3390,$A644)&gt;0,1,0)</f>
        <v>0</v>
      </c>
      <c r="S644">
        <f t="shared" si="20"/>
        <v>1</v>
      </c>
      <c r="T644">
        <f t="shared" si="21"/>
        <v>1</v>
      </c>
    </row>
    <row r="645" spans="1:20" x14ac:dyDescent="0.2">
      <c r="A645" t="s">
        <v>767</v>
      </c>
      <c r="B645">
        <f>IF(COUNTIFS('United Data'!$A$3:$A$3390,B$1,'United Data'!$C$3:$C$3390,$A645)&gt;0,1,0)</f>
        <v>0</v>
      </c>
      <c r="C645">
        <f>IF(COUNTIFS('United Data'!$A$3:$A$3390,C$1,'United Data'!$C$3:$C$3390,$A645)&gt;0,1,0)</f>
        <v>0</v>
      </c>
      <c r="D645">
        <f>IF(COUNTIFS('United Data'!$A$3:$A$3390,D$1,'United Data'!$C$3:$C$3390,$A645)&gt;0,1,0)</f>
        <v>0</v>
      </c>
      <c r="E645">
        <f>IF(COUNTIFS('United Data'!$A$3:$A$3390,E$1,'United Data'!$C$3:$C$3390,$A645)&gt;0,1,0)</f>
        <v>0</v>
      </c>
      <c r="F645">
        <f>IF(COUNTIFS('United Data'!$A$3:$A$3390,F$1,'United Data'!$C$3:$C$3390,$A645)&gt;0,1,0)</f>
        <v>0</v>
      </c>
      <c r="G645">
        <f>IF(COUNTIFS('United Data'!$A$3:$A$3390,G$1,'United Data'!$C$3:$C$3390,$A645)&gt;0,1,0)</f>
        <v>0</v>
      </c>
      <c r="H645">
        <f>IF(COUNTIFS('United Data'!$A$3:$A$3390,H$1,'United Data'!$C$3:$C$3390,$A645)&gt;0,1,0)</f>
        <v>0</v>
      </c>
      <c r="I645">
        <f>IF(COUNTIFS('United Data'!$A$3:$A$3390,I$1,'United Data'!$C$3:$C$3390,$A645)&gt;0,1,0)</f>
        <v>0</v>
      </c>
      <c r="J645">
        <f>IF(COUNTIFS('United Data'!$A$3:$A$3390,J$1,'United Data'!$C$3:$C$3390,$A645)&gt;0,1,0)</f>
        <v>0</v>
      </c>
      <c r="K645">
        <f>IF(COUNTIFS('United Data'!$A$3:$A$3390,K$1,'United Data'!$C$3:$C$3390,$A645)&gt;0,1,0)</f>
        <v>0</v>
      </c>
      <c r="L645">
        <f>IF(COUNTIFS('United Data'!$A$3:$A$3390,L$1,'United Data'!$C$3:$C$3390,$A645)&gt;0,1,0)</f>
        <v>0</v>
      </c>
      <c r="M645">
        <f>IF(COUNTIFS('United Data'!$A$3:$A$3390,M$1,'United Data'!$C$3:$C$3390,$A645)&gt;0,1,0)</f>
        <v>1</v>
      </c>
      <c r="N645">
        <f>IF(COUNTIFS('United Data'!$A$3:$A$3390,N$1,'United Data'!$C$3:$C$3390,$A645)&gt;0,1,0)</f>
        <v>0</v>
      </c>
      <c r="O645">
        <f>IF(COUNTIFS('United Data'!$A$3:$A$3390,O$1,'United Data'!$C$3:$C$3390,$A645)&gt;0,1,0)</f>
        <v>0</v>
      </c>
      <c r="P645">
        <f>IF(COUNTIFS('United Data'!$A$3:$A$3390,P$1,'United Data'!$C$3:$C$3390,$A645)&gt;0,1,0)</f>
        <v>0</v>
      </c>
      <c r="Q645">
        <f>IF(COUNTIFS('United Data'!$A$3:$A$3390,Q$1,'United Data'!$C$3:$C$3390,$A645)&gt;0,1,0)</f>
        <v>0</v>
      </c>
      <c r="R645">
        <f>IF(COUNTIFS('United Data'!$A$3:$A$3390,R$1,'United Data'!$C$3:$C$3390,$A645)&gt;0,1,0)</f>
        <v>0</v>
      </c>
      <c r="S645">
        <f t="shared" si="20"/>
        <v>1</v>
      </c>
      <c r="T645">
        <f t="shared" si="21"/>
        <v>1</v>
      </c>
    </row>
    <row r="646" spans="1:20" x14ac:dyDescent="0.2">
      <c r="A646" t="s">
        <v>768</v>
      </c>
      <c r="B646">
        <f>IF(COUNTIFS('United Data'!$A$3:$A$3390,B$1,'United Data'!$C$3:$C$3390,$A646)&gt;0,1,0)</f>
        <v>0</v>
      </c>
      <c r="C646">
        <f>IF(COUNTIFS('United Data'!$A$3:$A$3390,C$1,'United Data'!$C$3:$C$3390,$A646)&gt;0,1,0)</f>
        <v>0</v>
      </c>
      <c r="D646">
        <f>IF(COUNTIFS('United Data'!$A$3:$A$3390,D$1,'United Data'!$C$3:$C$3390,$A646)&gt;0,1,0)</f>
        <v>0</v>
      </c>
      <c r="E646">
        <f>IF(COUNTIFS('United Data'!$A$3:$A$3390,E$1,'United Data'!$C$3:$C$3390,$A646)&gt;0,1,0)</f>
        <v>0</v>
      </c>
      <c r="F646">
        <f>IF(COUNTIFS('United Data'!$A$3:$A$3390,F$1,'United Data'!$C$3:$C$3390,$A646)&gt;0,1,0)</f>
        <v>0</v>
      </c>
      <c r="G646">
        <f>IF(COUNTIFS('United Data'!$A$3:$A$3390,G$1,'United Data'!$C$3:$C$3390,$A646)&gt;0,1,0)</f>
        <v>0</v>
      </c>
      <c r="H646">
        <f>IF(COUNTIFS('United Data'!$A$3:$A$3390,H$1,'United Data'!$C$3:$C$3390,$A646)&gt;0,1,0)</f>
        <v>0</v>
      </c>
      <c r="I646">
        <f>IF(COUNTIFS('United Data'!$A$3:$A$3390,I$1,'United Data'!$C$3:$C$3390,$A646)&gt;0,1,0)</f>
        <v>0</v>
      </c>
      <c r="J646">
        <f>IF(COUNTIFS('United Data'!$A$3:$A$3390,J$1,'United Data'!$C$3:$C$3390,$A646)&gt;0,1,0)</f>
        <v>0</v>
      </c>
      <c r="K646">
        <f>IF(COUNTIFS('United Data'!$A$3:$A$3390,K$1,'United Data'!$C$3:$C$3390,$A646)&gt;0,1,0)</f>
        <v>0</v>
      </c>
      <c r="L646">
        <f>IF(COUNTIFS('United Data'!$A$3:$A$3390,L$1,'United Data'!$C$3:$C$3390,$A646)&gt;0,1,0)</f>
        <v>0</v>
      </c>
      <c r="M646">
        <f>IF(COUNTIFS('United Data'!$A$3:$A$3390,M$1,'United Data'!$C$3:$C$3390,$A646)&gt;0,1,0)</f>
        <v>0</v>
      </c>
      <c r="N646">
        <f>IF(COUNTIFS('United Data'!$A$3:$A$3390,N$1,'United Data'!$C$3:$C$3390,$A646)&gt;0,1,0)</f>
        <v>1</v>
      </c>
      <c r="O646">
        <f>IF(COUNTIFS('United Data'!$A$3:$A$3390,O$1,'United Data'!$C$3:$C$3390,$A646)&gt;0,1,0)</f>
        <v>0</v>
      </c>
      <c r="P646">
        <f>IF(COUNTIFS('United Data'!$A$3:$A$3390,P$1,'United Data'!$C$3:$C$3390,$A646)&gt;0,1,0)</f>
        <v>0</v>
      </c>
      <c r="Q646">
        <f>IF(COUNTIFS('United Data'!$A$3:$A$3390,Q$1,'United Data'!$C$3:$C$3390,$A646)&gt;0,1,0)</f>
        <v>0</v>
      </c>
      <c r="R646">
        <f>IF(COUNTIFS('United Data'!$A$3:$A$3390,R$1,'United Data'!$C$3:$C$3390,$A646)&gt;0,1,0)</f>
        <v>0</v>
      </c>
      <c r="S646">
        <f t="shared" si="20"/>
        <v>1</v>
      </c>
      <c r="T646">
        <f t="shared" si="21"/>
        <v>1</v>
      </c>
    </row>
    <row r="647" spans="1:20" x14ac:dyDescent="0.2">
      <c r="A647" t="s">
        <v>769</v>
      </c>
      <c r="B647">
        <f>IF(COUNTIFS('United Data'!$A$3:$A$3390,B$1,'United Data'!$C$3:$C$3390,$A647)&gt;0,1,0)</f>
        <v>0</v>
      </c>
      <c r="C647">
        <f>IF(COUNTIFS('United Data'!$A$3:$A$3390,C$1,'United Data'!$C$3:$C$3390,$A647)&gt;0,1,0)</f>
        <v>0</v>
      </c>
      <c r="D647">
        <f>IF(COUNTIFS('United Data'!$A$3:$A$3390,D$1,'United Data'!$C$3:$C$3390,$A647)&gt;0,1,0)</f>
        <v>0</v>
      </c>
      <c r="E647">
        <f>IF(COUNTIFS('United Data'!$A$3:$A$3390,E$1,'United Data'!$C$3:$C$3390,$A647)&gt;0,1,0)</f>
        <v>0</v>
      </c>
      <c r="F647">
        <f>IF(COUNTIFS('United Data'!$A$3:$A$3390,F$1,'United Data'!$C$3:$C$3390,$A647)&gt;0,1,0)</f>
        <v>0</v>
      </c>
      <c r="G647">
        <f>IF(COUNTIFS('United Data'!$A$3:$A$3390,G$1,'United Data'!$C$3:$C$3390,$A647)&gt;0,1,0)</f>
        <v>0</v>
      </c>
      <c r="H647">
        <f>IF(COUNTIFS('United Data'!$A$3:$A$3390,H$1,'United Data'!$C$3:$C$3390,$A647)&gt;0,1,0)</f>
        <v>0</v>
      </c>
      <c r="I647">
        <f>IF(COUNTIFS('United Data'!$A$3:$A$3390,I$1,'United Data'!$C$3:$C$3390,$A647)&gt;0,1,0)</f>
        <v>0</v>
      </c>
      <c r="J647">
        <f>IF(COUNTIFS('United Data'!$A$3:$A$3390,J$1,'United Data'!$C$3:$C$3390,$A647)&gt;0,1,0)</f>
        <v>0</v>
      </c>
      <c r="K647">
        <f>IF(COUNTIFS('United Data'!$A$3:$A$3390,K$1,'United Data'!$C$3:$C$3390,$A647)&gt;0,1,0)</f>
        <v>0</v>
      </c>
      <c r="L647">
        <f>IF(COUNTIFS('United Data'!$A$3:$A$3390,L$1,'United Data'!$C$3:$C$3390,$A647)&gt;0,1,0)</f>
        <v>0</v>
      </c>
      <c r="M647">
        <f>IF(COUNTIFS('United Data'!$A$3:$A$3390,M$1,'United Data'!$C$3:$C$3390,$A647)&gt;0,1,0)</f>
        <v>0</v>
      </c>
      <c r="N647">
        <f>IF(COUNTIFS('United Data'!$A$3:$A$3390,N$1,'United Data'!$C$3:$C$3390,$A647)&gt;0,1,0)</f>
        <v>1</v>
      </c>
      <c r="O647">
        <f>IF(COUNTIFS('United Data'!$A$3:$A$3390,O$1,'United Data'!$C$3:$C$3390,$A647)&gt;0,1,0)</f>
        <v>0</v>
      </c>
      <c r="P647">
        <f>IF(COUNTIFS('United Data'!$A$3:$A$3390,P$1,'United Data'!$C$3:$C$3390,$A647)&gt;0,1,0)</f>
        <v>0</v>
      </c>
      <c r="Q647">
        <f>IF(COUNTIFS('United Data'!$A$3:$A$3390,Q$1,'United Data'!$C$3:$C$3390,$A647)&gt;0,1,0)</f>
        <v>0</v>
      </c>
      <c r="R647">
        <f>IF(COUNTIFS('United Data'!$A$3:$A$3390,R$1,'United Data'!$C$3:$C$3390,$A647)&gt;0,1,0)</f>
        <v>0</v>
      </c>
      <c r="S647">
        <f t="shared" si="20"/>
        <v>1</v>
      </c>
      <c r="T647">
        <f t="shared" si="21"/>
        <v>1</v>
      </c>
    </row>
    <row r="648" spans="1:20" x14ac:dyDescent="0.2">
      <c r="A648" t="s">
        <v>770</v>
      </c>
      <c r="B648">
        <f>IF(COUNTIFS('United Data'!$A$3:$A$3390,B$1,'United Data'!$C$3:$C$3390,$A648)&gt;0,1,0)</f>
        <v>0</v>
      </c>
      <c r="C648">
        <f>IF(COUNTIFS('United Data'!$A$3:$A$3390,C$1,'United Data'!$C$3:$C$3390,$A648)&gt;0,1,0)</f>
        <v>0</v>
      </c>
      <c r="D648">
        <f>IF(COUNTIFS('United Data'!$A$3:$A$3390,D$1,'United Data'!$C$3:$C$3390,$A648)&gt;0,1,0)</f>
        <v>0</v>
      </c>
      <c r="E648">
        <f>IF(COUNTIFS('United Data'!$A$3:$A$3390,E$1,'United Data'!$C$3:$C$3390,$A648)&gt;0,1,0)</f>
        <v>0</v>
      </c>
      <c r="F648">
        <f>IF(COUNTIFS('United Data'!$A$3:$A$3390,F$1,'United Data'!$C$3:$C$3390,$A648)&gt;0,1,0)</f>
        <v>0</v>
      </c>
      <c r="G648">
        <f>IF(COUNTIFS('United Data'!$A$3:$A$3390,G$1,'United Data'!$C$3:$C$3390,$A648)&gt;0,1,0)</f>
        <v>0</v>
      </c>
      <c r="H648">
        <f>IF(COUNTIFS('United Data'!$A$3:$A$3390,H$1,'United Data'!$C$3:$C$3390,$A648)&gt;0,1,0)</f>
        <v>0</v>
      </c>
      <c r="I648">
        <f>IF(COUNTIFS('United Data'!$A$3:$A$3390,I$1,'United Data'!$C$3:$C$3390,$A648)&gt;0,1,0)</f>
        <v>0</v>
      </c>
      <c r="J648">
        <f>IF(COUNTIFS('United Data'!$A$3:$A$3390,J$1,'United Data'!$C$3:$C$3390,$A648)&gt;0,1,0)</f>
        <v>0</v>
      </c>
      <c r="K648">
        <f>IF(COUNTIFS('United Data'!$A$3:$A$3390,K$1,'United Data'!$C$3:$C$3390,$A648)&gt;0,1,0)</f>
        <v>0</v>
      </c>
      <c r="L648">
        <f>IF(COUNTIFS('United Data'!$A$3:$A$3390,L$1,'United Data'!$C$3:$C$3390,$A648)&gt;0,1,0)</f>
        <v>0</v>
      </c>
      <c r="M648">
        <f>IF(COUNTIFS('United Data'!$A$3:$A$3390,M$1,'United Data'!$C$3:$C$3390,$A648)&gt;0,1,0)</f>
        <v>0</v>
      </c>
      <c r="N648">
        <f>IF(COUNTIFS('United Data'!$A$3:$A$3390,N$1,'United Data'!$C$3:$C$3390,$A648)&gt;0,1,0)</f>
        <v>1</v>
      </c>
      <c r="O648">
        <f>IF(COUNTIFS('United Data'!$A$3:$A$3390,O$1,'United Data'!$C$3:$C$3390,$A648)&gt;0,1,0)</f>
        <v>0</v>
      </c>
      <c r="P648">
        <f>IF(COUNTIFS('United Data'!$A$3:$A$3390,P$1,'United Data'!$C$3:$C$3390,$A648)&gt;0,1,0)</f>
        <v>0</v>
      </c>
      <c r="Q648">
        <f>IF(COUNTIFS('United Data'!$A$3:$A$3390,Q$1,'United Data'!$C$3:$C$3390,$A648)&gt;0,1,0)</f>
        <v>0</v>
      </c>
      <c r="R648">
        <f>IF(COUNTIFS('United Data'!$A$3:$A$3390,R$1,'United Data'!$C$3:$C$3390,$A648)&gt;0,1,0)</f>
        <v>0</v>
      </c>
      <c r="S648">
        <f t="shared" si="20"/>
        <v>1</v>
      </c>
      <c r="T648">
        <f t="shared" si="21"/>
        <v>1</v>
      </c>
    </row>
    <row r="649" spans="1:20" x14ac:dyDescent="0.2">
      <c r="A649" t="s">
        <v>771</v>
      </c>
      <c r="B649">
        <f>IF(COUNTIFS('United Data'!$A$3:$A$3390,B$1,'United Data'!$C$3:$C$3390,$A649)&gt;0,1,0)</f>
        <v>0</v>
      </c>
      <c r="C649">
        <f>IF(COUNTIFS('United Data'!$A$3:$A$3390,C$1,'United Data'!$C$3:$C$3390,$A649)&gt;0,1,0)</f>
        <v>0</v>
      </c>
      <c r="D649">
        <f>IF(COUNTIFS('United Data'!$A$3:$A$3390,D$1,'United Data'!$C$3:$C$3390,$A649)&gt;0,1,0)</f>
        <v>0</v>
      </c>
      <c r="E649">
        <f>IF(COUNTIFS('United Data'!$A$3:$A$3390,E$1,'United Data'!$C$3:$C$3390,$A649)&gt;0,1,0)</f>
        <v>0</v>
      </c>
      <c r="F649">
        <f>IF(COUNTIFS('United Data'!$A$3:$A$3390,F$1,'United Data'!$C$3:$C$3390,$A649)&gt;0,1,0)</f>
        <v>0</v>
      </c>
      <c r="G649">
        <f>IF(COUNTIFS('United Data'!$A$3:$A$3390,G$1,'United Data'!$C$3:$C$3390,$A649)&gt;0,1,0)</f>
        <v>0</v>
      </c>
      <c r="H649">
        <f>IF(COUNTIFS('United Data'!$A$3:$A$3390,H$1,'United Data'!$C$3:$C$3390,$A649)&gt;0,1,0)</f>
        <v>0</v>
      </c>
      <c r="I649">
        <f>IF(COUNTIFS('United Data'!$A$3:$A$3390,I$1,'United Data'!$C$3:$C$3390,$A649)&gt;0,1,0)</f>
        <v>0</v>
      </c>
      <c r="J649">
        <f>IF(COUNTIFS('United Data'!$A$3:$A$3390,J$1,'United Data'!$C$3:$C$3390,$A649)&gt;0,1,0)</f>
        <v>0</v>
      </c>
      <c r="K649">
        <f>IF(COUNTIFS('United Data'!$A$3:$A$3390,K$1,'United Data'!$C$3:$C$3390,$A649)&gt;0,1,0)</f>
        <v>0</v>
      </c>
      <c r="L649">
        <f>IF(COUNTIFS('United Data'!$A$3:$A$3390,L$1,'United Data'!$C$3:$C$3390,$A649)&gt;0,1,0)</f>
        <v>0</v>
      </c>
      <c r="M649">
        <f>IF(COUNTIFS('United Data'!$A$3:$A$3390,M$1,'United Data'!$C$3:$C$3390,$A649)&gt;0,1,0)</f>
        <v>0</v>
      </c>
      <c r="N649">
        <f>IF(COUNTIFS('United Data'!$A$3:$A$3390,N$1,'United Data'!$C$3:$C$3390,$A649)&gt;0,1,0)</f>
        <v>0</v>
      </c>
      <c r="O649">
        <f>IF(COUNTIFS('United Data'!$A$3:$A$3390,O$1,'United Data'!$C$3:$C$3390,$A649)&gt;0,1,0)</f>
        <v>1</v>
      </c>
      <c r="P649">
        <f>IF(COUNTIFS('United Data'!$A$3:$A$3390,P$1,'United Data'!$C$3:$C$3390,$A649)&gt;0,1,0)</f>
        <v>0</v>
      </c>
      <c r="Q649">
        <f>IF(COUNTIFS('United Data'!$A$3:$A$3390,Q$1,'United Data'!$C$3:$C$3390,$A649)&gt;0,1,0)</f>
        <v>1</v>
      </c>
      <c r="R649">
        <f>IF(COUNTIFS('United Data'!$A$3:$A$3390,R$1,'United Data'!$C$3:$C$3390,$A649)&gt;0,1,0)</f>
        <v>1</v>
      </c>
      <c r="S649">
        <f t="shared" si="20"/>
        <v>3</v>
      </c>
      <c r="T649">
        <f t="shared" si="21"/>
        <v>2</v>
      </c>
    </row>
    <row r="650" spans="1:20" x14ac:dyDescent="0.2">
      <c r="A650" t="s">
        <v>772</v>
      </c>
      <c r="B650">
        <f>IF(COUNTIFS('United Data'!$A$3:$A$3390,B$1,'United Data'!$C$3:$C$3390,$A650)&gt;0,1,0)</f>
        <v>0</v>
      </c>
      <c r="C650">
        <f>IF(COUNTIFS('United Data'!$A$3:$A$3390,C$1,'United Data'!$C$3:$C$3390,$A650)&gt;0,1,0)</f>
        <v>0</v>
      </c>
      <c r="D650">
        <f>IF(COUNTIFS('United Data'!$A$3:$A$3390,D$1,'United Data'!$C$3:$C$3390,$A650)&gt;0,1,0)</f>
        <v>0</v>
      </c>
      <c r="E650">
        <f>IF(COUNTIFS('United Data'!$A$3:$A$3390,E$1,'United Data'!$C$3:$C$3390,$A650)&gt;0,1,0)</f>
        <v>0</v>
      </c>
      <c r="F650">
        <f>IF(COUNTIFS('United Data'!$A$3:$A$3390,F$1,'United Data'!$C$3:$C$3390,$A650)&gt;0,1,0)</f>
        <v>0</v>
      </c>
      <c r="G650">
        <f>IF(COUNTIFS('United Data'!$A$3:$A$3390,G$1,'United Data'!$C$3:$C$3390,$A650)&gt;0,1,0)</f>
        <v>0</v>
      </c>
      <c r="H650">
        <f>IF(COUNTIFS('United Data'!$A$3:$A$3390,H$1,'United Data'!$C$3:$C$3390,$A650)&gt;0,1,0)</f>
        <v>0</v>
      </c>
      <c r="I650">
        <f>IF(COUNTIFS('United Data'!$A$3:$A$3390,I$1,'United Data'!$C$3:$C$3390,$A650)&gt;0,1,0)</f>
        <v>0</v>
      </c>
      <c r="J650">
        <f>IF(COUNTIFS('United Data'!$A$3:$A$3390,J$1,'United Data'!$C$3:$C$3390,$A650)&gt;0,1,0)</f>
        <v>0</v>
      </c>
      <c r="K650">
        <f>IF(COUNTIFS('United Data'!$A$3:$A$3390,K$1,'United Data'!$C$3:$C$3390,$A650)&gt;0,1,0)</f>
        <v>0</v>
      </c>
      <c r="L650">
        <f>IF(COUNTIFS('United Data'!$A$3:$A$3390,L$1,'United Data'!$C$3:$C$3390,$A650)&gt;0,1,0)</f>
        <v>0</v>
      </c>
      <c r="M650">
        <f>IF(COUNTIFS('United Data'!$A$3:$A$3390,M$1,'United Data'!$C$3:$C$3390,$A650)&gt;0,1,0)</f>
        <v>0</v>
      </c>
      <c r="N650">
        <f>IF(COUNTIFS('United Data'!$A$3:$A$3390,N$1,'United Data'!$C$3:$C$3390,$A650)&gt;0,1,0)</f>
        <v>0</v>
      </c>
      <c r="O650">
        <f>IF(COUNTIFS('United Data'!$A$3:$A$3390,O$1,'United Data'!$C$3:$C$3390,$A650)&gt;0,1,0)</f>
        <v>1</v>
      </c>
      <c r="P650">
        <f>IF(COUNTIFS('United Data'!$A$3:$A$3390,P$1,'United Data'!$C$3:$C$3390,$A650)&gt;0,1,0)</f>
        <v>0</v>
      </c>
      <c r="Q650">
        <f>IF(COUNTIFS('United Data'!$A$3:$A$3390,Q$1,'United Data'!$C$3:$C$3390,$A650)&gt;0,1,0)</f>
        <v>0</v>
      </c>
      <c r="R650">
        <f>IF(COUNTIFS('United Data'!$A$3:$A$3390,R$1,'United Data'!$C$3:$C$3390,$A650)&gt;0,1,0)</f>
        <v>0</v>
      </c>
      <c r="S650">
        <f t="shared" si="20"/>
        <v>1</v>
      </c>
      <c r="T650">
        <f t="shared" si="21"/>
        <v>1</v>
      </c>
    </row>
    <row r="651" spans="1:20" x14ac:dyDescent="0.2">
      <c r="A651" t="s">
        <v>773</v>
      </c>
      <c r="B651">
        <f>IF(COUNTIFS('United Data'!$A$3:$A$3390,B$1,'United Data'!$C$3:$C$3390,$A651)&gt;0,1,0)</f>
        <v>0</v>
      </c>
      <c r="C651">
        <f>IF(COUNTIFS('United Data'!$A$3:$A$3390,C$1,'United Data'!$C$3:$C$3390,$A651)&gt;0,1,0)</f>
        <v>0</v>
      </c>
      <c r="D651">
        <f>IF(COUNTIFS('United Data'!$A$3:$A$3390,D$1,'United Data'!$C$3:$C$3390,$A651)&gt;0,1,0)</f>
        <v>0</v>
      </c>
      <c r="E651">
        <f>IF(COUNTIFS('United Data'!$A$3:$A$3390,E$1,'United Data'!$C$3:$C$3390,$A651)&gt;0,1,0)</f>
        <v>0</v>
      </c>
      <c r="F651">
        <f>IF(COUNTIFS('United Data'!$A$3:$A$3390,F$1,'United Data'!$C$3:$C$3390,$A651)&gt;0,1,0)</f>
        <v>0</v>
      </c>
      <c r="G651">
        <f>IF(COUNTIFS('United Data'!$A$3:$A$3390,G$1,'United Data'!$C$3:$C$3390,$A651)&gt;0,1,0)</f>
        <v>0</v>
      </c>
      <c r="H651">
        <f>IF(COUNTIFS('United Data'!$A$3:$A$3390,H$1,'United Data'!$C$3:$C$3390,$A651)&gt;0,1,0)</f>
        <v>0</v>
      </c>
      <c r="I651">
        <f>IF(COUNTIFS('United Data'!$A$3:$A$3390,I$1,'United Data'!$C$3:$C$3390,$A651)&gt;0,1,0)</f>
        <v>0</v>
      </c>
      <c r="J651">
        <f>IF(COUNTIFS('United Data'!$A$3:$A$3390,J$1,'United Data'!$C$3:$C$3390,$A651)&gt;0,1,0)</f>
        <v>0</v>
      </c>
      <c r="K651">
        <f>IF(COUNTIFS('United Data'!$A$3:$A$3390,K$1,'United Data'!$C$3:$C$3390,$A651)&gt;0,1,0)</f>
        <v>0</v>
      </c>
      <c r="L651">
        <f>IF(COUNTIFS('United Data'!$A$3:$A$3390,L$1,'United Data'!$C$3:$C$3390,$A651)&gt;0,1,0)</f>
        <v>0</v>
      </c>
      <c r="M651">
        <f>IF(COUNTIFS('United Data'!$A$3:$A$3390,M$1,'United Data'!$C$3:$C$3390,$A651)&gt;0,1,0)</f>
        <v>0</v>
      </c>
      <c r="N651">
        <f>IF(COUNTIFS('United Data'!$A$3:$A$3390,N$1,'United Data'!$C$3:$C$3390,$A651)&gt;0,1,0)</f>
        <v>0</v>
      </c>
      <c r="O651">
        <f>IF(COUNTIFS('United Data'!$A$3:$A$3390,O$1,'United Data'!$C$3:$C$3390,$A651)&gt;0,1,0)</f>
        <v>1</v>
      </c>
      <c r="P651">
        <f>IF(COUNTIFS('United Data'!$A$3:$A$3390,P$1,'United Data'!$C$3:$C$3390,$A651)&gt;0,1,0)</f>
        <v>1</v>
      </c>
      <c r="Q651">
        <f>IF(COUNTIFS('United Data'!$A$3:$A$3390,Q$1,'United Data'!$C$3:$C$3390,$A651)&gt;0,1,0)</f>
        <v>0</v>
      </c>
      <c r="R651">
        <f>IF(COUNTIFS('United Data'!$A$3:$A$3390,R$1,'United Data'!$C$3:$C$3390,$A651)&gt;0,1,0)</f>
        <v>0</v>
      </c>
      <c r="S651">
        <f t="shared" si="20"/>
        <v>2</v>
      </c>
      <c r="T651">
        <f t="shared" si="21"/>
        <v>1</v>
      </c>
    </row>
    <row r="652" spans="1:20" x14ac:dyDescent="0.2">
      <c r="A652" t="s">
        <v>774</v>
      </c>
      <c r="B652">
        <f>IF(COUNTIFS('United Data'!$A$3:$A$3390,B$1,'United Data'!$C$3:$C$3390,$A652)&gt;0,1,0)</f>
        <v>0</v>
      </c>
      <c r="C652">
        <f>IF(COUNTIFS('United Data'!$A$3:$A$3390,C$1,'United Data'!$C$3:$C$3390,$A652)&gt;0,1,0)</f>
        <v>0</v>
      </c>
      <c r="D652">
        <f>IF(COUNTIFS('United Data'!$A$3:$A$3390,D$1,'United Data'!$C$3:$C$3390,$A652)&gt;0,1,0)</f>
        <v>0</v>
      </c>
      <c r="E652">
        <f>IF(COUNTIFS('United Data'!$A$3:$A$3390,E$1,'United Data'!$C$3:$C$3390,$A652)&gt;0,1,0)</f>
        <v>0</v>
      </c>
      <c r="F652">
        <f>IF(COUNTIFS('United Data'!$A$3:$A$3390,F$1,'United Data'!$C$3:$C$3390,$A652)&gt;0,1,0)</f>
        <v>0</v>
      </c>
      <c r="G652">
        <f>IF(COUNTIFS('United Data'!$A$3:$A$3390,G$1,'United Data'!$C$3:$C$3390,$A652)&gt;0,1,0)</f>
        <v>0</v>
      </c>
      <c r="H652">
        <f>IF(COUNTIFS('United Data'!$A$3:$A$3390,H$1,'United Data'!$C$3:$C$3390,$A652)&gt;0,1,0)</f>
        <v>0</v>
      </c>
      <c r="I652">
        <f>IF(COUNTIFS('United Data'!$A$3:$A$3390,I$1,'United Data'!$C$3:$C$3390,$A652)&gt;0,1,0)</f>
        <v>0</v>
      </c>
      <c r="J652">
        <f>IF(COUNTIFS('United Data'!$A$3:$A$3390,J$1,'United Data'!$C$3:$C$3390,$A652)&gt;0,1,0)</f>
        <v>0</v>
      </c>
      <c r="K652">
        <f>IF(COUNTIFS('United Data'!$A$3:$A$3390,K$1,'United Data'!$C$3:$C$3390,$A652)&gt;0,1,0)</f>
        <v>0</v>
      </c>
      <c r="L652">
        <f>IF(COUNTIFS('United Data'!$A$3:$A$3390,L$1,'United Data'!$C$3:$C$3390,$A652)&gt;0,1,0)</f>
        <v>0</v>
      </c>
      <c r="M652">
        <f>IF(COUNTIFS('United Data'!$A$3:$A$3390,M$1,'United Data'!$C$3:$C$3390,$A652)&gt;0,1,0)</f>
        <v>0</v>
      </c>
      <c r="N652">
        <f>IF(COUNTIFS('United Data'!$A$3:$A$3390,N$1,'United Data'!$C$3:$C$3390,$A652)&gt;0,1,0)</f>
        <v>0</v>
      </c>
      <c r="O652">
        <f>IF(COUNTIFS('United Data'!$A$3:$A$3390,O$1,'United Data'!$C$3:$C$3390,$A652)&gt;0,1,0)</f>
        <v>1</v>
      </c>
      <c r="P652">
        <f>IF(COUNTIFS('United Data'!$A$3:$A$3390,P$1,'United Data'!$C$3:$C$3390,$A652)&gt;0,1,0)</f>
        <v>1</v>
      </c>
      <c r="Q652">
        <f>IF(COUNTIFS('United Data'!$A$3:$A$3390,Q$1,'United Data'!$C$3:$C$3390,$A652)&gt;0,1,0)</f>
        <v>1</v>
      </c>
      <c r="R652">
        <f>IF(COUNTIFS('United Data'!$A$3:$A$3390,R$1,'United Data'!$C$3:$C$3390,$A652)&gt;0,1,0)</f>
        <v>0</v>
      </c>
      <c r="S652">
        <f t="shared" si="20"/>
        <v>3</v>
      </c>
      <c r="T652">
        <f t="shared" si="21"/>
        <v>1</v>
      </c>
    </row>
    <row r="653" spans="1:20" x14ac:dyDescent="0.2">
      <c r="A653" t="s">
        <v>775</v>
      </c>
      <c r="B653">
        <f>IF(COUNTIFS('United Data'!$A$3:$A$3390,B$1,'United Data'!$C$3:$C$3390,$A653)&gt;0,1,0)</f>
        <v>0</v>
      </c>
      <c r="C653">
        <f>IF(COUNTIFS('United Data'!$A$3:$A$3390,C$1,'United Data'!$C$3:$C$3390,$A653)&gt;0,1,0)</f>
        <v>0</v>
      </c>
      <c r="D653">
        <f>IF(COUNTIFS('United Data'!$A$3:$A$3390,D$1,'United Data'!$C$3:$C$3390,$A653)&gt;0,1,0)</f>
        <v>0</v>
      </c>
      <c r="E653">
        <f>IF(COUNTIFS('United Data'!$A$3:$A$3390,E$1,'United Data'!$C$3:$C$3390,$A653)&gt;0,1,0)</f>
        <v>0</v>
      </c>
      <c r="F653">
        <f>IF(COUNTIFS('United Data'!$A$3:$A$3390,F$1,'United Data'!$C$3:$C$3390,$A653)&gt;0,1,0)</f>
        <v>0</v>
      </c>
      <c r="G653">
        <f>IF(COUNTIFS('United Data'!$A$3:$A$3390,G$1,'United Data'!$C$3:$C$3390,$A653)&gt;0,1,0)</f>
        <v>0</v>
      </c>
      <c r="H653">
        <f>IF(COUNTIFS('United Data'!$A$3:$A$3390,H$1,'United Data'!$C$3:$C$3390,$A653)&gt;0,1,0)</f>
        <v>0</v>
      </c>
      <c r="I653">
        <f>IF(COUNTIFS('United Data'!$A$3:$A$3390,I$1,'United Data'!$C$3:$C$3390,$A653)&gt;0,1,0)</f>
        <v>0</v>
      </c>
      <c r="J653">
        <f>IF(COUNTIFS('United Data'!$A$3:$A$3390,J$1,'United Data'!$C$3:$C$3390,$A653)&gt;0,1,0)</f>
        <v>0</v>
      </c>
      <c r="K653">
        <f>IF(COUNTIFS('United Data'!$A$3:$A$3390,K$1,'United Data'!$C$3:$C$3390,$A653)&gt;0,1,0)</f>
        <v>0</v>
      </c>
      <c r="L653">
        <f>IF(COUNTIFS('United Data'!$A$3:$A$3390,L$1,'United Data'!$C$3:$C$3390,$A653)&gt;0,1,0)</f>
        <v>0</v>
      </c>
      <c r="M653">
        <f>IF(COUNTIFS('United Data'!$A$3:$A$3390,M$1,'United Data'!$C$3:$C$3390,$A653)&gt;0,1,0)</f>
        <v>0</v>
      </c>
      <c r="N653">
        <f>IF(COUNTIFS('United Data'!$A$3:$A$3390,N$1,'United Data'!$C$3:$C$3390,$A653)&gt;0,1,0)</f>
        <v>0</v>
      </c>
      <c r="O653">
        <f>IF(COUNTIFS('United Data'!$A$3:$A$3390,O$1,'United Data'!$C$3:$C$3390,$A653)&gt;0,1,0)</f>
        <v>0</v>
      </c>
      <c r="P653">
        <f>IF(COUNTIFS('United Data'!$A$3:$A$3390,P$1,'United Data'!$C$3:$C$3390,$A653)&gt;0,1,0)</f>
        <v>1</v>
      </c>
      <c r="Q653">
        <f>IF(COUNTIFS('United Data'!$A$3:$A$3390,Q$1,'United Data'!$C$3:$C$3390,$A653)&gt;0,1,0)</f>
        <v>0</v>
      </c>
      <c r="R653">
        <f>IF(COUNTIFS('United Data'!$A$3:$A$3390,R$1,'United Data'!$C$3:$C$3390,$A653)&gt;0,1,0)</f>
        <v>0</v>
      </c>
      <c r="S653">
        <f t="shared" si="20"/>
        <v>1</v>
      </c>
      <c r="T653">
        <f t="shared" si="21"/>
        <v>1</v>
      </c>
    </row>
    <row r="654" spans="1:20" x14ac:dyDescent="0.2">
      <c r="A654" t="s">
        <v>776</v>
      </c>
      <c r="B654">
        <f>IF(COUNTIFS('United Data'!$A$3:$A$3390,B$1,'United Data'!$C$3:$C$3390,$A654)&gt;0,1,0)</f>
        <v>0</v>
      </c>
      <c r="C654">
        <f>IF(COUNTIFS('United Data'!$A$3:$A$3390,C$1,'United Data'!$C$3:$C$3390,$A654)&gt;0,1,0)</f>
        <v>0</v>
      </c>
      <c r="D654">
        <f>IF(COUNTIFS('United Data'!$A$3:$A$3390,D$1,'United Data'!$C$3:$C$3390,$A654)&gt;0,1,0)</f>
        <v>0</v>
      </c>
      <c r="E654">
        <f>IF(COUNTIFS('United Data'!$A$3:$A$3390,E$1,'United Data'!$C$3:$C$3390,$A654)&gt;0,1,0)</f>
        <v>0</v>
      </c>
      <c r="F654">
        <f>IF(COUNTIFS('United Data'!$A$3:$A$3390,F$1,'United Data'!$C$3:$C$3390,$A654)&gt;0,1,0)</f>
        <v>0</v>
      </c>
      <c r="G654">
        <f>IF(COUNTIFS('United Data'!$A$3:$A$3390,G$1,'United Data'!$C$3:$C$3390,$A654)&gt;0,1,0)</f>
        <v>0</v>
      </c>
      <c r="H654">
        <f>IF(COUNTIFS('United Data'!$A$3:$A$3390,H$1,'United Data'!$C$3:$C$3390,$A654)&gt;0,1,0)</f>
        <v>0</v>
      </c>
      <c r="I654">
        <f>IF(COUNTIFS('United Data'!$A$3:$A$3390,I$1,'United Data'!$C$3:$C$3390,$A654)&gt;0,1,0)</f>
        <v>0</v>
      </c>
      <c r="J654">
        <f>IF(COUNTIFS('United Data'!$A$3:$A$3390,J$1,'United Data'!$C$3:$C$3390,$A654)&gt;0,1,0)</f>
        <v>0</v>
      </c>
      <c r="K654">
        <f>IF(COUNTIFS('United Data'!$A$3:$A$3390,K$1,'United Data'!$C$3:$C$3390,$A654)&gt;0,1,0)</f>
        <v>0</v>
      </c>
      <c r="L654">
        <f>IF(COUNTIFS('United Data'!$A$3:$A$3390,L$1,'United Data'!$C$3:$C$3390,$A654)&gt;0,1,0)</f>
        <v>0</v>
      </c>
      <c r="M654">
        <f>IF(COUNTIFS('United Data'!$A$3:$A$3390,M$1,'United Data'!$C$3:$C$3390,$A654)&gt;0,1,0)</f>
        <v>0</v>
      </c>
      <c r="N654">
        <f>IF(COUNTIFS('United Data'!$A$3:$A$3390,N$1,'United Data'!$C$3:$C$3390,$A654)&gt;0,1,0)</f>
        <v>0</v>
      </c>
      <c r="O654">
        <f>IF(COUNTIFS('United Data'!$A$3:$A$3390,O$1,'United Data'!$C$3:$C$3390,$A654)&gt;0,1,0)</f>
        <v>0</v>
      </c>
      <c r="P654">
        <f>IF(COUNTIFS('United Data'!$A$3:$A$3390,P$1,'United Data'!$C$3:$C$3390,$A654)&gt;0,1,0)</f>
        <v>0</v>
      </c>
      <c r="Q654">
        <f>IF(COUNTIFS('United Data'!$A$3:$A$3390,Q$1,'United Data'!$C$3:$C$3390,$A654)&gt;0,1,0)</f>
        <v>0</v>
      </c>
      <c r="R654">
        <f>IF(COUNTIFS('United Data'!$A$3:$A$3390,R$1,'United Data'!$C$3:$C$3390,$A654)&gt;0,1,0)</f>
        <v>1</v>
      </c>
      <c r="S654">
        <f t="shared" si="20"/>
        <v>1</v>
      </c>
      <c r="T654">
        <f t="shared" si="21"/>
        <v>1</v>
      </c>
    </row>
    <row r="655" spans="1:20" x14ac:dyDescent="0.2">
      <c r="A655" t="s">
        <v>777</v>
      </c>
      <c r="B655">
        <f>IF(COUNTIFS('United Data'!$A$3:$A$3390,B$1,'United Data'!$C$3:$C$3390,$A655)&gt;0,1,0)</f>
        <v>1</v>
      </c>
      <c r="C655">
        <f>IF(COUNTIFS('United Data'!$A$3:$A$3390,C$1,'United Data'!$C$3:$C$3390,$A655)&gt;0,1,0)</f>
        <v>0</v>
      </c>
      <c r="D655">
        <f>IF(COUNTIFS('United Data'!$A$3:$A$3390,D$1,'United Data'!$C$3:$C$3390,$A655)&gt;0,1,0)</f>
        <v>0</v>
      </c>
      <c r="E655">
        <f>IF(COUNTIFS('United Data'!$A$3:$A$3390,E$1,'United Data'!$C$3:$C$3390,$A655)&gt;0,1,0)</f>
        <v>0</v>
      </c>
      <c r="F655">
        <f>IF(COUNTIFS('United Data'!$A$3:$A$3390,F$1,'United Data'!$C$3:$C$3390,$A655)&gt;0,1,0)</f>
        <v>0</v>
      </c>
      <c r="G655">
        <f>IF(COUNTIFS('United Data'!$A$3:$A$3390,G$1,'United Data'!$C$3:$C$3390,$A655)&gt;0,1,0)</f>
        <v>0</v>
      </c>
      <c r="H655">
        <f>IF(COUNTIFS('United Data'!$A$3:$A$3390,H$1,'United Data'!$C$3:$C$3390,$A655)&gt;0,1,0)</f>
        <v>0</v>
      </c>
      <c r="I655">
        <f>IF(COUNTIFS('United Data'!$A$3:$A$3390,I$1,'United Data'!$C$3:$C$3390,$A655)&gt;0,1,0)</f>
        <v>0</v>
      </c>
      <c r="J655">
        <f>IF(COUNTIFS('United Data'!$A$3:$A$3390,J$1,'United Data'!$C$3:$C$3390,$A655)&gt;0,1,0)</f>
        <v>0</v>
      </c>
      <c r="K655">
        <f>IF(COUNTIFS('United Data'!$A$3:$A$3390,K$1,'United Data'!$C$3:$C$3390,$A655)&gt;0,1,0)</f>
        <v>0</v>
      </c>
      <c r="L655">
        <f>IF(COUNTIFS('United Data'!$A$3:$A$3390,L$1,'United Data'!$C$3:$C$3390,$A655)&gt;0,1,0)</f>
        <v>0</v>
      </c>
      <c r="M655">
        <f>IF(COUNTIFS('United Data'!$A$3:$A$3390,M$1,'United Data'!$C$3:$C$3390,$A655)&gt;0,1,0)</f>
        <v>0</v>
      </c>
      <c r="N655">
        <f>IF(COUNTIFS('United Data'!$A$3:$A$3390,N$1,'United Data'!$C$3:$C$3390,$A655)&gt;0,1,0)</f>
        <v>0</v>
      </c>
      <c r="O655">
        <f>IF(COUNTIFS('United Data'!$A$3:$A$3390,O$1,'United Data'!$C$3:$C$3390,$A655)&gt;0,1,0)</f>
        <v>1</v>
      </c>
      <c r="P655">
        <f>IF(COUNTIFS('United Data'!$A$3:$A$3390,P$1,'United Data'!$C$3:$C$3390,$A655)&gt;0,1,0)</f>
        <v>0</v>
      </c>
      <c r="Q655">
        <f>IF(COUNTIFS('United Data'!$A$3:$A$3390,Q$1,'United Data'!$C$3:$C$3390,$A655)&gt;0,1,0)</f>
        <v>1</v>
      </c>
      <c r="R655">
        <f>IF(COUNTIFS('United Data'!$A$3:$A$3390,R$1,'United Data'!$C$3:$C$3390,$A655)&gt;0,1,0)</f>
        <v>1</v>
      </c>
      <c r="S655">
        <f t="shared" si="20"/>
        <v>4</v>
      </c>
      <c r="T655">
        <f t="shared" si="21"/>
        <v>3</v>
      </c>
    </row>
    <row r="656" spans="1:20" x14ac:dyDescent="0.2">
      <c r="A656" t="s">
        <v>778</v>
      </c>
      <c r="B656">
        <f>IF(COUNTIFS('United Data'!$A$3:$A$3390,B$1,'United Data'!$C$3:$C$3390,$A656)&gt;0,1,0)</f>
        <v>1</v>
      </c>
      <c r="C656">
        <f>IF(COUNTIFS('United Data'!$A$3:$A$3390,C$1,'United Data'!$C$3:$C$3390,$A656)&gt;0,1,0)</f>
        <v>0</v>
      </c>
      <c r="D656">
        <f>IF(COUNTIFS('United Data'!$A$3:$A$3390,D$1,'United Data'!$C$3:$C$3390,$A656)&gt;0,1,0)</f>
        <v>0</v>
      </c>
      <c r="E656">
        <f>IF(COUNTIFS('United Data'!$A$3:$A$3390,E$1,'United Data'!$C$3:$C$3390,$A656)&gt;0,1,0)</f>
        <v>0</v>
      </c>
      <c r="F656">
        <f>IF(COUNTIFS('United Data'!$A$3:$A$3390,F$1,'United Data'!$C$3:$C$3390,$A656)&gt;0,1,0)</f>
        <v>0</v>
      </c>
      <c r="G656">
        <f>IF(COUNTIFS('United Data'!$A$3:$A$3390,G$1,'United Data'!$C$3:$C$3390,$A656)&gt;0,1,0)</f>
        <v>0</v>
      </c>
      <c r="H656">
        <f>IF(COUNTIFS('United Data'!$A$3:$A$3390,H$1,'United Data'!$C$3:$C$3390,$A656)&gt;0,1,0)</f>
        <v>0</v>
      </c>
      <c r="I656">
        <f>IF(COUNTIFS('United Data'!$A$3:$A$3390,I$1,'United Data'!$C$3:$C$3390,$A656)&gt;0,1,0)</f>
        <v>0</v>
      </c>
      <c r="J656">
        <f>IF(COUNTIFS('United Data'!$A$3:$A$3390,J$1,'United Data'!$C$3:$C$3390,$A656)&gt;0,1,0)</f>
        <v>0</v>
      </c>
      <c r="K656">
        <f>IF(COUNTIFS('United Data'!$A$3:$A$3390,K$1,'United Data'!$C$3:$C$3390,$A656)&gt;0,1,0)</f>
        <v>0</v>
      </c>
      <c r="L656">
        <f>IF(COUNTIFS('United Data'!$A$3:$A$3390,L$1,'United Data'!$C$3:$C$3390,$A656)&gt;0,1,0)</f>
        <v>0</v>
      </c>
      <c r="M656">
        <f>IF(COUNTIFS('United Data'!$A$3:$A$3390,M$1,'United Data'!$C$3:$C$3390,$A656)&gt;0,1,0)</f>
        <v>0</v>
      </c>
      <c r="N656">
        <f>IF(COUNTIFS('United Data'!$A$3:$A$3390,N$1,'United Data'!$C$3:$C$3390,$A656)&gt;0,1,0)</f>
        <v>0</v>
      </c>
      <c r="O656">
        <f>IF(COUNTIFS('United Data'!$A$3:$A$3390,O$1,'United Data'!$C$3:$C$3390,$A656)&gt;0,1,0)</f>
        <v>0</v>
      </c>
      <c r="P656">
        <f>IF(COUNTIFS('United Data'!$A$3:$A$3390,P$1,'United Data'!$C$3:$C$3390,$A656)&gt;0,1,0)</f>
        <v>1</v>
      </c>
      <c r="Q656">
        <f>IF(COUNTIFS('United Data'!$A$3:$A$3390,Q$1,'United Data'!$C$3:$C$3390,$A656)&gt;0,1,0)</f>
        <v>0</v>
      </c>
      <c r="R656">
        <f>IF(COUNTIFS('United Data'!$A$3:$A$3390,R$1,'United Data'!$C$3:$C$3390,$A656)&gt;0,1,0)</f>
        <v>0</v>
      </c>
      <c r="S656">
        <f t="shared" si="20"/>
        <v>2</v>
      </c>
      <c r="T656">
        <f t="shared" si="21"/>
        <v>2</v>
      </c>
    </row>
    <row r="657" spans="1:20" x14ac:dyDescent="0.2">
      <c r="A657" t="s">
        <v>779</v>
      </c>
      <c r="B657">
        <f>IF(COUNTIFS('United Data'!$A$3:$A$3390,B$1,'United Data'!$C$3:$C$3390,$A657)&gt;0,1,0)</f>
        <v>0</v>
      </c>
      <c r="C657">
        <f>IF(COUNTIFS('United Data'!$A$3:$A$3390,C$1,'United Data'!$C$3:$C$3390,$A657)&gt;0,1,0)</f>
        <v>1</v>
      </c>
      <c r="D657">
        <f>IF(COUNTIFS('United Data'!$A$3:$A$3390,D$1,'United Data'!$C$3:$C$3390,$A657)&gt;0,1,0)</f>
        <v>0</v>
      </c>
      <c r="E657">
        <f>IF(COUNTIFS('United Data'!$A$3:$A$3390,E$1,'United Data'!$C$3:$C$3390,$A657)&gt;0,1,0)</f>
        <v>0</v>
      </c>
      <c r="F657">
        <f>IF(COUNTIFS('United Data'!$A$3:$A$3390,F$1,'United Data'!$C$3:$C$3390,$A657)&gt;0,1,0)</f>
        <v>0</v>
      </c>
      <c r="G657">
        <f>IF(COUNTIFS('United Data'!$A$3:$A$3390,G$1,'United Data'!$C$3:$C$3390,$A657)&gt;0,1,0)</f>
        <v>0</v>
      </c>
      <c r="H657">
        <f>IF(COUNTIFS('United Data'!$A$3:$A$3390,H$1,'United Data'!$C$3:$C$3390,$A657)&gt;0,1,0)</f>
        <v>0</v>
      </c>
      <c r="I657">
        <f>IF(COUNTIFS('United Data'!$A$3:$A$3390,I$1,'United Data'!$C$3:$C$3390,$A657)&gt;0,1,0)</f>
        <v>1</v>
      </c>
      <c r="J657">
        <f>IF(COUNTIFS('United Data'!$A$3:$A$3390,J$1,'United Data'!$C$3:$C$3390,$A657)&gt;0,1,0)</f>
        <v>1</v>
      </c>
      <c r="K657">
        <f>IF(COUNTIFS('United Data'!$A$3:$A$3390,K$1,'United Data'!$C$3:$C$3390,$A657)&gt;0,1,0)</f>
        <v>1</v>
      </c>
      <c r="L657">
        <f>IF(COUNTIFS('United Data'!$A$3:$A$3390,L$1,'United Data'!$C$3:$C$3390,$A657)&gt;0,1,0)</f>
        <v>0</v>
      </c>
      <c r="M657">
        <f>IF(COUNTIFS('United Data'!$A$3:$A$3390,M$1,'United Data'!$C$3:$C$3390,$A657)&gt;0,1,0)</f>
        <v>0</v>
      </c>
      <c r="N657">
        <f>IF(COUNTIFS('United Data'!$A$3:$A$3390,N$1,'United Data'!$C$3:$C$3390,$A657)&gt;0,1,0)</f>
        <v>0</v>
      </c>
      <c r="O657">
        <f>IF(COUNTIFS('United Data'!$A$3:$A$3390,O$1,'United Data'!$C$3:$C$3390,$A657)&gt;0,1,0)</f>
        <v>1</v>
      </c>
      <c r="P657">
        <f>IF(COUNTIFS('United Data'!$A$3:$A$3390,P$1,'United Data'!$C$3:$C$3390,$A657)&gt;0,1,0)</f>
        <v>1</v>
      </c>
      <c r="Q657">
        <f>IF(COUNTIFS('United Data'!$A$3:$A$3390,Q$1,'United Data'!$C$3:$C$3390,$A657)&gt;0,1,0)</f>
        <v>1</v>
      </c>
      <c r="R657">
        <f>IF(COUNTIFS('United Data'!$A$3:$A$3390,R$1,'United Data'!$C$3:$C$3390,$A657)&gt;0,1,0)</f>
        <v>1</v>
      </c>
      <c r="S657">
        <f t="shared" si="20"/>
        <v>8</v>
      </c>
      <c r="T657">
        <f t="shared" si="21"/>
        <v>3</v>
      </c>
    </row>
    <row r="658" spans="1:20" x14ac:dyDescent="0.2">
      <c r="A658" t="s">
        <v>780</v>
      </c>
      <c r="B658">
        <f>IF(COUNTIFS('United Data'!$A$3:$A$3390,B$1,'United Data'!$C$3:$C$3390,$A658)&gt;0,1,0)</f>
        <v>1</v>
      </c>
      <c r="C658">
        <f>IF(COUNTIFS('United Data'!$A$3:$A$3390,C$1,'United Data'!$C$3:$C$3390,$A658)&gt;0,1,0)</f>
        <v>1</v>
      </c>
      <c r="D658">
        <f>IF(COUNTIFS('United Data'!$A$3:$A$3390,D$1,'United Data'!$C$3:$C$3390,$A658)&gt;0,1,0)</f>
        <v>1</v>
      </c>
      <c r="E658">
        <f>IF(COUNTIFS('United Data'!$A$3:$A$3390,E$1,'United Data'!$C$3:$C$3390,$A658)&gt;0,1,0)</f>
        <v>1</v>
      </c>
      <c r="F658">
        <f>IF(COUNTIFS('United Data'!$A$3:$A$3390,F$1,'United Data'!$C$3:$C$3390,$A658)&gt;0,1,0)</f>
        <v>1</v>
      </c>
      <c r="G658">
        <f>IF(COUNTIFS('United Data'!$A$3:$A$3390,G$1,'United Data'!$C$3:$C$3390,$A658)&gt;0,1,0)</f>
        <v>1</v>
      </c>
      <c r="H658">
        <f>IF(COUNTIFS('United Data'!$A$3:$A$3390,H$1,'United Data'!$C$3:$C$3390,$A658)&gt;0,1,0)</f>
        <v>1</v>
      </c>
      <c r="I658">
        <f>IF(COUNTIFS('United Data'!$A$3:$A$3390,I$1,'United Data'!$C$3:$C$3390,$A658)&gt;0,1,0)</f>
        <v>0</v>
      </c>
      <c r="J658">
        <f>IF(COUNTIFS('United Data'!$A$3:$A$3390,J$1,'United Data'!$C$3:$C$3390,$A658)&gt;0,1,0)</f>
        <v>1</v>
      </c>
      <c r="K658">
        <f>IF(COUNTIFS('United Data'!$A$3:$A$3390,K$1,'United Data'!$C$3:$C$3390,$A658)&gt;0,1,0)</f>
        <v>0</v>
      </c>
      <c r="L658">
        <f>IF(COUNTIFS('United Data'!$A$3:$A$3390,L$1,'United Data'!$C$3:$C$3390,$A658)&gt;0,1,0)</f>
        <v>0</v>
      </c>
      <c r="M658">
        <f>IF(COUNTIFS('United Data'!$A$3:$A$3390,M$1,'United Data'!$C$3:$C$3390,$A658)&gt;0,1,0)</f>
        <v>1</v>
      </c>
      <c r="N658">
        <f>IF(COUNTIFS('United Data'!$A$3:$A$3390,N$1,'United Data'!$C$3:$C$3390,$A658)&gt;0,1,0)</f>
        <v>1</v>
      </c>
      <c r="O658">
        <f>IF(COUNTIFS('United Data'!$A$3:$A$3390,O$1,'United Data'!$C$3:$C$3390,$A658)&gt;0,1,0)</f>
        <v>0</v>
      </c>
      <c r="P658">
        <f>IF(COUNTIFS('United Data'!$A$3:$A$3390,P$1,'United Data'!$C$3:$C$3390,$A658)&gt;0,1,0)</f>
        <v>1</v>
      </c>
      <c r="Q658">
        <f>IF(COUNTIFS('United Data'!$A$3:$A$3390,Q$1,'United Data'!$C$3:$C$3390,$A658)&gt;0,1,0)</f>
        <v>1</v>
      </c>
      <c r="R658">
        <f>IF(COUNTIFS('United Data'!$A$3:$A$3390,R$1,'United Data'!$C$3:$C$3390,$A658)&gt;0,1,0)</f>
        <v>1</v>
      </c>
      <c r="S658">
        <f t="shared" si="20"/>
        <v>13</v>
      </c>
      <c r="T658">
        <f t="shared" si="21"/>
        <v>4</v>
      </c>
    </row>
    <row r="659" spans="1:20" x14ac:dyDescent="0.2">
      <c r="A659" t="s">
        <v>781</v>
      </c>
      <c r="B659">
        <f>IF(COUNTIFS('United Data'!$A$3:$A$3390,B$1,'United Data'!$C$3:$C$3390,$A659)&gt;0,1,0)</f>
        <v>0</v>
      </c>
      <c r="C659">
        <f>IF(COUNTIFS('United Data'!$A$3:$A$3390,C$1,'United Data'!$C$3:$C$3390,$A659)&gt;0,1,0)</f>
        <v>1</v>
      </c>
      <c r="D659">
        <f>IF(COUNTIFS('United Data'!$A$3:$A$3390,D$1,'United Data'!$C$3:$C$3390,$A659)&gt;0,1,0)</f>
        <v>0</v>
      </c>
      <c r="E659">
        <f>IF(COUNTIFS('United Data'!$A$3:$A$3390,E$1,'United Data'!$C$3:$C$3390,$A659)&gt;0,1,0)</f>
        <v>0</v>
      </c>
      <c r="F659">
        <f>IF(COUNTIFS('United Data'!$A$3:$A$3390,F$1,'United Data'!$C$3:$C$3390,$A659)&gt;0,1,0)</f>
        <v>0</v>
      </c>
      <c r="G659">
        <f>IF(COUNTIFS('United Data'!$A$3:$A$3390,G$1,'United Data'!$C$3:$C$3390,$A659)&gt;0,1,0)</f>
        <v>0</v>
      </c>
      <c r="H659">
        <f>IF(COUNTIFS('United Data'!$A$3:$A$3390,H$1,'United Data'!$C$3:$C$3390,$A659)&gt;0,1,0)</f>
        <v>0</v>
      </c>
      <c r="I659">
        <f>IF(COUNTIFS('United Data'!$A$3:$A$3390,I$1,'United Data'!$C$3:$C$3390,$A659)&gt;0,1,0)</f>
        <v>0</v>
      </c>
      <c r="J659">
        <f>IF(COUNTIFS('United Data'!$A$3:$A$3390,J$1,'United Data'!$C$3:$C$3390,$A659)&gt;0,1,0)</f>
        <v>0</v>
      </c>
      <c r="K659">
        <f>IF(COUNTIFS('United Data'!$A$3:$A$3390,K$1,'United Data'!$C$3:$C$3390,$A659)&gt;0,1,0)</f>
        <v>0</v>
      </c>
      <c r="L659">
        <f>IF(COUNTIFS('United Data'!$A$3:$A$3390,L$1,'United Data'!$C$3:$C$3390,$A659)&gt;0,1,0)</f>
        <v>0</v>
      </c>
      <c r="M659">
        <f>IF(COUNTIFS('United Data'!$A$3:$A$3390,M$1,'United Data'!$C$3:$C$3390,$A659)&gt;0,1,0)</f>
        <v>0</v>
      </c>
      <c r="N659">
        <f>IF(COUNTIFS('United Data'!$A$3:$A$3390,N$1,'United Data'!$C$3:$C$3390,$A659)&gt;0,1,0)</f>
        <v>0</v>
      </c>
      <c r="O659">
        <f>IF(COUNTIFS('United Data'!$A$3:$A$3390,O$1,'United Data'!$C$3:$C$3390,$A659)&gt;0,1,0)</f>
        <v>0</v>
      </c>
      <c r="P659">
        <f>IF(COUNTIFS('United Data'!$A$3:$A$3390,P$1,'United Data'!$C$3:$C$3390,$A659)&gt;0,1,0)</f>
        <v>0</v>
      </c>
      <c r="Q659">
        <f>IF(COUNTIFS('United Data'!$A$3:$A$3390,Q$1,'United Data'!$C$3:$C$3390,$A659)&gt;0,1,0)</f>
        <v>0</v>
      </c>
      <c r="R659">
        <f>IF(COUNTIFS('United Data'!$A$3:$A$3390,R$1,'United Data'!$C$3:$C$3390,$A659)&gt;0,1,0)</f>
        <v>0</v>
      </c>
      <c r="S659">
        <f t="shared" si="20"/>
        <v>1</v>
      </c>
      <c r="T659">
        <f t="shared" si="21"/>
        <v>1</v>
      </c>
    </row>
    <row r="660" spans="1:20" x14ac:dyDescent="0.2">
      <c r="A660" t="s">
        <v>782</v>
      </c>
      <c r="B660">
        <f>IF(COUNTIFS('United Data'!$A$3:$A$3390,B$1,'United Data'!$C$3:$C$3390,$A660)&gt;0,1,0)</f>
        <v>0</v>
      </c>
      <c r="C660">
        <f>IF(COUNTIFS('United Data'!$A$3:$A$3390,C$1,'United Data'!$C$3:$C$3390,$A660)&gt;0,1,0)</f>
        <v>1</v>
      </c>
      <c r="D660">
        <f>IF(COUNTIFS('United Data'!$A$3:$A$3390,D$1,'United Data'!$C$3:$C$3390,$A660)&gt;0,1,0)</f>
        <v>0</v>
      </c>
      <c r="E660">
        <f>IF(COUNTIFS('United Data'!$A$3:$A$3390,E$1,'United Data'!$C$3:$C$3390,$A660)&gt;0,1,0)</f>
        <v>0</v>
      </c>
      <c r="F660">
        <f>IF(COUNTIFS('United Data'!$A$3:$A$3390,F$1,'United Data'!$C$3:$C$3390,$A660)&gt;0,1,0)</f>
        <v>1</v>
      </c>
      <c r="G660">
        <f>IF(COUNTIFS('United Data'!$A$3:$A$3390,G$1,'United Data'!$C$3:$C$3390,$A660)&gt;0,1,0)</f>
        <v>0</v>
      </c>
      <c r="H660">
        <f>IF(COUNTIFS('United Data'!$A$3:$A$3390,H$1,'United Data'!$C$3:$C$3390,$A660)&gt;0,1,0)</f>
        <v>0</v>
      </c>
      <c r="I660">
        <f>IF(COUNTIFS('United Data'!$A$3:$A$3390,I$1,'United Data'!$C$3:$C$3390,$A660)&gt;0,1,0)</f>
        <v>0</v>
      </c>
      <c r="J660">
        <f>IF(COUNTIFS('United Data'!$A$3:$A$3390,J$1,'United Data'!$C$3:$C$3390,$A660)&gt;0,1,0)</f>
        <v>1</v>
      </c>
      <c r="K660">
        <f>IF(COUNTIFS('United Data'!$A$3:$A$3390,K$1,'United Data'!$C$3:$C$3390,$A660)&gt;0,1,0)</f>
        <v>0</v>
      </c>
      <c r="L660">
        <f>IF(COUNTIFS('United Data'!$A$3:$A$3390,L$1,'United Data'!$C$3:$C$3390,$A660)&gt;0,1,0)</f>
        <v>0</v>
      </c>
      <c r="M660">
        <f>IF(COUNTIFS('United Data'!$A$3:$A$3390,M$1,'United Data'!$C$3:$C$3390,$A660)&gt;0,1,0)</f>
        <v>0</v>
      </c>
      <c r="N660">
        <f>IF(COUNTIFS('United Data'!$A$3:$A$3390,N$1,'United Data'!$C$3:$C$3390,$A660)&gt;0,1,0)</f>
        <v>0</v>
      </c>
      <c r="O660">
        <f>IF(COUNTIFS('United Data'!$A$3:$A$3390,O$1,'United Data'!$C$3:$C$3390,$A660)&gt;0,1,0)</f>
        <v>0</v>
      </c>
      <c r="P660">
        <f>IF(COUNTIFS('United Data'!$A$3:$A$3390,P$1,'United Data'!$C$3:$C$3390,$A660)&gt;0,1,0)</f>
        <v>0</v>
      </c>
      <c r="Q660">
        <f>IF(COUNTIFS('United Data'!$A$3:$A$3390,Q$1,'United Data'!$C$3:$C$3390,$A660)&gt;0,1,0)</f>
        <v>0</v>
      </c>
      <c r="R660">
        <f>IF(COUNTIFS('United Data'!$A$3:$A$3390,R$1,'United Data'!$C$3:$C$3390,$A660)&gt;0,1,0)</f>
        <v>0</v>
      </c>
      <c r="S660">
        <f t="shared" si="20"/>
        <v>3</v>
      </c>
      <c r="T660">
        <f t="shared" si="21"/>
        <v>3</v>
      </c>
    </row>
    <row r="661" spans="1:20" x14ac:dyDescent="0.2">
      <c r="A661" t="s">
        <v>783</v>
      </c>
      <c r="B661">
        <f>IF(COUNTIFS('United Data'!$A$3:$A$3390,B$1,'United Data'!$C$3:$C$3390,$A661)&gt;0,1,0)</f>
        <v>0</v>
      </c>
      <c r="C661">
        <f>IF(COUNTIFS('United Data'!$A$3:$A$3390,C$1,'United Data'!$C$3:$C$3390,$A661)&gt;0,1,0)</f>
        <v>1</v>
      </c>
      <c r="D661">
        <f>IF(COUNTIFS('United Data'!$A$3:$A$3390,D$1,'United Data'!$C$3:$C$3390,$A661)&gt;0,1,0)</f>
        <v>1</v>
      </c>
      <c r="E661">
        <f>IF(COUNTIFS('United Data'!$A$3:$A$3390,E$1,'United Data'!$C$3:$C$3390,$A661)&gt;0,1,0)</f>
        <v>0</v>
      </c>
      <c r="F661">
        <f>IF(COUNTIFS('United Data'!$A$3:$A$3390,F$1,'United Data'!$C$3:$C$3390,$A661)&gt;0,1,0)</f>
        <v>0</v>
      </c>
      <c r="G661">
        <f>IF(COUNTIFS('United Data'!$A$3:$A$3390,G$1,'United Data'!$C$3:$C$3390,$A661)&gt;0,1,0)</f>
        <v>0</v>
      </c>
      <c r="H661">
        <f>IF(COUNTIFS('United Data'!$A$3:$A$3390,H$1,'United Data'!$C$3:$C$3390,$A661)&gt;0,1,0)</f>
        <v>0</v>
      </c>
      <c r="I661">
        <f>IF(COUNTIFS('United Data'!$A$3:$A$3390,I$1,'United Data'!$C$3:$C$3390,$A661)&gt;0,1,0)</f>
        <v>0</v>
      </c>
      <c r="J661">
        <f>IF(COUNTIFS('United Data'!$A$3:$A$3390,J$1,'United Data'!$C$3:$C$3390,$A661)&gt;0,1,0)</f>
        <v>0</v>
      </c>
      <c r="K661">
        <f>IF(COUNTIFS('United Data'!$A$3:$A$3390,K$1,'United Data'!$C$3:$C$3390,$A661)&gt;0,1,0)</f>
        <v>0</v>
      </c>
      <c r="L661">
        <f>IF(COUNTIFS('United Data'!$A$3:$A$3390,L$1,'United Data'!$C$3:$C$3390,$A661)&gt;0,1,0)</f>
        <v>0</v>
      </c>
      <c r="M661">
        <f>IF(COUNTIFS('United Data'!$A$3:$A$3390,M$1,'United Data'!$C$3:$C$3390,$A661)&gt;0,1,0)</f>
        <v>0</v>
      </c>
      <c r="N661">
        <f>IF(COUNTIFS('United Data'!$A$3:$A$3390,N$1,'United Data'!$C$3:$C$3390,$A661)&gt;0,1,0)</f>
        <v>0</v>
      </c>
      <c r="O661">
        <f>IF(COUNTIFS('United Data'!$A$3:$A$3390,O$1,'United Data'!$C$3:$C$3390,$A661)&gt;0,1,0)</f>
        <v>0</v>
      </c>
      <c r="P661">
        <f>IF(COUNTIFS('United Data'!$A$3:$A$3390,P$1,'United Data'!$C$3:$C$3390,$A661)&gt;0,1,0)</f>
        <v>0</v>
      </c>
      <c r="Q661">
        <f>IF(COUNTIFS('United Data'!$A$3:$A$3390,Q$1,'United Data'!$C$3:$C$3390,$A661)&gt;0,1,0)</f>
        <v>0</v>
      </c>
      <c r="R661">
        <f>IF(COUNTIFS('United Data'!$A$3:$A$3390,R$1,'United Data'!$C$3:$C$3390,$A661)&gt;0,1,0)</f>
        <v>0</v>
      </c>
      <c r="S661">
        <f t="shared" si="20"/>
        <v>2</v>
      </c>
      <c r="T661">
        <f t="shared" si="21"/>
        <v>1</v>
      </c>
    </row>
    <row r="662" spans="1:20" x14ac:dyDescent="0.2">
      <c r="A662" t="s">
        <v>784</v>
      </c>
      <c r="B662">
        <f>IF(COUNTIFS('United Data'!$A$3:$A$3390,B$1,'United Data'!$C$3:$C$3390,$A662)&gt;0,1,0)</f>
        <v>0</v>
      </c>
      <c r="C662">
        <f>IF(COUNTIFS('United Data'!$A$3:$A$3390,C$1,'United Data'!$C$3:$C$3390,$A662)&gt;0,1,0)</f>
        <v>0</v>
      </c>
      <c r="D662">
        <f>IF(COUNTIFS('United Data'!$A$3:$A$3390,D$1,'United Data'!$C$3:$C$3390,$A662)&gt;0,1,0)</f>
        <v>1</v>
      </c>
      <c r="E662">
        <f>IF(COUNTIFS('United Data'!$A$3:$A$3390,E$1,'United Data'!$C$3:$C$3390,$A662)&gt;0,1,0)</f>
        <v>0</v>
      </c>
      <c r="F662">
        <f>IF(COUNTIFS('United Data'!$A$3:$A$3390,F$1,'United Data'!$C$3:$C$3390,$A662)&gt;0,1,0)</f>
        <v>0</v>
      </c>
      <c r="G662">
        <f>IF(COUNTIFS('United Data'!$A$3:$A$3390,G$1,'United Data'!$C$3:$C$3390,$A662)&gt;0,1,0)</f>
        <v>0</v>
      </c>
      <c r="H662">
        <f>IF(COUNTIFS('United Data'!$A$3:$A$3390,H$1,'United Data'!$C$3:$C$3390,$A662)&gt;0,1,0)</f>
        <v>0</v>
      </c>
      <c r="I662">
        <f>IF(COUNTIFS('United Data'!$A$3:$A$3390,I$1,'United Data'!$C$3:$C$3390,$A662)&gt;0,1,0)</f>
        <v>0</v>
      </c>
      <c r="J662">
        <f>IF(COUNTIFS('United Data'!$A$3:$A$3390,J$1,'United Data'!$C$3:$C$3390,$A662)&gt;0,1,0)</f>
        <v>0</v>
      </c>
      <c r="K662">
        <f>IF(COUNTIFS('United Data'!$A$3:$A$3390,K$1,'United Data'!$C$3:$C$3390,$A662)&gt;0,1,0)</f>
        <v>0</v>
      </c>
      <c r="L662">
        <f>IF(COUNTIFS('United Data'!$A$3:$A$3390,L$1,'United Data'!$C$3:$C$3390,$A662)&gt;0,1,0)</f>
        <v>0</v>
      </c>
      <c r="M662">
        <f>IF(COUNTIFS('United Data'!$A$3:$A$3390,M$1,'United Data'!$C$3:$C$3390,$A662)&gt;0,1,0)</f>
        <v>0</v>
      </c>
      <c r="N662">
        <f>IF(COUNTIFS('United Data'!$A$3:$A$3390,N$1,'United Data'!$C$3:$C$3390,$A662)&gt;0,1,0)</f>
        <v>1</v>
      </c>
      <c r="O662">
        <f>IF(COUNTIFS('United Data'!$A$3:$A$3390,O$1,'United Data'!$C$3:$C$3390,$A662)&gt;0,1,0)</f>
        <v>1</v>
      </c>
      <c r="P662">
        <f>IF(COUNTIFS('United Data'!$A$3:$A$3390,P$1,'United Data'!$C$3:$C$3390,$A662)&gt;0,1,0)</f>
        <v>0</v>
      </c>
      <c r="Q662">
        <f>IF(COUNTIFS('United Data'!$A$3:$A$3390,Q$1,'United Data'!$C$3:$C$3390,$A662)&gt;0,1,0)</f>
        <v>0</v>
      </c>
      <c r="R662">
        <f>IF(COUNTIFS('United Data'!$A$3:$A$3390,R$1,'United Data'!$C$3:$C$3390,$A662)&gt;0,1,0)</f>
        <v>0</v>
      </c>
      <c r="S662">
        <f t="shared" si="20"/>
        <v>3</v>
      </c>
      <c r="T662">
        <f t="shared" si="21"/>
        <v>2</v>
      </c>
    </row>
    <row r="663" spans="1:20" x14ac:dyDescent="0.2">
      <c r="A663" t="s">
        <v>785</v>
      </c>
      <c r="B663">
        <f>IF(COUNTIFS('United Data'!$A$3:$A$3390,B$1,'United Data'!$C$3:$C$3390,$A663)&gt;0,1,0)</f>
        <v>0</v>
      </c>
      <c r="C663">
        <f>IF(COUNTIFS('United Data'!$A$3:$A$3390,C$1,'United Data'!$C$3:$C$3390,$A663)&gt;0,1,0)</f>
        <v>0</v>
      </c>
      <c r="D663">
        <f>IF(COUNTIFS('United Data'!$A$3:$A$3390,D$1,'United Data'!$C$3:$C$3390,$A663)&gt;0,1,0)</f>
        <v>1</v>
      </c>
      <c r="E663">
        <f>IF(COUNTIFS('United Data'!$A$3:$A$3390,E$1,'United Data'!$C$3:$C$3390,$A663)&gt;0,1,0)</f>
        <v>1</v>
      </c>
      <c r="F663">
        <f>IF(COUNTIFS('United Data'!$A$3:$A$3390,F$1,'United Data'!$C$3:$C$3390,$A663)&gt;0,1,0)</f>
        <v>1</v>
      </c>
      <c r="G663">
        <f>IF(COUNTIFS('United Data'!$A$3:$A$3390,G$1,'United Data'!$C$3:$C$3390,$A663)&gt;0,1,0)</f>
        <v>0</v>
      </c>
      <c r="H663">
        <f>IF(COUNTIFS('United Data'!$A$3:$A$3390,H$1,'United Data'!$C$3:$C$3390,$A663)&gt;0,1,0)</f>
        <v>0</v>
      </c>
      <c r="I663">
        <f>IF(COUNTIFS('United Data'!$A$3:$A$3390,I$1,'United Data'!$C$3:$C$3390,$A663)&gt;0,1,0)</f>
        <v>0</v>
      </c>
      <c r="J663">
        <f>IF(COUNTIFS('United Data'!$A$3:$A$3390,J$1,'United Data'!$C$3:$C$3390,$A663)&gt;0,1,0)</f>
        <v>0</v>
      </c>
      <c r="K663">
        <f>IF(COUNTIFS('United Data'!$A$3:$A$3390,K$1,'United Data'!$C$3:$C$3390,$A663)&gt;0,1,0)</f>
        <v>0</v>
      </c>
      <c r="L663">
        <f>IF(COUNTIFS('United Data'!$A$3:$A$3390,L$1,'United Data'!$C$3:$C$3390,$A663)&gt;0,1,0)</f>
        <v>0</v>
      </c>
      <c r="M663">
        <f>IF(COUNTIFS('United Data'!$A$3:$A$3390,M$1,'United Data'!$C$3:$C$3390,$A663)&gt;0,1,0)</f>
        <v>0</v>
      </c>
      <c r="N663">
        <f>IF(COUNTIFS('United Data'!$A$3:$A$3390,N$1,'United Data'!$C$3:$C$3390,$A663)&gt;0,1,0)</f>
        <v>0</v>
      </c>
      <c r="O663">
        <f>IF(COUNTIFS('United Data'!$A$3:$A$3390,O$1,'United Data'!$C$3:$C$3390,$A663)&gt;0,1,0)</f>
        <v>1</v>
      </c>
      <c r="P663">
        <f>IF(COUNTIFS('United Data'!$A$3:$A$3390,P$1,'United Data'!$C$3:$C$3390,$A663)&gt;0,1,0)</f>
        <v>0</v>
      </c>
      <c r="Q663">
        <f>IF(COUNTIFS('United Data'!$A$3:$A$3390,Q$1,'United Data'!$C$3:$C$3390,$A663)&gt;0,1,0)</f>
        <v>0</v>
      </c>
      <c r="R663">
        <f>IF(COUNTIFS('United Data'!$A$3:$A$3390,R$1,'United Data'!$C$3:$C$3390,$A663)&gt;0,1,0)</f>
        <v>0</v>
      </c>
      <c r="S663">
        <f t="shared" si="20"/>
        <v>4</v>
      </c>
      <c r="T663">
        <f t="shared" si="21"/>
        <v>2</v>
      </c>
    </row>
    <row r="664" spans="1:20" x14ac:dyDescent="0.2">
      <c r="A664" t="s">
        <v>787</v>
      </c>
      <c r="B664">
        <f>IF(COUNTIFS('United Data'!$A$3:$A$3390,B$1,'United Data'!$C$3:$C$3390,$A664)&gt;0,1,0)</f>
        <v>0</v>
      </c>
      <c r="C664">
        <f>IF(COUNTIFS('United Data'!$A$3:$A$3390,C$1,'United Data'!$C$3:$C$3390,$A664)&gt;0,1,0)</f>
        <v>0</v>
      </c>
      <c r="D664">
        <f>IF(COUNTIFS('United Data'!$A$3:$A$3390,D$1,'United Data'!$C$3:$C$3390,$A664)&gt;0,1,0)</f>
        <v>0</v>
      </c>
      <c r="E664">
        <f>IF(COUNTIFS('United Data'!$A$3:$A$3390,E$1,'United Data'!$C$3:$C$3390,$A664)&gt;0,1,0)</f>
        <v>1</v>
      </c>
      <c r="F664">
        <f>IF(COUNTIFS('United Data'!$A$3:$A$3390,F$1,'United Data'!$C$3:$C$3390,$A664)&gt;0,1,0)</f>
        <v>0</v>
      </c>
      <c r="G664">
        <f>IF(COUNTIFS('United Data'!$A$3:$A$3390,G$1,'United Data'!$C$3:$C$3390,$A664)&gt;0,1,0)</f>
        <v>0</v>
      </c>
      <c r="H664">
        <f>IF(COUNTIFS('United Data'!$A$3:$A$3390,H$1,'United Data'!$C$3:$C$3390,$A664)&gt;0,1,0)</f>
        <v>0</v>
      </c>
      <c r="I664">
        <f>IF(COUNTIFS('United Data'!$A$3:$A$3390,I$1,'United Data'!$C$3:$C$3390,$A664)&gt;0,1,0)</f>
        <v>0</v>
      </c>
      <c r="J664">
        <f>IF(COUNTIFS('United Data'!$A$3:$A$3390,J$1,'United Data'!$C$3:$C$3390,$A664)&gt;0,1,0)</f>
        <v>0</v>
      </c>
      <c r="K664">
        <f>IF(COUNTIFS('United Data'!$A$3:$A$3390,K$1,'United Data'!$C$3:$C$3390,$A664)&gt;0,1,0)</f>
        <v>0</v>
      </c>
      <c r="L664">
        <f>IF(COUNTIFS('United Data'!$A$3:$A$3390,L$1,'United Data'!$C$3:$C$3390,$A664)&gt;0,1,0)</f>
        <v>0</v>
      </c>
      <c r="M664">
        <f>IF(COUNTIFS('United Data'!$A$3:$A$3390,M$1,'United Data'!$C$3:$C$3390,$A664)&gt;0,1,0)</f>
        <v>0</v>
      </c>
      <c r="N664">
        <f>IF(COUNTIFS('United Data'!$A$3:$A$3390,N$1,'United Data'!$C$3:$C$3390,$A664)&gt;0,1,0)</f>
        <v>0</v>
      </c>
      <c r="O664">
        <f>IF(COUNTIFS('United Data'!$A$3:$A$3390,O$1,'United Data'!$C$3:$C$3390,$A664)&gt;0,1,0)</f>
        <v>0</v>
      </c>
      <c r="P664">
        <f>IF(COUNTIFS('United Data'!$A$3:$A$3390,P$1,'United Data'!$C$3:$C$3390,$A664)&gt;0,1,0)</f>
        <v>0</v>
      </c>
      <c r="Q664">
        <f>IF(COUNTIFS('United Data'!$A$3:$A$3390,Q$1,'United Data'!$C$3:$C$3390,$A664)&gt;0,1,0)</f>
        <v>0</v>
      </c>
      <c r="R664">
        <f>IF(COUNTIFS('United Data'!$A$3:$A$3390,R$1,'United Data'!$C$3:$C$3390,$A664)&gt;0,1,0)</f>
        <v>0</v>
      </c>
      <c r="S664">
        <f t="shared" si="20"/>
        <v>1</v>
      </c>
      <c r="T664">
        <f t="shared" si="21"/>
        <v>1</v>
      </c>
    </row>
    <row r="665" spans="1:20" x14ac:dyDescent="0.2">
      <c r="A665" t="s">
        <v>788</v>
      </c>
      <c r="B665">
        <f>IF(COUNTIFS('United Data'!$A$3:$A$3390,B$1,'United Data'!$C$3:$C$3390,$A665)&gt;0,1,0)</f>
        <v>0</v>
      </c>
      <c r="C665">
        <f>IF(COUNTIFS('United Data'!$A$3:$A$3390,C$1,'United Data'!$C$3:$C$3390,$A665)&gt;0,1,0)</f>
        <v>0</v>
      </c>
      <c r="D665">
        <f>IF(COUNTIFS('United Data'!$A$3:$A$3390,D$1,'United Data'!$C$3:$C$3390,$A665)&gt;0,1,0)</f>
        <v>0</v>
      </c>
      <c r="E665">
        <f>IF(COUNTIFS('United Data'!$A$3:$A$3390,E$1,'United Data'!$C$3:$C$3390,$A665)&gt;0,1,0)</f>
        <v>1</v>
      </c>
      <c r="F665">
        <f>IF(COUNTIFS('United Data'!$A$3:$A$3390,F$1,'United Data'!$C$3:$C$3390,$A665)&gt;0,1,0)</f>
        <v>0</v>
      </c>
      <c r="G665">
        <f>IF(COUNTIFS('United Data'!$A$3:$A$3390,G$1,'United Data'!$C$3:$C$3390,$A665)&gt;0,1,0)</f>
        <v>0</v>
      </c>
      <c r="H665">
        <f>IF(COUNTIFS('United Data'!$A$3:$A$3390,H$1,'United Data'!$C$3:$C$3390,$A665)&gt;0,1,0)</f>
        <v>0</v>
      </c>
      <c r="I665">
        <f>IF(COUNTIFS('United Data'!$A$3:$A$3390,I$1,'United Data'!$C$3:$C$3390,$A665)&gt;0,1,0)</f>
        <v>0</v>
      </c>
      <c r="J665">
        <f>IF(COUNTIFS('United Data'!$A$3:$A$3390,J$1,'United Data'!$C$3:$C$3390,$A665)&gt;0,1,0)</f>
        <v>0</v>
      </c>
      <c r="K665">
        <f>IF(COUNTIFS('United Data'!$A$3:$A$3390,K$1,'United Data'!$C$3:$C$3390,$A665)&gt;0,1,0)</f>
        <v>0</v>
      </c>
      <c r="L665">
        <f>IF(COUNTIFS('United Data'!$A$3:$A$3390,L$1,'United Data'!$C$3:$C$3390,$A665)&gt;0,1,0)</f>
        <v>0</v>
      </c>
      <c r="M665">
        <f>IF(COUNTIFS('United Data'!$A$3:$A$3390,M$1,'United Data'!$C$3:$C$3390,$A665)&gt;0,1,0)</f>
        <v>0</v>
      </c>
      <c r="N665">
        <f>IF(COUNTIFS('United Data'!$A$3:$A$3390,N$1,'United Data'!$C$3:$C$3390,$A665)&gt;0,1,0)</f>
        <v>0</v>
      </c>
      <c r="O665">
        <f>IF(COUNTIFS('United Data'!$A$3:$A$3390,O$1,'United Data'!$C$3:$C$3390,$A665)&gt;0,1,0)</f>
        <v>0</v>
      </c>
      <c r="P665">
        <f>IF(COUNTIFS('United Data'!$A$3:$A$3390,P$1,'United Data'!$C$3:$C$3390,$A665)&gt;0,1,0)</f>
        <v>0</v>
      </c>
      <c r="Q665">
        <f>IF(COUNTIFS('United Data'!$A$3:$A$3390,Q$1,'United Data'!$C$3:$C$3390,$A665)&gt;0,1,0)</f>
        <v>0</v>
      </c>
      <c r="R665">
        <f>IF(COUNTIFS('United Data'!$A$3:$A$3390,R$1,'United Data'!$C$3:$C$3390,$A665)&gt;0,1,0)</f>
        <v>0</v>
      </c>
      <c r="S665">
        <f t="shared" si="20"/>
        <v>1</v>
      </c>
      <c r="T665">
        <f t="shared" si="21"/>
        <v>1</v>
      </c>
    </row>
    <row r="666" spans="1:20" x14ac:dyDescent="0.2">
      <c r="A666" t="s">
        <v>789</v>
      </c>
      <c r="B666">
        <f>IF(COUNTIFS('United Data'!$A$3:$A$3390,B$1,'United Data'!$C$3:$C$3390,$A666)&gt;0,1,0)</f>
        <v>0</v>
      </c>
      <c r="C666">
        <f>IF(COUNTIFS('United Data'!$A$3:$A$3390,C$1,'United Data'!$C$3:$C$3390,$A666)&gt;0,1,0)</f>
        <v>0</v>
      </c>
      <c r="D666">
        <f>IF(COUNTIFS('United Data'!$A$3:$A$3390,D$1,'United Data'!$C$3:$C$3390,$A666)&gt;0,1,0)</f>
        <v>0</v>
      </c>
      <c r="E666">
        <f>IF(COUNTIFS('United Data'!$A$3:$A$3390,E$1,'United Data'!$C$3:$C$3390,$A666)&gt;0,1,0)</f>
        <v>1</v>
      </c>
      <c r="F666">
        <f>IF(COUNTIFS('United Data'!$A$3:$A$3390,F$1,'United Data'!$C$3:$C$3390,$A666)&gt;0,1,0)</f>
        <v>1</v>
      </c>
      <c r="G666">
        <f>IF(COUNTIFS('United Data'!$A$3:$A$3390,G$1,'United Data'!$C$3:$C$3390,$A666)&gt;0,1,0)</f>
        <v>1</v>
      </c>
      <c r="H666">
        <f>IF(COUNTIFS('United Data'!$A$3:$A$3390,H$1,'United Data'!$C$3:$C$3390,$A666)&gt;0,1,0)</f>
        <v>1</v>
      </c>
      <c r="I666">
        <f>IF(COUNTIFS('United Data'!$A$3:$A$3390,I$1,'United Data'!$C$3:$C$3390,$A666)&gt;0,1,0)</f>
        <v>1</v>
      </c>
      <c r="J666">
        <f>IF(COUNTIFS('United Data'!$A$3:$A$3390,J$1,'United Data'!$C$3:$C$3390,$A666)&gt;0,1,0)</f>
        <v>0</v>
      </c>
      <c r="K666">
        <f>IF(COUNTIFS('United Data'!$A$3:$A$3390,K$1,'United Data'!$C$3:$C$3390,$A666)&gt;0,1,0)</f>
        <v>1</v>
      </c>
      <c r="L666">
        <f>IF(COUNTIFS('United Data'!$A$3:$A$3390,L$1,'United Data'!$C$3:$C$3390,$A666)&gt;0,1,0)</f>
        <v>1</v>
      </c>
      <c r="M666">
        <f>IF(COUNTIFS('United Data'!$A$3:$A$3390,M$1,'United Data'!$C$3:$C$3390,$A666)&gt;0,1,0)</f>
        <v>1</v>
      </c>
      <c r="N666">
        <f>IF(COUNTIFS('United Data'!$A$3:$A$3390,N$1,'United Data'!$C$3:$C$3390,$A666)&gt;0,1,0)</f>
        <v>0</v>
      </c>
      <c r="O666">
        <f>IF(COUNTIFS('United Data'!$A$3:$A$3390,O$1,'United Data'!$C$3:$C$3390,$A666)&gt;0,1,0)</f>
        <v>0</v>
      </c>
      <c r="P666">
        <f>IF(COUNTIFS('United Data'!$A$3:$A$3390,P$1,'United Data'!$C$3:$C$3390,$A666)&gt;0,1,0)</f>
        <v>1</v>
      </c>
      <c r="Q666">
        <f>IF(COUNTIFS('United Data'!$A$3:$A$3390,Q$1,'United Data'!$C$3:$C$3390,$A666)&gt;0,1,0)</f>
        <v>0</v>
      </c>
      <c r="R666">
        <f>IF(COUNTIFS('United Data'!$A$3:$A$3390,R$1,'United Data'!$C$3:$C$3390,$A666)&gt;0,1,0)</f>
        <v>0</v>
      </c>
      <c r="S666">
        <f t="shared" si="20"/>
        <v>9</v>
      </c>
      <c r="T666">
        <f t="shared" si="21"/>
        <v>3</v>
      </c>
    </row>
    <row r="667" spans="1:20" x14ac:dyDescent="0.2">
      <c r="A667" t="s">
        <v>791</v>
      </c>
      <c r="B667">
        <f>IF(COUNTIFS('United Data'!$A$3:$A$3390,B$1,'United Data'!$C$3:$C$3390,$A667)&gt;0,1,0)</f>
        <v>0</v>
      </c>
      <c r="C667">
        <f>IF(COUNTIFS('United Data'!$A$3:$A$3390,C$1,'United Data'!$C$3:$C$3390,$A667)&gt;0,1,0)</f>
        <v>0</v>
      </c>
      <c r="D667">
        <f>IF(COUNTIFS('United Data'!$A$3:$A$3390,D$1,'United Data'!$C$3:$C$3390,$A667)&gt;0,1,0)</f>
        <v>0</v>
      </c>
      <c r="E667">
        <f>IF(COUNTIFS('United Data'!$A$3:$A$3390,E$1,'United Data'!$C$3:$C$3390,$A667)&gt;0,1,0)</f>
        <v>1</v>
      </c>
      <c r="F667">
        <f>IF(COUNTIFS('United Data'!$A$3:$A$3390,F$1,'United Data'!$C$3:$C$3390,$A667)&gt;0,1,0)</f>
        <v>1</v>
      </c>
      <c r="G667">
        <f>IF(COUNTIFS('United Data'!$A$3:$A$3390,G$1,'United Data'!$C$3:$C$3390,$A667)&gt;0,1,0)</f>
        <v>0</v>
      </c>
      <c r="H667">
        <f>IF(COUNTIFS('United Data'!$A$3:$A$3390,H$1,'United Data'!$C$3:$C$3390,$A667)&gt;0,1,0)</f>
        <v>0</v>
      </c>
      <c r="I667">
        <f>IF(COUNTIFS('United Data'!$A$3:$A$3390,I$1,'United Data'!$C$3:$C$3390,$A667)&gt;0,1,0)</f>
        <v>0</v>
      </c>
      <c r="J667">
        <f>IF(COUNTIFS('United Data'!$A$3:$A$3390,J$1,'United Data'!$C$3:$C$3390,$A667)&gt;0,1,0)</f>
        <v>0</v>
      </c>
      <c r="K667">
        <f>IF(COUNTIFS('United Data'!$A$3:$A$3390,K$1,'United Data'!$C$3:$C$3390,$A667)&gt;0,1,0)</f>
        <v>0</v>
      </c>
      <c r="L667">
        <f>IF(COUNTIFS('United Data'!$A$3:$A$3390,L$1,'United Data'!$C$3:$C$3390,$A667)&gt;0,1,0)</f>
        <v>0</v>
      </c>
      <c r="M667">
        <f>IF(COUNTIFS('United Data'!$A$3:$A$3390,M$1,'United Data'!$C$3:$C$3390,$A667)&gt;0,1,0)</f>
        <v>0</v>
      </c>
      <c r="N667">
        <f>IF(COUNTIFS('United Data'!$A$3:$A$3390,N$1,'United Data'!$C$3:$C$3390,$A667)&gt;0,1,0)</f>
        <v>0</v>
      </c>
      <c r="O667">
        <f>IF(COUNTIFS('United Data'!$A$3:$A$3390,O$1,'United Data'!$C$3:$C$3390,$A667)&gt;0,1,0)</f>
        <v>0</v>
      </c>
      <c r="P667">
        <f>IF(COUNTIFS('United Data'!$A$3:$A$3390,P$1,'United Data'!$C$3:$C$3390,$A667)&gt;0,1,0)</f>
        <v>0</v>
      </c>
      <c r="Q667">
        <f>IF(COUNTIFS('United Data'!$A$3:$A$3390,Q$1,'United Data'!$C$3:$C$3390,$A667)&gt;0,1,0)</f>
        <v>0</v>
      </c>
      <c r="R667">
        <f>IF(COUNTIFS('United Data'!$A$3:$A$3390,R$1,'United Data'!$C$3:$C$3390,$A667)&gt;0,1,0)</f>
        <v>0</v>
      </c>
      <c r="S667">
        <f t="shared" si="20"/>
        <v>2</v>
      </c>
      <c r="T667">
        <f t="shared" si="21"/>
        <v>1</v>
      </c>
    </row>
    <row r="668" spans="1:20" x14ac:dyDescent="0.2">
      <c r="A668" t="s">
        <v>792</v>
      </c>
      <c r="B668">
        <f>IF(COUNTIFS('United Data'!$A$3:$A$3390,B$1,'United Data'!$C$3:$C$3390,$A668)&gt;0,1,0)</f>
        <v>0</v>
      </c>
      <c r="C668">
        <f>IF(COUNTIFS('United Data'!$A$3:$A$3390,C$1,'United Data'!$C$3:$C$3390,$A668)&gt;0,1,0)</f>
        <v>0</v>
      </c>
      <c r="D668">
        <f>IF(COUNTIFS('United Data'!$A$3:$A$3390,D$1,'United Data'!$C$3:$C$3390,$A668)&gt;0,1,0)</f>
        <v>0</v>
      </c>
      <c r="E668">
        <f>IF(COUNTIFS('United Data'!$A$3:$A$3390,E$1,'United Data'!$C$3:$C$3390,$A668)&gt;0,1,0)</f>
        <v>1</v>
      </c>
      <c r="F668">
        <f>IF(COUNTIFS('United Data'!$A$3:$A$3390,F$1,'United Data'!$C$3:$C$3390,$A668)&gt;0,1,0)</f>
        <v>0</v>
      </c>
      <c r="G668">
        <f>IF(COUNTIFS('United Data'!$A$3:$A$3390,G$1,'United Data'!$C$3:$C$3390,$A668)&gt;0,1,0)</f>
        <v>0</v>
      </c>
      <c r="H668">
        <f>IF(COUNTIFS('United Data'!$A$3:$A$3390,H$1,'United Data'!$C$3:$C$3390,$A668)&gt;0,1,0)</f>
        <v>0</v>
      </c>
      <c r="I668">
        <f>IF(COUNTIFS('United Data'!$A$3:$A$3390,I$1,'United Data'!$C$3:$C$3390,$A668)&gt;0,1,0)</f>
        <v>0</v>
      </c>
      <c r="J668">
        <f>IF(COUNTIFS('United Data'!$A$3:$A$3390,J$1,'United Data'!$C$3:$C$3390,$A668)&gt;0,1,0)</f>
        <v>0</v>
      </c>
      <c r="K668">
        <f>IF(COUNTIFS('United Data'!$A$3:$A$3390,K$1,'United Data'!$C$3:$C$3390,$A668)&gt;0,1,0)</f>
        <v>0</v>
      </c>
      <c r="L668">
        <f>IF(COUNTIFS('United Data'!$A$3:$A$3390,L$1,'United Data'!$C$3:$C$3390,$A668)&gt;0,1,0)</f>
        <v>0</v>
      </c>
      <c r="M668">
        <f>IF(COUNTIFS('United Data'!$A$3:$A$3390,M$1,'United Data'!$C$3:$C$3390,$A668)&gt;0,1,0)</f>
        <v>0</v>
      </c>
      <c r="N668">
        <f>IF(COUNTIFS('United Data'!$A$3:$A$3390,N$1,'United Data'!$C$3:$C$3390,$A668)&gt;0,1,0)</f>
        <v>0</v>
      </c>
      <c r="O668">
        <f>IF(COUNTIFS('United Data'!$A$3:$A$3390,O$1,'United Data'!$C$3:$C$3390,$A668)&gt;0,1,0)</f>
        <v>0</v>
      </c>
      <c r="P668">
        <f>IF(COUNTIFS('United Data'!$A$3:$A$3390,P$1,'United Data'!$C$3:$C$3390,$A668)&gt;0,1,0)</f>
        <v>0</v>
      </c>
      <c r="Q668">
        <f>IF(COUNTIFS('United Data'!$A$3:$A$3390,Q$1,'United Data'!$C$3:$C$3390,$A668)&gt;0,1,0)</f>
        <v>0</v>
      </c>
      <c r="R668">
        <f>IF(COUNTIFS('United Data'!$A$3:$A$3390,R$1,'United Data'!$C$3:$C$3390,$A668)&gt;0,1,0)</f>
        <v>0</v>
      </c>
      <c r="S668">
        <f t="shared" si="20"/>
        <v>1</v>
      </c>
      <c r="T668">
        <f t="shared" si="21"/>
        <v>1</v>
      </c>
    </row>
    <row r="669" spans="1:20" x14ac:dyDescent="0.2">
      <c r="A669" t="s">
        <v>794</v>
      </c>
      <c r="B669">
        <f>IF(COUNTIFS('United Data'!$A$3:$A$3390,B$1,'United Data'!$C$3:$C$3390,$A669)&gt;0,1,0)</f>
        <v>0</v>
      </c>
      <c r="C669">
        <f>IF(COUNTIFS('United Data'!$A$3:$A$3390,C$1,'United Data'!$C$3:$C$3390,$A669)&gt;0,1,0)</f>
        <v>0</v>
      </c>
      <c r="D669">
        <f>IF(COUNTIFS('United Data'!$A$3:$A$3390,D$1,'United Data'!$C$3:$C$3390,$A669)&gt;0,1,0)</f>
        <v>0</v>
      </c>
      <c r="E669">
        <f>IF(COUNTIFS('United Data'!$A$3:$A$3390,E$1,'United Data'!$C$3:$C$3390,$A669)&gt;0,1,0)</f>
        <v>1</v>
      </c>
      <c r="F669">
        <f>IF(COUNTIFS('United Data'!$A$3:$A$3390,F$1,'United Data'!$C$3:$C$3390,$A669)&gt;0,1,0)</f>
        <v>0</v>
      </c>
      <c r="G669">
        <f>IF(COUNTIFS('United Data'!$A$3:$A$3390,G$1,'United Data'!$C$3:$C$3390,$A669)&gt;0,1,0)</f>
        <v>0</v>
      </c>
      <c r="H669">
        <f>IF(COUNTIFS('United Data'!$A$3:$A$3390,H$1,'United Data'!$C$3:$C$3390,$A669)&gt;0,1,0)</f>
        <v>0</v>
      </c>
      <c r="I669">
        <f>IF(COUNTIFS('United Data'!$A$3:$A$3390,I$1,'United Data'!$C$3:$C$3390,$A669)&gt;0,1,0)</f>
        <v>0</v>
      </c>
      <c r="J669">
        <f>IF(COUNTIFS('United Data'!$A$3:$A$3390,J$1,'United Data'!$C$3:$C$3390,$A669)&gt;0,1,0)</f>
        <v>0</v>
      </c>
      <c r="K669">
        <f>IF(COUNTIFS('United Data'!$A$3:$A$3390,K$1,'United Data'!$C$3:$C$3390,$A669)&gt;0,1,0)</f>
        <v>0</v>
      </c>
      <c r="L669">
        <f>IF(COUNTIFS('United Data'!$A$3:$A$3390,L$1,'United Data'!$C$3:$C$3390,$A669)&gt;0,1,0)</f>
        <v>0</v>
      </c>
      <c r="M669">
        <f>IF(COUNTIFS('United Data'!$A$3:$A$3390,M$1,'United Data'!$C$3:$C$3390,$A669)&gt;0,1,0)</f>
        <v>0</v>
      </c>
      <c r="N669">
        <f>IF(COUNTIFS('United Data'!$A$3:$A$3390,N$1,'United Data'!$C$3:$C$3390,$A669)&gt;0,1,0)</f>
        <v>0</v>
      </c>
      <c r="O669">
        <f>IF(COUNTIFS('United Data'!$A$3:$A$3390,O$1,'United Data'!$C$3:$C$3390,$A669)&gt;0,1,0)</f>
        <v>0</v>
      </c>
      <c r="P669">
        <f>IF(COUNTIFS('United Data'!$A$3:$A$3390,P$1,'United Data'!$C$3:$C$3390,$A669)&gt;0,1,0)</f>
        <v>0</v>
      </c>
      <c r="Q669">
        <f>IF(COUNTIFS('United Data'!$A$3:$A$3390,Q$1,'United Data'!$C$3:$C$3390,$A669)&gt;0,1,0)</f>
        <v>0</v>
      </c>
      <c r="R669">
        <f>IF(COUNTIFS('United Data'!$A$3:$A$3390,R$1,'United Data'!$C$3:$C$3390,$A669)&gt;0,1,0)</f>
        <v>0</v>
      </c>
      <c r="S669">
        <f t="shared" si="20"/>
        <v>1</v>
      </c>
      <c r="T669">
        <f t="shared" si="21"/>
        <v>1</v>
      </c>
    </row>
    <row r="670" spans="1:20" x14ac:dyDescent="0.2">
      <c r="A670" t="s">
        <v>795</v>
      </c>
      <c r="B670">
        <f>IF(COUNTIFS('United Data'!$A$3:$A$3390,B$1,'United Data'!$C$3:$C$3390,$A670)&gt;0,1,0)</f>
        <v>0</v>
      </c>
      <c r="C670">
        <f>IF(COUNTIFS('United Data'!$A$3:$A$3390,C$1,'United Data'!$C$3:$C$3390,$A670)&gt;0,1,0)</f>
        <v>0</v>
      </c>
      <c r="D670">
        <f>IF(COUNTIFS('United Data'!$A$3:$A$3390,D$1,'United Data'!$C$3:$C$3390,$A670)&gt;0,1,0)</f>
        <v>0</v>
      </c>
      <c r="E670">
        <f>IF(COUNTIFS('United Data'!$A$3:$A$3390,E$1,'United Data'!$C$3:$C$3390,$A670)&gt;0,1,0)</f>
        <v>1</v>
      </c>
      <c r="F670">
        <f>IF(COUNTIFS('United Data'!$A$3:$A$3390,F$1,'United Data'!$C$3:$C$3390,$A670)&gt;0,1,0)</f>
        <v>0</v>
      </c>
      <c r="G670">
        <f>IF(COUNTIFS('United Data'!$A$3:$A$3390,G$1,'United Data'!$C$3:$C$3390,$A670)&gt;0,1,0)</f>
        <v>0</v>
      </c>
      <c r="H670">
        <f>IF(COUNTIFS('United Data'!$A$3:$A$3390,H$1,'United Data'!$C$3:$C$3390,$A670)&gt;0,1,0)</f>
        <v>0</v>
      </c>
      <c r="I670">
        <f>IF(COUNTIFS('United Data'!$A$3:$A$3390,I$1,'United Data'!$C$3:$C$3390,$A670)&gt;0,1,0)</f>
        <v>0</v>
      </c>
      <c r="J670">
        <f>IF(COUNTIFS('United Data'!$A$3:$A$3390,J$1,'United Data'!$C$3:$C$3390,$A670)&gt;0,1,0)</f>
        <v>0</v>
      </c>
      <c r="K670">
        <f>IF(COUNTIFS('United Data'!$A$3:$A$3390,K$1,'United Data'!$C$3:$C$3390,$A670)&gt;0,1,0)</f>
        <v>0</v>
      </c>
      <c r="L670">
        <f>IF(COUNTIFS('United Data'!$A$3:$A$3390,L$1,'United Data'!$C$3:$C$3390,$A670)&gt;0,1,0)</f>
        <v>0</v>
      </c>
      <c r="M670">
        <f>IF(COUNTIFS('United Data'!$A$3:$A$3390,M$1,'United Data'!$C$3:$C$3390,$A670)&gt;0,1,0)</f>
        <v>0</v>
      </c>
      <c r="N670">
        <f>IF(COUNTIFS('United Data'!$A$3:$A$3390,N$1,'United Data'!$C$3:$C$3390,$A670)&gt;0,1,0)</f>
        <v>0</v>
      </c>
      <c r="O670">
        <f>IF(COUNTIFS('United Data'!$A$3:$A$3390,O$1,'United Data'!$C$3:$C$3390,$A670)&gt;0,1,0)</f>
        <v>0</v>
      </c>
      <c r="P670">
        <f>IF(COUNTIFS('United Data'!$A$3:$A$3390,P$1,'United Data'!$C$3:$C$3390,$A670)&gt;0,1,0)</f>
        <v>0</v>
      </c>
      <c r="Q670">
        <f>IF(COUNTIFS('United Data'!$A$3:$A$3390,Q$1,'United Data'!$C$3:$C$3390,$A670)&gt;0,1,0)</f>
        <v>0</v>
      </c>
      <c r="R670">
        <f>IF(COUNTIFS('United Data'!$A$3:$A$3390,R$1,'United Data'!$C$3:$C$3390,$A670)&gt;0,1,0)</f>
        <v>0</v>
      </c>
      <c r="S670">
        <f t="shared" si="20"/>
        <v>1</v>
      </c>
      <c r="T670">
        <f t="shared" si="21"/>
        <v>1</v>
      </c>
    </row>
    <row r="671" spans="1:20" x14ac:dyDescent="0.2">
      <c r="A671" t="s">
        <v>796</v>
      </c>
      <c r="B671">
        <f>IF(COUNTIFS('United Data'!$A$3:$A$3390,B$1,'United Data'!$C$3:$C$3390,$A671)&gt;0,1,0)</f>
        <v>0</v>
      </c>
      <c r="C671">
        <f>IF(COUNTIFS('United Data'!$A$3:$A$3390,C$1,'United Data'!$C$3:$C$3390,$A671)&gt;0,1,0)</f>
        <v>0</v>
      </c>
      <c r="D671">
        <f>IF(COUNTIFS('United Data'!$A$3:$A$3390,D$1,'United Data'!$C$3:$C$3390,$A671)&gt;0,1,0)</f>
        <v>0</v>
      </c>
      <c r="E671">
        <f>IF(COUNTIFS('United Data'!$A$3:$A$3390,E$1,'United Data'!$C$3:$C$3390,$A671)&gt;0,1,0)</f>
        <v>0</v>
      </c>
      <c r="F671">
        <f>IF(COUNTIFS('United Data'!$A$3:$A$3390,F$1,'United Data'!$C$3:$C$3390,$A671)&gt;0,1,0)</f>
        <v>1</v>
      </c>
      <c r="G671">
        <f>IF(COUNTIFS('United Data'!$A$3:$A$3390,G$1,'United Data'!$C$3:$C$3390,$A671)&gt;0,1,0)</f>
        <v>0</v>
      </c>
      <c r="H671">
        <f>IF(COUNTIFS('United Data'!$A$3:$A$3390,H$1,'United Data'!$C$3:$C$3390,$A671)&gt;0,1,0)</f>
        <v>0</v>
      </c>
      <c r="I671">
        <f>IF(COUNTIFS('United Data'!$A$3:$A$3390,I$1,'United Data'!$C$3:$C$3390,$A671)&gt;0,1,0)</f>
        <v>0</v>
      </c>
      <c r="J671">
        <f>IF(COUNTIFS('United Data'!$A$3:$A$3390,J$1,'United Data'!$C$3:$C$3390,$A671)&gt;0,1,0)</f>
        <v>0</v>
      </c>
      <c r="K671">
        <f>IF(COUNTIFS('United Data'!$A$3:$A$3390,K$1,'United Data'!$C$3:$C$3390,$A671)&gt;0,1,0)</f>
        <v>0</v>
      </c>
      <c r="L671">
        <f>IF(COUNTIFS('United Data'!$A$3:$A$3390,L$1,'United Data'!$C$3:$C$3390,$A671)&gt;0,1,0)</f>
        <v>0</v>
      </c>
      <c r="M671">
        <f>IF(COUNTIFS('United Data'!$A$3:$A$3390,M$1,'United Data'!$C$3:$C$3390,$A671)&gt;0,1,0)</f>
        <v>0</v>
      </c>
      <c r="N671">
        <f>IF(COUNTIFS('United Data'!$A$3:$A$3390,N$1,'United Data'!$C$3:$C$3390,$A671)&gt;0,1,0)</f>
        <v>0</v>
      </c>
      <c r="O671">
        <f>IF(COUNTIFS('United Data'!$A$3:$A$3390,O$1,'United Data'!$C$3:$C$3390,$A671)&gt;0,1,0)</f>
        <v>0</v>
      </c>
      <c r="P671">
        <f>IF(COUNTIFS('United Data'!$A$3:$A$3390,P$1,'United Data'!$C$3:$C$3390,$A671)&gt;0,1,0)</f>
        <v>0</v>
      </c>
      <c r="Q671">
        <f>IF(COUNTIFS('United Data'!$A$3:$A$3390,Q$1,'United Data'!$C$3:$C$3390,$A671)&gt;0,1,0)</f>
        <v>0</v>
      </c>
      <c r="R671">
        <f>IF(COUNTIFS('United Data'!$A$3:$A$3390,R$1,'United Data'!$C$3:$C$3390,$A671)&gt;0,1,0)</f>
        <v>0</v>
      </c>
      <c r="S671">
        <f t="shared" si="20"/>
        <v>1</v>
      </c>
      <c r="T671">
        <f t="shared" si="21"/>
        <v>1</v>
      </c>
    </row>
    <row r="672" spans="1:20" x14ac:dyDescent="0.2">
      <c r="A672" t="s">
        <v>799</v>
      </c>
      <c r="B672">
        <f>IF(COUNTIFS('United Data'!$A$3:$A$3390,B$1,'United Data'!$C$3:$C$3390,$A672)&gt;0,1,0)</f>
        <v>0</v>
      </c>
      <c r="C672">
        <f>IF(COUNTIFS('United Data'!$A$3:$A$3390,C$1,'United Data'!$C$3:$C$3390,$A672)&gt;0,1,0)</f>
        <v>0</v>
      </c>
      <c r="D672">
        <f>IF(COUNTIFS('United Data'!$A$3:$A$3390,D$1,'United Data'!$C$3:$C$3390,$A672)&gt;0,1,0)</f>
        <v>0</v>
      </c>
      <c r="E672">
        <f>IF(COUNTIFS('United Data'!$A$3:$A$3390,E$1,'United Data'!$C$3:$C$3390,$A672)&gt;0,1,0)</f>
        <v>0</v>
      </c>
      <c r="F672">
        <f>IF(COUNTIFS('United Data'!$A$3:$A$3390,F$1,'United Data'!$C$3:$C$3390,$A672)&gt;0,1,0)</f>
        <v>0</v>
      </c>
      <c r="G672">
        <f>IF(COUNTIFS('United Data'!$A$3:$A$3390,G$1,'United Data'!$C$3:$C$3390,$A672)&gt;0,1,0)</f>
        <v>1</v>
      </c>
      <c r="H672">
        <f>IF(COUNTIFS('United Data'!$A$3:$A$3390,H$1,'United Data'!$C$3:$C$3390,$A672)&gt;0,1,0)</f>
        <v>0</v>
      </c>
      <c r="I672">
        <f>IF(COUNTIFS('United Data'!$A$3:$A$3390,I$1,'United Data'!$C$3:$C$3390,$A672)&gt;0,1,0)</f>
        <v>0</v>
      </c>
      <c r="J672">
        <f>IF(COUNTIFS('United Data'!$A$3:$A$3390,J$1,'United Data'!$C$3:$C$3390,$A672)&gt;0,1,0)</f>
        <v>0</v>
      </c>
      <c r="K672">
        <f>IF(COUNTIFS('United Data'!$A$3:$A$3390,K$1,'United Data'!$C$3:$C$3390,$A672)&gt;0,1,0)</f>
        <v>0</v>
      </c>
      <c r="L672">
        <f>IF(COUNTIFS('United Data'!$A$3:$A$3390,L$1,'United Data'!$C$3:$C$3390,$A672)&gt;0,1,0)</f>
        <v>0</v>
      </c>
      <c r="M672">
        <f>IF(COUNTIFS('United Data'!$A$3:$A$3390,M$1,'United Data'!$C$3:$C$3390,$A672)&gt;0,1,0)</f>
        <v>0</v>
      </c>
      <c r="N672">
        <f>IF(COUNTIFS('United Data'!$A$3:$A$3390,N$1,'United Data'!$C$3:$C$3390,$A672)&gt;0,1,0)</f>
        <v>0</v>
      </c>
      <c r="O672">
        <f>IF(COUNTIFS('United Data'!$A$3:$A$3390,O$1,'United Data'!$C$3:$C$3390,$A672)&gt;0,1,0)</f>
        <v>0</v>
      </c>
      <c r="P672">
        <f>IF(COUNTIFS('United Data'!$A$3:$A$3390,P$1,'United Data'!$C$3:$C$3390,$A672)&gt;0,1,0)</f>
        <v>0</v>
      </c>
      <c r="Q672">
        <f>IF(COUNTIFS('United Data'!$A$3:$A$3390,Q$1,'United Data'!$C$3:$C$3390,$A672)&gt;0,1,0)</f>
        <v>0</v>
      </c>
      <c r="R672">
        <f>IF(COUNTIFS('United Data'!$A$3:$A$3390,R$1,'United Data'!$C$3:$C$3390,$A672)&gt;0,1,0)</f>
        <v>0</v>
      </c>
      <c r="S672">
        <f t="shared" si="20"/>
        <v>1</v>
      </c>
      <c r="T672">
        <f t="shared" si="21"/>
        <v>1</v>
      </c>
    </row>
    <row r="673" spans="1:20" x14ac:dyDescent="0.2">
      <c r="A673" t="s">
        <v>800</v>
      </c>
      <c r="B673">
        <f>IF(COUNTIFS('United Data'!$A$3:$A$3390,B$1,'United Data'!$C$3:$C$3390,$A673)&gt;0,1,0)</f>
        <v>0</v>
      </c>
      <c r="C673">
        <f>IF(COUNTIFS('United Data'!$A$3:$A$3390,C$1,'United Data'!$C$3:$C$3390,$A673)&gt;0,1,0)</f>
        <v>0</v>
      </c>
      <c r="D673">
        <f>IF(COUNTIFS('United Data'!$A$3:$A$3390,D$1,'United Data'!$C$3:$C$3390,$A673)&gt;0,1,0)</f>
        <v>0</v>
      </c>
      <c r="E673">
        <f>IF(COUNTIFS('United Data'!$A$3:$A$3390,E$1,'United Data'!$C$3:$C$3390,$A673)&gt;0,1,0)</f>
        <v>0</v>
      </c>
      <c r="F673">
        <f>IF(COUNTIFS('United Data'!$A$3:$A$3390,F$1,'United Data'!$C$3:$C$3390,$A673)&gt;0,1,0)</f>
        <v>0</v>
      </c>
      <c r="G673">
        <f>IF(COUNTIFS('United Data'!$A$3:$A$3390,G$1,'United Data'!$C$3:$C$3390,$A673)&gt;0,1,0)</f>
        <v>0</v>
      </c>
      <c r="H673">
        <f>IF(COUNTIFS('United Data'!$A$3:$A$3390,H$1,'United Data'!$C$3:$C$3390,$A673)&gt;0,1,0)</f>
        <v>1</v>
      </c>
      <c r="I673">
        <f>IF(COUNTIFS('United Data'!$A$3:$A$3390,I$1,'United Data'!$C$3:$C$3390,$A673)&gt;0,1,0)</f>
        <v>0</v>
      </c>
      <c r="J673">
        <f>IF(COUNTIFS('United Data'!$A$3:$A$3390,J$1,'United Data'!$C$3:$C$3390,$A673)&gt;0,1,0)</f>
        <v>0</v>
      </c>
      <c r="K673">
        <f>IF(COUNTIFS('United Data'!$A$3:$A$3390,K$1,'United Data'!$C$3:$C$3390,$A673)&gt;0,1,0)</f>
        <v>0</v>
      </c>
      <c r="L673">
        <f>IF(COUNTIFS('United Data'!$A$3:$A$3390,L$1,'United Data'!$C$3:$C$3390,$A673)&gt;0,1,0)</f>
        <v>0</v>
      </c>
      <c r="M673">
        <f>IF(COUNTIFS('United Data'!$A$3:$A$3390,M$1,'United Data'!$C$3:$C$3390,$A673)&gt;0,1,0)</f>
        <v>0</v>
      </c>
      <c r="N673">
        <f>IF(COUNTIFS('United Data'!$A$3:$A$3390,N$1,'United Data'!$C$3:$C$3390,$A673)&gt;0,1,0)</f>
        <v>0</v>
      </c>
      <c r="O673">
        <f>IF(COUNTIFS('United Data'!$A$3:$A$3390,O$1,'United Data'!$C$3:$C$3390,$A673)&gt;0,1,0)</f>
        <v>0</v>
      </c>
      <c r="P673">
        <f>IF(COUNTIFS('United Data'!$A$3:$A$3390,P$1,'United Data'!$C$3:$C$3390,$A673)&gt;0,1,0)</f>
        <v>0</v>
      </c>
      <c r="Q673">
        <f>IF(COUNTIFS('United Data'!$A$3:$A$3390,Q$1,'United Data'!$C$3:$C$3390,$A673)&gt;0,1,0)</f>
        <v>0</v>
      </c>
      <c r="R673">
        <f>IF(COUNTIFS('United Data'!$A$3:$A$3390,R$1,'United Data'!$C$3:$C$3390,$A673)&gt;0,1,0)</f>
        <v>0</v>
      </c>
      <c r="S673">
        <f t="shared" si="20"/>
        <v>1</v>
      </c>
      <c r="T673">
        <f t="shared" si="21"/>
        <v>1</v>
      </c>
    </row>
    <row r="674" spans="1:20" x14ac:dyDescent="0.2">
      <c r="A674" t="s">
        <v>801</v>
      </c>
      <c r="B674">
        <f>IF(COUNTIFS('United Data'!$A$3:$A$3390,B$1,'United Data'!$C$3:$C$3390,$A674)&gt;0,1,0)</f>
        <v>0</v>
      </c>
      <c r="C674">
        <f>IF(COUNTIFS('United Data'!$A$3:$A$3390,C$1,'United Data'!$C$3:$C$3390,$A674)&gt;0,1,0)</f>
        <v>0</v>
      </c>
      <c r="D674">
        <f>IF(COUNTIFS('United Data'!$A$3:$A$3390,D$1,'United Data'!$C$3:$C$3390,$A674)&gt;0,1,0)</f>
        <v>0</v>
      </c>
      <c r="E674">
        <f>IF(COUNTIFS('United Data'!$A$3:$A$3390,E$1,'United Data'!$C$3:$C$3390,$A674)&gt;0,1,0)</f>
        <v>0</v>
      </c>
      <c r="F674">
        <f>IF(COUNTIFS('United Data'!$A$3:$A$3390,F$1,'United Data'!$C$3:$C$3390,$A674)&gt;0,1,0)</f>
        <v>0</v>
      </c>
      <c r="G674">
        <f>IF(COUNTIFS('United Data'!$A$3:$A$3390,G$1,'United Data'!$C$3:$C$3390,$A674)&gt;0,1,0)</f>
        <v>0</v>
      </c>
      <c r="H674">
        <f>IF(COUNTIFS('United Data'!$A$3:$A$3390,H$1,'United Data'!$C$3:$C$3390,$A674)&gt;0,1,0)</f>
        <v>1</v>
      </c>
      <c r="I674">
        <f>IF(COUNTIFS('United Data'!$A$3:$A$3390,I$1,'United Data'!$C$3:$C$3390,$A674)&gt;0,1,0)</f>
        <v>0</v>
      </c>
      <c r="J674">
        <f>IF(COUNTIFS('United Data'!$A$3:$A$3390,J$1,'United Data'!$C$3:$C$3390,$A674)&gt;0,1,0)</f>
        <v>0</v>
      </c>
      <c r="K674">
        <f>IF(COUNTIFS('United Data'!$A$3:$A$3390,K$1,'United Data'!$C$3:$C$3390,$A674)&gt;0,1,0)</f>
        <v>0</v>
      </c>
      <c r="L674">
        <f>IF(COUNTIFS('United Data'!$A$3:$A$3390,L$1,'United Data'!$C$3:$C$3390,$A674)&gt;0,1,0)</f>
        <v>0</v>
      </c>
      <c r="M674">
        <f>IF(COUNTIFS('United Data'!$A$3:$A$3390,M$1,'United Data'!$C$3:$C$3390,$A674)&gt;0,1,0)</f>
        <v>0</v>
      </c>
      <c r="N674">
        <f>IF(COUNTIFS('United Data'!$A$3:$A$3390,N$1,'United Data'!$C$3:$C$3390,$A674)&gt;0,1,0)</f>
        <v>0</v>
      </c>
      <c r="O674">
        <f>IF(COUNTIFS('United Data'!$A$3:$A$3390,O$1,'United Data'!$C$3:$C$3390,$A674)&gt;0,1,0)</f>
        <v>0</v>
      </c>
      <c r="P674">
        <f>IF(COUNTIFS('United Data'!$A$3:$A$3390,P$1,'United Data'!$C$3:$C$3390,$A674)&gt;0,1,0)</f>
        <v>0</v>
      </c>
      <c r="Q674">
        <f>IF(COUNTIFS('United Data'!$A$3:$A$3390,Q$1,'United Data'!$C$3:$C$3390,$A674)&gt;0,1,0)</f>
        <v>0</v>
      </c>
      <c r="R674">
        <f>IF(COUNTIFS('United Data'!$A$3:$A$3390,R$1,'United Data'!$C$3:$C$3390,$A674)&gt;0,1,0)</f>
        <v>0</v>
      </c>
      <c r="S674">
        <f t="shared" si="20"/>
        <v>1</v>
      </c>
      <c r="T674">
        <f t="shared" si="21"/>
        <v>1</v>
      </c>
    </row>
    <row r="675" spans="1:20" x14ac:dyDescent="0.2">
      <c r="A675" t="s">
        <v>802</v>
      </c>
      <c r="B675">
        <f>IF(COUNTIFS('United Data'!$A$3:$A$3390,B$1,'United Data'!$C$3:$C$3390,$A675)&gt;0,1,0)</f>
        <v>0</v>
      </c>
      <c r="C675">
        <f>IF(COUNTIFS('United Data'!$A$3:$A$3390,C$1,'United Data'!$C$3:$C$3390,$A675)&gt;0,1,0)</f>
        <v>0</v>
      </c>
      <c r="D675">
        <f>IF(COUNTIFS('United Data'!$A$3:$A$3390,D$1,'United Data'!$C$3:$C$3390,$A675)&gt;0,1,0)</f>
        <v>0</v>
      </c>
      <c r="E675">
        <f>IF(COUNTIFS('United Data'!$A$3:$A$3390,E$1,'United Data'!$C$3:$C$3390,$A675)&gt;0,1,0)</f>
        <v>0</v>
      </c>
      <c r="F675">
        <f>IF(COUNTIFS('United Data'!$A$3:$A$3390,F$1,'United Data'!$C$3:$C$3390,$A675)&gt;0,1,0)</f>
        <v>0</v>
      </c>
      <c r="G675">
        <f>IF(COUNTIFS('United Data'!$A$3:$A$3390,G$1,'United Data'!$C$3:$C$3390,$A675)&gt;0,1,0)</f>
        <v>0</v>
      </c>
      <c r="H675">
        <f>IF(COUNTIFS('United Data'!$A$3:$A$3390,H$1,'United Data'!$C$3:$C$3390,$A675)&gt;0,1,0)</f>
        <v>1</v>
      </c>
      <c r="I675">
        <f>IF(COUNTIFS('United Data'!$A$3:$A$3390,I$1,'United Data'!$C$3:$C$3390,$A675)&gt;0,1,0)</f>
        <v>0</v>
      </c>
      <c r="J675">
        <f>IF(COUNTIFS('United Data'!$A$3:$A$3390,J$1,'United Data'!$C$3:$C$3390,$A675)&gt;0,1,0)</f>
        <v>1</v>
      </c>
      <c r="K675">
        <f>IF(COUNTIFS('United Data'!$A$3:$A$3390,K$1,'United Data'!$C$3:$C$3390,$A675)&gt;0,1,0)</f>
        <v>0</v>
      </c>
      <c r="L675">
        <f>IF(COUNTIFS('United Data'!$A$3:$A$3390,L$1,'United Data'!$C$3:$C$3390,$A675)&gt;0,1,0)</f>
        <v>0</v>
      </c>
      <c r="M675">
        <f>IF(COUNTIFS('United Data'!$A$3:$A$3390,M$1,'United Data'!$C$3:$C$3390,$A675)&gt;0,1,0)</f>
        <v>0</v>
      </c>
      <c r="N675">
        <f>IF(COUNTIFS('United Data'!$A$3:$A$3390,N$1,'United Data'!$C$3:$C$3390,$A675)&gt;0,1,0)</f>
        <v>1</v>
      </c>
      <c r="O675">
        <f>IF(COUNTIFS('United Data'!$A$3:$A$3390,O$1,'United Data'!$C$3:$C$3390,$A675)&gt;0,1,0)</f>
        <v>0</v>
      </c>
      <c r="P675">
        <f>IF(COUNTIFS('United Data'!$A$3:$A$3390,P$1,'United Data'!$C$3:$C$3390,$A675)&gt;0,1,0)</f>
        <v>1</v>
      </c>
      <c r="Q675">
        <f>IF(COUNTIFS('United Data'!$A$3:$A$3390,Q$1,'United Data'!$C$3:$C$3390,$A675)&gt;0,1,0)</f>
        <v>1</v>
      </c>
      <c r="R675">
        <f>IF(COUNTIFS('United Data'!$A$3:$A$3390,R$1,'United Data'!$C$3:$C$3390,$A675)&gt;0,1,0)</f>
        <v>0</v>
      </c>
      <c r="S675">
        <f t="shared" si="20"/>
        <v>5</v>
      </c>
      <c r="T675">
        <f t="shared" si="21"/>
        <v>4</v>
      </c>
    </row>
    <row r="676" spans="1:20" x14ac:dyDescent="0.2">
      <c r="A676" t="s">
        <v>803</v>
      </c>
      <c r="B676">
        <f>IF(COUNTIFS('United Data'!$A$3:$A$3390,B$1,'United Data'!$C$3:$C$3390,$A676)&gt;0,1,0)</f>
        <v>0</v>
      </c>
      <c r="C676">
        <f>IF(COUNTIFS('United Data'!$A$3:$A$3390,C$1,'United Data'!$C$3:$C$3390,$A676)&gt;0,1,0)</f>
        <v>0</v>
      </c>
      <c r="D676">
        <f>IF(COUNTIFS('United Data'!$A$3:$A$3390,D$1,'United Data'!$C$3:$C$3390,$A676)&gt;0,1,0)</f>
        <v>0</v>
      </c>
      <c r="E676">
        <f>IF(COUNTIFS('United Data'!$A$3:$A$3390,E$1,'United Data'!$C$3:$C$3390,$A676)&gt;0,1,0)</f>
        <v>0</v>
      </c>
      <c r="F676">
        <f>IF(COUNTIFS('United Data'!$A$3:$A$3390,F$1,'United Data'!$C$3:$C$3390,$A676)&gt;0,1,0)</f>
        <v>0</v>
      </c>
      <c r="G676">
        <f>IF(COUNTIFS('United Data'!$A$3:$A$3390,G$1,'United Data'!$C$3:$C$3390,$A676)&gt;0,1,0)</f>
        <v>0</v>
      </c>
      <c r="H676">
        <f>IF(COUNTIFS('United Data'!$A$3:$A$3390,H$1,'United Data'!$C$3:$C$3390,$A676)&gt;0,1,0)</f>
        <v>1</v>
      </c>
      <c r="I676">
        <f>IF(COUNTIFS('United Data'!$A$3:$A$3390,I$1,'United Data'!$C$3:$C$3390,$A676)&gt;0,1,0)</f>
        <v>0</v>
      </c>
      <c r="J676">
        <f>IF(COUNTIFS('United Data'!$A$3:$A$3390,J$1,'United Data'!$C$3:$C$3390,$A676)&gt;0,1,0)</f>
        <v>0</v>
      </c>
      <c r="K676">
        <f>IF(COUNTIFS('United Data'!$A$3:$A$3390,K$1,'United Data'!$C$3:$C$3390,$A676)&gt;0,1,0)</f>
        <v>0</v>
      </c>
      <c r="L676">
        <f>IF(COUNTIFS('United Data'!$A$3:$A$3390,L$1,'United Data'!$C$3:$C$3390,$A676)&gt;0,1,0)</f>
        <v>1</v>
      </c>
      <c r="M676">
        <f>IF(COUNTIFS('United Data'!$A$3:$A$3390,M$1,'United Data'!$C$3:$C$3390,$A676)&gt;0,1,0)</f>
        <v>0</v>
      </c>
      <c r="N676">
        <f>IF(COUNTIFS('United Data'!$A$3:$A$3390,N$1,'United Data'!$C$3:$C$3390,$A676)&gt;0,1,0)</f>
        <v>0</v>
      </c>
      <c r="O676">
        <f>IF(COUNTIFS('United Data'!$A$3:$A$3390,O$1,'United Data'!$C$3:$C$3390,$A676)&gt;0,1,0)</f>
        <v>0</v>
      </c>
      <c r="P676">
        <f>IF(COUNTIFS('United Data'!$A$3:$A$3390,P$1,'United Data'!$C$3:$C$3390,$A676)&gt;0,1,0)</f>
        <v>0</v>
      </c>
      <c r="Q676">
        <f>IF(COUNTIFS('United Data'!$A$3:$A$3390,Q$1,'United Data'!$C$3:$C$3390,$A676)&gt;0,1,0)</f>
        <v>0</v>
      </c>
      <c r="R676">
        <f>IF(COUNTIFS('United Data'!$A$3:$A$3390,R$1,'United Data'!$C$3:$C$3390,$A676)&gt;0,1,0)</f>
        <v>0</v>
      </c>
      <c r="S676">
        <f t="shared" si="20"/>
        <v>2</v>
      </c>
      <c r="T676">
        <f t="shared" si="21"/>
        <v>2</v>
      </c>
    </row>
    <row r="677" spans="1:20" x14ac:dyDescent="0.2">
      <c r="A677" t="s">
        <v>804</v>
      </c>
      <c r="B677">
        <f>IF(COUNTIFS('United Data'!$A$3:$A$3390,B$1,'United Data'!$C$3:$C$3390,$A677)&gt;0,1,0)</f>
        <v>0</v>
      </c>
      <c r="C677">
        <f>IF(COUNTIFS('United Data'!$A$3:$A$3390,C$1,'United Data'!$C$3:$C$3390,$A677)&gt;0,1,0)</f>
        <v>0</v>
      </c>
      <c r="D677">
        <f>IF(COUNTIFS('United Data'!$A$3:$A$3390,D$1,'United Data'!$C$3:$C$3390,$A677)&gt;0,1,0)</f>
        <v>0</v>
      </c>
      <c r="E677">
        <f>IF(COUNTIFS('United Data'!$A$3:$A$3390,E$1,'United Data'!$C$3:$C$3390,$A677)&gt;0,1,0)</f>
        <v>0</v>
      </c>
      <c r="F677">
        <f>IF(COUNTIFS('United Data'!$A$3:$A$3390,F$1,'United Data'!$C$3:$C$3390,$A677)&gt;0,1,0)</f>
        <v>0</v>
      </c>
      <c r="G677">
        <f>IF(COUNTIFS('United Data'!$A$3:$A$3390,G$1,'United Data'!$C$3:$C$3390,$A677)&gt;0,1,0)</f>
        <v>0</v>
      </c>
      <c r="H677">
        <f>IF(COUNTIFS('United Data'!$A$3:$A$3390,H$1,'United Data'!$C$3:$C$3390,$A677)&gt;0,1,0)</f>
        <v>1</v>
      </c>
      <c r="I677">
        <f>IF(COUNTIFS('United Data'!$A$3:$A$3390,I$1,'United Data'!$C$3:$C$3390,$A677)&gt;0,1,0)</f>
        <v>0</v>
      </c>
      <c r="J677">
        <f>IF(COUNTIFS('United Data'!$A$3:$A$3390,J$1,'United Data'!$C$3:$C$3390,$A677)&gt;0,1,0)</f>
        <v>0</v>
      </c>
      <c r="K677">
        <f>IF(COUNTIFS('United Data'!$A$3:$A$3390,K$1,'United Data'!$C$3:$C$3390,$A677)&gt;0,1,0)</f>
        <v>0</v>
      </c>
      <c r="L677">
        <f>IF(COUNTIFS('United Data'!$A$3:$A$3390,L$1,'United Data'!$C$3:$C$3390,$A677)&gt;0,1,0)</f>
        <v>0</v>
      </c>
      <c r="M677">
        <f>IF(COUNTIFS('United Data'!$A$3:$A$3390,M$1,'United Data'!$C$3:$C$3390,$A677)&gt;0,1,0)</f>
        <v>0</v>
      </c>
      <c r="N677">
        <f>IF(COUNTIFS('United Data'!$A$3:$A$3390,N$1,'United Data'!$C$3:$C$3390,$A677)&gt;0,1,0)</f>
        <v>0</v>
      </c>
      <c r="O677">
        <f>IF(COUNTIFS('United Data'!$A$3:$A$3390,O$1,'United Data'!$C$3:$C$3390,$A677)&gt;0,1,0)</f>
        <v>0</v>
      </c>
      <c r="P677">
        <f>IF(COUNTIFS('United Data'!$A$3:$A$3390,P$1,'United Data'!$C$3:$C$3390,$A677)&gt;0,1,0)</f>
        <v>0</v>
      </c>
      <c r="Q677">
        <f>IF(COUNTIFS('United Data'!$A$3:$A$3390,Q$1,'United Data'!$C$3:$C$3390,$A677)&gt;0,1,0)</f>
        <v>0</v>
      </c>
      <c r="R677">
        <f>IF(COUNTIFS('United Data'!$A$3:$A$3390,R$1,'United Data'!$C$3:$C$3390,$A677)&gt;0,1,0)</f>
        <v>0</v>
      </c>
      <c r="S677">
        <f t="shared" si="20"/>
        <v>1</v>
      </c>
      <c r="T677">
        <f t="shared" si="21"/>
        <v>1</v>
      </c>
    </row>
    <row r="678" spans="1:20" x14ac:dyDescent="0.2">
      <c r="A678" t="s">
        <v>805</v>
      </c>
      <c r="B678">
        <f>IF(COUNTIFS('United Data'!$A$3:$A$3390,B$1,'United Data'!$C$3:$C$3390,$A678)&gt;0,1,0)</f>
        <v>0</v>
      </c>
      <c r="C678">
        <f>IF(COUNTIFS('United Data'!$A$3:$A$3390,C$1,'United Data'!$C$3:$C$3390,$A678)&gt;0,1,0)</f>
        <v>0</v>
      </c>
      <c r="D678">
        <f>IF(COUNTIFS('United Data'!$A$3:$A$3390,D$1,'United Data'!$C$3:$C$3390,$A678)&gt;0,1,0)</f>
        <v>0</v>
      </c>
      <c r="E678">
        <f>IF(COUNTIFS('United Data'!$A$3:$A$3390,E$1,'United Data'!$C$3:$C$3390,$A678)&gt;0,1,0)</f>
        <v>0</v>
      </c>
      <c r="F678">
        <f>IF(COUNTIFS('United Data'!$A$3:$A$3390,F$1,'United Data'!$C$3:$C$3390,$A678)&gt;0,1,0)</f>
        <v>0</v>
      </c>
      <c r="G678">
        <f>IF(COUNTIFS('United Data'!$A$3:$A$3390,G$1,'United Data'!$C$3:$C$3390,$A678)&gt;0,1,0)</f>
        <v>0</v>
      </c>
      <c r="H678">
        <f>IF(COUNTIFS('United Data'!$A$3:$A$3390,H$1,'United Data'!$C$3:$C$3390,$A678)&gt;0,1,0)</f>
        <v>0</v>
      </c>
      <c r="I678">
        <f>IF(COUNTIFS('United Data'!$A$3:$A$3390,I$1,'United Data'!$C$3:$C$3390,$A678)&gt;0,1,0)</f>
        <v>1</v>
      </c>
      <c r="J678">
        <f>IF(COUNTIFS('United Data'!$A$3:$A$3390,J$1,'United Data'!$C$3:$C$3390,$A678)&gt;0,1,0)</f>
        <v>0</v>
      </c>
      <c r="K678">
        <f>IF(COUNTIFS('United Data'!$A$3:$A$3390,K$1,'United Data'!$C$3:$C$3390,$A678)&gt;0,1,0)</f>
        <v>0</v>
      </c>
      <c r="L678">
        <f>IF(COUNTIFS('United Data'!$A$3:$A$3390,L$1,'United Data'!$C$3:$C$3390,$A678)&gt;0,1,0)</f>
        <v>0</v>
      </c>
      <c r="M678">
        <f>IF(COUNTIFS('United Data'!$A$3:$A$3390,M$1,'United Data'!$C$3:$C$3390,$A678)&gt;0,1,0)</f>
        <v>0</v>
      </c>
      <c r="N678">
        <f>IF(COUNTIFS('United Data'!$A$3:$A$3390,N$1,'United Data'!$C$3:$C$3390,$A678)&gt;0,1,0)</f>
        <v>0</v>
      </c>
      <c r="O678">
        <f>IF(COUNTIFS('United Data'!$A$3:$A$3390,O$1,'United Data'!$C$3:$C$3390,$A678)&gt;0,1,0)</f>
        <v>0</v>
      </c>
      <c r="P678">
        <f>IF(COUNTIFS('United Data'!$A$3:$A$3390,P$1,'United Data'!$C$3:$C$3390,$A678)&gt;0,1,0)</f>
        <v>0</v>
      </c>
      <c r="Q678">
        <f>IF(COUNTIFS('United Data'!$A$3:$A$3390,Q$1,'United Data'!$C$3:$C$3390,$A678)&gt;0,1,0)</f>
        <v>0</v>
      </c>
      <c r="R678">
        <f>IF(COUNTIFS('United Data'!$A$3:$A$3390,R$1,'United Data'!$C$3:$C$3390,$A678)&gt;0,1,0)</f>
        <v>0</v>
      </c>
      <c r="S678">
        <f t="shared" si="20"/>
        <v>1</v>
      </c>
      <c r="T678">
        <f t="shared" si="21"/>
        <v>1</v>
      </c>
    </row>
    <row r="679" spans="1:20" x14ac:dyDescent="0.2">
      <c r="A679" t="s">
        <v>806</v>
      </c>
      <c r="B679">
        <f>IF(COUNTIFS('United Data'!$A$3:$A$3390,B$1,'United Data'!$C$3:$C$3390,$A679)&gt;0,1,0)</f>
        <v>0</v>
      </c>
      <c r="C679">
        <f>IF(COUNTIFS('United Data'!$A$3:$A$3390,C$1,'United Data'!$C$3:$C$3390,$A679)&gt;0,1,0)</f>
        <v>0</v>
      </c>
      <c r="D679">
        <f>IF(COUNTIFS('United Data'!$A$3:$A$3390,D$1,'United Data'!$C$3:$C$3390,$A679)&gt;0,1,0)</f>
        <v>0</v>
      </c>
      <c r="E679">
        <f>IF(COUNTIFS('United Data'!$A$3:$A$3390,E$1,'United Data'!$C$3:$C$3390,$A679)&gt;0,1,0)</f>
        <v>0</v>
      </c>
      <c r="F679">
        <f>IF(COUNTIFS('United Data'!$A$3:$A$3390,F$1,'United Data'!$C$3:$C$3390,$A679)&gt;0,1,0)</f>
        <v>0</v>
      </c>
      <c r="G679">
        <f>IF(COUNTIFS('United Data'!$A$3:$A$3390,G$1,'United Data'!$C$3:$C$3390,$A679)&gt;0,1,0)</f>
        <v>0</v>
      </c>
      <c r="H679">
        <f>IF(COUNTIFS('United Data'!$A$3:$A$3390,H$1,'United Data'!$C$3:$C$3390,$A679)&gt;0,1,0)</f>
        <v>0</v>
      </c>
      <c r="I679">
        <f>IF(COUNTIFS('United Data'!$A$3:$A$3390,I$1,'United Data'!$C$3:$C$3390,$A679)&gt;0,1,0)</f>
        <v>0</v>
      </c>
      <c r="J679">
        <f>IF(COUNTIFS('United Data'!$A$3:$A$3390,J$1,'United Data'!$C$3:$C$3390,$A679)&gt;0,1,0)</f>
        <v>1</v>
      </c>
      <c r="K679">
        <f>IF(COUNTIFS('United Data'!$A$3:$A$3390,K$1,'United Data'!$C$3:$C$3390,$A679)&gt;0,1,0)</f>
        <v>0</v>
      </c>
      <c r="L679">
        <f>IF(COUNTIFS('United Data'!$A$3:$A$3390,L$1,'United Data'!$C$3:$C$3390,$A679)&gt;0,1,0)</f>
        <v>0</v>
      </c>
      <c r="M679">
        <f>IF(COUNTIFS('United Data'!$A$3:$A$3390,M$1,'United Data'!$C$3:$C$3390,$A679)&gt;0,1,0)</f>
        <v>1</v>
      </c>
      <c r="N679">
        <f>IF(COUNTIFS('United Data'!$A$3:$A$3390,N$1,'United Data'!$C$3:$C$3390,$A679)&gt;0,1,0)</f>
        <v>0</v>
      </c>
      <c r="O679">
        <f>IF(COUNTIFS('United Data'!$A$3:$A$3390,O$1,'United Data'!$C$3:$C$3390,$A679)&gt;0,1,0)</f>
        <v>0</v>
      </c>
      <c r="P679">
        <f>IF(COUNTIFS('United Data'!$A$3:$A$3390,P$1,'United Data'!$C$3:$C$3390,$A679)&gt;0,1,0)</f>
        <v>0</v>
      </c>
      <c r="Q679">
        <f>IF(COUNTIFS('United Data'!$A$3:$A$3390,Q$1,'United Data'!$C$3:$C$3390,$A679)&gt;0,1,0)</f>
        <v>0</v>
      </c>
      <c r="R679">
        <f>IF(COUNTIFS('United Data'!$A$3:$A$3390,R$1,'United Data'!$C$3:$C$3390,$A679)&gt;0,1,0)</f>
        <v>0</v>
      </c>
      <c r="S679">
        <f t="shared" si="20"/>
        <v>2</v>
      </c>
      <c r="T679">
        <f t="shared" si="21"/>
        <v>2</v>
      </c>
    </row>
    <row r="680" spans="1:20" x14ac:dyDescent="0.2">
      <c r="A680" t="s">
        <v>807</v>
      </c>
      <c r="B680">
        <f>IF(COUNTIFS('United Data'!$A$3:$A$3390,B$1,'United Data'!$C$3:$C$3390,$A680)&gt;0,1,0)</f>
        <v>0</v>
      </c>
      <c r="C680">
        <f>IF(COUNTIFS('United Data'!$A$3:$A$3390,C$1,'United Data'!$C$3:$C$3390,$A680)&gt;0,1,0)</f>
        <v>0</v>
      </c>
      <c r="D680">
        <f>IF(COUNTIFS('United Data'!$A$3:$A$3390,D$1,'United Data'!$C$3:$C$3390,$A680)&gt;0,1,0)</f>
        <v>0</v>
      </c>
      <c r="E680">
        <f>IF(COUNTIFS('United Data'!$A$3:$A$3390,E$1,'United Data'!$C$3:$C$3390,$A680)&gt;0,1,0)</f>
        <v>0</v>
      </c>
      <c r="F680">
        <f>IF(COUNTIFS('United Data'!$A$3:$A$3390,F$1,'United Data'!$C$3:$C$3390,$A680)&gt;0,1,0)</f>
        <v>0</v>
      </c>
      <c r="G680">
        <f>IF(COUNTIFS('United Data'!$A$3:$A$3390,G$1,'United Data'!$C$3:$C$3390,$A680)&gt;0,1,0)</f>
        <v>0</v>
      </c>
      <c r="H680">
        <f>IF(COUNTIFS('United Data'!$A$3:$A$3390,H$1,'United Data'!$C$3:$C$3390,$A680)&gt;0,1,0)</f>
        <v>0</v>
      </c>
      <c r="I680">
        <f>IF(COUNTIFS('United Data'!$A$3:$A$3390,I$1,'United Data'!$C$3:$C$3390,$A680)&gt;0,1,0)</f>
        <v>0</v>
      </c>
      <c r="J680">
        <f>IF(COUNTIFS('United Data'!$A$3:$A$3390,J$1,'United Data'!$C$3:$C$3390,$A680)&gt;0,1,0)</f>
        <v>1</v>
      </c>
      <c r="K680">
        <f>IF(COUNTIFS('United Data'!$A$3:$A$3390,K$1,'United Data'!$C$3:$C$3390,$A680)&gt;0,1,0)</f>
        <v>0</v>
      </c>
      <c r="L680">
        <f>IF(COUNTIFS('United Data'!$A$3:$A$3390,L$1,'United Data'!$C$3:$C$3390,$A680)&gt;0,1,0)</f>
        <v>0</v>
      </c>
      <c r="M680">
        <f>IF(COUNTIFS('United Data'!$A$3:$A$3390,M$1,'United Data'!$C$3:$C$3390,$A680)&gt;0,1,0)</f>
        <v>1</v>
      </c>
      <c r="N680">
        <f>IF(COUNTIFS('United Data'!$A$3:$A$3390,N$1,'United Data'!$C$3:$C$3390,$A680)&gt;0,1,0)</f>
        <v>0</v>
      </c>
      <c r="O680">
        <f>IF(COUNTIFS('United Data'!$A$3:$A$3390,O$1,'United Data'!$C$3:$C$3390,$A680)&gt;0,1,0)</f>
        <v>0</v>
      </c>
      <c r="P680">
        <f>IF(COUNTIFS('United Data'!$A$3:$A$3390,P$1,'United Data'!$C$3:$C$3390,$A680)&gt;0,1,0)</f>
        <v>0</v>
      </c>
      <c r="Q680">
        <f>IF(COUNTIFS('United Data'!$A$3:$A$3390,Q$1,'United Data'!$C$3:$C$3390,$A680)&gt;0,1,0)</f>
        <v>0</v>
      </c>
      <c r="R680">
        <f>IF(COUNTIFS('United Data'!$A$3:$A$3390,R$1,'United Data'!$C$3:$C$3390,$A680)&gt;0,1,0)</f>
        <v>0</v>
      </c>
      <c r="S680">
        <f t="shared" si="20"/>
        <v>2</v>
      </c>
      <c r="T680">
        <f t="shared" si="21"/>
        <v>2</v>
      </c>
    </row>
    <row r="681" spans="1:20" x14ac:dyDescent="0.2">
      <c r="A681" t="s">
        <v>808</v>
      </c>
      <c r="B681">
        <f>IF(COUNTIFS('United Data'!$A$3:$A$3390,B$1,'United Data'!$C$3:$C$3390,$A681)&gt;0,1,0)</f>
        <v>0</v>
      </c>
      <c r="C681">
        <f>IF(COUNTIFS('United Data'!$A$3:$A$3390,C$1,'United Data'!$C$3:$C$3390,$A681)&gt;0,1,0)</f>
        <v>0</v>
      </c>
      <c r="D681">
        <f>IF(COUNTIFS('United Data'!$A$3:$A$3390,D$1,'United Data'!$C$3:$C$3390,$A681)&gt;0,1,0)</f>
        <v>0</v>
      </c>
      <c r="E681">
        <f>IF(COUNTIFS('United Data'!$A$3:$A$3390,E$1,'United Data'!$C$3:$C$3390,$A681)&gt;0,1,0)</f>
        <v>0</v>
      </c>
      <c r="F681">
        <f>IF(COUNTIFS('United Data'!$A$3:$A$3390,F$1,'United Data'!$C$3:$C$3390,$A681)&gt;0,1,0)</f>
        <v>0</v>
      </c>
      <c r="G681">
        <f>IF(COUNTIFS('United Data'!$A$3:$A$3390,G$1,'United Data'!$C$3:$C$3390,$A681)&gt;0,1,0)</f>
        <v>0</v>
      </c>
      <c r="H681">
        <f>IF(COUNTIFS('United Data'!$A$3:$A$3390,H$1,'United Data'!$C$3:$C$3390,$A681)&gt;0,1,0)</f>
        <v>0</v>
      </c>
      <c r="I681">
        <f>IF(COUNTIFS('United Data'!$A$3:$A$3390,I$1,'United Data'!$C$3:$C$3390,$A681)&gt;0,1,0)</f>
        <v>0</v>
      </c>
      <c r="J681">
        <f>IF(COUNTIFS('United Data'!$A$3:$A$3390,J$1,'United Data'!$C$3:$C$3390,$A681)&gt;0,1,0)</f>
        <v>0</v>
      </c>
      <c r="K681">
        <f>IF(COUNTIFS('United Data'!$A$3:$A$3390,K$1,'United Data'!$C$3:$C$3390,$A681)&gt;0,1,0)</f>
        <v>1</v>
      </c>
      <c r="L681">
        <f>IF(COUNTIFS('United Data'!$A$3:$A$3390,L$1,'United Data'!$C$3:$C$3390,$A681)&gt;0,1,0)</f>
        <v>1</v>
      </c>
      <c r="M681">
        <f>IF(COUNTIFS('United Data'!$A$3:$A$3390,M$1,'United Data'!$C$3:$C$3390,$A681)&gt;0,1,0)</f>
        <v>0</v>
      </c>
      <c r="N681">
        <f>IF(COUNTIFS('United Data'!$A$3:$A$3390,N$1,'United Data'!$C$3:$C$3390,$A681)&gt;0,1,0)</f>
        <v>0</v>
      </c>
      <c r="O681">
        <f>IF(COUNTIFS('United Data'!$A$3:$A$3390,O$1,'United Data'!$C$3:$C$3390,$A681)&gt;0,1,0)</f>
        <v>0</v>
      </c>
      <c r="P681">
        <f>IF(COUNTIFS('United Data'!$A$3:$A$3390,P$1,'United Data'!$C$3:$C$3390,$A681)&gt;0,1,0)</f>
        <v>0</v>
      </c>
      <c r="Q681">
        <f>IF(COUNTIFS('United Data'!$A$3:$A$3390,Q$1,'United Data'!$C$3:$C$3390,$A681)&gt;0,1,0)</f>
        <v>0</v>
      </c>
      <c r="R681">
        <f>IF(COUNTIFS('United Data'!$A$3:$A$3390,R$1,'United Data'!$C$3:$C$3390,$A681)&gt;0,1,0)</f>
        <v>0</v>
      </c>
      <c r="S681">
        <f t="shared" si="20"/>
        <v>2</v>
      </c>
      <c r="T681">
        <f t="shared" si="21"/>
        <v>1</v>
      </c>
    </row>
    <row r="682" spans="1:20" x14ac:dyDescent="0.2">
      <c r="A682" t="s">
        <v>809</v>
      </c>
      <c r="B682">
        <f>IF(COUNTIFS('United Data'!$A$3:$A$3390,B$1,'United Data'!$C$3:$C$3390,$A682)&gt;0,1,0)</f>
        <v>0</v>
      </c>
      <c r="C682">
        <f>IF(COUNTIFS('United Data'!$A$3:$A$3390,C$1,'United Data'!$C$3:$C$3390,$A682)&gt;0,1,0)</f>
        <v>0</v>
      </c>
      <c r="D682">
        <f>IF(COUNTIFS('United Data'!$A$3:$A$3390,D$1,'United Data'!$C$3:$C$3390,$A682)&gt;0,1,0)</f>
        <v>0</v>
      </c>
      <c r="E682">
        <f>IF(COUNTIFS('United Data'!$A$3:$A$3390,E$1,'United Data'!$C$3:$C$3390,$A682)&gt;0,1,0)</f>
        <v>0</v>
      </c>
      <c r="F682">
        <f>IF(COUNTIFS('United Data'!$A$3:$A$3390,F$1,'United Data'!$C$3:$C$3390,$A682)&gt;0,1,0)</f>
        <v>0</v>
      </c>
      <c r="G682">
        <f>IF(COUNTIFS('United Data'!$A$3:$A$3390,G$1,'United Data'!$C$3:$C$3390,$A682)&gt;0,1,0)</f>
        <v>0</v>
      </c>
      <c r="H682">
        <f>IF(COUNTIFS('United Data'!$A$3:$A$3390,H$1,'United Data'!$C$3:$C$3390,$A682)&gt;0,1,0)</f>
        <v>0</v>
      </c>
      <c r="I682">
        <f>IF(COUNTIFS('United Data'!$A$3:$A$3390,I$1,'United Data'!$C$3:$C$3390,$A682)&gt;0,1,0)</f>
        <v>0</v>
      </c>
      <c r="J682">
        <f>IF(COUNTIFS('United Data'!$A$3:$A$3390,J$1,'United Data'!$C$3:$C$3390,$A682)&gt;0,1,0)</f>
        <v>0</v>
      </c>
      <c r="K682">
        <f>IF(COUNTIFS('United Data'!$A$3:$A$3390,K$1,'United Data'!$C$3:$C$3390,$A682)&gt;0,1,0)</f>
        <v>0</v>
      </c>
      <c r="L682">
        <f>IF(COUNTIFS('United Data'!$A$3:$A$3390,L$1,'United Data'!$C$3:$C$3390,$A682)&gt;0,1,0)</f>
        <v>1</v>
      </c>
      <c r="M682">
        <f>IF(COUNTIFS('United Data'!$A$3:$A$3390,M$1,'United Data'!$C$3:$C$3390,$A682)&gt;0,1,0)</f>
        <v>0</v>
      </c>
      <c r="N682">
        <f>IF(COUNTIFS('United Data'!$A$3:$A$3390,N$1,'United Data'!$C$3:$C$3390,$A682)&gt;0,1,0)</f>
        <v>0</v>
      </c>
      <c r="O682">
        <f>IF(COUNTIFS('United Data'!$A$3:$A$3390,O$1,'United Data'!$C$3:$C$3390,$A682)&gt;0,1,0)</f>
        <v>0</v>
      </c>
      <c r="P682">
        <f>IF(COUNTIFS('United Data'!$A$3:$A$3390,P$1,'United Data'!$C$3:$C$3390,$A682)&gt;0,1,0)</f>
        <v>0</v>
      </c>
      <c r="Q682">
        <f>IF(COUNTIFS('United Data'!$A$3:$A$3390,Q$1,'United Data'!$C$3:$C$3390,$A682)&gt;0,1,0)</f>
        <v>0</v>
      </c>
      <c r="R682">
        <f>IF(COUNTIFS('United Data'!$A$3:$A$3390,R$1,'United Data'!$C$3:$C$3390,$A682)&gt;0,1,0)</f>
        <v>0</v>
      </c>
      <c r="S682">
        <f t="shared" si="20"/>
        <v>1</v>
      </c>
      <c r="T682">
        <f t="shared" si="21"/>
        <v>1</v>
      </c>
    </row>
    <row r="683" spans="1:20" x14ac:dyDescent="0.2">
      <c r="A683" t="s">
        <v>810</v>
      </c>
      <c r="B683">
        <f>IF(COUNTIFS('United Data'!$A$3:$A$3390,B$1,'United Data'!$C$3:$C$3390,$A683)&gt;0,1,0)</f>
        <v>0</v>
      </c>
      <c r="C683">
        <f>IF(COUNTIFS('United Data'!$A$3:$A$3390,C$1,'United Data'!$C$3:$C$3390,$A683)&gt;0,1,0)</f>
        <v>0</v>
      </c>
      <c r="D683">
        <f>IF(COUNTIFS('United Data'!$A$3:$A$3390,D$1,'United Data'!$C$3:$C$3390,$A683)&gt;0,1,0)</f>
        <v>0</v>
      </c>
      <c r="E683">
        <f>IF(COUNTIFS('United Data'!$A$3:$A$3390,E$1,'United Data'!$C$3:$C$3390,$A683)&gt;0,1,0)</f>
        <v>0</v>
      </c>
      <c r="F683">
        <f>IF(COUNTIFS('United Data'!$A$3:$A$3390,F$1,'United Data'!$C$3:$C$3390,$A683)&gt;0,1,0)</f>
        <v>0</v>
      </c>
      <c r="G683">
        <f>IF(COUNTIFS('United Data'!$A$3:$A$3390,G$1,'United Data'!$C$3:$C$3390,$A683)&gt;0,1,0)</f>
        <v>0</v>
      </c>
      <c r="H683">
        <f>IF(COUNTIFS('United Data'!$A$3:$A$3390,H$1,'United Data'!$C$3:$C$3390,$A683)&gt;0,1,0)</f>
        <v>0</v>
      </c>
      <c r="I683">
        <f>IF(COUNTIFS('United Data'!$A$3:$A$3390,I$1,'United Data'!$C$3:$C$3390,$A683)&gt;0,1,0)</f>
        <v>0</v>
      </c>
      <c r="J683">
        <f>IF(COUNTIFS('United Data'!$A$3:$A$3390,J$1,'United Data'!$C$3:$C$3390,$A683)&gt;0,1,0)</f>
        <v>0</v>
      </c>
      <c r="K683">
        <f>IF(COUNTIFS('United Data'!$A$3:$A$3390,K$1,'United Data'!$C$3:$C$3390,$A683)&gt;0,1,0)</f>
        <v>0</v>
      </c>
      <c r="L683">
        <f>IF(COUNTIFS('United Data'!$A$3:$A$3390,L$1,'United Data'!$C$3:$C$3390,$A683)&gt;0,1,0)</f>
        <v>1</v>
      </c>
      <c r="M683">
        <f>IF(COUNTIFS('United Data'!$A$3:$A$3390,M$1,'United Data'!$C$3:$C$3390,$A683)&gt;0,1,0)</f>
        <v>0</v>
      </c>
      <c r="N683">
        <f>IF(COUNTIFS('United Data'!$A$3:$A$3390,N$1,'United Data'!$C$3:$C$3390,$A683)&gt;0,1,0)</f>
        <v>1</v>
      </c>
      <c r="O683">
        <f>IF(COUNTIFS('United Data'!$A$3:$A$3390,O$1,'United Data'!$C$3:$C$3390,$A683)&gt;0,1,0)</f>
        <v>0</v>
      </c>
      <c r="P683">
        <f>IF(COUNTIFS('United Data'!$A$3:$A$3390,P$1,'United Data'!$C$3:$C$3390,$A683)&gt;0,1,0)</f>
        <v>0</v>
      </c>
      <c r="Q683">
        <f>IF(COUNTIFS('United Data'!$A$3:$A$3390,Q$1,'United Data'!$C$3:$C$3390,$A683)&gt;0,1,0)</f>
        <v>0</v>
      </c>
      <c r="R683">
        <f>IF(COUNTIFS('United Data'!$A$3:$A$3390,R$1,'United Data'!$C$3:$C$3390,$A683)&gt;0,1,0)</f>
        <v>0</v>
      </c>
      <c r="S683">
        <f t="shared" si="20"/>
        <v>2</v>
      </c>
      <c r="T683">
        <f t="shared" si="21"/>
        <v>2</v>
      </c>
    </row>
    <row r="684" spans="1:20" x14ac:dyDescent="0.2">
      <c r="A684" t="s">
        <v>811</v>
      </c>
      <c r="B684">
        <f>IF(COUNTIFS('United Data'!$A$3:$A$3390,B$1,'United Data'!$C$3:$C$3390,$A684)&gt;0,1,0)</f>
        <v>0</v>
      </c>
      <c r="C684">
        <f>IF(COUNTIFS('United Data'!$A$3:$A$3390,C$1,'United Data'!$C$3:$C$3390,$A684)&gt;0,1,0)</f>
        <v>0</v>
      </c>
      <c r="D684">
        <f>IF(COUNTIFS('United Data'!$A$3:$A$3390,D$1,'United Data'!$C$3:$C$3390,$A684)&gt;0,1,0)</f>
        <v>0</v>
      </c>
      <c r="E684">
        <f>IF(COUNTIFS('United Data'!$A$3:$A$3390,E$1,'United Data'!$C$3:$C$3390,$A684)&gt;0,1,0)</f>
        <v>0</v>
      </c>
      <c r="F684">
        <f>IF(COUNTIFS('United Data'!$A$3:$A$3390,F$1,'United Data'!$C$3:$C$3390,$A684)&gt;0,1,0)</f>
        <v>0</v>
      </c>
      <c r="G684">
        <f>IF(COUNTIFS('United Data'!$A$3:$A$3390,G$1,'United Data'!$C$3:$C$3390,$A684)&gt;0,1,0)</f>
        <v>0</v>
      </c>
      <c r="H684">
        <f>IF(COUNTIFS('United Data'!$A$3:$A$3390,H$1,'United Data'!$C$3:$C$3390,$A684)&gt;0,1,0)</f>
        <v>0</v>
      </c>
      <c r="I684">
        <f>IF(COUNTIFS('United Data'!$A$3:$A$3390,I$1,'United Data'!$C$3:$C$3390,$A684)&gt;0,1,0)</f>
        <v>0</v>
      </c>
      <c r="J684">
        <f>IF(COUNTIFS('United Data'!$A$3:$A$3390,J$1,'United Data'!$C$3:$C$3390,$A684)&gt;0,1,0)</f>
        <v>0</v>
      </c>
      <c r="K684">
        <f>IF(COUNTIFS('United Data'!$A$3:$A$3390,K$1,'United Data'!$C$3:$C$3390,$A684)&gt;0,1,0)</f>
        <v>0</v>
      </c>
      <c r="L684">
        <f>IF(COUNTIFS('United Data'!$A$3:$A$3390,L$1,'United Data'!$C$3:$C$3390,$A684)&gt;0,1,0)</f>
        <v>1</v>
      </c>
      <c r="M684">
        <f>IF(COUNTIFS('United Data'!$A$3:$A$3390,M$1,'United Data'!$C$3:$C$3390,$A684)&gt;0,1,0)</f>
        <v>0</v>
      </c>
      <c r="N684">
        <f>IF(COUNTIFS('United Data'!$A$3:$A$3390,N$1,'United Data'!$C$3:$C$3390,$A684)&gt;0,1,0)</f>
        <v>0</v>
      </c>
      <c r="O684">
        <f>IF(COUNTIFS('United Data'!$A$3:$A$3390,O$1,'United Data'!$C$3:$C$3390,$A684)&gt;0,1,0)</f>
        <v>0</v>
      </c>
      <c r="P684">
        <f>IF(COUNTIFS('United Data'!$A$3:$A$3390,P$1,'United Data'!$C$3:$C$3390,$A684)&gt;0,1,0)</f>
        <v>0</v>
      </c>
      <c r="Q684">
        <f>IF(COUNTIFS('United Data'!$A$3:$A$3390,Q$1,'United Data'!$C$3:$C$3390,$A684)&gt;0,1,0)</f>
        <v>0</v>
      </c>
      <c r="R684">
        <f>IF(COUNTIFS('United Data'!$A$3:$A$3390,R$1,'United Data'!$C$3:$C$3390,$A684)&gt;0,1,0)</f>
        <v>0</v>
      </c>
      <c r="S684">
        <f t="shared" si="20"/>
        <v>1</v>
      </c>
      <c r="T684">
        <f t="shared" si="21"/>
        <v>1</v>
      </c>
    </row>
    <row r="685" spans="1:20" x14ac:dyDescent="0.2">
      <c r="A685" t="s">
        <v>812</v>
      </c>
      <c r="B685">
        <f>IF(COUNTIFS('United Data'!$A$3:$A$3390,B$1,'United Data'!$C$3:$C$3390,$A685)&gt;0,1,0)</f>
        <v>0</v>
      </c>
      <c r="C685">
        <f>IF(COUNTIFS('United Data'!$A$3:$A$3390,C$1,'United Data'!$C$3:$C$3390,$A685)&gt;0,1,0)</f>
        <v>0</v>
      </c>
      <c r="D685">
        <f>IF(COUNTIFS('United Data'!$A$3:$A$3390,D$1,'United Data'!$C$3:$C$3390,$A685)&gt;0,1,0)</f>
        <v>0</v>
      </c>
      <c r="E685">
        <f>IF(COUNTIFS('United Data'!$A$3:$A$3390,E$1,'United Data'!$C$3:$C$3390,$A685)&gt;0,1,0)</f>
        <v>0</v>
      </c>
      <c r="F685">
        <f>IF(COUNTIFS('United Data'!$A$3:$A$3390,F$1,'United Data'!$C$3:$C$3390,$A685)&gt;0,1,0)</f>
        <v>0</v>
      </c>
      <c r="G685">
        <f>IF(COUNTIFS('United Data'!$A$3:$A$3390,G$1,'United Data'!$C$3:$C$3390,$A685)&gt;0,1,0)</f>
        <v>0</v>
      </c>
      <c r="H685">
        <f>IF(COUNTIFS('United Data'!$A$3:$A$3390,H$1,'United Data'!$C$3:$C$3390,$A685)&gt;0,1,0)</f>
        <v>0</v>
      </c>
      <c r="I685">
        <f>IF(COUNTIFS('United Data'!$A$3:$A$3390,I$1,'United Data'!$C$3:$C$3390,$A685)&gt;0,1,0)</f>
        <v>0</v>
      </c>
      <c r="J685">
        <f>IF(COUNTIFS('United Data'!$A$3:$A$3390,J$1,'United Data'!$C$3:$C$3390,$A685)&gt;0,1,0)</f>
        <v>0</v>
      </c>
      <c r="K685">
        <f>IF(COUNTIFS('United Data'!$A$3:$A$3390,K$1,'United Data'!$C$3:$C$3390,$A685)&gt;0,1,0)</f>
        <v>0</v>
      </c>
      <c r="L685">
        <f>IF(COUNTIFS('United Data'!$A$3:$A$3390,L$1,'United Data'!$C$3:$C$3390,$A685)&gt;0,1,0)</f>
        <v>0</v>
      </c>
      <c r="M685">
        <f>IF(COUNTIFS('United Data'!$A$3:$A$3390,M$1,'United Data'!$C$3:$C$3390,$A685)&gt;0,1,0)</f>
        <v>0</v>
      </c>
      <c r="N685">
        <f>IF(COUNTIFS('United Data'!$A$3:$A$3390,N$1,'United Data'!$C$3:$C$3390,$A685)&gt;0,1,0)</f>
        <v>1</v>
      </c>
      <c r="O685">
        <f>IF(COUNTIFS('United Data'!$A$3:$A$3390,O$1,'United Data'!$C$3:$C$3390,$A685)&gt;0,1,0)</f>
        <v>0</v>
      </c>
      <c r="P685">
        <f>IF(COUNTIFS('United Data'!$A$3:$A$3390,P$1,'United Data'!$C$3:$C$3390,$A685)&gt;0,1,0)</f>
        <v>0</v>
      </c>
      <c r="Q685">
        <f>IF(COUNTIFS('United Data'!$A$3:$A$3390,Q$1,'United Data'!$C$3:$C$3390,$A685)&gt;0,1,0)</f>
        <v>0</v>
      </c>
      <c r="R685">
        <f>IF(COUNTIFS('United Data'!$A$3:$A$3390,R$1,'United Data'!$C$3:$C$3390,$A685)&gt;0,1,0)</f>
        <v>0</v>
      </c>
      <c r="S685">
        <f t="shared" si="20"/>
        <v>1</v>
      </c>
      <c r="T685">
        <f t="shared" si="21"/>
        <v>1</v>
      </c>
    </row>
    <row r="686" spans="1:20" x14ac:dyDescent="0.2">
      <c r="A686" t="s">
        <v>813</v>
      </c>
      <c r="B686">
        <f>IF(COUNTIFS('United Data'!$A$3:$A$3390,B$1,'United Data'!$C$3:$C$3390,$A686)&gt;0,1,0)</f>
        <v>0</v>
      </c>
      <c r="C686">
        <f>IF(COUNTIFS('United Data'!$A$3:$A$3390,C$1,'United Data'!$C$3:$C$3390,$A686)&gt;0,1,0)</f>
        <v>0</v>
      </c>
      <c r="D686">
        <f>IF(COUNTIFS('United Data'!$A$3:$A$3390,D$1,'United Data'!$C$3:$C$3390,$A686)&gt;0,1,0)</f>
        <v>0</v>
      </c>
      <c r="E686">
        <f>IF(COUNTIFS('United Data'!$A$3:$A$3390,E$1,'United Data'!$C$3:$C$3390,$A686)&gt;0,1,0)</f>
        <v>0</v>
      </c>
      <c r="F686">
        <f>IF(COUNTIFS('United Data'!$A$3:$A$3390,F$1,'United Data'!$C$3:$C$3390,$A686)&gt;0,1,0)</f>
        <v>0</v>
      </c>
      <c r="G686">
        <f>IF(COUNTIFS('United Data'!$A$3:$A$3390,G$1,'United Data'!$C$3:$C$3390,$A686)&gt;0,1,0)</f>
        <v>0</v>
      </c>
      <c r="H686">
        <f>IF(COUNTIFS('United Data'!$A$3:$A$3390,H$1,'United Data'!$C$3:$C$3390,$A686)&gt;0,1,0)</f>
        <v>0</v>
      </c>
      <c r="I686">
        <f>IF(COUNTIFS('United Data'!$A$3:$A$3390,I$1,'United Data'!$C$3:$C$3390,$A686)&gt;0,1,0)</f>
        <v>0</v>
      </c>
      <c r="J686">
        <f>IF(COUNTIFS('United Data'!$A$3:$A$3390,J$1,'United Data'!$C$3:$C$3390,$A686)&gt;0,1,0)</f>
        <v>0</v>
      </c>
      <c r="K686">
        <f>IF(COUNTIFS('United Data'!$A$3:$A$3390,K$1,'United Data'!$C$3:$C$3390,$A686)&gt;0,1,0)</f>
        <v>0</v>
      </c>
      <c r="L686">
        <f>IF(COUNTIFS('United Data'!$A$3:$A$3390,L$1,'United Data'!$C$3:$C$3390,$A686)&gt;0,1,0)</f>
        <v>0</v>
      </c>
      <c r="M686">
        <f>IF(COUNTIFS('United Data'!$A$3:$A$3390,M$1,'United Data'!$C$3:$C$3390,$A686)&gt;0,1,0)</f>
        <v>0</v>
      </c>
      <c r="N686">
        <f>IF(COUNTIFS('United Data'!$A$3:$A$3390,N$1,'United Data'!$C$3:$C$3390,$A686)&gt;0,1,0)</f>
        <v>1</v>
      </c>
      <c r="O686">
        <f>IF(COUNTIFS('United Data'!$A$3:$A$3390,O$1,'United Data'!$C$3:$C$3390,$A686)&gt;0,1,0)</f>
        <v>0</v>
      </c>
      <c r="P686">
        <f>IF(COUNTIFS('United Data'!$A$3:$A$3390,P$1,'United Data'!$C$3:$C$3390,$A686)&gt;0,1,0)</f>
        <v>0</v>
      </c>
      <c r="Q686">
        <f>IF(COUNTIFS('United Data'!$A$3:$A$3390,Q$1,'United Data'!$C$3:$C$3390,$A686)&gt;0,1,0)</f>
        <v>0</v>
      </c>
      <c r="R686">
        <f>IF(COUNTIFS('United Data'!$A$3:$A$3390,R$1,'United Data'!$C$3:$C$3390,$A686)&gt;0,1,0)</f>
        <v>0</v>
      </c>
      <c r="S686">
        <f t="shared" si="20"/>
        <v>1</v>
      </c>
      <c r="T686">
        <f t="shared" si="21"/>
        <v>1</v>
      </c>
    </row>
    <row r="687" spans="1:20" x14ac:dyDescent="0.2">
      <c r="A687" t="s">
        <v>814</v>
      </c>
      <c r="B687">
        <f>IF(COUNTIFS('United Data'!$A$3:$A$3390,B$1,'United Data'!$C$3:$C$3390,$A687)&gt;0,1,0)</f>
        <v>0</v>
      </c>
      <c r="C687">
        <f>IF(COUNTIFS('United Data'!$A$3:$A$3390,C$1,'United Data'!$C$3:$C$3390,$A687)&gt;0,1,0)</f>
        <v>0</v>
      </c>
      <c r="D687">
        <f>IF(COUNTIFS('United Data'!$A$3:$A$3390,D$1,'United Data'!$C$3:$C$3390,$A687)&gt;0,1,0)</f>
        <v>0</v>
      </c>
      <c r="E687">
        <f>IF(COUNTIFS('United Data'!$A$3:$A$3390,E$1,'United Data'!$C$3:$C$3390,$A687)&gt;0,1,0)</f>
        <v>0</v>
      </c>
      <c r="F687">
        <f>IF(COUNTIFS('United Data'!$A$3:$A$3390,F$1,'United Data'!$C$3:$C$3390,$A687)&gt;0,1,0)</f>
        <v>0</v>
      </c>
      <c r="G687">
        <f>IF(COUNTIFS('United Data'!$A$3:$A$3390,G$1,'United Data'!$C$3:$C$3390,$A687)&gt;0,1,0)</f>
        <v>0</v>
      </c>
      <c r="H687">
        <f>IF(COUNTIFS('United Data'!$A$3:$A$3390,H$1,'United Data'!$C$3:$C$3390,$A687)&gt;0,1,0)</f>
        <v>0</v>
      </c>
      <c r="I687">
        <f>IF(COUNTIFS('United Data'!$A$3:$A$3390,I$1,'United Data'!$C$3:$C$3390,$A687)&gt;0,1,0)</f>
        <v>0</v>
      </c>
      <c r="J687">
        <f>IF(COUNTIFS('United Data'!$A$3:$A$3390,J$1,'United Data'!$C$3:$C$3390,$A687)&gt;0,1,0)</f>
        <v>0</v>
      </c>
      <c r="K687">
        <f>IF(COUNTIFS('United Data'!$A$3:$A$3390,K$1,'United Data'!$C$3:$C$3390,$A687)&gt;0,1,0)</f>
        <v>0</v>
      </c>
      <c r="L687">
        <f>IF(COUNTIFS('United Data'!$A$3:$A$3390,L$1,'United Data'!$C$3:$C$3390,$A687)&gt;0,1,0)</f>
        <v>0</v>
      </c>
      <c r="M687">
        <f>IF(COUNTIFS('United Data'!$A$3:$A$3390,M$1,'United Data'!$C$3:$C$3390,$A687)&gt;0,1,0)</f>
        <v>0</v>
      </c>
      <c r="N687">
        <f>IF(COUNTIFS('United Data'!$A$3:$A$3390,N$1,'United Data'!$C$3:$C$3390,$A687)&gt;0,1,0)</f>
        <v>1</v>
      </c>
      <c r="O687">
        <f>IF(COUNTIFS('United Data'!$A$3:$A$3390,O$1,'United Data'!$C$3:$C$3390,$A687)&gt;0,1,0)</f>
        <v>0</v>
      </c>
      <c r="P687">
        <f>IF(COUNTIFS('United Data'!$A$3:$A$3390,P$1,'United Data'!$C$3:$C$3390,$A687)&gt;0,1,0)</f>
        <v>0</v>
      </c>
      <c r="Q687">
        <f>IF(COUNTIFS('United Data'!$A$3:$A$3390,Q$1,'United Data'!$C$3:$C$3390,$A687)&gt;0,1,0)</f>
        <v>0</v>
      </c>
      <c r="R687">
        <f>IF(COUNTIFS('United Data'!$A$3:$A$3390,R$1,'United Data'!$C$3:$C$3390,$A687)&gt;0,1,0)</f>
        <v>0</v>
      </c>
      <c r="S687">
        <f t="shared" si="20"/>
        <v>1</v>
      </c>
      <c r="T687">
        <f t="shared" si="21"/>
        <v>1</v>
      </c>
    </row>
    <row r="688" spans="1:20" x14ac:dyDescent="0.2">
      <c r="A688" t="s">
        <v>815</v>
      </c>
      <c r="B688">
        <f>IF(COUNTIFS('United Data'!$A$3:$A$3390,B$1,'United Data'!$C$3:$C$3390,$A688)&gt;0,1,0)</f>
        <v>0</v>
      </c>
      <c r="C688">
        <f>IF(COUNTIFS('United Data'!$A$3:$A$3390,C$1,'United Data'!$C$3:$C$3390,$A688)&gt;0,1,0)</f>
        <v>0</v>
      </c>
      <c r="D688">
        <f>IF(COUNTIFS('United Data'!$A$3:$A$3390,D$1,'United Data'!$C$3:$C$3390,$A688)&gt;0,1,0)</f>
        <v>0</v>
      </c>
      <c r="E688">
        <f>IF(COUNTIFS('United Data'!$A$3:$A$3390,E$1,'United Data'!$C$3:$C$3390,$A688)&gt;0,1,0)</f>
        <v>0</v>
      </c>
      <c r="F688">
        <f>IF(COUNTIFS('United Data'!$A$3:$A$3390,F$1,'United Data'!$C$3:$C$3390,$A688)&gt;0,1,0)</f>
        <v>0</v>
      </c>
      <c r="G688">
        <f>IF(COUNTIFS('United Data'!$A$3:$A$3390,G$1,'United Data'!$C$3:$C$3390,$A688)&gt;0,1,0)</f>
        <v>0</v>
      </c>
      <c r="H688">
        <f>IF(COUNTIFS('United Data'!$A$3:$A$3390,H$1,'United Data'!$C$3:$C$3390,$A688)&gt;0,1,0)</f>
        <v>0</v>
      </c>
      <c r="I688">
        <f>IF(COUNTIFS('United Data'!$A$3:$A$3390,I$1,'United Data'!$C$3:$C$3390,$A688)&gt;0,1,0)</f>
        <v>0</v>
      </c>
      <c r="J688">
        <f>IF(COUNTIFS('United Data'!$A$3:$A$3390,J$1,'United Data'!$C$3:$C$3390,$A688)&gt;0,1,0)</f>
        <v>0</v>
      </c>
      <c r="K688">
        <f>IF(COUNTIFS('United Data'!$A$3:$A$3390,K$1,'United Data'!$C$3:$C$3390,$A688)&gt;0,1,0)</f>
        <v>0</v>
      </c>
      <c r="L688">
        <f>IF(COUNTIFS('United Data'!$A$3:$A$3390,L$1,'United Data'!$C$3:$C$3390,$A688)&gt;0,1,0)</f>
        <v>0</v>
      </c>
      <c r="M688">
        <f>IF(COUNTIFS('United Data'!$A$3:$A$3390,M$1,'United Data'!$C$3:$C$3390,$A688)&gt;0,1,0)</f>
        <v>0</v>
      </c>
      <c r="N688">
        <f>IF(COUNTIFS('United Data'!$A$3:$A$3390,N$1,'United Data'!$C$3:$C$3390,$A688)&gt;0,1,0)</f>
        <v>0</v>
      </c>
      <c r="O688">
        <f>IF(COUNTIFS('United Data'!$A$3:$A$3390,O$1,'United Data'!$C$3:$C$3390,$A688)&gt;0,1,0)</f>
        <v>1</v>
      </c>
      <c r="P688">
        <f>IF(COUNTIFS('United Data'!$A$3:$A$3390,P$1,'United Data'!$C$3:$C$3390,$A688)&gt;0,1,0)</f>
        <v>0</v>
      </c>
      <c r="Q688">
        <f>IF(COUNTIFS('United Data'!$A$3:$A$3390,Q$1,'United Data'!$C$3:$C$3390,$A688)&gt;0,1,0)</f>
        <v>0</v>
      </c>
      <c r="R688">
        <f>IF(COUNTIFS('United Data'!$A$3:$A$3390,R$1,'United Data'!$C$3:$C$3390,$A688)&gt;0,1,0)</f>
        <v>0</v>
      </c>
      <c r="S688">
        <f t="shared" si="20"/>
        <v>1</v>
      </c>
      <c r="T688">
        <f t="shared" si="21"/>
        <v>1</v>
      </c>
    </row>
    <row r="689" spans="1:20" x14ac:dyDescent="0.2">
      <c r="A689" t="s">
        <v>816</v>
      </c>
      <c r="B689">
        <f>IF(COUNTIFS('United Data'!$A$3:$A$3390,B$1,'United Data'!$C$3:$C$3390,$A689)&gt;0,1,0)</f>
        <v>0</v>
      </c>
      <c r="C689">
        <f>IF(COUNTIFS('United Data'!$A$3:$A$3390,C$1,'United Data'!$C$3:$C$3390,$A689)&gt;0,1,0)</f>
        <v>0</v>
      </c>
      <c r="D689">
        <f>IF(COUNTIFS('United Data'!$A$3:$A$3390,D$1,'United Data'!$C$3:$C$3390,$A689)&gt;0,1,0)</f>
        <v>0</v>
      </c>
      <c r="E689">
        <f>IF(COUNTIFS('United Data'!$A$3:$A$3390,E$1,'United Data'!$C$3:$C$3390,$A689)&gt;0,1,0)</f>
        <v>0</v>
      </c>
      <c r="F689">
        <f>IF(COUNTIFS('United Data'!$A$3:$A$3390,F$1,'United Data'!$C$3:$C$3390,$A689)&gt;0,1,0)</f>
        <v>0</v>
      </c>
      <c r="G689">
        <f>IF(COUNTIFS('United Data'!$A$3:$A$3390,G$1,'United Data'!$C$3:$C$3390,$A689)&gt;0,1,0)</f>
        <v>0</v>
      </c>
      <c r="H689">
        <f>IF(COUNTIFS('United Data'!$A$3:$A$3390,H$1,'United Data'!$C$3:$C$3390,$A689)&gt;0,1,0)</f>
        <v>0</v>
      </c>
      <c r="I689">
        <f>IF(COUNTIFS('United Data'!$A$3:$A$3390,I$1,'United Data'!$C$3:$C$3390,$A689)&gt;0,1,0)</f>
        <v>0</v>
      </c>
      <c r="J689">
        <f>IF(COUNTIFS('United Data'!$A$3:$A$3390,J$1,'United Data'!$C$3:$C$3390,$A689)&gt;0,1,0)</f>
        <v>0</v>
      </c>
      <c r="K689">
        <f>IF(COUNTIFS('United Data'!$A$3:$A$3390,K$1,'United Data'!$C$3:$C$3390,$A689)&gt;0,1,0)</f>
        <v>0</v>
      </c>
      <c r="L689">
        <f>IF(COUNTIFS('United Data'!$A$3:$A$3390,L$1,'United Data'!$C$3:$C$3390,$A689)&gt;0,1,0)</f>
        <v>0</v>
      </c>
      <c r="M689">
        <f>IF(COUNTIFS('United Data'!$A$3:$A$3390,M$1,'United Data'!$C$3:$C$3390,$A689)&gt;0,1,0)</f>
        <v>0</v>
      </c>
      <c r="N689">
        <f>IF(COUNTIFS('United Data'!$A$3:$A$3390,N$1,'United Data'!$C$3:$C$3390,$A689)&gt;0,1,0)</f>
        <v>0</v>
      </c>
      <c r="O689">
        <f>IF(COUNTIFS('United Data'!$A$3:$A$3390,O$1,'United Data'!$C$3:$C$3390,$A689)&gt;0,1,0)</f>
        <v>1</v>
      </c>
      <c r="P689">
        <f>IF(COUNTIFS('United Data'!$A$3:$A$3390,P$1,'United Data'!$C$3:$C$3390,$A689)&gt;0,1,0)</f>
        <v>0</v>
      </c>
      <c r="Q689">
        <f>IF(COUNTIFS('United Data'!$A$3:$A$3390,Q$1,'United Data'!$C$3:$C$3390,$A689)&gt;0,1,0)</f>
        <v>0</v>
      </c>
      <c r="R689">
        <f>IF(COUNTIFS('United Data'!$A$3:$A$3390,R$1,'United Data'!$C$3:$C$3390,$A689)&gt;0,1,0)</f>
        <v>0</v>
      </c>
      <c r="S689">
        <f t="shared" si="20"/>
        <v>1</v>
      </c>
      <c r="T689">
        <f t="shared" si="21"/>
        <v>1</v>
      </c>
    </row>
    <row r="690" spans="1:20" x14ac:dyDescent="0.2">
      <c r="A690" t="s">
        <v>818</v>
      </c>
      <c r="B690">
        <f>IF(COUNTIFS('United Data'!$A$3:$A$3390,B$1,'United Data'!$C$3:$C$3390,$A690)&gt;0,1,0)</f>
        <v>0</v>
      </c>
      <c r="C690">
        <f>IF(COUNTIFS('United Data'!$A$3:$A$3390,C$1,'United Data'!$C$3:$C$3390,$A690)&gt;0,1,0)</f>
        <v>0</v>
      </c>
      <c r="D690">
        <f>IF(COUNTIFS('United Data'!$A$3:$A$3390,D$1,'United Data'!$C$3:$C$3390,$A690)&gt;0,1,0)</f>
        <v>0</v>
      </c>
      <c r="E690">
        <f>IF(COUNTIFS('United Data'!$A$3:$A$3390,E$1,'United Data'!$C$3:$C$3390,$A690)&gt;0,1,0)</f>
        <v>0</v>
      </c>
      <c r="F690">
        <f>IF(COUNTIFS('United Data'!$A$3:$A$3390,F$1,'United Data'!$C$3:$C$3390,$A690)&gt;0,1,0)</f>
        <v>0</v>
      </c>
      <c r="G690">
        <f>IF(COUNTIFS('United Data'!$A$3:$A$3390,G$1,'United Data'!$C$3:$C$3390,$A690)&gt;0,1,0)</f>
        <v>0</v>
      </c>
      <c r="H690">
        <f>IF(COUNTIFS('United Data'!$A$3:$A$3390,H$1,'United Data'!$C$3:$C$3390,$A690)&gt;0,1,0)</f>
        <v>0</v>
      </c>
      <c r="I690">
        <f>IF(COUNTIFS('United Data'!$A$3:$A$3390,I$1,'United Data'!$C$3:$C$3390,$A690)&gt;0,1,0)</f>
        <v>0</v>
      </c>
      <c r="J690">
        <f>IF(COUNTIFS('United Data'!$A$3:$A$3390,J$1,'United Data'!$C$3:$C$3390,$A690)&gt;0,1,0)</f>
        <v>0</v>
      </c>
      <c r="K690">
        <f>IF(COUNTIFS('United Data'!$A$3:$A$3390,K$1,'United Data'!$C$3:$C$3390,$A690)&gt;0,1,0)</f>
        <v>0</v>
      </c>
      <c r="L690">
        <f>IF(COUNTIFS('United Data'!$A$3:$A$3390,L$1,'United Data'!$C$3:$C$3390,$A690)&gt;0,1,0)</f>
        <v>0</v>
      </c>
      <c r="M690">
        <f>IF(COUNTIFS('United Data'!$A$3:$A$3390,M$1,'United Data'!$C$3:$C$3390,$A690)&gt;0,1,0)</f>
        <v>0</v>
      </c>
      <c r="N690">
        <f>IF(COUNTIFS('United Data'!$A$3:$A$3390,N$1,'United Data'!$C$3:$C$3390,$A690)&gt;0,1,0)</f>
        <v>0</v>
      </c>
      <c r="O690">
        <f>IF(COUNTIFS('United Data'!$A$3:$A$3390,O$1,'United Data'!$C$3:$C$3390,$A690)&gt;0,1,0)</f>
        <v>0</v>
      </c>
      <c r="P690">
        <f>IF(COUNTIFS('United Data'!$A$3:$A$3390,P$1,'United Data'!$C$3:$C$3390,$A690)&gt;0,1,0)</f>
        <v>1</v>
      </c>
      <c r="Q690">
        <f>IF(COUNTIFS('United Data'!$A$3:$A$3390,Q$1,'United Data'!$C$3:$C$3390,$A690)&gt;0,1,0)</f>
        <v>0</v>
      </c>
      <c r="R690">
        <f>IF(COUNTIFS('United Data'!$A$3:$A$3390,R$1,'United Data'!$C$3:$C$3390,$A690)&gt;0,1,0)</f>
        <v>0</v>
      </c>
      <c r="S690">
        <f t="shared" si="20"/>
        <v>1</v>
      </c>
      <c r="T690">
        <f t="shared" si="21"/>
        <v>1</v>
      </c>
    </row>
    <row r="691" spans="1:20" x14ac:dyDescent="0.2">
      <c r="A691" t="s">
        <v>819</v>
      </c>
      <c r="B691">
        <f>IF(COUNTIFS('United Data'!$A$3:$A$3390,B$1,'United Data'!$C$3:$C$3390,$A691)&gt;0,1,0)</f>
        <v>0</v>
      </c>
      <c r="C691">
        <f>IF(COUNTIFS('United Data'!$A$3:$A$3390,C$1,'United Data'!$C$3:$C$3390,$A691)&gt;0,1,0)</f>
        <v>0</v>
      </c>
      <c r="D691">
        <f>IF(COUNTIFS('United Data'!$A$3:$A$3390,D$1,'United Data'!$C$3:$C$3390,$A691)&gt;0,1,0)</f>
        <v>0</v>
      </c>
      <c r="E691">
        <f>IF(COUNTIFS('United Data'!$A$3:$A$3390,E$1,'United Data'!$C$3:$C$3390,$A691)&gt;0,1,0)</f>
        <v>0</v>
      </c>
      <c r="F691">
        <f>IF(COUNTIFS('United Data'!$A$3:$A$3390,F$1,'United Data'!$C$3:$C$3390,$A691)&gt;0,1,0)</f>
        <v>0</v>
      </c>
      <c r="G691">
        <f>IF(COUNTIFS('United Data'!$A$3:$A$3390,G$1,'United Data'!$C$3:$C$3390,$A691)&gt;0,1,0)</f>
        <v>0</v>
      </c>
      <c r="H691">
        <f>IF(COUNTIFS('United Data'!$A$3:$A$3390,H$1,'United Data'!$C$3:$C$3390,$A691)&gt;0,1,0)</f>
        <v>0</v>
      </c>
      <c r="I691">
        <f>IF(COUNTIFS('United Data'!$A$3:$A$3390,I$1,'United Data'!$C$3:$C$3390,$A691)&gt;0,1,0)</f>
        <v>0</v>
      </c>
      <c r="J691">
        <f>IF(COUNTIFS('United Data'!$A$3:$A$3390,J$1,'United Data'!$C$3:$C$3390,$A691)&gt;0,1,0)</f>
        <v>0</v>
      </c>
      <c r="K691">
        <f>IF(COUNTIFS('United Data'!$A$3:$A$3390,K$1,'United Data'!$C$3:$C$3390,$A691)&gt;0,1,0)</f>
        <v>0</v>
      </c>
      <c r="L691">
        <f>IF(COUNTIFS('United Data'!$A$3:$A$3390,L$1,'United Data'!$C$3:$C$3390,$A691)&gt;0,1,0)</f>
        <v>0</v>
      </c>
      <c r="M691">
        <f>IF(COUNTIFS('United Data'!$A$3:$A$3390,M$1,'United Data'!$C$3:$C$3390,$A691)&gt;0,1,0)</f>
        <v>0</v>
      </c>
      <c r="N691">
        <f>IF(COUNTIFS('United Data'!$A$3:$A$3390,N$1,'United Data'!$C$3:$C$3390,$A691)&gt;0,1,0)</f>
        <v>0</v>
      </c>
      <c r="O691">
        <f>IF(COUNTIFS('United Data'!$A$3:$A$3390,O$1,'United Data'!$C$3:$C$3390,$A691)&gt;0,1,0)</f>
        <v>0</v>
      </c>
      <c r="P691">
        <f>IF(COUNTIFS('United Data'!$A$3:$A$3390,P$1,'United Data'!$C$3:$C$3390,$A691)&gt;0,1,0)</f>
        <v>1</v>
      </c>
      <c r="Q691">
        <f>IF(COUNTIFS('United Data'!$A$3:$A$3390,Q$1,'United Data'!$C$3:$C$3390,$A691)&gt;0,1,0)</f>
        <v>0</v>
      </c>
      <c r="R691">
        <f>IF(COUNTIFS('United Data'!$A$3:$A$3390,R$1,'United Data'!$C$3:$C$3390,$A691)&gt;0,1,0)</f>
        <v>0</v>
      </c>
      <c r="S691">
        <f t="shared" si="20"/>
        <v>1</v>
      </c>
      <c r="T691">
        <f t="shared" si="21"/>
        <v>1</v>
      </c>
    </row>
    <row r="692" spans="1:20" x14ac:dyDescent="0.2">
      <c r="A692" t="s">
        <v>821</v>
      </c>
      <c r="B692">
        <f>IF(COUNTIFS('United Data'!$A$3:$A$3390,B$1,'United Data'!$C$3:$C$3390,$A692)&gt;0,1,0)</f>
        <v>0</v>
      </c>
      <c r="C692">
        <f>IF(COUNTIFS('United Data'!$A$3:$A$3390,C$1,'United Data'!$C$3:$C$3390,$A692)&gt;0,1,0)</f>
        <v>0</v>
      </c>
      <c r="D692">
        <f>IF(COUNTIFS('United Data'!$A$3:$A$3390,D$1,'United Data'!$C$3:$C$3390,$A692)&gt;0,1,0)</f>
        <v>0</v>
      </c>
      <c r="E692">
        <f>IF(COUNTIFS('United Data'!$A$3:$A$3390,E$1,'United Data'!$C$3:$C$3390,$A692)&gt;0,1,0)</f>
        <v>0</v>
      </c>
      <c r="F692">
        <f>IF(COUNTIFS('United Data'!$A$3:$A$3390,F$1,'United Data'!$C$3:$C$3390,$A692)&gt;0,1,0)</f>
        <v>0</v>
      </c>
      <c r="G692">
        <f>IF(COUNTIFS('United Data'!$A$3:$A$3390,G$1,'United Data'!$C$3:$C$3390,$A692)&gt;0,1,0)</f>
        <v>0</v>
      </c>
      <c r="H692">
        <f>IF(COUNTIFS('United Data'!$A$3:$A$3390,H$1,'United Data'!$C$3:$C$3390,$A692)&gt;0,1,0)</f>
        <v>0</v>
      </c>
      <c r="I692">
        <f>IF(COUNTIFS('United Data'!$A$3:$A$3390,I$1,'United Data'!$C$3:$C$3390,$A692)&gt;0,1,0)</f>
        <v>0</v>
      </c>
      <c r="J692">
        <f>IF(COUNTIFS('United Data'!$A$3:$A$3390,J$1,'United Data'!$C$3:$C$3390,$A692)&gt;0,1,0)</f>
        <v>0</v>
      </c>
      <c r="K692">
        <f>IF(COUNTIFS('United Data'!$A$3:$A$3390,K$1,'United Data'!$C$3:$C$3390,$A692)&gt;0,1,0)</f>
        <v>0</v>
      </c>
      <c r="L692">
        <f>IF(COUNTIFS('United Data'!$A$3:$A$3390,L$1,'United Data'!$C$3:$C$3390,$A692)&gt;0,1,0)</f>
        <v>0</v>
      </c>
      <c r="M692">
        <f>IF(COUNTIFS('United Data'!$A$3:$A$3390,M$1,'United Data'!$C$3:$C$3390,$A692)&gt;0,1,0)</f>
        <v>0</v>
      </c>
      <c r="N692">
        <f>IF(COUNTIFS('United Data'!$A$3:$A$3390,N$1,'United Data'!$C$3:$C$3390,$A692)&gt;0,1,0)</f>
        <v>0</v>
      </c>
      <c r="O692">
        <f>IF(COUNTIFS('United Data'!$A$3:$A$3390,O$1,'United Data'!$C$3:$C$3390,$A692)&gt;0,1,0)</f>
        <v>0</v>
      </c>
      <c r="P692">
        <f>IF(COUNTIFS('United Data'!$A$3:$A$3390,P$1,'United Data'!$C$3:$C$3390,$A692)&gt;0,1,0)</f>
        <v>0</v>
      </c>
      <c r="Q692">
        <f>IF(COUNTIFS('United Data'!$A$3:$A$3390,Q$1,'United Data'!$C$3:$C$3390,$A692)&gt;0,1,0)</f>
        <v>1</v>
      </c>
      <c r="R692">
        <f>IF(COUNTIFS('United Data'!$A$3:$A$3390,R$1,'United Data'!$C$3:$C$3390,$A692)&gt;0,1,0)</f>
        <v>0</v>
      </c>
      <c r="S692">
        <f t="shared" si="20"/>
        <v>1</v>
      </c>
      <c r="T692">
        <f t="shared" si="21"/>
        <v>1</v>
      </c>
    </row>
    <row r="693" spans="1:20" x14ac:dyDescent="0.2">
      <c r="A693" t="s">
        <v>823</v>
      </c>
      <c r="B693">
        <f>IF(COUNTIFS('United Data'!$A$3:$A$3390,B$1,'United Data'!$C$3:$C$3390,$A693)&gt;0,1,0)</f>
        <v>1</v>
      </c>
      <c r="C693">
        <f>IF(COUNTIFS('United Data'!$A$3:$A$3390,C$1,'United Data'!$C$3:$C$3390,$A693)&gt;0,1,0)</f>
        <v>0</v>
      </c>
      <c r="D693">
        <f>IF(COUNTIFS('United Data'!$A$3:$A$3390,D$1,'United Data'!$C$3:$C$3390,$A693)&gt;0,1,0)</f>
        <v>1</v>
      </c>
      <c r="E693">
        <f>IF(COUNTIFS('United Data'!$A$3:$A$3390,E$1,'United Data'!$C$3:$C$3390,$A693)&gt;0,1,0)</f>
        <v>1</v>
      </c>
      <c r="F693">
        <f>IF(COUNTIFS('United Data'!$A$3:$A$3390,F$1,'United Data'!$C$3:$C$3390,$A693)&gt;0,1,0)</f>
        <v>1</v>
      </c>
      <c r="G693">
        <f>IF(COUNTIFS('United Data'!$A$3:$A$3390,G$1,'United Data'!$C$3:$C$3390,$A693)&gt;0,1,0)</f>
        <v>0</v>
      </c>
      <c r="H693">
        <f>IF(COUNTIFS('United Data'!$A$3:$A$3390,H$1,'United Data'!$C$3:$C$3390,$A693)&gt;0,1,0)</f>
        <v>1</v>
      </c>
      <c r="I693">
        <f>IF(COUNTIFS('United Data'!$A$3:$A$3390,I$1,'United Data'!$C$3:$C$3390,$A693)&gt;0,1,0)</f>
        <v>1</v>
      </c>
      <c r="J693">
        <f>IF(COUNTIFS('United Data'!$A$3:$A$3390,J$1,'United Data'!$C$3:$C$3390,$A693)&gt;0,1,0)</f>
        <v>1</v>
      </c>
      <c r="K693">
        <f>IF(COUNTIFS('United Data'!$A$3:$A$3390,K$1,'United Data'!$C$3:$C$3390,$A693)&gt;0,1,0)</f>
        <v>0</v>
      </c>
      <c r="L693">
        <f>IF(COUNTIFS('United Data'!$A$3:$A$3390,L$1,'United Data'!$C$3:$C$3390,$A693)&gt;0,1,0)</f>
        <v>0</v>
      </c>
      <c r="M693">
        <f>IF(COUNTIFS('United Data'!$A$3:$A$3390,M$1,'United Data'!$C$3:$C$3390,$A693)&gt;0,1,0)</f>
        <v>1</v>
      </c>
      <c r="N693">
        <f>IF(COUNTIFS('United Data'!$A$3:$A$3390,N$1,'United Data'!$C$3:$C$3390,$A693)&gt;0,1,0)</f>
        <v>0</v>
      </c>
      <c r="O693">
        <f>IF(COUNTIFS('United Data'!$A$3:$A$3390,O$1,'United Data'!$C$3:$C$3390,$A693)&gt;0,1,0)</f>
        <v>0</v>
      </c>
      <c r="P693">
        <f>IF(COUNTIFS('United Data'!$A$3:$A$3390,P$1,'United Data'!$C$3:$C$3390,$A693)&gt;0,1,0)</f>
        <v>0</v>
      </c>
      <c r="Q693">
        <f>IF(COUNTIFS('United Data'!$A$3:$A$3390,Q$1,'United Data'!$C$3:$C$3390,$A693)&gt;0,1,0)</f>
        <v>0</v>
      </c>
      <c r="R693">
        <f>IF(COUNTIFS('United Data'!$A$3:$A$3390,R$1,'United Data'!$C$3:$C$3390,$A693)&gt;0,1,0)</f>
        <v>0</v>
      </c>
      <c r="S693">
        <f t="shared" si="20"/>
        <v>8</v>
      </c>
      <c r="T693">
        <f t="shared" si="21"/>
        <v>4</v>
      </c>
    </row>
    <row r="694" spans="1:20" x14ac:dyDescent="0.2">
      <c r="A694" t="s">
        <v>824</v>
      </c>
      <c r="B694">
        <f>IF(COUNTIFS('United Data'!$A$3:$A$3390,B$1,'United Data'!$C$3:$C$3390,$A694)&gt;0,1,0)</f>
        <v>1</v>
      </c>
      <c r="C694">
        <f>IF(COUNTIFS('United Data'!$A$3:$A$3390,C$1,'United Data'!$C$3:$C$3390,$A694)&gt;0,1,0)</f>
        <v>1</v>
      </c>
      <c r="D694">
        <f>IF(COUNTIFS('United Data'!$A$3:$A$3390,D$1,'United Data'!$C$3:$C$3390,$A694)&gt;0,1,0)</f>
        <v>1</v>
      </c>
      <c r="E694">
        <f>IF(COUNTIFS('United Data'!$A$3:$A$3390,E$1,'United Data'!$C$3:$C$3390,$A694)&gt;0,1,0)</f>
        <v>0</v>
      </c>
      <c r="F694">
        <f>IF(COUNTIFS('United Data'!$A$3:$A$3390,F$1,'United Data'!$C$3:$C$3390,$A694)&gt;0,1,0)</f>
        <v>0</v>
      </c>
      <c r="G694">
        <f>IF(COUNTIFS('United Data'!$A$3:$A$3390,G$1,'United Data'!$C$3:$C$3390,$A694)&gt;0,1,0)</f>
        <v>0</v>
      </c>
      <c r="H694">
        <f>IF(COUNTIFS('United Data'!$A$3:$A$3390,H$1,'United Data'!$C$3:$C$3390,$A694)&gt;0,1,0)</f>
        <v>0</v>
      </c>
      <c r="I694">
        <f>IF(COUNTIFS('United Data'!$A$3:$A$3390,I$1,'United Data'!$C$3:$C$3390,$A694)&gt;0,1,0)</f>
        <v>0</v>
      </c>
      <c r="J694">
        <f>IF(COUNTIFS('United Data'!$A$3:$A$3390,J$1,'United Data'!$C$3:$C$3390,$A694)&gt;0,1,0)</f>
        <v>0</v>
      </c>
      <c r="K694">
        <f>IF(COUNTIFS('United Data'!$A$3:$A$3390,K$1,'United Data'!$C$3:$C$3390,$A694)&gt;0,1,0)</f>
        <v>0</v>
      </c>
      <c r="L694">
        <f>IF(COUNTIFS('United Data'!$A$3:$A$3390,L$1,'United Data'!$C$3:$C$3390,$A694)&gt;0,1,0)</f>
        <v>0</v>
      </c>
      <c r="M694">
        <f>IF(COUNTIFS('United Data'!$A$3:$A$3390,M$1,'United Data'!$C$3:$C$3390,$A694)&gt;0,1,0)</f>
        <v>0</v>
      </c>
      <c r="N694">
        <f>IF(COUNTIFS('United Data'!$A$3:$A$3390,N$1,'United Data'!$C$3:$C$3390,$A694)&gt;0,1,0)</f>
        <v>0</v>
      </c>
      <c r="O694">
        <f>IF(COUNTIFS('United Data'!$A$3:$A$3390,O$1,'United Data'!$C$3:$C$3390,$A694)&gt;0,1,0)</f>
        <v>0</v>
      </c>
      <c r="P694">
        <f>IF(COUNTIFS('United Data'!$A$3:$A$3390,P$1,'United Data'!$C$3:$C$3390,$A694)&gt;0,1,0)</f>
        <v>0</v>
      </c>
      <c r="Q694">
        <f>IF(COUNTIFS('United Data'!$A$3:$A$3390,Q$1,'United Data'!$C$3:$C$3390,$A694)&gt;0,1,0)</f>
        <v>0</v>
      </c>
      <c r="R694">
        <f>IF(COUNTIFS('United Data'!$A$3:$A$3390,R$1,'United Data'!$C$3:$C$3390,$A694)&gt;0,1,0)</f>
        <v>0</v>
      </c>
      <c r="S694">
        <f t="shared" si="20"/>
        <v>3</v>
      </c>
      <c r="T694">
        <f t="shared" si="21"/>
        <v>1</v>
      </c>
    </row>
    <row r="695" spans="1:20" x14ac:dyDescent="0.2">
      <c r="A695" t="s">
        <v>825</v>
      </c>
      <c r="B695">
        <f>IF(COUNTIFS('United Data'!$A$3:$A$3390,B$1,'United Data'!$C$3:$C$3390,$A695)&gt;0,1,0)</f>
        <v>1</v>
      </c>
      <c r="C695">
        <f>IF(COUNTIFS('United Data'!$A$3:$A$3390,C$1,'United Data'!$C$3:$C$3390,$A695)&gt;0,1,0)</f>
        <v>0</v>
      </c>
      <c r="D695">
        <f>IF(COUNTIFS('United Data'!$A$3:$A$3390,D$1,'United Data'!$C$3:$C$3390,$A695)&gt;0,1,0)</f>
        <v>0</v>
      </c>
      <c r="E695">
        <f>IF(COUNTIFS('United Data'!$A$3:$A$3390,E$1,'United Data'!$C$3:$C$3390,$A695)&gt;0,1,0)</f>
        <v>0</v>
      </c>
      <c r="F695">
        <f>IF(COUNTIFS('United Data'!$A$3:$A$3390,F$1,'United Data'!$C$3:$C$3390,$A695)&gt;0,1,0)</f>
        <v>0</v>
      </c>
      <c r="G695">
        <f>IF(COUNTIFS('United Data'!$A$3:$A$3390,G$1,'United Data'!$C$3:$C$3390,$A695)&gt;0,1,0)</f>
        <v>0</v>
      </c>
      <c r="H695">
        <f>IF(COUNTIFS('United Data'!$A$3:$A$3390,H$1,'United Data'!$C$3:$C$3390,$A695)&gt;0,1,0)</f>
        <v>0</v>
      </c>
      <c r="I695">
        <f>IF(COUNTIFS('United Data'!$A$3:$A$3390,I$1,'United Data'!$C$3:$C$3390,$A695)&gt;0,1,0)</f>
        <v>0</v>
      </c>
      <c r="J695">
        <f>IF(COUNTIFS('United Data'!$A$3:$A$3390,J$1,'United Data'!$C$3:$C$3390,$A695)&gt;0,1,0)</f>
        <v>0</v>
      </c>
      <c r="K695">
        <f>IF(COUNTIFS('United Data'!$A$3:$A$3390,K$1,'United Data'!$C$3:$C$3390,$A695)&gt;0,1,0)</f>
        <v>0</v>
      </c>
      <c r="L695">
        <f>IF(COUNTIFS('United Data'!$A$3:$A$3390,L$1,'United Data'!$C$3:$C$3390,$A695)&gt;0,1,0)</f>
        <v>0</v>
      </c>
      <c r="M695">
        <f>IF(COUNTIFS('United Data'!$A$3:$A$3390,M$1,'United Data'!$C$3:$C$3390,$A695)&gt;0,1,0)</f>
        <v>0</v>
      </c>
      <c r="N695">
        <f>IF(COUNTIFS('United Data'!$A$3:$A$3390,N$1,'United Data'!$C$3:$C$3390,$A695)&gt;0,1,0)</f>
        <v>0</v>
      </c>
      <c r="O695">
        <f>IF(COUNTIFS('United Data'!$A$3:$A$3390,O$1,'United Data'!$C$3:$C$3390,$A695)&gt;0,1,0)</f>
        <v>0</v>
      </c>
      <c r="P695">
        <f>IF(COUNTIFS('United Data'!$A$3:$A$3390,P$1,'United Data'!$C$3:$C$3390,$A695)&gt;0,1,0)</f>
        <v>0</v>
      </c>
      <c r="Q695">
        <f>IF(COUNTIFS('United Data'!$A$3:$A$3390,Q$1,'United Data'!$C$3:$C$3390,$A695)&gt;0,1,0)</f>
        <v>0</v>
      </c>
      <c r="R695">
        <f>IF(COUNTIFS('United Data'!$A$3:$A$3390,R$1,'United Data'!$C$3:$C$3390,$A695)&gt;0,1,0)</f>
        <v>0</v>
      </c>
      <c r="S695">
        <f t="shared" si="20"/>
        <v>1</v>
      </c>
      <c r="T695">
        <f t="shared" si="21"/>
        <v>1</v>
      </c>
    </row>
    <row r="696" spans="1:20" x14ac:dyDescent="0.2">
      <c r="A696" t="s">
        <v>826</v>
      </c>
      <c r="B696">
        <f>IF(COUNTIFS('United Data'!$A$3:$A$3390,B$1,'United Data'!$C$3:$C$3390,$A696)&gt;0,1,0)</f>
        <v>1</v>
      </c>
      <c r="C696">
        <f>IF(COUNTIFS('United Data'!$A$3:$A$3390,C$1,'United Data'!$C$3:$C$3390,$A696)&gt;0,1,0)</f>
        <v>1</v>
      </c>
      <c r="D696">
        <f>IF(COUNTIFS('United Data'!$A$3:$A$3390,D$1,'United Data'!$C$3:$C$3390,$A696)&gt;0,1,0)</f>
        <v>1</v>
      </c>
      <c r="E696">
        <f>IF(COUNTIFS('United Data'!$A$3:$A$3390,E$1,'United Data'!$C$3:$C$3390,$A696)&gt;0,1,0)</f>
        <v>1</v>
      </c>
      <c r="F696">
        <f>IF(COUNTIFS('United Data'!$A$3:$A$3390,F$1,'United Data'!$C$3:$C$3390,$A696)&gt;0,1,0)</f>
        <v>1</v>
      </c>
      <c r="G696">
        <f>IF(COUNTIFS('United Data'!$A$3:$A$3390,G$1,'United Data'!$C$3:$C$3390,$A696)&gt;0,1,0)</f>
        <v>1</v>
      </c>
      <c r="H696">
        <f>IF(COUNTIFS('United Data'!$A$3:$A$3390,H$1,'United Data'!$C$3:$C$3390,$A696)&gt;0,1,0)</f>
        <v>1</v>
      </c>
      <c r="I696">
        <f>IF(COUNTIFS('United Data'!$A$3:$A$3390,I$1,'United Data'!$C$3:$C$3390,$A696)&gt;0,1,0)</f>
        <v>1</v>
      </c>
      <c r="J696">
        <f>IF(COUNTIFS('United Data'!$A$3:$A$3390,J$1,'United Data'!$C$3:$C$3390,$A696)&gt;0,1,0)</f>
        <v>0</v>
      </c>
      <c r="K696">
        <f>IF(COUNTIFS('United Data'!$A$3:$A$3390,K$1,'United Data'!$C$3:$C$3390,$A696)&gt;0,1,0)</f>
        <v>1</v>
      </c>
      <c r="L696">
        <f>IF(COUNTIFS('United Data'!$A$3:$A$3390,L$1,'United Data'!$C$3:$C$3390,$A696)&gt;0,1,0)</f>
        <v>1</v>
      </c>
      <c r="M696">
        <f>IF(COUNTIFS('United Data'!$A$3:$A$3390,M$1,'United Data'!$C$3:$C$3390,$A696)&gt;0,1,0)</f>
        <v>0</v>
      </c>
      <c r="N696">
        <f>IF(COUNTIFS('United Data'!$A$3:$A$3390,N$1,'United Data'!$C$3:$C$3390,$A696)&gt;0,1,0)</f>
        <v>1</v>
      </c>
      <c r="O696">
        <f>IF(COUNTIFS('United Data'!$A$3:$A$3390,O$1,'United Data'!$C$3:$C$3390,$A696)&gt;0,1,0)</f>
        <v>1</v>
      </c>
      <c r="P696">
        <f>IF(COUNTIFS('United Data'!$A$3:$A$3390,P$1,'United Data'!$C$3:$C$3390,$A696)&gt;0,1,0)</f>
        <v>1</v>
      </c>
      <c r="Q696">
        <f>IF(COUNTIFS('United Data'!$A$3:$A$3390,Q$1,'United Data'!$C$3:$C$3390,$A696)&gt;0,1,0)</f>
        <v>1</v>
      </c>
      <c r="R696">
        <f>IF(COUNTIFS('United Data'!$A$3:$A$3390,R$1,'United Data'!$C$3:$C$3390,$A696)&gt;0,1,0)</f>
        <v>1</v>
      </c>
      <c r="S696">
        <f t="shared" si="20"/>
        <v>15</v>
      </c>
      <c r="T696">
        <f t="shared" si="21"/>
        <v>3</v>
      </c>
    </row>
    <row r="697" spans="1:20" x14ac:dyDescent="0.2">
      <c r="A697" t="s">
        <v>827</v>
      </c>
      <c r="B697">
        <f>IF(COUNTIFS('United Data'!$A$3:$A$3390,B$1,'United Data'!$C$3:$C$3390,$A697)&gt;0,1,0)</f>
        <v>1</v>
      </c>
      <c r="C697">
        <f>IF(COUNTIFS('United Data'!$A$3:$A$3390,C$1,'United Data'!$C$3:$C$3390,$A697)&gt;0,1,0)</f>
        <v>0</v>
      </c>
      <c r="D697">
        <f>IF(COUNTIFS('United Data'!$A$3:$A$3390,D$1,'United Data'!$C$3:$C$3390,$A697)&gt;0,1,0)</f>
        <v>0</v>
      </c>
      <c r="E697">
        <f>IF(COUNTIFS('United Data'!$A$3:$A$3390,E$1,'United Data'!$C$3:$C$3390,$A697)&gt;0,1,0)</f>
        <v>0</v>
      </c>
      <c r="F697">
        <f>IF(COUNTIFS('United Data'!$A$3:$A$3390,F$1,'United Data'!$C$3:$C$3390,$A697)&gt;0,1,0)</f>
        <v>0</v>
      </c>
      <c r="G697">
        <f>IF(COUNTIFS('United Data'!$A$3:$A$3390,G$1,'United Data'!$C$3:$C$3390,$A697)&gt;0,1,0)</f>
        <v>0</v>
      </c>
      <c r="H697">
        <f>IF(COUNTIFS('United Data'!$A$3:$A$3390,H$1,'United Data'!$C$3:$C$3390,$A697)&gt;0,1,0)</f>
        <v>0</v>
      </c>
      <c r="I697">
        <f>IF(COUNTIFS('United Data'!$A$3:$A$3390,I$1,'United Data'!$C$3:$C$3390,$A697)&gt;0,1,0)</f>
        <v>0</v>
      </c>
      <c r="J697">
        <f>IF(COUNTIFS('United Data'!$A$3:$A$3390,J$1,'United Data'!$C$3:$C$3390,$A697)&gt;0,1,0)</f>
        <v>0</v>
      </c>
      <c r="K697">
        <f>IF(COUNTIFS('United Data'!$A$3:$A$3390,K$1,'United Data'!$C$3:$C$3390,$A697)&gt;0,1,0)</f>
        <v>0</v>
      </c>
      <c r="L697">
        <f>IF(COUNTIFS('United Data'!$A$3:$A$3390,L$1,'United Data'!$C$3:$C$3390,$A697)&gt;0,1,0)</f>
        <v>0</v>
      </c>
      <c r="M697">
        <f>IF(COUNTIFS('United Data'!$A$3:$A$3390,M$1,'United Data'!$C$3:$C$3390,$A697)&gt;0,1,0)</f>
        <v>0</v>
      </c>
      <c r="N697">
        <f>IF(COUNTIFS('United Data'!$A$3:$A$3390,N$1,'United Data'!$C$3:$C$3390,$A697)&gt;0,1,0)</f>
        <v>0</v>
      </c>
      <c r="O697">
        <f>IF(COUNTIFS('United Data'!$A$3:$A$3390,O$1,'United Data'!$C$3:$C$3390,$A697)&gt;0,1,0)</f>
        <v>0</v>
      </c>
      <c r="P697">
        <f>IF(COUNTIFS('United Data'!$A$3:$A$3390,P$1,'United Data'!$C$3:$C$3390,$A697)&gt;0,1,0)</f>
        <v>0</v>
      </c>
      <c r="Q697">
        <f>IF(COUNTIFS('United Data'!$A$3:$A$3390,Q$1,'United Data'!$C$3:$C$3390,$A697)&gt;0,1,0)</f>
        <v>0</v>
      </c>
      <c r="R697">
        <f>IF(COUNTIFS('United Data'!$A$3:$A$3390,R$1,'United Data'!$C$3:$C$3390,$A697)&gt;0,1,0)</f>
        <v>0</v>
      </c>
      <c r="S697">
        <f t="shared" si="20"/>
        <v>1</v>
      </c>
      <c r="T697">
        <f t="shared" si="21"/>
        <v>1</v>
      </c>
    </row>
    <row r="698" spans="1:20" x14ac:dyDescent="0.2">
      <c r="A698" t="s">
        <v>828</v>
      </c>
      <c r="B698">
        <f>IF(COUNTIFS('United Data'!$A$3:$A$3390,B$1,'United Data'!$C$3:$C$3390,$A698)&gt;0,1,0)</f>
        <v>0</v>
      </c>
      <c r="C698">
        <f>IF(COUNTIFS('United Data'!$A$3:$A$3390,C$1,'United Data'!$C$3:$C$3390,$A698)&gt;0,1,0)</f>
        <v>1</v>
      </c>
      <c r="D698">
        <f>IF(COUNTIFS('United Data'!$A$3:$A$3390,D$1,'United Data'!$C$3:$C$3390,$A698)&gt;0,1,0)</f>
        <v>0</v>
      </c>
      <c r="E698">
        <f>IF(COUNTIFS('United Data'!$A$3:$A$3390,E$1,'United Data'!$C$3:$C$3390,$A698)&gt;0,1,0)</f>
        <v>0</v>
      </c>
      <c r="F698">
        <f>IF(COUNTIFS('United Data'!$A$3:$A$3390,F$1,'United Data'!$C$3:$C$3390,$A698)&gt;0,1,0)</f>
        <v>0</v>
      </c>
      <c r="G698">
        <f>IF(COUNTIFS('United Data'!$A$3:$A$3390,G$1,'United Data'!$C$3:$C$3390,$A698)&gt;0,1,0)</f>
        <v>0</v>
      </c>
      <c r="H698">
        <f>IF(COUNTIFS('United Data'!$A$3:$A$3390,H$1,'United Data'!$C$3:$C$3390,$A698)&gt;0,1,0)</f>
        <v>0</v>
      </c>
      <c r="I698">
        <f>IF(COUNTIFS('United Data'!$A$3:$A$3390,I$1,'United Data'!$C$3:$C$3390,$A698)&gt;0,1,0)</f>
        <v>0</v>
      </c>
      <c r="J698">
        <f>IF(COUNTIFS('United Data'!$A$3:$A$3390,J$1,'United Data'!$C$3:$C$3390,$A698)&gt;0,1,0)</f>
        <v>0</v>
      </c>
      <c r="K698">
        <f>IF(COUNTIFS('United Data'!$A$3:$A$3390,K$1,'United Data'!$C$3:$C$3390,$A698)&gt;0,1,0)</f>
        <v>0</v>
      </c>
      <c r="L698">
        <f>IF(COUNTIFS('United Data'!$A$3:$A$3390,L$1,'United Data'!$C$3:$C$3390,$A698)&gt;0,1,0)</f>
        <v>0</v>
      </c>
      <c r="M698">
        <f>IF(COUNTIFS('United Data'!$A$3:$A$3390,M$1,'United Data'!$C$3:$C$3390,$A698)&gt;0,1,0)</f>
        <v>0</v>
      </c>
      <c r="N698">
        <f>IF(COUNTIFS('United Data'!$A$3:$A$3390,N$1,'United Data'!$C$3:$C$3390,$A698)&gt;0,1,0)</f>
        <v>0</v>
      </c>
      <c r="O698">
        <f>IF(COUNTIFS('United Data'!$A$3:$A$3390,O$1,'United Data'!$C$3:$C$3390,$A698)&gt;0,1,0)</f>
        <v>0</v>
      </c>
      <c r="P698">
        <f>IF(COUNTIFS('United Data'!$A$3:$A$3390,P$1,'United Data'!$C$3:$C$3390,$A698)&gt;0,1,0)</f>
        <v>0</v>
      </c>
      <c r="Q698">
        <f>IF(COUNTIFS('United Data'!$A$3:$A$3390,Q$1,'United Data'!$C$3:$C$3390,$A698)&gt;0,1,0)</f>
        <v>0</v>
      </c>
      <c r="R698">
        <f>IF(COUNTIFS('United Data'!$A$3:$A$3390,R$1,'United Data'!$C$3:$C$3390,$A698)&gt;0,1,0)</f>
        <v>0</v>
      </c>
      <c r="S698">
        <f t="shared" si="20"/>
        <v>1</v>
      </c>
      <c r="T698">
        <f t="shared" si="21"/>
        <v>1</v>
      </c>
    </row>
    <row r="699" spans="1:20" x14ac:dyDescent="0.2">
      <c r="A699" t="s">
        <v>829</v>
      </c>
      <c r="B699">
        <f>IF(COUNTIFS('United Data'!$A$3:$A$3390,B$1,'United Data'!$C$3:$C$3390,$A699)&gt;0,1,0)</f>
        <v>0</v>
      </c>
      <c r="C699">
        <f>IF(COUNTIFS('United Data'!$A$3:$A$3390,C$1,'United Data'!$C$3:$C$3390,$A699)&gt;0,1,0)</f>
        <v>1</v>
      </c>
      <c r="D699">
        <f>IF(COUNTIFS('United Data'!$A$3:$A$3390,D$1,'United Data'!$C$3:$C$3390,$A699)&gt;0,1,0)</f>
        <v>1</v>
      </c>
      <c r="E699">
        <f>IF(COUNTIFS('United Data'!$A$3:$A$3390,E$1,'United Data'!$C$3:$C$3390,$A699)&gt;0,1,0)</f>
        <v>1</v>
      </c>
      <c r="F699">
        <f>IF(COUNTIFS('United Data'!$A$3:$A$3390,F$1,'United Data'!$C$3:$C$3390,$A699)&gt;0,1,0)</f>
        <v>1</v>
      </c>
      <c r="G699">
        <f>IF(COUNTIFS('United Data'!$A$3:$A$3390,G$1,'United Data'!$C$3:$C$3390,$A699)&gt;0,1,0)</f>
        <v>0</v>
      </c>
      <c r="H699">
        <f>IF(COUNTIFS('United Data'!$A$3:$A$3390,H$1,'United Data'!$C$3:$C$3390,$A699)&gt;0,1,0)</f>
        <v>1</v>
      </c>
      <c r="I699">
        <f>IF(COUNTIFS('United Data'!$A$3:$A$3390,I$1,'United Data'!$C$3:$C$3390,$A699)&gt;0,1,0)</f>
        <v>1</v>
      </c>
      <c r="J699">
        <f>IF(COUNTIFS('United Data'!$A$3:$A$3390,J$1,'United Data'!$C$3:$C$3390,$A699)&gt;0,1,0)</f>
        <v>0</v>
      </c>
      <c r="K699">
        <f>IF(COUNTIFS('United Data'!$A$3:$A$3390,K$1,'United Data'!$C$3:$C$3390,$A699)&gt;0,1,0)</f>
        <v>0</v>
      </c>
      <c r="L699">
        <f>IF(COUNTIFS('United Data'!$A$3:$A$3390,L$1,'United Data'!$C$3:$C$3390,$A699)&gt;0,1,0)</f>
        <v>1</v>
      </c>
      <c r="M699">
        <f>IF(COUNTIFS('United Data'!$A$3:$A$3390,M$1,'United Data'!$C$3:$C$3390,$A699)&gt;0,1,0)</f>
        <v>0</v>
      </c>
      <c r="N699">
        <f>IF(COUNTIFS('United Data'!$A$3:$A$3390,N$1,'United Data'!$C$3:$C$3390,$A699)&gt;0,1,0)</f>
        <v>0</v>
      </c>
      <c r="O699">
        <f>IF(COUNTIFS('United Data'!$A$3:$A$3390,O$1,'United Data'!$C$3:$C$3390,$A699)&gt;0,1,0)</f>
        <v>1</v>
      </c>
      <c r="P699">
        <f>IF(COUNTIFS('United Data'!$A$3:$A$3390,P$1,'United Data'!$C$3:$C$3390,$A699)&gt;0,1,0)</f>
        <v>1</v>
      </c>
      <c r="Q699">
        <f>IF(COUNTIFS('United Data'!$A$3:$A$3390,Q$1,'United Data'!$C$3:$C$3390,$A699)&gt;0,1,0)</f>
        <v>0</v>
      </c>
      <c r="R699">
        <f>IF(COUNTIFS('United Data'!$A$3:$A$3390,R$1,'United Data'!$C$3:$C$3390,$A699)&gt;0,1,0)</f>
        <v>0</v>
      </c>
      <c r="S699">
        <f t="shared" si="20"/>
        <v>9</v>
      </c>
      <c r="T699">
        <f t="shared" si="21"/>
        <v>4</v>
      </c>
    </row>
    <row r="700" spans="1:20" x14ac:dyDescent="0.2">
      <c r="A700" t="s">
        <v>832</v>
      </c>
      <c r="B700">
        <f>IF(COUNTIFS('United Data'!$A$3:$A$3390,B$1,'United Data'!$C$3:$C$3390,$A700)&gt;0,1,0)</f>
        <v>0</v>
      </c>
      <c r="C700">
        <f>IF(COUNTIFS('United Data'!$A$3:$A$3390,C$1,'United Data'!$C$3:$C$3390,$A700)&gt;0,1,0)</f>
        <v>1</v>
      </c>
      <c r="D700">
        <f>IF(COUNTIFS('United Data'!$A$3:$A$3390,D$1,'United Data'!$C$3:$C$3390,$A700)&gt;0,1,0)</f>
        <v>0</v>
      </c>
      <c r="E700">
        <f>IF(COUNTIFS('United Data'!$A$3:$A$3390,E$1,'United Data'!$C$3:$C$3390,$A700)&gt;0,1,0)</f>
        <v>1</v>
      </c>
      <c r="F700">
        <f>IF(COUNTIFS('United Data'!$A$3:$A$3390,F$1,'United Data'!$C$3:$C$3390,$A700)&gt;0,1,0)</f>
        <v>0</v>
      </c>
      <c r="G700">
        <f>IF(COUNTIFS('United Data'!$A$3:$A$3390,G$1,'United Data'!$C$3:$C$3390,$A700)&gt;0,1,0)</f>
        <v>0</v>
      </c>
      <c r="H700">
        <f>IF(COUNTIFS('United Data'!$A$3:$A$3390,H$1,'United Data'!$C$3:$C$3390,$A700)&gt;0,1,0)</f>
        <v>1</v>
      </c>
      <c r="I700">
        <f>IF(COUNTIFS('United Data'!$A$3:$A$3390,I$1,'United Data'!$C$3:$C$3390,$A700)&gt;0,1,0)</f>
        <v>0</v>
      </c>
      <c r="J700">
        <f>IF(COUNTIFS('United Data'!$A$3:$A$3390,J$1,'United Data'!$C$3:$C$3390,$A700)&gt;0,1,0)</f>
        <v>0</v>
      </c>
      <c r="K700">
        <f>IF(COUNTIFS('United Data'!$A$3:$A$3390,K$1,'United Data'!$C$3:$C$3390,$A700)&gt;0,1,0)</f>
        <v>0</v>
      </c>
      <c r="L700">
        <f>IF(COUNTIFS('United Data'!$A$3:$A$3390,L$1,'United Data'!$C$3:$C$3390,$A700)&gt;0,1,0)</f>
        <v>0</v>
      </c>
      <c r="M700">
        <f>IF(COUNTIFS('United Data'!$A$3:$A$3390,M$1,'United Data'!$C$3:$C$3390,$A700)&gt;0,1,0)</f>
        <v>0</v>
      </c>
      <c r="N700">
        <f>IF(COUNTIFS('United Data'!$A$3:$A$3390,N$1,'United Data'!$C$3:$C$3390,$A700)&gt;0,1,0)</f>
        <v>1</v>
      </c>
      <c r="O700">
        <f>IF(COUNTIFS('United Data'!$A$3:$A$3390,O$1,'United Data'!$C$3:$C$3390,$A700)&gt;0,1,0)</f>
        <v>0</v>
      </c>
      <c r="P700">
        <f>IF(COUNTIFS('United Data'!$A$3:$A$3390,P$1,'United Data'!$C$3:$C$3390,$A700)&gt;0,1,0)</f>
        <v>0</v>
      </c>
      <c r="Q700">
        <f>IF(COUNTIFS('United Data'!$A$3:$A$3390,Q$1,'United Data'!$C$3:$C$3390,$A700)&gt;0,1,0)</f>
        <v>0</v>
      </c>
      <c r="R700">
        <f>IF(COUNTIFS('United Data'!$A$3:$A$3390,R$1,'United Data'!$C$3:$C$3390,$A700)&gt;0,1,0)</f>
        <v>0</v>
      </c>
      <c r="S700">
        <f t="shared" si="20"/>
        <v>4</v>
      </c>
      <c r="T700">
        <f t="shared" si="21"/>
        <v>4</v>
      </c>
    </row>
    <row r="701" spans="1:20" x14ac:dyDescent="0.2">
      <c r="A701" t="s">
        <v>833</v>
      </c>
      <c r="B701">
        <f>IF(COUNTIFS('United Data'!$A$3:$A$3390,B$1,'United Data'!$C$3:$C$3390,$A701)&gt;0,1,0)</f>
        <v>0</v>
      </c>
      <c r="C701">
        <f>IF(COUNTIFS('United Data'!$A$3:$A$3390,C$1,'United Data'!$C$3:$C$3390,$A701)&gt;0,1,0)</f>
        <v>1</v>
      </c>
      <c r="D701">
        <f>IF(COUNTIFS('United Data'!$A$3:$A$3390,D$1,'United Data'!$C$3:$C$3390,$A701)&gt;0,1,0)</f>
        <v>0</v>
      </c>
      <c r="E701">
        <f>IF(COUNTIFS('United Data'!$A$3:$A$3390,E$1,'United Data'!$C$3:$C$3390,$A701)&gt;0,1,0)</f>
        <v>0</v>
      </c>
      <c r="F701">
        <f>IF(COUNTIFS('United Data'!$A$3:$A$3390,F$1,'United Data'!$C$3:$C$3390,$A701)&gt;0,1,0)</f>
        <v>0</v>
      </c>
      <c r="G701">
        <f>IF(COUNTIFS('United Data'!$A$3:$A$3390,G$1,'United Data'!$C$3:$C$3390,$A701)&gt;0,1,0)</f>
        <v>0</v>
      </c>
      <c r="H701">
        <f>IF(COUNTIFS('United Data'!$A$3:$A$3390,H$1,'United Data'!$C$3:$C$3390,$A701)&gt;0,1,0)</f>
        <v>0</v>
      </c>
      <c r="I701">
        <f>IF(COUNTIFS('United Data'!$A$3:$A$3390,I$1,'United Data'!$C$3:$C$3390,$A701)&gt;0,1,0)</f>
        <v>0</v>
      </c>
      <c r="J701">
        <f>IF(COUNTIFS('United Data'!$A$3:$A$3390,J$1,'United Data'!$C$3:$C$3390,$A701)&gt;0,1,0)</f>
        <v>0</v>
      </c>
      <c r="K701">
        <f>IF(COUNTIFS('United Data'!$A$3:$A$3390,K$1,'United Data'!$C$3:$C$3390,$A701)&gt;0,1,0)</f>
        <v>0</v>
      </c>
      <c r="L701">
        <f>IF(COUNTIFS('United Data'!$A$3:$A$3390,L$1,'United Data'!$C$3:$C$3390,$A701)&gt;0,1,0)</f>
        <v>0</v>
      </c>
      <c r="M701">
        <f>IF(COUNTIFS('United Data'!$A$3:$A$3390,M$1,'United Data'!$C$3:$C$3390,$A701)&gt;0,1,0)</f>
        <v>0</v>
      </c>
      <c r="N701">
        <f>IF(COUNTIFS('United Data'!$A$3:$A$3390,N$1,'United Data'!$C$3:$C$3390,$A701)&gt;0,1,0)</f>
        <v>0</v>
      </c>
      <c r="O701">
        <f>IF(COUNTIFS('United Data'!$A$3:$A$3390,O$1,'United Data'!$C$3:$C$3390,$A701)&gt;0,1,0)</f>
        <v>0</v>
      </c>
      <c r="P701">
        <f>IF(COUNTIFS('United Data'!$A$3:$A$3390,P$1,'United Data'!$C$3:$C$3390,$A701)&gt;0,1,0)</f>
        <v>0</v>
      </c>
      <c r="Q701">
        <f>IF(COUNTIFS('United Data'!$A$3:$A$3390,Q$1,'United Data'!$C$3:$C$3390,$A701)&gt;0,1,0)</f>
        <v>0</v>
      </c>
      <c r="R701">
        <f>IF(COUNTIFS('United Data'!$A$3:$A$3390,R$1,'United Data'!$C$3:$C$3390,$A701)&gt;0,1,0)</f>
        <v>0</v>
      </c>
      <c r="S701">
        <f t="shared" si="20"/>
        <v>1</v>
      </c>
      <c r="T701">
        <f t="shared" si="21"/>
        <v>1</v>
      </c>
    </row>
    <row r="702" spans="1:20" x14ac:dyDescent="0.2">
      <c r="A702" t="s">
        <v>834</v>
      </c>
      <c r="B702">
        <f>IF(COUNTIFS('United Data'!$A$3:$A$3390,B$1,'United Data'!$C$3:$C$3390,$A702)&gt;0,1,0)</f>
        <v>0</v>
      </c>
      <c r="C702">
        <f>IF(COUNTIFS('United Data'!$A$3:$A$3390,C$1,'United Data'!$C$3:$C$3390,$A702)&gt;0,1,0)</f>
        <v>1</v>
      </c>
      <c r="D702">
        <f>IF(COUNTIFS('United Data'!$A$3:$A$3390,D$1,'United Data'!$C$3:$C$3390,$A702)&gt;0,1,0)</f>
        <v>0</v>
      </c>
      <c r="E702">
        <f>IF(COUNTIFS('United Data'!$A$3:$A$3390,E$1,'United Data'!$C$3:$C$3390,$A702)&gt;0,1,0)</f>
        <v>0</v>
      </c>
      <c r="F702">
        <f>IF(COUNTIFS('United Data'!$A$3:$A$3390,F$1,'United Data'!$C$3:$C$3390,$A702)&gt;0,1,0)</f>
        <v>0</v>
      </c>
      <c r="G702">
        <f>IF(COUNTIFS('United Data'!$A$3:$A$3390,G$1,'United Data'!$C$3:$C$3390,$A702)&gt;0,1,0)</f>
        <v>0</v>
      </c>
      <c r="H702">
        <f>IF(COUNTIFS('United Data'!$A$3:$A$3390,H$1,'United Data'!$C$3:$C$3390,$A702)&gt;0,1,0)</f>
        <v>0</v>
      </c>
      <c r="I702">
        <f>IF(COUNTIFS('United Data'!$A$3:$A$3390,I$1,'United Data'!$C$3:$C$3390,$A702)&gt;0,1,0)</f>
        <v>0</v>
      </c>
      <c r="J702">
        <f>IF(COUNTIFS('United Data'!$A$3:$A$3390,J$1,'United Data'!$C$3:$C$3390,$A702)&gt;0,1,0)</f>
        <v>0</v>
      </c>
      <c r="K702">
        <f>IF(COUNTIFS('United Data'!$A$3:$A$3390,K$1,'United Data'!$C$3:$C$3390,$A702)&gt;0,1,0)</f>
        <v>0</v>
      </c>
      <c r="L702">
        <f>IF(COUNTIFS('United Data'!$A$3:$A$3390,L$1,'United Data'!$C$3:$C$3390,$A702)&gt;0,1,0)</f>
        <v>0</v>
      </c>
      <c r="M702">
        <f>IF(COUNTIFS('United Data'!$A$3:$A$3390,M$1,'United Data'!$C$3:$C$3390,$A702)&gt;0,1,0)</f>
        <v>0</v>
      </c>
      <c r="N702">
        <f>IF(COUNTIFS('United Data'!$A$3:$A$3390,N$1,'United Data'!$C$3:$C$3390,$A702)&gt;0,1,0)</f>
        <v>0</v>
      </c>
      <c r="O702">
        <f>IF(COUNTIFS('United Data'!$A$3:$A$3390,O$1,'United Data'!$C$3:$C$3390,$A702)&gt;0,1,0)</f>
        <v>0</v>
      </c>
      <c r="P702">
        <f>IF(COUNTIFS('United Data'!$A$3:$A$3390,P$1,'United Data'!$C$3:$C$3390,$A702)&gt;0,1,0)</f>
        <v>0</v>
      </c>
      <c r="Q702">
        <f>IF(COUNTIFS('United Data'!$A$3:$A$3390,Q$1,'United Data'!$C$3:$C$3390,$A702)&gt;0,1,0)</f>
        <v>0</v>
      </c>
      <c r="R702">
        <f>IF(COUNTIFS('United Data'!$A$3:$A$3390,R$1,'United Data'!$C$3:$C$3390,$A702)&gt;0,1,0)</f>
        <v>0</v>
      </c>
      <c r="S702">
        <f t="shared" si="20"/>
        <v>1</v>
      </c>
      <c r="T702">
        <f t="shared" si="21"/>
        <v>1</v>
      </c>
    </row>
    <row r="703" spans="1:20" x14ac:dyDescent="0.2">
      <c r="A703" t="s">
        <v>835</v>
      </c>
      <c r="B703">
        <f>IF(COUNTIFS('United Data'!$A$3:$A$3390,B$1,'United Data'!$C$3:$C$3390,$A703)&gt;0,1,0)</f>
        <v>0</v>
      </c>
      <c r="C703">
        <f>IF(COUNTIFS('United Data'!$A$3:$A$3390,C$1,'United Data'!$C$3:$C$3390,$A703)&gt;0,1,0)</f>
        <v>1</v>
      </c>
      <c r="D703">
        <f>IF(COUNTIFS('United Data'!$A$3:$A$3390,D$1,'United Data'!$C$3:$C$3390,$A703)&gt;0,1,0)</f>
        <v>0</v>
      </c>
      <c r="E703">
        <f>IF(COUNTIFS('United Data'!$A$3:$A$3390,E$1,'United Data'!$C$3:$C$3390,$A703)&gt;0,1,0)</f>
        <v>1</v>
      </c>
      <c r="F703">
        <f>IF(COUNTIFS('United Data'!$A$3:$A$3390,F$1,'United Data'!$C$3:$C$3390,$A703)&gt;0,1,0)</f>
        <v>0</v>
      </c>
      <c r="G703">
        <f>IF(COUNTIFS('United Data'!$A$3:$A$3390,G$1,'United Data'!$C$3:$C$3390,$A703)&gt;0,1,0)</f>
        <v>0</v>
      </c>
      <c r="H703">
        <f>IF(COUNTIFS('United Data'!$A$3:$A$3390,H$1,'United Data'!$C$3:$C$3390,$A703)&gt;0,1,0)</f>
        <v>0</v>
      </c>
      <c r="I703">
        <f>IF(COUNTIFS('United Data'!$A$3:$A$3390,I$1,'United Data'!$C$3:$C$3390,$A703)&gt;0,1,0)</f>
        <v>0</v>
      </c>
      <c r="J703">
        <f>IF(COUNTIFS('United Data'!$A$3:$A$3390,J$1,'United Data'!$C$3:$C$3390,$A703)&gt;0,1,0)</f>
        <v>1</v>
      </c>
      <c r="K703">
        <f>IF(COUNTIFS('United Data'!$A$3:$A$3390,K$1,'United Data'!$C$3:$C$3390,$A703)&gt;0,1,0)</f>
        <v>0</v>
      </c>
      <c r="L703">
        <f>IF(COUNTIFS('United Data'!$A$3:$A$3390,L$1,'United Data'!$C$3:$C$3390,$A703)&gt;0,1,0)</f>
        <v>1</v>
      </c>
      <c r="M703">
        <f>IF(COUNTIFS('United Data'!$A$3:$A$3390,M$1,'United Data'!$C$3:$C$3390,$A703)&gt;0,1,0)</f>
        <v>0</v>
      </c>
      <c r="N703">
        <f>IF(COUNTIFS('United Data'!$A$3:$A$3390,N$1,'United Data'!$C$3:$C$3390,$A703)&gt;0,1,0)</f>
        <v>1</v>
      </c>
      <c r="O703">
        <f>IF(COUNTIFS('United Data'!$A$3:$A$3390,O$1,'United Data'!$C$3:$C$3390,$A703)&gt;0,1,0)</f>
        <v>1</v>
      </c>
      <c r="P703">
        <f>IF(COUNTIFS('United Data'!$A$3:$A$3390,P$1,'United Data'!$C$3:$C$3390,$A703)&gt;0,1,0)</f>
        <v>1</v>
      </c>
      <c r="Q703">
        <f>IF(COUNTIFS('United Data'!$A$3:$A$3390,Q$1,'United Data'!$C$3:$C$3390,$A703)&gt;0,1,0)</f>
        <v>0</v>
      </c>
      <c r="R703">
        <f>IF(COUNTIFS('United Data'!$A$3:$A$3390,R$1,'United Data'!$C$3:$C$3390,$A703)&gt;0,1,0)</f>
        <v>0</v>
      </c>
      <c r="S703">
        <f t="shared" si="20"/>
        <v>7</v>
      </c>
      <c r="T703">
        <f t="shared" si="21"/>
        <v>5</v>
      </c>
    </row>
    <row r="704" spans="1:20" x14ac:dyDescent="0.2">
      <c r="A704" t="s">
        <v>836</v>
      </c>
      <c r="B704">
        <f>IF(COUNTIFS('United Data'!$A$3:$A$3390,B$1,'United Data'!$C$3:$C$3390,$A704)&gt;0,1,0)</f>
        <v>0</v>
      </c>
      <c r="C704">
        <f>IF(COUNTIFS('United Data'!$A$3:$A$3390,C$1,'United Data'!$C$3:$C$3390,$A704)&gt;0,1,0)</f>
        <v>0</v>
      </c>
      <c r="D704">
        <f>IF(COUNTIFS('United Data'!$A$3:$A$3390,D$1,'United Data'!$C$3:$C$3390,$A704)&gt;0,1,0)</f>
        <v>1</v>
      </c>
      <c r="E704">
        <f>IF(COUNTIFS('United Data'!$A$3:$A$3390,E$1,'United Data'!$C$3:$C$3390,$A704)&gt;0,1,0)</f>
        <v>0</v>
      </c>
      <c r="F704">
        <f>IF(COUNTIFS('United Data'!$A$3:$A$3390,F$1,'United Data'!$C$3:$C$3390,$A704)&gt;0,1,0)</f>
        <v>0</v>
      </c>
      <c r="G704">
        <f>IF(COUNTIFS('United Data'!$A$3:$A$3390,G$1,'United Data'!$C$3:$C$3390,$A704)&gt;0,1,0)</f>
        <v>0</v>
      </c>
      <c r="H704">
        <f>IF(COUNTIFS('United Data'!$A$3:$A$3390,H$1,'United Data'!$C$3:$C$3390,$A704)&gt;0,1,0)</f>
        <v>0</v>
      </c>
      <c r="I704">
        <f>IF(COUNTIFS('United Data'!$A$3:$A$3390,I$1,'United Data'!$C$3:$C$3390,$A704)&gt;0,1,0)</f>
        <v>0</v>
      </c>
      <c r="J704">
        <f>IF(COUNTIFS('United Data'!$A$3:$A$3390,J$1,'United Data'!$C$3:$C$3390,$A704)&gt;0,1,0)</f>
        <v>0</v>
      </c>
      <c r="K704">
        <f>IF(COUNTIFS('United Data'!$A$3:$A$3390,K$1,'United Data'!$C$3:$C$3390,$A704)&gt;0,1,0)</f>
        <v>0</v>
      </c>
      <c r="L704">
        <f>IF(COUNTIFS('United Data'!$A$3:$A$3390,L$1,'United Data'!$C$3:$C$3390,$A704)&gt;0,1,0)</f>
        <v>0</v>
      </c>
      <c r="M704">
        <f>IF(COUNTIFS('United Data'!$A$3:$A$3390,M$1,'United Data'!$C$3:$C$3390,$A704)&gt;0,1,0)</f>
        <v>0</v>
      </c>
      <c r="N704">
        <f>IF(COUNTIFS('United Data'!$A$3:$A$3390,N$1,'United Data'!$C$3:$C$3390,$A704)&gt;0,1,0)</f>
        <v>0</v>
      </c>
      <c r="O704">
        <f>IF(COUNTIFS('United Data'!$A$3:$A$3390,O$1,'United Data'!$C$3:$C$3390,$A704)&gt;0,1,0)</f>
        <v>0</v>
      </c>
      <c r="P704">
        <f>IF(COUNTIFS('United Data'!$A$3:$A$3390,P$1,'United Data'!$C$3:$C$3390,$A704)&gt;0,1,0)</f>
        <v>0</v>
      </c>
      <c r="Q704">
        <f>IF(COUNTIFS('United Data'!$A$3:$A$3390,Q$1,'United Data'!$C$3:$C$3390,$A704)&gt;0,1,0)</f>
        <v>0</v>
      </c>
      <c r="R704">
        <f>IF(COUNTIFS('United Data'!$A$3:$A$3390,R$1,'United Data'!$C$3:$C$3390,$A704)&gt;0,1,0)</f>
        <v>0</v>
      </c>
      <c r="S704">
        <f t="shared" si="20"/>
        <v>1</v>
      </c>
      <c r="T704">
        <f t="shared" si="21"/>
        <v>1</v>
      </c>
    </row>
    <row r="705" spans="1:20" x14ac:dyDescent="0.2">
      <c r="A705" t="s">
        <v>837</v>
      </c>
      <c r="B705">
        <f>IF(COUNTIFS('United Data'!$A$3:$A$3390,B$1,'United Data'!$C$3:$C$3390,$A705)&gt;0,1,0)</f>
        <v>0</v>
      </c>
      <c r="C705">
        <f>IF(COUNTIFS('United Data'!$A$3:$A$3390,C$1,'United Data'!$C$3:$C$3390,$A705)&gt;0,1,0)</f>
        <v>0</v>
      </c>
      <c r="D705">
        <f>IF(COUNTIFS('United Data'!$A$3:$A$3390,D$1,'United Data'!$C$3:$C$3390,$A705)&gt;0,1,0)</f>
        <v>1</v>
      </c>
      <c r="E705">
        <f>IF(COUNTIFS('United Data'!$A$3:$A$3390,E$1,'United Data'!$C$3:$C$3390,$A705)&gt;0,1,0)</f>
        <v>0</v>
      </c>
      <c r="F705">
        <f>IF(COUNTIFS('United Data'!$A$3:$A$3390,F$1,'United Data'!$C$3:$C$3390,$A705)&gt;0,1,0)</f>
        <v>0</v>
      </c>
      <c r="G705">
        <f>IF(COUNTIFS('United Data'!$A$3:$A$3390,G$1,'United Data'!$C$3:$C$3390,$A705)&gt;0,1,0)</f>
        <v>0</v>
      </c>
      <c r="H705">
        <f>IF(COUNTIFS('United Data'!$A$3:$A$3390,H$1,'United Data'!$C$3:$C$3390,$A705)&gt;0,1,0)</f>
        <v>0</v>
      </c>
      <c r="I705">
        <f>IF(COUNTIFS('United Data'!$A$3:$A$3390,I$1,'United Data'!$C$3:$C$3390,$A705)&gt;0,1,0)</f>
        <v>0</v>
      </c>
      <c r="J705">
        <f>IF(COUNTIFS('United Data'!$A$3:$A$3390,J$1,'United Data'!$C$3:$C$3390,$A705)&gt;0,1,0)</f>
        <v>0</v>
      </c>
      <c r="K705">
        <f>IF(COUNTIFS('United Data'!$A$3:$A$3390,K$1,'United Data'!$C$3:$C$3390,$A705)&gt;0,1,0)</f>
        <v>0</v>
      </c>
      <c r="L705">
        <f>IF(COUNTIFS('United Data'!$A$3:$A$3390,L$1,'United Data'!$C$3:$C$3390,$A705)&gt;0,1,0)</f>
        <v>0</v>
      </c>
      <c r="M705">
        <f>IF(COUNTIFS('United Data'!$A$3:$A$3390,M$1,'United Data'!$C$3:$C$3390,$A705)&gt;0,1,0)</f>
        <v>0</v>
      </c>
      <c r="N705">
        <f>IF(COUNTIFS('United Data'!$A$3:$A$3390,N$1,'United Data'!$C$3:$C$3390,$A705)&gt;0,1,0)</f>
        <v>0</v>
      </c>
      <c r="O705">
        <f>IF(COUNTIFS('United Data'!$A$3:$A$3390,O$1,'United Data'!$C$3:$C$3390,$A705)&gt;0,1,0)</f>
        <v>0</v>
      </c>
      <c r="P705">
        <f>IF(COUNTIFS('United Data'!$A$3:$A$3390,P$1,'United Data'!$C$3:$C$3390,$A705)&gt;0,1,0)</f>
        <v>0</v>
      </c>
      <c r="Q705">
        <f>IF(COUNTIFS('United Data'!$A$3:$A$3390,Q$1,'United Data'!$C$3:$C$3390,$A705)&gt;0,1,0)</f>
        <v>0</v>
      </c>
      <c r="R705">
        <f>IF(COUNTIFS('United Data'!$A$3:$A$3390,R$1,'United Data'!$C$3:$C$3390,$A705)&gt;0,1,0)</f>
        <v>0</v>
      </c>
      <c r="S705">
        <f t="shared" si="20"/>
        <v>1</v>
      </c>
      <c r="T705">
        <f t="shared" si="21"/>
        <v>1</v>
      </c>
    </row>
    <row r="706" spans="1:20" x14ac:dyDescent="0.2">
      <c r="A706" t="s">
        <v>838</v>
      </c>
      <c r="B706">
        <f>IF(COUNTIFS('United Data'!$A$3:$A$3390,B$1,'United Data'!$C$3:$C$3390,$A706)&gt;0,1,0)</f>
        <v>0</v>
      </c>
      <c r="C706">
        <f>IF(COUNTIFS('United Data'!$A$3:$A$3390,C$1,'United Data'!$C$3:$C$3390,$A706)&gt;0,1,0)</f>
        <v>0</v>
      </c>
      <c r="D706">
        <f>IF(COUNTIFS('United Data'!$A$3:$A$3390,D$1,'United Data'!$C$3:$C$3390,$A706)&gt;0,1,0)</f>
        <v>1</v>
      </c>
      <c r="E706">
        <f>IF(COUNTIFS('United Data'!$A$3:$A$3390,E$1,'United Data'!$C$3:$C$3390,$A706)&gt;0,1,0)</f>
        <v>0</v>
      </c>
      <c r="F706">
        <f>IF(COUNTIFS('United Data'!$A$3:$A$3390,F$1,'United Data'!$C$3:$C$3390,$A706)&gt;0,1,0)</f>
        <v>0</v>
      </c>
      <c r="G706">
        <f>IF(COUNTIFS('United Data'!$A$3:$A$3390,G$1,'United Data'!$C$3:$C$3390,$A706)&gt;0,1,0)</f>
        <v>0</v>
      </c>
      <c r="H706">
        <f>IF(COUNTIFS('United Data'!$A$3:$A$3390,H$1,'United Data'!$C$3:$C$3390,$A706)&gt;0,1,0)</f>
        <v>0</v>
      </c>
      <c r="I706">
        <f>IF(COUNTIFS('United Data'!$A$3:$A$3390,I$1,'United Data'!$C$3:$C$3390,$A706)&gt;0,1,0)</f>
        <v>0</v>
      </c>
      <c r="J706">
        <f>IF(COUNTIFS('United Data'!$A$3:$A$3390,J$1,'United Data'!$C$3:$C$3390,$A706)&gt;0,1,0)</f>
        <v>0</v>
      </c>
      <c r="K706">
        <f>IF(COUNTIFS('United Data'!$A$3:$A$3390,K$1,'United Data'!$C$3:$C$3390,$A706)&gt;0,1,0)</f>
        <v>0</v>
      </c>
      <c r="L706">
        <f>IF(COUNTIFS('United Data'!$A$3:$A$3390,L$1,'United Data'!$C$3:$C$3390,$A706)&gt;0,1,0)</f>
        <v>0</v>
      </c>
      <c r="M706">
        <f>IF(COUNTIFS('United Data'!$A$3:$A$3390,M$1,'United Data'!$C$3:$C$3390,$A706)&gt;0,1,0)</f>
        <v>0</v>
      </c>
      <c r="N706">
        <f>IF(COUNTIFS('United Data'!$A$3:$A$3390,N$1,'United Data'!$C$3:$C$3390,$A706)&gt;0,1,0)</f>
        <v>0</v>
      </c>
      <c r="O706">
        <f>IF(COUNTIFS('United Data'!$A$3:$A$3390,O$1,'United Data'!$C$3:$C$3390,$A706)&gt;0,1,0)</f>
        <v>0</v>
      </c>
      <c r="P706">
        <f>IF(COUNTIFS('United Data'!$A$3:$A$3390,P$1,'United Data'!$C$3:$C$3390,$A706)&gt;0,1,0)</f>
        <v>0</v>
      </c>
      <c r="Q706">
        <f>IF(COUNTIFS('United Data'!$A$3:$A$3390,Q$1,'United Data'!$C$3:$C$3390,$A706)&gt;0,1,0)</f>
        <v>0</v>
      </c>
      <c r="R706">
        <f>IF(COUNTIFS('United Data'!$A$3:$A$3390,R$1,'United Data'!$C$3:$C$3390,$A706)&gt;0,1,0)</f>
        <v>0</v>
      </c>
      <c r="S706">
        <f t="shared" ref="S706:S769" si="22">SUM(B706:R706)</f>
        <v>1</v>
      </c>
      <c r="T706">
        <f t="shared" ref="T706:T769" si="23">B706+SUMPRODUCT(--(C706:R706&gt;B706:Q706))</f>
        <v>1</v>
      </c>
    </row>
    <row r="707" spans="1:20" x14ac:dyDescent="0.2">
      <c r="A707" t="s">
        <v>839</v>
      </c>
      <c r="B707">
        <f>IF(COUNTIFS('United Data'!$A$3:$A$3390,B$1,'United Data'!$C$3:$C$3390,$A707)&gt;0,1,0)</f>
        <v>0</v>
      </c>
      <c r="C707">
        <f>IF(COUNTIFS('United Data'!$A$3:$A$3390,C$1,'United Data'!$C$3:$C$3390,$A707)&gt;0,1,0)</f>
        <v>0</v>
      </c>
      <c r="D707">
        <f>IF(COUNTIFS('United Data'!$A$3:$A$3390,D$1,'United Data'!$C$3:$C$3390,$A707)&gt;0,1,0)</f>
        <v>1</v>
      </c>
      <c r="E707">
        <f>IF(COUNTIFS('United Data'!$A$3:$A$3390,E$1,'United Data'!$C$3:$C$3390,$A707)&gt;0,1,0)</f>
        <v>1</v>
      </c>
      <c r="F707">
        <f>IF(COUNTIFS('United Data'!$A$3:$A$3390,F$1,'United Data'!$C$3:$C$3390,$A707)&gt;0,1,0)</f>
        <v>0</v>
      </c>
      <c r="G707">
        <f>IF(COUNTIFS('United Data'!$A$3:$A$3390,G$1,'United Data'!$C$3:$C$3390,$A707)&gt;0,1,0)</f>
        <v>0</v>
      </c>
      <c r="H707">
        <f>IF(COUNTIFS('United Data'!$A$3:$A$3390,H$1,'United Data'!$C$3:$C$3390,$A707)&gt;0,1,0)</f>
        <v>0</v>
      </c>
      <c r="I707">
        <f>IF(COUNTIFS('United Data'!$A$3:$A$3390,I$1,'United Data'!$C$3:$C$3390,$A707)&gt;0,1,0)</f>
        <v>1</v>
      </c>
      <c r="J707">
        <f>IF(COUNTIFS('United Data'!$A$3:$A$3390,J$1,'United Data'!$C$3:$C$3390,$A707)&gt;0,1,0)</f>
        <v>1</v>
      </c>
      <c r="K707">
        <f>IF(COUNTIFS('United Data'!$A$3:$A$3390,K$1,'United Data'!$C$3:$C$3390,$A707)&gt;0,1,0)</f>
        <v>0</v>
      </c>
      <c r="L707">
        <f>IF(COUNTIFS('United Data'!$A$3:$A$3390,L$1,'United Data'!$C$3:$C$3390,$A707)&gt;0,1,0)</f>
        <v>0</v>
      </c>
      <c r="M707">
        <f>IF(COUNTIFS('United Data'!$A$3:$A$3390,M$1,'United Data'!$C$3:$C$3390,$A707)&gt;0,1,0)</f>
        <v>1</v>
      </c>
      <c r="N707">
        <f>IF(COUNTIFS('United Data'!$A$3:$A$3390,N$1,'United Data'!$C$3:$C$3390,$A707)&gt;0,1,0)</f>
        <v>0</v>
      </c>
      <c r="O707">
        <f>IF(COUNTIFS('United Data'!$A$3:$A$3390,O$1,'United Data'!$C$3:$C$3390,$A707)&gt;0,1,0)</f>
        <v>1</v>
      </c>
      <c r="P707">
        <f>IF(COUNTIFS('United Data'!$A$3:$A$3390,P$1,'United Data'!$C$3:$C$3390,$A707)&gt;0,1,0)</f>
        <v>0</v>
      </c>
      <c r="Q707">
        <f>IF(COUNTIFS('United Data'!$A$3:$A$3390,Q$1,'United Data'!$C$3:$C$3390,$A707)&gt;0,1,0)</f>
        <v>0</v>
      </c>
      <c r="R707">
        <f>IF(COUNTIFS('United Data'!$A$3:$A$3390,R$1,'United Data'!$C$3:$C$3390,$A707)&gt;0,1,0)</f>
        <v>0</v>
      </c>
      <c r="S707">
        <f t="shared" si="22"/>
        <v>6</v>
      </c>
      <c r="T707">
        <f t="shared" si="23"/>
        <v>4</v>
      </c>
    </row>
    <row r="708" spans="1:20" x14ac:dyDescent="0.2">
      <c r="A708" t="s">
        <v>840</v>
      </c>
      <c r="B708">
        <f>IF(COUNTIFS('United Data'!$A$3:$A$3390,B$1,'United Data'!$C$3:$C$3390,$A708)&gt;0,1,0)</f>
        <v>0</v>
      </c>
      <c r="C708">
        <f>IF(COUNTIFS('United Data'!$A$3:$A$3390,C$1,'United Data'!$C$3:$C$3390,$A708)&gt;0,1,0)</f>
        <v>0</v>
      </c>
      <c r="D708">
        <f>IF(COUNTIFS('United Data'!$A$3:$A$3390,D$1,'United Data'!$C$3:$C$3390,$A708)&gt;0,1,0)</f>
        <v>1</v>
      </c>
      <c r="E708">
        <f>IF(COUNTIFS('United Data'!$A$3:$A$3390,E$1,'United Data'!$C$3:$C$3390,$A708)&gt;0,1,0)</f>
        <v>1</v>
      </c>
      <c r="F708">
        <f>IF(COUNTIFS('United Data'!$A$3:$A$3390,F$1,'United Data'!$C$3:$C$3390,$A708)&gt;0,1,0)</f>
        <v>0</v>
      </c>
      <c r="G708">
        <f>IF(COUNTIFS('United Data'!$A$3:$A$3390,G$1,'United Data'!$C$3:$C$3390,$A708)&gt;0,1,0)</f>
        <v>0</v>
      </c>
      <c r="H708">
        <f>IF(COUNTIFS('United Data'!$A$3:$A$3390,H$1,'United Data'!$C$3:$C$3390,$A708)&gt;0,1,0)</f>
        <v>0</v>
      </c>
      <c r="I708">
        <f>IF(COUNTIFS('United Data'!$A$3:$A$3390,I$1,'United Data'!$C$3:$C$3390,$A708)&gt;0,1,0)</f>
        <v>0</v>
      </c>
      <c r="J708">
        <f>IF(COUNTIFS('United Data'!$A$3:$A$3390,J$1,'United Data'!$C$3:$C$3390,$A708)&gt;0,1,0)</f>
        <v>0</v>
      </c>
      <c r="K708">
        <f>IF(COUNTIFS('United Data'!$A$3:$A$3390,K$1,'United Data'!$C$3:$C$3390,$A708)&gt;0,1,0)</f>
        <v>0</v>
      </c>
      <c r="L708">
        <f>IF(COUNTIFS('United Data'!$A$3:$A$3390,L$1,'United Data'!$C$3:$C$3390,$A708)&gt;0,1,0)</f>
        <v>0</v>
      </c>
      <c r="M708">
        <f>IF(COUNTIFS('United Data'!$A$3:$A$3390,M$1,'United Data'!$C$3:$C$3390,$A708)&gt;0,1,0)</f>
        <v>1</v>
      </c>
      <c r="N708">
        <f>IF(COUNTIFS('United Data'!$A$3:$A$3390,N$1,'United Data'!$C$3:$C$3390,$A708)&gt;0,1,0)</f>
        <v>0</v>
      </c>
      <c r="O708">
        <f>IF(COUNTIFS('United Data'!$A$3:$A$3390,O$1,'United Data'!$C$3:$C$3390,$A708)&gt;0,1,0)</f>
        <v>0</v>
      </c>
      <c r="P708">
        <f>IF(COUNTIFS('United Data'!$A$3:$A$3390,P$1,'United Data'!$C$3:$C$3390,$A708)&gt;0,1,0)</f>
        <v>0</v>
      </c>
      <c r="Q708">
        <f>IF(COUNTIFS('United Data'!$A$3:$A$3390,Q$1,'United Data'!$C$3:$C$3390,$A708)&gt;0,1,0)</f>
        <v>0</v>
      </c>
      <c r="R708">
        <f>IF(COUNTIFS('United Data'!$A$3:$A$3390,R$1,'United Data'!$C$3:$C$3390,$A708)&gt;0,1,0)</f>
        <v>0</v>
      </c>
      <c r="S708">
        <f t="shared" si="22"/>
        <v>3</v>
      </c>
      <c r="T708">
        <f t="shared" si="23"/>
        <v>2</v>
      </c>
    </row>
    <row r="709" spans="1:20" x14ac:dyDescent="0.2">
      <c r="A709" t="s">
        <v>842</v>
      </c>
      <c r="B709">
        <f>IF(COUNTIFS('United Data'!$A$3:$A$3390,B$1,'United Data'!$C$3:$C$3390,$A709)&gt;0,1,0)</f>
        <v>0</v>
      </c>
      <c r="C709">
        <f>IF(COUNTIFS('United Data'!$A$3:$A$3390,C$1,'United Data'!$C$3:$C$3390,$A709)&gt;0,1,0)</f>
        <v>0</v>
      </c>
      <c r="D709">
        <f>IF(COUNTIFS('United Data'!$A$3:$A$3390,D$1,'United Data'!$C$3:$C$3390,$A709)&gt;0,1,0)</f>
        <v>1</v>
      </c>
      <c r="E709">
        <f>IF(COUNTIFS('United Data'!$A$3:$A$3390,E$1,'United Data'!$C$3:$C$3390,$A709)&gt;0,1,0)</f>
        <v>1</v>
      </c>
      <c r="F709">
        <f>IF(COUNTIFS('United Data'!$A$3:$A$3390,F$1,'United Data'!$C$3:$C$3390,$A709)&gt;0,1,0)</f>
        <v>1</v>
      </c>
      <c r="G709">
        <f>IF(COUNTIFS('United Data'!$A$3:$A$3390,G$1,'United Data'!$C$3:$C$3390,$A709)&gt;0,1,0)</f>
        <v>0</v>
      </c>
      <c r="H709">
        <f>IF(COUNTIFS('United Data'!$A$3:$A$3390,H$1,'United Data'!$C$3:$C$3390,$A709)&gt;0,1,0)</f>
        <v>1</v>
      </c>
      <c r="I709">
        <f>IF(COUNTIFS('United Data'!$A$3:$A$3390,I$1,'United Data'!$C$3:$C$3390,$A709)&gt;0,1,0)</f>
        <v>0</v>
      </c>
      <c r="J709">
        <f>IF(COUNTIFS('United Data'!$A$3:$A$3390,J$1,'United Data'!$C$3:$C$3390,$A709)&gt;0,1,0)</f>
        <v>0</v>
      </c>
      <c r="K709">
        <f>IF(COUNTIFS('United Data'!$A$3:$A$3390,K$1,'United Data'!$C$3:$C$3390,$A709)&gt;0,1,0)</f>
        <v>0</v>
      </c>
      <c r="L709">
        <f>IF(COUNTIFS('United Data'!$A$3:$A$3390,L$1,'United Data'!$C$3:$C$3390,$A709)&gt;0,1,0)</f>
        <v>0</v>
      </c>
      <c r="M709">
        <f>IF(COUNTIFS('United Data'!$A$3:$A$3390,M$1,'United Data'!$C$3:$C$3390,$A709)&gt;0,1,0)</f>
        <v>0</v>
      </c>
      <c r="N709">
        <f>IF(COUNTIFS('United Data'!$A$3:$A$3390,N$1,'United Data'!$C$3:$C$3390,$A709)&gt;0,1,0)</f>
        <v>0</v>
      </c>
      <c r="O709">
        <f>IF(COUNTIFS('United Data'!$A$3:$A$3390,O$1,'United Data'!$C$3:$C$3390,$A709)&gt;0,1,0)</f>
        <v>0</v>
      </c>
      <c r="P709">
        <f>IF(COUNTIFS('United Data'!$A$3:$A$3390,P$1,'United Data'!$C$3:$C$3390,$A709)&gt;0,1,0)</f>
        <v>0</v>
      </c>
      <c r="Q709">
        <f>IF(COUNTIFS('United Data'!$A$3:$A$3390,Q$1,'United Data'!$C$3:$C$3390,$A709)&gt;0,1,0)</f>
        <v>0</v>
      </c>
      <c r="R709">
        <f>IF(COUNTIFS('United Data'!$A$3:$A$3390,R$1,'United Data'!$C$3:$C$3390,$A709)&gt;0,1,0)</f>
        <v>0</v>
      </c>
      <c r="S709">
        <f t="shared" si="22"/>
        <v>4</v>
      </c>
      <c r="T709">
        <f t="shared" si="23"/>
        <v>2</v>
      </c>
    </row>
    <row r="710" spans="1:20" x14ac:dyDescent="0.2">
      <c r="A710" t="s">
        <v>843</v>
      </c>
      <c r="B710">
        <f>IF(COUNTIFS('United Data'!$A$3:$A$3390,B$1,'United Data'!$C$3:$C$3390,$A710)&gt;0,1,0)</f>
        <v>0</v>
      </c>
      <c r="C710">
        <f>IF(COUNTIFS('United Data'!$A$3:$A$3390,C$1,'United Data'!$C$3:$C$3390,$A710)&gt;0,1,0)</f>
        <v>0</v>
      </c>
      <c r="D710">
        <f>IF(COUNTIFS('United Data'!$A$3:$A$3390,D$1,'United Data'!$C$3:$C$3390,$A710)&gt;0,1,0)</f>
        <v>1</v>
      </c>
      <c r="E710">
        <f>IF(COUNTIFS('United Data'!$A$3:$A$3390,E$1,'United Data'!$C$3:$C$3390,$A710)&gt;0,1,0)</f>
        <v>0</v>
      </c>
      <c r="F710">
        <f>IF(COUNTIFS('United Data'!$A$3:$A$3390,F$1,'United Data'!$C$3:$C$3390,$A710)&gt;0,1,0)</f>
        <v>1</v>
      </c>
      <c r="G710">
        <f>IF(COUNTIFS('United Data'!$A$3:$A$3390,G$1,'United Data'!$C$3:$C$3390,$A710)&gt;0,1,0)</f>
        <v>0</v>
      </c>
      <c r="H710">
        <f>IF(COUNTIFS('United Data'!$A$3:$A$3390,H$1,'United Data'!$C$3:$C$3390,$A710)&gt;0,1,0)</f>
        <v>0</v>
      </c>
      <c r="I710">
        <f>IF(COUNTIFS('United Data'!$A$3:$A$3390,I$1,'United Data'!$C$3:$C$3390,$A710)&gt;0,1,0)</f>
        <v>0</v>
      </c>
      <c r="J710">
        <f>IF(COUNTIFS('United Data'!$A$3:$A$3390,J$1,'United Data'!$C$3:$C$3390,$A710)&gt;0,1,0)</f>
        <v>0</v>
      </c>
      <c r="K710">
        <f>IF(COUNTIFS('United Data'!$A$3:$A$3390,K$1,'United Data'!$C$3:$C$3390,$A710)&gt;0,1,0)</f>
        <v>0</v>
      </c>
      <c r="L710">
        <f>IF(COUNTIFS('United Data'!$A$3:$A$3390,L$1,'United Data'!$C$3:$C$3390,$A710)&gt;0,1,0)</f>
        <v>0</v>
      </c>
      <c r="M710">
        <f>IF(COUNTIFS('United Data'!$A$3:$A$3390,M$1,'United Data'!$C$3:$C$3390,$A710)&gt;0,1,0)</f>
        <v>0</v>
      </c>
      <c r="N710">
        <f>IF(COUNTIFS('United Data'!$A$3:$A$3390,N$1,'United Data'!$C$3:$C$3390,$A710)&gt;0,1,0)</f>
        <v>0</v>
      </c>
      <c r="O710">
        <f>IF(COUNTIFS('United Data'!$A$3:$A$3390,O$1,'United Data'!$C$3:$C$3390,$A710)&gt;0,1,0)</f>
        <v>0</v>
      </c>
      <c r="P710">
        <f>IF(COUNTIFS('United Data'!$A$3:$A$3390,P$1,'United Data'!$C$3:$C$3390,$A710)&gt;0,1,0)</f>
        <v>0</v>
      </c>
      <c r="Q710">
        <f>IF(COUNTIFS('United Data'!$A$3:$A$3390,Q$1,'United Data'!$C$3:$C$3390,$A710)&gt;0,1,0)</f>
        <v>0</v>
      </c>
      <c r="R710">
        <f>IF(COUNTIFS('United Data'!$A$3:$A$3390,R$1,'United Data'!$C$3:$C$3390,$A710)&gt;0,1,0)</f>
        <v>0</v>
      </c>
      <c r="S710">
        <f t="shared" si="22"/>
        <v>2</v>
      </c>
      <c r="T710">
        <f t="shared" si="23"/>
        <v>2</v>
      </c>
    </row>
    <row r="711" spans="1:20" x14ac:dyDescent="0.2">
      <c r="A711" t="s">
        <v>844</v>
      </c>
      <c r="B711">
        <f>IF(COUNTIFS('United Data'!$A$3:$A$3390,B$1,'United Data'!$C$3:$C$3390,$A711)&gt;0,1,0)</f>
        <v>0</v>
      </c>
      <c r="C711">
        <f>IF(COUNTIFS('United Data'!$A$3:$A$3390,C$1,'United Data'!$C$3:$C$3390,$A711)&gt;0,1,0)</f>
        <v>0</v>
      </c>
      <c r="D711">
        <f>IF(COUNTIFS('United Data'!$A$3:$A$3390,D$1,'United Data'!$C$3:$C$3390,$A711)&gt;0,1,0)</f>
        <v>1</v>
      </c>
      <c r="E711">
        <f>IF(COUNTIFS('United Data'!$A$3:$A$3390,E$1,'United Data'!$C$3:$C$3390,$A711)&gt;0,1,0)</f>
        <v>0</v>
      </c>
      <c r="F711">
        <f>IF(COUNTIFS('United Data'!$A$3:$A$3390,F$1,'United Data'!$C$3:$C$3390,$A711)&gt;0,1,0)</f>
        <v>0</v>
      </c>
      <c r="G711">
        <f>IF(COUNTIFS('United Data'!$A$3:$A$3390,G$1,'United Data'!$C$3:$C$3390,$A711)&gt;0,1,0)</f>
        <v>0</v>
      </c>
      <c r="H711">
        <f>IF(COUNTIFS('United Data'!$A$3:$A$3390,H$1,'United Data'!$C$3:$C$3390,$A711)&gt;0,1,0)</f>
        <v>0</v>
      </c>
      <c r="I711">
        <f>IF(COUNTIFS('United Data'!$A$3:$A$3390,I$1,'United Data'!$C$3:$C$3390,$A711)&gt;0,1,0)</f>
        <v>0</v>
      </c>
      <c r="J711">
        <f>IF(COUNTIFS('United Data'!$A$3:$A$3390,J$1,'United Data'!$C$3:$C$3390,$A711)&gt;0,1,0)</f>
        <v>0</v>
      </c>
      <c r="K711">
        <f>IF(COUNTIFS('United Data'!$A$3:$A$3390,K$1,'United Data'!$C$3:$C$3390,$A711)&gt;0,1,0)</f>
        <v>0</v>
      </c>
      <c r="L711">
        <f>IF(COUNTIFS('United Data'!$A$3:$A$3390,L$1,'United Data'!$C$3:$C$3390,$A711)&gt;0,1,0)</f>
        <v>0</v>
      </c>
      <c r="M711">
        <f>IF(COUNTIFS('United Data'!$A$3:$A$3390,M$1,'United Data'!$C$3:$C$3390,$A711)&gt;0,1,0)</f>
        <v>0</v>
      </c>
      <c r="N711">
        <f>IF(COUNTIFS('United Data'!$A$3:$A$3390,N$1,'United Data'!$C$3:$C$3390,$A711)&gt;0,1,0)</f>
        <v>0</v>
      </c>
      <c r="O711">
        <f>IF(COUNTIFS('United Data'!$A$3:$A$3390,O$1,'United Data'!$C$3:$C$3390,$A711)&gt;0,1,0)</f>
        <v>0</v>
      </c>
      <c r="P711">
        <f>IF(COUNTIFS('United Data'!$A$3:$A$3390,P$1,'United Data'!$C$3:$C$3390,$A711)&gt;0,1,0)</f>
        <v>0</v>
      </c>
      <c r="Q711">
        <f>IF(COUNTIFS('United Data'!$A$3:$A$3390,Q$1,'United Data'!$C$3:$C$3390,$A711)&gt;0,1,0)</f>
        <v>0</v>
      </c>
      <c r="R711">
        <f>IF(COUNTIFS('United Data'!$A$3:$A$3390,R$1,'United Data'!$C$3:$C$3390,$A711)&gt;0,1,0)</f>
        <v>0</v>
      </c>
      <c r="S711">
        <f t="shared" si="22"/>
        <v>1</v>
      </c>
      <c r="T711">
        <f t="shared" si="23"/>
        <v>1</v>
      </c>
    </row>
    <row r="712" spans="1:20" x14ac:dyDescent="0.2">
      <c r="A712" t="s">
        <v>848</v>
      </c>
      <c r="B712">
        <f>IF(COUNTIFS('United Data'!$A$3:$A$3390,B$1,'United Data'!$C$3:$C$3390,$A712)&gt;0,1,0)</f>
        <v>0</v>
      </c>
      <c r="C712">
        <f>IF(COUNTIFS('United Data'!$A$3:$A$3390,C$1,'United Data'!$C$3:$C$3390,$A712)&gt;0,1,0)</f>
        <v>0</v>
      </c>
      <c r="D712">
        <f>IF(COUNTIFS('United Data'!$A$3:$A$3390,D$1,'United Data'!$C$3:$C$3390,$A712)&gt;0,1,0)</f>
        <v>0</v>
      </c>
      <c r="E712">
        <f>IF(COUNTIFS('United Data'!$A$3:$A$3390,E$1,'United Data'!$C$3:$C$3390,$A712)&gt;0,1,0)</f>
        <v>1</v>
      </c>
      <c r="F712">
        <f>IF(COUNTIFS('United Data'!$A$3:$A$3390,F$1,'United Data'!$C$3:$C$3390,$A712)&gt;0,1,0)</f>
        <v>1</v>
      </c>
      <c r="G712">
        <f>IF(COUNTIFS('United Data'!$A$3:$A$3390,G$1,'United Data'!$C$3:$C$3390,$A712)&gt;0,1,0)</f>
        <v>0</v>
      </c>
      <c r="H712">
        <f>IF(COUNTIFS('United Data'!$A$3:$A$3390,H$1,'United Data'!$C$3:$C$3390,$A712)&gt;0,1,0)</f>
        <v>0</v>
      </c>
      <c r="I712">
        <f>IF(COUNTIFS('United Data'!$A$3:$A$3390,I$1,'United Data'!$C$3:$C$3390,$A712)&gt;0,1,0)</f>
        <v>0</v>
      </c>
      <c r="J712">
        <f>IF(COUNTIFS('United Data'!$A$3:$A$3390,J$1,'United Data'!$C$3:$C$3390,$A712)&gt;0,1,0)</f>
        <v>0</v>
      </c>
      <c r="K712">
        <f>IF(COUNTIFS('United Data'!$A$3:$A$3390,K$1,'United Data'!$C$3:$C$3390,$A712)&gt;0,1,0)</f>
        <v>0</v>
      </c>
      <c r="L712">
        <f>IF(COUNTIFS('United Data'!$A$3:$A$3390,L$1,'United Data'!$C$3:$C$3390,$A712)&gt;0,1,0)</f>
        <v>0</v>
      </c>
      <c r="M712">
        <f>IF(COUNTIFS('United Data'!$A$3:$A$3390,M$1,'United Data'!$C$3:$C$3390,$A712)&gt;0,1,0)</f>
        <v>0</v>
      </c>
      <c r="N712">
        <f>IF(COUNTIFS('United Data'!$A$3:$A$3390,N$1,'United Data'!$C$3:$C$3390,$A712)&gt;0,1,0)</f>
        <v>0</v>
      </c>
      <c r="O712">
        <f>IF(COUNTIFS('United Data'!$A$3:$A$3390,O$1,'United Data'!$C$3:$C$3390,$A712)&gt;0,1,0)</f>
        <v>0</v>
      </c>
      <c r="P712">
        <f>IF(COUNTIFS('United Data'!$A$3:$A$3390,P$1,'United Data'!$C$3:$C$3390,$A712)&gt;0,1,0)</f>
        <v>0</v>
      </c>
      <c r="Q712">
        <f>IF(COUNTIFS('United Data'!$A$3:$A$3390,Q$1,'United Data'!$C$3:$C$3390,$A712)&gt;0,1,0)</f>
        <v>0</v>
      </c>
      <c r="R712">
        <f>IF(COUNTIFS('United Data'!$A$3:$A$3390,R$1,'United Data'!$C$3:$C$3390,$A712)&gt;0,1,0)</f>
        <v>0</v>
      </c>
      <c r="S712">
        <f t="shared" si="22"/>
        <v>2</v>
      </c>
      <c r="T712">
        <f t="shared" si="23"/>
        <v>1</v>
      </c>
    </row>
    <row r="713" spans="1:20" x14ac:dyDescent="0.2">
      <c r="A713" t="s">
        <v>851</v>
      </c>
      <c r="B713">
        <f>IF(COUNTIFS('United Data'!$A$3:$A$3390,B$1,'United Data'!$C$3:$C$3390,$A713)&gt;0,1,0)</f>
        <v>0</v>
      </c>
      <c r="C713">
        <f>IF(COUNTIFS('United Data'!$A$3:$A$3390,C$1,'United Data'!$C$3:$C$3390,$A713)&gt;0,1,0)</f>
        <v>0</v>
      </c>
      <c r="D713">
        <f>IF(COUNTIFS('United Data'!$A$3:$A$3390,D$1,'United Data'!$C$3:$C$3390,$A713)&gt;0,1,0)</f>
        <v>0</v>
      </c>
      <c r="E713">
        <f>IF(COUNTIFS('United Data'!$A$3:$A$3390,E$1,'United Data'!$C$3:$C$3390,$A713)&gt;0,1,0)</f>
        <v>1</v>
      </c>
      <c r="F713">
        <f>IF(COUNTIFS('United Data'!$A$3:$A$3390,F$1,'United Data'!$C$3:$C$3390,$A713)&gt;0,1,0)</f>
        <v>0</v>
      </c>
      <c r="G713">
        <f>IF(COUNTIFS('United Data'!$A$3:$A$3390,G$1,'United Data'!$C$3:$C$3390,$A713)&gt;0,1,0)</f>
        <v>0</v>
      </c>
      <c r="H713">
        <f>IF(COUNTIFS('United Data'!$A$3:$A$3390,H$1,'United Data'!$C$3:$C$3390,$A713)&gt;0,1,0)</f>
        <v>0</v>
      </c>
      <c r="I713">
        <f>IF(COUNTIFS('United Data'!$A$3:$A$3390,I$1,'United Data'!$C$3:$C$3390,$A713)&gt;0,1,0)</f>
        <v>0</v>
      </c>
      <c r="J713">
        <f>IF(COUNTIFS('United Data'!$A$3:$A$3390,J$1,'United Data'!$C$3:$C$3390,$A713)&gt;0,1,0)</f>
        <v>0</v>
      </c>
      <c r="K713">
        <f>IF(COUNTIFS('United Data'!$A$3:$A$3390,K$1,'United Data'!$C$3:$C$3390,$A713)&gt;0,1,0)</f>
        <v>0</v>
      </c>
      <c r="L713">
        <f>IF(COUNTIFS('United Data'!$A$3:$A$3390,L$1,'United Data'!$C$3:$C$3390,$A713)&gt;0,1,0)</f>
        <v>0</v>
      </c>
      <c r="M713">
        <f>IF(COUNTIFS('United Data'!$A$3:$A$3390,M$1,'United Data'!$C$3:$C$3390,$A713)&gt;0,1,0)</f>
        <v>0</v>
      </c>
      <c r="N713">
        <f>IF(COUNTIFS('United Data'!$A$3:$A$3390,N$1,'United Data'!$C$3:$C$3390,$A713)&gt;0,1,0)</f>
        <v>0</v>
      </c>
      <c r="O713">
        <f>IF(COUNTIFS('United Data'!$A$3:$A$3390,O$1,'United Data'!$C$3:$C$3390,$A713)&gt;0,1,0)</f>
        <v>0</v>
      </c>
      <c r="P713">
        <f>IF(COUNTIFS('United Data'!$A$3:$A$3390,P$1,'United Data'!$C$3:$C$3390,$A713)&gt;0,1,0)</f>
        <v>0</v>
      </c>
      <c r="Q713">
        <f>IF(COUNTIFS('United Data'!$A$3:$A$3390,Q$1,'United Data'!$C$3:$C$3390,$A713)&gt;0,1,0)</f>
        <v>0</v>
      </c>
      <c r="R713">
        <f>IF(COUNTIFS('United Data'!$A$3:$A$3390,R$1,'United Data'!$C$3:$C$3390,$A713)&gt;0,1,0)</f>
        <v>0</v>
      </c>
      <c r="S713">
        <f t="shared" si="22"/>
        <v>1</v>
      </c>
      <c r="T713">
        <f t="shared" si="23"/>
        <v>1</v>
      </c>
    </row>
    <row r="714" spans="1:20" x14ac:dyDescent="0.2">
      <c r="A714" t="s">
        <v>852</v>
      </c>
      <c r="B714">
        <f>IF(COUNTIFS('United Data'!$A$3:$A$3390,B$1,'United Data'!$C$3:$C$3390,$A714)&gt;0,1,0)</f>
        <v>0</v>
      </c>
      <c r="C714">
        <f>IF(COUNTIFS('United Data'!$A$3:$A$3390,C$1,'United Data'!$C$3:$C$3390,$A714)&gt;0,1,0)</f>
        <v>0</v>
      </c>
      <c r="D714">
        <f>IF(COUNTIFS('United Data'!$A$3:$A$3390,D$1,'United Data'!$C$3:$C$3390,$A714)&gt;0,1,0)</f>
        <v>0</v>
      </c>
      <c r="E714">
        <f>IF(COUNTIFS('United Data'!$A$3:$A$3390,E$1,'United Data'!$C$3:$C$3390,$A714)&gt;0,1,0)</f>
        <v>1</v>
      </c>
      <c r="F714">
        <f>IF(COUNTIFS('United Data'!$A$3:$A$3390,F$1,'United Data'!$C$3:$C$3390,$A714)&gt;0,1,0)</f>
        <v>1</v>
      </c>
      <c r="G714">
        <f>IF(COUNTIFS('United Data'!$A$3:$A$3390,G$1,'United Data'!$C$3:$C$3390,$A714)&gt;0,1,0)</f>
        <v>0</v>
      </c>
      <c r="H714">
        <f>IF(COUNTIFS('United Data'!$A$3:$A$3390,H$1,'United Data'!$C$3:$C$3390,$A714)&gt;0,1,0)</f>
        <v>0</v>
      </c>
      <c r="I714">
        <f>IF(COUNTIFS('United Data'!$A$3:$A$3390,I$1,'United Data'!$C$3:$C$3390,$A714)&gt;0,1,0)</f>
        <v>0</v>
      </c>
      <c r="J714">
        <f>IF(COUNTIFS('United Data'!$A$3:$A$3390,J$1,'United Data'!$C$3:$C$3390,$A714)&gt;0,1,0)</f>
        <v>1</v>
      </c>
      <c r="K714">
        <f>IF(COUNTIFS('United Data'!$A$3:$A$3390,K$1,'United Data'!$C$3:$C$3390,$A714)&gt;0,1,0)</f>
        <v>1</v>
      </c>
      <c r="L714">
        <f>IF(COUNTIFS('United Data'!$A$3:$A$3390,L$1,'United Data'!$C$3:$C$3390,$A714)&gt;0,1,0)</f>
        <v>1</v>
      </c>
      <c r="M714">
        <f>IF(COUNTIFS('United Data'!$A$3:$A$3390,M$1,'United Data'!$C$3:$C$3390,$A714)&gt;0,1,0)</f>
        <v>0</v>
      </c>
      <c r="N714">
        <f>IF(COUNTIFS('United Data'!$A$3:$A$3390,N$1,'United Data'!$C$3:$C$3390,$A714)&gt;0,1,0)</f>
        <v>0</v>
      </c>
      <c r="O714">
        <f>IF(COUNTIFS('United Data'!$A$3:$A$3390,O$1,'United Data'!$C$3:$C$3390,$A714)&gt;0,1,0)</f>
        <v>0</v>
      </c>
      <c r="P714">
        <f>IF(COUNTIFS('United Data'!$A$3:$A$3390,P$1,'United Data'!$C$3:$C$3390,$A714)&gt;0,1,0)</f>
        <v>0</v>
      </c>
      <c r="Q714">
        <f>IF(COUNTIFS('United Data'!$A$3:$A$3390,Q$1,'United Data'!$C$3:$C$3390,$A714)&gt;0,1,0)</f>
        <v>0</v>
      </c>
      <c r="R714">
        <f>IF(COUNTIFS('United Data'!$A$3:$A$3390,R$1,'United Data'!$C$3:$C$3390,$A714)&gt;0,1,0)</f>
        <v>0</v>
      </c>
      <c r="S714">
        <f t="shared" si="22"/>
        <v>5</v>
      </c>
      <c r="T714">
        <f t="shared" si="23"/>
        <v>2</v>
      </c>
    </row>
    <row r="715" spans="1:20" x14ac:dyDescent="0.2">
      <c r="A715" t="s">
        <v>855</v>
      </c>
      <c r="B715">
        <f>IF(COUNTIFS('United Data'!$A$3:$A$3390,B$1,'United Data'!$C$3:$C$3390,$A715)&gt;0,1,0)</f>
        <v>0</v>
      </c>
      <c r="C715">
        <f>IF(COUNTIFS('United Data'!$A$3:$A$3390,C$1,'United Data'!$C$3:$C$3390,$A715)&gt;0,1,0)</f>
        <v>0</v>
      </c>
      <c r="D715">
        <f>IF(COUNTIFS('United Data'!$A$3:$A$3390,D$1,'United Data'!$C$3:$C$3390,$A715)&gt;0,1,0)</f>
        <v>0</v>
      </c>
      <c r="E715">
        <f>IF(COUNTIFS('United Data'!$A$3:$A$3390,E$1,'United Data'!$C$3:$C$3390,$A715)&gt;0,1,0)</f>
        <v>0</v>
      </c>
      <c r="F715">
        <f>IF(COUNTIFS('United Data'!$A$3:$A$3390,F$1,'United Data'!$C$3:$C$3390,$A715)&gt;0,1,0)</f>
        <v>1</v>
      </c>
      <c r="G715">
        <f>IF(COUNTIFS('United Data'!$A$3:$A$3390,G$1,'United Data'!$C$3:$C$3390,$A715)&gt;0,1,0)</f>
        <v>1</v>
      </c>
      <c r="H715">
        <f>IF(COUNTIFS('United Data'!$A$3:$A$3390,H$1,'United Data'!$C$3:$C$3390,$A715)&gt;0,1,0)</f>
        <v>1</v>
      </c>
      <c r="I715">
        <f>IF(COUNTIFS('United Data'!$A$3:$A$3390,I$1,'United Data'!$C$3:$C$3390,$A715)&gt;0,1,0)</f>
        <v>0</v>
      </c>
      <c r="J715">
        <f>IF(COUNTIFS('United Data'!$A$3:$A$3390,J$1,'United Data'!$C$3:$C$3390,$A715)&gt;0,1,0)</f>
        <v>0</v>
      </c>
      <c r="K715">
        <f>IF(COUNTIFS('United Data'!$A$3:$A$3390,K$1,'United Data'!$C$3:$C$3390,$A715)&gt;0,1,0)</f>
        <v>0</v>
      </c>
      <c r="L715">
        <f>IF(COUNTIFS('United Data'!$A$3:$A$3390,L$1,'United Data'!$C$3:$C$3390,$A715)&gt;0,1,0)</f>
        <v>0</v>
      </c>
      <c r="M715">
        <f>IF(COUNTIFS('United Data'!$A$3:$A$3390,M$1,'United Data'!$C$3:$C$3390,$A715)&gt;0,1,0)</f>
        <v>0</v>
      </c>
      <c r="N715">
        <f>IF(COUNTIFS('United Data'!$A$3:$A$3390,N$1,'United Data'!$C$3:$C$3390,$A715)&gt;0,1,0)</f>
        <v>0</v>
      </c>
      <c r="O715">
        <f>IF(COUNTIFS('United Data'!$A$3:$A$3390,O$1,'United Data'!$C$3:$C$3390,$A715)&gt;0,1,0)</f>
        <v>0</v>
      </c>
      <c r="P715">
        <f>IF(COUNTIFS('United Data'!$A$3:$A$3390,P$1,'United Data'!$C$3:$C$3390,$A715)&gt;0,1,0)</f>
        <v>0</v>
      </c>
      <c r="Q715">
        <f>IF(COUNTIFS('United Data'!$A$3:$A$3390,Q$1,'United Data'!$C$3:$C$3390,$A715)&gt;0,1,0)</f>
        <v>0</v>
      </c>
      <c r="R715">
        <f>IF(COUNTIFS('United Data'!$A$3:$A$3390,R$1,'United Data'!$C$3:$C$3390,$A715)&gt;0,1,0)</f>
        <v>0</v>
      </c>
      <c r="S715">
        <f t="shared" si="22"/>
        <v>3</v>
      </c>
      <c r="T715">
        <f t="shared" si="23"/>
        <v>1</v>
      </c>
    </row>
    <row r="716" spans="1:20" x14ac:dyDescent="0.2">
      <c r="A716" t="s">
        <v>856</v>
      </c>
      <c r="B716">
        <f>IF(COUNTIFS('United Data'!$A$3:$A$3390,B$1,'United Data'!$C$3:$C$3390,$A716)&gt;0,1,0)</f>
        <v>0</v>
      </c>
      <c r="C716">
        <f>IF(COUNTIFS('United Data'!$A$3:$A$3390,C$1,'United Data'!$C$3:$C$3390,$A716)&gt;0,1,0)</f>
        <v>0</v>
      </c>
      <c r="D716">
        <f>IF(COUNTIFS('United Data'!$A$3:$A$3390,D$1,'United Data'!$C$3:$C$3390,$A716)&gt;0,1,0)</f>
        <v>0</v>
      </c>
      <c r="E716">
        <f>IF(COUNTIFS('United Data'!$A$3:$A$3390,E$1,'United Data'!$C$3:$C$3390,$A716)&gt;0,1,0)</f>
        <v>0</v>
      </c>
      <c r="F716">
        <f>IF(COUNTIFS('United Data'!$A$3:$A$3390,F$1,'United Data'!$C$3:$C$3390,$A716)&gt;0,1,0)</f>
        <v>1</v>
      </c>
      <c r="G716">
        <f>IF(COUNTIFS('United Data'!$A$3:$A$3390,G$1,'United Data'!$C$3:$C$3390,$A716)&gt;0,1,0)</f>
        <v>1</v>
      </c>
      <c r="H716">
        <f>IF(COUNTIFS('United Data'!$A$3:$A$3390,H$1,'United Data'!$C$3:$C$3390,$A716)&gt;0,1,0)</f>
        <v>0</v>
      </c>
      <c r="I716">
        <f>IF(COUNTIFS('United Data'!$A$3:$A$3390,I$1,'United Data'!$C$3:$C$3390,$A716)&gt;0,1,0)</f>
        <v>1</v>
      </c>
      <c r="J716">
        <f>IF(COUNTIFS('United Data'!$A$3:$A$3390,J$1,'United Data'!$C$3:$C$3390,$A716)&gt;0,1,0)</f>
        <v>0</v>
      </c>
      <c r="K716">
        <f>IF(COUNTIFS('United Data'!$A$3:$A$3390,K$1,'United Data'!$C$3:$C$3390,$A716)&gt;0,1,0)</f>
        <v>0</v>
      </c>
      <c r="L716">
        <f>IF(COUNTIFS('United Data'!$A$3:$A$3390,L$1,'United Data'!$C$3:$C$3390,$A716)&gt;0,1,0)</f>
        <v>0</v>
      </c>
      <c r="M716">
        <f>IF(COUNTIFS('United Data'!$A$3:$A$3390,M$1,'United Data'!$C$3:$C$3390,$A716)&gt;0,1,0)</f>
        <v>0</v>
      </c>
      <c r="N716">
        <f>IF(COUNTIFS('United Data'!$A$3:$A$3390,N$1,'United Data'!$C$3:$C$3390,$A716)&gt;0,1,0)</f>
        <v>1</v>
      </c>
      <c r="O716">
        <f>IF(COUNTIFS('United Data'!$A$3:$A$3390,O$1,'United Data'!$C$3:$C$3390,$A716)&gt;0,1,0)</f>
        <v>0</v>
      </c>
      <c r="P716">
        <f>IF(COUNTIFS('United Data'!$A$3:$A$3390,P$1,'United Data'!$C$3:$C$3390,$A716)&gt;0,1,0)</f>
        <v>0</v>
      </c>
      <c r="Q716">
        <f>IF(COUNTIFS('United Data'!$A$3:$A$3390,Q$1,'United Data'!$C$3:$C$3390,$A716)&gt;0,1,0)</f>
        <v>0</v>
      </c>
      <c r="R716">
        <f>IF(COUNTIFS('United Data'!$A$3:$A$3390,R$1,'United Data'!$C$3:$C$3390,$A716)&gt;0,1,0)</f>
        <v>0</v>
      </c>
      <c r="S716">
        <f t="shared" si="22"/>
        <v>4</v>
      </c>
      <c r="T716">
        <f t="shared" si="23"/>
        <v>3</v>
      </c>
    </row>
    <row r="717" spans="1:20" x14ac:dyDescent="0.2">
      <c r="A717" t="s">
        <v>857</v>
      </c>
      <c r="B717">
        <f>IF(COUNTIFS('United Data'!$A$3:$A$3390,B$1,'United Data'!$C$3:$C$3390,$A717)&gt;0,1,0)</f>
        <v>0</v>
      </c>
      <c r="C717">
        <f>IF(COUNTIFS('United Data'!$A$3:$A$3390,C$1,'United Data'!$C$3:$C$3390,$A717)&gt;0,1,0)</f>
        <v>0</v>
      </c>
      <c r="D717">
        <f>IF(COUNTIFS('United Data'!$A$3:$A$3390,D$1,'United Data'!$C$3:$C$3390,$A717)&gt;0,1,0)</f>
        <v>0</v>
      </c>
      <c r="E717">
        <f>IF(COUNTIFS('United Data'!$A$3:$A$3390,E$1,'United Data'!$C$3:$C$3390,$A717)&gt;0,1,0)</f>
        <v>0</v>
      </c>
      <c r="F717">
        <f>IF(COUNTIFS('United Data'!$A$3:$A$3390,F$1,'United Data'!$C$3:$C$3390,$A717)&gt;0,1,0)</f>
        <v>1</v>
      </c>
      <c r="G717">
        <f>IF(COUNTIFS('United Data'!$A$3:$A$3390,G$1,'United Data'!$C$3:$C$3390,$A717)&gt;0,1,0)</f>
        <v>0</v>
      </c>
      <c r="H717">
        <f>IF(COUNTIFS('United Data'!$A$3:$A$3390,H$1,'United Data'!$C$3:$C$3390,$A717)&gt;0,1,0)</f>
        <v>1</v>
      </c>
      <c r="I717">
        <f>IF(COUNTIFS('United Data'!$A$3:$A$3390,I$1,'United Data'!$C$3:$C$3390,$A717)&gt;0,1,0)</f>
        <v>0</v>
      </c>
      <c r="J717">
        <f>IF(COUNTIFS('United Data'!$A$3:$A$3390,J$1,'United Data'!$C$3:$C$3390,$A717)&gt;0,1,0)</f>
        <v>0</v>
      </c>
      <c r="K717">
        <f>IF(COUNTIFS('United Data'!$A$3:$A$3390,K$1,'United Data'!$C$3:$C$3390,$A717)&gt;0,1,0)</f>
        <v>0</v>
      </c>
      <c r="L717">
        <f>IF(COUNTIFS('United Data'!$A$3:$A$3390,L$1,'United Data'!$C$3:$C$3390,$A717)&gt;0,1,0)</f>
        <v>0</v>
      </c>
      <c r="M717">
        <f>IF(COUNTIFS('United Data'!$A$3:$A$3390,M$1,'United Data'!$C$3:$C$3390,$A717)&gt;0,1,0)</f>
        <v>0</v>
      </c>
      <c r="N717">
        <f>IF(COUNTIFS('United Data'!$A$3:$A$3390,N$1,'United Data'!$C$3:$C$3390,$A717)&gt;0,1,0)</f>
        <v>0</v>
      </c>
      <c r="O717">
        <f>IF(COUNTIFS('United Data'!$A$3:$A$3390,O$1,'United Data'!$C$3:$C$3390,$A717)&gt;0,1,0)</f>
        <v>0</v>
      </c>
      <c r="P717">
        <f>IF(COUNTIFS('United Data'!$A$3:$A$3390,P$1,'United Data'!$C$3:$C$3390,$A717)&gt;0,1,0)</f>
        <v>0</v>
      </c>
      <c r="Q717">
        <f>IF(COUNTIFS('United Data'!$A$3:$A$3390,Q$1,'United Data'!$C$3:$C$3390,$A717)&gt;0,1,0)</f>
        <v>0</v>
      </c>
      <c r="R717">
        <f>IF(COUNTIFS('United Data'!$A$3:$A$3390,R$1,'United Data'!$C$3:$C$3390,$A717)&gt;0,1,0)</f>
        <v>0</v>
      </c>
      <c r="S717">
        <f t="shared" si="22"/>
        <v>2</v>
      </c>
      <c r="T717">
        <f t="shared" si="23"/>
        <v>2</v>
      </c>
    </row>
    <row r="718" spans="1:20" x14ac:dyDescent="0.2">
      <c r="A718" t="s">
        <v>858</v>
      </c>
      <c r="B718">
        <f>IF(COUNTIFS('United Data'!$A$3:$A$3390,B$1,'United Data'!$C$3:$C$3390,$A718)&gt;0,1,0)</f>
        <v>0</v>
      </c>
      <c r="C718">
        <f>IF(COUNTIFS('United Data'!$A$3:$A$3390,C$1,'United Data'!$C$3:$C$3390,$A718)&gt;0,1,0)</f>
        <v>0</v>
      </c>
      <c r="D718">
        <f>IF(COUNTIFS('United Data'!$A$3:$A$3390,D$1,'United Data'!$C$3:$C$3390,$A718)&gt;0,1,0)</f>
        <v>0</v>
      </c>
      <c r="E718">
        <f>IF(COUNTIFS('United Data'!$A$3:$A$3390,E$1,'United Data'!$C$3:$C$3390,$A718)&gt;0,1,0)</f>
        <v>0</v>
      </c>
      <c r="F718">
        <f>IF(COUNTIFS('United Data'!$A$3:$A$3390,F$1,'United Data'!$C$3:$C$3390,$A718)&gt;0,1,0)</f>
        <v>1</v>
      </c>
      <c r="G718">
        <f>IF(COUNTIFS('United Data'!$A$3:$A$3390,G$1,'United Data'!$C$3:$C$3390,$A718)&gt;0,1,0)</f>
        <v>0</v>
      </c>
      <c r="H718">
        <f>IF(COUNTIFS('United Data'!$A$3:$A$3390,H$1,'United Data'!$C$3:$C$3390,$A718)&gt;0,1,0)</f>
        <v>0</v>
      </c>
      <c r="I718">
        <f>IF(COUNTIFS('United Data'!$A$3:$A$3390,I$1,'United Data'!$C$3:$C$3390,$A718)&gt;0,1,0)</f>
        <v>0</v>
      </c>
      <c r="J718">
        <f>IF(COUNTIFS('United Data'!$A$3:$A$3390,J$1,'United Data'!$C$3:$C$3390,$A718)&gt;0,1,0)</f>
        <v>0</v>
      </c>
      <c r="K718">
        <f>IF(COUNTIFS('United Data'!$A$3:$A$3390,K$1,'United Data'!$C$3:$C$3390,$A718)&gt;0,1,0)</f>
        <v>0</v>
      </c>
      <c r="L718">
        <f>IF(COUNTIFS('United Data'!$A$3:$A$3390,L$1,'United Data'!$C$3:$C$3390,$A718)&gt;0,1,0)</f>
        <v>1</v>
      </c>
      <c r="M718">
        <f>IF(COUNTIFS('United Data'!$A$3:$A$3390,M$1,'United Data'!$C$3:$C$3390,$A718)&gt;0,1,0)</f>
        <v>0</v>
      </c>
      <c r="N718">
        <f>IF(COUNTIFS('United Data'!$A$3:$A$3390,N$1,'United Data'!$C$3:$C$3390,$A718)&gt;0,1,0)</f>
        <v>0</v>
      </c>
      <c r="O718">
        <f>IF(COUNTIFS('United Data'!$A$3:$A$3390,O$1,'United Data'!$C$3:$C$3390,$A718)&gt;0,1,0)</f>
        <v>0</v>
      </c>
      <c r="P718">
        <f>IF(COUNTIFS('United Data'!$A$3:$A$3390,P$1,'United Data'!$C$3:$C$3390,$A718)&gt;0,1,0)</f>
        <v>0</v>
      </c>
      <c r="Q718">
        <f>IF(COUNTIFS('United Data'!$A$3:$A$3390,Q$1,'United Data'!$C$3:$C$3390,$A718)&gt;0,1,0)</f>
        <v>0</v>
      </c>
      <c r="R718">
        <f>IF(COUNTIFS('United Data'!$A$3:$A$3390,R$1,'United Data'!$C$3:$C$3390,$A718)&gt;0,1,0)</f>
        <v>0</v>
      </c>
      <c r="S718">
        <f t="shared" si="22"/>
        <v>2</v>
      </c>
      <c r="T718">
        <f t="shared" si="23"/>
        <v>2</v>
      </c>
    </row>
    <row r="719" spans="1:20" x14ac:dyDescent="0.2">
      <c r="A719" t="s">
        <v>860</v>
      </c>
      <c r="B719">
        <f>IF(COUNTIFS('United Data'!$A$3:$A$3390,B$1,'United Data'!$C$3:$C$3390,$A719)&gt;0,1,0)</f>
        <v>0</v>
      </c>
      <c r="C719">
        <f>IF(COUNTIFS('United Data'!$A$3:$A$3390,C$1,'United Data'!$C$3:$C$3390,$A719)&gt;0,1,0)</f>
        <v>0</v>
      </c>
      <c r="D719">
        <f>IF(COUNTIFS('United Data'!$A$3:$A$3390,D$1,'United Data'!$C$3:$C$3390,$A719)&gt;0,1,0)</f>
        <v>0</v>
      </c>
      <c r="E719">
        <f>IF(COUNTIFS('United Data'!$A$3:$A$3390,E$1,'United Data'!$C$3:$C$3390,$A719)&gt;0,1,0)</f>
        <v>0</v>
      </c>
      <c r="F719">
        <f>IF(COUNTIFS('United Data'!$A$3:$A$3390,F$1,'United Data'!$C$3:$C$3390,$A719)&gt;0,1,0)</f>
        <v>0</v>
      </c>
      <c r="G719">
        <f>IF(COUNTIFS('United Data'!$A$3:$A$3390,G$1,'United Data'!$C$3:$C$3390,$A719)&gt;0,1,0)</f>
        <v>0</v>
      </c>
      <c r="H719">
        <f>IF(COUNTIFS('United Data'!$A$3:$A$3390,H$1,'United Data'!$C$3:$C$3390,$A719)&gt;0,1,0)</f>
        <v>1</v>
      </c>
      <c r="I719">
        <f>IF(COUNTIFS('United Data'!$A$3:$A$3390,I$1,'United Data'!$C$3:$C$3390,$A719)&gt;0,1,0)</f>
        <v>0</v>
      </c>
      <c r="J719">
        <f>IF(COUNTIFS('United Data'!$A$3:$A$3390,J$1,'United Data'!$C$3:$C$3390,$A719)&gt;0,1,0)</f>
        <v>0</v>
      </c>
      <c r="K719">
        <f>IF(COUNTIFS('United Data'!$A$3:$A$3390,K$1,'United Data'!$C$3:$C$3390,$A719)&gt;0,1,0)</f>
        <v>0</v>
      </c>
      <c r="L719">
        <f>IF(COUNTIFS('United Data'!$A$3:$A$3390,L$1,'United Data'!$C$3:$C$3390,$A719)&gt;0,1,0)</f>
        <v>0</v>
      </c>
      <c r="M719">
        <f>IF(COUNTIFS('United Data'!$A$3:$A$3390,M$1,'United Data'!$C$3:$C$3390,$A719)&gt;0,1,0)</f>
        <v>0</v>
      </c>
      <c r="N719">
        <f>IF(COUNTIFS('United Data'!$A$3:$A$3390,N$1,'United Data'!$C$3:$C$3390,$A719)&gt;0,1,0)</f>
        <v>0</v>
      </c>
      <c r="O719">
        <f>IF(COUNTIFS('United Data'!$A$3:$A$3390,O$1,'United Data'!$C$3:$C$3390,$A719)&gt;0,1,0)</f>
        <v>0</v>
      </c>
      <c r="P719">
        <f>IF(COUNTIFS('United Data'!$A$3:$A$3390,P$1,'United Data'!$C$3:$C$3390,$A719)&gt;0,1,0)</f>
        <v>0</v>
      </c>
      <c r="Q719">
        <f>IF(COUNTIFS('United Data'!$A$3:$A$3390,Q$1,'United Data'!$C$3:$C$3390,$A719)&gt;0,1,0)</f>
        <v>0</v>
      </c>
      <c r="R719">
        <f>IF(COUNTIFS('United Data'!$A$3:$A$3390,R$1,'United Data'!$C$3:$C$3390,$A719)&gt;0,1,0)</f>
        <v>0</v>
      </c>
      <c r="S719">
        <f t="shared" si="22"/>
        <v>1</v>
      </c>
      <c r="T719">
        <f t="shared" si="23"/>
        <v>1</v>
      </c>
    </row>
    <row r="720" spans="1:20" x14ac:dyDescent="0.2">
      <c r="A720" t="s">
        <v>861</v>
      </c>
      <c r="B720">
        <f>IF(COUNTIFS('United Data'!$A$3:$A$3390,B$1,'United Data'!$C$3:$C$3390,$A720)&gt;0,1,0)</f>
        <v>0</v>
      </c>
      <c r="C720">
        <f>IF(COUNTIFS('United Data'!$A$3:$A$3390,C$1,'United Data'!$C$3:$C$3390,$A720)&gt;0,1,0)</f>
        <v>0</v>
      </c>
      <c r="D720">
        <f>IF(COUNTIFS('United Data'!$A$3:$A$3390,D$1,'United Data'!$C$3:$C$3390,$A720)&gt;0,1,0)</f>
        <v>0</v>
      </c>
      <c r="E720">
        <f>IF(COUNTIFS('United Data'!$A$3:$A$3390,E$1,'United Data'!$C$3:$C$3390,$A720)&gt;0,1,0)</f>
        <v>0</v>
      </c>
      <c r="F720">
        <f>IF(COUNTIFS('United Data'!$A$3:$A$3390,F$1,'United Data'!$C$3:$C$3390,$A720)&gt;0,1,0)</f>
        <v>0</v>
      </c>
      <c r="G720">
        <f>IF(COUNTIFS('United Data'!$A$3:$A$3390,G$1,'United Data'!$C$3:$C$3390,$A720)&gt;0,1,0)</f>
        <v>0</v>
      </c>
      <c r="H720">
        <f>IF(COUNTIFS('United Data'!$A$3:$A$3390,H$1,'United Data'!$C$3:$C$3390,$A720)&gt;0,1,0)</f>
        <v>1</v>
      </c>
      <c r="I720">
        <f>IF(COUNTIFS('United Data'!$A$3:$A$3390,I$1,'United Data'!$C$3:$C$3390,$A720)&gt;0,1,0)</f>
        <v>0</v>
      </c>
      <c r="J720">
        <f>IF(COUNTIFS('United Data'!$A$3:$A$3390,J$1,'United Data'!$C$3:$C$3390,$A720)&gt;0,1,0)</f>
        <v>0</v>
      </c>
      <c r="K720">
        <f>IF(COUNTIFS('United Data'!$A$3:$A$3390,K$1,'United Data'!$C$3:$C$3390,$A720)&gt;0,1,0)</f>
        <v>0</v>
      </c>
      <c r="L720">
        <f>IF(COUNTIFS('United Data'!$A$3:$A$3390,L$1,'United Data'!$C$3:$C$3390,$A720)&gt;0,1,0)</f>
        <v>0</v>
      </c>
      <c r="M720">
        <f>IF(COUNTIFS('United Data'!$A$3:$A$3390,M$1,'United Data'!$C$3:$C$3390,$A720)&gt;0,1,0)</f>
        <v>0</v>
      </c>
      <c r="N720">
        <f>IF(COUNTIFS('United Data'!$A$3:$A$3390,N$1,'United Data'!$C$3:$C$3390,$A720)&gt;0,1,0)</f>
        <v>0</v>
      </c>
      <c r="O720">
        <f>IF(COUNTIFS('United Data'!$A$3:$A$3390,O$1,'United Data'!$C$3:$C$3390,$A720)&gt;0,1,0)</f>
        <v>0</v>
      </c>
      <c r="P720">
        <f>IF(COUNTIFS('United Data'!$A$3:$A$3390,P$1,'United Data'!$C$3:$C$3390,$A720)&gt;0,1,0)</f>
        <v>0</v>
      </c>
      <c r="Q720">
        <f>IF(COUNTIFS('United Data'!$A$3:$A$3390,Q$1,'United Data'!$C$3:$C$3390,$A720)&gt;0,1,0)</f>
        <v>0</v>
      </c>
      <c r="R720">
        <f>IF(COUNTIFS('United Data'!$A$3:$A$3390,R$1,'United Data'!$C$3:$C$3390,$A720)&gt;0,1,0)</f>
        <v>0</v>
      </c>
      <c r="S720">
        <f t="shared" si="22"/>
        <v>1</v>
      </c>
      <c r="T720">
        <f t="shared" si="23"/>
        <v>1</v>
      </c>
    </row>
    <row r="721" spans="1:20" x14ac:dyDescent="0.2">
      <c r="A721" t="s">
        <v>862</v>
      </c>
      <c r="B721">
        <f>IF(COUNTIFS('United Data'!$A$3:$A$3390,B$1,'United Data'!$C$3:$C$3390,$A721)&gt;0,1,0)</f>
        <v>0</v>
      </c>
      <c r="C721">
        <f>IF(COUNTIFS('United Data'!$A$3:$A$3390,C$1,'United Data'!$C$3:$C$3390,$A721)&gt;0,1,0)</f>
        <v>0</v>
      </c>
      <c r="D721">
        <f>IF(COUNTIFS('United Data'!$A$3:$A$3390,D$1,'United Data'!$C$3:$C$3390,$A721)&gt;0,1,0)</f>
        <v>0</v>
      </c>
      <c r="E721">
        <f>IF(COUNTIFS('United Data'!$A$3:$A$3390,E$1,'United Data'!$C$3:$C$3390,$A721)&gt;0,1,0)</f>
        <v>0</v>
      </c>
      <c r="F721">
        <f>IF(COUNTIFS('United Data'!$A$3:$A$3390,F$1,'United Data'!$C$3:$C$3390,$A721)&gt;0,1,0)</f>
        <v>0</v>
      </c>
      <c r="G721">
        <f>IF(COUNTIFS('United Data'!$A$3:$A$3390,G$1,'United Data'!$C$3:$C$3390,$A721)&gt;0,1,0)</f>
        <v>0</v>
      </c>
      <c r="H721">
        <f>IF(COUNTIFS('United Data'!$A$3:$A$3390,H$1,'United Data'!$C$3:$C$3390,$A721)&gt;0,1,0)</f>
        <v>1</v>
      </c>
      <c r="I721">
        <f>IF(COUNTIFS('United Data'!$A$3:$A$3390,I$1,'United Data'!$C$3:$C$3390,$A721)&gt;0,1,0)</f>
        <v>0</v>
      </c>
      <c r="J721">
        <f>IF(COUNTIFS('United Data'!$A$3:$A$3390,J$1,'United Data'!$C$3:$C$3390,$A721)&gt;0,1,0)</f>
        <v>0</v>
      </c>
      <c r="K721">
        <f>IF(COUNTIFS('United Data'!$A$3:$A$3390,K$1,'United Data'!$C$3:$C$3390,$A721)&gt;0,1,0)</f>
        <v>0</v>
      </c>
      <c r="L721">
        <f>IF(COUNTIFS('United Data'!$A$3:$A$3390,L$1,'United Data'!$C$3:$C$3390,$A721)&gt;0,1,0)</f>
        <v>0</v>
      </c>
      <c r="M721">
        <f>IF(COUNTIFS('United Data'!$A$3:$A$3390,M$1,'United Data'!$C$3:$C$3390,$A721)&gt;0,1,0)</f>
        <v>0</v>
      </c>
      <c r="N721">
        <f>IF(COUNTIFS('United Data'!$A$3:$A$3390,N$1,'United Data'!$C$3:$C$3390,$A721)&gt;0,1,0)</f>
        <v>0</v>
      </c>
      <c r="O721">
        <f>IF(COUNTIFS('United Data'!$A$3:$A$3390,O$1,'United Data'!$C$3:$C$3390,$A721)&gt;0,1,0)</f>
        <v>0</v>
      </c>
      <c r="P721">
        <f>IF(COUNTIFS('United Data'!$A$3:$A$3390,P$1,'United Data'!$C$3:$C$3390,$A721)&gt;0,1,0)</f>
        <v>0</v>
      </c>
      <c r="Q721">
        <f>IF(COUNTIFS('United Data'!$A$3:$A$3390,Q$1,'United Data'!$C$3:$C$3390,$A721)&gt;0,1,0)</f>
        <v>0</v>
      </c>
      <c r="R721">
        <f>IF(COUNTIFS('United Data'!$A$3:$A$3390,R$1,'United Data'!$C$3:$C$3390,$A721)&gt;0,1,0)</f>
        <v>0</v>
      </c>
      <c r="S721">
        <f t="shared" si="22"/>
        <v>1</v>
      </c>
      <c r="T721">
        <f t="shared" si="23"/>
        <v>1</v>
      </c>
    </row>
    <row r="722" spans="1:20" x14ac:dyDescent="0.2">
      <c r="A722" t="s">
        <v>863</v>
      </c>
      <c r="B722">
        <f>IF(COUNTIFS('United Data'!$A$3:$A$3390,B$1,'United Data'!$C$3:$C$3390,$A722)&gt;0,1,0)</f>
        <v>0</v>
      </c>
      <c r="C722">
        <f>IF(COUNTIFS('United Data'!$A$3:$A$3390,C$1,'United Data'!$C$3:$C$3390,$A722)&gt;0,1,0)</f>
        <v>0</v>
      </c>
      <c r="D722">
        <f>IF(COUNTIFS('United Data'!$A$3:$A$3390,D$1,'United Data'!$C$3:$C$3390,$A722)&gt;0,1,0)</f>
        <v>0</v>
      </c>
      <c r="E722">
        <f>IF(COUNTIFS('United Data'!$A$3:$A$3390,E$1,'United Data'!$C$3:$C$3390,$A722)&gt;0,1,0)</f>
        <v>0</v>
      </c>
      <c r="F722">
        <f>IF(COUNTIFS('United Data'!$A$3:$A$3390,F$1,'United Data'!$C$3:$C$3390,$A722)&gt;0,1,0)</f>
        <v>0</v>
      </c>
      <c r="G722">
        <f>IF(COUNTIFS('United Data'!$A$3:$A$3390,G$1,'United Data'!$C$3:$C$3390,$A722)&gt;0,1,0)</f>
        <v>0</v>
      </c>
      <c r="H722">
        <f>IF(COUNTIFS('United Data'!$A$3:$A$3390,H$1,'United Data'!$C$3:$C$3390,$A722)&gt;0,1,0)</f>
        <v>0</v>
      </c>
      <c r="I722">
        <f>IF(COUNTIFS('United Data'!$A$3:$A$3390,I$1,'United Data'!$C$3:$C$3390,$A722)&gt;0,1,0)</f>
        <v>1</v>
      </c>
      <c r="J722">
        <f>IF(COUNTIFS('United Data'!$A$3:$A$3390,J$1,'United Data'!$C$3:$C$3390,$A722)&gt;0,1,0)</f>
        <v>0</v>
      </c>
      <c r="K722">
        <f>IF(COUNTIFS('United Data'!$A$3:$A$3390,K$1,'United Data'!$C$3:$C$3390,$A722)&gt;0,1,0)</f>
        <v>0</v>
      </c>
      <c r="L722">
        <f>IF(COUNTIFS('United Data'!$A$3:$A$3390,L$1,'United Data'!$C$3:$C$3390,$A722)&gt;0,1,0)</f>
        <v>0</v>
      </c>
      <c r="M722">
        <f>IF(COUNTIFS('United Data'!$A$3:$A$3390,M$1,'United Data'!$C$3:$C$3390,$A722)&gt;0,1,0)</f>
        <v>0</v>
      </c>
      <c r="N722">
        <f>IF(COUNTIFS('United Data'!$A$3:$A$3390,N$1,'United Data'!$C$3:$C$3390,$A722)&gt;0,1,0)</f>
        <v>0</v>
      </c>
      <c r="O722">
        <f>IF(COUNTIFS('United Data'!$A$3:$A$3390,O$1,'United Data'!$C$3:$C$3390,$A722)&gt;0,1,0)</f>
        <v>0</v>
      </c>
      <c r="P722">
        <f>IF(COUNTIFS('United Data'!$A$3:$A$3390,P$1,'United Data'!$C$3:$C$3390,$A722)&gt;0,1,0)</f>
        <v>0</v>
      </c>
      <c r="Q722">
        <f>IF(COUNTIFS('United Data'!$A$3:$A$3390,Q$1,'United Data'!$C$3:$C$3390,$A722)&gt;0,1,0)</f>
        <v>0</v>
      </c>
      <c r="R722">
        <f>IF(COUNTIFS('United Data'!$A$3:$A$3390,R$1,'United Data'!$C$3:$C$3390,$A722)&gt;0,1,0)</f>
        <v>0</v>
      </c>
      <c r="S722">
        <f t="shared" si="22"/>
        <v>1</v>
      </c>
      <c r="T722">
        <f t="shared" si="23"/>
        <v>1</v>
      </c>
    </row>
    <row r="723" spans="1:20" x14ac:dyDescent="0.2">
      <c r="A723" t="s">
        <v>864</v>
      </c>
      <c r="B723">
        <f>IF(COUNTIFS('United Data'!$A$3:$A$3390,B$1,'United Data'!$C$3:$C$3390,$A723)&gt;0,1,0)</f>
        <v>0</v>
      </c>
      <c r="C723">
        <f>IF(COUNTIFS('United Data'!$A$3:$A$3390,C$1,'United Data'!$C$3:$C$3390,$A723)&gt;0,1,0)</f>
        <v>0</v>
      </c>
      <c r="D723">
        <f>IF(COUNTIFS('United Data'!$A$3:$A$3390,D$1,'United Data'!$C$3:$C$3390,$A723)&gt;0,1,0)</f>
        <v>0</v>
      </c>
      <c r="E723">
        <f>IF(COUNTIFS('United Data'!$A$3:$A$3390,E$1,'United Data'!$C$3:$C$3390,$A723)&gt;0,1,0)</f>
        <v>0</v>
      </c>
      <c r="F723">
        <f>IF(COUNTIFS('United Data'!$A$3:$A$3390,F$1,'United Data'!$C$3:$C$3390,$A723)&gt;0,1,0)</f>
        <v>0</v>
      </c>
      <c r="G723">
        <f>IF(COUNTIFS('United Data'!$A$3:$A$3390,G$1,'United Data'!$C$3:$C$3390,$A723)&gt;0,1,0)</f>
        <v>0</v>
      </c>
      <c r="H723">
        <f>IF(COUNTIFS('United Data'!$A$3:$A$3390,H$1,'United Data'!$C$3:$C$3390,$A723)&gt;0,1,0)</f>
        <v>0</v>
      </c>
      <c r="I723">
        <f>IF(COUNTIFS('United Data'!$A$3:$A$3390,I$1,'United Data'!$C$3:$C$3390,$A723)&gt;0,1,0)</f>
        <v>1</v>
      </c>
      <c r="J723">
        <f>IF(COUNTIFS('United Data'!$A$3:$A$3390,J$1,'United Data'!$C$3:$C$3390,$A723)&gt;0,1,0)</f>
        <v>0</v>
      </c>
      <c r="K723">
        <f>IF(COUNTIFS('United Data'!$A$3:$A$3390,K$1,'United Data'!$C$3:$C$3390,$A723)&gt;0,1,0)</f>
        <v>0</v>
      </c>
      <c r="L723">
        <f>IF(COUNTIFS('United Data'!$A$3:$A$3390,L$1,'United Data'!$C$3:$C$3390,$A723)&gt;0,1,0)</f>
        <v>0</v>
      </c>
      <c r="M723">
        <f>IF(COUNTIFS('United Data'!$A$3:$A$3390,M$1,'United Data'!$C$3:$C$3390,$A723)&gt;0,1,0)</f>
        <v>0</v>
      </c>
      <c r="N723">
        <f>IF(COUNTIFS('United Data'!$A$3:$A$3390,N$1,'United Data'!$C$3:$C$3390,$A723)&gt;0,1,0)</f>
        <v>0</v>
      </c>
      <c r="O723">
        <f>IF(COUNTIFS('United Data'!$A$3:$A$3390,O$1,'United Data'!$C$3:$C$3390,$A723)&gt;0,1,0)</f>
        <v>0</v>
      </c>
      <c r="P723">
        <f>IF(COUNTIFS('United Data'!$A$3:$A$3390,P$1,'United Data'!$C$3:$C$3390,$A723)&gt;0,1,0)</f>
        <v>0</v>
      </c>
      <c r="Q723">
        <f>IF(COUNTIFS('United Data'!$A$3:$A$3390,Q$1,'United Data'!$C$3:$C$3390,$A723)&gt;0,1,0)</f>
        <v>0</v>
      </c>
      <c r="R723">
        <f>IF(COUNTIFS('United Data'!$A$3:$A$3390,R$1,'United Data'!$C$3:$C$3390,$A723)&gt;0,1,0)</f>
        <v>0</v>
      </c>
      <c r="S723">
        <f t="shared" si="22"/>
        <v>1</v>
      </c>
      <c r="T723">
        <f t="shared" si="23"/>
        <v>1</v>
      </c>
    </row>
    <row r="724" spans="1:20" x14ac:dyDescent="0.2">
      <c r="A724" t="s">
        <v>865</v>
      </c>
      <c r="B724">
        <f>IF(COUNTIFS('United Data'!$A$3:$A$3390,B$1,'United Data'!$C$3:$C$3390,$A724)&gt;0,1,0)</f>
        <v>0</v>
      </c>
      <c r="C724">
        <f>IF(COUNTIFS('United Data'!$A$3:$A$3390,C$1,'United Data'!$C$3:$C$3390,$A724)&gt;0,1,0)</f>
        <v>0</v>
      </c>
      <c r="D724">
        <f>IF(COUNTIFS('United Data'!$A$3:$A$3390,D$1,'United Data'!$C$3:$C$3390,$A724)&gt;0,1,0)</f>
        <v>0</v>
      </c>
      <c r="E724">
        <f>IF(COUNTIFS('United Data'!$A$3:$A$3390,E$1,'United Data'!$C$3:$C$3390,$A724)&gt;0,1,0)</f>
        <v>0</v>
      </c>
      <c r="F724">
        <f>IF(COUNTIFS('United Data'!$A$3:$A$3390,F$1,'United Data'!$C$3:$C$3390,$A724)&gt;0,1,0)</f>
        <v>0</v>
      </c>
      <c r="G724">
        <f>IF(COUNTIFS('United Data'!$A$3:$A$3390,G$1,'United Data'!$C$3:$C$3390,$A724)&gt;0,1,0)</f>
        <v>0</v>
      </c>
      <c r="H724">
        <f>IF(COUNTIFS('United Data'!$A$3:$A$3390,H$1,'United Data'!$C$3:$C$3390,$A724)&gt;0,1,0)</f>
        <v>0</v>
      </c>
      <c r="I724">
        <f>IF(COUNTIFS('United Data'!$A$3:$A$3390,I$1,'United Data'!$C$3:$C$3390,$A724)&gt;0,1,0)</f>
        <v>1</v>
      </c>
      <c r="J724">
        <f>IF(COUNTIFS('United Data'!$A$3:$A$3390,J$1,'United Data'!$C$3:$C$3390,$A724)&gt;0,1,0)</f>
        <v>0</v>
      </c>
      <c r="K724">
        <f>IF(COUNTIFS('United Data'!$A$3:$A$3390,K$1,'United Data'!$C$3:$C$3390,$A724)&gt;0,1,0)</f>
        <v>0</v>
      </c>
      <c r="L724">
        <f>IF(COUNTIFS('United Data'!$A$3:$A$3390,L$1,'United Data'!$C$3:$C$3390,$A724)&gt;0,1,0)</f>
        <v>0</v>
      </c>
      <c r="M724">
        <f>IF(COUNTIFS('United Data'!$A$3:$A$3390,M$1,'United Data'!$C$3:$C$3390,$A724)&gt;0,1,0)</f>
        <v>0</v>
      </c>
      <c r="N724">
        <f>IF(COUNTIFS('United Data'!$A$3:$A$3390,N$1,'United Data'!$C$3:$C$3390,$A724)&gt;0,1,0)</f>
        <v>0</v>
      </c>
      <c r="O724">
        <f>IF(COUNTIFS('United Data'!$A$3:$A$3390,O$1,'United Data'!$C$3:$C$3390,$A724)&gt;0,1,0)</f>
        <v>0</v>
      </c>
      <c r="P724">
        <f>IF(COUNTIFS('United Data'!$A$3:$A$3390,P$1,'United Data'!$C$3:$C$3390,$A724)&gt;0,1,0)</f>
        <v>0</v>
      </c>
      <c r="Q724">
        <f>IF(COUNTIFS('United Data'!$A$3:$A$3390,Q$1,'United Data'!$C$3:$C$3390,$A724)&gt;0,1,0)</f>
        <v>0</v>
      </c>
      <c r="R724">
        <f>IF(COUNTIFS('United Data'!$A$3:$A$3390,R$1,'United Data'!$C$3:$C$3390,$A724)&gt;0,1,0)</f>
        <v>0</v>
      </c>
      <c r="S724">
        <f t="shared" si="22"/>
        <v>1</v>
      </c>
      <c r="T724">
        <f t="shared" si="23"/>
        <v>1</v>
      </c>
    </row>
    <row r="725" spans="1:20" x14ac:dyDescent="0.2">
      <c r="A725" t="s">
        <v>866</v>
      </c>
      <c r="B725">
        <f>IF(COUNTIFS('United Data'!$A$3:$A$3390,B$1,'United Data'!$C$3:$C$3390,$A725)&gt;0,1,0)</f>
        <v>0</v>
      </c>
      <c r="C725">
        <f>IF(COUNTIFS('United Data'!$A$3:$A$3390,C$1,'United Data'!$C$3:$C$3390,$A725)&gt;0,1,0)</f>
        <v>0</v>
      </c>
      <c r="D725">
        <f>IF(COUNTIFS('United Data'!$A$3:$A$3390,D$1,'United Data'!$C$3:$C$3390,$A725)&gt;0,1,0)</f>
        <v>0</v>
      </c>
      <c r="E725">
        <f>IF(COUNTIFS('United Data'!$A$3:$A$3390,E$1,'United Data'!$C$3:$C$3390,$A725)&gt;0,1,0)</f>
        <v>0</v>
      </c>
      <c r="F725">
        <f>IF(COUNTIFS('United Data'!$A$3:$A$3390,F$1,'United Data'!$C$3:$C$3390,$A725)&gt;0,1,0)</f>
        <v>0</v>
      </c>
      <c r="G725">
        <f>IF(COUNTIFS('United Data'!$A$3:$A$3390,G$1,'United Data'!$C$3:$C$3390,$A725)&gt;0,1,0)</f>
        <v>0</v>
      </c>
      <c r="H725">
        <f>IF(COUNTIFS('United Data'!$A$3:$A$3390,H$1,'United Data'!$C$3:$C$3390,$A725)&gt;0,1,0)</f>
        <v>0</v>
      </c>
      <c r="I725">
        <f>IF(COUNTIFS('United Data'!$A$3:$A$3390,I$1,'United Data'!$C$3:$C$3390,$A725)&gt;0,1,0)</f>
        <v>0</v>
      </c>
      <c r="J725">
        <f>IF(COUNTIFS('United Data'!$A$3:$A$3390,J$1,'United Data'!$C$3:$C$3390,$A725)&gt;0,1,0)</f>
        <v>1</v>
      </c>
      <c r="K725">
        <f>IF(COUNTIFS('United Data'!$A$3:$A$3390,K$1,'United Data'!$C$3:$C$3390,$A725)&gt;0,1,0)</f>
        <v>0</v>
      </c>
      <c r="L725">
        <f>IF(COUNTIFS('United Data'!$A$3:$A$3390,L$1,'United Data'!$C$3:$C$3390,$A725)&gt;0,1,0)</f>
        <v>0</v>
      </c>
      <c r="M725">
        <f>IF(COUNTIFS('United Data'!$A$3:$A$3390,M$1,'United Data'!$C$3:$C$3390,$A725)&gt;0,1,0)</f>
        <v>0</v>
      </c>
      <c r="N725">
        <f>IF(COUNTIFS('United Data'!$A$3:$A$3390,N$1,'United Data'!$C$3:$C$3390,$A725)&gt;0,1,0)</f>
        <v>0</v>
      </c>
      <c r="O725">
        <f>IF(COUNTIFS('United Data'!$A$3:$A$3390,O$1,'United Data'!$C$3:$C$3390,$A725)&gt;0,1,0)</f>
        <v>0</v>
      </c>
      <c r="P725">
        <f>IF(COUNTIFS('United Data'!$A$3:$A$3390,P$1,'United Data'!$C$3:$C$3390,$A725)&gt;0,1,0)</f>
        <v>0</v>
      </c>
      <c r="Q725">
        <f>IF(COUNTIFS('United Data'!$A$3:$A$3390,Q$1,'United Data'!$C$3:$C$3390,$A725)&gt;0,1,0)</f>
        <v>0</v>
      </c>
      <c r="R725">
        <f>IF(COUNTIFS('United Data'!$A$3:$A$3390,R$1,'United Data'!$C$3:$C$3390,$A725)&gt;0,1,0)</f>
        <v>0</v>
      </c>
      <c r="S725">
        <f t="shared" si="22"/>
        <v>1</v>
      </c>
      <c r="T725">
        <f t="shared" si="23"/>
        <v>1</v>
      </c>
    </row>
    <row r="726" spans="1:20" x14ac:dyDescent="0.2">
      <c r="A726" t="s">
        <v>867</v>
      </c>
      <c r="B726">
        <f>IF(COUNTIFS('United Data'!$A$3:$A$3390,B$1,'United Data'!$C$3:$C$3390,$A726)&gt;0,1,0)</f>
        <v>0</v>
      </c>
      <c r="C726">
        <f>IF(COUNTIFS('United Data'!$A$3:$A$3390,C$1,'United Data'!$C$3:$C$3390,$A726)&gt;0,1,0)</f>
        <v>0</v>
      </c>
      <c r="D726">
        <f>IF(COUNTIFS('United Data'!$A$3:$A$3390,D$1,'United Data'!$C$3:$C$3390,$A726)&gt;0,1,0)</f>
        <v>0</v>
      </c>
      <c r="E726">
        <f>IF(COUNTIFS('United Data'!$A$3:$A$3390,E$1,'United Data'!$C$3:$C$3390,$A726)&gt;0,1,0)</f>
        <v>0</v>
      </c>
      <c r="F726">
        <f>IF(COUNTIFS('United Data'!$A$3:$A$3390,F$1,'United Data'!$C$3:$C$3390,$A726)&gt;0,1,0)</f>
        <v>0</v>
      </c>
      <c r="G726">
        <f>IF(COUNTIFS('United Data'!$A$3:$A$3390,G$1,'United Data'!$C$3:$C$3390,$A726)&gt;0,1,0)</f>
        <v>0</v>
      </c>
      <c r="H726">
        <f>IF(COUNTIFS('United Data'!$A$3:$A$3390,H$1,'United Data'!$C$3:$C$3390,$A726)&gt;0,1,0)</f>
        <v>0</v>
      </c>
      <c r="I726">
        <f>IF(COUNTIFS('United Data'!$A$3:$A$3390,I$1,'United Data'!$C$3:$C$3390,$A726)&gt;0,1,0)</f>
        <v>0</v>
      </c>
      <c r="J726">
        <f>IF(COUNTIFS('United Data'!$A$3:$A$3390,J$1,'United Data'!$C$3:$C$3390,$A726)&gt;0,1,0)</f>
        <v>0</v>
      </c>
      <c r="K726">
        <f>IF(COUNTIFS('United Data'!$A$3:$A$3390,K$1,'United Data'!$C$3:$C$3390,$A726)&gt;0,1,0)</f>
        <v>1</v>
      </c>
      <c r="L726">
        <f>IF(COUNTIFS('United Data'!$A$3:$A$3390,L$1,'United Data'!$C$3:$C$3390,$A726)&gt;0,1,0)</f>
        <v>0</v>
      </c>
      <c r="M726">
        <f>IF(COUNTIFS('United Data'!$A$3:$A$3390,M$1,'United Data'!$C$3:$C$3390,$A726)&gt;0,1,0)</f>
        <v>0</v>
      </c>
      <c r="N726">
        <f>IF(COUNTIFS('United Data'!$A$3:$A$3390,N$1,'United Data'!$C$3:$C$3390,$A726)&gt;0,1,0)</f>
        <v>1</v>
      </c>
      <c r="O726">
        <f>IF(COUNTIFS('United Data'!$A$3:$A$3390,O$1,'United Data'!$C$3:$C$3390,$A726)&gt;0,1,0)</f>
        <v>0</v>
      </c>
      <c r="P726">
        <f>IF(COUNTIFS('United Data'!$A$3:$A$3390,P$1,'United Data'!$C$3:$C$3390,$A726)&gt;0,1,0)</f>
        <v>1</v>
      </c>
      <c r="Q726">
        <f>IF(COUNTIFS('United Data'!$A$3:$A$3390,Q$1,'United Data'!$C$3:$C$3390,$A726)&gt;0,1,0)</f>
        <v>0</v>
      </c>
      <c r="R726">
        <f>IF(COUNTIFS('United Data'!$A$3:$A$3390,R$1,'United Data'!$C$3:$C$3390,$A726)&gt;0,1,0)</f>
        <v>0</v>
      </c>
      <c r="S726">
        <f t="shared" si="22"/>
        <v>3</v>
      </c>
      <c r="T726">
        <f t="shared" si="23"/>
        <v>3</v>
      </c>
    </row>
    <row r="727" spans="1:20" x14ac:dyDescent="0.2">
      <c r="A727" t="s">
        <v>868</v>
      </c>
      <c r="B727">
        <f>IF(COUNTIFS('United Data'!$A$3:$A$3390,B$1,'United Data'!$C$3:$C$3390,$A727)&gt;0,1,0)</f>
        <v>1</v>
      </c>
      <c r="C727">
        <f>IF(COUNTIFS('United Data'!$A$3:$A$3390,C$1,'United Data'!$C$3:$C$3390,$A727)&gt;0,1,0)</f>
        <v>1</v>
      </c>
      <c r="D727">
        <f>IF(COUNTIFS('United Data'!$A$3:$A$3390,D$1,'United Data'!$C$3:$C$3390,$A727)&gt;0,1,0)</f>
        <v>0</v>
      </c>
      <c r="E727">
        <f>IF(COUNTIFS('United Data'!$A$3:$A$3390,E$1,'United Data'!$C$3:$C$3390,$A727)&gt;0,1,0)</f>
        <v>1</v>
      </c>
      <c r="F727">
        <f>IF(COUNTIFS('United Data'!$A$3:$A$3390,F$1,'United Data'!$C$3:$C$3390,$A727)&gt;0,1,0)</f>
        <v>1</v>
      </c>
      <c r="G727">
        <f>IF(COUNTIFS('United Data'!$A$3:$A$3390,G$1,'United Data'!$C$3:$C$3390,$A727)&gt;0,1,0)</f>
        <v>0</v>
      </c>
      <c r="H727">
        <f>IF(COUNTIFS('United Data'!$A$3:$A$3390,H$1,'United Data'!$C$3:$C$3390,$A727)&gt;0,1,0)</f>
        <v>0</v>
      </c>
      <c r="I727">
        <f>IF(COUNTIFS('United Data'!$A$3:$A$3390,I$1,'United Data'!$C$3:$C$3390,$A727)&gt;0,1,0)</f>
        <v>0</v>
      </c>
      <c r="J727">
        <f>IF(COUNTIFS('United Data'!$A$3:$A$3390,J$1,'United Data'!$C$3:$C$3390,$A727)&gt;0,1,0)</f>
        <v>1</v>
      </c>
      <c r="K727">
        <f>IF(COUNTIFS('United Data'!$A$3:$A$3390,K$1,'United Data'!$C$3:$C$3390,$A727)&gt;0,1,0)</f>
        <v>0</v>
      </c>
      <c r="L727">
        <f>IF(COUNTIFS('United Data'!$A$3:$A$3390,L$1,'United Data'!$C$3:$C$3390,$A727)&gt;0,1,0)</f>
        <v>1</v>
      </c>
      <c r="M727">
        <f>IF(COUNTIFS('United Data'!$A$3:$A$3390,M$1,'United Data'!$C$3:$C$3390,$A727)&gt;0,1,0)</f>
        <v>0</v>
      </c>
      <c r="N727">
        <f>IF(COUNTIFS('United Data'!$A$3:$A$3390,N$1,'United Data'!$C$3:$C$3390,$A727)&gt;0,1,0)</f>
        <v>1</v>
      </c>
      <c r="O727">
        <f>IF(COUNTIFS('United Data'!$A$3:$A$3390,O$1,'United Data'!$C$3:$C$3390,$A727)&gt;0,1,0)</f>
        <v>1</v>
      </c>
      <c r="P727">
        <f>IF(COUNTIFS('United Data'!$A$3:$A$3390,P$1,'United Data'!$C$3:$C$3390,$A727)&gt;0,1,0)</f>
        <v>1</v>
      </c>
      <c r="Q727">
        <f>IF(COUNTIFS('United Data'!$A$3:$A$3390,Q$1,'United Data'!$C$3:$C$3390,$A727)&gt;0,1,0)</f>
        <v>1</v>
      </c>
      <c r="R727">
        <f>IF(COUNTIFS('United Data'!$A$3:$A$3390,R$1,'United Data'!$C$3:$C$3390,$A727)&gt;0,1,0)</f>
        <v>1</v>
      </c>
      <c r="S727">
        <f t="shared" si="22"/>
        <v>11</v>
      </c>
      <c r="T727">
        <f t="shared" si="23"/>
        <v>5</v>
      </c>
    </row>
    <row r="728" spans="1:20" x14ac:dyDescent="0.2">
      <c r="A728" t="s">
        <v>869</v>
      </c>
      <c r="B728">
        <f>IF(COUNTIFS('United Data'!$A$3:$A$3390,B$1,'United Data'!$C$3:$C$3390,$A728)&gt;0,1,0)</f>
        <v>0</v>
      </c>
      <c r="C728">
        <f>IF(COUNTIFS('United Data'!$A$3:$A$3390,C$1,'United Data'!$C$3:$C$3390,$A728)&gt;0,1,0)</f>
        <v>0</v>
      </c>
      <c r="D728">
        <f>IF(COUNTIFS('United Data'!$A$3:$A$3390,D$1,'United Data'!$C$3:$C$3390,$A728)&gt;0,1,0)</f>
        <v>0</v>
      </c>
      <c r="E728">
        <f>IF(COUNTIFS('United Data'!$A$3:$A$3390,E$1,'United Data'!$C$3:$C$3390,$A728)&gt;0,1,0)</f>
        <v>0</v>
      </c>
      <c r="F728">
        <f>IF(COUNTIFS('United Data'!$A$3:$A$3390,F$1,'United Data'!$C$3:$C$3390,$A728)&gt;0,1,0)</f>
        <v>0</v>
      </c>
      <c r="G728">
        <f>IF(COUNTIFS('United Data'!$A$3:$A$3390,G$1,'United Data'!$C$3:$C$3390,$A728)&gt;0,1,0)</f>
        <v>0</v>
      </c>
      <c r="H728">
        <f>IF(COUNTIFS('United Data'!$A$3:$A$3390,H$1,'United Data'!$C$3:$C$3390,$A728)&gt;0,1,0)</f>
        <v>0</v>
      </c>
      <c r="I728">
        <f>IF(COUNTIFS('United Data'!$A$3:$A$3390,I$1,'United Data'!$C$3:$C$3390,$A728)&gt;0,1,0)</f>
        <v>0</v>
      </c>
      <c r="J728">
        <f>IF(COUNTIFS('United Data'!$A$3:$A$3390,J$1,'United Data'!$C$3:$C$3390,$A728)&gt;0,1,0)</f>
        <v>0</v>
      </c>
      <c r="K728">
        <f>IF(COUNTIFS('United Data'!$A$3:$A$3390,K$1,'United Data'!$C$3:$C$3390,$A728)&gt;0,1,0)</f>
        <v>0</v>
      </c>
      <c r="L728">
        <f>IF(COUNTIFS('United Data'!$A$3:$A$3390,L$1,'United Data'!$C$3:$C$3390,$A728)&gt;0,1,0)</f>
        <v>1</v>
      </c>
      <c r="M728">
        <f>IF(COUNTIFS('United Data'!$A$3:$A$3390,M$1,'United Data'!$C$3:$C$3390,$A728)&gt;0,1,0)</f>
        <v>0</v>
      </c>
      <c r="N728">
        <f>IF(COUNTIFS('United Data'!$A$3:$A$3390,N$1,'United Data'!$C$3:$C$3390,$A728)&gt;0,1,0)</f>
        <v>1</v>
      </c>
      <c r="O728">
        <f>IF(COUNTIFS('United Data'!$A$3:$A$3390,O$1,'United Data'!$C$3:$C$3390,$A728)&gt;0,1,0)</f>
        <v>0</v>
      </c>
      <c r="P728">
        <f>IF(COUNTIFS('United Data'!$A$3:$A$3390,P$1,'United Data'!$C$3:$C$3390,$A728)&gt;0,1,0)</f>
        <v>1</v>
      </c>
      <c r="Q728">
        <f>IF(COUNTIFS('United Data'!$A$3:$A$3390,Q$1,'United Data'!$C$3:$C$3390,$A728)&gt;0,1,0)</f>
        <v>0</v>
      </c>
      <c r="R728">
        <f>IF(COUNTIFS('United Data'!$A$3:$A$3390,R$1,'United Data'!$C$3:$C$3390,$A728)&gt;0,1,0)</f>
        <v>0</v>
      </c>
      <c r="S728">
        <f t="shared" si="22"/>
        <v>3</v>
      </c>
      <c r="T728">
        <f t="shared" si="23"/>
        <v>3</v>
      </c>
    </row>
    <row r="729" spans="1:20" x14ac:dyDescent="0.2">
      <c r="A729" t="s">
        <v>870</v>
      </c>
      <c r="B729">
        <f>IF(COUNTIFS('United Data'!$A$3:$A$3390,B$1,'United Data'!$C$3:$C$3390,$A729)&gt;0,1,0)</f>
        <v>0</v>
      </c>
      <c r="C729">
        <f>IF(COUNTIFS('United Data'!$A$3:$A$3390,C$1,'United Data'!$C$3:$C$3390,$A729)&gt;0,1,0)</f>
        <v>0</v>
      </c>
      <c r="D729">
        <f>IF(COUNTIFS('United Data'!$A$3:$A$3390,D$1,'United Data'!$C$3:$C$3390,$A729)&gt;0,1,0)</f>
        <v>0</v>
      </c>
      <c r="E729">
        <f>IF(COUNTIFS('United Data'!$A$3:$A$3390,E$1,'United Data'!$C$3:$C$3390,$A729)&gt;0,1,0)</f>
        <v>0</v>
      </c>
      <c r="F729">
        <f>IF(COUNTIFS('United Data'!$A$3:$A$3390,F$1,'United Data'!$C$3:$C$3390,$A729)&gt;0,1,0)</f>
        <v>0</v>
      </c>
      <c r="G729">
        <f>IF(COUNTIFS('United Data'!$A$3:$A$3390,G$1,'United Data'!$C$3:$C$3390,$A729)&gt;0,1,0)</f>
        <v>0</v>
      </c>
      <c r="H729">
        <f>IF(COUNTIFS('United Data'!$A$3:$A$3390,H$1,'United Data'!$C$3:$C$3390,$A729)&gt;0,1,0)</f>
        <v>0</v>
      </c>
      <c r="I729">
        <f>IF(COUNTIFS('United Data'!$A$3:$A$3390,I$1,'United Data'!$C$3:$C$3390,$A729)&gt;0,1,0)</f>
        <v>0</v>
      </c>
      <c r="J729">
        <f>IF(COUNTIFS('United Data'!$A$3:$A$3390,J$1,'United Data'!$C$3:$C$3390,$A729)&gt;0,1,0)</f>
        <v>0</v>
      </c>
      <c r="K729">
        <f>IF(COUNTIFS('United Data'!$A$3:$A$3390,K$1,'United Data'!$C$3:$C$3390,$A729)&gt;0,1,0)</f>
        <v>0</v>
      </c>
      <c r="L729">
        <f>IF(COUNTIFS('United Data'!$A$3:$A$3390,L$1,'United Data'!$C$3:$C$3390,$A729)&gt;0,1,0)</f>
        <v>1</v>
      </c>
      <c r="M729">
        <f>IF(COUNTIFS('United Data'!$A$3:$A$3390,M$1,'United Data'!$C$3:$C$3390,$A729)&gt;0,1,0)</f>
        <v>0</v>
      </c>
      <c r="N729">
        <f>IF(COUNTIFS('United Data'!$A$3:$A$3390,N$1,'United Data'!$C$3:$C$3390,$A729)&gt;0,1,0)</f>
        <v>0</v>
      </c>
      <c r="O729">
        <f>IF(COUNTIFS('United Data'!$A$3:$A$3390,O$1,'United Data'!$C$3:$C$3390,$A729)&gt;0,1,0)</f>
        <v>0</v>
      </c>
      <c r="P729">
        <f>IF(COUNTIFS('United Data'!$A$3:$A$3390,P$1,'United Data'!$C$3:$C$3390,$A729)&gt;0,1,0)</f>
        <v>0</v>
      </c>
      <c r="Q729">
        <f>IF(COUNTIFS('United Data'!$A$3:$A$3390,Q$1,'United Data'!$C$3:$C$3390,$A729)&gt;0,1,0)</f>
        <v>0</v>
      </c>
      <c r="R729">
        <f>IF(COUNTIFS('United Data'!$A$3:$A$3390,R$1,'United Data'!$C$3:$C$3390,$A729)&gt;0,1,0)</f>
        <v>0</v>
      </c>
      <c r="S729">
        <f t="shared" si="22"/>
        <v>1</v>
      </c>
      <c r="T729">
        <f t="shared" si="23"/>
        <v>1</v>
      </c>
    </row>
    <row r="730" spans="1:20" x14ac:dyDescent="0.2">
      <c r="A730" t="s">
        <v>871</v>
      </c>
      <c r="B730">
        <f>IF(COUNTIFS('United Data'!$A$3:$A$3390,B$1,'United Data'!$C$3:$C$3390,$A730)&gt;0,1,0)</f>
        <v>0</v>
      </c>
      <c r="C730">
        <f>IF(COUNTIFS('United Data'!$A$3:$A$3390,C$1,'United Data'!$C$3:$C$3390,$A730)&gt;0,1,0)</f>
        <v>0</v>
      </c>
      <c r="D730">
        <f>IF(COUNTIFS('United Data'!$A$3:$A$3390,D$1,'United Data'!$C$3:$C$3390,$A730)&gt;0,1,0)</f>
        <v>0</v>
      </c>
      <c r="E730">
        <f>IF(COUNTIFS('United Data'!$A$3:$A$3390,E$1,'United Data'!$C$3:$C$3390,$A730)&gt;0,1,0)</f>
        <v>0</v>
      </c>
      <c r="F730">
        <f>IF(COUNTIFS('United Data'!$A$3:$A$3390,F$1,'United Data'!$C$3:$C$3390,$A730)&gt;0,1,0)</f>
        <v>0</v>
      </c>
      <c r="G730">
        <f>IF(COUNTIFS('United Data'!$A$3:$A$3390,G$1,'United Data'!$C$3:$C$3390,$A730)&gt;0,1,0)</f>
        <v>0</v>
      </c>
      <c r="H730">
        <f>IF(COUNTIFS('United Data'!$A$3:$A$3390,H$1,'United Data'!$C$3:$C$3390,$A730)&gt;0,1,0)</f>
        <v>0</v>
      </c>
      <c r="I730">
        <f>IF(COUNTIFS('United Data'!$A$3:$A$3390,I$1,'United Data'!$C$3:$C$3390,$A730)&gt;0,1,0)</f>
        <v>0</v>
      </c>
      <c r="J730">
        <f>IF(COUNTIFS('United Data'!$A$3:$A$3390,J$1,'United Data'!$C$3:$C$3390,$A730)&gt;0,1,0)</f>
        <v>0</v>
      </c>
      <c r="K730">
        <f>IF(COUNTIFS('United Data'!$A$3:$A$3390,K$1,'United Data'!$C$3:$C$3390,$A730)&gt;0,1,0)</f>
        <v>0</v>
      </c>
      <c r="L730">
        <f>IF(COUNTIFS('United Data'!$A$3:$A$3390,L$1,'United Data'!$C$3:$C$3390,$A730)&gt;0,1,0)</f>
        <v>0</v>
      </c>
      <c r="M730">
        <f>IF(COUNTIFS('United Data'!$A$3:$A$3390,M$1,'United Data'!$C$3:$C$3390,$A730)&gt;0,1,0)</f>
        <v>0</v>
      </c>
      <c r="N730">
        <f>IF(COUNTIFS('United Data'!$A$3:$A$3390,N$1,'United Data'!$C$3:$C$3390,$A730)&gt;0,1,0)</f>
        <v>1</v>
      </c>
      <c r="O730">
        <f>IF(COUNTIFS('United Data'!$A$3:$A$3390,O$1,'United Data'!$C$3:$C$3390,$A730)&gt;0,1,0)</f>
        <v>1</v>
      </c>
      <c r="P730">
        <f>IF(COUNTIFS('United Data'!$A$3:$A$3390,P$1,'United Data'!$C$3:$C$3390,$A730)&gt;0,1,0)</f>
        <v>0</v>
      </c>
      <c r="Q730">
        <f>IF(COUNTIFS('United Data'!$A$3:$A$3390,Q$1,'United Data'!$C$3:$C$3390,$A730)&gt;0,1,0)</f>
        <v>0</v>
      </c>
      <c r="R730">
        <f>IF(COUNTIFS('United Data'!$A$3:$A$3390,R$1,'United Data'!$C$3:$C$3390,$A730)&gt;0,1,0)</f>
        <v>0</v>
      </c>
      <c r="S730">
        <f t="shared" si="22"/>
        <v>2</v>
      </c>
      <c r="T730">
        <f t="shared" si="23"/>
        <v>1</v>
      </c>
    </row>
    <row r="731" spans="1:20" x14ac:dyDescent="0.2">
      <c r="A731" t="s">
        <v>873</v>
      </c>
      <c r="B731">
        <f>IF(COUNTIFS('United Data'!$A$3:$A$3390,B$1,'United Data'!$C$3:$C$3390,$A731)&gt;0,1,0)</f>
        <v>0</v>
      </c>
      <c r="C731">
        <f>IF(COUNTIFS('United Data'!$A$3:$A$3390,C$1,'United Data'!$C$3:$C$3390,$A731)&gt;0,1,0)</f>
        <v>0</v>
      </c>
      <c r="D731">
        <f>IF(COUNTIFS('United Data'!$A$3:$A$3390,D$1,'United Data'!$C$3:$C$3390,$A731)&gt;0,1,0)</f>
        <v>0</v>
      </c>
      <c r="E731">
        <f>IF(COUNTIFS('United Data'!$A$3:$A$3390,E$1,'United Data'!$C$3:$C$3390,$A731)&gt;0,1,0)</f>
        <v>0</v>
      </c>
      <c r="F731">
        <f>IF(COUNTIFS('United Data'!$A$3:$A$3390,F$1,'United Data'!$C$3:$C$3390,$A731)&gt;0,1,0)</f>
        <v>0</v>
      </c>
      <c r="G731">
        <f>IF(COUNTIFS('United Data'!$A$3:$A$3390,G$1,'United Data'!$C$3:$C$3390,$A731)&gt;0,1,0)</f>
        <v>0</v>
      </c>
      <c r="H731">
        <f>IF(COUNTIFS('United Data'!$A$3:$A$3390,H$1,'United Data'!$C$3:$C$3390,$A731)&gt;0,1,0)</f>
        <v>0</v>
      </c>
      <c r="I731">
        <f>IF(COUNTIFS('United Data'!$A$3:$A$3390,I$1,'United Data'!$C$3:$C$3390,$A731)&gt;0,1,0)</f>
        <v>0</v>
      </c>
      <c r="J731">
        <f>IF(COUNTIFS('United Data'!$A$3:$A$3390,J$1,'United Data'!$C$3:$C$3390,$A731)&gt;0,1,0)</f>
        <v>0</v>
      </c>
      <c r="K731">
        <f>IF(COUNTIFS('United Data'!$A$3:$A$3390,K$1,'United Data'!$C$3:$C$3390,$A731)&gt;0,1,0)</f>
        <v>0</v>
      </c>
      <c r="L731">
        <f>IF(COUNTIFS('United Data'!$A$3:$A$3390,L$1,'United Data'!$C$3:$C$3390,$A731)&gt;0,1,0)</f>
        <v>0</v>
      </c>
      <c r="M731">
        <f>IF(COUNTIFS('United Data'!$A$3:$A$3390,M$1,'United Data'!$C$3:$C$3390,$A731)&gt;0,1,0)</f>
        <v>0</v>
      </c>
      <c r="N731">
        <f>IF(COUNTIFS('United Data'!$A$3:$A$3390,N$1,'United Data'!$C$3:$C$3390,$A731)&gt;0,1,0)</f>
        <v>0</v>
      </c>
      <c r="O731">
        <f>IF(COUNTIFS('United Data'!$A$3:$A$3390,O$1,'United Data'!$C$3:$C$3390,$A731)&gt;0,1,0)</f>
        <v>1</v>
      </c>
      <c r="P731">
        <f>IF(COUNTIFS('United Data'!$A$3:$A$3390,P$1,'United Data'!$C$3:$C$3390,$A731)&gt;0,1,0)</f>
        <v>1</v>
      </c>
      <c r="Q731">
        <f>IF(COUNTIFS('United Data'!$A$3:$A$3390,Q$1,'United Data'!$C$3:$C$3390,$A731)&gt;0,1,0)</f>
        <v>0</v>
      </c>
      <c r="R731">
        <f>IF(COUNTIFS('United Data'!$A$3:$A$3390,R$1,'United Data'!$C$3:$C$3390,$A731)&gt;0,1,0)</f>
        <v>0</v>
      </c>
      <c r="S731">
        <f t="shared" si="22"/>
        <v>2</v>
      </c>
      <c r="T731">
        <f t="shared" si="23"/>
        <v>1</v>
      </c>
    </row>
    <row r="732" spans="1:20" x14ac:dyDescent="0.2">
      <c r="A732" t="s">
        <v>874</v>
      </c>
      <c r="B732">
        <f>IF(COUNTIFS('United Data'!$A$3:$A$3390,B$1,'United Data'!$C$3:$C$3390,$A732)&gt;0,1,0)</f>
        <v>0</v>
      </c>
      <c r="C732">
        <f>IF(COUNTIFS('United Data'!$A$3:$A$3390,C$1,'United Data'!$C$3:$C$3390,$A732)&gt;0,1,0)</f>
        <v>0</v>
      </c>
      <c r="D732">
        <f>IF(COUNTIFS('United Data'!$A$3:$A$3390,D$1,'United Data'!$C$3:$C$3390,$A732)&gt;0,1,0)</f>
        <v>0</v>
      </c>
      <c r="E732">
        <f>IF(COUNTIFS('United Data'!$A$3:$A$3390,E$1,'United Data'!$C$3:$C$3390,$A732)&gt;0,1,0)</f>
        <v>0</v>
      </c>
      <c r="F732">
        <f>IF(COUNTIFS('United Data'!$A$3:$A$3390,F$1,'United Data'!$C$3:$C$3390,$A732)&gt;0,1,0)</f>
        <v>0</v>
      </c>
      <c r="G732">
        <f>IF(COUNTIFS('United Data'!$A$3:$A$3390,G$1,'United Data'!$C$3:$C$3390,$A732)&gt;0,1,0)</f>
        <v>0</v>
      </c>
      <c r="H732">
        <f>IF(COUNTIFS('United Data'!$A$3:$A$3390,H$1,'United Data'!$C$3:$C$3390,$A732)&gt;0,1,0)</f>
        <v>0</v>
      </c>
      <c r="I732">
        <f>IF(COUNTIFS('United Data'!$A$3:$A$3390,I$1,'United Data'!$C$3:$C$3390,$A732)&gt;0,1,0)</f>
        <v>0</v>
      </c>
      <c r="J732">
        <f>IF(COUNTIFS('United Data'!$A$3:$A$3390,J$1,'United Data'!$C$3:$C$3390,$A732)&gt;0,1,0)</f>
        <v>0</v>
      </c>
      <c r="K732">
        <f>IF(COUNTIFS('United Data'!$A$3:$A$3390,K$1,'United Data'!$C$3:$C$3390,$A732)&gt;0,1,0)</f>
        <v>0</v>
      </c>
      <c r="L732">
        <f>IF(COUNTIFS('United Data'!$A$3:$A$3390,L$1,'United Data'!$C$3:$C$3390,$A732)&gt;0,1,0)</f>
        <v>0</v>
      </c>
      <c r="M732">
        <f>IF(COUNTIFS('United Data'!$A$3:$A$3390,M$1,'United Data'!$C$3:$C$3390,$A732)&gt;0,1,0)</f>
        <v>0</v>
      </c>
      <c r="N732">
        <f>IF(COUNTIFS('United Data'!$A$3:$A$3390,N$1,'United Data'!$C$3:$C$3390,$A732)&gt;0,1,0)</f>
        <v>0</v>
      </c>
      <c r="O732">
        <f>IF(COUNTIFS('United Data'!$A$3:$A$3390,O$1,'United Data'!$C$3:$C$3390,$A732)&gt;0,1,0)</f>
        <v>0</v>
      </c>
      <c r="P732">
        <f>IF(COUNTIFS('United Data'!$A$3:$A$3390,P$1,'United Data'!$C$3:$C$3390,$A732)&gt;0,1,0)</f>
        <v>1</v>
      </c>
      <c r="Q732">
        <f>IF(COUNTIFS('United Data'!$A$3:$A$3390,Q$1,'United Data'!$C$3:$C$3390,$A732)&gt;0,1,0)</f>
        <v>0</v>
      </c>
      <c r="R732">
        <f>IF(COUNTIFS('United Data'!$A$3:$A$3390,R$1,'United Data'!$C$3:$C$3390,$A732)&gt;0,1,0)</f>
        <v>0</v>
      </c>
      <c r="S732">
        <f t="shared" si="22"/>
        <v>1</v>
      </c>
      <c r="T732">
        <f t="shared" si="23"/>
        <v>1</v>
      </c>
    </row>
    <row r="733" spans="1:20" x14ac:dyDescent="0.2">
      <c r="A733" t="s">
        <v>875</v>
      </c>
      <c r="B733">
        <f>IF(COUNTIFS('United Data'!$A$3:$A$3390,B$1,'United Data'!$C$3:$C$3390,$A733)&gt;0,1,0)</f>
        <v>0</v>
      </c>
      <c r="C733">
        <f>IF(COUNTIFS('United Data'!$A$3:$A$3390,C$1,'United Data'!$C$3:$C$3390,$A733)&gt;0,1,0)</f>
        <v>0</v>
      </c>
      <c r="D733">
        <f>IF(COUNTIFS('United Data'!$A$3:$A$3390,D$1,'United Data'!$C$3:$C$3390,$A733)&gt;0,1,0)</f>
        <v>0</v>
      </c>
      <c r="E733">
        <f>IF(COUNTIFS('United Data'!$A$3:$A$3390,E$1,'United Data'!$C$3:$C$3390,$A733)&gt;0,1,0)</f>
        <v>0</v>
      </c>
      <c r="F733">
        <f>IF(COUNTIFS('United Data'!$A$3:$A$3390,F$1,'United Data'!$C$3:$C$3390,$A733)&gt;0,1,0)</f>
        <v>0</v>
      </c>
      <c r="G733">
        <f>IF(COUNTIFS('United Data'!$A$3:$A$3390,G$1,'United Data'!$C$3:$C$3390,$A733)&gt;0,1,0)</f>
        <v>0</v>
      </c>
      <c r="H733">
        <f>IF(COUNTIFS('United Data'!$A$3:$A$3390,H$1,'United Data'!$C$3:$C$3390,$A733)&gt;0,1,0)</f>
        <v>0</v>
      </c>
      <c r="I733">
        <f>IF(COUNTIFS('United Data'!$A$3:$A$3390,I$1,'United Data'!$C$3:$C$3390,$A733)&gt;0,1,0)</f>
        <v>0</v>
      </c>
      <c r="J733">
        <f>IF(COUNTIFS('United Data'!$A$3:$A$3390,J$1,'United Data'!$C$3:$C$3390,$A733)&gt;0,1,0)</f>
        <v>0</v>
      </c>
      <c r="K733">
        <f>IF(COUNTIFS('United Data'!$A$3:$A$3390,K$1,'United Data'!$C$3:$C$3390,$A733)&gt;0,1,0)</f>
        <v>0</v>
      </c>
      <c r="L733">
        <f>IF(COUNTIFS('United Data'!$A$3:$A$3390,L$1,'United Data'!$C$3:$C$3390,$A733)&gt;0,1,0)</f>
        <v>0</v>
      </c>
      <c r="M733">
        <f>IF(COUNTIFS('United Data'!$A$3:$A$3390,M$1,'United Data'!$C$3:$C$3390,$A733)&gt;0,1,0)</f>
        <v>0</v>
      </c>
      <c r="N733">
        <f>IF(COUNTIFS('United Data'!$A$3:$A$3390,N$1,'United Data'!$C$3:$C$3390,$A733)&gt;0,1,0)</f>
        <v>0</v>
      </c>
      <c r="O733">
        <f>IF(COUNTIFS('United Data'!$A$3:$A$3390,O$1,'United Data'!$C$3:$C$3390,$A733)&gt;0,1,0)</f>
        <v>0</v>
      </c>
      <c r="P733">
        <f>IF(COUNTIFS('United Data'!$A$3:$A$3390,P$1,'United Data'!$C$3:$C$3390,$A733)&gt;0,1,0)</f>
        <v>1</v>
      </c>
      <c r="Q733">
        <f>IF(COUNTIFS('United Data'!$A$3:$A$3390,Q$1,'United Data'!$C$3:$C$3390,$A733)&gt;0,1,0)</f>
        <v>1</v>
      </c>
      <c r="R733">
        <f>IF(COUNTIFS('United Data'!$A$3:$A$3390,R$1,'United Data'!$C$3:$C$3390,$A733)&gt;0,1,0)</f>
        <v>1</v>
      </c>
      <c r="S733">
        <f t="shared" si="22"/>
        <v>3</v>
      </c>
      <c r="T733">
        <f t="shared" si="23"/>
        <v>1</v>
      </c>
    </row>
    <row r="734" spans="1:20" x14ac:dyDescent="0.2">
      <c r="A734" t="s">
        <v>876</v>
      </c>
      <c r="B734">
        <f>IF(COUNTIFS('United Data'!$A$3:$A$3390,B$1,'United Data'!$C$3:$C$3390,$A734)&gt;0,1,0)</f>
        <v>0</v>
      </c>
      <c r="C734">
        <f>IF(COUNTIFS('United Data'!$A$3:$A$3390,C$1,'United Data'!$C$3:$C$3390,$A734)&gt;0,1,0)</f>
        <v>0</v>
      </c>
      <c r="D734">
        <f>IF(COUNTIFS('United Data'!$A$3:$A$3390,D$1,'United Data'!$C$3:$C$3390,$A734)&gt;0,1,0)</f>
        <v>0</v>
      </c>
      <c r="E734">
        <f>IF(COUNTIFS('United Data'!$A$3:$A$3390,E$1,'United Data'!$C$3:$C$3390,$A734)&gt;0,1,0)</f>
        <v>0</v>
      </c>
      <c r="F734">
        <f>IF(COUNTIFS('United Data'!$A$3:$A$3390,F$1,'United Data'!$C$3:$C$3390,$A734)&gt;0,1,0)</f>
        <v>0</v>
      </c>
      <c r="G734">
        <f>IF(COUNTIFS('United Data'!$A$3:$A$3390,G$1,'United Data'!$C$3:$C$3390,$A734)&gt;0,1,0)</f>
        <v>0</v>
      </c>
      <c r="H734">
        <f>IF(COUNTIFS('United Data'!$A$3:$A$3390,H$1,'United Data'!$C$3:$C$3390,$A734)&gt;0,1,0)</f>
        <v>0</v>
      </c>
      <c r="I734">
        <f>IF(COUNTIFS('United Data'!$A$3:$A$3390,I$1,'United Data'!$C$3:$C$3390,$A734)&gt;0,1,0)</f>
        <v>0</v>
      </c>
      <c r="J734">
        <f>IF(COUNTIFS('United Data'!$A$3:$A$3390,J$1,'United Data'!$C$3:$C$3390,$A734)&gt;0,1,0)</f>
        <v>0</v>
      </c>
      <c r="K734">
        <f>IF(COUNTIFS('United Data'!$A$3:$A$3390,K$1,'United Data'!$C$3:$C$3390,$A734)&gt;0,1,0)</f>
        <v>0</v>
      </c>
      <c r="L734">
        <f>IF(COUNTIFS('United Data'!$A$3:$A$3390,L$1,'United Data'!$C$3:$C$3390,$A734)&gt;0,1,0)</f>
        <v>0</v>
      </c>
      <c r="M734">
        <f>IF(COUNTIFS('United Data'!$A$3:$A$3390,M$1,'United Data'!$C$3:$C$3390,$A734)&gt;0,1,0)</f>
        <v>0</v>
      </c>
      <c r="N734">
        <f>IF(COUNTIFS('United Data'!$A$3:$A$3390,N$1,'United Data'!$C$3:$C$3390,$A734)&gt;0,1,0)</f>
        <v>0</v>
      </c>
      <c r="O734">
        <f>IF(COUNTIFS('United Data'!$A$3:$A$3390,O$1,'United Data'!$C$3:$C$3390,$A734)&gt;0,1,0)</f>
        <v>0</v>
      </c>
      <c r="P734">
        <f>IF(COUNTIFS('United Data'!$A$3:$A$3390,P$1,'United Data'!$C$3:$C$3390,$A734)&gt;0,1,0)</f>
        <v>1</v>
      </c>
      <c r="Q734">
        <f>IF(COUNTIFS('United Data'!$A$3:$A$3390,Q$1,'United Data'!$C$3:$C$3390,$A734)&gt;0,1,0)</f>
        <v>0</v>
      </c>
      <c r="R734">
        <f>IF(COUNTIFS('United Data'!$A$3:$A$3390,R$1,'United Data'!$C$3:$C$3390,$A734)&gt;0,1,0)</f>
        <v>0</v>
      </c>
      <c r="S734">
        <f t="shared" si="22"/>
        <v>1</v>
      </c>
      <c r="T734">
        <f t="shared" si="23"/>
        <v>1</v>
      </c>
    </row>
    <row r="735" spans="1:20" x14ac:dyDescent="0.2">
      <c r="A735" t="s">
        <v>877</v>
      </c>
      <c r="B735">
        <f>IF(COUNTIFS('United Data'!$A$3:$A$3390,B$1,'United Data'!$C$3:$C$3390,$A735)&gt;0,1,0)</f>
        <v>0</v>
      </c>
      <c r="C735">
        <f>IF(COUNTIFS('United Data'!$A$3:$A$3390,C$1,'United Data'!$C$3:$C$3390,$A735)&gt;0,1,0)</f>
        <v>0</v>
      </c>
      <c r="D735">
        <f>IF(COUNTIFS('United Data'!$A$3:$A$3390,D$1,'United Data'!$C$3:$C$3390,$A735)&gt;0,1,0)</f>
        <v>0</v>
      </c>
      <c r="E735">
        <f>IF(COUNTIFS('United Data'!$A$3:$A$3390,E$1,'United Data'!$C$3:$C$3390,$A735)&gt;0,1,0)</f>
        <v>0</v>
      </c>
      <c r="F735">
        <f>IF(COUNTIFS('United Data'!$A$3:$A$3390,F$1,'United Data'!$C$3:$C$3390,$A735)&gt;0,1,0)</f>
        <v>0</v>
      </c>
      <c r="G735">
        <f>IF(COUNTIFS('United Data'!$A$3:$A$3390,G$1,'United Data'!$C$3:$C$3390,$A735)&gt;0,1,0)</f>
        <v>0</v>
      </c>
      <c r="H735">
        <f>IF(COUNTIFS('United Data'!$A$3:$A$3390,H$1,'United Data'!$C$3:$C$3390,$A735)&gt;0,1,0)</f>
        <v>0</v>
      </c>
      <c r="I735">
        <f>IF(COUNTIFS('United Data'!$A$3:$A$3390,I$1,'United Data'!$C$3:$C$3390,$A735)&gt;0,1,0)</f>
        <v>0</v>
      </c>
      <c r="J735">
        <f>IF(COUNTIFS('United Data'!$A$3:$A$3390,J$1,'United Data'!$C$3:$C$3390,$A735)&gt;0,1,0)</f>
        <v>0</v>
      </c>
      <c r="K735">
        <f>IF(COUNTIFS('United Data'!$A$3:$A$3390,K$1,'United Data'!$C$3:$C$3390,$A735)&gt;0,1,0)</f>
        <v>0</v>
      </c>
      <c r="L735">
        <f>IF(COUNTIFS('United Data'!$A$3:$A$3390,L$1,'United Data'!$C$3:$C$3390,$A735)&gt;0,1,0)</f>
        <v>0</v>
      </c>
      <c r="M735">
        <f>IF(COUNTIFS('United Data'!$A$3:$A$3390,M$1,'United Data'!$C$3:$C$3390,$A735)&gt;0,1,0)</f>
        <v>0</v>
      </c>
      <c r="N735">
        <f>IF(COUNTIFS('United Data'!$A$3:$A$3390,N$1,'United Data'!$C$3:$C$3390,$A735)&gt;0,1,0)</f>
        <v>0</v>
      </c>
      <c r="O735">
        <f>IF(COUNTIFS('United Data'!$A$3:$A$3390,O$1,'United Data'!$C$3:$C$3390,$A735)&gt;0,1,0)</f>
        <v>0</v>
      </c>
      <c r="P735">
        <f>IF(COUNTIFS('United Data'!$A$3:$A$3390,P$1,'United Data'!$C$3:$C$3390,$A735)&gt;0,1,0)</f>
        <v>1</v>
      </c>
      <c r="Q735">
        <f>IF(COUNTIFS('United Data'!$A$3:$A$3390,Q$1,'United Data'!$C$3:$C$3390,$A735)&gt;0,1,0)</f>
        <v>0</v>
      </c>
      <c r="R735">
        <f>IF(COUNTIFS('United Data'!$A$3:$A$3390,R$1,'United Data'!$C$3:$C$3390,$A735)&gt;0,1,0)</f>
        <v>0</v>
      </c>
      <c r="S735">
        <f t="shared" si="22"/>
        <v>1</v>
      </c>
      <c r="T735">
        <f t="shared" si="23"/>
        <v>1</v>
      </c>
    </row>
    <row r="736" spans="1:20" x14ac:dyDescent="0.2">
      <c r="A736" t="s">
        <v>878</v>
      </c>
      <c r="B736">
        <f>IF(COUNTIFS('United Data'!$A$3:$A$3390,B$1,'United Data'!$C$3:$C$3390,$A736)&gt;0,1,0)</f>
        <v>0</v>
      </c>
      <c r="C736">
        <f>IF(COUNTIFS('United Data'!$A$3:$A$3390,C$1,'United Data'!$C$3:$C$3390,$A736)&gt;0,1,0)</f>
        <v>0</v>
      </c>
      <c r="D736">
        <f>IF(COUNTIFS('United Data'!$A$3:$A$3390,D$1,'United Data'!$C$3:$C$3390,$A736)&gt;0,1,0)</f>
        <v>0</v>
      </c>
      <c r="E736">
        <f>IF(COUNTIFS('United Data'!$A$3:$A$3390,E$1,'United Data'!$C$3:$C$3390,$A736)&gt;0,1,0)</f>
        <v>0</v>
      </c>
      <c r="F736">
        <f>IF(COUNTIFS('United Data'!$A$3:$A$3390,F$1,'United Data'!$C$3:$C$3390,$A736)&gt;0,1,0)</f>
        <v>0</v>
      </c>
      <c r="G736">
        <f>IF(COUNTIFS('United Data'!$A$3:$A$3390,G$1,'United Data'!$C$3:$C$3390,$A736)&gt;0,1,0)</f>
        <v>0</v>
      </c>
      <c r="H736">
        <f>IF(COUNTIFS('United Data'!$A$3:$A$3390,H$1,'United Data'!$C$3:$C$3390,$A736)&gt;0,1,0)</f>
        <v>0</v>
      </c>
      <c r="I736">
        <f>IF(COUNTIFS('United Data'!$A$3:$A$3390,I$1,'United Data'!$C$3:$C$3390,$A736)&gt;0,1,0)</f>
        <v>0</v>
      </c>
      <c r="J736">
        <f>IF(COUNTIFS('United Data'!$A$3:$A$3390,J$1,'United Data'!$C$3:$C$3390,$A736)&gt;0,1,0)</f>
        <v>0</v>
      </c>
      <c r="K736">
        <f>IF(COUNTIFS('United Data'!$A$3:$A$3390,K$1,'United Data'!$C$3:$C$3390,$A736)&gt;0,1,0)</f>
        <v>0</v>
      </c>
      <c r="L736">
        <f>IF(COUNTIFS('United Data'!$A$3:$A$3390,L$1,'United Data'!$C$3:$C$3390,$A736)&gt;0,1,0)</f>
        <v>0</v>
      </c>
      <c r="M736">
        <f>IF(COUNTIFS('United Data'!$A$3:$A$3390,M$1,'United Data'!$C$3:$C$3390,$A736)&gt;0,1,0)</f>
        <v>0</v>
      </c>
      <c r="N736">
        <f>IF(COUNTIFS('United Data'!$A$3:$A$3390,N$1,'United Data'!$C$3:$C$3390,$A736)&gt;0,1,0)</f>
        <v>0</v>
      </c>
      <c r="O736">
        <f>IF(COUNTIFS('United Data'!$A$3:$A$3390,O$1,'United Data'!$C$3:$C$3390,$A736)&gt;0,1,0)</f>
        <v>0</v>
      </c>
      <c r="P736">
        <f>IF(COUNTIFS('United Data'!$A$3:$A$3390,P$1,'United Data'!$C$3:$C$3390,$A736)&gt;0,1,0)</f>
        <v>1</v>
      </c>
      <c r="Q736">
        <f>IF(COUNTIFS('United Data'!$A$3:$A$3390,Q$1,'United Data'!$C$3:$C$3390,$A736)&gt;0,1,0)</f>
        <v>0</v>
      </c>
      <c r="R736">
        <f>IF(COUNTIFS('United Data'!$A$3:$A$3390,R$1,'United Data'!$C$3:$C$3390,$A736)&gt;0,1,0)</f>
        <v>0</v>
      </c>
      <c r="S736">
        <f t="shared" si="22"/>
        <v>1</v>
      </c>
      <c r="T736">
        <f t="shared" si="23"/>
        <v>1</v>
      </c>
    </row>
    <row r="737" spans="1:20" x14ac:dyDescent="0.2">
      <c r="A737" t="s">
        <v>879</v>
      </c>
      <c r="B737">
        <f>IF(COUNTIFS('United Data'!$A$3:$A$3390,B$1,'United Data'!$C$3:$C$3390,$A737)&gt;0,1,0)</f>
        <v>0</v>
      </c>
      <c r="C737">
        <f>IF(COUNTIFS('United Data'!$A$3:$A$3390,C$1,'United Data'!$C$3:$C$3390,$A737)&gt;0,1,0)</f>
        <v>0</v>
      </c>
      <c r="D737">
        <f>IF(COUNTIFS('United Data'!$A$3:$A$3390,D$1,'United Data'!$C$3:$C$3390,$A737)&gt;0,1,0)</f>
        <v>0</v>
      </c>
      <c r="E737">
        <f>IF(COUNTIFS('United Data'!$A$3:$A$3390,E$1,'United Data'!$C$3:$C$3390,$A737)&gt;0,1,0)</f>
        <v>0</v>
      </c>
      <c r="F737">
        <f>IF(COUNTIFS('United Data'!$A$3:$A$3390,F$1,'United Data'!$C$3:$C$3390,$A737)&gt;0,1,0)</f>
        <v>0</v>
      </c>
      <c r="G737">
        <f>IF(COUNTIFS('United Data'!$A$3:$A$3390,G$1,'United Data'!$C$3:$C$3390,$A737)&gt;0,1,0)</f>
        <v>0</v>
      </c>
      <c r="H737">
        <f>IF(COUNTIFS('United Data'!$A$3:$A$3390,H$1,'United Data'!$C$3:$C$3390,$A737)&gt;0,1,0)</f>
        <v>0</v>
      </c>
      <c r="I737">
        <f>IF(COUNTIFS('United Data'!$A$3:$A$3390,I$1,'United Data'!$C$3:$C$3390,$A737)&gt;0,1,0)</f>
        <v>0</v>
      </c>
      <c r="J737">
        <f>IF(COUNTIFS('United Data'!$A$3:$A$3390,J$1,'United Data'!$C$3:$C$3390,$A737)&gt;0,1,0)</f>
        <v>0</v>
      </c>
      <c r="K737">
        <f>IF(COUNTIFS('United Data'!$A$3:$A$3390,K$1,'United Data'!$C$3:$C$3390,$A737)&gt;0,1,0)</f>
        <v>0</v>
      </c>
      <c r="L737">
        <f>IF(COUNTIFS('United Data'!$A$3:$A$3390,L$1,'United Data'!$C$3:$C$3390,$A737)&gt;0,1,0)</f>
        <v>0</v>
      </c>
      <c r="M737">
        <f>IF(COUNTIFS('United Data'!$A$3:$A$3390,M$1,'United Data'!$C$3:$C$3390,$A737)&gt;0,1,0)</f>
        <v>0</v>
      </c>
      <c r="N737">
        <f>IF(COUNTIFS('United Data'!$A$3:$A$3390,N$1,'United Data'!$C$3:$C$3390,$A737)&gt;0,1,0)</f>
        <v>0</v>
      </c>
      <c r="O737">
        <f>IF(COUNTIFS('United Data'!$A$3:$A$3390,O$1,'United Data'!$C$3:$C$3390,$A737)&gt;0,1,0)</f>
        <v>0</v>
      </c>
      <c r="P737">
        <f>IF(COUNTIFS('United Data'!$A$3:$A$3390,P$1,'United Data'!$C$3:$C$3390,$A737)&gt;0,1,0)</f>
        <v>0</v>
      </c>
      <c r="Q737">
        <f>IF(COUNTIFS('United Data'!$A$3:$A$3390,Q$1,'United Data'!$C$3:$C$3390,$A737)&gt;0,1,0)</f>
        <v>1</v>
      </c>
      <c r="R737">
        <f>IF(COUNTIFS('United Data'!$A$3:$A$3390,R$1,'United Data'!$C$3:$C$3390,$A737)&gt;0,1,0)</f>
        <v>0</v>
      </c>
      <c r="S737">
        <f t="shared" si="22"/>
        <v>1</v>
      </c>
      <c r="T737">
        <f t="shared" si="23"/>
        <v>1</v>
      </c>
    </row>
    <row r="738" spans="1:20" x14ac:dyDescent="0.2">
      <c r="A738" t="s">
        <v>880</v>
      </c>
      <c r="B738">
        <f>IF(COUNTIFS('United Data'!$A$3:$A$3390,B$1,'United Data'!$C$3:$C$3390,$A738)&gt;0,1,0)</f>
        <v>0</v>
      </c>
      <c r="C738">
        <f>IF(COUNTIFS('United Data'!$A$3:$A$3390,C$1,'United Data'!$C$3:$C$3390,$A738)&gt;0,1,0)</f>
        <v>0</v>
      </c>
      <c r="D738">
        <f>IF(COUNTIFS('United Data'!$A$3:$A$3390,D$1,'United Data'!$C$3:$C$3390,$A738)&gt;0,1,0)</f>
        <v>0</v>
      </c>
      <c r="E738">
        <f>IF(COUNTIFS('United Data'!$A$3:$A$3390,E$1,'United Data'!$C$3:$C$3390,$A738)&gt;0,1,0)</f>
        <v>0</v>
      </c>
      <c r="F738">
        <f>IF(COUNTIFS('United Data'!$A$3:$A$3390,F$1,'United Data'!$C$3:$C$3390,$A738)&gt;0,1,0)</f>
        <v>0</v>
      </c>
      <c r="G738">
        <f>IF(COUNTIFS('United Data'!$A$3:$A$3390,G$1,'United Data'!$C$3:$C$3390,$A738)&gt;0,1,0)</f>
        <v>0</v>
      </c>
      <c r="H738">
        <f>IF(COUNTIFS('United Data'!$A$3:$A$3390,H$1,'United Data'!$C$3:$C$3390,$A738)&gt;0,1,0)</f>
        <v>0</v>
      </c>
      <c r="I738">
        <f>IF(COUNTIFS('United Data'!$A$3:$A$3390,I$1,'United Data'!$C$3:$C$3390,$A738)&gt;0,1,0)</f>
        <v>0</v>
      </c>
      <c r="J738">
        <f>IF(COUNTIFS('United Data'!$A$3:$A$3390,J$1,'United Data'!$C$3:$C$3390,$A738)&gt;0,1,0)</f>
        <v>0</v>
      </c>
      <c r="K738">
        <f>IF(COUNTIFS('United Data'!$A$3:$A$3390,K$1,'United Data'!$C$3:$C$3390,$A738)&gt;0,1,0)</f>
        <v>0</v>
      </c>
      <c r="L738">
        <f>IF(COUNTIFS('United Data'!$A$3:$A$3390,L$1,'United Data'!$C$3:$C$3390,$A738)&gt;0,1,0)</f>
        <v>0</v>
      </c>
      <c r="M738">
        <f>IF(COUNTIFS('United Data'!$A$3:$A$3390,M$1,'United Data'!$C$3:$C$3390,$A738)&gt;0,1,0)</f>
        <v>0</v>
      </c>
      <c r="N738">
        <f>IF(COUNTIFS('United Data'!$A$3:$A$3390,N$1,'United Data'!$C$3:$C$3390,$A738)&gt;0,1,0)</f>
        <v>0</v>
      </c>
      <c r="O738">
        <f>IF(COUNTIFS('United Data'!$A$3:$A$3390,O$1,'United Data'!$C$3:$C$3390,$A738)&gt;0,1,0)</f>
        <v>0</v>
      </c>
      <c r="P738">
        <f>IF(COUNTIFS('United Data'!$A$3:$A$3390,P$1,'United Data'!$C$3:$C$3390,$A738)&gt;0,1,0)</f>
        <v>0</v>
      </c>
      <c r="Q738">
        <f>IF(COUNTIFS('United Data'!$A$3:$A$3390,Q$1,'United Data'!$C$3:$C$3390,$A738)&gt;0,1,0)</f>
        <v>1</v>
      </c>
      <c r="R738">
        <f>IF(COUNTIFS('United Data'!$A$3:$A$3390,R$1,'United Data'!$C$3:$C$3390,$A738)&gt;0,1,0)</f>
        <v>1</v>
      </c>
      <c r="S738">
        <f t="shared" si="22"/>
        <v>2</v>
      </c>
      <c r="T738">
        <f t="shared" si="23"/>
        <v>1</v>
      </c>
    </row>
    <row r="739" spans="1:20" x14ac:dyDescent="0.2">
      <c r="A739" t="s">
        <v>881</v>
      </c>
      <c r="B739">
        <f>IF(COUNTIFS('United Data'!$A$3:$A$3390,B$1,'United Data'!$C$3:$C$3390,$A739)&gt;0,1,0)</f>
        <v>0</v>
      </c>
      <c r="C739">
        <f>IF(COUNTIFS('United Data'!$A$3:$A$3390,C$1,'United Data'!$C$3:$C$3390,$A739)&gt;0,1,0)</f>
        <v>0</v>
      </c>
      <c r="D739">
        <f>IF(COUNTIFS('United Data'!$A$3:$A$3390,D$1,'United Data'!$C$3:$C$3390,$A739)&gt;0,1,0)</f>
        <v>0</v>
      </c>
      <c r="E739">
        <f>IF(COUNTIFS('United Data'!$A$3:$A$3390,E$1,'United Data'!$C$3:$C$3390,$A739)&gt;0,1,0)</f>
        <v>0</v>
      </c>
      <c r="F739">
        <f>IF(COUNTIFS('United Data'!$A$3:$A$3390,F$1,'United Data'!$C$3:$C$3390,$A739)&gt;0,1,0)</f>
        <v>0</v>
      </c>
      <c r="G739">
        <f>IF(COUNTIFS('United Data'!$A$3:$A$3390,G$1,'United Data'!$C$3:$C$3390,$A739)&gt;0,1,0)</f>
        <v>0</v>
      </c>
      <c r="H739">
        <f>IF(COUNTIFS('United Data'!$A$3:$A$3390,H$1,'United Data'!$C$3:$C$3390,$A739)&gt;0,1,0)</f>
        <v>0</v>
      </c>
      <c r="I739">
        <f>IF(COUNTIFS('United Data'!$A$3:$A$3390,I$1,'United Data'!$C$3:$C$3390,$A739)&gt;0,1,0)</f>
        <v>0</v>
      </c>
      <c r="J739">
        <f>IF(COUNTIFS('United Data'!$A$3:$A$3390,J$1,'United Data'!$C$3:$C$3390,$A739)&gt;0,1,0)</f>
        <v>0</v>
      </c>
      <c r="K739">
        <f>IF(COUNTIFS('United Data'!$A$3:$A$3390,K$1,'United Data'!$C$3:$C$3390,$A739)&gt;0,1,0)</f>
        <v>0</v>
      </c>
      <c r="L739">
        <f>IF(COUNTIFS('United Data'!$A$3:$A$3390,L$1,'United Data'!$C$3:$C$3390,$A739)&gt;0,1,0)</f>
        <v>0</v>
      </c>
      <c r="M739">
        <f>IF(COUNTIFS('United Data'!$A$3:$A$3390,M$1,'United Data'!$C$3:$C$3390,$A739)&gt;0,1,0)</f>
        <v>0</v>
      </c>
      <c r="N739">
        <f>IF(COUNTIFS('United Data'!$A$3:$A$3390,N$1,'United Data'!$C$3:$C$3390,$A739)&gt;0,1,0)</f>
        <v>0</v>
      </c>
      <c r="O739">
        <f>IF(COUNTIFS('United Data'!$A$3:$A$3390,O$1,'United Data'!$C$3:$C$3390,$A739)&gt;0,1,0)</f>
        <v>0</v>
      </c>
      <c r="P739">
        <f>IF(COUNTIFS('United Data'!$A$3:$A$3390,P$1,'United Data'!$C$3:$C$3390,$A739)&gt;0,1,0)</f>
        <v>0</v>
      </c>
      <c r="Q739">
        <f>IF(COUNTIFS('United Data'!$A$3:$A$3390,Q$1,'United Data'!$C$3:$C$3390,$A739)&gt;0,1,0)</f>
        <v>1</v>
      </c>
      <c r="R739">
        <f>IF(COUNTIFS('United Data'!$A$3:$A$3390,R$1,'United Data'!$C$3:$C$3390,$A739)&gt;0,1,0)</f>
        <v>1</v>
      </c>
      <c r="S739">
        <f t="shared" si="22"/>
        <v>2</v>
      </c>
      <c r="T739">
        <f t="shared" si="23"/>
        <v>1</v>
      </c>
    </row>
    <row r="740" spans="1:20" x14ac:dyDescent="0.2">
      <c r="A740" t="s">
        <v>882</v>
      </c>
      <c r="B740">
        <f>IF(COUNTIFS('United Data'!$A$3:$A$3390,B$1,'United Data'!$C$3:$C$3390,$A740)&gt;0,1,0)</f>
        <v>0</v>
      </c>
      <c r="C740">
        <f>IF(COUNTIFS('United Data'!$A$3:$A$3390,C$1,'United Data'!$C$3:$C$3390,$A740)&gt;0,1,0)</f>
        <v>0</v>
      </c>
      <c r="D740">
        <f>IF(COUNTIFS('United Data'!$A$3:$A$3390,D$1,'United Data'!$C$3:$C$3390,$A740)&gt;0,1,0)</f>
        <v>0</v>
      </c>
      <c r="E740">
        <f>IF(COUNTIFS('United Data'!$A$3:$A$3390,E$1,'United Data'!$C$3:$C$3390,$A740)&gt;0,1,0)</f>
        <v>0</v>
      </c>
      <c r="F740">
        <f>IF(COUNTIFS('United Data'!$A$3:$A$3390,F$1,'United Data'!$C$3:$C$3390,$A740)&gt;0,1,0)</f>
        <v>0</v>
      </c>
      <c r="G740">
        <f>IF(COUNTIFS('United Data'!$A$3:$A$3390,G$1,'United Data'!$C$3:$C$3390,$A740)&gt;0,1,0)</f>
        <v>0</v>
      </c>
      <c r="H740">
        <f>IF(COUNTIFS('United Data'!$A$3:$A$3390,H$1,'United Data'!$C$3:$C$3390,$A740)&gt;0,1,0)</f>
        <v>0</v>
      </c>
      <c r="I740">
        <f>IF(COUNTIFS('United Data'!$A$3:$A$3390,I$1,'United Data'!$C$3:$C$3390,$A740)&gt;0,1,0)</f>
        <v>0</v>
      </c>
      <c r="J740">
        <f>IF(COUNTIFS('United Data'!$A$3:$A$3390,J$1,'United Data'!$C$3:$C$3390,$A740)&gt;0,1,0)</f>
        <v>0</v>
      </c>
      <c r="K740">
        <f>IF(COUNTIFS('United Data'!$A$3:$A$3390,K$1,'United Data'!$C$3:$C$3390,$A740)&gt;0,1,0)</f>
        <v>0</v>
      </c>
      <c r="L740">
        <f>IF(COUNTIFS('United Data'!$A$3:$A$3390,L$1,'United Data'!$C$3:$C$3390,$A740)&gt;0,1,0)</f>
        <v>0</v>
      </c>
      <c r="M740">
        <f>IF(COUNTIFS('United Data'!$A$3:$A$3390,M$1,'United Data'!$C$3:$C$3390,$A740)&gt;0,1,0)</f>
        <v>0</v>
      </c>
      <c r="N740">
        <f>IF(COUNTIFS('United Data'!$A$3:$A$3390,N$1,'United Data'!$C$3:$C$3390,$A740)&gt;0,1,0)</f>
        <v>0</v>
      </c>
      <c r="O740">
        <f>IF(COUNTIFS('United Data'!$A$3:$A$3390,O$1,'United Data'!$C$3:$C$3390,$A740)&gt;0,1,0)</f>
        <v>0</v>
      </c>
      <c r="P740">
        <f>IF(COUNTIFS('United Data'!$A$3:$A$3390,P$1,'United Data'!$C$3:$C$3390,$A740)&gt;0,1,0)</f>
        <v>0</v>
      </c>
      <c r="Q740">
        <f>IF(COUNTIFS('United Data'!$A$3:$A$3390,Q$1,'United Data'!$C$3:$C$3390,$A740)&gt;0,1,0)</f>
        <v>1</v>
      </c>
      <c r="R740">
        <f>IF(COUNTIFS('United Data'!$A$3:$A$3390,R$1,'United Data'!$C$3:$C$3390,$A740)&gt;0,1,0)</f>
        <v>0</v>
      </c>
      <c r="S740">
        <f t="shared" si="22"/>
        <v>1</v>
      </c>
      <c r="T740">
        <f t="shared" si="23"/>
        <v>1</v>
      </c>
    </row>
    <row r="741" spans="1:20" x14ac:dyDescent="0.2">
      <c r="A741" t="s">
        <v>883</v>
      </c>
      <c r="B741">
        <f>IF(COUNTIFS('United Data'!$A$3:$A$3390,B$1,'United Data'!$C$3:$C$3390,$A741)&gt;0,1,0)</f>
        <v>0</v>
      </c>
      <c r="C741">
        <f>IF(COUNTIFS('United Data'!$A$3:$A$3390,C$1,'United Data'!$C$3:$C$3390,$A741)&gt;0,1,0)</f>
        <v>0</v>
      </c>
      <c r="D741">
        <f>IF(COUNTIFS('United Data'!$A$3:$A$3390,D$1,'United Data'!$C$3:$C$3390,$A741)&gt;0,1,0)</f>
        <v>0</v>
      </c>
      <c r="E741">
        <f>IF(COUNTIFS('United Data'!$A$3:$A$3390,E$1,'United Data'!$C$3:$C$3390,$A741)&gt;0,1,0)</f>
        <v>0</v>
      </c>
      <c r="F741">
        <f>IF(COUNTIFS('United Data'!$A$3:$A$3390,F$1,'United Data'!$C$3:$C$3390,$A741)&gt;0,1,0)</f>
        <v>0</v>
      </c>
      <c r="G741">
        <f>IF(COUNTIFS('United Data'!$A$3:$A$3390,G$1,'United Data'!$C$3:$C$3390,$A741)&gt;0,1,0)</f>
        <v>0</v>
      </c>
      <c r="H741">
        <f>IF(COUNTIFS('United Data'!$A$3:$A$3390,H$1,'United Data'!$C$3:$C$3390,$A741)&gt;0,1,0)</f>
        <v>0</v>
      </c>
      <c r="I741">
        <f>IF(COUNTIFS('United Data'!$A$3:$A$3390,I$1,'United Data'!$C$3:$C$3390,$A741)&gt;0,1,0)</f>
        <v>0</v>
      </c>
      <c r="J741">
        <f>IF(COUNTIFS('United Data'!$A$3:$A$3390,J$1,'United Data'!$C$3:$C$3390,$A741)&gt;0,1,0)</f>
        <v>0</v>
      </c>
      <c r="K741">
        <f>IF(COUNTIFS('United Data'!$A$3:$A$3390,K$1,'United Data'!$C$3:$C$3390,$A741)&gt;0,1,0)</f>
        <v>0</v>
      </c>
      <c r="L741">
        <f>IF(COUNTIFS('United Data'!$A$3:$A$3390,L$1,'United Data'!$C$3:$C$3390,$A741)&gt;0,1,0)</f>
        <v>0</v>
      </c>
      <c r="M741">
        <f>IF(COUNTIFS('United Data'!$A$3:$A$3390,M$1,'United Data'!$C$3:$C$3390,$A741)&gt;0,1,0)</f>
        <v>0</v>
      </c>
      <c r="N741">
        <f>IF(COUNTIFS('United Data'!$A$3:$A$3390,N$1,'United Data'!$C$3:$C$3390,$A741)&gt;0,1,0)</f>
        <v>0</v>
      </c>
      <c r="O741">
        <f>IF(COUNTIFS('United Data'!$A$3:$A$3390,O$1,'United Data'!$C$3:$C$3390,$A741)&gt;0,1,0)</f>
        <v>0</v>
      </c>
      <c r="P741">
        <f>IF(COUNTIFS('United Data'!$A$3:$A$3390,P$1,'United Data'!$C$3:$C$3390,$A741)&gt;0,1,0)</f>
        <v>0</v>
      </c>
      <c r="Q741">
        <f>IF(COUNTIFS('United Data'!$A$3:$A$3390,Q$1,'United Data'!$C$3:$C$3390,$A741)&gt;0,1,0)</f>
        <v>1</v>
      </c>
      <c r="R741">
        <f>IF(COUNTIFS('United Data'!$A$3:$A$3390,R$1,'United Data'!$C$3:$C$3390,$A741)&gt;0,1,0)</f>
        <v>0</v>
      </c>
      <c r="S741">
        <f t="shared" si="22"/>
        <v>1</v>
      </c>
      <c r="T741">
        <f t="shared" si="23"/>
        <v>1</v>
      </c>
    </row>
    <row r="742" spans="1:20" x14ac:dyDescent="0.2">
      <c r="A742" t="s">
        <v>884</v>
      </c>
      <c r="B742">
        <f>IF(COUNTIFS('United Data'!$A$3:$A$3390,B$1,'United Data'!$C$3:$C$3390,$A742)&gt;0,1,0)</f>
        <v>0</v>
      </c>
      <c r="C742">
        <f>IF(COUNTIFS('United Data'!$A$3:$A$3390,C$1,'United Data'!$C$3:$C$3390,$A742)&gt;0,1,0)</f>
        <v>0</v>
      </c>
      <c r="D742">
        <f>IF(COUNTIFS('United Data'!$A$3:$A$3390,D$1,'United Data'!$C$3:$C$3390,$A742)&gt;0,1,0)</f>
        <v>0</v>
      </c>
      <c r="E742">
        <f>IF(COUNTIFS('United Data'!$A$3:$A$3390,E$1,'United Data'!$C$3:$C$3390,$A742)&gt;0,1,0)</f>
        <v>0</v>
      </c>
      <c r="F742">
        <f>IF(COUNTIFS('United Data'!$A$3:$A$3390,F$1,'United Data'!$C$3:$C$3390,$A742)&gt;0,1,0)</f>
        <v>0</v>
      </c>
      <c r="G742">
        <f>IF(COUNTIFS('United Data'!$A$3:$A$3390,G$1,'United Data'!$C$3:$C$3390,$A742)&gt;0,1,0)</f>
        <v>0</v>
      </c>
      <c r="H742">
        <f>IF(COUNTIFS('United Data'!$A$3:$A$3390,H$1,'United Data'!$C$3:$C$3390,$A742)&gt;0,1,0)</f>
        <v>0</v>
      </c>
      <c r="I742">
        <f>IF(COUNTIFS('United Data'!$A$3:$A$3390,I$1,'United Data'!$C$3:$C$3390,$A742)&gt;0,1,0)</f>
        <v>0</v>
      </c>
      <c r="J742">
        <f>IF(COUNTIFS('United Data'!$A$3:$A$3390,J$1,'United Data'!$C$3:$C$3390,$A742)&gt;0,1,0)</f>
        <v>0</v>
      </c>
      <c r="K742">
        <f>IF(COUNTIFS('United Data'!$A$3:$A$3390,K$1,'United Data'!$C$3:$C$3390,$A742)&gt;0,1,0)</f>
        <v>0</v>
      </c>
      <c r="L742">
        <f>IF(COUNTIFS('United Data'!$A$3:$A$3390,L$1,'United Data'!$C$3:$C$3390,$A742)&gt;0,1,0)</f>
        <v>0</v>
      </c>
      <c r="M742">
        <f>IF(COUNTIFS('United Data'!$A$3:$A$3390,M$1,'United Data'!$C$3:$C$3390,$A742)&gt;0,1,0)</f>
        <v>0</v>
      </c>
      <c r="N742">
        <f>IF(COUNTIFS('United Data'!$A$3:$A$3390,N$1,'United Data'!$C$3:$C$3390,$A742)&gt;0,1,0)</f>
        <v>0</v>
      </c>
      <c r="O742">
        <f>IF(COUNTIFS('United Data'!$A$3:$A$3390,O$1,'United Data'!$C$3:$C$3390,$A742)&gt;0,1,0)</f>
        <v>0</v>
      </c>
      <c r="P742">
        <f>IF(COUNTIFS('United Data'!$A$3:$A$3390,P$1,'United Data'!$C$3:$C$3390,$A742)&gt;0,1,0)</f>
        <v>0</v>
      </c>
      <c r="Q742">
        <f>IF(COUNTIFS('United Data'!$A$3:$A$3390,Q$1,'United Data'!$C$3:$C$3390,$A742)&gt;0,1,0)</f>
        <v>1</v>
      </c>
      <c r="R742">
        <f>IF(COUNTIFS('United Data'!$A$3:$A$3390,R$1,'United Data'!$C$3:$C$3390,$A742)&gt;0,1,0)</f>
        <v>0</v>
      </c>
      <c r="S742">
        <f t="shared" si="22"/>
        <v>1</v>
      </c>
      <c r="T742">
        <f t="shared" si="23"/>
        <v>1</v>
      </c>
    </row>
    <row r="743" spans="1:20" x14ac:dyDescent="0.2">
      <c r="A743" t="s">
        <v>885</v>
      </c>
      <c r="B743">
        <f>IF(COUNTIFS('United Data'!$A$3:$A$3390,B$1,'United Data'!$C$3:$C$3390,$A743)&gt;0,1,0)</f>
        <v>0</v>
      </c>
      <c r="C743">
        <f>IF(COUNTIFS('United Data'!$A$3:$A$3390,C$1,'United Data'!$C$3:$C$3390,$A743)&gt;0,1,0)</f>
        <v>0</v>
      </c>
      <c r="D743">
        <f>IF(COUNTIFS('United Data'!$A$3:$A$3390,D$1,'United Data'!$C$3:$C$3390,$A743)&gt;0,1,0)</f>
        <v>0</v>
      </c>
      <c r="E743">
        <f>IF(COUNTIFS('United Data'!$A$3:$A$3390,E$1,'United Data'!$C$3:$C$3390,$A743)&gt;0,1,0)</f>
        <v>0</v>
      </c>
      <c r="F743">
        <f>IF(COUNTIFS('United Data'!$A$3:$A$3390,F$1,'United Data'!$C$3:$C$3390,$A743)&gt;0,1,0)</f>
        <v>0</v>
      </c>
      <c r="G743">
        <f>IF(COUNTIFS('United Data'!$A$3:$A$3390,G$1,'United Data'!$C$3:$C$3390,$A743)&gt;0,1,0)</f>
        <v>0</v>
      </c>
      <c r="H743">
        <f>IF(COUNTIFS('United Data'!$A$3:$A$3390,H$1,'United Data'!$C$3:$C$3390,$A743)&gt;0,1,0)</f>
        <v>0</v>
      </c>
      <c r="I743">
        <f>IF(COUNTIFS('United Data'!$A$3:$A$3390,I$1,'United Data'!$C$3:$C$3390,$A743)&gt;0,1,0)</f>
        <v>0</v>
      </c>
      <c r="J743">
        <f>IF(COUNTIFS('United Data'!$A$3:$A$3390,J$1,'United Data'!$C$3:$C$3390,$A743)&gt;0,1,0)</f>
        <v>0</v>
      </c>
      <c r="K743">
        <f>IF(COUNTIFS('United Data'!$A$3:$A$3390,K$1,'United Data'!$C$3:$C$3390,$A743)&gt;0,1,0)</f>
        <v>0</v>
      </c>
      <c r="L743">
        <f>IF(COUNTIFS('United Data'!$A$3:$A$3390,L$1,'United Data'!$C$3:$C$3390,$A743)&gt;0,1,0)</f>
        <v>0</v>
      </c>
      <c r="M743">
        <f>IF(COUNTIFS('United Data'!$A$3:$A$3390,M$1,'United Data'!$C$3:$C$3390,$A743)&gt;0,1,0)</f>
        <v>0</v>
      </c>
      <c r="N743">
        <f>IF(COUNTIFS('United Data'!$A$3:$A$3390,N$1,'United Data'!$C$3:$C$3390,$A743)&gt;0,1,0)</f>
        <v>0</v>
      </c>
      <c r="O743">
        <f>IF(COUNTIFS('United Data'!$A$3:$A$3390,O$1,'United Data'!$C$3:$C$3390,$A743)&gt;0,1,0)</f>
        <v>0</v>
      </c>
      <c r="P743">
        <f>IF(COUNTIFS('United Data'!$A$3:$A$3390,P$1,'United Data'!$C$3:$C$3390,$A743)&gt;0,1,0)</f>
        <v>0</v>
      </c>
      <c r="Q743">
        <f>IF(COUNTIFS('United Data'!$A$3:$A$3390,Q$1,'United Data'!$C$3:$C$3390,$A743)&gt;0,1,0)</f>
        <v>1</v>
      </c>
      <c r="R743">
        <f>IF(COUNTIFS('United Data'!$A$3:$A$3390,R$1,'United Data'!$C$3:$C$3390,$A743)&gt;0,1,0)</f>
        <v>0</v>
      </c>
      <c r="S743">
        <f t="shared" si="22"/>
        <v>1</v>
      </c>
      <c r="T743">
        <f t="shared" si="23"/>
        <v>1</v>
      </c>
    </row>
    <row r="744" spans="1:20" x14ac:dyDescent="0.2">
      <c r="A744" t="s">
        <v>886</v>
      </c>
      <c r="B744">
        <f>IF(COUNTIFS('United Data'!$A$3:$A$3390,B$1,'United Data'!$C$3:$C$3390,$A744)&gt;0,1,0)</f>
        <v>0</v>
      </c>
      <c r="C744">
        <f>IF(COUNTIFS('United Data'!$A$3:$A$3390,C$1,'United Data'!$C$3:$C$3390,$A744)&gt;0,1,0)</f>
        <v>0</v>
      </c>
      <c r="D744">
        <f>IF(COUNTIFS('United Data'!$A$3:$A$3390,D$1,'United Data'!$C$3:$C$3390,$A744)&gt;0,1,0)</f>
        <v>0</v>
      </c>
      <c r="E744">
        <f>IF(COUNTIFS('United Data'!$A$3:$A$3390,E$1,'United Data'!$C$3:$C$3390,$A744)&gt;0,1,0)</f>
        <v>0</v>
      </c>
      <c r="F744">
        <f>IF(COUNTIFS('United Data'!$A$3:$A$3390,F$1,'United Data'!$C$3:$C$3390,$A744)&gt;0,1,0)</f>
        <v>0</v>
      </c>
      <c r="G744">
        <f>IF(COUNTIFS('United Data'!$A$3:$A$3390,G$1,'United Data'!$C$3:$C$3390,$A744)&gt;0,1,0)</f>
        <v>0</v>
      </c>
      <c r="H744">
        <f>IF(COUNTIFS('United Data'!$A$3:$A$3390,H$1,'United Data'!$C$3:$C$3390,$A744)&gt;0,1,0)</f>
        <v>0</v>
      </c>
      <c r="I744">
        <f>IF(COUNTIFS('United Data'!$A$3:$A$3390,I$1,'United Data'!$C$3:$C$3390,$A744)&gt;0,1,0)</f>
        <v>0</v>
      </c>
      <c r="J744">
        <f>IF(COUNTIFS('United Data'!$A$3:$A$3390,J$1,'United Data'!$C$3:$C$3390,$A744)&gt;0,1,0)</f>
        <v>0</v>
      </c>
      <c r="K744">
        <f>IF(COUNTIFS('United Data'!$A$3:$A$3390,K$1,'United Data'!$C$3:$C$3390,$A744)&gt;0,1,0)</f>
        <v>0</v>
      </c>
      <c r="L744">
        <f>IF(COUNTIFS('United Data'!$A$3:$A$3390,L$1,'United Data'!$C$3:$C$3390,$A744)&gt;0,1,0)</f>
        <v>0</v>
      </c>
      <c r="M744">
        <f>IF(COUNTIFS('United Data'!$A$3:$A$3390,M$1,'United Data'!$C$3:$C$3390,$A744)&gt;0,1,0)</f>
        <v>0</v>
      </c>
      <c r="N744">
        <f>IF(COUNTIFS('United Data'!$A$3:$A$3390,N$1,'United Data'!$C$3:$C$3390,$A744)&gt;0,1,0)</f>
        <v>0</v>
      </c>
      <c r="O744">
        <f>IF(COUNTIFS('United Data'!$A$3:$A$3390,O$1,'United Data'!$C$3:$C$3390,$A744)&gt;0,1,0)</f>
        <v>0</v>
      </c>
      <c r="P744">
        <f>IF(COUNTIFS('United Data'!$A$3:$A$3390,P$1,'United Data'!$C$3:$C$3390,$A744)&gt;0,1,0)</f>
        <v>0</v>
      </c>
      <c r="Q744">
        <f>IF(COUNTIFS('United Data'!$A$3:$A$3390,Q$1,'United Data'!$C$3:$C$3390,$A744)&gt;0,1,0)</f>
        <v>0</v>
      </c>
      <c r="R744">
        <f>IF(COUNTIFS('United Data'!$A$3:$A$3390,R$1,'United Data'!$C$3:$C$3390,$A744)&gt;0,1,0)</f>
        <v>1</v>
      </c>
      <c r="S744">
        <f t="shared" si="22"/>
        <v>1</v>
      </c>
      <c r="T744">
        <f t="shared" si="23"/>
        <v>1</v>
      </c>
    </row>
    <row r="745" spans="1:20" x14ac:dyDescent="0.2">
      <c r="A745" t="s">
        <v>887</v>
      </c>
      <c r="B745">
        <f>IF(COUNTIFS('United Data'!$A$3:$A$3390,B$1,'United Data'!$C$3:$C$3390,$A745)&gt;0,1,0)</f>
        <v>1</v>
      </c>
      <c r="C745">
        <f>IF(COUNTIFS('United Data'!$A$3:$A$3390,C$1,'United Data'!$C$3:$C$3390,$A745)&gt;0,1,0)</f>
        <v>1</v>
      </c>
      <c r="D745">
        <f>IF(COUNTIFS('United Data'!$A$3:$A$3390,D$1,'United Data'!$C$3:$C$3390,$A745)&gt;0,1,0)</f>
        <v>0</v>
      </c>
      <c r="E745">
        <f>IF(COUNTIFS('United Data'!$A$3:$A$3390,E$1,'United Data'!$C$3:$C$3390,$A745)&gt;0,1,0)</f>
        <v>1</v>
      </c>
      <c r="F745">
        <f>IF(COUNTIFS('United Data'!$A$3:$A$3390,F$1,'United Data'!$C$3:$C$3390,$A745)&gt;0,1,0)</f>
        <v>0</v>
      </c>
      <c r="G745">
        <f>IF(COUNTIFS('United Data'!$A$3:$A$3390,G$1,'United Data'!$C$3:$C$3390,$A745)&gt;0,1,0)</f>
        <v>0</v>
      </c>
      <c r="H745">
        <f>IF(COUNTIFS('United Data'!$A$3:$A$3390,H$1,'United Data'!$C$3:$C$3390,$A745)&gt;0,1,0)</f>
        <v>1</v>
      </c>
      <c r="I745">
        <f>IF(COUNTIFS('United Data'!$A$3:$A$3390,I$1,'United Data'!$C$3:$C$3390,$A745)&gt;0,1,0)</f>
        <v>0</v>
      </c>
      <c r="J745">
        <f>IF(COUNTIFS('United Data'!$A$3:$A$3390,J$1,'United Data'!$C$3:$C$3390,$A745)&gt;0,1,0)</f>
        <v>0</v>
      </c>
      <c r="K745">
        <f>IF(COUNTIFS('United Data'!$A$3:$A$3390,K$1,'United Data'!$C$3:$C$3390,$A745)&gt;0,1,0)</f>
        <v>0</v>
      </c>
      <c r="L745">
        <f>IF(COUNTIFS('United Data'!$A$3:$A$3390,L$1,'United Data'!$C$3:$C$3390,$A745)&gt;0,1,0)</f>
        <v>0</v>
      </c>
      <c r="M745">
        <f>IF(COUNTIFS('United Data'!$A$3:$A$3390,M$1,'United Data'!$C$3:$C$3390,$A745)&gt;0,1,0)</f>
        <v>0</v>
      </c>
      <c r="N745">
        <f>IF(COUNTIFS('United Data'!$A$3:$A$3390,N$1,'United Data'!$C$3:$C$3390,$A745)&gt;0,1,0)</f>
        <v>0</v>
      </c>
      <c r="O745">
        <f>IF(COUNTIFS('United Data'!$A$3:$A$3390,O$1,'United Data'!$C$3:$C$3390,$A745)&gt;0,1,0)</f>
        <v>0</v>
      </c>
      <c r="P745">
        <f>IF(COUNTIFS('United Data'!$A$3:$A$3390,P$1,'United Data'!$C$3:$C$3390,$A745)&gt;0,1,0)</f>
        <v>0</v>
      </c>
      <c r="Q745">
        <f>IF(COUNTIFS('United Data'!$A$3:$A$3390,Q$1,'United Data'!$C$3:$C$3390,$A745)&gt;0,1,0)</f>
        <v>0</v>
      </c>
      <c r="R745">
        <f>IF(COUNTIFS('United Data'!$A$3:$A$3390,R$1,'United Data'!$C$3:$C$3390,$A745)&gt;0,1,0)</f>
        <v>0</v>
      </c>
      <c r="S745">
        <f t="shared" si="22"/>
        <v>4</v>
      </c>
      <c r="T745">
        <f t="shared" si="23"/>
        <v>3</v>
      </c>
    </row>
    <row r="746" spans="1:20" x14ac:dyDescent="0.2">
      <c r="A746" t="s">
        <v>888</v>
      </c>
      <c r="B746">
        <f>IF(COUNTIFS('United Data'!$A$3:$A$3390,B$1,'United Data'!$C$3:$C$3390,$A746)&gt;0,1,0)</f>
        <v>1</v>
      </c>
      <c r="C746">
        <f>IF(COUNTIFS('United Data'!$A$3:$A$3390,C$1,'United Data'!$C$3:$C$3390,$A746)&gt;0,1,0)</f>
        <v>1</v>
      </c>
      <c r="D746">
        <f>IF(COUNTIFS('United Data'!$A$3:$A$3390,D$1,'United Data'!$C$3:$C$3390,$A746)&gt;0,1,0)</f>
        <v>0</v>
      </c>
      <c r="E746">
        <f>IF(COUNTIFS('United Data'!$A$3:$A$3390,E$1,'United Data'!$C$3:$C$3390,$A746)&gt;0,1,0)</f>
        <v>1</v>
      </c>
      <c r="F746">
        <f>IF(COUNTIFS('United Data'!$A$3:$A$3390,F$1,'United Data'!$C$3:$C$3390,$A746)&gt;0,1,0)</f>
        <v>0</v>
      </c>
      <c r="G746">
        <f>IF(COUNTIFS('United Data'!$A$3:$A$3390,G$1,'United Data'!$C$3:$C$3390,$A746)&gt;0,1,0)</f>
        <v>0</v>
      </c>
      <c r="H746">
        <f>IF(COUNTIFS('United Data'!$A$3:$A$3390,H$1,'United Data'!$C$3:$C$3390,$A746)&gt;0,1,0)</f>
        <v>0</v>
      </c>
      <c r="I746">
        <f>IF(COUNTIFS('United Data'!$A$3:$A$3390,I$1,'United Data'!$C$3:$C$3390,$A746)&gt;0,1,0)</f>
        <v>0</v>
      </c>
      <c r="J746">
        <f>IF(COUNTIFS('United Data'!$A$3:$A$3390,J$1,'United Data'!$C$3:$C$3390,$A746)&gt;0,1,0)</f>
        <v>0</v>
      </c>
      <c r="K746">
        <f>IF(COUNTIFS('United Data'!$A$3:$A$3390,K$1,'United Data'!$C$3:$C$3390,$A746)&gt;0,1,0)</f>
        <v>0</v>
      </c>
      <c r="L746">
        <f>IF(COUNTIFS('United Data'!$A$3:$A$3390,L$1,'United Data'!$C$3:$C$3390,$A746)&gt;0,1,0)</f>
        <v>0</v>
      </c>
      <c r="M746">
        <f>IF(COUNTIFS('United Data'!$A$3:$A$3390,M$1,'United Data'!$C$3:$C$3390,$A746)&gt;0,1,0)</f>
        <v>0</v>
      </c>
      <c r="N746">
        <f>IF(COUNTIFS('United Data'!$A$3:$A$3390,N$1,'United Data'!$C$3:$C$3390,$A746)&gt;0,1,0)</f>
        <v>0</v>
      </c>
      <c r="O746">
        <f>IF(COUNTIFS('United Data'!$A$3:$A$3390,O$1,'United Data'!$C$3:$C$3390,$A746)&gt;0,1,0)</f>
        <v>0</v>
      </c>
      <c r="P746">
        <f>IF(COUNTIFS('United Data'!$A$3:$A$3390,P$1,'United Data'!$C$3:$C$3390,$A746)&gt;0,1,0)</f>
        <v>0</v>
      </c>
      <c r="Q746">
        <f>IF(COUNTIFS('United Data'!$A$3:$A$3390,Q$1,'United Data'!$C$3:$C$3390,$A746)&gt;0,1,0)</f>
        <v>0</v>
      </c>
      <c r="R746">
        <f>IF(COUNTIFS('United Data'!$A$3:$A$3390,R$1,'United Data'!$C$3:$C$3390,$A746)&gt;0,1,0)</f>
        <v>0</v>
      </c>
      <c r="S746">
        <f t="shared" si="22"/>
        <v>3</v>
      </c>
      <c r="T746">
        <f t="shared" si="23"/>
        <v>2</v>
      </c>
    </row>
    <row r="747" spans="1:20" x14ac:dyDescent="0.2">
      <c r="A747" t="s">
        <v>890</v>
      </c>
      <c r="B747">
        <f>IF(COUNTIFS('United Data'!$A$3:$A$3390,B$1,'United Data'!$C$3:$C$3390,$A747)&gt;0,1,0)</f>
        <v>1</v>
      </c>
      <c r="C747">
        <f>IF(COUNTIFS('United Data'!$A$3:$A$3390,C$1,'United Data'!$C$3:$C$3390,$A747)&gt;0,1,0)</f>
        <v>1</v>
      </c>
      <c r="D747">
        <f>IF(COUNTIFS('United Data'!$A$3:$A$3390,D$1,'United Data'!$C$3:$C$3390,$A747)&gt;0,1,0)</f>
        <v>0</v>
      </c>
      <c r="E747">
        <f>IF(COUNTIFS('United Data'!$A$3:$A$3390,E$1,'United Data'!$C$3:$C$3390,$A747)&gt;0,1,0)</f>
        <v>0</v>
      </c>
      <c r="F747">
        <f>IF(COUNTIFS('United Data'!$A$3:$A$3390,F$1,'United Data'!$C$3:$C$3390,$A747)&gt;0,1,0)</f>
        <v>0</v>
      </c>
      <c r="G747">
        <f>IF(COUNTIFS('United Data'!$A$3:$A$3390,G$1,'United Data'!$C$3:$C$3390,$A747)&gt;0,1,0)</f>
        <v>0</v>
      </c>
      <c r="H747">
        <f>IF(COUNTIFS('United Data'!$A$3:$A$3390,H$1,'United Data'!$C$3:$C$3390,$A747)&gt;0,1,0)</f>
        <v>0</v>
      </c>
      <c r="I747">
        <f>IF(COUNTIFS('United Data'!$A$3:$A$3390,I$1,'United Data'!$C$3:$C$3390,$A747)&gt;0,1,0)</f>
        <v>0</v>
      </c>
      <c r="J747">
        <f>IF(COUNTIFS('United Data'!$A$3:$A$3390,J$1,'United Data'!$C$3:$C$3390,$A747)&gt;0,1,0)</f>
        <v>0</v>
      </c>
      <c r="K747">
        <f>IF(COUNTIFS('United Data'!$A$3:$A$3390,K$1,'United Data'!$C$3:$C$3390,$A747)&gt;0,1,0)</f>
        <v>0</v>
      </c>
      <c r="L747">
        <f>IF(COUNTIFS('United Data'!$A$3:$A$3390,L$1,'United Data'!$C$3:$C$3390,$A747)&gt;0,1,0)</f>
        <v>0</v>
      </c>
      <c r="M747">
        <f>IF(COUNTIFS('United Data'!$A$3:$A$3390,M$1,'United Data'!$C$3:$C$3390,$A747)&gt;0,1,0)</f>
        <v>0</v>
      </c>
      <c r="N747">
        <f>IF(COUNTIFS('United Data'!$A$3:$A$3390,N$1,'United Data'!$C$3:$C$3390,$A747)&gt;0,1,0)</f>
        <v>0</v>
      </c>
      <c r="O747">
        <f>IF(COUNTIFS('United Data'!$A$3:$A$3390,O$1,'United Data'!$C$3:$C$3390,$A747)&gt;0,1,0)</f>
        <v>0</v>
      </c>
      <c r="P747">
        <f>IF(COUNTIFS('United Data'!$A$3:$A$3390,P$1,'United Data'!$C$3:$C$3390,$A747)&gt;0,1,0)</f>
        <v>0</v>
      </c>
      <c r="Q747">
        <f>IF(COUNTIFS('United Data'!$A$3:$A$3390,Q$1,'United Data'!$C$3:$C$3390,$A747)&gt;0,1,0)</f>
        <v>0</v>
      </c>
      <c r="R747">
        <f>IF(COUNTIFS('United Data'!$A$3:$A$3390,R$1,'United Data'!$C$3:$C$3390,$A747)&gt;0,1,0)</f>
        <v>0</v>
      </c>
      <c r="S747">
        <f t="shared" si="22"/>
        <v>2</v>
      </c>
      <c r="T747">
        <f t="shared" si="23"/>
        <v>1</v>
      </c>
    </row>
    <row r="748" spans="1:20" x14ac:dyDescent="0.2">
      <c r="A748" t="s">
        <v>891</v>
      </c>
      <c r="B748">
        <f>IF(COUNTIFS('United Data'!$A$3:$A$3390,B$1,'United Data'!$C$3:$C$3390,$A748)&gt;0,1,0)</f>
        <v>1</v>
      </c>
      <c r="C748">
        <f>IF(COUNTIFS('United Data'!$A$3:$A$3390,C$1,'United Data'!$C$3:$C$3390,$A748)&gt;0,1,0)</f>
        <v>1</v>
      </c>
      <c r="D748">
        <f>IF(COUNTIFS('United Data'!$A$3:$A$3390,D$1,'United Data'!$C$3:$C$3390,$A748)&gt;0,1,0)</f>
        <v>0</v>
      </c>
      <c r="E748">
        <f>IF(COUNTIFS('United Data'!$A$3:$A$3390,E$1,'United Data'!$C$3:$C$3390,$A748)&gt;0,1,0)</f>
        <v>0</v>
      </c>
      <c r="F748">
        <f>IF(COUNTIFS('United Data'!$A$3:$A$3390,F$1,'United Data'!$C$3:$C$3390,$A748)&gt;0,1,0)</f>
        <v>0</v>
      </c>
      <c r="G748">
        <f>IF(COUNTIFS('United Data'!$A$3:$A$3390,G$1,'United Data'!$C$3:$C$3390,$A748)&gt;0,1,0)</f>
        <v>0</v>
      </c>
      <c r="H748">
        <f>IF(COUNTIFS('United Data'!$A$3:$A$3390,H$1,'United Data'!$C$3:$C$3390,$A748)&gt;0,1,0)</f>
        <v>0</v>
      </c>
      <c r="I748">
        <f>IF(COUNTIFS('United Data'!$A$3:$A$3390,I$1,'United Data'!$C$3:$C$3390,$A748)&gt;0,1,0)</f>
        <v>0</v>
      </c>
      <c r="J748">
        <f>IF(COUNTIFS('United Data'!$A$3:$A$3390,J$1,'United Data'!$C$3:$C$3390,$A748)&gt;0,1,0)</f>
        <v>0</v>
      </c>
      <c r="K748">
        <f>IF(COUNTIFS('United Data'!$A$3:$A$3390,K$1,'United Data'!$C$3:$C$3390,$A748)&gt;0,1,0)</f>
        <v>0</v>
      </c>
      <c r="L748">
        <f>IF(COUNTIFS('United Data'!$A$3:$A$3390,L$1,'United Data'!$C$3:$C$3390,$A748)&gt;0,1,0)</f>
        <v>1</v>
      </c>
      <c r="M748">
        <f>IF(COUNTIFS('United Data'!$A$3:$A$3390,M$1,'United Data'!$C$3:$C$3390,$A748)&gt;0,1,0)</f>
        <v>0</v>
      </c>
      <c r="N748">
        <f>IF(COUNTIFS('United Data'!$A$3:$A$3390,N$1,'United Data'!$C$3:$C$3390,$A748)&gt;0,1,0)</f>
        <v>1</v>
      </c>
      <c r="O748">
        <f>IF(COUNTIFS('United Data'!$A$3:$A$3390,O$1,'United Data'!$C$3:$C$3390,$A748)&gt;0,1,0)</f>
        <v>1</v>
      </c>
      <c r="P748">
        <f>IF(COUNTIFS('United Data'!$A$3:$A$3390,P$1,'United Data'!$C$3:$C$3390,$A748)&gt;0,1,0)</f>
        <v>1</v>
      </c>
      <c r="Q748">
        <f>IF(COUNTIFS('United Data'!$A$3:$A$3390,Q$1,'United Data'!$C$3:$C$3390,$A748)&gt;0,1,0)</f>
        <v>1</v>
      </c>
      <c r="R748">
        <f>IF(COUNTIFS('United Data'!$A$3:$A$3390,R$1,'United Data'!$C$3:$C$3390,$A748)&gt;0,1,0)</f>
        <v>0</v>
      </c>
      <c r="S748">
        <f t="shared" si="22"/>
        <v>7</v>
      </c>
      <c r="T748">
        <f t="shared" si="23"/>
        <v>3</v>
      </c>
    </row>
    <row r="749" spans="1:20" x14ac:dyDescent="0.2">
      <c r="A749" t="s">
        <v>892</v>
      </c>
      <c r="B749">
        <f>IF(COUNTIFS('United Data'!$A$3:$A$3390,B$1,'United Data'!$C$3:$C$3390,$A749)&gt;0,1,0)</f>
        <v>1</v>
      </c>
      <c r="C749">
        <f>IF(COUNTIFS('United Data'!$A$3:$A$3390,C$1,'United Data'!$C$3:$C$3390,$A749)&gt;0,1,0)</f>
        <v>0</v>
      </c>
      <c r="D749">
        <f>IF(COUNTIFS('United Data'!$A$3:$A$3390,D$1,'United Data'!$C$3:$C$3390,$A749)&gt;0,1,0)</f>
        <v>0</v>
      </c>
      <c r="E749">
        <f>IF(COUNTIFS('United Data'!$A$3:$A$3390,E$1,'United Data'!$C$3:$C$3390,$A749)&gt;0,1,0)</f>
        <v>0</v>
      </c>
      <c r="F749">
        <f>IF(COUNTIFS('United Data'!$A$3:$A$3390,F$1,'United Data'!$C$3:$C$3390,$A749)&gt;0,1,0)</f>
        <v>1</v>
      </c>
      <c r="G749">
        <f>IF(COUNTIFS('United Data'!$A$3:$A$3390,G$1,'United Data'!$C$3:$C$3390,$A749)&gt;0,1,0)</f>
        <v>0</v>
      </c>
      <c r="H749">
        <f>IF(COUNTIFS('United Data'!$A$3:$A$3390,H$1,'United Data'!$C$3:$C$3390,$A749)&gt;0,1,0)</f>
        <v>0</v>
      </c>
      <c r="I749">
        <f>IF(COUNTIFS('United Data'!$A$3:$A$3390,I$1,'United Data'!$C$3:$C$3390,$A749)&gt;0,1,0)</f>
        <v>0</v>
      </c>
      <c r="J749">
        <f>IF(COUNTIFS('United Data'!$A$3:$A$3390,J$1,'United Data'!$C$3:$C$3390,$A749)&gt;0,1,0)</f>
        <v>0</v>
      </c>
      <c r="K749">
        <f>IF(COUNTIFS('United Data'!$A$3:$A$3390,K$1,'United Data'!$C$3:$C$3390,$A749)&gt;0,1,0)</f>
        <v>1</v>
      </c>
      <c r="L749">
        <f>IF(COUNTIFS('United Data'!$A$3:$A$3390,L$1,'United Data'!$C$3:$C$3390,$A749)&gt;0,1,0)</f>
        <v>0</v>
      </c>
      <c r="M749">
        <f>IF(COUNTIFS('United Data'!$A$3:$A$3390,M$1,'United Data'!$C$3:$C$3390,$A749)&gt;0,1,0)</f>
        <v>0</v>
      </c>
      <c r="N749">
        <f>IF(COUNTIFS('United Data'!$A$3:$A$3390,N$1,'United Data'!$C$3:$C$3390,$A749)&gt;0,1,0)</f>
        <v>0</v>
      </c>
      <c r="O749">
        <f>IF(COUNTIFS('United Data'!$A$3:$A$3390,O$1,'United Data'!$C$3:$C$3390,$A749)&gt;0,1,0)</f>
        <v>0</v>
      </c>
      <c r="P749">
        <f>IF(COUNTIFS('United Data'!$A$3:$A$3390,P$1,'United Data'!$C$3:$C$3390,$A749)&gt;0,1,0)</f>
        <v>0</v>
      </c>
      <c r="Q749">
        <f>IF(COUNTIFS('United Data'!$A$3:$A$3390,Q$1,'United Data'!$C$3:$C$3390,$A749)&gt;0,1,0)</f>
        <v>1</v>
      </c>
      <c r="R749">
        <f>IF(COUNTIFS('United Data'!$A$3:$A$3390,R$1,'United Data'!$C$3:$C$3390,$A749)&gt;0,1,0)</f>
        <v>1</v>
      </c>
      <c r="S749">
        <f t="shared" si="22"/>
        <v>5</v>
      </c>
      <c r="T749">
        <f t="shared" si="23"/>
        <v>4</v>
      </c>
    </row>
    <row r="750" spans="1:20" x14ac:dyDescent="0.2">
      <c r="A750" t="s">
        <v>893</v>
      </c>
      <c r="B750">
        <f>IF(COUNTIFS('United Data'!$A$3:$A$3390,B$1,'United Data'!$C$3:$C$3390,$A750)&gt;0,1,0)</f>
        <v>1</v>
      </c>
      <c r="C750">
        <f>IF(COUNTIFS('United Data'!$A$3:$A$3390,C$1,'United Data'!$C$3:$C$3390,$A750)&gt;0,1,0)</f>
        <v>0</v>
      </c>
      <c r="D750">
        <f>IF(COUNTIFS('United Data'!$A$3:$A$3390,D$1,'United Data'!$C$3:$C$3390,$A750)&gt;0,1,0)</f>
        <v>0</v>
      </c>
      <c r="E750">
        <f>IF(COUNTIFS('United Data'!$A$3:$A$3390,E$1,'United Data'!$C$3:$C$3390,$A750)&gt;0,1,0)</f>
        <v>1</v>
      </c>
      <c r="F750">
        <f>IF(COUNTIFS('United Data'!$A$3:$A$3390,F$1,'United Data'!$C$3:$C$3390,$A750)&gt;0,1,0)</f>
        <v>1</v>
      </c>
      <c r="G750">
        <f>IF(COUNTIFS('United Data'!$A$3:$A$3390,G$1,'United Data'!$C$3:$C$3390,$A750)&gt;0,1,0)</f>
        <v>0</v>
      </c>
      <c r="H750">
        <f>IF(COUNTIFS('United Data'!$A$3:$A$3390,H$1,'United Data'!$C$3:$C$3390,$A750)&gt;0,1,0)</f>
        <v>0</v>
      </c>
      <c r="I750">
        <f>IF(COUNTIFS('United Data'!$A$3:$A$3390,I$1,'United Data'!$C$3:$C$3390,$A750)&gt;0,1,0)</f>
        <v>0</v>
      </c>
      <c r="J750">
        <f>IF(COUNTIFS('United Data'!$A$3:$A$3390,J$1,'United Data'!$C$3:$C$3390,$A750)&gt;0,1,0)</f>
        <v>0</v>
      </c>
      <c r="K750">
        <f>IF(COUNTIFS('United Data'!$A$3:$A$3390,K$1,'United Data'!$C$3:$C$3390,$A750)&gt;0,1,0)</f>
        <v>0</v>
      </c>
      <c r="L750">
        <f>IF(COUNTIFS('United Data'!$A$3:$A$3390,L$1,'United Data'!$C$3:$C$3390,$A750)&gt;0,1,0)</f>
        <v>0</v>
      </c>
      <c r="M750">
        <f>IF(COUNTIFS('United Data'!$A$3:$A$3390,M$1,'United Data'!$C$3:$C$3390,$A750)&gt;0,1,0)</f>
        <v>0</v>
      </c>
      <c r="N750">
        <f>IF(COUNTIFS('United Data'!$A$3:$A$3390,N$1,'United Data'!$C$3:$C$3390,$A750)&gt;0,1,0)</f>
        <v>0</v>
      </c>
      <c r="O750">
        <f>IF(COUNTIFS('United Data'!$A$3:$A$3390,O$1,'United Data'!$C$3:$C$3390,$A750)&gt;0,1,0)</f>
        <v>0</v>
      </c>
      <c r="P750">
        <f>IF(COUNTIFS('United Data'!$A$3:$A$3390,P$1,'United Data'!$C$3:$C$3390,$A750)&gt;0,1,0)</f>
        <v>0</v>
      </c>
      <c r="Q750">
        <f>IF(COUNTIFS('United Data'!$A$3:$A$3390,Q$1,'United Data'!$C$3:$C$3390,$A750)&gt;0,1,0)</f>
        <v>0</v>
      </c>
      <c r="R750">
        <f>IF(COUNTIFS('United Data'!$A$3:$A$3390,R$1,'United Data'!$C$3:$C$3390,$A750)&gt;0,1,0)</f>
        <v>0</v>
      </c>
      <c r="S750">
        <f t="shared" si="22"/>
        <v>3</v>
      </c>
      <c r="T750">
        <f t="shared" si="23"/>
        <v>2</v>
      </c>
    </row>
    <row r="751" spans="1:20" x14ac:dyDescent="0.2">
      <c r="A751" t="s">
        <v>895</v>
      </c>
      <c r="B751">
        <f>IF(COUNTIFS('United Data'!$A$3:$A$3390,B$1,'United Data'!$C$3:$C$3390,$A751)&gt;0,1,0)</f>
        <v>0</v>
      </c>
      <c r="C751">
        <f>IF(COUNTIFS('United Data'!$A$3:$A$3390,C$1,'United Data'!$C$3:$C$3390,$A751)&gt;0,1,0)</f>
        <v>1</v>
      </c>
      <c r="D751">
        <f>IF(COUNTIFS('United Data'!$A$3:$A$3390,D$1,'United Data'!$C$3:$C$3390,$A751)&gt;0,1,0)</f>
        <v>0</v>
      </c>
      <c r="E751">
        <f>IF(COUNTIFS('United Data'!$A$3:$A$3390,E$1,'United Data'!$C$3:$C$3390,$A751)&gt;0,1,0)</f>
        <v>0</v>
      </c>
      <c r="F751">
        <f>IF(COUNTIFS('United Data'!$A$3:$A$3390,F$1,'United Data'!$C$3:$C$3390,$A751)&gt;0,1,0)</f>
        <v>0</v>
      </c>
      <c r="G751">
        <f>IF(COUNTIFS('United Data'!$A$3:$A$3390,G$1,'United Data'!$C$3:$C$3390,$A751)&gt;0,1,0)</f>
        <v>0</v>
      </c>
      <c r="H751">
        <f>IF(COUNTIFS('United Data'!$A$3:$A$3390,H$1,'United Data'!$C$3:$C$3390,$A751)&gt;0,1,0)</f>
        <v>0</v>
      </c>
      <c r="I751">
        <f>IF(COUNTIFS('United Data'!$A$3:$A$3390,I$1,'United Data'!$C$3:$C$3390,$A751)&gt;0,1,0)</f>
        <v>0</v>
      </c>
      <c r="J751">
        <f>IF(COUNTIFS('United Data'!$A$3:$A$3390,J$1,'United Data'!$C$3:$C$3390,$A751)&gt;0,1,0)</f>
        <v>0</v>
      </c>
      <c r="K751">
        <f>IF(COUNTIFS('United Data'!$A$3:$A$3390,K$1,'United Data'!$C$3:$C$3390,$A751)&gt;0,1,0)</f>
        <v>0</v>
      </c>
      <c r="L751">
        <f>IF(COUNTIFS('United Data'!$A$3:$A$3390,L$1,'United Data'!$C$3:$C$3390,$A751)&gt;0,1,0)</f>
        <v>0</v>
      </c>
      <c r="M751">
        <f>IF(COUNTIFS('United Data'!$A$3:$A$3390,M$1,'United Data'!$C$3:$C$3390,$A751)&gt;0,1,0)</f>
        <v>0</v>
      </c>
      <c r="N751">
        <f>IF(COUNTIFS('United Data'!$A$3:$A$3390,N$1,'United Data'!$C$3:$C$3390,$A751)&gt;0,1,0)</f>
        <v>0</v>
      </c>
      <c r="O751">
        <f>IF(COUNTIFS('United Data'!$A$3:$A$3390,O$1,'United Data'!$C$3:$C$3390,$A751)&gt;0,1,0)</f>
        <v>1</v>
      </c>
      <c r="P751">
        <f>IF(COUNTIFS('United Data'!$A$3:$A$3390,P$1,'United Data'!$C$3:$C$3390,$A751)&gt;0,1,0)</f>
        <v>1</v>
      </c>
      <c r="Q751">
        <f>IF(COUNTIFS('United Data'!$A$3:$A$3390,Q$1,'United Data'!$C$3:$C$3390,$A751)&gt;0,1,0)</f>
        <v>1</v>
      </c>
      <c r="R751">
        <f>IF(COUNTIFS('United Data'!$A$3:$A$3390,R$1,'United Data'!$C$3:$C$3390,$A751)&gt;0,1,0)</f>
        <v>0</v>
      </c>
      <c r="S751">
        <f t="shared" si="22"/>
        <v>4</v>
      </c>
      <c r="T751">
        <f t="shared" si="23"/>
        <v>2</v>
      </c>
    </row>
    <row r="752" spans="1:20" x14ac:dyDescent="0.2">
      <c r="A752" t="s">
        <v>899</v>
      </c>
      <c r="B752">
        <f>IF(COUNTIFS('United Data'!$A$3:$A$3390,B$1,'United Data'!$C$3:$C$3390,$A752)&gt;0,1,0)</f>
        <v>0</v>
      </c>
      <c r="C752">
        <f>IF(COUNTIFS('United Data'!$A$3:$A$3390,C$1,'United Data'!$C$3:$C$3390,$A752)&gt;0,1,0)</f>
        <v>1</v>
      </c>
      <c r="D752">
        <f>IF(COUNTIFS('United Data'!$A$3:$A$3390,D$1,'United Data'!$C$3:$C$3390,$A752)&gt;0,1,0)</f>
        <v>1</v>
      </c>
      <c r="E752">
        <f>IF(COUNTIFS('United Data'!$A$3:$A$3390,E$1,'United Data'!$C$3:$C$3390,$A752)&gt;0,1,0)</f>
        <v>0</v>
      </c>
      <c r="F752">
        <f>IF(COUNTIFS('United Data'!$A$3:$A$3390,F$1,'United Data'!$C$3:$C$3390,$A752)&gt;0,1,0)</f>
        <v>0</v>
      </c>
      <c r="G752">
        <f>IF(COUNTIFS('United Data'!$A$3:$A$3390,G$1,'United Data'!$C$3:$C$3390,$A752)&gt;0,1,0)</f>
        <v>0</v>
      </c>
      <c r="H752">
        <f>IF(COUNTIFS('United Data'!$A$3:$A$3390,H$1,'United Data'!$C$3:$C$3390,$A752)&gt;0,1,0)</f>
        <v>0</v>
      </c>
      <c r="I752">
        <f>IF(COUNTIFS('United Data'!$A$3:$A$3390,I$1,'United Data'!$C$3:$C$3390,$A752)&gt;0,1,0)</f>
        <v>0</v>
      </c>
      <c r="J752">
        <f>IF(COUNTIFS('United Data'!$A$3:$A$3390,J$1,'United Data'!$C$3:$C$3390,$A752)&gt;0,1,0)</f>
        <v>0</v>
      </c>
      <c r="K752">
        <f>IF(COUNTIFS('United Data'!$A$3:$A$3390,K$1,'United Data'!$C$3:$C$3390,$A752)&gt;0,1,0)</f>
        <v>0</v>
      </c>
      <c r="L752">
        <f>IF(COUNTIFS('United Data'!$A$3:$A$3390,L$1,'United Data'!$C$3:$C$3390,$A752)&gt;0,1,0)</f>
        <v>0</v>
      </c>
      <c r="M752">
        <f>IF(COUNTIFS('United Data'!$A$3:$A$3390,M$1,'United Data'!$C$3:$C$3390,$A752)&gt;0,1,0)</f>
        <v>0</v>
      </c>
      <c r="N752">
        <f>IF(COUNTIFS('United Data'!$A$3:$A$3390,N$1,'United Data'!$C$3:$C$3390,$A752)&gt;0,1,0)</f>
        <v>0</v>
      </c>
      <c r="O752">
        <f>IF(COUNTIFS('United Data'!$A$3:$A$3390,O$1,'United Data'!$C$3:$C$3390,$A752)&gt;0,1,0)</f>
        <v>0</v>
      </c>
      <c r="P752">
        <f>IF(COUNTIFS('United Data'!$A$3:$A$3390,P$1,'United Data'!$C$3:$C$3390,$A752)&gt;0,1,0)</f>
        <v>0</v>
      </c>
      <c r="Q752">
        <f>IF(COUNTIFS('United Data'!$A$3:$A$3390,Q$1,'United Data'!$C$3:$C$3390,$A752)&gt;0,1,0)</f>
        <v>0</v>
      </c>
      <c r="R752">
        <f>IF(COUNTIFS('United Data'!$A$3:$A$3390,R$1,'United Data'!$C$3:$C$3390,$A752)&gt;0,1,0)</f>
        <v>0</v>
      </c>
      <c r="S752">
        <f t="shared" si="22"/>
        <v>2</v>
      </c>
      <c r="T752">
        <f t="shared" si="23"/>
        <v>1</v>
      </c>
    </row>
    <row r="753" spans="1:20" x14ac:dyDescent="0.2">
      <c r="A753" t="s">
        <v>900</v>
      </c>
      <c r="B753">
        <f>IF(COUNTIFS('United Data'!$A$3:$A$3390,B$1,'United Data'!$C$3:$C$3390,$A753)&gt;0,1,0)</f>
        <v>0</v>
      </c>
      <c r="C753">
        <f>IF(COUNTIFS('United Data'!$A$3:$A$3390,C$1,'United Data'!$C$3:$C$3390,$A753)&gt;0,1,0)</f>
        <v>1</v>
      </c>
      <c r="D753">
        <f>IF(COUNTIFS('United Data'!$A$3:$A$3390,D$1,'United Data'!$C$3:$C$3390,$A753)&gt;0,1,0)</f>
        <v>0</v>
      </c>
      <c r="E753">
        <f>IF(COUNTIFS('United Data'!$A$3:$A$3390,E$1,'United Data'!$C$3:$C$3390,$A753)&gt;0,1,0)</f>
        <v>1</v>
      </c>
      <c r="F753">
        <f>IF(COUNTIFS('United Data'!$A$3:$A$3390,F$1,'United Data'!$C$3:$C$3390,$A753)&gt;0,1,0)</f>
        <v>0</v>
      </c>
      <c r="G753">
        <f>IF(COUNTIFS('United Data'!$A$3:$A$3390,G$1,'United Data'!$C$3:$C$3390,$A753)&gt;0,1,0)</f>
        <v>0</v>
      </c>
      <c r="H753">
        <f>IF(COUNTIFS('United Data'!$A$3:$A$3390,H$1,'United Data'!$C$3:$C$3390,$A753)&gt;0,1,0)</f>
        <v>0</v>
      </c>
      <c r="I753">
        <f>IF(COUNTIFS('United Data'!$A$3:$A$3390,I$1,'United Data'!$C$3:$C$3390,$A753)&gt;0,1,0)</f>
        <v>0</v>
      </c>
      <c r="J753">
        <f>IF(COUNTIFS('United Data'!$A$3:$A$3390,J$1,'United Data'!$C$3:$C$3390,$A753)&gt;0,1,0)</f>
        <v>1</v>
      </c>
      <c r="K753">
        <f>IF(COUNTIFS('United Data'!$A$3:$A$3390,K$1,'United Data'!$C$3:$C$3390,$A753)&gt;0,1,0)</f>
        <v>0</v>
      </c>
      <c r="L753">
        <f>IF(COUNTIFS('United Data'!$A$3:$A$3390,L$1,'United Data'!$C$3:$C$3390,$A753)&gt;0,1,0)</f>
        <v>0</v>
      </c>
      <c r="M753">
        <f>IF(COUNTIFS('United Data'!$A$3:$A$3390,M$1,'United Data'!$C$3:$C$3390,$A753)&gt;0,1,0)</f>
        <v>0</v>
      </c>
      <c r="N753">
        <f>IF(COUNTIFS('United Data'!$A$3:$A$3390,N$1,'United Data'!$C$3:$C$3390,$A753)&gt;0,1,0)</f>
        <v>0</v>
      </c>
      <c r="O753">
        <f>IF(COUNTIFS('United Data'!$A$3:$A$3390,O$1,'United Data'!$C$3:$C$3390,$A753)&gt;0,1,0)</f>
        <v>0</v>
      </c>
      <c r="P753">
        <f>IF(COUNTIFS('United Data'!$A$3:$A$3390,P$1,'United Data'!$C$3:$C$3390,$A753)&gt;0,1,0)</f>
        <v>1</v>
      </c>
      <c r="Q753">
        <f>IF(COUNTIFS('United Data'!$A$3:$A$3390,Q$1,'United Data'!$C$3:$C$3390,$A753)&gt;0,1,0)</f>
        <v>1</v>
      </c>
      <c r="R753">
        <f>IF(COUNTIFS('United Data'!$A$3:$A$3390,R$1,'United Data'!$C$3:$C$3390,$A753)&gt;0,1,0)</f>
        <v>0</v>
      </c>
      <c r="S753">
        <f t="shared" si="22"/>
        <v>5</v>
      </c>
      <c r="T753">
        <f t="shared" si="23"/>
        <v>4</v>
      </c>
    </row>
    <row r="754" spans="1:20" x14ac:dyDescent="0.2">
      <c r="A754" t="s">
        <v>901</v>
      </c>
      <c r="B754">
        <f>IF(COUNTIFS('United Data'!$A$3:$A$3390,B$1,'United Data'!$C$3:$C$3390,$A754)&gt;0,1,0)</f>
        <v>0</v>
      </c>
      <c r="C754">
        <f>IF(COUNTIFS('United Data'!$A$3:$A$3390,C$1,'United Data'!$C$3:$C$3390,$A754)&gt;0,1,0)</f>
        <v>1</v>
      </c>
      <c r="D754">
        <f>IF(COUNTIFS('United Data'!$A$3:$A$3390,D$1,'United Data'!$C$3:$C$3390,$A754)&gt;0,1,0)</f>
        <v>0</v>
      </c>
      <c r="E754">
        <f>IF(COUNTIFS('United Data'!$A$3:$A$3390,E$1,'United Data'!$C$3:$C$3390,$A754)&gt;0,1,0)</f>
        <v>0</v>
      </c>
      <c r="F754">
        <f>IF(COUNTIFS('United Data'!$A$3:$A$3390,F$1,'United Data'!$C$3:$C$3390,$A754)&gt;0,1,0)</f>
        <v>0</v>
      </c>
      <c r="G754">
        <f>IF(COUNTIFS('United Data'!$A$3:$A$3390,G$1,'United Data'!$C$3:$C$3390,$A754)&gt;0,1,0)</f>
        <v>0</v>
      </c>
      <c r="H754">
        <f>IF(COUNTIFS('United Data'!$A$3:$A$3390,H$1,'United Data'!$C$3:$C$3390,$A754)&gt;0,1,0)</f>
        <v>0</v>
      </c>
      <c r="I754">
        <f>IF(COUNTIFS('United Data'!$A$3:$A$3390,I$1,'United Data'!$C$3:$C$3390,$A754)&gt;0,1,0)</f>
        <v>0</v>
      </c>
      <c r="J754">
        <f>IF(COUNTIFS('United Data'!$A$3:$A$3390,J$1,'United Data'!$C$3:$C$3390,$A754)&gt;0,1,0)</f>
        <v>0</v>
      </c>
      <c r="K754">
        <f>IF(COUNTIFS('United Data'!$A$3:$A$3390,K$1,'United Data'!$C$3:$C$3390,$A754)&gt;0,1,0)</f>
        <v>0</v>
      </c>
      <c r="L754">
        <f>IF(COUNTIFS('United Data'!$A$3:$A$3390,L$1,'United Data'!$C$3:$C$3390,$A754)&gt;0,1,0)</f>
        <v>0</v>
      </c>
      <c r="M754">
        <f>IF(COUNTIFS('United Data'!$A$3:$A$3390,M$1,'United Data'!$C$3:$C$3390,$A754)&gt;0,1,0)</f>
        <v>0</v>
      </c>
      <c r="N754">
        <f>IF(COUNTIFS('United Data'!$A$3:$A$3390,N$1,'United Data'!$C$3:$C$3390,$A754)&gt;0,1,0)</f>
        <v>0</v>
      </c>
      <c r="O754">
        <f>IF(COUNTIFS('United Data'!$A$3:$A$3390,O$1,'United Data'!$C$3:$C$3390,$A754)&gt;0,1,0)</f>
        <v>0</v>
      </c>
      <c r="P754">
        <f>IF(COUNTIFS('United Data'!$A$3:$A$3390,P$1,'United Data'!$C$3:$C$3390,$A754)&gt;0,1,0)</f>
        <v>0</v>
      </c>
      <c r="Q754">
        <f>IF(COUNTIFS('United Data'!$A$3:$A$3390,Q$1,'United Data'!$C$3:$C$3390,$A754)&gt;0,1,0)</f>
        <v>0</v>
      </c>
      <c r="R754">
        <f>IF(COUNTIFS('United Data'!$A$3:$A$3390,R$1,'United Data'!$C$3:$C$3390,$A754)&gt;0,1,0)</f>
        <v>0</v>
      </c>
      <c r="S754">
        <f t="shared" si="22"/>
        <v>1</v>
      </c>
      <c r="T754">
        <f t="shared" si="23"/>
        <v>1</v>
      </c>
    </row>
    <row r="755" spans="1:20" x14ac:dyDescent="0.2">
      <c r="A755" t="s">
        <v>902</v>
      </c>
      <c r="B755">
        <f>IF(COUNTIFS('United Data'!$A$3:$A$3390,B$1,'United Data'!$C$3:$C$3390,$A755)&gt;0,1,0)</f>
        <v>0</v>
      </c>
      <c r="C755">
        <f>IF(COUNTIFS('United Data'!$A$3:$A$3390,C$1,'United Data'!$C$3:$C$3390,$A755)&gt;0,1,0)</f>
        <v>0</v>
      </c>
      <c r="D755">
        <f>IF(COUNTIFS('United Data'!$A$3:$A$3390,D$1,'United Data'!$C$3:$C$3390,$A755)&gt;0,1,0)</f>
        <v>1</v>
      </c>
      <c r="E755">
        <f>IF(COUNTIFS('United Data'!$A$3:$A$3390,E$1,'United Data'!$C$3:$C$3390,$A755)&gt;0,1,0)</f>
        <v>0</v>
      </c>
      <c r="F755">
        <f>IF(COUNTIFS('United Data'!$A$3:$A$3390,F$1,'United Data'!$C$3:$C$3390,$A755)&gt;0,1,0)</f>
        <v>0</v>
      </c>
      <c r="G755">
        <f>IF(COUNTIFS('United Data'!$A$3:$A$3390,G$1,'United Data'!$C$3:$C$3390,$A755)&gt;0,1,0)</f>
        <v>0</v>
      </c>
      <c r="H755">
        <f>IF(COUNTIFS('United Data'!$A$3:$A$3390,H$1,'United Data'!$C$3:$C$3390,$A755)&gt;0,1,0)</f>
        <v>0</v>
      </c>
      <c r="I755">
        <f>IF(COUNTIFS('United Data'!$A$3:$A$3390,I$1,'United Data'!$C$3:$C$3390,$A755)&gt;0,1,0)</f>
        <v>0</v>
      </c>
      <c r="J755">
        <f>IF(COUNTIFS('United Data'!$A$3:$A$3390,J$1,'United Data'!$C$3:$C$3390,$A755)&gt;0,1,0)</f>
        <v>0</v>
      </c>
      <c r="K755">
        <f>IF(COUNTIFS('United Data'!$A$3:$A$3390,K$1,'United Data'!$C$3:$C$3390,$A755)&gt;0,1,0)</f>
        <v>0</v>
      </c>
      <c r="L755">
        <f>IF(COUNTIFS('United Data'!$A$3:$A$3390,L$1,'United Data'!$C$3:$C$3390,$A755)&gt;0,1,0)</f>
        <v>0</v>
      </c>
      <c r="M755">
        <f>IF(COUNTIFS('United Data'!$A$3:$A$3390,M$1,'United Data'!$C$3:$C$3390,$A755)&gt;0,1,0)</f>
        <v>0</v>
      </c>
      <c r="N755">
        <f>IF(COUNTIFS('United Data'!$A$3:$A$3390,N$1,'United Data'!$C$3:$C$3390,$A755)&gt;0,1,0)</f>
        <v>0</v>
      </c>
      <c r="O755">
        <f>IF(COUNTIFS('United Data'!$A$3:$A$3390,O$1,'United Data'!$C$3:$C$3390,$A755)&gt;0,1,0)</f>
        <v>0</v>
      </c>
      <c r="P755">
        <f>IF(COUNTIFS('United Data'!$A$3:$A$3390,P$1,'United Data'!$C$3:$C$3390,$A755)&gt;0,1,0)</f>
        <v>0</v>
      </c>
      <c r="Q755">
        <f>IF(COUNTIFS('United Data'!$A$3:$A$3390,Q$1,'United Data'!$C$3:$C$3390,$A755)&gt;0,1,0)</f>
        <v>0</v>
      </c>
      <c r="R755">
        <f>IF(COUNTIFS('United Data'!$A$3:$A$3390,R$1,'United Data'!$C$3:$C$3390,$A755)&gt;0,1,0)</f>
        <v>0</v>
      </c>
      <c r="S755">
        <f t="shared" si="22"/>
        <v>1</v>
      </c>
      <c r="T755">
        <f t="shared" si="23"/>
        <v>1</v>
      </c>
    </row>
    <row r="756" spans="1:20" x14ac:dyDescent="0.2">
      <c r="A756" t="s">
        <v>903</v>
      </c>
      <c r="B756">
        <f>IF(COUNTIFS('United Data'!$A$3:$A$3390,B$1,'United Data'!$C$3:$C$3390,$A756)&gt;0,1,0)</f>
        <v>0</v>
      </c>
      <c r="C756">
        <f>IF(COUNTIFS('United Data'!$A$3:$A$3390,C$1,'United Data'!$C$3:$C$3390,$A756)&gt;0,1,0)</f>
        <v>0</v>
      </c>
      <c r="D756">
        <f>IF(COUNTIFS('United Data'!$A$3:$A$3390,D$1,'United Data'!$C$3:$C$3390,$A756)&gt;0,1,0)</f>
        <v>1</v>
      </c>
      <c r="E756">
        <f>IF(COUNTIFS('United Data'!$A$3:$A$3390,E$1,'United Data'!$C$3:$C$3390,$A756)&gt;0,1,0)</f>
        <v>1</v>
      </c>
      <c r="F756">
        <f>IF(COUNTIFS('United Data'!$A$3:$A$3390,F$1,'United Data'!$C$3:$C$3390,$A756)&gt;0,1,0)</f>
        <v>0</v>
      </c>
      <c r="G756">
        <f>IF(COUNTIFS('United Data'!$A$3:$A$3390,G$1,'United Data'!$C$3:$C$3390,$A756)&gt;0,1,0)</f>
        <v>1</v>
      </c>
      <c r="H756">
        <f>IF(COUNTIFS('United Data'!$A$3:$A$3390,H$1,'United Data'!$C$3:$C$3390,$A756)&gt;0,1,0)</f>
        <v>1</v>
      </c>
      <c r="I756">
        <f>IF(COUNTIFS('United Data'!$A$3:$A$3390,I$1,'United Data'!$C$3:$C$3390,$A756)&gt;0,1,0)</f>
        <v>0</v>
      </c>
      <c r="J756">
        <f>IF(COUNTIFS('United Data'!$A$3:$A$3390,J$1,'United Data'!$C$3:$C$3390,$A756)&gt;0,1,0)</f>
        <v>0</v>
      </c>
      <c r="K756">
        <f>IF(COUNTIFS('United Data'!$A$3:$A$3390,K$1,'United Data'!$C$3:$C$3390,$A756)&gt;0,1,0)</f>
        <v>0</v>
      </c>
      <c r="L756">
        <f>IF(COUNTIFS('United Data'!$A$3:$A$3390,L$1,'United Data'!$C$3:$C$3390,$A756)&gt;0,1,0)</f>
        <v>0</v>
      </c>
      <c r="M756">
        <f>IF(COUNTIFS('United Data'!$A$3:$A$3390,M$1,'United Data'!$C$3:$C$3390,$A756)&gt;0,1,0)</f>
        <v>0</v>
      </c>
      <c r="N756">
        <f>IF(COUNTIFS('United Data'!$A$3:$A$3390,N$1,'United Data'!$C$3:$C$3390,$A756)&gt;0,1,0)</f>
        <v>0</v>
      </c>
      <c r="O756">
        <f>IF(COUNTIFS('United Data'!$A$3:$A$3390,O$1,'United Data'!$C$3:$C$3390,$A756)&gt;0,1,0)</f>
        <v>0</v>
      </c>
      <c r="P756">
        <f>IF(COUNTIFS('United Data'!$A$3:$A$3390,P$1,'United Data'!$C$3:$C$3390,$A756)&gt;0,1,0)</f>
        <v>0</v>
      </c>
      <c r="Q756">
        <f>IF(COUNTIFS('United Data'!$A$3:$A$3390,Q$1,'United Data'!$C$3:$C$3390,$A756)&gt;0,1,0)</f>
        <v>0</v>
      </c>
      <c r="R756">
        <f>IF(COUNTIFS('United Data'!$A$3:$A$3390,R$1,'United Data'!$C$3:$C$3390,$A756)&gt;0,1,0)</f>
        <v>0</v>
      </c>
      <c r="S756">
        <f t="shared" si="22"/>
        <v>4</v>
      </c>
      <c r="T756">
        <f t="shared" si="23"/>
        <v>2</v>
      </c>
    </row>
    <row r="757" spans="1:20" x14ac:dyDescent="0.2">
      <c r="A757" t="s">
        <v>904</v>
      </c>
      <c r="B757">
        <f>IF(COUNTIFS('United Data'!$A$3:$A$3390,B$1,'United Data'!$C$3:$C$3390,$A757)&gt;0,1,0)</f>
        <v>0</v>
      </c>
      <c r="C757">
        <f>IF(COUNTIFS('United Data'!$A$3:$A$3390,C$1,'United Data'!$C$3:$C$3390,$A757)&gt;0,1,0)</f>
        <v>0</v>
      </c>
      <c r="D757">
        <f>IF(COUNTIFS('United Data'!$A$3:$A$3390,D$1,'United Data'!$C$3:$C$3390,$A757)&gt;0,1,0)</f>
        <v>1</v>
      </c>
      <c r="E757">
        <f>IF(COUNTIFS('United Data'!$A$3:$A$3390,E$1,'United Data'!$C$3:$C$3390,$A757)&gt;0,1,0)</f>
        <v>0</v>
      </c>
      <c r="F757">
        <f>IF(COUNTIFS('United Data'!$A$3:$A$3390,F$1,'United Data'!$C$3:$C$3390,$A757)&gt;0,1,0)</f>
        <v>0</v>
      </c>
      <c r="G757">
        <f>IF(COUNTIFS('United Data'!$A$3:$A$3390,G$1,'United Data'!$C$3:$C$3390,$A757)&gt;0,1,0)</f>
        <v>0</v>
      </c>
      <c r="H757">
        <f>IF(COUNTIFS('United Data'!$A$3:$A$3390,H$1,'United Data'!$C$3:$C$3390,$A757)&gt;0,1,0)</f>
        <v>0</v>
      </c>
      <c r="I757">
        <f>IF(COUNTIFS('United Data'!$A$3:$A$3390,I$1,'United Data'!$C$3:$C$3390,$A757)&gt;0,1,0)</f>
        <v>0</v>
      </c>
      <c r="J757">
        <f>IF(COUNTIFS('United Data'!$A$3:$A$3390,J$1,'United Data'!$C$3:$C$3390,$A757)&gt;0,1,0)</f>
        <v>0</v>
      </c>
      <c r="K757">
        <f>IF(COUNTIFS('United Data'!$A$3:$A$3390,K$1,'United Data'!$C$3:$C$3390,$A757)&gt;0,1,0)</f>
        <v>0</v>
      </c>
      <c r="L757">
        <f>IF(COUNTIFS('United Data'!$A$3:$A$3390,L$1,'United Data'!$C$3:$C$3390,$A757)&gt;0,1,0)</f>
        <v>0</v>
      </c>
      <c r="M757">
        <f>IF(COUNTIFS('United Data'!$A$3:$A$3390,M$1,'United Data'!$C$3:$C$3390,$A757)&gt;0,1,0)</f>
        <v>0</v>
      </c>
      <c r="N757">
        <f>IF(COUNTIFS('United Data'!$A$3:$A$3390,N$1,'United Data'!$C$3:$C$3390,$A757)&gt;0,1,0)</f>
        <v>0</v>
      </c>
      <c r="O757">
        <f>IF(COUNTIFS('United Data'!$A$3:$A$3390,O$1,'United Data'!$C$3:$C$3390,$A757)&gt;0,1,0)</f>
        <v>0</v>
      </c>
      <c r="P757">
        <f>IF(COUNTIFS('United Data'!$A$3:$A$3390,P$1,'United Data'!$C$3:$C$3390,$A757)&gt;0,1,0)</f>
        <v>0</v>
      </c>
      <c r="Q757">
        <f>IF(COUNTIFS('United Data'!$A$3:$A$3390,Q$1,'United Data'!$C$3:$C$3390,$A757)&gt;0,1,0)</f>
        <v>0</v>
      </c>
      <c r="R757">
        <f>IF(COUNTIFS('United Data'!$A$3:$A$3390,R$1,'United Data'!$C$3:$C$3390,$A757)&gt;0,1,0)</f>
        <v>0</v>
      </c>
      <c r="S757">
        <f t="shared" si="22"/>
        <v>1</v>
      </c>
      <c r="T757">
        <f t="shared" si="23"/>
        <v>1</v>
      </c>
    </row>
    <row r="758" spans="1:20" x14ac:dyDescent="0.2">
      <c r="A758" t="s">
        <v>905</v>
      </c>
      <c r="B758">
        <f>IF(COUNTIFS('United Data'!$A$3:$A$3390,B$1,'United Data'!$C$3:$C$3390,$A758)&gt;0,1,0)</f>
        <v>0</v>
      </c>
      <c r="C758">
        <f>IF(COUNTIFS('United Data'!$A$3:$A$3390,C$1,'United Data'!$C$3:$C$3390,$A758)&gt;0,1,0)</f>
        <v>0</v>
      </c>
      <c r="D758">
        <f>IF(COUNTIFS('United Data'!$A$3:$A$3390,D$1,'United Data'!$C$3:$C$3390,$A758)&gt;0,1,0)</f>
        <v>1</v>
      </c>
      <c r="E758">
        <f>IF(COUNTIFS('United Data'!$A$3:$A$3390,E$1,'United Data'!$C$3:$C$3390,$A758)&gt;0,1,0)</f>
        <v>0</v>
      </c>
      <c r="F758">
        <f>IF(COUNTIFS('United Data'!$A$3:$A$3390,F$1,'United Data'!$C$3:$C$3390,$A758)&gt;0,1,0)</f>
        <v>0</v>
      </c>
      <c r="G758">
        <f>IF(COUNTIFS('United Data'!$A$3:$A$3390,G$1,'United Data'!$C$3:$C$3390,$A758)&gt;0,1,0)</f>
        <v>1</v>
      </c>
      <c r="H758">
        <f>IF(COUNTIFS('United Data'!$A$3:$A$3390,H$1,'United Data'!$C$3:$C$3390,$A758)&gt;0,1,0)</f>
        <v>1</v>
      </c>
      <c r="I758">
        <f>IF(COUNTIFS('United Data'!$A$3:$A$3390,I$1,'United Data'!$C$3:$C$3390,$A758)&gt;0,1,0)</f>
        <v>0</v>
      </c>
      <c r="J758">
        <f>IF(COUNTIFS('United Data'!$A$3:$A$3390,J$1,'United Data'!$C$3:$C$3390,$A758)&gt;0,1,0)</f>
        <v>0</v>
      </c>
      <c r="K758">
        <f>IF(COUNTIFS('United Data'!$A$3:$A$3390,K$1,'United Data'!$C$3:$C$3390,$A758)&gt;0,1,0)</f>
        <v>0</v>
      </c>
      <c r="L758">
        <f>IF(COUNTIFS('United Data'!$A$3:$A$3390,L$1,'United Data'!$C$3:$C$3390,$A758)&gt;0,1,0)</f>
        <v>0</v>
      </c>
      <c r="M758">
        <f>IF(COUNTIFS('United Data'!$A$3:$A$3390,M$1,'United Data'!$C$3:$C$3390,$A758)&gt;0,1,0)</f>
        <v>0</v>
      </c>
      <c r="N758">
        <f>IF(COUNTIFS('United Data'!$A$3:$A$3390,N$1,'United Data'!$C$3:$C$3390,$A758)&gt;0,1,0)</f>
        <v>0</v>
      </c>
      <c r="O758">
        <f>IF(COUNTIFS('United Data'!$A$3:$A$3390,O$1,'United Data'!$C$3:$C$3390,$A758)&gt;0,1,0)</f>
        <v>0</v>
      </c>
      <c r="P758">
        <f>IF(COUNTIFS('United Data'!$A$3:$A$3390,P$1,'United Data'!$C$3:$C$3390,$A758)&gt;0,1,0)</f>
        <v>0</v>
      </c>
      <c r="Q758">
        <f>IF(COUNTIFS('United Data'!$A$3:$A$3390,Q$1,'United Data'!$C$3:$C$3390,$A758)&gt;0,1,0)</f>
        <v>0</v>
      </c>
      <c r="R758">
        <f>IF(COUNTIFS('United Data'!$A$3:$A$3390,R$1,'United Data'!$C$3:$C$3390,$A758)&gt;0,1,0)</f>
        <v>0</v>
      </c>
      <c r="S758">
        <f t="shared" si="22"/>
        <v>3</v>
      </c>
      <c r="T758">
        <f t="shared" si="23"/>
        <v>2</v>
      </c>
    </row>
    <row r="759" spans="1:20" x14ac:dyDescent="0.2">
      <c r="A759" t="s">
        <v>906</v>
      </c>
      <c r="B759">
        <f>IF(COUNTIFS('United Data'!$A$3:$A$3390,B$1,'United Data'!$C$3:$C$3390,$A759)&gt;0,1,0)</f>
        <v>0</v>
      </c>
      <c r="C759">
        <f>IF(COUNTIFS('United Data'!$A$3:$A$3390,C$1,'United Data'!$C$3:$C$3390,$A759)&gt;0,1,0)</f>
        <v>0</v>
      </c>
      <c r="D759">
        <f>IF(COUNTIFS('United Data'!$A$3:$A$3390,D$1,'United Data'!$C$3:$C$3390,$A759)&gt;0,1,0)</f>
        <v>1</v>
      </c>
      <c r="E759">
        <f>IF(COUNTIFS('United Data'!$A$3:$A$3390,E$1,'United Data'!$C$3:$C$3390,$A759)&gt;0,1,0)</f>
        <v>0</v>
      </c>
      <c r="F759">
        <f>IF(COUNTIFS('United Data'!$A$3:$A$3390,F$1,'United Data'!$C$3:$C$3390,$A759)&gt;0,1,0)</f>
        <v>0</v>
      </c>
      <c r="G759">
        <f>IF(COUNTIFS('United Data'!$A$3:$A$3390,G$1,'United Data'!$C$3:$C$3390,$A759)&gt;0,1,0)</f>
        <v>0</v>
      </c>
      <c r="H759">
        <f>IF(COUNTIFS('United Data'!$A$3:$A$3390,H$1,'United Data'!$C$3:$C$3390,$A759)&gt;0,1,0)</f>
        <v>0</v>
      </c>
      <c r="I759">
        <f>IF(COUNTIFS('United Data'!$A$3:$A$3390,I$1,'United Data'!$C$3:$C$3390,$A759)&gt;0,1,0)</f>
        <v>0</v>
      </c>
      <c r="J759">
        <f>IF(COUNTIFS('United Data'!$A$3:$A$3390,J$1,'United Data'!$C$3:$C$3390,$A759)&gt;0,1,0)</f>
        <v>0</v>
      </c>
      <c r="K759">
        <f>IF(COUNTIFS('United Data'!$A$3:$A$3390,K$1,'United Data'!$C$3:$C$3390,$A759)&gt;0,1,0)</f>
        <v>0</v>
      </c>
      <c r="L759">
        <f>IF(COUNTIFS('United Data'!$A$3:$A$3390,L$1,'United Data'!$C$3:$C$3390,$A759)&gt;0,1,0)</f>
        <v>0</v>
      </c>
      <c r="M759">
        <f>IF(COUNTIFS('United Data'!$A$3:$A$3390,M$1,'United Data'!$C$3:$C$3390,$A759)&gt;0,1,0)</f>
        <v>0</v>
      </c>
      <c r="N759">
        <f>IF(COUNTIFS('United Data'!$A$3:$A$3390,N$1,'United Data'!$C$3:$C$3390,$A759)&gt;0,1,0)</f>
        <v>0</v>
      </c>
      <c r="O759">
        <f>IF(COUNTIFS('United Data'!$A$3:$A$3390,O$1,'United Data'!$C$3:$C$3390,$A759)&gt;0,1,0)</f>
        <v>0</v>
      </c>
      <c r="P759">
        <f>IF(COUNTIFS('United Data'!$A$3:$A$3390,P$1,'United Data'!$C$3:$C$3390,$A759)&gt;0,1,0)</f>
        <v>0</v>
      </c>
      <c r="Q759">
        <f>IF(COUNTIFS('United Data'!$A$3:$A$3390,Q$1,'United Data'!$C$3:$C$3390,$A759)&gt;0,1,0)</f>
        <v>0</v>
      </c>
      <c r="R759">
        <f>IF(COUNTIFS('United Data'!$A$3:$A$3390,R$1,'United Data'!$C$3:$C$3390,$A759)&gt;0,1,0)</f>
        <v>0</v>
      </c>
      <c r="S759">
        <f t="shared" si="22"/>
        <v>1</v>
      </c>
      <c r="T759">
        <f t="shared" si="23"/>
        <v>1</v>
      </c>
    </row>
    <row r="760" spans="1:20" x14ac:dyDescent="0.2">
      <c r="A760" t="s">
        <v>907</v>
      </c>
      <c r="B760">
        <f>IF(COUNTIFS('United Data'!$A$3:$A$3390,B$1,'United Data'!$C$3:$C$3390,$A760)&gt;0,1,0)</f>
        <v>0</v>
      </c>
      <c r="C760">
        <f>IF(COUNTIFS('United Data'!$A$3:$A$3390,C$1,'United Data'!$C$3:$C$3390,$A760)&gt;0,1,0)</f>
        <v>0</v>
      </c>
      <c r="D760">
        <f>IF(COUNTIFS('United Data'!$A$3:$A$3390,D$1,'United Data'!$C$3:$C$3390,$A760)&gt;0,1,0)</f>
        <v>1</v>
      </c>
      <c r="E760">
        <f>IF(COUNTIFS('United Data'!$A$3:$A$3390,E$1,'United Data'!$C$3:$C$3390,$A760)&gt;0,1,0)</f>
        <v>0</v>
      </c>
      <c r="F760">
        <f>IF(COUNTIFS('United Data'!$A$3:$A$3390,F$1,'United Data'!$C$3:$C$3390,$A760)&gt;0,1,0)</f>
        <v>0</v>
      </c>
      <c r="G760">
        <f>IF(COUNTIFS('United Data'!$A$3:$A$3390,G$1,'United Data'!$C$3:$C$3390,$A760)&gt;0,1,0)</f>
        <v>0</v>
      </c>
      <c r="H760">
        <f>IF(COUNTIFS('United Data'!$A$3:$A$3390,H$1,'United Data'!$C$3:$C$3390,$A760)&gt;0,1,0)</f>
        <v>0</v>
      </c>
      <c r="I760">
        <f>IF(COUNTIFS('United Data'!$A$3:$A$3390,I$1,'United Data'!$C$3:$C$3390,$A760)&gt;0,1,0)</f>
        <v>0</v>
      </c>
      <c r="J760">
        <f>IF(COUNTIFS('United Data'!$A$3:$A$3390,J$1,'United Data'!$C$3:$C$3390,$A760)&gt;0,1,0)</f>
        <v>0</v>
      </c>
      <c r="K760">
        <f>IF(COUNTIFS('United Data'!$A$3:$A$3390,K$1,'United Data'!$C$3:$C$3390,$A760)&gt;0,1,0)</f>
        <v>0</v>
      </c>
      <c r="L760">
        <f>IF(COUNTIFS('United Data'!$A$3:$A$3390,L$1,'United Data'!$C$3:$C$3390,$A760)&gt;0,1,0)</f>
        <v>0</v>
      </c>
      <c r="M760">
        <f>IF(COUNTIFS('United Data'!$A$3:$A$3390,M$1,'United Data'!$C$3:$C$3390,$A760)&gt;0,1,0)</f>
        <v>0</v>
      </c>
      <c r="N760">
        <f>IF(COUNTIFS('United Data'!$A$3:$A$3390,N$1,'United Data'!$C$3:$C$3390,$A760)&gt;0,1,0)</f>
        <v>0</v>
      </c>
      <c r="O760">
        <f>IF(COUNTIFS('United Data'!$A$3:$A$3390,O$1,'United Data'!$C$3:$C$3390,$A760)&gt;0,1,0)</f>
        <v>0</v>
      </c>
      <c r="P760">
        <f>IF(COUNTIFS('United Data'!$A$3:$A$3390,P$1,'United Data'!$C$3:$C$3390,$A760)&gt;0,1,0)</f>
        <v>0</v>
      </c>
      <c r="Q760">
        <f>IF(COUNTIFS('United Data'!$A$3:$A$3390,Q$1,'United Data'!$C$3:$C$3390,$A760)&gt;0,1,0)</f>
        <v>0</v>
      </c>
      <c r="R760">
        <f>IF(COUNTIFS('United Data'!$A$3:$A$3390,R$1,'United Data'!$C$3:$C$3390,$A760)&gt;0,1,0)</f>
        <v>0</v>
      </c>
      <c r="S760">
        <f t="shared" si="22"/>
        <v>1</v>
      </c>
      <c r="T760">
        <f t="shared" si="23"/>
        <v>1</v>
      </c>
    </row>
    <row r="761" spans="1:20" x14ac:dyDescent="0.2">
      <c r="A761" t="s">
        <v>908</v>
      </c>
      <c r="B761">
        <f>IF(COUNTIFS('United Data'!$A$3:$A$3390,B$1,'United Data'!$C$3:$C$3390,$A761)&gt;0,1,0)</f>
        <v>0</v>
      </c>
      <c r="C761">
        <f>IF(COUNTIFS('United Data'!$A$3:$A$3390,C$1,'United Data'!$C$3:$C$3390,$A761)&gt;0,1,0)</f>
        <v>0</v>
      </c>
      <c r="D761">
        <f>IF(COUNTIFS('United Data'!$A$3:$A$3390,D$1,'United Data'!$C$3:$C$3390,$A761)&gt;0,1,0)</f>
        <v>1</v>
      </c>
      <c r="E761">
        <f>IF(COUNTIFS('United Data'!$A$3:$A$3390,E$1,'United Data'!$C$3:$C$3390,$A761)&gt;0,1,0)</f>
        <v>0</v>
      </c>
      <c r="F761">
        <f>IF(COUNTIFS('United Data'!$A$3:$A$3390,F$1,'United Data'!$C$3:$C$3390,$A761)&gt;0,1,0)</f>
        <v>0</v>
      </c>
      <c r="G761">
        <f>IF(COUNTIFS('United Data'!$A$3:$A$3390,G$1,'United Data'!$C$3:$C$3390,$A761)&gt;0,1,0)</f>
        <v>0</v>
      </c>
      <c r="H761">
        <f>IF(COUNTIFS('United Data'!$A$3:$A$3390,H$1,'United Data'!$C$3:$C$3390,$A761)&gt;0,1,0)</f>
        <v>0</v>
      </c>
      <c r="I761">
        <f>IF(COUNTIFS('United Data'!$A$3:$A$3390,I$1,'United Data'!$C$3:$C$3390,$A761)&gt;0,1,0)</f>
        <v>0</v>
      </c>
      <c r="J761">
        <f>IF(COUNTIFS('United Data'!$A$3:$A$3390,J$1,'United Data'!$C$3:$C$3390,$A761)&gt;0,1,0)</f>
        <v>0</v>
      </c>
      <c r="K761">
        <f>IF(COUNTIFS('United Data'!$A$3:$A$3390,K$1,'United Data'!$C$3:$C$3390,$A761)&gt;0,1,0)</f>
        <v>0</v>
      </c>
      <c r="L761">
        <f>IF(COUNTIFS('United Data'!$A$3:$A$3390,L$1,'United Data'!$C$3:$C$3390,$A761)&gt;0,1,0)</f>
        <v>0</v>
      </c>
      <c r="M761">
        <f>IF(COUNTIFS('United Data'!$A$3:$A$3390,M$1,'United Data'!$C$3:$C$3390,$A761)&gt;0,1,0)</f>
        <v>0</v>
      </c>
      <c r="N761">
        <f>IF(COUNTIFS('United Data'!$A$3:$A$3390,N$1,'United Data'!$C$3:$C$3390,$A761)&gt;0,1,0)</f>
        <v>0</v>
      </c>
      <c r="O761">
        <f>IF(COUNTIFS('United Data'!$A$3:$A$3390,O$1,'United Data'!$C$3:$C$3390,$A761)&gt;0,1,0)</f>
        <v>0</v>
      </c>
      <c r="P761">
        <f>IF(COUNTIFS('United Data'!$A$3:$A$3390,P$1,'United Data'!$C$3:$C$3390,$A761)&gt;0,1,0)</f>
        <v>0</v>
      </c>
      <c r="Q761">
        <f>IF(COUNTIFS('United Data'!$A$3:$A$3390,Q$1,'United Data'!$C$3:$C$3390,$A761)&gt;0,1,0)</f>
        <v>0</v>
      </c>
      <c r="R761">
        <f>IF(COUNTIFS('United Data'!$A$3:$A$3390,R$1,'United Data'!$C$3:$C$3390,$A761)&gt;0,1,0)</f>
        <v>0</v>
      </c>
      <c r="S761">
        <f t="shared" si="22"/>
        <v>1</v>
      </c>
      <c r="T761">
        <f t="shared" si="23"/>
        <v>1</v>
      </c>
    </row>
    <row r="762" spans="1:20" x14ac:dyDescent="0.2">
      <c r="A762" t="s">
        <v>910</v>
      </c>
      <c r="B762">
        <f>IF(COUNTIFS('United Data'!$A$3:$A$3390,B$1,'United Data'!$C$3:$C$3390,$A762)&gt;0,1,0)</f>
        <v>0</v>
      </c>
      <c r="C762">
        <f>IF(COUNTIFS('United Data'!$A$3:$A$3390,C$1,'United Data'!$C$3:$C$3390,$A762)&gt;0,1,0)</f>
        <v>0</v>
      </c>
      <c r="D762">
        <f>IF(COUNTIFS('United Data'!$A$3:$A$3390,D$1,'United Data'!$C$3:$C$3390,$A762)&gt;0,1,0)</f>
        <v>0</v>
      </c>
      <c r="E762">
        <f>IF(COUNTIFS('United Data'!$A$3:$A$3390,E$1,'United Data'!$C$3:$C$3390,$A762)&gt;0,1,0)</f>
        <v>1</v>
      </c>
      <c r="F762">
        <f>IF(COUNTIFS('United Data'!$A$3:$A$3390,F$1,'United Data'!$C$3:$C$3390,$A762)&gt;0,1,0)</f>
        <v>0</v>
      </c>
      <c r="G762">
        <f>IF(COUNTIFS('United Data'!$A$3:$A$3390,G$1,'United Data'!$C$3:$C$3390,$A762)&gt;0,1,0)</f>
        <v>0</v>
      </c>
      <c r="H762">
        <f>IF(COUNTIFS('United Data'!$A$3:$A$3390,H$1,'United Data'!$C$3:$C$3390,$A762)&gt;0,1,0)</f>
        <v>1</v>
      </c>
      <c r="I762">
        <f>IF(COUNTIFS('United Data'!$A$3:$A$3390,I$1,'United Data'!$C$3:$C$3390,$A762)&gt;0,1,0)</f>
        <v>0</v>
      </c>
      <c r="J762">
        <f>IF(COUNTIFS('United Data'!$A$3:$A$3390,J$1,'United Data'!$C$3:$C$3390,$A762)&gt;0,1,0)</f>
        <v>0</v>
      </c>
      <c r="K762">
        <f>IF(COUNTIFS('United Data'!$A$3:$A$3390,K$1,'United Data'!$C$3:$C$3390,$A762)&gt;0,1,0)</f>
        <v>0</v>
      </c>
      <c r="L762">
        <f>IF(COUNTIFS('United Data'!$A$3:$A$3390,L$1,'United Data'!$C$3:$C$3390,$A762)&gt;0,1,0)</f>
        <v>1</v>
      </c>
      <c r="M762">
        <f>IF(COUNTIFS('United Data'!$A$3:$A$3390,M$1,'United Data'!$C$3:$C$3390,$A762)&gt;0,1,0)</f>
        <v>0</v>
      </c>
      <c r="N762">
        <f>IF(COUNTIFS('United Data'!$A$3:$A$3390,N$1,'United Data'!$C$3:$C$3390,$A762)&gt;0,1,0)</f>
        <v>0</v>
      </c>
      <c r="O762">
        <f>IF(COUNTIFS('United Data'!$A$3:$A$3390,O$1,'United Data'!$C$3:$C$3390,$A762)&gt;0,1,0)</f>
        <v>0</v>
      </c>
      <c r="P762">
        <f>IF(COUNTIFS('United Data'!$A$3:$A$3390,P$1,'United Data'!$C$3:$C$3390,$A762)&gt;0,1,0)</f>
        <v>0</v>
      </c>
      <c r="Q762">
        <f>IF(COUNTIFS('United Data'!$A$3:$A$3390,Q$1,'United Data'!$C$3:$C$3390,$A762)&gt;0,1,0)</f>
        <v>0</v>
      </c>
      <c r="R762">
        <f>IF(COUNTIFS('United Data'!$A$3:$A$3390,R$1,'United Data'!$C$3:$C$3390,$A762)&gt;0,1,0)</f>
        <v>0</v>
      </c>
      <c r="S762">
        <f t="shared" si="22"/>
        <v>3</v>
      </c>
      <c r="T762">
        <f t="shared" si="23"/>
        <v>3</v>
      </c>
    </row>
    <row r="763" spans="1:20" x14ac:dyDescent="0.2">
      <c r="A763" t="s">
        <v>911</v>
      </c>
      <c r="B763">
        <f>IF(COUNTIFS('United Data'!$A$3:$A$3390,B$1,'United Data'!$C$3:$C$3390,$A763)&gt;0,1,0)</f>
        <v>0</v>
      </c>
      <c r="C763">
        <f>IF(COUNTIFS('United Data'!$A$3:$A$3390,C$1,'United Data'!$C$3:$C$3390,$A763)&gt;0,1,0)</f>
        <v>0</v>
      </c>
      <c r="D763">
        <f>IF(COUNTIFS('United Data'!$A$3:$A$3390,D$1,'United Data'!$C$3:$C$3390,$A763)&gt;0,1,0)</f>
        <v>0</v>
      </c>
      <c r="E763">
        <f>IF(COUNTIFS('United Data'!$A$3:$A$3390,E$1,'United Data'!$C$3:$C$3390,$A763)&gt;0,1,0)</f>
        <v>1</v>
      </c>
      <c r="F763">
        <f>IF(COUNTIFS('United Data'!$A$3:$A$3390,F$1,'United Data'!$C$3:$C$3390,$A763)&gt;0,1,0)</f>
        <v>0</v>
      </c>
      <c r="G763">
        <f>IF(COUNTIFS('United Data'!$A$3:$A$3390,G$1,'United Data'!$C$3:$C$3390,$A763)&gt;0,1,0)</f>
        <v>0</v>
      </c>
      <c r="H763">
        <f>IF(COUNTIFS('United Data'!$A$3:$A$3390,H$1,'United Data'!$C$3:$C$3390,$A763)&gt;0,1,0)</f>
        <v>0</v>
      </c>
      <c r="I763">
        <f>IF(COUNTIFS('United Data'!$A$3:$A$3390,I$1,'United Data'!$C$3:$C$3390,$A763)&gt;0,1,0)</f>
        <v>0</v>
      </c>
      <c r="J763">
        <f>IF(COUNTIFS('United Data'!$A$3:$A$3390,J$1,'United Data'!$C$3:$C$3390,$A763)&gt;0,1,0)</f>
        <v>0</v>
      </c>
      <c r="K763">
        <f>IF(COUNTIFS('United Data'!$A$3:$A$3390,K$1,'United Data'!$C$3:$C$3390,$A763)&gt;0,1,0)</f>
        <v>0</v>
      </c>
      <c r="L763">
        <f>IF(COUNTIFS('United Data'!$A$3:$A$3390,L$1,'United Data'!$C$3:$C$3390,$A763)&gt;0,1,0)</f>
        <v>0</v>
      </c>
      <c r="M763">
        <f>IF(COUNTIFS('United Data'!$A$3:$A$3390,M$1,'United Data'!$C$3:$C$3390,$A763)&gt;0,1,0)</f>
        <v>0</v>
      </c>
      <c r="N763">
        <f>IF(COUNTIFS('United Data'!$A$3:$A$3390,N$1,'United Data'!$C$3:$C$3390,$A763)&gt;0,1,0)</f>
        <v>0</v>
      </c>
      <c r="O763">
        <f>IF(COUNTIFS('United Data'!$A$3:$A$3390,O$1,'United Data'!$C$3:$C$3390,$A763)&gt;0,1,0)</f>
        <v>0</v>
      </c>
      <c r="P763">
        <f>IF(COUNTIFS('United Data'!$A$3:$A$3390,P$1,'United Data'!$C$3:$C$3390,$A763)&gt;0,1,0)</f>
        <v>0</v>
      </c>
      <c r="Q763">
        <f>IF(COUNTIFS('United Data'!$A$3:$A$3390,Q$1,'United Data'!$C$3:$C$3390,$A763)&gt;0,1,0)</f>
        <v>0</v>
      </c>
      <c r="R763">
        <f>IF(COUNTIFS('United Data'!$A$3:$A$3390,R$1,'United Data'!$C$3:$C$3390,$A763)&gt;0,1,0)</f>
        <v>0</v>
      </c>
      <c r="S763">
        <f t="shared" si="22"/>
        <v>1</v>
      </c>
      <c r="T763">
        <f t="shared" si="23"/>
        <v>1</v>
      </c>
    </row>
    <row r="764" spans="1:20" x14ac:dyDescent="0.2">
      <c r="A764" t="s">
        <v>912</v>
      </c>
      <c r="B764">
        <f>IF(COUNTIFS('United Data'!$A$3:$A$3390,B$1,'United Data'!$C$3:$C$3390,$A764)&gt;0,1,0)</f>
        <v>0</v>
      </c>
      <c r="C764">
        <f>IF(COUNTIFS('United Data'!$A$3:$A$3390,C$1,'United Data'!$C$3:$C$3390,$A764)&gt;0,1,0)</f>
        <v>0</v>
      </c>
      <c r="D764">
        <f>IF(COUNTIFS('United Data'!$A$3:$A$3390,D$1,'United Data'!$C$3:$C$3390,$A764)&gt;0,1,0)</f>
        <v>0</v>
      </c>
      <c r="E764">
        <f>IF(COUNTIFS('United Data'!$A$3:$A$3390,E$1,'United Data'!$C$3:$C$3390,$A764)&gt;0,1,0)</f>
        <v>1</v>
      </c>
      <c r="F764">
        <f>IF(COUNTIFS('United Data'!$A$3:$A$3390,F$1,'United Data'!$C$3:$C$3390,$A764)&gt;0,1,0)</f>
        <v>0</v>
      </c>
      <c r="G764">
        <f>IF(COUNTIFS('United Data'!$A$3:$A$3390,G$1,'United Data'!$C$3:$C$3390,$A764)&gt;0,1,0)</f>
        <v>0</v>
      </c>
      <c r="H764">
        <f>IF(COUNTIFS('United Data'!$A$3:$A$3390,H$1,'United Data'!$C$3:$C$3390,$A764)&gt;0,1,0)</f>
        <v>0</v>
      </c>
      <c r="I764">
        <f>IF(COUNTIFS('United Data'!$A$3:$A$3390,I$1,'United Data'!$C$3:$C$3390,$A764)&gt;0,1,0)</f>
        <v>0</v>
      </c>
      <c r="J764">
        <f>IF(COUNTIFS('United Data'!$A$3:$A$3390,J$1,'United Data'!$C$3:$C$3390,$A764)&gt;0,1,0)</f>
        <v>0</v>
      </c>
      <c r="K764">
        <f>IF(COUNTIFS('United Data'!$A$3:$A$3390,K$1,'United Data'!$C$3:$C$3390,$A764)&gt;0,1,0)</f>
        <v>0</v>
      </c>
      <c r="L764">
        <f>IF(COUNTIFS('United Data'!$A$3:$A$3390,L$1,'United Data'!$C$3:$C$3390,$A764)&gt;0,1,0)</f>
        <v>0</v>
      </c>
      <c r="M764">
        <f>IF(COUNTIFS('United Data'!$A$3:$A$3390,M$1,'United Data'!$C$3:$C$3390,$A764)&gt;0,1,0)</f>
        <v>0</v>
      </c>
      <c r="N764">
        <f>IF(COUNTIFS('United Data'!$A$3:$A$3390,N$1,'United Data'!$C$3:$C$3390,$A764)&gt;0,1,0)</f>
        <v>0</v>
      </c>
      <c r="O764">
        <f>IF(COUNTIFS('United Data'!$A$3:$A$3390,O$1,'United Data'!$C$3:$C$3390,$A764)&gt;0,1,0)</f>
        <v>0</v>
      </c>
      <c r="P764">
        <f>IF(COUNTIFS('United Data'!$A$3:$A$3390,P$1,'United Data'!$C$3:$C$3390,$A764)&gt;0,1,0)</f>
        <v>0</v>
      </c>
      <c r="Q764">
        <f>IF(COUNTIFS('United Data'!$A$3:$A$3390,Q$1,'United Data'!$C$3:$C$3390,$A764)&gt;0,1,0)</f>
        <v>0</v>
      </c>
      <c r="R764">
        <f>IF(COUNTIFS('United Data'!$A$3:$A$3390,R$1,'United Data'!$C$3:$C$3390,$A764)&gt;0,1,0)</f>
        <v>0</v>
      </c>
      <c r="S764">
        <f t="shared" si="22"/>
        <v>1</v>
      </c>
      <c r="T764">
        <f t="shared" si="23"/>
        <v>1</v>
      </c>
    </row>
    <row r="765" spans="1:20" x14ac:dyDescent="0.2">
      <c r="A765" t="s">
        <v>913</v>
      </c>
      <c r="B765">
        <f>IF(COUNTIFS('United Data'!$A$3:$A$3390,B$1,'United Data'!$C$3:$C$3390,$A765)&gt;0,1,0)</f>
        <v>0</v>
      </c>
      <c r="C765">
        <f>IF(COUNTIFS('United Data'!$A$3:$A$3390,C$1,'United Data'!$C$3:$C$3390,$A765)&gt;0,1,0)</f>
        <v>0</v>
      </c>
      <c r="D765">
        <f>IF(COUNTIFS('United Data'!$A$3:$A$3390,D$1,'United Data'!$C$3:$C$3390,$A765)&gt;0,1,0)</f>
        <v>0</v>
      </c>
      <c r="E765">
        <f>IF(COUNTIFS('United Data'!$A$3:$A$3390,E$1,'United Data'!$C$3:$C$3390,$A765)&gt;0,1,0)</f>
        <v>1</v>
      </c>
      <c r="F765">
        <f>IF(COUNTIFS('United Data'!$A$3:$A$3390,F$1,'United Data'!$C$3:$C$3390,$A765)&gt;0,1,0)</f>
        <v>0</v>
      </c>
      <c r="G765">
        <f>IF(COUNTIFS('United Data'!$A$3:$A$3390,G$1,'United Data'!$C$3:$C$3390,$A765)&gt;0,1,0)</f>
        <v>0</v>
      </c>
      <c r="H765">
        <f>IF(COUNTIFS('United Data'!$A$3:$A$3390,H$1,'United Data'!$C$3:$C$3390,$A765)&gt;0,1,0)</f>
        <v>0</v>
      </c>
      <c r="I765">
        <f>IF(COUNTIFS('United Data'!$A$3:$A$3390,I$1,'United Data'!$C$3:$C$3390,$A765)&gt;0,1,0)</f>
        <v>0</v>
      </c>
      <c r="J765">
        <f>IF(COUNTIFS('United Data'!$A$3:$A$3390,J$1,'United Data'!$C$3:$C$3390,$A765)&gt;0,1,0)</f>
        <v>0</v>
      </c>
      <c r="K765">
        <f>IF(COUNTIFS('United Data'!$A$3:$A$3390,K$1,'United Data'!$C$3:$C$3390,$A765)&gt;0,1,0)</f>
        <v>0</v>
      </c>
      <c r="L765">
        <f>IF(COUNTIFS('United Data'!$A$3:$A$3390,L$1,'United Data'!$C$3:$C$3390,$A765)&gt;0,1,0)</f>
        <v>0</v>
      </c>
      <c r="M765">
        <f>IF(COUNTIFS('United Data'!$A$3:$A$3390,M$1,'United Data'!$C$3:$C$3390,$A765)&gt;0,1,0)</f>
        <v>1</v>
      </c>
      <c r="N765">
        <f>IF(COUNTIFS('United Data'!$A$3:$A$3390,N$1,'United Data'!$C$3:$C$3390,$A765)&gt;0,1,0)</f>
        <v>0</v>
      </c>
      <c r="O765">
        <f>IF(COUNTIFS('United Data'!$A$3:$A$3390,O$1,'United Data'!$C$3:$C$3390,$A765)&gt;0,1,0)</f>
        <v>0</v>
      </c>
      <c r="P765">
        <f>IF(COUNTIFS('United Data'!$A$3:$A$3390,P$1,'United Data'!$C$3:$C$3390,$A765)&gt;0,1,0)</f>
        <v>0</v>
      </c>
      <c r="Q765">
        <f>IF(COUNTIFS('United Data'!$A$3:$A$3390,Q$1,'United Data'!$C$3:$C$3390,$A765)&gt;0,1,0)</f>
        <v>0</v>
      </c>
      <c r="R765">
        <f>IF(COUNTIFS('United Data'!$A$3:$A$3390,R$1,'United Data'!$C$3:$C$3390,$A765)&gt;0,1,0)</f>
        <v>0</v>
      </c>
      <c r="S765">
        <f t="shared" si="22"/>
        <v>2</v>
      </c>
      <c r="T765">
        <f t="shared" si="23"/>
        <v>2</v>
      </c>
    </row>
    <row r="766" spans="1:20" x14ac:dyDescent="0.2">
      <c r="A766" t="s">
        <v>914</v>
      </c>
      <c r="B766">
        <f>IF(COUNTIFS('United Data'!$A$3:$A$3390,B$1,'United Data'!$C$3:$C$3390,$A766)&gt;0,1,0)</f>
        <v>0</v>
      </c>
      <c r="C766">
        <f>IF(COUNTIFS('United Data'!$A$3:$A$3390,C$1,'United Data'!$C$3:$C$3390,$A766)&gt;0,1,0)</f>
        <v>0</v>
      </c>
      <c r="D766">
        <f>IF(COUNTIFS('United Data'!$A$3:$A$3390,D$1,'United Data'!$C$3:$C$3390,$A766)&gt;0,1,0)</f>
        <v>0</v>
      </c>
      <c r="E766">
        <f>IF(COUNTIFS('United Data'!$A$3:$A$3390,E$1,'United Data'!$C$3:$C$3390,$A766)&gt;0,1,0)</f>
        <v>1</v>
      </c>
      <c r="F766">
        <f>IF(COUNTIFS('United Data'!$A$3:$A$3390,F$1,'United Data'!$C$3:$C$3390,$A766)&gt;0,1,0)</f>
        <v>0</v>
      </c>
      <c r="G766">
        <f>IF(COUNTIFS('United Data'!$A$3:$A$3390,G$1,'United Data'!$C$3:$C$3390,$A766)&gt;0,1,0)</f>
        <v>0</v>
      </c>
      <c r="H766">
        <f>IF(COUNTIFS('United Data'!$A$3:$A$3390,H$1,'United Data'!$C$3:$C$3390,$A766)&gt;0,1,0)</f>
        <v>0</v>
      </c>
      <c r="I766">
        <f>IF(COUNTIFS('United Data'!$A$3:$A$3390,I$1,'United Data'!$C$3:$C$3390,$A766)&gt;0,1,0)</f>
        <v>0</v>
      </c>
      <c r="J766">
        <f>IF(COUNTIFS('United Data'!$A$3:$A$3390,J$1,'United Data'!$C$3:$C$3390,$A766)&gt;0,1,0)</f>
        <v>0</v>
      </c>
      <c r="K766">
        <f>IF(COUNTIFS('United Data'!$A$3:$A$3390,K$1,'United Data'!$C$3:$C$3390,$A766)&gt;0,1,0)</f>
        <v>0</v>
      </c>
      <c r="L766">
        <f>IF(COUNTIFS('United Data'!$A$3:$A$3390,L$1,'United Data'!$C$3:$C$3390,$A766)&gt;0,1,0)</f>
        <v>0</v>
      </c>
      <c r="M766">
        <f>IF(COUNTIFS('United Data'!$A$3:$A$3390,M$1,'United Data'!$C$3:$C$3390,$A766)&gt;0,1,0)</f>
        <v>0</v>
      </c>
      <c r="N766">
        <f>IF(COUNTIFS('United Data'!$A$3:$A$3390,N$1,'United Data'!$C$3:$C$3390,$A766)&gt;0,1,0)</f>
        <v>0</v>
      </c>
      <c r="O766">
        <f>IF(COUNTIFS('United Data'!$A$3:$A$3390,O$1,'United Data'!$C$3:$C$3390,$A766)&gt;0,1,0)</f>
        <v>0</v>
      </c>
      <c r="P766">
        <f>IF(COUNTIFS('United Data'!$A$3:$A$3390,P$1,'United Data'!$C$3:$C$3390,$A766)&gt;0,1,0)</f>
        <v>0</v>
      </c>
      <c r="Q766">
        <f>IF(COUNTIFS('United Data'!$A$3:$A$3390,Q$1,'United Data'!$C$3:$C$3390,$A766)&gt;0,1,0)</f>
        <v>0</v>
      </c>
      <c r="R766">
        <f>IF(COUNTIFS('United Data'!$A$3:$A$3390,R$1,'United Data'!$C$3:$C$3390,$A766)&gt;0,1,0)</f>
        <v>0</v>
      </c>
      <c r="S766">
        <f t="shared" si="22"/>
        <v>1</v>
      </c>
      <c r="T766">
        <f t="shared" si="23"/>
        <v>1</v>
      </c>
    </row>
    <row r="767" spans="1:20" x14ac:dyDescent="0.2">
      <c r="A767" t="s">
        <v>915</v>
      </c>
      <c r="B767">
        <f>IF(COUNTIFS('United Data'!$A$3:$A$3390,B$1,'United Data'!$C$3:$C$3390,$A767)&gt;0,1,0)</f>
        <v>0</v>
      </c>
      <c r="C767">
        <f>IF(COUNTIFS('United Data'!$A$3:$A$3390,C$1,'United Data'!$C$3:$C$3390,$A767)&gt;0,1,0)</f>
        <v>0</v>
      </c>
      <c r="D767">
        <f>IF(COUNTIFS('United Data'!$A$3:$A$3390,D$1,'United Data'!$C$3:$C$3390,$A767)&gt;0,1,0)</f>
        <v>0</v>
      </c>
      <c r="E767">
        <f>IF(COUNTIFS('United Data'!$A$3:$A$3390,E$1,'United Data'!$C$3:$C$3390,$A767)&gt;0,1,0)</f>
        <v>1</v>
      </c>
      <c r="F767">
        <f>IF(COUNTIFS('United Data'!$A$3:$A$3390,F$1,'United Data'!$C$3:$C$3390,$A767)&gt;0,1,0)</f>
        <v>1</v>
      </c>
      <c r="G767">
        <f>IF(COUNTIFS('United Data'!$A$3:$A$3390,G$1,'United Data'!$C$3:$C$3390,$A767)&gt;0,1,0)</f>
        <v>0</v>
      </c>
      <c r="H767">
        <f>IF(COUNTIFS('United Data'!$A$3:$A$3390,H$1,'United Data'!$C$3:$C$3390,$A767)&gt;0,1,0)</f>
        <v>0</v>
      </c>
      <c r="I767">
        <f>IF(COUNTIFS('United Data'!$A$3:$A$3390,I$1,'United Data'!$C$3:$C$3390,$A767)&gt;0,1,0)</f>
        <v>0</v>
      </c>
      <c r="J767">
        <f>IF(COUNTIFS('United Data'!$A$3:$A$3390,J$1,'United Data'!$C$3:$C$3390,$A767)&gt;0,1,0)</f>
        <v>1</v>
      </c>
      <c r="K767">
        <f>IF(COUNTIFS('United Data'!$A$3:$A$3390,K$1,'United Data'!$C$3:$C$3390,$A767)&gt;0,1,0)</f>
        <v>0</v>
      </c>
      <c r="L767">
        <f>IF(COUNTIFS('United Data'!$A$3:$A$3390,L$1,'United Data'!$C$3:$C$3390,$A767)&gt;0,1,0)</f>
        <v>0</v>
      </c>
      <c r="M767">
        <f>IF(COUNTIFS('United Data'!$A$3:$A$3390,M$1,'United Data'!$C$3:$C$3390,$A767)&gt;0,1,0)</f>
        <v>0</v>
      </c>
      <c r="N767">
        <f>IF(COUNTIFS('United Data'!$A$3:$A$3390,N$1,'United Data'!$C$3:$C$3390,$A767)&gt;0,1,0)</f>
        <v>0</v>
      </c>
      <c r="O767">
        <f>IF(COUNTIFS('United Data'!$A$3:$A$3390,O$1,'United Data'!$C$3:$C$3390,$A767)&gt;0,1,0)</f>
        <v>0</v>
      </c>
      <c r="P767">
        <f>IF(COUNTIFS('United Data'!$A$3:$A$3390,P$1,'United Data'!$C$3:$C$3390,$A767)&gt;0,1,0)</f>
        <v>0</v>
      </c>
      <c r="Q767">
        <f>IF(COUNTIFS('United Data'!$A$3:$A$3390,Q$1,'United Data'!$C$3:$C$3390,$A767)&gt;0,1,0)</f>
        <v>0</v>
      </c>
      <c r="R767">
        <f>IF(COUNTIFS('United Data'!$A$3:$A$3390,R$1,'United Data'!$C$3:$C$3390,$A767)&gt;0,1,0)</f>
        <v>0</v>
      </c>
      <c r="S767">
        <f t="shared" si="22"/>
        <v>3</v>
      </c>
      <c r="T767">
        <f t="shared" si="23"/>
        <v>2</v>
      </c>
    </row>
    <row r="768" spans="1:20" x14ac:dyDescent="0.2">
      <c r="A768" t="s">
        <v>918</v>
      </c>
      <c r="B768">
        <f>IF(COUNTIFS('United Data'!$A$3:$A$3390,B$1,'United Data'!$C$3:$C$3390,$A768)&gt;0,1,0)</f>
        <v>0</v>
      </c>
      <c r="C768">
        <f>IF(COUNTIFS('United Data'!$A$3:$A$3390,C$1,'United Data'!$C$3:$C$3390,$A768)&gt;0,1,0)</f>
        <v>0</v>
      </c>
      <c r="D768">
        <f>IF(COUNTIFS('United Data'!$A$3:$A$3390,D$1,'United Data'!$C$3:$C$3390,$A768)&gt;0,1,0)</f>
        <v>0</v>
      </c>
      <c r="E768">
        <f>IF(COUNTIFS('United Data'!$A$3:$A$3390,E$1,'United Data'!$C$3:$C$3390,$A768)&gt;0,1,0)</f>
        <v>1</v>
      </c>
      <c r="F768">
        <f>IF(COUNTIFS('United Data'!$A$3:$A$3390,F$1,'United Data'!$C$3:$C$3390,$A768)&gt;0,1,0)</f>
        <v>0</v>
      </c>
      <c r="G768">
        <f>IF(COUNTIFS('United Data'!$A$3:$A$3390,G$1,'United Data'!$C$3:$C$3390,$A768)&gt;0,1,0)</f>
        <v>0</v>
      </c>
      <c r="H768">
        <f>IF(COUNTIFS('United Data'!$A$3:$A$3390,H$1,'United Data'!$C$3:$C$3390,$A768)&gt;0,1,0)</f>
        <v>0</v>
      </c>
      <c r="I768">
        <f>IF(COUNTIFS('United Data'!$A$3:$A$3390,I$1,'United Data'!$C$3:$C$3390,$A768)&gt;0,1,0)</f>
        <v>1</v>
      </c>
      <c r="J768">
        <f>IF(COUNTIFS('United Data'!$A$3:$A$3390,J$1,'United Data'!$C$3:$C$3390,$A768)&gt;0,1,0)</f>
        <v>1</v>
      </c>
      <c r="K768">
        <f>IF(COUNTIFS('United Data'!$A$3:$A$3390,K$1,'United Data'!$C$3:$C$3390,$A768)&gt;0,1,0)</f>
        <v>0</v>
      </c>
      <c r="L768">
        <f>IF(COUNTIFS('United Data'!$A$3:$A$3390,L$1,'United Data'!$C$3:$C$3390,$A768)&gt;0,1,0)</f>
        <v>0</v>
      </c>
      <c r="M768">
        <f>IF(COUNTIFS('United Data'!$A$3:$A$3390,M$1,'United Data'!$C$3:$C$3390,$A768)&gt;0,1,0)</f>
        <v>0</v>
      </c>
      <c r="N768">
        <f>IF(COUNTIFS('United Data'!$A$3:$A$3390,N$1,'United Data'!$C$3:$C$3390,$A768)&gt;0,1,0)</f>
        <v>0</v>
      </c>
      <c r="O768">
        <f>IF(COUNTIFS('United Data'!$A$3:$A$3390,O$1,'United Data'!$C$3:$C$3390,$A768)&gt;0,1,0)</f>
        <v>0</v>
      </c>
      <c r="P768">
        <f>IF(COUNTIFS('United Data'!$A$3:$A$3390,P$1,'United Data'!$C$3:$C$3390,$A768)&gt;0,1,0)</f>
        <v>0</v>
      </c>
      <c r="Q768">
        <f>IF(COUNTIFS('United Data'!$A$3:$A$3390,Q$1,'United Data'!$C$3:$C$3390,$A768)&gt;0,1,0)</f>
        <v>0</v>
      </c>
      <c r="R768">
        <f>IF(COUNTIFS('United Data'!$A$3:$A$3390,R$1,'United Data'!$C$3:$C$3390,$A768)&gt;0,1,0)</f>
        <v>0</v>
      </c>
      <c r="S768">
        <f t="shared" si="22"/>
        <v>3</v>
      </c>
      <c r="T768">
        <f t="shared" si="23"/>
        <v>2</v>
      </c>
    </row>
    <row r="769" spans="1:20" x14ac:dyDescent="0.2">
      <c r="A769" t="s">
        <v>919</v>
      </c>
      <c r="B769">
        <f>IF(COUNTIFS('United Data'!$A$3:$A$3390,B$1,'United Data'!$C$3:$C$3390,$A769)&gt;0,1,0)</f>
        <v>0</v>
      </c>
      <c r="C769">
        <f>IF(COUNTIFS('United Data'!$A$3:$A$3390,C$1,'United Data'!$C$3:$C$3390,$A769)&gt;0,1,0)</f>
        <v>0</v>
      </c>
      <c r="D769">
        <f>IF(COUNTIFS('United Data'!$A$3:$A$3390,D$1,'United Data'!$C$3:$C$3390,$A769)&gt;0,1,0)</f>
        <v>0</v>
      </c>
      <c r="E769">
        <f>IF(COUNTIFS('United Data'!$A$3:$A$3390,E$1,'United Data'!$C$3:$C$3390,$A769)&gt;0,1,0)</f>
        <v>0</v>
      </c>
      <c r="F769">
        <f>IF(COUNTIFS('United Data'!$A$3:$A$3390,F$1,'United Data'!$C$3:$C$3390,$A769)&gt;0,1,0)</f>
        <v>1</v>
      </c>
      <c r="G769">
        <f>IF(COUNTIFS('United Data'!$A$3:$A$3390,G$1,'United Data'!$C$3:$C$3390,$A769)&gt;0,1,0)</f>
        <v>0</v>
      </c>
      <c r="H769">
        <f>IF(COUNTIFS('United Data'!$A$3:$A$3390,H$1,'United Data'!$C$3:$C$3390,$A769)&gt;0,1,0)</f>
        <v>0</v>
      </c>
      <c r="I769">
        <f>IF(COUNTIFS('United Data'!$A$3:$A$3390,I$1,'United Data'!$C$3:$C$3390,$A769)&gt;0,1,0)</f>
        <v>0</v>
      </c>
      <c r="J769">
        <f>IF(COUNTIFS('United Data'!$A$3:$A$3390,J$1,'United Data'!$C$3:$C$3390,$A769)&gt;0,1,0)</f>
        <v>1</v>
      </c>
      <c r="K769">
        <f>IF(COUNTIFS('United Data'!$A$3:$A$3390,K$1,'United Data'!$C$3:$C$3390,$A769)&gt;0,1,0)</f>
        <v>0</v>
      </c>
      <c r="L769">
        <f>IF(COUNTIFS('United Data'!$A$3:$A$3390,L$1,'United Data'!$C$3:$C$3390,$A769)&gt;0,1,0)</f>
        <v>0</v>
      </c>
      <c r="M769">
        <f>IF(COUNTIFS('United Data'!$A$3:$A$3390,M$1,'United Data'!$C$3:$C$3390,$A769)&gt;0,1,0)</f>
        <v>0</v>
      </c>
      <c r="N769">
        <f>IF(COUNTIFS('United Data'!$A$3:$A$3390,N$1,'United Data'!$C$3:$C$3390,$A769)&gt;0,1,0)</f>
        <v>0</v>
      </c>
      <c r="O769">
        <f>IF(COUNTIFS('United Data'!$A$3:$A$3390,O$1,'United Data'!$C$3:$C$3390,$A769)&gt;0,1,0)</f>
        <v>0</v>
      </c>
      <c r="P769">
        <f>IF(COUNTIFS('United Data'!$A$3:$A$3390,P$1,'United Data'!$C$3:$C$3390,$A769)&gt;0,1,0)</f>
        <v>0</v>
      </c>
      <c r="Q769">
        <f>IF(COUNTIFS('United Data'!$A$3:$A$3390,Q$1,'United Data'!$C$3:$C$3390,$A769)&gt;0,1,0)</f>
        <v>0</v>
      </c>
      <c r="R769">
        <f>IF(COUNTIFS('United Data'!$A$3:$A$3390,R$1,'United Data'!$C$3:$C$3390,$A769)&gt;0,1,0)</f>
        <v>0</v>
      </c>
      <c r="S769">
        <f t="shared" si="22"/>
        <v>2</v>
      </c>
      <c r="T769">
        <f t="shared" si="23"/>
        <v>2</v>
      </c>
    </row>
    <row r="770" spans="1:20" x14ac:dyDescent="0.2">
      <c r="A770" t="s">
        <v>921</v>
      </c>
      <c r="B770">
        <f>IF(COUNTIFS('United Data'!$A$3:$A$3390,B$1,'United Data'!$C$3:$C$3390,$A770)&gt;0,1,0)</f>
        <v>0</v>
      </c>
      <c r="C770">
        <f>IF(COUNTIFS('United Data'!$A$3:$A$3390,C$1,'United Data'!$C$3:$C$3390,$A770)&gt;0,1,0)</f>
        <v>0</v>
      </c>
      <c r="D770">
        <f>IF(COUNTIFS('United Data'!$A$3:$A$3390,D$1,'United Data'!$C$3:$C$3390,$A770)&gt;0,1,0)</f>
        <v>0</v>
      </c>
      <c r="E770">
        <f>IF(COUNTIFS('United Data'!$A$3:$A$3390,E$1,'United Data'!$C$3:$C$3390,$A770)&gt;0,1,0)</f>
        <v>0</v>
      </c>
      <c r="F770">
        <f>IF(COUNTIFS('United Data'!$A$3:$A$3390,F$1,'United Data'!$C$3:$C$3390,$A770)&gt;0,1,0)</f>
        <v>1</v>
      </c>
      <c r="G770">
        <f>IF(COUNTIFS('United Data'!$A$3:$A$3390,G$1,'United Data'!$C$3:$C$3390,$A770)&gt;0,1,0)</f>
        <v>0</v>
      </c>
      <c r="H770">
        <f>IF(COUNTIFS('United Data'!$A$3:$A$3390,H$1,'United Data'!$C$3:$C$3390,$A770)&gt;0,1,0)</f>
        <v>0</v>
      </c>
      <c r="I770">
        <f>IF(COUNTIFS('United Data'!$A$3:$A$3390,I$1,'United Data'!$C$3:$C$3390,$A770)&gt;0,1,0)</f>
        <v>0</v>
      </c>
      <c r="J770">
        <f>IF(COUNTIFS('United Data'!$A$3:$A$3390,J$1,'United Data'!$C$3:$C$3390,$A770)&gt;0,1,0)</f>
        <v>0</v>
      </c>
      <c r="K770">
        <f>IF(COUNTIFS('United Data'!$A$3:$A$3390,K$1,'United Data'!$C$3:$C$3390,$A770)&gt;0,1,0)</f>
        <v>0</v>
      </c>
      <c r="L770">
        <f>IF(COUNTIFS('United Data'!$A$3:$A$3390,L$1,'United Data'!$C$3:$C$3390,$A770)&gt;0,1,0)</f>
        <v>0</v>
      </c>
      <c r="M770">
        <f>IF(COUNTIFS('United Data'!$A$3:$A$3390,M$1,'United Data'!$C$3:$C$3390,$A770)&gt;0,1,0)</f>
        <v>0</v>
      </c>
      <c r="N770">
        <f>IF(COUNTIFS('United Data'!$A$3:$A$3390,N$1,'United Data'!$C$3:$C$3390,$A770)&gt;0,1,0)</f>
        <v>0</v>
      </c>
      <c r="O770">
        <f>IF(COUNTIFS('United Data'!$A$3:$A$3390,O$1,'United Data'!$C$3:$C$3390,$A770)&gt;0,1,0)</f>
        <v>0</v>
      </c>
      <c r="P770">
        <f>IF(COUNTIFS('United Data'!$A$3:$A$3390,P$1,'United Data'!$C$3:$C$3390,$A770)&gt;0,1,0)</f>
        <v>0</v>
      </c>
      <c r="Q770">
        <f>IF(COUNTIFS('United Data'!$A$3:$A$3390,Q$1,'United Data'!$C$3:$C$3390,$A770)&gt;0,1,0)</f>
        <v>0</v>
      </c>
      <c r="R770">
        <f>IF(COUNTIFS('United Data'!$A$3:$A$3390,R$1,'United Data'!$C$3:$C$3390,$A770)&gt;0,1,0)</f>
        <v>0</v>
      </c>
      <c r="S770">
        <f t="shared" ref="S770:S833" si="24">SUM(B770:R770)</f>
        <v>1</v>
      </c>
      <c r="T770">
        <f t="shared" ref="T770:T833" si="25">B770+SUMPRODUCT(--(C770:R770&gt;B770:Q770))</f>
        <v>1</v>
      </c>
    </row>
    <row r="771" spans="1:20" x14ac:dyDescent="0.2">
      <c r="A771" t="s">
        <v>924</v>
      </c>
      <c r="B771">
        <f>IF(COUNTIFS('United Data'!$A$3:$A$3390,B$1,'United Data'!$C$3:$C$3390,$A771)&gt;0,1,0)</f>
        <v>0</v>
      </c>
      <c r="C771">
        <f>IF(COUNTIFS('United Data'!$A$3:$A$3390,C$1,'United Data'!$C$3:$C$3390,$A771)&gt;0,1,0)</f>
        <v>0</v>
      </c>
      <c r="D771">
        <f>IF(COUNTIFS('United Data'!$A$3:$A$3390,D$1,'United Data'!$C$3:$C$3390,$A771)&gt;0,1,0)</f>
        <v>0</v>
      </c>
      <c r="E771">
        <f>IF(COUNTIFS('United Data'!$A$3:$A$3390,E$1,'United Data'!$C$3:$C$3390,$A771)&gt;0,1,0)</f>
        <v>0</v>
      </c>
      <c r="F771">
        <f>IF(COUNTIFS('United Data'!$A$3:$A$3390,F$1,'United Data'!$C$3:$C$3390,$A771)&gt;0,1,0)</f>
        <v>1</v>
      </c>
      <c r="G771">
        <f>IF(COUNTIFS('United Data'!$A$3:$A$3390,G$1,'United Data'!$C$3:$C$3390,$A771)&gt;0,1,0)</f>
        <v>0</v>
      </c>
      <c r="H771">
        <f>IF(COUNTIFS('United Data'!$A$3:$A$3390,H$1,'United Data'!$C$3:$C$3390,$A771)&gt;0,1,0)</f>
        <v>0</v>
      </c>
      <c r="I771">
        <f>IF(COUNTIFS('United Data'!$A$3:$A$3390,I$1,'United Data'!$C$3:$C$3390,$A771)&gt;0,1,0)</f>
        <v>0</v>
      </c>
      <c r="J771">
        <f>IF(COUNTIFS('United Data'!$A$3:$A$3390,J$1,'United Data'!$C$3:$C$3390,$A771)&gt;0,1,0)</f>
        <v>0</v>
      </c>
      <c r="K771">
        <f>IF(COUNTIFS('United Data'!$A$3:$A$3390,K$1,'United Data'!$C$3:$C$3390,$A771)&gt;0,1,0)</f>
        <v>0</v>
      </c>
      <c r="L771">
        <f>IF(COUNTIFS('United Data'!$A$3:$A$3390,L$1,'United Data'!$C$3:$C$3390,$A771)&gt;0,1,0)</f>
        <v>0</v>
      </c>
      <c r="M771">
        <f>IF(COUNTIFS('United Data'!$A$3:$A$3390,M$1,'United Data'!$C$3:$C$3390,$A771)&gt;0,1,0)</f>
        <v>0</v>
      </c>
      <c r="N771">
        <f>IF(COUNTIFS('United Data'!$A$3:$A$3390,N$1,'United Data'!$C$3:$C$3390,$A771)&gt;0,1,0)</f>
        <v>0</v>
      </c>
      <c r="O771">
        <f>IF(COUNTIFS('United Data'!$A$3:$A$3390,O$1,'United Data'!$C$3:$C$3390,$A771)&gt;0,1,0)</f>
        <v>0</v>
      </c>
      <c r="P771">
        <f>IF(COUNTIFS('United Data'!$A$3:$A$3390,P$1,'United Data'!$C$3:$C$3390,$A771)&gt;0,1,0)</f>
        <v>0</v>
      </c>
      <c r="Q771">
        <f>IF(COUNTIFS('United Data'!$A$3:$A$3390,Q$1,'United Data'!$C$3:$C$3390,$A771)&gt;0,1,0)</f>
        <v>0</v>
      </c>
      <c r="R771">
        <f>IF(COUNTIFS('United Data'!$A$3:$A$3390,R$1,'United Data'!$C$3:$C$3390,$A771)&gt;0,1,0)</f>
        <v>0</v>
      </c>
      <c r="S771">
        <f t="shared" si="24"/>
        <v>1</v>
      </c>
      <c r="T771">
        <f t="shared" si="25"/>
        <v>1</v>
      </c>
    </row>
    <row r="772" spans="1:20" x14ac:dyDescent="0.2">
      <c r="A772" t="s">
        <v>925</v>
      </c>
      <c r="B772">
        <f>IF(COUNTIFS('United Data'!$A$3:$A$3390,B$1,'United Data'!$C$3:$C$3390,$A772)&gt;0,1,0)</f>
        <v>0</v>
      </c>
      <c r="C772">
        <f>IF(COUNTIFS('United Data'!$A$3:$A$3390,C$1,'United Data'!$C$3:$C$3390,$A772)&gt;0,1,0)</f>
        <v>0</v>
      </c>
      <c r="D772">
        <f>IF(COUNTIFS('United Data'!$A$3:$A$3390,D$1,'United Data'!$C$3:$C$3390,$A772)&gt;0,1,0)</f>
        <v>0</v>
      </c>
      <c r="E772">
        <f>IF(COUNTIFS('United Data'!$A$3:$A$3390,E$1,'United Data'!$C$3:$C$3390,$A772)&gt;0,1,0)</f>
        <v>0</v>
      </c>
      <c r="F772">
        <f>IF(COUNTIFS('United Data'!$A$3:$A$3390,F$1,'United Data'!$C$3:$C$3390,$A772)&gt;0,1,0)</f>
        <v>1</v>
      </c>
      <c r="G772">
        <f>IF(COUNTIFS('United Data'!$A$3:$A$3390,G$1,'United Data'!$C$3:$C$3390,$A772)&gt;0,1,0)</f>
        <v>0</v>
      </c>
      <c r="H772">
        <f>IF(COUNTIFS('United Data'!$A$3:$A$3390,H$1,'United Data'!$C$3:$C$3390,$A772)&gt;0,1,0)</f>
        <v>0</v>
      </c>
      <c r="I772">
        <f>IF(COUNTIFS('United Data'!$A$3:$A$3390,I$1,'United Data'!$C$3:$C$3390,$A772)&gt;0,1,0)</f>
        <v>0</v>
      </c>
      <c r="J772">
        <f>IF(COUNTIFS('United Data'!$A$3:$A$3390,J$1,'United Data'!$C$3:$C$3390,$A772)&gt;0,1,0)</f>
        <v>0</v>
      </c>
      <c r="K772">
        <f>IF(COUNTIFS('United Data'!$A$3:$A$3390,K$1,'United Data'!$C$3:$C$3390,$A772)&gt;0,1,0)</f>
        <v>0</v>
      </c>
      <c r="L772">
        <f>IF(COUNTIFS('United Data'!$A$3:$A$3390,L$1,'United Data'!$C$3:$C$3390,$A772)&gt;0,1,0)</f>
        <v>0</v>
      </c>
      <c r="M772">
        <f>IF(COUNTIFS('United Data'!$A$3:$A$3390,M$1,'United Data'!$C$3:$C$3390,$A772)&gt;0,1,0)</f>
        <v>0</v>
      </c>
      <c r="N772">
        <f>IF(COUNTIFS('United Data'!$A$3:$A$3390,N$1,'United Data'!$C$3:$C$3390,$A772)&gt;0,1,0)</f>
        <v>0</v>
      </c>
      <c r="O772">
        <f>IF(COUNTIFS('United Data'!$A$3:$A$3390,O$1,'United Data'!$C$3:$C$3390,$A772)&gt;0,1,0)</f>
        <v>0</v>
      </c>
      <c r="P772">
        <f>IF(COUNTIFS('United Data'!$A$3:$A$3390,P$1,'United Data'!$C$3:$C$3390,$A772)&gt;0,1,0)</f>
        <v>0</v>
      </c>
      <c r="Q772">
        <f>IF(COUNTIFS('United Data'!$A$3:$A$3390,Q$1,'United Data'!$C$3:$C$3390,$A772)&gt;0,1,0)</f>
        <v>0</v>
      </c>
      <c r="R772">
        <f>IF(COUNTIFS('United Data'!$A$3:$A$3390,R$1,'United Data'!$C$3:$C$3390,$A772)&gt;0,1,0)</f>
        <v>0</v>
      </c>
      <c r="S772">
        <f t="shared" si="24"/>
        <v>1</v>
      </c>
      <c r="T772">
        <f t="shared" si="25"/>
        <v>1</v>
      </c>
    </row>
    <row r="773" spans="1:20" x14ac:dyDescent="0.2">
      <c r="A773" t="s">
        <v>926</v>
      </c>
      <c r="B773">
        <f>IF(COUNTIFS('United Data'!$A$3:$A$3390,B$1,'United Data'!$C$3:$C$3390,$A773)&gt;0,1,0)</f>
        <v>0</v>
      </c>
      <c r="C773">
        <f>IF(COUNTIFS('United Data'!$A$3:$A$3390,C$1,'United Data'!$C$3:$C$3390,$A773)&gt;0,1,0)</f>
        <v>0</v>
      </c>
      <c r="D773">
        <f>IF(COUNTIFS('United Data'!$A$3:$A$3390,D$1,'United Data'!$C$3:$C$3390,$A773)&gt;0,1,0)</f>
        <v>0</v>
      </c>
      <c r="E773">
        <f>IF(COUNTIFS('United Data'!$A$3:$A$3390,E$1,'United Data'!$C$3:$C$3390,$A773)&gt;0,1,0)</f>
        <v>0</v>
      </c>
      <c r="F773">
        <f>IF(COUNTIFS('United Data'!$A$3:$A$3390,F$1,'United Data'!$C$3:$C$3390,$A773)&gt;0,1,0)</f>
        <v>1</v>
      </c>
      <c r="G773">
        <f>IF(COUNTIFS('United Data'!$A$3:$A$3390,G$1,'United Data'!$C$3:$C$3390,$A773)&gt;0,1,0)</f>
        <v>0</v>
      </c>
      <c r="H773">
        <f>IF(COUNTIFS('United Data'!$A$3:$A$3390,H$1,'United Data'!$C$3:$C$3390,$A773)&gt;0,1,0)</f>
        <v>1</v>
      </c>
      <c r="I773">
        <f>IF(COUNTIFS('United Data'!$A$3:$A$3390,I$1,'United Data'!$C$3:$C$3390,$A773)&gt;0,1,0)</f>
        <v>0</v>
      </c>
      <c r="J773">
        <f>IF(COUNTIFS('United Data'!$A$3:$A$3390,J$1,'United Data'!$C$3:$C$3390,$A773)&gt;0,1,0)</f>
        <v>0</v>
      </c>
      <c r="K773">
        <f>IF(COUNTIFS('United Data'!$A$3:$A$3390,K$1,'United Data'!$C$3:$C$3390,$A773)&gt;0,1,0)</f>
        <v>0</v>
      </c>
      <c r="L773">
        <f>IF(COUNTIFS('United Data'!$A$3:$A$3390,L$1,'United Data'!$C$3:$C$3390,$A773)&gt;0,1,0)</f>
        <v>0</v>
      </c>
      <c r="M773">
        <f>IF(COUNTIFS('United Data'!$A$3:$A$3390,M$1,'United Data'!$C$3:$C$3390,$A773)&gt;0,1,0)</f>
        <v>0</v>
      </c>
      <c r="N773">
        <f>IF(COUNTIFS('United Data'!$A$3:$A$3390,N$1,'United Data'!$C$3:$C$3390,$A773)&gt;0,1,0)</f>
        <v>0</v>
      </c>
      <c r="O773">
        <f>IF(COUNTIFS('United Data'!$A$3:$A$3390,O$1,'United Data'!$C$3:$C$3390,$A773)&gt;0,1,0)</f>
        <v>0</v>
      </c>
      <c r="P773">
        <f>IF(COUNTIFS('United Data'!$A$3:$A$3390,P$1,'United Data'!$C$3:$C$3390,$A773)&gt;0,1,0)</f>
        <v>0</v>
      </c>
      <c r="Q773">
        <f>IF(COUNTIFS('United Data'!$A$3:$A$3390,Q$1,'United Data'!$C$3:$C$3390,$A773)&gt;0,1,0)</f>
        <v>0</v>
      </c>
      <c r="R773">
        <f>IF(COUNTIFS('United Data'!$A$3:$A$3390,R$1,'United Data'!$C$3:$C$3390,$A773)&gt;0,1,0)</f>
        <v>0</v>
      </c>
      <c r="S773">
        <f t="shared" si="24"/>
        <v>2</v>
      </c>
      <c r="T773">
        <f t="shared" si="25"/>
        <v>2</v>
      </c>
    </row>
    <row r="774" spans="1:20" x14ac:dyDescent="0.2">
      <c r="A774" t="s">
        <v>927</v>
      </c>
      <c r="B774">
        <f>IF(COUNTIFS('United Data'!$A$3:$A$3390,B$1,'United Data'!$C$3:$C$3390,$A774)&gt;0,1,0)</f>
        <v>0</v>
      </c>
      <c r="C774">
        <f>IF(COUNTIFS('United Data'!$A$3:$A$3390,C$1,'United Data'!$C$3:$C$3390,$A774)&gt;0,1,0)</f>
        <v>0</v>
      </c>
      <c r="D774">
        <f>IF(COUNTIFS('United Data'!$A$3:$A$3390,D$1,'United Data'!$C$3:$C$3390,$A774)&gt;0,1,0)</f>
        <v>0</v>
      </c>
      <c r="E774">
        <f>IF(COUNTIFS('United Data'!$A$3:$A$3390,E$1,'United Data'!$C$3:$C$3390,$A774)&gt;0,1,0)</f>
        <v>0</v>
      </c>
      <c r="F774">
        <f>IF(COUNTIFS('United Data'!$A$3:$A$3390,F$1,'United Data'!$C$3:$C$3390,$A774)&gt;0,1,0)</f>
        <v>0</v>
      </c>
      <c r="G774">
        <f>IF(COUNTIFS('United Data'!$A$3:$A$3390,G$1,'United Data'!$C$3:$C$3390,$A774)&gt;0,1,0)</f>
        <v>1</v>
      </c>
      <c r="H774">
        <f>IF(COUNTIFS('United Data'!$A$3:$A$3390,H$1,'United Data'!$C$3:$C$3390,$A774)&gt;0,1,0)</f>
        <v>0</v>
      </c>
      <c r="I774">
        <f>IF(COUNTIFS('United Data'!$A$3:$A$3390,I$1,'United Data'!$C$3:$C$3390,$A774)&gt;0,1,0)</f>
        <v>0</v>
      </c>
      <c r="J774">
        <f>IF(COUNTIFS('United Data'!$A$3:$A$3390,J$1,'United Data'!$C$3:$C$3390,$A774)&gt;0,1,0)</f>
        <v>0</v>
      </c>
      <c r="K774">
        <f>IF(COUNTIFS('United Data'!$A$3:$A$3390,K$1,'United Data'!$C$3:$C$3390,$A774)&gt;0,1,0)</f>
        <v>0</v>
      </c>
      <c r="L774">
        <f>IF(COUNTIFS('United Data'!$A$3:$A$3390,L$1,'United Data'!$C$3:$C$3390,$A774)&gt;0,1,0)</f>
        <v>0</v>
      </c>
      <c r="M774">
        <f>IF(COUNTIFS('United Data'!$A$3:$A$3390,M$1,'United Data'!$C$3:$C$3390,$A774)&gt;0,1,0)</f>
        <v>0</v>
      </c>
      <c r="N774">
        <f>IF(COUNTIFS('United Data'!$A$3:$A$3390,N$1,'United Data'!$C$3:$C$3390,$A774)&gt;0,1,0)</f>
        <v>0</v>
      </c>
      <c r="O774">
        <f>IF(COUNTIFS('United Data'!$A$3:$A$3390,O$1,'United Data'!$C$3:$C$3390,$A774)&gt;0,1,0)</f>
        <v>0</v>
      </c>
      <c r="P774">
        <f>IF(COUNTIFS('United Data'!$A$3:$A$3390,P$1,'United Data'!$C$3:$C$3390,$A774)&gt;0,1,0)</f>
        <v>0</v>
      </c>
      <c r="Q774">
        <f>IF(COUNTIFS('United Data'!$A$3:$A$3390,Q$1,'United Data'!$C$3:$C$3390,$A774)&gt;0,1,0)</f>
        <v>0</v>
      </c>
      <c r="R774">
        <f>IF(COUNTIFS('United Data'!$A$3:$A$3390,R$1,'United Data'!$C$3:$C$3390,$A774)&gt;0,1,0)</f>
        <v>0</v>
      </c>
      <c r="S774">
        <f t="shared" si="24"/>
        <v>1</v>
      </c>
      <c r="T774">
        <f t="shared" si="25"/>
        <v>1</v>
      </c>
    </row>
    <row r="775" spans="1:20" x14ac:dyDescent="0.2">
      <c r="A775" t="s">
        <v>928</v>
      </c>
      <c r="B775">
        <f>IF(COUNTIFS('United Data'!$A$3:$A$3390,B$1,'United Data'!$C$3:$C$3390,$A775)&gt;0,1,0)</f>
        <v>0</v>
      </c>
      <c r="C775">
        <f>IF(COUNTIFS('United Data'!$A$3:$A$3390,C$1,'United Data'!$C$3:$C$3390,$A775)&gt;0,1,0)</f>
        <v>0</v>
      </c>
      <c r="D775">
        <f>IF(COUNTIFS('United Data'!$A$3:$A$3390,D$1,'United Data'!$C$3:$C$3390,$A775)&gt;0,1,0)</f>
        <v>0</v>
      </c>
      <c r="E775">
        <f>IF(COUNTIFS('United Data'!$A$3:$A$3390,E$1,'United Data'!$C$3:$C$3390,$A775)&gt;0,1,0)</f>
        <v>0</v>
      </c>
      <c r="F775">
        <f>IF(COUNTIFS('United Data'!$A$3:$A$3390,F$1,'United Data'!$C$3:$C$3390,$A775)&gt;0,1,0)</f>
        <v>0</v>
      </c>
      <c r="G775">
        <f>IF(COUNTIFS('United Data'!$A$3:$A$3390,G$1,'United Data'!$C$3:$C$3390,$A775)&gt;0,1,0)</f>
        <v>1</v>
      </c>
      <c r="H775">
        <f>IF(COUNTIFS('United Data'!$A$3:$A$3390,H$1,'United Data'!$C$3:$C$3390,$A775)&gt;0,1,0)</f>
        <v>0</v>
      </c>
      <c r="I775">
        <f>IF(COUNTIFS('United Data'!$A$3:$A$3390,I$1,'United Data'!$C$3:$C$3390,$A775)&gt;0,1,0)</f>
        <v>0</v>
      </c>
      <c r="J775">
        <f>IF(COUNTIFS('United Data'!$A$3:$A$3390,J$1,'United Data'!$C$3:$C$3390,$A775)&gt;0,1,0)</f>
        <v>0</v>
      </c>
      <c r="K775">
        <f>IF(COUNTIFS('United Data'!$A$3:$A$3390,K$1,'United Data'!$C$3:$C$3390,$A775)&gt;0,1,0)</f>
        <v>0</v>
      </c>
      <c r="L775">
        <f>IF(COUNTIFS('United Data'!$A$3:$A$3390,L$1,'United Data'!$C$3:$C$3390,$A775)&gt;0,1,0)</f>
        <v>0</v>
      </c>
      <c r="M775">
        <f>IF(COUNTIFS('United Data'!$A$3:$A$3390,M$1,'United Data'!$C$3:$C$3390,$A775)&gt;0,1,0)</f>
        <v>0</v>
      </c>
      <c r="N775">
        <f>IF(COUNTIFS('United Data'!$A$3:$A$3390,N$1,'United Data'!$C$3:$C$3390,$A775)&gt;0,1,0)</f>
        <v>0</v>
      </c>
      <c r="O775">
        <f>IF(COUNTIFS('United Data'!$A$3:$A$3390,O$1,'United Data'!$C$3:$C$3390,$A775)&gt;0,1,0)</f>
        <v>0</v>
      </c>
      <c r="P775">
        <f>IF(COUNTIFS('United Data'!$A$3:$A$3390,P$1,'United Data'!$C$3:$C$3390,$A775)&gt;0,1,0)</f>
        <v>0</v>
      </c>
      <c r="Q775">
        <f>IF(COUNTIFS('United Data'!$A$3:$A$3390,Q$1,'United Data'!$C$3:$C$3390,$A775)&gt;0,1,0)</f>
        <v>0</v>
      </c>
      <c r="R775">
        <f>IF(COUNTIFS('United Data'!$A$3:$A$3390,R$1,'United Data'!$C$3:$C$3390,$A775)&gt;0,1,0)</f>
        <v>0</v>
      </c>
      <c r="S775">
        <f t="shared" si="24"/>
        <v>1</v>
      </c>
      <c r="T775">
        <f t="shared" si="25"/>
        <v>1</v>
      </c>
    </row>
    <row r="776" spans="1:20" x14ac:dyDescent="0.2">
      <c r="A776" t="s">
        <v>929</v>
      </c>
      <c r="B776">
        <f>IF(COUNTIFS('United Data'!$A$3:$A$3390,B$1,'United Data'!$C$3:$C$3390,$A776)&gt;0,1,0)</f>
        <v>0</v>
      </c>
      <c r="C776">
        <f>IF(COUNTIFS('United Data'!$A$3:$A$3390,C$1,'United Data'!$C$3:$C$3390,$A776)&gt;0,1,0)</f>
        <v>0</v>
      </c>
      <c r="D776">
        <f>IF(COUNTIFS('United Data'!$A$3:$A$3390,D$1,'United Data'!$C$3:$C$3390,$A776)&gt;0,1,0)</f>
        <v>0</v>
      </c>
      <c r="E776">
        <f>IF(COUNTIFS('United Data'!$A$3:$A$3390,E$1,'United Data'!$C$3:$C$3390,$A776)&gt;0,1,0)</f>
        <v>0</v>
      </c>
      <c r="F776">
        <f>IF(COUNTIFS('United Data'!$A$3:$A$3390,F$1,'United Data'!$C$3:$C$3390,$A776)&gt;0,1,0)</f>
        <v>0</v>
      </c>
      <c r="G776">
        <f>IF(COUNTIFS('United Data'!$A$3:$A$3390,G$1,'United Data'!$C$3:$C$3390,$A776)&gt;0,1,0)</f>
        <v>0</v>
      </c>
      <c r="H776">
        <f>IF(COUNTIFS('United Data'!$A$3:$A$3390,H$1,'United Data'!$C$3:$C$3390,$A776)&gt;0,1,0)</f>
        <v>1</v>
      </c>
      <c r="I776">
        <f>IF(COUNTIFS('United Data'!$A$3:$A$3390,I$1,'United Data'!$C$3:$C$3390,$A776)&gt;0,1,0)</f>
        <v>0</v>
      </c>
      <c r="J776">
        <f>IF(COUNTIFS('United Data'!$A$3:$A$3390,J$1,'United Data'!$C$3:$C$3390,$A776)&gt;0,1,0)</f>
        <v>0</v>
      </c>
      <c r="K776">
        <f>IF(COUNTIFS('United Data'!$A$3:$A$3390,K$1,'United Data'!$C$3:$C$3390,$A776)&gt;0,1,0)</f>
        <v>0</v>
      </c>
      <c r="L776">
        <f>IF(COUNTIFS('United Data'!$A$3:$A$3390,L$1,'United Data'!$C$3:$C$3390,$A776)&gt;0,1,0)</f>
        <v>0</v>
      </c>
      <c r="M776">
        <f>IF(COUNTIFS('United Data'!$A$3:$A$3390,M$1,'United Data'!$C$3:$C$3390,$A776)&gt;0,1,0)</f>
        <v>0</v>
      </c>
      <c r="N776">
        <f>IF(COUNTIFS('United Data'!$A$3:$A$3390,N$1,'United Data'!$C$3:$C$3390,$A776)&gt;0,1,0)</f>
        <v>0</v>
      </c>
      <c r="O776">
        <f>IF(COUNTIFS('United Data'!$A$3:$A$3390,O$1,'United Data'!$C$3:$C$3390,$A776)&gt;0,1,0)</f>
        <v>0</v>
      </c>
      <c r="P776">
        <f>IF(COUNTIFS('United Data'!$A$3:$A$3390,P$1,'United Data'!$C$3:$C$3390,$A776)&gt;0,1,0)</f>
        <v>0</v>
      </c>
      <c r="Q776">
        <f>IF(COUNTIFS('United Data'!$A$3:$A$3390,Q$1,'United Data'!$C$3:$C$3390,$A776)&gt;0,1,0)</f>
        <v>0</v>
      </c>
      <c r="R776">
        <f>IF(COUNTIFS('United Data'!$A$3:$A$3390,R$1,'United Data'!$C$3:$C$3390,$A776)&gt;0,1,0)</f>
        <v>0</v>
      </c>
      <c r="S776">
        <f t="shared" si="24"/>
        <v>1</v>
      </c>
      <c r="T776">
        <f t="shared" si="25"/>
        <v>1</v>
      </c>
    </row>
    <row r="777" spans="1:20" x14ac:dyDescent="0.2">
      <c r="A777" t="s">
        <v>931</v>
      </c>
      <c r="B777">
        <f>IF(COUNTIFS('United Data'!$A$3:$A$3390,B$1,'United Data'!$C$3:$C$3390,$A777)&gt;0,1,0)</f>
        <v>0</v>
      </c>
      <c r="C777">
        <f>IF(COUNTIFS('United Data'!$A$3:$A$3390,C$1,'United Data'!$C$3:$C$3390,$A777)&gt;0,1,0)</f>
        <v>0</v>
      </c>
      <c r="D777">
        <f>IF(COUNTIFS('United Data'!$A$3:$A$3390,D$1,'United Data'!$C$3:$C$3390,$A777)&gt;0,1,0)</f>
        <v>0</v>
      </c>
      <c r="E777">
        <f>IF(COUNTIFS('United Data'!$A$3:$A$3390,E$1,'United Data'!$C$3:$C$3390,$A777)&gt;0,1,0)</f>
        <v>0</v>
      </c>
      <c r="F777">
        <f>IF(COUNTIFS('United Data'!$A$3:$A$3390,F$1,'United Data'!$C$3:$C$3390,$A777)&gt;0,1,0)</f>
        <v>0</v>
      </c>
      <c r="G777">
        <f>IF(COUNTIFS('United Data'!$A$3:$A$3390,G$1,'United Data'!$C$3:$C$3390,$A777)&gt;0,1,0)</f>
        <v>0</v>
      </c>
      <c r="H777">
        <f>IF(COUNTIFS('United Data'!$A$3:$A$3390,H$1,'United Data'!$C$3:$C$3390,$A777)&gt;0,1,0)</f>
        <v>1</v>
      </c>
      <c r="I777">
        <f>IF(COUNTIFS('United Data'!$A$3:$A$3390,I$1,'United Data'!$C$3:$C$3390,$A777)&gt;0,1,0)</f>
        <v>0</v>
      </c>
      <c r="J777">
        <f>IF(COUNTIFS('United Data'!$A$3:$A$3390,J$1,'United Data'!$C$3:$C$3390,$A777)&gt;0,1,0)</f>
        <v>0</v>
      </c>
      <c r="K777">
        <f>IF(COUNTIFS('United Data'!$A$3:$A$3390,K$1,'United Data'!$C$3:$C$3390,$A777)&gt;0,1,0)</f>
        <v>0</v>
      </c>
      <c r="L777">
        <f>IF(COUNTIFS('United Data'!$A$3:$A$3390,L$1,'United Data'!$C$3:$C$3390,$A777)&gt;0,1,0)</f>
        <v>0</v>
      </c>
      <c r="M777">
        <f>IF(COUNTIFS('United Data'!$A$3:$A$3390,M$1,'United Data'!$C$3:$C$3390,$A777)&gt;0,1,0)</f>
        <v>0</v>
      </c>
      <c r="N777">
        <f>IF(COUNTIFS('United Data'!$A$3:$A$3390,N$1,'United Data'!$C$3:$C$3390,$A777)&gt;0,1,0)</f>
        <v>0</v>
      </c>
      <c r="O777">
        <f>IF(COUNTIFS('United Data'!$A$3:$A$3390,O$1,'United Data'!$C$3:$C$3390,$A777)&gt;0,1,0)</f>
        <v>0</v>
      </c>
      <c r="P777">
        <f>IF(COUNTIFS('United Data'!$A$3:$A$3390,P$1,'United Data'!$C$3:$C$3390,$A777)&gt;0,1,0)</f>
        <v>0</v>
      </c>
      <c r="Q777">
        <f>IF(COUNTIFS('United Data'!$A$3:$A$3390,Q$1,'United Data'!$C$3:$C$3390,$A777)&gt;0,1,0)</f>
        <v>0</v>
      </c>
      <c r="R777">
        <f>IF(COUNTIFS('United Data'!$A$3:$A$3390,R$1,'United Data'!$C$3:$C$3390,$A777)&gt;0,1,0)</f>
        <v>0</v>
      </c>
      <c r="S777">
        <f t="shared" si="24"/>
        <v>1</v>
      </c>
      <c r="T777">
        <f t="shared" si="25"/>
        <v>1</v>
      </c>
    </row>
    <row r="778" spans="1:20" x14ac:dyDescent="0.2">
      <c r="A778" t="s">
        <v>932</v>
      </c>
      <c r="B778">
        <f>IF(COUNTIFS('United Data'!$A$3:$A$3390,B$1,'United Data'!$C$3:$C$3390,$A778)&gt;0,1,0)</f>
        <v>0</v>
      </c>
      <c r="C778">
        <f>IF(COUNTIFS('United Data'!$A$3:$A$3390,C$1,'United Data'!$C$3:$C$3390,$A778)&gt;0,1,0)</f>
        <v>0</v>
      </c>
      <c r="D778">
        <f>IF(COUNTIFS('United Data'!$A$3:$A$3390,D$1,'United Data'!$C$3:$C$3390,$A778)&gt;0,1,0)</f>
        <v>0</v>
      </c>
      <c r="E778">
        <f>IF(COUNTIFS('United Data'!$A$3:$A$3390,E$1,'United Data'!$C$3:$C$3390,$A778)&gt;0,1,0)</f>
        <v>0</v>
      </c>
      <c r="F778">
        <f>IF(COUNTIFS('United Data'!$A$3:$A$3390,F$1,'United Data'!$C$3:$C$3390,$A778)&gt;0,1,0)</f>
        <v>0</v>
      </c>
      <c r="G778">
        <f>IF(COUNTIFS('United Data'!$A$3:$A$3390,G$1,'United Data'!$C$3:$C$3390,$A778)&gt;0,1,0)</f>
        <v>0</v>
      </c>
      <c r="H778">
        <f>IF(COUNTIFS('United Data'!$A$3:$A$3390,H$1,'United Data'!$C$3:$C$3390,$A778)&gt;0,1,0)</f>
        <v>1</v>
      </c>
      <c r="I778">
        <f>IF(COUNTIFS('United Data'!$A$3:$A$3390,I$1,'United Data'!$C$3:$C$3390,$A778)&gt;0,1,0)</f>
        <v>0</v>
      </c>
      <c r="J778">
        <f>IF(COUNTIFS('United Data'!$A$3:$A$3390,J$1,'United Data'!$C$3:$C$3390,$A778)&gt;0,1,0)</f>
        <v>0</v>
      </c>
      <c r="K778">
        <f>IF(COUNTIFS('United Data'!$A$3:$A$3390,K$1,'United Data'!$C$3:$C$3390,$A778)&gt;0,1,0)</f>
        <v>0</v>
      </c>
      <c r="L778">
        <f>IF(COUNTIFS('United Data'!$A$3:$A$3390,L$1,'United Data'!$C$3:$C$3390,$A778)&gt;0,1,0)</f>
        <v>0</v>
      </c>
      <c r="M778">
        <f>IF(COUNTIFS('United Data'!$A$3:$A$3390,M$1,'United Data'!$C$3:$C$3390,$A778)&gt;0,1,0)</f>
        <v>0</v>
      </c>
      <c r="N778">
        <f>IF(COUNTIFS('United Data'!$A$3:$A$3390,N$1,'United Data'!$C$3:$C$3390,$A778)&gt;0,1,0)</f>
        <v>0</v>
      </c>
      <c r="O778">
        <f>IF(COUNTIFS('United Data'!$A$3:$A$3390,O$1,'United Data'!$C$3:$C$3390,$A778)&gt;0,1,0)</f>
        <v>0</v>
      </c>
      <c r="P778">
        <f>IF(COUNTIFS('United Data'!$A$3:$A$3390,P$1,'United Data'!$C$3:$C$3390,$A778)&gt;0,1,0)</f>
        <v>0</v>
      </c>
      <c r="Q778">
        <f>IF(COUNTIFS('United Data'!$A$3:$A$3390,Q$1,'United Data'!$C$3:$C$3390,$A778)&gt;0,1,0)</f>
        <v>0</v>
      </c>
      <c r="R778">
        <f>IF(COUNTIFS('United Data'!$A$3:$A$3390,R$1,'United Data'!$C$3:$C$3390,$A778)&gt;0,1,0)</f>
        <v>0</v>
      </c>
      <c r="S778">
        <f t="shared" si="24"/>
        <v>1</v>
      </c>
      <c r="T778">
        <f t="shared" si="25"/>
        <v>1</v>
      </c>
    </row>
    <row r="779" spans="1:20" x14ac:dyDescent="0.2">
      <c r="A779" t="s">
        <v>933</v>
      </c>
      <c r="B779">
        <f>IF(COUNTIFS('United Data'!$A$3:$A$3390,B$1,'United Data'!$C$3:$C$3390,$A779)&gt;0,1,0)</f>
        <v>0</v>
      </c>
      <c r="C779">
        <f>IF(COUNTIFS('United Data'!$A$3:$A$3390,C$1,'United Data'!$C$3:$C$3390,$A779)&gt;0,1,0)</f>
        <v>0</v>
      </c>
      <c r="D779">
        <f>IF(COUNTIFS('United Data'!$A$3:$A$3390,D$1,'United Data'!$C$3:$C$3390,$A779)&gt;0,1,0)</f>
        <v>0</v>
      </c>
      <c r="E779">
        <f>IF(COUNTIFS('United Data'!$A$3:$A$3390,E$1,'United Data'!$C$3:$C$3390,$A779)&gt;0,1,0)</f>
        <v>0</v>
      </c>
      <c r="F779">
        <f>IF(COUNTIFS('United Data'!$A$3:$A$3390,F$1,'United Data'!$C$3:$C$3390,$A779)&gt;0,1,0)</f>
        <v>0</v>
      </c>
      <c r="G779">
        <f>IF(COUNTIFS('United Data'!$A$3:$A$3390,G$1,'United Data'!$C$3:$C$3390,$A779)&gt;0,1,0)</f>
        <v>0</v>
      </c>
      <c r="H779">
        <f>IF(COUNTIFS('United Data'!$A$3:$A$3390,H$1,'United Data'!$C$3:$C$3390,$A779)&gt;0,1,0)</f>
        <v>0</v>
      </c>
      <c r="I779">
        <f>IF(COUNTIFS('United Data'!$A$3:$A$3390,I$1,'United Data'!$C$3:$C$3390,$A779)&gt;0,1,0)</f>
        <v>1</v>
      </c>
      <c r="J779">
        <f>IF(COUNTIFS('United Data'!$A$3:$A$3390,J$1,'United Data'!$C$3:$C$3390,$A779)&gt;0,1,0)</f>
        <v>0</v>
      </c>
      <c r="K779">
        <f>IF(COUNTIFS('United Data'!$A$3:$A$3390,K$1,'United Data'!$C$3:$C$3390,$A779)&gt;0,1,0)</f>
        <v>0</v>
      </c>
      <c r="L779">
        <f>IF(COUNTIFS('United Data'!$A$3:$A$3390,L$1,'United Data'!$C$3:$C$3390,$A779)&gt;0,1,0)</f>
        <v>0</v>
      </c>
      <c r="M779">
        <f>IF(COUNTIFS('United Data'!$A$3:$A$3390,M$1,'United Data'!$C$3:$C$3390,$A779)&gt;0,1,0)</f>
        <v>0</v>
      </c>
      <c r="N779">
        <f>IF(COUNTIFS('United Data'!$A$3:$A$3390,N$1,'United Data'!$C$3:$C$3390,$A779)&gt;0,1,0)</f>
        <v>0</v>
      </c>
      <c r="O779">
        <f>IF(COUNTIFS('United Data'!$A$3:$A$3390,O$1,'United Data'!$C$3:$C$3390,$A779)&gt;0,1,0)</f>
        <v>0</v>
      </c>
      <c r="P779">
        <f>IF(COUNTIFS('United Data'!$A$3:$A$3390,P$1,'United Data'!$C$3:$C$3390,$A779)&gt;0,1,0)</f>
        <v>0</v>
      </c>
      <c r="Q779">
        <f>IF(COUNTIFS('United Data'!$A$3:$A$3390,Q$1,'United Data'!$C$3:$C$3390,$A779)&gt;0,1,0)</f>
        <v>0</v>
      </c>
      <c r="R779">
        <f>IF(COUNTIFS('United Data'!$A$3:$A$3390,R$1,'United Data'!$C$3:$C$3390,$A779)&gt;0,1,0)</f>
        <v>0</v>
      </c>
      <c r="S779">
        <f t="shared" si="24"/>
        <v>1</v>
      </c>
      <c r="T779">
        <f t="shared" si="25"/>
        <v>1</v>
      </c>
    </row>
    <row r="780" spans="1:20" x14ac:dyDescent="0.2">
      <c r="A780" t="s">
        <v>934</v>
      </c>
      <c r="B780">
        <f>IF(COUNTIFS('United Data'!$A$3:$A$3390,B$1,'United Data'!$C$3:$C$3390,$A780)&gt;0,1,0)</f>
        <v>0</v>
      </c>
      <c r="C780">
        <f>IF(COUNTIFS('United Data'!$A$3:$A$3390,C$1,'United Data'!$C$3:$C$3390,$A780)&gt;0,1,0)</f>
        <v>0</v>
      </c>
      <c r="D780">
        <f>IF(COUNTIFS('United Data'!$A$3:$A$3390,D$1,'United Data'!$C$3:$C$3390,$A780)&gt;0,1,0)</f>
        <v>0</v>
      </c>
      <c r="E780">
        <f>IF(COUNTIFS('United Data'!$A$3:$A$3390,E$1,'United Data'!$C$3:$C$3390,$A780)&gt;0,1,0)</f>
        <v>0</v>
      </c>
      <c r="F780">
        <f>IF(COUNTIFS('United Data'!$A$3:$A$3390,F$1,'United Data'!$C$3:$C$3390,$A780)&gt;0,1,0)</f>
        <v>0</v>
      </c>
      <c r="G780">
        <f>IF(COUNTIFS('United Data'!$A$3:$A$3390,G$1,'United Data'!$C$3:$C$3390,$A780)&gt;0,1,0)</f>
        <v>0</v>
      </c>
      <c r="H780">
        <f>IF(COUNTIFS('United Data'!$A$3:$A$3390,H$1,'United Data'!$C$3:$C$3390,$A780)&gt;0,1,0)</f>
        <v>0</v>
      </c>
      <c r="I780">
        <f>IF(COUNTIFS('United Data'!$A$3:$A$3390,I$1,'United Data'!$C$3:$C$3390,$A780)&gt;0,1,0)</f>
        <v>1</v>
      </c>
      <c r="J780">
        <f>IF(COUNTIFS('United Data'!$A$3:$A$3390,J$1,'United Data'!$C$3:$C$3390,$A780)&gt;0,1,0)</f>
        <v>0</v>
      </c>
      <c r="K780">
        <f>IF(COUNTIFS('United Data'!$A$3:$A$3390,K$1,'United Data'!$C$3:$C$3390,$A780)&gt;0,1,0)</f>
        <v>0</v>
      </c>
      <c r="L780">
        <f>IF(COUNTIFS('United Data'!$A$3:$A$3390,L$1,'United Data'!$C$3:$C$3390,$A780)&gt;0,1,0)</f>
        <v>0</v>
      </c>
      <c r="M780">
        <f>IF(COUNTIFS('United Data'!$A$3:$A$3390,M$1,'United Data'!$C$3:$C$3390,$A780)&gt;0,1,0)</f>
        <v>1</v>
      </c>
      <c r="N780">
        <f>IF(COUNTIFS('United Data'!$A$3:$A$3390,N$1,'United Data'!$C$3:$C$3390,$A780)&gt;0,1,0)</f>
        <v>0</v>
      </c>
      <c r="O780">
        <f>IF(COUNTIFS('United Data'!$A$3:$A$3390,O$1,'United Data'!$C$3:$C$3390,$A780)&gt;0,1,0)</f>
        <v>0</v>
      </c>
      <c r="P780">
        <f>IF(COUNTIFS('United Data'!$A$3:$A$3390,P$1,'United Data'!$C$3:$C$3390,$A780)&gt;0,1,0)</f>
        <v>0</v>
      </c>
      <c r="Q780">
        <f>IF(COUNTIFS('United Data'!$A$3:$A$3390,Q$1,'United Data'!$C$3:$C$3390,$A780)&gt;0,1,0)</f>
        <v>0</v>
      </c>
      <c r="R780">
        <f>IF(COUNTIFS('United Data'!$A$3:$A$3390,R$1,'United Data'!$C$3:$C$3390,$A780)&gt;0,1,0)</f>
        <v>0</v>
      </c>
      <c r="S780">
        <f t="shared" si="24"/>
        <v>2</v>
      </c>
      <c r="T780">
        <f t="shared" si="25"/>
        <v>2</v>
      </c>
    </row>
    <row r="781" spans="1:20" x14ac:dyDescent="0.2">
      <c r="A781" t="s">
        <v>935</v>
      </c>
      <c r="B781">
        <f>IF(COUNTIFS('United Data'!$A$3:$A$3390,B$1,'United Data'!$C$3:$C$3390,$A781)&gt;0,1,0)</f>
        <v>0</v>
      </c>
      <c r="C781">
        <f>IF(COUNTIFS('United Data'!$A$3:$A$3390,C$1,'United Data'!$C$3:$C$3390,$A781)&gt;0,1,0)</f>
        <v>0</v>
      </c>
      <c r="D781">
        <f>IF(COUNTIFS('United Data'!$A$3:$A$3390,D$1,'United Data'!$C$3:$C$3390,$A781)&gt;0,1,0)</f>
        <v>0</v>
      </c>
      <c r="E781">
        <f>IF(COUNTIFS('United Data'!$A$3:$A$3390,E$1,'United Data'!$C$3:$C$3390,$A781)&gt;0,1,0)</f>
        <v>0</v>
      </c>
      <c r="F781">
        <f>IF(COUNTIFS('United Data'!$A$3:$A$3390,F$1,'United Data'!$C$3:$C$3390,$A781)&gt;0,1,0)</f>
        <v>0</v>
      </c>
      <c r="G781">
        <f>IF(COUNTIFS('United Data'!$A$3:$A$3390,G$1,'United Data'!$C$3:$C$3390,$A781)&gt;0,1,0)</f>
        <v>0</v>
      </c>
      <c r="H781">
        <f>IF(COUNTIFS('United Data'!$A$3:$A$3390,H$1,'United Data'!$C$3:$C$3390,$A781)&gt;0,1,0)</f>
        <v>0</v>
      </c>
      <c r="I781">
        <f>IF(COUNTIFS('United Data'!$A$3:$A$3390,I$1,'United Data'!$C$3:$C$3390,$A781)&gt;0,1,0)</f>
        <v>1</v>
      </c>
      <c r="J781">
        <f>IF(COUNTIFS('United Data'!$A$3:$A$3390,J$1,'United Data'!$C$3:$C$3390,$A781)&gt;0,1,0)</f>
        <v>1</v>
      </c>
      <c r="K781">
        <f>IF(COUNTIFS('United Data'!$A$3:$A$3390,K$1,'United Data'!$C$3:$C$3390,$A781)&gt;0,1,0)</f>
        <v>0</v>
      </c>
      <c r="L781">
        <f>IF(COUNTIFS('United Data'!$A$3:$A$3390,L$1,'United Data'!$C$3:$C$3390,$A781)&gt;0,1,0)</f>
        <v>0</v>
      </c>
      <c r="M781">
        <f>IF(COUNTIFS('United Data'!$A$3:$A$3390,M$1,'United Data'!$C$3:$C$3390,$A781)&gt;0,1,0)</f>
        <v>0</v>
      </c>
      <c r="N781">
        <f>IF(COUNTIFS('United Data'!$A$3:$A$3390,N$1,'United Data'!$C$3:$C$3390,$A781)&gt;0,1,0)</f>
        <v>0</v>
      </c>
      <c r="O781">
        <f>IF(COUNTIFS('United Data'!$A$3:$A$3390,O$1,'United Data'!$C$3:$C$3390,$A781)&gt;0,1,0)</f>
        <v>0</v>
      </c>
      <c r="P781">
        <f>IF(COUNTIFS('United Data'!$A$3:$A$3390,P$1,'United Data'!$C$3:$C$3390,$A781)&gt;0,1,0)</f>
        <v>0</v>
      </c>
      <c r="Q781">
        <f>IF(COUNTIFS('United Data'!$A$3:$A$3390,Q$1,'United Data'!$C$3:$C$3390,$A781)&gt;0,1,0)</f>
        <v>0</v>
      </c>
      <c r="R781">
        <f>IF(COUNTIFS('United Data'!$A$3:$A$3390,R$1,'United Data'!$C$3:$C$3390,$A781)&gt;0,1,0)</f>
        <v>0</v>
      </c>
      <c r="S781">
        <f t="shared" si="24"/>
        <v>2</v>
      </c>
      <c r="T781">
        <f t="shared" si="25"/>
        <v>1</v>
      </c>
    </row>
    <row r="782" spans="1:20" x14ac:dyDescent="0.2">
      <c r="A782" t="s">
        <v>936</v>
      </c>
      <c r="B782">
        <f>IF(COUNTIFS('United Data'!$A$3:$A$3390,B$1,'United Data'!$C$3:$C$3390,$A782)&gt;0,1,0)</f>
        <v>0</v>
      </c>
      <c r="C782">
        <f>IF(COUNTIFS('United Data'!$A$3:$A$3390,C$1,'United Data'!$C$3:$C$3390,$A782)&gt;0,1,0)</f>
        <v>0</v>
      </c>
      <c r="D782">
        <f>IF(COUNTIFS('United Data'!$A$3:$A$3390,D$1,'United Data'!$C$3:$C$3390,$A782)&gt;0,1,0)</f>
        <v>0</v>
      </c>
      <c r="E782">
        <f>IF(COUNTIFS('United Data'!$A$3:$A$3390,E$1,'United Data'!$C$3:$C$3390,$A782)&gt;0,1,0)</f>
        <v>0</v>
      </c>
      <c r="F782">
        <f>IF(COUNTIFS('United Data'!$A$3:$A$3390,F$1,'United Data'!$C$3:$C$3390,$A782)&gt;0,1,0)</f>
        <v>0</v>
      </c>
      <c r="G782">
        <f>IF(COUNTIFS('United Data'!$A$3:$A$3390,G$1,'United Data'!$C$3:$C$3390,$A782)&gt;0,1,0)</f>
        <v>0</v>
      </c>
      <c r="H782">
        <f>IF(COUNTIFS('United Data'!$A$3:$A$3390,H$1,'United Data'!$C$3:$C$3390,$A782)&gt;0,1,0)</f>
        <v>0</v>
      </c>
      <c r="I782">
        <f>IF(COUNTIFS('United Data'!$A$3:$A$3390,I$1,'United Data'!$C$3:$C$3390,$A782)&gt;0,1,0)</f>
        <v>0</v>
      </c>
      <c r="J782">
        <f>IF(COUNTIFS('United Data'!$A$3:$A$3390,J$1,'United Data'!$C$3:$C$3390,$A782)&gt;0,1,0)</f>
        <v>1</v>
      </c>
      <c r="K782">
        <f>IF(COUNTIFS('United Data'!$A$3:$A$3390,K$1,'United Data'!$C$3:$C$3390,$A782)&gt;0,1,0)</f>
        <v>0</v>
      </c>
      <c r="L782">
        <f>IF(COUNTIFS('United Data'!$A$3:$A$3390,L$1,'United Data'!$C$3:$C$3390,$A782)&gt;0,1,0)</f>
        <v>0</v>
      </c>
      <c r="M782">
        <f>IF(COUNTIFS('United Data'!$A$3:$A$3390,M$1,'United Data'!$C$3:$C$3390,$A782)&gt;0,1,0)</f>
        <v>1</v>
      </c>
      <c r="N782">
        <f>IF(COUNTIFS('United Data'!$A$3:$A$3390,N$1,'United Data'!$C$3:$C$3390,$A782)&gt;0,1,0)</f>
        <v>0</v>
      </c>
      <c r="O782">
        <f>IF(COUNTIFS('United Data'!$A$3:$A$3390,O$1,'United Data'!$C$3:$C$3390,$A782)&gt;0,1,0)</f>
        <v>0</v>
      </c>
      <c r="P782">
        <f>IF(COUNTIFS('United Data'!$A$3:$A$3390,P$1,'United Data'!$C$3:$C$3390,$A782)&gt;0,1,0)</f>
        <v>0</v>
      </c>
      <c r="Q782">
        <f>IF(COUNTIFS('United Data'!$A$3:$A$3390,Q$1,'United Data'!$C$3:$C$3390,$A782)&gt;0,1,0)</f>
        <v>0</v>
      </c>
      <c r="R782">
        <f>IF(COUNTIFS('United Data'!$A$3:$A$3390,R$1,'United Data'!$C$3:$C$3390,$A782)&gt;0,1,0)</f>
        <v>0</v>
      </c>
      <c r="S782">
        <f t="shared" si="24"/>
        <v>2</v>
      </c>
      <c r="T782">
        <f t="shared" si="25"/>
        <v>2</v>
      </c>
    </row>
    <row r="783" spans="1:20" x14ac:dyDescent="0.2">
      <c r="A783" t="s">
        <v>937</v>
      </c>
      <c r="B783">
        <f>IF(COUNTIFS('United Data'!$A$3:$A$3390,B$1,'United Data'!$C$3:$C$3390,$A783)&gt;0,1,0)</f>
        <v>0</v>
      </c>
      <c r="C783">
        <f>IF(COUNTIFS('United Data'!$A$3:$A$3390,C$1,'United Data'!$C$3:$C$3390,$A783)&gt;0,1,0)</f>
        <v>0</v>
      </c>
      <c r="D783">
        <f>IF(COUNTIFS('United Data'!$A$3:$A$3390,D$1,'United Data'!$C$3:$C$3390,$A783)&gt;0,1,0)</f>
        <v>0</v>
      </c>
      <c r="E783">
        <f>IF(COUNTIFS('United Data'!$A$3:$A$3390,E$1,'United Data'!$C$3:$C$3390,$A783)&gt;0,1,0)</f>
        <v>0</v>
      </c>
      <c r="F783">
        <f>IF(COUNTIFS('United Data'!$A$3:$A$3390,F$1,'United Data'!$C$3:$C$3390,$A783)&gt;0,1,0)</f>
        <v>0</v>
      </c>
      <c r="G783">
        <f>IF(COUNTIFS('United Data'!$A$3:$A$3390,G$1,'United Data'!$C$3:$C$3390,$A783)&gt;0,1,0)</f>
        <v>0</v>
      </c>
      <c r="H783">
        <f>IF(COUNTIFS('United Data'!$A$3:$A$3390,H$1,'United Data'!$C$3:$C$3390,$A783)&gt;0,1,0)</f>
        <v>0</v>
      </c>
      <c r="I783">
        <f>IF(COUNTIFS('United Data'!$A$3:$A$3390,I$1,'United Data'!$C$3:$C$3390,$A783)&gt;0,1,0)</f>
        <v>0</v>
      </c>
      <c r="J783">
        <f>IF(COUNTIFS('United Data'!$A$3:$A$3390,J$1,'United Data'!$C$3:$C$3390,$A783)&gt;0,1,0)</f>
        <v>1</v>
      </c>
      <c r="K783">
        <f>IF(COUNTIFS('United Data'!$A$3:$A$3390,K$1,'United Data'!$C$3:$C$3390,$A783)&gt;0,1,0)</f>
        <v>0</v>
      </c>
      <c r="L783">
        <f>IF(COUNTIFS('United Data'!$A$3:$A$3390,L$1,'United Data'!$C$3:$C$3390,$A783)&gt;0,1,0)</f>
        <v>0</v>
      </c>
      <c r="M783">
        <f>IF(COUNTIFS('United Data'!$A$3:$A$3390,M$1,'United Data'!$C$3:$C$3390,$A783)&gt;0,1,0)</f>
        <v>0</v>
      </c>
      <c r="N783">
        <f>IF(COUNTIFS('United Data'!$A$3:$A$3390,N$1,'United Data'!$C$3:$C$3390,$A783)&gt;0,1,0)</f>
        <v>0</v>
      </c>
      <c r="O783">
        <f>IF(COUNTIFS('United Data'!$A$3:$A$3390,O$1,'United Data'!$C$3:$C$3390,$A783)&gt;0,1,0)</f>
        <v>0</v>
      </c>
      <c r="P783">
        <f>IF(COUNTIFS('United Data'!$A$3:$A$3390,P$1,'United Data'!$C$3:$C$3390,$A783)&gt;0,1,0)</f>
        <v>0</v>
      </c>
      <c r="Q783">
        <f>IF(COUNTIFS('United Data'!$A$3:$A$3390,Q$1,'United Data'!$C$3:$C$3390,$A783)&gt;0,1,0)</f>
        <v>0</v>
      </c>
      <c r="R783">
        <f>IF(COUNTIFS('United Data'!$A$3:$A$3390,R$1,'United Data'!$C$3:$C$3390,$A783)&gt;0,1,0)</f>
        <v>0</v>
      </c>
      <c r="S783">
        <f t="shared" si="24"/>
        <v>1</v>
      </c>
      <c r="T783">
        <f t="shared" si="25"/>
        <v>1</v>
      </c>
    </row>
    <row r="784" spans="1:20" x14ac:dyDescent="0.2">
      <c r="A784" t="s">
        <v>938</v>
      </c>
      <c r="B784">
        <f>IF(COUNTIFS('United Data'!$A$3:$A$3390,B$1,'United Data'!$C$3:$C$3390,$A784)&gt;0,1,0)</f>
        <v>0</v>
      </c>
      <c r="C784">
        <f>IF(COUNTIFS('United Data'!$A$3:$A$3390,C$1,'United Data'!$C$3:$C$3390,$A784)&gt;0,1,0)</f>
        <v>0</v>
      </c>
      <c r="D784">
        <f>IF(COUNTIFS('United Data'!$A$3:$A$3390,D$1,'United Data'!$C$3:$C$3390,$A784)&gt;0,1,0)</f>
        <v>0</v>
      </c>
      <c r="E784">
        <f>IF(COUNTIFS('United Data'!$A$3:$A$3390,E$1,'United Data'!$C$3:$C$3390,$A784)&gt;0,1,0)</f>
        <v>0</v>
      </c>
      <c r="F784">
        <f>IF(COUNTIFS('United Data'!$A$3:$A$3390,F$1,'United Data'!$C$3:$C$3390,$A784)&gt;0,1,0)</f>
        <v>0</v>
      </c>
      <c r="G784">
        <f>IF(COUNTIFS('United Data'!$A$3:$A$3390,G$1,'United Data'!$C$3:$C$3390,$A784)&gt;0,1,0)</f>
        <v>0</v>
      </c>
      <c r="H784">
        <f>IF(COUNTIFS('United Data'!$A$3:$A$3390,H$1,'United Data'!$C$3:$C$3390,$A784)&gt;0,1,0)</f>
        <v>0</v>
      </c>
      <c r="I784">
        <f>IF(COUNTIFS('United Data'!$A$3:$A$3390,I$1,'United Data'!$C$3:$C$3390,$A784)&gt;0,1,0)</f>
        <v>0</v>
      </c>
      <c r="J784">
        <f>IF(COUNTIFS('United Data'!$A$3:$A$3390,J$1,'United Data'!$C$3:$C$3390,$A784)&gt;0,1,0)</f>
        <v>0</v>
      </c>
      <c r="K784">
        <f>IF(COUNTIFS('United Data'!$A$3:$A$3390,K$1,'United Data'!$C$3:$C$3390,$A784)&gt;0,1,0)</f>
        <v>1</v>
      </c>
      <c r="L784">
        <f>IF(COUNTIFS('United Data'!$A$3:$A$3390,L$1,'United Data'!$C$3:$C$3390,$A784)&gt;0,1,0)</f>
        <v>0</v>
      </c>
      <c r="M784">
        <f>IF(COUNTIFS('United Data'!$A$3:$A$3390,M$1,'United Data'!$C$3:$C$3390,$A784)&gt;0,1,0)</f>
        <v>0</v>
      </c>
      <c r="N784">
        <f>IF(COUNTIFS('United Data'!$A$3:$A$3390,N$1,'United Data'!$C$3:$C$3390,$A784)&gt;0,1,0)</f>
        <v>0</v>
      </c>
      <c r="O784">
        <f>IF(COUNTIFS('United Data'!$A$3:$A$3390,O$1,'United Data'!$C$3:$C$3390,$A784)&gt;0,1,0)</f>
        <v>0</v>
      </c>
      <c r="P784">
        <f>IF(COUNTIFS('United Data'!$A$3:$A$3390,P$1,'United Data'!$C$3:$C$3390,$A784)&gt;0,1,0)</f>
        <v>0</v>
      </c>
      <c r="Q784">
        <f>IF(COUNTIFS('United Data'!$A$3:$A$3390,Q$1,'United Data'!$C$3:$C$3390,$A784)&gt;0,1,0)</f>
        <v>0</v>
      </c>
      <c r="R784">
        <f>IF(COUNTIFS('United Data'!$A$3:$A$3390,R$1,'United Data'!$C$3:$C$3390,$A784)&gt;0,1,0)</f>
        <v>0</v>
      </c>
      <c r="S784">
        <f t="shared" si="24"/>
        <v>1</v>
      </c>
      <c r="T784">
        <f t="shared" si="25"/>
        <v>1</v>
      </c>
    </row>
    <row r="785" spans="1:20" x14ac:dyDescent="0.2">
      <c r="A785" t="s">
        <v>939</v>
      </c>
      <c r="B785">
        <f>IF(COUNTIFS('United Data'!$A$3:$A$3390,B$1,'United Data'!$C$3:$C$3390,$A785)&gt;0,1,0)</f>
        <v>0</v>
      </c>
      <c r="C785">
        <f>IF(COUNTIFS('United Data'!$A$3:$A$3390,C$1,'United Data'!$C$3:$C$3390,$A785)&gt;0,1,0)</f>
        <v>0</v>
      </c>
      <c r="D785">
        <f>IF(COUNTIFS('United Data'!$A$3:$A$3390,D$1,'United Data'!$C$3:$C$3390,$A785)&gt;0,1,0)</f>
        <v>0</v>
      </c>
      <c r="E785">
        <f>IF(COUNTIFS('United Data'!$A$3:$A$3390,E$1,'United Data'!$C$3:$C$3390,$A785)&gt;0,1,0)</f>
        <v>0</v>
      </c>
      <c r="F785">
        <f>IF(COUNTIFS('United Data'!$A$3:$A$3390,F$1,'United Data'!$C$3:$C$3390,$A785)&gt;0,1,0)</f>
        <v>0</v>
      </c>
      <c r="G785">
        <f>IF(COUNTIFS('United Data'!$A$3:$A$3390,G$1,'United Data'!$C$3:$C$3390,$A785)&gt;0,1,0)</f>
        <v>0</v>
      </c>
      <c r="H785">
        <f>IF(COUNTIFS('United Data'!$A$3:$A$3390,H$1,'United Data'!$C$3:$C$3390,$A785)&gt;0,1,0)</f>
        <v>0</v>
      </c>
      <c r="I785">
        <f>IF(COUNTIFS('United Data'!$A$3:$A$3390,I$1,'United Data'!$C$3:$C$3390,$A785)&gt;0,1,0)</f>
        <v>0</v>
      </c>
      <c r="J785">
        <f>IF(COUNTIFS('United Data'!$A$3:$A$3390,J$1,'United Data'!$C$3:$C$3390,$A785)&gt;0,1,0)</f>
        <v>0</v>
      </c>
      <c r="K785">
        <f>IF(COUNTIFS('United Data'!$A$3:$A$3390,K$1,'United Data'!$C$3:$C$3390,$A785)&gt;0,1,0)</f>
        <v>1</v>
      </c>
      <c r="L785">
        <f>IF(COUNTIFS('United Data'!$A$3:$A$3390,L$1,'United Data'!$C$3:$C$3390,$A785)&gt;0,1,0)</f>
        <v>0</v>
      </c>
      <c r="M785">
        <f>IF(COUNTIFS('United Data'!$A$3:$A$3390,M$1,'United Data'!$C$3:$C$3390,$A785)&gt;0,1,0)</f>
        <v>0</v>
      </c>
      <c r="N785">
        <f>IF(COUNTIFS('United Data'!$A$3:$A$3390,N$1,'United Data'!$C$3:$C$3390,$A785)&gt;0,1,0)</f>
        <v>0</v>
      </c>
      <c r="O785">
        <f>IF(COUNTIFS('United Data'!$A$3:$A$3390,O$1,'United Data'!$C$3:$C$3390,$A785)&gt;0,1,0)</f>
        <v>1</v>
      </c>
      <c r="P785">
        <f>IF(COUNTIFS('United Data'!$A$3:$A$3390,P$1,'United Data'!$C$3:$C$3390,$A785)&gt;0,1,0)</f>
        <v>0</v>
      </c>
      <c r="Q785">
        <f>IF(COUNTIFS('United Data'!$A$3:$A$3390,Q$1,'United Data'!$C$3:$C$3390,$A785)&gt;0,1,0)</f>
        <v>0</v>
      </c>
      <c r="R785">
        <f>IF(COUNTIFS('United Data'!$A$3:$A$3390,R$1,'United Data'!$C$3:$C$3390,$A785)&gt;0,1,0)</f>
        <v>0</v>
      </c>
      <c r="S785">
        <f t="shared" si="24"/>
        <v>2</v>
      </c>
      <c r="T785">
        <f t="shared" si="25"/>
        <v>2</v>
      </c>
    </row>
    <row r="786" spans="1:20" x14ac:dyDescent="0.2">
      <c r="A786" t="s">
        <v>940</v>
      </c>
      <c r="B786">
        <f>IF(COUNTIFS('United Data'!$A$3:$A$3390,B$1,'United Data'!$C$3:$C$3390,$A786)&gt;0,1,0)</f>
        <v>0</v>
      </c>
      <c r="C786">
        <f>IF(COUNTIFS('United Data'!$A$3:$A$3390,C$1,'United Data'!$C$3:$C$3390,$A786)&gt;0,1,0)</f>
        <v>0</v>
      </c>
      <c r="D786">
        <f>IF(COUNTIFS('United Data'!$A$3:$A$3390,D$1,'United Data'!$C$3:$C$3390,$A786)&gt;0,1,0)</f>
        <v>0</v>
      </c>
      <c r="E786">
        <f>IF(COUNTIFS('United Data'!$A$3:$A$3390,E$1,'United Data'!$C$3:$C$3390,$A786)&gt;0,1,0)</f>
        <v>0</v>
      </c>
      <c r="F786">
        <f>IF(COUNTIFS('United Data'!$A$3:$A$3390,F$1,'United Data'!$C$3:$C$3390,$A786)&gt;0,1,0)</f>
        <v>0</v>
      </c>
      <c r="G786">
        <f>IF(COUNTIFS('United Data'!$A$3:$A$3390,G$1,'United Data'!$C$3:$C$3390,$A786)&gt;0,1,0)</f>
        <v>0</v>
      </c>
      <c r="H786">
        <f>IF(COUNTIFS('United Data'!$A$3:$A$3390,H$1,'United Data'!$C$3:$C$3390,$A786)&gt;0,1,0)</f>
        <v>0</v>
      </c>
      <c r="I786">
        <f>IF(COUNTIFS('United Data'!$A$3:$A$3390,I$1,'United Data'!$C$3:$C$3390,$A786)&gt;0,1,0)</f>
        <v>0</v>
      </c>
      <c r="J786">
        <f>IF(COUNTIFS('United Data'!$A$3:$A$3390,J$1,'United Data'!$C$3:$C$3390,$A786)&gt;0,1,0)</f>
        <v>0</v>
      </c>
      <c r="K786">
        <f>IF(COUNTIFS('United Data'!$A$3:$A$3390,K$1,'United Data'!$C$3:$C$3390,$A786)&gt;0,1,0)</f>
        <v>0</v>
      </c>
      <c r="L786">
        <f>IF(COUNTIFS('United Data'!$A$3:$A$3390,L$1,'United Data'!$C$3:$C$3390,$A786)&gt;0,1,0)</f>
        <v>1</v>
      </c>
      <c r="M786">
        <f>IF(COUNTIFS('United Data'!$A$3:$A$3390,M$1,'United Data'!$C$3:$C$3390,$A786)&gt;0,1,0)</f>
        <v>0</v>
      </c>
      <c r="N786">
        <f>IF(COUNTIFS('United Data'!$A$3:$A$3390,N$1,'United Data'!$C$3:$C$3390,$A786)&gt;0,1,0)</f>
        <v>0</v>
      </c>
      <c r="O786">
        <f>IF(COUNTIFS('United Data'!$A$3:$A$3390,O$1,'United Data'!$C$3:$C$3390,$A786)&gt;0,1,0)</f>
        <v>0</v>
      </c>
      <c r="P786">
        <f>IF(COUNTIFS('United Data'!$A$3:$A$3390,P$1,'United Data'!$C$3:$C$3390,$A786)&gt;0,1,0)</f>
        <v>0</v>
      </c>
      <c r="Q786">
        <f>IF(COUNTIFS('United Data'!$A$3:$A$3390,Q$1,'United Data'!$C$3:$C$3390,$A786)&gt;0,1,0)</f>
        <v>1</v>
      </c>
      <c r="R786">
        <f>IF(COUNTIFS('United Data'!$A$3:$A$3390,R$1,'United Data'!$C$3:$C$3390,$A786)&gt;0,1,0)</f>
        <v>1</v>
      </c>
      <c r="S786">
        <f t="shared" si="24"/>
        <v>3</v>
      </c>
      <c r="T786">
        <f t="shared" si="25"/>
        <v>2</v>
      </c>
    </row>
    <row r="787" spans="1:20" x14ac:dyDescent="0.2">
      <c r="A787" t="s">
        <v>941</v>
      </c>
      <c r="B787">
        <f>IF(COUNTIFS('United Data'!$A$3:$A$3390,B$1,'United Data'!$C$3:$C$3390,$A787)&gt;0,1,0)</f>
        <v>0</v>
      </c>
      <c r="C787">
        <f>IF(COUNTIFS('United Data'!$A$3:$A$3390,C$1,'United Data'!$C$3:$C$3390,$A787)&gt;0,1,0)</f>
        <v>0</v>
      </c>
      <c r="D787">
        <f>IF(COUNTIFS('United Data'!$A$3:$A$3390,D$1,'United Data'!$C$3:$C$3390,$A787)&gt;0,1,0)</f>
        <v>0</v>
      </c>
      <c r="E787">
        <f>IF(COUNTIFS('United Data'!$A$3:$A$3390,E$1,'United Data'!$C$3:$C$3390,$A787)&gt;0,1,0)</f>
        <v>0</v>
      </c>
      <c r="F787">
        <f>IF(COUNTIFS('United Data'!$A$3:$A$3390,F$1,'United Data'!$C$3:$C$3390,$A787)&gt;0,1,0)</f>
        <v>0</v>
      </c>
      <c r="G787">
        <f>IF(COUNTIFS('United Data'!$A$3:$A$3390,G$1,'United Data'!$C$3:$C$3390,$A787)&gt;0,1,0)</f>
        <v>0</v>
      </c>
      <c r="H787">
        <f>IF(COUNTIFS('United Data'!$A$3:$A$3390,H$1,'United Data'!$C$3:$C$3390,$A787)&gt;0,1,0)</f>
        <v>0</v>
      </c>
      <c r="I787">
        <f>IF(COUNTIFS('United Data'!$A$3:$A$3390,I$1,'United Data'!$C$3:$C$3390,$A787)&gt;0,1,0)</f>
        <v>0</v>
      </c>
      <c r="J787">
        <f>IF(COUNTIFS('United Data'!$A$3:$A$3390,J$1,'United Data'!$C$3:$C$3390,$A787)&gt;0,1,0)</f>
        <v>0</v>
      </c>
      <c r="K787">
        <f>IF(COUNTIFS('United Data'!$A$3:$A$3390,K$1,'United Data'!$C$3:$C$3390,$A787)&gt;0,1,0)</f>
        <v>0</v>
      </c>
      <c r="L787">
        <f>IF(COUNTIFS('United Data'!$A$3:$A$3390,L$1,'United Data'!$C$3:$C$3390,$A787)&gt;0,1,0)</f>
        <v>1</v>
      </c>
      <c r="M787">
        <f>IF(COUNTIFS('United Data'!$A$3:$A$3390,M$1,'United Data'!$C$3:$C$3390,$A787)&gt;0,1,0)</f>
        <v>0</v>
      </c>
      <c r="N787">
        <f>IF(COUNTIFS('United Data'!$A$3:$A$3390,N$1,'United Data'!$C$3:$C$3390,$A787)&gt;0,1,0)</f>
        <v>0</v>
      </c>
      <c r="O787">
        <f>IF(COUNTIFS('United Data'!$A$3:$A$3390,O$1,'United Data'!$C$3:$C$3390,$A787)&gt;0,1,0)</f>
        <v>0</v>
      </c>
      <c r="P787">
        <f>IF(COUNTIFS('United Data'!$A$3:$A$3390,P$1,'United Data'!$C$3:$C$3390,$A787)&gt;0,1,0)</f>
        <v>0</v>
      </c>
      <c r="Q787">
        <f>IF(COUNTIFS('United Data'!$A$3:$A$3390,Q$1,'United Data'!$C$3:$C$3390,$A787)&gt;0,1,0)</f>
        <v>0</v>
      </c>
      <c r="R787">
        <f>IF(COUNTIFS('United Data'!$A$3:$A$3390,R$1,'United Data'!$C$3:$C$3390,$A787)&gt;0,1,0)</f>
        <v>0</v>
      </c>
      <c r="S787">
        <f t="shared" si="24"/>
        <v>1</v>
      </c>
      <c r="T787">
        <f t="shared" si="25"/>
        <v>1</v>
      </c>
    </row>
    <row r="788" spans="1:20" x14ac:dyDescent="0.2">
      <c r="A788" t="s">
        <v>942</v>
      </c>
      <c r="B788">
        <f>IF(COUNTIFS('United Data'!$A$3:$A$3390,B$1,'United Data'!$C$3:$C$3390,$A788)&gt;0,1,0)</f>
        <v>0</v>
      </c>
      <c r="C788">
        <f>IF(COUNTIFS('United Data'!$A$3:$A$3390,C$1,'United Data'!$C$3:$C$3390,$A788)&gt;0,1,0)</f>
        <v>0</v>
      </c>
      <c r="D788">
        <f>IF(COUNTIFS('United Data'!$A$3:$A$3390,D$1,'United Data'!$C$3:$C$3390,$A788)&gt;0,1,0)</f>
        <v>0</v>
      </c>
      <c r="E788">
        <f>IF(COUNTIFS('United Data'!$A$3:$A$3390,E$1,'United Data'!$C$3:$C$3390,$A788)&gt;0,1,0)</f>
        <v>0</v>
      </c>
      <c r="F788">
        <f>IF(COUNTIFS('United Data'!$A$3:$A$3390,F$1,'United Data'!$C$3:$C$3390,$A788)&gt;0,1,0)</f>
        <v>0</v>
      </c>
      <c r="G788">
        <f>IF(COUNTIFS('United Data'!$A$3:$A$3390,G$1,'United Data'!$C$3:$C$3390,$A788)&gt;0,1,0)</f>
        <v>0</v>
      </c>
      <c r="H788">
        <f>IF(COUNTIFS('United Data'!$A$3:$A$3390,H$1,'United Data'!$C$3:$C$3390,$A788)&gt;0,1,0)</f>
        <v>0</v>
      </c>
      <c r="I788">
        <f>IF(COUNTIFS('United Data'!$A$3:$A$3390,I$1,'United Data'!$C$3:$C$3390,$A788)&gt;0,1,0)</f>
        <v>1</v>
      </c>
      <c r="J788">
        <f>IF(COUNTIFS('United Data'!$A$3:$A$3390,J$1,'United Data'!$C$3:$C$3390,$A788)&gt;0,1,0)</f>
        <v>1</v>
      </c>
      <c r="K788">
        <f>IF(COUNTIFS('United Data'!$A$3:$A$3390,K$1,'United Data'!$C$3:$C$3390,$A788)&gt;0,1,0)</f>
        <v>0</v>
      </c>
      <c r="L788">
        <f>IF(COUNTIFS('United Data'!$A$3:$A$3390,L$1,'United Data'!$C$3:$C$3390,$A788)&gt;0,1,0)</f>
        <v>1</v>
      </c>
      <c r="M788">
        <f>IF(COUNTIFS('United Data'!$A$3:$A$3390,M$1,'United Data'!$C$3:$C$3390,$A788)&gt;0,1,0)</f>
        <v>1</v>
      </c>
      <c r="N788">
        <f>IF(COUNTIFS('United Data'!$A$3:$A$3390,N$1,'United Data'!$C$3:$C$3390,$A788)&gt;0,1,0)</f>
        <v>0</v>
      </c>
      <c r="O788">
        <f>IF(COUNTIFS('United Data'!$A$3:$A$3390,O$1,'United Data'!$C$3:$C$3390,$A788)&gt;0,1,0)</f>
        <v>0</v>
      </c>
      <c r="P788">
        <f>IF(COUNTIFS('United Data'!$A$3:$A$3390,P$1,'United Data'!$C$3:$C$3390,$A788)&gt;0,1,0)</f>
        <v>0</v>
      </c>
      <c r="Q788">
        <f>IF(COUNTIFS('United Data'!$A$3:$A$3390,Q$1,'United Data'!$C$3:$C$3390,$A788)&gt;0,1,0)</f>
        <v>0</v>
      </c>
      <c r="R788">
        <f>IF(COUNTIFS('United Data'!$A$3:$A$3390,R$1,'United Data'!$C$3:$C$3390,$A788)&gt;0,1,0)</f>
        <v>0</v>
      </c>
      <c r="S788">
        <f t="shared" si="24"/>
        <v>4</v>
      </c>
      <c r="T788">
        <f t="shared" si="25"/>
        <v>2</v>
      </c>
    </row>
    <row r="789" spans="1:20" x14ac:dyDescent="0.2">
      <c r="A789" t="s">
        <v>943</v>
      </c>
      <c r="B789">
        <f>IF(COUNTIFS('United Data'!$A$3:$A$3390,B$1,'United Data'!$C$3:$C$3390,$A789)&gt;0,1,0)</f>
        <v>0</v>
      </c>
      <c r="C789">
        <f>IF(COUNTIFS('United Data'!$A$3:$A$3390,C$1,'United Data'!$C$3:$C$3390,$A789)&gt;0,1,0)</f>
        <v>0</v>
      </c>
      <c r="D789">
        <f>IF(COUNTIFS('United Data'!$A$3:$A$3390,D$1,'United Data'!$C$3:$C$3390,$A789)&gt;0,1,0)</f>
        <v>0</v>
      </c>
      <c r="E789">
        <f>IF(COUNTIFS('United Data'!$A$3:$A$3390,E$1,'United Data'!$C$3:$C$3390,$A789)&gt;0,1,0)</f>
        <v>0</v>
      </c>
      <c r="F789">
        <f>IF(COUNTIFS('United Data'!$A$3:$A$3390,F$1,'United Data'!$C$3:$C$3390,$A789)&gt;0,1,0)</f>
        <v>0</v>
      </c>
      <c r="G789">
        <f>IF(COUNTIFS('United Data'!$A$3:$A$3390,G$1,'United Data'!$C$3:$C$3390,$A789)&gt;0,1,0)</f>
        <v>0</v>
      </c>
      <c r="H789">
        <f>IF(COUNTIFS('United Data'!$A$3:$A$3390,H$1,'United Data'!$C$3:$C$3390,$A789)&gt;0,1,0)</f>
        <v>0</v>
      </c>
      <c r="I789">
        <f>IF(COUNTIFS('United Data'!$A$3:$A$3390,I$1,'United Data'!$C$3:$C$3390,$A789)&gt;0,1,0)</f>
        <v>0</v>
      </c>
      <c r="J789">
        <f>IF(COUNTIFS('United Data'!$A$3:$A$3390,J$1,'United Data'!$C$3:$C$3390,$A789)&gt;0,1,0)</f>
        <v>0</v>
      </c>
      <c r="K789">
        <f>IF(COUNTIFS('United Data'!$A$3:$A$3390,K$1,'United Data'!$C$3:$C$3390,$A789)&gt;0,1,0)</f>
        <v>0</v>
      </c>
      <c r="L789">
        <f>IF(COUNTIFS('United Data'!$A$3:$A$3390,L$1,'United Data'!$C$3:$C$3390,$A789)&gt;0,1,0)</f>
        <v>1</v>
      </c>
      <c r="M789">
        <f>IF(COUNTIFS('United Data'!$A$3:$A$3390,M$1,'United Data'!$C$3:$C$3390,$A789)&gt;0,1,0)</f>
        <v>0</v>
      </c>
      <c r="N789">
        <f>IF(COUNTIFS('United Data'!$A$3:$A$3390,N$1,'United Data'!$C$3:$C$3390,$A789)&gt;0,1,0)</f>
        <v>0</v>
      </c>
      <c r="O789">
        <f>IF(COUNTIFS('United Data'!$A$3:$A$3390,O$1,'United Data'!$C$3:$C$3390,$A789)&gt;0,1,0)</f>
        <v>0</v>
      </c>
      <c r="P789">
        <f>IF(COUNTIFS('United Data'!$A$3:$A$3390,P$1,'United Data'!$C$3:$C$3390,$A789)&gt;0,1,0)</f>
        <v>0</v>
      </c>
      <c r="Q789">
        <f>IF(COUNTIFS('United Data'!$A$3:$A$3390,Q$1,'United Data'!$C$3:$C$3390,$A789)&gt;0,1,0)</f>
        <v>0</v>
      </c>
      <c r="R789">
        <f>IF(COUNTIFS('United Data'!$A$3:$A$3390,R$1,'United Data'!$C$3:$C$3390,$A789)&gt;0,1,0)</f>
        <v>0</v>
      </c>
      <c r="S789">
        <f t="shared" si="24"/>
        <v>1</v>
      </c>
      <c r="T789">
        <f t="shared" si="25"/>
        <v>1</v>
      </c>
    </row>
    <row r="790" spans="1:20" x14ac:dyDescent="0.2">
      <c r="A790" t="s">
        <v>944</v>
      </c>
      <c r="B790">
        <f>IF(COUNTIFS('United Data'!$A$3:$A$3390,B$1,'United Data'!$C$3:$C$3390,$A790)&gt;0,1,0)</f>
        <v>0</v>
      </c>
      <c r="C790">
        <f>IF(COUNTIFS('United Data'!$A$3:$A$3390,C$1,'United Data'!$C$3:$C$3390,$A790)&gt;0,1,0)</f>
        <v>0</v>
      </c>
      <c r="D790">
        <f>IF(COUNTIFS('United Data'!$A$3:$A$3390,D$1,'United Data'!$C$3:$C$3390,$A790)&gt;0,1,0)</f>
        <v>0</v>
      </c>
      <c r="E790">
        <f>IF(COUNTIFS('United Data'!$A$3:$A$3390,E$1,'United Data'!$C$3:$C$3390,$A790)&gt;0,1,0)</f>
        <v>0</v>
      </c>
      <c r="F790">
        <f>IF(COUNTIFS('United Data'!$A$3:$A$3390,F$1,'United Data'!$C$3:$C$3390,$A790)&gt;0,1,0)</f>
        <v>0</v>
      </c>
      <c r="G790">
        <f>IF(COUNTIFS('United Data'!$A$3:$A$3390,G$1,'United Data'!$C$3:$C$3390,$A790)&gt;0,1,0)</f>
        <v>0</v>
      </c>
      <c r="H790">
        <f>IF(COUNTIFS('United Data'!$A$3:$A$3390,H$1,'United Data'!$C$3:$C$3390,$A790)&gt;0,1,0)</f>
        <v>0</v>
      </c>
      <c r="I790">
        <f>IF(COUNTIFS('United Data'!$A$3:$A$3390,I$1,'United Data'!$C$3:$C$3390,$A790)&gt;0,1,0)</f>
        <v>0</v>
      </c>
      <c r="J790">
        <f>IF(COUNTIFS('United Data'!$A$3:$A$3390,J$1,'United Data'!$C$3:$C$3390,$A790)&gt;0,1,0)</f>
        <v>0</v>
      </c>
      <c r="K790">
        <f>IF(COUNTIFS('United Data'!$A$3:$A$3390,K$1,'United Data'!$C$3:$C$3390,$A790)&gt;0,1,0)</f>
        <v>0</v>
      </c>
      <c r="L790">
        <f>IF(COUNTIFS('United Data'!$A$3:$A$3390,L$1,'United Data'!$C$3:$C$3390,$A790)&gt;0,1,0)</f>
        <v>1</v>
      </c>
      <c r="M790">
        <f>IF(COUNTIFS('United Data'!$A$3:$A$3390,M$1,'United Data'!$C$3:$C$3390,$A790)&gt;0,1,0)</f>
        <v>0</v>
      </c>
      <c r="N790">
        <f>IF(COUNTIFS('United Data'!$A$3:$A$3390,N$1,'United Data'!$C$3:$C$3390,$A790)&gt;0,1,0)</f>
        <v>0</v>
      </c>
      <c r="O790">
        <f>IF(COUNTIFS('United Data'!$A$3:$A$3390,O$1,'United Data'!$C$3:$C$3390,$A790)&gt;0,1,0)</f>
        <v>0</v>
      </c>
      <c r="P790">
        <f>IF(COUNTIFS('United Data'!$A$3:$A$3390,P$1,'United Data'!$C$3:$C$3390,$A790)&gt;0,1,0)</f>
        <v>0</v>
      </c>
      <c r="Q790">
        <f>IF(COUNTIFS('United Data'!$A$3:$A$3390,Q$1,'United Data'!$C$3:$C$3390,$A790)&gt;0,1,0)</f>
        <v>0</v>
      </c>
      <c r="R790">
        <f>IF(COUNTIFS('United Data'!$A$3:$A$3390,R$1,'United Data'!$C$3:$C$3390,$A790)&gt;0,1,0)</f>
        <v>0</v>
      </c>
      <c r="S790">
        <f t="shared" si="24"/>
        <v>1</v>
      </c>
      <c r="T790">
        <f t="shared" si="25"/>
        <v>1</v>
      </c>
    </row>
    <row r="791" spans="1:20" x14ac:dyDescent="0.2">
      <c r="A791" t="s">
        <v>946</v>
      </c>
      <c r="B791">
        <f>IF(COUNTIFS('United Data'!$A$3:$A$3390,B$1,'United Data'!$C$3:$C$3390,$A791)&gt;0,1,0)</f>
        <v>0</v>
      </c>
      <c r="C791">
        <f>IF(COUNTIFS('United Data'!$A$3:$A$3390,C$1,'United Data'!$C$3:$C$3390,$A791)&gt;0,1,0)</f>
        <v>0</v>
      </c>
      <c r="D791">
        <f>IF(COUNTIFS('United Data'!$A$3:$A$3390,D$1,'United Data'!$C$3:$C$3390,$A791)&gt;0,1,0)</f>
        <v>0</v>
      </c>
      <c r="E791">
        <f>IF(COUNTIFS('United Data'!$A$3:$A$3390,E$1,'United Data'!$C$3:$C$3390,$A791)&gt;0,1,0)</f>
        <v>0</v>
      </c>
      <c r="F791">
        <f>IF(COUNTIFS('United Data'!$A$3:$A$3390,F$1,'United Data'!$C$3:$C$3390,$A791)&gt;0,1,0)</f>
        <v>0</v>
      </c>
      <c r="G791">
        <f>IF(COUNTIFS('United Data'!$A$3:$A$3390,G$1,'United Data'!$C$3:$C$3390,$A791)&gt;0,1,0)</f>
        <v>0</v>
      </c>
      <c r="H791">
        <f>IF(COUNTIFS('United Data'!$A$3:$A$3390,H$1,'United Data'!$C$3:$C$3390,$A791)&gt;0,1,0)</f>
        <v>0</v>
      </c>
      <c r="I791">
        <f>IF(COUNTIFS('United Data'!$A$3:$A$3390,I$1,'United Data'!$C$3:$C$3390,$A791)&gt;0,1,0)</f>
        <v>0</v>
      </c>
      <c r="J791">
        <f>IF(COUNTIFS('United Data'!$A$3:$A$3390,J$1,'United Data'!$C$3:$C$3390,$A791)&gt;0,1,0)</f>
        <v>0</v>
      </c>
      <c r="K791">
        <f>IF(COUNTIFS('United Data'!$A$3:$A$3390,K$1,'United Data'!$C$3:$C$3390,$A791)&gt;0,1,0)</f>
        <v>0</v>
      </c>
      <c r="L791">
        <f>IF(COUNTIFS('United Data'!$A$3:$A$3390,L$1,'United Data'!$C$3:$C$3390,$A791)&gt;0,1,0)</f>
        <v>0</v>
      </c>
      <c r="M791">
        <f>IF(COUNTIFS('United Data'!$A$3:$A$3390,M$1,'United Data'!$C$3:$C$3390,$A791)&gt;0,1,0)</f>
        <v>1</v>
      </c>
      <c r="N791">
        <f>IF(COUNTIFS('United Data'!$A$3:$A$3390,N$1,'United Data'!$C$3:$C$3390,$A791)&gt;0,1,0)</f>
        <v>0</v>
      </c>
      <c r="O791">
        <f>IF(COUNTIFS('United Data'!$A$3:$A$3390,O$1,'United Data'!$C$3:$C$3390,$A791)&gt;0,1,0)</f>
        <v>0</v>
      </c>
      <c r="P791">
        <f>IF(COUNTIFS('United Data'!$A$3:$A$3390,P$1,'United Data'!$C$3:$C$3390,$A791)&gt;0,1,0)</f>
        <v>0</v>
      </c>
      <c r="Q791">
        <f>IF(COUNTIFS('United Data'!$A$3:$A$3390,Q$1,'United Data'!$C$3:$C$3390,$A791)&gt;0,1,0)</f>
        <v>0</v>
      </c>
      <c r="R791">
        <f>IF(COUNTIFS('United Data'!$A$3:$A$3390,R$1,'United Data'!$C$3:$C$3390,$A791)&gt;0,1,0)</f>
        <v>0</v>
      </c>
      <c r="S791">
        <f t="shared" si="24"/>
        <v>1</v>
      </c>
      <c r="T791">
        <f t="shared" si="25"/>
        <v>1</v>
      </c>
    </row>
    <row r="792" spans="1:20" x14ac:dyDescent="0.2">
      <c r="A792" t="s">
        <v>947</v>
      </c>
      <c r="B792">
        <f>IF(COUNTIFS('United Data'!$A$3:$A$3390,B$1,'United Data'!$C$3:$C$3390,$A792)&gt;0,1,0)</f>
        <v>0</v>
      </c>
      <c r="C792">
        <f>IF(COUNTIFS('United Data'!$A$3:$A$3390,C$1,'United Data'!$C$3:$C$3390,$A792)&gt;0,1,0)</f>
        <v>0</v>
      </c>
      <c r="D792">
        <f>IF(COUNTIFS('United Data'!$A$3:$A$3390,D$1,'United Data'!$C$3:$C$3390,$A792)&gt;0,1,0)</f>
        <v>0</v>
      </c>
      <c r="E792">
        <f>IF(COUNTIFS('United Data'!$A$3:$A$3390,E$1,'United Data'!$C$3:$C$3390,$A792)&gt;0,1,0)</f>
        <v>0</v>
      </c>
      <c r="F792">
        <f>IF(COUNTIFS('United Data'!$A$3:$A$3390,F$1,'United Data'!$C$3:$C$3390,$A792)&gt;0,1,0)</f>
        <v>0</v>
      </c>
      <c r="G792">
        <f>IF(COUNTIFS('United Data'!$A$3:$A$3390,G$1,'United Data'!$C$3:$C$3390,$A792)&gt;0,1,0)</f>
        <v>0</v>
      </c>
      <c r="H792">
        <f>IF(COUNTIFS('United Data'!$A$3:$A$3390,H$1,'United Data'!$C$3:$C$3390,$A792)&gt;0,1,0)</f>
        <v>0</v>
      </c>
      <c r="I792">
        <f>IF(COUNTIFS('United Data'!$A$3:$A$3390,I$1,'United Data'!$C$3:$C$3390,$A792)&gt;0,1,0)</f>
        <v>0</v>
      </c>
      <c r="J792">
        <f>IF(COUNTIFS('United Data'!$A$3:$A$3390,J$1,'United Data'!$C$3:$C$3390,$A792)&gt;0,1,0)</f>
        <v>0</v>
      </c>
      <c r="K792">
        <f>IF(COUNTIFS('United Data'!$A$3:$A$3390,K$1,'United Data'!$C$3:$C$3390,$A792)&gt;0,1,0)</f>
        <v>0</v>
      </c>
      <c r="L792">
        <f>IF(COUNTIFS('United Data'!$A$3:$A$3390,L$1,'United Data'!$C$3:$C$3390,$A792)&gt;0,1,0)</f>
        <v>0</v>
      </c>
      <c r="M792">
        <f>IF(COUNTIFS('United Data'!$A$3:$A$3390,M$1,'United Data'!$C$3:$C$3390,$A792)&gt;0,1,0)</f>
        <v>0</v>
      </c>
      <c r="N792">
        <f>IF(COUNTIFS('United Data'!$A$3:$A$3390,N$1,'United Data'!$C$3:$C$3390,$A792)&gt;0,1,0)</f>
        <v>1</v>
      </c>
      <c r="O792">
        <f>IF(COUNTIFS('United Data'!$A$3:$A$3390,O$1,'United Data'!$C$3:$C$3390,$A792)&gt;0,1,0)</f>
        <v>0</v>
      </c>
      <c r="P792">
        <f>IF(COUNTIFS('United Data'!$A$3:$A$3390,P$1,'United Data'!$C$3:$C$3390,$A792)&gt;0,1,0)</f>
        <v>1</v>
      </c>
      <c r="Q792">
        <f>IF(COUNTIFS('United Data'!$A$3:$A$3390,Q$1,'United Data'!$C$3:$C$3390,$A792)&gt;0,1,0)</f>
        <v>1</v>
      </c>
      <c r="R792">
        <f>IF(COUNTIFS('United Data'!$A$3:$A$3390,R$1,'United Data'!$C$3:$C$3390,$A792)&gt;0,1,0)</f>
        <v>0</v>
      </c>
      <c r="S792">
        <f t="shared" si="24"/>
        <v>3</v>
      </c>
      <c r="T792">
        <f t="shared" si="25"/>
        <v>2</v>
      </c>
    </row>
    <row r="793" spans="1:20" x14ac:dyDescent="0.2">
      <c r="A793" t="s">
        <v>948</v>
      </c>
      <c r="B793">
        <f>IF(COUNTIFS('United Data'!$A$3:$A$3390,B$1,'United Data'!$C$3:$C$3390,$A793)&gt;0,1,0)</f>
        <v>0</v>
      </c>
      <c r="C793">
        <f>IF(COUNTIFS('United Data'!$A$3:$A$3390,C$1,'United Data'!$C$3:$C$3390,$A793)&gt;0,1,0)</f>
        <v>0</v>
      </c>
      <c r="D793">
        <f>IF(COUNTIFS('United Data'!$A$3:$A$3390,D$1,'United Data'!$C$3:$C$3390,$A793)&gt;0,1,0)</f>
        <v>0</v>
      </c>
      <c r="E793">
        <f>IF(COUNTIFS('United Data'!$A$3:$A$3390,E$1,'United Data'!$C$3:$C$3390,$A793)&gt;0,1,0)</f>
        <v>0</v>
      </c>
      <c r="F793">
        <f>IF(COUNTIFS('United Data'!$A$3:$A$3390,F$1,'United Data'!$C$3:$C$3390,$A793)&gt;0,1,0)</f>
        <v>0</v>
      </c>
      <c r="G793">
        <f>IF(COUNTIFS('United Data'!$A$3:$A$3390,G$1,'United Data'!$C$3:$C$3390,$A793)&gt;0,1,0)</f>
        <v>0</v>
      </c>
      <c r="H793">
        <f>IF(COUNTIFS('United Data'!$A$3:$A$3390,H$1,'United Data'!$C$3:$C$3390,$A793)&gt;0,1,0)</f>
        <v>0</v>
      </c>
      <c r="I793">
        <f>IF(COUNTIFS('United Data'!$A$3:$A$3390,I$1,'United Data'!$C$3:$C$3390,$A793)&gt;0,1,0)</f>
        <v>0</v>
      </c>
      <c r="J793">
        <f>IF(COUNTIFS('United Data'!$A$3:$A$3390,J$1,'United Data'!$C$3:$C$3390,$A793)&gt;0,1,0)</f>
        <v>0</v>
      </c>
      <c r="K793">
        <f>IF(COUNTIFS('United Data'!$A$3:$A$3390,K$1,'United Data'!$C$3:$C$3390,$A793)&gt;0,1,0)</f>
        <v>0</v>
      </c>
      <c r="L793">
        <f>IF(COUNTIFS('United Data'!$A$3:$A$3390,L$1,'United Data'!$C$3:$C$3390,$A793)&gt;0,1,0)</f>
        <v>0</v>
      </c>
      <c r="M793">
        <f>IF(COUNTIFS('United Data'!$A$3:$A$3390,M$1,'United Data'!$C$3:$C$3390,$A793)&gt;0,1,0)</f>
        <v>0</v>
      </c>
      <c r="N793">
        <f>IF(COUNTIFS('United Data'!$A$3:$A$3390,N$1,'United Data'!$C$3:$C$3390,$A793)&gt;0,1,0)</f>
        <v>1</v>
      </c>
      <c r="O793">
        <f>IF(COUNTIFS('United Data'!$A$3:$A$3390,O$1,'United Data'!$C$3:$C$3390,$A793)&gt;0,1,0)</f>
        <v>0</v>
      </c>
      <c r="P793">
        <f>IF(COUNTIFS('United Data'!$A$3:$A$3390,P$1,'United Data'!$C$3:$C$3390,$A793)&gt;0,1,0)</f>
        <v>0</v>
      </c>
      <c r="Q793">
        <f>IF(COUNTIFS('United Data'!$A$3:$A$3390,Q$1,'United Data'!$C$3:$C$3390,$A793)&gt;0,1,0)</f>
        <v>0</v>
      </c>
      <c r="R793">
        <f>IF(COUNTIFS('United Data'!$A$3:$A$3390,R$1,'United Data'!$C$3:$C$3390,$A793)&gt;0,1,0)</f>
        <v>0</v>
      </c>
      <c r="S793">
        <f t="shared" si="24"/>
        <v>1</v>
      </c>
      <c r="T793">
        <f t="shared" si="25"/>
        <v>1</v>
      </c>
    </row>
    <row r="794" spans="1:20" x14ac:dyDescent="0.2">
      <c r="A794" t="s">
        <v>949</v>
      </c>
      <c r="B794">
        <f>IF(COUNTIFS('United Data'!$A$3:$A$3390,B$1,'United Data'!$C$3:$C$3390,$A794)&gt;0,1,0)</f>
        <v>0</v>
      </c>
      <c r="C794">
        <f>IF(COUNTIFS('United Data'!$A$3:$A$3390,C$1,'United Data'!$C$3:$C$3390,$A794)&gt;0,1,0)</f>
        <v>0</v>
      </c>
      <c r="D794">
        <f>IF(COUNTIFS('United Data'!$A$3:$A$3390,D$1,'United Data'!$C$3:$C$3390,$A794)&gt;0,1,0)</f>
        <v>0</v>
      </c>
      <c r="E794">
        <f>IF(COUNTIFS('United Data'!$A$3:$A$3390,E$1,'United Data'!$C$3:$C$3390,$A794)&gt;0,1,0)</f>
        <v>0</v>
      </c>
      <c r="F794">
        <f>IF(COUNTIFS('United Data'!$A$3:$A$3390,F$1,'United Data'!$C$3:$C$3390,$A794)&gt;0,1,0)</f>
        <v>0</v>
      </c>
      <c r="G794">
        <f>IF(COUNTIFS('United Data'!$A$3:$A$3390,G$1,'United Data'!$C$3:$C$3390,$A794)&gt;0,1,0)</f>
        <v>0</v>
      </c>
      <c r="H794">
        <f>IF(COUNTIFS('United Data'!$A$3:$A$3390,H$1,'United Data'!$C$3:$C$3390,$A794)&gt;0,1,0)</f>
        <v>0</v>
      </c>
      <c r="I794">
        <f>IF(COUNTIFS('United Data'!$A$3:$A$3390,I$1,'United Data'!$C$3:$C$3390,$A794)&gt;0,1,0)</f>
        <v>0</v>
      </c>
      <c r="J794">
        <f>IF(COUNTIFS('United Data'!$A$3:$A$3390,J$1,'United Data'!$C$3:$C$3390,$A794)&gt;0,1,0)</f>
        <v>0</v>
      </c>
      <c r="K794">
        <f>IF(COUNTIFS('United Data'!$A$3:$A$3390,K$1,'United Data'!$C$3:$C$3390,$A794)&gt;0,1,0)</f>
        <v>0</v>
      </c>
      <c r="L794">
        <f>IF(COUNTIFS('United Data'!$A$3:$A$3390,L$1,'United Data'!$C$3:$C$3390,$A794)&gt;0,1,0)</f>
        <v>0</v>
      </c>
      <c r="M794">
        <f>IF(COUNTIFS('United Data'!$A$3:$A$3390,M$1,'United Data'!$C$3:$C$3390,$A794)&gt;0,1,0)</f>
        <v>0</v>
      </c>
      <c r="N794">
        <f>IF(COUNTIFS('United Data'!$A$3:$A$3390,N$1,'United Data'!$C$3:$C$3390,$A794)&gt;0,1,0)</f>
        <v>0</v>
      </c>
      <c r="O794">
        <f>IF(COUNTIFS('United Data'!$A$3:$A$3390,O$1,'United Data'!$C$3:$C$3390,$A794)&gt;0,1,0)</f>
        <v>1</v>
      </c>
      <c r="P794">
        <f>IF(COUNTIFS('United Data'!$A$3:$A$3390,P$1,'United Data'!$C$3:$C$3390,$A794)&gt;0,1,0)</f>
        <v>0</v>
      </c>
      <c r="Q794">
        <f>IF(COUNTIFS('United Data'!$A$3:$A$3390,Q$1,'United Data'!$C$3:$C$3390,$A794)&gt;0,1,0)</f>
        <v>0</v>
      </c>
      <c r="R794">
        <f>IF(COUNTIFS('United Data'!$A$3:$A$3390,R$1,'United Data'!$C$3:$C$3390,$A794)&gt;0,1,0)</f>
        <v>0</v>
      </c>
      <c r="S794">
        <f t="shared" si="24"/>
        <v>1</v>
      </c>
      <c r="T794">
        <f t="shared" si="25"/>
        <v>1</v>
      </c>
    </row>
    <row r="795" spans="1:20" x14ac:dyDescent="0.2">
      <c r="A795" t="s">
        <v>950</v>
      </c>
      <c r="B795">
        <f>IF(COUNTIFS('United Data'!$A$3:$A$3390,B$1,'United Data'!$C$3:$C$3390,$A795)&gt;0,1,0)</f>
        <v>0</v>
      </c>
      <c r="C795">
        <f>IF(COUNTIFS('United Data'!$A$3:$A$3390,C$1,'United Data'!$C$3:$C$3390,$A795)&gt;0,1,0)</f>
        <v>0</v>
      </c>
      <c r="D795">
        <f>IF(COUNTIFS('United Data'!$A$3:$A$3390,D$1,'United Data'!$C$3:$C$3390,$A795)&gt;0,1,0)</f>
        <v>0</v>
      </c>
      <c r="E795">
        <f>IF(COUNTIFS('United Data'!$A$3:$A$3390,E$1,'United Data'!$C$3:$C$3390,$A795)&gt;0,1,0)</f>
        <v>0</v>
      </c>
      <c r="F795">
        <f>IF(COUNTIFS('United Data'!$A$3:$A$3390,F$1,'United Data'!$C$3:$C$3390,$A795)&gt;0,1,0)</f>
        <v>0</v>
      </c>
      <c r="G795">
        <f>IF(COUNTIFS('United Data'!$A$3:$A$3390,G$1,'United Data'!$C$3:$C$3390,$A795)&gt;0,1,0)</f>
        <v>0</v>
      </c>
      <c r="H795">
        <f>IF(COUNTIFS('United Data'!$A$3:$A$3390,H$1,'United Data'!$C$3:$C$3390,$A795)&gt;0,1,0)</f>
        <v>0</v>
      </c>
      <c r="I795">
        <f>IF(COUNTIFS('United Data'!$A$3:$A$3390,I$1,'United Data'!$C$3:$C$3390,$A795)&gt;0,1,0)</f>
        <v>0</v>
      </c>
      <c r="J795">
        <f>IF(COUNTIFS('United Data'!$A$3:$A$3390,J$1,'United Data'!$C$3:$C$3390,$A795)&gt;0,1,0)</f>
        <v>0</v>
      </c>
      <c r="K795">
        <f>IF(COUNTIFS('United Data'!$A$3:$A$3390,K$1,'United Data'!$C$3:$C$3390,$A795)&gt;0,1,0)</f>
        <v>0</v>
      </c>
      <c r="L795">
        <f>IF(COUNTIFS('United Data'!$A$3:$A$3390,L$1,'United Data'!$C$3:$C$3390,$A795)&gt;0,1,0)</f>
        <v>0</v>
      </c>
      <c r="M795">
        <f>IF(COUNTIFS('United Data'!$A$3:$A$3390,M$1,'United Data'!$C$3:$C$3390,$A795)&gt;0,1,0)</f>
        <v>0</v>
      </c>
      <c r="N795">
        <f>IF(COUNTIFS('United Data'!$A$3:$A$3390,N$1,'United Data'!$C$3:$C$3390,$A795)&gt;0,1,0)</f>
        <v>0</v>
      </c>
      <c r="O795">
        <f>IF(COUNTIFS('United Data'!$A$3:$A$3390,O$1,'United Data'!$C$3:$C$3390,$A795)&gt;0,1,0)</f>
        <v>1</v>
      </c>
      <c r="P795">
        <f>IF(COUNTIFS('United Data'!$A$3:$A$3390,P$1,'United Data'!$C$3:$C$3390,$A795)&gt;0,1,0)</f>
        <v>0</v>
      </c>
      <c r="Q795">
        <f>IF(COUNTIFS('United Data'!$A$3:$A$3390,Q$1,'United Data'!$C$3:$C$3390,$A795)&gt;0,1,0)</f>
        <v>1</v>
      </c>
      <c r="R795">
        <f>IF(COUNTIFS('United Data'!$A$3:$A$3390,R$1,'United Data'!$C$3:$C$3390,$A795)&gt;0,1,0)</f>
        <v>1</v>
      </c>
      <c r="S795">
        <f t="shared" si="24"/>
        <v>3</v>
      </c>
      <c r="T795">
        <f t="shared" si="25"/>
        <v>2</v>
      </c>
    </row>
    <row r="796" spans="1:20" x14ac:dyDescent="0.2">
      <c r="A796" t="s">
        <v>951</v>
      </c>
      <c r="B796">
        <f>IF(COUNTIFS('United Data'!$A$3:$A$3390,B$1,'United Data'!$C$3:$C$3390,$A796)&gt;0,1,0)</f>
        <v>0</v>
      </c>
      <c r="C796">
        <f>IF(COUNTIFS('United Data'!$A$3:$A$3390,C$1,'United Data'!$C$3:$C$3390,$A796)&gt;0,1,0)</f>
        <v>0</v>
      </c>
      <c r="D796">
        <f>IF(COUNTIFS('United Data'!$A$3:$A$3390,D$1,'United Data'!$C$3:$C$3390,$A796)&gt;0,1,0)</f>
        <v>0</v>
      </c>
      <c r="E796">
        <f>IF(COUNTIFS('United Data'!$A$3:$A$3390,E$1,'United Data'!$C$3:$C$3390,$A796)&gt;0,1,0)</f>
        <v>0</v>
      </c>
      <c r="F796">
        <f>IF(COUNTIFS('United Data'!$A$3:$A$3390,F$1,'United Data'!$C$3:$C$3390,$A796)&gt;0,1,0)</f>
        <v>0</v>
      </c>
      <c r="G796">
        <f>IF(COUNTIFS('United Data'!$A$3:$A$3390,G$1,'United Data'!$C$3:$C$3390,$A796)&gt;0,1,0)</f>
        <v>0</v>
      </c>
      <c r="H796">
        <f>IF(COUNTIFS('United Data'!$A$3:$A$3390,H$1,'United Data'!$C$3:$C$3390,$A796)&gt;0,1,0)</f>
        <v>0</v>
      </c>
      <c r="I796">
        <f>IF(COUNTIFS('United Data'!$A$3:$A$3390,I$1,'United Data'!$C$3:$C$3390,$A796)&gt;0,1,0)</f>
        <v>0</v>
      </c>
      <c r="J796">
        <f>IF(COUNTIFS('United Data'!$A$3:$A$3390,J$1,'United Data'!$C$3:$C$3390,$A796)&gt;0,1,0)</f>
        <v>0</v>
      </c>
      <c r="K796">
        <f>IF(COUNTIFS('United Data'!$A$3:$A$3390,K$1,'United Data'!$C$3:$C$3390,$A796)&gt;0,1,0)</f>
        <v>0</v>
      </c>
      <c r="L796">
        <f>IF(COUNTIFS('United Data'!$A$3:$A$3390,L$1,'United Data'!$C$3:$C$3390,$A796)&gt;0,1,0)</f>
        <v>0</v>
      </c>
      <c r="M796">
        <f>IF(COUNTIFS('United Data'!$A$3:$A$3390,M$1,'United Data'!$C$3:$C$3390,$A796)&gt;0,1,0)</f>
        <v>0</v>
      </c>
      <c r="N796">
        <f>IF(COUNTIFS('United Data'!$A$3:$A$3390,N$1,'United Data'!$C$3:$C$3390,$A796)&gt;0,1,0)</f>
        <v>0</v>
      </c>
      <c r="O796">
        <f>IF(COUNTIFS('United Data'!$A$3:$A$3390,O$1,'United Data'!$C$3:$C$3390,$A796)&gt;0,1,0)</f>
        <v>1</v>
      </c>
      <c r="P796">
        <f>IF(COUNTIFS('United Data'!$A$3:$A$3390,P$1,'United Data'!$C$3:$C$3390,$A796)&gt;0,1,0)</f>
        <v>0</v>
      </c>
      <c r="Q796">
        <f>IF(COUNTIFS('United Data'!$A$3:$A$3390,Q$1,'United Data'!$C$3:$C$3390,$A796)&gt;0,1,0)</f>
        <v>0</v>
      </c>
      <c r="R796">
        <f>IF(COUNTIFS('United Data'!$A$3:$A$3390,R$1,'United Data'!$C$3:$C$3390,$A796)&gt;0,1,0)</f>
        <v>0</v>
      </c>
      <c r="S796">
        <f t="shared" si="24"/>
        <v>1</v>
      </c>
      <c r="T796">
        <f t="shared" si="25"/>
        <v>1</v>
      </c>
    </row>
    <row r="797" spans="1:20" x14ac:dyDescent="0.2">
      <c r="A797" t="s">
        <v>952</v>
      </c>
      <c r="B797">
        <f>IF(COUNTIFS('United Data'!$A$3:$A$3390,B$1,'United Data'!$C$3:$C$3390,$A797)&gt;0,1,0)</f>
        <v>0</v>
      </c>
      <c r="C797">
        <f>IF(COUNTIFS('United Data'!$A$3:$A$3390,C$1,'United Data'!$C$3:$C$3390,$A797)&gt;0,1,0)</f>
        <v>0</v>
      </c>
      <c r="D797">
        <f>IF(COUNTIFS('United Data'!$A$3:$A$3390,D$1,'United Data'!$C$3:$C$3390,$A797)&gt;0,1,0)</f>
        <v>0</v>
      </c>
      <c r="E797">
        <f>IF(COUNTIFS('United Data'!$A$3:$A$3390,E$1,'United Data'!$C$3:$C$3390,$A797)&gt;0,1,0)</f>
        <v>0</v>
      </c>
      <c r="F797">
        <f>IF(COUNTIFS('United Data'!$A$3:$A$3390,F$1,'United Data'!$C$3:$C$3390,$A797)&gt;0,1,0)</f>
        <v>0</v>
      </c>
      <c r="G797">
        <f>IF(COUNTIFS('United Data'!$A$3:$A$3390,G$1,'United Data'!$C$3:$C$3390,$A797)&gt;0,1,0)</f>
        <v>0</v>
      </c>
      <c r="H797">
        <f>IF(COUNTIFS('United Data'!$A$3:$A$3390,H$1,'United Data'!$C$3:$C$3390,$A797)&gt;0,1,0)</f>
        <v>0</v>
      </c>
      <c r="I797">
        <f>IF(COUNTIFS('United Data'!$A$3:$A$3390,I$1,'United Data'!$C$3:$C$3390,$A797)&gt;0,1,0)</f>
        <v>0</v>
      </c>
      <c r="J797">
        <f>IF(COUNTIFS('United Data'!$A$3:$A$3390,J$1,'United Data'!$C$3:$C$3390,$A797)&gt;0,1,0)</f>
        <v>0</v>
      </c>
      <c r="K797">
        <f>IF(COUNTIFS('United Data'!$A$3:$A$3390,K$1,'United Data'!$C$3:$C$3390,$A797)&gt;0,1,0)</f>
        <v>0</v>
      </c>
      <c r="L797">
        <f>IF(COUNTIFS('United Data'!$A$3:$A$3390,L$1,'United Data'!$C$3:$C$3390,$A797)&gt;0,1,0)</f>
        <v>0</v>
      </c>
      <c r="M797">
        <f>IF(COUNTIFS('United Data'!$A$3:$A$3390,M$1,'United Data'!$C$3:$C$3390,$A797)&gt;0,1,0)</f>
        <v>0</v>
      </c>
      <c r="N797">
        <f>IF(COUNTIFS('United Data'!$A$3:$A$3390,N$1,'United Data'!$C$3:$C$3390,$A797)&gt;0,1,0)</f>
        <v>0</v>
      </c>
      <c r="O797">
        <f>IF(COUNTIFS('United Data'!$A$3:$A$3390,O$1,'United Data'!$C$3:$C$3390,$A797)&gt;0,1,0)</f>
        <v>0</v>
      </c>
      <c r="P797">
        <f>IF(COUNTIFS('United Data'!$A$3:$A$3390,P$1,'United Data'!$C$3:$C$3390,$A797)&gt;0,1,0)</f>
        <v>1</v>
      </c>
      <c r="Q797">
        <f>IF(COUNTIFS('United Data'!$A$3:$A$3390,Q$1,'United Data'!$C$3:$C$3390,$A797)&gt;0,1,0)</f>
        <v>1</v>
      </c>
      <c r="R797">
        <f>IF(COUNTIFS('United Data'!$A$3:$A$3390,R$1,'United Data'!$C$3:$C$3390,$A797)&gt;0,1,0)</f>
        <v>1</v>
      </c>
      <c r="S797">
        <f t="shared" si="24"/>
        <v>3</v>
      </c>
      <c r="T797">
        <f t="shared" si="25"/>
        <v>1</v>
      </c>
    </row>
    <row r="798" spans="1:20" x14ac:dyDescent="0.2">
      <c r="A798" t="s">
        <v>953</v>
      </c>
      <c r="B798">
        <f>IF(COUNTIFS('United Data'!$A$3:$A$3390,B$1,'United Data'!$C$3:$C$3390,$A798)&gt;0,1,0)</f>
        <v>0</v>
      </c>
      <c r="C798">
        <f>IF(COUNTIFS('United Data'!$A$3:$A$3390,C$1,'United Data'!$C$3:$C$3390,$A798)&gt;0,1,0)</f>
        <v>0</v>
      </c>
      <c r="D798">
        <f>IF(COUNTIFS('United Data'!$A$3:$A$3390,D$1,'United Data'!$C$3:$C$3390,$A798)&gt;0,1,0)</f>
        <v>0</v>
      </c>
      <c r="E798">
        <f>IF(COUNTIFS('United Data'!$A$3:$A$3390,E$1,'United Data'!$C$3:$C$3390,$A798)&gt;0,1,0)</f>
        <v>0</v>
      </c>
      <c r="F798">
        <f>IF(COUNTIFS('United Data'!$A$3:$A$3390,F$1,'United Data'!$C$3:$C$3390,$A798)&gt;0,1,0)</f>
        <v>0</v>
      </c>
      <c r="G798">
        <f>IF(COUNTIFS('United Data'!$A$3:$A$3390,G$1,'United Data'!$C$3:$C$3390,$A798)&gt;0,1,0)</f>
        <v>0</v>
      </c>
      <c r="H798">
        <f>IF(COUNTIFS('United Data'!$A$3:$A$3390,H$1,'United Data'!$C$3:$C$3390,$A798)&gt;0,1,0)</f>
        <v>0</v>
      </c>
      <c r="I798">
        <f>IF(COUNTIFS('United Data'!$A$3:$A$3390,I$1,'United Data'!$C$3:$C$3390,$A798)&gt;0,1,0)</f>
        <v>0</v>
      </c>
      <c r="J798">
        <f>IF(COUNTIFS('United Data'!$A$3:$A$3390,J$1,'United Data'!$C$3:$C$3390,$A798)&gt;0,1,0)</f>
        <v>0</v>
      </c>
      <c r="K798">
        <f>IF(COUNTIFS('United Data'!$A$3:$A$3390,K$1,'United Data'!$C$3:$C$3390,$A798)&gt;0,1,0)</f>
        <v>0</v>
      </c>
      <c r="L798">
        <f>IF(COUNTIFS('United Data'!$A$3:$A$3390,L$1,'United Data'!$C$3:$C$3390,$A798)&gt;0,1,0)</f>
        <v>0</v>
      </c>
      <c r="M798">
        <f>IF(COUNTIFS('United Data'!$A$3:$A$3390,M$1,'United Data'!$C$3:$C$3390,$A798)&gt;0,1,0)</f>
        <v>0</v>
      </c>
      <c r="N798">
        <f>IF(COUNTIFS('United Data'!$A$3:$A$3390,N$1,'United Data'!$C$3:$C$3390,$A798)&gt;0,1,0)</f>
        <v>0</v>
      </c>
      <c r="O798">
        <f>IF(COUNTIFS('United Data'!$A$3:$A$3390,O$1,'United Data'!$C$3:$C$3390,$A798)&gt;0,1,0)</f>
        <v>0</v>
      </c>
      <c r="P798">
        <f>IF(COUNTIFS('United Data'!$A$3:$A$3390,P$1,'United Data'!$C$3:$C$3390,$A798)&gt;0,1,0)</f>
        <v>1</v>
      </c>
      <c r="Q798">
        <f>IF(COUNTIFS('United Data'!$A$3:$A$3390,Q$1,'United Data'!$C$3:$C$3390,$A798)&gt;0,1,0)</f>
        <v>1</v>
      </c>
      <c r="R798">
        <f>IF(COUNTIFS('United Data'!$A$3:$A$3390,R$1,'United Data'!$C$3:$C$3390,$A798)&gt;0,1,0)</f>
        <v>0</v>
      </c>
      <c r="S798">
        <f t="shared" si="24"/>
        <v>2</v>
      </c>
      <c r="T798">
        <f t="shared" si="25"/>
        <v>1</v>
      </c>
    </row>
    <row r="799" spans="1:20" x14ac:dyDescent="0.2">
      <c r="A799" t="s">
        <v>954</v>
      </c>
      <c r="B799">
        <f>IF(COUNTIFS('United Data'!$A$3:$A$3390,B$1,'United Data'!$C$3:$C$3390,$A799)&gt;0,1,0)</f>
        <v>0</v>
      </c>
      <c r="C799">
        <f>IF(COUNTIFS('United Data'!$A$3:$A$3390,C$1,'United Data'!$C$3:$C$3390,$A799)&gt;0,1,0)</f>
        <v>0</v>
      </c>
      <c r="D799">
        <f>IF(COUNTIFS('United Data'!$A$3:$A$3390,D$1,'United Data'!$C$3:$C$3390,$A799)&gt;0,1,0)</f>
        <v>0</v>
      </c>
      <c r="E799">
        <f>IF(COUNTIFS('United Data'!$A$3:$A$3390,E$1,'United Data'!$C$3:$C$3390,$A799)&gt;0,1,0)</f>
        <v>0</v>
      </c>
      <c r="F799">
        <f>IF(COUNTIFS('United Data'!$A$3:$A$3390,F$1,'United Data'!$C$3:$C$3390,$A799)&gt;0,1,0)</f>
        <v>0</v>
      </c>
      <c r="G799">
        <f>IF(COUNTIFS('United Data'!$A$3:$A$3390,G$1,'United Data'!$C$3:$C$3390,$A799)&gt;0,1,0)</f>
        <v>0</v>
      </c>
      <c r="H799">
        <f>IF(COUNTIFS('United Data'!$A$3:$A$3390,H$1,'United Data'!$C$3:$C$3390,$A799)&gt;0,1,0)</f>
        <v>0</v>
      </c>
      <c r="I799">
        <f>IF(COUNTIFS('United Data'!$A$3:$A$3390,I$1,'United Data'!$C$3:$C$3390,$A799)&gt;0,1,0)</f>
        <v>0</v>
      </c>
      <c r="J799">
        <f>IF(COUNTIFS('United Data'!$A$3:$A$3390,J$1,'United Data'!$C$3:$C$3390,$A799)&gt;0,1,0)</f>
        <v>0</v>
      </c>
      <c r="K799">
        <f>IF(COUNTIFS('United Data'!$A$3:$A$3390,K$1,'United Data'!$C$3:$C$3390,$A799)&gt;0,1,0)</f>
        <v>0</v>
      </c>
      <c r="L799">
        <f>IF(COUNTIFS('United Data'!$A$3:$A$3390,L$1,'United Data'!$C$3:$C$3390,$A799)&gt;0,1,0)</f>
        <v>0</v>
      </c>
      <c r="M799">
        <f>IF(COUNTIFS('United Data'!$A$3:$A$3390,M$1,'United Data'!$C$3:$C$3390,$A799)&gt;0,1,0)</f>
        <v>0</v>
      </c>
      <c r="N799">
        <f>IF(COUNTIFS('United Data'!$A$3:$A$3390,N$1,'United Data'!$C$3:$C$3390,$A799)&gt;0,1,0)</f>
        <v>0</v>
      </c>
      <c r="O799">
        <f>IF(COUNTIFS('United Data'!$A$3:$A$3390,O$1,'United Data'!$C$3:$C$3390,$A799)&gt;0,1,0)</f>
        <v>0</v>
      </c>
      <c r="P799">
        <f>IF(COUNTIFS('United Data'!$A$3:$A$3390,P$1,'United Data'!$C$3:$C$3390,$A799)&gt;0,1,0)</f>
        <v>1</v>
      </c>
      <c r="Q799">
        <f>IF(COUNTIFS('United Data'!$A$3:$A$3390,Q$1,'United Data'!$C$3:$C$3390,$A799)&gt;0,1,0)</f>
        <v>1</v>
      </c>
      <c r="R799">
        <f>IF(COUNTIFS('United Data'!$A$3:$A$3390,R$1,'United Data'!$C$3:$C$3390,$A799)&gt;0,1,0)</f>
        <v>0</v>
      </c>
      <c r="S799">
        <f t="shared" si="24"/>
        <v>2</v>
      </c>
      <c r="T799">
        <f t="shared" si="25"/>
        <v>1</v>
      </c>
    </row>
    <row r="800" spans="1:20" x14ac:dyDescent="0.2">
      <c r="A800" t="s">
        <v>955</v>
      </c>
      <c r="B800">
        <f>IF(COUNTIFS('United Data'!$A$3:$A$3390,B$1,'United Data'!$C$3:$C$3390,$A800)&gt;0,1,0)</f>
        <v>0</v>
      </c>
      <c r="C800">
        <f>IF(COUNTIFS('United Data'!$A$3:$A$3390,C$1,'United Data'!$C$3:$C$3390,$A800)&gt;0,1,0)</f>
        <v>0</v>
      </c>
      <c r="D800">
        <f>IF(COUNTIFS('United Data'!$A$3:$A$3390,D$1,'United Data'!$C$3:$C$3390,$A800)&gt;0,1,0)</f>
        <v>0</v>
      </c>
      <c r="E800">
        <f>IF(COUNTIFS('United Data'!$A$3:$A$3390,E$1,'United Data'!$C$3:$C$3390,$A800)&gt;0,1,0)</f>
        <v>0</v>
      </c>
      <c r="F800">
        <f>IF(COUNTIFS('United Data'!$A$3:$A$3390,F$1,'United Data'!$C$3:$C$3390,$A800)&gt;0,1,0)</f>
        <v>0</v>
      </c>
      <c r="G800">
        <f>IF(COUNTIFS('United Data'!$A$3:$A$3390,G$1,'United Data'!$C$3:$C$3390,$A800)&gt;0,1,0)</f>
        <v>0</v>
      </c>
      <c r="H800">
        <f>IF(COUNTIFS('United Data'!$A$3:$A$3390,H$1,'United Data'!$C$3:$C$3390,$A800)&gt;0,1,0)</f>
        <v>0</v>
      </c>
      <c r="I800">
        <f>IF(COUNTIFS('United Data'!$A$3:$A$3390,I$1,'United Data'!$C$3:$C$3390,$A800)&gt;0,1,0)</f>
        <v>0</v>
      </c>
      <c r="J800">
        <f>IF(COUNTIFS('United Data'!$A$3:$A$3390,J$1,'United Data'!$C$3:$C$3390,$A800)&gt;0,1,0)</f>
        <v>0</v>
      </c>
      <c r="K800">
        <f>IF(COUNTIFS('United Data'!$A$3:$A$3390,K$1,'United Data'!$C$3:$C$3390,$A800)&gt;0,1,0)</f>
        <v>0</v>
      </c>
      <c r="L800">
        <f>IF(COUNTIFS('United Data'!$A$3:$A$3390,L$1,'United Data'!$C$3:$C$3390,$A800)&gt;0,1,0)</f>
        <v>0</v>
      </c>
      <c r="M800">
        <f>IF(COUNTIFS('United Data'!$A$3:$A$3390,M$1,'United Data'!$C$3:$C$3390,$A800)&gt;0,1,0)</f>
        <v>0</v>
      </c>
      <c r="N800">
        <f>IF(COUNTIFS('United Data'!$A$3:$A$3390,N$1,'United Data'!$C$3:$C$3390,$A800)&gt;0,1,0)</f>
        <v>0</v>
      </c>
      <c r="O800">
        <f>IF(COUNTIFS('United Data'!$A$3:$A$3390,O$1,'United Data'!$C$3:$C$3390,$A800)&gt;0,1,0)</f>
        <v>0</v>
      </c>
      <c r="P800">
        <f>IF(COUNTIFS('United Data'!$A$3:$A$3390,P$1,'United Data'!$C$3:$C$3390,$A800)&gt;0,1,0)</f>
        <v>1</v>
      </c>
      <c r="Q800">
        <f>IF(COUNTIFS('United Data'!$A$3:$A$3390,Q$1,'United Data'!$C$3:$C$3390,$A800)&gt;0,1,0)</f>
        <v>0</v>
      </c>
      <c r="R800">
        <f>IF(COUNTIFS('United Data'!$A$3:$A$3390,R$1,'United Data'!$C$3:$C$3390,$A800)&gt;0,1,0)</f>
        <v>0</v>
      </c>
      <c r="S800">
        <f t="shared" si="24"/>
        <v>1</v>
      </c>
      <c r="T800">
        <f t="shared" si="25"/>
        <v>1</v>
      </c>
    </row>
    <row r="801" spans="1:20" x14ac:dyDescent="0.2">
      <c r="A801" t="s">
        <v>956</v>
      </c>
      <c r="B801">
        <f>IF(COUNTIFS('United Data'!$A$3:$A$3390,B$1,'United Data'!$C$3:$C$3390,$A801)&gt;0,1,0)</f>
        <v>0</v>
      </c>
      <c r="C801">
        <f>IF(COUNTIFS('United Data'!$A$3:$A$3390,C$1,'United Data'!$C$3:$C$3390,$A801)&gt;0,1,0)</f>
        <v>0</v>
      </c>
      <c r="D801">
        <f>IF(COUNTIFS('United Data'!$A$3:$A$3390,D$1,'United Data'!$C$3:$C$3390,$A801)&gt;0,1,0)</f>
        <v>0</v>
      </c>
      <c r="E801">
        <f>IF(COUNTIFS('United Data'!$A$3:$A$3390,E$1,'United Data'!$C$3:$C$3390,$A801)&gt;0,1,0)</f>
        <v>0</v>
      </c>
      <c r="F801">
        <f>IF(COUNTIFS('United Data'!$A$3:$A$3390,F$1,'United Data'!$C$3:$C$3390,$A801)&gt;0,1,0)</f>
        <v>0</v>
      </c>
      <c r="G801">
        <f>IF(COUNTIFS('United Data'!$A$3:$A$3390,G$1,'United Data'!$C$3:$C$3390,$A801)&gt;0,1,0)</f>
        <v>0</v>
      </c>
      <c r="H801">
        <f>IF(COUNTIFS('United Data'!$A$3:$A$3390,H$1,'United Data'!$C$3:$C$3390,$A801)&gt;0,1,0)</f>
        <v>0</v>
      </c>
      <c r="I801">
        <f>IF(COUNTIFS('United Data'!$A$3:$A$3390,I$1,'United Data'!$C$3:$C$3390,$A801)&gt;0,1,0)</f>
        <v>0</v>
      </c>
      <c r="J801">
        <f>IF(COUNTIFS('United Data'!$A$3:$A$3390,J$1,'United Data'!$C$3:$C$3390,$A801)&gt;0,1,0)</f>
        <v>0</v>
      </c>
      <c r="K801">
        <f>IF(COUNTIFS('United Data'!$A$3:$A$3390,K$1,'United Data'!$C$3:$C$3390,$A801)&gt;0,1,0)</f>
        <v>0</v>
      </c>
      <c r="L801">
        <f>IF(COUNTIFS('United Data'!$A$3:$A$3390,L$1,'United Data'!$C$3:$C$3390,$A801)&gt;0,1,0)</f>
        <v>0</v>
      </c>
      <c r="M801">
        <f>IF(COUNTIFS('United Data'!$A$3:$A$3390,M$1,'United Data'!$C$3:$C$3390,$A801)&gt;0,1,0)</f>
        <v>0</v>
      </c>
      <c r="N801">
        <f>IF(COUNTIFS('United Data'!$A$3:$A$3390,N$1,'United Data'!$C$3:$C$3390,$A801)&gt;0,1,0)</f>
        <v>0</v>
      </c>
      <c r="O801">
        <f>IF(COUNTIFS('United Data'!$A$3:$A$3390,O$1,'United Data'!$C$3:$C$3390,$A801)&gt;0,1,0)</f>
        <v>0</v>
      </c>
      <c r="P801">
        <f>IF(COUNTIFS('United Data'!$A$3:$A$3390,P$1,'United Data'!$C$3:$C$3390,$A801)&gt;0,1,0)</f>
        <v>0</v>
      </c>
      <c r="Q801">
        <f>IF(COUNTIFS('United Data'!$A$3:$A$3390,Q$1,'United Data'!$C$3:$C$3390,$A801)&gt;0,1,0)</f>
        <v>1</v>
      </c>
      <c r="R801">
        <f>IF(COUNTIFS('United Data'!$A$3:$A$3390,R$1,'United Data'!$C$3:$C$3390,$A801)&gt;0,1,0)</f>
        <v>0</v>
      </c>
      <c r="S801">
        <f t="shared" si="24"/>
        <v>1</v>
      </c>
      <c r="T801">
        <f t="shared" si="25"/>
        <v>1</v>
      </c>
    </row>
    <row r="802" spans="1:20" x14ac:dyDescent="0.2">
      <c r="A802" t="s">
        <v>957</v>
      </c>
      <c r="B802">
        <f>IF(COUNTIFS('United Data'!$A$3:$A$3390,B$1,'United Data'!$C$3:$C$3390,$A802)&gt;0,1,0)</f>
        <v>0</v>
      </c>
      <c r="C802">
        <f>IF(COUNTIFS('United Data'!$A$3:$A$3390,C$1,'United Data'!$C$3:$C$3390,$A802)&gt;0,1,0)</f>
        <v>0</v>
      </c>
      <c r="D802">
        <f>IF(COUNTIFS('United Data'!$A$3:$A$3390,D$1,'United Data'!$C$3:$C$3390,$A802)&gt;0,1,0)</f>
        <v>0</v>
      </c>
      <c r="E802">
        <f>IF(COUNTIFS('United Data'!$A$3:$A$3390,E$1,'United Data'!$C$3:$C$3390,$A802)&gt;0,1,0)</f>
        <v>0</v>
      </c>
      <c r="F802">
        <f>IF(COUNTIFS('United Data'!$A$3:$A$3390,F$1,'United Data'!$C$3:$C$3390,$A802)&gt;0,1,0)</f>
        <v>0</v>
      </c>
      <c r="G802">
        <f>IF(COUNTIFS('United Data'!$A$3:$A$3390,G$1,'United Data'!$C$3:$C$3390,$A802)&gt;0,1,0)</f>
        <v>0</v>
      </c>
      <c r="H802">
        <f>IF(COUNTIFS('United Data'!$A$3:$A$3390,H$1,'United Data'!$C$3:$C$3390,$A802)&gt;0,1,0)</f>
        <v>0</v>
      </c>
      <c r="I802">
        <f>IF(COUNTIFS('United Data'!$A$3:$A$3390,I$1,'United Data'!$C$3:$C$3390,$A802)&gt;0,1,0)</f>
        <v>0</v>
      </c>
      <c r="J802">
        <f>IF(COUNTIFS('United Data'!$A$3:$A$3390,J$1,'United Data'!$C$3:$C$3390,$A802)&gt;0,1,0)</f>
        <v>0</v>
      </c>
      <c r="K802">
        <f>IF(COUNTIFS('United Data'!$A$3:$A$3390,K$1,'United Data'!$C$3:$C$3390,$A802)&gt;0,1,0)</f>
        <v>0</v>
      </c>
      <c r="L802">
        <f>IF(COUNTIFS('United Data'!$A$3:$A$3390,L$1,'United Data'!$C$3:$C$3390,$A802)&gt;0,1,0)</f>
        <v>0</v>
      </c>
      <c r="M802">
        <f>IF(COUNTIFS('United Data'!$A$3:$A$3390,M$1,'United Data'!$C$3:$C$3390,$A802)&gt;0,1,0)</f>
        <v>0</v>
      </c>
      <c r="N802">
        <f>IF(COUNTIFS('United Data'!$A$3:$A$3390,N$1,'United Data'!$C$3:$C$3390,$A802)&gt;0,1,0)</f>
        <v>0</v>
      </c>
      <c r="O802">
        <f>IF(COUNTIFS('United Data'!$A$3:$A$3390,O$1,'United Data'!$C$3:$C$3390,$A802)&gt;0,1,0)</f>
        <v>0</v>
      </c>
      <c r="P802">
        <f>IF(COUNTIFS('United Data'!$A$3:$A$3390,P$1,'United Data'!$C$3:$C$3390,$A802)&gt;0,1,0)</f>
        <v>0</v>
      </c>
      <c r="Q802">
        <f>IF(COUNTIFS('United Data'!$A$3:$A$3390,Q$1,'United Data'!$C$3:$C$3390,$A802)&gt;0,1,0)</f>
        <v>1</v>
      </c>
      <c r="R802">
        <f>IF(COUNTIFS('United Data'!$A$3:$A$3390,R$1,'United Data'!$C$3:$C$3390,$A802)&gt;0,1,0)</f>
        <v>1</v>
      </c>
      <c r="S802">
        <f t="shared" si="24"/>
        <v>2</v>
      </c>
      <c r="T802">
        <f t="shared" si="25"/>
        <v>1</v>
      </c>
    </row>
    <row r="803" spans="1:20" x14ac:dyDescent="0.2">
      <c r="A803" t="s">
        <v>958</v>
      </c>
      <c r="B803">
        <f>IF(COUNTIFS('United Data'!$A$3:$A$3390,B$1,'United Data'!$C$3:$C$3390,$A803)&gt;0,1,0)</f>
        <v>0</v>
      </c>
      <c r="C803">
        <f>IF(COUNTIFS('United Data'!$A$3:$A$3390,C$1,'United Data'!$C$3:$C$3390,$A803)&gt;0,1,0)</f>
        <v>0</v>
      </c>
      <c r="D803">
        <f>IF(COUNTIFS('United Data'!$A$3:$A$3390,D$1,'United Data'!$C$3:$C$3390,$A803)&gt;0,1,0)</f>
        <v>0</v>
      </c>
      <c r="E803">
        <f>IF(COUNTIFS('United Data'!$A$3:$A$3390,E$1,'United Data'!$C$3:$C$3390,$A803)&gt;0,1,0)</f>
        <v>0</v>
      </c>
      <c r="F803">
        <f>IF(COUNTIFS('United Data'!$A$3:$A$3390,F$1,'United Data'!$C$3:$C$3390,$A803)&gt;0,1,0)</f>
        <v>0</v>
      </c>
      <c r="G803">
        <f>IF(COUNTIFS('United Data'!$A$3:$A$3390,G$1,'United Data'!$C$3:$C$3390,$A803)&gt;0,1,0)</f>
        <v>0</v>
      </c>
      <c r="H803">
        <f>IF(COUNTIFS('United Data'!$A$3:$A$3390,H$1,'United Data'!$C$3:$C$3390,$A803)&gt;0,1,0)</f>
        <v>0</v>
      </c>
      <c r="I803">
        <f>IF(COUNTIFS('United Data'!$A$3:$A$3390,I$1,'United Data'!$C$3:$C$3390,$A803)&gt;0,1,0)</f>
        <v>0</v>
      </c>
      <c r="J803">
        <f>IF(COUNTIFS('United Data'!$A$3:$A$3390,J$1,'United Data'!$C$3:$C$3390,$A803)&gt;0,1,0)</f>
        <v>0</v>
      </c>
      <c r="K803">
        <f>IF(COUNTIFS('United Data'!$A$3:$A$3390,K$1,'United Data'!$C$3:$C$3390,$A803)&gt;0,1,0)</f>
        <v>0</v>
      </c>
      <c r="L803">
        <f>IF(COUNTIFS('United Data'!$A$3:$A$3390,L$1,'United Data'!$C$3:$C$3390,$A803)&gt;0,1,0)</f>
        <v>0</v>
      </c>
      <c r="M803">
        <f>IF(COUNTIFS('United Data'!$A$3:$A$3390,M$1,'United Data'!$C$3:$C$3390,$A803)&gt;0,1,0)</f>
        <v>0</v>
      </c>
      <c r="N803">
        <f>IF(COUNTIFS('United Data'!$A$3:$A$3390,N$1,'United Data'!$C$3:$C$3390,$A803)&gt;0,1,0)</f>
        <v>0</v>
      </c>
      <c r="O803">
        <f>IF(COUNTIFS('United Data'!$A$3:$A$3390,O$1,'United Data'!$C$3:$C$3390,$A803)&gt;0,1,0)</f>
        <v>0</v>
      </c>
      <c r="P803">
        <f>IF(COUNTIFS('United Data'!$A$3:$A$3390,P$1,'United Data'!$C$3:$C$3390,$A803)&gt;0,1,0)</f>
        <v>0</v>
      </c>
      <c r="Q803">
        <f>IF(COUNTIFS('United Data'!$A$3:$A$3390,Q$1,'United Data'!$C$3:$C$3390,$A803)&gt;0,1,0)</f>
        <v>1</v>
      </c>
      <c r="R803">
        <f>IF(COUNTIFS('United Data'!$A$3:$A$3390,R$1,'United Data'!$C$3:$C$3390,$A803)&gt;0,1,0)</f>
        <v>0</v>
      </c>
      <c r="S803">
        <f t="shared" si="24"/>
        <v>1</v>
      </c>
      <c r="T803">
        <f t="shared" si="25"/>
        <v>1</v>
      </c>
    </row>
    <row r="804" spans="1:20" x14ac:dyDescent="0.2">
      <c r="A804" t="s">
        <v>959</v>
      </c>
      <c r="B804">
        <f>IF(COUNTIFS('United Data'!$A$3:$A$3390,B$1,'United Data'!$C$3:$C$3390,$A804)&gt;0,1,0)</f>
        <v>0</v>
      </c>
      <c r="C804">
        <f>IF(COUNTIFS('United Data'!$A$3:$A$3390,C$1,'United Data'!$C$3:$C$3390,$A804)&gt;0,1,0)</f>
        <v>0</v>
      </c>
      <c r="D804">
        <f>IF(COUNTIFS('United Data'!$A$3:$A$3390,D$1,'United Data'!$C$3:$C$3390,$A804)&gt;0,1,0)</f>
        <v>0</v>
      </c>
      <c r="E804">
        <f>IF(COUNTIFS('United Data'!$A$3:$A$3390,E$1,'United Data'!$C$3:$C$3390,$A804)&gt;0,1,0)</f>
        <v>0</v>
      </c>
      <c r="F804">
        <f>IF(COUNTIFS('United Data'!$A$3:$A$3390,F$1,'United Data'!$C$3:$C$3390,$A804)&gt;0,1,0)</f>
        <v>0</v>
      </c>
      <c r="G804">
        <f>IF(COUNTIFS('United Data'!$A$3:$A$3390,G$1,'United Data'!$C$3:$C$3390,$A804)&gt;0,1,0)</f>
        <v>0</v>
      </c>
      <c r="H804">
        <f>IF(COUNTIFS('United Data'!$A$3:$A$3390,H$1,'United Data'!$C$3:$C$3390,$A804)&gt;0,1,0)</f>
        <v>0</v>
      </c>
      <c r="I804">
        <f>IF(COUNTIFS('United Data'!$A$3:$A$3390,I$1,'United Data'!$C$3:$C$3390,$A804)&gt;0,1,0)</f>
        <v>0</v>
      </c>
      <c r="J804">
        <f>IF(COUNTIFS('United Data'!$A$3:$A$3390,J$1,'United Data'!$C$3:$C$3390,$A804)&gt;0,1,0)</f>
        <v>0</v>
      </c>
      <c r="K804">
        <f>IF(COUNTIFS('United Data'!$A$3:$A$3390,K$1,'United Data'!$C$3:$C$3390,$A804)&gt;0,1,0)</f>
        <v>0</v>
      </c>
      <c r="L804">
        <f>IF(COUNTIFS('United Data'!$A$3:$A$3390,L$1,'United Data'!$C$3:$C$3390,$A804)&gt;0,1,0)</f>
        <v>0</v>
      </c>
      <c r="M804">
        <f>IF(COUNTIFS('United Data'!$A$3:$A$3390,M$1,'United Data'!$C$3:$C$3390,$A804)&gt;0,1,0)</f>
        <v>0</v>
      </c>
      <c r="N804">
        <f>IF(COUNTIFS('United Data'!$A$3:$A$3390,N$1,'United Data'!$C$3:$C$3390,$A804)&gt;0,1,0)</f>
        <v>0</v>
      </c>
      <c r="O804">
        <f>IF(COUNTIFS('United Data'!$A$3:$A$3390,O$1,'United Data'!$C$3:$C$3390,$A804)&gt;0,1,0)</f>
        <v>0</v>
      </c>
      <c r="P804">
        <f>IF(COUNTIFS('United Data'!$A$3:$A$3390,P$1,'United Data'!$C$3:$C$3390,$A804)&gt;0,1,0)</f>
        <v>0</v>
      </c>
      <c r="Q804">
        <f>IF(COUNTIFS('United Data'!$A$3:$A$3390,Q$1,'United Data'!$C$3:$C$3390,$A804)&gt;0,1,0)</f>
        <v>0</v>
      </c>
      <c r="R804">
        <f>IF(COUNTIFS('United Data'!$A$3:$A$3390,R$1,'United Data'!$C$3:$C$3390,$A804)&gt;0,1,0)</f>
        <v>1</v>
      </c>
      <c r="S804">
        <f t="shared" si="24"/>
        <v>1</v>
      </c>
      <c r="T804">
        <f t="shared" si="25"/>
        <v>1</v>
      </c>
    </row>
    <row r="805" spans="1:20" x14ac:dyDescent="0.2">
      <c r="A805" t="s">
        <v>960</v>
      </c>
      <c r="B805">
        <f>IF(COUNTIFS('United Data'!$A$3:$A$3390,B$1,'United Data'!$C$3:$C$3390,$A805)&gt;0,1,0)</f>
        <v>1</v>
      </c>
      <c r="C805">
        <f>IF(COUNTIFS('United Data'!$A$3:$A$3390,C$1,'United Data'!$C$3:$C$3390,$A805)&gt;0,1,0)</f>
        <v>0</v>
      </c>
      <c r="D805">
        <f>IF(COUNTIFS('United Data'!$A$3:$A$3390,D$1,'United Data'!$C$3:$C$3390,$A805)&gt;0,1,0)</f>
        <v>0</v>
      </c>
      <c r="E805">
        <f>IF(COUNTIFS('United Data'!$A$3:$A$3390,E$1,'United Data'!$C$3:$C$3390,$A805)&gt;0,1,0)</f>
        <v>0</v>
      </c>
      <c r="F805">
        <f>IF(COUNTIFS('United Data'!$A$3:$A$3390,F$1,'United Data'!$C$3:$C$3390,$A805)&gt;0,1,0)</f>
        <v>0</v>
      </c>
      <c r="G805">
        <f>IF(COUNTIFS('United Data'!$A$3:$A$3390,G$1,'United Data'!$C$3:$C$3390,$A805)&gt;0,1,0)</f>
        <v>0</v>
      </c>
      <c r="H805">
        <f>IF(COUNTIFS('United Data'!$A$3:$A$3390,H$1,'United Data'!$C$3:$C$3390,$A805)&gt;0,1,0)</f>
        <v>0</v>
      </c>
      <c r="I805">
        <f>IF(COUNTIFS('United Data'!$A$3:$A$3390,I$1,'United Data'!$C$3:$C$3390,$A805)&gt;0,1,0)</f>
        <v>0</v>
      </c>
      <c r="J805">
        <f>IF(COUNTIFS('United Data'!$A$3:$A$3390,J$1,'United Data'!$C$3:$C$3390,$A805)&gt;0,1,0)</f>
        <v>0</v>
      </c>
      <c r="K805">
        <f>IF(COUNTIFS('United Data'!$A$3:$A$3390,K$1,'United Data'!$C$3:$C$3390,$A805)&gt;0,1,0)</f>
        <v>0</v>
      </c>
      <c r="L805">
        <f>IF(COUNTIFS('United Data'!$A$3:$A$3390,L$1,'United Data'!$C$3:$C$3390,$A805)&gt;0,1,0)</f>
        <v>0</v>
      </c>
      <c r="M805">
        <f>IF(COUNTIFS('United Data'!$A$3:$A$3390,M$1,'United Data'!$C$3:$C$3390,$A805)&gt;0,1,0)</f>
        <v>0</v>
      </c>
      <c r="N805">
        <f>IF(COUNTIFS('United Data'!$A$3:$A$3390,N$1,'United Data'!$C$3:$C$3390,$A805)&gt;0,1,0)</f>
        <v>0</v>
      </c>
      <c r="O805">
        <f>IF(COUNTIFS('United Data'!$A$3:$A$3390,O$1,'United Data'!$C$3:$C$3390,$A805)&gt;0,1,0)</f>
        <v>0</v>
      </c>
      <c r="P805">
        <f>IF(COUNTIFS('United Data'!$A$3:$A$3390,P$1,'United Data'!$C$3:$C$3390,$A805)&gt;0,1,0)</f>
        <v>0</v>
      </c>
      <c r="Q805">
        <f>IF(COUNTIFS('United Data'!$A$3:$A$3390,Q$1,'United Data'!$C$3:$C$3390,$A805)&gt;0,1,0)</f>
        <v>0</v>
      </c>
      <c r="R805">
        <f>IF(COUNTIFS('United Data'!$A$3:$A$3390,R$1,'United Data'!$C$3:$C$3390,$A805)&gt;0,1,0)</f>
        <v>0</v>
      </c>
      <c r="S805">
        <f t="shared" si="24"/>
        <v>1</v>
      </c>
      <c r="T805">
        <f t="shared" si="25"/>
        <v>1</v>
      </c>
    </row>
    <row r="806" spans="1:20" x14ac:dyDescent="0.2">
      <c r="A806" t="s">
        <v>961</v>
      </c>
      <c r="B806">
        <f>IF(COUNTIFS('United Data'!$A$3:$A$3390,B$1,'United Data'!$C$3:$C$3390,$A806)&gt;0,1,0)</f>
        <v>1</v>
      </c>
      <c r="C806">
        <f>IF(COUNTIFS('United Data'!$A$3:$A$3390,C$1,'United Data'!$C$3:$C$3390,$A806)&gt;0,1,0)</f>
        <v>0</v>
      </c>
      <c r="D806">
        <f>IF(COUNTIFS('United Data'!$A$3:$A$3390,D$1,'United Data'!$C$3:$C$3390,$A806)&gt;0,1,0)</f>
        <v>0</v>
      </c>
      <c r="E806">
        <f>IF(COUNTIFS('United Data'!$A$3:$A$3390,E$1,'United Data'!$C$3:$C$3390,$A806)&gt;0,1,0)</f>
        <v>0</v>
      </c>
      <c r="F806">
        <f>IF(COUNTIFS('United Data'!$A$3:$A$3390,F$1,'United Data'!$C$3:$C$3390,$A806)&gt;0,1,0)</f>
        <v>0</v>
      </c>
      <c r="G806">
        <f>IF(COUNTIFS('United Data'!$A$3:$A$3390,G$1,'United Data'!$C$3:$C$3390,$A806)&gt;0,1,0)</f>
        <v>0</v>
      </c>
      <c r="H806">
        <f>IF(COUNTIFS('United Data'!$A$3:$A$3390,H$1,'United Data'!$C$3:$C$3390,$A806)&gt;0,1,0)</f>
        <v>0</v>
      </c>
      <c r="I806">
        <f>IF(COUNTIFS('United Data'!$A$3:$A$3390,I$1,'United Data'!$C$3:$C$3390,$A806)&gt;0,1,0)</f>
        <v>0</v>
      </c>
      <c r="J806">
        <f>IF(COUNTIFS('United Data'!$A$3:$A$3390,J$1,'United Data'!$C$3:$C$3390,$A806)&gt;0,1,0)</f>
        <v>0</v>
      </c>
      <c r="K806">
        <f>IF(COUNTIFS('United Data'!$A$3:$A$3390,K$1,'United Data'!$C$3:$C$3390,$A806)&gt;0,1,0)</f>
        <v>0</v>
      </c>
      <c r="L806">
        <f>IF(COUNTIFS('United Data'!$A$3:$A$3390,L$1,'United Data'!$C$3:$C$3390,$A806)&gt;0,1,0)</f>
        <v>0</v>
      </c>
      <c r="M806">
        <f>IF(COUNTIFS('United Data'!$A$3:$A$3390,M$1,'United Data'!$C$3:$C$3390,$A806)&gt;0,1,0)</f>
        <v>0</v>
      </c>
      <c r="N806">
        <f>IF(COUNTIFS('United Data'!$A$3:$A$3390,N$1,'United Data'!$C$3:$C$3390,$A806)&gt;0,1,0)</f>
        <v>0</v>
      </c>
      <c r="O806">
        <f>IF(COUNTIFS('United Data'!$A$3:$A$3390,O$1,'United Data'!$C$3:$C$3390,$A806)&gt;0,1,0)</f>
        <v>0</v>
      </c>
      <c r="P806">
        <f>IF(COUNTIFS('United Data'!$A$3:$A$3390,P$1,'United Data'!$C$3:$C$3390,$A806)&gt;0,1,0)</f>
        <v>0</v>
      </c>
      <c r="Q806">
        <f>IF(COUNTIFS('United Data'!$A$3:$A$3390,Q$1,'United Data'!$C$3:$C$3390,$A806)&gt;0,1,0)</f>
        <v>0</v>
      </c>
      <c r="R806">
        <f>IF(COUNTIFS('United Data'!$A$3:$A$3390,R$1,'United Data'!$C$3:$C$3390,$A806)&gt;0,1,0)</f>
        <v>0</v>
      </c>
      <c r="S806">
        <f t="shared" si="24"/>
        <v>1</v>
      </c>
      <c r="T806">
        <f t="shared" si="25"/>
        <v>1</v>
      </c>
    </row>
    <row r="807" spans="1:20" x14ac:dyDescent="0.2">
      <c r="A807" t="s">
        <v>962</v>
      </c>
      <c r="B807">
        <f>IF(COUNTIFS('United Data'!$A$3:$A$3390,B$1,'United Data'!$C$3:$C$3390,$A807)&gt;0,1,0)</f>
        <v>1</v>
      </c>
      <c r="C807">
        <f>IF(COUNTIFS('United Data'!$A$3:$A$3390,C$1,'United Data'!$C$3:$C$3390,$A807)&gt;0,1,0)</f>
        <v>0</v>
      </c>
      <c r="D807">
        <f>IF(COUNTIFS('United Data'!$A$3:$A$3390,D$1,'United Data'!$C$3:$C$3390,$A807)&gt;0,1,0)</f>
        <v>0</v>
      </c>
      <c r="E807">
        <f>IF(COUNTIFS('United Data'!$A$3:$A$3390,E$1,'United Data'!$C$3:$C$3390,$A807)&gt;0,1,0)</f>
        <v>0</v>
      </c>
      <c r="F807">
        <f>IF(COUNTIFS('United Data'!$A$3:$A$3390,F$1,'United Data'!$C$3:$C$3390,$A807)&gt;0,1,0)</f>
        <v>0</v>
      </c>
      <c r="G807">
        <f>IF(COUNTIFS('United Data'!$A$3:$A$3390,G$1,'United Data'!$C$3:$C$3390,$A807)&gt;0,1,0)</f>
        <v>0</v>
      </c>
      <c r="H807">
        <f>IF(COUNTIFS('United Data'!$A$3:$A$3390,H$1,'United Data'!$C$3:$C$3390,$A807)&gt;0,1,0)</f>
        <v>0</v>
      </c>
      <c r="I807">
        <f>IF(COUNTIFS('United Data'!$A$3:$A$3390,I$1,'United Data'!$C$3:$C$3390,$A807)&gt;0,1,0)</f>
        <v>0</v>
      </c>
      <c r="J807">
        <f>IF(COUNTIFS('United Data'!$A$3:$A$3390,J$1,'United Data'!$C$3:$C$3390,$A807)&gt;0,1,0)</f>
        <v>0</v>
      </c>
      <c r="K807">
        <f>IF(COUNTIFS('United Data'!$A$3:$A$3390,K$1,'United Data'!$C$3:$C$3390,$A807)&gt;0,1,0)</f>
        <v>0</v>
      </c>
      <c r="L807">
        <f>IF(COUNTIFS('United Data'!$A$3:$A$3390,L$1,'United Data'!$C$3:$C$3390,$A807)&gt;0,1,0)</f>
        <v>0</v>
      </c>
      <c r="M807">
        <f>IF(COUNTIFS('United Data'!$A$3:$A$3390,M$1,'United Data'!$C$3:$C$3390,$A807)&gt;0,1,0)</f>
        <v>0</v>
      </c>
      <c r="N807">
        <f>IF(COUNTIFS('United Data'!$A$3:$A$3390,N$1,'United Data'!$C$3:$C$3390,$A807)&gt;0,1,0)</f>
        <v>0</v>
      </c>
      <c r="O807">
        <f>IF(COUNTIFS('United Data'!$A$3:$A$3390,O$1,'United Data'!$C$3:$C$3390,$A807)&gt;0,1,0)</f>
        <v>0</v>
      </c>
      <c r="P807">
        <f>IF(COUNTIFS('United Data'!$A$3:$A$3390,P$1,'United Data'!$C$3:$C$3390,$A807)&gt;0,1,0)</f>
        <v>0</v>
      </c>
      <c r="Q807">
        <f>IF(COUNTIFS('United Data'!$A$3:$A$3390,Q$1,'United Data'!$C$3:$C$3390,$A807)&gt;0,1,0)</f>
        <v>0</v>
      </c>
      <c r="R807">
        <f>IF(COUNTIFS('United Data'!$A$3:$A$3390,R$1,'United Data'!$C$3:$C$3390,$A807)&gt;0,1,0)</f>
        <v>0</v>
      </c>
      <c r="S807">
        <f t="shared" si="24"/>
        <v>1</v>
      </c>
      <c r="T807">
        <f t="shared" si="25"/>
        <v>1</v>
      </c>
    </row>
    <row r="808" spans="1:20" x14ac:dyDescent="0.2">
      <c r="A808" t="s">
        <v>963</v>
      </c>
      <c r="B808">
        <f>IF(COUNTIFS('United Data'!$A$3:$A$3390,B$1,'United Data'!$C$3:$C$3390,$A808)&gt;0,1,0)</f>
        <v>0</v>
      </c>
      <c r="C808">
        <f>IF(COUNTIFS('United Data'!$A$3:$A$3390,C$1,'United Data'!$C$3:$C$3390,$A808)&gt;0,1,0)</f>
        <v>1</v>
      </c>
      <c r="D808">
        <f>IF(COUNTIFS('United Data'!$A$3:$A$3390,D$1,'United Data'!$C$3:$C$3390,$A808)&gt;0,1,0)</f>
        <v>0</v>
      </c>
      <c r="E808">
        <f>IF(COUNTIFS('United Data'!$A$3:$A$3390,E$1,'United Data'!$C$3:$C$3390,$A808)&gt;0,1,0)</f>
        <v>0</v>
      </c>
      <c r="F808">
        <f>IF(COUNTIFS('United Data'!$A$3:$A$3390,F$1,'United Data'!$C$3:$C$3390,$A808)&gt;0,1,0)</f>
        <v>0</v>
      </c>
      <c r="G808">
        <f>IF(COUNTIFS('United Data'!$A$3:$A$3390,G$1,'United Data'!$C$3:$C$3390,$A808)&gt;0,1,0)</f>
        <v>0</v>
      </c>
      <c r="H808">
        <f>IF(COUNTIFS('United Data'!$A$3:$A$3390,H$1,'United Data'!$C$3:$C$3390,$A808)&gt;0,1,0)</f>
        <v>0</v>
      </c>
      <c r="I808">
        <f>IF(COUNTIFS('United Data'!$A$3:$A$3390,I$1,'United Data'!$C$3:$C$3390,$A808)&gt;0,1,0)</f>
        <v>0</v>
      </c>
      <c r="J808">
        <f>IF(COUNTIFS('United Data'!$A$3:$A$3390,J$1,'United Data'!$C$3:$C$3390,$A808)&gt;0,1,0)</f>
        <v>0</v>
      </c>
      <c r="K808">
        <f>IF(COUNTIFS('United Data'!$A$3:$A$3390,K$1,'United Data'!$C$3:$C$3390,$A808)&gt;0,1,0)</f>
        <v>0</v>
      </c>
      <c r="L808">
        <f>IF(COUNTIFS('United Data'!$A$3:$A$3390,L$1,'United Data'!$C$3:$C$3390,$A808)&gt;0,1,0)</f>
        <v>0</v>
      </c>
      <c r="M808">
        <f>IF(COUNTIFS('United Data'!$A$3:$A$3390,M$1,'United Data'!$C$3:$C$3390,$A808)&gt;0,1,0)</f>
        <v>0</v>
      </c>
      <c r="N808">
        <f>IF(COUNTIFS('United Data'!$A$3:$A$3390,N$1,'United Data'!$C$3:$C$3390,$A808)&gt;0,1,0)</f>
        <v>0</v>
      </c>
      <c r="O808">
        <f>IF(COUNTIFS('United Data'!$A$3:$A$3390,O$1,'United Data'!$C$3:$C$3390,$A808)&gt;0,1,0)</f>
        <v>0</v>
      </c>
      <c r="P808">
        <f>IF(COUNTIFS('United Data'!$A$3:$A$3390,P$1,'United Data'!$C$3:$C$3390,$A808)&gt;0,1,0)</f>
        <v>0</v>
      </c>
      <c r="Q808">
        <f>IF(COUNTIFS('United Data'!$A$3:$A$3390,Q$1,'United Data'!$C$3:$C$3390,$A808)&gt;0,1,0)</f>
        <v>0</v>
      </c>
      <c r="R808">
        <f>IF(COUNTIFS('United Data'!$A$3:$A$3390,R$1,'United Data'!$C$3:$C$3390,$A808)&gt;0,1,0)</f>
        <v>0</v>
      </c>
      <c r="S808">
        <f t="shared" si="24"/>
        <v>1</v>
      </c>
      <c r="T808">
        <f t="shared" si="25"/>
        <v>1</v>
      </c>
    </row>
    <row r="809" spans="1:20" x14ac:dyDescent="0.2">
      <c r="A809" t="s">
        <v>964</v>
      </c>
      <c r="B809">
        <f>IF(COUNTIFS('United Data'!$A$3:$A$3390,B$1,'United Data'!$C$3:$C$3390,$A809)&gt;0,1,0)</f>
        <v>0</v>
      </c>
      <c r="C809">
        <f>IF(COUNTIFS('United Data'!$A$3:$A$3390,C$1,'United Data'!$C$3:$C$3390,$A809)&gt;0,1,0)</f>
        <v>1</v>
      </c>
      <c r="D809">
        <f>IF(COUNTIFS('United Data'!$A$3:$A$3390,D$1,'United Data'!$C$3:$C$3390,$A809)&gt;0,1,0)</f>
        <v>0</v>
      </c>
      <c r="E809">
        <f>IF(COUNTIFS('United Data'!$A$3:$A$3390,E$1,'United Data'!$C$3:$C$3390,$A809)&gt;0,1,0)</f>
        <v>0</v>
      </c>
      <c r="F809">
        <f>IF(COUNTIFS('United Data'!$A$3:$A$3390,F$1,'United Data'!$C$3:$C$3390,$A809)&gt;0,1,0)</f>
        <v>0</v>
      </c>
      <c r="G809">
        <f>IF(COUNTIFS('United Data'!$A$3:$A$3390,G$1,'United Data'!$C$3:$C$3390,$A809)&gt;0,1,0)</f>
        <v>0</v>
      </c>
      <c r="H809">
        <f>IF(COUNTIFS('United Data'!$A$3:$A$3390,H$1,'United Data'!$C$3:$C$3390,$A809)&gt;0,1,0)</f>
        <v>0</v>
      </c>
      <c r="I809">
        <f>IF(COUNTIFS('United Data'!$A$3:$A$3390,I$1,'United Data'!$C$3:$C$3390,$A809)&gt;0,1,0)</f>
        <v>0</v>
      </c>
      <c r="J809">
        <f>IF(COUNTIFS('United Data'!$A$3:$A$3390,J$1,'United Data'!$C$3:$C$3390,$A809)&gt;0,1,0)</f>
        <v>0</v>
      </c>
      <c r="K809">
        <f>IF(COUNTIFS('United Data'!$A$3:$A$3390,K$1,'United Data'!$C$3:$C$3390,$A809)&gt;0,1,0)</f>
        <v>0</v>
      </c>
      <c r="L809">
        <f>IF(COUNTIFS('United Data'!$A$3:$A$3390,L$1,'United Data'!$C$3:$C$3390,$A809)&gt;0,1,0)</f>
        <v>0</v>
      </c>
      <c r="M809">
        <f>IF(COUNTIFS('United Data'!$A$3:$A$3390,M$1,'United Data'!$C$3:$C$3390,$A809)&gt;0,1,0)</f>
        <v>0</v>
      </c>
      <c r="N809">
        <f>IF(COUNTIFS('United Data'!$A$3:$A$3390,N$1,'United Data'!$C$3:$C$3390,$A809)&gt;0,1,0)</f>
        <v>0</v>
      </c>
      <c r="O809">
        <f>IF(COUNTIFS('United Data'!$A$3:$A$3390,O$1,'United Data'!$C$3:$C$3390,$A809)&gt;0,1,0)</f>
        <v>0</v>
      </c>
      <c r="P809">
        <f>IF(COUNTIFS('United Data'!$A$3:$A$3390,P$1,'United Data'!$C$3:$C$3390,$A809)&gt;0,1,0)</f>
        <v>0</v>
      </c>
      <c r="Q809">
        <f>IF(COUNTIFS('United Data'!$A$3:$A$3390,Q$1,'United Data'!$C$3:$C$3390,$A809)&gt;0,1,0)</f>
        <v>0</v>
      </c>
      <c r="R809">
        <f>IF(COUNTIFS('United Data'!$A$3:$A$3390,R$1,'United Data'!$C$3:$C$3390,$A809)&gt;0,1,0)</f>
        <v>0</v>
      </c>
      <c r="S809">
        <f t="shared" si="24"/>
        <v>1</v>
      </c>
      <c r="T809">
        <f t="shared" si="25"/>
        <v>1</v>
      </c>
    </row>
    <row r="810" spans="1:20" x14ac:dyDescent="0.2">
      <c r="A810" t="s">
        <v>965</v>
      </c>
      <c r="B810">
        <f>IF(COUNTIFS('United Data'!$A$3:$A$3390,B$1,'United Data'!$C$3:$C$3390,$A810)&gt;0,1,0)</f>
        <v>0</v>
      </c>
      <c r="C810">
        <f>IF(COUNTIFS('United Data'!$A$3:$A$3390,C$1,'United Data'!$C$3:$C$3390,$A810)&gt;0,1,0)</f>
        <v>1</v>
      </c>
      <c r="D810">
        <f>IF(COUNTIFS('United Data'!$A$3:$A$3390,D$1,'United Data'!$C$3:$C$3390,$A810)&gt;0,1,0)</f>
        <v>0</v>
      </c>
      <c r="E810">
        <f>IF(COUNTIFS('United Data'!$A$3:$A$3390,E$1,'United Data'!$C$3:$C$3390,$A810)&gt;0,1,0)</f>
        <v>0</v>
      </c>
      <c r="F810">
        <f>IF(COUNTIFS('United Data'!$A$3:$A$3390,F$1,'United Data'!$C$3:$C$3390,$A810)&gt;0,1,0)</f>
        <v>0</v>
      </c>
      <c r="G810">
        <f>IF(COUNTIFS('United Data'!$A$3:$A$3390,G$1,'United Data'!$C$3:$C$3390,$A810)&gt;0,1,0)</f>
        <v>0</v>
      </c>
      <c r="H810">
        <f>IF(COUNTIFS('United Data'!$A$3:$A$3390,H$1,'United Data'!$C$3:$C$3390,$A810)&gt;0,1,0)</f>
        <v>0</v>
      </c>
      <c r="I810">
        <f>IF(COUNTIFS('United Data'!$A$3:$A$3390,I$1,'United Data'!$C$3:$C$3390,$A810)&gt;0,1,0)</f>
        <v>0</v>
      </c>
      <c r="J810">
        <f>IF(COUNTIFS('United Data'!$A$3:$A$3390,J$1,'United Data'!$C$3:$C$3390,$A810)&gt;0,1,0)</f>
        <v>0</v>
      </c>
      <c r="K810">
        <f>IF(COUNTIFS('United Data'!$A$3:$A$3390,K$1,'United Data'!$C$3:$C$3390,$A810)&gt;0,1,0)</f>
        <v>0</v>
      </c>
      <c r="L810">
        <f>IF(COUNTIFS('United Data'!$A$3:$A$3390,L$1,'United Data'!$C$3:$C$3390,$A810)&gt;0,1,0)</f>
        <v>0</v>
      </c>
      <c r="M810">
        <f>IF(COUNTIFS('United Data'!$A$3:$A$3390,M$1,'United Data'!$C$3:$C$3390,$A810)&gt;0,1,0)</f>
        <v>0</v>
      </c>
      <c r="N810">
        <f>IF(COUNTIFS('United Data'!$A$3:$A$3390,N$1,'United Data'!$C$3:$C$3390,$A810)&gt;0,1,0)</f>
        <v>0</v>
      </c>
      <c r="O810">
        <f>IF(COUNTIFS('United Data'!$A$3:$A$3390,O$1,'United Data'!$C$3:$C$3390,$A810)&gt;0,1,0)</f>
        <v>0</v>
      </c>
      <c r="P810">
        <f>IF(COUNTIFS('United Data'!$A$3:$A$3390,P$1,'United Data'!$C$3:$C$3390,$A810)&gt;0,1,0)</f>
        <v>0</v>
      </c>
      <c r="Q810">
        <f>IF(COUNTIFS('United Data'!$A$3:$A$3390,Q$1,'United Data'!$C$3:$C$3390,$A810)&gt;0,1,0)</f>
        <v>0</v>
      </c>
      <c r="R810">
        <f>IF(COUNTIFS('United Data'!$A$3:$A$3390,R$1,'United Data'!$C$3:$C$3390,$A810)&gt;0,1,0)</f>
        <v>0</v>
      </c>
      <c r="S810">
        <f t="shared" si="24"/>
        <v>1</v>
      </c>
      <c r="T810">
        <f t="shared" si="25"/>
        <v>1</v>
      </c>
    </row>
    <row r="811" spans="1:20" x14ac:dyDescent="0.2">
      <c r="A811" t="s">
        <v>966</v>
      </c>
      <c r="B811">
        <f>IF(COUNTIFS('United Data'!$A$3:$A$3390,B$1,'United Data'!$C$3:$C$3390,$A811)&gt;0,1,0)</f>
        <v>0</v>
      </c>
      <c r="C811">
        <f>IF(COUNTIFS('United Data'!$A$3:$A$3390,C$1,'United Data'!$C$3:$C$3390,$A811)&gt;0,1,0)</f>
        <v>1</v>
      </c>
      <c r="D811">
        <f>IF(COUNTIFS('United Data'!$A$3:$A$3390,D$1,'United Data'!$C$3:$C$3390,$A811)&gt;0,1,0)</f>
        <v>0</v>
      </c>
      <c r="E811">
        <f>IF(COUNTIFS('United Data'!$A$3:$A$3390,E$1,'United Data'!$C$3:$C$3390,$A811)&gt;0,1,0)</f>
        <v>0</v>
      </c>
      <c r="F811">
        <f>IF(COUNTIFS('United Data'!$A$3:$A$3390,F$1,'United Data'!$C$3:$C$3390,$A811)&gt;0,1,0)</f>
        <v>0</v>
      </c>
      <c r="G811">
        <f>IF(COUNTIFS('United Data'!$A$3:$A$3390,G$1,'United Data'!$C$3:$C$3390,$A811)&gt;0,1,0)</f>
        <v>0</v>
      </c>
      <c r="H811">
        <f>IF(COUNTIFS('United Data'!$A$3:$A$3390,H$1,'United Data'!$C$3:$C$3390,$A811)&gt;0,1,0)</f>
        <v>0</v>
      </c>
      <c r="I811">
        <f>IF(COUNTIFS('United Data'!$A$3:$A$3390,I$1,'United Data'!$C$3:$C$3390,$A811)&gt;0,1,0)</f>
        <v>0</v>
      </c>
      <c r="J811">
        <f>IF(COUNTIFS('United Data'!$A$3:$A$3390,J$1,'United Data'!$C$3:$C$3390,$A811)&gt;0,1,0)</f>
        <v>0</v>
      </c>
      <c r="K811">
        <f>IF(COUNTIFS('United Data'!$A$3:$A$3390,K$1,'United Data'!$C$3:$C$3390,$A811)&gt;0,1,0)</f>
        <v>0</v>
      </c>
      <c r="L811">
        <f>IF(COUNTIFS('United Data'!$A$3:$A$3390,L$1,'United Data'!$C$3:$C$3390,$A811)&gt;0,1,0)</f>
        <v>0</v>
      </c>
      <c r="M811">
        <f>IF(COUNTIFS('United Data'!$A$3:$A$3390,M$1,'United Data'!$C$3:$C$3390,$A811)&gt;0,1,0)</f>
        <v>0</v>
      </c>
      <c r="N811">
        <f>IF(COUNTIFS('United Data'!$A$3:$A$3390,N$1,'United Data'!$C$3:$C$3390,$A811)&gt;0,1,0)</f>
        <v>0</v>
      </c>
      <c r="O811">
        <f>IF(COUNTIFS('United Data'!$A$3:$A$3390,O$1,'United Data'!$C$3:$C$3390,$A811)&gt;0,1,0)</f>
        <v>0</v>
      </c>
      <c r="P811">
        <f>IF(COUNTIFS('United Data'!$A$3:$A$3390,P$1,'United Data'!$C$3:$C$3390,$A811)&gt;0,1,0)</f>
        <v>0</v>
      </c>
      <c r="Q811">
        <f>IF(COUNTIFS('United Data'!$A$3:$A$3390,Q$1,'United Data'!$C$3:$C$3390,$A811)&gt;0,1,0)</f>
        <v>0</v>
      </c>
      <c r="R811">
        <f>IF(COUNTIFS('United Data'!$A$3:$A$3390,R$1,'United Data'!$C$3:$C$3390,$A811)&gt;0,1,0)</f>
        <v>0</v>
      </c>
      <c r="S811">
        <f t="shared" si="24"/>
        <v>1</v>
      </c>
      <c r="T811">
        <f t="shared" si="25"/>
        <v>1</v>
      </c>
    </row>
    <row r="812" spans="1:20" x14ac:dyDescent="0.2">
      <c r="A812" t="s">
        <v>969</v>
      </c>
      <c r="B812">
        <f>IF(COUNTIFS('United Data'!$A$3:$A$3390,B$1,'United Data'!$C$3:$C$3390,$A812)&gt;0,1,0)</f>
        <v>0</v>
      </c>
      <c r="C812">
        <f>IF(COUNTIFS('United Data'!$A$3:$A$3390,C$1,'United Data'!$C$3:$C$3390,$A812)&gt;0,1,0)</f>
        <v>0</v>
      </c>
      <c r="D812">
        <f>IF(COUNTIFS('United Data'!$A$3:$A$3390,D$1,'United Data'!$C$3:$C$3390,$A812)&gt;0,1,0)</f>
        <v>1</v>
      </c>
      <c r="E812">
        <f>IF(COUNTIFS('United Data'!$A$3:$A$3390,E$1,'United Data'!$C$3:$C$3390,$A812)&gt;0,1,0)</f>
        <v>0</v>
      </c>
      <c r="F812">
        <f>IF(COUNTIFS('United Data'!$A$3:$A$3390,F$1,'United Data'!$C$3:$C$3390,$A812)&gt;0,1,0)</f>
        <v>0</v>
      </c>
      <c r="G812">
        <f>IF(COUNTIFS('United Data'!$A$3:$A$3390,G$1,'United Data'!$C$3:$C$3390,$A812)&gt;0,1,0)</f>
        <v>0</v>
      </c>
      <c r="H812">
        <f>IF(COUNTIFS('United Data'!$A$3:$A$3390,H$1,'United Data'!$C$3:$C$3390,$A812)&gt;0,1,0)</f>
        <v>0</v>
      </c>
      <c r="I812">
        <f>IF(COUNTIFS('United Data'!$A$3:$A$3390,I$1,'United Data'!$C$3:$C$3390,$A812)&gt;0,1,0)</f>
        <v>0</v>
      </c>
      <c r="J812">
        <f>IF(COUNTIFS('United Data'!$A$3:$A$3390,J$1,'United Data'!$C$3:$C$3390,$A812)&gt;0,1,0)</f>
        <v>0</v>
      </c>
      <c r="K812">
        <f>IF(COUNTIFS('United Data'!$A$3:$A$3390,K$1,'United Data'!$C$3:$C$3390,$A812)&gt;0,1,0)</f>
        <v>0</v>
      </c>
      <c r="L812">
        <f>IF(COUNTIFS('United Data'!$A$3:$A$3390,L$1,'United Data'!$C$3:$C$3390,$A812)&gt;0,1,0)</f>
        <v>0</v>
      </c>
      <c r="M812">
        <f>IF(COUNTIFS('United Data'!$A$3:$A$3390,M$1,'United Data'!$C$3:$C$3390,$A812)&gt;0,1,0)</f>
        <v>0</v>
      </c>
      <c r="N812">
        <f>IF(COUNTIFS('United Data'!$A$3:$A$3390,N$1,'United Data'!$C$3:$C$3390,$A812)&gt;0,1,0)</f>
        <v>0</v>
      </c>
      <c r="O812">
        <f>IF(COUNTIFS('United Data'!$A$3:$A$3390,O$1,'United Data'!$C$3:$C$3390,$A812)&gt;0,1,0)</f>
        <v>0</v>
      </c>
      <c r="P812">
        <f>IF(COUNTIFS('United Data'!$A$3:$A$3390,P$1,'United Data'!$C$3:$C$3390,$A812)&gt;0,1,0)</f>
        <v>0</v>
      </c>
      <c r="Q812">
        <f>IF(COUNTIFS('United Data'!$A$3:$A$3390,Q$1,'United Data'!$C$3:$C$3390,$A812)&gt;0,1,0)</f>
        <v>0</v>
      </c>
      <c r="R812">
        <f>IF(COUNTIFS('United Data'!$A$3:$A$3390,R$1,'United Data'!$C$3:$C$3390,$A812)&gt;0,1,0)</f>
        <v>0</v>
      </c>
      <c r="S812">
        <f t="shared" si="24"/>
        <v>1</v>
      </c>
      <c r="T812">
        <f t="shared" si="25"/>
        <v>1</v>
      </c>
    </row>
    <row r="813" spans="1:20" x14ac:dyDescent="0.2">
      <c r="A813" t="s">
        <v>970</v>
      </c>
      <c r="B813">
        <f>IF(COUNTIFS('United Data'!$A$3:$A$3390,B$1,'United Data'!$C$3:$C$3390,$A813)&gt;0,1,0)</f>
        <v>0</v>
      </c>
      <c r="C813">
        <f>IF(COUNTIFS('United Data'!$A$3:$A$3390,C$1,'United Data'!$C$3:$C$3390,$A813)&gt;0,1,0)</f>
        <v>0</v>
      </c>
      <c r="D813">
        <f>IF(COUNTIFS('United Data'!$A$3:$A$3390,D$1,'United Data'!$C$3:$C$3390,$A813)&gt;0,1,0)</f>
        <v>1</v>
      </c>
      <c r="E813">
        <f>IF(COUNTIFS('United Data'!$A$3:$A$3390,E$1,'United Data'!$C$3:$C$3390,$A813)&gt;0,1,0)</f>
        <v>1</v>
      </c>
      <c r="F813">
        <f>IF(COUNTIFS('United Data'!$A$3:$A$3390,F$1,'United Data'!$C$3:$C$3390,$A813)&gt;0,1,0)</f>
        <v>0</v>
      </c>
      <c r="G813">
        <f>IF(COUNTIFS('United Data'!$A$3:$A$3390,G$1,'United Data'!$C$3:$C$3390,$A813)&gt;0,1,0)</f>
        <v>0</v>
      </c>
      <c r="H813">
        <f>IF(COUNTIFS('United Data'!$A$3:$A$3390,H$1,'United Data'!$C$3:$C$3390,$A813)&gt;0,1,0)</f>
        <v>0</v>
      </c>
      <c r="I813">
        <f>IF(COUNTIFS('United Data'!$A$3:$A$3390,I$1,'United Data'!$C$3:$C$3390,$A813)&gt;0,1,0)</f>
        <v>0</v>
      </c>
      <c r="J813">
        <f>IF(COUNTIFS('United Data'!$A$3:$A$3390,J$1,'United Data'!$C$3:$C$3390,$A813)&gt;0,1,0)</f>
        <v>0</v>
      </c>
      <c r="K813">
        <f>IF(COUNTIFS('United Data'!$A$3:$A$3390,K$1,'United Data'!$C$3:$C$3390,$A813)&gt;0,1,0)</f>
        <v>0</v>
      </c>
      <c r="L813">
        <f>IF(COUNTIFS('United Data'!$A$3:$A$3390,L$1,'United Data'!$C$3:$C$3390,$A813)&gt;0,1,0)</f>
        <v>0</v>
      </c>
      <c r="M813">
        <f>IF(COUNTIFS('United Data'!$A$3:$A$3390,M$1,'United Data'!$C$3:$C$3390,$A813)&gt;0,1,0)</f>
        <v>0</v>
      </c>
      <c r="N813">
        <f>IF(COUNTIFS('United Data'!$A$3:$A$3390,N$1,'United Data'!$C$3:$C$3390,$A813)&gt;0,1,0)</f>
        <v>0</v>
      </c>
      <c r="O813">
        <f>IF(COUNTIFS('United Data'!$A$3:$A$3390,O$1,'United Data'!$C$3:$C$3390,$A813)&gt;0,1,0)</f>
        <v>0</v>
      </c>
      <c r="P813">
        <f>IF(COUNTIFS('United Data'!$A$3:$A$3390,P$1,'United Data'!$C$3:$C$3390,$A813)&gt;0,1,0)</f>
        <v>0</v>
      </c>
      <c r="Q813">
        <f>IF(COUNTIFS('United Data'!$A$3:$A$3390,Q$1,'United Data'!$C$3:$C$3390,$A813)&gt;0,1,0)</f>
        <v>0</v>
      </c>
      <c r="R813">
        <f>IF(COUNTIFS('United Data'!$A$3:$A$3390,R$1,'United Data'!$C$3:$C$3390,$A813)&gt;0,1,0)</f>
        <v>0</v>
      </c>
      <c r="S813">
        <f t="shared" si="24"/>
        <v>2</v>
      </c>
      <c r="T813">
        <f t="shared" si="25"/>
        <v>1</v>
      </c>
    </row>
    <row r="814" spans="1:20" x14ac:dyDescent="0.2">
      <c r="A814" t="s">
        <v>971</v>
      </c>
      <c r="B814">
        <f>IF(COUNTIFS('United Data'!$A$3:$A$3390,B$1,'United Data'!$C$3:$C$3390,$A814)&gt;0,1,0)</f>
        <v>0</v>
      </c>
      <c r="C814">
        <f>IF(COUNTIFS('United Data'!$A$3:$A$3390,C$1,'United Data'!$C$3:$C$3390,$A814)&gt;0,1,0)</f>
        <v>0</v>
      </c>
      <c r="D814">
        <f>IF(COUNTIFS('United Data'!$A$3:$A$3390,D$1,'United Data'!$C$3:$C$3390,$A814)&gt;0,1,0)</f>
        <v>1</v>
      </c>
      <c r="E814">
        <f>IF(COUNTIFS('United Data'!$A$3:$A$3390,E$1,'United Data'!$C$3:$C$3390,$A814)&gt;0,1,0)</f>
        <v>0</v>
      </c>
      <c r="F814">
        <f>IF(COUNTIFS('United Data'!$A$3:$A$3390,F$1,'United Data'!$C$3:$C$3390,$A814)&gt;0,1,0)</f>
        <v>1</v>
      </c>
      <c r="G814">
        <f>IF(COUNTIFS('United Data'!$A$3:$A$3390,G$1,'United Data'!$C$3:$C$3390,$A814)&gt;0,1,0)</f>
        <v>0</v>
      </c>
      <c r="H814">
        <f>IF(COUNTIFS('United Data'!$A$3:$A$3390,H$1,'United Data'!$C$3:$C$3390,$A814)&gt;0,1,0)</f>
        <v>0</v>
      </c>
      <c r="I814">
        <f>IF(COUNTIFS('United Data'!$A$3:$A$3390,I$1,'United Data'!$C$3:$C$3390,$A814)&gt;0,1,0)</f>
        <v>0</v>
      </c>
      <c r="J814">
        <f>IF(COUNTIFS('United Data'!$A$3:$A$3390,J$1,'United Data'!$C$3:$C$3390,$A814)&gt;0,1,0)</f>
        <v>0</v>
      </c>
      <c r="K814">
        <f>IF(COUNTIFS('United Data'!$A$3:$A$3390,K$1,'United Data'!$C$3:$C$3390,$A814)&gt;0,1,0)</f>
        <v>0</v>
      </c>
      <c r="L814">
        <f>IF(COUNTIFS('United Data'!$A$3:$A$3390,L$1,'United Data'!$C$3:$C$3390,$A814)&gt;0,1,0)</f>
        <v>0</v>
      </c>
      <c r="M814">
        <f>IF(COUNTIFS('United Data'!$A$3:$A$3390,M$1,'United Data'!$C$3:$C$3390,$A814)&gt;0,1,0)</f>
        <v>0</v>
      </c>
      <c r="N814">
        <f>IF(COUNTIFS('United Data'!$A$3:$A$3390,N$1,'United Data'!$C$3:$C$3390,$A814)&gt;0,1,0)</f>
        <v>0</v>
      </c>
      <c r="O814">
        <f>IF(COUNTIFS('United Data'!$A$3:$A$3390,O$1,'United Data'!$C$3:$C$3390,$A814)&gt;0,1,0)</f>
        <v>0</v>
      </c>
      <c r="P814">
        <f>IF(COUNTIFS('United Data'!$A$3:$A$3390,P$1,'United Data'!$C$3:$C$3390,$A814)&gt;0,1,0)</f>
        <v>0</v>
      </c>
      <c r="Q814">
        <f>IF(COUNTIFS('United Data'!$A$3:$A$3390,Q$1,'United Data'!$C$3:$C$3390,$A814)&gt;0,1,0)</f>
        <v>0</v>
      </c>
      <c r="R814">
        <f>IF(COUNTIFS('United Data'!$A$3:$A$3390,R$1,'United Data'!$C$3:$C$3390,$A814)&gt;0,1,0)</f>
        <v>0</v>
      </c>
      <c r="S814">
        <f t="shared" si="24"/>
        <v>2</v>
      </c>
      <c r="T814">
        <f t="shared" si="25"/>
        <v>2</v>
      </c>
    </row>
    <row r="815" spans="1:20" x14ac:dyDescent="0.2">
      <c r="A815" t="s">
        <v>972</v>
      </c>
      <c r="B815">
        <f>IF(COUNTIFS('United Data'!$A$3:$A$3390,B$1,'United Data'!$C$3:$C$3390,$A815)&gt;0,1,0)</f>
        <v>0</v>
      </c>
      <c r="C815">
        <f>IF(COUNTIFS('United Data'!$A$3:$A$3390,C$1,'United Data'!$C$3:$C$3390,$A815)&gt;0,1,0)</f>
        <v>0</v>
      </c>
      <c r="D815">
        <f>IF(COUNTIFS('United Data'!$A$3:$A$3390,D$1,'United Data'!$C$3:$C$3390,$A815)&gt;0,1,0)</f>
        <v>1</v>
      </c>
      <c r="E815">
        <f>IF(COUNTIFS('United Data'!$A$3:$A$3390,E$1,'United Data'!$C$3:$C$3390,$A815)&gt;0,1,0)</f>
        <v>1</v>
      </c>
      <c r="F815">
        <f>IF(COUNTIFS('United Data'!$A$3:$A$3390,F$1,'United Data'!$C$3:$C$3390,$A815)&gt;0,1,0)</f>
        <v>1</v>
      </c>
      <c r="G815">
        <f>IF(COUNTIFS('United Data'!$A$3:$A$3390,G$1,'United Data'!$C$3:$C$3390,$A815)&gt;0,1,0)</f>
        <v>0</v>
      </c>
      <c r="H815">
        <f>IF(COUNTIFS('United Data'!$A$3:$A$3390,H$1,'United Data'!$C$3:$C$3390,$A815)&gt;0,1,0)</f>
        <v>0</v>
      </c>
      <c r="I815">
        <f>IF(COUNTIFS('United Data'!$A$3:$A$3390,I$1,'United Data'!$C$3:$C$3390,$A815)&gt;0,1,0)</f>
        <v>0</v>
      </c>
      <c r="J815">
        <f>IF(COUNTIFS('United Data'!$A$3:$A$3390,J$1,'United Data'!$C$3:$C$3390,$A815)&gt;0,1,0)</f>
        <v>0</v>
      </c>
      <c r="K815">
        <f>IF(COUNTIFS('United Data'!$A$3:$A$3390,K$1,'United Data'!$C$3:$C$3390,$A815)&gt;0,1,0)</f>
        <v>0</v>
      </c>
      <c r="L815">
        <f>IF(COUNTIFS('United Data'!$A$3:$A$3390,L$1,'United Data'!$C$3:$C$3390,$A815)&gt;0,1,0)</f>
        <v>0</v>
      </c>
      <c r="M815">
        <f>IF(COUNTIFS('United Data'!$A$3:$A$3390,M$1,'United Data'!$C$3:$C$3390,$A815)&gt;0,1,0)</f>
        <v>0</v>
      </c>
      <c r="N815">
        <f>IF(COUNTIFS('United Data'!$A$3:$A$3390,N$1,'United Data'!$C$3:$C$3390,$A815)&gt;0,1,0)</f>
        <v>0</v>
      </c>
      <c r="O815">
        <f>IF(COUNTIFS('United Data'!$A$3:$A$3390,O$1,'United Data'!$C$3:$C$3390,$A815)&gt;0,1,0)</f>
        <v>0</v>
      </c>
      <c r="P815">
        <f>IF(COUNTIFS('United Data'!$A$3:$A$3390,P$1,'United Data'!$C$3:$C$3390,$A815)&gt;0,1,0)</f>
        <v>0</v>
      </c>
      <c r="Q815">
        <f>IF(COUNTIFS('United Data'!$A$3:$A$3390,Q$1,'United Data'!$C$3:$C$3390,$A815)&gt;0,1,0)</f>
        <v>0</v>
      </c>
      <c r="R815">
        <f>IF(COUNTIFS('United Data'!$A$3:$A$3390,R$1,'United Data'!$C$3:$C$3390,$A815)&gt;0,1,0)</f>
        <v>0</v>
      </c>
      <c r="S815">
        <f t="shared" si="24"/>
        <v>3</v>
      </c>
      <c r="T815">
        <f t="shared" si="25"/>
        <v>1</v>
      </c>
    </row>
    <row r="816" spans="1:20" x14ac:dyDescent="0.2">
      <c r="A816" t="s">
        <v>973</v>
      </c>
      <c r="B816">
        <f>IF(COUNTIFS('United Data'!$A$3:$A$3390,B$1,'United Data'!$C$3:$C$3390,$A816)&gt;0,1,0)</f>
        <v>0</v>
      </c>
      <c r="C816">
        <f>IF(COUNTIFS('United Data'!$A$3:$A$3390,C$1,'United Data'!$C$3:$C$3390,$A816)&gt;0,1,0)</f>
        <v>0</v>
      </c>
      <c r="D816">
        <f>IF(COUNTIFS('United Data'!$A$3:$A$3390,D$1,'United Data'!$C$3:$C$3390,$A816)&gt;0,1,0)</f>
        <v>1</v>
      </c>
      <c r="E816">
        <f>IF(COUNTIFS('United Data'!$A$3:$A$3390,E$1,'United Data'!$C$3:$C$3390,$A816)&gt;0,1,0)</f>
        <v>1</v>
      </c>
      <c r="F816">
        <f>IF(COUNTIFS('United Data'!$A$3:$A$3390,F$1,'United Data'!$C$3:$C$3390,$A816)&gt;0,1,0)</f>
        <v>1</v>
      </c>
      <c r="G816">
        <f>IF(COUNTIFS('United Data'!$A$3:$A$3390,G$1,'United Data'!$C$3:$C$3390,$A816)&gt;0,1,0)</f>
        <v>0</v>
      </c>
      <c r="H816">
        <f>IF(COUNTIFS('United Data'!$A$3:$A$3390,H$1,'United Data'!$C$3:$C$3390,$A816)&gt;0,1,0)</f>
        <v>0</v>
      </c>
      <c r="I816">
        <f>IF(COUNTIFS('United Data'!$A$3:$A$3390,I$1,'United Data'!$C$3:$C$3390,$A816)&gt;0,1,0)</f>
        <v>0</v>
      </c>
      <c r="J816">
        <f>IF(COUNTIFS('United Data'!$A$3:$A$3390,J$1,'United Data'!$C$3:$C$3390,$A816)&gt;0,1,0)</f>
        <v>0</v>
      </c>
      <c r="K816">
        <f>IF(COUNTIFS('United Data'!$A$3:$A$3390,K$1,'United Data'!$C$3:$C$3390,$A816)&gt;0,1,0)</f>
        <v>0</v>
      </c>
      <c r="L816">
        <f>IF(COUNTIFS('United Data'!$A$3:$A$3390,L$1,'United Data'!$C$3:$C$3390,$A816)&gt;0,1,0)</f>
        <v>0</v>
      </c>
      <c r="M816">
        <f>IF(COUNTIFS('United Data'!$A$3:$A$3390,M$1,'United Data'!$C$3:$C$3390,$A816)&gt;0,1,0)</f>
        <v>0</v>
      </c>
      <c r="N816">
        <f>IF(COUNTIFS('United Data'!$A$3:$A$3390,N$1,'United Data'!$C$3:$C$3390,$A816)&gt;0,1,0)</f>
        <v>0</v>
      </c>
      <c r="O816">
        <f>IF(COUNTIFS('United Data'!$A$3:$A$3390,O$1,'United Data'!$C$3:$C$3390,$A816)&gt;0,1,0)</f>
        <v>0</v>
      </c>
      <c r="P816">
        <f>IF(COUNTIFS('United Data'!$A$3:$A$3390,P$1,'United Data'!$C$3:$C$3390,$A816)&gt;0,1,0)</f>
        <v>0</v>
      </c>
      <c r="Q816">
        <f>IF(COUNTIFS('United Data'!$A$3:$A$3390,Q$1,'United Data'!$C$3:$C$3390,$A816)&gt;0,1,0)</f>
        <v>0</v>
      </c>
      <c r="R816">
        <f>IF(COUNTIFS('United Data'!$A$3:$A$3390,R$1,'United Data'!$C$3:$C$3390,$A816)&gt;0,1,0)</f>
        <v>0</v>
      </c>
      <c r="S816">
        <f t="shared" si="24"/>
        <v>3</v>
      </c>
      <c r="T816">
        <f t="shared" si="25"/>
        <v>1</v>
      </c>
    </row>
    <row r="817" spans="1:20" x14ac:dyDescent="0.2">
      <c r="A817" t="s">
        <v>974</v>
      </c>
      <c r="B817">
        <f>IF(COUNTIFS('United Data'!$A$3:$A$3390,B$1,'United Data'!$C$3:$C$3390,$A817)&gt;0,1,0)</f>
        <v>0</v>
      </c>
      <c r="C817">
        <f>IF(COUNTIFS('United Data'!$A$3:$A$3390,C$1,'United Data'!$C$3:$C$3390,$A817)&gt;0,1,0)</f>
        <v>0</v>
      </c>
      <c r="D817">
        <f>IF(COUNTIFS('United Data'!$A$3:$A$3390,D$1,'United Data'!$C$3:$C$3390,$A817)&gt;0,1,0)</f>
        <v>1</v>
      </c>
      <c r="E817">
        <f>IF(COUNTIFS('United Data'!$A$3:$A$3390,E$1,'United Data'!$C$3:$C$3390,$A817)&gt;0,1,0)</f>
        <v>0</v>
      </c>
      <c r="F817">
        <f>IF(COUNTIFS('United Data'!$A$3:$A$3390,F$1,'United Data'!$C$3:$C$3390,$A817)&gt;0,1,0)</f>
        <v>0</v>
      </c>
      <c r="G817">
        <f>IF(COUNTIFS('United Data'!$A$3:$A$3390,G$1,'United Data'!$C$3:$C$3390,$A817)&gt;0,1,0)</f>
        <v>0</v>
      </c>
      <c r="H817">
        <f>IF(COUNTIFS('United Data'!$A$3:$A$3390,H$1,'United Data'!$C$3:$C$3390,$A817)&gt;0,1,0)</f>
        <v>0</v>
      </c>
      <c r="I817">
        <f>IF(COUNTIFS('United Data'!$A$3:$A$3390,I$1,'United Data'!$C$3:$C$3390,$A817)&gt;0,1,0)</f>
        <v>0</v>
      </c>
      <c r="J817">
        <f>IF(COUNTIFS('United Data'!$A$3:$A$3390,J$1,'United Data'!$C$3:$C$3390,$A817)&gt;0,1,0)</f>
        <v>0</v>
      </c>
      <c r="K817">
        <f>IF(COUNTIFS('United Data'!$A$3:$A$3390,K$1,'United Data'!$C$3:$C$3390,$A817)&gt;0,1,0)</f>
        <v>0</v>
      </c>
      <c r="L817">
        <f>IF(COUNTIFS('United Data'!$A$3:$A$3390,L$1,'United Data'!$C$3:$C$3390,$A817)&gt;0,1,0)</f>
        <v>0</v>
      </c>
      <c r="M817">
        <f>IF(COUNTIFS('United Data'!$A$3:$A$3390,M$1,'United Data'!$C$3:$C$3390,$A817)&gt;0,1,0)</f>
        <v>0</v>
      </c>
      <c r="N817">
        <f>IF(COUNTIFS('United Data'!$A$3:$A$3390,N$1,'United Data'!$C$3:$C$3390,$A817)&gt;0,1,0)</f>
        <v>0</v>
      </c>
      <c r="O817">
        <f>IF(COUNTIFS('United Data'!$A$3:$A$3390,O$1,'United Data'!$C$3:$C$3390,$A817)&gt;0,1,0)</f>
        <v>0</v>
      </c>
      <c r="P817">
        <f>IF(COUNTIFS('United Data'!$A$3:$A$3390,P$1,'United Data'!$C$3:$C$3390,$A817)&gt;0,1,0)</f>
        <v>0</v>
      </c>
      <c r="Q817">
        <f>IF(COUNTIFS('United Data'!$A$3:$A$3390,Q$1,'United Data'!$C$3:$C$3390,$A817)&gt;0,1,0)</f>
        <v>0</v>
      </c>
      <c r="R817">
        <f>IF(COUNTIFS('United Data'!$A$3:$A$3390,R$1,'United Data'!$C$3:$C$3390,$A817)&gt;0,1,0)</f>
        <v>0</v>
      </c>
      <c r="S817">
        <f t="shared" si="24"/>
        <v>1</v>
      </c>
      <c r="T817">
        <f t="shared" si="25"/>
        <v>1</v>
      </c>
    </row>
    <row r="818" spans="1:20" x14ac:dyDescent="0.2">
      <c r="A818" t="s">
        <v>975</v>
      </c>
      <c r="B818">
        <f>IF(COUNTIFS('United Data'!$A$3:$A$3390,B$1,'United Data'!$C$3:$C$3390,$A818)&gt;0,1,0)</f>
        <v>0</v>
      </c>
      <c r="C818">
        <f>IF(COUNTIFS('United Data'!$A$3:$A$3390,C$1,'United Data'!$C$3:$C$3390,$A818)&gt;0,1,0)</f>
        <v>0</v>
      </c>
      <c r="D818">
        <f>IF(COUNTIFS('United Data'!$A$3:$A$3390,D$1,'United Data'!$C$3:$C$3390,$A818)&gt;0,1,0)</f>
        <v>1</v>
      </c>
      <c r="E818">
        <f>IF(COUNTIFS('United Data'!$A$3:$A$3390,E$1,'United Data'!$C$3:$C$3390,$A818)&gt;0,1,0)</f>
        <v>1</v>
      </c>
      <c r="F818">
        <f>IF(COUNTIFS('United Data'!$A$3:$A$3390,F$1,'United Data'!$C$3:$C$3390,$A818)&gt;0,1,0)</f>
        <v>0</v>
      </c>
      <c r="G818">
        <f>IF(COUNTIFS('United Data'!$A$3:$A$3390,G$1,'United Data'!$C$3:$C$3390,$A818)&gt;0,1,0)</f>
        <v>0</v>
      </c>
      <c r="H818">
        <f>IF(COUNTIFS('United Data'!$A$3:$A$3390,H$1,'United Data'!$C$3:$C$3390,$A818)&gt;0,1,0)</f>
        <v>0</v>
      </c>
      <c r="I818">
        <f>IF(COUNTIFS('United Data'!$A$3:$A$3390,I$1,'United Data'!$C$3:$C$3390,$A818)&gt;0,1,0)</f>
        <v>0</v>
      </c>
      <c r="J818">
        <f>IF(COUNTIFS('United Data'!$A$3:$A$3390,J$1,'United Data'!$C$3:$C$3390,$A818)&gt;0,1,0)</f>
        <v>0</v>
      </c>
      <c r="K818">
        <f>IF(COUNTIFS('United Data'!$A$3:$A$3390,K$1,'United Data'!$C$3:$C$3390,$A818)&gt;0,1,0)</f>
        <v>0</v>
      </c>
      <c r="L818">
        <f>IF(COUNTIFS('United Data'!$A$3:$A$3390,L$1,'United Data'!$C$3:$C$3390,$A818)&gt;0,1,0)</f>
        <v>0</v>
      </c>
      <c r="M818">
        <f>IF(COUNTIFS('United Data'!$A$3:$A$3390,M$1,'United Data'!$C$3:$C$3390,$A818)&gt;0,1,0)</f>
        <v>0</v>
      </c>
      <c r="N818">
        <f>IF(COUNTIFS('United Data'!$A$3:$A$3390,N$1,'United Data'!$C$3:$C$3390,$A818)&gt;0,1,0)</f>
        <v>0</v>
      </c>
      <c r="O818">
        <f>IF(COUNTIFS('United Data'!$A$3:$A$3390,O$1,'United Data'!$C$3:$C$3390,$A818)&gt;0,1,0)</f>
        <v>0</v>
      </c>
      <c r="P818">
        <f>IF(COUNTIFS('United Data'!$A$3:$A$3390,P$1,'United Data'!$C$3:$C$3390,$A818)&gt;0,1,0)</f>
        <v>0</v>
      </c>
      <c r="Q818">
        <f>IF(COUNTIFS('United Data'!$A$3:$A$3390,Q$1,'United Data'!$C$3:$C$3390,$A818)&gt;0,1,0)</f>
        <v>0</v>
      </c>
      <c r="R818">
        <f>IF(COUNTIFS('United Data'!$A$3:$A$3390,R$1,'United Data'!$C$3:$C$3390,$A818)&gt;0,1,0)</f>
        <v>0</v>
      </c>
      <c r="S818">
        <f t="shared" si="24"/>
        <v>2</v>
      </c>
      <c r="T818">
        <f t="shared" si="25"/>
        <v>1</v>
      </c>
    </row>
    <row r="819" spans="1:20" x14ac:dyDescent="0.2">
      <c r="A819" t="s">
        <v>976</v>
      </c>
      <c r="B819">
        <f>IF(COUNTIFS('United Data'!$A$3:$A$3390,B$1,'United Data'!$C$3:$C$3390,$A819)&gt;0,1,0)</f>
        <v>0</v>
      </c>
      <c r="C819">
        <f>IF(COUNTIFS('United Data'!$A$3:$A$3390,C$1,'United Data'!$C$3:$C$3390,$A819)&gt;0,1,0)</f>
        <v>0</v>
      </c>
      <c r="D819">
        <f>IF(COUNTIFS('United Data'!$A$3:$A$3390,D$1,'United Data'!$C$3:$C$3390,$A819)&gt;0,1,0)</f>
        <v>1</v>
      </c>
      <c r="E819">
        <f>IF(COUNTIFS('United Data'!$A$3:$A$3390,E$1,'United Data'!$C$3:$C$3390,$A819)&gt;0,1,0)</f>
        <v>0</v>
      </c>
      <c r="F819">
        <f>IF(COUNTIFS('United Data'!$A$3:$A$3390,F$1,'United Data'!$C$3:$C$3390,$A819)&gt;0,1,0)</f>
        <v>0</v>
      </c>
      <c r="G819">
        <f>IF(COUNTIFS('United Data'!$A$3:$A$3390,G$1,'United Data'!$C$3:$C$3390,$A819)&gt;0,1,0)</f>
        <v>0</v>
      </c>
      <c r="H819">
        <f>IF(COUNTIFS('United Data'!$A$3:$A$3390,H$1,'United Data'!$C$3:$C$3390,$A819)&gt;0,1,0)</f>
        <v>0</v>
      </c>
      <c r="I819">
        <f>IF(COUNTIFS('United Data'!$A$3:$A$3390,I$1,'United Data'!$C$3:$C$3390,$A819)&gt;0,1,0)</f>
        <v>0</v>
      </c>
      <c r="J819">
        <f>IF(COUNTIFS('United Data'!$A$3:$A$3390,J$1,'United Data'!$C$3:$C$3390,$A819)&gt;0,1,0)</f>
        <v>0</v>
      </c>
      <c r="K819">
        <f>IF(COUNTIFS('United Data'!$A$3:$A$3390,K$1,'United Data'!$C$3:$C$3390,$A819)&gt;0,1,0)</f>
        <v>0</v>
      </c>
      <c r="L819">
        <f>IF(COUNTIFS('United Data'!$A$3:$A$3390,L$1,'United Data'!$C$3:$C$3390,$A819)&gt;0,1,0)</f>
        <v>0</v>
      </c>
      <c r="M819">
        <f>IF(COUNTIFS('United Data'!$A$3:$A$3390,M$1,'United Data'!$C$3:$C$3390,$A819)&gt;0,1,0)</f>
        <v>0</v>
      </c>
      <c r="N819">
        <f>IF(COUNTIFS('United Data'!$A$3:$A$3390,N$1,'United Data'!$C$3:$C$3390,$A819)&gt;0,1,0)</f>
        <v>0</v>
      </c>
      <c r="O819">
        <f>IF(COUNTIFS('United Data'!$A$3:$A$3390,O$1,'United Data'!$C$3:$C$3390,$A819)&gt;0,1,0)</f>
        <v>0</v>
      </c>
      <c r="P819">
        <f>IF(COUNTIFS('United Data'!$A$3:$A$3390,P$1,'United Data'!$C$3:$C$3390,$A819)&gt;0,1,0)</f>
        <v>0</v>
      </c>
      <c r="Q819">
        <f>IF(COUNTIFS('United Data'!$A$3:$A$3390,Q$1,'United Data'!$C$3:$C$3390,$A819)&gt;0,1,0)</f>
        <v>0</v>
      </c>
      <c r="R819">
        <f>IF(COUNTIFS('United Data'!$A$3:$A$3390,R$1,'United Data'!$C$3:$C$3390,$A819)&gt;0,1,0)</f>
        <v>0</v>
      </c>
      <c r="S819">
        <f t="shared" si="24"/>
        <v>1</v>
      </c>
      <c r="T819">
        <f t="shared" si="25"/>
        <v>1</v>
      </c>
    </row>
    <row r="820" spans="1:20" x14ac:dyDescent="0.2">
      <c r="A820" t="s">
        <v>977</v>
      </c>
      <c r="B820">
        <f>IF(COUNTIFS('United Data'!$A$3:$A$3390,B$1,'United Data'!$C$3:$C$3390,$A820)&gt;0,1,0)</f>
        <v>0</v>
      </c>
      <c r="C820">
        <f>IF(COUNTIFS('United Data'!$A$3:$A$3390,C$1,'United Data'!$C$3:$C$3390,$A820)&gt;0,1,0)</f>
        <v>0</v>
      </c>
      <c r="D820">
        <f>IF(COUNTIFS('United Data'!$A$3:$A$3390,D$1,'United Data'!$C$3:$C$3390,$A820)&gt;0,1,0)</f>
        <v>1</v>
      </c>
      <c r="E820">
        <f>IF(COUNTIFS('United Data'!$A$3:$A$3390,E$1,'United Data'!$C$3:$C$3390,$A820)&gt;0,1,0)</f>
        <v>0</v>
      </c>
      <c r="F820">
        <f>IF(COUNTIFS('United Data'!$A$3:$A$3390,F$1,'United Data'!$C$3:$C$3390,$A820)&gt;0,1,0)</f>
        <v>0</v>
      </c>
      <c r="G820">
        <f>IF(COUNTIFS('United Data'!$A$3:$A$3390,G$1,'United Data'!$C$3:$C$3390,$A820)&gt;0,1,0)</f>
        <v>0</v>
      </c>
      <c r="H820">
        <f>IF(COUNTIFS('United Data'!$A$3:$A$3390,H$1,'United Data'!$C$3:$C$3390,$A820)&gt;0,1,0)</f>
        <v>1</v>
      </c>
      <c r="I820">
        <f>IF(COUNTIFS('United Data'!$A$3:$A$3390,I$1,'United Data'!$C$3:$C$3390,$A820)&gt;0,1,0)</f>
        <v>1</v>
      </c>
      <c r="J820">
        <f>IF(COUNTIFS('United Data'!$A$3:$A$3390,J$1,'United Data'!$C$3:$C$3390,$A820)&gt;0,1,0)</f>
        <v>0</v>
      </c>
      <c r="K820">
        <f>IF(COUNTIFS('United Data'!$A$3:$A$3390,K$1,'United Data'!$C$3:$C$3390,$A820)&gt;0,1,0)</f>
        <v>0</v>
      </c>
      <c r="L820">
        <f>IF(COUNTIFS('United Data'!$A$3:$A$3390,L$1,'United Data'!$C$3:$C$3390,$A820)&gt;0,1,0)</f>
        <v>0</v>
      </c>
      <c r="M820">
        <f>IF(COUNTIFS('United Data'!$A$3:$A$3390,M$1,'United Data'!$C$3:$C$3390,$A820)&gt;0,1,0)</f>
        <v>0</v>
      </c>
      <c r="N820">
        <f>IF(COUNTIFS('United Data'!$A$3:$A$3390,N$1,'United Data'!$C$3:$C$3390,$A820)&gt;0,1,0)</f>
        <v>0</v>
      </c>
      <c r="O820">
        <f>IF(COUNTIFS('United Data'!$A$3:$A$3390,O$1,'United Data'!$C$3:$C$3390,$A820)&gt;0,1,0)</f>
        <v>0</v>
      </c>
      <c r="P820">
        <f>IF(COUNTIFS('United Data'!$A$3:$A$3390,P$1,'United Data'!$C$3:$C$3390,$A820)&gt;0,1,0)</f>
        <v>0</v>
      </c>
      <c r="Q820">
        <f>IF(COUNTIFS('United Data'!$A$3:$A$3390,Q$1,'United Data'!$C$3:$C$3390,$A820)&gt;0,1,0)</f>
        <v>0</v>
      </c>
      <c r="R820">
        <f>IF(COUNTIFS('United Data'!$A$3:$A$3390,R$1,'United Data'!$C$3:$C$3390,$A820)&gt;0,1,0)</f>
        <v>0</v>
      </c>
      <c r="S820">
        <f t="shared" si="24"/>
        <v>3</v>
      </c>
      <c r="T820">
        <f t="shared" si="25"/>
        <v>2</v>
      </c>
    </row>
    <row r="821" spans="1:20" x14ac:dyDescent="0.2">
      <c r="A821" t="s">
        <v>978</v>
      </c>
      <c r="B821">
        <f>IF(COUNTIFS('United Data'!$A$3:$A$3390,B$1,'United Data'!$C$3:$C$3390,$A821)&gt;0,1,0)</f>
        <v>0</v>
      </c>
      <c r="C821">
        <f>IF(COUNTIFS('United Data'!$A$3:$A$3390,C$1,'United Data'!$C$3:$C$3390,$A821)&gt;0,1,0)</f>
        <v>0</v>
      </c>
      <c r="D821">
        <f>IF(COUNTIFS('United Data'!$A$3:$A$3390,D$1,'United Data'!$C$3:$C$3390,$A821)&gt;0,1,0)</f>
        <v>1</v>
      </c>
      <c r="E821">
        <f>IF(COUNTIFS('United Data'!$A$3:$A$3390,E$1,'United Data'!$C$3:$C$3390,$A821)&gt;0,1,0)</f>
        <v>0</v>
      </c>
      <c r="F821">
        <f>IF(COUNTIFS('United Data'!$A$3:$A$3390,F$1,'United Data'!$C$3:$C$3390,$A821)&gt;0,1,0)</f>
        <v>0</v>
      </c>
      <c r="G821">
        <f>IF(COUNTIFS('United Data'!$A$3:$A$3390,G$1,'United Data'!$C$3:$C$3390,$A821)&gt;0,1,0)</f>
        <v>0</v>
      </c>
      <c r="H821">
        <f>IF(COUNTIFS('United Data'!$A$3:$A$3390,H$1,'United Data'!$C$3:$C$3390,$A821)&gt;0,1,0)</f>
        <v>0</v>
      </c>
      <c r="I821">
        <f>IF(COUNTIFS('United Data'!$A$3:$A$3390,I$1,'United Data'!$C$3:$C$3390,$A821)&gt;0,1,0)</f>
        <v>0</v>
      </c>
      <c r="J821">
        <f>IF(COUNTIFS('United Data'!$A$3:$A$3390,J$1,'United Data'!$C$3:$C$3390,$A821)&gt;0,1,0)</f>
        <v>0</v>
      </c>
      <c r="K821">
        <f>IF(COUNTIFS('United Data'!$A$3:$A$3390,K$1,'United Data'!$C$3:$C$3390,$A821)&gt;0,1,0)</f>
        <v>0</v>
      </c>
      <c r="L821">
        <f>IF(COUNTIFS('United Data'!$A$3:$A$3390,L$1,'United Data'!$C$3:$C$3390,$A821)&gt;0,1,0)</f>
        <v>0</v>
      </c>
      <c r="M821">
        <f>IF(COUNTIFS('United Data'!$A$3:$A$3390,M$1,'United Data'!$C$3:$C$3390,$A821)&gt;0,1,0)</f>
        <v>0</v>
      </c>
      <c r="N821">
        <f>IF(COUNTIFS('United Data'!$A$3:$A$3390,N$1,'United Data'!$C$3:$C$3390,$A821)&gt;0,1,0)</f>
        <v>0</v>
      </c>
      <c r="O821">
        <f>IF(COUNTIFS('United Data'!$A$3:$A$3390,O$1,'United Data'!$C$3:$C$3390,$A821)&gt;0,1,0)</f>
        <v>0</v>
      </c>
      <c r="P821">
        <f>IF(COUNTIFS('United Data'!$A$3:$A$3390,P$1,'United Data'!$C$3:$C$3390,$A821)&gt;0,1,0)</f>
        <v>0</v>
      </c>
      <c r="Q821">
        <f>IF(COUNTIFS('United Data'!$A$3:$A$3390,Q$1,'United Data'!$C$3:$C$3390,$A821)&gt;0,1,0)</f>
        <v>0</v>
      </c>
      <c r="R821">
        <f>IF(COUNTIFS('United Data'!$A$3:$A$3390,R$1,'United Data'!$C$3:$C$3390,$A821)&gt;0,1,0)</f>
        <v>0</v>
      </c>
      <c r="S821">
        <f t="shared" si="24"/>
        <v>1</v>
      </c>
      <c r="T821">
        <f t="shared" si="25"/>
        <v>1</v>
      </c>
    </row>
    <row r="822" spans="1:20" x14ac:dyDescent="0.2">
      <c r="A822" t="s">
        <v>979</v>
      </c>
      <c r="B822">
        <f>IF(COUNTIFS('United Data'!$A$3:$A$3390,B$1,'United Data'!$C$3:$C$3390,$A822)&gt;0,1,0)</f>
        <v>0</v>
      </c>
      <c r="C822">
        <f>IF(COUNTIFS('United Data'!$A$3:$A$3390,C$1,'United Data'!$C$3:$C$3390,$A822)&gt;0,1,0)</f>
        <v>0</v>
      </c>
      <c r="D822">
        <f>IF(COUNTIFS('United Data'!$A$3:$A$3390,D$1,'United Data'!$C$3:$C$3390,$A822)&gt;0,1,0)</f>
        <v>1</v>
      </c>
      <c r="E822">
        <f>IF(COUNTIFS('United Data'!$A$3:$A$3390,E$1,'United Data'!$C$3:$C$3390,$A822)&gt;0,1,0)</f>
        <v>1</v>
      </c>
      <c r="F822">
        <f>IF(COUNTIFS('United Data'!$A$3:$A$3390,F$1,'United Data'!$C$3:$C$3390,$A822)&gt;0,1,0)</f>
        <v>0</v>
      </c>
      <c r="G822">
        <f>IF(COUNTIFS('United Data'!$A$3:$A$3390,G$1,'United Data'!$C$3:$C$3390,$A822)&gt;0,1,0)</f>
        <v>0</v>
      </c>
      <c r="H822">
        <f>IF(COUNTIFS('United Data'!$A$3:$A$3390,H$1,'United Data'!$C$3:$C$3390,$A822)&gt;0,1,0)</f>
        <v>0</v>
      </c>
      <c r="I822">
        <f>IF(COUNTIFS('United Data'!$A$3:$A$3390,I$1,'United Data'!$C$3:$C$3390,$A822)&gt;0,1,0)</f>
        <v>0</v>
      </c>
      <c r="J822">
        <f>IF(COUNTIFS('United Data'!$A$3:$A$3390,J$1,'United Data'!$C$3:$C$3390,$A822)&gt;0,1,0)</f>
        <v>0</v>
      </c>
      <c r="K822">
        <f>IF(COUNTIFS('United Data'!$A$3:$A$3390,K$1,'United Data'!$C$3:$C$3390,$A822)&gt;0,1,0)</f>
        <v>0</v>
      </c>
      <c r="L822">
        <f>IF(COUNTIFS('United Data'!$A$3:$A$3390,L$1,'United Data'!$C$3:$C$3390,$A822)&gt;0,1,0)</f>
        <v>0</v>
      </c>
      <c r="M822">
        <f>IF(COUNTIFS('United Data'!$A$3:$A$3390,M$1,'United Data'!$C$3:$C$3390,$A822)&gt;0,1,0)</f>
        <v>0</v>
      </c>
      <c r="N822">
        <f>IF(COUNTIFS('United Data'!$A$3:$A$3390,N$1,'United Data'!$C$3:$C$3390,$A822)&gt;0,1,0)</f>
        <v>0</v>
      </c>
      <c r="O822">
        <f>IF(COUNTIFS('United Data'!$A$3:$A$3390,O$1,'United Data'!$C$3:$C$3390,$A822)&gt;0,1,0)</f>
        <v>0</v>
      </c>
      <c r="P822">
        <f>IF(COUNTIFS('United Data'!$A$3:$A$3390,P$1,'United Data'!$C$3:$C$3390,$A822)&gt;0,1,0)</f>
        <v>0</v>
      </c>
      <c r="Q822">
        <f>IF(COUNTIFS('United Data'!$A$3:$A$3390,Q$1,'United Data'!$C$3:$C$3390,$A822)&gt;0,1,0)</f>
        <v>0</v>
      </c>
      <c r="R822">
        <f>IF(COUNTIFS('United Data'!$A$3:$A$3390,R$1,'United Data'!$C$3:$C$3390,$A822)&gt;0,1,0)</f>
        <v>0</v>
      </c>
      <c r="S822">
        <f t="shared" si="24"/>
        <v>2</v>
      </c>
      <c r="T822">
        <f t="shared" si="25"/>
        <v>1</v>
      </c>
    </row>
    <row r="823" spans="1:20" x14ac:dyDescent="0.2">
      <c r="A823" t="s">
        <v>980</v>
      </c>
      <c r="B823">
        <f>IF(COUNTIFS('United Data'!$A$3:$A$3390,B$1,'United Data'!$C$3:$C$3390,$A823)&gt;0,1,0)</f>
        <v>0</v>
      </c>
      <c r="C823">
        <f>IF(COUNTIFS('United Data'!$A$3:$A$3390,C$1,'United Data'!$C$3:$C$3390,$A823)&gt;0,1,0)</f>
        <v>0</v>
      </c>
      <c r="D823">
        <f>IF(COUNTIFS('United Data'!$A$3:$A$3390,D$1,'United Data'!$C$3:$C$3390,$A823)&gt;0,1,0)</f>
        <v>1</v>
      </c>
      <c r="E823">
        <f>IF(COUNTIFS('United Data'!$A$3:$A$3390,E$1,'United Data'!$C$3:$C$3390,$A823)&gt;0,1,0)</f>
        <v>1</v>
      </c>
      <c r="F823">
        <f>IF(COUNTIFS('United Data'!$A$3:$A$3390,F$1,'United Data'!$C$3:$C$3390,$A823)&gt;0,1,0)</f>
        <v>0</v>
      </c>
      <c r="G823">
        <f>IF(COUNTIFS('United Data'!$A$3:$A$3390,G$1,'United Data'!$C$3:$C$3390,$A823)&gt;0,1,0)</f>
        <v>0</v>
      </c>
      <c r="H823">
        <f>IF(COUNTIFS('United Data'!$A$3:$A$3390,H$1,'United Data'!$C$3:$C$3390,$A823)&gt;0,1,0)</f>
        <v>0</v>
      </c>
      <c r="I823">
        <f>IF(COUNTIFS('United Data'!$A$3:$A$3390,I$1,'United Data'!$C$3:$C$3390,$A823)&gt;0,1,0)</f>
        <v>0</v>
      </c>
      <c r="J823">
        <f>IF(COUNTIFS('United Data'!$A$3:$A$3390,J$1,'United Data'!$C$3:$C$3390,$A823)&gt;0,1,0)</f>
        <v>0</v>
      </c>
      <c r="K823">
        <f>IF(COUNTIFS('United Data'!$A$3:$A$3390,K$1,'United Data'!$C$3:$C$3390,$A823)&gt;0,1,0)</f>
        <v>0</v>
      </c>
      <c r="L823">
        <f>IF(COUNTIFS('United Data'!$A$3:$A$3390,L$1,'United Data'!$C$3:$C$3390,$A823)&gt;0,1,0)</f>
        <v>0</v>
      </c>
      <c r="M823">
        <f>IF(COUNTIFS('United Data'!$A$3:$A$3390,M$1,'United Data'!$C$3:$C$3390,$A823)&gt;0,1,0)</f>
        <v>0</v>
      </c>
      <c r="N823">
        <f>IF(COUNTIFS('United Data'!$A$3:$A$3390,N$1,'United Data'!$C$3:$C$3390,$A823)&gt;0,1,0)</f>
        <v>0</v>
      </c>
      <c r="O823">
        <f>IF(COUNTIFS('United Data'!$A$3:$A$3390,O$1,'United Data'!$C$3:$C$3390,$A823)&gt;0,1,0)</f>
        <v>0</v>
      </c>
      <c r="P823">
        <f>IF(COUNTIFS('United Data'!$A$3:$A$3390,P$1,'United Data'!$C$3:$C$3390,$A823)&gt;0,1,0)</f>
        <v>0</v>
      </c>
      <c r="Q823">
        <f>IF(COUNTIFS('United Data'!$A$3:$A$3390,Q$1,'United Data'!$C$3:$C$3390,$A823)&gt;0,1,0)</f>
        <v>0</v>
      </c>
      <c r="R823">
        <f>IF(COUNTIFS('United Data'!$A$3:$A$3390,R$1,'United Data'!$C$3:$C$3390,$A823)&gt;0,1,0)</f>
        <v>0</v>
      </c>
      <c r="S823">
        <f t="shared" si="24"/>
        <v>2</v>
      </c>
      <c r="T823">
        <f t="shared" si="25"/>
        <v>1</v>
      </c>
    </row>
    <row r="824" spans="1:20" x14ac:dyDescent="0.2">
      <c r="A824" t="s">
        <v>981</v>
      </c>
      <c r="B824">
        <f>IF(COUNTIFS('United Data'!$A$3:$A$3390,B$1,'United Data'!$C$3:$C$3390,$A824)&gt;0,1,0)</f>
        <v>0</v>
      </c>
      <c r="C824">
        <f>IF(COUNTIFS('United Data'!$A$3:$A$3390,C$1,'United Data'!$C$3:$C$3390,$A824)&gt;0,1,0)</f>
        <v>0</v>
      </c>
      <c r="D824">
        <f>IF(COUNTIFS('United Data'!$A$3:$A$3390,D$1,'United Data'!$C$3:$C$3390,$A824)&gt;0,1,0)</f>
        <v>1</v>
      </c>
      <c r="E824">
        <f>IF(COUNTIFS('United Data'!$A$3:$A$3390,E$1,'United Data'!$C$3:$C$3390,$A824)&gt;0,1,0)</f>
        <v>1</v>
      </c>
      <c r="F824">
        <f>IF(COUNTIFS('United Data'!$A$3:$A$3390,F$1,'United Data'!$C$3:$C$3390,$A824)&gt;0,1,0)</f>
        <v>1</v>
      </c>
      <c r="G824">
        <f>IF(COUNTIFS('United Data'!$A$3:$A$3390,G$1,'United Data'!$C$3:$C$3390,$A824)&gt;0,1,0)</f>
        <v>1</v>
      </c>
      <c r="H824">
        <f>IF(COUNTIFS('United Data'!$A$3:$A$3390,H$1,'United Data'!$C$3:$C$3390,$A824)&gt;0,1,0)</f>
        <v>0</v>
      </c>
      <c r="I824">
        <f>IF(COUNTIFS('United Data'!$A$3:$A$3390,I$1,'United Data'!$C$3:$C$3390,$A824)&gt;0,1,0)</f>
        <v>1</v>
      </c>
      <c r="J824">
        <f>IF(COUNTIFS('United Data'!$A$3:$A$3390,J$1,'United Data'!$C$3:$C$3390,$A824)&gt;0,1,0)</f>
        <v>1</v>
      </c>
      <c r="K824">
        <f>IF(COUNTIFS('United Data'!$A$3:$A$3390,K$1,'United Data'!$C$3:$C$3390,$A824)&gt;0,1,0)</f>
        <v>0</v>
      </c>
      <c r="L824">
        <f>IF(COUNTIFS('United Data'!$A$3:$A$3390,L$1,'United Data'!$C$3:$C$3390,$A824)&gt;0,1,0)</f>
        <v>0</v>
      </c>
      <c r="M824">
        <f>IF(COUNTIFS('United Data'!$A$3:$A$3390,M$1,'United Data'!$C$3:$C$3390,$A824)&gt;0,1,0)</f>
        <v>0</v>
      </c>
      <c r="N824">
        <f>IF(COUNTIFS('United Data'!$A$3:$A$3390,N$1,'United Data'!$C$3:$C$3390,$A824)&gt;0,1,0)</f>
        <v>0</v>
      </c>
      <c r="O824">
        <f>IF(COUNTIFS('United Data'!$A$3:$A$3390,O$1,'United Data'!$C$3:$C$3390,$A824)&gt;0,1,0)</f>
        <v>0</v>
      </c>
      <c r="P824">
        <f>IF(COUNTIFS('United Data'!$A$3:$A$3390,P$1,'United Data'!$C$3:$C$3390,$A824)&gt;0,1,0)</f>
        <v>0</v>
      </c>
      <c r="Q824">
        <f>IF(COUNTIFS('United Data'!$A$3:$A$3390,Q$1,'United Data'!$C$3:$C$3390,$A824)&gt;0,1,0)</f>
        <v>0</v>
      </c>
      <c r="R824">
        <f>IF(COUNTIFS('United Data'!$A$3:$A$3390,R$1,'United Data'!$C$3:$C$3390,$A824)&gt;0,1,0)</f>
        <v>0</v>
      </c>
      <c r="S824">
        <f t="shared" si="24"/>
        <v>6</v>
      </c>
      <c r="T824">
        <f t="shared" si="25"/>
        <v>2</v>
      </c>
    </row>
    <row r="825" spans="1:20" x14ac:dyDescent="0.2">
      <c r="A825" t="s">
        <v>983</v>
      </c>
      <c r="B825">
        <f>IF(COUNTIFS('United Data'!$A$3:$A$3390,B$1,'United Data'!$C$3:$C$3390,$A825)&gt;0,1,0)</f>
        <v>0</v>
      </c>
      <c r="C825">
        <f>IF(COUNTIFS('United Data'!$A$3:$A$3390,C$1,'United Data'!$C$3:$C$3390,$A825)&gt;0,1,0)</f>
        <v>0</v>
      </c>
      <c r="D825">
        <f>IF(COUNTIFS('United Data'!$A$3:$A$3390,D$1,'United Data'!$C$3:$C$3390,$A825)&gt;0,1,0)</f>
        <v>0</v>
      </c>
      <c r="E825">
        <f>IF(COUNTIFS('United Data'!$A$3:$A$3390,E$1,'United Data'!$C$3:$C$3390,$A825)&gt;0,1,0)</f>
        <v>1</v>
      </c>
      <c r="F825">
        <f>IF(COUNTIFS('United Data'!$A$3:$A$3390,F$1,'United Data'!$C$3:$C$3390,$A825)&gt;0,1,0)</f>
        <v>0</v>
      </c>
      <c r="G825">
        <f>IF(COUNTIFS('United Data'!$A$3:$A$3390,G$1,'United Data'!$C$3:$C$3390,$A825)&gt;0,1,0)</f>
        <v>0</v>
      </c>
      <c r="H825">
        <f>IF(COUNTIFS('United Data'!$A$3:$A$3390,H$1,'United Data'!$C$3:$C$3390,$A825)&gt;0,1,0)</f>
        <v>0</v>
      </c>
      <c r="I825">
        <f>IF(COUNTIFS('United Data'!$A$3:$A$3390,I$1,'United Data'!$C$3:$C$3390,$A825)&gt;0,1,0)</f>
        <v>0</v>
      </c>
      <c r="J825">
        <f>IF(COUNTIFS('United Data'!$A$3:$A$3390,J$1,'United Data'!$C$3:$C$3390,$A825)&gt;0,1,0)</f>
        <v>0</v>
      </c>
      <c r="K825">
        <f>IF(COUNTIFS('United Data'!$A$3:$A$3390,K$1,'United Data'!$C$3:$C$3390,$A825)&gt;0,1,0)</f>
        <v>0</v>
      </c>
      <c r="L825">
        <f>IF(COUNTIFS('United Data'!$A$3:$A$3390,L$1,'United Data'!$C$3:$C$3390,$A825)&gt;0,1,0)</f>
        <v>0</v>
      </c>
      <c r="M825">
        <f>IF(COUNTIFS('United Data'!$A$3:$A$3390,M$1,'United Data'!$C$3:$C$3390,$A825)&gt;0,1,0)</f>
        <v>0</v>
      </c>
      <c r="N825">
        <f>IF(COUNTIFS('United Data'!$A$3:$A$3390,N$1,'United Data'!$C$3:$C$3390,$A825)&gt;0,1,0)</f>
        <v>0</v>
      </c>
      <c r="O825">
        <f>IF(COUNTIFS('United Data'!$A$3:$A$3390,O$1,'United Data'!$C$3:$C$3390,$A825)&gt;0,1,0)</f>
        <v>0</v>
      </c>
      <c r="P825">
        <f>IF(COUNTIFS('United Data'!$A$3:$A$3390,P$1,'United Data'!$C$3:$C$3390,$A825)&gt;0,1,0)</f>
        <v>0</v>
      </c>
      <c r="Q825">
        <f>IF(COUNTIFS('United Data'!$A$3:$A$3390,Q$1,'United Data'!$C$3:$C$3390,$A825)&gt;0,1,0)</f>
        <v>0</v>
      </c>
      <c r="R825">
        <f>IF(COUNTIFS('United Data'!$A$3:$A$3390,R$1,'United Data'!$C$3:$C$3390,$A825)&gt;0,1,0)</f>
        <v>0</v>
      </c>
      <c r="S825">
        <f t="shared" si="24"/>
        <v>1</v>
      </c>
      <c r="T825">
        <f t="shared" si="25"/>
        <v>1</v>
      </c>
    </row>
    <row r="826" spans="1:20" x14ac:dyDescent="0.2">
      <c r="A826" t="s">
        <v>993</v>
      </c>
      <c r="B826">
        <f>IF(COUNTIFS('United Data'!$A$3:$A$3390,B$1,'United Data'!$C$3:$C$3390,$A826)&gt;0,1,0)</f>
        <v>0</v>
      </c>
      <c r="C826">
        <f>IF(COUNTIFS('United Data'!$A$3:$A$3390,C$1,'United Data'!$C$3:$C$3390,$A826)&gt;0,1,0)</f>
        <v>0</v>
      </c>
      <c r="D826">
        <f>IF(COUNTIFS('United Data'!$A$3:$A$3390,D$1,'United Data'!$C$3:$C$3390,$A826)&gt;0,1,0)</f>
        <v>0</v>
      </c>
      <c r="E826">
        <f>IF(COUNTIFS('United Data'!$A$3:$A$3390,E$1,'United Data'!$C$3:$C$3390,$A826)&gt;0,1,0)</f>
        <v>0</v>
      </c>
      <c r="F826">
        <f>IF(COUNTIFS('United Data'!$A$3:$A$3390,F$1,'United Data'!$C$3:$C$3390,$A826)&gt;0,1,0)</f>
        <v>1</v>
      </c>
      <c r="G826">
        <f>IF(COUNTIFS('United Data'!$A$3:$A$3390,G$1,'United Data'!$C$3:$C$3390,$A826)&gt;0,1,0)</f>
        <v>0</v>
      </c>
      <c r="H826">
        <f>IF(COUNTIFS('United Data'!$A$3:$A$3390,H$1,'United Data'!$C$3:$C$3390,$A826)&gt;0,1,0)</f>
        <v>0</v>
      </c>
      <c r="I826">
        <f>IF(COUNTIFS('United Data'!$A$3:$A$3390,I$1,'United Data'!$C$3:$C$3390,$A826)&gt;0,1,0)</f>
        <v>0</v>
      </c>
      <c r="J826">
        <f>IF(COUNTIFS('United Data'!$A$3:$A$3390,J$1,'United Data'!$C$3:$C$3390,$A826)&gt;0,1,0)</f>
        <v>0</v>
      </c>
      <c r="K826">
        <f>IF(COUNTIFS('United Data'!$A$3:$A$3390,K$1,'United Data'!$C$3:$C$3390,$A826)&gt;0,1,0)</f>
        <v>0</v>
      </c>
      <c r="L826">
        <f>IF(COUNTIFS('United Data'!$A$3:$A$3390,L$1,'United Data'!$C$3:$C$3390,$A826)&gt;0,1,0)</f>
        <v>0</v>
      </c>
      <c r="M826">
        <f>IF(COUNTIFS('United Data'!$A$3:$A$3390,M$1,'United Data'!$C$3:$C$3390,$A826)&gt;0,1,0)</f>
        <v>0</v>
      </c>
      <c r="N826">
        <f>IF(COUNTIFS('United Data'!$A$3:$A$3390,N$1,'United Data'!$C$3:$C$3390,$A826)&gt;0,1,0)</f>
        <v>0</v>
      </c>
      <c r="O826">
        <f>IF(COUNTIFS('United Data'!$A$3:$A$3390,O$1,'United Data'!$C$3:$C$3390,$A826)&gt;0,1,0)</f>
        <v>0</v>
      </c>
      <c r="P826">
        <f>IF(COUNTIFS('United Data'!$A$3:$A$3390,P$1,'United Data'!$C$3:$C$3390,$A826)&gt;0,1,0)</f>
        <v>0</v>
      </c>
      <c r="Q826">
        <f>IF(COUNTIFS('United Data'!$A$3:$A$3390,Q$1,'United Data'!$C$3:$C$3390,$A826)&gt;0,1,0)</f>
        <v>0</v>
      </c>
      <c r="R826">
        <f>IF(COUNTIFS('United Data'!$A$3:$A$3390,R$1,'United Data'!$C$3:$C$3390,$A826)&gt;0,1,0)</f>
        <v>0</v>
      </c>
      <c r="S826">
        <f t="shared" si="24"/>
        <v>1</v>
      </c>
      <c r="T826">
        <f t="shared" si="25"/>
        <v>1</v>
      </c>
    </row>
    <row r="827" spans="1:20" x14ac:dyDescent="0.2">
      <c r="A827" t="s">
        <v>994</v>
      </c>
      <c r="B827">
        <f>IF(COUNTIFS('United Data'!$A$3:$A$3390,B$1,'United Data'!$C$3:$C$3390,$A827)&gt;0,1,0)</f>
        <v>0</v>
      </c>
      <c r="C827">
        <f>IF(COUNTIFS('United Data'!$A$3:$A$3390,C$1,'United Data'!$C$3:$C$3390,$A827)&gt;0,1,0)</f>
        <v>0</v>
      </c>
      <c r="D827">
        <f>IF(COUNTIFS('United Data'!$A$3:$A$3390,D$1,'United Data'!$C$3:$C$3390,$A827)&gt;0,1,0)</f>
        <v>0</v>
      </c>
      <c r="E827">
        <f>IF(COUNTIFS('United Data'!$A$3:$A$3390,E$1,'United Data'!$C$3:$C$3390,$A827)&gt;0,1,0)</f>
        <v>0</v>
      </c>
      <c r="F827">
        <f>IF(COUNTIFS('United Data'!$A$3:$A$3390,F$1,'United Data'!$C$3:$C$3390,$A827)&gt;0,1,0)</f>
        <v>1</v>
      </c>
      <c r="G827">
        <f>IF(COUNTIFS('United Data'!$A$3:$A$3390,G$1,'United Data'!$C$3:$C$3390,$A827)&gt;0,1,0)</f>
        <v>0</v>
      </c>
      <c r="H827">
        <f>IF(COUNTIFS('United Data'!$A$3:$A$3390,H$1,'United Data'!$C$3:$C$3390,$A827)&gt;0,1,0)</f>
        <v>0</v>
      </c>
      <c r="I827">
        <f>IF(COUNTIFS('United Data'!$A$3:$A$3390,I$1,'United Data'!$C$3:$C$3390,$A827)&gt;0,1,0)</f>
        <v>0</v>
      </c>
      <c r="J827">
        <f>IF(COUNTIFS('United Data'!$A$3:$A$3390,J$1,'United Data'!$C$3:$C$3390,$A827)&gt;0,1,0)</f>
        <v>0</v>
      </c>
      <c r="K827">
        <f>IF(COUNTIFS('United Data'!$A$3:$A$3390,K$1,'United Data'!$C$3:$C$3390,$A827)&gt;0,1,0)</f>
        <v>0</v>
      </c>
      <c r="L827">
        <f>IF(COUNTIFS('United Data'!$A$3:$A$3390,L$1,'United Data'!$C$3:$C$3390,$A827)&gt;0,1,0)</f>
        <v>0</v>
      </c>
      <c r="M827">
        <f>IF(COUNTIFS('United Data'!$A$3:$A$3390,M$1,'United Data'!$C$3:$C$3390,$A827)&gt;0,1,0)</f>
        <v>0</v>
      </c>
      <c r="N827">
        <f>IF(COUNTIFS('United Data'!$A$3:$A$3390,N$1,'United Data'!$C$3:$C$3390,$A827)&gt;0,1,0)</f>
        <v>0</v>
      </c>
      <c r="O827">
        <f>IF(COUNTIFS('United Data'!$A$3:$A$3390,O$1,'United Data'!$C$3:$C$3390,$A827)&gt;0,1,0)</f>
        <v>0</v>
      </c>
      <c r="P827">
        <f>IF(COUNTIFS('United Data'!$A$3:$A$3390,P$1,'United Data'!$C$3:$C$3390,$A827)&gt;0,1,0)</f>
        <v>0</v>
      </c>
      <c r="Q827">
        <f>IF(COUNTIFS('United Data'!$A$3:$A$3390,Q$1,'United Data'!$C$3:$C$3390,$A827)&gt;0,1,0)</f>
        <v>0</v>
      </c>
      <c r="R827">
        <f>IF(COUNTIFS('United Data'!$A$3:$A$3390,R$1,'United Data'!$C$3:$C$3390,$A827)&gt;0,1,0)</f>
        <v>0</v>
      </c>
      <c r="S827">
        <f t="shared" si="24"/>
        <v>1</v>
      </c>
      <c r="T827">
        <f t="shared" si="25"/>
        <v>1</v>
      </c>
    </row>
    <row r="828" spans="1:20" x14ac:dyDescent="0.2">
      <c r="A828" t="s">
        <v>995</v>
      </c>
      <c r="B828">
        <f>IF(COUNTIFS('United Data'!$A$3:$A$3390,B$1,'United Data'!$C$3:$C$3390,$A828)&gt;0,1,0)</f>
        <v>0</v>
      </c>
      <c r="C828">
        <f>IF(COUNTIFS('United Data'!$A$3:$A$3390,C$1,'United Data'!$C$3:$C$3390,$A828)&gt;0,1,0)</f>
        <v>0</v>
      </c>
      <c r="D828">
        <f>IF(COUNTIFS('United Data'!$A$3:$A$3390,D$1,'United Data'!$C$3:$C$3390,$A828)&gt;0,1,0)</f>
        <v>0</v>
      </c>
      <c r="E828">
        <f>IF(COUNTIFS('United Data'!$A$3:$A$3390,E$1,'United Data'!$C$3:$C$3390,$A828)&gt;0,1,0)</f>
        <v>0</v>
      </c>
      <c r="F828">
        <f>IF(COUNTIFS('United Data'!$A$3:$A$3390,F$1,'United Data'!$C$3:$C$3390,$A828)&gt;0,1,0)</f>
        <v>1</v>
      </c>
      <c r="G828">
        <f>IF(COUNTIFS('United Data'!$A$3:$A$3390,G$1,'United Data'!$C$3:$C$3390,$A828)&gt;0,1,0)</f>
        <v>0</v>
      </c>
      <c r="H828">
        <f>IF(COUNTIFS('United Data'!$A$3:$A$3390,H$1,'United Data'!$C$3:$C$3390,$A828)&gt;0,1,0)</f>
        <v>0</v>
      </c>
      <c r="I828">
        <f>IF(COUNTIFS('United Data'!$A$3:$A$3390,I$1,'United Data'!$C$3:$C$3390,$A828)&gt;0,1,0)</f>
        <v>0</v>
      </c>
      <c r="J828">
        <f>IF(COUNTIFS('United Data'!$A$3:$A$3390,J$1,'United Data'!$C$3:$C$3390,$A828)&gt;0,1,0)</f>
        <v>0</v>
      </c>
      <c r="K828">
        <f>IF(COUNTIFS('United Data'!$A$3:$A$3390,K$1,'United Data'!$C$3:$C$3390,$A828)&gt;0,1,0)</f>
        <v>0</v>
      </c>
      <c r="L828">
        <f>IF(COUNTIFS('United Data'!$A$3:$A$3390,L$1,'United Data'!$C$3:$C$3390,$A828)&gt;0,1,0)</f>
        <v>0</v>
      </c>
      <c r="M828">
        <f>IF(COUNTIFS('United Data'!$A$3:$A$3390,M$1,'United Data'!$C$3:$C$3390,$A828)&gt;0,1,0)</f>
        <v>0</v>
      </c>
      <c r="N828">
        <f>IF(COUNTIFS('United Data'!$A$3:$A$3390,N$1,'United Data'!$C$3:$C$3390,$A828)&gt;0,1,0)</f>
        <v>0</v>
      </c>
      <c r="O828">
        <f>IF(COUNTIFS('United Data'!$A$3:$A$3390,O$1,'United Data'!$C$3:$C$3390,$A828)&gt;0,1,0)</f>
        <v>0</v>
      </c>
      <c r="P828">
        <f>IF(COUNTIFS('United Data'!$A$3:$A$3390,P$1,'United Data'!$C$3:$C$3390,$A828)&gt;0,1,0)</f>
        <v>0</v>
      </c>
      <c r="Q828">
        <f>IF(COUNTIFS('United Data'!$A$3:$A$3390,Q$1,'United Data'!$C$3:$C$3390,$A828)&gt;0,1,0)</f>
        <v>0</v>
      </c>
      <c r="R828">
        <f>IF(COUNTIFS('United Data'!$A$3:$A$3390,R$1,'United Data'!$C$3:$C$3390,$A828)&gt;0,1,0)</f>
        <v>0</v>
      </c>
      <c r="S828">
        <f t="shared" si="24"/>
        <v>1</v>
      </c>
      <c r="T828">
        <f t="shared" si="25"/>
        <v>1</v>
      </c>
    </row>
    <row r="829" spans="1:20" x14ac:dyDescent="0.2">
      <c r="A829" t="s">
        <v>996</v>
      </c>
      <c r="B829">
        <f>IF(COUNTIFS('United Data'!$A$3:$A$3390,B$1,'United Data'!$C$3:$C$3390,$A829)&gt;0,1,0)</f>
        <v>0</v>
      </c>
      <c r="C829">
        <f>IF(COUNTIFS('United Data'!$A$3:$A$3390,C$1,'United Data'!$C$3:$C$3390,$A829)&gt;0,1,0)</f>
        <v>0</v>
      </c>
      <c r="D829">
        <f>IF(COUNTIFS('United Data'!$A$3:$A$3390,D$1,'United Data'!$C$3:$C$3390,$A829)&gt;0,1,0)</f>
        <v>0</v>
      </c>
      <c r="E829">
        <f>IF(COUNTIFS('United Data'!$A$3:$A$3390,E$1,'United Data'!$C$3:$C$3390,$A829)&gt;0,1,0)</f>
        <v>0</v>
      </c>
      <c r="F829">
        <f>IF(COUNTIFS('United Data'!$A$3:$A$3390,F$1,'United Data'!$C$3:$C$3390,$A829)&gt;0,1,0)</f>
        <v>1</v>
      </c>
      <c r="G829">
        <f>IF(COUNTIFS('United Data'!$A$3:$A$3390,G$1,'United Data'!$C$3:$C$3390,$A829)&gt;0,1,0)</f>
        <v>0</v>
      </c>
      <c r="H829">
        <f>IF(COUNTIFS('United Data'!$A$3:$A$3390,H$1,'United Data'!$C$3:$C$3390,$A829)&gt;0,1,0)</f>
        <v>0</v>
      </c>
      <c r="I829">
        <f>IF(COUNTIFS('United Data'!$A$3:$A$3390,I$1,'United Data'!$C$3:$C$3390,$A829)&gt;0,1,0)</f>
        <v>0</v>
      </c>
      <c r="J829">
        <f>IF(COUNTIFS('United Data'!$A$3:$A$3390,J$1,'United Data'!$C$3:$C$3390,$A829)&gt;0,1,0)</f>
        <v>0</v>
      </c>
      <c r="K829">
        <f>IF(COUNTIFS('United Data'!$A$3:$A$3390,K$1,'United Data'!$C$3:$C$3390,$A829)&gt;0,1,0)</f>
        <v>0</v>
      </c>
      <c r="L829">
        <f>IF(COUNTIFS('United Data'!$A$3:$A$3390,L$1,'United Data'!$C$3:$C$3390,$A829)&gt;0,1,0)</f>
        <v>0</v>
      </c>
      <c r="M829">
        <f>IF(COUNTIFS('United Data'!$A$3:$A$3390,M$1,'United Data'!$C$3:$C$3390,$A829)&gt;0,1,0)</f>
        <v>0</v>
      </c>
      <c r="N829">
        <f>IF(COUNTIFS('United Data'!$A$3:$A$3390,N$1,'United Data'!$C$3:$C$3390,$A829)&gt;0,1,0)</f>
        <v>0</v>
      </c>
      <c r="O829">
        <f>IF(COUNTIFS('United Data'!$A$3:$A$3390,O$1,'United Data'!$C$3:$C$3390,$A829)&gt;0,1,0)</f>
        <v>0</v>
      </c>
      <c r="P829">
        <f>IF(COUNTIFS('United Data'!$A$3:$A$3390,P$1,'United Data'!$C$3:$C$3390,$A829)&gt;0,1,0)</f>
        <v>0</v>
      </c>
      <c r="Q829">
        <f>IF(COUNTIFS('United Data'!$A$3:$A$3390,Q$1,'United Data'!$C$3:$C$3390,$A829)&gt;0,1,0)</f>
        <v>0</v>
      </c>
      <c r="R829">
        <f>IF(COUNTIFS('United Data'!$A$3:$A$3390,R$1,'United Data'!$C$3:$C$3390,$A829)&gt;0,1,0)</f>
        <v>0</v>
      </c>
      <c r="S829">
        <f t="shared" si="24"/>
        <v>1</v>
      </c>
      <c r="T829">
        <f t="shared" si="25"/>
        <v>1</v>
      </c>
    </row>
    <row r="830" spans="1:20" x14ac:dyDescent="0.2">
      <c r="A830" t="s">
        <v>997</v>
      </c>
      <c r="B830">
        <f>IF(COUNTIFS('United Data'!$A$3:$A$3390,B$1,'United Data'!$C$3:$C$3390,$A830)&gt;0,1,0)</f>
        <v>0</v>
      </c>
      <c r="C830">
        <f>IF(COUNTIFS('United Data'!$A$3:$A$3390,C$1,'United Data'!$C$3:$C$3390,$A830)&gt;0,1,0)</f>
        <v>0</v>
      </c>
      <c r="D830">
        <f>IF(COUNTIFS('United Data'!$A$3:$A$3390,D$1,'United Data'!$C$3:$C$3390,$A830)&gt;0,1,0)</f>
        <v>0</v>
      </c>
      <c r="E830">
        <f>IF(COUNTIFS('United Data'!$A$3:$A$3390,E$1,'United Data'!$C$3:$C$3390,$A830)&gt;0,1,0)</f>
        <v>0</v>
      </c>
      <c r="F830">
        <f>IF(COUNTIFS('United Data'!$A$3:$A$3390,F$1,'United Data'!$C$3:$C$3390,$A830)&gt;0,1,0)</f>
        <v>1</v>
      </c>
      <c r="G830">
        <f>IF(COUNTIFS('United Data'!$A$3:$A$3390,G$1,'United Data'!$C$3:$C$3390,$A830)&gt;0,1,0)</f>
        <v>0</v>
      </c>
      <c r="H830">
        <f>IF(COUNTIFS('United Data'!$A$3:$A$3390,H$1,'United Data'!$C$3:$C$3390,$A830)&gt;0,1,0)</f>
        <v>0</v>
      </c>
      <c r="I830">
        <f>IF(COUNTIFS('United Data'!$A$3:$A$3390,I$1,'United Data'!$C$3:$C$3390,$A830)&gt;0,1,0)</f>
        <v>0</v>
      </c>
      <c r="J830">
        <f>IF(COUNTIFS('United Data'!$A$3:$A$3390,J$1,'United Data'!$C$3:$C$3390,$A830)&gt;0,1,0)</f>
        <v>0</v>
      </c>
      <c r="K830">
        <f>IF(COUNTIFS('United Data'!$A$3:$A$3390,K$1,'United Data'!$C$3:$C$3390,$A830)&gt;0,1,0)</f>
        <v>0</v>
      </c>
      <c r="L830">
        <f>IF(COUNTIFS('United Data'!$A$3:$A$3390,L$1,'United Data'!$C$3:$C$3390,$A830)&gt;0,1,0)</f>
        <v>0</v>
      </c>
      <c r="M830">
        <f>IF(COUNTIFS('United Data'!$A$3:$A$3390,M$1,'United Data'!$C$3:$C$3390,$A830)&gt;0,1,0)</f>
        <v>0</v>
      </c>
      <c r="N830">
        <f>IF(COUNTIFS('United Data'!$A$3:$A$3390,N$1,'United Data'!$C$3:$C$3390,$A830)&gt;0,1,0)</f>
        <v>0</v>
      </c>
      <c r="O830">
        <f>IF(COUNTIFS('United Data'!$A$3:$A$3390,O$1,'United Data'!$C$3:$C$3390,$A830)&gt;0,1,0)</f>
        <v>0</v>
      </c>
      <c r="P830">
        <f>IF(COUNTIFS('United Data'!$A$3:$A$3390,P$1,'United Data'!$C$3:$C$3390,$A830)&gt;0,1,0)</f>
        <v>0</v>
      </c>
      <c r="Q830">
        <f>IF(COUNTIFS('United Data'!$A$3:$A$3390,Q$1,'United Data'!$C$3:$C$3390,$A830)&gt;0,1,0)</f>
        <v>0</v>
      </c>
      <c r="R830">
        <f>IF(COUNTIFS('United Data'!$A$3:$A$3390,R$1,'United Data'!$C$3:$C$3390,$A830)&gt;0,1,0)</f>
        <v>0</v>
      </c>
      <c r="S830">
        <f t="shared" si="24"/>
        <v>1</v>
      </c>
      <c r="T830">
        <f t="shared" si="25"/>
        <v>1</v>
      </c>
    </row>
    <row r="831" spans="1:20" x14ac:dyDescent="0.2">
      <c r="A831" t="s">
        <v>998</v>
      </c>
      <c r="B831">
        <f>IF(COUNTIFS('United Data'!$A$3:$A$3390,B$1,'United Data'!$C$3:$C$3390,$A831)&gt;0,1,0)</f>
        <v>0</v>
      </c>
      <c r="C831">
        <f>IF(COUNTIFS('United Data'!$A$3:$A$3390,C$1,'United Data'!$C$3:$C$3390,$A831)&gt;0,1,0)</f>
        <v>0</v>
      </c>
      <c r="D831">
        <f>IF(COUNTIFS('United Data'!$A$3:$A$3390,D$1,'United Data'!$C$3:$C$3390,$A831)&gt;0,1,0)</f>
        <v>0</v>
      </c>
      <c r="E831">
        <f>IF(COUNTIFS('United Data'!$A$3:$A$3390,E$1,'United Data'!$C$3:$C$3390,$A831)&gt;0,1,0)</f>
        <v>0</v>
      </c>
      <c r="F831">
        <f>IF(COUNTIFS('United Data'!$A$3:$A$3390,F$1,'United Data'!$C$3:$C$3390,$A831)&gt;0,1,0)</f>
        <v>0</v>
      </c>
      <c r="G831">
        <f>IF(COUNTIFS('United Data'!$A$3:$A$3390,G$1,'United Data'!$C$3:$C$3390,$A831)&gt;0,1,0)</f>
        <v>1</v>
      </c>
      <c r="H831">
        <f>IF(COUNTIFS('United Data'!$A$3:$A$3390,H$1,'United Data'!$C$3:$C$3390,$A831)&gt;0,1,0)</f>
        <v>1</v>
      </c>
      <c r="I831">
        <f>IF(COUNTIFS('United Data'!$A$3:$A$3390,I$1,'United Data'!$C$3:$C$3390,$A831)&gt;0,1,0)</f>
        <v>1</v>
      </c>
      <c r="J831">
        <f>IF(COUNTIFS('United Data'!$A$3:$A$3390,J$1,'United Data'!$C$3:$C$3390,$A831)&gt;0,1,0)</f>
        <v>0</v>
      </c>
      <c r="K831">
        <f>IF(COUNTIFS('United Data'!$A$3:$A$3390,K$1,'United Data'!$C$3:$C$3390,$A831)&gt;0,1,0)</f>
        <v>0</v>
      </c>
      <c r="L831">
        <f>IF(COUNTIFS('United Data'!$A$3:$A$3390,L$1,'United Data'!$C$3:$C$3390,$A831)&gt;0,1,0)</f>
        <v>0</v>
      </c>
      <c r="M831">
        <f>IF(COUNTIFS('United Data'!$A$3:$A$3390,M$1,'United Data'!$C$3:$C$3390,$A831)&gt;0,1,0)</f>
        <v>0</v>
      </c>
      <c r="N831">
        <f>IF(COUNTIFS('United Data'!$A$3:$A$3390,N$1,'United Data'!$C$3:$C$3390,$A831)&gt;0,1,0)</f>
        <v>0</v>
      </c>
      <c r="O831">
        <f>IF(COUNTIFS('United Data'!$A$3:$A$3390,O$1,'United Data'!$C$3:$C$3390,$A831)&gt;0,1,0)</f>
        <v>0</v>
      </c>
      <c r="P831">
        <f>IF(COUNTIFS('United Data'!$A$3:$A$3390,P$1,'United Data'!$C$3:$C$3390,$A831)&gt;0,1,0)</f>
        <v>1</v>
      </c>
      <c r="Q831">
        <f>IF(COUNTIFS('United Data'!$A$3:$A$3390,Q$1,'United Data'!$C$3:$C$3390,$A831)&gt;0,1,0)</f>
        <v>0</v>
      </c>
      <c r="R831">
        <f>IF(COUNTIFS('United Data'!$A$3:$A$3390,R$1,'United Data'!$C$3:$C$3390,$A831)&gt;0,1,0)</f>
        <v>0</v>
      </c>
      <c r="S831">
        <f t="shared" si="24"/>
        <v>4</v>
      </c>
      <c r="T831">
        <f t="shared" si="25"/>
        <v>2</v>
      </c>
    </row>
    <row r="832" spans="1:20" x14ac:dyDescent="0.2">
      <c r="A832" t="s">
        <v>999</v>
      </c>
      <c r="B832">
        <f>IF(COUNTIFS('United Data'!$A$3:$A$3390,B$1,'United Data'!$C$3:$C$3390,$A832)&gt;0,1,0)</f>
        <v>0</v>
      </c>
      <c r="C832">
        <f>IF(COUNTIFS('United Data'!$A$3:$A$3390,C$1,'United Data'!$C$3:$C$3390,$A832)&gt;0,1,0)</f>
        <v>0</v>
      </c>
      <c r="D832">
        <f>IF(COUNTIFS('United Data'!$A$3:$A$3390,D$1,'United Data'!$C$3:$C$3390,$A832)&gt;0,1,0)</f>
        <v>0</v>
      </c>
      <c r="E832">
        <f>IF(COUNTIFS('United Data'!$A$3:$A$3390,E$1,'United Data'!$C$3:$C$3390,$A832)&gt;0,1,0)</f>
        <v>0</v>
      </c>
      <c r="F832">
        <f>IF(COUNTIFS('United Data'!$A$3:$A$3390,F$1,'United Data'!$C$3:$C$3390,$A832)&gt;0,1,0)</f>
        <v>0</v>
      </c>
      <c r="G832">
        <f>IF(COUNTIFS('United Data'!$A$3:$A$3390,G$1,'United Data'!$C$3:$C$3390,$A832)&gt;0,1,0)</f>
        <v>1</v>
      </c>
      <c r="H832">
        <f>IF(COUNTIFS('United Data'!$A$3:$A$3390,H$1,'United Data'!$C$3:$C$3390,$A832)&gt;0,1,0)</f>
        <v>0</v>
      </c>
      <c r="I832">
        <f>IF(COUNTIFS('United Data'!$A$3:$A$3390,I$1,'United Data'!$C$3:$C$3390,$A832)&gt;0,1,0)</f>
        <v>0</v>
      </c>
      <c r="J832">
        <f>IF(COUNTIFS('United Data'!$A$3:$A$3390,J$1,'United Data'!$C$3:$C$3390,$A832)&gt;0,1,0)</f>
        <v>0</v>
      </c>
      <c r="K832">
        <f>IF(COUNTIFS('United Data'!$A$3:$A$3390,K$1,'United Data'!$C$3:$C$3390,$A832)&gt;0,1,0)</f>
        <v>0</v>
      </c>
      <c r="L832">
        <f>IF(COUNTIFS('United Data'!$A$3:$A$3390,L$1,'United Data'!$C$3:$C$3390,$A832)&gt;0,1,0)</f>
        <v>0</v>
      </c>
      <c r="M832">
        <f>IF(COUNTIFS('United Data'!$A$3:$A$3390,M$1,'United Data'!$C$3:$C$3390,$A832)&gt;0,1,0)</f>
        <v>0</v>
      </c>
      <c r="N832">
        <f>IF(COUNTIFS('United Data'!$A$3:$A$3390,N$1,'United Data'!$C$3:$C$3390,$A832)&gt;0,1,0)</f>
        <v>0</v>
      </c>
      <c r="O832">
        <f>IF(COUNTIFS('United Data'!$A$3:$A$3390,O$1,'United Data'!$C$3:$C$3390,$A832)&gt;0,1,0)</f>
        <v>0</v>
      </c>
      <c r="P832">
        <f>IF(COUNTIFS('United Data'!$A$3:$A$3390,P$1,'United Data'!$C$3:$C$3390,$A832)&gt;0,1,0)</f>
        <v>0</v>
      </c>
      <c r="Q832">
        <f>IF(COUNTIFS('United Data'!$A$3:$A$3390,Q$1,'United Data'!$C$3:$C$3390,$A832)&gt;0,1,0)</f>
        <v>0</v>
      </c>
      <c r="R832">
        <f>IF(COUNTIFS('United Data'!$A$3:$A$3390,R$1,'United Data'!$C$3:$C$3390,$A832)&gt;0,1,0)</f>
        <v>0</v>
      </c>
      <c r="S832">
        <f t="shared" si="24"/>
        <v>1</v>
      </c>
      <c r="T832">
        <f t="shared" si="25"/>
        <v>1</v>
      </c>
    </row>
    <row r="833" spans="1:20" x14ac:dyDescent="0.2">
      <c r="A833" t="s">
        <v>1001</v>
      </c>
      <c r="B833">
        <f>IF(COUNTIFS('United Data'!$A$3:$A$3390,B$1,'United Data'!$C$3:$C$3390,$A833)&gt;0,1,0)</f>
        <v>0</v>
      </c>
      <c r="C833">
        <f>IF(COUNTIFS('United Data'!$A$3:$A$3390,C$1,'United Data'!$C$3:$C$3390,$A833)&gt;0,1,0)</f>
        <v>0</v>
      </c>
      <c r="D833">
        <f>IF(COUNTIFS('United Data'!$A$3:$A$3390,D$1,'United Data'!$C$3:$C$3390,$A833)&gt;0,1,0)</f>
        <v>0</v>
      </c>
      <c r="E833">
        <f>IF(COUNTIFS('United Data'!$A$3:$A$3390,E$1,'United Data'!$C$3:$C$3390,$A833)&gt;0,1,0)</f>
        <v>0</v>
      </c>
      <c r="F833">
        <f>IF(COUNTIFS('United Data'!$A$3:$A$3390,F$1,'United Data'!$C$3:$C$3390,$A833)&gt;0,1,0)</f>
        <v>0</v>
      </c>
      <c r="G833">
        <f>IF(COUNTIFS('United Data'!$A$3:$A$3390,G$1,'United Data'!$C$3:$C$3390,$A833)&gt;0,1,0)</f>
        <v>0</v>
      </c>
      <c r="H833">
        <f>IF(COUNTIFS('United Data'!$A$3:$A$3390,H$1,'United Data'!$C$3:$C$3390,$A833)&gt;0,1,0)</f>
        <v>1</v>
      </c>
      <c r="I833">
        <f>IF(COUNTIFS('United Data'!$A$3:$A$3390,I$1,'United Data'!$C$3:$C$3390,$A833)&gt;0,1,0)</f>
        <v>0</v>
      </c>
      <c r="J833">
        <f>IF(COUNTIFS('United Data'!$A$3:$A$3390,J$1,'United Data'!$C$3:$C$3390,$A833)&gt;0,1,0)</f>
        <v>0</v>
      </c>
      <c r="K833">
        <f>IF(COUNTIFS('United Data'!$A$3:$A$3390,K$1,'United Data'!$C$3:$C$3390,$A833)&gt;0,1,0)</f>
        <v>0</v>
      </c>
      <c r="L833">
        <f>IF(COUNTIFS('United Data'!$A$3:$A$3390,L$1,'United Data'!$C$3:$C$3390,$A833)&gt;0,1,0)</f>
        <v>0</v>
      </c>
      <c r="M833">
        <f>IF(COUNTIFS('United Data'!$A$3:$A$3390,M$1,'United Data'!$C$3:$C$3390,$A833)&gt;0,1,0)</f>
        <v>0</v>
      </c>
      <c r="N833">
        <f>IF(COUNTIFS('United Data'!$A$3:$A$3390,N$1,'United Data'!$C$3:$C$3390,$A833)&gt;0,1,0)</f>
        <v>0</v>
      </c>
      <c r="O833">
        <f>IF(COUNTIFS('United Data'!$A$3:$A$3390,O$1,'United Data'!$C$3:$C$3390,$A833)&gt;0,1,0)</f>
        <v>0</v>
      </c>
      <c r="P833">
        <f>IF(COUNTIFS('United Data'!$A$3:$A$3390,P$1,'United Data'!$C$3:$C$3390,$A833)&gt;0,1,0)</f>
        <v>0</v>
      </c>
      <c r="Q833">
        <f>IF(COUNTIFS('United Data'!$A$3:$A$3390,Q$1,'United Data'!$C$3:$C$3390,$A833)&gt;0,1,0)</f>
        <v>0</v>
      </c>
      <c r="R833">
        <f>IF(COUNTIFS('United Data'!$A$3:$A$3390,R$1,'United Data'!$C$3:$C$3390,$A833)&gt;0,1,0)</f>
        <v>0</v>
      </c>
      <c r="S833">
        <f t="shared" si="24"/>
        <v>1</v>
      </c>
      <c r="T833">
        <f t="shared" si="25"/>
        <v>1</v>
      </c>
    </row>
    <row r="834" spans="1:20" x14ac:dyDescent="0.2">
      <c r="A834" t="s">
        <v>1002</v>
      </c>
      <c r="B834">
        <f>IF(COUNTIFS('United Data'!$A$3:$A$3390,B$1,'United Data'!$C$3:$C$3390,$A834)&gt;0,1,0)</f>
        <v>0</v>
      </c>
      <c r="C834">
        <f>IF(COUNTIFS('United Data'!$A$3:$A$3390,C$1,'United Data'!$C$3:$C$3390,$A834)&gt;0,1,0)</f>
        <v>0</v>
      </c>
      <c r="D834">
        <f>IF(COUNTIFS('United Data'!$A$3:$A$3390,D$1,'United Data'!$C$3:$C$3390,$A834)&gt;0,1,0)</f>
        <v>0</v>
      </c>
      <c r="E834">
        <f>IF(COUNTIFS('United Data'!$A$3:$A$3390,E$1,'United Data'!$C$3:$C$3390,$A834)&gt;0,1,0)</f>
        <v>0</v>
      </c>
      <c r="F834">
        <f>IF(COUNTIFS('United Data'!$A$3:$A$3390,F$1,'United Data'!$C$3:$C$3390,$A834)&gt;0,1,0)</f>
        <v>0</v>
      </c>
      <c r="G834">
        <f>IF(COUNTIFS('United Data'!$A$3:$A$3390,G$1,'United Data'!$C$3:$C$3390,$A834)&gt;0,1,0)</f>
        <v>0</v>
      </c>
      <c r="H834">
        <f>IF(COUNTIFS('United Data'!$A$3:$A$3390,H$1,'United Data'!$C$3:$C$3390,$A834)&gt;0,1,0)</f>
        <v>1</v>
      </c>
      <c r="I834">
        <f>IF(COUNTIFS('United Data'!$A$3:$A$3390,I$1,'United Data'!$C$3:$C$3390,$A834)&gt;0,1,0)</f>
        <v>0</v>
      </c>
      <c r="J834">
        <f>IF(COUNTIFS('United Data'!$A$3:$A$3390,J$1,'United Data'!$C$3:$C$3390,$A834)&gt;0,1,0)</f>
        <v>0</v>
      </c>
      <c r="K834">
        <f>IF(COUNTIFS('United Data'!$A$3:$A$3390,K$1,'United Data'!$C$3:$C$3390,$A834)&gt;0,1,0)</f>
        <v>0</v>
      </c>
      <c r="L834">
        <f>IF(COUNTIFS('United Data'!$A$3:$A$3390,L$1,'United Data'!$C$3:$C$3390,$A834)&gt;0,1,0)</f>
        <v>0</v>
      </c>
      <c r="M834">
        <f>IF(COUNTIFS('United Data'!$A$3:$A$3390,M$1,'United Data'!$C$3:$C$3390,$A834)&gt;0,1,0)</f>
        <v>0</v>
      </c>
      <c r="N834">
        <f>IF(COUNTIFS('United Data'!$A$3:$A$3390,N$1,'United Data'!$C$3:$C$3390,$A834)&gt;0,1,0)</f>
        <v>0</v>
      </c>
      <c r="O834">
        <f>IF(COUNTIFS('United Data'!$A$3:$A$3390,O$1,'United Data'!$C$3:$C$3390,$A834)&gt;0,1,0)</f>
        <v>0</v>
      </c>
      <c r="P834">
        <f>IF(COUNTIFS('United Data'!$A$3:$A$3390,P$1,'United Data'!$C$3:$C$3390,$A834)&gt;0,1,0)</f>
        <v>0</v>
      </c>
      <c r="Q834">
        <f>IF(COUNTIFS('United Data'!$A$3:$A$3390,Q$1,'United Data'!$C$3:$C$3390,$A834)&gt;0,1,0)</f>
        <v>0</v>
      </c>
      <c r="R834">
        <f>IF(COUNTIFS('United Data'!$A$3:$A$3390,R$1,'United Data'!$C$3:$C$3390,$A834)&gt;0,1,0)</f>
        <v>0</v>
      </c>
      <c r="S834">
        <f t="shared" ref="S834:S897" si="26">SUM(B834:R834)</f>
        <v>1</v>
      </c>
      <c r="T834">
        <f t="shared" ref="T834:T897" si="27">B834+SUMPRODUCT(--(C834:R834&gt;B834:Q834))</f>
        <v>1</v>
      </c>
    </row>
    <row r="835" spans="1:20" x14ac:dyDescent="0.2">
      <c r="A835" t="s">
        <v>1003</v>
      </c>
      <c r="B835">
        <f>IF(COUNTIFS('United Data'!$A$3:$A$3390,B$1,'United Data'!$C$3:$C$3390,$A835)&gt;0,1,0)</f>
        <v>0</v>
      </c>
      <c r="C835">
        <f>IF(COUNTIFS('United Data'!$A$3:$A$3390,C$1,'United Data'!$C$3:$C$3390,$A835)&gt;0,1,0)</f>
        <v>0</v>
      </c>
      <c r="D835">
        <f>IF(COUNTIFS('United Data'!$A$3:$A$3390,D$1,'United Data'!$C$3:$C$3390,$A835)&gt;0,1,0)</f>
        <v>0</v>
      </c>
      <c r="E835">
        <f>IF(COUNTIFS('United Data'!$A$3:$A$3390,E$1,'United Data'!$C$3:$C$3390,$A835)&gt;0,1,0)</f>
        <v>0</v>
      </c>
      <c r="F835">
        <f>IF(COUNTIFS('United Data'!$A$3:$A$3390,F$1,'United Data'!$C$3:$C$3390,$A835)&gt;0,1,0)</f>
        <v>0</v>
      </c>
      <c r="G835">
        <f>IF(COUNTIFS('United Data'!$A$3:$A$3390,G$1,'United Data'!$C$3:$C$3390,$A835)&gt;0,1,0)</f>
        <v>0</v>
      </c>
      <c r="H835">
        <f>IF(COUNTIFS('United Data'!$A$3:$A$3390,H$1,'United Data'!$C$3:$C$3390,$A835)&gt;0,1,0)</f>
        <v>1</v>
      </c>
      <c r="I835">
        <f>IF(COUNTIFS('United Data'!$A$3:$A$3390,I$1,'United Data'!$C$3:$C$3390,$A835)&gt;0,1,0)</f>
        <v>0</v>
      </c>
      <c r="J835">
        <f>IF(COUNTIFS('United Data'!$A$3:$A$3390,J$1,'United Data'!$C$3:$C$3390,$A835)&gt;0,1,0)</f>
        <v>0</v>
      </c>
      <c r="K835">
        <f>IF(COUNTIFS('United Data'!$A$3:$A$3390,K$1,'United Data'!$C$3:$C$3390,$A835)&gt;0,1,0)</f>
        <v>0</v>
      </c>
      <c r="L835">
        <f>IF(COUNTIFS('United Data'!$A$3:$A$3390,L$1,'United Data'!$C$3:$C$3390,$A835)&gt;0,1,0)</f>
        <v>0</v>
      </c>
      <c r="M835">
        <f>IF(COUNTIFS('United Data'!$A$3:$A$3390,M$1,'United Data'!$C$3:$C$3390,$A835)&gt;0,1,0)</f>
        <v>0</v>
      </c>
      <c r="N835">
        <f>IF(COUNTIFS('United Data'!$A$3:$A$3390,N$1,'United Data'!$C$3:$C$3390,$A835)&gt;0,1,0)</f>
        <v>0</v>
      </c>
      <c r="O835">
        <f>IF(COUNTIFS('United Data'!$A$3:$A$3390,O$1,'United Data'!$C$3:$C$3390,$A835)&gt;0,1,0)</f>
        <v>0</v>
      </c>
      <c r="P835">
        <f>IF(COUNTIFS('United Data'!$A$3:$A$3390,P$1,'United Data'!$C$3:$C$3390,$A835)&gt;0,1,0)</f>
        <v>0</v>
      </c>
      <c r="Q835">
        <f>IF(COUNTIFS('United Data'!$A$3:$A$3390,Q$1,'United Data'!$C$3:$C$3390,$A835)&gt;0,1,0)</f>
        <v>0</v>
      </c>
      <c r="R835">
        <f>IF(COUNTIFS('United Data'!$A$3:$A$3390,R$1,'United Data'!$C$3:$C$3390,$A835)&gt;0,1,0)</f>
        <v>0</v>
      </c>
      <c r="S835">
        <f t="shared" si="26"/>
        <v>1</v>
      </c>
      <c r="T835">
        <f t="shared" si="27"/>
        <v>1</v>
      </c>
    </row>
    <row r="836" spans="1:20" x14ac:dyDescent="0.2">
      <c r="A836" t="s">
        <v>1004</v>
      </c>
      <c r="B836">
        <f>IF(COUNTIFS('United Data'!$A$3:$A$3390,B$1,'United Data'!$C$3:$C$3390,$A836)&gt;0,1,0)</f>
        <v>0</v>
      </c>
      <c r="C836">
        <f>IF(COUNTIFS('United Data'!$A$3:$A$3390,C$1,'United Data'!$C$3:$C$3390,$A836)&gt;0,1,0)</f>
        <v>0</v>
      </c>
      <c r="D836">
        <f>IF(COUNTIFS('United Data'!$A$3:$A$3390,D$1,'United Data'!$C$3:$C$3390,$A836)&gt;0,1,0)</f>
        <v>0</v>
      </c>
      <c r="E836">
        <f>IF(COUNTIFS('United Data'!$A$3:$A$3390,E$1,'United Data'!$C$3:$C$3390,$A836)&gt;0,1,0)</f>
        <v>0</v>
      </c>
      <c r="F836">
        <f>IF(COUNTIFS('United Data'!$A$3:$A$3390,F$1,'United Data'!$C$3:$C$3390,$A836)&gt;0,1,0)</f>
        <v>0</v>
      </c>
      <c r="G836">
        <f>IF(COUNTIFS('United Data'!$A$3:$A$3390,G$1,'United Data'!$C$3:$C$3390,$A836)&gt;0,1,0)</f>
        <v>0</v>
      </c>
      <c r="H836">
        <f>IF(COUNTIFS('United Data'!$A$3:$A$3390,H$1,'United Data'!$C$3:$C$3390,$A836)&gt;0,1,0)</f>
        <v>1</v>
      </c>
      <c r="I836">
        <f>IF(COUNTIFS('United Data'!$A$3:$A$3390,I$1,'United Data'!$C$3:$C$3390,$A836)&gt;0,1,0)</f>
        <v>0</v>
      </c>
      <c r="J836">
        <f>IF(COUNTIFS('United Data'!$A$3:$A$3390,J$1,'United Data'!$C$3:$C$3390,$A836)&gt;0,1,0)</f>
        <v>0</v>
      </c>
      <c r="K836">
        <f>IF(COUNTIFS('United Data'!$A$3:$A$3390,K$1,'United Data'!$C$3:$C$3390,$A836)&gt;0,1,0)</f>
        <v>0</v>
      </c>
      <c r="L836">
        <f>IF(COUNTIFS('United Data'!$A$3:$A$3390,L$1,'United Data'!$C$3:$C$3390,$A836)&gt;0,1,0)</f>
        <v>0</v>
      </c>
      <c r="M836">
        <f>IF(COUNTIFS('United Data'!$A$3:$A$3390,M$1,'United Data'!$C$3:$C$3390,$A836)&gt;0,1,0)</f>
        <v>0</v>
      </c>
      <c r="N836">
        <f>IF(COUNTIFS('United Data'!$A$3:$A$3390,N$1,'United Data'!$C$3:$C$3390,$A836)&gt;0,1,0)</f>
        <v>0</v>
      </c>
      <c r="O836">
        <f>IF(COUNTIFS('United Data'!$A$3:$A$3390,O$1,'United Data'!$C$3:$C$3390,$A836)&gt;0,1,0)</f>
        <v>0</v>
      </c>
      <c r="P836">
        <f>IF(COUNTIFS('United Data'!$A$3:$A$3390,P$1,'United Data'!$C$3:$C$3390,$A836)&gt;0,1,0)</f>
        <v>0</v>
      </c>
      <c r="Q836">
        <f>IF(COUNTIFS('United Data'!$A$3:$A$3390,Q$1,'United Data'!$C$3:$C$3390,$A836)&gt;0,1,0)</f>
        <v>0</v>
      </c>
      <c r="R836">
        <f>IF(COUNTIFS('United Data'!$A$3:$A$3390,R$1,'United Data'!$C$3:$C$3390,$A836)&gt;0,1,0)</f>
        <v>0</v>
      </c>
      <c r="S836">
        <f t="shared" si="26"/>
        <v>1</v>
      </c>
      <c r="T836">
        <f t="shared" si="27"/>
        <v>1</v>
      </c>
    </row>
    <row r="837" spans="1:20" x14ac:dyDescent="0.2">
      <c r="A837" t="s">
        <v>1006</v>
      </c>
      <c r="B837">
        <f>IF(COUNTIFS('United Data'!$A$3:$A$3390,B$1,'United Data'!$C$3:$C$3390,$A837)&gt;0,1,0)</f>
        <v>0</v>
      </c>
      <c r="C837">
        <f>IF(COUNTIFS('United Data'!$A$3:$A$3390,C$1,'United Data'!$C$3:$C$3390,$A837)&gt;0,1,0)</f>
        <v>0</v>
      </c>
      <c r="D837">
        <f>IF(COUNTIFS('United Data'!$A$3:$A$3390,D$1,'United Data'!$C$3:$C$3390,$A837)&gt;0,1,0)</f>
        <v>0</v>
      </c>
      <c r="E837">
        <f>IF(COUNTIFS('United Data'!$A$3:$A$3390,E$1,'United Data'!$C$3:$C$3390,$A837)&gt;0,1,0)</f>
        <v>0</v>
      </c>
      <c r="F837">
        <f>IF(COUNTIFS('United Data'!$A$3:$A$3390,F$1,'United Data'!$C$3:$C$3390,$A837)&gt;0,1,0)</f>
        <v>0</v>
      </c>
      <c r="G837">
        <f>IF(COUNTIFS('United Data'!$A$3:$A$3390,G$1,'United Data'!$C$3:$C$3390,$A837)&gt;0,1,0)</f>
        <v>0</v>
      </c>
      <c r="H837">
        <f>IF(COUNTIFS('United Data'!$A$3:$A$3390,H$1,'United Data'!$C$3:$C$3390,$A837)&gt;0,1,0)</f>
        <v>0</v>
      </c>
      <c r="I837">
        <f>IF(COUNTIFS('United Data'!$A$3:$A$3390,I$1,'United Data'!$C$3:$C$3390,$A837)&gt;0,1,0)</f>
        <v>1</v>
      </c>
      <c r="J837">
        <f>IF(COUNTIFS('United Data'!$A$3:$A$3390,J$1,'United Data'!$C$3:$C$3390,$A837)&gt;0,1,0)</f>
        <v>0</v>
      </c>
      <c r="K837">
        <f>IF(COUNTIFS('United Data'!$A$3:$A$3390,K$1,'United Data'!$C$3:$C$3390,$A837)&gt;0,1,0)</f>
        <v>0</v>
      </c>
      <c r="L837">
        <f>IF(COUNTIFS('United Data'!$A$3:$A$3390,L$1,'United Data'!$C$3:$C$3390,$A837)&gt;0,1,0)</f>
        <v>0</v>
      </c>
      <c r="M837">
        <f>IF(COUNTIFS('United Data'!$A$3:$A$3390,M$1,'United Data'!$C$3:$C$3390,$A837)&gt;0,1,0)</f>
        <v>0</v>
      </c>
      <c r="N837">
        <f>IF(COUNTIFS('United Data'!$A$3:$A$3390,N$1,'United Data'!$C$3:$C$3390,$A837)&gt;0,1,0)</f>
        <v>0</v>
      </c>
      <c r="O837">
        <f>IF(COUNTIFS('United Data'!$A$3:$A$3390,O$1,'United Data'!$C$3:$C$3390,$A837)&gt;0,1,0)</f>
        <v>0</v>
      </c>
      <c r="P837">
        <f>IF(COUNTIFS('United Data'!$A$3:$A$3390,P$1,'United Data'!$C$3:$C$3390,$A837)&gt;0,1,0)</f>
        <v>0</v>
      </c>
      <c r="Q837">
        <f>IF(COUNTIFS('United Data'!$A$3:$A$3390,Q$1,'United Data'!$C$3:$C$3390,$A837)&gt;0,1,0)</f>
        <v>0</v>
      </c>
      <c r="R837">
        <f>IF(COUNTIFS('United Data'!$A$3:$A$3390,R$1,'United Data'!$C$3:$C$3390,$A837)&gt;0,1,0)</f>
        <v>0</v>
      </c>
      <c r="S837">
        <f t="shared" si="26"/>
        <v>1</v>
      </c>
      <c r="T837">
        <f t="shared" si="27"/>
        <v>1</v>
      </c>
    </row>
    <row r="838" spans="1:20" x14ac:dyDescent="0.2">
      <c r="A838" t="s">
        <v>1008</v>
      </c>
      <c r="B838">
        <f>IF(COUNTIFS('United Data'!$A$3:$A$3390,B$1,'United Data'!$C$3:$C$3390,$A838)&gt;0,1,0)</f>
        <v>0</v>
      </c>
      <c r="C838">
        <f>IF(COUNTIFS('United Data'!$A$3:$A$3390,C$1,'United Data'!$C$3:$C$3390,$A838)&gt;0,1,0)</f>
        <v>0</v>
      </c>
      <c r="D838">
        <f>IF(COUNTIFS('United Data'!$A$3:$A$3390,D$1,'United Data'!$C$3:$C$3390,$A838)&gt;0,1,0)</f>
        <v>0</v>
      </c>
      <c r="E838">
        <f>IF(COUNTIFS('United Data'!$A$3:$A$3390,E$1,'United Data'!$C$3:$C$3390,$A838)&gt;0,1,0)</f>
        <v>0</v>
      </c>
      <c r="F838">
        <f>IF(COUNTIFS('United Data'!$A$3:$A$3390,F$1,'United Data'!$C$3:$C$3390,$A838)&gt;0,1,0)</f>
        <v>0</v>
      </c>
      <c r="G838">
        <f>IF(COUNTIFS('United Data'!$A$3:$A$3390,G$1,'United Data'!$C$3:$C$3390,$A838)&gt;0,1,0)</f>
        <v>0</v>
      </c>
      <c r="H838">
        <f>IF(COUNTIFS('United Data'!$A$3:$A$3390,H$1,'United Data'!$C$3:$C$3390,$A838)&gt;0,1,0)</f>
        <v>0</v>
      </c>
      <c r="I838">
        <f>IF(COUNTIFS('United Data'!$A$3:$A$3390,I$1,'United Data'!$C$3:$C$3390,$A838)&gt;0,1,0)</f>
        <v>0</v>
      </c>
      <c r="J838">
        <f>IF(COUNTIFS('United Data'!$A$3:$A$3390,J$1,'United Data'!$C$3:$C$3390,$A838)&gt;0,1,0)</f>
        <v>1</v>
      </c>
      <c r="K838">
        <f>IF(COUNTIFS('United Data'!$A$3:$A$3390,K$1,'United Data'!$C$3:$C$3390,$A838)&gt;0,1,0)</f>
        <v>1</v>
      </c>
      <c r="L838">
        <f>IF(COUNTIFS('United Data'!$A$3:$A$3390,L$1,'United Data'!$C$3:$C$3390,$A838)&gt;0,1,0)</f>
        <v>0</v>
      </c>
      <c r="M838">
        <f>IF(COUNTIFS('United Data'!$A$3:$A$3390,M$1,'United Data'!$C$3:$C$3390,$A838)&gt;0,1,0)</f>
        <v>0</v>
      </c>
      <c r="N838">
        <f>IF(COUNTIFS('United Data'!$A$3:$A$3390,N$1,'United Data'!$C$3:$C$3390,$A838)&gt;0,1,0)</f>
        <v>0</v>
      </c>
      <c r="O838">
        <f>IF(COUNTIFS('United Data'!$A$3:$A$3390,O$1,'United Data'!$C$3:$C$3390,$A838)&gt;0,1,0)</f>
        <v>0</v>
      </c>
      <c r="P838">
        <f>IF(COUNTIFS('United Data'!$A$3:$A$3390,P$1,'United Data'!$C$3:$C$3390,$A838)&gt;0,1,0)</f>
        <v>0</v>
      </c>
      <c r="Q838">
        <f>IF(COUNTIFS('United Data'!$A$3:$A$3390,Q$1,'United Data'!$C$3:$C$3390,$A838)&gt;0,1,0)</f>
        <v>0</v>
      </c>
      <c r="R838">
        <f>IF(COUNTIFS('United Data'!$A$3:$A$3390,R$1,'United Data'!$C$3:$C$3390,$A838)&gt;0,1,0)</f>
        <v>0</v>
      </c>
      <c r="S838">
        <f t="shared" si="26"/>
        <v>2</v>
      </c>
      <c r="T838">
        <f t="shared" si="27"/>
        <v>1</v>
      </c>
    </row>
    <row r="839" spans="1:20" x14ac:dyDescent="0.2">
      <c r="A839" t="s">
        <v>1009</v>
      </c>
      <c r="B839">
        <f>IF(COUNTIFS('United Data'!$A$3:$A$3390,B$1,'United Data'!$C$3:$C$3390,$A839)&gt;0,1,0)</f>
        <v>0</v>
      </c>
      <c r="C839">
        <f>IF(COUNTIFS('United Data'!$A$3:$A$3390,C$1,'United Data'!$C$3:$C$3390,$A839)&gt;0,1,0)</f>
        <v>0</v>
      </c>
      <c r="D839">
        <f>IF(COUNTIFS('United Data'!$A$3:$A$3390,D$1,'United Data'!$C$3:$C$3390,$A839)&gt;0,1,0)</f>
        <v>0</v>
      </c>
      <c r="E839">
        <f>IF(COUNTIFS('United Data'!$A$3:$A$3390,E$1,'United Data'!$C$3:$C$3390,$A839)&gt;0,1,0)</f>
        <v>0</v>
      </c>
      <c r="F839">
        <f>IF(COUNTIFS('United Data'!$A$3:$A$3390,F$1,'United Data'!$C$3:$C$3390,$A839)&gt;0,1,0)</f>
        <v>0</v>
      </c>
      <c r="G839">
        <f>IF(COUNTIFS('United Data'!$A$3:$A$3390,G$1,'United Data'!$C$3:$C$3390,$A839)&gt;0,1,0)</f>
        <v>0</v>
      </c>
      <c r="H839">
        <f>IF(COUNTIFS('United Data'!$A$3:$A$3390,H$1,'United Data'!$C$3:$C$3390,$A839)&gt;0,1,0)</f>
        <v>0</v>
      </c>
      <c r="I839">
        <f>IF(COUNTIFS('United Data'!$A$3:$A$3390,I$1,'United Data'!$C$3:$C$3390,$A839)&gt;0,1,0)</f>
        <v>0</v>
      </c>
      <c r="J839">
        <f>IF(COUNTIFS('United Data'!$A$3:$A$3390,J$1,'United Data'!$C$3:$C$3390,$A839)&gt;0,1,0)</f>
        <v>0</v>
      </c>
      <c r="K839">
        <f>IF(COUNTIFS('United Data'!$A$3:$A$3390,K$1,'United Data'!$C$3:$C$3390,$A839)&gt;0,1,0)</f>
        <v>1</v>
      </c>
      <c r="L839">
        <f>IF(COUNTIFS('United Data'!$A$3:$A$3390,L$1,'United Data'!$C$3:$C$3390,$A839)&gt;0,1,0)</f>
        <v>1</v>
      </c>
      <c r="M839">
        <f>IF(COUNTIFS('United Data'!$A$3:$A$3390,M$1,'United Data'!$C$3:$C$3390,$A839)&gt;0,1,0)</f>
        <v>1</v>
      </c>
      <c r="N839">
        <f>IF(COUNTIFS('United Data'!$A$3:$A$3390,N$1,'United Data'!$C$3:$C$3390,$A839)&gt;0,1,0)</f>
        <v>1</v>
      </c>
      <c r="O839">
        <f>IF(COUNTIFS('United Data'!$A$3:$A$3390,O$1,'United Data'!$C$3:$C$3390,$A839)&gt;0,1,0)</f>
        <v>1</v>
      </c>
      <c r="P839">
        <f>IF(COUNTIFS('United Data'!$A$3:$A$3390,P$1,'United Data'!$C$3:$C$3390,$A839)&gt;0,1,0)</f>
        <v>0</v>
      </c>
      <c r="Q839">
        <f>IF(COUNTIFS('United Data'!$A$3:$A$3390,Q$1,'United Data'!$C$3:$C$3390,$A839)&gt;0,1,0)</f>
        <v>0</v>
      </c>
      <c r="R839">
        <f>IF(COUNTIFS('United Data'!$A$3:$A$3390,R$1,'United Data'!$C$3:$C$3390,$A839)&gt;0,1,0)</f>
        <v>0</v>
      </c>
      <c r="S839">
        <f t="shared" si="26"/>
        <v>5</v>
      </c>
      <c r="T839">
        <f t="shared" si="27"/>
        <v>1</v>
      </c>
    </row>
    <row r="840" spans="1:20" x14ac:dyDescent="0.2">
      <c r="A840" t="s">
        <v>1010</v>
      </c>
      <c r="B840">
        <f>IF(COUNTIFS('United Data'!$A$3:$A$3390,B$1,'United Data'!$C$3:$C$3390,$A840)&gt;0,1,0)</f>
        <v>0</v>
      </c>
      <c r="C840">
        <f>IF(COUNTIFS('United Data'!$A$3:$A$3390,C$1,'United Data'!$C$3:$C$3390,$A840)&gt;0,1,0)</f>
        <v>0</v>
      </c>
      <c r="D840">
        <f>IF(COUNTIFS('United Data'!$A$3:$A$3390,D$1,'United Data'!$C$3:$C$3390,$A840)&gt;0,1,0)</f>
        <v>0</v>
      </c>
      <c r="E840">
        <f>IF(COUNTIFS('United Data'!$A$3:$A$3390,E$1,'United Data'!$C$3:$C$3390,$A840)&gt;0,1,0)</f>
        <v>0</v>
      </c>
      <c r="F840">
        <f>IF(COUNTIFS('United Data'!$A$3:$A$3390,F$1,'United Data'!$C$3:$C$3390,$A840)&gt;0,1,0)</f>
        <v>0</v>
      </c>
      <c r="G840">
        <f>IF(COUNTIFS('United Data'!$A$3:$A$3390,G$1,'United Data'!$C$3:$C$3390,$A840)&gt;0,1,0)</f>
        <v>0</v>
      </c>
      <c r="H840">
        <f>IF(COUNTIFS('United Data'!$A$3:$A$3390,H$1,'United Data'!$C$3:$C$3390,$A840)&gt;0,1,0)</f>
        <v>0</v>
      </c>
      <c r="I840">
        <f>IF(COUNTIFS('United Data'!$A$3:$A$3390,I$1,'United Data'!$C$3:$C$3390,$A840)&gt;0,1,0)</f>
        <v>0</v>
      </c>
      <c r="J840">
        <f>IF(COUNTIFS('United Data'!$A$3:$A$3390,J$1,'United Data'!$C$3:$C$3390,$A840)&gt;0,1,0)</f>
        <v>0</v>
      </c>
      <c r="K840">
        <f>IF(COUNTIFS('United Data'!$A$3:$A$3390,K$1,'United Data'!$C$3:$C$3390,$A840)&gt;0,1,0)</f>
        <v>1</v>
      </c>
      <c r="L840">
        <f>IF(COUNTIFS('United Data'!$A$3:$A$3390,L$1,'United Data'!$C$3:$C$3390,$A840)&gt;0,1,0)</f>
        <v>1</v>
      </c>
      <c r="M840">
        <f>IF(COUNTIFS('United Data'!$A$3:$A$3390,M$1,'United Data'!$C$3:$C$3390,$A840)&gt;0,1,0)</f>
        <v>0</v>
      </c>
      <c r="N840">
        <f>IF(COUNTIFS('United Data'!$A$3:$A$3390,N$1,'United Data'!$C$3:$C$3390,$A840)&gt;0,1,0)</f>
        <v>0</v>
      </c>
      <c r="O840">
        <f>IF(COUNTIFS('United Data'!$A$3:$A$3390,O$1,'United Data'!$C$3:$C$3390,$A840)&gt;0,1,0)</f>
        <v>0</v>
      </c>
      <c r="P840">
        <f>IF(COUNTIFS('United Data'!$A$3:$A$3390,P$1,'United Data'!$C$3:$C$3390,$A840)&gt;0,1,0)</f>
        <v>0</v>
      </c>
      <c r="Q840">
        <f>IF(COUNTIFS('United Data'!$A$3:$A$3390,Q$1,'United Data'!$C$3:$C$3390,$A840)&gt;0,1,0)</f>
        <v>0</v>
      </c>
      <c r="R840">
        <f>IF(COUNTIFS('United Data'!$A$3:$A$3390,R$1,'United Data'!$C$3:$C$3390,$A840)&gt;0,1,0)</f>
        <v>0</v>
      </c>
      <c r="S840">
        <f t="shared" si="26"/>
        <v>2</v>
      </c>
      <c r="T840">
        <f t="shared" si="27"/>
        <v>1</v>
      </c>
    </row>
    <row r="841" spans="1:20" x14ac:dyDescent="0.2">
      <c r="A841" t="s">
        <v>1011</v>
      </c>
      <c r="B841">
        <f>IF(COUNTIFS('United Data'!$A$3:$A$3390,B$1,'United Data'!$C$3:$C$3390,$A841)&gt;0,1,0)</f>
        <v>0</v>
      </c>
      <c r="C841">
        <f>IF(COUNTIFS('United Data'!$A$3:$A$3390,C$1,'United Data'!$C$3:$C$3390,$A841)&gt;0,1,0)</f>
        <v>0</v>
      </c>
      <c r="D841">
        <f>IF(COUNTIFS('United Data'!$A$3:$A$3390,D$1,'United Data'!$C$3:$C$3390,$A841)&gt;0,1,0)</f>
        <v>0</v>
      </c>
      <c r="E841">
        <f>IF(COUNTIFS('United Data'!$A$3:$A$3390,E$1,'United Data'!$C$3:$C$3390,$A841)&gt;0,1,0)</f>
        <v>0</v>
      </c>
      <c r="F841">
        <f>IF(COUNTIFS('United Data'!$A$3:$A$3390,F$1,'United Data'!$C$3:$C$3390,$A841)&gt;0,1,0)</f>
        <v>0</v>
      </c>
      <c r="G841">
        <f>IF(COUNTIFS('United Data'!$A$3:$A$3390,G$1,'United Data'!$C$3:$C$3390,$A841)&gt;0,1,0)</f>
        <v>0</v>
      </c>
      <c r="H841">
        <f>IF(COUNTIFS('United Data'!$A$3:$A$3390,H$1,'United Data'!$C$3:$C$3390,$A841)&gt;0,1,0)</f>
        <v>0</v>
      </c>
      <c r="I841">
        <f>IF(COUNTIFS('United Data'!$A$3:$A$3390,I$1,'United Data'!$C$3:$C$3390,$A841)&gt;0,1,0)</f>
        <v>0</v>
      </c>
      <c r="J841">
        <f>IF(COUNTIFS('United Data'!$A$3:$A$3390,J$1,'United Data'!$C$3:$C$3390,$A841)&gt;0,1,0)</f>
        <v>0</v>
      </c>
      <c r="K841">
        <f>IF(COUNTIFS('United Data'!$A$3:$A$3390,K$1,'United Data'!$C$3:$C$3390,$A841)&gt;0,1,0)</f>
        <v>0</v>
      </c>
      <c r="L841">
        <f>IF(COUNTIFS('United Data'!$A$3:$A$3390,L$1,'United Data'!$C$3:$C$3390,$A841)&gt;0,1,0)</f>
        <v>1</v>
      </c>
      <c r="M841">
        <f>IF(COUNTIFS('United Data'!$A$3:$A$3390,M$1,'United Data'!$C$3:$C$3390,$A841)&gt;0,1,0)</f>
        <v>0</v>
      </c>
      <c r="N841">
        <f>IF(COUNTIFS('United Data'!$A$3:$A$3390,N$1,'United Data'!$C$3:$C$3390,$A841)&gt;0,1,0)</f>
        <v>0</v>
      </c>
      <c r="O841">
        <f>IF(COUNTIFS('United Data'!$A$3:$A$3390,O$1,'United Data'!$C$3:$C$3390,$A841)&gt;0,1,0)</f>
        <v>0</v>
      </c>
      <c r="P841">
        <f>IF(COUNTIFS('United Data'!$A$3:$A$3390,P$1,'United Data'!$C$3:$C$3390,$A841)&gt;0,1,0)</f>
        <v>0</v>
      </c>
      <c r="Q841">
        <f>IF(COUNTIFS('United Data'!$A$3:$A$3390,Q$1,'United Data'!$C$3:$C$3390,$A841)&gt;0,1,0)</f>
        <v>0</v>
      </c>
      <c r="R841">
        <f>IF(COUNTIFS('United Data'!$A$3:$A$3390,R$1,'United Data'!$C$3:$C$3390,$A841)&gt;0,1,0)</f>
        <v>0</v>
      </c>
      <c r="S841">
        <f t="shared" si="26"/>
        <v>1</v>
      </c>
      <c r="T841">
        <f t="shared" si="27"/>
        <v>1</v>
      </c>
    </row>
    <row r="842" spans="1:20" x14ac:dyDescent="0.2">
      <c r="A842" t="s">
        <v>1012</v>
      </c>
      <c r="B842">
        <f>IF(COUNTIFS('United Data'!$A$3:$A$3390,B$1,'United Data'!$C$3:$C$3390,$A842)&gt;0,1,0)</f>
        <v>0</v>
      </c>
      <c r="C842">
        <f>IF(COUNTIFS('United Data'!$A$3:$A$3390,C$1,'United Data'!$C$3:$C$3390,$A842)&gt;0,1,0)</f>
        <v>0</v>
      </c>
      <c r="D842">
        <f>IF(COUNTIFS('United Data'!$A$3:$A$3390,D$1,'United Data'!$C$3:$C$3390,$A842)&gt;0,1,0)</f>
        <v>0</v>
      </c>
      <c r="E842">
        <f>IF(COUNTIFS('United Data'!$A$3:$A$3390,E$1,'United Data'!$C$3:$C$3390,$A842)&gt;0,1,0)</f>
        <v>0</v>
      </c>
      <c r="F842">
        <f>IF(COUNTIFS('United Data'!$A$3:$A$3390,F$1,'United Data'!$C$3:$C$3390,$A842)&gt;0,1,0)</f>
        <v>0</v>
      </c>
      <c r="G842">
        <f>IF(COUNTIFS('United Data'!$A$3:$A$3390,G$1,'United Data'!$C$3:$C$3390,$A842)&gt;0,1,0)</f>
        <v>0</v>
      </c>
      <c r="H842">
        <f>IF(COUNTIFS('United Data'!$A$3:$A$3390,H$1,'United Data'!$C$3:$C$3390,$A842)&gt;0,1,0)</f>
        <v>0</v>
      </c>
      <c r="I842">
        <f>IF(COUNTIFS('United Data'!$A$3:$A$3390,I$1,'United Data'!$C$3:$C$3390,$A842)&gt;0,1,0)</f>
        <v>0</v>
      </c>
      <c r="J842">
        <f>IF(COUNTIFS('United Data'!$A$3:$A$3390,J$1,'United Data'!$C$3:$C$3390,$A842)&gt;0,1,0)</f>
        <v>0</v>
      </c>
      <c r="K842">
        <f>IF(COUNTIFS('United Data'!$A$3:$A$3390,K$1,'United Data'!$C$3:$C$3390,$A842)&gt;0,1,0)</f>
        <v>0</v>
      </c>
      <c r="L842">
        <f>IF(COUNTIFS('United Data'!$A$3:$A$3390,L$1,'United Data'!$C$3:$C$3390,$A842)&gt;0,1,0)</f>
        <v>0</v>
      </c>
      <c r="M842">
        <f>IF(COUNTIFS('United Data'!$A$3:$A$3390,M$1,'United Data'!$C$3:$C$3390,$A842)&gt;0,1,0)</f>
        <v>0</v>
      </c>
      <c r="N842">
        <f>IF(COUNTIFS('United Data'!$A$3:$A$3390,N$1,'United Data'!$C$3:$C$3390,$A842)&gt;0,1,0)</f>
        <v>1</v>
      </c>
      <c r="O842">
        <f>IF(COUNTIFS('United Data'!$A$3:$A$3390,O$1,'United Data'!$C$3:$C$3390,$A842)&gt;0,1,0)</f>
        <v>0</v>
      </c>
      <c r="P842">
        <f>IF(COUNTIFS('United Data'!$A$3:$A$3390,P$1,'United Data'!$C$3:$C$3390,$A842)&gt;0,1,0)</f>
        <v>0</v>
      </c>
      <c r="Q842">
        <f>IF(COUNTIFS('United Data'!$A$3:$A$3390,Q$1,'United Data'!$C$3:$C$3390,$A842)&gt;0,1,0)</f>
        <v>0</v>
      </c>
      <c r="R842">
        <f>IF(COUNTIFS('United Data'!$A$3:$A$3390,R$1,'United Data'!$C$3:$C$3390,$A842)&gt;0,1,0)</f>
        <v>0</v>
      </c>
      <c r="S842">
        <f t="shared" si="26"/>
        <v>1</v>
      </c>
      <c r="T842">
        <f t="shared" si="27"/>
        <v>1</v>
      </c>
    </row>
    <row r="843" spans="1:20" x14ac:dyDescent="0.2">
      <c r="A843" t="s">
        <v>1013</v>
      </c>
      <c r="B843">
        <f>IF(COUNTIFS('United Data'!$A$3:$A$3390,B$1,'United Data'!$C$3:$C$3390,$A843)&gt;0,1,0)</f>
        <v>0</v>
      </c>
      <c r="C843">
        <f>IF(COUNTIFS('United Data'!$A$3:$A$3390,C$1,'United Data'!$C$3:$C$3390,$A843)&gt;0,1,0)</f>
        <v>0</v>
      </c>
      <c r="D843">
        <f>IF(COUNTIFS('United Data'!$A$3:$A$3390,D$1,'United Data'!$C$3:$C$3390,$A843)&gt;0,1,0)</f>
        <v>0</v>
      </c>
      <c r="E843">
        <f>IF(COUNTIFS('United Data'!$A$3:$A$3390,E$1,'United Data'!$C$3:$C$3390,$A843)&gt;0,1,0)</f>
        <v>0</v>
      </c>
      <c r="F843">
        <f>IF(COUNTIFS('United Data'!$A$3:$A$3390,F$1,'United Data'!$C$3:$C$3390,$A843)&gt;0,1,0)</f>
        <v>0</v>
      </c>
      <c r="G843">
        <f>IF(COUNTIFS('United Data'!$A$3:$A$3390,G$1,'United Data'!$C$3:$C$3390,$A843)&gt;0,1,0)</f>
        <v>0</v>
      </c>
      <c r="H843">
        <f>IF(COUNTIFS('United Data'!$A$3:$A$3390,H$1,'United Data'!$C$3:$C$3390,$A843)&gt;0,1,0)</f>
        <v>0</v>
      </c>
      <c r="I843">
        <f>IF(COUNTIFS('United Data'!$A$3:$A$3390,I$1,'United Data'!$C$3:$C$3390,$A843)&gt;0,1,0)</f>
        <v>0</v>
      </c>
      <c r="J843">
        <f>IF(COUNTIFS('United Data'!$A$3:$A$3390,J$1,'United Data'!$C$3:$C$3390,$A843)&gt;0,1,0)</f>
        <v>0</v>
      </c>
      <c r="K843">
        <f>IF(COUNTIFS('United Data'!$A$3:$A$3390,K$1,'United Data'!$C$3:$C$3390,$A843)&gt;0,1,0)</f>
        <v>0</v>
      </c>
      <c r="L843">
        <f>IF(COUNTIFS('United Data'!$A$3:$A$3390,L$1,'United Data'!$C$3:$C$3390,$A843)&gt;0,1,0)</f>
        <v>0</v>
      </c>
      <c r="M843">
        <f>IF(COUNTIFS('United Data'!$A$3:$A$3390,M$1,'United Data'!$C$3:$C$3390,$A843)&gt;0,1,0)</f>
        <v>0</v>
      </c>
      <c r="N843">
        <f>IF(COUNTIFS('United Data'!$A$3:$A$3390,N$1,'United Data'!$C$3:$C$3390,$A843)&gt;0,1,0)</f>
        <v>1</v>
      </c>
      <c r="O843">
        <f>IF(COUNTIFS('United Data'!$A$3:$A$3390,O$1,'United Data'!$C$3:$C$3390,$A843)&gt;0,1,0)</f>
        <v>0</v>
      </c>
      <c r="P843">
        <f>IF(COUNTIFS('United Data'!$A$3:$A$3390,P$1,'United Data'!$C$3:$C$3390,$A843)&gt;0,1,0)</f>
        <v>0</v>
      </c>
      <c r="Q843">
        <f>IF(COUNTIFS('United Data'!$A$3:$A$3390,Q$1,'United Data'!$C$3:$C$3390,$A843)&gt;0,1,0)</f>
        <v>0</v>
      </c>
      <c r="R843">
        <f>IF(COUNTIFS('United Data'!$A$3:$A$3390,R$1,'United Data'!$C$3:$C$3390,$A843)&gt;0,1,0)</f>
        <v>0</v>
      </c>
      <c r="S843">
        <f t="shared" si="26"/>
        <v>1</v>
      </c>
      <c r="T843">
        <f t="shared" si="27"/>
        <v>1</v>
      </c>
    </row>
    <row r="844" spans="1:20" x14ac:dyDescent="0.2">
      <c r="A844" t="s">
        <v>1014</v>
      </c>
      <c r="B844">
        <f>IF(COUNTIFS('United Data'!$A$3:$A$3390,B$1,'United Data'!$C$3:$C$3390,$A844)&gt;0,1,0)</f>
        <v>0</v>
      </c>
      <c r="C844">
        <f>IF(COUNTIFS('United Data'!$A$3:$A$3390,C$1,'United Data'!$C$3:$C$3390,$A844)&gt;0,1,0)</f>
        <v>0</v>
      </c>
      <c r="D844">
        <f>IF(COUNTIFS('United Data'!$A$3:$A$3390,D$1,'United Data'!$C$3:$C$3390,$A844)&gt;0,1,0)</f>
        <v>0</v>
      </c>
      <c r="E844">
        <f>IF(COUNTIFS('United Data'!$A$3:$A$3390,E$1,'United Data'!$C$3:$C$3390,$A844)&gt;0,1,0)</f>
        <v>0</v>
      </c>
      <c r="F844">
        <f>IF(COUNTIFS('United Data'!$A$3:$A$3390,F$1,'United Data'!$C$3:$C$3390,$A844)&gt;0,1,0)</f>
        <v>0</v>
      </c>
      <c r="G844">
        <f>IF(COUNTIFS('United Data'!$A$3:$A$3390,G$1,'United Data'!$C$3:$C$3390,$A844)&gt;0,1,0)</f>
        <v>0</v>
      </c>
      <c r="H844">
        <f>IF(COUNTIFS('United Data'!$A$3:$A$3390,H$1,'United Data'!$C$3:$C$3390,$A844)&gt;0,1,0)</f>
        <v>0</v>
      </c>
      <c r="I844">
        <f>IF(COUNTIFS('United Data'!$A$3:$A$3390,I$1,'United Data'!$C$3:$C$3390,$A844)&gt;0,1,0)</f>
        <v>0</v>
      </c>
      <c r="J844">
        <f>IF(COUNTIFS('United Data'!$A$3:$A$3390,J$1,'United Data'!$C$3:$C$3390,$A844)&gt;0,1,0)</f>
        <v>0</v>
      </c>
      <c r="K844">
        <f>IF(COUNTIFS('United Data'!$A$3:$A$3390,K$1,'United Data'!$C$3:$C$3390,$A844)&gt;0,1,0)</f>
        <v>0</v>
      </c>
      <c r="L844">
        <f>IF(COUNTIFS('United Data'!$A$3:$A$3390,L$1,'United Data'!$C$3:$C$3390,$A844)&gt;0,1,0)</f>
        <v>0</v>
      </c>
      <c r="M844">
        <f>IF(COUNTIFS('United Data'!$A$3:$A$3390,M$1,'United Data'!$C$3:$C$3390,$A844)&gt;0,1,0)</f>
        <v>0</v>
      </c>
      <c r="N844">
        <f>IF(COUNTIFS('United Data'!$A$3:$A$3390,N$1,'United Data'!$C$3:$C$3390,$A844)&gt;0,1,0)</f>
        <v>1</v>
      </c>
      <c r="O844">
        <f>IF(COUNTIFS('United Data'!$A$3:$A$3390,O$1,'United Data'!$C$3:$C$3390,$A844)&gt;0,1,0)</f>
        <v>0</v>
      </c>
      <c r="P844">
        <f>IF(COUNTIFS('United Data'!$A$3:$A$3390,P$1,'United Data'!$C$3:$C$3390,$A844)&gt;0,1,0)</f>
        <v>0</v>
      </c>
      <c r="Q844">
        <f>IF(COUNTIFS('United Data'!$A$3:$A$3390,Q$1,'United Data'!$C$3:$C$3390,$A844)&gt;0,1,0)</f>
        <v>0</v>
      </c>
      <c r="R844">
        <f>IF(COUNTIFS('United Data'!$A$3:$A$3390,R$1,'United Data'!$C$3:$C$3390,$A844)&gt;0,1,0)</f>
        <v>0</v>
      </c>
      <c r="S844">
        <f t="shared" si="26"/>
        <v>1</v>
      </c>
      <c r="T844">
        <f t="shared" si="27"/>
        <v>1</v>
      </c>
    </row>
    <row r="845" spans="1:20" x14ac:dyDescent="0.2">
      <c r="A845" t="s">
        <v>1015</v>
      </c>
      <c r="B845">
        <f>IF(COUNTIFS('United Data'!$A$3:$A$3390,B$1,'United Data'!$C$3:$C$3390,$A845)&gt;0,1,0)</f>
        <v>0</v>
      </c>
      <c r="C845">
        <f>IF(COUNTIFS('United Data'!$A$3:$A$3390,C$1,'United Data'!$C$3:$C$3390,$A845)&gt;0,1,0)</f>
        <v>0</v>
      </c>
      <c r="D845">
        <f>IF(COUNTIFS('United Data'!$A$3:$A$3390,D$1,'United Data'!$C$3:$C$3390,$A845)&gt;0,1,0)</f>
        <v>0</v>
      </c>
      <c r="E845">
        <f>IF(COUNTIFS('United Data'!$A$3:$A$3390,E$1,'United Data'!$C$3:$C$3390,$A845)&gt;0,1,0)</f>
        <v>0</v>
      </c>
      <c r="F845">
        <f>IF(COUNTIFS('United Data'!$A$3:$A$3390,F$1,'United Data'!$C$3:$C$3390,$A845)&gt;0,1,0)</f>
        <v>0</v>
      </c>
      <c r="G845">
        <f>IF(COUNTIFS('United Data'!$A$3:$A$3390,G$1,'United Data'!$C$3:$C$3390,$A845)&gt;0,1,0)</f>
        <v>0</v>
      </c>
      <c r="H845">
        <f>IF(COUNTIFS('United Data'!$A$3:$A$3390,H$1,'United Data'!$C$3:$C$3390,$A845)&gt;0,1,0)</f>
        <v>0</v>
      </c>
      <c r="I845">
        <f>IF(COUNTIFS('United Data'!$A$3:$A$3390,I$1,'United Data'!$C$3:$C$3390,$A845)&gt;0,1,0)</f>
        <v>0</v>
      </c>
      <c r="J845">
        <f>IF(COUNTIFS('United Data'!$A$3:$A$3390,J$1,'United Data'!$C$3:$C$3390,$A845)&gt;0,1,0)</f>
        <v>0</v>
      </c>
      <c r="K845">
        <f>IF(COUNTIFS('United Data'!$A$3:$A$3390,K$1,'United Data'!$C$3:$C$3390,$A845)&gt;0,1,0)</f>
        <v>0</v>
      </c>
      <c r="L845">
        <f>IF(COUNTIFS('United Data'!$A$3:$A$3390,L$1,'United Data'!$C$3:$C$3390,$A845)&gt;0,1,0)</f>
        <v>0</v>
      </c>
      <c r="M845">
        <f>IF(COUNTIFS('United Data'!$A$3:$A$3390,M$1,'United Data'!$C$3:$C$3390,$A845)&gt;0,1,0)</f>
        <v>0</v>
      </c>
      <c r="N845">
        <f>IF(COUNTIFS('United Data'!$A$3:$A$3390,N$1,'United Data'!$C$3:$C$3390,$A845)&gt;0,1,0)</f>
        <v>1</v>
      </c>
      <c r="O845">
        <f>IF(COUNTIFS('United Data'!$A$3:$A$3390,O$1,'United Data'!$C$3:$C$3390,$A845)&gt;0,1,0)</f>
        <v>0</v>
      </c>
      <c r="P845">
        <f>IF(COUNTIFS('United Data'!$A$3:$A$3390,P$1,'United Data'!$C$3:$C$3390,$A845)&gt;0,1,0)</f>
        <v>0</v>
      </c>
      <c r="Q845">
        <f>IF(COUNTIFS('United Data'!$A$3:$A$3390,Q$1,'United Data'!$C$3:$C$3390,$A845)&gt;0,1,0)</f>
        <v>1</v>
      </c>
      <c r="R845">
        <f>IF(COUNTIFS('United Data'!$A$3:$A$3390,R$1,'United Data'!$C$3:$C$3390,$A845)&gt;0,1,0)</f>
        <v>0</v>
      </c>
      <c r="S845">
        <f t="shared" si="26"/>
        <v>2</v>
      </c>
      <c r="T845">
        <f t="shared" si="27"/>
        <v>2</v>
      </c>
    </row>
    <row r="846" spans="1:20" x14ac:dyDescent="0.2">
      <c r="A846" t="s">
        <v>1016</v>
      </c>
      <c r="B846">
        <f>IF(COUNTIFS('United Data'!$A$3:$A$3390,B$1,'United Data'!$C$3:$C$3390,$A846)&gt;0,1,0)</f>
        <v>0</v>
      </c>
      <c r="C846">
        <f>IF(COUNTIFS('United Data'!$A$3:$A$3390,C$1,'United Data'!$C$3:$C$3390,$A846)&gt;0,1,0)</f>
        <v>0</v>
      </c>
      <c r="D846">
        <f>IF(COUNTIFS('United Data'!$A$3:$A$3390,D$1,'United Data'!$C$3:$C$3390,$A846)&gt;0,1,0)</f>
        <v>0</v>
      </c>
      <c r="E846">
        <f>IF(COUNTIFS('United Data'!$A$3:$A$3390,E$1,'United Data'!$C$3:$C$3390,$A846)&gt;0,1,0)</f>
        <v>0</v>
      </c>
      <c r="F846">
        <f>IF(COUNTIFS('United Data'!$A$3:$A$3390,F$1,'United Data'!$C$3:$C$3390,$A846)&gt;0,1,0)</f>
        <v>0</v>
      </c>
      <c r="G846">
        <f>IF(COUNTIFS('United Data'!$A$3:$A$3390,G$1,'United Data'!$C$3:$C$3390,$A846)&gt;0,1,0)</f>
        <v>0</v>
      </c>
      <c r="H846">
        <f>IF(COUNTIFS('United Data'!$A$3:$A$3390,H$1,'United Data'!$C$3:$C$3390,$A846)&gt;0,1,0)</f>
        <v>0</v>
      </c>
      <c r="I846">
        <f>IF(COUNTIFS('United Data'!$A$3:$A$3390,I$1,'United Data'!$C$3:$C$3390,$A846)&gt;0,1,0)</f>
        <v>0</v>
      </c>
      <c r="J846">
        <f>IF(COUNTIFS('United Data'!$A$3:$A$3390,J$1,'United Data'!$C$3:$C$3390,$A846)&gt;0,1,0)</f>
        <v>0</v>
      </c>
      <c r="K846">
        <f>IF(COUNTIFS('United Data'!$A$3:$A$3390,K$1,'United Data'!$C$3:$C$3390,$A846)&gt;0,1,0)</f>
        <v>0</v>
      </c>
      <c r="L846">
        <f>IF(COUNTIFS('United Data'!$A$3:$A$3390,L$1,'United Data'!$C$3:$C$3390,$A846)&gt;0,1,0)</f>
        <v>0</v>
      </c>
      <c r="M846">
        <f>IF(COUNTIFS('United Data'!$A$3:$A$3390,M$1,'United Data'!$C$3:$C$3390,$A846)&gt;0,1,0)</f>
        <v>0</v>
      </c>
      <c r="N846">
        <f>IF(COUNTIFS('United Data'!$A$3:$A$3390,N$1,'United Data'!$C$3:$C$3390,$A846)&gt;0,1,0)</f>
        <v>1</v>
      </c>
      <c r="O846">
        <f>IF(COUNTIFS('United Data'!$A$3:$A$3390,O$1,'United Data'!$C$3:$C$3390,$A846)&gt;0,1,0)</f>
        <v>0</v>
      </c>
      <c r="P846">
        <f>IF(COUNTIFS('United Data'!$A$3:$A$3390,P$1,'United Data'!$C$3:$C$3390,$A846)&gt;0,1,0)</f>
        <v>0</v>
      </c>
      <c r="Q846">
        <f>IF(COUNTIFS('United Data'!$A$3:$A$3390,Q$1,'United Data'!$C$3:$C$3390,$A846)&gt;0,1,0)</f>
        <v>0</v>
      </c>
      <c r="R846">
        <f>IF(COUNTIFS('United Data'!$A$3:$A$3390,R$1,'United Data'!$C$3:$C$3390,$A846)&gt;0,1,0)</f>
        <v>0</v>
      </c>
      <c r="S846">
        <f t="shared" si="26"/>
        <v>1</v>
      </c>
      <c r="T846">
        <f t="shared" si="27"/>
        <v>1</v>
      </c>
    </row>
    <row r="847" spans="1:20" x14ac:dyDescent="0.2">
      <c r="A847" t="s">
        <v>1017</v>
      </c>
      <c r="B847">
        <f>IF(COUNTIFS('United Data'!$A$3:$A$3390,B$1,'United Data'!$C$3:$C$3390,$A847)&gt;0,1,0)</f>
        <v>0</v>
      </c>
      <c r="C847">
        <f>IF(COUNTIFS('United Data'!$A$3:$A$3390,C$1,'United Data'!$C$3:$C$3390,$A847)&gt;0,1,0)</f>
        <v>0</v>
      </c>
      <c r="D847">
        <f>IF(COUNTIFS('United Data'!$A$3:$A$3390,D$1,'United Data'!$C$3:$C$3390,$A847)&gt;0,1,0)</f>
        <v>0</v>
      </c>
      <c r="E847">
        <f>IF(COUNTIFS('United Data'!$A$3:$A$3390,E$1,'United Data'!$C$3:$C$3390,$A847)&gt;0,1,0)</f>
        <v>0</v>
      </c>
      <c r="F847">
        <f>IF(COUNTIFS('United Data'!$A$3:$A$3390,F$1,'United Data'!$C$3:$C$3390,$A847)&gt;0,1,0)</f>
        <v>0</v>
      </c>
      <c r="G847">
        <f>IF(COUNTIFS('United Data'!$A$3:$A$3390,G$1,'United Data'!$C$3:$C$3390,$A847)&gt;0,1,0)</f>
        <v>0</v>
      </c>
      <c r="H847">
        <f>IF(COUNTIFS('United Data'!$A$3:$A$3390,H$1,'United Data'!$C$3:$C$3390,$A847)&gt;0,1,0)</f>
        <v>0</v>
      </c>
      <c r="I847">
        <f>IF(COUNTIFS('United Data'!$A$3:$A$3390,I$1,'United Data'!$C$3:$C$3390,$A847)&gt;0,1,0)</f>
        <v>0</v>
      </c>
      <c r="J847">
        <f>IF(COUNTIFS('United Data'!$A$3:$A$3390,J$1,'United Data'!$C$3:$C$3390,$A847)&gt;0,1,0)</f>
        <v>0</v>
      </c>
      <c r="K847">
        <f>IF(COUNTIFS('United Data'!$A$3:$A$3390,K$1,'United Data'!$C$3:$C$3390,$A847)&gt;0,1,0)</f>
        <v>0</v>
      </c>
      <c r="L847">
        <f>IF(COUNTIFS('United Data'!$A$3:$A$3390,L$1,'United Data'!$C$3:$C$3390,$A847)&gt;0,1,0)</f>
        <v>0</v>
      </c>
      <c r="M847">
        <f>IF(COUNTIFS('United Data'!$A$3:$A$3390,M$1,'United Data'!$C$3:$C$3390,$A847)&gt;0,1,0)</f>
        <v>0</v>
      </c>
      <c r="N847">
        <f>IF(COUNTIFS('United Data'!$A$3:$A$3390,N$1,'United Data'!$C$3:$C$3390,$A847)&gt;0,1,0)</f>
        <v>1</v>
      </c>
      <c r="O847">
        <f>IF(COUNTIFS('United Data'!$A$3:$A$3390,O$1,'United Data'!$C$3:$C$3390,$A847)&gt;0,1,0)</f>
        <v>0</v>
      </c>
      <c r="P847">
        <f>IF(COUNTIFS('United Data'!$A$3:$A$3390,P$1,'United Data'!$C$3:$C$3390,$A847)&gt;0,1,0)</f>
        <v>0</v>
      </c>
      <c r="Q847">
        <f>IF(COUNTIFS('United Data'!$A$3:$A$3390,Q$1,'United Data'!$C$3:$C$3390,$A847)&gt;0,1,0)</f>
        <v>0</v>
      </c>
      <c r="R847">
        <f>IF(COUNTIFS('United Data'!$A$3:$A$3390,R$1,'United Data'!$C$3:$C$3390,$A847)&gt;0,1,0)</f>
        <v>0</v>
      </c>
      <c r="S847">
        <f t="shared" si="26"/>
        <v>1</v>
      </c>
      <c r="T847">
        <f t="shared" si="27"/>
        <v>1</v>
      </c>
    </row>
    <row r="848" spans="1:20" x14ac:dyDescent="0.2">
      <c r="A848" t="s">
        <v>1018</v>
      </c>
      <c r="B848">
        <f>IF(COUNTIFS('United Data'!$A$3:$A$3390,B$1,'United Data'!$C$3:$C$3390,$A848)&gt;0,1,0)</f>
        <v>0</v>
      </c>
      <c r="C848">
        <f>IF(COUNTIFS('United Data'!$A$3:$A$3390,C$1,'United Data'!$C$3:$C$3390,$A848)&gt;0,1,0)</f>
        <v>0</v>
      </c>
      <c r="D848">
        <f>IF(COUNTIFS('United Data'!$A$3:$A$3390,D$1,'United Data'!$C$3:$C$3390,$A848)&gt;0,1,0)</f>
        <v>0</v>
      </c>
      <c r="E848">
        <f>IF(COUNTIFS('United Data'!$A$3:$A$3390,E$1,'United Data'!$C$3:$C$3390,$A848)&gt;0,1,0)</f>
        <v>0</v>
      </c>
      <c r="F848">
        <f>IF(COUNTIFS('United Data'!$A$3:$A$3390,F$1,'United Data'!$C$3:$C$3390,$A848)&gt;0,1,0)</f>
        <v>0</v>
      </c>
      <c r="G848">
        <f>IF(COUNTIFS('United Data'!$A$3:$A$3390,G$1,'United Data'!$C$3:$C$3390,$A848)&gt;0,1,0)</f>
        <v>0</v>
      </c>
      <c r="H848">
        <f>IF(COUNTIFS('United Data'!$A$3:$A$3390,H$1,'United Data'!$C$3:$C$3390,$A848)&gt;0,1,0)</f>
        <v>0</v>
      </c>
      <c r="I848">
        <f>IF(COUNTIFS('United Data'!$A$3:$A$3390,I$1,'United Data'!$C$3:$C$3390,$A848)&gt;0,1,0)</f>
        <v>0</v>
      </c>
      <c r="J848">
        <f>IF(COUNTIFS('United Data'!$A$3:$A$3390,J$1,'United Data'!$C$3:$C$3390,$A848)&gt;0,1,0)</f>
        <v>0</v>
      </c>
      <c r="K848">
        <f>IF(COUNTIFS('United Data'!$A$3:$A$3390,K$1,'United Data'!$C$3:$C$3390,$A848)&gt;0,1,0)</f>
        <v>0</v>
      </c>
      <c r="L848">
        <f>IF(COUNTIFS('United Data'!$A$3:$A$3390,L$1,'United Data'!$C$3:$C$3390,$A848)&gt;0,1,0)</f>
        <v>0</v>
      </c>
      <c r="M848">
        <f>IF(COUNTIFS('United Data'!$A$3:$A$3390,M$1,'United Data'!$C$3:$C$3390,$A848)&gt;0,1,0)</f>
        <v>0</v>
      </c>
      <c r="N848">
        <f>IF(COUNTIFS('United Data'!$A$3:$A$3390,N$1,'United Data'!$C$3:$C$3390,$A848)&gt;0,1,0)</f>
        <v>0</v>
      </c>
      <c r="O848">
        <f>IF(COUNTIFS('United Data'!$A$3:$A$3390,O$1,'United Data'!$C$3:$C$3390,$A848)&gt;0,1,0)</f>
        <v>1</v>
      </c>
      <c r="P848">
        <f>IF(COUNTIFS('United Data'!$A$3:$A$3390,P$1,'United Data'!$C$3:$C$3390,$A848)&gt;0,1,0)</f>
        <v>0</v>
      </c>
      <c r="Q848">
        <f>IF(COUNTIFS('United Data'!$A$3:$A$3390,Q$1,'United Data'!$C$3:$C$3390,$A848)&gt;0,1,0)</f>
        <v>0</v>
      </c>
      <c r="R848">
        <f>IF(COUNTIFS('United Data'!$A$3:$A$3390,R$1,'United Data'!$C$3:$C$3390,$A848)&gt;0,1,0)</f>
        <v>0</v>
      </c>
      <c r="S848">
        <f t="shared" si="26"/>
        <v>1</v>
      </c>
      <c r="T848">
        <f t="shared" si="27"/>
        <v>1</v>
      </c>
    </row>
    <row r="849" spans="1:20" x14ac:dyDescent="0.2">
      <c r="A849" t="s">
        <v>1020</v>
      </c>
      <c r="B849">
        <f>IF(COUNTIFS('United Data'!$A$3:$A$3390,B$1,'United Data'!$C$3:$C$3390,$A849)&gt;0,1,0)</f>
        <v>0</v>
      </c>
      <c r="C849">
        <f>IF(COUNTIFS('United Data'!$A$3:$A$3390,C$1,'United Data'!$C$3:$C$3390,$A849)&gt;0,1,0)</f>
        <v>0</v>
      </c>
      <c r="D849">
        <f>IF(COUNTIFS('United Data'!$A$3:$A$3390,D$1,'United Data'!$C$3:$C$3390,$A849)&gt;0,1,0)</f>
        <v>0</v>
      </c>
      <c r="E849">
        <f>IF(COUNTIFS('United Data'!$A$3:$A$3390,E$1,'United Data'!$C$3:$C$3390,$A849)&gt;0,1,0)</f>
        <v>0</v>
      </c>
      <c r="F849">
        <f>IF(COUNTIFS('United Data'!$A$3:$A$3390,F$1,'United Data'!$C$3:$C$3390,$A849)&gt;0,1,0)</f>
        <v>0</v>
      </c>
      <c r="G849">
        <f>IF(COUNTIFS('United Data'!$A$3:$A$3390,G$1,'United Data'!$C$3:$C$3390,$A849)&gt;0,1,0)</f>
        <v>0</v>
      </c>
      <c r="H849">
        <f>IF(COUNTIFS('United Data'!$A$3:$A$3390,H$1,'United Data'!$C$3:$C$3390,$A849)&gt;0,1,0)</f>
        <v>0</v>
      </c>
      <c r="I849">
        <f>IF(COUNTIFS('United Data'!$A$3:$A$3390,I$1,'United Data'!$C$3:$C$3390,$A849)&gt;0,1,0)</f>
        <v>0</v>
      </c>
      <c r="J849">
        <f>IF(COUNTIFS('United Data'!$A$3:$A$3390,J$1,'United Data'!$C$3:$C$3390,$A849)&gt;0,1,0)</f>
        <v>0</v>
      </c>
      <c r="K849">
        <f>IF(COUNTIFS('United Data'!$A$3:$A$3390,K$1,'United Data'!$C$3:$C$3390,$A849)&gt;0,1,0)</f>
        <v>0</v>
      </c>
      <c r="L849">
        <f>IF(COUNTIFS('United Data'!$A$3:$A$3390,L$1,'United Data'!$C$3:$C$3390,$A849)&gt;0,1,0)</f>
        <v>0</v>
      </c>
      <c r="M849">
        <f>IF(COUNTIFS('United Data'!$A$3:$A$3390,M$1,'United Data'!$C$3:$C$3390,$A849)&gt;0,1,0)</f>
        <v>0</v>
      </c>
      <c r="N849">
        <f>IF(COUNTIFS('United Data'!$A$3:$A$3390,N$1,'United Data'!$C$3:$C$3390,$A849)&gt;0,1,0)</f>
        <v>0</v>
      </c>
      <c r="O849">
        <f>IF(COUNTIFS('United Data'!$A$3:$A$3390,O$1,'United Data'!$C$3:$C$3390,$A849)&gt;0,1,0)</f>
        <v>0</v>
      </c>
      <c r="P849">
        <f>IF(COUNTIFS('United Data'!$A$3:$A$3390,P$1,'United Data'!$C$3:$C$3390,$A849)&gt;0,1,0)</f>
        <v>1</v>
      </c>
      <c r="Q849">
        <f>IF(COUNTIFS('United Data'!$A$3:$A$3390,Q$1,'United Data'!$C$3:$C$3390,$A849)&gt;0,1,0)</f>
        <v>0</v>
      </c>
      <c r="R849">
        <f>IF(COUNTIFS('United Data'!$A$3:$A$3390,R$1,'United Data'!$C$3:$C$3390,$A849)&gt;0,1,0)</f>
        <v>0</v>
      </c>
      <c r="S849">
        <f t="shared" si="26"/>
        <v>1</v>
      </c>
      <c r="T849">
        <f t="shared" si="27"/>
        <v>1</v>
      </c>
    </row>
    <row r="850" spans="1:20" x14ac:dyDescent="0.2">
      <c r="A850" t="s">
        <v>1021</v>
      </c>
      <c r="B850">
        <f>IF(COUNTIFS('United Data'!$A$3:$A$3390,B$1,'United Data'!$C$3:$C$3390,$A850)&gt;0,1,0)</f>
        <v>0</v>
      </c>
      <c r="C850">
        <f>IF(COUNTIFS('United Data'!$A$3:$A$3390,C$1,'United Data'!$C$3:$C$3390,$A850)&gt;0,1,0)</f>
        <v>0</v>
      </c>
      <c r="D850">
        <f>IF(COUNTIFS('United Data'!$A$3:$A$3390,D$1,'United Data'!$C$3:$C$3390,$A850)&gt;0,1,0)</f>
        <v>0</v>
      </c>
      <c r="E850">
        <f>IF(COUNTIFS('United Data'!$A$3:$A$3390,E$1,'United Data'!$C$3:$C$3390,$A850)&gt;0,1,0)</f>
        <v>0</v>
      </c>
      <c r="F850">
        <f>IF(COUNTIFS('United Data'!$A$3:$A$3390,F$1,'United Data'!$C$3:$C$3390,$A850)&gt;0,1,0)</f>
        <v>0</v>
      </c>
      <c r="G850">
        <f>IF(COUNTIFS('United Data'!$A$3:$A$3390,G$1,'United Data'!$C$3:$C$3390,$A850)&gt;0,1,0)</f>
        <v>0</v>
      </c>
      <c r="H850">
        <f>IF(COUNTIFS('United Data'!$A$3:$A$3390,H$1,'United Data'!$C$3:$C$3390,$A850)&gt;0,1,0)</f>
        <v>0</v>
      </c>
      <c r="I850">
        <f>IF(COUNTIFS('United Data'!$A$3:$A$3390,I$1,'United Data'!$C$3:$C$3390,$A850)&gt;0,1,0)</f>
        <v>0</v>
      </c>
      <c r="J850">
        <f>IF(COUNTIFS('United Data'!$A$3:$A$3390,J$1,'United Data'!$C$3:$C$3390,$A850)&gt;0,1,0)</f>
        <v>0</v>
      </c>
      <c r="K850">
        <f>IF(COUNTIFS('United Data'!$A$3:$A$3390,K$1,'United Data'!$C$3:$C$3390,$A850)&gt;0,1,0)</f>
        <v>0</v>
      </c>
      <c r="L850">
        <f>IF(COUNTIFS('United Data'!$A$3:$A$3390,L$1,'United Data'!$C$3:$C$3390,$A850)&gt;0,1,0)</f>
        <v>0</v>
      </c>
      <c r="M850">
        <f>IF(COUNTIFS('United Data'!$A$3:$A$3390,M$1,'United Data'!$C$3:$C$3390,$A850)&gt;0,1,0)</f>
        <v>0</v>
      </c>
      <c r="N850">
        <f>IF(COUNTIFS('United Data'!$A$3:$A$3390,N$1,'United Data'!$C$3:$C$3390,$A850)&gt;0,1,0)</f>
        <v>0</v>
      </c>
      <c r="O850">
        <f>IF(COUNTIFS('United Data'!$A$3:$A$3390,O$1,'United Data'!$C$3:$C$3390,$A850)&gt;0,1,0)</f>
        <v>0</v>
      </c>
      <c r="P850">
        <f>IF(COUNTIFS('United Data'!$A$3:$A$3390,P$1,'United Data'!$C$3:$C$3390,$A850)&gt;0,1,0)</f>
        <v>1</v>
      </c>
      <c r="Q850">
        <f>IF(COUNTIFS('United Data'!$A$3:$A$3390,Q$1,'United Data'!$C$3:$C$3390,$A850)&gt;0,1,0)</f>
        <v>0</v>
      </c>
      <c r="R850">
        <f>IF(COUNTIFS('United Data'!$A$3:$A$3390,R$1,'United Data'!$C$3:$C$3390,$A850)&gt;0,1,0)</f>
        <v>0</v>
      </c>
      <c r="S850">
        <f t="shared" si="26"/>
        <v>1</v>
      </c>
      <c r="T850">
        <f t="shared" si="27"/>
        <v>1</v>
      </c>
    </row>
    <row r="851" spans="1:20" x14ac:dyDescent="0.2">
      <c r="A851" t="s">
        <v>1022</v>
      </c>
      <c r="B851">
        <f>IF(COUNTIFS('United Data'!$A$3:$A$3390,B$1,'United Data'!$C$3:$C$3390,$A851)&gt;0,1,0)</f>
        <v>0</v>
      </c>
      <c r="C851">
        <f>IF(COUNTIFS('United Data'!$A$3:$A$3390,C$1,'United Data'!$C$3:$C$3390,$A851)&gt;0,1,0)</f>
        <v>0</v>
      </c>
      <c r="D851">
        <f>IF(COUNTIFS('United Data'!$A$3:$A$3390,D$1,'United Data'!$C$3:$C$3390,$A851)&gt;0,1,0)</f>
        <v>0</v>
      </c>
      <c r="E851">
        <f>IF(COUNTIFS('United Data'!$A$3:$A$3390,E$1,'United Data'!$C$3:$C$3390,$A851)&gt;0,1,0)</f>
        <v>0</v>
      </c>
      <c r="F851">
        <f>IF(COUNTIFS('United Data'!$A$3:$A$3390,F$1,'United Data'!$C$3:$C$3390,$A851)&gt;0,1,0)</f>
        <v>0</v>
      </c>
      <c r="G851">
        <f>IF(COUNTIFS('United Data'!$A$3:$A$3390,G$1,'United Data'!$C$3:$C$3390,$A851)&gt;0,1,0)</f>
        <v>0</v>
      </c>
      <c r="H851">
        <f>IF(COUNTIFS('United Data'!$A$3:$A$3390,H$1,'United Data'!$C$3:$C$3390,$A851)&gt;0,1,0)</f>
        <v>0</v>
      </c>
      <c r="I851">
        <f>IF(COUNTIFS('United Data'!$A$3:$A$3390,I$1,'United Data'!$C$3:$C$3390,$A851)&gt;0,1,0)</f>
        <v>0</v>
      </c>
      <c r="J851">
        <f>IF(COUNTIFS('United Data'!$A$3:$A$3390,J$1,'United Data'!$C$3:$C$3390,$A851)&gt;0,1,0)</f>
        <v>0</v>
      </c>
      <c r="K851">
        <f>IF(COUNTIFS('United Data'!$A$3:$A$3390,K$1,'United Data'!$C$3:$C$3390,$A851)&gt;0,1,0)</f>
        <v>0</v>
      </c>
      <c r="L851">
        <f>IF(COUNTIFS('United Data'!$A$3:$A$3390,L$1,'United Data'!$C$3:$C$3390,$A851)&gt;0,1,0)</f>
        <v>0</v>
      </c>
      <c r="M851">
        <f>IF(COUNTIFS('United Data'!$A$3:$A$3390,M$1,'United Data'!$C$3:$C$3390,$A851)&gt;0,1,0)</f>
        <v>0</v>
      </c>
      <c r="N851">
        <f>IF(COUNTIFS('United Data'!$A$3:$A$3390,N$1,'United Data'!$C$3:$C$3390,$A851)&gt;0,1,0)</f>
        <v>0</v>
      </c>
      <c r="O851">
        <f>IF(COUNTIFS('United Data'!$A$3:$A$3390,O$1,'United Data'!$C$3:$C$3390,$A851)&gt;0,1,0)</f>
        <v>0</v>
      </c>
      <c r="P851">
        <f>IF(COUNTIFS('United Data'!$A$3:$A$3390,P$1,'United Data'!$C$3:$C$3390,$A851)&gt;0,1,0)</f>
        <v>1</v>
      </c>
      <c r="Q851">
        <f>IF(COUNTIFS('United Data'!$A$3:$A$3390,Q$1,'United Data'!$C$3:$C$3390,$A851)&gt;0,1,0)</f>
        <v>0</v>
      </c>
      <c r="R851">
        <f>IF(COUNTIFS('United Data'!$A$3:$A$3390,R$1,'United Data'!$C$3:$C$3390,$A851)&gt;0,1,0)</f>
        <v>0</v>
      </c>
      <c r="S851">
        <f t="shared" si="26"/>
        <v>1</v>
      </c>
      <c r="T851">
        <f t="shared" si="27"/>
        <v>1</v>
      </c>
    </row>
    <row r="852" spans="1:20" x14ac:dyDescent="0.2">
      <c r="A852" t="s">
        <v>1023</v>
      </c>
      <c r="B852">
        <f>IF(COUNTIFS('United Data'!$A$3:$A$3390,B$1,'United Data'!$C$3:$C$3390,$A852)&gt;0,1,0)</f>
        <v>0</v>
      </c>
      <c r="C852">
        <f>IF(COUNTIFS('United Data'!$A$3:$A$3390,C$1,'United Data'!$C$3:$C$3390,$A852)&gt;0,1,0)</f>
        <v>0</v>
      </c>
      <c r="D852">
        <f>IF(COUNTIFS('United Data'!$A$3:$A$3390,D$1,'United Data'!$C$3:$C$3390,$A852)&gt;0,1,0)</f>
        <v>0</v>
      </c>
      <c r="E852">
        <f>IF(COUNTIFS('United Data'!$A$3:$A$3390,E$1,'United Data'!$C$3:$C$3390,$A852)&gt;0,1,0)</f>
        <v>0</v>
      </c>
      <c r="F852">
        <f>IF(COUNTIFS('United Data'!$A$3:$A$3390,F$1,'United Data'!$C$3:$C$3390,$A852)&gt;0,1,0)</f>
        <v>0</v>
      </c>
      <c r="G852">
        <f>IF(COUNTIFS('United Data'!$A$3:$A$3390,G$1,'United Data'!$C$3:$C$3390,$A852)&gt;0,1,0)</f>
        <v>0</v>
      </c>
      <c r="H852">
        <f>IF(COUNTIFS('United Data'!$A$3:$A$3390,H$1,'United Data'!$C$3:$C$3390,$A852)&gt;0,1,0)</f>
        <v>0</v>
      </c>
      <c r="I852">
        <f>IF(COUNTIFS('United Data'!$A$3:$A$3390,I$1,'United Data'!$C$3:$C$3390,$A852)&gt;0,1,0)</f>
        <v>0</v>
      </c>
      <c r="J852">
        <f>IF(COUNTIFS('United Data'!$A$3:$A$3390,J$1,'United Data'!$C$3:$C$3390,$A852)&gt;0,1,0)</f>
        <v>0</v>
      </c>
      <c r="K852">
        <f>IF(COUNTIFS('United Data'!$A$3:$A$3390,K$1,'United Data'!$C$3:$C$3390,$A852)&gt;0,1,0)</f>
        <v>0</v>
      </c>
      <c r="L852">
        <f>IF(COUNTIFS('United Data'!$A$3:$A$3390,L$1,'United Data'!$C$3:$C$3390,$A852)&gt;0,1,0)</f>
        <v>0</v>
      </c>
      <c r="M852">
        <f>IF(COUNTIFS('United Data'!$A$3:$A$3390,M$1,'United Data'!$C$3:$C$3390,$A852)&gt;0,1,0)</f>
        <v>0</v>
      </c>
      <c r="N852">
        <f>IF(COUNTIFS('United Data'!$A$3:$A$3390,N$1,'United Data'!$C$3:$C$3390,$A852)&gt;0,1,0)</f>
        <v>0</v>
      </c>
      <c r="O852">
        <f>IF(COUNTIFS('United Data'!$A$3:$A$3390,O$1,'United Data'!$C$3:$C$3390,$A852)&gt;0,1,0)</f>
        <v>0</v>
      </c>
      <c r="P852">
        <f>IF(COUNTIFS('United Data'!$A$3:$A$3390,P$1,'United Data'!$C$3:$C$3390,$A852)&gt;0,1,0)</f>
        <v>1</v>
      </c>
      <c r="Q852">
        <f>IF(COUNTIFS('United Data'!$A$3:$A$3390,Q$1,'United Data'!$C$3:$C$3390,$A852)&gt;0,1,0)</f>
        <v>0</v>
      </c>
      <c r="R852">
        <f>IF(COUNTIFS('United Data'!$A$3:$A$3390,R$1,'United Data'!$C$3:$C$3390,$A852)&gt;0,1,0)</f>
        <v>0</v>
      </c>
      <c r="S852">
        <f t="shared" si="26"/>
        <v>1</v>
      </c>
      <c r="T852">
        <f t="shared" si="27"/>
        <v>1</v>
      </c>
    </row>
    <row r="853" spans="1:20" x14ac:dyDescent="0.2">
      <c r="A853" t="s">
        <v>1024</v>
      </c>
      <c r="B853">
        <f>IF(COUNTIFS('United Data'!$A$3:$A$3390,B$1,'United Data'!$C$3:$C$3390,$A853)&gt;0,1,0)</f>
        <v>0</v>
      </c>
      <c r="C853">
        <f>IF(COUNTIFS('United Data'!$A$3:$A$3390,C$1,'United Data'!$C$3:$C$3390,$A853)&gt;0,1,0)</f>
        <v>0</v>
      </c>
      <c r="D853">
        <f>IF(COUNTIFS('United Data'!$A$3:$A$3390,D$1,'United Data'!$C$3:$C$3390,$A853)&gt;0,1,0)</f>
        <v>0</v>
      </c>
      <c r="E853">
        <f>IF(COUNTIFS('United Data'!$A$3:$A$3390,E$1,'United Data'!$C$3:$C$3390,$A853)&gt;0,1,0)</f>
        <v>0</v>
      </c>
      <c r="F853">
        <f>IF(COUNTIFS('United Data'!$A$3:$A$3390,F$1,'United Data'!$C$3:$C$3390,$A853)&gt;0,1,0)</f>
        <v>0</v>
      </c>
      <c r="G853">
        <f>IF(COUNTIFS('United Data'!$A$3:$A$3390,G$1,'United Data'!$C$3:$C$3390,$A853)&gt;0,1,0)</f>
        <v>0</v>
      </c>
      <c r="H853">
        <f>IF(COUNTIFS('United Data'!$A$3:$A$3390,H$1,'United Data'!$C$3:$C$3390,$A853)&gt;0,1,0)</f>
        <v>0</v>
      </c>
      <c r="I853">
        <f>IF(COUNTIFS('United Data'!$A$3:$A$3390,I$1,'United Data'!$C$3:$C$3390,$A853)&gt;0,1,0)</f>
        <v>0</v>
      </c>
      <c r="J853">
        <f>IF(COUNTIFS('United Data'!$A$3:$A$3390,J$1,'United Data'!$C$3:$C$3390,$A853)&gt;0,1,0)</f>
        <v>0</v>
      </c>
      <c r="K853">
        <f>IF(COUNTIFS('United Data'!$A$3:$A$3390,K$1,'United Data'!$C$3:$C$3390,$A853)&gt;0,1,0)</f>
        <v>0</v>
      </c>
      <c r="L853">
        <f>IF(COUNTIFS('United Data'!$A$3:$A$3390,L$1,'United Data'!$C$3:$C$3390,$A853)&gt;0,1,0)</f>
        <v>0</v>
      </c>
      <c r="M853">
        <f>IF(COUNTIFS('United Data'!$A$3:$A$3390,M$1,'United Data'!$C$3:$C$3390,$A853)&gt;0,1,0)</f>
        <v>0</v>
      </c>
      <c r="N853">
        <f>IF(COUNTIFS('United Data'!$A$3:$A$3390,N$1,'United Data'!$C$3:$C$3390,$A853)&gt;0,1,0)</f>
        <v>0</v>
      </c>
      <c r="O853">
        <f>IF(COUNTIFS('United Data'!$A$3:$A$3390,O$1,'United Data'!$C$3:$C$3390,$A853)&gt;0,1,0)</f>
        <v>0</v>
      </c>
      <c r="P853">
        <f>IF(COUNTIFS('United Data'!$A$3:$A$3390,P$1,'United Data'!$C$3:$C$3390,$A853)&gt;0,1,0)</f>
        <v>1</v>
      </c>
      <c r="Q853">
        <f>IF(COUNTIFS('United Data'!$A$3:$A$3390,Q$1,'United Data'!$C$3:$C$3390,$A853)&gt;0,1,0)</f>
        <v>0</v>
      </c>
      <c r="R853">
        <f>IF(COUNTIFS('United Data'!$A$3:$A$3390,R$1,'United Data'!$C$3:$C$3390,$A853)&gt;0,1,0)</f>
        <v>0</v>
      </c>
      <c r="S853">
        <f t="shared" si="26"/>
        <v>1</v>
      </c>
      <c r="T853">
        <f t="shared" si="27"/>
        <v>1</v>
      </c>
    </row>
    <row r="854" spans="1:20" x14ac:dyDescent="0.2">
      <c r="A854" t="s">
        <v>1025</v>
      </c>
      <c r="B854">
        <f>IF(COUNTIFS('United Data'!$A$3:$A$3390,B$1,'United Data'!$C$3:$C$3390,$A854)&gt;0,1,0)</f>
        <v>0</v>
      </c>
      <c r="C854">
        <f>IF(COUNTIFS('United Data'!$A$3:$A$3390,C$1,'United Data'!$C$3:$C$3390,$A854)&gt;0,1,0)</f>
        <v>0</v>
      </c>
      <c r="D854">
        <f>IF(COUNTIFS('United Data'!$A$3:$A$3390,D$1,'United Data'!$C$3:$C$3390,$A854)&gt;0,1,0)</f>
        <v>0</v>
      </c>
      <c r="E854">
        <f>IF(COUNTIFS('United Data'!$A$3:$A$3390,E$1,'United Data'!$C$3:$C$3390,$A854)&gt;0,1,0)</f>
        <v>0</v>
      </c>
      <c r="F854">
        <f>IF(COUNTIFS('United Data'!$A$3:$A$3390,F$1,'United Data'!$C$3:$C$3390,$A854)&gt;0,1,0)</f>
        <v>0</v>
      </c>
      <c r="G854">
        <f>IF(COUNTIFS('United Data'!$A$3:$A$3390,G$1,'United Data'!$C$3:$C$3390,$A854)&gt;0,1,0)</f>
        <v>0</v>
      </c>
      <c r="H854">
        <f>IF(COUNTIFS('United Data'!$A$3:$A$3390,H$1,'United Data'!$C$3:$C$3390,$A854)&gt;0,1,0)</f>
        <v>0</v>
      </c>
      <c r="I854">
        <f>IF(COUNTIFS('United Data'!$A$3:$A$3390,I$1,'United Data'!$C$3:$C$3390,$A854)&gt;0,1,0)</f>
        <v>0</v>
      </c>
      <c r="J854">
        <f>IF(COUNTIFS('United Data'!$A$3:$A$3390,J$1,'United Data'!$C$3:$C$3390,$A854)&gt;0,1,0)</f>
        <v>0</v>
      </c>
      <c r="K854">
        <f>IF(COUNTIFS('United Data'!$A$3:$A$3390,K$1,'United Data'!$C$3:$C$3390,$A854)&gt;0,1,0)</f>
        <v>0</v>
      </c>
      <c r="L854">
        <f>IF(COUNTIFS('United Data'!$A$3:$A$3390,L$1,'United Data'!$C$3:$C$3390,$A854)&gt;0,1,0)</f>
        <v>0</v>
      </c>
      <c r="M854">
        <f>IF(COUNTIFS('United Data'!$A$3:$A$3390,M$1,'United Data'!$C$3:$C$3390,$A854)&gt;0,1,0)</f>
        <v>0</v>
      </c>
      <c r="N854">
        <f>IF(COUNTIFS('United Data'!$A$3:$A$3390,N$1,'United Data'!$C$3:$C$3390,$A854)&gt;0,1,0)</f>
        <v>0</v>
      </c>
      <c r="O854">
        <f>IF(COUNTIFS('United Data'!$A$3:$A$3390,O$1,'United Data'!$C$3:$C$3390,$A854)&gt;0,1,0)</f>
        <v>0</v>
      </c>
      <c r="P854">
        <f>IF(COUNTIFS('United Data'!$A$3:$A$3390,P$1,'United Data'!$C$3:$C$3390,$A854)&gt;0,1,0)</f>
        <v>1</v>
      </c>
      <c r="Q854">
        <f>IF(COUNTIFS('United Data'!$A$3:$A$3390,Q$1,'United Data'!$C$3:$C$3390,$A854)&gt;0,1,0)</f>
        <v>0</v>
      </c>
      <c r="R854">
        <f>IF(COUNTIFS('United Data'!$A$3:$A$3390,R$1,'United Data'!$C$3:$C$3390,$A854)&gt;0,1,0)</f>
        <v>0</v>
      </c>
      <c r="S854">
        <f t="shared" si="26"/>
        <v>1</v>
      </c>
      <c r="T854">
        <f t="shared" si="27"/>
        <v>1</v>
      </c>
    </row>
    <row r="855" spans="1:20" x14ac:dyDescent="0.2">
      <c r="A855" t="s">
        <v>1026</v>
      </c>
      <c r="B855">
        <f>IF(COUNTIFS('United Data'!$A$3:$A$3390,B$1,'United Data'!$C$3:$C$3390,$A855)&gt;0,1,0)</f>
        <v>0</v>
      </c>
      <c r="C855">
        <f>IF(COUNTIFS('United Data'!$A$3:$A$3390,C$1,'United Data'!$C$3:$C$3390,$A855)&gt;0,1,0)</f>
        <v>0</v>
      </c>
      <c r="D855">
        <f>IF(COUNTIFS('United Data'!$A$3:$A$3390,D$1,'United Data'!$C$3:$C$3390,$A855)&gt;0,1,0)</f>
        <v>0</v>
      </c>
      <c r="E855">
        <f>IF(COUNTIFS('United Data'!$A$3:$A$3390,E$1,'United Data'!$C$3:$C$3390,$A855)&gt;0,1,0)</f>
        <v>0</v>
      </c>
      <c r="F855">
        <f>IF(COUNTIFS('United Data'!$A$3:$A$3390,F$1,'United Data'!$C$3:$C$3390,$A855)&gt;0,1,0)</f>
        <v>0</v>
      </c>
      <c r="G855">
        <f>IF(COUNTIFS('United Data'!$A$3:$A$3390,G$1,'United Data'!$C$3:$C$3390,$A855)&gt;0,1,0)</f>
        <v>0</v>
      </c>
      <c r="H855">
        <f>IF(COUNTIFS('United Data'!$A$3:$A$3390,H$1,'United Data'!$C$3:$C$3390,$A855)&gt;0,1,0)</f>
        <v>0</v>
      </c>
      <c r="I855">
        <f>IF(COUNTIFS('United Data'!$A$3:$A$3390,I$1,'United Data'!$C$3:$C$3390,$A855)&gt;0,1,0)</f>
        <v>0</v>
      </c>
      <c r="J855">
        <f>IF(COUNTIFS('United Data'!$A$3:$A$3390,J$1,'United Data'!$C$3:$C$3390,$A855)&gt;0,1,0)</f>
        <v>0</v>
      </c>
      <c r="K855">
        <f>IF(COUNTIFS('United Data'!$A$3:$A$3390,K$1,'United Data'!$C$3:$C$3390,$A855)&gt;0,1,0)</f>
        <v>0</v>
      </c>
      <c r="L855">
        <f>IF(COUNTIFS('United Data'!$A$3:$A$3390,L$1,'United Data'!$C$3:$C$3390,$A855)&gt;0,1,0)</f>
        <v>0</v>
      </c>
      <c r="M855">
        <f>IF(COUNTIFS('United Data'!$A$3:$A$3390,M$1,'United Data'!$C$3:$C$3390,$A855)&gt;0,1,0)</f>
        <v>0</v>
      </c>
      <c r="N855">
        <f>IF(COUNTIFS('United Data'!$A$3:$A$3390,N$1,'United Data'!$C$3:$C$3390,$A855)&gt;0,1,0)</f>
        <v>0</v>
      </c>
      <c r="O855">
        <f>IF(COUNTIFS('United Data'!$A$3:$A$3390,O$1,'United Data'!$C$3:$C$3390,$A855)&gt;0,1,0)</f>
        <v>0</v>
      </c>
      <c r="P855">
        <f>IF(COUNTIFS('United Data'!$A$3:$A$3390,P$1,'United Data'!$C$3:$C$3390,$A855)&gt;0,1,0)</f>
        <v>1</v>
      </c>
      <c r="Q855">
        <f>IF(COUNTIFS('United Data'!$A$3:$A$3390,Q$1,'United Data'!$C$3:$C$3390,$A855)&gt;0,1,0)</f>
        <v>0</v>
      </c>
      <c r="R855">
        <f>IF(COUNTIFS('United Data'!$A$3:$A$3390,R$1,'United Data'!$C$3:$C$3390,$A855)&gt;0,1,0)</f>
        <v>0</v>
      </c>
      <c r="S855">
        <f t="shared" si="26"/>
        <v>1</v>
      </c>
      <c r="T855">
        <f t="shared" si="27"/>
        <v>1</v>
      </c>
    </row>
    <row r="856" spans="1:20" x14ac:dyDescent="0.2">
      <c r="A856" t="s">
        <v>1027</v>
      </c>
      <c r="B856">
        <f>IF(COUNTIFS('United Data'!$A$3:$A$3390,B$1,'United Data'!$C$3:$C$3390,$A856)&gt;0,1,0)</f>
        <v>0</v>
      </c>
      <c r="C856">
        <f>IF(COUNTIFS('United Data'!$A$3:$A$3390,C$1,'United Data'!$C$3:$C$3390,$A856)&gt;0,1,0)</f>
        <v>0</v>
      </c>
      <c r="D856">
        <f>IF(COUNTIFS('United Data'!$A$3:$A$3390,D$1,'United Data'!$C$3:$C$3390,$A856)&gt;0,1,0)</f>
        <v>0</v>
      </c>
      <c r="E856">
        <f>IF(COUNTIFS('United Data'!$A$3:$A$3390,E$1,'United Data'!$C$3:$C$3390,$A856)&gt;0,1,0)</f>
        <v>0</v>
      </c>
      <c r="F856">
        <f>IF(COUNTIFS('United Data'!$A$3:$A$3390,F$1,'United Data'!$C$3:$C$3390,$A856)&gt;0,1,0)</f>
        <v>0</v>
      </c>
      <c r="G856">
        <f>IF(COUNTIFS('United Data'!$A$3:$A$3390,G$1,'United Data'!$C$3:$C$3390,$A856)&gt;0,1,0)</f>
        <v>0</v>
      </c>
      <c r="H856">
        <f>IF(COUNTIFS('United Data'!$A$3:$A$3390,H$1,'United Data'!$C$3:$C$3390,$A856)&gt;0,1,0)</f>
        <v>0</v>
      </c>
      <c r="I856">
        <f>IF(COUNTIFS('United Data'!$A$3:$A$3390,I$1,'United Data'!$C$3:$C$3390,$A856)&gt;0,1,0)</f>
        <v>0</v>
      </c>
      <c r="J856">
        <f>IF(COUNTIFS('United Data'!$A$3:$A$3390,J$1,'United Data'!$C$3:$C$3390,$A856)&gt;0,1,0)</f>
        <v>0</v>
      </c>
      <c r="K856">
        <f>IF(COUNTIFS('United Data'!$A$3:$A$3390,K$1,'United Data'!$C$3:$C$3390,$A856)&gt;0,1,0)</f>
        <v>0</v>
      </c>
      <c r="L856">
        <f>IF(COUNTIFS('United Data'!$A$3:$A$3390,L$1,'United Data'!$C$3:$C$3390,$A856)&gt;0,1,0)</f>
        <v>0</v>
      </c>
      <c r="M856">
        <f>IF(COUNTIFS('United Data'!$A$3:$A$3390,M$1,'United Data'!$C$3:$C$3390,$A856)&gt;0,1,0)</f>
        <v>0</v>
      </c>
      <c r="N856">
        <f>IF(COUNTIFS('United Data'!$A$3:$A$3390,N$1,'United Data'!$C$3:$C$3390,$A856)&gt;0,1,0)</f>
        <v>0</v>
      </c>
      <c r="O856">
        <f>IF(COUNTIFS('United Data'!$A$3:$A$3390,O$1,'United Data'!$C$3:$C$3390,$A856)&gt;0,1,0)</f>
        <v>0</v>
      </c>
      <c r="P856">
        <f>IF(COUNTIFS('United Data'!$A$3:$A$3390,P$1,'United Data'!$C$3:$C$3390,$A856)&gt;0,1,0)</f>
        <v>0</v>
      </c>
      <c r="Q856">
        <f>IF(COUNTIFS('United Data'!$A$3:$A$3390,Q$1,'United Data'!$C$3:$C$3390,$A856)&gt;0,1,0)</f>
        <v>1</v>
      </c>
      <c r="R856">
        <f>IF(COUNTIFS('United Data'!$A$3:$A$3390,R$1,'United Data'!$C$3:$C$3390,$A856)&gt;0,1,0)</f>
        <v>0</v>
      </c>
      <c r="S856">
        <f t="shared" si="26"/>
        <v>1</v>
      </c>
      <c r="T856">
        <f t="shared" si="27"/>
        <v>1</v>
      </c>
    </row>
    <row r="857" spans="1:20" x14ac:dyDescent="0.2">
      <c r="A857" t="s">
        <v>1028</v>
      </c>
      <c r="B857">
        <f>IF(COUNTIFS('United Data'!$A$3:$A$3390,B$1,'United Data'!$C$3:$C$3390,$A857)&gt;0,1,0)</f>
        <v>0</v>
      </c>
      <c r="C857">
        <f>IF(COUNTIFS('United Data'!$A$3:$A$3390,C$1,'United Data'!$C$3:$C$3390,$A857)&gt;0,1,0)</f>
        <v>0</v>
      </c>
      <c r="D857">
        <f>IF(COUNTIFS('United Data'!$A$3:$A$3390,D$1,'United Data'!$C$3:$C$3390,$A857)&gt;0,1,0)</f>
        <v>0</v>
      </c>
      <c r="E857">
        <f>IF(COUNTIFS('United Data'!$A$3:$A$3390,E$1,'United Data'!$C$3:$C$3390,$A857)&gt;0,1,0)</f>
        <v>0</v>
      </c>
      <c r="F857">
        <f>IF(COUNTIFS('United Data'!$A$3:$A$3390,F$1,'United Data'!$C$3:$C$3390,$A857)&gt;0,1,0)</f>
        <v>0</v>
      </c>
      <c r="G857">
        <f>IF(COUNTIFS('United Data'!$A$3:$A$3390,G$1,'United Data'!$C$3:$C$3390,$A857)&gt;0,1,0)</f>
        <v>0</v>
      </c>
      <c r="H857">
        <f>IF(COUNTIFS('United Data'!$A$3:$A$3390,H$1,'United Data'!$C$3:$C$3390,$A857)&gt;0,1,0)</f>
        <v>0</v>
      </c>
      <c r="I857">
        <f>IF(COUNTIFS('United Data'!$A$3:$A$3390,I$1,'United Data'!$C$3:$C$3390,$A857)&gt;0,1,0)</f>
        <v>0</v>
      </c>
      <c r="J857">
        <f>IF(COUNTIFS('United Data'!$A$3:$A$3390,J$1,'United Data'!$C$3:$C$3390,$A857)&gt;0,1,0)</f>
        <v>0</v>
      </c>
      <c r="K857">
        <f>IF(COUNTIFS('United Data'!$A$3:$A$3390,K$1,'United Data'!$C$3:$C$3390,$A857)&gt;0,1,0)</f>
        <v>0</v>
      </c>
      <c r="L857">
        <f>IF(COUNTIFS('United Data'!$A$3:$A$3390,L$1,'United Data'!$C$3:$C$3390,$A857)&gt;0,1,0)</f>
        <v>0</v>
      </c>
      <c r="M857">
        <f>IF(COUNTIFS('United Data'!$A$3:$A$3390,M$1,'United Data'!$C$3:$C$3390,$A857)&gt;0,1,0)</f>
        <v>0</v>
      </c>
      <c r="N857">
        <f>IF(COUNTIFS('United Data'!$A$3:$A$3390,N$1,'United Data'!$C$3:$C$3390,$A857)&gt;0,1,0)</f>
        <v>0</v>
      </c>
      <c r="O857">
        <f>IF(COUNTIFS('United Data'!$A$3:$A$3390,O$1,'United Data'!$C$3:$C$3390,$A857)&gt;0,1,0)</f>
        <v>0</v>
      </c>
      <c r="P857">
        <f>IF(COUNTIFS('United Data'!$A$3:$A$3390,P$1,'United Data'!$C$3:$C$3390,$A857)&gt;0,1,0)</f>
        <v>0</v>
      </c>
      <c r="Q857">
        <f>IF(COUNTIFS('United Data'!$A$3:$A$3390,Q$1,'United Data'!$C$3:$C$3390,$A857)&gt;0,1,0)</f>
        <v>1</v>
      </c>
      <c r="R857">
        <f>IF(COUNTIFS('United Data'!$A$3:$A$3390,R$1,'United Data'!$C$3:$C$3390,$A857)&gt;0,1,0)</f>
        <v>0</v>
      </c>
      <c r="S857">
        <f t="shared" si="26"/>
        <v>1</v>
      </c>
      <c r="T857">
        <f t="shared" si="27"/>
        <v>1</v>
      </c>
    </row>
    <row r="858" spans="1:20" x14ac:dyDescent="0.2">
      <c r="A858" t="s">
        <v>1029</v>
      </c>
      <c r="B858">
        <f>IF(COUNTIFS('United Data'!$A$3:$A$3390,B$1,'United Data'!$C$3:$C$3390,$A858)&gt;0,1,0)</f>
        <v>0</v>
      </c>
      <c r="C858">
        <f>IF(COUNTIFS('United Data'!$A$3:$A$3390,C$1,'United Data'!$C$3:$C$3390,$A858)&gt;0,1,0)</f>
        <v>0</v>
      </c>
      <c r="D858">
        <f>IF(COUNTIFS('United Data'!$A$3:$A$3390,D$1,'United Data'!$C$3:$C$3390,$A858)&gt;0,1,0)</f>
        <v>0</v>
      </c>
      <c r="E858">
        <f>IF(COUNTIFS('United Data'!$A$3:$A$3390,E$1,'United Data'!$C$3:$C$3390,$A858)&gt;0,1,0)</f>
        <v>0</v>
      </c>
      <c r="F858">
        <f>IF(COUNTIFS('United Data'!$A$3:$A$3390,F$1,'United Data'!$C$3:$C$3390,$A858)&gt;0,1,0)</f>
        <v>0</v>
      </c>
      <c r="G858">
        <f>IF(COUNTIFS('United Data'!$A$3:$A$3390,G$1,'United Data'!$C$3:$C$3390,$A858)&gt;0,1,0)</f>
        <v>0</v>
      </c>
      <c r="H858">
        <f>IF(COUNTIFS('United Data'!$A$3:$A$3390,H$1,'United Data'!$C$3:$C$3390,$A858)&gt;0,1,0)</f>
        <v>0</v>
      </c>
      <c r="I858">
        <f>IF(COUNTIFS('United Data'!$A$3:$A$3390,I$1,'United Data'!$C$3:$C$3390,$A858)&gt;0,1,0)</f>
        <v>0</v>
      </c>
      <c r="J858">
        <f>IF(COUNTIFS('United Data'!$A$3:$A$3390,J$1,'United Data'!$C$3:$C$3390,$A858)&gt;0,1,0)</f>
        <v>0</v>
      </c>
      <c r="K858">
        <f>IF(COUNTIFS('United Data'!$A$3:$A$3390,K$1,'United Data'!$C$3:$C$3390,$A858)&gt;0,1,0)</f>
        <v>0</v>
      </c>
      <c r="L858">
        <f>IF(COUNTIFS('United Data'!$A$3:$A$3390,L$1,'United Data'!$C$3:$C$3390,$A858)&gt;0,1,0)</f>
        <v>0</v>
      </c>
      <c r="M858">
        <f>IF(COUNTIFS('United Data'!$A$3:$A$3390,M$1,'United Data'!$C$3:$C$3390,$A858)&gt;0,1,0)</f>
        <v>0</v>
      </c>
      <c r="N858">
        <f>IF(COUNTIFS('United Data'!$A$3:$A$3390,N$1,'United Data'!$C$3:$C$3390,$A858)&gt;0,1,0)</f>
        <v>0</v>
      </c>
      <c r="O858">
        <f>IF(COUNTIFS('United Data'!$A$3:$A$3390,O$1,'United Data'!$C$3:$C$3390,$A858)&gt;0,1,0)</f>
        <v>0</v>
      </c>
      <c r="P858">
        <f>IF(COUNTIFS('United Data'!$A$3:$A$3390,P$1,'United Data'!$C$3:$C$3390,$A858)&gt;0,1,0)</f>
        <v>0</v>
      </c>
      <c r="Q858">
        <f>IF(COUNTIFS('United Data'!$A$3:$A$3390,Q$1,'United Data'!$C$3:$C$3390,$A858)&gt;0,1,0)</f>
        <v>1</v>
      </c>
      <c r="R858">
        <f>IF(COUNTIFS('United Data'!$A$3:$A$3390,R$1,'United Data'!$C$3:$C$3390,$A858)&gt;0,1,0)</f>
        <v>0</v>
      </c>
      <c r="S858">
        <f t="shared" si="26"/>
        <v>1</v>
      </c>
      <c r="T858">
        <f t="shared" si="27"/>
        <v>1</v>
      </c>
    </row>
    <row r="859" spans="1:20" x14ac:dyDescent="0.2">
      <c r="A859" t="s">
        <v>1030</v>
      </c>
      <c r="B859">
        <f>IF(COUNTIFS('United Data'!$A$3:$A$3390,B$1,'United Data'!$C$3:$C$3390,$A859)&gt;0,1,0)</f>
        <v>0</v>
      </c>
      <c r="C859">
        <f>IF(COUNTIFS('United Data'!$A$3:$A$3390,C$1,'United Data'!$C$3:$C$3390,$A859)&gt;0,1,0)</f>
        <v>0</v>
      </c>
      <c r="D859">
        <f>IF(COUNTIFS('United Data'!$A$3:$A$3390,D$1,'United Data'!$C$3:$C$3390,$A859)&gt;0,1,0)</f>
        <v>0</v>
      </c>
      <c r="E859">
        <f>IF(COUNTIFS('United Data'!$A$3:$A$3390,E$1,'United Data'!$C$3:$C$3390,$A859)&gt;0,1,0)</f>
        <v>0</v>
      </c>
      <c r="F859">
        <f>IF(COUNTIFS('United Data'!$A$3:$A$3390,F$1,'United Data'!$C$3:$C$3390,$A859)&gt;0,1,0)</f>
        <v>0</v>
      </c>
      <c r="G859">
        <f>IF(COUNTIFS('United Data'!$A$3:$A$3390,G$1,'United Data'!$C$3:$C$3390,$A859)&gt;0,1,0)</f>
        <v>0</v>
      </c>
      <c r="H859">
        <f>IF(COUNTIFS('United Data'!$A$3:$A$3390,H$1,'United Data'!$C$3:$C$3390,$A859)&gt;0,1,0)</f>
        <v>0</v>
      </c>
      <c r="I859">
        <f>IF(COUNTIFS('United Data'!$A$3:$A$3390,I$1,'United Data'!$C$3:$C$3390,$A859)&gt;0,1,0)</f>
        <v>0</v>
      </c>
      <c r="J859">
        <f>IF(COUNTIFS('United Data'!$A$3:$A$3390,J$1,'United Data'!$C$3:$C$3390,$A859)&gt;0,1,0)</f>
        <v>0</v>
      </c>
      <c r="K859">
        <f>IF(COUNTIFS('United Data'!$A$3:$A$3390,K$1,'United Data'!$C$3:$C$3390,$A859)&gt;0,1,0)</f>
        <v>0</v>
      </c>
      <c r="L859">
        <f>IF(COUNTIFS('United Data'!$A$3:$A$3390,L$1,'United Data'!$C$3:$C$3390,$A859)&gt;0,1,0)</f>
        <v>0</v>
      </c>
      <c r="M859">
        <f>IF(COUNTIFS('United Data'!$A$3:$A$3390,M$1,'United Data'!$C$3:$C$3390,$A859)&gt;0,1,0)</f>
        <v>0</v>
      </c>
      <c r="N859">
        <f>IF(COUNTIFS('United Data'!$A$3:$A$3390,N$1,'United Data'!$C$3:$C$3390,$A859)&gt;0,1,0)</f>
        <v>0</v>
      </c>
      <c r="O859">
        <f>IF(COUNTIFS('United Data'!$A$3:$A$3390,O$1,'United Data'!$C$3:$C$3390,$A859)&gt;0,1,0)</f>
        <v>0</v>
      </c>
      <c r="P859">
        <f>IF(COUNTIFS('United Data'!$A$3:$A$3390,P$1,'United Data'!$C$3:$C$3390,$A859)&gt;0,1,0)</f>
        <v>0</v>
      </c>
      <c r="Q859">
        <f>IF(COUNTIFS('United Data'!$A$3:$A$3390,Q$1,'United Data'!$C$3:$C$3390,$A859)&gt;0,1,0)</f>
        <v>1</v>
      </c>
      <c r="R859">
        <f>IF(COUNTIFS('United Data'!$A$3:$A$3390,R$1,'United Data'!$C$3:$C$3390,$A859)&gt;0,1,0)</f>
        <v>0</v>
      </c>
      <c r="S859">
        <f t="shared" si="26"/>
        <v>1</v>
      </c>
      <c r="T859">
        <f t="shared" si="27"/>
        <v>1</v>
      </c>
    </row>
    <row r="860" spans="1:20" x14ac:dyDescent="0.2">
      <c r="A860" t="s">
        <v>1031</v>
      </c>
      <c r="B860">
        <f>IF(COUNTIFS('United Data'!$A$3:$A$3390,B$1,'United Data'!$C$3:$C$3390,$A860)&gt;0,1,0)</f>
        <v>0</v>
      </c>
      <c r="C860">
        <f>IF(COUNTIFS('United Data'!$A$3:$A$3390,C$1,'United Data'!$C$3:$C$3390,$A860)&gt;0,1,0)</f>
        <v>0</v>
      </c>
      <c r="D860">
        <f>IF(COUNTIFS('United Data'!$A$3:$A$3390,D$1,'United Data'!$C$3:$C$3390,$A860)&gt;0,1,0)</f>
        <v>0</v>
      </c>
      <c r="E860">
        <f>IF(COUNTIFS('United Data'!$A$3:$A$3390,E$1,'United Data'!$C$3:$C$3390,$A860)&gt;0,1,0)</f>
        <v>0</v>
      </c>
      <c r="F860">
        <f>IF(COUNTIFS('United Data'!$A$3:$A$3390,F$1,'United Data'!$C$3:$C$3390,$A860)&gt;0,1,0)</f>
        <v>0</v>
      </c>
      <c r="G860">
        <f>IF(COUNTIFS('United Data'!$A$3:$A$3390,G$1,'United Data'!$C$3:$C$3390,$A860)&gt;0,1,0)</f>
        <v>0</v>
      </c>
      <c r="H860">
        <f>IF(COUNTIFS('United Data'!$A$3:$A$3390,H$1,'United Data'!$C$3:$C$3390,$A860)&gt;0,1,0)</f>
        <v>0</v>
      </c>
      <c r="I860">
        <f>IF(COUNTIFS('United Data'!$A$3:$A$3390,I$1,'United Data'!$C$3:$C$3390,$A860)&gt;0,1,0)</f>
        <v>0</v>
      </c>
      <c r="J860">
        <f>IF(COUNTIFS('United Data'!$A$3:$A$3390,J$1,'United Data'!$C$3:$C$3390,$A860)&gt;0,1,0)</f>
        <v>0</v>
      </c>
      <c r="K860">
        <f>IF(COUNTIFS('United Data'!$A$3:$A$3390,K$1,'United Data'!$C$3:$C$3390,$A860)&gt;0,1,0)</f>
        <v>0</v>
      </c>
      <c r="L860">
        <f>IF(COUNTIFS('United Data'!$A$3:$A$3390,L$1,'United Data'!$C$3:$C$3390,$A860)&gt;0,1,0)</f>
        <v>0</v>
      </c>
      <c r="M860">
        <f>IF(COUNTIFS('United Data'!$A$3:$A$3390,M$1,'United Data'!$C$3:$C$3390,$A860)&gt;0,1,0)</f>
        <v>0</v>
      </c>
      <c r="N860">
        <f>IF(COUNTIFS('United Data'!$A$3:$A$3390,N$1,'United Data'!$C$3:$C$3390,$A860)&gt;0,1,0)</f>
        <v>0</v>
      </c>
      <c r="O860">
        <f>IF(COUNTIFS('United Data'!$A$3:$A$3390,O$1,'United Data'!$C$3:$C$3390,$A860)&gt;0,1,0)</f>
        <v>0</v>
      </c>
      <c r="P860">
        <f>IF(COUNTIFS('United Data'!$A$3:$A$3390,P$1,'United Data'!$C$3:$C$3390,$A860)&gt;0,1,0)</f>
        <v>0</v>
      </c>
      <c r="Q860">
        <f>IF(COUNTIFS('United Data'!$A$3:$A$3390,Q$1,'United Data'!$C$3:$C$3390,$A860)&gt;0,1,0)</f>
        <v>1</v>
      </c>
      <c r="R860">
        <f>IF(COUNTIFS('United Data'!$A$3:$A$3390,R$1,'United Data'!$C$3:$C$3390,$A860)&gt;0,1,0)</f>
        <v>0</v>
      </c>
      <c r="S860">
        <f t="shared" si="26"/>
        <v>1</v>
      </c>
      <c r="T860">
        <f t="shared" si="27"/>
        <v>1</v>
      </c>
    </row>
    <row r="861" spans="1:20" x14ac:dyDescent="0.2">
      <c r="A861" t="s">
        <v>1033</v>
      </c>
      <c r="B861">
        <f>IF(COUNTIFS('United Data'!$A$3:$A$3390,B$1,'United Data'!$C$3:$C$3390,$A861)&gt;0,1,0)</f>
        <v>0</v>
      </c>
      <c r="C861">
        <f>IF(COUNTIFS('United Data'!$A$3:$A$3390,C$1,'United Data'!$C$3:$C$3390,$A861)&gt;0,1,0)</f>
        <v>0</v>
      </c>
      <c r="D861">
        <f>IF(COUNTIFS('United Data'!$A$3:$A$3390,D$1,'United Data'!$C$3:$C$3390,$A861)&gt;0,1,0)</f>
        <v>0</v>
      </c>
      <c r="E861">
        <f>IF(COUNTIFS('United Data'!$A$3:$A$3390,E$1,'United Data'!$C$3:$C$3390,$A861)&gt;0,1,0)</f>
        <v>0</v>
      </c>
      <c r="F861">
        <f>IF(COUNTIFS('United Data'!$A$3:$A$3390,F$1,'United Data'!$C$3:$C$3390,$A861)&gt;0,1,0)</f>
        <v>0</v>
      </c>
      <c r="G861">
        <f>IF(COUNTIFS('United Data'!$A$3:$A$3390,G$1,'United Data'!$C$3:$C$3390,$A861)&gt;0,1,0)</f>
        <v>0</v>
      </c>
      <c r="H861">
        <f>IF(COUNTIFS('United Data'!$A$3:$A$3390,H$1,'United Data'!$C$3:$C$3390,$A861)&gt;0,1,0)</f>
        <v>0</v>
      </c>
      <c r="I861">
        <f>IF(COUNTIFS('United Data'!$A$3:$A$3390,I$1,'United Data'!$C$3:$C$3390,$A861)&gt;0,1,0)</f>
        <v>0</v>
      </c>
      <c r="J861">
        <f>IF(COUNTIFS('United Data'!$A$3:$A$3390,J$1,'United Data'!$C$3:$C$3390,$A861)&gt;0,1,0)</f>
        <v>0</v>
      </c>
      <c r="K861">
        <f>IF(COUNTIFS('United Data'!$A$3:$A$3390,K$1,'United Data'!$C$3:$C$3390,$A861)&gt;0,1,0)</f>
        <v>0</v>
      </c>
      <c r="L861">
        <f>IF(COUNTIFS('United Data'!$A$3:$A$3390,L$1,'United Data'!$C$3:$C$3390,$A861)&gt;0,1,0)</f>
        <v>0</v>
      </c>
      <c r="M861">
        <f>IF(COUNTIFS('United Data'!$A$3:$A$3390,M$1,'United Data'!$C$3:$C$3390,$A861)&gt;0,1,0)</f>
        <v>0</v>
      </c>
      <c r="N861">
        <f>IF(COUNTIFS('United Data'!$A$3:$A$3390,N$1,'United Data'!$C$3:$C$3390,$A861)&gt;0,1,0)</f>
        <v>0</v>
      </c>
      <c r="O861">
        <f>IF(COUNTIFS('United Data'!$A$3:$A$3390,O$1,'United Data'!$C$3:$C$3390,$A861)&gt;0,1,0)</f>
        <v>0</v>
      </c>
      <c r="P861">
        <f>IF(COUNTIFS('United Data'!$A$3:$A$3390,P$1,'United Data'!$C$3:$C$3390,$A861)&gt;0,1,0)</f>
        <v>0</v>
      </c>
      <c r="Q861">
        <f>IF(COUNTIFS('United Data'!$A$3:$A$3390,Q$1,'United Data'!$C$3:$C$3390,$A861)&gt;0,1,0)</f>
        <v>1</v>
      </c>
      <c r="R861">
        <f>IF(COUNTIFS('United Data'!$A$3:$A$3390,R$1,'United Data'!$C$3:$C$3390,$A861)&gt;0,1,0)</f>
        <v>0</v>
      </c>
      <c r="S861">
        <f t="shared" si="26"/>
        <v>1</v>
      </c>
      <c r="T861">
        <f t="shared" si="27"/>
        <v>1</v>
      </c>
    </row>
    <row r="862" spans="1:20" x14ac:dyDescent="0.2">
      <c r="A862" t="s">
        <v>1034</v>
      </c>
      <c r="B862">
        <f>IF(COUNTIFS('United Data'!$A$3:$A$3390,B$1,'United Data'!$C$3:$C$3390,$A862)&gt;0,1,0)</f>
        <v>0</v>
      </c>
      <c r="C862">
        <f>IF(COUNTIFS('United Data'!$A$3:$A$3390,C$1,'United Data'!$C$3:$C$3390,$A862)&gt;0,1,0)</f>
        <v>0</v>
      </c>
      <c r="D862">
        <f>IF(COUNTIFS('United Data'!$A$3:$A$3390,D$1,'United Data'!$C$3:$C$3390,$A862)&gt;0,1,0)</f>
        <v>0</v>
      </c>
      <c r="E862">
        <f>IF(COUNTIFS('United Data'!$A$3:$A$3390,E$1,'United Data'!$C$3:$C$3390,$A862)&gt;0,1,0)</f>
        <v>0</v>
      </c>
      <c r="F862">
        <f>IF(COUNTIFS('United Data'!$A$3:$A$3390,F$1,'United Data'!$C$3:$C$3390,$A862)&gt;0,1,0)</f>
        <v>0</v>
      </c>
      <c r="G862">
        <f>IF(COUNTIFS('United Data'!$A$3:$A$3390,G$1,'United Data'!$C$3:$C$3390,$A862)&gt;0,1,0)</f>
        <v>0</v>
      </c>
      <c r="H862">
        <f>IF(COUNTIFS('United Data'!$A$3:$A$3390,H$1,'United Data'!$C$3:$C$3390,$A862)&gt;0,1,0)</f>
        <v>0</v>
      </c>
      <c r="I862">
        <f>IF(COUNTIFS('United Data'!$A$3:$A$3390,I$1,'United Data'!$C$3:$C$3390,$A862)&gt;0,1,0)</f>
        <v>0</v>
      </c>
      <c r="J862">
        <f>IF(COUNTIFS('United Data'!$A$3:$A$3390,J$1,'United Data'!$C$3:$C$3390,$A862)&gt;0,1,0)</f>
        <v>0</v>
      </c>
      <c r="K862">
        <f>IF(COUNTIFS('United Data'!$A$3:$A$3390,K$1,'United Data'!$C$3:$C$3390,$A862)&gt;0,1,0)</f>
        <v>0</v>
      </c>
      <c r="L862">
        <f>IF(COUNTIFS('United Data'!$A$3:$A$3390,L$1,'United Data'!$C$3:$C$3390,$A862)&gt;0,1,0)</f>
        <v>0</v>
      </c>
      <c r="M862">
        <f>IF(COUNTIFS('United Data'!$A$3:$A$3390,M$1,'United Data'!$C$3:$C$3390,$A862)&gt;0,1,0)</f>
        <v>0</v>
      </c>
      <c r="N862">
        <f>IF(COUNTIFS('United Data'!$A$3:$A$3390,N$1,'United Data'!$C$3:$C$3390,$A862)&gt;0,1,0)</f>
        <v>0</v>
      </c>
      <c r="O862">
        <f>IF(COUNTIFS('United Data'!$A$3:$A$3390,O$1,'United Data'!$C$3:$C$3390,$A862)&gt;0,1,0)</f>
        <v>0</v>
      </c>
      <c r="P862">
        <f>IF(COUNTIFS('United Data'!$A$3:$A$3390,P$1,'United Data'!$C$3:$C$3390,$A862)&gt;0,1,0)</f>
        <v>0</v>
      </c>
      <c r="Q862">
        <f>IF(COUNTIFS('United Data'!$A$3:$A$3390,Q$1,'United Data'!$C$3:$C$3390,$A862)&gt;0,1,0)</f>
        <v>1</v>
      </c>
      <c r="R862">
        <f>IF(COUNTIFS('United Data'!$A$3:$A$3390,R$1,'United Data'!$C$3:$C$3390,$A862)&gt;0,1,0)</f>
        <v>0</v>
      </c>
      <c r="S862">
        <f t="shared" si="26"/>
        <v>1</v>
      </c>
      <c r="T862">
        <f t="shared" si="27"/>
        <v>1</v>
      </c>
    </row>
    <row r="863" spans="1:20" x14ac:dyDescent="0.2">
      <c r="A863" t="s">
        <v>1036</v>
      </c>
      <c r="B863">
        <f>IF(COUNTIFS('United Data'!$A$3:$A$3390,B$1,'United Data'!$C$3:$C$3390,$A863)&gt;0,1,0)</f>
        <v>0</v>
      </c>
      <c r="C863">
        <f>IF(COUNTIFS('United Data'!$A$3:$A$3390,C$1,'United Data'!$C$3:$C$3390,$A863)&gt;0,1,0)</f>
        <v>0</v>
      </c>
      <c r="D863">
        <f>IF(COUNTIFS('United Data'!$A$3:$A$3390,D$1,'United Data'!$C$3:$C$3390,$A863)&gt;0,1,0)</f>
        <v>0</v>
      </c>
      <c r="E863">
        <f>IF(COUNTIFS('United Data'!$A$3:$A$3390,E$1,'United Data'!$C$3:$C$3390,$A863)&gt;0,1,0)</f>
        <v>0</v>
      </c>
      <c r="F863">
        <f>IF(COUNTIFS('United Data'!$A$3:$A$3390,F$1,'United Data'!$C$3:$C$3390,$A863)&gt;0,1,0)</f>
        <v>0</v>
      </c>
      <c r="G863">
        <f>IF(COUNTIFS('United Data'!$A$3:$A$3390,G$1,'United Data'!$C$3:$C$3390,$A863)&gt;0,1,0)</f>
        <v>0</v>
      </c>
      <c r="H863">
        <f>IF(COUNTIFS('United Data'!$A$3:$A$3390,H$1,'United Data'!$C$3:$C$3390,$A863)&gt;0,1,0)</f>
        <v>0</v>
      </c>
      <c r="I863">
        <f>IF(COUNTIFS('United Data'!$A$3:$A$3390,I$1,'United Data'!$C$3:$C$3390,$A863)&gt;0,1,0)</f>
        <v>0</v>
      </c>
      <c r="J863">
        <f>IF(COUNTIFS('United Data'!$A$3:$A$3390,J$1,'United Data'!$C$3:$C$3390,$A863)&gt;0,1,0)</f>
        <v>0</v>
      </c>
      <c r="K863">
        <f>IF(COUNTIFS('United Data'!$A$3:$A$3390,K$1,'United Data'!$C$3:$C$3390,$A863)&gt;0,1,0)</f>
        <v>0</v>
      </c>
      <c r="L863">
        <f>IF(COUNTIFS('United Data'!$A$3:$A$3390,L$1,'United Data'!$C$3:$C$3390,$A863)&gt;0,1,0)</f>
        <v>0</v>
      </c>
      <c r="M863">
        <f>IF(COUNTIFS('United Data'!$A$3:$A$3390,M$1,'United Data'!$C$3:$C$3390,$A863)&gt;0,1,0)</f>
        <v>0</v>
      </c>
      <c r="N863">
        <f>IF(COUNTIFS('United Data'!$A$3:$A$3390,N$1,'United Data'!$C$3:$C$3390,$A863)&gt;0,1,0)</f>
        <v>0</v>
      </c>
      <c r="O863">
        <f>IF(COUNTIFS('United Data'!$A$3:$A$3390,O$1,'United Data'!$C$3:$C$3390,$A863)&gt;0,1,0)</f>
        <v>0</v>
      </c>
      <c r="P863">
        <f>IF(COUNTIFS('United Data'!$A$3:$A$3390,P$1,'United Data'!$C$3:$C$3390,$A863)&gt;0,1,0)</f>
        <v>0</v>
      </c>
      <c r="Q863">
        <f>IF(COUNTIFS('United Data'!$A$3:$A$3390,Q$1,'United Data'!$C$3:$C$3390,$A863)&gt;0,1,0)</f>
        <v>1</v>
      </c>
      <c r="R863">
        <f>IF(COUNTIFS('United Data'!$A$3:$A$3390,R$1,'United Data'!$C$3:$C$3390,$A863)&gt;0,1,0)</f>
        <v>0</v>
      </c>
      <c r="S863">
        <f t="shared" si="26"/>
        <v>1</v>
      </c>
      <c r="T863">
        <f t="shared" si="27"/>
        <v>1</v>
      </c>
    </row>
    <row r="864" spans="1:20" x14ac:dyDescent="0.2">
      <c r="A864" t="s">
        <v>1037</v>
      </c>
      <c r="B864">
        <f>IF(COUNTIFS('United Data'!$A$3:$A$3390,B$1,'United Data'!$C$3:$C$3390,$A864)&gt;0,1,0)</f>
        <v>0</v>
      </c>
      <c r="C864">
        <f>IF(COUNTIFS('United Data'!$A$3:$A$3390,C$1,'United Data'!$C$3:$C$3390,$A864)&gt;0,1,0)</f>
        <v>0</v>
      </c>
      <c r="D864">
        <f>IF(COUNTIFS('United Data'!$A$3:$A$3390,D$1,'United Data'!$C$3:$C$3390,$A864)&gt;0,1,0)</f>
        <v>0</v>
      </c>
      <c r="E864">
        <f>IF(COUNTIFS('United Data'!$A$3:$A$3390,E$1,'United Data'!$C$3:$C$3390,$A864)&gt;0,1,0)</f>
        <v>0</v>
      </c>
      <c r="F864">
        <f>IF(COUNTIFS('United Data'!$A$3:$A$3390,F$1,'United Data'!$C$3:$C$3390,$A864)&gt;0,1,0)</f>
        <v>0</v>
      </c>
      <c r="G864">
        <f>IF(COUNTIFS('United Data'!$A$3:$A$3390,G$1,'United Data'!$C$3:$C$3390,$A864)&gt;0,1,0)</f>
        <v>0</v>
      </c>
      <c r="H864">
        <f>IF(COUNTIFS('United Data'!$A$3:$A$3390,H$1,'United Data'!$C$3:$C$3390,$A864)&gt;0,1,0)</f>
        <v>0</v>
      </c>
      <c r="I864">
        <f>IF(COUNTIFS('United Data'!$A$3:$A$3390,I$1,'United Data'!$C$3:$C$3390,$A864)&gt;0,1,0)</f>
        <v>0</v>
      </c>
      <c r="J864">
        <f>IF(COUNTIFS('United Data'!$A$3:$A$3390,J$1,'United Data'!$C$3:$C$3390,$A864)&gt;0,1,0)</f>
        <v>0</v>
      </c>
      <c r="K864">
        <f>IF(COUNTIFS('United Data'!$A$3:$A$3390,K$1,'United Data'!$C$3:$C$3390,$A864)&gt;0,1,0)</f>
        <v>0</v>
      </c>
      <c r="L864">
        <f>IF(COUNTIFS('United Data'!$A$3:$A$3390,L$1,'United Data'!$C$3:$C$3390,$A864)&gt;0,1,0)</f>
        <v>0</v>
      </c>
      <c r="M864">
        <f>IF(COUNTIFS('United Data'!$A$3:$A$3390,M$1,'United Data'!$C$3:$C$3390,$A864)&gt;0,1,0)</f>
        <v>0</v>
      </c>
      <c r="N864">
        <f>IF(COUNTIFS('United Data'!$A$3:$A$3390,N$1,'United Data'!$C$3:$C$3390,$A864)&gt;0,1,0)</f>
        <v>0</v>
      </c>
      <c r="O864">
        <f>IF(COUNTIFS('United Data'!$A$3:$A$3390,O$1,'United Data'!$C$3:$C$3390,$A864)&gt;0,1,0)</f>
        <v>0</v>
      </c>
      <c r="P864">
        <f>IF(COUNTIFS('United Data'!$A$3:$A$3390,P$1,'United Data'!$C$3:$C$3390,$A864)&gt;0,1,0)</f>
        <v>0</v>
      </c>
      <c r="Q864">
        <f>IF(COUNTIFS('United Data'!$A$3:$A$3390,Q$1,'United Data'!$C$3:$C$3390,$A864)&gt;0,1,0)</f>
        <v>1</v>
      </c>
      <c r="R864">
        <f>IF(COUNTIFS('United Data'!$A$3:$A$3390,R$1,'United Data'!$C$3:$C$3390,$A864)&gt;0,1,0)</f>
        <v>0</v>
      </c>
      <c r="S864">
        <f t="shared" si="26"/>
        <v>1</v>
      </c>
      <c r="T864">
        <f t="shared" si="27"/>
        <v>1</v>
      </c>
    </row>
    <row r="865" spans="1:20" x14ac:dyDescent="0.2">
      <c r="A865" t="s">
        <v>1038</v>
      </c>
      <c r="B865">
        <f>IF(COUNTIFS('United Data'!$A$3:$A$3390,B$1,'United Data'!$C$3:$C$3390,$A865)&gt;0,1,0)</f>
        <v>0</v>
      </c>
      <c r="C865">
        <f>IF(COUNTIFS('United Data'!$A$3:$A$3390,C$1,'United Data'!$C$3:$C$3390,$A865)&gt;0,1,0)</f>
        <v>0</v>
      </c>
      <c r="D865">
        <f>IF(COUNTIFS('United Data'!$A$3:$A$3390,D$1,'United Data'!$C$3:$C$3390,$A865)&gt;0,1,0)</f>
        <v>0</v>
      </c>
      <c r="E865">
        <f>IF(COUNTIFS('United Data'!$A$3:$A$3390,E$1,'United Data'!$C$3:$C$3390,$A865)&gt;0,1,0)</f>
        <v>0</v>
      </c>
      <c r="F865">
        <f>IF(COUNTIFS('United Data'!$A$3:$A$3390,F$1,'United Data'!$C$3:$C$3390,$A865)&gt;0,1,0)</f>
        <v>0</v>
      </c>
      <c r="G865">
        <f>IF(COUNTIFS('United Data'!$A$3:$A$3390,G$1,'United Data'!$C$3:$C$3390,$A865)&gt;0,1,0)</f>
        <v>0</v>
      </c>
      <c r="H865">
        <f>IF(COUNTIFS('United Data'!$A$3:$A$3390,H$1,'United Data'!$C$3:$C$3390,$A865)&gt;0,1,0)</f>
        <v>0</v>
      </c>
      <c r="I865">
        <f>IF(COUNTIFS('United Data'!$A$3:$A$3390,I$1,'United Data'!$C$3:$C$3390,$A865)&gt;0,1,0)</f>
        <v>0</v>
      </c>
      <c r="J865">
        <f>IF(COUNTIFS('United Data'!$A$3:$A$3390,J$1,'United Data'!$C$3:$C$3390,$A865)&gt;0,1,0)</f>
        <v>0</v>
      </c>
      <c r="K865">
        <f>IF(COUNTIFS('United Data'!$A$3:$A$3390,K$1,'United Data'!$C$3:$C$3390,$A865)&gt;0,1,0)</f>
        <v>0</v>
      </c>
      <c r="L865">
        <f>IF(COUNTIFS('United Data'!$A$3:$A$3390,L$1,'United Data'!$C$3:$C$3390,$A865)&gt;0,1,0)</f>
        <v>0</v>
      </c>
      <c r="M865">
        <f>IF(COUNTIFS('United Data'!$A$3:$A$3390,M$1,'United Data'!$C$3:$C$3390,$A865)&gt;0,1,0)</f>
        <v>0</v>
      </c>
      <c r="N865">
        <f>IF(COUNTIFS('United Data'!$A$3:$A$3390,N$1,'United Data'!$C$3:$C$3390,$A865)&gt;0,1,0)</f>
        <v>0</v>
      </c>
      <c r="O865">
        <f>IF(COUNTIFS('United Data'!$A$3:$A$3390,O$1,'United Data'!$C$3:$C$3390,$A865)&gt;0,1,0)</f>
        <v>0</v>
      </c>
      <c r="P865">
        <f>IF(COUNTIFS('United Data'!$A$3:$A$3390,P$1,'United Data'!$C$3:$C$3390,$A865)&gt;0,1,0)</f>
        <v>0</v>
      </c>
      <c r="Q865">
        <f>IF(COUNTIFS('United Data'!$A$3:$A$3390,Q$1,'United Data'!$C$3:$C$3390,$A865)&gt;0,1,0)</f>
        <v>0</v>
      </c>
      <c r="R865">
        <f>IF(COUNTIFS('United Data'!$A$3:$A$3390,R$1,'United Data'!$C$3:$C$3390,$A865)&gt;0,1,0)</f>
        <v>1</v>
      </c>
      <c r="S865">
        <f t="shared" si="26"/>
        <v>1</v>
      </c>
      <c r="T865">
        <f t="shared" si="27"/>
        <v>1</v>
      </c>
    </row>
    <row r="866" spans="1:20" x14ac:dyDescent="0.2">
      <c r="A866" t="s">
        <v>1040</v>
      </c>
      <c r="B866">
        <f>IF(COUNTIFS('United Data'!$A$3:$A$3390,B$1,'United Data'!$C$3:$C$3390,$A866)&gt;0,1,0)</f>
        <v>1</v>
      </c>
      <c r="C866">
        <f>IF(COUNTIFS('United Data'!$A$3:$A$3390,C$1,'United Data'!$C$3:$C$3390,$A866)&gt;0,1,0)</f>
        <v>0</v>
      </c>
      <c r="D866">
        <f>IF(COUNTIFS('United Data'!$A$3:$A$3390,D$1,'United Data'!$C$3:$C$3390,$A866)&gt;0,1,0)</f>
        <v>1</v>
      </c>
      <c r="E866">
        <f>IF(COUNTIFS('United Data'!$A$3:$A$3390,E$1,'United Data'!$C$3:$C$3390,$A866)&gt;0,1,0)</f>
        <v>1</v>
      </c>
      <c r="F866">
        <f>IF(COUNTIFS('United Data'!$A$3:$A$3390,F$1,'United Data'!$C$3:$C$3390,$A866)&gt;0,1,0)</f>
        <v>0</v>
      </c>
      <c r="G866">
        <f>IF(COUNTIFS('United Data'!$A$3:$A$3390,G$1,'United Data'!$C$3:$C$3390,$A866)&gt;0,1,0)</f>
        <v>1</v>
      </c>
      <c r="H866">
        <f>IF(COUNTIFS('United Data'!$A$3:$A$3390,H$1,'United Data'!$C$3:$C$3390,$A866)&gt;0,1,0)</f>
        <v>0</v>
      </c>
      <c r="I866">
        <f>IF(COUNTIFS('United Data'!$A$3:$A$3390,I$1,'United Data'!$C$3:$C$3390,$A866)&gt;0,1,0)</f>
        <v>0</v>
      </c>
      <c r="J866">
        <f>IF(COUNTIFS('United Data'!$A$3:$A$3390,J$1,'United Data'!$C$3:$C$3390,$A866)&gt;0,1,0)</f>
        <v>0</v>
      </c>
      <c r="K866">
        <f>IF(COUNTIFS('United Data'!$A$3:$A$3390,K$1,'United Data'!$C$3:$C$3390,$A866)&gt;0,1,0)</f>
        <v>0</v>
      </c>
      <c r="L866">
        <f>IF(COUNTIFS('United Data'!$A$3:$A$3390,L$1,'United Data'!$C$3:$C$3390,$A866)&gt;0,1,0)</f>
        <v>0</v>
      </c>
      <c r="M866">
        <f>IF(COUNTIFS('United Data'!$A$3:$A$3390,M$1,'United Data'!$C$3:$C$3390,$A866)&gt;0,1,0)</f>
        <v>0</v>
      </c>
      <c r="N866">
        <f>IF(COUNTIFS('United Data'!$A$3:$A$3390,N$1,'United Data'!$C$3:$C$3390,$A866)&gt;0,1,0)</f>
        <v>0</v>
      </c>
      <c r="O866">
        <f>IF(COUNTIFS('United Data'!$A$3:$A$3390,O$1,'United Data'!$C$3:$C$3390,$A866)&gt;0,1,0)</f>
        <v>0</v>
      </c>
      <c r="P866">
        <f>IF(COUNTIFS('United Data'!$A$3:$A$3390,P$1,'United Data'!$C$3:$C$3390,$A866)&gt;0,1,0)</f>
        <v>0</v>
      </c>
      <c r="Q866">
        <f>IF(COUNTIFS('United Data'!$A$3:$A$3390,Q$1,'United Data'!$C$3:$C$3390,$A866)&gt;0,1,0)</f>
        <v>0</v>
      </c>
      <c r="R866">
        <f>IF(COUNTIFS('United Data'!$A$3:$A$3390,R$1,'United Data'!$C$3:$C$3390,$A866)&gt;0,1,0)</f>
        <v>0</v>
      </c>
      <c r="S866">
        <f t="shared" si="26"/>
        <v>4</v>
      </c>
      <c r="T866">
        <f t="shared" si="27"/>
        <v>3</v>
      </c>
    </row>
    <row r="867" spans="1:20" x14ac:dyDescent="0.2">
      <c r="A867" t="s">
        <v>1041</v>
      </c>
      <c r="B867">
        <f>IF(COUNTIFS('United Data'!$A$3:$A$3390,B$1,'United Data'!$C$3:$C$3390,$A867)&gt;0,1,0)</f>
        <v>1</v>
      </c>
      <c r="C867">
        <f>IF(COUNTIFS('United Data'!$A$3:$A$3390,C$1,'United Data'!$C$3:$C$3390,$A867)&gt;0,1,0)</f>
        <v>0</v>
      </c>
      <c r="D867">
        <f>IF(COUNTIFS('United Data'!$A$3:$A$3390,D$1,'United Data'!$C$3:$C$3390,$A867)&gt;0,1,0)</f>
        <v>0</v>
      </c>
      <c r="E867">
        <f>IF(COUNTIFS('United Data'!$A$3:$A$3390,E$1,'United Data'!$C$3:$C$3390,$A867)&gt;0,1,0)</f>
        <v>0</v>
      </c>
      <c r="F867">
        <f>IF(COUNTIFS('United Data'!$A$3:$A$3390,F$1,'United Data'!$C$3:$C$3390,$A867)&gt;0,1,0)</f>
        <v>0</v>
      </c>
      <c r="G867">
        <f>IF(COUNTIFS('United Data'!$A$3:$A$3390,G$1,'United Data'!$C$3:$C$3390,$A867)&gt;0,1,0)</f>
        <v>0</v>
      </c>
      <c r="H867">
        <f>IF(COUNTIFS('United Data'!$A$3:$A$3390,H$1,'United Data'!$C$3:$C$3390,$A867)&gt;0,1,0)</f>
        <v>0</v>
      </c>
      <c r="I867">
        <f>IF(COUNTIFS('United Data'!$A$3:$A$3390,I$1,'United Data'!$C$3:$C$3390,$A867)&gt;0,1,0)</f>
        <v>0</v>
      </c>
      <c r="J867">
        <f>IF(COUNTIFS('United Data'!$A$3:$A$3390,J$1,'United Data'!$C$3:$C$3390,$A867)&gt;0,1,0)</f>
        <v>0</v>
      </c>
      <c r="K867">
        <f>IF(COUNTIFS('United Data'!$A$3:$A$3390,K$1,'United Data'!$C$3:$C$3390,$A867)&gt;0,1,0)</f>
        <v>0</v>
      </c>
      <c r="L867">
        <f>IF(COUNTIFS('United Data'!$A$3:$A$3390,L$1,'United Data'!$C$3:$C$3390,$A867)&gt;0,1,0)</f>
        <v>0</v>
      </c>
      <c r="M867">
        <f>IF(COUNTIFS('United Data'!$A$3:$A$3390,M$1,'United Data'!$C$3:$C$3390,$A867)&gt;0,1,0)</f>
        <v>0</v>
      </c>
      <c r="N867">
        <f>IF(COUNTIFS('United Data'!$A$3:$A$3390,N$1,'United Data'!$C$3:$C$3390,$A867)&gt;0,1,0)</f>
        <v>0</v>
      </c>
      <c r="O867">
        <f>IF(COUNTIFS('United Data'!$A$3:$A$3390,O$1,'United Data'!$C$3:$C$3390,$A867)&gt;0,1,0)</f>
        <v>0</v>
      </c>
      <c r="P867">
        <f>IF(COUNTIFS('United Data'!$A$3:$A$3390,P$1,'United Data'!$C$3:$C$3390,$A867)&gt;0,1,0)</f>
        <v>0</v>
      </c>
      <c r="Q867">
        <f>IF(COUNTIFS('United Data'!$A$3:$A$3390,Q$1,'United Data'!$C$3:$C$3390,$A867)&gt;0,1,0)</f>
        <v>0</v>
      </c>
      <c r="R867">
        <f>IF(COUNTIFS('United Data'!$A$3:$A$3390,R$1,'United Data'!$C$3:$C$3390,$A867)&gt;0,1,0)</f>
        <v>0</v>
      </c>
      <c r="S867">
        <f t="shared" si="26"/>
        <v>1</v>
      </c>
      <c r="T867">
        <f t="shared" si="27"/>
        <v>1</v>
      </c>
    </row>
    <row r="868" spans="1:20" x14ac:dyDescent="0.2">
      <c r="A868" t="s">
        <v>1042</v>
      </c>
      <c r="B868">
        <f>IF(COUNTIFS('United Data'!$A$3:$A$3390,B$1,'United Data'!$C$3:$C$3390,$A868)&gt;0,1,0)</f>
        <v>1</v>
      </c>
      <c r="C868">
        <f>IF(COUNTIFS('United Data'!$A$3:$A$3390,C$1,'United Data'!$C$3:$C$3390,$A868)&gt;0,1,0)</f>
        <v>1</v>
      </c>
      <c r="D868">
        <f>IF(COUNTIFS('United Data'!$A$3:$A$3390,D$1,'United Data'!$C$3:$C$3390,$A868)&gt;0,1,0)</f>
        <v>1</v>
      </c>
      <c r="E868">
        <f>IF(COUNTIFS('United Data'!$A$3:$A$3390,E$1,'United Data'!$C$3:$C$3390,$A868)&gt;0,1,0)</f>
        <v>0</v>
      </c>
      <c r="F868">
        <f>IF(COUNTIFS('United Data'!$A$3:$A$3390,F$1,'United Data'!$C$3:$C$3390,$A868)&gt;0,1,0)</f>
        <v>1</v>
      </c>
      <c r="G868">
        <f>IF(COUNTIFS('United Data'!$A$3:$A$3390,G$1,'United Data'!$C$3:$C$3390,$A868)&gt;0,1,0)</f>
        <v>0</v>
      </c>
      <c r="H868">
        <f>IF(COUNTIFS('United Data'!$A$3:$A$3390,H$1,'United Data'!$C$3:$C$3390,$A868)&gt;0,1,0)</f>
        <v>0</v>
      </c>
      <c r="I868">
        <f>IF(COUNTIFS('United Data'!$A$3:$A$3390,I$1,'United Data'!$C$3:$C$3390,$A868)&gt;0,1,0)</f>
        <v>0</v>
      </c>
      <c r="J868">
        <f>IF(COUNTIFS('United Data'!$A$3:$A$3390,J$1,'United Data'!$C$3:$C$3390,$A868)&gt;0,1,0)</f>
        <v>0</v>
      </c>
      <c r="K868">
        <f>IF(COUNTIFS('United Data'!$A$3:$A$3390,K$1,'United Data'!$C$3:$C$3390,$A868)&gt;0,1,0)</f>
        <v>0</v>
      </c>
      <c r="L868">
        <f>IF(COUNTIFS('United Data'!$A$3:$A$3390,L$1,'United Data'!$C$3:$C$3390,$A868)&gt;0,1,0)</f>
        <v>0</v>
      </c>
      <c r="M868">
        <f>IF(COUNTIFS('United Data'!$A$3:$A$3390,M$1,'United Data'!$C$3:$C$3390,$A868)&gt;0,1,0)</f>
        <v>0</v>
      </c>
      <c r="N868">
        <f>IF(COUNTIFS('United Data'!$A$3:$A$3390,N$1,'United Data'!$C$3:$C$3390,$A868)&gt;0,1,0)</f>
        <v>0</v>
      </c>
      <c r="O868">
        <f>IF(COUNTIFS('United Data'!$A$3:$A$3390,O$1,'United Data'!$C$3:$C$3390,$A868)&gt;0,1,0)</f>
        <v>0</v>
      </c>
      <c r="P868">
        <f>IF(COUNTIFS('United Data'!$A$3:$A$3390,P$1,'United Data'!$C$3:$C$3390,$A868)&gt;0,1,0)</f>
        <v>0</v>
      </c>
      <c r="Q868">
        <f>IF(COUNTIFS('United Data'!$A$3:$A$3390,Q$1,'United Data'!$C$3:$C$3390,$A868)&gt;0,1,0)</f>
        <v>0</v>
      </c>
      <c r="R868">
        <f>IF(COUNTIFS('United Data'!$A$3:$A$3390,R$1,'United Data'!$C$3:$C$3390,$A868)&gt;0,1,0)</f>
        <v>0</v>
      </c>
      <c r="S868">
        <f t="shared" si="26"/>
        <v>4</v>
      </c>
      <c r="T868">
        <f t="shared" si="27"/>
        <v>2</v>
      </c>
    </row>
    <row r="869" spans="1:20" x14ac:dyDescent="0.2">
      <c r="A869" t="s">
        <v>1043</v>
      </c>
      <c r="B869">
        <f>IF(COUNTIFS('United Data'!$A$3:$A$3390,B$1,'United Data'!$C$3:$C$3390,$A869)&gt;0,1,0)</f>
        <v>1</v>
      </c>
      <c r="C869">
        <f>IF(COUNTIFS('United Data'!$A$3:$A$3390,C$1,'United Data'!$C$3:$C$3390,$A869)&gt;0,1,0)</f>
        <v>1</v>
      </c>
      <c r="D869">
        <f>IF(COUNTIFS('United Data'!$A$3:$A$3390,D$1,'United Data'!$C$3:$C$3390,$A869)&gt;0,1,0)</f>
        <v>0</v>
      </c>
      <c r="E869">
        <f>IF(COUNTIFS('United Data'!$A$3:$A$3390,E$1,'United Data'!$C$3:$C$3390,$A869)&gt;0,1,0)</f>
        <v>0</v>
      </c>
      <c r="F869">
        <f>IF(COUNTIFS('United Data'!$A$3:$A$3390,F$1,'United Data'!$C$3:$C$3390,$A869)&gt;0,1,0)</f>
        <v>0</v>
      </c>
      <c r="G869">
        <f>IF(COUNTIFS('United Data'!$A$3:$A$3390,G$1,'United Data'!$C$3:$C$3390,$A869)&gt;0,1,0)</f>
        <v>0</v>
      </c>
      <c r="H869">
        <f>IF(COUNTIFS('United Data'!$A$3:$A$3390,H$1,'United Data'!$C$3:$C$3390,$A869)&gt;0,1,0)</f>
        <v>0</v>
      </c>
      <c r="I869">
        <f>IF(COUNTIFS('United Data'!$A$3:$A$3390,I$1,'United Data'!$C$3:$C$3390,$A869)&gt;0,1,0)</f>
        <v>0</v>
      </c>
      <c r="J869">
        <f>IF(COUNTIFS('United Data'!$A$3:$A$3390,J$1,'United Data'!$C$3:$C$3390,$A869)&gt;0,1,0)</f>
        <v>0</v>
      </c>
      <c r="K869">
        <f>IF(COUNTIFS('United Data'!$A$3:$A$3390,K$1,'United Data'!$C$3:$C$3390,$A869)&gt;0,1,0)</f>
        <v>0</v>
      </c>
      <c r="L869">
        <f>IF(COUNTIFS('United Data'!$A$3:$A$3390,L$1,'United Data'!$C$3:$C$3390,$A869)&gt;0,1,0)</f>
        <v>0</v>
      </c>
      <c r="M869">
        <f>IF(COUNTIFS('United Data'!$A$3:$A$3390,M$1,'United Data'!$C$3:$C$3390,$A869)&gt;0,1,0)</f>
        <v>0</v>
      </c>
      <c r="N869">
        <f>IF(COUNTIFS('United Data'!$A$3:$A$3390,N$1,'United Data'!$C$3:$C$3390,$A869)&gt;0,1,0)</f>
        <v>0</v>
      </c>
      <c r="O869">
        <f>IF(COUNTIFS('United Data'!$A$3:$A$3390,O$1,'United Data'!$C$3:$C$3390,$A869)&gt;0,1,0)</f>
        <v>0</v>
      </c>
      <c r="P869">
        <f>IF(COUNTIFS('United Data'!$A$3:$A$3390,P$1,'United Data'!$C$3:$C$3390,$A869)&gt;0,1,0)</f>
        <v>0</v>
      </c>
      <c r="Q869">
        <f>IF(COUNTIFS('United Data'!$A$3:$A$3390,Q$1,'United Data'!$C$3:$C$3390,$A869)&gt;0,1,0)</f>
        <v>0</v>
      </c>
      <c r="R869">
        <f>IF(COUNTIFS('United Data'!$A$3:$A$3390,R$1,'United Data'!$C$3:$C$3390,$A869)&gt;0,1,0)</f>
        <v>0</v>
      </c>
      <c r="S869">
        <f t="shared" si="26"/>
        <v>2</v>
      </c>
      <c r="T869">
        <f t="shared" si="27"/>
        <v>1</v>
      </c>
    </row>
    <row r="870" spans="1:20" x14ac:dyDescent="0.2">
      <c r="A870" t="s">
        <v>1044</v>
      </c>
      <c r="B870">
        <f>IF(COUNTIFS('United Data'!$A$3:$A$3390,B$1,'United Data'!$C$3:$C$3390,$A870)&gt;0,1,0)</f>
        <v>1</v>
      </c>
      <c r="C870">
        <f>IF(COUNTIFS('United Data'!$A$3:$A$3390,C$1,'United Data'!$C$3:$C$3390,$A870)&gt;0,1,0)</f>
        <v>1</v>
      </c>
      <c r="D870">
        <f>IF(COUNTIFS('United Data'!$A$3:$A$3390,D$1,'United Data'!$C$3:$C$3390,$A870)&gt;0,1,0)</f>
        <v>0</v>
      </c>
      <c r="E870">
        <f>IF(COUNTIFS('United Data'!$A$3:$A$3390,E$1,'United Data'!$C$3:$C$3390,$A870)&gt;0,1,0)</f>
        <v>1</v>
      </c>
      <c r="F870">
        <f>IF(COUNTIFS('United Data'!$A$3:$A$3390,F$1,'United Data'!$C$3:$C$3390,$A870)&gt;0,1,0)</f>
        <v>0</v>
      </c>
      <c r="G870">
        <f>IF(COUNTIFS('United Data'!$A$3:$A$3390,G$1,'United Data'!$C$3:$C$3390,$A870)&gt;0,1,0)</f>
        <v>0</v>
      </c>
      <c r="H870">
        <f>IF(COUNTIFS('United Data'!$A$3:$A$3390,H$1,'United Data'!$C$3:$C$3390,$A870)&gt;0,1,0)</f>
        <v>0</v>
      </c>
      <c r="I870">
        <f>IF(COUNTIFS('United Data'!$A$3:$A$3390,I$1,'United Data'!$C$3:$C$3390,$A870)&gt;0,1,0)</f>
        <v>0</v>
      </c>
      <c r="J870">
        <f>IF(COUNTIFS('United Data'!$A$3:$A$3390,J$1,'United Data'!$C$3:$C$3390,$A870)&gt;0,1,0)</f>
        <v>0</v>
      </c>
      <c r="K870">
        <f>IF(COUNTIFS('United Data'!$A$3:$A$3390,K$1,'United Data'!$C$3:$C$3390,$A870)&gt;0,1,0)</f>
        <v>0</v>
      </c>
      <c r="L870">
        <f>IF(COUNTIFS('United Data'!$A$3:$A$3390,L$1,'United Data'!$C$3:$C$3390,$A870)&gt;0,1,0)</f>
        <v>0</v>
      </c>
      <c r="M870">
        <f>IF(COUNTIFS('United Data'!$A$3:$A$3390,M$1,'United Data'!$C$3:$C$3390,$A870)&gt;0,1,0)</f>
        <v>0</v>
      </c>
      <c r="N870">
        <f>IF(COUNTIFS('United Data'!$A$3:$A$3390,N$1,'United Data'!$C$3:$C$3390,$A870)&gt;0,1,0)</f>
        <v>0</v>
      </c>
      <c r="O870">
        <f>IF(COUNTIFS('United Data'!$A$3:$A$3390,O$1,'United Data'!$C$3:$C$3390,$A870)&gt;0,1,0)</f>
        <v>0</v>
      </c>
      <c r="P870">
        <f>IF(COUNTIFS('United Data'!$A$3:$A$3390,P$1,'United Data'!$C$3:$C$3390,$A870)&gt;0,1,0)</f>
        <v>0</v>
      </c>
      <c r="Q870">
        <f>IF(COUNTIFS('United Data'!$A$3:$A$3390,Q$1,'United Data'!$C$3:$C$3390,$A870)&gt;0,1,0)</f>
        <v>0</v>
      </c>
      <c r="R870">
        <f>IF(COUNTIFS('United Data'!$A$3:$A$3390,R$1,'United Data'!$C$3:$C$3390,$A870)&gt;0,1,0)</f>
        <v>0</v>
      </c>
      <c r="S870">
        <f t="shared" si="26"/>
        <v>3</v>
      </c>
      <c r="T870">
        <f t="shared" si="27"/>
        <v>2</v>
      </c>
    </row>
    <row r="871" spans="1:20" x14ac:dyDescent="0.2">
      <c r="A871" t="s">
        <v>1045</v>
      </c>
      <c r="B871">
        <f>IF(COUNTIFS('United Data'!$A$3:$A$3390,B$1,'United Data'!$C$3:$C$3390,$A871)&gt;0,1,0)</f>
        <v>1</v>
      </c>
      <c r="C871">
        <f>IF(COUNTIFS('United Data'!$A$3:$A$3390,C$1,'United Data'!$C$3:$C$3390,$A871)&gt;0,1,0)</f>
        <v>0</v>
      </c>
      <c r="D871">
        <f>IF(COUNTIFS('United Data'!$A$3:$A$3390,D$1,'United Data'!$C$3:$C$3390,$A871)&gt;0,1,0)</f>
        <v>0</v>
      </c>
      <c r="E871">
        <f>IF(COUNTIFS('United Data'!$A$3:$A$3390,E$1,'United Data'!$C$3:$C$3390,$A871)&gt;0,1,0)</f>
        <v>0</v>
      </c>
      <c r="F871">
        <f>IF(COUNTIFS('United Data'!$A$3:$A$3390,F$1,'United Data'!$C$3:$C$3390,$A871)&gt;0,1,0)</f>
        <v>0</v>
      </c>
      <c r="G871">
        <f>IF(COUNTIFS('United Data'!$A$3:$A$3390,G$1,'United Data'!$C$3:$C$3390,$A871)&gt;0,1,0)</f>
        <v>0</v>
      </c>
      <c r="H871">
        <f>IF(COUNTIFS('United Data'!$A$3:$A$3390,H$1,'United Data'!$C$3:$C$3390,$A871)&gt;0,1,0)</f>
        <v>0</v>
      </c>
      <c r="I871">
        <f>IF(COUNTIFS('United Data'!$A$3:$A$3390,I$1,'United Data'!$C$3:$C$3390,$A871)&gt;0,1,0)</f>
        <v>0</v>
      </c>
      <c r="J871">
        <f>IF(COUNTIFS('United Data'!$A$3:$A$3390,J$1,'United Data'!$C$3:$C$3390,$A871)&gt;0,1,0)</f>
        <v>0</v>
      </c>
      <c r="K871">
        <f>IF(COUNTIFS('United Data'!$A$3:$A$3390,K$1,'United Data'!$C$3:$C$3390,$A871)&gt;0,1,0)</f>
        <v>0</v>
      </c>
      <c r="L871">
        <f>IF(COUNTIFS('United Data'!$A$3:$A$3390,L$1,'United Data'!$C$3:$C$3390,$A871)&gt;0,1,0)</f>
        <v>0</v>
      </c>
      <c r="M871">
        <f>IF(COUNTIFS('United Data'!$A$3:$A$3390,M$1,'United Data'!$C$3:$C$3390,$A871)&gt;0,1,0)</f>
        <v>0</v>
      </c>
      <c r="N871">
        <f>IF(COUNTIFS('United Data'!$A$3:$A$3390,N$1,'United Data'!$C$3:$C$3390,$A871)&gt;0,1,0)</f>
        <v>0</v>
      </c>
      <c r="O871">
        <f>IF(COUNTIFS('United Data'!$A$3:$A$3390,O$1,'United Data'!$C$3:$C$3390,$A871)&gt;0,1,0)</f>
        <v>0</v>
      </c>
      <c r="P871">
        <f>IF(COUNTIFS('United Data'!$A$3:$A$3390,P$1,'United Data'!$C$3:$C$3390,$A871)&gt;0,1,0)</f>
        <v>0</v>
      </c>
      <c r="Q871">
        <f>IF(COUNTIFS('United Data'!$A$3:$A$3390,Q$1,'United Data'!$C$3:$C$3390,$A871)&gt;0,1,0)</f>
        <v>0</v>
      </c>
      <c r="R871">
        <f>IF(COUNTIFS('United Data'!$A$3:$A$3390,R$1,'United Data'!$C$3:$C$3390,$A871)&gt;0,1,0)</f>
        <v>0</v>
      </c>
      <c r="S871">
        <f t="shared" si="26"/>
        <v>1</v>
      </c>
      <c r="T871">
        <f t="shared" si="27"/>
        <v>1</v>
      </c>
    </row>
    <row r="872" spans="1:20" x14ac:dyDescent="0.2">
      <c r="A872" t="s">
        <v>1046</v>
      </c>
      <c r="B872">
        <f>IF(COUNTIFS('United Data'!$A$3:$A$3390,B$1,'United Data'!$C$3:$C$3390,$A872)&gt;0,1,0)</f>
        <v>1</v>
      </c>
      <c r="C872">
        <f>IF(COUNTIFS('United Data'!$A$3:$A$3390,C$1,'United Data'!$C$3:$C$3390,$A872)&gt;0,1,0)</f>
        <v>0</v>
      </c>
      <c r="D872">
        <f>IF(COUNTIFS('United Data'!$A$3:$A$3390,D$1,'United Data'!$C$3:$C$3390,$A872)&gt;0,1,0)</f>
        <v>1</v>
      </c>
      <c r="E872">
        <f>IF(COUNTIFS('United Data'!$A$3:$A$3390,E$1,'United Data'!$C$3:$C$3390,$A872)&gt;0,1,0)</f>
        <v>1</v>
      </c>
      <c r="F872">
        <f>IF(COUNTIFS('United Data'!$A$3:$A$3390,F$1,'United Data'!$C$3:$C$3390,$A872)&gt;0,1,0)</f>
        <v>0</v>
      </c>
      <c r="G872">
        <f>IF(COUNTIFS('United Data'!$A$3:$A$3390,G$1,'United Data'!$C$3:$C$3390,$A872)&gt;0,1,0)</f>
        <v>0</v>
      </c>
      <c r="H872">
        <f>IF(COUNTIFS('United Data'!$A$3:$A$3390,H$1,'United Data'!$C$3:$C$3390,$A872)&gt;0,1,0)</f>
        <v>0</v>
      </c>
      <c r="I872">
        <f>IF(COUNTIFS('United Data'!$A$3:$A$3390,I$1,'United Data'!$C$3:$C$3390,$A872)&gt;0,1,0)</f>
        <v>0</v>
      </c>
      <c r="J872">
        <f>IF(COUNTIFS('United Data'!$A$3:$A$3390,J$1,'United Data'!$C$3:$C$3390,$A872)&gt;0,1,0)</f>
        <v>0</v>
      </c>
      <c r="K872">
        <f>IF(COUNTIFS('United Data'!$A$3:$A$3390,K$1,'United Data'!$C$3:$C$3390,$A872)&gt;0,1,0)</f>
        <v>0</v>
      </c>
      <c r="L872">
        <f>IF(COUNTIFS('United Data'!$A$3:$A$3390,L$1,'United Data'!$C$3:$C$3390,$A872)&gt;0,1,0)</f>
        <v>0</v>
      </c>
      <c r="M872">
        <f>IF(COUNTIFS('United Data'!$A$3:$A$3390,M$1,'United Data'!$C$3:$C$3390,$A872)&gt;0,1,0)</f>
        <v>0</v>
      </c>
      <c r="N872">
        <f>IF(COUNTIFS('United Data'!$A$3:$A$3390,N$1,'United Data'!$C$3:$C$3390,$A872)&gt;0,1,0)</f>
        <v>1</v>
      </c>
      <c r="O872">
        <f>IF(COUNTIFS('United Data'!$A$3:$A$3390,O$1,'United Data'!$C$3:$C$3390,$A872)&gt;0,1,0)</f>
        <v>0</v>
      </c>
      <c r="P872">
        <f>IF(COUNTIFS('United Data'!$A$3:$A$3390,P$1,'United Data'!$C$3:$C$3390,$A872)&gt;0,1,0)</f>
        <v>1</v>
      </c>
      <c r="Q872">
        <f>IF(COUNTIFS('United Data'!$A$3:$A$3390,Q$1,'United Data'!$C$3:$C$3390,$A872)&gt;0,1,0)</f>
        <v>1</v>
      </c>
      <c r="R872">
        <f>IF(COUNTIFS('United Data'!$A$3:$A$3390,R$1,'United Data'!$C$3:$C$3390,$A872)&gt;0,1,0)</f>
        <v>0</v>
      </c>
      <c r="S872">
        <f t="shared" si="26"/>
        <v>6</v>
      </c>
      <c r="T872">
        <f t="shared" si="27"/>
        <v>4</v>
      </c>
    </row>
    <row r="873" spans="1:20" x14ac:dyDescent="0.2">
      <c r="A873" t="s">
        <v>1050</v>
      </c>
      <c r="B873">
        <f>IF(COUNTIFS('United Data'!$A$3:$A$3390,B$1,'United Data'!$C$3:$C$3390,$A873)&gt;0,1,0)</f>
        <v>0</v>
      </c>
      <c r="C873">
        <f>IF(COUNTIFS('United Data'!$A$3:$A$3390,C$1,'United Data'!$C$3:$C$3390,$A873)&gt;0,1,0)</f>
        <v>0</v>
      </c>
      <c r="D873">
        <f>IF(COUNTIFS('United Data'!$A$3:$A$3390,D$1,'United Data'!$C$3:$C$3390,$A873)&gt;0,1,0)</f>
        <v>1</v>
      </c>
      <c r="E873">
        <f>IF(COUNTIFS('United Data'!$A$3:$A$3390,E$1,'United Data'!$C$3:$C$3390,$A873)&gt;0,1,0)</f>
        <v>0</v>
      </c>
      <c r="F873">
        <f>IF(COUNTIFS('United Data'!$A$3:$A$3390,F$1,'United Data'!$C$3:$C$3390,$A873)&gt;0,1,0)</f>
        <v>0</v>
      </c>
      <c r="G873">
        <f>IF(COUNTIFS('United Data'!$A$3:$A$3390,G$1,'United Data'!$C$3:$C$3390,$A873)&gt;0,1,0)</f>
        <v>0</v>
      </c>
      <c r="H873">
        <f>IF(COUNTIFS('United Data'!$A$3:$A$3390,H$1,'United Data'!$C$3:$C$3390,$A873)&gt;0,1,0)</f>
        <v>0</v>
      </c>
      <c r="I873">
        <f>IF(COUNTIFS('United Data'!$A$3:$A$3390,I$1,'United Data'!$C$3:$C$3390,$A873)&gt;0,1,0)</f>
        <v>0</v>
      </c>
      <c r="J873">
        <f>IF(COUNTIFS('United Data'!$A$3:$A$3390,J$1,'United Data'!$C$3:$C$3390,$A873)&gt;0,1,0)</f>
        <v>0</v>
      </c>
      <c r="K873">
        <f>IF(COUNTIFS('United Data'!$A$3:$A$3390,K$1,'United Data'!$C$3:$C$3390,$A873)&gt;0,1,0)</f>
        <v>0</v>
      </c>
      <c r="L873">
        <f>IF(COUNTIFS('United Data'!$A$3:$A$3390,L$1,'United Data'!$C$3:$C$3390,$A873)&gt;0,1,0)</f>
        <v>1</v>
      </c>
      <c r="M873">
        <f>IF(COUNTIFS('United Data'!$A$3:$A$3390,M$1,'United Data'!$C$3:$C$3390,$A873)&gt;0,1,0)</f>
        <v>0</v>
      </c>
      <c r="N873">
        <f>IF(COUNTIFS('United Data'!$A$3:$A$3390,N$1,'United Data'!$C$3:$C$3390,$A873)&gt;0,1,0)</f>
        <v>1</v>
      </c>
      <c r="O873">
        <f>IF(COUNTIFS('United Data'!$A$3:$A$3390,O$1,'United Data'!$C$3:$C$3390,$A873)&gt;0,1,0)</f>
        <v>0</v>
      </c>
      <c r="P873">
        <f>IF(COUNTIFS('United Data'!$A$3:$A$3390,P$1,'United Data'!$C$3:$C$3390,$A873)&gt;0,1,0)</f>
        <v>0</v>
      </c>
      <c r="Q873">
        <f>IF(COUNTIFS('United Data'!$A$3:$A$3390,Q$1,'United Data'!$C$3:$C$3390,$A873)&gt;0,1,0)</f>
        <v>1</v>
      </c>
      <c r="R873">
        <f>IF(COUNTIFS('United Data'!$A$3:$A$3390,R$1,'United Data'!$C$3:$C$3390,$A873)&gt;0,1,0)</f>
        <v>0</v>
      </c>
      <c r="S873">
        <f t="shared" si="26"/>
        <v>4</v>
      </c>
      <c r="T873">
        <f t="shared" si="27"/>
        <v>4</v>
      </c>
    </row>
    <row r="874" spans="1:20" x14ac:dyDescent="0.2">
      <c r="A874" t="s">
        <v>1053</v>
      </c>
      <c r="B874">
        <f>IF(COUNTIFS('United Data'!$A$3:$A$3390,B$1,'United Data'!$C$3:$C$3390,$A874)&gt;0,1,0)</f>
        <v>0</v>
      </c>
      <c r="C874">
        <f>IF(COUNTIFS('United Data'!$A$3:$A$3390,C$1,'United Data'!$C$3:$C$3390,$A874)&gt;0,1,0)</f>
        <v>0</v>
      </c>
      <c r="D874">
        <f>IF(COUNTIFS('United Data'!$A$3:$A$3390,D$1,'United Data'!$C$3:$C$3390,$A874)&gt;0,1,0)</f>
        <v>1</v>
      </c>
      <c r="E874">
        <f>IF(COUNTIFS('United Data'!$A$3:$A$3390,E$1,'United Data'!$C$3:$C$3390,$A874)&gt;0,1,0)</f>
        <v>0</v>
      </c>
      <c r="F874">
        <f>IF(COUNTIFS('United Data'!$A$3:$A$3390,F$1,'United Data'!$C$3:$C$3390,$A874)&gt;0,1,0)</f>
        <v>0</v>
      </c>
      <c r="G874">
        <f>IF(COUNTIFS('United Data'!$A$3:$A$3390,G$1,'United Data'!$C$3:$C$3390,$A874)&gt;0,1,0)</f>
        <v>0</v>
      </c>
      <c r="H874">
        <f>IF(COUNTIFS('United Data'!$A$3:$A$3390,H$1,'United Data'!$C$3:$C$3390,$A874)&gt;0,1,0)</f>
        <v>0</v>
      </c>
      <c r="I874">
        <f>IF(COUNTIFS('United Data'!$A$3:$A$3390,I$1,'United Data'!$C$3:$C$3390,$A874)&gt;0,1,0)</f>
        <v>0</v>
      </c>
      <c r="J874">
        <f>IF(COUNTIFS('United Data'!$A$3:$A$3390,J$1,'United Data'!$C$3:$C$3390,$A874)&gt;0,1,0)</f>
        <v>0</v>
      </c>
      <c r="K874">
        <f>IF(COUNTIFS('United Data'!$A$3:$A$3390,K$1,'United Data'!$C$3:$C$3390,$A874)&gt;0,1,0)</f>
        <v>0</v>
      </c>
      <c r="L874">
        <f>IF(COUNTIFS('United Data'!$A$3:$A$3390,L$1,'United Data'!$C$3:$C$3390,$A874)&gt;0,1,0)</f>
        <v>0</v>
      </c>
      <c r="M874">
        <f>IF(COUNTIFS('United Data'!$A$3:$A$3390,M$1,'United Data'!$C$3:$C$3390,$A874)&gt;0,1,0)</f>
        <v>0</v>
      </c>
      <c r="N874">
        <f>IF(COUNTIFS('United Data'!$A$3:$A$3390,N$1,'United Data'!$C$3:$C$3390,$A874)&gt;0,1,0)</f>
        <v>0</v>
      </c>
      <c r="O874">
        <f>IF(COUNTIFS('United Data'!$A$3:$A$3390,O$1,'United Data'!$C$3:$C$3390,$A874)&gt;0,1,0)</f>
        <v>0</v>
      </c>
      <c r="P874">
        <f>IF(COUNTIFS('United Data'!$A$3:$A$3390,P$1,'United Data'!$C$3:$C$3390,$A874)&gt;0,1,0)</f>
        <v>0</v>
      </c>
      <c r="Q874">
        <f>IF(COUNTIFS('United Data'!$A$3:$A$3390,Q$1,'United Data'!$C$3:$C$3390,$A874)&gt;0,1,0)</f>
        <v>0</v>
      </c>
      <c r="R874">
        <f>IF(COUNTIFS('United Data'!$A$3:$A$3390,R$1,'United Data'!$C$3:$C$3390,$A874)&gt;0,1,0)</f>
        <v>0</v>
      </c>
      <c r="S874">
        <f t="shared" si="26"/>
        <v>1</v>
      </c>
      <c r="T874">
        <f t="shared" si="27"/>
        <v>1</v>
      </c>
    </row>
    <row r="875" spans="1:20" x14ac:dyDescent="0.2">
      <c r="A875" t="s">
        <v>1055</v>
      </c>
      <c r="B875">
        <f>IF(COUNTIFS('United Data'!$A$3:$A$3390,B$1,'United Data'!$C$3:$C$3390,$A875)&gt;0,1,0)</f>
        <v>0</v>
      </c>
      <c r="C875">
        <f>IF(COUNTIFS('United Data'!$A$3:$A$3390,C$1,'United Data'!$C$3:$C$3390,$A875)&gt;0,1,0)</f>
        <v>0</v>
      </c>
      <c r="D875">
        <f>IF(COUNTIFS('United Data'!$A$3:$A$3390,D$1,'United Data'!$C$3:$C$3390,$A875)&gt;0,1,0)</f>
        <v>1</v>
      </c>
      <c r="E875">
        <f>IF(COUNTIFS('United Data'!$A$3:$A$3390,E$1,'United Data'!$C$3:$C$3390,$A875)&gt;0,1,0)</f>
        <v>0</v>
      </c>
      <c r="F875">
        <f>IF(COUNTIFS('United Data'!$A$3:$A$3390,F$1,'United Data'!$C$3:$C$3390,$A875)&gt;0,1,0)</f>
        <v>0</v>
      </c>
      <c r="G875">
        <f>IF(COUNTIFS('United Data'!$A$3:$A$3390,G$1,'United Data'!$C$3:$C$3390,$A875)&gt;0,1,0)</f>
        <v>0</v>
      </c>
      <c r="H875">
        <f>IF(COUNTIFS('United Data'!$A$3:$A$3390,H$1,'United Data'!$C$3:$C$3390,$A875)&gt;0,1,0)</f>
        <v>0</v>
      </c>
      <c r="I875">
        <f>IF(COUNTIFS('United Data'!$A$3:$A$3390,I$1,'United Data'!$C$3:$C$3390,$A875)&gt;0,1,0)</f>
        <v>0</v>
      </c>
      <c r="J875">
        <f>IF(COUNTIFS('United Data'!$A$3:$A$3390,J$1,'United Data'!$C$3:$C$3390,$A875)&gt;0,1,0)</f>
        <v>0</v>
      </c>
      <c r="K875">
        <f>IF(COUNTIFS('United Data'!$A$3:$A$3390,K$1,'United Data'!$C$3:$C$3390,$A875)&gt;0,1,0)</f>
        <v>0</v>
      </c>
      <c r="L875">
        <f>IF(COUNTIFS('United Data'!$A$3:$A$3390,L$1,'United Data'!$C$3:$C$3390,$A875)&gt;0,1,0)</f>
        <v>0</v>
      </c>
      <c r="M875">
        <f>IF(COUNTIFS('United Data'!$A$3:$A$3390,M$1,'United Data'!$C$3:$C$3390,$A875)&gt;0,1,0)</f>
        <v>0</v>
      </c>
      <c r="N875">
        <f>IF(COUNTIFS('United Data'!$A$3:$A$3390,N$1,'United Data'!$C$3:$C$3390,$A875)&gt;0,1,0)</f>
        <v>0</v>
      </c>
      <c r="O875">
        <f>IF(COUNTIFS('United Data'!$A$3:$A$3390,O$1,'United Data'!$C$3:$C$3390,$A875)&gt;0,1,0)</f>
        <v>0</v>
      </c>
      <c r="P875">
        <f>IF(COUNTIFS('United Data'!$A$3:$A$3390,P$1,'United Data'!$C$3:$C$3390,$A875)&gt;0,1,0)</f>
        <v>0</v>
      </c>
      <c r="Q875">
        <f>IF(COUNTIFS('United Data'!$A$3:$A$3390,Q$1,'United Data'!$C$3:$C$3390,$A875)&gt;0,1,0)</f>
        <v>0</v>
      </c>
      <c r="R875">
        <f>IF(COUNTIFS('United Data'!$A$3:$A$3390,R$1,'United Data'!$C$3:$C$3390,$A875)&gt;0,1,0)</f>
        <v>0</v>
      </c>
      <c r="S875">
        <f t="shared" si="26"/>
        <v>1</v>
      </c>
      <c r="T875">
        <f t="shared" si="27"/>
        <v>1</v>
      </c>
    </row>
    <row r="876" spans="1:20" x14ac:dyDescent="0.2">
      <c r="A876" t="s">
        <v>1056</v>
      </c>
      <c r="B876">
        <f>IF(COUNTIFS('United Data'!$A$3:$A$3390,B$1,'United Data'!$C$3:$C$3390,$A876)&gt;0,1,0)</f>
        <v>0</v>
      </c>
      <c r="C876">
        <f>IF(COUNTIFS('United Data'!$A$3:$A$3390,C$1,'United Data'!$C$3:$C$3390,$A876)&gt;0,1,0)</f>
        <v>0</v>
      </c>
      <c r="D876">
        <f>IF(COUNTIFS('United Data'!$A$3:$A$3390,D$1,'United Data'!$C$3:$C$3390,$A876)&gt;0,1,0)</f>
        <v>1</v>
      </c>
      <c r="E876">
        <f>IF(COUNTIFS('United Data'!$A$3:$A$3390,E$1,'United Data'!$C$3:$C$3390,$A876)&gt;0,1,0)</f>
        <v>0</v>
      </c>
      <c r="F876">
        <f>IF(COUNTIFS('United Data'!$A$3:$A$3390,F$1,'United Data'!$C$3:$C$3390,$A876)&gt;0,1,0)</f>
        <v>0</v>
      </c>
      <c r="G876">
        <f>IF(COUNTIFS('United Data'!$A$3:$A$3390,G$1,'United Data'!$C$3:$C$3390,$A876)&gt;0,1,0)</f>
        <v>0</v>
      </c>
      <c r="H876">
        <f>IF(COUNTIFS('United Data'!$A$3:$A$3390,H$1,'United Data'!$C$3:$C$3390,$A876)&gt;0,1,0)</f>
        <v>0</v>
      </c>
      <c r="I876">
        <f>IF(COUNTIFS('United Data'!$A$3:$A$3390,I$1,'United Data'!$C$3:$C$3390,$A876)&gt;0,1,0)</f>
        <v>0</v>
      </c>
      <c r="J876">
        <f>IF(COUNTIFS('United Data'!$A$3:$A$3390,J$1,'United Data'!$C$3:$C$3390,$A876)&gt;0,1,0)</f>
        <v>0</v>
      </c>
      <c r="K876">
        <f>IF(COUNTIFS('United Data'!$A$3:$A$3390,K$1,'United Data'!$C$3:$C$3390,$A876)&gt;0,1,0)</f>
        <v>0</v>
      </c>
      <c r="L876">
        <f>IF(COUNTIFS('United Data'!$A$3:$A$3390,L$1,'United Data'!$C$3:$C$3390,$A876)&gt;0,1,0)</f>
        <v>0</v>
      </c>
      <c r="M876">
        <f>IF(COUNTIFS('United Data'!$A$3:$A$3390,M$1,'United Data'!$C$3:$C$3390,$A876)&gt;0,1,0)</f>
        <v>0</v>
      </c>
      <c r="N876">
        <f>IF(COUNTIFS('United Data'!$A$3:$A$3390,N$1,'United Data'!$C$3:$C$3390,$A876)&gt;0,1,0)</f>
        <v>0</v>
      </c>
      <c r="O876">
        <f>IF(COUNTIFS('United Data'!$A$3:$A$3390,O$1,'United Data'!$C$3:$C$3390,$A876)&gt;0,1,0)</f>
        <v>0</v>
      </c>
      <c r="P876">
        <f>IF(COUNTIFS('United Data'!$A$3:$A$3390,P$1,'United Data'!$C$3:$C$3390,$A876)&gt;0,1,0)</f>
        <v>0</v>
      </c>
      <c r="Q876">
        <f>IF(COUNTIFS('United Data'!$A$3:$A$3390,Q$1,'United Data'!$C$3:$C$3390,$A876)&gt;0,1,0)</f>
        <v>0</v>
      </c>
      <c r="R876">
        <f>IF(COUNTIFS('United Data'!$A$3:$A$3390,R$1,'United Data'!$C$3:$C$3390,$A876)&gt;0,1,0)</f>
        <v>0</v>
      </c>
      <c r="S876">
        <f t="shared" si="26"/>
        <v>1</v>
      </c>
      <c r="T876">
        <f t="shared" si="27"/>
        <v>1</v>
      </c>
    </row>
    <row r="877" spans="1:20" x14ac:dyDescent="0.2">
      <c r="A877" t="s">
        <v>1057</v>
      </c>
      <c r="B877">
        <f>IF(COUNTIFS('United Data'!$A$3:$A$3390,B$1,'United Data'!$C$3:$C$3390,$A877)&gt;0,1,0)</f>
        <v>0</v>
      </c>
      <c r="C877">
        <f>IF(COUNTIFS('United Data'!$A$3:$A$3390,C$1,'United Data'!$C$3:$C$3390,$A877)&gt;0,1,0)</f>
        <v>0</v>
      </c>
      <c r="D877">
        <f>IF(COUNTIFS('United Data'!$A$3:$A$3390,D$1,'United Data'!$C$3:$C$3390,$A877)&gt;0,1,0)</f>
        <v>1</v>
      </c>
      <c r="E877">
        <f>IF(COUNTIFS('United Data'!$A$3:$A$3390,E$1,'United Data'!$C$3:$C$3390,$A877)&gt;0,1,0)</f>
        <v>0</v>
      </c>
      <c r="F877">
        <f>IF(COUNTIFS('United Data'!$A$3:$A$3390,F$1,'United Data'!$C$3:$C$3390,$A877)&gt;0,1,0)</f>
        <v>0</v>
      </c>
      <c r="G877">
        <f>IF(COUNTIFS('United Data'!$A$3:$A$3390,G$1,'United Data'!$C$3:$C$3390,$A877)&gt;0,1,0)</f>
        <v>0</v>
      </c>
      <c r="H877">
        <f>IF(COUNTIFS('United Data'!$A$3:$A$3390,H$1,'United Data'!$C$3:$C$3390,$A877)&gt;0,1,0)</f>
        <v>0</v>
      </c>
      <c r="I877">
        <f>IF(COUNTIFS('United Data'!$A$3:$A$3390,I$1,'United Data'!$C$3:$C$3390,$A877)&gt;0,1,0)</f>
        <v>0</v>
      </c>
      <c r="J877">
        <f>IF(COUNTIFS('United Data'!$A$3:$A$3390,J$1,'United Data'!$C$3:$C$3390,$A877)&gt;0,1,0)</f>
        <v>0</v>
      </c>
      <c r="K877">
        <f>IF(COUNTIFS('United Data'!$A$3:$A$3390,K$1,'United Data'!$C$3:$C$3390,$A877)&gt;0,1,0)</f>
        <v>0</v>
      </c>
      <c r="L877">
        <f>IF(COUNTIFS('United Data'!$A$3:$A$3390,L$1,'United Data'!$C$3:$C$3390,$A877)&gt;0,1,0)</f>
        <v>0</v>
      </c>
      <c r="M877">
        <f>IF(COUNTIFS('United Data'!$A$3:$A$3390,M$1,'United Data'!$C$3:$C$3390,$A877)&gt;0,1,0)</f>
        <v>0</v>
      </c>
      <c r="N877">
        <f>IF(COUNTIFS('United Data'!$A$3:$A$3390,N$1,'United Data'!$C$3:$C$3390,$A877)&gt;0,1,0)</f>
        <v>0</v>
      </c>
      <c r="O877">
        <f>IF(COUNTIFS('United Data'!$A$3:$A$3390,O$1,'United Data'!$C$3:$C$3390,$A877)&gt;0,1,0)</f>
        <v>0</v>
      </c>
      <c r="P877">
        <f>IF(COUNTIFS('United Data'!$A$3:$A$3390,P$1,'United Data'!$C$3:$C$3390,$A877)&gt;0,1,0)</f>
        <v>0</v>
      </c>
      <c r="Q877">
        <f>IF(COUNTIFS('United Data'!$A$3:$A$3390,Q$1,'United Data'!$C$3:$C$3390,$A877)&gt;0,1,0)</f>
        <v>0</v>
      </c>
      <c r="R877">
        <f>IF(COUNTIFS('United Data'!$A$3:$A$3390,R$1,'United Data'!$C$3:$C$3390,$A877)&gt;0,1,0)</f>
        <v>0</v>
      </c>
      <c r="S877">
        <f t="shared" si="26"/>
        <v>1</v>
      </c>
      <c r="T877">
        <f t="shared" si="27"/>
        <v>1</v>
      </c>
    </row>
    <row r="878" spans="1:20" x14ac:dyDescent="0.2">
      <c r="A878" t="s">
        <v>1060</v>
      </c>
      <c r="B878">
        <f>IF(COUNTIFS('United Data'!$A$3:$A$3390,B$1,'United Data'!$C$3:$C$3390,$A878)&gt;0,1,0)</f>
        <v>0</v>
      </c>
      <c r="C878">
        <f>IF(COUNTIFS('United Data'!$A$3:$A$3390,C$1,'United Data'!$C$3:$C$3390,$A878)&gt;0,1,0)</f>
        <v>0</v>
      </c>
      <c r="D878">
        <f>IF(COUNTIFS('United Data'!$A$3:$A$3390,D$1,'United Data'!$C$3:$C$3390,$A878)&gt;0,1,0)</f>
        <v>0</v>
      </c>
      <c r="E878">
        <f>IF(COUNTIFS('United Data'!$A$3:$A$3390,E$1,'United Data'!$C$3:$C$3390,$A878)&gt;0,1,0)</f>
        <v>0</v>
      </c>
      <c r="F878">
        <f>IF(COUNTIFS('United Data'!$A$3:$A$3390,F$1,'United Data'!$C$3:$C$3390,$A878)&gt;0,1,0)</f>
        <v>1</v>
      </c>
      <c r="G878">
        <f>IF(COUNTIFS('United Data'!$A$3:$A$3390,G$1,'United Data'!$C$3:$C$3390,$A878)&gt;0,1,0)</f>
        <v>0</v>
      </c>
      <c r="H878">
        <f>IF(COUNTIFS('United Data'!$A$3:$A$3390,H$1,'United Data'!$C$3:$C$3390,$A878)&gt;0,1,0)</f>
        <v>0</v>
      </c>
      <c r="I878">
        <f>IF(COUNTIFS('United Data'!$A$3:$A$3390,I$1,'United Data'!$C$3:$C$3390,$A878)&gt;0,1,0)</f>
        <v>0</v>
      </c>
      <c r="J878">
        <f>IF(COUNTIFS('United Data'!$A$3:$A$3390,J$1,'United Data'!$C$3:$C$3390,$A878)&gt;0,1,0)</f>
        <v>0</v>
      </c>
      <c r="K878">
        <f>IF(COUNTIFS('United Data'!$A$3:$A$3390,K$1,'United Data'!$C$3:$C$3390,$A878)&gt;0,1,0)</f>
        <v>0</v>
      </c>
      <c r="L878">
        <f>IF(COUNTIFS('United Data'!$A$3:$A$3390,L$1,'United Data'!$C$3:$C$3390,$A878)&gt;0,1,0)</f>
        <v>0</v>
      </c>
      <c r="M878">
        <f>IF(COUNTIFS('United Data'!$A$3:$A$3390,M$1,'United Data'!$C$3:$C$3390,$A878)&gt;0,1,0)</f>
        <v>0</v>
      </c>
      <c r="N878">
        <f>IF(COUNTIFS('United Data'!$A$3:$A$3390,N$1,'United Data'!$C$3:$C$3390,$A878)&gt;0,1,0)</f>
        <v>0</v>
      </c>
      <c r="O878">
        <f>IF(COUNTIFS('United Data'!$A$3:$A$3390,O$1,'United Data'!$C$3:$C$3390,$A878)&gt;0,1,0)</f>
        <v>0</v>
      </c>
      <c r="P878">
        <f>IF(COUNTIFS('United Data'!$A$3:$A$3390,P$1,'United Data'!$C$3:$C$3390,$A878)&gt;0,1,0)</f>
        <v>0</v>
      </c>
      <c r="Q878">
        <f>IF(COUNTIFS('United Data'!$A$3:$A$3390,Q$1,'United Data'!$C$3:$C$3390,$A878)&gt;0,1,0)</f>
        <v>0</v>
      </c>
      <c r="R878">
        <f>IF(COUNTIFS('United Data'!$A$3:$A$3390,R$1,'United Data'!$C$3:$C$3390,$A878)&gt;0,1,0)</f>
        <v>0</v>
      </c>
      <c r="S878">
        <f t="shared" si="26"/>
        <v>1</v>
      </c>
      <c r="T878">
        <f t="shared" si="27"/>
        <v>1</v>
      </c>
    </row>
    <row r="879" spans="1:20" x14ac:dyDescent="0.2">
      <c r="A879" t="s">
        <v>1061</v>
      </c>
      <c r="B879">
        <f>IF(COUNTIFS('United Data'!$A$3:$A$3390,B$1,'United Data'!$C$3:$C$3390,$A879)&gt;0,1,0)</f>
        <v>0</v>
      </c>
      <c r="C879">
        <f>IF(COUNTIFS('United Data'!$A$3:$A$3390,C$1,'United Data'!$C$3:$C$3390,$A879)&gt;0,1,0)</f>
        <v>0</v>
      </c>
      <c r="D879">
        <f>IF(COUNTIFS('United Data'!$A$3:$A$3390,D$1,'United Data'!$C$3:$C$3390,$A879)&gt;0,1,0)</f>
        <v>0</v>
      </c>
      <c r="E879">
        <f>IF(COUNTIFS('United Data'!$A$3:$A$3390,E$1,'United Data'!$C$3:$C$3390,$A879)&gt;0,1,0)</f>
        <v>0</v>
      </c>
      <c r="F879">
        <f>IF(COUNTIFS('United Data'!$A$3:$A$3390,F$1,'United Data'!$C$3:$C$3390,$A879)&gt;0,1,0)</f>
        <v>1</v>
      </c>
      <c r="G879">
        <f>IF(COUNTIFS('United Data'!$A$3:$A$3390,G$1,'United Data'!$C$3:$C$3390,$A879)&gt;0,1,0)</f>
        <v>0</v>
      </c>
      <c r="H879">
        <f>IF(COUNTIFS('United Data'!$A$3:$A$3390,H$1,'United Data'!$C$3:$C$3390,$A879)&gt;0,1,0)</f>
        <v>0</v>
      </c>
      <c r="I879">
        <f>IF(COUNTIFS('United Data'!$A$3:$A$3390,I$1,'United Data'!$C$3:$C$3390,$A879)&gt;0,1,0)</f>
        <v>0</v>
      </c>
      <c r="J879">
        <f>IF(COUNTIFS('United Data'!$A$3:$A$3390,J$1,'United Data'!$C$3:$C$3390,$A879)&gt;0,1,0)</f>
        <v>0</v>
      </c>
      <c r="K879">
        <f>IF(COUNTIFS('United Data'!$A$3:$A$3390,K$1,'United Data'!$C$3:$C$3390,$A879)&gt;0,1,0)</f>
        <v>0</v>
      </c>
      <c r="L879">
        <f>IF(COUNTIFS('United Data'!$A$3:$A$3390,L$1,'United Data'!$C$3:$C$3390,$A879)&gt;0,1,0)</f>
        <v>0</v>
      </c>
      <c r="M879">
        <f>IF(COUNTIFS('United Data'!$A$3:$A$3390,M$1,'United Data'!$C$3:$C$3390,$A879)&gt;0,1,0)</f>
        <v>0</v>
      </c>
      <c r="N879">
        <f>IF(COUNTIFS('United Data'!$A$3:$A$3390,N$1,'United Data'!$C$3:$C$3390,$A879)&gt;0,1,0)</f>
        <v>0</v>
      </c>
      <c r="O879">
        <f>IF(COUNTIFS('United Data'!$A$3:$A$3390,O$1,'United Data'!$C$3:$C$3390,$A879)&gt;0,1,0)</f>
        <v>0</v>
      </c>
      <c r="P879">
        <f>IF(COUNTIFS('United Data'!$A$3:$A$3390,P$1,'United Data'!$C$3:$C$3390,$A879)&gt;0,1,0)</f>
        <v>0</v>
      </c>
      <c r="Q879">
        <f>IF(COUNTIFS('United Data'!$A$3:$A$3390,Q$1,'United Data'!$C$3:$C$3390,$A879)&gt;0,1,0)</f>
        <v>0</v>
      </c>
      <c r="R879">
        <f>IF(COUNTIFS('United Data'!$A$3:$A$3390,R$1,'United Data'!$C$3:$C$3390,$A879)&gt;0,1,0)</f>
        <v>0</v>
      </c>
      <c r="S879">
        <f t="shared" si="26"/>
        <v>1</v>
      </c>
      <c r="T879">
        <f t="shared" si="27"/>
        <v>1</v>
      </c>
    </row>
    <row r="880" spans="1:20" x14ac:dyDescent="0.2">
      <c r="A880" t="s">
        <v>1062</v>
      </c>
      <c r="B880">
        <f>IF(COUNTIFS('United Data'!$A$3:$A$3390,B$1,'United Data'!$C$3:$C$3390,$A880)&gt;0,1,0)</f>
        <v>0</v>
      </c>
      <c r="C880">
        <f>IF(COUNTIFS('United Data'!$A$3:$A$3390,C$1,'United Data'!$C$3:$C$3390,$A880)&gt;0,1,0)</f>
        <v>0</v>
      </c>
      <c r="D880">
        <f>IF(COUNTIFS('United Data'!$A$3:$A$3390,D$1,'United Data'!$C$3:$C$3390,$A880)&gt;0,1,0)</f>
        <v>0</v>
      </c>
      <c r="E880">
        <f>IF(COUNTIFS('United Data'!$A$3:$A$3390,E$1,'United Data'!$C$3:$C$3390,$A880)&gt;0,1,0)</f>
        <v>0</v>
      </c>
      <c r="F880">
        <f>IF(COUNTIFS('United Data'!$A$3:$A$3390,F$1,'United Data'!$C$3:$C$3390,$A880)&gt;0,1,0)</f>
        <v>1</v>
      </c>
      <c r="G880">
        <f>IF(COUNTIFS('United Data'!$A$3:$A$3390,G$1,'United Data'!$C$3:$C$3390,$A880)&gt;0,1,0)</f>
        <v>0</v>
      </c>
      <c r="H880">
        <f>IF(COUNTIFS('United Data'!$A$3:$A$3390,H$1,'United Data'!$C$3:$C$3390,$A880)&gt;0,1,0)</f>
        <v>0</v>
      </c>
      <c r="I880">
        <f>IF(COUNTIFS('United Data'!$A$3:$A$3390,I$1,'United Data'!$C$3:$C$3390,$A880)&gt;0,1,0)</f>
        <v>0</v>
      </c>
      <c r="J880">
        <f>IF(COUNTIFS('United Data'!$A$3:$A$3390,J$1,'United Data'!$C$3:$C$3390,$A880)&gt;0,1,0)</f>
        <v>0</v>
      </c>
      <c r="K880">
        <f>IF(COUNTIFS('United Data'!$A$3:$A$3390,K$1,'United Data'!$C$3:$C$3390,$A880)&gt;0,1,0)</f>
        <v>0</v>
      </c>
      <c r="L880">
        <f>IF(COUNTIFS('United Data'!$A$3:$A$3390,L$1,'United Data'!$C$3:$C$3390,$A880)&gt;0,1,0)</f>
        <v>0</v>
      </c>
      <c r="M880">
        <f>IF(COUNTIFS('United Data'!$A$3:$A$3390,M$1,'United Data'!$C$3:$C$3390,$A880)&gt;0,1,0)</f>
        <v>0</v>
      </c>
      <c r="N880">
        <f>IF(COUNTIFS('United Data'!$A$3:$A$3390,N$1,'United Data'!$C$3:$C$3390,$A880)&gt;0,1,0)</f>
        <v>0</v>
      </c>
      <c r="O880">
        <f>IF(COUNTIFS('United Data'!$A$3:$A$3390,O$1,'United Data'!$C$3:$C$3390,$A880)&gt;0,1,0)</f>
        <v>0</v>
      </c>
      <c r="P880">
        <f>IF(COUNTIFS('United Data'!$A$3:$A$3390,P$1,'United Data'!$C$3:$C$3390,$A880)&gt;0,1,0)</f>
        <v>0</v>
      </c>
      <c r="Q880">
        <f>IF(COUNTIFS('United Data'!$A$3:$A$3390,Q$1,'United Data'!$C$3:$C$3390,$A880)&gt;0,1,0)</f>
        <v>0</v>
      </c>
      <c r="R880">
        <f>IF(COUNTIFS('United Data'!$A$3:$A$3390,R$1,'United Data'!$C$3:$C$3390,$A880)&gt;0,1,0)</f>
        <v>0</v>
      </c>
      <c r="S880">
        <f t="shared" si="26"/>
        <v>1</v>
      </c>
      <c r="T880">
        <f t="shared" si="27"/>
        <v>1</v>
      </c>
    </row>
    <row r="881" spans="1:20" x14ac:dyDescent="0.2">
      <c r="A881" t="s">
        <v>1064</v>
      </c>
      <c r="B881">
        <f>IF(COUNTIFS('United Data'!$A$3:$A$3390,B$1,'United Data'!$C$3:$C$3390,$A881)&gt;0,1,0)</f>
        <v>0</v>
      </c>
      <c r="C881">
        <f>IF(COUNTIFS('United Data'!$A$3:$A$3390,C$1,'United Data'!$C$3:$C$3390,$A881)&gt;0,1,0)</f>
        <v>0</v>
      </c>
      <c r="D881">
        <f>IF(COUNTIFS('United Data'!$A$3:$A$3390,D$1,'United Data'!$C$3:$C$3390,$A881)&gt;0,1,0)</f>
        <v>0</v>
      </c>
      <c r="E881">
        <f>IF(COUNTIFS('United Data'!$A$3:$A$3390,E$1,'United Data'!$C$3:$C$3390,$A881)&gt;0,1,0)</f>
        <v>0</v>
      </c>
      <c r="F881">
        <f>IF(COUNTIFS('United Data'!$A$3:$A$3390,F$1,'United Data'!$C$3:$C$3390,$A881)&gt;0,1,0)</f>
        <v>0</v>
      </c>
      <c r="G881">
        <f>IF(COUNTIFS('United Data'!$A$3:$A$3390,G$1,'United Data'!$C$3:$C$3390,$A881)&gt;0,1,0)</f>
        <v>1</v>
      </c>
      <c r="H881">
        <f>IF(COUNTIFS('United Data'!$A$3:$A$3390,H$1,'United Data'!$C$3:$C$3390,$A881)&gt;0,1,0)</f>
        <v>0</v>
      </c>
      <c r="I881">
        <f>IF(COUNTIFS('United Data'!$A$3:$A$3390,I$1,'United Data'!$C$3:$C$3390,$A881)&gt;0,1,0)</f>
        <v>0</v>
      </c>
      <c r="J881">
        <f>IF(COUNTIFS('United Data'!$A$3:$A$3390,J$1,'United Data'!$C$3:$C$3390,$A881)&gt;0,1,0)</f>
        <v>0</v>
      </c>
      <c r="K881">
        <f>IF(COUNTIFS('United Data'!$A$3:$A$3390,K$1,'United Data'!$C$3:$C$3390,$A881)&gt;0,1,0)</f>
        <v>0</v>
      </c>
      <c r="L881">
        <f>IF(COUNTIFS('United Data'!$A$3:$A$3390,L$1,'United Data'!$C$3:$C$3390,$A881)&gt;0,1,0)</f>
        <v>0</v>
      </c>
      <c r="M881">
        <f>IF(COUNTIFS('United Data'!$A$3:$A$3390,M$1,'United Data'!$C$3:$C$3390,$A881)&gt;0,1,0)</f>
        <v>0</v>
      </c>
      <c r="N881">
        <f>IF(COUNTIFS('United Data'!$A$3:$A$3390,N$1,'United Data'!$C$3:$C$3390,$A881)&gt;0,1,0)</f>
        <v>0</v>
      </c>
      <c r="O881">
        <f>IF(COUNTIFS('United Data'!$A$3:$A$3390,O$1,'United Data'!$C$3:$C$3390,$A881)&gt;0,1,0)</f>
        <v>0</v>
      </c>
      <c r="P881">
        <f>IF(COUNTIFS('United Data'!$A$3:$A$3390,P$1,'United Data'!$C$3:$C$3390,$A881)&gt;0,1,0)</f>
        <v>0</v>
      </c>
      <c r="Q881">
        <f>IF(COUNTIFS('United Data'!$A$3:$A$3390,Q$1,'United Data'!$C$3:$C$3390,$A881)&gt;0,1,0)</f>
        <v>0</v>
      </c>
      <c r="R881">
        <f>IF(COUNTIFS('United Data'!$A$3:$A$3390,R$1,'United Data'!$C$3:$C$3390,$A881)&gt;0,1,0)</f>
        <v>0</v>
      </c>
      <c r="S881">
        <f t="shared" si="26"/>
        <v>1</v>
      </c>
      <c r="T881">
        <f t="shared" si="27"/>
        <v>1</v>
      </c>
    </row>
    <row r="882" spans="1:20" x14ac:dyDescent="0.2">
      <c r="A882" t="s">
        <v>1065</v>
      </c>
      <c r="B882">
        <f>IF(COUNTIFS('United Data'!$A$3:$A$3390,B$1,'United Data'!$C$3:$C$3390,$A882)&gt;0,1,0)</f>
        <v>0</v>
      </c>
      <c r="C882">
        <f>IF(COUNTIFS('United Data'!$A$3:$A$3390,C$1,'United Data'!$C$3:$C$3390,$A882)&gt;0,1,0)</f>
        <v>0</v>
      </c>
      <c r="D882">
        <f>IF(COUNTIFS('United Data'!$A$3:$A$3390,D$1,'United Data'!$C$3:$C$3390,$A882)&gt;0,1,0)</f>
        <v>0</v>
      </c>
      <c r="E882">
        <f>IF(COUNTIFS('United Data'!$A$3:$A$3390,E$1,'United Data'!$C$3:$C$3390,$A882)&gt;0,1,0)</f>
        <v>0</v>
      </c>
      <c r="F882">
        <f>IF(COUNTIFS('United Data'!$A$3:$A$3390,F$1,'United Data'!$C$3:$C$3390,$A882)&gt;0,1,0)</f>
        <v>0</v>
      </c>
      <c r="G882">
        <f>IF(COUNTIFS('United Data'!$A$3:$A$3390,G$1,'United Data'!$C$3:$C$3390,$A882)&gt;0,1,0)</f>
        <v>1</v>
      </c>
      <c r="H882">
        <f>IF(COUNTIFS('United Data'!$A$3:$A$3390,H$1,'United Data'!$C$3:$C$3390,$A882)&gt;0,1,0)</f>
        <v>0</v>
      </c>
      <c r="I882">
        <f>IF(COUNTIFS('United Data'!$A$3:$A$3390,I$1,'United Data'!$C$3:$C$3390,$A882)&gt;0,1,0)</f>
        <v>0</v>
      </c>
      <c r="J882">
        <f>IF(COUNTIFS('United Data'!$A$3:$A$3390,J$1,'United Data'!$C$3:$C$3390,$A882)&gt;0,1,0)</f>
        <v>0</v>
      </c>
      <c r="K882">
        <f>IF(COUNTIFS('United Data'!$A$3:$A$3390,K$1,'United Data'!$C$3:$C$3390,$A882)&gt;0,1,0)</f>
        <v>0</v>
      </c>
      <c r="L882">
        <f>IF(COUNTIFS('United Data'!$A$3:$A$3390,L$1,'United Data'!$C$3:$C$3390,$A882)&gt;0,1,0)</f>
        <v>0</v>
      </c>
      <c r="M882">
        <f>IF(COUNTIFS('United Data'!$A$3:$A$3390,M$1,'United Data'!$C$3:$C$3390,$A882)&gt;0,1,0)</f>
        <v>0</v>
      </c>
      <c r="N882">
        <f>IF(COUNTIFS('United Data'!$A$3:$A$3390,N$1,'United Data'!$C$3:$C$3390,$A882)&gt;0,1,0)</f>
        <v>0</v>
      </c>
      <c r="O882">
        <f>IF(COUNTIFS('United Data'!$A$3:$A$3390,O$1,'United Data'!$C$3:$C$3390,$A882)&gt;0,1,0)</f>
        <v>0</v>
      </c>
      <c r="P882">
        <f>IF(COUNTIFS('United Data'!$A$3:$A$3390,P$1,'United Data'!$C$3:$C$3390,$A882)&gt;0,1,0)</f>
        <v>0</v>
      </c>
      <c r="Q882">
        <f>IF(COUNTIFS('United Data'!$A$3:$A$3390,Q$1,'United Data'!$C$3:$C$3390,$A882)&gt;0,1,0)</f>
        <v>0</v>
      </c>
      <c r="R882">
        <f>IF(COUNTIFS('United Data'!$A$3:$A$3390,R$1,'United Data'!$C$3:$C$3390,$A882)&gt;0,1,0)</f>
        <v>0</v>
      </c>
      <c r="S882">
        <f t="shared" si="26"/>
        <v>1</v>
      </c>
      <c r="T882">
        <f t="shared" si="27"/>
        <v>1</v>
      </c>
    </row>
    <row r="883" spans="1:20" x14ac:dyDescent="0.2">
      <c r="A883" t="s">
        <v>1066</v>
      </c>
      <c r="B883">
        <f>IF(COUNTIFS('United Data'!$A$3:$A$3390,B$1,'United Data'!$C$3:$C$3390,$A883)&gt;0,1,0)</f>
        <v>0</v>
      </c>
      <c r="C883">
        <f>IF(COUNTIFS('United Data'!$A$3:$A$3390,C$1,'United Data'!$C$3:$C$3390,$A883)&gt;0,1,0)</f>
        <v>0</v>
      </c>
      <c r="D883">
        <f>IF(COUNTIFS('United Data'!$A$3:$A$3390,D$1,'United Data'!$C$3:$C$3390,$A883)&gt;0,1,0)</f>
        <v>0</v>
      </c>
      <c r="E883">
        <f>IF(COUNTIFS('United Data'!$A$3:$A$3390,E$1,'United Data'!$C$3:$C$3390,$A883)&gt;0,1,0)</f>
        <v>0</v>
      </c>
      <c r="F883">
        <f>IF(COUNTIFS('United Data'!$A$3:$A$3390,F$1,'United Data'!$C$3:$C$3390,$A883)&gt;0,1,0)</f>
        <v>0</v>
      </c>
      <c r="G883">
        <f>IF(COUNTIFS('United Data'!$A$3:$A$3390,G$1,'United Data'!$C$3:$C$3390,$A883)&gt;0,1,0)</f>
        <v>1</v>
      </c>
      <c r="H883">
        <f>IF(COUNTIFS('United Data'!$A$3:$A$3390,H$1,'United Data'!$C$3:$C$3390,$A883)&gt;0,1,0)</f>
        <v>0</v>
      </c>
      <c r="I883">
        <f>IF(COUNTIFS('United Data'!$A$3:$A$3390,I$1,'United Data'!$C$3:$C$3390,$A883)&gt;0,1,0)</f>
        <v>0</v>
      </c>
      <c r="J883">
        <f>IF(COUNTIFS('United Data'!$A$3:$A$3390,J$1,'United Data'!$C$3:$C$3390,$A883)&gt;0,1,0)</f>
        <v>0</v>
      </c>
      <c r="K883">
        <f>IF(COUNTIFS('United Data'!$A$3:$A$3390,K$1,'United Data'!$C$3:$C$3390,$A883)&gt;0,1,0)</f>
        <v>0</v>
      </c>
      <c r="L883">
        <f>IF(COUNTIFS('United Data'!$A$3:$A$3390,L$1,'United Data'!$C$3:$C$3390,$A883)&gt;0,1,0)</f>
        <v>0</v>
      </c>
      <c r="M883">
        <f>IF(COUNTIFS('United Data'!$A$3:$A$3390,M$1,'United Data'!$C$3:$C$3390,$A883)&gt;0,1,0)</f>
        <v>0</v>
      </c>
      <c r="N883">
        <f>IF(COUNTIFS('United Data'!$A$3:$A$3390,N$1,'United Data'!$C$3:$C$3390,$A883)&gt;0,1,0)</f>
        <v>0</v>
      </c>
      <c r="O883">
        <f>IF(COUNTIFS('United Data'!$A$3:$A$3390,O$1,'United Data'!$C$3:$C$3390,$A883)&gt;0,1,0)</f>
        <v>1</v>
      </c>
      <c r="P883">
        <f>IF(COUNTIFS('United Data'!$A$3:$A$3390,P$1,'United Data'!$C$3:$C$3390,$A883)&gt;0,1,0)</f>
        <v>0</v>
      </c>
      <c r="Q883">
        <f>IF(COUNTIFS('United Data'!$A$3:$A$3390,Q$1,'United Data'!$C$3:$C$3390,$A883)&gt;0,1,0)</f>
        <v>0</v>
      </c>
      <c r="R883">
        <f>IF(COUNTIFS('United Data'!$A$3:$A$3390,R$1,'United Data'!$C$3:$C$3390,$A883)&gt;0,1,0)</f>
        <v>1</v>
      </c>
      <c r="S883">
        <f t="shared" si="26"/>
        <v>3</v>
      </c>
      <c r="T883">
        <f t="shared" si="27"/>
        <v>3</v>
      </c>
    </row>
    <row r="884" spans="1:20" x14ac:dyDescent="0.2">
      <c r="A884" t="s">
        <v>1067</v>
      </c>
      <c r="B884">
        <f>IF(COUNTIFS('United Data'!$A$3:$A$3390,B$1,'United Data'!$C$3:$C$3390,$A884)&gt;0,1,0)</f>
        <v>0</v>
      </c>
      <c r="C884">
        <f>IF(COUNTIFS('United Data'!$A$3:$A$3390,C$1,'United Data'!$C$3:$C$3390,$A884)&gt;0,1,0)</f>
        <v>0</v>
      </c>
      <c r="D884">
        <f>IF(COUNTIFS('United Data'!$A$3:$A$3390,D$1,'United Data'!$C$3:$C$3390,$A884)&gt;0,1,0)</f>
        <v>0</v>
      </c>
      <c r="E884">
        <f>IF(COUNTIFS('United Data'!$A$3:$A$3390,E$1,'United Data'!$C$3:$C$3390,$A884)&gt;0,1,0)</f>
        <v>0</v>
      </c>
      <c r="F884">
        <f>IF(COUNTIFS('United Data'!$A$3:$A$3390,F$1,'United Data'!$C$3:$C$3390,$A884)&gt;0,1,0)</f>
        <v>0</v>
      </c>
      <c r="G884">
        <f>IF(COUNTIFS('United Data'!$A$3:$A$3390,G$1,'United Data'!$C$3:$C$3390,$A884)&gt;0,1,0)</f>
        <v>1</v>
      </c>
      <c r="H884">
        <f>IF(COUNTIFS('United Data'!$A$3:$A$3390,H$1,'United Data'!$C$3:$C$3390,$A884)&gt;0,1,0)</f>
        <v>0</v>
      </c>
      <c r="I884">
        <f>IF(COUNTIFS('United Data'!$A$3:$A$3390,I$1,'United Data'!$C$3:$C$3390,$A884)&gt;0,1,0)</f>
        <v>0</v>
      </c>
      <c r="J884">
        <f>IF(COUNTIFS('United Data'!$A$3:$A$3390,J$1,'United Data'!$C$3:$C$3390,$A884)&gt;0,1,0)</f>
        <v>0</v>
      </c>
      <c r="K884">
        <f>IF(COUNTIFS('United Data'!$A$3:$A$3390,K$1,'United Data'!$C$3:$C$3390,$A884)&gt;0,1,0)</f>
        <v>0</v>
      </c>
      <c r="L884">
        <f>IF(COUNTIFS('United Data'!$A$3:$A$3390,L$1,'United Data'!$C$3:$C$3390,$A884)&gt;0,1,0)</f>
        <v>0</v>
      </c>
      <c r="M884">
        <f>IF(COUNTIFS('United Data'!$A$3:$A$3390,M$1,'United Data'!$C$3:$C$3390,$A884)&gt;0,1,0)</f>
        <v>0</v>
      </c>
      <c r="N884">
        <f>IF(COUNTIFS('United Data'!$A$3:$A$3390,N$1,'United Data'!$C$3:$C$3390,$A884)&gt;0,1,0)</f>
        <v>0</v>
      </c>
      <c r="O884">
        <f>IF(COUNTIFS('United Data'!$A$3:$A$3390,O$1,'United Data'!$C$3:$C$3390,$A884)&gt;0,1,0)</f>
        <v>0</v>
      </c>
      <c r="P884">
        <f>IF(COUNTIFS('United Data'!$A$3:$A$3390,P$1,'United Data'!$C$3:$C$3390,$A884)&gt;0,1,0)</f>
        <v>0</v>
      </c>
      <c r="Q884">
        <f>IF(COUNTIFS('United Data'!$A$3:$A$3390,Q$1,'United Data'!$C$3:$C$3390,$A884)&gt;0,1,0)</f>
        <v>0</v>
      </c>
      <c r="R884">
        <f>IF(COUNTIFS('United Data'!$A$3:$A$3390,R$1,'United Data'!$C$3:$C$3390,$A884)&gt;0,1,0)</f>
        <v>0</v>
      </c>
      <c r="S884">
        <f t="shared" si="26"/>
        <v>1</v>
      </c>
      <c r="T884">
        <f t="shared" si="27"/>
        <v>1</v>
      </c>
    </row>
    <row r="885" spans="1:20" x14ac:dyDescent="0.2">
      <c r="A885" t="s">
        <v>1068</v>
      </c>
      <c r="B885">
        <f>IF(COUNTIFS('United Data'!$A$3:$A$3390,B$1,'United Data'!$C$3:$C$3390,$A885)&gt;0,1,0)</f>
        <v>0</v>
      </c>
      <c r="C885">
        <f>IF(COUNTIFS('United Data'!$A$3:$A$3390,C$1,'United Data'!$C$3:$C$3390,$A885)&gt;0,1,0)</f>
        <v>0</v>
      </c>
      <c r="D885">
        <f>IF(COUNTIFS('United Data'!$A$3:$A$3390,D$1,'United Data'!$C$3:$C$3390,$A885)&gt;0,1,0)</f>
        <v>0</v>
      </c>
      <c r="E885">
        <f>IF(COUNTIFS('United Data'!$A$3:$A$3390,E$1,'United Data'!$C$3:$C$3390,$A885)&gt;0,1,0)</f>
        <v>0</v>
      </c>
      <c r="F885">
        <f>IF(COUNTIFS('United Data'!$A$3:$A$3390,F$1,'United Data'!$C$3:$C$3390,$A885)&gt;0,1,0)</f>
        <v>0</v>
      </c>
      <c r="G885">
        <f>IF(COUNTIFS('United Data'!$A$3:$A$3390,G$1,'United Data'!$C$3:$C$3390,$A885)&gt;0,1,0)</f>
        <v>1</v>
      </c>
      <c r="H885">
        <f>IF(COUNTIFS('United Data'!$A$3:$A$3390,H$1,'United Data'!$C$3:$C$3390,$A885)&gt;0,1,0)</f>
        <v>0</v>
      </c>
      <c r="I885">
        <f>IF(COUNTIFS('United Data'!$A$3:$A$3390,I$1,'United Data'!$C$3:$C$3390,$A885)&gt;0,1,0)</f>
        <v>0</v>
      </c>
      <c r="J885">
        <f>IF(COUNTIFS('United Data'!$A$3:$A$3390,J$1,'United Data'!$C$3:$C$3390,$A885)&gt;0,1,0)</f>
        <v>0</v>
      </c>
      <c r="K885">
        <f>IF(COUNTIFS('United Data'!$A$3:$A$3390,K$1,'United Data'!$C$3:$C$3390,$A885)&gt;0,1,0)</f>
        <v>0</v>
      </c>
      <c r="L885">
        <f>IF(COUNTIFS('United Data'!$A$3:$A$3390,L$1,'United Data'!$C$3:$C$3390,$A885)&gt;0,1,0)</f>
        <v>0</v>
      </c>
      <c r="M885">
        <f>IF(COUNTIFS('United Data'!$A$3:$A$3390,M$1,'United Data'!$C$3:$C$3390,$A885)&gt;0,1,0)</f>
        <v>0</v>
      </c>
      <c r="N885">
        <f>IF(COUNTIFS('United Data'!$A$3:$A$3390,N$1,'United Data'!$C$3:$C$3390,$A885)&gt;0,1,0)</f>
        <v>0</v>
      </c>
      <c r="O885">
        <f>IF(COUNTIFS('United Data'!$A$3:$A$3390,O$1,'United Data'!$C$3:$C$3390,$A885)&gt;0,1,0)</f>
        <v>0</v>
      </c>
      <c r="P885">
        <f>IF(COUNTIFS('United Data'!$A$3:$A$3390,P$1,'United Data'!$C$3:$C$3390,$A885)&gt;0,1,0)</f>
        <v>0</v>
      </c>
      <c r="Q885">
        <f>IF(COUNTIFS('United Data'!$A$3:$A$3390,Q$1,'United Data'!$C$3:$C$3390,$A885)&gt;0,1,0)</f>
        <v>0</v>
      </c>
      <c r="R885">
        <f>IF(COUNTIFS('United Data'!$A$3:$A$3390,R$1,'United Data'!$C$3:$C$3390,$A885)&gt;0,1,0)</f>
        <v>0</v>
      </c>
      <c r="S885">
        <f t="shared" si="26"/>
        <v>1</v>
      </c>
      <c r="T885">
        <f t="shared" si="27"/>
        <v>1</v>
      </c>
    </row>
    <row r="886" spans="1:20" x14ac:dyDescent="0.2">
      <c r="A886" t="s">
        <v>1069</v>
      </c>
      <c r="B886">
        <f>IF(COUNTIFS('United Data'!$A$3:$A$3390,B$1,'United Data'!$C$3:$C$3390,$A886)&gt;0,1,0)</f>
        <v>0</v>
      </c>
      <c r="C886">
        <f>IF(COUNTIFS('United Data'!$A$3:$A$3390,C$1,'United Data'!$C$3:$C$3390,$A886)&gt;0,1,0)</f>
        <v>0</v>
      </c>
      <c r="D886">
        <f>IF(COUNTIFS('United Data'!$A$3:$A$3390,D$1,'United Data'!$C$3:$C$3390,$A886)&gt;0,1,0)</f>
        <v>0</v>
      </c>
      <c r="E886">
        <f>IF(COUNTIFS('United Data'!$A$3:$A$3390,E$1,'United Data'!$C$3:$C$3390,$A886)&gt;0,1,0)</f>
        <v>0</v>
      </c>
      <c r="F886">
        <f>IF(COUNTIFS('United Data'!$A$3:$A$3390,F$1,'United Data'!$C$3:$C$3390,$A886)&gt;0,1,0)</f>
        <v>0</v>
      </c>
      <c r="G886">
        <f>IF(COUNTIFS('United Data'!$A$3:$A$3390,G$1,'United Data'!$C$3:$C$3390,$A886)&gt;0,1,0)</f>
        <v>1</v>
      </c>
      <c r="H886">
        <f>IF(COUNTIFS('United Data'!$A$3:$A$3390,H$1,'United Data'!$C$3:$C$3390,$A886)&gt;0,1,0)</f>
        <v>0</v>
      </c>
      <c r="I886">
        <f>IF(COUNTIFS('United Data'!$A$3:$A$3390,I$1,'United Data'!$C$3:$C$3390,$A886)&gt;0,1,0)</f>
        <v>0</v>
      </c>
      <c r="J886">
        <f>IF(COUNTIFS('United Data'!$A$3:$A$3390,J$1,'United Data'!$C$3:$C$3390,$A886)&gt;0,1,0)</f>
        <v>0</v>
      </c>
      <c r="K886">
        <f>IF(COUNTIFS('United Data'!$A$3:$A$3390,K$1,'United Data'!$C$3:$C$3390,$A886)&gt;0,1,0)</f>
        <v>0</v>
      </c>
      <c r="L886">
        <f>IF(COUNTIFS('United Data'!$A$3:$A$3390,L$1,'United Data'!$C$3:$C$3390,$A886)&gt;0,1,0)</f>
        <v>0</v>
      </c>
      <c r="M886">
        <f>IF(COUNTIFS('United Data'!$A$3:$A$3390,M$1,'United Data'!$C$3:$C$3390,$A886)&gt;0,1,0)</f>
        <v>0</v>
      </c>
      <c r="N886">
        <f>IF(COUNTIFS('United Data'!$A$3:$A$3390,N$1,'United Data'!$C$3:$C$3390,$A886)&gt;0,1,0)</f>
        <v>0</v>
      </c>
      <c r="O886">
        <f>IF(COUNTIFS('United Data'!$A$3:$A$3390,O$1,'United Data'!$C$3:$C$3390,$A886)&gt;0,1,0)</f>
        <v>0</v>
      </c>
      <c r="P886">
        <f>IF(COUNTIFS('United Data'!$A$3:$A$3390,P$1,'United Data'!$C$3:$C$3390,$A886)&gt;0,1,0)</f>
        <v>0</v>
      </c>
      <c r="Q886">
        <f>IF(COUNTIFS('United Data'!$A$3:$A$3390,Q$1,'United Data'!$C$3:$C$3390,$A886)&gt;0,1,0)</f>
        <v>0</v>
      </c>
      <c r="R886">
        <f>IF(COUNTIFS('United Data'!$A$3:$A$3390,R$1,'United Data'!$C$3:$C$3390,$A886)&gt;0,1,0)</f>
        <v>0</v>
      </c>
      <c r="S886">
        <f t="shared" si="26"/>
        <v>1</v>
      </c>
      <c r="T886">
        <f t="shared" si="27"/>
        <v>1</v>
      </c>
    </row>
    <row r="887" spans="1:20" x14ac:dyDescent="0.2">
      <c r="A887" t="s">
        <v>1071</v>
      </c>
      <c r="B887">
        <f>IF(COUNTIFS('United Data'!$A$3:$A$3390,B$1,'United Data'!$C$3:$C$3390,$A887)&gt;0,1,0)</f>
        <v>0</v>
      </c>
      <c r="C887">
        <f>IF(COUNTIFS('United Data'!$A$3:$A$3390,C$1,'United Data'!$C$3:$C$3390,$A887)&gt;0,1,0)</f>
        <v>0</v>
      </c>
      <c r="D887">
        <f>IF(COUNTIFS('United Data'!$A$3:$A$3390,D$1,'United Data'!$C$3:$C$3390,$A887)&gt;0,1,0)</f>
        <v>0</v>
      </c>
      <c r="E887">
        <f>IF(COUNTIFS('United Data'!$A$3:$A$3390,E$1,'United Data'!$C$3:$C$3390,$A887)&gt;0,1,0)</f>
        <v>0</v>
      </c>
      <c r="F887">
        <f>IF(COUNTIFS('United Data'!$A$3:$A$3390,F$1,'United Data'!$C$3:$C$3390,$A887)&gt;0,1,0)</f>
        <v>0</v>
      </c>
      <c r="G887">
        <f>IF(COUNTIFS('United Data'!$A$3:$A$3390,G$1,'United Data'!$C$3:$C$3390,$A887)&gt;0,1,0)</f>
        <v>1</v>
      </c>
      <c r="H887">
        <f>IF(COUNTIFS('United Data'!$A$3:$A$3390,H$1,'United Data'!$C$3:$C$3390,$A887)&gt;0,1,0)</f>
        <v>0</v>
      </c>
      <c r="I887">
        <f>IF(COUNTIFS('United Data'!$A$3:$A$3390,I$1,'United Data'!$C$3:$C$3390,$A887)&gt;0,1,0)</f>
        <v>1</v>
      </c>
      <c r="J887">
        <f>IF(COUNTIFS('United Data'!$A$3:$A$3390,J$1,'United Data'!$C$3:$C$3390,$A887)&gt;0,1,0)</f>
        <v>1</v>
      </c>
      <c r="K887">
        <f>IF(COUNTIFS('United Data'!$A$3:$A$3390,K$1,'United Data'!$C$3:$C$3390,$A887)&gt;0,1,0)</f>
        <v>0</v>
      </c>
      <c r="L887">
        <f>IF(COUNTIFS('United Data'!$A$3:$A$3390,L$1,'United Data'!$C$3:$C$3390,$A887)&gt;0,1,0)</f>
        <v>1</v>
      </c>
      <c r="M887">
        <f>IF(COUNTIFS('United Data'!$A$3:$A$3390,M$1,'United Data'!$C$3:$C$3390,$A887)&gt;0,1,0)</f>
        <v>1</v>
      </c>
      <c r="N887">
        <f>IF(COUNTIFS('United Data'!$A$3:$A$3390,N$1,'United Data'!$C$3:$C$3390,$A887)&gt;0,1,0)</f>
        <v>1</v>
      </c>
      <c r="O887">
        <f>IF(COUNTIFS('United Data'!$A$3:$A$3390,O$1,'United Data'!$C$3:$C$3390,$A887)&gt;0,1,0)</f>
        <v>0</v>
      </c>
      <c r="P887">
        <f>IF(COUNTIFS('United Data'!$A$3:$A$3390,P$1,'United Data'!$C$3:$C$3390,$A887)&gt;0,1,0)</f>
        <v>0</v>
      </c>
      <c r="Q887">
        <f>IF(COUNTIFS('United Data'!$A$3:$A$3390,Q$1,'United Data'!$C$3:$C$3390,$A887)&gt;0,1,0)</f>
        <v>0</v>
      </c>
      <c r="R887">
        <f>IF(COUNTIFS('United Data'!$A$3:$A$3390,R$1,'United Data'!$C$3:$C$3390,$A887)&gt;0,1,0)</f>
        <v>0</v>
      </c>
      <c r="S887">
        <f t="shared" si="26"/>
        <v>6</v>
      </c>
      <c r="T887">
        <f t="shared" si="27"/>
        <v>3</v>
      </c>
    </row>
    <row r="888" spans="1:20" x14ac:dyDescent="0.2">
      <c r="A888" t="s">
        <v>1073</v>
      </c>
      <c r="B888">
        <f>IF(COUNTIFS('United Data'!$A$3:$A$3390,B$1,'United Data'!$C$3:$C$3390,$A888)&gt;0,1,0)</f>
        <v>0</v>
      </c>
      <c r="C888">
        <f>IF(COUNTIFS('United Data'!$A$3:$A$3390,C$1,'United Data'!$C$3:$C$3390,$A888)&gt;0,1,0)</f>
        <v>0</v>
      </c>
      <c r="D888">
        <f>IF(COUNTIFS('United Data'!$A$3:$A$3390,D$1,'United Data'!$C$3:$C$3390,$A888)&gt;0,1,0)</f>
        <v>0</v>
      </c>
      <c r="E888">
        <f>IF(COUNTIFS('United Data'!$A$3:$A$3390,E$1,'United Data'!$C$3:$C$3390,$A888)&gt;0,1,0)</f>
        <v>0</v>
      </c>
      <c r="F888">
        <f>IF(COUNTIFS('United Data'!$A$3:$A$3390,F$1,'United Data'!$C$3:$C$3390,$A888)&gt;0,1,0)</f>
        <v>0</v>
      </c>
      <c r="G888">
        <f>IF(COUNTIFS('United Data'!$A$3:$A$3390,G$1,'United Data'!$C$3:$C$3390,$A888)&gt;0,1,0)</f>
        <v>0</v>
      </c>
      <c r="H888">
        <f>IF(COUNTIFS('United Data'!$A$3:$A$3390,H$1,'United Data'!$C$3:$C$3390,$A888)&gt;0,1,0)</f>
        <v>1</v>
      </c>
      <c r="I888">
        <f>IF(COUNTIFS('United Data'!$A$3:$A$3390,I$1,'United Data'!$C$3:$C$3390,$A888)&gt;0,1,0)</f>
        <v>0</v>
      </c>
      <c r="J888">
        <f>IF(COUNTIFS('United Data'!$A$3:$A$3390,J$1,'United Data'!$C$3:$C$3390,$A888)&gt;0,1,0)</f>
        <v>0</v>
      </c>
      <c r="K888">
        <f>IF(COUNTIFS('United Data'!$A$3:$A$3390,K$1,'United Data'!$C$3:$C$3390,$A888)&gt;0,1,0)</f>
        <v>0</v>
      </c>
      <c r="L888">
        <f>IF(COUNTIFS('United Data'!$A$3:$A$3390,L$1,'United Data'!$C$3:$C$3390,$A888)&gt;0,1,0)</f>
        <v>0</v>
      </c>
      <c r="M888">
        <f>IF(COUNTIFS('United Data'!$A$3:$A$3390,M$1,'United Data'!$C$3:$C$3390,$A888)&gt;0,1,0)</f>
        <v>0</v>
      </c>
      <c r="N888">
        <f>IF(COUNTIFS('United Data'!$A$3:$A$3390,N$1,'United Data'!$C$3:$C$3390,$A888)&gt;0,1,0)</f>
        <v>0</v>
      </c>
      <c r="O888">
        <f>IF(COUNTIFS('United Data'!$A$3:$A$3390,O$1,'United Data'!$C$3:$C$3390,$A888)&gt;0,1,0)</f>
        <v>0</v>
      </c>
      <c r="P888">
        <f>IF(COUNTIFS('United Data'!$A$3:$A$3390,P$1,'United Data'!$C$3:$C$3390,$A888)&gt;0,1,0)</f>
        <v>0</v>
      </c>
      <c r="Q888">
        <f>IF(COUNTIFS('United Data'!$A$3:$A$3390,Q$1,'United Data'!$C$3:$C$3390,$A888)&gt;0,1,0)</f>
        <v>0</v>
      </c>
      <c r="R888">
        <f>IF(COUNTIFS('United Data'!$A$3:$A$3390,R$1,'United Data'!$C$3:$C$3390,$A888)&gt;0,1,0)</f>
        <v>0</v>
      </c>
      <c r="S888">
        <f t="shared" si="26"/>
        <v>1</v>
      </c>
      <c r="T888">
        <f t="shared" si="27"/>
        <v>1</v>
      </c>
    </row>
    <row r="889" spans="1:20" x14ac:dyDescent="0.2">
      <c r="A889" t="s">
        <v>1074</v>
      </c>
      <c r="B889">
        <f>IF(COUNTIFS('United Data'!$A$3:$A$3390,B$1,'United Data'!$C$3:$C$3390,$A889)&gt;0,1,0)</f>
        <v>0</v>
      </c>
      <c r="C889">
        <f>IF(COUNTIFS('United Data'!$A$3:$A$3390,C$1,'United Data'!$C$3:$C$3390,$A889)&gt;0,1,0)</f>
        <v>0</v>
      </c>
      <c r="D889">
        <f>IF(COUNTIFS('United Data'!$A$3:$A$3390,D$1,'United Data'!$C$3:$C$3390,$A889)&gt;0,1,0)</f>
        <v>0</v>
      </c>
      <c r="E889">
        <f>IF(COUNTIFS('United Data'!$A$3:$A$3390,E$1,'United Data'!$C$3:$C$3390,$A889)&gt;0,1,0)</f>
        <v>0</v>
      </c>
      <c r="F889">
        <f>IF(COUNTIFS('United Data'!$A$3:$A$3390,F$1,'United Data'!$C$3:$C$3390,$A889)&gt;0,1,0)</f>
        <v>0</v>
      </c>
      <c r="G889">
        <f>IF(COUNTIFS('United Data'!$A$3:$A$3390,G$1,'United Data'!$C$3:$C$3390,$A889)&gt;0,1,0)</f>
        <v>0</v>
      </c>
      <c r="H889">
        <f>IF(COUNTIFS('United Data'!$A$3:$A$3390,H$1,'United Data'!$C$3:$C$3390,$A889)&gt;0,1,0)</f>
        <v>1</v>
      </c>
      <c r="I889">
        <f>IF(COUNTIFS('United Data'!$A$3:$A$3390,I$1,'United Data'!$C$3:$C$3390,$A889)&gt;0,1,0)</f>
        <v>0</v>
      </c>
      <c r="J889">
        <f>IF(COUNTIFS('United Data'!$A$3:$A$3390,J$1,'United Data'!$C$3:$C$3390,$A889)&gt;0,1,0)</f>
        <v>0</v>
      </c>
      <c r="K889">
        <f>IF(COUNTIFS('United Data'!$A$3:$A$3390,K$1,'United Data'!$C$3:$C$3390,$A889)&gt;0,1,0)</f>
        <v>0</v>
      </c>
      <c r="L889">
        <f>IF(COUNTIFS('United Data'!$A$3:$A$3390,L$1,'United Data'!$C$3:$C$3390,$A889)&gt;0,1,0)</f>
        <v>0</v>
      </c>
      <c r="M889">
        <f>IF(COUNTIFS('United Data'!$A$3:$A$3390,M$1,'United Data'!$C$3:$C$3390,$A889)&gt;0,1,0)</f>
        <v>0</v>
      </c>
      <c r="N889">
        <f>IF(COUNTIFS('United Data'!$A$3:$A$3390,N$1,'United Data'!$C$3:$C$3390,$A889)&gt;0,1,0)</f>
        <v>0</v>
      </c>
      <c r="O889">
        <f>IF(COUNTIFS('United Data'!$A$3:$A$3390,O$1,'United Data'!$C$3:$C$3390,$A889)&gt;0,1,0)</f>
        <v>0</v>
      </c>
      <c r="P889">
        <f>IF(COUNTIFS('United Data'!$A$3:$A$3390,P$1,'United Data'!$C$3:$C$3390,$A889)&gt;0,1,0)</f>
        <v>0</v>
      </c>
      <c r="Q889">
        <f>IF(COUNTIFS('United Data'!$A$3:$A$3390,Q$1,'United Data'!$C$3:$C$3390,$A889)&gt;0,1,0)</f>
        <v>0</v>
      </c>
      <c r="R889">
        <f>IF(COUNTIFS('United Data'!$A$3:$A$3390,R$1,'United Data'!$C$3:$C$3390,$A889)&gt;0,1,0)</f>
        <v>0</v>
      </c>
      <c r="S889">
        <f t="shared" si="26"/>
        <v>1</v>
      </c>
      <c r="T889">
        <f t="shared" si="27"/>
        <v>1</v>
      </c>
    </row>
    <row r="890" spans="1:20" x14ac:dyDescent="0.2">
      <c r="A890" t="s">
        <v>1075</v>
      </c>
      <c r="B890">
        <f>IF(COUNTIFS('United Data'!$A$3:$A$3390,B$1,'United Data'!$C$3:$C$3390,$A890)&gt;0,1,0)</f>
        <v>0</v>
      </c>
      <c r="C890">
        <f>IF(COUNTIFS('United Data'!$A$3:$A$3390,C$1,'United Data'!$C$3:$C$3390,$A890)&gt;0,1,0)</f>
        <v>0</v>
      </c>
      <c r="D890">
        <f>IF(COUNTIFS('United Data'!$A$3:$A$3390,D$1,'United Data'!$C$3:$C$3390,$A890)&gt;0,1,0)</f>
        <v>0</v>
      </c>
      <c r="E890">
        <f>IF(COUNTIFS('United Data'!$A$3:$A$3390,E$1,'United Data'!$C$3:$C$3390,$A890)&gt;0,1,0)</f>
        <v>0</v>
      </c>
      <c r="F890">
        <f>IF(COUNTIFS('United Data'!$A$3:$A$3390,F$1,'United Data'!$C$3:$C$3390,$A890)&gt;0,1,0)</f>
        <v>0</v>
      </c>
      <c r="G890">
        <f>IF(COUNTIFS('United Data'!$A$3:$A$3390,G$1,'United Data'!$C$3:$C$3390,$A890)&gt;0,1,0)</f>
        <v>0</v>
      </c>
      <c r="H890">
        <f>IF(COUNTIFS('United Data'!$A$3:$A$3390,H$1,'United Data'!$C$3:$C$3390,$A890)&gt;0,1,0)</f>
        <v>1</v>
      </c>
      <c r="I890">
        <f>IF(COUNTIFS('United Data'!$A$3:$A$3390,I$1,'United Data'!$C$3:$C$3390,$A890)&gt;0,1,0)</f>
        <v>0</v>
      </c>
      <c r="J890">
        <f>IF(COUNTIFS('United Data'!$A$3:$A$3390,J$1,'United Data'!$C$3:$C$3390,$A890)&gt;0,1,0)</f>
        <v>0</v>
      </c>
      <c r="K890">
        <f>IF(COUNTIFS('United Data'!$A$3:$A$3390,K$1,'United Data'!$C$3:$C$3390,$A890)&gt;0,1,0)</f>
        <v>0</v>
      </c>
      <c r="L890">
        <f>IF(COUNTIFS('United Data'!$A$3:$A$3390,L$1,'United Data'!$C$3:$C$3390,$A890)&gt;0,1,0)</f>
        <v>0</v>
      </c>
      <c r="M890">
        <f>IF(COUNTIFS('United Data'!$A$3:$A$3390,M$1,'United Data'!$C$3:$C$3390,$A890)&gt;0,1,0)</f>
        <v>0</v>
      </c>
      <c r="N890">
        <f>IF(COUNTIFS('United Data'!$A$3:$A$3390,N$1,'United Data'!$C$3:$C$3390,$A890)&gt;0,1,0)</f>
        <v>0</v>
      </c>
      <c r="O890">
        <f>IF(COUNTIFS('United Data'!$A$3:$A$3390,O$1,'United Data'!$C$3:$C$3390,$A890)&gt;0,1,0)</f>
        <v>0</v>
      </c>
      <c r="P890">
        <f>IF(COUNTIFS('United Data'!$A$3:$A$3390,P$1,'United Data'!$C$3:$C$3390,$A890)&gt;0,1,0)</f>
        <v>0</v>
      </c>
      <c r="Q890">
        <f>IF(COUNTIFS('United Data'!$A$3:$A$3390,Q$1,'United Data'!$C$3:$C$3390,$A890)&gt;0,1,0)</f>
        <v>0</v>
      </c>
      <c r="R890">
        <f>IF(COUNTIFS('United Data'!$A$3:$A$3390,R$1,'United Data'!$C$3:$C$3390,$A890)&gt;0,1,0)</f>
        <v>0</v>
      </c>
      <c r="S890">
        <f t="shared" si="26"/>
        <v>1</v>
      </c>
      <c r="T890">
        <f t="shared" si="27"/>
        <v>1</v>
      </c>
    </row>
    <row r="891" spans="1:20" x14ac:dyDescent="0.2">
      <c r="A891" t="s">
        <v>1076</v>
      </c>
      <c r="B891">
        <f>IF(COUNTIFS('United Data'!$A$3:$A$3390,B$1,'United Data'!$C$3:$C$3390,$A891)&gt;0,1,0)</f>
        <v>0</v>
      </c>
      <c r="C891">
        <f>IF(COUNTIFS('United Data'!$A$3:$A$3390,C$1,'United Data'!$C$3:$C$3390,$A891)&gt;0,1,0)</f>
        <v>0</v>
      </c>
      <c r="D891">
        <f>IF(COUNTIFS('United Data'!$A$3:$A$3390,D$1,'United Data'!$C$3:$C$3390,$A891)&gt;0,1,0)</f>
        <v>0</v>
      </c>
      <c r="E891">
        <f>IF(COUNTIFS('United Data'!$A$3:$A$3390,E$1,'United Data'!$C$3:$C$3390,$A891)&gt;0,1,0)</f>
        <v>0</v>
      </c>
      <c r="F891">
        <f>IF(COUNTIFS('United Data'!$A$3:$A$3390,F$1,'United Data'!$C$3:$C$3390,$A891)&gt;0,1,0)</f>
        <v>0</v>
      </c>
      <c r="G891">
        <f>IF(COUNTIFS('United Data'!$A$3:$A$3390,G$1,'United Data'!$C$3:$C$3390,$A891)&gt;0,1,0)</f>
        <v>0</v>
      </c>
      <c r="H891">
        <f>IF(COUNTIFS('United Data'!$A$3:$A$3390,H$1,'United Data'!$C$3:$C$3390,$A891)&gt;0,1,0)</f>
        <v>1</v>
      </c>
      <c r="I891">
        <f>IF(COUNTIFS('United Data'!$A$3:$A$3390,I$1,'United Data'!$C$3:$C$3390,$A891)&gt;0,1,0)</f>
        <v>0</v>
      </c>
      <c r="J891">
        <f>IF(COUNTIFS('United Data'!$A$3:$A$3390,J$1,'United Data'!$C$3:$C$3390,$A891)&gt;0,1,0)</f>
        <v>0</v>
      </c>
      <c r="K891">
        <f>IF(COUNTIFS('United Data'!$A$3:$A$3390,K$1,'United Data'!$C$3:$C$3390,$A891)&gt;0,1,0)</f>
        <v>0</v>
      </c>
      <c r="L891">
        <f>IF(COUNTIFS('United Data'!$A$3:$A$3390,L$1,'United Data'!$C$3:$C$3390,$A891)&gt;0,1,0)</f>
        <v>0</v>
      </c>
      <c r="M891">
        <f>IF(COUNTIFS('United Data'!$A$3:$A$3390,M$1,'United Data'!$C$3:$C$3390,$A891)&gt;0,1,0)</f>
        <v>0</v>
      </c>
      <c r="N891">
        <f>IF(COUNTIFS('United Data'!$A$3:$A$3390,N$1,'United Data'!$C$3:$C$3390,$A891)&gt;0,1,0)</f>
        <v>0</v>
      </c>
      <c r="O891">
        <f>IF(COUNTIFS('United Data'!$A$3:$A$3390,O$1,'United Data'!$C$3:$C$3390,$A891)&gt;0,1,0)</f>
        <v>0</v>
      </c>
      <c r="P891">
        <f>IF(COUNTIFS('United Data'!$A$3:$A$3390,P$1,'United Data'!$C$3:$C$3390,$A891)&gt;0,1,0)</f>
        <v>0</v>
      </c>
      <c r="Q891">
        <f>IF(COUNTIFS('United Data'!$A$3:$A$3390,Q$1,'United Data'!$C$3:$C$3390,$A891)&gt;0,1,0)</f>
        <v>0</v>
      </c>
      <c r="R891">
        <f>IF(COUNTIFS('United Data'!$A$3:$A$3390,R$1,'United Data'!$C$3:$C$3390,$A891)&gt;0,1,0)</f>
        <v>0</v>
      </c>
      <c r="S891">
        <f t="shared" si="26"/>
        <v>1</v>
      </c>
      <c r="T891">
        <f t="shared" si="27"/>
        <v>1</v>
      </c>
    </row>
    <row r="892" spans="1:20" x14ac:dyDescent="0.2">
      <c r="A892" t="s">
        <v>1077</v>
      </c>
      <c r="B892">
        <f>IF(COUNTIFS('United Data'!$A$3:$A$3390,B$1,'United Data'!$C$3:$C$3390,$A892)&gt;0,1,0)</f>
        <v>0</v>
      </c>
      <c r="C892">
        <f>IF(COUNTIFS('United Data'!$A$3:$A$3390,C$1,'United Data'!$C$3:$C$3390,$A892)&gt;0,1,0)</f>
        <v>0</v>
      </c>
      <c r="D892">
        <f>IF(COUNTIFS('United Data'!$A$3:$A$3390,D$1,'United Data'!$C$3:$C$3390,$A892)&gt;0,1,0)</f>
        <v>0</v>
      </c>
      <c r="E892">
        <f>IF(COUNTIFS('United Data'!$A$3:$A$3390,E$1,'United Data'!$C$3:$C$3390,$A892)&gt;0,1,0)</f>
        <v>0</v>
      </c>
      <c r="F892">
        <f>IF(COUNTIFS('United Data'!$A$3:$A$3390,F$1,'United Data'!$C$3:$C$3390,$A892)&gt;0,1,0)</f>
        <v>0</v>
      </c>
      <c r="G892">
        <f>IF(COUNTIFS('United Data'!$A$3:$A$3390,G$1,'United Data'!$C$3:$C$3390,$A892)&gt;0,1,0)</f>
        <v>0</v>
      </c>
      <c r="H892">
        <f>IF(COUNTIFS('United Data'!$A$3:$A$3390,H$1,'United Data'!$C$3:$C$3390,$A892)&gt;0,1,0)</f>
        <v>0</v>
      </c>
      <c r="I892">
        <f>IF(COUNTIFS('United Data'!$A$3:$A$3390,I$1,'United Data'!$C$3:$C$3390,$A892)&gt;0,1,0)</f>
        <v>1</v>
      </c>
      <c r="J892">
        <f>IF(COUNTIFS('United Data'!$A$3:$A$3390,J$1,'United Data'!$C$3:$C$3390,$A892)&gt;0,1,0)</f>
        <v>0</v>
      </c>
      <c r="K892">
        <f>IF(COUNTIFS('United Data'!$A$3:$A$3390,K$1,'United Data'!$C$3:$C$3390,$A892)&gt;0,1,0)</f>
        <v>0</v>
      </c>
      <c r="L892">
        <f>IF(COUNTIFS('United Data'!$A$3:$A$3390,L$1,'United Data'!$C$3:$C$3390,$A892)&gt;0,1,0)</f>
        <v>0</v>
      </c>
      <c r="M892">
        <f>IF(COUNTIFS('United Data'!$A$3:$A$3390,M$1,'United Data'!$C$3:$C$3390,$A892)&gt;0,1,0)</f>
        <v>0</v>
      </c>
      <c r="N892">
        <f>IF(COUNTIFS('United Data'!$A$3:$A$3390,N$1,'United Data'!$C$3:$C$3390,$A892)&gt;0,1,0)</f>
        <v>0</v>
      </c>
      <c r="O892">
        <f>IF(COUNTIFS('United Data'!$A$3:$A$3390,O$1,'United Data'!$C$3:$C$3390,$A892)&gt;0,1,0)</f>
        <v>0</v>
      </c>
      <c r="P892">
        <f>IF(COUNTIFS('United Data'!$A$3:$A$3390,P$1,'United Data'!$C$3:$C$3390,$A892)&gt;0,1,0)</f>
        <v>0</v>
      </c>
      <c r="Q892">
        <f>IF(COUNTIFS('United Data'!$A$3:$A$3390,Q$1,'United Data'!$C$3:$C$3390,$A892)&gt;0,1,0)</f>
        <v>0</v>
      </c>
      <c r="R892">
        <f>IF(COUNTIFS('United Data'!$A$3:$A$3390,R$1,'United Data'!$C$3:$C$3390,$A892)&gt;0,1,0)</f>
        <v>0</v>
      </c>
      <c r="S892">
        <f t="shared" si="26"/>
        <v>1</v>
      </c>
      <c r="T892">
        <f t="shared" si="27"/>
        <v>1</v>
      </c>
    </row>
    <row r="893" spans="1:20" x14ac:dyDescent="0.2">
      <c r="A893" t="s">
        <v>1078</v>
      </c>
      <c r="B893">
        <f>IF(COUNTIFS('United Data'!$A$3:$A$3390,B$1,'United Data'!$C$3:$C$3390,$A893)&gt;0,1,0)</f>
        <v>0</v>
      </c>
      <c r="C893">
        <f>IF(COUNTIFS('United Data'!$A$3:$A$3390,C$1,'United Data'!$C$3:$C$3390,$A893)&gt;0,1,0)</f>
        <v>0</v>
      </c>
      <c r="D893">
        <f>IF(COUNTIFS('United Data'!$A$3:$A$3390,D$1,'United Data'!$C$3:$C$3390,$A893)&gt;0,1,0)</f>
        <v>0</v>
      </c>
      <c r="E893">
        <f>IF(COUNTIFS('United Data'!$A$3:$A$3390,E$1,'United Data'!$C$3:$C$3390,$A893)&gt;0,1,0)</f>
        <v>0</v>
      </c>
      <c r="F893">
        <f>IF(COUNTIFS('United Data'!$A$3:$A$3390,F$1,'United Data'!$C$3:$C$3390,$A893)&gt;0,1,0)</f>
        <v>0</v>
      </c>
      <c r="G893">
        <f>IF(COUNTIFS('United Data'!$A$3:$A$3390,G$1,'United Data'!$C$3:$C$3390,$A893)&gt;0,1,0)</f>
        <v>0</v>
      </c>
      <c r="H893">
        <f>IF(COUNTIFS('United Data'!$A$3:$A$3390,H$1,'United Data'!$C$3:$C$3390,$A893)&gt;0,1,0)</f>
        <v>0</v>
      </c>
      <c r="I893">
        <f>IF(COUNTIFS('United Data'!$A$3:$A$3390,I$1,'United Data'!$C$3:$C$3390,$A893)&gt;0,1,0)</f>
        <v>1</v>
      </c>
      <c r="J893">
        <f>IF(COUNTIFS('United Data'!$A$3:$A$3390,J$1,'United Data'!$C$3:$C$3390,$A893)&gt;0,1,0)</f>
        <v>1</v>
      </c>
      <c r="K893">
        <f>IF(COUNTIFS('United Data'!$A$3:$A$3390,K$1,'United Data'!$C$3:$C$3390,$A893)&gt;0,1,0)</f>
        <v>1</v>
      </c>
      <c r="L893">
        <f>IF(COUNTIFS('United Data'!$A$3:$A$3390,L$1,'United Data'!$C$3:$C$3390,$A893)&gt;0,1,0)</f>
        <v>0</v>
      </c>
      <c r="M893">
        <f>IF(COUNTIFS('United Data'!$A$3:$A$3390,M$1,'United Data'!$C$3:$C$3390,$A893)&gt;0,1,0)</f>
        <v>0</v>
      </c>
      <c r="N893">
        <f>IF(COUNTIFS('United Data'!$A$3:$A$3390,N$1,'United Data'!$C$3:$C$3390,$A893)&gt;0,1,0)</f>
        <v>0</v>
      </c>
      <c r="O893">
        <f>IF(COUNTIFS('United Data'!$A$3:$A$3390,O$1,'United Data'!$C$3:$C$3390,$A893)&gt;0,1,0)</f>
        <v>0</v>
      </c>
      <c r="P893">
        <f>IF(COUNTIFS('United Data'!$A$3:$A$3390,P$1,'United Data'!$C$3:$C$3390,$A893)&gt;0,1,0)</f>
        <v>0</v>
      </c>
      <c r="Q893">
        <f>IF(COUNTIFS('United Data'!$A$3:$A$3390,Q$1,'United Data'!$C$3:$C$3390,$A893)&gt;0,1,0)</f>
        <v>0</v>
      </c>
      <c r="R893">
        <f>IF(COUNTIFS('United Data'!$A$3:$A$3390,R$1,'United Data'!$C$3:$C$3390,$A893)&gt;0,1,0)</f>
        <v>0</v>
      </c>
      <c r="S893">
        <f t="shared" si="26"/>
        <v>3</v>
      </c>
      <c r="T893">
        <f t="shared" si="27"/>
        <v>1</v>
      </c>
    </row>
    <row r="894" spans="1:20" x14ac:dyDescent="0.2">
      <c r="A894" t="s">
        <v>1079</v>
      </c>
      <c r="B894">
        <f>IF(COUNTIFS('United Data'!$A$3:$A$3390,B$1,'United Data'!$C$3:$C$3390,$A894)&gt;0,1,0)</f>
        <v>0</v>
      </c>
      <c r="C894">
        <f>IF(COUNTIFS('United Data'!$A$3:$A$3390,C$1,'United Data'!$C$3:$C$3390,$A894)&gt;0,1,0)</f>
        <v>0</v>
      </c>
      <c r="D894">
        <f>IF(COUNTIFS('United Data'!$A$3:$A$3390,D$1,'United Data'!$C$3:$C$3390,$A894)&gt;0,1,0)</f>
        <v>0</v>
      </c>
      <c r="E894">
        <f>IF(COUNTIFS('United Data'!$A$3:$A$3390,E$1,'United Data'!$C$3:$C$3390,$A894)&gt;0,1,0)</f>
        <v>0</v>
      </c>
      <c r="F894">
        <f>IF(COUNTIFS('United Data'!$A$3:$A$3390,F$1,'United Data'!$C$3:$C$3390,$A894)&gt;0,1,0)</f>
        <v>0</v>
      </c>
      <c r="G894">
        <f>IF(COUNTIFS('United Data'!$A$3:$A$3390,G$1,'United Data'!$C$3:$C$3390,$A894)&gt;0,1,0)</f>
        <v>0</v>
      </c>
      <c r="H894">
        <f>IF(COUNTIFS('United Data'!$A$3:$A$3390,H$1,'United Data'!$C$3:$C$3390,$A894)&gt;0,1,0)</f>
        <v>0</v>
      </c>
      <c r="I894">
        <f>IF(COUNTIFS('United Data'!$A$3:$A$3390,I$1,'United Data'!$C$3:$C$3390,$A894)&gt;0,1,0)</f>
        <v>0</v>
      </c>
      <c r="J894">
        <f>IF(COUNTIFS('United Data'!$A$3:$A$3390,J$1,'United Data'!$C$3:$C$3390,$A894)&gt;0,1,0)</f>
        <v>1</v>
      </c>
      <c r="K894">
        <f>IF(COUNTIFS('United Data'!$A$3:$A$3390,K$1,'United Data'!$C$3:$C$3390,$A894)&gt;0,1,0)</f>
        <v>0</v>
      </c>
      <c r="L894">
        <f>IF(COUNTIFS('United Data'!$A$3:$A$3390,L$1,'United Data'!$C$3:$C$3390,$A894)&gt;0,1,0)</f>
        <v>0</v>
      </c>
      <c r="M894">
        <f>IF(COUNTIFS('United Data'!$A$3:$A$3390,M$1,'United Data'!$C$3:$C$3390,$A894)&gt;0,1,0)</f>
        <v>0</v>
      </c>
      <c r="N894">
        <f>IF(COUNTIFS('United Data'!$A$3:$A$3390,N$1,'United Data'!$C$3:$C$3390,$A894)&gt;0,1,0)</f>
        <v>0</v>
      </c>
      <c r="O894">
        <f>IF(COUNTIFS('United Data'!$A$3:$A$3390,O$1,'United Data'!$C$3:$C$3390,$A894)&gt;0,1,0)</f>
        <v>0</v>
      </c>
      <c r="P894">
        <f>IF(COUNTIFS('United Data'!$A$3:$A$3390,P$1,'United Data'!$C$3:$C$3390,$A894)&gt;0,1,0)</f>
        <v>0</v>
      </c>
      <c r="Q894">
        <f>IF(COUNTIFS('United Data'!$A$3:$A$3390,Q$1,'United Data'!$C$3:$C$3390,$A894)&gt;0,1,0)</f>
        <v>0</v>
      </c>
      <c r="R894">
        <f>IF(COUNTIFS('United Data'!$A$3:$A$3390,R$1,'United Data'!$C$3:$C$3390,$A894)&gt;0,1,0)</f>
        <v>0</v>
      </c>
      <c r="S894">
        <f t="shared" si="26"/>
        <v>1</v>
      </c>
      <c r="T894">
        <f t="shared" si="27"/>
        <v>1</v>
      </c>
    </row>
    <row r="895" spans="1:20" x14ac:dyDescent="0.2">
      <c r="A895" t="s">
        <v>1080</v>
      </c>
      <c r="B895">
        <f>IF(COUNTIFS('United Data'!$A$3:$A$3390,B$1,'United Data'!$C$3:$C$3390,$A895)&gt;0,1,0)</f>
        <v>0</v>
      </c>
      <c r="C895">
        <f>IF(COUNTIFS('United Data'!$A$3:$A$3390,C$1,'United Data'!$C$3:$C$3390,$A895)&gt;0,1,0)</f>
        <v>0</v>
      </c>
      <c r="D895">
        <f>IF(COUNTIFS('United Data'!$A$3:$A$3390,D$1,'United Data'!$C$3:$C$3390,$A895)&gt;0,1,0)</f>
        <v>0</v>
      </c>
      <c r="E895">
        <f>IF(COUNTIFS('United Data'!$A$3:$A$3390,E$1,'United Data'!$C$3:$C$3390,$A895)&gt;0,1,0)</f>
        <v>0</v>
      </c>
      <c r="F895">
        <f>IF(COUNTIFS('United Data'!$A$3:$A$3390,F$1,'United Data'!$C$3:$C$3390,$A895)&gt;0,1,0)</f>
        <v>0</v>
      </c>
      <c r="G895">
        <f>IF(COUNTIFS('United Data'!$A$3:$A$3390,G$1,'United Data'!$C$3:$C$3390,$A895)&gt;0,1,0)</f>
        <v>0</v>
      </c>
      <c r="H895">
        <f>IF(COUNTIFS('United Data'!$A$3:$A$3390,H$1,'United Data'!$C$3:$C$3390,$A895)&gt;0,1,0)</f>
        <v>0</v>
      </c>
      <c r="I895">
        <f>IF(COUNTIFS('United Data'!$A$3:$A$3390,I$1,'United Data'!$C$3:$C$3390,$A895)&gt;0,1,0)</f>
        <v>0</v>
      </c>
      <c r="J895">
        <f>IF(COUNTIFS('United Data'!$A$3:$A$3390,J$1,'United Data'!$C$3:$C$3390,$A895)&gt;0,1,0)</f>
        <v>1</v>
      </c>
      <c r="K895">
        <f>IF(COUNTIFS('United Data'!$A$3:$A$3390,K$1,'United Data'!$C$3:$C$3390,$A895)&gt;0,1,0)</f>
        <v>1</v>
      </c>
      <c r="L895">
        <f>IF(COUNTIFS('United Data'!$A$3:$A$3390,L$1,'United Data'!$C$3:$C$3390,$A895)&gt;0,1,0)</f>
        <v>0</v>
      </c>
      <c r="M895">
        <f>IF(COUNTIFS('United Data'!$A$3:$A$3390,M$1,'United Data'!$C$3:$C$3390,$A895)&gt;0,1,0)</f>
        <v>0</v>
      </c>
      <c r="N895">
        <f>IF(COUNTIFS('United Data'!$A$3:$A$3390,N$1,'United Data'!$C$3:$C$3390,$A895)&gt;0,1,0)</f>
        <v>0</v>
      </c>
      <c r="O895">
        <f>IF(COUNTIFS('United Data'!$A$3:$A$3390,O$1,'United Data'!$C$3:$C$3390,$A895)&gt;0,1,0)</f>
        <v>0</v>
      </c>
      <c r="P895">
        <f>IF(COUNTIFS('United Data'!$A$3:$A$3390,P$1,'United Data'!$C$3:$C$3390,$A895)&gt;0,1,0)</f>
        <v>0</v>
      </c>
      <c r="Q895">
        <f>IF(COUNTIFS('United Data'!$A$3:$A$3390,Q$1,'United Data'!$C$3:$C$3390,$A895)&gt;0,1,0)</f>
        <v>0</v>
      </c>
      <c r="R895">
        <f>IF(COUNTIFS('United Data'!$A$3:$A$3390,R$1,'United Data'!$C$3:$C$3390,$A895)&gt;0,1,0)</f>
        <v>0</v>
      </c>
      <c r="S895">
        <f t="shared" si="26"/>
        <v>2</v>
      </c>
      <c r="T895">
        <f t="shared" si="27"/>
        <v>1</v>
      </c>
    </row>
    <row r="896" spans="1:20" x14ac:dyDescent="0.2">
      <c r="A896" t="s">
        <v>1081</v>
      </c>
      <c r="B896">
        <f>IF(COUNTIFS('United Data'!$A$3:$A$3390,B$1,'United Data'!$C$3:$C$3390,$A896)&gt;0,1,0)</f>
        <v>0</v>
      </c>
      <c r="C896">
        <f>IF(COUNTIFS('United Data'!$A$3:$A$3390,C$1,'United Data'!$C$3:$C$3390,$A896)&gt;0,1,0)</f>
        <v>0</v>
      </c>
      <c r="D896">
        <f>IF(COUNTIFS('United Data'!$A$3:$A$3390,D$1,'United Data'!$C$3:$C$3390,$A896)&gt;0,1,0)</f>
        <v>0</v>
      </c>
      <c r="E896">
        <f>IF(COUNTIFS('United Data'!$A$3:$A$3390,E$1,'United Data'!$C$3:$C$3390,$A896)&gt;0,1,0)</f>
        <v>0</v>
      </c>
      <c r="F896">
        <f>IF(COUNTIFS('United Data'!$A$3:$A$3390,F$1,'United Data'!$C$3:$C$3390,$A896)&gt;0,1,0)</f>
        <v>0</v>
      </c>
      <c r="G896">
        <f>IF(COUNTIFS('United Data'!$A$3:$A$3390,G$1,'United Data'!$C$3:$C$3390,$A896)&gt;0,1,0)</f>
        <v>1</v>
      </c>
      <c r="H896">
        <f>IF(COUNTIFS('United Data'!$A$3:$A$3390,H$1,'United Data'!$C$3:$C$3390,$A896)&gt;0,1,0)</f>
        <v>0</v>
      </c>
      <c r="I896">
        <f>IF(COUNTIFS('United Data'!$A$3:$A$3390,I$1,'United Data'!$C$3:$C$3390,$A896)&gt;0,1,0)</f>
        <v>1</v>
      </c>
      <c r="J896">
        <f>IF(COUNTIFS('United Data'!$A$3:$A$3390,J$1,'United Data'!$C$3:$C$3390,$A896)&gt;0,1,0)</f>
        <v>1</v>
      </c>
      <c r="K896">
        <f>IF(COUNTIFS('United Data'!$A$3:$A$3390,K$1,'United Data'!$C$3:$C$3390,$A896)&gt;0,1,0)</f>
        <v>0</v>
      </c>
      <c r="L896">
        <f>IF(COUNTIFS('United Data'!$A$3:$A$3390,L$1,'United Data'!$C$3:$C$3390,$A896)&gt;0,1,0)</f>
        <v>0</v>
      </c>
      <c r="M896">
        <f>IF(COUNTIFS('United Data'!$A$3:$A$3390,M$1,'United Data'!$C$3:$C$3390,$A896)&gt;0,1,0)</f>
        <v>0</v>
      </c>
      <c r="N896">
        <f>IF(COUNTIFS('United Data'!$A$3:$A$3390,N$1,'United Data'!$C$3:$C$3390,$A896)&gt;0,1,0)</f>
        <v>0</v>
      </c>
      <c r="O896">
        <f>IF(COUNTIFS('United Data'!$A$3:$A$3390,O$1,'United Data'!$C$3:$C$3390,$A896)&gt;0,1,0)</f>
        <v>0</v>
      </c>
      <c r="P896">
        <f>IF(COUNTIFS('United Data'!$A$3:$A$3390,P$1,'United Data'!$C$3:$C$3390,$A896)&gt;0,1,0)</f>
        <v>0</v>
      </c>
      <c r="Q896">
        <f>IF(COUNTIFS('United Data'!$A$3:$A$3390,Q$1,'United Data'!$C$3:$C$3390,$A896)&gt;0,1,0)</f>
        <v>1</v>
      </c>
      <c r="R896">
        <f>IF(COUNTIFS('United Data'!$A$3:$A$3390,R$1,'United Data'!$C$3:$C$3390,$A896)&gt;0,1,0)</f>
        <v>0</v>
      </c>
      <c r="S896">
        <f t="shared" si="26"/>
        <v>4</v>
      </c>
      <c r="T896">
        <f t="shared" si="27"/>
        <v>3</v>
      </c>
    </row>
    <row r="897" spans="1:20" x14ac:dyDescent="0.2">
      <c r="A897" t="s">
        <v>2051</v>
      </c>
      <c r="B897">
        <f>IF(COUNTIFS('United Data'!$A$3:$A$3390,B$1,'United Data'!$C$3:$C$3390,$A897)&gt;0,1,0)</f>
        <v>0</v>
      </c>
      <c r="C897">
        <f>IF(COUNTIFS('United Data'!$A$3:$A$3390,C$1,'United Data'!$C$3:$C$3390,$A897)&gt;0,1,0)</f>
        <v>0</v>
      </c>
      <c r="D897">
        <f>IF(COUNTIFS('United Data'!$A$3:$A$3390,D$1,'United Data'!$C$3:$C$3390,$A897)&gt;0,1,0)</f>
        <v>0</v>
      </c>
      <c r="E897">
        <f>IF(COUNTIFS('United Data'!$A$3:$A$3390,E$1,'United Data'!$C$3:$C$3390,$A897)&gt;0,1,0)</f>
        <v>0</v>
      </c>
      <c r="F897">
        <f>IF(COUNTIFS('United Data'!$A$3:$A$3390,F$1,'United Data'!$C$3:$C$3390,$A897)&gt;0,1,0)</f>
        <v>0</v>
      </c>
      <c r="G897">
        <f>IF(COUNTIFS('United Data'!$A$3:$A$3390,G$1,'United Data'!$C$3:$C$3390,$A897)&gt;0,1,0)</f>
        <v>0</v>
      </c>
      <c r="H897">
        <f>IF(COUNTIFS('United Data'!$A$3:$A$3390,H$1,'United Data'!$C$3:$C$3390,$A897)&gt;0,1,0)</f>
        <v>0</v>
      </c>
      <c r="I897">
        <f>IF(COUNTIFS('United Data'!$A$3:$A$3390,I$1,'United Data'!$C$3:$C$3390,$A897)&gt;0,1,0)</f>
        <v>0</v>
      </c>
      <c r="J897">
        <f>IF(COUNTIFS('United Data'!$A$3:$A$3390,J$1,'United Data'!$C$3:$C$3390,$A897)&gt;0,1,0)</f>
        <v>0</v>
      </c>
      <c r="K897">
        <f>IF(COUNTIFS('United Data'!$A$3:$A$3390,K$1,'United Data'!$C$3:$C$3390,$A897)&gt;0,1,0)</f>
        <v>1</v>
      </c>
      <c r="L897">
        <f>IF(COUNTIFS('United Data'!$A$3:$A$3390,L$1,'United Data'!$C$3:$C$3390,$A897)&gt;0,1,0)</f>
        <v>0</v>
      </c>
      <c r="M897">
        <f>IF(COUNTIFS('United Data'!$A$3:$A$3390,M$1,'United Data'!$C$3:$C$3390,$A897)&gt;0,1,0)</f>
        <v>0</v>
      </c>
      <c r="N897">
        <f>IF(COUNTIFS('United Data'!$A$3:$A$3390,N$1,'United Data'!$C$3:$C$3390,$A897)&gt;0,1,0)</f>
        <v>0</v>
      </c>
      <c r="O897">
        <f>IF(COUNTIFS('United Data'!$A$3:$A$3390,O$1,'United Data'!$C$3:$C$3390,$A897)&gt;0,1,0)</f>
        <v>0</v>
      </c>
      <c r="P897">
        <f>IF(COUNTIFS('United Data'!$A$3:$A$3390,P$1,'United Data'!$C$3:$C$3390,$A897)&gt;0,1,0)</f>
        <v>0</v>
      </c>
      <c r="Q897">
        <f>IF(COUNTIFS('United Data'!$A$3:$A$3390,Q$1,'United Data'!$C$3:$C$3390,$A897)&gt;0,1,0)</f>
        <v>0</v>
      </c>
      <c r="R897">
        <f>IF(COUNTIFS('United Data'!$A$3:$A$3390,R$1,'United Data'!$C$3:$C$3390,$A897)&gt;0,1,0)</f>
        <v>0</v>
      </c>
      <c r="S897">
        <f t="shared" si="26"/>
        <v>1</v>
      </c>
      <c r="T897">
        <f t="shared" si="27"/>
        <v>1</v>
      </c>
    </row>
    <row r="898" spans="1:20" x14ac:dyDescent="0.2">
      <c r="A898" t="s">
        <v>1082</v>
      </c>
      <c r="B898">
        <f>IF(COUNTIFS('United Data'!$A$3:$A$3390,B$1,'United Data'!$C$3:$C$3390,$A898)&gt;0,1,0)</f>
        <v>0</v>
      </c>
      <c r="C898">
        <f>IF(COUNTIFS('United Data'!$A$3:$A$3390,C$1,'United Data'!$C$3:$C$3390,$A898)&gt;0,1,0)</f>
        <v>0</v>
      </c>
      <c r="D898">
        <f>IF(COUNTIFS('United Data'!$A$3:$A$3390,D$1,'United Data'!$C$3:$C$3390,$A898)&gt;0,1,0)</f>
        <v>0</v>
      </c>
      <c r="E898">
        <f>IF(COUNTIFS('United Data'!$A$3:$A$3390,E$1,'United Data'!$C$3:$C$3390,$A898)&gt;0,1,0)</f>
        <v>0</v>
      </c>
      <c r="F898">
        <f>IF(COUNTIFS('United Data'!$A$3:$A$3390,F$1,'United Data'!$C$3:$C$3390,$A898)&gt;0,1,0)</f>
        <v>0</v>
      </c>
      <c r="G898">
        <f>IF(COUNTIFS('United Data'!$A$3:$A$3390,G$1,'United Data'!$C$3:$C$3390,$A898)&gt;0,1,0)</f>
        <v>0</v>
      </c>
      <c r="H898">
        <f>IF(COUNTIFS('United Data'!$A$3:$A$3390,H$1,'United Data'!$C$3:$C$3390,$A898)&gt;0,1,0)</f>
        <v>0</v>
      </c>
      <c r="I898">
        <f>IF(COUNTIFS('United Data'!$A$3:$A$3390,I$1,'United Data'!$C$3:$C$3390,$A898)&gt;0,1,0)</f>
        <v>0</v>
      </c>
      <c r="J898">
        <f>IF(COUNTIFS('United Data'!$A$3:$A$3390,J$1,'United Data'!$C$3:$C$3390,$A898)&gt;0,1,0)</f>
        <v>0</v>
      </c>
      <c r="K898">
        <f>IF(COUNTIFS('United Data'!$A$3:$A$3390,K$1,'United Data'!$C$3:$C$3390,$A898)&gt;0,1,0)</f>
        <v>0</v>
      </c>
      <c r="L898">
        <f>IF(COUNTIFS('United Data'!$A$3:$A$3390,L$1,'United Data'!$C$3:$C$3390,$A898)&gt;0,1,0)</f>
        <v>0</v>
      </c>
      <c r="M898">
        <f>IF(COUNTIFS('United Data'!$A$3:$A$3390,M$1,'United Data'!$C$3:$C$3390,$A898)&gt;0,1,0)</f>
        <v>1</v>
      </c>
      <c r="N898">
        <f>IF(COUNTIFS('United Data'!$A$3:$A$3390,N$1,'United Data'!$C$3:$C$3390,$A898)&gt;0,1,0)</f>
        <v>0</v>
      </c>
      <c r="O898">
        <f>IF(COUNTIFS('United Data'!$A$3:$A$3390,O$1,'United Data'!$C$3:$C$3390,$A898)&gt;0,1,0)</f>
        <v>0</v>
      </c>
      <c r="P898">
        <f>IF(COUNTIFS('United Data'!$A$3:$A$3390,P$1,'United Data'!$C$3:$C$3390,$A898)&gt;0,1,0)</f>
        <v>0</v>
      </c>
      <c r="Q898">
        <f>IF(COUNTIFS('United Data'!$A$3:$A$3390,Q$1,'United Data'!$C$3:$C$3390,$A898)&gt;0,1,0)</f>
        <v>0</v>
      </c>
      <c r="R898">
        <f>IF(COUNTIFS('United Data'!$A$3:$A$3390,R$1,'United Data'!$C$3:$C$3390,$A898)&gt;0,1,0)</f>
        <v>0</v>
      </c>
      <c r="S898">
        <f t="shared" ref="S898:S961" si="28">SUM(B898:R898)</f>
        <v>1</v>
      </c>
      <c r="T898">
        <f t="shared" ref="T898:T961" si="29">B898+SUMPRODUCT(--(C898:R898&gt;B898:Q898))</f>
        <v>1</v>
      </c>
    </row>
    <row r="899" spans="1:20" x14ac:dyDescent="0.2">
      <c r="A899" t="s">
        <v>1083</v>
      </c>
      <c r="B899">
        <f>IF(COUNTIFS('United Data'!$A$3:$A$3390,B$1,'United Data'!$C$3:$C$3390,$A899)&gt;0,1,0)</f>
        <v>0</v>
      </c>
      <c r="C899">
        <f>IF(COUNTIFS('United Data'!$A$3:$A$3390,C$1,'United Data'!$C$3:$C$3390,$A899)&gt;0,1,0)</f>
        <v>0</v>
      </c>
      <c r="D899">
        <f>IF(COUNTIFS('United Data'!$A$3:$A$3390,D$1,'United Data'!$C$3:$C$3390,$A899)&gt;0,1,0)</f>
        <v>0</v>
      </c>
      <c r="E899">
        <f>IF(COUNTIFS('United Data'!$A$3:$A$3390,E$1,'United Data'!$C$3:$C$3390,$A899)&gt;0,1,0)</f>
        <v>0</v>
      </c>
      <c r="F899">
        <f>IF(COUNTIFS('United Data'!$A$3:$A$3390,F$1,'United Data'!$C$3:$C$3390,$A899)&gt;0,1,0)</f>
        <v>0</v>
      </c>
      <c r="G899">
        <f>IF(COUNTIFS('United Data'!$A$3:$A$3390,G$1,'United Data'!$C$3:$C$3390,$A899)&gt;0,1,0)</f>
        <v>0</v>
      </c>
      <c r="H899">
        <f>IF(COUNTIFS('United Data'!$A$3:$A$3390,H$1,'United Data'!$C$3:$C$3390,$A899)&gt;0,1,0)</f>
        <v>0</v>
      </c>
      <c r="I899">
        <f>IF(COUNTIFS('United Data'!$A$3:$A$3390,I$1,'United Data'!$C$3:$C$3390,$A899)&gt;0,1,0)</f>
        <v>0</v>
      </c>
      <c r="J899">
        <f>IF(COUNTIFS('United Data'!$A$3:$A$3390,J$1,'United Data'!$C$3:$C$3390,$A899)&gt;0,1,0)</f>
        <v>0</v>
      </c>
      <c r="K899">
        <f>IF(COUNTIFS('United Data'!$A$3:$A$3390,K$1,'United Data'!$C$3:$C$3390,$A899)&gt;0,1,0)</f>
        <v>0</v>
      </c>
      <c r="L899">
        <f>IF(COUNTIFS('United Data'!$A$3:$A$3390,L$1,'United Data'!$C$3:$C$3390,$A899)&gt;0,1,0)</f>
        <v>0</v>
      </c>
      <c r="M899">
        <f>IF(COUNTIFS('United Data'!$A$3:$A$3390,M$1,'United Data'!$C$3:$C$3390,$A899)&gt;0,1,0)</f>
        <v>0</v>
      </c>
      <c r="N899">
        <f>IF(COUNTIFS('United Data'!$A$3:$A$3390,N$1,'United Data'!$C$3:$C$3390,$A899)&gt;0,1,0)</f>
        <v>1</v>
      </c>
      <c r="O899">
        <f>IF(COUNTIFS('United Data'!$A$3:$A$3390,O$1,'United Data'!$C$3:$C$3390,$A899)&gt;0,1,0)</f>
        <v>0</v>
      </c>
      <c r="P899">
        <f>IF(COUNTIFS('United Data'!$A$3:$A$3390,P$1,'United Data'!$C$3:$C$3390,$A899)&gt;0,1,0)</f>
        <v>0</v>
      </c>
      <c r="Q899">
        <f>IF(COUNTIFS('United Data'!$A$3:$A$3390,Q$1,'United Data'!$C$3:$C$3390,$A899)&gt;0,1,0)</f>
        <v>0</v>
      </c>
      <c r="R899">
        <f>IF(COUNTIFS('United Data'!$A$3:$A$3390,R$1,'United Data'!$C$3:$C$3390,$A899)&gt;0,1,0)</f>
        <v>0</v>
      </c>
      <c r="S899">
        <f t="shared" si="28"/>
        <v>1</v>
      </c>
      <c r="T899">
        <f t="shared" si="29"/>
        <v>1</v>
      </c>
    </row>
    <row r="900" spans="1:20" x14ac:dyDescent="0.2">
      <c r="A900" t="s">
        <v>1084</v>
      </c>
      <c r="B900">
        <f>IF(COUNTIFS('United Data'!$A$3:$A$3390,B$1,'United Data'!$C$3:$C$3390,$A900)&gt;0,1,0)</f>
        <v>0</v>
      </c>
      <c r="C900">
        <f>IF(COUNTIFS('United Data'!$A$3:$A$3390,C$1,'United Data'!$C$3:$C$3390,$A900)&gt;0,1,0)</f>
        <v>0</v>
      </c>
      <c r="D900">
        <f>IF(COUNTIFS('United Data'!$A$3:$A$3390,D$1,'United Data'!$C$3:$C$3390,$A900)&gt;0,1,0)</f>
        <v>0</v>
      </c>
      <c r="E900">
        <f>IF(COUNTIFS('United Data'!$A$3:$A$3390,E$1,'United Data'!$C$3:$C$3390,$A900)&gt;0,1,0)</f>
        <v>0</v>
      </c>
      <c r="F900">
        <f>IF(COUNTIFS('United Data'!$A$3:$A$3390,F$1,'United Data'!$C$3:$C$3390,$A900)&gt;0,1,0)</f>
        <v>0</v>
      </c>
      <c r="G900">
        <f>IF(COUNTIFS('United Data'!$A$3:$A$3390,G$1,'United Data'!$C$3:$C$3390,$A900)&gt;0,1,0)</f>
        <v>0</v>
      </c>
      <c r="H900">
        <f>IF(COUNTIFS('United Data'!$A$3:$A$3390,H$1,'United Data'!$C$3:$C$3390,$A900)&gt;0,1,0)</f>
        <v>0</v>
      </c>
      <c r="I900">
        <f>IF(COUNTIFS('United Data'!$A$3:$A$3390,I$1,'United Data'!$C$3:$C$3390,$A900)&gt;0,1,0)</f>
        <v>0</v>
      </c>
      <c r="J900">
        <f>IF(COUNTIFS('United Data'!$A$3:$A$3390,J$1,'United Data'!$C$3:$C$3390,$A900)&gt;0,1,0)</f>
        <v>0</v>
      </c>
      <c r="K900">
        <f>IF(COUNTIFS('United Data'!$A$3:$A$3390,K$1,'United Data'!$C$3:$C$3390,$A900)&gt;0,1,0)</f>
        <v>0</v>
      </c>
      <c r="L900">
        <f>IF(COUNTIFS('United Data'!$A$3:$A$3390,L$1,'United Data'!$C$3:$C$3390,$A900)&gt;0,1,0)</f>
        <v>0</v>
      </c>
      <c r="M900">
        <f>IF(COUNTIFS('United Data'!$A$3:$A$3390,M$1,'United Data'!$C$3:$C$3390,$A900)&gt;0,1,0)</f>
        <v>0</v>
      </c>
      <c r="N900">
        <f>IF(COUNTIFS('United Data'!$A$3:$A$3390,N$1,'United Data'!$C$3:$C$3390,$A900)&gt;0,1,0)</f>
        <v>1</v>
      </c>
      <c r="O900">
        <f>IF(COUNTIFS('United Data'!$A$3:$A$3390,O$1,'United Data'!$C$3:$C$3390,$A900)&gt;0,1,0)</f>
        <v>0</v>
      </c>
      <c r="P900">
        <f>IF(COUNTIFS('United Data'!$A$3:$A$3390,P$1,'United Data'!$C$3:$C$3390,$A900)&gt;0,1,0)</f>
        <v>0</v>
      </c>
      <c r="Q900">
        <f>IF(COUNTIFS('United Data'!$A$3:$A$3390,Q$1,'United Data'!$C$3:$C$3390,$A900)&gt;0,1,0)</f>
        <v>0</v>
      </c>
      <c r="R900">
        <f>IF(COUNTIFS('United Data'!$A$3:$A$3390,R$1,'United Data'!$C$3:$C$3390,$A900)&gt;0,1,0)</f>
        <v>0</v>
      </c>
      <c r="S900">
        <f t="shared" si="28"/>
        <v>1</v>
      </c>
      <c r="T900">
        <f t="shared" si="29"/>
        <v>1</v>
      </c>
    </row>
    <row r="901" spans="1:20" x14ac:dyDescent="0.2">
      <c r="A901" t="s">
        <v>1085</v>
      </c>
      <c r="B901">
        <f>IF(COUNTIFS('United Data'!$A$3:$A$3390,B$1,'United Data'!$C$3:$C$3390,$A901)&gt;0,1,0)</f>
        <v>0</v>
      </c>
      <c r="C901">
        <f>IF(COUNTIFS('United Data'!$A$3:$A$3390,C$1,'United Data'!$C$3:$C$3390,$A901)&gt;0,1,0)</f>
        <v>0</v>
      </c>
      <c r="D901">
        <f>IF(COUNTIFS('United Data'!$A$3:$A$3390,D$1,'United Data'!$C$3:$C$3390,$A901)&gt;0,1,0)</f>
        <v>0</v>
      </c>
      <c r="E901">
        <f>IF(COUNTIFS('United Data'!$A$3:$A$3390,E$1,'United Data'!$C$3:$C$3390,$A901)&gt;0,1,0)</f>
        <v>0</v>
      </c>
      <c r="F901">
        <f>IF(COUNTIFS('United Data'!$A$3:$A$3390,F$1,'United Data'!$C$3:$C$3390,$A901)&gt;0,1,0)</f>
        <v>0</v>
      </c>
      <c r="G901">
        <f>IF(COUNTIFS('United Data'!$A$3:$A$3390,G$1,'United Data'!$C$3:$C$3390,$A901)&gt;0,1,0)</f>
        <v>0</v>
      </c>
      <c r="H901">
        <f>IF(COUNTIFS('United Data'!$A$3:$A$3390,H$1,'United Data'!$C$3:$C$3390,$A901)&gt;0,1,0)</f>
        <v>0</v>
      </c>
      <c r="I901">
        <f>IF(COUNTIFS('United Data'!$A$3:$A$3390,I$1,'United Data'!$C$3:$C$3390,$A901)&gt;0,1,0)</f>
        <v>0</v>
      </c>
      <c r="J901">
        <f>IF(COUNTIFS('United Data'!$A$3:$A$3390,J$1,'United Data'!$C$3:$C$3390,$A901)&gt;0,1,0)</f>
        <v>0</v>
      </c>
      <c r="K901">
        <f>IF(COUNTIFS('United Data'!$A$3:$A$3390,K$1,'United Data'!$C$3:$C$3390,$A901)&gt;0,1,0)</f>
        <v>0</v>
      </c>
      <c r="L901">
        <f>IF(COUNTIFS('United Data'!$A$3:$A$3390,L$1,'United Data'!$C$3:$C$3390,$A901)&gt;0,1,0)</f>
        <v>0</v>
      </c>
      <c r="M901">
        <f>IF(COUNTIFS('United Data'!$A$3:$A$3390,M$1,'United Data'!$C$3:$C$3390,$A901)&gt;0,1,0)</f>
        <v>0</v>
      </c>
      <c r="N901">
        <f>IF(COUNTIFS('United Data'!$A$3:$A$3390,N$1,'United Data'!$C$3:$C$3390,$A901)&gt;0,1,0)</f>
        <v>1</v>
      </c>
      <c r="O901">
        <f>IF(COUNTIFS('United Data'!$A$3:$A$3390,O$1,'United Data'!$C$3:$C$3390,$A901)&gt;0,1,0)</f>
        <v>1</v>
      </c>
      <c r="P901">
        <f>IF(COUNTIFS('United Data'!$A$3:$A$3390,P$1,'United Data'!$C$3:$C$3390,$A901)&gt;0,1,0)</f>
        <v>0</v>
      </c>
      <c r="Q901">
        <f>IF(COUNTIFS('United Data'!$A$3:$A$3390,Q$1,'United Data'!$C$3:$C$3390,$A901)&gt;0,1,0)</f>
        <v>1</v>
      </c>
      <c r="R901">
        <f>IF(COUNTIFS('United Data'!$A$3:$A$3390,R$1,'United Data'!$C$3:$C$3390,$A901)&gt;0,1,0)</f>
        <v>1</v>
      </c>
      <c r="S901">
        <f t="shared" si="28"/>
        <v>4</v>
      </c>
      <c r="T901">
        <f t="shared" si="29"/>
        <v>2</v>
      </c>
    </row>
    <row r="902" spans="1:20" x14ac:dyDescent="0.2">
      <c r="A902" t="s">
        <v>1086</v>
      </c>
      <c r="B902">
        <f>IF(COUNTIFS('United Data'!$A$3:$A$3390,B$1,'United Data'!$C$3:$C$3390,$A902)&gt;0,1,0)</f>
        <v>0</v>
      </c>
      <c r="C902">
        <f>IF(COUNTIFS('United Data'!$A$3:$A$3390,C$1,'United Data'!$C$3:$C$3390,$A902)&gt;0,1,0)</f>
        <v>0</v>
      </c>
      <c r="D902">
        <f>IF(COUNTIFS('United Data'!$A$3:$A$3390,D$1,'United Data'!$C$3:$C$3390,$A902)&gt;0,1,0)</f>
        <v>0</v>
      </c>
      <c r="E902">
        <f>IF(COUNTIFS('United Data'!$A$3:$A$3390,E$1,'United Data'!$C$3:$C$3390,$A902)&gt;0,1,0)</f>
        <v>0</v>
      </c>
      <c r="F902">
        <f>IF(COUNTIFS('United Data'!$A$3:$A$3390,F$1,'United Data'!$C$3:$C$3390,$A902)&gt;0,1,0)</f>
        <v>0</v>
      </c>
      <c r="G902">
        <f>IF(COUNTIFS('United Data'!$A$3:$A$3390,G$1,'United Data'!$C$3:$C$3390,$A902)&gt;0,1,0)</f>
        <v>0</v>
      </c>
      <c r="H902">
        <f>IF(COUNTIFS('United Data'!$A$3:$A$3390,H$1,'United Data'!$C$3:$C$3390,$A902)&gt;0,1,0)</f>
        <v>0</v>
      </c>
      <c r="I902">
        <f>IF(COUNTIFS('United Data'!$A$3:$A$3390,I$1,'United Data'!$C$3:$C$3390,$A902)&gt;0,1,0)</f>
        <v>0</v>
      </c>
      <c r="J902">
        <f>IF(COUNTIFS('United Data'!$A$3:$A$3390,J$1,'United Data'!$C$3:$C$3390,$A902)&gt;0,1,0)</f>
        <v>0</v>
      </c>
      <c r="K902">
        <f>IF(COUNTIFS('United Data'!$A$3:$A$3390,K$1,'United Data'!$C$3:$C$3390,$A902)&gt;0,1,0)</f>
        <v>0</v>
      </c>
      <c r="L902">
        <f>IF(COUNTIFS('United Data'!$A$3:$A$3390,L$1,'United Data'!$C$3:$C$3390,$A902)&gt;0,1,0)</f>
        <v>0</v>
      </c>
      <c r="M902">
        <f>IF(COUNTIFS('United Data'!$A$3:$A$3390,M$1,'United Data'!$C$3:$C$3390,$A902)&gt;0,1,0)</f>
        <v>0</v>
      </c>
      <c r="N902">
        <f>IF(COUNTIFS('United Data'!$A$3:$A$3390,N$1,'United Data'!$C$3:$C$3390,$A902)&gt;0,1,0)</f>
        <v>1</v>
      </c>
      <c r="O902">
        <f>IF(COUNTIFS('United Data'!$A$3:$A$3390,O$1,'United Data'!$C$3:$C$3390,$A902)&gt;0,1,0)</f>
        <v>0</v>
      </c>
      <c r="P902">
        <f>IF(COUNTIFS('United Data'!$A$3:$A$3390,P$1,'United Data'!$C$3:$C$3390,$A902)&gt;0,1,0)</f>
        <v>0</v>
      </c>
      <c r="Q902">
        <f>IF(COUNTIFS('United Data'!$A$3:$A$3390,Q$1,'United Data'!$C$3:$C$3390,$A902)&gt;0,1,0)</f>
        <v>0</v>
      </c>
      <c r="R902">
        <f>IF(COUNTIFS('United Data'!$A$3:$A$3390,R$1,'United Data'!$C$3:$C$3390,$A902)&gt;0,1,0)</f>
        <v>0</v>
      </c>
      <c r="S902">
        <f t="shared" si="28"/>
        <v>1</v>
      </c>
      <c r="T902">
        <f t="shared" si="29"/>
        <v>1</v>
      </c>
    </row>
    <row r="903" spans="1:20" x14ac:dyDescent="0.2">
      <c r="A903" t="s">
        <v>1088</v>
      </c>
      <c r="B903">
        <f>IF(COUNTIFS('United Data'!$A$3:$A$3390,B$1,'United Data'!$C$3:$C$3390,$A903)&gt;0,1,0)</f>
        <v>0</v>
      </c>
      <c r="C903">
        <f>IF(COUNTIFS('United Data'!$A$3:$A$3390,C$1,'United Data'!$C$3:$C$3390,$A903)&gt;0,1,0)</f>
        <v>0</v>
      </c>
      <c r="D903">
        <f>IF(COUNTIFS('United Data'!$A$3:$A$3390,D$1,'United Data'!$C$3:$C$3390,$A903)&gt;0,1,0)</f>
        <v>0</v>
      </c>
      <c r="E903">
        <f>IF(COUNTIFS('United Data'!$A$3:$A$3390,E$1,'United Data'!$C$3:$C$3390,$A903)&gt;0,1,0)</f>
        <v>0</v>
      </c>
      <c r="F903">
        <f>IF(COUNTIFS('United Data'!$A$3:$A$3390,F$1,'United Data'!$C$3:$C$3390,$A903)&gt;0,1,0)</f>
        <v>0</v>
      </c>
      <c r="G903">
        <f>IF(COUNTIFS('United Data'!$A$3:$A$3390,G$1,'United Data'!$C$3:$C$3390,$A903)&gt;0,1,0)</f>
        <v>0</v>
      </c>
      <c r="H903">
        <f>IF(COUNTIFS('United Data'!$A$3:$A$3390,H$1,'United Data'!$C$3:$C$3390,$A903)&gt;0,1,0)</f>
        <v>0</v>
      </c>
      <c r="I903">
        <f>IF(COUNTIFS('United Data'!$A$3:$A$3390,I$1,'United Data'!$C$3:$C$3390,$A903)&gt;0,1,0)</f>
        <v>0</v>
      </c>
      <c r="J903">
        <f>IF(COUNTIFS('United Data'!$A$3:$A$3390,J$1,'United Data'!$C$3:$C$3390,$A903)&gt;0,1,0)</f>
        <v>0</v>
      </c>
      <c r="K903">
        <f>IF(COUNTIFS('United Data'!$A$3:$A$3390,K$1,'United Data'!$C$3:$C$3390,$A903)&gt;0,1,0)</f>
        <v>0</v>
      </c>
      <c r="L903">
        <f>IF(COUNTIFS('United Data'!$A$3:$A$3390,L$1,'United Data'!$C$3:$C$3390,$A903)&gt;0,1,0)</f>
        <v>0</v>
      </c>
      <c r="M903">
        <f>IF(COUNTIFS('United Data'!$A$3:$A$3390,M$1,'United Data'!$C$3:$C$3390,$A903)&gt;0,1,0)</f>
        <v>0</v>
      </c>
      <c r="N903">
        <f>IF(COUNTIFS('United Data'!$A$3:$A$3390,N$1,'United Data'!$C$3:$C$3390,$A903)&gt;0,1,0)</f>
        <v>0</v>
      </c>
      <c r="O903">
        <f>IF(COUNTIFS('United Data'!$A$3:$A$3390,O$1,'United Data'!$C$3:$C$3390,$A903)&gt;0,1,0)</f>
        <v>1</v>
      </c>
      <c r="P903">
        <f>IF(COUNTIFS('United Data'!$A$3:$A$3390,P$1,'United Data'!$C$3:$C$3390,$A903)&gt;0,1,0)</f>
        <v>0</v>
      </c>
      <c r="Q903">
        <f>IF(COUNTIFS('United Data'!$A$3:$A$3390,Q$1,'United Data'!$C$3:$C$3390,$A903)&gt;0,1,0)</f>
        <v>0</v>
      </c>
      <c r="R903">
        <f>IF(COUNTIFS('United Data'!$A$3:$A$3390,R$1,'United Data'!$C$3:$C$3390,$A903)&gt;0,1,0)</f>
        <v>0</v>
      </c>
      <c r="S903">
        <f t="shared" si="28"/>
        <v>1</v>
      </c>
      <c r="T903">
        <f t="shared" si="29"/>
        <v>1</v>
      </c>
    </row>
    <row r="904" spans="1:20" x14ac:dyDescent="0.2">
      <c r="A904" t="s">
        <v>1089</v>
      </c>
      <c r="B904">
        <f>IF(COUNTIFS('United Data'!$A$3:$A$3390,B$1,'United Data'!$C$3:$C$3390,$A904)&gt;0,1,0)</f>
        <v>0</v>
      </c>
      <c r="C904">
        <f>IF(COUNTIFS('United Data'!$A$3:$A$3390,C$1,'United Data'!$C$3:$C$3390,$A904)&gt;0,1,0)</f>
        <v>0</v>
      </c>
      <c r="D904">
        <f>IF(COUNTIFS('United Data'!$A$3:$A$3390,D$1,'United Data'!$C$3:$C$3390,$A904)&gt;0,1,0)</f>
        <v>0</v>
      </c>
      <c r="E904">
        <f>IF(COUNTIFS('United Data'!$A$3:$A$3390,E$1,'United Data'!$C$3:$C$3390,$A904)&gt;0,1,0)</f>
        <v>0</v>
      </c>
      <c r="F904">
        <f>IF(COUNTIFS('United Data'!$A$3:$A$3390,F$1,'United Data'!$C$3:$C$3390,$A904)&gt;0,1,0)</f>
        <v>0</v>
      </c>
      <c r="G904">
        <f>IF(COUNTIFS('United Data'!$A$3:$A$3390,G$1,'United Data'!$C$3:$C$3390,$A904)&gt;0,1,0)</f>
        <v>0</v>
      </c>
      <c r="H904">
        <f>IF(COUNTIFS('United Data'!$A$3:$A$3390,H$1,'United Data'!$C$3:$C$3390,$A904)&gt;0,1,0)</f>
        <v>0</v>
      </c>
      <c r="I904">
        <f>IF(COUNTIFS('United Data'!$A$3:$A$3390,I$1,'United Data'!$C$3:$C$3390,$A904)&gt;0,1,0)</f>
        <v>0</v>
      </c>
      <c r="J904">
        <f>IF(COUNTIFS('United Data'!$A$3:$A$3390,J$1,'United Data'!$C$3:$C$3390,$A904)&gt;0,1,0)</f>
        <v>0</v>
      </c>
      <c r="K904">
        <f>IF(COUNTIFS('United Data'!$A$3:$A$3390,K$1,'United Data'!$C$3:$C$3390,$A904)&gt;0,1,0)</f>
        <v>0</v>
      </c>
      <c r="L904">
        <f>IF(COUNTIFS('United Data'!$A$3:$A$3390,L$1,'United Data'!$C$3:$C$3390,$A904)&gt;0,1,0)</f>
        <v>0</v>
      </c>
      <c r="M904">
        <f>IF(COUNTIFS('United Data'!$A$3:$A$3390,M$1,'United Data'!$C$3:$C$3390,$A904)&gt;0,1,0)</f>
        <v>0</v>
      </c>
      <c r="N904">
        <f>IF(COUNTIFS('United Data'!$A$3:$A$3390,N$1,'United Data'!$C$3:$C$3390,$A904)&gt;0,1,0)</f>
        <v>0</v>
      </c>
      <c r="O904">
        <f>IF(COUNTIFS('United Data'!$A$3:$A$3390,O$1,'United Data'!$C$3:$C$3390,$A904)&gt;0,1,0)</f>
        <v>0</v>
      </c>
      <c r="P904">
        <f>IF(COUNTIFS('United Data'!$A$3:$A$3390,P$1,'United Data'!$C$3:$C$3390,$A904)&gt;0,1,0)</f>
        <v>1</v>
      </c>
      <c r="Q904">
        <f>IF(COUNTIFS('United Data'!$A$3:$A$3390,Q$1,'United Data'!$C$3:$C$3390,$A904)&gt;0,1,0)</f>
        <v>0</v>
      </c>
      <c r="R904">
        <f>IF(COUNTIFS('United Data'!$A$3:$A$3390,R$1,'United Data'!$C$3:$C$3390,$A904)&gt;0,1,0)</f>
        <v>0</v>
      </c>
      <c r="S904">
        <f t="shared" si="28"/>
        <v>1</v>
      </c>
      <c r="T904">
        <f t="shared" si="29"/>
        <v>1</v>
      </c>
    </row>
    <row r="905" spans="1:20" x14ac:dyDescent="0.2">
      <c r="A905" t="s">
        <v>1090</v>
      </c>
      <c r="B905">
        <f>IF(COUNTIFS('United Data'!$A$3:$A$3390,B$1,'United Data'!$C$3:$C$3390,$A905)&gt;0,1,0)</f>
        <v>0</v>
      </c>
      <c r="C905">
        <f>IF(COUNTIFS('United Data'!$A$3:$A$3390,C$1,'United Data'!$C$3:$C$3390,$A905)&gt;0,1,0)</f>
        <v>0</v>
      </c>
      <c r="D905">
        <f>IF(COUNTIFS('United Data'!$A$3:$A$3390,D$1,'United Data'!$C$3:$C$3390,$A905)&gt;0,1,0)</f>
        <v>0</v>
      </c>
      <c r="E905">
        <f>IF(COUNTIFS('United Data'!$A$3:$A$3390,E$1,'United Data'!$C$3:$C$3390,$A905)&gt;0,1,0)</f>
        <v>0</v>
      </c>
      <c r="F905">
        <f>IF(COUNTIFS('United Data'!$A$3:$A$3390,F$1,'United Data'!$C$3:$C$3390,$A905)&gt;0,1,0)</f>
        <v>0</v>
      </c>
      <c r="G905">
        <f>IF(COUNTIFS('United Data'!$A$3:$A$3390,G$1,'United Data'!$C$3:$C$3390,$A905)&gt;0,1,0)</f>
        <v>0</v>
      </c>
      <c r="H905">
        <f>IF(COUNTIFS('United Data'!$A$3:$A$3390,H$1,'United Data'!$C$3:$C$3390,$A905)&gt;0,1,0)</f>
        <v>0</v>
      </c>
      <c r="I905">
        <f>IF(COUNTIFS('United Data'!$A$3:$A$3390,I$1,'United Data'!$C$3:$C$3390,$A905)&gt;0,1,0)</f>
        <v>0</v>
      </c>
      <c r="J905">
        <f>IF(COUNTIFS('United Data'!$A$3:$A$3390,J$1,'United Data'!$C$3:$C$3390,$A905)&gt;0,1,0)</f>
        <v>0</v>
      </c>
      <c r="K905">
        <f>IF(COUNTIFS('United Data'!$A$3:$A$3390,K$1,'United Data'!$C$3:$C$3390,$A905)&gt;0,1,0)</f>
        <v>0</v>
      </c>
      <c r="L905">
        <f>IF(COUNTIFS('United Data'!$A$3:$A$3390,L$1,'United Data'!$C$3:$C$3390,$A905)&gt;0,1,0)</f>
        <v>0</v>
      </c>
      <c r="M905">
        <f>IF(COUNTIFS('United Data'!$A$3:$A$3390,M$1,'United Data'!$C$3:$C$3390,$A905)&gt;0,1,0)</f>
        <v>0</v>
      </c>
      <c r="N905">
        <f>IF(COUNTIFS('United Data'!$A$3:$A$3390,N$1,'United Data'!$C$3:$C$3390,$A905)&gt;0,1,0)</f>
        <v>0</v>
      </c>
      <c r="O905">
        <f>IF(COUNTIFS('United Data'!$A$3:$A$3390,O$1,'United Data'!$C$3:$C$3390,$A905)&gt;0,1,0)</f>
        <v>0</v>
      </c>
      <c r="P905">
        <f>IF(COUNTIFS('United Data'!$A$3:$A$3390,P$1,'United Data'!$C$3:$C$3390,$A905)&gt;0,1,0)</f>
        <v>1</v>
      </c>
      <c r="Q905">
        <f>IF(COUNTIFS('United Data'!$A$3:$A$3390,Q$1,'United Data'!$C$3:$C$3390,$A905)&gt;0,1,0)</f>
        <v>0</v>
      </c>
      <c r="R905">
        <f>IF(COUNTIFS('United Data'!$A$3:$A$3390,R$1,'United Data'!$C$3:$C$3390,$A905)&gt;0,1,0)</f>
        <v>0</v>
      </c>
      <c r="S905">
        <f t="shared" si="28"/>
        <v>1</v>
      </c>
      <c r="T905">
        <f t="shared" si="29"/>
        <v>1</v>
      </c>
    </row>
    <row r="906" spans="1:20" x14ac:dyDescent="0.2">
      <c r="A906" t="s">
        <v>1093</v>
      </c>
      <c r="B906">
        <f>IF(COUNTIFS('United Data'!$A$3:$A$3390,B$1,'United Data'!$C$3:$C$3390,$A906)&gt;0,1,0)</f>
        <v>0</v>
      </c>
      <c r="C906">
        <f>IF(COUNTIFS('United Data'!$A$3:$A$3390,C$1,'United Data'!$C$3:$C$3390,$A906)&gt;0,1,0)</f>
        <v>0</v>
      </c>
      <c r="D906">
        <f>IF(COUNTIFS('United Data'!$A$3:$A$3390,D$1,'United Data'!$C$3:$C$3390,$A906)&gt;0,1,0)</f>
        <v>0</v>
      </c>
      <c r="E906">
        <f>IF(COUNTIFS('United Data'!$A$3:$A$3390,E$1,'United Data'!$C$3:$C$3390,$A906)&gt;0,1,0)</f>
        <v>0</v>
      </c>
      <c r="F906">
        <f>IF(COUNTIFS('United Data'!$A$3:$A$3390,F$1,'United Data'!$C$3:$C$3390,$A906)&gt;0,1,0)</f>
        <v>0</v>
      </c>
      <c r="G906">
        <f>IF(COUNTIFS('United Data'!$A$3:$A$3390,G$1,'United Data'!$C$3:$C$3390,$A906)&gt;0,1,0)</f>
        <v>0</v>
      </c>
      <c r="H906">
        <f>IF(COUNTIFS('United Data'!$A$3:$A$3390,H$1,'United Data'!$C$3:$C$3390,$A906)&gt;0,1,0)</f>
        <v>0</v>
      </c>
      <c r="I906">
        <f>IF(COUNTIFS('United Data'!$A$3:$A$3390,I$1,'United Data'!$C$3:$C$3390,$A906)&gt;0,1,0)</f>
        <v>0</v>
      </c>
      <c r="J906">
        <f>IF(COUNTIFS('United Data'!$A$3:$A$3390,J$1,'United Data'!$C$3:$C$3390,$A906)&gt;0,1,0)</f>
        <v>0</v>
      </c>
      <c r="K906">
        <f>IF(COUNTIFS('United Data'!$A$3:$A$3390,K$1,'United Data'!$C$3:$C$3390,$A906)&gt;0,1,0)</f>
        <v>0</v>
      </c>
      <c r="L906">
        <f>IF(COUNTIFS('United Data'!$A$3:$A$3390,L$1,'United Data'!$C$3:$C$3390,$A906)&gt;0,1,0)</f>
        <v>0</v>
      </c>
      <c r="M906">
        <f>IF(COUNTIFS('United Data'!$A$3:$A$3390,M$1,'United Data'!$C$3:$C$3390,$A906)&gt;0,1,0)</f>
        <v>0</v>
      </c>
      <c r="N906">
        <f>IF(COUNTIFS('United Data'!$A$3:$A$3390,N$1,'United Data'!$C$3:$C$3390,$A906)&gt;0,1,0)</f>
        <v>0</v>
      </c>
      <c r="O906">
        <f>IF(COUNTIFS('United Data'!$A$3:$A$3390,O$1,'United Data'!$C$3:$C$3390,$A906)&gt;0,1,0)</f>
        <v>0</v>
      </c>
      <c r="P906">
        <f>IF(COUNTIFS('United Data'!$A$3:$A$3390,P$1,'United Data'!$C$3:$C$3390,$A906)&gt;0,1,0)</f>
        <v>0</v>
      </c>
      <c r="Q906">
        <f>IF(COUNTIFS('United Data'!$A$3:$A$3390,Q$1,'United Data'!$C$3:$C$3390,$A906)&gt;0,1,0)</f>
        <v>1</v>
      </c>
      <c r="R906">
        <f>IF(COUNTIFS('United Data'!$A$3:$A$3390,R$1,'United Data'!$C$3:$C$3390,$A906)&gt;0,1,0)</f>
        <v>0</v>
      </c>
      <c r="S906">
        <f t="shared" si="28"/>
        <v>1</v>
      </c>
      <c r="T906">
        <f t="shared" si="29"/>
        <v>1</v>
      </c>
    </row>
    <row r="907" spans="1:20" x14ac:dyDescent="0.2">
      <c r="A907" t="s">
        <v>1094</v>
      </c>
      <c r="B907">
        <f>IF(COUNTIFS('United Data'!$A$3:$A$3390,B$1,'United Data'!$C$3:$C$3390,$A907)&gt;0,1,0)</f>
        <v>0</v>
      </c>
      <c r="C907">
        <f>IF(COUNTIFS('United Data'!$A$3:$A$3390,C$1,'United Data'!$C$3:$C$3390,$A907)&gt;0,1,0)</f>
        <v>0</v>
      </c>
      <c r="D907">
        <f>IF(COUNTIFS('United Data'!$A$3:$A$3390,D$1,'United Data'!$C$3:$C$3390,$A907)&gt;0,1,0)</f>
        <v>0</v>
      </c>
      <c r="E907">
        <f>IF(COUNTIFS('United Data'!$A$3:$A$3390,E$1,'United Data'!$C$3:$C$3390,$A907)&gt;0,1,0)</f>
        <v>0</v>
      </c>
      <c r="F907">
        <f>IF(COUNTIFS('United Data'!$A$3:$A$3390,F$1,'United Data'!$C$3:$C$3390,$A907)&gt;0,1,0)</f>
        <v>0</v>
      </c>
      <c r="G907">
        <f>IF(COUNTIFS('United Data'!$A$3:$A$3390,G$1,'United Data'!$C$3:$C$3390,$A907)&gt;0,1,0)</f>
        <v>1</v>
      </c>
      <c r="H907">
        <f>IF(COUNTIFS('United Data'!$A$3:$A$3390,H$1,'United Data'!$C$3:$C$3390,$A907)&gt;0,1,0)</f>
        <v>0</v>
      </c>
      <c r="I907">
        <f>IF(COUNTIFS('United Data'!$A$3:$A$3390,I$1,'United Data'!$C$3:$C$3390,$A907)&gt;0,1,0)</f>
        <v>0</v>
      </c>
      <c r="J907">
        <f>IF(COUNTIFS('United Data'!$A$3:$A$3390,J$1,'United Data'!$C$3:$C$3390,$A907)&gt;0,1,0)</f>
        <v>0</v>
      </c>
      <c r="K907">
        <f>IF(COUNTIFS('United Data'!$A$3:$A$3390,K$1,'United Data'!$C$3:$C$3390,$A907)&gt;0,1,0)</f>
        <v>0</v>
      </c>
      <c r="L907">
        <f>IF(COUNTIFS('United Data'!$A$3:$A$3390,L$1,'United Data'!$C$3:$C$3390,$A907)&gt;0,1,0)</f>
        <v>0</v>
      </c>
      <c r="M907">
        <f>IF(COUNTIFS('United Data'!$A$3:$A$3390,M$1,'United Data'!$C$3:$C$3390,$A907)&gt;0,1,0)</f>
        <v>0</v>
      </c>
      <c r="N907">
        <f>IF(COUNTIFS('United Data'!$A$3:$A$3390,N$1,'United Data'!$C$3:$C$3390,$A907)&gt;0,1,0)</f>
        <v>0</v>
      </c>
      <c r="O907">
        <f>IF(COUNTIFS('United Data'!$A$3:$A$3390,O$1,'United Data'!$C$3:$C$3390,$A907)&gt;0,1,0)</f>
        <v>0</v>
      </c>
      <c r="P907">
        <f>IF(COUNTIFS('United Data'!$A$3:$A$3390,P$1,'United Data'!$C$3:$C$3390,$A907)&gt;0,1,0)</f>
        <v>0</v>
      </c>
      <c r="Q907">
        <f>IF(COUNTIFS('United Data'!$A$3:$A$3390,Q$1,'United Data'!$C$3:$C$3390,$A907)&gt;0,1,0)</f>
        <v>1</v>
      </c>
      <c r="R907">
        <f>IF(COUNTIFS('United Data'!$A$3:$A$3390,R$1,'United Data'!$C$3:$C$3390,$A907)&gt;0,1,0)</f>
        <v>0</v>
      </c>
      <c r="S907">
        <f t="shared" si="28"/>
        <v>2</v>
      </c>
      <c r="T907">
        <f t="shared" si="29"/>
        <v>2</v>
      </c>
    </row>
    <row r="908" spans="1:20" x14ac:dyDescent="0.2">
      <c r="A908" t="s">
        <v>1095</v>
      </c>
      <c r="B908">
        <f>IF(COUNTIFS('United Data'!$A$3:$A$3390,B$1,'United Data'!$C$3:$C$3390,$A908)&gt;0,1,0)</f>
        <v>0</v>
      </c>
      <c r="C908">
        <f>IF(COUNTIFS('United Data'!$A$3:$A$3390,C$1,'United Data'!$C$3:$C$3390,$A908)&gt;0,1,0)</f>
        <v>0</v>
      </c>
      <c r="D908">
        <f>IF(COUNTIFS('United Data'!$A$3:$A$3390,D$1,'United Data'!$C$3:$C$3390,$A908)&gt;0,1,0)</f>
        <v>0</v>
      </c>
      <c r="E908">
        <f>IF(COUNTIFS('United Data'!$A$3:$A$3390,E$1,'United Data'!$C$3:$C$3390,$A908)&gt;0,1,0)</f>
        <v>0</v>
      </c>
      <c r="F908">
        <f>IF(COUNTIFS('United Data'!$A$3:$A$3390,F$1,'United Data'!$C$3:$C$3390,$A908)&gt;0,1,0)</f>
        <v>0</v>
      </c>
      <c r="G908">
        <f>IF(COUNTIFS('United Data'!$A$3:$A$3390,G$1,'United Data'!$C$3:$C$3390,$A908)&gt;0,1,0)</f>
        <v>0</v>
      </c>
      <c r="H908">
        <f>IF(COUNTIFS('United Data'!$A$3:$A$3390,H$1,'United Data'!$C$3:$C$3390,$A908)&gt;0,1,0)</f>
        <v>0</v>
      </c>
      <c r="I908">
        <f>IF(COUNTIFS('United Data'!$A$3:$A$3390,I$1,'United Data'!$C$3:$C$3390,$A908)&gt;0,1,0)</f>
        <v>0</v>
      </c>
      <c r="J908">
        <f>IF(COUNTIFS('United Data'!$A$3:$A$3390,J$1,'United Data'!$C$3:$C$3390,$A908)&gt;0,1,0)</f>
        <v>0</v>
      </c>
      <c r="K908">
        <f>IF(COUNTIFS('United Data'!$A$3:$A$3390,K$1,'United Data'!$C$3:$C$3390,$A908)&gt;0,1,0)</f>
        <v>0</v>
      </c>
      <c r="L908">
        <f>IF(COUNTIFS('United Data'!$A$3:$A$3390,L$1,'United Data'!$C$3:$C$3390,$A908)&gt;0,1,0)</f>
        <v>0</v>
      </c>
      <c r="M908">
        <f>IF(COUNTIFS('United Data'!$A$3:$A$3390,M$1,'United Data'!$C$3:$C$3390,$A908)&gt;0,1,0)</f>
        <v>0</v>
      </c>
      <c r="N908">
        <f>IF(COUNTIFS('United Data'!$A$3:$A$3390,N$1,'United Data'!$C$3:$C$3390,$A908)&gt;0,1,0)</f>
        <v>0</v>
      </c>
      <c r="O908">
        <f>IF(COUNTIFS('United Data'!$A$3:$A$3390,O$1,'United Data'!$C$3:$C$3390,$A908)&gt;0,1,0)</f>
        <v>0</v>
      </c>
      <c r="P908">
        <f>IF(COUNTIFS('United Data'!$A$3:$A$3390,P$1,'United Data'!$C$3:$C$3390,$A908)&gt;0,1,0)</f>
        <v>0</v>
      </c>
      <c r="Q908">
        <f>IF(COUNTIFS('United Data'!$A$3:$A$3390,Q$1,'United Data'!$C$3:$C$3390,$A908)&gt;0,1,0)</f>
        <v>1</v>
      </c>
      <c r="R908">
        <f>IF(COUNTIFS('United Data'!$A$3:$A$3390,R$1,'United Data'!$C$3:$C$3390,$A908)&gt;0,1,0)</f>
        <v>0</v>
      </c>
      <c r="S908">
        <f t="shared" si="28"/>
        <v>1</v>
      </c>
      <c r="T908">
        <f t="shared" si="29"/>
        <v>1</v>
      </c>
    </row>
    <row r="909" spans="1:20" x14ac:dyDescent="0.2">
      <c r="A909" t="s">
        <v>1096</v>
      </c>
      <c r="B909">
        <f>IF(COUNTIFS('United Data'!$A$3:$A$3390,B$1,'United Data'!$C$3:$C$3390,$A909)&gt;0,1,0)</f>
        <v>1</v>
      </c>
      <c r="C909">
        <f>IF(COUNTIFS('United Data'!$A$3:$A$3390,C$1,'United Data'!$C$3:$C$3390,$A909)&gt;0,1,0)</f>
        <v>0</v>
      </c>
      <c r="D909">
        <f>IF(COUNTIFS('United Data'!$A$3:$A$3390,D$1,'United Data'!$C$3:$C$3390,$A909)&gt;0,1,0)</f>
        <v>0</v>
      </c>
      <c r="E909">
        <f>IF(COUNTIFS('United Data'!$A$3:$A$3390,E$1,'United Data'!$C$3:$C$3390,$A909)&gt;0,1,0)</f>
        <v>0</v>
      </c>
      <c r="F909">
        <f>IF(COUNTIFS('United Data'!$A$3:$A$3390,F$1,'United Data'!$C$3:$C$3390,$A909)&gt;0,1,0)</f>
        <v>0</v>
      </c>
      <c r="G909">
        <f>IF(COUNTIFS('United Data'!$A$3:$A$3390,G$1,'United Data'!$C$3:$C$3390,$A909)&gt;0,1,0)</f>
        <v>0</v>
      </c>
      <c r="H909">
        <f>IF(COUNTIFS('United Data'!$A$3:$A$3390,H$1,'United Data'!$C$3:$C$3390,$A909)&gt;0,1,0)</f>
        <v>0</v>
      </c>
      <c r="I909">
        <f>IF(COUNTIFS('United Data'!$A$3:$A$3390,I$1,'United Data'!$C$3:$C$3390,$A909)&gt;0,1,0)</f>
        <v>0</v>
      </c>
      <c r="J909">
        <f>IF(COUNTIFS('United Data'!$A$3:$A$3390,J$1,'United Data'!$C$3:$C$3390,$A909)&gt;0,1,0)</f>
        <v>0</v>
      </c>
      <c r="K909">
        <f>IF(COUNTIFS('United Data'!$A$3:$A$3390,K$1,'United Data'!$C$3:$C$3390,$A909)&gt;0,1,0)</f>
        <v>0</v>
      </c>
      <c r="L909">
        <f>IF(COUNTIFS('United Data'!$A$3:$A$3390,L$1,'United Data'!$C$3:$C$3390,$A909)&gt;0,1,0)</f>
        <v>0</v>
      </c>
      <c r="M909">
        <f>IF(COUNTIFS('United Data'!$A$3:$A$3390,M$1,'United Data'!$C$3:$C$3390,$A909)&gt;0,1,0)</f>
        <v>0</v>
      </c>
      <c r="N909">
        <f>IF(COUNTIFS('United Data'!$A$3:$A$3390,N$1,'United Data'!$C$3:$C$3390,$A909)&gt;0,1,0)</f>
        <v>0</v>
      </c>
      <c r="O909">
        <f>IF(COUNTIFS('United Data'!$A$3:$A$3390,O$1,'United Data'!$C$3:$C$3390,$A909)&gt;0,1,0)</f>
        <v>0</v>
      </c>
      <c r="P909">
        <f>IF(COUNTIFS('United Data'!$A$3:$A$3390,P$1,'United Data'!$C$3:$C$3390,$A909)&gt;0,1,0)</f>
        <v>0</v>
      </c>
      <c r="Q909">
        <f>IF(COUNTIFS('United Data'!$A$3:$A$3390,Q$1,'United Data'!$C$3:$C$3390,$A909)&gt;0,1,0)</f>
        <v>0</v>
      </c>
      <c r="R909">
        <f>IF(COUNTIFS('United Data'!$A$3:$A$3390,R$1,'United Data'!$C$3:$C$3390,$A909)&gt;0,1,0)</f>
        <v>0</v>
      </c>
      <c r="S909">
        <f t="shared" si="28"/>
        <v>1</v>
      </c>
      <c r="T909">
        <f t="shared" si="29"/>
        <v>1</v>
      </c>
    </row>
    <row r="910" spans="1:20" x14ac:dyDescent="0.2">
      <c r="A910" t="s">
        <v>1097</v>
      </c>
      <c r="B910">
        <f>IF(COUNTIFS('United Data'!$A$3:$A$3390,B$1,'United Data'!$C$3:$C$3390,$A910)&gt;0,1,0)</f>
        <v>1</v>
      </c>
      <c r="C910">
        <f>IF(COUNTIFS('United Data'!$A$3:$A$3390,C$1,'United Data'!$C$3:$C$3390,$A910)&gt;0,1,0)</f>
        <v>0</v>
      </c>
      <c r="D910">
        <f>IF(COUNTIFS('United Data'!$A$3:$A$3390,D$1,'United Data'!$C$3:$C$3390,$A910)&gt;0,1,0)</f>
        <v>0</v>
      </c>
      <c r="E910">
        <f>IF(COUNTIFS('United Data'!$A$3:$A$3390,E$1,'United Data'!$C$3:$C$3390,$A910)&gt;0,1,0)</f>
        <v>0</v>
      </c>
      <c r="F910">
        <f>IF(COUNTIFS('United Data'!$A$3:$A$3390,F$1,'United Data'!$C$3:$C$3390,$A910)&gt;0,1,0)</f>
        <v>0</v>
      </c>
      <c r="G910">
        <f>IF(COUNTIFS('United Data'!$A$3:$A$3390,G$1,'United Data'!$C$3:$C$3390,$A910)&gt;0,1,0)</f>
        <v>0</v>
      </c>
      <c r="H910">
        <f>IF(COUNTIFS('United Data'!$A$3:$A$3390,H$1,'United Data'!$C$3:$C$3390,$A910)&gt;0,1,0)</f>
        <v>0</v>
      </c>
      <c r="I910">
        <f>IF(COUNTIFS('United Data'!$A$3:$A$3390,I$1,'United Data'!$C$3:$C$3390,$A910)&gt;0,1,0)</f>
        <v>0</v>
      </c>
      <c r="J910">
        <f>IF(COUNTIFS('United Data'!$A$3:$A$3390,J$1,'United Data'!$C$3:$C$3390,$A910)&gt;0,1,0)</f>
        <v>0</v>
      </c>
      <c r="K910">
        <f>IF(COUNTIFS('United Data'!$A$3:$A$3390,K$1,'United Data'!$C$3:$C$3390,$A910)&gt;0,1,0)</f>
        <v>0</v>
      </c>
      <c r="L910">
        <f>IF(COUNTIFS('United Data'!$A$3:$A$3390,L$1,'United Data'!$C$3:$C$3390,$A910)&gt;0,1,0)</f>
        <v>0</v>
      </c>
      <c r="M910">
        <f>IF(COUNTIFS('United Data'!$A$3:$A$3390,M$1,'United Data'!$C$3:$C$3390,$A910)&gt;0,1,0)</f>
        <v>0</v>
      </c>
      <c r="N910">
        <f>IF(COUNTIFS('United Data'!$A$3:$A$3390,N$1,'United Data'!$C$3:$C$3390,$A910)&gt;0,1,0)</f>
        <v>0</v>
      </c>
      <c r="O910">
        <f>IF(COUNTIFS('United Data'!$A$3:$A$3390,O$1,'United Data'!$C$3:$C$3390,$A910)&gt;0,1,0)</f>
        <v>0</v>
      </c>
      <c r="P910">
        <f>IF(COUNTIFS('United Data'!$A$3:$A$3390,P$1,'United Data'!$C$3:$C$3390,$A910)&gt;0,1,0)</f>
        <v>0</v>
      </c>
      <c r="Q910">
        <f>IF(COUNTIFS('United Data'!$A$3:$A$3390,Q$1,'United Data'!$C$3:$C$3390,$A910)&gt;0,1,0)</f>
        <v>0</v>
      </c>
      <c r="R910">
        <f>IF(COUNTIFS('United Data'!$A$3:$A$3390,R$1,'United Data'!$C$3:$C$3390,$A910)&gt;0,1,0)</f>
        <v>0</v>
      </c>
      <c r="S910">
        <f t="shared" si="28"/>
        <v>1</v>
      </c>
      <c r="T910">
        <f t="shared" si="29"/>
        <v>1</v>
      </c>
    </row>
    <row r="911" spans="1:20" x14ac:dyDescent="0.2">
      <c r="A911" t="s">
        <v>1098</v>
      </c>
      <c r="B911">
        <f>IF(COUNTIFS('United Data'!$A$3:$A$3390,B$1,'United Data'!$C$3:$C$3390,$A911)&gt;0,1,0)</f>
        <v>0</v>
      </c>
      <c r="C911">
        <f>IF(COUNTIFS('United Data'!$A$3:$A$3390,C$1,'United Data'!$C$3:$C$3390,$A911)&gt;0,1,0)</f>
        <v>1</v>
      </c>
      <c r="D911">
        <f>IF(COUNTIFS('United Data'!$A$3:$A$3390,D$1,'United Data'!$C$3:$C$3390,$A911)&gt;0,1,0)</f>
        <v>0</v>
      </c>
      <c r="E911">
        <f>IF(COUNTIFS('United Data'!$A$3:$A$3390,E$1,'United Data'!$C$3:$C$3390,$A911)&gt;0,1,0)</f>
        <v>0</v>
      </c>
      <c r="F911">
        <f>IF(COUNTIFS('United Data'!$A$3:$A$3390,F$1,'United Data'!$C$3:$C$3390,$A911)&gt;0,1,0)</f>
        <v>0</v>
      </c>
      <c r="G911">
        <f>IF(COUNTIFS('United Data'!$A$3:$A$3390,G$1,'United Data'!$C$3:$C$3390,$A911)&gt;0,1,0)</f>
        <v>0</v>
      </c>
      <c r="H911">
        <f>IF(COUNTIFS('United Data'!$A$3:$A$3390,H$1,'United Data'!$C$3:$C$3390,$A911)&gt;0,1,0)</f>
        <v>0</v>
      </c>
      <c r="I911">
        <f>IF(COUNTIFS('United Data'!$A$3:$A$3390,I$1,'United Data'!$C$3:$C$3390,$A911)&gt;0,1,0)</f>
        <v>0</v>
      </c>
      <c r="J911">
        <f>IF(COUNTIFS('United Data'!$A$3:$A$3390,J$1,'United Data'!$C$3:$C$3390,$A911)&gt;0,1,0)</f>
        <v>0</v>
      </c>
      <c r="K911">
        <f>IF(COUNTIFS('United Data'!$A$3:$A$3390,K$1,'United Data'!$C$3:$C$3390,$A911)&gt;0,1,0)</f>
        <v>0</v>
      </c>
      <c r="L911">
        <f>IF(COUNTIFS('United Data'!$A$3:$A$3390,L$1,'United Data'!$C$3:$C$3390,$A911)&gt;0,1,0)</f>
        <v>0</v>
      </c>
      <c r="M911">
        <f>IF(COUNTIFS('United Data'!$A$3:$A$3390,M$1,'United Data'!$C$3:$C$3390,$A911)&gt;0,1,0)</f>
        <v>0</v>
      </c>
      <c r="N911">
        <f>IF(COUNTIFS('United Data'!$A$3:$A$3390,N$1,'United Data'!$C$3:$C$3390,$A911)&gt;0,1,0)</f>
        <v>0</v>
      </c>
      <c r="O911">
        <f>IF(COUNTIFS('United Data'!$A$3:$A$3390,O$1,'United Data'!$C$3:$C$3390,$A911)&gt;0,1,0)</f>
        <v>0</v>
      </c>
      <c r="P911">
        <f>IF(COUNTIFS('United Data'!$A$3:$A$3390,P$1,'United Data'!$C$3:$C$3390,$A911)&gt;0,1,0)</f>
        <v>0</v>
      </c>
      <c r="Q911">
        <f>IF(COUNTIFS('United Data'!$A$3:$A$3390,Q$1,'United Data'!$C$3:$C$3390,$A911)&gt;0,1,0)</f>
        <v>0</v>
      </c>
      <c r="R911">
        <f>IF(COUNTIFS('United Data'!$A$3:$A$3390,R$1,'United Data'!$C$3:$C$3390,$A911)&gt;0,1,0)</f>
        <v>0</v>
      </c>
      <c r="S911">
        <f t="shared" si="28"/>
        <v>1</v>
      </c>
      <c r="T911">
        <f t="shared" si="29"/>
        <v>1</v>
      </c>
    </row>
    <row r="912" spans="1:20" x14ac:dyDescent="0.2">
      <c r="A912" t="s">
        <v>1100</v>
      </c>
      <c r="B912">
        <f>IF(COUNTIFS('United Data'!$A$3:$A$3390,B$1,'United Data'!$C$3:$C$3390,$A912)&gt;0,1,0)</f>
        <v>0</v>
      </c>
      <c r="C912">
        <f>IF(COUNTIFS('United Data'!$A$3:$A$3390,C$1,'United Data'!$C$3:$C$3390,$A912)&gt;0,1,0)</f>
        <v>0</v>
      </c>
      <c r="D912">
        <f>IF(COUNTIFS('United Data'!$A$3:$A$3390,D$1,'United Data'!$C$3:$C$3390,$A912)&gt;0,1,0)</f>
        <v>1</v>
      </c>
      <c r="E912">
        <f>IF(COUNTIFS('United Data'!$A$3:$A$3390,E$1,'United Data'!$C$3:$C$3390,$A912)&gt;0,1,0)</f>
        <v>1</v>
      </c>
      <c r="F912">
        <f>IF(COUNTIFS('United Data'!$A$3:$A$3390,F$1,'United Data'!$C$3:$C$3390,$A912)&gt;0,1,0)</f>
        <v>1</v>
      </c>
      <c r="G912">
        <f>IF(COUNTIFS('United Data'!$A$3:$A$3390,G$1,'United Data'!$C$3:$C$3390,$A912)&gt;0,1,0)</f>
        <v>1</v>
      </c>
      <c r="H912">
        <f>IF(COUNTIFS('United Data'!$A$3:$A$3390,H$1,'United Data'!$C$3:$C$3390,$A912)&gt;0,1,0)</f>
        <v>0</v>
      </c>
      <c r="I912">
        <f>IF(COUNTIFS('United Data'!$A$3:$A$3390,I$1,'United Data'!$C$3:$C$3390,$A912)&gt;0,1,0)</f>
        <v>1</v>
      </c>
      <c r="J912">
        <f>IF(COUNTIFS('United Data'!$A$3:$A$3390,J$1,'United Data'!$C$3:$C$3390,$A912)&gt;0,1,0)</f>
        <v>1</v>
      </c>
      <c r="K912">
        <f>IF(COUNTIFS('United Data'!$A$3:$A$3390,K$1,'United Data'!$C$3:$C$3390,$A912)&gt;0,1,0)</f>
        <v>0</v>
      </c>
      <c r="L912">
        <f>IF(COUNTIFS('United Data'!$A$3:$A$3390,L$1,'United Data'!$C$3:$C$3390,$A912)&gt;0,1,0)</f>
        <v>0</v>
      </c>
      <c r="M912">
        <f>IF(COUNTIFS('United Data'!$A$3:$A$3390,M$1,'United Data'!$C$3:$C$3390,$A912)&gt;0,1,0)</f>
        <v>1</v>
      </c>
      <c r="N912">
        <f>IF(COUNTIFS('United Data'!$A$3:$A$3390,N$1,'United Data'!$C$3:$C$3390,$A912)&gt;0,1,0)</f>
        <v>0</v>
      </c>
      <c r="O912">
        <f>IF(COUNTIFS('United Data'!$A$3:$A$3390,O$1,'United Data'!$C$3:$C$3390,$A912)&gt;0,1,0)</f>
        <v>0</v>
      </c>
      <c r="P912">
        <f>IF(COUNTIFS('United Data'!$A$3:$A$3390,P$1,'United Data'!$C$3:$C$3390,$A912)&gt;0,1,0)</f>
        <v>0</v>
      </c>
      <c r="Q912">
        <f>IF(COUNTIFS('United Data'!$A$3:$A$3390,Q$1,'United Data'!$C$3:$C$3390,$A912)&gt;0,1,0)</f>
        <v>0</v>
      </c>
      <c r="R912">
        <f>IF(COUNTIFS('United Data'!$A$3:$A$3390,R$1,'United Data'!$C$3:$C$3390,$A912)&gt;0,1,0)</f>
        <v>0</v>
      </c>
      <c r="S912">
        <f t="shared" si="28"/>
        <v>7</v>
      </c>
      <c r="T912">
        <f t="shared" si="29"/>
        <v>3</v>
      </c>
    </row>
    <row r="913" spans="1:20" x14ac:dyDescent="0.2">
      <c r="A913" t="s">
        <v>1101</v>
      </c>
      <c r="B913">
        <f>IF(COUNTIFS('United Data'!$A$3:$A$3390,B$1,'United Data'!$C$3:$C$3390,$A913)&gt;0,1,0)</f>
        <v>0</v>
      </c>
      <c r="C913">
        <f>IF(COUNTIFS('United Data'!$A$3:$A$3390,C$1,'United Data'!$C$3:$C$3390,$A913)&gt;0,1,0)</f>
        <v>0</v>
      </c>
      <c r="D913">
        <f>IF(COUNTIFS('United Data'!$A$3:$A$3390,D$1,'United Data'!$C$3:$C$3390,$A913)&gt;0,1,0)</f>
        <v>1</v>
      </c>
      <c r="E913">
        <f>IF(COUNTIFS('United Data'!$A$3:$A$3390,E$1,'United Data'!$C$3:$C$3390,$A913)&gt;0,1,0)</f>
        <v>1</v>
      </c>
      <c r="F913">
        <f>IF(COUNTIFS('United Data'!$A$3:$A$3390,F$1,'United Data'!$C$3:$C$3390,$A913)&gt;0,1,0)</f>
        <v>1</v>
      </c>
      <c r="G913">
        <f>IF(COUNTIFS('United Data'!$A$3:$A$3390,G$1,'United Data'!$C$3:$C$3390,$A913)&gt;0,1,0)</f>
        <v>1</v>
      </c>
      <c r="H913">
        <f>IF(COUNTIFS('United Data'!$A$3:$A$3390,H$1,'United Data'!$C$3:$C$3390,$A913)&gt;0,1,0)</f>
        <v>1</v>
      </c>
      <c r="I913">
        <f>IF(COUNTIFS('United Data'!$A$3:$A$3390,I$1,'United Data'!$C$3:$C$3390,$A913)&gt;0,1,0)</f>
        <v>0</v>
      </c>
      <c r="J913">
        <f>IF(COUNTIFS('United Data'!$A$3:$A$3390,J$1,'United Data'!$C$3:$C$3390,$A913)&gt;0,1,0)</f>
        <v>0</v>
      </c>
      <c r="K913">
        <f>IF(COUNTIFS('United Data'!$A$3:$A$3390,K$1,'United Data'!$C$3:$C$3390,$A913)&gt;0,1,0)</f>
        <v>0</v>
      </c>
      <c r="L913">
        <f>IF(COUNTIFS('United Data'!$A$3:$A$3390,L$1,'United Data'!$C$3:$C$3390,$A913)&gt;0,1,0)</f>
        <v>0</v>
      </c>
      <c r="M913">
        <f>IF(COUNTIFS('United Data'!$A$3:$A$3390,M$1,'United Data'!$C$3:$C$3390,$A913)&gt;0,1,0)</f>
        <v>0</v>
      </c>
      <c r="N913">
        <f>IF(COUNTIFS('United Data'!$A$3:$A$3390,N$1,'United Data'!$C$3:$C$3390,$A913)&gt;0,1,0)</f>
        <v>0</v>
      </c>
      <c r="O913">
        <f>IF(COUNTIFS('United Data'!$A$3:$A$3390,O$1,'United Data'!$C$3:$C$3390,$A913)&gt;0,1,0)</f>
        <v>0</v>
      </c>
      <c r="P913">
        <f>IF(COUNTIFS('United Data'!$A$3:$A$3390,P$1,'United Data'!$C$3:$C$3390,$A913)&gt;0,1,0)</f>
        <v>0</v>
      </c>
      <c r="Q913">
        <f>IF(COUNTIFS('United Data'!$A$3:$A$3390,Q$1,'United Data'!$C$3:$C$3390,$A913)&gt;0,1,0)</f>
        <v>0</v>
      </c>
      <c r="R913">
        <f>IF(COUNTIFS('United Data'!$A$3:$A$3390,R$1,'United Data'!$C$3:$C$3390,$A913)&gt;0,1,0)</f>
        <v>0</v>
      </c>
      <c r="S913">
        <f t="shared" si="28"/>
        <v>5</v>
      </c>
      <c r="T913">
        <f t="shared" si="29"/>
        <v>1</v>
      </c>
    </row>
    <row r="914" spans="1:20" x14ac:dyDescent="0.2">
      <c r="A914" t="s">
        <v>1102</v>
      </c>
      <c r="B914">
        <f>IF(COUNTIFS('United Data'!$A$3:$A$3390,B$1,'United Data'!$C$3:$C$3390,$A914)&gt;0,1,0)</f>
        <v>0</v>
      </c>
      <c r="C914">
        <f>IF(COUNTIFS('United Data'!$A$3:$A$3390,C$1,'United Data'!$C$3:$C$3390,$A914)&gt;0,1,0)</f>
        <v>0</v>
      </c>
      <c r="D914">
        <f>IF(COUNTIFS('United Data'!$A$3:$A$3390,D$1,'United Data'!$C$3:$C$3390,$A914)&gt;0,1,0)</f>
        <v>1</v>
      </c>
      <c r="E914">
        <f>IF(COUNTIFS('United Data'!$A$3:$A$3390,E$1,'United Data'!$C$3:$C$3390,$A914)&gt;0,1,0)</f>
        <v>0</v>
      </c>
      <c r="F914">
        <f>IF(COUNTIFS('United Data'!$A$3:$A$3390,F$1,'United Data'!$C$3:$C$3390,$A914)&gt;0,1,0)</f>
        <v>0</v>
      </c>
      <c r="G914">
        <f>IF(COUNTIFS('United Data'!$A$3:$A$3390,G$1,'United Data'!$C$3:$C$3390,$A914)&gt;0,1,0)</f>
        <v>0</v>
      </c>
      <c r="H914">
        <f>IF(COUNTIFS('United Data'!$A$3:$A$3390,H$1,'United Data'!$C$3:$C$3390,$A914)&gt;0,1,0)</f>
        <v>1</v>
      </c>
      <c r="I914">
        <f>IF(COUNTIFS('United Data'!$A$3:$A$3390,I$1,'United Data'!$C$3:$C$3390,$A914)&gt;0,1,0)</f>
        <v>1</v>
      </c>
      <c r="J914">
        <f>IF(COUNTIFS('United Data'!$A$3:$A$3390,J$1,'United Data'!$C$3:$C$3390,$A914)&gt;0,1,0)</f>
        <v>0</v>
      </c>
      <c r="K914">
        <f>IF(COUNTIFS('United Data'!$A$3:$A$3390,K$1,'United Data'!$C$3:$C$3390,$A914)&gt;0,1,0)</f>
        <v>0</v>
      </c>
      <c r="L914">
        <f>IF(COUNTIFS('United Data'!$A$3:$A$3390,L$1,'United Data'!$C$3:$C$3390,$A914)&gt;0,1,0)</f>
        <v>0</v>
      </c>
      <c r="M914">
        <f>IF(COUNTIFS('United Data'!$A$3:$A$3390,M$1,'United Data'!$C$3:$C$3390,$A914)&gt;0,1,0)</f>
        <v>0</v>
      </c>
      <c r="N914">
        <f>IF(COUNTIFS('United Data'!$A$3:$A$3390,N$1,'United Data'!$C$3:$C$3390,$A914)&gt;0,1,0)</f>
        <v>0</v>
      </c>
      <c r="O914">
        <f>IF(COUNTIFS('United Data'!$A$3:$A$3390,O$1,'United Data'!$C$3:$C$3390,$A914)&gt;0,1,0)</f>
        <v>0</v>
      </c>
      <c r="P914">
        <f>IF(COUNTIFS('United Data'!$A$3:$A$3390,P$1,'United Data'!$C$3:$C$3390,$A914)&gt;0,1,0)</f>
        <v>0</v>
      </c>
      <c r="Q914">
        <f>IF(COUNTIFS('United Data'!$A$3:$A$3390,Q$1,'United Data'!$C$3:$C$3390,$A914)&gt;0,1,0)</f>
        <v>0</v>
      </c>
      <c r="R914">
        <f>IF(COUNTIFS('United Data'!$A$3:$A$3390,R$1,'United Data'!$C$3:$C$3390,$A914)&gt;0,1,0)</f>
        <v>0</v>
      </c>
      <c r="S914">
        <f t="shared" si="28"/>
        <v>3</v>
      </c>
      <c r="T914">
        <f t="shared" si="29"/>
        <v>2</v>
      </c>
    </row>
    <row r="915" spans="1:20" x14ac:dyDescent="0.2">
      <c r="A915" t="s">
        <v>1104</v>
      </c>
      <c r="B915">
        <f>IF(COUNTIFS('United Data'!$A$3:$A$3390,B$1,'United Data'!$C$3:$C$3390,$A915)&gt;0,1,0)</f>
        <v>0</v>
      </c>
      <c r="C915">
        <f>IF(COUNTIFS('United Data'!$A$3:$A$3390,C$1,'United Data'!$C$3:$C$3390,$A915)&gt;0,1,0)</f>
        <v>0</v>
      </c>
      <c r="D915">
        <f>IF(COUNTIFS('United Data'!$A$3:$A$3390,D$1,'United Data'!$C$3:$C$3390,$A915)&gt;0,1,0)</f>
        <v>1</v>
      </c>
      <c r="E915">
        <f>IF(COUNTIFS('United Data'!$A$3:$A$3390,E$1,'United Data'!$C$3:$C$3390,$A915)&gt;0,1,0)</f>
        <v>0</v>
      </c>
      <c r="F915">
        <f>IF(COUNTIFS('United Data'!$A$3:$A$3390,F$1,'United Data'!$C$3:$C$3390,$A915)&gt;0,1,0)</f>
        <v>0</v>
      </c>
      <c r="G915">
        <f>IF(COUNTIFS('United Data'!$A$3:$A$3390,G$1,'United Data'!$C$3:$C$3390,$A915)&gt;0,1,0)</f>
        <v>0</v>
      </c>
      <c r="H915">
        <f>IF(COUNTIFS('United Data'!$A$3:$A$3390,H$1,'United Data'!$C$3:$C$3390,$A915)&gt;0,1,0)</f>
        <v>0</v>
      </c>
      <c r="I915">
        <f>IF(COUNTIFS('United Data'!$A$3:$A$3390,I$1,'United Data'!$C$3:$C$3390,$A915)&gt;0,1,0)</f>
        <v>0</v>
      </c>
      <c r="J915">
        <f>IF(COUNTIFS('United Data'!$A$3:$A$3390,J$1,'United Data'!$C$3:$C$3390,$A915)&gt;0,1,0)</f>
        <v>0</v>
      </c>
      <c r="K915">
        <f>IF(COUNTIFS('United Data'!$A$3:$A$3390,K$1,'United Data'!$C$3:$C$3390,$A915)&gt;0,1,0)</f>
        <v>0</v>
      </c>
      <c r="L915">
        <f>IF(COUNTIFS('United Data'!$A$3:$A$3390,L$1,'United Data'!$C$3:$C$3390,$A915)&gt;0,1,0)</f>
        <v>0</v>
      </c>
      <c r="M915">
        <f>IF(COUNTIFS('United Data'!$A$3:$A$3390,M$1,'United Data'!$C$3:$C$3390,$A915)&gt;0,1,0)</f>
        <v>0</v>
      </c>
      <c r="N915">
        <f>IF(COUNTIFS('United Data'!$A$3:$A$3390,N$1,'United Data'!$C$3:$C$3390,$A915)&gt;0,1,0)</f>
        <v>0</v>
      </c>
      <c r="O915">
        <f>IF(COUNTIFS('United Data'!$A$3:$A$3390,O$1,'United Data'!$C$3:$C$3390,$A915)&gt;0,1,0)</f>
        <v>0</v>
      </c>
      <c r="P915">
        <f>IF(COUNTIFS('United Data'!$A$3:$A$3390,P$1,'United Data'!$C$3:$C$3390,$A915)&gt;0,1,0)</f>
        <v>0</v>
      </c>
      <c r="Q915">
        <f>IF(COUNTIFS('United Data'!$A$3:$A$3390,Q$1,'United Data'!$C$3:$C$3390,$A915)&gt;0,1,0)</f>
        <v>0</v>
      </c>
      <c r="R915">
        <f>IF(COUNTIFS('United Data'!$A$3:$A$3390,R$1,'United Data'!$C$3:$C$3390,$A915)&gt;0,1,0)</f>
        <v>0</v>
      </c>
      <c r="S915">
        <f t="shared" si="28"/>
        <v>1</v>
      </c>
      <c r="T915">
        <f t="shared" si="29"/>
        <v>1</v>
      </c>
    </row>
    <row r="916" spans="1:20" x14ac:dyDescent="0.2">
      <c r="A916" t="s">
        <v>1105</v>
      </c>
      <c r="B916">
        <f>IF(COUNTIFS('United Data'!$A$3:$A$3390,B$1,'United Data'!$C$3:$C$3390,$A916)&gt;0,1,0)</f>
        <v>0</v>
      </c>
      <c r="C916">
        <f>IF(COUNTIFS('United Data'!$A$3:$A$3390,C$1,'United Data'!$C$3:$C$3390,$A916)&gt;0,1,0)</f>
        <v>0</v>
      </c>
      <c r="D916">
        <f>IF(COUNTIFS('United Data'!$A$3:$A$3390,D$1,'United Data'!$C$3:$C$3390,$A916)&gt;0,1,0)</f>
        <v>1</v>
      </c>
      <c r="E916">
        <f>IF(COUNTIFS('United Data'!$A$3:$A$3390,E$1,'United Data'!$C$3:$C$3390,$A916)&gt;0,1,0)</f>
        <v>0</v>
      </c>
      <c r="F916">
        <f>IF(COUNTIFS('United Data'!$A$3:$A$3390,F$1,'United Data'!$C$3:$C$3390,$A916)&gt;0,1,0)</f>
        <v>0</v>
      </c>
      <c r="G916">
        <f>IF(COUNTIFS('United Data'!$A$3:$A$3390,G$1,'United Data'!$C$3:$C$3390,$A916)&gt;0,1,0)</f>
        <v>0</v>
      </c>
      <c r="H916">
        <f>IF(COUNTIFS('United Data'!$A$3:$A$3390,H$1,'United Data'!$C$3:$C$3390,$A916)&gt;0,1,0)</f>
        <v>0</v>
      </c>
      <c r="I916">
        <f>IF(COUNTIFS('United Data'!$A$3:$A$3390,I$1,'United Data'!$C$3:$C$3390,$A916)&gt;0,1,0)</f>
        <v>0</v>
      </c>
      <c r="J916">
        <f>IF(COUNTIFS('United Data'!$A$3:$A$3390,J$1,'United Data'!$C$3:$C$3390,$A916)&gt;0,1,0)</f>
        <v>0</v>
      </c>
      <c r="K916">
        <f>IF(COUNTIFS('United Data'!$A$3:$A$3390,K$1,'United Data'!$C$3:$C$3390,$A916)&gt;0,1,0)</f>
        <v>0</v>
      </c>
      <c r="L916">
        <f>IF(COUNTIFS('United Data'!$A$3:$A$3390,L$1,'United Data'!$C$3:$C$3390,$A916)&gt;0,1,0)</f>
        <v>0</v>
      </c>
      <c r="M916">
        <f>IF(COUNTIFS('United Data'!$A$3:$A$3390,M$1,'United Data'!$C$3:$C$3390,$A916)&gt;0,1,0)</f>
        <v>0</v>
      </c>
      <c r="N916">
        <f>IF(COUNTIFS('United Data'!$A$3:$A$3390,N$1,'United Data'!$C$3:$C$3390,$A916)&gt;0,1,0)</f>
        <v>0</v>
      </c>
      <c r="O916">
        <f>IF(COUNTIFS('United Data'!$A$3:$A$3390,O$1,'United Data'!$C$3:$C$3390,$A916)&gt;0,1,0)</f>
        <v>0</v>
      </c>
      <c r="P916">
        <f>IF(COUNTIFS('United Data'!$A$3:$A$3390,P$1,'United Data'!$C$3:$C$3390,$A916)&gt;0,1,0)</f>
        <v>0</v>
      </c>
      <c r="Q916">
        <f>IF(COUNTIFS('United Data'!$A$3:$A$3390,Q$1,'United Data'!$C$3:$C$3390,$A916)&gt;0,1,0)</f>
        <v>0</v>
      </c>
      <c r="R916">
        <f>IF(COUNTIFS('United Data'!$A$3:$A$3390,R$1,'United Data'!$C$3:$C$3390,$A916)&gt;0,1,0)</f>
        <v>0</v>
      </c>
      <c r="S916">
        <f t="shared" si="28"/>
        <v>1</v>
      </c>
      <c r="T916">
        <f t="shared" si="29"/>
        <v>1</v>
      </c>
    </row>
    <row r="917" spans="1:20" x14ac:dyDescent="0.2">
      <c r="A917" t="s">
        <v>1106</v>
      </c>
      <c r="B917">
        <f>IF(COUNTIFS('United Data'!$A$3:$A$3390,B$1,'United Data'!$C$3:$C$3390,$A917)&gt;0,1,0)</f>
        <v>0</v>
      </c>
      <c r="C917">
        <f>IF(COUNTIFS('United Data'!$A$3:$A$3390,C$1,'United Data'!$C$3:$C$3390,$A917)&gt;0,1,0)</f>
        <v>0</v>
      </c>
      <c r="D917">
        <f>IF(COUNTIFS('United Data'!$A$3:$A$3390,D$1,'United Data'!$C$3:$C$3390,$A917)&gt;0,1,0)</f>
        <v>1</v>
      </c>
      <c r="E917">
        <f>IF(COUNTIFS('United Data'!$A$3:$A$3390,E$1,'United Data'!$C$3:$C$3390,$A917)&gt;0,1,0)</f>
        <v>0</v>
      </c>
      <c r="F917">
        <f>IF(COUNTIFS('United Data'!$A$3:$A$3390,F$1,'United Data'!$C$3:$C$3390,$A917)&gt;0,1,0)</f>
        <v>0</v>
      </c>
      <c r="G917">
        <f>IF(COUNTIFS('United Data'!$A$3:$A$3390,G$1,'United Data'!$C$3:$C$3390,$A917)&gt;0,1,0)</f>
        <v>0</v>
      </c>
      <c r="H917">
        <f>IF(COUNTIFS('United Data'!$A$3:$A$3390,H$1,'United Data'!$C$3:$C$3390,$A917)&gt;0,1,0)</f>
        <v>0</v>
      </c>
      <c r="I917">
        <f>IF(COUNTIFS('United Data'!$A$3:$A$3390,I$1,'United Data'!$C$3:$C$3390,$A917)&gt;0,1,0)</f>
        <v>0</v>
      </c>
      <c r="J917">
        <f>IF(COUNTIFS('United Data'!$A$3:$A$3390,J$1,'United Data'!$C$3:$C$3390,$A917)&gt;0,1,0)</f>
        <v>0</v>
      </c>
      <c r="K917">
        <f>IF(COUNTIFS('United Data'!$A$3:$A$3390,K$1,'United Data'!$C$3:$C$3390,$A917)&gt;0,1,0)</f>
        <v>0</v>
      </c>
      <c r="L917">
        <f>IF(COUNTIFS('United Data'!$A$3:$A$3390,L$1,'United Data'!$C$3:$C$3390,$A917)&gt;0,1,0)</f>
        <v>0</v>
      </c>
      <c r="M917">
        <f>IF(COUNTIFS('United Data'!$A$3:$A$3390,M$1,'United Data'!$C$3:$C$3390,$A917)&gt;0,1,0)</f>
        <v>0</v>
      </c>
      <c r="N917">
        <f>IF(COUNTIFS('United Data'!$A$3:$A$3390,N$1,'United Data'!$C$3:$C$3390,$A917)&gt;0,1,0)</f>
        <v>0</v>
      </c>
      <c r="O917">
        <f>IF(COUNTIFS('United Data'!$A$3:$A$3390,O$1,'United Data'!$C$3:$C$3390,$A917)&gt;0,1,0)</f>
        <v>0</v>
      </c>
      <c r="P917">
        <f>IF(COUNTIFS('United Data'!$A$3:$A$3390,P$1,'United Data'!$C$3:$C$3390,$A917)&gt;0,1,0)</f>
        <v>0</v>
      </c>
      <c r="Q917">
        <f>IF(COUNTIFS('United Data'!$A$3:$A$3390,Q$1,'United Data'!$C$3:$C$3390,$A917)&gt;0,1,0)</f>
        <v>0</v>
      </c>
      <c r="R917">
        <f>IF(COUNTIFS('United Data'!$A$3:$A$3390,R$1,'United Data'!$C$3:$C$3390,$A917)&gt;0,1,0)</f>
        <v>0</v>
      </c>
      <c r="S917">
        <f t="shared" si="28"/>
        <v>1</v>
      </c>
      <c r="T917">
        <f t="shared" si="29"/>
        <v>1</v>
      </c>
    </row>
    <row r="918" spans="1:20" x14ac:dyDescent="0.2">
      <c r="A918" t="s">
        <v>1107</v>
      </c>
      <c r="B918">
        <f>IF(COUNTIFS('United Data'!$A$3:$A$3390,B$1,'United Data'!$C$3:$C$3390,$A918)&gt;0,1,0)</f>
        <v>0</v>
      </c>
      <c r="C918">
        <f>IF(COUNTIFS('United Data'!$A$3:$A$3390,C$1,'United Data'!$C$3:$C$3390,$A918)&gt;0,1,0)</f>
        <v>0</v>
      </c>
      <c r="D918">
        <f>IF(COUNTIFS('United Data'!$A$3:$A$3390,D$1,'United Data'!$C$3:$C$3390,$A918)&gt;0,1,0)</f>
        <v>1</v>
      </c>
      <c r="E918">
        <f>IF(COUNTIFS('United Data'!$A$3:$A$3390,E$1,'United Data'!$C$3:$C$3390,$A918)&gt;0,1,0)</f>
        <v>0</v>
      </c>
      <c r="F918">
        <f>IF(COUNTIFS('United Data'!$A$3:$A$3390,F$1,'United Data'!$C$3:$C$3390,$A918)&gt;0,1,0)</f>
        <v>0</v>
      </c>
      <c r="G918">
        <f>IF(COUNTIFS('United Data'!$A$3:$A$3390,G$1,'United Data'!$C$3:$C$3390,$A918)&gt;0,1,0)</f>
        <v>0</v>
      </c>
      <c r="H918">
        <f>IF(COUNTIFS('United Data'!$A$3:$A$3390,H$1,'United Data'!$C$3:$C$3390,$A918)&gt;0,1,0)</f>
        <v>0</v>
      </c>
      <c r="I918">
        <f>IF(COUNTIFS('United Data'!$A$3:$A$3390,I$1,'United Data'!$C$3:$C$3390,$A918)&gt;0,1,0)</f>
        <v>0</v>
      </c>
      <c r="J918">
        <f>IF(COUNTIFS('United Data'!$A$3:$A$3390,J$1,'United Data'!$C$3:$C$3390,$A918)&gt;0,1,0)</f>
        <v>0</v>
      </c>
      <c r="K918">
        <f>IF(COUNTIFS('United Data'!$A$3:$A$3390,K$1,'United Data'!$C$3:$C$3390,$A918)&gt;0,1,0)</f>
        <v>0</v>
      </c>
      <c r="L918">
        <f>IF(COUNTIFS('United Data'!$A$3:$A$3390,L$1,'United Data'!$C$3:$C$3390,$A918)&gt;0,1,0)</f>
        <v>0</v>
      </c>
      <c r="M918">
        <f>IF(COUNTIFS('United Data'!$A$3:$A$3390,M$1,'United Data'!$C$3:$C$3390,$A918)&gt;0,1,0)</f>
        <v>0</v>
      </c>
      <c r="N918">
        <f>IF(COUNTIFS('United Data'!$A$3:$A$3390,N$1,'United Data'!$C$3:$C$3390,$A918)&gt;0,1,0)</f>
        <v>0</v>
      </c>
      <c r="O918">
        <f>IF(COUNTIFS('United Data'!$A$3:$A$3390,O$1,'United Data'!$C$3:$C$3390,$A918)&gt;0,1,0)</f>
        <v>0</v>
      </c>
      <c r="P918">
        <f>IF(COUNTIFS('United Data'!$A$3:$A$3390,P$1,'United Data'!$C$3:$C$3390,$A918)&gt;0,1,0)</f>
        <v>0</v>
      </c>
      <c r="Q918">
        <f>IF(COUNTIFS('United Data'!$A$3:$A$3390,Q$1,'United Data'!$C$3:$C$3390,$A918)&gt;0,1,0)</f>
        <v>0</v>
      </c>
      <c r="R918">
        <f>IF(COUNTIFS('United Data'!$A$3:$A$3390,R$1,'United Data'!$C$3:$C$3390,$A918)&gt;0,1,0)</f>
        <v>0</v>
      </c>
      <c r="S918">
        <f t="shared" si="28"/>
        <v>1</v>
      </c>
      <c r="T918">
        <f t="shared" si="29"/>
        <v>1</v>
      </c>
    </row>
    <row r="919" spans="1:20" x14ac:dyDescent="0.2">
      <c r="A919" t="s">
        <v>1110</v>
      </c>
      <c r="B919">
        <f>IF(COUNTIFS('United Data'!$A$3:$A$3390,B$1,'United Data'!$C$3:$C$3390,$A919)&gt;0,1,0)</f>
        <v>0</v>
      </c>
      <c r="C919">
        <f>IF(COUNTIFS('United Data'!$A$3:$A$3390,C$1,'United Data'!$C$3:$C$3390,$A919)&gt;0,1,0)</f>
        <v>0</v>
      </c>
      <c r="D919">
        <f>IF(COUNTIFS('United Data'!$A$3:$A$3390,D$1,'United Data'!$C$3:$C$3390,$A919)&gt;0,1,0)</f>
        <v>0</v>
      </c>
      <c r="E919">
        <f>IF(COUNTIFS('United Data'!$A$3:$A$3390,E$1,'United Data'!$C$3:$C$3390,$A919)&gt;0,1,0)</f>
        <v>1</v>
      </c>
      <c r="F919">
        <f>IF(COUNTIFS('United Data'!$A$3:$A$3390,F$1,'United Data'!$C$3:$C$3390,$A919)&gt;0,1,0)</f>
        <v>0</v>
      </c>
      <c r="G919">
        <f>IF(COUNTIFS('United Data'!$A$3:$A$3390,G$1,'United Data'!$C$3:$C$3390,$A919)&gt;0,1,0)</f>
        <v>0</v>
      </c>
      <c r="H919">
        <f>IF(COUNTIFS('United Data'!$A$3:$A$3390,H$1,'United Data'!$C$3:$C$3390,$A919)&gt;0,1,0)</f>
        <v>0</v>
      </c>
      <c r="I919">
        <f>IF(COUNTIFS('United Data'!$A$3:$A$3390,I$1,'United Data'!$C$3:$C$3390,$A919)&gt;0,1,0)</f>
        <v>0</v>
      </c>
      <c r="J919">
        <f>IF(COUNTIFS('United Data'!$A$3:$A$3390,J$1,'United Data'!$C$3:$C$3390,$A919)&gt;0,1,0)</f>
        <v>0</v>
      </c>
      <c r="K919">
        <f>IF(COUNTIFS('United Data'!$A$3:$A$3390,K$1,'United Data'!$C$3:$C$3390,$A919)&gt;0,1,0)</f>
        <v>0</v>
      </c>
      <c r="L919">
        <f>IF(COUNTIFS('United Data'!$A$3:$A$3390,L$1,'United Data'!$C$3:$C$3390,$A919)&gt;0,1,0)</f>
        <v>0</v>
      </c>
      <c r="M919">
        <f>IF(COUNTIFS('United Data'!$A$3:$A$3390,M$1,'United Data'!$C$3:$C$3390,$A919)&gt;0,1,0)</f>
        <v>0</v>
      </c>
      <c r="N919">
        <f>IF(COUNTIFS('United Data'!$A$3:$A$3390,N$1,'United Data'!$C$3:$C$3390,$A919)&gt;0,1,0)</f>
        <v>0</v>
      </c>
      <c r="O919">
        <f>IF(COUNTIFS('United Data'!$A$3:$A$3390,O$1,'United Data'!$C$3:$C$3390,$A919)&gt;0,1,0)</f>
        <v>0</v>
      </c>
      <c r="P919">
        <f>IF(COUNTIFS('United Data'!$A$3:$A$3390,P$1,'United Data'!$C$3:$C$3390,$A919)&gt;0,1,0)</f>
        <v>0</v>
      </c>
      <c r="Q919">
        <f>IF(COUNTIFS('United Data'!$A$3:$A$3390,Q$1,'United Data'!$C$3:$C$3390,$A919)&gt;0,1,0)</f>
        <v>0</v>
      </c>
      <c r="R919">
        <f>IF(COUNTIFS('United Data'!$A$3:$A$3390,R$1,'United Data'!$C$3:$C$3390,$A919)&gt;0,1,0)</f>
        <v>0</v>
      </c>
      <c r="S919">
        <f t="shared" si="28"/>
        <v>1</v>
      </c>
      <c r="T919">
        <f t="shared" si="29"/>
        <v>1</v>
      </c>
    </row>
    <row r="920" spans="1:20" x14ac:dyDescent="0.2">
      <c r="A920" t="s">
        <v>1112</v>
      </c>
      <c r="B920">
        <f>IF(COUNTIFS('United Data'!$A$3:$A$3390,B$1,'United Data'!$C$3:$C$3390,$A920)&gt;0,1,0)</f>
        <v>0</v>
      </c>
      <c r="C920">
        <f>IF(COUNTIFS('United Data'!$A$3:$A$3390,C$1,'United Data'!$C$3:$C$3390,$A920)&gt;0,1,0)</f>
        <v>0</v>
      </c>
      <c r="D920">
        <f>IF(COUNTIFS('United Data'!$A$3:$A$3390,D$1,'United Data'!$C$3:$C$3390,$A920)&gt;0,1,0)</f>
        <v>0</v>
      </c>
      <c r="E920">
        <f>IF(COUNTIFS('United Data'!$A$3:$A$3390,E$1,'United Data'!$C$3:$C$3390,$A920)&gt;0,1,0)</f>
        <v>1</v>
      </c>
      <c r="F920">
        <f>IF(COUNTIFS('United Data'!$A$3:$A$3390,F$1,'United Data'!$C$3:$C$3390,$A920)&gt;0,1,0)</f>
        <v>0</v>
      </c>
      <c r="G920">
        <f>IF(COUNTIFS('United Data'!$A$3:$A$3390,G$1,'United Data'!$C$3:$C$3390,$A920)&gt;0,1,0)</f>
        <v>0</v>
      </c>
      <c r="H920">
        <f>IF(COUNTIFS('United Data'!$A$3:$A$3390,H$1,'United Data'!$C$3:$C$3390,$A920)&gt;0,1,0)</f>
        <v>0</v>
      </c>
      <c r="I920">
        <f>IF(COUNTIFS('United Data'!$A$3:$A$3390,I$1,'United Data'!$C$3:$C$3390,$A920)&gt;0,1,0)</f>
        <v>0</v>
      </c>
      <c r="J920">
        <f>IF(COUNTIFS('United Data'!$A$3:$A$3390,J$1,'United Data'!$C$3:$C$3390,$A920)&gt;0,1,0)</f>
        <v>0</v>
      </c>
      <c r="K920">
        <f>IF(COUNTIFS('United Data'!$A$3:$A$3390,K$1,'United Data'!$C$3:$C$3390,$A920)&gt;0,1,0)</f>
        <v>0</v>
      </c>
      <c r="L920">
        <f>IF(COUNTIFS('United Data'!$A$3:$A$3390,L$1,'United Data'!$C$3:$C$3390,$A920)&gt;0,1,0)</f>
        <v>0</v>
      </c>
      <c r="M920">
        <f>IF(COUNTIFS('United Data'!$A$3:$A$3390,M$1,'United Data'!$C$3:$C$3390,$A920)&gt;0,1,0)</f>
        <v>0</v>
      </c>
      <c r="N920">
        <f>IF(COUNTIFS('United Data'!$A$3:$A$3390,N$1,'United Data'!$C$3:$C$3390,$A920)&gt;0,1,0)</f>
        <v>0</v>
      </c>
      <c r="O920">
        <f>IF(COUNTIFS('United Data'!$A$3:$A$3390,O$1,'United Data'!$C$3:$C$3390,$A920)&gt;0,1,0)</f>
        <v>0</v>
      </c>
      <c r="P920">
        <f>IF(COUNTIFS('United Data'!$A$3:$A$3390,P$1,'United Data'!$C$3:$C$3390,$A920)&gt;0,1,0)</f>
        <v>0</v>
      </c>
      <c r="Q920">
        <f>IF(COUNTIFS('United Data'!$A$3:$A$3390,Q$1,'United Data'!$C$3:$C$3390,$A920)&gt;0,1,0)</f>
        <v>0</v>
      </c>
      <c r="R920">
        <f>IF(COUNTIFS('United Data'!$A$3:$A$3390,R$1,'United Data'!$C$3:$C$3390,$A920)&gt;0,1,0)</f>
        <v>0</v>
      </c>
      <c r="S920">
        <f t="shared" si="28"/>
        <v>1</v>
      </c>
      <c r="T920">
        <f t="shared" si="29"/>
        <v>1</v>
      </c>
    </row>
    <row r="921" spans="1:20" x14ac:dyDescent="0.2">
      <c r="A921" t="s">
        <v>2086</v>
      </c>
      <c r="B921">
        <f>IF(COUNTIFS('United Data'!$A$3:$A$3390,B$1,'United Data'!$C$3:$C$3390,$A921)&gt;0,1,0)</f>
        <v>0</v>
      </c>
      <c r="C921">
        <f>IF(COUNTIFS('United Data'!$A$3:$A$3390,C$1,'United Data'!$C$3:$C$3390,$A921)&gt;0,1,0)</f>
        <v>0</v>
      </c>
      <c r="D921">
        <f>IF(COUNTIFS('United Data'!$A$3:$A$3390,D$1,'United Data'!$C$3:$C$3390,$A921)&gt;0,1,0)</f>
        <v>0</v>
      </c>
      <c r="E921">
        <f>IF(COUNTIFS('United Data'!$A$3:$A$3390,E$1,'United Data'!$C$3:$C$3390,$A921)&gt;0,1,0)</f>
        <v>0</v>
      </c>
      <c r="F921">
        <f>IF(COUNTIFS('United Data'!$A$3:$A$3390,F$1,'United Data'!$C$3:$C$3390,$A921)&gt;0,1,0)</f>
        <v>0</v>
      </c>
      <c r="G921">
        <f>IF(COUNTIFS('United Data'!$A$3:$A$3390,G$1,'United Data'!$C$3:$C$3390,$A921)&gt;0,1,0)</f>
        <v>0</v>
      </c>
      <c r="H921">
        <f>IF(COUNTIFS('United Data'!$A$3:$A$3390,H$1,'United Data'!$C$3:$C$3390,$A921)&gt;0,1,0)</f>
        <v>0</v>
      </c>
      <c r="I921">
        <f>IF(COUNTIFS('United Data'!$A$3:$A$3390,I$1,'United Data'!$C$3:$C$3390,$A921)&gt;0,1,0)</f>
        <v>0</v>
      </c>
      <c r="J921">
        <f>IF(COUNTIFS('United Data'!$A$3:$A$3390,J$1,'United Data'!$C$3:$C$3390,$A921)&gt;0,1,0)</f>
        <v>0</v>
      </c>
      <c r="K921">
        <f>IF(COUNTIFS('United Data'!$A$3:$A$3390,K$1,'United Data'!$C$3:$C$3390,$A921)&gt;0,1,0)</f>
        <v>0</v>
      </c>
      <c r="L921">
        <f>IF(COUNTIFS('United Data'!$A$3:$A$3390,L$1,'United Data'!$C$3:$C$3390,$A921)&gt;0,1,0)</f>
        <v>0</v>
      </c>
      <c r="M921">
        <f>IF(COUNTIFS('United Data'!$A$3:$A$3390,M$1,'United Data'!$C$3:$C$3390,$A921)&gt;0,1,0)</f>
        <v>0</v>
      </c>
      <c r="N921">
        <f>IF(COUNTIFS('United Data'!$A$3:$A$3390,N$1,'United Data'!$C$3:$C$3390,$A921)&gt;0,1,0)</f>
        <v>0</v>
      </c>
      <c r="O921">
        <f>IF(COUNTIFS('United Data'!$A$3:$A$3390,O$1,'United Data'!$C$3:$C$3390,$A921)&gt;0,1,0)</f>
        <v>0</v>
      </c>
      <c r="P921">
        <f>IF(COUNTIFS('United Data'!$A$3:$A$3390,P$1,'United Data'!$C$3:$C$3390,$A921)&gt;0,1,0)</f>
        <v>0</v>
      </c>
      <c r="Q921">
        <f>IF(COUNTIFS('United Data'!$A$3:$A$3390,Q$1,'United Data'!$C$3:$C$3390,$A921)&gt;0,1,0)</f>
        <v>0</v>
      </c>
      <c r="R921">
        <f>IF(COUNTIFS('United Data'!$A$3:$A$3390,R$1,'United Data'!$C$3:$C$3390,$A921)&gt;0,1,0)</f>
        <v>0</v>
      </c>
      <c r="S921">
        <f t="shared" si="28"/>
        <v>0</v>
      </c>
      <c r="T921">
        <f t="shared" si="29"/>
        <v>0</v>
      </c>
    </row>
    <row r="922" spans="1:20" x14ac:dyDescent="0.2">
      <c r="A922" t="s">
        <v>1113</v>
      </c>
      <c r="B922">
        <f>IF(COUNTIFS('United Data'!$A$3:$A$3390,B$1,'United Data'!$C$3:$C$3390,$A922)&gt;0,1,0)</f>
        <v>0</v>
      </c>
      <c r="C922">
        <f>IF(COUNTIFS('United Data'!$A$3:$A$3390,C$1,'United Data'!$C$3:$C$3390,$A922)&gt;0,1,0)</f>
        <v>0</v>
      </c>
      <c r="D922">
        <f>IF(COUNTIFS('United Data'!$A$3:$A$3390,D$1,'United Data'!$C$3:$C$3390,$A922)&gt;0,1,0)</f>
        <v>0</v>
      </c>
      <c r="E922">
        <f>IF(COUNTIFS('United Data'!$A$3:$A$3390,E$1,'United Data'!$C$3:$C$3390,$A922)&gt;0,1,0)</f>
        <v>0</v>
      </c>
      <c r="F922">
        <f>IF(COUNTIFS('United Data'!$A$3:$A$3390,F$1,'United Data'!$C$3:$C$3390,$A922)&gt;0,1,0)</f>
        <v>1</v>
      </c>
      <c r="G922">
        <f>IF(COUNTIFS('United Data'!$A$3:$A$3390,G$1,'United Data'!$C$3:$C$3390,$A922)&gt;0,1,0)</f>
        <v>0</v>
      </c>
      <c r="H922">
        <f>IF(COUNTIFS('United Data'!$A$3:$A$3390,H$1,'United Data'!$C$3:$C$3390,$A922)&gt;0,1,0)</f>
        <v>0</v>
      </c>
      <c r="I922">
        <f>IF(COUNTIFS('United Data'!$A$3:$A$3390,I$1,'United Data'!$C$3:$C$3390,$A922)&gt;0,1,0)</f>
        <v>0</v>
      </c>
      <c r="J922">
        <f>IF(COUNTIFS('United Data'!$A$3:$A$3390,J$1,'United Data'!$C$3:$C$3390,$A922)&gt;0,1,0)</f>
        <v>0</v>
      </c>
      <c r="K922">
        <f>IF(COUNTIFS('United Data'!$A$3:$A$3390,K$1,'United Data'!$C$3:$C$3390,$A922)&gt;0,1,0)</f>
        <v>0</v>
      </c>
      <c r="L922">
        <f>IF(COUNTIFS('United Data'!$A$3:$A$3390,L$1,'United Data'!$C$3:$C$3390,$A922)&gt;0,1,0)</f>
        <v>0</v>
      </c>
      <c r="M922">
        <f>IF(COUNTIFS('United Data'!$A$3:$A$3390,M$1,'United Data'!$C$3:$C$3390,$A922)&gt;0,1,0)</f>
        <v>0</v>
      </c>
      <c r="N922">
        <f>IF(COUNTIFS('United Data'!$A$3:$A$3390,N$1,'United Data'!$C$3:$C$3390,$A922)&gt;0,1,0)</f>
        <v>0</v>
      </c>
      <c r="O922">
        <f>IF(COUNTIFS('United Data'!$A$3:$A$3390,O$1,'United Data'!$C$3:$C$3390,$A922)&gt;0,1,0)</f>
        <v>0</v>
      </c>
      <c r="P922">
        <f>IF(COUNTIFS('United Data'!$A$3:$A$3390,P$1,'United Data'!$C$3:$C$3390,$A922)&gt;0,1,0)</f>
        <v>0</v>
      </c>
      <c r="Q922">
        <f>IF(COUNTIFS('United Data'!$A$3:$A$3390,Q$1,'United Data'!$C$3:$C$3390,$A922)&gt;0,1,0)</f>
        <v>0</v>
      </c>
      <c r="R922">
        <f>IF(COUNTIFS('United Data'!$A$3:$A$3390,R$1,'United Data'!$C$3:$C$3390,$A922)&gt;0,1,0)</f>
        <v>0</v>
      </c>
      <c r="S922">
        <f t="shared" si="28"/>
        <v>1</v>
      </c>
      <c r="T922">
        <f t="shared" si="29"/>
        <v>1</v>
      </c>
    </row>
    <row r="923" spans="1:20" x14ac:dyDescent="0.2">
      <c r="A923" t="s">
        <v>1114</v>
      </c>
      <c r="B923">
        <f>IF(COUNTIFS('United Data'!$A$3:$A$3390,B$1,'United Data'!$C$3:$C$3390,$A923)&gt;0,1,0)</f>
        <v>0</v>
      </c>
      <c r="C923">
        <f>IF(COUNTIFS('United Data'!$A$3:$A$3390,C$1,'United Data'!$C$3:$C$3390,$A923)&gt;0,1,0)</f>
        <v>0</v>
      </c>
      <c r="D923">
        <f>IF(COUNTIFS('United Data'!$A$3:$A$3390,D$1,'United Data'!$C$3:$C$3390,$A923)&gt;0,1,0)</f>
        <v>0</v>
      </c>
      <c r="E923">
        <f>IF(COUNTIFS('United Data'!$A$3:$A$3390,E$1,'United Data'!$C$3:$C$3390,$A923)&gt;0,1,0)</f>
        <v>0</v>
      </c>
      <c r="F923">
        <f>IF(COUNTIFS('United Data'!$A$3:$A$3390,F$1,'United Data'!$C$3:$C$3390,$A923)&gt;0,1,0)</f>
        <v>1</v>
      </c>
      <c r="G923">
        <f>IF(COUNTIFS('United Data'!$A$3:$A$3390,G$1,'United Data'!$C$3:$C$3390,$A923)&gt;0,1,0)</f>
        <v>0</v>
      </c>
      <c r="H923">
        <f>IF(COUNTIFS('United Data'!$A$3:$A$3390,H$1,'United Data'!$C$3:$C$3390,$A923)&gt;0,1,0)</f>
        <v>0</v>
      </c>
      <c r="I923">
        <f>IF(COUNTIFS('United Data'!$A$3:$A$3390,I$1,'United Data'!$C$3:$C$3390,$A923)&gt;0,1,0)</f>
        <v>0</v>
      </c>
      <c r="J923">
        <f>IF(COUNTIFS('United Data'!$A$3:$A$3390,J$1,'United Data'!$C$3:$C$3390,$A923)&gt;0,1,0)</f>
        <v>0</v>
      </c>
      <c r="K923">
        <f>IF(COUNTIFS('United Data'!$A$3:$A$3390,K$1,'United Data'!$C$3:$C$3390,$A923)&gt;0,1,0)</f>
        <v>0</v>
      </c>
      <c r="L923">
        <f>IF(COUNTIFS('United Data'!$A$3:$A$3390,L$1,'United Data'!$C$3:$C$3390,$A923)&gt;0,1,0)</f>
        <v>0</v>
      </c>
      <c r="M923">
        <f>IF(COUNTIFS('United Data'!$A$3:$A$3390,M$1,'United Data'!$C$3:$C$3390,$A923)&gt;0,1,0)</f>
        <v>0</v>
      </c>
      <c r="N923">
        <f>IF(COUNTIFS('United Data'!$A$3:$A$3390,N$1,'United Data'!$C$3:$C$3390,$A923)&gt;0,1,0)</f>
        <v>0</v>
      </c>
      <c r="O923">
        <f>IF(COUNTIFS('United Data'!$A$3:$A$3390,O$1,'United Data'!$C$3:$C$3390,$A923)&gt;0,1,0)</f>
        <v>0</v>
      </c>
      <c r="P923">
        <f>IF(COUNTIFS('United Data'!$A$3:$A$3390,P$1,'United Data'!$C$3:$C$3390,$A923)&gt;0,1,0)</f>
        <v>0</v>
      </c>
      <c r="Q923">
        <f>IF(COUNTIFS('United Data'!$A$3:$A$3390,Q$1,'United Data'!$C$3:$C$3390,$A923)&gt;0,1,0)</f>
        <v>0</v>
      </c>
      <c r="R923">
        <f>IF(COUNTIFS('United Data'!$A$3:$A$3390,R$1,'United Data'!$C$3:$C$3390,$A923)&gt;0,1,0)</f>
        <v>0</v>
      </c>
      <c r="S923">
        <f t="shared" si="28"/>
        <v>1</v>
      </c>
      <c r="T923">
        <f t="shared" si="29"/>
        <v>1</v>
      </c>
    </row>
    <row r="924" spans="1:20" x14ac:dyDescent="0.2">
      <c r="A924" t="s">
        <v>1115</v>
      </c>
      <c r="B924">
        <f>IF(COUNTIFS('United Data'!$A$3:$A$3390,B$1,'United Data'!$C$3:$C$3390,$A924)&gt;0,1,0)</f>
        <v>0</v>
      </c>
      <c r="C924">
        <f>IF(COUNTIFS('United Data'!$A$3:$A$3390,C$1,'United Data'!$C$3:$C$3390,$A924)&gt;0,1,0)</f>
        <v>0</v>
      </c>
      <c r="D924">
        <f>IF(COUNTIFS('United Data'!$A$3:$A$3390,D$1,'United Data'!$C$3:$C$3390,$A924)&gt;0,1,0)</f>
        <v>0</v>
      </c>
      <c r="E924">
        <f>IF(COUNTIFS('United Data'!$A$3:$A$3390,E$1,'United Data'!$C$3:$C$3390,$A924)&gt;0,1,0)</f>
        <v>0</v>
      </c>
      <c r="F924">
        <f>IF(COUNTIFS('United Data'!$A$3:$A$3390,F$1,'United Data'!$C$3:$C$3390,$A924)&gt;0,1,0)</f>
        <v>0</v>
      </c>
      <c r="G924">
        <f>IF(COUNTIFS('United Data'!$A$3:$A$3390,G$1,'United Data'!$C$3:$C$3390,$A924)&gt;0,1,0)</f>
        <v>1</v>
      </c>
      <c r="H924">
        <f>IF(COUNTIFS('United Data'!$A$3:$A$3390,H$1,'United Data'!$C$3:$C$3390,$A924)&gt;0,1,0)</f>
        <v>1</v>
      </c>
      <c r="I924">
        <f>IF(COUNTIFS('United Data'!$A$3:$A$3390,I$1,'United Data'!$C$3:$C$3390,$A924)&gt;0,1,0)</f>
        <v>0</v>
      </c>
      <c r="J924">
        <f>IF(COUNTIFS('United Data'!$A$3:$A$3390,J$1,'United Data'!$C$3:$C$3390,$A924)&gt;0,1,0)</f>
        <v>1</v>
      </c>
      <c r="K924">
        <f>IF(COUNTIFS('United Data'!$A$3:$A$3390,K$1,'United Data'!$C$3:$C$3390,$A924)&gt;0,1,0)</f>
        <v>1</v>
      </c>
      <c r="L924">
        <f>IF(COUNTIFS('United Data'!$A$3:$A$3390,L$1,'United Data'!$C$3:$C$3390,$A924)&gt;0,1,0)</f>
        <v>0</v>
      </c>
      <c r="M924">
        <f>IF(COUNTIFS('United Data'!$A$3:$A$3390,M$1,'United Data'!$C$3:$C$3390,$A924)&gt;0,1,0)</f>
        <v>0</v>
      </c>
      <c r="N924">
        <f>IF(COUNTIFS('United Data'!$A$3:$A$3390,N$1,'United Data'!$C$3:$C$3390,$A924)&gt;0,1,0)</f>
        <v>0</v>
      </c>
      <c r="O924">
        <f>IF(COUNTIFS('United Data'!$A$3:$A$3390,O$1,'United Data'!$C$3:$C$3390,$A924)&gt;0,1,0)</f>
        <v>0</v>
      </c>
      <c r="P924">
        <f>IF(COUNTIFS('United Data'!$A$3:$A$3390,P$1,'United Data'!$C$3:$C$3390,$A924)&gt;0,1,0)</f>
        <v>0</v>
      </c>
      <c r="Q924">
        <f>IF(COUNTIFS('United Data'!$A$3:$A$3390,Q$1,'United Data'!$C$3:$C$3390,$A924)&gt;0,1,0)</f>
        <v>0</v>
      </c>
      <c r="R924">
        <f>IF(COUNTIFS('United Data'!$A$3:$A$3390,R$1,'United Data'!$C$3:$C$3390,$A924)&gt;0,1,0)</f>
        <v>0</v>
      </c>
      <c r="S924">
        <f t="shared" si="28"/>
        <v>4</v>
      </c>
      <c r="T924">
        <f t="shared" si="29"/>
        <v>2</v>
      </c>
    </row>
    <row r="925" spans="1:20" x14ac:dyDescent="0.2">
      <c r="A925" t="s">
        <v>1116</v>
      </c>
      <c r="B925">
        <f>IF(COUNTIFS('United Data'!$A$3:$A$3390,B$1,'United Data'!$C$3:$C$3390,$A925)&gt;0,1,0)</f>
        <v>0</v>
      </c>
      <c r="C925">
        <f>IF(COUNTIFS('United Data'!$A$3:$A$3390,C$1,'United Data'!$C$3:$C$3390,$A925)&gt;0,1,0)</f>
        <v>0</v>
      </c>
      <c r="D925">
        <f>IF(COUNTIFS('United Data'!$A$3:$A$3390,D$1,'United Data'!$C$3:$C$3390,$A925)&gt;0,1,0)</f>
        <v>0</v>
      </c>
      <c r="E925">
        <f>IF(COUNTIFS('United Data'!$A$3:$A$3390,E$1,'United Data'!$C$3:$C$3390,$A925)&gt;0,1,0)</f>
        <v>0</v>
      </c>
      <c r="F925">
        <f>IF(COUNTIFS('United Data'!$A$3:$A$3390,F$1,'United Data'!$C$3:$C$3390,$A925)&gt;0,1,0)</f>
        <v>0</v>
      </c>
      <c r="G925">
        <f>IF(COUNTIFS('United Data'!$A$3:$A$3390,G$1,'United Data'!$C$3:$C$3390,$A925)&gt;0,1,0)</f>
        <v>1</v>
      </c>
      <c r="H925">
        <f>IF(COUNTIFS('United Data'!$A$3:$A$3390,H$1,'United Data'!$C$3:$C$3390,$A925)&gt;0,1,0)</f>
        <v>0</v>
      </c>
      <c r="I925">
        <f>IF(COUNTIFS('United Data'!$A$3:$A$3390,I$1,'United Data'!$C$3:$C$3390,$A925)&gt;0,1,0)</f>
        <v>0</v>
      </c>
      <c r="J925">
        <f>IF(COUNTIFS('United Data'!$A$3:$A$3390,J$1,'United Data'!$C$3:$C$3390,$A925)&gt;0,1,0)</f>
        <v>0</v>
      </c>
      <c r="K925">
        <f>IF(COUNTIFS('United Data'!$A$3:$A$3390,K$1,'United Data'!$C$3:$C$3390,$A925)&gt;0,1,0)</f>
        <v>0</v>
      </c>
      <c r="L925">
        <f>IF(COUNTIFS('United Data'!$A$3:$A$3390,L$1,'United Data'!$C$3:$C$3390,$A925)&gt;0,1,0)</f>
        <v>0</v>
      </c>
      <c r="M925">
        <f>IF(COUNTIFS('United Data'!$A$3:$A$3390,M$1,'United Data'!$C$3:$C$3390,$A925)&gt;0,1,0)</f>
        <v>0</v>
      </c>
      <c r="N925">
        <f>IF(COUNTIFS('United Data'!$A$3:$A$3390,N$1,'United Data'!$C$3:$C$3390,$A925)&gt;0,1,0)</f>
        <v>0</v>
      </c>
      <c r="O925">
        <f>IF(COUNTIFS('United Data'!$A$3:$A$3390,O$1,'United Data'!$C$3:$C$3390,$A925)&gt;0,1,0)</f>
        <v>0</v>
      </c>
      <c r="P925">
        <f>IF(COUNTIFS('United Data'!$A$3:$A$3390,P$1,'United Data'!$C$3:$C$3390,$A925)&gt;0,1,0)</f>
        <v>0</v>
      </c>
      <c r="Q925">
        <f>IF(COUNTIFS('United Data'!$A$3:$A$3390,Q$1,'United Data'!$C$3:$C$3390,$A925)&gt;0,1,0)</f>
        <v>0</v>
      </c>
      <c r="R925">
        <f>IF(COUNTIFS('United Data'!$A$3:$A$3390,R$1,'United Data'!$C$3:$C$3390,$A925)&gt;0,1,0)</f>
        <v>0</v>
      </c>
      <c r="S925">
        <f t="shared" si="28"/>
        <v>1</v>
      </c>
      <c r="T925">
        <f t="shared" si="29"/>
        <v>1</v>
      </c>
    </row>
    <row r="926" spans="1:20" x14ac:dyDescent="0.2">
      <c r="A926" t="s">
        <v>1117</v>
      </c>
      <c r="B926">
        <f>IF(COUNTIFS('United Data'!$A$3:$A$3390,B$1,'United Data'!$C$3:$C$3390,$A926)&gt;0,1,0)</f>
        <v>0</v>
      </c>
      <c r="C926">
        <f>IF(COUNTIFS('United Data'!$A$3:$A$3390,C$1,'United Data'!$C$3:$C$3390,$A926)&gt;0,1,0)</f>
        <v>0</v>
      </c>
      <c r="D926">
        <f>IF(COUNTIFS('United Data'!$A$3:$A$3390,D$1,'United Data'!$C$3:$C$3390,$A926)&gt;0,1,0)</f>
        <v>0</v>
      </c>
      <c r="E926">
        <f>IF(COUNTIFS('United Data'!$A$3:$A$3390,E$1,'United Data'!$C$3:$C$3390,$A926)&gt;0,1,0)</f>
        <v>0</v>
      </c>
      <c r="F926">
        <f>IF(COUNTIFS('United Data'!$A$3:$A$3390,F$1,'United Data'!$C$3:$C$3390,$A926)&gt;0,1,0)</f>
        <v>0</v>
      </c>
      <c r="G926">
        <f>IF(COUNTIFS('United Data'!$A$3:$A$3390,G$1,'United Data'!$C$3:$C$3390,$A926)&gt;0,1,0)</f>
        <v>1</v>
      </c>
      <c r="H926">
        <f>IF(COUNTIFS('United Data'!$A$3:$A$3390,H$1,'United Data'!$C$3:$C$3390,$A926)&gt;0,1,0)</f>
        <v>0</v>
      </c>
      <c r="I926">
        <f>IF(COUNTIFS('United Data'!$A$3:$A$3390,I$1,'United Data'!$C$3:$C$3390,$A926)&gt;0,1,0)</f>
        <v>0</v>
      </c>
      <c r="J926">
        <f>IF(COUNTIFS('United Data'!$A$3:$A$3390,J$1,'United Data'!$C$3:$C$3390,$A926)&gt;0,1,0)</f>
        <v>0</v>
      </c>
      <c r="K926">
        <f>IF(COUNTIFS('United Data'!$A$3:$A$3390,K$1,'United Data'!$C$3:$C$3390,$A926)&gt;0,1,0)</f>
        <v>0</v>
      </c>
      <c r="L926">
        <f>IF(COUNTIFS('United Data'!$A$3:$A$3390,L$1,'United Data'!$C$3:$C$3390,$A926)&gt;0,1,0)</f>
        <v>0</v>
      </c>
      <c r="M926">
        <f>IF(COUNTIFS('United Data'!$A$3:$A$3390,M$1,'United Data'!$C$3:$C$3390,$A926)&gt;0,1,0)</f>
        <v>0</v>
      </c>
      <c r="N926">
        <f>IF(COUNTIFS('United Data'!$A$3:$A$3390,N$1,'United Data'!$C$3:$C$3390,$A926)&gt;0,1,0)</f>
        <v>0</v>
      </c>
      <c r="O926">
        <f>IF(COUNTIFS('United Data'!$A$3:$A$3390,O$1,'United Data'!$C$3:$C$3390,$A926)&gt;0,1,0)</f>
        <v>0</v>
      </c>
      <c r="P926">
        <f>IF(COUNTIFS('United Data'!$A$3:$A$3390,P$1,'United Data'!$C$3:$C$3390,$A926)&gt;0,1,0)</f>
        <v>0</v>
      </c>
      <c r="Q926">
        <f>IF(COUNTIFS('United Data'!$A$3:$A$3390,Q$1,'United Data'!$C$3:$C$3390,$A926)&gt;0,1,0)</f>
        <v>0</v>
      </c>
      <c r="R926">
        <f>IF(COUNTIFS('United Data'!$A$3:$A$3390,R$1,'United Data'!$C$3:$C$3390,$A926)&gt;0,1,0)</f>
        <v>0</v>
      </c>
      <c r="S926">
        <f t="shared" si="28"/>
        <v>1</v>
      </c>
      <c r="T926">
        <f t="shared" si="29"/>
        <v>1</v>
      </c>
    </row>
    <row r="927" spans="1:20" x14ac:dyDescent="0.2">
      <c r="A927" t="s">
        <v>1119</v>
      </c>
      <c r="B927">
        <f>IF(COUNTIFS('United Data'!$A$3:$A$3390,B$1,'United Data'!$C$3:$C$3390,$A927)&gt;0,1,0)</f>
        <v>0</v>
      </c>
      <c r="C927">
        <f>IF(COUNTIFS('United Data'!$A$3:$A$3390,C$1,'United Data'!$C$3:$C$3390,$A927)&gt;0,1,0)</f>
        <v>0</v>
      </c>
      <c r="D927">
        <f>IF(COUNTIFS('United Data'!$A$3:$A$3390,D$1,'United Data'!$C$3:$C$3390,$A927)&gt;0,1,0)</f>
        <v>0</v>
      </c>
      <c r="E927">
        <f>IF(COUNTIFS('United Data'!$A$3:$A$3390,E$1,'United Data'!$C$3:$C$3390,$A927)&gt;0,1,0)</f>
        <v>0</v>
      </c>
      <c r="F927">
        <f>IF(COUNTIFS('United Data'!$A$3:$A$3390,F$1,'United Data'!$C$3:$C$3390,$A927)&gt;0,1,0)</f>
        <v>0</v>
      </c>
      <c r="G927">
        <f>IF(COUNTIFS('United Data'!$A$3:$A$3390,G$1,'United Data'!$C$3:$C$3390,$A927)&gt;0,1,0)</f>
        <v>1</v>
      </c>
      <c r="H927">
        <f>IF(COUNTIFS('United Data'!$A$3:$A$3390,H$1,'United Data'!$C$3:$C$3390,$A927)&gt;0,1,0)</f>
        <v>0</v>
      </c>
      <c r="I927">
        <f>IF(COUNTIFS('United Data'!$A$3:$A$3390,I$1,'United Data'!$C$3:$C$3390,$A927)&gt;0,1,0)</f>
        <v>0</v>
      </c>
      <c r="J927">
        <f>IF(COUNTIFS('United Data'!$A$3:$A$3390,J$1,'United Data'!$C$3:$C$3390,$A927)&gt;0,1,0)</f>
        <v>0</v>
      </c>
      <c r="K927">
        <f>IF(COUNTIFS('United Data'!$A$3:$A$3390,K$1,'United Data'!$C$3:$C$3390,$A927)&gt;0,1,0)</f>
        <v>0</v>
      </c>
      <c r="L927">
        <f>IF(COUNTIFS('United Data'!$A$3:$A$3390,L$1,'United Data'!$C$3:$C$3390,$A927)&gt;0,1,0)</f>
        <v>0</v>
      </c>
      <c r="M927">
        <f>IF(COUNTIFS('United Data'!$A$3:$A$3390,M$1,'United Data'!$C$3:$C$3390,$A927)&gt;0,1,0)</f>
        <v>0</v>
      </c>
      <c r="N927">
        <f>IF(COUNTIFS('United Data'!$A$3:$A$3390,N$1,'United Data'!$C$3:$C$3390,$A927)&gt;0,1,0)</f>
        <v>0</v>
      </c>
      <c r="O927">
        <f>IF(COUNTIFS('United Data'!$A$3:$A$3390,O$1,'United Data'!$C$3:$C$3390,$A927)&gt;0,1,0)</f>
        <v>0</v>
      </c>
      <c r="P927">
        <f>IF(COUNTIFS('United Data'!$A$3:$A$3390,P$1,'United Data'!$C$3:$C$3390,$A927)&gt;0,1,0)</f>
        <v>0</v>
      </c>
      <c r="Q927">
        <f>IF(COUNTIFS('United Data'!$A$3:$A$3390,Q$1,'United Data'!$C$3:$C$3390,$A927)&gt;0,1,0)</f>
        <v>0</v>
      </c>
      <c r="R927">
        <f>IF(COUNTIFS('United Data'!$A$3:$A$3390,R$1,'United Data'!$C$3:$C$3390,$A927)&gt;0,1,0)</f>
        <v>0</v>
      </c>
      <c r="S927">
        <f t="shared" si="28"/>
        <v>1</v>
      </c>
      <c r="T927">
        <f t="shared" si="29"/>
        <v>1</v>
      </c>
    </row>
    <row r="928" spans="1:20" x14ac:dyDescent="0.2">
      <c r="A928" t="s">
        <v>1120</v>
      </c>
      <c r="B928">
        <f>IF(COUNTIFS('United Data'!$A$3:$A$3390,B$1,'United Data'!$C$3:$C$3390,$A928)&gt;0,1,0)</f>
        <v>0</v>
      </c>
      <c r="C928">
        <f>IF(COUNTIFS('United Data'!$A$3:$A$3390,C$1,'United Data'!$C$3:$C$3390,$A928)&gt;0,1,0)</f>
        <v>0</v>
      </c>
      <c r="D928">
        <f>IF(COUNTIFS('United Data'!$A$3:$A$3390,D$1,'United Data'!$C$3:$C$3390,$A928)&gt;0,1,0)</f>
        <v>0</v>
      </c>
      <c r="E928">
        <f>IF(COUNTIFS('United Data'!$A$3:$A$3390,E$1,'United Data'!$C$3:$C$3390,$A928)&gt;0,1,0)</f>
        <v>0</v>
      </c>
      <c r="F928">
        <f>IF(COUNTIFS('United Data'!$A$3:$A$3390,F$1,'United Data'!$C$3:$C$3390,$A928)&gt;0,1,0)</f>
        <v>0</v>
      </c>
      <c r="G928">
        <f>IF(COUNTIFS('United Data'!$A$3:$A$3390,G$1,'United Data'!$C$3:$C$3390,$A928)&gt;0,1,0)</f>
        <v>1</v>
      </c>
      <c r="H928">
        <f>IF(COUNTIFS('United Data'!$A$3:$A$3390,H$1,'United Data'!$C$3:$C$3390,$A928)&gt;0,1,0)</f>
        <v>0</v>
      </c>
      <c r="I928">
        <f>IF(COUNTIFS('United Data'!$A$3:$A$3390,I$1,'United Data'!$C$3:$C$3390,$A928)&gt;0,1,0)</f>
        <v>0</v>
      </c>
      <c r="J928">
        <f>IF(COUNTIFS('United Data'!$A$3:$A$3390,J$1,'United Data'!$C$3:$C$3390,$A928)&gt;0,1,0)</f>
        <v>0</v>
      </c>
      <c r="K928">
        <f>IF(COUNTIFS('United Data'!$A$3:$A$3390,K$1,'United Data'!$C$3:$C$3390,$A928)&gt;0,1,0)</f>
        <v>0</v>
      </c>
      <c r="L928">
        <f>IF(COUNTIFS('United Data'!$A$3:$A$3390,L$1,'United Data'!$C$3:$C$3390,$A928)&gt;0,1,0)</f>
        <v>0</v>
      </c>
      <c r="M928">
        <f>IF(COUNTIFS('United Data'!$A$3:$A$3390,M$1,'United Data'!$C$3:$C$3390,$A928)&gt;0,1,0)</f>
        <v>0</v>
      </c>
      <c r="N928">
        <f>IF(COUNTIFS('United Data'!$A$3:$A$3390,N$1,'United Data'!$C$3:$C$3390,$A928)&gt;0,1,0)</f>
        <v>0</v>
      </c>
      <c r="O928">
        <f>IF(COUNTIFS('United Data'!$A$3:$A$3390,O$1,'United Data'!$C$3:$C$3390,$A928)&gt;0,1,0)</f>
        <v>0</v>
      </c>
      <c r="P928">
        <f>IF(COUNTIFS('United Data'!$A$3:$A$3390,P$1,'United Data'!$C$3:$C$3390,$A928)&gt;0,1,0)</f>
        <v>0</v>
      </c>
      <c r="Q928">
        <f>IF(COUNTIFS('United Data'!$A$3:$A$3390,Q$1,'United Data'!$C$3:$C$3390,$A928)&gt;0,1,0)</f>
        <v>0</v>
      </c>
      <c r="R928">
        <f>IF(COUNTIFS('United Data'!$A$3:$A$3390,R$1,'United Data'!$C$3:$C$3390,$A928)&gt;0,1,0)</f>
        <v>0</v>
      </c>
      <c r="S928">
        <f t="shared" si="28"/>
        <v>1</v>
      </c>
      <c r="T928">
        <f t="shared" si="29"/>
        <v>1</v>
      </c>
    </row>
    <row r="929" spans="1:20" x14ac:dyDescent="0.2">
      <c r="A929" t="s">
        <v>1121</v>
      </c>
      <c r="B929">
        <f>IF(COUNTIFS('United Data'!$A$3:$A$3390,B$1,'United Data'!$C$3:$C$3390,$A929)&gt;0,1,0)</f>
        <v>0</v>
      </c>
      <c r="C929">
        <f>IF(COUNTIFS('United Data'!$A$3:$A$3390,C$1,'United Data'!$C$3:$C$3390,$A929)&gt;0,1,0)</f>
        <v>0</v>
      </c>
      <c r="D929">
        <f>IF(COUNTIFS('United Data'!$A$3:$A$3390,D$1,'United Data'!$C$3:$C$3390,$A929)&gt;0,1,0)</f>
        <v>0</v>
      </c>
      <c r="E929">
        <f>IF(COUNTIFS('United Data'!$A$3:$A$3390,E$1,'United Data'!$C$3:$C$3390,$A929)&gt;0,1,0)</f>
        <v>0</v>
      </c>
      <c r="F929">
        <f>IF(COUNTIFS('United Data'!$A$3:$A$3390,F$1,'United Data'!$C$3:$C$3390,$A929)&gt;0,1,0)</f>
        <v>0</v>
      </c>
      <c r="G929">
        <f>IF(COUNTIFS('United Data'!$A$3:$A$3390,G$1,'United Data'!$C$3:$C$3390,$A929)&gt;0,1,0)</f>
        <v>1</v>
      </c>
      <c r="H929">
        <f>IF(COUNTIFS('United Data'!$A$3:$A$3390,H$1,'United Data'!$C$3:$C$3390,$A929)&gt;0,1,0)</f>
        <v>0</v>
      </c>
      <c r="I929">
        <f>IF(COUNTIFS('United Data'!$A$3:$A$3390,I$1,'United Data'!$C$3:$C$3390,$A929)&gt;0,1,0)</f>
        <v>0</v>
      </c>
      <c r="J929">
        <f>IF(COUNTIFS('United Data'!$A$3:$A$3390,J$1,'United Data'!$C$3:$C$3390,$A929)&gt;0,1,0)</f>
        <v>0</v>
      </c>
      <c r="K929">
        <f>IF(COUNTIFS('United Data'!$A$3:$A$3390,K$1,'United Data'!$C$3:$C$3390,$A929)&gt;0,1,0)</f>
        <v>0</v>
      </c>
      <c r="L929">
        <f>IF(COUNTIFS('United Data'!$A$3:$A$3390,L$1,'United Data'!$C$3:$C$3390,$A929)&gt;0,1,0)</f>
        <v>0</v>
      </c>
      <c r="M929">
        <f>IF(COUNTIFS('United Data'!$A$3:$A$3390,M$1,'United Data'!$C$3:$C$3390,$A929)&gt;0,1,0)</f>
        <v>0</v>
      </c>
      <c r="N929">
        <f>IF(COUNTIFS('United Data'!$A$3:$A$3390,N$1,'United Data'!$C$3:$C$3390,$A929)&gt;0,1,0)</f>
        <v>0</v>
      </c>
      <c r="O929">
        <f>IF(COUNTIFS('United Data'!$A$3:$A$3390,O$1,'United Data'!$C$3:$C$3390,$A929)&gt;0,1,0)</f>
        <v>0</v>
      </c>
      <c r="P929">
        <f>IF(COUNTIFS('United Data'!$A$3:$A$3390,P$1,'United Data'!$C$3:$C$3390,$A929)&gt;0,1,0)</f>
        <v>0</v>
      </c>
      <c r="Q929">
        <f>IF(COUNTIFS('United Data'!$A$3:$A$3390,Q$1,'United Data'!$C$3:$C$3390,$A929)&gt;0,1,0)</f>
        <v>0</v>
      </c>
      <c r="R929">
        <f>IF(COUNTIFS('United Data'!$A$3:$A$3390,R$1,'United Data'!$C$3:$C$3390,$A929)&gt;0,1,0)</f>
        <v>0</v>
      </c>
      <c r="S929">
        <f t="shared" si="28"/>
        <v>1</v>
      </c>
      <c r="T929">
        <f t="shared" si="29"/>
        <v>1</v>
      </c>
    </row>
    <row r="930" spans="1:20" x14ac:dyDescent="0.2">
      <c r="A930" t="s">
        <v>1122</v>
      </c>
      <c r="B930">
        <f>IF(COUNTIFS('United Data'!$A$3:$A$3390,B$1,'United Data'!$C$3:$C$3390,$A930)&gt;0,1,0)</f>
        <v>0</v>
      </c>
      <c r="C930">
        <f>IF(COUNTIFS('United Data'!$A$3:$A$3390,C$1,'United Data'!$C$3:$C$3390,$A930)&gt;0,1,0)</f>
        <v>0</v>
      </c>
      <c r="D930">
        <f>IF(COUNTIFS('United Data'!$A$3:$A$3390,D$1,'United Data'!$C$3:$C$3390,$A930)&gt;0,1,0)</f>
        <v>0</v>
      </c>
      <c r="E930">
        <f>IF(COUNTIFS('United Data'!$A$3:$A$3390,E$1,'United Data'!$C$3:$C$3390,$A930)&gt;0,1,0)</f>
        <v>0</v>
      </c>
      <c r="F930">
        <f>IF(COUNTIFS('United Data'!$A$3:$A$3390,F$1,'United Data'!$C$3:$C$3390,$A930)&gt;0,1,0)</f>
        <v>0</v>
      </c>
      <c r="G930">
        <f>IF(COUNTIFS('United Data'!$A$3:$A$3390,G$1,'United Data'!$C$3:$C$3390,$A930)&gt;0,1,0)</f>
        <v>1</v>
      </c>
      <c r="H930">
        <f>IF(COUNTIFS('United Data'!$A$3:$A$3390,H$1,'United Data'!$C$3:$C$3390,$A930)&gt;0,1,0)</f>
        <v>0</v>
      </c>
      <c r="I930">
        <f>IF(COUNTIFS('United Data'!$A$3:$A$3390,I$1,'United Data'!$C$3:$C$3390,$A930)&gt;0,1,0)</f>
        <v>0</v>
      </c>
      <c r="J930">
        <f>IF(COUNTIFS('United Data'!$A$3:$A$3390,J$1,'United Data'!$C$3:$C$3390,$A930)&gt;0,1,0)</f>
        <v>0</v>
      </c>
      <c r="K930">
        <f>IF(COUNTIFS('United Data'!$A$3:$A$3390,K$1,'United Data'!$C$3:$C$3390,$A930)&gt;0,1,0)</f>
        <v>0</v>
      </c>
      <c r="L930">
        <f>IF(COUNTIFS('United Data'!$A$3:$A$3390,L$1,'United Data'!$C$3:$C$3390,$A930)&gt;0,1,0)</f>
        <v>0</v>
      </c>
      <c r="M930">
        <f>IF(COUNTIFS('United Data'!$A$3:$A$3390,M$1,'United Data'!$C$3:$C$3390,$A930)&gt;0,1,0)</f>
        <v>0</v>
      </c>
      <c r="N930">
        <f>IF(COUNTIFS('United Data'!$A$3:$A$3390,N$1,'United Data'!$C$3:$C$3390,$A930)&gt;0,1,0)</f>
        <v>0</v>
      </c>
      <c r="O930">
        <f>IF(COUNTIFS('United Data'!$A$3:$A$3390,O$1,'United Data'!$C$3:$C$3390,$A930)&gt;0,1,0)</f>
        <v>0</v>
      </c>
      <c r="P930">
        <f>IF(COUNTIFS('United Data'!$A$3:$A$3390,P$1,'United Data'!$C$3:$C$3390,$A930)&gt;0,1,0)</f>
        <v>0</v>
      </c>
      <c r="Q930">
        <f>IF(COUNTIFS('United Data'!$A$3:$A$3390,Q$1,'United Data'!$C$3:$C$3390,$A930)&gt;0,1,0)</f>
        <v>0</v>
      </c>
      <c r="R930">
        <f>IF(COUNTIFS('United Data'!$A$3:$A$3390,R$1,'United Data'!$C$3:$C$3390,$A930)&gt;0,1,0)</f>
        <v>0</v>
      </c>
      <c r="S930">
        <f t="shared" si="28"/>
        <v>1</v>
      </c>
      <c r="T930">
        <f t="shared" si="29"/>
        <v>1</v>
      </c>
    </row>
    <row r="931" spans="1:20" x14ac:dyDescent="0.2">
      <c r="A931" t="s">
        <v>1123</v>
      </c>
      <c r="B931">
        <f>IF(COUNTIFS('United Data'!$A$3:$A$3390,B$1,'United Data'!$C$3:$C$3390,$A931)&gt;0,1,0)</f>
        <v>0</v>
      </c>
      <c r="C931">
        <f>IF(COUNTIFS('United Data'!$A$3:$A$3390,C$1,'United Data'!$C$3:$C$3390,$A931)&gt;0,1,0)</f>
        <v>0</v>
      </c>
      <c r="D931">
        <f>IF(COUNTIFS('United Data'!$A$3:$A$3390,D$1,'United Data'!$C$3:$C$3390,$A931)&gt;0,1,0)</f>
        <v>0</v>
      </c>
      <c r="E931">
        <f>IF(COUNTIFS('United Data'!$A$3:$A$3390,E$1,'United Data'!$C$3:$C$3390,$A931)&gt;0,1,0)</f>
        <v>0</v>
      </c>
      <c r="F931">
        <f>IF(COUNTIFS('United Data'!$A$3:$A$3390,F$1,'United Data'!$C$3:$C$3390,$A931)&gt;0,1,0)</f>
        <v>0</v>
      </c>
      <c r="G931">
        <f>IF(COUNTIFS('United Data'!$A$3:$A$3390,G$1,'United Data'!$C$3:$C$3390,$A931)&gt;0,1,0)</f>
        <v>1</v>
      </c>
      <c r="H931">
        <f>IF(COUNTIFS('United Data'!$A$3:$A$3390,H$1,'United Data'!$C$3:$C$3390,$A931)&gt;0,1,0)</f>
        <v>0</v>
      </c>
      <c r="I931">
        <f>IF(COUNTIFS('United Data'!$A$3:$A$3390,I$1,'United Data'!$C$3:$C$3390,$A931)&gt;0,1,0)</f>
        <v>0</v>
      </c>
      <c r="J931">
        <f>IF(COUNTIFS('United Data'!$A$3:$A$3390,J$1,'United Data'!$C$3:$C$3390,$A931)&gt;0,1,0)</f>
        <v>0</v>
      </c>
      <c r="K931">
        <f>IF(COUNTIFS('United Data'!$A$3:$A$3390,K$1,'United Data'!$C$3:$C$3390,$A931)&gt;0,1,0)</f>
        <v>0</v>
      </c>
      <c r="L931">
        <f>IF(COUNTIFS('United Data'!$A$3:$A$3390,L$1,'United Data'!$C$3:$C$3390,$A931)&gt;0,1,0)</f>
        <v>0</v>
      </c>
      <c r="M931">
        <f>IF(COUNTIFS('United Data'!$A$3:$A$3390,M$1,'United Data'!$C$3:$C$3390,$A931)&gt;0,1,0)</f>
        <v>0</v>
      </c>
      <c r="N931">
        <f>IF(COUNTIFS('United Data'!$A$3:$A$3390,N$1,'United Data'!$C$3:$C$3390,$A931)&gt;0,1,0)</f>
        <v>0</v>
      </c>
      <c r="O931">
        <f>IF(COUNTIFS('United Data'!$A$3:$A$3390,O$1,'United Data'!$C$3:$C$3390,$A931)&gt;0,1,0)</f>
        <v>0</v>
      </c>
      <c r="P931">
        <f>IF(COUNTIFS('United Data'!$A$3:$A$3390,P$1,'United Data'!$C$3:$C$3390,$A931)&gt;0,1,0)</f>
        <v>0</v>
      </c>
      <c r="Q931">
        <f>IF(COUNTIFS('United Data'!$A$3:$A$3390,Q$1,'United Data'!$C$3:$C$3390,$A931)&gt;0,1,0)</f>
        <v>0</v>
      </c>
      <c r="R931">
        <f>IF(COUNTIFS('United Data'!$A$3:$A$3390,R$1,'United Data'!$C$3:$C$3390,$A931)&gt;0,1,0)</f>
        <v>0</v>
      </c>
      <c r="S931">
        <f t="shared" si="28"/>
        <v>1</v>
      </c>
      <c r="T931">
        <f t="shared" si="29"/>
        <v>1</v>
      </c>
    </row>
    <row r="932" spans="1:20" x14ac:dyDescent="0.2">
      <c r="A932" t="s">
        <v>1124</v>
      </c>
      <c r="B932">
        <f>IF(COUNTIFS('United Data'!$A$3:$A$3390,B$1,'United Data'!$C$3:$C$3390,$A932)&gt;0,1,0)</f>
        <v>0</v>
      </c>
      <c r="C932">
        <f>IF(COUNTIFS('United Data'!$A$3:$A$3390,C$1,'United Data'!$C$3:$C$3390,$A932)&gt;0,1,0)</f>
        <v>0</v>
      </c>
      <c r="D932">
        <f>IF(COUNTIFS('United Data'!$A$3:$A$3390,D$1,'United Data'!$C$3:$C$3390,$A932)&gt;0,1,0)</f>
        <v>0</v>
      </c>
      <c r="E932">
        <f>IF(COUNTIFS('United Data'!$A$3:$A$3390,E$1,'United Data'!$C$3:$C$3390,$A932)&gt;0,1,0)</f>
        <v>0</v>
      </c>
      <c r="F932">
        <f>IF(COUNTIFS('United Data'!$A$3:$A$3390,F$1,'United Data'!$C$3:$C$3390,$A932)&gt;0,1,0)</f>
        <v>0</v>
      </c>
      <c r="G932">
        <f>IF(COUNTIFS('United Data'!$A$3:$A$3390,G$1,'United Data'!$C$3:$C$3390,$A932)&gt;0,1,0)</f>
        <v>1</v>
      </c>
      <c r="H932">
        <f>IF(COUNTIFS('United Data'!$A$3:$A$3390,H$1,'United Data'!$C$3:$C$3390,$A932)&gt;0,1,0)</f>
        <v>0</v>
      </c>
      <c r="I932">
        <f>IF(COUNTIFS('United Data'!$A$3:$A$3390,I$1,'United Data'!$C$3:$C$3390,$A932)&gt;0,1,0)</f>
        <v>0</v>
      </c>
      <c r="J932">
        <f>IF(COUNTIFS('United Data'!$A$3:$A$3390,J$1,'United Data'!$C$3:$C$3390,$A932)&gt;0,1,0)</f>
        <v>0</v>
      </c>
      <c r="K932">
        <f>IF(COUNTIFS('United Data'!$A$3:$A$3390,K$1,'United Data'!$C$3:$C$3390,$A932)&gt;0,1,0)</f>
        <v>0</v>
      </c>
      <c r="L932">
        <f>IF(COUNTIFS('United Data'!$A$3:$A$3390,L$1,'United Data'!$C$3:$C$3390,$A932)&gt;0,1,0)</f>
        <v>0</v>
      </c>
      <c r="M932">
        <f>IF(COUNTIFS('United Data'!$A$3:$A$3390,M$1,'United Data'!$C$3:$C$3390,$A932)&gt;0,1,0)</f>
        <v>0</v>
      </c>
      <c r="N932">
        <f>IF(COUNTIFS('United Data'!$A$3:$A$3390,N$1,'United Data'!$C$3:$C$3390,$A932)&gt;0,1,0)</f>
        <v>0</v>
      </c>
      <c r="O932">
        <f>IF(COUNTIFS('United Data'!$A$3:$A$3390,O$1,'United Data'!$C$3:$C$3390,$A932)&gt;0,1,0)</f>
        <v>0</v>
      </c>
      <c r="P932">
        <f>IF(COUNTIFS('United Data'!$A$3:$A$3390,P$1,'United Data'!$C$3:$C$3390,$A932)&gt;0,1,0)</f>
        <v>0</v>
      </c>
      <c r="Q932">
        <f>IF(COUNTIFS('United Data'!$A$3:$A$3390,Q$1,'United Data'!$C$3:$C$3390,$A932)&gt;0,1,0)</f>
        <v>0</v>
      </c>
      <c r="R932">
        <f>IF(COUNTIFS('United Data'!$A$3:$A$3390,R$1,'United Data'!$C$3:$C$3390,$A932)&gt;0,1,0)</f>
        <v>0</v>
      </c>
      <c r="S932">
        <f t="shared" si="28"/>
        <v>1</v>
      </c>
      <c r="T932">
        <f t="shared" si="29"/>
        <v>1</v>
      </c>
    </row>
    <row r="933" spans="1:20" x14ac:dyDescent="0.2">
      <c r="A933" t="s">
        <v>1125</v>
      </c>
      <c r="B933">
        <f>IF(COUNTIFS('United Data'!$A$3:$A$3390,B$1,'United Data'!$C$3:$C$3390,$A933)&gt;0,1,0)</f>
        <v>0</v>
      </c>
      <c r="C933">
        <f>IF(COUNTIFS('United Data'!$A$3:$A$3390,C$1,'United Data'!$C$3:$C$3390,$A933)&gt;0,1,0)</f>
        <v>0</v>
      </c>
      <c r="D933">
        <f>IF(COUNTIFS('United Data'!$A$3:$A$3390,D$1,'United Data'!$C$3:$C$3390,$A933)&gt;0,1,0)</f>
        <v>0</v>
      </c>
      <c r="E933">
        <f>IF(COUNTIFS('United Data'!$A$3:$A$3390,E$1,'United Data'!$C$3:$C$3390,$A933)&gt;0,1,0)</f>
        <v>0</v>
      </c>
      <c r="F933">
        <f>IF(COUNTIFS('United Data'!$A$3:$A$3390,F$1,'United Data'!$C$3:$C$3390,$A933)&gt;0,1,0)</f>
        <v>0</v>
      </c>
      <c r="G933">
        <f>IF(COUNTIFS('United Data'!$A$3:$A$3390,G$1,'United Data'!$C$3:$C$3390,$A933)&gt;0,1,0)</f>
        <v>0</v>
      </c>
      <c r="H933">
        <f>IF(COUNTIFS('United Data'!$A$3:$A$3390,H$1,'United Data'!$C$3:$C$3390,$A933)&gt;0,1,0)</f>
        <v>1</v>
      </c>
      <c r="I933">
        <f>IF(COUNTIFS('United Data'!$A$3:$A$3390,I$1,'United Data'!$C$3:$C$3390,$A933)&gt;0,1,0)</f>
        <v>0</v>
      </c>
      <c r="J933">
        <f>IF(COUNTIFS('United Data'!$A$3:$A$3390,J$1,'United Data'!$C$3:$C$3390,$A933)&gt;0,1,0)</f>
        <v>0</v>
      </c>
      <c r="K933">
        <f>IF(COUNTIFS('United Data'!$A$3:$A$3390,K$1,'United Data'!$C$3:$C$3390,$A933)&gt;0,1,0)</f>
        <v>0</v>
      </c>
      <c r="L933">
        <f>IF(COUNTIFS('United Data'!$A$3:$A$3390,L$1,'United Data'!$C$3:$C$3390,$A933)&gt;0,1,0)</f>
        <v>0</v>
      </c>
      <c r="M933">
        <f>IF(COUNTIFS('United Data'!$A$3:$A$3390,M$1,'United Data'!$C$3:$C$3390,$A933)&gt;0,1,0)</f>
        <v>0</v>
      </c>
      <c r="N933">
        <f>IF(COUNTIFS('United Data'!$A$3:$A$3390,N$1,'United Data'!$C$3:$C$3390,$A933)&gt;0,1,0)</f>
        <v>0</v>
      </c>
      <c r="O933">
        <f>IF(COUNTIFS('United Data'!$A$3:$A$3390,O$1,'United Data'!$C$3:$C$3390,$A933)&gt;0,1,0)</f>
        <v>0</v>
      </c>
      <c r="P933">
        <f>IF(COUNTIFS('United Data'!$A$3:$A$3390,P$1,'United Data'!$C$3:$C$3390,$A933)&gt;0,1,0)</f>
        <v>0</v>
      </c>
      <c r="Q933">
        <f>IF(COUNTIFS('United Data'!$A$3:$A$3390,Q$1,'United Data'!$C$3:$C$3390,$A933)&gt;0,1,0)</f>
        <v>0</v>
      </c>
      <c r="R933">
        <f>IF(COUNTIFS('United Data'!$A$3:$A$3390,R$1,'United Data'!$C$3:$C$3390,$A933)&gt;0,1,0)</f>
        <v>0</v>
      </c>
      <c r="S933">
        <f t="shared" si="28"/>
        <v>1</v>
      </c>
      <c r="T933">
        <f t="shared" si="29"/>
        <v>1</v>
      </c>
    </row>
    <row r="934" spans="1:20" x14ac:dyDescent="0.2">
      <c r="A934" t="s">
        <v>1126</v>
      </c>
      <c r="B934">
        <f>IF(COUNTIFS('United Data'!$A$3:$A$3390,B$1,'United Data'!$C$3:$C$3390,$A934)&gt;0,1,0)</f>
        <v>0</v>
      </c>
      <c r="C934">
        <f>IF(COUNTIFS('United Data'!$A$3:$A$3390,C$1,'United Data'!$C$3:$C$3390,$A934)&gt;0,1,0)</f>
        <v>0</v>
      </c>
      <c r="D934">
        <f>IF(COUNTIFS('United Data'!$A$3:$A$3390,D$1,'United Data'!$C$3:$C$3390,$A934)&gt;0,1,0)</f>
        <v>0</v>
      </c>
      <c r="E934">
        <f>IF(COUNTIFS('United Data'!$A$3:$A$3390,E$1,'United Data'!$C$3:$C$3390,$A934)&gt;0,1,0)</f>
        <v>0</v>
      </c>
      <c r="F934">
        <f>IF(COUNTIFS('United Data'!$A$3:$A$3390,F$1,'United Data'!$C$3:$C$3390,$A934)&gt;0,1,0)</f>
        <v>0</v>
      </c>
      <c r="G934">
        <f>IF(COUNTIFS('United Data'!$A$3:$A$3390,G$1,'United Data'!$C$3:$C$3390,$A934)&gt;0,1,0)</f>
        <v>0</v>
      </c>
      <c r="H934">
        <f>IF(COUNTIFS('United Data'!$A$3:$A$3390,H$1,'United Data'!$C$3:$C$3390,$A934)&gt;0,1,0)</f>
        <v>1</v>
      </c>
      <c r="I934">
        <f>IF(COUNTIFS('United Data'!$A$3:$A$3390,I$1,'United Data'!$C$3:$C$3390,$A934)&gt;0,1,0)</f>
        <v>0</v>
      </c>
      <c r="J934">
        <f>IF(COUNTIFS('United Data'!$A$3:$A$3390,J$1,'United Data'!$C$3:$C$3390,$A934)&gt;0,1,0)</f>
        <v>0</v>
      </c>
      <c r="K934">
        <f>IF(COUNTIFS('United Data'!$A$3:$A$3390,K$1,'United Data'!$C$3:$C$3390,$A934)&gt;0,1,0)</f>
        <v>1</v>
      </c>
      <c r="L934">
        <f>IF(COUNTIFS('United Data'!$A$3:$A$3390,L$1,'United Data'!$C$3:$C$3390,$A934)&gt;0,1,0)</f>
        <v>0</v>
      </c>
      <c r="M934">
        <f>IF(COUNTIFS('United Data'!$A$3:$A$3390,M$1,'United Data'!$C$3:$C$3390,$A934)&gt;0,1,0)</f>
        <v>0</v>
      </c>
      <c r="N934">
        <f>IF(COUNTIFS('United Data'!$A$3:$A$3390,N$1,'United Data'!$C$3:$C$3390,$A934)&gt;0,1,0)</f>
        <v>0</v>
      </c>
      <c r="O934">
        <f>IF(COUNTIFS('United Data'!$A$3:$A$3390,O$1,'United Data'!$C$3:$C$3390,$A934)&gt;0,1,0)</f>
        <v>0</v>
      </c>
      <c r="P934">
        <f>IF(COUNTIFS('United Data'!$A$3:$A$3390,P$1,'United Data'!$C$3:$C$3390,$A934)&gt;0,1,0)</f>
        <v>0</v>
      </c>
      <c r="Q934">
        <f>IF(COUNTIFS('United Data'!$A$3:$A$3390,Q$1,'United Data'!$C$3:$C$3390,$A934)&gt;0,1,0)</f>
        <v>0</v>
      </c>
      <c r="R934">
        <f>IF(COUNTIFS('United Data'!$A$3:$A$3390,R$1,'United Data'!$C$3:$C$3390,$A934)&gt;0,1,0)</f>
        <v>0</v>
      </c>
      <c r="S934">
        <f t="shared" si="28"/>
        <v>2</v>
      </c>
      <c r="T934">
        <f t="shared" si="29"/>
        <v>2</v>
      </c>
    </row>
    <row r="935" spans="1:20" x14ac:dyDescent="0.2">
      <c r="A935" t="s">
        <v>1127</v>
      </c>
      <c r="B935">
        <f>IF(COUNTIFS('United Data'!$A$3:$A$3390,B$1,'United Data'!$C$3:$C$3390,$A935)&gt;0,1,0)</f>
        <v>0</v>
      </c>
      <c r="C935">
        <f>IF(COUNTIFS('United Data'!$A$3:$A$3390,C$1,'United Data'!$C$3:$C$3390,$A935)&gt;0,1,0)</f>
        <v>0</v>
      </c>
      <c r="D935">
        <f>IF(COUNTIFS('United Data'!$A$3:$A$3390,D$1,'United Data'!$C$3:$C$3390,$A935)&gt;0,1,0)</f>
        <v>0</v>
      </c>
      <c r="E935">
        <f>IF(COUNTIFS('United Data'!$A$3:$A$3390,E$1,'United Data'!$C$3:$C$3390,$A935)&gt;0,1,0)</f>
        <v>0</v>
      </c>
      <c r="F935">
        <f>IF(COUNTIFS('United Data'!$A$3:$A$3390,F$1,'United Data'!$C$3:$C$3390,$A935)&gt;0,1,0)</f>
        <v>0</v>
      </c>
      <c r="G935">
        <f>IF(COUNTIFS('United Data'!$A$3:$A$3390,G$1,'United Data'!$C$3:$C$3390,$A935)&gt;0,1,0)</f>
        <v>0</v>
      </c>
      <c r="H935">
        <f>IF(COUNTIFS('United Data'!$A$3:$A$3390,H$1,'United Data'!$C$3:$C$3390,$A935)&gt;0,1,0)</f>
        <v>1</v>
      </c>
      <c r="I935">
        <f>IF(COUNTIFS('United Data'!$A$3:$A$3390,I$1,'United Data'!$C$3:$C$3390,$A935)&gt;0,1,0)</f>
        <v>0</v>
      </c>
      <c r="J935">
        <f>IF(COUNTIFS('United Data'!$A$3:$A$3390,J$1,'United Data'!$C$3:$C$3390,$A935)&gt;0,1,0)</f>
        <v>0</v>
      </c>
      <c r="K935">
        <f>IF(COUNTIFS('United Data'!$A$3:$A$3390,K$1,'United Data'!$C$3:$C$3390,$A935)&gt;0,1,0)</f>
        <v>0</v>
      </c>
      <c r="L935">
        <f>IF(COUNTIFS('United Data'!$A$3:$A$3390,L$1,'United Data'!$C$3:$C$3390,$A935)&gt;0,1,0)</f>
        <v>0</v>
      </c>
      <c r="M935">
        <f>IF(COUNTIFS('United Data'!$A$3:$A$3390,M$1,'United Data'!$C$3:$C$3390,$A935)&gt;0,1,0)</f>
        <v>0</v>
      </c>
      <c r="N935">
        <f>IF(COUNTIFS('United Data'!$A$3:$A$3390,N$1,'United Data'!$C$3:$C$3390,$A935)&gt;0,1,0)</f>
        <v>0</v>
      </c>
      <c r="O935">
        <f>IF(COUNTIFS('United Data'!$A$3:$A$3390,O$1,'United Data'!$C$3:$C$3390,$A935)&gt;0,1,0)</f>
        <v>0</v>
      </c>
      <c r="P935">
        <f>IF(COUNTIFS('United Data'!$A$3:$A$3390,P$1,'United Data'!$C$3:$C$3390,$A935)&gt;0,1,0)</f>
        <v>0</v>
      </c>
      <c r="Q935">
        <f>IF(COUNTIFS('United Data'!$A$3:$A$3390,Q$1,'United Data'!$C$3:$C$3390,$A935)&gt;0,1,0)</f>
        <v>0</v>
      </c>
      <c r="R935">
        <f>IF(COUNTIFS('United Data'!$A$3:$A$3390,R$1,'United Data'!$C$3:$C$3390,$A935)&gt;0,1,0)</f>
        <v>0</v>
      </c>
      <c r="S935">
        <f t="shared" si="28"/>
        <v>1</v>
      </c>
      <c r="T935">
        <f t="shared" si="29"/>
        <v>1</v>
      </c>
    </row>
    <row r="936" spans="1:20" x14ac:dyDescent="0.2">
      <c r="A936" t="s">
        <v>1128</v>
      </c>
      <c r="B936">
        <f>IF(COUNTIFS('United Data'!$A$3:$A$3390,B$1,'United Data'!$C$3:$C$3390,$A936)&gt;0,1,0)</f>
        <v>0</v>
      </c>
      <c r="C936">
        <f>IF(COUNTIFS('United Data'!$A$3:$A$3390,C$1,'United Data'!$C$3:$C$3390,$A936)&gt;0,1,0)</f>
        <v>0</v>
      </c>
      <c r="D936">
        <f>IF(COUNTIFS('United Data'!$A$3:$A$3390,D$1,'United Data'!$C$3:$C$3390,$A936)&gt;0,1,0)</f>
        <v>0</v>
      </c>
      <c r="E936">
        <f>IF(COUNTIFS('United Data'!$A$3:$A$3390,E$1,'United Data'!$C$3:$C$3390,$A936)&gt;0,1,0)</f>
        <v>0</v>
      </c>
      <c r="F936">
        <f>IF(COUNTIFS('United Data'!$A$3:$A$3390,F$1,'United Data'!$C$3:$C$3390,$A936)&gt;0,1,0)</f>
        <v>0</v>
      </c>
      <c r="G936">
        <f>IF(COUNTIFS('United Data'!$A$3:$A$3390,G$1,'United Data'!$C$3:$C$3390,$A936)&gt;0,1,0)</f>
        <v>0</v>
      </c>
      <c r="H936">
        <f>IF(COUNTIFS('United Data'!$A$3:$A$3390,H$1,'United Data'!$C$3:$C$3390,$A936)&gt;0,1,0)</f>
        <v>0</v>
      </c>
      <c r="I936">
        <f>IF(COUNTIFS('United Data'!$A$3:$A$3390,I$1,'United Data'!$C$3:$C$3390,$A936)&gt;0,1,0)</f>
        <v>1</v>
      </c>
      <c r="J936">
        <f>IF(COUNTIFS('United Data'!$A$3:$A$3390,J$1,'United Data'!$C$3:$C$3390,$A936)&gt;0,1,0)</f>
        <v>0</v>
      </c>
      <c r="K936">
        <f>IF(COUNTIFS('United Data'!$A$3:$A$3390,K$1,'United Data'!$C$3:$C$3390,$A936)&gt;0,1,0)</f>
        <v>0</v>
      </c>
      <c r="L936">
        <f>IF(COUNTIFS('United Data'!$A$3:$A$3390,L$1,'United Data'!$C$3:$C$3390,$A936)&gt;0,1,0)</f>
        <v>0</v>
      </c>
      <c r="M936">
        <f>IF(COUNTIFS('United Data'!$A$3:$A$3390,M$1,'United Data'!$C$3:$C$3390,$A936)&gt;0,1,0)</f>
        <v>1</v>
      </c>
      <c r="N936">
        <f>IF(COUNTIFS('United Data'!$A$3:$A$3390,N$1,'United Data'!$C$3:$C$3390,$A936)&gt;0,1,0)</f>
        <v>0</v>
      </c>
      <c r="O936">
        <f>IF(COUNTIFS('United Data'!$A$3:$A$3390,O$1,'United Data'!$C$3:$C$3390,$A936)&gt;0,1,0)</f>
        <v>0</v>
      </c>
      <c r="P936">
        <f>IF(COUNTIFS('United Data'!$A$3:$A$3390,P$1,'United Data'!$C$3:$C$3390,$A936)&gt;0,1,0)</f>
        <v>0</v>
      </c>
      <c r="Q936">
        <f>IF(COUNTIFS('United Data'!$A$3:$A$3390,Q$1,'United Data'!$C$3:$C$3390,$A936)&gt;0,1,0)</f>
        <v>0</v>
      </c>
      <c r="R936">
        <f>IF(COUNTIFS('United Data'!$A$3:$A$3390,R$1,'United Data'!$C$3:$C$3390,$A936)&gt;0,1,0)</f>
        <v>0</v>
      </c>
      <c r="S936">
        <f t="shared" si="28"/>
        <v>2</v>
      </c>
      <c r="T936">
        <f t="shared" si="29"/>
        <v>2</v>
      </c>
    </row>
    <row r="937" spans="1:20" x14ac:dyDescent="0.2">
      <c r="A937" t="s">
        <v>1129</v>
      </c>
      <c r="B937">
        <f>IF(COUNTIFS('United Data'!$A$3:$A$3390,B$1,'United Data'!$C$3:$C$3390,$A937)&gt;0,1,0)</f>
        <v>0</v>
      </c>
      <c r="C937">
        <f>IF(COUNTIFS('United Data'!$A$3:$A$3390,C$1,'United Data'!$C$3:$C$3390,$A937)&gt;0,1,0)</f>
        <v>0</v>
      </c>
      <c r="D937">
        <f>IF(COUNTIFS('United Data'!$A$3:$A$3390,D$1,'United Data'!$C$3:$C$3390,$A937)&gt;0,1,0)</f>
        <v>0</v>
      </c>
      <c r="E937">
        <f>IF(COUNTIFS('United Data'!$A$3:$A$3390,E$1,'United Data'!$C$3:$C$3390,$A937)&gt;0,1,0)</f>
        <v>0</v>
      </c>
      <c r="F937">
        <f>IF(COUNTIFS('United Data'!$A$3:$A$3390,F$1,'United Data'!$C$3:$C$3390,$A937)&gt;0,1,0)</f>
        <v>0</v>
      </c>
      <c r="G937">
        <f>IF(COUNTIFS('United Data'!$A$3:$A$3390,G$1,'United Data'!$C$3:$C$3390,$A937)&gt;0,1,0)</f>
        <v>0</v>
      </c>
      <c r="H937">
        <f>IF(COUNTIFS('United Data'!$A$3:$A$3390,H$1,'United Data'!$C$3:$C$3390,$A937)&gt;0,1,0)</f>
        <v>0</v>
      </c>
      <c r="I937">
        <f>IF(COUNTIFS('United Data'!$A$3:$A$3390,I$1,'United Data'!$C$3:$C$3390,$A937)&gt;0,1,0)</f>
        <v>0</v>
      </c>
      <c r="J937">
        <f>IF(COUNTIFS('United Data'!$A$3:$A$3390,J$1,'United Data'!$C$3:$C$3390,$A937)&gt;0,1,0)</f>
        <v>1</v>
      </c>
      <c r="K937">
        <f>IF(COUNTIFS('United Data'!$A$3:$A$3390,K$1,'United Data'!$C$3:$C$3390,$A937)&gt;0,1,0)</f>
        <v>0</v>
      </c>
      <c r="L937">
        <f>IF(COUNTIFS('United Data'!$A$3:$A$3390,L$1,'United Data'!$C$3:$C$3390,$A937)&gt;0,1,0)</f>
        <v>0</v>
      </c>
      <c r="M937">
        <f>IF(COUNTIFS('United Data'!$A$3:$A$3390,M$1,'United Data'!$C$3:$C$3390,$A937)&gt;0,1,0)</f>
        <v>0</v>
      </c>
      <c r="N937">
        <f>IF(COUNTIFS('United Data'!$A$3:$A$3390,N$1,'United Data'!$C$3:$C$3390,$A937)&gt;0,1,0)</f>
        <v>0</v>
      </c>
      <c r="O937">
        <f>IF(COUNTIFS('United Data'!$A$3:$A$3390,O$1,'United Data'!$C$3:$C$3390,$A937)&gt;0,1,0)</f>
        <v>0</v>
      </c>
      <c r="P937">
        <f>IF(COUNTIFS('United Data'!$A$3:$A$3390,P$1,'United Data'!$C$3:$C$3390,$A937)&gt;0,1,0)</f>
        <v>0</v>
      </c>
      <c r="Q937">
        <f>IF(COUNTIFS('United Data'!$A$3:$A$3390,Q$1,'United Data'!$C$3:$C$3390,$A937)&gt;0,1,0)</f>
        <v>0</v>
      </c>
      <c r="R937">
        <f>IF(COUNTIFS('United Data'!$A$3:$A$3390,R$1,'United Data'!$C$3:$C$3390,$A937)&gt;0,1,0)</f>
        <v>0</v>
      </c>
      <c r="S937">
        <f t="shared" si="28"/>
        <v>1</v>
      </c>
      <c r="T937">
        <f t="shared" si="29"/>
        <v>1</v>
      </c>
    </row>
    <row r="938" spans="1:20" x14ac:dyDescent="0.2">
      <c r="A938" t="s">
        <v>2087</v>
      </c>
      <c r="B938">
        <f>IF(COUNTIFS('United Data'!$A$3:$A$3390,B$1,'United Data'!$C$3:$C$3390,$A938)&gt;0,1,0)</f>
        <v>0</v>
      </c>
      <c r="C938">
        <f>IF(COUNTIFS('United Data'!$A$3:$A$3390,C$1,'United Data'!$C$3:$C$3390,$A938)&gt;0,1,0)</f>
        <v>0</v>
      </c>
      <c r="D938">
        <f>IF(COUNTIFS('United Data'!$A$3:$A$3390,D$1,'United Data'!$C$3:$C$3390,$A938)&gt;0,1,0)</f>
        <v>0</v>
      </c>
      <c r="E938">
        <f>IF(COUNTIFS('United Data'!$A$3:$A$3390,E$1,'United Data'!$C$3:$C$3390,$A938)&gt;0,1,0)</f>
        <v>0</v>
      </c>
      <c r="F938">
        <f>IF(COUNTIFS('United Data'!$A$3:$A$3390,F$1,'United Data'!$C$3:$C$3390,$A938)&gt;0,1,0)</f>
        <v>0</v>
      </c>
      <c r="G938">
        <f>IF(COUNTIFS('United Data'!$A$3:$A$3390,G$1,'United Data'!$C$3:$C$3390,$A938)&gt;0,1,0)</f>
        <v>0</v>
      </c>
      <c r="H938">
        <f>IF(COUNTIFS('United Data'!$A$3:$A$3390,H$1,'United Data'!$C$3:$C$3390,$A938)&gt;0,1,0)</f>
        <v>0</v>
      </c>
      <c r="I938">
        <f>IF(COUNTIFS('United Data'!$A$3:$A$3390,I$1,'United Data'!$C$3:$C$3390,$A938)&gt;0,1,0)</f>
        <v>0</v>
      </c>
      <c r="J938">
        <f>IF(COUNTIFS('United Data'!$A$3:$A$3390,J$1,'United Data'!$C$3:$C$3390,$A938)&gt;0,1,0)</f>
        <v>0</v>
      </c>
      <c r="K938">
        <f>IF(COUNTIFS('United Data'!$A$3:$A$3390,K$1,'United Data'!$C$3:$C$3390,$A938)&gt;0,1,0)</f>
        <v>0</v>
      </c>
      <c r="L938">
        <f>IF(COUNTIFS('United Data'!$A$3:$A$3390,L$1,'United Data'!$C$3:$C$3390,$A938)&gt;0,1,0)</f>
        <v>0</v>
      </c>
      <c r="M938">
        <f>IF(COUNTIFS('United Data'!$A$3:$A$3390,M$1,'United Data'!$C$3:$C$3390,$A938)&gt;0,1,0)</f>
        <v>0</v>
      </c>
      <c r="N938">
        <f>IF(COUNTIFS('United Data'!$A$3:$A$3390,N$1,'United Data'!$C$3:$C$3390,$A938)&gt;0,1,0)</f>
        <v>0</v>
      </c>
      <c r="O938">
        <f>IF(COUNTIFS('United Data'!$A$3:$A$3390,O$1,'United Data'!$C$3:$C$3390,$A938)&gt;0,1,0)</f>
        <v>0</v>
      </c>
      <c r="P938">
        <f>IF(COUNTIFS('United Data'!$A$3:$A$3390,P$1,'United Data'!$C$3:$C$3390,$A938)&gt;0,1,0)</f>
        <v>0</v>
      </c>
      <c r="Q938">
        <f>IF(COUNTIFS('United Data'!$A$3:$A$3390,Q$1,'United Data'!$C$3:$C$3390,$A938)&gt;0,1,0)</f>
        <v>0</v>
      </c>
      <c r="R938">
        <f>IF(COUNTIFS('United Data'!$A$3:$A$3390,R$1,'United Data'!$C$3:$C$3390,$A938)&gt;0,1,0)</f>
        <v>0</v>
      </c>
      <c r="S938">
        <f t="shared" si="28"/>
        <v>0</v>
      </c>
      <c r="T938">
        <f t="shared" si="29"/>
        <v>0</v>
      </c>
    </row>
    <row r="939" spans="1:20" x14ac:dyDescent="0.2">
      <c r="A939" t="s">
        <v>1131</v>
      </c>
      <c r="B939">
        <f>IF(COUNTIFS('United Data'!$A$3:$A$3390,B$1,'United Data'!$C$3:$C$3390,$A939)&gt;0,1,0)</f>
        <v>0</v>
      </c>
      <c r="C939">
        <f>IF(COUNTIFS('United Data'!$A$3:$A$3390,C$1,'United Data'!$C$3:$C$3390,$A939)&gt;0,1,0)</f>
        <v>0</v>
      </c>
      <c r="D939">
        <f>IF(COUNTIFS('United Data'!$A$3:$A$3390,D$1,'United Data'!$C$3:$C$3390,$A939)&gt;0,1,0)</f>
        <v>0</v>
      </c>
      <c r="E939">
        <f>IF(COUNTIFS('United Data'!$A$3:$A$3390,E$1,'United Data'!$C$3:$C$3390,$A939)&gt;0,1,0)</f>
        <v>0</v>
      </c>
      <c r="F939">
        <f>IF(COUNTIFS('United Data'!$A$3:$A$3390,F$1,'United Data'!$C$3:$C$3390,$A939)&gt;0,1,0)</f>
        <v>0</v>
      </c>
      <c r="G939">
        <f>IF(COUNTIFS('United Data'!$A$3:$A$3390,G$1,'United Data'!$C$3:$C$3390,$A939)&gt;0,1,0)</f>
        <v>0</v>
      </c>
      <c r="H939">
        <f>IF(COUNTIFS('United Data'!$A$3:$A$3390,H$1,'United Data'!$C$3:$C$3390,$A939)&gt;0,1,0)</f>
        <v>0</v>
      </c>
      <c r="I939">
        <f>IF(COUNTIFS('United Data'!$A$3:$A$3390,I$1,'United Data'!$C$3:$C$3390,$A939)&gt;0,1,0)</f>
        <v>0</v>
      </c>
      <c r="J939">
        <f>IF(COUNTIFS('United Data'!$A$3:$A$3390,J$1,'United Data'!$C$3:$C$3390,$A939)&gt;0,1,0)</f>
        <v>0</v>
      </c>
      <c r="K939">
        <f>IF(COUNTIFS('United Data'!$A$3:$A$3390,K$1,'United Data'!$C$3:$C$3390,$A939)&gt;0,1,0)</f>
        <v>1</v>
      </c>
      <c r="L939">
        <f>IF(COUNTIFS('United Data'!$A$3:$A$3390,L$1,'United Data'!$C$3:$C$3390,$A939)&gt;0,1,0)</f>
        <v>0</v>
      </c>
      <c r="M939">
        <f>IF(COUNTIFS('United Data'!$A$3:$A$3390,M$1,'United Data'!$C$3:$C$3390,$A939)&gt;0,1,0)</f>
        <v>0</v>
      </c>
      <c r="N939">
        <f>IF(COUNTIFS('United Data'!$A$3:$A$3390,N$1,'United Data'!$C$3:$C$3390,$A939)&gt;0,1,0)</f>
        <v>0</v>
      </c>
      <c r="O939">
        <f>IF(COUNTIFS('United Data'!$A$3:$A$3390,O$1,'United Data'!$C$3:$C$3390,$A939)&gt;0,1,0)</f>
        <v>0</v>
      </c>
      <c r="P939">
        <f>IF(COUNTIFS('United Data'!$A$3:$A$3390,P$1,'United Data'!$C$3:$C$3390,$A939)&gt;0,1,0)</f>
        <v>0</v>
      </c>
      <c r="Q939">
        <f>IF(COUNTIFS('United Data'!$A$3:$A$3390,Q$1,'United Data'!$C$3:$C$3390,$A939)&gt;0,1,0)</f>
        <v>0</v>
      </c>
      <c r="R939">
        <f>IF(COUNTIFS('United Data'!$A$3:$A$3390,R$1,'United Data'!$C$3:$C$3390,$A939)&gt;0,1,0)</f>
        <v>0</v>
      </c>
      <c r="S939">
        <f t="shared" si="28"/>
        <v>1</v>
      </c>
      <c r="T939">
        <f t="shared" si="29"/>
        <v>1</v>
      </c>
    </row>
    <row r="940" spans="1:20" x14ac:dyDescent="0.2">
      <c r="A940" t="s">
        <v>1132</v>
      </c>
      <c r="B940">
        <f>IF(COUNTIFS('United Data'!$A$3:$A$3390,B$1,'United Data'!$C$3:$C$3390,$A940)&gt;0,1,0)</f>
        <v>0</v>
      </c>
      <c r="C940">
        <f>IF(COUNTIFS('United Data'!$A$3:$A$3390,C$1,'United Data'!$C$3:$C$3390,$A940)&gt;0,1,0)</f>
        <v>0</v>
      </c>
      <c r="D940">
        <f>IF(COUNTIFS('United Data'!$A$3:$A$3390,D$1,'United Data'!$C$3:$C$3390,$A940)&gt;0,1,0)</f>
        <v>0</v>
      </c>
      <c r="E940">
        <f>IF(COUNTIFS('United Data'!$A$3:$A$3390,E$1,'United Data'!$C$3:$C$3390,$A940)&gt;0,1,0)</f>
        <v>0</v>
      </c>
      <c r="F940">
        <f>IF(COUNTIFS('United Data'!$A$3:$A$3390,F$1,'United Data'!$C$3:$C$3390,$A940)&gt;0,1,0)</f>
        <v>0</v>
      </c>
      <c r="G940">
        <f>IF(COUNTIFS('United Data'!$A$3:$A$3390,G$1,'United Data'!$C$3:$C$3390,$A940)&gt;0,1,0)</f>
        <v>0</v>
      </c>
      <c r="H940">
        <f>IF(COUNTIFS('United Data'!$A$3:$A$3390,H$1,'United Data'!$C$3:$C$3390,$A940)&gt;0,1,0)</f>
        <v>0</v>
      </c>
      <c r="I940">
        <f>IF(COUNTIFS('United Data'!$A$3:$A$3390,I$1,'United Data'!$C$3:$C$3390,$A940)&gt;0,1,0)</f>
        <v>0</v>
      </c>
      <c r="J940">
        <f>IF(COUNTIFS('United Data'!$A$3:$A$3390,J$1,'United Data'!$C$3:$C$3390,$A940)&gt;0,1,0)</f>
        <v>0</v>
      </c>
      <c r="K940">
        <f>IF(COUNTIFS('United Data'!$A$3:$A$3390,K$1,'United Data'!$C$3:$C$3390,$A940)&gt;0,1,0)</f>
        <v>0</v>
      </c>
      <c r="L940">
        <f>IF(COUNTIFS('United Data'!$A$3:$A$3390,L$1,'United Data'!$C$3:$C$3390,$A940)&gt;0,1,0)</f>
        <v>0</v>
      </c>
      <c r="M940">
        <f>IF(COUNTIFS('United Data'!$A$3:$A$3390,M$1,'United Data'!$C$3:$C$3390,$A940)&gt;0,1,0)</f>
        <v>1</v>
      </c>
      <c r="N940">
        <f>IF(COUNTIFS('United Data'!$A$3:$A$3390,N$1,'United Data'!$C$3:$C$3390,$A940)&gt;0,1,0)</f>
        <v>0</v>
      </c>
      <c r="O940">
        <f>IF(COUNTIFS('United Data'!$A$3:$A$3390,O$1,'United Data'!$C$3:$C$3390,$A940)&gt;0,1,0)</f>
        <v>0</v>
      </c>
      <c r="P940">
        <f>IF(COUNTIFS('United Data'!$A$3:$A$3390,P$1,'United Data'!$C$3:$C$3390,$A940)&gt;0,1,0)</f>
        <v>0</v>
      </c>
      <c r="Q940">
        <f>IF(COUNTIFS('United Data'!$A$3:$A$3390,Q$1,'United Data'!$C$3:$C$3390,$A940)&gt;0,1,0)</f>
        <v>0</v>
      </c>
      <c r="R940">
        <f>IF(COUNTIFS('United Data'!$A$3:$A$3390,R$1,'United Data'!$C$3:$C$3390,$A940)&gt;0,1,0)</f>
        <v>0</v>
      </c>
      <c r="S940">
        <f t="shared" si="28"/>
        <v>1</v>
      </c>
      <c r="T940">
        <f t="shared" si="29"/>
        <v>1</v>
      </c>
    </row>
    <row r="941" spans="1:20" x14ac:dyDescent="0.2">
      <c r="A941" t="s">
        <v>1133</v>
      </c>
      <c r="B941">
        <f>IF(COUNTIFS('United Data'!$A$3:$A$3390,B$1,'United Data'!$C$3:$C$3390,$A941)&gt;0,1,0)</f>
        <v>0</v>
      </c>
      <c r="C941">
        <f>IF(COUNTIFS('United Data'!$A$3:$A$3390,C$1,'United Data'!$C$3:$C$3390,$A941)&gt;0,1,0)</f>
        <v>0</v>
      </c>
      <c r="D941">
        <f>IF(COUNTIFS('United Data'!$A$3:$A$3390,D$1,'United Data'!$C$3:$C$3390,$A941)&gt;0,1,0)</f>
        <v>0</v>
      </c>
      <c r="E941">
        <f>IF(COUNTIFS('United Data'!$A$3:$A$3390,E$1,'United Data'!$C$3:$C$3390,$A941)&gt;0,1,0)</f>
        <v>0</v>
      </c>
      <c r="F941">
        <f>IF(COUNTIFS('United Data'!$A$3:$A$3390,F$1,'United Data'!$C$3:$C$3390,$A941)&gt;0,1,0)</f>
        <v>0</v>
      </c>
      <c r="G941">
        <f>IF(COUNTIFS('United Data'!$A$3:$A$3390,G$1,'United Data'!$C$3:$C$3390,$A941)&gt;0,1,0)</f>
        <v>0</v>
      </c>
      <c r="H941">
        <f>IF(COUNTIFS('United Data'!$A$3:$A$3390,H$1,'United Data'!$C$3:$C$3390,$A941)&gt;0,1,0)</f>
        <v>0</v>
      </c>
      <c r="I941">
        <f>IF(COUNTIFS('United Data'!$A$3:$A$3390,I$1,'United Data'!$C$3:$C$3390,$A941)&gt;0,1,0)</f>
        <v>0</v>
      </c>
      <c r="J941">
        <f>IF(COUNTIFS('United Data'!$A$3:$A$3390,J$1,'United Data'!$C$3:$C$3390,$A941)&gt;0,1,0)</f>
        <v>0</v>
      </c>
      <c r="K941">
        <f>IF(COUNTIFS('United Data'!$A$3:$A$3390,K$1,'United Data'!$C$3:$C$3390,$A941)&gt;0,1,0)</f>
        <v>0</v>
      </c>
      <c r="L941">
        <f>IF(COUNTIFS('United Data'!$A$3:$A$3390,L$1,'United Data'!$C$3:$C$3390,$A941)&gt;0,1,0)</f>
        <v>0</v>
      </c>
      <c r="M941">
        <f>IF(COUNTIFS('United Data'!$A$3:$A$3390,M$1,'United Data'!$C$3:$C$3390,$A941)&gt;0,1,0)</f>
        <v>0</v>
      </c>
      <c r="N941">
        <f>IF(COUNTIFS('United Data'!$A$3:$A$3390,N$1,'United Data'!$C$3:$C$3390,$A941)&gt;0,1,0)</f>
        <v>1</v>
      </c>
      <c r="O941">
        <f>IF(COUNTIFS('United Data'!$A$3:$A$3390,O$1,'United Data'!$C$3:$C$3390,$A941)&gt;0,1,0)</f>
        <v>0</v>
      </c>
      <c r="P941">
        <f>IF(COUNTIFS('United Data'!$A$3:$A$3390,P$1,'United Data'!$C$3:$C$3390,$A941)&gt;0,1,0)</f>
        <v>0</v>
      </c>
      <c r="Q941">
        <f>IF(COUNTIFS('United Data'!$A$3:$A$3390,Q$1,'United Data'!$C$3:$C$3390,$A941)&gt;0,1,0)</f>
        <v>0</v>
      </c>
      <c r="R941">
        <f>IF(COUNTIFS('United Data'!$A$3:$A$3390,R$1,'United Data'!$C$3:$C$3390,$A941)&gt;0,1,0)</f>
        <v>0</v>
      </c>
      <c r="S941">
        <f t="shared" si="28"/>
        <v>1</v>
      </c>
      <c r="T941">
        <f t="shared" si="29"/>
        <v>1</v>
      </c>
    </row>
    <row r="942" spans="1:20" x14ac:dyDescent="0.2">
      <c r="A942" t="s">
        <v>1134</v>
      </c>
      <c r="B942">
        <f>IF(COUNTIFS('United Data'!$A$3:$A$3390,B$1,'United Data'!$C$3:$C$3390,$A942)&gt;0,1,0)</f>
        <v>0</v>
      </c>
      <c r="C942">
        <f>IF(COUNTIFS('United Data'!$A$3:$A$3390,C$1,'United Data'!$C$3:$C$3390,$A942)&gt;0,1,0)</f>
        <v>0</v>
      </c>
      <c r="D942">
        <f>IF(COUNTIFS('United Data'!$A$3:$A$3390,D$1,'United Data'!$C$3:$C$3390,$A942)&gt;0,1,0)</f>
        <v>0</v>
      </c>
      <c r="E942">
        <f>IF(COUNTIFS('United Data'!$A$3:$A$3390,E$1,'United Data'!$C$3:$C$3390,$A942)&gt;0,1,0)</f>
        <v>0</v>
      </c>
      <c r="F942">
        <f>IF(COUNTIFS('United Data'!$A$3:$A$3390,F$1,'United Data'!$C$3:$C$3390,$A942)&gt;0,1,0)</f>
        <v>0</v>
      </c>
      <c r="G942">
        <f>IF(COUNTIFS('United Data'!$A$3:$A$3390,G$1,'United Data'!$C$3:$C$3390,$A942)&gt;0,1,0)</f>
        <v>0</v>
      </c>
      <c r="H942">
        <f>IF(COUNTIFS('United Data'!$A$3:$A$3390,H$1,'United Data'!$C$3:$C$3390,$A942)&gt;0,1,0)</f>
        <v>0</v>
      </c>
      <c r="I942">
        <f>IF(COUNTIFS('United Data'!$A$3:$A$3390,I$1,'United Data'!$C$3:$C$3390,$A942)&gt;0,1,0)</f>
        <v>0</v>
      </c>
      <c r="J942">
        <f>IF(COUNTIFS('United Data'!$A$3:$A$3390,J$1,'United Data'!$C$3:$C$3390,$A942)&gt;0,1,0)</f>
        <v>0</v>
      </c>
      <c r="K942">
        <f>IF(COUNTIFS('United Data'!$A$3:$A$3390,K$1,'United Data'!$C$3:$C$3390,$A942)&gt;0,1,0)</f>
        <v>0</v>
      </c>
      <c r="L942">
        <f>IF(COUNTIFS('United Data'!$A$3:$A$3390,L$1,'United Data'!$C$3:$C$3390,$A942)&gt;0,1,0)</f>
        <v>0</v>
      </c>
      <c r="M942">
        <f>IF(COUNTIFS('United Data'!$A$3:$A$3390,M$1,'United Data'!$C$3:$C$3390,$A942)&gt;0,1,0)</f>
        <v>0</v>
      </c>
      <c r="N942">
        <f>IF(COUNTIFS('United Data'!$A$3:$A$3390,N$1,'United Data'!$C$3:$C$3390,$A942)&gt;0,1,0)</f>
        <v>1</v>
      </c>
      <c r="O942">
        <f>IF(COUNTIFS('United Data'!$A$3:$A$3390,O$1,'United Data'!$C$3:$C$3390,$A942)&gt;0,1,0)</f>
        <v>0</v>
      </c>
      <c r="P942">
        <f>IF(COUNTIFS('United Data'!$A$3:$A$3390,P$1,'United Data'!$C$3:$C$3390,$A942)&gt;0,1,0)</f>
        <v>0</v>
      </c>
      <c r="Q942">
        <f>IF(COUNTIFS('United Data'!$A$3:$A$3390,Q$1,'United Data'!$C$3:$C$3390,$A942)&gt;0,1,0)</f>
        <v>0</v>
      </c>
      <c r="R942">
        <f>IF(COUNTIFS('United Data'!$A$3:$A$3390,R$1,'United Data'!$C$3:$C$3390,$A942)&gt;0,1,0)</f>
        <v>0</v>
      </c>
      <c r="S942">
        <f t="shared" si="28"/>
        <v>1</v>
      </c>
      <c r="T942">
        <f t="shared" si="29"/>
        <v>1</v>
      </c>
    </row>
    <row r="943" spans="1:20" x14ac:dyDescent="0.2">
      <c r="A943" t="s">
        <v>1135</v>
      </c>
      <c r="B943">
        <f>IF(COUNTIFS('United Data'!$A$3:$A$3390,B$1,'United Data'!$C$3:$C$3390,$A943)&gt;0,1,0)</f>
        <v>0</v>
      </c>
      <c r="C943">
        <f>IF(COUNTIFS('United Data'!$A$3:$A$3390,C$1,'United Data'!$C$3:$C$3390,$A943)&gt;0,1,0)</f>
        <v>0</v>
      </c>
      <c r="D943">
        <f>IF(COUNTIFS('United Data'!$A$3:$A$3390,D$1,'United Data'!$C$3:$C$3390,$A943)&gt;0,1,0)</f>
        <v>0</v>
      </c>
      <c r="E943">
        <f>IF(COUNTIFS('United Data'!$A$3:$A$3390,E$1,'United Data'!$C$3:$C$3390,$A943)&gt;0,1,0)</f>
        <v>0</v>
      </c>
      <c r="F943">
        <f>IF(COUNTIFS('United Data'!$A$3:$A$3390,F$1,'United Data'!$C$3:$C$3390,$A943)&gt;0,1,0)</f>
        <v>0</v>
      </c>
      <c r="G943">
        <f>IF(COUNTIFS('United Data'!$A$3:$A$3390,G$1,'United Data'!$C$3:$C$3390,$A943)&gt;0,1,0)</f>
        <v>0</v>
      </c>
      <c r="H943">
        <f>IF(COUNTIFS('United Data'!$A$3:$A$3390,H$1,'United Data'!$C$3:$C$3390,$A943)&gt;0,1,0)</f>
        <v>0</v>
      </c>
      <c r="I943">
        <f>IF(COUNTIFS('United Data'!$A$3:$A$3390,I$1,'United Data'!$C$3:$C$3390,$A943)&gt;0,1,0)</f>
        <v>0</v>
      </c>
      <c r="J943">
        <f>IF(COUNTIFS('United Data'!$A$3:$A$3390,J$1,'United Data'!$C$3:$C$3390,$A943)&gt;0,1,0)</f>
        <v>0</v>
      </c>
      <c r="K943">
        <f>IF(COUNTIFS('United Data'!$A$3:$A$3390,K$1,'United Data'!$C$3:$C$3390,$A943)&gt;0,1,0)</f>
        <v>0</v>
      </c>
      <c r="L943">
        <f>IF(COUNTIFS('United Data'!$A$3:$A$3390,L$1,'United Data'!$C$3:$C$3390,$A943)&gt;0,1,0)</f>
        <v>0</v>
      </c>
      <c r="M943">
        <f>IF(COUNTIFS('United Data'!$A$3:$A$3390,M$1,'United Data'!$C$3:$C$3390,$A943)&gt;0,1,0)</f>
        <v>0</v>
      </c>
      <c r="N943">
        <f>IF(COUNTIFS('United Data'!$A$3:$A$3390,N$1,'United Data'!$C$3:$C$3390,$A943)&gt;0,1,0)</f>
        <v>1</v>
      </c>
      <c r="O943">
        <f>IF(COUNTIFS('United Data'!$A$3:$A$3390,O$1,'United Data'!$C$3:$C$3390,$A943)&gt;0,1,0)</f>
        <v>0</v>
      </c>
      <c r="P943">
        <f>IF(COUNTIFS('United Data'!$A$3:$A$3390,P$1,'United Data'!$C$3:$C$3390,$A943)&gt;0,1,0)</f>
        <v>0</v>
      </c>
      <c r="Q943">
        <f>IF(COUNTIFS('United Data'!$A$3:$A$3390,Q$1,'United Data'!$C$3:$C$3390,$A943)&gt;0,1,0)</f>
        <v>0</v>
      </c>
      <c r="R943">
        <f>IF(COUNTIFS('United Data'!$A$3:$A$3390,R$1,'United Data'!$C$3:$C$3390,$A943)&gt;0,1,0)</f>
        <v>0</v>
      </c>
      <c r="S943">
        <f t="shared" si="28"/>
        <v>1</v>
      </c>
      <c r="T943">
        <f t="shared" si="29"/>
        <v>1</v>
      </c>
    </row>
    <row r="944" spans="1:20" x14ac:dyDescent="0.2">
      <c r="A944" t="s">
        <v>1136</v>
      </c>
      <c r="B944">
        <f>IF(COUNTIFS('United Data'!$A$3:$A$3390,B$1,'United Data'!$C$3:$C$3390,$A944)&gt;0,1,0)</f>
        <v>0</v>
      </c>
      <c r="C944">
        <f>IF(COUNTIFS('United Data'!$A$3:$A$3390,C$1,'United Data'!$C$3:$C$3390,$A944)&gt;0,1,0)</f>
        <v>0</v>
      </c>
      <c r="D944">
        <f>IF(COUNTIFS('United Data'!$A$3:$A$3390,D$1,'United Data'!$C$3:$C$3390,$A944)&gt;0,1,0)</f>
        <v>0</v>
      </c>
      <c r="E944">
        <f>IF(COUNTIFS('United Data'!$A$3:$A$3390,E$1,'United Data'!$C$3:$C$3390,$A944)&gt;0,1,0)</f>
        <v>0</v>
      </c>
      <c r="F944">
        <f>IF(COUNTIFS('United Data'!$A$3:$A$3390,F$1,'United Data'!$C$3:$C$3390,$A944)&gt;0,1,0)</f>
        <v>0</v>
      </c>
      <c r="G944">
        <f>IF(COUNTIFS('United Data'!$A$3:$A$3390,G$1,'United Data'!$C$3:$C$3390,$A944)&gt;0,1,0)</f>
        <v>0</v>
      </c>
      <c r="H944">
        <f>IF(COUNTIFS('United Data'!$A$3:$A$3390,H$1,'United Data'!$C$3:$C$3390,$A944)&gt;0,1,0)</f>
        <v>0</v>
      </c>
      <c r="I944">
        <f>IF(COUNTIFS('United Data'!$A$3:$A$3390,I$1,'United Data'!$C$3:$C$3390,$A944)&gt;0,1,0)</f>
        <v>0</v>
      </c>
      <c r="J944">
        <f>IF(COUNTIFS('United Data'!$A$3:$A$3390,J$1,'United Data'!$C$3:$C$3390,$A944)&gt;0,1,0)</f>
        <v>0</v>
      </c>
      <c r="K944">
        <f>IF(COUNTIFS('United Data'!$A$3:$A$3390,K$1,'United Data'!$C$3:$C$3390,$A944)&gt;0,1,0)</f>
        <v>0</v>
      </c>
      <c r="L944">
        <f>IF(COUNTIFS('United Data'!$A$3:$A$3390,L$1,'United Data'!$C$3:$C$3390,$A944)&gt;0,1,0)</f>
        <v>0</v>
      </c>
      <c r="M944">
        <f>IF(COUNTIFS('United Data'!$A$3:$A$3390,M$1,'United Data'!$C$3:$C$3390,$A944)&gt;0,1,0)</f>
        <v>0</v>
      </c>
      <c r="N944">
        <f>IF(COUNTIFS('United Data'!$A$3:$A$3390,N$1,'United Data'!$C$3:$C$3390,$A944)&gt;0,1,0)</f>
        <v>1</v>
      </c>
      <c r="O944">
        <f>IF(COUNTIFS('United Data'!$A$3:$A$3390,O$1,'United Data'!$C$3:$C$3390,$A944)&gt;0,1,0)</f>
        <v>0</v>
      </c>
      <c r="P944">
        <f>IF(COUNTIFS('United Data'!$A$3:$A$3390,P$1,'United Data'!$C$3:$C$3390,$A944)&gt;0,1,0)</f>
        <v>0</v>
      </c>
      <c r="Q944">
        <f>IF(COUNTIFS('United Data'!$A$3:$A$3390,Q$1,'United Data'!$C$3:$C$3390,$A944)&gt;0,1,0)</f>
        <v>0</v>
      </c>
      <c r="R944">
        <f>IF(COUNTIFS('United Data'!$A$3:$A$3390,R$1,'United Data'!$C$3:$C$3390,$A944)&gt;0,1,0)</f>
        <v>0</v>
      </c>
      <c r="S944">
        <f t="shared" si="28"/>
        <v>1</v>
      </c>
      <c r="T944">
        <f t="shared" si="29"/>
        <v>1</v>
      </c>
    </row>
    <row r="945" spans="1:20" x14ac:dyDescent="0.2">
      <c r="A945" t="s">
        <v>1137</v>
      </c>
      <c r="B945">
        <f>IF(COUNTIFS('United Data'!$A$3:$A$3390,B$1,'United Data'!$C$3:$C$3390,$A945)&gt;0,1,0)</f>
        <v>0</v>
      </c>
      <c r="C945">
        <f>IF(COUNTIFS('United Data'!$A$3:$A$3390,C$1,'United Data'!$C$3:$C$3390,$A945)&gt;0,1,0)</f>
        <v>0</v>
      </c>
      <c r="D945">
        <f>IF(COUNTIFS('United Data'!$A$3:$A$3390,D$1,'United Data'!$C$3:$C$3390,$A945)&gt;0,1,0)</f>
        <v>0</v>
      </c>
      <c r="E945">
        <f>IF(COUNTIFS('United Data'!$A$3:$A$3390,E$1,'United Data'!$C$3:$C$3390,$A945)&gt;0,1,0)</f>
        <v>0</v>
      </c>
      <c r="F945">
        <f>IF(COUNTIFS('United Data'!$A$3:$A$3390,F$1,'United Data'!$C$3:$C$3390,$A945)&gt;0,1,0)</f>
        <v>0</v>
      </c>
      <c r="G945">
        <f>IF(COUNTIFS('United Data'!$A$3:$A$3390,G$1,'United Data'!$C$3:$C$3390,$A945)&gt;0,1,0)</f>
        <v>0</v>
      </c>
      <c r="H945">
        <f>IF(COUNTIFS('United Data'!$A$3:$A$3390,H$1,'United Data'!$C$3:$C$3390,$A945)&gt;0,1,0)</f>
        <v>0</v>
      </c>
      <c r="I945">
        <f>IF(COUNTIFS('United Data'!$A$3:$A$3390,I$1,'United Data'!$C$3:$C$3390,$A945)&gt;0,1,0)</f>
        <v>0</v>
      </c>
      <c r="J945">
        <f>IF(COUNTIFS('United Data'!$A$3:$A$3390,J$1,'United Data'!$C$3:$C$3390,$A945)&gt;0,1,0)</f>
        <v>0</v>
      </c>
      <c r="K945">
        <f>IF(COUNTIFS('United Data'!$A$3:$A$3390,K$1,'United Data'!$C$3:$C$3390,$A945)&gt;0,1,0)</f>
        <v>0</v>
      </c>
      <c r="L945">
        <f>IF(COUNTIFS('United Data'!$A$3:$A$3390,L$1,'United Data'!$C$3:$C$3390,$A945)&gt;0,1,0)</f>
        <v>0</v>
      </c>
      <c r="M945">
        <f>IF(COUNTIFS('United Data'!$A$3:$A$3390,M$1,'United Data'!$C$3:$C$3390,$A945)&gt;0,1,0)</f>
        <v>0</v>
      </c>
      <c r="N945">
        <f>IF(COUNTIFS('United Data'!$A$3:$A$3390,N$1,'United Data'!$C$3:$C$3390,$A945)&gt;0,1,0)</f>
        <v>0</v>
      </c>
      <c r="O945">
        <f>IF(COUNTIFS('United Data'!$A$3:$A$3390,O$1,'United Data'!$C$3:$C$3390,$A945)&gt;0,1,0)</f>
        <v>1</v>
      </c>
      <c r="P945">
        <f>IF(COUNTIFS('United Data'!$A$3:$A$3390,P$1,'United Data'!$C$3:$C$3390,$A945)&gt;0,1,0)</f>
        <v>1</v>
      </c>
      <c r="Q945">
        <f>IF(COUNTIFS('United Data'!$A$3:$A$3390,Q$1,'United Data'!$C$3:$C$3390,$A945)&gt;0,1,0)</f>
        <v>0</v>
      </c>
      <c r="R945">
        <f>IF(COUNTIFS('United Data'!$A$3:$A$3390,R$1,'United Data'!$C$3:$C$3390,$A945)&gt;0,1,0)</f>
        <v>0</v>
      </c>
      <c r="S945">
        <f t="shared" si="28"/>
        <v>2</v>
      </c>
      <c r="T945">
        <f t="shared" si="29"/>
        <v>1</v>
      </c>
    </row>
    <row r="946" spans="1:20" x14ac:dyDescent="0.2">
      <c r="A946" t="s">
        <v>1138</v>
      </c>
      <c r="B946">
        <f>IF(COUNTIFS('United Data'!$A$3:$A$3390,B$1,'United Data'!$C$3:$C$3390,$A946)&gt;0,1,0)</f>
        <v>0</v>
      </c>
      <c r="C946">
        <f>IF(COUNTIFS('United Data'!$A$3:$A$3390,C$1,'United Data'!$C$3:$C$3390,$A946)&gt;0,1,0)</f>
        <v>0</v>
      </c>
      <c r="D946">
        <f>IF(COUNTIFS('United Data'!$A$3:$A$3390,D$1,'United Data'!$C$3:$C$3390,$A946)&gt;0,1,0)</f>
        <v>0</v>
      </c>
      <c r="E946">
        <f>IF(COUNTIFS('United Data'!$A$3:$A$3390,E$1,'United Data'!$C$3:$C$3390,$A946)&gt;0,1,0)</f>
        <v>0</v>
      </c>
      <c r="F946">
        <f>IF(COUNTIFS('United Data'!$A$3:$A$3390,F$1,'United Data'!$C$3:$C$3390,$A946)&gt;0,1,0)</f>
        <v>0</v>
      </c>
      <c r="G946">
        <f>IF(COUNTIFS('United Data'!$A$3:$A$3390,G$1,'United Data'!$C$3:$C$3390,$A946)&gt;0,1,0)</f>
        <v>0</v>
      </c>
      <c r="H946">
        <f>IF(COUNTIFS('United Data'!$A$3:$A$3390,H$1,'United Data'!$C$3:$C$3390,$A946)&gt;0,1,0)</f>
        <v>0</v>
      </c>
      <c r="I946">
        <f>IF(COUNTIFS('United Data'!$A$3:$A$3390,I$1,'United Data'!$C$3:$C$3390,$A946)&gt;0,1,0)</f>
        <v>0</v>
      </c>
      <c r="J946">
        <f>IF(COUNTIFS('United Data'!$A$3:$A$3390,J$1,'United Data'!$C$3:$C$3390,$A946)&gt;0,1,0)</f>
        <v>0</v>
      </c>
      <c r="K946">
        <f>IF(COUNTIFS('United Data'!$A$3:$A$3390,K$1,'United Data'!$C$3:$C$3390,$A946)&gt;0,1,0)</f>
        <v>0</v>
      </c>
      <c r="L946">
        <f>IF(COUNTIFS('United Data'!$A$3:$A$3390,L$1,'United Data'!$C$3:$C$3390,$A946)&gt;0,1,0)</f>
        <v>0</v>
      </c>
      <c r="M946">
        <f>IF(COUNTIFS('United Data'!$A$3:$A$3390,M$1,'United Data'!$C$3:$C$3390,$A946)&gt;0,1,0)</f>
        <v>0</v>
      </c>
      <c r="N946">
        <f>IF(COUNTIFS('United Data'!$A$3:$A$3390,N$1,'United Data'!$C$3:$C$3390,$A946)&gt;0,1,0)</f>
        <v>0</v>
      </c>
      <c r="O946">
        <f>IF(COUNTIFS('United Data'!$A$3:$A$3390,O$1,'United Data'!$C$3:$C$3390,$A946)&gt;0,1,0)</f>
        <v>1</v>
      </c>
      <c r="P946">
        <f>IF(COUNTIFS('United Data'!$A$3:$A$3390,P$1,'United Data'!$C$3:$C$3390,$A946)&gt;0,1,0)</f>
        <v>0</v>
      </c>
      <c r="Q946">
        <f>IF(COUNTIFS('United Data'!$A$3:$A$3390,Q$1,'United Data'!$C$3:$C$3390,$A946)&gt;0,1,0)</f>
        <v>1</v>
      </c>
      <c r="R946">
        <f>IF(COUNTIFS('United Data'!$A$3:$A$3390,R$1,'United Data'!$C$3:$C$3390,$A946)&gt;0,1,0)</f>
        <v>1</v>
      </c>
      <c r="S946">
        <f t="shared" si="28"/>
        <v>3</v>
      </c>
      <c r="T946">
        <f t="shared" si="29"/>
        <v>2</v>
      </c>
    </row>
    <row r="947" spans="1:20" x14ac:dyDescent="0.2">
      <c r="A947" t="s">
        <v>1139</v>
      </c>
      <c r="B947">
        <f>IF(COUNTIFS('United Data'!$A$3:$A$3390,B$1,'United Data'!$C$3:$C$3390,$A947)&gt;0,1,0)</f>
        <v>0</v>
      </c>
      <c r="C947">
        <f>IF(COUNTIFS('United Data'!$A$3:$A$3390,C$1,'United Data'!$C$3:$C$3390,$A947)&gt;0,1,0)</f>
        <v>0</v>
      </c>
      <c r="D947">
        <f>IF(COUNTIFS('United Data'!$A$3:$A$3390,D$1,'United Data'!$C$3:$C$3390,$A947)&gt;0,1,0)</f>
        <v>0</v>
      </c>
      <c r="E947">
        <f>IF(COUNTIFS('United Data'!$A$3:$A$3390,E$1,'United Data'!$C$3:$C$3390,$A947)&gt;0,1,0)</f>
        <v>0</v>
      </c>
      <c r="F947">
        <f>IF(COUNTIFS('United Data'!$A$3:$A$3390,F$1,'United Data'!$C$3:$C$3390,$A947)&gt;0,1,0)</f>
        <v>0</v>
      </c>
      <c r="G947">
        <f>IF(COUNTIFS('United Data'!$A$3:$A$3390,G$1,'United Data'!$C$3:$C$3390,$A947)&gt;0,1,0)</f>
        <v>0</v>
      </c>
      <c r="H947">
        <f>IF(COUNTIFS('United Data'!$A$3:$A$3390,H$1,'United Data'!$C$3:$C$3390,$A947)&gt;0,1,0)</f>
        <v>0</v>
      </c>
      <c r="I947">
        <f>IF(COUNTIFS('United Data'!$A$3:$A$3390,I$1,'United Data'!$C$3:$C$3390,$A947)&gt;0,1,0)</f>
        <v>0</v>
      </c>
      <c r="J947">
        <f>IF(COUNTIFS('United Data'!$A$3:$A$3390,J$1,'United Data'!$C$3:$C$3390,$A947)&gt;0,1,0)</f>
        <v>0</v>
      </c>
      <c r="K947">
        <f>IF(COUNTIFS('United Data'!$A$3:$A$3390,K$1,'United Data'!$C$3:$C$3390,$A947)&gt;0,1,0)</f>
        <v>0</v>
      </c>
      <c r="L947">
        <f>IF(COUNTIFS('United Data'!$A$3:$A$3390,L$1,'United Data'!$C$3:$C$3390,$A947)&gt;0,1,0)</f>
        <v>0</v>
      </c>
      <c r="M947">
        <f>IF(COUNTIFS('United Data'!$A$3:$A$3390,M$1,'United Data'!$C$3:$C$3390,$A947)&gt;0,1,0)</f>
        <v>0</v>
      </c>
      <c r="N947">
        <f>IF(COUNTIFS('United Data'!$A$3:$A$3390,N$1,'United Data'!$C$3:$C$3390,$A947)&gt;0,1,0)</f>
        <v>0</v>
      </c>
      <c r="O947">
        <f>IF(COUNTIFS('United Data'!$A$3:$A$3390,O$1,'United Data'!$C$3:$C$3390,$A947)&gt;0,1,0)</f>
        <v>0</v>
      </c>
      <c r="P947">
        <f>IF(COUNTIFS('United Data'!$A$3:$A$3390,P$1,'United Data'!$C$3:$C$3390,$A947)&gt;0,1,0)</f>
        <v>1</v>
      </c>
      <c r="Q947">
        <f>IF(COUNTIFS('United Data'!$A$3:$A$3390,Q$1,'United Data'!$C$3:$C$3390,$A947)&gt;0,1,0)</f>
        <v>0</v>
      </c>
      <c r="R947">
        <f>IF(COUNTIFS('United Data'!$A$3:$A$3390,R$1,'United Data'!$C$3:$C$3390,$A947)&gt;0,1,0)</f>
        <v>0</v>
      </c>
      <c r="S947">
        <f t="shared" si="28"/>
        <v>1</v>
      </c>
      <c r="T947">
        <f t="shared" si="29"/>
        <v>1</v>
      </c>
    </row>
    <row r="948" spans="1:20" x14ac:dyDescent="0.2">
      <c r="A948" t="s">
        <v>1140</v>
      </c>
      <c r="B948">
        <f>IF(COUNTIFS('United Data'!$A$3:$A$3390,B$1,'United Data'!$C$3:$C$3390,$A948)&gt;0,1,0)</f>
        <v>0</v>
      </c>
      <c r="C948">
        <f>IF(COUNTIFS('United Data'!$A$3:$A$3390,C$1,'United Data'!$C$3:$C$3390,$A948)&gt;0,1,0)</f>
        <v>0</v>
      </c>
      <c r="D948">
        <f>IF(COUNTIFS('United Data'!$A$3:$A$3390,D$1,'United Data'!$C$3:$C$3390,$A948)&gt;0,1,0)</f>
        <v>0</v>
      </c>
      <c r="E948">
        <f>IF(COUNTIFS('United Data'!$A$3:$A$3390,E$1,'United Data'!$C$3:$C$3390,$A948)&gt;0,1,0)</f>
        <v>0</v>
      </c>
      <c r="F948">
        <f>IF(COUNTIFS('United Data'!$A$3:$A$3390,F$1,'United Data'!$C$3:$C$3390,$A948)&gt;0,1,0)</f>
        <v>0</v>
      </c>
      <c r="G948">
        <f>IF(COUNTIFS('United Data'!$A$3:$A$3390,G$1,'United Data'!$C$3:$C$3390,$A948)&gt;0,1,0)</f>
        <v>0</v>
      </c>
      <c r="H948">
        <f>IF(COUNTIFS('United Data'!$A$3:$A$3390,H$1,'United Data'!$C$3:$C$3390,$A948)&gt;0,1,0)</f>
        <v>0</v>
      </c>
      <c r="I948">
        <f>IF(COUNTIFS('United Data'!$A$3:$A$3390,I$1,'United Data'!$C$3:$C$3390,$A948)&gt;0,1,0)</f>
        <v>0</v>
      </c>
      <c r="J948">
        <f>IF(COUNTIFS('United Data'!$A$3:$A$3390,J$1,'United Data'!$C$3:$C$3390,$A948)&gt;0,1,0)</f>
        <v>0</v>
      </c>
      <c r="K948">
        <f>IF(COUNTIFS('United Data'!$A$3:$A$3390,K$1,'United Data'!$C$3:$C$3390,$A948)&gt;0,1,0)</f>
        <v>0</v>
      </c>
      <c r="L948">
        <f>IF(COUNTIFS('United Data'!$A$3:$A$3390,L$1,'United Data'!$C$3:$C$3390,$A948)&gt;0,1,0)</f>
        <v>0</v>
      </c>
      <c r="M948">
        <f>IF(COUNTIFS('United Data'!$A$3:$A$3390,M$1,'United Data'!$C$3:$C$3390,$A948)&gt;0,1,0)</f>
        <v>0</v>
      </c>
      <c r="N948">
        <f>IF(COUNTIFS('United Data'!$A$3:$A$3390,N$1,'United Data'!$C$3:$C$3390,$A948)&gt;0,1,0)</f>
        <v>0</v>
      </c>
      <c r="O948">
        <f>IF(COUNTIFS('United Data'!$A$3:$A$3390,O$1,'United Data'!$C$3:$C$3390,$A948)&gt;0,1,0)</f>
        <v>0</v>
      </c>
      <c r="P948">
        <f>IF(COUNTIFS('United Data'!$A$3:$A$3390,P$1,'United Data'!$C$3:$C$3390,$A948)&gt;0,1,0)</f>
        <v>0</v>
      </c>
      <c r="Q948">
        <f>IF(COUNTIFS('United Data'!$A$3:$A$3390,Q$1,'United Data'!$C$3:$C$3390,$A948)&gt;0,1,0)</f>
        <v>1</v>
      </c>
      <c r="R948">
        <f>IF(COUNTIFS('United Data'!$A$3:$A$3390,R$1,'United Data'!$C$3:$C$3390,$A948)&gt;0,1,0)</f>
        <v>0</v>
      </c>
      <c r="S948">
        <f t="shared" si="28"/>
        <v>1</v>
      </c>
      <c r="T948">
        <f t="shared" si="29"/>
        <v>1</v>
      </c>
    </row>
    <row r="949" spans="1:20" x14ac:dyDescent="0.2">
      <c r="A949" t="s">
        <v>1141</v>
      </c>
      <c r="B949">
        <f>IF(COUNTIFS('United Data'!$A$3:$A$3390,B$1,'United Data'!$C$3:$C$3390,$A949)&gt;0,1,0)</f>
        <v>0</v>
      </c>
      <c r="C949">
        <f>IF(COUNTIFS('United Data'!$A$3:$A$3390,C$1,'United Data'!$C$3:$C$3390,$A949)&gt;0,1,0)</f>
        <v>0</v>
      </c>
      <c r="D949">
        <f>IF(COUNTIFS('United Data'!$A$3:$A$3390,D$1,'United Data'!$C$3:$C$3390,$A949)&gt;0,1,0)</f>
        <v>0</v>
      </c>
      <c r="E949">
        <f>IF(COUNTIFS('United Data'!$A$3:$A$3390,E$1,'United Data'!$C$3:$C$3390,$A949)&gt;0,1,0)</f>
        <v>0</v>
      </c>
      <c r="F949">
        <f>IF(COUNTIFS('United Data'!$A$3:$A$3390,F$1,'United Data'!$C$3:$C$3390,$A949)&gt;0,1,0)</f>
        <v>0</v>
      </c>
      <c r="G949">
        <f>IF(COUNTIFS('United Data'!$A$3:$A$3390,G$1,'United Data'!$C$3:$C$3390,$A949)&gt;0,1,0)</f>
        <v>0</v>
      </c>
      <c r="H949">
        <f>IF(COUNTIFS('United Data'!$A$3:$A$3390,H$1,'United Data'!$C$3:$C$3390,$A949)&gt;0,1,0)</f>
        <v>0</v>
      </c>
      <c r="I949">
        <f>IF(COUNTIFS('United Data'!$A$3:$A$3390,I$1,'United Data'!$C$3:$C$3390,$A949)&gt;0,1,0)</f>
        <v>0</v>
      </c>
      <c r="J949">
        <f>IF(COUNTIFS('United Data'!$A$3:$A$3390,J$1,'United Data'!$C$3:$C$3390,$A949)&gt;0,1,0)</f>
        <v>0</v>
      </c>
      <c r="K949">
        <f>IF(COUNTIFS('United Data'!$A$3:$A$3390,K$1,'United Data'!$C$3:$C$3390,$A949)&gt;0,1,0)</f>
        <v>0</v>
      </c>
      <c r="L949">
        <f>IF(COUNTIFS('United Data'!$A$3:$A$3390,L$1,'United Data'!$C$3:$C$3390,$A949)&gt;0,1,0)</f>
        <v>0</v>
      </c>
      <c r="M949">
        <f>IF(COUNTIFS('United Data'!$A$3:$A$3390,M$1,'United Data'!$C$3:$C$3390,$A949)&gt;0,1,0)</f>
        <v>0</v>
      </c>
      <c r="N949">
        <f>IF(COUNTIFS('United Data'!$A$3:$A$3390,N$1,'United Data'!$C$3:$C$3390,$A949)&gt;0,1,0)</f>
        <v>0</v>
      </c>
      <c r="O949">
        <f>IF(COUNTIFS('United Data'!$A$3:$A$3390,O$1,'United Data'!$C$3:$C$3390,$A949)&gt;0,1,0)</f>
        <v>0</v>
      </c>
      <c r="P949">
        <f>IF(COUNTIFS('United Data'!$A$3:$A$3390,P$1,'United Data'!$C$3:$C$3390,$A949)&gt;0,1,0)</f>
        <v>0</v>
      </c>
      <c r="Q949">
        <f>IF(COUNTIFS('United Data'!$A$3:$A$3390,Q$1,'United Data'!$C$3:$C$3390,$A949)&gt;0,1,0)</f>
        <v>1</v>
      </c>
      <c r="R949">
        <f>IF(COUNTIFS('United Data'!$A$3:$A$3390,R$1,'United Data'!$C$3:$C$3390,$A949)&gt;0,1,0)</f>
        <v>0</v>
      </c>
      <c r="S949">
        <f t="shared" si="28"/>
        <v>1</v>
      </c>
      <c r="T949">
        <f t="shared" si="29"/>
        <v>1</v>
      </c>
    </row>
    <row r="950" spans="1:20" x14ac:dyDescent="0.2">
      <c r="A950" t="s">
        <v>1142</v>
      </c>
      <c r="B950">
        <f>IF(COUNTIFS('United Data'!$A$3:$A$3390,B$1,'United Data'!$C$3:$C$3390,$A950)&gt;0,1,0)</f>
        <v>1</v>
      </c>
      <c r="C950">
        <f>IF(COUNTIFS('United Data'!$A$3:$A$3390,C$1,'United Data'!$C$3:$C$3390,$A950)&gt;0,1,0)</f>
        <v>1</v>
      </c>
      <c r="D950">
        <f>IF(COUNTIFS('United Data'!$A$3:$A$3390,D$1,'United Data'!$C$3:$C$3390,$A950)&gt;0,1,0)</f>
        <v>1</v>
      </c>
      <c r="E950">
        <f>IF(COUNTIFS('United Data'!$A$3:$A$3390,E$1,'United Data'!$C$3:$C$3390,$A950)&gt;0,1,0)</f>
        <v>0</v>
      </c>
      <c r="F950">
        <f>IF(COUNTIFS('United Data'!$A$3:$A$3390,F$1,'United Data'!$C$3:$C$3390,$A950)&gt;0,1,0)</f>
        <v>0</v>
      </c>
      <c r="G950">
        <f>IF(COUNTIFS('United Data'!$A$3:$A$3390,G$1,'United Data'!$C$3:$C$3390,$A950)&gt;0,1,0)</f>
        <v>0</v>
      </c>
      <c r="H950">
        <f>IF(COUNTIFS('United Data'!$A$3:$A$3390,H$1,'United Data'!$C$3:$C$3390,$A950)&gt;0,1,0)</f>
        <v>0</v>
      </c>
      <c r="I950">
        <f>IF(COUNTIFS('United Data'!$A$3:$A$3390,I$1,'United Data'!$C$3:$C$3390,$A950)&gt;0,1,0)</f>
        <v>0</v>
      </c>
      <c r="J950">
        <f>IF(COUNTIFS('United Data'!$A$3:$A$3390,J$1,'United Data'!$C$3:$C$3390,$A950)&gt;0,1,0)</f>
        <v>0</v>
      </c>
      <c r="K950">
        <f>IF(COUNTIFS('United Data'!$A$3:$A$3390,K$1,'United Data'!$C$3:$C$3390,$A950)&gt;0,1,0)</f>
        <v>0</v>
      </c>
      <c r="L950">
        <f>IF(COUNTIFS('United Data'!$A$3:$A$3390,L$1,'United Data'!$C$3:$C$3390,$A950)&gt;0,1,0)</f>
        <v>0</v>
      </c>
      <c r="M950">
        <f>IF(COUNTIFS('United Data'!$A$3:$A$3390,M$1,'United Data'!$C$3:$C$3390,$A950)&gt;0,1,0)</f>
        <v>0</v>
      </c>
      <c r="N950">
        <f>IF(COUNTIFS('United Data'!$A$3:$A$3390,N$1,'United Data'!$C$3:$C$3390,$A950)&gt;0,1,0)</f>
        <v>0</v>
      </c>
      <c r="O950">
        <f>IF(COUNTIFS('United Data'!$A$3:$A$3390,O$1,'United Data'!$C$3:$C$3390,$A950)&gt;0,1,0)</f>
        <v>0</v>
      </c>
      <c r="P950">
        <f>IF(COUNTIFS('United Data'!$A$3:$A$3390,P$1,'United Data'!$C$3:$C$3390,$A950)&gt;0,1,0)</f>
        <v>0</v>
      </c>
      <c r="Q950">
        <f>IF(COUNTIFS('United Data'!$A$3:$A$3390,Q$1,'United Data'!$C$3:$C$3390,$A950)&gt;0,1,0)</f>
        <v>0</v>
      </c>
      <c r="R950">
        <f>IF(COUNTIFS('United Data'!$A$3:$A$3390,R$1,'United Data'!$C$3:$C$3390,$A950)&gt;0,1,0)</f>
        <v>0</v>
      </c>
      <c r="S950">
        <f t="shared" si="28"/>
        <v>3</v>
      </c>
      <c r="T950">
        <f t="shared" si="29"/>
        <v>1</v>
      </c>
    </row>
    <row r="951" spans="1:20" x14ac:dyDescent="0.2">
      <c r="A951" t="s">
        <v>1143</v>
      </c>
      <c r="B951">
        <f>IF(COUNTIFS('United Data'!$A$3:$A$3390,B$1,'United Data'!$C$3:$C$3390,$A951)&gt;0,1,0)</f>
        <v>1</v>
      </c>
      <c r="C951">
        <f>IF(COUNTIFS('United Data'!$A$3:$A$3390,C$1,'United Data'!$C$3:$C$3390,$A951)&gt;0,1,0)</f>
        <v>1</v>
      </c>
      <c r="D951">
        <f>IF(COUNTIFS('United Data'!$A$3:$A$3390,D$1,'United Data'!$C$3:$C$3390,$A951)&gt;0,1,0)</f>
        <v>0</v>
      </c>
      <c r="E951">
        <f>IF(COUNTIFS('United Data'!$A$3:$A$3390,E$1,'United Data'!$C$3:$C$3390,$A951)&gt;0,1,0)</f>
        <v>0</v>
      </c>
      <c r="F951">
        <f>IF(COUNTIFS('United Data'!$A$3:$A$3390,F$1,'United Data'!$C$3:$C$3390,$A951)&gt;0,1,0)</f>
        <v>0</v>
      </c>
      <c r="G951">
        <f>IF(COUNTIFS('United Data'!$A$3:$A$3390,G$1,'United Data'!$C$3:$C$3390,$A951)&gt;0,1,0)</f>
        <v>0</v>
      </c>
      <c r="H951">
        <f>IF(COUNTIFS('United Data'!$A$3:$A$3390,H$1,'United Data'!$C$3:$C$3390,$A951)&gt;0,1,0)</f>
        <v>0</v>
      </c>
      <c r="I951">
        <f>IF(COUNTIFS('United Data'!$A$3:$A$3390,I$1,'United Data'!$C$3:$C$3390,$A951)&gt;0,1,0)</f>
        <v>0</v>
      </c>
      <c r="J951">
        <f>IF(COUNTIFS('United Data'!$A$3:$A$3390,J$1,'United Data'!$C$3:$C$3390,$A951)&gt;0,1,0)</f>
        <v>0</v>
      </c>
      <c r="K951">
        <f>IF(COUNTIFS('United Data'!$A$3:$A$3390,K$1,'United Data'!$C$3:$C$3390,$A951)&gt;0,1,0)</f>
        <v>0</v>
      </c>
      <c r="L951">
        <f>IF(COUNTIFS('United Data'!$A$3:$A$3390,L$1,'United Data'!$C$3:$C$3390,$A951)&gt;0,1,0)</f>
        <v>0</v>
      </c>
      <c r="M951">
        <f>IF(COUNTIFS('United Data'!$A$3:$A$3390,M$1,'United Data'!$C$3:$C$3390,$A951)&gt;0,1,0)</f>
        <v>0</v>
      </c>
      <c r="N951">
        <f>IF(COUNTIFS('United Data'!$A$3:$A$3390,N$1,'United Data'!$C$3:$C$3390,$A951)&gt;0,1,0)</f>
        <v>0</v>
      </c>
      <c r="O951">
        <f>IF(COUNTIFS('United Data'!$A$3:$A$3390,O$1,'United Data'!$C$3:$C$3390,$A951)&gt;0,1,0)</f>
        <v>0</v>
      </c>
      <c r="P951">
        <f>IF(COUNTIFS('United Data'!$A$3:$A$3390,P$1,'United Data'!$C$3:$C$3390,$A951)&gt;0,1,0)</f>
        <v>0</v>
      </c>
      <c r="Q951">
        <f>IF(COUNTIFS('United Data'!$A$3:$A$3390,Q$1,'United Data'!$C$3:$C$3390,$A951)&gt;0,1,0)</f>
        <v>0</v>
      </c>
      <c r="R951">
        <f>IF(COUNTIFS('United Data'!$A$3:$A$3390,R$1,'United Data'!$C$3:$C$3390,$A951)&gt;0,1,0)</f>
        <v>0</v>
      </c>
      <c r="S951">
        <f t="shared" si="28"/>
        <v>2</v>
      </c>
      <c r="T951">
        <f t="shared" si="29"/>
        <v>1</v>
      </c>
    </row>
    <row r="952" spans="1:20" x14ac:dyDescent="0.2">
      <c r="A952" t="s">
        <v>1144</v>
      </c>
      <c r="B952">
        <f>IF(COUNTIFS('United Data'!$A$3:$A$3390,B$1,'United Data'!$C$3:$C$3390,$A952)&gt;0,1,0)</f>
        <v>1</v>
      </c>
      <c r="C952">
        <f>IF(COUNTIFS('United Data'!$A$3:$A$3390,C$1,'United Data'!$C$3:$C$3390,$A952)&gt;0,1,0)</f>
        <v>0</v>
      </c>
      <c r="D952">
        <f>IF(COUNTIFS('United Data'!$A$3:$A$3390,D$1,'United Data'!$C$3:$C$3390,$A952)&gt;0,1,0)</f>
        <v>1</v>
      </c>
      <c r="E952">
        <f>IF(COUNTIFS('United Data'!$A$3:$A$3390,E$1,'United Data'!$C$3:$C$3390,$A952)&gt;0,1,0)</f>
        <v>1</v>
      </c>
      <c r="F952">
        <f>IF(COUNTIFS('United Data'!$A$3:$A$3390,F$1,'United Data'!$C$3:$C$3390,$A952)&gt;0,1,0)</f>
        <v>0</v>
      </c>
      <c r="G952">
        <f>IF(COUNTIFS('United Data'!$A$3:$A$3390,G$1,'United Data'!$C$3:$C$3390,$A952)&gt;0,1,0)</f>
        <v>0</v>
      </c>
      <c r="H952">
        <f>IF(COUNTIFS('United Data'!$A$3:$A$3390,H$1,'United Data'!$C$3:$C$3390,$A952)&gt;0,1,0)</f>
        <v>0</v>
      </c>
      <c r="I952">
        <f>IF(COUNTIFS('United Data'!$A$3:$A$3390,I$1,'United Data'!$C$3:$C$3390,$A952)&gt;0,1,0)</f>
        <v>0</v>
      </c>
      <c r="J952">
        <f>IF(COUNTIFS('United Data'!$A$3:$A$3390,J$1,'United Data'!$C$3:$C$3390,$A952)&gt;0,1,0)</f>
        <v>0</v>
      </c>
      <c r="K952">
        <f>IF(COUNTIFS('United Data'!$A$3:$A$3390,K$1,'United Data'!$C$3:$C$3390,$A952)&gt;0,1,0)</f>
        <v>0</v>
      </c>
      <c r="L952">
        <f>IF(COUNTIFS('United Data'!$A$3:$A$3390,L$1,'United Data'!$C$3:$C$3390,$A952)&gt;0,1,0)</f>
        <v>0</v>
      </c>
      <c r="M952">
        <f>IF(COUNTIFS('United Data'!$A$3:$A$3390,M$1,'United Data'!$C$3:$C$3390,$A952)&gt;0,1,0)</f>
        <v>0</v>
      </c>
      <c r="N952">
        <f>IF(COUNTIFS('United Data'!$A$3:$A$3390,N$1,'United Data'!$C$3:$C$3390,$A952)&gt;0,1,0)</f>
        <v>0</v>
      </c>
      <c r="O952">
        <f>IF(COUNTIFS('United Data'!$A$3:$A$3390,O$1,'United Data'!$C$3:$C$3390,$A952)&gt;0,1,0)</f>
        <v>0</v>
      </c>
      <c r="P952">
        <f>IF(COUNTIFS('United Data'!$A$3:$A$3390,P$1,'United Data'!$C$3:$C$3390,$A952)&gt;0,1,0)</f>
        <v>0</v>
      </c>
      <c r="Q952">
        <f>IF(COUNTIFS('United Data'!$A$3:$A$3390,Q$1,'United Data'!$C$3:$C$3390,$A952)&gt;0,1,0)</f>
        <v>0</v>
      </c>
      <c r="R952">
        <f>IF(COUNTIFS('United Data'!$A$3:$A$3390,R$1,'United Data'!$C$3:$C$3390,$A952)&gt;0,1,0)</f>
        <v>0</v>
      </c>
      <c r="S952">
        <f t="shared" si="28"/>
        <v>3</v>
      </c>
      <c r="T952">
        <f t="shared" si="29"/>
        <v>2</v>
      </c>
    </row>
    <row r="953" spans="1:20" x14ac:dyDescent="0.2">
      <c r="A953" t="s">
        <v>1145</v>
      </c>
      <c r="B953">
        <f>IF(COUNTIFS('United Data'!$A$3:$A$3390,B$1,'United Data'!$C$3:$C$3390,$A953)&gt;0,1,0)</f>
        <v>1</v>
      </c>
      <c r="C953">
        <f>IF(COUNTIFS('United Data'!$A$3:$A$3390,C$1,'United Data'!$C$3:$C$3390,$A953)&gt;0,1,0)</f>
        <v>1</v>
      </c>
      <c r="D953">
        <f>IF(COUNTIFS('United Data'!$A$3:$A$3390,D$1,'United Data'!$C$3:$C$3390,$A953)&gt;0,1,0)</f>
        <v>1</v>
      </c>
      <c r="E953">
        <f>IF(COUNTIFS('United Data'!$A$3:$A$3390,E$1,'United Data'!$C$3:$C$3390,$A953)&gt;0,1,0)</f>
        <v>1</v>
      </c>
      <c r="F953">
        <f>IF(COUNTIFS('United Data'!$A$3:$A$3390,F$1,'United Data'!$C$3:$C$3390,$A953)&gt;0,1,0)</f>
        <v>0</v>
      </c>
      <c r="G953">
        <f>IF(COUNTIFS('United Data'!$A$3:$A$3390,G$1,'United Data'!$C$3:$C$3390,$A953)&gt;0,1,0)</f>
        <v>0</v>
      </c>
      <c r="H953">
        <f>IF(COUNTIFS('United Data'!$A$3:$A$3390,H$1,'United Data'!$C$3:$C$3390,$A953)&gt;0,1,0)</f>
        <v>0</v>
      </c>
      <c r="I953">
        <f>IF(COUNTIFS('United Data'!$A$3:$A$3390,I$1,'United Data'!$C$3:$C$3390,$A953)&gt;0,1,0)</f>
        <v>0</v>
      </c>
      <c r="J953">
        <f>IF(COUNTIFS('United Data'!$A$3:$A$3390,J$1,'United Data'!$C$3:$C$3390,$A953)&gt;0,1,0)</f>
        <v>0</v>
      </c>
      <c r="K953">
        <f>IF(COUNTIFS('United Data'!$A$3:$A$3390,K$1,'United Data'!$C$3:$C$3390,$A953)&gt;0,1,0)</f>
        <v>0</v>
      </c>
      <c r="L953">
        <f>IF(COUNTIFS('United Data'!$A$3:$A$3390,L$1,'United Data'!$C$3:$C$3390,$A953)&gt;0,1,0)</f>
        <v>0</v>
      </c>
      <c r="M953">
        <f>IF(COUNTIFS('United Data'!$A$3:$A$3390,M$1,'United Data'!$C$3:$C$3390,$A953)&gt;0,1,0)</f>
        <v>0</v>
      </c>
      <c r="N953">
        <f>IF(COUNTIFS('United Data'!$A$3:$A$3390,N$1,'United Data'!$C$3:$C$3390,$A953)&gt;0,1,0)</f>
        <v>0</v>
      </c>
      <c r="O953">
        <f>IF(COUNTIFS('United Data'!$A$3:$A$3390,O$1,'United Data'!$C$3:$C$3390,$A953)&gt;0,1,0)</f>
        <v>0</v>
      </c>
      <c r="P953">
        <f>IF(COUNTIFS('United Data'!$A$3:$A$3390,P$1,'United Data'!$C$3:$C$3390,$A953)&gt;0,1,0)</f>
        <v>0</v>
      </c>
      <c r="Q953">
        <f>IF(COUNTIFS('United Data'!$A$3:$A$3390,Q$1,'United Data'!$C$3:$C$3390,$A953)&gt;0,1,0)</f>
        <v>0</v>
      </c>
      <c r="R953">
        <f>IF(COUNTIFS('United Data'!$A$3:$A$3390,R$1,'United Data'!$C$3:$C$3390,$A953)&gt;0,1,0)</f>
        <v>0</v>
      </c>
      <c r="S953">
        <f t="shared" si="28"/>
        <v>4</v>
      </c>
      <c r="T953">
        <f t="shared" si="29"/>
        <v>1</v>
      </c>
    </row>
    <row r="954" spans="1:20" x14ac:dyDescent="0.2">
      <c r="A954" t="s">
        <v>1146</v>
      </c>
      <c r="B954">
        <f>IF(COUNTIFS('United Data'!$A$3:$A$3390,B$1,'United Data'!$C$3:$C$3390,$A954)&gt;0,1,0)</f>
        <v>1</v>
      </c>
      <c r="C954">
        <f>IF(COUNTIFS('United Data'!$A$3:$A$3390,C$1,'United Data'!$C$3:$C$3390,$A954)&gt;0,1,0)</f>
        <v>1</v>
      </c>
      <c r="D954">
        <f>IF(COUNTIFS('United Data'!$A$3:$A$3390,D$1,'United Data'!$C$3:$C$3390,$A954)&gt;0,1,0)</f>
        <v>1</v>
      </c>
      <c r="E954">
        <f>IF(COUNTIFS('United Data'!$A$3:$A$3390,E$1,'United Data'!$C$3:$C$3390,$A954)&gt;0,1,0)</f>
        <v>1</v>
      </c>
      <c r="F954">
        <f>IF(COUNTIFS('United Data'!$A$3:$A$3390,F$1,'United Data'!$C$3:$C$3390,$A954)&gt;0,1,0)</f>
        <v>0</v>
      </c>
      <c r="G954">
        <f>IF(COUNTIFS('United Data'!$A$3:$A$3390,G$1,'United Data'!$C$3:$C$3390,$A954)&gt;0,1,0)</f>
        <v>1</v>
      </c>
      <c r="H954">
        <f>IF(COUNTIFS('United Data'!$A$3:$A$3390,H$1,'United Data'!$C$3:$C$3390,$A954)&gt;0,1,0)</f>
        <v>1</v>
      </c>
      <c r="I954">
        <f>IF(COUNTIFS('United Data'!$A$3:$A$3390,I$1,'United Data'!$C$3:$C$3390,$A954)&gt;0,1,0)</f>
        <v>1</v>
      </c>
      <c r="J954">
        <f>IF(COUNTIFS('United Data'!$A$3:$A$3390,J$1,'United Data'!$C$3:$C$3390,$A954)&gt;0,1,0)</f>
        <v>1</v>
      </c>
      <c r="K954">
        <f>IF(COUNTIFS('United Data'!$A$3:$A$3390,K$1,'United Data'!$C$3:$C$3390,$A954)&gt;0,1,0)</f>
        <v>0</v>
      </c>
      <c r="L954">
        <f>IF(COUNTIFS('United Data'!$A$3:$A$3390,L$1,'United Data'!$C$3:$C$3390,$A954)&gt;0,1,0)</f>
        <v>0</v>
      </c>
      <c r="M954">
        <f>IF(COUNTIFS('United Data'!$A$3:$A$3390,M$1,'United Data'!$C$3:$C$3390,$A954)&gt;0,1,0)</f>
        <v>0</v>
      </c>
      <c r="N954">
        <f>IF(COUNTIFS('United Data'!$A$3:$A$3390,N$1,'United Data'!$C$3:$C$3390,$A954)&gt;0,1,0)</f>
        <v>0</v>
      </c>
      <c r="O954">
        <f>IF(COUNTIFS('United Data'!$A$3:$A$3390,O$1,'United Data'!$C$3:$C$3390,$A954)&gt;0,1,0)</f>
        <v>1</v>
      </c>
      <c r="P954">
        <f>IF(COUNTIFS('United Data'!$A$3:$A$3390,P$1,'United Data'!$C$3:$C$3390,$A954)&gt;0,1,0)</f>
        <v>1</v>
      </c>
      <c r="Q954">
        <f>IF(COUNTIFS('United Data'!$A$3:$A$3390,Q$1,'United Data'!$C$3:$C$3390,$A954)&gt;0,1,0)</f>
        <v>1</v>
      </c>
      <c r="R954">
        <f>IF(COUNTIFS('United Data'!$A$3:$A$3390,R$1,'United Data'!$C$3:$C$3390,$A954)&gt;0,1,0)</f>
        <v>0</v>
      </c>
      <c r="S954">
        <f t="shared" si="28"/>
        <v>11</v>
      </c>
      <c r="T954">
        <f t="shared" si="29"/>
        <v>3</v>
      </c>
    </row>
    <row r="955" spans="1:20" x14ac:dyDescent="0.2">
      <c r="A955" t="s">
        <v>1147</v>
      </c>
      <c r="B955">
        <f>IF(COUNTIFS('United Data'!$A$3:$A$3390,B$1,'United Data'!$C$3:$C$3390,$A955)&gt;0,1,0)</f>
        <v>0</v>
      </c>
      <c r="C955">
        <f>IF(COUNTIFS('United Data'!$A$3:$A$3390,C$1,'United Data'!$C$3:$C$3390,$A955)&gt;0,1,0)</f>
        <v>1</v>
      </c>
      <c r="D955">
        <f>IF(COUNTIFS('United Data'!$A$3:$A$3390,D$1,'United Data'!$C$3:$C$3390,$A955)&gt;0,1,0)</f>
        <v>0</v>
      </c>
      <c r="E955">
        <f>IF(COUNTIFS('United Data'!$A$3:$A$3390,E$1,'United Data'!$C$3:$C$3390,$A955)&gt;0,1,0)</f>
        <v>0</v>
      </c>
      <c r="F955">
        <f>IF(COUNTIFS('United Data'!$A$3:$A$3390,F$1,'United Data'!$C$3:$C$3390,$A955)&gt;0,1,0)</f>
        <v>0</v>
      </c>
      <c r="G955">
        <f>IF(COUNTIFS('United Data'!$A$3:$A$3390,G$1,'United Data'!$C$3:$C$3390,$A955)&gt;0,1,0)</f>
        <v>0</v>
      </c>
      <c r="H955">
        <f>IF(COUNTIFS('United Data'!$A$3:$A$3390,H$1,'United Data'!$C$3:$C$3390,$A955)&gt;0,1,0)</f>
        <v>0</v>
      </c>
      <c r="I955">
        <f>IF(COUNTIFS('United Data'!$A$3:$A$3390,I$1,'United Data'!$C$3:$C$3390,$A955)&gt;0,1,0)</f>
        <v>0</v>
      </c>
      <c r="J955">
        <f>IF(COUNTIFS('United Data'!$A$3:$A$3390,J$1,'United Data'!$C$3:$C$3390,$A955)&gt;0,1,0)</f>
        <v>0</v>
      </c>
      <c r="K955">
        <f>IF(COUNTIFS('United Data'!$A$3:$A$3390,K$1,'United Data'!$C$3:$C$3390,$A955)&gt;0,1,0)</f>
        <v>0</v>
      </c>
      <c r="L955">
        <f>IF(COUNTIFS('United Data'!$A$3:$A$3390,L$1,'United Data'!$C$3:$C$3390,$A955)&gt;0,1,0)</f>
        <v>0</v>
      </c>
      <c r="M955">
        <f>IF(COUNTIFS('United Data'!$A$3:$A$3390,M$1,'United Data'!$C$3:$C$3390,$A955)&gt;0,1,0)</f>
        <v>0</v>
      </c>
      <c r="N955">
        <f>IF(COUNTIFS('United Data'!$A$3:$A$3390,N$1,'United Data'!$C$3:$C$3390,$A955)&gt;0,1,0)</f>
        <v>0</v>
      </c>
      <c r="O955">
        <f>IF(COUNTIFS('United Data'!$A$3:$A$3390,O$1,'United Data'!$C$3:$C$3390,$A955)&gt;0,1,0)</f>
        <v>0</v>
      </c>
      <c r="P955">
        <f>IF(COUNTIFS('United Data'!$A$3:$A$3390,P$1,'United Data'!$C$3:$C$3390,$A955)&gt;0,1,0)</f>
        <v>0</v>
      </c>
      <c r="Q955">
        <f>IF(COUNTIFS('United Data'!$A$3:$A$3390,Q$1,'United Data'!$C$3:$C$3390,$A955)&gt;0,1,0)</f>
        <v>0</v>
      </c>
      <c r="R955">
        <f>IF(COUNTIFS('United Data'!$A$3:$A$3390,R$1,'United Data'!$C$3:$C$3390,$A955)&gt;0,1,0)</f>
        <v>0</v>
      </c>
      <c r="S955">
        <f t="shared" si="28"/>
        <v>1</v>
      </c>
      <c r="T955">
        <f t="shared" si="29"/>
        <v>1</v>
      </c>
    </row>
    <row r="956" spans="1:20" x14ac:dyDescent="0.2">
      <c r="A956" t="s">
        <v>1148</v>
      </c>
      <c r="B956">
        <f>IF(COUNTIFS('United Data'!$A$3:$A$3390,B$1,'United Data'!$C$3:$C$3390,$A956)&gt;0,1,0)</f>
        <v>0</v>
      </c>
      <c r="C956">
        <f>IF(COUNTIFS('United Data'!$A$3:$A$3390,C$1,'United Data'!$C$3:$C$3390,$A956)&gt;0,1,0)</f>
        <v>1</v>
      </c>
      <c r="D956">
        <f>IF(COUNTIFS('United Data'!$A$3:$A$3390,D$1,'United Data'!$C$3:$C$3390,$A956)&gt;0,1,0)</f>
        <v>1</v>
      </c>
      <c r="E956">
        <f>IF(COUNTIFS('United Data'!$A$3:$A$3390,E$1,'United Data'!$C$3:$C$3390,$A956)&gt;0,1,0)</f>
        <v>0</v>
      </c>
      <c r="F956">
        <f>IF(COUNTIFS('United Data'!$A$3:$A$3390,F$1,'United Data'!$C$3:$C$3390,$A956)&gt;0,1,0)</f>
        <v>0</v>
      </c>
      <c r="G956">
        <f>IF(COUNTIFS('United Data'!$A$3:$A$3390,G$1,'United Data'!$C$3:$C$3390,$A956)&gt;0,1,0)</f>
        <v>0</v>
      </c>
      <c r="H956">
        <f>IF(COUNTIFS('United Data'!$A$3:$A$3390,H$1,'United Data'!$C$3:$C$3390,$A956)&gt;0,1,0)</f>
        <v>0</v>
      </c>
      <c r="I956">
        <f>IF(COUNTIFS('United Data'!$A$3:$A$3390,I$1,'United Data'!$C$3:$C$3390,$A956)&gt;0,1,0)</f>
        <v>0</v>
      </c>
      <c r="J956">
        <f>IF(COUNTIFS('United Data'!$A$3:$A$3390,J$1,'United Data'!$C$3:$C$3390,$A956)&gt;0,1,0)</f>
        <v>0</v>
      </c>
      <c r="K956">
        <f>IF(COUNTIFS('United Data'!$A$3:$A$3390,K$1,'United Data'!$C$3:$C$3390,$A956)&gt;0,1,0)</f>
        <v>0</v>
      </c>
      <c r="L956">
        <f>IF(COUNTIFS('United Data'!$A$3:$A$3390,L$1,'United Data'!$C$3:$C$3390,$A956)&gt;0,1,0)</f>
        <v>0</v>
      </c>
      <c r="M956">
        <f>IF(COUNTIFS('United Data'!$A$3:$A$3390,M$1,'United Data'!$C$3:$C$3390,$A956)&gt;0,1,0)</f>
        <v>0</v>
      </c>
      <c r="N956">
        <f>IF(COUNTIFS('United Data'!$A$3:$A$3390,N$1,'United Data'!$C$3:$C$3390,$A956)&gt;0,1,0)</f>
        <v>0</v>
      </c>
      <c r="O956">
        <f>IF(COUNTIFS('United Data'!$A$3:$A$3390,O$1,'United Data'!$C$3:$C$3390,$A956)&gt;0,1,0)</f>
        <v>0</v>
      </c>
      <c r="P956">
        <f>IF(COUNTIFS('United Data'!$A$3:$A$3390,P$1,'United Data'!$C$3:$C$3390,$A956)&gt;0,1,0)</f>
        <v>0</v>
      </c>
      <c r="Q956">
        <f>IF(COUNTIFS('United Data'!$A$3:$A$3390,Q$1,'United Data'!$C$3:$C$3390,$A956)&gt;0,1,0)</f>
        <v>0</v>
      </c>
      <c r="R956">
        <f>IF(COUNTIFS('United Data'!$A$3:$A$3390,R$1,'United Data'!$C$3:$C$3390,$A956)&gt;0,1,0)</f>
        <v>0</v>
      </c>
      <c r="S956">
        <f t="shared" si="28"/>
        <v>2</v>
      </c>
      <c r="T956">
        <f t="shared" si="29"/>
        <v>1</v>
      </c>
    </row>
    <row r="957" spans="1:20" x14ac:dyDescent="0.2">
      <c r="A957" t="s">
        <v>1150</v>
      </c>
      <c r="B957">
        <f>IF(COUNTIFS('United Data'!$A$3:$A$3390,B$1,'United Data'!$C$3:$C$3390,$A957)&gt;0,1,0)</f>
        <v>0</v>
      </c>
      <c r="C957">
        <f>IF(COUNTIFS('United Data'!$A$3:$A$3390,C$1,'United Data'!$C$3:$C$3390,$A957)&gt;0,1,0)</f>
        <v>1</v>
      </c>
      <c r="D957">
        <f>IF(COUNTIFS('United Data'!$A$3:$A$3390,D$1,'United Data'!$C$3:$C$3390,$A957)&gt;0,1,0)</f>
        <v>0</v>
      </c>
      <c r="E957">
        <f>IF(COUNTIFS('United Data'!$A$3:$A$3390,E$1,'United Data'!$C$3:$C$3390,$A957)&gt;0,1,0)</f>
        <v>0</v>
      </c>
      <c r="F957">
        <f>IF(COUNTIFS('United Data'!$A$3:$A$3390,F$1,'United Data'!$C$3:$C$3390,$A957)&gt;0,1,0)</f>
        <v>0</v>
      </c>
      <c r="G957">
        <f>IF(COUNTIFS('United Data'!$A$3:$A$3390,G$1,'United Data'!$C$3:$C$3390,$A957)&gt;0,1,0)</f>
        <v>0</v>
      </c>
      <c r="H957">
        <f>IF(COUNTIFS('United Data'!$A$3:$A$3390,H$1,'United Data'!$C$3:$C$3390,$A957)&gt;0,1,0)</f>
        <v>0</v>
      </c>
      <c r="I957">
        <f>IF(COUNTIFS('United Data'!$A$3:$A$3390,I$1,'United Data'!$C$3:$C$3390,$A957)&gt;0,1,0)</f>
        <v>0</v>
      </c>
      <c r="J957">
        <f>IF(COUNTIFS('United Data'!$A$3:$A$3390,J$1,'United Data'!$C$3:$C$3390,$A957)&gt;0,1,0)</f>
        <v>0</v>
      </c>
      <c r="K957">
        <f>IF(COUNTIFS('United Data'!$A$3:$A$3390,K$1,'United Data'!$C$3:$C$3390,$A957)&gt;0,1,0)</f>
        <v>0</v>
      </c>
      <c r="L957">
        <f>IF(COUNTIFS('United Data'!$A$3:$A$3390,L$1,'United Data'!$C$3:$C$3390,$A957)&gt;0,1,0)</f>
        <v>0</v>
      </c>
      <c r="M957">
        <f>IF(COUNTIFS('United Data'!$A$3:$A$3390,M$1,'United Data'!$C$3:$C$3390,$A957)&gt;0,1,0)</f>
        <v>0</v>
      </c>
      <c r="N957">
        <f>IF(COUNTIFS('United Data'!$A$3:$A$3390,N$1,'United Data'!$C$3:$C$3390,$A957)&gt;0,1,0)</f>
        <v>0</v>
      </c>
      <c r="O957">
        <f>IF(COUNTIFS('United Data'!$A$3:$A$3390,O$1,'United Data'!$C$3:$C$3390,$A957)&gt;0,1,0)</f>
        <v>0</v>
      </c>
      <c r="P957">
        <f>IF(COUNTIFS('United Data'!$A$3:$A$3390,P$1,'United Data'!$C$3:$C$3390,$A957)&gt;0,1,0)</f>
        <v>0</v>
      </c>
      <c r="Q957">
        <f>IF(COUNTIFS('United Data'!$A$3:$A$3390,Q$1,'United Data'!$C$3:$C$3390,$A957)&gt;0,1,0)</f>
        <v>0</v>
      </c>
      <c r="R957">
        <f>IF(COUNTIFS('United Data'!$A$3:$A$3390,R$1,'United Data'!$C$3:$C$3390,$A957)&gt;0,1,0)</f>
        <v>0</v>
      </c>
      <c r="S957">
        <f t="shared" si="28"/>
        <v>1</v>
      </c>
      <c r="T957">
        <f t="shared" si="29"/>
        <v>1</v>
      </c>
    </row>
    <row r="958" spans="1:20" x14ac:dyDescent="0.2">
      <c r="A958" t="s">
        <v>1151</v>
      </c>
      <c r="B958">
        <f>IF(COUNTIFS('United Data'!$A$3:$A$3390,B$1,'United Data'!$C$3:$C$3390,$A958)&gt;0,1,0)</f>
        <v>0</v>
      </c>
      <c r="C958">
        <f>IF(COUNTIFS('United Data'!$A$3:$A$3390,C$1,'United Data'!$C$3:$C$3390,$A958)&gt;0,1,0)</f>
        <v>1</v>
      </c>
      <c r="D958">
        <f>IF(COUNTIFS('United Data'!$A$3:$A$3390,D$1,'United Data'!$C$3:$C$3390,$A958)&gt;0,1,0)</f>
        <v>1</v>
      </c>
      <c r="E958">
        <f>IF(COUNTIFS('United Data'!$A$3:$A$3390,E$1,'United Data'!$C$3:$C$3390,$A958)&gt;0,1,0)</f>
        <v>1</v>
      </c>
      <c r="F958">
        <f>IF(COUNTIFS('United Data'!$A$3:$A$3390,F$1,'United Data'!$C$3:$C$3390,$A958)&gt;0,1,0)</f>
        <v>1</v>
      </c>
      <c r="G958">
        <f>IF(COUNTIFS('United Data'!$A$3:$A$3390,G$1,'United Data'!$C$3:$C$3390,$A958)&gt;0,1,0)</f>
        <v>1</v>
      </c>
      <c r="H958">
        <f>IF(COUNTIFS('United Data'!$A$3:$A$3390,H$1,'United Data'!$C$3:$C$3390,$A958)&gt;0,1,0)</f>
        <v>0</v>
      </c>
      <c r="I958">
        <f>IF(COUNTIFS('United Data'!$A$3:$A$3390,I$1,'United Data'!$C$3:$C$3390,$A958)&gt;0,1,0)</f>
        <v>1</v>
      </c>
      <c r="J958">
        <f>IF(COUNTIFS('United Data'!$A$3:$A$3390,J$1,'United Data'!$C$3:$C$3390,$A958)&gt;0,1,0)</f>
        <v>0</v>
      </c>
      <c r="K958">
        <f>IF(COUNTIFS('United Data'!$A$3:$A$3390,K$1,'United Data'!$C$3:$C$3390,$A958)&gt;0,1,0)</f>
        <v>0</v>
      </c>
      <c r="L958">
        <f>IF(COUNTIFS('United Data'!$A$3:$A$3390,L$1,'United Data'!$C$3:$C$3390,$A958)&gt;0,1,0)</f>
        <v>1</v>
      </c>
      <c r="M958">
        <f>IF(COUNTIFS('United Data'!$A$3:$A$3390,M$1,'United Data'!$C$3:$C$3390,$A958)&gt;0,1,0)</f>
        <v>0</v>
      </c>
      <c r="N958">
        <f>IF(COUNTIFS('United Data'!$A$3:$A$3390,N$1,'United Data'!$C$3:$C$3390,$A958)&gt;0,1,0)</f>
        <v>0</v>
      </c>
      <c r="O958">
        <f>IF(COUNTIFS('United Data'!$A$3:$A$3390,O$1,'United Data'!$C$3:$C$3390,$A958)&gt;0,1,0)</f>
        <v>0</v>
      </c>
      <c r="P958">
        <f>IF(COUNTIFS('United Data'!$A$3:$A$3390,P$1,'United Data'!$C$3:$C$3390,$A958)&gt;0,1,0)</f>
        <v>0</v>
      </c>
      <c r="Q958">
        <f>IF(COUNTIFS('United Data'!$A$3:$A$3390,Q$1,'United Data'!$C$3:$C$3390,$A958)&gt;0,1,0)</f>
        <v>0</v>
      </c>
      <c r="R958">
        <f>IF(COUNTIFS('United Data'!$A$3:$A$3390,R$1,'United Data'!$C$3:$C$3390,$A958)&gt;0,1,0)</f>
        <v>0</v>
      </c>
      <c r="S958">
        <f t="shared" si="28"/>
        <v>7</v>
      </c>
      <c r="T958">
        <f t="shared" si="29"/>
        <v>3</v>
      </c>
    </row>
    <row r="959" spans="1:20" x14ac:dyDescent="0.2">
      <c r="A959" t="s">
        <v>1153</v>
      </c>
      <c r="B959">
        <f>IF(COUNTIFS('United Data'!$A$3:$A$3390,B$1,'United Data'!$C$3:$C$3390,$A959)&gt;0,1,0)</f>
        <v>0</v>
      </c>
      <c r="C959">
        <f>IF(COUNTIFS('United Data'!$A$3:$A$3390,C$1,'United Data'!$C$3:$C$3390,$A959)&gt;0,1,0)</f>
        <v>1</v>
      </c>
      <c r="D959">
        <f>IF(COUNTIFS('United Data'!$A$3:$A$3390,D$1,'United Data'!$C$3:$C$3390,$A959)&gt;0,1,0)</f>
        <v>1</v>
      </c>
      <c r="E959">
        <f>IF(COUNTIFS('United Data'!$A$3:$A$3390,E$1,'United Data'!$C$3:$C$3390,$A959)&gt;0,1,0)</f>
        <v>0</v>
      </c>
      <c r="F959">
        <f>IF(COUNTIFS('United Data'!$A$3:$A$3390,F$1,'United Data'!$C$3:$C$3390,$A959)&gt;0,1,0)</f>
        <v>0</v>
      </c>
      <c r="G959">
        <f>IF(COUNTIFS('United Data'!$A$3:$A$3390,G$1,'United Data'!$C$3:$C$3390,$A959)&gt;0,1,0)</f>
        <v>0</v>
      </c>
      <c r="H959">
        <f>IF(COUNTIFS('United Data'!$A$3:$A$3390,H$1,'United Data'!$C$3:$C$3390,$A959)&gt;0,1,0)</f>
        <v>0</v>
      </c>
      <c r="I959">
        <f>IF(COUNTIFS('United Data'!$A$3:$A$3390,I$1,'United Data'!$C$3:$C$3390,$A959)&gt;0,1,0)</f>
        <v>0</v>
      </c>
      <c r="J959">
        <f>IF(COUNTIFS('United Data'!$A$3:$A$3390,J$1,'United Data'!$C$3:$C$3390,$A959)&gt;0,1,0)</f>
        <v>0</v>
      </c>
      <c r="K959">
        <f>IF(COUNTIFS('United Data'!$A$3:$A$3390,K$1,'United Data'!$C$3:$C$3390,$A959)&gt;0,1,0)</f>
        <v>0</v>
      </c>
      <c r="L959">
        <f>IF(COUNTIFS('United Data'!$A$3:$A$3390,L$1,'United Data'!$C$3:$C$3390,$A959)&gt;0,1,0)</f>
        <v>0</v>
      </c>
      <c r="M959">
        <f>IF(COUNTIFS('United Data'!$A$3:$A$3390,M$1,'United Data'!$C$3:$C$3390,$A959)&gt;0,1,0)</f>
        <v>0</v>
      </c>
      <c r="N959">
        <f>IF(COUNTIFS('United Data'!$A$3:$A$3390,N$1,'United Data'!$C$3:$C$3390,$A959)&gt;0,1,0)</f>
        <v>0</v>
      </c>
      <c r="O959">
        <f>IF(COUNTIFS('United Data'!$A$3:$A$3390,O$1,'United Data'!$C$3:$C$3390,$A959)&gt;0,1,0)</f>
        <v>0</v>
      </c>
      <c r="P959">
        <f>IF(COUNTIFS('United Data'!$A$3:$A$3390,P$1,'United Data'!$C$3:$C$3390,$A959)&gt;0,1,0)</f>
        <v>0</v>
      </c>
      <c r="Q959">
        <f>IF(COUNTIFS('United Data'!$A$3:$A$3390,Q$1,'United Data'!$C$3:$C$3390,$A959)&gt;0,1,0)</f>
        <v>1</v>
      </c>
      <c r="R959">
        <f>IF(COUNTIFS('United Data'!$A$3:$A$3390,R$1,'United Data'!$C$3:$C$3390,$A959)&gt;0,1,0)</f>
        <v>0</v>
      </c>
      <c r="S959">
        <f t="shared" si="28"/>
        <v>3</v>
      </c>
      <c r="T959">
        <f t="shared" si="29"/>
        <v>2</v>
      </c>
    </row>
    <row r="960" spans="1:20" x14ac:dyDescent="0.2">
      <c r="A960" t="s">
        <v>1154</v>
      </c>
      <c r="B960">
        <f>IF(COUNTIFS('United Data'!$A$3:$A$3390,B$1,'United Data'!$C$3:$C$3390,$A960)&gt;0,1,0)</f>
        <v>0</v>
      </c>
      <c r="C960">
        <f>IF(COUNTIFS('United Data'!$A$3:$A$3390,C$1,'United Data'!$C$3:$C$3390,$A960)&gt;0,1,0)</f>
        <v>1</v>
      </c>
      <c r="D960">
        <f>IF(COUNTIFS('United Data'!$A$3:$A$3390,D$1,'United Data'!$C$3:$C$3390,$A960)&gt;0,1,0)</f>
        <v>1</v>
      </c>
      <c r="E960">
        <f>IF(COUNTIFS('United Data'!$A$3:$A$3390,E$1,'United Data'!$C$3:$C$3390,$A960)&gt;0,1,0)</f>
        <v>1</v>
      </c>
      <c r="F960">
        <f>IF(COUNTIFS('United Data'!$A$3:$A$3390,F$1,'United Data'!$C$3:$C$3390,$A960)&gt;0,1,0)</f>
        <v>1</v>
      </c>
      <c r="G960">
        <f>IF(COUNTIFS('United Data'!$A$3:$A$3390,G$1,'United Data'!$C$3:$C$3390,$A960)&gt;0,1,0)</f>
        <v>0</v>
      </c>
      <c r="H960">
        <f>IF(COUNTIFS('United Data'!$A$3:$A$3390,H$1,'United Data'!$C$3:$C$3390,$A960)&gt;0,1,0)</f>
        <v>0</v>
      </c>
      <c r="I960">
        <f>IF(COUNTIFS('United Data'!$A$3:$A$3390,I$1,'United Data'!$C$3:$C$3390,$A960)&gt;0,1,0)</f>
        <v>0</v>
      </c>
      <c r="J960">
        <f>IF(COUNTIFS('United Data'!$A$3:$A$3390,J$1,'United Data'!$C$3:$C$3390,$A960)&gt;0,1,0)</f>
        <v>0</v>
      </c>
      <c r="K960">
        <f>IF(COUNTIFS('United Data'!$A$3:$A$3390,K$1,'United Data'!$C$3:$C$3390,$A960)&gt;0,1,0)</f>
        <v>0</v>
      </c>
      <c r="L960">
        <f>IF(COUNTIFS('United Data'!$A$3:$A$3390,L$1,'United Data'!$C$3:$C$3390,$A960)&gt;0,1,0)</f>
        <v>1</v>
      </c>
      <c r="M960">
        <f>IF(COUNTIFS('United Data'!$A$3:$A$3390,M$1,'United Data'!$C$3:$C$3390,$A960)&gt;0,1,0)</f>
        <v>0</v>
      </c>
      <c r="N960">
        <f>IF(COUNTIFS('United Data'!$A$3:$A$3390,N$1,'United Data'!$C$3:$C$3390,$A960)&gt;0,1,0)</f>
        <v>0</v>
      </c>
      <c r="O960">
        <f>IF(COUNTIFS('United Data'!$A$3:$A$3390,O$1,'United Data'!$C$3:$C$3390,$A960)&gt;0,1,0)</f>
        <v>1</v>
      </c>
      <c r="P960">
        <f>IF(COUNTIFS('United Data'!$A$3:$A$3390,P$1,'United Data'!$C$3:$C$3390,$A960)&gt;0,1,0)</f>
        <v>1</v>
      </c>
      <c r="Q960">
        <f>IF(COUNTIFS('United Data'!$A$3:$A$3390,Q$1,'United Data'!$C$3:$C$3390,$A960)&gt;0,1,0)</f>
        <v>1</v>
      </c>
      <c r="R960">
        <f>IF(COUNTIFS('United Data'!$A$3:$A$3390,R$1,'United Data'!$C$3:$C$3390,$A960)&gt;0,1,0)</f>
        <v>0</v>
      </c>
      <c r="S960">
        <f t="shared" si="28"/>
        <v>8</v>
      </c>
      <c r="T960">
        <f t="shared" si="29"/>
        <v>3</v>
      </c>
    </row>
    <row r="961" spans="1:20" x14ac:dyDescent="0.2">
      <c r="A961" t="s">
        <v>1155</v>
      </c>
      <c r="B961">
        <f>IF(COUNTIFS('United Data'!$A$3:$A$3390,B$1,'United Data'!$C$3:$C$3390,$A961)&gt;0,1,0)</f>
        <v>0</v>
      </c>
      <c r="C961">
        <f>IF(COUNTIFS('United Data'!$A$3:$A$3390,C$1,'United Data'!$C$3:$C$3390,$A961)&gt;0,1,0)</f>
        <v>1</v>
      </c>
      <c r="D961">
        <f>IF(COUNTIFS('United Data'!$A$3:$A$3390,D$1,'United Data'!$C$3:$C$3390,$A961)&gt;0,1,0)</f>
        <v>1</v>
      </c>
      <c r="E961">
        <f>IF(COUNTIFS('United Data'!$A$3:$A$3390,E$1,'United Data'!$C$3:$C$3390,$A961)&gt;0,1,0)</f>
        <v>1</v>
      </c>
      <c r="F961">
        <f>IF(COUNTIFS('United Data'!$A$3:$A$3390,F$1,'United Data'!$C$3:$C$3390,$A961)&gt;0,1,0)</f>
        <v>0</v>
      </c>
      <c r="G961">
        <f>IF(COUNTIFS('United Data'!$A$3:$A$3390,G$1,'United Data'!$C$3:$C$3390,$A961)&gt;0,1,0)</f>
        <v>0</v>
      </c>
      <c r="H961">
        <f>IF(COUNTIFS('United Data'!$A$3:$A$3390,H$1,'United Data'!$C$3:$C$3390,$A961)&gt;0,1,0)</f>
        <v>1</v>
      </c>
      <c r="I961">
        <f>IF(COUNTIFS('United Data'!$A$3:$A$3390,I$1,'United Data'!$C$3:$C$3390,$A961)&gt;0,1,0)</f>
        <v>1</v>
      </c>
      <c r="J961">
        <f>IF(COUNTIFS('United Data'!$A$3:$A$3390,J$1,'United Data'!$C$3:$C$3390,$A961)&gt;0,1,0)</f>
        <v>1</v>
      </c>
      <c r="K961">
        <f>IF(COUNTIFS('United Data'!$A$3:$A$3390,K$1,'United Data'!$C$3:$C$3390,$A961)&gt;0,1,0)</f>
        <v>0</v>
      </c>
      <c r="L961">
        <f>IF(COUNTIFS('United Data'!$A$3:$A$3390,L$1,'United Data'!$C$3:$C$3390,$A961)&gt;0,1,0)</f>
        <v>0</v>
      </c>
      <c r="M961">
        <f>IF(COUNTIFS('United Data'!$A$3:$A$3390,M$1,'United Data'!$C$3:$C$3390,$A961)&gt;0,1,0)</f>
        <v>0</v>
      </c>
      <c r="N961">
        <f>IF(COUNTIFS('United Data'!$A$3:$A$3390,N$1,'United Data'!$C$3:$C$3390,$A961)&gt;0,1,0)</f>
        <v>0</v>
      </c>
      <c r="O961">
        <f>IF(COUNTIFS('United Data'!$A$3:$A$3390,O$1,'United Data'!$C$3:$C$3390,$A961)&gt;0,1,0)</f>
        <v>0</v>
      </c>
      <c r="P961">
        <f>IF(COUNTIFS('United Data'!$A$3:$A$3390,P$1,'United Data'!$C$3:$C$3390,$A961)&gt;0,1,0)</f>
        <v>1</v>
      </c>
      <c r="Q961">
        <f>IF(COUNTIFS('United Data'!$A$3:$A$3390,Q$1,'United Data'!$C$3:$C$3390,$A961)&gt;0,1,0)</f>
        <v>1</v>
      </c>
      <c r="R961">
        <f>IF(COUNTIFS('United Data'!$A$3:$A$3390,R$1,'United Data'!$C$3:$C$3390,$A961)&gt;0,1,0)</f>
        <v>0</v>
      </c>
      <c r="S961">
        <f t="shared" si="28"/>
        <v>8</v>
      </c>
      <c r="T961">
        <f t="shared" si="29"/>
        <v>3</v>
      </c>
    </row>
    <row r="962" spans="1:20" x14ac:dyDescent="0.2">
      <c r="A962" t="s">
        <v>1157</v>
      </c>
      <c r="B962">
        <f>IF(COUNTIFS('United Data'!$A$3:$A$3390,B$1,'United Data'!$C$3:$C$3390,$A962)&gt;0,1,0)</f>
        <v>0</v>
      </c>
      <c r="C962">
        <f>IF(COUNTIFS('United Data'!$A$3:$A$3390,C$1,'United Data'!$C$3:$C$3390,$A962)&gt;0,1,0)</f>
        <v>1</v>
      </c>
      <c r="D962">
        <f>IF(COUNTIFS('United Data'!$A$3:$A$3390,D$1,'United Data'!$C$3:$C$3390,$A962)&gt;0,1,0)</f>
        <v>0</v>
      </c>
      <c r="E962">
        <f>IF(COUNTIFS('United Data'!$A$3:$A$3390,E$1,'United Data'!$C$3:$C$3390,$A962)&gt;0,1,0)</f>
        <v>0</v>
      </c>
      <c r="F962">
        <f>IF(COUNTIFS('United Data'!$A$3:$A$3390,F$1,'United Data'!$C$3:$C$3390,$A962)&gt;0,1,0)</f>
        <v>0</v>
      </c>
      <c r="G962">
        <f>IF(COUNTIFS('United Data'!$A$3:$A$3390,G$1,'United Data'!$C$3:$C$3390,$A962)&gt;0,1,0)</f>
        <v>0</v>
      </c>
      <c r="H962">
        <f>IF(COUNTIFS('United Data'!$A$3:$A$3390,H$1,'United Data'!$C$3:$C$3390,$A962)&gt;0,1,0)</f>
        <v>0</v>
      </c>
      <c r="I962">
        <f>IF(COUNTIFS('United Data'!$A$3:$A$3390,I$1,'United Data'!$C$3:$C$3390,$A962)&gt;0,1,0)</f>
        <v>0</v>
      </c>
      <c r="J962">
        <f>IF(COUNTIFS('United Data'!$A$3:$A$3390,J$1,'United Data'!$C$3:$C$3390,$A962)&gt;0,1,0)</f>
        <v>0</v>
      </c>
      <c r="K962">
        <f>IF(COUNTIFS('United Data'!$A$3:$A$3390,K$1,'United Data'!$C$3:$C$3390,$A962)&gt;0,1,0)</f>
        <v>0</v>
      </c>
      <c r="L962">
        <f>IF(COUNTIFS('United Data'!$A$3:$A$3390,L$1,'United Data'!$C$3:$C$3390,$A962)&gt;0,1,0)</f>
        <v>0</v>
      </c>
      <c r="M962">
        <f>IF(COUNTIFS('United Data'!$A$3:$A$3390,M$1,'United Data'!$C$3:$C$3390,$A962)&gt;0,1,0)</f>
        <v>0</v>
      </c>
      <c r="N962">
        <f>IF(COUNTIFS('United Data'!$A$3:$A$3390,N$1,'United Data'!$C$3:$C$3390,$A962)&gt;0,1,0)</f>
        <v>0</v>
      </c>
      <c r="O962">
        <f>IF(COUNTIFS('United Data'!$A$3:$A$3390,O$1,'United Data'!$C$3:$C$3390,$A962)&gt;0,1,0)</f>
        <v>0</v>
      </c>
      <c r="P962">
        <f>IF(COUNTIFS('United Data'!$A$3:$A$3390,P$1,'United Data'!$C$3:$C$3390,$A962)&gt;0,1,0)</f>
        <v>0</v>
      </c>
      <c r="Q962">
        <f>IF(COUNTIFS('United Data'!$A$3:$A$3390,Q$1,'United Data'!$C$3:$C$3390,$A962)&gt;0,1,0)</f>
        <v>0</v>
      </c>
      <c r="R962">
        <f>IF(COUNTIFS('United Data'!$A$3:$A$3390,R$1,'United Data'!$C$3:$C$3390,$A962)&gt;0,1,0)</f>
        <v>0</v>
      </c>
      <c r="S962">
        <f t="shared" ref="S962:S1025" si="30">SUM(B962:R962)</f>
        <v>1</v>
      </c>
      <c r="T962">
        <f t="shared" ref="T962:T1025" si="31">B962+SUMPRODUCT(--(C962:R962&gt;B962:Q962))</f>
        <v>1</v>
      </c>
    </row>
    <row r="963" spans="1:20" x14ac:dyDescent="0.2">
      <c r="A963" t="s">
        <v>1158</v>
      </c>
      <c r="B963">
        <f>IF(COUNTIFS('United Data'!$A$3:$A$3390,B$1,'United Data'!$C$3:$C$3390,$A963)&gt;0,1,0)</f>
        <v>0</v>
      </c>
      <c r="C963">
        <f>IF(COUNTIFS('United Data'!$A$3:$A$3390,C$1,'United Data'!$C$3:$C$3390,$A963)&gt;0,1,0)</f>
        <v>1</v>
      </c>
      <c r="D963">
        <f>IF(COUNTIFS('United Data'!$A$3:$A$3390,D$1,'United Data'!$C$3:$C$3390,$A963)&gt;0,1,0)</f>
        <v>1</v>
      </c>
      <c r="E963">
        <f>IF(COUNTIFS('United Data'!$A$3:$A$3390,E$1,'United Data'!$C$3:$C$3390,$A963)&gt;0,1,0)</f>
        <v>0</v>
      </c>
      <c r="F963">
        <f>IF(COUNTIFS('United Data'!$A$3:$A$3390,F$1,'United Data'!$C$3:$C$3390,$A963)&gt;0,1,0)</f>
        <v>1</v>
      </c>
      <c r="G963">
        <f>IF(COUNTIFS('United Data'!$A$3:$A$3390,G$1,'United Data'!$C$3:$C$3390,$A963)&gt;0,1,0)</f>
        <v>0</v>
      </c>
      <c r="H963">
        <f>IF(COUNTIFS('United Data'!$A$3:$A$3390,H$1,'United Data'!$C$3:$C$3390,$A963)&gt;0,1,0)</f>
        <v>0</v>
      </c>
      <c r="I963">
        <f>IF(COUNTIFS('United Data'!$A$3:$A$3390,I$1,'United Data'!$C$3:$C$3390,$A963)&gt;0,1,0)</f>
        <v>0</v>
      </c>
      <c r="J963">
        <f>IF(COUNTIFS('United Data'!$A$3:$A$3390,J$1,'United Data'!$C$3:$C$3390,$A963)&gt;0,1,0)</f>
        <v>0</v>
      </c>
      <c r="K963">
        <f>IF(COUNTIFS('United Data'!$A$3:$A$3390,K$1,'United Data'!$C$3:$C$3390,$A963)&gt;0,1,0)</f>
        <v>0</v>
      </c>
      <c r="L963">
        <f>IF(COUNTIFS('United Data'!$A$3:$A$3390,L$1,'United Data'!$C$3:$C$3390,$A963)&gt;0,1,0)</f>
        <v>1</v>
      </c>
      <c r="M963">
        <f>IF(COUNTIFS('United Data'!$A$3:$A$3390,M$1,'United Data'!$C$3:$C$3390,$A963)&gt;0,1,0)</f>
        <v>0</v>
      </c>
      <c r="N963">
        <f>IF(COUNTIFS('United Data'!$A$3:$A$3390,N$1,'United Data'!$C$3:$C$3390,$A963)&gt;0,1,0)</f>
        <v>0</v>
      </c>
      <c r="O963">
        <f>IF(COUNTIFS('United Data'!$A$3:$A$3390,O$1,'United Data'!$C$3:$C$3390,$A963)&gt;0,1,0)</f>
        <v>0</v>
      </c>
      <c r="P963">
        <f>IF(COUNTIFS('United Data'!$A$3:$A$3390,P$1,'United Data'!$C$3:$C$3390,$A963)&gt;0,1,0)</f>
        <v>1</v>
      </c>
      <c r="Q963">
        <f>IF(COUNTIFS('United Data'!$A$3:$A$3390,Q$1,'United Data'!$C$3:$C$3390,$A963)&gt;0,1,0)</f>
        <v>1</v>
      </c>
      <c r="R963">
        <f>IF(COUNTIFS('United Data'!$A$3:$A$3390,R$1,'United Data'!$C$3:$C$3390,$A963)&gt;0,1,0)</f>
        <v>0</v>
      </c>
      <c r="S963">
        <f t="shared" si="30"/>
        <v>6</v>
      </c>
      <c r="T963">
        <f t="shared" si="31"/>
        <v>4</v>
      </c>
    </row>
    <row r="964" spans="1:20" x14ac:dyDescent="0.2">
      <c r="A964" t="s">
        <v>1159</v>
      </c>
      <c r="B964">
        <f>IF(COUNTIFS('United Data'!$A$3:$A$3390,B$1,'United Data'!$C$3:$C$3390,$A964)&gt;0,1,0)</f>
        <v>0</v>
      </c>
      <c r="C964">
        <f>IF(COUNTIFS('United Data'!$A$3:$A$3390,C$1,'United Data'!$C$3:$C$3390,$A964)&gt;0,1,0)</f>
        <v>0</v>
      </c>
      <c r="D964">
        <f>IF(COUNTIFS('United Data'!$A$3:$A$3390,D$1,'United Data'!$C$3:$C$3390,$A964)&gt;0,1,0)</f>
        <v>1</v>
      </c>
      <c r="E964">
        <f>IF(COUNTIFS('United Data'!$A$3:$A$3390,E$1,'United Data'!$C$3:$C$3390,$A964)&gt;0,1,0)</f>
        <v>0</v>
      </c>
      <c r="F964">
        <f>IF(COUNTIFS('United Data'!$A$3:$A$3390,F$1,'United Data'!$C$3:$C$3390,$A964)&gt;0,1,0)</f>
        <v>0</v>
      </c>
      <c r="G964">
        <f>IF(COUNTIFS('United Data'!$A$3:$A$3390,G$1,'United Data'!$C$3:$C$3390,$A964)&gt;0,1,0)</f>
        <v>0</v>
      </c>
      <c r="H964">
        <f>IF(COUNTIFS('United Data'!$A$3:$A$3390,H$1,'United Data'!$C$3:$C$3390,$A964)&gt;0,1,0)</f>
        <v>0</v>
      </c>
      <c r="I964">
        <f>IF(COUNTIFS('United Data'!$A$3:$A$3390,I$1,'United Data'!$C$3:$C$3390,$A964)&gt;0,1,0)</f>
        <v>0</v>
      </c>
      <c r="J964">
        <f>IF(COUNTIFS('United Data'!$A$3:$A$3390,J$1,'United Data'!$C$3:$C$3390,$A964)&gt;0,1,0)</f>
        <v>0</v>
      </c>
      <c r="K964">
        <f>IF(COUNTIFS('United Data'!$A$3:$A$3390,K$1,'United Data'!$C$3:$C$3390,$A964)&gt;0,1,0)</f>
        <v>0</v>
      </c>
      <c r="L964">
        <f>IF(COUNTIFS('United Data'!$A$3:$A$3390,L$1,'United Data'!$C$3:$C$3390,$A964)&gt;0,1,0)</f>
        <v>0</v>
      </c>
      <c r="M964">
        <f>IF(COUNTIFS('United Data'!$A$3:$A$3390,M$1,'United Data'!$C$3:$C$3390,$A964)&gt;0,1,0)</f>
        <v>0</v>
      </c>
      <c r="N964">
        <f>IF(COUNTIFS('United Data'!$A$3:$A$3390,N$1,'United Data'!$C$3:$C$3390,$A964)&gt;0,1,0)</f>
        <v>0</v>
      </c>
      <c r="O964">
        <f>IF(COUNTIFS('United Data'!$A$3:$A$3390,O$1,'United Data'!$C$3:$C$3390,$A964)&gt;0,1,0)</f>
        <v>0</v>
      </c>
      <c r="P964">
        <f>IF(COUNTIFS('United Data'!$A$3:$A$3390,P$1,'United Data'!$C$3:$C$3390,$A964)&gt;0,1,0)</f>
        <v>0</v>
      </c>
      <c r="Q964">
        <f>IF(COUNTIFS('United Data'!$A$3:$A$3390,Q$1,'United Data'!$C$3:$C$3390,$A964)&gt;0,1,0)</f>
        <v>0</v>
      </c>
      <c r="R964">
        <f>IF(COUNTIFS('United Data'!$A$3:$A$3390,R$1,'United Data'!$C$3:$C$3390,$A964)&gt;0,1,0)</f>
        <v>0</v>
      </c>
      <c r="S964">
        <f t="shared" si="30"/>
        <v>1</v>
      </c>
      <c r="T964">
        <f t="shared" si="31"/>
        <v>1</v>
      </c>
    </row>
    <row r="965" spans="1:20" x14ac:dyDescent="0.2">
      <c r="A965" t="s">
        <v>1160</v>
      </c>
      <c r="B965">
        <f>IF(COUNTIFS('United Data'!$A$3:$A$3390,B$1,'United Data'!$C$3:$C$3390,$A965)&gt;0,1,0)</f>
        <v>0</v>
      </c>
      <c r="C965">
        <f>IF(COUNTIFS('United Data'!$A$3:$A$3390,C$1,'United Data'!$C$3:$C$3390,$A965)&gt;0,1,0)</f>
        <v>0</v>
      </c>
      <c r="D965">
        <f>IF(COUNTIFS('United Data'!$A$3:$A$3390,D$1,'United Data'!$C$3:$C$3390,$A965)&gt;0,1,0)</f>
        <v>1</v>
      </c>
      <c r="E965">
        <f>IF(COUNTIFS('United Data'!$A$3:$A$3390,E$1,'United Data'!$C$3:$C$3390,$A965)&gt;0,1,0)</f>
        <v>1</v>
      </c>
      <c r="F965">
        <f>IF(COUNTIFS('United Data'!$A$3:$A$3390,F$1,'United Data'!$C$3:$C$3390,$A965)&gt;0,1,0)</f>
        <v>0</v>
      </c>
      <c r="G965">
        <f>IF(COUNTIFS('United Data'!$A$3:$A$3390,G$1,'United Data'!$C$3:$C$3390,$A965)&gt;0,1,0)</f>
        <v>0</v>
      </c>
      <c r="H965">
        <f>IF(COUNTIFS('United Data'!$A$3:$A$3390,H$1,'United Data'!$C$3:$C$3390,$A965)&gt;0,1,0)</f>
        <v>0</v>
      </c>
      <c r="I965">
        <f>IF(COUNTIFS('United Data'!$A$3:$A$3390,I$1,'United Data'!$C$3:$C$3390,$A965)&gt;0,1,0)</f>
        <v>0</v>
      </c>
      <c r="J965">
        <f>IF(COUNTIFS('United Data'!$A$3:$A$3390,J$1,'United Data'!$C$3:$C$3390,$A965)&gt;0,1,0)</f>
        <v>0</v>
      </c>
      <c r="K965">
        <f>IF(COUNTIFS('United Data'!$A$3:$A$3390,K$1,'United Data'!$C$3:$C$3390,$A965)&gt;0,1,0)</f>
        <v>0</v>
      </c>
      <c r="L965">
        <f>IF(COUNTIFS('United Data'!$A$3:$A$3390,L$1,'United Data'!$C$3:$C$3390,$A965)&gt;0,1,0)</f>
        <v>0</v>
      </c>
      <c r="M965">
        <f>IF(COUNTIFS('United Data'!$A$3:$A$3390,M$1,'United Data'!$C$3:$C$3390,$A965)&gt;0,1,0)</f>
        <v>0</v>
      </c>
      <c r="N965">
        <f>IF(COUNTIFS('United Data'!$A$3:$A$3390,N$1,'United Data'!$C$3:$C$3390,$A965)&gt;0,1,0)</f>
        <v>0</v>
      </c>
      <c r="O965">
        <f>IF(COUNTIFS('United Data'!$A$3:$A$3390,O$1,'United Data'!$C$3:$C$3390,$A965)&gt;0,1,0)</f>
        <v>0</v>
      </c>
      <c r="P965">
        <f>IF(COUNTIFS('United Data'!$A$3:$A$3390,P$1,'United Data'!$C$3:$C$3390,$A965)&gt;0,1,0)</f>
        <v>0</v>
      </c>
      <c r="Q965">
        <f>IF(COUNTIFS('United Data'!$A$3:$A$3390,Q$1,'United Data'!$C$3:$C$3390,$A965)&gt;0,1,0)</f>
        <v>1</v>
      </c>
      <c r="R965">
        <f>IF(COUNTIFS('United Data'!$A$3:$A$3390,R$1,'United Data'!$C$3:$C$3390,$A965)&gt;0,1,0)</f>
        <v>0</v>
      </c>
      <c r="S965">
        <f t="shared" si="30"/>
        <v>3</v>
      </c>
      <c r="T965">
        <f t="shared" si="31"/>
        <v>2</v>
      </c>
    </row>
    <row r="966" spans="1:20" x14ac:dyDescent="0.2">
      <c r="A966" t="s">
        <v>1161</v>
      </c>
      <c r="B966">
        <f>IF(COUNTIFS('United Data'!$A$3:$A$3390,B$1,'United Data'!$C$3:$C$3390,$A966)&gt;0,1,0)</f>
        <v>0</v>
      </c>
      <c r="C966">
        <f>IF(COUNTIFS('United Data'!$A$3:$A$3390,C$1,'United Data'!$C$3:$C$3390,$A966)&gt;0,1,0)</f>
        <v>0</v>
      </c>
      <c r="D966">
        <f>IF(COUNTIFS('United Data'!$A$3:$A$3390,D$1,'United Data'!$C$3:$C$3390,$A966)&gt;0,1,0)</f>
        <v>1</v>
      </c>
      <c r="E966">
        <f>IF(COUNTIFS('United Data'!$A$3:$A$3390,E$1,'United Data'!$C$3:$C$3390,$A966)&gt;0,1,0)</f>
        <v>0</v>
      </c>
      <c r="F966">
        <f>IF(COUNTIFS('United Data'!$A$3:$A$3390,F$1,'United Data'!$C$3:$C$3390,$A966)&gt;0,1,0)</f>
        <v>0</v>
      </c>
      <c r="G966">
        <f>IF(COUNTIFS('United Data'!$A$3:$A$3390,G$1,'United Data'!$C$3:$C$3390,$A966)&gt;0,1,0)</f>
        <v>0</v>
      </c>
      <c r="H966">
        <f>IF(COUNTIFS('United Data'!$A$3:$A$3390,H$1,'United Data'!$C$3:$C$3390,$A966)&gt;0,1,0)</f>
        <v>0</v>
      </c>
      <c r="I966">
        <f>IF(COUNTIFS('United Data'!$A$3:$A$3390,I$1,'United Data'!$C$3:$C$3390,$A966)&gt;0,1,0)</f>
        <v>0</v>
      </c>
      <c r="J966">
        <f>IF(COUNTIFS('United Data'!$A$3:$A$3390,J$1,'United Data'!$C$3:$C$3390,$A966)&gt;0,1,0)</f>
        <v>0</v>
      </c>
      <c r="K966">
        <f>IF(COUNTIFS('United Data'!$A$3:$A$3390,K$1,'United Data'!$C$3:$C$3390,$A966)&gt;0,1,0)</f>
        <v>0</v>
      </c>
      <c r="L966">
        <f>IF(COUNTIFS('United Data'!$A$3:$A$3390,L$1,'United Data'!$C$3:$C$3390,$A966)&gt;0,1,0)</f>
        <v>0</v>
      </c>
      <c r="M966">
        <f>IF(COUNTIFS('United Data'!$A$3:$A$3390,M$1,'United Data'!$C$3:$C$3390,$A966)&gt;0,1,0)</f>
        <v>0</v>
      </c>
      <c r="N966">
        <f>IF(COUNTIFS('United Data'!$A$3:$A$3390,N$1,'United Data'!$C$3:$C$3390,$A966)&gt;0,1,0)</f>
        <v>0</v>
      </c>
      <c r="O966">
        <f>IF(COUNTIFS('United Data'!$A$3:$A$3390,O$1,'United Data'!$C$3:$C$3390,$A966)&gt;0,1,0)</f>
        <v>0</v>
      </c>
      <c r="P966">
        <f>IF(COUNTIFS('United Data'!$A$3:$A$3390,P$1,'United Data'!$C$3:$C$3390,$A966)&gt;0,1,0)</f>
        <v>0</v>
      </c>
      <c r="Q966">
        <f>IF(COUNTIFS('United Data'!$A$3:$A$3390,Q$1,'United Data'!$C$3:$C$3390,$A966)&gt;0,1,0)</f>
        <v>0</v>
      </c>
      <c r="R966">
        <f>IF(COUNTIFS('United Data'!$A$3:$A$3390,R$1,'United Data'!$C$3:$C$3390,$A966)&gt;0,1,0)</f>
        <v>0</v>
      </c>
      <c r="S966">
        <f t="shared" si="30"/>
        <v>1</v>
      </c>
      <c r="T966">
        <f t="shared" si="31"/>
        <v>1</v>
      </c>
    </row>
    <row r="967" spans="1:20" x14ac:dyDescent="0.2">
      <c r="A967" t="s">
        <v>1162</v>
      </c>
      <c r="B967">
        <f>IF(COUNTIFS('United Data'!$A$3:$A$3390,B$1,'United Data'!$C$3:$C$3390,$A967)&gt;0,1,0)</f>
        <v>0</v>
      </c>
      <c r="C967">
        <f>IF(COUNTIFS('United Data'!$A$3:$A$3390,C$1,'United Data'!$C$3:$C$3390,$A967)&gt;0,1,0)</f>
        <v>0</v>
      </c>
      <c r="D967">
        <f>IF(COUNTIFS('United Data'!$A$3:$A$3390,D$1,'United Data'!$C$3:$C$3390,$A967)&gt;0,1,0)</f>
        <v>1</v>
      </c>
      <c r="E967">
        <f>IF(COUNTIFS('United Data'!$A$3:$A$3390,E$1,'United Data'!$C$3:$C$3390,$A967)&gt;0,1,0)</f>
        <v>0</v>
      </c>
      <c r="F967">
        <f>IF(COUNTIFS('United Data'!$A$3:$A$3390,F$1,'United Data'!$C$3:$C$3390,$A967)&gt;0,1,0)</f>
        <v>0</v>
      </c>
      <c r="G967">
        <f>IF(COUNTIFS('United Data'!$A$3:$A$3390,G$1,'United Data'!$C$3:$C$3390,$A967)&gt;0,1,0)</f>
        <v>0</v>
      </c>
      <c r="H967">
        <f>IF(COUNTIFS('United Data'!$A$3:$A$3390,H$1,'United Data'!$C$3:$C$3390,$A967)&gt;0,1,0)</f>
        <v>1</v>
      </c>
      <c r="I967">
        <f>IF(COUNTIFS('United Data'!$A$3:$A$3390,I$1,'United Data'!$C$3:$C$3390,$A967)&gt;0,1,0)</f>
        <v>0</v>
      </c>
      <c r="J967">
        <f>IF(COUNTIFS('United Data'!$A$3:$A$3390,J$1,'United Data'!$C$3:$C$3390,$A967)&gt;0,1,0)</f>
        <v>0</v>
      </c>
      <c r="K967">
        <f>IF(COUNTIFS('United Data'!$A$3:$A$3390,K$1,'United Data'!$C$3:$C$3390,$A967)&gt;0,1,0)</f>
        <v>0</v>
      </c>
      <c r="L967">
        <f>IF(COUNTIFS('United Data'!$A$3:$A$3390,L$1,'United Data'!$C$3:$C$3390,$A967)&gt;0,1,0)</f>
        <v>0</v>
      </c>
      <c r="M967">
        <f>IF(COUNTIFS('United Data'!$A$3:$A$3390,M$1,'United Data'!$C$3:$C$3390,$A967)&gt;0,1,0)</f>
        <v>0</v>
      </c>
      <c r="N967">
        <f>IF(COUNTIFS('United Data'!$A$3:$A$3390,N$1,'United Data'!$C$3:$C$3390,$A967)&gt;0,1,0)</f>
        <v>0</v>
      </c>
      <c r="O967">
        <f>IF(COUNTIFS('United Data'!$A$3:$A$3390,O$1,'United Data'!$C$3:$C$3390,$A967)&gt;0,1,0)</f>
        <v>0</v>
      </c>
      <c r="P967">
        <f>IF(COUNTIFS('United Data'!$A$3:$A$3390,P$1,'United Data'!$C$3:$C$3390,$A967)&gt;0,1,0)</f>
        <v>0</v>
      </c>
      <c r="Q967">
        <f>IF(COUNTIFS('United Data'!$A$3:$A$3390,Q$1,'United Data'!$C$3:$C$3390,$A967)&gt;0,1,0)</f>
        <v>0</v>
      </c>
      <c r="R967">
        <f>IF(COUNTIFS('United Data'!$A$3:$A$3390,R$1,'United Data'!$C$3:$C$3390,$A967)&gt;0,1,0)</f>
        <v>0</v>
      </c>
      <c r="S967">
        <f t="shared" si="30"/>
        <v>2</v>
      </c>
      <c r="T967">
        <f t="shared" si="31"/>
        <v>2</v>
      </c>
    </row>
    <row r="968" spans="1:20" x14ac:dyDescent="0.2">
      <c r="A968" t="s">
        <v>1163</v>
      </c>
      <c r="B968">
        <f>IF(COUNTIFS('United Data'!$A$3:$A$3390,B$1,'United Data'!$C$3:$C$3390,$A968)&gt;0,1,0)</f>
        <v>0</v>
      </c>
      <c r="C968">
        <f>IF(COUNTIFS('United Data'!$A$3:$A$3390,C$1,'United Data'!$C$3:$C$3390,$A968)&gt;0,1,0)</f>
        <v>0</v>
      </c>
      <c r="D968">
        <f>IF(COUNTIFS('United Data'!$A$3:$A$3390,D$1,'United Data'!$C$3:$C$3390,$A968)&gt;0,1,0)</f>
        <v>1</v>
      </c>
      <c r="E968">
        <f>IF(COUNTIFS('United Data'!$A$3:$A$3390,E$1,'United Data'!$C$3:$C$3390,$A968)&gt;0,1,0)</f>
        <v>0</v>
      </c>
      <c r="F968">
        <f>IF(COUNTIFS('United Data'!$A$3:$A$3390,F$1,'United Data'!$C$3:$C$3390,$A968)&gt;0,1,0)</f>
        <v>0</v>
      </c>
      <c r="G968">
        <f>IF(COUNTIFS('United Data'!$A$3:$A$3390,G$1,'United Data'!$C$3:$C$3390,$A968)&gt;0,1,0)</f>
        <v>0</v>
      </c>
      <c r="H968">
        <f>IF(COUNTIFS('United Data'!$A$3:$A$3390,H$1,'United Data'!$C$3:$C$3390,$A968)&gt;0,1,0)</f>
        <v>0</v>
      </c>
      <c r="I968">
        <f>IF(COUNTIFS('United Data'!$A$3:$A$3390,I$1,'United Data'!$C$3:$C$3390,$A968)&gt;0,1,0)</f>
        <v>0</v>
      </c>
      <c r="J968">
        <f>IF(COUNTIFS('United Data'!$A$3:$A$3390,J$1,'United Data'!$C$3:$C$3390,$A968)&gt;0,1,0)</f>
        <v>0</v>
      </c>
      <c r="K968">
        <f>IF(COUNTIFS('United Data'!$A$3:$A$3390,K$1,'United Data'!$C$3:$C$3390,$A968)&gt;0,1,0)</f>
        <v>0</v>
      </c>
      <c r="L968">
        <f>IF(COUNTIFS('United Data'!$A$3:$A$3390,L$1,'United Data'!$C$3:$C$3390,$A968)&gt;0,1,0)</f>
        <v>0</v>
      </c>
      <c r="M968">
        <f>IF(COUNTIFS('United Data'!$A$3:$A$3390,M$1,'United Data'!$C$3:$C$3390,$A968)&gt;0,1,0)</f>
        <v>0</v>
      </c>
      <c r="N968">
        <f>IF(COUNTIFS('United Data'!$A$3:$A$3390,N$1,'United Data'!$C$3:$C$3390,$A968)&gt;0,1,0)</f>
        <v>0</v>
      </c>
      <c r="O968">
        <f>IF(COUNTIFS('United Data'!$A$3:$A$3390,O$1,'United Data'!$C$3:$C$3390,$A968)&gt;0,1,0)</f>
        <v>0</v>
      </c>
      <c r="P968">
        <f>IF(COUNTIFS('United Data'!$A$3:$A$3390,P$1,'United Data'!$C$3:$C$3390,$A968)&gt;0,1,0)</f>
        <v>0</v>
      </c>
      <c r="Q968">
        <f>IF(COUNTIFS('United Data'!$A$3:$A$3390,Q$1,'United Data'!$C$3:$C$3390,$A968)&gt;0,1,0)</f>
        <v>1</v>
      </c>
      <c r="R968">
        <f>IF(COUNTIFS('United Data'!$A$3:$A$3390,R$1,'United Data'!$C$3:$C$3390,$A968)&gt;0,1,0)</f>
        <v>0</v>
      </c>
      <c r="S968">
        <f t="shared" si="30"/>
        <v>2</v>
      </c>
      <c r="T968">
        <f t="shared" si="31"/>
        <v>2</v>
      </c>
    </row>
    <row r="969" spans="1:20" x14ac:dyDescent="0.2">
      <c r="A969" t="s">
        <v>1165</v>
      </c>
      <c r="B969">
        <f>IF(COUNTIFS('United Data'!$A$3:$A$3390,B$1,'United Data'!$C$3:$C$3390,$A969)&gt;0,1,0)</f>
        <v>0</v>
      </c>
      <c r="C969">
        <f>IF(COUNTIFS('United Data'!$A$3:$A$3390,C$1,'United Data'!$C$3:$C$3390,$A969)&gt;0,1,0)</f>
        <v>0</v>
      </c>
      <c r="D969">
        <f>IF(COUNTIFS('United Data'!$A$3:$A$3390,D$1,'United Data'!$C$3:$C$3390,$A969)&gt;0,1,0)</f>
        <v>1</v>
      </c>
      <c r="E969">
        <f>IF(COUNTIFS('United Data'!$A$3:$A$3390,E$1,'United Data'!$C$3:$C$3390,$A969)&gt;0,1,0)</f>
        <v>0</v>
      </c>
      <c r="F969">
        <f>IF(COUNTIFS('United Data'!$A$3:$A$3390,F$1,'United Data'!$C$3:$C$3390,$A969)&gt;0,1,0)</f>
        <v>0</v>
      </c>
      <c r="G969">
        <f>IF(COUNTIFS('United Data'!$A$3:$A$3390,G$1,'United Data'!$C$3:$C$3390,$A969)&gt;0,1,0)</f>
        <v>0</v>
      </c>
      <c r="H969">
        <f>IF(COUNTIFS('United Data'!$A$3:$A$3390,H$1,'United Data'!$C$3:$C$3390,$A969)&gt;0,1,0)</f>
        <v>0</v>
      </c>
      <c r="I969">
        <f>IF(COUNTIFS('United Data'!$A$3:$A$3390,I$1,'United Data'!$C$3:$C$3390,$A969)&gt;0,1,0)</f>
        <v>0</v>
      </c>
      <c r="J969">
        <f>IF(COUNTIFS('United Data'!$A$3:$A$3390,J$1,'United Data'!$C$3:$C$3390,$A969)&gt;0,1,0)</f>
        <v>0</v>
      </c>
      <c r="K969">
        <f>IF(COUNTIFS('United Data'!$A$3:$A$3390,K$1,'United Data'!$C$3:$C$3390,$A969)&gt;0,1,0)</f>
        <v>0</v>
      </c>
      <c r="L969">
        <f>IF(COUNTIFS('United Data'!$A$3:$A$3390,L$1,'United Data'!$C$3:$C$3390,$A969)&gt;0,1,0)</f>
        <v>0</v>
      </c>
      <c r="M969">
        <f>IF(COUNTIFS('United Data'!$A$3:$A$3390,M$1,'United Data'!$C$3:$C$3390,$A969)&gt;0,1,0)</f>
        <v>0</v>
      </c>
      <c r="N969">
        <f>IF(COUNTIFS('United Data'!$A$3:$A$3390,N$1,'United Data'!$C$3:$C$3390,$A969)&gt;0,1,0)</f>
        <v>0</v>
      </c>
      <c r="O969">
        <f>IF(COUNTIFS('United Data'!$A$3:$A$3390,O$1,'United Data'!$C$3:$C$3390,$A969)&gt;0,1,0)</f>
        <v>0</v>
      </c>
      <c r="P969">
        <f>IF(COUNTIFS('United Data'!$A$3:$A$3390,P$1,'United Data'!$C$3:$C$3390,$A969)&gt;0,1,0)</f>
        <v>0</v>
      </c>
      <c r="Q969">
        <f>IF(COUNTIFS('United Data'!$A$3:$A$3390,Q$1,'United Data'!$C$3:$C$3390,$A969)&gt;0,1,0)</f>
        <v>0</v>
      </c>
      <c r="R969">
        <f>IF(COUNTIFS('United Data'!$A$3:$A$3390,R$1,'United Data'!$C$3:$C$3390,$A969)&gt;0,1,0)</f>
        <v>0</v>
      </c>
      <c r="S969">
        <f t="shared" si="30"/>
        <v>1</v>
      </c>
      <c r="T969">
        <f t="shared" si="31"/>
        <v>1</v>
      </c>
    </row>
    <row r="970" spans="1:20" x14ac:dyDescent="0.2">
      <c r="A970" t="s">
        <v>1167</v>
      </c>
      <c r="B970">
        <f>IF(COUNTIFS('United Data'!$A$3:$A$3390,B$1,'United Data'!$C$3:$C$3390,$A970)&gt;0,1,0)</f>
        <v>0</v>
      </c>
      <c r="C970">
        <f>IF(COUNTIFS('United Data'!$A$3:$A$3390,C$1,'United Data'!$C$3:$C$3390,$A970)&gt;0,1,0)</f>
        <v>0</v>
      </c>
      <c r="D970">
        <f>IF(COUNTIFS('United Data'!$A$3:$A$3390,D$1,'United Data'!$C$3:$C$3390,$A970)&gt;0,1,0)</f>
        <v>1</v>
      </c>
      <c r="E970">
        <f>IF(COUNTIFS('United Data'!$A$3:$A$3390,E$1,'United Data'!$C$3:$C$3390,$A970)&gt;0,1,0)</f>
        <v>0</v>
      </c>
      <c r="F970">
        <f>IF(COUNTIFS('United Data'!$A$3:$A$3390,F$1,'United Data'!$C$3:$C$3390,$A970)&gt;0,1,0)</f>
        <v>0</v>
      </c>
      <c r="G970">
        <f>IF(COUNTIFS('United Data'!$A$3:$A$3390,G$1,'United Data'!$C$3:$C$3390,$A970)&gt;0,1,0)</f>
        <v>0</v>
      </c>
      <c r="H970">
        <f>IF(COUNTIFS('United Data'!$A$3:$A$3390,H$1,'United Data'!$C$3:$C$3390,$A970)&gt;0,1,0)</f>
        <v>0</v>
      </c>
      <c r="I970">
        <f>IF(COUNTIFS('United Data'!$A$3:$A$3390,I$1,'United Data'!$C$3:$C$3390,$A970)&gt;0,1,0)</f>
        <v>0</v>
      </c>
      <c r="J970">
        <f>IF(COUNTIFS('United Data'!$A$3:$A$3390,J$1,'United Data'!$C$3:$C$3390,$A970)&gt;0,1,0)</f>
        <v>0</v>
      </c>
      <c r="K970">
        <f>IF(COUNTIFS('United Data'!$A$3:$A$3390,K$1,'United Data'!$C$3:$C$3390,$A970)&gt;0,1,0)</f>
        <v>0</v>
      </c>
      <c r="L970">
        <f>IF(COUNTIFS('United Data'!$A$3:$A$3390,L$1,'United Data'!$C$3:$C$3390,$A970)&gt;0,1,0)</f>
        <v>0</v>
      </c>
      <c r="M970">
        <f>IF(COUNTIFS('United Data'!$A$3:$A$3390,M$1,'United Data'!$C$3:$C$3390,$A970)&gt;0,1,0)</f>
        <v>0</v>
      </c>
      <c r="N970">
        <f>IF(COUNTIFS('United Data'!$A$3:$A$3390,N$1,'United Data'!$C$3:$C$3390,$A970)&gt;0,1,0)</f>
        <v>0</v>
      </c>
      <c r="O970">
        <f>IF(COUNTIFS('United Data'!$A$3:$A$3390,O$1,'United Data'!$C$3:$C$3390,$A970)&gt;0,1,0)</f>
        <v>0</v>
      </c>
      <c r="P970">
        <f>IF(COUNTIFS('United Data'!$A$3:$A$3390,P$1,'United Data'!$C$3:$C$3390,$A970)&gt;0,1,0)</f>
        <v>0</v>
      </c>
      <c r="Q970">
        <f>IF(COUNTIFS('United Data'!$A$3:$A$3390,Q$1,'United Data'!$C$3:$C$3390,$A970)&gt;0,1,0)</f>
        <v>0</v>
      </c>
      <c r="R970">
        <f>IF(COUNTIFS('United Data'!$A$3:$A$3390,R$1,'United Data'!$C$3:$C$3390,$A970)&gt;0,1,0)</f>
        <v>0</v>
      </c>
      <c r="S970">
        <f t="shared" si="30"/>
        <v>1</v>
      </c>
      <c r="T970">
        <f t="shared" si="31"/>
        <v>1</v>
      </c>
    </row>
    <row r="971" spans="1:20" x14ac:dyDescent="0.2">
      <c r="A971" t="s">
        <v>1168</v>
      </c>
      <c r="B971">
        <f>IF(COUNTIFS('United Data'!$A$3:$A$3390,B$1,'United Data'!$C$3:$C$3390,$A971)&gt;0,1,0)</f>
        <v>0</v>
      </c>
      <c r="C971">
        <f>IF(COUNTIFS('United Data'!$A$3:$A$3390,C$1,'United Data'!$C$3:$C$3390,$A971)&gt;0,1,0)</f>
        <v>0</v>
      </c>
      <c r="D971">
        <f>IF(COUNTIFS('United Data'!$A$3:$A$3390,D$1,'United Data'!$C$3:$C$3390,$A971)&gt;0,1,0)</f>
        <v>1</v>
      </c>
      <c r="E971">
        <f>IF(COUNTIFS('United Data'!$A$3:$A$3390,E$1,'United Data'!$C$3:$C$3390,$A971)&gt;0,1,0)</f>
        <v>1</v>
      </c>
      <c r="F971">
        <f>IF(COUNTIFS('United Data'!$A$3:$A$3390,F$1,'United Data'!$C$3:$C$3390,$A971)&gt;0,1,0)</f>
        <v>0</v>
      </c>
      <c r="G971">
        <f>IF(COUNTIFS('United Data'!$A$3:$A$3390,G$1,'United Data'!$C$3:$C$3390,$A971)&gt;0,1,0)</f>
        <v>0</v>
      </c>
      <c r="H971">
        <f>IF(COUNTIFS('United Data'!$A$3:$A$3390,H$1,'United Data'!$C$3:$C$3390,$A971)&gt;0,1,0)</f>
        <v>0</v>
      </c>
      <c r="I971">
        <f>IF(COUNTIFS('United Data'!$A$3:$A$3390,I$1,'United Data'!$C$3:$C$3390,$A971)&gt;0,1,0)</f>
        <v>0</v>
      </c>
      <c r="J971">
        <f>IF(COUNTIFS('United Data'!$A$3:$A$3390,J$1,'United Data'!$C$3:$C$3390,$A971)&gt;0,1,0)</f>
        <v>0</v>
      </c>
      <c r="K971">
        <f>IF(COUNTIFS('United Data'!$A$3:$A$3390,K$1,'United Data'!$C$3:$C$3390,$A971)&gt;0,1,0)</f>
        <v>0</v>
      </c>
      <c r="L971">
        <f>IF(COUNTIFS('United Data'!$A$3:$A$3390,L$1,'United Data'!$C$3:$C$3390,$A971)&gt;0,1,0)</f>
        <v>1</v>
      </c>
      <c r="M971">
        <f>IF(COUNTIFS('United Data'!$A$3:$A$3390,M$1,'United Data'!$C$3:$C$3390,$A971)&gt;0,1,0)</f>
        <v>0</v>
      </c>
      <c r="N971">
        <f>IF(COUNTIFS('United Data'!$A$3:$A$3390,N$1,'United Data'!$C$3:$C$3390,$A971)&gt;0,1,0)</f>
        <v>0</v>
      </c>
      <c r="O971">
        <f>IF(COUNTIFS('United Data'!$A$3:$A$3390,O$1,'United Data'!$C$3:$C$3390,$A971)&gt;0,1,0)</f>
        <v>0</v>
      </c>
      <c r="P971">
        <f>IF(COUNTIFS('United Data'!$A$3:$A$3390,P$1,'United Data'!$C$3:$C$3390,$A971)&gt;0,1,0)</f>
        <v>0</v>
      </c>
      <c r="Q971">
        <f>IF(COUNTIFS('United Data'!$A$3:$A$3390,Q$1,'United Data'!$C$3:$C$3390,$A971)&gt;0,1,0)</f>
        <v>0</v>
      </c>
      <c r="R971">
        <f>IF(COUNTIFS('United Data'!$A$3:$A$3390,R$1,'United Data'!$C$3:$C$3390,$A971)&gt;0,1,0)</f>
        <v>0</v>
      </c>
      <c r="S971">
        <f t="shared" si="30"/>
        <v>3</v>
      </c>
      <c r="T971">
        <f t="shared" si="31"/>
        <v>2</v>
      </c>
    </row>
    <row r="972" spans="1:20" x14ac:dyDescent="0.2">
      <c r="A972" t="s">
        <v>1169</v>
      </c>
      <c r="B972">
        <f>IF(COUNTIFS('United Data'!$A$3:$A$3390,B$1,'United Data'!$C$3:$C$3390,$A972)&gt;0,1,0)</f>
        <v>0</v>
      </c>
      <c r="C972">
        <f>IF(COUNTIFS('United Data'!$A$3:$A$3390,C$1,'United Data'!$C$3:$C$3390,$A972)&gt;0,1,0)</f>
        <v>0</v>
      </c>
      <c r="D972">
        <f>IF(COUNTIFS('United Data'!$A$3:$A$3390,D$1,'United Data'!$C$3:$C$3390,$A972)&gt;0,1,0)</f>
        <v>1</v>
      </c>
      <c r="E972">
        <f>IF(COUNTIFS('United Data'!$A$3:$A$3390,E$1,'United Data'!$C$3:$C$3390,$A972)&gt;0,1,0)</f>
        <v>0</v>
      </c>
      <c r="F972">
        <f>IF(COUNTIFS('United Data'!$A$3:$A$3390,F$1,'United Data'!$C$3:$C$3390,$A972)&gt;0,1,0)</f>
        <v>0</v>
      </c>
      <c r="G972">
        <f>IF(COUNTIFS('United Data'!$A$3:$A$3390,G$1,'United Data'!$C$3:$C$3390,$A972)&gt;0,1,0)</f>
        <v>0</v>
      </c>
      <c r="H972">
        <f>IF(COUNTIFS('United Data'!$A$3:$A$3390,H$1,'United Data'!$C$3:$C$3390,$A972)&gt;0,1,0)</f>
        <v>0</v>
      </c>
      <c r="I972">
        <f>IF(COUNTIFS('United Data'!$A$3:$A$3390,I$1,'United Data'!$C$3:$C$3390,$A972)&gt;0,1,0)</f>
        <v>0</v>
      </c>
      <c r="J972">
        <f>IF(COUNTIFS('United Data'!$A$3:$A$3390,J$1,'United Data'!$C$3:$C$3390,$A972)&gt;0,1,0)</f>
        <v>0</v>
      </c>
      <c r="K972">
        <f>IF(COUNTIFS('United Data'!$A$3:$A$3390,K$1,'United Data'!$C$3:$C$3390,$A972)&gt;0,1,0)</f>
        <v>0</v>
      </c>
      <c r="L972">
        <f>IF(COUNTIFS('United Data'!$A$3:$A$3390,L$1,'United Data'!$C$3:$C$3390,$A972)&gt;0,1,0)</f>
        <v>0</v>
      </c>
      <c r="M972">
        <f>IF(COUNTIFS('United Data'!$A$3:$A$3390,M$1,'United Data'!$C$3:$C$3390,$A972)&gt;0,1,0)</f>
        <v>0</v>
      </c>
      <c r="N972">
        <f>IF(COUNTIFS('United Data'!$A$3:$A$3390,N$1,'United Data'!$C$3:$C$3390,$A972)&gt;0,1,0)</f>
        <v>0</v>
      </c>
      <c r="O972">
        <f>IF(COUNTIFS('United Data'!$A$3:$A$3390,O$1,'United Data'!$C$3:$C$3390,$A972)&gt;0,1,0)</f>
        <v>0</v>
      </c>
      <c r="P972">
        <f>IF(COUNTIFS('United Data'!$A$3:$A$3390,P$1,'United Data'!$C$3:$C$3390,$A972)&gt;0,1,0)</f>
        <v>0</v>
      </c>
      <c r="Q972">
        <f>IF(COUNTIFS('United Data'!$A$3:$A$3390,Q$1,'United Data'!$C$3:$C$3390,$A972)&gt;0,1,0)</f>
        <v>0</v>
      </c>
      <c r="R972">
        <f>IF(COUNTIFS('United Data'!$A$3:$A$3390,R$1,'United Data'!$C$3:$C$3390,$A972)&gt;0,1,0)</f>
        <v>0</v>
      </c>
      <c r="S972">
        <f t="shared" si="30"/>
        <v>1</v>
      </c>
      <c r="T972">
        <f t="shared" si="31"/>
        <v>1</v>
      </c>
    </row>
    <row r="973" spans="1:20" x14ac:dyDescent="0.2">
      <c r="A973" t="s">
        <v>1170</v>
      </c>
      <c r="B973">
        <f>IF(COUNTIFS('United Data'!$A$3:$A$3390,B$1,'United Data'!$C$3:$C$3390,$A973)&gt;0,1,0)</f>
        <v>0</v>
      </c>
      <c r="C973">
        <f>IF(COUNTIFS('United Data'!$A$3:$A$3390,C$1,'United Data'!$C$3:$C$3390,$A973)&gt;0,1,0)</f>
        <v>0</v>
      </c>
      <c r="D973">
        <f>IF(COUNTIFS('United Data'!$A$3:$A$3390,D$1,'United Data'!$C$3:$C$3390,$A973)&gt;0,1,0)</f>
        <v>1</v>
      </c>
      <c r="E973">
        <f>IF(COUNTIFS('United Data'!$A$3:$A$3390,E$1,'United Data'!$C$3:$C$3390,$A973)&gt;0,1,0)</f>
        <v>0</v>
      </c>
      <c r="F973">
        <f>IF(COUNTIFS('United Data'!$A$3:$A$3390,F$1,'United Data'!$C$3:$C$3390,$A973)&gt;0,1,0)</f>
        <v>0</v>
      </c>
      <c r="G973">
        <f>IF(COUNTIFS('United Data'!$A$3:$A$3390,G$1,'United Data'!$C$3:$C$3390,$A973)&gt;0,1,0)</f>
        <v>0</v>
      </c>
      <c r="H973">
        <f>IF(COUNTIFS('United Data'!$A$3:$A$3390,H$1,'United Data'!$C$3:$C$3390,$A973)&gt;0,1,0)</f>
        <v>0</v>
      </c>
      <c r="I973">
        <f>IF(COUNTIFS('United Data'!$A$3:$A$3390,I$1,'United Data'!$C$3:$C$3390,$A973)&gt;0,1,0)</f>
        <v>0</v>
      </c>
      <c r="J973">
        <f>IF(COUNTIFS('United Data'!$A$3:$A$3390,J$1,'United Data'!$C$3:$C$3390,$A973)&gt;0,1,0)</f>
        <v>0</v>
      </c>
      <c r="K973">
        <f>IF(COUNTIFS('United Data'!$A$3:$A$3390,K$1,'United Data'!$C$3:$C$3390,$A973)&gt;0,1,0)</f>
        <v>0</v>
      </c>
      <c r="L973">
        <f>IF(COUNTIFS('United Data'!$A$3:$A$3390,L$1,'United Data'!$C$3:$C$3390,$A973)&gt;0,1,0)</f>
        <v>0</v>
      </c>
      <c r="M973">
        <f>IF(COUNTIFS('United Data'!$A$3:$A$3390,M$1,'United Data'!$C$3:$C$3390,$A973)&gt;0,1,0)</f>
        <v>0</v>
      </c>
      <c r="N973">
        <f>IF(COUNTIFS('United Data'!$A$3:$A$3390,N$1,'United Data'!$C$3:$C$3390,$A973)&gt;0,1,0)</f>
        <v>0</v>
      </c>
      <c r="O973">
        <f>IF(COUNTIFS('United Data'!$A$3:$A$3390,O$1,'United Data'!$C$3:$C$3390,$A973)&gt;0,1,0)</f>
        <v>0</v>
      </c>
      <c r="P973">
        <f>IF(COUNTIFS('United Data'!$A$3:$A$3390,P$1,'United Data'!$C$3:$C$3390,$A973)&gt;0,1,0)</f>
        <v>0</v>
      </c>
      <c r="Q973">
        <f>IF(COUNTIFS('United Data'!$A$3:$A$3390,Q$1,'United Data'!$C$3:$C$3390,$A973)&gt;0,1,0)</f>
        <v>0</v>
      </c>
      <c r="R973">
        <f>IF(COUNTIFS('United Data'!$A$3:$A$3390,R$1,'United Data'!$C$3:$C$3390,$A973)&gt;0,1,0)</f>
        <v>0</v>
      </c>
      <c r="S973">
        <f t="shared" si="30"/>
        <v>1</v>
      </c>
      <c r="T973">
        <f t="shared" si="31"/>
        <v>1</v>
      </c>
    </row>
    <row r="974" spans="1:20" x14ac:dyDescent="0.2">
      <c r="A974" t="s">
        <v>1171</v>
      </c>
      <c r="B974">
        <f>IF(COUNTIFS('United Data'!$A$3:$A$3390,B$1,'United Data'!$C$3:$C$3390,$A974)&gt;0,1,0)</f>
        <v>0</v>
      </c>
      <c r="C974">
        <f>IF(COUNTIFS('United Data'!$A$3:$A$3390,C$1,'United Data'!$C$3:$C$3390,$A974)&gt;0,1,0)</f>
        <v>0</v>
      </c>
      <c r="D974">
        <f>IF(COUNTIFS('United Data'!$A$3:$A$3390,D$1,'United Data'!$C$3:$C$3390,$A974)&gt;0,1,0)</f>
        <v>1</v>
      </c>
      <c r="E974">
        <f>IF(COUNTIFS('United Data'!$A$3:$A$3390,E$1,'United Data'!$C$3:$C$3390,$A974)&gt;0,1,0)</f>
        <v>1</v>
      </c>
      <c r="F974">
        <f>IF(COUNTIFS('United Data'!$A$3:$A$3390,F$1,'United Data'!$C$3:$C$3390,$A974)&gt;0,1,0)</f>
        <v>1</v>
      </c>
      <c r="G974">
        <f>IF(COUNTIFS('United Data'!$A$3:$A$3390,G$1,'United Data'!$C$3:$C$3390,$A974)&gt;0,1,0)</f>
        <v>1</v>
      </c>
      <c r="H974">
        <f>IF(COUNTIFS('United Data'!$A$3:$A$3390,H$1,'United Data'!$C$3:$C$3390,$A974)&gt;0,1,0)</f>
        <v>0</v>
      </c>
      <c r="I974">
        <f>IF(COUNTIFS('United Data'!$A$3:$A$3390,I$1,'United Data'!$C$3:$C$3390,$A974)&gt;0,1,0)</f>
        <v>0</v>
      </c>
      <c r="J974">
        <f>IF(COUNTIFS('United Data'!$A$3:$A$3390,J$1,'United Data'!$C$3:$C$3390,$A974)&gt;0,1,0)</f>
        <v>0</v>
      </c>
      <c r="K974">
        <f>IF(COUNTIFS('United Data'!$A$3:$A$3390,K$1,'United Data'!$C$3:$C$3390,$A974)&gt;0,1,0)</f>
        <v>0</v>
      </c>
      <c r="L974">
        <f>IF(COUNTIFS('United Data'!$A$3:$A$3390,L$1,'United Data'!$C$3:$C$3390,$A974)&gt;0,1,0)</f>
        <v>0</v>
      </c>
      <c r="M974">
        <f>IF(COUNTIFS('United Data'!$A$3:$A$3390,M$1,'United Data'!$C$3:$C$3390,$A974)&gt;0,1,0)</f>
        <v>0</v>
      </c>
      <c r="N974">
        <f>IF(COUNTIFS('United Data'!$A$3:$A$3390,N$1,'United Data'!$C$3:$C$3390,$A974)&gt;0,1,0)</f>
        <v>0</v>
      </c>
      <c r="O974">
        <f>IF(COUNTIFS('United Data'!$A$3:$A$3390,O$1,'United Data'!$C$3:$C$3390,$A974)&gt;0,1,0)</f>
        <v>0</v>
      </c>
      <c r="P974">
        <f>IF(COUNTIFS('United Data'!$A$3:$A$3390,P$1,'United Data'!$C$3:$C$3390,$A974)&gt;0,1,0)</f>
        <v>0</v>
      </c>
      <c r="Q974">
        <f>IF(COUNTIFS('United Data'!$A$3:$A$3390,Q$1,'United Data'!$C$3:$C$3390,$A974)&gt;0,1,0)</f>
        <v>0</v>
      </c>
      <c r="R974">
        <f>IF(COUNTIFS('United Data'!$A$3:$A$3390,R$1,'United Data'!$C$3:$C$3390,$A974)&gt;0,1,0)</f>
        <v>0</v>
      </c>
      <c r="S974">
        <f t="shared" si="30"/>
        <v>4</v>
      </c>
      <c r="T974">
        <f t="shared" si="31"/>
        <v>1</v>
      </c>
    </row>
    <row r="975" spans="1:20" x14ac:dyDescent="0.2">
      <c r="A975" t="s">
        <v>1172</v>
      </c>
      <c r="B975">
        <f>IF(COUNTIFS('United Data'!$A$3:$A$3390,B$1,'United Data'!$C$3:$C$3390,$A975)&gt;0,1,0)</f>
        <v>0</v>
      </c>
      <c r="C975">
        <f>IF(COUNTIFS('United Data'!$A$3:$A$3390,C$1,'United Data'!$C$3:$C$3390,$A975)&gt;0,1,0)</f>
        <v>0</v>
      </c>
      <c r="D975">
        <f>IF(COUNTIFS('United Data'!$A$3:$A$3390,D$1,'United Data'!$C$3:$C$3390,$A975)&gt;0,1,0)</f>
        <v>1</v>
      </c>
      <c r="E975">
        <f>IF(COUNTIFS('United Data'!$A$3:$A$3390,E$1,'United Data'!$C$3:$C$3390,$A975)&gt;0,1,0)</f>
        <v>0</v>
      </c>
      <c r="F975">
        <f>IF(COUNTIFS('United Data'!$A$3:$A$3390,F$1,'United Data'!$C$3:$C$3390,$A975)&gt;0,1,0)</f>
        <v>0</v>
      </c>
      <c r="G975">
        <f>IF(COUNTIFS('United Data'!$A$3:$A$3390,G$1,'United Data'!$C$3:$C$3390,$A975)&gt;0,1,0)</f>
        <v>0</v>
      </c>
      <c r="H975">
        <f>IF(COUNTIFS('United Data'!$A$3:$A$3390,H$1,'United Data'!$C$3:$C$3390,$A975)&gt;0,1,0)</f>
        <v>0</v>
      </c>
      <c r="I975">
        <f>IF(COUNTIFS('United Data'!$A$3:$A$3390,I$1,'United Data'!$C$3:$C$3390,$A975)&gt;0,1,0)</f>
        <v>0</v>
      </c>
      <c r="J975">
        <f>IF(COUNTIFS('United Data'!$A$3:$A$3390,J$1,'United Data'!$C$3:$C$3390,$A975)&gt;0,1,0)</f>
        <v>0</v>
      </c>
      <c r="K975">
        <f>IF(COUNTIFS('United Data'!$A$3:$A$3390,K$1,'United Data'!$C$3:$C$3390,$A975)&gt;0,1,0)</f>
        <v>0</v>
      </c>
      <c r="L975">
        <f>IF(COUNTIFS('United Data'!$A$3:$A$3390,L$1,'United Data'!$C$3:$C$3390,$A975)&gt;0,1,0)</f>
        <v>0</v>
      </c>
      <c r="M975">
        <f>IF(COUNTIFS('United Data'!$A$3:$A$3390,M$1,'United Data'!$C$3:$C$3390,$A975)&gt;0,1,0)</f>
        <v>0</v>
      </c>
      <c r="N975">
        <f>IF(COUNTIFS('United Data'!$A$3:$A$3390,N$1,'United Data'!$C$3:$C$3390,$A975)&gt;0,1,0)</f>
        <v>0</v>
      </c>
      <c r="O975">
        <f>IF(COUNTIFS('United Data'!$A$3:$A$3390,O$1,'United Data'!$C$3:$C$3390,$A975)&gt;0,1,0)</f>
        <v>0</v>
      </c>
      <c r="P975">
        <f>IF(COUNTIFS('United Data'!$A$3:$A$3390,P$1,'United Data'!$C$3:$C$3390,$A975)&gt;0,1,0)</f>
        <v>0</v>
      </c>
      <c r="Q975">
        <f>IF(COUNTIFS('United Data'!$A$3:$A$3390,Q$1,'United Data'!$C$3:$C$3390,$A975)&gt;0,1,0)</f>
        <v>0</v>
      </c>
      <c r="R975">
        <f>IF(COUNTIFS('United Data'!$A$3:$A$3390,R$1,'United Data'!$C$3:$C$3390,$A975)&gt;0,1,0)</f>
        <v>0</v>
      </c>
      <c r="S975">
        <f t="shared" si="30"/>
        <v>1</v>
      </c>
      <c r="T975">
        <f t="shared" si="31"/>
        <v>1</v>
      </c>
    </row>
    <row r="976" spans="1:20" x14ac:dyDescent="0.2">
      <c r="A976" t="s">
        <v>1173</v>
      </c>
      <c r="B976">
        <f>IF(COUNTIFS('United Data'!$A$3:$A$3390,B$1,'United Data'!$C$3:$C$3390,$A976)&gt;0,1,0)</f>
        <v>0</v>
      </c>
      <c r="C976">
        <f>IF(COUNTIFS('United Data'!$A$3:$A$3390,C$1,'United Data'!$C$3:$C$3390,$A976)&gt;0,1,0)</f>
        <v>0</v>
      </c>
      <c r="D976">
        <f>IF(COUNTIFS('United Data'!$A$3:$A$3390,D$1,'United Data'!$C$3:$C$3390,$A976)&gt;0,1,0)</f>
        <v>1</v>
      </c>
      <c r="E976">
        <f>IF(COUNTIFS('United Data'!$A$3:$A$3390,E$1,'United Data'!$C$3:$C$3390,$A976)&gt;0,1,0)</f>
        <v>0</v>
      </c>
      <c r="F976">
        <f>IF(COUNTIFS('United Data'!$A$3:$A$3390,F$1,'United Data'!$C$3:$C$3390,$A976)&gt;0,1,0)</f>
        <v>0</v>
      </c>
      <c r="G976">
        <f>IF(COUNTIFS('United Data'!$A$3:$A$3390,G$1,'United Data'!$C$3:$C$3390,$A976)&gt;0,1,0)</f>
        <v>0</v>
      </c>
      <c r="H976">
        <f>IF(COUNTIFS('United Data'!$A$3:$A$3390,H$1,'United Data'!$C$3:$C$3390,$A976)&gt;0,1,0)</f>
        <v>0</v>
      </c>
      <c r="I976">
        <f>IF(COUNTIFS('United Data'!$A$3:$A$3390,I$1,'United Data'!$C$3:$C$3390,$A976)&gt;0,1,0)</f>
        <v>0</v>
      </c>
      <c r="J976">
        <f>IF(COUNTIFS('United Data'!$A$3:$A$3390,J$1,'United Data'!$C$3:$C$3390,$A976)&gt;0,1,0)</f>
        <v>0</v>
      </c>
      <c r="K976">
        <f>IF(COUNTIFS('United Data'!$A$3:$A$3390,K$1,'United Data'!$C$3:$C$3390,$A976)&gt;0,1,0)</f>
        <v>0</v>
      </c>
      <c r="L976">
        <f>IF(COUNTIFS('United Data'!$A$3:$A$3390,L$1,'United Data'!$C$3:$C$3390,$A976)&gt;0,1,0)</f>
        <v>0</v>
      </c>
      <c r="M976">
        <f>IF(COUNTIFS('United Data'!$A$3:$A$3390,M$1,'United Data'!$C$3:$C$3390,$A976)&gt;0,1,0)</f>
        <v>0</v>
      </c>
      <c r="N976">
        <f>IF(COUNTIFS('United Data'!$A$3:$A$3390,N$1,'United Data'!$C$3:$C$3390,$A976)&gt;0,1,0)</f>
        <v>0</v>
      </c>
      <c r="O976">
        <f>IF(COUNTIFS('United Data'!$A$3:$A$3390,O$1,'United Data'!$C$3:$C$3390,$A976)&gt;0,1,0)</f>
        <v>0</v>
      </c>
      <c r="P976">
        <f>IF(COUNTIFS('United Data'!$A$3:$A$3390,P$1,'United Data'!$C$3:$C$3390,$A976)&gt;0,1,0)</f>
        <v>0</v>
      </c>
      <c r="Q976">
        <f>IF(COUNTIFS('United Data'!$A$3:$A$3390,Q$1,'United Data'!$C$3:$C$3390,$A976)&gt;0,1,0)</f>
        <v>0</v>
      </c>
      <c r="R976">
        <f>IF(COUNTIFS('United Data'!$A$3:$A$3390,R$1,'United Data'!$C$3:$C$3390,$A976)&gt;0,1,0)</f>
        <v>0</v>
      </c>
      <c r="S976">
        <f t="shared" si="30"/>
        <v>1</v>
      </c>
      <c r="T976">
        <f t="shared" si="31"/>
        <v>1</v>
      </c>
    </row>
    <row r="977" spans="1:20" x14ac:dyDescent="0.2">
      <c r="A977" t="s">
        <v>1174</v>
      </c>
      <c r="B977">
        <f>IF(COUNTIFS('United Data'!$A$3:$A$3390,B$1,'United Data'!$C$3:$C$3390,$A977)&gt;0,1,0)</f>
        <v>0</v>
      </c>
      <c r="C977">
        <f>IF(COUNTIFS('United Data'!$A$3:$A$3390,C$1,'United Data'!$C$3:$C$3390,$A977)&gt;0,1,0)</f>
        <v>0</v>
      </c>
      <c r="D977">
        <f>IF(COUNTIFS('United Data'!$A$3:$A$3390,D$1,'United Data'!$C$3:$C$3390,$A977)&gt;0,1,0)</f>
        <v>0</v>
      </c>
      <c r="E977">
        <f>IF(COUNTIFS('United Data'!$A$3:$A$3390,E$1,'United Data'!$C$3:$C$3390,$A977)&gt;0,1,0)</f>
        <v>1</v>
      </c>
      <c r="F977">
        <f>IF(COUNTIFS('United Data'!$A$3:$A$3390,F$1,'United Data'!$C$3:$C$3390,$A977)&gt;0,1,0)</f>
        <v>0</v>
      </c>
      <c r="G977">
        <f>IF(COUNTIFS('United Data'!$A$3:$A$3390,G$1,'United Data'!$C$3:$C$3390,$A977)&gt;0,1,0)</f>
        <v>0</v>
      </c>
      <c r="H977">
        <f>IF(COUNTIFS('United Data'!$A$3:$A$3390,H$1,'United Data'!$C$3:$C$3390,$A977)&gt;0,1,0)</f>
        <v>0</v>
      </c>
      <c r="I977">
        <f>IF(COUNTIFS('United Data'!$A$3:$A$3390,I$1,'United Data'!$C$3:$C$3390,$A977)&gt;0,1,0)</f>
        <v>0</v>
      </c>
      <c r="J977">
        <f>IF(COUNTIFS('United Data'!$A$3:$A$3390,J$1,'United Data'!$C$3:$C$3390,$A977)&gt;0,1,0)</f>
        <v>0</v>
      </c>
      <c r="K977">
        <f>IF(COUNTIFS('United Data'!$A$3:$A$3390,K$1,'United Data'!$C$3:$C$3390,$A977)&gt;0,1,0)</f>
        <v>0</v>
      </c>
      <c r="L977">
        <f>IF(COUNTIFS('United Data'!$A$3:$A$3390,L$1,'United Data'!$C$3:$C$3390,$A977)&gt;0,1,0)</f>
        <v>0</v>
      </c>
      <c r="M977">
        <f>IF(COUNTIFS('United Data'!$A$3:$A$3390,M$1,'United Data'!$C$3:$C$3390,$A977)&gt;0,1,0)</f>
        <v>0</v>
      </c>
      <c r="N977">
        <f>IF(COUNTIFS('United Data'!$A$3:$A$3390,N$1,'United Data'!$C$3:$C$3390,$A977)&gt;0,1,0)</f>
        <v>0</v>
      </c>
      <c r="O977">
        <f>IF(COUNTIFS('United Data'!$A$3:$A$3390,O$1,'United Data'!$C$3:$C$3390,$A977)&gt;0,1,0)</f>
        <v>0</v>
      </c>
      <c r="P977">
        <f>IF(COUNTIFS('United Data'!$A$3:$A$3390,P$1,'United Data'!$C$3:$C$3390,$A977)&gt;0,1,0)</f>
        <v>0</v>
      </c>
      <c r="Q977">
        <f>IF(COUNTIFS('United Data'!$A$3:$A$3390,Q$1,'United Data'!$C$3:$C$3390,$A977)&gt;0,1,0)</f>
        <v>0</v>
      </c>
      <c r="R977">
        <f>IF(COUNTIFS('United Data'!$A$3:$A$3390,R$1,'United Data'!$C$3:$C$3390,$A977)&gt;0,1,0)</f>
        <v>0</v>
      </c>
      <c r="S977">
        <f t="shared" si="30"/>
        <v>1</v>
      </c>
      <c r="T977">
        <f t="shared" si="31"/>
        <v>1</v>
      </c>
    </row>
    <row r="978" spans="1:20" x14ac:dyDescent="0.2">
      <c r="A978" t="s">
        <v>1175</v>
      </c>
      <c r="B978">
        <f>IF(COUNTIFS('United Data'!$A$3:$A$3390,B$1,'United Data'!$C$3:$C$3390,$A978)&gt;0,1,0)</f>
        <v>0</v>
      </c>
      <c r="C978">
        <f>IF(COUNTIFS('United Data'!$A$3:$A$3390,C$1,'United Data'!$C$3:$C$3390,$A978)&gt;0,1,0)</f>
        <v>0</v>
      </c>
      <c r="D978">
        <f>IF(COUNTIFS('United Data'!$A$3:$A$3390,D$1,'United Data'!$C$3:$C$3390,$A978)&gt;0,1,0)</f>
        <v>0</v>
      </c>
      <c r="E978">
        <f>IF(COUNTIFS('United Data'!$A$3:$A$3390,E$1,'United Data'!$C$3:$C$3390,$A978)&gt;0,1,0)</f>
        <v>1</v>
      </c>
      <c r="F978">
        <f>IF(COUNTIFS('United Data'!$A$3:$A$3390,F$1,'United Data'!$C$3:$C$3390,$A978)&gt;0,1,0)</f>
        <v>0</v>
      </c>
      <c r="G978">
        <f>IF(COUNTIFS('United Data'!$A$3:$A$3390,G$1,'United Data'!$C$3:$C$3390,$A978)&gt;0,1,0)</f>
        <v>0</v>
      </c>
      <c r="H978">
        <f>IF(COUNTIFS('United Data'!$A$3:$A$3390,H$1,'United Data'!$C$3:$C$3390,$A978)&gt;0,1,0)</f>
        <v>0</v>
      </c>
      <c r="I978">
        <f>IF(COUNTIFS('United Data'!$A$3:$A$3390,I$1,'United Data'!$C$3:$C$3390,$A978)&gt;0,1,0)</f>
        <v>0</v>
      </c>
      <c r="J978">
        <f>IF(COUNTIFS('United Data'!$A$3:$A$3390,J$1,'United Data'!$C$3:$C$3390,$A978)&gt;0,1,0)</f>
        <v>0</v>
      </c>
      <c r="K978">
        <f>IF(COUNTIFS('United Data'!$A$3:$A$3390,K$1,'United Data'!$C$3:$C$3390,$A978)&gt;0,1,0)</f>
        <v>0</v>
      </c>
      <c r="L978">
        <f>IF(COUNTIFS('United Data'!$A$3:$A$3390,L$1,'United Data'!$C$3:$C$3390,$A978)&gt;0,1,0)</f>
        <v>0</v>
      </c>
      <c r="M978">
        <f>IF(COUNTIFS('United Data'!$A$3:$A$3390,M$1,'United Data'!$C$3:$C$3390,$A978)&gt;0,1,0)</f>
        <v>0</v>
      </c>
      <c r="N978">
        <f>IF(COUNTIFS('United Data'!$A$3:$A$3390,N$1,'United Data'!$C$3:$C$3390,$A978)&gt;0,1,0)</f>
        <v>0</v>
      </c>
      <c r="O978">
        <f>IF(COUNTIFS('United Data'!$A$3:$A$3390,O$1,'United Data'!$C$3:$C$3390,$A978)&gt;0,1,0)</f>
        <v>0</v>
      </c>
      <c r="P978">
        <f>IF(COUNTIFS('United Data'!$A$3:$A$3390,P$1,'United Data'!$C$3:$C$3390,$A978)&gt;0,1,0)</f>
        <v>0</v>
      </c>
      <c r="Q978">
        <f>IF(COUNTIFS('United Data'!$A$3:$A$3390,Q$1,'United Data'!$C$3:$C$3390,$A978)&gt;0,1,0)</f>
        <v>0</v>
      </c>
      <c r="R978">
        <f>IF(COUNTIFS('United Data'!$A$3:$A$3390,R$1,'United Data'!$C$3:$C$3390,$A978)&gt;0,1,0)</f>
        <v>0</v>
      </c>
      <c r="S978">
        <f t="shared" si="30"/>
        <v>1</v>
      </c>
      <c r="T978">
        <f t="shared" si="31"/>
        <v>1</v>
      </c>
    </row>
    <row r="979" spans="1:20" x14ac:dyDescent="0.2">
      <c r="A979" t="s">
        <v>1176</v>
      </c>
      <c r="B979">
        <f>IF(COUNTIFS('United Data'!$A$3:$A$3390,B$1,'United Data'!$C$3:$C$3390,$A979)&gt;0,1,0)</f>
        <v>0</v>
      </c>
      <c r="C979">
        <f>IF(COUNTIFS('United Data'!$A$3:$A$3390,C$1,'United Data'!$C$3:$C$3390,$A979)&gt;0,1,0)</f>
        <v>0</v>
      </c>
      <c r="D979">
        <f>IF(COUNTIFS('United Data'!$A$3:$A$3390,D$1,'United Data'!$C$3:$C$3390,$A979)&gt;0,1,0)</f>
        <v>0</v>
      </c>
      <c r="E979">
        <f>IF(COUNTIFS('United Data'!$A$3:$A$3390,E$1,'United Data'!$C$3:$C$3390,$A979)&gt;0,1,0)</f>
        <v>1</v>
      </c>
      <c r="F979">
        <f>IF(COUNTIFS('United Data'!$A$3:$A$3390,F$1,'United Data'!$C$3:$C$3390,$A979)&gt;0,1,0)</f>
        <v>0</v>
      </c>
      <c r="G979">
        <f>IF(COUNTIFS('United Data'!$A$3:$A$3390,G$1,'United Data'!$C$3:$C$3390,$A979)&gt;0,1,0)</f>
        <v>0</v>
      </c>
      <c r="H979">
        <f>IF(COUNTIFS('United Data'!$A$3:$A$3390,H$1,'United Data'!$C$3:$C$3390,$A979)&gt;0,1,0)</f>
        <v>0</v>
      </c>
      <c r="I979">
        <f>IF(COUNTIFS('United Data'!$A$3:$A$3390,I$1,'United Data'!$C$3:$C$3390,$A979)&gt;0,1,0)</f>
        <v>1</v>
      </c>
      <c r="J979">
        <f>IF(COUNTIFS('United Data'!$A$3:$A$3390,J$1,'United Data'!$C$3:$C$3390,$A979)&gt;0,1,0)</f>
        <v>1</v>
      </c>
      <c r="K979">
        <f>IF(COUNTIFS('United Data'!$A$3:$A$3390,K$1,'United Data'!$C$3:$C$3390,$A979)&gt;0,1,0)</f>
        <v>0</v>
      </c>
      <c r="L979">
        <f>IF(COUNTIFS('United Data'!$A$3:$A$3390,L$1,'United Data'!$C$3:$C$3390,$A979)&gt;0,1,0)</f>
        <v>0</v>
      </c>
      <c r="M979">
        <f>IF(COUNTIFS('United Data'!$A$3:$A$3390,M$1,'United Data'!$C$3:$C$3390,$A979)&gt;0,1,0)</f>
        <v>0</v>
      </c>
      <c r="N979">
        <f>IF(COUNTIFS('United Data'!$A$3:$A$3390,N$1,'United Data'!$C$3:$C$3390,$A979)&gt;0,1,0)</f>
        <v>0</v>
      </c>
      <c r="O979">
        <f>IF(COUNTIFS('United Data'!$A$3:$A$3390,O$1,'United Data'!$C$3:$C$3390,$A979)&gt;0,1,0)</f>
        <v>0</v>
      </c>
      <c r="P979">
        <f>IF(COUNTIFS('United Data'!$A$3:$A$3390,P$1,'United Data'!$C$3:$C$3390,$A979)&gt;0,1,0)</f>
        <v>0</v>
      </c>
      <c r="Q979">
        <f>IF(COUNTIFS('United Data'!$A$3:$A$3390,Q$1,'United Data'!$C$3:$C$3390,$A979)&gt;0,1,0)</f>
        <v>0</v>
      </c>
      <c r="R979">
        <f>IF(COUNTIFS('United Data'!$A$3:$A$3390,R$1,'United Data'!$C$3:$C$3390,$A979)&gt;0,1,0)</f>
        <v>0</v>
      </c>
      <c r="S979">
        <f t="shared" si="30"/>
        <v>3</v>
      </c>
      <c r="T979">
        <f t="shared" si="31"/>
        <v>2</v>
      </c>
    </row>
    <row r="980" spans="1:20" x14ac:dyDescent="0.2">
      <c r="A980" t="s">
        <v>1182</v>
      </c>
      <c r="B980">
        <f>IF(COUNTIFS('United Data'!$A$3:$A$3390,B$1,'United Data'!$C$3:$C$3390,$A980)&gt;0,1,0)</f>
        <v>0</v>
      </c>
      <c r="C980">
        <f>IF(COUNTIFS('United Data'!$A$3:$A$3390,C$1,'United Data'!$C$3:$C$3390,$A980)&gt;0,1,0)</f>
        <v>0</v>
      </c>
      <c r="D980">
        <f>IF(COUNTIFS('United Data'!$A$3:$A$3390,D$1,'United Data'!$C$3:$C$3390,$A980)&gt;0,1,0)</f>
        <v>0</v>
      </c>
      <c r="E980">
        <f>IF(COUNTIFS('United Data'!$A$3:$A$3390,E$1,'United Data'!$C$3:$C$3390,$A980)&gt;0,1,0)</f>
        <v>0</v>
      </c>
      <c r="F980">
        <f>IF(COUNTIFS('United Data'!$A$3:$A$3390,F$1,'United Data'!$C$3:$C$3390,$A980)&gt;0,1,0)</f>
        <v>1</v>
      </c>
      <c r="G980">
        <f>IF(COUNTIFS('United Data'!$A$3:$A$3390,G$1,'United Data'!$C$3:$C$3390,$A980)&gt;0,1,0)</f>
        <v>0</v>
      </c>
      <c r="H980">
        <f>IF(COUNTIFS('United Data'!$A$3:$A$3390,H$1,'United Data'!$C$3:$C$3390,$A980)&gt;0,1,0)</f>
        <v>0</v>
      </c>
      <c r="I980">
        <f>IF(COUNTIFS('United Data'!$A$3:$A$3390,I$1,'United Data'!$C$3:$C$3390,$A980)&gt;0,1,0)</f>
        <v>0</v>
      </c>
      <c r="J980">
        <f>IF(COUNTIFS('United Data'!$A$3:$A$3390,J$1,'United Data'!$C$3:$C$3390,$A980)&gt;0,1,0)</f>
        <v>0</v>
      </c>
      <c r="K980">
        <f>IF(COUNTIFS('United Data'!$A$3:$A$3390,K$1,'United Data'!$C$3:$C$3390,$A980)&gt;0,1,0)</f>
        <v>0</v>
      </c>
      <c r="L980">
        <f>IF(COUNTIFS('United Data'!$A$3:$A$3390,L$1,'United Data'!$C$3:$C$3390,$A980)&gt;0,1,0)</f>
        <v>0</v>
      </c>
      <c r="M980">
        <f>IF(COUNTIFS('United Data'!$A$3:$A$3390,M$1,'United Data'!$C$3:$C$3390,$A980)&gt;0,1,0)</f>
        <v>0</v>
      </c>
      <c r="N980">
        <f>IF(COUNTIFS('United Data'!$A$3:$A$3390,N$1,'United Data'!$C$3:$C$3390,$A980)&gt;0,1,0)</f>
        <v>0</v>
      </c>
      <c r="O980">
        <f>IF(COUNTIFS('United Data'!$A$3:$A$3390,O$1,'United Data'!$C$3:$C$3390,$A980)&gt;0,1,0)</f>
        <v>0</v>
      </c>
      <c r="P980">
        <f>IF(COUNTIFS('United Data'!$A$3:$A$3390,P$1,'United Data'!$C$3:$C$3390,$A980)&gt;0,1,0)</f>
        <v>0</v>
      </c>
      <c r="Q980">
        <f>IF(COUNTIFS('United Data'!$A$3:$A$3390,Q$1,'United Data'!$C$3:$C$3390,$A980)&gt;0,1,0)</f>
        <v>0</v>
      </c>
      <c r="R980">
        <f>IF(COUNTIFS('United Data'!$A$3:$A$3390,R$1,'United Data'!$C$3:$C$3390,$A980)&gt;0,1,0)</f>
        <v>0</v>
      </c>
      <c r="S980">
        <f t="shared" si="30"/>
        <v>1</v>
      </c>
      <c r="T980">
        <f t="shared" si="31"/>
        <v>1</v>
      </c>
    </row>
    <row r="981" spans="1:20" x14ac:dyDescent="0.2">
      <c r="A981" t="s">
        <v>1183</v>
      </c>
      <c r="B981">
        <f>IF(COUNTIFS('United Data'!$A$3:$A$3390,B$1,'United Data'!$C$3:$C$3390,$A981)&gt;0,1,0)</f>
        <v>0</v>
      </c>
      <c r="C981">
        <f>IF(COUNTIFS('United Data'!$A$3:$A$3390,C$1,'United Data'!$C$3:$C$3390,$A981)&gt;0,1,0)</f>
        <v>0</v>
      </c>
      <c r="D981">
        <f>IF(COUNTIFS('United Data'!$A$3:$A$3390,D$1,'United Data'!$C$3:$C$3390,$A981)&gt;0,1,0)</f>
        <v>0</v>
      </c>
      <c r="E981">
        <f>IF(COUNTIFS('United Data'!$A$3:$A$3390,E$1,'United Data'!$C$3:$C$3390,$A981)&gt;0,1,0)</f>
        <v>0</v>
      </c>
      <c r="F981">
        <f>IF(COUNTIFS('United Data'!$A$3:$A$3390,F$1,'United Data'!$C$3:$C$3390,$A981)&gt;0,1,0)</f>
        <v>1</v>
      </c>
      <c r="G981">
        <f>IF(COUNTIFS('United Data'!$A$3:$A$3390,G$1,'United Data'!$C$3:$C$3390,$A981)&gt;0,1,0)</f>
        <v>0</v>
      </c>
      <c r="H981">
        <f>IF(COUNTIFS('United Data'!$A$3:$A$3390,H$1,'United Data'!$C$3:$C$3390,$A981)&gt;0,1,0)</f>
        <v>0</v>
      </c>
      <c r="I981">
        <f>IF(COUNTIFS('United Data'!$A$3:$A$3390,I$1,'United Data'!$C$3:$C$3390,$A981)&gt;0,1,0)</f>
        <v>0</v>
      </c>
      <c r="J981">
        <f>IF(COUNTIFS('United Data'!$A$3:$A$3390,J$1,'United Data'!$C$3:$C$3390,$A981)&gt;0,1,0)</f>
        <v>0</v>
      </c>
      <c r="K981">
        <f>IF(COUNTIFS('United Data'!$A$3:$A$3390,K$1,'United Data'!$C$3:$C$3390,$A981)&gt;0,1,0)</f>
        <v>0</v>
      </c>
      <c r="L981">
        <f>IF(COUNTIFS('United Data'!$A$3:$A$3390,L$1,'United Data'!$C$3:$C$3390,$A981)&gt;0,1,0)</f>
        <v>0</v>
      </c>
      <c r="M981">
        <f>IF(COUNTIFS('United Data'!$A$3:$A$3390,M$1,'United Data'!$C$3:$C$3390,$A981)&gt;0,1,0)</f>
        <v>0</v>
      </c>
      <c r="N981">
        <f>IF(COUNTIFS('United Data'!$A$3:$A$3390,N$1,'United Data'!$C$3:$C$3390,$A981)&gt;0,1,0)</f>
        <v>0</v>
      </c>
      <c r="O981">
        <f>IF(COUNTIFS('United Data'!$A$3:$A$3390,O$1,'United Data'!$C$3:$C$3390,$A981)&gt;0,1,0)</f>
        <v>0</v>
      </c>
      <c r="P981">
        <f>IF(COUNTIFS('United Data'!$A$3:$A$3390,P$1,'United Data'!$C$3:$C$3390,$A981)&gt;0,1,0)</f>
        <v>0</v>
      </c>
      <c r="Q981">
        <f>IF(COUNTIFS('United Data'!$A$3:$A$3390,Q$1,'United Data'!$C$3:$C$3390,$A981)&gt;0,1,0)</f>
        <v>0</v>
      </c>
      <c r="R981">
        <f>IF(COUNTIFS('United Data'!$A$3:$A$3390,R$1,'United Data'!$C$3:$C$3390,$A981)&gt;0,1,0)</f>
        <v>0</v>
      </c>
      <c r="S981">
        <f t="shared" si="30"/>
        <v>1</v>
      </c>
      <c r="T981">
        <f t="shared" si="31"/>
        <v>1</v>
      </c>
    </row>
    <row r="982" spans="1:20" x14ac:dyDescent="0.2">
      <c r="A982" t="s">
        <v>1184</v>
      </c>
      <c r="B982">
        <f>IF(COUNTIFS('United Data'!$A$3:$A$3390,B$1,'United Data'!$C$3:$C$3390,$A982)&gt;0,1,0)</f>
        <v>0</v>
      </c>
      <c r="C982">
        <f>IF(COUNTIFS('United Data'!$A$3:$A$3390,C$1,'United Data'!$C$3:$C$3390,$A982)&gt;0,1,0)</f>
        <v>0</v>
      </c>
      <c r="D982">
        <f>IF(COUNTIFS('United Data'!$A$3:$A$3390,D$1,'United Data'!$C$3:$C$3390,$A982)&gt;0,1,0)</f>
        <v>0</v>
      </c>
      <c r="E982">
        <f>IF(COUNTIFS('United Data'!$A$3:$A$3390,E$1,'United Data'!$C$3:$C$3390,$A982)&gt;0,1,0)</f>
        <v>0</v>
      </c>
      <c r="F982">
        <f>IF(COUNTIFS('United Data'!$A$3:$A$3390,F$1,'United Data'!$C$3:$C$3390,$A982)&gt;0,1,0)</f>
        <v>1</v>
      </c>
      <c r="G982">
        <f>IF(COUNTIFS('United Data'!$A$3:$A$3390,G$1,'United Data'!$C$3:$C$3390,$A982)&gt;0,1,0)</f>
        <v>0</v>
      </c>
      <c r="H982">
        <f>IF(COUNTIFS('United Data'!$A$3:$A$3390,H$1,'United Data'!$C$3:$C$3390,$A982)&gt;0,1,0)</f>
        <v>0</v>
      </c>
      <c r="I982">
        <f>IF(COUNTIFS('United Data'!$A$3:$A$3390,I$1,'United Data'!$C$3:$C$3390,$A982)&gt;0,1,0)</f>
        <v>0</v>
      </c>
      <c r="J982">
        <f>IF(COUNTIFS('United Data'!$A$3:$A$3390,J$1,'United Data'!$C$3:$C$3390,$A982)&gt;0,1,0)</f>
        <v>0</v>
      </c>
      <c r="K982">
        <f>IF(COUNTIFS('United Data'!$A$3:$A$3390,K$1,'United Data'!$C$3:$C$3390,$A982)&gt;0,1,0)</f>
        <v>0</v>
      </c>
      <c r="L982">
        <f>IF(COUNTIFS('United Data'!$A$3:$A$3390,L$1,'United Data'!$C$3:$C$3390,$A982)&gt;0,1,0)</f>
        <v>0</v>
      </c>
      <c r="M982">
        <f>IF(COUNTIFS('United Data'!$A$3:$A$3390,M$1,'United Data'!$C$3:$C$3390,$A982)&gt;0,1,0)</f>
        <v>0</v>
      </c>
      <c r="N982">
        <f>IF(COUNTIFS('United Data'!$A$3:$A$3390,N$1,'United Data'!$C$3:$C$3390,$A982)&gt;0,1,0)</f>
        <v>1</v>
      </c>
      <c r="O982">
        <f>IF(COUNTIFS('United Data'!$A$3:$A$3390,O$1,'United Data'!$C$3:$C$3390,$A982)&gt;0,1,0)</f>
        <v>0</v>
      </c>
      <c r="P982">
        <f>IF(COUNTIFS('United Data'!$A$3:$A$3390,P$1,'United Data'!$C$3:$C$3390,$A982)&gt;0,1,0)</f>
        <v>1</v>
      </c>
      <c r="Q982">
        <f>IF(COUNTIFS('United Data'!$A$3:$A$3390,Q$1,'United Data'!$C$3:$C$3390,$A982)&gt;0,1,0)</f>
        <v>0</v>
      </c>
      <c r="R982">
        <f>IF(COUNTIFS('United Data'!$A$3:$A$3390,R$1,'United Data'!$C$3:$C$3390,$A982)&gt;0,1,0)</f>
        <v>0</v>
      </c>
      <c r="S982">
        <f t="shared" si="30"/>
        <v>3</v>
      </c>
      <c r="T982">
        <f t="shared" si="31"/>
        <v>3</v>
      </c>
    </row>
    <row r="983" spans="1:20" x14ac:dyDescent="0.2">
      <c r="A983" t="s">
        <v>1185</v>
      </c>
      <c r="B983">
        <f>IF(COUNTIFS('United Data'!$A$3:$A$3390,B$1,'United Data'!$C$3:$C$3390,$A983)&gt;0,1,0)</f>
        <v>0</v>
      </c>
      <c r="C983">
        <f>IF(COUNTIFS('United Data'!$A$3:$A$3390,C$1,'United Data'!$C$3:$C$3390,$A983)&gt;0,1,0)</f>
        <v>0</v>
      </c>
      <c r="D983">
        <f>IF(COUNTIFS('United Data'!$A$3:$A$3390,D$1,'United Data'!$C$3:$C$3390,$A983)&gt;0,1,0)</f>
        <v>0</v>
      </c>
      <c r="E983">
        <f>IF(COUNTIFS('United Data'!$A$3:$A$3390,E$1,'United Data'!$C$3:$C$3390,$A983)&gt;0,1,0)</f>
        <v>0</v>
      </c>
      <c r="F983">
        <f>IF(COUNTIFS('United Data'!$A$3:$A$3390,F$1,'United Data'!$C$3:$C$3390,$A983)&gt;0,1,0)</f>
        <v>1</v>
      </c>
      <c r="G983">
        <f>IF(COUNTIFS('United Data'!$A$3:$A$3390,G$1,'United Data'!$C$3:$C$3390,$A983)&gt;0,1,0)</f>
        <v>0</v>
      </c>
      <c r="H983">
        <f>IF(COUNTIFS('United Data'!$A$3:$A$3390,H$1,'United Data'!$C$3:$C$3390,$A983)&gt;0,1,0)</f>
        <v>0</v>
      </c>
      <c r="I983">
        <f>IF(COUNTIFS('United Data'!$A$3:$A$3390,I$1,'United Data'!$C$3:$C$3390,$A983)&gt;0,1,0)</f>
        <v>0</v>
      </c>
      <c r="J983">
        <f>IF(COUNTIFS('United Data'!$A$3:$A$3390,J$1,'United Data'!$C$3:$C$3390,$A983)&gt;0,1,0)</f>
        <v>0</v>
      </c>
      <c r="K983">
        <f>IF(COUNTIFS('United Data'!$A$3:$A$3390,K$1,'United Data'!$C$3:$C$3390,$A983)&gt;0,1,0)</f>
        <v>0</v>
      </c>
      <c r="L983">
        <f>IF(COUNTIFS('United Data'!$A$3:$A$3390,L$1,'United Data'!$C$3:$C$3390,$A983)&gt;0,1,0)</f>
        <v>0</v>
      </c>
      <c r="M983">
        <f>IF(COUNTIFS('United Data'!$A$3:$A$3390,M$1,'United Data'!$C$3:$C$3390,$A983)&gt;0,1,0)</f>
        <v>0</v>
      </c>
      <c r="N983">
        <f>IF(COUNTIFS('United Data'!$A$3:$A$3390,N$1,'United Data'!$C$3:$C$3390,$A983)&gt;0,1,0)</f>
        <v>0</v>
      </c>
      <c r="O983">
        <f>IF(COUNTIFS('United Data'!$A$3:$A$3390,O$1,'United Data'!$C$3:$C$3390,$A983)&gt;0,1,0)</f>
        <v>0</v>
      </c>
      <c r="P983">
        <f>IF(COUNTIFS('United Data'!$A$3:$A$3390,P$1,'United Data'!$C$3:$C$3390,$A983)&gt;0,1,0)</f>
        <v>0</v>
      </c>
      <c r="Q983">
        <f>IF(COUNTIFS('United Data'!$A$3:$A$3390,Q$1,'United Data'!$C$3:$C$3390,$A983)&gt;0,1,0)</f>
        <v>0</v>
      </c>
      <c r="R983">
        <f>IF(COUNTIFS('United Data'!$A$3:$A$3390,R$1,'United Data'!$C$3:$C$3390,$A983)&gt;0,1,0)</f>
        <v>0</v>
      </c>
      <c r="S983">
        <f t="shared" si="30"/>
        <v>1</v>
      </c>
      <c r="T983">
        <f t="shared" si="31"/>
        <v>1</v>
      </c>
    </row>
    <row r="984" spans="1:20" x14ac:dyDescent="0.2">
      <c r="A984" t="s">
        <v>1186</v>
      </c>
      <c r="B984">
        <f>IF(COUNTIFS('United Data'!$A$3:$A$3390,B$1,'United Data'!$C$3:$C$3390,$A984)&gt;0,1,0)</f>
        <v>0</v>
      </c>
      <c r="C984">
        <f>IF(COUNTIFS('United Data'!$A$3:$A$3390,C$1,'United Data'!$C$3:$C$3390,$A984)&gt;0,1,0)</f>
        <v>0</v>
      </c>
      <c r="D984">
        <f>IF(COUNTIFS('United Data'!$A$3:$A$3390,D$1,'United Data'!$C$3:$C$3390,$A984)&gt;0,1,0)</f>
        <v>0</v>
      </c>
      <c r="E984">
        <f>IF(COUNTIFS('United Data'!$A$3:$A$3390,E$1,'United Data'!$C$3:$C$3390,$A984)&gt;0,1,0)</f>
        <v>0</v>
      </c>
      <c r="F984">
        <f>IF(COUNTIFS('United Data'!$A$3:$A$3390,F$1,'United Data'!$C$3:$C$3390,$A984)&gt;0,1,0)</f>
        <v>0</v>
      </c>
      <c r="G984">
        <f>IF(COUNTIFS('United Data'!$A$3:$A$3390,G$1,'United Data'!$C$3:$C$3390,$A984)&gt;0,1,0)</f>
        <v>1</v>
      </c>
      <c r="H984">
        <f>IF(COUNTIFS('United Data'!$A$3:$A$3390,H$1,'United Data'!$C$3:$C$3390,$A984)&gt;0,1,0)</f>
        <v>1</v>
      </c>
      <c r="I984">
        <f>IF(COUNTIFS('United Data'!$A$3:$A$3390,I$1,'United Data'!$C$3:$C$3390,$A984)&gt;0,1,0)</f>
        <v>0</v>
      </c>
      <c r="J984">
        <f>IF(COUNTIFS('United Data'!$A$3:$A$3390,J$1,'United Data'!$C$3:$C$3390,$A984)&gt;0,1,0)</f>
        <v>0</v>
      </c>
      <c r="K984">
        <f>IF(COUNTIFS('United Data'!$A$3:$A$3390,K$1,'United Data'!$C$3:$C$3390,$A984)&gt;0,1,0)</f>
        <v>0</v>
      </c>
      <c r="L984">
        <f>IF(COUNTIFS('United Data'!$A$3:$A$3390,L$1,'United Data'!$C$3:$C$3390,$A984)&gt;0,1,0)</f>
        <v>0</v>
      </c>
      <c r="M984">
        <f>IF(COUNTIFS('United Data'!$A$3:$A$3390,M$1,'United Data'!$C$3:$C$3390,$A984)&gt;0,1,0)</f>
        <v>0</v>
      </c>
      <c r="N984">
        <f>IF(COUNTIFS('United Data'!$A$3:$A$3390,N$1,'United Data'!$C$3:$C$3390,$A984)&gt;0,1,0)</f>
        <v>0</v>
      </c>
      <c r="O984">
        <f>IF(COUNTIFS('United Data'!$A$3:$A$3390,O$1,'United Data'!$C$3:$C$3390,$A984)&gt;0,1,0)</f>
        <v>0</v>
      </c>
      <c r="P984">
        <f>IF(COUNTIFS('United Data'!$A$3:$A$3390,P$1,'United Data'!$C$3:$C$3390,$A984)&gt;0,1,0)</f>
        <v>0</v>
      </c>
      <c r="Q984">
        <f>IF(COUNTIFS('United Data'!$A$3:$A$3390,Q$1,'United Data'!$C$3:$C$3390,$A984)&gt;0,1,0)</f>
        <v>0</v>
      </c>
      <c r="R984">
        <f>IF(COUNTIFS('United Data'!$A$3:$A$3390,R$1,'United Data'!$C$3:$C$3390,$A984)&gt;0,1,0)</f>
        <v>0</v>
      </c>
      <c r="S984">
        <f t="shared" si="30"/>
        <v>2</v>
      </c>
      <c r="T984">
        <f t="shared" si="31"/>
        <v>1</v>
      </c>
    </row>
    <row r="985" spans="1:20" x14ac:dyDescent="0.2">
      <c r="A985" t="s">
        <v>1187</v>
      </c>
      <c r="B985">
        <f>IF(COUNTIFS('United Data'!$A$3:$A$3390,B$1,'United Data'!$C$3:$C$3390,$A985)&gt;0,1,0)</f>
        <v>0</v>
      </c>
      <c r="C985">
        <f>IF(COUNTIFS('United Data'!$A$3:$A$3390,C$1,'United Data'!$C$3:$C$3390,$A985)&gt;0,1,0)</f>
        <v>0</v>
      </c>
      <c r="D985">
        <f>IF(COUNTIFS('United Data'!$A$3:$A$3390,D$1,'United Data'!$C$3:$C$3390,$A985)&gt;0,1,0)</f>
        <v>0</v>
      </c>
      <c r="E985">
        <f>IF(COUNTIFS('United Data'!$A$3:$A$3390,E$1,'United Data'!$C$3:$C$3390,$A985)&gt;0,1,0)</f>
        <v>0</v>
      </c>
      <c r="F985">
        <f>IF(COUNTIFS('United Data'!$A$3:$A$3390,F$1,'United Data'!$C$3:$C$3390,$A985)&gt;0,1,0)</f>
        <v>0</v>
      </c>
      <c r="G985">
        <f>IF(COUNTIFS('United Data'!$A$3:$A$3390,G$1,'United Data'!$C$3:$C$3390,$A985)&gt;0,1,0)</f>
        <v>1</v>
      </c>
      <c r="H985">
        <f>IF(COUNTIFS('United Data'!$A$3:$A$3390,H$1,'United Data'!$C$3:$C$3390,$A985)&gt;0,1,0)</f>
        <v>1</v>
      </c>
      <c r="I985">
        <f>IF(COUNTIFS('United Data'!$A$3:$A$3390,I$1,'United Data'!$C$3:$C$3390,$A985)&gt;0,1,0)</f>
        <v>1</v>
      </c>
      <c r="J985">
        <f>IF(COUNTIFS('United Data'!$A$3:$A$3390,J$1,'United Data'!$C$3:$C$3390,$A985)&gt;0,1,0)</f>
        <v>0</v>
      </c>
      <c r="K985">
        <f>IF(COUNTIFS('United Data'!$A$3:$A$3390,K$1,'United Data'!$C$3:$C$3390,$A985)&gt;0,1,0)</f>
        <v>0</v>
      </c>
      <c r="L985">
        <f>IF(COUNTIFS('United Data'!$A$3:$A$3390,L$1,'United Data'!$C$3:$C$3390,$A985)&gt;0,1,0)</f>
        <v>0</v>
      </c>
      <c r="M985">
        <f>IF(COUNTIFS('United Data'!$A$3:$A$3390,M$1,'United Data'!$C$3:$C$3390,$A985)&gt;0,1,0)</f>
        <v>1</v>
      </c>
      <c r="N985">
        <f>IF(COUNTIFS('United Data'!$A$3:$A$3390,N$1,'United Data'!$C$3:$C$3390,$A985)&gt;0,1,0)</f>
        <v>0</v>
      </c>
      <c r="O985">
        <f>IF(COUNTIFS('United Data'!$A$3:$A$3390,O$1,'United Data'!$C$3:$C$3390,$A985)&gt;0,1,0)</f>
        <v>0</v>
      </c>
      <c r="P985">
        <f>IF(COUNTIFS('United Data'!$A$3:$A$3390,P$1,'United Data'!$C$3:$C$3390,$A985)&gt;0,1,0)</f>
        <v>0</v>
      </c>
      <c r="Q985">
        <f>IF(COUNTIFS('United Data'!$A$3:$A$3390,Q$1,'United Data'!$C$3:$C$3390,$A985)&gt;0,1,0)</f>
        <v>0</v>
      </c>
      <c r="R985">
        <f>IF(COUNTIFS('United Data'!$A$3:$A$3390,R$1,'United Data'!$C$3:$C$3390,$A985)&gt;0,1,0)</f>
        <v>0</v>
      </c>
      <c r="S985">
        <f t="shared" si="30"/>
        <v>4</v>
      </c>
      <c r="T985">
        <f t="shared" si="31"/>
        <v>2</v>
      </c>
    </row>
    <row r="986" spans="1:20" x14ac:dyDescent="0.2">
      <c r="A986" t="s">
        <v>1188</v>
      </c>
      <c r="B986">
        <f>IF(COUNTIFS('United Data'!$A$3:$A$3390,B$1,'United Data'!$C$3:$C$3390,$A986)&gt;0,1,0)</f>
        <v>0</v>
      </c>
      <c r="C986">
        <f>IF(COUNTIFS('United Data'!$A$3:$A$3390,C$1,'United Data'!$C$3:$C$3390,$A986)&gt;0,1,0)</f>
        <v>0</v>
      </c>
      <c r="D986">
        <f>IF(COUNTIFS('United Data'!$A$3:$A$3390,D$1,'United Data'!$C$3:$C$3390,$A986)&gt;0,1,0)</f>
        <v>0</v>
      </c>
      <c r="E986">
        <f>IF(COUNTIFS('United Data'!$A$3:$A$3390,E$1,'United Data'!$C$3:$C$3390,$A986)&gt;0,1,0)</f>
        <v>0</v>
      </c>
      <c r="F986">
        <f>IF(COUNTIFS('United Data'!$A$3:$A$3390,F$1,'United Data'!$C$3:$C$3390,$A986)&gt;0,1,0)</f>
        <v>0</v>
      </c>
      <c r="G986">
        <f>IF(COUNTIFS('United Data'!$A$3:$A$3390,G$1,'United Data'!$C$3:$C$3390,$A986)&gt;0,1,0)</f>
        <v>1</v>
      </c>
      <c r="H986">
        <f>IF(COUNTIFS('United Data'!$A$3:$A$3390,H$1,'United Data'!$C$3:$C$3390,$A986)&gt;0,1,0)</f>
        <v>0</v>
      </c>
      <c r="I986">
        <f>IF(COUNTIFS('United Data'!$A$3:$A$3390,I$1,'United Data'!$C$3:$C$3390,$A986)&gt;0,1,0)</f>
        <v>1</v>
      </c>
      <c r="J986">
        <f>IF(COUNTIFS('United Data'!$A$3:$A$3390,J$1,'United Data'!$C$3:$C$3390,$A986)&gt;0,1,0)</f>
        <v>0</v>
      </c>
      <c r="K986">
        <f>IF(COUNTIFS('United Data'!$A$3:$A$3390,K$1,'United Data'!$C$3:$C$3390,$A986)&gt;0,1,0)</f>
        <v>0</v>
      </c>
      <c r="L986">
        <f>IF(COUNTIFS('United Data'!$A$3:$A$3390,L$1,'United Data'!$C$3:$C$3390,$A986)&gt;0,1,0)</f>
        <v>0</v>
      </c>
      <c r="M986">
        <f>IF(COUNTIFS('United Data'!$A$3:$A$3390,M$1,'United Data'!$C$3:$C$3390,$A986)&gt;0,1,0)</f>
        <v>0</v>
      </c>
      <c r="N986">
        <f>IF(COUNTIFS('United Data'!$A$3:$A$3390,N$1,'United Data'!$C$3:$C$3390,$A986)&gt;0,1,0)</f>
        <v>1</v>
      </c>
      <c r="O986">
        <f>IF(COUNTIFS('United Data'!$A$3:$A$3390,O$1,'United Data'!$C$3:$C$3390,$A986)&gt;0,1,0)</f>
        <v>1</v>
      </c>
      <c r="P986">
        <f>IF(COUNTIFS('United Data'!$A$3:$A$3390,P$1,'United Data'!$C$3:$C$3390,$A986)&gt;0,1,0)</f>
        <v>0</v>
      </c>
      <c r="Q986">
        <f>IF(COUNTIFS('United Data'!$A$3:$A$3390,Q$1,'United Data'!$C$3:$C$3390,$A986)&gt;0,1,0)</f>
        <v>0</v>
      </c>
      <c r="R986">
        <f>IF(COUNTIFS('United Data'!$A$3:$A$3390,R$1,'United Data'!$C$3:$C$3390,$A986)&gt;0,1,0)</f>
        <v>0</v>
      </c>
      <c r="S986">
        <f t="shared" si="30"/>
        <v>4</v>
      </c>
      <c r="T986">
        <f t="shared" si="31"/>
        <v>3</v>
      </c>
    </row>
    <row r="987" spans="1:20" x14ac:dyDescent="0.2">
      <c r="A987" t="s">
        <v>1189</v>
      </c>
      <c r="B987">
        <f>IF(COUNTIFS('United Data'!$A$3:$A$3390,B$1,'United Data'!$C$3:$C$3390,$A987)&gt;0,1,0)</f>
        <v>0</v>
      </c>
      <c r="C987">
        <f>IF(COUNTIFS('United Data'!$A$3:$A$3390,C$1,'United Data'!$C$3:$C$3390,$A987)&gt;0,1,0)</f>
        <v>0</v>
      </c>
      <c r="D987">
        <f>IF(COUNTIFS('United Data'!$A$3:$A$3390,D$1,'United Data'!$C$3:$C$3390,$A987)&gt;0,1,0)</f>
        <v>0</v>
      </c>
      <c r="E987">
        <f>IF(COUNTIFS('United Data'!$A$3:$A$3390,E$1,'United Data'!$C$3:$C$3390,$A987)&gt;0,1,0)</f>
        <v>0</v>
      </c>
      <c r="F987">
        <f>IF(COUNTIFS('United Data'!$A$3:$A$3390,F$1,'United Data'!$C$3:$C$3390,$A987)&gt;0,1,0)</f>
        <v>0</v>
      </c>
      <c r="G987">
        <f>IF(COUNTIFS('United Data'!$A$3:$A$3390,G$1,'United Data'!$C$3:$C$3390,$A987)&gt;0,1,0)</f>
        <v>1</v>
      </c>
      <c r="H987">
        <f>IF(COUNTIFS('United Data'!$A$3:$A$3390,H$1,'United Data'!$C$3:$C$3390,$A987)&gt;0,1,0)</f>
        <v>0</v>
      </c>
      <c r="I987">
        <f>IF(COUNTIFS('United Data'!$A$3:$A$3390,I$1,'United Data'!$C$3:$C$3390,$A987)&gt;0,1,0)</f>
        <v>1</v>
      </c>
      <c r="J987">
        <f>IF(COUNTIFS('United Data'!$A$3:$A$3390,J$1,'United Data'!$C$3:$C$3390,$A987)&gt;0,1,0)</f>
        <v>1</v>
      </c>
      <c r="K987">
        <f>IF(COUNTIFS('United Data'!$A$3:$A$3390,K$1,'United Data'!$C$3:$C$3390,$A987)&gt;0,1,0)</f>
        <v>0</v>
      </c>
      <c r="L987">
        <f>IF(COUNTIFS('United Data'!$A$3:$A$3390,L$1,'United Data'!$C$3:$C$3390,$A987)&gt;0,1,0)</f>
        <v>0</v>
      </c>
      <c r="M987">
        <f>IF(COUNTIFS('United Data'!$A$3:$A$3390,M$1,'United Data'!$C$3:$C$3390,$A987)&gt;0,1,0)</f>
        <v>0</v>
      </c>
      <c r="N987">
        <f>IF(COUNTIFS('United Data'!$A$3:$A$3390,N$1,'United Data'!$C$3:$C$3390,$A987)&gt;0,1,0)</f>
        <v>1</v>
      </c>
      <c r="O987">
        <f>IF(COUNTIFS('United Data'!$A$3:$A$3390,O$1,'United Data'!$C$3:$C$3390,$A987)&gt;0,1,0)</f>
        <v>1</v>
      </c>
      <c r="P987">
        <f>IF(COUNTIFS('United Data'!$A$3:$A$3390,P$1,'United Data'!$C$3:$C$3390,$A987)&gt;0,1,0)</f>
        <v>1</v>
      </c>
      <c r="Q987">
        <f>IF(COUNTIFS('United Data'!$A$3:$A$3390,Q$1,'United Data'!$C$3:$C$3390,$A987)&gt;0,1,0)</f>
        <v>1</v>
      </c>
      <c r="R987">
        <f>IF(COUNTIFS('United Data'!$A$3:$A$3390,R$1,'United Data'!$C$3:$C$3390,$A987)&gt;0,1,0)</f>
        <v>0</v>
      </c>
      <c r="S987">
        <f t="shared" si="30"/>
        <v>7</v>
      </c>
      <c r="T987">
        <f t="shared" si="31"/>
        <v>3</v>
      </c>
    </row>
    <row r="988" spans="1:20" x14ac:dyDescent="0.2">
      <c r="A988" t="s">
        <v>1190</v>
      </c>
      <c r="B988">
        <f>IF(COUNTIFS('United Data'!$A$3:$A$3390,B$1,'United Data'!$C$3:$C$3390,$A988)&gt;0,1,0)</f>
        <v>0</v>
      </c>
      <c r="C988">
        <f>IF(COUNTIFS('United Data'!$A$3:$A$3390,C$1,'United Data'!$C$3:$C$3390,$A988)&gt;0,1,0)</f>
        <v>0</v>
      </c>
      <c r="D988">
        <f>IF(COUNTIFS('United Data'!$A$3:$A$3390,D$1,'United Data'!$C$3:$C$3390,$A988)&gt;0,1,0)</f>
        <v>0</v>
      </c>
      <c r="E988">
        <f>IF(COUNTIFS('United Data'!$A$3:$A$3390,E$1,'United Data'!$C$3:$C$3390,$A988)&gt;0,1,0)</f>
        <v>0</v>
      </c>
      <c r="F988">
        <f>IF(COUNTIFS('United Data'!$A$3:$A$3390,F$1,'United Data'!$C$3:$C$3390,$A988)&gt;0,1,0)</f>
        <v>0</v>
      </c>
      <c r="G988">
        <f>IF(COUNTIFS('United Data'!$A$3:$A$3390,G$1,'United Data'!$C$3:$C$3390,$A988)&gt;0,1,0)</f>
        <v>1</v>
      </c>
      <c r="H988">
        <f>IF(COUNTIFS('United Data'!$A$3:$A$3390,H$1,'United Data'!$C$3:$C$3390,$A988)&gt;0,1,0)</f>
        <v>0</v>
      </c>
      <c r="I988">
        <f>IF(COUNTIFS('United Data'!$A$3:$A$3390,I$1,'United Data'!$C$3:$C$3390,$A988)&gt;0,1,0)</f>
        <v>0</v>
      </c>
      <c r="J988">
        <f>IF(COUNTIFS('United Data'!$A$3:$A$3390,J$1,'United Data'!$C$3:$C$3390,$A988)&gt;0,1,0)</f>
        <v>0</v>
      </c>
      <c r="K988">
        <f>IF(COUNTIFS('United Data'!$A$3:$A$3390,K$1,'United Data'!$C$3:$C$3390,$A988)&gt;0,1,0)</f>
        <v>0</v>
      </c>
      <c r="L988">
        <f>IF(COUNTIFS('United Data'!$A$3:$A$3390,L$1,'United Data'!$C$3:$C$3390,$A988)&gt;0,1,0)</f>
        <v>0</v>
      </c>
      <c r="M988">
        <f>IF(COUNTIFS('United Data'!$A$3:$A$3390,M$1,'United Data'!$C$3:$C$3390,$A988)&gt;0,1,0)</f>
        <v>0</v>
      </c>
      <c r="N988">
        <f>IF(COUNTIFS('United Data'!$A$3:$A$3390,N$1,'United Data'!$C$3:$C$3390,$A988)&gt;0,1,0)</f>
        <v>0</v>
      </c>
      <c r="O988">
        <f>IF(COUNTIFS('United Data'!$A$3:$A$3390,O$1,'United Data'!$C$3:$C$3390,$A988)&gt;0,1,0)</f>
        <v>0</v>
      </c>
      <c r="P988">
        <f>IF(COUNTIFS('United Data'!$A$3:$A$3390,P$1,'United Data'!$C$3:$C$3390,$A988)&gt;0,1,0)</f>
        <v>0</v>
      </c>
      <c r="Q988">
        <f>IF(COUNTIFS('United Data'!$A$3:$A$3390,Q$1,'United Data'!$C$3:$C$3390,$A988)&gt;0,1,0)</f>
        <v>0</v>
      </c>
      <c r="R988">
        <f>IF(COUNTIFS('United Data'!$A$3:$A$3390,R$1,'United Data'!$C$3:$C$3390,$A988)&gt;0,1,0)</f>
        <v>0</v>
      </c>
      <c r="S988">
        <f t="shared" si="30"/>
        <v>1</v>
      </c>
      <c r="T988">
        <f t="shared" si="31"/>
        <v>1</v>
      </c>
    </row>
    <row r="989" spans="1:20" x14ac:dyDescent="0.2">
      <c r="A989" t="s">
        <v>1191</v>
      </c>
      <c r="B989">
        <f>IF(COUNTIFS('United Data'!$A$3:$A$3390,B$1,'United Data'!$C$3:$C$3390,$A989)&gt;0,1,0)</f>
        <v>0</v>
      </c>
      <c r="C989">
        <f>IF(COUNTIFS('United Data'!$A$3:$A$3390,C$1,'United Data'!$C$3:$C$3390,$A989)&gt;0,1,0)</f>
        <v>0</v>
      </c>
      <c r="D989">
        <f>IF(COUNTIFS('United Data'!$A$3:$A$3390,D$1,'United Data'!$C$3:$C$3390,$A989)&gt;0,1,0)</f>
        <v>0</v>
      </c>
      <c r="E989">
        <f>IF(COUNTIFS('United Data'!$A$3:$A$3390,E$1,'United Data'!$C$3:$C$3390,$A989)&gt;0,1,0)</f>
        <v>0</v>
      </c>
      <c r="F989">
        <f>IF(COUNTIFS('United Data'!$A$3:$A$3390,F$1,'United Data'!$C$3:$C$3390,$A989)&gt;0,1,0)</f>
        <v>0</v>
      </c>
      <c r="G989">
        <f>IF(COUNTIFS('United Data'!$A$3:$A$3390,G$1,'United Data'!$C$3:$C$3390,$A989)&gt;0,1,0)</f>
        <v>1</v>
      </c>
      <c r="H989">
        <f>IF(COUNTIFS('United Data'!$A$3:$A$3390,H$1,'United Data'!$C$3:$C$3390,$A989)&gt;0,1,0)</f>
        <v>0</v>
      </c>
      <c r="I989">
        <f>IF(COUNTIFS('United Data'!$A$3:$A$3390,I$1,'United Data'!$C$3:$C$3390,$A989)&gt;0,1,0)</f>
        <v>0</v>
      </c>
      <c r="J989">
        <f>IF(COUNTIFS('United Data'!$A$3:$A$3390,J$1,'United Data'!$C$3:$C$3390,$A989)&gt;0,1,0)</f>
        <v>0</v>
      </c>
      <c r="K989">
        <f>IF(COUNTIFS('United Data'!$A$3:$A$3390,K$1,'United Data'!$C$3:$C$3390,$A989)&gt;0,1,0)</f>
        <v>0</v>
      </c>
      <c r="L989">
        <f>IF(COUNTIFS('United Data'!$A$3:$A$3390,L$1,'United Data'!$C$3:$C$3390,$A989)&gt;0,1,0)</f>
        <v>0</v>
      </c>
      <c r="M989">
        <f>IF(COUNTIFS('United Data'!$A$3:$A$3390,M$1,'United Data'!$C$3:$C$3390,$A989)&gt;0,1,0)</f>
        <v>0</v>
      </c>
      <c r="N989">
        <f>IF(COUNTIFS('United Data'!$A$3:$A$3390,N$1,'United Data'!$C$3:$C$3390,$A989)&gt;0,1,0)</f>
        <v>0</v>
      </c>
      <c r="O989">
        <f>IF(COUNTIFS('United Data'!$A$3:$A$3390,O$1,'United Data'!$C$3:$C$3390,$A989)&gt;0,1,0)</f>
        <v>0</v>
      </c>
      <c r="P989">
        <f>IF(COUNTIFS('United Data'!$A$3:$A$3390,P$1,'United Data'!$C$3:$C$3390,$A989)&gt;0,1,0)</f>
        <v>0</v>
      </c>
      <c r="Q989">
        <f>IF(COUNTIFS('United Data'!$A$3:$A$3390,Q$1,'United Data'!$C$3:$C$3390,$A989)&gt;0,1,0)</f>
        <v>0</v>
      </c>
      <c r="R989">
        <f>IF(COUNTIFS('United Data'!$A$3:$A$3390,R$1,'United Data'!$C$3:$C$3390,$A989)&gt;0,1,0)</f>
        <v>0</v>
      </c>
      <c r="S989">
        <f t="shared" si="30"/>
        <v>1</v>
      </c>
      <c r="T989">
        <f t="shared" si="31"/>
        <v>1</v>
      </c>
    </row>
    <row r="990" spans="1:20" x14ac:dyDescent="0.2">
      <c r="A990" t="s">
        <v>1192</v>
      </c>
      <c r="B990">
        <f>IF(COUNTIFS('United Data'!$A$3:$A$3390,B$1,'United Data'!$C$3:$C$3390,$A990)&gt;0,1,0)</f>
        <v>0</v>
      </c>
      <c r="C990">
        <f>IF(COUNTIFS('United Data'!$A$3:$A$3390,C$1,'United Data'!$C$3:$C$3390,$A990)&gt;0,1,0)</f>
        <v>0</v>
      </c>
      <c r="D990">
        <f>IF(COUNTIFS('United Data'!$A$3:$A$3390,D$1,'United Data'!$C$3:$C$3390,$A990)&gt;0,1,0)</f>
        <v>0</v>
      </c>
      <c r="E990">
        <f>IF(COUNTIFS('United Data'!$A$3:$A$3390,E$1,'United Data'!$C$3:$C$3390,$A990)&gt;0,1,0)</f>
        <v>0</v>
      </c>
      <c r="F990">
        <f>IF(COUNTIFS('United Data'!$A$3:$A$3390,F$1,'United Data'!$C$3:$C$3390,$A990)&gt;0,1,0)</f>
        <v>0</v>
      </c>
      <c r="G990">
        <f>IF(COUNTIFS('United Data'!$A$3:$A$3390,G$1,'United Data'!$C$3:$C$3390,$A990)&gt;0,1,0)</f>
        <v>1</v>
      </c>
      <c r="H990">
        <f>IF(COUNTIFS('United Data'!$A$3:$A$3390,H$1,'United Data'!$C$3:$C$3390,$A990)&gt;0,1,0)</f>
        <v>0</v>
      </c>
      <c r="I990">
        <f>IF(COUNTIFS('United Data'!$A$3:$A$3390,I$1,'United Data'!$C$3:$C$3390,$A990)&gt;0,1,0)</f>
        <v>0</v>
      </c>
      <c r="J990">
        <f>IF(COUNTIFS('United Data'!$A$3:$A$3390,J$1,'United Data'!$C$3:$C$3390,$A990)&gt;0,1,0)</f>
        <v>0</v>
      </c>
      <c r="K990">
        <f>IF(COUNTIFS('United Data'!$A$3:$A$3390,K$1,'United Data'!$C$3:$C$3390,$A990)&gt;0,1,0)</f>
        <v>0</v>
      </c>
      <c r="L990">
        <f>IF(COUNTIFS('United Data'!$A$3:$A$3390,L$1,'United Data'!$C$3:$C$3390,$A990)&gt;0,1,0)</f>
        <v>0</v>
      </c>
      <c r="M990">
        <f>IF(COUNTIFS('United Data'!$A$3:$A$3390,M$1,'United Data'!$C$3:$C$3390,$A990)&gt;0,1,0)</f>
        <v>0</v>
      </c>
      <c r="N990">
        <f>IF(COUNTIFS('United Data'!$A$3:$A$3390,N$1,'United Data'!$C$3:$C$3390,$A990)&gt;0,1,0)</f>
        <v>0</v>
      </c>
      <c r="O990">
        <f>IF(COUNTIFS('United Data'!$A$3:$A$3390,O$1,'United Data'!$C$3:$C$3390,$A990)&gt;0,1,0)</f>
        <v>0</v>
      </c>
      <c r="P990">
        <f>IF(COUNTIFS('United Data'!$A$3:$A$3390,P$1,'United Data'!$C$3:$C$3390,$A990)&gt;0,1,0)</f>
        <v>0</v>
      </c>
      <c r="Q990">
        <f>IF(COUNTIFS('United Data'!$A$3:$A$3390,Q$1,'United Data'!$C$3:$C$3390,$A990)&gt;0,1,0)</f>
        <v>0</v>
      </c>
      <c r="R990">
        <f>IF(COUNTIFS('United Data'!$A$3:$A$3390,R$1,'United Data'!$C$3:$C$3390,$A990)&gt;0,1,0)</f>
        <v>0</v>
      </c>
      <c r="S990">
        <f t="shared" si="30"/>
        <v>1</v>
      </c>
      <c r="T990">
        <f t="shared" si="31"/>
        <v>1</v>
      </c>
    </row>
    <row r="991" spans="1:20" x14ac:dyDescent="0.2">
      <c r="A991" t="s">
        <v>1193</v>
      </c>
      <c r="B991">
        <f>IF(COUNTIFS('United Data'!$A$3:$A$3390,B$1,'United Data'!$C$3:$C$3390,$A991)&gt;0,1,0)</f>
        <v>0</v>
      </c>
      <c r="C991">
        <f>IF(COUNTIFS('United Data'!$A$3:$A$3390,C$1,'United Data'!$C$3:$C$3390,$A991)&gt;0,1,0)</f>
        <v>0</v>
      </c>
      <c r="D991">
        <f>IF(COUNTIFS('United Data'!$A$3:$A$3390,D$1,'United Data'!$C$3:$C$3390,$A991)&gt;0,1,0)</f>
        <v>0</v>
      </c>
      <c r="E991">
        <f>IF(COUNTIFS('United Data'!$A$3:$A$3390,E$1,'United Data'!$C$3:$C$3390,$A991)&gt;0,1,0)</f>
        <v>0</v>
      </c>
      <c r="F991">
        <f>IF(COUNTIFS('United Data'!$A$3:$A$3390,F$1,'United Data'!$C$3:$C$3390,$A991)&gt;0,1,0)</f>
        <v>0</v>
      </c>
      <c r="G991">
        <f>IF(COUNTIFS('United Data'!$A$3:$A$3390,G$1,'United Data'!$C$3:$C$3390,$A991)&gt;0,1,0)</f>
        <v>1</v>
      </c>
      <c r="H991">
        <f>IF(COUNTIFS('United Data'!$A$3:$A$3390,H$1,'United Data'!$C$3:$C$3390,$A991)&gt;0,1,0)</f>
        <v>0</v>
      </c>
      <c r="I991">
        <f>IF(COUNTIFS('United Data'!$A$3:$A$3390,I$1,'United Data'!$C$3:$C$3390,$A991)&gt;0,1,0)</f>
        <v>0</v>
      </c>
      <c r="J991">
        <f>IF(COUNTIFS('United Data'!$A$3:$A$3390,J$1,'United Data'!$C$3:$C$3390,$A991)&gt;0,1,0)</f>
        <v>0</v>
      </c>
      <c r="K991">
        <f>IF(COUNTIFS('United Data'!$A$3:$A$3390,K$1,'United Data'!$C$3:$C$3390,$A991)&gt;0,1,0)</f>
        <v>0</v>
      </c>
      <c r="L991">
        <f>IF(COUNTIFS('United Data'!$A$3:$A$3390,L$1,'United Data'!$C$3:$C$3390,$A991)&gt;0,1,0)</f>
        <v>0</v>
      </c>
      <c r="M991">
        <f>IF(COUNTIFS('United Data'!$A$3:$A$3390,M$1,'United Data'!$C$3:$C$3390,$A991)&gt;0,1,0)</f>
        <v>0</v>
      </c>
      <c r="N991">
        <f>IF(COUNTIFS('United Data'!$A$3:$A$3390,N$1,'United Data'!$C$3:$C$3390,$A991)&gt;0,1,0)</f>
        <v>0</v>
      </c>
      <c r="O991">
        <f>IF(COUNTIFS('United Data'!$A$3:$A$3390,O$1,'United Data'!$C$3:$C$3390,$A991)&gt;0,1,0)</f>
        <v>0</v>
      </c>
      <c r="P991">
        <f>IF(COUNTIFS('United Data'!$A$3:$A$3390,P$1,'United Data'!$C$3:$C$3390,$A991)&gt;0,1,0)</f>
        <v>0</v>
      </c>
      <c r="Q991">
        <f>IF(COUNTIFS('United Data'!$A$3:$A$3390,Q$1,'United Data'!$C$3:$C$3390,$A991)&gt;0,1,0)</f>
        <v>0</v>
      </c>
      <c r="R991">
        <f>IF(COUNTIFS('United Data'!$A$3:$A$3390,R$1,'United Data'!$C$3:$C$3390,$A991)&gt;0,1,0)</f>
        <v>0</v>
      </c>
      <c r="S991">
        <f t="shared" si="30"/>
        <v>1</v>
      </c>
      <c r="T991">
        <f t="shared" si="31"/>
        <v>1</v>
      </c>
    </row>
    <row r="992" spans="1:20" x14ac:dyDescent="0.2">
      <c r="A992" t="s">
        <v>1194</v>
      </c>
      <c r="B992">
        <f>IF(COUNTIFS('United Data'!$A$3:$A$3390,B$1,'United Data'!$C$3:$C$3390,$A992)&gt;0,1,0)</f>
        <v>0</v>
      </c>
      <c r="C992">
        <f>IF(COUNTIFS('United Data'!$A$3:$A$3390,C$1,'United Data'!$C$3:$C$3390,$A992)&gt;0,1,0)</f>
        <v>0</v>
      </c>
      <c r="D992">
        <f>IF(COUNTIFS('United Data'!$A$3:$A$3390,D$1,'United Data'!$C$3:$C$3390,$A992)&gt;0,1,0)</f>
        <v>0</v>
      </c>
      <c r="E992">
        <f>IF(COUNTIFS('United Data'!$A$3:$A$3390,E$1,'United Data'!$C$3:$C$3390,$A992)&gt;0,1,0)</f>
        <v>0</v>
      </c>
      <c r="F992">
        <f>IF(COUNTIFS('United Data'!$A$3:$A$3390,F$1,'United Data'!$C$3:$C$3390,$A992)&gt;0,1,0)</f>
        <v>0</v>
      </c>
      <c r="G992">
        <f>IF(COUNTIFS('United Data'!$A$3:$A$3390,G$1,'United Data'!$C$3:$C$3390,$A992)&gt;0,1,0)</f>
        <v>1</v>
      </c>
      <c r="H992">
        <f>IF(COUNTIFS('United Data'!$A$3:$A$3390,H$1,'United Data'!$C$3:$C$3390,$A992)&gt;0,1,0)</f>
        <v>0</v>
      </c>
      <c r="I992">
        <f>IF(COUNTIFS('United Data'!$A$3:$A$3390,I$1,'United Data'!$C$3:$C$3390,$A992)&gt;0,1,0)</f>
        <v>0</v>
      </c>
      <c r="J992">
        <f>IF(COUNTIFS('United Data'!$A$3:$A$3390,J$1,'United Data'!$C$3:$C$3390,$A992)&gt;0,1,0)</f>
        <v>0</v>
      </c>
      <c r="K992">
        <f>IF(COUNTIFS('United Data'!$A$3:$A$3390,K$1,'United Data'!$C$3:$C$3390,$A992)&gt;0,1,0)</f>
        <v>0</v>
      </c>
      <c r="L992">
        <f>IF(COUNTIFS('United Data'!$A$3:$A$3390,L$1,'United Data'!$C$3:$C$3390,$A992)&gt;0,1,0)</f>
        <v>0</v>
      </c>
      <c r="M992">
        <f>IF(COUNTIFS('United Data'!$A$3:$A$3390,M$1,'United Data'!$C$3:$C$3390,$A992)&gt;0,1,0)</f>
        <v>0</v>
      </c>
      <c r="N992">
        <f>IF(COUNTIFS('United Data'!$A$3:$A$3390,N$1,'United Data'!$C$3:$C$3390,$A992)&gt;0,1,0)</f>
        <v>0</v>
      </c>
      <c r="O992">
        <f>IF(COUNTIFS('United Data'!$A$3:$A$3390,O$1,'United Data'!$C$3:$C$3390,$A992)&gt;0,1,0)</f>
        <v>0</v>
      </c>
      <c r="P992">
        <f>IF(COUNTIFS('United Data'!$A$3:$A$3390,P$1,'United Data'!$C$3:$C$3390,$A992)&gt;0,1,0)</f>
        <v>0</v>
      </c>
      <c r="Q992">
        <f>IF(COUNTIFS('United Data'!$A$3:$A$3390,Q$1,'United Data'!$C$3:$C$3390,$A992)&gt;0,1,0)</f>
        <v>0</v>
      </c>
      <c r="R992">
        <f>IF(COUNTIFS('United Data'!$A$3:$A$3390,R$1,'United Data'!$C$3:$C$3390,$A992)&gt;0,1,0)</f>
        <v>0</v>
      </c>
      <c r="S992">
        <f t="shared" si="30"/>
        <v>1</v>
      </c>
      <c r="T992">
        <f t="shared" si="31"/>
        <v>1</v>
      </c>
    </row>
    <row r="993" spans="1:20" x14ac:dyDescent="0.2">
      <c r="A993" t="s">
        <v>1195</v>
      </c>
      <c r="B993">
        <f>IF(COUNTIFS('United Data'!$A$3:$A$3390,B$1,'United Data'!$C$3:$C$3390,$A993)&gt;0,1,0)</f>
        <v>0</v>
      </c>
      <c r="C993">
        <f>IF(COUNTIFS('United Data'!$A$3:$A$3390,C$1,'United Data'!$C$3:$C$3390,$A993)&gt;0,1,0)</f>
        <v>0</v>
      </c>
      <c r="D993">
        <f>IF(COUNTIFS('United Data'!$A$3:$A$3390,D$1,'United Data'!$C$3:$C$3390,$A993)&gt;0,1,0)</f>
        <v>0</v>
      </c>
      <c r="E993">
        <f>IF(COUNTIFS('United Data'!$A$3:$A$3390,E$1,'United Data'!$C$3:$C$3390,$A993)&gt;0,1,0)</f>
        <v>0</v>
      </c>
      <c r="F993">
        <f>IF(COUNTIFS('United Data'!$A$3:$A$3390,F$1,'United Data'!$C$3:$C$3390,$A993)&gt;0,1,0)</f>
        <v>0</v>
      </c>
      <c r="G993">
        <f>IF(COUNTIFS('United Data'!$A$3:$A$3390,G$1,'United Data'!$C$3:$C$3390,$A993)&gt;0,1,0)</f>
        <v>1</v>
      </c>
      <c r="H993">
        <f>IF(COUNTIFS('United Data'!$A$3:$A$3390,H$1,'United Data'!$C$3:$C$3390,$A993)&gt;0,1,0)</f>
        <v>0</v>
      </c>
      <c r="I993">
        <f>IF(COUNTIFS('United Data'!$A$3:$A$3390,I$1,'United Data'!$C$3:$C$3390,$A993)&gt;0,1,0)</f>
        <v>0</v>
      </c>
      <c r="J993">
        <f>IF(COUNTIFS('United Data'!$A$3:$A$3390,J$1,'United Data'!$C$3:$C$3390,$A993)&gt;0,1,0)</f>
        <v>0</v>
      </c>
      <c r="K993">
        <f>IF(COUNTIFS('United Data'!$A$3:$A$3390,K$1,'United Data'!$C$3:$C$3390,$A993)&gt;0,1,0)</f>
        <v>0</v>
      </c>
      <c r="L993">
        <f>IF(COUNTIFS('United Data'!$A$3:$A$3390,L$1,'United Data'!$C$3:$C$3390,$A993)&gt;0,1,0)</f>
        <v>0</v>
      </c>
      <c r="M993">
        <f>IF(COUNTIFS('United Data'!$A$3:$A$3390,M$1,'United Data'!$C$3:$C$3390,$A993)&gt;0,1,0)</f>
        <v>0</v>
      </c>
      <c r="N993">
        <f>IF(COUNTIFS('United Data'!$A$3:$A$3390,N$1,'United Data'!$C$3:$C$3390,$A993)&gt;0,1,0)</f>
        <v>0</v>
      </c>
      <c r="O993">
        <f>IF(COUNTIFS('United Data'!$A$3:$A$3390,O$1,'United Data'!$C$3:$C$3390,$A993)&gt;0,1,0)</f>
        <v>0</v>
      </c>
      <c r="P993">
        <f>IF(COUNTIFS('United Data'!$A$3:$A$3390,P$1,'United Data'!$C$3:$C$3390,$A993)&gt;0,1,0)</f>
        <v>0</v>
      </c>
      <c r="Q993">
        <f>IF(COUNTIFS('United Data'!$A$3:$A$3390,Q$1,'United Data'!$C$3:$C$3390,$A993)&gt;0,1,0)</f>
        <v>0</v>
      </c>
      <c r="R993">
        <f>IF(COUNTIFS('United Data'!$A$3:$A$3390,R$1,'United Data'!$C$3:$C$3390,$A993)&gt;0,1,0)</f>
        <v>0</v>
      </c>
      <c r="S993">
        <f t="shared" si="30"/>
        <v>1</v>
      </c>
      <c r="T993">
        <f t="shared" si="31"/>
        <v>1</v>
      </c>
    </row>
    <row r="994" spans="1:20" x14ac:dyDescent="0.2">
      <c r="A994" t="s">
        <v>1196</v>
      </c>
      <c r="B994">
        <f>IF(COUNTIFS('United Data'!$A$3:$A$3390,B$1,'United Data'!$C$3:$C$3390,$A994)&gt;0,1,0)</f>
        <v>0</v>
      </c>
      <c r="C994">
        <f>IF(COUNTIFS('United Data'!$A$3:$A$3390,C$1,'United Data'!$C$3:$C$3390,$A994)&gt;0,1,0)</f>
        <v>0</v>
      </c>
      <c r="D994">
        <f>IF(COUNTIFS('United Data'!$A$3:$A$3390,D$1,'United Data'!$C$3:$C$3390,$A994)&gt;0,1,0)</f>
        <v>0</v>
      </c>
      <c r="E994">
        <f>IF(COUNTIFS('United Data'!$A$3:$A$3390,E$1,'United Data'!$C$3:$C$3390,$A994)&gt;0,1,0)</f>
        <v>0</v>
      </c>
      <c r="F994">
        <f>IF(COUNTIFS('United Data'!$A$3:$A$3390,F$1,'United Data'!$C$3:$C$3390,$A994)&gt;0,1,0)</f>
        <v>0</v>
      </c>
      <c r="G994">
        <f>IF(COUNTIFS('United Data'!$A$3:$A$3390,G$1,'United Data'!$C$3:$C$3390,$A994)&gt;0,1,0)</f>
        <v>1</v>
      </c>
      <c r="H994">
        <f>IF(COUNTIFS('United Data'!$A$3:$A$3390,H$1,'United Data'!$C$3:$C$3390,$A994)&gt;0,1,0)</f>
        <v>0</v>
      </c>
      <c r="I994">
        <f>IF(COUNTIFS('United Data'!$A$3:$A$3390,I$1,'United Data'!$C$3:$C$3390,$A994)&gt;0,1,0)</f>
        <v>0</v>
      </c>
      <c r="J994">
        <f>IF(COUNTIFS('United Data'!$A$3:$A$3390,J$1,'United Data'!$C$3:$C$3390,$A994)&gt;0,1,0)</f>
        <v>0</v>
      </c>
      <c r="K994">
        <f>IF(COUNTIFS('United Data'!$A$3:$A$3390,K$1,'United Data'!$C$3:$C$3390,$A994)&gt;0,1,0)</f>
        <v>0</v>
      </c>
      <c r="L994">
        <f>IF(COUNTIFS('United Data'!$A$3:$A$3390,L$1,'United Data'!$C$3:$C$3390,$A994)&gt;0,1,0)</f>
        <v>0</v>
      </c>
      <c r="M994">
        <f>IF(COUNTIFS('United Data'!$A$3:$A$3390,M$1,'United Data'!$C$3:$C$3390,$A994)&gt;0,1,0)</f>
        <v>0</v>
      </c>
      <c r="N994">
        <f>IF(COUNTIFS('United Data'!$A$3:$A$3390,N$1,'United Data'!$C$3:$C$3390,$A994)&gt;0,1,0)</f>
        <v>0</v>
      </c>
      <c r="O994">
        <f>IF(COUNTIFS('United Data'!$A$3:$A$3390,O$1,'United Data'!$C$3:$C$3390,$A994)&gt;0,1,0)</f>
        <v>0</v>
      </c>
      <c r="P994">
        <f>IF(COUNTIFS('United Data'!$A$3:$A$3390,P$1,'United Data'!$C$3:$C$3390,$A994)&gt;0,1,0)</f>
        <v>0</v>
      </c>
      <c r="Q994">
        <f>IF(COUNTIFS('United Data'!$A$3:$A$3390,Q$1,'United Data'!$C$3:$C$3390,$A994)&gt;0,1,0)</f>
        <v>0</v>
      </c>
      <c r="R994">
        <f>IF(COUNTIFS('United Data'!$A$3:$A$3390,R$1,'United Data'!$C$3:$C$3390,$A994)&gt;0,1,0)</f>
        <v>0</v>
      </c>
      <c r="S994">
        <f t="shared" si="30"/>
        <v>1</v>
      </c>
      <c r="T994">
        <f t="shared" si="31"/>
        <v>1</v>
      </c>
    </row>
    <row r="995" spans="1:20" x14ac:dyDescent="0.2">
      <c r="A995" t="s">
        <v>1197</v>
      </c>
      <c r="B995">
        <f>IF(COUNTIFS('United Data'!$A$3:$A$3390,B$1,'United Data'!$C$3:$C$3390,$A995)&gt;0,1,0)</f>
        <v>0</v>
      </c>
      <c r="C995">
        <f>IF(COUNTIFS('United Data'!$A$3:$A$3390,C$1,'United Data'!$C$3:$C$3390,$A995)&gt;0,1,0)</f>
        <v>0</v>
      </c>
      <c r="D995">
        <f>IF(COUNTIFS('United Data'!$A$3:$A$3390,D$1,'United Data'!$C$3:$C$3390,$A995)&gt;0,1,0)</f>
        <v>0</v>
      </c>
      <c r="E995">
        <f>IF(COUNTIFS('United Data'!$A$3:$A$3390,E$1,'United Data'!$C$3:$C$3390,$A995)&gt;0,1,0)</f>
        <v>0</v>
      </c>
      <c r="F995">
        <f>IF(COUNTIFS('United Data'!$A$3:$A$3390,F$1,'United Data'!$C$3:$C$3390,$A995)&gt;0,1,0)</f>
        <v>0</v>
      </c>
      <c r="G995">
        <f>IF(COUNTIFS('United Data'!$A$3:$A$3390,G$1,'United Data'!$C$3:$C$3390,$A995)&gt;0,1,0)</f>
        <v>1</v>
      </c>
      <c r="H995">
        <f>IF(COUNTIFS('United Data'!$A$3:$A$3390,H$1,'United Data'!$C$3:$C$3390,$A995)&gt;0,1,0)</f>
        <v>0</v>
      </c>
      <c r="I995">
        <f>IF(COUNTIFS('United Data'!$A$3:$A$3390,I$1,'United Data'!$C$3:$C$3390,$A995)&gt;0,1,0)</f>
        <v>0</v>
      </c>
      <c r="J995">
        <f>IF(COUNTIFS('United Data'!$A$3:$A$3390,J$1,'United Data'!$C$3:$C$3390,$A995)&gt;0,1,0)</f>
        <v>0</v>
      </c>
      <c r="K995">
        <f>IF(COUNTIFS('United Data'!$A$3:$A$3390,K$1,'United Data'!$C$3:$C$3390,$A995)&gt;0,1,0)</f>
        <v>0</v>
      </c>
      <c r="L995">
        <f>IF(COUNTIFS('United Data'!$A$3:$A$3390,L$1,'United Data'!$C$3:$C$3390,$A995)&gt;0,1,0)</f>
        <v>0</v>
      </c>
      <c r="M995">
        <f>IF(COUNTIFS('United Data'!$A$3:$A$3390,M$1,'United Data'!$C$3:$C$3390,$A995)&gt;0,1,0)</f>
        <v>0</v>
      </c>
      <c r="N995">
        <f>IF(COUNTIFS('United Data'!$A$3:$A$3390,N$1,'United Data'!$C$3:$C$3390,$A995)&gt;0,1,0)</f>
        <v>0</v>
      </c>
      <c r="O995">
        <f>IF(COUNTIFS('United Data'!$A$3:$A$3390,O$1,'United Data'!$C$3:$C$3390,$A995)&gt;0,1,0)</f>
        <v>0</v>
      </c>
      <c r="P995">
        <f>IF(COUNTIFS('United Data'!$A$3:$A$3390,P$1,'United Data'!$C$3:$C$3390,$A995)&gt;0,1,0)</f>
        <v>0</v>
      </c>
      <c r="Q995">
        <f>IF(COUNTIFS('United Data'!$A$3:$A$3390,Q$1,'United Data'!$C$3:$C$3390,$A995)&gt;0,1,0)</f>
        <v>0</v>
      </c>
      <c r="R995">
        <f>IF(COUNTIFS('United Data'!$A$3:$A$3390,R$1,'United Data'!$C$3:$C$3390,$A995)&gt;0,1,0)</f>
        <v>0</v>
      </c>
      <c r="S995">
        <f t="shared" si="30"/>
        <v>1</v>
      </c>
      <c r="T995">
        <f t="shared" si="31"/>
        <v>1</v>
      </c>
    </row>
    <row r="996" spans="1:20" x14ac:dyDescent="0.2">
      <c r="A996" t="s">
        <v>1198</v>
      </c>
      <c r="B996">
        <f>IF(COUNTIFS('United Data'!$A$3:$A$3390,B$1,'United Data'!$C$3:$C$3390,$A996)&gt;0,1,0)</f>
        <v>0</v>
      </c>
      <c r="C996">
        <f>IF(COUNTIFS('United Data'!$A$3:$A$3390,C$1,'United Data'!$C$3:$C$3390,$A996)&gt;0,1,0)</f>
        <v>0</v>
      </c>
      <c r="D996">
        <f>IF(COUNTIFS('United Data'!$A$3:$A$3390,D$1,'United Data'!$C$3:$C$3390,$A996)&gt;0,1,0)</f>
        <v>0</v>
      </c>
      <c r="E996">
        <f>IF(COUNTIFS('United Data'!$A$3:$A$3390,E$1,'United Data'!$C$3:$C$3390,$A996)&gt;0,1,0)</f>
        <v>0</v>
      </c>
      <c r="F996">
        <f>IF(COUNTIFS('United Data'!$A$3:$A$3390,F$1,'United Data'!$C$3:$C$3390,$A996)&gt;0,1,0)</f>
        <v>0</v>
      </c>
      <c r="G996">
        <f>IF(COUNTIFS('United Data'!$A$3:$A$3390,G$1,'United Data'!$C$3:$C$3390,$A996)&gt;0,1,0)</f>
        <v>0</v>
      </c>
      <c r="H996">
        <f>IF(COUNTIFS('United Data'!$A$3:$A$3390,H$1,'United Data'!$C$3:$C$3390,$A996)&gt;0,1,0)</f>
        <v>1</v>
      </c>
      <c r="I996">
        <f>IF(COUNTIFS('United Data'!$A$3:$A$3390,I$1,'United Data'!$C$3:$C$3390,$A996)&gt;0,1,0)</f>
        <v>0</v>
      </c>
      <c r="J996">
        <f>IF(COUNTIFS('United Data'!$A$3:$A$3390,J$1,'United Data'!$C$3:$C$3390,$A996)&gt;0,1,0)</f>
        <v>0</v>
      </c>
      <c r="K996">
        <f>IF(COUNTIFS('United Data'!$A$3:$A$3390,K$1,'United Data'!$C$3:$C$3390,$A996)&gt;0,1,0)</f>
        <v>0</v>
      </c>
      <c r="L996">
        <f>IF(COUNTIFS('United Data'!$A$3:$A$3390,L$1,'United Data'!$C$3:$C$3390,$A996)&gt;0,1,0)</f>
        <v>0</v>
      </c>
      <c r="M996">
        <f>IF(COUNTIFS('United Data'!$A$3:$A$3390,M$1,'United Data'!$C$3:$C$3390,$A996)&gt;0,1,0)</f>
        <v>0</v>
      </c>
      <c r="N996">
        <f>IF(COUNTIFS('United Data'!$A$3:$A$3390,N$1,'United Data'!$C$3:$C$3390,$A996)&gt;0,1,0)</f>
        <v>0</v>
      </c>
      <c r="O996">
        <f>IF(COUNTIFS('United Data'!$A$3:$A$3390,O$1,'United Data'!$C$3:$C$3390,$A996)&gt;0,1,0)</f>
        <v>0</v>
      </c>
      <c r="P996">
        <f>IF(COUNTIFS('United Data'!$A$3:$A$3390,P$1,'United Data'!$C$3:$C$3390,$A996)&gt;0,1,0)</f>
        <v>0</v>
      </c>
      <c r="Q996">
        <f>IF(COUNTIFS('United Data'!$A$3:$A$3390,Q$1,'United Data'!$C$3:$C$3390,$A996)&gt;0,1,0)</f>
        <v>0</v>
      </c>
      <c r="R996">
        <f>IF(COUNTIFS('United Data'!$A$3:$A$3390,R$1,'United Data'!$C$3:$C$3390,$A996)&gt;0,1,0)</f>
        <v>0</v>
      </c>
      <c r="S996">
        <f t="shared" si="30"/>
        <v>1</v>
      </c>
      <c r="T996">
        <f t="shared" si="31"/>
        <v>1</v>
      </c>
    </row>
    <row r="997" spans="1:20" x14ac:dyDescent="0.2">
      <c r="A997" t="s">
        <v>1199</v>
      </c>
      <c r="B997">
        <f>IF(COUNTIFS('United Data'!$A$3:$A$3390,B$1,'United Data'!$C$3:$C$3390,$A997)&gt;0,1,0)</f>
        <v>0</v>
      </c>
      <c r="C997">
        <f>IF(COUNTIFS('United Data'!$A$3:$A$3390,C$1,'United Data'!$C$3:$C$3390,$A997)&gt;0,1,0)</f>
        <v>0</v>
      </c>
      <c r="D997">
        <f>IF(COUNTIFS('United Data'!$A$3:$A$3390,D$1,'United Data'!$C$3:$C$3390,$A997)&gt;0,1,0)</f>
        <v>0</v>
      </c>
      <c r="E997">
        <f>IF(COUNTIFS('United Data'!$A$3:$A$3390,E$1,'United Data'!$C$3:$C$3390,$A997)&gt;0,1,0)</f>
        <v>0</v>
      </c>
      <c r="F997">
        <f>IF(COUNTIFS('United Data'!$A$3:$A$3390,F$1,'United Data'!$C$3:$C$3390,$A997)&gt;0,1,0)</f>
        <v>0</v>
      </c>
      <c r="G997">
        <f>IF(COUNTIFS('United Data'!$A$3:$A$3390,G$1,'United Data'!$C$3:$C$3390,$A997)&gt;0,1,0)</f>
        <v>0</v>
      </c>
      <c r="H997">
        <f>IF(COUNTIFS('United Data'!$A$3:$A$3390,H$1,'United Data'!$C$3:$C$3390,$A997)&gt;0,1,0)</f>
        <v>1</v>
      </c>
      <c r="I997">
        <f>IF(COUNTIFS('United Data'!$A$3:$A$3390,I$1,'United Data'!$C$3:$C$3390,$A997)&gt;0,1,0)</f>
        <v>0</v>
      </c>
      <c r="J997">
        <f>IF(COUNTIFS('United Data'!$A$3:$A$3390,J$1,'United Data'!$C$3:$C$3390,$A997)&gt;0,1,0)</f>
        <v>0</v>
      </c>
      <c r="K997">
        <f>IF(COUNTIFS('United Data'!$A$3:$A$3390,K$1,'United Data'!$C$3:$C$3390,$A997)&gt;0,1,0)</f>
        <v>0</v>
      </c>
      <c r="L997">
        <f>IF(COUNTIFS('United Data'!$A$3:$A$3390,L$1,'United Data'!$C$3:$C$3390,$A997)&gt;0,1,0)</f>
        <v>0</v>
      </c>
      <c r="M997">
        <f>IF(COUNTIFS('United Data'!$A$3:$A$3390,M$1,'United Data'!$C$3:$C$3390,$A997)&gt;0,1,0)</f>
        <v>0</v>
      </c>
      <c r="N997">
        <f>IF(COUNTIFS('United Data'!$A$3:$A$3390,N$1,'United Data'!$C$3:$C$3390,$A997)&gt;0,1,0)</f>
        <v>0</v>
      </c>
      <c r="O997">
        <f>IF(COUNTIFS('United Data'!$A$3:$A$3390,O$1,'United Data'!$C$3:$C$3390,$A997)&gt;0,1,0)</f>
        <v>0</v>
      </c>
      <c r="P997">
        <f>IF(COUNTIFS('United Data'!$A$3:$A$3390,P$1,'United Data'!$C$3:$C$3390,$A997)&gt;0,1,0)</f>
        <v>0</v>
      </c>
      <c r="Q997">
        <f>IF(COUNTIFS('United Data'!$A$3:$A$3390,Q$1,'United Data'!$C$3:$C$3390,$A997)&gt;0,1,0)</f>
        <v>0</v>
      </c>
      <c r="R997">
        <f>IF(COUNTIFS('United Data'!$A$3:$A$3390,R$1,'United Data'!$C$3:$C$3390,$A997)&gt;0,1,0)</f>
        <v>0</v>
      </c>
      <c r="S997">
        <f t="shared" si="30"/>
        <v>1</v>
      </c>
      <c r="T997">
        <f t="shared" si="31"/>
        <v>1</v>
      </c>
    </row>
    <row r="998" spans="1:20" x14ac:dyDescent="0.2">
      <c r="A998" t="s">
        <v>1200</v>
      </c>
      <c r="B998">
        <f>IF(COUNTIFS('United Data'!$A$3:$A$3390,B$1,'United Data'!$C$3:$C$3390,$A998)&gt;0,1,0)</f>
        <v>0</v>
      </c>
      <c r="C998">
        <f>IF(COUNTIFS('United Data'!$A$3:$A$3390,C$1,'United Data'!$C$3:$C$3390,$A998)&gt;0,1,0)</f>
        <v>0</v>
      </c>
      <c r="D998">
        <f>IF(COUNTIFS('United Data'!$A$3:$A$3390,D$1,'United Data'!$C$3:$C$3390,$A998)&gt;0,1,0)</f>
        <v>0</v>
      </c>
      <c r="E998">
        <f>IF(COUNTIFS('United Data'!$A$3:$A$3390,E$1,'United Data'!$C$3:$C$3390,$A998)&gt;0,1,0)</f>
        <v>0</v>
      </c>
      <c r="F998">
        <f>IF(COUNTIFS('United Data'!$A$3:$A$3390,F$1,'United Data'!$C$3:$C$3390,$A998)&gt;0,1,0)</f>
        <v>0</v>
      </c>
      <c r="G998">
        <f>IF(COUNTIFS('United Data'!$A$3:$A$3390,G$1,'United Data'!$C$3:$C$3390,$A998)&gt;0,1,0)</f>
        <v>0</v>
      </c>
      <c r="H998">
        <f>IF(COUNTIFS('United Data'!$A$3:$A$3390,H$1,'United Data'!$C$3:$C$3390,$A998)&gt;0,1,0)</f>
        <v>1</v>
      </c>
      <c r="I998">
        <f>IF(COUNTIFS('United Data'!$A$3:$A$3390,I$1,'United Data'!$C$3:$C$3390,$A998)&gt;0,1,0)</f>
        <v>0</v>
      </c>
      <c r="J998">
        <f>IF(COUNTIFS('United Data'!$A$3:$A$3390,J$1,'United Data'!$C$3:$C$3390,$A998)&gt;0,1,0)</f>
        <v>0</v>
      </c>
      <c r="K998">
        <f>IF(COUNTIFS('United Data'!$A$3:$A$3390,K$1,'United Data'!$C$3:$C$3390,$A998)&gt;0,1,0)</f>
        <v>0</v>
      </c>
      <c r="L998">
        <f>IF(COUNTIFS('United Data'!$A$3:$A$3390,L$1,'United Data'!$C$3:$C$3390,$A998)&gt;0,1,0)</f>
        <v>0</v>
      </c>
      <c r="M998">
        <f>IF(COUNTIFS('United Data'!$A$3:$A$3390,M$1,'United Data'!$C$3:$C$3390,$A998)&gt;0,1,0)</f>
        <v>0</v>
      </c>
      <c r="N998">
        <f>IF(COUNTIFS('United Data'!$A$3:$A$3390,N$1,'United Data'!$C$3:$C$3390,$A998)&gt;0,1,0)</f>
        <v>0</v>
      </c>
      <c r="O998">
        <f>IF(COUNTIFS('United Data'!$A$3:$A$3390,O$1,'United Data'!$C$3:$C$3390,$A998)&gt;0,1,0)</f>
        <v>0</v>
      </c>
      <c r="P998">
        <f>IF(COUNTIFS('United Data'!$A$3:$A$3390,P$1,'United Data'!$C$3:$C$3390,$A998)&gt;0,1,0)</f>
        <v>0</v>
      </c>
      <c r="Q998">
        <f>IF(COUNTIFS('United Data'!$A$3:$A$3390,Q$1,'United Data'!$C$3:$C$3390,$A998)&gt;0,1,0)</f>
        <v>0</v>
      </c>
      <c r="R998">
        <f>IF(COUNTIFS('United Data'!$A$3:$A$3390,R$1,'United Data'!$C$3:$C$3390,$A998)&gt;0,1,0)</f>
        <v>0</v>
      </c>
      <c r="S998">
        <f t="shared" si="30"/>
        <v>1</v>
      </c>
      <c r="T998">
        <f t="shared" si="31"/>
        <v>1</v>
      </c>
    </row>
    <row r="999" spans="1:20" x14ac:dyDescent="0.2">
      <c r="A999" t="s">
        <v>1201</v>
      </c>
      <c r="B999">
        <f>IF(COUNTIFS('United Data'!$A$3:$A$3390,B$1,'United Data'!$C$3:$C$3390,$A999)&gt;0,1,0)</f>
        <v>0</v>
      </c>
      <c r="C999">
        <f>IF(COUNTIFS('United Data'!$A$3:$A$3390,C$1,'United Data'!$C$3:$C$3390,$A999)&gt;0,1,0)</f>
        <v>0</v>
      </c>
      <c r="D999">
        <f>IF(COUNTIFS('United Data'!$A$3:$A$3390,D$1,'United Data'!$C$3:$C$3390,$A999)&gt;0,1,0)</f>
        <v>0</v>
      </c>
      <c r="E999">
        <f>IF(COUNTIFS('United Data'!$A$3:$A$3390,E$1,'United Data'!$C$3:$C$3390,$A999)&gt;0,1,0)</f>
        <v>0</v>
      </c>
      <c r="F999">
        <f>IF(COUNTIFS('United Data'!$A$3:$A$3390,F$1,'United Data'!$C$3:$C$3390,$A999)&gt;0,1,0)</f>
        <v>0</v>
      </c>
      <c r="G999">
        <f>IF(COUNTIFS('United Data'!$A$3:$A$3390,G$1,'United Data'!$C$3:$C$3390,$A999)&gt;0,1,0)</f>
        <v>0</v>
      </c>
      <c r="H999">
        <f>IF(COUNTIFS('United Data'!$A$3:$A$3390,H$1,'United Data'!$C$3:$C$3390,$A999)&gt;0,1,0)</f>
        <v>1</v>
      </c>
      <c r="I999">
        <f>IF(COUNTIFS('United Data'!$A$3:$A$3390,I$1,'United Data'!$C$3:$C$3390,$A999)&gt;0,1,0)</f>
        <v>0</v>
      </c>
      <c r="J999">
        <f>IF(COUNTIFS('United Data'!$A$3:$A$3390,J$1,'United Data'!$C$3:$C$3390,$A999)&gt;0,1,0)</f>
        <v>0</v>
      </c>
      <c r="K999">
        <f>IF(COUNTIFS('United Data'!$A$3:$A$3390,K$1,'United Data'!$C$3:$C$3390,$A999)&gt;0,1,0)</f>
        <v>0</v>
      </c>
      <c r="L999">
        <f>IF(COUNTIFS('United Data'!$A$3:$A$3390,L$1,'United Data'!$C$3:$C$3390,$A999)&gt;0,1,0)</f>
        <v>0</v>
      </c>
      <c r="M999">
        <f>IF(COUNTIFS('United Data'!$A$3:$A$3390,M$1,'United Data'!$C$3:$C$3390,$A999)&gt;0,1,0)</f>
        <v>0</v>
      </c>
      <c r="N999">
        <f>IF(COUNTIFS('United Data'!$A$3:$A$3390,N$1,'United Data'!$C$3:$C$3390,$A999)&gt;0,1,0)</f>
        <v>0</v>
      </c>
      <c r="O999">
        <f>IF(COUNTIFS('United Data'!$A$3:$A$3390,O$1,'United Data'!$C$3:$C$3390,$A999)&gt;0,1,0)</f>
        <v>0</v>
      </c>
      <c r="P999">
        <f>IF(COUNTIFS('United Data'!$A$3:$A$3390,P$1,'United Data'!$C$3:$C$3390,$A999)&gt;0,1,0)</f>
        <v>0</v>
      </c>
      <c r="Q999">
        <f>IF(COUNTIFS('United Data'!$A$3:$A$3390,Q$1,'United Data'!$C$3:$C$3390,$A999)&gt;0,1,0)</f>
        <v>0</v>
      </c>
      <c r="R999">
        <f>IF(COUNTIFS('United Data'!$A$3:$A$3390,R$1,'United Data'!$C$3:$C$3390,$A999)&gt;0,1,0)</f>
        <v>0</v>
      </c>
      <c r="S999">
        <f t="shared" si="30"/>
        <v>1</v>
      </c>
      <c r="T999">
        <f t="shared" si="31"/>
        <v>1</v>
      </c>
    </row>
    <row r="1000" spans="1:20" x14ac:dyDescent="0.2">
      <c r="A1000" t="s">
        <v>1202</v>
      </c>
      <c r="B1000">
        <f>IF(COUNTIFS('United Data'!$A$3:$A$3390,B$1,'United Data'!$C$3:$C$3390,$A1000)&gt;0,1,0)</f>
        <v>0</v>
      </c>
      <c r="C1000">
        <f>IF(COUNTIFS('United Data'!$A$3:$A$3390,C$1,'United Data'!$C$3:$C$3390,$A1000)&gt;0,1,0)</f>
        <v>0</v>
      </c>
      <c r="D1000">
        <f>IF(COUNTIFS('United Data'!$A$3:$A$3390,D$1,'United Data'!$C$3:$C$3390,$A1000)&gt;0,1,0)</f>
        <v>0</v>
      </c>
      <c r="E1000">
        <f>IF(COUNTIFS('United Data'!$A$3:$A$3390,E$1,'United Data'!$C$3:$C$3390,$A1000)&gt;0,1,0)</f>
        <v>0</v>
      </c>
      <c r="F1000">
        <f>IF(COUNTIFS('United Data'!$A$3:$A$3390,F$1,'United Data'!$C$3:$C$3390,$A1000)&gt;0,1,0)</f>
        <v>0</v>
      </c>
      <c r="G1000">
        <f>IF(COUNTIFS('United Data'!$A$3:$A$3390,G$1,'United Data'!$C$3:$C$3390,$A1000)&gt;0,1,0)</f>
        <v>0</v>
      </c>
      <c r="H1000">
        <f>IF(COUNTIFS('United Data'!$A$3:$A$3390,H$1,'United Data'!$C$3:$C$3390,$A1000)&gt;0,1,0)</f>
        <v>1</v>
      </c>
      <c r="I1000">
        <f>IF(COUNTIFS('United Data'!$A$3:$A$3390,I$1,'United Data'!$C$3:$C$3390,$A1000)&gt;0,1,0)</f>
        <v>0</v>
      </c>
      <c r="J1000">
        <f>IF(COUNTIFS('United Data'!$A$3:$A$3390,J$1,'United Data'!$C$3:$C$3390,$A1000)&gt;0,1,0)</f>
        <v>0</v>
      </c>
      <c r="K1000">
        <f>IF(COUNTIFS('United Data'!$A$3:$A$3390,K$1,'United Data'!$C$3:$C$3390,$A1000)&gt;0,1,0)</f>
        <v>0</v>
      </c>
      <c r="L1000">
        <f>IF(COUNTIFS('United Data'!$A$3:$A$3390,L$1,'United Data'!$C$3:$C$3390,$A1000)&gt;0,1,0)</f>
        <v>0</v>
      </c>
      <c r="M1000">
        <f>IF(COUNTIFS('United Data'!$A$3:$A$3390,M$1,'United Data'!$C$3:$C$3390,$A1000)&gt;0,1,0)</f>
        <v>0</v>
      </c>
      <c r="N1000">
        <f>IF(COUNTIFS('United Data'!$A$3:$A$3390,N$1,'United Data'!$C$3:$C$3390,$A1000)&gt;0,1,0)</f>
        <v>0</v>
      </c>
      <c r="O1000">
        <f>IF(COUNTIFS('United Data'!$A$3:$A$3390,O$1,'United Data'!$C$3:$C$3390,$A1000)&gt;0,1,0)</f>
        <v>0</v>
      </c>
      <c r="P1000">
        <f>IF(COUNTIFS('United Data'!$A$3:$A$3390,P$1,'United Data'!$C$3:$C$3390,$A1000)&gt;0,1,0)</f>
        <v>0</v>
      </c>
      <c r="Q1000">
        <f>IF(COUNTIFS('United Data'!$A$3:$A$3390,Q$1,'United Data'!$C$3:$C$3390,$A1000)&gt;0,1,0)</f>
        <v>0</v>
      </c>
      <c r="R1000">
        <f>IF(COUNTIFS('United Data'!$A$3:$A$3390,R$1,'United Data'!$C$3:$C$3390,$A1000)&gt;0,1,0)</f>
        <v>0</v>
      </c>
      <c r="S1000">
        <f t="shared" si="30"/>
        <v>1</v>
      </c>
      <c r="T1000">
        <f t="shared" si="31"/>
        <v>1</v>
      </c>
    </row>
    <row r="1001" spans="1:20" x14ac:dyDescent="0.2">
      <c r="A1001" t="s">
        <v>1203</v>
      </c>
      <c r="B1001">
        <f>IF(COUNTIFS('United Data'!$A$3:$A$3390,B$1,'United Data'!$C$3:$C$3390,$A1001)&gt;0,1,0)</f>
        <v>0</v>
      </c>
      <c r="C1001">
        <f>IF(COUNTIFS('United Data'!$A$3:$A$3390,C$1,'United Data'!$C$3:$C$3390,$A1001)&gt;0,1,0)</f>
        <v>0</v>
      </c>
      <c r="D1001">
        <f>IF(COUNTIFS('United Data'!$A$3:$A$3390,D$1,'United Data'!$C$3:$C$3390,$A1001)&gt;0,1,0)</f>
        <v>0</v>
      </c>
      <c r="E1001">
        <f>IF(COUNTIFS('United Data'!$A$3:$A$3390,E$1,'United Data'!$C$3:$C$3390,$A1001)&gt;0,1,0)</f>
        <v>0</v>
      </c>
      <c r="F1001">
        <f>IF(COUNTIFS('United Data'!$A$3:$A$3390,F$1,'United Data'!$C$3:$C$3390,$A1001)&gt;0,1,0)</f>
        <v>0</v>
      </c>
      <c r="G1001">
        <f>IF(COUNTIFS('United Data'!$A$3:$A$3390,G$1,'United Data'!$C$3:$C$3390,$A1001)&gt;0,1,0)</f>
        <v>0</v>
      </c>
      <c r="H1001">
        <f>IF(COUNTIFS('United Data'!$A$3:$A$3390,H$1,'United Data'!$C$3:$C$3390,$A1001)&gt;0,1,0)</f>
        <v>1</v>
      </c>
      <c r="I1001">
        <f>IF(COUNTIFS('United Data'!$A$3:$A$3390,I$1,'United Data'!$C$3:$C$3390,$A1001)&gt;0,1,0)</f>
        <v>0</v>
      </c>
      <c r="J1001">
        <f>IF(COUNTIFS('United Data'!$A$3:$A$3390,J$1,'United Data'!$C$3:$C$3390,$A1001)&gt;0,1,0)</f>
        <v>0</v>
      </c>
      <c r="K1001">
        <f>IF(COUNTIFS('United Data'!$A$3:$A$3390,K$1,'United Data'!$C$3:$C$3390,$A1001)&gt;0,1,0)</f>
        <v>0</v>
      </c>
      <c r="L1001">
        <f>IF(COUNTIFS('United Data'!$A$3:$A$3390,L$1,'United Data'!$C$3:$C$3390,$A1001)&gt;0,1,0)</f>
        <v>0</v>
      </c>
      <c r="M1001">
        <f>IF(COUNTIFS('United Data'!$A$3:$A$3390,M$1,'United Data'!$C$3:$C$3390,$A1001)&gt;0,1,0)</f>
        <v>0</v>
      </c>
      <c r="N1001">
        <f>IF(COUNTIFS('United Data'!$A$3:$A$3390,N$1,'United Data'!$C$3:$C$3390,$A1001)&gt;0,1,0)</f>
        <v>0</v>
      </c>
      <c r="O1001">
        <f>IF(COUNTIFS('United Data'!$A$3:$A$3390,O$1,'United Data'!$C$3:$C$3390,$A1001)&gt;0,1,0)</f>
        <v>0</v>
      </c>
      <c r="P1001">
        <f>IF(COUNTIFS('United Data'!$A$3:$A$3390,P$1,'United Data'!$C$3:$C$3390,$A1001)&gt;0,1,0)</f>
        <v>0</v>
      </c>
      <c r="Q1001">
        <f>IF(COUNTIFS('United Data'!$A$3:$A$3390,Q$1,'United Data'!$C$3:$C$3390,$A1001)&gt;0,1,0)</f>
        <v>0</v>
      </c>
      <c r="R1001">
        <f>IF(COUNTIFS('United Data'!$A$3:$A$3390,R$1,'United Data'!$C$3:$C$3390,$A1001)&gt;0,1,0)</f>
        <v>0</v>
      </c>
      <c r="S1001">
        <f t="shared" si="30"/>
        <v>1</v>
      </c>
      <c r="T1001">
        <f t="shared" si="31"/>
        <v>1</v>
      </c>
    </row>
    <row r="1002" spans="1:20" x14ac:dyDescent="0.2">
      <c r="A1002" t="s">
        <v>1204</v>
      </c>
      <c r="B1002">
        <f>IF(COUNTIFS('United Data'!$A$3:$A$3390,B$1,'United Data'!$C$3:$C$3390,$A1002)&gt;0,1,0)</f>
        <v>0</v>
      </c>
      <c r="C1002">
        <f>IF(COUNTIFS('United Data'!$A$3:$A$3390,C$1,'United Data'!$C$3:$C$3390,$A1002)&gt;0,1,0)</f>
        <v>0</v>
      </c>
      <c r="D1002">
        <f>IF(COUNTIFS('United Data'!$A$3:$A$3390,D$1,'United Data'!$C$3:$C$3390,$A1002)&gt;0,1,0)</f>
        <v>0</v>
      </c>
      <c r="E1002">
        <f>IF(COUNTIFS('United Data'!$A$3:$A$3390,E$1,'United Data'!$C$3:$C$3390,$A1002)&gt;0,1,0)</f>
        <v>0</v>
      </c>
      <c r="F1002">
        <f>IF(COUNTIFS('United Data'!$A$3:$A$3390,F$1,'United Data'!$C$3:$C$3390,$A1002)&gt;0,1,0)</f>
        <v>0</v>
      </c>
      <c r="G1002">
        <f>IF(COUNTIFS('United Data'!$A$3:$A$3390,G$1,'United Data'!$C$3:$C$3390,$A1002)&gt;0,1,0)</f>
        <v>0</v>
      </c>
      <c r="H1002">
        <f>IF(COUNTIFS('United Data'!$A$3:$A$3390,H$1,'United Data'!$C$3:$C$3390,$A1002)&gt;0,1,0)</f>
        <v>1</v>
      </c>
      <c r="I1002">
        <f>IF(COUNTIFS('United Data'!$A$3:$A$3390,I$1,'United Data'!$C$3:$C$3390,$A1002)&gt;0,1,0)</f>
        <v>0</v>
      </c>
      <c r="J1002">
        <f>IF(COUNTIFS('United Data'!$A$3:$A$3390,J$1,'United Data'!$C$3:$C$3390,$A1002)&gt;0,1,0)</f>
        <v>0</v>
      </c>
      <c r="K1002">
        <f>IF(COUNTIFS('United Data'!$A$3:$A$3390,K$1,'United Data'!$C$3:$C$3390,$A1002)&gt;0,1,0)</f>
        <v>0</v>
      </c>
      <c r="L1002">
        <f>IF(COUNTIFS('United Data'!$A$3:$A$3390,L$1,'United Data'!$C$3:$C$3390,$A1002)&gt;0,1,0)</f>
        <v>0</v>
      </c>
      <c r="M1002">
        <f>IF(COUNTIFS('United Data'!$A$3:$A$3390,M$1,'United Data'!$C$3:$C$3390,$A1002)&gt;0,1,0)</f>
        <v>0</v>
      </c>
      <c r="N1002">
        <f>IF(COUNTIFS('United Data'!$A$3:$A$3390,N$1,'United Data'!$C$3:$C$3390,$A1002)&gt;0,1,0)</f>
        <v>0</v>
      </c>
      <c r="O1002">
        <f>IF(COUNTIFS('United Data'!$A$3:$A$3390,O$1,'United Data'!$C$3:$C$3390,$A1002)&gt;0,1,0)</f>
        <v>0</v>
      </c>
      <c r="P1002">
        <f>IF(COUNTIFS('United Data'!$A$3:$A$3390,P$1,'United Data'!$C$3:$C$3390,$A1002)&gt;0,1,0)</f>
        <v>0</v>
      </c>
      <c r="Q1002">
        <f>IF(COUNTIFS('United Data'!$A$3:$A$3390,Q$1,'United Data'!$C$3:$C$3390,$A1002)&gt;0,1,0)</f>
        <v>0</v>
      </c>
      <c r="R1002">
        <f>IF(COUNTIFS('United Data'!$A$3:$A$3390,R$1,'United Data'!$C$3:$C$3390,$A1002)&gt;0,1,0)</f>
        <v>0</v>
      </c>
      <c r="S1002">
        <f t="shared" si="30"/>
        <v>1</v>
      </c>
      <c r="T1002">
        <f t="shared" si="31"/>
        <v>1</v>
      </c>
    </row>
    <row r="1003" spans="1:20" x14ac:dyDescent="0.2">
      <c r="A1003" t="s">
        <v>1206</v>
      </c>
      <c r="B1003">
        <f>IF(COUNTIFS('United Data'!$A$3:$A$3390,B$1,'United Data'!$C$3:$C$3390,$A1003)&gt;0,1,0)</f>
        <v>0</v>
      </c>
      <c r="C1003">
        <f>IF(COUNTIFS('United Data'!$A$3:$A$3390,C$1,'United Data'!$C$3:$C$3390,$A1003)&gt;0,1,0)</f>
        <v>0</v>
      </c>
      <c r="D1003">
        <f>IF(COUNTIFS('United Data'!$A$3:$A$3390,D$1,'United Data'!$C$3:$C$3390,$A1003)&gt;0,1,0)</f>
        <v>0</v>
      </c>
      <c r="E1003">
        <f>IF(COUNTIFS('United Data'!$A$3:$A$3390,E$1,'United Data'!$C$3:$C$3390,$A1003)&gt;0,1,0)</f>
        <v>0</v>
      </c>
      <c r="F1003">
        <f>IF(COUNTIFS('United Data'!$A$3:$A$3390,F$1,'United Data'!$C$3:$C$3390,$A1003)&gt;0,1,0)</f>
        <v>0</v>
      </c>
      <c r="G1003">
        <f>IF(COUNTIFS('United Data'!$A$3:$A$3390,G$1,'United Data'!$C$3:$C$3390,$A1003)&gt;0,1,0)</f>
        <v>0</v>
      </c>
      <c r="H1003">
        <f>IF(COUNTIFS('United Data'!$A$3:$A$3390,H$1,'United Data'!$C$3:$C$3390,$A1003)&gt;0,1,0)</f>
        <v>0</v>
      </c>
      <c r="I1003">
        <f>IF(COUNTIFS('United Data'!$A$3:$A$3390,I$1,'United Data'!$C$3:$C$3390,$A1003)&gt;0,1,0)</f>
        <v>1</v>
      </c>
      <c r="J1003">
        <f>IF(COUNTIFS('United Data'!$A$3:$A$3390,J$1,'United Data'!$C$3:$C$3390,$A1003)&gt;0,1,0)</f>
        <v>0</v>
      </c>
      <c r="K1003">
        <f>IF(COUNTIFS('United Data'!$A$3:$A$3390,K$1,'United Data'!$C$3:$C$3390,$A1003)&gt;0,1,0)</f>
        <v>1</v>
      </c>
      <c r="L1003">
        <f>IF(COUNTIFS('United Data'!$A$3:$A$3390,L$1,'United Data'!$C$3:$C$3390,$A1003)&gt;0,1,0)</f>
        <v>0</v>
      </c>
      <c r="M1003">
        <f>IF(COUNTIFS('United Data'!$A$3:$A$3390,M$1,'United Data'!$C$3:$C$3390,$A1003)&gt;0,1,0)</f>
        <v>1</v>
      </c>
      <c r="N1003">
        <f>IF(COUNTIFS('United Data'!$A$3:$A$3390,N$1,'United Data'!$C$3:$C$3390,$A1003)&gt;0,1,0)</f>
        <v>0</v>
      </c>
      <c r="O1003">
        <f>IF(COUNTIFS('United Data'!$A$3:$A$3390,O$1,'United Data'!$C$3:$C$3390,$A1003)&gt;0,1,0)</f>
        <v>0</v>
      </c>
      <c r="P1003">
        <f>IF(COUNTIFS('United Data'!$A$3:$A$3390,P$1,'United Data'!$C$3:$C$3390,$A1003)&gt;0,1,0)</f>
        <v>0</v>
      </c>
      <c r="Q1003">
        <f>IF(COUNTIFS('United Data'!$A$3:$A$3390,Q$1,'United Data'!$C$3:$C$3390,$A1003)&gt;0,1,0)</f>
        <v>0</v>
      </c>
      <c r="R1003">
        <f>IF(COUNTIFS('United Data'!$A$3:$A$3390,R$1,'United Data'!$C$3:$C$3390,$A1003)&gt;0,1,0)</f>
        <v>0</v>
      </c>
      <c r="S1003">
        <f t="shared" si="30"/>
        <v>3</v>
      </c>
      <c r="T1003">
        <f t="shared" si="31"/>
        <v>3</v>
      </c>
    </row>
    <row r="1004" spans="1:20" x14ac:dyDescent="0.2">
      <c r="A1004" t="s">
        <v>1207</v>
      </c>
      <c r="B1004">
        <f>IF(COUNTIFS('United Data'!$A$3:$A$3390,B$1,'United Data'!$C$3:$C$3390,$A1004)&gt;0,1,0)</f>
        <v>0</v>
      </c>
      <c r="C1004">
        <f>IF(COUNTIFS('United Data'!$A$3:$A$3390,C$1,'United Data'!$C$3:$C$3390,$A1004)&gt;0,1,0)</f>
        <v>0</v>
      </c>
      <c r="D1004">
        <f>IF(COUNTIFS('United Data'!$A$3:$A$3390,D$1,'United Data'!$C$3:$C$3390,$A1004)&gt;0,1,0)</f>
        <v>0</v>
      </c>
      <c r="E1004">
        <f>IF(COUNTIFS('United Data'!$A$3:$A$3390,E$1,'United Data'!$C$3:$C$3390,$A1004)&gt;0,1,0)</f>
        <v>0</v>
      </c>
      <c r="F1004">
        <f>IF(COUNTIFS('United Data'!$A$3:$A$3390,F$1,'United Data'!$C$3:$C$3390,$A1004)&gt;0,1,0)</f>
        <v>0</v>
      </c>
      <c r="G1004">
        <f>IF(COUNTIFS('United Data'!$A$3:$A$3390,G$1,'United Data'!$C$3:$C$3390,$A1004)&gt;0,1,0)</f>
        <v>0</v>
      </c>
      <c r="H1004">
        <f>IF(COUNTIFS('United Data'!$A$3:$A$3390,H$1,'United Data'!$C$3:$C$3390,$A1004)&gt;0,1,0)</f>
        <v>0</v>
      </c>
      <c r="I1004">
        <f>IF(COUNTIFS('United Data'!$A$3:$A$3390,I$1,'United Data'!$C$3:$C$3390,$A1004)&gt;0,1,0)</f>
        <v>1</v>
      </c>
      <c r="J1004">
        <f>IF(COUNTIFS('United Data'!$A$3:$A$3390,J$1,'United Data'!$C$3:$C$3390,$A1004)&gt;0,1,0)</f>
        <v>0</v>
      </c>
      <c r="K1004">
        <f>IF(COUNTIFS('United Data'!$A$3:$A$3390,K$1,'United Data'!$C$3:$C$3390,$A1004)&gt;0,1,0)</f>
        <v>0</v>
      </c>
      <c r="L1004">
        <f>IF(COUNTIFS('United Data'!$A$3:$A$3390,L$1,'United Data'!$C$3:$C$3390,$A1004)&gt;0,1,0)</f>
        <v>0</v>
      </c>
      <c r="M1004">
        <f>IF(COUNTIFS('United Data'!$A$3:$A$3390,M$1,'United Data'!$C$3:$C$3390,$A1004)&gt;0,1,0)</f>
        <v>0</v>
      </c>
      <c r="N1004">
        <f>IF(COUNTIFS('United Data'!$A$3:$A$3390,N$1,'United Data'!$C$3:$C$3390,$A1004)&gt;0,1,0)</f>
        <v>0</v>
      </c>
      <c r="O1004">
        <f>IF(COUNTIFS('United Data'!$A$3:$A$3390,O$1,'United Data'!$C$3:$C$3390,$A1004)&gt;0,1,0)</f>
        <v>0</v>
      </c>
      <c r="P1004">
        <f>IF(COUNTIFS('United Data'!$A$3:$A$3390,P$1,'United Data'!$C$3:$C$3390,$A1004)&gt;0,1,0)</f>
        <v>0</v>
      </c>
      <c r="Q1004">
        <f>IF(COUNTIFS('United Data'!$A$3:$A$3390,Q$1,'United Data'!$C$3:$C$3390,$A1004)&gt;0,1,0)</f>
        <v>0</v>
      </c>
      <c r="R1004">
        <f>IF(COUNTIFS('United Data'!$A$3:$A$3390,R$1,'United Data'!$C$3:$C$3390,$A1004)&gt;0,1,0)</f>
        <v>0</v>
      </c>
      <c r="S1004">
        <f t="shared" si="30"/>
        <v>1</v>
      </c>
      <c r="T1004">
        <f t="shared" si="31"/>
        <v>1</v>
      </c>
    </row>
    <row r="1005" spans="1:20" x14ac:dyDescent="0.2">
      <c r="A1005" t="s">
        <v>1208</v>
      </c>
      <c r="B1005">
        <f>IF(COUNTIFS('United Data'!$A$3:$A$3390,B$1,'United Data'!$C$3:$C$3390,$A1005)&gt;0,1,0)</f>
        <v>0</v>
      </c>
      <c r="C1005">
        <f>IF(COUNTIFS('United Data'!$A$3:$A$3390,C$1,'United Data'!$C$3:$C$3390,$A1005)&gt;0,1,0)</f>
        <v>0</v>
      </c>
      <c r="D1005">
        <f>IF(COUNTIFS('United Data'!$A$3:$A$3390,D$1,'United Data'!$C$3:$C$3390,$A1005)&gt;0,1,0)</f>
        <v>0</v>
      </c>
      <c r="E1005">
        <f>IF(COUNTIFS('United Data'!$A$3:$A$3390,E$1,'United Data'!$C$3:$C$3390,$A1005)&gt;0,1,0)</f>
        <v>0</v>
      </c>
      <c r="F1005">
        <f>IF(COUNTIFS('United Data'!$A$3:$A$3390,F$1,'United Data'!$C$3:$C$3390,$A1005)&gt;0,1,0)</f>
        <v>0</v>
      </c>
      <c r="G1005">
        <f>IF(COUNTIFS('United Data'!$A$3:$A$3390,G$1,'United Data'!$C$3:$C$3390,$A1005)&gt;0,1,0)</f>
        <v>0</v>
      </c>
      <c r="H1005">
        <f>IF(COUNTIFS('United Data'!$A$3:$A$3390,H$1,'United Data'!$C$3:$C$3390,$A1005)&gt;0,1,0)</f>
        <v>0</v>
      </c>
      <c r="I1005">
        <f>IF(COUNTIFS('United Data'!$A$3:$A$3390,I$1,'United Data'!$C$3:$C$3390,$A1005)&gt;0,1,0)</f>
        <v>0</v>
      </c>
      <c r="J1005">
        <f>IF(COUNTIFS('United Data'!$A$3:$A$3390,J$1,'United Data'!$C$3:$C$3390,$A1005)&gt;0,1,0)</f>
        <v>1</v>
      </c>
      <c r="K1005">
        <f>IF(COUNTIFS('United Data'!$A$3:$A$3390,K$1,'United Data'!$C$3:$C$3390,$A1005)&gt;0,1,0)</f>
        <v>0</v>
      </c>
      <c r="L1005">
        <f>IF(COUNTIFS('United Data'!$A$3:$A$3390,L$1,'United Data'!$C$3:$C$3390,$A1005)&gt;0,1,0)</f>
        <v>0</v>
      </c>
      <c r="M1005">
        <f>IF(COUNTIFS('United Data'!$A$3:$A$3390,M$1,'United Data'!$C$3:$C$3390,$A1005)&gt;0,1,0)</f>
        <v>0</v>
      </c>
      <c r="N1005">
        <f>IF(COUNTIFS('United Data'!$A$3:$A$3390,N$1,'United Data'!$C$3:$C$3390,$A1005)&gt;0,1,0)</f>
        <v>0</v>
      </c>
      <c r="O1005">
        <f>IF(COUNTIFS('United Data'!$A$3:$A$3390,O$1,'United Data'!$C$3:$C$3390,$A1005)&gt;0,1,0)</f>
        <v>0</v>
      </c>
      <c r="P1005">
        <f>IF(COUNTIFS('United Data'!$A$3:$A$3390,P$1,'United Data'!$C$3:$C$3390,$A1005)&gt;0,1,0)</f>
        <v>0</v>
      </c>
      <c r="Q1005">
        <f>IF(COUNTIFS('United Data'!$A$3:$A$3390,Q$1,'United Data'!$C$3:$C$3390,$A1005)&gt;0,1,0)</f>
        <v>0</v>
      </c>
      <c r="R1005">
        <f>IF(COUNTIFS('United Data'!$A$3:$A$3390,R$1,'United Data'!$C$3:$C$3390,$A1005)&gt;0,1,0)</f>
        <v>0</v>
      </c>
      <c r="S1005">
        <f t="shared" si="30"/>
        <v>1</v>
      </c>
      <c r="T1005">
        <f t="shared" si="31"/>
        <v>1</v>
      </c>
    </row>
    <row r="1006" spans="1:20" x14ac:dyDescent="0.2">
      <c r="A1006" t="s">
        <v>1209</v>
      </c>
      <c r="B1006">
        <f>IF(COUNTIFS('United Data'!$A$3:$A$3390,B$1,'United Data'!$C$3:$C$3390,$A1006)&gt;0,1,0)</f>
        <v>0</v>
      </c>
      <c r="C1006">
        <f>IF(COUNTIFS('United Data'!$A$3:$A$3390,C$1,'United Data'!$C$3:$C$3390,$A1006)&gt;0,1,0)</f>
        <v>0</v>
      </c>
      <c r="D1006">
        <f>IF(COUNTIFS('United Data'!$A$3:$A$3390,D$1,'United Data'!$C$3:$C$3390,$A1006)&gt;0,1,0)</f>
        <v>0</v>
      </c>
      <c r="E1006">
        <f>IF(COUNTIFS('United Data'!$A$3:$A$3390,E$1,'United Data'!$C$3:$C$3390,$A1006)&gt;0,1,0)</f>
        <v>0</v>
      </c>
      <c r="F1006">
        <f>IF(COUNTIFS('United Data'!$A$3:$A$3390,F$1,'United Data'!$C$3:$C$3390,$A1006)&gt;0,1,0)</f>
        <v>0</v>
      </c>
      <c r="G1006">
        <f>IF(COUNTIFS('United Data'!$A$3:$A$3390,G$1,'United Data'!$C$3:$C$3390,$A1006)&gt;0,1,0)</f>
        <v>0</v>
      </c>
      <c r="H1006">
        <f>IF(COUNTIFS('United Data'!$A$3:$A$3390,H$1,'United Data'!$C$3:$C$3390,$A1006)&gt;0,1,0)</f>
        <v>0</v>
      </c>
      <c r="I1006">
        <f>IF(COUNTIFS('United Data'!$A$3:$A$3390,I$1,'United Data'!$C$3:$C$3390,$A1006)&gt;0,1,0)</f>
        <v>0</v>
      </c>
      <c r="J1006">
        <f>IF(COUNTIFS('United Data'!$A$3:$A$3390,J$1,'United Data'!$C$3:$C$3390,$A1006)&gt;0,1,0)</f>
        <v>1</v>
      </c>
      <c r="K1006">
        <f>IF(COUNTIFS('United Data'!$A$3:$A$3390,K$1,'United Data'!$C$3:$C$3390,$A1006)&gt;0,1,0)</f>
        <v>0</v>
      </c>
      <c r="L1006">
        <f>IF(COUNTIFS('United Data'!$A$3:$A$3390,L$1,'United Data'!$C$3:$C$3390,$A1006)&gt;0,1,0)</f>
        <v>0</v>
      </c>
      <c r="M1006">
        <f>IF(COUNTIFS('United Data'!$A$3:$A$3390,M$1,'United Data'!$C$3:$C$3390,$A1006)&gt;0,1,0)</f>
        <v>0</v>
      </c>
      <c r="N1006">
        <f>IF(COUNTIFS('United Data'!$A$3:$A$3390,N$1,'United Data'!$C$3:$C$3390,$A1006)&gt;0,1,0)</f>
        <v>0</v>
      </c>
      <c r="O1006">
        <f>IF(COUNTIFS('United Data'!$A$3:$A$3390,O$1,'United Data'!$C$3:$C$3390,$A1006)&gt;0,1,0)</f>
        <v>0</v>
      </c>
      <c r="P1006">
        <f>IF(COUNTIFS('United Data'!$A$3:$A$3390,P$1,'United Data'!$C$3:$C$3390,$A1006)&gt;0,1,0)</f>
        <v>0</v>
      </c>
      <c r="Q1006">
        <f>IF(COUNTIFS('United Data'!$A$3:$A$3390,Q$1,'United Data'!$C$3:$C$3390,$A1006)&gt;0,1,0)</f>
        <v>0</v>
      </c>
      <c r="R1006">
        <f>IF(COUNTIFS('United Data'!$A$3:$A$3390,R$1,'United Data'!$C$3:$C$3390,$A1006)&gt;0,1,0)</f>
        <v>0</v>
      </c>
      <c r="S1006">
        <f t="shared" si="30"/>
        <v>1</v>
      </c>
      <c r="T1006">
        <f t="shared" si="31"/>
        <v>1</v>
      </c>
    </row>
    <row r="1007" spans="1:20" x14ac:dyDescent="0.2">
      <c r="A1007" t="s">
        <v>1210</v>
      </c>
      <c r="B1007">
        <f>IF(COUNTIFS('United Data'!$A$3:$A$3390,B$1,'United Data'!$C$3:$C$3390,$A1007)&gt;0,1,0)</f>
        <v>0</v>
      </c>
      <c r="C1007">
        <f>IF(COUNTIFS('United Data'!$A$3:$A$3390,C$1,'United Data'!$C$3:$C$3390,$A1007)&gt;0,1,0)</f>
        <v>0</v>
      </c>
      <c r="D1007">
        <f>IF(COUNTIFS('United Data'!$A$3:$A$3390,D$1,'United Data'!$C$3:$C$3390,$A1007)&gt;0,1,0)</f>
        <v>1</v>
      </c>
      <c r="E1007">
        <f>IF(COUNTIFS('United Data'!$A$3:$A$3390,E$1,'United Data'!$C$3:$C$3390,$A1007)&gt;0,1,0)</f>
        <v>1</v>
      </c>
      <c r="F1007">
        <f>IF(COUNTIFS('United Data'!$A$3:$A$3390,F$1,'United Data'!$C$3:$C$3390,$A1007)&gt;0,1,0)</f>
        <v>0</v>
      </c>
      <c r="G1007">
        <f>IF(COUNTIFS('United Data'!$A$3:$A$3390,G$1,'United Data'!$C$3:$C$3390,$A1007)&gt;0,1,0)</f>
        <v>0</v>
      </c>
      <c r="H1007">
        <f>IF(COUNTIFS('United Data'!$A$3:$A$3390,H$1,'United Data'!$C$3:$C$3390,$A1007)&gt;0,1,0)</f>
        <v>0</v>
      </c>
      <c r="I1007">
        <f>IF(COUNTIFS('United Data'!$A$3:$A$3390,I$1,'United Data'!$C$3:$C$3390,$A1007)&gt;0,1,0)</f>
        <v>0</v>
      </c>
      <c r="J1007">
        <f>IF(COUNTIFS('United Data'!$A$3:$A$3390,J$1,'United Data'!$C$3:$C$3390,$A1007)&gt;0,1,0)</f>
        <v>0</v>
      </c>
      <c r="K1007">
        <f>IF(COUNTIFS('United Data'!$A$3:$A$3390,K$1,'United Data'!$C$3:$C$3390,$A1007)&gt;0,1,0)</f>
        <v>1</v>
      </c>
      <c r="L1007">
        <f>IF(COUNTIFS('United Data'!$A$3:$A$3390,L$1,'United Data'!$C$3:$C$3390,$A1007)&gt;0,1,0)</f>
        <v>0</v>
      </c>
      <c r="M1007">
        <f>IF(COUNTIFS('United Data'!$A$3:$A$3390,M$1,'United Data'!$C$3:$C$3390,$A1007)&gt;0,1,0)</f>
        <v>0</v>
      </c>
      <c r="N1007">
        <f>IF(COUNTIFS('United Data'!$A$3:$A$3390,N$1,'United Data'!$C$3:$C$3390,$A1007)&gt;0,1,0)</f>
        <v>0</v>
      </c>
      <c r="O1007">
        <f>IF(COUNTIFS('United Data'!$A$3:$A$3390,O$1,'United Data'!$C$3:$C$3390,$A1007)&gt;0,1,0)</f>
        <v>0</v>
      </c>
      <c r="P1007">
        <f>IF(COUNTIFS('United Data'!$A$3:$A$3390,P$1,'United Data'!$C$3:$C$3390,$A1007)&gt;0,1,0)</f>
        <v>0</v>
      </c>
      <c r="Q1007">
        <f>IF(COUNTIFS('United Data'!$A$3:$A$3390,Q$1,'United Data'!$C$3:$C$3390,$A1007)&gt;0,1,0)</f>
        <v>0</v>
      </c>
      <c r="R1007">
        <f>IF(COUNTIFS('United Data'!$A$3:$A$3390,R$1,'United Data'!$C$3:$C$3390,$A1007)&gt;0,1,0)</f>
        <v>0</v>
      </c>
      <c r="S1007">
        <f t="shared" si="30"/>
        <v>3</v>
      </c>
      <c r="T1007">
        <f t="shared" si="31"/>
        <v>2</v>
      </c>
    </row>
    <row r="1008" spans="1:20" x14ac:dyDescent="0.2">
      <c r="A1008" t="s">
        <v>1211</v>
      </c>
      <c r="B1008">
        <f>IF(COUNTIFS('United Data'!$A$3:$A$3390,B$1,'United Data'!$C$3:$C$3390,$A1008)&gt;0,1,0)</f>
        <v>0</v>
      </c>
      <c r="C1008">
        <f>IF(COUNTIFS('United Data'!$A$3:$A$3390,C$1,'United Data'!$C$3:$C$3390,$A1008)&gt;0,1,0)</f>
        <v>0</v>
      </c>
      <c r="D1008">
        <f>IF(COUNTIFS('United Data'!$A$3:$A$3390,D$1,'United Data'!$C$3:$C$3390,$A1008)&gt;0,1,0)</f>
        <v>0</v>
      </c>
      <c r="E1008">
        <f>IF(COUNTIFS('United Data'!$A$3:$A$3390,E$1,'United Data'!$C$3:$C$3390,$A1008)&gt;0,1,0)</f>
        <v>0</v>
      </c>
      <c r="F1008">
        <f>IF(COUNTIFS('United Data'!$A$3:$A$3390,F$1,'United Data'!$C$3:$C$3390,$A1008)&gt;0,1,0)</f>
        <v>0</v>
      </c>
      <c r="G1008">
        <f>IF(COUNTIFS('United Data'!$A$3:$A$3390,G$1,'United Data'!$C$3:$C$3390,$A1008)&gt;0,1,0)</f>
        <v>0</v>
      </c>
      <c r="H1008">
        <f>IF(COUNTIFS('United Data'!$A$3:$A$3390,H$1,'United Data'!$C$3:$C$3390,$A1008)&gt;0,1,0)</f>
        <v>0</v>
      </c>
      <c r="I1008">
        <f>IF(COUNTIFS('United Data'!$A$3:$A$3390,I$1,'United Data'!$C$3:$C$3390,$A1008)&gt;0,1,0)</f>
        <v>0</v>
      </c>
      <c r="J1008">
        <f>IF(COUNTIFS('United Data'!$A$3:$A$3390,J$1,'United Data'!$C$3:$C$3390,$A1008)&gt;0,1,0)</f>
        <v>0</v>
      </c>
      <c r="K1008">
        <f>IF(COUNTIFS('United Data'!$A$3:$A$3390,K$1,'United Data'!$C$3:$C$3390,$A1008)&gt;0,1,0)</f>
        <v>0</v>
      </c>
      <c r="L1008">
        <f>IF(COUNTIFS('United Data'!$A$3:$A$3390,L$1,'United Data'!$C$3:$C$3390,$A1008)&gt;0,1,0)</f>
        <v>1</v>
      </c>
      <c r="M1008">
        <f>IF(COUNTIFS('United Data'!$A$3:$A$3390,M$1,'United Data'!$C$3:$C$3390,$A1008)&gt;0,1,0)</f>
        <v>0</v>
      </c>
      <c r="N1008">
        <f>IF(COUNTIFS('United Data'!$A$3:$A$3390,N$1,'United Data'!$C$3:$C$3390,$A1008)&gt;0,1,0)</f>
        <v>0</v>
      </c>
      <c r="O1008">
        <f>IF(COUNTIFS('United Data'!$A$3:$A$3390,O$1,'United Data'!$C$3:$C$3390,$A1008)&gt;0,1,0)</f>
        <v>0</v>
      </c>
      <c r="P1008">
        <f>IF(COUNTIFS('United Data'!$A$3:$A$3390,P$1,'United Data'!$C$3:$C$3390,$A1008)&gt;0,1,0)</f>
        <v>0</v>
      </c>
      <c r="Q1008">
        <f>IF(COUNTIFS('United Data'!$A$3:$A$3390,Q$1,'United Data'!$C$3:$C$3390,$A1008)&gt;0,1,0)</f>
        <v>0</v>
      </c>
      <c r="R1008">
        <f>IF(COUNTIFS('United Data'!$A$3:$A$3390,R$1,'United Data'!$C$3:$C$3390,$A1008)&gt;0,1,0)</f>
        <v>0</v>
      </c>
      <c r="S1008">
        <f t="shared" si="30"/>
        <v>1</v>
      </c>
      <c r="T1008">
        <f t="shared" si="31"/>
        <v>1</v>
      </c>
    </row>
    <row r="1009" spans="1:20" x14ac:dyDescent="0.2">
      <c r="A1009" t="s">
        <v>1212</v>
      </c>
      <c r="B1009">
        <f>IF(COUNTIFS('United Data'!$A$3:$A$3390,B$1,'United Data'!$C$3:$C$3390,$A1009)&gt;0,1,0)</f>
        <v>0</v>
      </c>
      <c r="C1009">
        <f>IF(COUNTIFS('United Data'!$A$3:$A$3390,C$1,'United Data'!$C$3:$C$3390,$A1009)&gt;0,1,0)</f>
        <v>0</v>
      </c>
      <c r="D1009">
        <f>IF(COUNTIFS('United Data'!$A$3:$A$3390,D$1,'United Data'!$C$3:$C$3390,$A1009)&gt;0,1,0)</f>
        <v>0</v>
      </c>
      <c r="E1009">
        <f>IF(COUNTIFS('United Data'!$A$3:$A$3390,E$1,'United Data'!$C$3:$C$3390,$A1009)&gt;0,1,0)</f>
        <v>0</v>
      </c>
      <c r="F1009">
        <f>IF(COUNTIFS('United Data'!$A$3:$A$3390,F$1,'United Data'!$C$3:$C$3390,$A1009)&gt;0,1,0)</f>
        <v>0</v>
      </c>
      <c r="G1009">
        <f>IF(COUNTIFS('United Data'!$A$3:$A$3390,G$1,'United Data'!$C$3:$C$3390,$A1009)&gt;0,1,0)</f>
        <v>0</v>
      </c>
      <c r="H1009">
        <f>IF(COUNTIFS('United Data'!$A$3:$A$3390,H$1,'United Data'!$C$3:$C$3390,$A1009)&gt;0,1,0)</f>
        <v>0</v>
      </c>
      <c r="I1009">
        <f>IF(COUNTIFS('United Data'!$A$3:$A$3390,I$1,'United Data'!$C$3:$C$3390,$A1009)&gt;0,1,0)</f>
        <v>0</v>
      </c>
      <c r="J1009">
        <f>IF(COUNTIFS('United Data'!$A$3:$A$3390,J$1,'United Data'!$C$3:$C$3390,$A1009)&gt;0,1,0)</f>
        <v>0</v>
      </c>
      <c r="K1009">
        <f>IF(COUNTIFS('United Data'!$A$3:$A$3390,K$1,'United Data'!$C$3:$C$3390,$A1009)&gt;0,1,0)</f>
        <v>0</v>
      </c>
      <c r="L1009">
        <f>IF(COUNTIFS('United Data'!$A$3:$A$3390,L$1,'United Data'!$C$3:$C$3390,$A1009)&gt;0,1,0)</f>
        <v>1</v>
      </c>
      <c r="M1009">
        <f>IF(COUNTIFS('United Data'!$A$3:$A$3390,M$1,'United Data'!$C$3:$C$3390,$A1009)&gt;0,1,0)</f>
        <v>0</v>
      </c>
      <c r="N1009">
        <f>IF(COUNTIFS('United Data'!$A$3:$A$3390,N$1,'United Data'!$C$3:$C$3390,$A1009)&gt;0,1,0)</f>
        <v>0</v>
      </c>
      <c r="O1009">
        <f>IF(COUNTIFS('United Data'!$A$3:$A$3390,O$1,'United Data'!$C$3:$C$3390,$A1009)&gt;0,1,0)</f>
        <v>0</v>
      </c>
      <c r="P1009">
        <f>IF(COUNTIFS('United Data'!$A$3:$A$3390,P$1,'United Data'!$C$3:$C$3390,$A1009)&gt;0,1,0)</f>
        <v>0</v>
      </c>
      <c r="Q1009">
        <f>IF(COUNTIFS('United Data'!$A$3:$A$3390,Q$1,'United Data'!$C$3:$C$3390,$A1009)&gt;0,1,0)</f>
        <v>0</v>
      </c>
      <c r="R1009">
        <f>IF(COUNTIFS('United Data'!$A$3:$A$3390,R$1,'United Data'!$C$3:$C$3390,$A1009)&gt;0,1,0)</f>
        <v>0</v>
      </c>
      <c r="S1009">
        <f t="shared" si="30"/>
        <v>1</v>
      </c>
      <c r="T1009">
        <f t="shared" si="31"/>
        <v>1</v>
      </c>
    </row>
    <row r="1010" spans="1:20" x14ac:dyDescent="0.2">
      <c r="A1010" t="s">
        <v>1213</v>
      </c>
      <c r="B1010">
        <f>IF(COUNTIFS('United Data'!$A$3:$A$3390,B$1,'United Data'!$C$3:$C$3390,$A1010)&gt;0,1,0)</f>
        <v>0</v>
      </c>
      <c r="C1010">
        <f>IF(COUNTIFS('United Data'!$A$3:$A$3390,C$1,'United Data'!$C$3:$C$3390,$A1010)&gt;0,1,0)</f>
        <v>0</v>
      </c>
      <c r="D1010">
        <f>IF(COUNTIFS('United Data'!$A$3:$A$3390,D$1,'United Data'!$C$3:$C$3390,$A1010)&gt;0,1,0)</f>
        <v>0</v>
      </c>
      <c r="E1010">
        <f>IF(COUNTIFS('United Data'!$A$3:$A$3390,E$1,'United Data'!$C$3:$C$3390,$A1010)&gt;0,1,0)</f>
        <v>0</v>
      </c>
      <c r="F1010">
        <f>IF(COUNTIFS('United Data'!$A$3:$A$3390,F$1,'United Data'!$C$3:$C$3390,$A1010)&gt;0,1,0)</f>
        <v>0</v>
      </c>
      <c r="G1010">
        <f>IF(COUNTIFS('United Data'!$A$3:$A$3390,G$1,'United Data'!$C$3:$C$3390,$A1010)&gt;0,1,0)</f>
        <v>0</v>
      </c>
      <c r="H1010">
        <f>IF(COUNTIFS('United Data'!$A$3:$A$3390,H$1,'United Data'!$C$3:$C$3390,$A1010)&gt;0,1,0)</f>
        <v>0</v>
      </c>
      <c r="I1010">
        <f>IF(COUNTIFS('United Data'!$A$3:$A$3390,I$1,'United Data'!$C$3:$C$3390,$A1010)&gt;0,1,0)</f>
        <v>0</v>
      </c>
      <c r="J1010">
        <f>IF(COUNTIFS('United Data'!$A$3:$A$3390,J$1,'United Data'!$C$3:$C$3390,$A1010)&gt;0,1,0)</f>
        <v>0</v>
      </c>
      <c r="K1010">
        <f>IF(COUNTIFS('United Data'!$A$3:$A$3390,K$1,'United Data'!$C$3:$C$3390,$A1010)&gt;0,1,0)</f>
        <v>0</v>
      </c>
      <c r="L1010">
        <f>IF(COUNTIFS('United Data'!$A$3:$A$3390,L$1,'United Data'!$C$3:$C$3390,$A1010)&gt;0,1,0)</f>
        <v>1</v>
      </c>
      <c r="M1010">
        <f>IF(COUNTIFS('United Data'!$A$3:$A$3390,M$1,'United Data'!$C$3:$C$3390,$A1010)&gt;0,1,0)</f>
        <v>0</v>
      </c>
      <c r="N1010">
        <f>IF(COUNTIFS('United Data'!$A$3:$A$3390,N$1,'United Data'!$C$3:$C$3390,$A1010)&gt;0,1,0)</f>
        <v>0</v>
      </c>
      <c r="O1010">
        <f>IF(COUNTIFS('United Data'!$A$3:$A$3390,O$1,'United Data'!$C$3:$C$3390,$A1010)&gt;0,1,0)</f>
        <v>0</v>
      </c>
      <c r="P1010">
        <f>IF(COUNTIFS('United Data'!$A$3:$A$3390,P$1,'United Data'!$C$3:$C$3390,$A1010)&gt;0,1,0)</f>
        <v>0</v>
      </c>
      <c r="Q1010">
        <f>IF(COUNTIFS('United Data'!$A$3:$A$3390,Q$1,'United Data'!$C$3:$C$3390,$A1010)&gt;0,1,0)</f>
        <v>0</v>
      </c>
      <c r="R1010">
        <f>IF(COUNTIFS('United Data'!$A$3:$A$3390,R$1,'United Data'!$C$3:$C$3390,$A1010)&gt;0,1,0)</f>
        <v>0</v>
      </c>
      <c r="S1010">
        <f t="shared" si="30"/>
        <v>1</v>
      </c>
      <c r="T1010">
        <f t="shared" si="31"/>
        <v>1</v>
      </c>
    </row>
    <row r="1011" spans="1:20" x14ac:dyDescent="0.2">
      <c r="A1011" t="s">
        <v>1214</v>
      </c>
      <c r="B1011">
        <f>IF(COUNTIFS('United Data'!$A$3:$A$3390,B$1,'United Data'!$C$3:$C$3390,$A1011)&gt;0,1,0)</f>
        <v>0</v>
      </c>
      <c r="C1011">
        <f>IF(COUNTIFS('United Data'!$A$3:$A$3390,C$1,'United Data'!$C$3:$C$3390,$A1011)&gt;0,1,0)</f>
        <v>0</v>
      </c>
      <c r="D1011">
        <f>IF(COUNTIFS('United Data'!$A$3:$A$3390,D$1,'United Data'!$C$3:$C$3390,$A1011)&gt;0,1,0)</f>
        <v>0</v>
      </c>
      <c r="E1011">
        <f>IF(COUNTIFS('United Data'!$A$3:$A$3390,E$1,'United Data'!$C$3:$C$3390,$A1011)&gt;0,1,0)</f>
        <v>0</v>
      </c>
      <c r="F1011">
        <f>IF(COUNTIFS('United Data'!$A$3:$A$3390,F$1,'United Data'!$C$3:$C$3390,$A1011)&gt;0,1,0)</f>
        <v>0</v>
      </c>
      <c r="G1011">
        <f>IF(COUNTIFS('United Data'!$A$3:$A$3390,G$1,'United Data'!$C$3:$C$3390,$A1011)&gt;0,1,0)</f>
        <v>0</v>
      </c>
      <c r="H1011">
        <f>IF(COUNTIFS('United Data'!$A$3:$A$3390,H$1,'United Data'!$C$3:$C$3390,$A1011)&gt;0,1,0)</f>
        <v>0</v>
      </c>
      <c r="I1011">
        <f>IF(COUNTIFS('United Data'!$A$3:$A$3390,I$1,'United Data'!$C$3:$C$3390,$A1011)&gt;0,1,0)</f>
        <v>0</v>
      </c>
      <c r="J1011">
        <f>IF(COUNTIFS('United Data'!$A$3:$A$3390,J$1,'United Data'!$C$3:$C$3390,$A1011)&gt;0,1,0)</f>
        <v>0</v>
      </c>
      <c r="K1011">
        <f>IF(COUNTIFS('United Data'!$A$3:$A$3390,K$1,'United Data'!$C$3:$C$3390,$A1011)&gt;0,1,0)</f>
        <v>0</v>
      </c>
      <c r="L1011">
        <f>IF(COUNTIFS('United Data'!$A$3:$A$3390,L$1,'United Data'!$C$3:$C$3390,$A1011)&gt;0,1,0)</f>
        <v>1</v>
      </c>
      <c r="M1011">
        <f>IF(COUNTIFS('United Data'!$A$3:$A$3390,M$1,'United Data'!$C$3:$C$3390,$A1011)&gt;0,1,0)</f>
        <v>0</v>
      </c>
      <c r="N1011">
        <f>IF(COUNTIFS('United Data'!$A$3:$A$3390,N$1,'United Data'!$C$3:$C$3390,$A1011)&gt;0,1,0)</f>
        <v>0</v>
      </c>
      <c r="O1011">
        <f>IF(COUNTIFS('United Data'!$A$3:$A$3390,O$1,'United Data'!$C$3:$C$3390,$A1011)&gt;0,1,0)</f>
        <v>0</v>
      </c>
      <c r="P1011">
        <f>IF(COUNTIFS('United Data'!$A$3:$A$3390,P$1,'United Data'!$C$3:$C$3390,$A1011)&gt;0,1,0)</f>
        <v>0</v>
      </c>
      <c r="Q1011">
        <f>IF(COUNTIFS('United Data'!$A$3:$A$3390,Q$1,'United Data'!$C$3:$C$3390,$A1011)&gt;0,1,0)</f>
        <v>0</v>
      </c>
      <c r="R1011">
        <f>IF(COUNTIFS('United Data'!$A$3:$A$3390,R$1,'United Data'!$C$3:$C$3390,$A1011)&gt;0,1,0)</f>
        <v>0</v>
      </c>
      <c r="S1011">
        <f t="shared" si="30"/>
        <v>1</v>
      </c>
      <c r="T1011">
        <f t="shared" si="31"/>
        <v>1</v>
      </c>
    </row>
    <row r="1012" spans="1:20" x14ac:dyDescent="0.2">
      <c r="A1012" t="s">
        <v>1215</v>
      </c>
      <c r="B1012">
        <f>IF(COUNTIFS('United Data'!$A$3:$A$3390,B$1,'United Data'!$C$3:$C$3390,$A1012)&gt;0,1,0)</f>
        <v>0</v>
      </c>
      <c r="C1012">
        <f>IF(COUNTIFS('United Data'!$A$3:$A$3390,C$1,'United Data'!$C$3:$C$3390,$A1012)&gt;0,1,0)</f>
        <v>0</v>
      </c>
      <c r="D1012">
        <f>IF(COUNTIFS('United Data'!$A$3:$A$3390,D$1,'United Data'!$C$3:$C$3390,$A1012)&gt;0,1,0)</f>
        <v>0</v>
      </c>
      <c r="E1012">
        <f>IF(COUNTIFS('United Data'!$A$3:$A$3390,E$1,'United Data'!$C$3:$C$3390,$A1012)&gt;0,1,0)</f>
        <v>0</v>
      </c>
      <c r="F1012">
        <f>IF(COUNTIFS('United Data'!$A$3:$A$3390,F$1,'United Data'!$C$3:$C$3390,$A1012)&gt;0,1,0)</f>
        <v>0</v>
      </c>
      <c r="G1012">
        <f>IF(COUNTIFS('United Data'!$A$3:$A$3390,G$1,'United Data'!$C$3:$C$3390,$A1012)&gt;0,1,0)</f>
        <v>0</v>
      </c>
      <c r="H1012">
        <f>IF(COUNTIFS('United Data'!$A$3:$A$3390,H$1,'United Data'!$C$3:$C$3390,$A1012)&gt;0,1,0)</f>
        <v>0</v>
      </c>
      <c r="I1012">
        <f>IF(COUNTIFS('United Data'!$A$3:$A$3390,I$1,'United Data'!$C$3:$C$3390,$A1012)&gt;0,1,0)</f>
        <v>0</v>
      </c>
      <c r="J1012">
        <f>IF(COUNTIFS('United Data'!$A$3:$A$3390,J$1,'United Data'!$C$3:$C$3390,$A1012)&gt;0,1,0)</f>
        <v>0</v>
      </c>
      <c r="K1012">
        <f>IF(COUNTIFS('United Data'!$A$3:$A$3390,K$1,'United Data'!$C$3:$C$3390,$A1012)&gt;0,1,0)</f>
        <v>0</v>
      </c>
      <c r="L1012">
        <f>IF(COUNTIFS('United Data'!$A$3:$A$3390,L$1,'United Data'!$C$3:$C$3390,$A1012)&gt;0,1,0)</f>
        <v>0</v>
      </c>
      <c r="M1012">
        <f>IF(COUNTIFS('United Data'!$A$3:$A$3390,M$1,'United Data'!$C$3:$C$3390,$A1012)&gt;0,1,0)</f>
        <v>1</v>
      </c>
      <c r="N1012">
        <f>IF(COUNTIFS('United Data'!$A$3:$A$3390,N$1,'United Data'!$C$3:$C$3390,$A1012)&gt;0,1,0)</f>
        <v>0</v>
      </c>
      <c r="O1012">
        <f>IF(COUNTIFS('United Data'!$A$3:$A$3390,O$1,'United Data'!$C$3:$C$3390,$A1012)&gt;0,1,0)</f>
        <v>0</v>
      </c>
      <c r="P1012">
        <f>IF(COUNTIFS('United Data'!$A$3:$A$3390,P$1,'United Data'!$C$3:$C$3390,$A1012)&gt;0,1,0)</f>
        <v>0</v>
      </c>
      <c r="Q1012">
        <f>IF(COUNTIFS('United Data'!$A$3:$A$3390,Q$1,'United Data'!$C$3:$C$3390,$A1012)&gt;0,1,0)</f>
        <v>0</v>
      </c>
      <c r="R1012">
        <f>IF(COUNTIFS('United Data'!$A$3:$A$3390,R$1,'United Data'!$C$3:$C$3390,$A1012)&gt;0,1,0)</f>
        <v>0</v>
      </c>
      <c r="S1012">
        <f t="shared" si="30"/>
        <v>1</v>
      </c>
      <c r="T1012">
        <f t="shared" si="31"/>
        <v>1</v>
      </c>
    </row>
    <row r="1013" spans="1:20" x14ac:dyDescent="0.2">
      <c r="A1013" t="s">
        <v>1216</v>
      </c>
      <c r="B1013">
        <f>IF(COUNTIFS('United Data'!$A$3:$A$3390,B$1,'United Data'!$C$3:$C$3390,$A1013)&gt;0,1,0)</f>
        <v>0</v>
      </c>
      <c r="C1013">
        <f>IF(COUNTIFS('United Data'!$A$3:$A$3390,C$1,'United Data'!$C$3:$C$3390,$A1013)&gt;0,1,0)</f>
        <v>0</v>
      </c>
      <c r="D1013">
        <f>IF(COUNTIFS('United Data'!$A$3:$A$3390,D$1,'United Data'!$C$3:$C$3390,$A1013)&gt;0,1,0)</f>
        <v>0</v>
      </c>
      <c r="E1013">
        <f>IF(COUNTIFS('United Data'!$A$3:$A$3390,E$1,'United Data'!$C$3:$C$3390,$A1013)&gt;0,1,0)</f>
        <v>0</v>
      </c>
      <c r="F1013">
        <f>IF(COUNTIFS('United Data'!$A$3:$A$3390,F$1,'United Data'!$C$3:$C$3390,$A1013)&gt;0,1,0)</f>
        <v>0</v>
      </c>
      <c r="G1013">
        <f>IF(COUNTIFS('United Data'!$A$3:$A$3390,G$1,'United Data'!$C$3:$C$3390,$A1013)&gt;0,1,0)</f>
        <v>0</v>
      </c>
      <c r="H1013">
        <f>IF(COUNTIFS('United Data'!$A$3:$A$3390,H$1,'United Data'!$C$3:$C$3390,$A1013)&gt;0,1,0)</f>
        <v>0</v>
      </c>
      <c r="I1013">
        <f>IF(COUNTIFS('United Data'!$A$3:$A$3390,I$1,'United Data'!$C$3:$C$3390,$A1013)&gt;0,1,0)</f>
        <v>0</v>
      </c>
      <c r="J1013">
        <f>IF(COUNTIFS('United Data'!$A$3:$A$3390,J$1,'United Data'!$C$3:$C$3390,$A1013)&gt;0,1,0)</f>
        <v>0</v>
      </c>
      <c r="K1013">
        <f>IF(COUNTIFS('United Data'!$A$3:$A$3390,K$1,'United Data'!$C$3:$C$3390,$A1013)&gt;0,1,0)</f>
        <v>0</v>
      </c>
      <c r="L1013">
        <f>IF(COUNTIFS('United Data'!$A$3:$A$3390,L$1,'United Data'!$C$3:$C$3390,$A1013)&gt;0,1,0)</f>
        <v>0</v>
      </c>
      <c r="M1013">
        <f>IF(COUNTIFS('United Data'!$A$3:$A$3390,M$1,'United Data'!$C$3:$C$3390,$A1013)&gt;0,1,0)</f>
        <v>0</v>
      </c>
      <c r="N1013">
        <f>IF(COUNTIFS('United Data'!$A$3:$A$3390,N$1,'United Data'!$C$3:$C$3390,$A1013)&gt;0,1,0)</f>
        <v>1</v>
      </c>
      <c r="O1013">
        <f>IF(COUNTIFS('United Data'!$A$3:$A$3390,O$1,'United Data'!$C$3:$C$3390,$A1013)&gt;0,1,0)</f>
        <v>0</v>
      </c>
      <c r="P1013">
        <f>IF(COUNTIFS('United Data'!$A$3:$A$3390,P$1,'United Data'!$C$3:$C$3390,$A1013)&gt;0,1,0)</f>
        <v>1</v>
      </c>
      <c r="Q1013">
        <f>IF(COUNTIFS('United Data'!$A$3:$A$3390,Q$1,'United Data'!$C$3:$C$3390,$A1013)&gt;0,1,0)</f>
        <v>0</v>
      </c>
      <c r="R1013">
        <f>IF(COUNTIFS('United Data'!$A$3:$A$3390,R$1,'United Data'!$C$3:$C$3390,$A1013)&gt;0,1,0)</f>
        <v>0</v>
      </c>
      <c r="S1013">
        <f t="shared" si="30"/>
        <v>2</v>
      </c>
      <c r="T1013">
        <f t="shared" si="31"/>
        <v>2</v>
      </c>
    </row>
    <row r="1014" spans="1:20" x14ac:dyDescent="0.2">
      <c r="A1014" t="s">
        <v>1217</v>
      </c>
      <c r="B1014">
        <f>IF(COUNTIFS('United Data'!$A$3:$A$3390,B$1,'United Data'!$C$3:$C$3390,$A1014)&gt;0,1,0)</f>
        <v>0</v>
      </c>
      <c r="C1014">
        <f>IF(COUNTIFS('United Data'!$A$3:$A$3390,C$1,'United Data'!$C$3:$C$3390,$A1014)&gt;0,1,0)</f>
        <v>0</v>
      </c>
      <c r="D1014">
        <f>IF(COUNTIFS('United Data'!$A$3:$A$3390,D$1,'United Data'!$C$3:$C$3390,$A1014)&gt;0,1,0)</f>
        <v>0</v>
      </c>
      <c r="E1014">
        <f>IF(COUNTIFS('United Data'!$A$3:$A$3390,E$1,'United Data'!$C$3:$C$3390,$A1014)&gt;0,1,0)</f>
        <v>0</v>
      </c>
      <c r="F1014">
        <f>IF(COUNTIFS('United Data'!$A$3:$A$3390,F$1,'United Data'!$C$3:$C$3390,$A1014)&gt;0,1,0)</f>
        <v>0</v>
      </c>
      <c r="G1014">
        <f>IF(COUNTIFS('United Data'!$A$3:$A$3390,G$1,'United Data'!$C$3:$C$3390,$A1014)&gt;0,1,0)</f>
        <v>0</v>
      </c>
      <c r="H1014">
        <f>IF(COUNTIFS('United Data'!$A$3:$A$3390,H$1,'United Data'!$C$3:$C$3390,$A1014)&gt;0,1,0)</f>
        <v>0</v>
      </c>
      <c r="I1014">
        <f>IF(COUNTIFS('United Data'!$A$3:$A$3390,I$1,'United Data'!$C$3:$C$3390,$A1014)&gt;0,1,0)</f>
        <v>0</v>
      </c>
      <c r="J1014">
        <f>IF(COUNTIFS('United Data'!$A$3:$A$3390,J$1,'United Data'!$C$3:$C$3390,$A1014)&gt;0,1,0)</f>
        <v>0</v>
      </c>
      <c r="K1014">
        <f>IF(COUNTIFS('United Data'!$A$3:$A$3390,K$1,'United Data'!$C$3:$C$3390,$A1014)&gt;0,1,0)</f>
        <v>0</v>
      </c>
      <c r="L1014">
        <f>IF(COUNTIFS('United Data'!$A$3:$A$3390,L$1,'United Data'!$C$3:$C$3390,$A1014)&gt;0,1,0)</f>
        <v>0</v>
      </c>
      <c r="M1014">
        <f>IF(COUNTIFS('United Data'!$A$3:$A$3390,M$1,'United Data'!$C$3:$C$3390,$A1014)&gt;0,1,0)</f>
        <v>0</v>
      </c>
      <c r="N1014">
        <f>IF(COUNTIFS('United Data'!$A$3:$A$3390,N$1,'United Data'!$C$3:$C$3390,$A1014)&gt;0,1,0)</f>
        <v>1</v>
      </c>
      <c r="O1014">
        <f>IF(COUNTIFS('United Data'!$A$3:$A$3390,O$1,'United Data'!$C$3:$C$3390,$A1014)&gt;0,1,0)</f>
        <v>0</v>
      </c>
      <c r="P1014">
        <f>IF(COUNTIFS('United Data'!$A$3:$A$3390,P$1,'United Data'!$C$3:$C$3390,$A1014)&gt;0,1,0)</f>
        <v>0</v>
      </c>
      <c r="Q1014">
        <f>IF(COUNTIFS('United Data'!$A$3:$A$3390,Q$1,'United Data'!$C$3:$C$3390,$A1014)&gt;0,1,0)</f>
        <v>0</v>
      </c>
      <c r="R1014">
        <f>IF(COUNTIFS('United Data'!$A$3:$A$3390,R$1,'United Data'!$C$3:$C$3390,$A1014)&gt;0,1,0)</f>
        <v>0</v>
      </c>
      <c r="S1014">
        <f t="shared" si="30"/>
        <v>1</v>
      </c>
      <c r="T1014">
        <f t="shared" si="31"/>
        <v>1</v>
      </c>
    </row>
    <row r="1015" spans="1:20" x14ac:dyDescent="0.2">
      <c r="A1015" t="s">
        <v>1218</v>
      </c>
      <c r="B1015">
        <f>IF(COUNTIFS('United Data'!$A$3:$A$3390,B$1,'United Data'!$C$3:$C$3390,$A1015)&gt;0,1,0)</f>
        <v>0</v>
      </c>
      <c r="C1015">
        <f>IF(COUNTIFS('United Data'!$A$3:$A$3390,C$1,'United Data'!$C$3:$C$3390,$A1015)&gt;0,1,0)</f>
        <v>0</v>
      </c>
      <c r="D1015">
        <f>IF(COUNTIFS('United Data'!$A$3:$A$3390,D$1,'United Data'!$C$3:$C$3390,$A1015)&gt;0,1,0)</f>
        <v>0</v>
      </c>
      <c r="E1015">
        <f>IF(COUNTIFS('United Data'!$A$3:$A$3390,E$1,'United Data'!$C$3:$C$3390,$A1015)&gt;0,1,0)</f>
        <v>0</v>
      </c>
      <c r="F1015">
        <f>IF(COUNTIFS('United Data'!$A$3:$A$3390,F$1,'United Data'!$C$3:$C$3390,$A1015)&gt;0,1,0)</f>
        <v>0</v>
      </c>
      <c r="G1015">
        <f>IF(COUNTIFS('United Data'!$A$3:$A$3390,G$1,'United Data'!$C$3:$C$3390,$A1015)&gt;0,1,0)</f>
        <v>0</v>
      </c>
      <c r="H1015">
        <f>IF(COUNTIFS('United Data'!$A$3:$A$3390,H$1,'United Data'!$C$3:$C$3390,$A1015)&gt;0,1,0)</f>
        <v>0</v>
      </c>
      <c r="I1015">
        <f>IF(COUNTIFS('United Data'!$A$3:$A$3390,I$1,'United Data'!$C$3:$C$3390,$A1015)&gt;0,1,0)</f>
        <v>0</v>
      </c>
      <c r="J1015">
        <f>IF(COUNTIFS('United Data'!$A$3:$A$3390,J$1,'United Data'!$C$3:$C$3390,$A1015)&gt;0,1,0)</f>
        <v>0</v>
      </c>
      <c r="K1015">
        <f>IF(COUNTIFS('United Data'!$A$3:$A$3390,K$1,'United Data'!$C$3:$C$3390,$A1015)&gt;0,1,0)</f>
        <v>0</v>
      </c>
      <c r="L1015">
        <f>IF(COUNTIFS('United Data'!$A$3:$A$3390,L$1,'United Data'!$C$3:$C$3390,$A1015)&gt;0,1,0)</f>
        <v>0</v>
      </c>
      <c r="M1015">
        <f>IF(COUNTIFS('United Data'!$A$3:$A$3390,M$1,'United Data'!$C$3:$C$3390,$A1015)&gt;0,1,0)</f>
        <v>0</v>
      </c>
      <c r="N1015">
        <f>IF(COUNTIFS('United Data'!$A$3:$A$3390,N$1,'United Data'!$C$3:$C$3390,$A1015)&gt;0,1,0)</f>
        <v>1</v>
      </c>
      <c r="O1015">
        <f>IF(COUNTIFS('United Data'!$A$3:$A$3390,O$1,'United Data'!$C$3:$C$3390,$A1015)&gt;0,1,0)</f>
        <v>0</v>
      </c>
      <c r="P1015">
        <f>IF(COUNTIFS('United Data'!$A$3:$A$3390,P$1,'United Data'!$C$3:$C$3390,$A1015)&gt;0,1,0)</f>
        <v>0</v>
      </c>
      <c r="Q1015">
        <f>IF(COUNTIFS('United Data'!$A$3:$A$3390,Q$1,'United Data'!$C$3:$C$3390,$A1015)&gt;0,1,0)</f>
        <v>1</v>
      </c>
      <c r="R1015">
        <f>IF(COUNTIFS('United Data'!$A$3:$A$3390,R$1,'United Data'!$C$3:$C$3390,$A1015)&gt;0,1,0)</f>
        <v>0</v>
      </c>
      <c r="S1015">
        <f t="shared" si="30"/>
        <v>2</v>
      </c>
      <c r="T1015">
        <f t="shared" si="31"/>
        <v>2</v>
      </c>
    </row>
    <row r="1016" spans="1:20" x14ac:dyDescent="0.2">
      <c r="A1016" t="s">
        <v>1219</v>
      </c>
      <c r="B1016">
        <f>IF(COUNTIFS('United Data'!$A$3:$A$3390,B$1,'United Data'!$C$3:$C$3390,$A1016)&gt;0,1,0)</f>
        <v>0</v>
      </c>
      <c r="C1016">
        <f>IF(COUNTIFS('United Data'!$A$3:$A$3390,C$1,'United Data'!$C$3:$C$3390,$A1016)&gt;0,1,0)</f>
        <v>0</v>
      </c>
      <c r="D1016">
        <f>IF(COUNTIFS('United Data'!$A$3:$A$3390,D$1,'United Data'!$C$3:$C$3390,$A1016)&gt;0,1,0)</f>
        <v>0</v>
      </c>
      <c r="E1016">
        <f>IF(COUNTIFS('United Data'!$A$3:$A$3390,E$1,'United Data'!$C$3:$C$3390,$A1016)&gt;0,1,0)</f>
        <v>0</v>
      </c>
      <c r="F1016">
        <f>IF(COUNTIFS('United Data'!$A$3:$A$3390,F$1,'United Data'!$C$3:$C$3390,$A1016)&gt;0,1,0)</f>
        <v>0</v>
      </c>
      <c r="G1016">
        <f>IF(COUNTIFS('United Data'!$A$3:$A$3390,G$1,'United Data'!$C$3:$C$3390,$A1016)&gt;0,1,0)</f>
        <v>0</v>
      </c>
      <c r="H1016">
        <f>IF(COUNTIFS('United Data'!$A$3:$A$3390,H$1,'United Data'!$C$3:$C$3390,$A1016)&gt;0,1,0)</f>
        <v>0</v>
      </c>
      <c r="I1016">
        <f>IF(COUNTIFS('United Data'!$A$3:$A$3390,I$1,'United Data'!$C$3:$C$3390,$A1016)&gt;0,1,0)</f>
        <v>0</v>
      </c>
      <c r="J1016">
        <f>IF(COUNTIFS('United Data'!$A$3:$A$3390,J$1,'United Data'!$C$3:$C$3390,$A1016)&gt;0,1,0)</f>
        <v>0</v>
      </c>
      <c r="K1016">
        <f>IF(COUNTIFS('United Data'!$A$3:$A$3390,K$1,'United Data'!$C$3:$C$3390,$A1016)&gt;0,1,0)</f>
        <v>0</v>
      </c>
      <c r="L1016">
        <f>IF(COUNTIFS('United Data'!$A$3:$A$3390,L$1,'United Data'!$C$3:$C$3390,$A1016)&gt;0,1,0)</f>
        <v>0</v>
      </c>
      <c r="M1016">
        <f>IF(COUNTIFS('United Data'!$A$3:$A$3390,M$1,'United Data'!$C$3:$C$3390,$A1016)&gt;0,1,0)</f>
        <v>0</v>
      </c>
      <c r="N1016">
        <f>IF(COUNTIFS('United Data'!$A$3:$A$3390,N$1,'United Data'!$C$3:$C$3390,$A1016)&gt;0,1,0)</f>
        <v>1</v>
      </c>
      <c r="O1016">
        <f>IF(COUNTIFS('United Data'!$A$3:$A$3390,O$1,'United Data'!$C$3:$C$3390,$A1016)&gt;0,1,0)</f>
        <v>0</v>
      </c>
      <c r="P1016">
        <f>IF(COUNTIFS('United Data'!$A$3:$A$3390,P$1,'United Data'!$C$3:$C$3390,$A1016)&gt;0,1,0)</f>
        <v>0</v>
      </c>
      <c r="Q1016">
        <f>IF(COUNTIFS('United Data'!$A$3:$A$3390,Q$1,'United Data'!$C$3:$C$3390,$A1016)&gt;0,1,0)</f>
        <v>0</v>
      </c>
      <c r="R1016">
        <f>IF(COUNTIFS('United Data'!$A$3:$A$3390,R$1,'United Data'!$C$3:$C$3390,$A1016)&gt;0,1,0)</f>
        <v>0</v>
      </c>
      <c r="S1016">
        <f t="shared" si="30"/>
        <v>1</v>
      </c>
      <c r="T1016">
        <f t="shared" si="31"/>
        <v>1</v>
      </c>
    </row>
    <row r="1017" spans="1:20" x14ac:dyDescent="0.2">
      <c r="A1017" t="s">
        <v>1220</v>
      </c>
      <c r="B1017">
        <f>IF(COUNTIFS('United Data'!$A$3:$A$3390,B$1,'United Data'!$C$3:$C$3390,$A1017)&gt;0,1,0)</f>
        <v>0</v>
      </c>
      <c r="C1017">
        <f>IF(COUNTIFS('United Data'!$A$3:$A$3390,C$1,'United Data'!$C$3:$C$3390,$A1017)&gt;0,1,0)</f>
        <v>0</v>
      </c>
      <c r="D1017">
        <f>IF(COUNTIFS('United Data'!$A$3:$A$3390,D$1,'United Data'!$C$3:$C$3390,$A1017)&gt;0,1,0)</f>
        <v>0</v>
      </c>
      <c r="E1017">
        <f>IF(COUNTIFS('United Data'!$A$3:$A$3390,E$1,'United Data'!$C$3:$C$3390,$A1017)&gt;0,1,0)</f>
        <v>0</v>
      </c>
      <c r="F1017">
        <f>IF(COUNTIFS('United Data'!$A$3:$A$3390,F$1,'United Data'!$C$3:$C$3390,$A1017)&gt;0,1,0)</f>
        <v>0</v>
      </c>
      <c r="G1017">
        <f>IF(COUNTIFS('United Data'!$A$3:$A$3390,G$1,'United Data'!$C$3:$C$3390,$A1017)&gt;0,1,0)</f>
        <v>0</v>
      </c>
      <c r="H1017">
        <f>IF(COUNTIFS('United Data'!$A$3:$A$3390,H$1,'United Data'!$C$3:$C$3390,$A1017)&gt;0,1,0)</f>
        <v>0</v>
      </c>
      <c r="I1017">
        <f>IF(COUNTIFS('United Data'!$A$3:$A$3390,I$1,'United Data'!$C$3:$C$3390,$A1017)&gt;0,1,0)</f>
        <v>0</v>
      </c>
      <c r="J1017">
        <f>IF(COUNTIFS('United Data'!$A$3:$A$3390,J$1,'United Data'!$C$3:$C$3390,$A1017)&gt;0,1,0)</f>
        <v>0</v>
      </c>
      <c r="K1017">
        <f>IF(COUNTIFS('United Data'!$A$3:$A$3390,K$1,'United Data'!$C$3:$C$3390,$A1017)&gt;0,1,0)</f>
        <v>0</v>
      </c>
      <c r="L1017">
        <f>IF(COUNTIFS('United Data'!$A$3:$A$3390,L$1,'United Data'!$C$3:$C$3390,$A1017)&gt;0,1,0)</f>
        <v>0</v>
      </c>
      <c r="M1017">
        <f>IF(COUNTIFS('United Data'!$A$3:$A$3390,M$1,'United Data'!$C$3:$C$3390,$A1017)&gt;0,1,0)</f>
        <v>0</v>
      </c>
      <c r="N1017">
        <f>IF(COUNTIFS('United Data'!$A$3:$A$3390,N$1,'United Data'!$C$3:$C$3390,$A1017)&gt;0,1,0)</f>
        <v>1</v>
      </c>
      <c r="O1017">
        <f>IF(COUNTIFS('United Data'!$A$3:$A$3390,O$1,'United Data'!$C$3:$C$3390,$A1017)&gt;0,1,0)</f>
        <v>1</v>
      </c>
      <c r="P1017">
        <f>IF(COUNTIFS('United Data'!$A$3:$A$3390,P$1,'United Data'!$C$3:$C$3390,$A1017)&gt;0,1,0)</f>
        <v>1</v>
      </c>
      <c r="Q1017">
        <f>IF(COUNTIFS('United Data'!$A$3:$A$3390,Q$1,'United Data'!$C$3:$C$3390,$A1017)&gt;0,1,0)</f>
        <v>0</v>
      </c>
      <c r="R1017">
        <f>IF(COUNTIFS('United Data'!$A$3:$A$3390,R$1,'United Data'!$C$3:$C$3390,$A1017)&gt;0,1,0)</f>
        <v>0</v>
      </c>
      <c r="S1017">
        <f t="shared" si="30"/>
        <v>3</v>
      </c>
      <c r="T1017">
        <f t="shared" si="31"/>
        <v>1</v>
      </c>
    </row>
    <row r="1018" spans="1:20" x14ac:dyDescent="0.2">
      <c r="A1018" t="s">
        <v>1221</v>
      </c>
      <c r="B1018">
        <f>IF(COUNTIFS('United Data'!$A$3:$A$3390,B$1,'United Data'!$C$3:$C$3390,$A1018)&gt;0,1,0)</f>
        <v>0</v>
      </c>
      <c r="C1018">
        <f>IF(COUNTIFS('United Data'!$A$3:$A$3390,C$1,'United Data'!$C$3:$C$3390,$A1018)&gt;0,1,0)</f>
        <v>0</v>
      </c>
      <c r="D1018">
        <f>IF(COUNTIFS('United Data'!$A$3:$A$3390,D$1,'United Data'!$C$3:$C$3390,$A1018)&gt;0,1,0)</f>
        <v>0</v>
      </c>
      <c r="E1018">
        <f>IF(COUNTIFS('United Data'!$A$3:$A$3390,E$1,'United Data'!$C$3:$C$3390,$A1018)&gt;0,1,0)</f>
        <v>0</v>
      </c>
      <c r="F1018">
        <f>IF(COUNTIFS('United Data'!$A$3:$A$3390,F$1,'United Data'!$C$3:$C$3390,$A1018)&gt;0,1,0)</f>
        <v>0</v>
      </c>
      <c r="G1018">
        <f>IF(COUNTIFS('United Data'!$A$3:$A$3390,G$1,'United Data'!$C$3:$C$3390,$A1018)&gt;0,1,0)</f>
        <v>0</v>
      </c>
      <c r="H1018">
        <f>IF(COUNTIFS('United Data'!$A$3:$A$3390,H$1,'United Data'!$C$3:$C$3390,$A1018)&gt;0,1,0)</f>
        <v>0</v>
      </c>
      <c r="I1018">
        <f>IF(COUNTIFS('United Data'!$A$3:$A$3390,I$1,'United Data'!$C$3:$C$3390,$A1018)&gt;0,1,0)</f>
        <v>0</v>
      </c>
      <c r="J1018">
        <f>IF(COUNTIFS('United Data'!$A$3:$A$3390,J$1,'United Data'!$C$3:$C$3390,$A1018)&gt;0,1,0)</f>
        <v>0</v>
      </c>
      <c r="K1018">
        <f>IF(COUNTIFS('United Data'!$A$3:$A$3390,K$1,'United Data'!$C$3:$C$3390,$A1018)&gt;0,1,0)</f>
        <v>0</v>
      </c>
      <c r="L1018">
        <f>IF(COUNTIFS('United Data'!$A$3:$A$3390,L$1,'United Data'!$C$3:$C$3390,$A1018)&gt;0,1,0)</f>
        <v>0</v>
      </c>
      <c r="M1018">
        <f>IF(COUNTIFS('United Data'!$A$3:$A$3390,M$1,'United Data'!$C$3:$C$3390,$A1018)&gt;0,1,0)</f>
        <v>0</v>
      </c>
      <c r="N1018">
        <f>IF(COUNTIFS('United Data'!$A$3:$A$3390,N$1,'United Data'!$C$3:$C$3390,$A1018)&gt;0,1,0)</f>
        <v>1</v>
      </c>
      <c r="O1018">
        <f>IF(COUNTIFS('United Data'!$A$3:$A$3390,O$1,'United Data'!$C$3:$C$3390,$A1018)&gt;0,1,0)</f>
        <v>0</v>
      </c>
      <c r="P1018">
        <f>IF(COUNTIFS('United Data'!$A$3:$A$3390,P$1,'United Data'!$C$3:$C$3390,$A1018)&gt;0,1,0)</f>
        <v>0</v>
      </c>
      <c r="Q1018">
        <f>IF(COUNTIFS('United Data'!$A$3:$A$3390,Q$1,'United Data'!$C$3:$C$3390,$A1018)&gt;0,1,0)</f>
        <v>0</v>
      </c>
      <c r="R1018">
        <f>IF(COUNTIFS('United Data'!$A$3:$A$3390,R$1,'United Data'!$C$3:$C$3390,$A1018)&gt;0,1,0)</f>
        <v>0</v>
      </c>
      <c r="S1018">
        <f t="shared" si="30"/>
        <v>1</v>
      </c>
      <c r="T1018">
        <f t="shared" si="31"/>
        <v>1</v>
      </c>
    </row>
    <row r="1019" spans="1:20" x14ac:dyDescent="0.2">
      <c r="A1019" t="s">
        <v>1222</v>
      </c>
      <c r="B1019">
        <f>IF(COUNTIFS('United Data'!$A$3:$A$3390,B$1,'United Data'!$C$3:$C$3390,$A1019)&gt;0,1,0)</f>
        <v>0</v>
      </c>
      <c r="C1019">
        <f>IF(COUNTIFS('United Data'!$A$3:$A$3390,C$1,'United Data'!$C$3:$C$3390,$A1019)&gt;0,1,0)</f>
        <v>0</v>
      </c>
      <c r="D1019">
        <f>IF(COUNTIFS('United Data'!$A$3:$A$3390,D$1,'United Data'!$C$3:$C$3390,$A1019)&gt;0,1,0)</f>
        <v>0</v>
      </c>
      <c r="E1019">
        <f>IF(COUNTIFS('United Data'!$A$3:$A$3390,E$1,'United Data'!$C$3:$C$3390,$A1019)&gt;0,1,0)</f>
        <v>0</v>
      </c>
      <c r="F1019">
        <f>IF(COUNTIFS('United Data'!$A$3:$A$3390,F$1,'United Data'!$C$3:$C$3390,$A1019)&gt;0,1,0)</f>
        <v>0</v>
      </c>
      <c r="G1019">
        <f>IF(COUNTIFS('United Data'!$A$3:$A$3390,G$1,'United Data'!$C$3:$C$3390,$A1019)&gt;0,1,0)</f>
        <v>0</v>
      </c>
      <c r="H1019">
        <f>IF(COUNTIFS('United Data'!$A$3:$A$3390,H$1,'United Data'!$C$3:$C$3390,$A1019)&gt;0,1,0)</f>
        <v>0</v>
      </c>
      <c r="I1019">
        <f>IF(COUNTIFS('United Data'!$A$3:$A$3390,I$1,'United Data'!$C$3:$C$3390,$A1019)&gt;0,1,0)</f>
        <v>0</v>
      </c>
      <c r="J1019">
        <f>IF(COUNTIFS('United Data'!$A$3:$A$3390,J$1,'United Data'!$C$3:$C$3390,$A1019)&gt;0,1,0)</f>
        <v>0</v>
      </c>
      <c r="K1019">
        <f>IF(COUNTIFS('United Data'!$A$3:$A$3390,K$1,'United Data'!$C$3:$C$3390,$A1019)&gt;0,1,0)</f>
        <v>0</v>
      </c>
      <c r="L1019">
        <f>IF(COUNTIFS('United Data'!$A$3:$A$3390,L$1,'United Data'!$C$3:$C$3390,$A1019)&gt;0,1,0)</f>
        <v>0</v>
      </c>
      <c r="M1019">
        <f>IF(COUNTIFS('United Data'!$A$3:$A$3390,M$1,'United Data'!$C$3:$C$3390,$A1019)&gt;0,1,0)</f>
        <v>0</v>
      </c>
      <c r="N1019">
        <f>IF(COUNTIFS('United Data'!$A$3:$A$3390,N$1,'United Data'!$C$3:$C$3390,$A1019)&gt;0,1,0)</f>
        <v>1</v>
      </c>
      <c r="O1019">
        <f>IF(COUNTIFS('United Data'!$A$3:$A$3390,O$1,'United Data'!$C$3:$C$3390,$A1019)&gt;0,1,0)</f>
        <v>0</v>
      </c>
      <c r="P1019">
        <f>IF(COUNTIFS('United Data'!$A$3:$A$3390,P$1,'United Data'!$C$3:$C$3390,$A1019)&gt;0,1,0)</f>
        <v>1</v>
      </c>
      <c r="Q1019">
        <f>IF(COUNTIFS('United Data'!$A$3:$A$3390,Q$1,'United Data'!$C$3:$C$3390,$A1019)&gt;0,1,0)</f>
        <v>1</v>
      </c>
      <c r="R1019">
        <f>IF(COUNTIFS('United Data'!$A$3:$A$3390,R$1,'United Data'!$C$3:$C$3390,$A1019)&gt;0,1,0)</f>
        <v>1</v>
      </c>
      <c r="S1019">
        <f t="shared" si="30"/>
        <v>4</v>
      </c>
      <c r="T1019">
        <f t="shared" si="31"/>
        <v>2</v>
      </c>
    </row>
    <row r="1020" spans="1:20" x14ac:dyDescent="0.2">
      <c r="A1020" t="s">
        <v>1223</v>
      </c>
      <c r="B1020">
        <f>IF(COUNTIFS('United Data'!$A$3:$A$3390,B$1,'United Data'!$C$3:$C$3390,$A1020)&gt;0,1,0)</f>
        <v>0</v>
      </c>
      <c r="C1020">
        <f>IF(COUNTIFS('United Data'!$A$3:$A$3390,C$1,'United Data'!$C$3:$C$3390,$A1020)&gt;0,1,0)</f>
        <v>0</v>
      </c>
      <c r="D1020">
        <f>IF(COUNTIFS('United Data'!$A$3:$A$3390,D$1,'United Data'!$C$3:$C$3390,$A1020)&gt;0,1,0)</f>
        <v>0</v>
      </c>
      <c r="E1020">
        <f>IF(COUNTIFS('United Data'!$A$3:$A$3390,E$1,'United Data'!$C$3:$C$3390,$A1020)&gt;0,1,0)</f>
        <v>0</v>
      </c>
      <c r="F1020">
        <f>IF(COUNTIFS('United Data'!$A$3:$A$3390,F$1,'United Data'!$C$3:$C$3390,$A1020)&gt;0,1,0)</f>
        <v>0</v>
      </c>
      <c r="G1020">
        <f>IF(COUNTIFS('United Data'!$A$3:$A$3390,G$1,'United Data'!$C$3:$C$3390,$A1020)&gt;0,1,0)</f>
        <v>0</v>
      </c>
      <c r="H1020">
        <f>IF(COUNTIFS('United Data'!$A$3:$A$3390,H$1,'United Data'!$C$3:$C$3390,$A1020)&gt;0,1,0)</f>
        <v>0</v>
      </c>
      <c r="I1020">
        <f>IF(COUNTIFS('United Data'!$A$3:$A$3390,I$1,'United Data'!$C$3:$C$3390,$A1020)&gt;0,1,0)</f>
        <v>0</v>
      </c>
      <c r="J1020">
        <f>IF(COUNTIFS('United Data'!$A$3:$A$3390,J$1,'United Data'!$C$3:$C$3390,$A1020)&gt;0,1,0)</f>
        <v>0</v>
      </c>
      <c r="K1020">
        <f>IF(COUNTIFS('United Data'!$A$3:$A$3390,K$1,'United Data'!$C$3:$C$3390,$A1020)&gt;0,1,0)</f>
        <v>0</v>
      </c>
      <c r="L1020">
        <f>IF(COUNTIFS('United Data'!$A$3:$A$3390,L$1,'United Data'!$C$3:$C$3390,$A1020)&gt;0,1,0)</f>
        <v>0</v>
      </c>
      <c r="M1020">
        <f>IF(COUNTIFS('United Data'!$A$3:$A$3390,M$1,'United Data'!$C$3:$C$3390,$A1020)&gt;0,1,0)</f>
        <v>0</v>
      </c>
      <c r="N1020">
        <f>IF(COUNTIFS('United Data'!$A$3:$A$3390,N$1,'United Data'!$C$3:$C$3390,$A1020)&gt;0,1,0)</f>
        <v>0</v>
      </c>
      <c r="O1020">
        <f>IF(COUNTIFS('United Data'!$A$3:$A$3390,O$1,'United Data'!$C$3:$C$3390,$A1020)&gt;0,1,0)</f>
        <v>1</v>
      </c>
      <c r="P1020">
        <f>IF(COUNTIFS('United Data'!$A$3:$A$3390,P$1,'United Data'!$C$3:$C$3390,$A1020)&gt;0,1,0)</f>
        <v>0</v>
      </c>
      <c r="Q1020">
        <f>IF(COUNTIFS('United Data'!$A$3:$A$3390,Q$1,'United Data'!$C$3:$C$3390,$A1020)&gt;0,1,0)</f>
        <v>0</v>
      </c>
      <c r="R1020">
        <f>IF(COUNTIFS('United Data'!$A$3:$A$3390,R$1,'United Data'!$C$3:$C$3390,$A1020)&gt;0,1,0)</f>
        <v>0</v>
      </c>
      <c r="S1020">
        <f t="shared" si="30"/>
        <v>1</v>
      </c>
      <c r="T1020">
        <f t="shared" si="31"/>
        <v>1</v>
      </c>
    </row>
    <row r="1021" spans="1:20" x14ac:dyDescent="0.2">
      <c r="A1021" t="s">
        <v>1224</v>
      </c>
      <c r="B1021">
        <f>IF(COUNTIFS('United Data'!$A$3:$A$3390,B$1,'United Data'!$C$3:$C$3390,$A1021)&gt;0,1,0)</f>
        <v>0</v>
      </c>
      <c r="C1021">
        <f>IF(COUNTIFS('United Data'!$A$3:$A$3390,C$1,'United Data'!$C$3:$C$3390,$A1021)&gt;0,1,0)</f>
        <v>0</v>
      </c>
      <c r="D1021">
        <f>IF(COUNTIFS('United Data'!$A$3:$A$3390,D$1,'United Data'!$C$3:$C$3390,$A1021)&gt;0,1,0)</f>
        <v>0</v>
      </c>
      <c r="E1021">
        <f>IF(COUNTIFS('United Data'!$A$3:$A$3390,E$1,'United Data'!$C$3:$C$3390,$A1021)&gt;0,1,0)</f>
        <v>0</v>
      </c>
      <c r="F1021">
        <f>IF(COUNTIFS('United Data'!$A$3:$A$3390,F$1,'United Data'!$C$3:$C$3390,$A1021)&gt;0,1,0)</f>
        <v>0</v>
      </c>
      <c r="G1021">
        <f>IF(COUNTIFS('United Data'!$A$3:$A$3390,G$1,'United Data'!$C$3:$C$3390,$A1021)&gt;0,1,0)</f>
        <v>0</v>
      </c>
      <c r="H1021">
        <f>IF(COUNTIFS('United Data'!$A$3:$A$3390,H$1,'United Data'!$C$3:$C$3390,$A1021)&gt;0,1,0)</f>
        <v>0</v>
      </c>
      <c r="I1021">
        <f>IF(COUNTIFS('United Data'!$A$3:$A$3390,I$1,'United Data'!$C$3:$C$3390,$A1021)&gt;0,1,0)</f>
        <v>0</v>
      </c>
      <c r="J1021">
        <f>IF(COUNTIFS('United Data'!$A$3:$A$3390,J$1,'United Data'!$C$3:$C$3390,$A1021)&gt;0,1,0)</f>
        <v>0</v>
      </c>
      <c r="K1021">
        <f>IF(COUNTIFS('United Data'!$A$3:$A$3390,K$1,'United Data'!$C$3:$C$3390,$A1021)&gt;0,1,0)</f>
        <v>0</v>
      </c>
      <c r="L1021">
        <f>IF(COUNTIFS('United Data'!$A$3:$A$3390,L$1,'United Data'!$C$3:$C$3390,$A1021)&gt;0,1,0)</f>
        <v>0</v>
      </c>
      <c r="M1021">
        <f>IF(COUNTIFS('United Data'!$A$3:$A$3390,M$1,'United Data'!$C$3:$C$3390,$A1021)&gt;0,1,0)</f>
        <v>0</v>
      </c>
      <c r="N1021">
        <f>IF(COUNTIFS('United Data'!$A$3:$A$3390,N$1,'United Data'!$C$3:$C$3390,$A1021)&gt;0,1,0)</f>
        <v>0</v>
      </c>
      <c r="O1021">
        <f>IF(COUNTIFS('United Data'!$A$3:$A$3390,O$1,'United Data'!$C$3:$C$3390,$A1021)&gt;0,1,0)</f>
        <v>0</v>
      </c>
      <c r="P1021">
        <f>IF(COUNTIFS('United Data'!$A$3:$A$3390,P$1,'United Data'!$C$3:$C$3390,$A1021)&gt;0,1,0)</f>
        <v>1</v>
      </c>
      <c r="Q1021">
        <f>IF(COUNTIFS('United Data'!$A$3:$A$3390,Q$1,'United Data'!$C$3:$C$3390,$A1021)&gt;0,1,0)</f>
        <v>1</v>
      </c>
      <c r="R1021">
        <f>IF(COUNTIFS('United Data'!$A$3:$A$3390,R$1,'United Data'!$C$3:$C$3390,$A1021)&gt;0,1,0)</f>
        <v>0</v>
      </c>
      <c r="S1021">
        <f t="shared" si="30"/>
        <v>2</v>
      </c>
      <c r="T1021">
        <f t="shared" si="31"/>
        <v>1</v>
      </c>
    </row>
    <row r="1022" spans="1:20" x14ac:dyDescent="0.2">
      <c r="A1022" t="s">
        <v>1225</v>
      </c>
      <c r="B1022">
        <f>IF(COUNTIFS('United Data'!$A$3:$A$3390,B$1,'United Data'!$C$3:$C$3390,$A1022)&gt;0,1,0)</f>
        <v>0</v>
      </c>
      <c r="C1022">
        <f>IF(COUNTIFS('United Data'!$A$3:$A$3390,C$1,'United Data'!$C$3:$C$3390,$A1022)&gt;0,1,0)</f>
        <v>0</v>
      </c>
      <c r="D1022">
        <f>IF(COUNTIFS('United Data'!$A$3:$A$3390,D$1,'United Data'!$C$3:$C$3390,$A1022)&gt;0,1,0)</f>
        <v>0</v>
      </c>
      <c r="E1022">
        <f>IF(COUNTIFS('United Data'!$A$3:$A$3390,E$1,'United Data'!$C$3:$C$3390,$A1022)&gt;0,1,0)</f>
        <v>0</v>
      </c>
      <c r="F1022">
        <f>IF(COUNTIFS('United Data'!$A$3:$A$3390,F$1,'United Data'!$C$3:$C$3390,$A1022)&gt;0,1,0)</f>
        <v>0</v>
      </c>
      <c r="G1022">
        <f>IF(COUNTIFS('United Data'!$A$3:$A$3390,G$1,'United Data'!$C$3:$C$3390,$A1022)&gt;0,1,0)</f>
        <v>0</v>
      </c>
      <c r="H1022">
        <f>IF(COUNTIFS('United Data'!$A$3:$A$3390,H$1,'United Data'!$C$3:$C$3390,$A1022)&gt;0,1,0)</f>
        <v>0</v>
      </c>
      <c r="I1022">
        <f>IF(COUNTIFS('United Data'!$A$3:$A$3390,I$1,'United Data'!$C$3:$C$3390,$A1022)&gt;0,1,0)</f>
        <v>0</v>
      </c>
      <c r="J1022">
        <f>IF(COUNTIFS('United Data'!$A$3:$A$3390,J$1,'United Data'!$C$3:$C$3390,$A1022)&gt;0,1,0)</f>
        <v>0</v>
      </c>
      <c r="K1022">
        <f>IF(COUNTIFS('United Data'!$A$3:$A$3390,K$1,'United Data'!$C$3:$C$3390,$A1022)&gt;0,1,0)</f>
        <v>0</v>
      </c>
      <c r="L1022">
        <f>IF(COUNTIFS('United Data'!$A$3:$A$3390,L$1,'United Data'!$C$3:$C$3390,$A1022)&gt;0,1,0)</f>
        <v>0</v>
      </c>
      <c r="M1022">
        <f>IF(COUNTIFS('United Data'!$A$3:$A$3390,M$1,'United Data'!$C$3:$C$3390,$A1022)&gt;0,1,0)</f>
        <v>0</v>
      </c>
      <c r="N1022">
        <f>IF(COUNTIFS('United Data'!$A$3:$A$3390,N$1,'United Data'!$C$3:$C$3390,$A1022)&gt;0,1,0)</f>
        <v>0</v>
      </c>
      <c r="O1022">
        <f>IF(COUNTIFS('United Data'!$A$3:$A$3390,O$1,'United Data'!$C$3:$C$3390,$A1022)&gt;0,1,0)</f>
        <v>0</v>
      </c>
      <c r="P1022">
        <f>IF(COUNTIFS('United Data'!$A$3:$A$3390,P$1,'United Data'!$C$3:$C$3390,$A1022)&gt;0,1,0)</f>
        <v>1</v>
      </c>
      <c r="Q1022">
        <f>IF(COUNTIFS('United Data'!$A$3:$A$3390,Q$1,'United Data'!$C$3:$C$3390,$A1022)&gt;0,1,0)</f>
        <v>0</v>
      </c>
      <c r="R1022">
        <f>IF(COUNTIFS('United Data'!$A$3:$A$3390,R$1,'United Data'!$C$3:$C$3390,$A1022)&gt;0,1,0)</f>
        <v>0</v>
      </c>
      <c r="S1022">
        <f t="shared" si="30"/>
        <v>1</v>
      </c>
      <c r="T1022">
        <f t="shared" si="31"/>
        <v>1</v>
      </c>
    </row>
    <row r="1023" spans="1:20" x14ac:dyDescent="0.2">
      <c r="A1023" t="s">
        <v>1226</v>
      </c>
      <c r="B1023">
        <f>IF(COUNTIFS('United Data'!$A$3:$A$3390,B$1,'United Data'!$C$3:$C$3390,$A1023)&gt;0,1,0)</f>
        <v>0</v>
      </c>
      <c r="C1023">
        <f>IF(COUNTIFS('United Data'!$A$3:$A$3390,C$1,'United Data'!$C$3:$C$3390,$A1023)&gt;0,1,0)</f>
        <v>0</v>
      </c>
      <c r="D1023">
        <f>IF(COUNTIFS('United Data'!$A$3:$A$3390,D$1,'United Data'!$C$3:$C$3390,$A1023)&gt;0,1,0)</f>
        <v>0</v>
      </c>
      <c r="E1023">
        <f>IF(COUNTIFS('United Data'!$A$3:$A$3390,E$1,'United Data'!$C$3:$C$3390,$A1023)&gt;0,1,0)</f>
        <v>0</v>
      </c>
      <c r="F1023">
        <f>IF(COUNTIFS('United Data'!$A$3:$A$3390,F$1,'United Data'!$C$3:$C$3390,$A1023)&gt;0,1,0)</f>
        <v>0</v>
      </c>
      <c r="G1023">
        <f>IF(COUNTIFS('United Data'!$A$3:$A$3390,G$1,'United Data'!$C$3:$C$3390,$A1023)&gt;0,1,0)</f>
        <v>0</v>
      </c>
      <c r="H1023">
        <f>IF(COUNTIFS('United Data'!$A$3:$A$3390,H$1,'United Data'!$C$3:$C$3390,$A1023)&gt;0,1,0)</f>
        <v>0</v>
      </c>
      <c r="I1023">
        <f>IF(COUNTIFS('United Data'!$A$3:$A$3390,I$1,'United Data'!$C$3:$C$3390,$A1023)&gt;0,1,0)</f>
        <v>0</v>
      </c>
      <c r="J1023">
        <f>IF(COUNTIFS('United Data'!$A$3:$A$3390,J$1,'United Data'!$C$3:$C$3390,$A1023)&gt;0,1,0)</f>
        <v>0</v>
      </c>
      <c r="K1023">
        <f>IF(COUNTIFS('United Data'!$A$3:$A$3390,K$1,'United Data'!$C$3:$C$3390,$A1023)&gt;0,1,0)</f>
        <v>0</v>
      </c>
      <c r="L1023">
        <f>IF(COUNTIFS('United Data'!$A$3:$A$3390,L$1,'United Data'!$C$3:$C$3390,$A1023)&gt;0,1,0)</f>
        <v>0</v>
      </c>
      <c r="M1023">
        <f>IF(COUNTIFS('United Data'!$A$3:$A$3390,M$1,'United Data'!$C$3:$C$3390,$A1023)&gt;0,1,0)</f>
        <v>0</v>
      </c>
      <c r="N1023">
        <f>IF(COUNTIFS('United Data'!$A$3:$A$3390,N$1,'United Data'!$C$3:$C$3390,$A1023)&gt;0,1,0)</f>
        <v>0</v>
      </c>
      <c r="O1023">
        <f>IF(COUNTIFS('United Data'!$A$3:$A$3390,O$1,'United Data'!$C$3:$C$3390,$A1023)&gt;0,1,0)</f>
        <v>0</v>
      </c>
      <c r="P1023">
        <f>IF(COUNTIFS('United Data'!$A$3:$A$3390,P$1,'United Data'!$C$3:$C$3390,$A1023)&gt;0,1,0)</f>
        <v>0</v>
      </c>
      <c r="Q1023">
        <f>IF(COUNTIFS('United Data'!$A$3:$A$3390,Q$1,'United Data'!$C$3:$C$3390,$A1023)&gt;0,1,0)</f>
        <v>1</v>
      </c>
      <c r="R1023">
        <f>IF(COUNTIFS('United Data'!$A$3:$A$3390,R$1,'United Data'!$C$3:$C$3390,$A1023)&gt;0,1,0)</f>
        <v>1</v>
      </c>
      <c r="S1023">
        <f t="shared" si="30"/>
        <v>2</v>
      </c>
      <c r="T1023">
        <f t="shared" si="31"/>
        <v>1</v>
      </c>
    </row>
    <row r="1024" spans="1:20" x14ac:dyDescent="0.2">
      <c r="A1024" t="s">
        <v>1227</v>
      </c>
      <c r="B1024">
        <f>IF(COUNTIFS('United Data'!$A$3:$A$3390,B$1,'United Data'!$C$3:$C$3390,$A1024)&gt;0,1,0)</f>
        <v>0</v>
      </c>
      <c r="C1024">
        <f>IF(COUNTIFS('United Data'!$A$3:$A$3390,C$1,'United Data'!$C$3:$C$3390,$A1024)&gt;0,1,0)</f>
        <v>0</v>
      </c>
      <c r="D1024">
        <f>IF(COUNTIFS('United Data'!$A$3:$A$3390,D$1,'United Data'!$C$3:$C$3390,$A1024)&gt;0,1,0)</f>
        <v>0</v>
      </c>
      <c r="E1024">
        <f>IF(COUNTIFS('United Data'!$A$3:$A$3390,E$1,'United Data'!$C$3:$C$3390,$A1024)&gt;0,1,0)</f>
        <v>0</v>
      </c>
      <c r="F1024">
        <f>IF(COUNTIFS('United Data'!$A$3:$A$3390,F$1,'United Data'!$C$3:$C$3390,$A1024)&gt;0,1,0)</f>
        <v>0</v>
      </c>
      <c r="G1024">
        <f>IF(COUNTIFS('United Data'!$A$3:$A$3390,G$1,'United Data'!$C$3:$C$3390,$A1024)&gt;0,1,0)</f>
        <v>0</v>
      </c>
      <c r="H1024">
        <f>IF(COUNTIFS('United Data'!$A$3:$A$3390,H$1,'United Data'!$C$3:$C$3390,$A1024)&gt;0,1,0)</f>
        <v>0</v>
      </c>
      <c r="I1024">
        <f>IF(COUNTIFS('United Data'!$A$3:$A$3390,I$1,'United Data'!$C$3:$C$3390,$A1024)&gt;0,1,0)</f>
        <v>0</v>
      </c>
      <c r="J1024">
        <f>IF(COUNTIFS('United Data'!$A$3:$A$3390,J$1,'United Data'!$C$3:$C$3390,$A1024)&gt;0,1,0)</f>
        <v>0</v>
      </c>
      <c r="K1024">
        <f>IF(COUNTIFS('United Data'!$A$3:$A$3390,K$1,'United Data'!$C$3:$C$3390,$A1024)&gt;0,1,0)</f>
        <v>0</v>
      </c>
      <c r="L1024">
        <f>IF(COUNTIFS('United Data'!$A$3:$A$3390,L$1,'United Data'!$C$3:$C$3390,$A1024)&gt;0,1,0)</f>
        <v>0</v>
      </c>
      <c r="M1024">
        <f>IF(COUNTIFS('United Data'!$A$3:$A$3390,M$1,'United Data'!$C$3:$C$3390,$A1024)&gt;0,1,0)</f>
        <v>0</v>
      </c>
      <c r="N1024">
        <f>IF(COUNTIFS('United Data'!$A$3:$A$3390,N$1,'United Data'!$C$3:$C$3390,$A1024)&gt;0,1,0)</f>
        <v>0</v>
      </c>
      <c r="O1024">
        <f>IF(COUNTIFS('United Data'!$A$3:$A$3390,O$1,'United Data'!$C$3:$C$3390,$A1024)&gt;0,1,0)</f>
        <v>0</v>
      </c>
      <c r="P1024">
        <f>IF(COUNTIFS('United Data'!$A$3:$A$3390,P$1,'United Data'!$C$3:$C$3390,$A1024)&gt;0,1,0)</f>
        <v>0</v>
      </c>
      <c r="Q1024">
        <f>IF(COUNTIFS('United Data'!$A$3:$A$3390,Q$1,'United Data'!$C$3:$C$3390,$A1024)&gt;0,1,0)</f>
        <v>1</v>
      </c>
      <c r="R1024">
        <f>IF(COUNTIFS('United Data'!$A$3:$A$3390,R$1,'United Data'!$C$3:$C$3390,$A1024)&gt;0,1,0)</f>
        <v>0</v>
      </c>
      <c r="S1024">
        <f t="shared" si="30"/>
        <v>1</v>
      </c>
      <c r="T1024">
        <f t="shared" si="31"/>
        <v>1</v>
      </c>
    </row>
    <row r="1025" spans="1:20" x14ac:dyDescent="0.2">
      <c r="A1025" t="s">
        <v>1228</v>
      </c>
      <c r="B1025">
        <f>IF(COUNTIFS('United Data'!$A$3:$A$3390,B$1,'United Data'!$C$3:$C$3390,$A1025)&gt;0,1,0)</f>
        <v>0</v>
      </c>
      <c r="C1025">
        <f>IF(COUNTIFS('United Data'!$A$3:$A$3390,C$1,'United Data'!$C$3:$C$3390,$A1025)&gt;0,1,0)</f>
        <v>0</v>
      </c>
      <c r="D1025">
        <f>IF(COUNTIFS('United Data'!$A$3:$A$3390,D$1,'United Data'!$C$3:$C$3390,$A1025)&gt;0,1,0)</f>
        <v>0</v>
      </c>
      <c r="E1025">
        <f>IF(COUNTIFS('United Data'!$A$3:$A$3390,E$1,'United Data'!$C$3:$C$3390,$A1025)&gt;0,1,0)</f>
        <v>0</v>
      </c>
      <c r="F1025">
        <f>IF(COUNTIFS('United Data'!$A$3:$A$3390,F$1,'United Data'!$C$3:$C$3390,$A1025)&gt;0,1,0)</f>
        <v>0</v>
      </c>
      <c r="G1025">
        <f>IF(COUNTIFS('United Data'!$A$3:$A$3390,G$1,'United Data'!$C$3:$C$3390,$A1025)&gt;0,1,0)</f>
        <v>0</v>
      </c>
      <c r="H1025">
        <f>IF(COUNTIFS('United Data'!$A$3:$A$3390,H$1,'United Data'!$C$3:$C$3390,$A1025)&gt;0,1,0)</f>
        <v>0</v>
      </c>
      <c r="I1025">
        <f>IF(COUNTIFS('United Data'!$A$3:$A$3390,I$1,'United Data'!$C$3:$C$3390,$A1025)&gt;0,1,0)</f>
        <v>0</v>
      </c>
      <c r="J1025">
        <f>IF(COUNTIFS('United Data'!$A$3:$A$3390,J$1,'United Data'!$C$3:$C$3390,$A1025)&gt;0,1,0)</f>
        <v>0</v>
      </c>
      <c r="K1025">
        <f>IF(COUNTIFS('United Data'!$A$3:$A$3390,K$1,'United Data'!$C$3:$C$3390,$A1025)&gt;0,1,0)</f>
        <v>0</v>
      </c>
      <c r="L1025">
        <f>IF(COUNTIFS('United Data'!$A$3:$A$3390,L$1,'United Data'!$C$3:$C$3390,$A1025)&gt;0,1,0)</f>
        <v>0</v>
      </c>
      <c r="M1025">
        <f>IF(COUNTIFS('United Data'!$A$3:$A$3390,M$1,'United Data'!$C$3:$C$3390,$A1025)&gt;0,1,0)</f>
        <v>0</v>
      </c>
      <c r="N1025">
        <f>IF(COUNTIFS('United Data'!$A$3:$A$3390,N$1,'United Data'!$C$3:$C$3390,$A1025)&gt;0,1,0)</f>
        <v>0</v>
      </c>
      <c r="O1025">
        <f>IF(COUNTIFS('United Data'!$A$3:$A$3390,O$1,'United Data'!$C$3:$C$3390,$A1025)&gt;0,1,0)</f>
        <v>0</v>
      </c>
      <c r="P1025">
        <f>IF(COUNTIFS('United Data'!$A$3:$A$3390,P$1,'United Data'!$C$3:$C$3390,$A1025)&gt;0,1,0)</f>
        <v>0</v>
      </c>
      <c r="Q1025">
        <f>IF(COUNTIFS('United Data'!$A$3:$A$3390,Q$1,'United Data'!$C$3:$C$3390,$A1025)&gt;0,1,0)</f>
        <v>1</v>
      </c>
      <c r="R1025">
        <f>IF(COUNTIFS('United Data'!$A$3:$A$3390,R$1,'United Data'!$C$3:$C$3390,$A1025)&gt;0,1,0)</f>
        <v>0</v>
      </c>
      <c r="S1025">
        <f t="shared" si="30"/>
        <v>1</v>
      </c>
      <c r="T1025">
        <f t="shared" si="31"/>
        <v>1</v>
      </c>
    </row>
    <row r="1026" spans="1:20" x14ac:dyDescent="0.2">
      <c r="A1026" t="s">
        <v>1229</v>
      </c>
      <c r="B1026">
        <f>IF(COUNTIFS('United Data'!$A$3:$A$3390,B$1,'United Data'!$C$3:$C$3390,$A1026)&gt;0,1,0)</f>
        <v>0</v>
      </c>
      <c r="C1026">
        <f>IF(COUNTIFS('United Data'!$A$3:$A$3390,C$1,'United Data'!$C$3:$C$3390,$A1026)&gt;0,1,0)</f>
        <v>0</v>
      </c>
      <c r="D1026">
        <f>IF(COUNTIFS('United Data'!$A$3:$A$3390,D$1,'United Data'!$C$3:$C$3390,$A1026)&gt;0,1,0)</f>
        <v>0</v>
      </c>
      <c r="E1026">
        <f>IF(COUNTIFS('United Data'!$A$3:$A$3390,E$1,'United Data'!$C$3:$C$3390,$A1026)&gt;0,1,0)</f>
        <v>0</v>
      </c>
      <c r="F1026">
        <f>IF(COUNTIFS('United Data'!$A$3:$A$3390,F$1,'United Data'!$C$3:$C$3390,$A1026)&gt;0,1,0)</f>
        <v>0</v>
      </c>
      <c r="G1026">
        <f>IF(COUNTIFS('United Data'!$A$3:$A$3390,G$1,'United Data'!$C$3:$C$3390,$A1026)&gt;0,1,0)</f>
        <v>0</v>
      </c>
      <c r="H1026">
        <f>IF(COUNTIFS('United Data'!$A$3:$A$3390,H$1,'United Data'!$C$3:$C$3390,$A1026)&gt;0,1,0)</f>
        <v>0</v>
      </c>
      <c r="I1026">
        <f>IF(COUNTIFS('United Data'!$A$3:$A$3390,I$1,'United Data'!$C$3:$C$3390,$A1026)&gt;0,1,0)</f>
        <v>0</v>
      </c>
      <c r="J1026">
        <f>IF(COUNTIFS('United Data'!$A$3:$A$3390,J$1,'United Data'!$C$3:$C$3390,$A1026)&gt;0,1,0)</f>
        <v>0</v>
      </c>
      <c r="K1026">
        <f>IF(COUNTIFS('United Data'!$A$3:$A$3390,K$1,'United Data'!$C$3:$C$3390,$A1026)&gt;0,1,0)</f>
        <v>0</v>
      </c>
      <c r="L1026">
        <f>IF(COUNTIFS('United Data'!$A$3:$A$3390,L$1,'United Data'!$C$3:$C$3390,$A1026)&gt;0,1,0)</f>
        <v>0</v>
      </c>
      <c r="M1026">
        <f>IF(COUNTIFS('United Data'!$A$3:$A$3390,M$1,'United Data'!$C$3:$C$3390,$A1026)&gt;0,1,0)</f>
        <v>0</v>
      </c>
      <c r="N1026">
        <f>IF(COUNTIFS('United Data'!$A$3:$A$3390,N$1,'United Data'!$C$3:$C$3390,$A1026)&gt;0,1,0)</f>
        <v>0</v>
      </c>
      <c r="O1026">
        <f>IF(COUNTIFS('United Data'!$A$3:$A$3390,O$1,'United Data'!$C$3:$C$3390,$A1026)&gt;0,1,0)</f>
        <v>0</v>
      </c>
      <c r="P1026">
        <f>IF(COUNTIFS('United Data'!$A$3:$A$3390,P$1,'United Data'!$C$3:$C$3390,$A1026)&gt;0,1,0)</f>
        <v>0</v>
      </c>
      <c r="Q1026">
        <f>IF(COUNTIFS('United Data'!$A$3:$A$3390,Q$1,'United Data'!$C$3:$C$3390,$A1026)&gt;0,1,0)</f>
        <v>1</v>
      </c>
      <c r="R1026">
        <f>IF(COUNTIFS('United Data'!$A$3:$A$3390,R$1,'United Data'!$C$3:$C$3390,$A1026)&gt;0,1,0)</f>
        <v>0</v>
      </c>
      <c r="S1026">
        <f t="shared" ref="S1026:S1089" si="32">SUM(B1026:R1026)</f>
        <v>1</v>
      </c>
      <c r="T1026">
        <f t="shared" ref="T1026:T1089" si="33">B1026+SUMPRODUCT(--(C1026:R1026&gt;B1026:Q1026))</f>
        <v>1</v>
      </c>
    </row>
    <row r="1027" spans="1:20" x14ac:dyDescent="0.2">
      <c r="A1027" t="s">
        <v>1230</v>
      </c>
      <c r="B1027">
        <f>IF(COUNTIFS('United Data'!$A$3:$A$3390,B$1,'United Data'!$C$3:$C$3390,$A1027)&gt;0,1,0)</f>
        <v>0</v>
      </c>
      <c r="C1027">
        <f>IF(COUNTIFS('United Data'!$A$3:$A$3390,C$1,'United Data'!$C$3:$C$3390,$A1027)&gt;0,1,0)</f>
        <v>0</v>
      </c>
      <c r="D1027">
        <f>IF(COUNTIFS('United Data'!$A$3:$A$3390,D$1,'United Data'!$C$3:$C$3390,$A1027)&gt;0,1,0)</f>
        <v>0</v>
      </c>
      <c r="E1027">
        <f>IF(COUNTIFS('United Data'!$A$3:$A$3390,E$1,'United Data'!$C$3:$C$3390,$A1027)&gt;0,1,0)</f>
        <v>0</v>
      </c>
      <c r="F1027">
        <f>IF(COUNTIFS('United Data'!$A$3:$A$3390,F$1,'United Data'!$C$3:$C$3390,$A1027)&gt;0,1,0)</f>
        <v>0</v>
      </c>
      <c r="G1027">
        <f>IF(COUNTIFS('United Data'!$A$3:$A$3390,G$1,'United Data'!$C$3:$C$3390,$A1027)&gt;0,1,0)</f>
        <v>0</v>
      </c>
      <c r="H1027">
        <f>IF(COUNTIFS('United Data'!$A$3:$A$3390,H$1,'United Data'!$C$3:$C$3390,$A1027)&gt;0,1,0)</f>
        <v>0</v>
      </c>
      <c r="I1027">
        <f>IF(COUNTIFS('United Data'!$A$3:$A$3390,I$1,'United Data'!$C$3:$C$3390,$A1027)&gt;0,1,0)</f>
        <v>0</v>
      </c>
      <c r="J1027">
        <f>IF(COUNTIFS('United Data'!$A$3:$A$3390,J$1,'United Data'!$C$3:$C$3390,$A1027)&gt;0,1,0)</f>
        <v>0</v>
      </c>
      <c r="K1027">
        <f>IF(COUNTIFS('United Data'!$A$3:$A$3390,K$1,'United Data'!$C$3:$C$3390,$A1027)&gt;0,1,0)</f>
        <v>0</v>
      </c>
      <c r="L1027">
        <f>IF(COUNTIFS('United Data'!$A$3:$A$3390,L$1,'United Data'!$C$3:$C$3390,$A1027)&gt;0,1,0)</f>
        <v>0</v>
      </c>
      <c r="M1027">
        <f>IF(COUNTIFS('United Data'!$A$3:$A$3390,M$1,'United Data'!$C$3:$C$3390,$A1027)&gt;0,1,0)</f>
        <v>0</v>
      </c>
      <c r="N1027">
        <f>IF(COUNTIFS('United Data'!$A$3:$A$3390,N$1,'United Data'!$C$3:$C$3390,$A1027)&gt;0,1,0)</f>
        <v>0</v>
      </c>
      <c r="O1027">
        <f>IF(COUNTIFS('United Data'!$A$3:$A$3390,O$1,'United Data'!$C$3:$C$3390,$A1027)&gt;0,1,0)</f>
        <v>0</v>
      </c>
      <c r="P1027">
        <f>IF(COUNTIFS('United Data'!$A$3:$A$3390,P$1,'United Data'!$C$3:$C$3390,$A1027)&gt;0,1,0)</f>
        <v>0</v>
      </c>
      <c r="Q1027">
        <f>IF(COUNTIFS('United Data'!$A$3:$A$3390,Q$1,'United Data'!$C$3:$C$3390,$A1027)&gt;0,1,0)</f>
        <v>1</v>
      </c>
      <c r="R1027">
        <f>IF(COUNTIFS('United Data'!$A$3:$A$3390,R$1,'United Data'!$C$3:$C$3390,$A1027)&gt;0,1,0)</f>
        <v>1</v>
      </c>
      <c r="S1027">
        <f t="shared" si="32"/>
        <v>2</v>
      </c>
      <c r="T1027">
        <f t="shared" si="33"/>
        <v>1</v>
      </c>
    </row>
    <row r="1028" spans="1:20" x14ac:dyDescent="0.2">
      <c r="A1028" t="s">
        <v>1231</v>
      </c>
      <c r="B1028">
        <f>IF(COUNTIFS('United Data'!$A$3:$A$3390,B$1,'United Data'!$C$3:$C$3390,$A1028)&gt;0,1,0)</f>
        <v>0</v>
      </c>
      <c r="C1028">
        <f>IF(COUNTIFS('United Data'!$A$3:$A$3390,C$1,'United Data'!$C$3:$C$3390,$A1028)&gt;0,1,0)</f>
        <v>0</v>
      </c>
      <c r="D1028">
        <f>IF(COUNTIFS('United Data'!$A$3:$A$3390,D$1,'United Data'!$C$3:$C$3390,$A1028)&gt;0,1,0)</f>
        <v>0</v>
      </c>
      <c r="E1028">
        <f>IF(COUNTIFS('United Data'!$A$3:$A$3390,E$1,'United Data'!$C$3:$C$3390,$A1028)&gt;0,1,0)</f>
        <v>0</v>
      </c>
      <c r="F1028">
        <f>IF(COUNTIFS('United Data'!$A$3:$A$3390,F$1,'United Data'!$C$3:$C$3390,$A1028)&gt;0,1,0)</f>
        <v>0</v>
      </c>
      <c r="G1028">
        <f>IF(COUNTIFS('United Data'!$A$3:$A$3390,G$1,'United Data'!$C$3:$C$3390,$A1028)&gt;0,1,0)</f>
        <v>0</v>
      </c>
      <c r="H1028">
        <f>IF(COUNTIFS('United Data'!$A$3:$A$3390,H$1,'United Data'!$C$3:$C$3390,$A1028)&gt;0,1,0)</f>
        <v>0</v>
      </c>
      <c r="I1028">
        <f>IF(COUNTIFS('United Data'!$A$3:$A$3390,I$1,'United Data'!$C$3:$C$3390,$A1028)&gt;0,1,0)</f>
        <v>0</v>
      </c>
      <c r="J1028">
        <f>IF(COUNTIFS('United Data'!$A$3:$A$3390,J$1,'United Data'!$C$3:$C$3390,$A1028)&gt;0,1,0)</f>
        <v>0</v>
      </c>
      <c r="K1028">
        <f>IF(COUNTIFS('United Data'!$A$3:$A$3390,K$1,'United Data'!$C$3:$C$3390,$A1028)&gt;0,1,0)</f>
        <v>0</v>
      </c>
      <c r="L1028">
        <f>IF(COUNTIFS('United Data'!$A$3:$A$3390,L$1,'United Data'!$C$3:$C$3390,$A1028)&gt;0,1,0)</f>
        <v>0</v>
      </c>
      <c r="M1028">
        <f>IF(COUNTIFS('United Data'!$A$3:$A$3390,M$1,'United Data'!$C$3:$C$3390,$A1028)&gt;0,1,0)</f>
        <v>0</v>
      </c>
      <c r="N1028">
        <f>IF(COUNTIFS('United Data'!$A$3:$A$3390,N$1,'United Data'!$C$3:$C$3390,$A1028)&gt;0,1,0)</f>
        <v>0</v>
      </c>
      <c r="O1028">
        <f>IF(COUNTIFS('United Data'!$A$3:$A$3390,O$1,'United Data'!$C$3:$C$3390,$A1028)&gt;0,1,0)</f>
        <v>0</v>
      </c>
      <c r="P1028">
        <f>IF(COUNTIFS('United Data'!$A$3:$A$3390,P$1,'United Data'!$C$3:$C$3390,$A1028)&gt;0,1,0)</f>
        <v>0</v>
      </c>
      <c r="Q1028">
        <f>IF(COUNTIFS('United Data'!$A$3:$A$3390,Q$1,'United Data'!$C$3:$C$3390,$A1028)&gt;0,1,0)</f>
        <v>1</v>
      </c>
      <c r="R1028">
        <f>IF(COUNTIFS('United Data'!$A$3:$A$3390,R$1,'United Data'!$C$3:$C$3390,$A1028)&gt;0,1,0)</f>
        <v>0</v>
      </c>
      <c r="S1028">
        <f t="shared" si="32"/>
        <v>1</v>
      </c>
      <c r="T1028">
        <f t="shared" si="33"/>
        <v>1</v>
      </c>
    </row>
    <row r="1029" spans="1:20" x14ac:dyDescent="0.2">
      <c r="A1029" t="s">
        <v>1232</v>
      </c>
      <c r="B1029">
        <f>IF(COUNTIFS('United Data'!$A$3:$A$3390,B$1,'United Data'!$C$3:$C$3390,$A1029)&gt;0,1,0)</f>
        <v>0</v>
      </c>
      <c r="C1029">
        <f>IF(COUNTIFS('United Data'!$A$3:$A$3390,C$1,'United Data'!$C$3:$C$3390,$A1029)&gt;0,1,0)</f>
        <v>0</v>
      </c>
      <c r="D1029">
        <f>IF(COUNTIFS('United Data'!$A$3:$A$3390,D$1,'United Data'!$C$3:$C$3390,$A1029)&gt;0,1,0)</f>
        <v>0</v>
      </c>
      <c r="E1029">
        <f>IF(COUNTIFS('United Data'!$A$3:$A$3390,E$1,'United Data'!$C$3:$C$3390,$A1029)&gt;0,1,0)</f>
        <v>0</v>
      </c>
      <c r="F1029">
        <f>IF(COUNTIFS('United Data'!$A$3:$A$3390,F$1,'United Data'!$C$3:$C$3390,$A1029)&gt;0,1,0)</f>
        <v>0</v>
      </c>
      <c r="G1029">
        <f>IF(COUNTIFS('United Data'!$A$3:$A$3390,G$1,'United Data'!$C$3:$C$3390,$A1029)&gt;0,1,0)</f>
        <v>0</v>
      </c>
      <c r="H1029">
        <f>IF(COUNTIFS('United Data'!$A$3:$A$3390,H$1,'United Data'!$C$3:$C$3390,$A1029)&gt;0,1,0)</f>
        <v>0</v>
      </c>
      <c r="I1029">
        <f>IF(COUNTIFS('United Data'!$A$3:$A$3390,I$1,'United Data'!$C$3:$C$3390,$A1029)&gt;0,1,0)</f>
        <v>0</v>
      </c>
      <c r="J1029">
        <f>IF(COUNTIFS('United Data'!$A$3:$A$3390,J$1,'United Data'!$C$3:$C$3390,$A1029)&gt;0,1,0)</f>
        <v>0</v>
      </c>
      <c r="K1029">
        <f>IF(COUNTIFS('United Data'!$A$3:$A$3390,K$1,'United Data'!$C$3:$C$3390,$A1029)&gt;0,1,0)</f>
        <v>0</v>
      </c>
      <c r="L1029">
        <f>IF(COUNTIFS('United Data'!$A$3:$A$3390,L$1,'United Data'!$C$3:$C$3390,$A1029)&gt;0,1,0)</f>
        <v>0</v>
      </c>
      <c r="M1029">
        <f>IF(COUNTIFS('United Data'!$A$3:$A$3390,M$1,'United Data'!$C$3:$C$3390,$A1029)&gt;0,1,0)</f>
        <v>0</v>
      </c>
      <c r="N1029">
        <f>IF(COUNTIFS('United Data'!$A$3:$A$3390,N$1,'United Data'!$C$3:$C$3390,$A1029)&gt;0,1,0)</f>
        <v>0</v>
      </c>
      <c r="O1029">
        <f>IF(COUNTIFS('United Data'!$A$3:$A$3390,O$1,'United Data'!$C$3:$C$3390,$A1029)&gt;0,1,0)</f>
        <v>0</v>
      </c>
      <c r="P1029">
        <f>IF(COUNTIFS('United Data'!$A$3:$A$3390,P$1,'United Data'!$C$3:$C$3390,$A1029)&gt;0,1,0)</f>
        <v>0</v>
      </c>
      <c r="Q1029">
        <f>IF(COUNTIFS('United Data'!$A$3:$A$3390,Q$1,'United Data'!$C$3:$C$3390,$A1029)&gt;0,1,0)</f>
        <v>0</v>
      </c>
      <c r="R1029">
        <f>IF(COUNTIFS('United Data'!$A$3:$A$3390,R$1,'United Data'!$C$3:$C$3390,$A1029)&gt;0,1,0)</f>
        <v>1</v>
      </c>
      <c r="S1029">
        <f t="shared" si="32"/>
        <v>1</v>
      </c>
      <c r="T1029">
        <f t="shared" si="33"/>
        <v>1</v>
      </c>
    </row>
    <row r="1030" spans="1:20" x14ac:dyDescent="0.2">
      <c r="A1030" t="s">
        <v>1233</v>
      </c>
      <c r="B1030">
        <f>IF(COUNTIFS('United Data'!$A$3:$A$3390,B$1,'United Data'!$C$3:$C$3390,$A1030)&gt;0,1,0)</f>
        <v>1</v>
      </c>
      <c r="C1030">
        <f>IF(COUNTIFS('United Data'!$A$3:$A$3390,C$1,'United Data'!$C$3:$C$3390,$A1030)&gt;0,1,0)</f>
        <v>1</v>
      </c>
      <c r="D1030">
        <f>IF(COUNTIFS('United Data'!$A$3:$A$3390,D$1,'United Data'!$C$3:$C$3390,$A1030)&gt;0,1,0)</f>
        <v>1</v>
      </c>
      <c r="E1030">
        <f>IF(COUNTIFS('United Data'!$A$3:$A$3390,E$1,'United Data'!$C$3:$C$3390,$A1030)&gt;0,1,0)</f>
        <v>1</v>
      </c>
      <c r="F1030">
        <f>IF(COUNTIFS('United Data'!$A$3:$A$3390,F$1,'United Data'!$C$3:$C$3390,$A1030)&gt;0,1,0)</f>
        <v>1</v>
      </c>
      <c r="G1030">
        <f>IF(COUNTIFS('United Data'!$A$3:$A$3390,G$1,'United Data'!$C$3:$C$3390,$A1030)&gt;0,1,0)</f>
        <v>1</v>
      </c>
      <c r="H1030">
        <f>IF(COUNTIFS('United Data'!$A$3:$A$3390,H$1,'United Data'!$C$3:$C$3390,$A1030)&gt;0,1,0)</f>
        <v>0</v>
      </c>
      <c r="I1030">
        <f>IF(COUNTIFS('United Data'!$A$3:$A$3390,I$1,'United Data'!$C$3:$C$3390,$A1030)&gt;0,1,0)</f>
        <v>1</v>
      </c>
      <c r="J1030">
        <f>IF(COUNTIFS('United Data'!$A$3:$A$3390,J$1,'United Data'!$C$3:$C$3390,$A1030)&gt;0,1,0)</f>
        <v>0</v>
      </c>
      <c r="K1030">
        <f>IF(COUNTIFS('United Data'!$A$3:$A$3390,K$1,'United Data'!$C$3:$C$3390,$A1030)&gt;0,1,0)</f>
        <v>0</v>
      </c>
      <c r="L1030">
        <f>IF(COUNTIFS('United Data'!$A$3:$A$3390,L$1,'United Data'!$C$3:$C$3390,$A1030)&gt;0,1,0)</f>
        <v>0</v>
      </c>
      <c r="M1030">
        <f>IF(COUNTIFS('United Data'!$A$3:$A$3390,M$1,'United Data'!$C$3:$C$3390,$A1030)&gt;0,1,0)</f>
        <v>0</v>
      </c>
      <c r="N1030">
        <f>IF(COUNTIFS('United Data'!$A$3:$A$3390,N$1,'United Data'!$C$3:$C$3390,$A1030)&gt;0,1,0)</f>
        <v>0</v>
      </c>
      <c r="O1030">
        <f>IF(COUNTIFS('United Data'!$A$3:$A$3390,O$1,'United Data'!$C$3:$C$3390,$A1030)&gt;0,1,0)</f>
        <v>1</v>
      </c>
      <c r="P1030">
        <f>IF(COUNTIFS('United Data'!$A$3:$A$3390,P$1,'United Data'!$C$3:$C$3390,$A1030)&gt;0,1,0)</f>
        <v>1</v>
      </c>
      <c r="Q1030">
        <f>IF(COUNTIFS('United Data'!$A$3:$A$3390,Q$1,'United Data'!$C$3:$C$3390,$A1030)&gt;0,1,0)</f>
        <v>0</v>
      </c>
      <c r="R1030">
        <f>IF(COUNTIFS('United Data'!$A$3:$A$3390,R$1,'United Data'!$C$3:$C$3390,$A1030)&gt;0,1,0)</f>
        <v>0</v>
      </c>
      <c r="S1030">
        <f t="shared" si="32"/>
        <v>9</v>
      </c>
      <c r="T1030">
        <f t="shared" si="33"/>
        <v>3</v>
      </c>
    </row>
    <row r="1031" spans="1:20" x14ac:dyDescent="0.2">
      <c r="A1031" t="s">
        <v>1234</v>
      </c>
      <c r="B1031">
        <f>IF(COUNTIFS('United Data'!$A$3:$A$3390,B$1,'United Data'!$C$3:$C$3390,$A1031)&gt;0,1,0)</f>
        <v>1</v>
      </c>
      <c r="C1031">
        <f>IF(COUNTIFS('United Data'!$A$3:$A$3390,C$1,'United Data'!$C$3:$C$3390,$A1031)&gt;0,1,0)</f>
        <v>0</v>
      </c>
      <c r="D1031">
        <f>IF(COUNTIFS('United Data'!$A$3:$A$3390,D$1,'United Data'!$C$3:$C$3390,$A1031)&gt;0,1,0)</f>
        <v>0</v>
      </c>
      <c r="E1031">
        <f>IF(COUNTIFS('United Data'!$A$3:$A$3390,E$1,'United Data'!$C$3:$C$3390,$A1031)&gt;0,1,0)</f>
        <v>0</v>
      </c>
      <c r="F1031">
        <f>IF(COUNTIFS('United Data'!$A$3:$A$3390,F$1,'United Data'!$C$3:$C$3390,$A1031)&gt;0,1,0)</f>
        <v>0</v>
      </c>
      <c r="G1031">
        <f>IF(COUNTIFS('United Data'!$A$3:$A$3390,G$1,'United Data'!$C$3:$C$3390,$A1031)&gt;0,1,0)</f>
        <v>0</v>
      </c>
      <c r="H1031">
        <f>IF(COUNTIFS('United Data'!$A$3:$A$3390,H$1,'United Data'!$C$3:$C$3390,$A1031)&gt;0,1,0)</f>
        <v>0</v>
      </c>
      <c r="I1031">
        <f>IF(COUNTIFS('United Data'!$A$3:$A$3390,I$1,'United Data'!$C$3:$C$3390,$A1031)&gt;0,1,0)</f>
        <v>0</v>
      </c>
      <c r="J1031">
        <f>IF(COUNTIFS('United Data'!$A$3:$A$3390,J$1,'United Data'!$C$3:$C$3390,$A1031)&gt;0,1,0)</f>
        <v>0</v>
      </c>
      <c r="K1031">
        <f>IF(COUNTIFS('United Data'!$A$3:$A$3390,K$1,'United Data'!$C$3:$C$3390,$A1031)&gt;0,1,0)</f>
        <v>0</v>
      </c>
      <c r="L1031">
        <f>IF(COUNTIFS('United Data'!$A$3:$A$3390,L$1,'United Data'!$C$3:$C$3390,$A1031)&gt;0,1,0)</f>
        <v>0</v>
      </c>
      <c r="M1031">
        <f>IF(COUNTIFS('United Data'!$A$3:$A$3390,M$1,'United Data'!$C$3:$C$3390,$A1031)&gt;0,1,0)</f>
        <v>0</v>
      </c>
      <c r="N1031">
        <f>IF(COUNTIFS('United Data'!$A$3:$A$3390,N$1,'United Data'!$C$3:$C$3390,$A1031)&gt;0,1,0)</f>
        <v>0</v>
      </c>
      <c r="O1031">
        <f>IF(COUNTIFS('United Data'!$A$3:$A$3390,O$1,'United Data'!$C$3:$C$3390,$A1031)&gt;0,1,0)</f>
        <v>0</v>
      </c>
      <c r="P1031">
        <f>IF(COUNTIFS('United Data'!$A$3:$A$3390,P$1,'United Data'!$C$3:$C$3390,$A1031)&gt;0,1,0)</f>
        <v>1</v>
      </c>
      <c r="Q1031">
        <f>IF(COUNTIFS('United Data'!$A$3:$A$3390,Q$1,'United Data'!$C$3:$C$3390,$A1031)&gt;0,1,0)</f>
        <v>1</v>
      </c>
      <c r="R1031">
        <f>IF(COUNTIFS('United Data'!$A$3:$A$3390,R$1,'United Data'!$C$3:$C$3390,$A1031)&gt;0,1,0)</f>
        <v>0</v>
      </c>
      <c r="S1031">
        <f t="shared" si="32"/>
        <v>3</v>
      </c>
      <c r="T1031">
        <f t="shared" si="33"/>
        <v>2</v>
      </c>
    </row>
    <row r="1032" spans="1:20" x14ac:dyDescent="0.2">
      <c r="A1032" t="s">
        <v>1235</v>
      </c>
      <c r="B1032">
        <f>IF(COUNTIFS('United Data'!$A$3:$A$3390,B$1,'United Data'!$C$3:$C$3390,$A1032)&gt;0,1,0)</f>
        <v>1</v>
      </c>
      <c r="C1032">
        <f>IF(COUNTIFS('United Data'!$A$3:$A$3390,C$1,'United Data'!$C$3:$C$3390,$A1032)&gt;0,1,0)</f>
        <v>1</v>
      </c>
      <c r="D1032">
        <f>IF(COUNTIFS('United Data'!$A$3:$A$3390,D$1,'United Data'!$C$3:$C$3390,$A1032)&gt;0,1,0)</f>
        <v>1</v>
      </c>
      <c r="E1032">
        <f>IF(COUNTIFS('United Data'!$A$3:$A$3390,E$1,'United Data'!$C$3:$C$3390,$A1032)&gt;0,1,0)</f>
        <v>1</v>
      </c>
      <c r="F1032">
        <f>IF(COUNTIFS('United Data'!$A$3:$A$3390,F$1,'United Data'!$C$3:$C$3390,$A1032)&gt;0,1,0)</f>
        <v>0</v>
      </c>
      <c r="G1032">
        <f>IF(COUNTIFS('United Data'!$A$3:$A$3390,G$1,'United Data'!$C$3:$C$3390,$A1032)&gt;0,1,0)</f>
        <v>0</v>
      </c>
      <c r="H1032">
        <f>IF(COUNTIFS('United Data'!$A$3:$A$3390,H$1,'United Data'!$C$3:$C$3390,$A1032)&gt;0,1,0)</f>
        <v>0</v>
      </c>
      <c r="I1032">
        <f>IF(COUNTIFS('United Data'!$A$3:$A$3390,I$1,'United Data'!$C$3:$C$3390,$A1032)&gt;0,1,0)</f>
        <v>0</v>
      </c>
      <c r="J1032">
        <f>IF(COUNTIFS('United Data'!$A$3:$A$3390,J$1,'United Data'!$C$3:$C$3390,$A1032)&gt;0,1,0)</f>
        <v>0</v>
      </c>
      <c r="K1032">
        <f>IF(COUNTIFS('United Data'!$A$3:$A$3390,K$1,'United Data'!$C$3:$C$3390,$A1032)&gt;0,1,0)</f>
        <v>0</v>
      </c>
      <c r="L1032">
        <f>IF(COUNTIFS('United Data'!$A$3:$A$3390,L$1,'United Data'!$C$3:$C$3390,$A1032)&gt;0,1,0)</f>
        <v>0</v>
      </c>
      <c r="M1032">
        <f>IF(COUNTIFS('United Data'!$A$3:$A$3390,M$1,'United Data'!$C$3:$C$3390,$A1032)&gt;0,1,0)</f>
        <v>0</v>
      </c>
      <c r="N1032">
        <f>IF(COUNTIFS('United Data'!$A$3:$A$3390,N$1,'United Data'!$C$3:$C$3390,$A1032)&gt;0,1,0)</f>
        <v>0</v>
      </c>
      <c r="O1032">
        <f>IF(COUNTIFS('United Data'!$A$3:$A$3390,O$1,'United Data'!$C$3:$C$3390,$A1032)&gt;0,1,0)</f>
        <v>0</v>
      </c>
      <c r="P1032">
        <f>IF(COUNTIFS('United Data'!$A$3:$A$3390,P$1,'United Data'!$C$3:$C$3390,$A1032)&gt;0,1,0)</f>
        <v>0</v>
      </c>
      <c r="Q1032">
        <f>IF(COUNTIFS('United Data'!$A$3:$A$3390,Q$1,'United Data'!$C$3:$C$3390,$A1032)&gt;0,1,0)</f>
        <v>1</v>
      </c>
      <c r="R1032">
        <f>IF(COUNTIFS('United Data'!$A$3:$A$3390,R$1,'United Data'!$C$3:$C$3390,$A1032)&gt;0,1,0)</f>
        <v>0</v>
      </c>
      <c r="S1032">
        <f t="shared" si="32"/>
        <v>5</v>
      </c>
      <c r="T1032">
        <f t="shared" si="33"/>
        <v>2</v>
      </c>
    </row>
    <row r="1033" spans="1:20" x14ac:dyDescent="0.2">
      <c r="A1033" t="s">
        <v>1236</v>
      </c>
      <c r="B1033">
        <f>IF(COUNTIFS('United Data'!$A$3:$A$3390,B$1,'United Data'!$C$3:$C$3390,$A1033)&gt;0,1,0)</f>
        <v>1</v>
      </c>
      <c r="C1033">
        <f>IF(COUNTIFS('United Data'!$A$3:$A$3390,C$1,'United Data'!$C$3:$C$3390,$A1033)&gt;0,1,0)</f>
        <v>1</v>
      </c>
      <c r="D1033">
        <f>IF(COUNTIFS('United Data'!$A$3:$A$3390,D$1,'United Data'!$C$3:$C$3390,$A1033)&gt;0,1,0)</f>
        <v>1</v>
      </c>
      <c r="E1033">
        <f>IF(COUNTIFS('United Data'!$A$3:$A$3390,E$1,'United Data'!$C$3:$C$3390,$A1033)&gt;0,1,0)</f>
        <v>0</v>
      </c>
      <c r="F1033">
        <f>IF(COUNTIFS('United Data'!$A$3:$A$3390,F$1,'United Data'!$C$3:$C$3390,$A1033)&gt;0,1,0)</f>
        <v>1</v>
      </c>
      <c r="G1033">
        <f>IF(COUNTIFS('United Data'!$A$3:$A$3390,G$1,'United Data'!$C$3:$C$3390,$A1033)&gt;0,1,0)</f>
        <v>0</v>
      </c>
      <c r="H1033">
        <f>IF(COUNTIFS('United Data'!$A$3:$A$3390,H$1,'United Data'!$C$3:$C$3390,$A1033)&gt;0,1,0)</f>
        <v>0</v>
      </c>
      <c r="I1033">
        <f>IF(COUNTIFS('United Data'!$A$3:$A$3390,I$1,'United Data'!$C$3:$C$3390,$A1033)&gt;0,1,0)</f>
        <v>0</v>
      </c>
      <c r="J1033">
        <f>IF(COUNTIFS('United Data'!$A$3:$A$3390,J$1,'United Data'!$C$3:$C$3390,$A1033)&gt;0,1,0)</f>
        <v>0</v>
      </c>
      <c r="K1033">
        <f>IF(COUNTIFS('United Data'!$A$3:$A$3390,K$1,'United Data'!$C$3:$C$3390,$A1033)&gt;0,1,0)</f>
        <v>0</v>
      </c>
      <c r="L1033">
        <f>IF(COUNTIFS('United Data'!$A$3:$A$3390,L$1,'United Data'!$C$3:$C$3390,$A1033)&gt;0,1,0)</f>
        <v>1</v>
      </c>
      <c r="M1033">
        <f>IF(COUNTIFS('United Data'!$A$3:$A$3390,M$1,'United Data'!$C$3:$C$3390,$A1033)&gt;0,1,0)</f>
        <v>0</v>
      </c>
      <c r="N1033">
        <f>IF(COUNTIFS('United Data'!$A$3:$A$3390,N$1,'United Data'!$C$3:$C$3390,$A1033)&gt;0,1,0)</f>
        <v>0</v>
      </c>
      <c r="O1033">
        <f>IF(COUNTIFS('United Data'!$A$3:$A$3390,O$1,'United Data'!$C$3:$C$3390,$A1033)&gt;0,1,0)</f>
        <v>1</v>
      </c>
      <c r="P1033">
        <f>IF(COUNTIFS('United Data'!$A$3:$A$3390,P$1,'United Data'!$C$3:$C$3390,$A1033)&gt;0,1,0)</f>
        <v>0</v>
      </c>
      <c r="Q1033">
        <f>IF(COUNTIFS('United Data'!$A$3:$A$3390,Q$1,'United Data'!$C$3:$C$3390,$A1033)&gt;0,1,0)</f>
        <v>1</v>
      </c>
      <c r="R1033">
        <f>IF(COUNTIFS('United Data'!$A$3:$A$3390,R$1,'United Data'!$C$3:$C$3390,$A1033)&gt;0,1,0)</f>
        <v>0</v>
      </c>
      <c r="S1033">
        <f t="shared" si="32"/>
        <v>7</v>
      </c>
      <c r="T1033">
        <f t="shared" si="33"/>
        <v>5</v>
      </c>
    </row>
    <row r="1034" spans="1:20" x14ac:dyDescent="0.2">
      <c r="A1034" t="s">
        <v>1237</v>
      </c>
      <c r="B1034">
        <f>IF(COUNTIFS('United Data'!$A$3:$A$3390,B$1,'United Data'!$C$3:$C$3390,$A1034)&gt;0,1,0)</f>
        <v>1</v>
      </c>
      <c r="C1034">
        <f>IF(COUNTIFS('United Data'!$A$3:$A$3390,C$1,'United Data'!$C$3:$C$3390,$A1034)&gt;0,1,0)</f>
        <v>0</v>
      </c>
      <c r="D1034">
        <f>IF(COUNTIFS('United Data'!$A$3:$A$3390,D$1,'United Data'!$C$3:$C$3390,$A1034)&gt;0,1,0)</f>
        <v>0</v>
      </c>
      <c r="E1034">
        <f>IF(COUNTIFS('United Data'!$A$3:$A$3390,E$1,'United Data'!$C$3:$C$3390,$A1034)&gt;0,1,0)</f>
        <v>0</v>
      </c>
      <c r="F1034">
        <f>IF(COUNTIFS('United Data'!$A$3:$A$3390,F$1,'United Data'!$C$3:$C$3390,$A1034)&gt;0,1,0)</f>
        <v>0</v>
      </c>
      <c r="G1034">
        <f>IF(COUNTIFS('United Data'!$A$3:$A$3390,G$1,'United Data'!$C$3:$C$3390,$A1034)&gt;0,1,0)</f>
        <v>0</v>
      </c>
      <c r="H1034">
        <f>IF(COUNTIFS('United Data'!$A$3:$A$3390,H$1,'United Data'!$C$3:$C$3390,$A1034)&gt;0,1,0)</f>
        <v>0</v>
      </c>
      <c r="I1034">
        <f>IF(COUNTIFS('United Data'!$A$3:$A$3390,I$1,'United Data'!$C$3:$C$3390,$A1034)&gt;0,1,0)</f>
        <v>0</v>
      </c>
      <c r="J1034">
        <f>IF(COUNTIFS('United Data'!$A$3:$A$3390,J$1,'United Data'!$C$3:$C$3390,$A1034)&gt;0,1,0)</f>
        <v>0</v>
      </c>
      <c r="K1034">
        <f>IF(COUNTIFS('United Data'!$A$3:$A$3390,K$1,'United Data'!$C$3:$C$3390,$A1034)&gt;0,1,0)</f>
        <v>0</v>
      </c>
      <c r="L1034">
        <f>IF(COUNTIFS('United Data'!$A$3:$A$3390,L$1,'United Data'!$C$3:$C$3390,$A1034)&gt;0,1,0)</f>
        <v>0</v>
      </c>
      <c r="M1034">
        <f>IF(COUNTIFS('United Data'!$A$3:$A$3390,M$1,'United Data'!$C$3:$C$3390,$A1034)&gt;0,1,0)</f>
        <v>0</v>
      </c>
      <c r="N1034">
        <f>IF(COUNTIFS('United Data'!$A$3:$A$3390,N$1,'United Data'!$C$3:$C$3390,$A1034)&gt;0,1,0)</f>
        <v>0</v>
      </c>
      <c r="O1034">
        <f>IF(COUNTIFS('United Data'!$A$3:$A$3390,O$1,'United Data'!$C$3:$C$3390,$A1034)&gt;0,1,0)</f>
        <v>0</v>
      </c>
      <c r="P1034">
        <f>IF(COUNTIFS('United Data'!$A$3:$A$3390,P$1,'United Data'!$C$3:$C$3390,$A1034)&gt;0,1,0)</f>
        <v>0</v>
      </c>
      <c r="Q1034">
        <f>IF(COUNTIFS('United Data'!$A$3:$A$3390,Q$1,'United Data'!$C$3:$C$3390,$A1034)&gt;0,1,0)</f>
        <v>0</v>
      </c>
      <c r="R1034">
        <f>IF(COUNTIFS('United Data'!$A$3:$A$3390,R$1,'United Data'!$C$3:$C$3390,$A1034)&gt;0,1,0)</f>
        <v>0</v>
      </c>
      <c r="S1034">
        <f t="shared" si="32"/>
        <v>1</v>
      </c>
      <c r="T1034">
        <f t="shared" si="33"/>
        <v>1</v>
      </c>
    </row>
    <row r="1035" spans="1:20" x14ac:dyDescent="0.2">
      <c r="A1035" t="s">
        <v>1238</v>
      </c>
      <c r="B1035">
        <f>IF(COUNTIFS('United Data'!$A$3:$A$3390,B$1,'United Data'!$C$3:$C$3390,$A1035)&gt;0,1,0)</f>
        <v>1</v>
      </c>
      <c r="C1035">
        <f>IF(COUNTIFS('United Data'!$A$3:$A$3390,C$1,'United Data'!$C$3:$C$3390,$A1035)&gt;0,1,0)</f>
        <v>0</v>
      </c>
      <c r="D1035">
        <f>IF(COUNTIFS('United Data'!$A$3:$A$3390,D$1,'United Data'!$C$3:$C$3390,$A1035)&gt;0,1,0)</f>
        <v>0</v>
      </c>
      <c r="E1035">
        <f>IF(COUNTIFS('United Data'!$A$3:$A$3390,E$1,'United Data'!$C$3:$C$3390,$A1035)&gt;0,1,0)</f>
        <v>0</v>
      </c>
      <c r="F1035">
        <f>IF(COUNTIFS('United Data'!$A$3:$A$3390,F$1,'United Data'!$C$3:$C$3390,$A1035)&gt;0,1,0)</f>
        <v>0</v>
      </c>
      <c r="G1035">
        <f>IF(COUNTIFS('United Data'!$A$3:$A$3390,G$1,'United Data'!$C$3:$C$3390,$A1035)&gt;0,1,0)</f>
        <v>0</v>
      </c>
      <c r="H1035">
        <f>IF(COUNTIFS('United Data'!$A$3:$A$3390,H$1,'United Data'!$C$3:$C$3390,$A1035)&gt;0,1,0)</f>
        <v>0</v>
      </c>
      <c r="I1035">
        <f>IF(COUNTIFS('United Data'!$A$3:$A$3390,I$1,'United Data'!$C$3:$C$3390,$A1035)&gt;0,1,0)</f>
        <v>0</v>
      </c>
      <c r="J1035">
        <f>IF(COUNTIFS('United Data'!$A$3:$A$3390,J$1,'United Data'!$C$3:$C$3390,$A1035)&gt;0,1,0)</f>
        <v>0</v>
      </c>
      <c r="K1035">
        <f>IF(COUNTIFS('United Data'!$A$3:$A$3390,K$1,'United Data'!$C$3:$C$3390,$A1035)&gt;0,1,0)</f>
        <v>0</v>
      </c>
      <c r="L1035">
        <f>IF(COUNTIFS('United Data'!$A$3:$A$3390,L$1,'United Data'!$C$3:$C$3390,$A1035)&gt;0,1,0)</f>
        <v>0</v>
      </c>
      <c r="M1035">
        <f>IF(COUNTIFS('United Data'!$A$3:$A$3390,M$1,'United Data'!$C$3:$C$3390,$A1035)&gt;0,1,0)</f>
        <v>0</v>
      </c>
      <c r="N1035">
        <f>IF(COUNTIFS('United Data'!$A$3:$A$3390,N$1,'United Data'!$C$3:$C$3390,$A1035)&gt;0,1,0)</f>
        <v>0</v>
      </c>
      <c r="O1035">
        <f>IF(COUNTIFS('United Data'!$A$3:$A$3390,O$1,'United Data'!$C$3:$C$3390,$A1035)&gt;0,1,0)</f>
        <v>0</v>
      </c>
      <c r="P1035">
        <f>IF(COUNTIFS('United Data'!$A$3:$A$3390,P$1,'United Data'!$C$3:$C$3390,$A1035)&gt;0,1,0)</f>
        <v>0</v>
      </c>
      <c r="Q1035">
        <f>IF(COUNTIFS('United Data'!$A$3:$A$3390,Q$1,'United Data'!$C$3:$C$3390,$A1035)&gt;0,1,0)</f>
        <v>0</v>
      </c>
      <c r="R1035">
        <f>IF(COUNTIFS('United Data'!$A$3:$A$3390,R$1,'United Data'!$C$3:$C$3390,$A1035)&gt;0,1,0)</f>
        <v>0</v>
      </c>
      <c r="S1035">
        <f t="shared" si="32"/>
        <v>1</v>
      </c>
      <c r="T1035">
        <f t="shared" si="33"/>
        <v>1</v>
      </c>
    </row>
    <row r="1036" spans="1:20" x14ac:dyDescent="0.2">
      <c r="A1036" t="s">
        <v>1239</v>
      </c>
      <c r="B1036">
        <f>IF(COUNTIFS('United Data'!$A$3:$A$3390,B$1,'United Data'!$C$3:$C$3390,$A1036)&gt;0,1,0)</f>
        <v>1</v>
      </c>
      <c r="C1036">
        <f>IF(COUNTIFS('United Data'!$A$3:$A$3390,C$1,'United Data'!$C$3:$C$3390,$A1036)&gt;0,1,0)</f>
        <v>1</v>
      </c>
      <c r="D1036">
        <f>IF(COUNTIFS('United Data'!$A$3:$A$3390,D$1,'United Data'!$C$3:$C$3390,$A1036)&gt;0,1,0)</f>
        <v>1</v>
      </c>
      <c r="E1036">
        <f>IF(COUNTIFS('United Data'!$A$3:$A$3390,E$1,'United Data'!$C$3:$C$3390,$A1036)&gt;0,1,0)</f>
        <v>0</v>
      </c>
      <c r="F1036">
        <f>IF(COUNTIFS('United Data'!$A$3:$A$3390,F$1,'United Data'!$C$3:$C$3390,$A1036)&gt;0,1,0)</f>
        <v>0</v>
      </c>
      <c r="G1036">
        <f>IF(COUNTIFS('United Data'!$A$3:$A$3390,G$1,'United Data'!$C$3:$C$3390,$A1036)&gt;0,1,0)</f>
        <v>0</v>
      </c>
      <c r="H1036">
        <f>IF(COUNTIFS('United Data'!$A$3:$A$3390,H$1,'United Data'!$C$3:$C$3390,$A1036)&gt;0,1,0)</f>
        <v>0</v>
      </c>
      <c r="I1036">
        <f>IF(COUNTIFS('United Data'!$A$3:$A$3390,I$1,'United Data'!$C$3:$C$3390,$A1036)&gt;0,1,0)</f>
        <v>0</v>
      </c>
      <c r="J1036">
        <f>IF(COUNTIFS('United Data'!$A$3:$A$3390,J$1,'United Data'!$C$3:$C$3390,$A1036)&gt;0,1,0)</f>
        <v>0</v>
      </c>
      <c r="K1036">
        <f>IF(COUNTIFS('United Data'!$A$3:$A$3390,K$1,'United Data'!$C$3:$C$3390,$A1036)&gt;0,1,0)</f>
        <v>0</v>
      </c>
      <c r="L1036">
        <f>IF(COUNTIFS('United Data'!$A$3:$A$3390,L$1,'United Data'!$C$3:$C$3390,$A1036)&gt;0,1,0)</f>
        <v>0</v>
      </c>
      <c r="M1036">
        <f>IF(COUNTIFS('United Data'!$A$3:$A$3390,M$1,'United Data'!$C$3:$C$3390,$A1036)&gt;0,1,0)</f>
        <v>0</v>
      </c>
      <c r="N1036">
        <f>IF(COUNTIFS('United Data'!$A$3:$A$3390,N$1,'United Data'!$C$3:$C$3390,$A1036)&gt;0,1,0)</f>
        <v>0</v>
      </c>
      <c r="O1036">
        <f>IF(COUNTIFS('United Data'!$A$3:$A$3390,O$1,'United Data'!$C$3:$C$3390,$A1036)&gt;0,1,0)</f>
        <v>0</v>
      </c>
      <c r="P1036">
        <f>IF(COUNTIFS('United Data'!$A$3:$A$3390,P$1,'United Data'!$C$3:$C$3390,$A1036)&gt;0,1,0)</f>
        <v>0</v>
      </c>
      <c r="Q1036">
        <f>IF(COUNTIFS('United Data'!$A$3:$A$3390,Q$1,'United Data'!$C$3:$C$3390,$A1036)&gt;0,1,0)</f>
        <v>0</v>
      </c>
      <c r="R1036">
        <f>IF(COUNTIFS('United Data'!$A$3:$A$3390,R$1,'United Data'!$C$3:$C$3390,$A1036)&gt;0,1,0)</f>
        <v>0</v>
      </c>
      <c r="S1036">
        <f t="shared" si="32"/>
        <v>3</v>
      </c>
      <c r="T1036">
        <f t="shared" si="33"/>
        <v>1</v>
      </c>
    </row>
    <row r="1037" spans="1:20" x14ac:dyDescent="0.2">
      <c r="A1037" t="s">
        <v>1240</v>
      </c>
      <c r="B1037">
        <f>IF(COUNTIFS('United Data'!$A$3:$A$3390,B$1,'United Data'!$C$3:$C$3390,$A1037)&gt;0,1,0)</f>
        <v>1</v>
      </c>
      <c r="C1037">
        <f>IF(COUNTIFS('United Data'!$A$3:$A$3390,C$1,'United Data'!$C$3:$C$3390,$A1037)&gt;0,1,0)</f>
        <v>1</v>
      </c>
      <c r="D1037">
        <f>IF(COUNTIFS('United Data'!$A$3:$A$3390,D$1,'United Data'!$C$3:$C$3390,$A1037)&gt;0,1,0)</f>
        <v>0</v>
      </c>
      <c r="E1037">
        <f>IF(COUNTIFS('United Data'!$A$3:$A$3390,E$1,'United Data'!$C$3:$C$3390,$A1037)&gt;0,1,0)</f>
        <v>1</v>
      </c>
      <c r="F1037">
        <f>IF(COUNTIFS('United Data'!$A$3:$A$3390,F$1,'United Data'!$C$3:$C$3390,$A1037)&gt;0,1,0)</f>
        <v>1</v>
      </c>
      <c r="G1037">
        <f>IF(COUNTIFS('United Data'!$A$3:$A$3390,G$1,'United Data'!$C$3:$C$3390,$A1037)&gt;0,1,0)</f>
        <v>0</v>
      </c>
      <c r="H1037">
        <f>IF(COUNTIFS('United Data'!$A$3:$A$3390,H$1,'United Data'!$C$3:$C$3390,$A1037)&gt;0,1,0)</f>
        <v>1</v>
      </c>
      <c r="I1037">
        <f>IF(COUNTIFS('United Data'!$A$3:$A$3390,I$1,'United Data'!$C$3:$C$3390,$A1037)&gt;0,1,0)</f>
        <v>0</v>
      </c>
      <c r="J1037">
        <f>IF(COUNTIFS('United Data'!$A$3:$A$3390,J$1,'United Data'!$C$3:$C$3390,$A1037)&gt;0,1,0)</f>
        <v>0</v>
      </c>
      <c r="K1037">
        <f>IF(COUNTIFS('United Data'!$A$3:$A$3390,K$1,'United Data'!$C$3:$C$3390,$A1037)&gt;0,1,0)</f>
        <v>0</v>
      </c>
      <c r="L1037">
        <f>IF(COUNTIFS('United Data'!$A$3:$A$3390,L$1,'United Data'!$C$3:$C$3390,$A1037)&gt;0,1,0)</f>
        <v>0</v>
      </c>
      <c r="M1037">
        <f>IF(COUNTIFS('United Data'!$A$3:$A$3390,M$1,'United Data'!$C$3:$C$3390,$A1037)&gt;0,1,0)</f>
        <v>0</v>
      </c>
      <c r="N1037">
        <f>IF(COUNTIFS('United Data'!$A$3:$A$3390,N$1,'United Data'!$C$3:$C$3390,$A1037)&gt;0,1,0)</f>
        <v>0</v>
      </c>
      <c r="O1037">
        <f>IF(COUNTIFS('United Data'!$A$3:$A$3390,O$1,'United Data'!$C$3:$C$3390,$A1037)&gt;0,1,0)</f>
        <v>0</v>
      </c>
      <c r="P1037">
        <f>IF(COUNTIFS('United Data'!$A$3:$A$3390,P$1,'United Data'!$C$3:$C$3390,$A1037)&gt;0,1,0)</f>
        <v>1</v>
      </c>
      <c r="Q1037">
        <f>IF(COUNTIFS('United Data'!$A$3:$A$3390,Q$1,'United Data'!$C$3:$C$3390,$A1037)&gt;0,1,0)</f>
        <v>0</v>
      </c>
      <c r="R1037">
        <f>IF(COUNTIFS('United Data'!$A$3:$A$3390,R$1,'United Data'!$C$3:$C$3390,$A1037)&gt;0,1,0)</f>
        <v>0</v>
      </c>
      <c r="S1037">
        <f t="shared" si="32"/>
        <v>6</v>
      </c>
      <c r="T1037">
        <f t="shared" si="33"/>
        <v>4</v>
      </c>
    </row>
    <row r="1038" spans="1:20" x14ac:dyDescent="0.2">
      <c r="A1038" t="s">
        <v>1241</v>
      </c>
      <c r="B1038">
        <f>IF(COUNTIFS('United Data'!$A$3:$A$3390,B$1,'United Data'!$C$3:$C$3390,$A1038)&gt;0,1,0)</f>
        <v>1</v>
      </c>
      <c r="C1038">
        <f>IF(COUNTIFS('United Data'!$A$3:$A$3390,C$1,'United Data'!$C$3:$C$3390,$A1038)&gt;0,1,0)</f>
        <v>0</v>
      </c>
      <c r="D1038">
        <f>IF(COUNTIFS('United Data'!$A$3:$A$3390,D$1,'United Data'!$C$3:$C$3390,$A1038)&gt;0,1,0)</f>
        <v>0</v>
      </c>
      <c r="E1038">
        <f>IF(COUNTIFS('United Data'!$A$3:$A$3390,E$1,'United Data'!$C$3:$C$3390,$A1038)&gt;0,1,0)</f>
        <v>0</v>
      </c>
      <c r="F1038">
        <f>IF(COUNTIFS('United Data'!$A$3:$A$3390,F$1,'United Data'!$C$3:$C$3390,$A1038)&gt;0,1,0)</f>
        <v>0</v>
      </c>
      <c r="G1038">
        <f>IF(COUNTIFS('United Data'!$A$3:$A$3390,G$1,'United Data'!$C$3:$C$3390,$A1038)&gt;0,1,0)</f>
        <v>0</v>
      </c>
      <c r="H1038">
        <f>IF(COUNTIFS('United Data'!$A$3:$A$3390,H$1,'United Data'!$C$3:$C$3390,$A1038)&gt;0,1,0)</f>
        <v>0</v>
      </c>
      <c r="I1038">
        <f>IF(COUNTIFS('United Data'!$A$3:$A$3390,I$1,'United Data'!$C$3:$C$3390,$A1038)&gt;0,1,0)</f>
        <v>0</v>
      </c>
      <c r="J1038">
        <f>IF(COUNTIFS('United Data'!$A$3:$A$3390,J$1,'United Data'!$C$3:$C$3390,$A1038)&gt;0,1,0)</f>
        <v>0</v>
      </c>
      <c r="K1038">
        <f>IF(COUNTIFS('United Data'!$A$3:$A$3390,K$1,'United Data'!$C$3:$C$3390,$A1038)&gt;0,1,0)</f>
        <v>0</v>
      </c>
      <c r="L1038">
        <f>IF(COUNTIFS('United Data'!$A$3:$A$3390,L$1,'United Data'!$C$3:$C$3390,$A1038)&gt;0,1,0)</f>
        <v>0</v>
      </c>
      <c r="M1038">
        <f>IF(COUNTIFS('United Data'!$A$3:$A$3390,M$1,'United Data'!$C$3:$C$3390,$A1038)&gt;0,1,0)</f>
        <v>0</v>
      </c>
      <c r="N1038">
        <f>IF(COUNTIFS('United Data'!$A$3:$A$3390,N$1,'United Data'!$C$3:$C$3390,$A1038)&gt;0,1,0)</f>
        <v>0</v>
      </c>
      <c r="O1038">
        <f>IF(COUNTIFS('United Data'!$A$3:$A$3390,O$1,'United Data'!$C$3:$C$3390,$A1038)&gt;0,1,0)</f>
        <v>0</v>
      </c>
      <c r="P1038">
        <f>IF(COUNTIFS('United Data'!$A$3:$A$3390,P$1,'United Data'!$C$3:$C$3390,$A1038)&gt;0,1,0)</f>
        <v>0</v>
      </c>
      <c r="Q1038">
        <f>IF(COUNTIFS('United Data'!$A$3:$A$3390,Q$1,'United Data'!$C$3:$C$3390,$A1038)&gt;0,1,0)</f>
        <v>0</v>
      </c>
      <c r="R1038">
        <f>IF(COUNTIFS('United Data'!$A$3:$A$3390,R$1,'United Data'!$C$3:$C$3390,$A1038)&gt;0,1,0)</f>
        <v>0</v>
      </c>
      <c r="S1038">
        <f t="shared" si="32"/>
        <v>1</v>
      </c>
      <c r="T1038">
        <f t="shared" si="33"/>
        <v>1</v>
      </c>
    </row>
    <row r="1039" spans="1:20" x14ac:dyDescent="0.2">
      <c r="A1039" t="s">
        <v>1242</v>
      </c>
      <c r="B1039">
        <f>IF(COUNTIFS('United Data'!$A$3:$A$3390,B$1,'United Data'!$C$3:$C$3390,$A1039)&gt;0,1,0)</f>
        <v>1</v>
      </c>
      <c r="C1039">
        <f>IF(COUNTIFS('United Data'!$A$3:$A$3390,C$1,'United Data'!$C$3:$C$3390,$A1039)&gt;0,1,0)</f>
        <v>1</v>
      </c>
      <c r="D1039">
        <f>IF(COUNTIFS('United Data'!$A$3:$A$3390,D$1,'United Data'!$C$3:$C$3390,$A1039)&gt;0,1,0)</f>
        <v>1</v>
      </c>
      <c r="E1039">
        <f>IF(COUNTIFS('United Data'!$A$3:$A$3390,E$1,'United Data'!$C$3:$C$3390,$A1039)&gt;0,1,0)</f>
        <v>1</v>
      </c>
      <c r="F1039">
        <f>IF(COUNTIFS('United Data'!$A$3:$A$3390,F$1,'United Data'!$C$3:$C$3390,$A1039)&gt;0,1,0)</f>
        <v>1</v>
      </c>
      <c r="G1039">
        <f>IF(COUNTIFS('United Data'!$A$3:$A$3390,G$1,'United Data'!$C$3:$C$3390,$A1039)&gt;0,1,0)</f>
        <v>0</v>
      </c>
      <c r="H1039">
        <f>IF(COUNTIFS('United Data'!$A$3:$A$3390,H$1,'United Data'!$C$3:$C$3390,$A1039)&gt;0,1,0)</f>
        <v>1</v>
      </c>
      <c r="I1039">
        <f>IF(COUNTIFS('United Data'!$A$3:$A$3390,I$1,'United Data'!$C$3:$C$3390,$A1039)&gt;0,1,0)</f>
        <v>0</v>
      </c>
      <c r="J1039">
        <f>IF(COUNTIFS('United Data'!$A$3:$A$3390,J$1,'United Data'!$C$3:$C$3390,$A1039)&gt;0,1,0)</f>
        <v>0</v>
      </c>
      <c r="K1039">
        <f>IF(COUNTIFS('United Data'!$A$3:$A$3390,K$1,'United Data'!$C$3:$C$3390,$A1039)&gt;0,1,0)</f>
        <v>1</v>
      </c>
      <c r="L1039">
        <f>IF(COUNTIFS('United Data'!$A$3:$A$3390,L$1,'United Data'!$C$3:$C$3390,$A1039)&gt;0,1,0)</f>
        <v>1</v>
      </c>
      <c r="M1039">
        <f>IF(COUNTIFS('United Data'!$A$3:$A$3390,M$1,'United Data'!$C$3:$C$3390,$A1039)&gt;0,1,0)</f>
        <v>1</v>
      </c>
      <c r="N1039">
        <f>IF(COUNTIFS('United Data'!$A$3:$A$3390,N$1,'United Data'!$C$3:$C$3390,$A1039)&gt;0,1,0)</f>
        <v>1</v>
      </c>
      <c r="O1039">
        <f>IF(COUNTIFS('United Data'!$A$3:$A$3390,O$1,'United Data'!$C$3:$C$3390,$A1039)&gt;0,1,0)</f>
        <v>1</v>
      </c>
      <c r="P1039">
        <f>IF(COUNTIFS('United Data'!$A$3:$A$3390,P$1,'United Data'!$C$3:$C$3390,$A1039)&gt;0,1,0)</f>
        <v>1</v>
      </c>
      <c r="Q1039">
        <f>IF(COUNTIFS('United Data'!$A$3:$A$3390,Q$1,'United Data'!$C$3:$C$3390,$A1039)&gt;0,1,0)</f>
        <v>1</v>
      </c>
      <c r="R1039">
        <f>IF(COUNTIFS('United Data'!$A$3:$A$3390,R$1,'United Data'!$C$3:$C$3390,$A1039)&gt;0,1,0)</f>
        <v>1</v>
      </c>
      <c r="S1039">
        <f t="shared" si="32"/>
        <v>14</v>
      </c>
      <c r="T1039">
        <f t="shared" si="33"/>
        <v>3</v>
      </c>
    </row>
    <row r="1040" spans="1:20" x14ac:dyDescent="0.2">
      <c r="A1040" t="s">
        <v>1243</v>
      </c>
      <c r="B1040">
        <f>IF(COUNTIFS('United Data'!$A$3:$A$3390,B$1,'United Data'!$C$3:$C$3390,$A1040)&gt;0,1,0)</f>
        <v>1</v>
      </c>
      <c r="C1040">
        <f>IF(COUNTIFS('United Data'!$A$3:$A$3390,C$1,'United Data'!$C$3:$C$3390,$A1040)&gt;0,1,0)</f>
        <v>1</v>
      </c>
      <c r="D1040">
        <f>IF(COUNTIFS('United Data'!$A$3:$A$3390,D$1,'United Data'!$C$3:$C$3390,$A1040)&gt;0,1,0)</f>
        <v>1</v>
      </c>
      <c r="E1040">
        <f>IF(COUNTIFS('United Data'!$A$3:$A$3390,E$1,'United Data'!$C$3:$C$3390,$A1040)&gt;0,1,0)</f>
        <v>0</v>
      </c>
      <c r="F1040">
        <f>IF(COUNTIFS('United Data'!$A$3:$A$3390,F$1,'United Data'!$C$3:$C$3390,$A1040)&gt;0,1,0)</f>
        <v>0</v>
      </c>
      <c r="G1040">
        <f>IF(COUNTIFS('United Data'!$A$3:$A$3390,G$1,'United Data'!$C$3:$C$3390,$A1040)&gt;0,1,0)</f>
        <v>0</v>
      </c>
      <c r="H1040">
        <f>IF(COUNTIFS('United Data'!$A$3:$A$3390,H$1,'United Data'!$C$3:$C$3390,$A1040)&gt;0,1,0)</f>
        <v>0</v>
      </c>
      <c r="I1040">
        <f>IF(COUNTIFS('United Data'!$A$3:$A$3390,I$1,'United Data'!$C$3:$C$3390,$A1040)&gt;0,1,0)</f>
        <v>0</v>
      </c>
      <c r="J1040">
        <f>IF(COUNTIFS('United Data'!$A$3:$A$3390,J$1,'United Data'!$C$3:$C$3390,$A1040)&gt;0,1,0)</f>
        <v>0</v>
      </c>
      <c r="K1040">
        <f>IF(COUNTIFS('United Data'!$A$3:$A$3390,K$1,'United Data'!$C$3:$C$3390,$A1040)&gt;0,1,0)</f>
        <v>1</v>
      </c>
      <c r="L1040">
        <f>IF(COUNTIFS('United Data'!$A$3:$A$3390,L$1,'United Data'!$C$3:$C$3390,$A1040)&gt;0,1,0)</f>
        <v>1</v>
      </c>
      <c r="M1040">
        <f>IF(COUNTIFS('United Data'!$A$3:$A$3390,M$1,'United Data'!$C$3:$C$3390,$A1040)&gt;0,1,0)</f>
        <v>0</v>
      </c>
      <c r="N1040">
        <f>IF(COUNTIFS('United Data'!$A$3:$A$3390,N$1,'United Data'!$C$3:$C$3390,$A1040)&gt;0,1,0)</f>
        <v>0</v>
      </c>
      <c r="O1040">
        <f>IF(COUNTIFS('United Data'!$A$3:$A$3390,O$1,'United Data'!$C$3:$C$3390,$A1040)&gt;0,1,0)</f>
        <v>1</v>
      </c>
      <c r="P1040">
        <f>IF(COUNTIFS('United Data'!$A$3:$A$3390,P$1,'United Data'!$C$3:$C$3390,$A1040)&gt;0,1,0)</f>
        <v>1</v>
      </c>
      <c r="Q1040">
        <f>IF(COUNTIFS('United Data'!$A$3:$A$3390,Q$1,'United Data'!$C$3:$C$3390,$A1040)&gt;0,1,0)</f>
        <v>1</v>
      </c>
      <c r="R1040">
        <f>IF(COUNTIFS('United Data'!$A$3:$A$3390,R$1,'United Data'!$C$3:$C$3390,$A1040)&gt;0,1,0)</f>
        <v>0</v>
      </c>
      <c r="S1040">
        <f t="shared" si="32"/>
        <v>8</v>
      </c>
      <c r="T1040">
        <f t="shared" si="33"/>
        <v>3</v>
      </c>
    </row>
    <row r="1041" spans="1:20" x14ac:dyDescent="0.2">
      <c r="A1041" t="s">
        <v>1244</v>
      </c>
      <c r="B1041">
        <f>IF(COUNTIFS('United Data'!$A$3:$A$3390,B$1,'United Data'!$C$3:$C$3390,$A1041)&gt;0,1,0)</f>
        <v>1</v>
      </c>
      <c r="C1041">
        <f>IF(COUNTIFS('United Data'!$A$3:$A$3390,C$1,'United Data'!$C$3:$C$3390,$A1041)&gt;0,1,0)</f>
        <v>0</v>
      </c>
      <c r="D1041">
        <f>IF(COUNTIFS('United Data'!$A$3:$A$3390,D$1,'United Data'!$C$3:$C$3390,$A1041)&gt;0,1,0)</f>
        <v>0</v>
      </c>
      <c r="E1041">
        <f>IF(COUNTIFS('United Data'!$A$3:$A$3390,E$1,'United Data'!$C$3:$C$3390,$A1041)&gt;0,1,0)</f>
        <v>0</v>
      </c>
      <c r="F1041">
        <f>IF(COUNTIFS('United Data'!$A$3:$A$3390,F$1,'United Data'!$C$3:$C$3390,$A1041)&gt;0,1,0)</f>
        <v>0</v>
      </c>
      <c r="G1041">
        <f>IF(COUNTIFS('United Data'!$A$3:$A$3390,G$1,'United Data'!$C$3:$C$3390,$A1041)&gt;0,1,0)</f>
        <v>0</v>
      </c>
      <c r="H1041">
        <f>IF(COUNTIFS('United Data'!$A$3:$A$3390,H$1,'United Data'!$C$3:$C$3390,$A1041)&gt;0,1,0)</f>
        <v>0</v>
      </c>
      <c r="I1041">
        <f>IF(COUNTIFS('United Data'!$A$3:$A$3390,I$1,'United Data'!$C$3:$C$3390,$A1041)&gt;0,1,0)</f>
        <v>0</v>
      </c>
      <c r="J1041">
        <f>IF(COUNTIFS('United Data'!$A$3:$A$3390,J$1,'United Data'!$C$3:$C$3390,$A1041)&gt;0,1,0)</f>
        <v>0</v>
      </c>
      <c r="K1041">
        <f>IF(COUNTIFS('United Data'!$A$3:$A$3390,K$1,'United Data'!$C$3:$C$3390,$A1041)&gt;0,1,0)</f>
        <v>0</v>
      </c>
      <c r="L1041">
        <f>IF(COUNTIFS('United Data'!$A$3:$A$3390,L$1,'United Data'!$C$3:$C$3390,$A1041)&gt;0,1,0)</f>
        <v>1</v>
      </c>
      <c r="M1041">
        <f>IF(COUNTIFS('United Data'!$A$3:$A$3390,M$1,'United Data'!$C$3:$C$3390,$A1041)&gt;0,1,0)</f>
        <v>0</v>
      </c>
      <c r="N1041">
        <f>IF(COUNTIFS('United Data'!$A$3:$A$3390,N$1,'United Data'!$C$3:$C$3390,$A1041)&gt;0,1,0)</f>
        <v>1</v>
      </c>
      <c r="O1041">
        <f>IF(COUNTIFS('United Data'!$A$3:$A$3390,O$1,'United Data'!$C$3:$C$3390,$A1041)&gt;0,1,0)</f>
        <v>0</v>
      </c>
      <c r="P1041">
        <f>IF(COUNTIFS('United Data'!$A$3:$A$3390,P$1,'United Data'!$C$3:$C$3390,$A1041)&gt;0,1,0)</f>
        <v>1</v>
      </c>
      <c r="Q1041">
        <f>IF(COUNTIFS('United Data'!$A$3:$A$3390,Q$1,'United Data'!$C$3:$C$3390,$A1041)&gt;0,1,0)</f>
        <v>1</v>
      </c>
      <c r="R1041">
        <f>IF(COUNTIFS('United Data'!$A$3:$A$3390,R$1,'United Data'!$C$3:$C$3390,$A1041)&gt;0,1,0)</f>
        <v>0</v>
      </c>
      <c r="S1041">
        <f t="shared" si="32"/>
        <v>5</v>
      </c>
      <c r="T1041">
        <f t="shared" si="33"/>
        <v>4</v>
      </c>
    </row>
    <row r="1042" spans="1:20" x14ac:dyDescent="0.2">
      <c r="A1042" t="s">
        <v>1245</v>
      </c>
      <c r="B1042">
        <f>IF(COUNTIFS('United Data'!$A$3:$A$3390,B$1,'United Data'!$C$3:$C$3390,$A1042)&gt;0,1,0)</f>
        <v>1</v>
      </c>
      <c r="C1042">
        <f>IF(COUNTIFS('United Data'!$A$3:$A$3390,C$1,'United Data'!$C$3:$C$3390,$A1042)&gt;0,1,0)</f>
        <v>0</v>
      </c>
      <c r="D1042">
        <f>IF(COUNTIFS('United Data'!$A$3:$A$3390,D$1,'United Data'!$C$3:$C$3390,$A1042)&gt;0,1,0)</f>
        <v>0</v>
      </c>
      <c r="E1042">
        <f>IF(COUNTIFS('United Data'!$A$3:$A$3390,E$1,'United Data'!$C$3:$C$3390,$A1042)&gt;0,1,0)</f>
        <v>0</v>
      </c>
      <c r="F1042">
        <f>IF(COUNTIFS('United Data'!$A$3:$A$3390,F$1,'United Data'!$C$3:$C$3390,$A1042)&gt;0,1,0)</f>
        <v>0</v>
      </c>
      <c r="G1042">
        <f>IF(COUNTIFS('United Data'!$A$3:$A$3390,G$1,'United Data'!$C$3:$C$3390,$A1042)&gt;0,1,0)</f>
        <v>0</v>
      </c>
      <c r="H1042">
        <f>IF(COUNTIFS('United Data'!$A$3:$A$3390,H$1,'United Data'!$C$3:$C$3390,$A1042)&gt;0,1,0)</f>
        <v>0</v>
      </c>
      <c r="I1042">
        <f>IF(COUNTIFS('United Data'!$A$3:$A$3390,I$1,'United Data'!$C$3:$C$3390,$A1042)&gt;0,1,0)</f>
        <v>0</v>
      </c>
      <c r="J1042">
        <f>IF(COUNTIFS('United Data'!$A$3:$A$3390,J$1,'United Data'!$C$3:$C$3390,$A1042)&gt;0,1,0)</f>
        <v>0</v>
      </c>
      <c r="K1042">
        <f>IF(COUNTIFS('United Data'!$A$3:$A$3390,K$1,'United Data'!$C$3:$C$3390,$A1042)&gt;0,1,0)</f>
        <v>0</v>
      </c>
      <c r="L1042">
        <f>IF(COUNTIFS('United Data'!$A$3:$A$3390,L$1,'United Data'!$C$3:$C$3390,$A1042)&gt;0,1,0)</f>
        <v>0</v>
      </c>
      <c r="M1042">
        <f>IF(COUNTIFS('United Data'!$A$3:$A$3390,M$1,'United Data'!$C$3:$C$3390,$A1042)&gt;0,1,0)</f>
        <v>0</v>
      </c>
      <c r="N1042">
        <f>IF(COUNTIFS('United Data'!$A$3:$A$3390,N$1,'United Data'!$C$3:$C$3390,$A1042)&gt;0,1,0)</f>
        <v>0</v>
      </c>
      <c r="O1042">
        <f>IF(COUNTIFS('United Data'!$A$3:$A$3390,O$1,'United Data'!$C$3:$C$3390,$A1042)&gt;0,1,0)</f>
        <v>0</v>
      </c>
      <c r="P1042">
        <f>IF(COUNTIFS('United Data'!$A$3:$A$3390,P$1,'United Data'!$C$3:$C$3390,$A1042)&gt;0,1,0)</f>
        <v>0</v>
      </c>
      <c r="Q1042">
        <f>IF(COUNTIFS('United Data'!$A$3:$A$3390,Q$1,'United Data'!$C$3:$C$3390,$A1042)&gt;0,1,0)</f>
        <v>0</v>
      </c>
      <c r="R1042">
        <f>IF(COUNTIFS('United Data'!$A$3:$A$3390,R$1,'United Data'!$C$3:$C$3390,$A1042)&gt;0,1,0)</f>
        <v>0</v>
      </c>
      <c r="S1042">
        <f t="shared" si="32"/>
        <v>1</v>
      </c>
      <c r="T1042">
        <f t="shared" si="33"/>
        <v>1</v>
      </c>
    </row>
    <row r="1043" spans="1:20" x14ac:dyDescent="0.2">
      <c r="A1043" t="s">
        <v>1246</v>
      </c>
      <c r="B1043">
        <f>IF(COUNTIFS('United Data'!$A$3:$A$3390,B$1,'United Data'!$C$3:$C$3390,$A1043)&gt;0,1,0)</f>
        <v>1</v>
      </c>
      <c r="C1043">
        <f>IF(COUNTIFS('United Data'!$A$3:$A$3390,C$1,'United Data'!$C$3:$C$3390,$A1043)&gt;0,1,0)</f>
        <v>0</v>
      </c>
      <c r="D1043">
        <f>IF(COUNTIFS('United Data'!$A$3:$A$3390,D$1,'United Data'!$C$3:$C$3390,$A1043)&gt;0,1,0)</f>
        <v>0</v>
      </c>
      <c r="E1043">
        <f>IF(COUNTIFS('United Data'!$A$3:$A$3390,E$1,'United Data'!$C$3:$C$3390,$A1043)&gt;0,1,0)</f>
        <v>0</v>
      </c>
      <c r="F1043">
        <f>IF(COUNTIFS('United Data'!$A$3:$A$3390,F$1,'United Data'!$C$3:$C$3390,$A1043)&gt;0,1,0)</f>
        <v>0</v>
      </c>
      <c r="G1043">
        <f>IF(COUNTIFS('United Data'!$A$3:$A$3390,G$1,'United Data'!$C$3:$C$3390,$A1043)&gt;0,1,0)</f>
        <v>0</v>
      </c>
      <c r="H1043">
        <f>IF(COUNTIFS('United Data'!$A$3:$A$3390,H$1,'United Data'!$C$3:$C$3390,$A1043)&gt;0,1,0)</f>
        <v>0</v>
      </c>
      <c r="I1043">
        <f>IF(COUNTIFS('United Data'!$A$3:$A$3390,I$1,'United Data'!$C$3:$C$3390,$A1043)&gt;0,1,0)</f>
        <v>0</v>
      </c>
      <c r="J1043">
        <f>IF(COUNTIFS('United Data'!$A$3:$A$3390,J$1,'United Data'!$C$3:$C$3390,$A1043)&gt;0,1,0)</f>
        <v>0</v>
      </c>
      <c r="K1043">
        <f>IF(COUNTIFS('United Data'!$A$3:$A$3390,K$1,'United Data'!$C$3:$C$3390,$A1043)&gt;0,1,0)</f>
        <v>0</v>
      </c>
      <c r="L1043">
        <f>IF(COUNTIFS('United Data'!$A$3:$A$3390,L$1,'United Data'!$C$3:$C$3390,$A1043)&gt;0,1,0)</f>
        <v>0</v>
      </c>
      <c r="M1043">
        <f>IF(COUNTIFS('United Data'!$A$3:$A$3390,M$1,'United Data'!$C$3:$C$3390,$A1043)&gt;0,1,0)</f>
        <v>0</v>
      </c>
      <c r="N1043">
        <f>IF(COUNTIFS('United Data'!$A$3:$A$3390,N$1,'United Data'!$C$3:$C$3390,$A1043)&gt;0,1,0)</f>
        <v>0</v>
      </c>
      <c r="O1043">
        <f>IF(COUNTIFS('United Data'!$A$3:$A$3390,O$1,'United Data'!$C$3:$C$3390,$A1043)&gt;0,1,0)</f>
        <v>0</v>
      </c>
      <c r="P1043">
        <f>IF(COUNTIFS('United Data'!$A$3:$A$3390,P$1,'United Data'!$C$3:$C$3390,$A1043)&gt;0,1,0)</f>
        <v>0</v>
      </c>
      <c r="Q1043">
        <f>IF(COUNTIFS('United Data'!$A$3:$A$3390,Q$1,'United Data'!$C$3:$C$3390,$A1043)&gt;0,1,0)</f>
        <v>0</v>
      </c>
      <c r="R1043">
        <f>IF(COUNTIFS('United Data'!$A$3:$A$3390,R$1,'United Data'!$C$3:$C$3390,$A1043)&gt;0,1,0)</f>
        <v>0</v>
      </c>
      <c r="S1043">
        <f t="shared" si="32"/>
        <v>1</v>
      </c>
      <c r="T1043">
        <f t="shared" si="33"/>
        <v>1</v>
      </c>
    </row>
    <row r="1044" spans="1:20" x14ac:dyDescent="0.2">
      <c r="A1044" t="s">
        <v>1247</v>
      </c>
      <c r="B1044">
        <f>IF(COUNTIFS('United Data'!$A$3:$A$3390,B$1,'United Data'!$C$3:$C$3390,$A1044)&gt;0,1,0)</f>
        <v>1</v>
      </c>
      <c r="C1044">
        <f>IF(COUNTIFS('United Data'!$A$3:$A$3390,C$1,'United Data'!$C$3:$C$3390,$A1044)&gt;0,1,0)</f>
        <v>0</v>
      </c>
      <c r="D1044">
        <f>IF(COUNTIFS('United Data'!$A$3:$A$3390,D$1,'United Data'!$C$3:$C$3390,$A1044)&gt;0,1,0)</f>
        <v>0</v>
      </c>
      <c r="E1044">
        <f>IF(COUNTIFS('United Data'!$A$3:$A$3390,E$1,'United Data'!$C$3:$C$3390,$A1044)&gt;0,1,0)</f>
        <v>0</v>
      </c>
      <c r="F1044">
        <f>IF(COUNTIFS('United Data'!$A$3:$A$3390,F$1,'United Data'!$C$3:$C$3390,$A1044)&gt;0,1,0)</f>
        <v>0</v>
      </c>
      <c r="G1044">
        <f>IF(COUNTIFS('United Data'!$A$3:$A$3390,G$1,'United Data'!$C$3:$C$3390,$A1044)&gt;0,1,0)</f>
        <v>0</v>
      </c>
      <c r="H1044">
        <f>IF(COUNTIFS('United Data'!$A$3:$A$3390,H$1,'United Data'!$C$3:$C$3390,$A1044)&gt;0,1,0)</f>
        <v>0</v>
      </c>
      <c r="I1044">
        <f>IF(COUNTIFS('United Data'!$A$3:$A$3390,I$1,'United Data'!$C$3:$C$3390,$A1044)&gt;0,1,0)</f>
        <v>0</v>
      </c>
      <c r="J1044">
        <f>IF(COUNTIFS('United Data'!$A$3:$A$3390,J$1,'United Data'!$C$3:$C$3390,$A1044)&gt;0,1,0)</f>
        <v>0</v>
      </c>
      <c r="K1044">
        <f>IF(COUNTIFS('United Data'!$A$3:$A$3390,K$1,'United Data'!$C$3:$C$3390,$A1044)&gt;0,1,0)</f>
        <v>0</v>
      </c>
      <c r="L1044">
        <f>IF(COUNTIFS('United Data'!$A$3:$A$3390,L$1,'United Data'!$C$3:$C$3390,$A1044)&gt;0,1,0)</f>
        <v>0</v>
      </c>
      <c r="M1044">
        <f>IF(COUNTIFS('United Data'!$A$3:$A$3390,M$1,'United Data'!$C$3:$C$3390,$A1044)&gt;0,1,0)</f>
        <v>0</v>
      </c>
      <c r="N1044">
        <f>IF(COUNTIFS('United Data'!$A$3:$A$3390,N$1,'United Data'!$C$3:$C$3390,$A1044)&gt;0,1,0)</f>
        <v>0</v>
      </c>
      <c r="O1044">
        <f>IF(COUNTIFS('United Data'!$A$3:$A$3390,O$1,'United Data'!$C$3:$C$3390,$A1044)&gt;0,1,0)</f>
        <v>0</v>
      </c>
      <c r="P1044">
        <f>IF(COUNTIFS('United Data'!$A$3:$A$3390,P$1,'United Data'!$C$3:$C$3390,$A1044)&gt;0,1,0)</f>
        <v>0</v>
      </c>
      <c r="Q1044">
        <f>IF(COUNTIFS('United Data'!$A$3:$A$3390,Q$1,'United Data'!$C$3:$C$3390,$A1044)&gt;0,1,0)</f>
        <v>1</v>
      </c>
      <c r="R1044">
        <f>IF(COUNTIFS('United Data'!$A$3:$A$3390,R$1,'United Data'!$C$3:$C$3390,$A1044)&gt;0,1,0)</f>
        <v>0</v>
      </c>
      <c r="S1044">
        <f t="shared" si="32"/>
        <v>2</v>
      </c>
      <c r="T1044">
        <f t="shared" si="33"/>
        <v>2</v>
      </c>
    </row>
    <row r="1045" spans="1:20" x14ac:dyDescent="0.2">
      <c r="A1045" t="s">
        <v>1252</v>
      </c>
      <c r="B1045">
        <f>IF(COUNTIFS('United Data'!$A$3:$A$3390,B$1,'United Data'!$C$3:$C$3390,$A1045)&gt;0,1,0)</f>
        <v>0</v>
      </c>
      <c r="C1045">
        <f>IF(COUNTIFS('United Data'!$A$3:$A$3390,C$1,'United Data'!$C$3:$C$3390,$A1045)&gt;0,1,0)</f>
        <v>1</v>
      </c>
      <c r="D1045">
        <f>IF(COUNTIFS('United Data'!$A$3:$A$3390,D$1,'United Data'!$C$3:$C$3390,$A1045)&gt;0,1,0)</f>
        <v>1</v>
      </c>
      <c r="E1045">
        <f>IF(COUNTIFS('United Data'!$A$3:$A$3390,E$1,'United Data'!$C$3:$C$3390,$A1045)&gt;0,1,0)</f>
        <v>1</v>
      </c>
      <c r="F1045">
        <f>IF(COUNTIFS('United Data'!$A$3:$A$3390,F$1,'United Data'!$C$3:$C$3390,$A1045)&gt;0,1,0)</f>
        <v>0</v>
      </c>
      <c r="G1045">
        <f>IF(COUNTIFS('United Data'!$A$3:$A$3390,G$1,'United Data'!$C$3:$C$3390,$A1045)&gt;0,1,0)</f>
        <v>0</v>
      </c>
      <c r="H1045">
        <f>IF(COUNTIFS('United Data'!$A$3:$A$3390,H$1,'United Data'!$C$3:$C$3390,$A1045)&gt;0,1,0)</f>
        <v>0</v>
      </c>
      <c r="I1045">
        <f>IF(COUNTIFS('United Data'!$A$3:$A$3390,I$1,'United Data'!$C$3:$C$3390,$A1045)&gt;0,1,0)</f>
        <v>0</v>
      </c>
      <c r="J1045">
        <f>IF(COUNTIFS('United Data'!$A$3:$A$3390,J$1,'United Data'!$C$3:$C$3390,$A1045)&gt;0,1,0)</f>
        <v>0</v>
      </c>
      <c r="K1045">
        <f>IF(COUNTIFS('United Data'!$A$3:$A$3390,K$1,'United Data'!$C$3:$C$3390,$A1045)&gt;0,1,0)</f>
        <v>0</v>
      </c>
      <c r="L1045">
        <f>IF(COUNTIFS('United Data'!$A$3:$A$3390,L$1,'United Data'!$C$3:$C$3390,$A1045)&gt;0,1,0)</f>
        <v>0</v>
      </c>
      <c r="M1045">
        <f>IF(COUNTIFS('United Data'!$A$3:$A$3390,M$1,'United Data'!$C$3:$C$3390,$A1045)&gt;0,1,0)</f>
        <v>0</v>
      </c>
      <c r="N1045">
        <f>IF(COUNTIFS('United Data'!$A$3:$A$3390,N$1,'United Data'!$C$3:$C$3390,$A1045)&gt;0,1,0)</f>
        <v>0</v>
      </c>
      <c r="O1045">
        <f>IF(COUNTIFS('United Data'!$A$3:$A$3390,O$1,'United Data'!$C$3:$C$3390,$A1045)&gt;0,1,0)</f>
        <v>0</v>
      </c>
      <c r="P1045">
        <f>IF(COUNTIFS('United Data'!$A$3:$A$3390,P$1,'United Data'!$C$3:$C$3390,$A1045)&gt;0,1,0)</f>
        <v>0</v>
      </c>
      <c r="Q1045">
        <f>IF(COUNTIFS('United Data'!$A$3:$A$3390,Q$1,'United Data'!$C$3:$C$3390,$A1045)&gt;0,1,0)</f>
        <v>1</v>
      </c>
      <c r="R1045">
        <f>IF(COUNTIFS('United Data'!$A$3:$A$3390,R$1,'United Data'!$C$3:$C$3390,$A1045)&gt;0,1,0)</f>
        <v>1</v>
      </c>
      <c r="S1045">
        <f t="shared" si="32"/>
        <v>5</v>
      </c>
      <c r="T1045">
        <f t="shared" si="33"/>
        <v>2</v>
      </c>
    </row>
    <row r="1046" spans="1:20" x14ac:dyDescent="0.2">
      <c r="A1046" t="s">
        <v>1255</v>
      </c>
      <c r="B1046">
        <f>IF(COUNTIFS('United Data'!$A$3:$A$3390,B$1,'United Data'!$C$3:$C$3390,$A1046)&gt;0,1,0)</f>
        <v>0</v>
      </c>
      <c r="C1046">
        <f>IF(COUNTIFS('United Data'!$A$3:$A$3390,C$1,'United Data'!$C$3:$C$3390,$A1046)&gt;0,1,0)</f>
        <v>1</v>
      </c>
      <c r="D1046">
        <f>IF(COUNTIFS('United Data'!$A$3:$A$3390,D$1,'United Data'!$C$3:$C$3390,$A1046)&gt;0,1,0)</f>
        <v>0</v>
      </c>
      <c r="E1046">
        <f>IF(COUNTIFS('United Data'!$A$3:$A$3390,E$1,'United Data'!$C$3:$C$3390,$A1046)&gt;0,1,0)</f>
        <v>0</v>
      </c>
      <c r="F1046">
        <f>IF(COUNTIFS('United Data'!$A$3:$A$3390,F$1,'United Data'!$C$3:$C$3390,$A1046)&gt;0,1,0)</f>
        <v>0</v>
      </c>
      <c r="G1046">
        <f>IF(COUNTIFS('United Data'!$A$3:$A$3390,G$1,'United Data'!$C$3:$C$3390,$A1046)&gt;0,1,0)</f>
        <v>0</v>
      </c>
      <c r="H1046">
        <f>IF(COUNTIFS('United Data'!$A$3:$A$3390,H$1,'United Data'!$C$3:$C$3390,$A1046)&gt;0,1,0)</f>
        <v>0</v>
      </c>
      <c r="I1046">
        <f>IF(COUNTIFS('United Data'!$A$3:$A$3390,I$1,'United Data'!$C$3:$C$3390,$A1046)&gt;0,1,0)</f>
        <v>0</v>
      </c>
      <c r="J1046">
        <f>IF(COUNTIFS('United Data'!$A$3:$A$3390,J$1,'United Data'!$C$3:$C$3390,$A1046)&gt;0,1,0)</f>
        <v>0</v>
      </c>
      <c r="K1046">
        <f>IF(COUNTIFS('United Data'!$A$3:$A$3390,K$1,'United Data'!$C$3:$C$3390,$A1046)&gt;0,1,0)</f>
        <v>0</v>
      </c>
      <c r="L1046">
        <f>IF(COUNTIFS('United Data'!$A$3:$A$3390,L$1,'United Data'!$C$3:$C$3390,$A1046)&gt;0,1,0)</f>
        <v>0</v>
      </c>
      <c r="M1046">
        <f>IF(COUNTIFS('United Data'!$A$3:$A$3390,M$1,'United Data'!$C$3:$C$3390,$A1046)&gt;0,1,0)</f>
        <v>0</v>
      </c>
      <c r="N1046">
        <f>IF(COUNTIFS('United Data'!$A$3:$A$3390,N$1,'United Data'!$C$3:$C$3390,$A1046)&gt;0,1,0)</f>
        <v>0</v>
      </c>
      <c r="O1046">
        <f>IF(COUNTIFS('United Data'!$A$3:$A$3390,O$1,'United Data'!$C$3:$C$3390,$A1046)&gt;0,1,0)</f>
        <v>0</v>
      </c>
      <c r="P1046">
        <f>IF(COUNTIFS('United Data'!$A$3:$A$3390,P$1,'United Data'!$C$3:$C$3390,$A1046)&gt;0,1,0)</f>
        <v>0</v>
      </c>
      <c r="Q1046">
        <f>IF(COUNTIFS('United Data'!$A$3:$A$3390,Q$1,'United Data'!$C$3:$C$3390,$A1046)&gt;0,1,0)</f>
        <v>0</v>
      </c>
      <c r="R1046">
        <f>IF(COUNTIFS('United Data'!$A$3:$A$3390,R$1,'United Data'!$C$3:$C$3390,$A1046)&gt;0,1,0)</f>
        <v>0</v>
      </c>
      <c r="S1046">
        <f t="shared" si="32"/>
        <v>1</v>
      </c>
      <c r="T1046">
        <f t="shared" si="33"/>
        <v>1</v>
      </c>
    </row>
    <row r="1047" spans="1:20" x14ac:dyDescent="0.2">
      <c r="A1047" t="s">
        <v>1257</v>
      </c>
      <c r="B1047">
        <f>IF(COUNTIFS('United Data'!$A$3:$A$3390,B$1,'United Data'!$C$3:$C$3390,$A1047)&gt;0,1,0)</f>
        <v>0</v>
      </c>
      <c r="C1047">
        <f>IF(COUNTIFS('United Data'!$A$3:$A$3390,C$1,'United Data'!$C$3:$C$3390,$A1047)&gt;0,1,0)</f>
        <v>1</v>
      </c>
      <c r="D1047">
        <f>IF(COUNTIFS('United Data'!$A$3:$A$3390,D$1,'United Data'!$C$3:$C$3390,$A1047)&gt;0,1,0)</f>
        <v>0</v>
      </c>
      <c r="E1047">
        <f>IF(COUNTIFS('United Data'!$A$3:$A$3390,E$1,'United Data'!$C$3:$C$3390,$A1047)&gt;0,1,0)</f>
        <v>0</v>
      </c>
      <c r="F1047">
        <f>IF(COUNTIFS('United Data'!$A$3:$A$3390,F$1,'United Data'!$C$3:$C$3390,$A1047)&gt;0,1,0)</f>
        <v>0</v>
      </c>
      <c r="G1047">
        <f>IF(COUNTIFS('United Data'!$A$3:$A$3390,G$1,'United Data'!$C$3:$C$3390,$A1047)&gt;0,1,0)</f>
        <v>0</v>
      </c>
      <c r="H1047">
        <f>IF(COUNTIFS('United Data'!$A$3:$A$3390,H$1,'United Data'!$C$3:$C$3390,$A1047)&gt;0,1,0)</f>
        <v>0</v>
      </c>
      <c r="I1047">
        <f>IF(COUNTIFS('United Data'!$A$3:$A$3390,I$1,'United Data'!$C$3:$C$3390,$A1047)&gt;0,1,0)</f>
        <v>0</v>
      </c>
      <c r="J1047">
        <f>IF(COUNTIFS('United Data'!$A$3:$A$3390,J$1,'United Data'!$C$3:$C$3390,$A1047)&gt;0,1,0)</f>
        <v>0</v>
      </c>
      <c r="K1047">
        <f>IF(COUNTIFS('United Data'!$A$3:$A$3390,K$1,'United Data'!$C$3:$C$3390,$A1047)&gt;0,1,0)</f>
        <v>0</v>
      </c>
      <c r="L1047">
        <f>IF(COUNTIFS('United Data'!$A$3:$A$3390,L$1,'United Data'!$C$3:$C$3390,$A1047)&gt;0,1,0)</f>
        <v>0</v>
      </c>
      <c r="M1047">
        <f>IF(COUNTIFS('United Data'!$A$3:$A$3390,M$1,'United Data'!$C$3:$C$3390,$A1047)&gt;0,1,0)</f>
        <v>0</v>
      </c>
      <c r="N1047">
        <f>IF(COUNTIFS('United Data'!$A$3:$A$3390,N$1,'United Data'!$C$3:$C$3390,$A1047)&gt;0,1,0)</f>
        <v>0</v>
      </c>
      <c r="O1047">
        <f>IF(COUNTIFS('United Data'!$A$3:$A$3390,O$1,'United Data'!$C$3:$C$3390,$A1047)&gt;0,1,0)</f>
        <v>0</v>
      </c>
      <c r="P1047">
        <f>IF(COUNTIFS('United Data'!$A$3:$A$3390,P$1,'United Data'!$C$3:$C$3390,$A1047)&gt;0,1,0)</f>
        <v>0</v>
      </c>
      <c r="Q1047">
        <f>IF(COUNTIFS('United Data'!$A$3:$A$3390,Q$1,'United Data'!$C$3:$C$3390,$A1047)&gt;0,1,0)</f>
        <v>0</v>
      </c>
      <c r="R1047">
        <f>IF(COUNTIFS('United Data'!$A$3:$A$3390,R$1,'United Data'!$C$3:$C$3390,$A1047)&gt;0,1,0)</f>
        <v>0</v>
      </c>
      <c r="S1047">
        <f t="shared" si="32"/>
        <v>1</v>
      </c>
      <c r="T1047">
        <f t="shared" si="33"/>
        <v>1</v>
      </c>
    </row>
    <row r="1048" spans="1:20" x14ac:dyDescent="0.2">
      <c r="A1048" t="s">
        <v>1258</v>
      </c>
      <c r="B1048">
        <f>IF(COUNTIFS('United Data'!$A$3:$A$3390,B$1,'United Data'!$C$3:$C$3390,$A1048)&gt;0,1,0)</f>
        <v>0</v>
      </c>
      <c r="C1048">
        <f>IF(COUNTIFS('United Data'!$A$3:$A$3390,C$1,'United Data'!$C$3:$C$3390,$A1048)&gt;0,1,0)</f>
        <v>1</v>
      </c>
      <c r="D1048">
        <f>IF(COUNTIFS('United Data'!$A$3:$A$3390,D$1,'United Data'!$C$3:$C$3390,$A1048)&gt;0,1,0)</f>
        <v>0</v>
      </c>
      <c r="E1048">
        <f>IF(COUNTIFS('United Data'!$A$3:$A$3390,E$1,'United Data'!$C$3:$C$3390,$A1048)&gt;0,1,0)</f>
        <v>0</v>
      </c>
      <c r="F1048">
        <f>IF(COUNTIFS('United Data'!$A$3:$A$3390,F$1,'United Data'!$C$3:$C$3390,$A1048)&gt;0,1,0)</f>
        <v>0</v>
      </c>
      <c r="G1048">
        <f>IF(COUNTIFS('United Data'!$A$3:$A$3390,G$1,'United Data'!$C$3:$C$3390,$A1048)&gt;0,1,0)</f>
        <v>0</v>
      </c>
      <c r="H1048">
        <f>IF(COUNTIFS('United Data'!$A$3:$A$3390,H$1,'United Data'!$C$3:$C$3390,$A1048)&gt;0,1,0)</f>
        <v>0</v>
      </c>
      <c r="I1048">
        <f>IF(COUNTIFS('United Data'!$A$3:$A$3390,I$1,'United Data'!$C$3:$C$3390,$A1048)&gt;0,1,0)</f>
        <v>0</v>
      </c>
      <c r="J1048">
        <f>IF(COUNTIFS('United Data'!$A$3:$A$3390,J$1,'United Data'!$C$3:$C$3390,$A1048)&gt;0,1,0)</f>
        <v>0</v>
      </c>
      <c r="K1048">
        <f>IF(COUNTIFS('United Data'!$A$3:$A$3390,K$1,'United Data'!$C$3:$C$3390,$A1048)&gt;0,1,0)</f>
        <v>0</v>
      </c>
      <c r="L1048">
        <f>IF(COUNTIFS('United Data'!$A$3:$A$3390,L$1,'United Data'!$C$3:$C$3390,$A1048)&gt;0,1,0)</f>
        <v>0</v>
      </c>
      <c r="M1048">
        <f>IF(COUNTIFS('United Data'!$A$3:$A$3390,M$1,'United Data'!$C$3:$C$3390,$A1048)&gt;0,1,0)</f>
        <v>0</v>
      </c>
      <c r="N1048">
        <f>IF(COUNTIFS('United Data'!$A$3:$A$3390,N$1,'United Data'!$C$3:$C$3390,$A1048)&gt;0,1,0)</f>
        <v>0</v>
      </c>
      <c r="O1048">
        <f>IF(COUNTIFS('United Data'!$A$3:$A$3390,O$1,'United Data'!$C$3:$C$3390,$A1048)&gt;0,1,0)</f>
        <v>0</v>
      </c>
      <c r="P1048">
        <f>IF(COUNTIFS('United Data'!$A$3:$A$3390,P$1,'United Data'!$C$3:$C$3390,$A1048)&gt;0,1,0)</f>
        <v>0</v>
      </c>
      <c r="Q1048">
        <f>IF(COUNTIFS('United Data'!$A$3:$A$3390,Q$1,'United Data'!$C$3:$C$3390,$A1048)&gt;0,1,0)</f>
        <v>0</v>
      </c>
      <c r="R1048">
        <f>IF(COUNTIFS('United Data'!$A$3:$A$3390,R$1,'United Data'!$C$3:$C$3390,$A1048)&gt;0,1,0)</f>
        <v>0</v>
      </c>
      <c r="S1048">
        <f t="shared" si="32"/>
        <v>1</v>
      </c>
      <c r="T1048">
        <f t="shared" si="33"/>
        <v>1</v>
      </c>
    </row>
    <row r="1049" spans="1:20" x14ac:dyDescent="0.2">
      <c r="A1049" t="s">
        <v>1259</v>
      </c>
      <c r="B1049">
        <f>IF(COUNTIFS('United Data'!$A$3:$A$3390,B$1,'United Data'!$C$3:$C$3390,$A1049)&gt;0,1,0)</f>
        <v>0</v>
      </c>
      <c r="C1049">
        <f>IF(COUNTIFS('United Data'!$A$3:$A$3390,C$1,'United Data'!$C$3:$C$3390,$A1049)&gt;0,1,0)</f>
        <v>1</v>
      </c>
      <c r="D1049">
        <f>IF(COUNTIFS('United Data'!$A$3:$A$3390,D$1,'United Data'!$C$3:$C$3390,$A1049)&gt;0,1,0)</f>
        <v>1</v>
      </c>
      <c r="E1049">
        <f>IF(COUNTIFS('United Data'!$A$3:$A$3390,E$1,'United Data'!$C$3:$C$3390,$A1049)&gt;0,1,0)</f>
        <v>1</v>
      </c>
      <c r="F1049">
        <f>IF(COUNTIFS('United Data'!$A$3:$A$3390,F$1,'United Data'!$C$3:$C$3390,$A1049)&gt;0,1,0)</f>
        <v>0</v>
      </c>
      <c r="G1049">
        <f>IF(COUNTIFS('United Data'!$A$3:$A$3390,G$1,'United Data'!$C$3:$C$3390,$A1049)&gt;0,1,0)</f>
        <v>0</v>
      </c>
      <c r="H1049">
        <f>IF(COUNTIFS('United Data'!$A$3:$A$3390,H$1,'United Data'!$C$3:$C$3390,$A1049)&gt;0,1,0)</f>
        <v>0</v>
      </c>
      <c r="I1049">
        <f>IF(COUNTIFS('United Data'!$A$3:$A$3390,I$1,'United Data'!$C$3:$C$3390,$A1049)&gt;0,1,0)</f>
        <v>0</v>
      </c>
      <c r="J1049">
        <f>IF(COUNTIFS('United Data'!$A$3:$A$3390,J$1,'United Data'!$C$3:$C$3390,$A1049)&gt;0,1,0)</f>
        <v>1</v>
      </c>
      <c r="K1049">
        <f>IF(COUNTIFS('United Data'!$A$3:$A$3390,K$1,'United Data'!$C$3:$C$3390,$A1049)&gt;0,1,0)</f>
        <v>0</v>
      </c>
      <c r="L1049">
        <f>IF(COUNTIFS('United Data'!$A$3:$A$3390,L$1,'United Data'!$C$3:$C$3390,$A1049)&gt;0,1,0)</f>
        <v>1</v>
      </c>
      <c r="M1049">
        <f>IF(COUNTIFS('United Data'!$A$3:$A$3390,M$1,'United Data'!$C$3:$C$3390,$A1049)&gt;0,1,0)</f>
        <v>0</v>
      </c>
      <c r="N1049">
        <f>IF(COUNTIFS('United Data'!$A$3:$A$3390,N$1,'United Data'!$C$3:$C$3390,$A1049)&gt;0,1,0)</f>
        <v>1</v>
      </c>
      <c r="O1049">
        <f>IF(COUNTIFS('United Data'!$A$3:$A$3390,O$1,'United Data'!$C$3:$C$3390,$A1049)&gt;0,1,0)</f>
        <v>1</v>
      </c>
      <c r="P1049">
        <f>IF(COUNTIFS('United Data'!$A$3:$A$3390,P$1,'United Data'!$C$3:$C$3390,$A1049)&gt;0,1,0)</f>
        <v>1</v>
      </c>
      <c r="Q1049">
        <f>IF(COUNTIFS('United Data'!$A$3:$A$3390,Q$1,'United Data'!$C$3:$C$3390,$A1049)&gt;0,1,0)</f>
        <v>1</v>
      </c>
      <c r="R1049">
        <f>IF(COUNTIFS('United Data'!$A$3:$A$3390,R$1,'United Data'!$C$3:$C$3390,$A1049)&gt;0,1,0)</f>
        <v>1</v>
      </c>
      <c r="S1049">
        <f t="shared" si="32"/>
        <v>10</v>
      </c>
      <c r="T1049">
        <f t="shared" si="33"/>
        <v>4</v>
      </c>
    </row>
    <row r="1050" spans="1:20" x14ac:dyDescent="0.2">
      <c r="A1050" t="s">
        <v>1260</v>
      </c>
      <c r="B1050">
        <f>IF(COUNTIFS('United Data'!$A$3:$A$3390,B$1,'United Data'!$C$3:$C$3390,$A1050)&gt;0,1,0)</f>
        <v>0</v>
      </c>
      <c r="C1050">
        <f>IF(COUNTIFS('United Data'!$A$3:$A$3390,C$1,'United Data'!$C$3:$C$3390,$A1050)&gt;0,1,0)</f>
        <v>0</v>
      </c>
      <c r="D1050">
        <f>IF(COUNTIFS('United Data'!$A$3:$A$3390,D$1,'United Data'!$C$3:$C$3390,$A1050)&gt;0,1,0)</f>
        <v>1</v>
      </c>
      <c r="E1050">
        <f>IF(COUNTIFS('United Data'!$A$3:$A$3390,E$1,'United Data'!$C$3:$C$3390,$A1050)&gt;0,1,0)</f>
        <v>0</v>
      </c>
      <c r="F1050">
        <f>IF(COUNTIFS('United Data'!$A$3:$A$3390,F$1,'United Data'!$C$3:$C$3390,$A1050)&gt;0,1,0)</f>
        <v>0</v>
      </c>
      <c r="G1050">
        <f>IF(COUNTIFS('United Data'!$A$3:$A$3390,G$1,'United Data'!$C$3:$C$3390,$A1050)&gt;0,1,0)</f>
        <v>0</v>
      </c>
      <c r="H1050">
        <f>IF(COUNTIFS('United Data'!$A$3:$A$3390,H$1,'United Data'!$C$3:$C$3390,$A1050)&gt;0,1,0)</f>
        <v>0</v>
      </c>
      <c r="I1050">
        <f>IF(COUNTIFS('United Data'!$A$3:$A$3390,I$1,'United Data'!$C$3:$C$3390,$A1050)&gt;0,1,0)</f>
        <v>0</v>
      </c>
      <c r="J1050">
        <f>IF(COUNTIFS('United Data'!$A$3:$A$3390,J$1,'United Data'!$C$3:$C$3390,$A1050)&gt;0,1,0)</f>
        <v>0</v>
      </c>
      <c r="K1050">
        <f>IF(COUNTIFS('United Data'!$A$3:$A$3390,K$1,'United Data'!$C$3:$C$3390,$A1050)&gt;0,1,0)</f>
        <v>0</v>
      </c>
      <c r="L1050">
        <f>IF(COUNTIFS('United Data'!$A$3:$A$3390,L$1,'United Data'!$C$3:$C$3390,$A1050)&gt;0,1,0)</f>
        <v>0</v>
      </c>
      <c r="M1050">
        <f>IF(COUNTIFS('United Data'!$A$3:$A$3390,M$1,'United Data'!$C$3:$C$3390,$A1050)&gt;0,1,0)</f>
        <v>0</v>
      </c>
      <c r="N1050">
        <f>IF(COUNTIFS('United Data'!$A$3:$A$3390,N$1,'United Data'!$C$3:$C$3390,$A1050)&gt;0,1,0)</f>
        <v>0</v>
      </c>
      <c r="O1050">
        <f>IF(COUNTIFS('United Data'!$A$3:$A$3390,O$1,'United Data'!$C$3:$C$3390,$A1050)&gt;0,1,0)</f>
        <v>0</v>
      </c>
      <c r="P1050">
        <f>IF(COUNTIFS('United Data'!$A$3:$A$3390,P$1,'United Data'!$C$3:$C$3390,$A1050)&gt;0,1,0)</f>
        <v>0</v>
      </c>
      <c r="Q1050">
        <f>IF(COUNTIFS('United Data'!$A$3:$A$3390,Q$1,'United Data'!$C$3:$C$3390,$A1050)&gt;0,1,0)</f>
        <v>0</v>
      </c>
      <c r="R1050">
        <f>IF(COUNTIFS('United Data'!$A$3:$A$3390,R$1,'United Data'!$C$3:$C$3390,$A1050)&gt;0,1,0)</f>
        <v>0</v>
      </c>
      <c r="S1050">
        <f t="shared" si="32"/>
        <v>1</v>
      </c>
      <c r="T1050">
        <f t="shared" si="33"/>
        <v>1</v>
      </c>
    </row>
    <row r="1051" spans="1:20" x14ac:dyDescent="0.2">
      <c r="A1051" t="s">
        <v>1261</v>
      </c>
      <c r="B1051">
        <f>IF(COUNTIFS('United Data'!$A$3:$A$3390,B$1,'United Data'!$C$3:$C$3390,$A1051)&gt;0,1,0)</f>
        <v>0</v>
      </c>
      <c r="C1051">
        <f>IF(COUNTIFS('United Data'!$A$3:$A$3390,C$1,'United Data'!$C$3:$C$3390,$A1051)&gt;0,1,0)</f>
        <v>0</v>
      </c>
      <c r="D1051">
        <f>IF(COUNTIFS('United Data'!$A$3:$A$3390,D$1,'United Data'!$C$3:$C$3390,$A1051)&gt;0,1,0)</f>
        <v>1</v>
      </c>
      <c r="E1051">
        <f>IF(COUNTIFS('United Data'!$A$3:$A$3390,E$1,'United Data'!$C$3:$C$3390,$A1051)&gt;0,1,0)</f>
        <v>0</v>
      </c>
      <c r="F1051">
        <f>IF(COUNTIFS('United Data'!$A$3:$A$3390,F$1,'United Data'!$C$3:$C$3390,$A1051)&gt;0,1,0)</f>
        <v>0</v>
      </c>
      <c r="G1051">
        <f>IF(COUNTIFS('United Data'!$A$3:$A$3390,G$1,'United Data'!$C$3:$C$3390,$A1051)&gt;0,1,0)</f>
        <v>0</v>
      </c>
      <c r="H1051">
        <f>IF(COUNTIFS('United Data'!$A$3:$A$3390,H$1,'United Data'!$C$3:$C$3390,$A1051)&gt;0,1,0)</f>
        <v>0</v>
      </c>
      <c r="I1051">
        <f>IF(COUNTIFS('United Data'!$A$3:$A$3390,I$1,'United Data'!$C$3:$C$3390,$A1051)&gt;0,1,0)</f>
        <v>0</v>
      </c>
      <c r="J1051">
        <f>IF(COUNTIFS('United Data'!$A$3:$A$3390,J$1,'United Data'!$C$3:$C$3390,$A1051)&gt;0,1,0)</f>
        <v>0</v>
      </c>
      <c r="K1051">
        <f>IF(COUNTIFS('United Data'!$A$3:$A$3390,K$1,'United Data'!$C$3:$C$3390,$A1051)&gt;0,1,0)</f>
        <v>0</v>
      </c>
      <c r="L1051">
        <f>IF(COUNTIFS('United Data'!$A$3:$A$3390,L$1,'United Data'!$C$3:$C$3390,$A1051)&gt;0,1,0)</f>
        <v>0</v>
      </c>
      <c r="M1051">
        <f>IF(COUNTIFS('United Data'!$A$3:$A$3390,M$1,'United Data'!$C$3:$C$3390,$A1051)&gt;0,1,0)</f>
        <v>0</v>
      </c>
      <c r="N1051">
        <f>IF(COUNTIFS('United Data'!$A$3:$A$3390,N$1,'United Data'!$C$3:$C$3390,$A1051)&gt;0,1,0)</f>
        <v>0</v>
      </c>
      <c r="O1051">
        <f>IF(COUNTIFS('United Data'!$A$3:$A$3390,O$1,'United Data'!$C$3:$C$3390,$A1051)&gt;0,1,0)</f>
        <v>0</v>
      </c>
      <c r="P1051">
        <f>IF(COUNTIFS('United Data'!$A$3:$A$3390,P$1,'United Data'!$C$3:$C$3390,$A1051)&gt;0,1,0)</f>
        <v>0</v>
      </c>
      <c r="Q1051">
        <f>IF(COUNTIFS('United Data'!$A$3:$A$3390,Q$1,'United Data'!$C$3:$C$3390,$A1051)&gt;0,1,0)</f>
        <v>0</v>
      </c>
      <c r="R1051">
        <f>IF(COUNTIFS('United Data'!$A$3:$A$3390,R$1,'United Data'!$C$3:$C$3390,$A1051)&gt;0,1,0)</f>
        <v>0</v>
      </c>
      <c r="S1051">
        <f t="shared" si="32"/>
        <v>1</v>
      </c>
      <c r="T1051">
        <f t="shared" si="33"/>
        <v>1</v>
      </c>
    </row>
    <row r="1052" spans="1:20" x14ac:dyDescent="0.2">
      <c r="A1052" t="s">
        <v>1262</v>
      </c>
      <c r="B1052">
        <f>IF(COUNTIFS('United Data'!$A$3:$A$3390,B$1,'United Data'!$C$3:$C$3390,$A1052)&gt;0,1,0)</f>
        <v>0</v>
      </c>
      <c r="C1052">
        <f>IF(COUNTIFS('United Data'!$A$3:$A$3390,C$1,'United Data'!$C$3:$C$3390,$A1052)&gt;0,1,0)</f>
        <v>0</v>
      </c>
      <c r="D1052">
        <f>IF(COUNTIFS('United Data'!$A$3:$A$3390,D$1,'United Data'!$C$3:$C$3390,$A1052)&gt;0,1,0)</f>
        <v>1</v>
      </c>
      <c r="E1052">
        <f>IF(COUNTIFS('United Data'!$A$3:$A$3390,E$1,'United Data'!$C$3:$C$3390,$A1052)&gt;0,1,0)</f>
        <v>0</v>
      </c>
      <c r="F1052">
        <f>IF(COUNTIFS('United Data'!$A$3:$A$3390,F$1,'United Data'!$C$3:$C$3390,$A1052)&gt;0,1,0)</f>
        <v>0</v>
      </c>
      <c r="G1052">
        <f>IF(COUNTIFS('United Data'!$A$3:$A$3390,G$1,'United Data'!$C$3:$C$3390,$A1052)&gt;0,1,0)</f>
        <v>0</v>
      </c>
      <c r="H1052">
        <f>IF(COUNTIFS('United Data'!$A$3:$A$3390,H$1,'United Data'!$C$3:$C$3390,$A1052)&gt;0,1,0)</f>
        <v>0</v>
      </c>
      <c r="I1052">
        <f>IF(COUNTIFS('United Data'!$A$3:$A$3390,I$1,'United Data'!$C$3:$C$3390,$A1052)&gt;0,1,0)</f>
        <v>0</v>
      </c>
      <c r="J1052">
        <f>IF(COUNTIFS('United Data'!$A$3:$A$3390,J$1,'United Data'!$C$3:$C$3390,$A1052)&gt;0,1,0)</f>
        <v>0</v>
      </c>
      <c r="K1052">
        <f>IF(COUNTIFS('United Data'!$A$3:$A$3390,K$1,'United Data'!$C$3:$C$3390,$A1052)&gt;0,1,0)</f>
        <v>0</v>
      </c>
      <c r="L1052">
        <f>IF(COUNTIFS('United Data'!$A$3:$A$3390,L$1,'United Data'!$C$3:$C$3390,$A1052)&gt;0,1,0)</f>
        <v>0</v>
      </c>
      <c r="M1052">
        <f>IF(COUNTIFS('United Data'!$A$3:$A$3390,M$1,'United Data'!$C$3:$C$3390,$A1052)&gt;0,1,0)</f>
        <v>0</v>
      </c>
      <c r="N1052">
        <f>IF(COUNTIFS('United Data'!$A$3:$A$3390,N$1,'United Data'!$C$3:$C$3390,$A1052)&gt;0,1,0)</f>
        <v>0</v>
      </c>
      <c r="O1052">
        <f>IF(COUNTIFS('United Data'!$A$3:$A$3390,O$1,'United Data'!$C$3:$C$3390,$A1052)&gt;0,1,0)</f>
        <v>0</v>
      </c>
      <c r="P1052">
        <f>IF(COUNTIFS('United Data'!$A$3:$A$3390,P$1,'United Data'!$C$3:$C$3390,$A1052)&gt;0,1,0)</f>
        <v>0</v>
      </c>
      <c r="Q1052">
        <f>IF(COUNTIFS('United Data'!$A$3:$A$3390,Q$1,'United Data'!$C$3:$C$3390,$A1052)&gt;0,1,0)</f>
        <v>0</v>
      </c>
      <c r="R1052">
        <f>IF(COUNTIFS('United Data'!$A$3:$A$3390,R$1,'United Data'!$C$3:$C$3390,$A1052)&gt;0,1,0)</f>
        <v>0</v>
      </c>
      <c r="S1052">
        <f t="shared" si="32"/>
        <v>1</v>
      </c>
      <c r="T1052">
        <f t="shared" si="33"/>
        <v>1</v>
      </c>
    </row>
    <row r="1053" spans="1:20" x14ac:dyDescent="0.2">
      <c r="A1053" t="s">
        <v>1263</v>
      </c>
      <c r="B1053">
        <f>IF(COUNTIFS('United Data'!$A$3:$A$3390,B$1,'United Data'!$C$3:$C$3390,$A1053)&gt;0,1,0)</f>
        <v>0</v>
      </c>
      <c r="C1053">
        <f>IF(COUNTIFS('United Data'!$A$3:$A$3390,C$1,'United Data'!$C$3:$C$3390,$A1053)&gt;0,1,0)</f>
        <v>0</v>
      </c>
      <c r="D1053">
        <f>IF(COUNTIFS('United Data'!$A$3:$A$3390,D$1,'United Data'!$C$3:$C$3390,$A1053)&gt;0,1,0)</f>
        <v>1</v>
      </c>
      <c r="E1053">
        <f>IF(COUNTIFS('United Data'!$A$3:$A$3390,E$1,'United Data'!$C$3:$C$3390,$A1053)&gt;0,1,0)</f>
        <v>0</v>
      </c>
      <c r="F1053">
        <f>IF(COUNTIFS('United Data'!$A$3:$A$3390,F$1,'United Data'!$C$3:$C$3390,$A1053)&gt;0,1,0)</f>
        <v>0</v>
      </c>
      <c r="G1053">
        <f>IF(COUNTIFS('United Data'!$A$3:$A$3390,G$1,'United Data'!$C$3:$C$3390,$A1053)&gt;0,1,0)</f>
        <v>0</v>
      </c>
      <c r="H1053">
        <f>IF(COUNTIFS('United Data'!$A$3:$A$3390,H$1,'United Data'!$C$3:$C$3390,$A1053)&gt;0,1,0)</f>
        <v>0</v>
      </c>
      <c r="I1053">
        <f>IF(COUNTIFS('United Data'!$A$3:$A$3390,I$1,'United Data'!$C$3:$C$3390,$A1053)&gt;0,1,0)</f>
        <v>0</v>
      </c>
      <c r="J1053">
        <f>IF(COUNTIFS('United Data'!$A$3:$A$3390,J$1,'United Data'!$C$3:$C$3390,$A1053)&gt;0,1,0)</f>
        <v>0</v>
      </c>
      <c r="K1053">
        <f>IF(COUNTIFS('United Data'!$A$3:$A$3390,K$1,'United Data'!$C$3:$C$3390,$A1053)&gt;0,1,0)</f>
        <v>0</v>
      </c>
      <c r="L1053">
        <f>IF(COUNTIFS('United Data'!$A$3:$A$3390,L$1,'United Data'!$C$3:$C$3390,$A1053)&gt;0,1,0)</f>
        <v>0</v>
      </c>
      <c r="M1053">
        <f>IF(COUNTIFS('United Data'!$A$3:$A$3390,M$1,'United Data'!$C$3:$C$3390,$A1053)&gt;0,1,0)</f>
        <v>0</v>
      </c>
      <c r="N1053">
        <f>IF(COUNTIFS('United Data'!$A$3:$A$3390,N$1,'United Data'!$C$3:$C$3390,$A1053)&gt;0,1,0)</f>
        <v>0</v>
      </c>
      <c r="O1053">
        <f>IF(COUNTIFS('United Data'!$A$3:$A$3390,O$1,'United Data'!$C$3:$C$3390,$A1053)&gt;0,1,0)</f>
        <v>0</v>
      </c>
      <c r="P1053">
        <f>IF(COUNTIFS('United Data'!$A$3:$A$3390,P$1,'United Data'!$C$3:$C$3390,$A1053)&gt;0,1,0)</f>
        <v>0</v>
      </c>
      <c r="Q1053">
        <f>IF(COUNTIFS('United Data'!$A$3:$A$3390,Q$1,'United Data'!$C$3:$C$3390,$A1053)&gt;0,1,0)</f>
        <v>0</v>
      </c>
      <c r="R1053">
        <f>IF(COUNTIFS('United Data'!$A$3:$A$3390,R$1,'United Data'!$C$3:$C$3390,$A1053)&gt;0,1,0)</f>
        <v>0</v>
      </c>
      <c r="S1053">
        <f t="shared" si="32"/>
        <v>1</v>
      </c>
      <c r="T1053">
        <f t="shared" si="33"/>
        <v>1</v>
      </c>
    </row>
    <row r="1054" spans="1:20" x14ac:dyDescent="0.2">
      <c r="A1054" t="s">
        <v>1264</v>
      </c>
      <c r="B1054">
        <f>IF(COUNTIFS('United Data'!$A$3:$A$3390,B$1,'United Data'!$C$3:$C$3390,$A1054)&gt;0,1,0)</f>
        <v>0</v>
      </c>
      <c r="C1054">
        <f>IF(COUNTIFS('United Data'!$A$3:$A$3390,C$1,'United Data'!$C$3:$C$3390,$A1054)&gt;0,1,0)</f>
        <v>0</v>
      </c>
      <c r="D1054">
        <f>IF(COUNTIFS('United Data'!$A$3:$A$3390,D$1,'United Data'!$C$3:$C$3390,$A1054)&gt;0,1,0)</f>
        <v>1</v>
      </c>
      <c r="E1054">
        <f>IF(COUNTIFS('United Data'!$A$3:$A$3390,E$1,'United Data'!$C$3:$C$3390,$A1054)&gt;0,1,0)</f>
        <v>0</v>
      </c>
      <c r="F1054">
        <f>IF(COUNTIFS('United Data'!$A$3:$A$3390,F$1,'United Data'!$C$3:$C$3390,$A1054)&gt;0,1,0)</f>
        <v>0</v>
      </c>
      <c r="G1054">
        <f>IF(COUNTIFS('United Data'!$A$3:$A$3390,G$1,'United Data'!$C$3:$C$3390,$A1054)&gt;0,1,0)</f>
        <v>0</v>
      </c>
      <c r="H1054">
        <f>IF(COUNTIFS('United Data'!$A$3:$A$3390,H$1,'United Data'!$C$3:$C$3390,$A1054)&gt;0,1,0)</f>
        <v>0</v>
      </c>
      <c r="I1054">
        <f>IF(COUNTIFS('United Data'!$A$3:$A$3390,I$1,'United Data'!$C$3:$C$3390,$A1054)&gt;0,1,0)</f>
        <v>0</v>
      </c>
      <c r="J1054">
        <f>IF(COUNTIFS('United Data'!$A$3:$A$3390,J$1,'United Data'!$C$3:$C$3390,$A1054)&gt;0,1,0)</f>
        <v>0</v>
      </c>
      <c r="K1054">
        <f>IF(COUNTIFS('United Data'!$A$3:$A$3390,K$1,'United Data'!$C$3:$C$3390,$A1054)&gt;0,1,0)</f>
        <v>0</v>
      </c>
      <c r="L1054">
        <f>IF(COUNTIFS('United Data'!$A$3:$A$3390,L$1,'United Data'!$C$3:$C$3390,$A1054)&gt;0,1,0)</f>
        <v>0</v>
      </c>
      <c r="M1054">
        <f>IF(COUNTIFS('United Data'!$A$3:$A$3390,M$1,'United Data'!$C$3:$C$3390,$A1054)&gt;0,1,0)</f>
        <v>0</v>
      </c>
      <c r="N1054">
        <f>IF(COUNTIFS('United Data'!$A$3:$A$3390,N$1,'United Data'!$C$3:$C$3390,$A1054)&gt;0,1,0)</f>
        <v>0</v>
      </c>
      <c r="O1054">
        <f>IF(COUNTIFS('United Data'!$A$3:$A$3390,O$1,'United Data'!$C$3:$C$3390,$A1054)&gt;0,1,0)</f>
        <v>0</v>
      </c>
      <c r="P1054">
        <f>IF(COUNTIFS('United Data'!$A$3:$A$3390,P$1,'United Data'!$C$3:$C$3390,$A1054)&gt;0,1,0)</f>
        <v>0</v>
      </c>
      <c r="Q1054">
        <f>IF(COUNTIFS('United Data'!$A$3:$A$3390,Q$1,'United Data'!$C$3:$C$3390,$A1054)&gt;0,1,0)</f>
        <v>0</v>
      </c>
      <c r="R1054">
        <f>IF(COUNTIFS('United Data'!$A$3:$A$3390,R$1,'United Data'!$C$3:$C$3390,$A1054)&gt;0,1,0)</f>
        <v>0</v>
      </c>
      <c r="S1054">
        <f t="shared" si="32"/>
        <v>1</v>
      </c>
      <c r="T1054">
        <f t="shared" si="33"/>
        <v>1</v>
      </c>
    </row>
    <row r="1055" spans="1:20" x14ac:dyDescent="0.2">
      <c r="A1055" t="s">
        <v>1265</v>
      </c>
      <c r="B1055">
        <f>IF(COUNTIFS('United Data'!$A$3:$A$3390,B$1,'United Data'!$C$3:$C$3390,$A1055)&gt;0,1,0)</f>
        <v>0</v>
      </c>
      <c r="C1055">
        <f>IF(COUNTIFS('United Data'!$A$3:$A$3390,C$1,'United Data'!$C$3:$C$3390,$A1055)&gt;0,1,0)</f>
        <v>0</v>
      </c>
      <c r="D1055">
        <f>IF(COUNTIFS('United Data'!$A$3:$A$3390,D$1,'United Data'!$C$3:$C$3390,$A1055)&gt;0,1,0)</f>
        <v>1</v>
      </c>
      <c r="E1055">
        <f>IF(COUNTIFS('United Data'!$A$3:$A$3390,E$1,'United Data'!$C$3:$C$3390,$A1055)&gt;0,1,0)</f>
        <v>0</v>
      </c>
      <c r="F1055">
        <f>IF(COUNTIFS('United Data'!$A$3:$A$3390,F$1,'United Data'!$C$3:$C$3390,$A1055)&gt;0,1,0)</f>
        <v>1</v>
      </c>
      <c r="G1055">
        <f>IF(COUNTIFS('United Data'!$A$3:$A$3390,G$1,'United Data'!$C$3:$C$3390,$A1055)&gt;0,1,0)</f>
        <v>1</v>
      </c>
      <c r="H1055">
        <f>IF(COUNTIFS('United Data'!$A$3:$A$3390,H$1,'United Data'!$C$3:$C$3390,$A1055)&gt;0,1,0)</f>
        <v>0</v>
      </c>
      <c r="I1055">
        <f>IF(COUNTIFS('United Data'!$A$3:$A$3390,I$1,'United Data'!$C$3:$C$3390,$A1055)&gt;0,1,0)</f>
        <v>1</v>
      </c>
      <c r="J1055">
        <f>IF(COUNTIFS('United Data'!$A$3:$A$3390,J$1,'United Data'!$C$3:$C$3390,$A1055)&gt;0,1,0)</f>
        <v>0</v>
      </c>
      <c r="K1055">
        <f>IF(COUNTIFS('United Data'!$A$3:$A$3390,K$1,'United Data'!$C$3:$C$3390,$A1055)&gt;0,1,0)</f>
        <v>0</v>
      </c>
      <c r="L1055">
        <f>IF(COUNTIFS('United Data'!$A$3:$A$3390,L$1,'United Data'!$C$3:$C$3390,$A1055)&gt;0,1,0)</f>
        <v>1</v>
      </c>
      <c r="M1055">
        <f>IF(COUNTIFS('United Data'!$A$3:$A$3390,M$1,'United Data'!$C$3:$C$3390,$A1055)&gt;0,1,0)</f>
        <v>0</v>
      </c>
      <c r="N1055">
        <f>IF(COUNTIFS('United Data'!$A$3:$A$3390,N$1,'United Data'!$C$3:$C$3390,$A1055)&gt;0,1,0)</f>
        <v>0</v>
      </c>
      <c r="O1055">
        <f>IF(COUNTIFS('United Data'!$A$3:$A$3390,O$1,'United Data'!$C$3:$C$3390,$A1055)&gt;0,1,0)</f>
        <v>0</v>
      </c>
      <c r="P1055">
        <f>IF(COUNTIFS('United Data'!$A$3:$A$3390,P$1,'United Data'!$C$3:$C$3390,$A1055)&gt;0,1,0)</f>
        <v>0</v>
      </c>
      <c r="Q1055">
        <f>IF(COUNTIFS('United Data'!$A$3:$A$3390,Q$1,'United Data'!$C$3:$C$3390,$A1055)&gt;0,1,0)</f>
        <v>1</v>
      </c>
      <c r="R1055">
        <f>IF(COUNTIFS('United Data'!$A$3:$A$3390,R$1,'United Data'!$C$3:$C$3390,$A1055)&gt;0,1,0)</f>
        <v>1</v>
      </c>
      <c r="S1055">
        <f t="shared" si="32"/>
        <v>7</v>
      </c>
      <c r="T1055">
        <f t="shared" si="33"/>
        <v>5</v>
      </c>
    </row>
    <row r="1056" spans="1:20" x14ac:dyDescent="0.2">
      <c r="A1056" t="s">
        <v>1266</v>
      </c>
      <c r="B1056">
        <f>IF(COUNTIFS('United Data'!$A$3:$A$3390,B$1,'United Data'!$C$3:$C$3390,$A1056)&gt;0,1,0)</f>
        <v>0</v>
      </c>
      <c r="C1056">
        <f>IF(COUNTIFS('United Data'!$A$3:$A$3390,C$1,'United Data'!$C$3:$C$3390,$A1056)&gt;0,1,0)</f>
        <v>0</v>
      </c>
      <c r="D1056">
        <f>IF(COUNTIFS('United Data'!$A$3:$A$3390,D$1,'United Data'!$C$3:$C$3390,$A1056)&gt;0,1,0)</f>
        <v>1</v>
      </c>
      <c r="E1056">
        <f>IF(COUNTIFS('United Data'!$A$3:$A$3390,E$1,'United Data'!$C$3:$C$3390,$A1056)&gt;0,1,0)</f>
        <v>0</v>
      </c>
      <c r="F1056">
        <f>IF(COUNTIFS('United Data'!$A$3:$A$3390,F$1,'United Data'!$C$3:$C$3390,$A1056)&gt;0,1,0)</f>
        <v>0</v>
      </c>
      <c r="G1056">
        <f>IF(COUNTIFS('United Data'!$A$3:$A$3390,G$1,'United Data'!$C$3:$C$3390,$A1056)&gt;0,1,0)</f>
        <v>0</v>
      </c>
      <c r="H1056">
        <f>IF(COUNTIFS('United Data'!$A$3:$A$3390,H$1,'United Data'!$C$3:$C$3390,$A1056)&gt;0,1,0)</f>
        <v>0</v>
      </c>
      <c r="I1056">
        <f>IF(COUNTIFS('United Data'!$A$3:$A$3390,I$1,'United Data'!$C$3:$C$3390,$A1056)&gt;0,1,0)</f>
        <v>0</v>
      </c>
      <c r="J1056">
        <f>IF(COUNTIFS('United Data'!$A$3:$A$3390,J$1,'United Data'!$C$3:$C$3390,$A1056)&gt;0,1,0)</f>
        <v>0</v>
      </c>
      <c r="K1056">
        <f>IF(COUNTIFS('United Data'!$A$3:$A$3390,K$1,'United Data'!$C$3:$C$3390,$A1056)&gt;0,1,0)</f>
        <v>0</v>
      </c>
      <c r="L1056">
        <f>IF(COUNTIFS('United Data'!$A$3:$A$3390,L$1,'United Data'!$C$3:$C$3390,$A1056)&gt;0,1,0)</f>
        <v>0</v>
      </c>
      <c r="M1056">
        <f>IF(COUNTIFS('United Data'!$A$3:$A$3390,M$1,'United Data'!$C$3:$C$3390,$A1056)&gt;0,1,0)</f>
        <v>0</v>
      </c>
      <c r="N1056">
        <f>IF(COUNTIFS('United Data'!$A$3:$A$3390,N$1,'United Data'!$C$3:$C$3390,$A1056)&gt;0,1,0)</f>
        <v>0</v>
      </c>
      <c r="O1056">
        <f>IF(COUNTIFS('United Data'!$A$3:$A$3390,O$1,'United Data'!$C$3:$C$3390,$A1056)&gt;0,1,0)</f>
        <v>0</v>
      </c>
      <c r="P1056">
        <f>IF(COUNTIFS('United Data'!$A$3:$A$3390,P$1,'United Data'!$C$3:$C$3390,$A1056)&gt;0,1,0)</f>
        <v>0</v>
      </c>
      <c r="Q1056">
        <f>IF(COUNTIFS('United Data'!$A$3:$A$3390,Q$1,'United Data'!$C$3:$C$3390,$A1056)&gt;0,1,0)</f>
        <v>0</v>
      </c>
      <c r="R1056">
        <f>IF(COUNTIFS('United Data'!$A$3:$A$3390,R$1,'United Data'!$C$3:$C$3390,$A1056)&gt;0,1,0)</f>
        <v>0</v>
      </c>
      <c r="S1056">
        <f t="shared" si="32"/>
        <v>1</v>
      </c>
      <c r="T1056">
        <f t="shared" si="33"/>
        <v>1</v>
      </c>
    </row>
    <row r="1057" spans="1:20" x14ac:dyDescent="0.2">
      <c r="A1057" t="s">
        <v>1267</v>
      </c>
      <c r="B1057">
        <f>IF(COUNTIFS('United Data'!$A$3:$A$3390,B$1,'United Data'!$C$3:$C$3390,$A1057)&gt;0,1,0)</f>
        <v>0</v>
      </c>
      <c r="C1057">
        <f>IF(COUNTIFS('United Data'!$A$3:$A$3390,C$1,'United Data'!$C$3:$C$3390,$A1057)&gt;0,1,0)</f>
        <v>0</v>
      </c>
      <c r="D1057">
        <f>IF(COUNTIFS('United Data'!$A$3:$A$3390,D$1,'United Data'!$C$3:$C$3390,$A1057)&gt;0,1,0)</f>
        <v>1</v>
      </c>
      <c r="E1057">
        <f>IF(COUNTIFS('United Data'!$A$3:$A$3390,E$1,'United Data'!$C$3:$C$3390,$A1057)&gt;0,1,0)</f>
        <v>0</v>
      </c>
      <c r="F1057">
        <f>IF(COUNTIFS('United Data'!$A$3:$A$3390,F$1,'United Data'!$C$3:$C$3390,$A1057)&gt;0,1,0)</f>
        <v>0</v>
      </c>
      <c r="G1057">
        <f>IF(COUNTIFS('United Data'!$A$3:$A$3390,G$1,'United Data'!$C$3:$C$3390,$A1057)&gt;0,1,0)</f>
        <v>0</v>
      </c>
      <c r="H1057">
        <f>IF(COUNTIFS('United Data'!$A$3:$A$3390,H$1,'United Data'!$C$3:$C$3390,$A1057)&gt;0,1,0)</f>
        <v>0</v>
      </c>
      <c r="I1057">
        <f>IF(COUNTIFS('United Data'!$A$3:$A$3390,I$1,'United Data'!$C$3:$C$3390,$A1057)&gt;0,1,0)</f>
        <v>0</v>
      </c>
      <c r="J1057">
        <f>IF(COUNTIFS('United Data'!$A$3:$A$3390,J$1,'United Data'!$C$3:$C$3390,$A1057)&gt;0,1,0)</f>
        <v>0</v>
      </c>
      <c r="K1057">
        <f>IF(COUNTIFS('United Data'!$A$3:$A$3390,K$1,'United Data'!$C$3:$C$3390,$A1057)&gt;0,1,0)</f>
        <v>0</v>
      </c>
      <c r="L1057">
        <f>IF(COUNTIFS('United Data'!$A$3:$A$3390,L$1,'United Data'!$C$3:$C$3390,$A1057)&gt;0,1,0)</f>
        <v>0</v>
      </c>
      <c r="M1057">
        <f>IF(COUNTIFS('United Data'!$A$3:$A$3390,M$1,'United Data'!$C$3:$C$3390,$A1057)&gt;0,1,0)</f>
        <v>0</v>
      </c>
      <c r="N1057">
        <f>IF(COUNTIFS('United Data'!$A$3:$A$3390,N$1,'United Data'!$C$3:$C$3390,$A1057)&gt;0,1,0)</f>
        <v>0</v>
      </c>
      <c r="O1057">
        <f>IF(COUNTIFS('United Data'!$A$3:$A$3390,O$1,'United Data'!$C$3:$C$3390,$A1057)&gt;0,1,0)</f>
        <v>0</v>
      </c>
      <c r="P1057">
        <f>IF(COUNTIFS('United Data'!$A$3:$A$3390,P$1,'United Data'!$C$3:$C$3390,$A1057)&gt;0,1,0)</f>
        <v>0</v>
      </c>
      <c r="Q1057">
        <f>IF(COUNTIFS('United Data'!$A$3:$A$3390,Q$1,'United Data'!$C$3:$C$3390,$A1057)&gt;0,1,0)</f>
        <v>0</v>
      </c>
      <c r="R1057">
        <f>IF(COUNTIFS('United Data'!$A$3:$A$3390,R$1,'United Data'!$C$3:$C$3390,$A1057)&gt;0,1,0)</f>
        <v>0</v>
      </c>
      <c r="S1057">
        <f t="shared" si="32"/>
        <v>1</v>
      </c>
      <c r="T1057">
        <f t="shared" si="33"/>
        <v>1</v>
      </c>
    </row>
    <row r="1058" spans="1:20" x14ac:dyDescent="0.2">
      <c r="A1058" t="s">
        <v>1268</v>
      </c>
      <c r="B1058">
        <f>IF(COUNTIFS('United Data'!$A$3:$A$3390,B$1,'United Data'!$C$3:$C$3390,$A1058)&gt;0,1,0)</f>
        <v>0</v>
      </c>
      <c r="C1058">
        <f>IF(COUNTIFS('United Data'!$A$3:$A$3390,C$1,'United Data'!$C$3:$C$3390,$A1058)&gt;0,1,0)</f>
        <v>0</v>
      </c>
      <c r="D1058">
        <f>IF(COUNTIFS('United Data'!$A$3:$A$3390,D$1,'United Data'!$C$3:$C$3390,$A1058)&gt;0,1,0)</f>
        <v>1</v>
      </c>
      <c r="E1058">
        <f>IF(COUNTIFS('United Data'!$A$3:$A$3390,E$1,'United Data'!$C$3:$C$3390,$A1058)&gt;0,1,0)</f>
        <v>0</v>
      </c>
      <c r="F1058">
        <f>IF(COUNTIFS('United Data'!$A$3:$A$3390,F$1,'United Data'!$C$3:$C$3390,$A1058)&gt;0,1,0)</f>
        <v>0</v>
      </c>
      <c r="G1058">
        <f>IF(COUNTIFS('United Data'!$A$3:$A$3390,G$1,'United Data'!$C$3:$C$3390,$A1058)&gt;0,1,0)</f>
        <v>0</v>
      </c>
      <c r="H1058">
        <f>IF(COUNTIFS('United Data'!$A$3:$A$3390,H$1,'United Data'!$C$3:$C$3390,$A1058)&gt;0,1,0)</f>
        <v>0</v>
      </c>
      <c r="I1058">
        <f>IF(COUNTIFS('United Data'!$A$3:$A$3390,I$1,'United Data'!$C$3:$C$3390,$A1058)&gt;0,1,0)</f>
        <v>0</v>
      </c>
      <c r="J1058">
        <f>IF(COUNTIFS('United Data'!$A$3:$A$3390,J$1,'United Data'!$C$3:$C$3390,$A1058)&gt;0,1,0)</f>
        <v>0</v>
      </c>
      <c r="K1058">
        <f>IF(COUNTIFS('United Data'!$A$3:$A$3390,K$1,'United Data'!$C$3:$C$3390,$A1058)&gt;0,1,0)</f>
        <v>0</v>
      </c>
      <c r="L1058">
        <f>IF(COUNTIFS('United Data'!$A$3:$A$3390,L$1,'United Data'!$C$3:$C$3390,$A1058)&gt;0,1,0)</f>
        <v>0</v>
      </c>
      <c r="M1058">
        <f>IF(COUNTIFS('United Data'!$A$3:$A$3390,M$1,'United Data'!$C$3:$C$3390,$A1058)&gt;0,1,0)</f>
        <v>0</v>
      </c>
      <c r="N1058">
        <f>IF(COUNTIFS('United Data'!$A$3:$A$3390,N$1,'United Data'!$C$3:$C$3390,$A1058)&gt;0,1,0)</f>
        <v>0</v>
      </c>
      <c r="O1058">
        <f>IF(COUNTIFS('United Data'!$A$3:$A$3390,O$1,'United Data'!$C$3:$C$3390,$A1058)&gt;0,1,0)</f>
        <v>0</v>
      </c>
      <c r="P1058">
        <f>IF(COUNTIFS('United Data'!$A$3:$A$3390,P$1,'United Data'!$C$3:$C$3390,$A1058)&gt;0,1,0)</f>
        <v>0</v>
      </c>
      <c r="Q1058">
        <f>IF(COUNTIFS('United Data'!$A$3:$A$3390,Q$1,'United Data'!$C$3:$C$3390,$A1058)&gt;0,1,0)</f>
        <v>0</v>
      </c>
      <c r="R1058">
        <f>IF(COUNTIFS('United Data'!$A$3:$A$3390,R$1,'United Data'!$C$3:$C$3390,$A1058)&gt;0,1,0)</f>
        <v>0</v>
      </c>
      <c r="S1058">
        <f t="shared" si="32"/>
        <v>1</v>
      </c>
      <c r="T1058">
        <f t="shared" si="33"/>
        <v>1</v>
      </c>
    </row>
    <row r="1059" spans="1:20" x14ac:dyDescent="0.2">
      <c r="A1059" t="s">
        <v>1269</v>
      </c>
      <c r="B1059">
        <f>IF(COUNTIFS('United Data'!$A$3:$A$3390,B$1,'United Data'!$C$3:$C$3390,$A1059)&gt;0,1,0)</f>
        <v>0</v>
      </c>
      <c r="C1059">
        <f>IF(COUNTIFS('United Data'!$A$3:$A$3390,C$1,'United Data'!$C$3:$C$3390,$A1059)&gt;0,1,0)</f>
        <v>0</v>
      </c>
      <c r="D1059">
        <f>IF(COUNTIFS('United Data'!$A$3:$A$3390,D$1,'United Data'!$C$3:$C$3390,$A1059)&gt;0,1,0)</f>
        <v>1</v>
      </c>
      <c r="E1059">
        <f>IF(COUNTIFS('United Data'!$A$3:$A$3390,E$1,'United Data'!$C$3:$C$3390,$A1059)&gt;0,1,0)</f>
        <v>0</v>
      </c>
      <c r="F1059">
        <f>IF(COUNTIFS('United Data'!$A$3:$A$3390,F$1,'United Data'!$C$3:$C$3390,$A1059)&gt;0,1,0)</f>
        <v>0</v>
      </c>
      <c r="G1059">
        <f>IF(COUNTIFS('United Data'!$A$3:$A$3390,G$1,'United Data'!$C$3:$C$3390,$A1059)&gt;0,1,0)</f>
        <v>0</v>
      </c>
      <c r="H1059">
        <f>IF(COUNTIFS('United Data'!$A$3:$A$3390,H$1,'United Data'!$C$3:$C$3390,$A1059)&gt;0,1,0)</f>
        <v>0</v>
      </c>
      <c r="I1059">
        <f>IF(COUNTIFS('United Data'!$A$3:$A$3390,I$1,'United Data'!$C$3:$C$3390,$A1059)&gt;0,1,0)</f>
        <v>0</v>
      </c>
      <c r="J1059">
        <f>IF(COUNTIFS('United Data'!$A$3:$A$3390,J$1,'United Data'!$C$3:$C$3390,$A1059)&gt;0,1,0)</f>
        <v>0</v>
      </c>
      <c r="K1059">
        <f>IF(COUNTIFS('United Data'!$A$3:$A$3390,K$1,'United Data'!$C$3:$C$3390,$A1059)&gt;0,1,0)</f>
        <v>0</v>
      </c>
      <c r="L1059">
        <f>IF(COUNTIFS('United Data'!$A$3:$A$3390,L$1,'United Data'!$C$3:$C$3390,$A1059)&gt;0,1,0)</f>
        <v>0</v>
      </c>
      <c r="M1059">
        <f>IF(COUNTIFS('United Data'!$A$3:$A$3390,M$1,'United Data'!$C$3:$C$3390,$A1059)&gt;0,1,0)</f>
        <v>0</v>
      </c>
      <c r="N1059">
        <f>IF(COUNTIFS('United Data'!$A$3:$A$3390,N$1,'United Data'!$C$3:$C$3390,$A1059)&gt;0,1,0)</f>
        <v>0</v>
      </c>
      <c r="O1059">
        <f>IF(COUNTIFS('United Data'!$A$3:$A$3390,O$1,'United Data'!$C$3:$C$3390,$A1059)&gt;0,1,0)</f>
        <v>0</v>
      </c>
      <c r="P1059">
        <f>IF(COUNTIFS('United Data'!$A$3:$A$3390,P$1,'United Data'!$C$3:$C$3390,$A1059)&gt;0,1,0)</f>
        <v>0</v>
      </c>
      <c r="Q1059">
        <f>IF(COUNTIFS('United Data'!$A$3:$A$3390,Q$1,'United Data'!$C$3:$C$3390,$A1059)&gt;0,1,0)</f>
        <v>0</v>
      </c>
      <c r="R1059">
        <f>IF(COUNTIFS('United Data'!$A$3:$A$3390,R$1,'United Data'!$C$3:$C$3390,$A1059)&gt;0,1,0)</f>
        <v>0</v>
      </c>
      <c r="S1059">
        <f t="shared" si="32"/>
        <v>1</v>
      </c>
      <c r="T1059">
        <f t="shared" si="33"/>
        <v>1</v>
      </c>
    </row>
    <row r="1060" spans="1:20" x14ac:dyDescent="0.2">
      <c r="A1060" t="s">
        <v>1270</v>
      </c>
      <c r="B1060">
        <f>IF(COUNTIFS('United Data'!$A$3:$A$3390,B$1,'United Data'!$C$3:$C$3390,$A1060)&gt;0,1,0)</f>
        <v>0</v>
      </c>
      <c r="C1060">
        <f>IF(COUNTIFS('United Data'!$A$3:$A$3390,C$1,'United Data'!$C$3:$C$3390,$A1060)&gt;0,1,0)</f>
        <v>0</v>
      </c>
      <c r="D1060">
        <f>IF(COUNTIFS('United Data'!$A$3:$A$3390,D$1,'United Data'!$C$3:$C$3390,$A1060)&gt;0,1,0)</f>
        <v>1</v>
      </c>
      <c r="E1060">
        <f>IF(COUNTIFS('United Data'!$A$3:$A$3390,E$1,'United Data'!$C$3:$C$3390,$A1060)&gt;0,1,0)</f>
        <v>0</v>
      </c>
      <c r="F1060">
        <f>IF(COUNTIFS('United Data'!$A$3:$A$3390,F$1,'United Data'!$C$3:$C$3390,$A1060)&gt;0,1,0)</f>
        <v>0</v>
      </c>
      <c r="G1060">
        <f>IF(COUNTIFS('United Data'!$A$3:$A$3390,G$1,'United Data'!$C$3:$C$3390,$A1060)&gt;0,1,0)</f>
        <v>0</v>
      </c>
      <c r="H1060">
        <f>IF(COUNTIFS('United Data'!$A$3:$A$3390,H$1,'United Data'!$C$3:$C$3390,$A1060)&gt;0,1,0)</f>
        <v>0</v>
      </c>
      <c r="I1060">
        <f>IF(COUNTIFS('United Data'!$A$3:$A$3390,I$1,'United Data'!$C$3:$C$3390,$A1060)&gt;0,1,0)</f>
        <v>0</v>
      </c>
      <c r="J1060">
        <f>IF(COUNTIFS('United Data'!$A$3:$A$3390,J$1,'United Data'!$C$3:$C$3390,$A1060)&gt;0,1,0)</f>
        <v>0</v>
      </c>
      <c r="K1060">
        <f>IF(COUNTIFS('United Data'!$A$3:$A$3390,K$1,'United Data'!$C$3:$C$3390,$A1060)&gt;0,1,0)</f>
        <v>0</v>
      </c>
      <c r="L1060">
        <f>IF(COUNTIFS('United Data'!$A$3:$A$3390,L$1,'United Data'!$C$3:$C$3390,$A1060)&gt;0,1,0)</f>
        <v>0</v>
      </c>
      <c r="M1060">
        <f>IF(COUNTIFS('United Data'!$A$3:$A$3390,M$1,'United Data'!$C$3:$C$3390,$A1060)&gt;0,1,0)</f>
        <v>0</v>
      </c>
      <c r="N1060">
        <f>IF(COUNTIFS('United Data'!$A$3:$A$3390,N$1,'United Data'!$C$3:$C$3390,$A1060)&gt;0,1,0)</f>
        <v>0</v>
      </c>
      <c r="O1060">
        <f>IF(COUNTIFS('United Data'!$A$3:$A$3390,O$1,'United Data'!$C$3:$C$3390,$A1060)&gt;0,1,0)</f>
        <v>0</v>
      </c>
      <c r="P1060">
        <f>IF(COUNTIFS('United Data'!$A$3:$A$3390,P$1,'United Data'!$C$3:$C$3390,$A1060)&gt;0,1,0)</f>
        <v>0</v>
      </c>
      <c r="Q1060">
        <f>IF(COUNTIFS('United Data'!$A$3:$A$3390,Q$1,'United Data'!$C$3:$C$3390,$A1060)&gt;0,1,0)</f>
        <v>0</v>
      </c>
      <c r="R1060">
        <f>IF(COUNTIFS('United Data'!$A$3:$A$3390,R$1,'United Data'!$C$3:$C$3390,$A1060)&gt;0,1,0)</f>
        <v>0</v>
      </c>
      <c r="S1060">
        <f t="shared" si="32"/>
        <v>1</v>
      </c>
      <c r="T1060">
        <f t="shared" si="33"/>
        <v>1</v>
      </c>
    </row>
    <row r="1061" spans="1:20" x14ac:dyDescent="0.2">
      <c r="A1061" t="s">
        <v>1271</v>
      </c>
      <c r="B1061">
        <f>IF(COUNTIFS('United Data'!$A$3:$A$3390,B$1,'United Data'!$C$3:$C$3390,$A1061)&gt;0,1,0)</f>
        <v>0</v>
      </c>
      <c r="C1061">
        <f>IF(COUNTIFS('United Data'!$A$3:$A$3390,C$1,'United Data'!$C$3:$C$3390,$A1061)&gt;0,1,0)</f>
        <v>0</v>
      </c>
      <c r="D1061">
        <f>IF(COUNTIFS('United Data'!$A$3:$A$3390,D$1,'United Data'!$C$3:$C$3390,$A1061)&gt;0,1,0)</f>
        <v>1</v>
      </c>
      <c r="E1061">
        <f>IF(COUNTIFS('United Data'!$A$3:$A$3390,E$1,'United Data'!$C$3:$C$3390,$A1061)&gt;0,1,0)</f>
        <v>0</v>
      </c>
      <c r="F1061">
        <f>IF(COUNTIFS('United Data'!$A$3:$A$3390,F$1,'United Data'!$C$3:$C$3390,$A1061)&gt;0,1,0)</f>
        <v>0</v>
      </c>
      <c r="G1061">
        <f>IF(COUNTIFS('United Data'!$A$3:$A$3390,G$1,'United Data'!$C$3:$C$3390,$A1061)&gt;0,1,0)</f>
        <v>0</v>
      </c>
      <c r="H1061">
        <f>IF(COUNTIFS('United Data'!$A$3:$A$3390,H$1,'United Data'!$C$3:$C$3390,$A1061)&gt;0,1,0)</f>
        <v>0</v>
      </c>
      <c r="I1061">
        <f>IF(COUNTIFS('United Data'!$A$3:$A$3390,I$1,'United Data'!$C$3:$C$3390,$A1061)&gt;0,1,0)</f>
        <v>0</v>
      </c>
      <c r="J1061">
        <f>IF(COUNTIFS('United Data'!$A$3:$A$3390,J$1,'United Data'!$C$3:$C$3390,$A1061)&gt;0,1,0)</f>
        <v>0</v>
      </c>
      <c r="K1061">
        <f>IF(COUNTIFS('United Data'!$A$3:$A$3390,K$1,'United Data'!$C$3:$C$3390,$A1061)&gt;0,1,0)</f>
        <v>0</v>
      </c>
      <c r="L1061">
        <f>IF(COUNTIFS('United Data'!$A$3:$A$3390,L$1,'United Data'!$C$3:$C$3390,$A1061)&gt;0,1,0)</f>
        <v>0</v>
      </c>
      <c r="M1061">
        <f>IF(COUNTIFS('United Data'!$A$3:$A$3390,M$1,'United Data'!$C$3:$C$3390,$A1061)&gt;0,1,0)</f>
        <v>0</v>
      </c>
      <c r="N1061">
        <f>IF(COUNTIFS('United Data'!$A$3:$A$3390,N$1,'United Data'!$C$3:$C$3390,$A1061)&gt;0,1,0)</f>
        <v>0</v>
      </c>
      <c r="O1061">
        <f>IF(COUNTIFS('United Data'!$A$3:$A$3390,O$1,'United Data'!$C$3:$C$3390,$A1061)&gt;0,1,0)</f>
        <v>0</v>
      </c>
      <c r="P1061">
        <f>IF(COUNTIFS('United Data'!$A$3:$A$3390,P$1,'United Data'!$C$3:$C$3390,$A1061)&gt;0,1,0)</f>
        <v>0</v>
      </c>
      <c r="Q1061">
        <f>IF(COUNTIFS('United Data'!$A$3:$A$3390,Q$1,'United Data'!$C$3:$C$3390,$A1061)&gt;0,1,0)</f>
        <v>0</v>
      </c>
      <c r="R1061">
        <f>IF(COUNTIFS('United Data'!$A$3:$A$3390,R$1,'United Data'!$C$3:$C$3390,$A1061)&gt;0,1,0)</f>
        <v>0</v>
      </c>
      <c r="S1061">
        <f t="shared" si="32"/>
        <v>1</v>
      </c>
      <c r="T1061">
        <f t="shared" si="33"/>
        <v>1</v>
      </c>
    </row>
    <row r="1062" spans="1:20" x14ac:dyDescent="0.2">
      <c r="A1062" t="s">
        <v>1272</v>
      </c>
      <c r="B1062">
        <f>IF(COUNTIFS('United Data'!$A$3:$A$3390,B$1,'United Data'!$C$3:$C$3390,$A1062)&gt;0,1,0)</f>
        <v>0</v>
      </c>
      <c r="C1062">
        <f>IF(COUNTIFS('United Data'!$A$3:$A$3390,C$1,'United Data'!$C$3:$C$3390,$A1062)&gt;0,1,0)</f>
        <v>0</v>
      </c>
      <c r="D1062">
        <f>IF(COUNTIFS('United Data'!$A$3:$A$3390,D$1,'United Data'!$C$3:$C$3390,$A1062)&gt;0,1,0)</f>
        <v>1</v>
      </c>
      <c r="E1062">
        <f>IF(COUNTIFS('United Data'!$A$3:$A$3390,E$1,'United Data'!$C$3:$C$3390,$A1062)&gt;0,1,0)</f>
        <v>0</v>
      </c>
      <c r="F1062">
        <f>IF(COUNTIFS('United Data'!$A$3:$A$3390,F$1,'United Data'!$C$3:$C$3390,$A1062)&gt;0,1,0)</f>
        <v>0</v>
      </c>
      <c r="G1062">
        <f>IF(COUNTIFS('United Data'!$A$3:$A$3390,G$1,'United Data'!$C$3:$C$3390,$A1062)&gt;0,1,0)</f>
        <v>0</v>
      </c>
      <c r="H1062">
        <f>IF(COUNTIFS('United Data'!$A$3:$A$3390,H$1,'United Data'!$C$3:$C$3390,$A1062)&gt;0,1,0)</f>
        <v>0</v>
      </c>
      <c r="I1062">
        <f>IF(COUNTIFS('United Data'!$A$3:$A$3390,I$1,'United Data'!$C$3:$C$3390,$A1062)&gt;0,1,0)</f>
        <v>0</v>
      </c>
      <c r="J1062">
        <f>IF(COUNTIFS('United Data'!$A$3:$A$3390,J$1,'United Data'!$C$3:$C$3390,$A1062)&gt;0,1,0)</f>
        <v>0</v>
      </c>
      <c r="K1062">
        <f>IF(COUNTIFS('United Data'!$A$3:$A$3390,K$1,'United Data'!$C$3:$C$3390,$A1062)&gt;0,1,0)</f>
        <v>0</v>
      </c>
      <c r="L1062">
        <f>IF(COUNTIFS('United Data'!$A$3:$A$3390,L$1,'United Data'!$C$3:$C$3390,$A1062)&gt;0,1,0)</f>
        <v>0</v>
      </c>
      <c r="M1062">
        <f>IF(COUNTIFS('United Data'!$A$3:$A$3390,M$1,'United Data'!$C$3:$C$3390,$A1062)&gt;0,1,0)</f>
        <v>0</v>
      </c>
      <c r="N1062">
        <f>IF(COUNTIFS('United Data'!$A$3:$A$3390,N$1,'United Data'!$C$3:$C$3390,$A1062)&gt;0,1,0)</f>
        <v>0</v>
      </c>
      <c r="O1062">
        <f>IF(COUNTIFS('United Data'!$A$3:$A$3390,O$1,'United Data'!$C$3:$C$3390,$A1062)&gt;0,1,0)</f>
        <v>0</v>
      </c>
      <c r="P1062">
        <f>IF(COUNTIFS('United Data'!$A$3:$A$3390,P$1,'United Data'!$C$3:$C$3390,$A1062)&gt;0,1,0)</f>
        <v>0</v>
      </c>
      <c r="Q1062">
        <f>IF(COUNTIFS('United Data'!$A$3:$A$3390,Q$1,'United Data'!$C$3:$C$3390,$A1062)&gt;0,1,0)</f>
        <v>0</v>
      </c>
      <c r="R1062">
        <f>IF(COUNTIFS('United Data'!$A$3:$A$3390,R$1,'United Data'!$C$3:$C$3390,$A1062)&gt;0,1,0)</f>
        <v>0</v>
      </c>
      <c r="S1062">
        <f t="shared" si="32"/>
        <v>1</v>
      </c>
      <c r="T1062">
        <f t="shared" si="33"/>
        <v>1</v>
      </c>
    </row>
    <row r="1063" spans="1:20" x14ac:dyDescent="0.2">
      <c r="A1063" t="s">
        <v>1273</v>
      </c>
      <c r="B1063">
        <f>IF(COUNTIFS('United Data'!$A$3:$A$3390,B$1,'United Data'!$C$3:$C$3390,$A1063)&gt;0,1,0)</f>
        <v>0</v>
      </c>
      <c r="C1063">
        <f>IF(COUNTIFS('United Data'!$A$3:$A$3390,C$1,'United Data'!$C$3:$C$3390,$A1063)&gt;0,1,0)</f>
        <v>0</v>
      </c>
      <c r="D1063">
        <f>IF(COUNTIFS('United Data'!$A$3:$A$3390,D$1,'United Data'!$C$3:$C$3390,$A1063)&gt;0,1,0)</f>
        <v>1</v>
      </c>
      <c r="E1063">
        <f>IF(COUNTIFS('United Data'!$A$3:$A$3390,E$1,'United Data'!$C$3:$C$3390,$A1063)&gt;0,1,0)</f>
        <v>0</v>
      </c>
      <c r="F1063">
        <f>IF(COUNTIFS('United Data'!$A$3:$A$3390,F$1,'United Data'!$C$3:$C$3390,$A1063)&gt;0,1,0)</f>
        <v>0</v>
      </c>
      <c r="G1063">
        <f>IF(COUNTIFS('United Data'!$A$3:$A$3390,G$1,'United Data'!$C$3:$C$3390,$A1063)&gt;0,1,0)</f>
        <v>0</v>
      </c>
      <c r="H1063">
        <f>IF(COUNTIFS('United Data'!$A$3:$A$3390,H$1,'United Data'!$C$3:$C$3390,$A1063)&gt;0,1,0)</f>
        <v>0</v>
      </c>
      <c r="I1063">
        <f>IF(COUNTIFS('United Data'!$A$3:$A$3390,I$1,'United Data'!$C$3:$C$3390,$A1063)&gt;0,1,0)</f>
        <v>0</v>
      </c>
      <c r="J1063">
        <f>IF(COUNTIFS('United Data'!$A$3:$A$3390,J$1,'United Data'!$C$3:$C$3390,$A1063)&gt;0,1,0)</f>
        <v>0</v>
      </c>
      <c r="K1063">
        <f>IF(COUNTIFS('United Data'!$A$3:$A$3390,K$1,'United Data'!$C$3:$C$3390,$A1063)&gt;0,1,0)</f>
        <v>0</v>
      </c>
      <c r="L1063">
        <f>IF(COUNTIFS('United Data'!$A$3:$A$3390,L$1,'United Data'!$C$3:$C$3390,$A1063)&gt;0,1,0)</f>
        <v>0</v>
      </c>
      <c r="M1063">
        <f>IF(COUNTIFS('United Data'!$A$3:$A$3390,M$1,'United Data'!$C$3:$C$3390,$A1063)&gt;0,1,0)</f>
        <v>0</v>
      </c>
      <c r="N1063">
        <f>IF(COUNTIFS('United Data'!$A$3:$A$3390,N$1,'United Data'!$C$3:$C$3390,$A1063)&gt;0,1,0)</f>
        <v>0</v>
      </c>
      <c r="O1063">
        <f>IF(COUNTIFS('United Data'!$A$3:$A$3390,O$1,'United Data'!$C$3:$C$3390,$A1063)&gt;0,1,0)</f>
        <v>0</v>
      </c>
      <c r="P1063">
        <f>IF(COUNTIFS('United Data'!$A$3:$A$3390,P$1,'United Data'!$C$3:$C$3390,$A1063)&gt;0,1,0)</f>
        <v>0</v>
      </c>
      <c r="Q1063">
        <f>IF(COUNTIFS('United Data'!$A$3:$A$3390,Q$1,'United Data'!$C$3:$C$3390,$A1063)&gt;0,1,0)</f>
        <v>0</v>
      </c>
      <c r="R1063">
        <f>IF(COUNTIFS('United Data'!$A$3:$A$3390,R$1,'United Data'!$C$3:$C$3390,$A1063)&gt;0,1,0)</f>
        <v>0</v>
      </c>
      <c r="S1063">
        <f t="shared" si="32"/>
        <v>1</v>
      </c>
      <c r="T1063">
        <f t="shared" si="33"/>
        <v>1</v>
      </c>
    </row>
    <row r="1064" spans="1:20" x14ac:dyDescent="0.2">
      <c r="A1064" t="s">
        <v>1274</v>
      </c>
      <c r="B1064">
        <f>IF(COUNTIFS('United Data'!$A$3:$A$3390,B$1,'United Data'!$C$3:$C$3390,$A1064)&gt;0,1,0)</f>
        <v>0</v>
      </c>
      <c r="C1064">
        <f>IF(COUNTIFS('United Data'!$A$3:$A$3390,C$1,'United Data'!$C$3:$C$3390,$A1064)&gt;0,1,0)</f>
        <v>0</v>
      </c>
      <c r="D1064">
        <f>IF(COUNTIFS('United Data'!$A$3:$A$3390,D$1,'United Data'!$C$3:$C$3390,$A1064)&gt;0,1,0)</f>
        <v>1</v>
      </c>
      <c r="E1064">
        <f>IF(COUNTIFS('United Data'!$A$3:$A$3390,E$1,'United Data'!$C$3:$C$3390,$A1064)&gt;0,1,0)</f>
        <v>0</v>
      </c>
      <c r="F1064">
        <f>IF(COUNTIFS('United Data'!$A$3:$A$3390,F$1,'United Data'!$C$3:$C$3390,$A1064)&gt;0,1,0)</f>
        <v>0</v>
      </c>
      <c r="G1064">
        <f>IF(COUNTIFS('United Data'!$A$3:$A$3390,G$1,'United Data'!$C$3:$C$3390,$A1064)&gt;0,1,0)</f>
        <v>0</v>
      </c>
      <c r="H1064">
        <f>IF(COUNTIFS('United Data'!$A$3:$A$3390,H$1,'United Data'!$C$3:$C$3390,$A1064)&gt;0,1,0)</f>
        <v>0</v>
      </c>
      <c r="I1064">
        <f>IF(COUNTIFS('United Data'!$A$3:$A$3390,I$1,'United Data'!$C$3:$C$3390,$A1064)&gt;0,1,0)</f>
        <v>0</v>
      </c>
      <c r="J1064">
        <f>IF(COUNTIFS('United Data'!$A$3:$A$3390,J$1,'United Data'!$C$3:$C$3390,$A1064)&gt;0,1,0)</f>
        <v>0</v>
      </c>
      <c r="K1064">
        <f>IF(COUNTIFS('United Data'!$A$3:$A$3390,K$1,'United Data'!$C$3:$C$3390,$A1064)&gt;0,1,0)</f>
        <v>0</v>
      </c>
      <c r="L1064">
        <f>IF(COUNTIFS('United Data'!$A$3:$A$3390,L$1,'United Data'!$C$3:$C$3390,$A1064)&gt;0,1,0)</f>
        <v>0</v>
      </c>
      <c r="M1064">
        <f>IF(COUNTIFS('United Data'!$A$3:$A$3390,M$1,'United Data'!$C$3:$C$3390,$A1064)&gt;0,1,0)</f>
        <v>0</v>
      </c>
      <c r="N1064">
        <f>IF(COUNTIFS('United Data'!$A$3:$A$3390,N$1,'United Data'!$C$3:$C$3390,$A1064)&gt;0,1,0)</f>
        <v>0</v>
      </c>
      <c r="O1064">
        <f>IF(COUNTIFS('United Data'!$A$3:$A$3390,O$1,'United Data'!$C$3:$C$3390,$A1064)&gt;0,1,0)</f>
        <v>0</v>
      </c>
      <c r="P1064">
        <f>IF(COUNTIFS('United Data'!$A$3:$A$3390,P$1,'United Data'!$C$3:$C$3390,$A1064)&gt;0,1,0)</f>
        <v>0</v>
      </c>
      <c r="Q1064">
        <f>IF(COUNTIFS('United Data'!$A$3:$A$3390,Q$1,'United Data'!$C$3:$C$3390,$A1064)&gt;0,1,0)</f>
        <v>0</v>
      </c>
      <c r="R1064">
        <f>IF(COUNTIFS('United Data'!$A$3:$A$3390,R$1,'United Data'!$C$3:$C$3390,$A1064)&gt;0,1,0)</f>
        <v>0</v>
      </c>
      <c r="S1064">
        <f t="shared" si="32"/>
        <v>1</v>
      </c>
      <c r="T1064">
        <f t="shared" si="33"/>
        <v>1</v>
      </c>
    </row>
    <row r="1065" spans="1:20" x14ac:dyDescent="0.2">
      <c r="A1065" t="s">
        <v>1275</v>
      </c>
      <c r="B1065">
        <f>IF(COUNTIFS('United Data'!$A$3:$A$3390,B$1,'United Data'!$C$3:$C$3390,$A1065)&gt;0,1,0)</f>
        <v>0</v>
      </c>
      <c r="C1065">
        <f>IF(COUNTIFS('United Data'!$A$3:$A$3390,C$1,'United Data'!$C$3:$C$3390,$A1065)&gt;0,1,0)</f>
        <v>0</v>
      </c>
      <c r="D1065">
        <f>IF(COUNTIFS('United Data'!$A$3:$A$3390,D$1,'United Data'!$C$3:$C$3390,$A1065)&gt;0,1,0)</f>
        <v>1</v>
      </c>
      <c r="E1065">
        <f>IF(COUNTIFS('United Data'!$A$3:$A$3390,E$1,'United Data'!$C$3:$C$3390,$A1065)&gt;0,1,0)</f>
        <v>0</v>
      </c>
      <c r="F1065">
        <f>IF(COUNTIFS('United Data'!$A$3:$A$3390,F$1,'United Data'!$C$3:$C$3390,$A1065)&gt;0,1,0)</f>
        <v>0</v>
      </c>
      <c r="G1065">
        <f>IF(COUNTIFS('United Data'!$A$3:$A$3390,G$1,'United Data'!$C$3:$C$3390,$A1065)&gt;0,1,0)</f>
        <v>0</v>
      </c>
      <c r="H1065">
        <f>IF(COUNTIFS('United Data'!$A$3:$A$3390,H$1,'United Data'!$C$3:$C$3390,$A1065)&gt;0,1,0)</f>
        <v>0</v>
      </c>
      <c r="I1065">
        <f>IF(COUNTIFS('United Data'!$A$3:$A$3390,I$1,'United Data'!$C$3:$C$3390,$A1065)&gt;0,1,0)</f>
        <v>0</v>
      </c>
      <c r="J1065">
        <f>IF(COUNTIFS('United Data'!$A$3:$A$3390,J$1,'United Data'!$C$3:$C$3390,$A1065)&gt;0,1,0)</f>
        <v>0</v>
      </c>
      <c r="K1065">
        <f>IF(COUNTIFS('United Data'!$A$3:$A$3390,K$1,'United Data'!$C$3:$C$3390,$A1065)&gt;0,1,0)</f>
        <v>0</v>
      </c>
      <c r="L1065">
        <f>IF(COUNTIFS('United Data'!$A$3:$A$3390,L$1,'United Data'!$C$3:$C$3390,$A1065)&gt;0,1,0)</f>
        <v>0</v>
      </c>
      <c r="M1065">
        <f>IF(COUNTIFS('United Data'!$A$3:$A$3390,M$1,'United Data'!$C$3:$C$3390,$A1065)&gt;0,1,0)</f>
        <v>0</v>
      </c>
      <c r="N1065">
        <f>IF(COUNTIFS('United Data'!$A$3:$A$3390,N$1,'United Data'!$C$3:$C$3390,$A1065)&gt;0,1,0)</f>
        <v>0</v>
      </c>
      <c r="O1065">
        <f>IF(COUNTIFS('United Data'!$A$3:$A$3390,O$1,'United Data'!$C$3:$C$3390,$A1065)&gt;0,1,0)</f>
        <v>0</v>
      </c>
      <c r="P1065">
        <f>IF(COUNTIFS('United Data'!$A$3:$A$3390,P$1,'United Data'!$C$3:$C$3390,$A1065)&gt;0,1,0)</f>
        <v>0</v>
      </c>
      <c r="Q1065">
        <f>IF(COUNTIFS('United Data'!$A$3:$A$3390,Q$1,'United Data'!$C$3:$C$3390,$A1065)&gt;0,1,0)</f>
        <v>0</v>
      </c>
      <c r="R1065">
        <f>IF(COUNTIFS('United Data'!$A$3:$A$3390,R$1,'United Data'!$C$3:$C$3390,$A1065)&gt;0,1,0)</f>
        <v>0</v>
      </c>
      <c r="S1065">
        <f t="shared" si="32"/>
        <v>1</v>
      </c>
      <c r="T1065">
        <f t="shared" si="33"/>
        <v>1</v>
      </c>
    </row>
    <row r="1066" spans="1:20" x14ac:dyDescent="0.2">
      <c r="A1066" t="s">
        <v>1276</v>
      </c>
      <c r="B1066">
        <f>IF(COUNTIFS('United Data'!$A$3:$A$3390,B$1,'United Data'!$C$3:$C$3390,$A1066)&gt;0,1,0)</f>
        <v>0</v>
      </c>
      <c r="C1066">
        <f>IF(COUNTIFS('United Data'!$A$3:$A$3390,C$1,'United Data'!$C$3:$C$3390,$A1066)&gt;0,1,0)</f>
        <v>0</v>
      </c>
      <c r="D1066">
        <f>IF(COUNTIFS('United Data'!$A$3:$A$3390,D$1,'United Data'!$C$3:$C$3390,$A1066)&gt;0,1,0)</f>
        <v>1</v>
      </c>
      <c r="E1066">
        <f>IF(COUNTIFS('United Data'!$A$3:$A$3390,E$1,'United Data'!$C$3:$C$3390,$A1066)&gt;0,1,0)</f>
        <v>0</v>
      </c>
      <c r="F1066">
        <f>IF(COUNTIFS('United Data'!$A$3:$A$3390,F$1,'United Data'!$C$3:$C$3390,$A1066)&gt;0,1,0)</f>
        <v>0</v>
      </c>
      <c r="G1066">
        <f>IF(COUNTIFS('United Data'!$A$3:$A$3390,G$1,'United Data'!$C$3:$C$3390,$A1066)&gt;0,1,0)</f>
        <v>0</v>
      </c>
      <c r="H1066">
        <f>IF(COUNTIFS('United Data'!$A$3:$A$3390,H$1,'United Data'!$C$3:$C$3390,$A1066)&gt;0,1,0)</f>
        <v>0</v>
      </c>
      <c r="I1066">
        <f>IF(COUNTIFS('United Data'!$A$3:$A$3390,I$1,'United Data'!$C$3:$C$3390,$A1066)&gt;0,1,0)</f>
        <v>0</v>
      </c>
      <c r="J1066">
        <f>IF(COUNTIFS('United Data'!$A$3:$A$3390,J$1,'United Data'!$C$3:$C$3390,$A1066)&gt;0,1,0)</f>
        <v>0</v>
      </c>
      <c r="K1066">
        <f>IF(COUNTIFS('United Data'!$A$3:$A$3390,K$1,'United Data'!$C$3:$C$3390,$A1066)&gt;0,1,0)</f>
        <v>0</v>
      </c>
      <c r="L1066">
        <f>IF(COUNTIFS('United Data'!$A$3:$A$3390,L$1,'United Data'!$C$3:$C$3390,$A1066)&gt;0,1,0)</f>
        <v>0</v>
      </c>
      <c r="M1066">
        <f>IF(COUNTIFS('United Data'!$A$3:$A$3390,M$1,'United Data'!$C$3:$C$3390,$A1066)&gt;0,1,0)</f>
        <v>0</v>
      </c>
      <c r="N1066">
        <f>IF(COUNTIFS('United Data'!$A$3:$A$3390,N$1,'United Data'!$C$3:$C$3390,$A1066)&gt;0,1,0)</f>
        <v>0</v>
      </c>
      <c r="O1066">
        <f>IF(COUNTIFS('United Data'!$A$3:$A$3390,O$1,'United Data'!$C$3:$C$3390,$A1066)&gt;0,1,0)</f>
        <v>0</v>
      </c>
      <c r="P1066">
        <f>IF(COUNTIFS('United Data'!$A$3:$A$3390,P$1,'United Data'!$C$3:$C$3390,$A1066)&gt;0,1,0)</f>
        <v>0</v>
      </c>
      <c r="Q1066">
        <f>IF(COUNTIFS('United Data'!$A$3:$A$3390,Q$1,'United Data'!$C$3:$C$3390,$A1066)&gt;0,1,0)</f>
        <v>0</v>
      </c>
      <c r="R1066">
        <f>IF(COUNTIFS('United Data'!$A$3:$A$3390,R$1,'United Data'!$C$3:$C$3390,$A1066)&gt;0,1,0)</f>
        <v>0</v>
      </c>
      <c r="S1066">
        <f t="shared" si="32"/>
        <v>1</v>
      </c>
      <c r="T1066">
        <f t="shared" si="33"/>
        <v>1</v>
      </c>
    </row>
    <row r="1067" spans="1:20" x14ac:dyDescent="0.2">
      <c r="A1067" t="s">
        <v>1277</v>
      </c>
      <c r="B1067">
        <f>IF(COUNTIFS('United Data'!$A$3:$A$3390,B$1,'United Data'!$C$3:$C$3390,$A1067)&gt;0,1,0)</f>
        <v>0</v>
      </c>
      <c r="C1067">
        <f>IF(COUNTIFS('United Data'!$A$3:$A$3390,C$1,'United Data'!$C$3:$C$3390,$A1067)&gt;0,1,0)</f>
        <v>0</v>
      </c>
      <c r="D1067">
        <f>IF(COUNTIFS('United Data'!$A$3:$A$3390,D$1,'United Data'!$C$3:$C$3390,$A1067)&gt;0,1,0)</f>
        <v>1</v>
      </c>
      <c r="E1067">
        <f>IF(COUNTIFS('United Data'!$A$3:$A$3390,E$1,'United Data'!$C$3:$C$3390,$A1067)&gt;0,1,0)</f>
        <v>1</v>
      </c>
      <c r="F1067">
        <f>IF(COUNTIFS('United Data'!$A$3:$A$3390,F$1,'United Data'!$C$3:$C$3390,$A1067)&gt;0,1,0)</f>
        <v>0</v>
      </c>
      <c r="G1067">
        <f>IF(COUNTIFS('United Data'!$A$3:$A$3390,G$1,'United Data'!$C$3:$C$3390,$A1067)&gt;0,1,0)</f>
        <v>0</v>
      </c>
      <c r="H1067">
        <f>IF(COUNTIFS('United Data'!$A$3:$A$3390,H$1,'United Data'!$C$3:$C$3390,$A1067)&gt;0,1,0)</f>
        <v>0</v>
      </c>
      <c r="I1067">
        <f>IF(COUNTIFS('United Data'!$A$3:$A$3390,I$1,'United Data'!$C$3:$C$3390,$A1067)&gt;0,1,0)</f>
        <v>0</v>
      </c>
      <c r="J1067">
        <f>IF(COUNTIFS('United Data'!$A$3:$A$3390,J$1,'United Data'!$C$3:$C$3390,$A1067)&gt;0,1,0)</f>
        <v>0</v>
      </c>
      <c r="K1067">
        <f>IF(COUNTIFS('United Data'!$A$3:$A$3390,K$1,'United Data'!$C$3:$C$3390,$A1067)&gt;0,1,0)</f>
        <v>0</v>
      </c>
      <c r="L1067">
        <f>IF(COUNTIFS('United Data'!$A$3:$A$3390,L$1,'United Data'!$C$3:$C$3390,$A1067)&gt;0,1,0)</f>
        <v>0</v>
      </c>
      <c r="M1067">
        <f>IF(COUNTIFS('United Data'!$A$3:$A$3390,M$1,'United Data'!$C$3:$C$3390,$A1067)&gt;0,1,0)</f>
        <v>0</v>
      </c>
      <c r="N1067">
        <f>IF(COUNTIFS('United Data'!$A$3:$A$3390,N$1,'United Data'!$C$3:$C$3390,$A1067)&gt;0,1,0)</f>
        <v>0</v>
      </c>
      <c r="O1067">
        <f>IF(COUNTIFS('United Data'!$A$3:$A$3390,O$1,'United Data'!$C$3:$C$3390,$A1067)&gt;0,1,0)</f>
        <v>0</v>
      </c>
      <c r="P1067">
        <f>IF(COUNTIFS('United Data'!$A$3:$A$3390,P$1,'United Data'!$C$3:$C$3390,$A1067)&gt;0,1,0)</f>
        <v>0</v>
      </c>
      <c r="Q1067">
        <f>IF(COUNTIFS('United Data'!$A$3:$A$3390,Q$1,'United Data'!$C$3:$C$3390,$A1067)&gt;0,1,0)</f>
        <v>0</v>
      </c>
      <c r="R1067">
        <f>IF(COUNTIFS('United Data'!$A$3:$A$3390,R$1,'United Data'!$C$3:$C$3390,$A1067)&gt;0,1,0)</f>
        <v>0</v>
      </c>
      <c r="S1067">
        <f t="shared" si="32"/>
        <v>2</v>
      </c>
      <c r="T1067">
        <f t="shared" si="33"/>
        <v>1</v>
      </c>
    </row>
    <row r="1068" spans="1:20" x14ac:dyDescent="0.2">
      <c r="A1068" t="s">
        <v>1278</v>
      </c>
      <c r="B1068">
        <f>IF(COUNTIFS('United Data'!$A$3:$A$3390,B$1,'United Data'!$C$3:$C$3390,$A1068)&gt;0,1,0)</f>
        <v>0</v>
      </c>
      <c r="C1068">
        <f>IF(COUNTIFS('United Data'!$A$3:$A$3390,C$1,'United Data'!$C$3:$C$3390,$A1068)&gt;0,1,0)</f>
        <v>0</v>
      </c>
      <c r="D1068">
        <f>IF(COUNTIFS('United Data'!$A$3:$A$3390,D$1,'United Data'!$C$3:$C$3390,$A1068)&gt;0,1,0)</f>
        <v>1</v>
      </c>
      <c r="E1068">
        <f>IF(COUNTIFS('United Data'!$A$3:$A$3390,E$1,'United Data'!$C$3:$C$3390,$A1068)&gt;0,1,0)</f>
        <v>0</v>
      </c>
      <c r="F1068">
        <f>IF(COUNTIFS('United Data'!$A$3:$A$3390,F$1,'United Data'!$C$3:$C$3390,$A1068)&gt;0,1,0)</f>
        <v>1</v>
      </c>
      <c r="G1068">
        <f>IF(COUNTIFS('United Data'!$A$3:$A$3390,G$1,'United Data'!$C$3:$C$3390,$A1068)&gt;0,1,0)</f>
        <v>1</v>
      </c>
      <c r="H1068">
        <f>IF(COUNTIFS('United Data'!$A$3:$A$3390,H$1,'United Data'!$C$3:$C$3390,$A1068)&gt;0,1,0)</f>
        <v>0</v>
      </c>
      <c r="I1068">
        <f>IF(COUNTIFS('United Data'!$A$3:$A$3390,I$1,'United Data'!$C$3:$C$3390,$A1068)&gt;0,1,0)</f>
        <v>0</v>
      </c>
      <c r="J1068">
        <f>IF(COUNTIFS('United Data'!$A$3:$A$3390,J$1,'United Data'!$C$3:$C$3390,$A1068)&gt;0,1,0)</f>
        <v>1</v>
      </c>
      <c r="K1068">
        <f>IF(COUNTIFS('United Data'!$A$3:$A$3390,K$1,'United Data'!$C$3:$C$3390,$A1068)&gt;0,1,0)</f>
        <v>0</v>
      </c>
      <c r="L1068">
        <f>IF(COUNTIFS('United Data'!$A$3:$A$3390,L$1,'United Data'!$C$3:$C$3390,$A1068)&gt;0,1,0)</f>
        <v>0</v>
      </c>
      <c r="M1068">
        <f>IF(COUNTIFS('United Data'!$A$3:$A$3390,M$1,'United Data'!$C$3:$C$3390,$A1068)&gt;0,1,0)</f>
        <v>0</v>
      </c>
      <c r="N1068">
        <f>IF(COUNTIFS('United Data'!$A$3:$A$3390,N$1,'United Data'!$C$3:$C$3390,$A1068)&gt;0,1,0)</f>
        <v>0</v>
      </c>
      <c r="O1068">
        <f>IF(COUNTIFS('United Data'!$A$3:$A$3390,O$1,'United Data'!$C$3:$C$3390,$A1068)&gt;0,1,0)</f>
        <v>0</v>
      </c>
      <c r="P1068">
        <f>IF(COUNTIFS('United Data'!$A$3:$A$3390,P$1,'United Data'!$C$3:$C$3390,$A1068)&gt;0,1,0)</f>
        <v>0</v>
      </c>
      <c r="Q1068">
        <f>IF(COUNTIFS('United Data'!$A$3:$A$3390,Q$1,'United Data'!$C$3:$C$3390,$A1068)&gt;0,1,0)</f>
        <v>0</v>
      </c>
      <c r="R1068">
        <f>IF(COUNTIFS('United Data'!$A$3:$A$3390,R$1,'United Data'!$C$3:$C$3390,$A1068)&gt;0,1,0)</f>
        <v>0</v>
      </c>
      <c r="S1068">
        <f t="shared" si="32"/>
        <v>4</v>
      </c>
      <c r="T1068">
        <f t="shared" si="33"/>
        <v>3</v>
      </c>
    </row>
    <row r="1069" spans="1:20" x14ac:dyDescent="0.2">
      <c r="A1069" t="s">
        <v>1279</v>
      </c>
      <c r="B1069">
        <f>IF(COUNTIFS('United Data'!$A$3:$A$3390,B$1,'United Data'!$C$3:$C$3390,$A1069)&gt;0,1,0)</f>
        <v>0</v>
      </c>
      <c r="C1069">
        <f>IF(COUNTIFS('United Data'!$A$3:$A$3390,C$1,'United Data'!$C$3:$C$3390,$A1069)&gt;0,1,0)</f>
        <v>0</v>
      </c>
      <c r="D1069">
        <f>IF(COUNTIFS('United Data'!$A$3:$A$3390,D$1,'United Data'!$C$3:$C$3390,$A1069)&gt;0,1,0)</f>
        <v>1</v>
      </c>
      <c r="E1069">
        <f>IF(COUNTIFS('United Data'!$A$3:$A$3390,E$1,'United Data'!$C$3:$C$3390,$A1069)&gt;0,1,0)</f>
        <v>0</v>
      </c>
      <c r="F1069">
        <f>IF(COUNTIFS('United Data'!$A$3:$A$3390,F$1,'United Data'!$C$3:$C$3390,$A1069)&gt;0,1,0)</f>
        <v>0</v>
      </c>
      <c r="G1069">
        <f>IF(COUNTIFS('United Data'!$A$3:$A$3390,G$1,'United Data'!$C$3:$C$3390,$A1069)&gt;0,1,0)</f>
        <v>0</v>
      </c>
      <c r="H1069">
        <f>IF(COUNTIFS('United Data'!$A$3:$A$3390,H$1,'United Data'!$C$3:$C$3390,$A1069)&gt;0,1,0)</f>
        <v>0</v>
      </c>
      <c r="I1069">
        <f>IF(COUNTIFS('United Data'!$A$3:$A$3390,I$1,'United Data'!$C$3:$C$3390,$A1069)&gt;0,1,0)</f>
        <v>0</v>
      </c>
      <c r="J1069">
        <f>IF(COUNTIFS('United Data'!$A$3:$A$3390,J$1,'United Data'!$C$3:$C$3390,$A1069)&gt;0,1,0)</f>
        <v>0</v>
      </c>
      <c r="K1069">
        <f>IF(COUNTIFS('United Data'!$A$3:$A$3390,K$1,'United Data'!$C$3:$C$3390,$A1069)&gt;0,1,0)</f>
        <v>0</v>
      </c>
      <c r="L1069">
        <f>IF(COUNTIFS('United Data'!$A$3:$A$3390,L$1,'United Data'!$C$3:$C$3390,$A1069)&gt;0,1,0)</f>
        <v>0</v>
      </c>
      <c r="M1069">
        <f>IF(COUNTIFS('United Data'!$A$3:$A$3390,M$1,'United Data'!$C$3:$C$3390,$A1069)&gt;0,1,0)</f>
        <v>0</v>
      </c>
      <c r="N1069">
        <f>IF(COUNTIFS('United Data'!$A$3:$A$3390,N$1,'United Data'!$C$3:$C$3390,$A1069)&gt;0,1,0)</f>
        <v>0</v>
      </c>
      <c r="O1069">
        <f>IF(COUNTIFS('United Data'!$A$3:$A$3390,O$1,'United Data'!$C$3:$C$3390,$A1069)&gt;0,1,0)</f>
        <v>0</v>
      </c>
      <c r="P1069">
        <f>IF(COUNTIFS('United Data'!$A$3:$A$3390,P$1,'United Data'!$C$3:$C$3390,$A1069)&gt;0,1,0)</f>
        <v>0</v>
      </c>
      <c r="Q1069">
        <f>IF(COUNTIFS('United Data'!$A$3:$A$3390,Q$1,'United Data'!$C$3:$C$3390,$A1069)&gt;0,1,0)</f>
        <v>0</v>
      </c>
      <c r="R1069">
        <f>IF(COUNTIFS('United Data'!$A$3:$A$3390,R$1,'United Data'!$C$3:$C$3390,$A1069)&gt;0,1,0)</f>
        <v>0</v>
      </c>
      <c r="S1069">
        <f t="shared" si="32"/>
        <v>1</v>
      </c>
      <c r="T1069">
        <f t="shared" si="33"/>
        <v>1</v>
      </c>
    </row>
    <row r="1070" spans="1:20" x14ac:dyDescent="0.2">
      <c r="A1070" t="s">
        <v>1280</v>
      </c>
      <c r="B1070">
        <f>IF(COUNTIFS('United Data'!$A$3:$A$3390,B$1,'United Data'!$C$3:$C$3390,$A1070)&gt;0,1,0)</f>
        <v>0</v>
      </c>
      <c r="C1070">
        <f>IF(COUNTIFS('United Data'!$A$3:$A$3390,C$1,'United Data'!$C$3:$C$3390,$A1070)&gt;0,1,0)</f>
        <v>0</v>
      </c>
      <c r="D1070">
        <f>IF(COUNTIFS('United Data'!$A$3:$A$3390,D$1,'United Data'!$C$3:$C$3390,$A1070)&gt;0,1,0)</f>
        <v>0</v>
      </c>
      <c r="E1070">
        <f>IF(COUNTIFS('United Data'!$A$3:$A$3390,E$1,'United Data'!$C$3:$C$3390,$A1070)&gt;0,1,0)</f>
        <v>1</v>
      </c>
      <c r="F1070">
        <f>IF(COUNTIFS('United Data'!$A$3:$A$3390,F$1,'United Data'!$C$3:$C$3390,$A1070)&gt;0,1,0)</f>
        <v>0</v>
      </c>
      <c r="G1070">
        <f>IF(COUNTIFS('United Data'!$A$3:$A$3390,G$1,'United Data'!$C$3:$C$3390,$A1070)&gt;0,1,0)</f>
        <v>0</v>
      </c>
      <c r="H1070">
        <f>IF(COUNTIFS('United Data'!$A$3:$A$3390,H$1,'United Data'!$C$3:$C$3390,$A1070)&gt;0,1,0)</f>
        <v>0</v>
      </c>
      <c r="I1070">
        <f>IF(COUNTIFS('United Data'!$A$3:$A$3390,I$1,'United Data'!$C$3:$C$3390,$A1070)&gt;0,1,0)</f>
        <v>0</v>
      </c>
      <c r="J1070">
        <f>IF(COUNTIFS('United Data'!$A$3:$A$3390,J$1,'United Data'!$C$3:$C$3390,$A1070)&gt;0,1,0)</f>
        <v>0</v>
      </c>
      <c r="K1070">
        <f>IF(COUNTIFS('United Data'!$A$3:$A$3390,K$1,'United Data'!$C$3:$C$3390,$A1070)&gt;0,1,0)</f>
        <v>0</v>
      </c>
      <c r="L1070">
        <f>IF(COUNTIFS('United Data'!$A$3:$A$3390,L$1,'United Data'!$C$3:$C$3390,$A1070)&gt;0,1,0)</f>
        <v>0</v>
      </c>
      <c r="M1070">
        <f>IF(COUNTIFS('United Data'!$A$3:$A$3390,M$1,'United Data'!$C$3:$C$3390,$A1070)&gt;0,1,0)</f>
        <v>0</v>
      </c>
      <c r="N1070">
        <f>IF(COUNTIFS('United Data'!$A$3:$A$3390,N$1,'United Data'!$C$3:$C$3390,$A1070)&gt;0,1,0)</f>
        <v>0</v>
      </c>
      <c r="O1070">
        <f>IF(COUNTIFS('United Data'!$A$3:$A$3390,O$1,'United Data'!$C$3:$C$3390,$A1070)&gt;0,1,0)</f>
        <v>0</v>
      </c>
      <c r="P1070">
        <f>IF(COUNTIFS('United Data'!$A$3:$A$3390,P$1,'United Data'!$C$3:$C$3390,$A1070)&gt;0,1,0)</f>
        <v>0</v>
      </c>
      <c r="Q1070">
        <f>IF(COUNTIFS('United Data'!$A$3:$A$3390,Q$1,'United Data'!$C$3:$C$3390,$A1070)&gt;0,1,0)</f>
        <v>0</v>
      </c>
      <c r="R1070">
        <f>IF(COUNTIFS('United Data'!$A$3:$A$3390,R$1,'United Data'!$C$3:$C$3390,$A1070)&gt;0,1,0)</f>
        <v>0</v>
      </c>
      <c r="S1070">
        <f t="shared" si="32"/>
        <v>1</v>
      </c>
      <c r="T1070">
        <f t="shared" si="33"/>
        <v>1</v>
      </c>
    </row>
    <row r="1071" spans="1:20" x14ac:dyDescent="0.2">
      <c r="A1071" t="s">
        <v>1281</v>
      </c>
      <c r="B1071">
        <f>IF(COUNTIFS('United Data'!$A$3:$A$3390,B$1,'United Data'!$C$3:$C$3390,$A1071)&gt;0,1,0)</f>
        <v>0</v>
      </c>
      <c r="C1071">
        <f>IF(COUNTIFS('United Data'!$A$3:$A$3390,C$1,'United Data'!$C$3:$C$3390,$A1071)&gt;0,1,0)</f>
        <v>0</v>
      </c>
      <c r="D1071">
        <f>IF(COUNTIFS('United Data'!$A$3:$A$3390,D$1,'United Data'!$C$3:$C$3390,$A1071)&gt;0,1,0)</f>
        <v>0</v>
      </c>
      <c r="E1071">
        <f>IF(COUNTIFS('United Data'!$A$3:$A$3390,E$1,'United Data'!$C$3:$C$3390,$A1071)&gt;0,1,0)</f>
        <v>1</v>
      </c>
      <c r="F1071">
        <f>IF(COUNTIFS('United Data'!$A$3:$A$3390,F$1,'United Data'!$C$3:$C$3390,$A1071)&gt;0,1,0)</f>
        <v>1</v>
      </c>
      <c r="G1071">
        <f>IF(COUNTIFS('United Data'!$A$3:$A$3390,G$1,'United Data'!$C$3:$C$3390,$A1071)&gt;0,1,0)</f>
        <v>0</v>
      </c>
      <c r="H1071">
        <f>IF(COUNTIFS('United Data'!$A$3:$A$3390,H$1,'United Data'!$C$3:$C$3390,$A1071)&gt;0,1,0)</f>
        <v>0</v>
      </c>
      <c r="I1071">
        <f>IF(COUNTIFS('United Data'!$A$3:$A$3390,I$1,'United Data'!$C$3:$C$3390,$A1071)&gt;0,1,0)</f>
        <v>0</v>
      </c>
      <c r="J1071">
        <f>IF(COUNTIFS('United Data'!$A$3:$A$3390,J$1,'United Data'!$C$3:$C$3390,$A1071)&gt;0,1,0)</f>
        <v>0</v>
      </c>
      <c r="K1071">
        <f>IF(COUNTIFS('United Data'!$A$3:$A$3390,K$1,'United Data'!$C$3:$C$3390,$A1071)&gt;0,1,0)</f>
        <v>0</v>
      </c>
      <c r="L1071">
        <f>IF(COUNTIFS('United Data'!$A$3:$A$3390,L$1,'United Data'!$C$3:$C$3390,$A1071)&gt;0,1,0)</f>
        <v>0</v>
      </c>
      <c r="M1071">
        <f>IF(COUNTIFS('United Data'!$A$3:$A$3390,M$1,'United Data'!$C$3:$C$3390,$A1071)&gt;0,1,0)</f>
        <v>0</v>
      </c>
      <c r="N1071">
        <f>IF(COUNTIFS('United Data'!$A$3:$A$3390,N$1,'United Data'!$C$3:$C$3390,$A1071)&gt;0,1,0)</f>
        <v>0</v>
      </c>
      <c r="O1071">
        <f>IF(COUNTIFS('United Data'!$A$3:$A$3390,O$1,'United Data'!$C$3:$C$3390,$A1071)&gt;0,1,0)</f>
        <v>0</v>
      </c>
      <c r="P1071">
        <f>IF(COUNTIFS('United Data'!$A$3:$A$3390,P$1,'United Data'!$C$3:$C$3390,$A1071)&gt;0,1,0)</f>
        <v>0</v>
      </c>
      <c r="Q1071">
        <f>IF(COUNTIFS('United Data'!$A$3:$A$3390,Q$1,'United Data'!$C$3:$C$3390,$A1071)&gt;0,1,0)</f>
        <v>0</v>
      </c>
      <c r="R1071">
        <f>IF(COUNTIFS('United Data'!$A$3:$A$3390,R$1,'United Data'!$C$3:$C$3390,$A1071)&gt;0,1,0)</f>
        <v>0</v>
      </c>
      <c r="S1071">
        <f t="shared" si="32"/>
        <v>2</v>
      </c>
      <c r="T1071">
        <f t="shared" si="33"/>
        <v>1</v>
      </c>
    </row>
    <row r="1072" spans="1:20" x14ac:dyDescent="0.2">
      <c r="A1072" t="s">
        <v>1282</v>
      </c>
      <c r="B1072">
        <f>IF(COUNTIFS('United Data'!$A$3:$A$3390,B$1,'United Data'!$C$3:$C$3390,$A1072)&gt;0,1,0)</f>
        <v>0</v>
      </c>
      <c r="C1072">
        <f>IF(COUNTIFS('United Data'!$A$3:$A$3390,C$1,'United Data'!$C$3:$C$3390,$A1072)&gt;0,1,0)</f>
        <v>0</v>
      </c>
      <c r="D1072">
        <f>IF(COUNTIFS('United Data'!$A$3:$A$3390,D$1,'United Data'!$C$3:$C$3390,$A1072)&gt;0,1,0)</f>
        <v>0</v>
      </c>
      <c r="E1072">
        <f>IF(COUNTIFS('United Data'!$A$3:$A$3390,E$1,'United Data'!$C$3:$C$3390,$A1072)&gt;0,1,0)</f>
        <v>1</v>
      </c>
      <c r="F1072">
        <f>IF(COUNTIFS('United Data'!$A$3:$A$3390,F$1,'United Data'!$C$3:$C$3390,$A1072)&gt;0,1,0)</f>
        <v>1</v>
      </c>
      <c r="G1072">
        <f>IF(COUNTIFS('United Data'!$A$3:$A$3390,G$1,'United Data'!$C$3:$C$3390,$A1072)&gt;0,1,0)</f>
        <v>0</v>
      </c>
      <c r="H1072">
        <f>IF(COUNTIFS('United Data'!$A$3:$A$3390,H$1,'United Data'!$C$3:$C$3390,$A1072)&gt;0,1,0)</f>
        <v>0</v>
      </c>
      <c r="I1072">
        <f>IF(COUNTIFS('United Data'!$A$3:$A$3390,I$1,'United Data'!$C$3:$C$3390,$A1072)&gt;0,1,0)</f>
        <v>0</v>
      </c>
      <c r="J1072">
        <f>IF(COUNTIFS('United Data'!$A$3:$A$3390,J$1,'United Data'!$C$3:$C$3390,$A1072)&gt;0,1,0)</f>
        <v>0</v>
      </c>
      <c r="K1072">
        <f>IF(COUNTIFS('United Data'!$A$3:$A$3390,K$1,'United Data'!$C$3:$C$3390,$A1072)&gt;0,1,0)</f>
        <v>0</v>
      </c>
      <c r="L1072">
        <f>IF(COUNTIFS('United Data'!$A$3:$A$3390,L$1,'United Data'!$C$3:$C$3390,$A1072)&gt;0,1,0)</f>
        <v>0</v>
      </c>
      <c r="M1072">
        <f>IF(COUNTIFS('United Data'!$A$3:$A$3390,M$1,'United Data'!$C$3:$C$3390,$A1072)&gt;0,1,0)</f>
        <v>0</v>
      </c>
      <c r="N1072">
        <f>IF(COUNTIFS('United Data'!$A$3:$A$3390,N$1,'United Data'!$C$3:$C$3390,$A1072)&gt;0,1,0)</f>
        <v>0</v>
      </c>
      <c r="O1072">
        <f>IF(COUNTIFS('United Data'!$A$3:$A$3390,O$1,'United Data'!$C$3:$C$3390,$A1072)&gt;0,1,0)</f>
        <v>0</v>
      </c>
      <c r="P1072">
        <f>IF(COUNTIFS('United Data'!$A$3:$A$3390,P$1,'United Data'!$C$3:$C$3390,$A1072)&gt;0,1,0)</f>
        <v>0</v>
      </c>
      <c r="Q1072">
        <f>IF(COUNTIFS('United Data'!$A$3:$A$3390,Q$1,'United Data'!$C$3:$C$3390,$A1072)&gt;0,1,0)</f>
        <v>0</v>
      </c>
      <c r="R1072">
        <f>IF(COUNTIFS('United Data'!$A$3:$A$3390,R$1,'United Data'!$C$3:$C$3390,$A1072)&gt;0,1,0)</f>
        <v>0</v>
      </c>
      <c r="S1072">
        <f t="shared" si="32"/>
        <v>2</v>
      </c>
      <c r="T1072">
        <f t="shared" si="33"/>
        <v>1</v>
      </c>
    </row>
    <row r="1073" spans="1:20" x14ac:dyDescent="0.2">
      <c r="A1073" t="s">
        <v>1284</v>
      </c>
      <c r="B1073">
        <f>IF(COUNTIFS('United Data'!$A$3:$A$3390,B$1,'United Data'!$C$3:$C$3390,$A1073)&gt;0,1,0)</f>
        <v>0</v>
      </c>
      <c r="C1073">
        <f>IF(COUNTIFS('United Data'!$A$3:$A$3390,C$1,'United Data'!$C$3:$C$3390,$A1073)&gt;0,1,0)</f>
        <v>0</v>
      </c>
      <c r="D1073">
        <f>IF(COUNTIFS('United Data'!$A$3:$A$3390,D$1,'United Data'!$C$3:$C$3390,$A1073)&gt;0,1,0)</f>
        <v>0</v>
      </c>
      <c r="E1073">
        <f>IF(COUNTIFS('United Data'!$A$3:$A$3390,E$1,'United Data'!$C$3:$C$3390,$A1073)&gt;0,1,0)</f>
        <v>1</v>
      </c>
      <c r="F1073">
        <f>IF(COUNTIFS('United Data'!$A$3:$A$3390,F$1,'United Data'!$C$3:$C$3390,$A1073)&gt;0,1,0)</f>
        <v>0</v>
      </c>
      <c r="G1073">
        <f>IF(COUNTIFS('United Data'!$A$3:$A$3390,G$1,'United Data'!$C$3:$C$3390,$A1073)&gt;0,1,0)</f>
        <v>0</v>
      </c>
      <c r="H1073">
        <f>IF(COUNTIFS('United Data'!$A$3:$A$3390,H$1,'United Data'!$C$3:$C$3390,$A1073)&gt;0,1,0)</f>
        <v>0</v>
      </c>
      <c r="I1073">
        <f>IF(COUNTIFS('United Data'!$A$3:$A$3390,I$1,'United Data'!$C$3:$C$3390,$A1073)&gt;0,1,0)</f>
        <v>0</v>
      </c>
      <c r="J1073">
        <f>IF(COUNTIFS('United Data'!$A$3:$A$3390,J$1,'United Data'!$C$3:$C$3390,$A1073)&gt;0,1,0)</f>
        <v>0</v>
      </c>
      <c r="K1073">
        <f>IF(COUNTIFS('United Data'!$A$3:$A$3390,K$1,'United Data'!$C$3:$C$3390,$A1073)&gt;0,1,0)</f>
        <v>0</v>
      </c>
      <c r="L1073">
        <f>IF(COUNTIFS('United Data'!$A$3:$A$3390,L$1,'United Data'!$C$3:$C$3390,$A1073)&gt;0,1,0)</f>
        <v>0</v>
      </c>
      <c r="M1073">
        <f>IF(COUNTIFS('United Data'!$A$3:$A$3390,M$1,'United Data'!$C$3:$C$3390,$A1073)&gt;0,1,0)</f>
        <v>0</v>
      </c>
      <c r="N1073">
        <f>IF(COUNTIFS('United Data'!$A$3:$A$3390,N$1,'United Data'!$C$3:$C$3390,$A1073)&gt;0,1,0)</f>
        <v>0</v>
      </c>
      <c r="O1073">
        <f>IF(COUNTIFS('United Data'!$A$3:$A$3390,O$1,'United Data'!$C$3:$C$3390,$A1073)&gt;0,1,0)</f>
        <v>0</v>
      </c>
      <c r="P1073">
        <f>IF(COUNTIFS('United Data'!$A$3:$A$3390,P$1,'United Data'!$C$3:$C$3390,$A1073)&gt;0,1,0)</f>
        <v>0</v>
      </c>
      <c r="Q1073">
        <f>IF(COUNTIFS('United Data'!$A$3:$A$3390,Q$1,'United Data'!$C$3:$C$3390,$A1073)&gt;0,1,0)</f>
        <v>0</v>
      </c>
      <c r="R1073">
        <f>IF(COUNTIFS('United Data'!$A$3:$A$3390,R$1,'United Data'!$C$3:$C$3390,$A1073)&gt;0,1,0)</f>
        <v>0</v>
      </c>
      <c r="S1073">
        <f t="shared" si="32"/>
        <v>1</v>
      </c>
      <c r="T1073">
        <f t="shared" si="33"/>
        <v>1</v>
      </c>
    </row>
    <row r="1074" spans="1:20" x14ac:dyDescent="0.2">
      <c r="A1074" t="s">
        <v>1285</v>
      </c>
      <c r="B1074">
        <f>IF(COUNTIFS('United Data'!$A$3:$A$3390,B$1,'United Data'!$C$3:$C$3390,$A1074)&gt;0,1,0)</f>
        <v>0</v>
      </c>
      <c r="C1074">
        <f>IF(COUNTIFS('United Data'!$A$3:$A$3390,C$1,'United Data'!$C$3:$C$3390,$A1074)&gt;0,1,0)</f>
        <v>0</v>
      </c>
      <c r="D1074">
        <f>IF(COUNTIFS('United Data'!$A$3:$A$3390,D$1,'United Data'!$C$3:$C$3390,$A1074)&gt;0,1,0)</f>
        <v>0</v>
      </c>
      <c r="E1074">
        <f>IF(COUNTIFS('United Data'!$A$3:$A$3390,E$1,'United Data'!$C$3:$C$3390,$A1074)&gt;0,1,0)</f>
        <v>1</v>
      </c>
      <c r="F1074">
        <f>IF(COUNTIFS('United Data'!$A$3:$A$3390,F$1,'United Data'!$C$3:$C$3390,$A1074)&gt;0,1,0)</f>
        <v>1</v>
      </c>
      <c r="G1074">
        <f>IF(COUNTIFS('United Data'!$A$3:$A$3390,G$1,'United Data'!$C$3:$C$3390,$A1074)&gt;0,1,0)</f>
        <v>0</v>
      </c>
      <c r="H1074">
        <f>IF(COUNTIFS('United Data'!$A$3:$A$3390,H$1,'United Data'!$C$3:$C$3390,$A1074)&gt;0,1,0)</f>
        <v>0</v>
      </c>
      <c r="I1074">
        <f>IF(COUNTIFS('United Data'!$A$3:$A$3390,I$1,'United Data'!$C$3:$C$3390,$A1074)&gt;0,1,0)</f>
        <v>0</v>
      </c>
      <c r="J1074">
        <f>IF(COUNTIFS('United Data'!$A$3:$A$3390,J$1,'United Data'!$C$3:$C$3390,$A1074)&gt;0,1,0)</f>
        <v>0</v>
      </c>
      <c r="K1074">
        <f>IF(COUNTIFS('United Data'!$A$3:$A$3390,K$1,'United Data'!$C$3:$C$3390,$A1074)&gt;0,1,0)</f>
        <v>0</v>
      </c>
      <c r="L1074">
        <f>IF(COUNTIFS('United Data'!$A$3:$A$3390,L$1,'United Data'!$C$3:$C$3390,$A1074)&gt;0,1,0)</f>
        <v>0</v>
      </c>
      <c r="M1074">
        <f>IF(COUNTIFS('United Data'!$A$3:$A$3390,M$1,'United Data'!$C$3:$C$3390,$A1074)&gt;0,1,0)</f>
        <v>0</v>
      </c>
      <c r="N1074">
        <f>IF(COUNTIFS('United Data'!$A$3:$A$3390,N$1,'United Data'!$C$3:$C$3390,$A1074)&gt;0,1,0)</f>
        <v>0</v>
      </c>
      <c r="O1074">
        <f>IF(COUNTIFS('United Data'!$A$3:$A$3390,O$1,'United Data'!$C$3:$C$3390,$A1074)&gt;0,1,0)</f>
        <v>1</v>
      </c>
      <c r="P1074">
        <f>IF(COUNTIFS('United Data'!$A$3:$A$3390,P$1,'United Data'!$C$3:$C$3390,$A1074)&gt;0,1,0)</f>
        <v>0</v>
      </c>
      <c r="Q1074">
        <f>IF(COUNTIFS('United Data'!$A$3:$A$3390,Q$1,'United Data'!$C$3:$C$3390,$A1074)&gt;0,1,0)</f>
        <v>0</v>
      </c>
      <c r="R1074">
        <f>IF(COUNTIFS('United Data'!$A$3:$A$3390,R$1,'United Data'!$C$3:$C$3390,$A1074)&gt;0,1,0)</f>
        <v>0</v>
      </c>
      <c r="S1074">
        <f t="shared" si="32"/>
        <v>3</v>
      </c>
      <c r="T1074">
        <f t="shared" si="33"/>
        <v>2</v>
      </c>
    </row>
    <row r="1075" spans="1:20" x14ac:dyDescent="0.2">
      <c r="A1075" t="s">
        <v>1286</v>
      </c>
      <c r="B1075">
        <f>IF(COUNTIFS('United Data'!$A$3:$A$3390,B$1,'United Data'!$C$3:$C$3390,$A1075)&gt;0,1,0)</f>
        <v>0</v>
      </c>
      <c r="C1075">
        <f>IF(COUNTIFS('United Data'!$A$3:$A$3390,C$1,'United Data'!$C$3:$C$3390,$A1075)&gt;0,1,0)</f>
        <v>0</v>
      </c>
      <c r="D1075">
        <f>IF(COUNTIFS('United Data'!$A$3:$A$3390,D$1,'United Data'!$C$3:$C$3390,$A1075)&gt;0,1,0)</f>
        <v>0</v>
      </c>
      <c r="E1075">
        <f>IF(COUNTIFS('United Data'!$A$3:$A$3390,E$1,'United Data'!$C$3:$C$3390,$A1075)&gt;0,1,0)</f>
        <v>1</v>
      </c>
      <c r="F1075">
        <f>IF(COUNTIFS('United Data'!$A$3:$A$3390,F$1,'United Data'!$C$3:$C$3390,$A1075)&gt;0,1,0)</f>
        <v>0</v>
      </c>
      <c r="G1075">
        <f>IF(COUNTIFS('United Data'!$A$3:$A$3390,G$1,'United Data'!$C$3:$C$3390,$A1075)&gt;0,1,0)</f>
        <v>0</v>
      </c>
      <c r="H1075">
        <f>IF(COUNTIFS('United Data'!$A$3:$A$3390,H$1,'United Data'!$C$3:$C$3390,$A1075)&gt;0,1,0)</f>
        <v>0</v>
      </c>
      <c r="I1075">
        <f>IF(COUNTIFS('United Data'!$A$3:$A$3390,I$1,'United Data'!$C$3:$C$3390,$A1075)&gt;0,1,0)</f>
        <v>0</v>
      </c>
      <c r="J1075">
        <f>IF(COUNTIFS('United Data'!$A$3:$A$3390,J$1,'United Data'!$C$3:$C$3390,$A1075)&gt;0,1,0)</f>
        <v>0</v>
      </c>
      <c r="K1075">
        <f>IF(COUNTIFS('United Data'!$A$3:$A$3390,K$1,'United Data'!$C$3:$C$3390,$A1075)&gt;0,1,0)</f>
        <v>0</v>
      </c>
      <c r="L1075">
        <f>IF(COUNTIFS('United Data'!$A$3:$A$3390,L$1,'United Data'!$C$3:$C$3390,$A1075)&gt;0,1,0)</f>
        <v>0</v>
      </c>
      <c r="M1075">
        <f>IF(COUNTIFS('United Data'!$A$3:$A$3390,M$1,'United Data'!$C$3:$C$3390,$A1075)&gt;0,1,0)</f>
        <v>0</v>
      </c>
      <c r="N1075">
        <f>IF(COUNTIFS('United Data'!$A$3:$A$3390,N$1,'United Data'!$C$3:$C$3390,$A1075)&gt;0,1,0)</f>
        <v>0</v>
      </c>
      <c r="O1075">
        <f>IF(COUNTIFS('United Data'!$A$3:$A$3390,O$1,'United Data'!$C$3:$C$3390,$A1075)&gt;0,1,0)</f>
        <v>0</v>
      </c>
      <c r="P1075">
        <f>IF(COUNTIFS('United Data'!$A$3:$A$3390,P$1,'United Data'!$C$3:$C$3390,$A1075)&gt;0,1,0)</f>
        <v>0</v>
      </c>
      <c r="Q1075">
        <f>IF(COUNTIFS('United Data'!$A$3:$A$3390,Q$1,'United Data'!$C$3:$C$3390,$A1075)&gt;0,1,0)</f>
        <v>0</v>
      </c>
      <c r="R1075">
        <f>IF(COUNTIFS('United Data'!$A$3:$A$3390,R$1,'United Data'!$C$3:$C$3390,$A1075)&gt;0,1,0)</f>
        <v>0</v>
      </c>
      <c r="S1075">
        <f t="shared" si="32"/>
        <v>1</v>
      </c>
      <c r="T1075">
        <f t="shared" si="33"/>
        <v>1</v>
      </c>
    </row>
    <row r="1076" spans="1:20" x14ac:dyDescent="0.2">
      <c r="A1076" t="s">
        <v>1289</v>
      </c>
      <c r="B1076">
        <f>IF(COUNTIFS('United Data'!$A$3:$A$3390,B$1,'United Data'!$C$3:$C$3390,$A1076)&gt;0,1,0)</f>
        <v>0</v>
      </c>
      <c r="C1076">
        <f>IF(COUNTIFS('United Data'!$A$3:$A$3390,C$1,'United Data'!$C$3:$C$3390,$A1076)&gt;0,1,0)</f>
        <v>0</v>
      </c>
      <c r="D1076">
        <f>IF(COUNTIFS('United Data'!$A$3:$A$3390,D$1,'United Data'!$C$3:$C$3390,$A1076)&gt;0,1,0)</f>
        <v>0</v>
      </c>
      <c r="E1076">
        <f>IF(COUNTIFS('United Data'!$A$3:$A$3390,E$1,'United Data'!$C$3:$C$3390,$A1076)&gt;0,1,0)</f>
        <v>1</v>
      </c>
      <c r="F1076">
        <f>IF(COUNTIFS('United Data'!$A$3:$A$3390,F$1,'United Data'!$C$3:$C$3390,$A1076)&gt;0,1,0)</f>
        <v>0</v>
      </c>
      <c r="G1076">
        <f>IF(COUNTIFS('United Data'!$A$3:$A$3390,G$1,'United Data'!$C$3:$C$3390,$A1076)&gt;0,1,0)</f>
        <v>0</v>
      </c>
      <c r="H1076">
        <f>IF(COUNTIFS('United Data'!$A$3:$A$3390,H$1,'United Data'!$C$3:$C$3390,$A1076)&gt;0,1,0)</f>
        <v>0</v>
      </c>
      <c r="I1076">
        <f>IF(COUNTIFS('United Data'!$A$3:$A$3390,I$1,'United Data'!$C$3:$C$3390,$A1076)&gt;0,1,0)</f>
        <v>0</v>
      </c>
      <c r="J1076">
        <f>IF(COUNTIFS('United Data'!$A$3:$A$3390,J$1,'United Data'!$C$3:$C$3390,$A1076)&gt;0,1,0)</f>
        <v>0</v>
      </c>
      <c r="K1076">
        <f>IF(COUNTIFS('United Data'!$A$3:$A$3390,K$1,'United Data'!$C$3:$C$3390,$A1076)&gt;0,1,0)</f>
        <v>0</v>
      </c>
      <c r="L1076">
        <f>IF(COUNTIFS('United Data'!$A$3:$A$3390,L$1,'United Data'!$C$3:$C$3390,$A1076)&gt;0,1,0)</f>
        <v>0</v>
      </c>
      <c r="M1076">
        <f>IF(COUNTIFS('United Data'!$A$3:$A$3390,M$1,'United Data'!$C$3:$C$3390,$A1076)&gt;0,1,0)</f>
        <v>0</v>
      </c>
      <c r="N1076">
        <f>IF(COUNTIFS('United Data'!$A$3:$A$3390,N$1,'United Data'!$C$3:$C$3390,$A1076)&gt;0,1,0)</f>
        <v>0</v>
      </c>
      <c r="O1076">
        <f>IF(COUNTIFS('United Data'!$A$3:$A$3390,O$1,'United Data'!$C$3:$C$3390,$A1076)&gt;0,1,0)</f>
        <v>0</v>
      </c>
      <c r="P1076">
        <f>IF(COUNTIFS('United Data'!$A$3:$A$3390,P$1,'United Data'!$C$3:$C$3390,$A1076)&gt;0,1,0)</f>
        <v>0</v>
      </c>
      <c r="Q1076">
        <f>IF(COUNTIFS('United Data'!$A$3:$A$3390,Q$1,'United Data'!$C$3:$C$3390,$A1076)&gt;0,1,0)</f>
        <v>0</v>
      </c>
      <c r="R1076">
        <f>IF(COUNTIFS('United Data'!$A$3:$A$3390,R$1,'United Data'!$C$3:$C$3390,$A1076)&gt;0,1,0)</f>
        <v>0</v>
      </c>
      <c r="S1076">
        <f t="shared" si="32"/>
        <v>1</v>
      </c>
      <c r="T1076">
        <f t="shared" si="33"/>
        <v>1</v>
      </c>
    </row>
    <row r="1077" spans="1:20" x14ac:dyDescent="0.2">
      <c r="A1077" t="s">
        <v>1290</v>
      </c>
      <c r="B1077">
        <f>IF(COUNTIFS('United Data'!$A$3:$A$3390,B$1,'United Data'!$C$3:$C$3390,$A1077)&gt;0,1,0)</f>
        <v>0</v>
      </c>
      <c r="C1077">
        <f>IF(COUNTIFS('United Data'!$A$3:$A$3390,C$1,'United Data'!$C$3:$C$3390,$A1077)&gt;0,1,0)</f>
        <v>0</v>
      </c>
      <c r="D1077">
        <f>IF(COUNTIFS('United Data'!$A$3:$A$3390,D$1,'United Data'!$C$3:$C$3390,$A1077)&gt;0,1,0)</f>
        <v>0</v>
      </c>
      <c r="E1077">
        <f>IF(COUNTIFS('United Data'!$A$3:$A$3390,E$1,'United Data'!$C$3:$C$3390,$A1077)&gt;0,1,0)</f>
        <v>1</v>
      </c>
      <c r="F1077">
        <f>IF(COUNTIFS('United Data'!$A$3:$A$3390,F$1,'United Data'!$C$3:$C$3390,$A1077)&gt;0,1,0)</f>
        <v>0</v>
      </c>
      <c r="G1077">
        <f>IF(COUNTIFS('United Data'!$A$3:$A$3390,G$1,'United Data'!$C$3:$C$3390,$A1077)&gt;0,1,0)</f>
        <v>0</v>
      </c>
      <c r="H1077">
        <f>IF(COUNTIFS('United Data'!$A$3:$A$3390,H$1,'United Data'!$C$3:$C$3390,$A1077)&gt;0,1,0)</f>
        <v>0</v>
      </c>
      <c r="I1077">
        <f>IF(COUNTIFS('United Data'!$A$3:$A$3390,I$1,'United Data'!$C$3:$C$3390,$A1077)&gt;0,1,0)</f>
        <v>0</v>
      </c>
      <c r="J1077">
        <f>IF(COUNTIFS('United Data'!$A$3:$A$3390,J$1,'United Data'!$C$3:$C$3390,$A1077)&gt;0,1,0)</f>
        <v>0</v>
      </c>
      <c r="K1077">
        <f>IF(COUNTIFS('United Data'!$A$3:$A$3390,K$1,'United Data'!$C$3:$C$3390,$A1077)&gt;0,1,0)</f>
        <v>0</v>
      </c>
      <c r="L1077">
        <f>IF(COUNTIFS('United Data'!$A$3:$A$3390,L$1,'United Data'!$C$3:$C$3390,$A1077)&gt;0,1,0)</f>
        <v>0</v>
      </c>
      <c r="M1077">
        <f>IF(COUNTIFS('United Data'!$A$3:$A$3390,M$1,'United Data'!$C$3:$C$3390,$A1077)&gt;0,1,0)</f>
        <v>0</v>
      </c>
      <c r="N1077">
        <f>IF(COUNTIFS('United Data'!$A$3:$A$3390,N$1,'United Data'!$C$3:$C$3390,$A1077)&gt;0,1,0)</f>
        <v>0</v>
      </c>
      <c r="O1077">
        <f>IF(COUNTIFS('United Data'!$A$3:$A$3390,O$1,'United Data'!$C$3:$C$3390,$A1077)&gt;0,1,0)</f>
        <v>0</v>
      </c>
      <c r="P1077">
        <f>IF(COUNTIFS('United Data'!$A$3:$A$3390,P$1,'United Data'!$C$3:$C$3390,$A1077)&gt;0,1,0)</f>
        <v>0</v>
      </c>
      <c r="Q1077">
        <f>IF(COUNTIFS('United Data'!$A$3:$A$3390,Q$1,'United Data'!$C$3:$C$3390,$A1077)&gt;0,1,0)</f>
        <v>0</v>
      </c>
      <c r="R1077">
        <f>IF(COUNTIFS('United Data'!$A$3:$A$3390,R$1,'United Data'!$C$3:$C$3390,$A1077)&gt;0,1,0)</f>
        <v>0</v>
      </c>
      <c r="S1077">
        <f t="shared" si="32"/>
        <v>1</v>
      </c>
      <c r="T1077">
        <f t="shared" si="33"/>
        <v>1</v>
      </c>
    </row>
    <row r="1078" spans="1:20" x14ac:dyDescent="0.2">
      <c r="A1078" t="s">
        <v>1291</v>
      </c>
      <c r="B1078">
        <f>IF(COUNTIFS('United Data'!$A$3:$A$3390,B$1,'United Data'!$C$3:$C$3390,$A1078)&gt;0,1,0)</f>
        <v>0</v>
      </c>
      <c r="C1078">
        <f>IF(COUNTIFS('United Data'!$A$3:$A$3390,C$1,'United Data'!$C$3:$C$3390,$A1078)&gt;0,1,0)</f>
        <v>0</v>
      </c>
      <c r="D1078">
        <f>IF(COUNTIFS('United Data'!$A$3:$A$3390,D$1,'United Data'!$C$3:$C$3390,$A1078)&gt;0,1,0)</f>
        <v>0</v>
      </c>
      <c r="E1078">
        <f>IF(COUNTIFS('United Data'!$A$3:$A$3390,E$1,'United Data'!$C$3:$C$3390,$A1078)&gt;0,1,0)</f>
        <v>1</v>
      </c>
      <c r="F1078">
        <f>IF(COUNTIFS('United Data'!$A$3:$A$3390,F$1,'United Data'!$C$3:$C$3390,$A1078)&gt;0,1,0)</f>
        <v>1</v>
      </c>
      <c r="G1078">
        <f>IF(COUNTIFS('United Data'!$A$3:$A$3390,G$1,'United Data'!$C$3:$C$3390,$A1078)&gt;0,1,0)</f>
        <v>0</v>
      </c>
      <c r="H1078">
        <f>IF(COUNTIFS('United Data'!$A$3:$A$3390,H$1,'United Data'!$C$3:$C$3390,$A1078)&gt;0,1,0)</f>
        <v>0</v>
      </c>
      <c r="I1078">
        <f>IF(COUNTIFS('United Data'!$A$3:$A$3390,I$1,'United Data'!$C$3:$C$3390,$A1078)&gt;0,1,0)</f>
        <v>0</v>
      </c>
      <c r="J1078">
        <f>IF(COUNTIFS('United Data'!$A$3:$A$3390,J$1,'United Data'!$C$3:$C$3390,$A1078)&gt;0,1,0)</f>
        <v>0</v>
      </c>
      <c r="K1078">
        <f>IF(COUNTIFS('United Data'!$A$3:$A$3390,K$1,'United Data'!$C$3:$C$3390,$A1078)&gt;0,1,0)</f>
        <v>0</v>
      </c>
      <c r="L1078">
        <f>IF(COUNTIFS('United Data'!$A$3:$A$3390,L$1,'United Data'!$C$3:$C$3390,$A1078)&gt;0,1,0)</f>
        <v>0</v>
      </c>
      <c r="M1078">
        <f>IF(COUNTIFS('United Data'!$A$3:$A$3390,M$1,'United Data'!$C$3:$C$3390,$A1078)&gt;0,1,0)</f>
        <v>0</v>
      </c>
      <c r="N1078">
        <f>IF(COUNTIFS('United Data'!$A$3:$A$3390,N$1,'United Data'!$C$3:$C$3390,$A1078)&gt;0,1,0)</f>
        <v>0</v>
      </c>
      <c r="O1078">
        <f>IF(COUNTIFS('United Data'!$A$3:$A$3390,O$1,'United Data'!$C$3:$C$3390,$A1078)&gt;0,1,0)</f>
        <v>0</v>
      </c>
      <c r="P1078">
        <f>IF(COUNTIFS('United Data'!$A$3:$A$3390,P$1,'United Data'!$C$3:$C$3390,$A1078)&gt;0,1,0)</f>
        <v>0</v>
      </c>
      <c r="Q1078">
        <f>IF(COUNTIFS('United Data'!$A$3:$A$3390,Q$1,'United Data'!$C$3:$C$3390,$A1078)&gt;0,1,0)</f>
        <v>0</v>
      </c>
      <c r="R1078">
        <f>IF(COUNTIFS('United Data'!$A$3:$A$3390,R$1,'United Data'!$C$3:$C$3390,$A1078)&gt;0,1,0)</f>
        <v>0</v>
      </c>
      <c r="S1078">
        <f t="shared" si="32"/>
        <v>2</v>
      </c>
      <c r="T1078">
        <f t="shared" si="33"/>
        <v>1</v>
      </c>
    </row>
    <row r="1079" spans="1:20" x14ac:dyDescent="0.2">
      <c r="A1079" t="s">
        <v>1292</v>
      </c>
      <c r="B1079">
        <f>IF(COUNTIFS('United Data'!$A$3:$A$3390,B$1,'United Data'!$C$3:$C$3390,$A1079)&gt;0,1,0)</f>
        <v>0</v>
      </c>
      <c r="C1079">
        <f>IF(COUNTIFS('United Data'!$A$3:$A$3390,C$1,'United Data'!$C$3:$C$3390,$A1079)&gt;0,1,0)</f>
        <v>0</v>
      </c>
      <c r="D1079">
        <f>IF(COUNTIFS('United Data'!$A$3:$A$3390,D$1,'United Data'!$C$3:$C$3390,$A1079)&gt;0,1,0)</f>
        <v>0</v>
      </c>
      <c r="E1079">
        <f>IF(COUNTIFS('United Data'!$A$3:$A$3390,E$1,'United Data'!$C$3:$C$3390,$A1079)&gt;0,1,0)</f>
        <v>1</v>
      </c>
      <c r="F1079">
        <f>IF(COUNTIFS('United Data'!$A$3:$A$3390,F$1,'United Data'!$C$3:$C$3390,$A1079)&gt;0,1,0)</f>
        <v>1</v>
      </c>
      <c r="G1079">
        <f>IF(COUNTIFS('United Data'!$A$3:$A$3390,G$1,'United Data'!$C$3:$C$3390,$A1079)&gt;0,1,0)</f>
        <v>0</v>
      </c>
      <c r="H1079">
        <f>IF(COUNTIFS('United Data'!$A$3:$A$3390,H$1,'United Data'!$C$3:$C$3390,$A1079)&gt;0,1,0)</f>
        <v>0</v>
      </c>
      <c r="I1079">
        <f>IF(COUNTIFS('United Data'!$A$3:$A$3390,I$1,'United Data'!$C$3:$C$3390,$A1079)&gt;0,1,0)</f>
        <v>0</v>
      </c>
      <c r="J1079">
        <f>IF(COUNTIFS('United Data'!$A$3:$A$3390,J$1,'United Data'!$C$3:$C$3390,$A1079)&gt;0,1,0)</f>
        <v>1</v>
      </c>
      <c r="K1079">
        <f>IF(COUNTIFS('United Data'!$A$3:$A$3390,K$1,'United Data'!$C$3:$C$3390,$A1079)&gt;0,1,0)</f>
        <v>0</v>
      </c>
      <c r="L1079">
        <f>IF(COUNTIFS('United Data'!$A$3:$A$3390,L$1,'United Data'!$C$3:$C$3390,$A1079)&gt;0,1,0)</f>
        <v>0</v>
      </c>
      <c r="M1079">
        <f>IF(COUNTIFS('United Data'!$A$3:$A$3390,M$1,'United Data'!$C$3:$C$3390,$A1079)&gt;0,1,0)</f>
        <v>0</v>
      </c>
      <c r="N1079">
        <f>IF(COUNTIFS('United Data'!$A$3:$A$3390,N$1,'United Data'!$C$3:$C$3390,$A1079)&gt;0,1,0)</f>
        <v>1</v>
      </c>
      <c r="O1079">
        <f>IF(COUNTIFS('United Data'!$A$3:$A$3390,O$1,'United Data'!$C$3:$C$3390,$A1079)&gt;0,1,0)</f>
        <v>0</v>
      </c>
      <c r="P1079">
        <f>IF(COUNTIFS('United Data'!$A$3:$A$3390,P$1,'United Data'!$C$3:$C$3390,$A1079)&gt;0,1,0)</f>
        <v>0</v>
      </c>
      <c r="Q1079">
        <f>IF(COUNTIFS('United Data'!$A$3:$A$3390,Q$1,'United Data'!$C$3:$C$3390,$A1079)&gt;0,1,0)</f>
        <v>0</v>
      </c>
      <c r="R1079">
        <f>IF(COUNTIFS('United Data'!$A$3:$A$3390,R$1,'United Data'!$C$3:$C$3390,$A1079)&gt;0,1,0)</f>
        <v>0</v>
      </c>
      <c r="S1079">
        <f t="shared" si="32"/>
        <v>4</v>
      </c>
      <c r="T1079">
        <f t="shared" si="33"/>
        <v>3</v>
      </c>
    </row>
    <row r="1080" spans="1:20" x14ac:dyDescent="0.2">
      <c r="A1080" t="s">
        <v>1294</v>
      </c>
      <c r="B1080">
        <f>IF(COUNTIFS('United Data'!$A$3:$A$3390,B$1,'United Data'!$C$3:$C$3390,$A1080)&gt;0,1,0)</f>
        <v>0</v>
      </c>
      <c r="C1080">
        <f>IF(COUNTIFS('United Data'!$A$3:$A$3390,C$1,'United Data'!$C$3:$C$3390,$A1080)&gt;0,1,0)</f>
        <v>0</v>
      </c>
      <c r="D1080">
        <f>IF(COUNTIFS('United Data'!$A$3:$A$3390,D$1,'United Data'!$C$3:$C$3390,$A1080)&gt;0,1,0)</f>
        <v>0</v>
      </c>
      <c r="E1080">
        <f>IF(COUNTIFS('United Data'!$A$3:$A$3390,E$1,'United Data'!$C$3:$C$3390,$A1080)&gt;0,1,0)</f>
        <v>0</v>
      </c>
      <c r="F1080">
        <f>IF(COUNTIFS('United Data'!$A$3:$A$3390,F$1,'United Data'!$C$3:$C$3390,$A1080)&gt;0,1,0)</f>
        <v>1</v>
      </c>
      <c r="G1080">
        <f>IF(COUNTIFS('United Data'!$A$3:$A$3390,G$1,'United Data'!$C$3:$C$3390,$A1080)&gt;0,1,0)</f>
        <v>0</v>
      </c>
      <c r="H1080">
        <f>IF(COUNTIFS('United Data'!$A$3:$A$3390,H$1,'United Data'!$C$3:$C$3390,$A1080)&gt;0,1,0)</f>
        <v>0</v>
      </c>
      <c r="I1080">
        <f>IF(COUNTIFS('United Data'!$A$3:$A$3390,I$1,'United Data'!$C$3:$C$3390,$A1080)&gt;0,1,0)</f>
        <v>0</v>
      </c>
      <c r="J1080">
        <f>IF(COUNTIFS('United Data'!$A$3:$A$3390,J$1,'United Data'!$C$3:$C$3390,$A1080)&gt;0,1,0)</f>
        <v>0</v>
      </c>
      <c r="K1080">
        <f>IF(COUNTIFS('United Data'!$A$3:$A$3390,K$1,'United Data'!$C$3:$C$3390,$A1080)&gt;0,1,0)</f>
        <v>0</v>
      </c>
      <c r="L1080">
        <f>IF(COUNTIFS('United Data'!$A$3:$A$3390,L$1,'United Data'!$C$3:$C$3390,$A1080)&gt;0,1,0)</f>
        <v>0</v>
      </c>
      <c r="M1080">
        <f>IF(COUNTIFS('United Data'!$A$3:$A$3390,M$1,'United Data'!$C$3:$C$3390,$A1080)&gt;0,1,0)</f>
        <v>0</v>
      </c>
      <c r="N1080">
        <f>IF(COUNTIFS('United Data'!$A$3:$A$3390,N$1,'United Data'!$C$3:$C$3390,$A1080)&gt;0,1,0)</f>
        <v>0</v>
      </c>
      <c r="O1080">
        <f>IF(COUNTIFS('United Data'!$A$3:$A$3390,O$1,'United Data'!$C$3:$C$3390,$A1080)&gt;0,1,0)</f>
        <v>0</v>
      </c>
      <c r="P1080">
        <f>IF(COUNTIFS('United Data'!$A$3:$A$3390,P$1,'United Data'!$C$3:$C$3390,$A1080)&gt;0,1,0)</f>
        <v>0</v>
      </c>
      <c r="Q1080">
        <f>IF(COUNTIFS('United Data'!$A$3:$A$3390,Q$1,'United Data'!$C$3:$C$3390,$A1080)&gt;0,1,0)</f>
        <v>0</v>
      </c>
      <c r="R1080">
        <f>IF(COUNTIFS('United Data'!$A$3:$A$3390,R$1,'United Data'!$C$3:$C$3390,$A1080)&gt;0,1,0)</f>
        <v>0</v>
      </c>
      <c r="S1080">
        <f t="shared" si="32"/>
        <v>1</v>
      </c>
      <c r="T1080">
        <f t="shared" si="33"/>
        <v>1</v>
      </c>
    </row>
    <row r="1081" spans="1:20" x14ac:dyDescent="0.2">
      <c r="A1081" t="s">
        <v>1295</v>
      </c>
      <c r="B1081">
        <f>IF(COUNTIFS('United Data'!$A$3:$A$3390,B$1,'United Data'!$C$3:$C$3390,$A1081)&gt;0,1,0)</f>
        <v>0</v>
      </c>
      <c r="C1081">
        <f>IF(COUNTIFS('United Data'!$A$3:$A$3390,C$1,'United Data'!$C$3:$C$3390,$A1081)&gt;0,1,0)</f>
        <v>0</v>
      </c>
      <c r="D1081">
        <f>IF(COUNTIFS('United Data'!$A$3:$A$3390,D$1,'United Data'!$C$3:$C$3390,$A1081)&gt;0,1,0)</f>
        <v>0</v>
      </c>
      <c r="E1081">
        <f>IF(COUNTIFS('United Data'!$A$3:$A$3390,E$1,'United Data'!$C$3:$C$3390,$A1081)&gt;0,1,0)</f>
        <v>0</v>
      </c>
      <c r="F1081">
        <f>IF(COUNTIFS('United Data'!$A$3:$A$3390,F$1,'United Data'!$C$3:$C$3390,$A1081)&gt;0,1,0)</f>
        <v>1</v>
      </c>
      <c r="G1081">
        <f>IF(COUNTIFS('United Data'!$A$3:$A$3390,G$1,'United Data'!$C$3:$C$3390,$A1081)&gt;0,1,0)</f>
        <v>0</v>
      </c>
      <c r="H1081">
        <f>IF(COUNTIFS('United Data'!$A$3:$A$3390,H$1,'United Data'!$C$3:$C$3390,$A1081)&gt;0,1,0)</f>
        <v>0</v>
      </c>
      <c r="I1081">
        <f>IF(COUNTIFS('United Data'!$A$3:$A$3390,I$1,'United Data'!$C$3:$C$3390,$A1081)&gt;0,1,0)</f>
        <v>0</v>
      </c>
      <c r="J1081">
        <f>IF(COUNTIFS('United Data'!$A$3:$A$3390,J$1,'United Data'!$C$3:$C$3390,$A1081)&gt;0,1,0)</f>
        <v>0</v>
      </c>
      <c r="K1081">
        <f>IF(COUNTIFS('United Data'!$A$3:$A$3390,K$1,'United Data'!$C$3:$C$3390,$A1081)&gt;0,1,0)</f>
        <v>0</v>
      </c>
      <c r="L1081">
        <f>IF(COUNTIFS('United Data'!$A$3:$A$3390,L$1,'United Data'!$C$3:$C$3390,$A1081)&gt;0,1,0)</f>
        <v>0</v>
      </c>
      <c r="M1081">
        <f>IF(COUNTIFS('United Data'!$A$3:$A$3390,M$1,'United Data'!$C$3:$C$3390,$A1081)&gt;0,1,0)</f>
        <v>0</v>
      </c>
      <c r="N1081">
        <f>IF(COUNTIFS('United Data'!$A$3:$A$3390,N$1,'United Data'!$C$3:$C$3390,$A1081)&gt;0,1,0)</f>
        <v>0</v>
      </c>
      <c r="O1081">
        <f>IF(COUNTIFS('United Data'!$A$3:$A$3390,O$1,'United Data'!$C$3:$C$3390,$A1081)&gt;0,1,0)</f>
        <v>0</v>
      </c>
      <c r="P1081">
        <f>IF(COUNTIFS('United Data'!$A$3:$A$3390,P$1,'United Data'!$C$3:$C$3390,$A1081)&gt;0,1,0)</f>
        <v>0</v>
      </c>
      <c r="Q1081">
        <f>IF(COUNTIFS('United Data'!$A$3:$A$3390,Q$1,'United Data'!$C$3:$C$3390,$A1081)&gt;0,1,0)</f>
        <v>0</v>
      </c>
      <c r="R1081">
        <f>IF(COUNTIFS('United Data'!$A$3:$A$3390,R$1,'United Data'!$C$3:$C$3390,$A1081)&gt;0,1,0)</f>
        <v>0</v>
      </c>
      <c r="S1081">
        <f t="shared" si="32"/>
        <v>1</v>
      </c>
      <c r="T1081">
        <f t="shared" si="33"/>
        <v>1</v>
      </c>
    </row>
    <row r="1082" spans="1:20" x14ac:dyDescent="0.2">
      <c r="A1082" t="s">
        <v>1296</v>
      </c>
      <c r="B1082">
        <f>IF(COUNTIFS('United Data'!$A$3:$A$3390,B$1,'United Data'!$C$3:$C$3390,$A1082)&gt;0,1,0)</f>
        <v>0</v>
      </c>
      <c r="C1082">
        <f>IF(COUNTIFS('United Data'!$A$3:$A$3390,C$1,'United Data'!$C$3:$C$3390,$A1082)&gt;0,1,0)</f>
        <v>0</v>
      </c>
      <c r="D1082">
        <f>IF(COUNTIFS('United Data'!$A$3:$A$3390,D$1,'United Data'!$C$3:$C$3390,$A1082)&gt;0,1,0)</f>
        <v>0</v>
      </c>
      <c r="E1082">
        <f>IF(COUNTIFS('United Data'!$A$3:$A$3390,E$1,'United Data'!$C$3:$C$3390,$A1082)&gt;0,1,0)</f>
        <v>0</v>
      </c>
      <c r="F1082">
        <f>IF(COUNTIFS('United Data'!$A$3:$A$3390,F$1,'United Data'!$C$3:$C$3390,$A1082)&gt;0,1,0)</f>
        <v>1</v>
      </c>
      <c r="G1082">
        <f>IF(COUNTIFS('United Data'!$A$3:$A$3390,G$1,'United Data'!$C$3:$C$3390,$A1082)&gt;0,1,0)</f>
        <v>0</v>
      </c>
      <c r="H1082">
        <f>IF(COUNTIFS('United Data'!$A$3:$A$3390,H$1,'United Data'!$C$3:$C$3390,$A1082)&gt;0,1,0)</f>
        <v>0</v>
      </c>
      <c r="I1082">
        <f>IF(COUNTIFS('United Data'!$A$3:$A$3390,I$1,'United Data'!$C$3:$C$3390,$A1082)&gt;0,1,0)</f>
        <v>0</v>
      </c>
      <c r="J1082">
        <f>IF(COUNTIFS('United Data'!$A$3:$A$3390,J$1,'United Data'!$C$3:$C$3390,$A1082)&gt;0,1,0)</f>
        <v>0</v>
      </c>
      <c r="K1082">
        <f>IF(COUNTIFS('United Data'!$A$3:$A$3390,K$1,'United Data'!$C$3:$C$3390,$A1082)&gt;0,1,0)</f>
        <v>0</v>
      </c>
      <c r="L1082">
        <f>IF(COUNTIFS('United Data'!$A$3:$A$3390,L$1,'United Data'!$C$3:$C$3390,$A1082)&gt;0,1,0)</f>
        <v>0</v>
      </c>
      <c r="M1082">
        <f>IF(COUNTIFS('United Data'!$A$3:$A$3390,M$1,'United Data'!$C$3:$C$3390,$A1082)&gt;0,1,0)</f>
        <v>0</v>
      </c>
      <c r="N1082">
        <f>IF(COUNTIFS('United Data'!$A$3:$A$3390,N$1,'United Data'!$C$3:$C$3390,$A1082)&gt;0,1,0)</f>
        <v>0</v>
      </c>
      <c r="O1082">
        <f>IF(COUNTIFS('United Data'!$A$3:$A$3390,O$1,'United Data'!$C$3:$C$3390,$A1082)&gt;0,1,0)</f>
        <v>0</v>
      </c>
      <c r="P1082">
        <f>IF(COUNTIFS('United Data'!$A$3:$A$3390,P$1,'United Data'!$C$3:$C$3390,$A1082)&gt;0,1,0)</f>
        <v>0</v>
      </c>
      <c r="Q1082">
        <f>IF(COUNTIFS('United Data'!$A$3:$A$3390,Q$1,'United Data'!$C$3:$C$3390,$A1082)&gt;0,1,0)</f>
        <v>0</v>
      </c>
      <c r="R1082">
        <f>IF(COUNTIFS('United Data'!$A$3:$A$3390,R$1,'United Data'!$C$3:$C$3390,$A1082)&gt;0,1,0)</f>
        <v>0</v>
      </c>
      <c r="S1082">
        <f t="shared" si="32"/>
        <v>1</v>
      </c>
      <c r="T1082">
        <f t="shared" si="33"/>
        <v>1</v>
      </c>
    </row>
    <row r="1083" spans="1:20" x14ac:dyDescent="0.2">
      <c r="A1083" t="s">
        <v>1299</v>
      </c>
      <c r="B1083">
        <f>IF(COUNTIFS('United Data'!$A$3:$A$3390,B$1,'United Data'!$C$3:$C$3390,$A1083)&gt;0,1,0)</f>
        <v>0</v>
      </c>
      <c r="C1083">
        <f>IF(COUNTIFS('United Data'!$A$3:$A$3390,C$1,'United Data'!$C$3:$C$3390,$A1083)&gt;0,1,0)</f>
        <v>0</v>
      </c>
      <c r="D1083">
        <f>IF(COUNTIFS('United Data'!$A$3:$A$3390,D$1,'United Data'!$C$3:$C$3390,$A1083)&gt;0,1,0)</f>
        <v>0</v>
      </c>
      <c r="E1083">
        <f>IF(COUNTIFS('United Data'!$A$3:$A$3390,E$1,'United Data'!$C$3:$C$3390,$A1083)&gt;0,1,0)</f>
        <v>0</v>
      </c>
      <c r="F1083">
        <f>IF(COUNTIFS('United Data'!$A$3:$A$3390,F$1,'United Data'!$C$3:$C$3390,$A1083)&gt;0,1,0)</f>
        <v>1</v>
      </c>
      <c r="G1083">
        <f>IF(COUNTIFS('United Data'!$A$3:$A$3390,G$1,'United Data'!$C$3:$C$3390,$A1083)&gt;0,1,0)</f>
        <v>0</v>
      </c>
      <c r="H1083">
        <f>IF(COUNTIFS('United Data'!$A$3:$A$3390,H$1,'United Data'!$C$3:$C$3390,$A1083)&gt;0,1,0)</f>
        <v>0</v>
      </c>
      <c r="I1083">
        <f>IF(COUNTIFS('United Data'!$A$3:$A$3390,I$1,'United Data'!$C$3:$C$3390,$A1083)&gt;0,1,0)</f>
        <v>0</v>
      </c>
      <c r="J1083">
        <f>IF(COUNTIFS('United Data'!$A$3:$A$3390,J$1,'United Data'!$C$3:$C$3390,$A1083)&gt;0,1,0)</f>
        <v>0</v>
      </c>
      <c r="K1083">
        <f>IF(COUNTIFS('United Data'!$A$3:$A$3390,K$1,'United Data'!$C$3:$C$3390,$A1083)&gt;0,1,0)</f>
        <v>0</v>
      </c>
      <c r="L1083">
        <f>IF(COUNTIFS('United Data'!$A$3:$A$3390,L$1,'United Data'!$C$3:$C$3390,$A1083)&gt;0,1,0)</f>
        <v>0</v>
      </c>
      <c r="M1083">
        <f>IF(COUNTIFS('United Data'!$A$3:$A$3390,M$1,'United Data'!$C$3:$C$3390,$A1083)&gt;0,1,0)</f>
        <v>0</v>
      </c>
      <c r="N1083">
        <f>IF(COUNTIFS('United Data'!$A$3:$A$3390,N$1,'United Data'!$C$3:$C$3390,$A1083)&gt;0,1,0)</f>
        <v>0</v>
      </c>
      <c r="O1083">
        <f>IF(COUNTIFS('United Data'!$A$3:$A$3390,O$1,'United Data'!$C$3:$C$3390,$A1083)&gt;0,1,0)</f>
        <v>0</v>
      </c>
      <c r="P1083">
        <f>IF(COUNTIFS('United Data'!$A$3:$A$3390,P$1,'United Data'!$C$3:$C$3390,$A1083)&gt;0,1,0)</f>
        <v>0</v>
      </c>
      <c r="Q1083">
        <f>IF(COUNTIFS('United Data'!$A$3:$A$3390,Q$1,'United Data'!$C$3:$C$3390,$A1083)&gt;0,1,0)</f>
        <v>0</v>
      </c>
      <c r="R1083">
        <f>IF(COUNTIFS('United Data'!$A$3:$A$3390,R$1,'United Data'!$C$3:$C$3390,$A1083)&gt;0,1,0)</f>
        <v>0</v>
      </c>
      <c r="S1083">
        <f t="shared" si="32"/>
        <v>1</v>
      </c>
      <c r="T1083">
        <f t="shared" si="33"/>
        <v>1</v>
      </c>
    </row>
    <row r="1084" spans="1:20" x14ac:dyDescent="0.2">
      <c r="A1084" t="s">
        <v>1300</v>
      </c>
      <c r="B1084">
        <f>IF(COUNTIFS('United Data'!$A$3:$A$3390,B$1,'United Data'!$C$3:$C$3390,$A1084)&gt;0,1,0)</f>
        <v>0</v>
      </c>
      <c r="C1084">
        <f>IF(COUNTIFS('United Data'!$A$3:$A$3390,C$1,'United Data'!$C$3:$C$3390,$A1084)&gt;0,1,0)</f>
        <v>0</v>
      </c>
      <c r="D1084">
        <f>IF(COUNTIFS('United Data'!$A$3:$A$3390,D$1,'United Data'!$C$3:$C$3390,$A1084)&gt;0,1,0)</f>
        <v>0</v>
      </c>
      <c r="E1084">
        <f>IF(COUNTIFS('United Data'!$A$3:$A$3390,E$1,'United Data'!$C$3:$C$3390,$A1084)&gt;0,1,0)</f>
        <v>0</v>
      </c>
      <c r="F1084">
        <f>IF(COUNTIFS('United Data'!$A$3:$A$3390,F$1,'United Data'!$C$3:$C$3390,$A1084)&gt;0,1,0)</f>
        <v>1</v>
      </c>
      <c r="G1084">
        <f>IF(COUNTIFS('United Data'!$A$3:$A$3390,G$1,'United Data'!$C$3:$C$3390,$A1084)&gt;0,1,0)</f>
        <v>0</v>
      </c>
      <c r="H1084">
        <f>IF(COUNTIFS('United Data'!$A$3:$A$3390,H$1,'United Data'!$C$3:$C$3390,$A1084)&gt;0,1,0)</f>
        <v>0</v>
      </c>
      <c r="I1084">
        <f>IF(COUNTIFS('United Data'!$A$3:$A$3390,I$1,'United Data'!$C$3:$C$3390,$A1084)&gt;0,1,0)</f>
        <v>0</v>
      </c>
      <c r="J1084">
        <f>IF(COUNTIFS('United Data'!$A$3:$A$3390,J$1,'United Data'!$C$3:$C$3390,$A1084)&gt;0,1,0)</f>
        <v>0</v>
      </c>
      <c r="K1084">
        <f>IF(COUNTIFS('United Data'!$A$3:$A$3390,K$1,'United Data'!$C$3:$C$3390,$A1084)&gt;0,1,0)</f>
        <v>0</v>
      </c>
      <c r="L1084">
        <f>IF(COUNTIFS('United Data'!$A$3:$A$3390,L$1,'United Data'!$C$3:$C$3390,$A1084)&gt;0,1,0)</f>
        <v>0</v>
      </c>
      <c r="M1084">
        <f>IF(COUNTIFS('United Data'!$A$3:$A$3390,M$1,'United Data'!$C$3:$C$3390,$A1084)&gt;0,1,0)</f>
        <v>0</v>
      </c>
      <c r="N1084">
        <f>IF(COUNTIFS('United Data'!$A$3:$A$3390,N$1,'United Data'!$C$3:$C$3390,$A1084)&gt;0,1,0)</f>
        <v>0</v>
      </c>
      <c r="O1084">
        <f>IF(COUNTIFS('United Data'!$A$3:$A$3390,O$1,'United Data'!$C$3:$C$3390,$A1084)&gt;0,1,0)</f>
        <v>0</v>
      </c>
      <c r="P1084">
        <f>IF(COUNTIFS('United Data'!$A$3:$A$3390,P$1,'United Data'!$C$3:$C$3390,$A1084)&gt;0,1,0)</f>
        <v>0</v>
      </c>
      <c r="Q1084">
        <f>IF(COUNTIFS('United Data'!$A$3:$A$3390,Q$1,'United Data'!$C$3:$C$3390,$A1084)&gt;0,1,0)</f>
        <v>0</v>
      </c>
      <c r="R1084">
        <f>IF(COUNTIFS('United Data'!$A$3:$A$3390,R$1,'United Data'!$C$3:$C$3390,$A1084)&gt;0,1,0)</f>
        <v>0</v>
      </c>
      <c r="S1084">
        <f t="shared" si="32"/>
        <v>1</v>
      </c>
      <c r="T1084">
        <f t="shared" si="33"/>
        <v>1</v>
      </c>
    </row>
    <row r="1085" spans="1:20" x14ac:dyDescent="0.2">
      <c r="A1085" t="s">
        <v>1302</v>
      </c>
      <c r="B1085">
        <f>IF(COUNTIFS('United Data'!$A$3:$A$3390,B$1,'United Data'!$C$3:$C$3390,$A1085)&gt;0,1,0)</f>
        <v>0</v>
      </c>
      <c r="C1085">
        <f>IF(COUNTIFS('United Data'!$A$3:$A$3390,C$1,'United Data'!$C$3:$C$3390,$A1085)&gt;0,1,0)</f>
        <v>0</v>
      </c>
      <c r="D1085">
        <f>IF(COUNTIFS('United Data'!$A$3:$A$3390,D$1,'United Data'!$C$3:$C$3390,$A1085)&gt;0,1,0)</f>
        <v>0</v>
      </c>
      <c r="E1085">
        <f>IF(COUNTIFS('United Data'!$A$3:$A$3390,E$1,'United Data'!$C$3:$C$3390,$A1085)&gt;0,1,0)</f>
        <v>0</v>
      </c>
      <c r="F1085">
        <f>IF(COUNTIFS('United Data'!$A$3:$A$3390,F$1,'United Data'!$C$3:$C$3390,$A1085)&gt;0,1,0)</f>
        <v>1</v>
      </c>
      <c r="G1085">
        <f>IF(COUNTIFS('United Data'!$A$3:$A$3390,G$1,'United Data'!$C$3:$C$3390,$A1085)&gt;0,1,0)</f>
        <v>0</v>
      </c>
      <c r="H1085">
        <f>IF(COUNTIFS('United Data'!$A$3:$A$3390,H$1,'United Data'!$C$3:$C$3390,$A1085)&gt;0,1,0)</f>
        <v>0</v>
      </c>
      <c r="I1085">
        <f>IF(COUNTIFS('United Data'!$A$3:$A$3390,I$1,'United Data'!$C$3:$C$3390,$A1085)&gt;0,1,0)</f>
        <v>0</v>
      </c>
      <c r="J1085">
        <f>IF(COUNTIFS('United Data'!$A$3:$A$3390,J$1,'United Data'!$C$3:$C$3390,$A1085)&gt;0,1,0)</f>
        <v>0</v>
      </c>
      <c r="K1085">
        <f>IF(COUNTIFS('United Data'!$A$3:$A$3390,K$1,'United Data'!$C$3:$C$3390,$A1085)&gt;0,1,0)</f>
        <v>0</v>
      </c>
      <c r="L1085">
        <f>IF(COUNTIFS('United Data'!$A$3:$A$3390,L$1,'United Data'!$C$3:$C$3390,$A1085)&gt;0,1,0)</f>
        <v>0</v>
      </c>
      <c r="M1085">
        <f>IF(COUNTIFS('United Data'!$A$3:$A$3390,M$1,'United Data'!$C$3:$C$3390,$A1085)&gt;0,1,0)</f>
        <v>0</v>
      </c>
      <c r="N1085">
        <f>IF(COUNTIFS('United Data'!$A$3:$A$3390,N$1,'United Data'!$C$3:$C$3390,$A1085)&gt;0,1,0)</f>
        <v>0</v>
      </c>
      <c r="O1085">
        <f>IF(COUNTIFS('United Data'!$A$3:$A$3390,O$1,'United Data'!$C$3:$C$3390,$A1085)&gt;0,1,0)</f>
        <v>0</v>
      </c>
      <c r="P1085">
        <f>IF(COUNTIFS('United Data'!$A$3:$A$3390,P$1,'United Data'!$C$3:$C$3390,$A1085)&gt;0,1,0)</f>
        <v>0</v>
      </c>
      <c r="Q1085">
        <f>IF(COUNTIFS('United Data'!$A$3:$A$3390,Q$1,'United Data'!$C$3:$C$3390,$A1085)&gt;0,1,0)</f>
        <v>0</v>
      </c>
      <c r="R1085">
        <f>IF(COUNTIFS('United Data'!$A$3:$A$3390,R$1,'United Data'!$C$3:$C$3390,$A1085)&gt;0,1,0)</f>
        <v>0</v>
      </c>
      <c r="S1085">
        <f t="shared" si="32"/>
        <v>1</v>
      </c>
      <c r="T1085">
        <f t="shared" si="33"/>
        <v>1</v>
      </c>
    </row>
    <row r="1086" spans="1:20" x14ac:dyDescent="0.2">
      <c r="A1086" t="s">
        <v>1303</v>
      </c>
      <c r="B1086">
        <f>IF(COUNTIFS('United Data'!$A$3:$A$3390,B$1,'United Data'!$C$3:$C$3390,$A1086)&gt;0,1,0)</f>
        <v>0</v>
      </c>
      <c r="C1086">
        <f>IF(COUNTIFS('United Data'!$A$3:$A$3390,C$1,'United Data'!$C$3:$C$3390,$A1086)&gt;0,1,0)</f>
        <v>0</v>
      </c>
      <c r="D1086">
        <f>IF(COUNTIFS('United Data'!$A$3:$A$3390,D$1,'United Data'!$C$3:$C$3390,$A1086)&gt;0,1,0)</f>
        <v>0</v>
      </c>
      <c r="E1086">
        <f>IF(COUNTIFS('United Data'!$A$3:$A$3390,E$1,'United Data'!$C$3:$C$3390,$A1086)&gt;0,1,0)</f>
        <v>0</v>
      </c>
      <c r="F1086">
        <f>IF(COUNTIFS('United Data'!$A$3:$A$3390,F$1,'United Data'!$C$3:$C$3390,$A1086)&gt;0,1,0)</f>
        <v>1</v>
      </c>
      <c r="G1086">
        <f>IF(COUNTIFS('United Data'!$A$3:$A$3390,G$1,'United Data'!$C$3:$C$3390,$A1086)&gt;0,1,0)</f>
        <v>0</v>
      </c>
      <c r="H1086">
        <f>IF(COUNTIFS('United Data'!$A$3:$A$3390,H$1,'United Data'!$C$3:$C$3390,$A1086)&gt;0,1,0)</f>
        <v>0</v>
      </c>
      <c r="I1086">
        <f>IF(COUNTIFS('United Data'!$A$3:$A$3390,I$1,'United Data'!$C$3:$C$3390,$A1086)&gt;0,1,0)</f>
        <v>0</v>
      </c>
      <c r="J1086">
        <f>IF(COUNTIFS('United Data'!$A$3:$A$3390,J$1,'United Data'!$C$3:$C$3390,$A1086)&gt;0,1,0)</f>
        <v>0</v>
      </c>
      <c r="K1086">
        <f>IF(COUNTIFS('United Data'!$A$3:$A$3390,K$1,'United Data'!$C$3:$C$3390,$A1086)&gt;0,1,0)</f>
        <v>0</v>
      </c>
      <c r="L1086">
        <f>IF(COUNTIFS('United Data'!$A$3:$A$3390,L$1,'United Data'!$C$3:$C$3390,$A1086)&gt;0,1,0)</f>
        <v>0</v>
      </c>
      <c r="M1086">
        <f>IF(COUNTIFS('United Data'!$A$3:$A$3390,M$1,'United Data'!$C$3:$C$3390,$A1086)&gt;0,1,0)</f>
        <v>0</v>
      </c>
      <c r="N1086">
        <f>IF(COUNTIFS('United Data'!$A$3:$A$3390,N$1,'United Data'!$C$3:$C$3390,$A1086)&gt;0,1,0)</f>
        <v>0</v>
      </c>
      <c r="O1086">
        <f>IF(COUNTIFS('United Data'!$A$3:$A$3390,O$1,'United Data'!$C$3:$C$3390,$A1086)&gt;0,1,0)</f>
        <v>0</v>
      </c>
      <c r="P1086">
        <f>IF(COUNTIFS('United Data'!$A$3:$A$3390,P$1,'United Data'!$C$3:$C$3390,$A1086)&gt;0,1,0)</f>
        <v>0</v>
      </c>
      <c r="Q1086">
        <f>IF(COUNTIFS('United Data'!$A$3:$A$3390,Q$1,'United Data'!$C$3:$C$3390,$A1086)&gt;0,1,0)</f>
        <v>0</v>
      </c>
      <c r="R1086">
        <f>IF(COUNTIFS('United Data'!$A$3:$A$3390,R$1,'United Data'!$C$3:$C$3390,$A1086)&gt;0,1,0)</f>
        <v>0</v>
      </c>
      <c r="S1086">
        <f t="shared" si="32"/>
        <v>1</v>
      </c>
      <c r="T1086">
        <f t="shared" si="33"/>
        <v>1</v>
      </c>
    </row>
    <row r="1087" spans="1:20" x14ac:dyDescent="0.2">
      <c r="A1087" t="s">
        <v>1304</v>
      </c>
      <c r="B1087">
        <f>IF(COUNTIFS('United Data'!$A$3:$A$3390,B$1,'United Data'!$C$3:$C$3390,$A1087)&gt;0,1,0)</f>
        <v>0</v>
      </c>
      <c r="C1087">
        <f>IF(COUNTIFS('United Data'!$A$3:$A$3390,C$1,'United Data'!$C$3:$C$3390,$A1087)&gt;0,1,0)</f>
        <v>0</v>
      </c>
      <c r="D1087">
        <f>IF(COUNTIFS('United Data'!$A$3:$A$3390,D$1,'United Data'!$C$3:$C$3390,$A1087)&gt;0,1,0)</f>
        <v>0</v>
      </c>
      <c r="E1087">
        <f>IF(COUNTIFS('United Data'!$A$3:$A$3390,E$1,'United Data'!$C$3:$C$3390,$A1087)&gt;0,1,0)</f>
        <v>0</v>
      </c>
      <c r="F1087">
        <f>IF(COUNTIFS('United Data'!$A$3:$A$3390,F$1,'United Data'!$C$3:$C$3390,$A1087)&gt;0,1,0)</f>
        <v>1</v>
      </c>
      <c r="G1087">
        <f>IF(COUNTIFS('United Data'!$A$3:$A$3390,G$1,'United Data'!$C$3:$C$3390,$A1087)&gt;0,1,0)</f>
        <v>0</v>
      </c>
      <c r="H1087">
        <f>IF(COUNTIFS('United Data'!$A$3:$A$3390,H$1,'United Data'!$C$3:$C$3390,$A1087)&gt;0,1,0)</f>
        <v>0</v>
      </c>
      <c r="I1087">
        <f>IF(COUNTIFS('United Data'!$A$3:$A$3390,I$1,'United Data'!$C$3:$C$3390,$A1087)&gt;0,1,0)</f>
        <v>0</v>
      </c>
      <c r="J1087">
        <f>IF(COUNTIFS('United Data'!$A$3:$A$3390,J$1,'United Data'!$C$3:$C$3390,$A1087)&gt;0,1,0)</f>
        <v>0</v>
      </c>
      <c r="K1087">
        <f>IF(COUNTIFS('United Data'!$A$3:$A$3390,K$1,'United Data'!$C$3:$C$3390,$A1087)&gt;0,1,0)</f>
        <v>0</v>
      </c>
      <c r="L1087">
        <f>IF(COUNTIFS('United Data'!$A$3:$A$3390,L$1,'United Data'!$C$3:$C$3390,$A1087)&gt;0,1,0)</f>
        <v>0</v>
      </c>
      <c r="M1087">
        <f>IF(COUNTIFS('United Data'!$A$3:$A$3390,M$1,'United Data'!$C$3:$C$3390,$A1087)&gt;0,1,0)</f>
        <v>0</v>
      </c>
      <c r="N1087">
        <f>IF(COUNTIFS('United Data'!$A$3:$A$3390,N$1,'United Data'!$C$3:$C$3390,$A1087)&gt;0,1,0)</f>
        <v>0</v>
      </c>
      <c r="O1087">
        <f>IF(COUNTIFS('United Data'!$A$3:$A$3390,O$1,'United Data'!$C$3:$C$3390,$A1087)&gt;0,1,0)</f>
        <v>0</v>
      </c>
      <c r="P1087">
        <f>IF(COUNTIFS('United Data'!$A$3:$A$3390,P$1,'United Data'!$C$3:$C$3390,$A1087)&gt;0,1,0)</f>
        <v>0</v>
      </c>
      <c r="Q1087">
        <f>IF(COUNTIFS('United Data'!$A$3:$A$3390,Q$1,'United Data'!$C$3:$C$3390,$A1087)&gt;0,1,0)</f>
        <v>0</v>
      </c>
      <c r="R1087">
        <f>IF(COUNTIFS('United Data'!$A$3:$A$3390,R$1,'United Data'!$C$3:$C$3390,$A1087)&gt;0,1,0)</f>
        <v>0</v>
      </c>
      <c r="S1087">
        <f t="shared" si="32"/>
        <v>1</v>
      </c>
      <c r="T1087">
        <f t="shared" si="33"/>
        <v>1</v>
      </c>
    </row>
    <row r="1088" spans="1:20" x14ac:dyDescent="0.2">
      <c r="A1088" t="s">
        <v>1307</v>
      </c>
      <c r="B1088">
        <f>IF(COUNTIFS('United Data'!$A$3:$A$3390,B$1,'United Data'!$C$3:$C$3390,$A1088)&gt;0,1,0)</f>
        <v>0</v>
      </c>
      <c r="C1088">
        <f>IF(COUNTIFS('United Data'!$A$3:$A$3390,C$1,'United Data'!$C$3:$C$3390,$A1088)&gt;0,1,0)</f>
        <v>0</v>
      </c>
      <c r="D1088">
        <f>IF(COUNTIFS('United Data'!$A$3:$A$3390,D$1,'United Data'!$C$3:$C$3390,$A1088)&gt;0,1,0)</f>
        <v>0</v>
      </c>
      <c r="E1088">
        <f>IF(COUNTIFS('United Data'!$A$3:$A$3390,E$1,'United Data'!$C$3:$C$3390,$A1088)&gt;0,1,0)</f>
        <v>0</v>
      </c>
      <c r="F1088">
        <f>IF(COUNTIFS('United Data'!$A$3:$A$3390,F$1,'United Data'!$C$3:$C$3390,$A1088)&gt;0,1,0)</f>
        <v>0</v>
      </c>
      <c r="G1088">
        <f>IF(COUNTIFS('United Data'!$A$3:$A$3390,G$1,'United Data'!$C$3:$C$3390,$A1088)&gt;0,1,0)</f>
        <v>1</v>
      </c>
      <c r="H1088">
        <f>IF(COUNTIFS('United Data'!$A$3:$A$3390,H$1,'United Data'!$C$3:$C$3390,$A1088)&gt;0,1,0)</f>
        <v>0</v>
      </c>
      <c r="I1088">
        <f>IF(COUNTIFS('United Data'!$A$3:$A$3390,I$1,'United Data'!$C$3:$C$3390,$A1088)&gt;0,1,0)</f>
        <v>0</v>
      </c>
      <c r="J1088">
        <f>IF(COUNTIFS('United Data'!$A$3:$A$3390,J$1,'United Data'!$C$3:$C$3390,$A1088)&gt;0,1,0)</f>
        <v>0</v>
      </c>
      <c r="K1088">
        <f>IF(COUNTIFS('United Data'!$A$3:$A$3390,K$1,'United Data'!$C$3:$C$3390,$A1088)&gt;0,1,0)</f>
        <v>0</v>
      </c>
      <c r="L1088">
        <f>IF(COUNTIFS('United Data'!$A$3:$A$3390,L$1,'United Data'!$C$3:$C$3390,$A1088)&gt;0,1,0)</f>
        <v>0</v>
      </c>
      <c r="M1088">
        <f>IF(COUNTIFS('United Data'!$A$3:$A$3390,M$1,'United Data'!$C$3:$C$3390,$A1088)&gt;0,1,0)</f>
        <v>0</v>
      </c>
      <c r="N1088">
        <f>IF(COUNTIFS('United Data'!$A$3:$A$3390,N$1,'United Data'!$C$3:$C$3390,$A1088)&gt;0,1,0)</f>
        <v>0</v>
      </c>
      <c r="O1088">
        <f>IF(COUNTIFS('United Data'!$A$3:$A$3390,O$1,'United Data'!$C$3:$C$3390,$A1088)&gt;0,1,0)</f>
        <v>0</v>
      </c>
      <c r="P1088">
        <f>IF(COUNTIFS('United Data'!$A$3:$A$3390,P$1,'United Data'!$C$3:$C$3390,$A1088)&gt;0,1,0)</f>
        <v>0</v>
      </c>
      <c r="Q1088">
        <f>IF(COUNTIFS('United Data'!$A$3:$A$3390,Q$1,'United Data'!$C$3:$C$3390,$A1088)&gt;0,1,0)</f>
        <v>0</v>
      </c>
      <c r="R1088">
        <f>IF(COUNTIFS('United Data'!$A$3:$A$3390,R$1,'United Data'!$C$3:$C$3390,$A1088)&gt;0,1,0)</f>
        <v>0</v>
      </c>
      <c r="S1088">
        <f t="shared" si="32"/>
        <v>1</v>
      </c>
      <c r="T1088">
        <f t="shared" si="33"/>
        <v>1</v>
      </c>
    </row>
    <row r="1089" spans="1:20" x14ac:dyDescent="0.2">
      <c r="A1089" t="s">
        <v>1308</v>
      </c>
      <c r="B1089">
        <f>IF(COUNTIFS('United Data'!$A$3:$A$3390,B$1,'United Data'!$C$3:$C$3390,$A1089)&gt;0,1,0)</f>
        <v>0</v>
      </c>
      <c r="C1089">
        <f>IF(COUNTIFS('United Data'!$A$3:$A$3390,C$1,'United Data'!$C$3:$C$3390,$A1089)&gt;0,1,0)</f>
        <v>0</v>
      </c>
      <c r="D1089">
        <f>IF(COUNTIFS('United Data'!$A$3:$A$3390,D$1,'United Data'!$C$3:$C$3390,$A1089)&gt;0,1,0)</f>
        <v>0</v>
      </c>
      <c r="E1089">
        <f>IF(COUNTIFS('United Data'!$A$3:$A$3390,E$1,'United Data'!$C$3:$C$3390,$A1089)&gt;0,1,0)</f>
        <v>0</v>
      </c>
      <c r="F1089">
        <f>IF(COUNTIFS('United Data'!$A$3:$A$3390,F$1,'United Data'!$C$3:$C$3390,$A1089)&gt;0,1,0)</f>
        <v>0</v>
      </c>
      <c r="G1089">
        <f>IF(COUNTIFS('United Data'!$A$3:$A$3390,G$1,'United Data'!$C$3:$C$3390,$A1089)&gt;0,1,0)</f>
        <v>1</v>
      </c>
      <c r="H1089">
        <f>IF(COUNTIFS('United Data'!$A$3:$A$3390,H$1,'United Data'!$C$3:$C$3390,$A1089)&gt;0,1,0)</f>
        <v>0</v>
      </c>
      <c r="I1089">
        <f>IF(COUNTIFS('United Data'!$A$3:$A$3390,I$1,'United Data'!$C$3:$C$3390,$A1089)&gt;0,1,0)</f>
        <v>0</v>
      </c>
      <c r="J1089">
        <f>IF(COUNTIFS('United Data'!$A$3:$A$3390,J$1,'United Data'!$C$3:$C$3390,$A1089)&gt;0,1,0)</f>
        <v>0</v>
      </c>
      <c r="K1089">
        <f>IF(COUNTIFS('United Data'!$A$3:$A$3390,K$1,'United Data'!$C$3:$C$3390,$A1089)&gt;0,1,0)</f>
        <v>0</v>
      </c>
      <c r="L1089">
        <f>IF(COUNTIFS('United Data'!$A$3:$A$3390,L$1,'United Data'!$C$3:$C$3390,$A1089)&gt;0,1,0)</f>
        <v>0</v>
      </c>
      <c r="M1089">
        <f>IF(COUNTIFS('United Data'!$A$3:$A$3390,M$1,'United Data'!$C$3:$C$3390,$A1089)&gt;0,1,0)</f>
        <v>0</v>
      </c>
      <c r="N1089">
        <f>IF(COUNTIFS('United Data'!$A$3:$A$3390,N$1,'United Data'!$C$3:$C$3390,$A1089)&gt;0,1,0)</f>
        <v>0</v>
      </c>
      <c r="O1089">
        <f>IF(COUNTIFS('United Data'!$A$3:$A$3390,O$1,'United Data'!$C$3:$C$3390,$A1089)&gt;0,1,0)</f>
        <v>0</v>
      </c>
      <c r="P1089">
        <f>IF(COUNTIFS('United Data'!$A$3:$A$3390,P$1,'United Data'!$C$3:$C$3390,$A1089)&gt;0,1,0)</f>
        <v>0</v>
      </c>
      <c r="Q1089">
        <f>IF(COUNTIFS('United Data'!$A$3:$A$3390,Q$1,'United Data'!$C$3:$C$3390,$A1089)&gt;0,1,0)</f>
        <v>0</v>
      </c>
      <c r="R1089">
        <f>IF(COUNTIFS('United Data'!$A$3:$A$3390,R$1,'United Data'!$C$3:$C$3390,$A1089)&gt;0,1,0)</f>
        <v>0</v>
      </c>
      <c r="S1089">
        <f t="shared" si="32"/>
        <v>1</v>
      </c>
      <c r="T1089">
        <f t="shared" si="33"/>
        <v>1</v>
      </c>
    </row>
    <row r="1090" spans="1:20" x14ac:dyDescent="0.2">
      <c r="A1090" t="s">
        <v>1309</v>
      </c>
      <c r="B1090">
        <f>IF(COUNTIFS('United Data'!$A$3:$A$3390,B$1,'United Data'!$C$3:$C$3390,$A1090)&gt;0,1,0)</f>
        <v>0</v>
      </c>
      <c r="C1090">
        <f>IF(COUNTIFS('United Data'!$A$3:$A$3390,C$1,'United Data'!$C$3:$C$3390,$A1090)&gt;0,1,0)</f>
        <v>0</v>
      </c>
      <c r="D1090">
        <f>IF(COUNTIFS('United Data'!$A$3:$A$3390,D$1,'United Data'!$C$3:$C$3390,$A1090)&gt;0,1,0)</f>
        <v>0</v>
      </c>
      <c r="E1090">
        <f>IF(COUNTIFS('United Data'!$A$3:$A$3390,E$1,'United Data'!$C$3:$C$3390,$A1090)&gt;0,1,0)</f>
        <v>0</v>
      </c>
      <c r="F1090">
        <f>IF(COUNTIFS('United Data'!$A$3:$A$3390,F$1,'United Data'!$C$3:$C$3390,$A1090)&gt;0,1,0)</f>
        <v>0</v>
      </c>
      <c r="G1090">
        <f>IF(COUNTIFS('United Data'!$A$3:$A$3390,G$1,'United Data'!$C$3:$C$3390,$A1090)&gt;0,1,0)</f>
        <v>1</v>
      </c>
      <c r="H1090">
        <f>IF(COUNTIFS('United Data'!$A$3:$A$3390,H$1,'United Data'!$C$3:$C$3390,$A1090)&gt;0,1,0)</f>
        <v>0</v>
      </c>
      <c r="I1090">
        <f>IF(COUNTIFS('United Data'!$A$3:$A$3390,I$1,'United Data'!$C$3:$C$3390,$A1090)&gt;0,1,0)</f>
        <v>0</v>
      </c>
      <c r="J1090">
        <f>IF(COUNTIFS('United Data'!$A$3:$A$3390,J$1,'United Data'!$C$3:$C$3390,$A1090)&gt;0,1,0)</f>
        <v>0</v>
      </c>
      <c r="K1090">
        <f>IF(COUNTIFS('United Data'!$A$3:$A$3390,K$1,'United Data'!$C$3:$C$3390,$A1090)&gt;0,1,0)</f>
        <v>0</v>
      </c>
      <c r="L1090">
        <f>IF(COUNTIFS('United Data'!$A$3:$A$3390,L$1,'United Data'!$C$3:$C$3390,$A1090)&gt;0,1,0)</f>
        <v>0</v>
      </c>
      <c r="M1090">
        <f>IF(COUNTIFS('United Data'!$A$3:$A$3390,M$1,'United Data'!$C$3:$C$3390,$A1090)&gt;0,1,0)</f>
        <v>0</v>
      </c>
      <c r="N1090">
        <f>IF(COUNTIFS('United Data'!$A$3:$A$3390,N$1,'United Data'!$C$3:$C$3390,$A1090)&gt;0,1,0)</f>
        <v>0</v>
      </c>
      <c r="O1090">
        <f>IF(COUNTIFS('United Data'!$A$3:$A$3390,O$1,'United Data'!$C$3:$C$3390,$A1090)&gt;0,1,0)</f>
        <v>0</v>
      </c>
      <c r="P1090">
        <f>IF(COUNTIFS('United Data'!$A$3:$A$3390,P$1,'United Data'!$C$3:$C$3390,$A1090)&gt;0,1,0)</f>
        <v>0</v>
      </c>
      <c r="Q1090">
        <f>IF(COUNTIFS('United Data'!$A$3:$A$3390,Q$1,'United Data'!$C$3:$C$3390,$A1090)&gt;0,1,0)</f>
        <v>0</v>
      </c>
      <c r="R1090">
        <f>IF(COUNTIFS('United Data'!$A$3:$A$3390,R$1,'United Data'!$C$3:$C$3390,$A1090)&gt;0,1,0)</f>
        <v>0</v>
      </c>
      <c r="S1090">
        <f t="shared" ref="S1090:S1153" si="34">SUM(B1090:R1090)</f>
        <v>1</v>
      </c>
      <c r="T1090">
        <f t="shared" ref="T1090:T1153" si="35">B1090+SUMPRODUCT(--(C1090:R1090&gt;B1090:Q1090))</f>
        <v>1</v>
      </c>
    </row>
    <row r="1091" spans="1:20" x14ac:dyDescent="0.2">
      <c r="A1091" t="s">
        <v>1310</v>
      </c>
      <c r="B1091">
        <f>IF(COUNTIFS('United Data'!$A$3:$A$3390,B$1,'United Data'!$C$3:$C$3390,$A1091)&gt;0,1,0)</f>
        <v>0</v>
      </c>
      <c r="C1091">
        <f>IF(COUNTIFS('United Data'!$A$3:$A$3390,C$1,'United Data'!$C$3:$C$3390,$A1091)&gt;0,1,0)</f>
        <v>0</v>
      </c>
      <c r="D1091">
        <f>IF(COUNTIFS('United Data'!$A$3:$A$3390,D$1,'United Data'!$C$3:$C$3390,$A1091)&gt;0,1,0)</f>
        <v>0</v>
      </c>
      <c r="E1091">
        <f>IF(COUNTIFS('United Data'!$A$3:$A$3390,E$1,'United Data'!$C$3:$C$3390,$A1091)&gt;0,1,0)</f>
        <v>0</v>
      </c>
      <c r="F1091">
        <f>IF(COUNTIFS('United Data'!$A$3:$A$3390,F$1,'United Data'!$C$3:$C$3390,$A1091)&gt;0,1,0)</f>
        <v>0</v>
      </c>
      <c r="G1091">
        <f>IF(COUNTIFS('United Data'!$A$3:$A$3390,G$1,'United Data'!$C$3:$C$3390,$A1091)&gt;0,1,0)</f>
        <v>1</v>
      </c>
      <c r="H1091">
        <f>IF(COUNTIFS('United Data'!$A$3:$A$3390,H$1,'United Data'!$C$3:$C$3390,$A1091)&gt;0,1,0)</f>
        <v>1</v>
      </c>
      <c r="I1091">
        <f>IF(COUNTIFS('United Data'!$A$3:$A$3390,I$1,'United Data'!$C$3:$C$3390,$A1091)&gt;0,1,0)</f>
        <v>1</v>
      </c>
      <c r="J1091">
        <f>IF(COUNTIFS('United Data'!$A$3:$A$3390,J$1,'United Data'!$C$3:$C$3390,$A1091)&gt;0,1,0)</f>
        <v>1</v>
      </c>
      <c r="K1091">
        <f>IF(COUNTIFS('United Data'!$A$3:$A$3390,K$1,'United Data'!$C$3:$C$3390,$A1091)&gt;0,1,0)</f>
        <v>0</v>
      </c>
      <c r="L1091">
        <f>IF(COUNTIFS('United Data'!$A$3:$A$3390,L$1,'United Data'!$C$3:$C$3390,$A1091)&gt;0,1,0)</f>
        <v>0</v>
      </c>
      <c r="M1091">
        <f>IF(COUNTIFS('United Data'!$A$3:$A$3390,M$1,'United Data'!$C$3:$C$3390,$A1091)&gt;0,1,0)</f>
        <v>0</v>
      </c>
      <c r="N1091">
        <f>IF(COUNTIFS('United Data'!$A$3:$A$3390,N$1,'United Data'!$C$3:$C$3390,$A1091)&gt;0,1,0)</f>
        <v>1</v>
      </c>
      <c r="O1091">
        <f>IF(COUNTIFS('United Data'!$A$3:$A$3390,O$1,'United Data'!$C$3:$C$3390,$A1091)&gt;0,1,0)</f>
        <v>0</v>
      </c>
      <c r="P1091">
        <f>IF(COUNTIFS('United Data'!$A$3:$A$3390,P$1,'United Data'!$C$3:$C$3390,$A1091)&gt;0,1,0)</f>
        <v>0</v>
      </c>
      <c r="Q1091">
        <f>IF(COUNTIFS('United Data'!$A$3:$A$3390,Q$1,'United Data'!$C$3:$C$3390,$A1091)&gt;0,1,0)</f>
        <v>0</v>
      </c>
      <c r="R1091">
        <f>IF(COUNTIFS('United Data'!$A$3:$A$3390,R$1,'United Data'!$C$3:$C$3390,$A1091)&gt;0,1,0)</f>
        <v>0</v>
      </c>
      <c r="S1091">
        <f t="shared" si="34"/>
        <v>5</v>
      </c>
      <c r="T1091">
        <f t="shared" si="35"/>
        <v>2</v>
      </c>
    </row>
    <row r="1092" spans="1:20" x14ac:dyDescent="0.2">
      <c r="A1092" t="s">
        <v>1311</v>
      </c>
      <c r="B1092">
        <f>IF(COUNTIFS('United Data'!$A$3:$A$3390,B$1,'United Data'!$C$3:$C$3390,$A1092)&gt;0,1,0)</f>
        <v>0</v>
      </c>
      <c r="C1092">
        <f>IF(COUNTIFS('United Data'!$A$3:$A$3390,C$1,'United Data'!$C$3:$C$3390,$A1092)&gt;0,1,0)</f>
        <v>0</v>
      </c>
      <c r="D1092">
        <f>IF(COUNTIFS('United Data'!$A$3:$A$3390,D$1,'United Data'!$C$3:$C$3390,$A1092)&gt;0,1,0)</f>
        <v>0</v>
      </c>
      <c r="E1092">
        <f>IF(COUNTIFS('United Data'!$A$3:$A$3390,E$1,'United Data'!$C$3:$C$3390,$A1092)&gt;0,1,0)</f>
        <v>0</v>
      </c>
      <c r="F1092">
        <f>IF(COUNTIFS('United Data'!$A$3:$A$3390,F$1,'United Data'!$C$3:$C$3390,$A1092)&gt;0,1,0)</f>
        <v>0</v>
      </c>
      <c r="G1092">
        <f>IF(COUNTIFS('United Data'!$A$3:$A$3390,G$1,'United Data'!$C$3:$C$3390,$A1092)&gt;0,1,0)</f>
        <v>1</v>
      </c>
      <c r="H1092">
        <f>IF(COUNTIFS('United Data'!$A$3:$A$3390,H$1,'United Data'!$C$3:$C$3390,$A1092)&gt;0,1,0)</f>
        <v>0</v>
      </c>
      <c r="I1092">
        <f>IF(COUNTIFS('United Data'!$A$3:$A$3390,I$1,'United Data'!$C$3:$C$3390,$A1092)&gt;0,1,0)</f>
        <v>0</v>
      </c>
      <c r="J1092">
        <f>IF(COUNTIFS('United Data'!$A$3:$A$3390,J$1,'United Data'!$C$3:$C$3390,$A1092)&gt;0,1,0)</f>
        <v>0</v>
      </c>
      <c r="K1092">
        <f>IF(COUNTIFS('United Data'!$A$3:$A$3390,K$1,'United Data'!$C$3:$C$3390,$A1092)&gt;0,1,0)</f>
        <v>0</v>
      </c>
      <c r="L1092">
        <f>IF(COUNTIFS('United Data'!$A$3:$A$3390,L$1,'United Data'!$C$3:$C$3390,$A1092)&gt;0,1,0)</f>
        <v>0</v>
      </c>
      <c r="M1092">
        <f>IF(COUNTIFS('United Data'!$A$3:$A$3390,M$1,'United Data'!$C$3:$C$3390,$A1092)&gt;0,1,0)</f>
        <v>0</v>
      </c>
      <c r="N1092">
        <f>IF(COUNTIFS('United Data'!$A$3:$A$3390,N$1,'United Data'!$C$3:$C$3390,$A1092)&gt;0,1,0)</f>
        <v>0</v>
      </c>
      <c r="O1092">
        <f>IF(COUNTIFS('United Data'!$A$3:$A$3390,O$1,'United Data'!$C$3:$C$3390,$A1092)&gt;0,1,0)</f>
        <v>0</v>
      </c>
      <c r="P1092">
        <f>IF(COUNTIFS('United Data'!$A$3:$A$3390,P$1,'United Data'!$C$3:$C$3390,$A1092)&gt;0,1,0)</f>
        <v>0</v>
      </c>
      <c r="Q1092">
        <f>IF(COUNTIFS('United Data'!$A$3:$A$3390,Q$1,'United Data'!$C$3:$C$3390,$A1092)&gt;0,1,0)</f>
        <v>0</v>
      </c>
      <c r="R1092">
        <f>IF(COUNTIFS('United Data'!$A$3:$A$3390,R$1,'United Data'!$C$3:$C$3390,$A1092)&gt;0,1,0)</f>
        <v>0</v>
      </c>
      <c r="S1092">
        <f t="shared" si="34"/>
        <v>1</v>
      </c>
      <c r="T1092">
        <f t="shared" si="35"/>
        <v>1</v>
      </c>
    </row>
    <row r="1093" spans="1:20" x14ac:dyDescent="0.2">
      <c r="A1093" t="s">
        <v>1312</v>
      </c>
      <c r="B1093">
        <f>IF(COUNTIFS('United Data'!$A$3:$A$3390,B$1,'United Data'!$C$3:$C$3390,$A1093)&gt;0,1,0)</f>
        <v>0</v>
      </c>
      <c r="C1093">
        <f>IF(COUNTIFS('United Data'!$A$3:$A$3390,C$1,'United Data'!$C$3:$C$3390,$A1093)&gt;0,1,0)</f>
        <v>0</v>
      </c>
      <c r="D1093">
        <f>IF(COUNTIFS('United Data'!$A$3:$A$3390,D$1,'United Data'!$C$3:$C$3390,$A1093)&gt;0,1,0)</f>
        <v>0</v>
      </c>
      <c r="E1093">
        <f>IF(COUNTIFS('United Data'!$A$3:$A$3390,E$1,'United Data'!$C$3:$C$3390,$A1093)&gt;0,1,0)</f>
        <v>0</v>
      </c>
      <c r="F1093">
        <f>IF(COUNTIFS('United Data'!$A$3:$A$3390,F$1,'United Data'!$C$3:$C$3390,$A1093)&gt;0,1,0)</f>
        <v>0</v>
      </c>
      <c r="G1093">
        <f>IF(COUNTIFS('United Data'!$A$3:$A$3390,G$1,'United Data'!$C$3:$C$3390,$A1093)&gt;0,1,0)</f>
        <v>1</v>
      </c>
      <c r="H1093">
        <f>IF(COUNTIFS('United Data'!$A$3:$A$3390,H$1,'United Data'!$C$3:$C$3390,$A1093)&gt;0,1,0)</f>
        <v>0</v>
      </c>
      <c r="I1093">
        <f>IF(COUNTIFS('United Data'!$A$3:$A$3390,I$1,'United Data'!$C$3:$C$3390,$A1093)&gt;0,1,0)</f>
        <v>0</v>
      </c>
      <c r="J1093">
        <f>IF(COUNTIFS('United Data'!$A$3:$A$3390,J$1,'United Data'!$C$3:$C$3390,$A1093)&gt;0,1,0)</f>
        <v>0</v>
      </c>
      <c r="K1093">
        <f>IF(COUNTIFS('United Data'!$A$3:$A$3390,K$1,'United Data'!$C$3:$C$3390,$A1093)&gt;0,1,0)</f>
        <v>0</v>
      </c>
      <c r="L1093">
        <f>IF(COUNTIFS('United Data'!$A$3:$A$3390,L$1,'United Data'!$C$3:$C$3390,$A1093)&gt;0,1,0)</f>
        <v>0</v>
      </c>
      <c r="M1093">
        <f>IF(COUNTIFS('United Data'!$A$3:$A$3390,M$1,'United Data'!$C$3:$C$3390,$A1093)&gt;0,1,0)</f>
        <v>0</v>
      </c>
      <c r="N1093">
        <f>IF(COUNTIFS('United Data'!$A$3:$A$3390,N$1,'United Data'!$C$3:$C$3390,$A1093)&gt;0,1,0)</f>
        <v>0</v>
      </c>
      <c r="O1093">
        <f>IF(COUNTIFS('United Data'!$A$3:$A$3390,O$1,'United Data'!$C$3:$C$3390,$A1093)&gt;0,1,0)</f>
        <v>0</v>
      </c>
      <c r="P1093">
        <f>IF(COUNTIFS('United Data'!$A$3:$A$3390,P$1,'United Data'!$C$3:$C$3390,$A1093)&gt;0,1,0)</f>
        <v>0</v>
      </c>
      <c r="Q1093">
        <f>IF(COUNTIFS('United Data'!$A$3:$A$3390,Q$1,'United Data'!$C$3:$C$3390,$A1093)&gt;0,1,0)</f>
        <v>0</v>
      </c>
      <c r="R1093">
        <f>IF(COUNTIFS('United Data'!$A$3:$A$3390,R$1,'United Data'!$C$3:$C$3390,$A1093)&gt;0,1,0)</f>
        <v>0</v>
      </c>
      <c r="S1093">
        <f t="shared" si="34"/>
        <v>1</v>
      </c>
      <c r="T1093">
        <f t="shared" si="35"/>
        <v>1</v>
      </c>
    </row>
    <row r="1094" spans="1:20" x14ac:dyDescent="0.2">
      <c r="A1094" t="s">
        <v>1313</v>
      </c>
      <c r="B1094">
        <f>IF(COUNTIFS('United Data'!$A$3:$A$3390,B$1,'United Data'!$C$3:$C$3390,$A1094)&gt;0,1,0)</f>
        <v>0</v>
      </c>
      <c r="C1094">
        <f>IF(COUNTIFS('United Data'!$A$3:$A$3390,C$1,'United Data'!$C$3:$C$3390,$A1094)&gt;0,1,0)</f>
        <v>0</v>
      </c>
      <c r="D1094">
        <f>IF(COUNTIFS('United Data'!$A$3:$A$3390,D$1,'United Data'!$C$3:$C$3390,$A1094)&gt;0,1,0)</f>
        <v>0</v>
      </c>
      <c r="E1094">
        <f>IF(COUNTIFS('United Data'!$A$3:$A$3390,E$1,'United Data'!$C$3:$C$3390,$A1094)&gt;0,1,0)</f>
        <v>0</v>
      </c>
      <c r="F1094">
        <f>IF(COUNTIFS('United Data'!$A$3:$A$3390,F$1,'United Data'!$C$3:$C$3390,$A1094)&gt;0,1,0)</f>
        <v>0</v>
      </c>
      <c r="G1094">
        <f>IF(COUNTIFS('United Data'!$A$3:$A$3390,G$1,'United Data'!$C$3:$C$3390,$A1094)&gt;0,1,0)</f>
        <v>1</v>
      </c>
      <c r="H1094">
        <f>IF(COUNTIFS('United Data'!$A$3:$A$3390,H$1,'United Data'!$C$3:$C$3390,$A1094)&gt;0,1,0)</f>
        <v>1</v>
      </c>
      <c r="I1094">
        <f>IF(COUNTIFS('United Data'!$A$3:$A$3390,I$1,'United Data'!$C$3:$C$3390,$A1094)&gt;0,1,0)</f>
        <v>0</v>
      </c>
      <c r="J1094">
        <f>IF(COUNTIFS('United Data'!$A$3:$A$3390,J$1,'United Data'!$C$3:$C$3390,$A1094)&gt;0,1,0)</f>
        <v>0</v>
      </c>
      <c r="K1094">
        <f>IF(COUNTIFS('United Data'!$A$3:$A$3390,K$1,'United Data'!$C$3:$C$3390,$A1094)&gt;0,1,0)</f>
        <v>0</v>
      </c>
      <c r="L1094">
        <f>IF(COUNTIFS('United Data'!$A$3:$A$3390,L$1,'United Data'!$C$3:$C$3390,$A1094)&gt;0,1,0)</f>
        <v>0</v>
      </c>
      <c r="M1094">
        <f>IF(COUNTIFS('United Data'!$A$3:$A$3390,M$1,'United Data'!$C$3:$C$3390,$A1094)&gt;0,1,0)</f>
        <v>0</v>
      </c>
      <c r="N1094">
        <f>IF(COUNTIFS('United Data'!$A$3:$A$3390,N$1,'United Data'!$C$3:$C$3390,$A1094)&gt;0,1,0)</f>
        <v>0</v>
      </c>
      <c r="O1094">
        <f>IF(COUNTIFS('United Data'!$A$3:$A$3390,O$1,'United Data'!$C$3:$C$3390,$A1094)&gt;0,1,0)</f>
        <v>0</v>
      </c>
      <c r="P1094">
        <f>IF(COUNTIFS('United Data'!$A$3:$A$3390,P$1,'United Data'!$C$3:$C$3390,$A1094)&gt;0,1,0)</f>
        <v>0</v>
      </c>
      <c r="Q1094">
        <f>IF(COUNTIFS('United Data'!$A$3:$A$3390,Q$1,'United Data'!$C$3:$C$3390,$A1094)&gt;0,1,0)</f>
        <v>0</v>
      </c>
      <c r="R1094">
        <f>IF(COUNTIFS('United Data'!$A$3:$A$3390,R$1,'United Data'!$C$3:$C$3390,$A1094)&gt;0,1,0)</f>
        <v>0</v>
      </c>
      <c r="S1094">
        <f t="shared" si="34"/>
        <v>2</v>
      </c>
      <c r="T1094">
        <f t="shared" si="35"/>
        <v>1</v>
      </c>
    </row>
    <row r="1095" spans="1:20" x14ac:dyDescent="0.2">
      <c r="A1095" t="s">
        <v>1314</v>
      </c>
      <c r="B1095">
        <f>IF(COUNTIFS('United Data'!$A$3:$A$3390,B$1,'United Data'!$C$3:$C$3390,$A1095)&gt;0,1,0)</f>
        <v>0</v>
      </c>
      <c r="C1095">
        <f>IF(COUNTIFS('United Data'!$A$3:$A$3390,C$1,'United Data'!$C$3:$C$3390,$A1095)&gt;0,1,0)</f>
        <v>0</v>
      </c>
      <c r="D1095">
        <f>IF(COUNTIFS('United Data'!$A$3:$A$3390,D$1,'United Data'!$C$3:$C$3390,$A1095)&gt;0,1,0)</f>
        <v>0</v>
      </c>
      <c r="E1095">
        <f>IF(COUNTIFS('United Data'!$A$3:$A$3390,E$1,'United Data'!$C$3:$C$3390,$A1095)&gt;0,1,0)</f>
        <v>0</v>
      </c>
      <c r="F1095">
        <f>IF(COUNTIFS('United Data'!$A$3:$A$3390,F$1,'United Data'!$C$3:$C$3390,$A1095)&gt;0,1,0)</f>
        <v>0</v>
      </c>
      <c r="G1095">
        <f>IF(COUNTIFS('United Data'!$A$3:$A$3390,G$1,'United Data'!$C$3:$C$3390,$A1095)&gt;0,1,0)</f>
        <v>1</v>
      </c>
      <c r="H1095">
        <f>IF(COUNTIFS('United Data'!$A$3:$A$3390,H$1,'United Data'!$C$3:$C$3390,$A1095)&gt;0,1,0)</f>
        <v>1</v>
      </c>
      <c r="I1095">
        <f>IF(COUNTIFS('United Data'!$A$3:$A$3390,I$1,'United Data'!$C$3:$C$3390,$A1095)&gt;0,1,0)</f>
        <v>0</v>
      </c>
      <c r="J1095">
        <f>IF(COUNTIFS('United Data'!$A$3:$A$3390,J$1,'United Data'!$C$3:$C$3390,$A1095)&gt;0,1,0)</f>
        <v>0</v>
      </c>
      <c r="K1095">
        <f>IF(COUNTIFS('United Data'!$A$3:$A$3390,K$1,'United Data'!$C$3:$C$3390,$A1095)&gt;0,1,0)</f>
        <v>0</v>
      </c>
      <c r="L1095">
        <f>IF(COUNTIFS('United Data'!$A$3:$A$3390,L$1,'United Data'!$C$3:$C$3390,$A1095)&gt;0,1,0)</f>
        <v>0</v>
      </c>
      <c r="M1095">
        <f>IF(COUNTIFS('United Data'!$A$3:$A$3390,M$1,'United Data'!$C$3:$C$3390,$A1095)&gt;0,1,0)</f>
        <v>0</v>
      </c>
      <c r="N1095">
        <f>IF(COUNTIFS('United Data'!$A$3:$A$3390,N$1,'United Data'!$C$3:$C$3390,$A1095)&gt;0,1,0)</f>
        <v>0</v>
      </c>
      <c r="O1095">
        <f>IF(COUNTIFS('United Data'!$A$3:$A$3390,O$1,'United Data'!$C$3:$C$3390,$A1095)&gt;0,1,0)</f>
        <v>0</v>
      </c>
      <c r="P1095">
        <f>IF(COUNTIFS('United Data'!$A$3:$A$3390,P$1,'United Data'!$C$3:$C$3390,$A1095)&gt;0,1,0)</f>
        <v>0</v>
      </c>
      <c r="Q1095">
        <f>IF(COUNTIFS('United Data'!$A$3:$A$3390,Q$1,'United Data'!$C$3:$C$3390,$A1095)&gt;0,1,0)</f>
        <v>0</v>
      </c>
      <c r="R1095">
        <f>IF(COUNTIFS('United Data'!$A$3:$A$3390,R$1,'United Data'!$C$3:$C$3390,$A1095)&gt;0,1,0)</f>
        <v>0</v>
      </c>
      <c r="S1095">
        <f t="shared" si="34"/>
        <v>2</v>
      </c>
      <c r="T1095">
        <f t="shared" si="35"/>
        <v>1</v>
      </c>
    </row>
    <row r="1096" spans="1:20" x14ac:dyDescent="0.2">
      <c r="A1096" t="s">
        <v>1315</v>
      </c>
      <c r="B1096">
        <f>IF(COUNTIFS('United Data'!$A$3:$A$3390,B$1,'United Data'!$C$3:$C$3390,$A1096)&gt;0,1,0)</f>
        <v>0</v>
      </c>
      <c r="C1096">
        <f>IF(COUNTIFS('United Data'!$A$3:$A$3390,C$1,'United Data'!$C$3:$C$3390,$A1096)&gt;0,1,0)</f>
        <v>0</v>
      </c>
      <c r="D1096">
        <f>IF(COUNTIFS('United Data'!$A$3:$A$3390,D$1,'United Data'!$C$3:$C$3390,$A1096)&gt;0,1,0)</f>
        <v>0</v>
      </c>
      <c r="E1096">
        <f>IF(COUNTIFS('United Data'!$A$3:$A$3390,E$1,'United Data'!$C$3:$C$3390,$A1096)&gt;0,1,0)</f>
        <v>0</v>
      </c>
      <c r="F1096">
        <f>IF(COUNTIFS('United Data'!$A$3:$A$3390,F$1,'United Data'!$C$3:$C$3390,$A1096)&gt;0,1,0)</f>
        <v>0</v>
      </c>
      <c r="G1096">
        <f>IF(COUNTIFS('United Data'!$A$3:$A$3390,G$1,'United Data'!$C$3:$C$3390,$A1096)&gt;0,1,0)</f>
        <v>1</v>
      </c>
      <c r="H1096">
        <f>IF(COUNTIFS('United Data'!$A$3:$A$3390,H$1,'United Data'!$C$3:$C$3390,$A1096)&gt;0,1,0)</f>
        <v>0</v>
      </c>
      <c r="I1096">
        <f>IF(COUNTIFS('United Data'!$A$3:$A$3390,I$1,'United Data'!$C$3:$C$3390,$A1096)&gt;0,1,0)</f>
        <v>0</v>
      </c>
      <c r="J1096">
        <f>IF(COUNTIFS('United Data'!$A$3:$A$3390,J$1,'United Data'!$C$3:$C$3390,$A1096)&gt;0,1,0)</f>
        <v>0</v>
      </c>
      <c r="K1096">
        <f>IF(COUNTIFS('United Data'!$A$3:$A$3390,K$1,'United Data'!$C$3:$C$3390,$A1096)&gt;0,1,0)</f>
        <v>0</v>
      </c>
      <c r="L1096">
        <f>IF(COUNTIFS('United Data'!$A$3:$A$3390,L$1,'United Data'!$C$3:$C$3390,$A1096)&gt;0,1,0)</f>
        <v>0</v>
      </c>
      <c r="M1096">
        <f>IF(COUNTIFS('United Data'!$A$3:$A$3390,M$1,'United Data'!$C$3:$C$3390,$A1096)&gt;0,1,0)</f>
        <v>0</v>
      </c>
      <c r="N1096">
        <f>IF(COUNTIFS('United Data'!$A$3:$A$3390,N$1,'United Data'!$C$3:$C$3390,$A1096)&gt;0,1,0)</f>
        <v>0</v>
      </c>
      <c r="O1096">
        <f>IF(COUNTIFS('United Data'!$A$3:$A$3390,O$1,'United Data'!$C$3:$C$3390,$A1096)&gt;0,1,0)</f>
        <v>0</v>
      </c>
      <c r="P1096">
        <f>IF(COUNTIFS('United Data'!$A$3:$A$3390,P$1,'United Data'!$C$3:$C$3390,$A1096)&gt;0,1,0)</f>
        <v>0</v>
      </c>
      <c r="Q1096">
        <f>IF(COUNTIFS('United Data'!$A$3:$A$3390,Q$1,'United Data'!$C$3:$C$3390,$A1096)&gt;0,1,0)</f>
        <v>0</v>
      </c>
      <c r="R1096">
        <f>IF(COUNTIFS('United Data'!$A$3:$A$3390,R$1,'United Data'!$C$3:$C$3390,$A1096)&gt;0,1,0)</f>
        <v>0</v>
      </c>
      <c r="S1096">
        <f t="shared" si="34"/>
        <v>1</v>
      </c>
      <c r="T1096">
        <f t="shared" si="35"/>
        <v>1</v>
      </c>
    </row>
    <row r="1097" spans="1:20" x14ac:dyDescent="0.2">
      <c r="A1097" t="s">
        <v>1316</v>
      </c>
      <c r="B1097">
        <f>IF(COUNTIFS('United Data'!$A$3:$A$3390,B$1,'United Data'!$C$3:$C$3390,$A1097)&gt;0,1,0)</f>
        <v>0</v>
      </c>
      <c r="C1097">
        <f>IF(COUNTIFS('United Data'!$A$3:$A$3390,C$1,'United Data'!$C$3:$C$3390,$A1097)&gt;0,1,0)</f>
        <v>0</v>
      </c>
      <c r="D1097">
        <f>IF(COUNTIFS('United Data'!$A$3:$A$3390,D$1,'United Data'!$C$3:$C$3390,$A1097)&gt;0,1,0)</f>
        <v>0</v>
      </c>
      <c r="E1097">
        <f>IF(COUNTIFS('United Data'!$A$3:$A$3390,E$1,'United Data'!$C$3:$C$3390,$A1097)&gt;0,1,0)</f>
        <v>0</v>
      </c>
      <c r="F1097">
        <f>IF(COUNTIFS('United Data'!$A$3:$A$3390,F$1,'United Data'!$C$3:$C$3390,$A1097)&gt;0,1,0)</f>
        <v>0</v>
      </c>
      <c r="G1097">
        <f>IF(COUNTIFS('United Data'!$A$3:$A$3390,G$1,'United Data'!$C$3:$C$3390,$A1097)&gt;0,1,0)</f>
        <v>1</v>
      </c>
      <c r="H1097">
        <f>IF(COUNTIFS('United Data'!$A$3:$A$3390,H$1,'United Data'!$C$3:$C$3390,$A1097)&gt;0,1,0)</f>
        <v>0</v>
      </c>
      <c r="I1097">
        <f>IF(COUNTIFS('United Data'!$A$3:$A$3390,I$1,'United Data'!$C$3:$C$3390,$A1097)&gt;0,1,0)</f>
        <v>0</v>
      </c>
      <c r="J1097">
        <f>IF(COUNTIFS('United Data'!$A$3:$A$3390,J$1,'United Data'!$C$3:$C$3390,$A1097)&gt;0,1,0)</f>
        <v>0</v>
      </c>
      <c r="K1097">
        <f>IF(COUNTIFS('United Data'!$A$3:$A$3390,K$1,'United Data'!$C$3:$C$3390,$A1097)&gt;0,1,0)</f>
        <v>0</v>
      </c>
      <c r="L1097">
        <f>IF(COUNTIFS('United Data'!$A$3:$A$3390,L$1,'United Data'!$C$3:$C$3390,$A1097)&gt;0,1,0)</f>
        <v>0</v>
      </c>
      <c r="M1097">
        <f>IF(COUNTIFS('United Data'!$A$3:$A$3390,M$1,'United Data'!$C$3:$C$3390,$A1097)&gt;0,1,0)</f>
        <v>0</v>
      </c>
      <c r="N1097">
        <f>IF(COUNTIFS('United Data'!$A$3:$A$3390,N$1,'United Data'!$C$3:$C$3390,$A1097)&gt;0,1,0)</f>
        <v>0</v>
      </c>
      <c r="O1097">
        <f>IF(COUNTIFS('United Data'!$A$3:$A$3390,O$1,'United Data'!$C$3:$C$3390,$A1097)&gt;0,1,0)</f>
        <v>0</v>
      </c>
      <c r="P1097">
        <f>IF(COUNTIFS('United Data'!$A$3:$A$3390,P$1,'United Data'!$C$3:$C$3390,$A1097)&gt;0,1,0)</f>
        <v>0</v>
      </c>
      <c r="Q1097">
        <f>IF(COUNTIFS('United Data'!$A$3:$A$3390,Q$1,'United Data'!$C$3:$C$3390,$A1097)&gt;0,1,0)</f>
        <v>0</v>
      </c>
      <c r="R1097">
        <f>IF(COUNTIFS('United Data'!$A$3:$A$3390,R$1,'United Data'!$C$3:$C$3390,$A1097)&gt;0,1,0)</f>
        <v>0</v>
      </c>
      <c r="S1097">
        <f t="shared" si="34"/>
        <v>1</v>
      </c>
      <c r="T1097">
        <f t="shared" si="35"/>
        <v>1</v>
      </c>
    </row>
    <row r="1098" spans="1:20" x14ac:dyDescent="0.2">
      <c r="A1098" t="s">
        <v>1317</v>
      </c>
      <c r="B1098">
        <f>IF(COUNTIFS('United Data'!$A$3:$A$3390,B$1,'United Data'!$C$3:$C$3390,$A1098)&gt;0,1,0)</f>
        <v>0</v>
      </c>
      <c r="C1098">
        <f>IF(COUNTIFS('United Data'!$A$3:$A$3390,C$1,'United Data'!$C$3:$C$3390,$A1098)&gt;0,1,0)</f>
        <v>0</v>
      </c>
      <c r="D1098">
        <f>IF(COUNTIFS('United Data'!$A$3:$A$3390,D$1,'United Data'!$C$3:$C$3390,$A1098)&gt;0,1,0)</f>
        <v>0</v>
      </c>
      <c r="E1098">
        <f>IF(COUNTIFS('United Data'!$A$3:$A$3390,E$1,'United Data'!$C$3:$C$3390,$A1098)&gt;0,1,0)</f>
        <v>0</v>
      </c>
      <c r="F1098">
        <f>IF(COUNTIFS('United Data'!$A$3:$A$3390,F$1,'United Data'!$C$3:$C$3390,$A1098)&gt;0,1,0)</f>
        <v>0</v>
      </c>
      <c r="G1098">
        <f>IF(COUNTIFS('United Data'!$A$3:$A$3390,G$1,'United Data'!$C$3:$C$3390,$A1098)&gt;0,1,0)</f>
        <v>1</v>
      </c>
      <c r="H1098">
        <f>IF(COUNTIFS('United Data'!$A$3:$A$3390,H$1,'United Data'!$C$3:$C$3390,$A1098)&gt;0,1,0)</f>
        <v>0</v>
      </c>
      <c r="I1098">
        <f>IF(COUNTIFS('United Data'!$A$3:$A$3390,I$1,'United Data'!$C$3:$C$3390,$A1098)&gt;0,1,0)</f>
        <v>0</v>
      </c>
      <c r="J1098">
        <f>IF(COUNTIFS('United Data'!$A$3:$A$3390,J$1,'United Data'!$C$3:$C$3390,$A1098)&gt;0,1,0)</f>
        <v>0</v>
      </c>
      <c r="K1098">
        <f>IF(COUNTIFS('United Data'!$A$3:$A$3390,K$1,'United Data'!$C$3:$C$3390,$A1098)&gt;0,1,0)</f>
        <v>0</v>
      </c>
      <c r="L1098">
        <f>IF(COUNTIFS('United Data'!$A$3:$A$3390,L$1,'United Data'!$C$3:$C$3390,$A1098)&gt;0,1,0)</f>
        <v>0</v>
      </c>
      <c r="M1098">
        <f>IF(COUNTIFS('United Data'!$A$3:$A$3390,M$1,'United Data'!$C$3:$C$3390,$A1098)&gt;0,1,0)</f>
        <v>0</v>
      </c>
      <c r="N1098">
        <f>IF(COUNTIFS('United Data'!$A$3:$A$3390,N$1,'United Data'!$C$3:$C$3390,$A1098)&gt;0,1,0)</f>
        <v>0</v>
      </c>
      <c r="O1098">
        <f>IF(COUNTIFS('United Data'!$A$3:$A$3390,O$1,'United Data'!$C$3:$C$3390,$A1098)&gt;0,1,0)</f>
        <v>0</v>
      </c>
      <c r="P1098">
        <f>IF(COUNTIFS('United Data'!$A$3:$A$3390,P$1,'United Data'!$C$3:$C$3390,$A1098)&gt;0,1,0)</f>
        <v>0</v>
      </c>
      <c r="Q1098">
        <f>IF(COUNTIFS('United Data'!$A$3:$A$3390,Q$1,'United Data'!$C$3:$C$3390,$A1098)&gt;0,1,0)</f>
        <v>0</v>
      </c>
      <c r="R1098">
        <f>IF(COUNTIFS('United Data'!$A$3:$A$3390,R$1,'United Data'!$C$3:$C$3390,$A1098)&gt;0,1,0)</f>
        <v>0</v>
      </c>
      <c r="S1098">
        <f t="shared" si="34"/>
        <v>1</v>
      </c>
      <c r="T1098">
        <f t="shared" si="35"/>
        <v>1</v>
      </c>
    </row>
    <row r="1099" spans="1:20" x14ac:dyDescent="0.2">
      <c r="A1099" t="s">
        <v>1318</v>
      </c>
      <c r="B1099">
        <f>IF(COUNTIFS('United Data'!$A$3:$A$3390,B$1,'United Data'!$C$3:$C$3390,$A1099)&gt;0,1,0)</f>
        <v>0</v>
      </c>
      <c r="C1099">
        <f>IF(COUNTIFS('United Data'!$A$3:$A$3390,C$1,'United Data'!$C$3:$C$3390,$A1099)&gt;0,1,0)</f>
        <v>0</v>
      </c>
      <c r="D1099">
        <f>IF(COUNTIFS('United Data'!$A$3:$A$3390,D$1,'United Data'!$C$3:$C$3390,$A1099)&gt;0,1,0)</f>
        <v>0</v>
      </c>
      <c r="E1099">
        <f>IF(COUNTIFS('United Data'!$A$3:$A$3390,E$1,'United Data'!$C$3:$C$3390,$A1099)&gt;0,1,0)</f>
        <v>0</v>
      </c>
      <c r="F1099">
        <f>IF(COUNTIFS('United Data'!$A$3:$A$3390,F$1,'United Data'!$C$3:$C$3390,$A1099)&gt;0,1,0)</f>
        <v>0</v>
      </c>
      <c r="G1099">
        <f>IF(COUNTIFS('United Data'!$A$3:$A$3390,G$1,'United Data'!$C$3:$C$3390,$A1099)&gt;0,1,0)</f>
        <v>1</v>
      </c>
      <c r="H1099">
        <f>IF(COUNTIFS('United Data'!$A$3:$A$3390,H$1,'United Data'!$C$3:$C$3390,$A1099)&gt;0,1,0)</f>
        <v>0</v>
      </c>
      <c r="I1099">
        <f>IF(COUNTIFS('United Data'!$A$3:$A$3390,I$1,'United Data'!$C$3:$C$3390,$A1099)&gt;0,1,0)</f>
        <v>0</v>
      </c>
      <c r="J1099">
        <f>IF(COUNTIFS('United Data'!$A$3:$A$3390,J$1,'United Data'!$C$3:$C$3390,$A1099)&gt;0,1,0)</f>
        <v>0</v>
      </c>
      <c r="K1099">
        <f>IF(COUNTIFS('United Data'!$A$3:$A$3390,K$1,'United Data'!$C$3:$C$3390,$A1099)&gt;0,1,0)</f>
        <v>0</v>
      </c>
      <c r="L1099">
        <f>IF(COUNTIFS('United Data'!$A$3:$A$3390,L$1,'United Data'!$C$3:$C$3390,$A1099)&gt;0,1,0)</f>
        <v>0</v>
      </c>
      <c r="M1099">
        <f>IF(COUNTIFS('United Data'!$A$3:$A$3390,M$1,'United Data'!$C$3:$C$3390,$A1099)&gt;0,1,0)</f>
        <v>0</v>
      </c>
      <c r="N1099">
        <f>IF(COUNTIFS('United Data'!$A$3:$A$3390,N$1,'United Data'!$C$3:$C$3390,$A1099)&gt;0,1,0)</f>
        <v>0</v>
      </c>
      <c r="O1099">
        <f>IF(COUNTIFS('United Data'!$A$3:$A$3390,O$1,'United Data'!$C$3:$C$3390,$A1099)&gt;0,1,0)</f>
        <v>0</v>
      </c>
      <c r="P1099">
        <f>IF(COUNTIFS('United Data'!$A$3:$A$3390,P$1,'United Data'!$C$3:$C$3390,$A1099)&gt;0,1,0)</f>
        <v>0</v>
      </c>
      <c r="Q1099">
        <f>IF(COUNTIFS('United Data'!$A$3:$A$3390,Q$1,'United Data'!$C$3:$C$3390,$A1099)&gt;0,1,0)</f>
        <v>0</v>
      </c>
      <c r="R1099">
        <f>IF(COUNTIFS('United Data'!$A$3:$A$3390,R$1,'United Data'!$C$3:$C$3390,$A1099)&gt;0,1,0)</f>
        <v>0</v>
      </c>
      <c r="S1099">
        <f t="shared" si="34"/>
        <v>1</v>
      </c>
      <c r="T1099">
        <f t="shared" si="35"/>
        <v>1</v>
      </c>
    </row>
    <row r="1100" spans="1:20" x14ac:dyDescent="0.2">
      <c r="A1100" t="s">
        <v>1319</v>
      </c>
      <c r="B1100">
        <f>IF(COUNTIFS('United Data'!$A$3:$A$3390,B$1,'United Data'!$C$3:$C$3390,$A1100)&gt;0,1,0)</f>
        <v>0</v>
      </c>
      <c r="C1100">
        <f>IF(COUNTIFS('United Data'!$A$3:$A$3390,C$1,'United Data'!$C$3:$C$3390,$A1100)&gt;0,1,0)</f>
        <v>0</v>
      </c>
      <c r="D1100">
        <f>IF(COUNTIFS('United Data'!$A$3:$A$3390,D$1,'United Data'!$C$3:$C$3390,$A1100)&gt;0,1,0)</f>
        <v>0</v>
      </c>
      <c r="E1100">
        <f>IF(COUNTIFS('United Data'!$A$3:$A$3390,E$1,'United Data'!$C$3:$C$3390,$A1100)&gt;0,1,0)</f>
        <v>0</v>
      </c>
      <c r="F1100">
        <f>IF(COUNTIFS('United Data'!$A$3:$A$3390,F$1,'United Data'!$C$3:$C$3390,$A1100)&gt;0,1,0)</f>
        <v>0</v>
      </c>
      <c r="G1100">
        <f>IF(COUNTIFS('United Data'!$A$3:$A$3390,G$1,'United Data'!$C$3:$C$3390,$A1100)&gt;0,1,0)</f>
        <v>1</v>
      </c>
      <c r="H1100">
        <f>IF(COUNTIFS('United Data'!$A$3:$A$3390,H$1,'United Data'!$C$3:$C$3390,$A1100)&gt;0,1,0)</f>
        <v>0</v>
      </c>
      <c r="I1100">
        <f>IF(COUNTIFS('United Data'!$A$3:$A$3390,I$1,'United Data'!$C$3:$C$3390,$A1100)&gt;0,1,0)</f>
        <v>0</v>
      </c>
      <c r="J1100">
        <f>IF(COUNTIFS('United Data'!$A$3:$A$3390,J$1,'United Data'!$C$3:$C$3390,$A1100)&gt;0,1,0)</f>
        <v>0</v>
      </c>
      <c r="K1100">
        <f>IF(COUNTIFS('United Data'!$A$3:$A$3390,K$1,'United Data'!$C$3:$C$3390,$A1100)&gt;0,1,0)</f>
        <v>0</v>
      </c>
      <c r="L1100">
        <f>IF(COUNTIFS('United Data'!$A$3:$A$3390,L$1,'United Data'!$C$3:$C$3390,$A1100)&gt;0,1,0)</f>
        <v>0</v>
      </c>
      <c r="M1100">
        <f>IF(COUNTIFS('United Data'!$A$3:$A$3390,M$1,'United Data'!$C$3:$C$3390,$A1100)&gt;0,1,0)</f>
        <v>0</v>
      </c>
      <c r="N1100">
        <f>IF(COUNTIFS('United Data'!$A$3:$A$3390,N$1,'United Data'!$C$3:$C$3390,$A1100)&gt;0,1,0)</f>
        <v>0</v>
      </c>
      <c r="O1100">
        <f>IF(COUNTIFS('United Data'!$A$3:$A$3390,O$1,'United Data'!$C$3:$C$3390,$A1100)&gt;0,1,0)</f>
        <v>0</v>
      </c>
      <c r="P1100">
        <f>IF(COUNTIFS('United Data'!$A$3:$A$3390,P$1,'United Data'!$C$3:$C$3390,$A1100)&gt;0,1,0)</f>
        <v>0</v>
      </c>
      <c r="Q1100">
        <f>IF(COUNTIFS('United Data'!$A$3:$A$3390,Q$1,'United Data'!$C$3:$C$3390,$A1100)&gt;0,1,0)</f>
        <v>0</v>
      </c>
      <c r="R1100">
        <f>IF(COUNTIFS('United Data'!$A$3:$A$3390,R$1,'United Data'!$C$3:$C$3390,$A1100)&gt;0,1,0)</f>
        <v>0</v>
      </c>
      <c r="S1100">
        <f t="shared" si="34"/>
        <v>1</v>
      </c>
      <c r="T1100">
        <f t="shared" si="35"/>
        <v>1</v>
      </c>
    </row>
    <row r="1101" spans="1:20" x14ac:dyDescent="0.2">
      <c r="A1101" t="s">
        <v>1320</v>
      </c>
      <c r="B1101">
        <f>IF(COUNTIFS('United Data'!$A$3:$A$3390,B$1,'United Data'!$C$3:$C$3390,$A1101)&gt;0,1,0)</f>
        <v>0</v>
      </c>
      <c r="C1101">
        <f>IF(COUNTIFS('United Data'!$A$3:$A$3390,C$1,'United Data'!$C$3:$C$3390,$A1101)&gt;0,1,0)</f>
        <v>0</v>
      </c>
      <c r="D1101">
        <f>IF(COUNTIFS('United Data'!$A$3:$A$3390,D$1,'United Data'!$C$3:$C$3390,$A1101)&gt;0,1,0)</f>
        <v>0</v>
      </c>
      <c r="E1101">
        <f>IF(COUNTIFS('United Data'!$A$3:$A$3390,E$1,'United Data'!$C$3:$C$3390,$A1101)&gt;0,1,0)</f>
        <v>0</v>
      </c>
      <c r="F1101">
        <f>IF(COUNTIFS('United Data'!$A$3:$A$3390,F$1,'United Data'!$C$3:$C$3390,$A1101)&gt;0,1,0)</f>
        <v>0</v>
      </c>
      <c r="G1101">
        <f>IF(COUNTIFS('United Data'!$A$3:$A$3390,G$1,'United Data'!$C$3:$C$3390,$A1101)&gt;0,1,0)</f>
        <v>1</v>
      </c>
      <c r="H1101">
        <f>IF(COUNTIFS('United Data'!$A$3:$A$3390,H$1,'United Data'!$C$3:$C$3390,$A1101)&gt;0,1,0)</f>
        <v>0</v>
      </c>
      <c r="I1101">
        <f>IF(COUNTIFS('United Data'!$A$3:$A$3390,I$1,'United Data'!$C$3:$C$3390,$A1101)&gt;0,1,0)</f>
        <v>0</v>
      </c>
      <c r="J1101">
        <f>IF(COUNTIFS('United Data'!$A$3:$A$3390,J$1,'United Data'!$C$3:$C$3390,$A1101)&gt;0,1,0)</f>
        <v>0</v>
      </c>
      <c r="K1101">
        <f>IF(COUNTIFS('United Data'!$A$3:$A$3390,K$1,'United Data'!$C$3:$C$3390,$A1101)&gt;0,1,0)</f>
        <v>0</v>
      </c>
      <c r="L1101">
        <f>IF(COUNTIFS('United Data'!$A$3:$A$3390,L$1,'United Data'!$C$3:$C$3390,$A1101)&gt;0,1,0)</f>
        <v>0</v>
      </c>
      <c r="M1101">
        <f>IF(COUNTIFS('United Data'!$A$3:$A$3390,M$1,'United Data'!$C$3:$C$3390,$A1101)&gt;0,1,0)</f>
        <v>0</v>
      </c>
      <c r="N1101">
        <f>IF(COUNTIFS('United Data'!$A$3:$A$3390,N$1,'United Data'!$C$3:$C$3390,$A1101)&gt;0,1,0)</f>
        <v>0</v>
      </c>
      <c r="O1101">
        <f>IF(COUNTIFS('United Data'!$A$3:$A$3390,O$1,'United Data'!$C$3:$C$3390,$A1101)&gt;0,1,0)</f>
        <v>0</v>
      </c>
      <c r="P1101">
        <f>IF(COUNTIFS('United Data'!$A$3:$A$3390,P$1,'United Data'!$C$3:$C$3390,$A1101)&gt;0,1,0)</f>
        <v>0</v>
      </c>
      <c r="Q1101">
        <f>IF(COUNTIFS('United Data'!$A$3:$A$3390,Q$1,'United Data'!$C$3:$C$3390,$A1101)&gt;0,1,0)</f>
        <v>0</v>
      </c>
      <c r="R1101">
        <f>IF(COUNTIFS('United Data'!$A$3:$A$3390,R$1,'United Data'!$C$3:$C$3390,$A1101)&gt;0,1,0)</f>
        <v>0</v>
      </c>
      <c r="S1101">
        <f t="shared" si="34"/>
        <v>1</v>
      </c>
      <c r="T1101">
        <f t="shared" si="35"/>
        <v>1</v>
      </c>
    </row>
    <row r="1102" spans="1:20" x14ac:dyDescent="0.2">
      <c r="A1102" t="s">
        <v>1321</v>
      </c>
      <c r="B1102">
        <f>IF(COUNTIFS('United Data'!$A$3:$A$3390,B$1,'United Data'!$C$3:$C$3390,$A1102)&gt;0,1,0)</f>
        <v>0</v>
      </c>
      <c r="C1102">
        <f>IF(COUNTIFS('United Data'!$A$3:$A$3390,C$1,'United Data'!$C$3:$C$3390,$A1102)&gt;0,1,0)</f>
        <v>0</v>
      </c>
      <c r="D1102">
        <f>IF(COUNTIFS('United Data'!$A$3:$A$3390,D$1,'United Data'!$C$3:$C$3390,$A1102)&gt;0,1,0)</f>
        <v>0</v>
      </c>
      <c r="E1102">
        <f>IF(COUNTIFS('United Data'!$A$3:$A$3390,E$1,'United Data'!$C$3:$C$3390,$A1102)&gt;0,1,0)</f>
        <v>0</v>
      </c>
      <c r="F1102">
        <f>IF(COUNTIFS('United Data'!$A$3:$A$3390,F$1,'United Data'!$C$3:$C$3390,$A1102)&gt;0,1,0)</f>
        <v>0</v>
      </c>
      <c r="G1102">
        <f>IF(COUNTIFS('United Data'!$A$3:$A$3390,G$1,'United Data'!$C$3:$C$3390,$A1102)&gt;0,1,0)</f>
        <v>0</v>
      </c>
      <c r="H1102">
        <f>IF(COUNTIFS('United Data'!$A$3:$A$3390,H$1,'United Data'!$C$3:$C$3390,$A1102)&gt;0,1,0)</f>
        <v>1</v>
      </c>
      <c r="I1102">
        <f>IF(COUNTIFS('United Data'!$A$3:$A$3390,I$1,'United Data'!$C$3:$C$3390,$A1102)&gt;0,1,0)</f>
        <v>0</v>
      </c>
      <c r="J1102">
        <f>IF(COUNTIFS('United Data'!$A$3:$A$3390,J$1,'United Data'!$C$3:$C$3390,$A1102)&gt;0,1,0)</f>
        <v>0</v>
      </c>
      <c r="K1102">
        <f>IF(COUNTIFS('United Data'!$A$3:$A$3390,K$1,'United Data'!$C$3:$C$3390,$A1102)&gt;0,1,0)</f>
        <v>0</v>
      </c>
      <c r="L1102">
        <f>IF(COUNTIFS('United Data'!$A$3:$A$3390,L$1,'United Data'!$C$3:$C$3390,$A1102)&gt;0,1,0)</f>
        <v>0</v>
      </c>
      <c r="M1102">
        <f>IF(COUNTIFS('United Data'!$A$3:$A$3390,M$1,'United Data'!$C$3:$C$3390,$A1102)&gt;0,1,0)</f>
        <v>0</v>
      </c>
      <c r="N1102">
        <f>IF(COUNTIFS('United Data'!$A$3:$A$3390,N$1,'United Data'!$C$3:$C$3390,$A1102)&gt;0,1,0)</f>
        <v>0</v>
      </c>
      <c r="O1102">
        <f>IF(COUNTIFS('United Data'!$A$3:$A$3390,O$1,'United Data'!$C$3:$C$3390,$A1102)&gt;0,1,0)</f>
        <v>0</v>
      </c>
      <c r="P1102">
        <f>IF(COUNTIFS('United Data'!$A$3:$A$3390,P$1,'United Data'!$C$3:$C$3390,$A1102)&gt;0,1,0)</f>
        <v>0</v>
      </c>
      <c r="Q1102">
        <f>IF(COUNTIFS('United Data'!$A$3:$A$3390,Q$1,'United Data'!$C$3:$C$3390,$A1102)&gt;0,1,0)</f>
        <v>0</v>
      </c>
      <c r="R1102">
        <f>IF(COUNTIFS('United Data'!$A$3:$A$3390,R$1,'United Data'!$C$3:$C$3390,$A1102)&gt;0,1,0)</f>
        <v>0</v>
      </c>
      <c r="S1102">
        <f t="shared" si="34"/>
        <v>1</v>
      </c>
      <c r="T1102">
        <f t="shared" si="35"/>
        <v>1</v>
      </c>
    </row>
    <row r="1103" spans="1:20" x14ac:dyDescent="0.2">
      <c r="A1103" t="s">
        <v>1322</v>
      </c>
      <c r="B1103">
        <f>IF(COUNTIFS('United Data'!$A$3:$A$3390,B$1,'United Data'!$C$3:$C$3390,$A1103)&gt;0,1,0)</f>
        <v>0</v>
      </c>
      <c r="C1103">
        <f>IF(COUNTIFS('United Data'!$A$3:$A$3390,C$1,'United Data'!$C$3:$C$3390,$A1103)&gt;0,1,0)</f>
        <v>0</v>
      </c>
      <c r="D1103">
        <f>IF(COUNTIFS('United Data'!$A$3:$A$3390,D$1,'United Data'!$C$3:$C$3390,$A1103)&gt;0,1,0)</f>
        <v>0</v>
      </c>
      <c r="E1103">
        <f>IF(COUNTIFS('United Data'!$A$3:$A$3390,E$1,'United Data'!$C$3:$C$3390,$A1103)&gt;0,1,0)</f>
        <v>0</v>
      </c>
      <c r="F1103">
        <f>IF(COUNTIFS('United Data'!$A$3:$A$3390,F$1,'United Data'!$C$3:$C$3390,$A1103)&gt;0,1,0)</f>
        <v>0</v>
      </c>
      <c r="G1103">
        <f>IF(COUNTIFS('United Data'!$A$3:$A$3390,G$1,'United Data'!$C$3:$C$3390,$A1103)&gt;0,1,0)</f>
        <v>0</v>
      </c>
      <c r="H1103">
        <f>IF(COUNTIFS('United Data'!$A$3:$A$3390,H$1,'United Data'!$C$3:$C$3390,$A1103)&gt;0,1,0)</f>
        <v>1</v>
      </c>
      <c r="I1103">
        <f>IF(COUNTIFS('United Data'!$A$3:$A$3390,I$1,'United Data'!$C$3:$C$3390,$A1103)&gt;0,1,0)</f>
        <v>0</v>
      </c>
      <c r="J1103">
        <f>IF(COUNTIFS('United Data'!$A$3:$A$3390,J$1,'United Data'!$C$3:$C$3390,$A1103)&gt;0,1,0)</f>
        <v>0</v>
      </c>
      <c r="K1103">
        <f>IF(COUNTIFS('United Data'!$A$3:$A$3390,K$1,'United Data'!$C$3:$C$3390,$A1103)&gt;0,1,0)</f>
        <v>0</v>
      </c>
      <c r="L1103">
        <f>IF(COUNTIFS('United Data'!$A$3:$A$3390,L$1,'United Data'!$C$3:$C$3390,$A1103)&gt;0,1,0)</f>
        <v>0</v>
      </c>
      <c r="M1103">
        <f>IF(COUNTIFS('United Data'!$A$3:$A$3390,M$1,'United Data'!$C$3:$C$3390,$A1103)&gt;0,1,0)</f>
        <v>0</v>
      </c>
      <c r="N1103">
        <f>IF(COUNTIFS('United Data'!$A$3:$A$3390,N$1,'United Data'!$C$3:$C$3390,$A1103)&gt;0,1,0)</f>
        <v>0</v>
      </c>
      <c r="O1103">
        <f>IF(COUNTIFS('United Data'!$A$3:$A$3390,O$1,'United Data'!$C$3:$C$3390,$A1103)&gt;0,1,0)</f>
        <v>0</v>
      </c>
      <c r="P1103">
        <f>IF(COUNTIFS('United Data'!$A$3:$A$3390,P$1,'United Data'!$C$3:$C$3390,$A1103)&gt;0,1,0)</f>
        <v>0</v>
      </c>
      <c r="Q1103">
        <f>IF(COUNTIFS('United Data'!$A$3:$A$3390,Q$1,'United Data'!$C$3:$C$3390,$A1103)&gt;0,1,0)</f>
        <v>0</v>
      </c>
      <c r="R1103">
        <f>IF(COUNTIFS('United Data'!$A$3:$A$3390,R$1,'United Data'!$C$3:$C$3390,$A1103)&gt;0,1,0)</f>
        <v>0</v>
      </c>
      <c r="S1103">
        <f t="shared" si="34"/>
        <v>1</v>
      </c>
      <c r="T1103">
        <f t="shared" si="35"/>
        <v>1</v>
      </c>
    </row>
    <row r="1104" spans="1:20" x14ac:dyDescent="0.2">
      <c r="A1104" t="s">
        <v>1323</v>
      </c>
      <c r="B1104">
        <f>IF(COUNTIFS('United Data'!$A$3:$A$3390,B$1,'United Data'!$C$3:$C$3390,$A1104)&gt;0,1,0)</f>
        <v>0</v>
      </c>
      <c r="C1104">
        <f>IF(COUNTIFS('United Data'!$A$3:$A$3390,C$1,'United Data'!$C$3:$C$3390,$A1104)&gt;0,1,0)</f>
        <v>0</v>
      </c>
      <c r="D1104">
        <f>IF(COUNTIFS('United Data'!$A$3:$A$3390,D$1,'United Data'!$C$3:$C$3390,$A1104)&gt;0,1,0)</f>
        <v>0</v>
      </c>
      <c r="E1104">
        <f>IF(COUNTIFS('United Data'!$A$3:$A$3390,E$1,'United Data'!$C$3:$C$3390,$A1104)&gt;0,1,0)</f>
        <v>0</v>
      </c>
      <c r="F1104">
        <f>IF(COUNTIFS('United Data'!$A$3:$A$3390,F$1,'United Data'!$C$3:$C$3390,$A1104)&gt;0,1,0)</f>
        <v>0</v>
      </c>
      <c r="G1104">
        <f>IF(COUNTIFS('United Data'!$A$3:$A$3390,G$1,'United Data'!$C$3:$C$3390,$A1104)&gt;0,1,0)</f>
        <v>0</v>
      </c>
      <c r="H1104">
        <f>IF(COUNTIFS('United Data'!$A$3:$A$3390,H$1,'United Data'!$C$3:$C$3390,$A1104)&gt;0,1,0)</f>
        <v>1</v>
      </c>
      <c r="I1104">
        <f>IF(COUNTIFS('United Data'!$A$3:$A$3390,I$1,'United Data'!$C$3:$C$3390,$A1104)&gt;0,1,0)</f>
        <v>0</v>
      </c>
      <c r="J1104">
        <f>IF(COUNTIFS('United Data'!$A$3:$A$3390,J$1,'United Data'!$C$3:$C$3390,$A1104)&gt;0,1,0)</f>
        <v>0</v>
      </c>
      <c r="K1104">
        <f>IF(COUNTIFS('United Data'!$A$3:$A$3390,K$1,'United Data'!$C$3:$C$3390,$A1104)&gt;0,1,0)</f>
        <v>0</v>
      </c>
      <c r="L1104">
        <f>IF(COUNTIFS('United Data'!$A$3:$A$3390,L$1,'United Data'!$C$3:$C$3390,$A1104)&gt;0,1,0)</f>
        <v>0</v>
      </c>
      <c r="M1104">
        <f>IF(COUNTIFS('United Data'!$A$3:$A$3390,M$1,'United Data'!$C$3:$C$3390,$A1104)&gt;0,1,0)</f>
        <v>0</v>
      </c>
      <c r="N1104">
        <f>IF(COUNTIFS('United Data'!$A$3:$A$3390,N$1,'United Data'!$C$3:$C$3390,$A1104)&gt;0,1,0)</f>
        <v>0</v>
      </c>
      <c r="O1104">
        <f>IF(COUNTIFS('United Data'!$A$3:$A$3390,O$1,'United Data'!$C$3:$C$3390,$A1104)&gt;0,1,0)</f>
        <v>0</v>
      </c>
      <c r="P1104">
        <f>IF(COUNTIFS('United Data'!$A$3:$A$3390,P$1,'United Data'!$C$3:$C$3390,$A1104)&gt;0,1,0)</f>
        <v>0</v>
      </c>
      <c r="Q1104">
        <f>IF(COUNTIFS('United Data'!$A$3:$A$3390,Q$1,'United Data'!$C$3:$C$3390,$A1104)&gt;0,1,0)</f>
        <v>0</v>
      </c>
      <c r="R1104">
        <f>IF(COUNTIFS('United Data'!$A$3:$A$3390,R$1,'United Data'!$C$3:$C$3390,$A1104)&gt;0,1,0)</f>
        <v>0</v>
      </c>
      <c r="S1104">
        <f t="shared" si="34"/>
        <v>1</v>
      </c>
      <c r="T1104">
        <f t="shared" si="35"/>
        <v>1</v>
      </c>
    </row>
    <row r="1105" spans="1:20" x14ac:dyDescent="0.2">
      <c r="A1105" t="s">
        <v>1324</v>
      </c>
      <c r="B1105">
        <f>IF(COUNTIFS('United Data'!$A$3:$A$3390,B$1,'United Data'!$C$3:$C$3390,$A1105)&gt;0,1,0)</f>
        <v>0</v>
      </c>
      <c r="C1105">
        <f>IF(COUNTIFS('United Data'!$A$3:$A$3390,C$1,'United Data'!$C$3:$C$3390,$A1105)&gt;0,1,0)</f>
        <v>0</v>
      </c>
      <c r="D1105">
        <f>IF(COUNTIFS('United Data'!$A$3:$A$3390,D$1,'United Data'!$C$3:$C$3390,$A1105)&gt;0,1,0)</f>
        <v>0</v>
      </c>
      <c r="E1105">
        <f>IF(COUNTIFS('United Data'!$A$3:$A$3390,E$1,'United Data'!$C$3:$C$3390,$A1105)&gt;0,1,0)</f>
        <v>0</v>
      </c>
      <c r="F1105">
        <f>IF(COUNTIFS('United Data'!$A$3:$A$3390,F$1,'United Data'!$C$3:$C$3390,$A1105)&gt;0,1,0)</f>
        <v>0</v>
      </c>
      <c r="G1105">
        <f>IF(COUNTIFS('United Data'!$A$3:$A$3390,G$1,'United Data'!$C$3:$C$3390,$A1105)&gt;0,1,0)</f>
        <v>0</v>
      </c>
      <c r="H1105">
        <f>IF(COUNTIFS('United Data'!$A$3:$A$3390,H$1,'United Data'!$C$3:$C$3390,$A1105)&gt;0,1,0)</f>
        <v>1</v>
      </c>
      <c r="I1105">
        <f>IF(COUNTIFS('United Data'!$A$3:$A$3390,I$1,'United Data'!$C$3:$C$3390,$A1105)&gt;0,1,0)</f>
        <v>0</v>
      </c>
      <c r="J1105">
        <f>IF(COUNTIFS('United Data'!$A$3:$A$3390,J$1,'United Data'!$C$3:$C$3390,$A1105)&gt;0,1,0)</f>
        <v>0</v>
      </c>
      <c r="K1105">
        <f>IF(COUNTIFS('United Data'!$A$3:$A$3390,K$1,'United Data'!$C$3:$C$3390,$A1105)&gt;0,1,0)</f>
        <v>0</v>
      </c>
      <c r="L1105">
        <f>IF(COUNTIFS('United Data'!$A$3:$A$3390,L$1,'United Data'!$C$3:$C$3390,$A1105)&gt;0,1,0)</f>
        <v>0</v>
      </c>
      <c r="M1105">
        <f>IF(COUNTIFS('United Data'!$A$3:$A$3390,M$1,'United Data'!$C$3:$C$3390,$A1105)&gt;0,1,0)</f>
        <v>0</v>
      </c>
      <c r="N1105">
        <f>IF(COUNTIFS('United Data'!$A$3:$A$3390,N$1,'United Data'!$C$3:$C$3390,$A1105)&gt;0,1,0)</f>
        <v>0</v>
      </c>
      <c r="O1105">
        <f>IF(COUNTIFS('United Data'!$A$3:$A$3390,O$1,'United Data'!$C$3:$C$3390,$A1105)&gt;0,1,0)</f>
        <v>0</v>
      </c>
      <c r="P1105">
        <f>IF(COUNTIFS('United Data'!$A$3:$A$3390,P$1,'United Data'!$C$3:$C$3390,$A1105)&gt;0,1,0)</f>
        <v>0</v>
      </c>
      <c r="Q1105">
        <f>IF(COUNTIFS('United Data'!$A$3:$A$3390,Q$1,'United Data'!$C$3:$C$3390,$A1105)&gt;0,1,0)</f>
        <v>0</v>
      </c>
      <c r="R1105">
        <f>IF(COUNTIFS('United Data'!$A$3:$A$3390,R$1,'United Data'!$C$3:$C$3390,$A1105)&gt;0,1,0)</f>
        <v>0</v>
      </c>
      <c r="S1105">
        <f t="shared" si="34"/>
        <v>1</v>
      </c>
      <c r="T1105">
        <f t="shared" si="35"/>
        <v>1</v>
      </c>
    </row>
    <row r="1106" spans="1:20" x14ac:dyDescent="0.2">
      <c r="A1106" t="s">
        <v>1325</v>
      </c>
      <c r="B1106">
        <f>IF(COUNTIFS('United Data'!$A$3:$A$3390,B$1,'United Data'!$C$3:$C$3390,$A1106)&gt;0,1,0)</f>
        <v>0</v>
      </c>
      <c r="C1106">
        <f>IF(COUNTIFS('United Data'!$A$3:$A$3390,C$1,'United Data'!$C$3:$C$3390,$A1106)&gt;0,1,0)</f>
        <v>0</v>
      </c>
      <c r="D1106">
        <f>IF(COUNTIFS('United Data'!$A$3:$A$3390,D$1,'United Data'!$C$3:$C$3390,$A1106)&gt;0,1,0)</f>
        <v>0</v>
      </c>
      <c r="E1106">
        <f>IF(COUNTIFS('United Data'!$A$3:$A$3390,E$1,'United Data'!$C$3:$C$3390,$A1106)&gt;0,1,0)</f>
        <v>0</v>
      </c>
      <c r="F1106">
        <f>IF(COUNTIFS('United Data'!$A$3:$A$3390,F$1,'United Data'!$C$3:$C$3390,$A1106)&gt;0,1,0)</f>
        <v>0</v>
      </c>
      <c r="G1106">
        <f>IF(COUNTIFS('United Data'!$A$3:$A$3390,G$1,'United Data'!$C$3:$C$3390,$A1106)&gt;0,1,0)</f>
        <v>0</v>
      </c>
      <c r="H1106">
        <f>IF(COUNTIFS('United Data'!$A$3:$A$3390,H$1,'United Data'!$C$3:$C$3390,$A1106)&gt;0,1,0)</f>
        <v>1</v>
      </c>
      <c r="I1106">
        <f>IF(COUNTIFS('United Data'!$A$3:$A$3390,I$1,'United Data'!$C$3:$C$3390,$A1106)&gt;0,1,0)</f>
        <v>0</v>
      </c>
      <c r="J1106">
        <f>IF(COUNTIFS('United Data'!$A$3:$A$3390,J$1,'United Data'!$C$3:$C$3390,$A1106)&gt;0,1,0)</f>
        <v>0</v>
      </c>
      <c r="K1106">
        <f>IF(COUNTIFS('United Data'!$A$3:$A$3390,K$1,'United Data'!$C$3:$C$3390,$A1106)&gt;0,1,0)</f>
        <v>0</v>
      </c>
      <c r="L1106">
        <f>IF(COUNTIFS('United Data'!$A$3:$A$3390,L$1,'United Data'!$C$3:$C$3390,$A1106)&gt;0,1,0)</f>
        <v>0</v>
      </c>
      <c r="M1106">
        <f>IF(COUNTIFS('United Data'!$A$3:$A$3390,M$1,'United Data'!$C$3:$C$3390,$A1106)&gt;0,1,0)</f>
        <v>0</v>
      </c>
      <c r="N1106">
        <f>IF(COUNTIFS('United Data'!$A$3:$A$3390,N$1,'United Data'!$C$3:$C$3390,$A1106)&gt;0,1,0)</f>
        <v>0</v>
      </c>
      <c r="O1106">
        <f>IF(COUNTIFS('United Data'!$A$3:$A$3390,O$1,'United Data'!$C$3:$C$3390,$A1106)&gt;0,1,0)</f>
        <v>0</v>
      </c>
      <c r="P1106">
        <f>IF(COUNTIFS('United Data'!$A$3:$A$3390,P$1,'United Data'!$C$3:$C$3390,$A1106)&gt;0,1,0)</f>
        <v>0</v>
      </c>
      <c r="Q1106">
        <f>IF(COUNTIFS('United Data'!$A$3:$A$3390,Q$1,'United Data'!$C$3:$C$3390,$A1106)&gt;0,1,0)</f>
        <v>0</v>
      </c>
      <c r="R1106">
        <f>IF(COUNTIFS('United Data'!$A$3:$A$3390,R$1,'United Data'!$C$3:$C$3390,$A1106)&gt;0,1,0)</f>
        <v>0</v>
      </c>
      <c r="S1106">
        <f t="shared" si="34"/>
        <v>1</v>
      </c>
      <c r="T1106">
        <f t="shared" si="35"/>
        <v>1</v>
      </c>
    </row>
    <row r="1107" spans="1:20" x14ac:dyDescent="0.2">
      <c r="A1107" t="s">
        <v>1326</v>
      </c>
      <c r="B1107">
        <f>IF(COUNTIFS('United Data'!$A$3:$A$3390,B$1,'United Data'!$C$3:$C$3390,$A1107)&gt;0,1,0)</f>
        <v>0</v>
      </c>
      <c r="C1107">
        <f>IF(COUNTIFS('United Data'!$A$3:$A$3390,C$1,'United Data'!$C$3:$C$3390,$A1107)&gt;0,1,0)</f>
        <v>0</v>
      </c>
      <c r="D1107">
        <f>IF(COUNTIFS('United Data'!$A$3:$A$3390,D$1,'United Data'!$C$3:$C$3390,$A1107)&gt;0,1,0)</f>
        <v>0</v>
      </c>
      <c r="E1107">
        <f>IF(COUNTIFS('United Data'!$A$3:$A$3390,E$1,'United Data'!$C$3:$C$3390,$A1107)&gt;0,1,0)</f>
        <v>0</v>
      </c>
      <c r="F1107">
        <f>IF(COUNTIFS('United Data'!$A$3:$A$3390,F$1,'United Data'!$C$3:$C$3390,$A1107)&gt;0,1,0)</f>
        <v>0</v>
      </c>
      <c r="G1107">
        <f>IF(COUNTIFS('United Data'!$A$3:$A$3390,G$1,'United Data'!$C$3:$C$3390,$A1107)&gt;0,1,0)</f>
        <v>0</v>
      </c>
      <c r="H1107">
        <f>IF(COUNTIFS('United Data'!$A$3:$A$3390,H$1,'United Data'!$C$3:$C$3390,$A1107)&gt;0,1,0)</f>
        <v>1</v>
      </c>
      <c r="I1107">
        <f>IF(COUNTIFS('United Data'!$A$3:$A$3390,I$1,'United Data'!$C$3:$C$3390,$A1107)&gt;0,1,0)</f>
        <v>0</v>
      </c>
      <c r="J1107">
        <f>IF(COUNTIFS('United Data'!$A$3:$A$3390,J$1,'United Data'!$C$3:$C$3390,$A1107)&gt;0,1,0)</f>
        <v>0</v>
      </c>
      <c r="K1107">
        <f>IF(COUNTIFS('United Data'!$A$3:$A$3390,K$1,'United Data'!$C$3:$C$3390,$A1107)&gt;0,1,0)</f>
        <v>0</v>
      </c>
      <c r="L1107">
        <f>IF(COUNTIFS('United Data'!$A$3:$A$3390,L$1,'United Data'!$C$3:$C$3390,$A1107)&gt;0,1,0)</f>
        <v>0</v>
      </c>
      <c r="M1107">
        <f>IF(COUNTIFS('United Data'!$A$3:$A$3390,M$1,'United Data'!$C$3:$C$3390,$A1107)&gt;0,1,0)</f>
        <v>0</v>
      </c>
      <c r="N1107">
        <f>IF(COUNTIFS('United Data'!$A$3:$A$3390,N$1,'United Data'!$C$3:$C$3390,$A1107)&gt;0,1,0)</f>
        <v>0</v>
      </c>
      <c r="O1107">
        <f>IF(COUNTIFS('United Data'!$A$3:$A$3390,O$1,'United Data'!$C$3:$C$3390,$A1107)&gt;0,1,0)</f>
        <v>0</v>
      </c>
      <c r="P1107">
        <f>IF(COUNTIFS('United Data'!$A$3:$A$3390,P$1,'United Data'!$C$3:$C$3390,$A1107)&gt;0,1,0)</f>
        <v>0</v>
      </c>
      <c r="Q1107">
        <f>IF(COUNTIFS('United Data'!$A$3:$A$3390,Q$1,'United Data'!$C$3:$C$3390,$A1107)&gt;0,1,0)</f>
        <v>0</v>
      </c>
      <c r="R1107">
        <f>IF(COUNTIFS('United Data'!$A$3:$A$3390,R$1,'United Data'!$C$3:$C$3390,$A1107)&gt;0,1,0)</f>
        <v>0</v>
      </c>
      <c r="S1107">
        <f t="shared" si="34"/>
        <v>1</v>
      </c>
      <c r="T1107">
        <f t="shared" si="35"/>
        <v>1</v>
      </c>
    </row>
    <row r="1108" spans="1:20" x14ac:dyDescent="0.2">
      <c r="A1108" t="s">
        <v>1327</v>
      </c>
      <c r="B1108">
        <f>IF(COUNTIFS('United Data'!$A$3:$A$3390,B$1,'United Data'!$C$3:$C$3390,$A1108)&gt;0,1,0)</f>
        <v>0</v>
      </c>
      <c r="C1108">
        <f>IF(COUNTIFS('United Data'!$A$3:$A$3390,C$1,'United Data'!$C$3:$C$3390,$A1108)&gt;0,1,0)</f>
        <v>0</v>
      </c>
      <c r="D1108">
        <f>IF(COUNTIFS('United Data'!$A$3:$A$3390,D$1,'United Data'!$C$3:$C$3390,$A1108)&gt;0,1,0)</f>
        <v>0</v>
      </c>
      <c r="E1108">
        <f>IF(COUNTIFS('United Data'!$A$3:$A$3390,E$1,'United Data'!$C$3:$C$3390,$A1108)&gt;0,1,0)</f>
        <v>0</v>
      </c>
      <c r="F1108">
        <f>IF(COUNTIFS('United Data'!$A$3:$A$3390,F$1,'United Data'!$C$3:$C$3390,$A1108)&gt;0,1,0)</f>
        <v>0</v>
      </c>
      <c r="G1108">
        <f>IF(COUNTIFS('United Data'!$A$3:$A$3390,G$1,'United Data'!$C$3:$C$3390,$A1108)&gt;0,1,0)</f>
        <v>0</v>
      </c>
      <c r="H1108">
        <f>IF(COUNTIFS('United Data'!$A$3:$A$3390,H$1,'United Data'!$C$3:$C$3390,$A1108)&gt;0,1,0)</f>
        <v>1</v>
      </c>
      <c r="I1108">
        <f>IF(COUNTIFS('United Data'!$A$3:$A$3390,I$1,'United Data'!$C$3:$C$3390,$A1108)&gt;0,1,0)</f>
        <v>0</v>
      </c>
      <c r="J1108">
        <f>IF(COUNTIFS('United Data'!$A$3:$A$3390,J$1,'United Data'!$C$3:$C$3390,$A1108)&gt;0,1,0)</f>
        <v>0</v>
      </c>
      <c r="K1108">
        <f>IF(COUNTIFS('United Data'!$A$3:$A$3390,K$1,'United Data'!$C$3:$C$3390,$A1108)&gt;0,1,0)</f>
        <v>0</v>
      </c>
      <c r="L1108">
        <f>IF(COUNTIFS('United Data'!$A$3:$A$3390,L$1,'United Data'!$C$3:$C$3390,$A1108)&gt;0,1,0)</f>
        <v>0</v>
      </c>
      <c r="M1108">
        <f>IF(COUNTIFS('United Data'!$A$3:$A$3390,M$1,'United Data'!$C$3:$C$3390,$A1108)&gt;0,1,0)</f>
        <v>0</v>
      </c>
      <c r="N1108">
        <f>IF(COUNTIFS('United Data'!$A$3:$A$3390,N$1,'United Data'!$C$3:$C$3390,$A1108)&gt;0,1,0)</f>
        <v>0</v>
      </c>
      <c r="O1108">
        <f>IF(COUNTIFS('United Data'!$A$3:$A$3390,O$1,'United Data'!$C$3:$C$3390,$A1108)&gt;0,1,0)</f>
        <v>0</v>
      </c>
      <c r="P1108">
        <f>IF(COUNTIFS('United Data'!$A$3:$A$3390,P$1,'United Data'!$C$3:$C$3390,$A1108)&gt;0,1,0)</f>
        <v>0</v>
      </c>
      <c r="Q1108">
        <f>IF(COUNTIFS('United Data'!$A$3:$A$3390,Q$1,'United Data'!$C$3:$C$3390,$A1108)&gt;0,1,0)</f>
        <v>0</v>
      </c>
      <c r="R1108">
        <f>IF(COUNTIFS('United Data'!$A$3:$A$3390,R$1,'United Data'!$C$3:$C$3390,$A1108)&gt;0,1,0)</f>
        <v>0</v>
      </c>
      <c r="S1108">
        <f t="shared" si="34"/>
        <v>1</v>
      </c>
      <c r="T1108">
        <f t="shared" si="35"/>
        <v>1</v>
      </c>
    </row>
    <row r="1109" spans="1:20" x14ac:dyDescent="0.2">
      <c r="A1109" t="s">
        <v>1328</v>
      </c>
      <c r="B1109">
        <f>IF(COUNTIFS('United Data'!$A$3:$A$3390,B$1,'United Data'!$C$3:$C$3390,$A1109)&gt;0,1,0)</f>
        <v>0</v>
      </c>
      <c r="C1109">
        <f>IF(COUNTIFS('United Data'!$A$3:$A$3390,C$1,'United Data'!$C$3:$C$3390,$A1109)&gt;0,1,0)</f>
        <v>0</v>
      </c>
      <c r="D1109">
        <f>IF(COUNTIFS('United Data'!$A$3:$A$3390,D$1,'United Data'!$C$3:$C$3390,$A1109)&gt;0,1,0)</f>
        <v>0</v>
      </c>
      <c r="E1109">
        <f>IF(COUNTIFS('United Data'!$A$3:$A$3390,E$1,'United Data'!$C$3:$C$3390,$A1109)&gt;0,1,0)</f>
        <v>0</v>
      </c>
      <c r="F1109">
        <f>IF(COUNTIFS('United Data'!$A$3:$A$3390,F$1,'United Data'!$C$3:$C$3390,$A1109)&gt;0,1,0)</f>
        <v>1</v>
      </c>
      <c r="G1109">
        <f>IF(COUNTIFS('United Data'!$A$3:$A$3390,G$1,'United Data'!$C$3:$C$3390,$A1109)&gt;0,1,0)</f>
        <v>0</v>
      </c>
      <c r="H1109">
        <f>IF(COUNTIFS('United Data'!$A$3:$A$3390,H$1,'United Data'!$C$3:$C$3390,$A1109)&gt;0,1,0)</f>
        <v>1</v>
      </c>
      <c r="I1109">
        <f>IF(COUNTIFS('United Data'!$A$3:$A$3390,I$1,'United Data'!$C$3:$C$3390,$A1109)&gt;0,1,0)</f>
        <v>0</v>
      </c>
      <c r="J1109">
        <f>IF(COUNTIFS('United Data'!$A$3:$A$3390,J$1,'United Data'!$C$3:$C$3390,$A1109)&gt;0,1,0)</f>
        <v>0</v>
      </c>
      <c r="K1109">
        <f>IF(COUNTIFS('United Data'!$A$3:$A$3390,K$1,'United Data'!$C$3:$C$3390,$A1109)&gt;0,1,0)</f>
        <v>1</v>
      </c>
      <c r="L1109">
        <f>IF(COUNTIFS('United Data'!$A$3:$A$3390,L$1,'United Data'!$C$3:$C$3390,$A1109)&gt;0,1,0)</f>
        <v>0</v>
      </c>
      <c r="M1109">
        <f>IF(COUNTIFS('United Data'!$A$3:$A$3390,M$1,'United Data'!$C$3:$C$3390,$A1109)&gt;0,1,0)</f>
        <v>0</v>
      </c>
      <c r="N1109">
        <f>IF(COUNTIFS('United Data'!$A$3:$A$3390,N$1,'United Data'!$C$3:$C$3390,$A1109)&gt;0,1,0)</f>
        <v>0</v>
      </c>
      <c r="O1109">
        <f>IF(COUNTIFS('United Data'!$A$3:$A$3390,O$1,'United Data'!$C$3:$C$3390,$A1109)&gt;0,1,0)</f>
        <v>0</v>
      </c>
      <c r="P1109">
        <f>IF(COUNTIFS('United Data'!$A$3:$A$3390,P$1,'United Data'!$C$3:$C$3390,$A1109)&gt;0,1,0)</f>
        <v>0</v>
      </c>
      <c r="Q1109">
        <f>IF(COUNTIFS('United Data'!$A$3:$A$3390,Q$1,'United Data'!$C$3:$C$3390,$A1109)&gt;0,1,0)</f>
        <v>0</v>
      </c>
      <c r="R1109">
        <f>IF(COUNTIFS('United Data'!$A$3:$A$3390,R$1,'United Data'!$C$3:$C$3390,$A1109)&gt;0,1,0)</f>
        <v>0</v>
      </c>
      <c r="S1109">
        <f t="shared" si="34"/>
        <v>3</v>
      </c>
      <c r="T1109">
        <f t="shared" si="35"/>
        <v>3</v>
      </c>
    </row>
    <row r="1110" spans="1:20" x14ac:dyDescent="0.2">
      <c r="A1110" t="s">
        <v>1329</v>
      </c>
      <c r="B1110">
        <f>IF(COUNTIFS('United Data'!$A$3:$A$3390,B$1,'United Data'!$C$3:$C$3390,$A1110)&gt;0,1,0)</f>
        <v>0</v>
      </c>
      <c r="C1110">
        <f>IF(COUNTIFS('United Data'!$A$3:$A$3390,C$1,'United Data'!$C$3:$C$3390,$A1110)&gt;0,1,0)</f>
        <v>0</v>
      </c>
      <c r="D1110">
        <f>IF(COUNTIFS('United Data'!$A$3:$A$3390,D$1,'United Data'!$C$3:$C$3390,$A1110)&gt;0,1,0)</f>
        <v>0</v>
      </c>
      <c r="E1110">
        <f>IF(COUNTIFS('United Data'!$A$3:$A$3390,E$1,'United Data'!$C$3:$C$3390,$A1110)&gt;0,1,0)</f>
        <v>0</v>
      </c>
      <c r="F1110">
        <f>IF(COUNTIFS('United Data'!$A$3:$A$3390,F$1,'United Data'!$C$3:$C$3390,$A1110)&gt;0,1,0)</f>
        <v>0</v>
      </c>
      <c r="G1110">
        <f>IF(COUNTIFS('United Data'!$A$3:$A$3390,G$1,'United Data'!$C$3:$C$3390,$A1110)&gt;0,1,0)</f>
        <v>0</v>
      </c>
      <c r="H1110">
        <f>IF(COUNTIFS('United Data'!$A$3:$A$3390,H$1,'United Data'!$C$3:$C$3390,$A1110)&gt;0,1,0)</f>
        <v>1</v>
      </c>
      <c r="I1110">
        <f>IF(COUNTIFS('United Data'!$A$3:$A$3390,I$1,'United Data'!$C$3:$C$3390,$A1110)&gt;0,1,0)</f>
        <v>0</v>
      </c>
      <c r="J1110">
        <f>IF(COUNTIFS('United Data'!$A$3:$A$3390,J$1,'United Data'!$C$3:$C$3390,$A1110)&gt;0,1,0)</f>
        <v>0</v>
      </c>
      <c r="K1110">
        <f>IF(COUNTIFS('United Data'!$A$3:$A$3390,K$1,'United Data'!$C$3:$C$3390,$A1110)&gt;0,1,0)</f>
        <v>0</v>
      </c>
      <c r="L1110">
        <f>IF(COUNTIFS('United Data'!$A$3:$A$3390,L$1,'United Data'!$C$3:$C$3390,$A1110)&gt;0,1,0)</f>
        <v>0</v>
      </c>
      <c r="M1110">
        <f>IF(COUNTIFS('United Data'!$A$3:$A$3390,M$1,'United Data'!$C$3:$C$3390,$A1110)&gt;0,1,0)</f>
        <v>0</v>
      </c>
      <c r="N1110">
        <f>IF(COUNTIFS('United Data'!$A$3:$A$3390,N$1,'United Data'!$C$3:$C$3390,$A1110)&gt;0,1,0)</f>
        <v>0</v>
      </c>
      <c r="O1110">
        <f>IF(COUNTIFS('United Data'!$A$3:$A$3390,O$1,'United Data'!$C$3:$C$3390,$A1110)&gt;0,1,0)</f>
        <v>0</v>
      </c>
      <c r="P1110">
        <f>IF(COUNTIFS('United Data'!$A$3:$A$3390,P$1,'United Data'!$C$3:$C$3390,$A1110)&gt;0,1,0)</f>
        <v>0</v>
      </c>
      <c r="Q1110">
        <f>IF(COUNTIFS('United Data'!$A$3:$A$3390,Q$1,'United Data'!$C$3:$C$3390,$A1110)&gt;0,1,0)</f>
        <v>0</v>
      </c>
      <c r="R1110">
        <f>IF(COUNTIFS('United Data'!$A$3:$A$3390,R$1,'United Data'!$C$3:$C$3390,$A1110)&gt;0,1,0)</f>
        <v>0</v>
      </c>
      <c r="S1110">
        <f t="shared" si="34"/>
        <v>1</v>
      </c>
      <c r="T1110">
        <f t="shared" si="35"/>
        <v>1</v>
      </c>
    </row>
    <row r="1111" spans="1:20" x14ac:dyDescent="0.2">
      <c r="A1111" t="s">
        <v>2052</v>
      </c>
      <c r="B1111">
        <f>IF(COUNTIFS('United Data'!$A$3:$A$3390,B$1,'United Data'!$C$3:$C$3390,$A1111)&gt;0,1,0)</f>
        <v>0</v>
      </c>
      <c r="C1111">
        <f>IF(COUNTIFS('United Data'!$A$3:$A$3390,C$1,'United Data'!$C$3:$C$3390,$A1111)&gt;0,1,0)</f>
        <v>0</v>
      </c>
      <c r="D1111">
        <f>IF(COUNTIFS('United Data'!$A$3:$A$3390,D$1,'United Data'!$C$3:$C$3390,$A1111)&gt;0,1,0)</f>
        <v>0</v>
      </c>
      <c r="E1111">
        <f>IF(COUNTIFS('United Data'!$A$3:$A$3390,E$1,'United Data'!$C$3:$C$3390,$A1111)&gt;0,1,0)</f>
        <v>0</v>
      </c>
      <c r="F1111">
        <f>IF(COUNTIFS('United Data'!$A$3:$A$3390,F$1,'United Data'!$C$3:$C$3390,$A1111)&gt;0,1,0)</f>
        <v>0</v>
      </c>
      <c r="G1111">
        <f>IF(COUNTIFS('United Data'!$A$3:$A$3390,G$1,'United Data'!$C$3:$C$3390,$A1111)&gt;0,1,0)</f>
        <v>0</v>
      </c>
      <c r="H1111">
        <f>IF(COUNTIFS('United Data'!$A$3:$A$3390,H$1,'United Data'!$C$3:$C$3390,$A1111)&gt;0,1,0)</f>
        <v>0</v>
      </c>
      <c r="I1111">
        <f>IF(COUNTIFS('United Data'!$A$3:$A$3390,I$1,'United Data'!$C$3:$C$3390,$A1111)&gt;0,1,0)</f>
        <v>1</v>
      </c>
      <c r="J1111">
        <f>IF(COUNTIFS('United Data'!$A$3:$A$3390,J$1,'United Data'!$C$3:$C$3390,$A1111)&gt;0,1,0)</f>
        <v>0</v>
      </c>
      <c r="K1111">
        <f>IF(COUNTIFS('United Data'!$A$3:$A$3390,K$1,'United Data'!$C$3:$C$3390,$A1111)&gt;0,1,0)</f>
        <v>0</v>
      </c>
      <c r="L1111">
        <f>IF(COUNTIFS('United Data'!$A$3:$A$3390,L$1,'United Data'!$C$3:$C$3390,$A1111)&gt;0,1,0)</f>
        <v>0</v>
      </c>
      <c r="M1111">
        <f>IF(COUNTIFS('United Data'!$A$3:$A$3390,M$1,'United Data'!$C$3:$C$3390,$A1111)&gt;0,1,0)</f>
        <v>0</v>
      </c>
      <c r="N1111">
        <f>IF(COUNTIFS('United Data'!$A$3:$A$3390,N$1,'United Data'!$C$3:$C$3390,$A1111)&gt;0,1,0)</f>
        <v>0</v>
      </c>
      <c r="O1111">
        <f>IF(COUNTIFS('United Data'!$A$3:$A$3390,O$1,'United Data'!$C$3:$C$3390,$A1111)&gt;0,1,0)</f>
        <v>0</v>
      </c>
      <c r="P1111">
        <f>IF(COUNTIFS('United Data'!$A$3:$A$3390,P$1,'United Data'!$C$3:$C$3390,$A1111)&gt;0,1,0)</f>
        <v>0</v>
      </c>
      <c r="Q1111">
        <f>IF(COUNTIFS('United Data'!$A$3:$A$3390,Q$1,'United Data'!$C$3:$C$3390,$A1111)&gt;0,1,0)</f>
        <v>0</v>
      </c>
      <c r="R1111">
        <f>IF(COUNTIFS('United Data'!$A$3:$A$3390,R$1,'United Data'!$C$3:$C$3390,$A1111)&gt;0,1,0)</f>
        <v>0</v>
      </c>
      <c r="S1111">
        <f t="shared" si="34"/>
        <v>1</v>
      </c>
      <c r="T1111">
        <f t="shared" si="35"/>
        <v>1</v>
      </c>
    </row>
    <row r="1112" spans="1:20" x14ac:dyDescent="0.2">
      <c r="A1112" t="s">
        <v>1330</v>
      </c>
      <c r="B1112">
        <f>IF(COUNTIFS('United Data'!$A$3:$A$3390,B$1,'United Data'!$C$3:$C$3390,$A1112)&gt;0,1,0)</f>
        <v>0</v>
      </c>
      <c r="C1112">
        <f>IF(COUNTIFS('United Data'!$A$3:$A$3390,C$1,'United Data'!$C$3:$C$3390,$A1112)&gt;0,1,0)</f>
        <v>0</v>
      </c>
      <c r="D1112">
        <f>IF(COUNTIFS('United Data'!$A$3:$A$3390,D$1,'United Data'!$C$3:$C$3390,$A1112)&gt;0,1,0)</f>
        <v>0</v>
      </c>
      <c r="E1112">
        <f>IF(COUNTIFS('United Data'!$A$3:$A$3390,E$1,'United Data'!$C$3:$C$3390,$A1112)&gt;0,1,0)</f>
        <v>0</v>
      </c>
      <c r="F1112">
        <f>IF(COUNTIFS('United Data'!$A$3:$A$3390,F$1,'United Data'!$C$3:$C$3390,$A1112)&gt;0,1,0)</f>
        <v>0</v>
      </c>
      <c r="G1112">
        <f>IF(COUNTIFS('United Data'!$A$3:$A$3390,G$1,'United Data'!$C$3:$C$3390,$A1112)&gt;0,1,0)</f>
        <v>0</v>
      </c>
      <c r="H1112">
        <f>IF(COUNTIFS('United Data'!$A$3:$A$3390,H$1,'United Data'!$C$3:$C$3390,$A1112)&gt;0,1,0)</f>
        <v>0</v>
      </c>
      <c r="I1112">
        <f>IF(COUNTIFS('United Data'!$A$3:$A$3390,I$1,'United Data'!$C$3:$C$3390,$A1112)&gt;0,1,0)</f>
        <v>1</v>
      </c>
      <c r="J1112">
        <f>IF(COUNTIFS('United Data'!$A$3:$A$3390,J$1,'United Data'!$C$3:$C$3390,$A1112)&gt;0,1,0)</f>
        <v>1</v>
      </c>
      <c r="K1112">
        <f>IF(COUNTIFS('United Data'!$A$3:$A$3390,K$1,'United Data'!$C$3:$C$3390,$A1112)&gt;0,1,0)</f>
        <v>0</v>
      </c>
      <c r="L1112">
        <f>IF(COUNTIFS('United Data'!$A$3:$A$3390,L$1,'United Data'!$C$3:$C$3390,$A1112)&gt;0,1,0)</f>
        <v>0</v>
      </c>
      <c r="M1112">
        <f>IF(COUNTIFS('United Data'!$A$3:$A$3390,M$1,'United Data'!$C$3:$C$3390,$A1112)&gt;0,1,0)</f>
        <v>1</v>
      </c>
      <c r="N1112">
        <f>IF(COUNTIFS('United Data'!$A$3:$A$3390,N$1,'United Data'!$C$3:$C$3390,$A1112)&gt;0,1,0)</f>
        <v>0</v>
      </c>
      <c r="O1112">
        <f>IF(COUNTIFS('United Data'!$A$3:$A$3390,O$1,'United Data'!$C$3:$C$3390,$A1112)&gt;0,1,0)</f>
        <v>0</v>
      </c>
      <c r="P1112">
        <f>IF(COUNTIFS('United Data'!$A$3:$A$3390,P$1,'United Data'!$C$3:$C$3390,$A1112)&gt;0,1,0)</f>
        <v>0</v>
      </c>
      <c r="Q1112">
        <f>IF(COUNTIFS('United Data'!$A$3:$A$3390,Q$1,'United Data'!$C$3:$C$3390,$A1112)&gt;0,1,0)</f>
        <v>0</v>
      </c>
      <c r="R1112">
        <f>IF(COUNTIFS('United Data'!$A$3:$A$3390,R$1,'United Data'!$C$3:$C$3390,$A1112)&gt;0,1,0)</f>
        <v>0</v>
      </c>
      <c r="S1112">
        <f t="shared" si="34"/>
        <v>3</v>
      </c>
      <c r="T1112">
        <f t="shared" si="35"/>
        <v>2</v>
      </c>
    </row>
    <row r="1113" spans="1:20" x14ac:dyDescent="0.2">
      <c r="A1113" t="s">
        <v>1331</v>
      </c>
      <c r="B1113">
        <f>IF(COUNTIFS('United Data'!$A$3:$A$3390,B$1,'United Data'!$C$3:$C$3390,$A1113)&gt;0,1,0)</f>
        <v>0</v>
      </c>
      <c r="C1113">
        <f>IF(COUNTIFS('United Data'!$A$3:$A$3390,C$1,'United Data'!$C$3:$C$3390,$A1113)&gt;0,1,0)</f>
        <v>0</v>
      </c>
      <c r="D1113">
        <f>IF(COUNTIFS('United Data'!$A$3:$A$3390,D$1,'United Data'!$C$3:$C$3390,$A1113)&gt;0,1,0)</f>
        <v>0</v>
      </c>
      <c r="E1113">
        <f>IF(COUNTIFS('United Data'!$A$3:$A$3390,E$1,'United Data'!$C$3:$C$3390,$A1113)&gt;0,1,0)</f>
        <v>0</v>
      </c>
      <c r="F1113">
        <f>IF(COUNTIFS('United Data'!$A$3:$A$3390,F$1,'United Data'!$C$3:$C$3390,$A1113)&gt;0,1,0)</f>
        <v>0</v>
      </c>
      <c r="G1113">
        <f>IF(COUNTIFS('United Data'!$A$3:$A$3390,G$1,'United Data'!$C$3:$C$3390,$A1113)&gt;0,1,0)</f>
        <v>0</v>
      </c>
      <c r="H1113">
        <f>IF(COUNTIFS('United Data'!$A$3:$A$3390,H$1,'United Data'!$C$3:$C$3390,$A1113)&gt;0,1,0)</f>
        <v>0</v>
      </c>
      <c r="I1113">
        <f>IF(COUNTIFS('United Data'!$A$3:$A$3390,I$1,'United Data'!$C$3:$C$3390,$A1113)&gt;0,1,0)</f>
        <v>1</v>
      </c>
      <c r="J1113">
        <f>IF(COUNTIFS('United Data'!$A$3:$A$3390,J$1,'United Data'!$C$3:$C$3390,$A1113)&gt;0,1,0)</f>
        <v>1</v>
      </c>
      <c r="K1113">
        <f>IF(COUNTIFS('United Data'!$A$3:$A$3390,K$1,'United Data'!$C$3:$C$3390,$A1113)&gt;0,1,0)</f>
        <v>0</v>
      </c>
      <c r="L1113">
        <f>IF(COUNTIFS('United Data'!$A$3:$A$3390,L$1,'United Data'!$C$3:$C$3390,$A1113)&gt;0,1,0)</f>
        <v>0</v>
      </c>
      <c r="M1113">
        <f>IF(COUNTIFS('United Data'!$A$3:$A$3390,M$1,'United Data'!$C$3:$C$3390,$A1113)&gt;0,1,0)</f>
        <v>0</v>
      </c>
      <c r="N1113">
        <f>IF(COUNTIFS('United Data'!$A$3:$A$3390,N$1,'United Data'!$C$3:$C$3390,$A1113)&gt;0,1,0)</f>
        <v>0</v>
      </c>
      <c r="O1113">
        <f>IF(COUNTIFS('United Data'!$A$3:$A$3390,O$1,'United Data'!$C$3:$C$3390,$A1113)&gt;0,1,0)</f>
        <v>0</v>
      </c>
      <c r="P1113">
        <f>IF(COUNTIFS('United Data'!$A$3:$A$3390,P$1,'United Data'!$C$3:$C$3390,$A1113)&gt;0,1,0)</f>
        <v>0</v>
      </c>
      <c r="Q1113">
        <f>IF(COUNTIFS('United Data'!$A$3:$A$3390,Q$1,'United Data'!$C$3:$C$3390,$A1113)&gt;0,1,0)</f>
        <v>0</v>
      </c>
      <c r="R1113">
        <f>IF(COUNTIFS('United Data'!$A$3:$A$3390,R$1,'United Data'!$C$3:$C$3390,$A1113)&gt;0,1,0)</f>
        <v>0</v>
      </c>
      <c r="S1113">
        <f t="shared" si="34"/>
        <v>2</v>
      </c>
      <c r="T1113">
        <f t="shared" si="35"/>
        <v>1</v>
      </c>
    </row>
    <row r="1114" spans="1:20" x14ac:dyDescent="0.2">
      <c r="A1114" t="s">
        <v>1332</v>
      </c>
      <c r="B1114">
        <f>IF(COUNTIFS('United Data'!$A$3:$A$3390,B$1,'United Data'!$C$3:$C$3390,$A1114)&gt;0,1,0)</f>
        <v>0</v>
      </c>
      <c r="C1114">
        <f>IF(COUNTIFS('United Data'!$A$3:$A$3390,C$1,'United Data'!$C$3:$C$3390,$A1114)&gt;0,1,0)</f>
        <v>0</v>
      </c>
      <c r="D1114">
        <f>IF(COUNTIFS('United Data'!$A$3:$A$3390,D$1,'United Data'!$C$3:$C$3390,$A1114)&gt;0,1,0)</f>
        <v>0</v>
      </c>
      <c r="E1114">
        <f>IF(COUNTIFS('United Data'!$A$3:$A$3390,E$1,'United Data'!$C$3:$C$3390,$A1114)&gt;0,1,0)</f>
        <v>0</v>
      </c>
      <c r="F1114">
        <f>IF(COUNTIFS('United Data'!$A$3:$A$3390,F$1,'United Data'!$C$3:$C$3390,$A1114)&gt;0,1,0)</f>
        <v>0</v>
      </c>
      <c r="G1114">
        <f>IF(COUNTIFS('United Data'!$A$3:$A$3390,G$1,'United Data'!$C$3:$C$3390,$A1114)&gt;0,1,0)</f>
        <v>0</v>
      </c>
      <c r="H1114">
        <f>IF(COUNTIFS('United Data'!$A$3:$A$3390,H$1,'United Data'!$C$3:$C$3390,$A1114)&gt;0,1,0)</f>
        <v>0</v>
      </c>
      <c r="I1114">
        <f>IF(COUNTIFS('United Data'!$A$3:$A$3390,I$1,'United Data'!$C$3:$C$3390,$A1114)&gt;0,1,0)</f>
        <v>1</v>
      </c>
      <c r="J1114">
        <f>IF(COUNTIFS('United Data'!$A$3:$A$3390,J$1,'United Data'!$C$3:$C$3390,$A1114)&gt;0,1,0)</f>
        <v>0</v>
      </c>
      <c r="K1114">
        <f>IF(COUNTIFS('United Data'!$A$3:$A$3390,K$1,'United Data'!$C$3:$C$3390,$A1114)&gt;0,1,0)</f>
        <v>0</v>
      </c>
      <c r="L1114">
        <f>IF(COUNTIFS('United Data'!$A$3:$A$3390,L$1,'United Data'!$C$3:$C$3390,$A1114)&gt;0,1,0)</f>
        <v>0</v>
      </c>
      <c r="M1114">
        <f>IF(COUNTIFS('United Data'!$A$3:$A$3390,M$1,'United Data'!$C$3:$C$3390,$A1114)&gt;0,1,0)</f>
        <v>0</v>
      </c>
      <c r="N1114">
        <f>IF(COUNTIFS('United Data'!$A$3:$A$3390,N$1,'United Data'!$C$3:$C$3390,$A1114)&gt;0,1,0)</f>
        <v>0</v>
      </c>
      <c r="O1114">
        <f>IF(COUNTIFS('United Data'!$A$3:$A$3390,O$1,'United Data'!$C$3:$C$3390,$A1114)&gt;0,1,0)</f>
        <v>0</v>
      </c>
      <c r="P1114">
        <f>IF(COUNTIFS('United Data'!$A$3:$A$3390,P$1,'United Data'!$C$3:$C$3390,$A1114)&gt;0,1,0)</f>
        <v>0</v>
      </c>
      <c r="Q1114">
        <f>IF(COUNTIFS('United Data'!$A$3:$A$3390,Q$1,'United Data'!$C$3:$C$3390,$A1114)&gt;0,1,0)</f>
        <v>0</v>
      </c>
      <c r="R1114">
        <f>IF(COUNTIFS('United Data'!$A$3:$A$3390,R$1,'United Data'!$C$3:$C$3390,$A1114)&gt;0,1,0)</f>
        <v>0</v>
      </c>
      <c r="S1114">
        <f t="shared" si="34"/>
        <v>1</v>
      </c>
      <c r="T1114">
        <f t="shared" si="35"/>
        <v>1</v>
      </c>
    </row>
    <row r="1115" spans="1:20" x14ac:dyDescent="0.2">
      <c r="A1115" t="s">
        <v>1333</v>
      </c>
      <c r="B1115">
        <f>IF(COUNTIFS('United Data'!$A$3:$A$3390,B$1,'United Data'!$C$3:$C$3390,$A1115)&gt;0,1,0)</f>
        <v>0</v>
      </c>
      <c r="C1115">
        <f>IF(COUNTIFS('United Data'!$A$3:$A$3390,C$1,'United Data'!$C$3:$C$3390,$A1115)&gt;0,1,0)</f>
        <v>0</v>
      </c>
      <c r="D1115">
        <f>IF(COUNTIFS('United Data'!$A$3:$A$3390,D$1,'United Data'!$C$3:$C$3390,$A1115)&gt;0,1,0)</f>
        <v>0</v>
      </c>
      <c r="E1115">
        <f>IF(COUNTIFS('United Data'!$A$3:$A$3390,E$1,'United Data'!$C$3:$C$3390,$A1115)&gt;0,1,0)</f>
        <v>0</v>
      </c>
      <c r="F1115">
        <f>IF(COUNTIFS('United Data'!$A$3:$A$3390,F$1,'United Data'!$C$3:$C$3390,$A1115)&gt;0,1,0)</f>
        <v>0</v>
      </c>
      <c r="G1115">
        <f>IF(COUNTIFS('United Data'!$A$3:$A$3390,G$1,'United Data'!$C$3:$C$3390,$A1115)&gt;0,1,0)</f>
        <v>0</v>
      </c>
      <c r="H1115">
        <f>IF(COUNTIFS('United Data'!$A$3:$A$3390,H$1,'United Data'!$C$3:$C$3390,$A1115)&gt;0,1,0)</f>
        <v>0</v>
      </c>
      <c r="I1115">
        <f>IF(COUNTIFS('United Data'!$A$3:$A$3390,I$1,'United Data'!$C$3:$C$3390,$A1115)&gt;0,1,0)</f>
        <v>1</v>
      </c>
      <c r="J1115">
        <f>IF(COUNTIFS('United Data'!$A$3:$A$3390,J$1,'United Data'!$C$3:$C$3390,$A1115)&gt;0,1,0)</f>
        <v>0</v>
      </c>
      <c r="K1115">
        <f>IF(COUNTIFS('United Data'!$A$3:$A$3390,K$1,'United Data'!$C$3:$C$3390,$A1115)&gt;0,1,0)</f>
        <v>0</v>
      </c>
      <c r="L1115">
        <f>IF(COUNTIFS('United Data'!$A$3:$A$3390,L$1,'United Data'!$C$3:$C$3390,$A1115)&gt;0,1,0)</f>
        <v>0</v>
      </c>
      <c r="M1115">
        <f>IF(COUNTIFS('United Data'!$A$3:$A$3390,M$1,'United Data'!$C$3:$C$3390,$A1115)&gt;0,1,0)</f>
        <v>0</v>
      </c>
      <c r="N1115">
        <f>IF(COUNTIFS('United Data'!$A$3:$A$3390,N$1,'United Data'!$C$3:$C$3390,$A1115)&gt;0,1,0)</f>
        <v>0</v>
      </c>
      <c r="O1115">
        <f>IF(COUNTIFS('United Data'!$A$3:$A$3390,O$1,'United Data'!$C$3:$C$3390,$A1115)&gt;0,1,0)</f>
        <v>0</v>
      </c>
      <c r="P1115">
        <f>IF(COUNTIFS('United Data'!$A$3:$A$3390,P$1,'United Data'!$C$3:$C$3390,$A1115)&gt;0,1,0)</f>
        <v>0</v>
      </c>
      <c r="Q1115">
        <f>IF(COUNTIFS('United Data'!$A$3:$A$3390,Q$1,'United Data'!$C$3:$C$3390,$A1115)&gt;0,1,0)</f>
        <v>0</v>
      </c>
      <c r="R1115">
        <f>IF(COUNTIFS('United Data'!$A$3:$A$3390,R$1,'United Data'!$C$3:$C$3390,$A1115)&gt;0,1,0)</f>
        <v>0</v>
      </c>
      <c r="S1115">
        <f t="shared" si="34"/>
        <v>1</v>
      </c>
      <c r="T1115">
        <f t="shared" si="35"/>
        <v>1</v>
      </c>
    </row>
    <row r="1116" spans="1:20" x14ac:dyDescent="0.2">
      <c r="A1116" t="s">
        <v>1334</v>
      </c>
      <c r="B1116">
        <f>IF(COUNTIFS('United Data'!$A$3:$A$3390,B$1,'United Data'!$C$3:$C$3390,$A1116)&gt;0,1,0)</f>
        <v>0</v>
      </c>
      <c r="C1116">
        <f>IF(COUNTIFS('United Data'!$A$3:$A$3390,C$1,'United Data'!$C$3:$C$3390,$A1116)&gt;0,1,0)</f>
        <v>0</v>
      </c>
      <c r="D1116">
        <f>IF(COUNTIFS('United Data'!$A$3:$A$3390,D$1,'United Data'!$C$3:$C$3390,$A1116)&gt;0,1,0)</f>
        <v>0</v>
      </c>
      <c r="E1116">
        <f>IF(COUNTIFS('United Data'!$A$3:$A$3390,E$1,'United Data'!$C$3:$C$3390,$A1116)&gt;0,1,0)</f>
        <v>0</v>
      </c>
      <c r="F1116">
        <f>IF(COUNTIFS('United Data'!$A$3:$A$3390,F$1,'United Data'!$C$3:$C$3390,$A1116)&gt;0,1,0)</f>
        <v>0</v>
      </c>
      <c r="G1116">
        <f>IF(COUNTIFS('United Data'!$A$3:$A$3390,G$1,'United Data'!$C$3:$C$3390,$A1116)&gt;0,1,0)</f>
        <v>0</v>
      </c>
      <c r="H1116">
        <f>IF(COUNTIFS('United Data'!$A$3:$A$3390,H$1,'United Data'!$C$3:$C$3390,$A1116)&gt;0,1,0)</f>
        <v>0</v>
      </c>
      <c r="I1116">
        <f>IF(COUNTIFS('United Data'!$A$3:$A$3390,I$1,'United Data'!$C$3:$C$3390,$A1116)&gt;0,1,0)</f>
        <v>1</v>
      </c>
      <c r="J1116">
        <f>IF(COUNTIFS('United Data'!$A$3:$A$3390,J$1,'United Data'!$C$3:$C$3390,$A1116)&gt;0,1,0)</f>
        <v>0</v>
      </c>
      <c r="K1116">
        <f>IF(COUNTIFS('United Data'!$A$3:$A$3390,K$1,'United Data'!$C$3:$C$3390,$A1116)&gt;0,1,0)</f>
        <v>0</v>
      </c>
      <c r="L1116">
        <f>IF(COUNTIFS('United Data'!$A$3:$A$3390,L$1,'United Data'!$C$3:$C$3390,$A1116)&gt;0,1,0)</f>
        <v>0</v>
      </c>
      <c r="M1116">
        <f>IF(COUNTIFS('United Data'!$A$3:$A$3390,M$1,'United Data'!$C$3:$C$3390,$A1116)&gt;0,1,0)</f>
        <v>0</v>
      </c>
      <c r="N1116">
        <f>IF(COUNTIFS('United Data'!$A$3:$A$3390,N$1,'United Data'!$C$3:$C$3390,$A1116)&gt;0,1,0)</f>
        <v>0</v>
      </c>
      <c r="O1116">
        <f>IF(COUNTIFS('United Data'!$A$3:$A$3390,O$1,'United Data'!$C$3:$C$3390,$A1116)&gt;0,1,0)</f>
        <v>0</v>
      </c>
      <c r="P1116">
        <f>IF(COUNTIFS('United Data'!$A$3:$A$3390,P$1,'United Data'!$C$3:$C$3390,$A1116)&gt;0,1,0)</f>
        <v>0</v>
      </c>
      <c r="Q1116">
        <f>IF(COUNTIFS('United Data'!$A$3:$A$3390,Q$1,'United Data'!$C$3:$C$3390,$A1116)&gt;0,1,0)</f>
        <v>0</v>
      </c>
      <c r="R1116">
        <f>IF(COUNTIFS('United Data'!$A$3:$A$3390,R$1,'United Data'!$C$3:$C$3390,$A1116)&gt;0,1,0)</f>
        <v>0</v>
      </c>
      <c r="S1116">
        <f t="shared" si="34"/>
        <v>1</v>
      </c>
      <c r="T1116">
        <f t="shared" si="35"/>
        <v>1</v>
      </c>
    </row>
    <row r="1117" spans="1:20" x14ac:dyDescent="0.2">
      <c r="A1117" t="s">
        <v>1335</v>
      </c>
      <c r="B1117">
        <f>IF(COUNTIFS('United Data'!$A$3:$A$3390,B$1,'United Data'!$C$3:$C$3390,$A1117)&gt;0,1,0)</f>
        <v>0</v>
      </c>
      <c r="C1117">
        <f>IF(COUNTIFS('United Data'!$A$3:$A$3390,C$1,'United Data'!$C$3:$C$3390,$A1117)&gt;0,1,0)</f>
        <v>0</v>
      </c>
      <c r="D1117">
        <f>IF(COUNTIFS('United Data'!$A$3:$A$3390,D$1,'United Data'!$C$3:$C$3390,$A1117)&gt;0,1,0)</f>
        <v>0</v>
      </c>
      <c r="E1117">
        <f>IF(COUNTIFS('United Data'!$A$3:$A$3390,E$1,'United Data'!$C$3:$C$3390,$A1117)&gt;0,1,0)</f>
        <v>0</v>
      </c>
      <c r="F1117">
        <f>IF(COUNTIFS('United Data'!$A$3:$A$3390,F$1,'United Data'!$C$3:$C$3390,$A1117)&gt;0,1,0)</f>
        <v>0</v>
      </c>
      <c r="G1117">
        <f>IF(COUNTIFS('United Data'!$A$3:$A$3390,G$1,'United Data'!$C$3:$C$3390,$A1117)&gt;0,1,0)</f>
        <v>0</v>
      </c>
      <c r="H1117">
        <f>IF(COUNTIFS('United Data'!$A$3:$A$3390,H$1,'United Data'!$C$3:$C$3390,$A1117)&gt;0,1,0)</f>
        <v>0</v>
      </c>
      <c r="I1117">
        <f>IF(COUNTIFS('United Data'!$A$3:$A$3390,I$1,'United Data'!$C$3:$C$3390,$A1117)&gt;0,1,0)</f>
        <v>1</v>
      </c>
      <c r="J1117">
        <f>IF(COUNTIFS('United Data'!$A$3:$A$3390,J$1,'United Data'!$C$3:$C$3390,$A1117)&gt;0,1,0)</f>
        <v>1</v>
      </c>
      <c r="K1117">
        <f>IF(COUNTIFS('United Data'!$A$3:$A$3390,K$1,'United Data'!$C$3:$C$3390,$A1117)&gt;0,1,0)</f>
        <v>0</v>
      </c>
      <c r="L1117">
        <f>IF(COUNTIFS('United Data'!$A$3:$A$3390,L$1,'United Data'!$C$3:$C$3390,$A1117)&gt;0,1,0)</f>
        <v>0</v>
      </c>
      <c r="M1117">
        <f>IF(COUNTIFS('United Data'!$A$3:$A$3390,M$1,'United Data'!$C$3:$C$3390,$A1117)&gt;0,1,0)</f>
        <v>0</v>
      </c>
      <c r="N1117">
        <f>IF(COUNTIFS('United Data'!$A$3:$A$3390,N$1,'United Data'!$C$3:$C$3390,$A1117)&gt;0,1,0)</f>
        <v>0</v>
      </c>
      <c r="O1117">
        <f>IF(COUNTIFS('United Data'!$A$3:$A$3390,O$1,'United Data'!$C$3:$C$3390,$A1117)&gt;0,1,0)</f>
        <v>0</v>
      </c>
      <c r="P1117">
        <f>IF(COUNTIFS('United Data'!$A$3:$A$3390,P$1,'United Data'!$C$3:$C$3390,$A1117)&gt;0,1,0)</f>
        <v>0</v>
      </c>
      <c r="Q1117">
        <f>IF(COUNTIFS('United Data'!$A$3:$A$3390,Q$1,'United Data'!$C$3:$C$3390,$A1117)&gt;0,1,0)</f>
        <v>0</v>
      </c>
      <c r="R1117">
        <f>IF(COUNTIFS('United Data'!$A$3:$A$3390,R$1,'United Data'!$C$3:$C$3390,$A1117)&gt;0,1,0)</f>
        <v>0</v>
      </c>
      <c r="S1117">
        <f t="shared" si="34"/>
        <v>2</v>
      </c>
      <c r="T1117">
        <f t="shared" si="35"/>
        <v>1</v>
      </c>
    </row>
    <row r="1118" spans="1:20" x14ac:dyDescent="0.2">
      <c r="A1118" t="s">
        <v>1336</v>
      </c>
      <c r="B1118">
        <f>IF(COUNTIFS('United Data'!$A$3:$A$3390,B$1,'United Data'!$C$3:$C$3390,$A1118)&gt;0,1,0)</f>
        <v>0</v>
      </c>
      <c r="C1118">
        <f>IF(COUNTIFS('United Data'!$A$3:$A$3390,C$1,'United Data'!$C$3:$C$3390,$A1118)&gt;0,1,0)</f>
        <v>0</v>
      </c>
      <c r="D1118">
        <f>IF(COUNTIFS('United Data'!$A$3:$A$3390,D$1,'United Data'!$C$3:$C$3390,$A1118)&gt;0,1,0)</f>
        <v>0</v>
      </c>
      <c r="E1118">
        <f>IF(COUNTIFS('United Data'!$A$3:$A$3390,E$1,'United Data'!$C$3:$C$3390,$A1118)&gt;0,1,0)</f>
        <v>0</v>
      </c>
      <c r="F1118">
        <f>IF(COUNTIFS('United Data'!$A$3:$A$3390,F$1,'United Data'!$C$3:$C$3390,$A1118)&gt;0,1,0)</f>
        <v>0</v>
      </c>
      <c r="G1118">
        <f>IF(COUNTIFS('United Data'!$A$3:$A$3390,G$1,'United Data'!$C$3:$C$3390,$A1118)&gt;0,1,0)</f>
        <v>0</v>
      </c>
      <c r="H1118">
        <f>IF(COUNTIFS('United Data'!$A$3:$A$3390,H$1,'United Data'!$C$3:$C$3390,$A1118)&gt;0,1,0)</f>
        <v>0</v>
      </c>
      <c r="I1118">
        <f>IF(COUNTIFS('United Data'!$A$3:$A$3390,I$1,'United Data'!$C$3:$C$3390,$A1118)&gt;0,1,0)</f>
        <v>1</v>
      </c>
      <c r="J1118">
        <f>IF(COUNTIFS('United Data'!$A$3:$A$3390,J$1,'United Data'!$C$3:$C$3390,$A1118)&gt;0,1,0)</f>
        <v>1</v>
      </c>
      <c r="K1118">
        <f>IF(COUNTIFS('United Data'!$A$3:$A$3390,K$1,'United Data'!$C$3:$C$3390,$A1118)&gt;0,1,0)</f>
        <v>0</v>
      </c>
      <c r="L1118">
        <f>IF(COUNTIFS('United Data'!$A$3:$A$3390,L$1,'United Data'!$C$3:$C$3390,$A1118)&gt;0,1,0)</f>
        <v>0</v>
      </c>
      <c r="M1118">
        <f>IF(COUNTIFS('United Data'!$A$3:$A$3390,M$1,'United Data'!$C$3:$C$3390,$A1118)&gt;0,1,0)</f>
        <v>0</v>
      </c>
      <c r="N1118">
        <f>IF(COUNTIFS('United Data'!$A$3:$A$3390,N$1,'United Data'!$C$3:$C$3390,$A1118)&gt;0,1,0)</f>
        <v>0</v>
      </c>
      <c r="O1118">
        <f>IF(COUNTIFS('United Data'!$A$3:$A$3390,O$1,'United Data'!$C$3:$C$3390,$A1118)&gt;0,1,0)</f>
        <v>0</v>
      </c>
      <c r="P1118">
        <f>IF(COUNTIFS('United Data'!$A$3:$A$3390,P$1,'United Data'!$C$3:$C$3390,$A1118)&gt;0,1,0)</f>
        <v>0</v>
      </c>
      <c r="Q1118">
        <f>IF(COUNTIFS('United Data'!$A$3:$A$3390,Q$1,'United Data'!$C$3:$C$3390,$A1118)&gt;0,1,0)</f>
        <v>0</v>
      </c>
      <c r="R1118">
        <f>IF(COUNTIFS('United Data'!$A$3:$A$3390,R$1,'United Data'!$C$3:$C$3390,$A1118)&gt;0,1,0)</f>
        <v>0</v>
      </c>
      <c r="S1118">
        <f t="shared" si="34"/>
        <v>2</v>
      </c>
      <c r="T1118">
        <f t="shared" si="35"/>
        <v>1</v>
      </c>
    </row>
    <row r="1119" spans="1:20" x14ac:dyDescent="0.2">
      <c r="A1119" t="s">
        <v>1337</v>
      </c>
      <c r="B1119">
        <f>IF(COUNTIFS('United Data'!$A$3:$A$3390,B$1,'United Data'!$C$3:$C$3390,$A1119)&gt;0,1,0)</f>
        <v>0</v>
      </c>
      <c r="C1119">
        <f>IF(COUNTIFS('United Data'!$A$3:$A$3390,C$1,'United Data'!$C$3:$C$3390,$A1119)&gt;0,1,0)</f>
        <v>0</v>
      </c>
      <c r="D1119">
        <f>IF(COUNTIFS('United Data'!$A$3:$A$3390,D$1,'United Data'!$C$3:$C$3390,$A1119)&gt;0,1,0)</f>
        <v>0</v>
      </c>
      <c r="E1119">
        <f>IF(COUNTIFS('United Data'!$A$3:$A$3390,E$1,'United Data'!$C$3:$C$3390,$A1119)&gt;0,1,0)</f>
        <v>0</v>
      </c>
      <c r="F1119">
        <f>IF(COUNTIFS('United Data'!$A$3:$A$3390,F$1,'United Data'!$C$3:$C$3390,$A1119)&gt;0,1,0)</f>
        <v>0</v>
      </c>
      <c r="G1119">
        <f>IF(COUNTIFS('United Data'!$A$3:$A$3390,G$1,'United Data'!$C$3:$C$3390,$A1119)&gt;0,1,0)</f>
        <v>0</v>
      </c>
      <c r="H1119">
        <f>IF(COUNTIFS('United Data'!$A$3:$A$3390,H$1,'United Data'!$C$3:$C$3390,$A1119)&gt;0,1,0)</f>
        <v>0</v>
      </c>
      <c r="I1119">
        <f>IF(COUNTIFS('United Data'!$A$3:$A$3390,I$1,'United Data'!$C$3:$C$3390,$A1119)&gt;0,1,0)</f>
        <v>1</v>
      </c>
      <c r="J1119">
        <f>IF(COUNTIFS('United Data'!$A$3:$A$3390,J$1,'United Data'!$C$3:$C$3390,$A1119)&gt;0,1,0)</f>
        <v>1</v>
      </c>
      <c r="K1119">
        <f>IF(COUNTIFS('United Data'!$A$3:$A$3390,K$1,'United Data'!$C$3:$C$3390,$A1119)&gt;0,1,0)</f>
        <v>0</v>
      </c>
      <c r="L1119">
        <f>IF(COUNTIFS('United Data'!$A$3:$A$3390,L$1,'United Data'!$C$3:$C$3390,$A1119)&gt;0,1,0)</f>
        <v>0</v>
      </c>
      <c r="M1119">
        <f>IF(COUNTIFS('United Data'!$A$3:$A$3390,M$1,'United Data'!$C$3:$C$3390,$A1119)&gt;0,1,0)</f>
        <v>0</v>
      </c>
      <c r="N1119">
        <f>IF(COUNTIFS('United Data'!$A$3:$A$3390,N$1,'United Data'!$C$3:$C$3390,$A1119)&gt;0,1,0)</f>
        <v>0</v>
      </c>
      <c r="O1119">
        <f>IF(COUNTIFS('United Data'!$A$3:$A$3390,O$1,'United Data'!$C$3:$C$3390,$A1119)&gt;0,1,0)</f>
        <v>0</v>
      </c>
      <c r="P1119">
        <f>IF(COUNTIFS('United Data'!$A$3:$A$3390,P$1,'United Data'!$C$3:$C$3390,$A1119)&gt;0,1,0)</f>
        <v>0</v>
      </c>
      <c r="Q1119">
        <f>IF(COUNTIFS('United Data'!$A$3:$A$3390,Q$1,'United Data'!$C$3:$C$3390,$A1119)&gt;0,1,0)</f>
        <v>0</v>
      </c>
      <c r="R1119">
        <f>IF(COUNTIFS('United Data'!$A$3:$A$3390,R$1,'United Data'!$C$3:$C$3390,$A1119)&gt;0,1,0)</f>
        <v>0</v>
      </c>
      <c r="S1119">
        <f t="shared" si="34"/>
        <v>2</v>
      </c>
      <c r="T1119">
        <f t="shared" si="35"/>
        <v>1</v>
      </c>
    </row>
    <row r="1120" spans="1:20" x14ac:dyDescent="0.2">
      <c r="A1120" t="s">
        <v>1338</v>
      </c>
      <c r="B1120">
        <f>IF(COUNTIFS('United Data'!$A$3:$A$3390,B$1,'United Data'!$C$3:$C$3390,$A1120)&gt;0,1,0)</f>
        <v>0</v>
      </c>
      <c r="C1120">
        <f>IF(COUNTIFS('United Data'!$A$3:$A$3390,C$1,'United Data'!$C$3:$C$3390,$A1120)&gt;0,1,0)</f>
        <v>0</v>
      </c>
      <c r="D1120">
        <f>IF(COUNTIFS('United Data'!$A$3:$A$3390,D$1,'United Data'!$C$3:$C$3390,$A1120)&gt;0,1,0)</f>
        <v>0</v>
      </c>
      <c r="E1120">
        <f>IF(COUNTIFS('United Data'!$A$3:$A$3390,E$1,'United Data'!$C$3:$C$3390,$A1120)&gt;0,1,0)</f>
        <v>0</v>
      </c>
      <c r="F1120">
        <f>IF(COUNTIFS('United Data'!$A$3:$A$3390,F$1,'United Data'!$C$3:$C$3390,$A1120)&gt;0,1,0)</f>
        <v>0</v>
      </c>
      <c r="G1120">
        <f>IF(COUNTIFS('United Data'!$A$3:$A$3390,G$1,'United Data'!$C$3:$C$3390,$A1120)&gt;0,1,0)</f>
        <v>0</v>
      </c>
      <c r="H1120">
        <f>IF(COUNTIFS('United Data'!$A$3:$A$3390,H$1,'United Data'!$C$3:$C$3390,$A1120)&gt;0,1,0)</f>
        <v>0</v>
      </c>
      <c r="I1120">
        <f>IF(COUNTIFS('United Data'!$A$3:$A$3390,I$1,'United Data'!$C$3:$C$3390,$A1120)&gt;0,1,0)</f>
        <v>0</v>
      </c>
      <c r="J1120">
        <f>IF(COUNTIFS('United Data'!$A$3:$A$3390,J$1,'United Data'!$C$3:$C$3390,$A1120)&gt;0,1,0)</f>
        <v>1</v>
      </c>
      <c r="K1120">
        <f>IF(COUNTIFS('United Data'!$A$3:$A$3390,K$1,'United Data'!$C$3:$C$3390,$A1120)&gt;0,1,0)</f>
        <v>0</v>
      </c>
      <c r="L1120">
        <f>IF(COUNTIFS('United Data'!$A$3:$A$3390,L$1,'United Data'!$C$3:$C$3390,$A1120)&gt;0,1,0)</f>
        <v>0</v>
      </c>
      <c r="M1120">
        <f>IF(COUNTIFS('United Data'!$A$3:$A$3390,M$1,'United Data'!$C$3:$C$3390,$A1120)&gt;0,1,0)</f>
        <v>1</v>
      </c>
      <c r="N1120">
        <f>IF(COUNTIFS('United Data'!$A$3:$A$3390,N$1,'United Data'!$C$3:$C$3390,$A1120)&gt;0,1,0)</f>
        <v>0</v>
      </c>
      <c r="O1120">
        <f>IF(COUNTIFS('United Data'!$A$3:$A$3390,O$1,'United Data'!$C$3:$C$3390,$A1120)&gt;0,1,0)</f>
        <v>0</v>
      </c>
      <c r="P1120">
        <f>IF(COUNTIFS('United Data'!$A$3:$A$3390,P$1,'United Data'!$C$3:$C$3390,$A1120)&gt;0,1,0)</f>
        <v>0</v>
      </c>
      <c r="Q1120">
        <f>IF(COUNTIFS('United Data'!$A$3:$A$3390,Q$1,'United Data'!$C$3:$C$3390,$A1120)&gt;0,1,0)</f>
        <v>0</v>
      </c>
      <c r="R1120">
        <f>IF(COUNTIFS('United Data'!$A$3:$A$3390,R$1,'United Data'!$C$3:$C$3390,$A1120)&gt;0,1,0)</f>
        <v>0</v>
      </c>
      <c r="S1120">
        <f t="shared" si="34"/>
        <v>2</v>
      </c>
      <c r="T1120">
        <f t="shared" si="35"/>
        <v>2</v>
      </c>
    </row>
    <row r="1121" spans="1:20" x14ac:dyDescent="0.2">
      <c r="A1121" t="s">
        <v>1340</v>
      </c>
      <c r="B1121">
        <f>IF(COUNTIFS('United Data'!$A$3:$A$3390,B$1,'United Data'!$C$3:$C$3390,$A1121)&gt;0,1,0)</f>
        <v>0</v>
      </c>
      <c r="C1121">
        <f>IF(COUNTIFS('United Data'!$A$3:$A$3390,C$1,'United Data'!$C$3:$C$3390,$A1121)&gt;0,1,0)</f>
        <v>0</v>
      </c>
      <c r="D1121">
        <f>IF(COUNTIFS('United Data'!$A$3:$A$3390,D$1,'United Data'!$C$3:$C$3390,$A1121)&gt;0,1,0)</f>
        <v>0</v>
      </c>
      <c r="E1121">
        <f>IF(COUNTIFS('United Data'!$A$3:$A$3390,E$1,'United Data'!$C$3:$C$3390,$A1121)&gt;0,1,0)</f>
        <v>0</v>
      </c>
      <c r="F1121">
        <f>IF(COUNTIFS('United Data'!$A$3:$A$3390,F$1,'United Data'!$C$3:$C$3390,$A1121)&gt;0,1,0)</f>
        <v>0</v>
      </c>
      <c r="G1121">
        <f>IF(COUNTIFS('United Data'!$A$3:$A$3390,G$1,'United Data'!$C$3:$C$3390,$A1121)&gt;0,1,0)</f>
        <v>0</v>
      </c>
      <c r="H1121">
        <f>IF(COUNTIFS('United Data'!$A$3:$A$3390,H$1,'United Data'!$C$3:$C$3390,$A1121)&gt;0,1,0)</f>
        <v>0</v>
      </c>
      <c r="I1121">
        <f>IF(COUNTIFS('United Data'!$A$3:$A$3390,I$1,'United Data'!$C$3:$C$3390,$A1121)&gt;0,1,0)</f>
        <v>0</v>
      </c>
      <c r="J1121">
        <f>IF(COUNTIFS('United Data'!$A$3:$A$3390,J$1,'United Data'!$C$3:$C$3390,$A1121)&gt;0,1,0)</f>
        <v>1</v>
      </c>
      <c r="K1121">
        <f>IF(COUNTIFS('United Data'!$A$3:$A$3390,K$1,'United Data'!$C$3:$C$3390,$A1121)&gt;0,1,0)</f>
        <v>0</v>
      </c>
      <c r="L1121">
        <f>IF(COUNTIFS('United Data'!$A$3:$A$3390,L$1,'United Data'!$C$3:$C$3390,$A1121)&gt;0,1,0)</f>
        <v>0</v>
      </c>
      <c r="M1121">
        <f>IF(COUNTIFS('United Data'!$A$3:$A$3390,M$1,'United Data'!$C$3:$C$3390,$A1121)&gt;0,1,0)</f>
        <v>0</v>
      </c>
      <c r="N1121">
        <f>IF(COUNTIFS('United Data'!$A$3:$A$3390,N$1,'United Data'!$C$3:$C$3390,$A1121)&gt;0,1,0)</f>
        <v>0</v>
      </c>
      <c r="O1121">
        <f>IF(COUNTIFS('United Data'!$A$3:$A$3390,O$1,'United Data'!$C$3:$C$3390,$A1121)&gt;0,1,0)</f>
        <v>0</v>
      </c>
      <c r="P1121">
        <f>IF(COUNTIFS('United Data'!$A$3:$A$3390,P$1,'United Data'!$C$3:$C$3390,$A1121)&gt;0,1,0)</f>
        <v>0</v>
      </c>
      <c r="Q1121">
        <f>IF(COUNTIFS('United Data'!$A$3:$A$3390,Q$1,'United Data'!$C$3:$C$3390,$A1121)&gt;0,1,0)</f>
        <v>0</v>
      </c>
      <c r="R1121">
        <f>IF(COUNTIFS('United Data'!$A$3:$A$3390,R$1,'United Data'!$C$3:$C$3390,$A1121)&gt;0,1,0)</f>
        <v>0</v>
      </c>
      <c r="S1121">
        <f t="shared" si="34"/>
        <v>1</v>
      </c>
      <c r="T1121">
        <f t="shared" si="35"/>
        <v>1</v>
      </c>
    </row>
    <row r="1122" spans="1:20" x14ac:dyDescent="0.2">
      <c r="A1122" t="s">
        <v>1341</v>
      </c>
      <c r="B1122">
        <f>IF(COUNTIFS('United Data'!$A$3:$A$3390,B$1,'United Data'!$C$3:$C$3390,$A1122)&gt;0,1,0)</f>
        <v>0</v>
      </c>
      <c r="C1122">
        <f>IF(COUNTIFS('United Data'!$A$3:$A$3390,C$1,'United Data'!$C$3:$C$3390,$A1122)&gt;0,1,0)</f>
        <v>0</v>
      </c>
      <c r="D1122">
        <f>IF(COUNTIFS('United Data'!$A$3:$A$3390,D$1,'United Data'!$C$3:$C$3390,$A1122)&gt;0,1,0)</f>
        <v>0</v>
      </c>
      <c r="E1122">
        <f>IF(COUNTIFS('United Data'!$A$3:$A$3390,E$1,'United Data'!$C$3:$C$3390,$A1122)&gt;0,1,0)</f>
        <v>0</v>
      </c>
      <c r="F1122">
        <f>IF(COUNTIFS('United Data'!$A$3:$A$3390,F$1,'United Data'!$C$3:$C$3390,$A1122)&gt;0,1,0)</f>
        <v>0</v>
      </c>
      <c r="G1122">
        <f>IF(COUNTIFS('United Data'!$A$3:$A$3390,G$1,'United Data'!$C$3:$C$3390,$A1122)&gt;0,1,0)</f>
        <v>0</v>
      </c>
      <c r="H1122">
        <f>IF(COUNTIFS('United Data'!$A$3:$A$3390,H$1,'United Data'!$C$3:$C$3390,$A1122)&gt;0,1,0)</f>
        <v>0</v>
      </c>
      <c r="I1122">
        <f>IF(COUNTIFS('United Data'!$A$3:$A$3390,I$1,'United Data'!$C$3:$C$3390,$A1122)&gt;0,1,0)</f>
        <v>0</v>
      </c>
      <c r="J1122">
        <f>IF(COUNTIFS('United Data'!$A$3:$A$3390,J$1,'United Data'!$C$3:$C$3390,$A1122)&gt;0,1,0)</f>
        <v>1</v>
      </c>
      <c r="K1122">
        <f>IF(COUNTIFS('United Data'!$A$3:$A$3390,K$1,'United Data'!$C$3:$C$3390,$A1122)&gt;0,1,0)</f>
        <v>0</v>
      </c>
      <c r="L1122">
        <f>IF(COUNTIFS('United Data'!$A$3:$A$3390,L$1,'United Data'!$C$3:$C$3390,$A1122)&gt;0,1,0)</f>
        <v>0</v>
      </c>
      <c r="M1122">
        <f>IF(COUNTIFS('United Data'!$A$3:$A$3390,M$1,'United Data'!$C$3:$C$3390,$A1122)&gt;0,1,0)</f>
        <v>0</v>
      </c>
      <c r="N1122">
        <f>IF(COUNTIFS('United Data'!$A$3:$A$3390,N$1,'United Data'!$C$3:$C$3390,$A1122)&gt;0,1,0)</f>
        <v>0</v>
      </c>
      <c r="O1122">
        <f>IF(COUNTIFS('United Data'!$A$3:$A$3390,O$1,'United Data'!$C$3:$C$3390,$A1122)&gt;0,1,0)</f>
        <v>0</v>
      </c>
      <c r="P1122">
        <f>IF(COUNTIFS('United Data'!$A$3:$A$3390,P$1,'United Data'!$C$3:$C$3390,$A1122)&gt;0,1,0)</f>
        <v>0</v>
      </c>
      <c r="Q1122">
        <f>IF(COUNTIFS('United Data'!$A$3:$A$3390,Q$1,'United Data'!$C$3:$C$3390,$A1122)&gt;0,1,0)</f>
        <v>0</v>
      </c>
      <c r="R1122">
        <f>IF(COUNTIFS('United Data'!$A$3:$A$3390,R$1,'United Data'!$C$3:$C$3390,$A1122)&gt;0,1,0)</f>
        <v>0</v>
      </c>
      <c r="S1122">
        <f t="shared" si="34"/>
        <v>1</v>
      </c>
      <c r="T1122">
        <f t="shared" si="35"/>
        <v>1</v>
      </c>
    </row>
    <row r="1123" spans="1:20" x14ac:dyDescent="0.2">
      <c r="A1123" t="s">
        <v>1342</v>
      </c>
      <c r="B1123">
        <f>IF(COUNTIFS('United Data'!$A$3:$A$3390,B$1,'United Data'!$C$3:$C$3390,$A1123)&gt;0,1,0)</f>
        <v>0</v>
      </c>
      <c r="C1123">
        <f>IF(COUNTIFS('United Data'!$A$3:$A$3390,C$1,'United Data'!$C$3:$C$3390,$A1123)&gt;0,1,0)</f>
        <v>0</v>
      </c>
      <c r="D1123">
        <f>IF(COUNTIFS('United Data'!$A$3:$A$3390,D$1,'United Data'!$C$3:$C$3390,$A1123)&gt;0,1,0)</f>
        <v>0</v>
      </c>
      <c r="E1123">
        <f>IF(COUNTIFS('United Data'!$A$3:$A$3390,E$1,'United Data'!$C$3:$C$3390,$A1123)&gt;0,1,0)</f>
        <v>0</v>
      </c>
      <c r="F1123">
        <f>IF(COUNTIFS('United Data'!$A$3:$A$3390,F$1,'United Data'!$C$3:$C$3390,$A1123)&gt;0,1,0)</f>
        <v>0</v>
      </c>
      <c r="G1123">
        <f>IF(COUNTIFS('United Data'!$A$3:$A$3390,G$1,'United Data'!$C$3:$C$3390,$A1123)&gt;0,1,0)</f>
        <v>0</v>
      </c>
      <c r="H1123">
        <f>IF(COUNTIFS('United Data'!$A$3:$A$3390,H$1,'United Data'!$C$3:$C$3390,$A1123)&gt;0,1,0)</f>
        <v>0</v>
      </c>
      <c r="I1123">
        <f>IF(COUNTIFS('United Data'!$A$3:$A$3390,I$1,'United Data'!$C$3:$C$3390,$A1123)&gt;0,1,0)</f>
        <v>0</v>
      </c>
      <c r="J1123">
        <f>IF(COUNTIFS('United Data'!$A$3:$A$3390,J$1,'United Data'!$C$3:$C$3390,$A1123)&gt;0,1,0)</f>
        <v>0</v>
      </c>
      <c r="K1123">
        <f>IF(COUNTIFS('United Data'!$A$3:$A$3390,K$1,'United Data'!$C$3:$C$3390,$A1123)&gt;0,1,0)</f>
        <v>1</v>
      </c>
      <c r="L1123">
        <f>IF(COUNTIFS('United Data'!$A$3:$A$3390,L$1,'United Data'!$C$3:$C$3390,$A1123)&gt;0,1,0)</f>
        <v>0</v>
      </c>
      <c r="M1123">
        <f>IF(COUNTIFS('United Data'!$A$3:$A$3390,M$1,'United Data'!$C$3:$C$3390,$A1123)&gt;0,1,0)</f>
        <v>0</v>
      </c>
      <c r="N1123">
        <f>IF(COUNTIFS('United Data'!$A$3:$A$3390,N$1,'United Data'!$C$3:$C$3390,$A1123)&gt;0,1,0)</f>
        <v>0</v>
      </c>
      <c r="O1123">
        <f>IF(COUNTIFS('United Data'!$A$3:$A$3390,O$1,'United Data'!$C$3:$C$3390,$A1123)&gt;0,1,0)</f>
        <v>0</v>
      </c>
      <c r="P1123">
        <f>IF(COUNTIFS('United Data'!$A$3:$A$3390,P$1,'United Data'!$C$3:$C$3390,$A1123)&gt;0,1,0)</f>
        <v>0</v>
      </c>
      <c r="Q1123">
        <f>IF(COUNTIFS('United Data'!$A$3:$A$3390,Q$1,'United Data'!$C$3:$C$3390,$A1123)&gt;0,1,0)</f>
        <v>0</v>
      </c>
      <c r="R1123">
        <f>IF(COUNTIFS('United Data'!$A$3:$A$3390,R$1,'United Data'!$C$3:$C$3390,$A1123)&gt;0,1,0)</f>
        <v>0</v>
      </c>
      <c r="S1123">
        <f t="shared" si="34"/>
        <v>1</v>
      </c>
      <c r="T1123">
        <f t="shared" si="35"/>
        <v>1</v>
      </c>
    </row>
    <row r="1124" spans="1:20" x14ac:dyDescent="0.2">
      <c r="A1124" t="s">
        <v>1343</v>
      </c>
      <c r="B1124">
        <f>IF(COUNTIFS('United Data'!$A$3:$A$3390,B$1,'United Data'!$C$3:$C$3390,$A1124)&gt;0,1,0)</f>
        <v>0</v>
      </c>
      <c r="C1124">
        <f>IF(COUNTIFS('United Data'!$A$3:$A$3390,C$1,'United Data'!$C$3:$C$3390,$A1124)&gt;0,1,0)</f>
        <v>0</v>
      </c>
      <c r="D1124">
        <f>IF(COUNTIFS('United Data'!$A$3:$A$3390,D$1,'United Data'!$C$3:$C$3390,$A1124)&gt;0,1,0)</f>
        <v>0</v>
      </c>
      <c r="E1124">
        <f>IF(COUNTIFS('United Data'!$A$3:$A$3390,E$1,'United Data'!$C$3:$C$3390,$A1124)&gt;0,1,0)</f>
        <v>0</v>
      </c>
      <c r="F1124">
        <f>IF(COUNTIFS('United Data'!$A$3:$A$3390,F$1,'United Data'!$C$3:$C$3390,$A1124)&gt;0,1,0)</f>
        <v>0</v>
      </c>
      <c r="G1124">
        <f>IF(COUNTIFS('United Data'!$A$3:$A$3390,G$1,'United Data'!$C$3:$C$3390,$A1124)&gt;0,1,0)</f>
        <v>0</v>
      </c>
      <c r="H1124">
        <f>IF(COUNTIFS('United Data'!$A$3:$A$3390,H$1,'United Data'!$C$3:$C$3390,$A1124)&gt;0,1,0)</f>
        <v>0</v>
      </c>
      <c r="I1124">
        <f>IF(COUNTIFS('United Data'!$A$3:$A$3390,I$1,'United Data'!$C$3:$C$3390,$A1124)&gt;0,1,0)</f>
        <v>0</v>
      </c>
      <c r="J1124">
        <f>IF(COUNTIFS('United Data'!$A$3:$A$3390,J$1,'United Data'!$C$3:$C$3390,$A1124)&gt;0,1,0)</f>
        <v>0</v>
      </c>
      <c r="K1124">
        <f>IF(COUNTIFS('United Data'!$A$3:$A$3390,K$1,'United Data'!$C$3:$C$3390,$A1124)&gt;0,1,0)</f>
        <v>1</v>
      </c>
      <c r="L1124">
        <f>IF(COUNTIFS('United Data'!$A$3:$A$3390,L$1,'United Data'!$C$3:$C$3390,$A1124)&gt;0,1,0)</f>
        <v>0</v>
      </c>
      <c r="M1124">
        <f>IF(COUNTIFS('United Data'!$A$3:$A$3390,M$1,'United Data'!$C$3:$C$3390,$A1124)&gt;0,1,0)</f>
        <v>0</v>
      </c>
      <c r="N1124">
        <f>IF(COUNTIFS('United Data'!$A$3:$A$3390,N$1,'United Data'!$C$3:$C$3390,$A1124)&gt;0,1,0)</f>
        <v>0</v>
      </c>
      <c r="O1124">
        <f>IF(COUNTIFS('United Data'!$A$3:$A$3390,O$1,'United Data'!$C$3:$C$3390,$A1124)&gt;0,1,0)</f>
        <v>0</v>
      </c>
      <c r="P1124">
        <f>IF(COUNTIFS('United Data'!$A$3:$A$3390,P$1,'United Data'!$C$3:$C$3390,$A1124)&gt;0,1,0)</f>
        <v>0</v>
      </c>
      <c r="Q1124">
        <f>IF(COUNTIFS('United Data'!$A$3:$A$3390,Q$1,'United Data'!$C$3:$C$3390,$A1124)&gt;0,1,0)</f>
        <v>0</v>
      </c>
      <c r="R1124">
        <f>IF(COUNTIFS('United Data'!$A$3:$A$3390,R$1,'United Data'!$C$3:$C$3390,$A1124)&gt;0,1,0)</f>
        <v>0</v>
      </c>
      <c r="S1124">
        <f t="shared" si="34"/>
        <v>1</v>
      </c>
      <c r="T1124">
        <f t="shared" si="35"/>
        <v>1</v>
      </c>
    </row>
    <row r="1125" spans="1:20" x14ac:dyDescent="0.2">
      <c r="A1125" t="s">
        <v>1344</v>
      </c>
      <c r="B1125">
        <f>IF(COUNTIFS('United Data'!$A$3:$A$3390,B$1,'United Data'!$C$3:$C$3390,$A1125)&gt;0,1,0)</f>
        <v>0</v>
      </c>
      <c r="C1125">
        <f>IF(COUNTIFS('United Data'!$A$3:$A$3390,C$1,'United Data'!$C$3:$C$3390,$A1125)&gt;0,1,0)</f>
        <v>0</v>
      </c>
      <c r="D1125">
        <f>IF(COUNTIFS('United Data'!$A$3:$A$3390,D$1,'United Data'!$C$3:$C$3390,$A1125)&gt;0,1,0)</f>
        <v>0</v>
      </c>
      <c r="E1125">
        <f>IF(COUNTIFS('United Data'!$A$3:$A$3390,E$1,'United Data'!$C$3:$C$3390,$A1125)&gt;0,1,0)</f>
        <v>0</v>
      </c>
      <c r="F1125">
        <f>IF(COUNTIFS('United Data'!$A$3:$A$3390,F$1,'United Data'!$C$3:$C$3390,$A1125)&gt;0,1,0)</f>
        <v>0</v>
      </c>
      <c r="G1125">
        <f>IF(COUNTIFS('United Data'!$A$3:$A$3390,G$1,'United Data'!$C$3:$C$3390,$A1125)&gt;0,1,0)</f>
        <v>0</v>
      </c>
      <c r="H1125">
        <f>IF(COUNTIFS('United Data'!$A$3:$A$3390,H$1,'United Data'!$C$3:$C$3390,$A1125)&gt;0,1,0)</f>
        <v>0</v>
      </c>
      <c r="I1125">
        <f>IF(COUNTIFS('United Data'!$A$3:$A$3390,I$1,'United Data'!$C$3:$C$3390,$A1125)&gt;0,1,0)</f>
        <v>0</v>
      </c>
      <c r="J1125">
        <f>IF(COUNTIFS('United Data'!$A$3:$A$3390,J$1,'United Data'!$C$3:$C$3390,$A1125)&gt;0,1,0)</f>
        <v>0</v>
      </c>
      <c r="K1125">
        <f>IF(COUNTIFS('United Data'!$A$3:$A$3390,K$1,'United Data'!$C$3:$C$3390,$A1125)&gt;0,1,0)</f>
        <v>1</v>
      </c>
      <c r="L1125">
        <f>IF(COUNTIFS('United Data'!$A$3:$A$3390,L$1,'United Data'!$C$3:$C$3390,$A1125)&gt;0,1,0)</f>
        <v>0</v>
      </c>
      <c r="M1125">
        <f>IF(COUNTIFS('United Data'!$A$3:$A$3390,M$1,'United Data'!$C$3:$C$3390,$A1125)&gt;0,1,0)</f>
        <v>0</v>
      </c>
      <c r="N1125">
        <f>IF(COUNTIFS('United Data'!$A$3:$A$3390,N$1,'United Data'!$C$3:$C$3390,$A1125)&gt;0,1,0)</f>
        <v>0</v>
      </c>
      <c r="O1125">
        <f>IF(COUNTIFS('United Data'!$A$3:$A$3390,O$1,'United Data'!$C$3:$C$3390,$A1125)&gt;0,1,0)</f>
        <v>0</v>
      </c>
      <c r="P1125">
        <f>IF(COUNTIFS('United Data'!$A$3:$A$3390,P$1,'United Data'!$C$3:$C$3390,$A1125)&gt;0,1,0)</f>
        <v>0</v>
      </c>
      <c r="Q1125">
        <f>IF(COUNTIFS('United Data'!$A$3:$A$3390,Q$1,'United Data'!$C$3:$C$3390,$A1125)&gt;0,1,0)</f>
        <v>0</v>
      </c>
      <c r="R1125">
        <f>IF(COUNTIFS('United Data'!$A$3:$A$3390,R$1,'United Data'!$C$3:$C$3390,$A1125)&gt;0,1,0)</f>
        <v>0</v>
      </c>
      <c r="S1125">
        <f t="shared" si="34"/>
        <v>1</v>
      </c>
      <c r="T1125">
        <f t="shared" si="35"/>
        <v>1</v>
      </c>
    </row>
    <row r="1126" spans="1:20" x14ac:dyDescent="0.2">
      <c r="A1126" t="s">
        <v>1345</v>
      </c>
      <c r="B1126">
        <f>IF(COUNTIFS('United Data'!$A$3:$A$3390,B$1,'United Data'!$C$3:$C$3390,$A1126)&gt;0,1,0)</f>
        <v>0</v>
      </c>
      <c r="C1126">
        <f>IF(COUNTIFS('United Data'!$A$3:$A$3390,C$1,'United Data'!$C$3:$C$3390,$A1126)&gt;0,1,0)</f>
        <v>0</v>
      </c>
      <c r="D1126">
        <f>IF(COUNTIFS('United Data'!$A$3:$A$3390,D$1,'United Data'!$C$3:$C$3390,$A1126)&gt;0,1,0)</f>
        <v>0</v>
      </c>
      <c r="E1126">
        <f>IF(COUNTIFS('United Data'!$A$3:$A$3390,E$1,'United Data'!$C$3:$C$3390,$A1126)&gt;0,1,0)</f>
        <v>0</v>
      </c>
      <c r="F1126">
        <f>IF(COUNTIFS('United Data'!$A$3:$A$3390,F$1,'United Data'!$C$3:$C$3390,$A1126)&gt;0,1,0)</f>
        <v>0</v>
      </c>
      <c r="G1126">
        <f>IF(COUNTIFS('United Data'!$A$3:$A$3390,G$1,'United Data'!$C$3:$C$3390,$A1126)&gt;0,1,0)</f>
        <v>0</v>
      </c>
      <c r="H1126">
        <f>IF(COUNTIFS('United Data'!$A$3:$A$3390,H$1,'United Data'!$C$3:$C$3390,$A1126)&gt;0,1,0)</f>
        <v>0</v>
      </c>
      <c r="I1126">
        <f>IF(COUNTIFS('United Data'!$A$3:$A$3390,I$1,'United Data'!$C$3:$C$3390,$A1126)&gt;0,1,0)</f>
        <v>0</v>
      </c>
      <c r="J1126">
        <f>IF(COUNTIFS('United Data'!$A$3:$A$3390,J$1,'United Data'!$C$3:$C$3390,$A1126)&gt;0,1,0)</f>
        <v>0</v>
      </c>
      <c r="K1126">
        <f>IF(COUNTIFS('United Data'!$A$3:$A$3390,K$1,'United Data'!$C$3:$C$3390,$A1126)&gt;0,1,0)</f>
        <v>1</v>
      </c>
      <c r="L1126">
        <f>IF(COUNTIFS('United Data'!$A$3:$A$3390,L$1,'United Data'!$C$3:$C$3390,$A1126)&gt;0,1,0)</f>
        <v>0</v>
      </c>
      <c r="M1126">
        <f>IF(COUNTIFS('United Data'!$A$3:$A$3390,M$1,'United Data'!$C$3:$C$3390,$A1126)&gt;0,1,0)</f>
        <v>0</v>
      </c>
      <c r="N1126">
        <f>IF(COUNTIFS('United Data'!$A$3:$A$3390,N$1,'United Data'!$C$3:$C$3390,$A1126)&gt;0,1,0)</f>
        <v>0</v>
      </c>
      <c r="O1126">
        <f>IF(COUNTIFS('United Data'!$A$3:$A$3390,O$1,'United Data'!$C$3:$C$3390,$A1126)&gt;0,1,0)</f>
        <v>0</v>
      </c>
      <c r="P1126">
        <f>IF(COUNTIFS('United Data'!$A$3:$A$3390,P$1,'United Data'!$C$3:$C$3390,$A1126)&gt;0,1,0)</f>
        <v>0</v>
      </c>
      <c r="Q1126">
        <f>IF(COUNTIFS('United Data'!$A$3:$A$3390,Q$1,'United Data'!$C$3:$C$3390,$A1126)&gt;0,1,0)</f>
        <v>0</v>
      </c>
      <c r="R1126">
        <f>IF(COUNTIFS('United Data'!$A$3:$A$3390,R$1,'United Data'!$C$3:$C$3390,$A1126)&gt;0,1,0)</f>
        <v>0</v>
      </c>
      <c r="S1126">
        <f t="shared" si="34"/>
        <v>1</v>
      </c>
      <c r="T1126">
        <f t="shared" si="35"/>
        <v>1</v>
      </c>
    </row>
    <row r="1127" spans="1:20" x14ac:dyDescent="0.2">
      <c r="A1127" t="s">
        <v>1346</v>
      </c>
      <c r="B1127">
        <f>IF(COUNTIFS('United Data'!$A$3:$A$3390,B$1,'United Data'!$C$3:$C$3390,$A1127)&gt;0,1,0)</f>
        <v>0</v>
      </c>
      <c r="C1127">
        <f>IF(COUNTIFS('United Data'!$A$3:$A$3390,C$1,'United Data'!$C$3:$C$3390,$A1127)&gt;0,1,0)</f>
        <v>0</v>
      </c>
      <c r="D1127">
        <f>IF(COUNTIFS('United Data'!$A$3:$A$3390,D$1,'United Data'!$C$3:$C$3390,$A1127)&gt;0,1,0)</f>
        <v>0</v>
      </c>
      <c r="E1127">
        <f>IF(COUNTIFS('United Data'!$A$3:$A$3390,E$1,'United Data'!$C$3:$C$3390,$A1127)&gt;0,1,0)</f>
        <v>0</v>
      </c>
      <c r="F1127">
        <f>IF(COUNTIFS('United Data'!$A$3:$A$3390,F$1,'United Data'!$C$3:$C$3390,$A1127)&gt;0,1,0)</f>
        <v>0</v>
      </c>
      <c r="G1127">
        <f>IF(COUNTIFS('United Data'!$A$3:$A$3390,G$1,'United Data'!$C$3:$C$3390,$A1127)&gt;0,1,0)</f>
        <v>0</v>
      </c>
      <c r="H1127">
        <f>IF(COUNTIFS('United Data'!$A$3:$A$3390,H$1,'United Data'!$C$3:$C$3390,$A1127)&gt;0,1,0)</f>
        <v>0</v>
      </c>
      <c r="I1127">
        <f>IF(COUNTIFS('United Data'!$A$3:$A$3390,I$1,'United Data'!$C$3:$C$3390,$A1127)&gt;0,1,0)</f>
        <v>0</v>
      </c>
      <c r="J1127">
        <f>IF(COUNTIFS('United Data'!$A$3:$A$3390,J$1,'United Data'!$C$3:$C$3390,$A1127)&gt;0,1,0)</f>
        <v>0</v>
      </c>
      <c r="K1127">
        <f>IF(COUNTIFS('United Data'!$A$3:$A$3390,K$1,'United Data'!$C$3:$C$3390,$A1127)&gt;0,1,0)</f>
        <v>1</v>
      </c>
      <c r="L1127">
        <f>IF(COUNTIFS('United Data'!$A$3:$A$3390,L$1,'United Data'!$C$3:$C$3390,$A1127)&gt;0,1,0)</f>
        <v>0</v>
      </c>
      <c r="M1127">
        <f>IF(COUNTIFS('United Data'!$A$3:$A$3390,M$1,'United Data'!$C$3:$C$3390,$A1127)&gt;0,1,0)</f>
        <v>0</v>
      </c>
      <c r="N1127">
        <f>IF(COUNTIFS('United Data'!$A$3:$A$3390,N$1,'United Data'!$C$3:$C$3390,$A1127)&gt;0,1,0)</f>
        <v>0</v>
      </c>
      <c r="O1127">
        <f>IF(COUNTIFS('United Data'!$A$3:$A$3390,O$1,'United Data'!$C$3:$C$3390,$A1127)&gt;0,1,0)</f>
        <v>0</v>
      </c>
      <c r="P1127">
        <f>IF(COUNTIFS('United Data'!$A$3:$A$3390,P$1,'United Data'!$C$3:$C$3390,$A1127)&gt;0,1,0)</f>
        <v>0</v>
      </c>
      <c r="Q1127">
        <f>IF(COUNTIFS('United Data'!$A$3:$A$3390,Q$1,'United Data'!$C$3:$C$3390,$A1127)&gt;0,1,0)</f>
        <v>0</v>
      </c>
      <c r="R1127">
        <f>IF(COUNTIFS('United Data'!$A$3:$A$3390,R$1,'United Data'!$C$3:$C$3390,$A1127)&gt;0,1,0)</f>
        <v>0</v>
      </c>
      <c r="S1127">
        <f t="shared" si="34"/>
        <v>1</v>
      </c>
      <c r="T1127">
        <f t="shared" si="35"/>
        <v>1</v>
      </c>
    </row>
    <row r="1128" spans="1:20" x14ac:dyDescent="0.2">
      <c r="A1128" t="s">
        <v>1347</v>
      </c>
      <c r="B1128">
        <f>IF(COUNTIFS('United Data'!$A$3:$A$3390,B$1,'United Data'!$C$3:$C$3390,$A1128)&gt;0,1,0)</f>
        <v>0</v>
      </c>
      <c r="C1128">
        <f>IF(COUNTIFS('United Data'!$A$3:$A$3390,C$1,'United Data'!$C$3:$C$3390,$A1128)&gt;0,1,0)</f>
        <v>0</v>
      </c>
      <c r="D1128">
        <f>IF(COUNTIFS('United Data'!$A$3:$A$3390,D$1,'United Data'!$C$3:$C$3390,$A1128)&gt;0,1,0)</f>
        <v>0</v>
      </c>
      <c r="E1128">
        <f>IF(COUNTIFS('United Data'!$A$3:$A$3390,E$1,'United Data'!$C$3:$C$3390,$A1128)&gt;0,1,0)</f>
        <v>0</v>
      </c>
      <c r="F1128">
        <f>IF(COUNTIFS('United Data'!$A$3:$A$3390,F$1,'United Data'!$C$3:$C$3390,$A1128)&gt;0,1,0)</f>
        <v>0</v>
      </c>
      <c r="G1128">
        <f>IF(COUNTIFS('United Data'!$A$3:$A$3390,G$1,'United Data'!$C$3:$C$3390,$A1128)&gt;0,1,0)</f>
        <v>0</v>
      </c>
      <c r="H1128">
        <f>IF(COUNTIFS('United Data'!$A$3:$A$3390,H$1,'United Data'!$C$3:$C$3390,$A1128)&gt;0,1,0)</f>
        <v>0</v>
      </c>
      <c r="I1128">
        <f>IF(COUNTIFS('United Data'!$A$3:$A$3390,I$1,'United Data'!$C$3:$C$3390,$A1128)&gt;0,1,0)</f>
        <v>0</v>
      </c>
      <c r="J1128">
        <f>IF(COUNTIFS('United Data'!$A$3:$A$3390,J$1,'United Data'!$C$3:$C$3390,$A1128)&gt;0,1,0)</f>
        <v>0</v>
      </c>
      <c r="K1128">
        <f>IF(COUNTIFS('United Data'!$A$3:$A$3390,K$1,'United Data'!$C$3:$C$3390,$A1128)&gt;0,1,0)</f>
        <v>1</v>
      </c>
      <c r="L1128">
        <f>IF(COUNTIFS('United Data'!$A$3:$A$3390,L$1,'United Data'!$C$3:$C$3390,$A1128)&gt;0,1,0)</f>
        <v>0</v>
      </c>
      <c r="M1128">
        <f>IF(COUNTIFS('United Data'!$A$3:$A$3390,M$1,'United Data'!$C$3:$C$3390,$A1128)&gt;0,1,0)</f>
        <v>0</v>
      </c>
      <c r="N1128">
        <f>IF(COUNTIFS('United Data'!$A$3:$A$3390,N$1,'United Data'!$C$3:$C$3390,$A1128)&gt;0,1,0)</f>
        <v>0</v>
      </c>
      <c r="O1128">
        <f>IF(COUNTIFS('United Data'!$A$3:$A$3390,O$1,'United Data'!$C$3:$C$3390,$A1128)&gt;0,1,0)</f>
        <v>0</v>
      </c>
      <c r="P1128">
        <f>IF(COUNTIFS('United Data'!$A$3:$A$3390,P$1,'United Data'!$C$3:$C$3390,$A1128)&gt;0,1,0)</f>
        <v>0</v>
      </c>
      <c r="Q1128">
        <f>IF(COUNTIFS('United Data'!$A$3:$A$3390,Q$1,'United Data'!$C$3:$C$3390,$A1128)&gt;0,1,0)</f>
        <v>0</v>
      </c>
      <c r="R1128">
        <f>IF(COUNTIFS('United Data'!$A$3:$A$3390,R$1,'United Data'!$C$3:$C$3390,$A1128)&gt;0,1,0)</f>
        <v>0</v>
      </c>
      <c r="S1128">
        <f t="shared" si="34"/>
        <v>1</v>
      </c>
      <c r="T1128">
        <f t="shared" si="35"/>
        <v>1</v>
      </c>
    </row>
    <row r="1129" spans="1:20" x14ac:dyDescent="0.2">
      <c r="A1129" t="s">
        <v>1348</v>
      </c>
      <c r="B1129">
        <f>IF(COUNTIFS('United Data'!$A$3:$A$3390,B$1,'United Data'!$C$3:$C$3390,$A1129)&gt;0,1,0)</f>
        <v>0</v>
      </c>
      <c r="C1129">
        <f>IF(COUNTIFS('United Data'!$A$3:$A$3390,C$1,'United Data'!$C$3:$C$3390,$A1129)&gt;0,1,0)</f>
        <v>0</v>
      </c>
      <c r="D1129">
        <f>IF(COUNTIFS('United Data'!$A$3:$A$3390,D$1,'United Data'!$C$3:$C$3390,$A1129)&gt;0,1,0)</f>
        <v>0</v>
      </c>
      <c r="E1129">
        <f>IF(COUNTIFS('United Data'!$A$3:$A$3390,E$1,'United Data'!$C$3:$C$3390,$A1129)&gt;0,1,0)</f>
        <v>0</v>
      </c>
      <c r="F1129">
        <f>IF(COUNTIFS('United Data'!$A$3:$A$3390,F$1,'United Data'!$C$3:$C$3390,$A1129)&gt;0,1,0)</f>
        <v>0</v>
      </c>
      <c r="G1129">
        <f>IF(COUNTIFS('United Data'!$A$3:$A$3390,G$1,'United Data'!$C$3:$C$3390,$A1129)&gt;0,1,0)</f>
        <v>0</v>
      </c>
      <c r="H1129">
        <f>IF(COUNTIFS('United Data'!$A$3:$A$3390,H$1,'United Data'!$C$3:$C$3390,$A1129)&gt;0,1,0)</f>
        <v>0</v>
      </c>
      <c r="I1129">
        <f>IF(COUNTIFS('United Data'!$A$3:$A$3390,I$1,'United Data'!$C$3:$C$3390,$A1129)&gt;0,1,0)</f>
        <v>0</v>
      </c>
      <c r="J1129">
        <f>IF(COUNTIFS('United Data'!$A$3:$A$3390,J$1,'United Data'!$C$3:$C$3390,$A1129)&gt;0,1,0)</f>
        <v>0</v>
      </c>
      <c r="K1129">
        <f>IF(COUNTIFS('United Data'!$A$3:$A$3390,K$1,'United Data'!$C$3:$C$3390,$A1129)&gt;0,1,0)</f>
        <v>1</v>
      </c>
      <c r="L1129">
        <f>IF(COUNTIFS('United Data'!$A$3:$A$3390,L$1,'United Data'!$C$3:$C$3390,$A1129)&gt;0,1,0)</f>
        <v>0</v>
      </c>
      <c r="M1129">
        <f>IF(COUNTIFS('United Data'!$A$3:$A$3390,M$1,'United Data'!$C$3:$C$3390,$A1129)&gt;0,1,0)</f>
        <v>0</v>
      </c>
      <c r="N1129">
        <f>IF(COUNTIFS('United Data'!$A$3:$A$3390,N$1,'United Data'!$C$3:$C$3390,$A1129)&gt;0,1,0)</f>
        <v>0</v>
      </c>
      <c r="O1129">
        <f>IF(COUNTIFS('United Data'!$A$3:$A$3390,O$1,'United Data'!$C$3:$C$3390,$A1129)&gt;0,1,0)</f>
        <v>0</v>
      </c>
      <c r="P1129">
        <f>IF(COUNTIFS('United Data'!$A$3:$A$3390,P$1,'United Data'!$C$3:$C$3390,$A1129)&gt;0,1,0)</f>
        <v>0</v>
      </c>
      <c r="Q1129">
        <f>IF(COUNTIFS('United Data'!$A$3:$A$3390,Q$1,'United Data'!$C$3:$C$3390,$A1129)&gt;0,1,0)</f>
        <v>0</v>
      </c>
      <c r="R1129">
        <f>IF(COUNTIFS('United Data'!$A$3:$A$3390,R$1,'United Data'!$C$3:$C$3390,$A1129)&gt;0,1,0)</f>
        <v>0</v>
      </c>
      <c r="S1129">
        <f t="shared" si="34"/>
        <v>1</v>
      </c>
      <c r="T1129">
        <f t="shared" si="35"/>
        <v>1</v>
      </c>
    </row>
    <row r="1130" spans="1:20" x14ac:dyDescent="0.2">
      <c r="A1130" t="s">
        <v>1349</v>
      </c>
      <c r="B1130">
        <f>IF(COUNTIFS('United Data'!$A$3:$A$3390,B$1,'United Data'!$C$3:$C$3390,$A1130)&gt;0,1,0)</f>
        <v>0</v>
      </c>
      <c r="C1130">
        <f>IF(COUNTIFS('United Data'!$A$3:$A$3390,C$1,'United Data'!$C$3:$C$3390,$A1130)&gt;0,1,0)</f>
        <v>0</v>
      </c>
      <c r="D1130">
        <f>IF(COUNTIFS('United Data'!$A$3:$A$3390,D$1,'United Data'!$C$3:$C$3390,$A1130)&gt;0,1,0)</f>
        <v>0</v>
      </c>
      <c r="E1130">
        <f>IF(COUNTIFS('United Data'!$A$3:$A$3390,E$1,'United Data'!$C$3:$C$3390,$A1130)&gt;0,1,0)</f>
        <v>0</v>
      </c>
      <c r="F1130">
        <f>IF(COUNTIFS('United Data'!$A$3:$A$3390,F$1,'United Data'!$C$3:$C$3390,$A1130)&gt;0,1,0)</f>
        <v>0</v>
      </c>
      <c r="G1130">
        <f>IF(COUNTIFS('United Data'!$A$3:$A$3390,G$1,'United Data'!$C$3:$C$3390,$A1130)&gt;0,1,0)</f>
        <v>0</v>
      </c>
      <c r="H1130">
        <f>IF(COUNTIFS('United Data'!$A$3:$A$3390,H$1,'United Data'!$C$3:$C$3390,$A1130)&gt;0,1,0)</f>
        <v>0</v>
      </c>
      <c r="I1130">
        <f>IF(COUNTIFS('United Data'!$A$3:$A$3390,I$1,'United Data'!$C$3:$C$3390,$A1130)&gt;0,1,0)</f>
        <v>0</v>
      </c>
      <c r="J1130">
        <f>IF(COUNTIFS('United Data'!$A$3:$A$3390,J$1,'United Data'!$C$3:$C$3390,$A1130)&gt;0,1,0)</f>
        <v>0</v>
      </c>
      <c r="K1130">
        <f>IF(COUNTIFS('United Data'!$A$3:$A$3390,K$1,'United Data'!$C$3:$C$3390,$A1130)&gt;0,1,0)</f>
        <v>1</v>
      </c>
      <c r="L1130">
        <f>IF(COUNTIFS('United Data'!$A$3:$A$3390,L$1,'United Data'!$C$3:$C$3390,$A1130)&gt;0,1,0)</f>
        <v>0</v>
      </c>
      <c r="M1130">
        <f>IF(COUNTIFS('United Data'!$A$3:$A$3390,M$1,'United Data'!$C$3:$C$3390,$A1130)&gt;0,1,0)</f>
        <v>0</v>
      </c>
      <c r="N1130">
        <f>IF(COUNTIFS('United Data'!$A$3:$A$3390,N$1,'United Data'!$C$3:$C$3390,$A1130)&gt;0,1,0)</f>
        <v>0</v>
      </c>
      <c r="O1130">
        <f>IF(COUNTIFS('United Data'!$A$3:$A$3390,O$1,'United Data'!$C$3:$C$3390,$A1130)&gt;0,1,0)</f>
        <v>0</v>
      </c>
      <c r="P1130">
        <f>IF(COUNTIFS('United Data'!$A$3:$A$3390,P$1,'United Data'!$C$3:$C$3390,$A1130)&gt;0,1,0)</f>
        <v>0</v>
      </c>
      <c r="Q1130">
        <f>IF(COUNTIFS('United Data'!$A$3:$A$3390,Q$1,'United Data'!$C$3:$C$3390,$A1130)&gt;0,1,0)</f>
        <v>0</v>
      </c>
      <c r="R1130">
        <f>IF(COUNTIFS('United Data'!$A$3:$A$3390,R$1,'United Data'!$C$3:$C$3390,$A1130)&gt;0,1,0)</f>
        <v>0</v>
      </c>
      <c r="S1130">
        <f t="shared" si="34"/>
        <v>1</v>
      </c>
      <c r="T1130">
        <f t="shared" si="35"/>
        <v>1</v>
      </c>
    </row>
    <row r="1131" spans="1:20" x14ac:dyDescent="0.2">
      <c r="A1131" t="s">
        <v>1350</v>
      </c>
      <c r="B1131">
        <f>IF(COUNTIFS('United Data'!$A$3:$A$3390,B$1,'United Data'!$C$3:$C$3390,$A1131)&gt;0,1,0)</f>
        <v>0</v>
      </c>
      <c r="C1131">
        <f>IF(COUNTIFS('United Data'!$A$3:$A$3390,C$1,'United Data'!$C$3:$C$3390,$A1131)&gt;0,1,0)</f>
        <v>0</v>
      </c>
      <c r="D1131">
        <f>IF(COUNTIFS('United Data'!$A$3:$A$3390,D$1,'United Data'!$C$3:$C$3390,$A1131)&gt;0,1,0)</f>
        <v>0</v>
      </c>
      <c r="E1131">
        <f>IF(COUNTIFS('United Data'!$A$3:$A$3390,E$1,'United Data'!$C$3:$C$3390,$A1131)&gt;0,1,0)</f>
        <v>0</v>
      </c>
      <c r="F1131">
        <f>IF(COUNTIFS('United Data'!$A$3:$A$3390,F$1,'United Data'!$C$3:$C$3390,$A1131)&gt;0,1,0)</f>
        <v>0</v>
      </c>
      <c r="G1131">
        <f>IF(COUNTIFS('United Data'!$A$3:$A$3390,G$1,'United Data'!$C$3:$C$3390,$A1131)&gt;0,1,0)</f>
        <v>0</v>
      </c>
      <c r="H1131">
        <f>IF(COUNTIFS('United Data'!$A$3:$A$3390,H$1,'United Data'!$C$3:$C$3390,$A1131)&gt;0,1,0)</f>
        <v>0</v>
      </c>
      <c r="I1131">
        <f>IF(COUNTIFS('United Data'!$A$3:$A$3390,I$1,'United Data'!$C$3:$C$3390,$A1131)&gt;0,1,0)</f>
        <v>0</v>
      </c>
      <c r="J1131">
        <f>IF(COUNTIFS('United Data'!$A$3:$A$3390,J$1,'United Data'!$C$3:$C$3390,$A1131)&gt;0,1,0)</f>
        <v>0</v>
      </c>
      <c r="K1131">
        <f>IF(COUNTIFS('United Data'!$A$3:$A$3390,K$1,'United Data'!$C$3:$C$3390,$A1131)&gt;0,1,0)</f>
        <v>1</v>
      </c>
      <c r="L1131">
        <f>IF(COUNTIFS('United Data'!$A$3:$A$3390,L$1,'United Data'!$C$3:$C$3390,$A1131)&gt;0,1,0)</f>
        <v>0</v>
      </c>
      <c r="M1131">
        <f>IF(COUNTIFS('United Data'!$A$3:$A$3390,M$1,'United Data'!$C$3:$C$3390,$A1131)&gt;0,1,0)</f>
        <v>0</v>
      </c>
      <c r="N1131">
        <f>IF(COUNTIFS('United Data'!$A$3:$A$3390,N$1,'United Data'!$C$3:$C$3390,$A1131)&gt;0,1,0)</f>
        <v>0</v>
      </c>
      <c r="O1131">
        <f>IF(COUNTIFS('United Data'!$A$3:$A$3390,O$1,'United Data'!$C$3:$C$3390,$A1131)&gt;0,1,0)</f>
        <v>0</v>
      </c>
      <c r="P1131">
        <f>IF(COUNTIFS('United Data'!$A$3:$A$3390,P$1,'United Data'!$C$3:$C$3390,$A1131)&gt;0,1,0)</f>
        <v>0</v>
      </c>
      <c r="Q1131">
        <f>IF(COUNTIFS('United Data'!$A$3:$A$3390,Q$1,'United Data'!$C$3:$C$3390,$A1131)&gt;0,1,0)</f>
        <v>0</v>
      </c>
      <c r="R1131">
        <f>IF(COUNTIFS('United Data'!$A$3:$A$3390,R$1,'United Data'!$C$3:$C$3390,$A1131)&gt;0,1,0)</f>
        <v>0</v>
      </c>
      <c r="S1131">
        <f t="shared" si="34"/>
        <v>1</v>
      </c>
      <c r="T1131">
        <f t="shared" si="35"/>
        <v>1</v>
      </c>
    </row>
    <row r="1132" spans="1:20" x14ac:dyDescent="0.2">
      <c r="A1132" t="s">
        <v>1351</v>
      </c>
      <c r="B1132">
        <f>IF(COUNTIFS('United Data'!$A$3:$A$3390,B$1,'United Data'!$C$3:$C$3390,$A1132)&gt;0,1,0)</f>
        <v>0</v>
      </c>
      <c r="C1132">
        <f>IF(COUNTIFS('United Data'!$A$3:$A$3390,C$1,'United Data'!$C$3:$C$3390,$A1132)&gt;0,1,0)</f>
        <v>0</v>
      </c>
      <c r="D1132">
        <f>IF(COUNTIFS('United Data'!$A$3:$A$3390,D$1,'United Data'!$C$3:$C$3390,$A1132)&gt;0,1,0)</f>
        <v>0</v>
      </c>
      <c r="E1132">
        <f>IF(COUNTIFS('United Data'!$A$3:$A$3390,E$1,'United Data'!$C$3:$C$3390,$A1132)&gt;0,1,0)</f>
        <v>0</v>
      </c>
      <c r="F1132">
        <f>IF(COUNTIFS('United Data'!$A$3:$A$3390,F$1,'United Data'!$C$3:$C$3390,$A1132)&gt;0,1,0)</f>
        <v>0</v>
      </c>
      <c r="G1132">
        <f>IF(COUNTIFS('United Data'!$A$3:$A$3390,G$1,'United Data'!$C$3:$C$3390,$A1132)&gt;0,1,0)</f>
        <v>0</v>
      </c>
      <c r="H1132">
        <f>IF(COUNTIFS('United Data'!$A$3:$A$3390,H$1,'United Data'!$C$3:$C$3390,$A1132)&gt;0,1,0)</f>
        <v>0</v>
      </c>
      <c r="I1132">
        <f>IF(COUNTIFS('United Data'!$A$3:$A$3390,I$1,'United Data'!$C$3:$C$3390,$A1132)&gt;0,1,0)</f>
        <v>0</v>
      </c>
      <c r="J1132">
        <f>IF(COUNTIFS('United Data'!$A$3:$A$3390,J$1,'United Data'!$C$3:$C$3390,$A1132)&gt;0,1,0)</f>
        <v>0</v>
      </c>
      <c r="K1132">
        <f>IF(COUNTIFS('United Data'!$A$3:$A$3390,K$1,'United Data'!$C$3:$C$3390,$A1132)&gt;0,1,0)</f>
        <v>1</v>
      </c>
      <c r="L1132">
        <f>IF(COUNTIFS('United Data'!$A$3:$A$3390,L$1,'United Data'!$C$3:$C$3390,$A1132)&gt;0,1,0)</f>
        <v>0</v>
      </c>
      <c r="M1132">
        <f>IF(COUNTIFS('United Data'!$A$3:$A$3390,M$1,'United Data'!$C$3:$C$3390,$A1132)&gt;0,1,0)</f>
        <v>0</v>
      </c>
      <c r="N1132">
        <f>IF(COUNTIFS('United Data'!$A$3:$A$3390,N$1,'United Data'!$C$3:$C$3390,$A1132)&gt;0,1,0)</f>
        <v>0</v>
      </c>
      <c r="O1132">
        <f>IF(COUNTIFS('United Data'!$A$3:$A$3390,O$1,'United Data'!$C$3:$C$3390,$A1132)&gt;0,1,0)</f>
        <v>0</v>
      </c>
      <c r="P1132">
        <f>IF(COUNTIFS('United Data'!$A$3:$A$3390,P$1,'United Data'!$C$3:$C$3390,$A1132)&gt;0,1,0)</f>
        <v>0</v>
      </c>
      <c r="Q1132">
        <f>IF(COUNTIFS('United Data'!$A$3:$A$3390,Q$1,'United Data'!$C$3:$C$3390,$A1132)&gt;0,1,0)</f>
        <v>0</v>
      </c>
      <c r="R1132">
        <f>IF(COUNTIFS('United Data'!$A$3:$A$3390,R$1,'United Data'!$C$3:$C$3390,$A1132)&gt;0,1,0)</f>
        <v>0</v>
      </c>
      <c r="S1132">
        <f t="shared" si="34"/>
        <v>1</v>
      </c>
      <c r="T1132">
        <f t="shared" si="35"/>
        <v>1</v>
      </c>
    </row>
    <row r="1133" spans="1:20" x14ac:dyDescent="0.2">
      <c r="A1133" t="s">
        <v>1352</v>
      </c>
      <c r="B1133">
        <f>IF(COUNTIFS('United Data'!$A$3:$A$3390,B$1,'United Data'!$C$3:$C$3390,$A1133)&gt;0,1,0)</f>
        <v>0</v>
      </c>
      <c r="C1133">
        <f>IF(COUNTIFS('United Data'!$A$3:$A$3390,C$1,'United Data'!$C$3:$C$3390,$A1133)&gt;0,1,0)</f>
        <v>0</v>
      </c>
      <c r="D1133">
        <f>IF(COUNTIFS('United Data'!$A$3:$A$3390,D$1,'United Data'!$C$3:$C$3390,$A1133)&gt;0,1,0)</f>
        <v>0</v>
      </c>
      <c r="E1133">
        <f>IF(COUNTIFS('United Data'!$A$3:$A$3390,E$1,'United Data'!$C$3:$C$3390,$A1133)&gt;0,1,0)</f>
        <v>0</v>
      </c>
      <c r="F1133">
        <f>IF(COUNTIFS('United Data'!$A$3:$A$3390,F$1,'United Data'!$C$3:$C$3390,$A1133)&gt;0,1,0)</f>
        <v>0</v>
      </c>
      <c r="G1133">
        <f>IF(COUNTIFS('United Data'!$A$3:$A$3390,G$1,'United Data'!$C$3:$C$3390,$A1133)&gt;0,1,0)</f>
        <v>0</v>
      </c>
      <c r="H1133">
        <f>IF(COUNTIFS('United Data'!$A$3:$A$3390,H$1,'United Data'!$C$3:$C$3390,$A1133)&gt;0,1,0)</f>
        <v>0</v>
      </c>
      <c r="I1133">
        <f>IF(COUNTIFS('United Data'!$A$3:$A$3390,I$1,'United Data'!$C$3:$C$3390,$A1133)&gt;0,1,0)</f>
        <v>0</v>
      </c>
      <c r="J1133">
        <f>IF(COUNTIFS('United Data'!$A$3:$A$3390,J$1,'United Data'!$C$3:$C$3390,$A1133)&gt;0,1,0)</f>
        <v>0</v>
      </c>
      <c r="K1133">
        <f>IF(COUNTIFS('United Data'!$A$3:$A$3390,K$1,'United Data'!$C$3:$C$3390,$A1133)&gt;0,1,0)</f>
        <v>0</v>
      </c>
      <c r="L1133">
        <f>IF(COUNTIFS('United Data'!$A$3:$A$3390,L$1,'United Data'!$C$3:$C$3390,$A1133)&gt;0,1,0)</f>
        <v>1</v>
      </c>
      <c r="M1133">
        <f>IF(COUNTIFS('United Data'!$A$3:$A$3390,M$1,'United Data'!$C$3:$C$3390,$A1133)&gt;0,1,0)</f>
        <v>0</v>
      </c>
      <c r="N1133">
        <f>IF(COUNTIFS('United Data'!$A$3:$A$3390,N$1,'United Data'!$C$3:$C$3390,$A1133)&gt;0,1,0)</f>
        <v>0</v>
      </c>
      <c r="O1133">
        <f>IF(COUNTIFS('United Data'!$A$3:$A$3390,O$1,'United Data'!$C$3:$C$3390,$A1133)&gt;0,1,0)</f>
        <v>0</v>
      </c>
      <c r="P1133">
        <f>IF(COUNTIFS('United Data'!$A$3:$A$3390,P$1,'United Data'!$C$3:$C$3390,$A1133)&gt;0,1,0)</f>
        <v>0</v>
      </c>
      <c r="Q1133">
        <f>IF(COUNTIFS('United Data'!$A$3:$A$3390,Q$1,'United Data'!$C$3:$C$3390,$A1133)&gt;0,1,0)</f>
        <v>0</v>
      </c>
      <c r="R1133">
        <f>IF(COUNTIFS('United Data'!$A$3:$A$3390,R$1,'United Data'!$C$3:$C$3390,$A1133)&gt;0,1,0)</f>
        <v>0</v>
      </c>
      <c r="S1133">
        <f t="shared" si="34"/>
        <v>1</v>
      </c>
      <c r="T1133">
        <f t="shared" si="35"/>
        <v>1</v>
      </c>
    </row>
    <row r="1134" spans="1:20" x14ac:dyDescent="0.2">
      <c r="A1134" t="s">
        <v>1353</v>
      </c>
      <c r="B1134">
        <f>IF(COUNTIFS('United Data'!$A$3:$A$3390,B$1,'United Data'!$C$3:$C$3390,$A1134)&gt;0,1,0)</f>
        <v>0</v>
      </c>
      <c r="C1134">
        <f>IF(COUNTIFS('United Data'!$A$3:$A$3390,C$1,'United Data'!$C$3:$C$3390,$A1134)&gt;0,1,0)</f>
        <v>0</v>
      </c>
      <c r="D1134">
        <f>IF(COUNTIFS('United Data'!$A$3:$A$3390,D$1,'United Data'!$C$3:$C$3390,$A1134)&gt;0,1,0)</f>
        <v>0</v>
      </c>
      <c r="E1134">
        <f>IF(COUNTIFS('United Data'!$A$3:$A$3390,E$1,'United Data'!$C$3:$C$3390,$A1134)&gt;0,1,0)</f>
        <v>0</v>
      </c>
      <c r="F1134">
        <f>IF(COUNTIFS('United Data'!$A$3:$A$3390,F$1,'United Data'!$C$3:$C$3390,$A1134)&gt;0,1,0)</f>
        <v>0</v>
      </c>
      <c r="G1134">
        <f>IF(COUNTIFS('United Data'!$A$3:$A$3390,G$1,'United Data'!$C$3:$C$3390,$A1134)&gt;0,1,0)</f>
        <v>0</v>
      </c>
      <c r="H1134">
        <f>IF(COUNTIFS('United Data'!$A$3:$A$3390,H$1,'United Data'!$C$3:$C$3390,$A1134)&gt;0,1,0)</f>
        <v>0</v>
      </c>
      <c r="I1134">
        <f>IF(COUNTIFS('United Data'!$A$3:$A$3390,I$1,'United Data'!$C$3:$C$3390,$A1134)&gt;0,1,0)</f>
        <v>0</v>
      </c>
      <c r="J1134">
        <f>IF(COUNTIFS('United Data'!$A$3:$A$3390,J$1,'United Data'!$C$3:$C$3390,$A1134)&gt;0,1,0)</f>
        <v>0</v>
      </c>
      <c r="K1134">
        <f>IF(COUNTIFS('United Data'!$A$3:$A$3390,K$1,'United Data'!$C$3:$C$3390,$A1134)&gt;0,1,0)</f>
        <v>0</v>
      </c>
      <c r="L1134">
        <f>IF(COUNTIFS('United Data'!$A$3:$A$3390,L$1,'United Data'!$C$3:$C$3390,$A1134)&gt;0,1,0)</f>
        <v>1</v>
      </c>
      <c r="M1134">
        <f>IF(COUNTIFS('United Data'!$A$3:$A$3390,M$1,'United Data'!$C$3:$C$3390,$A1134)&gt;0,1,0)</f>
        <v>0</v>
      </c>
      <c r="N1134">
        <f>IF(COUNTIFS('United Data'!$A$3:$A$3390,N$1,'United Data'!$C$3:$C$3390,$A1134)&gt;0,1,0)</f>
        <v>0</v>
      </c>
      <c r="O1134">
        <f>IF(COUNTIFS('United Data'!$A$3:$A$3390,O$1,'United Data'!$C$3:$C$3390,$A1134)&gt;0,1,0)</f>
        <v>0</v>
      </c>
      <c r="P1134">
        <f>IF(COUNTIFS('United Data'!$A$3:$A$3390,P$1,'United Data'!$C$3:$C$3390,$A1134)&gt;0,1,0)</f>
        <v>0</v>
      </c>
      <c r="Q1134">
        <f>IF(COUNTIFS('United Data'!$A$3:$A$3390,Q$1,'United Data'!$C$3:$C$3390,$A1134)&gt;0,1,0)</f>
        <v>0</v>
      </c>
      <c r="R1134">
        <f>IF(COUNTIFS('United Data'!$A$3:$A$3390,R$1,'United Data'!$C$3:$C$3390,$A1134)&gt;0,1,0)</f>
        <v>0</v>
      </c>
      <c r="S1134">
        <f t="shared" si="34"/>
        <v>1</v>
      </c>
      <c r="T1134">
        <f t="shared" si="35"/>
        <v>1</v>
      </c>
    </row>
    <row r="1135" spans="1:20" x14ac:dyDescent="0.2">
      <c r="A1135" t="s">
        <v>1355</v>
      </c>
      <c r="B1135">
        <f>IF(COUNTIFS('United Data'!$A$3:$A$3390,B$1,'United Data'!$C$3:$C$3390,$A1135)&gt;0,1,0)</f>
        <v>0</v>
      </c>
      <c r="C1135">
        <f>IF(COUNTIFS('United Data'!$A$3:$A$3390,C$1,'United Data'!$C$3:$C$3390,$A1135)&gt;0,1,0)</f>
        <v>0</v>
      </c>
      <c r="D1135">
        <f>IF(COUNTIFS('United Data'!$A$3:$A$3390,D$1,'United Data'!$C$3:$C$3390,$A1135)&gt;0,1,0)</f>
        <v>0</v>
      </c>
      <c r="E1135">
        <f>IF(COUNTIFS('United Data'!$A$3:$A$3390,E$1,'United Data'!$C$3:$C$3390,$A1135)&gt;0,1,0)</f>
        <v>0</v>
      </c>
      <c r="F1135">
        <f>IF(COUNTIFS('United Data'!$A$3:$A$3390,F$1,'United Data'!$C$3:$C$3390,$A1135)&gt;0,1,0)</f>
        <v>0</v>
      </c>
      <c r="G1135">
        <f>IF(COUNTIFS('United Data'!$A$3:$A$3390,G$1,'United Data'!$C$3:$C$3390,$A1135)&gt;0,1,0)</f>
        <v>0</v>
      </c>
      <c r="H1135">
        <f>IF(COUNTIFS('United Data'!$A$3:$A$3390,H$1,'United Data'!$C$3:$C$3390,$A1135)&gt;0,1,0)</f>
        <v>0</v>
      </c>
      <c r="I1135">
        <f>IF(COUNTIFS('United Data'!$A$3:$A$3390,I$1,'United Data'!$C$3:$C$3390,$A1135)&gt;0,1,0)</f>
        <v>0</v>
      </c>
      <c r="J1135">
        <f>IF(COUNTIFS('United Data'!$A$3:$A$3390,J$1,'United Data'!$C$3:$C$3390,$A1135)&gt;0,1,0)</f>
        <v>0</v>
      </c>
      <c r="K1135">
        <f>IF(COUNTIFS('United Data'!$A$3:$A$3390,K$1,'United Data'!$C$3:$C$3390,$A1135)&gt;0,1,0)</f>
        <v>0</v>
      </c>
      <c r="L1135">
        <f>IF(COUNTIFS('United Data'!$A$3:$A$3390,L$1,'United Data'!$C$3:$C$3390,$A1135)&gt;0,1,0)</f>
        <v>1</v>
      </c>
      <c r="M1135">
        <f>IF(COUNTIFS('United Data'!$A$3:$A$3390,M$1,'United Data'!$C$3:$C$3390,$A1135)&gt;0,1,0)</f>
        <v>0</v>
      </c>
      <c r="N1135">
        <f>IF(COUNTIFS('United Data'!$A$3:$A$3390,N$1,'United Data'!$C$3:$C$3390,$A1135)&gt;0,1,0)</f>
        <v>0</v>
      </c>
      <c r="O1135">
        <f>IF(COUNTIFS('United Data'!$A$3:$A$3390,O$1,'United Data'!$C$3:$C$3390,$A1135)&gt;0,1,0)</f>
        <v>0</v>
      </c>
      <c r="P1135">
        <f>IF(COUNTIFS('United Data'!$A$3:$A$3390,P$1,'United Data'!$C$3:$C$3390,$A1135)&gt;0,1,0)</f>
        <v>0</v>
      </c>
      <c r="Q1135">
        <f>IF(COUNTIFS('United Data'!$A$3:$A$3390,Q$1,'United Data'!$C$3:$C$3390,$A1135)&gt;0,1,0)</f>
        <v>0</v>
      </c>
      <c r="R1135">
        <f>IF(COUNTIFS('United Data'!$A$3:$A$3390,R$1,'United Data'!$C$3:$C$3390,$A1135)&gt;0,1,0)</f>
        <v>0</v>
      </c>
      <c r="S1135">
        <f t="shared" si="34"/>
        <v>1</v>
      </c>
      <c r="T1135">
        <f t="shared" si="35"/>
        <v>1</v>
      </c>
    </row>
    <row r="1136" spans="1:20" x14ac:dyDescent="0.2">
      <c r="A1136" t="s">
        <v>1356</v>
      </c>
      <c r="B1136">
        <f>IF(COUNTIFS('United Data'!$A$3:$A$3390,B$1,'United Data'!$C$3:$C$3390,$A1136)&gt;0,1,0)</f>
        <v>0</v>
      </c>
      <c r="C1136">
        <f>IF(COUNTIFS('United Data'!$A$3:$A$3390,C$1,'United Data'!$C$3:$C$3390,$A1136)&gt;0,1,0)</f>
        <v>0</v>
      </c>
      <c r="D1136">
        <f>IF(COUNTIFS('United Data'!$A$3:$A$3390,D$1,'United Data'!$C$3:$C$3390,$A1136)&gt;0,1,0)</f>
        <v>0</v>
      </c>
      <c r="E1136">
        <f>IF(COUNTIFS('United Data'!$A$3:$A$3390,E$1,'United Data'!$C$3:$C$3390,$A1136)&gt;0,1,0)</f>
        <v>0</v>
      </c>
      <c r="F1136">
        <f>IF(COUNTIFS('United Data'!$A$3:$A$3390,F$1,'United Data'!$C$3:$C$3390,$A1136)&gt;0,1,0)</f>
        <v>0</v>
      </c>
      <c r="G1136">
        <f>IF(COUNTIFS('United Data'!$A$3:$A$3390,G$1,'United Data'!$C$3:$C$3390,$A1136)&gt;0,1,0)</f>
        <v>0</v>
      </c>
      <c r="H1136">
        <f>IF(COUNTIFS('United Data'!$A$3:$A$3390,H$1,'United Data'!$C$3:$C$3390,$A1136)&gt;0,1,0)</f>
        <v>0</v>
      </c>
      <c r="I1136">
        <f>IF(COUNTIFS('United Data'!$A$3:$A$3390,I$1,'United Data'!$C$3:$C$3390,$A1136)&gt;0,1,0)</f>
        <v>0</v>
      </c>
      <c r="J1136">
        <f>IF(COUNTIFS('United Data'!$A$3:$A$3390,J$1,'United Data'!$C$3:$C$3390,$A1136)&gt;0,1,0)</f>
        <v>0</v>
      </c>
      <c r="K1136">
        <f>IF(COUNTIFS('United Data'!$A$3:$A$3390,K$1,'United Data'!$C$3:$C$3390,$A1136)&gt;0,1,0)</f>
        <v>0</v>
      </c>
      <c r="L1136">
        <f>IF(COUNTIFS('United Data'!$A$3:$A$3390,L$1,'United Data'!$C$3:$C$3390,$A1136)&gt;0,1,0)</f>
        <v>1</v>
      </c>
      <c r="M1136">
        <f>IF(COUNTIFS('United Data'!$A$3:$A$3390,M$1,'United Data'!$C$3:$C$3390,$A1136)&gt;0,1,0)</f>
        <v>0</v>
      </c>
      <c r="N1136">
        <f>IF(COUNTIFS('United Data'!$A$3:$A$3390,N$1,'United Data'!$C$3:$C$3390,$A1136)&gt;0,1,0)</f>
        <v>0</v>
      </c>
      <c r="O1136">
        <f>IF(COUNTIFS('United Data'!$A$3:$A$3390,O$1,'United Data'!$C$3:$C$3390,$A1136)&gt;0,1,0)</f>
        <v>0</v>
      </c>
      <c r="P1136">
        <f>IF(COUNTIFS('United Data'!$A$3:$A$3390,P$1,'United Data'!$C$3:$C$3390,$A1136)&gt;0,1,0)</f>
        <v>0</v>
      </c>
      <c r="Q1136">
        <f>IF(COUNTIFS('United Data'!$A$3:$A$3390,Q$1,'United Data'!$C$3:$C$3390,$A1136)&gt;0,1,0)</f>
        <v>0</v>
      </c>
      <c r="R1136">
        <f>IF(COUNTIFS('United Data'!$A$3:$A$3390,R$1,'United Data'!$C$3:$C$3390,$A1136)&gt;0,1,0)</f>
        <v>0</v>
      </c>
      <c r="S1136">
        <f t="shared" si="34"/>
        <v>1</v>
      </c>
      <c r="T1136">
        <f t="shared" si="35"/>
        <v>1</v>
      </c>
    </row>
    <row r="1137" spans="1:20" x14ac:dyDescent="0.2">
      <c r="A1137" t="s">
        <v>1357</v>
      </c>
      <c r="B1137">
        <f>IF(COUNTIFS('United Data'!$A$3:$A$3390,B$1,'United Data'!$C$3:$C$3390,$A1137)&gt;0,1,0)</f>
        <v>0</v>
      </c>
      <c r="C1137">
        <f>IF(COUNTIFS('United Data'!$A$3:$A$3390,C$1,'United Data'!$C$3:$C$3390,$A1137)&gt;0,1,0)</f>
        <v>0</v>
      </c>
      <c r="D1137">
        <f>IF(COUNTIFS('United Data'!$A$3:$A$3390,D$1,'United Data'!$C$3:$C$3390,$A1137)&gt;0,1,0)</f>
        <v>0</v>
      </c>
      <c r="E1137">
        <f>IF(COUNTIFS('United Data'!$A$3:$A$3390,E$1,'United Data'!$C$3:$C$3390,$A1137)&gt;0,1,0)</f>
        <v>0</v>
      </c>
      <c r="F1137">
        <f>IF(COUNTIFS('United Data'!$A$3:$A$3390,F$1,'United Data'!$C$3:$C$3390,$A1137)&gt;0,1,0)</f>
        <v>0</v>
      </c>
      <c r="G1137">
        <f>IF(COUNTIFS('United Data'!$A$3:$A$3390,G$1,'United Data'!$C$3:$C$3390,$A1137)&gt;0,1,0)</f>
        <v>0</v>
      </c>
      <c r="H1137">
        <f>IF(COUNTIFS('United Data'!$A$3:$A$3390,H$1,'United Data'!$C$3:$C$3390,$A1137)&gt;0,1,0)</f>
        <v>0</v>
      </c>
      <c r="I1137">
        <f>IF(COUNTIFS('United Data'!$A$3:$A$3390,I$1,'United Data'!$C$3:$C$3390,$A1137)&gt;0,1,0)</f>
        <v>0</v>
      </c>
      <c r="J1137">
        <f>IF(COUNTIFS('United Data'!$A$3:$A$3390,J$1,'United Data'!$C$3:$C$3390,$A1137)&gt;0,1,0)</f>
        <v>0</v>
      </c>
      <c r="K1137">
        <f>IF(COUNTIFS('United Data'!$A$3:$A$3390,K$1,'United Data'!$C$3:$C$3390,$A1137)&gt;0,1,0)</f>
        <v>0</v>
      </c>
      <c r="L1137">
        <f>IF(COUNTIFS('United Data'!$A$3:$A$3390,L$1,'United Data'!$C$3:$C$3390,$A1137)&gt;0,1,0)</f>
        <v>1</v>
      </c>
      <c r="M1137">
        <f>IF(COUNTIFS('United Data'!$A$3:$A$3390,M$1,'United Data'!$C$3:$C$3390,$A1137)&gt;0,1,0)</f>
        <v>0</v>
      </c>
      <c r="N1137">
        <f>IF(COUNTIFS('United Data'!$A$3:$A$3390,N$1,'United Data'!$C$3:$C$3390,$A1137)&gt;0,1,0)</f>
        <v>0</v>
      </c>
      <c r="O1137">
        <f>IF(COUNTIFS('United Data'!$A$3:$A$3390,O$1,'United Data'!$C$3:$C$3390,$A1137)&gt;0,1,0)</f>
        <v>0</v>
      </c>
      <c r="P1137">
        <f>IF(COUNTIFS('United Data'!$A$3:$A$3390,P$1,'United Data'!$C$3:$C$3390,$A1137)&gt;0,1,0)</f>
        <v>0</v>
      </c>
      <c r="Q1137">
        <f>IF(COUNTIFS('United Data'!$A$3:$A$3390,Q$1,'United Data'!$C$3:$C$3390,$A1137)&gt;0,1,0)</f>
        <v>0</v>
      </c>
      <c r="R1137">
        <f>IF(COUNTIFS('United Data'!$A$3:$A$3390,R$1,'United Data'!$C$3:$C$3390,$A1137)&gt;0,1,0)</f>
        <v>0</v>
      </c>
      <c r="S1137">
        <f t="shared" si="34"/>
        <v>1</v>
      </c>
      <c r="T1137">
        <f t="shared" si="35"/>
        <v>1</v>
      </c>
    </row>
    <row r="1138" spans="1:20" x14ac:dyDescent="0.2">
      <c r="A1138" t="s">
        <v>1358</v>
      </c>
      <c r="B1138">
        <f>IF(COUNTIFS('United Data'!$A$3:$A$3390,B$1,'United Data'!$C$3:$C$3390,$A1138)&gt;0,1,0)</f>
        <v>0</v>
      </c>
      <c r="C1138">
        <f>IF(COUNTIFS('United Data'!$A$3:$A$3390,C$1,'United Data'!$C$3:$C$3390,$A1138)&gt;0,1,0)</f>
        <v>0</v>
      </c>
      <c r="D1138">
        <f>IF(COUNTIFS('United Data'!$A$3:$A$3390,D$1,'United Data'!$C$3:$C$3390,$A1138)&gt;0,1,0)</f>
        <v>0</v>
      </c>
      <c r="E1138">
        <f>IF(COUNTIFS('United Data'!$A$3:$A$3390,E$1,'United Data'!$C$3:$C$3390,$A1138)&gt;0,1,0)</f>
        <v>0</v>
      </c>
      <c r="F1138">
        <f>IF(COUNTIFS('United Data'!$A$3:$A$3390,F$1,'United Data'!$C$3:$C$3390,$A1138)&gt;0,1,0)</f>
        <v>0</v>
      </c>
      <c r="G1138">
        <f>IF(COUNTIFS('United Data'!$A$3:$A$3390,G$1,'United Data'!$C$3:$C$3390,$A1138)&gt;0,1,0)</f>
        <v>0</v>
      </c>
      <c r="H1138">
        <f>IF(COUNTIFS('United Data'!$A$3:$A$3390,H$1,'United Data'!$C$3:$C$3390,$A1138)&gt;0,1,0)</f>
        <v>0</v>
      </c>
      <c r="I1138">
        <f>IF(COUNTIFS('United Data'!$A$3:$A$3390,I$1,'United Data'!$C$3:$C$3390,$A1138)&gt;0,1,0)</f>
        <v>0</v>
      </c>
      <c r="J1138">
        <f>IF(COUNTIFS('United Data'!$A$3:$A$3390,J$1,'United Data'!$C$3:$C$3390,$A1138)&gt;0,1,0)</f>
        <v>0</v>
      </c>
      <c r="K1138">
        <f>IF(COUNTIFS('United Data'!$A$3:$A$3390,K$1,'United Data'!$C$3:$C$3390,$A1138)&gt;0,1,0)</f>
        <v>0</v>
      </c>
      <c r="L1138">
        <f>IF(COUNTIFS('United Data'!$A$3:$A$3390,L$1,'United Data'!$C$3:$C$3390,$A1138)&gt;0,1,0)</f>
        <v>1</v>
      </c>
      <c r="M1138">
        <f>IF(COUNTIFS('United Data'!$A$3:$A$3390,M$1,'United Data'!$C$3:$C$3390,$A1138)&gt;0,1,0)</f>
        <v>0</v>
      </c>
      <c r="N1138">
        <f>IF(COUNTIFS('United Data'!$A$3:$A$3390,N$1,'United Data'!$C$3:$C$3390,$A1138)&gt;0,1,0)</f>
        <v>0</v>
      </c>
      <c r="O1138">
        <f>IF(COUNTIFS('United Data'!$A$3:$A$3390,O$1,'United Data'!$C$3:$C$3390,$A1138)&gt;0,1,0)</f>
        <v>0</v>
      </c>
      <c r="P1138">
        <f>IF(COUNTIFS('United Data'!$A$3:$A$3390,P$1,'United Data'!$C$3:$C$3390,$A1138)&gt;0,1,0)</f>
        <v>0</v>
      </c>
      <c r="Q1138">
        <f>IF(COUNTIFS('United Data'!$A$3:$A$3390,Q$1,'United Data'!$C$3:$C$3390,$A1138)&gt;0,1,0)</f>
        <v>0</v>
      </c>
      <c r="R1138">
        <f>IF(COUNTIFS('United Data'!$A$3:$A$3390,R$1,'United Data'!$C$3:$C$3390,$A1138)&gt;0,1,0)</f>
        <v>0</v>
      </c>
      <c r="S1138">
        <f t="shared" si="34"/>
        <v>1</v>
      </c>
      <c r="T1138">
        <f t="shared" si="35"/>
        <v>1</v>
      </c>
    </row>
    <row r="1139" spans="1:20" x14ac:dyDescent="0.2">
      <c r="A1139" t="s">
        <v>1359</v>
      </c>
      <c r="B1139">
        <f>IF(COUNTIFS('United Data'!$A$3:$A$3390,B$1,'United Data'!$C$3:$C$3390,$A1139)&gt;0,1,0)</f>
        <v>0</v>
      </c>
      <c r="C1139">
        <f>IF(COUNTIFS('United Data'!$A$3:$A$3390,C$1,'United Data'!$C$3:$C$3390,$A1139)&gt;0,1,0)</f>
        <v>0</v>
      </c>
      <c r="D1139">
        <f>IF(COUNTIFS('United Data'!$A$3:$A$3390,D$1,'United Data'!$C$3:$C$3390,$A1139)&gt;0,1,0)</f>
        <v>0</v>
      </c>
      <c r="E1139">
        <f>IF(COUNTIFS('United Data'!$A$3:$A$3390,E$1,'United Data'!$C$3:$C$3390,$A1139)&gt;0,1,0)</f>
        <v>0</v>
      </c>
      <c r="F1139">
        <f>IF(COUNTIFS('United Data'!$A$3:$A$3390,F$1,'United Data'!$C$3:$C$3390,$A1139)&gt;0,1,0)</f>
        <v>0</v>
      </c>
      <c r="G1139">
        <f>IF(COUNTIFS('United Data'!$A$3:$A$3390,G$1,'United Data'!$C$3:$C$3390,$A1139)&gt;0,1,0)</f>
        <v>0</v>
      </c>
      <c r="H1139">
        <f>IF(COUNTIFS('United Data'!$A$3:$A$3390,H$1,'United Data'!$C$3:$C$3390,$A1139)&gt;0,1,0)</f>
        <v>0</v>
      </c>
      <c r="I1139">
        <f>IF(COUNTIFS('United Data'!$A$3:$A$3390,I$1,'United Data'!$C$3:$C$3390,$A1139)&gt;0,1,0)</f>
        <v>0</v>
      </c>
      <c r="J1139">
        <f>IF(COUNTIFS('United Data'!$A$3:$A$3390,J$1,'United Data'!$C$3:$C$3390,$A1139)&gt;0,1,0)</f>
        <v>0</v>
      </c>
      <c r="K1139">
        <f>IF(COUNTIFS('United Data'!$A$3:$A$3390,K$1,'United Data'!$C$3:$C$3390,$A1139)&gt;0,1,0)</f>
        <v>0</v>
      </c>
      <c r="L1139">
        <f>IF(COUNTIFS('United Data'!$A$3:$A$3390,L$1,'United Data'!$C$3:$C$3390,$A1139)&gt;0,1,0)</f>
        <v>0</v>
      </c>
      <c r="M1139">
        <f>IF(COUNTIFS('United Data'!$A$3:$A$3390,M$1,'United Data'!$C$3:$C$3390,$A1139)&gt;0,1,0)</f>
        <v>1</v>
      </c>
      <c r="N1139">
        <f>IF(COUNTIFS('United Data'!$A$3:$A$3390,N$1,'United Data'!$C$3:$C$3390,$A1139)&gt;0,1,0)</f>
        <v>0</v>
      </c>
      <c r="O1139">
        <f>IF(COUNTIFS('United Data'!$A$3:$A$3390,O$1,'United Data'!$C$3:$C$3390,$A1139)&gt;0,1,0)</f>
        <v>0</v>
      </c>
      <c r="P1139">
        <f>IF(COUNTIFS('United Data'!$A$3:$A$3390,P$1,'United Data'!$C$3:$C$3390,$A1139)&gt;0,1,0)</f>
        <v>0</v>
      </c>
      <c r="Q1139">
        <f>IF(COUNTIFS('United Data'!$A$3:$A$3390,Q$1,'United Data'!$C$3:$C$3390,$A1139)&gt;0,1,0)</f>
        <v>0</v>
      </c>
      <c r="R1139">
        <f>IF(COUNTIFS('United Data'!$A$3:$A$3390,R$1,'United Data'!$C$3:$C$3390,$A1139)&gt;0,1,0)</f>
        <v>0</v>
      </c>
      <c r="S1139">
        <f t="shared" si="34"/>
        <v>1</v>
      </c>
      <c r="T1139">
        <f t="shared" si="35"/>
        <v>1</v>
      </c>
    </row>
    <row r="1140" spans="1:20" x14ac:dyDescent="0.2">
      <c r="A1140" t="s">
        <v>1360</v>
      </c>
      <c r="B1140">
        <f>IF(COUNTIFS('United Data'!$A$3:$A$3390,B$1,'United Data'!$C$3:$C$3390,$A1140)&gt;0,1,0)</f>
        <v>0</v>
      </c>
      <c r="C1140">
        <f>IF(COUNTIFS('United Data'!$A$3:$A$3390,C$1,'United Data'!$C$3:$C$3390,$A1140)&gt;0,1,0)</f>
        <v>0</v>
      </c>
      <c r="D1140">
        <f>IF(COUNTIFS('United Data'!$A$3:$A$3390,D$1,'United Data'!$C$3:$C$3390,$A1140)&gt;0,1,0)</f>
        <v>0</v>
      </c>
      <c r="E1140">
        <f>IF(COUNTIFS('United Data'!$A$3:$A$3390,E$1,'United Data'!$C$3:$C$3390,$A1140)&gt;0,1,0)</f>
        <v>0</v>
      </c>
      <c r="F1140">
        <f>IF(COUNTIFS('United Data'!$A$3:$A$3390,F$1,'United Data'!$C$3:$C$3390,$A1140)&gt;0,1,0)</f>
        <v>0</v>
      </c>
      <c r="G1140">
        <f>IF(COUNTIFS('United Data'!$A$3:$A$3390,G$1,'United Data'!$C$3:$C$3390,$A1140)&gt;0,1,0)</f>
        <v>0</v>
      </c>
      <c r="H1140">
        <f>IF(COUNTIFS('United Data'!$A$3:$A$3390,H$1,'United Data'!$C$3:$C$3390,$A1140)&gt;0,1,0)</f>
        <v>0</v>
      </c>
      <c r="I1140">
        <f>IF(COUNTIFS('United Data'!$A$3:$A$3390,I$1,'United Data'!$C$3:$C$3390,$A1140)&gt;0,1,0)</f>
        <v>0</v>
      </c>
      <c r="J1140">
        <f>IF(COUNTIFS('United Data'!$A$3:$A$3390,J$1,'United Data'!$C$3:$C$3390,$A1140)&gt;0,1,0)</f>
        <v>0</v>
      </c>
      <c r="K1140">
        <f>IF(COUNTIFS('United Data'!$A$3:$A$3390,K$1,'United Data'!$C$3:$C$3390,$A1140)&gt;0,1,0)</f>
        <v>0</v>
      </c>
      <c r="L1140">
        <f>IF(COUNTIFS('United Data'!$A$3:$A$3390,L$1,'United Data'!$C$3:$C$3390,$A1140)&gt;0,1,0)</f>
        <v>0</v>
      </c>
      <c r="M1140">
        <f>IF(COUNTIFS('United Data'!$A$3:$A$3390,M$1,'United Data'!$C$3:$C$3390,$A1140)&gt;0,1,0)</f>
        <v>1</v>
      </c>
      <c r="N1140">
        <f>IF(COUNTIFS('United Data'!$A$3:$A$3390,N$1,'United Data'!$C$3:$C$3390,$A1140)&gt;0,1,0)</f>
        <v>0</v>
      </c>
      <c r="O1140">
        <f>IF(COUNTIFS('United Data'!$A$3:$A$3390,O$1,'United Data'!$C$3:$C$3390,$A1140)&gt;0,1,0)</f>
        <v>0</v>
      </c>
      <c r="P1140">
        <f>IF(COUNTIFS('United Data'!$A$3:$A$3390,P$1,'United Data'!$C$3:$C$3390,$A1140)&gt;0,1,0)</f>
        <v>0</v>
      </c>
      <c r="Q1140">
        <f>IF(COUNTIFS('United Data'!$A$3:$A$3390,Q$1,'United Data'!$C$3:$C$3390,$A1140)&gt;0,1,0)</f>
        <v>0</v>
      </c>
      <c r="R1140">
        <f>IF(COUNTIFS('United Data'!$A$3:$A$3390,R$1,'United Data'!$C$3:$C$3390,$A1140)&gt;0,1,0)</f>
        <v>0</v>
      </c>
      <c r="S1140">
        <f t="shared" si="34"/>
        <v>1</v>
      </c>
      <c r="T1140">
        <f t="shared" si="35"/>
        <v>1</v>
      </c>
    </row>
    <row r="1141" spans="1:20" x14ac:dyDescent="0.2">
      <c r="A1141" t="s">
        <v>1361</v>
      </c>
      <c r="B1141">
        <f>IF(COUNTIFS('United Data'!$A$3:$A$3390,B$1,'United Data'!$C$3:$C$3390,$A1141)&gt;0,1,0)</f>
        <v>0</v>
      </c>
      <c r="C1141">
        <f>IF(COUNTIFS('United Data'!$A$3:$A$3390,C$1,'United Data'!$C$3:$C$3390,$A1141)&gt;0,1,0)</f>
        <v>0</v>
      </c>
      <c r="D1141">
        <f>IF(COUNTIFS('United Data'!$A$3:$A$3390,D$1,'United Data'!$C$3:$C$3390,$A1141)&gt;0,1,0)</f>
        <v>0</v>
      </c>
      <c r="E1141">
        <f>IF(COUNTIFS('United Data'!$A$3:$A$3390,E$1,'United Data'!$C$3:$C$3390,$A1141)&gt;0,1,0)</f>
        <v>0</v>
      </c>
      <c r="F1141">
        <f>IF(COUNTIFS('United Data'!$A$3:$A$3390,F$1,'United Data'!$C$3:$C$3390,$A1141)&gt;0,1,0)</f>
        <v>0</v>
      </c>
      <c r="G1141">
        <f>IF(COUNTIFS('United Data'!$A$3:$A$3390,G$1,'United Data'!$C$3:$C$3390,$A1141)&gt;0,1,0)</f>
        <v>0</v>
      </c>
      <c r="H1141">
        <f>IF(COUNTIFS('United Data'!$A$3:$A$3390,H$1,'United Data'!$C$3:$C$3390,$A1141)&gt;0,1,0)</f>
        <v>0</v>
      </c>
      <c r="I1141">
        <f>IF(COUNTIFS('United Data'!$A$3:$A$3390,I$1,'United Data'!$C$3:$C$3390,$A1141)&gt;0,1,0)</f>
        <v>0</v>
      </c>
      <c r="J1141">
        <f>IF(COUNTIFS('United Data'!$A$3:$A$3390,J$1,'United Data'!$C$3:$C$3390,$A1141)&gt;0,1,0)</f>
        <v>0</v>
      </c>
      <c r="K1141">
        <f>IF(COUNTIFS('United Data'!$A$3:$A$3390,K$1,'United Data'!$C$3:$C$3390,$A1141)&gt;0,1,0)</f>
        <v>0</v>
      </c>
      <c r="L1141">
        <f>IF(COUNTIFS('United Data'!$A$3:$A$3390,L$1,'United Data'!$C$3:$C$3390,$A1141)&gt;0,1,0)</f>
        <v>0</v>
      </c>
      <c r="M1141">
        <f>IF(COUNTIFS('United Data'!$A$3:$A$3390,M$1,'United Data'!$C$3:$C$3390,$A1141)&gt;0,1,0)</f>
        <v>1</v>
      </c>
      <c r="N1141">
        <f>IF(COUNTIFS('United Data'!$A$3:$A$3390,N$1,'United Data'!$C$3:$C$3390,$A1141)&gt;0,1,0)</f>
        <v>0</v>
      </c>
      <c r="O1141">
        <f>IF(COUNTIFS('United Data'!$A$3:$A$3390,O$1,'United Data'!$C$3:$C$3390,$A1141)&gt;0,1,0)</f>
        <v>0</v>
      </c>
      <c r="P1141">
        <f>IF(COUNTIFS('United Data'!$A$3:$A$3390,P$1,'United Data'!$C$3:$C$3390,$A1141)&gt;0,1,0)</f>
        <v>0</v>
      </c>
      <c r="Q1141">
        <f>IF(COUNTIFS('United Data'!$A$3:$A$3390,Q$1,'United Data'!$C$3:$C$3390,$A1141)&gt;0,1,0)</f>
        <v>0</v>
      </c>
      <c r="R1141">
        <f>IF(COUNTIFS('United Data'!$A$3:$A$3390,R$1,'United Data'!$C$3:$C$3390,$A1141)&gt;0,1,0)</f>
        <v>0</v>
      </c>
      <c r="S1141">
        <f t="shared" si="34"/>
        <v>1</v>
      </c>
      <c r="T1141">
        <f t="shared" si="35"/>
        <v>1</v>
      </c>
    </row>
    <row r="1142" spans="1:20" x14ac:dyDescent="0.2">
      <c r="A1142" t="s">
        <v>1362</v>
      </c>
      <c r="B1142">
        <f>IF(COUNTIFS('United Data'!$A$3:$A$3390,B$1,'United Data'!$C$3:$C$3390,$A1142)&gt;0,1,0)</f>
        <v>0</v>
      </c>
      <c r="C1142">
        <f>IF(COUNTIFS('United Data'!$A$3:$A$3390,C$1,'United Data'!$C$3:$C$3390,$A1142)&gt;0,1,0)</f>
        <v>0</v>
      </c>
      <c r="D1142">
        <f>IF(COUNTIFS('United Data'!$A$3:$A$3390,D$1,'United Data'!$C$3:$C$3390,$A1142)&gt;0,1,0)</f>
        <v>0</v>
      </c>
      <c r="E1142">
        <f>IF(COUNTIFS('United Data'!$A$3:$A$3390,E$1,'United Data'!$C$3:$C$3390,$A1142)&gt;0,1,0)</f>
        <v>0</v>
      </c>
      <c r="F1142">
        <f>IF(COUNTIFS('United Data'!$A$3:$A$3390,F$1,'United Data'!$C$3:$C$3390,$A1142)&gt;0,1,0)</f>
        <v>0</v>
      </c>
      <c r="G1142">
        <f>IF(COUNTIFS('United Data'!$A$3:$A$3390,G$1,'United Data'!$C$3:$C$3390,$A1142)&gt;0,1,0)</f>
        <v>0</v>
      </c>
      <c r="H1142">
        <f>IF(COUNTIFS('United Data'!$A$3:$A$3390,H$1,'United Data'!$C$3:$C$3390,$A1142)&gt;0,1,0)</f>
        <v>0</v>
      </c>
      <c r="I1142">
        <f>IF(COUNTIFS('United Data'!$A$3:$A$3390,I$1,'United Data'!$C$3:$C$3390,$A1142)&gt;0,1,0)</f>
        <v>0</v>
      </c>
      <c r="J1142">
        <f>IF(COUNTIFS('United Data'!$A$3:$A$3390,J$1,'United Data'!$C$3:$C$3390,$A1142)&gt;0,1,0)</f>
        <v>0</v>
      </c>
      <c r="K1142">
        <f>IF(COUNTIFS('United Data'!$A$3:$A$3390,K$1,'United Data'!$C$3:$C$3390,$A1142)&gt;0,1,0)</f>
        <v>0</v>
      </c>
      <c r="L1142">
        <f>IF(COUNTIFS('United Data'!$A$3:$A$3390,L$1,'United Data'!$C$3:$C$3390,$A1142)&gt;0,1,0)</f>
        <v>0</v>
      </c>
      <c r="M1142">
        <f>IF(COUNTIFS('United Data'!$A$3:$A$3390,M$1,'United Data'!$C$3:$C$3390,$A1142)&gt;0,1,0)</f>
        <v>0</v>
      </c>
      <c r="N1142">
        <f>IF(COUNTIFS('United Data'!$A$3:$A$3390,N$1,'United Data'!$C$3:$C$3390,$A1142)&gt;0,1,0)</f>
        <v>1</v>
      </c>
      <c r="O1142">
        <f>IF(COUNTIFS('United Data'!$A$3:$A$3390,O$1,'United Data'!$C$3:$C$3390,$A1142)&gt;0,1,0)</f>
        <v>1</v>
      </c>
      <c r="P1142">
        <f>IF(COUNTIFS('United Data'!$A$3:$A$3390,P$1,'United Data'!$C$3:$C$3390,$A1142)&gt;0,1,0)</f>
        <v>0</v>
      </c>
      <c r="Q1142">
        <f>IF(COUNTIFS('United Data'!$A$3:$A$3390,Q$1,'United Data'!$C$3:$C$3390,$A1142)&gt;0,1,0)</f>
        <v>0</v>
      </c>
      <c r="R1142">
        <f>IF(COUNTIFS('United Data'!$A$3:$A$3390,R$1,'United Data'!$C$3:$C$3390,$A1142)&gt;0,1,0)</f>
        <v>0</v>
      </c>
      <c r="S1142">
        <f t="shared" si="34"/>
        <v>2</v>
      </c>
      <c r="T1142">
        <f t="shared" si="35"/>
        <v>1</v>
      </c>
    </row>
    <row r="1143" spans="1:20" x14ac:dyDescent="0.2">
      <c r="A1143" t="s">
        <v>1363</v>
      </c>
      <c r="B1143">
        <f>IF(COUNTIFS('United Data'!$A$3:$A$3390,B$1,'United Data'!$C$3:$C$3390,$A1143)&gt;0,1,0)</f>
        <v>0</v>
      </c>
      <c r="C1143">
        <f>IF(COUNTIFS('United Data'!$A$3:$A$3390,C$1,'United Data'!$C$3:$C$3390,$A1143)&gt;0,1,0)</f>
        <v>0</v>
      </c>
      <c r="D1143">
        <f>IF(COUNTIFS('United Data'!$A$3:$A$3390,D$1,'United Data'!$C$3:$C$3390,$A1143)&gt;0,1,0)</f>
        <v>0</v>
      </c>
      <c r="E1143">
        <f>IF(COUNTIFS('United Data'!$A$3:$A$3390,E$1,'United Data'!$C$3:$C$3390,$A1143)&gt;0,1,0)</f>
        <v>0</v>
      </c>
      <c r="F1143">
        <f>IF(COUNTIFS('United Data'!$A$3:$A$3390,F$1,'United Data'!$C$3:$C$3390,$A1143)&gt;0,1,0)</f>
        <v>0</v>
      </c>
      <c r="G1143">
        <f>IF(COUNTIFS('United Data'!$A$3:$A$3390,G$1,'United Data'!$C$3:$C$3390,$A1143)&gt;0,1,0)</f>
        <v>0</v>
      </c>
      <c r="H1143">
        <f>IF(COUNTIFS('United Data'!$A$3:$A$3390,H$1,'United Data'!$C$3:$C$3390,$A1143)&gt;0,1,0)</f>
        <v>0</v>
      </c>
      <c r="I1143">
        <f>IF(COUNTIFS('United Data'!$A$3:$A$3390,I$1,'United Data'!$C$3:$C$3390,$A1143)&gt;0,1,0)</f>
        <v>0</v>
      </c>
      <c r="J1143">
        <f>IF(COUNTIFS('United Data'!$A$3:$A$3390,J$1,'United Data'!$C$3:$C$3390,$A1143)&gt;0,1,0)</f>
        <v>0</v>
      </c>
      <c r="K1143">
        <f>IF(COUNTIFS('United Data'!$A$3:$A$3390,K$1,'United Data'!$C$3:$C$3390,$A1143)&gt;0,1,0)</f>
        <v>0</v>
      </c>
      <c r="L1143">
        <f>IF(COUNTIFS('United Data'!$A$3:$A$3390,L$1,'United Data'!$C$3:$C$3390,$A1143)&gt;0,1,0)</f>
        <v>0</v>
      </c>
      <c r="M1143">
        <f>IF(COUNTIFS('United Data'!$A$3:$A$3390,M$1,'United Data'!$C$3:$C$3390,$A1143)&gt;0,1,0)</f>
        <v>0</v>
      </c>
      <c r="N1143">
        <f>IF(COUNTIFS('United Data'!$A$3:$A$3390,N$1,'United Data'!$C$3:$C$3390,$A1143)&gt;0,1,0)</f>
        <v>1</v>
      </c>
      <c r="O1143">
        <f>IF(COUNTIFS('United Data'!$A$3:$A$3390,O$1,'United Data'!$C$3:$C$3390,$A1143)&gt;0,1,0)</f>
        <v>0</v>
      </c>
      <c r="P1143">
        <f>IF(COUNTIFS('United Data'!$A$3:$A$3390,P$1,'United Data'!$C$3:$C$3390,$A1143)&gt;0,1,0)</f>
        <v>0</v>
      </c>
      <c r="Q1143">
        <f>IF(COUNTIFS('United Data'!$A$3:$A$3390,Q$1,'United Data'!$C$3:$C$3390,$A1143)&gt;0,1,0)</f>
        <v>0</v>
      </c>
      <c r="R1143">
        <f>IF(COUNTIFS('United Data'!$A$3:$A$3390,R$1,'United Data'!$C$3:$C$3390,$A1143)&gt;0,1,0)</f>
        <v>0</v>
      </c>
      <c r="S1143">
        <f t="shared" si="34"/>
        <v>1</v>
      </c>
      <c r="T1143">
        <f t="shared" si="35"/>
        <v>1</v>
      </c>
    </row>
    <row r="1144" spans="1:20" x14ac:dyDescent="0.2">
      <c r="A1144" t="s">
        <v>1364</v>
      </c>
      <c r="B1144">
        <f>IF(COUNTIFS('United Data'!$A$3:$A$3390,B$1,'United Data'!$C$3:$C$3390,$A1144)&gt;0,1,0)</f>
        <v>0</v>
      </c>
      <c r="C1144">
        <f>IF(COUNTIFS('United Data'!$A$3:$A$3390,C$1,'United Data'!$C$3:$C$3390,$A1144)&gt;0,1,0)</f>
        <v>0</v>
      </c>
      <c r="D1144">
        <f>IF(COUNTIFS('United Data'!$A$3:$A$3390,D$1,'United Data'!$C$3:$C$3390,$A1144)&gt;0,1,0)</f>
        <v>0</v>
      </c>
      <c r="E1144">
        <f>IF(COUNTIFS('United Data'!$A$3:$A$3390,E$1,'United Data'!$C$3:$C$3390,$A1144)&gt;0,1,0)</f>
        <v>0</v>
      </c>
      <c r="F1144">
        <f>IF(COUNTIFS('United Data'!$A$3:$A$3390,F$1,'United Data'!$C$3:$C$3390,$A1144)&gt;0,1,0)</f>
        <v>0</v>
      </c>
      <c r="G1144">
        <f>IF(COUNTIFS('United Data'!$A$3:$A$3390,G$1,'United Data'!$C$3:$C$3390,$A1144)&gt;0,1,0)</f>
        <v>0</v>
      </c>
      <c r="H1144">
        <f>IF(COUNTIFS('United Data'!$A$3:$A$3390,H$1,'United Data'!$C$3:$C$3390,$A1144)&gt;0,1,0)</f>
        <v>0</v>
      </c>
      <c r="I1144">
        <f>IF(COUNTIFS('United Data'!$A$3:$A$3390,I$1,'United Data'!$C$3:$C$3390,$A1144)&gt;0,1,0)</f>
        <v>0</v>
      </c>
      <c r="J1144">
        <f>IF(COUNTIFS('United Data'!$A$3:$A$3390,J$1,'United Data'!$C$3:$C$3390,$A1144)&gt;0,1,0)</f>
        <v>0</v>
      </c>
      <c r="K1144">
        <f>IF(COUNTIFS('United Data'!$A$3:$A$3390,K$1,'United Data'!$C$3:$C$3390,$A1144)&gt;0,1,0)</f>
        <v>0</v>
      </c>
      <c r="L1144">
        <f>IF(COUNTIFS('United Data'!$A$3:$A$3390,L$1,'United Data'!$C$3:$C$3390,$A1144)&gt;0,1,0)</f>
        <v>0</v>
      </c>
      <c r="M1144">
        <f>IF(COUNTIFS('United Data'!$A$3:$A$3390,M$1,'United Data'!$C$3:$C$3390,$A1144)&gt;0,1,0)</f>
        <v>0</v>
      </c>
      <c r="N1144">
        <f>IF(COUNTIFS('United Data'!$A$3:$A$3390,N$1,'United Data'!$C$3:$C$3390,$A1144)&gt;0,1,0)</f>
        <v>1</v>
      </c>
      <c r="O1144">
        <f>IF(COUNTIFS('United Data'!$A$3:$A$3390,O$1,'United Data'!$C$3:$C$3390,$A1144)&gt;0,1,0)</f>
        <v>0</v>
      </c>
      <c r="P1144">
        <f>IF(COUNTIFS('United Data'!$A$3:$A$3390,P$1,'United Data'!$C$3:$C$3390,$A1144)&gt;0,1,0)</f>
        <v>0</v>
      </c>
      <c r="Q1144">
        <f>IF(COUNTIFS('United Data'!$A$3:$A$3390,Q$1,'United Data'!$C$3:$C$3390,$A1144)&gt;0,1,0)</f>
        <v>0</v>
      </c>
      <c r="R1144">
        <f>IF(COUNTIFS('United Data'!$A$3:$A$3390,R$1,'United Data'!$C$3:$C$3390,$A1144)&gt;0,1,0)</f>
        <v>0</v>
      </c>
      <c r="S1144">
        <f t="shared" si="34"/>
        <v>1</v>
      </c>
      <c r="T1144">
        <f t="shared" si="35"/>
        <v>1</v>
      </c>
    </row>
    <row r="1145" spans="1:20" x14ac:dyDescent="0.2">
      <c r="A1145" t="s">
        <v>1365</v>
      </c>
      <c r="B1145">
        <f>IF(COUNTIFS('United Data'!$A$3:$A$3390,B$1,'United Data'!$C$3:$C$3390,$A1145)&gt;0,1,0)</f>
        <v>0</v>
      </c>
      <c r="C1145">
        <f>IF(COUNTIFS('United Data'!$A$3:$A$3390,C$1,'United Data'!$C$3:$C$3390,$A1145)&gt;0,1,0)</f>
        <v>0</v>
      </c>
      <c r="D1145">
        <f>IF(COUNTIFS('United Data'!$A$3:$A$3390,D$1,'United Data'!$C$3:$C$3390,$A1145)&gt;0,1,0)</f>
        <v>0</v>
      </c>
      <c r="E1145">
        <f>IF(COUNTIFS('United Data'!$A$3:$A$3390,E$1,'United Data'!$C$3:$C$3390,$A1145)&gt;0,1,0)</f>
        <v>0</v>
      </c>
      <c r="F1145">
        <f>IF(COUNTIFS('United Data'!$A$3:$A$3390,F$1,'United Data'!$C$3:$C$3390,$A1145)&gt;0,1,0)</f>
        <v>0</v>
      </c>
      <c r="G1145">
        <f>IF(COUNTIFS('United Data'!$A$3:$A$3390,G$1,'United Data'!$C$3:$C$3390,$A1145)&gt;0,1,0)</f>
        <v>0</v>
      </c>
      <c r="H1145">
        <f>IF(COUNTIFS('United Data'!$A$3:$A$3390,H$1,'United Data'!$C$3:$C$3390,$A1145)&gt;0,1,0)</f>
        <v>0</v>
      </c>
      <c r="I1145">
        <f>IF(COUNTIFS('United Data'!$A$3:$A$3390,I$1,'United Data'!$C$3:$C$3390,$A1145)&gt;0,1,0)</f>
        <v>0</v>
      </c>
      <c r="J1145">
        <f>IF(COUNTIFS('United Data'!$A$3:$A$3390,J$1,'United Data'!$C$3:$C$3390,$A1145)&gt;0,1,0)</f>
        <v>0</v>
      </c>
      <c r="K1145">
        <f>IF(COUNTIFS('United Data'!$A$3:$A$3390,K$1,'United Data'!$C$3:$C$3390,$A1145)&gt;0,1,0)</f>
        <v>0</v>
      </c>
      <c r="L1145">
        <f>IF(COUNTIFS('United Data'!$A$3:$A$3390,L$1,'United Data'!$C$3:$C$3390,$A1145)&gt;0,1,0)</f>
        <v>0</v>
      </c>
      <c r="M1145">
        <f>IF(COUNTIFS('United Data'!$A$3:$A$3390,M$1,'United Data'!$C$3:$C$3390,$A1145)&gt;0,1,0)</f>
        <v>0</v>
      </c>
      <c r="N1145">
        <f>IF(COUNTIFS('United Data'!$A$3:$A$3390,N$1,'United Data'!$C$3:$C$3390,$A1145)&gt;0,1,0)</f>
        <v>1</v>
      </c>
      <c r="O1145">
        <f>IF(COUNTIFS('United Data'!$A$3:$A$3390,O$1,'United Data'!$C$3:$C$3390,$A1145)&gt;0,1,0)</f>
        <v>0</v>
      </c>
      <c r="P1145">
        <f>IF(COUNTIFS('United Data'!$A$3:$A$3390,P$1,'United Data'!$C$3:$C$3390,$A1145)&gt;0,1,0)</f>
        <v>0</v>
      </c>
      <c r="Q1145">
        <f>IF(COUNTIFS('United Data'!$A$3:$A$3390,Q$1,'United Data'!$C$3:$C$3390,$A1145)&gt;0,1,0)</f>
        <v>0</v>
      </c>
      <c r="R1145">
        <f>IF(COUNTIFS('United Data'!$A$3:$A$3390,R$1,'United Data'!$C$3:$C$3390,$A1145)&gt;0,1,0)</f>
        <v>0</v>
      </c>
      <c r="S1145">
        <f t="shared" si="34"/>
        <v>1</v>
      </c>
      <c r="T1145">
        <f t="shared" si="35"/>
        <v>1</v>
      </c>
    </row>
    <row r="1146" spans="1:20" x14ac:dyDescent="0.2">
      <c r="A1146" t="s">
        <v>1366</v>
      </c>
      <c r="B1146">
        <f>IF(COUNTIFS('United Data'!$A$3:$A$3390,B$1,'United Data'!$C$3:$C$3390,$A1146)&gt;0,1,0)</f>
        <v>0</v>
      </c>
      <c r="C1146">
        <f>IF(COUNTIFS('United Data'!$A$3:$A$3390,C$1,'United Data'!$C$3:$C$3390,$A1146)&gt;0,1,0)</f>
        <v>0</v>
      </c>
      <c r="D1146">
        <f>IF(COUNTIFS('United Data'!$A$3:$A$3390,D$1,'United Data'!$C$3:$C$3390,$A1146)&gt;0,1,0)</f>
        <v>0</v>
      </c>
      <c r="E1146">
        <f>IF(COUNTIFS('United Data'!$A$3:$A$3390,E$1,'United Data'!$C$3:$C$3390,$A1146)&gt;0,1,0)</f>
        <v>0</v>
      </c>
      <c r="F1146">
        <f>IF(COUNTIFS('United Data'!$A$3:$A$3390,F$1,'United Data'!$C$3:$C$3390,$A1146)&gt;0,1,0)</f>
        <v>0</v>
      </c>
      <c r="G1146">
        <f>IF(COUNTIFS('United Data'!$A$3:$A$3390,G$1,'United Data'!$C$3:$C$3390,$A1146)&gt;0,1,0)</f>
        <v>0</v>
      </c>
      <c r="H1146">
        <f>IF(COUNTIFS('United Data'!$A$3:$A$3390,H$1,'United Data'!$C$3:$C$3390,$A1146)&gt;0,1,0)</f>
        <v>0</v>
      </c>
      <c r="I1146">
        <f>IF(COUNTIFS('United Data'!$A$3:$A$3390,I$1,'United Data'!$C$3:$C$3390,$A1146)&gt;0,1,0)</f>
        <v>0</v>
      </c>
      <c r="J1146">
        <f>IF(COUNTIFS('United Data'!$A$3:$A$3390,J$1,'United Data'!$C$3:$C$3390,$A1146)&gt;0,1,0)</f>
        <v>0</v>
      </c>
      <c r="K1146">
        <f>IF(COUNTIFS('United Data'!$A$3:$A$3390,K$1,'United Data'!$C$3:$C$3390,$A1146)&gt;0,1,0)</f>
        <v>0</v>
      </c>
      <c r="L1146">
        <f>IF(COUNTIFS('United Data'!$A$3:$A$3390,L$1,'United Data'!$C$3:$C$3390,$A1146)&gt;0,1,0)</f>
        <v>0</v>
      </c>
      <c r="M1146">
        <f>IF(COUNTIFS('United Data'!$A$3:$A$3390,M$1,'United Data'!$C$3:$C$3390,$A1146)&gt;0,1,0)</f>
        <v>0</v>
      </c>
      <c r="N1146">
        <f>IF(COUNTIFS('United Data'!$A$3:$A$3390,N$1,'United Data'!$C$3:$C$3390,$A1146)&gt;0,1,0)</f>
        <v>1</v>
      </c>
      <c r="O1146">
        <f>IF(COUNTIFS('United Data'!$A$3:$A$3390,O$1,'United Data'!$C$3:$C$3390,$A1146)&gt;0,1,0)</f>
        <v>0</v>
      </c>
      <c r="P1146">
        <f>IF(COUNTIFS('United Data'!$A$3:$A$3390,P$1,'United Data'!$C$3:$C$3390,$A1146)&gt;0,1,0)</f>
        <v>0</v>
      </c>
      <c r="Q1146">
        <f>IF(COUNTIFS('United Data'!$A$3:$A$3390,Q$1,'United Data'!$C$3:$C$3390,$A1146)&gt;0,1,0)</f>
        <v>0</v>
      </c>
      <c r="R1146">
        <f>IF(COUNTIFS('United Data'!$A$3:$A$3390,R$1,'United Data'!$C$3:$C$3390,$A1146)&gt;0,1,0)</f>
        <v>0</v>
      </c>
      <c r="S1146">
        <f t="shared" si="34"/>
        <v>1</v>
      </c>
      <c r="T1146">
        <f t="shared" si="35"/>
        <v>1</v>
      </c>
    </row>
    <row r="1147" spans="1:20" x14ac:dyDescent="0.2">
      <c r="A1147" t="s">
        <v>1367</v>
      </c>
      <c r="B1147">
        <f>IF(COUNTIFS('United Data'!$A$3:$A$3390,B$1,'United Data'!$C$3:$C$3390,$A1147)&gt;0,1,0)</f>
        <v>0</v>
      </c>
      <c r="C1147">
        <f>IF(COUNTIFS('United Data'!$A$3:$A$3390,C$1,'United Data'!$C$3:$C$3390,$A1147)&gt;0,1,0)</f>
        <v>0</v>
      </c>
      <c r="D1147">
        <f>IF(COUNTIFS('United Data'!$A$3:$A$3390,D$1,'United Data'!$C$3:$C$3390,$A1147)&gt;0,1,0)</f>
        <v>0</v>
      </c>
      <c r="E1147">
        <f>IF(COUNTIFS('United Data'!$A$3:$A$3390,E$1,'United Data'!$C$3:$C$3390,$A1147)&gt;0,1,0)</f>
        <v>0</v>
      </c>
      <c r="F1147">
        <f>IF(COUNTIFS('United Data'!$A$3:$A$3390,F$1,'United Data'!$C$3:$C$3390,$A1147)&gt;0,1,0)</f>
        <v>0</v>
      </c>
      <c r="G1147">
        <f>IF(COUNTIFS('United Data'!$A$3:$A$3390,G$1,'United Data'!$C$3:$C$3390,$A1147)&gt;0,1,0)</f>
        <v>0</v>
      </c>
      <c r="H1147">
        <f>IF(COUNTIFS('United Data'!$A$3:$A$3390,H$1,'United Data'!$C$3:$C$3390,$A1147)&gt;0,1,0)</f>
        <v>0</v>
      </c>
      <c r="I1147">
        <f>IF(COUNTIFS('United Data'!$A$3:$A$3390,I$1,'United Data'!$C$3:$C$3390,$A1147)&gt;0,1,0)</f>
        <v>0</v>
      </c>
      <c r="J1147">
        <f>IF(COUNTIFS('United Data'!$A$3:$A$3390,J$1,'United Data'!$C$3:$C$3390,$A1147)&gt;0,1,0)</f>
        <v>0</v>
      </c>
      <c r="K1147">
        <f>IF(COUNTIFS('United Data'!$A$3:$A$3390,K$1,'United Data'!$C$3:$C$3390,$A1147)&gt;0,1,0)</f>
        <v>0</v>
      </c>
      <c r="L1147">
        <f>IF(COUNTIFS('United Data'!$A$3:$A$3390,L$1,'United Data'!$C$3:$C$3390,$A1147)&gt;0,1,0)</f>
        <v>0</v>
      </c>
      <c r="M1147">
        <f>IF(COUNTIFS('United Data'!$A$3:$A$3390,M$1,'United Data'!$C$3:$C$3390,$A1147)&gt;0,1,0)</f>
        <v>0</v>
      </c>
      <c r="N1147">
        <f>IF(COUNTIFS('United Data'!$A$3:$A$3390,N$1,'United Data'!$C$3:$C$3390,$A1147)&gt;0,1,0)</f>
        <v>1</v>
      </c>
      <c r="O1147">
        <f>IF(COUNTIFS('United Data'!$A$3:$A$3390,O$1,'United Data'!$C$3:$C$3390,$A1147)&gt;0,1,0)</f>
        <v>0</v>
      </c>
      <c r="P1147">
        <f>IF(COUNTIFS('United Data'!$A$3:$A$3390,P$1,'United Data'!$C$3:$C$3390,$A1147)&gt;0,1,0)</f>
        <v>0</v>
      </c>
      <c r="Q1147">
        <f>IF(COUNTIFS('United Data'!$A$3:$A$3390,Q$1,'United Data'!$C$3:$C$3390,$A1147)&gt;0,1,0)</f>
        <v>0</v>
      </c>
      <c r="R1147">
        <f>IF(COUNTIFS('United Data'!$A$3:$A$3390,R$1,'United Data'!$C$3:$C$3390,$A1147)&gt;0,1,0)</f>
        <v>0</v>
      </c>
      <c r="S1147">
        <f t="shared" si="34"/>
        <v>1</v>
      </c>
      <c r="T1147">
        <f t="shared" si="35"/>
        <v>1</v>
      </c>
    </row>
    <row r="1148" spans="1:20" x14ac:dyDescent="0.2">
      <c r="A1148" t="s">
        <v>1368</v>
      </c>
      <c r="B1148">
        <f>IF(COUNTIFS('United Data'!$A$3:$A$3390,B$1,'United Data'!$C$3:$C$3390,$A1148)&gt;0,1,0)</f>
        <v>0</v>
      </c>
      <c r="C1148">
        <f>IF(COUNTIFS('United Data'!$A$3:$A$3390,C$1,'United Data'!$C$3:$C$3390,$A1148)&gt;0,1,0)</f>
        <v>0</v>
      </c>
      <c r="D1148">
        <f>IF(COUNTIFS('United Data'!$A$3:$A$3390,D$1,'United Data'!$C$3:$C$3390,$A1148)&gt;0,1,0)</f>
        <v>0</v>
      </c>
      <c r="E1148">
        <f>IF(COUNTIFS('United Data'!$A$3:$A$3390,E$1,'United Data'!$C$3:$C$3390,$A1148)&gt;0,1,0)</f>
        <v>0</v>
      </c>
      <c r="F1148">
        <f>IF(COUNTIFS('United Data'!$A$3:$A$3390,F$1,'United Data'!$C$3:$C$3390,$A1148)&gt;0,1,0)</f>
        <v>0</v>
      </c>
      <c r="G1148">
        <f>IF(COUNTIFS('United Data'!$A$3:$A$3390,G$1,'United Data'!$C$3:$C$3390,$A1148)&gt;0,1,0)</f>
        <v>0</v>
      </c>
      <c r="H1148">
        <f>IF(COUNTIFS('United Data'!$A$3:$A$3390,H$1,'United Data'!$C$3:$C$3390,$A1148)&gt;0,1,0)</f>
        <v>0</v>
      </c>
      <c r="I1148">
        <f>IF(COUNTIFS('United Data'!$A$3:$A$3390,I$1,'United Data'!$C$3:$C$3390,$A1148)&gt;0,1,0)</f>
        <v>0</v>
      </c>
      <c r="J1148">
        <f>IF(COUNTIFS('United Data'!$A$3:$A$3390,J$1,'United Data'!$C$3:$C$3390,$A1148)&gt;0,1,0)</f>
        <v>0</v>
      </c>
      <c r="K1148">
        <f>IF(COUNTIFS('United Data'!$A$3:$A$3390,K$1,'United Data'!$C$3:$C$3390,$A1148)&gt;0,1,0)</f>
        <v>0</v>
      </c>
      <c r="L1148">
        <f>IF(COUNTIFS('United Data'!$A$3:$A$3390,L$1,'United Data'!$C$3:$C$3390,$A1148)&gt;0,1,0)</f>
        <v>0</v>
      </c>
      <c r="M1148">
        <f>IF(COUNTIFS('United Data'!$A$3:$A$3390,M$1,'United Data'!$C$3:$C$3390,$A1148)&gt;0,1,0)</f>
        <v>0</v>
      </c>
      <c r="N1148">
        <f>IF(COUNTIFS('United Data'!$A$3:$A$3390,N$1,'United Data'!$C$3:$C$3390,$A1148)&gt;0,1,0)</f>
        <v>0</v>
      </c>
      <c r="O1148">
        <f>IF(COUNTIFS('United Data'!$A$3:$A$3390,O$1,'United Data'!$C$3:$C$3390,$A1148)&gt;0,1,0)</f>
        <v>1</v>
      </c>
      <c r="P1148">
        <f>IF(COUNTIFS('United Data'!$A$3:$A$3390,P$1,'United Data'!$C$3:$C$3390,$A1148)&gt;0,1,0)</f>
        <v>0</v>
      </c>
      <c r="Q1148">
        <f>IF(COUNTIFS('United Data'!$A$3:$A$3390,Q$1,'United Data'!$C$3:$C$3390,$A1148)&gt;0,1,0)</f>
        <v>0</v>
      </c>
      <c r="R1148">
        <f>IF(COUNTIFS('United Data'!$A$3:$A$3390,R$1,'United Data'!$C$3:$C$3390,$A1148)&gt;0,1,0)</f>
        <v>0</v>
      </c>
      <c r="S1148">
        <f t="shared" si="34"/>
        <v>1</v>
      </c>
      <c r="T1148">
        <f t="shared" si="35"/>
        <v>1</v>
      </c>
    </row>
    <row r="1149" spans="1:20" x14ac:dyDescent="0.2">
      <c r="A1149" t="s">
        <v>1369</v>
      </c>
      <c r="B1149">
        <f>IF(COUNTIFS('United Data'!$A$3:$A$3390,B$1,'United Data'!$C$3:$C$3390,$A1149)&gt;0,1,0)</f>
        <v>0</v>
      </c>
      <c r="C1149">
        <f>IF(COUNTIFS('United Data'!$A$3:$A$3390,C$1,'United Data'!$C$3:$C$3390,$A1149)&gt;0,1,0)</f>
        <v>0</v>
      </c>
      <c r="D1149">
        <f>IF(COUNTIFS('United Data'!$A$3:$A$3390,D$1,'United Data'!$C$3:$C$3390,$A1149)&gt;0,1,0)</f>
        <v>0</v>
      </c>
      <c r="E1149">
        <f>IF(COUNTIFS('United Data'!$A$3:$A$3390,E$1,'United Data'!$C$3:$C$3390,$A1149)&gt;0,1,0)</f>
        <v>0</v>
      </c>
      <c r="F1149">
        <f>IF(COUNTIFS('United Data'!$A$3:$A$3390,F$1,'United Data'!$C$3:$C$3390,$A1149)&gt;0,1,0)</f>
        <v>0</v>
      </c>
      <c r="G1149">
        <f>IF(COUNTIFS('United Data'!$A$3:$A$3390,G$1,'United Data'!$C$3:$C$3390,$A1149)&gt;0,1,0)</f>
        <v>0</v>
      </c>
      <c r="H1149">
        <f>IF(COUNTIFS('United Data'!$A$3:$A$3390,H$1,'United Data'!$C$3:$C$3390,$A1149)&gt;0,1,0)</f>
        <v>0</v>
      </c>
      <c r="I1149">
        <f>IF(COUNTIFS('United Data'!$A$3:$A$3390,I$1,'United Data'!$C$3:$C$3390,$A1149)&gt;0,1,0)</f>
        <v>0</v>
      </c>
      <c r="J1149">
        <f>IF(COUNTIFS('United Data'!$A$3:$A$3390,J$1,'United Data'!$C$3:$C$3390,$A1149)&gt;0,1,0)</f>
        <v>0</v>
      </c>
      <c r="K1149">
        <f>IF(COUNTIFS('United Data'!$A$3:$A$3390,K$1,'United Data'!$C$3:$C$3390,$A1149)&gt;0,1,0)</f>
        <v>0</v>
      </c>
      <c r="L1149">
        <f>IF(COUNTIFS('United Data'!$A$3:$A$3390,L$1,'United Data'!$C$3:$C$3390,$A1149)&gt;0,1,0)</f>
        <v>0</v>
      </c>
      <c r="M1149">
        <f>IF(COUNTIFS('United Data'!$A$3:$A$3390,M$1,'United Data'!$C$3:$C$3390,$A1149)&gt;0,1,0)</f>
        <v>0</v>
      </c>
      <c r="N1149">
        <f>IF(COUNTIFS('United Data'!$A$3:$A$3390,N$1,'United Data'!$C$3:$C$3390,$A1149)&gt;0,1,0)</f>
        <v>0</v>
      </c>
      <c r="O1149">
        <f>IF(COUNTIFS('United Data'!$A$3:$A$3390,O$1,'United Data'!$C$3:$C$3390,$A1149)&gt;0,1,0)</f>
        <v>1</v>
      </c>
      <c r="P1149">
        <f>IF(COUNTIFS('United Data'!$A$3:$A$3390,P$1,'United Data'!$C$3:$C$3390,$A1149)&gt;0,1,0)</f>
        <v>0</v>
      </c>
      <c r="Q1149">
        <f>IF(COUNTIFS('United Data'!$A$3:$A$3390,Q$1,'United Data'!$C$3:$C$3390,$A1149)&gt;0,1,0)</f>
        <v>0</v>
      </c>
      <c r="R1149">
        <f>IF(COUNTIFS('United Data'!$A$3:$A$3390,R$1,'United Data'!$C$3:$C$3390,$A1149)&gt;0,1,0)</f>
        <v>0</v>
      </c>
      <c r="S1149">
        <f t="shared" si="34"/>
        <v>1</v>
      </c>
      <c r="T1149">
        <f t="shared" si="35"/>
        <v>1</v>
      </c>
    </row>
    <row r="1150" spans="1:20" x14ac:dyDescent="0.2">
      <c r="A1150" t="s">
        <v>1370</v>
      </c>
      <c r="B1150">
        <f>IF(COUNTIFS('United Data'!$A$3:$A$3390,B$1,'United Data'!$C$3:$C$3390,$A1150)&gt;0,1,0)</f>
        <v>0</v>
      </c>
      <c r="C1150">
        <f>IF(COUNTIFS('United Data'!$A$3:$A$3390,C$1,'United Data'!$C$3:$C$3390,$A1150)&gt;0,1,0)</f>
        <v>0</v>
      </c>
      <c r="D1150">
        <f>IF(COUNTIFS('United Data'!$A$3:$A$3390,D$1,'United Data'!$C$3:$C$3390,$A1150)&gt;0,1,0)</f>
        <v>0</v>
      </c>
      <c r="E1150">
        <f>IF(COUNTIFS('United Data'!$A$3:$A$3390,E$1,'United Data'!$C$3:$C$3390,$A1150)&gt;0,1,0)</f>
        <v>0</v>
      </c>
      <c r="F1150">
        <f>IF(COUNTIFS('United Data'!$A$3:$A$3390,F$1,'United Data'!$C$3:$C$3390,$A1150)&gt;0,1,0)</f>
        <v>0</v>
      </c>
      <c r="G1150">
        <f>IF(COUNTIFS('United Data'!$A$3:$A$3390,G$1,'United Data'!$C$3:$C$3390,$A1150)&gt;0,1,0)</f>
        <v>0</v>
      </c>
      <c r="H1150">
        <f>IF(COUNTIFS('United Data'!$A$3:$A$3390,H$1,'United Data'!$C$3:$C$3390,$A1150)&gt;0,1,0)</f>
        <v>0</v>
      </c>
      <c r="I1150">
        <f>IF(COUNTIFS('United Data'!$A$3:$A$3390,I$1,'United Data'!$C$3:$C$3390,$A1150)&gt;0,1,0)</f>
        <v>0</v>
      </c>
      <c r="J1150">
        <f>IF(COUNTIFS('United Data'!$A$3:$A$3390,J$1,'United Data'!$C$3:$C$3390,$A1150)&gt;0,1,0)</f>
        <v>0</v>
      </c>
      <c r="K1150">
        <f>IF(COUNTIFS('United Data'!$A$3:$A$3390,K$1,'United Data'!$C$3:$C$3390,$A1150)&gt;0,1,0)</f>
        <v>0</v>
      </c>
      <c r="L1150">
        <f>IF(COUNTIFS('United Data'!$A$3:$A$3390,L$1,'United Data'!$C$3:$C$3390,$A1150)&gt;0,1,0)</f>
        <v>0</v>
      </c>
      <c r="M1150">
        <f>IF(COUNTIFS('United Data'!$A$3:$A$3390,M$1,'United Data'!$C$3:$C$3390,$A1150)&gt;0,1,0)</f>
        <v>0</v>
      </c>
      <c r="N1150">
        <f>IF(COUNTIFS('United Data'!$A$3:$A$3390,N$1,'United Data'!$C$3:$C$3390,$A1150)&gt;0,1,0)</f>
        <v>0</v>
      </c>
      <c r="O1150">
        <f>IF(COUNTIFS('United Data'!$A$3:$A$3390,O$1,'United Data'!$C$3:$C$3390,$A1150)&gt;0,1,0)</f>
        <v>1</v>
      </c>
      <c r="P1150">
        <f>IF(COUNTIFS('United Data'!$A$3:$A$3390,P$1,'United Data'!$C$3:$C$3390,$A1150)&gt;0,1,0)</f>
        <v>1</v>
      </c>
      <c r="Q1150">
        <f>IF(COUNTIFS('United Data'!$A$3:$A$3390,Q$1,'United Data'!$C$3:$C$3390,$A1150)&gt;0,1,0)</f>
        <v>0</v>
      </c>
      <c r="R1150">
        <f>IF(COUNTIFS('United Data'!$A$3:$A$3390,R$1,'United Data'!$C$3:$C$3390,$A1150)&gt;0,1,0)</f>
        <v>0</v>
      </c>
      <c r="S1150">
        <f t="shared" si="34"/>
        <v>2</v>
      </c>
      <c r="T1150">
        <f t="shared" si="35"/>
        <v>1</v>
      </c>
    </row>
    <row r="1151" spans="1:20" x14ac:dyDescent="0.2">
      <c r="A1151" t="s">
        <v>1372</v>
      </c>
      <c r="B1151">
        <f>IF(COUNTIFS('United Data'!$A$3:$A$3390,B$1,'United Data'!$C$3:$C$3390,$A1151)&gt;0,1,0)</f>
        <v>0</v>
      </c>
      <c r="C1151">
        <f>IF(COUNTIFS('United Data'!$A$3:$A$3390,C$1,'United Data'!$C$3:$C$3390,$A1151)&gt;0,1,0)</f>
        <v>0</v>
      </c>
      <c r="D1151">
        <f>IF(COUNTIFS('United Data'!$A$3:$A$3390,D$1,'United Data'!$C$3:$C$3390,$A1151)&gt;0,1,0)</f>
        <v>0</v>
      </c>
      <c r="E1151">
        <f>IF(COUNTIFS('United Data'!$A$3:$A$3390,E$1,'United Data'!$C$3:$C$3390,$A1151)&gt;0,1,0)</f>
        <v>0</v>
      </c>
      <c r="F1151">
        <f>IF(COUNTIFS('United Data'!$A$3:$A$3390,F$1,'United Data'!$C$3:$C$3390,$A1151)&gt;0,1,0)</f>
        <v>0</v>
      </c>
      <c r="G1151">
        <f>IF(COUNTIFS('United Data'!$A$3:$A$3390,G$1,'United Data'!$C$3:$C$3390,$A1151)&gt;0,1,0)</f>
        <v>0</v>
      </c>
      <c r="H1151">
        <f>IF(COUNTIFS('United Data'!$A$3:$A$3390,H$1,'United Data'!$C$3:$C$3390,$A1151)&gt;0,1,0)</f>
        <v>0</v>
      </c>
      <c r="I1151">
        <f>IF(COUNTIFS('United Data'!$A$3:$A$3390,I$1,'United Data'!$C$3:$C$3390,$A1151)&gt;0,1,0)</f>
        <v>0</v>
      </c>
      <c r="J1151">
        <f>IF(COUNTIFS('United Data'!$A$3:$A$3390,J$1,'United Data'!$C$3:$C$3390,$A1151)&gt;0,1,0)</f>
        <v>0</v>
      </c>
      <c r="K1151">
        <f>IF(COUNTIFS('United Data'!$A$3:$A$3390,K$1,'United Data'!$C$3:$C$3390,$A1151)&gt;0,1,0)</f>
        <v>0</v>
      </c>
      <c r="L1151">
        <f>IF(COUNTIFS('United Data'!$A$3:$A$3390,L$1,'United Data'!$C$3:$C$3390,$A1151)&gt;0,1,0)</f>
        <v>0</v>
      </c>
      <c r="M1151">
        <f>IF(COUNTIFS('United Data'!$A$3:$A$3390,M$1,'United Data'!$C$3:$C$3390,$A1151)&gt;0,1,0)</f>
        <v>0</v>
      </c>
      <c r="N1151">
        <f>IF(COUNTIFS('United Data'!$A$3:$A$3390,N$1,'United Data'!$C$3:$C$3390,$A1151)&gt;0,1,0)</f>
        <v>0</v>
      </c>
      <c r="O1151">
        <f>IF(COUNTIFS('United Data'!$A$3:$A$3390,O$1,'United Data'!$C$3:$C$3390,$A1151)&gt;0,1,0)</f>
        <v>0</v>
      </c>
      <c r="P1151">
        <f>IF(COUNTIFS('United Data'!$A$3:$A$3390,P$1,'United Data'!$C$3:$C$3390,$A1151)&gt;0,1,0)</f>
        <v>1</v>
      </c>
      <c r="Q1151">
        <f>IF(COUNTIFS('United Data'!$A$3:$A$3390,Q$1,'United Data'!$C$3:$C$3390,$A1151)&gt;0,1,0)</f>
        <v>0</v>
      </c>
      <c r="R1151">
        <f>IF(COUNTIFS('United Data'!$A$3:$A$3390,R$1,'United Data'!$C$3:$C$3390,$A1151)&gt;0,1,0)</f>
        <v>0</v>
      </c>
      <c r="S1151">
        <f t="shared" si="34"/>
        <v>1</v>
      </c>
      <c r="T1151">
        <f t="shared" si="35"/>
        <v>1</v>
      </c>
    </row>
    <row r="1152" spans="1:20" x14ac:dyDescent="0.2">
      <c r="A1152" t="s">
        <v>1373</v>
      </c>
      <c r="B1152">
        <f>IF(COUNTIFS('United Data'!$A$3:$A$3390,B$1,'United Data'!$C$3:$C$3390,$A1152)&gt;0,1,0)</f>
        <v>0</v>
      </c>
      <c r="C1152">
        <f>IF(COUNTIFS('United Data'!$A$3:$A$3390,C$1,'United Data'!$C$3:$C$3390,$A1152)&gt;0,1,0)</f>
        <v>0</v>
      </c>
      <c r="D1152">
        <f>IF(COUNTIFS('United Data'!$A$3:$A$3390,D$1,'United Data'!$C$3:$C$3390,$A1152)&gt;0,1,0)</f>
        <v>0</v>
      </c>
      <c r="E1152">
        <f>IF(COUNTIFS('United Data'!$A$3:$A$3390,E$1,'United Data'!$C$3:$C$3390,$A1152)&gt;0,1,0)</f>
        <v>0</v>
      </c>
      <c r="F1152">
        <f>IF(COUNTIFS('United Data'!$A$3:$A$3390,F$1,'United Data'!$C$3:$C$3390,$A1152)&gt;0,1,0)</f>
        <v>0</v>
      </c>
      <c r="G1152">
        <f>IF(COUNTIFS('United Data'!$A$3:$A$3390,G$1,'United Data'!$C$3:$C$3390,$A1152)&gt;0,1,0)</f>
        <v>0</v>
      </c>
      <c r="H1152">
        <f>IF(COUNTIFS('United Data'!$A$3:$A$3390,H$1,'United Data'!$C$3:$C$3390,$A1152)&gt;0,1,0)</f>
        <v>0</v>
      </c>
      <c r="I1152">
        <f>IF(COUNTIFS('United Data'!$A$3:$A$3390,I$1,'United Data'!$C$3:$C$3390,$A1152)&gt;0,1,0)</f>
        <v>0</v>
      </c>
      <c r="J1152">
        <f>IF(COUNTIFS('United Data'!$A$3:$A$3390,J$1,'United Data'!$C$3:$C$3390,$A1152)&gt;0,1,0)</f>
        <v>0</v>
      </c>
      <c r="K1152">
        <f>IF(COUNTIFS('United Data'!$A$3:$A$3390,K$1,'United Data'!$C$3:$C$3390,$A1152)&gt;0,1,0)</f>
        <v>0</v>
      </c>
      <c r="L1152">
        <f>IF(COUNTIFS('United Data'!$A$3:$A$3390,L$1,'United Data'!$C$3:$C$3390,$A1152)&gt;0,1,0)</f>
        <v>0</v>
      </c>
      <c r="M1152">
        <f>IF(COUNTIFS('United Data'!$A$3:$A$3390,M$1,'United Data'!$C$3:$C$3390,$A1152)&gt;0,1,0)</f>
        <v>0</v>
      </c>
      <c r="N1152">
        <f>IF(COUNTIFS('United Data'!$A$3:$A$3390,N$1,'United Data'!$C$3:$C$3390,$A1152)&gt;0,1,0)</f>
        <v>0</v>
      </c>
      <c r="O1152">
        <f>IF(COUNTIFS('United Data'!$A$3:$A$3390,O$1,'United Data'!$C$3:$C$3390,$A1152)&gt;0,1,0)</f>
        <v>0</v>
      </c>
      <c r="P1152">
        <f>IF(COUNTIFS('United Data'!$A$3:$A$3390,P$1,'United Data'!$C$3:$C$3390,$A1152)&gt;0,1,0)</f>
        <v>1</v>
      </c>
      <c r="Q1152">
        <f>IF(COUNTIFS('United Data'!$A$3:$A$3390,Q$1,'United Data'!$C$3:$C$3390,$A1152)&gt;0,1,0)</f>
        <v>0</v>
      </c>
      <c r="R1152">
        <f>IF(COUNTIFS('United Data'!$A$3:$A$3390,R$1,'United Data'!$C$3:$C$3390,$A1152)&gt;0,1,0)</f>
        <v>0</v>
      </c>
      <c r="S1152">
        <f t="shared" si="34"/>
        <v>1</v>
      </c>
      <c r="T1152">
        <f t="shared" si="35"/>
        <v>1</v>
      </c>
    </row>
    <row r="1153" spans="1:20" x14ac:dyDescent="0.2">
      <c r="A1153" t="s">
        <v>1374</v>
      </c>
      <c r="B1153">
        <f>IF(COUNTIFS('United Data'!$A$3:$A$3390,B$1,'United Data'!$C$3:$C$3390,$A1153)&gt;0,1,0)</f>
        <v>0</v>
      </c>
      <c r="C1153">
        <f>IF(COUNTIFS('United Data'!$A$3:$A$3390,C$1,'United Data'!$C$3:$C$3390,$A1153)&gt;0,1,0)</f>
        <v>0</v>
      </c>
      <c r="D1153">
        <f>IF(COUNTIFS('United Data'!$A$3:$A$3390,D$1,'United Data'!$C$3:$C$3390,$A1153)&gt;0,1,0)</f>
        <v>0</v>
      </c>
      <c r="E1153">
        <f>IF(COUNTIFS('United Data'!$A$3:$A$3390,E$1,'United Data'!$C$3:$C$3390,$A1153)&gt;0,1,0)</f>
        <v>0</v>
      </c>
      <c r="F1153">
        <f>IF(COUNTIFS('United Data'!$A$3:$A$3390,F$1,'United Data'!$C$3:$C$3390,$A1153)&gt;0,1,0)</f>
        <v>0</v>
      </c>
      <c r="G1153">
        <f>IF(COUNTIFS('United Data'!$A$3:$A$3390,G$1,'United Data'!$C$3:$C$3390,$A1153)&gt;0,1,0)</f>
        <v>0</v>
      </c>
      <c r="H1153">
        <f>IF(COUNTIFS('United Data'!$A$3:$A$3390,H$1,'United Data'!$C$3:$C$3390,$A1153)&gt;0,1,0)</f>
        <v>0</v>
      </c>
      <c r="I1153">
        <f>IF(COUNTIFS('United Data'!$A$3:$A$3390,I$1,'United Data'!$C$3:$C$3390,$A1153)&gt;0,1,0)</f>
        <v>0</v>
      </c>
      <c r="J1153">
        <f>IF(COUNTIFS('United Data'!$A$3:$A$3390,J$1,'United Data'!$C$3:$C$3390,$A1153)&gt;0,1,0)</f>
        <v>0</v>
      </c>
      <c r="K1153">
        <f>IF(COUNTIFS('United Data'!$A$3:$A$3390,K$1,'United Data'!$C$3:$C$3390,$A1153)&gt;0,1,0)</f>
        <v>0</v>
      </c>
      <c r="L1153">
        <f>IF(COUNTIFS('United Data'!$A$3:$A$3390,L$1,'United Data'!$C$3:$C$3390,$A1153)&gt;0,1,0)</f>
        <v>0</v>
      </c>
      <c r="M1153">
        <f>IF(COUNTIFS('United Data'!$A$3:$A$3390,M$1,'United Data'!$C$3:$C$3390,$A1153)&gt;0,1,0)</f>
        <v>0</v>
      </c>
      <c r="N1153">
        <f>IF(COUNTIFS('United Data'!$A$3:$A$3390,N$1,'United Data'!$C$3:$C$3390,$A1153)&gt;0,1,0)</f>
        <v>0</v>
      </c>
      <c r="O1153">
        <f>IF(COUNTIFS('United Data'!$A$3:$A$3390,O$1,'United Data'!$C$3:$C$3390,$A1153)&gt;0,1,0)</f>
        <v>0</v>
      </c>
      <c r="P1153">
        <f>IF(COUNTIFS('United Data'!$A$3:$A$3390,P$1,'United Data'!$C$3:$C$3390,$A1153)&gt;0,1,0)</f>
        <v>1</v>
      </c>
      <c r="Q1153">
        <f>IF(COUNTIFS('United Data'!$A$3:$A$3390,Q$1,'United Data'!$C$3:$C$3390,$A1153)&gt;0,1,0)</f>
        <v>1</v>
      </c>
      <c r="R1153">
        <f>IF(COUNTIFS('United Data'!$A$3:$A$3390,R$1,'United Data'!$C$3:$C$3390,$A1153)&gt;0,1,0)</f>
        <v>0</v>
      </c>
      <c r="S1153">
        <f t="shared" si="34"/>
        <v>2</v>
      </c>
      <c r="T1153">
        <f t="shared" si="35"/>
        <v>1</v>
      </c>
    </row>
    <row r="1154" spans="1:20" x14ac:dyDescent="0.2">
      <c r="A1154" t="s">
        <v>1375</v>
      </c>
      <c r="B1154">
        <f>IF(COUNTIFS('United Data'!$A$3:$A$3390,B$1,'United Data'!$C$3:$C$3390,$A1154)&gt;0,1,0)</f>
        <v>0</v>
      </c>
      <c r="C1154">
        <f>IF(COUNTIFS('United Data'!$A$3:$A$3390,C$1,'United Data'!$C$3:$C$3390,$A1154)&gt;0,1,0)</f>
        <v>0</v>
      </c>
      <c r="D1154">
        <f>IF(COUNTIFS('United Data'!$A$3:$A$3390,D$1,'United Data'!$C$3:$C$3390,$A1154)&gt;0,1,0)</f>
        <v>0</v>
      </c>
      <c r="E1154">
        <f>IF(COUNTIFS('United Data'!$A$3:$A$3390,E$1,'United Data'!$C$3:$C$3390,$A1154)&gt;0,1,0)</f>
        <v>0</v>
      </c>
      <c r="F1154">
        <f>IF(COUNTIFS('United Data'!$A$3:$A$3390,F$1,'United Data'!$C$3:$C$3390,$A1154)&gt;0,1,0)</f>
        <v>0</v>
      </c>
      <c r="G1154">
        <f>IF(COUNTIFS('United Data'!$A$3:$A$3390,G$1,'United Data'!$C$3:$C$3390,$A1154)&gt;0,1,0)</f>
        <v>0</v>
      </c>
      <c r="H1154">
        <f>IF(COUNTIFS('United Data'!$A$3:$A$3390,H$1,'United Data'!$C$3:$C$3390,$A1154)&gt;0,1,0)</f>
        <v>0</v>
      </c>
      <c r="I1154">
        <f>IF(COUNTIFS('United Data'!$A$3:$A$3390,I$1,'United Data'!$C$3:$C$3390,$A1154)&gt;0,1,0)</f>
        <v>0</v>
      </c>
      <c r="J1154">
        <f>IF(COUNTIFS('United Data'!$A$3:$A$3390,J$1,'United Data'!$C$3:$C$3390,$A1154)&gt;0,1,0)</f>
        <v>0</v>
      </c>
      <c r="K1154">
        <f>IF(COUNTIFS('United Data'!$A$3:$A$3390,K$1,'United Data'!$C$3:$C$3390,$A1154)&gt;0,1,0)</f>
        <v>0</v>
      </c>
      <c r="L1154">
        <f>IF(COUNTIFS('United Data'!$A$3:$A$3390,L$1,'United Data'!$C$3:$C$3390,$A1154)&gt;0,1,0)</f>
        <v>0</v>
      </c>
      <c r="M1154">
        <f>IF(COUNTIFS('United Data'!$A$3:$A$3390,M$1,'United Data'!$C$3:$C$3390,$A1154)&gt;0,1,0)</f>
        <v>0</v>
      </c>
      <c r="N1154">
        <f>IF(COUNTIFS('United Data'!$A$3:$A$3390,N$1,'United Data'!$C$3:$C$3390,$A1154)&gt;0,1,0)</f>
        <v>0</v>
      </c>
      <c r="O1154">
        <f>IF(COUNTIFS('United Data'!$A$3:$A$3390,O$1,'United Data'!$C$3:$C$3390,$A1154)&gt;0,1,0)</f>
        <v>0</v>
      </c>
      <c r="P1154">
        <f>IF(COUNTIFS('United Data'!$A$3:$A$3390,P$1,'United Data'!$C$3:$C$3390,$A1154)&gt;0,1,0)</f>
        <v>1</v>
      </c>
      <c r="Q1154">
        <f>IF(COUNTIFS('United Data'!$A$3:$A$3390,Q$1,'United Data'!$C$3:$C$3390,$A1154)&gt;0,1,0)</f>
        <v>0</v>
      </c>
      <c r="R1154">
        <f>IF(COUNTIFS('United Data'!$A$3:$A$3390,R$1,'United Data'!$C$3:$C$3390,$A1154)&gt;0,1,0)</f>
        <v>0</v>
      </c>
      <c r="S1154">
        <f t="shared" ref="S1154:S1217" si="36">SUM(B1154:R1154)</f>
        <v>1</v>
      </c>
      <c r="T1154">
        <f t="shared" ref="T1154:T1217" si="37">B1154+SUMPRODUCT(--(C1154:R1154&gt;B1154:Q1154))</f>
        <v>1</v>
      </c>
    </row>
    <row r="1155" spans="1:20" x14ac:dyDescent="0.2">
      <c r="A1155" t="s">
        <v>1376</v>
      </c>
      <c r="B1155">
        <f>IF(COUNTIFS('United Data'!$A$3:$A$3390,B$1,'United Data'!$C$3:$C$3390,$A1155)&gt;0,1,0)</f>
        <v>0</v>
      </c>
      <c r="C1155">
        <f>IF(COUNTIFS('United Data'!$A$3:$A$3390,C$1,'United Data'!$C$3:$C$3390,$A1155)&gt;0,1,0)</f>
        <v>0</v>
      </c>
      <c r="D1155">
        <f>IF(COUNTIFS('United Data'!$A$3:$A$3390,D$1,'United Data'!$C$3:$C$3390,$A1155)&gt;0,1,0)</f>
        <v>0</v>
      </c>
      <c r="E1155">
        <f>IF(COUNTIFS('United Data'!$A$3:$A$3390,E$1,'United Data'!$C$3:$C$3390,$A1155)&gt;0,1,0)</f>
        <v>0</v>
      </c>
      <c r="F1155">
        <f>IF(COUNTIFS('United Data'!$A$3:$A$3390,F$1,'United Data'!$C$3:$C$3390,$A1155)&gt;0,1,0)</f>
        <v>0</v>
      </c>
      <c r="G1155">
        <f>IF(COUNTIFS('United Data'!$A$3:$A$3390,G$1,'United Data'!$C$3:$C$3390,$A1155)&gt;0,1,0)</f>
        <v>0</v>
      </c>
      <c r="H1155">
        <f>IF(COUNTIFS('United Data'!$A$3:$A$3390,H$1,'United Data'!$C$3:$C$3390,$A1155)&gt;0,1,0)</f>
        <v>0</v>
      </c>
      <c r="I1155">
        <f>IF(COUNTIFS('United Data'!$A$3:$A$3390,I$1,'United Data'!$C$3:$C$3390,$A1155)&gt;0,1,0)</f>
        <v>0</v>
      </c>
      <c r="J1155">
        <f>IF(COUNTIFS('United Data'!$A$3:$A$3390,J$1,'United Data'!$C$3:$C$3390,$A1155)&gt;0,1,0)</f>
        <v>0</v>
      </c>
      <c r="K1155">
        <f>IF(COUNTIFS('United Data'!$A$3:$A$3390,K$1,'United Data'!$C$3:$C$3390,$A1155)&gt;0,1,0)</f>
        <v>0</v>
      </c>
      <c r="L1155">
        <f>IF(COUNTIFS('United Data'!$A$3:$A$3390,L$1,'United Data'!$C$3:$C$3390,$A1155)&gt;0,1,0)</f>
        <v>0</v>
      </c>
      <c r="M1155">
        <f>IF(COUNTIFS('United Data'!$A$3:$A$3390,M$1,'United Data'!$C$3:$C$3390,$A1155)&gt;0,1,0)</f>
        <v>0</v>
      </c>
      <c r="N1155">
        <f>IF(COUNTIFS('United Data'!$A$3:$A$3390,N$1,'United Data'!$C$3:$C$3390,$A1155)&gt;0,1,0)</f>
        <v>0</v>
      </c>
      <c r="O1155">
        <f>IF(COUNTIFS('United Data'!$A$3:$A$3390,O$1,'United Data'!$C$3:$C$3390,$A1155)&gt;0,1,0)</f>
        <v>0</v>
      </c>
      <c r="P1155">
        <f>IF(COUNTIFS('United Data'!$A$3:$A$3390,P$1,'United Data'!$C$3:$C$3390,$A1155)&gt;0,1,0)</f>
        <v>1</v>
      </c>
      <c r="Q1155">
        <f>IF(COUNTIFS('United Data'!$A$3:$A$3390,Q$1,'United Data'!$C$3:$C$3390,$A1155)&gt;0,1,0)</f>
        <v>0</v>
      </c>
      <c r="R1155">
        <f>IF(COUNTIFS('United Data'!$A$3:$A$3390,R$1,'United Data'!$C$3:$C$3390,$A1155)&gt;0,1,0)</f>
        <v>0</v>
      </c>
      <c r="S1155">
        <f t="shared" si="36"/>
        <v>1</v>
      </c>
      <c r="T1155">
        <f t="shared" si="37"/>
        <v>1</v>
      </c>
    </row>
    <row r="1156" spans="1:20" x14ac:dyDescent="0.2">
      <c r="A1156" t="s">
        <v>1377</v>
      </c>
      <c r="B1156">
        <f>IF(COUNTIFS('United Data'!$A$3:$A$3390,B$1,'United Data'!$C$3:$C$3390,$A1156)&gt;0,1,0)</f>
        <v>0</v>
      </c>
      <c r="C1156">
        <f>IF(COUNTIFS('United Data'!$A$3:$A$3390,C$1,'United Data'!$C$3:$C$3390,$A1156)&gt;0,1,0)</f>
        <v>0</v>
      </c>
      <c r="D1156">
        <f>IF(COUNTIFS('United Data'!$A$3:$A$3390,D$1,'United Data'!$C$3:$C$3390,$A1156)&gt;0,1,0)</f>
        <v>0</v>
      </c>
      <c r="E1156">
        <f>IF(COUNTIFS('United Data'!$A$3:$A$3390,E$1,'United Data'!$C$3:$C$3390,$A1156)&gt;0,1,0)</f>
        <v>0</v>
      </c>
      <c r="F1156">
        <f>IF(COUNTIFS('United Data'!$A$3:$A$3390,F$1,'United Data'!$C$3:$C$3390,$A1156)&gt;0,1,0)</f>
        <v>0</v>
      </c>
      <c r="G1156">
        <f>IF(COUNTIFS('United Data'!$A$3:$A$3390,G$1,'United Data'!$C$3:$C$3390,$A1156)&gt;0,1,0)</f>
        <v>0</v>
      </c>
      <c r="H1156">
        <f>IF(COUNTIFS('United Data'!$A$3:$A$3390,H$1,'United Data'!$C$3:$C$3390,$A1156)&gt;0,1,0)</f>
        <v>0</v>
      </c>
      <c r="I1156">
        <f>IF(COUNTIFS('United Data'!$A$3:$A$3390,I$1,'United Data'!$C$3:$C$3390,$A1156)&gt;0,1,0)</f>
        <v>0</v>
      </c>
      <c r="J1156">
        <f>IF(COUNTIFS('United Data'!$A$3:$A$3390,J$1,'United Data'!$C$3:$C$3390,$A1156)&gt;0,1,0)</f>
        <v>0</v>
      </c>
      <c r="K1156">
        <f>IF(COUNTIFS('United Data'!$A$3:$A$3390,K$1,'United Data'!$C$3:$C$3390,$A1156)&gt;0,1,0)</f>
        <v>0</v>
      </c>
      <c r="L1156">
        <f>IF(COUNTIFS('United Data'!$A$3:$A$3390,L$1,'United Data'!$C$3:$C$3390,$A1156)&gt;0,1,0)</f>
        <v>0</v>
      </c>
      <c r="M1156">
        <f>IF(COUNTIFS('United Data'!$A$3:$A$3390,M$1,'United Data'!$C$3:$C$3390,$A1156)&gt;0,1,0)</f>
        <v>0</v>
      </c>
      <c r="N1156">
        <f>IF(COUNTIFS('United Data'!$A$3:$A$3390,N$1,'United Data'!$C$3:$C$3390,$A1156)&gt;0,1,0)</f>
        <v>0</v>
      </c>
      <c r="O1156">
        <f>IF(COUNTIFS('United Data'!$A$3:$A$3390,O$1,'United Data'!$C$3:$C$3390,$A1156)&gt;0,1,0)</f>
        <v>0</v>
      </c>
      <c r="P1156">
        <f>IF(COUNTIFS('United Data'!$A$3:$A$3390,P$1,'United Data'!$C$3:$C$3390,$A1156)&gt;0,1,0)</f>
        <v>1</v>
      </c>
      <c r="Q1156">
        <f>IF(COUNTIFS('United Data'!$A$3:$A$3390,Q$1,'United Data'!$C$3:$C$3390,$A1156)&gt;0,1,0)</f>
        <v>0</v>
      </c>
      <c r="R1156">
        <f>IF(COUNTIFS('United Data'!$A$3:$A$3390,R$1,'United Data'!$C$3:$C$3390,$A1156)&gt;0,1,0)</f>
        <v>0</v>
      </c>
      <c r="S1156">
        <f t="shared" si="36"/>
        <v>1</v>
      </c>
      <c r="T1156">
        <f t="shared" si="37"/>
        <v>1</v>
      </c>
    </row>
    <row r="1157" spans="1:20" x14ac:dyDescent="0.2">
      <c r="A1157" t="s">
        <v>1378</v>
      </c>
      <c r="B1157">
        <f>IF(COUNTIFS('United Data'!$A$3:$A$3390,B$1,'United Data'!$C$3:$C$3390,$A1157)&gt;0,1,0)</f>
        <v>0</v>
      </c>
      <c r="C1157">
        <f>IF(COUNTIFS('United Data'!$A$3:$A$3390,C$1,'United Data'!$C$3:$C$3390,$A1157)&gt;0,1,0)</f>
        <v>0</v>
      </c>
      <c r="D1157">
        <f>IF(COUNTIFS('United Data'!$A$3:$A$3390,D$1,'United Data'!$C$3:$C$3390,$A1157)&gt;0,1,0)</f>
        <v>0</v>
      </c>
      <c r="E1157">
        <f>IF(COUNTIFS('United Data'!$A$3:$A$3390,E$1,'United Data'!$C$3:$C$3390,$A1157)&gt;0,1,0)</f>
        <v>0</v>
      </c>
      <c r="F1157">
        <f>IF(COUNTIFS('United Data'!$A$3:$A$3390,F$1,'United Data'!$C$3:$C$3390,$A1157)&gt;0,1,0)</f>
        <v>0</v>
      </c>
      <c r="G1157">
        <f>IF(COUNTIFS('United Data'!$A$3:$A$3390,G$1,'United Data'!$C$3:$C$3390,$A1157)&gt;0,1,0)</f>
        <v>0</v>
      </c>
      <c r="H1157">
        <f>IF(COUNTIFS('United Data'!$A$3:$A$3390,H$1,'United Data'!$C$3:$C$3390,$A1157)&gt;0,1,0)</f>
        <v>0</v>
      </c>
      <c r="I1157">
        <f>IF(COUNTIFS('United Data'!$A$3:$A$3390,I$1,'United Data'!$C$3:$C$3390,$A1157)&gt;0,1,0)</f>
        <v>0</v>
      </c>
      <c r="J1157">
        <f>IF(COUNTIFS('United Data'!$A$3:$A$3390,J$1,'United Data'!$C$3:$C$3390,$A1157)&gt;0,1,0)</f>
        <v>0</v>
      </c>
      <c r="K1157">
        <f>IF(COUNTIFS('United Data'!$A$3:$A$3390,K$1,'United Data'!$C$3:$C$3390,$A1157)&gt;0,1,0)</f>
        <v>0</v>
      </c>
      <c r="L1157">
        <f>IF(COUNTIFS('United Data'!$A$3:$A$3390,L$1,'United Data'!$C$3:$C$3390,$A1157)&gt;0,1,0)</f>
        <v>0</v>
      </c>
      <c r="M1157">
        <f>IF(COUNTIFS('United Data'!$A$3:$A$3390,M$1,'United Data'!$C$3:$C$3390,$A1157)&gt;0,1,0)</f>
        <v>0</v>
      </c>
      <c r="N1157">
        <f>IF(COUNTIFS('United Data'!$A$3:$A$3390,N$1,'United Data'!$C$3:$C$3390,$A1157)&gt;0,1,0)</f>
        <v>0</v>
      </c>
      <c r="O1157">
        <f>IF(COUNTIFS('United Data'!$A$3:$A$3390,O$1,'United Data'!$C$3:$C$3390,$A1157)&gt;0,1,0)</f>
        <v>0</v>
      </c>
      <c r="P1157">
        <f>IF(COUNTIFS('United Data'!$A$3:$A$3390,P$1,'United Data'!$C$3:$C$3390,$A1157)&gt;0,1,0)</f>
        <v>1</v>
      </c>
      <c r="Q1157">
        <f>IF(COUNTIFS('United Data'!$A$3:$A$3390,Q$1,'United Data'!$C$3:$C$3390,$A1157)&gt;0,1,0)</f>
        <v>0</v>
      </c>
      <c r="R1157">
        <f>IF(COUNTIFS('United Data'!$A$3:$A$3390,R$1,'United Data'!$C$3:$C$3390,$A1157)&gt;0,1,0)</f>
        <v>0</v>
      </c>
      <c r="S1157">
        <f t="shared" si="36"/>
        <v>1</v>
      </c>
      <c r="T1157">
        <f t="shared" si="37"/>
        <v>1</v>
      </c>
    </row>
    <row r="1158" spans="1:20" x14ac:dyDescent="0.2">
      <c r="A1158" t="s">
        <v>1379</v>
      </c>
      <c r="B1158">
        <f>IF(COUNTIFS('United Data'!$A$3:$A$3390,B$1,'United Data'!$C$3:$C$3390,$A1158)&gt;0,1,0)</f>
        <v>0</v>
      </c>
      <c r="C1158">
        <f>IF(COUNTIFS('United Data'!$A$3:$A$3390,C$1,'United Data'!$C$3:$C$3390,$A1158)&gt;0,1,0)</f>
        <v>0</v>
      </c>
      <c r="D1158">
        <f>IF(COUNTIFS('United Data'!$A$3:$A$3390,D$1,'United Data'!$C$3:$C$3390,$A1158)&gt;0,1,0)</f>
        <v>0</v>
      </c>
      <c r="E1158">
        <f>IF(COUNTIFS('United Data'!$A$3:$A$3390,E$1,'United Data'!$C$3:$C$3390,$A1158)&gt;0,1,0)</f>
        <v>0</v>
      </c>
      <c r="F1158">
        <f>IF(COUNTIFS('United Data'!$A$3:$A$3390,F$1,'United Data'!$C$3:$C$3390,$A1158)&gt;0,1,0)</f>
        <v>0</v>
      </c>
      <c r="G1158">
        <f>IF(COUNTIFS('United Data'!$A$3:$A$3390,G$1,'United Data'!$C$3:$C$3390,$A1158)&gt;0,1,0)</f>
        <v>0</v>
      </c>
      <c r="H1158">
        <f>IF(COUNTIFS('United Data'!$A$3:$A$3390,H$1,'United Data'!$C$3:$C$3390,$A1158)&gt;0,1,0)</f>
        <v>0</v>
      </c>
      <c r="I1158">
        <f>IF(COUNTIFS('United Data'!$A$3:$A$3390,I$1,'United Data'!$C$3:$C$3390,$A1158)&gt;0,1,0)</f>
        <v>0</v>
      </c>
      <c r="J1158">
        <f>IF(COUNTIFS('United Data'!$A$3:$A$3390,J$1,'United Data'!$C$3:$C$3390,$A1158)&gt;0,1,0)</f>
        <v>0</v>
      </c>
      <c r="K1158">
        <f>IF(COUNTIFS('United Data'!$A$3:$A$3390,K$1,'United Data'!$C$3:$C$3390,$A1158)&gt;0,1,0)</f>
        <v>0</v>
      </c>
      <c r="L1158">
        <f>IF(COUNTIFS('United Data'!$A$3:$A$3390,L$1,'United Data'!$C$3:$C$3390,$A1158)&gt;0,1,0)</f>
        <v>0</v>
      </c>
      <c r="M1158">
        <f>IF(COUNTIFS('United Data'!$A$3:$A$3390,M$1,'United Data'!$C$3:$C$3390,$A1158)&gt;0,1,0)</f>
        <v>0</v>
      </c>
      <c r="N1158">
        <f>IF(COUNTIFS('United Data'!$A$3:$A$3390,N$1,'United Data'!$C$3:$C$3390,$A1158)&gt;0,1,0)</f>
        <v>0</v>
      </c>
      <c r="O1158">
        <f>IF(COUNTIFS('United Data'!$A$3:$A$3390,O$1,'United Data'!$C$3:$C$3390,$A1158)&gt;0,1,0)</f>
        <v>0</v>
      </c>
      <c r="P1158">
        <f>IF(COUNTIFS('United Data'!$A$3:$A$3390,P$1,'United Data'!$C$3:$C$3390,$A1158)&gt;0,1,0)</f>
        <v>1</v>
      </c>
      <c r="Q1158">
        <f>IF(COUNTIFS('United Data'!$A$3:$A$3390,Q$1,'United Data'!$C$3:$C$3390,$A1158)&gt;0,1,0)</f>
        <v>0</v>
      </c>
      <c r="R1158">
        <f>IF(COUNTIFS('United Data'!$A$3:$A$3390,R$1,'United Data'!$C$3:$C$3390,$A1158)&gt;0,1,0)</f>
        <v>0</v>
      </c>
      <c r="S1158">
        <f t="shared" si="36"/>
        <v>1</v>
      </c>
      <c r="T1158">
        <f t="shared" si="37"/>
        <v>1</v>
      </c>
    </row>
    <row r="1159" spans="1:20" x14ac:dyDescent="0.2">
      <c r="A1159" t="s">
        <v>1380</v>
      </c>
      <c r="B1159">
        <f>IF(COUNTIFS('United Data'!$A$3:$A$3390,B$1,'United Data'!$C$3:$C$3390,$A1159)&gt;0,1,0)</f>
        <v>0</v>
      </c>
      <c r="C1159">
        <f>IF(COUNTIFS('United Data'!$A$3:$A$3390,C$1,'United Data'!$C$3:$C$3390,$A1159)&gt;0,1,0)</f>
        <v>0</v>
      </c>
      <c r="D1159">
        <f>IF(COUNTIFS('United Data'!$A$3:$A$3390,D$1,'United Data'!$C$3:$C$3390,$A1159)&gt;0,1,0)</f>
        <v>0</v>
      </c>
      <c r="E1159">
        <f>IF(COUNTIFS('United Data'!$A$3:$A$3390,E$1,'United Data'!$C$3:$C$3390,$A1159)&gt;0,1,0)</f>
        <v>0</v>
      </c>
      <c r="F1159">
        <f>IF(COUNTIFS('United Data'!$A$3:$A$3390,F$1,'United Data'!$C$3:$C$3390,$A1159)&gt;0,1,0)</f>
        <v>0</v>
      </c>
      <c r="G1159">
        <f>IF(COUNTIFS('United Data'!$A$3:$A$3390,G$1,'United Data'!$C$3:$C$3390,$A1159)&gt;0,1,0)</f>
        <v>0</v>
      </c>
      <c r="H1159">
        <f>IF(COUNTIFS('United Data'!$A$3:$A$3390,H$1,'United Data'!$C$3:$C$3390,$A1159)&gt;0,1,0)</f>
        <v>0</v>
      </c>
      <c r="I1159">
        <f>IF(COUNTIFS('United Data'!$A$3:$A$3390,I$1,'United Data'!$C$3:$C$3390,$A1159)&gt;0,1,0)</f>
        <v>0</v>
      </c>
      <c r="J1159">
        <f>IF(COUNTIFS('United Data'!$A$3:$A$3390,J$1,'United Data'!$C$3:$C$3390,$A1159)&gt;0,1,0)</f>
        <v>0</v>
      </c>
      <c r="K1159">
        <f>IF(COUNTIFS('United Data'!$A$3:$A$3390,K$1,'United Data'!$C$3:$C$3390,$A1159)&gt;0,1,0)</f>
        <v>0</v>
      </c>
      <c r="L1159">
        <f>IF(COUNTIFS('United Data'!$A$3:$A$3390,L$1,'United Data'!$C$3:$C$3390,$A1159)&gt;0,1,0)</f>
        <v>0</v>
      </c>
      <c r="M1159">
        <f>IF(COUNTIFS('United Data'!$A$3:$A$3390,M$1,'United Data'!$C$3:$C$3390,$A1159)&gt;0,1,0)</f>
        <v>0</v>
      </c>
      <c r="N1159">
        <f>IF(COUNTIFS('United Data'!$A$3:$A$3390,N$1,'United Data'!$C$3:$C$3390,$A1159)&gt;0,1,0)</f>
        <v>0</v>
      </c>
      <c r="O1159">
        <f>IF(COUNTIFS('United Data'!$A$3:$A$3390,O$1,'United Data'!$C$3:$C$3390,$A1159)&gt;0,1,0)</f>
        <v>0</v>
      </c>
      <c r="P1159">
        <f>IF(COUNTIFS('United Data'!$A$3:$A$3390,P$1,'United Data'!$C$3:$C$3390,$A1159)&gt;0,1,0)</f>
        <v>0</v>
      </c>
      <c r="Q1159">
        <f>IF(COUNTIFS('United Data'!$A$3:$A$3390,Q$1,'United Data'!$C$3:$C$3390,$A1159)&gt;0,1,0)</f>
        <v>1</v>
      </c>
      <c r="R1159">
        <f>IF(COUNTIFS('United Data'!$A$3:$A$3390,R$1,'United Data'!$C$3:$C$3390,$A1159)&gt;0,1,0)</f>
        <v>0</v>
      </c>
      <c r="S1159">
        <f t="shared" si="36"/>
        <v>1</v>
      </c>
      <c r="T1159">
        <f t="shared" si="37"/>
        <v>1</v>
      </c>
    </row>
    <row r="1160" spans="1:20" x14ac:dyDescent="0.2">
      <c r="A1160" t="s">
        <v>1381</v>
      </c>
      <c r="B1160">
        <f>IF(COUNTIFS('United Data'!$A$3:$A$3390,B$1,'United Data'!$C$3:$C$3390,$A1160)&gt;0,1,0)</f>
        <v>0</v>
      </c>
      <c r="C1160">
        <f>IF(COUNTIFS('United Data'!$A$3:$A$3390,C$1,'United Data'!$C$3:$C$3390,$A1160)&gt;0,1,0)</f>
        <v>0</v>
      </c>
      <c r="D1160">
        <f>IF(COUNTIFS('United Data'!$A$3:$A$3390,D$1,'United Data'!$C$3:$C$3390,$A1160)&gt;0,1,0)</f>
        <v>0</v>
      </c>
      <c r="E1160">
        <f>IF(COUNTIFS('United Data'!$A$3:$A$3390,E$1,'United Data'!$C$3:$C$3390,$A1160)&gt;0,1,0)</f>
        <v>0</v>
      </c>
      <c r="F1160">
        <f>IF(COUNTIFS('United Data'!$A$3:$A$3390,F$1,'United Data'!$C$3:$C$3390,$A1160)&gt;0,1,0)</f>
        <v>0</v>
      </c>
      <c r="G1160">
        <f>IF(COUNTIFS('United Data'!$A$3:$A$3390,G$1,'United Data'!$C$3:$C$3390,$A1160)&gt;0,1,0)</f>
        <v>0</v>
      </c>
      <c r="H1160">
        <f>IF(COUNTIFS('United Data'!$A$3:$A$3390,H$1,'United Data'!$C$3:$C$3390,$A1160)&gt;0,1,0)</f>
        <v>0</v>
      </c>
      <c r="I1160">
        <f>IF(COUNTIFS('United Data'!$A$3:$A$3390,I$1,'United Data'!$C$3:$C$3390,$A1160)&gt;0,1,0)</f>
        <v>0</v>
      </c>
      <c r="J1160">
        <f>IF(COUNTIFS('United Data'!$A$3:$A$3390,J$1,'United Data'!$C$3:$C$3390,$A1160)&gt;0,1,0)</f>
        <v>0</v>
      </c>
      <c r="K1160">
        <f>IF(COUNTIFS('United Data'!$A$3:$A$3390,K$1,'United Data'!$C$3:$C$3390,$A1160)&gt;0,1,0)</f>
        <v>0</v>
      </c>
      <c r="L1160">
        <f>IF(COUNTIFS('United Data'!$A$3:$A$3390,L$1,'United Data'!$C$3:$C$3390,$A1160)&gt;0,1,0)</f>
        <v>0</v>
      </c>
      <c r="M1160">
        <f>IF(COUNTIFS('United Data'!$A$3:$A$3390,M$1,'United Data'!$C$3:$C$3390,$A1160)&gt;0,1,0)</f>
        <v>0</v>
      </c>
      <c r="N1160">
        <f>IF(COUNTIFS('United Data'!$A$3:$A$3390,N$1,'United Data'!$C$3:$C$3390,$A1160)&gt;0,1,0)</f>
        <v>0</v>
      </c>
      <c r="O1160">
        <f>IF(COUNTIFS('United Data'!$A$3:$A$3390,O$1,'United Data'!$C$3:$C$3390,$A1160)&gt;0,1,0)</f>
        <v>0</v>
      </c>
      <c r="P1160">
        <f>IF(COUNTIFS('United Data'!$A$3:$A$3390,P$1,'United Data'!$C$3:$C$3390,$A1160)&gt;0,1,0)</f>
        <v>0</v>
      </c>
      <c r="Q1160">
        <f>IF(COUNTIFS('United Data'!$A$3:$A$3390,Q$1,'United Data'!$C$3:$C$3390,$A1160)&gt;0,1,0)</f>
        <v>1</v>
      </c>
      <c r="R1160">
        <f>IF(COUNTIFS('United Data'!$A$3:$A$3390,R$1,'United Data'!$C$3:$C$3390,$A1160)&gt;0,1,0)</f>
        <v>0</v>
      </c>
      <c r="S1160">
        <f t="shared" si="36"/>
        <v>1</v>
      </c>
      <c r="T1160">
        <f t="shared" si="37"/>
        <v>1</v>
      </c>
    </row>
    <row r="1161" spans="1:20" x14ac:dyDescent="0.2">
      <c r="A1161" t="s">
        <v>1382</v>
      </c>
      <c r="B1161">
        <f>IF(COUNTIFS('United Data'!$A$3:$A$3390,B$1,'United Data'!$C$3:$C$3390,$A1161)&gt;0,1,0)</f>
        <v>0</v>
      </c>
      <c r="C1161">
        <f>IF(COUNTIFS('United Data'!$A$3:$A$3390,C$1,'United Data'!$C$3:$C$3390,$A1161)&gt;0,1,0)</f>
        <v>0</v>
      </c>
      <c r="D1161">
        <f>IF(COUNTIFS('United Data'!$A$3:$A$3390,D$1,'United Data'!$C$3:$C$3390,$A1161)&gt;0,1,0)</f>
        <v>0</v>
      </c>
      <c r="E1161">
        <f>IF(COUNTIFS('United Data'!$A$3:$A$3390,E$1,'United Data'!$C$3:$C$3390,$A1161)&gt;0,1,0)</f>
        <v>0</v>
      </c>
      <c r="F1161">
        <f>IF(COUNTIFS('United Data'!$A$3:$A$3390,F$1,'United Data'!$C$3:$C$3390,$A1161)&gt;0,1,0)</f>
        <v>0</v>
      </c>
      <c r="G1161">
        <f>IF(COUNTIFS('United Data'!$A$3:$A$3390,G$1,'United Data'!$C$3:$C$3390,$A1161)&gt;0,1,0)</f>
        <v>0</v>
      </c>
      <c r="H1161">
        <f>IF(COUNTIFS('United Data'!$A$3:$A$3390,H$1,'United Data'!$C$3:$C$3390,$A1161)&gt;0,1,0)</f>
        <v>0</v>
      </c>
      <c r="I1161">
        <f>IF(COUNTIFS('United Data'!$A$3:$A$3390,I$1,'United Data'!$C$3:$C$3390,$A1161)&gt;0,1,0)</f>
        <v>0</v>
      </c>
      <c r="J1161">
        <f>IF(COUNTIFS('United Data'!$A$3:$A$3390,J$1,'United Data'!$C$3:$C$3390,$A1161)&gt;0,1,0)</f>
        <v>0</v>
      </c>
      <c r="K1161">
        <f>IF(COUNTIFS('United Data'!$A$3:$A$3390,K$1,'United Data'!$C$3:$C$3390,$A1161)&gt;0,1,0)</f>
        <v>0</v>
      </c>
      <c r="L1161">
        <f>IF(COUNTIFS('United Data'!$A$3:$A$3390,L$1,'United Data'!$C$3:$C$3390,$A1161)&gt;0,1,0)</f>
        <v>0</v>
      </c>
      <c r="M1161">
        <f>IF(COUNTIFS('United Data'!$A$3:$A$3390,M$1,'United Data'!$C$3:$C$3390,$A1161)&gt;0,1,0)</f>
        <v>0</v>
      </c>
      <c r="N1161">
        <f>IF(COUNTIFS('United Data'!$A$3:$A$3390,N$1,'United Data'!$C$3:$C$3390,$A1161)&gt;0,1,0)</f>
        <v>0</v>
      </c>
      <c r="O1161">
        <f>IF(COUNTIFS('United Data'!$A$3:$A$3390,O$1,'United Data'!$C$3:$C$3390,$A1161)&gt;0,1,0)</f>
        <v>0</v>
      </c>
      <c r="P1161">
        <f>IF(COUNTIFS('United Data'!$A$3:$A$3390,P$1,'United Data'!$C$3:$C$3390,$A1161)&gt;0,1,0)</f>
        <v>0</v>
      </c>
      <c r="Q1161">
        <f>IF(COUNTIFS('United Data'!$A$3:$A$3390,Q$1,'United Data'!$C$3:$C$3390,$A1161)&gt;0,1,0)</f>
        <v>1</v>
      </c>
      <c r="R1161">
        <f>IF(COUNTIFS('United Data'!$A$3:$A$3390,R$1,'United Data'!$C$3:$C$3390,$A1161)&gt;0,1,0)</f>
        <v>0</v>
      </c>
      <c r="S1161">
        <f t="shared" si="36"/>
        <v>1</v>
      </c>
      <c r="T1161">
        <f t="shared" si="37"/>
        <v>1</v>
      </c>
    </row>
    <row r="1162" spans="1:20" x14ac:dyDescent="0.2">
      <c r="A1162" t="s">
        <v>1383</v>
      </c>
      <c r="B1162">
        <f>IF(COUNTIFS('United Data'!$A$3:$A$3390,B$1,'United Data'!$C$3:$C$3390,$A1162)&gt;0,1,0)</f>
        <v>0</v>
      </c>
      <c r="C1162">
        <f>IF(COUNTIFS('United Data'!$A$3:$A$3390,C$1,'United Data'!$C$3:$C$3390,$A1162)&gt;0,1,0)</f>
        <v>0</v>
      </c>
      <c r="D1162">
        <f>IF(COUNTIFS('United Data'!$A$3:$A$3390,D$1,'United Data'!$C$3:$C$3390,$A1162)&gt;0,1,0)</f>
        <v>0</v>
      </c>
      <c r="E1162">
        <f>IF(COUNTIFS('United Data'!$A$3:$A$3390,E$1,'United Data'!$C$3:$C$3390,$A1162)&gt;0,1,0)</f>
        <v>0</v>
      </c>
      <c r="F1162">
        <f>IF(COUNTIFS('United Data'!$A$3:$A$3390,F$1,'United Data'!$C$3:$C$3390,$A1162)&gt;0,1,0)</f>
        <v>0</v>
      </c>
      <c r="G1162">
        <f>IF(COUNTIFS('United Data'!$A$3:$A$3390,G$1,'United Data'!$C$3:$C$3390,$A1162)&gt;0,1,0)</f>
        <v>0</v>
      </c>
      <c r="H1162">
        <f>IF(COUNTIFS('United Data'!$A$3:$A$3390,H$1,'United Data'!$C$3:$C$3390,$A1162)&gt;0,1,0)</f>
        <v>0</v>
      </c>
      <c r="I1162">
        <f>IF(COUNTIFS('United Data'!$A$3:$A$3390,I$1,'United Data'!$C$3:$C$3390,$A1162)&gt;0,1,0)</f>
        <v>0</v>
      </c>
      <c r="J1162">
        <f>IF(COUNTIFS('United Data'!$A$3:$A$3390,J$1,'United Data'!$C$3:$C$3390,$A1162)&gt;0,1,0)</f>
        <v>0</v>
      </c>
      <c r="K1162">
        <f>IF(COUNTIFS('United Data'!$A$3:$A$3390,K$1,'United Data'!$C$3:$C$3390,$A1162)&gt;0,1,0)</f>
        <v>0</v>
      </c>
      <c r="L1162">
        <f>IF(COUNTIFS('United Data'!$A$3:$A$3390,L$1,'United Data'!$C$3:$C$3390,$A1162)&gt;0,1,0)</f>
        <v>0</v>
      </c>
      <c r="M1162">
        <f>IF(COUNTIFS('United Data'!$A$3:$A$3390,M$1,'United Data'!$C$3:$C$3390,$A1162)&gt;0,1,0)</f>
        <v>0</v>
      </c>
      <c r="N1162">
        <f>IF(COUNTIFS('United Data'!$A$3:$A$3390,N$1,'United Data'!$C$3:$C$3390,$A1162)&gt;0,1,0)</f>
        <v>0</v>
      </c>
      <c r="O1162">
        <f>IF(COUNTIFS('United Data'!$A$3:$A$3390,O$1,'United Data'!$C$3:$C$3390,$A1162)&gt;0,1,0)</f>
        <v>0</v>
      </c>
      <c r="P1162">
        <f>IF(COUNTIFS('United Data'!$A$3:$A$3390,P$1,'United Data'!$C$3:$C$3390,$A1162)&gt;0,1,0)</f>
        <v>0</v>
      </c>
      <c r="Q1162">
        <f>IF(COUNTIFS('United Data'!$A$3:$A$3390,Q$1,'United Data'!$C$3:$C$3390,$A1162)&gt;0,1,0)</f>
        <v>1</v>
      </c>
      <c r="R1162">
        <f>IF(COUNTIFS('United Data'!$A$3:$A$3390,R$1,'United Data'!$C$3:$C$3390,$A1162)&gt;0,1,0)</f>
        <v>1</v>
      </c>
      <c r="S1162">
        <f t="shared" si="36"/>
        <v>2</v>
      </c>
      <c r="T1162">
        <f t="shared" si="37"/>
        <v>1</v>
      </c>
    </row>
    <row r="1163" spans="1:20" x14ac:dyDescent="0.2">
      <c r="A1163" t="s">
        <v>1384</v>
      </c>
      <c r="B1163">
        <f>IF(COUNTIFS('United Data'!$A$3:$A$3390,B$1,'United Data'!$C$3:$C$3390,$A1163)&gt;0,1,0)</f>
        <v>0</v>
      </c>
      <c r="C1163">
        <f>IF(COUNTIFS('United Data'!$A$3:$A$3390,C$1,'United Data'!$C$3:$C$3390,$A1163)&gt;0,1,0)</f>
        <v>0</v>
      </c>
      <c r="D1163">
        <f>IF(COUNTIFS('United Data'!$A$3:$A$3390,D$1,'United Data'!$C$3:$C$3390,$A1163)&gt;0,1,0)</f>
        <v>0</v>
      </c>
      <c r="E1163">
        <f>IF(COUNTIFS('United Data'!$A$3:$A$3390,E$1,'United Data'!$C$3:$C$3390,$A1163)&gt;0,1,0)</f>
        <v>0</v>
      </c>
      <c r="F1163">
        <f>IF(COUNTIFS('United Data'!$A$3:$A$3390,F$1,'United Data'!$C$3:$C$3390,$A1163)&gt;0,1,0)</f>
        <v>0</v>
      </c>
      <c r="G1163">
        <f>IF(COUNTIFS('United Data'!$A$3:$A$3390,G$1,'United Data'!$C$3:$C$3390,$A1163)&gt;0,1,0)</f>
        <v>0</v>
      </c>
      <c r="H1163">
        <f>IF(COUNTIFS('United Data'!$A$3:$A$3390,H$1,'United Data'!$C$3:$C$3390,$A1163)&gt;0,1,0)</f>
        <v>0</v>
      </c>
      <c r="I1163">
        <f>IF(COUNTIFS('United Data'!$A$3:$A$3390,I$1,'United Data'!$C$3:$C$3390,$A1163)&gt;0,1,0)</f>
        <v>0</v>
      </c>
      <c r="J1163">
        <f>IF(COUNTIFS('United Data'!$A$3:$A$3390,J$1,'United Data'!$C$3:$C$3390,$A1163)&gt;0,1,0)</f>
        <v>0</v>
      </c>
      <c r="K1163">
        <f>IF(COUNTIFS('United Data'!$A$3:$A$3390,K$1,'United Data'!$C$3:$C$3390,$A1163)&gt;0,1,0)</f>
        <v>0</v>
      </c>
      <c r="L1163">
        <f>IF(COUNTIFS('United Data'!$A$3:$A$3390,L$1,'United Data'!$C$3:$C$3390,$A1163)&gt;0,1,0)</f>
        <v>0</v>
      </c>
      <c r="M1163">
        <f>IF(COUNTIFS('United Data'!$A$3:$A$3390,M$1,'United Data'!$C$3:$C$3390,$A1163)&gt;0,1,0)</f>
        <v>0</v>
      </c>
      <c r="N1163">
        <f>IF(COUNTIFS('United Data'!$A$3:$A$3390,N$1,'United Data'!$C$3:$C$3390,$A1163)&gt;0,1,0)</f>
        <v>0</v>
      </c>
      <c r="O1163">
        <f>IF(COUNTIFS('United Data'!$A$3:$A$3390,O$1,'United Data'!$C$3:$C$3390,$A1163)&gt;0,1,0)</f>
        <v>0</v>
      </c>
      <c r="P1163">
        <f>IF(COUNTIFS('United Data'!$A$3:$A$3390,P$1,'United Data'!$C$3:$C$3390,$A1163)&gt;0,1,0)</f>
        <v>0</v>
      </c>
      <c r="Q1163">
        <f>IF(COUNTIFS('United Data'!$A$3:$A$3390,Q$1,'United Data'!$C$3:$C$3390,$A1163)&gt;0,1,0)</f>
        <v>1</v>
      </c>
      <c r="R1163">
        <f>IF(COUNTIFS('United Data'!$A$3:$A$3390,R$1,'United Data'!$C$3:$C$3390,$A1163)&gt;0,1,0)</f>
        <v>0</v>
      </c>
      <c r="S1163">
        <f t="shared" si="36"/>
        <v>1</v>
      </c>
      <c r="T1163">
        <f t="shared" si="37"/>
        <v>1</v>
      </c>
    </row>
    <row r="1164" spans="1:20" x14ac:dyDescent="0.2">
      <c r="A1164" t="s">
        <v>1385</v>
      </c>
      <c r="B1164">
        <f>IF(COUNTIFS('United Data'!$A$3:$A$3390,B$1,'United Data'!$C$3:$C$3390,$A1164)&gt;0,1,0)</f>
        <v>0</v>
      </c>
      <c r="C1164">
        <f>IF(COUNTIFS('United Data'!$A$3:$A$3390,C$1,'United Data'!$C$3:$C$3390,$A1164)&gt;0,1,0)</f>
        <v>0</v>
      </c>
      <c r="D1164">
        <f>IF(COUNTIFS('United Data'!$A$3:$A$3390,D$1,'United Data'!$C$3:$C$3390,$A1164)&gt;0,1,0)</f>
        <v>0</v>
      </c>
      <c r="E1164">
        <f>IF(COUNTIFS('United Data'!$A$3:$A$3390,E$1,'United Data'!$C$3:$C$3390,$A1164)&gt;0,1,0)</f>
        <v>0</v>
      </c>
      <c r="F1164">
        <f>IF(COUNTIFS('United Data'!$A$3:$A$3390,F$1,'United Data'!$C$3:$C$3390,$A1164)&gt;0,1,0)</f>
        <v>0</v>
      </c>
      <c r="G1164">
        <f>IF(COUNTIFS('United Data'!$A$3:$A$3390,G$1,'United Data'!$C$3:$C$3390,$A1164)&gt;0,1,0)</f>
        <v>0</v>
      </c>
      <c r="H1164">
        <f>IF(COUNTIFS('United Data'!$A$3:$A$3390,H$1,'United Data'!$C$3:$C$3390,$A1164)&gt;0,1,0)</f>
        <v>0</v>
      </c>
      <c r="I1164">
        <f>IF(COUNTIFS('United Data'!$A$3:$A$3390,I$1,'United Data'!$C$3:$C$3390,$A1164)&gt;0,1,0)</f>
        <v>0</v>
      </c>
      <c r="J1164">
        <f>IF(COUNTIFS('United Data'!$A$3:$A$3390,J$1,'United Data'!$C$3:$C$3390,$A1164)&gt;0,1,0)</f>
        <v>0</v>
      </c>
      <c r="K1164">
        <f>IF(COUNTIFS('United Data'!$A$3:$A$3390,K$1,'United Data'!$C$3:$C$3390,$A1164)&gt;0,1,0)</f>
        <v>0</v>
      </c>
      <c r="L1164">
        <f>IF(COUNTIFS('United Data'!$A$3:$A$3390,L$1,'United Data'!$C$3:$C$3390,$A1164)&gt;0,1,0)</f>
        <v>0</v>
      </c>
      <c r="M1164">
        <f>IF(COUNTIFS('United Data'!$A$3:$A$3390,M$1,'United Data'!$C$3:$C$3390,$A1164)&gt;0,1,0)</f>
        <v>0</v>
      </c>
      <c r="N1164">
        <f>IF(COUNTIFS('United Data'!$A$3:$A$3390,N$1,'United Data'!$C$3:$C$3390,$A1164)&gt;0,1,0)</f>
        <v>0</v>
      </c>
      <c r="O1164">
        <f>IF(COUNTIFS('United Data'!$A$3:$A$3390,O$1,'United Data'!$C$3:$C$3390,$A1164)&gt;0,1,0)</f>
        <v>0</v>
      </c>
      <c r="P1164">
        <f>IF(COUNTIFS('United Data'!$A$3:$A$3390,P$1,'United Data'!$C$3:$C$3390,$A1164)&gt;0,1,0)</f>
        <v>0</v>
      </c>
      <c r="Q1164">
        <f>IF(COUNTIFS('United Data'!$A$3:$A$3390,Q$1,'United Data'!$C$3:$C$3390,$A1164)&gt;0,1,0)</f>
        <v>1</v>
      </c>
      <c r="R1164">
        <f>IF(COUNTIFS('United Data'!$A$3:$A$3390,R$1,'United Data'!$C$3:$C$3390,$A1164)&gt;0,1,0)</f>
        <v>0</v>
      </c>
      <c r="S1164">
        <f t="shared" si="36"/>
        <v>1</v>
      </c>
      <c r="T1164">
        <f t="shared" si="37"/>
        <v>1</v>
      </c>
    </row>
    <row r="1165" spans="1:20" x14ac:dyDescent="0.2">
      <c r="A1165" t="s">
        <v>1386</v>
      </c>
      <c r="B1165">
        <f>IF(COUNTIFS('United Data'!$A$3:$A$3390,B$1,'United Data'!$C$3:$C$3390,$A1165)&gt;0,1,0)</f>
        <v>0</v>
      </c>
      <c r="C1165">
        <f>IF(COUNTIFS('United Data'!$A$3:$A$3390,C$1,'United Data'!$C$3:$C$3390,$A1165)&gt;0,1,0)</f>
        <v>0</v>
      </c>
      <c r="D1165">
        <f>IF(COUNTIFS('United Data'!$A$3:$A$3390,D$1,'United Data'!$C$3:$C$3390,$A1165)&gt;0,1,0)</f>
        <v>0</v>
      </c>
      <c r="E1165">
        <f>IF(COUNTIFS('United Data'!$A$3:$A$3390,E$1,'United Data'!$C$3:$C$3390,$A1165)&gt;0,1,0)</f>
        <v>0</v>
      </c>
      <c r="F1165">
        <f>IF(COUNTIFS('United Data'!$A$3:$A$3390,F$1,'United Data'!$C$3:$C$3390,$A1165)&gt;0,1,0)</f>
        <v>0</v>
      </c>
      <c r="G1165">
        <f>IF(COUNTIFS('United Data'!$A$3:$A$3390,G$1,'United Data'!$C$3:$C$3390,$A1165)&gt;0,1,0)</f>
        <v>0</v>
      </c>
      <c r="H1165">
        <f>IF(COUNTIFS('United Data'!$A$3:$A$3390,H$1,'United Data'!$C$3:$C$3390,$A1165)&gt;0,1,0)</f>
        <v>0</v>
      </c>
      <c r="I1165">
        <f>IF(COUNTIFS('United Data'!$A$3:$A$3390,I$1,'United Data'!$C$3:$C$3390,$A1165)&gt;0,1,0)</f>
        <v>0</v>
      </c>
      <c r="J1165">
        <f>IF(COUNTIFS('United Data'!$A$3:$A$3390,J$1,'United Data'!$C$3:$C$3390,$A1165)&gt;0,1,0)</f>
        <v>0</v>
      </c>
      <c r="K1165">
        <f>IF(COUNTIFS('United Data'!$A$3:$A$3390,K$1,'United Data'!$C$3:$C$3390,$A1165)&gt;0,1,0)</f>
        <v>0</v>
      </c>
      <c r="L1165">
        <f>IF(COUNTIFS('United Data'!$A$3:$A$3390,L$1,'United Data'!$C$3:$C$3390,$A1165)&gt;0,1,0)</f>
        <v>0</v>
      </c>
      <c r="M1165">
        <f>IF(COUNTIFS('United Data'!$A$3:$A$3390,M$1,'United Data'!$C$3:$C$3390,$A1165)&gt;0,1,0)</f>
        <v>0</v>
      </c>
      <c r="N1165">
        <f>IF(COUNTIFS('United Data'!$A$3:$A$3390,N$1,'United Data'!$C$3:$C$3390,$A1165)&gt;0,1,0)</f>
        <v>0</v>
      </c>
      <c r="O1165">
        <f>IF(COUNTIFS('United Data'!$A$3:$A$3390,O$1,'United Data'!$C$3:$C$3390,$A1165)&gt;0,1,0)</f>
        <v>0</v>
      </c>
      <c r="P1165">
        <f>IF(COUNTIFS('United Data'!$A$3:$A$3390,P$1,'United Data'!$C$3:$C$3390,$A1165)&gt;0,1,0)</f>
        <v>0</v>
      </c>
      <c r="Q1165">
        <f>IF(COUNTIFS('United Data'!$A$3:$A$3390,Q$1,'United Data'!$C$3:$C$3390,$A1165)&gt;0,1,0)</f>
        <v>1</v>
      </c>
      <c r="R1165">
        <f>IF(COUNTIFS('United Data'!$A$3:$A$3390,R$1,'United Data'!$C$3:$C$3390,$A1165)&gt;0,1,0)</f>
        <v>0</v>
      </c>
      <c r="S1165">
        <f t="shared" si="36"/>
        <v>1</v>
      </c>
      <c r="T1165">
        <f t="shared" si="37"/>
        <v>1</v>
      </c>
    </row>
    <row r="1166" spans="1:20" x14ac:dyDescent="0.2">
      <c r="A1166" t="s">
        <v>1387</v>
      </c>
      <c r="B1166">
        <f>IF(COUNTIFS('United Data'!$A$3:$A$3390,B$1,'United Data'!$C$3:$C$3390,$A1166)&gt;0,1,0)</f>
        <v>0</v>
      </c>
      <c r="C1166">
        <f>IF(COUNTIFS('United Data'!$A$3:$A$3390,C$1,'United Data'!$C$3:$C$3390,$A1166)&gt;0,1,0)</f>
        <v>0</v>
      </c>
      <c r="D1166">
        <f>IF(COUNTIFS('United Data'!$A$3:$A$3390,D$1,'United Data'!$C$3:$C$3390,$A1166)&gt;0,1,0)</f>
        <v>0</v>
      </c>
      <c r="E1166">
        <f>IF(COUNTIFS('United Data'!$A$3:$A$3390,E$1,'United Data'!$C$3:$C$3390,$A1166)&gt;0,1,0)</f>
        <v>0</v>
      </c>
      <c r="F1166">
        <f>IF(COUNTIFS('United Data'!$A$3:$A$3390,F$1,'United Data'!$C$3:$C$3390,$A1166)&gt;0,1,0)</f>
        <v>0</v>
      </c>
      <c r="G1166">
        <f>IF(COUNTIFS('United Data'!$A$3:$A$3390,G$1,'United Data'!$C$3:$C$3390,$A1166)&gt;0,1,0)</f>
        <v>0</v>
      </c>
      <c r="H1166">
        <f>IF(COUNTIFS('United Data'!$A$3:$A$3390,H$1,'United Data'!$C$3:$C$3390,$A1166)&gt;0,1,0)</f>
        <v>0</v>
      </c>
      <c r="I1166">
        <f>IF(COUNTIFS('United Data'!$A$3:$A$3390,I$1,'United Data'!$C$3:$C$3390,$A1166)&gt;0,1,0)</f>
        <v>0</v>
      </c>
      <c r="J1166">
        <f>IF(COUNTIFS('United Data'!$A$3:$A$3390,J$1,'United Data'!$C$3:$C$3390,$A1166)&gt;0,1,0)</f>
        <v>0</v>
      </c>
      <c r="K1166">
        <f>IF(COUNTIFS('United Data'!$A$3:$A$3390,K$1,'United Data'!$C$3:$C$3390,$A1166)&gt;0,1,0)</f>
        <v>0</v>
      </c>
      <c r="L1166">
        <f>IF(COUNTIFS('United Data'!$A$3:$A$3390,L$1,'United Data'!$C$3:$C$3390,$A1166)&gt;0,1,0)</f>
        <v>0</v>
      </c>
      <c r="M1166">
        <f>IF(COUNTIFS('United Data'!$A$3:$A$3390,M$1,'United Data'!$C$3:$C$3390,$A1166)&gt;0,1,0)</f>
        <v>0</v>
      </c>
      <c r="N1166">
        <f>IF(COUNTIFS('United Data'!$A$3:$A$3390,N$1,'United Data'!$C$3:$C$3390,$A1166)&gt;0,1,0)</f>
        <v>0</v>
      </c>
      <c r="O1166">
        <f>IF(COUNTIFS('United Data'!$A$3:$A$3390,O$1,'United Data'!$C$3:$C$3390,$A1166)&gt;0,1,0)</f>
        <v>0</v>
      </c>
      <c r="P1166">
        <f>IF(COUNTIFS('United Data'!$A$3:$A$3390,P$1,'United Data'!$C$3:$C$3390,$A1166)&gt;0,1,0)</f>
        <v>0</v>
      </c>
      <c r="Q1166">
        <f>IF(COUNTIFS('United Data'!$A$3:$A$3390,Q$1,'United Data'!$C$3:$C$3390,$A1166)&gt;0,1,0)</f>
        <v>1</v>
      </c>
      <c r="R1166">
        <f>IF(COUNTIFS('United Data'!$A$3:$A$3390,R$1,'United Data'!$C$3:$C$3390,$A1166)&gt;0,1,0)</f>
        <v>0</v>
      </c>
      <c r="S1166">
        <f t="shared" si="36"/>
        <v>1</v>
      </c>
      <c r="T1166">
        <f t="shared" si="37"/>
        <v>1</v>
      </c>
    </row>
    <row r="1167" spans="1:20" x14ac:dyDescent="0.2">
      <c r="A1167" t="s">
        <v>1389</v>
      </c>
      <c r="B1167">
        <f>IF(COUNTIFS('United Data'!$A$3:$A$3390,B$1,'United Data'!$C$3:$C$3390,$A1167)&gt;0,1,0)</f>
        <v>0</v>
      </c>
      <c r="C1167">
        <f>IF(COUNTIFS('United Data'!$A$3:$A$3390,C$1,'United Data'!$C$3:$C$3390,$A1167)&gt;0,1,0)</f>
        <v>0</v>
      </c>
      <c r="D1167">
        <f>IF(COUNTIFS('United Data'!$A$3:$A$3390,D$1,'United Data'!$C$3:$C$3390,$A1167)&gt;0,1,0)</f>
        <v>0</v>
      </c>
      <c r="E1167">
        <f>IF(COUNTIFS('United Data'!$A$3:$A$3390,E$1,'United Data'!$C$3:$C$3390,$A1167)&gt;0,1,0)</f>
        <v>0</v>
      </c>
      <c r="F1167">
        <f>IF(COUNTIFS('United Data'!$A$3:$A$3390,F$1,'United Data'!$C$3:$C$3390,$A1167)&gt;0,1,0)</f>
        <v>0</v>
      </c>
      <c r="G1167">
        <f>IF(COUNTIFS('United Data'!$A$3:$A$3390,G$1,'United Data'!$C$3:$C$3390,$A1167)&gt;0,1,0)</f>
        <v>0</v>
      </c>
      <c r="H1167">
        <f>IF(COUNTIFS('United Data'!$A$3:$A$3390,H$1,'United Data'!$C$3:$C$3390,$A1167)&gt;0,1,0)</f>
        <v>0</v>
      </c>
      <c r="I1167">
        <f>IF(COUNTIFS('United Data'!$A$3:$A$3390,I$1,'United Data'!$C$3:$C$3390,$A1167)&gt;0,1,0)</f>
        <v>0</v>
      </c>
      <c r="J1167">
        <f>IF(COUNTIFS('United Data'!$A$3:$A$3390,J$1,'United Data'!$C$3:$C$3390,$A1167)&gt;0,1,0)</f>
        <v>0</v>
      </c>
      <c r="K1167">
        <f>IF(COUNTIFS('United Data'!$A$3:$A$3390,K$1,'United Data'!$C$3:$C$3390,$A1167)&gt;0,1,0)</f>
        <v>0</v>
      </c>
      <c r="L1167">
        <f>IF(COUNTIFS('United Data'!$A$3:$A$3390,L$1,'United Data'!$C$3:$C$3390,$A1167)&gt;0,1,0)</f>
        <v>0</v>
      </c>
      <c r="M1167">
        <f>IF(COUNTIFS('United Data'!$A$3:$A$3390,M$1,'United Data'!$C$3:$C$3390,$A1167)&gt;0,1,0)</f>
        <v>0</v>
      </c>
      <c r="N1167">
        <f>IF(COUNTIFS('United Data'!$A$3:$A$3390,N$1,'United Data'!$C$3:$C$3390,$A1167)&gt;0,1,0)</f>
        <v>0</v>
      </c>
      <c r="O1167">
        <f>IF(COUNTIFS('United Data'!$A$3:$A$3390,O$1,'United Data'!$C$3:$C$3390,$A1167)&gt;0,1,0)</f>
        <v>0</v>
      </c>
      <c r="P1167">
        <f>IF(COUNTIFS('United Data'!$A$3:$A$3390,P$1,'United Data'!$C$3:$C$3390,$A1167)&gt;0,1,0)</f>
        <v>0</v>
      </c>
      <c r="Q1167">
        <f>IF(COUNTIFS('United Data'!$A$3:$A$3390,Q$1,'United Data'!$C$3:$C$3390,$A1167)&gt;0,1,0)</f>
        <v>1</v>
      </c>
      <c r="R1167">
        <f>IF(COUNTIFS('United Data'!$A$3:$A$3390,R$1,'United Data'!$C$3:$C$3390,$A1167)&gt;0,1,0)</f>
        <v>0</v>
      </c>
      <c r="S1167">
        <f t="shared" si="36"/>
        <v>1</v>
      </c>
      <c r="T1167">
        <f t="shared" si="37"/>
        <v>1</v>
      </c>
    </row>
    <row r="1168" spans="1:20" x14ac:dyDescent="0.2">
      <c r="A1168" t="s">
        <v>1390</v>
      </c>
      <c r="B1168">
        <f>IF(COUNTIFS('United Data'!$A$3:$A$3390,B$1,'United Data'!$C$3:$C$3390,$A1168)&gt;0,1,0)</f>
        <v>0</v>
      </c>
      <c r="C1168">
        <f>IF(COUNTIFS('United Data'!$A$3:$A$3390,C$1,'United Data'!$C$3:$C$3390,$A1168)&gt;0,1,0)</f>
        <v>0</v>
      </c>
      <c r="D1168">
        <f>IF(COUNTIFS('United Data'!$A$3:$A$3390,D$1,'United Data'!$C$3:$C$3390,$A1168)&gt;0,1,0)</f>
        <v>0</v>
      </c>
      <c r="E1168">
        <f>IF(COUNTIFS('United Data'!$A$3:$A$3390,E$1,'United Data'!$C$3:$C$3390,$A1168)&gt;0,1,0)</f>
        <v>0</v>
      </c>
      <c r="F1168">
        <f>IF(COUNTIFS('United Data'!$A$3:$A$3390,F$1,'United Data'!$C$3:$C$3390,$A1168)&gt;0,1,0)</f>
        <v>0</v>
      </c>
      <c r="G1168">
        <f>IF(COUNTIFS('United Data'!$A$3:$A$3390,G$1,'United Data'!$C$3:$C$3390,$A1168)&gt;0,1,0)</f>
        <v>0</v>
      </c>
      <c r="H1168">
        <f>IF(COUNTIFS('United Data'!$A$3:$A$3390,H$1,'United Data'!$C$3:$C$3390,$A1168)&gt;0,1,0)</f>
        <v>0</v>
      </c>
      <c r="I1168">
        <f>IF(COUNTIFS('United Data'!$A$3:$A$3390,I$1,'United Data'!$C$3:$C$3390,$A1168)&gt;0,1,0)</f>
        <v>0</v>
      </c>
      <c r="J1168">
        <f>IF(COUNTIFS('United Data'!$A$3:$A$3390,J$1,'United Data'!$C$3:$C$3390,$A1168)&gt;0,1,0)</f>
        <v>0</v>
      </c>
      <c r="K1168">
        <f>IF(COUNTIFS('United Data'!$A$3:$A$3390,K$1,'United Data'!$C$3:$C$3390,$A1168)&gt;0,1,0)</f>
        <v>0</v>
      </c>
      <c r="L1168">
        <f>IF(COUNTIFS('United Data'!$A$3:$A$3390,L$1,'United Data'!$C$3:$C$3390,$A1168)&gt;0,1,0)</f>
        <v>0</v>
      </c>
      <c r="M1168">
        <f>IF(COUNTIFS('United Data'!$A$3:$A$3390,M$1,'United Data'!$C$3:$C$3390,$A1168)&gt;0,1,0)</f>
        <v>0</v>
      </c>
      <c r="N1168">
        <f>IF(COUNTIFS('United Data'!$A$3:$A$3390,N$1,'United Data'!$C$3:$C$3390,$A1168)&gt;0,1,0)</f>
        <v>0</v>
      </c>
      <c r="O1168">
        <f>IF(COUNTIFS('United Data'!$A$3:$A$3390,O$1,'United Data'!$C$3:$C$3390,$A1168)&gt;0,1,0)</f>
        <v>0</v>
      </c>
      <c r="P1168">
        <f>IF(COUNTIFS('United Data'!$A$3:$A$3390,P$1,'United Data'!$C$3:$C$3390,$A1168)&gt;0,1,0)</f>
        <v>0</v>
      </c>
      <c r="Q1168">
        <f>IF(COUNTIFS('United Data'!$A$3:$A$3390,Q$1,'United Data'!$C$3:$C$3390,$A1168)&gt;0,1,0)</f>
        <v>1</v>
      </c>
      <c r="R1168">
        <f>IF(COUNTIFS('United Data'!$A$3:$A$3390,R$1,'United Data'!$C$3:$C$3390,$A1168)&gt;0,1,0)</f>
        <v>0</v>
      </c>
      <c r="S1168">
        <f t="shared" si="36"/>
        <v>1</v>
      </c>
      <c r="T1168">
        <f t="shared" si="37"/>
        <v>1</v>
      </c>
    </row>
    <row r="1169" spans="1:20" x14ac:dyDescent="0.2">
      <c r="A1169" t="s">
        <v>1391</v>
      </c>
      <c r="B1169">
        <f>IF(COUNTIFS('United Data'!$A$3:$A$3390,B$1,'United Data'!$C$3:$C$3390,$A1169)&gt;0,1,0)</f>
        <v>0</v>
      </c>
      <c r="C1169">
        <f>IF(COUNTIFS('United Data'!$A$3:$A$3390,C$1,'United Data'!$C$3:$C$3390,$A1169)&gt;0,1,0)</f>
        <v>0</v>
      </c>
      <c r="D1169">
        <f>IF(COUNTIFS('United Data'!$A$3:$A$3390,D$1,'United Data'!$C$3:$C$3390,$A1169)&gt;0,1,0)</f>
        <v>0</v>
      </c>
      <c r="E1169">
        <f>IF(COUNTIFS('United Data'!$A$3:$A$3390,E$1,'United Data'!$C$3:$C$3390,$A1169)&gt;0,1,0)</f>
        <v>0</v>
      </c>
      <c r="F1169">
        <f>IF(COUNTIFS('United Data'!$A$3:$A$3390,F$1,'United Data'!$C$3:$C$3390,$A1169)&gt;0,1,0)</f>
        <v>0</v>
      </c>
      <c r="G1169">
        <f>IF(COUNTIFS('United Data'!$A$3:$A$3390,G$1,'United Data'!$C$3:$C$3390,$A1169)&gt;0,1,0)</f>
        <v>0</v>
      </c>
      <c r="H1169">
        <f>IF(COUNTIFS('United Data'!$A$3:$A$3390,H$1,'United Data'!$C$3:$C$3390,$A1169)&gt;0,1,0)</f>
        <v>0</v>
      </c>
      <c r="I1169">
        <f>IF(COUNTIFS('United Data'!$A$3:$A$3390,I$1,'United Data'!$C$3:$C$3390,$A1169)&gt;0,1,0)</f>
        <v>0</v>
      </c>
      <c r="J1169">
        <f>IF(COUNTIFS('United Data'!$A$3:$A$3390,J$1,'United Data'!$C$3:$C$3390,$A1169)&gt;0,1,0)</f>
        <v>0</v>
      </c>
      <c r="K1169">
        <f>IF(COUNTIFS('United Data'!$A$3:$A$3390,K$1,'United Data'!$C$3:$C$3390,$A1169)&gt;0,1,0)</f>
        <v>0</v>
      </c>
      <c r="L1169">
        <f>IF(COUNTIFS('United Data'!$A$3:$A$3390,L$1,'United Data'!$C$3:$C$3390,$A1169)&gt;0,1,0)</f>
        <v>0</v>
      </c>
      <c r="M1169">
        <f>IF(COUNTIFS('United Data'!$A$3:$A$3390,M$1,'United Data'!$C$3:$C$3390,$A1169)&gt;0,1,0)</f>
        <v>0</v>
      </c>
      <c r="N1169">
        <f>IF(COUNTIFS('United Data'!$A$3:$A$3390,N$1,'United Data'!$C$3:$C$3390,$A1169)&gt;0,1,0)</f>
        <v>0</v>
      </c>
      <c r="O1169">
        <f>IF(COUNTIFS('United Data'!$A$3:$A$3390,O$1,'United Data'!$C$3:$C$3390,$A1169)&gt;0,1,0)</f>
        <v>0</v>
      </c>
      <c r="P1169">
        <f>IF(COUNTIFS('United Data'!$A$3:$A$3390,P$1,'United Data'!$C$3:$C$3390,$A1169)&gt;0,1,0)</f>
        <v>0</v>
      </c>
      <c r="Q1169">
        <f>IF(COUNTIFS('United Data'!$A$3:$A$3390,Q$1,'United Data'!$C$3:$C$3390,$A1169)&gt;0,1,0)</f>
        <v>1</v>
      </c>
      <c r="R1169">
        <f>IF(COUNTIFS('United Data'!$A$3:$A$3390,R$1,'United Data'!$C$3:$C$3390,$A1169)&gt;0,1,0)</f>
        <v>0</v>
      </c>
      <c r="S1169">
        <f t="shared" si="36"/>
        <v>1</v>
      </c>
      <c r="T1169">
        <f t="shared" si="37"/>
        <v>1</v>
      </c>
    </row>
    <row r="1170" spans="1:20" x14ac:dyDescent="0.2">
      <c r="A1170" t="s">
        <v>1392</v>
      </c>
      <c r="B1170">
        <f>IF(COUNTIFS('United Data'!$A$3:$A$3390,B$1,'United Data'!$C$3:$C$3390,$A1170)&gt;0,1,0)</f>
        <v>0</v>
      </c>
      <c r="C1170">
        <f>IF(COUNTIFS('United Data'!$A$3:$A$3390,C$1,'United Data'!$C$3:$C$3390,$A1170)&gt;0,1,0)</f>
        <v>0</v>
      </c>
      <c r="D1170">
        <f>IF(COUNTIFS('United Data'!$A$3:$A$3390,D$1,'United Data'!$C$3:$C$3390,$A1170)&gt;0,1,0)</f>
        <v>0</v>
      </c>
      <c r="E1170">
        <f>IF(COUNTIFS('United Data'!$A$3:$A$3390,E$1,'United Data'!$C$3:$C$3390,$A1170)&gt;0,1,0)</f>
        <v>0</v>
      </c>
      <c r="F1170">
        <f>IF(COUNTIFS('United Data'!$A$3:$A$3390,F$1,'United Data'!$C$3:$C$3390,$A1170)&gt;0,1,0)</f>
        <v>0</v>
      </c>
      <c r="G1170">
        <f>IF(COUNTIFS('United Data'!$A$3:$A$3390,G$1,'United Data'!$C$3:$C$3390,$A1170)&gt;0,1,0)</f>
        <v>0</v>
      </c>
      <c r="H1170">
        <f>IF(COUNTIFS('United Data'!$A$3:$A$3390,H$1,'United Data'!$C$3:$C$3390,$A1170)&gt;0,1,0)</f>
        <v>0</v>
      </c>
      <c r="I1170">
        <f>IF(COUNTIFS('United Data'!$A$3:$A$3390,I$1,'United Data'!$C$3:$C$3390,$A1170)&gt;0,1,0)</f>
        <v>0</v>
      </c>
      <c r="J1170">
        <f>IF(COUNTIFS('United Data'!$A$3:$A$3390,J$1,'United Data'!$C$3:$C$3390,$A1170)&gt;0,1,0)</f>
        <v>0</v>
      </c>
      <c r="K1170">
        <f>IF(COUNTIFS('United Data'!$A$3:$A$3390,K$1,'United Data'!$C$3:$C$3390,$A1170)&gt;0,1,0)</f>
        <v>0</v>
      </c>
      <c r="L1170">
        <f>IF(COUNTIFS('United Data'!$A$3:$A$3390,L$1,'United Data'!$C$3:$C$3390,$A1170)&gt;0,1,0)</f>
        <v>0</v>
      </c>
      <c r="M1170">
        <f>IF(COUNTIFS('United Data'!$A$3:$A$3390,M$1,'United Data'!$C$3:$C$3390,$A1170)&gt;0,1,0)</f>
        <v>0</v>
      </c>
      <c r="N1170">
        <f>IF(COUNTIFS('United Data'!$A$3:$A$3390,N$1,'United Data'!$C$3:$C$3390,$A1170)&gt;0,1,0)</f>
        <v>0</v>
      </c>
      <c r="O1170">
        <f>IF(COUNTIFS('United Data'!$A$3:$A$3390,O$1,'United Data'!$C$3:$C$3390,$A1170)&gt;0,1,0)</f>
        <v>0</v>
      </c>
      <c r="P1170">
        <f>IF(COUNTIFS('United Data'!$A$3:$A$3390,P$1,'United Data'!$C$3:$C$3390,$A1170)&gt;0,1,0)</f>
        <v>0</v>
      </c>
      <c r="Q1170">
        <f>IF(COUNTIFS('United Data'!$A$3:$A$3390,Q$1,'United Data'!$C$3:$C$3390,$A1170)&gt;0,1,0)</f>
        <v>1</v>
      </c>
      <c r="R1170">
        <f>IF(COUNTIFS('United Data'!$A$3:$A$3390,R$1,'United Data'!$C$3:$C$3390,$A1170)&gt;0,1,0)</f>
        <v>0</v>
      </c>
      <c r="S1170">
        <f t="shared" si="36"/>
        <v>1</v>
      </c>
      <c r="T1170">
        <f t="shared" si="37"/>
        <v>1</v>
      </c>
    </row>
    <row r="1171" spans="1:20" x14ac:dyDescent="0.2">
      <c r="A1171" t="s">
        <v>1393</v>
      </c>
      <c r="B1171">
        <f>IF(COUNTIFS('United Data'!$A$3:$A$3390,B$1,'United Data'!$C$3:$C$3390,$A1171)&gt;0,1,0)</f>
        <v>0</v>
      </c>
      <c r="C1171">
        <f>IF(COUNTIFS('United Data'!$A$3:$A$3390,C$1,'United Data'!$C$3:$C$3390,$A1171)&gt;0,1,0)</f>
        <v>0</v>
      </c>
      <c r="D1171">
        <f>IF(COUNTIFS('United Data'!$A$3:$A$3390,D$1,'United Data'!$C$3:$C$3390,$A1171)&gt;0,1,0)</f>
        <v>0</v>
      </c>
      <c r="E1171">
        <f>IF(COUNTIFS('United Data'!$A$3:$A$3390,E$1,'United Data'!$C$3:$C$3390,$A1171)&gt;0,1,0)</f>
        <v>0</v>
      </c>
      <c r="F1171">
        <f>IF(COUNTIFS('United Data'!$A$3:$A$3390,F$1,'United Data'!$C$3:$C$3390,$A1171)&gt;0,1,0)</f>
        <v>0</v>
      </c>
      <c r="G1171">
        <f>IF(COUNTIFS('United Data'!$A$3:$A$3390,G$1,'United Data'!$C$3:$C$3390,$A1171)&gt;0,1,0)</f>
        <v>0</v>
      </c>
      <c r="H1171">
        <f>IF(COUNTIFS('United Data'!$A$3:$A$3390,H$1,'United Data'!$C$3:$C$3390,$A1171)&gt;0,1,0)</f>
        <v>0</v>
      </c>
      <c r="I1171">
        <f>IF(COUNTIFS('United Data'!$A$3:$A$3390,I$1,'United Data'!$C$3:$C$3390,$A1171)&gt;0,1,0)</f>
        <v>0</v>
      </c>
      <c r="J1171">
        <f>IF(COUNTIFS('United Data'!$A$3:$A$3390,J$1,'United Data'!$C$3:$C$3390,$A1171)&gt;0,1,0)</f>
        <v>0</v>
      </c>
      <c r="K1171">
        <f>IF(COUNTIFS('United Data'!$A$3:$A$3390,K$1,'United Data'!$C$3:$C$3390,$A1171)&gt;0,1,0)</f>
        <v>0</v>
      </c>
      <c r="L1171">
        <f>IF(COUNTIFS('United Data'!$A$3:$A$3390,L$1,'United Data'!$C$3:$C$3390,$A1171)&gt;0,1,0)</f>
        <v>0</v>
      </c>
      <c r="M1171">
        <f>IF(COUNTIFS('United Data'!$A$3:$A$3390,M$1,'United Data'!$C$3:$C$3390,$A1171)&gt;0,1,0)</f>
        <v>0</v>
      </c>
      <c r="N1171">
        <f>IF(COUNTIFS('United Data'!$A$3:$A$3390,N$1,'United Data'!$C$3:$C$3390,$A1171)&gt;0,1,0)</f>
        <v>0</v>
      </c>
      <c r="O1171">
        <f>IF(COUNTIFS('United Data'!$A$3:$A$3390,O$1,'United Data'!$C$3:$C$3390,$A1171)&gt;0,1,0)</f>
        <v>0</v>
      </c>
      <c r="P1171">
        <f>IF(COUNTIFS('United Data'!$A$3:$A$3390,P$1,'United Data'!$C$3:$C$3390,$A1171)&gt;0,1,0)</f>
        <v>0</v>
      </c>
      <c r="Q1171">
        <f>IF(COUNTIFS('United Data'!$A$3:$A$3390,Q$1,'United Data'!$C$3:$C$3390,$A1171)&gt;0,1,0)</f>
        <v>1</v>
      </c>
      <c r="R1171">
        <f>IF(COUNTIFS('United Data'!$A$3:$A$3390,R$1,'United Data'!$C$3:$C$3390,$A1171)&gt;0,1,0)</f>
        <v>0</v>
      </c>
      <c r="S1171">
        <f t="shared" si="36"/>
        <v>1</v>
      </c>
      <c r="T1171">
        <f t="shared" si="37"/>
        <v>1</v>
      </c>
    </row>
    <row r="1172" spans="1:20" x14ac:dyDescent="0.2">
      <c r="A1172" t="s">
        <v>1394</v>
      </c>
      <c r="B1172">
        <f>IF(COUNTIFS('United Data'!$A$3:$A$3390,B$1,'United Data'!$C$3:$C$3390,$A1172)&gt;0,1,0)</f>
        <v>0</v>
      </c>
      <c r="C1172">
        <f>IF(COUNTIFS('United Data'!$A$3:$A$3390,C$1,'United Data'!$C$3:$C$3390,$A1172)&gt;0,1,0)</f>
        <v>0</v>
      </c>
      <c r="D1172">
        <f>IF(COUNTIFS('United Data'!$A$3:$A$3390,D$1,'United Data'!$C$3:$C$3390,$A1172)&gt;0,1,0)</f>
        <v>0</v>
      </c>
      <c r="E1172">
        <f>IF(COUNTIFS('United Data'!$A$3:$A$3390,E$1,'United Data'!$C$3:$C$3390,$A1172)&gt;0,1,0)</f>
        <v>0</v>
      </c>
      <c r="F1172">
        <f>IF(COUNTIFS('United Data'!$A$3:$A$3390,F$1,'United Data'!$C$3:$C$3390,$A1172)&gt;0,1,0)</f>
        <v>0</v>
      </c>
      <c r="G1172">
        <f>IF(COUNTIFS('United Data'!$A$3:$A$3390,G$1,'United Data'!$C$3:$C$3390,$A1172)&gt;0,1,0)</f>
        <v>0</v>
      </c>
      <c r="H1172">
        <f>IF(COUNTIFS('United Data'!$A$3:$A$3390,H$1,'United Data'!$C$3:$C$3390,$A1172)&gt;0,1,0)</f>
        <v>0</v>
      </c>
      <c r="I1172">
        <f>IF(COUNTIFS('United Data'!$A$3:$A$3390,I$1,'United Data'!$C$3:$C$3390,$A1172)&gt;0,1,0)</f>
        <v>0</v>
      </c>
      <c r="J1172">
        <f>IF(COUNTIFS('United Data'!$A$3:$A$3390,J$1,'United Data'!$C$3:$C$3390,$A1172)&gt;0,1,0)</f>
        <v>0</v>
      </c>
      <c r="K1172">
        <f>IF(COUNTIFS('United Data'!$A$3:$A$3390,K$1,'United Data'!$C$3:$C$3390,$A1172)&gt;0,1,0)</f>
        <v>0</v>
      </c>
      <c r="L1172">
        <f>IF(COUNTIFS('United Data'!$A$3:$A$3390,L$1,'United Data'!$C$3:$C$3390,$A1172)&gt;0,1,0)</f>
        <v>0</v>
      </c>
      <c r="M1172">
        <f>IF(COUNTIFS('United Data'!$A$3:$A$3390,M$1,'United Data'!$C$3:$C$3390,$A1172)&gt;0,1,0)</f>
        <v>0</v>
      </c>
      <c r="N1172">
        <f>IF(COUNTIFS('United Data'!$A$3:$A$3390,N$1,'United Data'!$C$3:$C$3390,$A1172)&gt;0,1,0)</f>
        <v>0</v>
      </c>
      <c r="O1172">
        <f>IF(COUNTIFS('United Data'!$A$3:$A$3390,O$1,'United Data'!$C$3:$C$3390,$A1172)&gt;0,1,0)</f>
        <v>0</v>
      </c>
      <c r="P1172">
        <f>IF(COUNTIFS('United Data'!$A$3:$A$3390,P$1,'United Data'!$C$3:$C$3390,$A1172)&gt;0,1,0)</f>
        <v>0</v>
      </c>
      <c r="Q1172">
        <f>IF(COUNTIFS('United Data'!$A$3:$A$3390,Q$1,'United Data'!$C$3:$C$3390,$A1172)&gt;0,1,0)</f>
        <v>1</v>
      </c>
      <c r="R1172">
        <f>IF(COUNTIFS('United Data'!$A$3:$A$3390,R$1,'United Data'!$C$3:$C$3390,$A1172)&gt;0,1,0)</f>
        <v>0</v>
      </c>
      <c r="S1172">
        <f t="shared" si="36"/>
        <v>1</v>
      </c>
      <c r="T1172">
        <f t="shared" si="37"/>
        <v>1</v>
      </c>
    </row>
    <row r="1173" spans="1:20" x14ac:dyDescent="0.2">
      <c r="A1173" t="s">
        <v>1395</v>
      </c>
      <c r="B1173">
        <f>IF(COUNTIFS('United Data'!$A$3:$A$3390,B$1,'United Data'!$C$3:$C$3390,$A1173)&gt;0,1,0)</f>
        <v>0</v>
      </c>
      <c r="C1173">
        <f>IF(COUNTIFS('United Data'!$A$3:$A$3390,C$1,'United Data'!$C$3:$C$3390,$A1173)&gt;0,1,0)</f>
        <v>0</v>
      </c>
      <c r="D1173">
        <f>IF(COUNTIFS('United Data'!$A$3:$A$3390,D$1,'United Data'!$C$3:$C$3390,$A1173)&gt;0,1,0)</f>
        <v>0</v>
      </c>
      <c r="E1173">
        <f>IF(COUNTIFS('United Data'!$A$3:$A$3390,E$1,'United Data'!$C$3:$C$3390,$A1173)&gt;0,1,0)</f>
        <v>0</v>
      </c>
      <c r="F1173">
        <f>IF(COUNTIFS('United Data'!$A$3:$A$3390,F$1,'United Data'!$C$3:$C$3390,$A1173)&gt;0,1,0)</f>
        <v>0</v>
      </c>
      <c r="G1173">
        <f>IF(COUNTIFS('United Data'!$A$3:$A$3390,G$1,'United Data'!$C$3:$C$3390,$A1173)&gt;0,1,0)</f>
        <v>0</v>
      </c>
      <c r="H1173">
        <f>IF(COUNTIFS('United Data'!$A$3:$A$3390,H$1,'United Data'!$C$3:$C$3390,$A1173)&gt;0,1,0)</f>
        <v>0</v>
      </c>
      <c r="I1173">
        <f>IF(COUNTIFS('United Data'!$A$3:$A$3390,I$1,'United Data'!$C$3:$C$3390,$A1173)&gt;0,1,0)</f>
        <v>0</v>
      </c>
      <c r="J1173">
        <f>IF(COUNTIFS('United Data'!$A$3:$A$3390,J$1,'United Data'!$C$3:$C$3390,$A1173)&gt;0,1,0)</f>
        <v>0</v>
      </c>
      <c r="K1173">
        <f>IF(COUNTIFS('United Data'!$A$3:$A$3390,K$1,'United Data'!$C$3:$C$3390,$A1173)&gt;0,1,0)</f>
        <v>0</v>
      </c>
      <c r="L1173">
        <f>IF(COUNTIFS('United Data'!$A$3:$A$3390,L$1,'United Data'!$C$3:$C$3390,$A1173)&gt;0,1,0)</f>
        <v>0</v>
      </c>
      <c r="M1173">
        <f>IF(COUNTIFS('United Data'!$A$3:$A$3390,M$1,'United Data'!$C$3:$C$3390,$A1173)&gt;0,1,0)</f>
        <v>0</v>
      </c>
      <c r="N1173">
        <f>IF(COUNTIFS('United Data'!$A$3:$A$3390,N$1,'United Data'!$C$3:$C$3390,$A1173)&gt;0,1,0)</f>
        <v>0</v>
      </c>
      <c r="O1173">
        <f>IF(COUNTIFS('United Data'!$A$3:$A$3390,O$1,'United Data'!$C$3:$C$3390,$A1173)&gt;0,1,0)</f>
        <v>0</v>
      </c>
      <c r="P1173">
        <f>IF(COUNTIFS('United Data'!$A$3:$A$3390,P$1,'United Data'!$C$3:$C$3390,$A1173)&gt;0,1,0)</f>
        <v>0</v>
      </c>
      <c r="Q1173">
        <f>IF(COUNTIFS('United Data'!$A$3:$A$3390,Q$1,'United Data'!$C$3:$C$3390,$A1173)&gt;0,1,0)</f>
        <v>1</v>
      </c>
      <c r="R1173">
        <f>IF(COUNTIFS('United Data'!$A$3:$A$3390,R$1,'United Data'!$C$3:$C$3390,$A1173)&gt;0,1,0)</f>
        <v>0</v>
      </c>
      <c r="S1173">
        <f t="shared" si="36"/>
        <v>1</v>
      </c>
      <c r="T1173">
        <f t="shared" si="37"/>
        <v>1</v>
      </c>
    </row>
    <row r="1174" spans="1:20" x14ac:dyDescent="0.2">
      <c r="A1174" t="s">
        <v>1396</v>
      </c>
      <c r="B1174">
        <f>IF(COUNTIFS('United Data'!$A$3:$A$3390,B$1,'United Data'!$C$3:$C$3390,$A1174)&gt;0,1,0)</f>
        <v>0</v>
      </c>
      <c r="C1174">
        <f>IF(COUNTIFS('United Data'!$A$3:$A$3390,C$1,'United Data'!$C$3:$C$3390,$A1174)&gt;0,1,0)</f>
        <v>0</v>
      </c>
      <c r="D1174">
        <f>IF(COUNTIFS('United Data'!$A$3:$A$3390,D$1,'United Data'!$C$3:$C$3390,$A1174)&gt;0,1,0)</f>
        <v>0</v>
      </c>
      <c r="E1174">
        <f>IF(COUNTIFS('United Data'!$A$3:$A$3390,E$1,'United Data'!$C$3:$C$3390,$A1174)&gt;0,1,0)</f>
        <v>0</v>
      </c>
      <c r="F1174">
        <f>IF(COUNTIFS('United Data'!$A$3:$A$3390,F$1,'United Data'!$C$3:$C$3390,$A1174)&gt;0,1,0)</f>
        <v>0</v>
      </c>
      <c r="G1174">
        <f>IF(COUNTIFS('United Data'!$A$3:$A$3390,G$1,'United Data'!$C$3:$C$3390,$A1174)&gt;0,1,0)</f>
        <v>0</v>
      </c>
      <c r="H1174">
        <f>IF(COUNTIFS('United Data'!$A$3:$A$3390,H$1,'United Data'!$C$3:$C$3390,$A1174)&gt;0,1,0)</f>
        <v>0</v>
      </c>
      <c r="I1174">
        <f>IF(COUNTIFS('United Data'!$A$3:$A$3390,I$1,'United Data'!$C$3:$C$3390,$A1174)&gt;0,1,0)</f>
        <v>0</v>
      </c>
      <c r="J1174">
        <f>IF(COUNTIFS('United Data'!$A$3:$A$3390,J$1,'United Data'!$C$3:$C$3390,$A1174)&gt;0,1,0)</f>
        <v>0</v>
      </c>
      <c r="K1174">
        <f>IF(COUNTIFS('United Data'!$A$3:$A$3390,K$1,'United Data'!$C$3:$C$3390,$A1174)&gt;0,1,0)</f>
        <v>0</v>
      </c>
      <c r="L1174">
        <f>IF(COUNTIFS('United Data'!$A$3:$A$3390,L$1,'United Data'!$C$3:$C$3390,$A1174)&gt;0,1,0)</f>
        <v>0</v>
      </c>
      <c r="M1174">
        <f>IF(COUNTIFS('United Data'!$A$3:$A$3390,M$1,'United Data'!$C$3:$C$3390,$A1174)&gt;0,1,0)</f>
        <v>0</v>
      </c>
      <c r="N1174">
        <f>IF(COUNTIFS('United Data'!$A$3:$A$3390,N$1,'United Data'!$C$3:$C$3390,$A1174)&gt;0,1,0)</f>
        <v>0</v>
      </c>
      <c r="O1174">
        <f>IF(COUNTIFS('United Data'!$A$3:$A$3390,O$1,'United Data'!$C$3:$C$3390,$A1174)&gt;0,1,0)</f>
        <v>0</v>
      </c>
      <c r="P1174">
        <f>IF(COUNTIFS('United Data'!$A$3:$A$3390,P$1,'United Data'!$C$3:$C$3390,$A1174)&gt;0,1,0)</f>
        <v>0</v>
      </c>
      <c r="Q1174">
        <f>IF(COUNTIFS('United Data'!$A$3:$A$3390,Q$1,'United Data'!$C$3:$C$3390,$A1174)&gt;0,1,0)</f>
        <v>1</v>
      </c>
      <c r="R1174">
        <f>IF(COUNTIFS('United Data'!$A$3:$A$3390,R$1,'United Data'!$C$3:$C$3390,$A1174)&gt;0,1,0)</f>
        <v>0</v>
      </c>
      <c r="S1174">
        <f t="shared" si="36"/>
        <v>1</v>
      </c>
      <c r="T1174">
        <f t="shared" si="37"/>
        <v>1</v>
      </c>
    </row>
    <row r="1175" spans="1:20" x14ac:dyDescent="0.2">
      <c r="A1175" t="s">
        <v>1397</v>
      </c>
      <c r="B1175">
        <f>IF(COUNTIFS('United Data'!$A$3:$A$3390,B$1,'United Data'!$C$3:$C$3390,$A1175)&gt;0,1,0)</f>
        <v>0</v>
      </c>
      <c r="C1175">
        <f>IF(COUNTIFS('United Data'!$A$3:$A$3390,C$1,'United Data'!$C$3:$C$3390,$A1175)&gt;0,1,0)</f>
        <v>0</v>
      </c>
      <c r="D1175">
        <f>IF(COUNTIFS('United Data'!$A$3:$A$3390,D$1,'United Data'!$C$3:$C$3390,$A1175)&gt;0,1,0)</f>
        <v>0</v>
      </c>
      <c r="E1175">
        <f>IF(COUNTIFS('United Data'!$A$3:$A$3390,E$1,'United Data'!$C$3:$C$3390,$A1175)&gt;0,1,0)</f>
        <v>0</v>
      </c>
      <c r="F1175">
        <f>IF(COUNTIFS('United Data'!$A$3:$A$3390,F$1,'United Data'!$C$3:$C$3390,$A1175)&gt;0,1,0)</f>
        <v>0</v>
      </c>
      <c r="G1175">
        <f>IF(COUNTIFS('United Data'!$A$3:$A$3390,G$1,'United Data'!$C$3:$C$3390,$A1175)&gt;0,1,0)</f>
        <v>0</v>
      </c>
      <c r="H1175">
        <f>IF(COUNTIFS('United Data'!$A$3:$A$3390,H$1,'United Data'!$C$3:$C$3390,$A1175)&gt;0,1,0)</f>
        <v>0</v>
      </c>
      <c r="I1175">
        <f>IF(COUNTIFS('United Data'!$A$3:$A$3390,I$1,'United Data'!$C$3:$C$3390,$A1175)&gt;0,1,0)</f>
        <v>0</v>
      </c>
      <c r="J1175">
        <f>IF(COUNTIFS('United Data'!$A$3:$A$3390,J$1,'United Data'!$C$3:$C$3390,$A1175)&gt;0,1,0)</f>
        <v>0</v>
      </c>
      <c r="K1175">
        <f>IF(COUNTIFS('United Data'!$A$3:$A$3390,K$1,'United Data'!$C$3:$C$3390,$A1175)&gt;0,1,0)</f>
        <v>0</v>
      </c>
      <c r="L1175">
        <f>IF(COUNTIFS('United Data'!$A$3:$A$3390,L$1,'United Data'!$C$3:$C$3390,$A1175)&gt;0,1,0)</f>
        <v>0</v>
      </c>
      <c r="M1175">
        <f>IF(COUNTIFS('United Data'!$A$3:$A$3390,M$1,'United Data'!$C$3:$C$3390,$A1175)&gt;0,1,0)</f>
        <v>0</v>
      </c>
      <c r="N1175">
        <f>IF(COUNTIFS('United Data'!$A$3:$A$3390,N$1,'United Data'!$C$3:$C$3390,$A1175)&gt;0,1,0)</f>
        <v>0</v>
      </c>
      <c r="O1175">
        <f>IF(COUNTIFS('United Data'!$A$3:$A$3390,O$1,'United Data'!$C$3:$C$3390,$A1175)&gt;0,1,0)</f>
        <v>0</v>
      </c>
      <c r="P1175">
        <f>IF(COUNTIFS('United Data'!$A$3:$A$3390,P$1,'United Data'!$C$3:$C$3390,$A1175)&gt;0,1,0)</f>
        <v>0</v>
      </c>
      <c r="Q1175">
        <f>IF(COUNTIFS('United Data'!$A$3:$A$3390,Q$1,'United Data'!$C$3:$C$3390,$A1175)&gt;0,1,0)</f>
        <v>0</v>
      </c>
      <c r="R1175">
        <f>IF(COUNTIFS('United Data'!$A$3:$A$3390,R$1,'United Data'!$C$3:$C$3390,$A1175)&gt;0,1,0)</f>
        <v>1</v>
      </c>
      <c r="S1175">
        <f t="shared" si="36"/>
        <v>1</v>
      </c>
      <c r="T1175">
        <f t="shared" si="37"/>
        <v>1</v>
      </c>
    </row>
    <row r="1176" spans="1:20" x14ac:dyDescent="0.2">
      <c r="A1176" t="s">
        <v>1398</v>
      </c>
      <c r="B1176">
        <f>IF(COUNTIFS('United Data'!$A$3:$A$3390,B$1,'United Data'!$C$3:$C$3390,$A1176)&gt;0,1,0)</f>
        <v>0</v>
      </c>
      <c r="C1176">
        <f>IF(COUNTIFS('United Data'!$A$3:$A$3390,C$1,'United Data'!$C$3:$C$3390,$A1176)&gt;0,1,0)</f>
        <v>0</v>
      </c>
      <c r="D1176">
        <f>IF(COUNTIFS('United Data'!$A$3:$A$3390,D$1,'United Data'!$C$3:$C$3390,$A1176)&gt;0,1,0)</f>
        <v>0</v>
      </c>
      <c r="E1176">
        <f>IF(COUNTIFS('United Data'!$A$3:$A$3390,E$1,'United Data'!$C$3:$C$3390,$A1176)&gt;0,1,0)</f>
        <v>0</v>
      </c>
      <c r="F1176">
        <f>IF(COUNTIFS('United Data'!$A$3:$A$3390,F$1,'United Data'!$C$3:$C$3390,$A1176)&gt;0,1,0)</f>
        <v>0</v>
      </c>
      <c r="G1176">
        <f>IF(COUNTIFS('United Data'!$A$3:$A$3390,G$1,'United Data'!$C$3:$C$3390,$A1176)&gt;0,1,0)</f>
        <v>0</v>
      </c>
      <c r="H1176">
        <f>IF(COUNTIFS('United Data'!$A$3:$A$3390,H$1,'United Data'!$C$3:$C$3390,$A1176)&gt;0,1,0)</f>
        <v>0</v>
      </c>
      <c r="I1176">
        <f>IF(COUNTIFS('United Data'!$A$3:$A$3390,I$1,'United Data'!$C$3:$C$3390,$A1176)&gt;0,1,0)</f>
        <v>0</v>
      </c>
      <c r="J1176">
        <f>IF(COUNTIFS('United Data'!$A$3:$A$3390,J$1,'United Data'!$C$3:$C$3390,$A1176)&gt;0,1,0)</f>
        <v>0</v>
      </c>
      <c r="K1176">
        <f>IF(COUNTIFS('United Data'!$A$3:$A$3390,K$1,'United Data'!$C$3:$C$3390,$A1176)&gt;0,1,0)</f>
        <v>0</v>
      </c>
      <c r="L1176">
        <f>IF(COUNTIFS('United Data'!$A$3:$A$3390,L$1,'United Data'!$C$3:$C$3390,$A1176)&gt;0,1,0)</f>
        <v>0</v>
      </c>
      <c r="M1176">
        <f>IF(COUNTIFS('United Data'!$A$3:$A$3390,M$1,'United Data'!$C$3:$C$3390,$A1176)&gt;0,1,0)</f>
        <v>0</v>
      </c>
      <c r="N1176">
        <f>IF(COUNTIFS('United Data'!$A$3:$A$3390,N$1,'United Data'!$C$3:$C$3390,$A1176)&gt;0,1,0)</f>
        <v>0</v>
      </c>
      <c r="O1176">
        <f>IF(COUNTIFS('United Data'!$A$3:$A$3390,O$1,'United Data'!$C$3:$C$3390,$A1176)&gt;0,1,0)</f>
        <v>0</v>
      </c>
      <c r="P1176">
        <f>IF(COUNTIFS('United Data'!$A$3:$A$3390,P$1,'United Data'!$C$3:$C$3390,$A1176)&gt;0,1,0)</f>
        <v>0</v>
      </c>
      <c r="Q1176">
        <f>IF(COUNTIFS('United Data'!$A$3:$A$3390,Q$1,'United Data'!$C$3:$C$3390,$A1176)&gt;0,1,0)</f>
        <v>0</v>
      </c>
      <c r="R1176">
        <f>IF(COUNTIFS('United Data'!$A$3:$A$3390,R$1,'United Data'!$C$3:$C$3390,$A1176)&gt;0,1,0)</f>
        <v>1</v>
      </c>
      <c r="S1176">
        <f t="shared" si="36"/>
        <v>1</v>
      </c>
      <c r="T1176">
        <f t="shared" si="37"/>
        <v>1</v>
      </c>
    </row>
    <row r="1177" spans="1:20" x14ac:dyDescent="0.2">
      <c r="A1177" t="s">
        <v>1399</v>
      </c>
      <c r="B1177">
        <f>IF(COUNTIFS('United Data'!$A$3:$A$3390,B$1,'United Data'!$C$3:$C$3390,$A1177)&gt;0,1,0)</f>
        <v>0</v>
      </c>
      <c r="C1177">
        <f>IF(COUNTIFS('United Data'!$A$3:$A$3390,C$1,'United Data'!$C$3:$C$3390,$A1177)&gt;0,1,0)</f>
        <v>0</v>
      </c>
      <c r="D1177">
        <f>IF(COUNTIFS('United Data'!$A$3:$A$3390,D$1,'United Data'!$C$3:$C$3390,$A1177)&gt;0,1,0)</f>
        <v>0</v>
      </c>
      <c r="E1177">
        <f>IF(COUNTIFS('United Data'!$A$3:$A$3390,E$1,'United Data'!$C$3:$C$3390,$A1177)&gt;0,1,0)</f>
        <v>0</v>
      </c>
      <c r="F1177">
        <f>IF(COUNTIFS('United Data'!$A$3:$A$3390,F$1,'United Data'!$C$3:$C$3390,$A1177)&gt;0,1,0)</f>
        <v>0</v>
      </c>
      <c r="G1177">
        <f>IF(COUNTIFS('United Data'!$A$3:$A$3390,G$1,'United Data'!$C$3:$C$3390,$A1177)&gt;0,1,0)</f>
        <v>0</v>
      </c>
      <c r="H1177">
        <f>IF(COUNTIFS('United Data'!$A$3:$A$3390,H$1,'United Data'!$C$3:$C$3390,$A1177)&gt;0,1,0)</f>
        <v>0</v>
      </c>
      <c r="I1177">
        <f>IF(COUNTIFS('United Data'!$A$3:$A$3390,I$1,'United Data'!$C$3:$C$3390,$A1177)&gt;0,1,0)</f>
        <v>0</v>
      </c>
      <c r="J1177">
        <f>IF(COUNTIFS('United Data'!$A$3:$A$3390,J$1,'United Data'!$C$3:$C$3390,$A1177)&gt;0,1,0)</f>
        <v>0</v>
      </c>
      <c r="K1177">
        <f>IF(COUNTIFS('United Data'!$A$3:$A$3390,K$1,'United Data'!$C$3:$C$3390,$A1177)&gt;0,1,0)</f>
        <v>0</v>
      </c>
      <c r="L1177">
        <f>IF(COUNTIFS('United Data'!$A$3:$A$3390,L$1,'United Data'!$C$3:$C$3390,$A1177)&gt;0,1,0)</f>
        <v>0</v>
      </c>
      <c r="M1177">
        <f>IF(COUNTIFS('United Data'!$A$3:$A$3390,M$1,'United Data'!$C$3:$C$3390,$A1177)&gt;0,1,0)</f>
        <v>0</v>
      </c>
      <c r="N1177">
        <f>IF(COUNTIFS('United Data'!$A$3:$A$3390,N$1,'United Data'!$C$3:$C$3390,$A1177)&gt;0,1,0)</f>
        <v>0</v>
      </c>
      <c r="O1177">
        <f>IF(COUNTIFS('United Data'!$A$3:$A$3390,O$1,'United Data'!$C$3:$C$3390,$A1177)&gt;0,1,0)</f>
        <v>0</v>
      </c>
      <c r="P1177">
        <f>IF(COUNTIFS('United Data'!$A$3:$A$3390,P$1,'United Data'!$C$3:$C$3390,$A1177)&gt;0,1,0)</f>
        <v>0</v>
      </c>
      <c r="Q1177">
        <f>IF(COUNTIFS('United Data'!$A$3:$A$3390,Q$1,'United Data'!$C$3:$C$3390,$A1177)&gt;0,1,0)</f>
        <v>0</v>
      </c>
      <c r="R1177">
        <f>IF(COUNTIFS('United Data'!$A$3:$A$3390,R$1,'United Data'!$C$3:$C$3390,$A1177)&gt;0,1,0)</f>
        <v>1</v>
      </c>
      <c r="S1177">
        <f t="shared" si="36"/>
        <v>1</v>
      </c>
      <c r="T1177">
        <f t="shared" si="37"/>
        <v>1</v>
      </c>
    </row>
    <row r="1178" spans="1:20" x14ac:dyDescent="0.2">
      <c r="A1178" t="s">
        <v>1400</v>
      </c>
      <c r="B1178">
        <f>IF(COUNTIFS('United Data'!$A$3:$A$3390,B$1,'United Data'!$C$3:$C$3390,$A1178)&gt;0,1,0)</f>
        <v>1</v>
      </c>
      <c r="C1178">
        <f>IF(COUNTIFS('United Data'!$A$3:$A$3390,C$1,'United Data'!$C$3:$C$3390,$A1178)&gt;0,1,0)</f>
        <v>1</v>
      </c>
      <c r="D1178">
        <f>IF(COUNTIFS('United Data'!$A$3:$A$3390,D$1,'United Data'!$C$3:$C$3390,$A1178)&gt;0,1,0)</f>
        <v>0</v>
      </c>
      <c r="E1178">
        <f>IF(COUNTIFS('United Data'!$A$3:$A$3390,E$1,'United Data'!$C$3:$C$3390,$A1178)&gt;0,1,0)</f>
        <v>0</v>
      </c>
      <c r="F1178">
        <f>IF(COUNTIFS('United Data'!$A$3:$A$3390,F$1,'United Data'!$C$3:$C$3390,$A1178)&gt;0,1,0)</f>
        <v>0</v>
      </c>
      <c r="G1178">
        <f>IF(COUNTIFS('United Data'!$A$3:$A$3390,G$1,'United Data'!$C$3:$C$3390,$A1178)&gt;0,1,0)</f>
        <v>1</v>
      </c>
      <c r="H1178">
        <f>IF(COUNTIFS('United Data'!$A$3:$A$3390,H$1,'United Data'!$C$3:$C$3390,$A1178)&gt;0,1,0)</f>
        <v>0</v>
      </c>
      <c r="I1178">
        <f>IF(COUNTIFS('United Data'!$A$3:$A$3390,I$1,'United Data'!$C$3:$C$3390,$A1178)&gt;0,1,0)</f>
        <v>0</v>
      </c>
      <c r="J1178">
        <f>IF(COUNTIFS('United Data'!$A$3:$A$3390,J$1,'United Data'!$C$3:$C$3390,$A1178)&gt;0,1,0)</f>
        <v>0</v>
      </c>
      <c r="K1178">
        <f>IF(COUNTIFS('United Data'!$A$3:$A$3390,K$1,'United Data'!$C$3:$C$3390,$A1178)&gt;0,1,0)</f>
        <v>0</v>
      </c>
      <c r="L1178">
        <f>IF(COUNTIFS('United Data'!$A$3:$A$3390,L$1,'United Data'!$C$3:$C$3390,$A1178)&gt;0,1,0)</f>
        <v>1</v>
      </c>
      <c r="M1178">
        <f>IF(COUNTIFS('United Data'!$A$3:$A$3390,M$1,'United Data'!$C$3:$C$3390,$A1178)&gt;0,1,0)</f>
        <v>0</v>
      </c>
      <c r="N1178">
        <f>IF(COUNTIFS('United Data'!$A$3:$A$3390,N$1,'United Data'!$C$3:$C$3390,$A1178)&gt;0,1,0)</f>
        <v>0</v>
      </c>
      <c r="O1178">
        <f>IF(COUNTIFS('United Data'!$A$3:$A$3390,O$1,'United Data'!$C$3:$C$3390,$A1178)&gt;0,1,0)</f>
        <v>0</v>
      </c>
      <c r="P1178">
        <f>IF(COUNTIFS('United Data'!$A$3:$A$3390,P$1,'United Data'!$C$3:$C$3390,$A1178)&gt;0,1,0)</f>
        <v>0</v>
      </c>
      <c r="Q1178">
        <f>IF(COUNTIFS('United Data'!$A$3:$A$3390,Q$1,'United Data'!$C$3:$C$3390,$A1178)&gt;0,1,0)</f>
        <v>1</v>
      </c>
      <c r="R1178">
        <f>IF(COUNTIFS('United Data'!$A$3:$A$3390,R$1,'United Data'!$C$3:$C$3390,$A1178)&gt;0,1,0)</f>
        <v>0</v>
      </c>
      <c r="S1178">
        <f t="shared" si="36"/>
        <v>5</v>
      </c>
      <c r="T1178">
        <f t="shared" si="37"/>
        <v>4</v>
      </c>
    </row>
    <row r="1179" spans="1:20" x14ac:dyDescent="0.2">
      <c r="A1179" t="s">
        <v>1401</v>
      </c>
      <c r="B1179">
        <f>IF(COUNTIFS('United Data'!$A$3:$A$3390,B$1,'United Data'!$C$3:$C$3390,$A1179)&gt;0,1,0)</f>
        <v>1</v>
      </c>
      <c r="C1179">
        <f>IF(COUNTIFS('United Data'!$A$3:$A$3390,C$1,'United Data'!$C$3:$C$3390,$A1179)&gt;0,1,0)</f>
        <v>1</v>
      </c>
      <c r="D1179">
        <f>IF(COUNTIFS('United Data'!$A$3:$A$3390,D$1,'United Data'!$C$3:$C$3390,$A1179)&gt;0,1,0)</f>
        <v>0</v>
      </c>
      <c r="E1179">
        <f>IF(COUNTIFS('United Data'!$A$3:$A$3390,E$1,'United Data'!$C$3:$C$3390,$A1179)&gt;0,1,0)</f>
        <v>0</v>
      </c>
      <c r="F1179">
        <f>IF(COUNTIFS('United Data'!$A$3:$A$3390,F$1,'United Data'!$C$3:$C$3390,$A1179)&gt;0,1,0)</f>
        <v>0</v>
      </c>
      <c r="G1179">
        <f>IF(COUNTIFS('United Data'!$A$3:$A$3390,G$1,'United Data'!$C$3:$C$3390,$A1179)&gt;0,1,0)</f>
        <v>0</v>
      </c>
      <c r="H1179">
        <f>IF(COUNTIFS('United Data'!$A$3:$A$3390,H$1,'United Data'!$C$3:$C$3390,$A1179)&gt;0,1,0)</f>
        <v>0</v>
      </c>
      <c r="I1179">
        <f>IF(COUNTIFS('United Data'!$A$3:$A$3390,I$1,'United Data'!$C$3:$C$3390,$A1179)&gt;0,1,0)</f>
        <v>0</v>
      </c>
      <c r="J1179">
        <f>IF(COUNTIFS('United Data'!$A$3:$A$3390,J$1,'United Data'!$C$3:$C$3390,$A1179)&gt;0,1,0)</f>
        <v>0</v>
      </c>
      <c r="K1179">
        <f>IF(COUNTIFS('United Data'!$A$3:$A$3390,K$1,'United Data'!$C$3:$C$3390,$A1179)&gt;0,1,0)</f>
        <v>0</v>
      </c>
      <c r="L1179">
        <f>IF(COUNTIFS('United Data'!$A$3:$A$3390,L$1,'United Data'!$C$3:$C$3390,$A1179)&gt;0,1,0)</f>
        <v>0</v>
      </c>
      <c r="M1179">
        <f>IF(COUNTIFS('United Data'!$A$3:$A$3390,M$1,'United Data'!$C$3:$C$3390,$A1179)&gt;0,1,0)</f>
        <v>0</v>
      </c>
      <c r="N1179">
        <f>IF(COUNTIFS('United Data'!$A$3:$A$3390,N$1,'United Data'!$C$3:$C$3390,$A1179)&gt;0,1,0)</f>
        <v>0</v>
      </c>
      <c r="O1179">
        <f>IF(COUNTIFS('United Data'!$A$3:$A$3390,O$1,'United Data'!$C$3:$C$3390,$A1179)&gt;0,1,0)</f>
        <v>0</v>
      </c>
      <c r="P1179">
        <f>IF(COUNTIFS('United Data'!$A$3:$A$3390,P$1,'United Data'!$C$3:$C$3390,$A1179)&gt;0,1,0)</f>
        <v>0</v>
      </c>
      <c r="Q1179">
        <f>IF(COUNTIFS('United Data'!$A$3:$A$3390,Q$1,'United Data'!$C$3:$C$3390,$A1179)&gt;0,1,0)</f>
        <v>0</v>
      </c>
      <c r="R1179">
        <f>IF(COUNTIFS('United Data'!$A$3:$A$3390,R$1,'United Data'!$C$3:$C$3390,$A1179)&gt;0,1,0)</f>
        <v>0</v>
      </c>
      <c r="S1179">
        <f t="shared" si="36"/>
        <v>2</v>
      </c>
      <c r="T1179">
        <f t="shared" si="37"/>
        <v>1</v>
      </c>
    </row>
    <row r="1180" spans="1:20" x14ac:dyDescent="0.2">
      <c r="A1180" t="s">
        <v>1402</v>
      </c>
      <c r="B1180">
        <f>IF(COUNTIFS('United Data'!$A$3:$A$3390,B$1,'United Data'!$C$3:$C$3390,$A1180)&gt;0,1,0)</f>
        <v>1</v>
      </c>
      <c r="C1180">
        <f>IF(COUNTIFS('United Data'!$A$3:$A$3390,C$1,'United Data'!$C$3:$C$3390,$A1180)&gt;0,1,0)</f>
        <v>0</v>
      </c>
      <c r="D1180">
        <f>IF(COUNTIFS('United Data'!$A$3:$A$3390,D$1,'United Data'!$C$3:$C$3390,$A1180)&gt;0,1,0)</f>
        <v>0</v>
      </c>
      <c r="E1180">
        <f>IF(COUNTIFS('United Data'!$A$3:$A$3390,E$1,'United Data'!$C$3:$C$3390,$A1180)&gt;0,1,0)</f>
        <v>0</v>
      </c>
      <c r="F1180">
        <f>IF(COUNTIFS('United Data'!$A$3:$A$3390,F$1,'United Data'!$C$3:$C$3390,$A1180)&gt;0,1,0)</f>
        <v>0</v>
      </c>
      <c r="G1180">
        <f>IF(COUNTIFS('United Data'!$A$3:$A$3390,G$1,'United Data'!$C$3:$C$3390,$A1180)&gt;0,1,0)</f>
        <v>0</v>
      </c>
      <c r="H1180">
        <f>IF(COUNTIFS('United Data'!$A$3:$A$3390,H$1,'United Data'!$C$3:$C$3390,$A1180)&gt;0,1,0)</f>
        <v>0</v>
      </c>
      <c r="I1180">
        <f>IF(COUNTIFS('United Data'!$A$3:$A$3390,I$1,'United Data'!$C$3:$C$3390,$A1180)&gt;0,1,0)</f>
        <v>0</v>
      </c>
      <c r="J1180">
        <f>IF(COUNTIFS('United Data'!$A$3:$A$3390,J$1,'United Data'!$C$3:$C$3390,$A1180)&gt;0,1,0)</f>
        <v>0</v>
      </c>
      <c r="K1180">
        <f>IF(COUNTIFS('United Data'!$A$3:$A$3390,K$1,'United Data'!$C$3:$C$3390,$A1180)&gt;0,1,0)</f>
        <v>0</v>
      </c>
      <c r="L1180">
        <f>IF(COUNTIFS('United Data'!$A$3:$A$3390,L$1,'United Data'!$C$3:$C$3390,$A1180)&gt;0,1,0)</f>
        <v>0</v>
      </c>
      <c r="M1180">
        <f>IF(COUNTIFS('United Data'!$A$3:$A$3390,M$1,'United Data'!$C$3:$C$3390,$A1180)&gt;0,1,0)</f>
        <v>0</v>
      </c>
      <c r="N1180">
        <f>IF(COUNTIFS('United Data'!$A$3:$A$3390,N$1,'United Data'!$C$3:$C$3390,$A1180)&gt;0,1,0)</f>
        <v>0</v>
      </c>
      <c r="O1180">
        <f>IF(COUNTIFS('United Data'!$A$3:$A$3390,O$1,'United Data'!$C$3:$C$3390,$A1180)&gt;0,1,0)</f>
        <v>0</v>
      </c>
      <c r="P1180">
        <f>IF(COUNTIFS('United Data'!$A$3:$A$3390,P$1,'United Data'!$C$3:$C$3390,$A1180)&gt;0,1,0)</f>
        <v>0</v>
      </c>
      <c r="Q1180">
        <f>IF(COUNTIFS('United Data'!$A$3:$A$3390,Q$1,'United Data'!$C$3:$C$3390,$A1180)&gt;0,1,0)</f>
        <v>1</v>
      </c>
      <c r="R1180">
        <f>IF(COUNTIFS('United Data'!$A$3:$A$3390,R$1,'United Data'!$C$3:$C$3390,$A1180)&gt;0,1,0)</f>
        <v>0</v>
      </c>
      <c r="S1180">
        <f t="shared" si="36"/>
        <v>2</v>
      </c>
      <c r="T1180">
        <f t="shared" si="37"/>
        <v>2</v>
      </c>
    </row>
    <row r="1181" spans="1:20" x14ac:dyDescent="0.2">
      <c r="A1181" t="s">
        <v>1403</v>
      </c>
      <c r="B1181">
        <f>IF(COUNTIFS('United Data'!$A$3:$A$3390,B$1,'United Data'!$C$3:$C$3390,$A1181)&gt;0,1,0)</f>
        <v>1</v>
      </c>
      <c r="C1181">
        <f>IF(COUNTIFS('United Data'!$A$3:$A$3390,C$1,'United Data'!$C$3:$C$3390,$A1181)&gt;0,1,0)</f>
        <v>0</v>
      </c>
      <c r="D1181">
        <f>IF(COUNTIFS('United Data'!$A$3:$A$3390,D$1,'United Data'!$C$3:$C$3390,$A1181)&gt;0,1,0)</f>
        <v>0</v>
      </c>
      <c r="E1181">
        <f>IF(COUNTIFS('United Data'!$A$3:$A$3390,E$1,'United Data'!$C$3:$C$3390,$A1181)&gt;0,1,0)</f>
        <v>1</v>
      </c>
      <c r="F1181">
        <f>IF(COUNTIFS('United Data'!$A$3:$A$3390,F$1,'United Data'!$C$3:$C$3390,$A1181)&gt;0,1,0)</f>
        <v>0</v>
      </c>
      <c r="G1181">
        <f>IF(COUNTIFS('United Data'!$A$3:$A$3390,G$1,'United Data'!$C$3:$C$3390,$A1181)&gt;0,1,0)</f>
        <v>0</v>
      </c>
      <c r="H1181">
        <f>IF(COUNTIFS('United Data'!$A$3:$A$3390,H$1,'United Data'!$C$3:$C$3390,$A1181)&gt;0,1,0)</f>
        <v>0</v>
      </c>
      <c r="I1181">
        <f>IF(COUNTIFS('United Data'!$A$3:$A$3390,I$1,'United Data'!$C$3:$C$3390,$A1181)&gt;0,1,0)</f>
        <v>0</v>
      </c>
      <c r="J1181">
        <f>IF(COUNTIFS('United Data'!$A$3:$A$3390,J$1,'United Data'!$C$3:$C$3390,$A1181)&gt;0,1,0)</f>
        <v>0</v>
      </c>
      <c r="K1181">
        <f>IF(COUNTIFS('United Data'!$A$3:$A$3390,K$1,'United Data'!$C$3:$C$3390,$A1181)&gt;0,1,0)</f>
        <v>0</v>
      </c>
      <c r="L1181">
        <f>IF(COUNTIFS('United Data'!$A$3:$A$3390,L$1,'United Data'!$C$3:$C$3390,$A1181)&gt;0,1,0)</f>
        <v>0</v>
      </c>
      <c r="M1181">
        <f>IF(COUNTIFS('United Data'!$A$3:$A$3390,M$1,'United Data'!$C$3:$C$3390,$A1181)&gt;0,1,0)</f>
        <v>0</v>
      </c>
      <c r="N1181">
        <f>IF(COUNTIFS('United Data'!$A$3:$A$3390,N$1,'United Data'!$C$3:$C$3390,$A1181)&gt;0,1,0)</f>
        <v>0</v>
      </c>
      <c r="O1181">
        <f>IF(COUNTIFS('United Data'!$A$3:$A$3390,O$1,'United Data'!$C$3:$C$3390,$A1181)&gt;0,1,0)</f>
        <v>0</v>
      </c>
      <c r="P1181">
        <f>IF(COUNTIFS('United Data'!$A$3:$A$3390,P$1,'United Data'!$C$3:$C$3390,$A1181)&gt;0,1,0)</f>
        <v>0</v>
      </c>
      <c r="Q1181">
        <f>IF(COUNTIFS('United Data'!$A$3:$A$3390,Q$1,'United Data'!$C$3:$C$3390,$A1181)&gt;0,1,0)</f>
        <v>0</v>
      </c>
      <c r="R1181">
        <f>IF(COUNTIFS('United Data'!$A$3:$A$3390,R$1,'United Data'!$C$3:$C$3390,$A1181)&gt;0,1,0)</f>
        <v>0</v>
      </c>
      <c r="S1181">
        <f t="shared" si="36"/>
        <v>2</v>
      </c>
      <c r="T1181">
        <f t="shared" si="37"/>
        <v>2</v>
      </c>
    </row>
    <row r="1182" spans="1:20" x14ac:dyDescent="0.2">
      <c r="A1182" t="s">
        <v>1404</v>
      </c>
      <c r="B1182">
        <f>IF(COUNTIFS('United Data'!$A$3:$A$3390,B$1,'United Data'!$C$3:$C$3390,$A1182)&gt;0,1,0)</f>
        <v>0</v>
      </c>
      <c r="C1182">
        <f>IF(COUNTIFS('United Data'!$A$3:$A$3390,C$1,'United Data'!$C$3:$C$3390,$A1182)&gt;0,1,0)</f>
        <v>1</v>
      </c>
      <c r="D1182">
        <f>IF(COUNTIFS('United Data'!$A$3:$A$3390,D$1,'United Data'!$C$3:$C$3390,$A1182)&gt;0,1,0)</f>
        <v>0</v>
      </c>
      <c r="E1182">
        <f>IF(COUNTIFS('United Data'!$A$3:$A$3390,E$1,'United Data'!$C$3:$C$3390,$A1182)&gt;0,1,0)</f>
        <v>0</v>
      </c>
      <c r="F1182">
        <f>IF(COUNTIFS('United Data'!$A$3:$A$3390,F$1,'United Data'!$C$3:$C$3390,$A1182)&gt;0,1,0)</f>
        <v>0</v>
      </c>
      <c r="G1182">
        <f>IF(COUNTIFS('United Data'!$A$3:$A$3390,G$1,'United Data'!$C$3:$C$3390,$A1182)&gt;0,1,0)</f>
        <v>0</v>
      </c>
      <c r="H1182">
        <f>IF(COUNTIFS('United Data'!$A$3:$A$3390,H$1,'United Data'!$C$3:$C$3390,$A1182)&gt;0,1,0)</f>
        <v>0</v>
      </c>
      <c r="I1182">
        <f>IF(COUNTIFS('United Data'!$A$3:$A$3390,I$1,'United Data'!$C$3:$C$3390,$A1182)&gt;0,1,0)</f>
        <v>0</v>
      </c>
      <c r="J1182">
        <f>IF(COUNTIFS('United Data'!$A$3:$A$3390,J$1,'United Data'!$C$3:$C$3390,$A1182)&gt;0,1,0)</f>
        <v>0</v>
      </c>
      <c r="K1182">
        <f>IF(COUNTIFS('United Data'!$A$3:$A$3390,K$1,'United Data'!$C$3:$C$3390,$A1182)&gt;0,1,0)</f>
        <v>0</v>
      </c>
      <c r="L1182">
        <f>IF(COUNTIFS('United Data'!$A$3:$A$3390,L$1,'United Data'!$C$3:$C$3390,$A1182)&gt;0,1,0)</f>
        <v>0</v>
      </c>
      <c r="M1182">
        <f>IF(COUNTIFS('United Data'!$A$3:$A$3390,M$1,'United Data'!$C$3:$C$3390,$A1182)&gt;0,1,0)</f>
        <v>0</v>
      </c>
      <c r="N1182">
        <f>IF(COUNTIFS('United Data'!$A$3:$A$3390,N$1,'United Data'!$C$3:$C$3390,$A1182)&gt;0,1,0)</f>
        <v>0</v>
      </c>
      <c r="O1182">
        <f>IF(COUNTIFS('United Data'!$A$3:$A$3390,O$1,'United Data'!$C$3:$C$3390,$A1182)&gt;0,1,0)</f>
        <v>0</v>
      </c>
      <c r="P1182">
        <f>IF(COUNTIFS('United Data'!$A$3:$A$3390,P$1,'United Data'!$C$3:$C$3390,$A1182)&gt;0,1,0)</f>
        <v>0</v>
      </c>
      <c r="Q1182">
        <f>IF(COUNTIFS('United Data'!$A$3:$A$3390,Q$1,'United Data'!$C$3:$C$3390,$A1182)&gt;0,1,0)</f>
        <v>0</v>
      </c>
      <c r="R1182">
        <f>IF(COUNTIFS('United Data'!$A$3:$A$3390,R$1,'United Data'!$C$3:$C$3390,$A1182)&gt;0,1,0)</f>
        <v>0</v>
      </c>
      <c r="S1182">
        <f t="shared" si="36"/>
        <v>1</v>
      </c>
      <c r="T1182">
        <f t="shared" si="37"/>
        <v>1</v>
      </c>
    </row>
    <row r="1183" spans="1:20" x14ac:dyDescent="0.2">
      <c r="A1183" t="s">
        <v>1405</v>
      </c>
      <c r="B1183">
        <f>IF(COUNTIFS('United Data'!$A$3:$A$3390,B$1,'United Data'!$C$3:$C$3390,$A1183)&gt;0,1,0)</f>
        <v>0</v>
      </c>
      <c r="C1183">
        <f>IF(COUNTIFS('United Data'!$A$3:$A$3390,C$1,'United Data'!$C$3:$C$3390,$A1183)&gt;0,1,0)</f>
        <v>1</v>
      </c>
      <c r="D1183">
        <f>IF(COUNTIFS('United Data'!$A$3:$A$3390,D$1,'United Data'!$C$3:$C$3390,$A1183)&gt;0,1,0)</f>
        <v>1</v>
      </c>
      <c r="E1183">
        <f>IF(COUNTIFS('United Data'!$A$3:$A$3390,E$1,'United Data'!$C$3:$C$3390,$A1183)&gt;0,1,0)</f>
        <v>1</v>
      </c>
      <c r="F1183">
        <f>IF(COUNTIFS('United Data'!$A$3:$A$3390,F$1,'United Data'!$C$3:$C$3390,$A1183)&gt;0,1,0)</f>
        <v>1</v>
      </c>
      <c r="G1183">
        <f>IF(COUNTIFS('United Data'!$A$3:$A$3390,G$1,'United Data'!$C$3:$C$3390,$A1183)&gt;0,1,0)</f>
        <v>1</v>
      </c>
      <c r="H1183">
        <f>IF(COUNTIFS('United Data'!$A$3:$A$3390,H$1,'United Data'!$C$3:$C$3390,$A1183)&gt;0,1,0)</f>
        <v>1</v>
      </c>
      <c r="I1183">
        <f>IF(COUNTIFS('United Data'!$A$3:$A$3390,I$1,'United Data'!$C$3:$C$3390,$A1183)&gt;0,1,0)</f>
        <v>1</v>
      </c>
      <c r="J1183">
        <f>IF(COUNTIFS('United Data'!$A$3:$A$3390,J$1,'United Data'!$C$3:$C$3390,$A1183)&gt;0,1,0)</f>
        <v>0</v>
      </c>
      <c r="K1183">
        <f>IF(COUNTIFS('United Data'!$A$3:$A$3390,K$1,'United Data'!$C$3:$C$3390,$A1183)&gt;0,1,0)</f>
        <v>0</v>
      </c>
      <c r="L1183">
        <f>IF(COUNTIFS('United Data'!$A$3:$A$3390,L$1,'United Data'!$C$3:$C$3390,$A1183)&gt;0,1,0)</f>
        <v>0</v>
      </c>
      <c r="M1183">
        <f>IF(COUNTIFS('United Data'!$A$3:$A$3390,M$1,'United Data'!$C$3:$C$3390,$A1183)&gt;0,1,0)</f>
        <v>1</v>
      </c>
      <c r="N1183">
        <f>IF(COUNTIFS('United Data'!$A$3:$A$3390,N$1,'United Data'!$C$3:$C$3390,$A1183)&gt;0,1,0)</f>
        <v>0</v>
      </c>
      <c r="O1183">
        <f>IF(COUNTIFS('United Data'!$A$3:$A$3390,O$1,'United Data'!$C$3:$C$3390,$A1183)&gt;0,1,0)</f>
        <v>0</v>
      </c>
      <c r="P1183">
        <f>IF(COUNTIFS('United Data'!$A$3:$A$3390,P$1,'United Data'!$C$3:$C$3390,$A1183)&gt;0,1,0)</f>
        <v>0</v>
      </c>
      <c r="Q1183">
        <f>IF(COUNTIFS('United Data'!$A$3:$A$3390,Q$1,'United Data'!$C$3:$C$3390,$A1183)&gt;0,1,0)</f>
        <v>0</v>
      </c>
      <c r="R1183">
        <f>IF(COUNTIFS('United Data'!$A$3:$A$3390,R$1,'United Data'!$C$3:$C$3390,$A1183)&gt;0,1,0)</f>
        <v>0</v>
      </c>
      <c r="S1183">
        <f t="shared" si="36"/>
        <v>8</v>
      </c>
      <c r="T1183">
        <f t="shared" si="37"/>
        <v>2</v>
      </c>
    </row>
    <row r="1184" spans="1:20" x14ac:dyDescent="0.2">
      <c r="A1184" t="s">
        <v>1406</v>
      </c>
      <c r="B1184">
        <f>IF(COUNTIFS('United Data'!$A$3:$A$3390,B$1,'United Data'!$C$3:$C$3390,$A1184)&gt;0,1,0)</f>
        <v>1</v>
      </c>
      <c r="C1184">
        <f>IF(COUNTIFS('United Data'!$A$3:$A$3390,C$1,'United Data'!$C$3:$C$3390,$A1184)&gt;0,1,0)</f>
        <v>1</v>
      </c>
      <c r="D1184">
        <f>IF(COUNTIFS('United Data'!$A$3:$A$3390,D$1,'United Data'!$C$3:$C$3390,$A1184)&gt;0,1,0)</f>
        <v>0</v>
      </c>
      <c r="E1184">
        <f>IF(COUNTIFS('United Data'!$A$3:$A$3390,E$1,'United Data'!$C$3:$C$3390,$A1184)&gt;0,1,0)</f>
        <v>1</v>
      </c>
      <c r="F1184">
        <f>IF(COUNTIFS('United Data'!$A$3:$A$3390,F$1,'United Data'!$C$3:$C$3390,$A1184)&gt;0,1,0)</f>
        <v>0</v>
      </c>
      <c r="G1184">
        <f>IF(COUNTIFS('United Data'!$A$3:$A$3390,G$1,'United Data'!$C$3:$C$3390,$A1184)&gt;0,1,0)</f>
        <v>0</v>
      </c>
      <c r="H1184">
        <f>IF(COUNTIFS('United Data'!$A$3:$A$3390,H$1,'United Data'!$C$3:$C$3390,$A1184)&gt;0,1,0)</f>
        <v>0</v>
      </c>
      <c r="I1184">
        <f>IF(COUNTIFS('United Data'!$A$3:$A$3390,I$1,'United Data'!$C$3:$C$3390,$A1184)&gt;0,1,0)</f>
        <v>0</v>
      </c>
      <c r="J1184">
        <f>IF(COUNTIFS('United Data'!$A$3:$A$3390,J$1,'United Data'!$C$3:$C$3390,$A1184)&gt;0,1,0)</f>
        <v>0</v>
      </c>
      <c r="K1184">
        <f>IF(COUNTIFS('United Data'!$A$3:$A$3390,K$1,'United Data'!$C$3:$C$3390,$A1184)&gt;0,1,0)</f>
        <v>0</v>
      </c>
      <c r="L1184">
        <f>IF(COUNTIFS('United Data'!$A$3:$A$3390,L$1,'United Data'!$C$3:$C$3390,$A1184)&gt;0,1,0)</f>
        <v>0</v>
      </c>
      <c r="M1184">
        <f>IF(COUNTIFS('United Data'!$A$3:$A$3390,M$1,'United Data'!$C$3:$C$3390,$A1184)&gt;0,1,0)</f>
        <v>0</v>
      </c>
      <c r="N1184">
        <f>IF(COUNTIFS('United Data'!$A$3:$A$3390,N$1,'United Data'!$C$3:$C$3390,$A1184)&gt;0,1,0)</f>
        <v>0</v>
      </c>
      <c r="O1184">
        <f>IF(COUNTIFS('United Data'!$A$3:$A$3390,O$1,'United Data'!$C$3:$C$3390,$A1184)&gt;0,1,0)</f>
        <v>0</v>
      </c>
      <c r="P1184">
        <f>IF(COUNTIFS('United Data'!$A$3:$A$3390,P$1,'United Data'!$C$3:$C$3390,$A1184)&gt;0,1,0)</f>
        <v>0</v>
      </c>
      <c r="Q1184">
        <f>IF(COUNTIFS('United Data'!$A$3:$A$3390,Q$1,'United Data'!$C$3:$C$3390,$A1184)&gt;0,1,0)</f>
        <v>1</v>
      </c>
      <c r="R1184">
        <f>IF(COUNTIFS('United Data'!$A$3:$A$3390,R$1,'United Data'!$C$3:$C$3390,$A1184)&gt;0,1,0)</f>
        <v>0</v>
      </c>
      <c r="S1184">
        <f t="shared" si="36"/>
        <v>4</v>
      </c>
      <c r="T1184">
        <f t="shared" si="37"/>
        <v>3</v>
      </c>
    </row>
    <row r="1185" spans="1:20" x14ac:dyDescent="0.2">
      <c r="A1185" t="s">
        <v>1407</v>
      </c>
      <c r="B1185">
        <f>IF(COUNTIFS('United Data'!$A$3:$A$3390,B$1,'United Data'!$C$3:$C$3390,$A1185)&gt;0,1,0)</f>
        <v>0</v>
      </c>
      <c r="C1185">
        <f>IF(COUNTIFS('United Data'!$A$3:$A$3390,C$1,'United Data'!$C$3:$C$3390,$A1185)&gt;0,1,0)</f>
        <v>0</v>
      </c>
      <c r="D1185">
        <f>IF(COUNTIFS('United Data'!$A$3:$A$3390,D$1,'United Data'!$C$3:$C$3390,$A1185)&gt;0,1,0)</f>
        <v>1</v>
      </c>
      <c r="E1185">
        <f>IF(COUNTIFS('United Data'!$A$3:$A$3390,E$1,'United Data'!$C$3:$C$3390,$A1185)&gt;0,1,0)</f>
        <v>0</v>
      </c>
      <c r="F1185">
        <f>IF(COUNTIFS('United Data'!$A$3:$A$3390,F$1,'United Data'!$C$3:$C$3390,$A1185)&gt;0,1,0)</f>
        <v>0</v>
      </c>
      <c r="G1185">
        <f>IF(COUNTIFS('United Data'!$A$3:$A$3390,G$1,'United Data'!$C$3:$C$3390,$A1185)&gt;0,1,0)</f>
        <v>0</v>
      </c>
      <c r="H1185">
        <f>IF(COUNTIFS('United Data'!$A$3:$A$3390,H$1,'United Data'!$C$3:$C$3390,$A1185)&gt;0,1,0)</f>
        <v>0</v>
      </c>
      <c r="I1185">
        <f>IF(COUNTIFS('United Data'!$A$3:$A$3390,I$1,'United Data'!$C$3:$C$3390,$A1185)&gt;0,1,0)</f>
        <v>0</v>
      </c>
      <c r="J1185">
        <f>IF(COUNTIFS('United Data'!$A$3:$A$3390,J$1,'United Data'!$C$3:$C$3390,$A1185)&gt;0,1,0)</f>
        <v>0</v>
      </c>
      <c r="K1185">
        <f>IF(COUNTIFS('United Data'!$A$3:$A$3390,K$1,'United Data'!$C$3:$C$3390,$A1185)&gt;0,1,0)</f>
        <v>0</v>
      </c>
      <c r="L1185">
        <f>IF(COUNTIFS('United Data'!$A$3:$A$3390,L$1,'United Data'!$C$3:$C$3390,$A1185)&gt;0,1,0)</f>
        <v>0</v>
      </c>
      <c r="M1185">
        <f>IF(COUNTIFS('United Data'!$A$3:$A$3390,M$1,'United Data'!$C$3:$C$3390,$A1185)&gt;0,1,0)</f>
        <v>0</v>
      </c>
      <c r="N1185">
        <f>IF(COUNTIFS('United Data'!$A$3:$A$3390,N$1,'United Data'!$C$3:$C$3390,$A1185)&gt;0,1,0)</f>
        <v>0</v>
      </c>
      <c r="O1185">
        <f>IF(COUNTIFS('United Data'!$A$3:$A$3390,O$1,'United Data'!$C$3:$C$3390,$A1185)&gt;0,1,0)</f>
        <v>0</v>
      </c>
      <c r="P1185">
        <f>IF(COUNTIFS('United Data'!$A$3:$A$3390,P$1,'United Data'!$C$3:$C$3390,$A1185)&gt;0,1,0)</f>
        <v>0</v>
      </c>
      <c r="Q1185">
        <f>IF(COUNTIFS('United Data'!$A$3:$A$3390,Q$1,'United Data'!$C$3:$C$3390,$A1185)&gt;0,1,0)</f>
        <v>0</v>
      </c>
      <c r="R1185">
        <f>IF(COUNTIFS('United Data'!$A$3:$A$3390,R$1,'United Data'!$C$3:$C$3390,$A1185)&gt;0,1,0)</f>
        <v>0</v>
      </c>
      <c r="S1185">
        <f t="shared" si="36"/>
        <v>1</v>
      </c>
      <c r="T1185">
        <f t="shared" si="37"/>
        <v>1</v>
      </c>
    </row>
    <row r="1186" spans="1:20" x14ac:dyDescent="0.2">
      <c r="A1186" t="s">
        <v>1408</v>
      </c>
      <c r="B1186">
        <f>IF(COUNTIFS('United Data'!$A$3:$A$3390,B$1,'United Data'!$C$3:$C$3390,$A1186)&gt;0,1,0)</f>
        <v>0</v>
      </c>
      <c r="C1186">
        <f>IF(COUNTIFS('United Data'!$A$3:$A$3390,C$1,'United Data'!$C$3:$C$3390,$A1186)&gt;0,1,0)</f>
        <v>0</v>
      </c>
      <c r="D1186">
        <f>IF(COUNTIFS('United Data'!$A$3:$A$3390,D$1,'United Data'!$C$3:$C$3390,$A1186)&gt;0,1,0)</f>
        <v>1</v>
      </c>
      <c r="E1186">
        <f>IF(COUNTIFS('United Data'!$A$3:$A$3390,E$1,'United Data'!$C$3:$C$3390,$A1186)&gt;0,1,0)</f>
        <v>0</v>
      </c>
      <c r="F1186">
        <f>IF(COUNTIFS('United Data'!$A$3:$A$3390,F$1,'United Data'!$C$3:$C$3390,$A1186)&gt;0,1,0)</f>
        <v>0</v>
      </c>
      <c r="G1186">
        <f>IF(COUNTIFS('United Data'!$A$3:$A$3390,G$1,'United Data'!$C$3:$C$3390,$A1186)&gt;0,1,0)</f>
        <v>0</v>
      </c>
      <c r="H1186">
        <f>IF(COUNTIFS('United Data'!$A$3:$A$3390,H$1,'United Data'!$C$3:$C$3390,$A1186)&gt;0,1,0)</f>
        <v>0</v>
      </c>
      <c r="I1186">
        <f>IF(COUNTIFS('United Data'!$A$3:$A$3390,I$1,'United Data'!$C$3:$C$3390,$A1186)&gt;0,1,0)</f>
        <v>0</v>
      </c>
      <c r="J1186">
        <f>IF(COUNTIFS('United Data'!$A$3:$A$3390,J$1,'United Data'!$C$3:$C$3390,$A1186)&gt;0,1,0)</f>
        <v>0</v>
      </c>
      <c r="K1186">
        <f>IF(COUNTIFS('United Data'!$A$3:$A$3390,K$1,'United Data'!$C$3:$C$3390,$A1186)&gt;0,1,0)</f>
        <v>0</v>
      </c>
      <c r="L1186">
        <f>IF(COUNTIFS('United Data'!$A$3:$A$3390,L$1,'United Data'!$C$3:$C$3390,$A1186)&gt;0,1,0)</f>
        <v>0</v>
      </c>
      <c r="M1186">
        <f>IF(COUNTIFS('United Data'!$A$3:$A$3390,M$1,'United Data'!$C$3:$C$3390,$A1186)&gt;0,1,0)</f>
        <v>0</v>
      </c>
      <c r="N1186">
        <f>IF(COUNTIFS('United Data'!$A$3:$A$3390,N$1,'United Data'!$C$3:$C$3390,$A1186)&gt;0,1,0)</f>
        <v>0</v>
      </c>
      <c r="O1186">
        <f>IF(COUNTIFS('United Data'!$A$3:$A$3390,O$1,'United Data'!$C$3:$C$3390,$A1186)&gt;0,1,0)</f>
        <v>0</v>
      </c>
      <c r="P1186">
        <f>IF(COUNTIFS('United Data'!$A$3:$A$3390,P$1,'United Data'!$C$3:$C$3390,$A1186)&gt;0,1,0)</f>
        <v>0</v>
      </c>
      <c r="Q1186">
        <f>IF(COUNTIFS('United Data'!$A$3:$A$3390,Q$1,'United Data'!$C$3:$C$3390,$A1186)&gt;0,1,0)</f>
        <v>0</v>
      </c>
      <c r="R1186">
        <f>IF(COUNTIFS('United Data'!$A$3:$A$3390,R$1,'United Data'!$C$3:$C$3390,$A1186)&gt;0,1,0)</f>
        <v>0</v>
      </c>
      <c r="S1186">
        <f t="shared" si="36"/>
        <v>1</v>
      </c>
      <c r="T1186">
        <f t="shared" si="37"/>
        <v>1</v>
      </c>
    </row>
    <row r="1187" spans="1:20" x14ac:dyDescent="0.2">
      <c r="A1187" t="s">
        <v>1409</v>
      </c>
      <c r="B1187">
        <f>IF(COUNTIFS('United Data'!$A$3:$A$3390,B$1,'United Data'!$C$3:$C$3390,$A1187)&gt;0,1,0)</f>
        <v>0</v>
      </c>
      <c r="C1187">
        <f>IF(COUNTIFS('United Data'!$A$3:$A$3390,C$1,'United Data'!$C$3:$C$3390,$A1187)&gt;0,1,0)</f>
        <v>0</v>
      </c>
      <c r="D1187">
        <f>IF(COUNTIFS('United Data'!$A$3:$A$3390,D$1,'United Data'!$C$3:$C$3390,$A1187)&gt;0,1,0)</f>
        <v>0</v>
      </c>
      <c r="E1187">
        <f>IF(COUNTIFS('United Data'!$A$3:$A$3390,E$1,'United Data'!$C$3:$C$3390,$A1187)&gt;0,1,0)</f>
        <v>1</v>
      </c>
      <c r="F1187">
        <f>IF(COUNTIFS('United Data'!$A$3:$A$3390,F$1,'United Data'!$C$3:$C$3390,$A1187)&gt;0,1,0)</f>
        <v>0</v>
      </c>
      <c r="G1187">
        <f>IF(COUNTIFS('United Data'!$A$3:$A$3390,G$1,'United Data'!$C$3:$C$3390,$A1187)&gt;0,1,0)</f>
        <v>0</v>
      </c>
      <c r="H1187">
        <f>IF(COUNTIFS('United Data'!$A$3:$A$3390,H$1,'United Data'!$C$3:$C$3390,$A1187)&gt;0,1,0)</f>
        <v>0</v>
      </c>
      <c r="I1187">
        <f>IF(COUNTIFS('United Data'!$A$3:$A$3390,I$1,'United Data'!$C$3:$C$3390,$A1187)&gt;0,1,0)</f>
        <v>0</v>
      </c>
      <c r="J1187">
        <f>IF(COUNTIFS('United Data'!$A$3:$A$3390,J$1,'United Data'!$C$3:$C$3390,$A1187)&gt;0,1,0)</f>
        <v>0</v>
      </c>
      <c r="K1187">
        <f>IF(COUNTIFS('United Data'!$A$3:$A$3390,K$1,'United Data'!$C$3:$C$3390,$A1187)&gt;0,1,0)</f>
        <v>0</v>
      </c>
      <c r="L1187">
        <f>IF(COUNTIFS('United Data'!$A$3:$A$3390,L$1,'United Data'!$C$3:$C$3390,$A1187)&gt;0,1,0)</f>
        <v>0</v>
      </c>
      <c r="M1187">
        <f>IF(COUNTIFS('United Data'!$A$3:$A$3390,M$1,'United Data'!$C$3:$C$3390,$A1187)&gt;0,1,0)</f>
        <v>0</v>
      </c>
      <c r="N1187">
        <f>IF(COUNTIFS('United Data'!$A$3:$A$3390,N$1,'United Data'!$C$3:$C$3390,$A1187)&gt;0,1,0)</f>
        <v>0</v>
      </c>
      <c r="O1187">
        <f>IF(COUNTIFS('United Data'!$A$3:$A$3390,O$1,'United Data'!$C$3:$C$3390,$A1187)&gt;0,1,0)</f>
        <v>0</v>
      </c>
      <c r="P1187">
        <f>IF(COUNTIFS('United Data'!$A$3:$A$3390,P$1,'United Data'!$C$3:$C$3390,$A1187)&gt;0,1,0)</f>
        <v>0</v>
      </c>
      <c r="Q1187">
        <f>IF(COUNTIFS('United Data'!$A$3:$A$3390,Q$1,'United Data'!$C$3:$C$3390,$A1187)&gt;0,1,0)</f>
        <v>0</v>
      </c>
      <c r="R1187">
        <f>IF(COUNTIFS('United Data'!$A$3:$A$3390,R$1,'United Data'!$C$3:$C$3390,$A1187)&gt;0,1,0)</f>
        <v>0</v>
      </c>
      <c r="S1187">
        <f t="shared" si="36"/>
        <v>1</v>
      </c>
      <c r="T1187">
        <f t="shared" si="37"/>
        <v>1</v>
      </c>
    </row>
    <row r="1188" spans="1:20" x14ac:dyDescent="0.2">
      <c r="A1188" t="s">
        <v>1410</v>
      </c>
      <c r="B1188">
        <f>IF(COUNTIFS('United Data'!$A$3:$A$3390,B$1,'United Data'!$C$3:$C$3390,$A1188)&gt;0,1,0)</f>
        <v>0</v>
      </c>
      <c r="C1188">
        <f>IF(COUNTIFS('United Data'!$A$3:$A$3390,C$1,'United Data'!$C$3:$C$3390,$A1188)&gt;0,1,0)</f>
        <v>0</v>
      </c>
      <c r="D1188">
        <f>IF(COUNTIFS('United Data'!$A$3:$A$3390,D$1,'United Data'!$C$3:$C$3390,$A1188)&gt;0,1,0)</f>
        <v>0</v>
      </c>
      <c r="E1188">
        <f>IF(COUNTIFS('United Data'!$A$3:$A$3390,E$1,'United Data'!$C$3:$C$3390,$A1188)&gt;0,1,0)</f>
        <v>1</v>
      </c>
      <c r="F1188">
        <f>IF(COUNTIFS('United Data'!$A$3:$A$3390,F$1,'United Data'!$C$3:$C$3390,$A1188)&gt;0,1,0)</f>
        <v>1</v>
      </c>
      <c r="G1188">
        <f>IF(COUNTIFS('United Data'!$A$3:$A$3390,G$1,'United Data'!$C$3:$C$3390,$A1188)&gt;0,1,0)</f>
        <v>1</v>
      </c>
      <c r="H1188">
        <f>IF(COUNTIFS('United Data'!$A$3:$A$3390,H$1,'United Data'!$C$3:$C$3390,$A1188)&gt;0,1,0)</f>
        <v>1</v>
      </c>
      <c r="I1188">
        <f>IF(COUNTIFS('United Data'!$A$3:$A$3390,I$1,'United Data'!$C$3:$C$3390,$A1188)&gt;0,1,0)</f>
        <v>0</v>
      </c>
      <c r="J1188">
        <f>IF(COUNTIFS('United Data'!$A$3:$A$3390,J$1,'United Data'!$C$3:$C$3390,$A1188)&gt;0,1,0)</f>
        <v>0</v>
      </c>
      <c r="K1188">
        <f>IF(COUNTIFS('United Data'!$A$3:$A$3390,K$1,'United Data'!$C$3:$C$3390,$A1188)&gt;0,1,0)</f>
        <v>1</v>
      </c>
      <c r="L1188">
        <f>IF(COUNTIFS('United Data'!$A$3:$A$3390,L$1,'United Data'!$C$3:$C$3390,$A1188)&gt;0,1,0)</f>
        <v>1</v>
      </c>
      <c r="M1188">
        <f>IF(COUNTIFS('United Data'!$A$3:$A$3390,M$1,'United Data'!$C$3:$C$3390,$A1188)&gt;0,1,0)</f>
        <v>0</v>
      </c>
      <c r="N1188">
        <f>IF(COUNTIFS('United Data'!$A$3:$A$3390,N$1,'United Data'!$C$3:$C$3390,$A1188)&gt;0,1,0)</f>
        <v>0</v>
      </c>
      <c r="O1188">
        <f>IF(COUNTIFS('United Data'!$A$3:$A$3390,O$1,'United Data'!$C$3:$C$3390,$A1188)&gt;0,1,0)</f>
        <v>0</v>
      </c>
      <c r="P1188">
        <f>IF(COUNTIFS('United Data'!$A$3:$A$3390,P$1,'United Data'!$C$3:$C$3390,$A1188)&gt;0,1,0)</f>
        <v>0</v>
      </c>
      <c r="Q1188">
        <f>IF(COUNTIFS('United Data'!$A$3:$A$3390,Q$1,'United Data'!$C$3:$C$3390,$A1188)&gt;0,1,0)</f>
        <v>0</v>
      </c>
      <c r="R1188">
        <f>IF(COUNTIFS('United Data'!$A$3:$A$3390,R$1,'United Data'!$C$3:$C$3390,$A1188)&gt;0,1,0)</f>
        <v>0</v>
      </c>
      <c r="S1188">
        <f t="shared" si="36"/>
        <v>6</v>
      </c>
      <c r="T1188">
        <f t="shared" si="37"/>
        <v>2</v>
      </c>
    </row>
    <row r="1189" spans="1:20" x14ac:dyDescent="0.2">
      <c r="A1189" t="s">
        <v>1412</v>
      </c>
      <c r="B1189">
        <f>IF(COUNTIFS('United Data'!$A$3:$A$3390,B$1,'United Data'!$C$3:$C$3390,$A1189)&gt;0,1,0)</f>
        <v>0</v>
      </c>
      <c r="C1189">
        <f>IF(COUNTIFS('United Data'!$A$3:$A$3390,C$1,'United Data'!$C$3:$C$3390,$A1189)&gt;0,1,0)</f>
        <v>0</v>
      </c>
      <c r="D1189">
        <f>IF(COUNTIFS('United Data'!$A$3:$A$3390,D$1,'United Data'!$C$3:$C$3390,$A1189)&gt;0,1,0)</f>
        <v>0</v>
      </c>
      <c r="E1189">
        <f>IF(COUNTIFS('United Data'!$A$3:$A$3390,E$1,'United Data'!$C$3:$C$3390,$A1189)&gt;0,1,0)</f>
        <v>1</v>
      </c>
      <c r="F1189">
        <f>IF(COUNTIFS('United Data'!$A$3:$A$3390,F$1,'United Data'!$C$3:$C$3390,$A1189)&gt;0,1,0)</f>
        <v>0</v>
      </c>
      <c r="G1189">
        <f>IF(COUNTIFS('United Data'!$A$3:$A$3390,G$1,'United Data'!$C$3:$C$3390,$A1189)&gt;0,1,0)</f>
        <v>0</v>
      </c>
      <c r="H1189">
        <f>IF(COUNTIFS('United Data'!$A$3:$A$3390,H$1,'United Data'!$C$3:$C$3390,$A1189)&gt;0,1,0)</f>
        <v>0</v>
      </c>
      <c r="I1189">
        <f>IF(COUNTIFS('United Data'!$A$3:$A$3390,I$1,'United Data'!$C$3:$C$3390,$A1189)&gt;0,1,0)</f>
        <v>0</v>
      </c>
      <c r="J1189">
        <f>IF(COUNTIFS('United Data'!$A$3:$A$3390,J$1,'United Data'!$C$3:$C$3390,$A1189)&gt;0,1,0)</f>
        <v>0</v>
      </c>
      <c r="K1189">
        <f>IF(COUNTIFS('United Data'!$A$3:$A$3390,K$1,'United Data'!$C$3:$C$3390,$A1189)&gt;0,1,0)</f>
        <v>0</v>
      </c>
      <c r="L1189">
        <f>IF(COUNTIFS('United Data'!$A$3:$A$3390,L$1,'United Data'!$C$3:$C$3390,$A1189)&gt;0,1,0)</f>
        <v>0</v>
      </c>
      <c r="M1189">
        <f>IF(COUNTIFS('United Data'!$A$3:$A$3390,M$1,'United Data'!$C$3:$C$3390,$A1189)&gt;0,1,0)</f>
        <v>0</v>
      </c>
      <c r="N1189">
        <f>IF(COUNTIFS('United Data'!$A$3:$A$3390,N$1,'United Data'!$C$3:$C$3390,$A1189)&gt;0,1,0)</f>
        <v>0</v>
      </c>
      <c r="O1189">
        <f>IF(COUNTIFS('United Data'!$A$3:$A$3390,O$1,'United Data'!$C$3:$C$3390,$A1189)&gt;0,1,0)</f>
        <v>0</v>
      </c>
      <c r="P1189">
        <f>IF(COUNTIFS('United Data'!$A$3:$A$3390,P$1,'United Data'!$C$3:$C$3390,$A1189)&gt;0,1,0)</f>
        <v>0</v>
      </c>
      <c r="Q1189">
        <f>IF(COUNTIFS('United Data'!$A$3:$A$3390,Q$1,'United Data'!$C$3:$C$3390,$A1189)&gt;0,1,0)</f>
        <v>0</v>
      </c>
      <c r="R1189">
        <f>IF(COUNTIFS('United Data'!$A$3:$A$3390,R$1,'United Data'!$C$3:$C$3390,$A1189)&gt;0,1,0)</f>
        <v>0</v>
      </c>
      <c r="S1189">
        <f t="shared" si="36"/>
        <v>1</v>
      </c>
      <c r="T1189">
        <f t="shared" si="37"/>
        <v>1</v>
      </c>
    </row>
    <row r="1190" spans="1:20" x14ac:dyDescent="0.2">
      <c r="A1190" t="s">
        <v>1414</v>
      </c>
      <c r="B1190">
        <f>IF(COUNTIFS('United Data'!$A$3:$A$3390,B$1,'United Data'!$C$3:$C$3390,$A1190)&gt;0,1,0)</f>
        <v>0</v>
      </c>
      <c r="C1190">
        <f>IF(COUNTIFS('United Data'!$A$3:$A$3390,C$1,'United Data'!$C$3:$C$3390,$A1190)&gt;0,1,0)</f>
        <v>0</v>
      </c>
      <c r="D1190">
        <f>IF(COUNTIFS('United Data'!$A$3:$A$3390,D$1,'United Data'!$C$3:$C$3390,$A1190)&gt;0,1,0)</f>
        <v>0</v>
      </c>
      <c r="E1190">
        <f>IF(COUNTIFS('United Data'!$A$3:$A$3390,E$1,'United Data'!$C$3:$C$3390,$A1190)&gt;0,1,0)</f>
        <v>1</v>
      </c>
      <c r="F1190">
        <f>IF(COUNTIFS('United Data'!$A$3:$A$3390,F$1,'United Data'!$C$3:$C$3390,$A1190)&gt;0,1,0)</f>
        <v>0</v>
      </c>
      <c r="G1190">
        <f>IF(COUNTIFS('United Data'!$A$3:$A$3390,G$1,'United Data'!$C$3:$C$3390,$A1190)&gt;0,1,0)</f>
        <v>0</v>
      </c>
      <c r="H1190">
        <f>IF(COUNTIFS('United Data'!$A$3:$A$3390,H$1,'United Data'!$C$3:$C$3390,$A1190)&gt;0,1,0)</f>
        <v>0</v>
      </c>
      <c r="I1190">
        <f>IF(COUNTIFS('United Data'!$A$3:$A$3390,I$1,'United Data'!$C$3:$C$3390,$A1190)&gt;0,1,0)</f>
        <v>0</v>
      </c>
      <c r="J1190">
        <f>IF(COUNTIFS('United Data'!$A$3:$A$3390,J$1,'United Data'!$C$3:$C$3390,$A1190)&gt;0,1,0)</f>
        <v>0</v>
      </c>
      <c r="K1190">
        <f>IF(COUNTIFS('United Data'!$A$3:$A$3390,K$1,'United Data'!$C$3:$C$3390,$A1190)&gt;0,1,0)</f>
        <v>0</v>
      </c>
      <c r="L1190">
        <f>IF(COUNTIFS('United Data'!$A$3:$A$3390,L$1,'United Data'!$C$3:$C$3390,$A1190)&gt;0,1,0)</f>
        <v>0</v>
      </c>
      <c r="M1190">
        <f>IF(COUNTIFS('United Data'!$A$3:$A$3390,M$1,'United Data'!$C$3:$C$3390,$A1190)&gt;0,1,0)</f>
        <v>0</v>
      </c>
      <c r="N1190">
        <f>IF(COUNTIFS('United Data'!$A$3:$A$3390,N$1,'United Data'!$C$3:$C$3390,$A1190)&gt;0,1,0)</f>
        <v>0</v>
      </c>
      <c r="O1190">
        <f>IF(COUNTIFS('United Data'!$A$3:$A$3390,O$1,'United Data'!$C$3:$C$3390,$A1190)&gt;0,1,0)</f>
        <v>0</v>
      </c>
      <c r="P1190">
        <f>IF(COUNTIFS('United Data'!$A$3:$A$3390,P$1,'United Data'!$C$3:$C$3390,$A1190)&gt;0,1,0)</f>
        <v>0</v>
      </c>
      <c r="Q1190">
        <f>IF(COUNTIFS('United Data'!$A$3:$A$3390,Q$1,'United Data'!$C$3:$C$3390,$A1190)&gt;0,1,0)</f>
        <v>0</v>
      </c>
      <c r="R1190">
        <f>IF(COUNTIFS('United Data'!$A$3:$A$3390,R$1,'United Data'!$C$3:$C$3390,$A1190)&gt;0,1,0)</f>
        <v>0</v>
      </c>
      <c r="S1190">
        <f t="shared" si="36"/>
        <v>1</v>
      </c>
      <c r="T1190">
        <f t="shared" si="37"/>
        <v>1</v>
      </c>
    </row>
    <row r="1191" spans="1:20" x14ac:dyDescent="0.2">
      <c r="A1191" t="s">
        <v>1415</v>
      </c>
      <c r="B1191">
        <f>IF(COUNTIFS('United Data'!$A$3:$A$3390,B$1,'United Data'!$C$3:$C$3390,$A1191)&gt;0,1,0)</f>
        <v>0</v>
      </c>
      <c r="C1191">
        <f>IF(COUNTIFS('United Data'!$A$3:$A$3390,C$1,'United Data'!$C$3:$C$3390,$A1191)&gt;0,1,0)</f>
        <v>0</v>
      </c>
      <c r="D1191">
        <f>IF(COUNTIFS('United Data'!$A$3:$A$3390,D$1,'United Data'!$C$3:$C$3390,$A1191)&gt;0,1,0)</f>
        <v>0</v>
      </c>
      <c r="E1191">
        <f>IF(COUNTIFS('United Data'!$A$3:$A$3390,E$1,'United Data'!$C$3:$C$3390,$A1191)&gt;0,1,0)</f>
        <v>1</v>
      </c>
      <c r="F1191">
        <f>IF(COUNTIFS('United Data'!$A$3:$A$3390,F$1,'United Data'!$C$3:$C$3390,$A1191)&gt;0,1,0)</f>
        <v>0</v>
      </c>
      <c r="G1191">
        <f>IF(COUNTIFS('United Data'!$A$3:$A$3390,G$1,'United Data'!$C$3:$C$3390,$A1191)&gt;0,1,0)</f>
        <v>0</v>
      </c>
      <c r="H1191">
        <f>IF(COUNTIFS('United Data'!$A$3:$A$3390,H$1,'United Data'!$C$3:$C$3390,$A1191)&gt;0,1,0)</f>
        <v>0</v>
      </c>
      <c r="I1191">
        <f>IF(COUNTIFS('United Data'!$A$3:$A$3390,I$1,'United Data'!$C$3:$C$3390,$A1191)&gt;0,1,0)</f>
        <v>0</v>
      </c>
      <c r="J1191">
        <f>IF(COUNTIFS('United Data'!$A$3:$A$3390,J$1,'United Data'!$C$3:$C$3390,$A1191)&gt;0,1,0)</f>
        <v>0</v>
      </c>
      <c r="K1191">
        <f>IF(COUNTIFS('United Data'!$A$3:$A$3390,K$1,'United Data'!$C$3:$C$3390,$A1191)&gt;0,1,0)</f>
        <v>0</v>
      </c>
      <c r="L1191">
        <f>IF(COUNTIFS('United Data'!$A$3:$A$3390,L$1,'United Data'!$C$3:$C$3390,$A1191)&gt;0,1,0)</f>
        <v>0</v>
      </c>
      <c r="M1191">
        <f>IF(COUNTIFS('United Data'!$A$3:$A$3390,M$1,'United Data'!$C$3:$C$3390,$A1191)&gt;0,1,0)</f>
        <v>0</v>
      </c>
      <c r="N1191">
        <f>IF(COUNTIFS('United Data'!$A$3:$A$3390,N$1,'United Data'!$C$3:$C$3390,$A1191)&gt;0,1,0)</f>
        <v>0</v>
      </c>
      <c r="O1191">
        <f>IF(COUNTIFS('United Data'!$A$3:$A$3390,O$1,'United Data'!$C$3:$C$3390,$A1191)&gt;0,1,0)</f>
        <v>0</v>
      </c>
      <c r="P1191">
        <f>IF(COUNTIFS('United Data'!$A$3:$A$3390,P$1,'United Data'!$C$3:$C$3390,$A1191)&gt;0,1,0)</f>
        <v>0</v>
      </c>
      <c r="Q1191">
        <f>IF(COUNTIFS('United Data'!$A$3:$A$3390,Q$1,'United Data'!$C$3:$C$3390,$A1191)&gt;0,1,0)</f>
        <v>0</v>
      </c>
      <c r="R1191">
        <f>IF(COUNTIFS('United Data'!$A$3:$A$3390,R$1,'United Data'!$C$3:$C$3390,$A1191)&gt;0,1,0)</f>
        <v>0</v>
      </c>
      <c r="S1191">
        <f t="shared" si="36"/>
        <v>1</v>
      </c>
      <c r="T1191">
        <f t="shared" si="37"/>
        <v>1</v>
      </c>
    </row>
    <row r="1192" spans="1:20" x14ac:dyDescent="0.2">
      <c r="A1192" t="s">
        <v>1416</v>
      </c>
      <c r="B1192">
        <f>IF(COUNTIFS('United Data'!$A$3:$A$3390,B$1,'United Data'!$C$3:$C$3390,$A1192)&gt;0,1,0)</f>
        <v>0</v>
      </c>
      <c r="C1192">
        <f>IF(COUNTIFS('United Data'!$A$3:$A$3390,C$1,'United Data'!$C$3:$C$3390,$A1192)&gt;0,1,0)</f>
        <v>0</v>
      </c>
      <c r="D1192">
        <f>IF(COUNTIFS('United Data'!$A$3:$A$3390,D$1,'United Data'!$C$3:$C$3390,$A1192)&gt;0,1,0)</f>
        <v>0</v>
      </c>
      <c r="E1192">
        <f>IF(COUNTIFS('United Data'!$A$3:$A$3390,E$1,'United Data'!$C$3:$C$3390,$A1192)&gt;0,1,0)</f>
        <v>0</v>
      </c>
      <c r="F1192">
        <f>IF(COUNTIFS('United Data'!$A$3:$A$3390,F$1,'United Data'!$C$3:$C$3390,$A1192)&gt;0,1,0)</f>
        <v>1</v>
      </c>
      <c r="G1192">
        <f>IF(COUNTIFS('United Data'!$A$3:$A$3390,G$1,'United Data'!$C$3:$C$3390,$A1192)&gt;0,1,0)</f>
        <v>1</v>
      </c>
      <c r="H1192">
        <f>IF(COUNTIFS('United Data'!$A$3:$A$3390,H$1,'United Data'!$C$3:$C$3390,$A1192)&gt;0,1,0)</f>
        <v>1</v>
      </c>
      <c r="I1192">
        <f>IF(COUNTIFS('United Data'!$A$3:$A$3390,I$1,'United Data'!$C$3:$C$3390,$A1192)&gt;0,1,0)</f>
        <v>1</v>
      </c>
      <c r="J1192">
        <f>IF(COUNTIFS('United Data'!$A$3:$A$3390,J$1,'United Data'!$C$3:$C$3390,$A1192)&gt;0,1,0)</f>
        <v>1</v>
      </c>
      <c r="K1192">
        <f>IF(COUNTIFS('United Data'!$A$3:$A$3390,K$1,'United Data'!$C$3:$C$3390,$A1192)&gt;0,1,0)</f>
        <v>0</v>
      </c>
      <c r="L1192">
        <f>IF(COUNTIFS('United Data'!$A$3:$A$3390,L$1,'United Data'!$C$3:$C$3390,$A1192)&gt;0,1,0)</f>
        <v>0</v>
      </c>
      <c r="M1192">
        <f>IF(COUNTIFS('United Data'!$A$3:$A$3390,M$1,'United Data'!$C$3:$C$3390,$A1192)&gt;0,1,0)</f>
        <v>1</v>
      </c>
      <c r="N1192">
        <f>IF(COUNTIFS('United Data'!$A$3:$A$3390,N$1,'United Data'!$C$3:$C$3390,$A1192)&gt;0,1,0)</f>
        <v>0</v>
      </c>
      <c r="O1192">
        <f>IF(COUNTIFS('United Data'!$A$3:$A$3390,O$1,'United Data'!$C$3:$C$3390,$A1192)&gt;0,1,0)</f>
        <v>0</v>
      </c>
      <c r="P1192">
        <f>IF(COUNTIFS('United Data'!$A$3:$A$3390,P$1,'United Data'!$C$3:$C$3390,$A1192)&gt;0,1,0)</f>
        <v>0</v>
      </c>
      <c r="Q1192">
        <f>IF(COUNTIFS('United Data'!$A$3:$A$3390,Q$1,'United Data'!$C$3:$C$3390,$A1192)&gt;0,1,0)</f>
        <v>0</v>
      </c>
      <c r="R1192">
        <f>IF(COUNTIFS('United Data'!$A$3:$A$3390,R$1,'United Data'!$C$3:$C$3390,$A1192)&gt;0,1,0)</f>
        <v>0</v>
      </c>
      <c r="S1192">
        <f t="shared" si="36"/>
        <v>6</v>
      </c>
      <c r="T1192">
        <f t="shared" si="37"/>
        <v>2</v>
      </c>
    </row>
    <row r="1193" spans="1:20" x14ac:dyDescent="0.2">
      <c r="A1193" t="s">
        <v>1418</v>
      </c>
      <c r="B1193">
        <f>IF(COUNTIFS('United Data'!$A$3:$A$3390,B$1,'United Data'!$C$3:$C$3390,$A1193)&gt;0,1,0)</f>
        <v>0</v>
      </c>
      <c r="C1193">
        <f>IF(COUNTIFS('United Data'!$A$3:$A$3390,C$1,'United Data'!$C$3:$C$3390,$A1193)&gt;0,1,0)</f>
        <v>0</v>
      </c>
      <c r="D1193">
        <f>IF(COUNTIFS('United Data'!$A$3:$A$3390,D$1,'United Data'!$C$3:$C$3390,$A1193)&gt;0,1,0)</f>
        <v>0</v>
      </c>
      <c r="E1193">
        <f>IF(COUNTIFS('United Data'!$A$3:$A$3390,E$1,'United Data'!$C$3:$C$3390,$A1193)&gt;0,1,0)</f>
        <v>0</v>
      </c>
      <c r="F1193">
        <f>IF(COUNTIFS('United Data'!$A$3:$A$3390,F$1,'United Data'!$C$3:$C$3390,$A1193)&gt;0,1,0)</f>
        <v>1</v>
      </c>
      <c r="G1193">
        <f>IF(COUNTIFS('United Data'!$A$3:$A$3390,G$1,'United Data'!$C$3:$C$3390,$A1193)&gt;0,1,0)</f>
        <v>0</v>
      </c>
      <c r="H1193">
        <f>IF(COUNTIFS('United Data'!$A$3:$A$3390,H$1,'United Data'!$C$3:$C$3390,$A1193)&gt;0,1,0)</f>
        <v>0</v>
      </c>
      <c r="I1193">
        <f>IF(COUNTIFS('United Data'!$A$3:$A$3390,I$1,'United Data'!$C$3:$C$3390,$A1193)&gt;0,1,0)</f>
        <v>0</v>
      </c>
      <c r="J1193">
        <f>IF(COUNTIFS('United Data'!$A$3:$A$3390,J$1,'United Data'!$C$3:$C$3390,$A1193)&gt;0,1,0)</f>
        <v>0</v>
      </c>
      <c r="K1193">
        <f>IF(COUNTIFS('United Data'!$A$3:$A$3390,K$1,'United Data'!$C$3:$C$3390,$A1193)&gt;0,1,0)</f>
        <v>0</v>
      </c>
      <c r="L1193">
        <f>IF(COUNTIFS('United Data'!$A$3:$A$3390,L$1,'United Data'!$C$3:$C$3390,$A1193)&gt;0,1,0)</f>
        <v>0</v>
      </c>
      <c r="M1193">
        <f>IF(COUNTIFS('United Data'!$A$3:$A$3390,M$1,'United Data'!$C$3:$C$3390,$A1193)&gt;0,1,0)</f>
        <v>0</v>
      </c>
      <c r="N1193">
        <f>IF(COUNTIFS('United Data'!$A$3:$A$3390,N$1,'United Data'!$C$3:$C$3390,$A1193)&gt;0,1,0)</f>
        <v>0</v>
      </c>
      <c r="O1193">
        <f>IF(COUNTIFS('United Data'!$A$3:$A$3390,O$1,'United Data'!$C$3:$C$3390,$A1193)&gt;0,1,0)</f>
        <v>0</v>
      </c>
      <c r="P1193">
        <f>IF(COUNTIFS('United Data'!$A$3:$A$3390,P$1,'United Data'!$C$3:$C$3390,$A1193)&gt;0,1,0)</f>
        <v>0</v>
      </c>
      <c r="Q1193">
        <f>IF(COUNTIFS('United Data'!$A$3:$A$3390,Q$1,'United Data'!$C$3:$C$3390,$A1193)&gt;0,1,0)</f>
        <v>0</v>
      </c>
      <c r="R1193">
        <f>IF(COUNTIFS('United Data'!$A$3:$A$3390,R$1,'United Data'!$C$3:$C$3390,$A1193)&gt;0,1,0)</f>
        <v>0</v>
      </c>
      <c r="S1193">
        <f t="shared" si="36"/>
        <v>1</v>
      </c>
      <c r="T1193">
        <f t="shared" si="37"/>
        <v>1</v>
      </c>
    </row>
    <row r="1194" spans="1:20" x14ac:dyDescent="0.2">
      <c r="A1194" t="s">
        <v>1419</v>
      </c>
      <c r="B1194">
        <f>IF(COUNTIFS('United Data'!$A$3:$A$3390,B$1,'United Data'!$C$3:$C$3390,$A1194)&gt;0,1,0)</f>
        <v>0</v>
      </c>
      <c r="C1194">
        <f>IF(COUNTIFS('United Data'!$A$3:$A$3390,C$1,'United Data'!$C$3:$C$3390,$A1194)&gt;0,1,0)</f>
        <v>0</v>
      </c>
      <c r="D1194">
        <f>IF(COUNTIFS('United Data'!$A$3:$A$3390,D$1,'United Data'!$C$3:$C$3390,$A1194)&gt;0,1,0)</f>
        <v>0</v>
      </c>
      <c r="E1194">
        <f>IF(COUNTIFS('United Data'!$A$3:$A$3390,E$1,'United Data'!$C$3:$C$3390,$A1194)&gt;0,1,0)</f>
        <v>0</v>
      </c>
      <c r="F1194">
        <f>IF(COUNTIFS('United Data'!$A$3:$A$3390,F$1,'United Data'!$C$3:$C$3390,$A1194)&gt;0,1,0)</f>
        <v>1</v>
      </c>
      <c r="G1194">
        <f>IF(COUNTIFS('United Data'!$A$3:$A$3390,G$1,'United Data'!$C$3:$C$3390,$A1194)&gt;0,1,0)</f>
        <v>1</v>
      </c>
      <c r="H1194">
        <f>IF(COUNTIFS('United Data'!$A$3:$A$3390,H$1,'United Data'!$C$3:$C$3390,$A1194)&gt;0,1,0)</f>
        <v>0</v>
      </c>
      <c r="I1194">
        <f>IF(COUNTIFS('United Data'!$A$3:$A$3390,I$1,'United Data'!$C$3:$C$3390,$A1194)&gt;0,1,0)</f>
        <v>0</v>
      </c>
      <c r="J1194">
        <f>IF(COUNTIFS('United Data'!$A$3:$A$3390,J$1,'United Data'!$C$3:$C$3390,$A1194)&gt;0,1,0)</f>
        <v>0</v>
      </c>
      <c r="K1194">
        <f>IF(COUNTIFS('United Data'!$A$3:$A$3390,K$1,'United Data'!$C$3:$C$3390,$A1194)&gt;0,1,0)</f>
        <v>0</v>
      </c>
      <c r="L1194">
        <f>IF(COUNTIFS('United Data'!$A$3:$A$3390,L$1,'United Data'!$C$3:$C$3390,$A1194)&gt;0,1,0)</f>
        <v>1</v>
      </c>
      <c r="M1194">
        <f>IF(COUNTIFS('United Data'!$A$3:$A$3390,M$1,'United Data'!$C$3:$C$3390,$A1194)&gt;0,1,0)</f>
        <v>1</v>
      </c>
      <c r="N1194">
        <f>IF(COUNTIFS('United Data'!$A$3:$A$3390,N$1,'United Data'!$C$3:$C$3390,$A1194)&gt;0,1,0)</f>
        <v>0</v>
      </c>
      <c r="O1194">
        <f>IF(COUNTIFS('United Data'!$A$3:$A$3390,O$1,'United Data'!$C$3:$C$3390,$A1194)&gt;0,1,0)</f>
        <v>0</v>
      </c>
      <c r="P1194">
        <f>IF(COUNTIFS('United Data'!$A$3:$A$3390,P$1,'United Data'!$C$3:$C$3390,$A1194)&gt;0,1,0)</f>
        <v>1</v>
      </c>
      <c r="Q1194">
        <f>IF(COUNTIFS('United Data'!$A$3:$A$3390,Q$1,'United Data'!$C$3:$C$3390,$A1194)&gt;0,1,0)</f>
        <v>0</v>
      </c>
      <c r="R1194">
        <f>IF(COUNTIFS('United Data'!$A$3:$A$3390,R$1,'United Data'!$C$3:$C$3390,$A1194)&gt;0,1,0)</f>
        <v>0</v>
      </c>
      <c r="S1194">
        <f t="shared" si="36"/>
        <v>5</v>
      </c>
      <c r="T1194">
        <f t="shared" si="37"/>
        <v>3</v>
      </c>
    </row>
    <row r="1195" spans="1:20" x14ac:dyDescent="0.2">
      <c r="A1195" t="s">
        <v>1420</v>
      </c>
      <c r="B1195">
        <f>IF(COUNTIFS('United Data'!$A$3:$A$3390,B$1,'United Data'!$C$3:$C$3390,$A1195)&gt;0,1,0)</f>
        <v>0</v>
      </c>
      <c r="C1195">
        <f>IF(COUNTIFS('United Data'!$A$3:$A$3390,C$1,'United Data'!$C$3:$C$3390,$A1195)&gt;0,1,0)</f>
        <v>0</v>
      </c>
      <c r="D1195">
        <f>IF(COUNTIFS('United Data'!$A$3:$A$3390,D$1,'United Data'!$C$3:$C$3390,$A1195)&gt;0,1,0)</f>
        <v>0</v>
      </c>
      <c r="E1195">
        <f>IF(COUNTIFS('United Data'!$A$3:$A$3390,E$1,'United Data'!$C$3:$C$3390,$A1195)&gt;0,1,0)</f>
        <v>0</v>
      </c>
      <c r="F1195">
        <f>IF(COUNTIFS('United Data'!$A$3:$A$3390,F$1,'United Data'!$C$3:$C$3390,$A1195)&gt;0,1,0)</f>
        <v>0</v>
      </c>
      <c r="G1195">
        <f>IF(COUNTIFS('United Data'!$A$3:$A$3390,G$1,'United Data'!$C$3:$C$3390,$A1195)&gt;0,1,0)</f>
        <v>1</v>
      </c>
      <c r="H1195">
        <f>IF(COUNTIFS('United Data'!$A$3:$A$3390,H$1,'United Data'!$C$3:$C$3390,$A1195)&gt;0,1,0)</f>
        <v>0</v>
      </c>
      <c r="I1195">
        <f>IF(COUNTIFS('United Data'!$A$3:$A$3390,I$1,'United Data'!$C$3:$C$3390,$A1195)&gt;0,1,0)</f>
        <v>0</v>
      </c>
      <c r="J1195">
        <f>IF(COUNTIFS('United Data'!$A$3:$A$3390,J$1,'United Data'!$C$3:$C$3390,$A1195)&gt;0,1,0)</f>
        <v>0</v>
      </c>
      <c r="K1195">
        <f>IF(COUNTIFS('United Data'!$A$3:$A$3390,K$1,'United Data'!$C$3:$C$3390,$A1195)&gt;0,1,0)</f>
        <v>0</v>
      </c>
      <c r="L1195">
        <f>IF(COUNTIFS('United Data'!$A$3:$A$3390,L$1,'United Data'!$C$3:$C$3390,$A1195)&gt;0,1,0)</f>
        <v>0</v>
      </c>
      <c r="M1195">
        <f>IF(COUNTIFS('United Data'!$A$3:$A$3390,M$1,'United Data'!$C$3:$C$3390,$A1195)&gt;0,1,0)</f>
        <v>0</v>
      </c>
      <c r="N1195">
        <f>IF(COUNTIFS('United Data'!$A$3:$A$3390,N$1,'United Data'!$C$3:$C$3390,$A1195)&gt;0,1,0)</f>
        <v>0</v>
      </c>
      <c r="O1195">
        <f>IF(COUNTIFS('United Data'!$A$3:$A$3390,O$1,'United Data'!$C$3:$C$3390,$A1195)&gt;0,1,0)</f>
        <v>0</v>
      </c>
      <c r="P1195">
        <f>IF(COUNTIFS('United Data'!$A$3:$A$3390,P$1,'United Data'!$C$3:$C$3390,$A1195)&gt;0,1,0)</f>
        <v>0</v>
      </c>
      <c r="Q1195">
        <f>IF(COUNTIFS('United Data'!$A$3:$A$3390,Q$1,'United Data'!$C$3:$C$3390,$A1195)&gt;0,1,0)</f>
        <v>0</v>
      </c>
      <c r="R1195">
        <f>IF(COUNTIFS('United Data'!$A$3:$A$3390,R$1,'United Data'!$C$3:$C$3390,$A1195)&gt;0,1,0)</f>
        <v>0</v>
      </c>
      <c r="S1195">
        <f t="shared" si="36"/>
        <v>1</v>
      </c>
      <c r="T1195">
        <f t="shared" si="37"/>
        <v>1</v>
      </c>
    </row>
    <row r="1196" spans="1:20" x14ac:dyDescent="0.2">
      <c r="A1196" t="s">
        <v>1421</v>
      </c>
      <c r="B1196">
        <f>IF(COUNTIFS('United Data'!$A$3:$A$3390,B$1,'United Data'!$C$3:$C$3390,$A1196)&gt;0,1,0)</f>
        <v>0</v>
      </c>
      <c r="C1196">
        <f>IF(COUNTIFS('United Data'!$A$3:$A$3390,C$1,'United Data'!$C$3:$C$3390,$A1196)&gt;0,1,0)</f>
        <v>0</v>
      </c>
      <c r="D1196">
        <f>IF(COUNTIFS('United Data'!$A$3:$A$3390,D$1,'United Data'!$C$3:$C$3390,$A1196)&gt;0,1,0)</f>
        <v>0</v>
      </c>
      <c r="E1196">
        <f>IF(COUNTIFS('United Data'!$A$3:$A$3390,E$1,'United Data'!$C$3:$C$3390,$A1196)&gt;0,1,0)</f>
        <v>0</v>
      </c>
      <c r="F1196">
        <f>IF(COUNTIFS('United Data'!$A$3:$A$3390,F$1,'United Data'!$C$3:$C$3390,$A1196)&gt;0,1,0)</f>
        <v>0</v>
      </c>
      <c r="G1196">
        <f>IF(COUNTIFS('United Data'!$A$3:$A$3390,G$1,'United Data'!$C$3:$C$3390,$A1196)&gt;0,1,0)</f>
        <v>1</v>
      </c>
      <c r="H1196">
        <f>IF(COUNTIFS('United Data'!$A$3:$A$3390,H$1,'United Data'!$C$3:$C$3390,$A1196)&gt;0,1,0)</f>
        <v>1</v>
      </c>
      <c r="I1196">
        <f>IF(COUNTIFS('United Data'!$A$3:$A$3390,I$1,'United Data'!$C$3:$C$3390,$A1196)&gt;0,1,0)</f>
        <v>0</v>
      </c>
      <c r="J1196">
        <f>IF(COUNTIFS('United Data'!$A$3:$A$3390,J$1,'United Data'!$C$3:$C$3390,$A1196)&gt;0,1,0)</f>
        <v>0</v>
      </c>
      <c r="K1196">
        <f>IF(COUNTIFS('United Data'!$A$3:$A$3390,K$1,'United Data'!$C$3:$C$3390,$A1196)&gt;0,1,0)</f>
        <v>0</v>
      </c>
      <c r="L1196">
        <f>IF(COUNTIFS('United Data'!$A$3:$A$3390,L$1,'United Data'!$C$3:$C$3390,$A1196)&gt;0,1,0)</f>
        <v>0</v>
      </c>
      <c r="M1196">
        <f>IF(COUNTIFS('United Data'!$A$3:$A$3390,M$1,'United Data'!$C$3:$C$3390,$A1196)&gt;0,1,0)</f>
        <v>0</v>
      </c>
      <c r="N1196">
        <f>IF(COUNTIFS('United Data'!$A$3:$A$3390,N$1,'United Data'!$C$3:$C$3390,$A1196)&gt;0,1,0)</f>
        <v>0</v>
      </c>
      <c r="O1196">
        <f>IF(COUNTIFS('United Data'!$A$3:$A$3390,O$1,'United Data'!$C$3:$C$3390,$A1196)&gt;0,1,0)</f>
        <v>0</v>
      </c>
      <c r="P1196">
        <f>IF(COUNTIFS('United Data'!$A$3:$A$3390,P$1,'United Data'!$C$3:$C$3390,$A1196)&gt;0,1,0)</f>
        <v>0</v>
      </c>
      <c r="Q1196">
        <f>IF(COUNTIFS('United Data'!$A$3:$A$3390,Q$1,'United Data'!$C$3:$C$3390,$A1196)&gt;0,1,0)</f>
        <v>0</v>
      </c>
      <c r="R1196">
        <f>IF(COUNTIFS('United Data'!$A$3:$A$3390,R$1,'United Data'!$C$3:$C$3390,$A1196)&gt;0,1,0)</f>
        <v>0</v>
      </c>
      <c r="S1196">
        <f t="shared" si="36"/>
        <v>2</v>
      </c>
      <c r="T1196">
        <f t="shared" si="37"/>
        <v>1</v>
      </c>
    </row>
    <row r="1197" spans="1:20" x14ac:dyDescent="0.2">
      <c r="A1197" t="s">
        <v>1422</v>
      </c>
      <c r="B1197">
        <f>IF(COUNTIFS('United Data'!$A$3:$A$3390,B$1,'United Data'!$C$3:$C$3390,$A1197)&gt;0,1,0)</f>
        <v>0</v>
      </c>
      <c r="C1197">
        <f>IF(COUNTIFS('United Data'!$A$3:$A$3390,C$1,'United Data'!$C$3:$C$3390,$A1197)&gt;0,1,0)</f>
        <v>0</v>
      </c>
      <c r="D1197">
        <f>IF(COUNTIFS('United Data'!$A$3:$A$3390,D$1,'United Data'!$C$3:$C$3390,$A1197)&gt;0,1,0)</f>
        <v>0</v>
      </c>
      <c r="E1197">
        <f>IF(COUNTIFS('United Data'!$A$3:$A$3390,E$1,'United Data'!$C$3:$C$3390,$A1197)&gt;0,1,0)</f>
        <v>0</v>
      </c>
      <c r="F1197">
        <f>IF(COUNTIFS('United Data'!$A$3:$A$3390,F$1,'United Data'!$C$3:$C$3390,$A1197)&gt;0,1,0)</f>
        <v>0</v>
      </c>
      <c r="G1197">
        <f>IF(COUNTIFS('United Data'!$A$3:$A$3390,G$1,'United Data'!$C$3:$C$3390,$A1197)&gt;0,1,0)</f>
        <v>1</v>
      </c>
      <c r="H1197">
        <f>IF(COUNTIFS('United Data'!$A$3:$A$3390,H$1,'United Data'!$C$3:$C$3390,$A1197)&gt;0,1,0)</f>
        <v>0</v>
      </c>
      <c r="I1197">
        <f>IF(COUNTIFS('United Data'!$A$3:$A$3390,I$1,'United Data'!$C$3:$C$3390,$A1197)&gt;0,1,0)</f>
        <v>0</v>
      </c>
      <c r="J1197">
        <f>IF(COUNTIFS('United Data'!$A$3:$A$3390,J$1,'United Data'!$C$3:$C$3390,$A1197)&gt;0,1,0)</f>
        <v>0</v>
      </c>
      <c r="K1197">
        <f>IF(COUNTIFS('United Data'!$A$3:$A$3390,K$1,'United Data'!$C$3:$C$3390,$A1197)&gt;0,1,0)</f>
        <v>0</v>
      </c>
      <c r="L1197">
        <f>IF(COUNTIFS('United Data'!$A$3:$A$3390,L$1,'United Data'!$C$3:$C$3390,$A1197)&gt;0,1,0)</f>
        <v>0</v>
      </c>
      <c r="M1197">
        <f>IF(COUNTIFS('United Data'!$A$3:$A$3390,M$1,'United Data'!$C$3:$C$3390,$A1197)&gt;0,1,0)</f>
        <v>0</v>
      </c>
      <c r="N1197">
        <f>IF(COUNTIFS('United Data'!$A$3:$A$3390,N$1,'United Data'!$C$3:$C$3390,$A1197)&gt;0,1,0)</f>
        <v>0</v>
      </c>
      <c r="O1197">
        <f>IF(COUNTIFS('United Data'!$A$3:$A$3390,O$1,'United Data'!$C$3:$C$3390,$A1197)&gt;0,1,0)</f>
        <v>0</v>
      </c>
      <c r="P1197">
        <f>IF(COUNTIFS('United Data'!$A$3:$A$3390,P$1,'United Data'!$C$3:$C$3390,$A1197)&gt;0,1,0)</f>
        <v>0</v>
      </c>
      <c r="Q1197">
        <f>IF(COUNTIFS('United Data'!$A$3:$A$3390,Q$1,'United Data'!$C$3:$C$3390,$A1197)&gt;0,1,0)</f>
        <v>0</v>
      </c>
      <c r="R1197">
        <f>IF(COUNTIFS('United Data'!$A$3:$A$3390,R$1,'United Data'!$C$3:$C$3390,$A1197)&gt;0,1,0)</f>
        <v>0</v>
      </c>
      <c r="S1197">
        <f t="shared" si="36"/>
        <v>1</v>
      </c>
      <c r="T1197">
        <f t="shared" si="37"/>
        <v>1</v>
      </c>
    </row>
    <row r="1198" spans="1:20" x14ac:dyDescent="0.2">
      <c r="A1198" t="s">
        <v>1423</v>
      </c>
      <c r="B1198">
        <f>IF(COUNTIFS('United Data'!$A$3:$A$3390,B$1,'United Data'!$C$3:$C$3390,$A1198)&gt;0,1,0)</f>
        <v>0</v>
      </c>
      <c r="C1198">
        <f>IF(COUNTIFS('United Data'!$A$3:$A$3390,C$1,'United Data'!$C$3:$C$3390,$A1198)&gt;0,1,0)</f>
        <v>0</v>
      </c>
      <c r="D1198">
        <f>IF(COUNTIFS('United Data'!$A$3:$A$3390,D$1,'United Data'!$C$3:$C$3390,$A1198)&gt;0,1,0)</f>
        <v>0</v>
      </c>
      <c r="E1198">
        <f>IF(COUNTIFS('United Data'!$A$3:$A$3390,E$1,'United Data'!$C$3:$C$3390,$A1198)&gt;0,1,0)</f>
        <v>0</v>
      </c>
      <c r="F1198">
        <f>IF(COUNTIFS('United Data'!$A$3:$A$3390,F$1,'United Data'!$C$3:$C$3390,$A1198)&gt;0,1,0)</f>
        <v>0</v>
      </c>
      <c r="G1198">
        <f>IF(COUNTIFS('United Data'!$A$3:$A$3390,G$1,'United Data'!$C$3:$C$3390,$A1198)&gt;0,1,0)</f>
        <v>1</v>
      </c>
      <c r="H1198">
        <f>IF(COUNTIFS('United Data'!$A$3:$A$3390,H$1,'United Data'!$C$3:$C$3390,$A1198)&gt;0,1,0)</f>
        <v>1</v>
      </c>
      <c r="I1198">
        <f>IF(COUNTIFS('United Data'!$A$3:$A$3390,I$1,'United Data'!$C$3:$C$3390,$A1198)&gt;0,1,0)</f>
        <v>0</v>
      </c>
      <c r="J1198">
        <f>IF(COUNTIFS('United Data'!$A$3:$A$3390,J$1,'United Data'!$C$3:$C$3390,$A1198)&gt;0,1,0)</f>
        <v>0</v>
      </c>
      <c r="K1198">
        <f>IF(COUNTIFS('United Data'!$A$3:$A$3390,K$1,'United Data'!$C$3:$C$3390,$A1198)&gt;0,1,0)</f>
        <v>0</v>
      </c>
      <c r="L1198">
        <f>IF(COUNTIFS('United Data'!$A$3:$A$3390,L$1,'United Data'!$C$3:$C$3390,$A1198)&gt;0,1,0)</f>
        <v>0</v>
      </c>
      <c r="M1198">
        <f>IF(COUNTIFS('United Data'!$A$3:$A$3390,M$1,'United Data'!$C$3:$C$3390,$A1198)&gt;0,1,0)</f>
        <v>0</v>
      </c>
      <c r="N1198">
        <f>IF(COUNTIFS('United Data'!$A$3:$A$3390,N$1,'United Data'!$C$3:$C$3390,$A1198)&gt;0,1,0)</f>
        <v>0</v>
      </c>
      <c r="O1198">
        <f>IF(COUNTIFS('United Data'!$A$3:$A$3390,O$1,'United Data'!$C$3:$C$3390,$A1198)&gt;0,1,0)</f>
        <v>0</v>
      </c>
      <c r="P1198">
        <f>IF(COUNTIFS('United Data'!$A$3:$A$3390,P$1,'United Data'!$C$3:$C$3390,$A1198)&gt;0,1,0)</f>
        <v>0</v>
      </c>
      <c r="Q1198">
        <f>IF(COUNTIFS('United Data'!$A$3:$A$3390,Q$1,'United Data'!$C$3:$C$3390,$A1198)&gt;0,1,0)</f>
        <v>0</v>
      </c>
      <c r="R1198">
        <f>IF(COUNTIFS('United Data'!$A$3:$A$3390,R$1,'United Data'!$C$3:$C$3390,$A1198)&gt;0,1,0)</f>
        <v>0</v>
      </c>
      <c r="S1198">
        <f t="shared" si="36"/>
        <v>2</v>
      </c>
      <c r="T1198">
        <f t="shared" si="37"/>
        <v>1</v>
      </c>
    </row>
    <row r="1199" spans="1:20" x14ac:dyDescent="0.2">
      <c r="A1199" t="s">
        <v>1424</v>
      </c>
      <c r="B1199">
        <f>IF(COUNTIFS('United Data'!$A$3:$A$3390,B$1,'United Data'!$C$3:$C$3390,$A1199)&gt;0,1,0)</f>
        <v>0</v>
      </c>
      <c r="C1199">
        <f>IF(COUNTIFS('United Data'!$A$3:$A$3390,C$1,'United Data'!$C$3:$C$3390,$A1199)&gt;0,1,0)</f>
        <v>0</v>
      </c>
      <c r="D1199">
        <f>IF(COUNTIFS('United Data'!$A$3:$A$3390,D$1,'United Data'!$C$3:$C$3390,$A1199)&gt;0,1,0)</f>
        <v>0</v>
      </c>
      <c r="E1199">
        <f>IF(COUNTIFS('United Data'!$A$3:$A$3390,E$1,'United Data'!$C$3:$C$3390,$A1199)&gt;0,1,0)</f>
        <v>0</v>
      </c>
      <c r="F1199">
        <f>IF(COUNTIFS('United Data'!$A$3:$A$3390,F$1,'United Data'!$C$3:$C$3390,$A1199)&gt;0,1,0)</f>
        <v>0</v>
      </c>
      <c r="G1199">
        <f>IF(COUNTIFS('United Data'!$A$3:$A$3390,G$1,'United Data'!$C$3:$C$3390,$A1199)&gt;0,1,0)</f>
        <v>1</v>
      </c>
      <c r="H1199">
        <f>IF(COUNTIFS('United Data'!$A$3:$A$3390,H$1,'United Data'!$C$3:$C$3390,$A1199)&gt;0,1,0)</f>
        <v>0</v>
      </c>
      <c r="I1199">
        <f>IF(COUNTIFS('United Data'!$A$3:$A$3390,I$1,'United Data'!$C$3:$C$3390,$A1199)&gt;0,1,0)</f>
        <v>0</v>
      </c>
      <c r="J1199">
        <f>IF(COUNTIFS('United Data'!$A$3:$A$3390,J$1,'United Data'!$C$3:$C$3390,$A1199)&gt;0,1,0)</f>
        <v>0</v>
      </c>
      <c r="K1199">
        <f>IF(COUNTIFS('United Data'!$A$3:$A$3390,K$1,'United Data'!$C$3:$C$3390,$A1199)&gt;0,1,0)</f>
        <v>0</v>
      </c>
      <c r="L1199">
        <f>IF(COUNTIFS('United Data'!$A$3:$A$3390,L$1,'United Data'!$C$3:$C$3390,$A1199)&gt;0,1,0)</f>
        <v>0</v>
      </c>
      <c r="M1199">
        <f>IF(COUNTIFS('United Data'!$A$3:$A$3390,M$1,'United Data'!$C$3:$C$3390,$A1199)&gt;0,1,0)</f>
        <v>0</v>
      </c>
      <c r="N1199">
        <f>IF(COUNTIFS('United Data'!$A$3:$A$3390,N$1,'United Data'!$C$3:$C$3390,$A1199)&gt;0,1,0)</f>
        <v>0</v>
      </c>
      <c r="O1199">
        <f>IF(COUNTIFS('United Data'!$A$3:$A$3390,O$1,'United Data'!$C$3:$C$3390,$A1199)&gt;0,1,0)</f>
        <v>0</v>
      </c>
      <c r="P1199">
        <f>IF(COUNTIFS('United Data'!$A$3:$A$3390,P$1,'United Data'!$C$3:$C$3390,$A1199)&gt;0,1,0)</f>
        <v>0</v>
      </c>
      <c r="Q1199">
        <f>IF(COUNTIFS('United Data'!$A$3:$A$3390,Q$1,'United Data'!$C$3:$C$3390,$A1199)&gt;0,1,0)</f>
        <v>0</v>
      </c>
      <c r="R1199">
        <f>IF(COUNTIFS('United Data'!$A$3:$A$3390,R$1,'United Data'!$C$3:$C$3390,$A1199)&gt;0,1,0)</f>
        <v>0</v>
      </c>
      <c r="S1199">
        <f t="shared" si="36"/>
        <v>1</v>
      </c>
      <c r="T1199">
        <f t="shared" si="37"/>
        <v>1</v>
      </c>
    </row>
    <row r="1200" spans="1:20" x14ac:dyDescent="0.2">
      <c r="A1200" t="s">
        <v>1425</v>
      </c>
      <c r="B1200">
        <f>IF(COUNTIFS('United Data'!$A$3:$A$3390,B$1,'United Data'!$C$3:$C$3390,$A1200)&gt;0,1,0)</f>
        <v>0</v>
      </c>
      <c r="C1200">
        <f>IF(COUNTIFS('United Data'!$A$3:$A$3390,C$1,'United Data'!$C$3:$C$3390,$A1200)&gt;0,1,0)</f>
        <v>0</v>
      </c>
      <c r="D1200">
        <f>IF(COUNTIFS('United Data'!$A$3:$A$3390,D$1,'United Data'!$C$3:$C$3390,$A1200)&gt;0,1,0)</f>
        <v>0</v>
      </c>
      <c r="E1200">
        <f>IF(COUNTIFS('United Data'!$A$3:$A$3390,E$1,'United Data'!$C$3:$C$3390,$A1200)&gt;0,1,0)</f>
        <v>0</v>
      </c>
      <c r="F1200">
        <f>IF(COUNTIFS('United Data'!$A$3:$A$3390,F$1,'United Data'!$C$3:$C$3390,$A1200)&gt;0,1,0)</f>
        <v>0</v>
      </c>
      <c r="G1200">
        <f>IF(COUNTIFS('United Data'!$A$3:$A$3390,G$1,'United Data'!$C$3:$C$3390,$A1200)&gt;0,1,0)</f>
        <v>0</v>
      </c>
      <c r="H1200">
        <f>IF(COUNTIFS('United Data'!$A$3:$A$3390,H$1,'United Data'!$C$3:$C$3390,$A1200)&gt;0,1,0)</f>
        <v>1</v>
      </c>
      <c r="I1200">
        <f>IF(COUNTIFS('United Data'!$A$3:$A$3390,I$1,'United Data'!$C$3:$C$3390,$A1200)&gt;0,1,0)</f>
        <v>0</v>
      </c>
      <c r="J1200">
        <f>IF(COUNTIFS('United Data'!$A$3:$A$3390,J$1,'United Data'!$C$3:$C$3390,$A1200)&gt;0,1,0)</f>
        <v>0</v>
      </c>
      <c r="K1200">
        <f>IF(COUNTIFS('United Data'!$A$3:$A$3390,K$1,'United Data'!$C$3:$C$3390,$A1200)&gt;0,1,0)</f>
        <v>0</v>
      </c>
      <c r="L1200">
        <f>IF(COUNTIFS('United Data'!$A$3:$A$3390,L$1,'United Data'!$C$3:$C$3390,$A1200)&gt;0,1,0)</f>
        <v>0</v>
      </c>
      <c r="M1200">
        <f>IF(COUNTIFS('United Data'!$A$3:$A$3390,M$1,'United Data'!$C$3:$C$3390,$A1200)&gt;0,1,0)</f>
        <v>0</v>
      </c>
      <c r="N1200">
        <f>IF(COUNTIFS('United Data'!$A$3:$A$3390,N$1,'United Data'!$C$3:$C$3390,$A1200)&gt;0,1,0)</f>
        <v>0</v>
      </c>
      <c r="O1200">
        <f>IF(COUNTIFS('United Data'!$A$3:$A$3390,O$1,'United Data'!$C$3:$C$3390,$A1200)&gt;0,1,0)</f>
        <v>0</v>
      </c>
      <c r="P1200">
        <f>IF(COUNTIFS('United Data'!$A$3:$A$3390,P$1,'United Data'!$C$3:$C$3390,$A1200)&gt;0,1,0)</f>
        <v>0</v>
      </c>
      <c r="Q1200">
        <f>IF(COUNTIFS('United Data'!$A$3:$A$3390,Q$1,'United Data'!$C$3:$C$3390,$A1200)&gt;0,1,0)</f>
        <v>0</v>
      </c>
      <c r="R1200">
        <f>IF(COUNTIFS('United Data'!$A$3:$A$3390,R$1,'United Data'!$C$3:$C$3390,$A1200)&gt;0,1,0)</f>
        <v>0</v>
      </c>
      <c r="S1200">
        <f t="shared" si="36"/>
        <v>1</v>
      </c>
      <c r="T1200">
        <f t="shared" si="37"/>
        <v>1</v>
      </c>
    </row>
    <row r="1201" spans="1:20" x14ac:dyDescent="0.2">
      <c r="A1201" t="s">
        <v>1426</v>
      </c>
      <c r="B1201">
        <f>IF(COUNTIFS('United Data'!$A$3:$A$3390,B$1,'United Data'!$C$3:$C$3390,$A1201)&gt;0,1,0)</f>
        <v>0</v>
      </c>
      <c r="C1201">
        <f>IF(COUNTIFS('United Data'!$A$3:$A$3390,C$1,'United Data'!$C$3:$C$3390,$A1201)&gt;0,1,0)</f>
        <v>0</v>
      </c>
      <c r="D1201">
        <f>IF(COUNTIFS('United Data'!$A$3:$A$3390,D$1,'United Data'!$C$3:$C$3390,$A1201)&gt;0,1,0)</f>
        <v>0</v>
      </c>
      <c r="E1201">
        <f>IF(COUNTIFS('United Data'!$A$3:$A$3390,E$1,'United Data'!$C$3:$C$3390,$A1201)&gt;0,1,0)</f>
        <v>0</v>
      </c>
      <c r="F1201">
        <f>IF(COUNTIFS('United Data'!$A$3:$A$3390,F$1,'United Data'!$C$3:$C$3390,$A1201)&gt;0,1,0)</f>
        <v>0</v>
      </c>
      <c r="G1201">
        <f>IF(COUNTIFS('United Data'!$A$3:$A$3390,G$1,'United Data'!$C$3:$C$3390,$A1201)&gt;0,1,0)</f>
        <v>0</v>
      </c>
      <c r="H1201">
        <f>IF(COUNTIFS('United Data'!$A$3:$A$3390,H$1,'United Data'!$C$3:$C$3390,$A1201)&gt;0,1,0)</f>
        <v>0</v>
      </c>
      <c r="I1201">
        <f>IF(COUNTIFS('United Data'!$A$3:$A$3390,I$1,'United Data'!$C$3:$C$3390,$A1201)&gt;0,1,0)</f>
        <v>1</v>
      </c>
      <c r="J1201">
        <f>IF(COUNTIFS('United Data'!$A$3:$A$3390,J$1,'United Data'!$C$3:$C$3390,$A1201)&gt;0,1,0)</f>
        <v>0</v>
      </c>
      <c r="K1201">
        <f>IF(COUNTIFS('United Data'!$A$3:$A$3390,K$1,'United Data'!$C$3:$C$3390,$A1201)&gt;0,1,0)</f>
        <v>0</v>
      </c>
      <c r="L1201">
        <f>IF(COUNTIFS('United Data'!$A$3:$A$3390,L$1,'United Data'!$C$3:$C$3390,$A1201)&gt;0,1,0)</f>
        <v>0</v>
      </c>
      <c r="M1201">
        <f>IF(COUNTIFS('United Data'!$A$3:$A$3390,M$1,'United Data'!$C$3:$C$3390,$A1201)&gt;0,1,0)</f>
        <v>0</v>
      </c>
      <c r="N1201">
        <f>IF(COUNTIFS('United Data'!$A$3:$A$3390,N$1,'United Data'!$C$3:$C$3390,$A1201)&gt;0,1,0)</f>
        <v>0</v>
      </c>
      <c r="O1201">
        <f>IF(COUNTIFS('United Data'!$A$3:$A$3390,O$1,'United Data'!$C$3:$C$3390,$A1201)&gt;0,1,0)</f>
        <v>0</v>
      </c>
      <c r="P1201">
        <f>IF(COUNTIFS('United Data'!$A$3:$A$3390,P$1,'United Data'!$C$3:$C$3390,$A1201)&gt;0,1,0)</f>
        <v>0</v>
      </c>
      <c r="Q1201">
        <f>IF(COUNTIFS('United Data'!$A$3:$A$3390,Q$1,'United Data'!$C$3:$C$3390,$A1201)&gt;0,1,0)</f>
        <v>0</v>
      </c>
      <c r="R1201">
        <f>IF(COUNTIFS('United Data'!$A$3:$A$3390,R$1,'United Data'!$C$3:$C$3390,$A1201)&gt;0,1,0)</f>
        <v>0</v>
      </c>
      <c r="S1201">
        <f t="shared" si="36"/>
        <v>1</v>
      </c>
      <c r="T1201">
        <f t="shared" si="37"/>
        <v>1</v>
      </c>
    </row>
    <row r="1202" spans="1:20" x14ac:dyDescent="0.2">
      <c r="A1202" t="s">
        <v>1427</v>
      </c>
      <c r="B1202">
        <f>IF(COUNTIFS('United Data'!$A$3:$A$3390,B$1,'United Data'!$C$3:$C$3390,$A1202)&gt;0,1,0)</f>
        <v>0</v>
      </c>
      <c r="C1202">
        <f>IF(COUNTIFS('United Data'!$A$3:$A$3390,C$1,'United Data'!$C$3:$C$3390,$A1202)&gt;0,1,0)</f>
        <v>0</v>
      </c>
      <c r="D1202">
        <f>IF(COUNTIFS('United Data'!$A$3:$A$3390,D$1,'United Data'!$C$3:$C$3390,$A1202)&gt;0,1,0)</f>
        <v>0</v>
      </c>
      <c r="E1202">
        <f>IF(COUNTIFS('United Data'!$A$3:$A$3390,E$1,'United Data'!$C$3:$C$3390,$A1202)&gt;0,1,0)</f>
        <v>0</v>
      </c>
      <c r="F1202">
        <f>IF(COUNTIFS('United Data'!$A$3:$A$3390,F$1,'United Data'!$C$3:$C$3390,$A1202)&gt;0,1,0)</f>
        <v>0</v>
      </c>
      <c r="G1202">
        <f>IF(COUNTIFS('United Data'!$A$3:$A$3390,G$1,'United Data'!$C$3:$C$3390,$A1202)&gt;0,1,0)</f>
        <v>0</v>
      </c>
      <c r="H1202">
        <f>IF(COUNTIFS('United Data'!$A$3:$A$3390,H$1,'United Data'!$C$3:$C$3390,$A1202)&gt;0,1,0)</f>
        <v>0</v>
      </c>
      <c r="I1202">
        <f>IF(COUNTIFS('United Data'!$A$3:$A$3390,I$1,'United Data'!$C$3:$C$3390,$A1202)&gt;0,1,0)</f>
        <v>0</v>
      </c>
      <c r="J1202">
        <f>IF(COUNTIFS('United Data'!$A$3:$A$3390,J$1,'United Data'!$C$3:$C$3390,$A1202)&gt;0,1,0)</f>
        <v>1</v>
      </c>
      <c r="K1202">
        <f>IF(COUNTIFS('United Data'!$A$3:$A$3390,K$1,'United Data'!$C$3:$C$3390,$A1202)&gt;0,1,0)</f>
        <v>0</v>
      </c>
      <c r="L1202">
        <f>IF(COUNTIFS('United Data'!$A$3:$A$3390,L$1,'United Data'!$C$3:$C$3390,$A1202)&gt;0,1,0)</f>
        <v>0</v>
      </c>
      <c r="M1202">
        <f>IF(COUNTIFS('United Data'!$A$3:$A$3390,M$1,'United Data'!$C$3:$C$3390,$A1202)&gt;0,1,0)</f>
        <v>1</v>
      </c>
      <c r="N1202">
        <f>IF(COUNTIFS('United Data'!$A$3:$A$3390,N$1,'United Data'!$C$3:$C$3390,$A1202)&gt;0,1,0)</f>
        <v>0</v>
      </c>
      <c r="O1202">
        <f>IF(COUNTIFS('United Data'!$A$3:$A$3390,O$1,'United Data'!$C$3:$C$3390,$A1202)&gt;0,1,0)</f>
        <v>0</v>
      </c>
      <c r="P1202">
        <f>IF(COUNTIFS('United Data'!$A$3:$A$3390,P$1,'United Data'!$C$3:$C$3390,$A1202)&gt;0,1,0)</f>
        <v>0</v>
      </c>
      <c r="Q1202">
        <f>IF(COUNTIFS('United Data'!$A$3:$A$3390,Q$1,'United Data'!$C$3:$C$3390,$A1202)&gt;0,1,0)</f>
        <v>0</v>
      </c>
      <c r="R1202">
        <f>IF(COUNTIFS('United Data'!$A$3:$A$3390,R$1,'United Data'!$C$3:$C$3390,$A1202)&gt;0,1,0)</f>
        <v>0</v>
      </c>
      <c r="S1202">
        <f t="shared" si="36"/>
        <v>2</v>
      </c>
      <c r="T1202">
        <f t="shared" si="37"/>
        <v>2</v>
      </c>
    </row>
    <row r="1203" spans="1:20" x14ac:dyDescent="0.2">
      <c r="A1203" t="s">
        <v>1428</v>
      </c>
      <c r="B1203">
        <f>IF(COUNTIFS('United Data'!$A$3:$A$3390,B$1,'United Data'!$C$3:$C$3390,$A1203)&gt;0,1,0)</f>
        <v>0</v>
      </c>
      <c r="C1203">
        <f>IF(COUNTIFS('United Data'!$A$3:$A$3390,C$1,'United Data'!$C$3:$C$3390,$A1203)&gt;0,1,0)</f>
        <v>0</v>
      </c>
      <c r="D1203">
        <f>IF(COUNTIFS('United Data'!$A$3:$A$3390,D$1,'United Data'!$C$3:$C$3390,$A1203)&gt;0,1,0)</f>
        <v>0</v>
      </c>
      <c r="E1203">
        <f>IF(COUNTIFS('United Data'!$A$3:$A$3390,E$1,'United Data'!$C$3:$C$3390,$A1203)&gt;0,1,0)</f>
        <v>0</v>
      </c>
      <c r="F1203">
        <f>IF(COUNTIFS('United Data'!$A$3:$A$3390,F$1,'United Data'!$C$3:$C$3390,$A1203)&gt;0,1,0)</f>
        <v>0</v>
      </c>
      <c r="G1203">
        <f>IF(COUNTIFS('United Data'!$A$3:$A$3390,G$1,'United Data'!$C$3:$C$3390,$A1203)&gt;0,1,0)</f>
        <v>0</v>
      </c>
      <c r="H1203">
        <f>IF(COUNTIFS('United Data'!$A$3:$A$3390,H$1,'United Data'!$C$3:$C$3390,$A1203)&gt;0,1,0)</f>
        <v>0</v>
      </c>
      <c r="I1203">
        <f>IF(COUNTIFS('United Data'!$A$3:$A$3390,I$1,'United Data'!$C$3:$C$3390,$A1203)&gt;0,1,0)</f>
        <v>0</v>
      </c>
      <c r="J1203">
        <f>IF(COUNTIFS('United Data'!$A$3:$A$3390,J$1,'United Data'!$C$3:$C$3390,$A1203)&gt;0,1,0)</f>
        <v>1</v>
      </c>
      <c r="K1203">
        <f>IF(COUNTIFS('United Data'!$A$3:$A$3390,K$1,'United Data'!$C$3:$C$3390,$A1203)&gt;0,1,0)</f>
        <v>0</v>
      </c>
      <c r="L1203">
        <f>IF(COUNTIFS('United Data'!$A$3:$A$3390,L$1,'United Data'!$C$3:$C$3390,$A1203)&gt;0,1,0)</f>
        <v>0</v>
      </c>
      <c r="M1203">
        <f>IF(COUNTIFS('United Data'!$A$3:$A$3390,M$1,'United Data'!$C$3:$C$3390,$A1203)&gt;0,1,0)</f>
        <v>0</v>
      </c>
      <c r="N1203">
        <f>IF(COUNTIFS('United Data'!$A$3:$A$3390,N$1,'United Data'!$C$3:$C$3390,$A1203)&gt;0,1,0)</f>
        <v>0</v>
      </c>
      <c r="O1203">
        <f>IF(COUNTIFS('United Data'!$A$3:$A$3390,O$1,'United Data'!$C$3:$C$3390,$A1203)&gt;0,1,0)</f>
        <v>0</v>
      </c>
      <c r="P1203">
        <f>IF(COUNTIFS('United Data'!$A$3:$A$3390,P$1,'United Data'!$C$3:$C$3390,$A1203)&gt;0,1,0)</f>
        <v>0</v>
      </c>
      <c r="Q1203">
        <f>IF(COUNTIFS('United Data'!$A$3:$A$3390,Q$1,'United Data'!$C$3:$C$3390,$A1203)&gt;0,1,0)</f>
        <v>0</v>
      </c>
      <c r="R1203">
        <f>IF(COUNTIFS('United Data'!$A$3:$A$3390,R$1,'United Data'!$C$3:$C$3390,$A1203)&gt;0,1,0)</f>
        <v>0</v>
      </c>
      <c r="S1203">
        <f t="shared" si="36"/>
        <v>1</v>
      </c>
      <c r="T1203">
        <f t="shared" si="37"/>
        <v>1</v>
      </c>
    </row>
    <row r="1204" spans="1:20" x14ac:dyDescent="0.2">
      <c r="A1204" t="s">
        <v>2053</v>
      </c>
      <c r="B1204">
        <f>IF(COUNTIFS('United Data'!$A$3:$A$3390,B$1,'United Data'!$C$3:$C$3390,$A1204)&gt;0,1,0)</f>
        <v>0</v>
      </c>
      <c r="C1204">
        <f>IF(COUNTIFS('United Data'!$A$3:$A$3390,C$1,'United Data'!$C$3:$C$3390,$A1204)&gt;0,1,0)</f>
        <v>0</v>
      </c>
      <c r="D1204">
        <f>IF(COUNTIFS('United Data'!$A$3:$A$3390,D$1,'United Data'!$C$3:$C$3390,$A1204)&gt;0,1,0)</f>
        <v>0</v>
      </c>
      <c r="E1204">
        <f>IF(COUNTIFS('United Data'!$A$3:$A$3390,E$1,'United Data'!$C$3:$C$3390,$A1204)&gt;0,1,0)</f>
        <v>0</v>
      </c>
      <c r="F1204">
        <f>IF(COUNTIFS('United Data'!$A$3:$A$3390,F$1,'United Data'!$C$3:$C$3390,$A1204)&gt;0,1,0)</f>
        <v>0</v>
      </c>
      <c r="G1204">
        <f>IF(COUNTIFS('United Data'!$A$3:$A$3390,G$1,'United Data'!$C$3:$C$3390,$A1204)&gt;0,1,0)</f>
        <v>0</v>
      </c>
      <c r="H1204">
        <f>IF(COUNTIFS('United Data'!$A$3:$A$3390,H$1,'United Data'!$C$3:$C$3390,$A1204)&gt;0,1,0)</f>
        <v>0</v>
      </c>
      <c r="I1204">
        <f>IF(COUNTIFS('United Data'!$A$3:$A$3390,I$1,'United Data'!$C$3:$C$3390,$A1204)&gt;0,1,0)</f>
        <v>0</v>
      </c>
      <c r="J1204">
        <f>IF(COUNTIFS('United Data'!$A$3:$A$3390,J$1,'United Data'!$C$3:$C$3390,$A1204)&gt;0,1,0)</f>
        <v>0</v>
      </c>
      <c r="K1204">
        <f>IF(COUNTIFS('United Data'!$A$3:$A$3390,K$1,'United Data'!$C$3:$C$3390,$A1204)&gt;0,1,0)</f>
        <v>1</v>
      </c>
      <c r="L1204">
        <f>IF(COUNTIFS('United Data'!$A$3:$A$3390,L$1,'United Data'!$C$3:$C$3390,$A1204)&gt;0,1,0)</f>
        <v>0</v>
      </c>
      <c r="M1204">
        <f>IF(COUNTIFS('United Data'!$A$3:$A$3390,M$1,'United Data'!$C$3:$C$3390,$A1204)&gt;0,1,0)</f>
        <v>0</v>
      </c>
      <c r="N1204">
        <f>IF(COUNTIFS('United Data'!$A$3:$A$3390,N$1,'United Data'!$C$3:$C$3390,$A1204)&gt;0,1,0)</f>
        <v>0</v>
      </c>
      <c r="O1204">
        <f>IF(COUNTIFS('United Data'!$A$3:$A$3390,O$1,'United Data'!$C$3:$C$3390,$A1204)&gt;0,1,0)</f>
        <v>0</v>
      </c>
      <c r="P1204">
        <f>IF(COUNTIFS('United Data'!$A$3:$A$3390,P$1,'United Data'!$C$3:$C$3390,$A1204)&gt;0,1,0)</f>
        <v>0</v>
      </c>
      <c r="Q1204">
        <f>IF(COUNTIFS('United Data'!$A$3:$A$3390,Q$1,'United Data'!$C$3:$C$3390,$A1204)&gt;0,1,0)</f>
        <v>0</v>
      </c>
      <c r="R1204">
        <f>IF(COUNTIFS('United Data'!$A$3:$A$3390,R$1,'United Data'!$C$3:$C$3390,$A1204)&gt;0,1,0)</f>
        <v>0</v>
      </c>
      <c r="S1204">
        <f t="shared" si="36"/>
        <v>1</v>
      </c>
      <c r="T1204">
        <f t="shared" si="37"/>
        <v>1</v>
      </c>
    </row>
    <row r="1205" spans="1:20" x14ac:dyDescent="0.2">
      <c r="A1205" t="s">
        <v>1429</v>
      </c>
      <c r="B1205">
        <f>IF(COUNTIFS('United Data'!$A$3:$A$3390,B$1,'United Data'!$C$3:$C$3390,$A1205)&gt;0,1,0)</f>
        <v>1</v>
      </c>
      <c r="C1205">
        <f>IF(COUNTIFS('United Data'!$A$3:$A$3390,C$1,'United Data'!$C$3:$C$3390,$A1205)&gt;0,1,0)</f>
        <v>0</v>
      </c>
      <c r="D1205">
        <f>IF(COUNTIFS('United Data'!$A$3:$A$3390,D$1,'United Data'!$C$3:$C$3390,$A1205)&gt;0,1,0)</f>
        <v>0</v>
      </c>
      <c r="E1205">
        <f>IF(COUNTIFS('United Data'!$A$3:$A$3390,E$1,'United Data'!$C$3:$C$3390,$A1205)&gt;0,1,0)</f>
        <v>0</v>
      </c>
      <c r="F1205">
        <f>IF(COUNTIFS('United Data'!$A$3:$A$3390,F$1,'United Data'!$C$3:$C$3390,$A1205)&gt;0,1,0)</f>
        <v>0</v>
      </c>
      <c r="G1205">
        <f>IF(COUNTIFS('United Data'!$A$3:$A$3390,G$1,'United Data'!$C$3:$C$3390,$A1205)&gt;0,1,0)</f>
        <v>0</v>
      </c>
      <c r="H1205">
        <f>IF(COUNTIFS('United Data'!$A$3:$A$3390,H$1,'United Data'!$C$3:$C$3390,$A1205)&gt;0,1,0)</f>
        <v>0</v>
      </c>
      <c r="I1205">
        <f>IF(COUNTIFS('United Data'!$A$3:$A$3390,I$1,'United Data'!$C$3:$C$3390,$A1205)&gt;0,1,0)</f>
        <v>0</v>
      </c>
      <c r="J1205">
        <f>IF(COUNTIFS('United Data'!$A$3:$A$3390,J$1,'United Data'!$C$3:$C$3390,$A1205)&gt;0,1,0)</f>
        <v>0</v>
      </c>
      <c r="K1205">
        <f>IF(COUNTIFS('United Data'!$A$3:$A$3390,K$1,'United Data'!$C$3:$C$3390,$A1205)&gt;0,1,0)</f>
        <v>0</v>
      </c>
      <c r="L1205">
        <f>IF(COUNTIFS('United Data'!$A$3:$A$3390,L$1,'United Data'!$C$3:$C$3390,$A1205)&gt;0,1,0)</f>
        <v>1</v>
      </c>
      <c r="M1205">
        <f>IF(COUNTIFS('United Data'!$A$3:$A$3390,M$1,'United Data'!$C$3:$C$3390,$A1205)&gt;0,1,0)</f>
        <v>0</v>
      </c>
      <c r="N1205">
        <f>IF(COUNTIFS('United Data'!$A$3:$A$3390,N$1,'United Data'!$C$3:$C$3390,$A1205)&gt;0,1,0)</f>
        <v>0</v>
      </c>
      <c r="O1205">
        <f>IF(COUNTIFS('United Data'!$A$3:$A$3390,O$1,'United Data'!$C$3:$C$3390,$A1205)&gt;0,1,0)</f>
        <v>1</v>
      </c>
      <c r="P1205">
        <f>IF(COUNTIFS('United Data'!$A$3:$A$3390,P$1,'United Data'!$C$3:$C$3390,$A1205)&gt;0,1,0)</f>
        <v>0</v>
      </c>
      <c r="Q1205">
        <f>IF(COUNTIFS('United Data'!$A$3:$A$3390,Q$1,'United Data'!$C$3:$C$3390,$A1205)&gt;0,1,0)</f>
        <v>1</v>
      </c>
      <c r="R1205">
        <f>IF(COUNTIFS('United Data'!$A$3:$A$3390,R$1,'United Data'!$C$3:$C$3390,$A1205)&gt;0,1,0)</f>
        <v>1</v>
      </c>
      <c r="S1205">
        <f t="shared" si="36"/>
        <v>5</v>
      </c>
      <c r="T1205">
        <f t="shared" si="37"/>
        <v>4</v>
      </c>
    </row>
    <row r="1206" spans="1:20" x14ac:dyDescent="0.2">
      <c r="A1206" t="s">
        <v>1430</v>
      </c>
      <c r="B1206">
        <f>IF(COUNTIFS('United Data'!$A$3:$A$3390,B$1,'United Data'!$C$3:$C$3390,$A1206)&gt;0,1,0)</f>
        <v>0</v>
      </c>
      <c r="C1206">
        <f>IF(COUNTIFS('United Data'!$A$3:$A$3390,C$1,'United Data'!$C$3:$C$3390,$A1206)&gt;0,1,0)</f>
        <v>0</v>
      </c>
      <c r="D1206">
        <f>IF(COUNTIFS('United Data'!$A$3:$A$3390,D$1,'United Data'!$C$3:$C$3390,$A1206)&gt;0,1,0)</f>
        <v>0</v>
      </c>
      <c r="E1206">
        <f>IF(COUNTIFS('United Data'!$A$3:$A$3390,E$1,'United Data'!$C$3:$C$3390,$A1206)&gt;0,1,0)</f>
        <v>0</v>
      </c>
      <c r="F1206">
        <f>IF(COUNTIFS('United Data'!$A$3:$A$3390,F$1,'United Data'!$C$3:$C$3390,$A1206)&gt;0,1,0)</f>
        <v>0</v>
      </c>
      <c r="G1206">
        <f>IF(COUNTIFS('United Data'!$A$3:$A$3390,G$1,'United Data'!$C$3:$C$3390,$A1206)&gt;0,1,0)</f>
        <v>0</v>
      </c>
      <c r="H1206">
        <f>IF(COUNTIFS('United Data'!$A$3:$A$3390,H$1,'United Data'!$C$3:$C$3390,$A1206)&gt;0,1,0)</f>
        <v>0</v>
      </c>
      <c r="I1206">
        <f>IF(COUNTIFS('United Data'!$A$3:$A$3390,I$1,'United Data'!$C$3:$C$3390,$A1206)&gt;0,1,0)</f>
        <v>1</v>
      </c>
      <c r="J1206">
        <f>IF(COUNTIFS('United Data'!$A$3:$A$3390,J$1,'United Data'!$C$3:$C$3390,$A1206)&gt;0,1,0)</f>
        <v>0</v>
      </c>
      <c r="K1206">
        <f>IF(COUNTIFS('United Data'!$A$3:$A$3390,K$1,'United Data'!$C$3:$C$3390,$A1206)&gt;0,1,0)</f>
        <v>0</v>
      </c>
      <c r="L1206">
        <f>IF(COUNTIFS('United Data'!$A$3:$A$3390,L$1,'United Data'!$C$3:$C$3390,$A1206)&gt;0,1,0)</f>
        <v>1</v>
      </c>
      <c r="M1206">
        <f>IF(COUNTIFS('United Data'!$A$3:$A$3390,M$1,'United Data'!$C$3:$C$3390,$A1206)&gt;0,1,0)</f>
        <v>0</v>
      </c>
      <c r="N1206">
        <f>IF(COUNTIFS('United Data'!$A$3:$A$3390,N$1,'United Data'!$C$3:$C$3390,$A1206)&gt;0,1,0)</f>
        <v>0</v>
      </c>
      <c r="O1206">
        <f>IF(COUNTIFS('United Data'!$A$3:$A$3390,O$1,'United Data'!$C$3:$C$3390,$A1206)&gt;0,1,0)</f>
        <v>1</v>
      </c>
      <c r="P1206">
        <f>IF(COUNTIFS('United Data'!$A$3:$A$3390,P$1,'United Data'!$C$3:$C$3390,$A1206)&gt;0,1,0)</f>
        <v>1</v>
      </c>
      <c r="Q1206">
        <f>IF(COUNTIFS('United Data'!$A$3:$A$3390,Q$1,'United Data'!$C$3:$C$3390,$A1206)&gt;0,1,0)</f>
        <v>0</v>
      </c>
      <c r="R1206">
        <f>IF(COUNTIFS('United Data'!$A$3:$A$3390,R$1,'United Data'!$C$3:$C$3390,$A1206)&gt;0,1,0)</f>
        <v>0</v>
      </c>
      <c r="S1206">
        <f t="shared" si="36"/>
        <v>4</v>
      </c>
      <c r="T1206">
        <f t="shared" si="37"/>
        <v>3</v>
      </c>
    </row>
    <row r="1207" spans="1:20" x14ac:dyDescent="0.2">
      <c r="A1207" t="s">
        <v>1431</v>
      </c>
      <c r="B1207">
        <f>IF(COUNTIFS('United Data'!$A$3:$A$3390,B$1,'United Data'!$C$3:$C$3390,$A1207)&gt;0,1,0)</f>
        <v>0</v>
      </c>
      <c r="C1207">
        <f>IF(COUNTIFS('United Data'!$A$3:$A$3390,C$1,'United Data'!$C$3:$C$3390,$A1207)&gt;0,1,0)</f>
        <v>0</v>
      </c>
      <c r="D1207">
        <f>IF(COUNTIFS('United Data'!$A$3:$A$3390,D$1,'United Data'!$C$3:$C$3390,$A1207)&gt;0,1,0)</f>
        <v>0</v>
      </c>
      <c r="E1207">
        <f>IF(COUNTIFS('United Data'!$A$3:$A$3390,E$1,'United Data'!$C$3:$C$3390,$A1207)&gt;0,1,0)</f>
        <v>0</v>
      </c>
      <c r="F1207">
        <f>IF(COUNTIFS('United Data'!$A$3:$A$3390,F$1,'United Data'!$C$3:$C$3390,$A1207)&gt;0,1,0)</f>
        <v>0</v>
      </c>
      <c r="G1207">
        <f>IF(COUNTIFS('United Data'!$A$3:$A$3390,G$1,'United Data'!$C$3:$C$3390,$A1207)&gt;0,1,0)</f>
        <v>0</v>
      </c>
      <c r="H1207">
        <f>IF(COUNTIFS('United Data'!$A$3:$A$3390,H$1,'United Data'!$C$3:$C$3390,$A1207)&gt;0,1,0)</f>
        <v>0</v>
      </c>
      <c r="I1207">
        <f>IF(COUNTIFS('United Data'!$A$3:$A$3390,I$1,'United Data'!$C$3:$C$3390,$A1207)&gt;0,1,0)</f>
        <v>0</v>
      </c>
      <c r="J1207">
        <f>IF(COUNTIFS('United Data'!$A$3:$A$3390,J$1,'United Data'!$C$3:$C$3390,$A1207)&gt;0,1,0)</f>
        <v>0</v>
      </c>
      <c r="K1207">
        <f>IF(COUNTIFS('United Data'!$A$3:$A$3390,K$1,'United Data'!$C$3:$C$3390,$A1207)&gt;0,1,0)</f>
        <v>0</v>
      </c>
      <c r="L1207">
        <f>IF(COUNTIFS('United Data'!$A$3:$A$3390,L$1,'United Data'!$C$3:$C$3390,$A1207)&gt;0,1,0)</f>
        <v>1</v>
      </c>
      <c r="M1207">
        <f>IF(COUNTIFS('United Data'!$A$3:$A$3390,M$1,'United Data'!$C$3:$C$3390,$A1207)&gt;0,1,0)</f>
        <v>0</v>
      </c>
      <c r="N1207">
        <f>IF(COUNTIFS('United Data'!$A$3:$A$3390,N$1,'United Data'!$C$3:$C$3390,$A1207)&gt;0,1,0)</f>
        <v>0</v>
      </c>
      <c r="O1207">
        <f>IF(COUNTIFS('United Data'!$A$3:$A$3390,O$1,'United Data'!$C$3:$C$3390,$A1207)&gt;0,1,0)</f>
        <v>0</v>
      </c>
      <c r="P1207">
        <f>IF(COUNTIFS('United Data'!$A$3:$A$3390,P$1,'United Data'!$C$3:$C$3390,$A1207)&gt;0,1,0)</f>
        <v>0</v>
      </c>
      <c r="Q1207">
        <f>IF(COUNTIFS('United Data'!$A$3:$A$3390,Q$1,'United Data'!$C$3:$C$3390,$A1207)&gt;0,1,0)</f>
        <v>0</v>
      </c>
      <c r="R1207">
        <f>IF(COUNTIFS('United Data'!$A$3:$A$3390,R$1,'United Data'!$C$3:$C$3390,$A1207)&gt;0,1,0)</f>
        <v>0</v>
      </c>
      <c r="S1207">
        <f t="shared" si="36"/>
        <v>1</v>
      </c>
      <c r="T1207">
        <f t="shared" si="37"/>
        <v>1</v>
      </c>
    </row>
    <row r="1208" spans="1:20" x14ac:dyDescent="0.2">
      <c r="A1208" t="s">
        <v>1432</v>
      </c>
      <c r="B1208">
        <f>IF(COUNTIFS('United Data'!$A$3:$A$3390,B$1,'United Data'!$C$3:$C$3390,$A1208)&gt;0,1,0)</f>
        <v>0</v>
      </c>
      <c r="C1208">
        <f>IF(COUNTIFS('United Data'!$A$3:$A$3390,C$1,'United Data'!$C$3:$C$3390,$A1208)&gt;0,1,0)</f>
        <v>0</v>
      </c>
      <c r="D1208">
        <f>IF(COUNTIFS('United Data'!$A$3:$A$3390,D$1,'United Data'!$C$3:$C$3390,$A1208)&gt;0,1,0)</f>
        <v>0</v>
      </c>
      <c r="E1208">
        <f>IF(COUNTIFS('United Data'!$A$3:$A$3390,E$1,'United Data'!$C$3:$C$3390,$A1208)&gt;0,1,0)</f>
        <v>0</v>
      </c>
      <c r="F1208">
        <f>IF(COUNTIFS('United Data'!$A$3:$A$3390,F$1,'United Data'!$C$3:$C$3390,$A1208)&gt;0,1,0)</f>
        <v>0</v>
      </c>
      <c r="G1208">
        <f>IF(COUNTIFS('United Data'!$A$3:$A$3390,G$1,'United Data'!$C$3:$C$3390,$A1208)&gt;0,1,0)</f>
        <v>0</v>
      </c>
      <c r="H1208">
        <f>IF(COUNTIFS('United Data'!$A$3:$A$3390,H$1,'United Data'!$C$3:$C$3390,$A1208)&gt;0,1,0)</f>
        <v>0</v>
      </c>
      <c r="I1208">
        <f>IF(COUNTIFS('United Data'!$A$3:$A$3390,I$1,'United Data'!$C$3:$C$3390,$A1208)&gt;0,1,0)</f>
        <v>0</v>
      </c>
      <c r="J1208">
        <f>IF(COUNTIFS('United Data'!$A$3:$A$3390,J$1,'United Data'!$C$3:$C$3390,$A1208)&gt;0,1,0)</f>
        <v>0</v>
      </c>
      <c r="K1208">
        <f>IF(COUNTIFS('United Data'!$A$3:$A$3390,K$1,'United Data'!$C$3:$C$3390,$A1208)&gt;0,1,0)</f>
        <v>0</v>
      </c>
      <c r="L1208">
        <f>IF(COUNTIFS('United Data'!$A$3:$A$3390,L$1,'United Data'!$C$3:$C$3390,$A1208)&gt;0,1,0)</f>
        <v>0</v>
      </c>
      <c r="M1208">
        <f>IF(COUNTIFS('United Data'!$A$3:$A$3390,M$1,'United Data'!$C$3:$C$3390,$A1208)&gt;0,1,0)</f>
        <v>1</v>
      </c>
      <c r="N1208">
        <f>IF(COUNTIFS('United Data'!$A$3:$A$3390,N$1,'United Data'!$C$3:$C$3390,$A1208)&gt;0,1,0)</f>
        <v>0</v>
      </c>
      <c r="O1208">
        <f>IF(COUNTIFS('United Data'!$A$3:$A$3390,O$1,'United Data'!$C$3:$C$3390,$A1208)&gt;0,1,0)</f>
        <v>0</v>
      </c>
      <c r="P1208">
        <f>IF(COUNTIFS('United Data'!$A$3:$A$3390,P$1,'United Data'!$C$3:$C$3390,$A1208)&gt;0,1,0)</f>
        <v>0</v>
      </c>
      <c r="Q1208">
        <f>IF(COUNTIFS('United Data'!$A$3:$A$3390,Q$1,'United Data'!$C$3:$C$3390,$A1208)&gt;0,1,0)</f>
        <v>0</v>
      </c>
      <c r="R1208">
        <f>IF(COUNTIFS('United Data'!$A$3:$A$3390,R$1,'United Data'!$C$3:$C$3390,$A1208)&gt;0,1,0)</f>
        <v>0</v>
      </c>
      <c r="S1208">
        <f t="shared" si="36"/>
        <v>1</v>
      </c>
      <c r="T1208">
        <f t="shared" si="37"/>
        <v>1</v>
      </c>
    </row>
    <row r="1209" spans="1:20" x14ac:dyDescent="0.2">
      <c r="A1209" t="s">
        <v>1433</v>
      </c>
      <c r="B1209">
        <f>IF(COUNTIFS('United Data'!$A$3:$A$3390,B$1,'United Data'!$C$3:$C$3390,$A1209)&gt;0,1,0)</f>
        <v>0</v>
      </c>
      <c r="C1209">
        <f>IF(COUNTIFS('United Data'!$A$3:$A$3390,C$1,'United Data'!$C$3:$C$3390,$A1209)&gt;0,1,0)</f>
        <v>0</v>
      </c>
      <c r="D1209">
        <f>IF(COUNTIFS('United Data'!$A$3:$A$3390,D$1,'United Data'!$C$3:$C$3390,$A1209)&gt;0,1,0)</f>
        <v>0</v>
      </c>
      <c r="E1209">
        <f>IF(COUNTIFS('United Data'!$A$3:$A$3390,E$1,'United Data'!$C$3:$C$3390,$A1209)&gt;0,1,0)</f>
        <v>0</v>
      </c>
      <c r="F1209">
        <f>IF(COUNTIFS('United Data'!$A$3:$A$3390,F$1,'United Data'!$C$3:$C$3390,$A1209)&gt;0,1,0)</f>
        <v>0</v>
      </c>
      <c r="G1209">
        <f>IF(COUNTIFS('United Data'!$A$3:$A$3390,G$1,'United Data'!$C$3:$C$3390,$A1209)&gt;0,1,0)</f>
        <v>0</v>
      </c>
      <c r="H1209">
        <f>IF(COUNTIFS('United Data'!$A$3:$A$3390,H$1,'United Data'!$C$3:$C$3390,$A1209)&gt;0,1,0)</f>
        <v>0</v>
      </c>
      <c r="I1209">
        <f>IF(COUNTIFS('United Data'!$A$3:$A$3390,I$1,'United Data'!$C$3:$C$3390,$A1209)&gt;0,1,0)</f>
        <v>1</v>
      </c>
      <c r="J1209">
        <f>IF(COUNTIFS('United Data'!$A$3:$A$3390,J$1,'United Data'!$C$3:$C$3390,$A1209)&gt;0,1,0)</f>
        <v>0</v>
      </c>
      <c r="K1209">
        <f>IF(COUNTIFS('United Data'!$A$3:$A$3390,K$1,'United Data'!$C$3:$C$3390,$A1209)&gt;0,1,0)</f>
        <v>0</v>
      </c>
      <c r="L1209">
        <f>IF(COUNTIFS('United Data'!$A$3:$A$3390,L$1,'United Data'!$C$3:$C$3390,$A1209)&gt;0,1,0)</f>
        <v>0</v>
      </c>
      <c r="M1209">
        <f>IF(COUNTIFS('United Data'!$A$3:$A$3390,M$1,'United Data'!$C$3:$C$3390,$A1209)&gt;0,1,0)</f>
        <v>0</v>
      </c>
      <c r="N1209">
        <f>IF(COUNTIFS('United Data'!$A$3:$A$3390,N$1,'United Data'!$C$3:$C$3390,$A1209)&gt;0,1,0)</f>
        <v>1</v>
      </c>
      <c r="O1209">
        <f>IF(COUNTIFS('United Data'!$A$3:$A$3390,O$1,'United Data'!$C$3:$C$3390,$A1209)&gt;0,1,0)</f>
        <v>1</v>
      </c>
      <c r="P1209">
        <f>IF(COUNTIFS('United Data'!$A$3:$A$3390,P$1,'United Data'!$C$3:$C$3390,$A1209)&gt;0,1,0)</f>
        <v>1</v>
      </c>
      <c r="Q1209">
        <f>IF(COUNTIFS('United Data'!$A$3:$A$3390,Q$1,'United Data'!$C$3:$C$3390,$A1209)&gt;0,1,0)</f>
        <v>0</v>
      </c>
      <c r="R1209">
        <f>IF(COUNTIFS('United Data'!$A$3:$A$3390,R$1,'United Data'!$C$3:$C$3390,$A1209)&gt;0,1,0)</f>
        <v>0</v>
      </c>
      <c r="S1209">
        <f t="shared" si="36"/>
        <v>4</v>
      </c>
      <c r="T1209">
        <f t="shared" si="37"/>
        <v>2</v>
      </c>
    </row>
    <row r="1210" spans="1:20" x14ac:dyDescent="0.2">
      <c r="A1210" t="s">
        <v>1434</v>
      </c>
      <c r="B1210">
        <f>IF(COUNTIFS('United Data'!$A$3:$A$3390,B$1,'United Data'!$C$3:$C$3390,$A1210)&gt;0,1,0)</f>
        <v>0</v>
      </c>
      <c r="C1210">
        <f>IF(COUNTIFS('United Data'!$A$3:$A$3390,C$1,'United Data'!$C$3:$C$3390,$A1210)&gt;0,1,0)</f>
        <v>0</v>
      </c>
      <c r="D1210">
        <f>IF(COUNTIFS('United Data'!$A$3:$A$3390,D$1,'United Data'!$C$3:$C$3390,$A1210)&gt;0,1,0)</f>
        <v>0</v>
      </c>
      <c r="E1210">
        <f>IF(COUNTIFS('United Data'!$A$3:$A$3390,E$1,'United Data'!$C$3:$C$3390,$A1210)&gt;0,1,0)</f>
        <v>0</v>
      </c>
      <c r="F1210">
        <f>IF(COUNTIFS('United Data'!$A$3:$A$3390,F$1,'United Data'!$C$3:$C$3390,$A1210)&gt;0,1,0)</f>
        <v>0</v>
      </c>
      <c r="G1210">
        <f>IF(COUNTIFS('United Data'!$A$3:$A$3390,G$1,'United Data'!$C$3:$C$3390,$A1210)&gt;0,1,0)</f>
        <v>0</v>
      </c>
      <c r="H1210">
        <f>IF(COUNTIFS('United Data'!$A$3:$A$3390,H$1,'United Data'!$C$3:$C$3390,$A1210)&gt;0,1,0)</f>
        <v>0</v>
      </c>
      <c r="I1210">
        <f>IF(COUNTIFS('United Data'!$A$3:$A$3390,I$1,'United Data'!$C$3:$C$3390,$A1210)&gt;0,1,0)</f>
        <v>1</v>
      </c>
      <c r="J1210">
        <f>IF(COUNTIFS('United Data'!$A$3:$A$3390,J$1,'United Data'!$C$3:$C$3390,$A1210)&gt;0,1,0)</f>
        <v>0</v>
      </c>
      <c r="K1210">
        <f>IF(COUNTIFS('United Data'!$A$3:$A$3390,K$1,'United Data'!$C$3:$C$3390,$A1210)&gt;0,1,0)</f>
        <v>0</v>
      </c>
      <c r="L1210">
        <f>IF(COUNTIFS('United Data'!$A$3:$A$3390,L$1,'United Data'!$C$3:$C$3390,$A1210)&gt;0,1,0)</f>
        <v>0</v>
      </c>
      <c r="M1210">
        <f>IF(COUNTIFS('United Data'!$A$3:$A$3390,M$1,'United Data'!$C$3:$C$3390,$A1210)&gt;0,1,0)</f>
        <v>0</v>
      </c>
      <c r="N1210">
        <f>IF(COUNTIFS('United Data'!$A$3:$A$3390,N$1,'United Data'!$C$3:$C$3390,$A1210)&gt;0,1,0)</f>
        <v>1</v>
      </c>
      <c r="O1210">
        <f>IF(COUNTIFS('United Data'!$A$3:$A$3390,O$1,'United Data'!$C$3:$C$3390,$A1210)&gt;0,1,0)</f>
        <v>1</v>
      </c>
      <c r="P1210">
        <f>IF(COUNTIFS('United Data'!$A$3:$A$3390,P$1,'United Data'!$C$3:$C$3390,$A1210)&gt;0,1,0)</f>
        <v>1</v>
      </c>
      <c r="Q1210">
        <f>IF(COUNTIFS('United Data'!$A$3:$A$3390,Q$1,'United Data'!$C$3:$C$3390,$A1210)&gt;0,1,0)</f>
        <v>0</v>
      </c>
      <c r="R1210">
        <f>IF(COUNTIFS('United Data'!$A$3:$A$3390,R$1,'United Data'!$C$3:$C$3390,$A1210)&gt;0,1,0)</f>
        <v>0</v>
      </c>
      <c r="S1210">
        <f t="shared" si="36"/>
        <v>4</v>
      </c>
      <c r="T1210">
        <f t="shared" si="37"/>
        <v>2</v>
      </c>
    </row>
    <row r="1211" spans="1:20" x14ac:dyDescent="0.2">
      <c r="A1211" t="s">
        <v>1438</v>
      </c>
      <c r="B1211">
        <f>IF(COUNTIFS('United Data'!$A$3:$A$3390,B$1,'United Data'!$C$3:$C$3390,$A1211)&gt;0,1,0)</f>
        <v>0</v>
      </c>
      <c r="C1211">
        <f>IF(COUNTIFS('United Data'!$A$3:$A$3390,C$1,'United Data'!$C$3:$C$3390,$A1211)&gt;0,1,0)</f>
        <v>0</v>
      </c>
      <c r="D1211">
        <f>IF(COUNTIFS('United Data'!$A$3:$A$3390,D$1,'United Data'!$C$3:$C$3390,$A1211)&gt;0,1,0)</f>
        <v>0</v>
      </c>
      <c r="E1211">
        <f>IF(COUNTIFS('United Data'!$A$3:$A$3390,E$1,'United Data'!$C$3:$C$3390,$A1211)&gt;0,1,0)</f>
        <v>0</v>
      </c>
      <c r="F1211">
        <f>IF(COUNTIFS('United Data'!$A$3:$A$3390,F$1,'United Data'!$C$3:$C$3390,$A1211)&gt;0,1,0)</f>
        <v>0</v>
      </c>
      <c r="G1211">
        <f>IF(COUNTIFS('United Data'!$A$3:$A$3390,G$1,'United Data'!$C$3:$C$3390,$A1211)&gt;0,1,0)</f>
        <v>0</v>
      </c>
      <c r="H1211">
        <f>IF(COUNTIFS('United Data'!$A$3:$A$3390,H$1,'United Data'!$C$3:$C$3390,$A1211)&gt;0,1,0)</f>
        <v>0</v>
      </c>
      <c r="I1211">
        <f>IF(COUNTIFS('United Data'!$A$3:$A$3390,I$1,'United Data'!$C$3:$C$3390,$A1211)&gt;0,1,0)</f>
        <v>0</v>
      </c>
      <c r="J1211">
        <f>IF(COUNTIFS('United Data'!$A$3:$A$3390,J$1,'United Data'!$C$3:$C$3390,$A1211)&gt;0,1,0)</f>
        <v>0</v>
      </c>
      <c r="K1211">
        <f>IF(COUNTIFS('United Data'!$A$3:$A$3390,K$1,'United Data'!$C$3:$C$3390,$A1211)&gt;0,1,0)</f>
        <v>0</v>
      </c>
      <c r="L1211">
        <f>IF(COUNTIFS('United Data'!$A$3:$A$3390,L$1,'United Data'!$C$3:$C$3390,$A1211)&gt;0,1,0)</f>
        <v>0</v>
      </c>
      <c r="M1211">
        <f>IF(COUNTIFS('United Data'!$A$3:$A$3390,M$1,'United Data'!$C$3:$C$3390,$A1211)&gt;0,1,0)</f>
        <v>0</v>
      </c>
      <c r="N1211">
        <f>IF(COUNTIFS('United Data'!$A$3:$A$3390,N$1,'United Data'!$C$3:$C$3390,$A1211)&gt;0,1,0)</f>
        <v>0</v>
      </c>
      <c r="O1211">
        <f>IF(COUNTIFS('United Data'!$A$3:$A$3390,O$1,'United Data'!$C$3:$C$3390,$A1211)&gt;0,1,0)</f>
        <v>0</v>
      </c>
      <c r="P1211">
        <f>IF(COUNTIFS('United Data'!$A$3:$A$3390,P$1,'United Data'!$C$3:$C$3390,$A1211)&gt;0,1,0)</f>
        <v>0</v>
      </c>
      <c r="Q1211">
        <f>IF(COUNTIFS('United Data'!$A$3:$A$3390,Q$1,'United Data'!$C$3:$C$3390,$A1211)&gt;0,1,0)</f>
        <v>1</v>
      </c>
      <c r="R1211">
        <f>IF(COUNTIFS('United Data'!$A$3:$A$3390,R$1,'United Data'!$C$3:$C$3390,$A1211)&gt;0,1,0)</f>
        <v>1</v>
      </c>
      <c r="S1211">
        <f t="shared" si="36"/>
        <v>2</v>
      </c>
      <c r="T1211">
        <f t="shared" si="37"/>
        <v>1</v>
      </c>
    </row>
    <row r="1212" spans="1:20" x14ac:dyDescent="0.2">
      <c r="A1212" t="s">
        <v>1439</v>
      </c>
      <c r="B1212">
        <f>IF(COUNTIFS('United Data'!$A$3:$A$3390,B$1,'United Data'!$C$3:$C$3390,$A1212)&gt;0,1,0)</f>
        <v>0</v>
      </c>
      <c r="C1212">
        <f>IF(COUNTIFS('United Data'!$A$3:$A$3390,C$1,'United Data'!$C$3:$C$3390,$A1212)&gt;0,1,0)</f>
        <v>0</v>
      </c>
      <c r="D1212">
        <f>IF(COUNTIFS('United Data'!$A$3:$A$3390,D$1,'United Data'!$C$3:$C$3390,$A1212)&gt;0,1,0)</f>
        <v>0</v>
      </c>
      <c r="E1212">
        <f>IF(COUNTIFS('United Data'!$A$3:$A$3390,E$1,'United Data'!$C$3:$C$3390,$A1212)&gt;0,1,0)</f>
        <v>0</v>
      </c>
      <c r="F1212">
        <f>IF(COUNTIFS('United Data'!$A$3:$A$3390,F$1,'United Data'!$C$3:$C$3390,$A1212)&gt;0,1,0)</f>
        <v>0</v>
      </c>
      <c r="G1212">
        <f>IF(COUNTIFS('United Data'!$A$3:$A$3390,G$1,'United Data'!$C$3:$C$3390,$A1212)&gt;0,1,0)</f>
        <v>0</v>
      </c>
      <c r="H1212">
        <f>IF(COUNTIFS('United Data'!$A$3:$A$3390,H$1,'United Data'!$C$3:$C$3390,$A1212)&gt;0,1,0)</f>
        <v>0</v>
      </c>
      <c r="I1212">
        <f>IF(COUNTIFS('United Data'!$A$3:$A$3390,I$1,'United Data'!$C$3:$C$3390,$A1212)&gt;0,1,0)</f>
        <v>0</v>
      </c>
      <c r="J1212">
        <f>IF(COUNTIFS('United Data'!$A$3:$A$3390,J$1,'United Data'!$C$3:$C$3390,$A1212)&gt;0,1,0)</f>
        <v>0</v>
      </c>
      <c r="K1212">
        <f>IF(COUNTIFS('United Data'!$A$3:$A$3390,K$1,'United Data'!$C$3:$C$3390,$A1212)&gt;0,1,0)</f>
        <v>0</v>
      </c>
      <c r="L1212">
        <f>IF(COUNTIFS('United Data'!$A$3:$A$3390,L$1,'United Data'!$C$3:$C$3390,$A1212)&gt;0,1,0)</f>
        <v>0</v>
      </c>
      <c r="M1212">
        <f>IF(COUNTIFS('United Data'!$A$3:$A$3390,M$1,'United Data'!$C$3:$C$3390,$A1212)&gt;0,1,0)</f>
        <v>0</v>
      </c>
      <c r="N1212">
        <f>IF(COUNTIFS('United Data'!$A$3:$A$3390,N$1,'United Data'!$C$3:$C$3390,$A1212)&gt;0,1,0)</f>
        <v>0</v>
      </c>
      <c r="O1212">
        <f>IF(COUNTIFS('United Data'!$A$3:$A$3390,O$1,'United Data'!$C$3:$C$3390,$A1212)&gt;0,1,0)</f>
        <v>0</v>
      </c>
      <c r="P1212">
        <f>IF(COUNTIFS('United Data'!$A$3:$A$3390,P$1,'United Data'!$C$3:$C$3390,$A1212)&gt;0,1,0)</f>
        <v>0</v>
      </c>
      <c r="Q1212">
        <f>IF(COUNTIFS('United Data'!$A$3:$A$3390,Q$1,'United Data'!$C$3:$C$3390,$A1212)&gt;0,1,0)</f>
        <v>1</v>
      </c>
      <c r="R1212">
        <f>IF(COUNTIFS('United Data'!$A$3:$A$3390,R$1,'United Data'!$C$3:$C$3390,$A1212)&gt;0,1,0)</f>
        <v>0</v>
      </c>
      <c r="S1212">
        <f t="shared" si="36"/>
        <v>1</v>
      </c>
      <c r="T1212">
        <f t="shared" si="37"/>
        <v>1</v>
      </c>
    </row>
    <row r="1213" spans="1:20" x14ac:dyDescent="0.2">
      <c r="A1213" t="s">
        <v>1440</v>
      </c>
      <c r="B1213">
        <f>IF(COUNTIFS('United Data'!$A$3:$A$3390,B$1,'United Data'!$C$3:$C$3390,$A1213)&gt;0,1,0)</f>
        <v>0</v>
      </c>
      <c r="C1213">
        <f>IF(COUNTIFS('United Data'!$A$3:$A$3390,C$1,'United Data'!$C$3:$C$3390,$A1213)&gt;0,1,0)</f>
        <v>0</v>
      </c>
      <c r="D1213">
        <f>IF(COUNTIFS('United Data'!$A$3:$A$3390,D$1,'United Data'!$C$3:$C$3390,$A1213)&gt;0,1,0)</f>
        <v>0</v>
      </c>
      <c r="E1213">
        <f>IF(COUNTIFS('United Data'!$A$3:$A$3390,E$1,'United Data'!$C$3:$C$3390,$A1213)&gt;0,1,0)</f>
        <v>0</v>
      </c>
      <c r="F1213">
        <f>IF(COUNTIFS('United Data'!$A$3:$A$3390,F$1,'United Data'!$C$3:$C$3390,$A1213)&gt;0,1,0)</f>
        <v>0</v>
      </c>
      <c r="G1213">
        <f>IF(COUNTIFS('United Data'!$A$3:$A$3390,G$1,'United Data'!$C$3:$C$3390,$A1213)&gt;0,1,0)</f>
        <v>0</v>
      </c>
      <c r="H1213">
        <f>IF(COUNTIFS('United Data'!$A$3:$A$3390,H$1,'United Data'!$C$3:$C$3390,$A1213)&gt;0,1,0)</f>
        <v>0</v>
      </c>
      <c r="I1213">
        <f>IF(COUNTIFS('United Data'!$A$3:$A$3390,I$1,'United Data'!$C$3:$C$3390,$A1213)&gt;0,1,0)</f>
        <v>0</v>
      </c>
      <c r="J1213">
        <f>IF(COUNTIFS('United Data'!$A$3:$A$3390,J$1,'United Data'!$C$3:$C$3390,$A1213)&gt;0,1,0)</f>
        <v>0</v>
      </c>
      <c r="K1213">
        <f>IF(COUNTIFS('United Data'!$A$3:$A$3390,K$1,'United Data'!$C$3:$C$3390,$A1213)&gt;0,1,0)</f>
        <v>0</v>
      </c>
      <c r="L1213">
        <f>IF(COUNTIFS('United Data'!$A$3:$A$3390,L$1,'United Data'!$C$3:$C$3390,$A1213)&gt;0,1,0)</f>
        <v>0</v>
      </c>
      <c r="M1213">
        <f>IF(COUNTIFS('United Data'!$A$3:$A$3390,M$1,'United Data'!$C$3:$C$3390,$A1213)&gt;0,1,0)</f>
        <v>0</v>
      </c>
      <c r="N1213">
        <f>IF(COUNTIFS('United Data'!$A$3:$A$3390,N$1,'United Data'!$C$3:$C$3390,$A1213)&gt;0,1,0)</f>
        <v>0</v>
      </c>
      <c r="O1213">
        <f>IF(COUNTIFS('United Data'!$A$3:$A$3390,O$1,'United Data'!$C$3:$C$3390,$A1213)&gt;0,1,0)</f>
        <v>0</v>
      </c>
      <c r="P1213">
        <f>IF(COUNTIFS('United Data'!$A$3:$A$3390,P$1,'United Data'!$C$3:$C$3390,$A1213)&gt;0,1,0)</f>
        <v>0</v>
      </c>
      <c r="Q1213">
        <f>IF(COUNTIFS('United Data'!$A$3:$A$3390,Q$1,'United Data'!$C$3:$C$3390,$A1213)&gt;0,1,0)</f>
        <v>1</v>
      </c>
      <c r="R1213">
        <f>IF(COUNTIFS('United Data'!$A$3:$A$3390,R$1,'United Data'!$C$3:$C$3390,$A1213)&gt;0,1,0)</f>
        <v>0</v>
      </c>
      <c r="S1213">
        <f t="shared" si="36"/>
        <v>1</v>
      </c>
      <c r="T1213">
        <f t="shared" si="37"/>
        <v>1</v>
      </c>
    </row>
    <row r="1214" spans="1:20" x14ac:dyDescent="0.2">
      <c r="A1214" t="s">
        <v>1441</v>
      </c>
      <c r="B1214">
        <f>IF(COUNTIFS('United Data'!$A$3:$A$3390,B$1,'United Data'!$C$3:$C$3390,$A1214)&gt;0,1,0)</f>
        <v>0</v>
      </c>
      <c r="C1214">
        <f>IF(COUNTIFS('United Data'!$A$3:$A$3390,C$1,'United Data'!$C$3:$C$3390,$A1214)&gt;0,1,0)</f>
        <v>0</v>
      </c>
      <c r="D1214">
        <f>IF(COUNTIFS('United Data'!$A$3:$A$3390,D$1,'United Data'!$C$3:$C$3390,$A1214)&gt;0,1,0)</f>
        <v>0</v>
      </c>
      <c r="E1214">
        <f>IF(COUNTIFS('United Data'!$A$3:$A$3390,E$1,'United Data'!$C$3:$C$3390,$A1214)&gt;0,1,0)</f>
        <v>0</v>
      </c>
      <c r="F1214">
        <f>IF(COUNTIFS('United Data'!$A$3:$A$3390,F$1,'United Data'!$C$3:$C$3390,$A1214)&gt;0,1,0)</f>
        <v>0</v>
      </c>
      <c r="G1214">
        <f>IF(COUNTIFS('United Data'!$A$3:$A$3390,G$1,'United Data'!$C$3:$C$3390,$A1214)&gt;0,1,0)</f>
        <v>0</v>
      </c>
      <c r="H1214">
        <f>IF(COUNTIFS('United Data'!$A$3:$A$3390,H$1,'United Data'!$C$3:$C$3390,$A1214)&gt;0,1,0)</f>
        <v>0</v>
      </c>
      <c r="I1214">
        <f>IF(COUNTIFS('United Data'!$A$3:$A$3390,I$1,'United Data'!$C$3:$C$3390,$A1214)&gt;0,1,0)</f>
        <v>0</v>
      </c>
      <c r="J1214">
        <f>IF(COUNTIFS('United Data'!$A$3:$A$3390,J$1,'United Data'!$C$3:$C$3390,$A1214)&gt;0,1,0)</f>
        <v>0</v>
      </c>
      <c r="K1214">
        <f>IF(COUNTIFS('United Data'!$A$3:$A$3390,K$1,'United Data'!$C$3:$C$3390,$A1214)&gt;0,1,0)</f>
        <v>0</v>
      </c>
      <c r="L1214">
        <f>IF(COUNTIFS('United Data'!$A$3:$A$3390,L$1,'United Data'!$C$3:$C$3390,$A1214)&gt;0,1,0)</f>
        <v>0</v>
      </c>
      <c r="M1214">
        <f>IF(COUNTIFS('United Data'!$A$3:$A$3390,M$1,'United Data'!$C$3:$C$3390,$A1214)&gt;0,1,0)</f>
        <v>0</v>
      </c>
      <c r="N1214">
        <f>IF(COUNTIFS('United Data'!$A$3:$A$3390,N$1,'United Data'!$C$3:$C$3390,$A1214)&gt;0,1,0)</f>
        <v>0</v>
      </c>
      <c r="O1214">
        <f>IF(COUNTIFS('United Data'!$A$3:$A$3390,O$1,'United Data'!$C$3:$C$3390,$A1214)&gt;0,1,0)</f>
        <v>0</v>
      </c>
      <c r="P1214">
        <f>IF(COUNTIFS('United Data'!$A$3:$A$3390,P$1,'United Data'!$C$3:$C$3390,$A1214)&gt;0,1,0)</f>
        <v>0</v>
      </c>
      <c r="Q1214">
        <f>IF(COUNTIFS('United Data'!$A$3:$A$3390,Q$1,'United Data'!$C$3:$C$3390,$A1214)&gt;0,1,0)</f>
        <v>1</v>
      </c>
      <c r="R1214">
        <f>IF(COUNTIFS('United Data'!$A$3:$A$3390,R$1,'United Data'!$C$3:$C$3390,$A1214)&gt;0,1,0)</f>
        <v>0</v>
      </c>
      <c r="S1214">
        <f t="shared" si="36"/>
        <v>1</v>
      </c>
      <c r="T1214">
        <f t="shared" si="37"/>
        <v>1</v>
      </c>
    </row>
    <row r="1215" spans="1:20" x14ac:dyDescent="0.2">
      <c r="A1215" t="s">
        <v>1443</v>
      </c>
      <c r="B1215">
        <f>IF(COUNTIFS('United Data'!$A$3:$A$3390,B$1,'United Data'!$C$3:$C$3390,$A1215)&gt;0,1,0)</f>
        <v>1</v>
      </c>
      <c r="C1215">
        <f>IF(COUNTIFS('United Data'!$A$3:$A$3390,C$1,'United Data'!$C$3:$C$3390,$A1215)&gt;0,1,0)</f>
        <v>0</v>
      </c>
      <c r="D1215">
        <f>IF(COUNTIFS('United Data'!$A$3:$A$3390,D$1,'United Data'!$C$3:$C$3390,$A1215)&gt;0,1,0)</f>
        <v>0</v>
      </c>
      <c r="E1215">
        <f>IF(COUNTIFS('United Data'!$A$3:$A$3390,E$1,'United Data'!$C$3:$C$3390,$A1215)&gt;0,1,0)</f>
        <v>0</v>
      </c>
      <c r="F1215">
        <f>IF(COUNTIFS('United Data'!$A$3:$A$3390,F$1,'United Data'!$C$3:$C$3390,$A1215)&gt;0,1,0)</f>
        <v>0</v>
      </c>
      <c r="G1215">
        <f>IF(COUNTIFS('United Data'!$A$3:$A$3390,G$1,'United Data'!$C$3:$C$3390,$A1215)&gt;0,1,0)</f>
        <v>0</v>
      </c>
      <c r="H1215">
        <f>IF(COUNTIFS('United Data'!$A$3:$A$3390,H$1,'United Data'!$C$3:$C$3390,$A1215)&gt;0,1,0)</f>
        <v>0</v>
      </c>
      <c r="I1215">
        <f>IF(COUNTIFS('United Data'!$A$3:$A$3390,I$1,'United Data'!$C$3:$C$3390,$A1215)&gt;0,1,0)</f>
        <v>0</v>
      </c>
      <c r="J1215">
        <f>IF(COUNTIFS('United Data'!$A$3:$A$3390,J$1,'United Data'!$C$3:$C$3390,$A1215)&gt;0,1,0)</f>
        <v>0</v>
      </c>
      <c r="K1215">
        <f>IF(COUNTIFS('United Data'!$A$3:$A$3390,K$1,'United Data'!$C$3:$C$3390,$A1215)&gt;0,1,0)</f>
        <v>0</v>
      </c>
      <c r="L1215">
        <f>IF(COUNTIFS('United Data'!$A$3:$A$3390,L$1,'United Data'!$C$3:$C$3390,$A1215)&gt;0,1,0)</f>
        <v>0</v>
      </c>
      <c r="M1215">
        <f>IF(COUNTIFS('United Data'!$A$3:$A$3390,M$1,'United Data'!$C$3:$C$3390,$A1215)&gt;0,1,0)</f>
        <v>0</v>
      </c>
      <c r="N1215">
        <f>IF(COUNTIFS('United Data'!$A$3:$A$3390,N$1,'United Data'!$C$3:$C$3390,$A1215)&gt;0,1,0)</f>
        <v>0</v>
      </c>
      <c r="O1215">
        <f>IF(COUNTIFS('United Data'!$A$3:$A$3390,O$1,'United Data'!$C$3:$C$3390,$A1215)&gt;0,1,0)</f>
        <v>0</v>
      </c>
      <c r="P1215">
        <f>IF(COUNTIFS('United Data'!$A$3:$A$3390,P$1,'United Data'!$C$3:$C$3390,$A1215)&gt;0,1,0)</f>
        <v>0</v>
      </c>
      <c r="Q1215">
        <f>IF(COUNTIFS('United Data'!$A$3:$A$3390,Q$1,'United Data'!$C$3:$C$3390,$A1215)&gt;0,1,0)</f>
        <v>0</v>
      </c>
      <c r="R1215">
        <f>IF(COUNTIFS('United Data'!$A$3:$A$3390,R$1,'United Data'!$C$3:$C$3390,$A1215)&gt;0,1,0)</f>
        <v>0</v>
      </c>
      <c r="S1215">
        <f t="shared" si="36"/>
        <v>1</v>
      </c>
      <c r="T1215">
        <f t="shared" si="37"/>
        <v>1</v>
      </c>
    </row>
    <row r="1216" spans="1:20" x14ac:dyDescent="0.2">
      <c r="A1216" t="s">
        <v>1444</v>
      </c>
      <c r="B1216">
        <f>IF(COUNTIFS('United Data'!$A$3:$A$3390,B$1,'United Data'!$C$3:$C$3390,$A1216)&gt;0,1,0)</f>
        <v>0</v>
      </c>
      <c r="C1216">
        <f>IF(COUNTIFS('United Data'!$A$3:$A$3390,C$1,'United Data'!$C$3:$C$3390,$A1216)&gt;0,1,0)</f>
        <v>1</v>
      </c>
      <c r="D1216">
        <f>IF(COUNTIFS('United Data'!$A$3:$A$3390,D$1,'United Data'!$C$3:$C$3390,$A1216)&gt;0,1,0)</f>
        <v>0</v>
      </c>
      <c r="E1216">
        <f>IF(COUNTIFS('United Data'!$A$3:$A$3390,E$1,'United Data'!$C$3:$C$3390,$A1216)&gt;0,1,0)</f>
        <v>0</v>
      </c>
      <c r="F1216">
        <f>IF(COUNTIFS('United Data'!$A$3:$A$3390,F$1,'United Data'!$C$3:$C$3390,$A1216)&gt;0,1,0)</f>
        <v>0</v>
      </c>
      <c r="G1216">
        <f>IF(COUNTIFS('United Data'!$A$3:$A$3390,G$1,'United Data'!$C$3:$C$3390,$A1216)&gt;0,1,0)</f>
        <v>0</v>
      </c>
      <c r="H1216">
        <f>IF(COUNTIFS('United Data'!$A$3:$A$3390,H$1,'United Data'!$C$3:$C$3390,$A1216)&gt;0,1,0)</f>
        <v>0</v>
      </c>
      <c r="I1216">
        <f>IF(COUNTIFS('United Data'!$A$3:$A$3390,I$1,'United Data'!$C$3:$C$3390,$A1216)&gt;0,1,0)</f>
        <v>0</v>
      </c>
      <c r="J1216">
        <f>IF(COUNTIFS('United Data'!$A$3:$A$3390,J$1,'United Data'!$C$3:$C$3390,$A1216)&gt;0,1,0)</f>
        <v>0</v>
      </c>
      <c r="K1216">
        <f>IF(COUNTIFS('United Data'!$A$3:$A$3390,K$1,'United Data'!$C$3:$C$3390,$A1216)&gt;0,1,0)</f>
        <v>0</v>
      </c>
      <c r="L1216">
        <f>IF(COUNTIFS('United Data'!$A$3:$A$3390,L$1,'United Data'!$C$3:$C$3390,$A1216)&gt;0,1,0)</f>
        <v>0</v>
      </c>
      <c r="M1216">
        <f>IF(COUNTIFS('United Data'!$A$3:$A$3390,M$1,'United Data'!$C$3:$C$3390,$A1216)&gt;0,1,0)</f>
        <v>0</v>
      </c>
      <c r="N1216">
        <f>IF(COUNTIFS('United Data'!$A$3:$A$3390,N$1,'United Data'!$C$3:$C$3390,$A1216)&gt;0,1,0)</f>
        <v>0</v>
      </c>
      <c r="O1216">
        <f>IF(COUNTIFS('United Data'!$A$3:$A$3390,O$1,'United Data'!$C$3:$C$3390,$A1216)&gt;0,1,0)</f>
        <v>0</v>
      </c>
      <c r="P1216">
        <f>IF(COUNTIFS('United Data'!$A$3:$A$3390,P$1,'United Data'!$C$3:$C$3390,$A1216)&gt;0,1,0)</f>
        <v>0</v>
      </c>
      <c r="Q1216">
        <f>IF(COUNTIFS('United Data'!$A$3:$A$3390,Q$1,'United Data'!$C$3:$C$3390,$A1216)&gt;0,1,0)</f>
        <v>0</v>
      </c>
      <c r="R1216">
        <f>IF(COUNTIFS('United Data'!$A$3:$A$3390,R$1,'United Data'!$C$3:$C$3390,$A1216)&gt;0,1,0)</f>
        <v>0</v>
      </c>
      <c r="S1216">
        <f t="shared" si="36"/>
        <v>1</v>
      </c>
      <c r="T1216">
        <f t="shared" si="37"/>
        <v>1</v>
      </c>
    </row>
    <row r="1217" spans="1:20" x14ac:dyDescent="0.2">
      <c r="A1217" t="s">
        <v>1447</v>
      </c>
      <c r="B1217">
        <f>IF(COUNTIFS('United Data'!$A$3:$A$3390,B$1,'United Data'!$C$3:$C$3390,$A1217)&gt;0,1,0)</f>
        <v>0</v>
      </c>
      <c r="C1217">
        <f>IF(COUNTIFS('United Data'!$A$3:$A$3390,C$1,'United Data'!$C$3:$C$3390,$A1217)&gt;0,1,0)</f>
        <v>0</v>
      </c>
      <c r="D1217">
        <f>IF(COUNTIFS('United Data'!$A$3:$A$3390,D$1,'United Data'!$C$3:$C$3390,$A1217)&gt;0,1,0)</f>
        <v>0</v>
      </c>
      <c r="E1217">
        <f>IF(COUNTIFS('United Data'!$A$3:$A$3390,E$1,'United Data'!$C$3:$C$3390,$A1217)&gt;0,1,0)</f>
        <v>1</v>
      </c>
      <c r="F1217">
        <f>IF(COUNTIFS('United Data'!$A$3:$A$3390,F$1,'United Data'!$C$3:$C$3390,$A1217)&gt;0,1,0)</f>
        <v>0</v>
      </c>
      <c r="G1217">
        <f>IF(COUNTIFS('United Data'!$A$3:$A$3390,G$1,'United Data'!$C$3:$C$3390,$A1217)&gt;0,1,0)</f>
        <v>1</v>
      </c>
      <c r="H1217">
        <f>IF(COUNTIFS('United Data'!$A$3:$A$3390,H$1,'United Data'!$C$3:$C$3390,$A1217)&gt;0,1,0)</f>
        <v>1</v>
      </c>
      <c r="I1217">
        <f>IF(COUNTIFS('United Data'!$A$3:$A$3390,I$1,'United Data'!$C$3:$C$3390,$A1217)&gt;0,1,0)</f>
        <v>0</v>
      </c>
      <c r="J1217">
        <f>IF(COUNTIFS('United Data'!$A$3:$A$3390,J$1,'United Data'!$C$3:$C$3390,$A1217)&gt;0,1,0)</f>
        <v>0</v>
      </c>
      <c r="K1217">
        <f>IF(COUNTIFS('United Data'!$A$3:$A$3390,K$1,'United Data'!$C$3:$C$3390,$A1217)&gt;0,1,0)</f>
        <v>0</v>
      </c>
      <c r="L1217">
        <f>IF(COUNTIFS('United Data'!$A$3:$A$3390,L$1,'United Data'!$C$3:$C$3390,$A1217)&gt;0,1,0)</f>
        <v>1</v>
      </c>
      <c r="M1217">
        <f>IF(COUNTIFS('United Data'!$A$3:$A$3390,M$1,'United Data'!$C$3:$C$3390,$A1217)&gt;0,1,0)</f>
        <v>0</v>
      </c>
      <c r="N1217">
        <f>IF(COUNTIFS('United Data'!$A$3:$A$3390,N$1,'United Data'!$C$3:$C$3390,$A1217)&gt;0,1,0)</f>
        <v>0</v>
      </c>
      <c r="O1217">
        <f>IF(COUNTIFS('United Data'!$A$3:$A$3390,O$1,'United Data'!$C$3:$C$3390,$A1217)&gt;0,1,0)</f>
        <v>1</v>
      </c>
      <c r="P1217">
        <f>IF(COUNTIFS('United Data'!$A$3:$A$3390,P$1,'United Data'!$C$3:$C$3390,$A1217)&gt;0,1,0)</f>
        <v>1</v>
      </c>
      <c r="Q1217">
        <f>IF(COUNTIFS('United Data'!$A$3:$A$3390,Q$1,'United Data'!$C$3:$C$3390,$A1217)&gt;0,1,0)</f>
        <v>0</v>
      </c>
      <c r="R1217">
        <f>IF(COUNTIFS('United Data'!$A$3:$A$3390,R$1,'United Data'!$C$3:$C$3390,$A1217)&gt;0,1,0)</f>
        <v>0</v>
      </c>
      <c r="S1217">
        <f t="shared" si="36"/>
        <v>6</v>
      </c>
      <c r="T1217">
        <f t="shared" si="37"/>
        <v>4</v>
      </c>
    </row>
    <row r="1218" spans="1:20" x14ac:dyDescent="0.2">
      <c r="A1218" t="s">
        <v>1448</v>
      </c>
      <c r="B1218">
        <f>IF(COUNTIFS('United Data'!$A$3:$A$3390,B$1,'United Data'!$C$3:$C$3390,$A1218)&gt;0,1,0)</f>
        <v>0</v>
      </c>
      <c r="C1218">
        <f>IF(COUNTIFS('United Data'!$A$3:$A$3390,C$1,'United Data'!$C$3:$C$3390,$A1218)&gt;0,1,0)</f>
        <v>0</v>
      </c>
      <c r="D1218">
        <f>IF(COUNTIFS('United Data'!$A$3:$A$3390,D$1,'United Data'!$C$3:$C$3390,$A1218)&gt;0,1,0)</f>
        <v>0</v>
      </c>
      <c r="E1218">
        <f>IF(COUNTIFS('United Data'!$A$3:$A$3390,E$1,'United Data'!$C$3:$C$3390,$A1218)&gt;0,1,0)</f>
        <v>1</v>
      </c>
      <c r="F1218">
        <f>IF(COUNTIFS('United Data'!$A$3:$A$3390,F$1,'United Data'!$C$3:$C$3390,$A1218)&gt;0,1,0)</f>
        <v>0</v>
      </c>
      <c r="G1218">
        <f>IF(COUNTIFS('United Data'!$A$3:$A$3390,G$1,'United Data'!$C$3:$C$3390,$A1218)&gt;0,1,0)</f>
        <v>0</v>
      </c>
      <c r="H1218">
        <f>IF(COUNTIFS('United Data'!$A$3:$A$3390,H$1,'United Data'!$C$3:$C$3390,$A1218)&gt;0,1,0)</f>
        <v>0</v>
      </c>
      <c r="I1218">
        <f>IF(COUNTIFS('United Data'!$A$3:$A$3390,I$1,'United Data'!$C$3:$C$3390,$A1218)&gt;0,1,0)</f>
        <v>0</v>
      </c>
      <c r="J1218">
        <f>IF(COUNTIFS('United Data'!$A$3:$A$3390,J$1,'United Data'!$C$3:$C$3390,$A1218)&gt;0,1,0)</f>
        <v>0</v>
      </c>
      <c r="K1218">
        <f>IF(COUNTIFS('United Data'!$A$3:$A$3390,K$1,'United Data'!$C$3:$C$3390,$A1218)&gt;0,1,0)</f>
        <v>0</v>
      </c>
      <c r="L1218">
        <f>IF(COUNTIFS('United Data'!$A$3:$A$3390,L$1,'United Data'!$C$3:$C$3390,$A1218)&gt;0,1,0)</f>
        <v>0</v>
      </c>
      <c r="M1218">
        <f>IF(COUNTIFS('United Data'!$A$3:$A$3390,M$1,'United Data'!$C$3:$C$3390,$A1218)&gt;0,1,0)</f>
        <v>0</v>
      </c>
      <c r="N1218">
        <f>IF(COUNTIFS('United Data'!$A$3:$A$3390,N$1,'United Data'!$C$3:$C$3390,$A1218)&gt;0,1,0)</f>
        <v>0</v>
      </c>
      <c r="O1218">
        <f>IF(COUNTIFS('United Data'!$A$3:$A$3390,O$1,'United Data'!$C$3:$C$3390,$A1218)&gt;0,1,0)</f>
        <v>0</v>
      </c>
      <c r="P1218">
        <f>IF(COUNTIFS('United Data'!$A$3:$A$3390,P$1,'United Data'!$C$3:$C$3390,$A1218)&gt;0,1,0)</f>
        <v>0</v>
      </c>
      <c r="Q1218">
        <f>IF(COUNTIFS('United Data'!$A$3:$A$3390,Q$1,'United Data'!$C$3:$C$3390,$A1218)&gt;0,1,0)</f>
        <v>0</v>
      </c>
      <c r="R1218">
        <f>IF(COUNTIFS('United Data'!$A$3:$A$3390,R$1,'United Data'!$C$3:$C$3390,$A1218)&gt;0,1,0)</f>
        <v>0</v>
      </c>
      <c r="S1218">
        <f t="shared" ref="S1218:S1281" si="38">SUM(B1218:R1218)</f>
        <v>1</v>
      </c>
      <c r="T1218">
        <f t="shared" ref="T1218:T1281" si="39">B1218+SUMPRODUCT(--(C1218:R1218&gt;B1218:Q1218))</f>
        <v>1</v>
      </c>
    </row>
    <row r="1219" spans="1:20" x14ac:dyDescent="0.2">
      <c r="A1219" t="s">
        <v>1449</v>
      </c>
      <c r="B1219">
        <f>IF(COUNTIFS('United Data'!$A$3:$A$3390,B$1,'United Data'!$C$3:$C$3390,$A1219)&gt;0,1,0)</f>
        <v>0</v>
      </c>
      <c r="C1219">
        <f>IF(COUNTIFS('United Data'!$A$3:$A$3390,C$1,'United Data'!$C$3:$C$3390,$A1219)&gt;0,1,0)</f>
        <v>0</v>
      </c>
      <c r="D1219">
        <f>IF(COUNTIFS('United Data'!$A$3:$A$3390,D$1,'United Data'!$C$3:$C$3390,$A1219)&gt;0,1,0)</f>
        <v>0</v>
      </c>
      <c r="E1219">
        <f>IF(COUNTIFS('United Data'!$A$3:$A$3390,E$1,'United Data'!$C$3:$C$3390,$A1219)&gt;0,1,0)</f>
        <v>1</v>
      </c>
      <c r="F1219">
        <f>IF(COUNTIFS('United Data'!$A$3:$A$3390,F$1,'United Data'!$C$3:$C$3390,$A1219)&gt;0,1,0)</f>
        <v>1</v>
      </c>
      <c r="G1219">
        <f>IF(COUNTIFS('United Data'!$A$3:$A$3390,G$1,'United Data'!$C$3:$C$3390,$A1219)&gt;0,1,0)</f>
        <v>1</v>
      </c>
      <c r="H1219">
        <f>IF(COUNTIFS('United Data'!$A$3:$A$3390,H$1,'United Data'!$C$3:$C$3390,$A1219)&gt;0,1,0)</f>
        <v>0</v>
      </c>
      <c r="I1219">
        <f>IF(COUNTIFS('United Data'!$A$3:$A$3390,I$1,'United Data'!$C$3:$C$3390,$A1219)&gt;0,1,0)</f>
        <v>0</v>
      </c>
      <c r="J1219">
        <f>IF(COUNTIFS('United Data'!$A$3:$A$3390,J$1,'United Data'!$C$3:$C$3390,$A1219)&gt;0,1,0)</f>
        <v>1</v>
      </c>
      <c r="K1219">
        <f>IF(COUNTIFS('United Data'!$A$3:$A$3390,K$1,'United Data'!$C$3:$C$3390,$A1219)&gt;0,1,0)</f>
        <v>0</v>
      </c>
      <c r="L1219">
        <f>IF(COUNTIFS('United Data'!$A$3:$A$3390,L$1,'United Data'!$C$3:$C$3390,$A1219)&gt;0,1,0)</f>
        <v>1</v>
      </c>
      <c r="M1219">
        <f>IF(COUNTIFS('United Data'!$A$3:$A$3390,M$1,'United Data'!$C$3:$C$3390,$A1219)&gt;0,1,0)</f>
        <v>0</v>
      </c>
      <c r="N1219">
        <f>IF(COUNTIFS('United Data'!$A$3:$A$3390,N$1,'United Data'!$C$3:$C$3390,$A1219)&gt;0,1,0)</f>
        <v>0</v>
      </c>
      <c r="O1219">
        <f>IF(COUNTIFS('United Data'!$A$3:$A$3390,O$1,'United Data'!$C$3:$C$3390,$A1219)&gt;0,1,0)</f>
        <v>0</v>
      </c>
      <c r="P1219">
        <f>IF(COUNTIFS('United Data'!$A$3:$A$3390,P$1,'United Data'!$C$3:$C$3390,$A1219)&gt;0,1,0)</f>
        <v>0</v>
      </c>
      <c r="Q1219">
        <f>IF(COUNTIFS('United Data'!$A$3:$A$3390,Q$1,'United Data'!$C$3:$C$3390,$A1219)&gt;0,1,0)</f>
        <v>0</v>
      </c>
      <c r="R1219">
        <f>IF(COUNTIFS('United Data'!$A$3:$A$3390,R$1,'United Data'!$C$3:$C$3390,$A1219)&gt;0,1,0)</f>
        <v>0</v>
      </c>
      <c r="S1219">
        <f t="shared" si="38"/>
        <v>5</v>
      </c>
      <c r="T1219">
        <f t="shared" si="39"/>
        <v>3</v>
      </c>
    </row>
    <row r="1220" spans="1:20" x14ac:dyDescent="0.2">
      <c r="A1220" t="s">
        <v>1450</v>
      </c>
      <c r="B1220">
        <f>IF(COUNTIFS('United Data'!$A$3:$A$3390,B$1,'United Data'!$C$3:$C$3390,$A1220)&gt;0,1,0)</f>
        <v>0</v>
      </c>
      <c r="C1220">
        <f>IF(COUNTIFS('United Data'!$A$3:$A$3390,C$1,'United Data'!$C$3:$C$3390,$A1220)&gt;0,1,0)</f>
        <v>0</v>
      </c>
      <c r="D1220">
        <f>IF(COUNTIFS('United Data'!$A$3:$A$3390,D$1,'United Data'!$C$3:$C$3390,$A1220)&gt;0,1,0)</f>
        <v>0</v>
      </c>
      <c r="E1220">
        <f>IF(COUNTIFS('United Data'!$A$3:$A$3390,E$1,'United Data'!$C$3:$C$3390,$A1220)&gt;0,1,0)</f>
        <v>0</v>
      </c>
      <c r="F1220">
        <f>IF(COUNTIFS('United Data'!$A$3:$A$3390,F$1,'United Data'!$C$3:$C$3390,$A1220)&gt;0,1,0)</f>
        <v>1</v>
      </c>
      <c r="G1220">
        <f>IF(COUNTIFS('United Data'!$A$3:$A$3390,G$1,'United Data'!$C$3:$C$3390,$A1220)&gt;0,1,0)</f>
        <v>1</v>
      </c>
      <c r="H1220">
        <f>IF(COUNTIFS('United Data'!$A$3:$A$3390,H$1,'United Data'!$C$3:$C$3390,$A1220)&gt;0,1,0)</f>
        <v>0</v>
      </c>
      <c r="I1220">
        <f>IF(COUNTIFS('United Data'!$A$3:$A$3390,I$1,'United Data'!$C$3:$C$3390,$A1220)&gt;0,1,0)</f>
        <v>0</v>
      </c>
      <c r="J1220">
        <f>IF(COUNTIFS('United Data'!$A$3:$A$3390,J$1,'United Data'!$C$3:$C$3390,$A1220)&gt;0,1,0)</f>
        <v>0</v>
      </c>
      <c r="K1220">
        <f>IF(COUNTIFS('United Data'!$A$3:$A$3390,K$1,'United Data'!$C$3:$C$3390,$A1220)&gt;0,1,0)</f>
        <v>0</v>
      </c>
      <c r="L1220">
        <f>IF(COUNTIFS('United Data'!$A$3:$A$3390,L$1,'United Data'!$C$3:$C$3390,$A1220)&gt;0,1,0)</f>
        <v>0</v>
      </c>
      <c r="M1220">
        <f>IF(COUNTIFS('United Data'!$A$3:$A$3390,M$1,'United Data'!$C$3:$C$3390,$A1220)&gt;0,1,0)</f>
        <v>0</v>
      </c>
      <c r="N1220">
        <f>IF(COUNTIFS('United Data'!$A$3:$A$3390,N$1,'United Data'!$C$3:$C$3390,$A1220)&gt;0,1,0)</f>
        <v>0</v>
      </c>
      <c r="O1220">
        <f>IF(COUNTIFS('United Data'!$A$3:$A$3390,O$1,'United Data'!$C$3:$C$3390,$A1220)&gt;0,1,0)</f>
        <v>0</v>
      </c>
      <c r="P1220">
        <f>IF(COUNTIFS('United Data'!$A$3:$A$3390,P$1,'United Data'!$C$3:$C$3390,$A1220)&gt;0,1,0)</f>
        <v>0</v>
      </c>
      <c r="Q1220">
        <f>IF(COUNTIFS('United Data'!$A$3:$A$3390,Q$1,'United Data'!$C$3:$C$3390,$A1220)&gt;0,1,0)</f>
        <v>0</v>
      </c>
      <c r="R1220">
        <f>IF(COUNTIFS('United Data'!$A$3:$A$3390,R$1,'United Data'!$C$3:$C$3390,$A1220)&gt;0,1,0)</f>
        <v>0</v>
      </c>
      <c r="S1220">
        <f t="shared" si="38"/>
        <v>2</v>
      </c>
      <c r="T1220">
        <f t="shared" si="39"/>
        <v>1</v>
      </c>
    </row>
    <row r="1221" spans="1:20" x14ac:dyDescent="0.2">
      <c r="A1221" t="s">
        <v>1452</v>
      </c>
      <c r="B1221">
        <f>IF(COUNTIFS('United Data'!$A$3:$A$3390,B$1,'United Data'!$C$3:$C$3390,$A1221)&gt;0,1,0)</f>
        <v>0</v>
      </c>
      <c r="C1221">
        <f>IF(COUNTIFS('United Data'!$A$3:$A$3390,C$1,'United Data'!$C$3:$C$3390,$A1221)&gt;0,1,0)</f>
        <v>0</v>
      </c>
      <c r="D1221">
        <f>IF(COUNTIFS('United Data'!$A$3:$A$3390,D$1,'United Data'!$C$3:$C$3390,$A1221)&gt;0,1,0)</f>
        <v>0</v>
      </c>
      <c r="E1221">
        <f>IF(COUNTIFS('United Data'!$A$3:$A$3390,E$1,'United Data'!$C$3:$C$3390,$A1221)&gt;0,1,0)</f>
        <v>0</v>
      </c>
      <c r="F1221">
        <f>IF(COUNTIFS('United Data'!$A$3:$A$3390,F$1,'United Data'!$C$3:$C$3390,$A1221)&gt;0,1,0)</f>
        <v>0</v>
      </c>
      <c r="G1221">
        <f>IF(COUNTIFS('United Data'!$A$3:$A$3390,G$1,'United Data'!$C$3:$C$3390,$A1221)&gt;0,1,0)</f>
        <v>1</v>
      </c>
      <c r="H1221">
        <f>IF(COUNTIFS('United Data'!$A$3:$A$3390,H$1,'United Data'!$C$3:$C$3390,$A1221)&gt;0,1,0)</f>
        <v>0</v>
      </c>
      <c r="I1221">
        <f>IF(COUNTIFS('United Data'!$A$3:$A$3390,I$1,'United Data'!$C$3:$C$3390,$A1221)&gt;0,1,0)</f>
        <v>0</v>
      </c>
      <c r="J1221">
        <f>IF(COUNTIFS('United Data'!$A$3:$A$3390,J$1,'United Data'!$C$3:$C$3390,$A1221)&gt;0,1,0)</f>
        <v>0</v>
      </c>
      <c r="K1221">
        <f>IF(COUNTIFS('United Data'!$A$3:$A$3390,K$1,'United Data'!$C$3:$C$3390,$A1221)&gt;0,1,0)</f>
        <v>0</v>
      </c>
      <c r="L1221">
        <f>IF(COUNTIFS('United Data'!$A$3:$A$3390,L$1,'United Data'!$C$3:$C$3390,$A1221)&gt;0,1,0)</f>
        <v>0</v>
      </c>
      <c r="M1221">
        <f>IF(COUNTIFS('United Data'!$A$3:$A$3390,M$1,'United Data'!$C$3:$C$3390,$A1221)&gt;0,1,0)</f>
        <v>0</v>
      </c>
      <c r="N1221">
        <f>IF(COUNTIFS('United Data'!$A$3:$A$3390,N$1,'United Data'!$C$3:$C$3390,$A1221)&gt;0,1,0)</f>
        <v>0</v>
      </c>
      <c r="O1221">
        <f>IF(COUNTIFS('United Data'!$A$3:$A$3390,O$1,'United Data'!$C$3:$C$3390,$A1221)&gt;0,1,0)</f>
        <v>0</v>
      </c>
      <c r="P1221">
        <f>IF(COUNTIFS('United Data'!$A$3:$A$3390,P$1,'United Data'!$C$3:$C$3390,$A1221)&gt;0,1,0)</f>
        <v>0</v>
      </c>
      <c r="Q1221">
        <f>IF(COUNTIFS('United Data'!$A$3:$A$3390,Q$1,'United Data'!$C$3:$C$3390,$A1221)&gt;0,1,0)</f>
        <v>0</v>
      </c>
      <c r="R1221">
        <f>IF(COUNTIFS('United Data'!$A$3:$A$3390,R$1,'United Data'!$C$3:$C$3390,$A1221)&gt;0,1,0)</f>
        <v>0</v>
      </c>
      <c r="S1221">
        <f t="shared" si="38"/>
        <v>1</v>
      </c>
      <c r="T1221">
        <f t="shared" si="39"/>
        <v>1</v>
      </c>
    </row>
    <row r="1222" spans="1:20" x14ac:dyDescent="0.2">
      <c r="A1222" t="s">
        <v>1453</v>
      </c>
      <c r="B1222">
        <f>IF(COUNTIFS('United Data'!$A$3:$A$3390,B$1,'United Data'!$C$3:$C$3390,$A1222)&gt;0,1,0)</f>
        <v>0</v>
      </c>
      <c r="C1222">
        <f>IF(COUNTIFS('United Data'!$A$3:$A$3390,C$1,'United Data'!$C$3:$C$3390,$A1222)&gt;0,1,0)</f>
        <v>0</v>
      </c>
      <c r="D1222">
        <f>IF(COUNTIFS('United Data'!$A$3:$A$3390,D$1,'United Data'!$C$3:$C$3390,$A1222)&gt;0,1,0)</f>
        <v>0</v>
      </c>
      <c r="E1222">
        <f>IF(COUNTIFS('United Data'!$A$3:$A$3390,E$1,'United Data'!$C$3:$C$3390,$A1222)&gt;0,1,0)</f>
        <v>0</v>
      </c>
      <c r="F1222">
        <f>IF(COUNTIFS('United Data'!$A$3:$A$3390,F$1,'United Data'!$C$3:$C$3390,$A1222)&gt;0,1,0)</f>
        <v>0</v>
      </c>
      <c r="G1222">
        <f>IF(COUNTIFS('United Data'!$A$3:$A$3390,G$1,'United Data'!$C$3:$C$3390,$A1222)&gt;0,1,0)</f>
        <v>1</v>
      </c>
      <c r="H1222">
        <f>IF(COUNTIFS('United Data'!$A$3:$A$3390,H$1,'United Data'!$C$3:$C$3390,$A1222)&gt;0,1,0)</f>
        <v>0</v>
      </c>
      <c r="I1222">
        <f>IF(COUNTIFS('United Data'!$A$3:$A$3390,I$1,'United Data'!$C$3:$C$3390,$A1222)&gt;0,1,0)</f>
        <v>0</v>
      </c>
      <c r="J1222">
        <f>IF(COUNTIFS('United Data'!$A$3:$A$3390,J$1,'United Data'!$C$3:$C$3390,$A1222)&gt;0,1,0)</f>
        <v>0</v>
      </c>
      <c r="K1222">
        <f>IF(COUNTIFS('United Data'!$A$3:$A$3390,K$1,'United Data'!$C$3:$C$3390,$A1222)&gt;0,1,0)</f>
        <v>0</v>
      </c>
      <c r="L1222">
        <f>IF(COUNTIFS('United Data'!$A$3:$A$3390,L$1,'United Data'!$C$3:$C$3390,$A1222)&gt;0,1,0)</f>
        <v>0</v>
      </c>
      <c r="M1222">
        <f>IF(COUNTIFS('United Data'!$A$3:$A$3390,M$1,'United Data'!$C$3:$C$3390,$A1222)&gt;0,1,0)</f>
        <v>0</v>
      </c>
      <c r="N1222">
        <f>IF(COUNTIFS('United Data'!$A$3:$A$3390,N$1,'United Data'!$C$3:$C$3390,$A1222)&gt;0,1,0)</f>
        <v>0</v>
      </c>
      <c r="O1222">
        <f>IF(COUNTIFS('United Data'!$A$3:$A$3390,O$1,'United Data'!$C$3:$C$3390,$A1222)&gt;0,1,0)</f>
        <v>0</v>
      </c>
      <c r="P1222">
        <f>IF(COUNTIFS('United Data'!$A$3:$A$3390,P$1,'United Data'!$C$3:$C$3390,$A1222)&gt;0,1,0)</f>
        <v>0</v>
      </c>
      <c r="Q1222">
        <f>IF(COUNTIFS('United Data'!$A$3:$A$3390,Q$1,'United Data'!$C$3:$C$3390,$A1222)&gt;0,1,0)</f>
        <v>0</v>
      </c>
      <c r="R1222">
        <f>IF(COUNTIFS('United Data'!$A$3:$A$3390,R$1,'United Data'!$C$3:$C$3390,$A1222)&gt;0,1,0)</f>
        <v>0</v>
      </c>
      <c r="S1222">
        <f t="shared" si="38"/>
        <v>1</v>
      </c>
      <c r="T1222">
        <f t="shared" si="39"/>
        <v>1</v>
      </c>
    </row>
    <row r="1223" spans="1:20" x14ac:dyDescent="0.2">
      <c r="A1223" t="s">
        <v>1464</v>
      </c>
      <c r="B1223">
        <f>IF(COUNTIFS('United Data'!$A$3:$A$3390,B$1,'United Data'!$C$3:$C$3390,$A1223)&gt;0,1,0)</f>
        <v>0</v>
      </c>
      <c r="C1223">
        <f>IF(COUNTIFS('United Data'!$A$3:$A$3390,C$1,'United Data'!$C$3:$C$3390,$A1223)&gt;0,1,0)</f>
        <v>0</v>
      </c>
      <c r="D1223">
        <f>IF(COUNTIFS('United Data'!$A$3:$A$3390,D$1,'United Data'!$C$3:$C$3390,$A1223)&gt;0,1,0)</f>
        <v>0</v>
      </c>
      <c r="E1223">
        <f>IF(COUNTIFS('United Data'!$A$3:$A$3390,E$1,'United Data'!$C$3:$C$3390,$A1223)&gt;0,1,0)</f>
        <v>0</v>
      </c>
      <c r="F1223">
        <f>IF(COUNTIFS('United Data'!$A$3:$A$3390,F$1,'United Data'!$C$3:$C$3390,$A1223)&gt;0,1,0)</f>
        <v>0</v>
      </c>
      <c r="G1223">
        <f>IF(COUNTIFS('United Data'!$A$3:$A$3390,G$1,'United Data'!$C$3:$C$3390,$A1223)&gt;0,1,0)</f>
        <v>0</v>
      </c>
      <c r="H1223">
        <f>IF(COUNTIFS('United Data'!$A$3:$A$3390,H$1,'United Data'!$C$3:$C$3390,$A1223)&gt;0,1,0)</f>
        <v>0</v>
      </c>
      <c r="I1223">
        <f>IF(COUNTIFS('United Data'!$A$3:$A$3390,I$1,'United Data'!$C$3:$C$3390,$A1223)&gt;0,1,0)</f>
        <v>0</v>
      </c>
      <c r="J1223">
        <f>IF(COUNTIFS('United Data'!$A$3:$A$3390,J$1,'United Data'!$C$3:$C$3390,$A1223)&gt;0,1,0)</f>
        <v>0</v>
      </c>
      <c r="K1223">
        <f>IF(COUNTIFS('United Data'!$A$3:$A$3390,K$1,'United Data'!$C$3:$C$3390,$A1223)&gt;0,1,0)</f>
        <v>0</v>
      </c>
      <c r="L1223">
        <f>IF(COUNTIFS('United Data'!$A$3:$A$3390,L$1,'United Data'!$C$3:$C$3390,$A1223)&gt;0,1,0)</f>
        <v>1</v>
      </c>
      <c r="M1223">
        <f>IF(COUNTIFS('United Data'!$A$3:$A$3390,M$1,'United Data'!$C$3:$C$3390,$A1223)&gt;0,1,0)</f>
        <v>0</v>
      </c>
      <c r="N1223">
        <f>IF(COUNTIFS('United Data'!$A$3:$A$3390,N$1,'United Data'!$C$3:$C$3390,$A1223)&gt;0,1,0)</f>
        <v>0</v>
      </c>
      <c r="O1223">
        <f>IF(COUNTIFS('United Data'!$A$3:$A$3390,O$1,'United Data'!$C$3:$C$3390,$A1223)&gt;0,1,0)</f>
        <v>0</v>
      </c>
      <c r="P1223">
        <f>IF(COUNTIFS('United Data'!$A$3:$A$3390,P$1,'United Data'!$C$3:$C$3390,$A1223)&gt;0,1,0)</f>
        <v>0</v>
      </c>
      <c r="Q1223">
        <f>IF(COUNTIFS('United Data'!$A$3:$A$3390,Q$1,'United Data'!$C$3:$C$3390,$A1223)&gt;0,1,0)</f>
        <v>0</v>
      </c>
      <c r="R1223">
        <f>IF(COUNTIFS('United Data'!$A$3:$A$3390,R$1,'United Data'!$C$3:$C$3390,$A1223)&gt;0,1,0)</f>
        <v>0</v>
      </c>
      <c r="S1223">
        <f t="shared" si="38"/>
        <v>1</v>
      </c>
      <c r="T1223">
        <f t="shared" si="39"/>
        <v>1</v>
      </c>
    </row>
    <row r="1224" spans="1:20" x14ac:dyDescent="0.2">
      <c r="A1224" t="s">
        <v>1455</v>
      </c>
      <c r="B1224">
        <f>IF(COUNTIFS('United Data'!$A$3:$A$3390,B$1,'United Data'!$C$3:$C$3390,$A1224)&gt;0,1,0)</f>
        <v>0</v>
      </c>
      <c r="C1224">
        <f>IF(COUNTIFS('United Data'!$A$3:$A$3390,C$1,'United Data'!$C$3:$C$3390,$A1224)&gt;0,1,0)</f>
        <v>0</v>
      </c>
      <c r="D1224">
        <f>IF(COUNTIFS('United Data'!$A$3:$A$3390,D$1,'United Data'!$C$3:$C$3390,$A1224)&gt;0,1,0)</f>
        <v>0</v>
      </c>
      <c r="E1224">
        <f>IF(COUNTIFS('United Data'!$A$3:$A$3390,E$1,'United Data'!$C$3:$C$3390,$A1224)&gt;0,1,0)</f>
        <v>0</v>
      </c>
      <c r="F1224">
        <f>IF(COUNTIFS('United Data'!$A$3:$A$3390,F$1,'United Data'!$C$3:$C$3390,$A1224)&gt;0,1,0)</f>
        <v>0</v>
      </c>
      <c r="G1224">
        <f>IF(COUNTIFS('United Data'!$A$3:$A$3390,G$1,'United Data'!$C$3:$C$3390,$A1224)&gt;0,1,0)</f>
        <v>1</v>
      </c>
      <c r="H1224">
        <f>IF(COUNTIFS('United Data'!$A$3:$A$3390,H$1,'United Data'!$C$3:$C$3390,$A1224)&gt;0,1,0)</f>
        <v>0</v>
      </c>
      <c r="I1224">
        <f>IF(COUNTIFS('United Data'!$A$3:$A$3390,I$1,'United Data'!$C$3:$C$3390,$A1224)&gt;0,1,0)</f>
        <v>0</v>
      </c>
      <c r="J1224">
        <f>IF(COUNTIFS('United Data'!$A$3:$A$3390,J$1,'United Data'!$C$3:$C$3390,$A1224)&gt;0,1,0)</f>
        <v>0</v>
      </c>
      <c r="K1224">
        <f>IF(COUNTIFS('United Data'!$A$3:$A$3390,K$1,'United Data'!$C$3:$C$3390,$A1224)&gt;0,1,0)</f>
        <v>0</v>
      </c>
      <c r="L1224">
        <f>IF(COUNTIFS('United Data'!$A$3:$A$3390,L$1,'United Data'!$C$3:$C$3390,$A1224)&gt;0,1,0)</f>
        <v>0</v>
      </c>
      <c r="M1224">
        <f>IF(COUNTIFS('United Data'!$A$3:$A$3390,M$1,'United Data'!$C$3:$C$3390,$A1224)&gt;0,1,0)</f>
        <v>0</v>
      </c>
      <c r="N1224">
        <f>IF(COUNTIFS('United Data'!$A$3:$A$3390,N$1,'United Data'!$C$3:$C$3390,$A1224)&gt;0,1,0)</f>
        <v>0</v>
      </c>
      <c r="O1224">
        <f>IF(COUNTIFS('United Data'!$A$3:$A$3390,O$1,'United Data'!$C$3:$C$3390,$A1224)&gt;0,1,0)</f>
        <v>0</v>
      </c>
      <c r="P1224">
        <f>IF(COUNTIFS('United Data'!$A$3:$A$3390,P$1,'United Data'!$C$3:$C$3390,$A1224)&gt;0,1,0)</f>
        <v>0</v>
      </c>
      <c r="Q1224">
        <f>IF(COUNTIFS('United Data'!$A$3:$A$3390,Q$1,'United Data'!$C$3:$C$3390,$A1224)&gt;0,1,0)</f>
        <v>0</v>
      </c>
      <c r="R1224">
        <f>IF(COUNTIFS('United Data'!$A$3:$A$3390,R$1,'United Data'!$C$3:$C$3390,$A1224)&gt;0,1,0)</f>
        <v>0</v>
      </c>
      <c r="S1224">
        <f t="shared" si="38"/>
        <v>1</v>
      </c>
      <c r="T1224">
        <f t="shared" si="39"/>
        <v>1</v>
      </c>
    </row>
    <row r="1225" spans="1:20" x14ac:dyDescent="0.2">
      <c r="A1225" t="s">
        <v>1456</v>
      </c>
      <c r="B1225">
        <f>IF(COUNTIFS('United Data'!$A$3:$A$3390,B$1,'United Data'!$C$3:$C$3390,$A1225)&gt;0,1,0)</f>
        <v>0</v>
      </c>
      <c r="C1225">
        <f>IF(COUNTIFS('United Data'!$A$3:$A$3390,C$1,'United Data'!$C$3:$C$3390,$A1225)&gt;0,1,0)</f>
        <v>0</v>
      </c>
      <c r="D1225">
        <f>IF(COUNTIFS('United Data'!$A$3:$A$3390,D$1,'United Data'!$C$3:$C$3390,$A1225)&gt;0,1,0)</f>
        <v>0</v>
      </c>
      <c r="E1225">
        <f>IF(COUNTIFS('United Data'!$A$3:$A$3390,E$1,'United Data'!$C$3:$C$3390,$A1225)&gt;0,1,0)</f>
        <v>0</v>
      </c>
      <c r="F1225">
        <f>IF(COUNTIFS('United Data'!$A$3:$A$3390,F$1,'United Data'!$C$3:$C$3390,$A1225)&gt;0,1,0)</f>
        <v>0</v>
      </c>
      <c r="G1225">
        <f>IF(COUNTIFS('United Data'!$A$3:$A$3390,G$1,'United Data'!$C$3:$C$3390,$A1225)&gt;0,1,0)</f>
        <v>1</v>
      </c>
      <c r="H1225">
        <f>IF(COUNTIFS('United Data'!$A$3:$A$3390,H$1,'United Data'!$C$3:$C$3390,$A1225)&gt;0,1,0)</f>
        <v>0</v>
      </c>
      <c r="I1225">
        <f>IF(COUNTIFS('United Data'!$A$3:$A$3390,I$1,'United Data'!$C$3:$C$3390,$A1225)&gt;0,1,0)</f>
        <v>0</v>
      </c>
      <c r="J1225">
        <f>IF(COUNTIFS('United Data'!$A$3:$A$3390,J$1,'United Data'!$C$3:$C$3390,$A1225)&gt;0,1,0)</f>
        <v>0</v>
      </c>
      <c r="K1225">
        <f>IF(COUNTIFS('United Data'!$A$3:$A$3390,K$1,'United Data'!$C$3:$C$3390,$A1225)&gt;0,1,0)</f>
        <v>0</v>
      </c>
      <c r="L1225">
        <f>IF(COUNTIFS('United Data'!$A$3:$A$3390,L$1,'United Data'!$C$3:$C$3390,$A1225)&gt;0,1,0)</f>
        <v>0</v>
      </c>
      <c r="M1225">
        <f>IF(COUNTIFS('United Data'!$A$3:$A$3390,M$1,'United Data'!$C$3:$C$3390,$A1225)&gt;0,1,0)</f>
        <v>0</v>
      </c>
      <c r="N1225">
        <f>IF(COUNTIFS('United Data'!$A$3:$A$3390,N$1,'United Data'!$C$3:$C$3390,$A1225)&gt;0,1,0)</f>
        <v>0</v>
      </c>
      <c r="O1225">
        <f>IF(COUNTIFS('United Data'!$A$3:$A$3390,O$1,'United Data'!$C$3:$C$3390,$A1225)&gt;0,1,0)</f>
        <v>0</v>
      </c>
      <c r="P1225">
        <f>IF(COUNTIFS('United Data'!$A$3:$A$3390,P$1,'United Data'!$C$3:$C$3390,$A1225)&gt;0,1,0)</f>
        <v>0</v>
      </c>
      <c r="Q1225">
        <f>IF(COUNTIFS('United Data'!$A$3:$A$3390,Q$1,'United Data'!$C$3:$C$3390,$A1225)&gt;0,1,0)</f>
        <v>0</v>
      </c>
      <c r="R1225">
        <f>IF(COUNTIFS('United Data'!$A$3:$A$3390,R$1,'United Data'!$C$3:$C$3390,$A1225)&gt;0,1,0)</f>
        <v>0</v>
      </c>
      <c r="S1225">
        <f t="shared" si="38"/>
        <v>1</v>
      </c>
      <c r="T1225">
        <f t="shared" si="39"/>
        <v>1</v>
      </c>
    </row>
    <row r="1226" spans="1:20" x14ac:dyDescent="0.2">
      <c r="A1226" t="s">
        <v>1458</v>
      </c>
      <c r="B1226">
        <f>IF(COUNTIFS('United Data'!$A$3:$A$3390,B$1,'United Data'!$C$3:$C$3390,$A1226)&gt;0,1,0)</f>
        <v>0</v>
      </c>
      <c r="C1226">
        <f>IF(COUNTIFS('United Data'!$A$3:$A$3390,C$1,'United Data'!$C$3:$C$3390,$A1226)&gt;0,1,0)</f>
        <v>0</v>
      </c>
      <c r="D1226">
        <f>IF(COUNTIFS('United Data'!$A$3:$A$3390,D$1,'United Data'!$C$3:$C$3390,$A1226)&gt;0,1,0)</f>
        <v>0</v>
      </c>
      <c r="E1226">
        <f>IF(COUNTIFS('United Data'!$A$3:$A$3390,E$1,'United Data'!$C$3:$C$3390,$A1226)&gt;0,1,0)</f>
        <v>0</v>
      </c>
      <c r="F1226">
        <f>IF(COUNTIFS('United Data'!$A$3:$A$3390,F$1,'United Data'!$C$3:$C$3390,$A1226)&gt;0,1,0)</f>
        <v>0</v>
      </c>
      <c r="G1226">
        <f>IF(COUNTIFS('United Data'!$A$3:$A$3390,G$1,'United Data'!$C$3:$C$3390,$A1226)&gt;0,1,0)</f>
        <v>1</v>
      </c>
      <c r="H1226">
        <f>IF(COUNTIFS('United Data'!$A$3:$A$3390,H$1,'United Data'!$C$3:$C$3390,$A1226)&gt;0,1,0)</f>
        <v>1</v>
      </c>
      <c r="I1226">
        <f>IF(COUNTIFS('United Data'!$A$3:$A$3390,I$1,'United Data'!$C$3:$C$3390,$A1226)&gt;0,1,0)</f>
        <v>0</v>
      </c>
      <c r="J1226">
        <f>IF(COUNTIFS('United Data'!$A$3:$A$3390,J$1,'United Data'!$C$3:$C$3390,$A1226)&gt;0,1,0)</f>
        <v>0</v>
      </c>
      <c r="K1226">
        <f>IF(COUNTIFS('United Data'!$A$3:$A$3390,K$1,'United Data'!$C$3:$C$3390,$A1226)&gt;0,1,0)</f>
        <v>0</v>
      </c>
      <c r="L1226">
        <f>IF(COUNTIFS('United Data'!$A$3:$A$3390,L$1,'United Data'!$C$3:$C$3390,$A1226)&gt;0,1,0)</f>
        <v>0</v>
      </c>
      <c r="M1226">
        <f>IF(COUNTIFS('United Data'!$A$3:$A$3390,M$1,'United Data'!$C$3:$C$3390,$A1226)&gt;0,1,0)</f>
        <v>0</v>
      </c>
      <c r="N1226">
        <f>IF(COUNTIFS('United Data'!$A$3:$A$3390,N$1,'United Data'!$C$3:$C$3390,$A1226)&gt;0,1,0)</f>
        <v>0</v>
      </c>
      <c r="O1226">
        <f>IF(COUNTIFS('United Data'!$A$3:$A$3390,O$1,'United Data'!$C$3:$C$3390,$A1226)&gt;0,1,0)</f>
        <v>0</v>
      </c>
      <c r="P1226">
        <f>IF(COUNTIFS('United Data'!$A$3:$A$3390,P$1,'United Data'!$C$3:$C$3390,$A1226)&gt;0,1,0)</f>
        <v>0</v>
      </c>
      <c r="Q1226">
        <f>IF(COUNTIFS('United Data'!$A$3:$A$3390,Q$1,'United Data'!$C$3:$C$3390,$A1226)&gt;0,1,0)</f>
        <v>0</v>
      </c>
      <c r="R1226">
        <f>IF(COUNTIFS('United Data'!$A$3:$A$3390,R$1,'United Data'!$C$3:$C$3390,$A1226)&gt;0,1,0)</f>
        <v>0</v>
      </c>
      <c r="S1226">
        <f t="shared" si="38"/>
        <v>2</v>
      </c>
      <c r="T1226">
        <f t="shared" si="39"/>
        <v>1</v>
      </c>
    </row>
    <row r="1227" spans="1:20" x14ac:dyDescent="0.2">
      <c r="A1227" t="s">
        <v>1459</v>
      </c>
      <c r="B1227">
        <f>IF(COUNTIFS('United Data'!$A$3:$A$3390,B$1,'United Data'!$C$3:$C$3390,$A1227)&gt;0,1,0)</f>
        <v>0</v>
      </c>
      <c r="C1227">
        <f>IF(COUNTIFS('United Data'!$A$3:$A$3390,C$1,'United Data'!$C$3:$C$3390,$A1227)&gt;0,1,0)</f>
        <v>0</v>
      </c>
      <c r="D1227">
        <f>IF(COUNTIFS('United Data'!$A$3:$A$3390,D$1,'United Data'!$C$3:$C$3390,$A1227)&gt;0,1,0)</f>
        <v>0</v>
      </c>
      <c r="E1227">
        <f>IF(COUNTIFS('United Data'!$A$3:$A$3390,E$1,'United Data'!$C$3:$C$3390,$A1227)&gt;0,1,0)</f>
        <v>0</v>
      </c>
      <c r="F1227">
        <f>IF(COUNTIFS('United Data'!$A$3:$A$3390,F$1,'United Data'!$C$3:$C$3390,$A1227)&gt;0,1,0)</f>
        <v>0</v>
      </c>
      <c r="G1227">
        <f>IF(COUNTIFS('United Data'!$A$3:$A$3390,G$1,'United Data'!$C$3:$C$3390,$A1227)&gt;0,1,0)</f>
        <v>0</v>
      </c>
      <c r="H1227">
        <f>IF(COUNTIFS('United Data'!$A$3:$A$3390,H$1,'United Data'!$C$3:$C$3390,$A1227)&gt;0,1,0)</f>
        <v>1</v>
      </c>
      <c r="I1227">
        <f>IF(COUNTIFS('United Data'!$A$3:$A$3390,I$1,'United Data'!$C$3:$C$3390,$A1227)&gt;0,1,0)</f>
        <v>0</v>
      </c>
      <c r="J1227">
        <f>IF(COUNTIFS('United Data'!$A$3:$A$3390,J$1,'United Data'!$C$3:$C$3390,$A1227)&gt;0,1,0)</f>
        <v>0</v>
      </c>
      <c r="K1227">
        <f>IF(COUNTIFS('United Data'!$A$3:$A$3390,K$1,'United Data'!$C$3:$C$3390,$A1227)&gt;0,1,0)</f>
        <v>0</v>
      </c>
      <c r="L1227">
        <f>IF(COUNTIFS('United Data'!$A$3:$A$3390,L$1,'United Data'!$C$3:$C$3390,$A1227)&gt;0,1,0)</f>
        <v>0</v>
      </c>
      <c r="M1227">
        <f>IF(COUNTIFS('United Data'!$A$3:$A$3390,M$1,'United Data'!$C$3:$C$3390,$A1227)&gt;0,1,0)</f>
        <v>0</v>
      </c>
      <c r="N1227">
        <f>IF(COUNTIFS('United Data'!$A$3:$A$3390,N$1,'United Data'!$C$3:$C$3390,$A1227)&gt;0,1,0)</f>
        <v>0</v>
      </c>
      <c r="O1227">
        <f>IF(COUNTIFS('United Data'!$A$3:$A$3390,O$1,'United Data'!$C$3:$C$3390,$A1227)&gt;0,1,0)</f>
        <v>0</v>
      </c>
      <c r="P1227">
        <f>IF(COUNTIFS('United Data'!$A$3:$A$3390,P$1,'United Data'!$C$3:$C$3390,$A1227)&gt;0,1,0)</f>
        <v>0</v>
      </c>
      <c r="Q1227">
        <f>IF(COUNTIFS('United Data'!$A$3:$A$3390,Q$1,'United Data'!$C$3:$C$3390,$A1227)&gt;0,1,0)</f>
        <v>0</v>
      </c>
      <c r="R1227">
        <f>IF(COUNTIFS('United Data'!$A$3:$A$3390,R$1,'United Data'!$C$3:$C$3390,$A1227)&gt;0,1,0)</f>
        <v>0</v>
      </c>
      <c r="S1227">
        <f t="shared" si="38"/>
        <v>1</v>
      </c>
      <c r="T1227">
        <f t="shared" si="39"/>
        <v>1</v>
      </c>
    </row>
    <row r="1228" spans="1:20" x14ac:dyDescent="0.2">
      <c r="A1228" t="s">
        <v>1460</v>
      </c>
      <c r="B1228">
        <f>IF(COUNTIFS('United Data'!$A$3:$A$3390,B$1,'United Data'!$C$3:$C$3390,$A1228)&gt;0,1,0)</f>
        <v>0</v>
      </c>
      <c r="C1228">
        <f>IF(COUNTIFS('United Data'!$A$3:$A$3390,C$1,'United Data'!$C$3:$C$3390,$A1228)&gt;0,1,0)</f>
        <v>0</v>
      </c>
      <c r="D1228">
        <f>IF(COUNTIFS('United Data'!$A$3:$A$3390,D$1,'United Data'!$C$3:$C$3390,$A1228)&gt;0,1,0)</f>
        <v>0</v>
      </c>
      <c r="E1228">
        <f>IF(COUNTIFS('United Data'!$A$3:$A$3390,E$1,'United Data'!$C$3:$C$3390,$A1228)&gt;0,1,0)</f>
        <v>0</v>
      </c>
      <c r="F1228">
        <f>IF(COUNTIFS('United Data'!$A$3:$A$3390,F$1,'United Data'!$C$3:$C$3390,$A1228)&gt;0,1,0)</f>
        <v>0</v>
      </c>
      <c r="G1228">
        <f>IF(COUNTIFS('United Data'!$A$3:$A$3390,G$1,'United Data'!$C$3:$C$3390,$A1228)&gt;0,1,0)</f>
        <v>0</v>
      </c>
      <c r="H1228">
        <f>IF(COUNTIFS('United Data'!$A$3:$A$3390,H$1,'United Data'!$C$3:$C$3390,$A1228)&gt;0,1,0)</f>
        <v>1</v>
      </c>
      <c r="I1228">
        <f>IF(COUNTIFS('United Data'!$A$3:$A$3390,I$1,'United Data'!$C$3:$C$3390,$A1228)&gt;0,1,0)</f>
        <v>0</v>
      </c>
      <c r="J1228">
        <f>IF(COUNTIFS('United Data'!$A$3:$A$3390,J$1,'United Data'!$C$3:$C$3390,$A1228)&gt;0,1,0)</f>
        <v>0</v>
      </c>
      <c r="K1228">
        <f>IF(COUNTIFS('United Data'!$A$3:$A$3390,K$1,'United Data'!$C$3:$C$3390,$A1228)&gt;0,1,0)</f>
        <v>0</v>
      </c>
      <c r="L1228">
        <f>IF(COUNTIFS('United Data'!$A$3:$A$3390,L$1,'United Data'!$C$3:$C$3390,$A1228)&gt;0,1,0)</f>
        <v>0</v>
      </c>
      <c r="M1228">
        <f>IF(COUNTIFS('United Data'!$A$3:$A$3390,M$1,'United Data'!$C$3:$C$3390,$A1228)&gt;0,1,0)</f>
        <v>0</v>
      </c>
      <c r="N1228">
        <f>IF(COUNTIFS('United Data'!$A$3:$A$3390,N$1,'United Data'!$C$3:$C$3390,$A1228)&gt;0,1,0)</f>
        <v>0</v>
      </c>
      <c r="O1228">
        <f>IF(COUNTIFS('United Data'!$A$3:$A$3390,O$1,'United Data'!$C$3:$C$3390,$A1228)&gt;0,1,0)</f>
        <v>0</v>
      </c>
      <c r="P1228">
        <f>IF(COUNTIFS('United Data'!$A$3:$A$3390,P$1,'United Data'!$C$3:$C$3390,$A1228)&gt;0,1,0)</f>
        <v>0</v>
      </c>
      <c r="Q1228">
        <f>IF(COUNTIFS('United Data'!$A$3:$A$3390,Q$1,'United Data'!$C$3:$C$3390,$A1228)&gt;0,1,0)</f>
        <v>0</v>
      </c>
      <c r="R1228">
        <f>IF(COUNTIFS('United Data'!$A$3:$A$3390,R$1,'United Data'!$C$3:$C$3390,$A1228)&gt;0,1,0)</f>
        <v>0</v>
      </c>
      <c r="S1228">
        <f t="shared" si="38"/>
        <v>1</v>
      </c>
      <c r="T1228">
        <f t="shared" si="39"/>
        <v>1</v>
      </c>
    </row>
    <row r="1229" spans="1:20" x14ac:dyDescent="0.2">
      <c r="A1229" t="s">
        <v>1461</v>
      </c>
      <c r="B1229">
        <f>IF(COUNTIFS('United Data'!$A$3:$A$3390,B$1,'United Data'!$C$3:$C$3390,$A1229)&gt;0,1,0)</f>
        <v>0</v>
      </c>
      <c r="C1229">
        <f>IF(COUNTIFS('United Data'!$A$3:$A$3390,C$1,'United Data'!$C$3:$C$3390,$A1229)&gt;0,1,0)</f>
        <v>0</v>
      </c>
      <c r="D1229">
        <f>IF(COUNTIFS('United Data'!$A$3:$A$3390,D$1,'United Data'!$C$3:$C$3390,$A1229)&gt;0,1,0)</f>
        <v>0</v>
      </c>
      <c r="E1229">
        <f>IF(COUNTIFS('United Data'!$A$3:$A$3390,E$1,'United Data'!$C$3:$C$3390,$A1229)&gt;0,1,0)</f>
        <v>0</v>
      </c>
      <c r="F1229">
        <f>IF(COUNTIFS('United Data'!$A$3:$A$3390,F$1,'United Data'!$C$3:$C$3390,$A1229)&gt;0,1,0)</f>
        <v>0</v>
      </c>
      <c r="G1229">
        <f>IF(COUNTIFS('United Data'!$A$3:$A$3390,G$1,'United Data'!$C$3:$C$3390,$A1229)&gt;0,1,0)</f>
        <v>0</v>
      </c>
      <c r="H1229">
        <f>IF(COUNTIFS('United Data'!$A$3:$A$3390,H$1,'United Data'!$C$3:$C$3390,$A1229)&gt;0,1,0)</f>
        <v>1</v>
      </c>
      <c r="I1229">
        <f>IF(COUNTIFS('United Data'!$A$3:$A$3390,I$1,'United Data'!$C$3:$C$3390,$A1229)&gt;0,1,0)</f>
        <v>0</v>
      </c>
      <c r="J1229">
        <f>IF(COUNTIFS('United Data'!$A$3:$A$3390,J$1,'United Data'!$C$3:$C$3390,$A1229)&gt;0,1,0)</f>
        <v>0</v>
      </c>
      <c r="K1229">
        <f>IF(COUNTIFS('United Data'!$A$3:$A$3390,K$1,'United Data'!$C$3:$C$3390,$A1229)&gt;0,1,0)</f>
        <v>0</v>
      </c>
      <c r="L1229">
        <f>IF(COUNTIFS('United Data'!$A$3:$A$3390,L$1,'United Data'!$C$3:$C$3390,$A1229)&gt;0,1,0)</f>
        <v>0</v>
      </c>
      <c r="M1229">
        <f>IF(COUNTIFS('United Data'!$A$3:$A$3390,M$1,'United Data'!$C$3:$C$3390,$A1229)&gt;0,1,0)</f>
        <v>0</v>
      </c>
      <c r="N1229">
        <f>IF(COUNTIFS('United Data'!$A$3:$A$3390,N$1,'United Data'!$C$3:$C$3390,$A1229)&gt;0,1,0)</f>
        <v>0</v>
      </c>
      <c r="O1229">
        <f>IF(COUNTIFS('United Data'!$A$3:$A$3390,O$1,'United Data'!$C$3:$C$3390,$A1229)&gt;0,1,0)</f>
        <v>0</v>
      </c>
      <c r="P1229">
        <f>IF(COUNTIFS('United Data'!$A$3:$A$3390,P$1,'United Data'!$C$3:$C$3390,$A1229)&gt;0,1,0)</f>
        <v>0</v>
      </c>
      <c r="Q1229">
        <f>IF(COUNTIFS('United Data'!$A$3:$A$3390,Q$1,'United Data'!$C$3:$C$3390,$A1229)&gt;0,1,0)</f>
        <v>0</v>
      </c>
      <c r="R1229">
        <f>IF(COUNTIFS('United Data'!$A$3:$A$3390,R$1,'United Data'!$C$3:$C$3390,$A1229)&gt;0,1,0)</f>
        <v>0</v>
      </c>
      <c r="S1229">
        <f t="shared" si="38"/>
        <v>1</v>
      </c>
      <c r="T1229">
        <f t="shared" si="39"/>
        <v>1</v>
      </c>
    </row>
    <row r="1230" spans="1:20" x14ac:dyDescent="0.2">
      <c r="A1230" t="s">
        <v>1462</v>
      </c>
      <c r="B1230">
        <f>IF(COUNTIFS('United Data'!$A$3:$A$3390,B$1,'United Data'!$C$3:$C$3390,$A1230)&gt;0,1,0)</f>
        <v>0</v>
      </c>
      <c r="C1230">
        <f>IF(COUNTIFS('United Data'!$A$3:$A$3390,C$1,'United Data'!$C$3:$C$3390,$A1230)&gt;0,1,0)</f>
        <v>0</v>
      </c>
      <c r="D1230">
        <f>IF(COUNTIFS('United Data'!$A$3:$A$3390,D$1,'United Data'!$C$3:$C$3390,$A1230)&gt;0,1,0)</f>
        <v>0</v>
      </c>
      <c r="E1230">
        <f>IF(COUNTIFS('United Data'!$A$3:$A$3390,E$1,'United Data'!$C$3:$C$3390,$A1230)&gt;0,1,0)</f>
        <v>0</v>
      </c>
      <c r="F1230">
        <f>IF(COUNTIFS('United Data'!$A$3:$A$3390,F$1,'United Data'!$C$3:$C$3390,$A1230)&gt;0,1,0)</f>
        <v>0</v>
      </c>
      <c r="G1230">
        <f>IF(COUNTIFS('United Data'!$A$3:$A$3390,G$1,'United Data'!$C$3:$C$3390,$A1230)&gt;0,1,0)</f>
        <v>0</v>
      </c>
      <c r="H1230">
        <f>IF(COUNTIFS('United Data'!$A$3:$A$3390,H$1,'United Data'!$C$3:$C$3390,$A1230)&gt;0,1,0)</f>
        <v>1</v>
      </c>
      <c r="I1230">
        <f>IF(COUNTIFS('United Data'!$A$3:$A$3390,I$1,'United Data'!$C$3:$C$3390,$A1230)&gt;0,1,0)</f>
        <v>0</v>
      </c>
      <c r="J1230">
        <f>IF(COUNTIFS('United Data'!$A$3:$A$3390,J$1,'United Data'!$C$3:$C$3390,$A1230)&gt;0,1,0)</f>
        <v>0</v>
      </c>
      <c r="K1230">
        <f>IF(COUNTIFS('United Data'!$A$3:$A$3390,K$1,'United Data'!$C$3:$C$3390,$A1230)&gt;0,1,0)</f>
        <v>0</v>
      </c>
      <c r="L1230">
        <f>IF(COUNTIFS('United Data'!$A$3:$A$3390,L$1,'United Data'!$C$3:$C$3390,$A1230)&gt;0,1,0)</f>
        <v>0</v>
      </c>
      <c r="M1230">
        <f>IF(COUNTIFS('United Data'!$A$3:$A$3390,M$1,'United Data'!$C$3:$C$3390,$A1230)&gt;0,1,0)</f>
        <v>0</v>
      </c>
      <c r="N1230">
        <f>IF(COUNTIFS('United Data'!$A$3:$A$3390,N$1,'United Data'!$C$3:$C$3390,$A1230)&gt;0,1,0)</f>
        <v>0</v>
      </c>
      <c r="O1230">
        <f>IF(COUNTIFS('United Data'!$A$3:$A$3390,O$1,'United Data'!$C$3:$C$3390,$A1230)&gt;0,1,0)</f>
        <v>0</v>
      </c>
      <c r="P1230">
        <f>IF(COUNTIFS('United Data'!$A$3:$A$3390,P$1,'United Data'!$C$3:$C$3390,$A1230)&gt;0,1,0)</f>
        <v>0</v>
      </c>
      <c r="Q1230">
        <f>IF(COUNTIFS('United Data'!$A$3:$A$3390,Q$1,'United Data'!$C$3:$C$3390,$A1230)&gt;0,1,0)</f>
        <v>0</v>
      </c>
      <c r="R1230">
        <f>IF(COUNTIFS('United Data'!$A$3:$A$3390,R$1,'United Data'!$C$3:$C$3390,$A1230)&gt;0,1,0)</f>
        <v>0</v>
      </c>
      <c r="S1230">
        <f t="shared" si="38"/>
        <v>1</v>
      </c>
      <c r="T1230">
        <f t="shared" si="39"/>
        <v>1</v>
      </c>
    </row>
    <row r="1231" spans="1:20" x14ac:dyDescent="0.2">
      <c r="A1231" t="s">
        <v>2054</v>
      </c>
      <c r="B1231">
        <f>IF(COUNTIFS('United Data'!$A$3:$A$3390,B$1,'United Data'!$C$3:$C$3390,$A1231)&gt;0,1,0)</f>
        <v>0</v>
      </c>
      <c r="C1231">
        <f>IF(COUNTIFS('United Data'!$A$3:$A$3390,C$1,'United Data'!$C$3:$C$3390,$A1231)&gt;0,1,0)</f>
        <v>0</v>
      </c>
      <c r="D1231">
        <f>IF(COUNTIFS('United Data'!$A$3:$A$3390,D$1,'United Data'!$C$3:$C$3390,$A1231)&gt;0,1,0)</f>
        <v>0</v>
      </c>
      <c r="E1231">
        <f>IF(COUNTIFS('United Data'!$A$3:$A$3390,E$1,'United Data'!$C$3:$C$3390,$A1231)&gt;0,1,0)</f>
        <v>0</v>
      </c>
      <c r="F1231">
        <f>IF(COUNTIFS('United Data'!$A$3:$A$3390,F$1,'United Data'!$C$3:$C$3390,$A1231)&gt;0,1,0)</f>
        <v>0</v>
      </c>
      <c r="G1231">
        <f>IF(COUNTIFS('United Data'!$A$3:$A$3390,G$1,'United Data'!$C$3:$C$3390,$A1231)&gt;0,1,0)</f>
        <v>0</v>
      </c>
      <c r="H1231">
        <f>IF(COUNTIFS('United Data'!$A$3:$A$3390,H$1,'United Data'!$C$3:$C$3390,$A1231)&gt;0,1,0)</f>
        <v>0</v>
      </c>
      <c r="I1231">
        <f>IF(COUNTIFS('United Data'!$A$3:$A$3390,I$1,'United Data'!$C$3:$C$3390,$A1231)&gt;0,1,0)</f>
        <v>1</v>
      </c>
      <c r="J1231">
        <f>IF(COUNTIFS('United Data'!$A$3:$A$3390,J$1,'United Data'!$C$3:$C$3390,$A1231)&gt;0,1,0)</f>
        <v>0</v>
      </c>
      <c r="K1231">
        <f>IF(COUNTIFS('United Data'!$A$3:$A$3390,K$1,'United Data'!$C$3:$C$3390,$A1231)&gt;0,1,0)</f>
        <v>0</v>
      </c>
      <c r="L1231">
        <f>IF(COUNTIFS('United Data'!$A$3:$A$3390,L$1,'United Data'!$C$3:$C$3390,$A1231)&gt;0,1,0)</f>
        <v>0</v>
      </c>
      <c r="M1231">
        <f>IF(COUNTIFS('United Data'!$A$3:$A$3390,M$1,'United Data'!$C$3:$C$3390,$A1231)&gt;0,1,0)</f>
        <v>0</v>
      </c>
      <c r="N1231">
        <f>IF(COUNTIFS('United Data'!$A$3:$A$3390,N$1,'United Data'!$C$3:$C$3390,$A1231)&gt;0,1,0)</f>
        <v>0</v>
      </c>
      <c r="O1231">
        <f>IF(COUNTIFS('United Data'!$A$3:$A$3390,O$1,'United Data'!$C$3:$C$3390,$A1231)&gt;0,1,0)</f>
        <v>0</v>
      </c>
      <c r="P1231">
        <f>IF(COUNTIFS('United Data'!$A$3:$A$3390,P$1,'United Data'!$C$3:$C$3390,$A1231)&gt;0,1,0)</f>
        <v>0</v>
      </c>
      <c r="Q1231">
        <f>IF(COUNTIFS('United Data'!$A$3:$A$3390,Q$1,'United Data'!$C$3:$C$3390,$A1231)&gt;0,1,0)</f>
        <v>0</v>
      </c>
      <c r="R1231">
        <f>IF(COUNTIFS('United Data'!$A$3:$A$3390,R$1,'United Data'!$C$3:$C$3390,$A1231)&gt;0,1,0)</f>
        <v>0</v>
      </c>
      <c r="S1231">
        <f t="shared" si="38"/>
        <v>1</v>
      </c>
      <c r="T1231">
        <f t="shared" si="39"/>
        <v>1</v>
      </c>
    </row>
    <row r="1232" spans="1:20" x14ac:dyDescent="0.2">
      <c r="A1232" t="s">
        <v>1463</v>
      </c>
      <c r="B1232">
        <f>IF(COUNTIFS('United Data'!$A$3:$A$3390,B$1,'United Data'!$C$3:$C$3390,$A1232)&gt;0,1,0)</f>
        <v>0</v>
      </c>
      <c r="C1232">
        <f>IF(COUNTIFS('United Data'!$A$3:$A$3390,C$1,'United Data'!$C$3:$C$3390,$A1232)&gt;0,1,0)</f>
        <v>0</v>
      </c>
      <c r="D1232">
        <f>IF(COUNTIFS('United Data'!$A$3:$A$3390,D$1,'United Data'!$C$3:$C$3390,$A1232)&gt;0,1,0)</f>
        <v>0</v>
      </c>
      <c r="E1232">
        <f>IF(COUNTIFS('United Data'!$A$3:$A$3390,E$1,'United Data'!$C$3:$C$3390,$A1232)&gt;0,1,0)</f>
        <v>0</v>
      </c>
      <c r="F1232">
        <f>IF(COUNTIFS('United Data'!$A$3:$A$3390,F$1,'United Data'!$C$3:$C$3390,$A1232)&gt;0,1,0)</f>
        <v>0</v>
      </c>
      <c r="G1232">
        <f>IF(COUNTIFS('United Data'!$A$3:$A$3390,G$1,'United Data'!$C$3:$C$3390,$A1232)&gt;0,1,0)</f>
        <v>0</v>
      </c>
      <c r="H1232">
        <f>IF(COUNTIFS('United Data'!$A$3:$A$3390,H$1,'United Data'!$C$3:$C$3390,$A1232)&gt;0,1,0)</f>
        <v>0</v>
      </c>
      <c r="I1232">
        <f>IF(COUNTIFS('United Data'!$A$3:$A$3390,I$1,'United Data'!$C$3:$C$3390,$A1232)&gt;0,1,0)</f>
        <v>0</v>
      </c>
      <c r="J1232">
        <f>IF(COUNTIFS('United Data'!$A$3:$A$3390,J$1,'United Data'!$C$3:$C$3390,$A1232)&gt;0,1,0)</f>
        <v>1</v>
      </c>
      <c r="K1232">
        <f>IF(COUNTIFS('United Data'!$A$3:$A$3390,K$1,'United Data'!$C$3:$C$3390,$A1232)&gt;0,1,0)</f>
        <v>0</v>
      </c>
      <c r="L1232">
        <f>IF(COUNTIFS('United Data'!$A$3:$A$3390,L$1,'United Data'!$C$3:$C$3390,$A1232)&gt;0,1,0)</f>
        <v>0</v>
      </c>
      <c r="M1232">
        <f>IF(COUNTIFS('United Data'!$A$3:$A$3390,M$1,'United Data'!$C$3:$C$3390,$A1232)&gt;0,1,0)</f>
        <v>0</v>
      </c>
      <c r="N1232">
        <f>IF(COUNTIFS('United Data'!$A$3:$A$3390,N$1,'United Data'!$C$3:$C$3390,$A1232)&gt;0,1,0)</f>
        <v>0</v>
      </c>
      <c r="O1232">
        <f>IF(COUNTIFS('United Data'!$A$3:$A$3390,O$1,'United Data'!$C$3:$C$3390,$A1232)&gt;0,1,0)</f>
        <v>0</v>
      </c>
      <c r="P1232">
        <f>IF(COUNTIFS('United Data'!$A$3:$A$3390,P$1,'United Data'!$C$3:$C$3390,$A1232)&gt;0,1,0)</f>
        <v>0</v>
      </c>
      <c r="Q1232">
        <f>IF(COUNTIFS('United Data'!$A$3:$A$3390,Q$1,'United Data'!$C$3:$C$3390,$A1232)&gt;0,1,0)</f>
        <v>0</v>
      </c>
      <c r="R1232">
        <f>IF(COUNTIFS('United Data'!$A$3:$A$3390,R$1,'United Data'!$C$3:$C$3390,$A1232)&gt;0,1,0)</f>
        <v>0</v>
      </c>
      <c r="S1232">
        <f t="shared" si="38"/>
        <v>1</v>
      </c>
      <c r="T1232">
        <f t="shared" si="39"/>
        <v>1</v>
      </c>
    </row>
    <row r="1233" spans="1:20" x14ac:dyDescent="0.2">
      <c r="A1233" t="s">
        <v>1465</v>
      </c>
      <c r="B1233">
        <f>IF(COUNTIFS('United Data'!$A$3:$A$3390,B$1,'United Data'!$C$3:$C$3390,$A1233)&gt;0,1,0)</f>
        <v>0</v>
      </c>
      <c r="C1233">
        <f>IF(COUNTIFS('United Data'!$A$3:$A$3390,C$1,'United Data'!$C$3:$C$3390,$A1233)&gt;0,1,0)</f>
        <v>0</v>
      </c>
      <c r="D1233">
        <f>IF(COUNTIFS('United Data'!$A$3:$A$3390,D$1,'United Data'!$C$3:$C$3390,$A1233)&gt;0,1,0)</f>
        <v>0</v>
      </c>
      <c r="E1233">
        <f>IF(COUNTIFS('United Data'!$A$3:$A$3390,E$1,'United Data'!$C$3:$C$3390,$A1233)&gt;0,1,0)</f>
        <v>0</v>
      </c>
      <c r="F1233">
        <f>IF(COUNTIFS('United Data'!$A$3:$A$3390,F$1,'United Data'!$C$3:$C$3390,$A1233)&gt;0,1,0)</f>
        <v>0</v>
      </c>
      <c r="G1233">
        <f>IF(COUNTIFS('United Data'!$A$3:$A$3390,G$1,'United Data'!$C$3:$C$3390,$A1233)&gt;0,1,0)</f>
        <v>0</v>
      </c>
      <c r="H1233">
        <f>IF(COUNTIFS('United Data'!$A$3:$A$3390,H$1,'United Data'!$C$3:$C$3390,$A1233)&gt;0,1,0)</f>
        <v>0</v>
      </c>
      <c r="I1233">
        <f>IF(COUNTIFS('United Data'!$A$3:$A$3390,I$1,'United Data'!$C$3:$C$3390,$A1233)&gt;0,1,0)</f>
        <v>0</v>
      </c>
      <c r="J1233">
        <f>IF(COUNTIFS('United Data'!$A$3:$A$3390,J$1,'United Data'!$C$3:$C$3390,$A1233)&gt;0,1,0)</f>
        <v>0</v>
      </c>
      <c r="K1233">
        <f>IF(COUNTIFS('United Data'!$A$3:$A$3390,K$1,'United Data'!$C$3:$C$3390,$A1233)&gt;0,1,0)</f>
        <v>0</v>
      </c>
      <c r="L1233">
        <f>IF(COUNTIFS('United Data'!$A$3:$A$3390,L$1,'United Data'!$C$3:$C$3390,$A1233)&gt;0,1,0)</f>
        <v>0</v>
      </c>
      <c r="M1233">
        <f>IF(COUNTIFS('United Data'!$A$3:$A$3390,M$1,'United Data'!$C$3:$C$3390,$A1233)&gt;0,1,0)</f>
        <v>1</v>
      </c>
      <c r="N1233">
        <f>IF(COUNTIFS('United Data'!$A$3:$A$3390,N$1,'United Data'!$C$3:$C$3390,$A1233)&gt;0,1,0)</f>
        <v>0</v>
      </c>
      <c r="O1233">
        <f>IF(COUNTIFS('United Data'!$A$3:$A$3390,O$1,'United Data'!$C$3:$C$3390,$A1233)&gt;0,1,0)</f>
        <v>0</v>
      </c>
      <c r="P1233">
        <f>IF(COUNTIFS('United Data'!$A$3:$A$3390,P$1,'United Data'!$C$3:$C$3390,$A1233)&gt;0,1,0)</f>
        <v>0</v>
      </c>
      <c r="Q1233">
        <f>IF(COUNTIFS('United Data'!$A$3:$A$3390,Q$1,'United Data'!$C$3:$C$3390,$A1233)&gt;0,1,0)</f>
        <v>0</v>
      </c>
      <c r="R1233">
        <f>IF(COUNTIFS('United Data'!$A$3:$A$3390,R$1,'United Data'!$C$3:$C$3390,$A1233)&gt;0,1,0)</f>
        <v>0</v>
      </c>
      <c r="S1233">
        <f t="shared" si="38"/>
        <v>1</v>
      </c>
      <c r="T1233">
        <f t="shared" si="39"/>
        <v>1</v>
      </c>
    </row>
    <row r="1234" spans="1:20" x14ac:dyDescent="0.2">
      <c r="A1234" t="s">
        <v>1466</v>
      </c>
      <c r="B1234">
        <f>IF(COUNTIFS('United Data'!$A$3:$A$3390,B$1,'United Data'!$C$3:$C$3390,$A1234)&gt;0,1,0)</f>
        <v>0</v>
      </c>
      <c r="C1234">
        <f>IF(COUNTIFS('United Data'!$A$3:$A$3390,C$1,'United Data'!$C$3:$C$3390,$A1234)&gt;0,1,0)</f>
        <v>0</v>
      </c>
      <c r="D1234">
        <f>IF(COUNTIFS('United Data'!$A$3:$A$3390,D$1,'United Data'!$C$3:$C$3390,$A1234)&gt;0,1,0)</f>
        <v>0</v>
      </c>
      <c r="E1234">
        <f>IF(COUNTIFS('United Data'!$A$3:$A$3390,E$1,'United Data'!$C$3:$C$3390,$A1234)&gt;0,1,0)</f>
        <v>0</v>
      </c>
      <c r="F1234">
        <f>IF(COUNTIFS('United Data'!$A$3:$A$3390,F$1,'United Data'!$C$3:$C$3390,$A1234)&gt;0,1,0)</f>
        <v>0</v>
      </c>
      <c r="G1234">
        <f>IF(COUNTIFS('United Data'!$A$3:$A$3390,G$1,'United Data'!$C$3:$C$3390,$A1234)&gt;0,1,0)</f>
        <v>0</v>
      </c>
      <c r="H1234">
        <f>IF(COUNTIFS('United Data'!$A$3:$A$3390,H$1,'United Data'!$C$3:$C$3390,$A1234)&gt;0,1,0)</f>
        <v>0</v>
      </c>
      <c r="I1234">
        <f>IF(COUNTIFS('United Data'!$A$3:$A$3390,I$1,'United Data'!$C$3:$C$3390,$A1234)&gt;0,1,0)</f>
        <v>0</v>
      </c>
      <c r="J1234">
        <f>IF(COUNTIFS('United Data'!$A$3:$A$3390,J$1,'United Data'!$C$3:$C$3390,$A1234)&gt;0,1,0)</f>
        <v>0</v>
      </c>
      <c r="K1234">
        <f>IF(COUNTIFS('United Data'!$A$3:$A$3390,K$1,'United Data'!$C$3:$C$3390,$A1234)&gt;0,1,0)</f>
        <v>0</v>
      </c>
      <c r="L1234">
        <f>IF(COUNTIFS('United Data'!$A$3:$A$3390,L$1,'United Data'!$C$3:$C$3390,$A1234)&gt;0,1,0)</f>
        <v>0</v>
      </c>
      <c r="M1234">
        <f>IF(COUNTIFS('United Data'!$A$3:$A$3390,M$1,'United Data'!$C$3:$C$3390,$A1234)&gt;0,1,0)</f>
        <v>0</v>
      </c>
      <c r="N1234">
        <f>IF(COUNTIFS('United Data'!$A$3:$A$3390,N$1,'United Data'!$C$3:$C$3390,$A1234)&gt;0,1,0)</f>
        <v>1</v>
      </c>
      <c r="O1234">
        <f>IF(COUNTIFS('United Data'!$A$3:$A$3390,O$1,'United Data'!$C$3:$C$3390,$A1234)&gt;0,1,0)</f>
        <v>0</v>
      </c>
      <c r="P1234">
        <f>IF(COUNTIFS('United Data'!$A$3:$A$3390,P$1,'United Data'!$C$3:$C$3390,$A1234)&gt;0,1,0)</f>
        <v>0</v>
      </c>
      <c r="Q1234">
        <f>IF(COUNTIFS('United Data'!$A$3:$A$3390,Q$1,'United Data'!$C$3:$C$3390,$A1234)&gt;0,1,0)</f>
        <v>0</v>
      </c>
      <c r="R1234">
        <f>IF(COUNTIFS('United Data'!$A$3:$A$3390,R$1,'United Data'!$C$3:$C$3390,$A1234)&gt;0,1,0)</f>
        <v>0</v>
      </c>
      <c r="S1234">
        <f t="shared" si="38"/>
        <v>1</v>
      </c>
      <c r="T1234">
        <f t="shared" si="39"/>
        <v>1</v>
      </c>
    </row>
    <row r="1235" spans="1:20" x14ac:dyDescent="0.2">
      <c r="A1235" t="s">
        <v>1467</v>
      </c>
      <c r="B1235">
        <f>IF(COUNTIFS('United Data'!$A$3:$A$3390,B$1,'United Data'!$C$3:$C$3390,$A1235)&gt;0,1,0)</f>
        <v>0</v>
      </c>
      <c r="C1235">
        <f>IF(COUNTIFS('United Data'!$A$3:$A$3390,C$1,'United Data'!$C$3:$C$3390,$A1235)&gt;0,1,0)</f>
        <v>0</v>
      </c>
      <c r="D1235">
        <f>IF(COUNTIFS('United Data'!$A$3:$A$3390,D$1,'United Data'!$C$3:$C$3390,$A1235)&gt;0,1,0)</f>
        <v>0</v>
      </c>
      <c r="E1235">
        <f>IF(COUNTIFS('United Data'!$A$3:$A$3390,E$1,'United Data'!$C$3:$C$3390,$A1235)&gt;0,1,0)</f>
        <v>0</v>
      </c>
      <c r="F1235">
        <f>IF(COUNTIFS('United Data'!$A$3:$A$3390,F$1,'United Data'!$C$3:$C$3390,$A1235)&gt;0,1,0)</f>
        <v>0</v>
      </c>
      <c r="G1235">
        <f>IF(COUNTIFS('United Data'!$A$3:$A$3390,G$1,'United Data'!$C$3:$C$3390,$A1235)&gt;0,1,0)</f>
        <v>0</v>
      </c>
      <c r="H1235">
        <f>IF(COUNTIFS('United Data'!$A$3:$A$3390,H$1,'United Data'!$C$3:$C$3390,$A1235)&gt;0,1,0)</f>
        <v>0</v>
      </c>
      <c r="I1235">
        <f>IF(COUNTIFS('United Data'!$A$3:$A$3390,I$1,'United Data'!$C$3:$C$3390,$A1235)&gt;0,1,0)</f>
        <v>0</v>
      </c>
      <c r="J1235">
        <f>IF(COUNTIFS('United Data'!$A$3:$A$3390,J$1,'United Data'!$C$3:$C$3390,$A1235)&gt;0,1,0)</f>
        <v>0</v>
      </c>
      <c r="K1235">
        <f>IF(COUNTIFS('United Data'!$A$3:$A$3390,K$1,'United Data'!$C$3:$C$3390,$A1235)&gt;0,1,0)</f>
        <v>0</v>
      </c>
      <c r="L1235">
        <f>IF(COUNTIFS('United Data'!$A$3:$A$3390,L$1,'United Data'!$C$3:$C$3390,$A1235)&gt;0,1,0)</f>
        <v>0</v>
      </c>
      <c r="M1235">
        <f>IF(COUNTIFS('United Data'!$A$3:$A$3390,M$1,'United Data'!$C$3:$C$3390,$A1235)&gt;0,1,0)</f>
        <v>0</v>
      </c>
      <c r="N1235">
        <f>IF(COUNTIFS('United Data'!$A$3:$A$3390,N$1,'United Data'!$C$3:$C$3390,$A1235)&gt;0,1,0)</f>
        <v>0</v>
      </c>
      <c r="O1235">
        <f>IF(COUNTIFS('United Data'!$A$3:$A$3390,O$1,'United Data'!$C$3:$C$3390,$A1235)&gt;0,1,0)</f>
        <v>1</v>
      </c>
      <c r="P1235">
        <f>IF(COUNTIFS('United Data'!$A$3:$A$3390,P$1,'United Data'!$C$3:$C$3390,$A1235)&gt;0,1,0)</f>
        <v>0</v>
      </c>
      <c r="Q1235">
        <f>IF(COUNTIFS('United Data'!$A$3:$A$3390,Q$1,'United Data'!$C$3:$C$3390,$A1235)&gt;0,1,0)</f>
        <v>0</v>
      </c>
      <c r="R1235">
        <f>IF(COUNTIFS('United Data'!$A$3:$A$3390,R$1,'United Data'!$C$3:$C$3390,$A1235)&gt;0,1,0)</f>
        <v>0</v>
      </c>
      <c r="S1235">
        <f t="shared" si="38"/>
        <v>1</v>
      </c>
      <c r="T1235">
        <f t="shared" si="39"/>
        <v>1</v>
      </c>
    </row>
    <row r="1236" spans="1:20" x14ac:dyDescent="0.2">
      <c r="A1236" t="s">
        <v>1468</v>
      </c>
      <c r="B1236">
        <f>IF(COUNTIFS('United Data'!$A$3:$A$3390,B$1,'United Data'!$C$3:$C$3390,$A1236)&gt;0,1,0)</f>
        <v>0</v>
      </c>
      <c r="C1236">
        <f>IF(COUNTIFS('United Data'!$A$3:$A$3390,C$1,'United Data'!$C$3:$C$3390,$A1236)&gt;0,1,0)</f>
        <v>0</v>
      </c>
      <c r="D1236">
        <f>IF(COUNTIFS('United Data'!$A$3:$A$3390,D$1,'United Data'!$C$3:$C$3390,$A1236)&gt;0,1,0)</f>
        <v>0</v>
      </c>
      <c r="E1236">
        <f>IF(COUNTIFS('United Data'!$A$3:$A$3390,E$1,'United Data'!$C$3:$C$3390,$A1236)&gt;0,1,0)</f>
        <v>0</v>
      </c>
      <c r="F1236">
        <f>IF(COUNTIFS('United Data'!$A$3:$A$3390,F$1,'United Data'!$C$3:$C$3390,$A1236)&gt;0,1,0)</f>
        <v>0</v>
      </c>
      <c r="G1236">
        <f>IF(COUNTIFS('United Data'!$A$3:$A$3390,G$1,'United Data'!$C$3:$C$3390,$A1236)&gt;0,1,0)</f>
        <v>0</v>
      </c>
      <c r="H1236">
        <f>IF(COUNTIFS('United Data'!$A$3:$A$3390,H$1,'United Data'!$C$3:$C$3390,$A1236)&gt;0,1,0)</f>
        <v>0</v>
      </c>
      <c r="I1236">
        <f>IF(COUNTIFS('United Data'!$A$3:$A$3390,I$1,'United Data'!$C$3:$C$3390,$A1236)&gt;0,1,0)</f>
        <v>0</v>
      </c>
      <c r="J1236">
        <f>IF(COUNTIFS('United Data'!$A$3:$A$3390,J$1,'United Data'!$C$3:$C$3390,$A1236)&gt;0,1,0)</f>
        <v>0</v>
      </c>
      <c r="K1236">
        <f>IF(COUNTIFS('United Data'!$A$3:$A$3390,K$1,'United Data'!$C$3:$C$3390,$A1236)&gt;0,1,0)</f>
        <v>0</v>
      </c>
      <c r="L1236">
        <f>IF(COUNTIFS('United Data'!$A$3:$A$3390,L$1,'United Data'!$C$3:$C$3390,$A1236)&gt;0,1,0)</f>
        <v>0</v>
      </c>
      <c r="M1236">
        <f>IF(COUNTIFS('United Data'!$A$3:$A$3390,M$1,'United Data'!$C$3:$C$3390,$A1236)&gt;0,1,0)</f>
        <v>0</v>
      </c>
      <c r="N1236">
        <f>IF(COUNTIFS('United Data'!$A$3:$A$3390,N$1,'United Data'!$C$3:$C$3390,$A1236)&gt;0,1,0)</f>
        <v>0</v>
      </c>
      <c r="O1236">
        <f>IF(COUNTIFS('United Data'!$A$3:$A$3390,O$1,'United Data'!$C$3:$C$3390,$A1236)&gt;0,1,0)</f>
        <v>1</v>
      </c>
      <c r="P1236">
        <f>IF(COUNTIFS('United Data'!$A$3:$A$3390,P$1,'United Data'!$C$3:$C$3390,$A1236)&gt;0,1,0)</f>
        <v>0</v>
      </c>
      <c r="Q1236">
        <f>IF(COUNTIFS('United Data'!$A$3:$A$3390,Q$1,'United Data'!$C$3:$C$3390,$A1236)&gt;0,1,0)</f>
        <v>0</v>
      </c>
      <c r="R1236">
        <f>IF(COUNTIFS('United Data'!$A$3:$A$3390,R$1,'United Data'!$C$3:$C$3390,$A1236)&gt;0,1,0)</f>
        <v>0</v>
      </c>
      <c r="S1236">
        <f t="shared" si="38"/>
        <v>1</v>
      </c>
      <c r="T1236">
        <f t="shared" si="39"/>
        <v>1</v>
      </c>
    </row>
    <row r="1237" spans="1:20" x14ac:dyDescent="0.2">
      <c r="A1237" t="s">
        <v>1469</v>
      </c>
      <c r="B1237">
        <f>IF(COUNTIFS('United Data'!$A$3:$A$3390,B$1,'United Data'!$C$3:$C$3390,$A1237)&gt;0,1,0)</f>
        <v>0</v>
      </c>
      <c r="C1237">
        <f>IF(COUNTIFS('United Data'!$A$3:$A$3390,C$1,'United Data'!$C$3:$C$3390,$A1237)&gt;0,1,0)</f>
        <v>0</v>
      </c>
      <c r="D1237">
        <f>IF(COUNTIFS('United Data'!$A$3:$A$3390,D$1,'United Data'!$C$3:$C$3390,$A1237)&gt;0,1,0)</f>
        <v>0</v>
      </c>
      <c r="E1237">
        <f>IF(COUNTIFS('United Data'!$A$3:$A$3390,E$1,'United Data'!$C$3:$C$3390,$A1237)&gt;0,1,0)</f>
        <v>0</v>
      </c>
      <c r="F1237">
        <f>IF(COUNTIFS('United Data'!$A$3:$A$3390,F$1,'United Data'!$C$3:$C$3390,$A1237)&gt;0,1,0)</f>
        <v>0</v>
      </c>
      <c r="G1237">
        <f>IF(COUNTIFS('United Data'!$A$3:$A$3390,G$1,'United Data'!$C$3:$C$3390,$A1237)&gt;0,1,0)</f>
        <v>0</v>
      </c>
      <c r="H1237">
        <f>IF(COUNTIFS('United Data'!$A$3:$A$3390,H$1,'United Data'!$C$3:$C$3390,$A1237)&gt;0,1,0)</f>
        <v>0</v>
      </c>
      <c r="I1237">
        <f>IF(COUNTIFS('United Data'!$A$3:$A$3390,I$1,'United Data'!$C$3:$C$3390,$A1237)&gt;0,1,0)</f>
        <v>0</v>
      </c>
      <c r="J1237">
        <f>IF(COUNTIFS('United Data'!$A$3:$A$3390,J$1,'United Data'!$C$3:$C$3390,$A1237)&gt;0,1,0)</f>
        <v>0</v>
      </c>
      <c r="K1237">
        <f>IF(COUNTIFS('United Data'!$A$3:$A$3390,K$1,'United Data'!$C$3:$C$3390,$A1237)&gt;0,1,0)</f>
        <v>0</v>
      </c>
      <c r="L1237">
        <f>IF(COUNTIFS('United Data'!$A$3:$A$3390,L$1,'United Data'!$C$3:$C$3390,$A1237)&gt;0,1,0)</f>
        <v>0</v>
      </c>
      <c r="M1237">
        <f>IF(COUNTIFS('United Data'!$A$3:$A$3390,M$1,'United Data'!$C$3:$C$3390,$A1237)&gt;0,1,0)</f>
        <v>0</v>
      </c>
      <c r="N1237">
        <f>IF(COUNTIFS('United Data'!$A$3:$A$3390,N$1,'United Data'!$C$3:$C$3390,$A1237)&gt;0,1,0)</f>
        <v>0</v>
      </c>
      <c r="O1237">
        <f>IF(COUNTIFS('United Data'!$A$3:$A$3390,O$1,'United Data'!$C$3:$C$3390,$A1237)&gt;0,1,0)</f>
        <v>0</v>
      </c>
      <c r="P1237">
        <f>IF(COUNTIFS('United Data'!$A$3:$A$3390,P$1,'United Data'!$C$3:$C$3390,$A1237)&gt;0,1,0)</f>
        <v>0</v>
      </c>
      <c r="Q1237">
        <f>IF(COUNTIFS('United Data'!$A$3:$A$3390,Q$1,'United Data'!$C$3:$C$3390,$A1237)&gt;0,1,0)</f>
        <v>1</v>
      </c>
      <c r="R1237">
        <f>IF(COUNTIFS('United Data'!$A$3:$A$3390,R$1,'United Data'!$C$3:$C$3390,$A1237)&gt;0,1,0)</f>
        <v>0</v>
      </c>
      <c r="S1237">
        <f t="shared" si="38"/>
        <v>1</v>
      </c>
      <c r="T1237">
        <f t="shared" si="39"/>
        <v>1</v>
      </c>
    </row>
    <row r="1238" spans="1:20" x14ac:dyDescent="0.2">
      <c r="A1238" t="s">
        <v>1471</v>
      </c>
      <c r="B1238">
        <f>IF(COUNTIFS('United Data'!$A$3:$A$3390,B$1,'United Data'!$C$3:$C$3390,$A1238)&gt;0,1,0)</f>
        <v>0</v>
      </c>
      <c r="C1238">
        <f>IF(COUNTIFS('United Data'!$A$3:$A$3390,C$1,'United Data'!$C$3:$C$3390,$A1238)&gt;0,1,0)</f>
        <v>0</v>
      </c>
      <c r="D1238">
        <f>IF(COUNTIFS('United Data'!$A$3:$A$3390,D$1,'United Data'!$C$3:$C$3390,$A1238)&gt;0,1,0)</f>
        <v>0</v>
      </c>
      <c r="E1238">
        <f>IF(COUNTIFS('United Data'!$A$3:$A$3390,E$1,'United Data'!$C$3:$C$3390,$A1238)&gt;0,1,0)</f>
        <v>0</v>
      </c>
      <c r="F1238">
        <f>IF(COUNTIFS('United Data'!$A$3:$A$3390,F$1,'United Data'!$C$3:$C$3390,$A1238)&gt;0,1,0)</f>
        <v>0</v>
      </c>
      <c r="G1238">
        <f>IF(COUNTIFS('United Data'!$A$3:$A$3390,G$1,'United Data'!$C$3:$C$3390,$A1238)&gt;0,1,0)</f>
        <v>0</v>
      </c>
      <c r="H1238">
        <f>IF(COUNTIFS('United Data'!$A$3:$A$3390,H$1,'United Data'!$C$3:$C$3390,$A1238)&gt;0,1,0)</f>
        <v>0</v>
      </c>
      <c r="I1238">
        <f>IF(COUNTIFS('United Data'!$A$3:$A$3390,I$1,'United Data'!$C$3:$C$3390,$A1238)&gt;0,1,0)</f>
        <v>0</v>
      </c>
      <c r="J1238">
        <f>IF(COUNTIFS('United Data'!$A$3:$A$3390,J$1,'United Data'!$C$3:$C$3390,$A1238)&gt;0,1,0)</f>
        <v>0</v>
      </c>
      <c r="K1238">
        <f>IF(COUNTIFS('United Data'!$A$3:$A$3390,K$1,'United Data'!$C$3:$C$3390,$A1238)&gt;0,1,0)</f>
        <v>0</v>
      </c>
      <c r="L1238">
        <f>IF(COUNTIFS('United Data'!$A$3:$A$3390,L$1,'United Data'!$C$3:$C$3390,$A1238)&gt;0,1,0)</f>
        <v>0</v>
      </c>
      <c r="M1238">
        <f>IF(COUNTIFS('United Data'!$A$3:$A$3390,M$1,'United Data'!$C$3:$C$3390,$A1238)&gt;0,1,0)</f>
        <v>0</v>
      </c>
      <c r="N1238">
        <f>IF(COUNTIFS('United Data'!$A$3:$A$3390,N$1,'United Data'!$C$3:$C$3390,$A1238)&gt;0,1,0)</f>
        <v>0</v>
      </c>
      <c r="O1238">
        <f>IF(COUNTIFS('United Data'!$A$3:$A$3390,O$1,'United Data'!$C$3:$C$3390,$A1238)&gt;0,1,0)</f>
        <v>0</v>
      </c>
      <c r="P1238">
        <f>IF(COUNTIFS('United Data'!$A$3:$A$3390,P$1,'United Data'!$C$3:$C$3390,$A1238)&gt;0,1,0)</f>
        <v>0</v>
      </c>
      <c r="Q1238">
        <f>IF(COUNTIFS('United Data'!$A$3:$A$3390,Q$1,'United Data'!$C$3:$C$3390,$A1238)&gt;0,1,0)</f>
        <v>0</v>
      </c>
      <c r="R1238">
        <f>IF(COUNTIFS('United Data'!$A$3:$A$3390,R$1,'United Data'!$C$3:$C$3390,$A1238)&gt;0,1,0)</f>
        <v>1</v>
      </c>
      <c r="S1238">
        <f t="shared" si="38"/>
        <v>1</v>
      </c>
      <c r="T1238">
        <f t="shared" si="39"/>
        <v>1</v>
      </c>
    </row>
    <row r="1239" spans="1:20" x14ac:dyDescent="0.2">
      <c r="A1239" t="s">
        <v>1472</v>
      </c>
      <c r="B1239">
        <f>IF(COUNTIFS('United Data'!$A$3:$A$3390,B$1,'United Data'!$C$3:$C$3390,$A1239)&gt;0,1,0)</f>
        <v>1</v>
      </c>
      <c r="C1239">
        <f>IF(COUNTIFS('United Data'!$A$3:$A$3390,C$1,'United Data'!$C$3:$C$3390,$A1239)&gt;0,1,0)</f>
        <v>1</v>
      </c>
      <c r="D1239">
        <f>IF(COUNTIFS('United Data'!$A$3:$A$3390,D$1,'United Data'!$C$3:$C$3390,$A1239)&gt;0,1,0)</f>
        <v>1</v>
      </c>
      <c r="E1239">
        <f>IF(COUNTIFS('United Data'!$A$3:$A$3390,E$1,'United Data'!$C$3:$C$3390,$A1239)&gt;0,1,0)</f>
        <v>0</v>
      </c>
      <c r="F1239">
        <f>IF(COUNTIFS('United Data'!$A$3:$A$3390,F$1,'United Data'!$C$3:$C$3390,$A1239)&gt;0,1,0)</f>
        <v>0</v>
      </c>
      <c r="G1239">
        <f>IF(COUNTIFS('United Data'!$A$3:$A$3390,G$1,'United Data'!$C$3:$C$3390,$A1239)&gt;0,1,0)</f>
        <v>0</v>
      </c>
      <c r="H1239">
        <f>IF(COUNTIFS('United Data'!$A$3:$A$3390,H$1,'United Data'!$C$3:$C$3390,$A1239)&gt;0,1,0)</f>
        <v>0</v>
      </c>
      <c r="I1239">
        <f>IF(COUNTIFS('United Data'!$A$3:$A$3390,I$1,'United Data'!$C$3:$C$3390,$A1239)&gt;0,1,0)</f>
        <v>0</v>
      </c>
      <c r="J1239">
        <f>IF(COUNTIFS('United Data'!$A$3:$A$3390,J$1,'United Data'!$C$3:$C$3390,$A1239)&gt;0,1,0)</f>
        <v>0</v>
      </c>
      <c r="K1239">
        <f>IF(COUNTIFS('United Data'!$A$3:$A$3390,K$1,'United Data'!$C$3:$C$3390,$A1239)&gt;0,1,0)</f>
        <v>0</v>
      </c>
      <c r="L1239">
        <f>IF(COUNTIFS('United Data'!$A$3:$A$3390,L$1,'United Data'!$C$3:$C$3390,$A1239)&gt;0,1,0)</f>
        <v>0</v>
      </c>
      <c r="M1239">
        <f>IF(COUNTIFS('United Data'!$A$3:$A$3390,M$1,'United Data'!$C$3:$C$3390,$A1239)&gt;0,1,0)</f>
        <v>0</v>
      </c>
      <c r="N1239">
        <f>IF(COUNTIFS('United Data'!$A$3:$A$3390,N$1,'United Data'!$C$3:$C$3390,$A1239)&gt;0,1,0)</f>
        <v>0</v>
      </c>
      <c r="O1239">
        <f>IF(COUNTIFS('United Data'!$A$3:$A$3390,O$1,'United Data'!$C$3:$C$3390,$A1239)&gt;0,1,0)</f>
        <v>0</v>
      </c>
      <c r="P1239">
        <f>IF(COUNTIFS('United Data'!$A$3:$A$3390,P$1,'United Data'!$C$3:$C$3390,$A1239)&gt;0,1,0)</f>
        <v>0</v>
      </c>
      <c r="Q1239">
        <f>IF(COUNTIFS('United Data'!$A$3:$A$3390,Q$1,'United Data'!$C$3:$C$3390,$A1239)&gt;0,1,0)</f>
        <v>0</v>
      </c>
      <c r="R1239">
        <f>IF(COUNTIFS('United Data'!$A$3:$A$3390,R$1,'United Data'!$C$3:$C$3390,$A1239)&gt;0,1,0)</f>
        <v>0</v>
      </c>
      <c r="S1239">
        <f t="shared" si="38"/>
        <v>3</v>
      </c>
      <c r="T1239">
        <f t="shared" si="39"/>
        <v>1</v>
      </c>
    </row>
    <row r="1240" spans="1:20" x14ac:dyDescent="0.2">
      <c r="A1240" t="s">
        <v>1473</v>
      </c>
      <c r="B1240">
        <f>IF(COUNTIFS('United Data'!$A$3:$A$3390,B$1,'United Data'!$C$3:$C$3390,$A1240)&gt;0,1,0)</f>
        <v>1</v>
      </c>
      <c r="C1240">
        <f>IF(COUNTIFS('United Data'!$A$3:$A$3390,C$1,'United Data'!$C$3:$C$3390,$A1240)&gt;0,1,0)</f>
        <v>0</v>
      </c>
      <c r="D1240">
        <f>IF(COUNTIFS('United Data'!$A$3:$A$3390,D$1,'United Data'!$C$3:$C$3390,$A1240)&gt;0,1,0)</f>
        <v>0</v>
      </c>
      <c r="E1240">
        <f>IF(COUNTIFS('United Data'!$A$3:$A$3390,E$1,'United Data'!$C$3:$C$3390,$A1240)&gt;0,1,0)</f>
        <v>0</v>
      </c>
      <c r="F1240">
        <f>IF(COUNTIFS('United Data'!$A$3:$A$3390,F$1,'United Data'!$C$3:$C$3390,$A1240)&gt;0,1,0)</f>
        <v>0</v>
      </c>
      <c r="G1240">
        <f>IF(COUNTIFS('United Data'!$A$3:$A$3390,G$1,'United Data'!$C$3:$C$3390,$A1240)&gt;0,1,0)</f>
        <v>0</v>
      </c>
      <c r="H1240">
        <f>IF(COUNTIFS('United Data'!$A$3:$A$3390,H$1,'United Data'!$C$3:$C$3390,$A1240)&gt;0,1,0)</f>
        <v>0</v>
      </c>
      <c r="I1240">
        <f>IF(COUNTIFS('United Data'!$A$3:$A$3390,I$1,'United Data'!$C$3:$C$3390,$A1240)&gt;0,1,0)</f>
        <v>0</v>
      </c>
      <c r="J1240">
        <f>IF(COUNTIFS('United Data'!$A$3:$A$3390,J$1,'United Data'!$C$3:$C$3390,$A1240)&gt;0,1,0)</f>
        <v>0</v>
      </c>
      <c r="K1240">
        <f>IF(COUNTIFS('United Data'!$A$3:$A$3390,K$1,'United Data'!$C$3:$C$3390,$A1240)&gt;0,1,0)</f>
        <v>0</v>
      </c>
      <c r="L1240">
        <f>IF(COUNTIFS('United Data'!$A$3:$A$3390,L$1,'United Data'!$C$3:$C$3390,$A1240)&gt;0,1,0)</f>
        <v>0</v>
      </c>
      <c r="M1240">
        <f>IF(COUNTIFS('United Data'!$A$3:$A$3390,M$1,'United Data'!$C$3:$C$3390,$A1240)&gt;0,1,0)</f>
        <v>0</v>
      </c>
      <c r="N1240">
        <f>IF(COUNTIFS('United Data'!$A$3:$A$3390,N$1,'United Data'!$C$3:$C$3390,$A1240)&gt;0,1,0)</f>
        <v>0</v>
      </c>
      <c r="O1240">
        <f>IF(COUNTIFS('United Data'!$A$3:$A$3390,O$1,'United Data'!$C$3:$C$3390,$A1240)&gt;0,1,0)</f>
        <v>0</v>
      </c>
      <c r="P1240">
        <f>IF(COUNTIFS('United Data'!$A$3:$A$3390,P$1,'United Data'!$C$3:$C$3390,$A1240)&gt;0,1,0)</f>
        <v>0</v>
      </c>
      <c r="Q1240">
        <f>IF(COUNTIFS('United Data'!$A$3:$A$3390,Q$1,'United Data'!$C$3:$C$3390,$A1240)&gt;0,1,0)</f>
        <v>0</v>
      </c>
      <c r="R1240">
        <f>IF(COUNTIFS('United Data'!$A$3:$A$3390,R$1,'United Data'!$C$3:$C$3390,$A1240)&gt;0,1,0)</f>
        <v>0</v>
      </c>
      <c r="S1240">
        <f t="shared" si="38"/>
        <v>1</v>
      </c>
      <c r="T1240">
        <f t="shared" si="39"/>
        <v>1</v>
      </c>
    </row>
    <row r="1241" spans="1:20" x14ac:dyDescent="0.2">
      <c r="A1241" t="s">
        <v>1474</v>
      </c>
      <c r="B1241">
        <f>IF(COUNTIFS('United Data'!$A$3:$A$3390,B$1,'United Data'!$C$3:$C$3390,$A1241)&gt;0,1,0)</f>
        <v>1</v>
      </c>
      <c r="C1241">
        <f>IF(COUNTIFS('United Data'!$A$3:$A$3390,C$1,'United Data'!$C$3:$C$3390,$A1241)&gt;0,1,0)</f>
        <v>1</v>
      </c>
      <c r="D1241">
        <f>IF(COUNTIFS('United Data'!$A$3:$A$3390,D$1,'United Data'!$C$3:$C$3390,$A1241)&gt;0,1,0)</f>
        <v>1</v>
      </c>
      <c r="E1241">
        <f>IF(COUNTIFS('United Data'!$A$3:$A$3390,E$1,'United Data'!$C$3:$C$3390,$A1241)&gt;0,1,0)</f>
        <v>1</v>
      </c>
      <c r="F1241">
        <f>IF(COUNTIFS('United Data'!$A$3:$A$3390,F$1,'United Data'!$C$3:$C$3390,$A1241)&gt;0,1,0)</f>
        <v>1</v>
      </c>
      <c r="G1241">
        <f>IF(COUNTIFS('United Data'!$A$3:$A$3390,G$1,'United Data'!$C$3:$C$3390,$A1241)&gt;0,1,0)</f>
        <v>0</v>
      </c>
      <c r="H1241">
        <f>IF(COUNTIFS('United Data'!$A$3:$A$3390,H$1,'United Data'!$C$3:$C$3390,$A1241)&gt;0,1,0)</f>
        <v>0</v>
      </c>
      <c r="I1241">
        <f>IF(COUNTIFS('United Data'!$A$3:$A$3390,I$1,'United Data'!$C$3:$C$3390,$A1241)&gt;0,1,0)</f>
        <v>0</v>
      </c>
      <c r="J1241">
        <f>IF(COUNTIFS('United Data'!$A$3:$A$3390,J$1,'United Data'!$C$3:$C$3390,$A1241)&gt;0,1,0)</f>
        <v>0</v>
      </c>
      <c r="K1241">
        <f>IF(COUNTIFS('United Data'!$A$3:$A$3390,K$1,'United Data'!$C$3:$C$3390,$A1241)&gt;0,1,0)</f>
        <v>0</v>
      </c>
      <c r="L1241">
        <f>IF(COUNTIFS('United Data'!$A$3:$A$3390,L$1,'United Data'!$C$3:$C$3390,$A1241)&gt;0,1,0)</f>
        <v>0</v>
      </c>
      <c r="M1241">
        <f>IF(COUNTIFS('United Data'!$A$3:$A$3390,M$1,'United Data'!$C$3:$C$3390,$A1241)&gt;0,1,0)</f>
        <v>0</v>
      </c>
      <c r="N1241">
        <f>IF(COUNTIFS('United Data'!$A$3:$A$3390,N$1,'United Data'!$C$3:$C$3390,$A1241)&gt;0,1,0)</f>
        <v>0</v>
      </c>
      <c r="O1241">
        <f>IF(COUNTIFS('United Data'!$A$3:$A$3390,O$1,'United Data'!$C$3:$C$3390,$A1241)&gt;0,1,0)</f>
        <v>0</v>
      </c>
      <c r="P1241">
        <f>IF(COUNTIFS('United Data'!$A$3:$A$3390,P$1,'United Data'!$C$3:$C$3390,$A1241)&gt;0,1,0)</f>
        <v>0</v>
      </c>
      <c r="Q1241">
        <f>IF(COUNTIFS('United Data'!$A$3:$A$3390,Q$1,'United Data'!$C$3:$C$3390,$A1241)&gt;0,1,0)</f>
        <v>0</v>
      </c>
      <c r="R1241">
        <f>IF(COUNTIFS('United Data'!$A$3:$A$3390,R$1,'United Data'!$C$3:$C$3390,$A1241)&gt;0,1,0)</f>
        <v>0</v>
      </c>
      <c r="S1241">
        <f t="shared" si="38"/>
        <v>5</v>
      </c>
      <c r="T1241">
        <f t="shared" si="39"/>
        <v>1</v>
      </c>
    </row>
    <row r="1242" spans="1:20" x14ac:dyDescent="0.2">
      <c r="A1242" t="s">
        <v>1475</v>
      </c>
      <c r="B1242">
        <f>IF(COUNTIFS('United Data'!$A$3:$A$3390,B$1,'United Data'!$C$3:$C$3390,$A1242)&gt;0,1,0)</f>
        <v>0</v>
      </c>
      <c r="C1242">
        <f>IF(COUNTIFS('United Data'!$A$3:$A$3390,C$1,'United Data'!$C$3:$C$3390,$A1242)&gt;0,1,0)</f>
        <v>0</v>
      </c>
      <c r="D1242">
        <f>IF(COUNTIFS('United Data'!$A$3:$A$3390,D$1,'United Data'!$C$3:$C$3390,$A1242)&gt;0,1,0)</f>
        <v>1</v>
      </c>
      <c r="E1242">
        <f>IF(COUNTIFS('United Data'!$A$3:$A$3390,E$1,'United Data'!$C$3:$C$3390,$A1242)&gt;0,1,0)</f>
        <v>0</v>
      </c>
      <c r="F1242">
        <f>IF(COUNTIFS('United Data'!$A$3:$A$3390,F$1,'United Data'!$C$3:$C$3390,$A1242)&gt;0,1,0)</f>
        <v>0</v>
      </c>
      <c r="G1242">
        <f>IF(COUNTIFS('United Data'!$A$3:$A$3390,G$1,'United Data'!$C$3:$C$3390,$A1242)&gt;0,1,0)</f>
        <v>0</v>
      </c>
      <c r="H1242">
        <f>IF(COUNTIFS('United Data'!$A$3:$A$3390,H$1,'United Data'!$C$3:$C$3390,$A1242)&gt;0,1,0)</f>
        <v>0</v>
      </c>
      <c r="I1242">
        <f>IF(COUNTIFS('United Data'!$A$3:$A$3390,I$1,'United Data'!$C$3:$C$3390,$A1242)&gt;0,1,0)</f>
        <v>0</v>
      </c>
      <c r="J1242">
        <f>IF(COUNTIFS('United Data'!$A$3:$A$3390,J$1,'United Data'!$C$3:$C$3390,$A1242)&gt;0,1,0)</f>
        <v>0</v>
      </c>
      <c r="K1242">
        <f>IF(COUNTIFS('United Data'!$A$3:$A$3390,K$1,'United Data'!$C$3:$C$3390,$A1242)&gt;0,1,0)</f>
        <v>0</v>
      </c>
      <c r="L1242">
        <f>IF(COUNTIFS('United Data'!$A$3:$A$3390,L$1,'United Data'!$C$3:$C$3390,$A1242)&gt;0,1,0)</f>
        <v>0</v>
      </c>
      <c r="M1242">
        <f>IF(COUNTIFS('United Data'!$A$3:$A$3390,M$1,'United Data'!$C$3:$C$3390,$A1242)&gt;0,1,0)</f>
        <v>0</v>
      </c>
      <c r="N1242">
        <f>IF(COUNTIFS('United Data'!$A$3:$A$3390,N$1,'United Data'!$C$3:$C$3390,$A1242)&gt;0,1,0)</f>
        <v>0</v>
      </c>
      <c r="O1242">
        <f>IF(COUNTIFS('United Data'!$A$3:$A$3390,O$1,'United Data'!$C$3:$C$3390,$A1242)&gt;0,1,0)</f>
        <v>0</v>
      </c>
      <c r="P1242">
        <f>IF(COUNTIFS('United Data'!$A$3:$A$3390,P$1,'United Data'!$C$3:$C$3390,$A1242)&gt;0,1,0)</f>
        <v>0</v>
      </c>
      <c r="Q1242">
        <f>IF(COUNTIFS('United Data'!$A$3:$A$3390,Q$1,'United Data'!$C$3:$C$3390,$A1242)&gt;0,1,0)</f>
        <v>0</v>
      </c>
      <c r="R1242">
        <f>IF(COUNTIFS('United Data'!$A$3:$A$3390,R$1,'United Data'!$C$3:$C$3390,$A1242)&gt;0,1,0)</f>
        <v>0</v>
      </c>
      <c r="S1242">
        <f t="shared" si="38"/>
        <v>1</v>
      </c>
      <c r="T1242">
        <f t="shared" si="39"/>
        <v>1</v>
      </c>
    </row>
    <row r="1243" spans="1:20" x14ac:dyDescent="0.2">
      <c r="A1243" t="s">
        <v>1478</v>
      </c>
      <c r="B1243">
        <f>IF(COUNTIFS('United Data'!$A$3:$A$3390,B$1,'United Data'!$C$3:$C$3390,$A1243)&gt;0,1,0)</f>
        <v>1</v>
      </c>
      <c r="C1243">
        <f>IF(COUNTIFS('United Data'!$A$3:$A$3390,C$1,'United Data'!$C$3:$C$3390,$A1243)&gt;0,1,0)</f>
        <v>0</v>
      </c>
      <c r="D1243">
        <f>IF(COUNTIFS('United Data'!$A$3:$A$3390,D$1,'United Data'!$C$3:$C$3390,$A1243)&gt;0,1,0)</f>
        <v>0</v>
      </c>
      <c r="E1243">
        <f>IF(COUNTIFS('United Data'!$A$3:$A$3390,E$1,'United Data'!$C$3:$C$3390,$A1243)&gt;0,1,0)</f>
        <v>1</v>
      </c>
      <c r="F1243">
        <f>IF(COUNTIFS('United Data'!$A$3:$A$3390,F$1,'United Data'!$C$3:$C$3390,$A1243)&gt;0,1,0)</f>
        <v>0</v>
      </c>
      <c r="G1243">
        <f>IF(COUNTIFS('United Data'!$A$3:$A$3390,G$1,'United Data'!$C$3:$C$3390,$A1243)&gt;0,1,0)</f>
        <v>0</v>
      </c>
      <c r="H1243">
        <f>IF(COUNTIFS('United Data'!$A$3:$A$3390,H$1,'United Data'!$C$3:$C$3390,$A1243)&gt;0,1,0)</f>
        <v>0</v>
      </c>
      <c r="I1243">
        <f>IF(COUNTIFS('United Data'!$A$3:$A$3390,I$1,'United Data'!$C$3:$C$3390,$A1243)&gt;0,1,0)</f>
        <v>0</v>
      </c>
      <c r="J1243">
        <f>IF(COUNTIFS('United Data'!$A$3:$A$3390,J$1,'United Data'!$C$3:$C$3390,$A1243)&gt;0,1,0)</f>
        <v>0</v>
      </c>
      <c r="K1243">
        <f>IF(COUNTIFS('United Data'!$A$3:$A$3390,K$1,'United Data'!$C$3:$C$3390,$A1243)&gt;0,1,0)</f>
        <v>0</v>
      </c>
      <c r="L1243">
        <f>IF(COUNTIFS('United Data'!$A$3:$A$3390,L$1,'United Data'!$C$3:$C$3390,$A1243)&gt;0,1,0)</f>
        <v>0</v>
      </c>
      <c r="M1243">
        <f>IF(COUNTIFS('United Data'!$A$3:$A$3390,M$1,'United Data'!$C$3:$C$3390,$A1243)&gt;0,1,0)</f>
        <v>0</v>
      </c>
      <c r="N1243">
        <f>IF(COUNTIFS('United Data'!$A$3:$A$3390,N$1,'United Data'!$C$3:$C$3390,$A1243)&gt;0,1,0)</f>
        <v>0</v>
      </c>
      <c r="O1243">
        <f>IF(COUNTIFS('United Data'!$A$3:$A$3390,O$1,'United Data'!$C$3:$C$3390,$A1243)&gt;0,1,0)</f>
        <v>0</v>
      </c>
      <c r="P1243">
        <f>IF(COUNTIFS('United Data'!$A$3:$A$3390,P$1,'United Data'!$C$3:$C$3390,$A1243)&gt;0,1,0)</f>
        <v>0</v>
      </c>
      <c r="Q1243">
        <f>IF(COUNTIFS('United Data'!$A$3:$A$3390,Q$1,'United Data'!$C$3:$C$3390,$A1243)&gt;0,1,0)</f>
        <v>0</v>
      </c>
      <c r="R1243">
        <f>IF(COUNTIFS('United Data'!$A$3:$A$3390,R$1,'United Data'!$C$3:$C$3390,$A1243)&gt;0,1,0)</f>
        <v>0</v>
      </c>
      <c r="S1243">
        <f t="shared" si="38"/>
        <v>2</v>
      </c>
      <c r="T1243">
        <f t="shared" si="39"/>
        <v>2</v>
      </c>
    </row>
    <row r="1244" spans="1:20" x14ac:dyDescent="0.2">
      <c r="A1244" t="s">
        <v>1479</v>
      </c>
      <c r="B1244">
        <f>IF(COUNTIFS('United Data'!$A$3:$A$3390,B$1,'United Data'!$C$3:$C$3390,$A1244)&gt;0,1,0)</f>
        <v>0</v>
      </c>
      <c r="C1244">
        <f>IF(COUNTIFS('United Data'!$A$3:$A$3390,C$1,'United Data'!$C$3:$C$3390,$A1244)&gt;0,1,0)</f>
        <v>0</v>
      </c>
      <c r="D1244">
        <f>IF(COUNTIFS('United Data'!$A$3:$A$3390,D$1,'United Data'!$C$3:$C$3390,$A1244)&gt;0,1,0)</f>
        <v>0</v>
      </c>
      <c r="E1244">
        <f>IF(COUNTIFS('United Data'!$A$3:$A$3390,E$1,'United Data'!$C$3:$C$3390,$A1244)&gt;0,1,0)</f>
        <v>1</v>
      </c>
      <c r="F1244">
        <f>IF(COUNTIFS('United Data'!$A$3:$A$3390,F$1,'United Data'!$C$3:$C$3390,$A1244)&gt;0,1,0)</f>
        <v>0</v>
      </c>
      <c r="G1244">
        <f>IF(COUNTIFS('United Data'!$A$3:$A$3390,G$1,'United Data'!$C$3:$C$3390,$A1244)&gt;0,1,0)</f>
        <v>0</v>
      </c>
      <c r="H1244">
        <f>IF(COUNTIFS('United Data'!$A$3:$A$3390,H$1,'United Data'!$C$3:$C$3390,$A1244)&gt;0,1,0)</f>
        <v>0</v>
      </c>
      <c r="I1244">
        <f>IF(COUNTIFS('United Data'!$A$3:$A$3390,I$1,'United Data'!$C$3:$C$3390,$A1244)&gt;0,1,0)</f>
        <v>0</v>
      </c>
      <c r="J1244">
        <f>IF(COUNTIFS('United Data'!$A$3:$A$3390,J$1,'United Data'!$C$3:$C$3390,$A1244)&gt;0,1,0)</f>
        <v>0</v>
      </c>
      <c r="K1244">
        <f>IF(COUNTIFS('United Data'!$A$3:$A$3390,K$1,'United Data'!$C$3:$C$3390,$A1244)&gt;0,1,0)</f>
        <v>0</v>
      </c>
      <c r="L1244">
        <f>IF(COUNTIFS('United Data'!$A$3:$A$3390,L$1,'United Data'!$C$3:$C$3390,$A1244)&gt;0,1,0)</f>
        <v>0</v>
      </c>
      <c r="M1244">
        <f>IF(COUNTIFS('United Data'!$A$3:$A$3390,M$1,'United Data'!$C$3:$C$3390,$A1244)&gt;0,1,0)</f>
        <v>0</v>
      </c>
      <c r="N1244">
        <f>IF(COUNTIFS('United Data'!$A$3:$A$3390,N$1,'United Data'!$C$3:$C$3390,$A1244)&gt;0,1,0)</f>
        <v>0</v>
      </c>
      <c r="O1244">
        <f>IF(COUNTIFS('United Data'!$A$3:$A$3390,O$1,'United Data'!$C$3:$C$3390,$A1244)&gt;0,1,0)</f>
        <v>0</v>
      </c>
      <c r="P1244">
        <f>IF(COUNTIFS('United Data'!$A$3:$A$3390,P$1,'United Data'!$C$3:$C$3390,$A1244)&gt;0,1,0)</f>
        <v>0</v>
      </c>
      <c r="Q1244">
        <f>IF(COUNTIFS('United Data'!$A$3:$A$3390,Q$1,'United Data'!$C$3:$C$3390,$A1244)&gt;0,1,0)</f>
        <v>0</v>
      </c>
      <c r="R1244">
        <f>IF(COUNTIFS('United Data'!$A$3:$A$3390,R$1,'United Data'!$C$3:$C$3390,$A1244)&gt;0,1,0)</f>
        <v>0</v>
      </c>
      <c r="S1244">
        <f t="shared" si="38"/>
        <v>1</v>
      </c>
      <c r="T1244">
        <f t="shared" si="39"/>
        <v>1</v>
      </c>
    </row>
    <row r="1245" spans="1:20" x14ac:dyDescent="0.2">
      <c r="A1245" t="s">
        <v>1480</v>
      </c>
      <c r="B1245">
        <f>IF(COUNTIFS('United Data'!$A$3:$A$3390,B$1,'United Data'!$C$3:$C$3390,$A1245)&gt;0,1,0)</f>
        <v>0</v>
      </c>
      <c r="C1245">
        <f>IF(COUNTIFS('United Data'!$A$3:$A$3390,C$1,'United Data'!$C$3:$C$3390,$A1245)&gt;0,1,0)</f>
        <v>0</v>
      </c>
      <c r="D1245">
        <f>IF(COUNTIFS('United Data'!$A$3:$A$3390,D$1,'United Data'!$C$3:$C$3390,$A1245)&gt;0,1,0)</f>
        <v>0</v>
      </c>
      <c r="E1245">
        <f>IF(COUNTIFS('United Data'!$A$3:$A$3390,E$1,'United Data'!$C$3:$C$3390,$A1245)&gt;0,1,0)</f>
        <v>1</v>
      </c>
      <c r="F1245">
        <f>IF(COUNTIFS('United Data'!$A$3:$A$3390,F$1,'United Data'!$C$3:$C$3390,$A1245)&gt;0,1,0)</f>
        <v>0</v>
      </c>
      <c r="G1245">
        <f>IF(COUNTIFS('United Data'!$A$3:$A$3390,G$1,'United Data'!$C$3:$C$3390,$A1245)&gt;0,1,0)</f>
        <v>1</v>
      </c>
      <c r="H1245">
        <f>IF(COUNTIFS('United Data'!$A$3:$A$3390,H$1,'United Data'!$C$3:$C$3390,$A1245)&gt;0,1,0)</f>
        <v>0</v>
      </c>
      <c r="I1245">
        <f>IF(COUNTIFS('United Data'!$A$3:$A$3390,I$1,'United Data'!$C$3:$C$3390,$A1245)&gt;0,1,0)</f>
        <v>0</v>
      </c>
      <c r="J1245">
        <f>IF(COUNTIFS('United Data'!$A$3:$A$3390,J$1,'United Data'!$C$3:$C$3390,$A1245)&gt;0,1,0)</f>
        <v>0</v>
      </c>
      <c r="K1245">
        <f>IF(COUNTIFS('United Data'!$A$3:$A$3390,K$1,'United Data'!$C$3:$C$3390,$A1245)&gt;0,1,0)</f>
        <v>1</v>
      </c>
      <c r="L1245">
        <f>IF(COUNTIFS('United Data'!$A$3:$A$3390,L$1,'United Data'!$C$3:$C$3390,$A1245)&gt;0,1,0)</f>
        <v>0</v>
      </c>
      <c r="M1245">
        <f>IF(COUNTIFS('United Data'!$A$3:$A$3390,M$1,'United Data'!$C$3:$C$3390,$A1245)&gt;0,1,0)</f>
        <v>0</v>
      </c>
      <c r="N1245">
        <f>IF(COUNTIFS('United Data'!$A$3:$A$3390,N$1,'United Data'!$C$3:$C$3390,$A1245)&gt;0,1,0)</f>
        <v>1</v>
      </c>
      <c r="O1245">
        <f>IF(COUNTIFS('United Data'!$A$3:$A$3390,O$1,'United Data'!$C$3:$C$3390,$A1245)&gt;0,1,0)</f>
        <v>0</v>
      </c>
      <c r="P1245">
        <f>IF(COUNTIFS('United Data'!$A$3:$A$3390,P$1,'United Data'!$C$3:$C$3390,$A1245)&gt;0,1,0)</f>
        <v>0</v>
      </c>
      <c r="Q1245">
        <f>IF(COUNTIFS('United Data'!$A$3:$A$3390,Q$1,'United Data'!$C$3:$C$3390,$A1245)&gt;0,1,0)</f>
        <v>0</v>
      </c>
      <c r="R1245">
        <f>IF(COUNTIFS('United Data'!$A$3:$A$3390,R$1,'United Data'!$C$3:$C$3390,$A1245)&gt;0,1,0)</f>
        <v>0</v>
      </c>
      <c r="S1245">
        <f t="shared" si="38"/>
        <v>4</v>
      </c>
      <c r="T1245">
        <f t="shared" si="39"/>
        <v>4</v>
      </c>
    </row>
    <row r="1246" spans="1:20" x14ac:dyDescent="0.2">
      <c r="A1246" t="s">
        <v>1481</v>
      </c>
      <c r="B1246">
        <f>IF(COUNTIFS('United Data'!$A$3:$A$3390,B$1,'United Data'!$C$3:$C$3390,$A1246)&gt;0,1,0)</f>
        <v>0</v>
      </c>
      <c r="C1246">
        <f>IF(COUNTIFS('United Data'!$A$3:$A$3390,C$1,'United Data'!$C$3:$C$3390,$A1246)&gt;0,1,0)</f>
        <v>0</v>
      </c>
      <c r="D1246">
        <f>IF(COUNTIFS('United Data'!$A$3:$A$3390,D$1,'United Data'!$C$3:$C$3390,$A1246)&gt;0,1,0)</f>
        <v>0</v>
      </c>
      <c r="E1246">
        <f>IF(COUNTIFS('United Data'!$A$3:$A$3390,E$1,'United Data'!$C$3:$C$3390,$A1246)&gt;0,1,0)</f>
        <v>1</v>
      </c>
      <c r="F1246">
        <f>IF(COUNTIFS('United Data'!$A$3:$A$3390,F$1,'United Data'!$C$3:$C$3390,$A1246)&gt;0,1,0)</f>
        <v>0</v>
      </c>
      <c r="G1246">
        <f>IF(COUNTIFS('United Data'!$A$3:$A$3390,G$1,'United Data'!$C$3:$C$3390,$A1246)&gt;0,1,0)</f>
        <v>0</v>
      </c>
      <c r="H1246">
        <f>IF(COUNTIFS('United Data'!$A$3:$A$3390,H$1,'United Data'!$C$3:$C$3390,$A1246)&gt;0,1,0)</f>
        <v>0</v>
      </c>
      <c r="I1246">
        <f>IF(COUNTIFS('United Data'!$A$3:$A$3390,I$1,'United Data'!$C$3:$C$3390,$A1246)&gt;0,1,0)</f>
        <v>0</v>
      </c>
      <c r="J1246">
        <f>IF(COUNTIFS('United Data'!$A$3:$A$3390,J$1,'United Data'!$C$3:$C$3390,$A1246)&gt;0,1,0)</f>
        <v>0</v>
      </c>
      <c r="K1246">
        <f>IF(COUNTIFS('United Data'!$A$3:$A$3390,K$1,'United Data'!$C$3:$C$3390,$A1246)&gt;0,1,0)</f>
        <v>0</v>
      </c>
      <c r="L1246">
        <f>IF(COUNTIFS('United Data'!$A$3:$A$3390,L$1,'United Data'!$C$3:$C$3390,$A1246)&gt;0,1,0)</f>
        <v>0</v>
      </c>
      <c r="M1246">
        <f>IF(COUNTIFS('United Data'!$A$3:$A$3390,M$1,'United Data'!$C$3:$C$3390,$A1246)&gt;0,1,0)</f>
        <v>0</v>
      </c>
      <c r="N1246">
        <f>IF(COUNTIFS('United Data'!$A$3:$A$3390,N$1,'United Data'!$C$3:$C$3390,$A1246)&gt;0,1,0)</f>
        <v>0</v>
      </c>
      <c r="O1246">
        <f>IF(COUNTIFS('United Data'!$A$3:$A$3390,O$1,'United Data'!$C$3:$C$3390,$A1246)&gt;0,1,0)</f>
        <v>0</v>
      </c>
      <c r="P1246">
        <f>IF(COUNTIFS('United Data'!$A$3:$A$3390,P$1,'United Data'!$C$3:$C$3390,$A1246)&gt;0,1,0)</f>
        <v>0</v>
      </c>
      <c r="Q1246">
        <f>IF(COUNTIFS('United Data'!$A$3:$A$3390,Q$1,'United Data'!$C$3:$C$3390,$A1246)&gt;0,1,0)</f>
        <v>0</v>
      </c>
      <c r="R1246">
        <f>IF(COUNTIFS('United Data'!$A$3:$A$3390,R$1,'United Data'!$C$3:$C$3390,$A1246)&gt;0,1,0)</f>
        <v>0</v>
      </c>
      <c r="S1246">
        <f t="shared" si="38"/>
        <v>1</v>
      </c>
      <c r="T1246">
        <f t="shared" si="39"/>
        <v>1</v>
      </c>
    </row>
    <row r="1247" spans="1:20" x14ac:dyDescent="0.2">
      <c r="A1247" t="s">
        <v>1482</v>
      </c>
      <c r="B1247">
        <f>IF(COUNTIFS('United Data'!$A$3:$A$3390,B$1,'United Data'!$C$3:$C$3390,$A1247)&gt;0,1,0)</f>
        <v>0</v>
      </c>
      <c r="C1247">
        <f>IF(COUNTIFS('United Data'!$A$3:$A$3390,C$1,'United Data'!$C$3:$C$3390,$A1247)&gt;0,1,0)</f>
        <v>0</v>
      </c>
      <c r="D1247">
        <f>IF(COUNTIFS('United Data'!$A$3:$A$3390,D$1,'United Data'!$C$3:$C$3390,$A1247)&gt;0,1,0)</f>
        <v>0</v>
      </c>
      <c r="E1247">
        <f>IF(COUNTIFS('United Data'!$A$3:$A$3390,E$1,'United Data'!$C$3:$C$3390,$A1247)&gt;0,1,0)</f>
        <v>1</v>
      </c>
      <c r="F1247">
        <f>IF(COUNTIFS('United Data'!$A$3:$A$3390,F$1,'United Data'!$C$3:$C$3390,$A1247)&gt;0,1,0)</f>
        <v>1</v>
      </c>
      <c r="G1247">
        <f>IF(COUNTIFS('United Data'!$A$3:$A$3390,G$1,'United Data'!$C$3:$C$3390,$A1247)&gt;0,1,0)</f>
        <v>1</v>
      </c>
      <c r="H1247">
        <f>IF(COUNTIFS('United Data'!$A$3:$A$3390,H$1,'United Data'!$C$3:$C$3390,$A1247)&gt;0,1,0)</f>
        <v>0</v>
      </c>
      <c r="I1247">
        <f>IF(COUNTIFS('United Data'!$A$3:$A$3390,I$1,'United Data'!$C$3:$C$3390,$A1247)&gt;0,1,0)</f>
        <v>0</v>
      </c>
      <c r="J1247">
        <f>IF(COUNTIFS('United Data'!$A$3:$A$3390,J$1,'United Data'!$C$3:$C$3390,$A1247)&gt;0,1,0)</f>
        <v>0</v>
      </c>
      <c r="K1247">
        <f>IF(COUNTIFS('United Data'!$A$3:$A$3390,K$1,'United Data'!$C$3:$C$3390,$A1247)&gt;0,1,0)</f>
        <v>1</v>
      </c>
      <c r="L1247">
        <f>IF(COUNTIFS('United Data'!$A$3:$A$3390,L$1,'United Data'!$C$3:$C$3390,$A1247)&gt;0,1,0)</f>
        <v>0</v>
      </c>
      <c r="M1247">
        <f>IF(COUNTIFS('United Data'!$A$3:$A$3390,M$1,'United Data'!$C$3:$C$3390,$A1247)&gt;0,1,0)</f>
        <v>1</v>
      </c>
      <c r="N1247">
        <f>IF(COUNTIFS('United Data'!$A$3:$A$3390,N$1,'United Data'!$C$3:$C$3390,$A1247)&gt;0,1,0)</f>
        <v>1</v>
      </c>
      <c r="O1247">
        <f>IF(COUNTIFS('United Data'!$A$3:$A$3390,O$1,'United Data'!$C$3:$C$3390,$A1247)&gt;0,1,0)</f>
        <v>0</v>
      </c>
      <c r="P1247">
        <f>IF(COUNTIFS('United Data'!$A$3:$A$3390,P$1,'United Data'!$C$3:$C$3390,$A1247)&gt;0,1,0)</f>
        <v>0</v>
      </c>
      <c r="Q1247">
        <f>IF(COUNTIFS('United Data'!$A$3:$A$3390,Q$1,'United Data'!$C$3:$C$3390,$A1247)&gt;0,1,0)</f>
        <v>0</v>
      </c>
      <c r="R1247">
        <f>IF(COUNTIFS('United Data'!$A$3:$A$3390,R$1,'United Data'!$C$3:$C$3390,$A1247)&gt;0,1,0)</f>
        <v>0</v>
      </c>
      <c r="S1247">
        <f t="shared" si="38"/>
        <v>6</v>
      </c>
      <c r="T1247">
        <f t="shared" si="39"/>
        <v>3</v>
      </c>
    </row>
    <row r="1248" spans="1:20" x14ac:dyDescent="0.2">
      <c r="A1248" t="s">
        <v>1483</v>
      </c>
      <c r="B1248">
        <f>IF(COUNTIFS('United Data'!$A$3:$A$3390,B$1,'United Data'!$C$3:$C$3390,$A1248)&gt;0,1,0)</f>
        <v>0</v>
      </c>
      <c r="C1248">
        <f>IF(COUNTIFS('United Data'!$A$3:$A$3390,C$1,'United Data'!$C$3:$C$3390,$A1248)&gt;0,1,0)</f>
        <v>0</v>
      </c>
      <c r="D1248">
        <f>IF(COUNTIFS('United Data'!$A$3:$A$3390,D$1,'United Data'!$C$3:$C$3390,$A1248)&gt;0,1,0)</f>
        <v>0</v>
      </c>
      <c r="E1248">
        <f>IF(COUNTIFS('United Data'!$A$3:$A$3390,E$1,'United Data'!$C$3:$C$3390,$A1248)&gt;0,1,0)</f>
        <v>1</v>
      </c>
      <c r="F1248">
        <f>IF(COUNTIFS('United Data'!$A$3:$A$3390,F$1,'United Data'!$C$3:$C$3390,$A1248)&gt;0,1,0)</f>
        <v>0</v>
      </c>
      <c r="G1248">
        <f>IF(COUNTIFS('United Data'!$A$3:$A$3390,G$1,'United Data'!$C$3:$C$3390,$A1248)&gt;0,1,0)</f>
        <v>0</v>
      </c>
      <c r="H1248">
        <f>IF(COUNTIFS('United Data'!$A$3:$A$3390,H$1,'United Data'!$C$3:$C$3390,$A1248)&gt;0,1,0)</f>
        <v>0</v>
      </c>
      <c r="I1248">
        <f>IF(COUNTIFS('United Data'!$A$3:$A$3390,I$1,'United Data'!$C$3:$C$3390,$A1248)&gt;0,1,0)</f>
        <v>0</v>
      </c>
      <c r="J1248">
        <f>IF(COUNTIFS('United Data'!$A$3:$A$3390,J$1,'United Data'!$C$3:$C$3390,$A1248)&gt;0,1,0)</f>
        <v>0</v>
      </c>
      <c r="K1248">
        <f>IF(COUNTIFS('United Data'!$A$3:$A$3390,K$1,'United Data'!$C$3:$C$3390,$A1248)&gt;0,1,0)</f>
        <v>0</v>
      </c>
      <c r="L1248">
        <f>IF(COUNTIFS('United Data'!$A$3:$A$3390,L$1,'United Data'!$C$3:$C$3390,$A1248)&gt;0,1,0)</f>
        <v>0</v>
      </c>
      <c r="M1248">
        <f>IF(COUNTIFS('United Data'!$A$3:$A$3390,M$1,'United Data'!$C$3:$C$3390,$A1248)&gt;0,1,0)</f>
        <v>0</v>
      </c>
      <c r="N1248">
        <f>IF(COUNTIFS('United Data'!$A$3:$A$3390,N$1,'United Data'!$C$3:$C$3390,$A1248)&gt;0,1,0)</f>
        <v>0</v>
      </c>
      <c r="O1248">
        <f>IF(COUNTIFS('United Data'!$A$3:$A$3390,O$1,'United Data'!$C$3:$C$3390,$A1248)&gt;0,1,0)</f>
        <v>0</v>
      </c>
      <c r="P1248">
        <f>IF(COUNTIFS('United Data'!$A$3:$A$3390,P$1,'United Data'!$C$3:$C$3390,$A1248)&gt;0,1,0)</f>
        <v>0</v>
      </c>
      <c r="Q1248">
        <f>IF(COUNTIFS('United Data'!$A$3:$A$3390,Q$1,'United Data'!$C$3:$C$3390,$A1248)&gt;0,1,0)</f>
        <v>0</v>
      </c>
      <c r="R1248">
        <f>IF(COUNTIFS('United Data'!$A$3:$A$3390,R$1,'United Data'!$C$3:$C$3390,$A1248)&gt;0,1,0)</f>
        <v>0</v>
      </c>
      <c r="S1248">
        <f t="shared" si="38"/>
        <v>1</v>
      </c>
      <c r="T1248">
        <f t="shared" si="39"/>
        <v>1</v>
      </c>
    </row>
    <row r="1249" spans="1:20" x14ac:dyDescent="0.2">
      <c r="A1249" t="s">
        <v>1484</v>
      </c>
      <c r="B1249">
        <f>IF(COUNTIFS('United Data'!$A$3:$A$3390,B$1,'United Data'!$C$3:$C$3390,$A1249)&gt;0,1,0)</f>
        <v>0</v>
      </c>
      <c r="C1249">
        <f>IF(COUNTIFS('United Data'!$A$3:$A$3390,C$1,'United Data'!$C$3:$C$3390,$A1249)&gt;0,1,0)</f>
        <v>0</v>
      </c>
      <c r="D1249">
        <f>IF(COUNTIFS('United Data'!$A$3:$A$3390,D$1,'United Data'!$C$3:$C$3390,$A1249)&gt;0,1,0)</f>
        <v>0</v>
      </c>
      <c r="E1249">
        <f>IF(COUNTIFS('United Data'!$A$3:$A$3390,E$1,'United Data'!$C$3:$C$3390,$A1249)&gt;0,1,0)</f>
        <v>1</v>
      </c>
      <c r="F1249">
        <f>IF(COUNTIFS('United Data'!$A$3:$A$3390,F$1,'United Data'!$C$3:$C$3390,$A1249)&gt;0,1,0)</f>
        <v>0</v>
      </c>
      <c r="G1249">
        <f>IF(COUNTIFS('United Data'!$A$3:$A$3390,G$1,'United Data'!$C$3:$C$3390,$A1249)&gt;0,1,0)</f>
        <v>0</v>
      </c>
      <c r="H1249">
        <f>IF(COUNTIFS('United Data'!$A$3:$A$3390,H$1,'United Data'!$C$3:$C$3390,$A1249)&gt;0,1,0)</f>
        <v>0</v>
      </c>
      <c r="I1249">
        <f>IF(COUNTIFS('United Data'!$A$3:$A$3390,I$1,'United Data'!$C$3:$C$3390,$A1249)&gt;0,1,0)</f>
        <v>0</v>
      </c>
      <c r="J1249">
        <f>IF(COUNTIFS('United Data'!$A$3:$A$3390,J$1,'United Data'!$C$3:$C$3390,$A1249)&gt;0,1,0)</f>
        <v>0</v>
      </c>
      <c r="K1249">
        <f>IF(COUNTIFS('United Data'!$A$3:$A$3390,K$1,'United Data'!$C$3:$C$3390,$A1249)&gt;0,1,0)</f>
        <v>0</v>
      </c>
      <c r="L1249">
        <f>IF(COUNTIFS('United Data'!$A$3:$A$3390,L$1,'United Data'!$C$3:$C$3390,$A1249)&gt;0,1,0)</f>
        <v>0</v>
      </c>
      <c r="M1249">
        <f>IF(COUNTIFS('United Data'!$A$3:$A$3390,M$1,'United Data'!$C$3:$C$3390,$A1249)&gt;0,1,0)</f>
        <v>0</v>
      </c>
      <c r="N1249">
        <f>IF(COUNTIFS('United Data'!$A$3:$A$3390,N$1,'United Data'!$C$3:$C$3390,$A1249)&gt;0,1,0)</f>
        <v>0</v>
      </c>
      <c r="O1249">
        <f>IF(COUNTIFS('United Data'!$A$3:$A$3390,O$1,'United Data'!$C$3:$C$3390,$A1249)&gt;0,1,0)</f>
        <v>0</v>
      </c>
      <c r="P1249">
        <f>IF(COUNTIFS('United Data'!$A$3:$A$3390,P$1,'United Data'!$C$3:$C$3390,$A1249)&gt;0,1,0)</f>
        <v>0</v>
      </c>
      <c r="Q1249">
        <f>IF(COUNTIFS('United Data'!$A$3:$A$3390,Q$1,'United Data'!$C$3:$C$3390,$A1249)&gt;0,1,0)</f>
        <v>0</v>
      </c>
      <c r="R1249">
        <f>IF(COUNTIFS('United Data'!$A$3:$A$3390,R$1,'United Data'!$C$3:$C$3390,$A1249)&gt;0,1,0)</f>
        <v>0</v>
      </c>
      <c r="S1249">
        <f t="shared" si="38"/>
        <v>1</v>
      </c>
      <c r="T1249">
        <f t="shared" si="39"/>
        <v>1</v>
      </c>
    </row>
    <row r="1250" spans="1:20" x14ac:dyDescent="0.2">
      <c r="A1250" t="s">
        <v>1485</v>
      </c>
      <c r="B1250">
        <f>IF(COUNTIFS('United Data'!$A$3:$A$3390,B$1,'United Data'!$C$3:$C$3390,$A1250)&gt;0,1,0)</f>
        <v>0</v>
      </c>
      <c r="C1250">
        <f>IF(COUNTIFS('United Data'!$A$3:$A$3390,C$1,'United Data'!$C$3:$C$3390,$A1250)&gt;0,1,0)</f>
        <v>0</v>
      </c>
      <c r="D1250">
        <f>IF(COUNTIFS('United Data'!$A$3:$A$3390,D$1,'United Data'!$C$3:$C$3390,$A1250)&gt;0,1,0)</f>
        <v>0</v>
      </c>
      <c r="E1250">
        <f>IF(COUNTIFS('United Data'!$A$3:$A$3390,E$1,'United Data'!$C$3:$C$3390,$A1250)&gt;0,1,0)</f>
        <v>0</v>
      </c>
      <c r="F1250">
        <f>IF(COUNTIFS('United Data'!$A$3:$A$3390,F$1,'United Data'!$C$3:$C$3390,$A1250)&gt;0,1,0)</f>
        <v>1</v>
      </c>
      <c r="G1250">
        <f>IF(COUNTIFS('United Data'!$A$3:$A$3390,G$1,'United Data'!$C$3:$C$3390,$A1250)&gt;0,1,0)</f>
        <v>0</v>
      </c>
      <c r="H1250">
        <f>IF(COUNTIFS('United Data'!$A$3:$A$3390,H$1,'United Data'!$C$3:$C$3390,$A1250)&gt;0,1,0)</f>
        <v>0</v>
      </c>
      <c r="I1250">
        <f>IF(COUNTIFS('United Data'!$A$3:$A$3390,I$1,'United Data'!$C$3:$C$3390,$A1250)&gt;0,1,0)</f>
        <v>0</v>
      </c>
      <c r="J1250">
        <f>IF(COUNTIFS('United Data'!$A$3:$A$3390,J$1,'United Data'!$C$3:$C$3390,$A1250)&gt;0,1,0)</f>
        <v>0</v>
      </c>
      <c r="K1250">
        <f>IF(COUNTIFS('United Data'!$A$3:$A$3390,K$1,'United Data'!$C$3:$C$3390,$A1250)&gt;0,1,0)</f>
        <v>0</v>
      </c>
      <c r="L1250">
        <f>IF(COUNTIFS('United Data'!$A$3:$A$3390,L$1,'United Data'!$C$3:$C$3390,$A1250)&gt;0,1,0)</f>
        <v>0</v>
      </c>
      <c r="M1250">
        <f>IF(COUNTIFS('United Data'!$A$3:$A$3390,M$1,'United Data'!$C$3:$C$3390,$A1250)&gt;0,1,0)</f>
        <v>0</v>
      </c>
      <c r="N1250">
        <f>IF(COUNTIFS('United Data'!$A$3:$A$3390,N$1,'United Data'!$C$3:$C$3390,$A1250)&gt;0,1,0)</f>
        <v>1</v>
      </c>
      <c r="O1250">
        <f>IF(COUNTIFS('United Data'!$A$3:$A$3390,O$1,'United Data'!$C$3:$C$3390,$A1250)&gt;0,1,0)</f>
        <v>0</v>
      </c>
      <c r="P1250">
        <f>IF(COUNTIFS('United Data'!$A$3:$A$3390,P$1,'United Data'!$C$3:$C$3390,$A1250)&gt;0,1,0)</f>
        <v>0</v>
      </c>
      <c r="Q1250">
        <f>IF(COUNTIFS('United Data'!$A$3:$A$3390,Q$1,'United Data'!$C$3:$C$3390,$A1250)&gt;0,1,0)</f>
        <v>0</v>
      </c>
      <c r="R1250">
        <f>IF(COUNTIFS('United Data'!$A$3:$A$3390,R$1,'United Data'!$C$3:$C$3390,$A1250)&gt;0,1,0)</f>
        <v>0</v>
      </c>
      <c r="S1250">
        <f t="shared" si="38"/>
        <v>2</v>
      </c>
      <c r="T1250">
        <f t="shared" si="39"/>
        <v>2</v>
      </c>
    </row>
    <row r="1251" spans="1:20" x14ac:dyDescent="0.2">
      <c r="A1251" t="s">
        <v>1486</v>
      </c>
      <c r="B1251">
        <f>IF(COUNTIFS('United Data'!$A$3:$A$3390,B$1,'United Data'!$C$3:$C$3390,$A1251)&gt;0,1,0)</f>
        <v>0</v>
      </c>
      <c r="C1251">
        <f>IF(COUNTIFS('United Data'!$A$3:$A$3390,C$1,'United Data'!$C$3:$C$3390,$A1251)&gt;0,1,0)</f>
        <v>0</v>
      </c>
      <c r="D1251">
        <f>IF(COUNTIFS('United Data'!$A$3:$A$3390,D$1,'United Data'!$C$3:$C$3390,$A1251)&gt;0,1,0)</f>
        <v>0</v>
      </c>
      <c r="E1251">
        <f>IF(COUNTIFS('United Data'!$A$3:$A$3390,E$1,'United Data'!$C$3:$C$3390,$A1251)&gt;0,1,0)</f>
        <v>0</v>
      </c>
      <c r="F1251">
        <f>IF(COUNTIFS('United Data'!$A$3:$A$3390,F$1,'United Data'!$C$3:$C$3390,$A1251)&gt;0,1,0)</f>
        <v>1</v>
      </c>
      <c r="G1251">
        <f>IF(COUNTIFS('United Data'!$A$3:$A$3390,G$1,'United Data'!$C$3:$C$3390,$A1251)&gt;0,1,0)</f>
        <v>1</v>
      </c>
      <c r="H1251">
        <f>IF(COUNTIFS('United Data'!$A$3:$A$3390,H$1,'United Data'!$C$3:$C$3390,$A1251)&gt;0,1,0)</f>
        <v>1</v>
      </c>
      <c r="I1251">
        <f>IF(COUNTIFS('United Data'!$A$3:$A$3390,I$1,'United Data'!$C$3:$C$3390,$A1251)&gt;0,1,0)</f>
        <v>0</v>
      </c>
      <c r="J1251">
        <f>IF(COUNTIFS('United Data'!$A$3:$A$3390,J$1,'United Data'!$C$3:$C$3390,$A1251)&gt;0,1,0)</f>
        <v>0</v>
      </c>
      <c r="K1251">
        <f>IF(COUNTIFS('United Data'!$A$3:$A$3390,K$1,'United Data'!$C$3:$C$3390,$A1251)&gt;0,1,0)</f>
        <v>0</v>
      </c>
      <c r="L1251">
        <f>IF(COUNTIFS('United Data'!$A$3:$A$3390,L$1,'United Data'!$C$3:$C$3390,$A1251)&gt;0,1,0)</f>
        <v>1</v>
      </c>
      <c r="M1251">
        <f>IF(COUNTIFS('United Data'!$A$3:$A$3390,M$1,'United Data'!$C$3:$C$3390,$A1251)&gt;0,1,0)</f>
        <v>0</v>
      </c>
      <c r="N1251">
        <f>IF(COUNTIFS('United Data'!$A$3:$A$3390,N$1,'United Data'!$C$3:$C$3390,$A1251)&gt;0,1,0)</f>
        <v>0</v>
      </c>
      <c r="O1251">
        <f>IF(COUNTIFS('United Data'!$A$3:$A$3390,O$1,'United Data'!$C$3:$C$3390,$A1251)&gt;0,1,0)</f>
        <v>0</v>
      </c>
      <c r="P1251">
        <f>IF(COUNTIFS('United Data'!$A$3:$A$3390,P$1,'United Data'!$C$3:$C$3390,$A1251)&gt;0,1,0)</f>
        <v>0</v>
      </c>
      <c r="Q1251">
        <f>IF(COUNTIFS('United Data'!$A$3:$A$3390,Q$1,'United Data'!$C$3:$C$3390,$A1251)&gt;0,1,0)</f>
        <v>0</v>
      </c>
      <c r="R1251">
        <f>IF(COUNTIFS('United Data'!$A$3:$A$3390,R$1,'United Data'!$C$3:$C$3390,$A1251)&gt;0,1,0)</f>
        <v>0</v>
      </c>
      <c r="S1251">
        <f t="shared" si="38"/>
        <v>4</v>
      </c>
      <c r="T1251">
        <f t="shared" si="39"/>
        <v>2</v>
      </c>
    </row>
    <row r="1252" spans="1:20" x14ac:dyDescent="0.2">
      <c r="A1252" t="s">
        <v>1487</v>
      </c>
      <c r="B1252">
        <f>IF(COUNTIFS('United Data'!$A$3:$A$3390,B$1,'United Data'!$C$3:$C$3390,$A1252)&gt;0,1,0)</f>
        <v>0</v>
      </c>
      <c r="C1252">
        <f>IF(COUNTIFS('United Data'!$A$3:$A$3390,C$1,'United Data'!$C$3:$C$3390,$A1252)&gt;0,1,0)</f>
        <v>0</v>
      </c>
      <c r="D1252">
        <f>IF(COUNTIFS('United Data'!$A$3:$A$3390,D$1,'United Data'!$C$3:$C$3390,$A1252)&gt;0,1,0)</f>
        <v>0</v>
      </c>
      <c r="E1252">
        <f>IF(COUNTIFS('United Data'!$A$3:$A$3390,E$1,'United Data'!$C$3:$C$3390,$A1252)&gt;0,1,0)</f>
        <v>0</v>
      </c>
      <c r="F1252">
        <f>IF(COUNTIFS('United Data'!$A$3:$A$3390,F$1,'United Data'!$C$3:$C$3390,$A1252)&gt;0,1,0)</f>
        <v>1</v>
      </c>
      <c r="G1252">
        <f>IF(COUNTIFS('United Data'!$A$3:$A$3390,G$1,'United Data'!$C$3:$C$3390,$A1252)&gt;0,1,0)</f>
        <v>1</v>
      </c>
      <c r="H1252">
        <f>IF(COUNTIFS('United Data'!$A$3:$A$3390,H$1,'United Data'!$C$3:$C$3390,$A1252)&gt;0,1,0)</f>
        <v>0</v>
      </c>
      <c r="I1252">
        <f>IF(COUNTIFS('United Data'!$A$3:$A$3390,I$1,'United Data'!$C$3:$C$3390,$A1252)&gt;0,1,0)</f>
        <v>0</v>
      </c>
      <c r="J1252">
        <f>IF(COUNTIFS('United Data'!$A$3:$A$3390,J$1,'United Data'!$C$3:$C$3390,$A1252)&gt;0,1,0)</f>
        <v>0</v>
      </c>
      <c r="K1252">
        <f>IF(COUNTIFS('United Data'!$A$3:$A$3390,K$1,'United Data'!$C$3:$C$3390,$A1252)&gt;0,1,0)</f>
        <v>0</v>
      </c>
      <c r="L1252">
        <f>IF(COUNTIFS('United Data'!$A$3:$A$3390,L$1,'United Data'!$C$3:$C$3390,$A1252)&gt;0,1,0)</f>
        <v>0</v>
      </c>
      <c r="M1252">
        <f>IF(COUNTIFS('United Data'!$A$3:$A$3390,M$1,'United Data'!$C$3:$C$3390,$A1252)&gt;0,1,0)</f>
        <v>0</v>
      </c>
      <c r="N1252">
        <f>IF(COUNTIFS('United Data'!$A$3:$A$3390,N$1,'United Data'!$C$3:$C$3390,$A1252)&gt;0,1,0)</f>
        <v>0</v>
      </c>
      <c r="O1252">
        <f>IF(COUNTIFS('United Data'!$A$3:$A$3390,O$1,'United Data'!$C$3:$C$3390,$A1252)&gt;0,1,0)</f>
        <v>0</v>
      </c>
      <c r="P1252">
        <f>IF(COUNTIFS('United Data'!$A$3:$A$3390,P$1,'United Data'!$C$3:$C$3390,$A1252)&gt;0,1,0)</f>
        <v>0</v>
      </c>
      <c r="Q1252">
        <f>IF(COUNTIFS('United Data'!$A$3:$A$3390,Q$1,'United Data'!$C$3:$C$3390,$A1252)&gt;0,1,0)</f>
        <v>0</v>
      </c>
      <c r="R1252">
        <f>IF(COUNTIFS('United Data'!$A$3:$A$3390,R$1,'United Data'!$C$3:$C$3390,$A1252)&gt;0,1,0)</f>
        <v>0</v>
      </c>
      <c r="S1252">
        <f t="shared" si="38"/>
        <v>2</v>
      </c>
      <c r="T1252">
        <f t="shared" si="39"/>
        <v>1</v>
      </c>
    </row>
    <row r="1253" spans="1:20" x14ac:dyDescent="0.2">
      <c r="A1253" t="s">
        <v>1488</v>
      </c>
      <c r="B1253">
        <f>IF(COUNTIFS('United Data'!$A$3:$A$3390,B$1,'United Data'!$C$3:$C$3390,$A1253)&gt;0,1,0)</f>
        <v>0</v>
      </c>
      <c r="C1253">
        <f>IF(COUNTIFS('United Data'!$A$3:$A$3390,C$1,'United Data'!$C$3:$C$3390,$A1253)&gt;0,1,0)</f>
        <v>0</v>
      </c>
      <c r="D1253">
        <f>IF(COUNTIFS('United Data'!$A$3:$A$3390,D$1,'United Data'!$C$3:$C$3390,$A1253)&gt;0,1,0)</f>
        <v>0</v>
      </c>
      <c r="E1253">
        <f>IF(COUNTIFS('United Data'!$A$3:$A$3390,E$1,'United Data'!$C$3:$C$3390,$A1253)&gt;0,1,0)</f>
        <v>0</v>
      </c>
      <c r="F1253">
        <f>IF(COUNTIFS('United Data'!$A$3:$A$3390,F$1,'United Data'!$C$3:$C$3390,$A1253)&gt;0,1,0)</f>
        <v>1</v>
      </c>
      <c r="G1253">
        <f>IF(COUNTIFS('United Data'!$A$3:$A$3390,G$1,'United Data'!$C$3:$C$3390,$A1253)&gt;0,1,0)</f>
        <v>0</v>
      </c>
      <c r="H1253">
        <f>IF(COUNTIFS('United Data'!$A$3:$A$3390,H$1,'United Data'!$C$3:$C$3390,$A1253)&gt;0,1,0)</f>
        <v>0</v>
      </c>
      <c r="I1253">
        <f>IF(COUNTIFS('United Data'!$A$3:$A$3390,I$1,'United Data'!$C$3:$C$3390,$A1253)&gt;0,1,0)</f>
        <v>0</v>
      </c>
      <c r="J1253">
        <f>IF(COUNTIFS('United Data'!$A$3:$A$3390,J$1,'United Data'!$C$3:$C$3390,$A1253)&gt;0,1,0)</f>
        <v>0</v>
      </c>
      <c r="K1253">
        <f>IF(COUNTIFS('United Data'!$A$3:$A$3390,K$1,'United Data'!$C$3:$C$3390,$A1253)&gt;0,1,0)</f>
        <v>0</v>
      </c>
      <c r="L1253">
        <f>IF(COUNTIFS('United Data'!$A$3:$A$3390,L$1,'United Data'!$C$3:$C$3390,$A1253)&gt;0,1,0)</f>
        <v>0</v>
      </c>
      <c r="M1253">
        <f>IF(COUNTIFS('United Data'!$A$3:$A$3390,M$1,'United Data'!$C$3:$C$3390,$A1253)&gt;0,1,0)</f>
        <v>0</v>
      </c>
      <c r="N1253">
        <f>IF(COUNTIFS('United Data'!$A$3:$A$3390,N$1,'United Data'!$C$3:$C$3390,$A1253)&gt;0,1,0)</f>
        <v>0</v>
      </c>
      <c r="O1253">
        <f>IF(COUNTIFS('United Data'!$A$3:$A$3390,O$1,'United Data'!$C$3:$C$3390,$A1253)&gt;0,1,0)</f>
        <v>0</v>
      </c>
      <c r="P1253">
        <f>IF(COUNTIFS('United Data'!$A$3:$A$3390,P$1,'United Data'!$C$3:$C$3390,$A1253)&gt;0,1,0)</f>
        <v>0</v>
      </c>
      <c r="Q1253">
        <f>IF(COUNTIFS('United Data'!$A$3:$A$3390,Q$1,'United Data'!$C$3:$C$3390,$A1253)&gt;0,1,0)</f>
        <v>0</v>
      </c>
      <c r="R1253">
        <f>IF(COUNTIFS('United Data'!$A$3:$A$3390,R$1,'United Data'!$C$3:$C$3390,$A1253)&gt;0,1,0)</f>
        <v>0</v>
      </c>
      <c r="S1253">
        <f t="shared" si="38"/>
        <v>1</v>
      </c>
      <c r="T1253">
        <f t="shared" si="39"/>
        <v>1</v>
      </c>
    </row>
    <row r="1254" spans="1:20" x14ac:dyDescent="0.2">
      <c r="A1254" t="s">
        <v>1489</v>
      </c>
      <c r="B1254">
        <f>IF(COUNTIFS('United Data'!$A$3:$A$3390,B$1,'United Data'!$C$3:$C$3390,$A1254)&gt;0,1,0)</f>
        <v>0</v>
      </c>
      <c r="C1254">
        <f>IF(COUNTIFS('United Data'!$A$3:$A$3390,C$1,'United Data'!$C$3:$C$3390,$A1254)&gt;0,1,0)</f>
        <v>0</v>
      </c>
      <c r="D1254">
        <f>IF(COUNTIFS('United Data'!$A$3:$A$3390,D$1,'United Data'!$C$3:$C$3390,$A1254)&gt;0,1,0)</f>
        <v>0</v>
      </c>
      <c r="E1254">
        <f>IF(COUNTIFS('United Data'!$A$3:$A$3390,E$1,'United Data'!$C$3:$C$3390,$A1254)&gt;0,1,0)</f>
        <v>0</v>
      </c>
      <c r="F1254">
        <f>IF(COUNTIFS('United Data'!$A$3:$A$3390,F$1,'United Data'!$C$3:$C$3390,$A1254)&gt;0,1,0)</f>
        <v>1</v>
      </c>
      <c r="G1254">
        <f>IF(COUNTIFS('United Data'!$A$3:$A$3390,G$1,'United Data'!$C$3:$C$3390,$A1254)&gt;0,1,0)</f>
        <v>0</v>
      </c>
      <c r="H1254">
        <f>IF(COUNTIFS('United Data'!$A$3:$A$3390,H$1,'United Data'!$C$3:$C$3390,$A1254)&gt;0,1,0)</f>
        <v>0</v>
      </c>
      <c r="I1254">
        <f>IF(COUNTIFS('United Data'!$A$3:$A$3390,I$1,'United Data'!$C$3:$C$3390,$A1254)&gt;0,1,0)</f>
        <v>0</v>
      </c>
      <c r="J1254">
        <f>IF(COUNTIFS('United Data'!$A$3:$A$3390,J$1,'United Data'!$C$3:$C$3390,$A1254)&gt;0,1,0)</f>
        <v>0</v>
      </c>
      <c r="K1254">
        <f>IF(COUNTIFS('United Data'!$A$3:$A$3390,K$1,'United Data'!$C$3:$C$3390,$A1254)&gt;0,1,0)</f>
        <v>0</v>
      </c>
      <c r="L1254">
        <f>IF(COUNTIFS('United Data'!$A$3:$A$3390,L$1,'United Data'!$C$3:$C$3390,$A1254)&gt;0,1,0)</f>
        <v>0</v>
      </c>
      <c r="M1254">
        <f>IF(COUNTIFS('United Data'!$A$3:$A$3390,M$1,'United Data'!$C$3:$C$3390,$A1254)&gt;0,1,0)</f>
        <v>0</v>
      </c>
      <c r="N1254">
        <f>IF(COUNTIFS('United Data'!$A$3:$A$3390,N$1,'United Data'!$C$3:$C$3390,$A1254)&gt;0,1,0)</f>
        <v>0</v>
      </c>
      <c r="O1254">
        <f>IF(COUNTIFS('United Data'!$A$3:$A$3390,O$1,'United Data'!$C$3:$C$3390,$A1254)&gt;0,1,0)</f>
        <v>0</v>
      </c>
      <c r="P1254">
        <f>IF(COUNTIFS('United Data'!$A$3:$A$3390,P$1,'United Data'!$C$3:$C$3390,$A1254)&gt;0,1,0)</f>
        <v>0</v>
      </c>
      <c r="Q1254">
        <f>IF(COUNTIFS('United Data'!$A$3:$A$3390,Q$1,'United Data'!$C$3:$C$3390,$A1254)&gt;0,1,0)</f>
        <v>0</v>
      </c>
      <c r="R1254">
        <f>IF(COUNTIFS('United Data'!$A$3:$A$3390,R$1,'United Data'!$C$3:$C$3390,$A1254)&gt;0,1,0)</f>
        <v>0</v>
      </c>
      <c r="S1254">
        <f t="shared" si="38"/>
        <v>1</v>
      </c>
      <c r="T1254">
        <f t="shared" si="39"/>
        <v>1</v>
      </c>
    </row>
    <row r="1255" spans="1:20" x14ac:dyDescent="0.2">
      <c r="A1255" t="s">
        <v>1490</v>
      </c>
      <c r="B1255">
        <f>IF(COUNTIFS('United Data'!$A$3:$A$3390,B$1,'United Data'!$C$3:$C$3390,$A1255)&gt;0,1,0)</f>
        <v>0</v>
      </c>
      <c r="C1255">
        <f>IF(COUNTIFS('United Data'!$A$3:$A$3390,C$1,'United Data'!$C$3:$C$3390,$A1255)&gt;0,1,0)</f>
        <v>0</v>
      </c>
      <c r="D1255">
        <f>IF(COUNTIFS('United Data'!$A$3:$A$3390,D$1,'United Data'!$C$3:$C$3390,$A1255)&gt;0,1,0)</f>
        <v>0</v>
      </c>
      <c r="E1255">
        <f>IF(COUNTIFS('United Data'!$A$3:$A$3390,E$1,'United Data'!$C$3:$C$3390,$A1255)&gt;0,1,0)</f>
        <v>0</v>
      </c>
      <c r="F1255">
        <f>IF(COUNTIFS('United Data'!$A$3:$A$3390,F$1,'United Data'!$C$3:$C$3390,$A1255)&gt;0,1,0)</f>
        <v>1</v>
      </c>
      <c r="G1255">
        <f>IF(COUNTIFS('United Data'!$A$3:$A$3390,G$1,'United Data'!$C$3:$C$3390,$A1255)&gt;0,1,0)</f>
        <v>0</v>
      </c>
      <c r="H1255">
        <f>IF(COUNTIFS('United Data'!$A$3:$A$3390,H$1,'United Data'!$C$3:$C$3390,$A1255)&gt;0,1,0)</f>
        <v>0</v>
      </c>
      <c r="I1255">
        <f>IF(COUNTIFS('United Data'!$A$3:$A$3390,I$1,'United Data'!$C$3:$C$3390,$A1255)&gt;0,1,0)</f>
        <v>0</v>
      </c>
      <c r="J1255">
        <f>IF(COUNTIFS('United Data'!$A$3:$A$3390,J$1,'United Data'!$C$3:$C$3390,$A1255)&gt;0,1,0)</f>
        <v>0</v>
      </c>
      <c r="K1255">
        <f>IF(COUNTIFS('United Data'!$A$3:$A$3390,K$1,'United Data'!$C$3:$C$3390,$A1255)&gt;0,1,0)</f>
        <v>0</v>
      </c>
      <c r="L1255">
        <f>IF(COUNTIFS('United Data'!$A$3:$A$3390,L$1,'United Data'!$C$3:$C$3390,$A1255)&gt;0,1,0)</f>
        <v>0</v>
      </c>
      <c r="M1255">
        <f>IF(COUNTIFS('United Data'!$A$3:$A$3390,M$1,'United Data'!$C$3:$C$3390,$A1255)&gt;0,1,0)</f>
        <v>0</v>
      </c>
      <c r="N1255">
        <f>IF(COUNTIFS('United Data'!$A$3:$A$3390,N$1,'United Data'!$C$3:$C$3390,$A1255)&gt;0,1,0)</f>
        <v>0</v>
      </c>
      <c r="O1255">
        <f>IF(COUNTIFS('United Data'!$A$3:$A$3390,O$1,'United Data'!$C$3:$C$3390,$A1255)&gt;0,1,0)</f>
        <v>0</v>
      </c>
      <c r="P1255">
        <f>IF(COUNTIFS('United Data'!$A$3:$A$3390,P$1,'United Data'!$C$3:$C$3390,$A1255)&gt;0,1,0)</f>
        <v>0</v>
      </c>
      <c r="Q1255">
        <f>IF(COUNTIFS('United Data'!$A$3:$A$3390,Q$1,'United Data'!$C$3:$C$3390,$A1255)&gt;0,1,0)</f>
        <v>0</v>
      </c>
      <c r="R1255">
        <f>IF(COUNTIFS('United Data'!$A$3:$A$3390,R$1,'United Data'!$C$3:$C$3390,$A1255)&gt;0,1,0)</f>
        <v>0</v>
      </c>
      <c r="S1255">
        <f t="shared" si="38"/>
        <v>1</v>
      </c>
      <c r="T1255">
        <f t="shared" si="39"/>
        <v>1</v>
      </c>
    </row>
    <row r="1256" spans="1:20" x14ac:dyDescent="0.2">
      <c r="A1256" t="s">
        <v>1491</v>
      </c>
      <c r="B1256">
        <f>IF(COUNTIFS('United Data'!$A$3:$A$3390,B$1,'United Data'!$C$3:$C$3390,$A1256)&gt;0,1,0)</f>
        <v>0</v>
      </c>
      <c r="C1256">
        <f>IF(COUNTIFS('United Data'!$A$3:$A$3390,C$1,'United Data'!$C$3:$C$3390,$A1256)&gt;0,1,0)</f>
        <v>0</v>
      </c>
      <c r="D1256">
        <f>IF(COUNTIFS('United Data'!$A$3:$A$3390,D$1,'United Data'!$C$3:$C$3390,$A1256)&gt;0,1,0)</f>
        <v>0</v>
      </c>
      <c r="E1256">
        <f>IF(COUNTIFS('United Data'!$A$3:$A$3390,E$1,'United Data'!$C$3:$C$3390,$A1256)&gt;0,1,0)</f>
        <v>0</v>
      </c>
      <c r="F1256">
        <f>IF(COUNTIFS('United Data'!$A$3:$A$3390,F$1,'United Data'!$C$3:$C$3390,$A1256)&gt;0,1,0)</f>
        <v>1</v>
      </c>
      <c r="G1256">
        <f>IF(COUNTIFS('United Data'!$A$3:$A$3390,G$1,'United Data'!$C$3:$C$3390,$A1256)&gt;0,1,0)</f>
        <v>1</v>
      </c>
      <c r="H1256">
        <f>IF(COUNTIFS('United Data'!$A$3:$A$3390,H$1,'United Data'!$C$3:$C$3390,$A1256)&gt;0,1,0)</f>
        <v>0</v>
      </c>
      <c r="I1256">
        <f>IF(COUNTIFS('United Data'!$A$3:$A$3390,I$1,'United Data'!$C$3:$C$3390,$A1256)&gt;0,1,0)</f>
        <v>0</v>
      </c>
      <c r="J1256">
        <f>IF(COUNTIFS('United Data'!$A$3:$A$3390,J$1,'United Data'!$C$3:$C$3390,$A1256)&gt;0,1,0)</f>
        <v>0</v>
      </c>
      <c r="K1256">
        <f>IF(COUNTIFS('United Data'!$A$3:$A$3390,K$1,'United Data'!$C$3:$C$3390,$A1256)&gt;0,1,0)</f>
        <v>1</v>
      </c>
      <c r="L1256">
        <f>IF(COUNTIFS('United Data'!$A$3:$A$3390,L$1,'United Data'!$C$3:$C$3390,$A1256)&gt;0,1,0)</f>
        <v>0</v>
      </c>
      <c r="M1256">
        <f>IF(COUNTIFS('United Data'!$A$3:$A$3390,M$1,'United Data'!$C$3:$C$3390,$A1256)&gt;0,1,0)</f>
        <v>0</v>
      </c>
      <c r="N1256">
        <f>IF(COUNTIFS('United Data'!$A$3:$A$3390,N$1,'United Data'!$C$3:$C$3390,$A1256)&gt;0,1,0)</f>
        <v>1</v>
      </c>
      <c r="O1256">
        <f>IF(COUNTIFS('United Data'!$A$3:$A$3390,O$1,'United Data'!$C$3:$C$3390,$A1256)&gt;0,1,0)</f>
        <v>1</v>
      </c>
      <c r="P1256">
        <f>IF(COUNTIFS('United Data'!$A$3:$A$3390,P$1,'United Data'!$C$3:$C$3390,$A1256)&gt;0,1,0)</f>
        <v>0</v>
      </c>
      <c r="Q1256">
        <f>IF(COUNTIFS('United Data'!$A$3:$A$3390,Q$1,'United Data'!$C$3:$C$3390,$A1256)&gt;0,1,0)</f>
        <v>0</v>
      </c>
      <c r="R1256">
        <f>IF(COUNTIFS('United Data'!$A$3:$A$3390,R$1,'United Data'!$C$3:$C$3390,$A1256)&gt;0,1,0)</f>
        <v>0</v>
      </c>
      <c r="S1256">
        <f t="shared" si="38"/>
        <v>5</v>
      </c>
      <c r="T1256">
        <f t="shared" si="39"/>
        <v>3</v>
      </c>
    </row>
    <row r="1257" spans="1:20" x14ac:dyDescent="0.2">
      <c r="A1257" t="s">
        <v>1492</v>
      </c>
      <c r="B1257">
        <f>IF(COUNTIFS('United Data'!$A$3:$A$3390,B$1,'United Data'!$C$3:$C$3390,$A1257)&gt;0,1,0)</f>
        <v>0</v>
      </c>
      <c r="C1257">
        <f>IF(COUNTIFS('United Data'!$A$3:$A$3390,C$1,'United Data'!$C$3:$C$3390,$A1257)&gt;0,1,0)</f>
        <v>0</v>
      </c>
      <c r="D1257">
        <f>IF(COUNTIFS('United Data'!$A$3:$A$3390,D$1,'United Data'!$C$3:$C$3390,$A1257)&gt;0,1,0)</f>
        <v>0</v>
      </c>
      <c r="E1257">
        <f>IF(COUNTIFS('United Data'!$A$3:$A$3390,E$1,'United Data'!$C$3:$C$3390,$A1257)&gt;0,1,0)</f>
        <v>0</v>
      </c>
      <c r="F1257">
        <f>IF(COUNTIFS('United Data'!$A$3:$A$3390,F$1,'United Data'!$C$3:$C$3390,$A1257)&gt;0,1,0)</f>
        <v>0</v>
      </c>
      <c r="G1257">
        <f>IF(COUNTIFS('United Data'!$A$3:$A$3390,G$1,'United Data'!$C$3:$C$3390,$A1257)&gt;0,1,0)</f>
        <v>1</v>
      </c>
      <c r="H1257">
        <f>IF(COUNTIFS('United Data'!$A$3:$A$3390,H$1,'United Data'!$C$3:$C$3390,$A1257)&gt;0,1,0)</f>
        <v>0</v>
      </c>
      <c r="I1257">
        <f>IF(COUNTIFS('United Data'!$A$3:$A$3390,I$1,'United Data'!$C$3:$C$3390,$A1257)&gt;0,1,0)</f>
        <v>0</v>
      </c>
      <c r="J1257">
        <f>IF(COUNTIFS('United Data'!$A$3:$A$3390,J$1,'United Data'!$C$3:$C$3390,$A1257)&gt;0,1,0)</f>
        <v>0</v>
      </c>
      <c r="K1257">
        <f>IF(COUNTIFS('United Data'!$A$3:$A$3390,K$1,'United Data'!$C$3:$C$3390,$A1257)&gt;0,1,0)</f>
        <v>0</v>
      </c>
      <c r="L1257">
        <f>IF(COUNTIFS('United Data'!$A$3:$A$3390,L$1,'United Data'!$C$3:$C$3390,$A1257)&gt;0,1,0)</f>
        <v>0</v>
      </c>
      <c r="M1257">
        <f>IF(COUNTIFS('United Data'!$A$3:$A$3390,M$1,'United Data'!$C$3:$C$3390,$A1257)&gt;0,1,0)</f>
        <v>0</v>
      </c>
      <c r="N1257">
        <f>IF(COUNTIFS('United Data'!$A$3:$A$3390,N$1,'United Data'!$C$3:$C$3390,$A1257)&gt;0,1,0)</f>
        <v>0</v>
      </c>
      <c r="O1257">
        <f>IF(COUNTIFS('United Data'!$A$3:$A$3390,O$1,'United Data'!$C$3:$C$3390,$A1257)&gt;0,1,0)</f>
        <v>0</v>
      </c>
      <c r="P1257">
        <f>IF(COUNTIFS('United Data'!$A$3:$A$3390,P$1,'United Data'!$C$3:$C$3390,$A1257)&gt;0,1,0)</f>
        <v>0</v>
      </c>
      <c r="Q1257">
        <f>IF(COUNTIFS('United Data'!$A$3:$A$3390,Q$1,'United Data'!$C$3:$C$3390,$A1257)&gt;0,1,0)</f>
        <v>0</v>
      </c>
      <c r="R1257">
        <f>IF(COUNTIFS('United Data'!$A$3:$A$3390,R$1,'United Data'!$C$3:$C$3390,$A1257)&gt;0,1,0)</f>
        <v>0</v>
      </c>
      <c r="S1257">
        <f t="shared" si="38"/>
        <v>1</v>
      </c>
      <c r="T1257">
        <f t="shared" si="39"/>
        <v>1</v>
      </c>
    </row>
    <row r="1258" spans="1:20" x14ac:dyDescent="0.2">
      <c r="A1258" t="s">
        <v>1493</v>
      </c>
      <c r="B1258">
        <f>IF(COUNTIFS('United Data'!$A$3:$A$3390,B$1,'United Data'!$C$3:$C$3390,$A1258)&gt;0,1,0)</f>
        <v>0</v>
      </c>
      <c r="C1258">
        <f>IF(COUNTIFS('United Data'!$A$3:$A$3390,C$1,'United Data'!$C$3:$C$3390,$A1258)&gt;0,1,0)</f>
        <v>0</v>
      </c>
      <c r="D1258">
        <f>IF(COUNTIFS('United Data'!$A$3:$A$3390,D$1,'United Data'!$C$3:$C$3390,$A1258)&gt;0,1,0)</f>
        <v>0</v>
      </c>
      <c r="E1258">
        <f>IF(COUNTIFS('United Data'!$A$3:$A$3390,E$1,'United Data'!$C$3:$C$3390,$A1258)&gt;0,1,0)</f>
        <v>0</v>
      </c>
      <c r="F1258">
        <f>IF(COUNTIFS('United Data'!$A$3:$A$3390,F$1,'United Data'!$C$3:$C$3390,$A1258)&gt;0,1,0)</f>
        <v>0</v>
      </c>
      <c r="G1258">
        <f>IF(COUNTIFS('United Data'!$A$3:$A$3390,G$1,'United Data'!$C$3:$C$3390,$A1258)&gt;0,1,0)</f>
        <v>1</v>
      </c>
      <c r="H1258">
        <f>IF(COUNTIFS('United Data'!$A$3:$A$3390,H$1,'United Data'!$C$3:$C$3390,$A1258)&gt;0,1,0)</f>
        <v>0</v>
      </c>
      <c r="I1258">
        <f>IF(COUNTIFS('United Data'!$A$3:$A$3390,I$1,'United Data'!$C$3:$C$3390,$A1258)&gt;0,1,0)</f>
        <v>0</v>
      </c>
      <c r="J1258">
        <f>IF(COUNTIFS('United Data'!$A$3:$A$3390,J$1,'United Data'!$C$3:$C$3390,$A1258)&gt;0,1,0)</f>
        <v>0</v>
      </c>
      <c r="K1258">
        <f>IF(COUNTIFS('United Data'!$A$3:$A$3390,K$1,'United Data'!$C$3:$C$3390,$A1258)&gt;0,1,0)</f>
        <v>0</v>
      </c>
      <c r="L1258">
        <f>IF(COUNTIFS('United Data'!$A$3:$A$3390,L$1,'United Data'!$C$3:$C$3390,$A1258)&gt;0,1,0)</f>
        <v>0</v>
      </c>
      <c r="M1258">
        <f>IF(COUNTIFS('United Data'!$A$3:$A$3390,M$1,'United Data'!$C$3:$C$3390,$A1258)&gt;0,1,0)</f>
        <v>0</v>
      </c>
      <c r="N1258">
        <f>IF(COUNTIFS('United Data'!$A$3:$A$3390,N$1,'United Data'!$C$3:$C$3390,$A1258)&gt;0,1,0)</f>
        <v>0</v>
      </c>
      <c r="O1258">
        <f>IF(COUNTIFS('United Data'!$A$3:$A$3390,O$1,'United Data'!$C$3:$C$3390,$A1258)&gt;0,1,0)</f>
        <v>0</v>
      </c>
      <c r="P1258">
        <f>IF(COUNTIFS('United Data'!$A$3:$A$3390,P$1,'United Data'!$C$3:$C$3390,$A1258)&gt;0,1,0)</f>
        <v>0</v>
      </c>
      <c r="Q1258">
        <f>IF(COUNTIFS('United Data'!$A$3:$A$3390,Q$1,'United Data'!$C$3:$C$3390,$A1258)&gt;0,1,0)</f>
        <v>0</v>
      </c>
      <c r="R1258">
        <f>IF(COUNTIFS('United Data'!$A$3:$A$3390,R$1,'United Data'!$C$3:$C$3390,$A1258)&gt;0,1,0)</f>
        <v>0</v>
      </c>
      <c r="S1258">
        <f t="shared" si="38"/>
        <v>1</v>
      </c>
      <c r="T1258">
        <f t="shared" si="39"/>
        <v>1</v>
      </c>
    </row>
    <row r="1259" spans="1:20" x14ac:dyDescent="0.2">
      <c r="A1259" t="s">
        <v>1494</v>
      </c>
      <c r="B1259">
        <f>IF(COUNTIFS('United Data'!$A$3:$A$3390,B$1,'United Data'!$C$3:$C$3390,$A1259)&gt;0,1,0)</f>
        <v>0</v>
      </c>
      <c r="C1259">
        <f>IF(COUNTIFS('United Data'!$A$3:$A$3390,C$1,'United Data'!$C$3:$C$3390,$A1259)&gt;0,1,0)</f>
        <v>0</v>
      </c>
      <c r="D1259">
        <f>IF(COUNTIFS('United Data'!$A$3:$A$3390,D$1,'United Data'!$C$3:$C$3390,$A1259)&gt;0,1,0)</f>
        <v>0</v>
      </c>
      <c r="E1259">
        <f>IF(COUNTIFS('United Data'!$A$3:$A$3390,E$1,'United Data'!$C$3:$C$3390,$A1259)&gt;0,1,0)</f>
        <v>0</v>
      </c>
      <c r="F1259">
        <f>IF(COUNTIFS('United Data'!$A$3:$A$3390,F$1,'United Data'!$C$3:$C$3390,$A1259)&gt;0,1,0)</f>
        <v>0</v>
      </c>
      <c r="G1259">
        <f>IF(COUNTIFS('United Data'!$A$3:$A$3390,G$1,'United Data'!$C$3:$C$3390,$A1259)&gt;0,1,0)</f>
        <v>1</v>
      </c>
      <c r="H1259">
        <f>IF(COUNTIFS('United Data'!$A$3:$A$3390,H$1,'United Data'!$C$3:$C$3390,$A1259)&gt;0,1,0)</f>
        <v>1</v>
      </c>
      <c r="I1259">
        <f>IF(COUNTIFS('United Data'!$A$3:$A$3390,I$1,'United Data'!$C$3:$C$3390,$A1259)&gt;0,1,0)</f>
        <v>0</v>
      </c>
      <c r="J1259">
        <f>IF(COUNTIFS('United Data'!$A$3:$A$3390,J$1,'United Data'!$C$3:$C$3390,$A1259)&gt;0,1,0)</f>
        <v>0</v>
      </c>
      <c r="K1259">
        <f>IF(COUNTIFS('United Data'!$A$3:$A$3390,K$1,'United Data'!$C$3:$C$3390,$A1259)&gt;0,1,0)</f>
        <v>0</v>
      </c>
      <c r="L1259">
        <f>IF(COUNTIFS('United Data'!$A$3:$A$3390,L$1,'United Data'!$C$3:$C$3390,$A1259)&gt;0,1,0)</f>
        <v>0</v>
      </c>
      <c r="M1259">
        <f>IF(COUNTIFS('United Data'!$A$3:$A$3390,M$1,'United Data'!$C$3:$C$3390,$A1259)&gt;0,1,0)</f>
        <v>0</v>
      </c>
      <c r="N1259">
        <f>IF(COUNTIFS('United Data'!$A$3:$A$3390,N$1,'United Data'!$C$3:$C$3390,$A1259)&gt;0,1,0)</f>
        <v>0</v>
      </c>
      <c r="O1259">
        <f>IF(COUNTIFS('United Data'!$A$3:$A$3390,O$1,'United Data'!$C$3:$C$3390,$A1259)&gt;0,1,0)</f>
        <v>0</v>
      </c>
      <c r="P1259">
        <f>IF(COUNTIFS('United Data'!$A$3:$A$3390,P$1,'United Data'!$C$3:$C$3390,$A1259)&gt;0,1,0)</f>
        <v>1</v>
      </c>
      <c r="Q1259">
        <f>IF(COUNTIFS('United Data'!$A$3:$A$3390,Q$1,'United Data'!$C$3:$C$3390,$A1259)&gt;0,1,0)</f>
        <v>0</v>
      </c>
      <c r="R1259">
        <f>IF(COUNTIFS('United Data'!$A$3:$A$3390,R$1,'United Data'!$C$3:$C$3390,$A1259)&gt;0,1,0)</f>
        <v>0</v>
      </c>
      <c r="S1259">
        <f t="shared" si="38"/>
        <v>3</v>
      </c>
      <c r="T1259">
        <f t="shared" si="39"/>
        <v>2</v>
      </c>
    </row>
    <row r="1260" spans="1:20" x14ac:dyDescent="0.2">
      <c r="A1260" t="s">
        <v>1495</v>
      </c>
      <c r="B1260">
        <f>IF(COUNTIFS('United Data'!$A$3:$A$3390,B$1,'United Data'!$C$3:$C$3390,$A1260)&gt;0,1,0)</f>
        <v>0</v>
      </c>
      <c r="C1260">
        <f>IF(COUNTIFS('United Data'!$A$3:$A$3390,C$1,'United Data'!$C$3:$C$3390,$A1260)&gt;0,1,0)</f>
        <v>0</v>
      </c>
      <c r="D1260">
        <f>IF(COUNTIFS('United Data'!$A$3:$A$3390,D$1,'United Data'!$C$3:$C$3390,$A1260)&gt;0,1,0)</f>
        <v>0</v>
      </c>
      <c r="E1260">
        <f>IF(COUNTIFS('United Data'!$A$3:$A$3390,E$1,'United Data'!$C$3:$C$3390,$A1260)&gt;0,1,0)</f>
        <v>0</v>
      </c>
      <c r="F1260">
        <f>IF(COUNTIFS('United Data'!$A$3:$A$3390,F$1,'United Data'!$C$3:$C$3390,$A1260)&gt;0,1,0)</f>
        <v>0</v>
      </c>
      <c r="G1260">
        <f>IF(COUNTIFS('United Data'!$A$3:$A$3390,G$1,'United Data'!$C$3:$C$3390,$A1260)&gt;0,1,0)</f>
        <v>1</v>
      </c>
      <c r="H1260">
        <f>IF(COUNTIFS('United Data'!$A$3:$A$3390,H$1,'United Data'!$C$3:$C$3390,$A1260)&gt;0,1,0)</f>
        <v>0</v>
      </c>
      <c r="I1260">
        <f>IF(COUNTIFS('United Data'!$A$3:$A$3390,I$1,'United Data'!$C$3:$C$3390,$A1260)&gt;0,1,0)</f>
        <v>0</v>
      </c>
      <c r="J1260">
        <f>IF(COUNTIFS('United Data'!$A$3:$A$3390,J$1,'United Data'!$C$3:$C$3390,$A1260)&gt;0,1,0)</f>
        <v>0</v>
      </c>
      <c r="K1260">
        <f>IF(COUNTIFS('United Data'!$A$3:$A$3390,K$1,'United Data'!$C$3:$C$3390,$A1260)&gt;0,1,0)</f>
        <v>0</v>
      </c>
      <c r="L1260">
        <f>IF(COUNTIFS('United Data'!$A$3:$A$3390,L$1,'United Data'!$C$3:$C$3390,$A1260)&gt;0,1,0)</f>
        <v>0</v>
      </c>
      <c r="M1260">
        <f>IF(COUNTIFS('United Data'!$A$3:$A$3390,M$1,'United Data'!$C$3:$C$3390,$A1260)&gt;0,1,0)</f>
        <v>0</v>
      </c>
      <c r="N1260">
        <f>IF(COUNTIFS('United Data'!$A$3:$A$3390,N$1,'United Data'!$C$3:$C$3390,$A1260)&gt;0,1,0)</f>
        <v>0</v>
      </c>
      <c r="O1260">
        <f>IF(COUNTIFS('United Data'!$A$3:$A$3390,O$1,'United Data'!$C$3:$C$3390,$A1260)&gt;0,1,0)</f>
        <v>0</v>
      </c>
      <c r="P1260">
        <f>IF(COUNTIFS('United Data'!$A$3:$A$3390,P$1,'United Data'!$C$3:$C$3390,$A1260)&gt;0,1,0)</f>
        <v>0</v>
      </c>
      <c r="Q1260">
        <f>IF(COUNTIFS('United Data'!$A$3:$A$3390,Q$1,'United Data'!$C$3:$C$3390,$A1260)&gt;0,1,0)</f>
        <v>0</v>
      </c>
      <c r="R1260">
        <f>IF(COUNTIFS('United Data'!$A$3:$A$3390,R$1,'United Data'!$C$3:$C$3390,$A1260)&gt;0,1,0)</f>
        <v>0</v>
      </c>
      <c r="S1260">
        <f t="shared" si="38"/>
        <v>1</v>
      </c>
      <c r="T1260">
        <f t="shared" si="39"/>
        <v>1</v>
      </c>
    </row>
    <row r="1261" spans="1:20" x14ac:dyDescent="0.2">
      <c r="A1261" t="s">
        <v>1496</v>
      </c>
      <c r="B1261">
        <f>IF(COUNTIFS('United Data'!$A$3:$A$3390,B$1,'United Data'!$C$3:$C$3390,$A1261)&gt;0,1,0)</f>
        <v>0</v>
      </c>
      <c r="C1261">
        <f>IF(COUNTIFS('United Data'!$A$3:$A$3390,C$1,'United Data'!$C$3:$C$3390,$A1261)&gt;0,1,0)</f>
        <v>0</v>
      </c>
      <c r="D1261">
        <f>IF(COUNTIFS('United Data'!$A$3:$A$3390,D$1,'United Data'!$C$3:$C$3390,$A1261)&gt;0,1,0)</f>
        <v>0</v>
      </c>
      <c r="E1261">
        <f>IF(COUNTIFS('United Data'!$A$3:$A$3390,E$1,'United Data'!$C$3:$C$3390,$A1261)&gt;0,1,0)</f>
        <v>0</v>
      </c>
      <c r="F1261">
        <f>IF(COUNTIFS('United Data'!$A$3:$A$3390,F$1,'United Data'!$C$3:$C$3390,$A1261)&gt;0,1,0)</f>
        <v>0</v>
      </c>
      <c r="G1261">
        <f>IF(COUNTIFS('United Data'!$A$3:$A$3390,G$1,'United Data'!$C$3:$C$3390,$A1261)&gt;0,1,0)</f>
        <v>1</v>
      </c>
      <c r="H1261">
        <f>IF(COUNTIFS('United Data'!$A$3:$A$3390,H$1,'United Data'!$C$3:$C$3390,$A1261)&gt;0,1,0)</f>
        <v>0</v>
      </c>
      <c r="I1261">
        <f>IF(COUNTIFS('United Data'!$A$3:$A$3390,I$1,'United Data'!$C$3:$C$3390,$A1261)&gt;0,1,0)</f>
        <v>0</v>
      </c>
      <c r="J1261">
        <f>IF(COUNTIFS('United Data'!$A$3:$A$3390,J$1,'United Data'!$C$3:$C$3390,$A1261)&gt;0,1,0)</f>
        <v>0</v>
      </c>
      <c r="K1261">
        <f>IF(COUNTIFS('United Data'!$A$3:$A$3390,K$1,'United Data'!$C$3:$C$3390,$A1261)&gt;0,1,0)</f>
        <v>1</v>
      </c>
      <c r="L1261">
        <f>IF(COUNTIFS('United Data'!$A$3:$A$3390,L$1,'United Data'!$C$3:$C$3390,$A1261)&gt;0,1,0)</f>
        <v>0</v>
      </c>
      <c r="M1261">
        <f>IF(COUNTIFS('United Data'!$A$3:$A$3390,M$1,'United Data'!$C$3:$C$3390,$A1261)&gt;0,1,0)</f>
        <v>1</v>
      </c>
      <c r="N1261">
        <f>IF(COUNTIFS('United Data'!$A$3:$A$3390,N$1,'United Data'!$C$3:$C$3390,$A1261)&gt;0,1,0)</f>
        <v>0</v>
      </c>
      <c r="O1261">
        <f>IF(COUNTIFS('United Data'!$A$3:$A$3390,O$1,'United Data'!$C$3:$C$3390,$A1261)&gt;0,1,0)</f>
        <v>0</v>
      </c>
      <c r="P1261">
        <f>IF(COUNTIFS('United Data'!$A$3:$A$3390,P$1,'United Data'!$C$3:$C$3390,$A1261)&gt;0,1,0)</f>
        <v>0</v>
      </c>
      <c r="Q1261">
        <f>IF(COUNTIFS('United Data'!$A$3:$A$3390,Q$1,'United Data'!$C$3:$C$3390,$A1261)&gt;0,1,0)</f>
        <v>0</v>
      </c>
      <c r="R1261">
        <f>IF(COUNTIFS('United Data'!$A$3:$A$3390,R$1,'United Data'!$C$3:$C$3390,$A1261)&gt;0,1,0)</f>
        <v>0</v>
      </c>
      <c r="S1261">
        <f t="shared" si="38"/>
        <v>3</v>
      </c>
      <c r="T1261">
        <f t="shared" si="39"/>
        <v>3</v>
      </c>
    </row>
    <row r="1262" spans="1:20" x14ac:dyDescent="0.2">
      <c r="A1262" t="s">
        <v>1497</v>
      </c>
      <c r="B1262">
        <f>IF(COUNTIFS('United Data'!$A$3:$A$3390,B$1,'United Data'!$C$3:$C$3390,$A1262)&gt;0,1,0)</f>
        <v>0</v>
      </c>
      <c r="C1262">
        <f>IF(COUNTIFS('United Data'!$A$3:$A$3390,C$1,'United Data'!$C$3:$C$3390,$A1262)&gt;0,1,0)</f>
        <v>0</v>
      </c>
      <c r="D1262">
        <f>IF(COUNTIFS('United Data'!$A$3:$A$3390,D$1,'United Data'!$C$3:$C$3390,$A1262)&gt;0,1,0)</f>
        <v>0</v>
      </c>
      <c r="E1262">
        <f>IF(COUNTIFS('United Data'!$A$3:$A$3390,E$1,'United Data'!$C$3:$C$3390,$A1262)&gt;0,1,0)</f>
        <v>0</v>
      </c>
      <c r="F1262">
        <f>IF(COUNTIFS('United Data'!$A$3:$A$3390,F$1,'United Data'!$C$3:$C$3390,$A1262)&gt;0,1,0)</f>
        <v>0</v>
      </c>
      <c r="G1262">
        <f>IF(COUNTIFS('United Data'!$A$3:$A$3390,G$1,'United Data'!$C$3:$C$3390,$A1262)&gt;0,1,0)</f>
        <v>1</v>
      </c>
      <c r="H1262">
        <f>IF(COUNTIFS('United Data'!$A$3:$A$3390,H$1,'United Data'!$C$3:$C$3390,$A1262)&gt;0,1,0)</f>
        <v>1</v>
      </c>
      <c r="I1262">
        <f>IF(COUNTIFS('United Data'!$A$3:$A$3390,I$1,'United Data'!$C$3:$C$3390,$A1262)&gt;0,1,0)</f>
        <v>0</v>
      </c>
      <c r="J1262">
        <f>IF(COUNTIFS('United Data'!$A$3:$A$3390,J$1,'United Data'!$C$3:$C$3390,$A1262)&gt;0,1,0)</f>
        <v>0</v>
      </c>
      <c r="K1262">
        <f>IF(COUNTIFS('United Data'!$A$3:$A$3390,K$1,'United Data'!$C$3:$C$3390,$A1262)&gt;0,1,0)</f>
        <v>0</v>
      </c>
      <c r="L1262">
        <f>IF(COUNTIFS('United Data'!$A$3:$A$3390,L$1,'United Data'!$C$3:$C$3390,$A1262)&gt;0,1,0)</f>
        <v>1</v>
      </c>
      <c r="M1262">
        <f>IF(COUNTIFS('United Data'!$A$3:$A$3390,M$1,'United Data'!$C$3:$C$3390,$A1262)&gt;0,1,0)</f>
        <v>0</v>
      </c>
      <c r="N1262">
        <f>IF(COUNTIFS('United Data'!$A$3:$A$3390,N$1,'United Data'!$C$3:$C$3390,$A1262)&gt;0,1,0)</f>
        <v>0</v>
      </c>
      <c r="O1262">
        <f>IF(COUNTIFS('United Data'!$A$3:$A$3390,O$1,'United Data'!$C$3:$C$3390,$A1262)&gt;0,1,0)</f>
        <v>0</v>
      </c>
      <c r="P1262">
        <f>IF(COUNTIFS('United Data'!$A$3:$A$3390,P$1,'United Data'!$C$3:$C$3390,$A1262)&gt;0,1,0)</f>
        <v>0</v>
      </c>
      <c r="Q1262">
        <f>IF(COUNTIFS('United Data'!$A$3:$A$3390,Q$1,'United Data'!$C$3:$C$3390,$A1262)&gt;0,1,0)</f>
        <v>0</v>
      </c>
      <c r="R1262">
        <f>IF(COUNTIFS('United Data'!$A$3:$A$3390,R$1,'United Data'!$C$3:$C$3390,$A1262)&gt;0,1,0)</f>
        <v>0</v>
      </c>
      <c r="S1262">
        <f t="shared" si="38"/>
        <v>3</v>
      </c>
      <c r="T1262">
        <f t="shared" si="39"/>
        <v>2</v>
      </c>
    </row>
    <row r="1263" spans="1:20" x14ac:dyDescent="0.2">
      <c r="A1263" t="s">
        <v>1498</v>
      </c>
      <c r="B1263">
        <f>IF(COUNTIFS('United Data'!$A$3:$A$3390,B$1,'United Data'!$C$3:$C$3390,$A1263)&gt;0,1,0)</f>
        <v>0</v>
      </c>
      <c r="C1263">
        <f>IF(COUNTIFS('United Data'!$A$3:$A$3390,C$1,'United Data'!$C$3:$C$3390,$A1263)&gt;0,1,0)</f>
        <v>0</v>
      </c>
      <c r="D1263">
        <f>IF(COUNTIFS('United Data'!$A$3:$A$3390,D$1,'United Data'!$C$3:$C$3390,$A1263)&gt;0,1,0)</f>
        <v>0</v>
      </c>
      <c r="E1263">
        <f>IF(COUNTIFS('United Data'!$A$3:$A$3390,E$1,'United Data'!$C$3:$C$3390,$A1263)&gt;0,1,0)</f>
        <v>0</v>
      </c>
      <c r="F1263">
        <f>IF(COUNTIFS('United Data'!$A$3:$A$3390,F$1,'United Data'!$C$3:$C$3390,$A1263)&gt;0,1,0)</f>
        <v>0</v>
      </c>
      <c r="G1263">
        <f>IF(COUNTIFS('United Data'!$A$3:$A$3390,G$1,'United Data'!$C$3:$C$3390,$A1263)&gt;0,1,0)</f>
        <v>1</v>
      </c>
      <c r="H1263">
        <f>IF(COUNTIFS('United Data'!$A$3:$A$3390,H$1,'United Data'!$C$3:$C$3390,$A1263)&gt;0,1,0)</f>
        <v>0</v>
      </c>
      <c r="I1263">
        <f>IF(COUNTIFS('United Data'!$A$3:$A$3390,I$1,'United Data'!$C$3:$C$3390,$A1263)&gt;0,1,0)</f>
        <v>0</v>
      </c>
      <c r="J1263">
        <f>IF(COUNTIFS('United Data'!$A$3:$A$3390,J$1,'United Data'!$C$3:$C$3390,$A1263)&gt;0,1,0)</f>
        <v>0</v>
      </c>
      <c r="K1263">
        <f>IF(COUNTIFS('United Data'!$A$3:$A$3390,K$1,'United Data'!$C$3:$C$3390,$A1263)&gt;0,1,0)</f>
        <v>0</v>
      </c>
      <c r="L1263">
        <f>IF(COUNTIFS('United Data'!$A$3:$A$3390,L$1,'United Data'!$C$3:$C$3390,$A1263)&gt;0,1,0)</f>
        <v>0</v>
      </c>
      <c r="M1263">
        <f>IF(COUNTIFS('United Data'!$A$3:$A$3390,M$1,'United Data'!$C$3:$C$3390,$A1263)&gt;0,1,0)</f>
        <v>0</v>
      </c>
      <c r="N1263">
        <f>IF(COUNTIFS('United Data'!$A$3:$A$3390,N$1,'United Data'!$C$3:$C$3390,$A1263)&gt;0,1,0)</f>
        <v>0</v>
      </c>
      <c r="O1263">
        <f>IF(COUNTIFS('United Data'!$A$3:$A$3390,O$1,'United Data'!$C$3:$C$3390,$A1263)&gt;0,1,0)</f>
        <v>0</v>
      </c>
      <c r="P1263">
        <f>IF(COUNTIFS('United Data'!$A$3:$A$3390,P$1,'United Data'!$C$3:$C$3390,$A1263)&gt;0,1,0)</f>
        <v>0</v>
      </c>
      <c r="Q1263">
        <f>IF(COUNTIFS('United Data'!$A$3:$A$3390,Q$1,'United Data'!$C$3:$C$3390,$A1263)&gt;0,1,0)</f>
        <v>0</v>
      </c>
      <c r="R1263">
        <f>IF(COUNTIFS('United Data'!$A$3:$A$3390,R$1,'United Data'!$C$3:$C$3390,$A1263)&gt;0,1,0)</f>
        <v>0</v>
      </c>
      <c r="S1263">
        <f t="shared" si="38"/>
        <v>1</v>
      </c>
      <c r="T1263">
        <f t="shared" si="39"/>
        <v>1</v>
      </c>
    </row>
    <row r="1264" spans="1:20" x14ac:dyDescent="0.2">
      <c r="A1264" t="s">
        <v>1499</v>
      </c>
      <c r="B1264">
        <f>IF(COUNTIFS('United Data'!$A$3:$A$3390,B$1,'United Data'!$C$3:$C$3390,$A1264)&gt;0,1,0)</f>
        <v>0</v>
      </c>
      <c r="C1264">
        <f>IF(COUNTIFS('United Data'!$A$3:$A$3390,C$1,'United Data'!$C$3:$C$3390,$A1264)&gt;0,1,0)</f>
        <v>0</v>
      </c>
      <c r="D1264">
        <f>IF(COUNTIFS('United Data'!$A$3:$A$3390,D$1,'United Data'!$C$3:$C$3390,$A1264)&gt;0,1,0)</f>
        <v>0</v>
      </c>
      <c r="E1264">
        <f>IF(COUNTIFS('United Data'!$A$3:$A$3390,E$1,'United Data'!$C$3:$C$3390,$A1264)&gt;0,1,0)</f>
        <v>0</v>
      </c>
      <c r="F1264">
        <f>IF(COUNTIFS('United Data'!$A$3:$A$3390,F$1,'United Data'!$C$3:$C$3390,$A1264)&gt;0,1,0)</f>
        <v>0</v>
      </c>
      <c r="G1264">
        <f>IF(COUNTIFS('United Data'!$A$3:$A$3390,G$1,'United Data'!$C$3:$C$3390,$A1264)&gt;0,1,0)</f>
        <v>1</v>
      </c>
      <c r="H1264">
        <f>IF(COUNTIFS('United Data'!$A$3:$A$3390,H$1,'United Data'!$C$3:$C$3390,$A1264)&gt;0,1,0)</f>
        <v>0</v>
      </c>
      <c r="I1264">
        <f>IF(COUNTIFS('United Data'!$A$3:$A$3390,I$1,'United Data'!$C$3:$C$3390,$A1264)&gt;0,1,0)</f>
        <v>0</v>
      </c>
      <c r="J1264">
        <f>IF(COUNTIFS('United Data'!$A$3:$A$3390,J$1,'United Data'!$C$3:$C$3390,$A1264)&gt;0,1,0)</f>
        <v>0</v>
      </c>
      <c r="K1264">
        <f>IF(COUNTIFS('United Data'!$A$3:$A$3390,K$1,'United Data'!$C$3:$C$3390,$A1264)&gt;0,1,0)</f>
        <v>0</v>
      </c>
      <c r="L1264">
        <f>IF(COUNTIFS('United Data'!$A$3:$A$3390,L$1,'United Data'!$C$3:$C$3390,$A1264)&gt;0,1,0)</f>
        <v>0</v>
      </c>
      <c r="M1264">
        <f>IF(COUNTIFS('United Data'!$A$3:$A$3390,M$1,'United Data'!$C$3:$C$3390,$A1264)&gt;0,1,0)</f>
        <v>0</v>
      </c>
      <c r="N1264">
        <f>IF(COUNTIFS('United Data'!$A$3:$A$3390,N$1,'United Data'!$C$3:$C$3390,$A1264)&gt;0,1,0)</f>
        <v>0</v>
      </c>
      <c r="O1264">
        <f>IF(COUNTIFS('United Data'!$A$3:$A$3390,O$1,'United Data'!$C$3:$C$3390,$A1264)&gt;0,1,0)</f>
        <v>0</v>
      </c>
      <c r="P1264">
        <f>IF(COUNTIFS('United Data'!$A$3:$A$3390,P$1,'United Data'!$C$3:$C$3390,$A1264)&gt;0,1,0)</f>
        <v>0</v>
      </c>
      <c r="Q1264">
        <f>IF(COUNTIFS('United Data'!$A$3:$A$3390,Q$1,'United Data'!$C$3:$C$3390,$A1264)&gt;0,1,0)</f>
        <v>0</v>
      </c>
      <c r="R1264">
        <f>IF(COUNTIFS('United Data'!$A$3:$A$3390,R$1,'United Data'!$C$3:$C$3390,$A1264)&gt;0,1,0)</f>
        <v>0</v>
      </c>
      <c r="S1264">
        <f t="shared" si="38"/>
        <v>1</v>
      </c>
      <c r="T1264">
        <f t="shared" si="39"/>
        <v>1</v>
      </c>
    </row>
    <row r="1265" spans="1:20" x14ac:dyDescent="0.2">
      <c r="A1265" t="s">
        <v>1500</v>
      </c>
      <c r="B1265">
        <f>IF(COUNTIFS('United Data'!$A$3:$A$3390,B$1,'United Data'!$C$3:$C$3390,$A1265)&gt;0,1,0)</f>
        <v>0</v>
      </c>
      <c r="C1265">
        <f>IF(COUNTIFS('United Data'!$A$3:$A$3390,C$1,'United Data'!$C$3:$C$3390,$A1265)&gt;0,1,0)</f>
        <v>0</v>
      </c>
      <c r="D1265">
        <f>IF(COUNTIFS('United Data'!$A$3:$A$3390,D$1,'United Data'!$C$3:$C$3390,$A1265)&gt;0,1,0)</f>
        <v>0</v>
      </c>
      <c r="E1265">
        <f>IF(COUNTIFS('United Data'!$A$3:$A$3390,E$1,'United Data'!$C$3:$C$3390,$A1265)&gt;0,1,0)</f>
        <v>0</v>
      </c>
      <c r="F1265">
        <f>IF(COUNTIFS('United Data'!$A$3:$A$3390,F$1,'United Data'!$C$3:$C$3390,$A1265)&gt;0,1,0)</f>
        <v>0</v>
      </c>
      <c r="G1265">
        <f>IF(COUNTIFS('United Data'!$A$3:$A$3390,G$1,'United Data'!$C$3:$C$3390,$A1265)&gt;0,1,0)</f>
        <v>1</v>
      </c>
      <c r="H1265">
        <f>IF(COUNTIFS('United Data'!$A$3:$A$3390,H$1,'United Data'!$C$3:$C$3390,$A1265)&gt;0,1,0)</f>
        <v>0</v>
      </c>
      <c r="I1265">
        <f>IF(COUNTIFS('United Data'!$A$3:$A$3390,I$1,'United Data'!$C$3:$C$3390,$A1265)&gt;0,1,0)</f>
        <v>0</v>
      </c>
      <c r="J1265">
        <f>IF(COUNTIFS('United Data'!$A$3:$A$3390,J$1,'United Data'!$C$3:$C$3390,$A1265)&gt;0,1,0)</f>
        <v>0</v>
      </c>
      <c r="K1265">
        <f>IF(COUNTIFS('United Data'!$A$3:$A$3390,K$1,'United Data'!$C$3:$C$3390,$A1265)&gt;0,1,0)</f>
        <v>0</v>
      </c>
      <c r="L1265">
        <f>IF(COUNTIFS('United Data'!$A$3:$A$3390,L$1,'United Data'!$C$3:$C$3390,$A1265)&gt;0,1,0)</f>
        <v>0</v>
      </c>
      <c r="M1265">
        <f>IF(COUNTIFS('United Data'!$A$3:$A$3390,M$1,'United Data'!$C$3:$C$3390,$A1265)&gt;0,1,0)</f>
        <v>0</v>
      </c>
      <c r="N1265">
        <f>IF(COUNTIFS('United Data'!$A$3:$A$3390,N$1,'United Data'!$C$3:$C$3390,$A1265)&gt;0,1,0)</f>
        <v>0</v>
      </c>
      <c r="O1265">
        <f>IF(COUNTIFS('United Data'!$A$3:$A$3390,O$1,'United Data'!$C$3:$C$3390,$A1265)&gt;0,1,0)</f>
        <v>0</v>
      </c>
      <c r="P1265">
        <f>IF(COUNTIFS('United Data'!$A$3:$A$3390,P$1,'United Data'!$C$3:$C$3390,$A1265)&gt;0,1,0)</f>
        <v>0</v>
      </c>
      <c r="Q1265">
        <f>IF(COUNTIFS('United Data'!$A$3:$A$3390,Q$1,'United Data'!$C$3:$C$3390,$A1265)&gt;0,1,0)</f>
        <v>0</v>
      </c>
      <c r="R1265">
        <f>IF(COUNTIFS('United Data'!$A$3:$A$3390,R$1,'United Data'!$C$3:$C$3390,$A1265)&gt;0,1,0)</f>
        <v>0</v>
      </c>
      <c r="S1265">
        <f t="shared" si="38"/>
        <v>1</v>
      </c>
      <c r="T1265">
        <f t="shared" si="39"/>
        <v>1</v>
      </c>
    </row>
    <row r="1266" spans="1:20" x14ac:dyDescent="0.2">
      <c r="A1266" t="s">
        <v>1501</v>
      </c>
      <c r="B1266">
        <f>IF(COUNTIFS('United Data'!$A$3:$A$3390,B$1,'United Data'!$C$3:$C$3390,$A1266)&gt;0,1,0)</f>
        <v>0</v>
      </c>
      <c r="C1266">
        <f>IF(COUNTIFS('United Data'!$A$3:$A$3390,C$1,'United Data'!$C$3:$C$3390,$A1266)&gt;0,1,0)</f>
        <v>0</v>
      </c>
      <c r="D1266">
        <f>IF(COUNTIFS('United Data'!$A$3:$A$3390,D$1,'United Data'!$C$3:$C$3390,$A1266)&gt;0,1,0)</f>
        <v>0</v>
      </c>
      <c r="E1266">
        <f>IF(COUNTIFS('United Data'!$A$3:$A$3390,E$1,'United Data'!$C$3:$C$3390,$A1266)&gt;0,1,0)</f>
        <v>0</v>
      </c>
      <c r="F1266">
        <f>IF(COUNTIFS('United Data'!$A$3:$A$3390,F$1,'United Data'!$C$3:$C$3390,$A1266)&gt;0,1,0)</f>
        <v>0</v>
      </c>
      <c r="G1266">
        <f>IF(COUNTIFS('United Data'!$A$3:$A$3390,G$1,'United Data'!$C$3:$C$3390,$A1266)&gt;0,1,0)</f>
        <v>1</v>
      </c>
      <c r="H1266">
        <f>IF(COUNTIFS('United Data'!$A$3:$A$3390,H$1,'United Data'!$C$3:$C$3390,$A1266)&gt;0,1,0)</f>
        <v>0</v>
      </c>
      <c r="I1266">
        <f>IF(COUNTIFS('United Data'!$A$3:$A$3390,I$1,'United Data'!$C$3:$C$3390,$A1266)&gt;0,1,0)</f>
        <v>0</v>
      </c>
      <c r="J1266">
        <f>IF(COUNTIFS('United Data'!$A$3:$A$3390,J$1,'United Data'!$C$3:$C$3390,$A1266)&gt;0,1,0)</f>
        <v>0</v>
      </c>
      <c r="K1266">
        <f>IF(COUNTIFS('United Data'!$A$3:$A$3390,K$1,'United Data'!$C$3:$C$3390,$A1266)&gt;0,1,0)</f>
        <v>0</v>
      </c>
      <c r="L1266">
        <f>IF(COUNTIFS('United Data'!$A$3:$A$3390,L$1,'United Data'!$C$3:$C$3390,$A1266)&gt;0,1,0)</f>
        <v>0</v>
      </c>
      <c r="M1266">
        <f>IF(COUNTIFS('United Data'!$A$3:$A$3390,M$1,'United Data'!$C$3:$C$3390,$A1266)&gt;0,1,0)</f>
        <v>0</v>
      </c>
      <c r="N1266">
        <f>IF(COUNTIFS('United Data'!$A$3:$A$3390,N$1,'United Data'!$C$3:$C$3390,$A1266)&gt;0,1,0)</f>
        <v>0</v>
      </c>
      <c r="O1266">
        <f>IF(COUNTIFS('United Data'!$A$3:$A$3390,O$1,'United Data'!$C$3:$C$3390,$A1266)&gt;0,1,0)</f>
        <v>0</v>
      </c>
      <c r="P1266">
        <f>IF(COUNTIFS('United Data'!$A$3:$A$3390,P$1,'United Data'!$C$3:$C$3390,$A1266)&gt;0,1,0)</f>
        <v>0</v>
      </c>
      <c r="Q1266">
        <f>IF(COUNTIFS('United Data'!$A$3:$A$3390,Q$1,'United Data'!$C$3:$C$3390,$A1266)&gt;0,1,0)</f>
        <v>0</v>
      </c>
      <c r="R1266">
        <f>IF(COUNTIFS('United Data'!$A$3:$A$3390,R$1,'United Data'!$C$3:$C$3390,$A1266)&gt;0,1,0)</f>
        <v>0</v>
      </c>
      <c r="S1266">
        <f t="shared" si="38"/>
        <v>1</v>
      </c>
      <c r="T1266">
        <f t="shared" si="39"/>
        <v>1</v>
      </c>
    </row>
    <row r="1267" spans="1:20" x14ac:dyDescent="0.2">
      <c r="A1267" t="s">
        <v>1502</v>
      </c>
      <c r="B1267">
        <f>IF(COUNTIFS('United Data'!$A$3:$A$3390,B$1,'United Data'!$C$3:$C$3390,$A1267)&gt;0,1,0)</f>
        <v>0</v>
      </c>
      <c r="C1267">
        <f>IF(COUNTIFS('United Data'!$A$3:$A$3390,C$1,'United Data'!$C$3:$C$3390,$A1267)&gt;0,1,0)</f>
        <v>0</v>
      </c>
      <c r="D1267">
        <f>IF(COUNTIFS('United Data'!$A$3:$A$3390,D$1,'United Data'!$C$3:$C$3390,$A1267)&gt;0,1,0)</f>
        <v>0</v>
      </c>
      <c r="E1267">
        <f>IF(COUNTIFS('United Data'!$A$3:$A$3390,E$1,'United Data'!$C$3:$C$3390,$A1267)&gt;0,1,0)</f>
        <v>0</v>
      </c>
      <c r="F1267">
        <f>IF(COUNTIFS('United Data'!$A$3:$A$3390,F$1,'United Data'!$C$3:$C$3390,$A1267)&gt;0,1,0)</f>
        <v>0</v>
      </c>
      <c r="G1267">
        <f>IF(COUNTIFS('United Data'!$A$3:$A$3390,G$1,'United Data'!$C$3:$C$3390,$A1267)&gt;0,1,0)</f>
        <v>1</v>
      </c>
      <c r="H1267">
        <f>IF(COUNTIFS('United Data'!$A$3:$A$3390,H$1,'United Data'!$C$3:$C$3390,$A1267)&gt;0,1,0)</f>
        <v>0</v>
      </c>
      <c r="I1267">
        <f>IF(COUNTIFS('United Data'!$A$3:$A$3390,I$1,'United Data'!$C$3:$C$3390,$A1267)&gt;0,1,0)</f>
        <v>0</v>
      </c>
      <c r="J1267">
        <f>IF(COUNTIFS('United Data'!$A$3:$A$3390,J$1,'United Data'!$C$3:$C$3390,$A1267)&gt;0,1,0)</f>
        <v>0</v>
      </c>
      <c r="K1267">
        <f>IF(COUNTIFS('United Data'!$A$3:$A$3390,K$1,'United Data'!$C$3:$C$3390,$A1267)&gt;0,1,0)</f>
        <v>0</v>
      </c>
      <c r="L1267">
        <f>IF(COUNTIFS('United Data'!$A$3:$A$3390,L$1,'United Data'!$C$3:$C$3390,$A1267)&gt;0,1,0)</f>
        <v>0</v>
      </c>
      <c r="M1267">
        <f>IF(COUNTIFS('United Data'!$A$3:$A$3390,M$1,'United Data'!$C$3:$C$3390,$A1267)&gt;0,1,0)</f>
        <v>0</v>
      </c>
      <c r="N1267">
        <f>IF(COUNTIFS('United Data'!$A$3:$A$3390,N$1,'United Data'!$C$3:$C$3390,$A1267)&gt;0,1,0)</f>
        <v>0</v>
      </c>
      <c r="O1267">
        <f>IF(COUNTIFS('United Data'!$A$3:$A$3390,O$1,'United Data'!$C$3:$C$3390,$A1267)&gt;0,1,0)</f>
        <v>0</v>
      </c>
      <c r="P1267">
        <f>IF(COUNTIFS('United Data'!$A$3:$A$3390,P$1,'United Data'!$C$3:$C$3390,$A1267)&gt;0,1,0)</f>
        <v>0</v>
      </c>
      <c r="Q1267">
        <f>IF(COUNTIFS('United Data'!$A$3:$A$3390,Q$1,'United Data'!$C$3:$C$3390,$A1267)&gt;0,1,0)</f>
        <v>0</v>
      </c>
      <c r="R1267">
        <f>IF(COUNTIFS('United Data'!$A$3:$A$3390,R$1,'United Data'!$C$3:$C$3390,$A1267)&gt;0,1,0)</f>
        <v>0</v>
      </c>
      <c r="S1267">
        <f t="shared" si="38"/>
        <v>1</v>
      </c>
      <c r="T1267">
        <f t="shared" si="39"/>
        <v>1</v>
      </c>
    </row>
    <row r="1268" spans="1:20" x14ac:dyDescent="0.2">
      <c r="A1268" t="s">
        <v>1503</v>
      </c>
      <c r="B1268">
        <f>IF(COUNTIFS('United Data'!$A$3:$A$3390,B$1,'United Data'!$C$3:$C$3390,$A1268)&gt;0,1,0)</f>
        <v>0</v>
      </c>
      <c r="C1268">
        <f>IF(COUNTIFS('United Data'!$A$3:$A$3390,C$1,'United Data'!$C$3:$C$3390,$A1268)&gt;0,1,0)</f>
        <v>0</v>
      </c>
      <c r="D1268">
        <f>IF(COUNTIFS('United Data'!$A$3:$A$3390,D$1,'United Data'!$C$3:$C$3390,$A1268)&gt;0,1,0)</f>
        <v>0</v>
      </c>
      <c r="E1268">
        <f>IF(COUNTIFS('United Data'!$A$3:$A$3390,E$1,'United Data'!$C$3:$C$3390,$A1268)&gt;0,1,0)</f>
        <v>0</v>
      </c>
      <c r="F1268">
        <f>IF(COUNTIFS('United Data'!$A$3:$A$3390,F$1,'United Data'!$C$3:$C$3390,$A1268)&gt;0,1,0)</f>
        <v>0</v>
      </c>
      <c r="G1268">
        <f>IF(COUNTIFS('United Data'!$A$3:$A$3390,G$1,'United Data'!$C$3:$C$3390,$A1268)&gt;0,1,0)</f>
        <v>0</v>
      </c>
      <c r="H1268">
        <f>IF(COUNTIFS('United Data'!$A$3:$A$3390,H$1,'United Data'!$C$3:$C$3390,$A1268)&gt;0,1,0)</f>
        <v>1</v>
      </c>
      <c r="I1268">
        <f>IF(COUNTIFS('United Data'!$A$3:$A$3390,I$1,'United Data'!$C$3:$C$3390,$A1268)&gt;0,1,0)</f>
        <v>0</v>
      </c>
      <c r="J1268">
        <f>IF(COUNTIFS('United Data'!$A$3:$A$3390,J$1,'United Data'!$C$3:$C$3390,$A1268)&gt;0,1,0)</f>
        <v>0</v>
      </c>
      <c r="K1268">
        <f>IF(COUNTIFS('United Data'!$A$3:$A$3390,K$1,'United Data'!$C$3:$C$3390,$A1268)&gt;0,1,0)</f>
        <v>0</v>
      </c>
      <c r="L1268">
        <f>IF(COUNTIFS('United Data'!$A$3:$A$3390,L$1,'United Data'!$C$3:$C$3390,$A1268)&gt;0,1,0)</f>
        <v>1</v>
      </c>
      <c r="M1268">
        <f>IF(COUNTIFS('United Data'!$A$3:$A$3390,M$1,'United Data'!$C$3:$C$3390,$A1268)&gt;0,1,0)</f>
        <v>0</v>
      </c>
      <c r="N1268">
        <f>IF(COUNTIFS('United Data'!$A$3:$A$3390,N$1,'United Data'!$C$3:$C$3390,$A1268)&gt;0,1,0)</f>
        <v>1</v>
      </c>
      <c r="O1268">
        <f>IF(COUNTIFS('United Data'!$A$3:$A$3390,O$1,'United Data'!$C$3:$C$3390,$A1268)&gt;0,1,0)</f>
        <v>0</v>
      </c>
      <c r="P1268">
        <f>IF(COUNTIFS('United Data'!$A$3:$A$3390,P$1,'United Data'!$C$3:$C$3390,$A1268)&gt;0,1,0)</f>
        <v>0</v>
      </c>
      <c r="Q1268">
        <f>IF(COUNTIFS('United Data'!$A$3:$A$3390,Q$1,'United Data'!$C$3:$C$3390,$A1268)&gt;0,1,0)</f>
        <v>0</v>
      </c>
      <c r="R1268">
        <f>IF(COUNTIFS('United Data'!$A$3:$A$3390,R$1,'United Data'!$C$3:$C$3390,$A1268)&gt;0,1,0)</f>
        <v>0</v>
      </c>
      <c r="S1268">
        <f t="shared" si="38"/>
        <v>3</v>
      </c>
      <c r="T1268">
        <f t="shared" si="39"/>
        <v>3</v>
      </c>
    </row>
    <row r="1269" spans="1:20" x14ac:dyDescent="0.2">
      <c r="A1269" t="s">
        <v>1504</v>
      </c>
      <c r="B1269">
        <f>IF(COUNTIFS('United Data'!$A$3:$A$3390,B$1,'United Data'!$C$3:$C$3390,$A1269)&gt;0,1,0)</f>
        <v>0</v>
      </c>
      <c r="C1269">
        <f>IF(COUNTIFS('United Data'!$A$3:$A$3390,C$1,'United Data'!$C$3:$C$3390,$A1269)&gt;0,1,0)</f>
        <v>0</v>
      </c>
      <c r="D1269">
        <f>IF(COUNTIFS('United Data'!$A$3:$A$3390,D$1,'United Data'!$C$3:$C$3390,$A1269)&gt;0,1,0)</f>
        <v>0</v>
      </c>
      <c r="E1269">
        <f>IF(COUNTIFS('United Data'!$A$3:$A$3390,E$1,'United Data'!$C$3:$C$3390,$A1269)&gt;0,1,0)</f>
        <v>0</v>
      </c>
      <c r="F1269">
        <f>IF(COUNTIFS('United Data'!$A$3:$A$3390,F$1,'United Data'!$C$3:$C$3390,$A1269)&gt;0,1,0)</f>
        <v>0</v>
      </c>
      <c r="G1269">
        <f>IF(COUNTIFS('United Data'!$A$3:$A$3390,G$1,'United Data'!$C$3:$C$3390,$A1269)&gt;0,1,0)</f>
        <v>0</v>
      </c>
      <c r="H1269">
        <f>IF(COUNTIFS('United Data'!$A$3:$A$3390,H$1,'United Data'!$C$3:$C$3390,$A1269)&gt;0,1,0)</f>
        <v>1</v>
      </c>
      <c r="I1269">
        <f>IF(COUNTIFS('United Data'!$A$3:$A$3390,I$1,'United Data'!$C$3:$C$3390,$A1269)&gt;0,1,0)</f>
        <v>0</v>
      </c>
      <c r="J1269">
        <f>IF(COUNTIFS('United Data'!$A$3:$A$3390,J$1,'United Data'!$C$3:$C$3390,$A1269)&gt;0,1,0)</f>
        <v>0</v>
      </c>
      <c r="K1269">
        <f>IF(COUNTIFS('United Data'!$A$3:$A$3390,K$1,'United Data'!$C$3:$C$3390,$A1269)&gt;0,1,0)</f>
        <v>0</v>
      </c>
      <c r="L1269">
        <f>IF(COUNTIFS('United Data'!$A$3:$A$3390,L$1,'United Data'!$C$3:$C$3390,$A1269)&gt;0,1,0)</f>
        <v>0</v>
      </c>
      <c r="M1269">
        <f>IF(COUNTIFS('United Data'!$A$3:$A$3390,M$1,'United Data'!$C$3:$C$3390,$A1269)&gt;0,1,0)</f>
        <v>1</v>
      </c>
      <c r="N1269">
        <f>IF(COUNTIFS('United Data'!$A$3:$A$3390,N$1,'United Data'!$C$3:$C$3390,$A1269)&gt;0,1,0)</f>
        <v>1</v>
      </c>
      <c r="O1269">
        <f>IF(COUNTIFS('United Data'!$A$3:$A$3390,O$1,'United Data'!$C$3:$C$3390,$A1269)&gt;0,1,0)</f>
        <v>1</v>
      </c>
      <c r="P1269">
        <f>IF(COUNTIFS('United Data'!$A$3:$A$3390,P$1,'United Data'!$C$3:$C$3390,$A1269)&gt;0,1,0)</f>
        <v>0</v>
      </c>
      <c r="Q1269">
        <f>IF(COUNTIFS('United Data'!$A$3:$A$3390,Q$1,'United Data'!$C$3:$C$3390,$A1269)&gt;0,1,0)</f>
        <v>0</v>
      </c>
      <c r="R1269">
        <f>IF(COUNTIFS('United Data'!$A$3:$A$3390,R$1,'United Data'!$C$3:$C$3390,$A1269)&gt;0,1,0)</f>
        <v>0</v>
      </c>
      <c r="S1269">
        <f t="shared" si="38"/>
        <v>4</v>
      </c>
      <c r="T1269">
        <f t="shared" si="39"/>
        <v>2</v>
      </c>
    </row>
    <row r="1270" spans="1:20" x14ac:dyDescent="0.2">
      <c r="A1270" t="s">
        <v>1505</v>
      </c>
      <c r="B1270">
        <f>IF(COUNTIFS('United Data'!$A$3:$A$3390,B$1,'United Data'!$C$3:$C$3390,$A1270)&gt;0,1,0)</f>
        <v>0</v>
      </c>
      <c r="C1270">
        <f>IF(COUNTIFS('United Data'!$A$3:$A$3390,C$1,'United Data'!$C$3:$C$3390,$A1270)&gt;0,1,0)</f>
        <v>0</v>
      </c>
      <c r="D1270">
        <f>IF(COUNTIFS('United Data'!$A$3:$A$3390,D$1,'United Data'!$C$3:$C$3390,$A1270)&gt;0,1,0)</f>
        <v>0</v>
      </c>
      <c r="E1270">
        <f>IF(COUNTIFS('United Data'!$A$3:$A$3390,E$1,'United Data'!$C$3:$C$3390,$A1270)&gt;0,1,0)</f>
        <v>0</v>
      </c>
      <c r="F1270">
        <f>IF(COUNTIFS('United Data'!$A$3:$A$3390,F$1,'United Data'!$C$3:$C$3390,$A1270)&gt;0,1,0)</f>
        <v>0</v>
      </c>
      <c r="G1270">
        <f>IF(COUNTIFS('United Data'!$A$3:$A$3390,G$1,'United Data'!$C$3:$C$3390,$A1270)&gt;0,1,0)</f>
        <v>0</v>
      </c>
      <c r="H1270">
        <f>IF(COUNTIFS('United Data'!$A$3:$A$3390,H$1,'United Data'!$C$3:$C$3390,$A1270)&gt;0,1,0)</f>
        <v>1</v>
      </c>
      <c r="I1270">
        <f>IF(COUNTIFS('United Data'!$A$3:$A$3390,I$1,'United Data'!$C$3:$C$3390,$A1270)&gt;0,1,0)</f>
        <v>0</v>
      </c>
      <c r="J1270">
        <f>IF(COUNTIFS('United Data'!$A$3:$A$3390,J$1,'United Data'!$C$3:$C$3390,$A1270)&gt;0,1,0)</f>
        <v>0</v>
      </c>
      <c r="K1270">
        <f>IF(COUNTIFS('United Data'!$A$3:$A$3390,K$1,'United Data'!$C$3:$C$3390,$A1270)&gt;0,1,0)</f>
        <v>0</v>
      </c>
      <c r="L1270">
        <f>IF(COUNTIFS('United Data'!$A$3:$A$3390,L$1,'United Data'!$C$3:$C$3390,$A1270)&gt;0,1,0)</f>
        <v>0</v>
      </c>
      <c r="M1270">
        <f>IF(COUNTIFS('United Data'!$A$3:$A$3390,M$1,'United Data'!$C$3:$C$3390,$A1270)&gt;0,1,0)</f>
        <v>0</v>
      </c>
      <c r="N1270">
        <f>IF(COUNTIFS('United Data'!$A$3:$A$3390,N$1,'United Data'!$C$3:$C$3390,$A1270)&gt;0,1,0)</f>
        <v>0</v>
      </c>
      <c r="O1270">
        <f>IF(COUNTIFS('United Data'!$A$3:$A$3390,O$1,'United Data'!$C$3:$C$3390,$A1270)&gt;0,1,0)</f>
        <v>0</v>
      </c>
      <c r="P1270">
        <f>IF(COUNTIFS('United Data'!$A$3:$A$3390,P$1,'United Data'!$C$3:$C$3390,$A1270)&gt;0,1,0)</f>
        <v>0</v>
      </c>
      <c r="Q1270">
        <f>IF(COUNTIFS('United Data'!$A$3:$A$3390,Q$1,'United Data'!$C$3:$C$3390,$A1270)&gt;0,1,0)</f>
        <v>0</v>
      </c>
      <c r="R1270">
        <f>IF(COUNTIFS('United Data'!$A$3:$A$3390,R$1,'United Data'!$C$3:$C$3390,$A1270)&gt;0,1,0)</f>
        <v>0</v>
      </c>
      <c r="S1270">
        <f t="shared" si="38"/>
        <v>1</v>
      </c>
      <c r="T1270">
        <f t="shared" si="39"/>
        <v>1</v>
      </c>
    </row>
    <row r="1271" spans="1:20" x14ac:dyDescent="0.2">
      <c r="A1271" t="s">
        <v>1506</v>
      </c>
      <c r="B1271">
        <f>IF(COUNTIFS('United Data'!$A$3:$A$3390,B$1,'United Data'!$C$3:$C$3390,$A1271)&gt;0,1,0)</f>
        <v>0</v>
      </c>
      <c r="C1271">
        <f>IF(COUNTIFS('United Data'!$A$3:$A$3390,C$1,'United Data'!$C$3:$C$3390,$A1271)&gt;0,1,0)</f>
        <v>0</v>
      </c>
      <c r="D1271">
        <f>IF(COUNTIFS('United Data'!$A$3:$A$3390,D$1,'United Data'!$C$3:$C$3390,$A1271)&gt;0,1,0)</f>
        <v>0</v>
      </c>
      <c r="E1271">
        <f>IF(COUNTIFS('United Data'!$A$3:$A$3390,E$1,'United Data'!$C$3:$C$3390,$A1271)&gt;0,1,0)</f>
        <v>0</v>
      </c>
      <c r="F1271">
        <f>IF(COUNTIFS('United Data'!$A$3:$A$3390,F$1,'United Data'!$C$3:$C$3390,$A1271)&gt;0,1,0)</f>
        <v>0</v>
      </c>
      <c r="G1271">
        <f>IF(COUNTIFS('United Data'!$A$3:$A$3390,G$1,'United Data'!$C$3:$C$3390,$A1271)&gt;0,1,0)</f>
        <v>0</v>
      </c>
      <c r="H1271">
        <f>IF(COUNTIFS('United Data'!$A$3:$A$3390,H$1,'United Data'!$C$3:$C$3390,$A1271)&gt;0,1,0)</f>
        <v>1</v>
      </c>
      <c r="I1271">
        <f>IF(COUNTIFS('United Data'!$A$3:$A$3390,I$1,'United Data'!$C$3:$C$3390,$A1271)&gt;0,1,0)</f>
        <v>0</v>
      </c>
      <c r="J1271">
        <f>IF(COUNTIFS('United Data'!$A$3:$A$3390,J$1,'United Data'!$C$3:$C$3390,$A1271)&gt;0,1,0)</f>
        <v>0</v>
      </c>
      <c r="K1271">
        <f>IF(COUNTIFS('United Data'!$A$3:$A$3390,K$1,'United Data'!$C$3:$C$3390,$A1271)&gt;0,1,0)</f>
        <v>0</v>
      </c>
      <c r="L1271">
        <f>IF(COUNTIFS('United Data'!$A$3:$A$3390,L$1,'United Data'!$C$3:$C$3390,$A1271)&gt;0,1,0)</f>
        <v>0</v>
      </c>
      <c r="M1271">
        <f>IF(COUNTIFS('United Data'!$A$3:$A$3390,M$1,'United Data'!$C$3:$C$3390,$A1271)&gt;0,1,0)</f>
        <v>0</v>
      </c>
      <c r="N1271">
        <f>IF(COUNTIFS('United Data'!$A$3:$A$3390,N$1,'United Data'!$C$3:$C$3390,$A1271)&gt;0,1,0)</f>
        <v>0</v>
      </c>
      <c r="O1271">
        <f>IF(COUNTIFS('United Data'!$A$3:$A$3390,O$1,'United Data'!$C$3:$C$3390,$A1271)&gt;0,1,0)</f>
        <v>0</v>
      </c>
      <c r="P1271">
        <f>IF(COUNTIFS('United Data'!$A$3:$A$3390,P$1,'United Data'!$C$3:$C$3390,$A1271)&gt;0,1,0)</f>
        <v>0</v>
      </c>
      <c r="Q1271">
        <f>IF(COUNTIFS('United Data'!$A$3:$A$3390,Q$1,'United Data'!$C$3:$C$3390,$A1271)&gt;0,1,0)</f>
        <v>0</v>
      </c>
      <c r="R1271">
        <f>IF(COUNTIFS('United Data'!$A$3:$A$3390,R$1,'United Data'!$C$3:$C$3390,$A1271)&gt;0,1,0)</f>
        <v>0</v>
      </c>
      <c r="S1271">
        <f t="shared" si="38"/>
        <v>1</v>
      </c>
      <c r="T1271">
        <f t="shared" si="39"/>
        <v>1</v>
      </c>
    </row>
    <row r="1272" spans="1:20" x14ac:dyDescent="0.2">
      <c r="A1272" t="s">
        <v>1507</v>
      </c>
      <c r="B1272">
        <f>IF(COUNTIFS('United Data'!$A$3:$A$3390,B$1,'United Data'!$C$3:$C$3390,$A1272)&gt;0,1,0)</f>
        <v>0</v>
      </c>
      <c r="C1272">
        <f>IF(COUNTIFS('United Data'!$A$3:$A$3390,C$1,'United Data'!$C$3:$C$3390,$A1272)&gt;0,1,0)</f>
        <v>0</v>
      </c>
      <c r="D1272">
        <f>IF(COUNTIFS('United Data'!$A$3:$A$3390,D$1,'United Data'!$C$3:$C$3390,$A1272)&gt;0,1,0)</f>
        <v>0</v>
      </c>
      <c r="E1272">
        <f>IF(COUNTIFS('United Data'!$A$3:$A$3390,E$1,'United Data'!$C$3:$C$3390,$A1272)&gt;0,1,0)</f>
        <v>0</v>
      </c>
      <c r="F1272">
        <f>IF(COUNTIFS('United Data'!$A$3:$A$3390,F$1,'United Data'!$C$3:$C$3390,$A1272)&gt;0,1,0)</f>
        <v>0</v>
      </c>
      <c r="G1272">
        <f>IF(COUNTIFS('United Data'!$A$3:$A$3390,G$1,'United Data'!$C$3:$C$3390,$A1272)&gt;0,1,0)</f>
        <v>0</v>
      </c>
      <c r="H1272">
        <f>IF(COUNTIFS('United Data'!$A$3:$A$3390,H$1,'United Data'!$C$3:$C$3390,$A1272)&gt;0,1,0)</f>
        <v>0</v>
      </c>
      <c r="I1272">
        <f>IF(COUNTIFS('United Data'!$A$3:$A$3390,I$1,'United Data'!$C$3:$C$3390,$A1272)&gt;0,1,0)</f>
        <v>1</v>
      </c>
      <c r="J1272">
        <f>IF(COUNTIFS('United Data'!$A$3:$A$3390,J$1,'United Data'!$C$3:$C$3390,$A1272)&gt;0,1,0)</f>
        <v>0</v>
      </c>
      <c r="K1272">
        <f>IF(COUNTIFS('United Data'!$A$3:$A$3390,K$1,'United Data'!$C$3:$C$3390,$A1272)&gt;0,1,0)</f>
        <v>0</v>
      </c>
      <c r="L1272">
        <f>IF(COUNTIFS('United Data'!$A$3:$A$3390,L$1,'United Data'!$C$3:$C$3390,$A1272)&gt;0,1,0)</f>
        <v>0</v>
      </c>
      <c r="M1272">
        <f>IF(COUNTIFS('United Data'!$A$3:$A$3390,M$1,'United Data'!$C$3:$C$3390,$A1272)&gt;0,1,0)</f>
        <v>0</v>
      </c>
      <c r="N1272">
        <f>IF(COUNTIFS('United Data'!$A$3:$A$3390,N$1,'United Data'!$C$3:$C$3390,$A1272)&gt;0,1,0)</f>
        <v>0</v>
      </c>
      <c r="O1272">
        <f>IF(COUNTIFS('United Data'!$A$3:$A$3390,O$1,'United Data'!$C$3:$C$3390,$A1272)&gt;0,1,0)</f>
        <v>0</v>
      </c>
      <c r="P1272">
        <f>IF(COUNTIFS('United Data'!$A$3:$A$3390,P$1,'United Data'!$C$3:$C$3390,$A1272)&gt;0,1,0)</f>
        <v>0</v>
      </c>
      <c r="Q1272">
        <f>IF(COUNTIFS('United Data'!$A$3:$A$3390,Q$1,'United Data'!$C$3:$C$3390,$A1272)&gt;0,1,0)</f>
        <v>0</v>
      </c>
      <c r="R1272">
        <f>IF(COUNTIFS('United Data'!$A$3:$A$3390,R$1,'United Data'!$C$3:$C$3390,$A1272)&gt;0,1,0)</f>
        <v>0</v>
      </c>
      <c r="S1272">
        <f t="shared" si="38"/>
        <v>1</v>
      </c>
      <c r="T1272">
        <f t="shared" si="39"/>
        <v>1</v>
      </c>
    </row>
    <row r="1273" spans="1:20" x14ac:dyDescent="0.2">
      <c r="A1273" t="s">
        <v>1508</v>
      </c>
      <c r="B1273">
        <f>IF(COUNTIFS('United Data'!$A$3:$A$3390,B$1,'United Data'!$C$3:$C$3390,$A1273)&gt;0,1,0)</f>
        <v>0</v>
      </c>
      <c r="C1273">
        <f>IF(COUNTIFS('United Data'!$A$3:$A$3390,C$1,'United Data'!$C$3:$C$3390,$A1273)&gt;0,1,0)</f>
        <v>0</v>
      </c>
      <c r="D1273">
        <f>IF(COUNTIFS('United Data'!$A$3:$A$3390,D$1,'United Data'!$C$3:$C$3390,$A1273)&gt;0,1,0)</f>
        <v>0</v>
      </c>
      <c r="E1273">
        <f>IF(COUNTIFS('United Data'!$A$3:$A$3390,E$1,'United Data'!$C$3:$C$3390,$A1273)&gt;0,1,0)</f>
        <v>0</v>
      </c>
      <c r="F1273">
        <f>IF(COUNTIFS('United Data'!$A$3:$A$3390,F$1,'United Data'!$C$3:$C$3390,$A1273)&gt;0,1,0)</f>
        <v>0</v>
      </c>
      <c r="G1273">
        <f>IF(COUNTIFS('United Data'!$A$3:$A$3390,G$1,'United Data'!$C$3:$C$3390,$A1273)&gt;0,1,0)</f>
        <v>0</v>
      </c>
      <c r="H1273">
        <f>IF(COUNTIFS('United Data'!$A$3:$A$3390,H$1,'United Data'!$C$3:$C$3390,$A1273)&gt;0,1,0)</f>
        <v>0</v>
      </c>
      <c r="I1273">
        <f>IF(COUNTIFS('United Data'!$A$3:$A$3390,I$1,'United Data'!$C$3:$C$3390,$A1273)&gt;0,1,0)</f>
        <v>0</v>
      </c>
      <c r="J1273">
        <f>IF(COUNTIFS('United Data'!$A$3:$A$3390,J$1,'United Data'!$C$3:$C$3390,$A1273)&gt;0,1,0)</f>
        <v>1</v>
      </c>
      <c r="K1273">
        <f>IF(COUNTIFS('United Data'!$A$3:$A$3390,K$1,'United Data'!$C$3:$C$3390,$A1273)&gt;0,1,0)</f>
        <v>0</v>
      </c>
      <c r="L1273">
        <f>IF(COUNTIFS('United Data'!$A$3:$A$3390,L$1,'United Data'!$C$3:$C$3390,$A1273)&gt;0,1,0)</f>
        <v>0</v>
      </c>
      <c r="M1273">
        <f>IF(COUNTIFS('United Data'!$A$3:$A$3390,M$1,'United Data'!$C$3:$C$3390,$A1273)&gt;0,1,0)</f>
        <v>0</v>
      </c>
      <c r="N1273">
        <f>IF(COUNTIFS('United Data'!$A$3:$A$3390,N$1,'United Data'!$C$3:$C$3390,$A1273)&gt;0,1,0)</f>
        <v>0</v>
      </c>
      <c r="O1273">
        <f>IF(COUNTIFS('United Data'!$A$3:$A$3390,O$1,'United Data'!$C$3:$C$3390,$A1273)&gt;0,1,0)</f>
        <v>0</v>
      </c>
      <c r="P1273">
        <f>IF(COUNTIFS('United Data'!$A$3:$A$3390,P$1,'United Data'!$C$3:$C$3390,$A1273)&gt;0,1,0)</f>
        <v>0</v>
      </c>
      <c r="Q1273">
        <f>IF(COUNTIFS('United Data'!$A$3:$A$3390,Q$1,'United Data'!$C$3:$C$3390,$A1273)&gt;0,1,0)</f>
        <v>0</v>
      </c>
      <c r="R1273">
        <f>IF(COUNTIFS('United Data'!$A$3:$A$3390,R$1,'United Data'!$C$3:$C$3390,$A1273)&gt;0,1,0)</f>
        <v>0</v>
      </c>
      <c r="S1273">
        <f t="shared" si="38"/>
        <v>1</v>
      </c>
      <c r="T1273">
        <f t="shared" si="39"/>
        <v>1</v>
      </c>
    </row>
    <row r="1274" spans="1:20" x14ac:dyDescent="0.2">
      <c r="A1274" t="s">
        <v>1509</v>
      </c>
      <c r="B1274">
        <f>IF(COUNTIFS('United Data'!$A$3:$A$3390,B$1,'United Data'!$C$3:$C$3390,$A1274)&gt;0,1,0)</f>
        <v>0</v>
      </c>
      <c r="C1274">
        <f>IF(COUNTIFS('United Data'!$A$3:$A$3390,C$1,'United Data'!$C$3:$C$3390,$A1274)&gt;0,1,0)</f>
        <v>0</v>
      </c>
      <c r="D1274">
        <f>IF(COUNTIFS('United Data'!$A$3:$A$3390,D$1,'United Data'!$C$3:$C$3390,$A1274)&gt;0,1,0)</f>
        <v>0</v>
      </c>
      <c r="E1274">
        <f>IF(COUNTIFS('United Data'!$A$3:$A$3390,E$1,'United Data'!$C$3:$C$3390,$A1274)&gt;0,1,0)</f>
        <v>0</v>
      </c>
      <c r="F1274">
        <f>IF(COUNTIFS('United Data'!$A$3:$A$3390,F$1,'United Data'!$C$3:$C$3390,$A1274)&gt;0,1,0)</f>
        <v>0</v>
      </c>
      <c r="G1274">
        <f>IF(COUNTIFS('United Data'!$A$3:$A$3390,G$1,'United Data'!$C$3:$C$3390,$A1274)&gt;0,1,0)</f>
        <v>0</v>
      </c>
      <c r="H1274">
        <f>IF(COUNTIFS('United Data'!$A$3:$A$3390,H$1,'United Data'!$C$3:$C$3390,$A1274)&gt;0,1,0)</f>
        <v>0</v>
      </c>
      <c r="I1274">
        <f>IF(COUNTIFS('United Data'!$A$3:$A$3390,I$1,'United Data'!$C$3:$C$3390,$A1274)&gt;0,1,0)</f>
        <v>0</v>
      </c>
      <c r="J1274">
        <f>IF(COUNTIFS('United Data'!$A$3:$A$3390,J$1,'United Data'!$C$3:$C$3390,$A1274)&gt;0,1,0)</f>
        <v>1</v>
      </c>
      <c r="K1274">
        <f>IF(COUNTIFS('United Data'!$A$3:$A$3390,K$1,'United Data'!$C$3:$C$3390,$A1274)&gt;0,1,0)</f>
        <v>0</v>
      </c>
      <c r="L1274">
        <f>IF(COUNTIFS('United Data'!$A$3:$A$3390,L$1,'United Data'!$C$3:$C$3390,$A1274)&gt;0,1,0)</f>
        <v>0</v>
      </c>
      <c r="M1274">
        <f>IF(COUNTIFS('United Data'!$A$3:$A$3390,M$1,'United Data'!$C$3:$C$3390,$A1274)&gt;0,1,0)</f>
        <v>1</v>
      </c>
      <c r="N1274">
        <f>IF(COUNTIFS('United Data'!$A$3:$A$3390,N$1,'United Data'!$C$3:$C$3390,$A1274)&gt;0,1,0)</f>
        <v>1</v>
      </c>
      <c r="O1274">
        <f>IF(COUNTIFS('United Data'!$A$3:$A$3390,O$1,'United Data'!$C$3:$C$3390,$A1274)&gt;0,1,0)</f>
        <v>1</v>
      </c>
      <c r="P1274">
        <f>IF(COUNTIFS('United Data'!$A$3:$A$3390,P$1,'United Data'!$C$3:$C$3390,$A1274)&gt;0,1,0)</f>
        <v>1</v>
      </c>
      <c r="Q1274">
        <f>IF(COUNTIFS('United Data'!$A$3:$A$3390,Q$1,'United Data'!$C$3:$C$3390,$A1274)&gt;0,1,0)</f>
        <v>1</v>
      </c>
      <c r="R1274">
        <f>IF(COUNTIFS('United Data'!$A$3:$A$3390,R$1,'United Data'!$C$3:$C$3390,$A1274)&gt;0,1,0)</f>
        <v>1</v>
      </c>
      <c r="S1274">
        <f t="shared" si="38"/>
        <v>7</v>
      </c>
      <c r="T1274">
        <f t="shared" si="39"/>
        <v>2</v>
      </c>
    </row>
    <row r="1275" spans="1:20" x14ac:dyDescent="0.2">
      <c r="A1275" t="s">
        <v>1510</v>
      </c>
      <c r="B1275">
        <f>IF(COUNTIFS('United Data'!$A$3:$A$3390,B$1,'United Data'!$C$3:$C$3390,$A1275)&gt;0,1,0)</f>
        <v>0</v>
      </c>
      <c r="C1275">
        <f>IF(COUNTIFS('United Data'!$A$3:$A$3390,C$1,'United Data'!$C$3:$C$3390,$A1275)&gt;0,1,0)</f>
        <v>0</v>
      </c>
      <c r="D1275">
        <f>IF(COUNTIFS('United Data'!$A$3:$A$3390,D$1,'United Data'!$C$3:$C$3390,$A1275)&gt;0,1,0)</f>
        <v>0</v>
      </c>
      <c r="E1275">
        <f>IF(COUNTIFS('United Data'!$A$3:$A$3390,E$1,'United Data'!$C$3:$C$3390,$A1275)&gt;0,1,0)</f>
        <v>0</v>
      </c>
      <c r="F1275">
        <f>IF(COUNTIFS('United Data'!$A$3:$A$3390,F$1,'United Data'!$C$3:$C$3390,$A1275)&gt;0,1,0)</f>
        <v>0</v>
      </c>
      <c r="G1275">
        <f>IF(COUNTIFS('United Data'!$A$3:$A$3390,G$1,'United Data'!$C$3:$C$3390,$A1275)&gt;0,1,0)</f>
        <v>0</v>
      </c>
      <c r="H1275">
        <f>IF(COUNTIFS('United Data'!$A$3:$A$3390,H$1,'United Data'!$C$3:$C$3390,$A1275)&gt;0,1,0)</f>
        <v>0</v>
      </c>
      <c r="I1275">
        <f>IF(COUNTIFS('United Data'!$A$3:$A$3390,I$1,'United Data'!$C$3:$C$3390,$A1275)&gt;0,1,0)</f>
        <v>0</v>
      </c>
      <c r="J1275">
        <f>IF(COUNTIFS('United Data'!$A$3:$A$3390,J$1,'United Data'!$C$3:$C$3390,$A1275)&gt;0,1,0)</f>
        <v>1</v>
      </c>
      <c r="K1275">
        <f>IF(COUNTIFS('United Data'!$A$3:$A$3390,K$1,'United Data'!$C$3:$C$3390,$A1275)&gt;0,1,0)</f>
        <v>0</v>
      </c>
      <c r="L1275">
        <f>IF(COUNTIFS('United Data'!$A$3:$A$3390,L$1,'United Data'!$C$3:$C$3390,$A1275)&gt;0,1,0)</f>
        <v>0</v>
      </c>
      <c r="M1275">
        <f>IF(COUNTIFS('United Data'!$A$3:$A$3390,M$1,'United Data'!$C$3:$C$3390,$A1275)&gt;0,1,0)</f>
        <v>0</v>
      </c>
      <c r="N1275">
        <f>IF(COUNTIFS('United Data'!$A$3:$A$3390,N$1,'United Data'!$C$3:$C$3390,$A1275)&gt;0,1,0)</f>
        <v>0</v>
      </c>
      <c r="O1275">
        <f>IF(COUNTIFS('United Data'!$A$3:$A$3390,O$1,'United Data'!$C$3:$C$3390,$A1275)&gt;0,1,0)</f>
        <v>0</v>
      </c>
      <c r="P1275">
        <f>IF(COUNTIFS('United Data'!$A$3:$A$3390,P$1,'United Data'!$C$3:$C$3390,$A1275)&gt;0,1,0)</f>
        <v>0</v>
      </c>
      <c r="Q1275">
        <f>IF(COUNTIFS('United Data'!$A$3:$A$3390,Q$1,'United Data'!$C$3:$C$3390,$A1275)&gt;0,1,0)</f>
        <v>0</v>
      </c>
      <c r="R1275">
        <f>IF(COUNTIFS('United Data'!$A$3:$A$3390,R$1,'United Data'!$C$3:$C$3390,$A1275)&gt;0,1,0)</f>
        <v>0</v>
      </c>
      <c r="S1275">
        <f t="shared" si="38"/>
        <v>1</v>
      </c>
      <c r="T1275">
        <f t="shared" si="39"/>
        <v>1</v>
      </c>
    </row>
    <row r="1276" spans="1:20" x14ac:dyDescent="0.2">
      <c r="A1276" t="s">
        <v>1511</v>
      </c>
      <c r="B1276">
        <f>IF(COUNTIFS('United Data'!$A$3:$A$3390,B$1,'United Data'!$C$3:$C$3390,$A1276)&gt;0,1,0)</f>
        <v>0</v>
      </c>
      <c r="C1276">
        <f>IF(COUNTIFS('United Data'!$A$3:$A$3390,C$1,'United Data'!$C$3:$C$3390,$A1276)&gt;0,1,0)</f>
        <v>0</v>
      </c>
      <c r="D1276">
        <f>IF(COUNTIFS('United Data'!$A$3:$A$3390,D$1,'United Data'!$C$3:$C$3390,$A1276)&gt;0,1,0)</f>
        <v>0</v>
      </c>
      <c r="E1276">
        <f>IF(COUNTIFS('United Data'!$A$3:$A$3390,E$1,'United Data'!$C$3:$C$3390,$A1276)&gt;0,1,0)</f>
        <v>0</v>
      </c>
      <c r="F1276">
        <f>IF(COUNTIFS('United Data'!$A$3:$A$3390,F$1,'United Data'!$C$3:$C$3390,$A1276)&gt;0,1,0)</f>
        <v>0</v>
      </c>
      <c r="G1276">
        <f>IF(COUNTIFS('United Data'!$A$3:$A$3390,G$1,'United Data'!$C$3:$C$3390,$A1276)&gt;0,1,0)</f>
        <v>0</v>
      </c>
      <c r="H1276">
        <f>IF(COUNTIFS('United Data'!$A$3:$A$3390,H$1,'United Data'!$C$3:$C$3390,$A1276)&gt;0,1,0)</f>
        <v>0</v>
      </c>
      <c r="I1276">
        <f>IF(COUNTIFS('United Data'!$A$3:$A$3390,I$1,'United Data'!$C$3:$C$3390,$A1276)&gt;0,1,0)</f>
        <v>0</v>
      </c>
      <c r="J1276">
        <f>IF(COUNTIFS('United Data'!$A$3:$A$3390,J$1,'United Data'!$C$3:$C$3390,$A1276)&gt;0,1,0)</f>
        <v>1</v>
      </c>
      <c r="K1276">
        <f>IF(COUNTIFS('United Data'!$A$3:$A$3390,K$1,'United Data'!$C$3:$C$3390,$A1276)&gt;0,1,0)</f>
        <v>0</v>
      </c>
      <c r="L1276">
        <f>IF(COUNTIFS('United Data'!$A$3:$A$3390,L$1,'United Data'!$C$3:$C$3390,$A1276)&gt;0,1,0)</f>
        <v>0</v>
      </c>
      <c r="M1276">
        <f>IF(COUNTIFS('United Data'!$A$3:$A$3390,M$1,'United Data'!$C$3:$C$3390,$A1276)&gt;0,1,0)</f>
        <v>0</v>
      </c>
      <c r="N1276">
        <f>IF(COUNTIFS('United Data'!$A$3:$A$3390,N$1,'United Data'!$C$3:$C$3390,$A1276)&gt;0,1,0)</f>
        <v>0</v>
      </c>
      <c r="O1276">
        <f>IF(COUNTIFS('United Data'!$A$3:$A$3390,O$1,'United Data'!$C$3:$C$3390,$A1276)&gt;0,1,0)</f>
        <v>0</v>
      </c>
      <c r="P1276">
        <f>IF(COUNTIFS('United Data'!$A$3:$A$3390,P$1,'United Data'!$C$3:$C$3390,$A1276)&gt;0,1,0)</f>
        <v>0</v>
      </c>
      <c r="Q1276">
        <f>IF(COUNTIFS('United Data'!$A$3:$A$3390,Q$1,'United Data'!$C$3:$C$3390,$A1276)&gt;0,1,0)</f>
        <v>0</v>
      </c>
      <c r="R1276">
        <f>IF(COUNTIFS('United Data'!$A$3:$A$3390,R$1,'United Data'!$C$3:$C$3390,$A1276)&gt;0,1,0)</f>
        <v>0</v>
      </c>
      <c r="S1276">
        <f t="shared" si="38"/>
        <v>1</v>
      </c>
      <c r="T1276">
        <f t="shared" si="39"/>
        <v>1</v>
      </c>
    </row>
    <row r="1277" spans="1:20" x14ac:dyDescent="0.2">
      <c r="A1277" t="s">
        <v>1512</v>
      </c>
      <c r="B1277">
        <f>IF(COUNTIFS('United Data'!$A$3:$A$3390,B$1,'United Data'!$C$3:$C$3390,$A1277)&gt;0,1,0)</f>
        <v>0</v>
      </c>
      <c r="C1277">
        <f>IF(COUNTIFS('United Data'!$A$3:$A$3390,C$1,'United Data'!$C$3:$C$3390,$A1277)&gt;0,1,0)</f>
        <v>0</v>
      </c>
      <c r="D1277">
        <f>IF(COUNTIFS('United Data'!$A$3:$A$3390,D$1,'United Data'!$C$3:$C$3390,$A1277)&gt;0,1,0)</f>
        <v>0</v>
      </c>
      <c r="E1277">
        <f>IF(COUNTIFS('United Data'!$A$3:$A$3390,E$1,'United Data'!$C$3:$C$3390,$A1277)&gt;0,1,0)</f>
        <v>0</v>
      </c>
      <c r="F1277">
        <f>IF(COUNTIFS('United Data'!$A$3:$A$3390,F$1,'United Data'!$C$3:$C$3390,$A1277)&gt;0,1,0)</f>
        <v>0</v>
      </c>
      <c r="G1277">
        <f>IF(COUNTIFS('United Data'!$A$3:$A$3390,G$1,'United Data'!$C$3:$C$3390,$A1277)&gt;0,1,0)</f>
        <v>0</v>
      </c>
      <c r="H1277">
        <f>IF(COUNTIFS('United Data'!$A$3:$A$3390,H$1,'United Data'!$C$3:$C$3390,$A1277)&gt;0,1,0)</f>
        <v>0</v>
      </c>
      <c r="I1277">
        <f>IF(COUNTIFS('United Data'!$A$3:$A$3390,I$1,'United Data'!$C$3:$C$3390,$A1277)&gt;0,1,0)</f>
        <v>0</v>
      </c>
      <c r="J1277">
        <f>IF(COUNTIFS('United Data'!$A$3:$A$3390,J$1,'United Data'!$C$3:$C$3390,$A1277)&gt;0,1,0)</f>
        <v>1</v>
      </c>
      <c r="K1277">
        <f>IF(COUNTIFS('United Data'!$A$3:$A$3390,K$1,'United Data'!$C$3:$C$3390,$A1277)&gt;0,1,0)</f>
        <v>0</v>
      </c>
      <c r="L1277">
        <f>IF(COUNTIFS('United Data'!$A$3:$A$3390,L$1,'United Data'!$C$3:$C$3390,$A1277)&gt;0,1,0)</f>
        <v>0</v>
      </c>
      <c r="M1277">
        <f>IF(COUNTIFS('United Data'!$A$3:$A$3390,M$1,'United Data'!$C$3:$C$3390,$A1277)&gt;0,1,0)</f>
        <v>0</v>
      </c>
      <c r="N1277">
        <f>IF(COUNTIFS('United Data'!$A$3:$A$3390,N$1,'United Data'!$C$3:$C$3390,$A1277)&gt;0,1,0)</f>
        <v>0</v>
      </c>
      <c r="O1277">
        <f>IF(COUNTIFS('United Data'!$A$3:$A$3390,O$1,'United Data'!$C$3:$C$3390,$A1277)&gt;0,1,0)</f>
        <v>0</v>
      </c>
      <c r="P1277">
        <f>IF(COUNTIFS('United Data'!$A$3:$A$3390,P$1,'United Data'!$C$3:$C$3390,$A1277)&gt;0,1,0)</f>
        <v>0</v>
      </c>
      <c r="Q1277">
        <f>IF(COUNTIFS('United Data'!$A$3:$A$3390,Q$1,'United Data'!$C$3:$C$3390,$A1277)&gt;0,1,0)</f>
        <v>0</v>
      </c>
      <c r="R1277">
        <f>IF(COUNTIFS('United Data'!$A$3:$A$3390,R$1,'United Data'!$C$3:$C$3390,$A1277)&gt;0,1,0)</f>
        <v>0</v>
      </c>
      <c r="S1277">
        <f t="shared" si="38"/>
        <v>1</v>
      </c>
      <c r="T1277">
        <f t="shared" si="39"/>
        <v>1</v>
      </c>
    </row>
    <row r="1278" spans="1:20" x14ac:dyDescent="0.2">
      <c r="A1278" t="s">
        <v>1513</v>
      </c>
      <c r="B1278">
        <f>IF(COUNTIFS('United Data'!$A$3:$A$3390,B$1,'United Data'!$C$3:$C$3390,$A1278)&gt;0,1,0)</f>
        <v>0</v>
      </c>
      <c r="C1278">
        <f>IF(COUNTIFS('United Data'!$A$3:$A$3390,C$1,'United Data'!$C$3:$C$3390,$A1278)&gt;0,1,0)</f>
        <v>0</v>
      </c>
      <c r="D1278">
        <f>IF(COUNTIFS('United Data'!$A$3:$A$3390,D$1,'United Data'!$C$3:$C$3390,$A1278)&gt;0,1,0)</f>
        <v>0</v>
      </c>
      <c r="E1278">
        <f>IF(COUNTIFS('United Data'!$A$3:$A$3390,E$1,'United Data'!$C$3:$C$3390,$A1278)&gt;0,1,0)</f>
        <v>0</v>
      </c>
      <c r="F1278">
        <f>IF(COUNTIFS('United Data'!$A$3:$A$3390,F$1,'United Data'!$C$3:$C$3390,$A1278)&gt;0,1,0)</f>
        <v>0</v>
      </c>
      <c r="G1278">
        <f>IF(COUNTIFS('United Data'!$A$3:$A$3390,G$1,'United Data'!$C$3:$C$3390,$A1278)&gt;0,1,0)</f>
        <v>0</v>
      </c>
      <c r="H1278">
        <f>IF(COUNTIFS('United Data'!$A$3:$A$3390,H$1,'United Data'!$C$3:$C$3390,$A1278)&gt;0,1,0)</f>
        <v>0</v>
      </c>
      <c r="I1278">
        <f>IF(COUNTIFS('United Data'!$A$3:$A$3390,I$1,'United Data'!$C$3:$C$3390,$A1278)&gt;0,1,0)</f>
        <v>0</v>
      </c>
      <c r="J1278">
        <f>IF(COUNTIFS('United Data'!$A$3:$A$3390,J$1,'United Data'!$C$3:$C$3390,$A1278)&gt;0,1,0)</f>
        <v>0</v>
      </c>
      <c r="K1278">
        <f>IF(COUNTIFS('United Data'!$A$3:$A$3390,K$1,'United Data'!$C$3:$C$3390,$A1278)&gt;0,1,0)</f>
        <v>1</v>
      </c>
      <c r="L1278">
        <f>IF(COUNTIFS('United Data'!$A$3:$A$3390,L$1,'United Data'!$C$3:$C$3390,$A1278)&gt;0,1,0)</f>
        <v>0</v>
      </c>
      <c r="M1278">
        <f>IF(COUNTIFS('United Data'!$A$3:$A$3390,M$1,'United Data'!$C$3:$C$3390,$A1278)&gt;0,1,0)</f>
        <v>0</v>
      </c>
      <c r="N1278">
        <f>IF(COUNTIFS('United Data'!$A$3:$A$3390,N$1,'United Data'!$C$3:$C$3390,$A1278)&gt;0,1,0)</f>
        <v>0</v>
      </c>
      <c r="O1278">
        <f>IF(COUNTIFS('United Data'!$A$3:$A$3390,O$1,'United Data'!$C$3:$C$3390,$A1278)&gt;0,1,0)</f>
        <v>0</v>
      </c>
      <c r="P1278">
        <f>IF(COUNTIFS('United Data'!$A$3:$A$3390,P$1,'United Data'!$C$3:$C$3390,$A1278)&gt;0,1,0)</f>
        <v>0</v>
      </c>
      <c r="Q1278">
        <f>IF(COUNTIFS('United Data'!$A$3:$A$3390,Q$1,'United Data'!$C$3:$C$3390,$A1278)&gt;0,1,0)</f>
        <v>0</v>
      </c>
      <c r="R1278">
        <f>IF(COUNTIFS('United Data'!$A$3:$A$3390,R$1,'United Data'!$C$3:$C$3390,$A1278)&gt;0,1,0)</f>
        <v>0</v>
      </c>
      <c r="S1278">
        <f t="shared" si="38"/>
        <v>1</v>
      </c>
      <c r="T1278">
        <f t="shared" si="39"/>
        <v>1</v>
      </c>
    </row>
    <row r="1279" spans="1:20" x14ac:dyDescent="0.2">
      <c r="A1279" t="s">
        <v>1514</v>
      </c>
      <c r="B1279">
        <f>IF(COUNTIFS('United Data'!$A$3:$A$3390,B$1,'United Data'!$C$3:$C$3390,$A1279)&gt;0,1,0)</f>
        <v>0</v>
      </c>
      <c r="C1279">
        <f>IF(COUNTIFS('United Data'!$A$3:$A$3390,C$1,'United Data'!$C$3:$C$3390,$A1279)&gt;0,1,0)</f>
        <v>0</v>
      </c>
      <c r="D1279">
        <f>IF(COUNTIFS('United Data'!$A$3:$A$3390,D$1,'United Data'!$C$3:$C$3390,$A1279)&gt;0,1,0)</f>
        <v>0</v>
      </c>
      <c r="E1279">
        <f>IF(COUNTIFS('United Data'!$A$3:$A$3390,E$1,'United Data'!$C$3:$C$3390,$A1279)&gt;0,1,0)</f>
        <v>0</v>
      </c>
      <c r="F1279">
        <f>IF(COUNTIFS('United Data'!$A$3:$A$3390,F$1,'United Data'!$C$3:$C$3390,$A1279)&gt;0,1,0)</f>
        <v>0</v>
      </c>
      <c r="G1279">
        <f>IF(COUNTIFS('United Data'!$A$3:$A$3390,G$1,'United Data'!$C$3:$C$3390,$A1279)&gt;0,1,0)</f>
        <v>0</v>
      </c>
      <c r="H1279">
        <f>IF(COUNTIFS('United Data'!$A$3:$A$3390,H$1,'United Data'!$C$3:$C$3390,$A1279)&gt;0,1,0)</f>
        <v>0</v>
      </c>
      <c r="I1279">
        <f>IF(COUNTIFS('United Data'!$A$3:$A$3390,I$1,'United Data'!$C$3:$C$3390,$A1279)&gt;0,1,0)</f>
        <v>0</v>
      </c>
      <c r="J1279">
        <f>IF(COUNTIFS('United Data'!$A$3:$A$3390,J$1,'United Data'!$C$3:$C$3390,$A1279)&gt;0,1,0)</f>
        <v>0</v>
      </c>
      <c r="K1279">
        <f>IF(COUNTIFS('United Data'!$A$3:$A$3390,K$1,'United Data'!$C$3:$C$3390,$A1279)&gt;0,1,0)</f>
        <v>1</v>
      </c>
      <c r="L1279">
        <f>IF(COUNTIFS('United Data'!$A$3:$A$3390,L$1,'United Data'!$C$3:$C$3390,$A1279)&gt;0,1,0)</f>
        <v>0</v>
      </c>
      <c r="M1279">
        <f>IF(COUNTIFS('United Data'!$A$3:$A$3390,M$1,'United Data'!$C$3:$C$3390,$A1279)&gt;0,1,0)</f>
        <v>0</v>
      </c>
      <c r="N1279">
        <f>IF(COUNTIFS('United Data'!$A$3:$A$3390,N$1,'United Data'!$C$3:$C$3390,$A1279)&gt;0,1,0)</f>
        <v>0</v>
      </c>
      <c r="O1279">
        <f>IF(COUNTIFS('United Data'!$A$3:$A$3390,O$1,'United Data'!$C$3:$C$3390,$A1279)&gt;0,1,0)</f>
        <v>0</v>
      </c>
      <c r="P1279">
        <f>IF(COUNTIFS('United Data'!$A$3:$A$3390,P$1,'United Data'!$C$3:$C$3390,$A1279)&gt;0,1,0)</f>
        <v>0</v>
      </c>
      <c r="Q1279">
        <f>IF(COUNTIFS('United Data'!$A$3:$A$3390,Q$1,'United Data'!$C$3:$C$3390,$A1279)&gt;0,1,0)</f>
        <v>0</v>
      </c>
      <c r="R1279">
        <f>IF(COUNTIFS('United Data'!$A$3:$A$3390,R$1,'United Data'!$C$3:$C$3390,$A1279)&gt;0,1,0)</f>
        <v>0</v>
      </c>
      <c r="S1279">
        <f t="shared" si="38"/>
        <v>1</v>
      </c>
      <c r="T1279">
        <f t="shared" si="39"/>
        <v>1</v>
      </c>
    </row>
    <row r="1280" spans="1:20" x14ac:dyDescent="0.2">
      <c r="A1280" t="s">
        <v>1515</v>
      </c>
      <c r="B1280">
        <f>IF(COUNTIFS('United Data'!$A$3:$A$3390,B$1,'United Data'!$C$3:$C$3390,$A1280)&gt;0,1,0)</f>
        <v>0</v>
      </c>
      <c r="C1280">
        <f>IF(COUNTIFS('United Data'!$A$3:$A$3390,C$1,'United Data'!$C$3:$C$3390,$A1280)&gt;0,1,0)</f>
        <v>0</v>
      </c>
      <c r="D1280">
        <f>IF(COUNTIFS('United Data'!$A$3:$A$3390,D$1,'United Data'!$C$3:$C$3390,$A1280)&gt;0,1,0)</f>
        <v>0</v>
      </c>
      <c r="E1280">
        <f>IF(COUNTIFS('United Data'!$A$3:$A$3390,E$1,'United Data'!$C$3:$C$3390,$A1280)&gt;0,1,0)</f>
        <v>0</v>
      </c>
      <c r="F1280">
        <f>IF(COUNTIFS('United Data'!$A$3:$A$3390,F$1,'United Data'!$C$3:$C$3390,$A1280)&gt;0,1,0)</f>
        <v>0</v>
      </c>
      <c r="G1280">
        <f>IF(COUNTIFS('United Data'!$A$3:$A$3390,G$1,'United Data'!$C$3:$C$3390,$A1280)&gt;0,1,0)</f>
        <v>0</v>
      </c>
      <c r="H1280">
        <f>IF(COUNTIFS('United Data'!$A$3:$A$3390,H$1,'United Data'!$C$3:$C$3390,$A1280)&gt;0,1,0)</f>
        <v>0</v>
      </c>
      <c r="I1280">
        <f>IF(COUNTIFS('United Data'!$A$3:$A$3390,I$1,'United Data'!$C$3:$C$3390,$A1280)&gt;0,1,0)</f>
        <v>0</v>
      </c>
      <c r="J1280">
        <f>IF(COUNTIFS('United Data'!$A$3:$A$3390,J$1,'United Data'!$C$3:$C$3390,$A1280)&gt;0,1,0)</f>
        <v>0</v>
      </c>
      <c r="K1280">
        <f>IF(COUNTIFS('United Data'!$A$3:$A$3390,K$1,'United Data'!$C$3:$C$3390,$A1280)&gt;0,1,0)</f>
        <v>1</v>
      </c>
      <c r="L1280">
        <f>IF(COUNTIFS('United Data'!$A$3:$A$3390,L$1,'United Data'!$C$3:$C$3390,$A1280)&gt;0,1,0)</f>
        <v>0</v>
      </c>
      <c r="M1280">
        <f>IF(COUNTIFS('United Data'!$A$3:$A$3390,M$1,'United Data'!$C$3:$C$3390,$A1280)&gt;0,1,0)</f>
        <v>0</v>
      </c>
      <c r="N1280">
        <f>IF(COUNTIFS('United Data'!$A$3:$A$3390,N$1,'United Data'!$C$3:$C$3390,$A1280)&gt;0,1,0)</f>
        <v>0</v>
      </c>
      <c r="O1280">
        <f>IF(COUNTIFS('United Data'!$A$3:$A$3390,O$1,'United Data'!$C$3:$C$3390,$A1280)&gt;0,1,0)</f>
        <v>0</v>
      </c>
      <c r="P1280">
        <f>IF(COUNTIFS('United Data'!$A$3:$A$3390,P$1,'United Data'!$C$3:$C$3390,$A1280)&gt;0,1,0)</f>
        <v>0</v>
      </c>
      <c r="Q1280">
        <f>IF(COUNTIFS('United Data'!$A$3:$A$3390,Q$1,'United Data'!$C$3:$C$3390,$A1280)&gt;0,1,0)</f>
        <v>0</v>
      </c>
      <c r="R1280">
        <f>IF(COUNTIFS('United Data'!$A$3:$A$3390,R$1,'United Data'!$C$3:$C$3390,$A1280)&gt;0,1,0)</f>
        <v>0</v>
      </c>
      <c r="S1280">
        <f t="shared" si="38"/>
        <v>1</v>
      </c>
      <c r="T1280">
        <f t="shared" si="39"/>
        <v>1</v>
      </c>
    </row>
    <row r="1281" spans="1:20" x14ac:dyDescent="0.2">
      <c r="A1281" t="s">
        <v>1516</v>
      </c>
      <c r="B1281">
        <f>IF(COUNTIFS('United Data'!$A$3:$A$3390,B$1,'United Data'!$C$3:$C$3390,$A1281)&gt;0,1,0)</f>
        <v>0</v>
      </c>
      <c r="C1281">
        <f>IF(COUNTIFS('United Data'!$A$3:$A$3390,C$1,'United Data'!$C$3:$C$3390,$A1281)&gt;0,1,0)</f>
        <v>0</v>
      </c>
      <c r="D1281">
        <f>IF(COUNTIFS('United Data'!$A$3:$A$3390,D$1,'United Data'!$C$3:$C$3390,$A1281)&gt;0,1,0)</f>
        <v>0</v>
      </c>
      <c r="E1281">
        <f>IF(COUNTIFS('United Data'!$A$3:$A$3390,E$1,'United Data'!$C$3:$C$3390,$A1281)&gt;0,1,0)</f>
        <v>0</v>
      </c>
      <c r="F1281">
        <f>IF(COUNTIFS('United Data'!$A$3:$A$3390,F$1,'United Data'!$C$3:$C$3390,$A1281)&gt;0,1,0)</f>
        <v>0</v>
      </c>
      <c r="G1281">
        <f>IF(COUNTIFS('United Data'!$A$3:$A$3390,G$1,'United Data'!$C$3:$C$3390,$A1281)&gt;0,1,0)</f>
        <v>0</v>
      </c>
      <c r="H1281">
        <f>IF(COUNTIFS('United Data'!$A$3:$A$3390,H$1,'United Data'!$C$3:$C$3390,$A1281)&gt;0,1,0)</f>
        <v>0</v>
      </c>
      <c r="I1281">
        <f>IF(COUNTIFS('United Data'!$A$3:$A$3390,I$1,'United Data'!$C$3:$C$3390,$A1281)&gt;0,1,0)</f>
        <v>0</v>
      </c>
      <c r="J1281">
        <f>IF(COUNTIFS('United Data'!$A$3:$A$3390,J$1,'United Data'!$C$3:$C$3390,$A1281)&gt;0,1,0)</f>
        <v>0</v>
      </c>
      <c r="K1281">
        <f>IF(COUNTIFS('United Data'!$A$3:$A$3390,K$1,'United Data'!$C$3:$C$3390,$A1281)&gt;0,1,0)</f>
        <v>1</v>
      </c>
      <c r="L1281">
        <f>IF(COUNTIFS('United Data'!$A$3:$A$3390,L$1,'United Data'!$C$3:$C$3390,$A1281)&gt;0,1,0)</f>
        <v>0</v>
      </c>
      <c r="M1281">
        <f>IF(COUNTIFS('United Data'!$A$3:$A$3390,M$1,'United Data'!$C$3:$C$3390,$A1281)&gt;0,1,0)</f>
        <v>0</v>
      </c>
      <c r="N1281">
        <f>IF(COUNTIFS('United Data'!$A$3:$A$3390,N$1,'United Data'!$C$3:$C$3390,$A1281)&gt;0,1,0)</f>
        <v>0</v>
      </c>
      <c r="O1281">
        <f>IF(COUNTIFS('United Data'!$A$3:$A$3390,O$1,'United Data'!$C$3:$C$3390,$A1281)&gt;0,1,0)</f>
        <v>0</v>
      </c>
      <c r="P1281">
        <f>IF(COUNTIFS('United Data'!$A$3:$A$3390,P$1,'United Data'!$C$3:$C$3390,$A1281)&gt;0,1,0)</f>
        <v>0</v>
      </c>
      <c r="Q1281">
        <f>IF(COUNTIFS('United Data'!$A$3:$A$3390,Q$1,'United Data'!$C$3:$C$3390,$A1281)&gt;0,1,0)</f>
        <v>0</v>
      </c>
      <c r="R1281">
        <f>IF(COUNTIFS('United Data'!$A$3:$A$3390,R$1,'United Data'!$C$3:$C$3390,$A1281)&gt;0,1,0)</f>
        <v>0</v>
      </c>
      <c r="S1281">
        <f t="shared" si="38"/>
        <v>1</v>
      </c>
      <c r="T1281">
        <f t="shared" si="39"/>
        <v>1</v>
      </c>
    </row>
    <row r="1282" spans="1:20" x14ac:dyDescent="0.2">
      <c r="A1282" t="s">
        <v>1517</v>
      </c>
      <c r="B1282">
        <f>IF(COUNTIFS('United Data'!$A$3:$A$3390,B$1,'United Data'!$C$3:$C$3390,$A1282)&gt;0,1,0)</f>
        <v>0</v>
      </c>
      <c r="C1282">
        <f>IF(COUNTIFS('United Data'!$A$3:$A$3390,C$1,'United Data'!$C$3:$C$3390,$A1282)&gt;0,1,0)</f>
        <v>0</v>
      </c>
      <c r="D1282">
        <f>IF(COUNTIFS('United Data'!$A$3:$A$3390,D$1,'United Data'!$C$3:$C$3390,$A1282)&gt;0,1,0)</f>
        <v>0</v>
      </c>
      <c r="E1282">
        <f>IF(COUNTIFS('United Data'!$A$3:$A$3390,E$1,'United Data'!$C$3:$C$3390,$A1282)&gt;0,1,0)</f>
        <v>0</v>
      </c>
      <c r="F1282">
        <f>IF(COUNTIFS('United Data'!$A$3:$A$3390,F$1,'United Data'!$C$3:$C$3390,$A1282)&gt;0,1,0)</f>
        <v>0</v>
      </c>
      <c r="G1282">
        <f>IF(COUNTIFS('United Data'!$A$3:$A$3390,G$1,'United Data'!$C$3:$C$3390,$A1282)&gt;0,1,0)</f>
        <v>0</v>
      </c>
      <c r="H1282">
        <f>IF(COUNTIFS('United Data'!$A$3:$A$3390,H$1,'United Data'!$C$3:$C$3390,$A1282)&gt;0,1,0)</f>
        <v>0</v>
      </c>
      <c r="I1282">
        <f>IF(COUNTIFS('United Data'!$A$3:$A$3390,I$1,'United Data'!$C$3:$C$3390,$A1282)&gt;0,1,0)</f>
        <v>0</v>
      </c>
      <c r="J1282">
        <f>IF(COUNTIFS('United Data'!$A$3:$A$3390,J$1,'United Data'!$C$3:$C$3390,$A1282)&gt;0,1,0)</f>
        <v>0</v>
      </c>
      <c r="K1282">
        <f>IF(COUNTIFS('United Data'!$A$3:$A$3390,K$1,'United Data'!$C$3:$C$3390,$A1282)&gt;0,1,0)</f>
        <v>1</v>
      </c>
      <c r="L1282">
        <f>IF(COUNTIFS('United Data'!$A$3:$A$3390,L$1,'United Data'!$C$3:$C$3390,$A1282)&gt;0,1,0)</f>
        <v>0</v>
      </c>
      <c r="M1282">
        <f>IF(COUNTIFS('United Data'!$A$3:$A$3390,M$1,'United Data'!$C$3:$C$3390,$A1282)&gt;0,1,0)</f>
        <v>0</v>
      </c>
      <c r="N1282">
        <f>IF(COUNTIFS('United Data'!$A$3:$A$3390,N$1,'United Data'!$C$3:$C$3390,$A1282)&gt;0,1,0)</f>
        <v>1</v>
      </c>
      <c r="O1282">
        <f>IF(COUNTIFS('United Data'!$A$3:$A$3390,O$1,'United Data'!$C$3:$C$3390,$A1282)&gt;0,1,0)</f>
        <v>0</v>
      </c>
      <c r="P1282">
        <f>IF(COUNTIFS('United Data'!$A$3:$A$3390,P$1,'United Data'!$C$3:$C$3390,$A1282)&gt;0,1,0)</f>
        <v>0</v>
      </c>
      <c r="Q1282">
        <f>IF(COUNTIFS('United Data'!$A$3:$A$3390,Q$1,'United Data'!$C$3:$C$3390,$A1282)&gt;0,1,0)</f>
        <v>0</v>
      </c>
      <c r="R1282">
        <f>IF(COUNTIFS('United Data'!$A$3:$A$3390,R$1,'United Data'!$C$3:$C$3390,$A1282)&gt;0,1,0)</f>
        <v>0</v>
      </c>
      <c r="S1282">
        <f t="shared" ref="S1282:S1345" si="40">SUM(B1282:R1282)</f>
        <v>2</v>
      </c>
      <c r="T1282">
        <f t="shared" ref="T1282:T1345" si="41">B1282+SUMPRODUCT(--(C1282:R1282&gt;B1282:Q1282))</f>
        <v>2</v>
      </c>
    </row>
    <row r="1283" spans="1:20" x14ac:dyDescent="0.2">
      <c r="A1283" t="s">
        <v>1518</v>
      </c>
      <c r="B1283">
        <f>IF(COUNTIFS('United Data'!$A$3:$A$3390,B$1,'United Data'!$C$3:$C$3390,$A1283)&gt;0,1,0)</f>
        <v>0</v>
      </c>
      <c r="C1283">
        <f>IF(COUNTIFS('United Data'!$A$3:$A$3390,C$1,'United Data'!$C$3:$C$3390,$A1283)&gt;0,1,0)</f>
        <v>0</v>
      </c>
      <c r="D1283">
        <f>IF(COUNTIFS('United Data'!$A$3:$A$3390,D$1,'United Data'!$C$3:$C$3390,$A1283)&gt;0,1,0)</f>
        <v>0</v>
      </c>
      <c r="E1283">
        <f>IF(COUNTIFS('United Data'!$A$3:$A$3390,E$1,'United Data'!$C$3:$C$3390,$A1283)&gt;0,1,0)</f>
        <v>0</v>
      </c>
      <c r="F1283">
        <f>IF(COUNTIFS('United Data'!$A$3:$A$3390,F$1,'United Data'!$C$3:$C$3390,$A1283)&gt;0,1,0)</f>
        <v>0</v>
      </c>
      <c r="G1283">
        <f>IF(COUNTIFS('United Data'!$A$3:$A$3390,G$1,'United Data'!$C$3:$C$3390,$A1283)&gt;0,1,0)</f>
        <v>0</v>
      </c>
      <c r="H1283">
        <f>IF(COUNTIFS('United Data'!$A$3:$A$3390,H$1,'United Data'!$C$3:$C$3390,$A1283)&gt;0,1,0)</f>
        <v>0</v>
      </c>
      <c r="I1283">
        <f>IF(COUNTIFS('United Data'!$A$3:$A$3390,I$1,'United Data'!$C$3:$C$3390,$A1283)&gt;0,1,0)</f>
        <v>0</v>
      </c>
      <c r="J1283">
        <f>IF(COUNTIFS('United Data'!$A$3:$A$3390,J$1,'United Data'!$C$3:$C$3390,$A1283)&gt;0,1,0)</f>
        <v>0</v>
      </c>
      <c r="K1283">
        <f>IF(COUNTIFS('United Data'!$A$3:$A$3390,K$1,'United Data'!$C$3:$C$3390,$A1283)&gt;0,1,0)</f>
        <v>1</v>
      </c>
      <c r="L1283">
        <f>IF(COUNTIFS('United Data'!$A$3:$A$3390,L$1,'United Data'!$C$3:$C$3390,$A1283)&gt;0,1,0)</f>
        <v>0</v>
      </c>
      <c r="M1283">
        <f>IF(COUNTIFS('United Data'!$A$3:$A$3390,M$1,'United Data'!$C$3:$C$3390,$A1283)&gt;0,1,0)</f>
        <v>1</v>
      </c>
      <c r="N1283">
        <f>IF(COUNTIFS('United Data'!$A$3:$A$3390,N$1,'United Data'!$C$3:$C$3390,$A1283)&gt;0,1,0)</f>
        <v>0</v>
      </c>
      <c r="O1283">
        <f>IF(COUNTIFS('United Data'!$A$3:$A$3390,O$1,'United Data'!$C$3:$C$3390,$A1283)&gt;0,1,0)</f>
        <v>0</v>
      </c>
      <c r="P1283">
        <f>IF(COUNTIFS('United Data'!$A$3:$A$3390,P$1,'United Data'!$C$3:$C$3390,$A1283)&gt;0,1,0)</f>
        <v>1</v>
      </c>
      <c r="Q1283">
        <f>IF(COUNTIFS('United Data'!$A$3:$A$3390,Q$1,'United Data'!$C$3:$C$3390,$A1283)&gt;0,1,0)</f>
        <v>0</v>
      </c>
      <c r="R1283">
        <f>IF(COUNTIFS('United Data'!$A$3:$A$3390,R$1,'United Data'!$C$3:$C$3390,$A1283)&gt;0,1,0)</f>
        <v>0</v>
      </c>
      <c r="S1283">
        <f t="shared" si="40"/>
        <v>3</v>
      </c>
      <c r="T1283">
        <f t="shared" si="41"/>
        <v>3</v>
      </c>
    </row>
    <row r="1284" spans="1:20" x14ac:dyDescent="0.2">
      <c r="A1284" t="s">
        <v>1519</v>
      </c>
      <c r="B1284">
        <f>IF(COUNTIFS('United Data'!$A$3:$A$3390,B$1,'United Data'!$C$3:$C$3390,$A1284)&gt;0,1,0)</f>
        <v>0</v>
      </c>
      <c r="C1284">
        <f>IF(COUNTIFS('United Data'!$A$3:$A$3390,C$1,'United Data'!$C$3:$C$3390,$A1284)&gt;0,1,0)</f>
        <v>0</v>
      </c>
      <c r="D1284">
        <f>IF(COUNTIFS('United Data'!$A$3:$A$3390,D$1,'United Data'!$C$3:$C$3390,$A1284)&gt;0,1,0)</f>
        <v>0</v>
      </c>
      <c r="E1284">
        <f>IF(COUNTIFS('United Data'!$A$3:$A$3390,E$1,'United Data'!$C$3:$C$3390,$A1284)&gt;0,1,0)</f>
        <v>0</v>
      </c>
      <c r="F1284">
        <f>IF(COUNTIFS('United Data'!$A$3:$A$3390,F$1,'United Data'!$C$3:$C$3390,$A1284)&gt;0,1,0)</f>
        <v>0</v>
      </c>
      <c r="G1284">
        <f>IF(COUNTIFS('United Data'!$A$3:$A$3390,G$1,'United Data'!$C$3:$C$3390,$A1284)&gt;0,1,0)</f>
        <v>0</v>
      </c>
      <c r="H1284">
        <f>IF(COUNTIFS('United Data'!$A$3:$A$3390,H$1,'United Data'!$C$3:$C$3390,$A1284)&gt;0,1,0)</f>
        <v>0</v>
      </c>
      <c r="I1284">
        <f>IF(COUNTIFS('United Data'!$A$3:$A$3390,I$1,'United Data'!$C$3:$C$3390,$A1284)&gt;0,1,0)</f>
        <v>0</v>
      </c>
      <c r="J1284">
        <f>IF(COUNTIFS('United Data'!$A$3:$A$3390,J$1,'United Data'!$C$3:$C$3390,$A1284)&gt;0,1,0)</f>
        <v>0</v>
      </c>
      <c r="K1284">
        <f>IF(COUNTIFS('United Data'!$A$3:$A$3390,K$1,'United Data'!$C$3:$C$3390,$A1284)&gt;0,1,0)</f>
        <v>1</v>
      </c>
      <c r="L1284">
        <f>IF(COUNTIFS('United Data'!$A$3:$A$3390,L$1,'United Data'!$C$3:$C$3390,$A1284)&gt;0,1,0)</f>
        <v>0</v>
      </c>
      <c r="M1284">
        <f>IF(COUNTIFS('United Data'!$A$3:$A$3390,M$1,'United Data'!$C$3:$C$3390,$A1284)&gt;0,1,0)</f>
        <v>0</v>
      </c>
      <c r="N1284">
        <f>IF(COUNTIFS('United Data'!$A$3:$A$3390,N$1,'United Data'!$C$3:$C$3390,$A1284)&gt;0,1,0)</f>
        <v>0</v>
      </c>
      <c r="O1284">
        <f>IF(COUNTIFS('United Data'!$A$3:$A$3390,O$1,'United Data'!$C$3:$C$3390,$A1284)&gt;0,1,0)</f>
        <v>0</v>
      </c>
      <c r="P1284">
        <f>IF(COUNTIFS('United Data'!$A$3:$A$3390,P$1,'United Data'!$C$3:$C$3390,$A1284)&gt;0,1,0)</f>
        <v>0</v>
      </c>
      <c r="Q1284">
        <f>IF(COUNTIFS('United Data'!$A$3:$A$3390,Q$1,'United Data'!$C$3:$C$3390,$A1284)&gt;0,1,0)</f>
        <v>0</v>
      </c>
      <c r="R1284">
        <f>IF(COUNTIFS('United Data'!$A$3:$A$3390,R$1,'United Data'!$C$3:$C$3390,$A1284)&gt;0,1,0)</f>
        <v>0</v>
      </c>
      <c r="S1284">
        <f t="shared" si="40"/>
        <v>1</v>
      </c>
      <c r="T1284">
        <f t="shared" si="41"/>
        <v>1</v>
      </c>
    </row>
    <row r="1285" spans="1:20" x14ac:dyDescent="0.2">
      <c r="A1285" t="s">
        <v>1521</v>
      </c>
      <c r="B1285">
        <f>IF(COUNTIFS('United Data'!$A$3:$A$3390,B$1,'United Data'!$C$3:$C$3390,$A1285)&gt;0,1,0)</f>
        <v>0</v>
      </c>
      <c r="C1285">
        <f>IF(COUNTIFS('United Data'!$A$3:$A$3390,C$1,'United Data'!$C$3:$C$3390,$A1285)&gt;0,1,0)</f>
        <v>0</v>
      </c>
      <c r="D1285">
        <f>IF(COUNTIFS('United Data'!$A$3:$A$3390,D$1,'United Data'!$C$3:$C$3390,$A1285)&gt;0,1,0)</f>
        <v>0</v>
      </c>
      <c r="E1285">
        <f>IF(COUNTIFS('United Data'!$A$3:$A$3390,E$1,'United Data'!$C$3:$C$3390,$A1285)&gt;0,1,0)</f>
        <v>0</v>
      </c>
      <c r="F1285">
        <f>IF(COUNTIFS('United Data'!$A$3:$A$3390,F$1,'United Data'!$C$3:$C$3390,$A1285)&gt;0,1,0)</f>
        <v>0</v>
      </c>
      <c r="G1285">
        <f>IF(COUNTIFS('United Data'!$A$3:$A$3390,G$1,'United Data'!$C$3:$C$3390,$A1285)&gt;0,1,0)</f>
        <v>0</v>
      </c>
      <c r="H1285">
        <f>IF(COUNTIFS('United Data'!$A$3:$A$3390,H$1,'United Data'!$C$3:$C$3390,$A1285)&gt;0,1,0)</f>
        <v>0</v>
      </c>
      <c r="I1285">
        <f>IF(COUNTIFS('United Data'!$A$3:$A$3390,I$1,'United Data'!$C$3:$C$3390,$A1285)&gt;0,1,0)</f>
        <v>0</v>
      </c>
      <c r="J1285">
        <f>IF(COUNTIFS('United Data'!$A$3:$A$3390,J$1,'United Data'!$C$3:$C$3390,$A1285)&gt;0,1,0)</f>
        <v>0</v>
      </c>
      <c r="K1285">
        <f>IF(COUNTIFS('United Data'!$A$3:$A$3390,K$1,'United Data'!$C$3:$C$3390,$A1285)&gt;0,1,0)</f>
        <v>0</v>
      </c>
      <c r="L1285">
        <f>IF(COUNTIFS('United Data'!$A$3:$A$3390,L$1,'United Data'!$C$3:$C$3390,$A1285)&gt;0,1,0)</f>
        <v>1</v>
      </c>
      <c r="M1285">
        <f>IF(COUNTIFS('United Data'!$A$3:$A$3390,M$1,'United Data'!$C$3:$C$3390,$A1285)&gt;0,1,0)</f>
        <v>0</v>
      </c>
      <c r="N1285">
        <f>IF(COUNTIFS('United Data'!$A$3:$A$3390,N$1,'United Data'!$C$3:$C$3390,$A1285)&gt;0,1,0)</f>
        <v>0</v>
      </c>
      <c r="O1285">
        <f>IF(COUNTIFS('United Data'!$A$3:$A$3390,O$1,'United Data'!$C$3:$C$3390,$A1285)&gt;0,1,0)</f>
        <v>0</v>
      </c>
      <c r="P1285">
        <f>IF(COUNTIFS('United Data'!$A$3:$A$3390,P$1,'United Data'!$C$3:$C$3390,$A1285)&gt;0,1,0)</f>
        <v>0</v>
      </c>
      <c r="Q1285">
        <f>IF(COUNTIFS('United Data'!$A$3:$A$3390,Q$1,'United Data'!$C$3:$C$3390,$A1285)&gt;0,1,0)</f>
        <v>0</v>
      </c>
      <c r="R1285">
        <f>IF(COUNTIFS('United Data'!$A$3:$A$3390,R$1,'United Data'!$C$3:$C$3390,$A1285)&gt;0,1,0)</f>
        <v>0</v>
      </c>
      <c r="S1285">
        <f t="shared" si="40"/>
        <v>1</v>
      </c>
      <c r="T1285">
        <f t="shared" si="41"/>
        <v>1</v>
      </c>
    </row>
    <row r="1286" spans="1:20" x14ac:dyDescent="0.2">
      <c r="A1286" t="s">
        <v>1523</v>
      </c>
      <c r="B1286">
        <f>IF(COUNTIFS('United Data'!$A$3:$A$3390,B$1,'United Data'!$C$3:$C$3390,$A1286)&gt;0,1,0)</f>
        <v>0</v>
      </c>
      <c r="C1286">
        <f>IF(COUNTIFS('United Data'!$A$3:$A$3390,C$1,'United Data'!$C$3:$C$3390,$A1286)&gt;0,1,0)</f>
        <v>0</v>
      </c>
      <c r="D1286">
        <f>IF(COUNTIFS('United Data'!$A$3:$A$3390,D$1,'United Data'!$C$3:$C$3390,$A1286)&gt;0,1,0)</f>
        <v>0</v>
      </c>
      <c r="E1286">
        <f>IF(COUNTIFS('United Data'!$A$3:$A$3390,E$1,'United Data'!$C$3:$C$3390,$A1286)&gt;0,1,0)</f>
        <v>0</v>
      </c>
      <c r="F1286">
        <f>IF(COUNTIFS('United Data'!$A$3:$A$3390,F$1,'United Data'!$C$3:$C$3390,$A1286)&gt;0,1,0)</f>
        <v>0</v>
      </c>
      <c r="G1286">
        <f>IF(COUNTIFS('United Data'!$A$3:$A$3390,G$1,'United Data'!$C$3:$C$3390,$A1286)&gt;0,1,0)</f>
        <v>0</v>
      </c>
      <c r="H1286">
        <f>IF(COUNTIFS('United Data'!$A$3:$A$3390,H$1,'United Data'!$C$3:$C$3390,$A1286)&gt;0,1,0)</f>
        <v>0</v>
      </c>
      <c r="I1286">
        <f>IF(COUNTIFS('United Data'!$A$3:$A$3390,I$1,'United Data'!$C$3:$C$3390,$A1286)&gt;0,1,0)</f>
        <v>0</v>
      </c>
      <c r="J1286">
        <f>IF(COUNTIFS('United Data'!$A$3:$A$3390,J$1,'United Data'!$C$3:$C$3390,$A1286)&gt;0,1,0)</f>
        <v>0</v>
      </c>
      <c r="K1286">
        <f>IF(COUNTIFS('United Data'!$A$3:$A$3390,K$1,'United Data'!$C$3:$C$3390,$A1286)&gt;0,1,0)</f>
        <v>0</v>
      </c>
      <c r="L1286">
        <f>IF(COUNTIFS('United Data'!$A$3:$A$3390,L$1,'United Data'!$C$3:$C$3390,$A1286)&gt;0,1,0)</f>
        <v>0</v>
      </c>
      <c r="M1286">
        <f>IF(COUNTIFS('United Data'!$A$3:$A$3390,M$1,'United Data'!$C$3:$C$3390,$A1286)&gt;0,1,0)</f>
        <v>1</v>
      </c>
      <c r="N1286">
        <f>IF(COUNTIFS('United Data'!$A$3:$A$3390,N$1,'United Data'!$C$3:$C$3390,$A1286)&gt;0,1,0)</f>
        <v>0</v>
      </c>
      <c r="O1286">
        <f>IF(COUNTIFS('United Data'!$A$3:$A$3390,O$1,'United Data'!$C$3:$C$3390,$A1286)&gt;0,1,0)</f>
        <v>0</v>
      </c>
      <c r="P1286">
        <f>IF(COUNTIFS('United Data'!$A$3:$A$3390,P$1,'United Data'!$C$3:$C$3390,$A1286)&gt;0,1,0)</f>
        <v>0</v>
      </c>
      <c r="Q1286">
        <f>IF(COUNTIFS('United Data'!$A$3:$A$3390,Q$1,'United Data'!$C$3:$C$3390,$A1286)&gt;0,1,0)</f>
        <v>0</v>
      </c>
      <c r="R1286">
        <f>IF(COUNTIFS('United Data'!$A$3:$A$3390,R$1,'United Data'!$C$3:$C$3390,$A1286)&gt;0,1,0)</f>
        <v>0</v>
      </c>
      <c r="S1286">
        <f t="shared" si="40"/>
        <v>1</v>
      </c>
      <c r="T1286">
        <f t="shared" si="41"/>
        <v>1</v>
      </c>
    </row>
    <row r="1287" spans="1:20" x14ac:dyDescent="0.2">
      <c r="A1287" t="s">
        <v>1524</v>
      </c>
      <c r="B1287">
        <f>IF(COUNTIFS('United Data'!$A$3:$A$3390,B$1,'United Data'!$C$3:$C$3390,$A1287)&gt;0,1,0)</f>
        <v>0</v>
      </c>
      <c r="C1287">
        <f>IF(COUNTIFS('United Data'!$A$3:$A$3390,C$1,'United Data'!$C$3:$C$3390,$A1287)&gt;0,1,0)</f>
        <v>0</v>
      </c>
      <c r="D1287">
        <f>IF(COUNTIFS('United Data'!$A$3:$A$3390,D$1,'United Data'!$C$3:$C$3390,$A1287)&gt;0,1,0)</f>
        <v>0</v>
      </c>
      <c r="E1287">
        <f>IF(COUNTIFS('United Data'!$A$3:$A$3390,E$1,'United Data'!$C$3:$C$3390,$A1287)&gt;0,1,0)</f>
        <v>0</v>
      </c>
      <c r="F1287">
        <f>IF(COUNTIFS('United Data'!$A$3:$A$3390,F$1,'United Data'!$C$3:$C$3390,$A1287)&gt;0,1,0)</f>
        <v>0</v>
      </c>
      <c r="G1287">
        <f>IF(COUNTIFS('United Data'!$A$3:$A$3390,G$1,'United Data'!$C$3:$C$3390,$A1287)&gt;0,1,0)</f>
        <v>0</v>
      </c>
      <c r="H1287">
        <f>IF(COUNTIFS('United Data'!$A$3:$A$3390,H$1,'United Data'!$C$3:$C$3390,$A1287)&gt;0,1,0)</f>
        <v>0</v>
      </c>
      <c r="I1287">
        <f>IF(COUNTIFS('United Data'!$A$3:$A$3390,I$1,'United Data'!$C$3:$C$3390,$A1287)&gt;0,1,0)</f>
        <v>0</v>
      </c>
      <c r="J1287">
        <f>IF(COUNTIFS('United Data'!$A$3:$A$3390,J$1,'United Data'!$C$3:$C$3390,$A1287)&gt;0,1,0)</f>
        <v>0</v>
      </c>
      <c r="K1287">
        <f>IF(COUNTIFS('United Data'!$A$3:$A$3390,K$1,'United Data'!$C$3:$C$3390,$A1287)&gt;0,1,0)</f>
        <v>0</v>
      </c>
      <c r="L1287">
        <f>IF(COUNTIFS('United Data'!$A$3:$A$3390,L$1,'United Data'!$C$3:$C$3390,$A1287)&gt;0,1,0)</f>
        <v>0</v>
      </c>
      <c r="M1287">
        <f>IF(COUNTIFS('United Data'!$A$3:$A$3390,M$1,'United Data'!$C$3:$C$3390,$A1287)&gt;0,1,0)</f>
        <v>1</v>
      </c>
      <c r="N1287">
        <f>IF(COUNTIFS('United Data'!$A$3:$A$3390,N$1,'United Data'!$C$3:$C$3390,$A1287)&gt;0,1,0)</f>
        <v>0</v>
      </c>
      <c r="O1287">
        <f>IF(COUNTIFS('United Data'!$A$3:$A$3390,O$1,'United Data'!$C$3:$C$3390,$A1287)&gt;0,1,0)</f>
        <v>0</v>
      </c>
      <c r="P1287">
        <f>IF(COUNTIFS('United Data'!$A$3:$A$3390,P$1,'United Data'!$C$3:$C$3390,$A1287)&gt;0,1,0)</f>
        <v>0</v>
      </c>
      <c r="Q1287">
        <f>IF(COUNTIFS('United Data'!$A$3:$A$3390,Q$1,'United Data'!$C$3:$C$3390,$A1287)&gt;0,1,0)</f>
        <v>0</v>
      </c>
      <c r="R1287">
        <f>IF(COUNTIFS('United Data'!$A$3:$A$3390,R$1,'United Data'!$C$3:$C$3390,$A1287)&gt;0,1,0)</f>
        <v>0</v>
      </c>
      <c r="S1287">
        <f t="shared" si="40"/>
        <v>1</v>
      </c>
      <c r="T1287">
        <f t="shared" si="41"/>
        <v>1</v>
      </c>
    </row>
    <row r="1288" spans="1:20" x14ac:dyDescent="0.2">
      <c r="A1288" t="s">
        <v>1525</v>
      </c>
      <c r="B1288">
        <f>IF(COUNTIFS('United Data'!$A$3:$A$3390,B$1,'United Data'!$C$3:$C$3390,$A1288)&gt;0,1,0)</f>
        <v>0</v>
      </c>
      <c r="C1288">
        <f>IF(COUNTIFS('United Data'!$A$3:$A$3390,C$1,'United Data'!$C$3:$C$3390,$A1288)&gt;0,1,0)</f>
        <v>0</v>
      </c>
      <c r="D1288">
        <f>IF(COUNTIFS('United Data'!$A$3:$A$3390,D$1,'United Data'!$C$3:$C$3390,$A1288)&gt;0,1,0)</f>
        <v>0</v>
      </c>
      <c r="E1288">
        <f>IF(COUNTIFS('United Data'!$A$3:$A$3390,E$1,'United Data'!$C$3:$C$3390,$A1288)&gt;0,1,0)</f>
        <v>0</v>
      </c>
      <c r="F1288">
        <f>IF(COUNTIFS('United Data'!$A$3:$A$3390,F$1,'United Data'!$C$3:$C$3390,$A1288)&gt;0,1,0)</f>
        <v>0</v>
      </c>
      <c r="G1288">
        <f>IF(COUNTIFS('United Data'!$A$3:$A$3390,G$1,'United Data'!$C$3:$C$3390,$A1288)&gt;0,1,0)</f>
        <v>0</v>
      </c>
      <c r="H1288">
        <f>IF(COUNTIFS('United Data'!$A$3:$A$3390,H$1,'United Data'!$C$3:$C$3390,$A1288)&gt;0,1,0)</f>
        <v>0</v>
      </c>
      <c r="I1288">
        <f>IF(COUNTIFS('United Data'!$A$3:$A$3390,I$1,'United Data'!$C$3:$C$3390,$A1288)&gt;0,1,0)</f>
        <v>0</v>
      </c>
      <c r="J1288">
        <f>IF(COUNTIFS('United Data'!$A$3:$A$3390,J$1,'United Data'!$C$3:$C$3390,$A1288)&gt;0,1,0)</f>
        <v>0</v>
      </c>
      <c r="K1288">
        <f>IF(COUNTIFS('United Data'!$A$3:$A$3390,K$1,'United Data'!$C$3:$C$3390,$A1288)&gt;0,1,0)</f>
        <v>0</v>
      </c>
      <c r="L1288">
        <f>IF(COUNTIFS('United Data'!$A$3:$A$3390,L$1,'United Data'!$C$3:$C$3390,$A1288)&gt;0,1,0)</f>
        <v>0</v>
      </c>
      <c r="M1288">
        <f>IF(COUNTIFS('United Data'!$A$3:$A$3390,M$1,'United Data'!$C$3:$C$3390,$A1288)&gt;0,1,0)</f>
        <v>1</v>
      </c>
      <c r="N1288">
        <f>IF(COUNTIFS('United Data'!$A$3:$A$3390,N$1,'United Data'!$C$3:$C$3390,$A1288)&gt;0,1,0)</f>
        <v>0</v>
      </c>
      <c r="O1288">
        <f>IF(COUNTIFS('United Data'!$A$3:$A$3390,O$1,'United Data'!$C$3:$C$3390,$A1288)&gt;0,1,0)</f>
        <v>0</v>
      </c>
      <c r="P1288">
        <f>IF(COUNTIFS('United Data'!$A$3:$A$3390,P$1,'United Data'!$C$3:$C$3390,$A1288)&gt;0,1,0)</f>
        <v>0</v>
      </c>
      <c r="Q1288">
        <f>IF(COUNTIFS('United Data'!$A$3:$A$3390,Q$1,'United Data'!$C$3:$C$3390,$A1288)&gt;0,1,0)</f>
        <v>0</v>
      </c>
      <c r="R1288">
        <f>IF(COUNTIFS('United Data'!$A$3:$A$3390,R$1,'United Data'!$C$3:$C$3390,$A1288)&gt;0,1,0)</f>
        <v>0</v>
      </c>
      <c r="S1288">
        <f t="shared" si="40"/>
        <v>1</v>
      </c>
      <c r="T1288">
        <f t="shared" si="41"/>
        <v>1</v>
      </c>
    </row>
    <row r="1289" spans="1:20" x14ac:dyDescent="0.2">
      <c r="A1289" t="s">
        <v>1526</v>
      </c>
      <c r="B1289">
        <f>IF(COUNTIFS('United Data'!$A$3:$A$3390,B$1,'United Data'!$C$3:$C$3390,$A1289)&gt;0,1,0)</f>
        <v>0</v>
      </c>
      <c r="C1289">
        <f>IF(COUNTIFS('United Data'!$A$3:$A$3390,C$1,'United Data'!$C$3:$C$3390,$A1289)&gt;0,1,0)</f>
        <v>0</v>
      </c>
      <c r="D1289">
        <f>IF(COUNTIFS('United Data'!$A$3:$A$3390,D$1,'United Data'!$C$3:$C$3390,$A1289)&gt;0,1,0)</f>
        <v>0</v>
      </c>
      <c r="E1289">
        <f>IF(COUNTIFS('United Data'!$A$3:$A$3390,E$1,'United Data'!$C$3:$C$3390,$A1289)&gt;0,1,0)</f>
        <v>0</v>
      </c>
      <c r="F1289">
        <f>IF(COUNTIFS('United Data'!$A$3:$A$3390,F$1,'United Data'!$C$3:$C$3390,$A1289)&gt;0,1,0)</f>
        <v>0</v>
      </c>
      <c r="G1289">
        <f>IF(COUNTIFS('United Data'!$A$3:$A$3390,G$1,'United Data'!$C$3:$C$3390,$A1289)&gt;0,1,0)</f>
        <v>0</v>
      </c>
      <c r="H1289">
        <f>IF(COUNTIFS('United Data'!$A$3:$A$3390,H$1,'United Data'!$C$3:$C$3390,$A1289)&gt;0,1,0)</f>
        <v>0</v>
      </c>
      <c r="I1289">
        <f>IF(COUNTIFS('United Data'!$A$3:$A$3390,I$1,'United Data'!$C$3:$C$3390,$A1289)&gt;0,1,0)</f>
        <v>0</v>
      </c>
      <c r="J1289">
        <f>IF(COUNTIFS('United Data'!$A$3:$A$3390,J$1,'United Data'!$C$3:$C$3390,$A1289)&gt;0,1,0)</f>
        <v>0</v>
      </c>
      <c r="K1289">
        <f>IF(COUNTIFS('United Data'!$A$3:$A$3390,K$1,'United Data'!$C$3:$C$3390,$A1289)&gt;0,1,0)</f>
        <v>0</v>
      </c>
      <c r="L1289">
        <f>IF(COUNTIFS('United Data'!$A$3:$A$3390,L$1,'United Data'!$C$3:$C$3390,$A1289)&gt;0,1,0)</f>
        <v>0</v>
      </c>
      <c r="M1289">
        <f>IF(COUNTIFS('United Data'!$A$3:$A$3390,M$1,'United Data'!$C$3:$C$3390,$A1289)&gt;0,1,0)</f>
        <v>0</v>
      </c>
      <c r="N1289">
        <f>IF(COUNTIFS('United Data'!$A$3:$A$3390,N$1,'United Data'!$C$3:$C$3390,$A1289)&gt;0,1,0)</f>
        <v>1</v>
      </c>
      <c r="O1289">
        <f>IF(COUNTIFS('United Data'!$A$3:$A$3390,O$1,'United Data'!$C$3:$C$3390,$A1289)&gt;0,1,0)</f>
        <v>0</v>
      </c>
      <c r="P1289">
        <f>IF(COUNTIFS('United Data'!$A$3:$A$3390,P$1,'United Data'!$C$3:$C$3390,$A1289)&gt;0,1,0)</f>
        <v>0</v>
      </c>
      <c r="Q1289">
        <f>IF(COUNTIFS('United Data'!$A$3:$A$3390,Q$1,'United Data'!$C$3:$C$3390,$A1289)&gt;0,1,0)</f>
        <v>0</v>
      </c>
      <c r="R1289">
        <f>IF(COUNTIFS('United Data'!$A$3:$A$3390,R$1,'United Data'!$C$3:$C$3390,$A1289)&gt;0,1,0)</f>
        <v>0</v>
      </c>
      <c r="S1289">
        <f t="shared" si="40"/>
        <v>1</v>
      </c>
      <c r="T1289">
        <f t="shared" si="41"/>
        <v>1</v>
      </c>
    </row>
    <row r="1290" spans="1:20" x14ac:dyDescent="0.2">
      <c r="A1290" t="s">
        <v>1527</v>
      </c>
      <c r="B1290">
        <f>IF(COUNTIFS('United Data'!$A$3:$A$3390,B$1,'United Data'!$C$3:$C$3390,$A1290)&gt;0,1,0)</f>
        <v>0</v>
      </c>
      <c r="C1290">
        <f>IF(COUNTIFS('United Data'!$A$3:$A$3390,C$1,'United Data'!$C$3:$C$3390,$A1290)&gt;0,1,0)</f>
        <v>0</v>
      </c>
      <c r="D1290">
        <f>IF(COUNTIFS('United Data'!$A$3:$A$3390,D$1,'United Data'!$C$3:$C$3390,$A1290)&gt;0,1,0)</f>
        <v>0</v>
      </c>
      <c r="E1290">
        <f>IF(COUNTIFS('United Data'!$A$3:$A$3390,E$1,'United Data'!$C$3:$C$3390,$A1290)&gt;0,1,0)</f>
        <v>0</v>
      </c>
      <c r="F1290">
        <f>IF(COUNTIFS('United Data'!$A$3:$A$3390,F$1,'United Data'!$C$3:$C$3390,$A1290)&gt;0,1,0)</f>
        <v>0</v>
      </c>
      <c r="G1290">
        <f>IF(COUNTIFS('United Data'!$A$3:$A$3390,G$1,'United Data'!$C$3:$C$3390,$A1290)&gt;0,1,0)</f>
        <v>0</v>
      </c>
      <c r="H1290">
        <f>IF(COUNTIFS('United Data'!$A$3:$A$3390,H$1,'United Data'!$C$3:$C$3390,$A1290)&gt;0,1,0)</f>
        <v>0</v>
      </c>
      <c r="I1290">
        <f>IF(COUNTIFS('United Data'!$A$3:$A$3390,I$1,'United Data'!$C$3:$C$3390,$A1290)&gt;0,1,0)</f>
        <v>0</v>
      </c>
      <c r="J1290">
        <f>IF(COUNTIFS('United Data'!$A$3:$A$3390,J$1,'United Data'!$C$3:$C$3390,$A1290)&gt;0,1,0)</f>
        <v>0</v>
      </c>
      <c r="K1290">
        <f>IF(COUNTIFS('United Data'!$A$3:$A$3390,K$1,'United Data'!$C$3:$C$3390,$A1290)&gt;0,1,0)</f>
        <v>0</v>
      </c>
      <c r="L1290">
        <f>IF(COUNTIFS('United Data'!$A$3:$A$3390,L$1,'United Data'!$C$3:$C$3390,$A1290)&gt;0,1,0)</f>
        <v>0</v>
      </c>
      <c r="M1290">
        <f>IF(COUNTIFS('United Data'!$A$3:$A$3390,M$1,'United Data'!$C$3:$C$3390,$A1290)&gt;0,1,0)</f>
        <v>0</v>
      </c>
      <c r="N1290">
        <f>IF(COUNTIFS('United Data'!$A$3:$A$3390,N$1,'United Data'!$C$3:$C$3390,$A1290)&gt;0,1,0)</f>
        <v>1</v>
      </c>
      <c r="O1290">
        <f>IF(COUNTIFS('United Data'!$A$3:$A$3390,O$1,'United Data'!$C$3:$C$3390,$A1290)&gt;0,1,0)</f>
        <v>0</v>
      </c>
      <c r="P1290">
        <f>IF(COUNTIFS('United Data'!$A$3:$A$3390,P$1,'United Data'!$C$3:$C$3390,$A1290)&gt;0,1,0)</f>
        <v>0</v>
      </c>
      <c r="Q1290">
        <f>IF(COUNTIFS('United Data'!$A$3:$A$3390,Q$1,'United Data'!$C$3:$C$3390,$A1290)&gt;0,1,0)</f>
        <v>0</v>
      </c>
      <c r="R1290">
        <f>IF(COUNTIFS('United Data'!$A$3:$A$3390,R$1,'United Data'!$C$3:$C$3390,$A1290)&gt;0,1,0)</f>
        <v>0</v>
      </c>
      <c r="S1290">
        <f t="shared" si="40"/>
        <v>1</v>
      </c>
      <c r="T1290">
        <f t="shared" si="41"/>
        <v>1</v>
      </c>
    </row>
    <row r="1291" spans="1:20" x14ac:dyDescent="0.2">
      <c r="A1291" t="s">
        <v>1528</v>
      </c>
      <c r="B1291">
        <f>IF(COUNTIFS('United Data'!$A$3:$A$3390,B$1,'United Data'!$C$3:$C$3390,$A1291)&gt;0,1,0)</f>
        <v>0</v>
      </c>
      <c r="C1291">
        <f>IF(COUNTIFS('United Data'!$A$3:$A$3390,C$1,'United Data'!$C$3:$C$3390,$A1291)&gt;0,1,0)</f>
        <v>0</v>
      </c>
      <c r="D1291">
        <f>IF(COUNTIFS('United Data'!$A$3:$A$3390,D$1,'United Data'!$C$3:$C$3390,$A1291)&gt;0,1,0)</f>
        <v>0</v>
      </c>
      <c r="E1291">
        <f>IF(COUNTIFS('United Data'!$A$3:$A$3390,E$1,'United Data'!$C$3:$C$3390,$A1291)&gt;0,1,0)</f>
        <v>0</v>
      </c>
      <c r="F1291">
        <f>IF(COUNTIFS('United Data'!$A$3:$A$3390,F$1,'United Data'!$C$3:$C$3390,$A1291)&gt;0,1,0)</f>
        <v>0</v>
      </c>
      <c r="G1291">
        <f>IF(COUNTIFS('United Data'!$A$3:$A$3390,G$1,'United Data'!$C$3:$C$3390,$A1291)&gt;0,1,0)</f>
        <v>0</v>
      </c>
      <c r="H1291">
        <f>IF(COUNTIFS('United Data'!$A$3:$A$3390,H$1,'United Data'!$C$3:$C$3390,$A1291)&gt;0,1,0)</f>
        <v>0</v>
      </c>
      <c r="I1291">
        <f>IF(COUNTIFS('United Data'!$A$3:$A$3390,I$1,'United Data'!$C$3:$C$3390,$A1291)&gt;0,1,0)</f>
        <v>0</v>
      </c>
      <c r="J1291">
        <f>IF(COUNTIFS('United Data'!$A$3:$A$3390,J$1,'United Data'!$C$3:$C$3390,$A1291)&gt;0,1,0)</f>
        <v>0</v>
      </c>
      <c r="K1291">
        <f>IF(COUNTIFS('United Data'!$A$3:$A$3390,K$1,'United Data'!$C$3:$C$3390,$A1291)&gt;0,1,0)</f>
        <v>0</v>
      </c>
      <c r="L1291">
        <f>IF(COUNTIFS('United Data'!$A$3:$A$3390,L$1,'United Data'!$C$3:$C$3390,$A1291)&gt;0,1,0)</f>
        <v>0</v>
      </c>
      <c r="M1291">
        <f>IF(COUNTIFS('United Data'!$A$3:$A$3390,M$1,'United Data'!$C$3:$C$3390,$A1291)&gt;0,1,0)</f>
        <v>0</v>
      </c>
      <c r="N1291">
        <f>IF(COUNTIFS('United Data'!$A$3:$A$3390,N$1,'United Data'!$C$3:$C$3390,$A1291)&gt;0,1,0)</f>
        <v>1</v>
      </c>
      <c r="O1291">
        <f>IF(COUNTIFS('United Data'!$A$3:$A$3390,O$1,'United Data'!$C$3:$C$3390,$A1291)&gt;0,1,0)</f>
        <v>1</v>
      </c>
      <c r="P1291">
        <f>IF(COUNTIFS('United Data'!$A$3:$A$3390,P$1,'United Data'!$C$3:$C$3390,$A1291)&gt;0,1,0)</f>
        <v>0</v>
      </c>
      <c r="Q1291">
        <f>IF(COUNTIFS('United Data'!$A$3:$A$3390,Q$1,'United Data'!$C$3:$C$3390,$A1291)&gt;0,1,0)</f>
        <v>0</v>
      </c>
      <c r="R1291">
        <f>IF(COUNTIFS('United Data'!$A$3:$A$3390,R$1,'United Data'!$C$3:$C$3390,$A1291)&gt;0,1,0)</f>
        <v>0</v>
      </c>
      <c r="S1291">
        <f t="shared" si="40"/>
        <v>2</v>
      </c>
      <c r="T1291">
        <f t="shared" si="41"/>
        <v>1</v>
      </c>
    </row>
    <row r="1292" spans="1:20" x14ac:dyDescent="0.2">
      <c r="A1292" t="s">
        <v>1529</v>
      </c>
      <c r="B1292">
        <f>IF(COUNTIFS('United Data'!$A$3:$A$3390,B$1,'United Data'!$C$3:$C$3390,$A1292)&gt;0,1,0)</f>
        <v>0</v>
      </c>
      <c r="C1292">
        <f>IF(COUNTIFS('United Data'!$A$3:$A$3390,C$1,'United Data'!$C$3:$C$3390,$A1292)&gt;0,1,0)</f>
        <v>0</v>
      </c>
      <c r="D1292">
        <f>IF(COUNTIFS('United Data'!$A$3:$A$3390,D$1,'United Data'!$C$3:$C$3390,$A1292)&gt;0,1,0)</f>
        <v>0</v>
      </c>
      <c r="E1292">
        <f>IF(COUNTIFS('United Data'!$A$3:$A$3390,E$1,'United Data'!$C$3:$C$3390,$A1292)&gt;0,1,0)</f>
        <v>0</v>
      </c>
      <c r="F1292">
        <f>IF(COUNTIFS('United Data'!$A$3:$A$3390,F$1,'United Data'!$C$3:$C$3390,$A1292)&gt;0,1,0)</f>
        <v>0</v>
      </c>
      <c r="G1292">
        <f>IF(COUNTIFS('United Data'!$A$3:$A$3390,G$1,'United Data'!$C$3:$C$3390,$A1292)&gt;0,1,0)</f>
        <v>0</v>
      </c>
      <c r="H1292">
        <f>IF(COUNTIFS('United Data'!$A$3:$A$3390,H$1,'United Data'!$C$3:$C$3390,$A1292)&gt;0,1,0)</f>
        <v>0</v>
      </c>
      <c r="I1292">
        <f>IF(COUNTIFS('United Data'!$A$3:$A$3390,I$1,'United Data'!$C$3:$C$3390,$A1292)&gt;0,1,0)</f>
        <v>0</v>
      </c>
      <c r="J1292">
        <f>IF(COUNTIFS('United Data'!$A$3:$A$3390,J$1,'United Data'!$C$3:$C$3390,$A1292)&gt;0,1,0)</f>
        <v>0</v>
      </c>
      <c r="K1292">
        <f>IF(COUNTIFS('United Data'!$A$3:$A$3390,K$1,'United Data'!$C$3:$C$3390,$A1292)&gt;0,1,0)</f>
        <v>0</v>
      </c>
      <c r="L1292">
        <f>IF(COUNTIFS('United Data'!$A$3:$A$3390,L$1,'United Data'!$C$3:$C$3390,$A1292)&gt;0,1,0)</f>
        <v>0</v>
      </c>
      <c r="M1292">
        <f>IF(COUNTIFS('United Data'!$A$3:$A$3390,M$1,'United Data'!$C$3:$C$3390,$A1292)&gt;0,1,0)</f>
        <v>0</v>
      </c>
      <c r="N1292">
        <f>IF(COUNTIFS('United Data'!$A$3:$A$3390,N$1,'United Data'!$C$3:$C$3390,$A1292)&gt;0,1,0)</f>
        <v>1</v>
      </c>
      <c r="O1292">
        <f>IF(COUNTIFS('United Data'!$A$3:$A$3390,O$1,'United Data'!$C$3:$C$3390,$A1292)&gt;0,1,0)</f>
        <v>0</v>
      </c>
      <c r="P1292">
        <f>IF(COUNTIFS('United Data'!$A$3:$A$3390,P$1,'United Data'!$C$3:$C$3390,$A1292)&gt;0,1,0)</f>
        <v>1</v>
      </c>
      <c r="Q1292">
        <f>IF(COUNTIFS('United Data'!$A$3:$A$3390,Q$1,'United Data'!$C$3:$C$3390,$A1292)&gt;0,1,0)</f>
        <v>0</v>
      </c>
      <c r="R1292">
        <f>IF(COUNTIFS('United Data'!$A$3:$A$3390,R$1,'United Data'!$C$3:$C$3390,$A1292)&gt;0,1,0)</f>
        <v>0</v>
      </c>
      <c r="S1292">
        <f t="shared" si="40"/>
        <v>2</v>
      </c>
      <c r="T1292">
        <f t="shared" si="41"/>
        <v>2</v>
      </c>
    </row>
    <row r="1293" spans="1:20" x14ac:dyDescent="0.2">
      <c r="A1293" t="s">
        <v>1530</v>
      </c>
      <c r="B1293">
        <f>IF(COUNTIFS('United Data'!$A$3:$A$3390,B$1,'United Data'!$C$3:$C$3390,$A1293)&gt;0,1,0)</f>
        <v>0</v>
      </c>
      <c r="C1293">
        <f>IF(COUNTIFS('United Data'!$A$3:$A$3390,C$1,'United Data'!$C$3:$C$3390,$A1293)&gt;0,1,0)</f>
        <v>0</v>
      </c>
      <c r="D1293">
        <f>IF(COUNTIFS('United Data'!$A$3:$A$3390,D$1,'United Data'!$C$3:$C$3390,$A1293)&gt;0,1,0)</f>
        <v>0</v>
      </c>
      <c r="E1293">
        <f>IF(COUNTIFS('United Data'!$A$3:$A$3390,E$1,'United Data'!$C$3:$C$3390,$A1293)&gt;0,1,0)</f>
        <v>0</v>
      </c>
      <c r="F1293">
        <f>IF(COUNTIFS('United Data'!$A$3:$A$3390,F$1,'United Data'!$C$3:$C$3390,$A1293)&gt;0,1,0)</f>
        <v>0</v>
      </c>
      <c r="G1293">
        <f>IF(COUNTIFS('United Data'!$A$3:$A$3390,G$1,'United Data'!$C$3:$C$3390,$A1293)&gt;0,1,0)</f>
        <v>0</v>
      </c>
      <c r="H1293">
        <f>IF(COUNTIFS('United Data'!$A$3:$A$3390,H$1,'United Data'!$C$3:$C$3390,$A1293)&gt;0,1,0)</f>
        <v>0</v>
      </c>
      <c r="I1293">
        <f>IF(COUNTIFS('United Data'!$A$3:$A$3390,I$1,'United Data'!$C$3:$C$3390,$A1293)&gt;0,1,0)</f>
        <v>0</v>
      </c>
      <c r="J1293">
        <f>IF(COUNTIFS('United Data'!$A$3:$A$3390,J$1,'United Data'!$C$3:$C$3390,$A1293)&gt;0,1,0)</f>
        <v>0</v>
      </c>
      <c r="K1293">
        <f>IF(COUNTIFS('United Data'!$A$3:$A$3390,K$1,'United Data'!$C$3:$C$3390,$A1293)&gt;0,1,0)</f>
        <v>0</v>
      </c>
      <c r="L1293">
        <f>IF(COUNTIFS('United Data'!$A$3:$A$3390,L$1,'United Data'!$C$3:$C$3390,$A1293)&gt;0,1,0)</f>
        <v>0</v>
      </c>
      <c r="M1293">
        <f>IF(COUNTIFS('United Data'!$A$3:$A$3390,M$1,'United Data'!$C$3:$C$3390,$A1293)&gt;0,1,0)</f>
        <v>0</v>
      </c>
      <c r="N1293">
        <f>IF(COUNTIFS('United Data'!$A$3:$A$3390,N$1,'United Data'!$C$3:$C$3390,$A1293)&gt;0,1,0)</f>
        <v>1</v>
      </c>
      <c r="O1293">
        <f>IF(COUNTIFS('United Data'!$A$3:$A$3390,O$1,'United Data'!$C$3:$C$3390,$A1293)&gt;0,1,0)</f>
        <v>0</v>
      </c>
      <c r="P1293">
        <f>IF(COUNTIFS('United Data'!$A$3:$A$3390,P$1,'United Data'!$C$3:$C$3390,$A1293)&gt;0,1,0)</f>
        <v>0</v>
      </c>
      <c r="Q1293">
        <f>IF(COUNTIFS('United Data'!$A$3:$A$3390,Q$1,'United Data'!$C$3:$C$3390,$A1293)&gt;0,1,0)</f>
        <v>0</v>
      </c>
      <c r="R1293">
        <f>IF(COUNTIFS('United Data'!$A$3:$A$3390,R$1,'United Data'!$C$3:$C$3390,$A1293)&gt;0,1,0)</f>
        <v>0</v>
      </c>
      <c r="S1293">
        <f t="shared" si="40"/>
        <v>1</v>
      </c>
      <c r="T1293">
        <f t="shared" si="41"/>
        <v>1</v>
      </c>
    </row>
    <row r="1294" spans="1:20" x14ac:dyDescent="0.2">
      <c r="A1294" t="s">
        <v>1531</v>
      </c>
      <c r="B1294">
        <f>IF(COUNTIFS('United Data'!$A$3:$A$3390,B$1,'United Data'!$C$3:$C$3390,$A1294)&gt;0,1,0)</f>
        <v>0</v>
      </c>
      <c r="C1294">
        <f>IF(COUNTIFS('United Data'!$A$3:$A$3390,C$1,'United Data'!$C$3:$C$3390,$A1294)&gt;0,1,0)</f>
        <v>0</v>
      </c>
      <c r="D1294">
        <f>IF(COUNTIFS('United Data'!$A$3:$A$3390,D$1,'United Data'!$C$3:$C$3390,$A1294)&gt;0,1,0)</f>
        <v>0</v>
      </c>
      <c r="E1294">
        <f>IF(COUNTIFS('United Data'!$A$3:$A$3390,E$1,'United Data'!$C$3:$C$3390,$A1294)&gt;0,1,0)</f>
        <v>0</v>
      </c>
      <c r="F1294">
        <f>IF(COUNTIFS('United Data'!$A$3:$A$3390,F$1,'United Data'!$C$3:$C$3390,$A1294)&gt;0,1,0)</f>
        <v>0</v>
      </c>
      <c r="G1294">
        <f>IF(COUNTIFS('United Data'!$A$3:$A$3390,G$1,'United Data'!$C$3:$C$3390,$A1294)&gt;0,1,0)</f>
        <v>0</v>
      </c>
      <c r="H1294">
        <f>IF(COUNTIFS('United Data'!$A$3:$A$3390,H$1,'United Data'!$C$3:$C$3390,$A1294)&gt;0,1,0)</f>
        <v>0</v>
      </c>
      <c r="I1294">
        <f>IF(COUNTIFS('United Data'!$A$3:$A$3390,I$1,'United Data'!$C$3:$C$3390,$A1294)&gt;0,1,0)</f>
        <v>0</v>
      </c>
      <c r="J1294">
        <f>IF(COUNTIFS('United Data'!$A$3:$A$3390,J$1,'United Data'!$C$3:$C$3390,$A1294)&gt;0,1,0)</f>
        <v>0</v>
      </c>
      <c r="K1294">
        <f>IF(COUNTIFS('United Data'!$A$3:$A$3390,K$1,'United Data'!$C$3:$C$3390,$A1294)&gt;0,1,0)</f>
        <v>0</v>
      </c>
      <c r="L1294">
        <f>IF(COUNTIFS('United Data'!$A$3:$A$3390,L$1,'United Data'!$C$3:$C$3390,$A1294)&gt;0,1,0)</f>
        <v>0</v>
      </c>
      <c r="M1294">
        <f>IF(COUNTIFS('United Data'!$A$3:$A$3390,M$1,'United Data'!$C$3:$C$3390,$A1294)&gt;0,1,0)</f>
        <v>0</v>
      </c>
      <c r="N1294">
        <f>IF(COUNTIFS('United Data'!$A$3:$A$3390,N$1,'United Data'!$C$3:$C$3390,$A1294)&gt;0,1,0)</f>
        <v>0</v>
      </c>
      <c r="O1294">
        <f>IF(COUNTIFS('United Data'!$A$3:$A$3390,O$1,'United Data'!$C$3:$C$3390,$A1294)&gt;0,1,0)</f>
        <v>1</v>
      </c>
      <c r="P1294">
        <f>IF(COUNTIFS('United Data'!$A$3:$A$3390,P$1,'United Data'!$C$3:$C$3390,$A1294)&gt;0,1,0)</f>
        <v>0</v>
      </c>
      <c r="Q1294">
        <f>IF(COUNTIFS('United Data'!$A$3:$A$3390,Q$1,'United Data'!$C$3:$C$3390,$A1294)&gt;0,1,0)</f>
        <v>0</v>
      </c>
      <c r="R1294">
        <f>IF(COUNTIFS('United Data'!$A$3:$A$3390,R$1,'United Data'!$C$3:$C$3390,$A1294)&gt;0,1,0)</f>
        <v>0</v>
      </c>
      <c r="S1294">
        <f t="shared" si="40"/>
        <v>1</v>
      </c>
      <c r="T1294">
        <f t="shared" si="41"/>
        <v>1</v>
      </c>
    </row>
    <row r="1295" spans="1:20" x14ac:dyDescent="0.2">
      <c r="A1295" t="s">
        <v>1532</v>
      </c>
      <c r="B1295">
        <f>IF(COUNTIFS('United Data'!$A$3:$A$3390,B$1,'United Data'!$C$3:$C$3390,$A1295)&gt;0,1,0)</f>
        <v>0</v>
      </c>
      <c r="C1295">
        <f>IF(COUNTIFS('United Data'!$A$3:$A$3390,C$1,'United Data'!$C$3:$C$3390,$A1295)&gt;0,1,0)</f>
        <v>0</v>
      </c>
      <c r="D1295">
        <f>IF(COUNTIFS('United Data'!$A$3:$A$3390,D$1,'United Data'!$C$3:$C$3390,$A1295)&gt;0,1,0)</f>
        <v>0</v>
      </c>
      <c r="E1295">
        <f>IF(COUNTIFS('United Data'!$A$3:$A$3390,E$1,'United Data'!$C$3:$C$3390,$A1295)&gt;0,1,0)</f>
        <v>0</v>
      </c>
      <c r="F1295">
        <f>IF(COUNTIFS('United Data'!$A$3:$A$3390,F$1,'United Data'!$C$3:$C$3390,$A1295)&gt;0,1,0)</f>
        <v>0</v>
      </c>
      <c r="G1295">
        <f>IF(COUNTIFS('United Data'!$A$3:$A$3390,G$1,'United Data'!$C$3:$C$3390,$A1295)&gt;0,1,0)</f>
        <v>0</v>
      </c>
      <c r="H1295">
        <f>IF(COUNTIFS('United Data'!$A$3:$A$3390,H$1,'United Data'!$C$3:$C$3390,$A1295)&gt;0,1,0)</f>
        <v>0</v>
      </c>
      <c r="I1295">
        <f>IF(COUNTIFS('United Data'!$A$3:$A$3390,I$1,'United Data'!$C$3:$C$3390,$A1295)&gt;0,1,0)</f>
        <v>0</v>
      </c>
      <c r="J1295">
        <f>IF(COUNTIFS('United Data'!$A$3:$A$3390,J$1,'United Data'!$C$3:$C$3390,$A1295)&gt;0,1,0)</f>
        <v>0</v>
      </c>
      <c r="K1295">
        <f>IF(COUNTIFS('United Data'!$A$3:$A$3390,K$1,'United Data'!$C$3:$C$3390,$A1295)&gt;0,1,0)</f>
        <v>0</v>
      </c>
      <c r="L1295">
        <f>IF(COUNTIFS('United Data'!$A$3:$A$3390,L$1,'United Data'!$C$3:$C$3390,$A1295)&gt;0,1,0)</f>
        <v>0</v>
      </c>
      <c r="M1295">
        <f>IF(COUNTIFS('United Data'!$A$3:$A$3390,M$1,'United Data'!$C$3:$C$3390,$A1295)&gt;0,1,0)</f>
        <v>0</v>
      </c>
      <c r="N1295">
        <f>IF(COUNTIFS('United Data'!$A$3:$A$3390,N$1,'United Data'!$C$3:$C$3390,$A1295)&gt;0,1,0)</f>
        <v>0</v>
      </c>
      <c r="O1295">
        <f>IF(COUNTIFS('United Data'!$A$3:$A$3390,O$1,'United Data'!$C$3:$C$3390,$A1295)&gt;0,1,0)</f>
        <v>1</v>
      </c>
      <c r="P1295">
        <f>IF(COUNTIFS('United Data'!$A$3:$A$3390,P$1,'United Data'!$C$3:$C$3390,$A1295)&gt;0,1,0)</f>
        <v>0</v>
      </c>
      <c r="Q1295">
        <f>IF(COUNTIFS('United Data'!$A$3:$A$3390,Q$1,'United Data'!$C$3:$C$3390,$A1295)&gt;0,1,0)</f>
        <v>0</v>
      </c>
      <c r="R1295">
        <f>IF(COUNTIFS('United Data'!$A$3:$A$3390,R$1,'United Data'!$C$3:$C$3390,$A1295)&gt;0,1,0)</f>
        <v>0</v>
      </c>
      <c r="S1295">
        <f t="shared" si="40"/>
        <v>1</v>
      </c>
      <c r="T1295">
        <f t="shared" si="41"/>
        <v>1</v>
      </c>
    </row>
    <row r="1296" spans="1:20" x14ac:dyDescent="0.2">
      <c r="A1296" t="s">
        <v>1533</v>
      </c>
      <c r="B1296">
        <f>IF(COUNTIFS('United Data'!$A$3:$A$3390,B$1,'United Data'!$C$3:$C$3390,$A1296)&gt;0,1,0)</f>
        <v>0</v>
      </c>
      <c r="C1296">
        <f>IF(COUNTIFS('United Data'!$A$3:$A$3390,C$1,'United Data'!$C$3:$C$3390,$A1296)&gt;0,1,0)</f>
        <v>0</v>
      </c>
      <c r="D1296">
        <f>IF(COUNTIFS('United Data'!$A$3:$A$3390,D$1,'United Data'!$C$3:$C$3390,$A1296)&gt;0,1,0)</f>
        <v>0</v>
      </c>
      <c r="E1296">
        <f>IF(COUNTIFS('United Data'!$A$3:$A$3390,E$1,'United Data'!$C$3:$C$3390,$A1296)&gt;0,1,0)</f>
        <v>0</v>
      </c>
      <c r="F1296">
        <f>IF(COUNTIFS('United Data'!$A$3:$A$3390,F$1,'United Data'!$C$3:$C$3390,$A1296)&gt;0,1,0)</f>
        <v>0</v>
      </c>
      <c r="G1296">
        <f>IF(COUNTIFS('United Data'!$A$3:$A$3390,G$1,'United Data'!$C$3:$C$3390,$A1296)&gt;0,1,0)</f>
        <v>0</v>
      </c>
      <c r="H1296">
        <f>IF(COUNTIFS('United Data'!$A$3:$A$3390,H$1,'United Data'!$C$3:$C$3390,$A1296)&gt;0,1,0)</f>
        <v>0</v>
      </c>
      <c r="I1296">
        <f>IF(COUNTIFS('United Data'!$A$3:$A$3390,I$1,'United Data'!$C$3:$C$3390,$A1296)&gt;0,1,0)</f>
        <v>0</v>
      </c>
      <c r="J1296">
        <f>IF(COUNTIFS('United Data'!$A$3:$A$3390,J$1,'United Data'!$C$3:$C$3390,$A1296)&gt;0,1,0)</f>
        <v>0</v>
      </c>
      <c r="K1296">
        <f>IF(COUNTIFS('United Data'!$A$3:$A$3390,K$1,'United Data'!$C$3:$C$3390,$A1296)&gt;0,1,0)</f>
        <v>0</v>
      </c>
      <c r="L1296">
        <f>IF(COUNTIFS('United Data'!$A$3:$A$3390,L$1,'United Data'!$C$3:$C$3390,$A1296)&gt;0,1,0)</f>
        <v>0</v>
      </c>
      <c r="M1296">
        <f>IF(COUNTIFS('United Data'!$A$3:$A$3390,M$1,'United Data'!$C$3:$C$3390,$A1296)&gt;0,1,0)</f>
        <v>0</v>
      </c>
      <c r="N1296">
        <f>IF(COUNTIFS('United Data'!$A$3:$A$3390,N$1,'United Data'!$C$3:$C$3390,$A1296)&gt;0,1,0)</f>
        <v>0</v>
      </c>
      <c r="O1296">
        <f>IF(COUNTIFS('United Data'!$A$3:$A$3390,O$1,'United Data'!$C$3:$C$3390,$A1296)&gt;0,1,0)</f>
        <v>1</v>
      </c>
      <c r="P1296">
        <f>IF(COUNTIFS('United Data'!$A$3:$A$3390,P$1,'United Data'!$C$3:$C$3390,$A1296)&gt;0,1,0)</f>
        <v>0</v>
      </c>
      <c r="Q1296">
        <f>IF(COUNTIFS('United Data'!$A$3:$A$3390,Q$1,'United Data'!$C$3:$C$3390,$A1296)&gt;0,1,0)</f>
        <v>0</v>
      </c>
      <c r="R1296">
        <f>IF(COUNTIFS('United Data'!$A$3:$A$3390,R$1,'United Data'!$C$3:$C$3390,$A1296)&gt;0,1,0)</f>
        <v>0</v>
      </c>
      <c r="S1296">
        <f t="shared" si="40"/>
        <v>1</v>
      </c>
      <c r="T1296">
        <f t="shared" si="41"/>
        <v>1</v>
      </c>
    </row>
    <row r="1297" spans="1:20" x14ac:dyDescent="0.2">
      <c r="A1297" t="s">
        <v>1534</v>
      </c>
      <c r="B1297">
        <f>IF(COUNTIFS('United Data'!$A$3:$A$3390,B$1,'United Data'!$C$3:$C$3390,$A1297)&gt;0,1,0)</f>
        <v>0</v>
      </c>
      <c r="C1297">
        <f>IF(COUNTIFS('United Data'!$A$3:$A$3390,C$1,'United Data'!$C$3:$C$3390,$A1297)&gt;0,1,0)</f>
        <v>0</v>
      </c>
      <c r="D1297">
        <f>IF(COUNTIFS('United Data'!$A$3:$A$3390,D$1,'United Data'!$C$3:$C$3390,$A1297)&gt;0,1,0)</f>
        <v>0</v>
      </c>
      <c r="E1297">
        <f>IF(COUNTIFS('United Data'!$A$3:$A$3390,E$1,'United Data'!$C$3:$C$3390,$A1297)&gt;0,1,0)</f>
        <v>0</v>
      </c>
      <c r="F1297">
        <f>IF(COUNTIFS('United Data'!$A$3:$A$3390,F$1,'United Data'!$C$3:$C$3390,$A1297)&gt;0,1,0)</f>
        <v>0</v>
      </c>
      <c r="G1297">
        <f>IF(COUNTIFS('United Data'!$A$3:$A$3390,G$1,'United Data'!$C$3:$C$3390,$A1297)&gt;0,1,0)</f>
        <v>0</v>
      </c>
      <c r="H1297">
        <f>IF(COUNTIFS('United Data'!$A$3:$A$3390,H$1,'United Data'!$C$3:$C$3390,$A1297)&gt;0,1,0)</f>
        <v>0</v>
      </c>
      <c r="I1297">
        <f>IF(COUNTIFS('United Data'!$A$3:$A$3390,I$1,'United Data'!$C$3:$C$3390,$A1297)&gt;0,1,0)</f>
        <v>0</v>
      </c>
      <c r="J1297">
        <f>IF(COUNTIFS('United Data'!$A$3:$A$3390,J$1,'United Data'!$C$3:$C$3390,$A1297)&gt;0,1,0)</f>
        <v>0</v>
      </c>
      <c r="K1297">
        <f>IF(COUNTIFS('United Data'!$A$3:$A$3390,K$1,'United Data'!$C$3:$C$3390,$A1297)&gt;0,1,0)</f>
        <v>0</v>
      </c>
      <c r="L1297">
        <f>IF(COUNTIFS('United Data'!$A$3:$A$3390,L$1,'United Data'!$C$3:$C$3390,$A1297)&gt;0,1,0)</f>
        <v>0</v>
      </c>
      <c r="M1297">
        <f>IF(COUNTIFS('United Data'!$A$3:$A$3390,M$1,'United Data'!$C$3:$C$3390,$A1297)&gt;0,1,0)</f>
        <v>0</v>
      </c>
      <c r="N1297">
        <f>IF(COUNTIFS('United Data'!$A$3:$A$3390,N$1,'United Data'!$C$3:$C$3390,$A1297)&gt;0,1,0)</f>
        <v>0</v>
      </c>
      <c r="O1297">
        <f>IF(COUNTIFS('United Data'!$A$3:$A$3390,O$1,'United Data'!$C$3:$C$3390,$A1297)&gt;0,1,0)</f>
        <v>1</v>
      </c>
      <c r="P1297">
        <f>IF(COUNTIFS('United Data'!$A$3:$A$3390,P$1,'United Data'!$C$3:$C$3390,$A1297)&gt;0,1,0)</f>
        <v>0</v>
      </c>
      <c r="Q1297">
        <f>IF(COUNTIFS('United Data'!$A$3:$A$3390,Q$1,'United Data'!$C$3:$C$3390,$A1297)&gt;0,1,0)</f>
        <v>0</v>
      </c>
      <c r="R1297">
        <f>IF(COUNTIFS('United Data'!$A$3:$A$3390,R$1,'United Data'!$C$3:$C$3390,$A1297)&gt;0,1,0)</f>
        <v>0</v>
      </c>
      <c r="S1297">
        <f t="shared" si="40"/>
        <v>1</v>
      </c>
      <c r="T1297">
        <f t="shared" si="41"/>
        <v>1</v>
      </c>
    </row>
    <row r="1298" spans="1:20" x14ac:dyDescent="0.2">
      <c r="A1298" t="s">
        <v>1535</v>
      </c>
      <c r="B1298">
        <f>IF(COUNTIFS('United Data'!$A$3:$A$3390,B$1,'United Data'!$C$3:$C$3390,$A1298)&gt;0,1,0)</f>
        <v>0</v>
      </c>
      <c r="C1298">
        <f>IF(COUNTIFS('United Data'!$A$3:$A$3390,C$1,'United Data'!$C$3:$C$3390,$A1298)&gt;0,1,0)</f>
        <v>0</v>
      </c>
      <c r="D1298">
        <f>IF(COUNTIFS('United Data'!$A$3:$A$3390,D$1,'United Data'!$C$3:$C$3390,$A1298)&gt;0,1,0)</f>
        <v>0</v>
      </c>
      <c r="E1298">
        <f>IF(COUNTIFS('United Data'!$A$3:$A$3390,E$1,'United Data'!$C$3:$C$3390,$A1298)&gt;0,1,0)</f>
        <v>0</v>
      </c>
      <c r="F1298">
        <f>IF(COUNTIFS('United Data'!$A$3:$A$3390,F$1,'United Data'!$C$3:$C$3390,$A1298)&gt;0,1,0)</f>
        <v>0</v>
      </c>
      <c r="G1298">
        <f>IF(COUNTIFS('United Data'!$A$3:$A$3390,G$1,'United Data'!$C$3:$C$3390,$A1298)&gt;0,1,0)</f>
        <v>0</v>
      </c>
      <c r="H1298">
        <f>IF(COUNTIFS('United Data'!$A$3:$A$3390,H$1,'United Data'!$C$3:$C$3390,$A1298)&gt;0,1,0)</f>
        <v>0</v>
      </c>
      <c r="I1298">
        <f>IF(COUNTIFS('United Data'!$A$3:$A$3390,I$1,'United Data'!$C$3:$C$3390,$A1298)&gt;0,1,0)</f>
        <v>0</v>
      </c>
      <c r="J1298">
        <f>IF(COUNTIFS('United Data'!$A$3:$A$3390,J$1,'United Data'!$C$3:$C$3390,$A1298)&gt;0,1,0)</f>
        <v>0</v>
      </c>
      <c r="K1298">
        <f>IF(COUNTIFS('United Data'!$A$3:$A$3390,K$1,'United Data'!$C$3:$C$3390,$A1298)&gt;0,1,0)</f>
        <v>0</v>
      </c>
      <c r="L1298">
        <f>IF(COUNTIFS('United Data'!$A$3:$A$3390,L$1,'United Data'!$C$3:$C$3390,$A1298)&gt;0,1,0)</f>
        <v>0</v>
      </c>
      <c r="M1298">
        <f>IF(COUNTIFS('United Data'!$A$3:$A$3390,M$1,'United Data'!$C$3:$C$3390,$A1298)&gt;0,1,0)</f>
        <v>0</v>
      </c>
      <c r="N1298">
        <f>IF(COUNTIFS('United Data'!$A$3:$A$3390,N$1,'United Data'!$C$3:$C$3390,$A1298)&gt;0,1,0)</f>
        <v>1</v>
      </c>
      <c r="O1298">
        <f>IF(COUNTIFS('United Data'!$A$3:$A$3390,O$1,'United Data'!$C$3:$C$3390,$A1298)&gt;0,1,0)</f>
        <v>1</v>
      </c>
      <c r="P1298">
        <f>IF(COUNTIFS('United Data'!$A$3:$A$3390,P$1,'United Data'!$C$3:$C$3390,$A1298)&gt;0,1,0)</f>
        <v>0</v>
      </c>
      <c r="Q1298">
        <f>IF(COUNTIFS('United Data'!$A$3:$A$3390,Q$1,'United Data'!$C$3:$C$3390,$A1298)&gt;0,1,0)</f>
        <v>0</v>
      </c>
      <c r="R1298">
        <f>IF(COUNTIFS('United Data'!$A$3:$A$3390,R$1,'United Data'!$C$3:$C$3390,$A1298)&gt;0,1,0)</f>
        <v>0</v>
      </c>
      <c r="S1298">
        <f t="shared" si="40"/>
        <v>2</v>
      </c>
      <c r="T1298">
        <f t="shared" si="41"/>
        <v>1</v>
      </c>
    </row>
    <row r="1299" spans="1:20" x14ac:dyDescent="0.2">
      <c r="A1299" t="s">
        <v>1536</v>
      </c>
      <c r="B1299">
        <f>IF(COUNTIFS('United Data'!$A$3:$A$3390,B$1,'United Data'!$C$3:$C$3390,$A1299)&gt;0,1,0)</f>
        <v>0</v>
      </c>
      <c r="C1299">
        <f>IF(COUNTIFS('United Data'!$A$3:$A$3390,C$1,'United Data'!$C$3:$C$3390,$A1299)&gt;0,1,0)</f>
        <v>0</v>
      </c>
      <c r="D1299">
        <f>IF(COUNTIFS('United Data'!$A$3:$A$3390,D$1,'United Data'!$C$3:$C$3390,$A1299)&gt;0,1,0)</f>
        <v>0</v>
      </c>
      <c r="E1299">
        <f>IF(COUNTIFS('United Data'!$A$3:$A$3390,E$1,'United Data'!$C$3:$C$3390,$A1299)&gt;0,1,0)</f>
        <v>0</v>
      </c>
      <c r="F1299">
        <f>IF(COUNTIFS('United Data'!$A$3:$A$3390,F$1,'United Data'!$C$3:$C$3390,$A1299)&gt;0,1,0)</f>
        <v>0</v>
      </c>
      <c r="G1299">
        <f>IF(COUNTIFS('United Data'!$A$3:$A$3390,G$1,'United Data'!$C$3:$C$3390,$A1299)&gt;0,1,0)</f>
        <v>0</v>
      </c>
      <c r="H1299">
        <f>IF(COUNTIFS('United Data'!$A$3:$A$3390,H$1,'United Data'!$C$3:$C$3390,$A1299)&gt;0,1,0)</f>
        <v>0</v>
      </c>
      <c r="I1299">
        <f>IF(COUNTIFS('United Data'!$A$3:$A$3390,I$1,'United Data'!$C$3:$C$3390,$A1299)&gt;0,1,0)</f>
        <v>0</v>
      </c>
      <c r="J1299">
        <f>IF(COUNTIFS('United Data'!$A$3:$A$3390,J$1,'United Data'!$C$3:$C$3390,$A1299)&gt;0,1,0)</f>
        <v>0</v>
      </c>
      <c r="K1299">
        <f>IF(COUNTIFS('United Data'!$A$3:$A$3390,K$1,'United Data'!$C$3:$C$3390,$A1299)&gt;0,1,0)</f>
        <v>0</v>
      </c>
      <c r="L1299">
        <f>IF(COUNTIFS('United Data'!$A$3:$A$3390,L$1,'United Data'!$C$3:$C$3390,$A1299)&gt;0,1,0)</f>
        <v>0</v>
      </c>
      <c r="M1299">
        <f>IF(COUNTIFS('United Data'!$A$3:$A$3390,M$1,'United Data'!$C$3:$C$3390,$A1299)&gt;0,1,0)</f>
        <v>0</v>
      </c>
      <c r="N1299">
        <f>IF(COUNTIFS('United Data'!$A$3:$A$3390,N$1,'United Data'!$C$3:$C$3390,$A1299)&gt;0,1,0)</f>
        <v>0</v>
      </c>
      <c r="O1299">
        <f>IF(COUNTIFS('United Data'!$A$3:$A$3390,O$1,'United Data'!$C$3:$C$3390,$A1299)&gt;0,1,0)</f>
        <v>1</v>
      </c>
      <c r="P1299">
        <f>IF(COUNTIFS('United Data'!$A$3:$A$3390,P$1,'United Data'!$C$3:$C$3390,$A1299)&gt;0,1,0)</f>
        <v>0</v>
      </c>
      <c r="Q1299">
        <f>IF(COUNTIFS('United Data'!$A$3:$A$3390,Q$1,'United Data'!$C$3:$C$3390,$A1299)&gt;0,1,0)</f>
        <v>0</v>
      </c>
      <c r="R1299">
        <f>IF(COUNTIFS('United Data'!$A$3:$A$3390,R$1,'United Data'!$C$3:$C$3390,$A1299)&gt;0,1,0)</f>
        <v>0</v>
      </c>
      <c r="S1299">
        <f t="shared" si="40"/>
        <v>1</v>
      </c>
      <c r="T1299">
        <f t="shared" si="41"/>
        <v>1</v>
      </c>
    </row>
    <row r="1300" spans="1:20" x14ac:dyDescent="0.2">
      <c r="A1300" t="s">
        <v>1537</v>
      </c>
      <c r="B1300">
        <f>IF(COUNTIFS('United Data'!$A$3:$A$3390,B$1,'United Data'!$C$3:$C$3390,$A1300)&gt;0,1,0)</f>
        <v>0</v>
      </c>
      <c r="C1300">
        <f>IF(COUNTIFS('United Data'!$A$3:$A$3390,C$1,'United Data'!$C$3:$C$3390,$A1300)&gt;0,1,0)</f>
        <v>0</v>
      </c>
      <c r="D1300">
        <f>IF(COUNTIFS('United Data'!$A$3:$A$3390,D$1,'United Data'!$C$3:$C$3390,$A1300)&gt;0,1,0)</f>
        <v>0</v>
      </c>
      <c r="E1300">
        <f>IF(COUNTIFS('United Data'!$A$3:$A$3390,E$1,'United Data'!$C$3:$C$3390,$A1300)&gt;0,1,0)</f>
        <v>0</v>
      </c>
      <c r="F1300">
        <f>IF(COUNTIFS('United Data'!$A$3:$A$3390,F$1,'United Data'!$C$3:$C$3390,$A1300)&gt;0,1,0)</f>
        <v>0</v>
      </c>
      <c r="G1300">
        <f>IF(COUNTIFS('United Data'!$A$3:$A$3390,G$1,'United Data'!$C$3:$C$3390,$A1300)&gt;0,1,0)</f>
        <v>0</v>
      </c>
      <c r="H1300">
        <f>IF(COUNTIFS('United Data'!$A$3:$A$3390,H$1,'United Data'!$C$3:$C$3390,$A1300)&gt;0,1,0)</f>
        <v>0</v>
      </c>
      <c r="I1300">
        <f>IF(COUNTIFS('United Data'!$A$3:$A$3390,I$1,'United Data'!$C$3:$C$3390,$A1300)&gt;0,1,0)</f>
        <v>0</v>
      </c>
      <c r="J1300">
        <f>IF(COUNTIFS('United Data'!$A$3:$A$3390,J$1,'United Data'!$C$3:$C$3390,$A1300)&gt;0,1,0)</f>
        <v>0</v>
      </c>
      <c r="K1300">
        <f>IF(COUNTIFS('United Data'!$A$3:$A$3390,K$1,'United Data'!$C$3:$C$3390,$A1300)&gt;0,1,0)</f>
        <v>0</v>
      </c>
      <c r="L1300">
        <f>IF(COUNTIFS('United Data'!$A$3:$A$3390,L$1,'United Data'!$C$3:$C$3390,$A1300)&gt;0,1,0)</f>
        <v>0</v>
      </c>
      <c r="M1300">
        <f>IF(COUNTIFS('United Data'!$A$3:$A$3390,M$1,'United Data'!$C$3:$C$3390,$A1300)&gt;0,1,0)</f>
        <v>0</v>
      </c>
      <c r="N1300">
        <f>IF(COUNTIFS('United Data'!$A$3:$A$3390,N$1,'United Data'!$C$3:$C$3390,$A1300)&gt;0,1,0)</f>
        <v>0</v>
      </c>
      <c r="O1300">
        <f>IF(COUNTIFS('United Data'!$A$3:$A$3390,O$1,'United Data'!$C$3:$C$3390,$A1300)&gt;0,1,0)</f>
        <v>1</v>
      </c>
      <c r="P1300">
        <f>IF(COUNTIFS('United Data'!$A$3:$A$3390,P$1,'United Data'!$C$3:$C$3390,$A1300)&gt;0,1,0)</f>
        <v>0</v>
      </c>
      <c r="Q1300">
        <f>IF(COUNTIFS('United Data'!$A$3:$A$3390,Q$1,'United Data'!$C$3:$C$3390,$A1300)&gt;0,1,0)</f>
        <v>0</v>
      </c>
      <c r="R1300">
        <f>IF(COUNTIFS('United Data'!$A$3:$A$3390,R$1,'United Data'!$C$3:$C$3390,$A1300)&gt;0,1,0)</f>
        <v>0</v>
      </c>
      <c r="S1300">
        <f t="shared" si="40"/>
        <v>1</v>
      </c>
      <c r="T1300">
        <f t="shared" si="41"/>
        <v>1</v>
      </c>
    </row>
    <row r="1301" spans="1:20" x14ac:dyDescent="0.2">
      <c r="A1301" t="s">
        <v>1538</v>
      </c>
      <c r="B1301">
        <f>IF(COUNTIFS('United Data'!$A$3:$A$3390,B$1,'United Data'!$C$3:$C$3390,$A1301)&gt;0,1,0)</f>
        <v>0</v>
      </c>
      <c r="C1301">
        <f>IF(COUNTIFS('United Data'!$A$3:$A$3390,C$1,'United Data'!$C$3:$C$3390,$A1301)&gt;0,1,0)</f>
        <v>0</v>
      </c>
      <c r="D1301">
        <f>IF(COUNTIFS('United Data'!$A$3:$A$3390,D$1,'United Data'!$C$3:$C$3390,$A1301)&gt;0,1,0)</f>
        <v>0</v>
      </c>
      <c r="E1301">
        <f>IF(COUNTIFS('United Data'!$A$3:$A$3390,E$1,'United Data'!$C$3:$C$3390,$A1301)&gt;0,1,0)</f>
        <v>0</v>
      </c>
      <c r="F1301">
        <f>IF(COUNTIFS('United Data'!$A$3:$A$3390,F$1,'United Data'!$C$3:$C$3390,$A1301)&gt;0,1,0)</f>
        <v>0</v>
      </c>
      <c r="G1301">
        <f>IF(COUNTIFS('United Data'!$A$3:$A$3390,G$1,'United Data'!$C$3:$C$3390,$A1301)&gt;0,1,0)</f>
        <v>0</v>
      </c>
      <c r="H1301">
        <f>IF(COUNTIFS('United Data'!$A$3:$A$3390,H$1,'United Data'!$C$3:$C$3390,$A1301)&gt;0,1,0)</f>
        <v>0</v>
      </c>
      <c r="I1301">
        <f>IF(COUNTIFS('United Data'!$A$3:$A$3390,I$1,'United Data'!$C$3:$C$3390,$A1301)&gt;0,1,0)</f>
        <v>0</v>
      </c>
      <c r="J1301">
        <f>IF(COUNTIFS('United Data'!$A$3:$A$3390,J$1,'United Data'!$C$3:$C$3390,$A1301)&gt;0,1,0)</f>
        <v>0</v>
      </c>
      <c r="K1301">
        <f>IF(COUNTIFS('United Data'!$A$3:$A$3390,K$1,'United Data'!$C$3:$C$3390,$A1301)&gt;0,1,0)</f>
        <v>0</v>
      </c>
      <c r="L1301">
        <f>IF(COUNTIFS('United Data'!$A$3:$A$3390,L$1,'United Data'!$C$3:$C$3390,$A1301)&gt;0,1,0)</f>
        <v>0</v>
      </c>
      <c r="M1301">
        <f>IF(COUNTIFS('United Data'!$A$3:$A$3390,M$1,'United Data'!$C$3:$C$3390,$A1301)&gt;0,1,0)</f>
        <v>0</v>
      </c>
      <c r="N1301">
        <f>IF(COUNTIFS('United Data'!$A$3:$A$3390,N$1,'United Data'!$C$3:$C$3390,$A1301)&gt;0,1,0)</f>
        <v>0</v>
      </c>
      <c r="O1301">
        <f>IF(COUNTIFS('United Data'!$A$3:$A$3390,O$1,'United Data'!$C$3:$C$3390,$A1301)&gt;0,1,0)</f>
        <v>1</v>
      </c>
      <c r="P1301">
        <f>IF(COUNTIFS('United Data'!$A$3:$A$3390,P$1,'United Data'!$C$3:$C$3390,$A1301)&gt;0,1,0)</f>
        <v>0</v>
      </c>
      <c r="Q1301">
        <f>IF(COUNTIFS('United Data'!$A$3:$A$3390,Q$1,'United Data'!$C$3:$C$3390,$A1301)&gt;0,1,0)</f>
        <v>0</v>
      </c>
      <c r="R1301">
        <f>IF(COUNTIFS('United Data'!$A$3:$A$3390,R$1,'United Data'!$C$3:$C$3390,$A1301)&gt;0,1,0)</f>
        <v>0</v>
      </c>
      <c r="S1301">
        <f t="shared" si="40"/>
        <v>1</v>
      </c>
      <c r="T1301">
        <f t="shared" si="41"/>
        <v>1</v>
      </c>
    </row>
    <row r="1302" spans="1:20" x14ac:dyDescent="0.2">
      <c r="A1302" t="s">
        <v>1539</v>
      </c>
      <c r="B1302">
        <f>IF(COUNTIFS('United Data'!$A$3:$A$3390,B$1,'United Data'!$C$3:$C$3390,$A1302)&gt;0,1,0)</f>
        <v>0</v>
      </c>
      <c r="C1302">
        <f>IF(COUNTIFS('United Data'!$A$3:$A$3390,C$1,'United Data'!$C$3:$C$3390,$A1302)&gt;0,1,0)</f>
        <v>0</v>
      </c>
      <c r="D1302">
        <f>IF(COUNTIFS('United Data'!$A$3:$A$3390,D$1,'United Data'!$C$3:$C$3390,$A1302)&gt;0,1,0)</f>
        <v>0</v>
      </c>
      <c r="E1302">
        <f>IF(COUNTIFS('United Data'!$A$3:$A$3390,E$1,'United Data'!$C$3:$C$3390,$A1302)&gt;0,1,0)</f>
        <v>0</v>
      </c>
      <c r="F1302">
        <f>IF(COUNTIFS('United Data'!$A$3:$A$3390,F$1,'United Data'!$C$3:$C$3390,$A1302)&gt;0,1,0)</f>
        <v>0</v>
      </c>
      <c r="G1302">
        <f>IF(COUNTIFS('United Data'!$A$3:$A$3390,G$1,'United Data'!$C$3:$C$3390,$A1302)&gt;0,1,0)</f>
        <v>0</v>
      </c>
      <c r="H1302">
        <f>IF(COUNTIFS('United Data'!$A$3:$A$3390,H$1,'United Data'!$C$3:$C$3390,$A1302)&gt;0,1,0)</f>
        <v>0</v>
      </c>
      <c r="I1302">
        <f>IF(COUNTIFS('United Data'!$A$3:$A$3390,I$1,'United Data'!$C$3:$C$3390,$A1302)&gt;0,1,0)</f>
        <v>0</v>
      </c>
      <c r="J1302">
        <f>IF(COUNTIFS('United Data'!$A$3:$A$3390,J$1,'United Data'!$C$3:$C$3390,$A1302)&gt;0,1,0)</f>
        <v>0</v>
      </c>
      <c r="K1302">
        <f>IF(COUNTIFS('United Data'!$A$3:$A$3390,K$1,'United Data'!$C$3:$C$3390,$A1302)&gt;0,1,0)</f>
        <v>0</v>
      </c>
      <c r="L1302">
        <f>IF(COUNTIFS('United Data'!$A$3:$A$3390,L$1,'United Data'!$C$3:$C$3390,$A1302)&gt;0,1,0)</f>
        <v>0</v>
      </c>
      <c r="M1302">
        <f>IF(COUNTIFS('United Data'!$A$3:$A$3390,M$1,'United Data'!$C$3:$C$3390,$A1302)&gt;0,1,0)</f>
        <v>0</v>
      </c>
      <c r="N1302">
        <f>IF(COUNTIFS('United Data'!$A$3:$A$3390,N$1,'United Data'!$C$3:$C$3390,$A1302)&gt;0,1,0)</f>
        <v>0</v>
      </c>
      <c r="O1302">
        <f>IF(COUNTIFS('United Data'!$A$3:$A$3390,O$1,'United Data'!$C$3:$C$3390,$A1302)&gt;0,1,0)</f>
        <v>1</v>
      </c>
      <c r="P1302">
        <f>IF(COUNTIFS('United Data'!$A$3:$A$3390,P$1,'United Data'!$C$3:$C$3390,$A1302)&gt;0,1,0)</f>
        <v>0</v>
      </c>
      <c r="Q1302">
        <f>IF(COUNTIFS('United Data'!$A$3:$A$3390,Q$1,'United Data'!$C$3:$C$3390,$A1302)&gt;0,1,0)</f>
        <v>0</v>
      </c>
      <c r="R1302">
        <f>IF(COUNTIFS('United Data'!$A$3:$A$3390,R$1,'United Data'!$C$3:$C$3390,$A1302)&gt;0,1,0)</f>
        <v>0</v>
      </c>
      <c r="S1302">
        <f t="shared" si="40"/>
        <v>1</v>
      </c>
      <c r="T1302">
        <f t="shared" si="41"/>
        <v>1</v>
      </c>
    </row>
    <row r="1303" spans="1:20" x14ac:dyDescent="0.2">
      <c r="A1303" t="s">
        <v>1540</v>
      </c>
      <c r="B1303">
        <f>IF(COUNTIFS('United Data'!$A$3:$A$3390,B$1,'United Data'!$C$3:$C$3390,$A1303)&gt;0,1,0)</f>
        <v>0</v>
      </c>
      <c r="C1303">
        <f>IF(COUNTIFS('United Data'!$A$3:$A$3390,C$1,'United Data'!$C$3:$C$3390,$A1303)&gt;0,1,0)</f>
        <v>0</v>
      </c>
      <c r="D1303">
        <f>IF(COUNTIFS('United Data'!$A$3:$A$3390,D$1,'United Data'!$C$3:$C$3390,$A1303)&gt;0,1,0)</f>
        <v>0</v>
      </c>
      <c r="E1303">
        <f>IF(COUNTIFS('United Data'!$A$3:$A$3390,E$1,'United Data'!$C$3:$C$3390,$A1303)&gt;0,1,0)</f>
        <v>0</v>
      </c>
      <c r="F1303">
        <f>IF(COUNTIFS('United Data'!$A$3:$A$3390,F$1,'United Data'!$C$3:$C$3390,$A1303)&gt;0,1,0)</f>
        <v>0</v>
      </c>
      <c r="G1303">
        <f>IF(COUNTIFS('United Data'!$A$3:$A$3390,G$1,'United Data'!$C$3:$C$3390,$A1303)&gt;0,1,0)</f>
        <v>0</v>
      </c>
      <c r="H1303">
        <f>IF(COUNTIFS('United Data'!$A$3:$A$3390,H$1,'United Data'!$C$3:$C$3390,$A1303)&gt;0,1,0)</f>
        <v>0</v>
      </c>
      <c r="I1303">
        <f>IF(COUNTIFS('United Data'!$A$3:$A$3390,I$1,'United Data'!$C$3:$C$3390,$A1303)&gt;0,1,0)</f>
        <v>0</v>
      </c>
      <c r="J1303">
        <f>IF(COUNTIFS('United Data'!$A$3:$A$3390,J$1,'United Data'!$C$3:$C$3390,$A1303)&gt;0,1,0)</f>
        <v>0</v>
      </c>
      <c r="K1303">
        <f>IF(COUNTIFS('United Data'!$A$3:$A$3390,K$1,'United Data'!$C$3:$C$3390,$A1303)&gt;0,1,0)</f>
        <v>0</v>
      </c>
      <c r="L1303">
        <f>IF(COUNTIFS('United Data'!$A$3:$A$3390,L$1,'United Data'!$C$3:$C$3390,$A1303)&gt;0,1,0)</f>
        <v>0</v>
      </c>
      <c r="M1303">
        <f>IF(COUNTIFS('United Data'!$A$3:$A$3390,M$1,'United Data'!$C$3:$C$3390,$A1303)&gt;0,1,0)</f>
        <v>0</v>
      </c>
      <c r="N1303">
        <f>IF(COUNTIFS('United Data'!$A$3:$A$3390,N$1,'United Data'!$C$3:$C$3390,$A1303)&gt;0,1,0)</f>
        <v>0</v>
      </c>
      <c r="O1303">
        <f>IF(COUNTIFS('United Data'!$A$3:$A$3390,O$1,'United Data'!$C$3:$C$3390,$A1303)&gt;0,1,0)</f>
        <v>0</v>
      </c>
      <c r="P1303">
        <f>IF(COUNTIFS('United Data'!$A$3:$A$3390,P$1,'United Data'!$C$3:$C$3390,$A1303)&gt;0,1,0)</f>
        <v>1</v>
      </c>
      <c r="Q1303">
        <f>IF(COUNTIFS('United Data'!$A$3:$A$3390,Q$1,'United Data'!$C$3:$C$3390,$A1303)&gt;0,1,0)</f>
        <v>0</v>
      </c>
      <c r="R1303">
        <f>IF(COUNTIFS('United Data'!$A$3:$A$3390,R$1,'United Data'!$C$3:$C$3390,$A1303)&gt;0,1,0)</f>
        <v>0</v>
      </c>
      <c r="S1303">
        <f t="shared" si="40"/>
        <v>1</v>
      </c>
      <c r="T1303">
        <f t="shared" si="41"/>
        <v>1</v>
      </c>
    </row>
    <row r="1304" spans="1:20" x14ac:dyDescent="0.2">
      <c r="A1304" t="s">
        <v>1541</v>
      </c>
      <c r="B1304">
        <f>IF(COUNTIFS('United Data'!$A$3:$A$3390,B$1,'United Data'!$C$3:$C$3390,$A1304)&gt;0,1,0)</f>
        <v>0</v>
      </c>
      <c r="C1304">
        <f>IF(COUNTIFS('United Data'!$A$3:$A$3390,C$1,'United Data'!$C$3:$C$3390,$A1304)&gt;0,1,0)</f>
        <v>0</v>
      </c>
      <c r="D1304">
        <f>IF(COUNTIFS('United Data'!$A$3:$A$3390,D$1,'United Data'!$C$3:$C$3390,$A1304)&gt;0,1,0)</f>
        <v>0</v>
      </c>
      <c r="E1304">
        <f>IF(COUNTIFS('United Data'!$A$3:$A$3390,E$1,'United Data'!$C$3:$C$3390,$A1304)&gt;0,1,0)</f>
        <v>0</v>
      </c>
      <c r="F1304">
        <f>IF(COUNTIFS('United Data'!$A$3:$A$3390,F$1,'United Data'!$C$3:$C$3390,$A1304)&gt;0,1,0)</f>
        <v>0</v>
      </c>
      <c r="G1304">
        <f>IF(COUNTIFS('United Data'!$A$3:$A$3390,G$1,'United Data'!$C$3:$C$3390,$A1304)&gt;0,1,0)</f>
        <v>0</v>
      </c>
      <c r="H1304">
        <f>IF(COUNTIFS('United Data'!$A$3:$A$3390,H$1,'United Data'!$C$3:$C$3390,$A1304)&gt;0,1,0)</f>
        <v>0</v>
      </c>
      <c r="I1304">
        <f>IF(COUNTIFS('United Data'!$A$3:$A$3390,I$1,'United Data'!$C$3:$C$3390,$A1304)&gt;0,1,0)</f>
        <v>0</v>
      </c>
      <c r="J1304">
        <f>IF(COUNTIFS('United Data'!$A$3:$A$3390,J$1,'United Data'!$C$3:$C$3390,$A1304)&gt;0,1,0)</f>
        <v>0</v>
      </c>
      <c r="K1304">
        <f>IF(COUNTIFS('United Data'!$A$3:$A$3390,K$1,'United Data'!$C$3:$C$3390,$A1304)&gt;0,1,0)</f>
        <v>0</v>
      </c>
      <c r="L1304">
        <f>IF(COUNTIFS('United Data'!$A$3:$A$3390,L$1,'United Data'!$C$3:$C$3390,$A1304)&gt;0,1,0)</f>
        <v>0</v>
      </c>
      <c r="M1304">
        <f>IF(COUNTIFS('United Data'!$A$3:$A$3390,M$1,'United Data'!$C$3:$C$3390,$A1304)&gt;0,1,0)</f>
        <v>0</v>
      </c>
      <c r="N1304">
        <f>IF(COUNTIFS('United Data'!$A$3:$A$3390,N$1,'United Data'!$C$3:$C$3390,$A1304)&gt;0,1,0)</f>
        <v>0</v>
      </c>
      <c r="O1304">
        <f>IF(COUNTIFS('United Data'!$A$3:$A$3390,O$1,'United Data'!$C$3:$C$3390,$A1304)&gt;0,1,0)</f>
        <v>0</v>
      </c>
      <c r="P1304">
        <f>IF(COUNTIFS('United Data'!$A$3:$A$3390,P$1,'United Data'!$C$3:$C$3390,$A1304)&gt;0,1,0)</f>
        <v>1</v>
      </c>
      <c r="Q1304">
        <f>IF(COUNTIFS('United Data'!$A$3:$A$3390,Q$1,'United Data'!$C$3:$C$3390,$A1304)&gt;0,1,0)</f>
        <v>0</v>
      </c>
      <c r="R1304">
        <f>IF(COUNTIFS('United Data'!$A$3:$A$3390,R$1,'United Data'!$C$3:$C$3390,$A1304)&gt;0,1,0)</f>
        <v>0</v>
      </c>
      <c r="S1304">
        <f t="shared" si="40"/>
        <v>1</v>
      </c>
      <c r="T1304">
        <f t="shared" si="41"/>
        <v>1</v>
      </c>
    </row>
    <row r="1305" spans="1:20" x14ac:dyDescent="0.2">
      <c r="A1305" t="s">
        <v>1542</v>
      </c>
      <c r="B1305">
        <f>IF(COUNTIFS('United Data'!$A$3:$A$3390,B$1,'United Data'!$C$3:$C$3390,$A1305)&gt;0,1,0)</f>
        <v>0</v>
      </c>
      <c r="C1305">
        <f>IF(COUNTIFS('United Data'!$A$3:$A$3390,C$1,'United Data'!$C$3:$C$3390,$A1305)&gt;0,1,0)</f>
        <v>0</v>
      </c>
      <c r="D1305">
        <f>IF(COUNTIFS('United Data'!$A$3:$A$3390,D$1,'United Data'!$C$3:$C$3390,$A1305)&gt;0,1,0)</f>
        <v>0</v>
      </c>
      <c r="E1305">
        <f>IF(COUNTIFS('United Data'!$A$3:$A$3390,E$1,'United Data'!$C$3:$C$3390,$A1305)&gt;0,1,0)</f>
        <v>0</v>
      </c>
      <c r="F1305">
        <f>IF(COUNTIFS('United Data'!$A$3:$A$3390,F$1,'United Data'!$C$3:$C$3390,$A1305)&gt;0,1,0)</f>
        <v>0</v>
      </c>
      <c r="G1305">
        <f>IF(COUNTIFS('United Data'!$A$3:$A$3390,G$1,'United Data'!$C$3:$C$3390,$A1305)&gt;0,1,0)</f>
        <v>0</v>
      </c>
      <c r="H1305">
        <f>IF(COUNTIFS('United Data'!$A$3:$A$3390,H$1,'United Data'!$C$3:$C$3390,$A1305)&gt;0,1,0)</f>
        <v>0</v>
      </c>
      <c r="I1305">
        <f>IF(COUNTIFS('United Data'!$A$3:$A$3390,I$1,'United Data'!$C$3:$C$3390,$A1305)&gt;0,1,0)</f>
        <v>0</v>
      </c>
      <c r="J1305">
        <f>IF(COUNTIFS('United Data'!$A$3:$A$3390,J$1,'United Data'!$C$3:$C$3390,$A1305)&gt;0,1,0)</f>
        <v>0</v>
      </c>
      <c r="K1305">
        <f>IF(COUNTIFS('United Data'!$A$3:$A$3390,K$1,'United Data'!$C$3:$C$3390,$A1305)&gt;0,1,0)</f>
        <v>0</v>
      </c>
      <c r="L1305">
        <f>IF(COUNTIFS('United Data'!$A$3:$A$3390,L$1,'United Data'!$C$3:$C$3390,$A1305)&gt;0,1,0)</f>
        <v>0</v>
      </c>
      <c r="M1305">
        <f>IF(COUNTIFS('United Data'!$A$3:$A$3390,M$1,'United Data'!$C$3:$C$3390,$A1305)&gt;0,1,0)</f>
        <v>0</v>
      </c>
      <c r="N1305">
        <f>IF(COUNTIFS('United Data'!$A$3:$A$3390,N$1,'United Data'!$C$3:$C$3390,$A1305)&gt;0,1,0)</f>
        <v>0</v>
      </c>
      <c r="O1305">
        <f>IF(COUNTIFS('United Data'!$A$3:$A$3390,O$1,'United Data'!$C$3:$C$3390,$A1305)&gt;0,1,0)</f>
        <v>0</v>
      </c>
      <c r="P1305">
        <f>IF(COUNTIFS('United Data'!$A$3:$A$3390,P$1,'United Data'!$C$3:$C$3390,$A1305)&gt;0,1,0)</f>
        <v>1</v>
      </c>
      <c r="Q1305">
        <f>IF(COUNTIFS('United Data'!$A$3:$A$3390,Q$1,'United Data'!$C$3:$C$3390,$A1305)&gt;0,1,0)</f>
        <v>0</v>
      </c>
      <c r="R1305">
        <f>IF(COUNTIFS('United Data'!$A$3:$A$3390,R$1,'United Data'!$C$3:$C$3390,$A1305)&gt;0,1,0)</f>
        <v>0</v>
      </c>
      <c r="S1305">
        <f t="shared" si="40"/>
        <v>1</v>
      </c>
      <c r="T1305">
        <f t="shared" si="41"/>
        <v>1</v>
      </c>
    </row>
    <row r="1306" spans="1:20" x14ac:dyDescent="0.2">
      <c r="A1306" t="s">
        <v>1543</v>
      </c>
      <c r="B1306">
        <f>IF(COUNTIFS('United Data'!$A$3:$A$3390,B$1,'United Data'!$C$3:$C$3390,$A1306)&gt;0,1,0)</f>
        <v>0</v>
      </c>
      <c r="C1306">
        <f>IF(COUNTIFS('United Data'!$A$3:$A$3390,C$1,'United Data'!$C$3:$C$3390,$A1306)&gt;0,1,0)</f>
        <v>0</v>
      </c>
      <c r="D1306">
        <f>IF(COUNTIFS('United Data'!$A$3:$A$3390,D$1,'United Data'!$C$3:$C$3390,$A1306)&gt;0,1,0)</f>
        <v>0</v>
      </c>
      <c r="E1306">
        <f>IF(COUNTIFS('United Data'!$A$3:$A$3390,E$1,'United Data'!$C$3:$C$3390,$A1306)&gt;0,1,0)</f>
        <v>0</v>
      </c>
      <c r="F1306">
        <f>IF(COUNTIFS('United Data'!$A$3:$A$3390,F$1,'United Data'!$C$3:$C$3390,$A1306)&gt;0,1,0)</f>
        <v>0</v>
      </c>
      <c r="G1306">
        <f>IF(COUNTIFS('United Data'!$A$3:$A$3390,G$1,'United Data'!$C$3:$C$3390,$A1306)&gt;0,1,0)</f>
        <v>0</v>
      </c>
      <c r="H1306">
        <f>IF(COUNTIFS('United Data'!$A$3:$A$3390,H$1,'United Data'!$C$3:$C$3390,$A1306)&gt;0,1,0)</f>
        <v>0</v>
      </c>
      <c r="I1306">
        <f>IF(COUNTIFS('United Data'!$A$3:$A$3390,I$1,'United Data'!$C$3:$C$3390,$A1306)&gt;0,1,0)</f>
        <v>0</v>
      </c>
      <c r="J1306">
        <f>IF(COUNTIFS('United Data'!$A$3:$A$3390,J$1,'United Data'!$C$3:$C$3390,$A1306)&gt;0,1,0)</f>
        <v>0</v>
      </c>
      <c r="K1306">
        <f>IF(COUNTIFS('United Data'!$A$3:$A$3390,K$1,'United Data'!$C$3:$C$3390,$A1306)&gt;0,1,0)</f>
        <v>0</v>
      </c>
      <c r="L1306">
        <f>IF(COUNTIFS('United Data'!$A$3:$A$3390,L$1,'United Data'!$C$3:$C$3390,$A1306)&gt;0,1,0)</f>
        <v>0</v>
      </c>
      <c r="M1306">
        <f>IF(COUNTIFS('United Data'!$A$3:$A$3390,M$1,'United Data'!$C$3:$C$3390,$A1306)&gt;0,1,0)</f>
        <v>0</v>
      </c>
      <c r="N1306">
        <f>IF(COUNTIFS('United Data'!$A$3:$A$3390,N$1,'United Data'!$C$3:$C$3390,$A1306)&gt;0,1,0)</f>
        <v>0</v>
      </c>
      <c r="O1306">
        <f>IF(COUNTIFS('United Data'!$A$3:$A$3390,O$1,'United Data'!$C$3:$C$3390,$A1306)&gt;0,1,0)</f>
        <v>0</v>
      </c>
      <c r="P1306">
        <f>IF(COUNTIFS('United Data'!$A$3:$A$3390,P$1,'United Data'!$C$3:$C$3390,$A1306)&gt;0,1,0)</f>
        <v>1</v>
      </c>
      <c r="Q1306">
        <f>IF(COUNTIFS('United Data'!$A$3:$A$3390,Q$1,'United Data'!$C$3:$C$3390,$A1306)&gt;0,1,0)</f>
        <v>0</v>
      </c>
      <c r="R1306">
        <f>IF(COUNTIFS('United Data'!$A$3:$A$3390,R$1,'United Data'!$C$3:$C$3390,$A1306)&gt;0,1,0)</f>
        <v>0</v>
      </c>
      <c r="S1306">
        <f t="shared" si="40"/>
        <v>1</v>
      </c>
      <c r="T1306">
        <f t="shared" si="41"/>
        <v>1</v>
      </c>
    </row>
    <row r="1307" spans="1:20" x14ac:dyDescent="0.2">
      <c r="A1307" t="s">
        <v>1544</v>
      </c>
      <c r="B1307">
        <f>IF(COUNTIFS('United Data'!$A$3:$A$3390,B$1,'United Data'!$C$3:$C$3390,$A1307)&gt;0,1,0)</f>
        <v>0</v>
      </c>
      <c r="C1307">
        <f>IF(COUNTIFS('United Data'!$A$3:$A$3390,C$1,'United Data'!$C$3:$C$3390,$A1307)&gt;0,1,0)</f>
        <v>0</v>
      </c>
      <c r="D1307">
        <f>IF(COUNTIFS('United Data'!$A$3:$A$3390,D$1,'United Data'!$C$3:$C$3390,$A1307)&gt;0,1,0)</f>
        <v>0</v>
      </c>
      <c r="E1307">
        <f>IF(COUNTIFS('United Data'!$A$3:$A$3390,E$1,'United Data'!$C$3:$C$3390,$A1307)&gt;0,1,0)</f>
        <v>0</v>
      </c>
      <c r="F1307">
        <f>IF(COUNTIFS('United Data'!$A$3:$A$3390,F$1,'United Data'!$C$3:$C$3390,$A1307)&gt;0,1,0)</f>
        <v>0</v>
      </c>
      <c r="G1307">
        <f>IF(COUNTIFS('United Data'!$A$3:$A$3390,G$1,'United Data'!$C$3:$C$3390,$A1307)&gt;0,1,0)</f>
        <v>0</v>
      </c>
      <c r="H1307">
        <f>IF(COUNTIFS('United Data'!$A$3:$A$3390,H$1,'United Data'!$C$3:$C$3390,$A1307)&gt;0,1,0)</f>
        <v>0</v>
      </c>
      <c r="I1307">
        <f>IF(COUNTIFS('United Data'!$A$3:$A$3390,I$1,'United Data'!$C$3:$C$3390,$A1307)&gt;0,1,0)</f>
        <v>0</v>
      </c>
      <c r="J1307">
        <f>IF(COUNTIFS('United Data'!$A$3:$A$3390,J$1,'United Data'!$C$3:$C$3390,$A1307)&gt;0,1,0)</f>
        <v>0</v>
      </c>
      <c r="K1307">
        <f>IF(COUNTIFS('United Data'!$A$3:$A$3390,K$1,'United Data'!$C$3:$C$3390,$A1307)&gt;0,1,0)</f>
        <v>0</v>
      </c>
      <c r="L1307">
        <f>IF(COUNTIFS('United Data'!$A$3:$A$3390,L$1,'United Data'!$C$3:$C$3390,$A1307)&gt;0,1,0)</f>
        <v>0</v>
      </c>
      <c r="M1307">
        <f>IF(COUNTIFS('United Data'!$A$3:$A$3390,M$1,'United Data'!$C$3:$C$3390,$A1307)&gt;0,1,0)</f>
        <v>0</v>
      </c>
      <c r="N1307">
        <f>IF(COUNTIFS('United Data'!$A$3:$A$3390,N$1,'United Data'!$C$3:$C$3390,$A1307)&gt;0,1,0)</f>
        <v>0</v>
      </c>
      <c r="O1307">
        <f>IF(COUNTIFS('United Data'!$A$3:$A$3390,O$1,'United Data'!$C$3:$C$3390,$A1307)&gt;0,1,0)</f>
        <v>0</v>
      </c>
      <c r="P1307">
        <f>IF(COUNTIFS('United Data'!$A$3:$A$3390,P$1,'United Data'!$C$3:$C$3390,$A1307)&gt;0,1,0)</f>
        <v>1</v>
      </c>
      <c r="Q1307">
        <f>IF(COUNTIFS('United Data'!$A$3:$A$3390,Q$1,'United Data'!$C$3:$C$3390,$A1307)&gt;0,1,0)</f>
        <v>0</v>
      </c>
      <c r="R1307">
        <f>IF(COUNTIFS('United Data'!$A$3:$A$3390,R$1,'United Data'!$C$3:$C$3390,$A1307)&gt;0,1,0)</f>
        <v>0</v>
      </c>
      <c r="S1307">
        <f t="shared" si="40"/>
        <v>1</v>
      </c>
      <c r="T1307">
        <f t="shared" si="41"/>
        <v>1</v>
      </c>
    </row>
    <row r="1308" spans="1:20" x14ac:dyDescent="0.2">
      <c r="A1308" t="s">
        <v>1545</v>
      </c>
      <c r="B1308">
        <f>IF(COUNTIFS('United Data'!$A$3:$A$3390,B$1,'United Data'!$C$3:$C$3390,$A1308)&gt;0,1,0)</f>
        <v>0</v>
      </c>
      <c r="C1308">
        <f>IF(COUNTIFS('United Data'!$A$3:$A$3390,C$1,'United Data'!$C$3:$C$3390,$A1308)&gt;0,1,0)</f>
        <v>0</v>
      </c>
      <c r="D1308">
        <f>IF(COUNTIFS('United Data'!$A$3:$A$3390,D$1,'United Data'!$C$3:$C$3390,$A1308)&gt;0,1,0)</f>
        <v>0</v>
      </c>
      <c r="E1308">
        <f>IF(COUNTIFS('United Data'!$A$3:$A$3390,E$1,'United Data'!$C$3:$C$3390,$A1308)&gt;0,1,0)</f>
        <v>0</v>
      </c>
      <c r="F1308">
        <f>IF(COUNTIFS('United Data'!$A$3:$A$3390,F$1,'United Data'!$C$3:$C$3390,$A1308)&gt;0,1,0)</f>
        <v>0</v>
      </c>
      <c r="G1308">
        <f>IF(COUNTIFS('United Data'!$A$3:$A$3390,G$1,'United Data'!$C$3:$C$3390,$A1308)&gt;0,1,0)</f>
        <v>0</v>
      </c>
      <c r="H1308">
        <f>IF(COUNTIFS('United Data'!$A$3:$A$3390,H$1,'United Data'!$C$3:$C$3390,$A1308)&gt;0,1,0)</f>
        <v>0</v>
      </c>
      <c r="I1308">
        <f>IF(COUNTIFS('United Data'!$A$3:$A$3390,I$1,'United Data'!$C$3:$C$3390,$A1308)&gt;0,1,0)</f>
        <v>0</v>
      </c>
      <c r="J1308">
        <f>IF(COUNTIFS('United Data'!$A$3:$A$3390,J$1,'United Data'!$C$3:$C$3390,$A1308)&gt;0,1,0)</f>
        <v>0</v>
      </c>
      <c r="K1308">
        <f>IF(COUNTIFS('United Data'!$A$3:$A$3390,K$1,'United Data'!$C$3:$C$3390,$A1308)&gt;0,1,0)</f>
        <v>0</v>
      </c>
      <c r="L1308">
        <f>IF(COUNTIFS('United Data'!$A$3:$A$3390,L$1,'United Data'!$C$3:$C$3390,$A1308)&gt;0,1,0)</f>
        <v>0</v>
      </c>
      <c r="M1308">
        <f>IF(COUNTIFS('United Data'!$A$3:$A$3390,M$1,'United Data'!$C$3:$C$3390,$A1308)&gt;0,1,0)</f>
        <v>0</v>
      </c>
      <c r="N1308">
        <f>IF(COUNTIFS('United Data'!$A$3:$A$3390,N$1,'United Data'!$C$3:$C$3390,$A1308)&gt;0,1,0)</f>
        <v>0</v>
      </c>
      <c r="O1308">
        <f>IF(COUNTIFS('United Data'!$A$3:$A$3390,O$1,'United Data'!$C$3:$C$3390,$A1308)&gt;0,1,0)</f>
        <v>0</v>
      </c>
      <c r="P1308">
        <f>IF(COUNTIFS('United Data'!$A$3:$A$3390,P$1,'United Data'!$C$3:$C$3390,$A1308)&gt;0,1,0)</f>
        <v>1</v>
      </c>
      <c r="Q1308">
        <f>IF(COUNTIFS('United Data'!$A$3:$A$3390,Q$1,'United Data'!$C$3:$C$3390,$A1308)&gt;0,1,0)</f>
        <v>0</v>
      </c>
      <c r="R1308">
        <f>IF(COUNTIFS('United Data'!$A$3:$A$3390,R$1,'United Data'!$C$3:$C$3390,$A1308)&gt;0,1,0)</f>
        <v>0</v>
      </c>
      <c r="S1308">
        <f t="shared" si="40"/>
        <v>1</v>
      </c>
      <c r="T1308">
        <f t="shared" si="41"/>
        <v>1</v>
      </c>
    </row>
    <row r="1309" spans="1:20" x14ac:dyDescent="0.2">
      <c r="A1309" t="s">
        <v>1546</v>
      </c>
      <c r="B1309">
        <f>IF(COUNTIFS('United Data'!$A$3:$A$3390,B$1,'United Data'!$C$3:$C$3390,$A1309)&gt;0,1,0)</f>
        <v>0</v>
      </c>
      <c r="C1309">
        <f>IF(COUNTIFS('United Data'!$A$3:$A$3390,C$1,'United Data'!$C$3:$C$3390,$A1309)&gt;0,1,0)</f>
        <v>0</v>
      </c>
      <c r="D1309">
        <f>IF(COUNTIFS('United Data'!$A$3:$A$3390,D$1,'United Data'!$C$3:$C$3390,$A1309)&gt;0,1,0)</f>
        <v>0</v>
      </c>
      <c r="E1309">
        <f>IF(COUNTIFS('United Data'!$A$3:$A$3390,E$1,'United Data'!$C$3:$C$3390,$A1309)&gt;0,1,0)</f>
        <v>0</v>
      </c>
      <c r="F1309">
        <f>IF(COUNTIFS('United Data'!$A$3:$A$3390,F$1,'United Data'!$C$3:$C$3390,$A1309)&gt;0,1,0)</f>
        <v>0</v>
      </c>
      <c r="G1309">
        <f>IF(COUNTIFS('United Data'!$A$3:$A$3390,G$1,'United Data'!$C$3:$C$3390,$A1309)&gt;0,1,0)</f>
        <v>0</v>
      </c>
      <c r="H1309">
        <f>IF(COUNTIFS('United Data'!$A$3:$A$3390,H$1,'United Data'!$C$3:$C$3390,$A1309)&gt;0,1,0)</f>
        <v>0</v>
      </c>
      <c r="I1309">
        <f>IF(COUNTIFS('United Data'!$A$3:$A$3390,I$1,'United Data'!$C$3:$C$3390,$A1309)&gt;0,1,0)</f>
        <v>0</v>
      </c>
      <c r="J1309">
        <f>IF(COUNTIFS('United Data'!$A$3:$A$3390,J$1,'United Data'!$C$3:$C$3390,$A1309)&gt;0,1,0)</f>
        <v>0</v>
      </c>
      <c r="K1309">
        <f>IF(COUNTIFS('United Data'!$A$3:$A$3390,K$1,'United Data'!$C$3:$C$3390,$A1309)&gt;0,1,0)</f>
        <v>0</v>
      </c>
      <c r="L1309">
        <f>IF(COUNTIFS('United Data'!$A$3:$A$3390,L$1,'United Data'!$C$3:$C$3390,$A1309)&gt;0,1,0)</f>
        <v>0</v>
      </c>
      <c r="M1309">
        <f>IF(COUNTIFS('United Data'!$A$3:$A$3390,M$1,'United Data'!$C$3:$C$3390,$A1309)&gt;0,1,0)</f>
        <v>0</v>
      </c>
      <c r="N1309">
        <f>IF(COUNTIFS('United Data'!$A$3:$A$3390,N$1,'United Data'!$C$3:$C$3390,$A1309)&gt;0,1,0)</f>
        <v>0</v>
      </c>
      <c r="O1309">
        <f>IF(COUNTIFS('United Data'!$A$3:$A$3390,O$1,'United Data'!$C$3:$C$3390,$A1309)&gt;0,1,0)</f>
        <v>0</v>
      </c>
      <c r="P1309">
        <f>IF(COUNTIFS('United Data'!$A$3:$A$3390,P$1,'United Data'!$C$3:$C$3390,$A1309)&gt;0,1,0)</f>
        <v>0</v>
      </c>
      <c r="Q1309">
        <f>IF(COUNTIFS('United Data'!$A$3:$A$3390,Q$1,'United Data'!$C$3:$C$3390,$A1309)&gt;0,1,0)</f>
        <v>1</v>
      </c>
      <c r="R1309">
        <f>IF(COUNTIFS('United Data'!$A$3:$A$3390,R$1,'United Data'!$C$3:$C$3390,$A1309)&gt;0,1,0)</f>
        <v>0</v>
      </c>
      <c r="S1309">
        <f t="shared" si="40"/>
        <v>1</v>
      </c>
      <c r="T1309">
        <f t="shared" si="41"/>
        <v>1</v>
      </c>
    </row>
    <row r="1310" spans="1:20" x14ac:dyDescent="0.2">
      <c r="A1310" t="s">
        <v>1547</v>
      </c>
      <c r="B1310">
        <f>IF(COUNTIFS('United Data'!$A$3:$A$3390,B$1,'United Data'!$C$3:$C$3390,$A1310)&gt;0,1,0)</f>
        <v>0</v>
      </c>
      <c r="C1310">
        <f>IF(COUNTIFS('United Data'!$A$3:$A$3390,C$1,'United Data'!$C$3:$C$3390,$A1310)&gt;0,1,0)</f>
        <v>0</v>
      </c>
      <c r="D1310">
        <f>IF(COUNTIFS('United Data'!$A$3:$A$3390,D$1,'United Data'!$C$3:$C$3390,$A1310)&gt;0,1,0)</f>
        <v>0</v>
      </c>
      <c r="E1310">
        <f>IF(COUNTIFS('United Data'!$A$3:$A$3390,E$1,'United Data'!$C$3:$C$3390,$A1310)&gt;0,1,0)</f>
        <v>0</v>
      </c>
      <c r="F1310">
        <f>IF(COUNTIFS('United Data'!$A$3:$A$3390,F$1,'United Data'!$C$3:$C$3390,$A1310)&gt;0,1,0)</f>
        <v>0</v>
      </c>
      <c r="G1310">
        <f>IF(COUNTIFS('United Data'!$A$3:$A$3390,G$1,'United Data'!$C$3:$C$3390,$A1310)&gt;0,1,0)</f>
        <v>0</v>
      </c>
      <c r="H1310">
        <f>IF(COUNTIFS('United Data'!$A$3:$A$3390,H$1,'United Data'!$C$3:$C$3390,$A1310)&gt;0,1,0)</f>
        <v>0</v>
      </c>
      <c r="I1310">
        <f>IF(COUNTIFS('United Data'!$A$3:$A$3390,I$1,'United Data'!$C$3:$C$3390,$A1310)&gt;0,1,0)</f>
        <v>0</v>
      </c>
      <c r="J1310">
        <f>IF(COUNTIFS('United Data'!$A$3:$A$3390,J$1,'United Data'!$C$3:$C$3390,$A1310)&gt;0,1,0)</f>
        <v>0</v>
      </c>
      <c r="K1310">
        <f>IF(COUNTIFS('United Data'!$A$3:$A$3390,K$1,'United Data'!$C$3:$C$3390,$A1310)&gt;0,1,0)</f>
        <v>0</v>
      </c>
      <c r="L1310">
        <f>IF(COUNTIFS('United Data'!$A$3:$A$3390,L$1,'United Data'!$C$3:$C$3390,$A1310)&gt;0,1,0)</f>
        <v>0</v>
      </c>
      <c r="M1310">
        <f>IF(COUNTIFS('United Data'!$A$3:$A$3390,M$1,'United Data'!$C$3:$C$3390,$A1310)&gt;0,1,0)</f>
        <v>0</v>
      </c>
      <c r="N1310">
        <f>IF(COUNTIFS('United Data'!$A$3:$A$3390,N$1,'United Data'!$C$3:$C$3390,$A1310)&gt;0,1,0)</f>
        <v>0</v>
      </c>
      <c r="O1310">
        <f>IF(COUNTIFS('United Data'!$A$3:$A$3390,O$1,'United Data'!$C$3:$C$3390,$A1310)&gt;0,1,0)</f>
        <v>0</v>
      </c>
      <c r="P1310">
        <f>IF(COUNTIFS('United Data'!$A$3:$A$3390,P$1,'United Data'!$C$3:$C$3390,$A1310)&gt;0,1,0)</f>
        <v>0</v>
      </c>
      <c r="Q1310">
        <f>IF(COUNTIFS('United Data'!$A$3:$A$3390,Q$1,'United Data'!$C$3:$C$3390,$A1310)&gt;0,1,0)</f>
        <v>1</v>
      </c>
      <c r="R1310">
        <f>IF(COUNTIFS('United Data'!$A$3:$A$3390,R$1,'United Data'!$C$3:$C$3390,$A1310)&gt;0,1,0)</f>
        <v>1</v>
      </c>
      <c r="S1310">
        <f t="shared" si="40"/>
        <v>2</v>
      </c>
      <c r="T1310">
        <f t="shared" si="41"/>
        <v>1</v>
      </c>
    </row>
    <row r="1311" spans="1:20" x14ac:dyDescent="0.2">
      <c r="A1311" t="s">
        <v>1548</v>
      </c>
      <c r="B1311">
        <f>IF(COUNTIFS('United Data'!$A$3:$A$3390,B$1,'United Data'!$C$3:$C$3390,$A1311)&gt;0,1,0)</f>
        <v>0</v>
      </c>
      <c r="C1311">
        <f>IF(COUNTIFS('United Data'!$A$3:$A$3390,C$1,'United Data'!$C$3:$C$3390,$A1311)&gt;0,1,0)</f>
        <v>0</v>
      </c>
      <c r="D1311">
        <f>IF(COUNTIFS('United Data'!$A$3:$A$3390,D$1,'United Data'!$C$3:$C$3390,$A1311)&gt;0,1,0)</f>
        <v>0</v>
      </c>
      <c r="E1311">
        <f>IF(COUNTIFS('United Data'!$A$3:$A$3390,E$1,'United Data'!$C$3:$C$3390,$A1311)&gt;0,1,0)</f>
        <v>0</v>
      </c>
      <c r="F1311">
        <f>IF(COUNTIFS('United Data'!$A$3:$A$3390,F$1,'United Data'!$C$3:$C$3390,$A1311)&gt;0,1,0)</f>
        <v>0</v>
      </c>
      <c r="G1311">
        <f>IF(COUNTIFS('United Data'!$A$3:$A$3390,G$1,'United Data'!$C$3:$C$3390,$A1311)&gt;0,1,0)</f>
        <v>0</v>
      </c>
      <c r="H1311">
        <f>IF(COUNTIFS('United Data'!$A$3:$A$3390,H$1,'United Data'!$C$3:$C$3390,$A1311)&gt;0,1,0)</f>
        <v>0</v>
      </c>
      <c r="I1311">
        <f>IF(COUNTIFS('United Data'!$A$3:$A$3390,I$1,'United Data'!$C$3:$C$3390,$A1311)&gt;0,1,0)</f>
        <v>0</v>
      </c>
      <c r="J1311">
        <f>IF(COUNTIFS('United Data'!$A$3:$A$3390,J$1,'United Data'!$C$3:$C$3390,$A1311)&gt;0,1,0)</f>
        <v>0</v>
      </c>
      <c r="K1311">
        <f>IF(COUNTIFS('United Data'!$A$3:$A$3390,K$1,'United Data'!$C$3:$C$3390,$A1311)&gt;0,1,0)</f>
        <v>0</v>
      </c>
      <c r="L1311">
        <f>IF(COUNTIFS('United Data'!$A$3:$A$3390,L$1,'United Data'!$C$3:$C$3390,$A1311)&gt;0,1,0)</f>
        <v>0</v>
      </c>
      <c r="M1311">
        <f>IF(COUNTIFS('United Data'!$A$3:$A$3390,M$1,'United Data'!$C$3:$C$3390,$A1311)&gt;0,1,0)</f>
        <v>0</v>
      </c>
      <c r="N1311">
        <f>IF(COUNTIFS('United Data'!$A$3:$A$3390,N$1,'United Data'!$C$3:$C$3390,$A1311)&gt;0,1,0)</f>
        <v>0</v>
      </c>
      <c r="O1311">
        <f>IF(COUNTIFS('United Data'!$A$3:$A$3390,O$1,'United Data'!$C$3:$C$3390,$A1311)&gt;0,1,0)</f>
        <v>0</v>
      </c>
      <c r="P1311">
        <f>IF(COUNTIFS('United Data'!$A$3:$A$3390,P$1,'United Data'!$C$3:$C$3390,$A1311)&gt;0,1,0)</f>
        <v>0</v>
      </c>
      <c r="Q1311">
        <f>IF(COUNTIFS('United Data'!$A$3:$A$3390,Q$1,'United Data'!$C$3:$C$3390,$A1311)&gt;0,1,0)</f>
        <v>0</v>
      </c>
      <c r="R1311">
        <f>IF(COUNTIFS('United Data'!$A$3:$A$3390,R$1,'United Data'!$C$3:$C$3390,$A1311)&gt;0,1,0)</f>
        <v>1</v>
      </c>
      <c r="S1311">
        <f t="shared" si="40"/>
        <v>1</v>
      </c>
      <c r="T1311">
        <f t="shared" si="41"/>
        <v>1</v>
      </c>
    </row>
    <row r="1312" spans="1:20" x14ac:dyDescent="0.2">
      <c r="A1312" t="s">
        <v>1549</v>
      </c>
      <c r="B1312">
        <f>IF(COUNTIFS('United Data'!$A$3:$A$3390,B$1,'United Data'!$C$3:$C$3390,$A1312)&gt;0,1,0)</f>
        <v>1</v>
      </c>
      <c r="C1312">
        <f>IF(COUNTIFS('United Data'!$A$3:$A$3390,C$1,'United Data'!$C$3:$C$3390,$A1312)&gt;0,1,0)</f>
        <v>0</v>
      </c>
      <c r="D1312">
        <f>IF(COUNTIFS('United Data'!$A$3:$A$3390,D$1,'United Data'!$C$3:$C$3390,$A1312)&gt;0,1,0)</f>
        <v>1</v>
      </c>
      <c r="E1312">
        <f>IF(COUNTIFS('United Data'!$A$3:$A$3390,E$1,'United Data'!$C$3:$C$3390,$A1312)&gt;0,1,0)</f>
        <v>1</v>
      </c>
      <c r="F1312">
        <f>IF(COUNTIFS('United Data'!$A$3:$A$3390,F$1,'United Data'!$C$3:$C$3390,$A1312)&gt;0,1,0)</f>
        <v>1</v>
      </c>
      <c r="G1312">
        <f>IF(COUNTIFS('United Data'!$A$3:$A$3390,G$1,'United Data'!$C$3:$C$3390,$A1312)&gt;0,1,0)</f>
        <v>1</v>
      </c>
      <c r="H1312">
        <f>IF(COUNTIFS('United Data'!$A$3:$A$3390,H$1,'United Data'!$C$3:$C$3390,$A1312)&gt;0,1,0)</f>
        <v>1</v>
      </c>
      <c r="I1312">
        <f>IF(COUNTIFS('United Data'!$A$3:$A$3390,I$1,'United Data'!$C$3:$C$3390,$A1312)&gt;0,1,0)</f>
        <v>0</v>
      </c>
      <c r="J1312">
        <f>IF(COUNTIFS('United Data'!$A$3:$A$3390,J$1,'United Data'!$C$3:$C$3390,$A1312)&gt;0,1,0)</f>
        <v>0</v>
      </c>
      <c r="K1312">
        <f>IF(COUNTIFS('United Data'!$A$3:$A$3390,K$1,'United Data'!$C$3:$C$3390,$A1312)&gt;0,1,0)</f>
        <v>1</v>
      </c>
      <c r="L1312">
        <f>IF(COUNTIFS('United Data'!$A$3:$A$3390,L$1,'United Data'!$C$3:$C$3390,$A1312)&gt;0,1,0)</f>
        <v>1</v>
      </c>
      <c r="M1312">
        <f>IF(COUNTIFS('United Data'!$A$3:$A$3390,M$1,'United Data'!$C$3:$C$3390,$A1312)&gt;0,1,0)</f>
        <v>0</v>
      </c>
      <c r="N1312">
        <f>IF(COUNTIFS('United Data'!$A$3:$A$3390,N$1,'United Data'!$C$3:$C$3390,$A1312)&gt;0,1,0)</f>
        <v>0</v>
      </c>
      <c r="O1312">
        <f>IF(COUNTIFS('United Data'!$A$3:$A$3390,O$1,'United Data'!$C$3:$C$3390,$A1312)&gt;0,1,0)</f>
        <v>0</v>
      </c>
      <c r="P1312">
        <f>IF(COUNTIFS('United Data'!$A$3:$A$3390,P$1,'United Data'!$C$3:$C$3390,$A1312)&gt;0,1,0)</f>
        <v>0</v>
      </c>
      <c r="Q1312">
        <f>IF(COUNTIFS('United Data'!$A$3:$A$3390,Q$1,'United Data'!$C$3:$C$3390,$A1312)&gt;0,1,0)</f>
        <v>0</v>
      </c>
      <c r="R1312">
        <f>IF(COUNTIFS('United Data'!$A$3:$A$3390,R$1,'United Data'!$C$3:$C$3390,$A1312)&gt;0,1,0)</f>
        <v>0</v>
      </c>
      <c r="S1312">
        <f t="shared" si="40"/>
        <v>8</v>
      </c>
      <c r="T1312">
        <f t="shared" si="41"/>
        <v>3</v>
      </c>
    </row>
    <row r="1313" spans="1:20" x14ac:dyDescent="0.2">
      <c r="A1313" t="s">
        <v>1550</v>
      </c>
      <c r="B1313">
        <f>IF(COUNTIFS('United Data'!$A$3:$A$3390,B$1,'United Data'!$C$3:$C$3390,$A1313)&gt;0,1,0)</f>
        <v>1</v>
      </c>
      <c r="C1313">
        <f>IF(COUNTIFS('United Data'!$A$3:$A$3390,C$1,'United Data'!$C$3:$C$3390,$A1313)&gt;0,1,0)</f>
        <v>0</v>
      </c>
      <c r="D1313">
        <f>IF(COUNTIFS('United Data'!$A$3:$A$3390,D$1,'United Data'!$C$3:$C$3390,$A1313)&gt;0,1,0)</f>
        <v>0</v>
      </c>
      <c r="E1313">
        <f>IF(COUNTIFS('United Data'!$A$3:$A$3390,E$1,'United Data'!$C$3:$C$3390,$A1313)&gt;0,1,0)</f>
        <v>0</v>
      </c>
      <c r="F1313">
        <f>IF(COUNTIFS('United Data'!$A$3:$A$3390,F$1,'United Data'!$C$3:$C$3390,$A1313)&gt;0,1,0)</f>
        <v>0</v>
      </c>
      <c r="G1313">
        <f>IF(COUNTIFS('United Data'!$A$3:$A$3390,G$1,'United Data'!$C$3:$C$3390,$A1313)&gt;0,1,0)</f>
        <v>0</v>
      </c>
      <c r="H1313">
        <f>IF(COUNTIFS('United Data'!$A$3:$A$3390,H$1,'United Data'!$C$3:$C$3390,$A1313)&gt;0,1,0)</f>
        <v>0</v>
      </c>
      <c r="I1313">
        <f>IF(COUNTIFS('United Data'!$A$3:$A$3390,I$1,'United Data'!$C$3:$C$3390,$A1313)&gt;0,1,0)</f>
        <v>0</v>
      </c>
      <c r="J1313">
        <f>IF(COUNTIFS('United Data'!$A$3:$A$3390,J$1,'United Data'!$C$3:$C$3390,$A1313)&gt;0,1,0)</f>
        <v>0</v>
      </c>
      <c r="K1313">
        <f>IF(COUNTIFS('United Data'!$A$3:$A$3390,K$1,'United Data'!$C$3:$C$3390,$A1313)&gt;0,1,0)</f>
        <v>0</v>
      </c>
      <c r="L1313">
        <f>IF(COUNTIFS('United Data'!$A$3:$A$3390,L$1,'United Data'!$C$3:$C$3390,$A1313)&gt;0,1,0)</f>
        <v>0</v>
      </c>
      <c r="M1313">
        <f>IF(COUNTIFS('United Data'!$A$3:$A$3390,M$1,'United Data'!$C$3:$C$3390,$A1313)&gt;0,1,0)</f>
        <v>0</v>
      </c>
      <c r="N1313">
        <f>IF(COUNTIFS('United Data'!$A$3:$A$3390,N$1,'United Data'!$C$3:$C$3390,$A1313)&gt;0,1,0)</f>
        <v>0</v>
      </c>
      <c r="O1313">
        <f>IF(COUNTIFS('United Data'!$A$3:$A$3390,O$1,'United Data'!$C$3:$C$3390,$A1313)&gt;0,1,0)</f>
        <v>0</v>
      </c>
      <c r="P1313">
        <f>IF(COUNTIFS('United Data'!$A$3:$A$3390,P$1,'United Data'!$C$3:$C$3390,$A1313)&gt;0,1,0)</f>
        <v>0</v>
      </c>
      <c r="Q1313">
        <f>IF(COUNTIFS('United Data'!$A$3:$A$3390,Q$1,'United Data'!$C$3:$C$3390,$A1313)&gt;0,1,0)</f>
        <v>0</v>
      </c>
      <c r="R1313">
        <f>IF(COUNTIFS('United Data'!$A$3:$A$3390,R$1,'United Data'!$C$3:$C$3390,$A1313)&gt;0,1,0)</f>
        <v>0</v>
      </c>
      <c r="S1313">
        <f t="shared" si="40"/>
        <v>1</v>
      </c>
      <c r="T1313">
        <f t="shared" si="41"/>
        <v>1</v>
      </c>
    </row>
    <row r="1314" spans="1:20" x14ac:dyDescent="0.2">
      <c r="A1314" t="s">
        <v>1551</v>
      </c>
      <c r="B1314">
        <f>IF(COUNTIFS('United Data'!$A$3:$A$3390,B$1,'United Data'!$C$3:$C$3390,$A1314)&gt;0,1,0)</f>
        <v>1</v>
      </c>
      <c r="C1314">
        <f>IF(COUNTIFS('United Data'!$A$3:$A$3390,C$1,'United Data'!$C$3:$C$3390,$A1314)&gt;0,1,0)</f>
        <v>1</v>
      </c>
      <c r="D1314">
        <f>IF(COUNTIFS('United Data'!$A$3:$A$3390,D$1,'United Data'!$C$3:$C$3390,$A1314)&gt;0,1,0)</f>
        <v>1</v>
      </c>
      <c r="E1314">
        <f>IF(COUNTIFS('United Data'!$A$3:$A$3390,E$1,'United Data'!$C$3:$C$3390,$A1314)&gt;0,1,0)</f>
        <v>1</v>
      </c>
      <c r="F1314">
        <f>IF(COUNTIFS('United Data'!$A$3:$A$3390,F$1,'United Data'!$C$3:$C$3390,$A1314)&gt;0,1,0)</f>
        <v>0</v>
      </c>
      <c r="G1314">
        <f>IF(COUNTIFS('United Data'!$A$3:$A$3390,G$1,'United Data'!$C$3:$C$3390,$A1314)&gt;0,1,0)</f>
        <v>1</v>
      </c>
      <c r="H1314">
        <f>IF(COUNTIFS('United Data'!$A$3:$A$3390,H$1,'United Data'!$C$3:$C$3390,$A1314)&gt;0,1,0)</f>
        <v>0</v>
      </c>
      <c r="I1314">
        <f>IF(COUNTIFS('United Data'!$A$3:$A$3390,I$1,'United Data'!$C$3:$C$3390,$A1314)&gt;0,1,0)</f>
        <v>0</v>
      </c>
      <c r="J1314">
        <f>IF(COUNTIFS('United Data'!$A$3:$A$3390,J$1,'United Data'!$C$3:$C$3390,$A1314)&gt;0,1,0)</f>
        <v>0</v>
      </c>
      <c r="K1314">
        <f>IF(COUNTIFS('United Data'!$A$3:$A$3390,K$1,'United Data'!$C$3:$C$3390,$A1314)&gt;0,1,0)</f>
        <v>1</v>
      </c>
      <c r="L1314">
        <f>IF(COUNTIFS('United Data'!$A$3:$A$3390,L$1,'United Data'!$C$3:$C$3390,$A1314)&gt;0,1,0)</f>
        <v>0</v>
      </c>
      <c r="M1314">
        <f>IF(COUNTIFS('United Data'!$A$3:$A$3390,M$1,'United Data'!$C$3:$C$3390,$A1314)&gt;0,1,0)</f>
        <v>0</v>
      </c>
      <c r="N1314">
        <f>IF(COUNTIFS('United Data'!$A$3:$A$3390,N$1,'United Data'!$C$3:$C$3390,$A1314)&gt;0,1,0)</f>
        <v>0</v>
      </c>
      <c r="O1314">
        <f>IF(COUNTIFS('United Data'!$A$3:$A$3390,O$1,'United Data'!$C$3:$C$3390,$A1314)&gt;0,1,0)</f>
        <v>0</v>
      </c>
      <c r="P1314">
        <f>IF(COUNTIFS('United Data'!$A$3:$A$3390,P$1,'United Data'!$C$3:$C$3390,$A1314)&gt;0,1,0)</f>
        <v>1</v>
      </c>
      <c r="Q1314">
        <f>IF(COUNTIFS('United Data'!$A$3:$A$3390,Q$1,'United Data'!$C$3:$C$3390,$A1314)&gt;0,1,0)</f>
        <v>0</v>
      </c>
      <c r="R1314">
        <f>IF(COUNTIFS('United Data'!$A$3:$A$3390,R$1,'United Data'!$C$3:$C$3390,$A1314)&gt;0,1,0)</f>
        <v>0</v>
      </c>
      <c r="S1314">
        <f t="shared" si="40"/>
        <v>7</v>
      </c>
      <c r="T1314">
        <f t="shared" si="41"/>
        <v>4</v>
      </c>
    </row>
    <row r="1315" spans="1:20" x14ac:dyDescent="0.2">
      <c r="A1315" t="s">
        <v>1552</v>
      </c>
      <c r="B1315">
        <f>IF(COUNTIFS('United Data'!$A$3:$A$3390,B$1,'United Data'!$C$3:$C$3390,$A1315)&gt;0,1,0)</f>
        <v>1</v>
      </c>
      <c r="C1315">
        <f>IF(COUNTIFS('United Data'!$A$3:$A$3390,C$1,'United Data'!$C$3:$C$3390,$A1315)&gt;0,1,0)</f>
        <v>0</v>
      </c>
      <c r="D1315">
        <f>IF(COUNTIFS('United Data'!$A$3:$A$3390,D$1,'United Data'!$C$3:$C$3390,$A1315)&gt;0,1,0)</f>
        <v>0</v>
      </c>
      <c r="E1315">
        <f>IF(COUNTIFS('United Data'!$A$3:$A$3390,E$1,'United Data'!$C$3:$C$3390,$A1315)&gt;0,1,0)</f>
        <v>1</v>
      </c>
      <c r="F1315">
        <f>IF(COUNTIFS('United Data'!$A$3:$A$3390,F$1,'United Data'!$C$3:$C$3390,$A1315)&gt;0,1,0)</f>
        <v>0</v>
      </c>
      <c r="G1315">
        <f>IF(COUNTIFS('United Data'!$A$3:$A$3390,G$1,'United Data'!$C$3:$C$3390,$A1315)&gt;0,1,0)</f>
        <v>0</v>
      </c>
      <c r="H1315">
        <f>IF(COUNTIFS('United Data'!$A$3:$A$3390,H$1,'United Data'!$C$3:$C$3390,$A1315)&gt;0,1,0)</f>
        <v>0</v>
      </c>
      <c r="I1315">
        <f>IF(COUNTIFS('United Data'!$A$3:$A$3390,I$1,'United Data'!$C$3:$C$3390,$A1315)&gt;0,1,0)</f>
        <v>0</v>
      </c>
      <c r="J1315">
        <f>IF(COUNTIFS('United Data'!$A$3:$A$3390,J$1,'United Data'!$C$3:$C$3390,$A1315)&gt;0,1,0)</f>
        <v>0</v>
      </c>
      <c r="K1315">
        <f>IF(COUNTIFS('United Data'!$A$3:$A$3390,K$1,'United Data'!$C$3:$C$3390,$A1315)&gt;0,1,0)</f>
        <v>0</v>
      </c>
      <c r="L1315">
        <f>IF(COUNTIFS('United Data'!$A$3:$A$3390,L$1,'United Data'!$C$3:$C$3390,$A1315)&gt;0,1,0)</f>
        <v>0</v>
      </c>
      <c r="M1315">
        <f>IF(COUNTIFS('United Data'!$A$3:$A$3390,M$1,'United Data'!$C$3:$C$3390,$A1315)&gt;0,1,0)</f>
        <v>0</v>
      </c>
      <c r="N1315">
        <f>IF(COUNTIFS('United Data'!$A$3:$A$3390,N$1,'United Data'!$C$3:$C$3390,$A1315)&gt;0,1,0)</f>
        <v>0</v>
      </c>
      <c r="O1315">
        <f>IF(COUNTIFS('United Data'!$A$3:$A$3390,O$1,'United Data'!$C$3:$C$3390,$A1315)&gt;0,1,0)</f>
        <v>0</v>
      </c>
      <c r="P1315">
        <f>IF(COUNTIFS('United Data'!$A$3:$A$3390,P$1,'United Data'!$C$3:$C$3390,$A1315)&gt;0,1,0)</f>
        <v>0</v>
      </c>
      <c r="Q1315">
        <f>IF(COUNTIFS('United Data'!$A$3:$A$3390,Q$1,'United Data'!$C$3:$C$3390,$A1315)&gt;0,1,0)</f>
        <v>0</v>
      </c>
      <c r="R1315">
        <f>IF(COUNTIFS('United Data'!$A$3:$A$3390,R$1,'United Data'!$C$3:$C$3390,$A1315)&gt;0,1,0)</f>
        <v>0</v>
      </c>
      <c r="S1315">
        <f t="shared" si="40"/>
        <v>2</v>
      </c>
      <c r="T1315">
        <f t="shared" si="41"/>
        <v>2</v>
      </c>
    </row>
    <row r="1316" spans="1:20" x14ac:dyDescent="0.2">
      <c r="A1316" t="s">
        <v>1553</v>
      </c>
      <c r="B1316">
        <f>IF(COUNTIFS('United Data'!$A$3:$A$3390,B$1,'United Data'!$C$3:$C$3390,$A1316)&gt;0,1,0)</f>
        <v>1</v>
      </c>
      <c r="C1316">
        <f>IF(COUNTIFS('United Data'!$A$3:$A$3390,C$1,'United Data'!$C$3:$C$3390,$A1316)&gt;0,1,0)</f>
        <v>1</v>
      </c>
      <c r="D1316">
        <f>IF(COUNTIFS('United Data'!$A$3:$A$3390,D$1,'United Data'!$C$3:$C$3390,$A1316)&gt;0,1,0)</f>
        <v>0</v>
      </c>
      <c r="E1316">
        <f>IF(COUNTIFS('United Data'!$A$3:$A$3390,E$1,'United Data'!$C$3:$C$3390,$A1316)&gt;0,1,0)</f>
        <v>0</v>
      </c>
      <c r="F1316">
        <f>IF(COUNTIFS('United Data'!$A$3:$A$3390,F$1,'United Data'!$C$3:$C$3390,$A1316)&gt;0,1,0)</f>
        <v>0</v>
      </c>
      <c r="G1316">
        <f>IF(COUNTIFS('United Data'!$A$3:$A$3390,G$1,'United Data'!$C$3:$C$3390,$A1316)&gt;0,1,0)</f>
        <v>0</v>
      </c>
      <c r="H1316">
        <f>IF(COUNTIFS('United Data'!$A$3:$A$3390,H$1,'United Data'!$C$3:$C$3390,$A1316)&gt;0,1,0)</f>
        <v>0</v>
      </c>
      <c r="I1316">
        <f>IF(COUNTIFS('United Data'!$A$3:$A$3390,I$1,'United Data'!$C$3:$C$3390,$A1316)&gt;0,1,0)</f>
        <v>0</v>
      </c>
      <c r="J1316">
        <f>IF(COUNTIFS('United Data'!$A$3:$A$3390,J$1,'United Data'!$C$3:$C$3390,$A1316)&gt;0,1,0)</f>
        <v>0</v>
      </c>
      <c r="K1316">
        <f>IF(COUNTIFS('United Data'!$A$3:$A$3390,K$1,'United Data'!$C$3:$C$3390,$A1316)&gt;0,1,0)</f>
        <v>0</v>
      </c>
      <c r="L1316">
        <f>IF(COUNTIFS('United Data'!$A$3:$A$3390,L$1,'United Data'!$C$3:$C$3390,$A1316)&gt;0,1,0)</f>
        <v>0</v>
      </c>
      <c r="M1316">
        <f>IF(COUNTIFS('United Data'!$A$3:$A$3390,M$1,'United Data'!$C$3:$C$3390,$A1316)&gt;0,1,0)</f>
        <v>0</v>
      </c>
      <c r="N1316">
        <f>IF(COUNTIFS('United Data'!$A$3:$A$3390,N$1,'United Data'!$C$3:$C$3390,$A1316)&gt;0,1,0)</f>
        <v>0</v>
      </c>
      <c r="O1316">
        <f>IF(COUNTIFS('United Data'!$A$3:$A$3390,O$1,'United Data'!$C$3:$C$3390,$A1316)&gt;0,1,0)</f>
        <v>0</v>
      </c>
      <c r="P1316">
        <f>IF(COUNTIFS('United Data'!$A$3:$A$3390,P$1,'United Data'!$C$3:$C$3390,$A1316)&gt;0,1,0)</f>
        <v>0</v>
      </c>
      <c r="Q1316">
        <f>IF(COUNTIFS('United Data'!$A$3:$A$3390,Q$1,'United Data'!$C$3:$C$3390,$A1316)&gt;0,1,0)</f>
        <v>0</v>
      </c>
      <c r="R1316">
        <f>IF(COUNTIFS('United Data'!$A$3:$A$3390,R$1,'United Data'!$C$3:$C$3390,$A1316)&gt;0,1,0)</f>
        <v>0</v>
      </c>
      <c r="S1316">
        <f t="shared" si="40"/>
        <v>2</v>
      </c>
      <c r="T1316">
        <f t="shared" si="41"/>
        <v>1</v>
      </c>
    </row>
    <row r="1317" spans="1:20" x14ac:dyDescent="0.2">
      <c r="A1317" t="s">
        <v>1554</v>
      </c>
      <c r="B1317">
        <f>IF(COUNTIFS('United Data'!$A$3:$A$3390,B$1,'United Data'!$C$3:$C$3390,$A1317)&gt;0,1,0)</f>
        <v>1</v>
      </c>
      <c r="C1317">
        <f>IF(COUNTIFS('United Data'!$A$3:$A$3390,C$1,'United Data'!$C$3:$C$3390,$A1317)&gt;0,1,0)</f>
        <v>1</v>
      </c>
      <c r="D1317">
        <f>IF(COUNTIFS('United Data'!$A$3:$A$3390,D$1,'United Data'!$C$3:$C$3390,$A1317)&gt;0,1,0)</f>
        <v>0</v>
      </c>
      <c r="E1317">
        <f>IF(COUNTIFS('United Data'!$A$3:$A$3390,E$1,'United Data'!$C$3:$C$3390,$A1317)&gt;0,1,0)</f>
        <v>0</v>
      </c>
      <c r="F1317">
        <f>IF(COUNTIFS('United Data'!$A$3:$A$3390,F$1,'United Data'!$C$3:$C$3390,$A1317)&gt;0,1,0)</f>
        <v>0</v>
      </c>
      <c r="G1317">
        <f>IF(COUNTIFS('United Data'!$A$3:$A$3390,G$1,'United Data'!$C$3:$C$3390,$A1317)&gt;0,1,0)</f>
        <v>0</v>
      </c>
      <c r="H1317">
        <f>IF(COUNTIFS('United Data'!$A$3:$A$3390,H$1,'United Data'!$C$3:$C$3390,$A1317)&gt;0,1,0)</f>
        <v>0</v>
      </c>
      <c r="I1317">
        <f>IF(COUNTIFS('United Data'!$A$3:$A$3390,I$1,'United Data'!$C$3:$C$3390,$A1317)&gt;0,1,0)</f>
        <v>0</v>
      </c>
      <c r="J1317">
        <f>IF(COUNTIFS('United Data'!$A$3:$A$3390,J$1,'United Data'!$C$3:$C$3390,$A1317)&gt;0,1,0)</f>
        <v>0</v>
      </c>
      <c r="K1317">
        <f>IF(COUNTIFS('United Data'!$A$3:$A$3390,K$1,'United Data'!$C$3:$C$3390,$A1317)&gt;0,1,0)</f>
        <v>1</v>
      </c>
      <c r="L1317">
        <f>IF(COUNTIFS('United Data'!$A$3:$A$3390,L$1,'United Data'!$C$3:$C$3390,$A1317)&gt;0,1,0)</f>
        <v>0</v>
      </c>
      <c r="M1317">
        <f>IF(COUNTIFS('United Data'!$A$3:$A$3390,M$1,'United Data'!$C$3:$C$3390,$A1317)&gt;0,1,0)</f>
        <v>0</v>
      </c>
      <c r="N1317">
        <f>IF(COUNTIFS('United Data'!$A$3:$A$3390,N$1,'United Data'!$C$3:$C$3390,$A1317)&gt;0,1,0)</f>
        <v>0</v>
      </c>
      <c r="O1317">
        <f>IF(COUNTIFS('United Data'!$A$3:$A$3390,O$1,'United Data'!$C$3:$C$3390,$A1317)&gt;0,1,0)</f>
        <v>0</v>
      </c>
      <c r="P1317">
        <f>IF(COUNTIFS('United Data'!$A$3:$A$3390,P$1,'United Data'!$C$3:$C$3390,$A1317)&gt;0,1,0)</f>
        <v>1</v>
      </c>
      <c r="Q1317">
        <f>IF(COUNTIFS('United Data'!$A$3:$A$3390,Q$1,'United Data'!$C$3:$C$3390,$A1317)&gt;0,1,0)</f>
        <v>0</v>
      </c>
      <c r="R1317">
        <f>IF(COUNTIFS('United Data'!$A$3:$A$3390,R$1,'United Data'!$C$3:$C$3390,$A1317)&gt;0,1,0)</f>
        <v>0</v>
      </c>
      <c r="S1317">
        <f t="shared" si="40"/>
        <v>4</v>
      </c>
      <c r="T1317">
        <f t="shared" si="41"/>
        <v>3</v>
      </c>
    </row>
    <row r="1318" spans="1:20" x14ac:dyDescent="0.2">
      <c r="A1318" t="s">
        <v>1555</v>
      </c>
      <c r="B1318">
        <f>IF(COUNTIFS('United Data'!$A$3:$A$3390,B$1,'United Data'!$C$3:$C$3390,$A1318)&gt;0,1,0)</f>
        <v>0</v>
      </c>
      <c r="C1318">
        <f>IF(COUNTIFS('United Data'!$A$3:$A$3390,C$1,'United Data'!$C$3:$C$3390,$A1318)&gt;0,1,0)</f>
        <v>1</v>
      </c>
      <c r="D1318">
        <f>IF(COUNTIFS('United Data'!$A$3:$A$3390,D$1,'United Data'!$C$3:$C$3390,$A1318)&gt;0,1,0)</f>
        <v>0</v>
      </c>
      <c r="E1318">
        <f>IF(COUNTIFS('United Data'!$A$3:$A$3390,E$1,'United Data'!$C$3:$C$3390,$A1318)&gt;0,1,0)</f>
        <v>0</v>
      </c>
      <c r="F1318">
        <f>IF(COUNTIFS('United Data'!$A$3:$A$3390,F$1,'United Data'!$C$3:$C$3390,$A1318)&gt;0,1,0)</f>
        <v>0</v>
      </c>
      <c r="G1318">
        <f>IF(COUNTIFS('United Data'!$A$3:$A$3390,G$1,'United Data'!$C$3:$C$3390,$A1318)&gt;0,1,0)</f>
        <v>0</v>
      </c>
      <c r="H1318">
        <f>IF(COUNTIFS('United Data'!$A$3:$A$3390,H$1,'United Data'!$C$3:$C$3390,$A1318)&gt;0,1,0)</f>
        <v>0</v>
      </c>
      <c r="I1318">
        <f>IF(COUNTIFS('United Data'!$A$3:$A$3390,I$1,'United Data'!$C$3:$C$3390,$A1318)&gt;0,1,0)</f>
        <v>0</v>
      </c>
      <c r="J1318">
        <f>IF(COUNTIFS('United Data'!$A$3:$A$3390,J$1,'United Data'!$C$3:$C$3390,$A1318)&gt;0,1,0)</f>
        <v>0</v>
      </c>
      <c r="K1318">
        <f>IF(COUNTIFS('United Data'!$A$3:$A$3390,K$1,'United Data'!$C$3:$C$3390,$A1318)&gt;0,1,0)</f>
        <v>0</v>
      </c>
      <c r="L1318">
        <f>IF(COUNTIFS('United Data'!$A$3:$A$3390,L$1,'United Data'!$C$3:$C$3390,$A1318)&gt;0,1,0)</f>
        <v>0</v>
      </c>
      <c r="M1318">
        <f>IF(COUNTIFS('United Data'!$A$3:$A$3390,M$1,'United Data'!$C$3:$C$3390,$A1318)&gt;0,1,0)</f>
        <v>0</v>
      </c>
      <c r="N1318">
        <f>IF(COUNTIFS('United Data'!$A$3:$A$3390,N$1,'United Data'!$C$3:$C$3390,$A1318)&gt;0,1,0)</f>
        <v>0</v>
      </c>
      <c r="O1318">
        <f>IF(COUNTIFS('United Data'!$A$3:$A$3390,O$1,'United Data'!$C$3:$C$3390,$A1318)&gt;0,1,0)</f>
        <v>0</v>
      </c>
      <c r="P1318">
        <f>IF(COUNTIFS('United Data'!$A$3:$A$3390,P$1,'United Data'!$C$3:$C$3390,$A1318)&gt;0,1,0)</f>
        <v>0</v>
      </c>
      <c r="Q1318">
        <f>IF(COUNTIFS('United Data'!$A$3:$A$3390,Q$1,'United Data'!$C$3:$C$3390,$A1318)&gt;0,1,0)</f>
        <v>0</v>
      </c>
      <c r="R1318">
        <f>IF(COUNTIFS('United Data'!$A$3:$A$3390,R$1,'United Data'!$C$3:$C$3390,$A1318)&gt;0,1,0)</f>
        <v>0</v>
      </c>
      <c r="S1318">
        <f t="shared" si="40"/>
        <v>1</v>
      </c>
      <c r="T1318">
        <f t="shared" si="41"/>
        <v>1</v>
      </c>
    </row>
    <row r="1319" spans="1:20" x14ac:dyDescent="0.2">
      <c r="A1319" t="s">
        <v>1556</v>
      </c>
      <c r="B1319">
        <f>IF(COUNTIFS('United Data'!$A$3:$A$3390,B$1,'United Data'!$C$3:$C$3390,$A1319)&gt;0,1,0)</f>
        <v>0</v>
      </c>
      <c r="C1319">
        <f>IF(COUNTIFS('United Data'!$A$3:$A$3390,C$1,'United Data'!$C$3:$C$3390,$A1319)&gt;0,1,0)</f>
        <v>0</v>
      </c>
      <c r="D1319">
        <f>IF(COUNTIFS('United Data'!$A$3:$A$3390,D$1,'United Data'!$C$3:$C$3390,$A1319)&gt;0,1,0)</f>
        <v>1</v>
      </c>
      <c r="E1319">
        <f>IF(COUNTIFS('United Data'!$A$3:$A$3390,E$1,'United Data'!$C$3:$C$3390,$A1319)&gt;0,1,0)</f>
        <v>0</v>
      </c>
      <c r="F1319">
        <f>IF(COUNTIFS('United Data'!$A$3:$A$3390,F$1,'United Data'!$C$3:$C$3390,$A1319)&gt;0,1,0)</f>
        <v>1</v>
      </c>
      <c r="G1319">
        <f>IF(COUNTIFS('United Data'!$A$3:$A$3390,G$1,'United Data'!$C$3:$C$3390,$A1319)&gt;0,1,0)</f>
        <v>0</v>
      </c>
      <c r="H1319">
        <f>IF(COUNTIFS('United Data'!$A$3:$A$3390,H$1,'United Data'!$C$3:$C$3390,$A1319)&gt;0,1,0)</f>
        <v>1</v>
      </c>
      <c r="I1319">
        <f>IF(COUNTIFS('United Data'!$A$3:$A$3390,I$1,'United Data'!$C$3:$C$3390,$A1319)&gt;0,1,0)</f>
        <v>0</v>
      </c>
      <c r="J1319">
        <f>IF(COUNTIFS('United Data'!$A$3:$A$3390,J$1,'United Data'!$C$3:$C$3390,$A1319)&gt;0,1,0)</f>
        <v>0</v>
      </c>
      <c r="K1319">
        <f>IF(COUNTIFS('United Data'!$A$3:$A$3390,K$1,'United Data'!$C$3:$C$3390,$A1319)&gt;0,1,0)</f>
        <v>1</v>
      </c>
      <c r="L1319">
        <f>IF(COUNTIFS('United Data'!$A$3:$A$3390,L$1,'United Data'!$C$3:$C$3390,$A1319)&gt;0,1,0)</f>
        <v>1</v>
      </c>
      <c r="M1319">
        <f>IF(COUNTIFS('United Data'!$A$3:$A$3390,M$1,'United Data'!$C$3:$C$3390,$A1319)&gt;0,1,0)</f>
        <v>0</v>
      </c>
      <c r="N1319">
        <f>IF(COUNTIFS('United Data'!$A$3:$A$3390,N$1,'United Data'!$C$3:$C$3390,$A1319)&gt;0,1,0)</f>
        <v>0</v>
      </c>
      <c r="O1319">
        <f>IF(COUNTIFS('United Data'!$A$3:$A$3390,O$1,'United Data'!$C$3:$C$3390,$A1319)&gt;0,1,0)</f>
        <v>0</v>
      </c>
      <c r="P1319">
        <f>IF(COUNTIFS('United Data'!$A$3:$A$3390,P$1,'United Data'!$C$3:$C$3390,$A1319)&gt;0,1,0)</f>
        <v>0</v>
      </c>
      <c r="Q1319">
        <f>IF(COUNTIFS('United Data'!$A$3:$A$3390,Q$1,'United Data'!$C$3:$C$3390,$A1319)&gt;0,1,0)</f>
        <v>0</v>
      </c>
      <c r="R1319">
        <f>IF(COUNTIFS('United Data'!$A$3:$A$3390,R$1,'United Data'!$C$3:$C$3390,$A1319)&gt;0,1,0)</f>
        <v>0</v>
      </c>
      <c r="S1319">
        <f t="shared" si="40"/>
        <v>5</v>
      </c>
      <c r="T1319">
        <f t="shared" si="41"/>
        <v>4</v>
      </c>
    </row>
    <row r="1320" spans="1:20" x14ac:dyDescent="0.2">
      <c r="A1320" t="s">
        <v>1558</v>
      </c>
      <c r="B1320">
        <f>IF(COUNTIFS('United Data'!$A$3:$A$3390,B$1,'United Data'!$C$3:$C$3390,$A1320)&gt;0,1,0)</f>
        <v>0</v>
      </c>
      <c r="C1320">
        <f>IF(COUNTIFS('United Data'!$A$3:$A$3390,C$1,'United Data'!$C$3:$C$3390,$A1320)&gt;0,1,0)</f>
        <v>0</v>
      </c>
      <c r="D1320">
        <f>IF(COUNTIFS('United Data'!$A$3:$A$3390,D$1,'United Data'!$C$3:$C$3390,$A1320)&gt;0,1,0)</f>
        <v>1</v>
      </c>
      <c r="E1320">
        <f>IF(COUNTIFS('United Data'!$A$3:$A$3390,E$1,'United Data'!$C$3:$C$3390,$A1320)&gt;0,1,0)</f>
        <v>0</v>
      </c>
      <c r="F1320">
        <f>IF(COUNTIFS('United Data'!$A$3:$A$3390,F$1,'United Data'!$C$3:$C$3390,$A1320)&gt;0,1,0)</f>
        <v>0</v>
      </c>
      <c r="G1320">
        <f>IF(COUNTIFS('United Data'!$A$3:$A$3390,G$1,'United Data'!$C$3:$C$3390,$A1320)&gt;0,1,0)</f>
        <v>0</v>
      </c>
      <c r="H1320">
        <f>IF(COUNTIFS('United Data'!$A$3:$A$3390,H$1,'United Data'!$C$3:$C$3390,$A1320)&gt;0,1,0)</f>
        <v>0</v>
      </c>
      <c r="I1320">
        <f>IF(COUNTIFS('United Data'!$A$3:$A$3390,I$1,'United Data'!$C$3:$C$3390,$A1320)&gt;0,1,0)</f>
        <v>0</v>
      </c>
      <c r="J1320">
        <f>IF(COUNTIFS('United Data'!$A$3:$A$3390,J$1,'United Data'!$C$3:$C$3390,$A1320)&gt;0,1,0)</f>
        <v>0</v>
      </c>
      <c r="K1320">
        <f>IF(COUNTIFS('United Data'!$A$3:$A$3390,K$1,'United Data'!$C$3:$C$3390,$A1320)&gt;0,1,0)</f>
        <v>0</v>
      </c>
      <c r="L1320">
        <f>IF(COUNTIFS('United Data'!$A$3:$A$3390,L$1,'United Data'!$C$3:$C$3390,$A1320)&gt;0,1,0)</f>
        <v>0</v>
      </c>
      <c r="M1320">
        <f>IF(COUNTIFS('United Data'!$A$3:$A$3390,M$1,'United Data'!$C$3:$C$3390,$A1320)&gt;0,1,0)</f>
        <v>0</v>
      </c>
      <c r="N1320">
        <f>IF(COUNTIFS('United Data'!$A$3:$A$3390,N$1,'United Data'!$C$3:$C$3390,$A1320)&gt;0,1,0)</f>
        <v>0</v>
      </c>
      <c r="O1320">
        <f>IF(COUNTIFS('United Data'!$A$3:$A$3390,O$1,'United Data'!$C$3:$C$3390,$A1320)&gt;0,1,0)</f>
        <v>0</v>
      </c>
      <c r="P1320">
        <f>IF(COUNTIFS('United Data'!$A$3:$A$3390,P$1,'United Data'!$C$3:$C$3390,$A1320)&gt;0,1,0)</f>
        <v>0</v>
      </c>
      <c r="Q1320">
        <f>IF(COUNTIFS('United Data'!$A$3:$A$3390,Q$1,'United Data'!$C$3:$C$3390,$A1320)&gt;0,1,0)</f>
        <v>0</v>
      </c>
      <c r="R1320">
        <f>IF(COUNTIFS('United Data'!$A$3:$A$3390,R$1,'United Data'!$C$3:$C$3390,$A1320)&gt;0,1,0)</f>
        <v>0</v>
      </c>
      <c r="S1320">
        <f t="shared" si="40"/>
        <v>1</v>
      </c>
      <c r="T1320">
        <f t="shared" si="41"/>
        <v>1</v>
      </c>
    </row>
    <row r="1321" spans="1:20" x14ac:dyDescent="0.2">
      <c r="A1321" t="s">
        <v>1560</v>
      </c>
      <c r="B1321">
        <f>IF(COUNTIFS('United Data'!$A$3:$A$3390,B$1,'United Data'!$C$3:$C$3390,$A1321)&gt;0,1,0)</f>
        <v>0</v>
      </c>
      <c r="C1321">
        <f>IF(COUNTIFS('United Data'!$A$3:$A$3390,C$1,'United Data'!$C$3:$C$3390,$A1321)&gt;0,1,0)</f>
        <v>0</v>
      </c>
      <c r="D1321">
        <f>IF(COUNTIFS('United Data'!$A$3:$A$3390,D$1,'United Data'!$C$3:$C$3390,$A1321)&gt;0,1,0)</f>
        <v>1</v>
      </c>
      <c r="E1321">
        <f>IF(COUNTIFS('United Data'!$A$3:$A$3390,E$1,'United Data'!$C$3:$C$3390,$A1321)&gt;0,1,0)</f>
        <v>0</v>
      </c>
      <c r="F1321">
        <f>IF(COUNTIFS('United Data'!$A$3:$A$3390,F$1,'United Data'!$C$3:$C$3390,$A1321)&gt;0,1,0)</f>
        <v>0</v>
      </c>
      <c r="G1321">
        <f>IF(COUNTIFS('United Data'!$A$3:$A$3390,G$1,'United Data'!$C$3:$C$3390,$A1321)&gt;0,1,0)</f>
        <v>0</v>
      </c>
      <c r="H1321">
        <f>IF(COUNTIFS('United Data'!$A$3:$A$3390,H$1,'United Data'!$C$3:$C$3390,$A1321)&gt;0,1,0)</f>
        <v>0</v>
      </c>
      <c r="I1321">
        <f>IF(COUNTIFS('United Data'!$A$3:$A$3390,I$1,'United Data'!$C$3:$C$3390,$A1321)&gt;0,1,0)</f>
        <v>0</v>
      </c>
      <c r="J1321">
        <f>IF(COUNTIFS('United Data'!$A$3:$A$3390,J$1,'United Data'!$C$3:$C$3390,$A1321)&gt;0,1,0)</f>
        <v>0</v>
      </c>
      <c r="K1321">
        <f>IF(COUNTIFS('United Data'!$A$3:$A$3390,K$1,'United Data'!$C$3:$C$3390,$A1321)&gt;0,1,0)</f>
        <v>0</v>
      </c>
      <c r="L1321">
        <f>IF(COUNTIFS('United Data'!$A$3:$A$3390,L$1,'United Data'!$C$3:$C$3390,$A1321)&gt;0,1,0)</f>
        <v>0</v>
      </c>
      <c r="M1321">
        <f>IF(COUNTIFS('United Data'!$A$3:$A$3390,M$1,'United Data'!$C$3:$C$3390,$A1321)&gt;0,1,0)</f>
        <v>0</v>
      </c>
      <c r="N1321">
        <f>IF(COUNTIFS('United Data'!$A$3:$A$3390,N$1,'United Data'!$C$3:$C$3390,$A1321)&gt;0,1,0)</f>
        <v>0</v>
      </c>
      <c r="O1321">
        <f>IF(COUNTIFS('United Data'!$A$3:$A$3390,O$1,'United Data'!$C$3:$C$3390,$A1321)&gt;0,1,0)</f>
        <v>0</v>
      </c>
      <c r="P1321">
        <f>IF(COUNTIFS('United Data'!$A$3:$A$3390,P$1,'United Data'!$C$3:$C$3390,$A1321)&gt;0,1,0)</f>
        <v>0</v>
      </c>
      <c r="Q1321">
        <f>IF(COUNTIFS('United Data'!$A$3:$A$3390,Q$1,'United Data'!$C$3:$C$3390,$A1321)&gt;0,1,0)</f>
        <v>0</v>
      </c>
      <c r="R1321">
        <f>IF(COUNTIFS('United Data'!$A$3:$A$3390,R$1,'United Data'!$C$3:$C$3390,$A1321)&gt;0,1,0)</f>
        <v>0</v>
      </c>
      <c r="S1321">
        <f t="shared" si="40"/>
        <v>1</v>
      </c>
      <c r="T1321">
        <f t="shared" si="41"/>
        <v>1</v>
      </c>
    </row>
    <row r="1322" spans="1:20" x14ac:dyDescent="0.2">
      <c r="A1322" t="s">
        <v>1561</v>
      </c>
      <c r="B1322">
        <f>IF(COUNTIFS('United Data'!$A$3:$A$3390,B$1,'United Data'!$C$3:$C$3390,$A1322)&gt;0,1,0)</f>
        <v>0</v>
      </c>
      <c r="C1322">
        <f>IF(COUNTIFS('United Data'!$A$3:$A$3390,C$1,'United Data'!$C$3:$C$3390,$A1322)&gt;0,1,0)</f>
        <v>0</v>
      </c>
      <c r="D1322">
        <f>IF(COUNTIFS('United Data'!$A$3:$A$3390,D$1,'United Data'!$C$3:$C$3390,$A1322)&gt;0,1,0)</f>
        <v>0</v>
      </c>
      <c r="E1322">
        <f>IF(COUNTIFS('United Data'!$A$3:$A$3390,E$1,'United Data'!$C$3:$C$3390,$A1322)&gt;0,1,0)</f>
        <v>1</v>
      </c>
      <c r="F1322">
        <f>IF(COUNTIFS('United Data'!$A$3:$A$3390,F$1,'United Data'!$C$3:$C$3390,$A1322)&gt;0,1,0)</f>
        <v>0</v>
      </c>
      <c r="G1322">
        <f>IF(COUNTIFS('United Data'!$A$3:$A$3390,G$1,'United Data'!$C$3:$C$3390,$A1322)&gt;0,1,0)</f>
        <v>0</v>
      </c>
      <c r="H1322">
        <f>IF(COUNTIFS('United Data'!$A$3:$A$3390,H$1,'United Data'!$C$3:$C$3390,$A1322)&gt;0,1,0)</f>
        <v>0</v>
      </c>
      <c r="I1322">
        <f>IF(COUNTIFS('United Data'!$A$3:$A$3390,I$1,'United Data'!$C$3:$C$3390,$A1322)&gt;0,1,0)</f>
        <v>0</v>
      </c>
      <c r="J1322">
        <f>IF(COUNTIFS('United Data'!$A$3:$A$3390,J$1,'United Data'!$C$3:$C$3390,$A1322)&gt;0,1,0)</f>
        <v>0</v>
      </c>
      <c r="K1322">
        <f>IF(COUNTIFS('United Data'!$A$3:$A$3390,K$1,'United Data'!$C$3:$C$3390,$A1322)&gt;0,1,0)</f>
        <v>0</v>
      </c>
      <c r="L1322">
        <f>IF(COUNTIFS('United Data'!$A$3:$A$3390,L$1,'United Data'!$C$3:$C$3390,$A1322)&gt;0,1,0)</f>
        <v>0</v>
      </c>
      <c r="M1322">
        <f>IF(COUNTIFS('United Data'!$A$3:$A$3390,M$1,'United Data'!$C$3:$C$3390,$A1322)&gt;0,1,0)</f>
        <v>0</v>
      </c>
      <c r="N1322">
        <f>IF(COUNTIFS('United Data'!$A$3:$A$3390,N$1,'United Data'!$C$3:$C$3390,$A1322)&gt;0,1,0)</f>
        <v>0</v>
      </c>
      <c r="O1322">
        <f>IF(COUNTIFS('United Data'!$A$3:$A$3390,O$1,'United Data'!$C$3:$C$3390,$A1322)&gt;0,1,0)</f>
        <v>0</v>
      </c>
      <c r="P1322">
        <f>IF(COUNTIFS('United Data'!$A$3:$A$3390,P$1,'United Data'!$C$3:$C$3390,$A1322)&gt;0,1,0)</f>
        <v>0</v>
      </c>
      <c r="Q1322">
        <f>IF(COUNTIFS('United Data'!$A$3:$A$3390,Q$1,'United Data'!$C$3:$C$3390,$A1322)&gt;0,1,0)</f>
        <v>0</v>
      </c>
      <c r="R1322">
        <f>IF(COUNTIFS('United Data'!$A$3:$A$3390,R$1,'United Data'!$C$3:$C$3390,$A1322)&gt;0,1,0)</f>
        <v>0</v>
      </c>
      <c r="S1322">
        <f t="shared" si="40"/>
        <v>1</v>
      </c>
      <c r="T1322">
        <f t="shared" si="41"/>
        <v>1</v>
      </c>
    </row>
    <row r="1323" spans="1:20" x14ac:dyDescent="0.2">
      <c r="A1323" t="s">
        <v>1562</v>
      </c>
      <c r="B1323">
        <f>IF(COUNTIFS('United Data'!$A$3:$A$3390,B$1,'United Data'!$C$3:$C$3390,$A1323)&gt;0,1,0)</f>
        <v>0</v>
      </c>
      <c r="C1323">
        <f>IF(COUNTIFS('United Data'!$A$3:$A$3390,C$1,'United Data'!$C$3:$C$3390,$A1323)&gt;0,1,0)</f>
        <v>0</v>
      </c>
      <c r="D1323">
        <f>IF(COUNTIFS('United Data'!$A$3:$A$3390,D$1,'United Data'!$C$3:$C$3390,$A1323)&gt;0,1,0)</f>
        <v>0</v>
      </c>
      <c r="E1323">
        <f>IF(COUNTIFS('United Data'!$A$3:$A$3390,E$1,'United Data'!$C$3:$C$3390,$A1323)&gt;0,1,0)</f>
        <v>1</v>
      </c>
      <c r="F1323">
        <f>IF(COUNTIFS('United Data'!$A$3:$A$3390,F$1,'United Data'!$C$3:$C$3390,$A1323)&gt;0,1,0)</f>
        <v>0</v>
      </c>
      <c r="G1323">
        <f>IF(COUNTIFS('United Data'!$A$3:$A$3390,G$1,'United Data'!$C$3:$C$3390,$A1323)&gt;0,1,0)</f>
        <v>0</v>
      </c>
      <c r="H1323">
        <f>IF(COUNTIFS('United Data'!$A$3:$A$3390,H$1,'United Data'!$C$3:$C$3390,$A1323)&gt;0,1,0)</f>
        <v>0</v>
      </c>
      <c r="I1323">
        <f>IF(COUNTIFS('United Data'!$A$3:$A$3390,I$1,'United Data'!$C$3:$C$3390,$A1323)&gt;0,1,0)</f>
        <v>0</v>
      </c>
      <c r="J1323">
        <f>IF(COUNTIFS('United Data'!$A$3:$A$3390,J$1,'United Data'!$C$3:$C$3390,$A1323)&gt;0,1,0)</f>
        <v>0</v>
      </c>
      <c r="K1323">
        <f>IF(COUNTIFS('United Data'!$A$3:$A$3390,K$1,'United Data'!$C$3:$C$3390,$A1323)&gt;0,1,0)</f>
        <v>0</v>
      </c>
      <c r="L1323">
        <f>IF(COUNTIFS('United Data'!$A$3:$A$3390,L$1,'United Data'!$C$3:$C$3390,$A1323)&gt;0,1,0)</f>
        <v>0</v>
      </c>
      <c r="M1323">
        <f>IF(COUNTIFS('United Data'!$A$3:$A$3390,M$1,'United Data'!$C$3:$C$3390,$A1323)&gt;0,1,0)</f>
        <v>0</v>
      </c>
      <c r="N1323">
        <f>IF(COUNTIFS('United Data'!$A$3:$A$3390,N$1,'United Data'!$C$3:$C$3390,$A1323)&gt;0,1,0)</f>
        <v>0</v>
      </c>
      <c r="O1323">
        <f>IF(COUNTIFS('United Data'!$A$3:$A$3390,O$1,'United Data'!$C$3:$C$3390,$A1323)&gt;0,1,0)</f>
        <v>0</v>
      </c>
      <c r="P1323">
        <f>IF(COUNTIFS('United Data'!$A$3:$A$3390,P$1,'United Data'!$C$3:$C$3390,$A1323)&gt;0,1,0)</f>
        <v>0</v>
      </c>
      <c r="Q1323">
        <f>IF(COUNTIFS('United Data'!$A$3:$A$3390,Q$1,'United Data'!$C$3:$C$3390,$A1323)&gt;0,1,0)</f>
        <v>0</v>
      </c>
      <c r="R1323">
        <f>IF(COUNTIFS('United Data'!$A$3:$A$3390,R$1,'United Data'!$C$3:$C$3390,$A1323)&gt;0,1,0)</f>
        <v>0</v>
      </c>
      <c r="S1323">
        <f t="shared" si="40"/>
        <v>1</v>
      </c>
      <c r="T1323">
        <f t="shared" si="41"/>
        <v>1</v>
      </c>
    </row>
    <row r="1324" spans="1:20" x14ac:dyDescent="0.2">
      <c r="A1324" t="s">
        <v>1563</v>
      </c>
      <c r="B1324">
        <f>IF(COUNTIFS('United Data'!$A$3:$A$3390,B$1,'United Data'!$C$3:$C$3390,$A1324)&gt;0,1,0)</f>
        <v>0</v>
      </c>
      <c r="C1324">
        <f>IF(COUNTIFS('United Data'!$A$3:$A$3390,C$1,'United Data'!$C$3:$C$3390,$A1324)&gt;0,1,0)</f>
        <v>0</v>
      </c>
      <c r="D1324">
        <f>IF(COUNTIFS('United Data'!$A$3:$A$3390,D$1,'United Data'!$C$3:$C$3390,$A1324)&gt;0,1,0)</f>
        <v>0</v>
      </c>
      <c r="E1324">
        <f>IF(COUNTIFS('United Data'!$A$3:$A$3390,E$1,'United Data'!$C$3:$C$3390,$A1324)&gt;0,1,0)</f>
        <v>1</v>
      </c>
      <c r="F1324">
        <f>IF(COUNTIFS('United Data'!$A$3:$A$3390,F$1,'United Data'!$C$3:$C$3390,$A1324)&gt;0,1,0)</f>
        <v>0</v>
      </c>
      <c r="G1324">
        <f>IF(COUNTIFS('United Data'!$A$3:$A$3390,G$1,'United Data'!$C$3:$C$3390,$A1324)&gt;0,1,0)</f>
        <v>0</v>
      </c>
      <c r="H1324">
        <f>IF(COUNTIFS('United Data'!$A$3:$A$3390,H$1,'United Data'!$C$3:$C$3390,$A1324)&gt;0,1,0)</f>
        <v>0</v>
      </c>
      <c r="I1324">
        <f>IF(COUNTIFS('United Data'!$A$3:$A$3390,I$1,'United Data'!$C$3:$C$3390,$A1324)&gt;0,1,0)</f>
        <v>0</v>
      </c>
      <c r="J1324">
        <f>IF(COUNTIFS('United Data'!$A$3:$A$3390,J$1,'United Data'!$C$3:$C$3390,$A1324)&gt;0,1,0)</f>
        <v>0</v>
      </c>
      <c r="K1324">
        <f>IF(COUNTIFS('United Data'!$A$3:$A$3390,K$1,'United Data'!$C$3:$C$3390,$A1324)&gt;0,1,0)</f>
        <v>0</v>
      </c>
      <c r="L1324">
        <f>IF(COUNTIFS('United Data'!$A$3:$A$3390,L$1,'United Data'!$C$3:$C$3390,$A1324)&gt;0,1,0)</f>
        <v>0</v>
      </c>
      <c r="M1324">
        <f>IF(COUNTIFS('United Data'!$A$3:$A$3390,M$1,'United Data'!$C$3:$C$3390,$A1324)&gt;0,1,0)</f>
        <v>0</v>
      </c>
      <c r="N1324">
        <f>IF(COUNTIFS('United Data'!$A$3:$A$3390,N$1,'United Data'!$C$3:$C$3390,$A1324)&gt;0,1,0)</f>
        <v>0</v>
      </c>
      <c r="O1324">
        <f>IF(COUNTIFS('United Data'!$A$3:$A$3390,O$1,'United Data'!$C$3:$C$3390,$A1324)&gt;0,1,0)</f>
        <v>0</v>
      </c>
      <c r="P1324">
        <f>IF(COUNTIFS('United Data'!$A$3:$A$3390,P$1,'United Data'!$C$3:$C$3390,$A1324)&gt;0,1,0)</f>
        <v>0</v>
      </c>
      <c r="Q1324">
        <f>IF(COUNTIFS('United Data'!$A$3:$A$3390,Q$1,'United Data'!$C$3:$C$3390,$A1324)&gt;0,1,0)</f>
        <v>0</v>
      </c>
      <c r="R1324">
        <f>IF(COUNTIFS('United Data'!$A$3:$A$3390,R$1,'United Data'!$C$3:$C$3390,$A1324)&gt;0,1,0)</f>
        <v>0</v>
      </c>
      <c r="S1324">
        <f t="shared" si="40"/>
        <v>1</v>
      </c>
      <c r="T1324">
        <f t="shared" si="41"/>
        <v>1</v>
      </c>
    </row>
    <row r="1325" spans="1:20" x14ac:dyDescent="0.2">
      <c r="A1325" t="s">
        <v>1564</v>
      </c>
      <c r="B1325">
        <f>IF(COUNTIFS('United Data'!$A$3:$A$3390,B$1,'United Data'!$C$3:$C$3390,$A1325)&gt;0,1,0)</f>
        <v>0</v>
      </c>
      <c r="C1325">
        <f>IF(COUNTIFS('United Data'!$A$3:$A$3390,C$1,'United Data'!$C$3:$C$3390,$A1325)&gt;0,1,0)</f>
        <v>0</v>
      </c>
      <c r="D1325">
        <f>IF(COUNTIFS('United Data'!$A$3:$A$3390,D$1,'United Data'!$C$3:$C$3390,$A1325)&gt;0,1,0)</f>
        <v>0</v>
      </c>
      <c r="E1325">
        <f>IF(COUNTIFS('United Data'!$A$3:$A$3390,E$1,'United Data'!$C$3:$C$3390,$A1325)&gt;0,1,0)</f>
        <v>1</v>
      </c>
      <c r="F1325">
        <f>IF(COUNTIFS('United Data'!$A$3:$A$3390,F$1,'United Data'!$C$3:$C$3390,$A1325)&gt;0,1,0)</f>
        <v>0</v>
      </c>
      <c r="G1325">
        <f>IF(COUNTIFS('United Data'!$A$3:$A$3390,G$1,'United Data'!$C$3:$C$3390,$A1325)&gt;0,1,0)</f>
        <v>1</v>
      </c>
      <c r="H1325">
        <f>IF(COUNTIFS('United Data'!$A$3:$A$3390,H$1,'United Data'!$C$3:$C$3390,$A1325)&gt;0,1,0)</f>
        <v>0</v>
      </c>
      <c r="I1325">
        <f>IF(COUNTIFS('United Data'!$A$3:$A$3390,I$1,'United Data'!$C$3:$C$3390,$A1325)&gt;0,1,0)</f>
        <v>0</v>
      </c>
      <c r="J1325">
        <f>IF(COUNTIFS('United Data'!$A$3:$A$3390,J$1,'United Data'!$C$3:$C$3390,$A1325)&gt;0,1,0)</f>
        <v>0</v>
      </c>
      <c r="K1325">
        <f>IF(COUNTIFS('United Data'!$A$3:$A$3390,K$1,'United Data'!$C$3:$C$3390,$A1325)&gt;0,1,0)</f>
        <v>0</v>
      </c>
      <c r="L1325">
        <f>IF(COUNTIFS('United Data'!$A$3:$A$3390,L$1,'United Data'!$C$3:$C$3390,$A1325)&gt;0,1,0)</f>
        <v>0</v>
      </c>
      <c r="M1325">
        <f>IF(COUNTIFS('United Data'!$A$3:$A$3390,M$1,'United Data'!$C$3:$C$3390,$A1325)&gt;0,1,0)</f>
        <v>0</v>
      </c>
      <c r="N1325">
        <f>IF(COUNTIFS('United Data'!$A$3:$A$3390,N$1,'United Data'!$C$3:$C$3390,$A1325)&gt;0,1,0)</f>
        <v>0</v>
      </c>
      <c r="O1325">
        <f>IF(COUNTIFS('United Data'!$A$3:$A$3390,O$1,'United Data'!$C$3:$C$3390,$A1325)&gt;0,1,0)</f>
        <v>0</v>
      </c>
      <c r="P1325">
        <f>IF(COUNTIFS('United Data'!$A$3:$A$3390,P$1,'United Data'!$C$3:$C$3390,$A1325)&gt;0,1,0)</f>
        <v>0</v>
      </c>
      <c r="Q1325">
        <f>IF(COUNTIFS('United Data'!$A$3:$A$3390,Q$1,'United Data'!$C$3:$C$3390,$A1325)&gt;0,1,0)</f>
        <v>0</v>
      </c>
      <c r="R1325">
        <f>IF(COUNTIFS('United Data'!$A$3:$A$3390,R$1,'United Data'!$C$3:$C$3390,$A1325)&gt;0,1,0)</f>
        <v>0</v>
      </c>
      <c r="S1325">
        <f t="shared" si="40"/>
        <v>2</v>
      </c>
      <c r="T1325">
        <f t="shared" si="41"/>
        <v>2</v>
      </c>
    </row>
    <row r="1326" spans="1:20" x14ac:dyDescent="0.2">
      <c r="A1326" t="s">
        <v>1565</v>
      </c>
      <c r="B1326">
        <f>IF(COUNTIFS('United Data'!$A$3:$A$3390,B$1,'United Data'!$C$3:$C$3390,$A1326)&gt;0,1,0)</f>
        <v>0</v>
      </c>
      <c r="C1326">
        <f>IF(COUNTIFS('United Data'!$A$3:$A$3390,C$1,'United Data'!$C$3:$C$3390,$A1326)&gt;0,1,0)</f>
        <v>0</v>
      </c>
      <c r="D1326">
        <f>IF(COUNTIFS('United Data'!$A$3:$A$3390,D$1,'United Data'!$C$3:$C$3390,$A1326)&gt;0,1,0)</f>
        <v>0</v>
      </c>
      <c r="E1326">
        <f>IF(COUNTIFS('United Data'!$A$3:$A$3390,E$1,'United Data'!$C$3:$C$3390,$A1326)&gt;0,1,0)</f>
        <v>1</v>
      </c>
      <c r="F1326">
        <f>IF(COUNTIFS('United Data'!$A$3:$A$3390,F$1,'United Data'!$C$3:$C$3390,$A1326)&gt;0,1,0)</f>
        <v>0</v>
      </c>
      <c r="G1326">
        <f>IF(COUNTIFS('United Data'!$A$3:$A$3390,G$1,'United Data'!$C$3:$C$3390,$A1326)&gt;0,1,0)</f>
        <v>0</v>
      </c>
      <c r="H1326">
        <f>IF(COUNTIFS('United Data'!$A$3:$A$3390,H$1,'United Data'!$C$3:$C$3390,$A1326)&gt;0,1,0)</f>
        <v>0</v>
      </c>
      <c r="I1326">
        <f>IF(COUNTIFS('United Data'!$A$3:$A$3390,I$1,'United Data'!$C$3:$C$3390,$A1326)&gt;0,1,0)</f>
        <v>0</v>
      </c>
      <c r="J1326">
        <f>IF(COUNTIFS('United Data'!$A$3:$A$3390,J$1,'United Data'!$C$3:$C$3390,$A1326)&gt;0,1,0)</f>
        <v>0</v>
      </c>
      <c r="K1326">
        <f>IF(COUNTIFS('United Data'!$A$3:$A$3390,K$1,'United Data'!$C$3:$C$3390,$A1326)&gt;0,1,0)</f>
        <v>0</v>
      </c>
      <c r="L1326">
        <f>IF(COUNTIFS('United Data'!$A$3:$A$3390,L$1,'United Data'!$C$3:$C$3390,$A1326)&gt;0,1,0)</f>
        <v>0</v>
      </c>
      <c r="M1326">
        <f>IF(COUNTIFS('United Data'!$A$3:$A$3390,M$1,'United Data'!$C$3:$C$3390,$A1326)&gt;0,1,0)</f>
        <v>0</v>
      </c>
      <c r="N1326">
        <f>IF(COUNTIFS('United Data'!$A$3:$A$3390,N$1,'United Data'!$C$3:$C$3390,$A1326)&gt;0,1,0)</f>
        <v>0</v>
      </c>
      <c r="O1326">
        <f>IF(COUNTIFS('United Data'!$A$3:$A$3390,O$1,'United Data'!$C$3:$C$3390,$A1326)&gt;0,1,0)</f>
        <v>0</v>
      </c>
      <c r="P1326">
        <f>IF(COUNTIFS('United Data'!$A$3:$A$3390,P$1,'United Data'!$C$3:$C$3390,$A1326)&gt;0,1,0)</f>
        <v>0</v>
      </c>
      <c r="Q1326">
        <f>IF(COUNTIFS('United Data'!$A$3:$A$3390,Q$1,'United Data'!$C$3:$C$3390,$A1326)&gt;0,1,0)</f>
        <v>0</v>
      </c>
      <c r="R1326">
        <f>IF(COUNTIFS('United Data'!$A$3:$A$3390,R$1,'United Data'!$C$3:$C$3390,$A1326)&gt;0,1,0)</f>
        <v>0</v>
      </c>
      <c r="S1326">
        <f t="shared" si="40"/>
        <v>1</v>
      </c>
      <c r="T1326">
        <f t="shared" si="41"/>
        <v>1</v>
      </c>
    </row>
    <row r="1327" spans="1:20" x14ac:dyDescent="0.2">
      <c r="A1327" t="s">
        <v>1567</v>
      </c>
      <c r="B1327">
        <f>IF(COUNTIFS('United Data'!$A$3:$A$3390,B$1,'United Data'!$C$3:$C$3390,$A1327)&gt;0,1,0)</f>
        <v>0</v>
      </c>
      <c r="C1327">
        <f>IF(COUNTIFS('United Data'!$A$3:$A$3390,C$1,'United Data'!$C$3:$C$3390,$A1327)&gt;0,1,0)</f>
        <v>0</v>
      </c>
      <c r="D1327">
        <f>IF(COUNTIFS('United Data'!$A$3:$A$3390,D$1,'United Data'!$C$3:$C$3390,$A1327)&gt;0,1,0)</f>
        <v>0</v>
      </c>
      <c r="E1327">
        <f>IF(COUNTIFS('United Data'!$A$3:$A$3390,E$1,'United Data'!$C$3:$C$3390,$A1327)&gt;0,1,0)</f>
        <v>0</v>
      </c>
      <c r="F1327">
        <f>IF(COUNTIFS('United Data'!$A$3:$A$3390,F$1,'United Data'!$C$3:$C$3390,$A1327)&gt;0,1,0)</f>
        <v>1</v>
      </c>
      <c r="G1327">
        <f>IF(COUNTIFS('United Data'!$A$3:$A$3390,G$1,'United Data'!$C$3:$C$3390,$A1327)&gt;0,1,0)</f>
        <v>0</v>
      </c>
      <c r="H1327">
        <f>IF(COUNTIFS('United Data'!$A$3:$A$3390,H$1,'United Data'!$C$3:$C$3390,$A1327)&gt;0,1,0)</f>
        <v>0</v>
      </c>
      <c r="I1327">
        <f>IF(COUNTIFS('United Data'!$A$3:$A$3390,I$1,'United Data'!$C$3:$C$3390,$A1327)&gt;0,1,0)</f>
        <v>0</v>
      </c>
      <c r="J1327">
        <f>IF(COUNTIFS('United Data'!$A$3:$A$3390,J$1,'United Data'!$C$3:$C$3390,$A1327)&gt;0,1,0)</f>
        <v>0</v>
      </c>
      <c r="K1327">
        <f>IF(COUNTIFS('United Data'!$A$3:$A$3390,K$1,'United Data'!$C$3:$C$3390,$A1327)&gt;0,1,0)</f>
        <v>0</v>
      </c>
      <c r="L1327">
        <f>IF(COUNTIFS('United Data'!$A$3:$A$3390,L$1,'United Data'!$C$3:$C$3390,$A1327)&gt;0,1,0)</f>
        <v>0</v>
      </c>
      <c r="M1327">
        <f>IF(COUNTIFS('United Data'!$A$3:$A$3390,M$1,'United Data'!$C$3:$C$3390,$A1327)&gt;0,1,0)</f>
        <v>0</v>
      </c>
      <c r="N1327">
        <f>IF(COUNTIFS('United Data'!$A$3:$A$3390,N$1,'United Data'!$C$3:$C$3390,$A1327)&gt;0,1,0)</f>
        <v>0</v>
      </c>
      <c r="O1327">
        <f>IF(COUNTIFS('United Data'!$A$3:$A$3390,O$1,'United Data'!$C$3:$C$3390,$A1327)&gt;0,1,0)</f>
        <v>0</v>
      </c>
      <c r="P1327">
        <f>IF(COUNTIFS('United Data'!$A$3:$A$3390,P$1,'United Data'!$C$3:$C$3390,$A1327)&gt;0,1,0)</f>
        <v>0</v>
      </c>
      <c r="Q1327">
        <f>IF(COUNTIFS('United Data'!$A$3:$A$3390,Q$1,'United Data'!$C$3:$C$3390,$A1327)&gt;0,1,0)</f>
        <v>0</v>
      </c>
      <c r="R1327">
        <f>IF(COUNTIFS('United Data'!$A$3:$A$3390,R$1,'United Data'!$C$3:$C$3390,$A1327)&gt;0,1,0)</f>
        <v>0</v>
      </c>
      <c r="S1327">
        <f t="shared" si="40"/>
        <v>1</v>
      </c>
      <c r="T1327">
        <f t="shared" si="41"/>
        <v>1</v>
      </c>
    </row>
    <row r="1328" spans="1:20" x14ac:dyDescent="0.2">
      <c r="A1328" t="s">
        <v>1568</v>
      </c>
      <c r="B1328">
        <f>IF(COUNTIFS('United Data'!$A$3:$A$3390,B$1,'United Data'!$C$3:$C$3390,$A1328)&gt;0,1,0)</f>
        <v>0</v>
      </c>
      <c r="C1328">
        <f>IF(COUNTIFS('United Data'!$A$3:$A$3390,C$1,'United Data'!$C$3:$C$3390,$A1328)&gt;0,1,0)</f>
        <v>0</v>
      </c>
      <c r="D1328">
        <f>IF(COUNTIFS('United Data'!$A$3:$A$3390,D$1,'United Data'!$C$3:$C$3390,$A1328)&gt;0,1,0)</f>
        <v>0</v>
      </c>
      <c r="E1328">
        <f>IF(COUNTIFS('United Data'!$A$3:$A$3390,E$1,'United Data'!$C$3:$C$3390,$A1328)&gt;0,1,0)</f>
        <v>0</v>
      </c>
      <c r="F1328">
        <f>IF(COUNTIFS('United Data'!$A$3:$A$3390,F$1,'United Data'!$C$3:$C$3390,$A1328)&gt;0,1,0)</f>
        <v>1</v>
      </c>
      <c r="G1328">
        <f>IF(COUNTIFS('United Data'!$A$3:$A$3390,G$1,'United Data'!$C$3:$C$3390,$A1328)&gt;0,1,0)</f>
        <v>0</v>
      </c>
      <c r="H1328">
        <f>IF(COUNTIFS('United Data'!$A$3:$A$3390,H$1,'United Data'!$C$3:$C$3390,$A1328)&gt;0,1,0)</f>
        <v>0</v>
      </c>
      <c r="I1328">
        <f>IF(COUNTIFS('United Data'!$A$3:$A$3390,I$1,'United Data'!$C$3:$C$3390,$A1328)&gt;0,1,0)</f>
        <v>0</v>
      </c>
      <c r="J1328">
        <f>IF(COUNTIFS('United Data'!$A$3:$A$3390,J$1,'United Data'!$C$3:$C$3390,$A1328)&gt;0,1,0)</f>
        <v>0</v>
      </c>
      <c r="K1328">
        <f>IF(COUNTIFS('United Data'!$A$3:$A$3390,K$1,'United Data'!$C$3:$C$3390,$A1328)&gt;0,1,0)</f>
        <v>0</v>
      </c>
      <c r="L1328">
        <f>IF(COUNTIFS('United Data'!$A$3:$A$3390,L$1,'United Data'!$C$3:$C$3390,$A1328)&gt;0,1,0)</f>
        <v>0</v>
      </c>
      <c r="M1328">
        <f>IF(COUNTIFS('United Data'!$A$3:$A$3390,M$1,'United Data'!$C$3:$C$3390,$A1328)&gt;0,1,0)</f>
        <v>0</v>
      </c>
      <c r="N1328">
        <f>IF(COUNTIFS('United Data'!$A$3:$A$3390,N$1,'United Data'!$C$3:$C$3390,$A1328)&gt;0,1,0)</f>
        <v>0</v>
      </c>
      <c r="O1328">
        <f>IF(COUNTIFS('United Data'!$A$3:$A$3390,O$1,'United Data'!$C$3:$C$3390,$A1328)&gt;0,1,0)</f>
        <v>0</v>
      </c>
      <c r="P1328">
        <f>IF(COUNTIFS('United Data'!$A$3:$A$3390,P$1,'United Data'!$C$3:$C$3390,$A1328)&gt;0,1,0)</f>
        <v>0</v>
      </c>
      <c r="Q1328">
        <f>IF(COUNTIFS('United Data'!$A$3:$A$3390,Q$1,'United Data'!$C$3:$C$3390,$A1328)&gt;0,1,0)</f>
        <v>0</v>
      </c>
      <c r="R1328">
        <f>IF(COUNTIFS('United Data'!$A$3:$A$3390,R$1,'United Data'!$C$3:$C$3390,$A1328)&gt;0,1,0)</f>
        <v>0</v>
      </c>
      <c r="S1328">
        <f t="shared" si="40"/>
        <v>1</v>
      </c>
      <c r="T1328">
        <f t="shared" si="41"/>
        <v>1</v>
      </c>
    </row>
    <row r="1329" spans="1:20" x14ac:dyDescent="0.2">
      <c r="A1329" t="s">
        <v>1569</v>
      </c>
      <c r="B1329">
        <f>IF(COUNTIFS('United Data'!$A$3:$A$3390,B$1,'United Data'!$C$3:$C$3390,$A1329)&gt;0,1,0)</f>
        <v>0</v>
      </c>
      <c r="C1329">
        <f>IF(COUNTIFS('United Data'!$A$3:$A$3390,C$1,'United Data'!$C$3:$C$3390,$A1329)&gt;0,1,0)</f>
        <v>0</v>
      </c>
      <c r="D1329">
        <f>IF(COUNTIFS('United Data'!$A$3:$A$3390,D$1,'United Data'!$C$3:$C$3390,$A1329)&gt;0,1,0)</f>
        <v>0</v>
      </c>
      <c r="E1329">
        <f>IF(COUNTIFS('United Data'!$A$3:$A$3390,E$1,'United Data'!$C$3:$C$3390,$A1329)&gt;0,1,0)</f>
        <v>0</v>
      </c>
      <c r="F1329">
        <f>IF(COUNTIFS('United Data'!$A$3:$A$3390,F$1,'United Data'!$C$3:$C$3390,$A1329)&gt;0,1,0)</f>
        <v>1</v>
      </c>
      <c r="G1329">
        <f>IF(COUNTIFS('United Data'!$A$3:$A$3390,G$1,'United Data'!$C$3:$C$3390,$A1329)&gt;0,1,0)</f>
        <v>0</v>
      </c>
      <c r="H1329">
        <f>IF(COUNTIFS('United Data'!$A$3:$A$3390,H$1,'United Data'!$C$3:$C$3390,$A1329)&gt;0,1,0)</f>
        <v>0</v>
      </c>
      <c r="I1329">
        <f>IF(COUNTIFS('United Data'!$A$3:$A$3390,I$1,'United Data'!$C$3:$C$3390,$A1329)&gt;0,1,0)</f>
        <v>0</v>
      </c>
      <c r="J1329">
        <f>IF(COUNTIFS('United Data'!$A$3:$A$3390,J$1,'United Data'!$C$3:$C$3390,$A1329)&gt;0,1,0)</f>
        <v>0</v>
      </c>
      <c r="K1329">
        <f>IF(COUNTIFS('United Data'!$A$3:$A$3390,K$1,'United Data'!$C$3:$C$3390,$A1329)&gt;0,1,0)</f>
        <v>0</v>
      </c>
      <c r="L1329">
        <f>IF(COUNTIFS('United Data'!$A$3:$A$3390,L$1,'United Data'!$C$3:$C$3390,$A1329)&gt;0,1,0)</f>
        <v>0</v>
      </c>
      <c r="M1329">
        <f>IF(COUNTIFS('United Data'!$A$3:$A$3390,M$1,'United Data'!$C$3:$C$3390,$A1329)&gt;0,1,0)</f>
        <v>0</v>
      </c>
      <c r="N1329">
        <f>IF(COUNTIFS('United Data'!$A$3:$A$3390,N$1,'United Data'!$C$3:$C$3390,$A1329)&gt;0,1,0)</f>
        <v>0</v>
      </c>
      <c r="O1329">
        <f>IF(COUNTIFS('United Data'!$A$3:$A$3390,O$1,'United Data'!$C$3:$C$3390,$A1329)&gt;0,1,0)</f>
        <v>0</v>
      </c>
      <c r="P1329">
        <f>IF(COUNTIFS('United Data'!$A$3:$A$3390,P$1,'United Data'!$C$3:$C$3390,$A1329)&gt;0,1,0)</f>
        <v>0</v>
      </c>
      <c r="Q1329">
        <f>IF(COUNTIFS('United Data'!$A$3:$A$3390,Q$1,'United Data'!$C$3:$C$3390,$A1329)&gt;0,1,0)</f>
        <v>0</v>
      </c>
      <c r="R1329">
        <f>IF(COUNTIFS('United Data'!$A$3:$A$3390,R$1,'United Data'!$C$3:$C$3390,$A1329)&gt;0,1,0)</f>
        <v>0</v>
      </c>
      <c r="S1329">
        <f t="shared" si="40"/>
        <v>1</v>
      </c>
      <c r="T1329">
        <f t="shared" si="41"/>
        <v>1</v>
      </c>
    </row>
    <row r="1330" spans="1:20" x14ac:dyDescent="0.2">
      <c r="A1330" t="s">
        <v>1570</v>
      </c>
      <c r="B1330">
        <f>IF(COUNTIFS('United Data'!$A$3:$A$3390,B$1,'United Data'!$C$3:$C$3390,$A1330)&gt;0,1,0)</f>
        <v>0</v>
      </c>
      <c r="C1330">
        <f>IF(COUNTIFS('United Data'!$A$3:$A$3390,C$1,'United Data'!$C$3:$C$3390,$A1330)&gt;0,1,0)</f>
        <v>0</v>
      </c>
      <c r="D1330">
        <f>IF(COUNTIFS('United Data'!$A$3:$A$3390,D$1,'United Data'!$C$3:$C$3390,$A1330)&gt;0,1,0)</f>
        <v>0</v>
      </c>
      <c r="E1330">
        <f>IF(COUNTIFS('United Data'!$A$3:$A$3390,E$1,'United Data'!$C$3:$C$3390,$A1330)&gt;0,1,0)</f>
        <v>0</v>
      </c>
      <c r="F1330">
        <f>IF(COUNTIFS('United Data'!$A$3:$A$3390,F$1,'United Data'!$C$3:$C$3390,$A1330)&gt;0,1,0)</f>
        <v>1</v>
      </c>
      <c r="G1330">
        <f>IF(COUNTIFS('United Data'!$A$3:$A$3390,G$1,'United Data'!$C$3:$C$3390,$A1330)&gt;0,1,0)</f>
        <v>1</v>
      </c>
      <c r="H1330">
        <f>IF(COUNTIFS('United Data'!$A$3:$A$3390,H$1,'United Data'!$C$3:$C$3390,$A1330)&gt;0,1,0)</f>
        <v>0</v>
      </c>
      <c r="I1330">
        <f>IF(COUNTIFS('United Data'!$A$3:$A$3390,I$1,'United Data'!$C$3:$C$3390,$A1330)&gt;0,1,0)</f>
        <v>0</v>
      </c>
      <c r="J1330">
        <f>IF(COUNTIFS('United Data'!$A$3:$A$3390,J$1,'United Data'!$C$3:$C$3390,$A1330)&gt;0,1,0)</f>
        <v>0</v>
      </c>
      <c r="K1330">
        <f>IF(COUNTIFS('United Data'!$A$3:$A$3390,K$1,'United Data'!$C$3:$C$3390,$A1330)&gt;0,1,0)</f>
        <v>0</v>
      </c>
      <c r="L1330">
        <f>IF(COUNTIFS('United Data'!$A$3:$A$3390,L$1,'United Data'!$C$3:$C$3390,$A1330)&gt;0,1,0)</f>
        <v>0</v>
      </c>
      <c r="M1330">
        <f>IF(COUNTIFS('United Data'!$A$3:$A$3390,M$1,'United Data'!$C$3:$C$3390,$A1330)&gt;0,1,0)</f>
        <v>0</v>
      </c>
      <c r="N1330">
        <f>IF(COUNTIFS('United Data'!$A$3:$A$3390,N$1,'United Data'!$C$3:$C$3390,$A1330)&gt;0,1,0)</f>
        <v>0</v>
      </c>
      <c r="O1330">
        <f>IF(COUNTIFS('United Data'!$A$3:$A$3390,O$1,'United Data'!$C$3:$C$3390,$A1330)&gt;0,1,0)</f>
        <v>0</v>
      </c>
      <c r="P1330">
        <f>IF(COUNTIFS('United Data'!$A$3:$A$3390,P$1,'United Data'!$C$3:$C$3390,$A1330)&gt;0,1,0)</f>
        <v>0</v>
      </c>
      <c r="Q1330">
        <f>IF(COUNTIFS('United Data'!$A$3:$A$3390,Q$1,'United Data'!$C$3:$C$3390,$A1330)&gt;0,1,0)</f>
        <v>0</v>
      </c>
      <c r="R1330">
        <f>IF(COUNTIFS('United Data'!$A$3:$A$3390,R$1,'United Data'!$C$3:$C$3390,$A1330)&gt;0,1,0)</f>
        <v>0</v>
      </c>
      <c r="S1330">
        <f t="shared" si="40"/>
        <v>2</v>
      </c>
      <c r="T1330">
        <f t="shared" si="41"/>
        <v>1</v>
      </c>
    </row>
    <row r="1331" spans="1:20" x14ac:dyDescent="0.2">
      <c r="A1331" t="s">
        <v>1571</v>
      </c>
      <c r="B1331">
        <f>IF(COUNTIFS('United Data'!$A$3:$A$3390,B$1,'United Data'!$C$3:$C$3390,$A1331)&gt;0,1,0)</f>
        <v>0</v>
      </c>
      <c r="C1331">
        <f>IF(COUNTIFS('United Data'!$A$3:$A$3390,C$1,'United Data'!$C$3:$C$3390,$A1331)&gt;0,1,0)</f>
        <v>0</v>
      </c>
      <c r="D1331">
        <f>IF(COUNTIFS('United Data'!$A$3:$A$3390,D$1,'United Data'!$C$3:$C$3390,$A1331)&gt;0,1,0)</f>
        <v>0</v>
      </c>
      <c r="E1331">
        <f>IF(COUNTIFS('United Data'!$A$3:$A$3390,E$1,'United Data'!$C$3:$C$3390,$A1331)&gt;0,1,0)</f>
        <v>0</v>
      </c>
      <c r="F1331">
        <f>IF(COUNTIFS('United Data'!$A$3:$A$3390,F$1,'United Data'!$C$3:$C$3390,$A1331)&gt;0,1,0)</f>
        <v>1</v>
      </c>
      <c r="G1331">
        <f>IF(COUNTIFS('United Data'!$A$3:$A$3390,G$1,'United Data'!$C$3:$C$3390,$A1331)&gt;0,1,0)</f>
        <v>0</v>
      </c>
      <c r="H1331">
        <f>IF(COUNTIFS('United Data'!$A$3:$A$3390,H$1,'United Data'!$C$3:$C$3390,$A1331)&gt;0,1,0)</f>
        <v>0</v>
      </c>
      <c r="I1331">
        <f>IF(COUNTIFS('United Data'!$A$3:$A$3390,I$1,'United Data'!$C$3:$C$3390,$A1331)&gt;0,1,0)</f>
        <v>0</v>
      </c>
      <c r="J1331">
        <f>IF(COUNTIFS('United Data'!$A$3:$A$3390,J$1,'United Data'!$C$3:$C$3390,$A1331)&gt;0,1,0)</f>
        <v>0</v>
      </c>
      <c r="K1331">
        <f>IF(COUNTIFS('United Data'!$A$3:$A$3390,K$1,'United Data'!$C$3:$C$3390,$A1331)&gt;0,1,0)</f>
        <v>1</v>
      </c>
      <c r="L1331">
        <f>IF(COUNTIFS('United Data'!$A$3:$A$3390,L$1,'United Data'!$C$3:$C$3390,$A1331)&gt;0,1,0)</f>
        <v>1</v>
      </c>
      <c r="M1331">
        <f>IF(COUNTIFS('United Data'!$A$3:$A$3390,M$1,'United Data'!$C$3:$C$3390,$A1331)&gt;0,1,0)</f>
        <v>0</v>
      </c>
      <c r="N1331">
        <f>IF(COUNTIFS('United Data'!$A$3:$A$3390,N$1,'United Data'!$C$3:$C$3390,$A1331)&gt;0,1,0)</f>
        <v>0</v>
      </c>
      <c r="O1331">
        <f>IF(COUNTIFS('United Data'!$A$3:$A$3390,O$1,'United Data'!$C$3:$C$3390,$A1331)&gt;0,1,0)</f>
        <v>0</v>
      </c>
      <c r="P1331">
        <f>IF(COUNTIFS('United Data'!$A$3:$A$3390,P$1,'United Data'!$C$3:$C$3390,$A1331)&gt;0,1,0)</f>
        <v>0</v>
      </c>
      <c r="Q1331">
        <f>IF(COUNTIFS('United Data'!$A$3:$A$3390,Q$1,'United Data'!$C$3:$C$3390,$A1331)&gt;0,1,0)</f>
        <v>0</v>
      </c>
      <c r="R1331">
        <f>IF(COUNTIFS('United Data'!$A$3:$A$3390,R$1,'United Data'!$C$3:$C$3390,$A1331)&gt;0,1,0)</f>
        <v>0</v>
      </c>
      <c r="S1331">
        <f t="shared" si="40"/>
        <v>3</v>
      </c>
      <c r="T1331">
        <f t="shared" si="41"/>
        <v>2</v>
      </c>
    </row>
    <row r="1332" spans="1:20" x14ac:dyDescent="0.2">
      <c r="A1332" t="s">
        <v>1572</v>
      </c>
      <c r="B1332">
        <f>IF(COUNTIFS('United Data'!$A$3:$A$3390,B$1,'United Data'!$C$3:$C$3390,$A1332)&gt;0,1,0)</f>
        <v>0</v>
      </c>
      <c r="C1332">
        <f>IF(COUNTIFS('United Data'!$A$3:$A$3390,C$1,'United Data'!$C$3:$C$3390,$A1332)&gt;0,1,0)</f>
        <v>0</v>
      </c>
      <c r="D1332">
        <f>IF(COUNTIFS('United Data'!$A$3:$A$3390,D$1,'United Data'!$C$3:$C$3390,$A1332)&gt;0,1,0)</f>
        <v>0</v>
      </c>
      <c r="E1332">
        <f>IF(COUNTIFS('United Data'!$A$3:$A$3390,E$1,'United Data'!$C$3:$C$3390,$A1332)&gt;0,1,0)</f>
        <v>0</v>
      </c>
      <c r="F1332">
        <f>IF(COUNTIFS('United Data'!$A$3:$A$3390,F$1,'United Data'!$C$3:$C$3390,$A1332)&gt;0,1,0)</f>
        <v>0</v>
      </c>
      <c r="G1332">
        <f>IF(COUNTIFS('United Data'!$A$3:$A$3390,G$1,'United Data'!$C$3:$C$3390,$A1332)&gt;0,1,0)</f>
        <v>1</v>
      </c>
      <c r="H1332">
        <f>IF(COUNTIFS('United Data'!$A$3:$A$3390,H$1,'United Data'!$C$3:$C$3390,$A1332)&gt;0,1,0)</f>
        <v>0</v>
      </c>
      <c r="I1332">
        <f>IF(COUNTIFS('United Data'!$A$3:$A$3390,I$1,'United Data'!$C$3:$C$3390,$A1332)&gt;0,1,0)</f>
        <v>0</v>
      </c>
      <c r="J1332">
        <f>IF(COUNTIFS('United Data'!$A$3:$A$3390,J$1,'United Data'!$C$3:$C$3390,$A1332)&gt;0,1,0)</f>
        <v>0</v>
      </c>
      <c r="K1332">
        <f>IF(COUNTIFS('United Data'!$A$3:$A$3390,K$1,'United Data'!$C$3:$C$3390,$A1332)&gt;0,1,0)</f>
        <v>0</v>
      </c>
      <c r="L1332">
        <f>IF(COUNTIFS('United Data'!$A$3:$A$3390,L$1,'United Data'!$C$3:$C$3390,$A1332)&gt;0,1,0)</f>
        <v>0</v>
      </c>
      <c r="M1332">
        <f>IF(COUNTIFS('United Data'!$A$3:$A$3390,M$1,'United Data'!$C$3:$C$3390,$A1332)&gt;0,1,0)</f>
        <v>0</v>
      </c>
      <c r="N1332">
        <f>IF(COUNTIFS('United Data'!$A$3:$A$3390,N$1,'United Data'!$C$3:$C$3390,$A1332)&gt;0,1,0)</f>
        <v>0</v>
      </c>
      <c r="O1332">
        <f>IF(COUNTIFS('United Data'!$A$3:$A$3390,O$1,'United Data'!$C$3:$C$3390,$A1332)&gt;0,1,0)</f>
        <v>0</v>
      </c>
      <c r="P1332">
        <f>IF(COUNTIFS('United Data'!$A$3:$A$3390,P$1,'United Data'!$C$3:$C$3390,$A1332)&gt;0,1,0)</f>
        <v>0</v>
      </c>
      <c r="Q1332">
        <f>IF(COUNTIFS('United Data'!$A$3:$A$3390,Q$1,'United Data'!$C$3:$C$3390,$A1332)&gt;0,1,0)</f>
        <v>0</v>
      </c>
      <c r="R1332">
        <f>IF(COUNTIFS('United Data'!$A$3:$A$3390,R$1,'United Data'!$C$3:$C$3390,$A1332)&gt;0,1,0)</f>
        <v>0</v>
      </c>
      <c r="S1332">
        <f t="shared" si="40"/>
        <v>1</v>
      </c>
      <c r="T1332">
        <f t="shared" si="41"/>
        <v>1</v>
      </c>
    </row>
    <row r="1333" spans="1:20" x14ac:dyDescent="0.2">
      <c r="A1333" t="s">
        <v>1573</v>
      </c>
      <c r="B1333">
        <f>IF(COUNTIFS('United Data'!$A$3:$A$3390,B$1,'United Data'!$C$3:$C$3390,$A1333)&gt;0,1,0)</f>
        <v>0</v>
      </c>
      <c r="C1333">
        <f>IF(COUNTIFS('United Data'!$A$3:$A$3390,C$1,'United Data'!$C$3:$C$3390,$A1333)&gt;0,1,0)</f>
        <v>0</v>
      </c>
      <c r="D1333">
        <f>IF(COUNTIFS('United Data'!$A$3:$A$3390,D$1,'United Data'!$C$3:$C$3390,$A1333)&gt;0,1,0)</f>
        <v>0</v>
      </c>
      <c r="E1333">
        <f>IF(COUNTIFS('United Data'!$A$3:$A$3390,E$1,'United Data'!$C$3:$C$3390,$A1333)&gt;0,1,0)</f>
        <v>0</v>
      </c>
      <c r="F1333">
        <f>IF(COUNTIFS('United Data'!$A$3:$A$3390,F$1,'United Data'!$C$3:$C$3390,$A1333)&gt;0,1,0)</f>
        <v>0</v>
      </c>
      <c r="G1333">
        <f>IF(COUNTIFS('United Data'!$A$3:$A$3390,G$1,'United Data'!$C$3:$C$3390,$A1333)&gt;0,1,0)</f>
        <v>1</v>
      </c>
      <c r="H1333">
        <f>IF(COUNTIFS('United Data'!$A$3:$A$3390,H$1,'United Data'!$C$3:$C$3390,$A1333)&gt;0,1,0)</f>
        <v>0</v>
      </c>
      <c r="I1333">
        <f>IF(COUNTIFS('United Data'!$A$3:$A$3390,I$1,'United Data'!$C$3:$C$3390,$A1333)&gt;0,1,0)</f>
        <v>0</v>
      </c>
      <c r="J1333">
        <f>IF(COUNTIFS('United Data'!$A$3:$A$3390,J$1,'United Data'!$C$3:$C$3390,$A1333)&gt;0,1,0)</f>
        <v>0</v>
      </c>
      <c r="K1333">
        <f>IF(COUNTIFS('United Data'!$A$3:$A$3390,K$1,'United Data'!$C$3:$C$3390,$A1333)&gt;0,1,0)</f>
        <v>0</v>
      </c>
      <c r="L1333">
        <f>IF(COUNTIFS('United Data'!$A$3:$A$3390,L$1,'United Data'!$C$3:$C$3390,$A1333)&gt;0,1,0)</f>
        <v>0</v>
      </c>
      <c r="M1333">
        <f>IF(COUNTIFS('United Data'!$A$3:$A$3390,M$1,'United Data'!$C$3:$C$3390,$A1333)&gt;0,1,0)</f>
        <v>0</v>
      </c>
      <c r="N1333">
        <f>IF(COUNTIFS('United Data'!$A$3:$A$3390,N$1,'United Data'!$C$3:$C$3390,$A1333)&gt;0,1,0)</f>
        <v>0</v>
      </c>
      <c r="O1333">
        <f>IF(COUNTIFS('United Data'!$A$3:$A$3390,O$1,'United Data'!$C$3:$C$3390,$A1333)&gt;0,1,0)</f>
        <v>0</v>
      </c>
      <c r="P1333">
        <f>IF(COUNTIFS('United Data'!$A$3:$A$3390,P$1,'United Data'!$C$3:$C$3390,$A1333)&gt;0,1,0)</f>
        <v>0</v>
      </c>
      <c r="Q1333">
        <f>IF(COUNTIFS('United Data'!$A$3:$A$3390,Q$1,'United Data'!$C$3:$C$3390,$A1333)&gt;0,1,0)</f>
        <v>0</v>
      </c>
      <c r="R1333">
        <f>IF(COUNTIFS('United Data'!$A$3:$A$3390,R$1,'United Data'!$C$3:$C$3390,$A1333)&gt;0,1,0)</f>
        <v>0</v>
      </c>
      <c r="S1333">
        <f t="shared" si="40"/>
        <v>1</v>
      </c>
      <c r="T1333">
        <f t="shared" si="41"/>
        <v>1</v>
      </c>
    </row>
    <row r="1334" spans="1:20" x14ac:dyDescent="0.2">
      <c r="A1334" t="s">
        <v>1574</v>
      </c>
      <c r="B1334">
        <f>IF(COUNTIFS('United Data'!$A$3:$A$3390,B$1,'United Data'!$C$3:$C$3390,$A1334)&gt;0,1,0)</f>
        <v>0</v>
      </c>
      <c r="C1334">
        <f>IF(COUNTIFS('United Data'!$A$3:$A$3390,C$1,'United Data'!$C$3:$C$3390,$A1334)&gt;0,1,0)</f>
        <v>0</v>
      </c>
      <c r="D1334">
        <f>IF(COUNTIFS('United Data'!$A$3:$A$3390,D$1,'United Data'!$C$3:$C$3390,$A1334)&gt;0,1,0)</f>
        <v>0</v>
      </c>
      <c r="E1334">
        <f>IF(COUNTIFS('United Data'!$A$3:$A$3390,E$1,'United Data'!$C$3:$C$3390,$A1334)&gt;0,1,0)</f>
        <v>0</v>
      </c>
      <c r="F1334">
        <f>IF(COUNTIFS('United Data'!$A$3:$A$3390,F$1,'United Data'!$C$3:$C$3390,$A1334)&gt;0,1,0)</f>
        <v>0</v>
      </c>
      <c r="G1334">
        <f>IF(COUNTIFS('United Data'!$A$3:$A$3390,G$1,'United Data'!$C$3:$C$3390,$A1334)&gt;0,1,0)</f>
        <v>0</v>
      </c>
      <c r="H1334">
        <f>IF(COUNTIFS('United Data'!$A$3:$A$3390,H$1,'United Data'!$C$3:$C$3390,$A1334)&gt;0,1,0)</f>
        <v>1</v>
      </c>
      <c r="I1334">
        <f>IF(COUNTIFS('United Data'!$A$3:$A$3390,I$1,'United Data'!$C$3:$C$3390,$A1334)&gt;0,1,0)</f>
        <v>0</v>
      </c>
      <c r="J1334">
        <f>IF(COUNTIFS('United Data'!$A$3:$A$3390,J$1,'United Data'!$C$3:$C$3390,$A1334)&gt;0,1,0)</f>
        <v>0</v>
      </c>
      <c r="K1334">
        <f>IF(COUNTIFS('United Data'!$A$3:$A$3390,K$1,'United Data'!$C$3:$C$3390,$A1334)&gt;0,1,0)</f>
        <v>0</v>
      </c>
      <c r="L1334">
        <f>IF(COUNTIFS('United Data'!$A$3:$A$3390,L$1,'United Data'!$C$3:$C$3390,$A1334)&gt;0,1,0)</f>
        <v>1</v>
      </c>
      <c r="M1334">
        <f>IF(COUNTIFS('United Data'!$A$3:$A$3390,M$1,'United Data'!$C$3:$C$3390,$A1334)&gt;0,1,0)</f>
        <v>0</v>
      </c>
      <c r="N1334">
        <f>IF(COUNTIFS('United Data'!$A$3:$A$3390,N$1,'United Data'!$C$3:$C$3390,$A1334)&gt;0,1,0)</f>
        <v>0</v>
      </c>
      <c r="O1334">
        <f>IF(COUNTIFS('United Data'!$A$3:$A$3390,O$1,'United Data'!$C$3:$C$3390,$A1334)&gt;0,1,0)</f>
        <v>0</v>
      </c>
      <c r="P1334">
        <f>IF(COUNTIFS('United Data'!$A$3:$A$3390,P$1,'United Data'!$C$3:$C$3390,$A1334)&gt;0,1,0)</f>
        <v>0</v>
      </c>
      <c r="Q1334">
        <f>IF(COUNTIFS('United Data'!$A$3:$A$3390,Q$1,'United Data'!$C$3:$C$3390,$A1334)&gt;0,1,0)</f>
        <v>0</v>
      </c>
      <c r="R1334">
        <f>IF(COUNTIFS('United Data'!$A$3:$A$3390,R$1,'United Data'!$C$3:$C$3390,$A1334)&gt;0,1,0)</f>
        <v>0</v>
      </c>
      <c r="S1334">
        <f t="shared" si="40"/>
        <v>2</v>
      </c>
      <c r="T1334">
        <f t="shared" si="41"/>
        <v>2</v>
      </c>
    </row>
    <row r="1335" spans="1:20" x14ac:dyDescent="0.2">
      <c r="A1335" t="s">
        <v>1575</v>
      </c>
      <c r="B1335">
        <f>IF(COUNTIFS('United Data'!$A$3:$A$3390,B$1,'United Data'!$C$3:$C$3390,$A1335)&gt;0,1,0)</f>
        <v>0</v>
      </c>
      <c r="C1335">
        <f>IF(COUNTIFS('United Data'!$A$3:$A$3390,C$1,'United Data'!$C$3:$C$3390,$A1335)&gt;0,1,0)</f>
        <v>0</v>
      </c>
      <c r="D1335">
        <f>IF(COUNTIFS('United Data'!$A$3:$A$3390,D$1,'United Data'!$C$3:$C$3390,$A1335)&gt;0,1,0)</f>
        <v>0</v>
      </c>
      <c r="E1335">
        <f>IF(COUNTIFS('United Data'!$A$3:$A$3390,E$1,'United Data'!$C$3:$C$3390,$A1335)&gt;0,1,0)</f>
        <v>0</v>
      </c>
      <c r="F1335">
        <f>IF(COUNTIFS('United Data'!$A$3:$A$3390,F$1,'United Data'!$C$3:$C$3390,$A1335)&gt;0,1,0)</f>
        <v>0</v>
      </c>
      <c r="G1335">
        <f>IF(COUNTIFS('United Data'!$A$3:$A$3390,G$1,'United Data'!$C$3:$C$3390,$A1335)&gt;0,1,0)</f>
        <v>0</v>
      </c>
      <c r="H1335">
        <f>IF(COUNTIFS('United Data'!$A$3:$A$3390,H$1,'United Data'!$C$3:$C$3390,$A1335)&gt;0,1,0)</f>
        <v>1</v>
      </c>
      <c r="I1335">
        <f>IF(COUNTIFS('United Data'!$A$3:$A$3390,I$1,'United Data'!$C$3:$C$3390,$A1335)&gt;0,1,0)</f>
        <v>1</v>
      </c>
      <c r="J1335">
        <f>IF(COUNTIFS('United Data'!$A$3:$A$3390,J$1,'United Data'!$C$3:$C$3390,$A1335)&gt;0,1,0)</f>
        <v>0</v>
      </c>
      <c r="K1335">
        <f>IF(COUNTIFS('United Data'!$A$3:$A$3390,K$1,'United Data'!$C$3:$C$3390,$A1335)&gt;0,1,0)</f>
        <v>0</v>
      </c>
      <c r="L1335">
        <f>IF(COUNTIFS('United Data'!$A$3:$A$3390,L$1,'United Data'!$C$3:$C$3390,$A1335)&gt;0,1,0)</f>
        <v>1</v>
      </c>
      <c r="M1335">
        <f>IF(COUNTIFS('United Data'!$A$3:$A$3390,M$1,'United Data'!$C$3:$C$3390,$A1335)&gt;0,1,0)</f>
        <v>0</v>
      </c>
      <c r="N1335">
        <f>IF(COUNTIFS('United Data'!$A$3:$A$3390,N$1,'United Data'!$C$3:$C$3390,$A1335)&gt;0,1,0)</f>
        <v>0</v>
      </c>
      <c r="O1335">
        <f>IF(COUNTIFS('United Data'!$A$3:$A$3390,O$1,'United Data'!$C$3:$C$3390,$A1335)&gt;0,1,0)</f>
        <v>0</v>
      </c>
      <c r="P1335">
        <f>IF(COUNTIFS('United Data'!$A$3:$A$3390,P$1,'United Data'!$C$3:$C$3390,$A1335)&gt;0,1,0)</f>
        <v>0</v>
      </c>
      <c r="Q1335">
        <f>IF(COUNTIFS('United Data'!$A$3:$A$3390,Q$1,'United Data'!$C$3:$C$3390,$A1335)&gt;0,1,0)</f>
        <v>0</v>
      </c>
      <c r="R1335">
        <f>IF(COUNTIFS('United Data'!$A$3:$A$3390,R$1,'United Data'!$C$3:$C$3390,$A1335)&gt;0,1,0)</f>
        <v>0</v>
      </c>
      <c r="S1335">
        <f t="shared" si="40"/>
        <v>3</v>
      </c>
      <c r="T1335">
        <f t="shared" si="41"/>
        <v>2</v>
      </c>
    </row>
    <row r="1336" spans="1:20" x14ac:dyDescent="0.2">
      <c r="A1336" t="s">
        <v>1576</v>
      </c>
      <c r="B1336">
        <f>IF(COUNTIFS('United Data'!$A$3:$A$3390,B$1,'United Data'!$C$3:$C$3390,$A1336)&gt;0,1,0)</f>
        <v>0</v>
      </c>
      <c r="C1336">
        <f>IF(COUNTIFS('United Data'!$A$3:$A$3390,C$1,'United Data'!$C$3:$C$3390,$A1336)&gt;0,1,0)</f>
        <v>0</v>
      </c>
      <c r="D1336">
        <f>IF(COUNTIFS('United Data'!$A$3:$A$3390,D$1,'United Data'!$C$3:$C$3390,$A1336)&gt;0,1,0)</f>
        <v>0</v>
      </c>
      <c r="E1336">
        <f>IF(COUNTIFS('United Data'!$A$3:$A$3390,E$1,'United Data'!$C$3:$C$3390,$A1336)&gt;0,1,0)</f>
        <v>0</v>
      </c>
      <c r="F1336">
        <f>IF(COUNTIFS('United Data'!$A$3:$A$3390,F$1,'United Data'!$C$3:$C$3390,$A1336)&gt;0,1,0)</f>
        <v>0</v>
      </c>
      <c r="G1336">
        <f>IF(COUNTIFS('United Data'!$A$3:$A$3390,G$1,'United Data'!$C$3:$C$3390,$A1336)&gt;0,1,0)</f>
        <v>0</v>
      </c>
      <c r="H1336">
        <f>IF(COUNTIFS('United Data'!$A$3:$A$3390,H$1,'United Data'!$C$3:$C$3390,$A1336)&gt;0,1,0)</f>
        <v>1</v>
      </c>
      <c r="I1336">
        <f>IF(COUNTIFS('United Data'!$A$3:$A$3390,I$1,'United Data'!$C$3:$C$3390,$A1336)&gt;0,1,0)</f>
        <v>0</v>
      </c>
      <c r="J1336">
        <f>IF(COUNTIFS('United Data'!$A$3:$A$3390,J$1,'United Data'!$C$3:$C$3390,$A1336)&gt;0,1,0)</f>
        <v>0</v>
      </c>
      <c r="K1336">
        <f>IF(COUNTIFS('United Data'!$A$3:$A$3390,K$1,'United Data'!$C$3:$C$3390,$A1336)&gt;0,1,0)</f>
        <v>0</v>
      </c>
      <c r="L1336">
        <f>IF(COUNTIFS('United Data'!$A$3:$A$3390,L$1,'United Data'!$C$3:$C$3390,$A1336)&gt;0,1,0)</f>
        <v>0</v>
      </c>
      <c r="M1336">
        <f>IF(COUNTIFS('United Data'!$A$3:$A$3390,M$1,'United Data'!$C$3:$C$3390,$A1336)&gt;0,1,0)</f>
        <v>0</v>
      </c>
      <c r="N1336">
        <f>IF(COUNTIFS('United Data'!$A$3:$A$3390,N$1,'United Data'!$C$3:$C$3390,$A1336)&gt;0,1,0)</f>
        <v>0</v>
      </c>
      <c r="O1336">
        <f>IF(COUNTIFS('United Data'!$A$3:$A$3390,O$1,'United Data'!$C$3:$C$3390,$A1336)&gt;0,1,0)</f>
        <v>0</v>
      </c>
      <c r="P1336">
        <f>IF(COUNTIFS('United Data'!$A$3:$A$3390,P$1,'United Data'!$C$3:$C$3390,$A1336)&gt;0,1,0)</f>
        <v>0</v>
      </c>
      <c r="Q1336">
        <f>IF(COUNTIFS('United Data'!$A$3:$A$3390,Q$1,'United Data'!$C$3:$C$3390,$A1336)&gt;0,1,0)</f>
        <v>0</v>
      </c>
      <c r="R1336">
        <f>IF(COUNTIFS('United Data'!$A$3:$A$3390,R$1,'United Data'!$C$3:$C$3390,$A1336)&gt;0,1,0)</f>
        <v>0</v>
      </c>
      <c r="S1336">
        <f t="shared" si="40"/>
        <v>1</v>
      </c>
      <c r="T1336">
        <f t="shared" si="41"/>
        <v>1</v>
      </c>
    </row>
    <row r="1337" spans="1:20" x14ac:dyDescent="0.2">
      <c r="A1337" t="s">
        <v>1577</v>
      </c>
      <c r="B1337">
        <f>IF(COUNTIFS('United Data'!$A$3:$A$3390,B$1,'United Data'!$C$3:$C$3390,$A1337)&gt;0,1,0)</f>
        <v>0</v>
      </c>
      <c r="C1337">
        <f>IF(COUNTIFS('United Data'!$A$3:$A$3390,C$1,'United Data'!$C$3:$C$3390,$A1337)&gt;0,1,0)</f>
        <v>0</v>
      </c>
      <c r="D1337">
        <f>IF(COUNTIFS('United Data'!$A$3:$A$3390,D$1,'United Data'!$C$3:$C$3390,$A1337)&gt;0,1,0)</f>
        <v>0</v>
      </c>
      <c r="E1337">
        <f>IF(COUNTIFS('United Data'!$A$3:$A$3390,E$1,'United Data'!$C$3:$C$3390,$A1337)&gt;0,1,0)</f>
        <v>0</v>
      </c>
      <c r="F1337">
        <f>IF(COUNTIFS('United Data'!$A$3:$A$3390,F$1,'United Data'!$C$3:$C$3390,$A1337)&gt;0,1,0)</f>
        <v>0</v>
      </c>
      <c r="G1337">
        <f>IF(COUNTIFS('United Data'!$A$3:$A$3390,G$1,'United Data'!$C$3:$C$3390,$A1337)&gt;0,1,0)</f>
        <v>0</v>
      </c>
      <c r="H1337">
        <f>IF(COUNTIFS('United Data'!$A$3:$A$3390,H$1,'United Data'!$C$3:$C$3390,$A1337)&gt;0,1,0)</f>
        <v>0</v>
      </c>
      <c r="I1337">
        <f>IF(COUNTIFS('United Data'!$A$3:$A$3390,I$1,'United Data'!$C$3:$C$3390,$A1337)&gt;0,1,0)</f>
        <v>1</v>
      </c>
      <c r="J1337">
        <f>IF(COUNTIFS('United Data'!$A$3:$A$3390,J$1,'United Data'!$C$3:$C$3390,$A1337)&gt;0,1,0)</f>
        <v>0</v>
      </c>
      <c r="K1337">
        <f>IF(COUNTIFS('United Data'!$A$3:$A$3390,K$1,'United Data'!$C$3:$C$3390,$A1337)&gt;0,1,0)</f>
        <v>0</v>
      </c>
      <c r="L1337">
        <f>IF(COUNTIFS('United Data'!$A$3:$A$3390,L$1,'United Data'!$C$3:$C$3390,$A1337)&gt;0,1,0)</f>
        <v>0</v>
      </c>
      <c r="M1337">
        <f>IF(COUNTIFS('United Data'!$A$3:$A$3390,M$1,'United Data'!$C$3:$C$3390,$A1337)&gt;0,1,0)</f>
        <v>0</v>
      </c>
      <c r="N1337">
        <f>IF(COUNTIFS('United Data'!$A$3:$A$3390,N$1,'United Data'!$C$3:$C$3390,$A1337)&gt;0,1,0)</f>
        <v>0</v>
      </c>
      <c r="O1337">
        <f>IF(COUNTIFS('United Data'!$A$3:$A$3390,O$1,'United Data'!$C$3:$C$3390,$A1337)&gt;0,1,0)</f>
        <v>0</v>
      </c>
      <c r="P1337">
        <f>IF(COUNTIFS('United Data'!$A$3:$A$3390,P$1,'United Data'!$C$3:$C$3390,$A1337)&gt;0,1,0)</f>
        <v>0</v>
      </c>
      <c r="Q1337">
        <f>IF(COUNTIFS('United Data'!$A$3:$A$3390,Q$1,'United Data'!$C$3:$C$3390,$A1337)&gt;0,1,0)</f>
        <v>0</v>
      </c>
      <c r="R1337">
        <f>IF(COUNTIFS('United Data'!$A$3:$A$3390,R$1,'United Data'!$C$3:$C$3390,$A1337)&gt;0,1,0)</f>
        <v>0</v>
      </c>
      <c r="S1337">
        <f t="shared" si="40"/>
        <v>1</v>
      </c>
      <c r="T1337">
        <f t="shared" si="41"/>
        <v>1</v>
      </c>
    </row>
    <row r="1338" spans="1:20" x14ac:dyDescent="0.2">
      <c r="A1338" t="s">
        <v>1578</v>
      </c>
      <c r="B1338">
        <f>IF(COUNTIFS('United Data'!$A$3:$A$3390,B$1,'United Data'!$C$3:$C$3390,$A1338)&gt;0,1,0)</f>
        <v>0</v>
      </c>
      <c r="C1338">
        <f>IF(COUNTIFS('United Data'!$A$3:$A$3390,C$1,'United Data'!$C$3:$C$3390,$A1338)&gt;0,1,0)</f>
        <v>0</v>
      </c>
      <c r="D1338">
        <f>IF(COUNTIFS('United Data'!$A$3:$A$3390,D$1,'United Data'!$C$3:$C$3390,$A1338)&gt;0,1,0)</f>
        <v>0</v>
      </c>
      <c r="E1338">
        <f>IF(COUNTIFS('United Data'!$A$3:$A$3390,E$1,'United Data'!$C$3:$C$3390,$A1338)&gt;0,1,0)</f>
        <v>0</v>
      </c>
      <c r="F1338">
        <f>IF(COUNTIFS('United Data'!$A$3:$A$3390,F$1,'United Data'!$C$3:$C$3390,$A1338)&gt;0,1,0)</f>
        <v>0</v>
      </c>
      <c r="G1338">
        <f>IF(COUNTIFS('United Data'!$A$3:$A$3390,G$1,'United Data'!$C$3:$C$3390,$A1338)&gt;0,1,0)</f>
        <v>0</v>
      </c>
      <c r="H1338">
        <f>IF(COUNTIFS('United Data'!$A$3:$A$3390,H$1,'United Data'!$C$3:$C$3390,$A1338)&gt;0,1,0)</f>
        <v>0</v>
      </c>
      <c r="I1338">
        <f>IF(COUNTIFS('United Data'!$A$3:$A$3390,I$1,'United Data'!$C$3:$C$3390,$A1338)&gt;0,1,0)</f>
        <v>1</v>
      </c>
      <c r="J1338">
        <f>IF(COUNTIFS('United Data'!$A$3:$A$3390,J$1,'United Data'!$C$3:$C$3390,$A1338)&gt;0,1,0)</f>
        <v>1</v>
      </c>
      <c r="K1338">
        <f>IF(COUNTIFS('United Data'!$A$3:$A$3390,K$1,'United Data'!$C$3:$C$3390,$A1338)&gt;0,1,0)</f>
        <v>0</v>
      </c>
      <c r="L1338">
        <f>IF(COUNTIFS('United Data'!$A$3:$A$3390,L$1,'United Data'!$C$3:$C$3390,$A1338)&gt;0,1,0)</f>
        <v>0</v>
      </c>
      <c r="M1338">
        <f>IF(COUNTIFS('United Data'!$A$3:$A$3390,M$1,'United Data'!$C$3:$C$3390,$A1338)&gt;0,1,0)</f>
        <v>0</v>
      </c>
      <c r="N1338">
        <f>IF(COUNTIFS('United Data'!$A$3:$A$3390,N$1,'United Data'!$C$3:$C$3390,$A1338)&gt;0,1,0)</f>
        <v>0</v>
      </c>
      <c r="O1338">
        <f>IF(COUNTIFS('United Data'!$A$3:$A$3390,O$1,'United Data'!$C$3:$C$3390,$A1338)&gt;0,1,0)</f>
        <v>0</v>
      </c>
      <c r="P1338">
        <f>IF(COUNTIFS('United Data'!$A$3:$A$3390,P$1,'United Data'!$C$3:$C$3390,$A1338)&gt;0,1,0)</f>
        <v>0</v>
      </c>
      <c r="Q1338">
        <f>IF(COUNTIFS('United Data'!$A$3:$A$3390,Q$1,'United Data'!$C$3:$C$3390,$A1338)&gt;0,1,0)</f>
        <v>0</v>
      </c>
      <c r="R1338">
        <f>IF(COUNTIFS('United Data'!$A$3:$A$3390,R$1,'United Data'!$C$3:$C$3390,$A1338)&gt;0,1,0)</f>
        <v>0</v>
      </c>
      <c r="S1338">
        <f t="shared" si="40"/>
        <v>2</v>
      </c>
      <c r="T1338">
        <f t="shared" si="41"/>
        <v>1</v>
      </c>
    </row>
    <row r="1339" spans="1:20" x14ac:dyDescent="0.2">
      <c r="A1339" t="s">
        <v>1579</v>
      </c>
      <c r="B1339">
        <f>IF(COUNTIFS('United Data'!$A$3:$A$3390,B$1,'United Data'!$C$3:$C$3390,$A1339)&gt;0,1,0)</f>
        <v>0</v>
      </c>
      <c r="C1339">
        <f>IF(COUNTIFS('United Data'!$A$3:$A$3390,C$1,'United Data'!$C$3:$C$3390,$A1339)&gt;0,1,0)</f>
        <v>0</v>
      </c>
      <c r="D1339">
        <f>IF(COUNTIFS('United Data'!$A$3:$A$3390,D$1,'United Data'!$C$3:$C$3390,$A1339)&gt;0,1,0)</f>
        <v>0</v>
      </c>
      <c r="E1339">
        <f>IF(COUNTIFS('United Data'!$A$3:$A$3390,E$1,'United Data'!$C$3:$C$3390,$A1339)&gt;0,1,0)</f>
        <v>0</v>
      </c>
      <c r="F1339">
        <f>IF(COUNTIFS('United Data'!$A$3:$A$3390,F$1,'United Data'!$C$3:$C$3390,$A1339)&gt;0,1,0)</f>
        <v>0</v>
      </c>
      <c r="G1339">
        <f>IF(COUNTIFS('United Data'!$A$3:$A$3390,G$1,'United Data'!$C$3:$C$3390,$A1339)&gt;0,1,0)</f>
        <v>0</v>
      </c>
      <c r="H1339">
        <f>IF(COUNTIFS('United Data'!$A$3:$A$3390,H$1,'United Data'!$C$3:$C$3390,$A1339)&gt;0,1,0)</f>
        <v>0</v>
      </c>
      <c r="I1339">
        <f>IF(COUNTIFS('United Data'!$A$3:$A$3390,I$1,'United Data'!$C$3:$C$3390,$A1339)&gt;0,1,0)</f>
        <v>1</v>
      </c>
      <c r="J1339">
        <f>IF(COUNTIFS('United Data'!$A$3:$A$3390,J$1,'United Data'!$C$3:$C$3390,$A1339)&gt;0,1,0)</f>
        <v>1</v>
      </c>
      <c r="K1339">
        <f>IF(COUNTIFS('United Data'!$A$3:$A$3390,K$1,'United Data'!$C$3:$C$3390,$A1339)&gt;0,1,0)</f>
        <v>1</v>
      </c>
      <c r="L1339">
        <f>IF(COUNTIFS('United Data'!$A$3:$A$3390,L$1,'United Data'!$C$3:$C$3390,$A1339)&gt;0,1,0)</f>
        <v>0</v>
      </c>
      <c r="M1339">
        <f>IF(COUNTIFS('United Data'!$A$3:$A$3390,M$1,'United Data'!$C$3:$C$3390,$A1339)&gt;0,1,0)</f>
        <v>0</v>
      </c>
      <c r="N1339">
        <f>IF(COUNTIFS('United Data'!$A$3:$A$3390,N$1,'United Data'!$C$3:$C$3390,$A1339)&gt;0,1,0)</f>
        <v>0</v>
      </c>
      <c r="O1339">
        <f>IF(COUNTIFS('United Data'!$A$3:$A$3390,O$1,'United Data'!$C$3:$C$3390,$A1339)&gt;0,1,0)</f>
        <v>0</v>
      </c>
      <c r="P1339">
        <f>IF(COUNTIFS('United Data'!$A$3:$A$3390,P$1,'United Data'!$C$3:$C$3390,$A1339)&gt;0,1,0)</f>
        <v>0</v>
      </c>
      <c r="Q1339">
        <f>IF(COUNTIFS('United Data'!$A$3:$A$3390,Q$1,'United Data'!$C$3:$C$3390,$A1339)&gt;0,1,0)</f>
        <v>0</v>
      </c>
      <c r="R1339">
        <f>IF(COUNTIFS('United Data'!$A$3:$A$3390,R$1,'United Data'!$C$3:$C$3390,$A1339)&gt;0,1,0)</f>
        <v>0</v>
      </c>
      <c r="S1339">
        <f t="shared" si="40"/>
        <v>3</v>
      </c>
      <c r="T1339">
        <f t="shared" si="41"/>
        <v>1</v>
      </c>
    </row>
    <row r="1340" spans="1:20" x14ac:dyDescent="0.2">
      <c r="A1340" t="s">
        <v>1581</v>
      </c>
      <c r="B1340">
        <f>IF(COUNTIFS('United Data'!$A$3:$A$3390,B$1,'United Data'!$C$3:$C$3390,$A1340)&gt;0,1,0)</f>
        <v>0</v>
      </c>
      <c r="C1340">
        <f>IF(COUNTIFS('United Data'!$A$3:$A$3390,C$1,'United Data'!$C$3:$C$3390,$A1340)&gt;0,1,0)</f>
        <v>0</v>
      </c>
      <c r="D1340">
        <f>IF(COUNTIFS('United Data'!$A$3:$A$3390,D$1,'United Data'!$C$3:$C$3390,$A1340)&gt;0,1,0)</f>
        <v>0</v>
      </c>
      <c r="E1340">
        <f>IF(COUNTIFS('United Data'!$A$3:$A$3390,E$1,'United Data'!$C$3:$C$3390,$A1340)&gt;0,1,0)</f>
        <v>0</v>
      </c>
      <c r="F1340">
        <f>IF(COUNTIFS('United Data'!$A$3:$A$3390,F$1,'United Data'!$C$3:$C$3390,$A1340)&gt;0,1,0)</f>
        <v>0</v>
      </c>
      <c r="G1340">
        <f>IF(COUNTIFS('United Data'!$A$3:$A$3390,G$1,'United Data'!$C$3:$C$3390,$A1340)&gt;0,1,0)</f>
        <v>0</v>
      </c>
      <c r="H1340">
        <f>IF(COUNTIFS('United Data'!$A$3:$A$3390,H$1,'United Data'!$C$3:$C$3390,$A1340)&gt;0,1,0)</f>
        <v>0</v>
      </c>
      <c r="I1340">
        <f>IF(COUNTIFS('United Data'!$A$3:$A$3390,I$1,'United Data'!$C$3:$C$3390,$A1340)&gt;0,1,0)</f>
        <v>0</v>
      </c>
      <c r="J1340">
        <f>IF(COUNTIFS('United Data'!$A$3:$A$3390,J$1,'United Data'!$C$3:$C$3390,$A1340)&gt;0,1,0)</f>
        <v>1</v>
      </c>
      <c r="K1340">
        <f>IF(COUNTIFS('United Data'!$A$3:$A$3390,K$1,'United Data'!$C$3:$C$3390,$A1340)&gt;0,1,0)</f>
        <v>0</v>
      </c>
      <c r="L1340">
        <f>IF(COUNTIFS('United Data'!$A$3:$A$3390,L$1,'United Data'!$C$3:$C$3390,$A1340)&gt;0,1,0)</f>
        <v>0</v>
      </c>
      <c r="M1340">
        <f>IF(COUNTIFS('United Data'!$A$3:$A$3390,M$1,'United Data'!$C$3:$C$3390,$A1340)&gt;0,1,0)</f>
        <v>0</v>
      </c>
      <c r="N1340">
        <f>IF(COUNTIFS('United Data'!$A$3:$A$3390,N$1,'United Data'!$C$3:$C$3390,$A1340)&gt;0,1,0)</f>
        <v>0</v>
      </c>
      <c r="O1340">
        <f>IF(COUNTIFS('United Data'!$A$3:$A$3390,O$1,'United Data'!$C$3:$C$3390,$A1340)&gt;0,1,0)</f>
        <v>0</v>
      </c>
      <c r="P1340">
        <f>IF(COUNTIFS('United Data'!$A$3:$A$3390,P$1,'United Data'!$C$3:$C$3390,$A1340)&gt;0,1,0)</f>
        <v>0</v>
      </c>
      <c r="Q1340">
        <f>IF(COUNTIFS('United Data'!$A$3:$A$3390,Q$1,'United Data'!$C$3:$C$3390,$A1340)&gt;0,1,0)</f>
        <v>0</v>
      </c>
      <c r="R1340">
        <f>IF(COUNTIFS('United Data'!$A$3:$A$3390,R$1,'United Data'!$C$3:$C$3390,$A1340)&gt;0,1,0)</f>
        <v>0</v>
      </c>
      <c r="S1340">
        <f t="shared" si="40"/>
        <v>1</v>
      </c>
      <c r="T1340">
        <f t="shared" si="41"/>
        <v>1</v>
      </c>
    </row>
    <row r="1341" spans="1:20" x14ac:dyDescent="0.2">
      <c r="A1341" t="s">
        <v>1582</v>
      </c>
      <c r="B1341">
        <f>IF(COUNTIFS('United Data'!$A$3:$A$3390,B$1,'United Data'!$C$3:$C$3390,$A1341)&gt;0,1,0)</f>
        <v>0</v>
      </c>
      <c r="C1341">
        <f>IF(COUNTIFS('United Data'!$A$3:$A$3390,C$1,'United Data'!$C$3:$C$3390,$A1341)&gt;0,1,0)</f>
        <v>0</v>
      </c>
      <c r="D1341">
        <f>IF(COUNTIFS('United Data'!$A$3:$A$3390,D$1,'United Data'!$C$3:$C$3390,$A1341)&gt;0,1,0)</f>
        <v>0</v>
      </c>
      <c r="E1341">
        <f>IF(COUNTIFS('United Data'!$A$3:$A$3390,E$1,'United Data'!$C$3:$C$3390,$A1341)&gt;0,1,0)</f>
        <v>0</v>
      </c>
      <c r="F1341">
        <f>IF(COUNTIFS('United Data'!$A$3:$A$3390,F$1,'United Data'!$C$3:$C$3390,$A1341)&gt;0,1,0)</f>
        <v>0</v>
      </c>
      <c r="G1341">
        <f>IF(COUNTIFS('United Data'!$A$3:$A$3390,G$1,'United Data'!$C$3:$C$3390,$A1341)&gt;0,1,0)</f>
        <v>0</v>
      </c>
      <c r="H1341">
        <f>IF(COUNTIFS('United Data'!$A$3:$A$3390,H$1,'United Data'!$C$3:$C$3390,$A1341)&gt;0,1,0)</f>
        <v>0</v>
      </c>
      <c r="I1341">
        <f>IF(COUNTIFS('United Data'!$A$3:$A$3390,I$1,'United Data'!$C$3:$C$3390,$A1341)&gt;0,1,0)</f>
        <v>0</v>
      </c>
      <c r="J1341">
        <f>IF(COUNTIFS('United Data'!$A$3:$A$3390,J$1,'United Data'!$C$3:$C$3390,$A1341)&gt;0,1,0)</f>
        <v>1</v>
      </c>
      <c r="K1341">
        <f>IF(COUNTIFS('United Data'!$A$3:$A$3390,K$1,'United Data'!$C$3:$C$3390,$A1341)&gt;0,1,0)</f>
        <v>1</v>
      </c>
      <c r="L1341">
        <f>IF(COUNTIFS('United Data'!$A$3:$A$3390,L$1,'United Data'!$C$3:$C$3390,$A1341)&gt;0,1,0)</f>
        <v>0</v>
      </c>
      <c r="M1341">
        <f>IF(COUNTIFS('United Data'!$A$3:$A$3390,M$1,'United Data'!$C$3:$C$3390,$A1341)&gt;0,1,0)</f>
        <v>0</v>
      </c>
      <c r="N1341">
        <f>IF(COUNTIFS('United Data'!$A$3:$A$3390,N$1,'United Data'!$C$3:$C$3390,$A1341)&gt;0,1,0)</f>
        <v>0</v>
      </c>
      <c r="O1341">
        <f>IF(COUNTIFS('United Data'!$A$3:$A$3390,O$1,'United Data'!$C$3:$C$3390,$A1341)&gt;0,1,0)</f>
        <v>1</v>
      </c>
      <c r="P1341">
        <f>IF(COUNTIFS('United Data'!$A$3:$A$3390,P$1,'United Data'!$C$3:$C$3390,$A1341)&gt;0,1,0)</f>
        <v>1</v>
      </c>
      <c r="Q1341">
        <f>IF(COUNTIFS('United Data'!$A$3:$A$3390,Q$1,'United Data'!$C$3:$C$3390,$A1341)&gt;0,1,0)</f>
        <v>0</v>
      </c>
      <c r="R1341">
        <f>IF(COUNTIFS('United Data'!$A$3:$A$3390,R$1,'United Data'!$C$3:$C$3390,$A1341)&gt;0,1,0)</f>
        <v>0</v>
      </c>
      <c r="S1341">
        <f t="shared" si="40"/>
        <v>4</v>
      </c>
      <c r="T1341">
        <f t="shared" si="41"/>
        <v>2</v>
      </c>
    </row>
    <row r="1342" spans="1:20" x14ac:dyDescent="0.2">
      <c r="A1342" t="s">
        <v>1583</v>
      </c>
      <c r="B1342">
        <f>IF(COUNTIFS('United Data'!$A$3:$A$3390,B$1,'United Data'!$C$3:$C$3390,$A1342)&gt;0,1,0)</f>
        <v>0</v>
      </c>
      <c r="C1342">
        <f>IF(COUNTIFS('United Data'!$A$3:$A$3390,C$1,'United Data'!$C$3:$C$3390,$A1342)&gt;0,1,0)</f>
        <v>0</v>
      </c>
      <c r="D1342">
        <f>IF(COUNTIFS('United Data'!$A$3:$A$3390,D$1,'United Data'!$C$3:$C$3390,$A1342)&gt;0,1,0)</f>
        <v>0</v>
      </c>
      <c r="E1342">
        <f>IF(COUNTIFS('United Data'!$A$3:$A$3390,E$1,'United Data'!$C$3:$C$3390,$A1342)&gt;0,1,0)</f>
        <v>0</v>
      </c>
      <c r="F1342">
        <f>IF(COUNTIFS('United Data'!$A$3:$A$3390,F$1,'United Data'!$C$3:$C$3390,$A1342)&gt;0,1,0)</f>
        <v>0</v>
      </c>
      <c r="G1342">
        <f>IF(COUNTIFS('United Data'!$A$3:$A$3390,G$1,'United Data'!$C$3:$C$3390,$A1342)&gt;0,1,0)</f>
        <v>0</v>
      </c>
      <c r="H1342">
        <f>IF(COUNTIFS('United Data'!$A$3:$A$3390,H$1,'United Data'!$C$3:$C$3390,$A1342)&gt;0,1,0)</f>
        <v>0</v>
      </c>
      <c r="I1342">
        <f>IF(COUNTIFS('United Data'!$A$3:$A$3390,I$1,'United Data'!$C$3:$C$3390,$A1342)&gt;0,1,0)</f>
        <v>0</v>
      </c>
      <c r="J1342">
        <f>IF(COUNTIFS('United Data'!$A$3:$A$3390,J$1,'United Data'!$C$3:$C$3390,$A1342)&gt;0,1,0)</f>
        <v>0</v>
      </c>
      <c r="K1342">
        <f>IF(COUNTIFS('United Data'!$A$3:$A$3390,K$1,'United Data'!$C$3:$C$3390,$A1342)&gt;0,1,0)</f>
        <v>1</v>
      </c>
      <c r="L1342">
        <f>IF(COUNTIFS('United Data'!$A$3:$A$3390,L$1,'United Data'!$C$3:$C$3390,$A1342)&gt;0,1,0)</f>
        <v>0</v>
      </c>
      <c r="M1342">
        <f>IF(COUNTIFS('United Data'!$A$3:$A$3390,M$1,'United Data'!$C$3:$C$3390,$A1342)&gt;0,1,0)</f>
        <v>0</v>
      </c>
      <c r="N1342">
        <f>IF(COUNTIFS('United Data'!$A$3:$A$3390,N$1,'United Data'!$C$3:$C$3390,$A1342)&gt;0,1,0)</f>
        <v>0</v>
      </c>
      <c r="O1342">
        <f>IF(COUNTIFS('United Data'!$A$3:$A$3390,O$1,'United Data'!$C$3:$C$3390,$A1342)&gt;0,1,0)</f>
        <v>0</v>
      </c>
      <c r="P1342">
        <f>IF(COUNTIFS('United Data'!$A$3:$A$3390,P$1,'United Data'!$C$3:$C$3390,$A1342)&gt;0,1,0)</f>
        <v>0</v>
      </c>
      <c r="Q1342">
        <f>IF(COUNTIFS('United Data'!$A$3:$A$3390,Q$1,'United Data'!$C$3:$C$3390,$A1342)&gt;0,1,0)</f>
        <v>0</v>
      </c>
      <c r="R1342">
        <f>IF(COUNTIFS('United Data'!$A$3:$A$3390,R$1,'United Data'!$C$3:$C$3390,$A1342)&gt;0,1,0)</f>
        <v>0</v>
      </c>
      <c r="S1342">
        <f t="shared" si="40"/>
        <v>1</v>
      </c>
      <c r="T1342">
        <f t="shared" si="41"/>
        <v>1</v>
      </c>
    </row>
    <row r="1343" spans="1:20" x14ac:dyDescent="0.2">
      <c r="A1343" t="s">
        <v>1584</v>
      </c>
      <c r="B1343">
        <f>IF(COUNTIFS('United Data'!$A$3:$A$3390,B$1,'United Data'!$C$3:$C$3390,$A1343)&gt;0,1,0)</f>
        <v>0</v>
      </c>
      <c r="C1343">
        <f>IF(COUNTIFS('United Data'!$A$3:$A$3390,C$1,'United Data'!$C$3:$C$3390,$A1343)&gt;0,1,0)</f>
        <v>0</v>
      </c>
      <c r="D1343">
        <f>IF(COUNTIFS('United Data'!$A$3:$A$3390,D$1,'United Data'!$C$3:$C$3390,$A1343)&gt;0,1,0)</f>
        <v>1</v>
      </c>
      <c r="E1343">
        <f>IF(COUNTIFS('United Data'!$A$3:$A$3390,E$1,'United Data'!$C$3:$C$3390,$A1343)&gt;0,1,0)</f>
        <v>0</v>
      </c>
      <c r="F1343">
        <f>IF(COUNTIFS('United Data'!$A$3:$A$3390,F$1,'United Data'!$C$3:$C$3390,$A1343)&gt;0,1,0)</f>
        <v>0</v>
      </c>
      <c r="G1343">
        <f>IF(COUNTIFS('United Data'!$A$3:$A$3390,G$1,'United Data'!$C$3:$C$3390,$A1343)&gt;0,1,0)</f>
        <v>1</v>
      </c>
      <c r="H1343">
        <f>IF(COUNTIFS('United Data'!$A$3:$A$3390,H$1,'United Data'!$C$3:$C$3390,$A1343)&gt;0,1,0)</f>
        <v>0</v>
      </c>
      <c r="I1343">
        <f>IF(COUNTIFS('United Data'!$A$3:$A$3390,I$1,'United Data'!$C$3:$C$3390,$A1343)&gt;0,1,0)</f>
        <v>0</v>
      </c>
      <c r="J1343">
        <f>IF(COUNTIFS('United Data'!$A$3:$A$3390,J$1,'United Data'!$C$3:$C$3390,$A1343)&gt;0,1,0)</f>
        <v>0</v>
      </c>
      <c r="K1343">
        <f>IF(COUNTIFS('United Data'!$A$3:$A$3390,K$1,'United Data'!$C$3:$C$3390,$A1343)&gt;0,1,0)</f>
        <v>1</v>
      </c>
      <c r="L1343">
        <f>IF(COUNTIFS('United Data'!$A$3:$A$3390,L$1,'United Data'!$C$3:$C$3390,$A1343)&gt;0,1,0)</f>
        <v>0</v>
      </c>
      <c r="M1343">
        <f>IF(COUNTIFS('United Data'!$A$3:$A$3390,M$1,'United Data'!$C$3:$C$3390,$A1343)&gt;0,1,0)</f>
        <v>0</v>
      </c>
      <c r="N1343">
        <f>IF(COUNTIFS('United Data'!$A$3:$A$3390,N$1,'United Data'!$C$3:$C$3390,$A1343)&gt;0,1,0)</f>
        <v>0</v>
      </c>
      <c r="O1343">
        <f>IF(COUNTIFS('United Data'!$A$3:$A$3390,O$1,'United Data'!$C$3:$C$3390,$A1343)&gt;0,1,0)</f>
        <v>0</v>
      </c>
      <c r="P1343">
        <f>IF(COUNTIFS('United Data'!$A$3:$A$3390,P$1,'United Data'!$C$3:$C$3390,$A1343)&gt;0,1,0)</f>
        <v>0</v>
      </c>
      <c r="Q1343">
        <f>IF(COUNTIFS('United Data'!$A$3:$A$3390,Q$1,'United Data'!$C$3:$C$3390,$A1343)&gt;0,1,0)</f>
        <v>0</v>
      </c>
      <c r="R1343">
        <f>IF(COUNTIFS('United Data'!$A$3:$A$3390,R$1,'United Data'!$C$3:$C$3390,$A1343)&gt;0,1,0)</f>
        <v>0</v>
      </c>
      <c r="S1343">
        <f t="shared" si="40"/>
        <v>3</v>
      </c>
      <c r="T1343">
        <f t="shared" si="41"/>
        <v>3</v>
      </c>
    </row>
    <row r="1344" spans="1:20" x14ac:dyDescent="0.2">
      <c r="A1344" t="s">
        <v>1585</v>
      </c>
      <c r="B1344">
        <f>IF(COUNTIFS('United Data'!$A$3:$A$3390,B$1,'United Data'!$C$3:$C$3390,$A1344)&gt;0,1,0)</f>
        <v>0</v>
      </c>
      <c r="C1344">
        <f>IF(COUNTIFS('United Data'!$A$3:$A$3390,C$1,'United Data'!$C$3:$C$3390,$A1344)&gt;0,1,0)</f>
        <v>0</v>
      </c>
      <c r="D1344">
        <f>IF(COUNTIFS('United Data'!$A$3:$A$3390,D$1,'United Data'!$C$3:$C$3390,$A1344)&gt;0,1,0)</f>
        <v>1</v>
      </c>
      <c r="E1344">
        <f>IF(COUNTIFS('United Data'!$A$3:$A$3390,E$1,'United Data'!$C$3:$C$3390,$A1344)&gt;0,1,0)</f>
        <v>0</v>
      </c>
      <c r="F1344">
        <f>IF(COUNTIFS('United Data'!$A$3:$A$3390,F$1,'United Data'!$C$3:$C$3390,$A1344)&gt;0,1,0)</f>
        <v>0</v>
      </c>
      <c r="G1344">
        <f>IF(COUNTIFS('United Data'!$A$3:$A$3390,G$1,'United Data'!$C$3:$C$3390,$A1344)&gt;0,1,0)</f>
        <v>0</v>
      </c>
      <c r="H1344">
        <f>IF(COUNTIFS('United Data'!$A$3:$A$3390,H$1,'United Data'!$C$3:$C$3390,$A1344)&gt;0,1,0)</f>
        <v>0</v>
      </c>
      <c r="I1344">
        <f>IF(COUNTIFS('United Data'!$A$3:$A$3390,I$1,'United Data'!$C$3:$C$3390,$A1344)&gt;0,1,0)</f>
        <v>0</v>
      </c>
      <c r="J1344">
        <f>IF(COUNTIFS('United Data'!$A$3:$A$3390,J$1,'United Data'!$C$3:$C$3390,$A1344)&gt;0,1,0)</f>
        <v>0</v>
      </c>
      <c r="K1344">
        <f>IF(COUNTIFS('United Data'!$A$3:$A$3390,K$1,'United Data'!$C$3:$C$3390,$A1344)&gt;0,1,0)</f>
        <v>1</v>
      </c>
      <c r="L1344">
        <f>IF(COUNTIFS('United Data'!$A$3:$A$3390,L$1,'United Data'!$C$3:$C$3390,$A1344)&gt;0,1,0)</f>
        <v>0</v>
      </c>
      <c r="M1344">
        <f>IF(COUNTIFS('United Data'!$A$3:$A$3390,M$1,'United Data'!$C$3:$C$3390,$A1344)&gt;0,1,0)</f>
        <v>0</v>
      </c>
      <c r="N1344">
        <f>IF(COUNTIFS('United Data'!$A$3:$A$3390,N$1,'United Data'!$C$3:$C$3390,$A1344)&gt;0,1,0)</f>
        <v>0</v>
      </c>
      <c r="O1344">
        <f>IF(COUNTIFS('United Data'!$A$3:$A$3390,O$1,'United Data'!$C$3:$C$3390,$A1344)&gt;0,1,0)</f>
        <v>0</v>
      </c>
      <c r="P1344">
        <f>IF(COUNTIFS('United Data'!$A$3:$A$3390,P$1,'United Data'!$C$3:$C$3390,$A1344)&gt;0,1,0)</f>
        <v>0</v>
      </c>
      <c r="Q1344">
        <f>IF(COUNTIFS('United Data'!$A$3:$A$3390,Q$1,'United Data'!$C$3:$C$3390,$A1344)&gt;0,1,0)</f>
        <v>0</v>
      </c>
      <c r="R1344">
        <f>IF(COUNTIFS('United Data'!$A$3:$A$3390,R$1,'United Data'!$C$3:$C$3390,$A1344)&gt;0,1,0)</f>
        <v>0</v>
      </c>
      <c r="S1344">
        <f t="shared" si="40"/>
        <v>2</v>
      </c>
      <c r="T1344">
        <f t="shared" si="41"/>
        <v>2</v>
      </c>
    </row>
    <row r="1345" spans="1:20" x14ac:dyDescent="0.2">
      <c r="A1345" t="s">
        <v>1586</v>
      </c>
      <c r="B1345">
        <f>IF(COUNTIFS('United Data'!$A$3:$A$3390,B$1,'United Data'!$C$3:$C$3390,$A1345)&gt;0,1,0)</f>
        <v>0</v>
      </c>
      <c r="C1345">
        <f>IF(COUNTIFS('United Data'!$A$3:$A$3390,C$1,'United Data'!$C$3:$C$3390,$A1345)&gt;0,1,0)</f>
        <v>0</v>
      </c>
      <c r="D1345">
        <f>IF(COUNTIFS('United Data'!$A$3:$A$3390,D$1,'United Data'!$C$3:$C$3390,$A1345)&gt;0,1,0)</f>
        <v>0</v>
      </c>
      <c r="E1345">
        <f>IF(COUNTIFS('United Data'!$A$3:$A$3390,E$1,'United Data'!$C$3:$C$3390,$A1345)&gt;0,1,0)</f>
        <v>0</v>
      </c>
      <c r="F1345">
        <f>IF(COUNTIFS('United Data'!$A$3:$A$3390,F$1,'United Data'!$C$3:$C$3390,$A1345)&gt;0,1,0)</f>
        <v>0</v>
      </c>
      <c r="G1345">
        <f>IF(COUNTIFS('United Data'!$A$3:$A$3390,G$1,'United Data'!$C$3:$C$3390,$A1345)&gt;0,1,0)</f>
        <v>0</v>
      </c>
      <c r="H1345">
        <f>IF(COUNTIFS('United Data'!$A$3:$A$3390,H$1,'United Data'!$C$3:$C$3390,$A1345)&gt;0,1,0)</f>
        <v>0</v>
      </c>
      <c r="I1345">
        <f>IF(COUNTIFS('United Data'!$A$3:$A$3390,I$1,'United Data'!$C$3:$C$3390,$A1345)&gt;0,1,0)</f>
        <v>0</v>
      </c>
      <c r="J1345">
        <f>IF(COUNTIFS('United Data'!$A$3:$A$3390,J$1,'United Data'!$C$3:$C$3390,$A1345)&gt;0,1,0)</f>
        <v>0</v>
      </c>
      <c r="K1345">
        <f>IF(COUNTIFS('United Data'!$A$3:$A$3390,K$1,'United Data'!$C$3:$C$3390,$A1345)&gt;0,1,0)</f>
        <v>1</v>
      </c>
      <c r="L1345">
        <f>IF(COUNTIFS('United Data'!$A$3:$A$3390,L$1,'United Data'!$C$3:$C$3390,$A1345)&gt;0,1,0)</f>
        <v>0</v>
      </c>
      <c r="M1345">
        <f>IF(COUNTIFS('United Data'!$A$3:$A$3390,M$1,'United Data'!$C$3:$C$3390,$A1345)&gt;0,1,0)</f>
        <v>0</v>
      </c>
      <c r="N1345">
        <f>IF(COUNTIFS('United Data'!$A$3:$A$3390,N$1,'United Data'!$C$3:$C$3390,$A1345)&gt;0,1,0)</f>
        <v>0</v>
      </c>
      <c r="O1345">
        <f>IF(COUNTIFS('United Data'!$A$3:$A$3390,O$1,'United Data'!$C$3:$C$3390,$A1345)&gt;0,1,0)</f>
        <v>0</v>
      </c>
      <c r="P1345">
        <f>IF(COUNTIFS('United Data'!$A$3:$A$3390,P$1,'United Data'!$C$3:$C$3390,$A1345)&gt;0,1,0)</f>
        <v>1</v>
      </c>
      <c r="Q1345">
        <f>IF(COUNTIFS('United Data'!$A$3:$A$3390,Q$1,'United Data'!$C$3:$C$3390,$A1345)&gt;0,1,0)</f>
        <v>0</v>
      </c>
      <c r="R1345">
        <f>IF(COUNTIFS('United Data'!$A$3:$A$3390,R$1,'United Data'!$C$3:$C$3390,$A1345)&gt;0,1,0)</f>
        <v>0</v>
      </c>
      <c r="S1345">
        <f t="shared" si="40"/>
        <v>2</v>
      </c>
      <c r="T1345">
        <f t="shared" si="41"/>
        <v>2</v>
      </c>
    </row>
    <row r="1346" spans="1:20" x14ac:dyDescent="0.2">
      <c r="A1346" t="s">
        <v>1587</v>
      </c>
      <c r="B1346">
        <f>IF(COUNTIFS('United Data'!$A$3:$A$3390,B$1,'United Data'!$C$3:$C$3390,$A1346)&gt;0,1,0)</f>
        <v>0</v>
      </c>
      <c r="C1346">
        <f>IF(COUNTIFS('United Data'!$A$3:$A$3390,C$1,'United Data'!$C$3:$C$3390,$A1346)&gt;0,1,0)</f>
        <v>0</v>
      </c>
      <c r="D1346">
        <f>IF(COUNTIFS('United Data'!$A$3:$A$3390,D$1,'United Data'!$C$3:$C$3390,$A1346)&gt;0,1,0)</f>
        <v>0</v>
      </c>
      <c r="E1346">
        <f>IF(COUNTIFS('United Data'!$A$3:$A$3390,E$1,'United Data'!$C$3:$C$3390,$A1346)&gt;0,1,0)</f>
        <v>0</v>
      </c>
      <c r="F1346">
        <f>IF(COUNTIFS('United Data'!$A$3:$A$3390,F$1,'United Data'!$C$3:$C$3390,$A1346)&gt;0,1,0)</f>
        <v>0</v>
      </c>
      <c r="G1346">
        <f>IF(COUNTIFS('United Data'!$A$3:$A$3390,G$1,'United Data'!$C$3:$C$3390,$A1346)&gt;0,1,0)</f>
        <v>0</v>
      </c>
      <c r="H1346">
        <f>IF(COUNTIFS('United Data'!$A$3:$A$3390,H$1,'United Data'!$C$3:$C$3390,$A1346)&gt;0,1,0)</f>
        <v>0</v>
      </c>
      <c r="I1346">
        <f>IF(COUNTIFS('United Data'!$A$3:$A$3390,I$1,'United Data'!$C$3:$C$3390,$A1346)&gt;0,1,0)</f>
        <v>0</v>
      </c>
      <c r="J1346">
        <f>IF(COUNTIFS('United Data'!$A$3:$A$3390,J$1,'United Data'!$C$3:$C$3390,$A1346)&gt;0,1,0)</f>
        <v>0</v>
      </c>
      <c r="K1346">
        <f>IF(COUNTIFS('United Data'!$A$3:$A$3390,K$1,'United Data'!$C$3:$C$3390,$A1346)&gt;0,1,0)</f>
        <v>1</v>
      </c>
      <c r="L1346">
        <f>IF(COUNTIFS('United Data'!$A$3:$A$3390,L$1,'United Data'!$C$3:$C$3390,$A1346)&gt;0,1,0)</f>
        <v>0</v>
      </c>
      <c r="M1346">
        <f>IF(COUNTIFS('United Data'!$A$3:$A$3390,M$1,'United Data'!$C$3:$C$3390,$A1346)&gt;0,1,0)</f>
        <v>0</v>
      </c>
      <c r="N1346">
        <f>IF(COUNTIFS('United Data'!$A$3:$A$3390,N$1,'United Data'!$C$3:$C$3390,$A1346)&gt;0,1,0)</f>
        <v>0</v>
      </c>
      <c r="O1346">
        <f>IF(COUNTIFS('United Data'!$A$3:$A$3390,O$1,'United Data'!$C$3:$C$3390,$A1346)&gt;0,1,0)</f>
        <v>0</v>
      </c>
      <c r="P1346">
        <f>IF(COUNTIFS('United Data'!$A$3:$A$3390,P$1,'United Data'!$C$3:$C$3390,$A1346)&gt;0,1,0)</f>
        <v>0</v>
      </c>
      <c r="Q1346">
        <f>IF(COUNTIFS('United Data'!$A$3:$A$3390,Q$1,'United Data'!$C$3:$C$3390,$A1346)&gt;0,1,0)</f>
        <v>0</v>
      </c>
      <c r="R1346">
        <f>IF(COUNTIFS('United Data'!$A$3:$A$3390,R$1,'United Data'!$C$3:$C$3390,$A1346)&gt;0,1,0)</f>
        <v>0</v>
      </c>
      <c r="S1346">
        <f t="shared" ref="S1346:S1409" si="42">SUM(B1346:R1346)</f>
        <v>1</v>
      </c>
      <c r="T1346">
        <f t="shared" ref="T1346:T1409" si="43">B1346+SUMPRODUCT(--(C1346:R1346&gt;B1346:Q1346))</f>
        <v>1</v>
      </c>
    </row>
    <row r="1347" spans="1:20" x14ac:dyDescent="0.2">
      <c r="A1347" t="s">
        <v>1588</v>
      </c>
      <c r="B1347">
        <f>IF(COUNTIFS('United Data'!$A$3:$A$3390,B$1,'United Data'!$C$3:$C$3390,$A1347)&gt;0,1,0)</f>
        <v>0</v>
      </c>
      <c r="C1347">
        <f>IF(COUNTIFS('United Data'!$A$3:$A$3390,C$1,'United Data'!$C$3:$C$3390,$A1347)&gt;0,1,0)</f>
        <v>0</v>
      </c>
      <c r="D1347">
        <f>IF(COUNTIFS('United Data'!$A$3:$A$3390,D$1,'United Data'!$C$3:$C$3390,$A1347)&gt;0,1,0)</f>
        <v>0</v>
      </c>
      <c r="E1347">
        <f>IF(COUNTIFS('United Data'!$A$3:$A$3390,E$1,'United Data'!$C$3:$C$3390,$A1347)&gt;0,1,0)</f>
        <v>0</v>
      </c>
      <c r="F1347">
        <f>IF(COUNTIFS('United Data'!$A$3:$A$3390,F$1,'United Data'!$C$3:$C$3390,$A1347)&gt;0,1,0)</f>
        <v>0</v>
      </c>
      <c r="G1347">
        <f>IF(COUNTIFS('United Data'!$A$3:$A$3390,G$1,'United Data'!$C$3:$C$3390,$A1347)&gt;0,1,0)</f>
        <v>0</v>
      </c>
      <c r="H1347">
        <f>IF(COUNTIFS('United Data'!$A$3:$A$3390,H$1,'United Data'!$C$3:$C$3390,$A1347)&gt;0,1,0)</f>
        <v>0</v>
      </c>
      <c r="I1347">
        <f>IF(COUNTIFS('United Data'!$A$3:$A$3390,I$1,'United Data'!$C$3:$C$3390,$A1347)&gt;0,1,0)</f>
        <v>0</v>
      </c>
      <c r="J1347">
        <f>IF(COUNTIFS('United Data'!$A$3:$A$3390,J$1,'United Data'!$C$3:$C$3390,$A1347)&gt;0,1,0)</f>
        <v>0</v>
      </c>
      <c r="K1347">
        <f>IF(COUNTIFS('United Data'!$A$3:$A$3390,K$1,'United Data'!$C$3:$C$3390,$A1347)&gt;0,1,0)</f>
        <v>1</v>
      </c>
      <c r="L1347">
        <f>IF(COUNTIFS('United Data'!$A$3:$A$3390,L$1,'United Data'!$C$3:$C$3390,$A1347)&gt;0,1,0)</f>
        <v>0</v>
      </c>
      <c r="M1347">
        <f>IF(COUNTIFS('United Data'!$A$3:$A$3390,M$1,'United Data'!$C$3:$C$3390,$A1347)&gt;0,1,0)</f>
        <v>0</v>
      </c>
      <c r="N1347">
        <f>IF(COUNTIFS('United Data'!$A$3:$A$3390,N$1,'United Data'!$C$3:$C$3390,$A1347)&gt;0,1,0)</f>
        <v>0</v>
      </c>
      <c r="O1347">
        <f>IF(COUNTIFS('United Data'!$A$3:$A$3390,O$1,'United Data'!$C$3:$C$3390,$A1347)&gt;0,1,0)</f>
        <v>0</v>
      </c>
      <c r="P1347">
        <f>IF(COUNTIFS('United Data'!$A$3:$A$3390,P$1,'United Data'!$C$3:$C$3390,$A1347)&gt;0,1,0)</f>
        <v>0</v>
      </c>
      <c r="Q1347">
        <f>IF(COUNTIFS('United Data'!$A$3:$A$3390,Q$1,'United Data'!$C$3:$C$3390,$A1347)&gt;0,1,0)</f>
        <v>0</v>
      </c>
      <c r="R1347">
        <f>IF(COUNTIFS('United Data'!$A$3:$A$3390,R$1,'United Data'!$C$3:$C$3390,$A1347)&gt;0,1,0)</f>
        <v>0</v>
      </c>
      <c r="S1347">
        <f t="shared" si="42"/>
        <v>1</v>
      </c>
      <c r="T1347">
        <f t="shared" si="43"/>
        <v>1</v>
      </c>
    </row>
    <row r="1348" spans="1:20" x14ac:dyDescent="0.2">
      <c r="A1348" t="s">
        <v>1589</v>
      </c>
      <c r="B1348">
        <f>IF(COUNTIFS('United Data'!$A$3:$A$3390,B$1,'United Data'!$C$3:$C$3390,$A1348)&gt;0,1,0)</f>
        <v>0</v>
      </c>
      <c r="C1348">
        <f>IF(COUNTIFS('United Data'!$A$3:$A$3390,C$1,'United Data'!$C$3:$C$3390,$A1348)&gt;0,1,0)</f>
        <v>0</v>
      </c>
      <c r="D1348">
        <f>IF(COUNTIFS('United Data'!$A$3:$A$3390,D$1,'United Data'!$C$3:$C$3390,$A1348)&gt;0,1,0)</f>
        <v>0</v>
      </c>
      <c r="E1348">
        <f>IF(COUNTIFS('United Data'!$A$3:$A$3390,E$1,'United Data'!$C$3:$C$3390,$A1348)&gt;0,1,0)</f>
        <v>0</v>
      </c>
      <c r="F1348">
        <f>IF(COUNTIFS('United Data'!$A$3:$A$3390,F$1,'United Data'!$C$3:$C$3390,$A1348)&gt;0,1,0)</f>
        <v>0</v>
      </c>
      <c r="G1348">
        <f>IF(COUNTIFS('United Data'!$A$3:$A$3390,G$1,'United Data'!$C$3:$C$3390,$A1348)&gt;0,1,0)</f>
        <v>0</v>
      </c>
      <c r="H1348">
        <f>IF(COUNTIFS('United Data'!$A$3:$A$3390,H$1,'United Data'!$C$3:$C$3390,$A1348)&gt;0,1,0)</f>
        <v>0</v>
      </c>
      <c r="I1348">
        <f>IF(COUNTIFS('United Data'!$A$3:$A$3390,I$1,'United Data'!$C$3:$C$3390,$A1348)&gt;0,1,0)</f>
        <v>0</v>
      </c>
      <c r="J1348">
        <f>IF(COUNTIFS('United Data'!$A$3:$A$3390,J$1,'United Data'!$C$3:$C$3390,$A1348)&gt;0,1,0)</f>
        <v>0</v>
      </c>
      <c r="K1348">
        <f>IF(COUNTIFS('United Data'!$A$3:$A$3390,K$1,'United Data'!$C$3:$C$3390,$A1348)&gt;0,1,0)</f>
        <v>0</v>
      </c>
      <c r="L1348">
        <f>IF(COUNTIFS('United Data'!$A$3:$A$3390,L$1,'United Data'!$C$3:$C$3390,$A1348)&gt;0,1,0)</f>
        <v>1</v>
      </c>
      <c r="M1348">
        <f>IF(COUNTIFS('United Data'!$A$3:$A$3390,M$1,'United Data'!$C$3:$C$3390,$A1348)&gt;0,1,0)</f>
        <v>0</v>
      </c>
      <c r="N1348">
        <f>IF(COUNTIFS('United Data'!$A$3:$A$3390,N$1,'United Data'!$C$3:$C$3390,$A1348)&gt;0,1,0)</f>
        <v>0</v>
      </c>
      <c r="O1348">
        <f>IF(COUNTIFS('United Data'!$A$3:$A$3390,O$1,'United Data'!$C$3:$C$3390,$A1348)&gt;0,1,0)</f>
        <v>0</v>
      </c>
      <c r="P1348">
        <f>IF(COUNTIFS('United Data'!$A$3:$A$3390,P$1,'United Data'!$C$3:$C$3390,$A1348)&gt;0,1,0)</f>
        <v>0</v>
      </c>
      <c r="Q1348">
        <f>IF(COUNTIFS('United Data'!$A$3:$A$3390,Q$1,'United Data'!$C$3:$C$3390,$A1348)&gt;0,1,0)</f>
        <v>0</v>
      </c>
      <c r="R1348">
        <f>IF(COUNTIFS('United Data'!$A$3:$A$3390,R$1,'United Data'!$C$3:$C$3390,$A1348)&gt;0,1,0)</f>
        <v>0</v>
      </c>
      <c r="S1348">
        <f t="shared" si="42"/>
        <v>1</v>
      </c>
      <c r="T1348">
        <f t="shared" si="43"/>
        <v>1</v>
      </c>
    </row>
    <row r="1349" spans="1:20" x14ac:dyDescent="0.2">
      <c r="A1349" t="s">
        <v>1592</v>
      </c>
      <c r="B1349">
        <f>IF(COUNTIFS('United Data'!$A$3:$A$3390,B$1,'United Data'!$C$3:$C$3390,$A1349)&gt;0,1,0)</f>
        <v>0</v>
      </c>
      <c r="C1349">
        <f>IF(COUNTIFS('United Data'!$A$3:$A$3390,C$1,'United Data'!$C$3:$C$3390,$A1349)&gt;0,1,0)</f>
        <v>0</v>
      </c>
      <c r="D1349">
        <f>IF(COUNTIFS('United Data'!$A$3:$A$3390,D$1,'United Data'!$C$3:$C$3390,$A1349)&gt;0,1,0)</f>
        <v>0</v>
      </c>
      <c r="E1349">
        <f>IF(COUNTIFS('United Data'!$A$3:$A$3390,E$1,'United Data'!$C$3:$C$3390,$A1349)&gt;0,1,0)</f>
        <v>0</v>
      </c>
      <c r="F1349">
        <f>IF(COUNTIFS('United Data'!$A$3:$A$3390,F$1,'United Data'!$C$3:$C$3390,$A1349)&gt;0,1,0)</f>
        <v>0</v>
      </c>
      <c r="G1349">
        <f>IF(COUNTIFS('United Data'!$A$3:$A$3390,G$1,'United Data'!$C$3:$C$3390,$A1349)&gt;0,1,0)</f>
        <v>0</v>
      </c>
      <c r="H1349">
        <f>IF(COUNTIFS('United Data'!$A$3:$A$3390,H$1,'United Data'!$C$3:$C$3390,$A1349)&gt;0,1,0)</f>
        <v>0</v>
      </c>
      <c r="I1349">
        <f>IF(COUNTIFS('United Data'!$A$3:$A$3390,I$1,'United Data'!$C$3:$C$3390,$A1349)&gt;0,1,0)</f>
        <v>0</v>
      </c>
      <c r="J1349">
        <f>IF(COUNTIFS('United Data'!$A$3:$A$3390,J$1,'United Data'!$C$3:$C$3390,$A1349)&gt;0,1,0)</f>
        <v>0</v>
      </c>
      <c r="K1349">
        <f>IF(COUNTIFS('United Data'!$A$3:$A$3390,K$1,'United Data'!$C$3:$C$3390,$A1349)&gt;0,1,0)</f>
        <v>0</v>
      </c>
      <c r="L1349">
        <f>IF(COUNTIFS('United Data'!$A$3:$A$3390,L$1,'United Data'!$C$3:$C$3390,$A1349)&gt;0,1,0)</f>
        <v>0</v>
      </c>
      <c r="M1349">
        <f>IF(COUNTIFS('United Data'!$A$3:$A$3390,M$1,'United Data'!$C$3:$C$3390,$A1349)&gt;0,1,0)</f>
        <v>1</v>
      </c>
      <c r="N1349">
        <f>IF(COUNTIFS('United Data'!$A$3:$A$3390,N$1,'United Data'!$C$3:$C$3390,$A1349)&gt;0,1,0)</f>
        <v>1</v>
      </c>
      <c r="O1349">
        <f>IF(COUNTIFS('United Data'!$A$3:$A$3390,O$1,'United Data'!$C$3:$C$3390,$A1349)&gt;0,1,0)</f>
        <v>1</v>
      </c>
      <c r="P1349">
        <f>IF(COUNTIFS('United Data'!$A$3:$A$3390,P$1,'United Data'!$C$3:$C$3390,$A1349)&gt;0,1,0)</f>
        <v>0</v>
      </c>
      <c r="Q1349">
        <f>IF(COUNTIFS('United Data'!$A$3:$A$3390,Q$1,'United Data'!$C$3:$C$3390,$A1349)&gt;0,1,0)</f>
        <v>0</v>
      </c>
      <c r="R1349">
        <f>IF(COUNTIFS('United Data'!$A$3:$A$3390,R$1,'United Data'!$C$3:$C$3390,$A1349)&gt;0,1,0)</f>
        <v>0</v>
      </c>
      <c r="S1349">
        <f t="shared" si="42"/>
        <v>3</v>
      </c>
      <c r="T1349">
        <f t="shared" si="43"/>
        <v>1</v>
      </c>
    </row>
    <row r="1350" spans="1:20" x14ac:dyDescent="0.2">
      <c r="A1350" t="s">
        <v>1593</v>
      </c>
      <c r="B1350">
        <f>IF(COUNTIFS('United Data'!$A$3:$A$3390,B$1,'United Data'!$C$3:$C$3390,$A1350)&gt;0,1,0)</f>
        <v>0</v>
      </c>
      <c r="C1350">
        <f>IF(COUNTIFS('United Data'!$A$3:$A$3390,C$1,'United Data'!$C$3:$C$3390,$A1350)&gt;0,1,0)</f>
        <v>0</v>
      </c>
      <c r="D1350">
        <f>IF(COUNTIFS('United Data'!$A$3:$A$3390,D$1,'United Data'!$C$3:$C$3390,$A1350)&gt;0,1,0)</f>
        <v>0</v>
      </c>
      <c r="E1350">
        <f>IF(COUNTIFS('United Data'!$A$3:$A$3390,E$1,'United Data'!$C$3:$C$3390,$A1350)&gt;0,1,0)</f>
        <v>0</v>
      </c>
      <c r="F1350">
        <f>IF(COUNTIFS('United Data'!$A$3:$A$3390,F$1,'United Data'!$C$3:$C$3390,$A1350)&gt;0,1,0)</f>
        <v>0</v>
      </c>
      <c r="G1350">
        <f>IF(COUNTIFS('United Data'!$A$3:$A$3390,G$1,'United Data'!$C$3:$C$3390,$A1350)&gt;0,1,0)</f>
        <v>0</v>
      </c>
      <c r="H1350">
        <f>IF(COUNTIFS('United Data'!$A$3:$A$3390,H$1,'United Data'!$C$3:$C$3390,$A1350)&gt;0,1,0)</f>
        <v>0</v>
      </c>
      <c r="I1350">
        <f>IF(COUNTIFS('United Data'!$A$3:$A$3390,I$1,'United Data'!$C$3:$C$3390,$A1350)&gt;0,1,0)</f>
        <v>0</v>
      </c>
      <c r="J1350">
        <f>IF(COUNTIFS('United Data'!$A$3:$A$3390,J$1,'United Data'!$C$3:$C$3390,$A1350)&gt;0,1,0)</f>
        <v>0</v>
      </c>
      <c r="K1350">
        <f>IF(COUNTIFS('United Data'!$A$3:$A$3390,K$1,'United Data'!$C$3:$C$3390,$A1350)&gt;0,1,0)</f>
        <v>0</v>
      </c>
      <c r="L1350">
        <f>IF(COUNTIFS('United Data'!$A$3:$A$3390,L$1,'United Data'!$C$3:$C$3390,$A1350)&gt;0,1,0)</f>
        <v>0</v>
      </c>
      <c r="M1350">
        <f>IF(COUNTIFS('United Data'!$A$3:$A$3390,M$1,'United Data'!$C$3:$C$3390,$A1350)&gt;0,1,0)</f>
        <v>1</v>
      </c>
      <c r="N1350">
        <f>IF(COUNTIFS('United Data'!$A$3:$A$3390,N$1,'United Data'!$C$3:$C$3390,$A1350)&gt;0,1,0)</f>
        <v>0</v>
      </c>
      <c r="O1350">
        <f>IF(COUNTIFS('United Data'!$A$3:$A$3390,O$1,'United Data'!$C$3:$C$3390,$A1350)&gt;0,1,0)</f>
        <v>0</v>
      </c>
      <c r="P1350">
        <f>IF(COUNTIFS('United Data'!$A$3:$A$3390,P$1,'United Data'!$C$3:$C$3390,$A1350)&gt;0,1,0)</f>
        <v>0</v>
      </c>
      <c r="Q1350">
        <f>IF(COUNTIFS('United Data'!$A$3:$A$3390,Q$1,'United Data'!$C$3:$C$3390,$A1350)&gt;0,1,0)</f>
        <v>0</v>
      </c>
      <c r="R1350">
        <f>IF(COUNTIFS('United Data'!$A$3:$A$3390,R$1,'United Data'!$C$3:$C$3390,$A1350)&gt;0,1,0)</f>
        <v>0</v>
      </c>
      <c r="S1350">
        <f t="shared" si="42"/>
        <v>1</v>
      </c>
      <c r="T1350">
        <f t="shared" si="43"/>
        <v>1</v>
      </c>
    </row>
    <row r="1351" spans="1:20" x14ac:dyDescent="0.2">
      <c r="A1351" t="s">
        <v>1594</v>
      </c>
      <c r="B1351">
        <f>IF(COUNTIFS('United Data'!$A$3:$A$3390,B$1,'United Data'!$C$3:$C$3390,$A1351)&gt;0,1,0)</f>
        <v>0</v>
      </c>
      <c r="C1351">
        <f>IF(COUNTIFS('United Data'!$A$3:$A$3390,C$1,'United Data'!$C$3:$C$3390,$A1351)&gt;0,1,0)</f>
        <v>0</v>
      </c>
      <c r="D1351">
        <f>IF(COUNTIFS('United Data'!$A$3:$A$3390,D$1,'United Data'!$C$3:$C$3390,$A1351)&gt;0,1,0)</f>
        <v>0</v>
      </c>
      <c r="E1351">
        <f>IF(COUNTIFS('United Data'!$A$3:$A$3390,E$1,'United Data'!$C$3:$C$3390,$A1351)&gt;0,1,0)</f>
        <v>0</v>
      </c>
      <c r="F1351">
        <f>IF(COUNTIFS('United Data'!$A$3:$A$3390,F$1,'United Data'!$C$3:$C$3390,$A1351)&gt;0,1,0)</f>
        <v>0</v>
      </c>
      <c r="G1351">
        <f>IF(COUNTIFS('United Data'!$A$3:$A$3390,G$1,'United Data'!$C$3:$C$3390,$A1351)&gt;0,1,0)</f>
        <v>0</v>
      </c>
      <c r="H1351">
        <f>IF(COUNTIFS('United Data'!$A$3:$A$3390,H$1,'United Data'!$C$3:$C$3390,$A1351)&gt;0,1,0)</f>
        <v>0</v>
      </c>
      <c r="I1351">
        <f>IF(COUNTIFS('United Data'!$A$3:$A$3390,I$1,'United Data'!$C$3:$C$3390,$A1351)&gt;0,1,0)</f>
        <v>0</v>
      </c>
      <c r="J1351">
        <f>IF(COUNTIFS('United Data'!$A$3:$A$3390,J$1,'United Data'!$C$3:$C$3390,$A1351)&gt;0,1,0)</f>
        <v>0</v>
      </c>
      <c r="K1351">
        <f>IF(COUNTIFS('United Data'!$A$3:$A$3390,K$1,'United Data'!$C$3:$C$3390,$A1351)&gt;0,1,0)</f>
        <v>0</v>
      </c>
      <c r="L1351">
        <f>IF(COUNTIFS('United Data'!$A$3:$A$3390,L$1,'United Data'!$C$3:$C$3390,$A1351)&gt;0,1,0)</f>
        <v>0</v>
      </c>
      <c r="M1351">
        <f>IF(COUNTIFS('United Data'!$A$3:$A$3390,M$1,'United Data'!$C$3:$C$3390,$A1351)&gt;0,1,0)</f>
        <v>1</v>
      </c>
      <c r="N1351">
        <f>IF(COUNTIFS('United Data'!$A$3:$A$3390,N$1,'United Data'!$C$3:$C$3390,$A1351)&gt;0,1,0)</f>
        <v>1</v>
      </c>
      <c r="O1351">
        <f>IF(COUNTIFS('United Data'!$A$3:$A$3390,O$1,'United Data'!$C$3:$C$3390,$A1351)&gt;0,1,0)</f>
        <v>1</v>
      </c>
      <c r="P1351">
        <f>IF(COUNTIFS('United Data'!$A$3:$A$3390,P$1,'United Data'!$C$3:$C$3390,$A1351)&gt;0,1,0)</f>
        <v>0</v>
      </c>
      <c r="Q1351">
        <f>IF(COUNTIFS('United Data'!$A$3:$A$3390,Q$1,'United Data'!$C$3:$C$3390,$A1351)&gt;0,1,0)</f>
        <v>0</v>
      </c>
      <c r="R1351">
        <f>IF(COUNTIFS('United Data'!$A$3:$A$3390,R$1,'United Data'!$C$3:$C$3390,$A1351)&gt;0,1,0)</f>
        <v>0</v>
      </c>
      <c r="S1351">
        <f t="shared" si="42"/>
        <v>3</v>
      </c>
      <c r="T1351">
        <f t="shared" si="43"/>
        <v>1</v>
      </c>
    </row>
    <row r="1352" spans="1:20" x14ac:dyDescent="0.2">
      <c r="A1352" t="s">
        <v>1595</v>
      </c>
      <c r="B1352">
        <f>IF(COUNTIFS('United Data'!$A$3:$A$3390,B$1,'United Data'!$C$3:$C$3390,$A1352)&gt;0,1,0)</f>
        <v>0</v>
      </c>
      <c r="C1352">
        <f>IF(COUNTIFS('United Data'!$A$3:$A$3390,C$1,'United Data'!$C$3:$C$3390,$A1352)&gt;0,1,0)</f>
        <v>0</v>
      </c>
      <c r="D1352">
        <f>IF(COUNTIFS('United Data'!$A$3:$A$3390,D$1,'United Data'!$C$3:$C$3390,$A1352)&gt;0,1,0)</f>
        <v>0</v>
      </c>
      <c r="E1352">
        <f>IF(COUNTIFS('United Data'!$A$3:$A$3390,E$1,'United Data'!$C$3:$C$3390,$A1352)&gt;0,1,0)</f>
        <v>0</v>
      </c>
      <c r="F1352">
        <f>IF(COUNTIFS('United Data'!$A$3:$A$3390,F$1,'United Data'!$C$3:$C$3390,$A1352)&gt;0,1,0)</f>
        <v>0</v>
      </c>
      <c r="G1352">
        <f>IF(COUNTIFS('United Data'!$A$3:$A$3390,G$1,'United Data'!$C$3:$C$3390,$A1352)&gt;0,1,0)</f>
        <v>0</v>
      </c>
      <c r="H1352">
        <f>IF(COUNTIFS('United Data'!$A$3:$A$3390,H$1,'United Data'!$C$3:$C$3390,$A1352)&gt;0,1,0)</f>
        <v>0</v>
      </c>
      <c r="I1352">
        <f>IF(COUNTIFS('United Data'!$A$3:$A$3390,I$1,'United Data'!$C$3:$C$3390,$A1352)&gt;0,1,0)</f>
        <v>0</v>
      </c>
      <c r="J1352">
        <f>IF(COUNTIFS('United Data'!$A$3:$A$3390,J$1,'United Data'!$C$3:$C$3390,$A1352)&gt;0,1,0)</f>
        <v>0</v>
      </c>
      <c r="K1352">
        <f>IF(COUNTIFS('United Data'!$A$3:$A$3390,K$1,'United Data'!$C$3:$C$3390,$A1352)&gt;0,1,0)</f>
        <v>0</v>
      </c>
      <c r="L1352">
        <f>IF(COUNTIFS('United Data'!$A$3:$A$3390,L$1,'United Data'!$C$3:$C$3390,$A1352)&gt;0,1,0)</f>
        <v>0</v>
      </c>
      <c r="M1352">
        <f>IF(COUNTIFS('United Data'!$A$3:$A$3390,M$1,'United Data'!$C$3:$C$3390,$A1352)&gt;0,1,0)</f>
        <v>0</v>
      </c>
      <c r="N1352">
        <f>IF(COUNTIFS('United Data'!$A$3:$A$3390,N$1,'United Data'!$C$3:$C$3390,$A1352)&gt;0,1,0)</f>
        <v>1</v>
      </c>
      <c r="O1352">
        <f>IF(COUNTIFS('United Data'!$A$3:$A$3390,O$1,'United Data'!$C$3:$C$3390,$A1352)&gt;0,1,0)</f>
        <v>0</v>
      </c>
      <c r="P1352">
        <f>IF(COUNTIFS('United Data'!$A$3:$A$3390,P$1,'United Data'!$C$3:$C$3390,$A1352)&gt;0,1,0)</f>
        <v>0</v>
      </c>
      <c r="Q1352">
        <f>IF(COUNTIFS('United Data'!$A$3:$A$3390,Q$1,'United Data'!$C$3:$C$3390,$A1352)&gt;0,1,0)</f>
        <v>0</v>
      </c>
      <c r="R1352">
        <f>IF(COUNTIFS('United Data'!$A$3:$A$3390,R$1,'United Data'!$C$3:$C$3390,$A1352)&gt;0,1,0)</f>
        <v>0</v>
      </c>
      <c r="S1352">
        <f t="shared" si="42"/>
        <v>1</v>
      </c>
      <c r="T1352">
        <f t="shared" si="43"/>
        <v>1</v>
      </c>
    </row>
    <row r="1353" spans="1:20" x14ac:dyDescent="0.2">
      <c r="A1353" t="s">
        <v>1596</v>
      </c>
      <c r="B1353">
        <f>IF(COUNTIFS('United Data'!$A$3:$A$3390,B$1,'United Data'!$C$3:$C$3390,$A1353)&gt;0,1,0)</f>
        <v>0</v>
      </c>
      <c r="C1353">
        <f>IF(COUNTIFS('United Data'!$A$3:$A$3390,C$1,'United Data'!$C$3:$C$3390,$A1353)&gt;0,1,0)</f>
        <v>0</v>
      </c>
      <c r="D1353">
        <f>IF(COUNTIFS('United Data'!$A$3:$A$3390,D$1,'United Data'!$C$3:$C$3390,$A1353)&gt;0,1,0)</f>
        <v>0</v>
      </c>
      <c r="E1353">
        <f>IF(COUNTIFS('United Data'!$A$3:$A$3390,E$1,'United Data'!$C$3:$C$3390,$A1353)&gt;0,1,0)</f>
        <v>0</v>
      </c>
      <c r="F1353">
        <f>IF(COUNTIFS('United Data'!$A$3:$A$3390,F$1,'United Data'!$C$3:$C$3390,$A1353)&gt;0,1,0)</f>
        <v>0</v>
      </c>
      <c r="G1353">
        <f>IF(COUNTIFS('United Data'!$A$3:$A$3390,G$1,'United Data'!$C$3:$C$3390,$A1353)&gt;0,1,0)</f>
        <v>0</v>
      </c>
      <c r="H1353">
        <f>IF(COUNTIFS('United Data'!$A$3:$A$3390,H$1,'United Data'!$C$3:$C$3390,$A1353)&gt;0,1,0)</f>
        <v>0</v>
      </c>
      <c r="I1353">
        <f>IF(COUNTIFS('United Data'!$A$3:$A$3390,I$1,'United Data'!$C$3:$C$3390,$A1353)&gt;0,1,0)</f>
        <v>0</v>
      </c>
      <c r="J1353">
        <f>IF(COUNTIFS('United Data'!$A$3:$A$3390,J$1,'United Data'!$C$3:$C$3390,$A1353)&gt;0,1,0)</f>
        <v>0</v>
      </c>
      <c r="K1353">
        <f>IF(COUNTIFS('United Data'!$A$3:$A$3390,K$1,'United Data'!$C$3:$C$3390,$A1353)&gt;0,1,0)</f>
        <v>0</v>
      </c>
      <c r="L1353">
        <f>IF(COUNTIFS('United Data'!$A$3:$A$3390,L$1,'United Data'!$C$3:$C$3390,$A1353)&gt;0,1,0)</f>
        <v>0</v>
      </c>
      <c r="M1353">
        <f>IF(COUNTIFS('United Data'!$A$3:$A$3390,M$1,'United Data'!$C$3:$C$3390,$A1353)&gt;0,1,0)</f>
        <v>0</v>
      </c>
      <c r="N1353">
        <f>IF(COUNTIFS('United Data'!$A$3:$A$3390,N$1,'United Data'!$C$3:$C$3390,$A1353)&gt;0,1,0)</f>
        <v>1</v>
      </c>
      <c r="O1353">
        <f>IF(COUNTIFS('United Data'!$A$3:$A$3390,O$1,'United Data'!$C$3:$C$3390,$A1353)&gt;0,1,0)</f>
        <v>1</v>
      </c>
      <c r="P1353">
        <f>IF(COUNTIFS('United Data'!$A$3:$A$3390,P$1,'United Data'!$C$3:$C$3390,$A1353)&gt;0,1,0)</f>
        <v>1</v>
      </c>
      <c r="Q1353">
        <f>IF(COUNTIFS('United Data'!$A$3:$A$3390,Q$1,'United Data'!$C$3:$C$3390,$A1353)&gt;0,1,0)</f>
        <v>0</v>
      </c>
      <c r="R1353">
        <f>IF(COUNTIFS('United Data'!$A$3:$A$3390,R$1,'United Data'!$C$3:$C$3390,$A1353)&gt;0,1,0)</f>
        <v>0</v>
      </c>
      <c r="S1353">
        <f t="shared" si="42"/>
        <v>3</v>
      </c>
      <c r="T1353">
        <f t="shared" si="43"/>
        <v>1</v>
      </c>
    </row>
    <row r="1354" spans="1:20" x14ac:dyDescent="0.2">
      <c r="A1354" t="s">
        <v>1597</v>
      </c>
      <c r="B1354">
        <f>IF(COUNTIFS('United Data'!$A$3:$A$3390,B$1,'United Data'!$C$3:$C$3390,$A1354)&gt;0,1,0)</f>
        <v>0</v>
      </c>
      <c r="C1354">
        <f>IF(COUNTIFS('United Data'!$A$3:$A$3390,C$1,'United Data'!$C$3:$C$3390,$A1354)&gt;0,1,0)</f>
        <v>0</v>
      </c>
      <c r="D1354">
        <f>IF(COUNTIFS('United Data'!$A$3:$A$3390,D$1,'United Data'!$C$3:$C$3390,$A1354)&gt;0,1,0)</f>
        <v>0</v>
      </c>
      <c r="E1354">
        <f>IF(COUNTIFS('United Data'!$A$3:$A$3390,E$1,'United Data'!$C$3:$C$3390,$A1354)&gt;0,1,0)</f>
        <v>0</v>
      </c>
      <c r="F1354">
        <f>IF(COUNTIFS('United Data'!$A$3:$A$3390,F$1,'United Data'!$C$3:$C$3390,$A1354)&gt;0,1,0)</f>
        <v>0</v>
      </c>
      <c r="G1354">
        <f>IF(COUNTIFS('United Data'!$A$3:$A$3390,G$1,'United Data'!$C$3:$C$3390,$A1354)&gt;0,1,0)</f>
        <v>0</v>
      </c>
      <c r="H1354">
        <f>IF(COUNTIFS('United Data'!$A$3:$A$3390,H$1,'United Data'!$C$3:$C$3390,$A1354)&gt;0,1,0)</f>
        <v>0</v>
      </c>
      <c r="I1354">
        <f>IF(COUNTIFS('United Data'!$A$3:$A$3390,I$1,'United Data'!$C$3:$C$3390,$A1354)&gt;0,1,0)</f>
        <v>0</v>
      </c>
      <c r="J1354">
        <f>IF(COUNTIFS('United Data'!$A$3:$A$3390,J$1,'United Data'!$C$3:$C$3390,$A1354)&gt;0,1,0)</f>
        <v>0</v>
      </c>
      <c r="K1354">
        <f>IF(COUNTIFS('United Data'!$A$3:$A$3390,K$1,'United Data'!$C$3:$C$3390,$A1354)&gt;0,1,0)</f>
        <v>0</v>
      </c>
      <c r="L1354">
        <f>IF(COUNTIFS('United Data'!$A$3:$A$3390,L$1,'United Data'!$C$3:$C$3390,$A1354)&gt;0,1,0)</f>
        <v>0</v>
      </c>
      <c r="M1354">
        <f>IF(COUNTIFS('United Data'!$A$3:$A$3390,M$1,'United Data'!$C$3:$C$3390,$A1354)&gt;0,1,0)</f>
        <v>0</v>
      </c>
      <c r="N1354">
        <f>IF(COUNTIFS('United Data'!$A$3:$A$3390,N$1,'United Data'!$C$3:$C$3390,$A1354)&gt;0,1,0)</f>
        <v>0</v>
      </c>
      <c r="O1354">
        <f>IF(COUNTIFS('United Data'!$A$3:$A$3390,O$1,'United Data'!$C$3:$C$3390,$A1354)&gt;0,1,0)</f>
        <v>1</v>
      </c>
      <c r="P1354">
        <f>IF(COUNTIFS('United Data'!$A$3:$A$3390,P$1,'United Data'!$C$3:$C$3390,$A1354)&gt;0,1,0)</f>
        <v>0</v>
      </c>
      <c r="Q1354">
        <f>IF(COUNTIFS('United Data'!$A$3:$A$3390,Q$1,'United Data'!$C$3:$C$3390,$A1354)&gt;0,1,0)</f>
        <v>0</v>
      </c>
      <c r="R1354">
        <f>IF(COUNTIFS('United Data'!$A$3:$A$3390,R$1,'United Data'!$C$3:$C$3390,$A1354)&gt;0,1,0)</f>
        <v>0</v>
      </c>
      <c r="S1354">
        <f t="shared" si="42"/>
        <v>1</v>
      </c>
      <c r="T1354">
        <f t="shared" si="43"/>
        <v>1</v>
      </c>
    </row>
    <row r="1355" spans="1:20" x14ac:dyDescent="0.2">
      <c r="A1355" t="s">
        <v>1598</v>
      </c>
      <c r="B1355">
        <f>IF(COUNTIFS('United Data'!$A$3:$A$3390,B$1,'United Data'!$C$3:$C$3390,$A1355)&gt;0,1,0)</f>
        <v>0</v>
      </c>
      <c r="C1355">
        <f>IF(COUNTIFS('United Data'!$A$3:$A$3390,C$1,'United Data'!$C$3:$C$3390,$A1355)&gt;0,1,0)</f>
        <v>0</v>
      </c>
      <c r="D1355">
        <f>IF(COUNTIFS('United Data'!$A$3:$A$3390,D$1,'United Data'!$C$3:$C$3390,$A1355)&gt;0,1,0)</f>
        <v>0</v>
      </c>
      <c r="E1355">
        <f>IF(COUNTIFS('United Data'!$A$3:$A$3390,E$1,'United Data'!$C$3:$C$3390,$A1355)&gt;0,1,0)</f>
        <v>0</v>
      </c>
      <c r="F1355">
        <f>IF(COUNTIFS('United Data'!$A$3:$A$3390,F$1,'United Data'!$C$3:$C$3390,$A1355)&gt;0,1,0)</f>
        <v>0</v>
      </c>
      <c r="G1355">
        <f>IF(COUNTIFS('United Data'!$A$3:$A$3390,G$1,'United Data'!$C$3:$C$3390,$A1355)&gt;0,1,0)</f>
        <v>0</v>
      </c>
      <c r="H1355">
        <f>IF(COUNTIFS('United Data'!$A$3:$A$3390,H$1,'United Data'!$C$3:$C$3390,$A1355)&gt;0,1,0)</f>
        <v>0</v>
      </c>
      <c r="I1355">
        <f>IF(COUNTIFS('United Data'!$A$3:$A$3390,I$1,'United Data'!$C$3:$C$3390,$A1355)&gt;0,1,0)</f>
        <v>0</v>
      </c>
      <c r="J1355">
        <f>IF(COUNTIFS('United Data'!$A$3:$A$3390,J$1,'United Data'!$C$3:$C$3390,$A1355)&gt;0,1,0)</f>
        <v>0</v>
      </c>
      <c r="K1355">
        <f>IF(COUNTIFS('United Data'!$A$3:$A$3390,K$1,'United Data'!$C$3:$C$3390,$A1355)&gt;0,1,0)</f>
        <v>0</v>
      </c>
      <c r="L1355">
        <f>IF(COUNTIFS('United Data'!$A$3:$A$3390,L$1,'United Data'!$C$3:$C$3390,$A1355)&gt;0,1,0)</f>
        <v>0</v>
      </c>
      <c r="M1355">
        <f>IF(COUNTIFS('United Data'!$A$3:$A$3390,M$1,'United Data'!$C$3:$C$3390,$A1355)&gt;0,1,0)</f>
        <v>0</v>
      </c>
      <c r="N1355">
        <f>IF(COUNTIFS('United Data'!$A$3:$A$3390,N$1,'United Data'!$C$3:$C$3390,$A1355)&gt;0,1,0)</f>
        <v>0</v>
      </c>
      <c r="O1355">
        <f>IF(COUNTIFS('United Data'!$A$3:$A$3390,O$1,'United Data'!$C$3:$C$3390,$A1355)&gt;0,1,0)</f>
        <v>1</v>
      </c>
      <c r="P1355">
        <f>IF(COUNTIFS('United Data'!$A$3:$A$3390,P$1,'United Data'!$C$3:$C$3390,$A1355)&gt;0,1,0)</f>
        <v>1</v>
      </c>
      <c r="Q1355">
        <f>IF(COUNTIFS('United Data'!$A$3:$A$3390,Q$1,'United Data'!$C$3:$C$3390,$A1355)&gt;0,1,0)</f>
        <v>0</v>
      </c>
      <c r="R1355">
        <f>IF(COUNTIFS('United Data'!$A$3:$A$3390,R$1,'United Data'!$C$3:$C$3390,$A1355)&gt;0,1,0)</f>
        <v>0</v>
      </c>
      <c r="S1355">
        <f t="shared" si="42"/>
        <v>2</v>
      </c>
      <c r="T1355">
        <f t="shared" si="43"/>
        <v>1</v>
      </c>
    </row>
    <row r="1356" spans="1:20" x14ac:dyDescent="0.2">
      <c r="A1356" t="s">
        <v>1599</v>
      </c>
      <c r="B1356">
        <f>IF(COUNTIFS('United Data'!$A$3:$A$3390,B$1,'United Data'!$C$3:$C$3390,$A1356)&gt;0,1,0)</f>
        <v>0</v>
      </c>
      <c r="C1356">
        <f>IF(COUNTIFS('United Data'!$A$3:$A$3390,C$1,'United Data'!$C$3:$C$3390,$A1356)&gt;0,1,0)</f>
        <v>0</v>
      </c>
      <c r="D1356">
        <f>IF(COUNTIFS('United Data'!$A$3:$A$3390,D$1,'United Data'!$C$3:$C$3390,$A1356)&gt;0,1,0)</f>
        <v>0</v>
      </c>
      <c r="E1356">
        <f>IF(COUNTIFS('United Data'!$A$3:$A$3390,E$1,'United Data'!$C$3:$C$3390,$A1356)&gt;0,1,0)</f>
        <v>0</v>
      </c>
      <c r="F1356">
        <f>IF(COUNTIFS('United Data'!$A$3:$A$3390,F$1,'United Data'!$C$3:$C$3390,$A1356)&gt;0,1,0)</f>
        <v>0</v>
      </c>
      <c r="G1356">
        <f>IF(COUNTIFS('United Data'!$A$3:$A$3390,G$1,'United Data'!$C$3:$C$3390,$A1356)&gt;0,1,0)</f>
        <v>0</v>
      </c>
      <c r="H1356">
        <f>IF(COUNTIFS('United Data'!$A$3:$A$3390,H$1,'United Data'!$C$3:$C$3390,$A1356)&gt;0,1,0)</f>
        <v>0</v>
      </c>
      <c r="I1356">
        <f>IF(COUNTIFS('United Data'!$A$3:$A$3390,I$1,'United Data'!$C$3:$C$3390,$A1356)&gt;0,1,0)</f>
        <v>0</v>
      </c>
      <c r="J1356">
        <f>IF(COUNTIFS('United Data'!$A$3:$A$3390,J$1,'United Data'!$C$3:$C$3390,$A1356)&gt;0,1,0)</f>
        <v>0</v>
      </c>
      <c r="K1356">
        <f>IF(COUNTIFS('United Data'!$A$3:$A$3390,K$1,'United Data'!$C$3:$C$3390,$A1356)&gt;0,1,0)</f>
        <v>0</v>
      </c>
      <c r="L1356">
        <f>IF(COUNTIFS('United Data'!$A$3:$A$3390,L$1,'United Data'!$C$3:$C$3390,$A1356)&gt;0,1,0)</f>
        <v>0</v>
      </c>
      <c r="M1356">
        <f>IF(COUNTIFS('United Data'!$A$3:$A$3390,M$1,'United Data'!$C$3:$C$3390,$A1356)&gt;0,1,0)</f>
        <v>0</v>
      </c>
      <c r="N1356">
        <f>IF(COUNTIFS('United Data'!$A$3:$A$3390,N$1,'United Data'!$C$3:$C$3390,$A1356)&gt;0,1,0)</f>
        <v>0</v>
      </c>
      <c r="O1356">
        <f>IF(COUNTIFS('United Data'!$A$3:$A$3390,O$1,'United Data'!$C$3:$C$3390,$A1356)&gt;0,1,0)</f>
        <v>1</v>
      </c>
      <c r="P1356">
        <f>IF(COUNTIFS('United Data'!$A$3:$A$3390,P$1,'United Data'!$C$3:$C$3390,$A1356)&gt;0,1,0)</f>
        <v>0</v>
      </c>
      <c r="Q1356">
        <f>IF(COUNTIFS('United Data'!$A$3:$A$3390,Q$1,'United Data'!$C$3:$C$3390,$A1356)&gt;0,1,0)</f>
        <v>0</v>
      </c>
      <c r="R1356">
        <f>IF(COUNTIFS('United Data'!$A$3:$A$3390,R$1,'United Data'!$C$3:$C$3390,$A1356)&gt;0,1,0)</f>
        <v>0</v>
      </c>
      <c r="S1356">
        <f t="shared" si="42"/>
        <v>1</v>
      </c>
      <c r="T1356">
        <f t="shared" si="43"/>
        <v>1</v>
      </c>
    </row>
    <row r="1357" spans="1:20" x14ac:dyDescent="0.2">
      <c r="A1357" t="s">
        <v>1601</v>
      </c>
      <c r="B1357">
        <f>IF(COUNTIFS('United Data'!$A$3:$A$3390,B$1,'United Data'!$C$3:$C$3390,$A1357)&gt;0,1,0)</f>
        <v>0</v>
      </c>
      <c r="C1357">
        <f>IF(COUNTIFS('United Data'!$A$3:$A$3390,C$1,'United Data'!$C$3:$C$3390,$A1357)&gt;0,1,0)</f>
        <v>0</v>
      </c>
      <c r="D1357">
        <f>IF(COUNTIFS('United Data'!$A$3:$A$3390,D$1,'United Data'!$C$3:$C$3390,$A1357)&gt;0,1,0)</f>
        <v>0</v>
      </c>
      <c r="E1357">
        <f>IF(COUNTIFS('United Data'!$A$3:$A$3390,E$1,'United Data'!$C$3:$C$3390,$A1357)&gt;0,1,0)</f>
        <v>0</v>
      </c>
      <c r="F1357">
        <f>IF(COUNTIFS('United Data'!$A$3:$A$3390,F$1,'United Data'!$C$3:$C$3390,$A1357)&gt;0,1,0)</f>
        <v>0</v>
      </c>
      <c r="G1357">
        <f>IF(COUNTIFS('United Data'!$A$3:$A$3390,G$1,'United Data'!$C$3:$C$3390,$A1357)&gt;0,1,0)</f>
        <v>0</v>
      </c>
      <c r="H1357">
        <f>IF(COUNTIFS('United Data'!$A$3:$A$3390,H$1,'United Data'!$C$3:$C$3390,$A1357)&gt;0,1,0)</f>
        <v>0</v>
      </c>
      <c r="I1357">
        <f>IF(COUNTIFS('United Data'!$A$3:$A$3390,I$1,'United Data'!$C$3:$C$3390,$A1357)&gt;0,1,0)</f>
        <v>0</v>
      </c>
      <c r="J1357">
        <f>IF(COUNTIFS('United Data'!$A$3:$A$3390,J$1,'United Data'!$C$3:$C$3390,$A1357)&gt;0,1,0)</f>
        <v>0</v>
      </c>
      <c r="K1357">
        <f>IF(COUNTIFS('United Data'!$A$3:$A$3390,K$1,'United Data'!$C$3:$C$3390,$A1357)&gt;0,1,0)</f>
        <v>0</v>
      </c>
      <c r="L1357">
        <f>IF(COUNTIFS('United Data'!$A$3:$A$3390,L$1,'United Data'!$C$3:$C$3390,$A1357)&gt;0,1,0)</f>
        <v>0</v>
      </c>
      <c r="M1357">
        <f>IF(COUNTIFS('United Data'!$A$3:$A$3390,M$1,'United Data'!$C$3:$C$3390,$A1357)&gt;0,1,0)</f>
        <v>0</v>
      </c>
      <c r="N1357">
        <f>IF(COUNTIFS('United Data'!$A$3:$A$3390,N$1,'United Data'!$C$3:$C$3390,$A1357)&gt;0,1,0)</f>
        <v>0</v>
      </c>
      <c r="O1357">
        <f>IF(COUNTIFS('United Data'!$A$3:$A$3390,O$1,'United Data'!$C$3:$C$3390,$A1357)&gt;0,1,0)</f>
        <v>1</v>
      </c>
      <c r="P1357">
        <f>IF(COUNTIFS('United Data'!$A$3:$A$3390,P$1,'United Data'!$C$3:$C$3390,$A1357)&gt;0,1,0)</f>
        <v>0</v>
      </c>
      <c r="Q1357">
        <f>IF(COUNTIFS('United Data'!$A$3:$A$3390,Q$1,'United Data'!$C$3:$C$3390,$A1357)&gt;0,1,0)</f>
        <v>0</v>
      </c>
      <c r="R1357">
        <f>IF(COUNTIFS('United Data'!$A$3:$A$3390,R$1,'United Data'!$C$3:$C$3390,$A1357)&gt;0,1,0)</f>
        <v>0</v>
      </c>
      <c r="S1357">
        <f t="shared" si="42"/>
        <v>1</v>
      </c>
      <c r="T1357">
        <f t="shared" si="43"/>
        <v>1</v>
      </c>
    </row>
    <row r="1358" spans="1:20" x14ac:dyDescent="0.2">
      <c r="A1358" t="s">
        <v>1602</v>
      </c>
      <c r="B1358">
        <f>IF(COUNTIFS('United Data'!$A$3:$A$3390,B$1,'United Data'!$C$3:$C$3390,$A1358)&gt;0,1,0)</f>
        <v>0</v>
      </c>
      <c r="C1358">
        <f>IF(COUNTIFS('United Data'!$A$3:$A$3390,C$1,'United Data'!$C$3:$C$3390,$A1358)&gt;0,1,0)</f>
        <v>0</v>
      </c>
      <c r="D1358">
        <f>IF(COUNTIFS('United Data'!$A$3:$A$3390,D$1,'United Data'!$C$3:$C$3390,$A1358)&gt;0,1,0)</f>
        <v>0</v>
      </c>
      <c r="E1358">
        <f>IF(COUNTIFS('United Data'!$A$3:$A$3390,E$1,'United Data'!$C$3:$C$3390,$A1358)&gt;0,1,0)</f>
        <v>0</v>
      </c>
      <c r="F1358">
        <f>IF(COUNTIFS('United Data'!$A$3:$A$3390,F$1,'United Data'!$C$3:$C$3390,$A1358)&gt;0,1,0)</f>
        <v>0</v>
      </c>
      <c r="G1358">
        <f>IF(COUNTIFS('United Data'!$A$3:$A$3390,G$1,'United Data'!$C$3:$C$3390,$A1358)&gt;0,1,0)</f>
        <v>0</v>
      </c>
      <c r="H1358">
        <f>IF(COUNTIFS('United Data'!$A$3:$A$3390,H$1,'United Data'!$C$3:$C$3390,$A1358)&gt;0,1,0)</f>
        <v>0</v>
      </c>
      <c r="I1358">
        <f>IF(COUNTIFS('United Data'!$A$3:$A$3390,I$1,'United Data'!$C$3:$C$3390,$A1358)&gt;0,1,0)</f>
        <v>0</v>
      </c>
      <c r="J1358">
        <f>IF(COUNTIFS('United Data'!$A$3:$A$3390,J$1,'United Data'!$C$3:$C$3390,$A1358)&gt;0,1,0)</f>
        <v>0</v>
      </c>
      <c r="K1358">
        <f>IF(COUNTIFS('United Data'!$A$3:$A$3390,K$1,'United Data'!$C$3:$C$3390,$A1358)&gt;0,1,0)</f>
        <v>0</v>
      </c>
      <c r="L1358">
        <f>IF(COUNTIFS('United Data'!$A$3:$A$3390,L$1,'United Data'!$C$3:$C$3390,$A1358)&gt;0,1,0)</f>
        <v>0</v>
      </c>
      <c r="M1358">
        <f>IF(COUNTIFS('United Data'!$A$3:$A$3390,M$1,'United Data'!$C$3:$C$3390,$A1358)&gt;0,1,0)</f>
        <v>0</v>
      </c>
      <c r="N1358">
        <f>IF(COUNTIFS('United Data'!$A$3:$A$3390,N$1,'United Data'!$C$3:$C$3390,$A1358)&gt;0,1,0)</f>
        <v>0</v>
      </c>
      <c r="O1358">
        <f>IF(COUNTIFS('United Data'!$A$3:$A$3390,O$1,'United Data'!$C$3:$C$3390,$A1358)&gt;0,1,0)</f>
        <v>0</v>
      </c>
      <c r="P1358">
        <f>IF(COUNTIFS('United Data'!$A$3:$A$3390,P$1,'United Data'!$C$3:$C$3390,$A1358)&gt;0,1,0)</f>
        <v>1</v>
      </c>
      <c r="Q1358">
        <f>IF(COUNTIFS('United Data'!$A$3:$A$3390,Q$1,'United Data'!$C$3:$C$3390,$A1358)&gt;0,1,0)</f>
        <v>0</v>
      </c>
      <c r="R1358">
        <f>IF(COUNTIFS('United Data'!$A$3:$A$3390,R$1,'United Data'!$C$3:$C$3390,$A1358)&gt;0,1,0)</f>
        <v>0</v>
      </c>
      <c r="S1358">
        <f t="shared" si="42"/>
        <v>1</v>
      </c>
      <c r="T1358">
        <f t="shared" si="43"/>
        <v>1</v>
      </c>
    </row>
    <row r="1359" spans="1:20" x14ac:dyDescent="0.2">
      <c r="A1359" t="s">
        <v>1603</v>
      </c>
      <c r="B1359">
        <f>IF(COUNTIFS('United Data'!$A$3:$A$3390,B$1,'United Data'!$C$3:$C$3390,$A1359)&gt;0,1,0)</f>
        <v>0</v>
      </c>
      <c r="C1359">
        <f>IF(COUNTIFS('United Data'!$A$3:$A$3390,C$1,'United Data'!$C$3:$C$3390,$A1359)&gt;0,1,0)</f>
        <v>0</v>
      </c>
      <c r="D1359">
        <f>IF(COUNTIFS('United Data'!$A$3:$A$3390,D$1,'United Data'!$C$3:$C$3390,$A1359)&gt;0,1,0)</f>
        <v>0</v>
      </c>
      <c r="E1359">
        <f>IF(COUNTIFS('United Data'!$A$3:$A$3390,E$1,'United Data'!$C$3:$C$3390,$A1359)&gt;0,1,0)</f>
        <v>0</v>
      </c>
      <c r="F1359">
        <f>IF(COUNTIFS('United Data'!$A$3:$A$3390,F$1,'United Data'!$C$3:$C$3390,$A1359)&gt;0,1,0)</f>
        <v>0</v>
      </c>
      <c r="G1359">
        <f>IF(COUNTIFS('United Data'!$A$3:$A$3390,G$1,'United Data'!$C$3:$C$3390,$A1359)&gt;0,1,0)</f>
        <v>0</v>
      </c>
      <c r="H1359">
        <f>IF(COUNTIFS('United Data'!$A$3:$A$3390,H$1,'United Data'!$C$3:$C$3390,$A1359)&gt;0,1,0)</f>
        <v>0</v>
      </c>
      <c r="I1359">
        <f>IF(COUNTIFS('United Data'!$A$3:$A$3390,I$1,'United Data'!$C$3:$C$3390,$A1359)&gt;0,1,0)</f>
        <v>0</v>
      </c>
      <c r="J1359">
        <f>IF(COUNTIFS('United Data'!$A$3:$A$3390,J$1,'United Data'!$C$3:$C$3390,$A1359)&gt;0,1,0)</f>
        <v>0</v>
      </c>
      <c r="K1359">
        <f>IF(COUNTIFS('United Data'!$A$3:$A$3390,K$1,'United Data'!$C$3:$C$3390,$A1359)&gt;0,1,0)</f>
        <v>0</v>
      </c>
      <c r="L1359">
        <f>IF(COUNTIFS('United Data'!$A$3:$A$3390,L$1,'United Data'!$C$3:$C$3390,$A1359)&gt;0,1,0)</f>
        <v>0</v>
      </c>
      <c r="M1359">
        <f>IF(COUNTIFS('United Data'!$A$3:$A$3390,M$1,'United Data'!$C$3:$C$3390,$A1359)&gt;0,1,0)</f>
        <v>0</v>
      </c>
      <c r="N1359">
        <f>IF(COUNTIFS('United Data'!$A$3:$A$3390,N$1,'United Data'!$C$3:$C$3390,$A1359)&gt;0,1,0)</f>
        <v>0</v>
      </c>
      <c r="O1359">
        <f>IF(COUNTIFS('United Data'!$A$3:$A$3390,O$1,'United Data'!$C$3:$C$3390,$A1359)&gt;0,1,0)</f>
        <v>0</v>
      </c>
      <c r="P1359">
        <f>IF(COUNTIFS('United Data'!$A$3:$A$3390,P$1,'United Data'!$C$3:$C$3390,$A1359)&gt;0,1,0)</f>
        <v>1</v>
      </c>
      <c r="Q1359">
        <f>IF(COUNTIFS('United Data'!$A$3:$A$3390,Q$1,'United Data'!$C$3:$C$3390,$A1359)&gt;0,1,0)</f>
        <v>0</v>
      </c>
      <c r="R1359">
        <f>IF(COUNTIFS('United Data'!$A$3:$A$3390,R$1,'United Data'!$C$3:$C$3390,$A1359)&gt;0,1,0)</f>
        <v>0</v>
      </c>
      <c r="S1359">
        <f t="shared" si="42"/>
        <v>1</v>
      </c>
      <c r="T1359">
        <f t="shared" si="43"/>
        <v>1</v>
      </c>
    </row>
    <row r="1360" spans="1:20" x14ac:dyDescent="0.2">
      <c r="A1360" t="s">
        <v>1604</v>
      </c>
      <c r="B1360">
        <f>IF(COUNTIFS('United Data'!$A$3:$A$3390,B$1,'United Data'!$C$3:$C$3390,$A1360)&gt;0,1,0)</f>
        <v>0</v>
      </c>
      <c r="C1360">
        <f>IF(COUNTIFS('United Data'!$A$3:$A$3390,C$1,'United Data'!$C$3:$C$3390,$A1360)&gt;0,1,0)</f>
        <v>0</v>
      </c>
      <c r="D1360">
        <f>IF(COUNTIFS('United Data'!$A$3:$A$3390,D$1,'United Data'!$C$3:$C$3390,$A1360)&gt;0,1,0)</f>
        <v>0</v>
      </c>
      <c r="E1360">
        <f>IF(COUNTIFS('United Data'!$A$3:$A$3390,E$1,'United Data'!$C$3:$C$3390,$A1360)&gt;0,1,0)</f>
        <v>0</v>
      </c>
      <c r="F1360">
        <f>IF(COUNTIFS('United Data'!$A$3:$A$3390,F$1,'United Data'!$C$3:$C$3390,$A1360)&gt;0,1,0)</f>
        <v>0</v>
      </c>
      <c r="G1360">
        <f>IF(COUNTIFS('United Data'!$A$3:$A$3390,G$1,'United Data'!$C$3:$C$3390,$A1360)&gt;0,1,0)</f>
        <v>0</v>
      </c>
      <c r="H1360">
        <f>IF(COUNTIFS('United Data'!$A$3:$A$3390,H$1,'United Data'!$C$3:$C$3390,$A1360)&gt;0,1,0)</f>
        <v>0</v>
      </c>
      <c r="I1360">
        <f>IF(COUNTIFS('United Data'!$A$3:$A$3390,I$1,'United Data'!$C$3:$C$3390,$A1360)&gt;0,1,0)</f>
        <v>0</v>
      </c>
      <c r="J1360">
        <f>IF(COUNTIFS('United Data'!$A$3:$A$3390,J$1,'United Data'!$C$3:$C$3390,$A1360)&gt;0,1,0)</f>
        <v>0</v>
      </c>
      <c r="K1360">
        <f>IF(COUNTIFS('United Data'!$A$3:$A$3390,K$1,'United Data'!$C$3:$C$3390,$A1360)&gt;0,1,0)</f>
        <v>0</v>
      </c>
      <c r="L1360">
        <f>IF(COUNTIFS('United Data'!$A$3:$A$3390,L$1,'United Data'!$C$3:$C$3390,$A1360)&gt;0,1,0)</f>
        <v>0</v>
      </c>
      <c r="M1360">
        <f>IF(COUNTIFS('United Data'!$A$3:$A$3390,M$1,'United Data'!$C$3:$C$3390,$A1360)&gt;0,1,0)</f>
        <v>0</v>
      </c>
      <c r="N1360">
        <f>IF(COUNTIFS('United Data'!$A$3:$A$3390,N$1,'United Data'!$C$3:$C$3390,$A1360)&gt;0,1,0)</f>
        <v>0</v>
      </c>
      <c r="O1360">
        <f>IF(COUNTIFS('United Data'!$A$3:$A$3390,O$1,'United Data'!$C$3:$C$3390,$A1360)&gt;0,1,0)</f>
        <v>0</v>
      </c>
      <c r="P1360">
        <f>IF(COUNTIFS('United Data'!$A$3:$A$3390,P$1,'United Data'!$C$3:$C$3390,$A1360)&gt;0,1,0)</f>
        <v>1</v>
      </c>
      <c r="Q1360">
        <f>IF(COUNTIFS('United Data'!$A$3:$A$3390,Q$1,'United Data'!$C$3:$C$3390,$A1360)&gt;0,1,0)</f>
        <v>0</v>
      </c>
      <c r="R1360">
        <f>IF(COUNTIFS('United Data'!$A$3:$A$3390,R$1,'United Data'!$C$3:$C$3390,$A1360)&gt;0,1,0)</f>
        <v>0</v>
      </c>
      <c r="S1360">
        <f t="shared" si="42"/>
        <v>1</v>
      </c>
      <c r="T1360">
        <f t="shared" si="43"/>
        <v>1</v>
      </c>
    </row>
    <row r="1361" spans="1:20" x14ac:dyDescent="0.2">
      <c r="A1361" t="s">
        <v>1605</v>
      </c>
      <c r="B1361">
        <f>IF(COUNTIFS('United Data'!$A$3:$A$3390,B$1,'United Data'!$C$3:$C$3390,$A1361)&gt;0,1,0)</f>
        <v>0</v>
      </c>
      <c r="C1361">
        <f>IF(COUNTIFS('United Data'!$A$3:$A$3390,C$1,'United Data'!$C$3:$C$3390,$A1361)&gt;0,1,0)</f>
        <v>0</v>
      </c>
      <c r="D1361">
        <f>IF(COUNTIFS('United Data'!$A$3:$A$3390,D$1,'United Data'!$C$3:$C$3390,$A1361)&gt;0,1,0)</f>
        <v>0</v>
      </c>
      <c r="E1361">
        <f>IF(COUNTIFS('United Data'!$A$3:$A$3390,E$1,'United Data'!$C$3:$C$3390,$A1361)&gt;0,1,0)</f>
        <v>0</v>
      </c>
      <c r="F1361">
        <f>IF(COUNTIFS('United Data'!$A$3:$A$3390,F$1,'United Data'!$C$3:$C$3390,$A1361)&gt;0,1,0)</f>
        <v>0</v>
      </c>
      <c r="G1361">
        <f>IF(COUNTIFS('United Data'!$A$3:$A$3390,G$1,'United Data'!$C$3:$C$3390,$A1361)&gt;0,1,0)</f>
        <v>0</v>
      </c>
      <c r="H1361">
        <f>IF(COUNTIFS('United Data'!$A$3:$A$3390,H$1,'United Data'!$C$3:$C$3390,$A1361)&gt;0,1,0)</f>
        <v>0</v>
      </c>
      <c r="I1361">
        <f>IF(COUNTIFS('United Data'!$A$3:$A$3390,I$1,'United Data'!$C$3:$C$3390,$A1361)&gt;0,1,0)</f>
        <v>0</v>
      </c>
      <c r="J1361">
        <f>IF(COUNTIFS('United Data'!$A$3:$A$3390,J$1,'United Data'!$C$3:$C$3390,$A1361)&gt;0,1,0)</f>
        <v>0</v>
      </c>
      <c r="K1361">
        <f>IF(COUNTIFS('United Data'!$A$3:$A$3390,K$1,'United Data'!$C$3:$C$3390,$A1361)&gt;0,1,0)</f>
        <v>0</v>
      </c>
      <c r="L1361">
        <f>IF(COUNTIFS('United Data'!$A$3:$A$3390,L$1,'United Data'!$C$3:$C$3390,$A1361)&gt;0,1,0)</f>
        <v>0</v>
      </c>
      <c r="M1361">
        <f>IF(COUNTIFS('United Data'!$A$3:$A$3390,M$1,'United Data'!$C$3:$C$3390,$A1361)&gt;0,1,0)</f>
        <v>0</v>
      </c>
      <c r="N1361">
        <f>IF(COUNTIFS('United Data'!$A$3:$A$3390,N$1,'United Data'!$C$3:$C$3390,$A1361)&gt;0,1,0)</f>
        <v>0</v>
      </c>
      <c r="O1361">
        <f>IF(COUNTIFS('United Data'!$A$3:$A$3390,O$1,'United Data'!$C$3:$C$3390,$A1361)&gt;0,1,0)</f>
        <v>0</v>
      </c>
      <c r="P1361">
        <f>IF(COUNTIFS('United Data'!$A$3:$A$3390,P$1,'United Data'!$C$3:$C$3390,$A1361)&gt;0,1,0)</f>
        <v>1</v>
      </c>
      <c r="Q1361">
        <f>IF(COUNTIFS('United Data'!$A$3:$A$3390,Q$1,'United Data'!$C$3:$C$3390,$A1361)&gt;0,1,0)</f>
        <v>0</v>
      </c>
      <c r="R1361">
        <f>IF(COUNTIFS('United Data'!$A$3:$A$3390,R$1,'United Data'!$C$3:$C$3390,$A1361)&gt;0,1,0)</f>
        <v>0</v>
      </c>
      <c r="S1361">
        <f t="shared" si="42"/>
        <v>1</v>
      </c>
      <c r="T1361">
        <f t="shared" si="43"/>
        <v>1</v>
      </c>
    </row>
    <row r="1362" spans="1:20" x14ac:dyDescent="0.2">
      <c r="A1362" t="s">
        <v>1606</v>
      </c>
      <c r="B1362">
        <f>IF(COUNTIFS('United Data'!$A$3:$A$3390,B$1,'United Data'!$C$3:$C$3390,$A1362)&gt;0,1,0)</f>
        <v>0</v>
      </c>
      <c r="C1362">
        <f>IF(COUNTIFS('United Data'!$A$3:$A$3390,C$1,'United Data'!$C$3:$C$3390,$A1362)&gt;0,1,0)</f>
        <v>0</v>
      </c>
      <c r="D1362">
        <f>IF(COUNTIFS('United Data'!$A$3:$A$3390,D$1,'United Data'!$C$3:$C$3390,$A1362)&gt;0,1,0)</f>
        <v>0</v>
      </c>
      <c r="E1362">
        <f>IF(COUNTIFS('United Data'!$A$3:$A$3390,E$1,'United Data'!$C$3:$C$3390,$A1362)&gt;0,1,0)</f>
        <v>0</v>
      </c>
      <c r="F1362">
        <f>IF(COUNTIFS('United Data'!$A$3:$A$3390,F$1,'United Data'!$C$3:$C$3390,$A1362)&gt;0,1,0)</f>
        <v>0</v>
      </c>
      <c r="G1362">
        <f>IF(COUNTIFS('United Data'!$A$3:$A$3390,G$1,'United Data'!$C$3:$C$3390,$A1362)&gt;0,1,0)</f>
        <v>0</v>
      </c>
      <c r="H1362">
        <f>IF(COUNTIFS('United Data'!$A$3:$A$3390,H$1,'United Data'!$C$3:$C$3390,$A1362)&gt;0,1,0)</f>
        <v>0</v>
      </c>
      <c r="I1362">
        <f>IF(COUNTIFS('United Data'!$A$3:$A$3390,I$1,'United Data'!$C$3:$C$3390,$A1362)&gt;0,1,0)</f>
        <v>0</v>
      </c>
      <c r="J1362">
        <f>IF(COUNTIFS('United Data'!$A$3:$A$3390,J$1,'United Data'!$C$3:$C$3390,$A1362)&gt;0,1,0)</f>
        <v>0</v>
      </c>
      <c r="K1362">
        <f>IF(COUNTIFS('United Data'!$A$3:$A$3390,K$1,'United Data'!$C$3:$C$3390,$A1362)&gt;0,1,0)</f>
        <v>0</v>
      </c>
      <c r="L1362">
        <f>IF(COUNTIFS('United Data'!$A$3:$A$3390,L$1,'United Data'!$C$3:$C$3390,$A1362)&gt;0,1,0)</f>
        <v>0</v>
      </c>
      <c r="M1362">
        <f>IF(COUNTIFS('United Data'!$A$3:$A$3390,M$1,'United Data'!$C$3:$C$3390,$A1362)&gt;0,1,0)</f>
        <v>0</v>
      </c>
      <c r="N1362">
        <f>IF(COUNTIFS('United Data'!$A$3:$A$3390,N$1,'United Data'!$C$3:$C$3390,$A1362)&gt;0,1,0)</f>
        <v>0</v>
      </c>
      <c r="O1362">
        <f>IF(COUNTIFS('United Data'!$A$3:$A$3390,O$1,'United Data'!$C$3:$C$3390,$A1362)&gt;0,1,0)</f>
        <v>0</v>
      </c>
      <c r="P1362">
        <f>IF(COUNTIFS('United Data'!$A$3:$A$3390,P$1,'United Data'!$C$3:$C$3390,$A1362)&gt;0,1,0)</f>
        <v>0</v>
      </c>
      <c r="Q1362">
        <f>IF(COUNTIFS('United Data'!$A$3:$A$3390,Q$1,'United Data'!$C$3:$C$3390,$A1362)&gt;0,1,0)</f>
        <v>1</v>
      </c>
      <c r="R1362">
        <f>IF(COUNTIFS('United Data'!$A$3:$A$3390,R$1,'United Data'!$C$3:$C$3390,$A1362)&gt;0,1,0)</f>
        <v>0</v>
      </c>
      <c r="S1362">
        <f t="shared" si="42"/>
        <v>1</v>
      </c>
      <c r="T1362">
        <f t="shared" si="43"/>
        <v>1</v>
      </c>
    </row>
    <row r="1363" spans="1:20" x14ac:dyDescent="0.2">
      <c r="A1363" t="s">
        <v>1607</v>
      </c>
      <c r="B1363">
        <f>IF(COUNTIFS('United Data'!$A$3:$A$3390,B$1,'United Data'!$C$3:$C$3390,$A1363)&gt;0,1,0)</f>
        <v>0</v>
      </c>
      <c r="C1363">
        <f>IF(COUNTIFS('United Data'!$A$3:$A$3390,C$1,'United Data'!$C$3:$C$3390,$A1363)&gt;0,1,0)</f>
        <v>0</v>
      </c>
      <c r="D1363">
        <f>IF(COUNTIFS('United Data'!$A$3:$A$3390,D$1,'United Data'!$C$3:$C$3390,$A1363)&gt;0,1,0)</f>
        <v>0</v>
      </c>
      <c r="E1363">
        <f>IF(COUNTIFS('United Data'!$A$3:$A$3390,E$1,'United Data'!$C$3:$C$3390,$A1363)&gt;0,1,0)</f>
        <v>0</v>
      </c>
      <c r="F1363">
        <f>IF(COUNTIFS('United Data'!$A$3:$A$3390,F$1,'United Data'!$C$3:$C$3390,$A1363)&gt;0,1,0)</f>
        <v>0</v>
      </c>
      <c r="G1363">
        <f>IF(COUNTIFS('United Data'!$A$3:$A$3390,G$1,'United Data'!$C$3:$C$3390,$A1363)&gt;0,1,0)</f>
        <v>0</v>
      </c>
      <c r="H1363">
        <f>IF(COUNTIFS('United Data'!$A$3:$A$3390,H$1,'United Data'!$C$3:$C$3390,$A1363)&gt;0,1,0)</f>
        <v>0</v>
      </c>
      <c r="I1363">
        <f>IF(COUNTIFS('United Data'!$A$3:$A$3390,I$1,'United Data'!$C$3:$C$3390,$A1363)&gt;0,1,0)</f>
        <v>0</v>
      </c>
      <c r="J1363">
        <f>IF(COUNTIFS('United Data'!$A$3:$A$3390,J$1,'United Data'!$C$3:$C$3390,$A1363)&gt;0,1,0)</f>
        <v>0</v>
      </c>
      <c r="K1363">
        <f>IF(COUNTIFS('United Data'!$A$3:$A$3390,K$1,'United Data'!$C$3:$C$3390,$A1363)&gt;0,1,0)</f>
        <v>1</v>
      </c>
      <c r="L1363">
        <f>IF(COUNTIFS('United Data'!$A$3:$A$3390,L$1,'United Data'!$C$3:$C$3390,$A1363)&gt;0,1,0)</f>
        <v>0</v>
      </c>
      <c r="M1363">
        <f>IF(COUNTIFS('United Data'!$A$3:$A$3390,M$1,'United Data'!$C$3:$C$3390,$A1363)&gt;0,1,0)</f>
        <v>0</v>
      </c>
      <c r="N1363">
        <f>IF(COUNTIFS('United Data'!$A$3:$A$3390,N$1,'United Data'!$C$3:$C$3390,$A1363)&gt;0,1,0)</f>
        <v>1</v>
      </c>
      <c r="O1363">
        <f>IF(COUNTIFS('United Data'!$A$3:$A$3390,O$1,'United Data'!$C$3:$C$3390,$A1363)&gt;0,1,0)</f>
        <v>0</v>
      </c>
      <c r="P1363">
        <f>IF(COUNTIFS('United Data'!$A$3:$A$3390,P$1,'United Data'!$C$3:$C$3390,$A1363)&gt;0,1,0)</f>
        <v>1</v>
      </c>
      <c r="Q1363">
        <f>IF(COUNTIFS('United Data'!$A$3:$A$3390,Q$1,'United Data'!$C$3:$C$3390,$A1363)&gt;0,1,0)</f>
        <v>1</v>
      </c>
      <c r="R1363">
        <f>IF(COUNTIFS('United Data'!$A$3:$A$3390,R$1,'United Data'!$C$3:$C$3390,$A1363)&gt;0,1,0)</f>
        <v>0</v>
      </c>
      <c r="S1363">
        <f t="shared" si="42"/>
        <v>4</v>
      </c>
      <c r="T1363">
        <f t="shared" si="43"/>
        <v>3</v>
      </c>
    </row>
    <row r="1364" spans="1:20" x14ac:dyDescent="0.2">
      <c r="A1364" t="s">
        <v>1608</v>
      </c>
      <c r="B1364">
        <f>IF(COUNTIFS('United Data'!$A$3:$A$3390,B$1,'United Data'!$C$3:$C$3390,$A1364)&gt;0,1,0)</f>
        <v>0</v>
      </c>
      <c r="C1364">
        <f>IF(COUNTIFS('United Data'!$A$3:$A$3390,C$1,'United Data'!$C$3:$C$3390,$A1364)&gt;0,1,0)</f>
        <v>0</v>
      </c>
      <c r="D1364">
        <f>IF(COUNTIFS('United Data'!$A$3:$A$3390,D$1,'United Data'!$C$3:$C$3390,$A1364)&gt;0,1,0)</f>
        <v>0</v>
      </c>
      <c r="E1364">
        <f>IF(COUNTIFS('United Data'!$A$3:$A$3390,E$1,'United Data'!$C$3:$C$3390,$A1364)&gt;0,1,0)</f>
        <v>0</v>
      </c>
      <c r="F1364">
        <f>IF(COUNTIFS('United Data'!$A$3:$A$3390,F$1,'United Data'!$C$3:$C$3390,$A1364)&gt;0,1,0)</f>
        <v>0</v>
      </c>
      <c r="G1364">
        <f>IF(COUNTIFS('United Data'!$A$3:$A$3390,G$1,'United Data'!$C$3:$C$3390,$A1364)&gt;0,1,0)</f>
        <v>0</v>
      </c>
      <c r="H1364">
        <f>IF(COUNTIFS('United Data'!$A$3:$A$3390,H$1,'United Data'!$C$3:$C$3390,$A1364)&gt;0,1,0)</f>
        <v>0</v>
      </c>
      <c r="I1364">
        <f>IF(COUNTIFS('United Data'!$A$3:$A$3390,I$1,'United Data'!$C$3:$C$3390,$A1364)&gt;0,1,0)</f>
        <v>0</v>
      </c>
      <c r="J1364">
        <f>IF(COUNTIFS('United Data'!$A$3:$A$3390,J$1,'United Data'!$C$3:$C$3390,$A1364)&gt;0,1,0)</f>
        <v>0</v>
      </c>
      <c r="K1364">
        <f>IF(COUNTIFS('United Data'!$A$3:$A$3390,K$1,'United Data'!$C$3:$C$3390,$A1364)&gt;0,1,0)</f>
        <v>0</v>
      </c>
      <c r="L1364">
        <f>IF(COUNTIFS('United Data'!$A$3:$A$3390,L$1,'United Data'!$C$3:$C$3390,$A1364)&gt;0,1,0)</f>
        <v>0</v>
      </c>
      <c r="M1364">
        <f>IF(COUNTIFS('United Data'!$A$3:$A$3390,M$1,'United Data'!$C$3:$C$3390,$A1364)&gt;0,1,0)</f>
        <v>0</v>
      </c>
      <c r="N1364">
        <f>IF(COUNTIFS('United Data'!$A$3:$A$3390,N$1,'United Data'!$C$3:$C$3390,$A1364)&gt;0,1,0)</f>
        <v>0</v>
      </c>
      <c r="O1364">
        <f>IF(COUNTIFS('United Data'!$A$3:$A$3390,O$1,'United Data'!$C$3:$C$3390,$A1364)&gt;0,1,0)</f>
        <v>0</v>
      </c>
      <c r="P1364">
        <f>IF(COUNTIFS('United Data'!$A$3:$A$3390,P$1,'United Data'!$C$3:$C$3390,$A1364)&gt;0,1,0)</f>
        <v>0</v>
      </c>
      <c r="Q1364">
        <f>IF(COUNTIFS('United Data'!$A$3:$A$3390,Q$1,'United Data'!$C$3:$C$3390,$A1364)&gt;0,1,0)</f>
        <v>0</v>
      </c>
      <c r="R1364">
        <f>IF(COUNTIFS('United Data'!$A$3:$A$3390,R$1,'United Data'!$C$3:$C$3390,$A1364)&gt;0,1,0)</f>
        <v>1</v>
      </c>
      <c r="S1364">
        <f t="shared" si="42"/>
        <v>1</v>
      </c>
      <c r="T1364">
        <f t="shared" si="43"/>
        <v>1</v>
      </c>
    </row>
    <row r="1365" spans="1:20" x14ac:dyDescent="0.2">
      <c r="A1365" t="s">
        <v>1609</v>
      </c>
      <c r="B1365">
        <f>IF(COUNTIFS('United Data'!$A$3:$A$3390,B$1,'United Data'!$C$3:$C$3390,$A1365)&gt;0,1,0)</f>
        <v>1</v>
      </c>
      <c r="C1365">
        <f>IF(COUNTIFS('United Data'!$A$3:$A$3390,C$1,'United Data'!$C$3:$C$3390,$A1365)&gt;0,1,0)</f>
        <v>0</v>
      </c>
      <c r="D1365">
        <f>IF(COUNTIFS('United Data'!$A$3:$A$3390,D$1,'United Data'!$C$3:$C$3390,$A1365)&gt;0,1,0)</f>
        <v>0</v>
      </c>
      <c r="E1365">
        <f>IF(COUNTIFS('United Data'!$A$3:$A$3390,E$1,'United Data'!$C$3:$C$3390,$A1365)&gt;0,1,0)</f>
        <v>0</v>
      </c>
      <c r="F1365">
        <f>IF(COUNTIFS('United Data'!$A$3:$A$3390,F$1,'United Data'!$C$3:$C$3390,$A1365)&gt;0,1,0)</f>
        <v>0</v>
      </c>
      <c r="G1365">
        <f>IF(COUNTIFS('United Data'!$A$3:$A$3390,G$1,'United Data'!$C$3:$C$3390,$A1365)&gt;0,1,0)</f>
        <v>0</v>
      </c>
      <c r="H1365">
        <f>IF(COUNTIFS('United Data'!$A$3:$A$3390,H$1,'United Data'!$C$3:$C$3390,$A1365)&gt;0,1,0)</f>
        <v>0</v>
      </c>
      <c r="I1365">
        <f>IF(COUNTIFS('United Data'!$A$3:$A$3390,I$1,'United Data'!$C$3:$C$3390,$A1365)&gt;0,1,0)</f>
        <v>0</v>
      </c>
      <c r="J1365">
        <f>IF(COUNTIFS('United Data'!$A$3:$A$3390,J$1,'United Data'!$C$3:$C$3390,$A1365)&gt;0,1,0)</f>
        <v>0</v>
      </c>
      <c r="K1365">
        <f>IF(COUNTIFS('United Data'!$A$3:$A$3390,K$1,'United Data'!$C$3:$C$3390,$A1365)&gt;0,1,0)</f>
        <v>0</v>
      </c>
      <c r="L1365">
        <f>IF(COUNTIFS('United Data'!$A$3:$A$3390,L$1,'United Data'!$C$3:$C$3390,$A1365)&gt;0,1,0)</f>
        <v>0</v>
      </c>
      <c r="M1365">
        <f>IF(COUNTIFS('United Data'!$A$3:$A$3390,M$1,'United Data'!$C$3:$C$3390,$A1365)&gt;0,1,0)</f>
        <v>0</v>
      </c>
      <c r="N1365">
        <f>IF(COUNTIFS('United Data'!$A$3:$A$3390,N$1,'United Data'!$C$3:$C$3390,$A1365)&gt;0,1,0)</f>
        <v>0</v>
      </c>
      <c r="O1365">
        <f>IF(COUNTIFS('United Data'!$A$3:$A$3390,O$1,'United Data'!$C$3:$C$3390,$A1365)&gt;0,1,0)</f>
        <v>0</v>
      </c>
      <c r="P1365">
        <f>IF(COUNTIFS('United Data'!$A$3:$A$3390,P$1,'United Data'!$C$3:$C$3390,$A1365)&gt;0,1,0)</f>
        <v>1</v>
      </c>
      <c r="Q1365">
        <f>IF(COUNTIFS('United Data'!$A$3:$A$3390,Q$1,'United Data'!$C$3:$C$3390,$A1365)&gt;0,1,0)</f>
        <v>0</v>
      </c>
      <c r="R1365">
        <f>IF(COUNTIFS('United Data'!$A$3:$A$3390,R$1,'United Data'!$C$3:$C$3390,$A1365)&gt;0,1,0)</f>
        <v>0</v>
      </c>
      <c r="S1365">
        <f t="shared" si="42"/>
        <v>2</v>
      </c>
      <c r="T1365">
        <f t="shared" si="43"/>
        <v>2</v>
      </c>
    </row>
    <row r="1366" spans="1:20" x14ac:dyDescent="0.2">
      <c r="A1366" t="s">
        <v>1610</v>
      </c>
      <c r="B1366">
        <f>IF(COUNTIFS('United Data'!$A$3:$A$3390,B$1,'United Data'!$C$3:$C$3390,$A1366)&gt;0,1,0)</f>
        <v>1</v>
      </c>
      <c r="C1366">
        <f>IF(COUNTIFS('United Data'!$A$3:$A$3390,C$1,'United Data'!$C$3:$C$3390,$A1366)&gt;0,1,0)</f>
        <v>1</v>
      </c>
      <c r="D1366">
        <f>IF(COUNTIFS('United Data'!$A$3:$A$3390,D$1,'United Data'!$C$3:$C$3390,$A1366)&gt;0,1,0)</f>
        <v>0</v>
      </c>
      <c r="E1366">
        <f>IF(COUNTIFS('United Data'!$A$3:$A$3390,E$1,'United Data'!$C$3:$C$3390,$A1366)&gt;0,1,0)</f>
        <v>0</v>
      </c>
      <c r="F1366">
        <f>IF(COUNTIFS('United Data'!$A$3:$A$3390,F$1,'United Data'!$C$3:$C$3390,$A1366)&gt;0,1,0)</f>
        <v>0</v>
      </c>
      <c r="G1366">
        <f>IF(COUNTIFS('United Data'!$A$3:$A$3390,G$1,'United Data'!$C$3:$C$3390,$A1366)&gt;0,1,0)</f>
        <v>0</v>
      </c>
      <c r="H1366">
        <f>IF(COUNTIFS('United Data'!$A$3:$A$3390,H$1,'United Data'!$C$3:$C$3390,$A1366)&gt;0,1,0)</f>
        <v>0</v>
      </c>
      <c r="I1366">
        <f>IF(COUNTIFS('United Data'!$A$3:$A$3390,I$1,'United Data'!$C$3:$C$3390,$A1366)&gt;0,1,0)</f>
        <v>0</v>
      </c>
      <c r="J1366">
        <f>IF(COUNTIFS('United Data'!$A$3:$A$3390,J$1,'United Data'!$C$3:$C$3390,$A1366)&gt;0,1,0)</f>
        <v>0</v>
      </c>
      <c r="K1366">
        <f>IF(COUNTIFS('United Data'!$A$3:$A$3390,K$1,'United Data'!$C$3:$C$3390,$A1366)&gt;0,1,0)</f>
        <v>0</v>
      </c>
      <c r="L1366">
        <f>IF(COUNTIFS('United Data'!$A$3:$A$3390,L$1,'United Data'!$C$3:$C$3390,$A1366)&gt;0,1,0)</f>
        <v>0</v>
      </c>
      <c r="M1366">
        <f>IF(COUNTIFS('United Data'!$A$3:$A$3390,M$1,'United Data'!$C$3:$C$3390,$A1366)&gt;0,1,0)</f>
        <v>0</v>
      </c>
      <c r="N1366">
        <f>IF(COUNTIFS('United Data'!$A$3:$A$3390,N$1,'United Data'!$C$3:$C$3390,$A1366)&gt;0,1,0)</f>
        <v>0</v>
      </c>
      <c r="O1366">
        <f>IF(COUNTIFS('United Data'!$A$3:$A$3390,O$1,'United Data'!$C$3:$C$3390,$A1366)&gt;0,1,0)</f>
        <v>0</v>
      </c>
      <c r="P1366">
        <f>IF(COUNTIFS('United Data'!$A$3:$A$3390,P$1,'United Data'!$C$3:$C$3390,$A1366)&gt;0,1,0)</f>
        <v>0</v>
      </c>
      <c r="Q1366">
        <f>IF(COUNTIFS('United Data'!$A$3:$A$3390,Q$1,'United Data'!$C$3:$C$3390,$A1366)&gt;0,1,0)</f>
        <v>0</v>
      </c>
      <c r="R1366">
        <f>IF(COUNTIFS('United Data'!$A$3:$A$3390,R$1,'United Data'!$C$3:$C$3390,$A1366)&gt;0,1,0)</f>
        <v>0</v>
      </c>
      <c r="S1366">
        <f t="shared" si="42"/>
        <v>2</v>
      </c>
      <c r="T1366">
        <f t="shared" si="43"/>
        <v>1</v>
      </c>
    </row>
    <row r="1367" spans="1:20" x14ac:dyDescent="0.2">
      <c r="A1367" t="s">
        <v>1611</v>
      </c>
      <c r="B1367">
        <f>IF(COUNTIFS('United Data'!$A$3:$A$3390,B$1,'United Data'!$C$3:$C$3390,$A1367)&gt;0,1,0)</f>
        <v>1</v>
      </c>
      <c r="C1367">
        <f>IF(COUNTIFS('United Data'!$A$3:$A$3390,C$1,'United Data'!$C$3:$C$3390,$A1367)&gt;0,1,0)</f>
        <v>0</v>
      </c>
      <c r="D1367">
        <f>IF(COUNTIFS('United Data'!$A$3:$A$3390,D$1,'United Data'!$C$3:$C$3390,$A1367)&gt;0,1,0)</f>
        <v>0</v>
      </c>
      <c r="E1367">
        <f>IF(COUNTIFS('United Data'!$A$3:$A$3390,E$1,'United Data'!$C$3:$C$3390,$A1367)&gt;0,1,0)</f>
        <v>0</v>
      </c>
      <c r="F1367">
        <f>IF(COUNTIFS('United Data'!$A$3:$A$3390,F$1,'United Data'!$C$3:$C$3390,$A1367)&gt;0,1,0)</f>
        <v>0</v>
      </c>
      <c r="G1367">
        <f>IF(COUNTIFS('United Data'!$A$3:$A$3390,G$1,'United Data'!$C$3:$C$3390,$A1367)&gt;0,1,0)</f>
        <v>0</v>
      </c>
      <c r="H1367">
        <f>IF(COUNTIFS('United Data'!$A$3:$A$3390,H$1,'United Data'!$C$3:$C$3390,$A1367)&gt;0,1,0)</f>
        <v>0</v>
      </c>
      <c r="I1367">
        <f>IF(COUNTIFS('United Data'!$A$3:$A$3390,I$1,'United Data'!$C$3:$C$3390,$A1367)&gt;0,1,0)</f>
        <v>0</v>
      </c>
      <c r="J1367">
        <f>IF(COUNTIFS('United Data'!$A$3:$A$3390,J$1,'United Data'!$C$3:$C$3390,$A1367)&gt;0,1,0)</f>
        <v>0</v>
      </c>
      <c r="K1367">
        <f>IF(COUNTIFS('United Data'!$A$3:$A$3390,K$1,'United Data'!$C$3:$C$3390,$A1367)&gt;0,1,0)</f>
        <v>0</v>
      </c>
      <c r="L1367">
        <f>IF(COUNTIFS('United Data'!$A$3:$A$3390,L$1,'United Data'!$C$3:$C$3390,$A1367)&gt;0,1,0)</f>
        <v>0</v>
      </c>
      <c r="M1367">
        <f>IF(COUNTIFS('United Data'!$A$3:$A$3390,M$1,'United Data'!$C$3:$C$3390,$A1367)&gt;0,1,0)</f>
        <v>0</v>
      </c>
      <c r="N1367">
        <f>IF(COUNTIFS('United Data'!$A$3:$A$3390,N$1,'United Data'!$C$3:$C$3390,$A1367)&gt;0,1,0)</f>
        <v>0</v>
      </c>
      <c r="O1367">
        <f>IF(COUNTIFS('United Data'!$A$3:$A$3390,O$1,'United Data'!$C$3:$C$3390,$A1367)&gt;0,1,0)</f>
        <v>0</v>
      </c>
      <c r="P1367">
        <f>IF(COUNTIFS('United Data'!$A$3:$A$3390,P$1,'United Data'!$C$3:$C$3390,$A1367)&gt;0,1,0)</f>
        <v>0</v>
      </c>
      <c r="Q1367">
        <f>IF(COUNTIFS('United Data'!$A$3:$A$3390,Q$1,'United Data'!$C$3:$C$3390,$A1367)&gt;0,1,0)</f>
        <v>0</v>
      </c>
      <c r="R1367">
        <f>IF(COUNTIFS('United Data'!$A$3:$A$3390,R$1,'United Data'!$C$3:$C$3390,$A1367)&gt;0,1,0)</f>
        <v>0</v>
      </c>
      <c r="S1367">
        <f t="shared" si="42"/>
        <v>1</v>
      </c>
      <c r="T1367">
        <f t="shared" si="43"/>
        <v>1</v>
      </c>
    </row>
    <row r="1368" spans="1:20" x14ac:dyDescent="0.2">
      <c r="A1368" t="s">
        <v>1612</v>
      </c>
      <c r="B1368">
        <f>IF(COUNTIFS('United Data'!$A$3:$A$3390,B$1,'United Data'!$C$3:$C$3390,$A1368)&gt;0,1,0)</f>
        <v>1</v>
      </c>
      <c r="C1368">
        <f>IF(COUNTIFS('United Data'!$A$3:$A$3390,C$1,'United Data'!$C$3:$C$3390,$A1368)&gt;0,1,0)</f>
        <v>0</v>
      </c>
      <c r="D1368">
        <f>IF(COUNTIFS('United Data'!$A$3:$A$3390,D$1,'United Data'!$C$3:$C$3390,$A1368)&gt;0,1,0)</f>
        <v>0</v>
      </c>
      <c r="E1368">
        <f>IF(COUNTIFS('United Data'!$A$3:$A$3390,E$1,'United Data'!$C$3:$C$3390,$A1368)&gt;0,1,0)</f>
        <v>0</v>
      </c>
      <c r="F1368">
        <f>IF(COUNTIFS('United Data'!$A$3:$A$3390,F$1,'United Data'!$C$3:$C$3390,$A1368)&gt;0,1,0)</f>
        <v>0</v>
      </c>
      <c r="G1368">
        <f>IF(COUNTIFS('United Data'!$A$3:$A$3390,G$1,'United Data'!$C$3:$C$3390,$A1368)&gt;0,1,0)</f>
        <v>0</v>
      </c>
      <c r="H1368">
        <f>IF(COUNTIFS('United Data'!$A$3:$A$3390,H$1,'United Data'!$C$3:$C$3390,$A1368)&gt;0,1,0)</f>
        <v>0</v>
      </c>
      <c r="I1368">
        <f>IF(COUNTIFS('United Data'!$A$3:$A$3390,I$1,'United Data'!$C$3:$C$3390,$A1368)&gt;0,1,0)</f>
        <v>0</v>
      </c>
      <c r="J1368">
        <f>IF(COUNTIFS('United Data'!$A$3:$A$3390,J$1,'United Data'!$C$3:$C$3390,$A1368)&gt;0,1,0)</f>
        <v>0</v>
      </c>
      <c r="K1368">
        <f>IF(COUNTIFS('United Data'!$A$3:$A$3390,K$1,'United Data'!$C$3:$C$3390,$A1368)&gt;0,1,0)</f>
        <v>1</v>
      </c>
      <c r="L1368">
        <f>IF(COUNTIFS('United Data'!$A$3:$A$3390,L$1,'United Data'!$C$3:$C$3390,$A1368)&gt;0,1,0)</f>
        <v>0</v>
      </c>
      <c r="M1368">
        <f>IF(COUNTIFS('United Data'!$A$3:$A$3390,M$1,'United Data'!$C$3:$C$3390,$A1368)&gt;0,1,0)</f>
        <v>0</v>
      </c>
      <c r="N1368">
        <f>IF(COUNTIFS('United Data'!$A$3:$A$3390,N$1,'United Data'!$C$3:$C$3390,$A1368)&gt;0,1,0)</f>
        <v>0</v>
      </c>
      <c r="O1368">
        <f>IF(COUNTIFS('United Data'!$A$3:$A$3390,O$1,'United Data'!$C$3:$C$3390,$A1368)&gt;0,1,0)</f>
        <v>0</v>
      </c>
      <c r="P1368">
        <f>IF(COUNTIFS('United Data'!$A$3:$A$3390,P$1,'United Data'!$C$3:$C$3390,$A1368)&gt;0,1,0)</f>
        <v>0</v>
      </c>
      <c r="Q1368">
        <f>IF(COUNTIFS('United Data'!$A$3:$A$3390,Q$1,'United Data'!$C$3:$C$3390,$A1368)&gt;0,1,0)</f>
        <v>1</v>
      </c>
      <c r="R1368">
        <f>IF(COUNTIFS('United Data'!$A$3:$A$3390,R$1,'United Data'!$C$3:$C$3390,$A1368)&gt;0,1,0)</f>
        <v>0</v>
      </c>
      <c r="S1368">
        <f t="shared" si="42"/>
        <v>3</v>
      </c>
      <c r="T1368">
        <f t="shared" si="43"/>
        <v>3</v>
      </c>
    </row>
    <row r="1369" spans="1:20" x14ac:dyDescent="0.2">
      <c r="A1369" t="s">
        <v>1616</v>
      </c>
      <c r="B1369">
        <f>IF(COUNTIFS('United Data'!$A$3:$A$3390,B$1,'United Data'!$C$3:$C$3390,$A1369)&gt;0,1,0)</f>
        <v>1</v>
      </c>
      <c r="C1369">
        <f>IF(COUNTIFS('United Data'!$A$3:$A$3390,C$1,'United Data'!$C$3:$C$3390,$A1369)&gt;0,1,0)</f>
        <v>0</v>
      </c>
      <c r="D1369">
        <f>IF(COUNTIFS('United Data'!$A$3:$A$3390,D$1,'United Data'!$C$3:$C$3390,$A1369)&gt;0,1,0)</f>
        <v>0</v>
      </c>
      <c r="E1369">
        <f>IF(COUNTIFS('United Data'!$A$3:$A$3390,E$1,'United Data'!$C$3:$C$3390,$A1369)&gt;0,1,0)</f>
        <v>0</v>
      </c>
      <c r="F1369">
        <f>IF(COUNTIFS('United Data'!$A$3:$A$3390,F$1,'United Data'!$C$3:$C$3390,$A1369)&gt;0,1,0)</f>
        <v>0</v>
      </c>
      <c r="G1369">
        <f>IF(COUNTIFS('United Data'!$A$3:$A$3390,G$1,'United Data'!$C$3:$C$3390,$A1369)&gt;0,1,0)</f>
        <v>0</v>
      </c>
      <c r="H1369">
        <f>IF(COUNTIFS('United Data'!$A$3:$A$3390,H$1,'United Data'!$C$3:$C$3390,$A1369)&gt;0,1,0)</f>
        <v>0</v>
      </c>
      <c r="I1369">
        <f>IF(COUNTIFS('United Data'!$A$3:$A$3390,I$1,'United Data'!$C$3:$C$3390,$A1369)&gt;0,1,0)</f>
        <v>0</v>
      </c>
      <c r="J1369">
        <f>IF(COUNTIFS('United Data'!$A$3:$A$3390,J$1,'United Data'!$C$3:$C$3390,$A1369)&gt;0,1,0)</f>
        <v>0</v>
      </c>
      <c r="K1369">
        <f>IF(COUNTIFS('United Data'!$A$3:$A$3390,K$1,'United Data'!$C$3:$C$3390,$A1369)&gt;0,1,0)</f>
        <v>0</v>
      </c>
      <c r="L1369">
        <f>IF(COUNTIFS('United Data'!$A$3:$A$3390,L$1,'United Data'!$C$3:$C$3390,$A1369)&gt;0,1,0)</f>
        <v>0</v>
      </c>
      <c r="M1369">
        <f>IF(COUNTIFS('United Data'!$A$3:$A$3390,M$1,'United Data'!$C$3:$C$3390,$A1369)&gt;0,1,0)</f>
        <v>0</v>
      </c>
      <c r="N1369">
        <f>IF(COUNTIFS('United Data'!$A$3:$A$3390,N$1,'United Data'!$C$3:$C$3390,$A1369)&gt;0,1,0)</f>
        <v>0</v>
      </c>
      <c r="O1369">
        <f>IF(COUNTIFS('United Data'!$A$3:$A$3390,O$1,'United Data'!$C$3:$C$3390,$A1369)&gt;0,1,0)</f>
        <v>0</v>
      </c>
      <c r="P1369">
        <f>IF(COUNTIFS('United Data'!$A$3:$A$3390,P$1,'United Data'!$C$3:$C$3390,$A1369)&gt;0,1,0)</f>
        <v>0</v>
      </c>
      <c r="Q1369">
        <f>IF(COUNTIFS('United Data'!$A$3:$A$3390,Q$1,'United Data'!$C$3:$C$3390,$A1369)&gt;0,1,0)</f>
        <v>0</v>
      </c>
      <c r="R1369">
        <f>IF(COUNTIFS('United Data'!$A$3:$A$3390,R$1,'United Data'!$C$3:$C$3390,$A1369)&gt;0,1,0)</f>
        <v>0</v>
      </c>
      <c r="S1369">
        <f t="shared" si="42"/>
        <v>1</v>
      </c>
      <c r="T1369">
        <f t="shared" si="43"/>
        <v>1</v>
      </c>
    </row>
    <row r="1370" spans="1:20" x14ac:dyDescent="0.2">
      <c r="A1370" t="s">
        <v>1619</v>
      </c>
      <c r="B1370">
        <f>IF(COUNTIFS('United Data'!$A$3:$A$3390,B$1,'United Data'!$C$3:$C$3390,$A1370)&gt;0,1,0)</f>
        <v>0</v>
      </c>
      <c r="C1370">
        <f>IF(COUNTIFS('United Data'!$A$3:$A$3390,C$1,'United Data'!$C$3:$C$3390,$A1370)&gt;0,1,0)</f>
        <v>1</v>
      </c>
      <c r="D1370">
        <f>IF(COUNTIFS('United Data'!$A$3:$A$3390,D$1,'United Data'!$C$3:$C$3390,$A1370)&gt;0,1,0)</f>
        <v>1</v>
      </c>
      <c r="E1370">
        <f>IF(COUNTIFS('United Data'!$A$3:$A$3390,E$1,'United Data'!$C$3:$C$3390,$A1370)&gt;0,1,0)</f>
        <v>0</v>
      </c>
      <c r="F1370">
        <f>IF(COUNTIFS('United Data'!$A$3:$A$3390,F$1,'United Data'!$C$3:$C$3390,$A1370)&gt;0,1,0)</f>
        <v>0</v>
      </c>
      <c r="G1370">
        <f>IF(COUNTIFS('United Data'!$A$3:$A$3390,G$1,'United Data'!$C$3:$C$3390,$A1370)&gt;0,1,0)</f>
        <v>0</v>
      </c>
      <c r="H1370">
        <f>IF(COUNTIFS('United Data'!$A$3:$A$3390,H$1,'United Data'!$C$3:$C$3390,$A1370)&gt;0,1,0)</f>
        <v>0</v>
      </c>
      <c r="I1370">
        <f>IF(COUNTIFS('United Data'!$A$3:$A$3390,I$1,'United Data'!$C$3:$C$3390,$A1370)&gt;0,1,0)</f>
        <v>0</v>
      </c>
      <c r="J1370">
        <f>IF(COUNTIFS('United Data'!$A$3:$A$3390,J$1,'United Data'!$C$3:$C$3390,$A1370)&gt;0,1,0)</f>
        <v>0</v>
      </c>
      <c r="K1370">
        <f>IF(COUNTIFS('United Data'!$A$3:$A$3390,K$1,'United Data'!$C$3:$C$3390,$A1370)&gt;0,1,0)</f>
        <v>0</v>
      </c>
      <c r="L1370">
        <f>IF(COUNTIFS('United Data'!$A$3:$A$3390,L$1,'United Data'!$C$3:$C$3390,$A1370)&gt;0,1,0)</f>
        <v>0</v>
      </c>
      <c r="M1370">
        <f>IF(COUNTIFS('United Data'!$A$3:$A$3390,M$1,'United Data'!$C$3:$C$3390,$A1370)&gt;0,1,0)</f>
        <v>0</v>
      </c>
      <c r="N1370">
        <f>IF(COUNTIFS('United Data'!$A$3:$A$3390,N$1,'United Data'!$C$3:$C$3390,$A1370)&gt;0,1,0)</f>
        <v>0</v>
      </c>
      <c r="O1370">
        <f>IF(COUNTIFS('United Data'!$A$3:$A$3390,O$1,'United Data'!$C$3:$C$3390,$A1370)&gt;0,1,0)</f>
        <v>0</v>
      </c>
      <c r="P1370">
        <f>IF(COUNTIFS('United Data'!$A$3:$A$3390,P$1,'United Data'!$C$3:$C$3390,$A1370)&gt;0,1,0)</f>
        <v>0</v>
      </c>
      <c r="Q1370">
        <f>IF(COUNTIFS('United Data'!$A$3:$A$3390,Q$1,'United Data'!$C$3:$C$3390,$A1370)&gt;0,1,0)</f>
        <v>0</v>
      </c>
      <c r="R1370">
        <f>IF(COUNTIFS('United Data'!$A$3:$A$3390,R$1,'United Data'!$C$3:$C$3390,$A1370)&gt;0,1,0)</f>
        <v>0</v>
      </c>
      <c r="S1370">
        <f t="shared" si="42"/>
        <v>2</v>
      </c>
      <c r="T1370">
        <f t="shared" si="43"/>
        <v>1</v>
      </c>
    </row>
    <row r="1371" spans="1:20" x14ac:dyDescent="0.2">
      <c r="A1371" t="s">
        <v>1620</v>
      </c>
      <c r="B1371">
        <f>IF(COUNTIFS('United Data'!$A$3:$A$3390,B$1,'United Data'!$C$3:$C$3390,$A1371)&gt;0,1,0)</f>
        <v>0</v>
      </c>
      <c r="C1371">
        <f>IF(COUNTIFS('United Data'!$A$3:$A$3390,C$1,'United Data'!$C$3:$C$3390,$A1371)&gt;0,1,0)</f>
        <v>0</v>
      </c>
      <c r="D1371">
        <f>IF(COUNTIFS('United Data'!$A$3:$A$3390,D$1,'United Data'!$C$3:$C$3390,$A1371)&gt;0,1,0)</f>
        <v>1</v>
      </c>
      <c r="E1371">
        <f>IF(COUNTIFS('United Data'!$A$3:$A$3390,E$1,'United Data'!$C$3:$C$3390,$A1371)&gt;0,1,0)</f>
        <v>0</v>
      </c>
      <c r="F1371">
        <f>IF(COUNTIFS('United Data'!$A$3:$A$3390,F$1,'United Data'!$C$3:$C$3390,$A1371)&gt;0,1,0)</f>
        <v>0</v>
      </c>
      <c r="G1371">
        <f>IF(COUNTIFS('United Data'!$A$3:$A$3390,G$1,'United Data'!$C$3:$C$3390,$A1371)&gt;0,1,0)</f>
        <v>0</v>
      </c>
      <c r="H1371">
        <f>IF(COUNTIFS('United Data'!$A$3:$A$3390,H$1,'United Data'!$C$3:$C$3390,$A1371)&gt;0,1,0)</f>
        <v>0</v>
      </c>
      <c r="I1371">
        <f>IF(COUNTIFS('United Data'!$A$3:$A$3390,I$1,'United Data'!$C$3:$C$3390,$A1371)&gt;0,1,0)</f>
        <v>0</v>
      </c>
      <c r="J1371">
        <f>IF(COUNTIFS('United Data'!$A$3:$A$3390,J$1,'United Data'!$C$3:$C$3390,$A1371)&gt;0,1,0)</f>
        <v>0</v>
      </c>
      <c r="K1371">
        <f>IF(COUNTIFS('United Data'!$A$3:$A$3390,K$1,'United Data'!$C$3:$C$3390,$A1371)&gt;0,1,0)</f>
        <v>0</v>
      </c>
      <c r="L1371">
        <f>IF(COUNTIFS('United Data'!$A$3:$A$3390,L$1,'United Data'!$C$3:$C$3390,$A1371)&gt;0,1,0)</f>
        <v>0</v>
      </c>
      <c r="M1371">
        <f>IF(COUNTIFS('United Data'!$A$3:$A$3390,M$1,'United Data'!$C$3:$C$3390,$A1371)&gt;0,1,0)</f>
        <v>0</v>
      </c>
      <c r="N1371">
        <f>IF(COUNTIFS('United Data'!$A$3:$A$3390,N$1,'United Data'!$C$3:$C$3390,$A1371)&gt;0,1,0)</f>
        <v>0</v>
      </c>
      <c r="O1371">
        <f>IF(COUNTIFS('United Data'!$A$3:$A$3390,O$1,'United Data'!$C$3:$C$3390,$A1371)&gt;0,1,0)</f>
        <v>0</v>
      </c>
      <c r="P1371">
        <f>IF(COUNTIFS('United Data'!$A$3:$A$3390,P$1,'United Data'!$C$3:$C$3390,$A1371)&gt;0,1,0)</f>
        <v>0</v>
      </c>
      <c r="Q1371">
        <f>IF(COUNTIFS('United Data'!$A$3:$A$3390,Q$1,'United Data'!$C$3:$C$3390,$A1371)&gt;0,1,0)</f>
        <v>0</v>
      </c>
      <c r="R1371">
        <f>IF(COUNTIFS('United Data'!$A$3:$A$3390,R$1,'United Data'!$C$3:$C$3390,$A1371)&gt;0,1,0)</f>
        <v>0</v>
      </c>
      <c r="S1371">
        <f t="shared" si="42"/>
        <v>1</v>
      </c>
      <c r="T1371">
        <f t="shared" si="43"/>
        <v>1</v>
      </c>
    </row>
    <row r="1372" spans="1:20" x14ac:dyDescent="0.2">
      <c r="A1372" t="s">
        <v>1621</v>
      </c>
      <c r="B1372">
        <f>IF(COUNTIFS('United Data'!$A$3:$A$3390,B$1,'United Data'!$C$3:$C$3390,$A1372)&gt;0,1,0)</f>
        <v>0</v>
      </c>
      <c r="C1372">
        <f>IF(COUNTIFS('United Data'!$A$3:$A$3390,C$1,'United Data'!$C$3:$C$3390,$A1372)&gt;0,1,0)</f>
        <v>0</v>
      </c>
      <c r="D1372">
        <f>IF(COUNTIFS('United Data'!$A$3:$A$3390,D$1,'United Data'!$C$3:$C$3390,$A1372)&gt;0,1,0)</f>
        <v>1</v>
      </c>
      <c r="E1372">
        <f>IF(COUNTIFS('United Data'!$A$3:$A$3390,E$1,'United Data'!$C$3:$C$3390,$A1372)&gt;0,1,0)</f>
        <v>1</v>
      </c>
      <c r="F1372">
        <f>IF(COUNTIFS('United Data'!$A$3:$A$3390,F$1,'United Data'!$C$3:$C$3390,$A1372)&gt;0,1,0)</f>
        <v>0</v>
      </c>
      <c r="G1372">
        <f>IF(COUNTIFS('United Data'!$A$3:$A$3390,G$1,'United Data'!$C$3:$C$3390,$A1372)&gt;0,1,0)</f>
        <v>0</v>
      </c>
      <c r="H1372">
        <f>IF(COUNTIFS('United Data'!$A$3:$A$3390,H$1,'United Data'!$C$3:$C$3390,$A1372)&gt;0,1,0)</f>
        <v>1</v>
      </c>
      <c r="I1372">
        <f>IF(COUNTIFS('United Data'!$A$3:$A$3390,I$1,'United Data'!$C$3:$C$3390,$A1372)&gt;0,1,0)</f>
        <v>0</v>
      </c>
      <c r="J1372">
        <f>IF(COUNTIFS('United Data'!$A$3:$A$3390,J$1,'United Data'!$C$3:$C$3390,$A1372)&gt;0,1,0)</f>
        <v>0</v>
      </c>
      <c r="K1372">
        <f>IF(COUNTIFS('United Data'!$A$3:$A$3390,K$1,'United Data'!$C$3:$C$3390,$A1372)&gt;0,1,0)</f>
        <v>0</v>
      </c>
      <c r="L1372">
        <f>IF(COUNTIFS('United Data'!$A$3:$A$3390,L$1,'United Data'!$C$3:$C$3390,$A1372)&gt;0,1,0)</f>
        <v>1</v>
      </c>
      <c r="M1372">
        <f>IF(COUNTIFS('United Data'!$A$3:$A$3390,M$1,'United Data'!$C$3:$C$3390,$A1372)&gt;0,1,0)</f>
        <v>0</v>
      </c>
      <c r="N1372">
        <f>IF(COUNTIFS('United Data'!$A$3:$A$3390,N$1,'United Data'!$C$3:$C$3390,$A1372)&gt;0,1,0)</f>
        <v>0</v>
      </c>
      <c r="O1372">
        <f>IF(COUNTIFS('United Data'!$A$3:$A$3390,O$1,'United Data'!$C$3:$C$3390,$A1372)&gt;0,1,0)</f>
        <v>0</v>
      </c>
      <c r="P1372">
        <f>IF(COUNTIFS('United Data'!$A$3:$A$3390,P$1,'United Data'!$C$3:$C$3390,$A1372)&gt;0,1,0)</f>
        <v>0</v>
      </c>
      <c r="Q1372">
        <f>IF(COUNTIFS('United Data'!$A$3:$A$3390,Q$1,'United Data'!$C$3:$C$3390,$A1372)&gt;0,1,0)</f>
        <v>0</v>
      </c>
      <c r="R1372">
        <f>IF(COUNTIFS('United Data'!$A$3:$A$3390,R$1,'United Data'!$C$3:$C$3390,$A1372)&gt;0,1,0)</f>
        <v>0</v>
      </c>
      <c r="S1372">
        <f t="shared" si="42"/>
        <v>4</v>
      </c>
      <c r="T1372">
        <f t="shared" si="43"/>
        <v>3</v>
      </c>
    </row>
    <row r="1373" spans="1:20" x14ac:dyDescent="0.2">
      <c r="A1373" t="s">
        <v>1625</v>
      </c>
      <c r="B1373">
        <f>IF(COUNTIFS('United Data'!$A$3:$A$3390,B$1,'United Data'!$C$3:$C$3390,$A1373)&gt;0,1,0)</f>
        <v>0</v>
      </c>
      <c r="C1373">
        <f>IF(COUNTIFS('United Data'!$A$3:$A$3390,C$1,'United Data'!$C$3:$C$3390,$A1373)&gt;0,1,0)</f>
        <v>0</v>
      </c>
      <c r="D1373">
        <f>IF(COUNTIFS('United Data'!$A$3:$A$3390,D$1,'United Data'!$C$3:$C$3390,$A1373)&gt;0,1,0)</f>
        <v>1</v>
      </c>
      <c r="E1373">
        <f>IF(COUNTIFS('United Data'!$A$3:$A$3390,E$1,'United Data'!$C$3:$C$3390,$A1373)&gt;0,1,0)</f>
        <v>1</v>
      </c>
      <c r="F1373">
        <f>IF(COUNTIFS('United Data'!$A$3:$A$3390,F$1,'United Data'!$C$3:$C$3390,$A1373)&gt;0,1,0)</f>
        <v>0</v>
      </c>
      <c r="G1373">
        <f>IF(COUNTIFS('United Data'!$A$3:$A$3390,G$1,'United Data'!$C$3:$C$3390,$A1373)&gt;0,1,0)</f>
        <v>0</v>
      </c>
      <c r="H1373">
        <f>IF(COUNTIFS('United Data'!$A$3:$A$3390,H$1,'United Data'!$C$3:$C$3390,$A1373)&gt;0,1,0)</f>
        <v>0</v>
      </c>
      <c r="I1373">
        <f>IF(COUNTIFS('United Data'!$A$3:$A$3390,I$1,'United Data'!$C$3:$C$3390,$A1373)&gt;0,1,0)</f>
        <v>0</v>
      </c>
      <c r="J1373">
        <f>IF(COUNTIFS('United Data'!$A$3:$A$3390,J$1,'United Data'!$C$3:$C$3390,$A1373)&gt;0,1,0)</f>
        <v>0</v>
      </c>
      <c r="K1373">
        <f>IF(COUNTIFS('United Data'!$A$3:$A$3390,K$1,'United Data'!$C$3:$C$3390,$A1373)&gt;0,1,0)</f>
        <v>0</v>
      </c>
      <c r="L1373">
        <f>IF(COUNTIFS('United Data'!$A$3:$A$3390,L$1,'United Data'!$C$3:$C$3390,$A1373)&gt;0,1,0)</f>
        <v>0</v>
      </c>
      <c r="M1373">
        <f>IF(COUNTIFS('United Data'!$A$3:$A$3390,M$1,'United Data'!$C$3:$C$3390,$A1373)&gt;0,1,0)</f>
        <v>0</v>
      </c>
      <c r="N1373">
        <f>IF(COUNTIFS('United Data'!$A$3:$A$3390,N$1,'United Data'!$C$3:$C$3390,$A1373)&gt;0,1,0)</f>
        <v>0</v>
      </c>
      <c r="O1373">
        <f>IF(COUNTIFS('United Data'!$A$3:$A$3390,O$1,'United Data'!$C$3:$C$3390,$A1373)&gt;0,1,0)</f>
        <v>0</v>
      </c>
      <c r="P1373">
        <f>IF(COUNTIFS('United Data'!$A$3:$A$3390,P$1,'United Data'!$C$3:$C$3390,$A1373)&gt;0,1,0)</f>
        <v>0</v>
      </c>
      <c r="Q1373">
        <f>IF(COUNTIFS('United Data'!$A$3:$A$3390,Q$1,'United Data'!$C$3:$C$3390,$A1373)&gt;0,1,0)</f>
        <v>0</v>
      </c>
      <c r="R1373">
        <f>IF(COUNTIFS('United Data'!$A$3:$A$3390,R$1,'United Data'!$C$3:$C$3390,$A1373)&gt;0,1,0)</f>
        <v>0</v>
      </c>
      <c r="S1373">
        <f t="shared" si="42"/>
        <v>2</v>
      </c>
      <c r="T1373">
        <f t="shared" si="43"/>
        <v>1</v>
      </c>
    </row>
    <row r="1374" spans="1:20" x14ac:dyDescent="0.2">
      <c r="A1374" t="s">
        <v>1628</v>
      </c>
      <c r="B1374">
        <f>IF(COUNTIFS('United Data'!$A$3:$A$3390,B$1,'United Data'!$C$3:$C$3390,$A1374)&gt;0,1,0)</f>
        <v>0</v>
      </c>
      <c r="C1374">
        <f>IF(COUNTIFS('United Data'!$A$3:$A$3390,C$1,'United Data'!$C$3:$C$3390,$A1374)&gt;0,1,0)</f>
        <v>0</v>
      </c>
      <c r="D1374">
        <f>IF(COUNTIFS('United Data'!$A$3:$A$3390,D$1,'United Data'!$C$3:$C$3390,$A1374)&gt;0,1,0)</f>
        <v>0</v>
      </c>
      <c r="E1374">
        <f>IF(COUNTIFS('United Data'!$A$3:$A$3390,E$1,'United Data'!$C$3:$C$3390,$A1374)&gt;0,1,0)</f>
        <v>1</v>
      </c>
      <c r="F1374">
        <f>IF(COUNTIFS('United Data'!$A$3:$A$3390,F$1,'United Data'!$C$3:$C$3390,$A1374)&gt;0,1,0)</f>
        <v>0</v>
      </c>
      <c r="G1374">
        <f>IF(COUNTIFS('United Data'!$A$3:$A$3390,G$1,'United Data'!$C$3:$C$3390,$A1374)&gt;0,1,0)</f>
        <v>0</v>
      </c>
      <c r="H1374">
        <f>IF(COUNTIFS('United Data'!$A$3:$A$3390,H$1,'United Data'!$C$3:$C$3390,$A1374)&gt;0,1,0)</f>
        <v>0</v>
      </c>
      <c r="I1374">
        <f>IF(COUNTIFS('United Data'!$A$3:$A$3390,I$1,'United Data'!$C$3:$C$3390,$A1374)&gt;0,1,0)</f>
        <v>0</v>
      </c>
      <c r="J1374">
        <f>IF(COUNTIFS('United Data'!$A$3:$A$3390,J$1,'United Data'!$C$3:$C$3390,$A1374)&gt;0,1,0)</f>
        <v>0</v>
      </c>
      <c r="K1374">
        <f>IF(COUNTIFS('United Data'!$A$3:$A$3390,K$1,'United Data'!$C$3:$C$3390,$A1374)&gt;0,1,0)</f>
        <v>0</v>
      </c>
      <c r="L1374">
        <f>IF(COUNTIFS('United Data'!$A$3:$A$3390,L$1,'United Data'!$C$3:$C$3390,$A1374)&gt;0,1,0)</f>
        <v>0</v>
      </c>
      <c r="M1374">
        <f>IF(COUNTIFS('United Data'!$A$3:$A$3390,M$1,'United Data'!$C$3:$C$3390,$A1374)&gt;0,1,0)</f>
        <v>0</v>
      </c>
      <c r="N1374">
        <f>IF(COUNTIFS('United Data'!$A$3:$A$3390,N$1,'United Data'!$C$3:$C$3390,$A1374)&gt;0,1,0)</f>
        <v>0</v>
      </c>
      <c r="O1374">
        <f>IF(COUNTIFS('United Data'!$A$3:$A$3390,O$1,'United Data'!$C$3:$C$3390,$A1374)&gt;0,1,0)</f>
        <v>0</v>
      </c>
      <c r="P1374">
        <f>IF(COUNTIFS('United Data'!$A$3:$A$3390,P$1,'United Data'!$C$3:$C$3390,$A1374)&gt;0,1,0)</f>
        <v>0</v>
      </c>
      <c r="Q1374">
        <f>IF(COUNTIFS('United Data'!$A$3:$A$3390,Q$1,'United Data'!$C$3:$C$3390,$A1374)&gt;0,1,0)</f>
        <v>0</v>
      </c>
      <c r="R1374">
        <f>IF(COUNTIFS('United Data'!$A$3:$A$3390,R$1,'United Data'!$C$3:$C$3390,$A1374)&gt;0,1,0)</f>
        <v>0</v>
      </c>
      <c r="S1374">
        <f t="shared" si="42"/>
        <v>1</v>
      </c>
      <c r="T1374">
        <f t="shared" si="43"/>
        <v>1</v>
      </c>
    </row>
    <row r="1375" spans="1:20" x14ac:dyDescent="0.2">
      <c r="A1375" t="s">
        <v>1629</v>
      </c>
      <c r="B1375">
        <f>IF(COUNTIFS('United Data'!$A$3:$A$3390,B$1,'United Data'!$C$3:$C$3390,$A1375)&gt;0,1,0)</f>
        <v>0</v>
      </c>
      <c r="C1375">
        <f>IF(COUNTIFS('United Data'!$A$3:$A$3390,C$1,'United Data'!$C$3:$C$3390,$A1375)&gt;0,1,0)</f>
        <v>0</v>
      </c>
      <c r="D1375">
        <f>IF(COUNTIFS('United Data'!$A$3:$A$3390,D$1,'United Data'!$C$3:$C$3390,$A1375)&gt;0,1,0)</f>
        <v>0</v>
      </c>
      <c r="E1375">
        <f>IF(COUNTIFS('United Data'!$A$3:$A$3390,E$1,'United Data'!$C$3:$C$3390,$A1375)&gt;0,1,0)</f>
        <v>1</v>
      </c>
      <c r="F1375">
        <f>IF(COUNTIFS('United Data'!$A$3:$A$3390,F$1,'United Data'!$C$3:$C$3390,$A1375)&gt;0,1,0)</f>
        <v>0</v>
      </c>
      <c r="G1375">
        <f>IF(COUNTIFS('United Data'!$A$3:$A$3390,G$1,'United Data'!$C$3:$C$3390,$A1375)&gt;0,1,0)</f>
        <v>0</v>
      </c>
      <c r="H1375">
        <f>IF(COUNTIFS('United Data'!$A$3:$A$3390,H$1,'United Data'!$C$3:$C$3390,$A1375)&gt;0,1,0)</f>
        <v>0</v>
      </c>
      <c r="I1375">
        <f>IF(COUNTIFS('United Data'!$A$3:$A$3390,I$1,'United Data'!$C$3:$C$3390,$A1375)&gt;0,1,0)</f>
        <v>0</v>
      </c>
      <c r="J1375">
        <f>IF(COUNTIFS('United Data'!$A$3:$A$3390,J$1,'United Data'!$C$3:$C$3390,$A1375)&gt;0,1,0)</f>
        <v>0</v>
      </c>
      <c r="K1375">
        <f>IF(COUNTIFS('United Data'!$A$3:$A$3390,K$1,'United Data'!$C$3:$C$3390,$A1375)&gt;0,1,0)</f>
        <v>0</v>
      </c>
      <c r="L1375">
        <f>IF(COUNTIFS('United Data'!$A$3:$A$3390,L$1,'United Data'!$C$3:$C$3390,$A1375)&gt;0,1,0)</f>
        <v>0</v>
      </c>
      <c r="M1375">
        <f>IF(COUNTIFS('United Data'!$A$3:$A$3390,M$1,'United Data'!$C$3:$C$3390,$A1375)&gt;0,1,0)</f>
        <v>0</v>
      </c>
      <c r="N1375">
        <f>IF(COUNTIFS('United Data'!$A$3:$A$3390,N$1,'United Data'!$C$3:$C$3390,$A1375)&gt;0,1,0)</f>
        <v>0</v>
      </c>
      <c r="O1375">
        <f>IF(COUNTIFS('United Data'!$A$3:$A$3390,O$1,'United Data'!$C$3:$C$3390,$A1375)&gt;0,1,0)</f>
        <v>0</v>
      </c>
      <c r="P1375">
        <f>IF(COUNTIFS('United Data'!$A$3:$A$3390,P$1,'United Data'!$C$3:$C$3390,$A1375)&gt;0,1,0)</f>
        <v>0</v>
      </c>
      <c r="Q1375">
        <f>IF(COUNTIFS('United Data'!$A$3:$A$3390,Q$1,'United Data'!$C$3:$C$3390,$A1375)&gt;0,1,0)</f>
        <v>0</v>
      </c>
      <c r="R1375">
        <f>IF(COUNTIFS('United Data'!$A$3:$A$3390,R$1,'United Data'!$C$3:$C$3390,$A1375)&gt;0,1,0)</f>
        <v>0</v>
      </c>
      <c r="S1375">
        <f t="shared" si="42"/>
        <v>1</v>
      </c>
      <c r="T1375">
        <f t="shared" si="43"/>
        <v>1</v>
      </c>
    </row>
    <row r="1376" spans="1:20" x14ac:dyDescent="0.2">
      <c r="A1376" t="s">
        <v>1631</v>
      </c>
      <c r="B1376">
        <f>IF(COUNTIFS('United Data'!$A$3:$A$3390,B$1,'United Data'!$C$3:$C$3390,$A1376)&gt;0,1,0)</f>
        <v>0</v>
      </c>
      <c r="C1376">
        <f>IF(COUNTIFS('United Data'!$A$3:$A$3390,C$1,'United Data'!$C$3:$C$3390,$A1376)&gt;0,1,0)</f>
        <v>0</v>
      </c>
      <c r="D1376">
        <f>IF(COUNTIFS('United Data'!$A$3:$A$3390,D$1,'United Data'!$C$3:$C$3390,$A1376)&gt;0,1,0)</f>
        <v>0</v>
      </c>
      <c r="E1376">
        <f>IF(COUNTIFS('United Data'!$A$3:$A$3390,E$1,'United Data'!$C$3:$C$3390,$A1376)&gt;0,1,0)</f>
        <v>1</v>
      </c>
      <c r="F1376">
        <f>IF(COUNTIFS('United Data'!$A$3:$A$3390,F$1,'United Data'!$C$3:$C$3390,$A1376)&gt;0,1,0)</f>
        <v>1</v>
      </c>
      <c r="G1376">
        <f>IF(COUNTIFS('United Data'!$A$3:$A$3390,G$1,'United Data'!$C$3:$C$3390,$A1376)&gt;0,1,0)</f>
        <v>1</v>
      </c>
      <c r="H1376">
        <f>IF(COUNTIFS('United Data'!$A$3:$A$3390,H$1,'United Data'!$C$3:$C$3390,$A1376)&gt;0,1,0)</f>
        <v>0</v>
      </c>
      <c r="I1376">
        <f>IF(COUNTIFS('United Data'!$A$3:$A$3390,I$1,'United Data'!$C$3:$C$3390,$A1376)&gt;0,1,0)</f>
        <v>0</v>
      </c>
      <c r="J1376">
        <f>IF(COUNTIFS('United Data'!$A$3:$A$3390,J$1,'United Data'!$C$3:$C$3390,$A1376)&gt;0,1,0)</f>
        <v>0</v>
      </c>
      <c r="K1376">
        <f>IF(COUNTIFS('United Data'!$A$3:$A$3390,K$1,'United Data'!$C$3:$C$3390,$A1376)&gt;0,1,0)</f>
        <v>0</v>
      </c>
      <c r="L1376">
        <f>IF(COUNTIFS('United Data'!$A$3:$A$3390,L$1,'United Data'!$C$3:$C$3390,$A1376)&gt;0,1,0)</f>
        <v>0</v>
      </c>
      <c r="M1376">
        <f>IF(COUNTIFS('United Data'!$A$3:$A$3390,M$1,'United Data'!$C$3:$C$3390,$A1376)&gt;0,1,0)</f>
        <v>0</v>
      </c>
      <c r="N1376">
        <f>IF(COUNTIFS('United Data'!$A$3:$A$3390,N$1,'United Data'!$C$3:$C$3390,$A1376)&gt;0,1,0)</f>
        <v>0</v>
      </c>
      <c r="O1376">
        <f>IF(COUNTIFS('United Data'!$A$3:$A$3390,O$1,'United Data'!$C$3:$C$3390,$A1376)&gt;0,1,0)</f>
        <v>0</v>
      </c>
      <c r="P1376">
        <f>IF(COUNTIFS('United Data'!$A$3:$A$3390,P$1,'United Data'!$C$3:$C$3390,$A1376)&gt;0,1,0)</f>
        <v>0</v>
      </c>
      <c r="Q1376">
        <f>IF(COUNTIFS('United Data'!$A$3:$A$3390,Q$1,'United Data'!$C$3:$C$3390,$A1376)&gt;0,1,0)</f>
        <v>0</v>
      </c>
      <c r="R1376">
        <f>IF(COUNTIFS('United Data'!$A$3:$A$3390,R$1,'United Data'!$C$3:$C$3390,$A1376)&gt;0,1,0)</f>
        <v>0</v>
      </c>
      <c r="S1376">
        <f t="shared" si="42"/>
        <v>3</v>
      </c>
      <c r="T1376">
        <f t="shared" si="43"/>
        <v>1</v>
      </c>
    </row>
    <row r="1377" spans="1:20" x14ac:dyDescent="0.2">
      <c r="A1377" t="s">
        <v>1633</v>
      </c>
      <c r="B1377">
        <f>IF(COUNTIFS('United Data'!$A$3:$A$3390,B$1,'United Data'!$C$3:$C$3390,$A1377)&gt;0,1,0)</f>
        <v>0</v>
      </c>
      <c r="C1377">
        <f>IF(COUNTIFS('United Data'!$A$3:$A$3390,C$1,'United Data'!$C$3:$C$3390,$A1377)&gt;0,1,0)</f>
        <v>0</v>
      </c>
      <c r="D1377">
        <f>IF(COUNTIFS('United Data'!$A$3:$A$3390,D$1,'United Data'!$C$3:$C$3390,$A1377)&gt;0,1,0)</f>
        <v>0</v>
      </c>
      <c r="E1377">
        <f>IF(COUNTIFS('United Data'!$A$3:$A$3390,E$1,'United Data'!$C$3:$C$3390,$A1377)&gt;0,1,0)</f>
        <v>1</v>
      </c>
      <c r="F1377">
        <f>IF(COUNTIFS('United Data'!$A$3:$A$3390,F$1,'United Data'!$C$3:$C$3390,$A1377)&gt;0,1,0)</f>
        <v>1</v>
      </c>
      <c r="G1377">
        <f>IF(COUNTIFS('United Data'!$A$3:$A$3390,G$1,'United Data'!$C$3:$C$3390,$A1377)&gt;0,1,0)</f>
        <v>0</v>
      </c>
      <c r="H1377">
        <f>IF(COUNTIFS('United Data'!$A$3:$A$3390,H$1,'United Data'!$C$3:$C$3390,$A1377)&gt;0,1,0)</f>
        <v>0</v>
      </c>
      <c r="I1377">
        <f>IF(COUNTIFS('United Data'!$A$3:$A$3390,I$1,'United Data'!$C$3:$C$3390,$A1377)&gt;0,1,0)</f>
        <v>0</v>
      </c>
      <c r="J1377">
        <f>IF(COUNTIFS('United Data'!$A$3:$A$3390,J$1,'United Data'!$C$3:$C$3390,$A1377)&gt;0,1,0)</f>
        <v>0</v>
      </c>
      <c r="K1377">
        <f>IF(COUNTIFS('United Data'!$A$3:$A$3390,K$1,'United Data'!$C$3:$C$3390,$A1377)&gt;0,1,0)</f>
        <v>0</v>
      </c>
      <c r="L1377">
        <f>IF(COUNTIFS('United Data'!$A$3:$A$3390,L$1,'United Data'!$C$3:$C$3390,$A1377)&gt;0,1,0)</f>
        <v>0</v>
      </c>
      <c r="M1377">
        <f>IF(COUNTIFS('United Data'!$A$3:$A$3390,M$1,'United Data'!$C$3:$C$3390,$A1377)&gt;0,1,0)</f>
        <v>0</v>
      </c>
      <c r="N1377">
        <f>IF(COUNTIFS('United Data'!$A$3:$A$3390,N$1,'United Data'!$C$3:$C$3390,$A1377)&gt;0,1,0)</f>
        <v>0</v>
      </c>
      <c r="O1377">
        <f>IF(COUNTIFS('United Data'!$A$3:$A$3390,O$1,'United Data'!$C$3:$C$3390,$A1377)&gt;0,1,0)</f>
        <v>0</v>
      </c>
      <c r="P1377">
        <f>IF(COUNTIFS('United Data'!$A$3:$A$3390,P$1,'United Data'!$C$3:$C$3390,$A1377)&gt;0,1,0)</f>
        <v>0</v>
      </c>
      <c r="Q1377">
        <f>IF(COUNTIFS('United Data'!$A$3:$A$3390,Q$1,'United Data'!$C$3:$C$3390,$A1377)&gt;0,1,0)</f>
        <v>0</v>
      </c>
      <c r="R1377">
        <f>IF(COUNTIFS('United Data'!$A$3:$A$3390,R$1,'United Data'!$C$3:$C$3390,$A1377)&gt;0,1,0)</f>
        <v>0</v>
      </c>
      <c r="S1377">
        <f t="shared" si="42"/>
        <v>2</v>
      </c>
      <c r="T1377">
        <f t="shared" si="43"/>
        <v>1</v>
      </c>
    </row>
    <row r="1378" spans="1:20" x14ac:dyDescent="0.2">
      <c r="A1378" t="s">
        <v>1634</v>
      </c>
      <c r="B1378">
        <f>IF(COUNTIFS('United Data'!$A$3:$A$3390,B$1,'United Data'!$C$3:$C$3390,$A1378)&gt;0,1,0)</f>
        <v>0</v>
      </c>
      <c r="C1378">
        <f>IF(COUNTIFS('United Data'!$A$3:$A$3390,C$1,'United Data'!$C$3:$C$3390,$A1378)&gt;0,1,0)</f>
        <v>0</v>
      </c>
      <c r="D1378">
        <f>IF(COUNTIFS('United Data'!$A$3:$A$3390,D$1,'United Data'!$C$3:$C$3390,$A1378)&gt;0,1,0)</f>
        <v>0</v>
      </c>
      <c r="E1378">
        <f>IF(COUNTIFS('United Data'!$A$3:$A$3390,E$1,'United Data'!$C$3:$C$3390,$A1378)&gt;0,1,0)</f>
        <v>1</v>
      </c>
      <c r="F1378">
        <f>IF(COUNTIFS('United Data'!$A$3:$A$3390,F$1,'United Data'!$C$3:$C$3390,$A1378)&gt;0,1,0)</f>
        <v>1</v>
      </c>
      <c r="G1378">
        <f>IF(COUNTIFS('United Data'!$A$3:$A$3390,G$1,'United Data'!$C$3:$C$3390,$A1378)&gt;0,1,0)</f>
        <v>0</v>
      </c>
      <c r="H1378">
        <f>IF(COUNTIFS('United Data'!$A$3:$A$3390,H$1,'United Data'!$C$3:$C$3390,$A1378)&gt;0,1,0)</f>
        <v>1</v>
      </c>
      <c r="I1378">
        <f>IF(COUNTIFS('United Data'!$A$3:$A$3390,I$1,'United Data'!$C$3:$C$3390,$A1378)&gt;0,1,0)</f>
        <v>1</v>
      </c>
      <c r="J1378">
        <f>IF(COUNTIFS('United Data'!$A$3:$A$3390,J$1,'United Data'!$C$3:$C$3390,$A1378)&gt;0,1,0)</f>
        <v>1</v>
      </c>
      <c r="K1378">
        <f>IF(COUNTIFS('United Data'!$A$3:$A$3390,K$1,'United Data'!$C$3:$C$3390,$A1378)&gt;0,1,0)</f>
        <v>1</v>
      </c>
      <c r="L1378">
        <f>IF(COUNTIFS('United Data'!$A$3:$A$3390,L$1,'United Data'!$C$3:$C$3390,$A1378)&gt;0,1,0)</f>
        <v>1</v>
      </c>
      <c r="M1378">
        <f>IF(COUNTIFS('United Data'!$A$3:$A$3390,M$1,'United Data'!$C$3:$C$3390,$A1378)&gt;0,1,0)</f>
        <v>0</v>
      </c>
      <c r="N1378">
        <f>IF(COUNTIFS('United Data'!$A$3:$A$3390,N$1,'United Data'!$C$3:$C$3390,$A1378)&gt;0,1,0)</f>
        <v>0</v>
      </c>
      <c r="O1378">
        <f>IF(COUNTIFS('United Data'!$A$3:$A$3390,O$1,'United Data'!$C$3:$C$3390,$A1378)&gt;0,1,0)</f>
        <v>0</v>
      </c>
      <c r="P1378">
        <f>IF(COUNTIFS('United Data'!$A$3:$A$3390,P$1,'United Data'!$C$3:$C$3390,$A1378)&gt;0,1,0)</f>
        <v>0</v>
      </c>
      <c r="Q1378">
        <f>IF(COUNTIFS('United Data'!$A$3:$A$3390,Q$1,'United Data'!$C$3:$C$3390,$A1378)&gt;0,1,0)</f>
        <v>0</v>
      </c>
      <c r="R1378">
        <f>IF(COUNTIFS('United Data'!$A$3:$A$3390,R$1,'United Data'!$C$3:$C$3390,$A1378)&gt;0,1,0)</f>
        <v>0</v>
      </c>
      <c r="S1378">
        <f t="shared" si="42"/>
        <v>7</v>
      </c>
      <c r="T1378">
        <f t="shared" si="43"/>
        <v>2</v>
      </c>
    </row>
    <row r="1379" spans="1:20" x14ac:dyDescent="0.2">
      <c r="A1379" t="s">
        <v>1635</v>
      </c>
      <c r="B1379">
        <f>IF(COUNTIFS('United Data'!$A$3:$A$3390,B$1,'United Data'!$C$3:$C$3390,$A1379)&gt;0,1,0)</f>
        <v>0</v>
      </c>
      <c r="C1379">
        <f>IF(COUNTIFS('United Data'!$A$3:$A$3390,C$1,'United Data'!$C$3:$C$3390,$A1379)&gt;0,1,0)</f>
        <v>0</v>
      </c>
      <c r="D1379">
        <f>IF(COUNTIFS('United Data'!$A$3:$A$3390,D$1,'United Data'!$C$3:$C$3390,$A1379)&gt;0,1,0)</f>
        <v>0</v>
      </c>
      <c r="E1379">
        <f>IF(COUNTIFS('United Data'!$A$3:$A$3390,E$1,'United Data'!$C$3:$C$3390,$A1379)&gt;0,1,0)</f>
        <v>1</v>
      </c>
      <c r="F1379">
        <f>IF(COUNTIFS('United Data'!$A$3:$A$3390,F$1,'United Data'!$C$3:$C$3390,$A1379)&gt;0,1,0)</f>
        <v>1</v>
      </c>
      <c r="G1379">
        <f>IF(COUNTIFS('United Data'!$A$3:$A$3390,G$1,'United Data'!$C$3:$C$3390,$A1379)&gt;0,1,0)</f>
        <v>0</v>
      </c>
      <c r="H1379">
        <f>IF(COUNTIFS('United Data'!$A$3:$A$3390,H$1,'United Data'!$C$3:$C$3390,$A1379)&gt;0,1,0)</f>
        <v>0</v>
      </c>
      <c r="I1379">
        <f>IF(COUNTIFS('United Data'!$A$3:$A$3390,I$1,'United Data'!$C$3:$C$3390,$A1379)&gt;0,1,0)</f>
        <v>0</v>
      </c>
      <c r="J1379">
        <f>IF(COUNTIFS('United Data'!$A$3:$A$3390,J$1,'United Data'!$C$3:$C$3390,$A1379)&gt;0,1,0)</f>
        <v>0</v>
      </c>
      <c r="K1379">
        <f>IF(COUNTIFS('United Data'!$A$3:$A$3390,K$1,'United Data'!$C$3:$C$3390,$A1379)&gt;0,1,0)</f>
        <v>0</v>
      </c>
      <c r="L1379">
        <f>IF(COUNTIFS('United Data'!$A$3:$A$3390,L$1,'United Data'!$C$3:$C$3390,$A1379)&gt;0,1,0)</f>
        <v>0</v>
      </c>
      <c r="M1379">
        <f>IF(COUNTIFS('United Data'!$A$3:$A$3390,M$1,'United Data'!$C$3:$C$3390,$A1379)&gt;0,1,0)</f>
        <v>0</v>
      </c>
      <c r="N1379">
        <f>IF(COUNTIFS('United Data'!$A$3:$A$3390,N$1,'United Data'!$C$3:$C$3390,$A1379)&gt;0,1,0)</f>
        <v>0</v>
      </c>
      <c r="O1379">
        <f>IF(COUNTIFS('United Data'!$A$3:$A$3390,O$1,'United Data'!$C$3:$C$3390,$A1379)&gt;0,1,0)</f>
        <v>0</v>
      </c>
      <c r="P1379">
        <f>IF(COUNTIFS('United Data'!$A$3:$A$3390,P$1,'United Data'!$C$3:$C$3390,$A1379)&gt;0,1,0)</f>
        <v>0</v>
      </c>
      <c r="Q1379">
        <f>IF(COUNTIFS('United Data'!$A$3:$A$3390,Q$1,'United Data'!$C$3:$C$3390,$A1379)&gt;0,1,0)</f>
        <v>0</v>
      </c>
      <c r="R1379">
        <f>IF(COUNTIFS('United Data'!$A$3:$A$3390,R$1,'United Data'!$C$3:$C$3390,$A1379)&gt;0,1,0)</f>
        <v>0</v>
      </c>
      <c r="S1379">
        <f t="shared" si="42"/>
        <v>2</v>
      </c>
      <c r="T1379">
        <f t="shared" si="43"/>
        <v>1</v>
      </c>
    </row>
    <row r="1380" spans="1:20" x14ac:dyDescent="0.2">
      <c r="A1380" t="s">
        <v>1636</v>
      </c>
      <c r="B1380">
        <f>IF(COUNTIFS('United Data'!$A$3:$A$3390,B$1,'United Data'!$C$3:$C$3390,$A1380)&gt;0,1,0)</f>
        <v>0</v>
      </c>
      <c r="C1380">
        <f>IF(COUNTIFS('United Data'!$A$3:$A$3390,C$1,'United Data'!$C$3:$C$3390,$A1380)&gt;0,1,0)</f>
        <v>0</v>
      </c>
      <c r="D1380">
        <f>IF(COUNTIFS('United Data'!$A$3:$A$3390,D$1,'United Data'!$C$3:$C$3390,$A1380)&gt;0,1,0)</f>
        <v>0</v>
      </c>
      <c r="E1380">
        <f>IF(COUNTIFS('United Data'!$A$3:$A$3390,E$1,'United Data'!$C$3:$C$3390,$A1380)&gt;0,1,0)</f>
        <v>1</v>
      </c>
      <c r="F1380">
        <f>IF(COUNTIFS('United Data'!$A$3:$A$3390,F$1,'United Data'!$C$3:$C$3390,$A1380)&gt;0,1,0)</f>
        <v>1</v>
      </c>
      <c r="G1380">
        <f>IF(COUNTIFS('United Data'!$A$3:$A$3390,G$1,'United Data'!$C$3:$C$3390,$A1380)&gt;0,1,0)</f>
        <v>1</v>
      </c>
      <c r="H1380">
        <f>IF(COUNTIFS('United Data'!$A$3:$A$3390,H$1,'United Data'!$C$3:$C$3390,$A1380)&gt;0,1,0)</f>
        <v>1</v>
      </c>
      <c r="I1380">
        <f>IF(COUNTIFS('United Data'!$A$3:$A$3390,I$1,'United Data'!$C$3:$C$3390,$A1380)&gt;0,1,0)</f>
        <v>0</v>
      </c>
      <c r="J1380">
        <f>IF(COUNTIFS('United Data'!$A$3:$A$3390,J$1,'United Data'!$C$3:$C$3390,$A1380)&gt;0,1,0)</f>
        <v>0</v>
      </c>
      <c r="K1380">
        <f>IF(COUNTIFS('United Data'!$A$3:$A$3390,K$1,'United Data'!$C$3:$C$3390,$A1380)&gt;0,1,0)</f>
        <v>1</v>
      </c>
      <c r="L1380">
        <f>IF(COUNTIFS('United Data'!$A$3:$A$3390,L$1,'United Data'!$C$3:$C$3390,$A1380)&gt;0,1,0)</f>
        <v>1</v>
      </c>
      <c r="M1380">
        <f>IF(COUNTIFS('United Data'!$A$3:$A$3390,M$1,'United Data'!$C$3:$C$3390,$A1380)&gt;0,1,0)</f>
        <v>0</v>
      </c>
      <c r="N1380">
        <f>IF(COUNTIFS('United Data'!$A$3:$A$3390,N$1,'United Data'!$C$3:$C$3390,$A1380)&gt;0,1,0)</f>
        <v>0</v>
      </c>
      <c r="O1380">
        <f>IF(COUNTIFS('United Data'!$A$3:$A$3390,O$1,'United Data'!$C$3:$C$3390,$A1380)&gt;0,1,0)</f>
        <v>0</v>
      </c>
      <c r="P1380">
        <f>IF(COUNTIFS('United Data'!$A$3:$A$3390,P$1,'United Data'!$C$3:$C$3390,$A1380)&gt;0,1,0)</f>
        <v>0</v>
      </c>
      <c r="Q1380">
        <f>IF(COUNTIFS('United Data'!$A$3:$A$3390,Q$1,'United Data'!$C$3:$C$3390,$A1380)&gt;0,1,0)</f>
        <v>0</v>
      </c>
      <c r="R1380">
        <f>IF(COUNTIFS('United Data'!$A$3:$A$3390,R$1,'United Data'!$C$3:$C$3390,$A1380)&gt;0,1,0)</f>
        <v>0</v>
      </c>
      <c r="S1380">
        <f t="shared" si="42"/>
        <v>6</v>
      </c>
      <c r="T1380">
        <f t="shared" si="43"/>
        <v>2</v>
      </c>
    </row>
    <row r="1381" spans="1:20" x14ac:dyDescent="0.2">
      <c r="A1381" t="s">
        <v>1638</v>
      </c>
      <c r="B1381">
        <f>IF(COUNTIFS('United Data'!$A$3:$A$3390,B$1,'United Data'!$C$3:$C$3390,$A1381)&gt;0,1,0)</f>
        <v>0</v>
      </c>
      <c r="C1381">
        <f>IF(COUNTIFS('United Data'!$A$3:$A$3390,C$1,'United Data'!$C$3:$C$3390,$A1381)&gt;0,1,0)</f>
        <v>0</v>
      </c>
      <c r="D1381">
        <f>IF(COUNTIFS('United Data'!$A$3:$A$3390,D$1,'United Data'!$C$3:$C$3390,$A1381)&gt;0,1,0)</f>
        <v>0</v>
      </c>
      <c r="E1381">
        <f>IF(COUNTIFS('United Data'!$A$3:$A$3390,E$1,'United Data'!$C$3:$C$3390,$A1381)&gt;0,1,0)</f>
        <v>0</v>
      </c>
      <c r="F1381">
        <f>IF(COUNTIFS('United Data'!$A$3:$A$3390,F$1,'United Data'!$C$3:$C$3390,$A1381)&gt;0,1,0)</f>
        <v>1</v>
      </c>
      <c r="G1381">
        <f>IF(COUNTIFS('United Data'!$A$3:$A$3390,G$1,'United Data'!$C$3:$C$3390,$A1381)&gt;0,1,0)</f>
        <v>0</v>
      </c>
      <c r="H1381">
        <f>IF(COUNTIFS('United Data'!$A$3:$A$3390,H$1,'United Data'!$C$3:$C$3390,$A1381)&gt;0,1,0)</f>
        <v>0</v>
      </c>
      <c r="I1381">
        <f>IF(COUNTIFS('United Data'!$A$3:$A$3390,I$1,'United Data'!$C$3:$C$3390,$A1381)&gt;0,1,0)</f>
        <v>0</v>
      </c>
      <c r="J1381">
        <f>IF(COUNTIFS('United Data'!$A$3:$A$3390,J$1,'United Data'!$C$3:$C$3390,$A1381)&gt;0,1,0)</f>
        <v>0</v>
      </c>
      <c r="K1381">
        <f>IF(COUNTIFS('United Data'!$A$3:$A$3390,K$1,'United Data'!$C$3:$C$3390,$A1381)&gt;0,1,0)</f>
        <v>0</v>
      </c>
      <c r="L1381">
        <f>IF(COUNTIFS('United Data'!$A$3:$A$3390,L$1,'United Data'!$C$3:$C$3390,$A1381)&gt;0,1,0)</f>
        <v>0</v>
      </c>
      <c r="M1381">
        <f>IF(COUNTIFS('United Data'!$A$3:$A$3390,M$1,'United Data'!$C$3:$C$3390,$A1381)&gt;0,1,0)</f>
        <v>0</v>
      </c>
      <c r="N1381">
        <f>IF(COUNTIFS('United Data'!$A$3:$A$3390,N$1,'United Data'!$C$3:$C$3390,$A1381)&gt;0,1,0)</f>
        <v>0</v>
      </c>
      <c r="O1381">
        <f>IF(COUNTIFS('United Data'!$A$3:$A$3390,O$1,'United Data'!$C$3:$C$3390,$A1381)&gt;0,1,0)</f>
        <v>0</v>
      </c>
      <c r="P1381">
        <f>IF(COUNTIFS('United Data'!$A$3:$A$3390,P$1,'United Data'!$C$3:$C$3390,$A1381)&gt;0,1,0)</f>
        <v>0</v>
      </c>
      <c r="Q1381">
        <f>IF(COUNTIFS('United Data'!$A$3:$A$3390,Q$1,'United Data'!$C$3:$C$3390,$A1381)&gt;0,1,0)</f>
        <v>0</v>
      </c>
      <c r="R1381">
        <f>IF(COUNTIFS('United Data'!$A$3:$A$3390,R$1,'United Data'!$C$3:$C$3390,$A1381)&gt;0,1,0)</f>
        <v>0</v>
      </c>
      <c r="S1381">
        <f t="shared" si="42"/>
        <v>1</v>
      </c>
      <c r="T1381">
        <f t="shared" si="43"/>
        <v>1</v>
      </c>
    </row>
    <row r="1382" spans="1:20" x14ac:dyDescent="0.2">
      <c r="A1382" t="s">
        <v>1639</v>
      </c>
      <c r="B1382">
        <f>IF(COUNTIFS('United Data'!$A$3:$A$3390,B$1,'United Data'!$C$3:$C$3390,$A1382)&gt;0,1,0)</f>
        <v>0</v>
      </c>
      <c r="C1382">
        <f>IF(COUNTIFS('United Data'!$A$3:$A$3390,C$1,'United Data'!$C$3:$C$3390,$A1382)&gt;0,1,0)</f>
        <v>0</v>
      </c>
      <c r="D1382">
        <f>IF(COUNTIFS('United Data'!$A$3:$A$3390,D$1,'United Data'!$C$3:$C$3390,$A1382)&gt;0,1,0)</f>
        <v>0</v>
      </c>
      <c r="E1382">
        <f>IF(COUNTIFS('United Data'!$A$3:$A$3390,E$1,'United Data'!$C$3:$C$3390,$A1382)&gt;0,1,0)</f>
        <v>0</v>
      </c>
      <c r="F1382">
        <f>IF(COUNTIFS('United Data'!$A$3:$A$3390,F$1,'United Data'!$C$3:$C$3390,$A1382)&gt;0,1,0)</f>
        <v>1</v>
      </c>
      <c r="G1382">
        <f>IF(COUNTIFS('United Data'!$A$3:$A$3390,G$1,'United Data'!$C$3:$C$3390,$A1382)&gt;0,1,0)</f>
        <v>0</v>
      </c>
      <c r="H1382">
        <f>IF(COUNTIFS('United Data'!$A$3:$A$3390,H$1,'United Data'!$C$3:$C$3390,$A1382)&gt;0,1,0)</f>
        <v>0</v>
      </c>
      <c r="I1382">
        <f>IF(COUNTIFS('United Data'!$A$3:$A$3390,I$1,'United Data'!$C$3:$C$3390,$A1382)&gt;0,1,0)</f>
        <v>0</v>
      </c>
      <c r="J1382">
        <f>IF(COUNTIFS('United Data'!$A$3:$A$3390,J$1,'United Data'!$C$3:$C$3390,$A1382)&gt;0,1,0)</f>
        <v>0</v>
      </c>
      <c r="K1382">
        <f>IF(COUNTIFS('United Data'!$A$3:$A$3390,K$1,'United Data'!$C$3:$C$3390,$A1382)&gt;0,1,0)</f>
        <v>0</v>
      </c>
      <c r="L1382">
        <f>IF(COUNTIFS('United Data'!$A$3:$A$3390,L$1,'United Data'!$C$3:$C$3390,$A1382)&gt;0,1,0)</f>
        <v>0</v>
      </c>
      <c r="M1382">
        <f>IF(COUNTIFS('United Data'!$A$3:$A$3390,M$1,'United Data'!$C$3:$C$3390,$A1382)&gt;0,1,0)</f>
        <v>0</v>
      </c>
      <c r="N1382">
        <f>IF(COUNTIFS('United Data'!$A$3:$A$3390,N$1,'United Data'!$C$3:$C$3390,$A1382)&gt;0,1,0)</f>
        <v>0</v>
      </c>
      <c r="O1382">
        <f>IF(COUNTIFS('United Data'!$A$3:$A$3390,O$1,'United Data'!$C$3:$C$3390,$A1382)&gt;0,1,0)</f>
        <v>0</v>
      </c>
      <c r="P1382">
        <f>IF(COUNTIFS('United Data'!$A$3:$A$3390,P$1,'United Data'!$C$3:$C$3390,$A1382)&gt;0,1,0)</f>
        <v>0</v>
      </c>
      <c r="Q1382">
        <f>IF(COUNTIFS('United Data'!$A$3:$A$3390,Q$1,'United Data'!$C$3:$C$3390,$A1382)&gt;0,1,0)</f>
        <v>0</v>
      </c>
      <c r="R1382">
        <f>IF(COUNTIFS('United Data'!$A$3:$A$3390,R$1,'United Data'!$C$3:$C$3390,$A1382)&gt;0,1,0)</f>
        <v>0</v>
      </c>
      <c r="S1382">
        <f t="shared" si="42"/>
        <v>1</v>
      </c>
      <c r="T1382">
        <f t="shared" si="43"/>
        <v>1</v>
      </c>
    </row>
    <row r="1383" spans="1:20" x14ac:dyDescent="0.2">
      <c r="A1383" t="s">
        <v>1640</v>
      </c>
      <c r="B1383">
        <f>IF(COUNTIFS('United Data'!$A$3:$A$3390,B$1,'United Data'!$C$3:$C$3390,$A1383)&gt;0,1,0)</f>
        <v>0</v>
      </c>
      <c r="C1383">
        <f>IF(COUNTIFS('United Data'!$A$3:$A$3390,C$1,'United Data'!$C$3:$C$3390,$A1383)&gt;0,1,0)</f>
        <v>0</v>
      </c>
      <c r="D1383">
        <f>IF(COUNTIFS('United Data'!$A$3:$A$3390,D$1,'United Data'!$C$3:$C$3390,$A1383)&gt;0,1,0)</f>
        <v>0</v>
      </c>
      <c r="E1383">
        <f>IF(COUNTIFS('United Data'!$A$3:$A$3390,E$1,'United Data'!$C$3:$C$3390,$A1383)&gt;0,1,0)</f>
        <v>0</v>
      </c>
      <c r="F1383">
        <f>IF(COUNTIFS('United Data'!$A$3:$A$3390,F$1,'United Data'!$C$3:$C$3390,$A1383)&gt;0,1,0)</f>
        <v>0</v>
      </c>
      <c r="G1383">
        <f>IF(COUNTIFS('United Data'!$A$3:$A$3390,G$1,'United Data'!$C$3:$C$3390,$A1383)&gt;0,1,0)</f>
        <v>1</v>
      </c>
      <c r="H1383">
        <f>IF(COUNTIFS('United Data'!$A$3:$A$3390,H$1,'United Data'!$C$3:$C$3390,$A1383)&gt;0,1,0)</f>
        <v>0</v>
      </c>
      <c r="I1383">
        <f>IF(COUNTIFS('United Data'!$A$3:$A$3390,I$1,'United Data'!$C$3:$C$3390,$A1383)&gt;0,1,0)</f>
        <v>0</v>
      </c>
      <c r="J1383">
        <f>IF(COUNTIFS('United Data'!$A$3:$A$3390,J$1,'United Data'!$C$3:$C$3390,$A1383)&gt;0,1,0)</f>
        <v>0</v>
      </c>
      <c r="K1383">
        <f>IF(COUNTIFS('United Data'!$A$3:$A$3390,K$1,'United Data'!$C$3:$C$3390,$A1383)&gt;0,1,0)</f>
        <v>0</v>
      </c>
      <c r="L1383">
        <f>IF(COUNTIFS('United Data'!$A$3:$A$3390,L$1,'United Data'!$C$3:$C$3390,$A1383)&gt;0,1,0)</f>
        <v>0</v>
      </c>
      <c r="M1383">
        <f>IF(COUNTIFS('United Data'!$A$3:$A$3390,M$1,'United Data'!$C$3:$C$3390,$A1383)&gt;0,1,0)</f>
        <v>0</v>
      </c>
      <c r="N1383">
        <f>IF(COUNTIFS('United Data'!$A$3:$A$3390,N$1,'United Data'!$C$3:$C$3390,$A1383)&gt;0,1,0)</f>
        <v>0</v>
      </c>
      <c r="O1383">
        <f>IF(COUNTIFS('United Data'!$A$3:$A$3390,O$1,'United Data'!$C$3:$C$3390,$A1383)&gt;0,1,0)</f>
        <v>0</v>
      </c>
      <c r="P1383">
        <f>IF(COUNTIFS('United Data'!$A$3:$A$3390,P$1,'United Data'!$C$3:$C$3390,$A1383)&gt;0,1,0)</f>
        <v>0</v>
      </c>
      <c r="Q1383">
        <f>IF(COUNTIFS('United Data'!$A$3:$A$3390,Q$1,'United Data'!$C$3:$C$3390,$A1383)&gt;0,1,0)</f>
        <v>0</v>
      </c>
      <c r="R1383">
        <f>IF(COUNTIFS('United Data'!$A$3:$A$3390,R$1,'United Data'!$C$3:$C$3390,$A1383)&gt;0,1,0)</f>
        <v>0</v>
      </c>
      <c r="S1383">
        <f t="shared" si="42"/>
        <v>1</v>
      </c>
      <c r="T1383">
        <f t="shared" si="43"/>
        <v>1</v>
      </c>
    </row>
    <row r="1384" spans="1:20" x14ac:dyDescent="0.2">
      <c r="A1384" t="s">
        <v>1641</v>
      </c>
      <c r="B1384">
        <f>IF(COUNTIFS('United Data'!$A$3:$A$3390,B$1,'United Data'!$C$3:$C$3390,$A1384)&gt;0,1,0)</f>
        <v>0</v>
      </c>
      <c r="C1384">
        <f>IF(COUNTIFS('United Data'!$A$3:$A$3390,C$1,'United Data'!$C$3:$C$3390,$A1384)&gt;0,1,0)</f>
        <v>0</v>
      </c>
      <c r="D1384">
        <f>IF(COUNTIFS('United Data'!$A$3:$A$3390,D$1,'United Data'!$C$3:$C$3390,$A1384)&gt;0,1,0)</f>
        <v>0</v>
      </c>
      <c r="E1384">
        <f>IF(COUNTIFS('United Data'!$A$3:$A$3390,E$1,'United Data'!$C$3:$C$3390,$A1384)&gt;0,1,0)</f>
        <v>0</v>
      </c>
      <c r="F1384">
        <f>IF(COUNTIFS('United Data'!$A$3:$A$3390,F$1,'United Data'!$C$3:$C$3390,$A1384)&gt;0,1,0)</f>
        <v>0</v>
      </c>
      <c r="G1384">
        <f>IF(COUNTIFS('United Data'!$A$3:$A$3390,G$1,'United Data'!$C$3:$C$3390,$A1384)&gt;0,1,0)</f>
        <v>0</v>
      </c>
      <c r="H1384">
        <f>IF(COUNTIFS('United Data'!$A$3:$A$3390,H$1,'United Data'!$C$3:$C$3390,$A1384)&gt;0,1,0)</f>
        <v>1</v>
      </c>
      <c r="I1384">
        <f>IF(COUNTIFS('United Data'!$A$3:$A$3390,I$1,'United Data'!$C$3:$C$3390,$A1384)&gt;0,1,0)</f>
        <v>0</v>
      </c>
      <c r="J1384">
        <f>IF(COUNTIFS('United Data'!$A$3:$A$3390,J$1,'United Data'!$C$3:$C$3390,$A1384)&gt;0,1,0)</f>
        <v>0</v>
      </c>
      <c r="K1384">
        <f>IF(COUNTIFS('United Data'!$A$3:$A$3390,K$1,'United Data'!$C$3:$C$3390,$A1384)&gt;0,1,0)</f>
        <v>0</v>
      </c>
      <c r="L1384">
        <f>IF(COUNTIFS('United Data'!$A$3:$A$3390,L$1,'United Data'!$C$3:$C$3390,$A1384)&gt;0,1,0)</f>
        <v>0</v>
      </c>
      <c r="M1384">
        <f>IF(COUNTIFS('United Data'!$A$3:$A$3390,M$1,'United Data'!$C$3:$C$3390,$A1384)&gt;0,1,0)</f>
        <v>0</v>
      </c>
      <c r="N1384">
        <f>IF(COUNTIFS('United Data'!$A$3:$A$3390,N$1,'United Data'!$C$3:$C$3390,$A1384)&gt;0,1,0)</f>
        <v>0</v>
      </c>
      <c r="O1384">
        <f>IF(COUNTIFS('United Data'!$A$3:$A$3390,O$1,'United Data'!$C$3:$C$3390,$A1384)&gt;0,1,0)</f>
        <v>0</v>
      </c>
      <c r="P1384">
        <f>IF(COUNTIFS('United Data'!$A$3:$A$3390,P$1,'United Data'!$C$3:$C$3390,$A1384)&gt;0,1,0)</f>
        <v>0</v>
      </c>
      <c r="Q1384">
        <f>IF(COUNTIFS('United Data'!$A$3:$A$3390,Q$1,'United Data'!$C$3:$C$3390,$A1384)&gt;0,1,0)</f>
        <v>0</v>
      </c>
      <c r="R1384">
        <f>IF(COUNTIFS('United Data'!$A$3:$A$3390,R$1,'United Data'!$C$3:$C$3390,$A1384)&gt;0,1,0)</f>
        <v>0</v>
      </c>
      <c r="S1384">
        <f t="shared" si="42"/>
        <v>1</v>
      </c>
      <c r="T1384">
        <f t="shared" si="43"/>
        <v>1</v>
      </c>
    </row>
    <row r="1385" spans="1:20" x14ac:dyDescent="0.2">
      <c r="A1385" t="s">
        <v>1642</v>
      </c>
      <c r="B1385">
        <f>IF(COUNTIFS('United Data'!$A$3:$A$3390,B$1,'United Data'!$C$3:$C$3390,$A1385)&gt;0,1,0)</f>
        <v>0</v>
      </c>
      <c r="C1385">
        <f>IF(COUNTIFS('United Data'!$A$3:$A$3390,C$1,'United Data'!$C$3:$C$3390,$A1385)&gt;0,1,0)</f>
        <v>0</v>
      </c>
      <c r="D1385">
        <f>IF(COUNTIFS('United Data'!$A$3:$A$3390,D$1,'United Data'!$C$3:$C$3390,$A1385)&gt;0,1,0)</f>
        <v>0</v>
      </c>
      <c r="E1385">
        <f>IF(COUNTIFS('United Data'!$A$3:$A$3390,E$1,'United Data'!$C$3:$C$3390,$A1385)&gt;0,1,0)</f>
        <v>0</v>
      </c>
      <c r="F1385">
        <f>IF(COUNTIFS('United Data'!$A$3:$A$3390,F$1,'United Data'!$C$3:$C$3390,$A1385)&gt;0,1,0)</f>
        <v>0</v>
      </c>
      <c r="G1385">
        <f>IF(COUNTIFS('United Data'!$A$3:$A$3390,G$1,'United Data'!$C$3:$C$3390,$A1385)&gt;0,1,0)</f>
        <v>0</v>
      </c>
      <c r="H1385">
        <f>IF(COUNTIFS('United Data'!$A$3:$A$3390,H$1,'United Data'!$C$3:$C$3390,$A1385)&gt;0,1,0)</f>
        <v>1</v>
      </c>
      <c r="I1385">
        <f>IF(COUNTIFS('United Data'!$A$3:$A$3390,I$1,'United Data'!$C$3:$C$3390,$A1385)&gt;0,1,0)</f>
        <v>0</v>
      </c>
      <c r="J1385">
        <f>IF(COUNTIFS('United Data'!$A$3:$A$3390,J$1,'United Data'!$C$3:$C$3390,$A1385)&gt;0,1,0)</f>
        <v>0</v>
      </c>
      <c r="K1385">
        <f>IF(COUNTIFS('United Data'!$A$3:$A$3390,K$1,'United Data'!$C$3:$C$3390,$A1385)&gt;0,1,0)</f>
        <v>0</v>
      </c>
      <c r="L1385">
        <f>IF(COUNTIFS('United Data'!$A$3:$A$3390,L$1,'United Data'!$C$3:$C$3390,$A1385)&gt;0,1,0)</f>
        <v>0</v>
      </c>
      <c r="M1385">
        <f>IF(COUNTIFS('United Data'!$A$3:$A$3390,M$1,'United Data'!$C$3:$C$3390,$A1385)&gt;0,1,0)</f>
        <v>0</v>
      </c>
      <c r="N1385">
        <f>IF(COUNTIFS('United Data'!$A$3:$A$3390,N$1,'United Data'!$C$3:$C$3390,$A1385)&gt;0,1,0)</f>
        <v>0</v>
      </c>
      <c r="O1385">
        <f>IF(COUNTIFS('United Data'!$A$3:$A$3390,O$1,'United Data'!$C$3:$C$3390,$A1385)&gt;0,1,0)</f>
        <v>0</v>
      </c>
      <c r="P1385">
        <f>IF(COUNTIFS('United Data'!$A$3:$A$3390,P$1,'United Data'!$C$3:$C$3390,$A1385)&gt;0,1,0)</f>
        <v>0</v>
      </c>
      <c r="Q1385">
        <f>IF(COUNTIFS('United Data'!$A$3:$A$3390,Q$1,'United Data'!$C$3:$C$3390,$A1385)&gt;0,1,0)</f>
        <v>0</v>
      </c>
      <c r="R1385">
        <f>IF(COUNTIFS('United Data'!$A$3:$A$3390,R$1,'United Data'!$C$3:$C$3390,$A1385)&gt;0,1,0)</f>
        <v>0</v>
      </c>
      <c r="S1385">
        <f t="shared" si="42"/>
        <v>1</v>
      </c>
      <c r="T1385">
        <f t="shared" si="43"/>
        <v>1</v>
      </c>
    </row>
    <row r="1386" spans="1:20" x14ac:dyDescent="0.2">
      <c r="A1386" t="s">
        <v>1643</v>
      </c>
      <c r="B1386">
        <f>IF(COUNTIFS('United Data'!$A$3:$A$3390,B$1,'United Data'!$C$3:$C$3390,$A1386)&gt;0,1,0)</f>
        <v>0</v>
      </c>
      <c r="C1386">
        <f>IF(COUNTIFS('United Data'!$A$3:$A$3390,C$1,'United Data'!$C$3:$C$3390,$A1386)&gt;0,1,0)</f>
        <v>0</v>
      </c>
      <c r="D1386">
        <f>IF(COUNTIFS('United Data'!$A$3:$A$3390,D$1,'United Data'!$C$3:$C$3390,$A1386)&gt;0,1,0)</f>
        <v>0</v>
      </c>
      <c r="E1386">
        <f>IF(COUNTIFS('United Data'!$A$3:$A$3390,E$1,'United Data'!$C$3:$C$3390,$A1386)&gt;0,1,0)</f>
        <v>0</v>
      </c>
      <c r="F1386">
        <f>IF(COUNTIFS('United Data'!$A$3:$A$3390,F$1,'United Data'!$C$3:$C$3390,$A1386)&gt;0,1,0)</f>
        <v>0</v>
      </c>
      <c r="G1386">
        <f>IF(COUNTIFS('United Data'!$A$3:$A$3390,G$1,'United Data'!$C$3:$C$3390,$A1386)&gt;0,1,0)</f>
        <v>0</v>
      </c>
      <c r="H1386">
        <f>IF(COUNTIFS('United Data'!$A$3:$A$3390,H$1,'United Data'!$C$3:$C$3390,$A1386)&gt;0,1,0)</f>
        <v>0</v>
      </c>
      <c r="I1386">
        <f>IF(COUNTIFS('United Data'!$A$3:$A$3390,I$1,'United Data'!$C$3:$C$3390,$A1386)&gt;0,1,0)</f>
        <v>1</v>
      </c>
      <c r="J1386">
        <f>IF(COUNTIFS('United Data'!$A$3:$A$3390,J$1,'United Data'!$C$3:$C$3390,$A1386)&gt;0,1,0)</f>
        <v>0</v>
      </c>
      <c r="K1386">
        <f>IF(COUNTIFS('United Data'!$A$3:$A$3390,K$1,'United Data'!$C$3:$C$3390,$A1386)&gt;0,1,0)</f>
        <v>0</v>
      </c>
      <c r="L1386">
        <f>IF(COUNTIFS('United Data'!$A$3:$A$3390,L$1,'United Data'!$C$3:$C$3390,$A1386)&gt;0,1,0)</f>
        <v>0</v>
      </c>
      <c r="M1386">
        <f>IF(COUNTIFS('United Data'!$A$3:$A$3390,M$1,'United Data'!$C$3:$C$3390,$A1386)&gt;0,1,0)</f>
        <v>0</v>
      </c>
      <c r="N1386">
        <f>IF(COUNTIFS('United Data'!$A$3:$A$3390,N$1,'United Data'!$C$3:$C$3390,$A1386)&gt;0,1,0)</f>
        <v>0</v>
      </c>
      <c r="O1386">
        <f>IF(COUNTIFS('United Data'!$A$3:$A$3390,O$1,'United Data'!$C$3:$C$3390,$A1386)&gt;0,1,0)</f>
        <v>0</v>
      </c>
      <c r="P1386">
        <f>IF(COUNTIFS('United Data'!$A$3:$A$3390,P$1,'United Data'!$C$3:$C$3390,$A1386)&gt;0,1,0)</f>
        <v>0</v>
      </c>
      <c r="Q1386">
        <f>IF(COUNTIFS('United Data'!$A$3:$A$3390,Q$1,'United Data'!$C$3:$C$3390,$A1386)&gt;0,1,0)</f>
        <v>0</v>
      </c>
      <c r="R1386">
        <f>IF(COUNTIFS('United Data'!$A$3:$A$3390,R$1,'United Data'!$C$3:$C$3390,$A1386)&gt;0,1,0)</f>
        <v>0</v>
      </c>
      <c r="S1386">
        <f t="shared" si="42"/>
        <v>1</v>
      </c>
      <c r="T1386">
        <f t="shared" si="43"/>
        <v>1</v>
      </c>
    </row>
    <row r="1387" spans="1:20" x14ac:dyDescent="0.2">
      <c r="A1387" t="s">
        <v>1644</v>
      </c>
      <c r="B1387">
        <f>IF(COUNTIFS('United Data'!$A$3:$A$3390,B$1,'United Data'!$C$3:$C$3390,$A1387)&gt;0,1,0)</f>
        <v>0</v>
      </c>
      <c r="C1387">
        <f>IF(COUNTIFS('United Data'!$A$3:$A$3390,C$1,'United Data'!$C$3:$C$3390,$A1387)&gt;0,1,0)</f>
        <v>0</v>
      </c>
      <c r="D1387">
        <f>IF(COUNTIFS('United Data'!$A$3:$A$3390,D$1,'United Data'!$C$3:$C$3390,$A1387)&gt;0,1,0)</f>
        <v>0</v>
      </c>
      <c r="E1387">
        <f>IF(COUNTIFS('United Data'!$A$3:$A$3390,E$1,'United Data'!$C$3:$C$3390,$A1387)&gt;0,1,0)</f>
        <v>0</v>
      </c>
      <c r="F1387">
        <f>IF(COUNTIFS('United Data'!$A$3:$A$3390,F$1,'United Data'!$C$3:$C$3390,$A1387)&gt;0,1,0)</f>
        <v>0</v>
      </c>
      <c r="G1387">
        <f>IF(COUNTIFS('United Data'!$A$3:$A$3390,G$1,'United Data'!$C$3:$C$3390,$A1387)&gt;0,1,0)</f>
        <v>0</v>
      </c>
      <c r="H1387">
        <f>IF(COUNTIFS('United Data'!$A$3:$A$3390,H$1,'United Data'!$C$3:$C$3390,$A1387)&gt;0,1,0)</f>
        <v>0</v>
      </c>
      <c r="I1387">
        <f>IF(COUNTIFS('United Data'!$A$3:$A$3390,I$1,'United Data'!$C$3:$C$3390,$A1387)&gt;0,1,0)</f>
        <v>0</v>
      </c>
      <c r="J1387">
        <f>IF(COUNTIFS('United Data'!$A$3:$A$3390,J$1,'United Data'!$C$3:$C$3390,$A1387)&gt;0,1,0)</f>
        <v>1</v>
      </c>
      <c r="K1387">
        <f>IF(COUNTIFS('United Data'!$A$3:$A$3390,K$1,'United Data'!$C$3:$C$3390,$A1387)&gt;0,1,0)</f>
        <v>1</v>
      </c>
      <c r="L1387">
        <f>IF(COUNTIFS('United Data'!$A$3:$A$3390,L$1,'United Data'!$C$3:$C$3390,$A1387)&gt;0,1,0)</f>
        <v>1</v>
      </c>
      <c r="M1387">
        <f>IF(COUNTIFS('United Data'!$A$3:$A$3390,M$1,'United Data'!$C$3:$C$3390,$A1387)&gt;0,1,0)</f>
        <v>0</v>
      </c>
      <c r="N1387">
        <f>IF(COUNTIFS('United Data'!$A$3:$A$3390,N$1,'United Data'!$C$3:$C$3390,$A1387)&gt;0,1,0)</f>
        <v>0</v>
      </c>
      <c r="O1387">
        <f>IF(COUNTIFS('United Data'!$A$3:$A$3390,O$1,'United Data'!$C$3:$C$3390,$A1387)&gt;0,1,0)</f>
        <v>0</v>
      </c>
      <c r="P1387">
        <f>IF(COUNTIFS('United Data'!$A$3:$A$3390,P$1,'United Data'!$C$3:$C$3390,$A1387)&gt;0,1,0)</f>
        <v>0</v>
      </c>
      <c r="Q1387">
        <f>IF(COUNTIFS('United Data'!$A$3:$A$3390,Q$1,'United Data'!$C$3:$C$3390,$A1387)&gt;0,1,0)</f>
        <v>0</v>
      </c>
      <c r="R1387">
        <f>IF(COUNTIFS('United Data'!$A$3:$A$3390,R$1,'United Data'!$C$3:$C$3390,$A1387)&gt;0,1,0)</f>
        <v>0</v>
      </c>
      <c r="S1387">
        <f t="shared" si="42"/>
        <v>3</v>
      </c>
      <c r="T1387">
        <f t="shared" si="43"/>
        <v>1</v>
      </c>
    </row>
    <row r="1388" spans="1:20" x14ac:dyDescent="0.2">
      <c r="A1388" t="s">
        <v>1645</v>
      </c>
      <c r="B1388">
        <f>IF(COUNTIFS('United Data'!$A$3:$A$3390,B$1,'United Data'!$C$3:$C$3390,$A1388)&gt;0,1,0)</f>
        <v>0</v>
      </c>
      <c r="C1388">
        <f>IF(COUNTIFS('United Data'!$A$3:$A$3390,C$1,'United Data'!$C$3:$C$3390,$A1388)&gt;0,1,0)</f>
        <v>0</v>
      </c>
      <c r="D1388">
        <f>IF(COUNTIFS('United Data'!$A$3:$A$3390,D$1,'United Data'!$C$3:$C$3390,$A1388)&gt;0,1,0)</f>
        <v>0</v>
      </c>
      <c r="E1388">
        <f>IF(COUNTIFS('United Data'!$A$3:$A$3390,E$1,'United Data'!$C$3:$C$3390,$A1388)&gt;0,1,0)</f>
        <v>0</v>
      </c>
      <c r="F1388">
        <f>IF(COUNTIFS('United Data'!$A$3:$A$3390,F$1,'United Data'!$C$3:$C$3390,$A1388)&gt;0,1,0)</f>
        <v>0</v>
      </c>
      <c r="G1388">
        <f>IF(COUNTIFS('United Data'!$A$3:$A$3390,G$1,'United Data'!$C$3:$C$3390,$A1388)&gt;0,1,0)</f>
        <v>0</v>
      </c>
      <c r="H1388">
        <f>IF(COUNTIFS('United Data'!$A$3:$A$3390,H$1,'United Data'!$C$3:$C$3390,$A1388)&gt;0,1,0)</f>
        <v>0</v>
      </c>
      <c r="I1388">
        <f>IF(COUNTIFS('United Data'!$A$3:$A$3390,I$1,'United Data'!$C$3:$C$3390,$A1388)&gt;0,1,0)</f>
        <v>0</v>
      </c>
      <c r="J1388">
        <f>IF(COUNTIFS('United Data'!$A$3:$A$3390,J$1,'United Data'!$C$3:$C$3390,$A1388)&gt;0,1,0)</f>
        <v>1</v>
      </c>
      <c r="K1388">
        <f>IF(COUNTIFS('United Data'!$A$3:$A$3390,K$1,'United Data'!$C$3:$C$3390,$A1388)&gt;0,1,0)</f>
        <v>0</v>
      </c>
      <c r="L1388">
        <f>IF(COUNTIFS('United Data'!$A$3:$A$3390,L$1,'United Data'!$C$3:$C$3390,$A1388)&gt;0,1,0)</f>
        <v>0</v>
      </c>
      <c r="M1388">
        <f>IF(COUNTIFS('United Data'!$A$3:$A$3390,M$1,'United Data'!$C$3:$C$3390,$A1388)&gt;0,1,0)</f>
        <v>0</v>
      </c>
      <c r="N1388">
        <f>IF(COUNTIFS('United Data'!$A$3:$A$3390,N$1,'United Data'!$C$3:$C$3390,$A1388)&gt;0,1,0)</f>
        <v>0</v>
      </c>
      <c r="O1388">
        <f>IF(COUNTIFS('United Data'!$A$3:$A$3390,O$1,'United Data'!$C$3:$C$3390,$A1388)&gt;0,1,0)</f>
        <v>0</v>
      </c>
      <c r="P1388">
        <f>IF(COUNTIFS('United Data'!$A$3:$A$3390,P$1,'United Data'!$C$3:$C$3390,$A1388)&gt;0,1,0)</f>
        <v>0</v>
      </c>
      <c r="Q1388">
        <f>IF(COUNTIFS('United Data'!$A$3:$A$3390,Q$1,'United Data'!$C$3:$C$3390,$A1388)&gt;0,1,0)</f>
        <v>0</v>
      </c>
      <c r="R1388">
        <f>IF(COUNTIFS('United Data'!$A$3:$A$3390,R$1,'United Data'!$C$3:$C$3390,$A1388)&gt;0,1,0)</f>
        <v>0</v>
      </c>
      <c r="S1388">
        <f t="shared" si="42"/>
        <v>1</v>
      </c>
      <c r="T1388">
        <f t="shared" si="43"/>
        <v>1</v>
      </c>
    </row>
    <row r="1389" spans="1:20" x14ac:dyDescent="0.2">
      <c r="A1389" t="s">
        <v>1646</v>
      </c>
      <c r="B1389">
        <f>IF(COUNTIFS('United Data'!$A$3:$A$3390,B$1,'United Data'!$C$3:$C$3390,$A1389)&gt;0,1,0)</f>
        <v>0</v>
      </c>
      <c r="C1389">
        <f>IF(COUNTIFS('United Data'!$A$3:$A$3390,C$1,'United Data'!$C$3:$C$3390,$A1389)&gt;0,1,0)</f>
        <v>0</v>
      </c>
      <c r="D1389">
        <f>IF(COUNTIFS('United Data'!$A$3:$A$3390,D$1,'United Data'!$C$3:$C$3390,$A1389)&gt;0,1,0)</f>
        <v>0</v>
      </c>
      <c r="E1389">
        <f>IF(COUNTIFS('United Data'!$A$3:$A$3390,E$1,'United Data'!$C$3:$C$3390,$A1389)&gt;0,1,0)</f>
        <v>0</v>
      </c>
      <c r="F1389">
        <f>IF(COUNTIFS('United Data'!$A$3:$A$3390,F$1,'United Data'!$C$3:$C$3390,$A1389)&gt;0,1,0)</f>
        <v>0</v>
      </c>
      <c r="G1389">
        <f>IF(COUNTIFS('United Data'!$A$3:$A$3390,G$1,'United Data'!$C$3:$C$3390,$A1389)&gt;0,1,0)</f>
        <v>0</v>
      </c>
      <c r="H1389">
        <f>IF(COUNTIFS('United Data'!$A$3:$A$3390,H$1,'United Data'!$C$3:$C$3390,$A1389)&gt;0,1,0)</f>
        <v>0</v>
      </c>
      <c r="I1389">
        <f>IF(COUNTIFS('United Data'!$A$3:$A$3390,I$1,'United Data'!$C$3:$C$3390,$A1389)&gt;0,1,0)</f>
        <v>0</v>
      </c>
      <c r="J1389">
        <f>IF(COUNTIFS('United Data'!$A$3:$A$3390,J$1,'United Data'!$C$3:$C$3390,$A1389)&gt;0,1,0)</f>
        <v>1</v>
      </c>
      <c r="K1389">
        <f>IF(COUNTIFS('United Data'!$A$3:$A$3390,K$1,'United Data'!$C$3:$C$3390,$A1389)&gt;0,1,0)</f>
        <v>0</v>
      </c>
      <c r="L1389">
        <f>IF(COUNTIFS('United Data'!$A$3:$A$3390,L$1,'United Data'!$C$3:$C$3390,$A1389)&gt;0,1,0)</f>
        <v>0</v>
      </c>
      <c r="M1389">
        <f>IF(COUNTIFS('United Data'!$A$3:$A$3390,M$1,'United Data'!$C$3:$C$3390,$A1389)&gt;0,1,0)</f>
        <v>0</v>
      </c>
      <c r="N1389">
        <f>IF(COUNTIFS('United Data'!$A$3:$A$3390,N$1,'United Data'!$C$3:$C$3390,$A1389)&gt;0,1,0)</f>
        <v>0</v>
      </c>
      <c r="O1389">
        <f>IF(COUNTIFS('United Data'!$A$3:$A$3390,O$1,'United Data'!$C$3:$C$3390,$A1389)&gt;0,1,0)</f>
        <v>0</v>
      </c>
      <c r="P1389">
        <f>IF(COUNTIFS('United Data'!$A$3:$A$3390,P$1,'United Data'!$C$3:$C$3390,$A1389)&gt;0,1,0)</f>
        <v>0</v>
      </c>
      <c r="Q1389">
        <f>IF(COUNTIFS('United Data'!$A$3:$A$3390,Q$1,'United Data'!$C$3:$C$3390,$A1389)&gt;0,1,0)</f>
        <v>0</v>
      </c>
      <c r="R1389">
        <f>IF(COUNTIFS('United Data'!$A$3:$A$3390,R$1,'United Data'!$C$3:$C$3390,$A1389)&gt;0,1,0)</f>
        <v>0</v>
      </c>
      <c r="S1389">
        <f t="shared" si="42"/>
        <v>1</v>
      </c>
      <c r="T1389">
        <f t="shared" si="43"/>
        <v>1</v>
      </c>
    </row>
    <row r="1390" spans="1:20" x14ac:dyDescent="0.2">
      <c r="A1390" t="s">
        <v>1647</v>
      </c>
      <c r="B1390">
        <f>IF(COUNTIFS('United Data'!$A$3:$A$3390,B$1,'United Data'!$C$3:$C$3390,$A1390)&gt;0,1,0)</f>
        <v>0</v>
      </c>
      <c r="C1390">
        <f>IF(COUNTIFS('United Data'!$A$3:$A$3390,C$1,'United Data'!$C$3:$C$3390,$A1390)&gt;0,1,0)</f>
        <v>0</v>
      </c>
      <c r="D1390">
        <f>IF(COUNTIFS('United Data'!$A$3:$A$3390,D$1,'United Data'!$C$3:$C$3390,$A1390)&gt;0,1,0)</f>
        <v>0</v>
      </c>
      <c r="E1390">
        <f>IF(COUNTIFS('United Data'!$A$3:$A$3390,E$1,'United Data'!$C$3:$C$3390,$A1390)&gt;0,1,0)</f>
        <v>0</v>
      </c>
      <c r="F1390">
        <f>IF(COUNTIFS('United Data'!$A$3:$A$3390,F$1,'United Data'!$C$3:$C$3390,$A1390)&gt;0,1,0)</f>
        <v>0</v>
      </c>
      <c r="G1390">
        <f>IF(COUNTIFS('United Data'!$A$3:$A$3390,G$1,'United Data'!$C$3:$C$3390,$A1390)&gt;0,1,0)</f>
        <v>0</v>
      </c>
      <c r="H1390">
        <f>IF(COUNTIFS('United Data'!$A$3:$A$3390,H$1,'United Data'!$C$3:$C$3390,$A1390)&gt;0,1,0)</f>
        <v>0</v>
      </c>
      <c r="I1390">
        <f>IF(COUNTIFS('United Data'!$A$3:$A$3390,I$1,'United Data'!$C$3:$C$3390,$A1390)&gt;0,1,0)</f>
        <v>0</v>
      </c>
      <c r="J1390">
        <f>IF(COUNTIFS('United Data'!$A$3:$A$3390,J$1,'United Data'!$C$3:$C$3390,$A1390)&gt;0,1,0)</f>
        <v>1</v>
      </c>
      <c r="K1390">
        <f>IF(COUNTIFS('United Data'!$A$3:$A$3390,K$1,'United Data'!$C$3:$C$3390,$A1390)&gt;0,1,0)</f>
        <v>0</v>
      </c>
      <c r="L1390">
        <f>IF(COUNTIFS('United Data'!$A$3:$A$3390,L$1,'United Data'!$C$3:$C$3390,$A1390)&gt;0,1,0)</f>
        <v>0</v>
      </c>
      <c r="M1390">
        <f>IF(COUNTIFS('United Data'!$A$3:$A$3390,M$1,'United Data'!$C$3:$C$3390,$A1390)&gt;0,1,0)</f>
        <v>0</v>
      </c>
      <c r="N1390">
        <f>IF(COUNTIFS('United Data'!$A$3:$A$3390,N$1,'United Data'!$C$3:$C$3390,$A1390)&gt;0,1,0)</f>
        <v>1</v>
      </c>
      <c r="O1390">
        <f>IF(COUNTIFS('United Data'!$A$3:$A$3390,O$1,'United Data'!$C$3:$C$3390,$A1390)&gt;0,1,0)</f>
        <v>0</v>
      </c>
      <c r="P1390">
        <f>IF(COUNTIFS('United Data'!$A$3:$A$3390,P$1,'United Data'!$C$3:$C$3390,$A1390)&gt;0,1,0)</f>
        <v>1</v>
      </c>
      <c r="Q1390">
        <f>IF(COUNTIFS('United Data'!$A$3:$A$3390,Q$1,'United Data'!$C$3:$C$3390,$A1390)&gt;0,1,0)</f>
        <v>1</v>
      </c>
      <c r="R1390">
        <f>IF(COUNTIFS('United Data'!$A$3:$A$3390,R$1,'United Data'!$C$3:$C$3390,$A1390)&gt;0,1,0)</f>
        <v>0</v>
      </c>
      <c r="S1390">
        <f t="shared" si="42"/>
        <v>4</v>
      </c>
      <c r="T1390">
        <f t="shared" si="43"/>
        <v>3</v>
      </c>
    </row>
    <row r="1391" spans="1:20" x14ac:dyDescent="0.2">
      <c r="A1391" t="s">
        <v>1648</v>
      </c>
      <c r="B1391">
        <f>IF(COUNTIFS('United Data'!$A$3:$A$3390,B$1,'United Data'!$C$3:$C$3390,$A1391)&gt;0,1,0)</f>
        <v>0</v>
      </c>
      <c r="C1391">
        <f>IF(COUNTIFS('United Data'!$A$3:$A$3390,C$1,'United Data'!$C$3:$C$3390,$A1391)&gt;0,1,0)</f>
        <v>0</v>
      </c>
      <c r="D1391">
        <f>IF(COUNTIFS('United Data'!$A$3:$A$3390,D$1,'United Data'!$C$3:$C$3390,$A1391)&gt;0,1,0)</f>
        <v>0</v>
      </c>
      <c r="E1391">
        <f>IF(COUNTIFS('United Data'!$A$3:$A$3390,E$1,'United Data'!$C$3:$C$3390,$A1391)&gt;0,1,0)</f>
        <v>0</v>
      </c>
      <c r="F1391">
        <f>IF(COUNTIFS('United Data'!$A$3:$A$3390,F$1,'United Data'!$C$3:$C$3390,$A1391)&gt;0,1,0)</f>
        <v>0</v>
      </c>
      <c r="G1391">
        <f>IF(COUNTIFS('United Data'!$A$3:$A$3390,G$1,'United Data'!$C$3:$C$3390,$A1391)&gt;0,1,0)</f>
        <v>0</v>
      </c>
      <c r="H1391">
        <f>IF(COUNTIFS('United Data'!$A$3:$A$3390,H$1,'United Data'!$C$3:$C$3390,$A1391)&gt;0,1,0)</f>
        <v>0</v>
      </c>
      <c r="I1391">
        <f>IF(COUNTIFS('United Data'!$A$3:$A$3390,I$1,'United Data'!$C$3:$C$3390,$A1391)&gt;0,1,0)</f>
        <v>0</v>
      </c>
      <c r="J1391">
        <f>IF(COUNTIFS('United Data'!$A$3:$A$3390,J$1,'United Data'!$C$3:$C$3390,$A1391)&gt;0,1,0)</f>
        <v>0</v>
      </c>
      <c r="K1391">
        <f>IF(COUNTIFS('United Data'!$A$3:$A$3390,K$1,'United Data'!$C$3:$C$3390,$A1391)&gt;0,1,0)</f>
        <v>1</v>
      </c>
      <c r="L1391">
        <f>IF(COUNTIFS('United Data'!$A$3:$A$3390,L$1,'United Data'!$C$3:$C$3390,$A1391)&gt;0,1,0)</f>
        <v>0</v>
      </c>
      <c r="M1391">
        <f>IF(COUNTIFS('United Data'!$A$3:$A$3390,M$1,'United Data'!$C$3:$C$3390,$A1391)&gt;0,1,0)</f>
        <v>0</v>
      </c>
      <c r="N1391">
        <f>IF(COUNTIFS('United Data'!$A$3:$A$3390,N$1,'United Data'!$C$3:$C$3390,$A1391)&gt;0,1,0)</f>
        <v>0</v>
      </c>
      <c r="O1391">
        <f>IF(COUNTIFS('United Data'!$A$3:$A$3390,O$1,'United Data'!$C$3:$C$3390,$A1391)&gt;0,1,0)</f>
        <v>0</v>
      </c>
      <c r="P1391">
        <f>IF(COUNTIFS('United Data'!$A$3:$A$3390,P$1,'United Data'!$C$3:$C$3390,$A1391)&gt;0,1,0)</f>
        <v>0</v>
      </c>
      <c r="Q1391">
        <f>IF(COUNTIFS('United Data'!$A$3:$A$3390,Q$1,'United Data'!$C$3:$C$3390,$A1391)&gt;0,1,0)</f>
        <v>0</v>
      </c>
      <c r="R1391">
        <f>IF(COUNTIFS('United Data'!$A$3:$A$3390,R$1,'United Data'!$C$3:$C$3390,$A1391)&gt;0,1,0)</f>
        <v>0</v>
      </c>
      <c r="S1391">
        <f t="shared" si="42"/>
        <v>1</v>
      </c>
      <c r="T1391">
        <f t="shared" si="43"/>
        <v>1</v>
      </c>
    </row>
    <row r="1392" spans="1:20" x14ac:dyDescent="0.2">
      <c r="A1392" t="s">
        <v>1649</v>
      </c>
      <c r="B1392">
        <f>IF(COUNTIFS('United Data'!$A$3:$A$3390,B$1,'United Data'!$C$3:$C$3390,$A1392)&gt;0,1,0)</f>
        <v>0</v>
      </c>
      <c r="C1392">
        <f>IF(COUNTIFS('United Data'!$A$3:$A$3390,C$1,'United Data'!$C$3:$C$3390,$A1392)&gt;0,1,0)</f>
        <v>0</v>
      </c>
      <c r="D1392">
        <f>IF(COUNTIFS('United Data'!$A$3:$A$3390,D$1,'United Data'!$C$3:$C$3390,$A1392)&gt;0,1,0)</f>
        <v>0</v>
      </c>
      <c r="E1392">
        <f>IF(COUNTIFS('United Data'!$A$3:$A$3390,E$1,'United Data'!$C$3:$C$3390,$A1392)&gt;0,1,0)</f>
        <v>0</v>
      </c>
      <c r="F1392">
        <f>IF(COUNTIFS('United Data'!$A$3:$A$3390,F$1,'United Data'!$C$3:$C$3390,$A1392)&gt;0,1,0)</f>
        <v>0</v>
      </c>
      <c r="G1392">
        <f>IF(COUNTIFS('United Data'!$A$3:$A$3390,G$1,'United Data'!$C$3:$C$3390,$A1392)&gt;0,1,0)</f>
        <v>0</v>
      </c>
      <c r="H1392">
        <f>IF(COUNTIFS('United Data'!$A$3:$A$3390,H$1,'United Data'!$C$3:$C$3390,$A1392)&gt;0,1,0)</f>
        <v>0</v>
      </c>
      <c r="I1392">
        <f>IF(COUNTIFS('United Data'!$A$3:$A$3390,I$1,'United Data'!$C$3:$C$3390,$A1392)&gt;0,1,0)</f>
        <v>0</v>
      </c>
      <c r="J1392">
        <f>IF(COUNTIFS('United Data'!$A$3:$A$3390,J$1,'United Data'!$C$3:$C$3390,$A1392)&gt;0,1,0)</f>
        <v>0</v>
      </c>
      <c r="K1392">
        <f>IF(COUNTIFS('United Data'!$A$3:$A$3390,K$1,'United Data'!$C$3:$C$3390,$A1392)&gt;0,1,0)</f>
        <v>1</v>
      </c>
      <c r="L1392">
        <f>IF(COUNTIFS('United Data'!$A$3:$A$3390,L$1,'United Data'!$C$3:$C$3390,$A1392)&gt;0,1,0)</f>
        <v>0</v>
      </c>
      <c r="M1392">
        <f>IF(COUNTIFS('United Data'!$A$3:$A$3390,M$1,'United Data'!$C$3:$C$3390,$A1392)&gt;0,1,0)</f>
        <v>0</v>
      </c>
      <c r="N1392">
        <f>IF(COUNTIFS('United Data'!$A$3:$A$3390,N$1,'United Data'!$C$3:$C$3390,$A1392)&gt;0,1,0)</f>
        <v>0</v>
      </c>
      <c r="O1392">
        <f>IF(COUNTIFS('United Data'!$A$3:$A$3390,O$1,'United Data'!$C$3:$C$3390,$A1392)&gt;0,1,0)</f>
        <v>0</v>
      </c>
      <c r="P1392">
        <f>IF(COUNTIFS('United Data'!$A$3:$A$3390,P$1,'United Data'!$C$3:$C$3390,$A1392)&gt;0,1,0)</f>
        <v>0</v>
      </c>
      <c r="Q1392">
        <f>IF(COUNTIFS('United Data'!$A$3:$A$3390,Q$1,'United Data'!$C$3:$C$3390,$A1392)&gt;0,1,0)</f>
        <v>0</v>
      </c>
      <c r="R1392">
        <f>IF(COUNTIFS('United Data'!$A$3:$A$3390,R$1,'United Data'!$C$3:$C$3390,$A1392)&gt;0,1,0)</f>
        <v>0</v>
      </c>
      <c r="S1392">
        <f t="shared" si="42"/>
        <v>1</v>
      </c>
      <c r="T1392">
        <f t="shared" si="43"/>
        <v>1</v>
      </c>
    </row>
    <row r="1393" spans="1:20" x14ac:dyDescent="0.2">
      <c r="A1393" t="s">
        <v>1650</v>
      </c>
      <c r="B1393">
        <f>IF(COUNTIFS('United Data'!$A$3:$A$3390,B$1,'United Data'!$C$3:$C$3390,$A1393)&gt;0,1,0)</f>
        <v>0</v>
      </c>
      <c r="C1393">
        <f>IF(COUNTIFS('United Data'!$A$3:$A$3390,C$1,'United Data'!$C$3:$C$3390,$A1393)&gt;0,1,0)</f>
        <v>0</v>
      </c>
      <c r="D1393">
        <f>IF(COUNTIFS('United Data'!$A$3:$A$3390,D$1,'United Data'!$C$3:$C$3390,$A1393)&gt;0,1,0)</f>
        <v>0</v>
      </c>
      <c r="E1393">
        <f>IF(COUNTIFS('United Data'!$A$3:$A$3390,E$1,'United Data'!$C$3:$C$3390,$A1393)&gt;0,1,0)</f>
        <v>0</v>
      </c>
      <c r="F1393">
        <f>IF(COUNTIFS('United Data'!$A$3:$A$3390,F$1,'United Data'!$C$3:$C$3390,$A1393)&gt;0,1,0)</f>
        <v>0</v>
      </c>
      <c r="G1393">
        <f>IF(COUNTIFS('United Data'!$A$3:$A$3390,G$1,'United Data'!$C$3:$C$3390,$A1393)&gt;0,1,0)</f>
        <v>0</v>
      </c>
      <c r="H1393">
        <f>IF(COUNTIFS('United Data'!$A$3:$A$3390,H$1,'United Data'!$C$3:$C$3390,$A1393)&gt;0,1,0)</f>
        <v>0</v>
      </c>
      <c r="I1393">
        <f>IF(COUNTIFS('United Data'!$A$3:$A$3390,I$1,'United Data'!$C$3:$C$3390,$A1393)&gt;0,1,0)</f>
        <v>0</v>
      </c>
      <c r="J1393">
        <f>IF(COUNTIFS('United Data'!$A$3:$A$3390,J$1,'United Data'!$C$3:$C$3390,$A1393)&gt;0,1,0)</f>
        <v>0</v>
      </c>
      <c r="K1393">
        <f>IF(COUNTIFS('United Data'!$A$3:$A$3390,K$1,'United Data'!$C$3:$C$3390,$A1393)&gt;0,1,0)</f>
        <v>1</v>
      </c>
      <c r="L1393">
        <f>IF(COUNTIFS('United Data'!$A$3:$A$3390,L$1,'United Data'!$C$3:$C$3390,$A1393)&gt;0,1,0)</f>
        <v>0</v>
      </c>
      <c r="M1393">
        <f>IF(COUNTIFS('United Data'!$A$3:$A$3390,M$1,'United Data'!$C$3:$C$3390,$A1393)&gt;0,1,0)</f>
        <v>0</v>
      </c>
      <c r="N1393">
        <f>IF(COUNTIFS('United Data'!$A$3:$A$3390,N$1,'United Data'!$C$3:$C$3390,$A1393)&gt;0,1,0)</f>
        <v>0</v>
      </c>
      <c r="O1393">
        <f>IF(COUNTIFS('United Data'!$A$3:$A$3390,O$1,'United Data'!$C$3:$C$3390,$A1393)&gt;0,1,0)</f>
        <v>0</v>
      </c>
      <c r="P1393">
        <f>IF(COUNTIFS('United Data'!$A$3:$A$3390,P$1,'United Data'!$C$3:$C$3390,$A1393)&gt;0,1,0)</f>
        <v>0</v>
      </c>
      <c r="Q1393">
        <f>IF(COUNTIFS('United Data'!$A$3:$A$3390,Q$1,'United Data'!$C$3:$C$3390,$A1393)&gt;0,1,0)</f>
        <v>0</v>
      </c>
      <c r="R1393">
        <f>IF(COUNTIFS('United Data'!$A$3:$A$3390,R$1,'United Data'!$C$3:$C$3390,$A1393)&gt;0,1,0)</f>
        <v>0</v>
      </c>
      <c r="S1393">
        <f t="shared" si="42"/>
        <v>1</v>
      </c>
      <c r="T1393">
        <f t="shared" si="43"/>
        <v>1</v>
      </c>
    </row>
    <row r="1394" spans="1:20" x14ac:dyDescent="0.2">
      <c r="A1394" t="s">
        <v>1651</v>
      </c>
      <c r="B1394">
        <f>IF(COUNTIFS('United Data'!$A$3:$A$3390,B$1,'United Data'!$C$3:$C$3390,$A1394)&gt;0,1,0)</f>
        <v>0</v>
      </c>
      <c r="C1394">
        <f>IF(COUNTIFS('United Data'!$A$3:$A$3390,C$1,'United Data'!$C$3:$C$3390,$A1394)&gt;0,1,0)</f>
        <v>0</v>
      </c>
      <c r="D1394">
        <f>IF(COUNTIFS('United Data'!$A$3:$A$3390,D$1,'United Data'!$C$3:$C$3390,$A1394)&gt;0,1,0)</f>
        <v>0</v>
      </c>
      <c r="E1394">
        <f>IF(COUNTIFS('United Data'!$A$3:$A$3390,E$1,'United Data'!$C$3:$C$3390,$A1394)&gt;0,1,0)</f>
        <v>0</v>
      </c>
      <c r="F1394">
        <f>IF(COUNTIFS('United Data'!$A$3:$A$3390,F$1,'United Data'!$C$3:$C$3390,$A1394)&gt;0,1,0)</f>
        <v>0</v>
      </c>
      <c r="G1394">
        <f>IF(COUNTIFS('United Data'!$A$3:$A$3390,G$1,'United Data'!$C$3:$C$3390,$A1394)&gt;0,1,0)</f>
        <v>0</v>
      </c>
      <c r="H1394">
        <f>IF(COUNTIFS('United Data'!$A$3:$A$3390,H$1,'United Data'!$C$3:$C$3390,$A1394)&gt;0,1,0)</f>
        <v>0</v>
      </c>
      <c r="I1394">
        <f>IF(COUNTIFS('United Data'!$A$3:$A$3390,I$1,'United Data'!$C$3:$C$3390,$A1394)&gt;0,1,0)</f>
        <v>0</v>
      </c>
      <c r="J1394">
        <f>IF(COUNTIFS('United Data'!$A$3:$A$3390,J$1,'United Data'!$C$3:$C$3390,$A1394)&gt;0,1,0)</f>
        <v>0</v>
      </c>
      <c r="K1394">
        <f>IF(COUNTIFS('United Data'!$A$3:$A$3390,K$1,'United Data'!$C$3:$C$3390,$A1394)&gt;0,1,0)</f>
        <v>1</v>
      </c>
      <c r="L1394">
        <f>IF(COUNTIFS('United Data'!$A$3:$A$3390,L$1,'United Data'!$C$3:$C$3390,$A1394)&gt;0,1,0)</f>
        <v>0</v>
      </c>
      <c r="M1394">
        <f>IF(COUNTIFS('United Data'!$A$3:$A$3390,M$1,'United Data'!$C$3:$C$3390,$A1394)&gt;0,1,0)</f>
        <v>0</v>
      </c>
      <c r="N1394">
        <f>IF(COUNTIFS('United Data'!$A$3:$A$3390,N$1,'United Data'!$C$3:$C$3390,$A1394)&gt;0,1,0)</f>
        <v>0</v>
      </c>
      <c r="O1394">
        <f>IF(COUNTIFS('United Data'!$A$3:$A$3390,O$1,'United Data'!$C$3:$C$3390,$A1394)&gt;0,1,0)</f>
        <v>0</v>
      </c>
      <c r="P1394">
        <f>IF(COUNTIFS('United Data'!$A$3:$A$3390,P$1,'United Data'!$C$3:$C$3390,$A1394)&gt;0,1,0)</f>
        <v>0</v>
      </c>
      <c r="Q1394">
        <f>IF(COUNTIFS('United Data'!$A$3:$A$3390,Q$1,'United Data'!$C$3:$C$3390,$A1394)&gt;0,1,0)</f>
        <v>0</v>
      </c>
      <c r="R1394">
        <f>IF(COUNTIFS('United Data'!$A$3:$A$3390,R$1,'United Data'!$C$3:$C$3390,$A1394)&gt;0,1,0)</f>
        <v>0</v>
      </c>
      <c r="S1394">
        <f t="shared" si="42"/>
        <v>1</v>
      </c>
      <c r="T1394">
        <f t="shared" si="43"/>
        <v>1</v>
      </c>
    </row>
    <row r="1395" spans="1:20" x14ac:dyDescent="0.2">
      <c r="A1395" t="s">
        <v>1652</v>
      </c>
      <c r="B1395">
        <f>IF(COUNTIFS('United Data'!$A$3:$A$3390,B$1,'United Data'!$C$3:$C$3390,$A1395)&gt;0,1,0)</f>
        <v>0</v>
      </c>
      <c r="C1395">
        <f>IF(COUNTIFS('United Data'!$A$3:$A$3390,C$1,'United Data'!$C$3:$C$3390,$A1395)&gt;0,1,0)</f>
        <v>0</v>
      </c>
      <c r="D1395">
        <f>IF(COUNTIFS('United Data'!$A$3:$A$3390,D$1,'United Data'!$C$3:$C$3390,$A1395)&gt;0,1,0)</f>
        <v>0</v>
      </c>
      <c r="E1395">
        <f>IF(COUNTIFS('United Data'!$A$3:$A$3390,E$1,'United Data'!$C$3:$C$3390,$A1395)&gt;0,1,0)</f>
        <v>0</v>
      </c>
      <c r="F1395">
        <f>IF(COUNTIFS('United Data'!$A$3:$A$3390,F$1,'United Data'!$C$3:$C$3390,$A1395)&gt;0,1,0)</f>
        <v>0</v>
      </c>
      <c r="G1395">
        <f>IF(COUNTIFS('United Data'!$A$3:$A$3390,G$1,'United Data'!$C$3:$C$3390,$A1395)&gt;0,1,0)</f>
        <v>0</v>
      </c>
      <c r="H1395">
        <f>IF(COUNTIFS('United Data'!$A$3:$A$3390,H$1,'United Data'!$C$3:$C$3390,$A1395)&gt;0,1,0)</f>
        <v>0</v>
      </c>
      <c r="I1395">
        <f>IF(COUNTIFS('United Data'!$A$3:$A$3390,I$1,'United Data'!$C$3:$C$3390,$A1395)&gt;0,1,0)</f>
        <v>0</v>
      </c>
      <c r="J1395">
        <f>IF(COUNTIFS('United Data'!$A$3:$A$3390,J$1,'United Data'!$C$3:$C$3390,$A1395)&gt;0,1,0)</f>
        <v>0</v>
      </c>
      <c r="K1395">
        <f>IF(COUNTIFS('United Data'!$A$3:$A$3390,K$1,'United Data'!$C$3:$C$3390,$A1395)&gt;0,1,0)</f>
        <v>1</v>
      </c>
      <c r="L1395">
        <f>IF(COUNTIFS('United Data'!$A$3:$A$3390,L$1,'United Data'!$C$3:$C$3390,$A1395)&gt;0,1,0)</f>
        <v>0</v>
      </c>
      <c r="M1395">
        <f>IF(COUNTIFS('United Data'!$A$3:$A$3390,M$1,'United Data'!$C$3:$C$3390,$A1395)&gt;0,1,0)</f>
        <v>0</v>
      </c>
      <c r="N1395">
        <f>IF(COUNTIFS('United Data'!$A$3:$A$3390,N$1,'United Data'!$C$3:$C$3390,$A1395)&gt;0,1,0)</f>
        <v>0</v>
      </c>
      <c r="O1395">
        <f>IF(COUNTIFS('United Data'!$A$3:$A$3390,O$1,'United Data'!$C$3:$C$3390,$A1395)&gt;0,1,0)</f>
        <v>0</v>
      </c>
      <c r="P1395">
        <f>IF(COUNTIFS('United Data'!$A$3:$A$3390,P$1,'United Data'!$C$3:$C$3390,$A1395)&gt;0,1,0)</f>
        <v>0</v>
      </c>
      <c r="Q1395">
        <f>IF(COUNTIFS('United Data'!$A$3:$A$3390,Q$1,'United Data'!$C$3:$C$3390,$A1395)&gt;0,1,0)</f>
        <v>0</v>
      </c>
      <c r="R1395">
        <f>IF(COUNTIFS('United Data'!$A$3:$A$3390,R$1,'United Data'!$C$3:$C$3390,$A1395)&gt;0,1,0)</f>
        <v>0</v>
      </c>
      <c r="S1395">
        <f t="shared" si="42"/>
        <v>1</v>
      </c>
      <c r="T1395">
        <f t="shared" si="43"/>
        <v>1</v>
      </c>
    </row>
    <row r="1396" spans="1:20" x14ac:dyDescent="0.2">
      <c r="A1396" t="s">
        <v>1653</v>
      </c>
      <c r="B1396">
        <f>IF(COUNTIFS('United Data'!$A$3:$A$3390,B$1,'United Data'!$C$3:$C$3390,$A1396)&gt;0,1,0)</f>
        <v>0</v>
      </c>
      <c r="C1396">
        <f>IF(COUNTIFS('United Data'!$A$3:$A$3390,C$1,'United Data'!$C$3:$C$3390,$A1396)&gt;0,1,0)</f>
        <v>0</v>
      </c>
      <c r="D1396">
        <f>IF(COUNTIFS('United Data'!$A$3:$A$3390,D$1,'United Data'!$C$3:$C$3390,$A1396)&gt;0,1,0)</f>
        <v>0</v>
      </c>
      <c r="E1396">
        <f>IF(COUNTIFS('United Data'!$A$3:$A$3390,E$1,'United Data'!$C$3:$C$3390,$A1396)&gt;0,1,0)</f>
        <v>0</v>
      </c>
      <c r="F1396">
        <f>IF(COUNTIFS('United Data'!$A$3:$A$3390,F$1,'United Data'!$C$3:$C$3390,$A1396)&gt;0,1,0)</f>
        <v>0</v>
      </c>
      <c r="G1396">
        <f>IF(COUNTIFS('United Data'!$A$3:$A$3390,G$1,'United Data'!$C$3:$C$3390,$A1396)&gt;0,1,0)</f>
        <v>0</v>
      </c>
      <c r="H1396">
        <f>IF(COUNTIFS('United Data'!$A$3:$A$3390,H$1,'United Data'!$C$3:$C$3390,$A1396)&gt;0,1,0)</f>
        <v>0</v>
      </c>
      <c r="I1396">
        <f>IF(COUNTIFS('United Data'!$A$3:$A$3390,I$1,'United Data'!$C$3:$C$3390,$A1396)&gt;0,1,0)</f>
        <v>0</v>
      </c>
      <c r="J1396">
        <f>IF(COUNTIFS('United Data'!$A$3:$A$3390,J$1,'United Data'!$C$3:$C$3390,$A1396)&gt;0,1,0)</f>
        <v>0</v>
      </c>
      <c r="K1396">
        <f>IF(COUNTIFS('United Data'!$A$3:$A$3390,K$1,'United Data'!$C$3:$C$3390,$A1396)&gt;0,1,0)</f>
        <v>1</v>
      </c>
      <c r="L1396">
        <f>IF(COUNTIFS('United Data'!$A$3:$A$3390,L$1,'United Data'!$C$3:$C$3390,$A1396)&gt;0,1,0)</f>
        <v>0</v>
      </c>
      <c r="M1396">
        <f>IF(COUNTIFS('United Data'!$A$3:$A$3390,M$1,'United Data'!$C$3:$C$3390,$A1396)&gt;0,1,0)</f>
        <v>0</v>
      </c>
      <c r="N1396">
        <f>IF(COUNTIFS('United Data'!$A$3:$A$3390,N$1,'United Data'!$C$3:$C$3390,$A1396)&gt;0,1,0)</f>
        <v>0</v>
      </c>
      <c r="O1396">
        <f>IF(COUNTIFS('United Data'!$A$3:$A$3390,O$1,'United Data'!$C$3:$C$3390,$A1396)&gt;0,1,0)</f>
        <v>0</v>
      </c>
      <c r="P1396">
        <f>IF(COUNTIFS('United Data'!$A$3:$A$3390,P$1,'United Data'!$C$3:$C$3390,$A1396)&gt;0,1,0)</f>
        <v>0</v>
      </c>
      <c r="Q1396">
        <f>IF(COUNTIFS('United Data'!$A$3:$A$3390,Q$1,'United Data'!$C$3:$C$3390,$A1396)&gt;0,1,0)</f>
        <v>0</v>
      </c>
      <c r="R1396">
        <f>IF(COUNTIFS('United Data'!$A$3:$A$3390,R$1,'United Data'!$C$3:$C$3390,$A1396)&gt;0,1,0)</f>
        <v>0</v>
      </c>
      <c r="S1396">
        <f t="shared" si="42"/>
        <v>1</v>
      </c>
      <c r="T1396">
        <f t="shared" si="43"/>
        <v>1</v>
      </c>
    </row>
    <row r="1397" spans="1:20" x14ac:dyDescent="0.2">
      <c r="A1397" t="s">
        <v>1654</v>
      </c>
      <c r="B1397">
        <f>IF(COUNTIFS('United Data'!$A$3:$A$3390,B$1,'United Data'!$C$3:$C$3390,$A1397)&gt;0,1,0)</f>
        <v>0</v>
      </c>
      <c r="C1397">
        <f>IF(COUNTIFS('United Data'!$A$3:$A$3390,C$1,'United Data'!$C$3:$C$3390,$A1397)&gt;0,1,0)</f>
        <v>0</v>
      </c>
      <c r="D1397">
        <f>IF(COUNTIFS('United Data'!$A$3:$A$3390,D$1,'United Data'!$C$3:$C$3390,$A1397)&gt;0,1,0)</f>
        <v>0</v>
      </c>
      <c r="E1397">
        <f>IF(COUNTIFS('United Data'!$A$3:$A$3390,E$1,'United Data'!$C$3:$C$3390,$A1397)&gt;0,1,0)</f>
        <v>0</v>
      </c>
      <c r="F1397">
        <f>IF(COUNTIFS('United Data'!$A$3:$A$3390,F$1,'United Data'!$C$3:$C$3390,$A1397)&gt;0,1,0)</f>
        <v>0</v>
      </c>
      <c r="G1397">
        <f>IF(COUNTIFS('United Data'!$A$3:$A$3390,G$1,'United Data'!$C$3:$C$3390,$A1397)&gt;0,1,0)</f>
        <v>0</v>
      </c>
      <c r="H1397">
        <f>IF(COUNTIFS('United Data'!$A$3:$A$3390,H$1,'United Data'!$C$3:$C$3390,$A1397)&gt;0,1,0)</f>
        <v>0</v>
      </c>
      <c r="I1397">
        <f>IF(COUNTIFS('United Data'!$A$3:$A$3390,I$1,'United Data'!$C$3:$C$3390,$A1397)&gt;0,1,0)</f>
        <v>0</v>
      </c>
      <c r="J1397">
        <f>IF(COUNTIFS('United Data'!$A$3:$A$3390,J$1,'United Data'!$C$3:$C$3390,$A1397)&gt;0,1,0)</f>
        <v>0</v>
      </c>
      <c r="K1397">
        <f>IF(COUNTIFS('United Data'!$A$3:$A$3390,K$1,'United Data'!$C$3:$C$3390,$A1397)&gt;0,1,0)</f>
        <v>0</v>
      </c>
      <c r="L1397">
        <f>IF(COUNTIFS('United Data'!$A$3:$A$3390,L$1,'United Data'!$C$3:$C$3390,$A1397)&gt;0,1,0)</f>
        <v>1</v>
      </c>
      <c r="M1397">
        <f>IF(COUNTIFS('United Data'!$A$3:$A$3390,M$1,'United Data'!$C$3:$C$3390,$A1397)&gt;0,1,0)</f>
        <v>0</v>
      </c>
      <c r="N1397">
        <f>IF(COUNTIFS('United Data'!$A$3:$A$3390,N$1,'United Data'!$C$3:$C$3390,$A1397)&gt;0,1,0)</f>
        <v>0</v>
      </c>
      <c r="O1397">
        <f>IF(COUNTIFS('United Data'!$A$3:$A$3390,O$1,'United Data'!$C$3:$C$3390,$A1397)&gt;0,1,0)</f>
        <v>0</v>
      </c>
      <c r="P1397">
        <f>IF(COUNTIFS('United Data'!$A$3:$A$3390,P$1,'United Data'!$C$3:$C$3390,$A1397)&gt;0,1,0)</f>
        <v>0</v>
      </c>
      <c r="Q1397">
        <f>IF(COUNTIFS('United Data'!$A$3:$A$3390,Q$1,'United Data'!$C$3:$C$3390,$A1397)&gt;0,1,0)</f>
        <v>0</v>
      </c>
      <c r="R1397">
        <f>IF(COUNTIFS('United Data'!$A$3:$A$3390,R$1,'United Data'!$C$3:$C$3390,$A1397)&gt;0,1,0)</f>
        <v>0</v>
      </c>
      <c r="S1397">
        <f t="shared" si="42"/>
        <v>1</v>
      </c>
      <c r="T1397">
        <f t="shared" si="43"/>
        <v>1</v>
      </c>
    </row>
    <row r="1398" spans="1:20" x14ac:dyDescent="0.2">
      <c r="A1398" t="s">
        <v>1655</v>
      </c>
      <c r="B1398">
        <f>IF(COUNTIFS('United Data'!$A$3:$A$3390,B$1,'United Data'!$C$3:$C$3390,$A1398)&gt;0,1,0)</f>
        <v>0</v>
      </c>
      <c r="C1398">
        <f>IF(COUNTIFS('United Data'!$A$3:$A$3390,C$1,'United Data'!$C$3:$C$3390,$A1398)&gt;0,1,0)</f>
        <v>0</v>
      </c>
      <c r="D1398">
        <f>IF(COUNTIFS('United Data'!$A$3:$A$3390,D$1,'United Data'!$C$3:$C$3390,$A1398)&gt;0,1,0)</f>
        <v>0</v>
      </c>
      <c r="E1398">
        <f>IF(COUNTIFS('United Data'!$A$3:$A$3390,E$1,'United Data'!$C$3:$C$3390,$A1398)&gt;0,1,0)</f>
        <v>0</v>
      </c>
      <c r="F1398">
        <f>IF(COUNTIFS('United Data'!$A$3:$A$3390,F$1,'United Data'!$C$3:$C$3390,$A1398)&gt;0,1,0)</f>
        <v>0</v>
      </c>
      <c r="G1398">
        <f>IF(COUNTIFS('United Data'!$A$3:$A$3390,G$1,'United Data'!$C$3:$C$3390,$A1398)&gt;0,1,0)</f>
        <v>0</v>
      </c>
      <c r="H1398">
        <f>IF(COUNTIFS('United Data'!$A$3:$A$3390,H$1,'United Data'!$C$3:$C$3390,$A1398)&gt;0,1,0)</f>
        <v>0</v>
      </c>
      <c r="I1398">
        <f>IF(COUNTIFS('United Data'!$A$3:$A$3390,I$1,'United Data'!$C$3:$C$3390,$A1398)&gt;0,1,0)</f>
        <v>0</v>
      </c>
      <c r="J1398">
        <f>IF(COUNTIFS('United Data'!$A$3:$A$3390,J$1,'United Data'!$C$3:$C$3390,$A1398)&gt;0,1,0)</f>
        <v>0</v>
      </c>
      <c r="K1398">
        <f>IF(COUNTIFS('United Data'!$A$3:$A$3390,K$1,'United Data'!$C$3:$C$3390,$A1398)&gt;0,1,0)</f>
        <v>0</v>
      </c>
      <c r="L1398">
        <f>IF(COUNTIFS('United Data'!$A$3:$A$3390,L$1,'United Data'!$C$3:$C$3390,$A1398)&gt;0,1,0)</f>
        <v>1</v>
      </c>
      <c r="M1398">
        <f>IF(COUNTIFS('United Data'!$A$3:$A$3390,M$1,'United Data'!$C$3:$C$3390,$A1398)&gt;0,1,0)</f>
        <v>0</v>
      </c>
      <c r="N1398">
        <f>IF(COUNTIFS('United Data'!$A$3:$A$3390,N$1,'United Data'!$C$3:$C$3390,$A1398)&gt;0,1,0)</f>
        <v>0</v>
      </c>
      <c r="O1398">
        <f>IF(COUNTIFS('United Data'!$A$3:$A$3390,O$1,'United Data'!$C$3:$C$3390,$A1398)&gt;0,1,0)</f>
        <v>0</v>
      </c>
      <c r="P1398">
        <f>IF(COUNTIFS('United Data'!$A$3:$A$3390,P$1,'United Data'!$C$3:$C$3390,$A1398)&gt;0,1,0)</f>
        <v>0</v>
      </c>
      <c r="Q1398">
        <f>IF(COUNTIFS('United Data'!$A$3:$A$3390,Q$1,'United Data'!$C$3:$C$3390,$A1398)&gt;0,1,0)</f>
        <v>0</v>
      </c>
      <c r="R1398">
        <f>IF(COUNTIFS('United Data'!$A$3:$A$3390,R$1,'United Data'!$C$3:$C$3390,$A1398)&gt;0,1,0)</f>
        <v>0</v>
      </c>
      <c r="S1398">
        <f t="shared" si="42"/>
        <v>1</v>
      </c>
      <c r="T1398">
        <f t="shared" si="43"/>
        <v>1</v>
      </c>
    </row>
    <row r="1399" spans="1:20" x14ac:dyDescent="0.2">
      <c r="A1399" t="s">
        <v>1656</v>
      </c>
      <c r="B1399">
        <f>IF(COUNTIFS('United Data'!$A$3:$A$3390,B$1,'United Data'!$C$3:$C$3390,$A1399)&gt;0,1,0)</f>
        <v>0</v>
      </c>
      <c r="C1399">
        <f>IF(COUNTIFS('United Data'!$A$3:$A$3390,C$1,'United Data'!$C$3:$C$3390,$A1399)&gt;0,1,0)</f>
        <v>0</v>
      </c>
      <c r="D1399">
        <f>IF(COUNTIFS('United Data'!$A$3:$A$3390,D$1,'United Data'!$C$3:$C$3390,$A1399)&gt;0,1,0)</f>
        <v>0</v>
      </c>
      <c r="E1399">
        <f>IF(COUNTIFS('United Data'!$A$3:$A$3390,E$1,'United Data'!$C$3:$C$3390,$A1399)&gt;0,1,0)</f>
        <v>0</v>
      </c>
      <c r="F1399">
        <f>IF(COUNTIFS('United Data'!$A$3:$A$3390,F$1,'United Data'!$C$3:$C$3390,$A1399)&gt;0,1,0)</f>
        <v>0</v>
      </c>
      <c r="G1399">
        <f>IF(COUNTIFS('United Data'!$A$3:$A$3390,G$1,'United Data'!$C$3:$C$3390,$A1399)&gt;0,1,0)</f>
        <v>0</v>
      </c>
      <c r="H1399">
        <f>IF(COUNTIFS('United Data'!$A$3:$A$3390,H$1,'United Data'!$C$3:$C$3390,$A1399)&gt;0,1,0)</f>
        <v>0</v>
      </c>
      <c r="I1399">
        <f>IF(COUNTIFS('United Data'!$A$3:$A$3390,I$1,'United Data'!$C$3:$C$3390,$A1399)&gt;0,1,0)</f>
        <v>0</v>
      </c>
      <c r="J1399">
        <f>IF(COUNTIFS('United Data'!$A$3:$A$3390,J$1,'United Data'!$C$3:$C$3390,$A1399)&gt;0,1,0)</f>
        <v>0</v>
      </c>
      <c r="K1399">
        <f>IF(COUNTIFS('United Data'!$A$3:$A$3390,K$1,'United Data'!$C$3:$C$3390,$A1399)&gt;0,1,0)</f>
        <v>0</v>
      </c>
      <c r="L1399">
        <f>IF(COUNTIFS('United Data'!$A$3:$A$3390,L$1,'United Data'!$C$3:$C$3390,$A1399)&gt;0,1,0)</f>
        <v>0</v>
      </c>
      <c r="M1399">
        <f>IF(COUNTIFS('United Data'!$A$3:$A$3390,M$1,'United Data'!$C$3:$C$3390,$A1399)&gt;0,1,0)</f>
        <v>1</v>
      </c>
      <c r="N1399">
        <f>IF(COUNTIFS('United Data'!$A$3:$A$3390,N$1,'United Data'!$C$3:$C$3390,$A1399)&gt;0,1,0)</f>
        <v>1</v>
      </c>
      <c r="O1399">
        <f>IF(COUNTIFS('United Data'!$A$3:$A$3390,O$1,'United Data'!$C$3:$C$3390,$A1399)&gt;0,1,0)</f>
        <v>0</v>
      </c>
      <c r="P1399">
        <f>IF(COUNTIFS('United Data'!$A$3:$A$3390,P$1,'United Data'!$C$3:$C$3390,$A1399)&gt;0,1,0)</f>
        <v>0</v>
      </c>
      <c r="Q1399">
        <f>IF(COUNTIFS('United Data'!$A$3:$A$3390,Q$1,'United Data'!$C$3:$C$3390,$A1399)&gt;0,1,0)</f>
        <v>0</v>
      </c>
      <c r="R1399">
        <f>IF(COUNTIFS('United Data'!$A$3:$A$3390,R$1,'United Data'!$C$3:$C$3390,$A1399)&gt;0,1,0)</f>
        <v>0</v>
      </c>
      <c r="S1399">
        <f t="shared" si="42"/>
        <v>2</v>
      </c>
      <c r="T1399">
        <f t="shared" si="43"/>
        <v>1</v>
      </c>
    </row>
    <row r="1400" spans="1:20" x14ac:dyDescent="0.2">
      <c r="A1400" t="s">
        <v>1657</v>
      </c>
      <c r="B1400">
        <f>IF(COUNTIFS('United Data'!$A$3:$A$3390,B$1,'United Data'!$C$3:$C$3390,$A1400)&gt;0,1,0)</f>
        <v>0</v>
      </c>
      <c r="C1400">
        <f>IF(COUNTIFS('United Data'!$A$3:$A$3390,C$1,'United Data'!$C$3:$C$3390,$A1400)&gt;0,1,0)</f>
        <v>0</v>
      </c>
      <c r="D1400">
        <f>IF(COUNTIFS('United Data'!$A$3:$A$3390,D$1,'United Data'!$C$3:$C$3390,$A1400)&gt;0,1,0)</f>
        <v>0</v>
      </c>
      <c r="E1400">
        <f>IF(COUNTIFS('United Data'!$A$3:$A$3390,E$1,'United Data'!$C$3:$C$3390,$A1400)&gt;0,1,0)</f>
        <v>0</v>
      </c>
      <c r="F1400">
        <f>IF(COUNTIFS('United Data'!$A$3:$A$3390,F$1,'United Data'!$C$3:$C$3390,$A1400)&gt;0,1,0)</f>
        <v>0</v>
      </c>
      <c r="G1400">
        <f>IF(COUNTIFS('United Data'!$A$3:$A$3390,G$1,'United Data'!$C$3:$C$3390,$A1400)&gt;0,1,0)</f>
        <v>0</v>
      </c>
      <c r="H1400">
        <f>IF(COUNTIFS('United Data'!$A$3:$A$3390,H$1,'United Data'!$C$3:$C$3390,$A1400)&gt;0,1,0)</f>
        <v>0</v>
      </c>
      <c r="I1400">
        <f>IF(COUNTIFS('United Data'!$A$3:$A$3390,I$1,'United Data'!$C$3:$C$3390,$A1400)&gt;0,1,0)</f>
        <v>0</v>
      </c>
      <c r="J1400">
        <f>IF(COUNTIFS('United Data'!$A$3:$A$3390,J$1,'United Data'!$C$3:$C$3390,$A1400)&gt;0,1,0)</f>
        <v>0</v>
      </c>
      <c r="K1400">
        <f>IF(COUNTIFS('United Data'!$A$3:$A$3390,K$1,'United Data'!$C$3:$C$3390,$A1400)&gt;0,1,0)</f>
        <v>0</v>
      </c>
      <c r="L1400">
        <f>IF(COUNTIFS('United Data'!$A$3:$A$3390,L$1,'United Data'!$C$3:$C$3390,$A1400)&gt;0,1,0)</f>
        <v>0</v>
      </c>
      <c r="M1400">
        <f>IF(COUNTIFS('United Data'!$A$3:$A$3390,M$1,'United Data'!$C$3:$C$3390,$A1400)&gt;0,1,0)</f>
        <v>1</v>
      </c>
      <c r="N1400">
        <f>IF(COUNTIFS('United Data'!$A$3:$A$3390,N$1,'United Data'!$C$3:$C$3390,$A1400)&gt;0,1,0)</f>
        <v>1</v>
      </c>
      <c r="O1400">
        <f>IF(COUNTIFS('United Data'!$A$3:$A$3390,O$1,'United Data'!$C$3:$C$3390,$A1400)&gt;0,1,0)</f>
        <v>1</v>
      </c>
      <c r="P1400">
        <f>IF(COUNTIFS('United Data'!$A$3:$A$3390,P$1,'United Data'!$C$3:$C$3390,$A1400)&gt;0,1,0)</f>
        <v>1</v>
      </c>
      <c r="Q1400">
        <f>IF(COUNTIFS('United Data'!$A$3:$A$3390,Q$1,'United Data'!$C$3:$C$3390,$A1400)&gt;0,1,0)</f>
        <v>0</v>
      </c>
      <c r="R1400">
        <f>IF(COUNTIFS('United Data'!$A$3:$A$3390,R$1,'United Data'!$C$3:$C$3390,$A1400)&gt;0,1,0)</f>
        <v>0</v>
      </c>
      <c r="S1400">
        <f t="shared" si="42"/>
        <v>4</v>
      </c>
      <c r="T1400">
        <f t="shared" si="43"/>
        <v>1</v>
      </c>
    </row>
    <row r="1401" spans="1:20" x14ac:dyDescent="0.2">
      <c r="A1401" t="s">
        <v>1658</v>
      </c>
      <c r="B1401">
        <f>IF(COUNTIFS('United Data'!$A$3:$A$3390,B$1,'United Data'!$C$3:$C$3390,$A1401)&gt;0,1,0)</f>
        <v>0</v>
      </c>
      <c r="C1401">
        <f>IF(COUNTIFS('United Data'!$A$3:$A$3390,C$1,'United Data'!$C$3:$C$3390,$A1401)&gt;0,1,0)</f>
        <v>0</v>
      </c>
      <c r="D1401">
        <f>IF(COUNTIFS('United Data'!$A$3:$A$3390,D$1,'United Data'!$C$3:$C$3390,$A1401)&gt;0,1,0)</f>
        <v>0</v>
      </c>
      <c r="E1401">
        <f>IF(COUNTIFS('United Data'!$A$3:$A$3390,E$1,'United Data'!$C$3:$C$3390,$A1401)&gt;0,1,0)</f>
        <v>0</v>
      </c>
      <c r="F1401">
        <f>IF(COUNTIFS('United Data'!$A$3:$A$3390,F$1,'United Data'!$C$3:$C$3390,$A1401)&gt;0,1,0)</f>
        <v>0</v>
      </c>
      <c r="G1401">
        <f>IF(COUNTIFS('United Data'!$A$3:$A$3390,G$1,'United Data'!$C$3:$C$3390,$A1401)&gt;0,1,0)</f>
        <v>0</v>
      </c>
      <c r="H1401">
        <f>IF(COUNTIFS('United Data'!$A$3:$A$3390,H$1,'United Data'!$C$3:$C$3390,$A1401)&gt;0,1,0)</f>
        <v>0</v>
      </c>
      <c r="I1401">
        <f>IF(COUNTIFS('United Data'!$A$3:$A$3390,I$1,'United Data'!$C$3:$C$3390,$A1401)&gt;0,1,0)</f>
        <v>0</v>
      </c>
      <c r="J1401">
        <f>IF(COUNTIFS('United Data'!$A$3:$A$3390,J$1,'United Data'!$C$3:$C$3390,$A1401)&gt;0,1,0)</f>
        <v>0</v>
      </c>
      <c r="K1401">
        <f>IF(COUNTIFS('United Data'!$A$3:$A$3390,K$1,'United Data'!$C$3:$C$3390,$A1401)&gt;0,1,0)</f>
        <v>0</v>
      </c>
      <c r="L1401">
        <f>IF(COUNTIFS('United Data'!$A$3:$A$3390,L$1,'United Data'!$C$3:$C$3390,$A1401)&gt;0,1,0)</f>
        <v>0</v>
      </c>
      <c r="M1401">
        <f>IF(COUNTIFS('United Data'!$A$3:$A$3390,M$1,'United Data'!$C$3:$C$3390,$A1401)&gt;0,1,0)</f>
        <v>0</v>
      </c>
      <c r="N1401">
        <f>IF(COUNTIFS('United Data'!$A$3:$A$3390,N$1,'United Data'!$C$3:$C$3390,$A1401)&gt;0,1,0)</f>
        <v>1</v>
      </c>
      <c r="O1401">
        <f>IF(COUNTIFS('United Data'!$A$3:$A$3390,O$1,'United Data'!$C$3:$C$3390,$A1401)&gt;0,1,0)</f>
        <v>0</v>
      </c>
      <c r="P1401">
        <f>IF(COUNTIFS('United Data'!$A$3:$A$3390,P$1,'United Data'!$C$3:$C$3390,$A1401)&gt;0,1,0)</f>
        <v>0</v>
      </c>
      <c r="Q1401">
        <f>IF(COUNTIFS('United Data'!$A$3:$A$3390,Q$1,'United Data'!$C$3:$C$3390,$A1401)&gt;0,1,0)</f>
        <v>0</v>
      </c>
      <c r="R1401">
        <f>IF(COUNTIFS('United Data'!$A$3:$A$3390,R$1,'United Data'!$C$3:$C$3390,$A1401)&gt;0,1,0)</f>
        <v>0</v>
      </c>
      <c r="S1401">
        <f t="shared" si="42"/>
        <v>1</v>
      </c>
      <c r="T1401">
        <f t="shared" si="43"/>
        <v>1</v>
      </c>
    </row>
    <row r="1402" spans="1:20" x14ac:dyDescent="0.2">
      <c r="A1402" t="s">
        <v>1659</v>
      </c>
      <c r="B1402">
        <f>IF(COUNTIFS('United Data'!$A$3:$A$3390,B$1,'United Data'!$C$3:$C$3390,$A1402)&gt;0,1,0)</f>
        <v>0</v>
      </c>
      <c r="C1402">
        <f>IF(COUNTIFS('United Data'!$A$3:$A$3390,C$1,'United Data'!$C$3:$C$3390,$A1402)&gt;0,1,0)</f>
        <v>0</v>
      </c>
      <c r="D1402">
        <f>IF(COUNTIFS('United Data'!$A$3:$A$3390,D$1,'United Data'!$C$3:$C$3390,$A1402)&gt;0,1,0)</f>
        <v>0</v>
      </c>
      <c r="E1402">
        <f>IF(COUNTIFS('United Data'!$A$3:$A$3390,E$1,'United Data'!$C$3:$C$3390,$A1402)&gt;0,1,0)</f>
        <v>0</v>
      </c>
      <c r="F1402">
        <f>IF(COUNTIFS('United Data'!$A$3:$A$3390,F$1,'United Data'!$C$3:$C$3390,$A1402)&gt;0,1,0)</f>
        <v>0</v>
      </c>
      <c r="G1402">
        <f>IF(COUNTIFS('United Data'!$A$3:$A$3390,G$1,'United Data'!$C$3:$C$3390,$A1402)&gt;0,1,0)</f>
        <v>0</v>
      </c>
      <c r="H1402">
        <f>IF(COUNTIFS('United Data'!$A$3:$A$3390,H$1,'United Data'!$C$3:$C$3390,$A1402)&gt;0,1,0)</f>
        <v>0</v>
      </c>
      <c r="I1402">
        <f>IF(COUNTIFS('United Data'!$A$3:$A$3390,I$1,'United Data'!$C$3:$C$3390,$A1402)&gt;0,1,0)</f>
        <v>0</v>
      </c>
      <c r="J1402">
        <f>IF(COUNTIFS('United Data'!$A$3:$A$3390,J$1,'United Data'!$C$3:$C$3390,$A1402)&gt;0,1,0)</f>
        <v>0</v>
      </c>
      <c r="K1402">
        <f>IF(COUNTIFS('United Data'!$A$3:$A$3390,K$1,'United Data'!$C$3:$C$3390,$A1402)&gt;0,1,0)</f>
        <v>0</v>
      </c>
      <c r="L1402">
        <f>IF(COUNTIFS('United Data'!$A$3:$A$3390,L$1,'United Data'!$C$3:$C$3390,$A1402)&gt;0,1,0)</f>
        <v>0</v>
      </c>
      <c r="M1402">
        <f>IF(COUNTIFS('United Data'!$A$3:$A$3390,M$1,'United Data'!$C$3:$C$3390,$A1402)&gt;0,1,0)</f>
        <v>0</v>
      </c>
      <c r="N1402">
        <f>IF(COUNTIFS('United Data'!$A$3:$A$3390,N$1,'United Data'!$C$3:$C$3390,$A1402)&gt;0,1,0)</f>
        <v>1</v>
      </c>
      <c r="O1402">
        <f>IF(COUNTIFS('United Data'!$A$3:$A$3390,O$1,'United Data'!$C$3:$C$3390,$A1402)&gt;0,1,0)</f>
        <v>1</v>
      </c>
      <c r="P1402">
        <f>IF(COUNTIFS('United Data'!$A$3:$A$3390,P$1,'United Data'!$C$3:$C$3390,$A1402)&gt;0,1,0)</f>
        <v>0</v>
      </c>
      <c r="Q1402">
        <f>IF(COUNTIFS('United Data'!$A$3:$A$3390,Q$1,'United Data'!$C$3:$C$3390,$A1402)&gt;0,1,0)</f>
        <v>0</v>
      </c>
      <c r="R1402">
        <f>IF(COUNTIFS('United Data'!$A$3:$A$3390,R$1,'United Data'!$C$3:$C$3390,$A1402)&gt;0,1,0)</f>
        <v>0</v>
      </c>
      <c r="S1402">
        <f t="shared" si="42"/>
        <v>2</v>
      </c>
      <c r="T1402">
        <f t="shared" si="43"/>
        <v>1</v>
      </c>
    </row>
    <row r="1403" spans="1:20" x14ac:dyDescent="0.2">
      <c r="A1403" t="s">
        <v>1660</v>
      </c>
      <c r="B1403">
        <f>IF(COUNTIFS('United Data'!$A$3:$A$3390,B$1,'United Data'!$C$3:$C$3390,$A1403)&gt;0,1,0)</f>
        <v>0</v>
      </c>
      <c r="C1403">
        <f>IF(COUNTIFS('United Data'!$A$3:$A$3390,C$1,'United Data'!$C$3:$C$3390,$A1403)&gt;0,1,0)</f>
        <v>0</v>
      </c>
      <c r="D1403">
        <f>IF(COUNTIFS('United Data'!$A$3:$A$3390,D$1,'United Data'!$C$3:$C$3390,$A1403)&gt;0,1,0)</f>
        <v>0</v>
      </c>
      <c r="E1403">
        <f>IF(COUNTIFS('United Data'!$A$3:$A$3390,E$1,'United Data'!$C$3:$C$3390,$A1403)&gt;0,1,0)</f>
        <v>0</v>
      </c>
      <c r="F1403">
        <f>IF(COUNTIFS('United Data'!$A$3:$A$3390,F$1,'United Data'!$C$3:$C$3390,$A1403)&gt;0,1,0)</f>
        <v>0</v>
      </c>
      <c r="G1403">
        <f>IF(COUNTIFS('United Data'!$A$3:$A$3390,G$1,'United Data'!$C$3:$C$3390,$A1403)&gt;0,1,0)</f>
        <v>0</v>
      </c>
      <c r="H1403">
        <f>IF(COUNTIFS('United Data'!$A$3:$A$3390,H$1,'United Data'!$C$3:$C$3390,$A1403)&gt;0,1,0)</f>
        <v>0</v>
      </c>
      <c r="I1403">
        <f>IF(COUNTIFS('United Data'!$A$3:$A$3390,I$1,'United Data'!$C$3:$C$3390,$A1403)&gt;0,1,0)</f>
        <v>0</v>
      </c>
      <c r="J1403">
        <f>IF(COUNTIFS('United Data'!$A$3:$A$3390,J$1,'United Data'!$C$3:$C$3390,$A1403)&gt;0,1,0)</f>
        <v>0</v>
      </c>
      <c r="K1403">
        <f>IF(COUNTIFS('United Data'!$A$3:$A$3390,K$1,'United Data'!$C$3:$C$3390,$A1403)&gt;0,1,0)</f>
        <v>0</v>
      </c>
      <c r="L1403">
        <f>IF(COUNTIFS('United Data'!$A$3:$A$3390,L$1,'United Data'!$C$3:$C$3390,$A1403)&gt;0,1,0)</f>
        <v>0</v>
      </c>
      <c r="M1403">
        <f>IF(COUNTIFS('United Data'!$A$3:$A$3390,M$1,'United Data'!$C$3:$C$3390,$A1403)&gt;0,1,0)</f>
        <v>0</v>
      </c>
      <c r="N1403">
        <f>IF(COUNTIFS('United Data'!$A$3:$A$3390,N$1,'United Data'!$C$3:$C$3390,$A1403)&gt;0,1,0)</f>
        <v>0</v>
      </c>
      <c r="O1403">
        <f>IF(COUNTIFS('United Data'!$A$3:$A$3390,O$1,'United Data'!$C$3:$C$3390,$A1403)&gt;0,1,0)</f>
        <v>0</v>
      </c>
      <c r="P1403">
        <f>IF(COUNTIFS('United Data'!$A$3:$A$3390,P$1,'United Data'!$C$3:$C$3390,$A1403)&gt;0,1,0)</f>
        <v>1</v>
      </c>
      <c r="Q1403">
        <f>IF(COUNTIFS('United Data'!$A$3:$A$3390,Q$1,'United Data'!$C$3:$C$3390,$A1403)&gt;0,1,0)</f>
        <v>0</v>
      </c>
      <c r="R1403">
        <f>IF(COUNTIFS('United Data'!$A$3:$A$3390,R$1,'United Data'!$C$3:$C$3390,$A1403)&gt;0,1,0)</f>
        <v>0</v>
      </c>
      <c r="S1403">
        <f t="shared" si="42"/>
        <v>1</v>
      </c>
      <c r="T1403">
        <f t="shared" si="43"/>
        <v>1</v>
      </c>
    </row>
    <row r="1404" spans="1:20" x14ac:dyDescent="0.2">
      <c r="A1404" t="s">
        <v>1661</v>
      </c>
      <c r="B1404">
        <f>IF(COUNTIFS('United Data'!$A$3:$A$3390,B$1,'United Data'!$C$3:$C$3390,$A1404)&gt;0,1,0)</f>
        <v>0</v>
      </c>
      <c r="C1404">
        <f>IF(COUNTIFS('United Data'!$A$3:$A$3390,C$1,'United Data'!$C$3:$C$3390,$A1404)&gt;0,1,0)</f>
        <v>0</v>
      </c>
      <c r="D1404">
        <f>IF(COUNTIFS('United Data'!$A$3:$A$3390,D$1,'United Data'!$C$3:$C$3390,$A1404)&gt;0,1,0)</f>
        <v>0</v>
      </c>
      <c r="E1404">
        <f>IF(COUNTIFS('United Data'!$A$3:$A$3390,E$1,'United Data'!$C$3:$C$3390,$A1404)&gt;0,1,0)</f>
        <v>0</v>
      </c>
      <c r="F1404">
        <f>IF(COUNTIFS('United Data'!$A$3:$A$3390,F$1,'United Data'!$C$3:$C$3390,$A1404)&gt;0,1,0)</f>
        <v>0</v>
      </c>
      <c r="G1404">
        <f>IF(COUNTIFS('United Data'!$A$3:$A$3390,G$1,'United Data'!$C$3:$C$3390,$A1404)&gt;0,1,0)</f>
        <v>0</v>
      </c>
      <c r="H1404">
        <f>IF(COUNTIFS('United Data'!$A$3:$A$3390,H$1,'United Data'!$C$3:$C$3390,$A1404)&gt;0,1,0)</f>
        <v>0</v>
      </c>
      <c r="I1404">
        <f>IF(COUNTIFS('United Data'!$A$3:$A$3390,I$1,'United Data'!$C$3:$C$3390,$A1404)&gt;0,1,0)</f>
        <v>0</v>
      </c>
      <c r="J1404">
        <f>IF(COUNTIFS('United Data'!$A$3:$A$3390,J$1,'United Data'!$C$3:$C$3390,$A1404)&gt;0,1,0)</f>
        <v>0</v>
      </c>
      <c r="K1404">
        <f>IF(COUNTIFS('United Data'!$A$3:$A$3390,K$1,'United Data'!$C$3:$C$3390,$A1404)&gt;0,1,0)</f>
        <v>0</v>
      </c>
      <c r="L1404">
        <f>IF(COUNTIFS('United Data'!$A$3:$A$3390,L$1,'United Data'!$C$3:$C$3390,$A1404)&gt;0,1,0)</f>
        <v>0</v>
      </c>
      <c r="M1404">
        <f>IF(COUNTIFS('United Data'!$A$3:$A$3390,M$1,'United Data'!$C$3:$C$3390,$A1404)&gt;0,1,0)</f>
        <v>0</v>
      </c>
      <c r="N1404">
        <f>IF(COUNTIFS('United Data'!$A$3:$A$3390,N$1,'United Data'!$C$3:$C$3390,$A1404)&gt;0,1,0)</f>
        <v>0</v>
      </c>
      <c r="O1404">
        <f>IF(COUNTIFS('United Data'!$A$3:$A$3390,O$1,'United Data'!$C$3:$C$3390,$A1404)&gt;0,1,0)</f>
        <v>0</v>
      </c>
      <c r="P1404">
        <f>IF(COUNTIFS('United Data'!$A$3:$A$3390,P$1,'United Data'!$C$3:$C$3390,$A1404)&gt;0,1,0)</f>
        <v>1</v>
      </c>
      <c r="Q1404">
        <f>IF(COUNTIFS('United Data'!$A$3:$A$3390,Q$1,'United Data'!$C$3:$C$3390,$A1404)&gt;0,1,0)</f>
        <v>1</v>
      </c>
      <c r="R1404">
        <f>IF(COUNTIFS('United Data'!$A$3:$A$3390,R$1,'United Data'!$C$3:$C$3390,$A1404)&gt;0,1,0)</f>
        <v>0</v>
      </c>
      <c r="S1404">
        <f t="shared" si="42"/>
        <v>2</v>
      </c>
      <c r="T1404">
        <f t="shared" si="43"/>
        <v>1</v>
      </c>
    </row>
    <row r="1405" spans="1:20" x14ac:dyDescent="0.2">
      <c r="A1405" t="s">
        <v>1662</v>
      </c>
      <c r="B1405">
        <f>IF(COUNTIFS('United Data'!$A$3:$A$3390,B$1,'United Data'!$C$3:$C$3390,$A1405)&gt;0,1,0)</f>
        <v>0</v>
      </c>
      <c r="C1405">
        <f>IF(COUNTIFS('United Data'!$A$3:$A$3390,C$1,'United Data'!$C$3:$C$3390,$A1405)&gt;0,1,0)</f>
        <v>0</v>
      </c>
      <c r="D1405">
        <f>IF(COUNTIFS('United Data'!$A$3:$A$3390,D$1,'United Data'!$C$3:$C$3390,$A1405)&gt;0,1,0)</f>
        <v>0</v>
      </c>
      <c r="E1405">
        <f>IF(COUNTIFS('United Data'!$A$3:$A$3390,E$1,'United Data'!$C$3:$C$3390,$A1405)&gt;0,1,0)</f>
        <v>0</v>
      </c>
      <c r="F1405">
        <f>IF(COUNTIFS('United Data'!$A$3:$A$3390,F$1,'United Data'!$C$3:$C$3390,$A1405)&gt;0,1,0)</f>
        <v>0</v>
      </c>
      <c r="G1405">
        <f>IF(COUNTIFS('United Data'!$A$3:$A$3390,G$1,'United Data'!$C$3:$C$3390,$A1405)&gt;0,1,0)</f>
        <v>0</v>
      </c>
      <c r="H1405">
        <f>IF(COUNTIFS('United Data'!$A$3:$A$3390,H$1,'United Data'!$C$3:$C$3390,$A1405)&gt;0,1,0)</f>
        <v>0</v>
      </c>
      <c r="I1405">
        <f>IF(COUNTIFS('United Data'!$A$3:$A$3390,I$1,'United Data'!$C$3:$C$3390,$A1405)&gt;0,1,0)</f>
        <v>0</v>
      </c>
      <c r="J1405">
        <f>IF(COUNTIFS('United Data'!$A$3:$A$3390,J$1,'United Data'!$C$3:$C$3390,$A1405)&gt;0,1,0)</f>
        <v>0</v>
      </c>
      <c r="K1405">
        <f>IF(COUNTIFS('United Data'!$A$3:$A$3390,K$1,'United Data'!$C$3:$C$3390,$A1405)&gt;0,1,0)</f>
        <v>0</v>
      </c>
      <c r="L1405">
        <f>IF(COUNTIFS('United Data'!$A$3:$A$3390,L$1,'United Data'!$C$3:$C$3390,$A1405)&gt;0,1,0)</f>
        <v>0</v>
      </c>
      <c r="M1405">
        <f>IF(COUNTIFS('United Data'!$A$3:$A$3390,M$1,'United Data'!$C$3:$C$3390,$A1405)&gt;0,1,0)</f>
        <v>0</v>
      </c>
      <c r="N1405">
        <f>IF(COUNTIFS('United Data'!$A$3:$A$3390,N$1,'United Data'!$C$3:$C$3390,$A1405)&gt;0,1,0)</f>
        <v>0</v>
      </c>
      <c r="O1405">
        <f>IF(COUNTIFS('United Data'!$A$3:$A$3390,O$1,'United Data'!$C$3:$C$3390,$A1405)&gt;0,1,0)</f>
        <v>0</v>
      </c>
      <c r="P1405">
        <f>IF(COUNTIFS('United Data'!$A$3:$A$3390,P$1,'United Data'!$C$3:$C$3390,$A1405)&gt;0,1,0)</f>
        <v>1</v>
      </c>
      <c r="Q1405">
        <f>IF(COUNTIFS('United Data'!$A$3:$A$3390,Q$1,'United Data'!$C$3:$C$3390,$A1405)&gt;0,1,0)</f>
        <v>0</v>
      </c>
      <c r="R1405">
        <f>IF(COUNTIFS('United Data'!$A$3:$A$3390,R$1,'United Data'!$C$3:$C$3390,$A1405)&gt;0,1,0)</f>
        <v>0</v>
      </c>
      <c r="S1405">
        <f t="shared" si="42"/>
        <v>1</v>
      </c>
      <c r="T1405">
        <f t="shared" si="43"/>
        <v>1</v>
      </c>
    </row>
    <row r="1406" spans="1:20" x14ac:dyDescent="0.2">
      <c r="A1406" t="s">
        <v>1667</v>
      </c>
      <c r="B1406">
        <f>IF(COUNTIFS('United Data'!$A$3:$A$3390,B$1,'United Data'!$C$3:$C$3390,$A1406)&gt;0,1,0)</f>
        <v>1</v>
      </c>
      <c r="C1406">
        <f>IF(COUNTIFS('United Data'!$A$3:$A$3390,C$1,'United Data'!$C$3:$C$3390,$A1406)&gt;0,1,0)</f>
        <v>0</v>
      </c>
      <c r="D1406">
        <f>IF(COUNTIFS('United Data'!$A$3:$A$3390,D$1,'United Data'!$C$3:$C$3390,$A1406)&gt;0,1,0)</f>
        <v>0</v>
      </c>
      <c r="E1406">
        <f>IF(COUNTIFS('United Data'!$A$3:$A$3390,E$1,'United Data'!$C$3:$C$3390,$A1406)&gt;0,1,0)</f>
        <v>0</v>
      </c>
      <c r="F1406">
        <f>IF(COUNTIFS('United Data'!$A$3:$A$3390,F$1,'United Data'!$C$3:$C$3390,$A1406)&gt;0,1,0)</f>
        <v>0</v>
      </c>
      <c r="G1406">
        <f>IF(COUNTIFS('United Data'!$A$3:$A$3390,G$1,'United Data'!$C$3:$C$3390,$A1406)&gt;0,1,0)</f>
        <v>0</v>
      </c>
      <c r="H1406">
        <f>IF(COUNTIFS('United Data'!$A$3:$A$3390,H$1,'United Data'!$C$3:$C$3390,$A1406)&gt;0,1,0)</f>
        <v>0</v>
      </c>
      <c r="I1406">
        <f>IF(COUNTIFS('United Data'!$A$3:$A$3390,I$1,'United Data'!$C$3:$C$3390,$A1406)&gt;0,1,0)</f>
        <v>0</v>
      </c>
      <c r="J1406">
        <f>IF(COUNTIFS('United Data'!$A$3:$A$3390,J$1,'United Data'!$C$3:$C$3390,$A1406)&gt;0,1,0)</f>
        <v>0</v>
      </c>
      <c r="K1406">
        <f>IF(COUNTIFS('United Data'!$A$3:$A$3390,K$1,'United Data'!$C$3:$C$3390,$A1406)&gt;0,1,0)</f>
        <v>0</v>
      </c>
      <c r="L1406">
        <f>IF(COUNTIFS('United Data'!$A$3:$A$3390,L$1,'United Data'!$C$3:$C$3390,$A1406)&gt;0,1,0)</f>
        <v>0</v>
      </c>
      <c r="M1406">
        <f>IF(COUNTIFS('United Data'!$A$3:$A$3390,M$1,'United Data'!$C$3:$C$3390,$A1406)&gt;0,1,0)</f>
        <v>0</v>
      </c>
      <c r="N1406">
        <f>IF(COUNTIFS('United Data'!$A$3:$A$3390,N$1,'United Data'!$C$3:$C$3390,$A1406)&gt;0,1,0)</f>
        <v>0</v>
      </c>
      <c r="O1406">
        <f>IF(COUNTIFS('United Data'!$A$3:$A$3390,O$1,'United Data'!$C$3:$C$3390,$A1406)&gt;0,1,0)</f>
        <v>0</v>
      </c>
      <c r="P1406">
        <f>IF(COUNTIFS('United Data'!$A$3:$A$3390,P$1,'United Data'!$C$3:$C$3390,$A1406)&gt;0,1,0)</f>
        <v>0</v>
      </c>
      <c r="Q1406">
        <f>IF(COUNTIFS('United Data'!$A$3:$A$3390,Q$1,'United Data'!$C$3:$C$3390,$A1406)&gt;0,1,0)</f>
        <v>0</v>
      </c>
      <c r="R1406">
        <f>IF(COUNTIFS('United Data'!$A$3:$A$3390,R$1,'United Data'!$C$3:$C$3390,$A1406)&gt;0,1,0)</f>
        <v>0</v>
      </c>
      <c r="S1406">
        <f t="shared" si="42"/>
        <v>1</v>
      </c>
      <c r="T1406">
        <f t="shared" si="43"/>
        <v>1</v>
      </c>
    </row>
    <row r="1407" spans="1:20" x14ac:dyDescent="0.2">
      <c r="A1407" t="s">
        <v>1670</v>
      </c>
      <c r="B1407">
        <f>IF(COUNTIFS('United Data'!$A$3:$A$3390,B$1,'United Data'!$C$3:$C$3390,$A1407)&gt;0,1,0)</f>
        <v>1</v>
      </c>
      <c r="C1407">
        <f>IF(COUNTIFS('United Data'!$A$3:$A$3390,C$1,'United Data'!$C$3:$C$3390,$A1407)&gt;0,1,0)</f>
        <v>0</v>
      </c>
      <c r="D1407">
        <f>IF(COUNTIFS('United Data'!$A$3:$A$3390,D$1,'United Data'!$C$3:$C$3390,$A1407)&gt;0,1,0)</f>
        <v>0</v>
      </c>
      <c r="E1407">
        <f>IF(COUNTIFS('United Data'!$A$3:$A$3390,E$1,'United Data'!$C$3:$C$3390,$A1407)&gt;0,1,0)</f>
        <v>1</v>
      </c>
      <c r="F1407">
        <f>IF(COUNTIFS('United Data'!$A$3:$A$3390,F$1,'United Data'!$C$3:$C$3390,$A1407)&gt;0,1,0)</f>
        <v>0</v>
      </c>
      <c r="G1407">
        <f>IF(COUNTIFS('United Data'!$A$3:$A$3390,G$1,'United Data'!$C$3:$C$3390,$A1407)&gt;0,1,0)</f>
        <v>0</v>
      </c>
      <c r="H1407">
        <f>IF(COUNTIFS('United Data'!$A$3:$A$3390,H$1,'United Data'!$C$3:$C$3390,$A1407)&gt;0,1,0)</f>
        <v>0</v>
      </c>
      <c r="I1407">
        <f>IF(COUNTIFS('United Data'!$A$3:$A$3390,I$1,'United Data'!$C$3:$C$3390,$A1407)&gt;0,1,0)</f>
        <v>0</v>
      </c>
      <c r="J1407">
        <f>IF(COUNTIFS('United Data'!$A$3:$A$3390,J$1,'United Data'!$C$3:$C$3390,$A1407)&gt;0,1,0)</f>
        <v>0</v>
      </c>
      <c r="K1407">
        <f>IF(COUNTIFS('United Data'!$A$3:$A$3390,K$1,'United Data'!$C$3:$C$3390,$A1407)&gt;0,1,0)</f>
        <v>0</v>
      </c>
      <c r="L1407">
        <f>IF(COUNTIFS('United Data'!$A$3:$A$3390,L$1,'United Data'!$C$3:$C$3390,$A1407)&gt;0,1,0)</f>
        <v>0</v>
      </c>
      <c r="M1407">
        <f>IF(COUNTIFS('United Data'!$A$3:$A$3390,M$1,'United Data'!$C$3:$C$3390,$A1407)&gt;0,1,0)</f>
        <v>0</v>
      </c>
      <c r="N1407">
        <f>IF(COUNTIFS('United Data'!$A$3:$A$3390,N$1,'United Data'!$C$3:$C$3390,$A1407)&gt;0,1,0)</f>
        <v>0</v>
      </c>
      <c r="O1407">
        <f>IF(COUNTIFS('United Data'!$A$3:$A$3390,O$1,'United Data'!$C$3:$C$3390,$A1407)&gt;0,1,0)</f>
        <v>0</v>
      </c>
      <c r="P1407">
        <f>IF(COUNTIFS('United Data'!$A$3:$A$3390,P$1,'United Data'!$C$3:$C$3390,$A1407)&gt;0,1,0)</f>
        <v>0</v>
      </c>
      <c r="Q1407">
        <f>IF(COUNTIFS('United Data'!$A$3:$A$3390,Q$1,'United Data'!$C$3:$C$3390,$A1407)&gt;0,1,0)</f>
        <v>0</v>
      </c>
      <c r="R1407">
        <f>IF(COUNTIFS('United Data'!$A$3:$A$3390,R$1,'United Data'!$C$3:$C$3390,$A1407)&gt;0,1,0)</f>
        <v>0</v>
      </c>
      <c r="S1407">
        <f t="shared" si="42"/>
        <v>2</v>
      </c>
      <c r="T1407">
        <f t="shared" si="43"/>
        <v>2</v>
      </c>
    </row>
    <row r="1408" spans="1:20" x14ac:dyDescent="0.2">
      <c r="A1408" t="s">
        <v>1672</v>
      </c>
      <c r="B1408">
        <f>IF(COUNTIFS('United Data'!$A$3:$A$3390,B$1,'United Data'!$C$3:$C$3390,$A1408)&gt;0,1,0)</f>
        <v>1</v>
      </c>
      <c r="C1408">
        <f>IF(COUNTIFS('United Data'!$A$3:$A$3390,C$1,'United Data'!$C$3:$C$3390,$A1408)&gt;0,1,0)</f>
        <v>0</v>
      </c>
      <c r="D1408">
        <f>IF(COUNTIFS('United Data'!$A$3:$A$3390,D$1,'United Data'!$C$3:$C$3390,$A1408)&gt;0,1,0)</f>
        <v>0</v>
      </c>
      <c r="E1408">
        <f>IF(COUNTIFS('United Data'!$A$3:$A$3390,E$1,'United Data'!$C$3:$C$3390,$A1408)&gt;0,1,0)</f>
        <v>0</v>
      </c>
      <c r="F1408">
        <f>IF(COUNTIFS('United Data'!$A$3:$A$3390,F$1,'United Data'!$C$3:$C$3390,$A1408)&gt;0,1,0)</f>
        <v>0</v>
      </c>
      <c r="G1408">
        <f>IF(COUNTIFS('United Data'!$A$3:$A$3390,G$1,'United Data'!$C$3:$C$3390,$A1408)&gt;0,1,0)</f>
        <v>0</v>
      </c>
      <c r="H1408">
        <f>IF(COUNTIFS('United Data'!$A$3:$A$3390,H$1,'United Data'!$C$3:$C$3390,$A1408)&gt;0,1,0)</f>
        <v>0</v>
      </c>
      <c r="I1408">
        <f>IF(COUNTIFS('United Data'!$A$3:$A$3390,I$1,'United Data'!$C$3:$C$3390,$A1408)&gt;0,1,0)</f>
        <v>0</v>
      </c>
      <c r="J1408">
        <f>IF(COUNTIFS('United Data'!$A$3:$A$3390,J$1,'United Data'!$C$3:$C$3390,$A1408)&gt;0,1,0)</f>
        <v>0</v>
      </c>
      <c r="K1408">
        <f>IF(COUNTIFS('United Data'!$A$3:$A$3390,K$1,'United Data'!$C$3:$C$3390,$A1408)&gt;0,1,0)</f>
        <v>0</v>
      </c>
      <c r="L1408">
        <f>IF(COUNTIFS('United Data'!$A$3:$A$3390,L$1,'United Data'!$C$3:$C$3390,$A1408)&gt;0,1,0)</f>
        <v>0</v>
      </c>
      <c r="M1408">
        <f>IF(COUNTIFS('United Data'!$A$3:$A$3390,M$1,'United Data'!$C$3:$C$3390,$A1408)&gt;0,1,0)</f>
        <v>0</v>
      </c>
      <c r="N1408">
        <f>IF(COUNTIFS('United Data'!$A$3:$A$3390,N$1,'United Data'!$C$3:$C$3390,$A1408)&gt;0,1,0)</f>
        <v>0</v>
      </c>
      <c r="O1408">
        <f>IF(COUNTIFS('United Data'!$A$3:$A$3390,O$1,'United Data'!$C$3:$C$3390,$A1408)&gt;0,1,0)</f>
        <v>0</v>
      </c>
      <c r="P1408">
        <f>IF(COUNTIFS('United Data'!$A$3:$A$3390,P$1,'United Data'!$C$3:$C$3390,$A1408)&gt;0,1,0)</f>
        <v>0</v>
      </c>
      <c r="Q1408">
        <f>IF(COUNTIFS('United Data'!$A$3:$A$3390,Q$1,'United Data'!$C$3:$C$3390,$A1408)&gt;0,1,0)</f>
        <v>0</v>
      </c>
      <c r="R1408">
        <f>IF(COUNTIFS('United Data'!$A$3:$A$3390,R$1,'United Data'!$C$3:$C$3390,$A1408)&gt;0,1,0)</f>
        <v>0</v>
      </c>
      <c r="S1408">
        <f t="shared" si="42"/>
        <v>1</v>
      </c>
      <c r="T1408">
        <f t="shared" si="43"/>
        <v>1</v>
      </c>
    </row>
    <row r="1409" spans="1:20" x14ac:dyDescent="0.2">
      <c r="A1409" t="s">
        <v>1673</v>
      </c>
      <c r="B1409">
        <f>IF(COUNTIFS('United Data'!$A$3:$A$3390,B$1,'United Data'!$C$3:$C$3390,$A1409)&gt;0,1,0)</f>
        <v>1</v>
      </c>
      <c r="C1409">
        <f>IF(COUNTIFS('United Data'!$A$3:$A$3390,C$1,'United Data'!$C$3:$C$3390,$A1409)&gt;0,1,0)</f>
        <v>0</v>
      </c>
      <c r="D1409">
        <f>IF(COUNTIFS('United Data'!$A$3:$A$3390,D$1,'United Data'!$C$3:$C$3390,$A1409)&gt;0,1,0)</f>
        <v>0</v>
      </c>
      <c r="E1409">
        <f>IF(COUNTIFS('United Data'!$A$3:$A$3390,E$1,'United Data'!$C$3:$C$3390,$A1409)&gt;0,1,0)</f>
        <v>0</v>
      </c>
      <c r="F1409">
        <f>IF(COUNTIFS('United Data'!$A$3:$A$3390,F$1,'United Data'!$C$3:$C$3390,$A1409)&gt;0,1,0)</f>
        <v>0</v>
      </c>
      <c r="G1409">
        <f>IF(COUNTIFS('United Data'!$A$3:$A$3390,G$1,'United Data'!$C$3:$C$3390,$A1409)&gt;0,1,0)</f>
        <v>0</v>
      </c>
      <c r="H1409">
        <f>IF(COUNTIFS('United Data'!$A$3:$A$3390,H$1,'United Data'!$C$3:$C$3390,$A1409)&gt;0,1,0)</f>
        <v>0</v>
      </c>
      <c r="I1409">
        <f>IF(COUNTIFS('United Data'!$A$3:$A$3390,I$1,'United Data'!$C$3:$C$3390,$A1409)&gt;0,1,0)</f>
        <v>0</v>
      </c>
      <c r="J1409">
        <f>IF(COUNTIFS('United Data'!$A$3:$A$3390,J$1,'United Data'!$C$3:$C$3390,$A1409)&gt;0,1,0)</f>
        <v>0</v>
      </c>
      <c r="K1409">
        <f>IF(COUNTIFS('United Data'!$A$3:$A$3390,K$1,'United Data'!$C$3:$C$3390,$A1409)&gt;0,1,0)</f>
        <v>0</v>
      </c>
      <c r="L1409">
        <f>IF(COUNTIFS('United Data'!$A$3:$A$3390,L$1,'United Data'!$C$3:$C$3390,$A1409)&gt;0,1,0)</f>
        <v>0</v>
      </c>
      <c r="M1409">
        <f>IF(COUNTIFS('United Data'!$A$3:$A$3390,M$1,'United Data'!$C$3:$C$3390,$A1409)&gt;0,1,0)</f>
        <v>0</v>
      </c>
      <c r="N1409">
        <f>IF(COUNTIFS('United Data'!$A$3:$A$3390,N$1,'United Data'!$C$3:$C$3390,$A1409)&gt;0,1,0)</f>
        <v>0</v>
      </c>
      <c r="O1409">
        <f>IF(COUNTIFS('United Data'!$A$3:$A$3390,O$1,'United Data'!$C$3:$C$3390,$A1409)&gt;0,1,0)</f>
        <v>0</v>
      </c>
      <c r="P1409">
        <f>IF(COUNTIFS('United Data'!$A$3:$A$3390,P$1,'United Data'!$C$3:$C$3390,$A1409)&gt;0,1,0)</f>
        <v>0</v>
      </c>
      <c r="Q1409">
        <f>IF(COUNTIFS('United Data'!$A$3:$A$3390,Q$1,'United Data'!$C$3:$C$3390,$A1409)&gt;0,1,0)</f>
        <v>0</v>
      </c>
      <c r="R1409">
        <f>IF(COUNTIFS('United Data'!$A$3:$A$3390,R$1,'United Data'!$C$3:$C$3390,$A1409)&gt;0,1,0)</f>
        <v>0</v>
      </c>
      <c r="S1409">
        <f t="shared" si="42"/>
        <v>1</v>
      </c>
      <c r="T1409">
        <f t="shared" si="43"/>
        <v>1</v>
      </c>
    </row>
    <row r="1410" spans="1:20" x14ac:dyDescent="0.2">
      <c r="A1410" t="s">
        <v>1674</v>
      </c>
      <c r="B1410">
        <f>IF(COUNTIFS('United Data'!$A$3:$A$3390,B$1,'United Data'!$C$3:$C$3390,$A1410)&gt;0,1,0)</f>
        <v>1</v>
      </c>
      <c r="C1410">
        <f>IF(COUNTIFS('United Data'!$A$3:$A$3390,C$1,'United Data'!$C$3:$C$3390,$A1410)&gt;0,1,0)</f>
        <v>1</v>
      </c>
      <c r="D1410">
        <f>IF(COUNTIFS('United Data'!$A$3:$A$3390,D$1,'United Data'!$C$3:$C$3390,$A1410)&gt;0,1,0)</f>
        <v>1</v>
      </c>
      <c r="E1410">
        <f>IF(COUNTIFS('United Data'!$A$3:$A$3390,E$1,'United Data'!$C$3:$C$3390,$A1410)&gt;0,1,0)</f>
        <v>1</v>
      </c>
      <c r="F1410">
        <f>IF(COUNTIFS('United Data'!$A$3:$A$3390,F$1,'United Data'!$C$3:$C$3390,$A1410)&gt;0,1,0)</f>
        <v>1</v>
      </c>
      <c r="G1410">
        <f>IF(COUNTIFS('United Data'!$A$3:$A$3390,G$1,'United Data'!$C$3:$C$3390,$A1410)&gt;0,1,0)</f>
        <v>0</v>
      </c>
      <c r="H1410">
        <f>IF(COUNTIFS('United Data'!$A$3:$A$3390,H$1,'United Data'!$C$3:$C$3390,$A1410)&gt;0,1,0)</f>
        <v>0</v>
      </c>
      <c r="I1410">
        <f>IF(COUNTIFS('United Data'!$A$3:$A$3390,I$1,'United Data'!$C$3:$C$3390,$A1410)&gt;0,1,0)</f>
        <v>0</v>
      </c>
      <c r="J1410">
        <f>IF(COUNTIFS('United Data'!$A$3:$A$3390,J$1,'United Data'!$C$3:$C$3390,$A1410)&gt;0,1,0)</f>
        <v>0</v>
      </c>
      <c r="K1410">
        <f>IF(COUNTIFS('United Data'!$A$3:$A$3390,K$1,'United Data'!$C$3:$C$3390,$A1410)&gt;0,1,0)</f>
        <v>0</v>
      </c>
      <c r="L1410">
        <f>IF(COUNTIFS('United Data'!$A$3:$A$3390,L$1,'United Data'!$C$3:$C$3390,$A1410)&gt;0,1,0)</f>
        <v>0</v>
      </c>
      <c r="M1410">
        <f>IF(COUNTIFS('United Data'!$A$3:$A$3390,M$1,'United Data'!$C$3:$C$3390,$A1410)&gt;0,1,0)</f>
        <v>0</v>
      </c>
      <c r="N1410">
        <f>IF(COUNTIFS('United Data'!$A$3:$A$3390,N$1,'United Data'!$C$3:$C$3390,$A1410)&gt;0,1,0)</f>
        <v>0</v>
      </c>
      <c r="O1410">
        <f>IF(COUNTIFS('United Data'!$A$3:$A$3390,O$1,'United Data'!$C$3:$C$3390,$A1410)&gt;0,1,0)</f>
        <v>0</v>
      </c>
      <c r="P1410">
        <f>IF(COUNTIFS('United Data'!$A$3:$A$3390,P$1,'United Data'!$C$3:$C$3390,$A1410)&gt;0,1,0)</f>
        <v>1</v>
      </c>
      <c r="Q1410">
        <f>IF(COUNTIFS('United Data'!$A$3:$A$3390,Q$1,'United Data'!$C$3:$C$3390,$A1410)&gt;0,1,0)</f>
        <v>0</v>
      </c>
      <c r="R1410">
        <f>IF(COUNTIFS('United Data'!$A$3:$A$3390,R$1,'United Data'!$C$3:$C$3390,$A1410)&gt;0,1,0)</f>
        <v>0</v>
      </c>
      <c r="S1410">
        <f t="shared" ref="S1410:S1473" si="44">SUM(B1410:R1410)</f>
        <v>6</v>
      </c>
      <c r="T1410">
        <f t="shared" ref="T1410:T1473" si="45">B1410+SUMPRODUCT(--(C1410:R1410&gt;B1410:Q1410))</f>
        <v>2</v>
      </c>
    </row>
    <row r="1411" spans="1:20" x14ac:dyDescent="0.2">
      <c r="A1411" t="s">
        <v>1675</v>
      </c>
      <c r="B1411">
        <f>IF(COUNTIFS('United Data'!$A$3:$A$3390,B$1,'United Data'!$C$3:$C$3390,$A1411)&gt;0,1,0)</f>
        <v>1</v>
      </c>
      <c r="C1411">
        <f>IF(COUNTIFS('United Data'!$A$3:$A$3390,C$1,'United Data'!$C$3:$C$3390,$A1411)&gt;0,1,0)</f>
        <v>1</v>
      </c>
      <c r="D1411">
        <f>IF(COUNTIFS('United Data'!$A$3:$A$3390,D$1,'United Data'!$C$3:$C$3390,$A1411)&gt;0,1,0)</f>
        <v>1</v>
      </c>
      <c r="E1411">
        <f>IF(COUNTIFS('United Data'!$A$3:$A$3390,E$1,'United Data'!$C$3:$C$3390,$A1411)&gt;0,1,0)</f>
        <v>0</v>
      </c>
      <c r="F1411">
        <f>IF(COUNTIFS('United Data'!$A$3:$A$3390,F$1,'United Data'!$C$3:$C$3390,$A1411)&gt;0,1,0)</f>
        <v>0</v>
      </c>
      <c r="G1411">
        <f>IF(COUNTIFS('United Data'!$A$3:$A$3390,G$1,'United Data'!$C$3:$C$3390,$A1411)&gt;0,1,0)</f>
        <v>0</v>
      </c>
      <c r="H1411">
        <f>IF(COUNTIFS('United Data'!$A$3:$A$3390,H$1,'United Data'!$C$3:$C$3390,$A1411)&gt;0,1,0)</f>
        <v>0</v>
      </c>
      <c r="I1411">
        <f>IF(COUNTIFS('United Data'!$A$3:$A$3390,I$1,'United Data'!$C$3:$C$3390,$A1411)&gt;0,1,0)</f>
        <v>0</v>
      </c>
      <c r="J1411">
        <f>IF(COUNTIFS('United Data'!$A$3:$A$3390,J$1,'United Data'!$C$3:$C$3390,$A1411)&gt;0,1,0)</f>
        <v>0</v>
      </c>
      <c r="K1411">
        <f>IF(COUNTIFS('United Data'!$A$3:$A$3390,K$1,'United Data'!$C$3:$C$3390,$A1411)&gt;0,1,0)</f>
        <v>0</v>
      </c>
      <c r="L1411">
        <f>IF(COUNTIFS('United Data'!$A$3:$A$3390,L$1,'United Data'!$C$3:$C$3390,$A1411)&gt;0,1,0)</f>
        <v>0</v>
      </c>
      <c r="M1411">
        <f>IF(COUNTIFS('United Data'!$A$3:$A$3390,M$1,'United Data'!$C$3:$C$3390,$A1411)&gt;0,1,0)</f>
        <v>0</v>
      </c>
      <c r="N1411">
        <f>IF(COUNTIFS('United Data'!$A$3:$A$3390,N$1,'United Data'!$C$3:$C$3390,$A1411)&gt;0,1,0)</f>
        <v>0</v>
      </c>
      <c r="O1411">
        <f>IF(COUNTIFS('United Data'!$A$3:$A$3390,O$1,'United Data'!$C$3:$C$3390,$A1411)&gt;0,1,0)</f>
        <v>0</v>
      </c>
      <c r="P1411">
        <f>IF(COUNTIFS('United Data'!$A$3:$A$3390,P$1,'United Data'!$C$3:$C$3390,$A1411)&gt;0,1,0)</f>
        <v>0</v>
      </c>
      <c r="Q1411">
        <f>IF(COUNTIFS('United Data'!$A$3:$A$3390,Q$1,'United Data'!$C$3:$C$3390,$A1411)&gt;0,1,0)</f>
        <v>0</v>
      </c>
      <c r="R1411">
        <f>IF(COUNTIFS('United Data'!$A$3:$A$3390,R$1,'United Data'!$C$3:$C$3390,$A1411)&gt;0,1,0)</f>
        <v>0</v>
      </c>
      <c r="S1411">
        <f t="shared" si="44"/>
        <v>3</v>
      </c>
      <c r="T1411">
        <f t="shared" si="45"/>
        <v>1</v>
      </c>
    </row>
    <row r="1412" spans="1:20" x14ac:dyDescent="0.2">
      <c r="A1412" t="s">
        <v>1676</v>
      </c>
      <c r="B1412">
        <f>IF(COUNTIFS('United Data'!$A$3:$A$3390,B$1,'United Data'!$C$3:$C$3390,$A1412)&gt;0,1,0)</f>
        <v>1</v>
      </c>
      <c r="C1412">
        <f>IF(COUNTIFS('United Data'!$A$3:$A$3390,C$1,'United Data'!$C$3:$C$3390,$A1412)&gt;0,1,0)</f>
        <v>0</v>
      </c>
      <c r="D1412">
        <f>IF(COUNTIFS('United Data'!$A$3:$A$3390,D$1,'United Data'!$C$3:$C$3390,$A1412)&gt;0,1,0)</f>
        <v>0</v>
      </c>
      <c r="E1412">
        <f>IF(COUNTIFS('United Data'!$A$3:$A$3390,E$1,'United Data'!$C$3:$C$3390,$A1412)&gt;0,1,0)</f>
        <v>1</v>
      </c>
      <c r="F1412">
        <f>IF(COUNTIFS('United Data'!$A$3:$A$3390,F$1,'United Data'!$C$3:$C$3390,$A1412)&gt;0,1,0)</f>
        <v>1</v>
      </c>
      <c r="G1412">
        <f>IF(COUNTIFS('United Data'!$A$3:$A$3390,G$1,'United Data'!$C$3:$C$3390,$A1412)&gt;0,1,0)</f>
        <v>1</v>
      </c>
      <c r="H1412">
        <f>IF(COUNTIFS('United Data'!$A$3:$A$3390,H$1,'United Data'!$C$3:$C$3390,$A1412)&gt;0,1,0)</f>
        <v>0</v>
      </c>
      <c r="I1412">
        <f>IF(COUNTIFS('United Data'!$A$3:$A$3390,I$1,'United Data'!$C$3:$C$3390,$A1412)&gt;0,1,0)</f>
        <v>0</v>
      </c>
      <c r="J1412">
        <f>IF(COUNTIFS('United Data'!$A$3:$A$3390,J$1,'United Data'!$C$3:$C$3390,$A1412)&gt;0,1,0)</f>
        <v>0</v>
      </c>
      <c r="K1412">
        <f>IF(COUNTIFS('United Data'!$A$3:$A$3390,K$1,'United Data'!$C$3:$C$3390,$A1412)&gt;0,1,0)</f>
        <v>0</v>
      </c>
      <c r="L1412">
        <f>IF(COUNTIFS('United Data'!$A$3:$A$3390,L$1,'United Data'!$C$3:$C$3390,$A1412)&gt;0,1,0)</f>
        <v>0</v>
      </c>
      <c r="M1412">
        <f>IF(COUNTIFS('United Data'!$A$3:$A$3390,M$1,'United Data'!$C$3:$C$3390,$A1412)&gt;0,1,0)</f>
        <v>0</v>
      </c>
      <c r="N1412">
        <f>IF(COUNTIFS('United Data'!$A$3:$A$3390,N$1,'United Data'!$C$3:$C$3390,$A1412)&gt;0,1,0)</f>
        <v>0</v>
      </c>
      <c r="O1412">
        <f>IF(COUNTIFS('United Data'!$A$3:$A$3390,O$1,'United Data'!$C$3:$C$3390,$A1412)&gt;0,1,0)</f>
        <v>0</v>
      </c>
      <c r="P1412">
        <f>IF(COUNTIFS('United Data'!$A$3:$A$3390,P$1,'United Data'!$C$3:$C$3390,$A1412)&gt;0,1,0)</f>
        <v>0</v>
      </c>
      <c r="Q1412">
        <f>IF(COUNTIFS('United Data'!$A$3:$A$3390,Q$1,'United Data'!$C$3:$C$3390,$A1412)&gt;0,1,0)</f>
        <v>0</v>
      </c>
      <c r="R1412">
        <f>IF(COUNTIFS('United Data'!$A$3:$A$3390,R$1,'United Data'!$C$3:$C$3390,$A1412)&gt;0,1,0)</f>
        <v>0</v>
      </c>
      <c r="S1412">
        <f t="shared" si="44"/>
        <v>4</v>
      </c>
      <c r="T1412">
        <f t="shared" si="45"/>
        <v>2</v>
      </c>
    </row>
    <row r="1413" spans="1:20" x14ac:dyDescent="0.2">
      <c r="A1413" t="s">
        <v>1677</v>
      </c>
      <c r="B1413">
        <f>IF(COUNTIFS('United Data'!$A$3:$A$3390,B$1,'United Data'!$C$3:$C$3390,$A1413)&gt;0,1,0)</f>
        <v>1</v>
      </c>
      <c r="C1413">
        <f>IF(COUNTIFS('United Data'!$A$3:$A$3390,C$1,'United Data'!$C$3:$C$3390,$A1413)&gt;0,1,0)</f>
        <v>0</v>
      </c>
      <c r="D1413">
        <f>IF(COUNTIFS('United Data'!$A$3:$A$3390,D$1,'United Data'!$C$3:$C$3390,$A1413)&gt;0,1,0)</f>
        <v>0</v>
      </c>
      <c r="E1413">
        <f>IF(COUNTIFS('United Data'!$A$3:$A$3390,E$1,'United Data'!$C$3:$C$3390,$A1413)&gt;0,1,0)</f>
        <v>0</v>
      </c>
      <c r="F1413">
        <f>IF(COUNTIFS('United Data'!$A$3:$A$3390,F$1,'United Data'!$C$3:$C$3390,$A1413)&gt;0,1,0)</f>
        <v>0</v>
      </c>
      <c r="G1413">
        <f>IF(COUNTIFS('United Data'!$A$3:$A$3390,G$1,'United Data'!$C$3:$C$3390,$A1413)&gt;0,1,0)</f>
        <v>0</v>
      </c>
      <c r="H1413">
        <f>IF(COUNTIFS('United Data'!$A$3:$A$3390,H$1,'United Data'!$C$3:$C$3390,$A1413)&gt;0,1,0)</f>
        <v>0</v>
      </c>
      <c r="I1413">
        <f>IF(COUNTIFS('United Data'!$A$3:$A$3390,I$1,'United Data'!$C$3:$C$3390,$A1413)&gt;0,1,0)</f>
        <v>0</v>
      </c>
      <c r="J1413">
        <f>IF(COUNTIFS('United Data'!$A$3:$A$3390,J$1,'United Data'!$C$3:$C$3390,$A1413)&gt;0,1,0)</f>
        <v>0</v>
      </c>
      <c r="K1413">
        <f>IF(COUNTIFS('United Data'!$A$3:$A$3390,K$1,'United Data'!$C$3:$C$3390,$A1413)&gt;0,1,0)</f>
        <v>0</v>
      </c>
      <c r="L1413">
        <f>IF(COUNTIFS('United Data'!$A$3:$A$3390,L$1,'United Data'!$C$3:$C$3390,$A1413)&gt;0,1,0)</f>
        <v>0</v>
      </c>
      <c r="M1413">
        <f>IF(COUNTIFS('United Data'!$A$3:$A$3390,M$1,'United Data'!$C$3:$C$3390,$A1413)&gt;0,1,0)</f>
        <v>0</v>
      </c>
      <c r="N1413">
        <f>IF(COUNTIFS('United Data'!$A$3:$A$3390,N$1,'United Data'!$C$3:$C$3390,$A1413)&gt;0,1,0)</f>
        <v>0</v>
      </c>
      <c r="O1413">
        <f>IF(COUNTIFS('United Data'!$A$3:$A$3390,O$1,'United Data'!$C$3:$C$3390,$A1413)&gt;0,1,0)</f>
        <v>0</v>
      </c>
      <c r="P1413">
        <f>IF(COUNTIFS('United Data'!$A$3:$A$3390,P$1,'United Data'!$C$3:$C$3390,$A1413)&gt;0,1,0)</f>
        <v>0</v>
      </c>
      <c r="Q1413">
        <f>IF(COUNTIFS('United Data'!$A$3:$A$3390,Q$1,'United Data'!$C$3:$C$3390,$A1413)&gt;0,1,0)</f>
        <v>0</v>
      </c>
      <c r="R1413">
        <f>IF(COUNTIFS('United Data'!$A$3:$A$3390,R$1,'United Data'!$C$3:$C$3390,$A1413)&gt;0,1,0)</f>
        <v>0</v>
      </c>
      <c r="S1413">
        <f t="shared" si="44"/>
        <v>1</v>
      </c>
      <c r="T1413">
        <f t="shared" si="45"/>
        <v>1</v>
      </c>
    </row>
    <row r="1414" spans="1:20" x14ac:dyDescent="0.2">
      <c r="A1414" t="s">
        <v>1678</v>
      </c>
      <c r="B1414">
        <f>IF(COUNTIFS('United Data'!$A$3:$A$3390,B$1,'United Data'!$C$3:$C$3390,$A1414)&gt;0,1,0)</f>
        <v>1</v>
      </c>
      <c r="C1414">
        <f>IF(COUNTIFS('United Data'!$A$3:$A$3390,C$1,'United Data'!$C$3:$C$3390,$A1414)&gt;0,1,0)</f>
        <v>0</v>
      </c>
      <c r="D1414">
        <f>IF(COUNTIFS('United Data'!$A$3:$A$3390,D$1,'United Data'!$C$3:$C$3390,$A1414)&gt;0,1,0)</f>
        <v>0</v>
      </c>
      <c r="E1414">
        <f>IF(COUNTIFS('United Data'!$A$3:$A$3390,E$1,'United Data'!$C$3:$C$3390,$A1414)&gt;0,1,0)</f>
        <v>1</v>
      </c>
      <c r="F1414">
        <f>IF(COUNTIFS('United Data'!$A$3:$A$3390,F$1,'United Data'!$C$3:$C$3390,$A1414)&gt;0,1,0)</f>
        <v>0</v>
      </c>
      <c r="G1414">
        <f>IF(COUNTIFS('United Data'!$A$3:$A$3390,G$1,'United Data'!$C$3:$C$3390,$A1414)&gt;0,1,0)</f>
        <v>0</v>
      </c>
      <c r="H1414">
        <f>IF(COUNTIFS('United Data'!$A$3:$A$3390,H$1,'United Data'!$C$3:$C$3390,$A1414)&gt;0,1,0)</f>
        <v>0</v>
      </c>
      <c r="I1414">
        <f>IF(COUNTIFS('United Data'!$A$3:$A$3390,I$1,'United Data'!$C$3:$C$3390,$A1414)&gt;0,1,0)</f>
        <v>0</v>
      </c>
      <c r="J1414">
        <f>IF(COUNTIFS('United Data'!$A$3:$A$3390,J$1,'United Data'!$C$3:$C$3390,$A1414)&gt;0,1,0)</f>
        <v>0</v>
      </c>
      <c r="K1414">
        <f>IF(COUNTIFS('United Data'!$A$3:$A$3390,K$1,'United Data'!$C$3:$C$3390,$A1414)&gt;0,1,0)</f>
        <v>0</v>
      </c>
      <c r="L1414">
        <f>IF(COUNTIFS('United Data'!$A$3:$A$3390,L$1,'United Data'!$C$3:$C$3390,$A1414)&gt;0,1,0)</f>
        <v>0</v>
      </c>
      <c r="M1414">
        <f>IF(COUNTIFS('United Data'!$A$3:$A$3390,M$1,'United Data'!$C$3:$C$3390,$A1414)&gt;0,1,0)</f>
        <v>0</v>
      </c>
      <c r="N1414">
        <f>IF(COUNTIFS('United Data'!$A$3:$A$3390,N$1,'United Data'!$C$3:$C$3390,$A1414)&gt;0,1,0)</f>
        <v>0</v>
      </c>
      <c r="O1414">
        <f>IF(COUNTIFS('United Data'!$A$3:$A$3390,O$1,'United Data'!$C$3:$C$3390,$A1414)&gt;0,1,0)</f>
        <v>0</v>
      </c>
      <c r="P1414">
        <f>IF(COUNTIFS('United Data'!$A$3:$A$3390,P$1,'United Data'!$C$3:$C$3390,$A1414)&gt;0,1,0)</f>
        <v>0</v>
      </c>
      <c r="Q1414">
        <f>IF(COUNTIFS('United Data'!$A$3:$A$3390,Q$1,'United Data'!$C$3:$C$3390,$A1414)&gt;0,1,0)</f>
        <v>0</v>
      </c>
      <c r="R1414">
        <f>IF(COUNTIFS('United Data'!$A$3:$A$3390,R$1,'United Data'!$C$3:$C$3390,$A1414)&gt;0,1,0)</f>
        <v>0</v>
      </c>
      <c r="S1414">
        <f t="shared" si="44"/>
        <v>2</v>
      </c>
      <c r="T1414">
        <f t="shared" si="45"/>
        <v>2</v>
      </c>
    </row>
    <row r="1415" spans="1:20" x14ac:dyDescent="0.2">
      <c r="A1415" t="s">
        <v>1679</v>
      </c>
      <c r="B1415">
        <f>IF(COUNTIFS('United Data'!$A$3:$A$3390,B$1,'United Data'!$C$3:$C$3390,$A1415)&gt;0,1,0)</f>
        <v>1</v>
      </c>
      <c r="C1415">
        <f>IF(COUNTIFS('United Data'!$A$3:$A$3390,C$1,'United Data'!$C$3:$C$3390,$A1415)&gt;0,1,0)</f>
        <v>1</v>
      </c>
      <c r="D1415">
        <f>IF(COUNTIFS('United Data'!$A$3:$A$3390,D$1,'United Data'!$C$3:$C$3390,$A1415)&gt;0,1,0)</f>
        <v>1</v>
      </c>
      <c r="E1415">
        <f>IF(COUNTIFS('United Data'!$A$3:$A$3390,E$1,'United Data'!$C$3:$C$3390,$A1415)&gt;0,1,0)</f>
        <v>0</v>
      </c>
      <c r="F1415">
        <f>IF(COUNTIFS('United Data'!$A$3:$A$3390,F$1,'United Data'!$C$3:$C$3390,$A1415)&gt;0,1,0)</f>
        <v>0</v>
      </c>
      <c r="G1415">
        <f>IF(COUNTIFS('United Data'!$A$3:$A$3390,G$1,'United Data'!$C$3:$C$3390,$A1415)&gt;0,1,0)</f>
        <v>0</v>
      </c>
      <c r="H1415">
        <f>IF(COUNTIFS('United Data'!$A$3:$A$3390,H$1,'United Data'!$C$3:$C$3390,$A1415)&gt;0,1,0)</f>
        <v>0</v>
      </c>
      <c r="I1415">
        <f>IF(COUNTIFS('United Data'!$A$3:$A$3390,I$1,'United Data'!$C$3:$C$3390,$A1415)&gt;0,1,0)</f>
        <v>0</v>
      </c>
      <c r="J1415">
        <f>IF(COUNTIFS('United Data'!$A$3:$A$3390,J$1,'United Data'!$C$3:$C$3390,$A1415)&gt;0,1,0)</f>
        <v>0</v>
      </c>
      <c r="K1415">
        <f>IF(COUNTIFS('United Data'!$A$3:$A$3390,K$1,'United Data'!$C$3:$C$3390,$A1415)&gt;0,1,0)</f>
        <v>0</v>
      </c>
      <c r="L1415">
        <f>IF(COUNTIFS('United Data'!$A$3:$A$3390,L$1,'United Data'!$C$3:$C$3390,$A1415)&gt;0,1,0)</f>
        <v>0</v>
      </c>
      <c r="M1415">
        <f>IF(COUNTIFS('United Data'!$A$3:$A$3390,M$1,'United Data'!$C$3:$C$3390,$A1415)&gt;0,1,0)</f>
        <v>0</v>
      </c>
      <c r="N1415">
        <f>IF(COUNTIFS('United Data'!$A$3:$A$3390,N$1,'United Data'!$C$3:$C$3390,$A1415)&gt;0,1,0)</f>
        <v>0</v>
      </c>
      <c r="O1415">
        <f>IF(COUNTIFS('United Data'!$A$3:$A$3390,O$1,'United Data'!$C$3:$C$3390,$A1415)&gt;0,1,0)</f>
        <v>0</v>
      </c>
      <c r="P1415">
        <f>IF(COUNTIFS('United Data'!$A$3:$A$3390,P$1,'United Data'!$C$3:$C$3390,$A1415)&gt;0,1,0)</f>
        <v>0</v>
      </c>
      <c r="Q1415">
        <f>IF(COUNTIFS('United Data'!$A$3:$A$3390,Q$1,'United Data'!$C$3:$C$3390,$A1415)&gt;0,1,0)</f>
        <v>0</v>
      </c>
      <c r="R1415">
        <f>IF(COUNTIFS('United Data'!$A$3:$A$3390,R$1,'United Data'!$C$3:$C$3390,$A1415)&gt;0,1,0)</f>
        <v>0</v>
      </c>
      <c r="S1415">
        <f t="shared" si="44"/>
        <v>3</v>
      </c>
      <c r="T1415">
        <f t="shared" si="45"/>
        <v>1</v>
      </c>
    </row>
    <row r="1416" spans="1:20" x14ac:dyDescent="0.2">
      <c r="A1416" t="s">
        <v>1680</v>
      </c>
      <c r="B1416">
        <f>IF(COUNTIFS('United Data'!$A$3:$A$3390,B$1,'United Data'!$C$3:$C$3390,$A1416)&gt;0,1,0)</f>
        <v>0</v>
      </c>
      <c r="C1416">
        <f>IF(COUNTIFS('United Data'!$A$3:$A$3390,C$1,'United Data'!$C$3:$C$3390,$A1416)&gt;0,1,0)</f>
        <v>0</v>
      </c>
      <c r="D1416">
        <f>IF(COUNTIFS('United Data'!$A$3:$A$3390,D$1,'United Data'!$C$3:$C$3390,$A1416)&gt;0,1,0)</f>
        <v>1</v>
      </c>
      <c r="E1416">
        <f>IF(COUNTIFS('United Data'!$A$3:$A$3390,E$1,'United Data'!$C$3:$C$3390,$A1416)&gt;0,1,0)</f>
        <v>0</v>
      </c>
      <c r="F1416">
        <f>IF(COUNTIFS('United Data'!$A$3:$A$3390,F$1,'United Data'!$C$3:$C$3390,$A1416)&gt;0,1,0)</f>
        <v>0</v>
      </c>
      <c r="G1416">
        <f>IF(COUNTIFS('United Data'!$A$3:$A$3390,G$1,'United Data'!$C$3:$C$3390,$A1416)&gt;0,1,0)</f>
        <v>0</v>
      </c>
      <c r="H1416">
        <f>IF(COUNTIFS('United Data'!$A$3:$A$3390,H$1,'United Data'!$C$3:$C$3390,$A1416)&gt;0,1,0)</f>
        <v>0</v>
      </c>
      <c r="I1416">
        <f>IF(COUNTIFS('United Data'!$A$3:$A$3390,I$1,'United Data'!$C$3:$C$3390,$A1416)&gt;0,1,0)</f>
        <v>0</v>
      </c>
      <c r="J1416">
        <f>IF(COUNTIFS('United Data'!$A$3:$A$3390,J$1,'United Data'!$C$3:$C$3390,$A1416)&gt;0,1,0)</f>
        <v>0</v>
      </c>
      <c r="K1416">
        <f>IF(COUNTIFS('United Data'!$A$3:$A$3390,K$1,'United Data'!$C$3:$C$3390,$A1416)&gt;0,1,0)</f>
        <v>0</v>
      </c>
      <c r="L1416">
        <f>IF(COUNTIFS('United Data'!$A$3:$A$3390,L$1,'United Data'!$C$3:$C$3390,$A1416)&gt;0,1,0)</f>
        <v>0</v>
      </c>
      <c r="M1416">
        <f>IF(COUNTIFS('United Data'!$A$3:$A$3390,M$1,'United Data'!$C$3:$C$3390,$A1416)&gt;0,1,0)</f>
        <v>0</v>
      </c>
      <c r="N1416">
        <f>IF(COUNTIFS('United Data'!$A$3:$A$3390,N$1,'United Data'!$C$3:$C$3390,$A1416)&gt;0,1,0)</f>
        <v>0</v>
      </c>
      <c r="O1416">
        <f>IF(COUNTIFS('United Data'!$A$3:$A$3390,O$1,'United Data'!$C$3:$C$3390,$A1416)&gt;0,1,0)</f>
        <v>0</v>
      </c>
      <c r="P1416">
        <f>IF(COUNTIFS('United Data'!$A$3:$A$3390,P$1,'United Data'!$C$3:$C$3390,$A1416)&gt;0,1,0)</f>
        <v>0</v>
      </c>
      <c r="Q1416">
        <f>IF(COUNTIFS('United Data'!$A$3:$A$3390,Q$1,'United Data'!$C$3:$C$3390,$A1416)&gt;0,1,0)</f>
        <v>0</v>
      </c>
      <c r="R1416">
        <f>IF(COUNTIFS('United Data'!$A$3:$A$3390,R$1,'United Data'!$C$3:$C$3390,$A1416)&gt;0,1,0)</f>
        <v>0</v>
      </c>
      <c r="S1416">
        <f t="shared" si="44"/>
        <v>1</v>
      </c>
      <c r="T1416">
        <f t="shared" si="45"/>
        <v>1</v>
      </c>
    </row>
    <row r="1417" spans="1:20" x14ac:dyDescent="0.2">
      <c r="A1417" t="s">
        <v>1681</v>
      </c>
      <c r="B1417">
        <f>IF(COUNTIFS('United Data'!$A$3:$A$3390,B$1,'United Data'!$C$3:$C$3390,$A1417)&gt;0,1,0)</f>
        <v>0</v>
      </c>
      <c r="C1417">
        <f>IF(COUNTIFS('United Data'!$A$3:$A$3390,C$1,'United Data'!$C$3:$C$3390,$A1417)&gt;0,1,0)</f>
        <v>0</v>
      </c>
      <c r="D1417">
        <f>IF(COUNTIFS('United Data'!$A$3:$A$3390,D$1,'United Data'!$C$3:$C$3390,$A1417)&gt;0,1,0)</f>
        <v>1</v>
      </c>
      <c r="E1417">
        <f>IF(COUNTIFS('United Data'!$A$3:$A$3390,E$1,'United Data'!$C$3:$C$3390,$A1417)&gt;0,1,0)</f>
        <v>1</v>
      </c>
      <c r="F1417">
        <f>IF(COUNTIFS('United Data'!$A$3:$A$3390,F$1,'United Data'!$C$3:$C$3390,$A1417)&gt;0,1,0)</f>
        <v>1</v>
      </c>
      <c r="G1417">
        <f>IF(COUNTIFS('United Data'!$A$3:$A$3390,G$1,'United Data'!$C$3:$C$3390,$A1417)&gt;0,1,0)</f>
        <v>1</v>
      </c>
      <c r="H1417">
        <f>IF(COUNTIFS('United Data'!$A$3:$A$3390,H$1,'United Data'!$C$3:$C$3390,$A1417)&gt;0,1,0)</f>
        <v>0</v>
      </c>
      <c r="I1417">
        <f>IF(COUNTIFS('United Data'!$A$3:$A$3390,I$1,'United Data'!$C$3:$C$3390,$A1417)&gt;0,1,0)</f>
        <v>0</v>
      </c>
      <c r="J1417">
        <f>IF(COUNTIFS('United Data'!$A$3:$A$3390,J$1,'United Data'!$C$3:$C$3390,$A1417)&gt;0,1,0)</f>
        <v>0</v>
      </c>
      <c r="K1417">
        <f>IF(COUNTIFS('United Data'!$A$3:$A$3390,K$1,'United Data'!$C$3:$C$3390,$A1417)&gt;0,1,0)</f>
        <v>0</v>
      </c>
      <c r="L1417">
        <f>IF(COUNTIFS('United Data'!$A$3:$A$3390,L$1,'United Data'!$C$3:$C$3390,$A1417)&gt;0,1,0)</f>
        <v>0</v>
      </c>
      <c r="M1417">
        <f>IF(COUNTIFS('United Data'!$A$3:$A$3390,M$1,'United Data'!$C$3:$C$3390,$A1417)&gt;0,1,0)</f>
        <v>0</v>
      </c>
      <c r="N1417">
        <f>IF(COUNTIFS('United Data'!$A$3:$A$3390,N$1,'United Data'!$C$3:$C$3390,$A1417)&gt;0,1,0)</f>
        <v>0</v>
      </c>
      <c r="O1417">
        <f>IF(COUNTIFS('United Data'!$A$3:$A$3390,O$1,'United Data'!$C$3:$C$3390,$A1417)&gt;0,1,0)</f>
        <v>0</v>
      </c>
      <c r="P1417">
        <f>IF(COUNTIFS('United Data'!$A$3:$A$3390,P$1,'United Data'!$C$3:$C$3390,$A1417)&gt;0,1,0)</f>
        <v>0</v>
      </c>
      <c r="Q1417">
        <f>IF(COUNTIFS('United Data'!$A$3:$A$3390,Q$1,'United Data'!$C$3:$C$3390,$A1417)&gt;0,1,0)</f>
        <v>0</v>
      </c>
      <c r="R1417">
        <f>IF(COUNTIFS('United Data'!$A$3:$A$3390,R$1,'United Data'!$C$3:$C$3390,$A1417)&gt;0,1,0)</f>
        <v>0</v>
      </c>
      <c r="S1417">
        <f t="shared" si="44"/>
        <v>4</v>
      </c>
      <c r="T1417">
        <f t="shared" si="45"/>
        <v>1</v>
      </c>
    </row>
    <row r="1418" spans="1:20" x14ac:dyDescent="0.2">
      <c r="A1418" t="s">
        <v>1685</v>
      </c>
      <c r="B1418">
        <f>IF(COUNTIFS('United Data'!$A$3:$A$3390,B$1,'United Data'!$C$3:$C$3390,$A1418)&gt;0,1,0)</f>
        <v>0</v>
      </c>
      <c r="C1418">
        <f>IF(COUNTIFS('United Data'!$A$3:$A$3390,C$1,'United Data'!$C$3:$C$3390,$A1418)&gt;0,1,0)</f>
        <v>0</v>
      </c>
      <c r="D1418">
        <f>IF(COUNTIFS('United Data'!$A$3:$A$3390,D$1,'United Data'!$C$3:$C$3390,$A1418)&gt;0,1,0)</f>
        <v>1</v>
      </c>
      <c r="E1418">
        <f>IF(COUNTIFS('United Data'!$A$3:$A$3390,E$1,'United Data'!$C$3:$C$3390,$A1418)&gt;0,1,0)</f>
        <v>0</v>
      </c>
      <c r="F1418">
        <f>IF(COUNTIFS('United Data'!$A$3:$A$3390,F$1,'United Data'!$C$3:$C$3390,$A1418)&gt;0,1,0)</f>
        <v>0</v>
      </c>
      <c r="G1418">
        <f>IF(COUNTIFS('United Data'!$A$3:$A$3390,G$1,'United Data'!$C$3:$C$3390,$A1418)&gt;0,1,0)</f>
        <v>0</v>
      </c>
      <c r="H1418">
        <f>IF(COUNTIFS('United Data'!$A$3:$A$3390,H$1,'United Data'!$C$3:$C$3390,$A1418)&gt;0,1,0)</f>
        <v>0</v>
      </c>
      <c r="I1418">
        <f>IF(COUNTIFS('United Data'!$A$3:$A$3390,I$1,'United Data'!$C$3:$C$3390,$A1418)&gt;0,1,0)</f>
        <v>0</v>
      </c>
      <c r="J1418">
        <f>IF(COUNTIFS('United Data'!$A$3:$A$3390,J$1,'United Data'!$C$3:$C$3390,$A1418)&gt;0,1,0)</f>
        <v>0</v>
      </c>
      <c r="K1418">
        <f>IF(COUNTIFS('United Data'!$A$3:$A$3390,K$1,'United Data'!$C$3:$C$3390,$A1418)&gt;0,1,0)</f>
        <v>0</v>
      </c>
      <c r="L1418">
        <f>IF(COUNTIFS('United Data'!$A$3:$A$3390,L$1,'United Data'!$C$3:$C$3390,$A1418)&gt;0,1,0)</f>
        <v>0</v>
      </c>
      <c r="M1418">
        <f>IF(COUNTIFS('United Data'!$A$3:$A$3390,M$1,'United Data'!$C$3:$C$3390,$A1418)&gt;0,1,0)</f>
        <v>0</v>
      </c>
      <c r="N1418">
        <f>IF(COUNTIFS('United Data'!$A$3:$A$3390,N$1,'United Data'!$C$3:$C$3390,$A1418)&gt;0,1,0)</f>
        <v>0</v>
      </c>
      <c r="O1418">
        <f>IF(COUNTIFS('United Data'!$A$3:$A$3390,O$1,'United Data'!$C$3:$C$3390,$A1418)&gt;0,1,0)</f>
        <v>0</v>
      </c>
      <c r="P1418">
        <f>IF(COUNTIFS('United Data'!$A$3:$A$3390,P$1,'United Data'!$C$3:$C$3390,$A1418)&gt;0,1,0)</f>
        <v>0</v>
      </c>
      <c r="Q1418">
        <f>IF(COUNTIFS('United Data'!$A$3:$A$3390,Q$1,'United Data'!$C$3:$C$3390,$A1418)&gt;0,1,0)</f>
        <v>0</v>
      </c>
      <c r="R1418">
        <f>IF(COUNTIFS('United Data'!$A$3:$A$3390,R$1,'United Data'!$C$3:$C$3390,$A1418)&gt;0,1,0)</f>
        <v>0</v>
      </c>
      <c r="S1418">
        <f t="shared" si="44"/>
        <v>1</v>
      </c>
      <c r="T1418">
        <f t="shared" si="45"/>
        <v>1</v>
      </c>
    </row>
    <row r="1419" spans="1:20" x14ac:dyDescent="0.2">
      <c r="A1419" t="s">
        <v>1686</v>
      </c>
      <c r="B1419">
        <f>IF(COUNTIFS('United Data'!$A$3:$A$3390,B$1,'United Data'!$C$3:$C$3390,$A1419)&gt;0,1,0)</f>
        <v>0</v>
      </c>
      <c r="C1419">
        <f>IF(COUNTIFS('United Data'!$A$3:$A$3390,C$1,'United Data'!$C$3:$C$3390,$A1419)&gt;0,1,0)</f>
        <v>0</v>
      </c>
      <c r="D1419">
        <f>IF(COUNTIFS('United Data'!$A$3:$A$3390,D$1,'United Data'!$C$3:$C$3390,$A1419)&gt;0,1,0)</f>
        <v>0</v>
      </c>
      <c r="E1419">
        <f>IF(COUNTIFS('United Data'!$A$3:$A$3390,E$1,'United Data'!$C$3:$C$3390,$A1419)&gt;0,1,0)</f>
        <v>1</v>
      </c>
      <c r="F1419">
        <f>IF(COUNTIFS('United Data'!$A$3:$A$3390,F$1,'United Data'!$C$3:$C$3390,$A1419)&gt;0,1,0)</f>
        <v>0</v>
      </c>
      <c r="G1419">
        <f>IF(COUNTIFS('United Data'!$A$3:$A$3390,G$1,'United Data'!$C$3:$C$3390,$A1419)&gt;0,1,0)</f>
        <v>0</v>
      </c>
      <c r="H1419">
        <f>IF(COUNTIFS('United Data'!$A$3:$A$3390,H$1,'United Data'!$C$3:$C$3390,$A1419)&gt;0,1,0)</f>
        <v>0</v>
      </c>
      <c r="I1419">
        <f>IF(COUNTIFS('United Data'!$A$3:$A$3390,I$1,'United Data'!$C$3:$C$3390,$A1419)&gt;0,1,0)</f>
        <v>0</v>
      </c>
      <c r="J1419">
        <f>IF(COUNTIFS('United Data'!$A$3:$A$3390,J$1,'United Data'!$C$3:$C$3390,$A1419)&gt;0,1,0)</f>
        <v>0</v>
      </c>
      <c r="K1419">
        <f>IF(COUNTIFS('United Data'!$A$3:$A$3390,K$1,'United Data'!$C$3:$C$3390,$A1419)&gt;0,1,0)</f>
        <v>0</v>
      </c>
      <c r="L1419">
        <f>IF(COUNTIFS('United Data'!$A$3:$A$3390,L$1,'United Data'!$C$3:$C$3390,$A1419)&gt;0,1,0)</f>
        <v>0</v>
      </c>
      <c r="M1419">
        <f>IF(COUNTIFS('United Data'!$A$3:$A$3390,M$1,'United Data'!$C$3:$C$3390,$A1419)&gt;0,1,0)</f>
        <v>0</v>
      </c>
      <c r="N1419">
        <f>IF(COUNTIFS('United Data'!$A$3:$A$3390,N$1,'United Data'!$C$3:$C$3390,$A1419)&gt;0,1,0)</f>
        <v>0</v>
      </c>
      <c r="O1419">
        <f>IF(COUNTIFS('United Data'!$A$3:$A$3390,O$1,'United Data'!$C$3:$C$3390,$A1419)&gt;0,1,0)</f>
        <v>0</v>
      </c>
      <c r="P1419">
        <f>IF(COUNTIFS('United Data'!$A$3:$A$3390,P$1,'United Data'!$C$3:$C$3390,$A1419)&gt;0,1,0)</f>
        <v>0</v>
      </c>
      <c r="Q1419">
        <f>IF(COUNTIFS('United Data'!$A$3:$A$3390,Q$1,'United Data'!$C$3:$C$3390,$A1419)&gt;0,1,0)</f>
        <v>0</v>
      </c>
      <c r="R1419">
        <f>IF(COUNTIFS('United Data'!$A$3:$A$3390,R$1,'United Data'!$C$3:$C$3390,$A1419)&gt;0,1,0)</f>
        <v>0</v>
      </c>
      <c r="S1419">
        <f t="shared" si="44"/>
        <v>1</v>
      </c>
      <c r="T1419">
        <f t="shared" si="45"/>
        <v>1</v>
      </c>
    </row>
    <row r="1420" spans="1:20" x14ac:dyDescent="0.2">
      <c r="A1420" t="s">
        <v>1687</v>
      </c>
      <c r="B1420">
        <f>IF(COUNTIFS('United Data'!$A$3:$A$3390,B$1,'United Data'!$C$3:$C$3390,$A1420)&gt;0,1,0)</f>
        <v>0</v>
      </c>
      <c r="C1420">
        <f>IF(COUNTIFS('United Data'!$A$3:$A$3390,C$1,'United Data'!$C$3:$C$3390,$A1420)&gt;0,1,0)</f>
        <v>0</v>
      </c>
      <c r="D1420">
        <f>IF(COUNTIFS('United Data'!$A$3:$A$3390,D$1,'United Data'!$C$3:$C$3390,$A1420)&gt;0,1,0)</f>
        <v>0</v>
      </c>
      <c r="E1420">
        <f>IF(COUNTIFS('United Data'!$A$3:$A$3390,E$1,'United Data'!$C$3:$C$3390,$A1420)&gt;0,1,0)</f>
        <v>1</v>
      </c>
      <c r="F1420">
        <f>IF(COUNTIFS('United Data'!$A$3:$A$3390,F$1,'United Data'!$C$3:$C$3390,$A1420)&gt;0,1,0)</f>
        <v>0</v>
      </c>
      <c r="G1420">
        <f>IF(COUNTIFS('United Data'!$A$3:$A$3390,G$1,'United Data'!$C$3:$C$3390,$A1420)&gt;0,1,0)</f>
        <v>0</v>
      </c>
      <c r="H1420">
        <f>IF(COUNTIFS('United Data'!$A$3:$A$3390,H$1,'United Data'!$C$3:$C$3390,$A1420)&gt;0,1,0)</f>
        <v>0</v>
      </c>
      <c r="I1420">
        <f>IF(COUNTIFS('United Data'!$A$3:$A$3390,I$1,'United Data'!$C$3:$C$3390,$A1420)&gt;0,1,0)</f>
        <v>0</v>
      </c>
      <c r="J1420">
        <f>IF(COUNTIFS('United Data'!$A$3:$A$3390,J$1,'United Data'!$C$3:$C$3390,$A1420)&gt;0,1,0)</f>
        <v>0</v>
      </c>
      <c r="K1420">
        <f>IF(COUNTIFS('United Data'!$A$3:$A$3390,K$1,'United Data'!$C$3:$C$3390,$A1420)&gt;0,1,0)</f>
        <v>0</v>
      </c>
      <c r="L1420">
        <f>IF(COUNTIFS('United Data'!$A$3:$A$3390,L$1,'United Data'!$C$3:$C$3390,$A1420)&gt;0,1,0)</f>
        <v>0</v>
      </c>
      <c r="M1420">
        <f>IF(COUNTIFS('United Data'!$A$3:$A$3390,M$1,'United Data'!$C$3:$C$3390,$A1420)&gt;0,1,0)</f>
        <v>0</v>
      </c>
      <c r="N1420">
        <f>IF(COUNTIFS('United Data'!$A$3:$A$3390,N$1,'United Data'!$C$3:$C$3390,$A1420)&gt;0,1,0)</f>
        <v>0</v>
      </c>
      <c r="O1420">
        <f>IF(COUNTIFS('United Data'!$A$3:$A$3390,O$1,'United Data'!$C$3:$C$3390,$A1420)&gt;0,1,0)</f>
        <v>0</v>
      </c>
      <c r="P1420">
        <f>IF(COUNTIFS('United Data'!$A$3:$A$3390,P$1,'United Data'!$C$3:$C$3390,$A1420)&gt;0,1,0)</f>
        <v>0</v>
      </c>
      <c r="Q1420">
        <f>IF(COUNTIFS('United Data'!$A$3:$A$3390,Q$1,'United Data'!$C$3:$C$3390,$A1420)&gt;0,1,0)</f>
        <v>0</v>
      </c>
      <c r="R1420">
        <f>IF(COUNTIFS('United Data'!$A$3:$A$3390,R$1,'United Data'!$C$3:$C$3390,$A1420)&gt;0,1,0)</f>
        <v>0</v>
      </c>
      <c r="S1420">
        <f t="shared" si="44"/>
        <v>1</v>
      </c>
      <c r="T1420">
        <f t="shared" si="45"/>
        <v>1</v>
      </c>
    </row>
    <row r="1421" spans="1:20" x14ac:dyDescent="0.2">
      <c r="A1421" t="s">
        <v>1688</v>
      </c>
      <c r="B1421">
        <f>IF(COUNTIFS('United Data'!$A$3:$A$3390,B$1,'United Data'!$C$3:$C$3390,$A1421)&gt;0,1,0)</f>
        <v>0</v>
      </c>
      <c r="C1421">
        <f>IF(COUNTIFS('United Data'!$A$3:$A$3390,C$1,'United Data'!$C$3:$C$3390,$A1421)&gt;0,1,0)</f>
        <v>0</v>
      </c>
      <c r="D1421">
        <f>IF(COUNTIFS('United Data'!$A$3:$A$3390,D$1,'United Data'!$C$3:$C$3390,$A1421)&gt;0,1,0)</f>
        <v>0</v>
      </c>
      <c r="E1421">
        <f>IF(COUNTIFS('United Data'!$A$3:$A$3390,E$1,'United Data'!$C$3:$C$3390,$A1421)&gt;0,1,0)</f>
        <v>1</v>
      </c>
      <c r="F1421">
        <f>IF(COUNTIFS('United Data'!$A$3:$A$3390,F$1,'United Data'!$C$3:$C$3390,$A1421)&gt;0,1,0)</f>
        <v>0</v>
      </c>
      <c r="G1421">
        <f>IF(COUNTIFS('United Data'!$A$3:$A$3390,G$1,'United Data'!$C$3:$C$3390,$A1421)&gt;0,1,0)</f>
        <v>0</v>
      </c>
      <c r="H1421">
        <f>IF(COUNTIFS('United Data'!$A$3:$A$3390,H$1,'United Data'!$C$3:$C$3390,$A1421)&gt;0,1,0)</f>
        <v>0</v>
      </c>
      <c r="I1421">
        <f>IF(COUNTIFS('United Data'!$A$3:$A$3390,I$1,'United Data'!$C$3:$C$3390,$A1421)&gt;0,1,0)</f>
        <v>0</v>
      </c>
      <c r="J1421">
        <f>IF(COUNTIFS('United Data'!$A$3:$A$3390,J$1,'United Data'!$C$3:$C$3390,$A1421)&gt;0,1,0)</f>
        <v>0</v>
      </c>
      <c r="K1421">
        <f>IF(COUNTIFS('United Data'!$A$3:$A$3390,K$1,'United Data'!$C$3:$C$3390,$A1421)&gt;0,1,0)</f>
        <v>0</v>
      </c>
      <c r="L1421">
        <f>IF(COUNTIFS('United Data'!$A$3:$A$3390,L$1,'United Data'!$C$3:$C$3390,$A1421)&gt;0,1,0)</f>
        <v>0</v>
      </c>
      <c r="M1421">
        <f>IF(COUNTIFS('United Data'!$A$3:$A$3390,M$1,'United Data'!$C$3:$C$3390,$A1421)&gt;0,1,0)</f>
        <v>0</v>
      </c>
      <c r="N1421">
        <f>IF(COUNTIFS('United Data'!$A$3:$A$3390,N$1,'United Data'!$C$3:$C$3390,$A1421)&gt;0,1,0)</f>
        <v>0</v>
      </c>
      <c r="O1421">
        <f>IF(COUNTIFS('United Data'!$A$3:$A$3390,O$1,'United Data'!$C$3:$C$3390,$A1421)&gt;0,1,0)</f>
        <v>0</v>
      </c>
      <c r="P1421">
        <f>IF(COUNTIFS('United Data'!$A$3:$A$3390,P$1,'United Data'!$C$3:$C$3390,$A1421)&gt;0,1,0)</f>
        <v>0</v>
      </c>
      <c r="Q1421">
        <f>IF(COUNTIFS('United Data'!$A$3:$A$3390,Q$1,'United Data'!$C$3:$C$3390,$A1421)&gt;0,1,0)</f>
        <v>0</v>
      </c>
      <c r="R1421">
        <f>IF(COUNTIFS('United Data'!$A$3:$A$3390,R$1,'United Data'!$C$3:$C$3390,$A1421)&gt;0,1,0)</f>
        <v>0</v>
      </c>
      <c r="S1421">
        <f t="shared" si="44"/>
        <v>1</v>
      </c>
      <c r="T1421">
        <f t="shared" si="45"/>
        <v>1</v>
      </c>
    </row>
    <row r="1422" spans="1:20" x14ac:dyDescent="0.2">
      <c r="A1422" t="s">
        <v>1690</v>
      </c>
      <c r="B1422">
        <f>IF(COUNTIFS('United Data'!$A$3:$A$3390,B$1,'United Data'!$C$3:$C$3390,$A1422)&gt;0,1,0)</f>
        <v>0</v>
      </c>
      <c r="C1422">
        <f>IF(COUNTIFS('United Data'!$A$3:$A$3390,C$1,'United Data'!$C$3:$C$3390,$A1422)&gt;0,1,0)</f>
        <v>0</v>
      </c>
      <c r="D1422">
        <f>IF(COUNTIFS('United Data'!$A$3:$A$3390,D$1,'United Data'!$C$3:$C$3390,$A1422)&gt;0,1,0)</f>
        <v>0</v>
      </c>
      <c r="E1422">
        <f>IF(COUNTIFS('United Data'!$A$3:$A$3390,E$1,'United Data'!$C$3:$C$3390,$A1422)&gt;0,1,0)</f>
        <v>1</v>
      </c>
      <c r="F1422">
        <f>IF(COUNTIFS('United Data'!$A$3:$A$3390,F$1,'United Data'!$C$3:$C$3390,$A1422)&gt;0,1,0)</f>
        <v>0</v>
      </c>
      <c r="G1422">
        <f>IF(COUNTIFS('United Data'!$A$3:$A$3390,G$1,'United Data'!$C$3:$C$3390,$A1422)&gt;0,1,0)</f>
        <v>0</v>
      </c>
      <c r="H1422">
        <f>IF(COUNTIFS('United Data'!$A$3:$A$3390,H$1,'United Data'!$C$3:$C$3390,$A1422)&gt;0,1,0)</f>
        <v>0</v>
      </c>
      <c r="I1422">
        <f>IF(COUNTIFS('United Data'!$A$3:$A$3390,I$1,'United Data'!$C$3:$C$3390,$A1422)&gt;0,1,0)</f>
        <v>0</v>
      </c>
      <c r="J1422">
        <f>IF(COUNTIFS('United Data'!$A$3:$A$3390,J$1,'United Data'!$C$3:$C$3390,$A1422)&gt;0,1,0)</f>
        <v>0</v>
      </c>
      <c r="K1422">
        <f>IF(COUNTIFS('United Data'!$A$3:$A$3390,K$1,'United Data'!$C$3:$C$3390,$A1422)&gt;0,1,0)</f>
        <v>0</v>
      </c>
      <c r="L1422">
        <f>IF(COUNTIFS('United Data'!$A$3:$A$3390,L$1,'United Data'!$C$3:$C$3390,$A1422)&gt;0,1,0)</f>
        <v>0</v>
      </c>
      <c r="M1422">
        <f>IF(COUNTIFS('United Data'!$A$3:$A$3390,M$1,'United Data'!$C$3:$C$3390,$A1422)&gt;0,1,0)</f>
        <v>0</v>
      </c>
      <c r="N1422">
        <f>IF(COUNTIFS('United Data'!$A$3:$A$3390,N$1,'United Data'!$C$3:$C$3390,$A1422)&gt;0,1,0)</f>
        <v>0</v>
      </c>
      <c r="O1422">
        <f>IF(COUNTIFS('United Data'!$A$3:$A$3390,O$1,'United Data'!$C$3:$C$3390,$A1422)&gt;0,1,0)</f>
        <v>0</v>
      </c>
      <c r="P1422">
        <f>IF(COUNTIFS('United Data'!$A$3:$A$3390,P$1,'United Data'!$C$3:$C$3390,$A1422)&gt;0,1,0)</f>
        <v>0</v>
      </c>
      <c r="Q1422">
        <f>IF(COUNTIFS('United Data'!$A$3:$A$3390,Q$1,'United Data'!$C$3:$C$3390,$A1422)&gt;0,1,0)</f>
        <v>0</v>
      </c>
      <c r="R1422">
        <f>IF(COUNTIFS('United Data'!$A$3:$A$3390,R$1,'United Data'!$C$3:$C$3390,$A1422)&gt;0,1,0)</f>
        <v>0</v>
      </c>
      <c r="S1422">
        <f t="shared" si="44"/>
        <v>1</v>
      </c>
      <c r="T1422">
        <f t="shared" si="45"/>
        <v>1</v>
      </c>
    </row>
    <row r="1423" spans="1:20" x14ac:dyDescent="0.2">
      <c r="A1423" t="s">
        <v>1691</v>
      </c>
      <c r="B1423">
        <f>IF(COUNTIFS('United Data'!$A$3:$A$3390,B$1,'United Data'!$C$3:$C$3390,$A1423)&gt;0,1,0)</f>
        <v>0</v>
      </c>
      <c r="C1423">
        <f>IF(COUNTIFS('United Data'!$A$3:$A$3390,C$1,'United Data'!$C$3:$C$3390,$A1423)&gt;0,1,0)</f>
        <v>0</v>
      </c>
      <c r="D1423">
        <f>IF(COUNTIFS('United Data'!$A$3:$A$3390,D$1,'United Data'!$C$3:$C$3390,$A1423)&gt;0,1,0)</f>
        <v>0</v>
      </c>
      <c r="E1423">
        <f>IF(COUNTIFS('United Data'!$A$3:$A$3390,E$1,'United Data'!$C$3:$C$3390,$A1423)&gt;0,1,0)</f>
        <v>1</v>
      </c>
      <c r="F1423">
        <f>IF(COUNTIFS('United Data'!$A$3:$A$3390,F$1,'United Data'!$C$3:$C$3390,$A1423)&gt;0,1,0)</f>
        <v>1</v>
      </c>
      <c r="G1423">
        <f>IF(COUNTIFS('United Data'!$A$3:$A$3390,G$1,'United Data'!$C$3:$C$3390,$A1423)&gt;0,1,0)</f>
        <v>0</v>
      </c>
      <c r="H1423">
        <f>IF(COUNTIFS('United Data'!$A$3:$A$3390,H$1,'United Data'!$C$3:$C$3390,$A1423)&gt;0,1,0)</f>
        <v>0</v>
      </c>
      <c r="I1423">
        <f>IF(COUNTIFS('United Data'!$A$3:$A$3390,I$1,'United Data'!$C$3:$C$3390,$A1423)&gt;0,1,0)</f>
        <v>0</v>
      </c>
      <c r="J1423">
        <f>IF(COUNTIFS('United Data'!$A$3:$A$3390,J$1,'United Data'!$C$3:$C$3390,$A1423)&gt;0,1,0)</f>
        <v>0</v>
      </c>
      <c r="K1423">
        <f>IF(COUNTIFS('United Data'!$A$3:$A$3390,K$1,'United Data'!$C$3:$C$3390,$A1423)&gt;0,1,0)</f>
        <v>1</v>
      </c>
      <c r="L1423">
        <f>IF(COUNTIFS('United Data'!$A$3:$A$3390,L$1,'United Data'!$C$3:$C$3390,$A1423)&gt;0,1,0)</f>
        <v>0</v>
      </c>
      <c r="M1423">
        <f>IF(COUNTIFS('United Data'!$A$3:$A$3390,M$1,'United Data'!$C$3:$C$3390,$A1423)&gt;0,1,0)</f>
        <v>0</v>
      </c>
      <c r="N1423">
        <f>IF(COUNTIFS('United Data'!$A$3:$A$3390,N$1,'United Data'!$C$3:$C$3390,$A1423)&gt;0,1,0)</f>
        <v>0</v>
      </c>
      <c r="O1423">
        <f>IF(COUNTIFS('United Data'!$A$3:$A$3390,O$1,'United Data'!$C$3:$C$3390,$A1423)&gt;0,1,0)</f>
        <v>0</v>
      </c>
      <c r="P1423">
        <f>IF(COUNTIFS('United Data'!$A$3:$A$3390,P$1,'United Data'!$C$3:$C$3390,$A1423)&gt;0,1,0)</f>
        <v>1</v>
      </c>
      <c r="Q1423">
        <f>IF(COUNTIFS('United Data'!$A$3:$A$3390,Q$1,'United Data'!$C$3:$C$3390,$A1423)&gt;0,1,0)</f>
        <v>0</v>
      </c>
      <c r="R1423">
        <f>IF(COUNTIFS('United Data'!$A$3:$A$3390,R$1,'United Data'!$C$3:$C$3390,$A1423)&gt;0,1,0)</f>
        <v>0</v>
      </c>
      <c r="S1423">
        <f t="shared" si="44"/>
        <v>4</v>
      </c>
      <c r="T1423">
        <f t="shared" si="45"/>
        <v>3</v>
      </c>
    </row>
    <row r="1424" spans="1:20" x14ac:dyDescent="0.2">
      <c r="A1424" t="s">
        <v>1692</v>
      </c>
      <c r="B1424">
        <f>IF(COUNTIFS('United Data'!$A$3:$A$3390,B$1,'United Data'!$C$3:$C$3390,$A1424)&gt;0,1,0)</f>
        <v>0</v>
      </c>
      <c r="C1424">
        <f>IF(COUNTIFS('United Data'!$A$3:$A$3390,C$1,'United Data'!$C$3:$C$3390,$A1424)&gt;0,1,0)</f>
        <v>0</v>
      </c>
      <c r="D1424">
        <f>IF(COUNTIFS('United Data'!$A$3:$A$3390,D$1,'United Data'!$C$3:$C$3390,$A1424)&gt;0,1,0)</f>
        <v>0</v>
      </c>
      <c r="E1424">
        <f>IF(COUNTIFS('United Data'!$A$3:$A$3390,E$1,'United Data'!$C$3:$C$3390,$A1424)&gt;0,1,0)</f>
        <v>1</v>
      </c>
      <c r="F1424">
        <f>IF(COUNTIFS('United Data'!$A$3:$A$3390,F$1,'United Data'!$C$3:$C$3390,$A1424)&gt;0,1,0)</f>
        <v>1</v>
      </c>
      <c r="G1424">
        <f>IF(COUNTIFS('United Data'!$A$3:$A$3390,G$1,'United Data'!$C$3:$C$3390,$A1424)&gt;0,1,0)</f>
        <v>0</v>
      </c>
      <c r="H1424">
        <f>IF(COUNTIFS('United Data'!$A$3:$A$3390,H$1,'United Data'!$C$3:$C$3390,$A1424)&gt;0,1,0)</f>
        <v>0</v>
      </c>
      <c r="I1424">
        <f>IF(COUNTIFS('United Data'!$A$3:$A$3390,I$1,'United Data'!$C$3:$C$3390,$A1424)&gt;0,1,0)</f>
        <v>1</v>
      </c>
      <c r="J1424">
        <f>IF(COUNTIFS('United Data'!$A$3:$A$3390,J$1,'United Data'!$C$3:$C$3390,$A1424)&gt;0,1,0)</f>
        <v>1</v>
      </c>
      <c r="K1424">
        <f>IF(COUNTIFS('United Data'!$A$3:$A$3390,K$1,'United Data'!$C$3:$C$3390,$A1424)&gt;0,1,0)</f>
        <v>1</v>
      </c>
      <c r="L1424">
        <f>IF(COUNTIFS('United Data'!$A$3:$A$3390,L$1,'United Data'!$C$3:$C$3390,$A1424)&gt;0,1,0)</f>
        <v>0</v>
      </c>
      <c r="M1424">
        <f>IF(COUNTIFS('United Data'!$A$3:$A$3390,M$1,'United Data'!$C$3:$C$3390,$A1424)&gt;0,1,0)</f>
        <v>0</v>
      </c>
      <c r="N1424">
        <f>IF(COUNTIFS('United Data'!$A$3:$A$3390,N$1,'United Data'!$C$3:$C$3390,$A1424)&gt;0,1,0)</f>
        <v>0</v>
      </c>
      <c r="O1424">
        <f>IF(COUNTIFS('United Data'!$A$3:$A$3390,O$1,'United Data'!$C$3:$C$3390,$A1424)&gt;0,1,0)</f>
        <v>0</v>
      </c>
      <c r="P1424">
        <f>IF(COUNTIFS('United Data'!$A$3:$A$3390,P$1,'United Data'!$C$3:$C$3390,$A1424)&gt;0,1,0)</f>
        <v>0</v>
      </c>
      <c r="Q1424">
        <f>IF(COUNTIFS('United Data'!$A$3:$A$3390,Q$1,'United Data'!$C$3:$C$3390,$A1424)&gt;0,1,0)</f>
        <v>0</v>
      </c>
      <c r="R1424">
        <f>IF(COUNTIFS('United Data'!$A$3:$A$3390,R$1,'United Data'!$C$3:$C$3390,$A1424)&gt;0,1,0)</f>
        <v>0</v>
      </c>
      <c r="S1424">
        <f t="shared" si="44"/>
        <v>5</v>
      </c>
      <c r="T1424">
        <f t="shared" si="45"/>
        <v>2</v>
      </c>
    </row>
    <row r="1425" spans="1:20" x14ac:dyDescent="0.2">
      <c r="A1425" t="s">
        <v>1693</v>
      </c>
      <c r="B1425">
        <f>IF(COUNTIFS('United Data'!$A$3:$A$3390,B$1,'United Data'!$C$3:$C$3390,$A1425)&gt;0,1,0)</f>
        <v>0</v>
      </c>
      <c r="C1425">
        <f>IF(COUNTIFS('United Data'!$A$3:$A$3390,C$1,'United Data'!$C$3:$C$3390,$A1425)&gt;0,1,0)</f>
        <v>0</v>
      </c>
      <c r="D1425">
        <f>IF(COUNTIFS('United Data'!$A$3:$A$3390,D$1,'United Data'!$C$3:$C$3390,$A1425)&gt;0,1,0)</f>
        <v>0</v>
      </c>
      <c r="E1425">
        <f>IF(COUNTIFS('United Data'!$A$3:$A$3390,E$1,'United Data'!$C$3:$C$3390,$A1425)&gt;0,1,0)</f>
        <v>1</v>
      </c>
      <c r="F1425">
        <f>IF(COUNTIFS('United Data'!$A$3:$A$3390,F$1,'United Data'!$C$3:$C$3390,$A1425)&gt;0,1,0)</f>
        <v>0</v>
      </c>
      <c r="G1425">
        <f>IF(COUNTIFS('United Data'!$A$3:$A$3390,G$1,'United Data'!$C$3:$C$3390,$A1425)&gt;0,1,0)</f>
        <v>0</v>
      </c>
      <c r="H1425">
        <f>IF(COUNTIFS('United Data'!$A$3:$A$3390,H$1,'United Data'!$C$3:$C$3390,$A1425)&gt;0,1,0)</f>
        <v>0</v>
      </c>
      <c r="I1425">
        <f>IF(COUNTIFS('United Data'!$A$3:$A$3390,I$1,'United Data'!$C$3:$C$3390,$A1425)&gt;0,1,0)</f>
        <v>0</v>
      </c>
      <c r="J1425">
        <f>IF(COUNTIFS('United Data'!$A$3:$A$3390,J$1,'United Data'!$C$3:$C$3390,$A1425)&gt;0,1,0)</f>
        <v>0</v>
      </c>
      <c r="K1425">
        <f>IF(COUNTIFS('United Data'!$A$3:$A$3390,K$1,'United Data'!$C$3:$C$3390,$A1425)&gt;0,1,0)</f>
        <v>0</v>
      </c>
      <c r="L1425">
        <f>IF(COUNTIFS('United Data'!$A$3:$A$3390,L$1,'United Data'!$C$3:$C$3390,$A1425)&gt;0,1,0)</f>
        <v>0</v>
      </c>
      <c r="M1425">
        <f>IF(COUNTIFS('United Data'!$A$3:$A$3390,M$1,'United Data'!$C$3:$C$3390,$A1425)&gt;0,1,0)</f>
        <v>0</v>
      </c>
      <c r="N1425">
        <f>IF(COUNTIFS('United Data'!$A$3:$A$3390,N$1,'United Data'!$C$3:$C$3390,$A1425)&gt;0,1,0)</f>
        <v>0</v>
      </c>
      <c r="O1425">
        <f>IF(COUNTIFS('United Data'!$A$3:$A$3390,O$1,'United Data'!$C$3:$C$3390,$A1425)&gt;0,1,0)</f>
        <v>0</v>
      </c>
      <c r="P1425">
        <f>IF(COUNTIFS('United Data'!$A$3:$A$3390,P$1,'United Data'!$C$3:$C$3390,$A1425)&gt;0,1,0)</f>
        <v>0</v>
      </c>
      <c r="Q1425">
        <f>IF(COUNTIFS('United Data'!$A$3:$A$3390,Q$1,'United Data'!$C$3:$C$3390,$A1425)&gt;0,1,0)</f>
        <v>0</v>
      </c>
      <c r="R1425">
        <f>IF(COUNTIFS('United Data'!$A$3:$A$3390,R$1,'United Data'!$C$3:$C$3390,$A1425)&gt;0,1,0)</f>
        <v>0</v>
      </c>
      <c r="S1425">
        <f t="shared" si="44"/>
        <v>1</v>
      </c>
      <c r="T1425">
        <f t="shared" si="45"/>
        <v>1</v>
      </c>
    </row>
    <row r="1426" spans="1:20" x14ac:dyDescent="0.2">
      <c r="A1426" t="s">
        <v>1694</v>
      </c>
      <c r="B1426">
        <f>IF(COUNTIFS('United Data'!$A$3:$A$3390,B$1,'United Data'!$C$3:$C$3390,$A1426)&gt;0,1,0)</f>
        <v>0</v>
      </c>
      <c r="C1426">
        <f>IF(COUNTIFS('United Data'!$A$3:$A$3390,C$1,'United Data'!$C$3:$C$3390,$A1426)&gt;0,1,0)</f>
        <v>0</v>
      </c>
      <c r="D1426">
        <f>IF(COUNTIFS('United Data'!$A$3:$A$3390,D$1,'United Data'!$C$3:$C$3390,$A1426)&gt;0,1,0)</f>
        <v>0</v>
      </c>
      <c r="E1426">
        <f>IF(COUNTIFS('United Data'!$A$3:$A$3390,E$1,'United Data'!$C$3:$C$3390,$A1426)&gt;0,1,0)</f>
        <v>0</v>
      </c>
      <c r="F1426">
        <f>IF(COUNTIFS('United Data'!$A$3:$A$3390,F$1,'United Data'!$C$3:$C$3390,$A1426)&gt;0,1,0)</f>
        <v>1</v>
      </c>
      <c r="G1426">
        <f>IF(COUNTIFS('United Data'!$A$3:$A$3390,G$1,'United Data'!$C$3:$C$3390,$A1426)&gt;0,1,0)</f>
        <v>0</v>
      </c>
      <c r="H1426">
        <f>IF(COUNTIFS('United Data'!$A$3:$A$3390,H$1,'United Data'!$C$3:$C$3390,$A1426)&gt;0,1,0)</f>
        <v>0</v>
      </c>
      <c r="I1426">
        <f>IF(COUNTIFS('United Data'!$A$3:$A$3390,I$1,'United Data'!$C$3:$C$3390,$A1426)&gt;0,1,0)</f>
        <v>0</v>
      </c>
      <c r="J1426">
        <f>IF(COUNTIFS('United Data'!$A$3:$A$3390,J$1,'United Data'!$C$3:$C$3390,$A1426)&gt;0,1,0)</f>
        <v>0</v>
      </c>
      <c r="K1426">
        <f>IF(COUNTIFS('United Data'!$A$3:$A$3390,K$1,'United Data'!$C$3:$C$3390,$A1426)&gt;0,1,0)</f>
        <v>0</v>
      </c>
      <c r="L1426">
        <f>IF(COUNTIFS('United Data'!$A$3:$A$3390,L$1,'United Data'!$C$3:$C$3390,$A1426)&gt;0,1,0)</f>
        <v>0</v>
      </c>
      <c r="M1426">
        <f>IF(COUNTIFS('United Data'!$A$3:$A$3390,M$1,'United Data'!$C$3:$C$3390,$A1426)&gt;0,1,0)</f>
        <v>0</v>
      </c>
      <c r="N1426">
        <f>IF(COUNTIFS('United Data'!$A$3:$A$3390,N$1,'United Data'!$C$3:$C$3390,$A1426)&gt;0,1,0)</f>
        <v>0</v>
      </c>
      <c r="O1426">
        <f>IF(COUNTIFS('United Data'!$A$3:$A$3390,O$1,'United Data'!$C$3:$C$3390,$A1426)&gt;0,1,0)</f>
        <v>0</v>
      </c>
      <c r="P1426">
        <f>IF(COUNTIFS('United Data'!$A$3:$A$3390,P$1,'United Data'!$C$3:$C$3390,$A1426)&gt;0,1,0)</f>
        <v>0</v>
      </c>
      <c r="Q1426">
        <f>IF(COUNTIFS('United Data'!$A$3:$A$3390,Q$1,'United Data'!$C$3:$C$3390,$A1426)&gt;0,1,0)</f>
        <v>0</v>
      </c>
      <c r="R1426">
        <f>IF(COUNTIFS('United Data'!$A$3:$A$3390,R$1,'United Data'!$C$3:$C$3390,$A1426)&gt;0,1,0)</f>
        <v>0</v>
      </c>
      <c r="S1426">
        <f t="shared" si="44"/>
        <v>1</v>
      </c>
      <c r="T1426">
        <f t="shared" si="45"/>
        <v>1</v>
      </c>
    </row>
    <row r="1427" spans="1:20" x14ac:dyDescent="0.2">
      <c r="A1427" t="s">
        <v>1695</v>
      </c>
      <c r="B1427">
        <f>IF(COUNTIFS('United Data'!$A$3:$A$3390,B$1,'United Data'!$C$3:$C$3390,$A1427)&gt;0,1,0)</f>
        <v>0</v>
      </c>
      <c r="C1427">
        <f>IF(COUNTIFS('United Data'!$A$3:$A$3390,C$1,'United Data'!$C$3:$C$3390,$A1427)&gt;0,1,0)</f>
        <v>0</v>
      </c>
      <c r="D1427">
        <f>IF(COUNTIFS('United Data'!$A$3:$A$3390,D$1,'United Data'!$C$3:$C$3390,$A1427)&gt;0,1,0)</f>
        <v>0</v>
      </c>
      <c r="E1427">
        <f>IF(COUNTIFS('United Data'!$A$3:$A$3390,E$1,'United Data'!$C$3:$C$3390,$A1427)&gt;0,1,0)</f>
        <v>0</v>
      </c>
      <c r="F1427">
        <f>IF(COUNTIFS('United Data'!$A$3:$A$3390,F$1,'United Data'!$C$3:$C$3390,$A1427)&gt;0,1,0)</f>
        <v>1</v>
      </c>
      <c r="G1427">
        <f>IF(COUNTIFS('United Data'!$A$3:$A$3390,G$1,'United Data'!$C$3:$C$3390,$A1427)&gt;0,1,0)</f>
        <v>1</v>
      </c>
      <c r="H1427">
        <f>IF(COUNTIFS('United Data'!$A$3:$A$3390,H$1,'United Data'!$C$3:$C$3390,$A1427)&gt;0,1,0)</f>
        <v>0</v>
      </c>
      <c r="I1427">
        <f>IF(COUNTIFS('United Data'!$A$3:$A$3390,I$1,'United Data'!$C$3:$C$3390,$A1427)&gt;0,1,0)</f>
        <v>0</v>
      </c>
      <c r="J1427">
        <f>IF(COUNTIFS('United Data'!$A$3:$A$3390,J$1,'United Data'!$C$3:$C$3390,$A1427)&gt;0,1,0)</f>
        <v>0</v>
      </c>
      <c r="K1427">
        <f>IF(COUNTIFS('United Data'!$A$3:$A$3390,K$1,'United Data'!$C$3:$C$3390,$A1427)&gt;0,1,0)</f>
        <v>0</v>
      </c>
      <c r="L1427">
        <f>IF(COUNTIFS('United Data'!$A$3:$A$3390,L$1,'United Data'!$C$3:$C$3390,$A1427)&gt;0,1,0)</f>
        <v>0</v>
      </c>
      <c r="M1427">
        <f>IF(COUNTIFS('United Data'!$A$3:$A$3390,M$1,'United Data'!$C$3:$C$3390,$A1427)&gt;0,1,0)</f>
        <v>0</v>
      </c>
      <c r="N1427">
        <f>IF(COUNTIFS('United Data'!$A$3:$A$3390,N$1,'United Data'!$C$3:$C$3390,$A1427)&gt;0,1,0)</f>
        <v>0</v>
      </c>
      <c r="O1427">
        <f>IF(COUNTIFS('United Data'!$A$3:$A$3390,O$1,'United Data'!$C$3:$C$3390,$A1427)&gt;0,1,0)</f>
        <v>0</v>
      </c>
      <c r="P1427">
        <f>IF(COUNTIFS('United Data'!$A$3:$A$3390,P$1,'United Data'!$C$3:$C$3390,$A1427)&gt;0,1,0)</f>
        <v>0</v>
      </c>
      <c r="Q1427">
        <f>IF(COUNTIFS('United Data'!$A$3:$A$3390,Q$1,'United Data'!$C$3:$C$3390,$A1427)&gt;0,1,0)</f>
        <v>0</v>
      </c>
      <c r="R1427">
        <f>IF(COUNTIFS('United Data'!$A$3:$A$3390,R$1,'United Data'!$C$3:$C$3390,$A1427)&gt;0,1,0)</f>
        <v>0</v>
      </c>
      <c r="S1427">
        <f t="shared" si="44"/>
        <v>2</v>
      </c>
      <c r="T1427">
        <f t="shared" si="45"/>
        <v>1</v>
      </c>
    </row>
    <row r="1428" spans="1:20" x14ac:dyDescent="0.2">
      <c r="A1428" t="s">
        <v>1696</v>
      </c>
      <c r="B1428">
        <f>IF(COUNTIFS('United Data'!$A$3:$A$3390,B$1,'United Data'!$C$3:$C$3390,$A1428)&gt;0,1,0)</f>
        <v>0</v>
      </c>
      <c r="C1428">
        <f>IF(COUNTIFS('United Data'!$A$3:$A$3390,C$1,'United Data'!$C$3:$C$3390,$A1428)&gt;0,1,0)</f>
        <v>0</v>
      </c>
      <c r="D1428">
        <f>IF(COUNTIFS('United Data'!$A$3:$A$3390,D$1,'United Data'!$C$3:$C$3390,$A1428)&gt;0,1,0)</f>
        <v>0</v>
      </c>
      <c r="E1428">
        <f>IF(COUNTIFS('United Data'!$A$3:$A$3390,E$1,'United Data'!$C$3:$C$3390,$A1428)&gt;0,1,0)</f>
        <v>0</v>
      </c>
      <c r="F1428">
        <f>IF(COUNTIFS('United Data'!$A$3:$A$3390,F$1,'United Data'!$C$3:$C$3390,$A1428)&gt;0,1,0)</f>
        <v>1</v>
      </c>
      <c r="G1428">
        <f>IF(COUNTIFS('United Data'!$A$3:$A$3390,G$1,'United Data'!$C$3:$C$3390,$A1428)&gt;0,1,0)</f>
        <v>0</v>
      </c>
      <c r="H1428">
        <f>IF(COUNTIFS('United Data'!$A$3:$A$3390,H$1,'United Data'!$C$3:$C$3390,$A1428)&gt;0,1,0)</f>
        <v>0</v>
      </c>
      <c r="I1428">
        <f>IF(COUNTIFS('United Data'!$A$3:$A$3390,I$1,'United Data'!$C$3:$C$3390,$A1428)&gt;0,1,0)</f>
        <v>0</v>
      </c>
      <c r="J1428">
        <f>IF(COUNTIFS('United Data'!$A$3:$A$3390,J$1,'United Data'!$C$3:$C$3390,$A1428)&gt;0,1,0)</f>
        <v>0</v>
      </c>
      <c r="K1428">
        <f>IF(COUNTIFS('United Data'!$A$3:$A$3390,K$1,'United Data'!$C$3:$C$3390,$A1428)&gt;0,1,0)</f>
        <v>0</v>
      </c>
      <c r="L1428">
        <f>IF(COUNTIFS('United Data'!$A$3:$A$3390,L$1,'United Data'!$C$3:$C$3390,$A1428)&gt;0,1,0)</f>
        <v>0</v>
      </c>
      <c r="M1428">
        <f>IF(COUNTIFS('United Data'!$A$3:$A$3390,M$1,'United Data'!$C$3:$C$3390,$A1428)&gt;0,1,0)</f>
        <v>0</v>
      </c>
      <c r="N1428">
        <f>IF(COUNTIFS('United Data'!$A$3:$A$3390,N$1,'United Data'!$C$3:$C$3390,$A1428)&gt;0,1,0)</f>
        <v>0</v>
      </c>
      <c r="O1428">
        <f>IF(COUNTIFS('United Data'!$A$3:$A$3390,O$1,'United Data'!$C$3:$C$3390,$A1428)&gt;0,1,0)</f>
        <v>0</v>
      </c>
      <c r="P1428">
        <f>IF(COUNTIFS('United Data'!$A$3:$A$3390,P$1,'United Data'!$C$3:$C$3390,$A1428)&gt;0,1,0)</f>
        <v>0</v>
      </c>
      <c r="Q1428">
        <f>IF(COUNTIFS('United Data'!$A$3:$A$3390,Q$1,'United Data'!$C$3:$C$3390,$A1428)&gt;0,1,0)</f>
        <v>0</v>
      </c>
      <c r="R1428">
        <f>IF(COUNTIFS('United Data'!$A$3:$A$3390,R$1,'United Data'!$C$3:$C$3390,$A1428)&gt;0,1,0)</f>
        <v>0</v>
      </c>
      <c r="S1428">
        <f t="shared" si="44"/>
        <v>1</v>
      </c>
      <c r="T1428">
        <f t="shared" si="45"/>
        <v>1</v>
      </c>
    </row>
    <row r="1429" spans="1:20" x14ac:dyDescent="0.2">
      <c r="A1429" t="s">
        <v>1697</v>
      </c>
      <c r="B1429">
        <f>IF(COUNTIFS('United Data'!$A$3:$A$3390,B$1,'United Data'!$C$3:$C$3390,$A1429)&gt;0,1,0)</f>
        <v>0</v>
      </c>
      <c r="C1429">
        <f>IF(COUNTIFS('United Data'!$A$3:$A$3390,C$1,'United Data'!$C$3:$C$3390,$A1429)&gt;0,1,0)</f>
        <v>0</v>
      </c>
      <c r="D1429">
        <f>IF(COUNTIFS('United Data'!$A$3:$A$3390,D$1,'United Data'!$C$3:$C$3390,$A1429)&gt;0,1,0)</f>
        <v>0</v>
      </c>
      <c r="E1429">
        <f>IF(COUNTIFS('United Data'!$A$3:$A$3390,E$1,'United Data'!$C$3:$C$3390,$A1429)&gt;0,1,0)</f>
        <v>0</v>
      </c>
      <c r="F1429">
        <f>IF(COUNTIFS('United Data'!$A$3:$A$3390,F$1,'United Data'!$C$3:$C$3390,$A1429)&gt;0,1,0)</f>
        <v>1</v>
      </c>
      <c r="G1429">
        <f>IF(COUNTIFS('United Data'!$A$3:$A$3390,G$1,'United Data'!$C$3:$C$3390,$A1429)&gt;0,1,0)</f>
        <v>1</v>
      </c>
      <c r="H1429">
        <f>IF(COUNTIFS('United Data'!$A$3:$A$3390,H$1,'United Data'!$C$3:$C$3390,$A1429)&gt;0,1,0)</f>
        <v>0</v>
      </c>
      <c r="I1429">
        <f>IF(COUNTIFS('United Data'!$A$3:$A$3390,I$1,'United Data'!$C$3:$C$3390,$A1429)&gt;0,1,0)</f>
        <v>0</v>
      </c>
      <c r="J1429">
        <f>IF(COUNTIFS('United Data'!$A$3:$A$3390,J$1,'United Data'!$C$3:$C$3390,$A1429)&gt;0,1,0)</f>
        <v>0</v>
      </c>
      <c r="K1429">
        <f>IF(COUNTIFS('United Data'!$A$3:$A$3390,K$1,'United Data'!$C$3:$C$3390,$A1429)&gt;0,1,0)</f>
        <v>0</v>
      </c>
      <c r="L1429">
        <f>IF(COUNTIFS('United Data'!$A$3:$A$3390,L$1,'United Data'!$C$3:$C$3390,$A1429)&gt;0,1,0)</f>
        <v>0</v>
      </c>
      <c r="M1429">
        <f>IF(COUNTIFS('United Data'!$A$3:$A$3390,M$1,'United Data'!$C$3:$C$3390,$A1429)&gt;0,1,0)</f>
        <v>0</v>
      </c>
      <c r="N1429">
        <f>IF(COUNTIFS('United Data'!$A$3:$A$3390,N$1,'United Data'!$C$3:$C$3390,$A1429)&gt;0,1,0)</f>
        <v>0</v>
      </c>
      <c r="O1429">
        <f>IF(COUNTIFS('United Data'!$A$3:$A$3390,O$1,'United Data'!$C$3:$C$3390,$A1429)&gt;0,1,0)</f>
        <v>0</v>
      </c>
      <c r="P1429">
        <f>IF(COUNTIFS('United Data'!$A$3:$A$3390,P$1,'United Data'!$C$3:$C$3390,$A1429)&gt;0,1,0)</f>
        <v>0</v>
      </c>
      <c r="Q1429">
        <f>IF(COUNTIFS('United Data'!$A$3:$A$3390,Q$1,'United Data'!$C$3:$C$3390,$A1429)&gt;0,1,0)</f>
        <v>0</v>
      </c>
      <c r="R1429">
        <f>IF(COUNTIFS('United Data'!$A$3:$A$3390,R$1,'United Data'!$C$3:$C$3390,$A1429)&gt;0,1,0)</f>
        <v>0</v>
      </c>
      <c r="S1429">
        <f t="shared" si="44"/>
        <v>2</v>
      </c>
      <c r="T1429">
        <f t="shared" si="45"/>
        <v>1</v>
      </c>
    </row>
    <row r="1430" spans="1:20" x14ac:dyDescent="0.2">
      <c r="A1430" t="s">
        <v>1698</v>
      </c>
      <c r="B1430">
        <f>IF(COUNTIFS('United Data'!$A$3:$A$3390,B$1,'United Data'!$C$3:$C$3390,$A1430)&gt;0,1,0)</f>
        <v>0</v>
      </c>
      <c r="C1430">
        <f>IF(COUNTIFS('United Data'!$A$3:$A$3390,C$1,'United Data'!$C$3:$C$3390,$A1430)&gt;0,1,0)</f>
        <v>0</v>
      </c>
      <c r="D1430">
        <f>IF(COUNTIFS('United Data'!$A$3:$A$3390,D$1,'United Data'!$C$3:$C$3390,$A1430)&gt;0,1,0)</f>
        <v>0</v>
      </c>
      <c r="E1430">
        <f>IF(COUNTIFS('United Data'!$A$3:$A$3390,E$1,'United Data'!$C$3:$C$3390,$A1430)&gt;0,1,0)</f>
        <v>0</v>
      </c>
      <c r="F1430">
        <f>IF(COUNTIFS('United Data'!$A$3:$A$3390,F$1,'United Data'!$C$3:$C$3390,$A1430)&gt;0,1,0)</f>
        <v>1</v>
      </c>
      <c r="G1430">
        <f>IF(COUNTIFS('United Data'!$A$3:$A$3390,G$1,'United Data'!$C$3:$C$3390,$A1430)&gt;0,1,0)</f>
        <v>1</v>
      </c>
      <c r="H1430">
        <f>IF(COUNTIFS('United Data'!$A$3:$A$3390,H$1,'United Data'!$C$3:$C$3390,$A1430)&gt;0,1,0)</f>
        <v>0</v>
      </c>
      <c r="I1430">
        <f>IF(COUNTIFS('United Data'!$A$3:$A$3390,I$1,'United Data'!$C$3:$C$3390,$A1430)&gt;0,1,0)</f>
        <v>0</v>
      </c>
      <c r="J1430">
        <f>IF(COUNTIFS('United Data'!$A$3:$A$3390,J$1,'United Data'!$C$3:$C$3390,$A1430)&gt;0,1,0)</f>
        <v>0</v>
      </c>
      <c r="K1430">
        <f>IF(COUNTIFS('United Data'!$A$3:$A$3390,K$1,'United Data'!$C$3:$C$3390,$A1430)&gt;0,1,0)</f>
        <v>0</v>
      </c>
      <c r="L1430">
        <f>IF(COUNTIFS('United Data'!$A$3:$A$3390,L$1,'United Data'!$C$3:$C$3390,$A1430)&gt;0,1,0)</f>
        <v>1</v>
      </c>
      <c r="M1430">
        <f>IF(COUNTIFS('United Data'!$A$3:$A$3390,M$1,'United Data'!$C$3:$C$3390,$A1430)&gt;0,1,0)</f>
        <v>0</v>
      </c>
      <c r="N1430">
        <f>IF(COUNTIFS('United Data'!$A$3:$A$3390,N$1,'United Data'!$C$3:$C$3390,$A1430)&gt;0,1,0)</f>
        <v>0</v>
      </c>
      <c r="O1430">
        <f>IF(COUNTIFS('United Data'!$A$3:$A$3390,O$1,'United Data'!$C$3:$C$3390,$A1430)&gt;0,1,0)</f>
        <v>0</v>
      </c>
      <c r="P1430">
        <f>IF(COUNTIFS('United Data'!$A$3:$A$3390,P$1,'United Data'!$C$3:$C$3390,$A1430)&gt;0,1,0)</f>
        <v>0</v>
      </c>
      <c r="Q1430">
        <f>IF(COUNTIFS('United Data'!$A$3:$A$3390,Q$1,'United Data'!$C$3:$C$3390,$A1430)&gt;0,1,0)</f>
        <v>0</v>
      </c>
      <c r="R1430">
        <f>IF(COUNTIFS('United Data'!$A$3:$A$3390,R$1,'United Data'!$C$3:$C$3390,$A1430)&gt;0,1,0)</f>
        <v>0</v>
      </c>
      <c r="S1430">
        <f t="shared" si="44"/>
        <v>3</v>
      </c>
      <c r="T1430">
        <f t="shared" si="45"/>
        <v>2</v>
      </c>
    </row>
    <row r="1431" spans="1:20" x14ac:dyDescent="0.2">
      <c r="A1431" t="s">
        <v>1699</v>
      </c>
      <c r="B1431">
        <f>IF(COUNTIFS('United Data'!$A$3:$A$3390,B$1,'United Data'!$C$3:$C$3390,$A1431)&gt;0,1,0)</f>
        <v>0</v>
      </c>
      <c r="C1431">
        <f>IF(COUNTIFS('United Data'!$A$3:$A$3390,C$1,'United Data'!$C$3:$C$3390,$A1431)&gt;0,1,0)</f>
        <v>0</v>
      </c>
      <c r="D1431">
        <f>IF(COUNTIFS('United Data'!$A$3:$A$3390,D$1,'United Data'!$C$3:$C$3390,$A1431)&gt;0,1,0)</f>
        <v>0</v>
      </c>
      <c r="E1431">
        <f>IF(COUNTIFS('United Data'!$A$3:$A$3390,E$1,'United Data'!$C$3:$C$3390,$A1431)&gt;0,1,0)</f>
        <v>0</v>
      </c>
      <c r="F1431">
        <f>IF(COUNTIFS('United Data'!$A$3:$A$3390,F$1,'United Data'!$C$3:$C$3390,$A1431)&gt;0,1,0)</f>
        <v>1</v>
      </c>
      <c r="G1431">
        <f>IF(COUNTIFS('United Data'!$A$3:$A$3390,G$1,'United Data'!$C$3:$C$3390,$A1431)&gt;0,1,0)</f>
        <v>1</v>
      </c>
      <c r="H1431">
        <f>IF(COUNTIFS('United Data'!$A$3:$A$3390,H$1,'United Data'!$C$3:$C$3390,$A1431)&gt;0,1,0)</f>
        <v>1</v>
      </c>
      <c r="I1431">
        <f>IF(COUNTIFS('United Data'!$A$3:$A$3390,I$1,'United Data'!$C$3:$C$3390,$A1431)&gt;0,1,0)</f>
        <v>1</v>
      </c>
      <c r="J1431">
        <f>IF(COUNTIFS('United Data'!$A$3:$A$3390,J$1,'United Data'!$C$3:$C$3390,$A1431)&gt;0,1,0)</f>
        <v>1</v>
      </c>
      <c r="K1431">
        <f>IF(COUNTIFS('United Data'!$A$3:$A$3390,K$1,'United Data'!$C$3:$C$3390,$A1431)&gt;0,1,0)</f>
        <v>1</v>
      </c>
      <c r="L1431">
        <f>IF(COUNTIFS('United Data'!$A$3:$A$3390,L$1,'United Data'!$C$3:$C$3390,$A1431)&gt;0,1,0)</f>
        <v>0</v>
      </c>
      <c r="M1431">
        <f>IF(COUNTIFS('United Data'!$A$3:$A$3390,M$1,'United Data'!$C$3:$C$3390,$A1431)&gt;0,1,0)</f>
        <v>0</v>
      </c>
      <c r="N1431">
        <f>IF(COUNTIFS('United Data'!$A$3:$A$3390,N$1,'United Data'!$C$3:$C$3390,$A1431)&gt;0,1,0)</f>
        <v>0</v>
      </c>
      <c r="O1431">
        <f>IF(COUNTIFS('United Data'!$A$3:$A$3390,O$1,'United Data'!$C$3:$C$3390,$A1431)&gt;0,1,0)</f>
        <v>0</v>
      </c>
      <c r="P1431">
        <f>IF(COUNTIFS('United Data'!$A$3:$A$3390,P$1,'United Data'!$C$3:$C$3390,$A1431)&gt;0,1,0)</f>
        <v>0</v>
      </c>
      <c r="Q1431">
        <f>IF(COUNTIFS('United Data'!$A$3:$A$3390,Q$1,'United Data'!$C$3:$C$3390,$A1431)&gt;0,1,0)</f>
        <v>0</v>
      </c>
      <c r="R1431">
        <f>IF(COUNTIFS('United Data'!$A$3:$A$3390,R$1,'United Data'!$C$3:$C$3390,$A1431)&gt;0,1,0)</f>
        <v>0</v>
      </c>
      <c r="S1431">
        <f t="shared" si="44"/>
        <v>6</v>
      </c>
      <c r="T1431">
        <f t="shared" si="45"/>
        <v>1</v>
      </c>
    </row>
    <row r="1432" spans="1:20" x14ac:dyDescent="0.2">
      <c r="A1432" t="s">
        <v>1700</v>
      </c>
      <c r="B1432">
        <f>IF(COUNTIFS('United Data'!$A$3:$A$3390,B$1,'United Data'!$C$3:$C$3390,$A1432)&gt;0,1,0)</f>
        <v>0</v>
      </c>
      <c r="C1432">
        <f>IF(COUNTIFS('United Data'!$A$3:$A$3390,C$1,'United Data'!$C$3:$C$3390,$A1432)&gt;0,1,0)</f>
        <v>0</v>
      </c>
      <c r="D1432">
        <f>IF(COUNTIFS('United Data'!$A$3:$A$3390,D$1,'United Data'!$C$3:$C$3390,$A1432)&gt;0,1,0)</f>
        <v>0</v>
      </c>
      <c r="E1432">
        <f>IF(COUNTIFS('United Data'!$A$3:$A$3390,E$1,'United Data'!$C$3:$C$3390,$A1432)&gt;0,1,0)</f>
        <v>0</v>
      </c>
      <c r="F1432">
        <f>IF(COUNTIFS('United Data'!$A$3:$A$3390,F$1,'United Data'!$C$3:$C$3390,$A1432)&gt;0,1,0)</f>
        <v>1</v>
      </c>
      <c r="G1432">
        <f>IF(COUNTIFS('United Data'!$A$3:$A$3390,G$1,'United Data'!$C$3:$C$3390,$A1432)&gt;0,1,0)</f>
        <v>0</v>
      </c>
      <c r="H1432">
        <f>IF(COUNTIFS('United Data'!$A$3:$A$3390,H$1,'United Data'!$C$3:$C$3390,$A1432)&gt;0,1,0)</f>
        <v>0</v>
      </c>
      <c r="I1432">
        <f>IF(COUNTIFS('United Data'!$A$3:$A$3390,I$1,'United Data'!$C$3:$C$3390,$A1432)&gt;0,1,0)</f>
        <v>0</v>
      </c>
      <c r="J1432">
        <f>IF(COUNTIFS('United Data'!$A$3:$A$3390,J$1,'United Data'!$C$3:$C$3390,$A1432)&gt;0,1,0)</f>
        <v>0</v>
      </c>
      <c r="K1432">
        <f>IF(COUNTIFS('United Data'!$A$3:$A$3390,K$1,'United Data'!$C$3:$C$3390,$A1432)&gt;0,1,0)</f>
        <v>0</v>
      </c>
      <c r="L1432">
        <f>IF(COUNTIFS('United Data'!$A$3:$A$3390,L$1,'United Data'!$C$3:$C$3390,$A1432)&gt;0,1,0)</f>
        <v>0</v>
      </c>
      <c r="M1432">
        <f>IF(COUNTIFS('United Data'!$A$3:$A$3390,M$1,'United Data'!$C$3:$C$3390,$A1432)&gt;0,1,0)</f>
        <v>0</v>
      </c>
      <c r="N1432">
        <f>IF(COUNTIFS('United Data'!$A$3:$A$3390,N$1,'United Data'!$C$3:$C$3390,$A1432)&gt;0,1,0)</f>
        <v>0</v>
      </c>
      <c r="O1432">
        <f>IF(COUNTIFS('United Data'!$A$3:$A$3390,O$1,'United Data'!$C$3:$C$3390,$A1432)&gt;0,1,0)</f>
        <v>0</v>
      </c>
      <c r="P1432">
        <f>IF(COUNTIFS('United Data'!$A$3:$A$3390,P$1,'United Data'!$C$3:$C$3390,$A1432)&gt;0,1,0)</f>
        <v>0</v>
      </c>
      <c r="Q1432">
        <f>IF(COUNTIFS('United Data'!$A$3:$A$3390,Q$1,'United Data'!$C$3:$C$3390,$A1432)&gt;0,1,0)</f>
        <v>0</v>
      </c>
      <c r="R1432">
        <f>IF(COUNTIFS('United Data'!$A$3:$A$3390,R$1,'United Data'!$C$3:$C$3390,$A1432)&gt;0,1,0)</f>
        <v>0</v>
      </c>
      <c r="S1432">
        <f t="shared" si="44"/>
        <v>1</v>
      </c>
      <c r="T1432">
        <f t="shared" si="45"/>
        <v>1</v>
      </c>
    </row>
    <row r="1433" spans="1:20" x14ac:dyDescent="0.2">
      <c r="A1433" t="s">
        <v>1701</v>
      </c>
      <c r="B1433">
        <f>IF(COUNTIFS('United Data'!$A$3:$A$3390,B$1,'United Data'!$C$3:$C$3390,$A1433)&gt;0,1,0)</f>
        <v>0</v>
      </c>
      <c r="C1433">
        <f>IF(COUNTIFS('United Data'!$A$3:$A$3390,C$1,'United Data'!$C$3:$C$3390,$A1433)&gt;0,1,0)</f>
        <v>0</v>
      </c>
      <c r="D1433">
        <f>IF(COUNTIFS('United Data'!$A$3:$A$3390,D$1,'United Data'!$C$3:$C$3390,$A1433)&gt;0,1,0)</f>
        <v>0</v>
      </c>
      <c r="E1433">
        <f>IF(COUNTIFS('United Data'!$A$3:$A$3390,E$1,'United Data'!$C$3:$C$3390,$A1433)&gt;0,1,0)</f>
        <v>0</v>
      </c>
      <c r="F1433">
        <f>IF(COUNTIFS('United Data'!$A$3:$A$3390,F$1,'United Data'!$C$3:$C$3390,$A1433)&gt;0,1,0)</f>
        <v>1</v>
      </c>
      <c r="G1433">
        <f>IF(COUNTIFS('United Data'!$A$3:$A$3390,G$1,'United Data'!$C$3:$C$3390,$A1433)&gt;0,1,0)</f>
        <v>1</v>
      </c>
      <c r="H1433">
        <f>IF(COUNTIFS('United Data'!$A$3:$A$3390,H$1,'United Data'!$C$3:$C$3390,$A1433)&gt;0,1,0)</f>
        <v>0</v>
      </c>
      <c r="I1433">
        <f>IF(COUNTIFS('United Data'!$A$3:$A$3390,I$1,'United Data'!$C$3:$C$3390,$A1433)&gt;0,1,0)</f>
        <v>0</v>
      </c>
      <c r="J1433">
        <f>IF(COUNTIFS('United Data'!$A$3:$A$3390,J$1,'United Data'!$C$3:$C$3390,$A1433)&gt;0,1,0)</f>
        <v>0</v>
      </c>
      <c r="K1433">
        <f>IF(COUNTIFS('United Data'!$A$3:$A$3390,K$1,'United Data'!$C$3:$C$3390,$A1433)&gt;0,1,0)</f>
        <v>0</v>
      </c>
      <c r="L1433">
        <f>IF(COUNTIFS('United Data'!$A$3:$A$3390,L$1,'United Data'!$C$3:$C$3390,$A1433)&gt;0,1,0)</f>
        <v>0</v>
      </c>
      <c r="M1433">
        <f>IF(COUNTIFS('United Data'!$A$3:$A$3390,M$1,'United Data'!$C$3:$C$3390,$A1433)&gt;0,1,0)</f>
        <v>0</v>
      </c>
      <c r="N1433">
        <f>IF(COUNTIFS('United Data'!$A$3:$A$3390,N$1,'United Data'!$C$3:$C$3390,$A1433)&gt;0,1,0)</f>
        <v>0</v>
      </c>
      <c r="O1433">
        <f>IF(COUNTIFS('United Data'!$A$3:$A$3390,O$1,'United Data'!$C$3:$C$3390,$A1433)&gt;0,1,0)</f>
        <v>0</v>
      </c>
      <c r="P1433">
        <f>IF(COUNTIFS('United Data'!$A$3:$A$3390,P$1,'United Data'!$C$3:$C$3390,$A1433)&gt;0,1,0)</f>
        <v>0</v>
      </c>
      <c r="Q1433">
        <f>IF(COUNTIFS('United Data'!$A$3:$A$3390,Q$1,'United Data'!$C$3:$C$3390,$A1433)&gt;0,1,0)</f>
        <v>0</v>
      </c>
      <c r="R1433">
        <f>IF(COUNTIFS('United Data'!$A$3:$A$3390,R$1,'United Data'!$C$3:$C$3390,$A1433)&gt;0,1,0)</f>
        <v>0</v>
      </c>
      <c r="S1433">
        <f t="shared" si="44"/>
        <v>2</v>
      </c>
      <c r="T1433">
        <f t="shared" si="45"/>
        <v>1</v>
      </c>
    </row>
    <row r="1434" spans="1:20" x14ac:dyDescent="0.2">
      <c r="A1434" t="s">
        <v>1702</v>
      </c>
      <c r="B1434">
        <f>IF(COUNTIFS('United Data'!$A$3:$A$3390,B$1,'United Data'!$C$3:$C$3390,$A1434)&gt;0,1,0)</f>
        <v>0</v>
      </c>
      <c r="C1434">
        <f>IF(COUNTIFS('United Data'!$A$3:$A$3390,C$1,'United Data'!$C$3:$C$3390,$A1434)&gt;0,1,0)</f>
        <v>0</v>
      </c>
      <c r="D1434">
        <f>IF(COUNTIFS('United Data'!$A$3:$A$3390,D$1,'United Data'!$C$3:$C$3390,$A1434)&gt;0,1,0)</f>
        <v>0</v>
      </c>
      <c r="E1434">
        <f>IF(COUNTIFS('United Data'!$A$3:$A$3390,E$1,'United Data'!$C$3:$C$3390,$A1434)&gt;0,1,0)</f>
        <v>0</v>
      </c>
      <c r="F1434">
        <f>IF(COUNTIFS('United Data'!$A$3:$A$3390,F$1,'United Data'!$C$3:$C$3390,$A1434)&gt;0,1,0)</f>
        <v>1</v>
      </c>
      <c r="G1434">
        <f>IF(COUNTIFS('United Data'!$A$3:$A$3390,G$1,'United Data'!$C$3:$C$3390,$A1434)&gt;0,1,0)</f>
        <v>0</v>
      </c>
      <c r="H1434">
        <f>IF(COUNTIFS('United Data'!$A$3:$A$3390,H$1,'United Data'!$C$3:$C$3390,$A1434)&gt;0,1,0)</f>
        <v>0</v>
      </c>
      <c r="I1434">
        <f>IF(COUNTIFS('United Data'!$A$3:$A$3390,I$1,'United Data'!$C$3:$C$3390,$A1434)&gt;0,1,0)</f>
        <v>1</v>
      </c>
      <c r="J1434">
        <f>IF(COUNTIFS('United Data'!$A$3:$A$3390,J$1,'United Data'!$C$3:$C$3390,$A1434)&gt;0,1,0)</f>
        <v>0</v>
      </c>
      <c r="K1434">
        <f>IF(COUNTIFS('United Data'!$A$3:$A$3390,K$1,'United Data'!$C$3:$C$3390,$A1434)&gt;0,1,0)</f>
        <v>1</v>
      </c>
      <c r="L1434">
        <f>IF(COUNTIFS('United Data'!$A$3:$A$3390,L$1,'United Data'!$C$3:$C$3390,$A1434)&gt;0,1,0)</f>
        <v>1</v>
      </c>
      <c r="M1434">
        <f>IF(COUNTIFS('United Data'!$A$3:$A$3390,M$1,'United Data'!$C$3:$C$3390,$A1434)&gt;0,1,0)</f>
        <v>1</v>
      </c>
      <c r="N1434">
        <f>IF(COUNTIFS('United Data'!$A$3:$A$3390,N$1,'United Data'!$C$3:$C$3390,$A1434)&gt;0,1,0)</f>
        <v>0</v>
      </c>
      <c r="O1434">
        <f>IF(COUNTIFS('United Data'!$A$3:$A$3390,O$1,'United Data'!$C$3:$C$3390,$A1434)&gt;0,1,0)</f>
        <v>0</v>
      </c>
      <c r="P1434">
        <f>IF(COUNTIFS('United Data'!$A$3:$A$3390,P$1,'United Data'!$C$3:$C$3390,$A1434)&gt;0,1,0)</f>
        <v>0</v>
      </c>
      <c r="Q1434">
        <f>IF(COUNTIFS('United Data'!$A$3:$A$3390,Q$1,'United Data'!$C$3:$C$3390,$A1434)&gt;0,1,0)</f>
        <v>0</v>
      </c>
      <c r="R1434">
        <f>IF(COUNTIFS('United Data'!$A$3:$A$3390,R$1,'United Data'!$C$3:$C$3390,$A1434)&gt;0,1,0)</f>
        <v>0</v>
      </c>
      <c r="S1434">
        <f t="shared" si="44"/>
        <v>5</v>
      </c>
      <c r="T1434">
        <f t="shared" si="45"/>
        <v>3</v>
      </c>
    </row>
    <row r="1435" spans="1:20" x14ac:dyDescent="0.2">
      <c r="A1435" t="s">
        <v>1703</v>
      </c>
      <c r="B1435">
        <f>IF(COUNTIFS('United Data'!$A$3:$A$3390,B$1,'United Data'!$C$3:$C$3390,$A1435)&gt;0,1,0)</f>
        <v>0</v>
      </c>
      <c r="C1435">
        <f>IF(COUNTIFS('United Data'!$A$3:$A$3390,C$1,'United Data'!$C$3:$C$3390,$A1435)&gt;0,1,0)</f>
        <v>0</v>
      </c>
      <c r="D1435">
        <f>IF(COUNTIFS('United Data'!$A$3:$A$3390,D$1,'United Data'!$C$3:$C$3390,$A1435)&gt;0,1,0)</f>
        <v>0</v>
      </c>
      <c r="E1435">
        <f>IF(COUNTIFS('United Data'!$A$3:$A$3390,E$1,'United Data'!$C$3:$C$3390,$A1435)&gt;0,1,0)</f>
        <v>0</v>
      </c>
      <c r="F1435">
        <f>IF(COUNTIFS('United Data'!$A$3:$A$3390,F$1,'United Data'!$C$3:$C$3390,$A1435)&gt;0,1,0)</f>
        <v>1</v>
      </c>
      <c r="G1435">
        <f>IF(COUNTIFS('United Data'!$A$3:$A$3390,G$1,'United Data'!$C$3:$C$3390,$A1435)&gt;0,1,0)</f>
        <v>0</v>
      </c>
      <c r="H1435">
        <f>IF(COUNTIFS('United Data'!$A$3:$A$3390,H$1,'United Data'!$C$3:$C$3390,$A1435)&gt;0,1,0)</f>
        <v>0</v>
      </c>
      <c r="I1435">
        <f>IF(COUNTIFS('United Data'!$A$3:$A$3390,I$1,'United Data'!$C$3:$C$3390,$A1435)&gt;0,1,0)</f>
        <v>0</v>
      </c>
      <c r="J1435">
        <f>IF(COUNTIFS('United Data'!$A$3:$A$3390,J$1,'United Data'!$C$3:$C$3390,$A1435)&gt;0,1,0)</f>
        <v>0</v>
      </c>
      <c r="K1435">
        <f>IF(COUNTIFS('United Data'!$A$3:$A$3390,K$1,'United Data'!$C$3:$C$3390,$A1435)&gt;0,1,0)</f>
        <v>0</v>
      </c>
      <c r="L1435">
        <f>IF(COUNTIFS('United Data'!$A$3:$A$3390,L$1,'United Data'!$C$3:$C$3390,$A1435)&gt;0,1,0)</f>
        <v>0</v>
      </c>
      <c r="M1435">
        <f>IF(COUNTIFS('United Data'!$A$3:$A$3390,M$1,'United Data'!$C$3:$C$3390,$A1435)&gt;0,1,0)</f>
        <v>0</v>
      </c>
      <c r="N1435">
        <f>IF(COUNTIFS('United Data'!$A$3:$A$3390,N$1,'United Data'!$C$3:$C$3390,$A1435)&gt;0,1,0)</f>
        <v>0</v>
      </c>
      <c r="O1435">
        <f>IF(COUNTIFS('United Data'!$A$3:$A$3390,O$1,'United Data'!$C$3:$C$3390,$A1435)&gt;0,1,0)</f>
        <v>0</v>
      </c>
      <c r="P1435">
        <f>IF(COUNTIFS('United Data'!$A$3:$A$3390,P$1,'United Data'!$C$3:$C$3390,$A1435)&gt;0,1,0)</f>
        <v>0</v>
      </c>
      <c r="Q1435">
        <f>IF(COUNTIFS('United Data'!$A$3:$A$3390,Q$1,'United Data'!$C$3:$C$3390,$A1435)&gt;0,1,0)</f>
        <v>0</v>
      </c>
      <c r="R1435">
        <f>IF(COUNTIFS('United Data'!$A$3:$A$3390,R$1,'United Data'!$C$3:$C$3390,$A1435)&gt;0,1,0)</f>
        <v>0</v>
      </c>
      <c r="S1435">
        <f t="shared" si="44"/>
        <v>1</v>
      </c>
      <c r="T1435">
        <f t="shared" si="45"/>
        <v>1</v>
      </c>
    </row>
    <row r="1436" spans="1:20" x14ac:dyDescent="0.2">
      <c r="A1436" t="s">
        <v>1704</v>
      </c>
      <c r="B1436">
        <f>IF(COUNTIFS('United Data'!$A$3:$A$3390,B$1,'United Data'!$C$3:$C$3390,$A1436)&gt;0,1,0)</f>
        <v>0</v>
      </c>
      <c r="C1436">
        <f>IF(COUNTIFS('United Data'!$A$3:$A$3390,C$1,'United Data'!$C$3:$C$3390,$A1436)&gt;0,1,0)</f>
        <v>0</v>
      </c>
      <c r="D1436">
        <f>IF(COUNTIFS('United Data'!$A$3:$A$3390,D$1,'United Data'!$C$3:$C$3390,$A1436)&gt;0,1,0)</f>
        <v>0</v>
      </c>
      <c r="E1436">
        <f>IF(COUNTIFS('United Data'!$A$3:$A$3390,E$1,'United Data'!$C$3:$C$3390,$A1436)&gt;0,1,0)</f>
        <v>0</v>
      </c>
      <c r="F1436">
        <f>IF(COUNTIFS('United Data'!$A$3:$A$3390,F$1,'United Data'!$C$3:$C$3390,$A1436)&gt;0,1,0)</f>
        <v>1</v>
      </c>
      <c r="G1436">
        <f>IF(COUNTIFS('United Data'!$A$3:$A$3390,G$1,'United Data'!$C$3:$C$3390,$A1436)&gt;0,1,0)</f>
        <v>0</v>
      </c>
      <c r="H1436">
        <f>IF(COUNTIFS('United Data'!$A$3:$A$3390,H$1,'United Data'!$C$3:$C$3390,$A1436)&gt;0,1,0)</f>
        <v>0</v>
      </c>
      <c r="I1436">
        <f>IF(COUNTIFS('United Data'!$A$3:$A$3390,I$1,'United Data'!$C$3:$C$3390,$A1436)&gt;0,1,0)</f>
        <v>0</v>
      </c>
      <c r="J1436">
        <f>IF(COUNTIFS('United Data'!$A$3:$A$3390,J$1,'United Data'!$C$3:$C$3390,$A1436)&gt;0,1,0)</f>
        <v>0</v>
      </c>
      <c r="K1436">
        <f>IF(COUNTIFS('United Data'!$A$3:$A$3390,K$1,'United Data'!$C$3:$C$3390,$A1436)&gt;0,1,0)</f>
        <v>0</v>
      </c>
      <c r="L1436">
        <f>IF(COUNTIFS('United Data'!$A$3:$A$3390,L$1,'United Data'!$C$3:$C$3390,$A1436)&gt;0,1,0)</f>
        <v>0</v>
      </c>
      <c r="M1436">
        <f>IF(COUNTIFS('United Data'!$A$3:$A$3390,M$1,'United Data'!$C$3:$C$3390,$A1436)&gt;0,1,0)</f>
        <v>0</v>
      </c>
      <c r="N1436">
        <f>IF(COUNTIFS('United Data'!$A$3:$A$3390,N$1,'United Data'!$C$3:$C$3390,$A1436)&gt;0,1,0)</f>
        <v>0</v>
      </c>
      <c r="O1436">
        <f>IF(COUNTIFS('United Data'!$A$3:$A$3390,O$1,'United Data'!$C$3:$C$3390,$A1436)&gt;0,1,0)</f>
        <v>0</v>
      </c>
      <c r="P1436">
        <f>IF(COUNTIFS('United Data'!$A$3:$A$3390,P$1,'United Data'!$C$3:$C$3390,$A1436)&gt;0,1,0)</f>
        <v>0</v>
      </c>
      <c r="Q1436">
        <f>IF(COUNTIFS('United Data'!$A$3:$A$3390,Q$1,'United Data'!$C$3:$C$3390,$A1436)&gt;0,1,0)</f>
        <v>0</v>
      </c>
      <c r="R1436">
        <f>IF(COUNTIFS('United Data'!$A$3:$A$3390,R$1,'United Data'!$C$3:$C$3390,$A1436)&gt;0,1,0)</f>
        <v>0</v>
      </c>
      <c r="S1436">
        <f t="shared" si="44"/>
        <v>1</v>
      </c>
      <c r="T1436">
        <f t="shared" si="45"/>
        <v>1</v>
      </c>
    </row>
    <row r="1437" spans="1:20" x14ac:dyDescent="0.2">
      <c r="A1437" t="s">
        <v>1705</v>
      </c>
      <c r="B1437">
        <f>IF(COUNTIFS('United Data'!$A$3:$A$3390,B$1,'United Data'!$C$3:$C$3390,$A1437)&gt;0,1,0)</f>
        <v>0</v>
      </c>
      <c r="C1437">
        <f>IF(COUNTIFS('United Data'!$A$3:$A$3390,C$1,'United Data'!$C$3:$C$3390,$A1437)&gt;0,1,0)</f>
        <v>0</v>
      </c>
      <c r="D1437">
        <f>IF(COUNTIFS('United Data'!$A$3:$A$3390,D$1,'United Data'!$C$3:$C$3390,$A1437)&gt;0,1,0)</f>
        <v>0</v>
      </c>
      <c r="E1437">
        <f>IF(COUNTIFS('United Data'!$A$3:$A$3390,E$1,'United Data'!$C$3:$C$3390,$A1437)&gt;0,1,0)</f>
        <v>0</v>
      </c>
      <c r="F1437">
        <f>IF(COUNTIFS('United Data'!$A$3:$A$3390,F$1,'United Data'!$C$3:$C$3390,$A1437)&gt;0,1,0)</f>
        <v>1</v>
      </c>
      <c r="G1437">
        <f>IF(COUNTIFS('United Data'!$A$3:$A$3390,G$1,'United Data'!$C$3:$C$3390,$A1437)&gt;0,1,0)</f>
        <v>0</v>
      </c>
      <c r="H1437">
        <f>IF(COUNTIFS('United Data'!$A$3:$A$3390,H$1,'United Data'!$C$3:$C$3390,$A1437)&gt;0,1,0)</f>
        <v>0</v>
      </c>
      <c r="I1437">
        <f>IF(COUNTIFS('United Data'!$A$3:$A$3390,I$1,'United Data'!$C$3:$C$3390,$A1437)&gt;0,1,0)</f>
        <v>0</v>
      </c>
      <c r="J1437">
        <f>IF(COUNTIFS('United Data'!$A$3:$A$3390,J$1,'United Data'!$C$3:$C$3390,$A1437)&gt;0,1,0)</f>
        <v>0</v>
      </c>
      <c r="K1437">
        <f>IF(COUNTIFS('United Data'!$A$3:$A$3390,K$1,'United Data'!$C$3:$C$3390,$A1437)&gt;0,1,0)</f>
        <v>0</v>
      </c>
      <c r="L1437">
        <f>IF(COUNTIFS('United Data'!$A$3:$A$3390,L$1,'United Data'!$C$3:$C$3390,$A1437)&gt;0,1,0)</f>
        <v>0</v>
      </c>
      <c r="M1437">
        <f>IF(COUNTIFS('United Data'!$A$3:$A$3390,M$1,'United Data'!$C$3:$C$3390,$A1437)&gt;0,1,0)</f>
        <v>0</v>
      </c>
      <c r="N1437">
        <f>IF(COUNTIFS('United Data'!$A$3:$A$3390,N$1,'United Data'!$C$3:$C$3390,$A1437)&gt;0,1,0)</f>
        <v>0</v>
      </c>
      <c r="O1437">
        <f>IF(COUNTIFS('United Data'!$A$3:$A$3390,O$1,'United Data'!$C$3:$C$3390,$A1437)&gt;0,1,0)</f>
        <v>0</v>
      </c>
      <c r="P1437">
        <f>IF(COUNTIFS('United Data'!$A$3:$A$3390,P$1,'United Data'!$C$3:$C$3390,$A1437)&gt;0,1,0)</f>
        <v>0</v>
      </c>
      <c r="Q1437">
        <f>IF(COUNTIFS('United Data'!$A$3:$A$3390,Q$1,'United Data'!$C$3:$C$3390,$A1437)&gt;0,1,0)</f>
        <v>0</v>
      </c>
      <c r="R1437">
        <f>IF(COUNTIFS('United Data'!$A$3:$A$3390,R$1,'United Data'!$C$3:$C$3390,$A1437)&gt;0,1,0)</f>
        <v>0</v>
      </c>
      <c r="S1437">
        <f t="shared" si="44"/>
        <v>1</v>
      </c>
      <c r="T1437">
        <f t="shared" si="45"/>
        <v>1</v>
      </c>
    </row>
    <row r="1438" spans="1:20" x14ac:dyDescent="0.2">
      <c r="A1438" t="s">
        <v>1707</v>
      </c>
      <c r="B1438">
        <f>IF(COUNTIFS('United Data'!$A$3:$A$3390,B$1,'United Data'!$C$3:$C$3390,$A1438)&gt;0,1,0)</f>
        <v>0</v>
      </c>
      <c r="C1438">
        <f>IF(COUNTIFS('United Data'!$A$3:$A$3390,C$1,'United Data'!$C$3:$C$3390,$A1438)&gt;0,1,0)</f>
        <v>0</v>
      </c>
      <c r="D1438">
        <f>IF(COUNTIFS('United Data'!$A$3:$A$3390,D$1,'United Data'!$C$3:$C$3390,$A1438)&gt;0,1,0)</f>
        <v>0</v>
      </c>
      <c r="E1438">
        <f>IF(COUNTIFS('United Data'!$A$3:$A$3390,E$1,'United Data'!$C$3:$C$3390,$A1438)&gt;0,1,0)</f>
        <v>0</v>
      </c>
      <c r="F1438">
        <f>IF(COUNTIFS('United Data'!$A$3:$A$3390,F$1,'United Data'!$C$3:$C$3390,$A1438)&gt;0,1,0)</f>
        <v>0</v>
      </c>
      <c r="G1438">
        <f>IF(COUNTIFS('United Data'!$A$3:$A$3390,G$1,'United Data'!$C$3:$C$3390,$A1438)&gt;0,1,0)</f>
        <v>1</v>
      </c>
      <c r="H1438">
        <f>IF(COUNTIFS('United Data'!$A$3:$A$3390,H$1,'United Data'!$C$3:$C$3390,$A1438)&gt;0,1,0)</f>
        <v>0</v>
      </c>
      <c r="I1438">
        <f>IF(COUNTIFS('United Data'!$A$3:$A$3390,I$1,'United Data'!$C$3:$C$3390,$A1438)&gt;0,1,0)</f>
        <v>0</v>
      </c>
      <c r="J1438">
        <f>IF(COUNTIFS('United Data'!$A$3:$A$3390,J$1,'United Data'!$C$3:$C$3390,$A1438)&gt;0,1,0)</f>
        <v>0</v>
      </c>
      <c r="K1438">
        <f>IF(COUNTIFS('United Data'!$A$3:$A$3390,K$1,'United Data'!$C$3:$C$3390,$A1438)&gt;0,1,0)</f>
        <v>0</v>
      </c>
      <c r="L1438">
        <f>IF(COUNTIFS('United Data'!$A$3:$A$3390,L$1,'United Data'!$C$3:$C$3390,$A1438)&gt;0,1,0)</f>
        <v>0</v>
      </c>
      <c r="M1438">
        <f>IF(COUNTIFS('United Data'!$A$3:$A$3390,M$1,'United Data'!$C$3:$C$3390,$A1438)&gt;0,1,0)</f>
        <v>0</v>
      </c>
      <c r="N1438">
        <f>IF(COUNTIFS('United Data'!$A$3:$A$3390,N$1,'United Data'!$C$3:$C$3390,$A1438)&gt;0,1,0)</f>
        <v>0</v>
      </c>
      <c r="O1438">
        <f>IF(COUNTIFS('United Data'!$A$3:$A$3390,O$1,'United Data'!$C$3:$C$3390,$A1438)&gt;0,1,0)</f>
        <v>0</v>
      </c>
      <c r="P1438">
        <f>IF(COUNTIFS('United Data'!$A$3:$A$3390,P$1,'United Data'!$C$3:$C$3390,$A1438)&gt;0,1,0)</f>
        <v>0</v>
      </c>
      <c r="Q1438">
        <f>IF(COUNTIFS('United Data'!$A$3:$A$3390,Q$1,'United Data'!$C$3:$C$3390,$A1438)&gt;0,1,0)</f>
        <v>0</v>
      </c>
      <c r="R1438">
        <f>IF(COUNTIFS('United Data'!$A$3:$A$3390,R$1,'United Data'!$C$3:$C$3390,$A1438)&gt;0,1,0)</f>
        <v>0</v>
      </c>
      <c r="S1438">
        <f t="shared" si="44"/>
        <v>1</v>
      </c>
      <c r="T1438">
        <f t="shared" si="45"/>
        <v>1</v>
      </c>
    </row>
    <row r="1439" spans="1:20" x14ac:dyDescent="0.2">
      <c r="A1439" t="s">
        <v>1708</v>
      </c>
      <c r="B1439">
        <f>IF(COUNTIFS('United Data'!$A$3:$A$3390,B$1,'United Data'!$C$3:$C$3390,$A1439)&gt;0,1,0)</f>
        <v>0</v>
      </c>
      <c r="C1439">
        <f>IF(COUNTIFS('United Data'!$A$3:$A$3390,C$1,'United Data'!$C$3:$C$3390,$A1439)&gt;0,1,0)</f>
        <v>0</v>
      </c>
      <c r="D1439">
        <f>IF(COUNTIFS('United Data'!$A$3:$A$3390,D$1,'United Data'!$C$3:$C$3390,$A1439)&gt;0,1,0)</f>
        <v>0</v>
      </c>
      <c r="E1439">
        <f>IF(COUNTIFS('United Data'!$A$3:$A$3390,E$1,'United Data'!$C$3:$C$3390,$A1439)&gt;0,1,0)</f>
        <v>0</v>
      </c>
      <c r="F1439">
        <f>IF(COUNTIFS('United Data'!$A$3:$A$3390,F$1,'United Data'!$C$3:$C$3390,$A1439)&gt;0,1,0)</f>
        <v>0</v>
      </c>
      <c r="G1439">
        <f>IF(COUNTIFS('United Data'!$A$3:$A$3390,G$1,'United Data'!$C$3:$C$3390,$A1439)&gt;0,1,0)</f>
        <v>1</v>
      </c>
      <c r="H1439">
        <f>IF(COUNTIFS('United Data'!$A$3:$A$3390,H$1,'United Data'!$C$3:$C$3390,$A1439)&gt;0,1,0)</f>
        <v>0</v>
      </c>
      <c r="I1439">
        <f>IF(COUNTIFS('United Data'!$A$3:$A$3390,I$1,'United Data'!$C$3:$C$3390,$A1439)&gt;0,1,0)</f>
        <v>0</v>
      </c>
      <c r="J1439">
        <f>IF(COUNTIFS('United Data'!$A$3:$A$3390,J$1,'United Data'!$C$3:$C$3390,$A1439)&gt;0,1,0)</f>
        <v>0</v>
      </c>
      <c r="K1439">
        <f>IF(COUNTIFS('United Data'!$A$3:$A$3390,K$1,'United Data'!$C$3:$C$3390,$A1439)&gt;0,1,0)</f>
        <v>0</v>
      </c>
      <c r="L1439">
        <f>IF(COUNTIFS('United Data'!$A$3:$A$3390,L$1,'United Data'!$C$3:$C$3390,$A1439)&gt;0,1,0)</f>
        <v>0</v>
      </c>
      <c r="M1439">
        <f>IF(COUNTIFS('United Data'!$A$3:$A$3390,M$1,'United Data'!$C$3:$C$3390,$A1439)&gt;0,1,0)</f>
        <v>0</v>
      </c>
      <c r="N1439">
        <f>IF(COUNTIFS('United Data'!$A$3:$A$3390,N$1,'United Data'!$C$3:$C$3390,$A1439)&gt;0,1,0)</f>
        <v>0</v>
      </c>
      <c r="O1439">
        <f>IF(COUNTIFS('United Data'!$A$3:$A$3390,O$1,'United Data'!$C$3:$C$3390,$A1439)&gt;0,1,0)</f>
        <v>0</v>
      </c>
      <c r="P1439">
        <f>IF(COUNTIFS('United Data'!$A$3:$A$3390,P$1,'United Data'!$C$3:$C$3390,$A1439)&gt;0,1,0)</f>
        <v>0</v>
      </c>
      <c r="Q1439">
        <f>IF(COUNTIFS('United Data'!$A$3:$A$3390,Q$1,'United Data'!$C$3:$C$3390,$A1439)&gt;0,1,0)</f>
        <v>0</v>
      </c>
      <c r="R1439">
        <f>IF(COUNTIFS('United Data'!$A$3:$A$3390,R$1,'United Data'!$C$3:$C$3390,$A1439)&gt;0,1,0)</f>
        <v>0</v>
      </c>
      <c r="S1439">
        <f t="shared" si="44"/>
        <v>1</v>
      </c>
      <c r="T1439">
        <f t="shared" si="45"/>
        <v>1</v>
      </c>
    </row>
    <row r="1440" spans="1:20" x14ac:dyDescent="0.2">
      <c r="A1440" t="s">
        <v>1709</v>
      </c>
      <c r="B1440">
        <f>IF(COUNTIFS('United Data'!$A$3:$A$3390,B$1,'United Data'!$C$3:$C$3390,$A1440)&gt;0,1,0)</f>
        <v>0</v>
      </c>
      <c r="C1440">
        <f>IF(COUNTIFS('United Data'!$A$3:$A$3390,C$1,'United Data'!$C$3:$C$3390,$A1440)&gt;0,1,0)</f>
        <v>0</v>
      </c>
      <c r="D1440">
        <f>IF(COUNTIFS('United Data'!$A$3:$A$3390,D$1,'United Data'!$C$3:$C$3390,$A1440)&gt;0,1,0)</f>
        <v>0</v>
      </c>
      <c r="E1440">
        <f>IF(COUNTIFS('United Data'!$A$3:$A$3390,E$1,'United Data'!$C$3:$C$3390,$A1440)&gt;0,1,0)</f>
        <v>0</v>
      </c>
      <c r="F1440">
        <f>IF(COUNTIFS('United Data'!$A$3:$A$3390,F$1,'United Data'!$C$3:$C$3390,$A1440)&gt;0,1,0)</f>
        <v>0</v>
      </c>
      <c r="G1440">
        <f>IF(COUNTIFS('United Data'!$A$3:$A$3390,G$1,'United Data'!$C$3:$C$3390,$A1440)&gt;0,1,0)</f>
        <v>1</v>
      </c>
      <c r="H1440">
        <f>IF(COUNTIFS('United Data'!$A$3:$A$3390,H$1,'United Data'!$C$3:$C$3390,$A1440)&gt;0,1,0)</f>
        <v>0</v>
      </c>
      <c r="I1440">
        <f>IF(COUNTIFS('United Data'!$A$3:$A$3390,I$1,'United Data'!$C$3:$C$3390,$A1440)&gt;0,1,0)</f>
        <v>1</v>
      </c>
      <c r="J1440">
        <f>IF(COUNTIFS('United Data'!$A$3:$A$3390,J$1,'United Data'!$C$3:$C$3390,$A1440)&gt;0,1,0)</f>
        <v>0</v>
      </c>
      <c r="K1440">
        <f>IF(COUNTIFS('United Data'!$A$3:$A$3390,K$1,'United Data'!$C$3:$C$3390,$A1440)&gt;0,1,0)</f>
        <v>0</v>
      </c>
      <c r="L1440">
        <f>IF(COUNTIFS('United Data'!$A$3:$A$3390,L$1,'United Data'!$C$3:$C$3390,$A1440)&gt;0,1,0)</f>
        <v>0</v>
      </c>
      <c r="M1440">
        <f>IF(COUNTIFS('United Data'!$A$3:$A$3390,M$1,'United Data'!$C$3:$C$3390,$A1440)&gt;0,1,0)</f>
        <v>0</v>
      </c>
      <c r="N1440">
        <f>IF(COUNTIFS('United Data'!$A$3:$A$3390,N$1,'United Data'!$C$3:$C$3390,$A1440)&gt;0,1,0)</f>
        <v>0</v>
      </c>
      <c r="O1440">
        <f>IF(COUNTIFS('United Data'!$A$3:$A$3390,O$1,'United Data'!$C$3:$C$3390,$A1440)&gt;0,1,0)</f>
        <v>0</v>
      </c>
      <c r="P1440">
        <f>IF(COUNTIFS('United Data'!$A$3:$A$3390,P$1,'United Data'!$C$3:$C$3390,$A1440)&gt;0,1,0)</f>
        <v>0</v>
      </c>
      <c r="Q1440">
        <f>IF(COUNTIFS('United Data'!$A$3:$A$3390,Q$1,'United Data'!$C$3:$C$3390,$A1440)&gt;0,1,0)</f>
        <v>0</v>
      </c>
      <c r="R1440">
        <f>IF(COUNTIFS('United Data'!$A$3:$A$3390,R$1,'United Data'!$C$3:$C$3390,$A1440)&gt;0,1,0)</f>
        <v>0</v>
      </c>
      <c r="S1440">
        <f t="shared" si="44"/>
        <v>2</v>
      </c>
      <c r="T1440">
        <f t="shared" si="45"/>
        <v>2</v>
      </c>
    </row>
    <row r="1441" spans="1:20" x14ac:dyDescent="0.2">
      <c r="A1441" t="s">
        <v>1710</v>
      </c>
      <c r="B1441">
        <f>IF(COUNTIFS('United Data'!$A$3:$A$3390,B$1,'United Data'!$C$3:$C$3390,$A1441)&gt;0,1,0)</f>
        <v>0</v>
      </c>
      <c r="C1441">
        <f>IF(COUNTIFS('United Data'!$A$3:$A$3390,C$1,'United Data'!$C$3:$C$3390,$A1441)&gt;0,1,0)</f>
        <v>0</v>
      </c>
      <c r="D1441">
        <f>IF(COUNTIFS('United Data'!$A$3:$A$3390,D$1,'United Data'!$C$3:$C$3390,$A1441)&gt;0,1,0)</f>
        <v>0</v>
      </c>
      <c r="E1441">
        <f>IF(COUNTIFS('United Data'!$A$3:$A$3390,E$1,'United Data'!$C$3:$C$3390,$A1441)&gt;0,1,0)</f>
        <v>0</v>
      </c>
      <c r="F1441">
        <f>IF(COUNTIFS('United Data'!$A$3:$A$3390,F$1,'United Data'!$C$3:$C$3390,$A1441)&gt;0,1,0)</f>
        <v>0</v>
      </c>
      <c r="G1441">
        <f>IF(COUNTIFS('United Data'!$A$3:$A$3390,G$1,'United Data'!$C$3:$C$3390,$A1441)&gt;0,1,0)</f>
        <v>1</v>
      </c>
      <c r="H1441">
        <f>IF(COUNTIFS('United Data'!$A$3:$A$3390,H$1,'United Data'!$C$3:$C$3390,$A1441)&gt;0,1,0)</f>
        <v>0</v>
      </c>
      <c r="I1441">
        <f>IF(COUNTIFS('United Data'!$A$3:$A$3390,I$1,'United Data'!$C$3:$C$3390,$A1441)&gt;0,1,0)</f>
        <v>0</v>
      </c>
      <c r="J1441">
        <f>IF(COUNTIFS('United Data'!$A$3:$A$3390,J$1,'United Data'!$C$3:$C$3390,$A1441)&gt;0,1,0)</f>
        <v>0</v>
      </c>
      <c r="K1441">
        <f>IF(COUNTIFS('United Data'!$A$3:$A$3390,K$1,'United Data'!$C$3:$C$3390,$A1441)&gt;0,1,0)</f>
        <v>0</v>
      </c>
      <c r="L1441">
        <f>IF(COUNTIFS('United Data'!$A$3:$A$3390,L$1,'United Data'!$C$3:$C$3390,$A1441)&gt;0,1,0)</f>
        <v>0</v>
      </c>
      <c r="M1441">
        <f>IF(COUNTIFS('United Data'!$A$3:$A$3390,M$1,'United Data'!$C$3:$C$3390,$A1441)&gt;0,1,0)</f>
        <v>0</v>
      </c>
      <c r="N1441">
        <f>IF(COUNTIFS('United Data'!$A$3:$A$3390,N$1,'United Data'!$C$3:$C$3390,$A1441)&gt;0,1,0)</f>
        <v>0</v>
      </c>
      <c r="O1441">
        <f>IF(COUNTIFS('United Data'!$A$3:$A$3390,O$1,'United Data'!$C$3:$C$3390,$A1441)&gt;0,1,0)</f>
        <v>0</v>
      </c>
      <c r="P1441">
        <f>IF(COUNTIFS('United Data'!$A$3:$A$3390,P$1,'United Data'!$C$3:$C$3390,$A1441)&gt;0,1,0)</f>
        <v>0</v>
      </c>
      <c r="Q1441">
        <f>IF(COUNTIFS('United Data'!$A$3:$A$3390,Q$1,'United Data'!$C$3:$C$3390,$A1441)&gt;0,1,0)</f>
        <v>0</v>
      </c>
      <c r="R1441">
        <f>IF(COUNTIFS('United Data'!$A$3:$A$3390,R$1,'United Data'!$C$3:$C$3390,$A1441)&gt;0,1,0)</f>
        <v>0</v>
      </c>
      <c r="S1441">
        <f t="shared" si="44"/>
        <v>1</v>
      </c>
      <c r="T1441">
        <f t="shared" si="45"/>
        <v>1</v>
      </c>
    </row>
    <row r="1442" spans="1:20" x14ac:dyDescent="0.2">
      <c r="A1442" t="s">
        <v>1711</v>
      </c>
      <c r="B1442">
        <f>IF(COUNTIFS('United Data'!$A$3:$A$3390,B$1,'United Data'!$C$3:$C$3390,$A1442)&gt;0,1,0)</f>
        <v>0</v>
      </c>
      <c r="C1442">
        <f>IF(COUNTIFS('United Data'!$A$3:$A$3390,C$1,'United Data'!$C$3:$C$3390,$A1442)&gt;0,1,0)</f>
        <v>0</v>
      </c>
      <c r="D1442">
        <f>IF(COUNTIFS('United Data'!$A$3:$A$3390,D$1,'United Data'!$C$3:$C$3390,$A1442)&gt;0,1,0)</f>
        <v>0</v>
      </c>
      <c r="E1442">
        <f>IF(COUNTIFS('United Data'!$A$3:$A$3390,E$1,'United Data'!$C$3:$C$3390,$A1442)&gt;0,1,0)</f>
        <v>0</v>
      </c>
      <c r="F1442">
        <f>IF(COUNTIFS('United Data'!$A$3:$A$3390,F$1,'United Data'!$C$3:$C$3390,$A1442)&gt;0,1,0)</f>
        <v>0</v>
      </c>
      <c r="G1442">
        <f>IF(COUNTIFS('United Data'!$A$3:$A$3390,G$1,'United Data'!$C$3:$C$3390,$A1442)&gt;0,1,0)</f>
        <v>0</v>
      </c>
      <c r="H1442">
        <f>IF(COUNTIFS('United Data'!$A$3:$A$3390,H$1,'United Data'!$C$3:$C$3390,$A1442)&gt;0,1,0)</f>
        <v>1</v>
      </c>
      <c r="I1442">
        <f>IF(COUNTIFS('United Data'!$A$3:$A$3390,I$1,'United Data'!$C$3:$C$3390,$A1442)&gt;0,1,0)</f>
        <v>0</v>
      </c>
      <c r="J1442">
        <f>IF(COUNTIFS('United Data'!$A$3:$A$3390,J$1,'United Data'!$C$3:$C$3390,$A1442)&gt;0,1,0)</f>
        <v>0</v>
      </c>
      <c r="K1442">
        <f>IF(COUNTIFS('United Data'!$A$3:$A$3390,K$1,'United Data'!$C$3:$C$3390,$A1442)&gt;0,1,0)</f>
        <v>0</v>
      </c>
      <c r="L1442">
        <f>IF(COUNTIFS('United Data'!$A$3:$A$3390,L$1,'United Data'!$C$3:$C$3390,$A1442)&gt;0,1,0)</f>
        <v>0</v>
      </c>
      <c r="M1442">
        <f>IF(COUNTIFS('United Data'!$A$3:$A$3390,M$1,'United Data'!$C$3:$C$3390,$A1442)&gt;0,1,0)</f>
        <v>0</v>
      </c>
      <c r="N1442">
        <f>IF(COUNTIFS('United Data'!$A$3:$A$3390,N$1,'United Data'!$C$3:$C$3390,$A1442)&gt;0,1,0)</f>
        <v>0</v>
      </c>
      <c r="O1442">
        <f>IF(COUNTIFS('United Data'!$A$3:$A$3390,O$1,'United Data'!$C$3:$C$3390,$A1442)&gt;0,1,0)</f>
        <v>0</v>
      </c>
      <c r="P1442">
        <f>IF(COUNTIFS('United Data'!$A$3:$A$3390,P$1,'United Data'!$C$3:$C$3390,$A1442)&gt;0,1,0)</f>
        <v>0</v>
      </c>
      <c r="Q1442">
        <f>IF(COUNTIFS('United Data'!$A$3:$A$3390,Q$1,'United Data'!$C$3:$C$3390,$A1442)&gt;0,1,0)</f>
        <v>0</v>
      </c>
      <c r="R1442">
        <f>IF(COUNTIFS('United Data'!$A$3:$A$3390,R$1,'United Data'!$C$3:$C$3390,$A1442)&gt;0,1,0)</f>
        <v>0</v>
      </c>
      <c r="S1442">
        <f t="shared" si="44"/>
        <v>1</v>
      </c>
      <c r="T1442">
        <f t="shared" si="45"/>
        <v>1</v>
      </c>
    </row>
    <row r="1443" spans="1:20" x14ac:dyDescent="0.2">
      <c r="A1443" t="s">
        <v>1712</v>
      </c>
      <c r="B1443">
        <f>IF(COUNTIFS('United Data'!$A$3:$A$3390,B$1,'United Data'!$C$3:$C$3390,$A1443)&gt;0,1,0)</f>
        <v>0</v>
      </c>
      <c r="C1443">
        <f>IF(COUNTIFS('United Data'!$A$3:$A$3390,C$1,'United Data'!$C$3:$C$3390,$A1443)&gt;0,1,0)</f>
        <v>0</v>
      </c>
      <c r="D1443">
        <f>IF(COUNTIFS('United Data'!$A$3:$A$3390,D$1,'United Data'!$C$3:$C$3390,$A1443)&gt;0,1,0)</f>
        <v>0</v>
      </c>
      <c r="E1443">
        <f>IF(COUNTIFS('United Data'!$A$3:$A$3390,E$1,'United Data'!$C$3:$C$3390,$A1443)&gt;0,1,0)</f>
        <v>0</v>
      </c>
      <c r="F1443">
        <f>IF(COUNTIFS('United Data'!$A$3:$A$3390,F$1,'United Data'!$C$3:$C$3390,$A1443)&gt;0,1,0)</f>
        <v>0</v>
      </c>
      <c r="G1443">
        <f>IF(COUNTIFS('United Data'!$A$3:$A$3390,G$1,'United Data'!$C$3:$C$3390,$A1443)&gt;0,1,0)</f>
        <v>0</v>
      </c>
      <c r="H1443">
        <f>IF(COUNTIFS('United Data'!$A$3:$A$3390,H$1,'United Data'!$C$3:$C$3390,$A1443)&gt;0,1,0)</f>
        <v>1</v>
      </c>
      <c r="I1443">
        <f>IF(COUNTIFS('United Data'!$A$3:$A$3390,I$1,'United Data'!$C$3:$C$3390,$A1443)&gt;0,1,0)</f>
        <v>0</v>
      </c>
      <c r="J1443">
        <f>IF(COUNTIFS('United Data'!$A$3:$A$3390,J$1,'United Data'!$C$3:$C$3390,$A1443)&gt;0,1,0)</f>
        <v>0</v>
      </c>
      <c r="K1443">
        <f>IF(COUNTIFS('United Data'!$A$3:$A$3390,K$1,'United Data'!$C$3:$C$3390,$A1443)&gt;0,1,0)</f>
        <v>0</v>
      </c>
      <c r="L1443">
        <f>IF(COUNTIFS('United Data'!$A$3:$A$3390,L$1,'United Data'!$C$3:$C$3390,$A1443)&gt;0,1,0)</f>
        <v>0</v>
      </c>
      <c r="M1443">
        <f>IF(COUNTIFS('United Data'!$A$3:$A$3390,M$1,'United Data'!$C$3:$C$3390,$A1443)&gt;0,1,0)</f>
        <v>0</v>
      </c>
      <c r="N1443">
        <f>IF(COUNTIFS('United Data'!$A$3:$A$3390,N$1,'United Data'!$C$3:$C$3390,$A1443)&gt;0,1,0)</f>
        <v>0</v>
      </c>
      <c r="O1443">
        <f>IF(COUNTIFS('United Data'!$A$3:$A$3390,O$1,'United Data'!$C$3:$C$3390,$A1443)&gt;0,1,0)</f>
        <v>0</v>
      </c>
      <c r="P1443">
        <f>IF(COUNTIFS('United Data'!$A$3:$A$3390,P$1,'United Data'!$C$3:$C$3390,$A1443)&gt;0,1,0)</f>
        <v>0</v>
      </c>
      <c r="Q1443">
        <f>IF(COUNTIFS('United Data'!$A$3:$A$3390,Q$1,'United Data'!$C$3:$C$3390,$A1443)&gt;0,1,0)</f>
        <v>0</v>
      </c>
      <c r="R1443">
        <f>IF(COUNTIFS('United Data'!$A$3:$A$3390,R$1,'United Data'!$C$3:$C$3390,$A1443)&gt;0,1,0)</f>
        <v>0</v>
      </c>
      <c r="S1443">
        <f t="shared" si="44"/>
        <v>1</v>
      </c>
      <c r="T1443">
        <f t="shared" si="45"/>
        <v>1</v>
      </c>
    </row>
    <row r="1444" spans="1:20" x14ac:dyDescent="0.2">
      <c r="A1444" t="s">
        <v>1713</v>
      </c>
      <c r="B1444">
        <f>IF(COUNTIFS('United Data'!$A$3:$A$3390,B$1,'United Data'!$C$3:$C$3390,$A1444)&gt;0,1,0)</f>
        <v>0</v>
      </c>
      <c r="C1444">
        <f>IF(COUNTIFS('United Data'!$A$3:$A$3390,C$1,'United Data'!$C$3:$C$3390,$A1444)&gt;0,1,0)</f>
        <v>0</v>
      </c>
      <c r="D1444">
        <f>IF(COUNTIFS('United Data'!$A$3:$A$3390,D$1,'United Data'!$C$3:$C$3390,$A1444)&gt;0,1,0)</f>
        <v>0</v>
      </c>
      <c r="E1444">
        <f>IF(COUNTIFS('United Data'!$A$3:$A$3390,E$1,'United Data'!$C$3:$C$3390,$A1444)&gt;0,1,0)</f>
        <v>0</v>
      </c>
      <c r="F1444">
        <f>IF(COUNTIFS('United Data'!$A$3:$A$3390,F$1,'United Data'!$C$3:$C$3390,$A1444)&gt;0,1,0)</f>
        <v>0</v>
      </c>
      <c r="G1444">
        <f>IF(COUNTIFS('United Data'!$A$3:$A$3390,G$1,'United Data'!$C$3:$C$3390,$A1444)&gt;0,1,0)</f>
        <v>0</v>
      </c>
      <c r="H1444">
        <f>IF(COUNTIFS('United Data'!$A$3:$A$3390,H$1,'United Data'!$C$3:$C$3390,$A1444)&gt;0,1,0)</f>
        <v>1</v>
      </c>
      <c r="I1444">
        <f>IF(COUNTIFS('United Data'!$A$3:$A$3390,I$1,'United Data'!$C$3:$C$3390,$A1444)&gt;0,1,0)</f>
        <v>0</v>
      </c>
      <c r="J1444">
        <f>IF(COUNTIFS('United Data'!$A$3:$A$3390,J$1,'United Data'!$C$3:$C$3390,$A1444)&gt;0,1,0)</f>
        <v>0</v>
      </c>
      <c r="K1444">
        <f>IF(COUNTIFS('United Data'!$A$3:$A$3390,K$1,'United Data'!$C$3:$C$3390,$A1444)&gt;0,1,0)</f>
        <v>0</v>
      </c>
      <c r="L1444">
        <f>IF(COUNTIFS('United Data'!$A$3:$A$3390,L$1,'United Data'!$C$3:$C$3390,$A1444)&gt;0,1,0)</f>
        <v>0</v>
      </c>
      <c r="M1444">
        <f>IF(COUNTIFS('United Data'!$A$3:$A$3390,M$1,'United Data'!$C$3:$C$3390,$A1444)&gt;0,1,0)</f>
        <v>0</v>
      </c>
      <c r="N1444">
        <f>IF(COUNTIFS('United Data'!$A$3:$A$3390,N$1,'United Data'!$C$3:$C$3390,$A1444)&gt;0,1,0)</f>
        <v>0</v>
      </c>
      <c r="O1444">
        <f>IF(COUNTIFS('United Data'!$A$3:$A$3390,O$1,'United Data'!$C$3:$C$3390,$A1444)&gt;0,1,0)</f>
        <v>0</v>
      </c>
      <c r="P1444">
        <f>IF(COUNTIFS('United Data'!$A$3:$A$3390,P$1,'United Data'!$C$3:$C$3390,$A1444)&gt;0,1,0)</f>
        <v>0</v>
      </c>
      <c r="Q1444">
        <f>IF(COUNTIFS('United Data'!$A$3:$A$3390,Q$1,'United Data'!$C$3:$C$3390,$A1444)&gt;0,1,0)</f>
        <v>0</v>
      </c>
      <c r="R1444">
        <f>IF(COUNTIFS('United Data'!$A$3:$A$3390,R$1,'United Data'!$C$3:$C$3390,$A1444)&gt;0,1,0)</f>
        <v>0</v>
      </c>
      <c r="S1444">
        <f t="shared" si="44"/>
        <v>1</v>
      </c>
      <c r="T1444">
        <f t="shared" si="45"/>
        <v>1</v>
      </c>
    </row>
    <row r="1445" spans="1:20" x14ac:dyDescent="0.2">
      <c r="A1445" t="s">
        <v>1714</v>
      </c>
      <c r="B1445">
        <f>IF(COUNTIFS('United Data'!$A$3:$A$3390,B$1,'United Data'!$C$3:$C$3390,$A1445)&gt;0,1,0)</f>
        <v>0</v>
      </c>
      <c r="C1445">
        <f>IF(COUNTIFS('United Data'!$A$3:$A$3390,C$1,'United Data'!$C$3:$C$3390,$A1445)&gt;0,1,0)</f>
        <v>0</v>
      </c>
      <c r="D1445">
        <f>IF(COUNTIFS('United Data'!$A$3:$A$3390,D$1,'United Data'!$C$3:$C$3390,$A1445)&gt;0,1,0)</f>
        <v>0</v>
      </c>
      <c r="E1445">
        <f>IF(COUNTIFS('United Data'!$A$3:$A$3390,E$1,'United Data'!$C$3:$C$3390,$A1445)&gt;0,1,0)</f>
        <v>0</v>
      </c>
      <c r="F1445">
        <f>IF(COUNTIFS('United Data'!$A$3:$A$3390,F$1,'United Data'!$C$3:$C$3390,$A1445)&gt;0,1,0)</f>
        <v>0</v>
      </c>
      <c r="G1445">
        <f>IF(COUNTIFS('United Data'!$A$3:$A$3390,G$1,'United Data'!$C$3:$C$3390,$A1445)&gt;0,1,0)</f>
        <v>0</v>
      </c>
      <c r="H1445">
        <f>IF(COUNTIFS('United Data'!$A$3:$A$3390,H$1,'United Data'!$C$3:$C$3390,$A1445)&gt;0,1,0)</f>
        <v>1</v>
      </c>
      <c r="I1445">
        <f>IF(COUNTIFS('United Data'!$A$3:$A$3390,I$1,'United Data'!$C$3:$C$3390,$A1445)&gt;0,1,0)</f>
        <v>0</v>
      </c>
      <c r="J1445">
        <f>IF(COUNTIFS('United Data'!$A$3:$A$3390,J$1,'United Data'!$C$3:$C$3390,$A1445)&gt;0,1,0)</f>
        <v>0</v>
      </c>
      <c r="K1445">
        <f>IF(COUNTIFS('United Data'!$A$3:$A$3390,K$1,'United Data'!$C$3:$C$3390,$A1445)&gt;0,1,0)</f>
        <v>0</v>
      </c>
      <c r="L1445">
        <f>IF(COUNTIFS('United Data'!$A$3:$A$3390,L$1,'United Data'!$C$3:$C$3390,$A1445)&gt;0,1,0)</f>
        <v>0</v>
      </c>
      <c r="M1445">
        <f>IF(COUNTIFS('United Data'!$A$3:$A$3390,M$1,'United Data'!$C$3:$C$3390,$A1445)&gt;0,1,0)</f>
        <v>0</v>
      </c>
      <c r="N1445">
        <f>IF(COUNTIFS('United Data'!$A$3:$A$3390,N$1,'United Data'!$C$3:$C$3390,$A1445)&gt;0,1,0)</f>
        <v>0</v>
      </c>
      <c r="O1445">
        <f>IF(COUNTIFS('United Data'!$A$3:$A$3390,O$1,'United Data'!$C$3:$C$3390,$A1445)&gt;0,1,0)</f>
        <v>0</v>
      </c>
      <c r="P1445">
        <f>IF(COUNTIFS('United Data'!$A$3:$A$3390,P$1,'United Data'!$C$3:$C$3390,$A1445)&gt;0,1,0)</f>
        <v>0</v>
      </c>
      <c r="Q1445">
        <f>IF(COUNTIFS('United Data'!$A$3:$A$3390,Q$1,'United Data'!$C$3:$C$3390,$A1445)&gt;0,1,0)</f>
        <v>0</v>
      </c>
      <c r="R1445">
        <f>IF(COUNTIFS('United Data'!$A$3:$A$3390,R$1,'United Data'!$C$3:$C$3390,$A1445)&gt;0,1,0)</f>
        <v>0</v>
      </c>
      <c r="S1445">
        <f t="shared" si="44"/>
        <v>1</v>
      </c>
      <c r="T1445">
        <f t="shared" si="45"/>
        <v>1</v>
      </c>
    </row>
    <row r="1446" spans="1:20" x14ac:dyDescent="0.2">
      <c r="A1446" t="s">
        <v>1715</v>
      </c>
      <c r="B1446">
        <f>IF(COUNTIFS('United Data'!$A$3:$A$3390,B$1,'United Data'!$C$3:$C$3390,$A1446)&gt;0,1,0)</f>
        <v>0</v>
      </c>
      <c r="C1446">
        <f>IF(COUNTIFS('United Data'!$A$3:$A$3390,C$1,'United Data'!$C$3:$C$3390,$A1446)&gt;0,1,0)</f>
        <v>0</v>
      </c>
      <c r="D1446">
        <f>IF(COUNTIFS('United Data'!$A$3:$A$3390,D$1,'United Data'!$C$3:$C$3390,$A1446)&gt;0,1,0)</f>
        <v>0</v>
      </c>
      <c r="E1446">
        <f>IF(COUNTIFS('United Data'!$A$3:$A$3390,E$1,'United Data'!$C$3:$C$3390,$A1446)&gt;0,1,0)</f>
        <v>0</v>
      </c>
      <c r="F1446">
        <f>IF(COUNTIFS('United Data'!$A$3:$A$3390,F$1,'United Data'!$C$3:$C$3390,$A1446)&gt;0,1,0)</f>
        <v>0</v>
      </c>
      <c r="G1446">
        <f>IF(COUNTIFS('United Data'!$A$3:$A$3390,G$1,'United Data'!$C$3:$C$3390,$A1446)&gt;0,1,0)</f>
        <v>0</v>
      </c>
      <c r="H1446">
        <f>IF(COUNTIFS('United Data'!$A$3:$A$3390,H$1,'United Data'!$C$3:$C$3390,$A1446)&gt;0,1,0)</f>
        <v>0</v>
      </c>
      <c r="I1446">
        <f>IF(COUNTIFS('United Data'!$A$3:$A$3390,I$1,'United Data'!$C$3:$C$3390,$A1446)&gt;0,1,0)</f>
        <v>1</v>
      </c>
      <c r="J1446">
        <f>IF(COUNTIFS('United Data'!$A$3:$A$3390,J$1,'United Data'!$C$3:$C$3390,$A1446)&gt;0,1,0)</f>
        <v>0</v>
      </c>
      <c r="K1446">
        <f>IF(COUNTIFS('United Data'!$A$3:$A$3390,K$1,'United Data'!$C$3:$C$3390,$A1446)&gt;0,1,0)</f>
        <v>0</v>
      </c>
      <c r="L1446">
        <f>IF(COUNTIFS('United Data'!$A$3:$A$3390,L$1,'United Data'!$C$3:$C$3390,$A1446)&gt;0,1,0)</f>
        <v>1</v>
      </c>
      <c r="M1446">
        <f>IF(COUNTIFS('United Data'!$A$3:$A$3390,M$1,'United Data'!$C$3:$C$3390,$A1446)&gt;0,1,0)</f>
        <v>0</v>
      </c>
      <c r="N1446">
        <f>IF(COUNTIFS('United Data'!$A$3:$A$3390,N$1,'United Data'!$C$3:$C$3390,$A1446)&gt;0,1,0)</f>
        <v>0</v>
      </c>
      <c r="O1446">
        <f>IF(COUNTIFS('United Data'!$A$3:$A$3390,O$1,'United Data'!$C$3:$C$3390,$A1446)&gt;0,1,0)</f>
        <v>0</v>
      </c>
      <c r="P1446">
        <f>IF(COUNTIFS('United Data'!$A$3:$A$3390,P$1,'United Data'!$C$3:$C$3390,$A1446)&gt;0,1,0)</f>
        <v>0</v>
      </c>
      <c r="Q1446">
        <f>IF(COUNTIFS('United Data'!$A$3:$A$3390,Q$1,'United Data'!$C$3:$C$3390,$A1446)&gt;0,1,0)</f>
        <v>0</v>
      </c>
      <c r="R1446">
        <f>IF(COUNTIFS('United Data'!$A$3:$A$3390,R$1,'United Data'!$C$3:$C$3390,$A1446)&gt;0,1,0)</f>
        <v>0</v>
      </c>
      <c r="S1446">
        <f t="shared" si="44"/>
        <v>2</v>
      </c>
      <c r="T1446">
        <f t="shared" si="45"/>
        <v>2</v>
      </c>
    </row>
    <row r="1447" spans="1:20" x14ac:dyDescent="0.2">
      <c r="A1447" t="s">
        <v>1716</v>
      </c>
      <c r="B1447">
        <f>IF(COUNTIFS('United Data'!$A$3:$A$3390,B$1,'United Data'!$C$3:$C$3390,$A1447)&gt;0,1,0)</f>
        <v>0</v>
      </c>
      <c r="C1447">
        <f>IF(COUNTIFS('United Data'!$A$3:$A$3390,C$1,'United Data'!$C$3:$C$3390,$A1447)&gt;0,1,0)</f>
        <v>0</v>
      </c>
      <c r="D1447">
        <f>IF(COUNTIFS('United Data'!$A$3:$A$3390,D$1,'United Data'!$C$3:$C$3390,$A1447)&gt;0,1,0)</f>
        <v>0</v>
      </c>
      <c r="E1447">
        <f>IF(COUNTIFS('United Data'!$A$3:$A$3390,E$1,'United Data'!$C$3:$C$3390,$A1447)&gt;0,1,0)</f>
        <v>0</v>
      </c>
      <c r="F1447">
        <f>IF(COUNTIFS('United Data'!$A$3:$A$3390,F$1,'United Data'!$C$3:$C$3390,$A1447)&gt;0,1,0)</f>
        <v>0</v>
      </c>
      <c r="G1447">
        <f>IF(COUNTIFS('United Data'!$A$3:$A$3390,G$1,'United Data'!$C$3:$C$3390,$A1447)&gt;0,1,0)</f>
        <v>0</v>
      </c>
      <c r="H1447">
        <f>IF(COUNTIFS('United Data'!$A$3:$A$3390,H$1,'United Data'!$C$3:$C$3390,$A1447)&gt;0,1,0)</f>
        <v>0</v>
      </c>
      <c r="I1447">
        <f>IF(COUNTIFS('United Data'!$A$3:$A$3390,I$1,'United Data'!$C$3:$C$3390,$A1447)&gt;0,1,0)</f>
        <v>1</v>
      </c>
      <c r="J1447">
        <f>IF(COUNTIFS('United Data'!$A$3:$A$3390,J$1,'United Data'!$C$3:$C$3390,$A1447)&gt;0,1,0)</f>
        <v>0</v>
      </c>
      <c r="K1447">
        <f>IF(COUNTIFS('United Data'!$A$3:$A$3390,K$1,'United Data'!$C$3:$C$3390,$A1447)&gt;0,1,0)</f>
        <v>0</v>
      </c>
      <c r="L1447">
        <f>IF(COUNTIFS('United Data'!$A$3:$A$3390,L$1,'United Data'!$C$3:$C$3390,$A1447)&gt;0,1,0)</f>
        <v>1</v>
      </c>
      <c r="M1447">
        <f>IF(COUNTIFS('United Data'!$A$3:$A$3390,M$1,'United Data'!$C$3:$C$3390,$A1447)&gt;0,1,0)</f>
        <v>0</v>
      </c>
      <c r="N1447">
        <f>IF(COUNTIFS('United Data'!$A$3:$A$3390,N$1,'United Data'!$C$3:$C$3390,$A1447)&gt;0,1,0)</f>
        <v>0</v>
      </c>
      <c r="O1447">
        <f>IF(COUNTIFS('United Data'!$A$3:$A$3390,O$1,'United Data'!$C$3:$C$3390,$A1447)&gt;0,1,0)</f>
        <v>0</v>
      </c>
      <c r="P1447">
        <f>IF(COUNTIFS('United Data'!$A$3:$A$3390,P$1,'United Data'!$C$3:$C$3390,$A1447)&gt;0,1,0)</f>
        <v>0</v>
      </c>
      <c r="Q1447">
        <f>IF(COUNTIFS('United Data'!$A$3:$A$3390,Q$1,'United Data'!$C$3:$C$3390,$A1447)&gt;0,1,0)</f>
        <v>0</v>
      </c>
      <c r="R1447">
        <f>IF(COUNTIFS('United Data'!$A$3:$A$3390,R$1,'United Data'!$C$3:$C$3390,$A1447)&gt;0,1,0)</f>
        <v>0</v>
      </c>
      <c r="S1447">
        <f t="shared" si="44"/>
        <v>2</v>
      </c>
      <c r="T1447">
        <f t="shared" si="45"/>
        <v>2</v>
      </c>
    </row>
    <row r="1448" spans="1:20" x14ac:dyDescent="0.2">
      <c r="A1448" t="s">
        <v>1717</v>
      </c>
      <c r="B1448">
        <f>IF(COUNTIFS('United Data'!$A$3:$A$3390,B$1,'United Data'!$C$3:$C$3390,$A1448)&gt;0,1,0)</f>
        <v>0</v>
      </c>
      <c r="C1448">
        <f>IF(COUNTIFS('United Data'!$A$3:$A$3390,C$1,'United Data'!$C$3:$C$3390,$A1448)&gt;0,1,0)</f>
        <v>0</v>
      </c>
      <c r="D1448">
        <f>IF(COUNTIFS('United Data'!$A$3:$A$3390,D$1,'United Data'!$C$3:$C$3390,$A1448)&gt;0,1,0)</f>
        <v>0</v>
      </c>
      <c r="E1448">
        <f>IF(COUNTIFS('United Data'!$A$3:$A$3390,E$1,'United Data'!$C$3:$C$3390,$A1448)&gt;0,1,0)</f>
        <v>0</v>
      </c>
      <c r="F1448">
        <f>IF(COUNTIFS('United Data'!$A$3:$A$3390,F$1,'United Data'!$C$3:$C$3390,$A1448)&gt;0,1,0)</f>
        <v>0</v>
      </c>
      <c r="G1448">
        <f>IF(COUNTIFS('United Data'!$A$3:$A$3390,G$1,'United Data'!$C$3:$C$3390,$A1448)&gt;0,1,0)</f>
        <v>0</v>
      </c>
      <c r="H1448">
        <f>IF(COUNTIFS('United Data'!$A$3:$A$3390,H$1,'United Data'!$C$3:$C$3390,$A1448)&gt;0,1,0)</f>
        <v>0</v>
      </c>
      <c r="I1448">
        <f>IF(COUNTIFS('United Data'!$A$3:$A$3390,I$1,'United Data'!$C$3:$C$3390,$A1448)&gt;0,1,0)</f>
        <v>1</v>
      </c>
      <c r="J1448">
        <f>IF(COUNTIFS('United Data'!$A$3:$A$3390,J$1,'United Data'!$C$3:$C$3390,$A1448)&gt;0,1,0)</f>
        <v>0</v>
      </c>
      <c r="K1448">
        <f>IF(COUNTIFS('United Data'!$A$3:$A$3390,K$1,'United Data'!$C$3:$C$3390,$A1448)&gt;0,1,0)</f>
        <v>0</v>
      </c>
      <c r="L1448">
        <f>IF(COUNTIFS('United Data'!$A$3:$A$3390,L$1,'United Data'!$C$3:$C$3390,$A1448)&gt;0,1,0)</f>
        <v>0</v>
      </c>
      <c r="M1448">
        <f>IF(COUNTIFS('United Data'!$A$3:$A$3390,M$1,'United Data'!$C$3:$C$3390,$A1448)&gt;0,1,0)</f>
        <v>0</v>
      </c>
      <c r="N1448">
        <f>IF(COUNTIFS('United Data'!$A$3:$A$3390,N$1,'United Data'!$C$3:$C$3390,$A1448)&gt;0,1,0)</f>
        <v>0</v>
      </c>
      <c r="O1448">
        <f>IF(COUNTIFS('United Data'!$A$3:$A$3390,O$1,'United Data'!$C$3:$C$3390,$A1448)&gt;0,1,0)</f>
        <v>0</v>
      </c>
      <c r="P1448">
        <f>IF(COUNTIFS('United Data'!$A$3:$A$3390,P$1,'United Data'!$C$3:$C$3390,$A1448)&gt;0,1,0)</f>
        <v>0</v>
      </c>
      <c r="Q1448">
        <f>IF(COUNTIFS('United Data'!$A$3:$A$3390,Q$1,'United Data'!$C$3:$C$3390,$A1448)&gt;0,1,0)</f>
        <v>0</v>
      </c>
      <c r="R1448">
        <f>IF(COUNTIFS('United Data'!$A$3:$A$3390,R$1,'United Data'!$C$3:$C$3390,$A1448)&gt;0,1,0)</f>
        <v>0</v>
      </c>
      <c r="S1448">
        <f t="shared" si="44"/>
        <v>1</v>
      </c>
      <c r="T1448">
        <f t="shared" si="45"/>
        <v>1</v>
      </c>
    </row>
    <row r="1449" spans="1:20" x14ac:dyDescent="0.2">
      <c r="A1449" t="s">
        <v>1718</v>
      </c>
      <c r="B1449">
        <f>IF(COUNTIFS('United Data'!$A$3:$A$3390,B$1,'United Data'!$C$3:$C$3390,$A1449)&gt;0,1,0)</f>
        <v>0</v>
      </c>
      <c r="C1449">
        <f>IF(COUNTIFS('United Data'!$A$3:$A$3390,C$1,'United Data'!$C$3:$C$3390,$A1449)&gt;0,1,0)</f>
        <v>0</v>
      </c>
      <c r="D1449">
        <f>IF(COUNTIFS('United Data'!$A$3:$A$3390,D$1,'United Data'!$C$3:$C$3390,$A1449)&gt;0,1,0)</f>
        <v>0</v>
      </c>
      <c r="E1449">
        <f>IF(COUNTIFS('United Data'!$A$3:$A$3390,E$1,'United Data'!$C$3:$C$3390,$A1449)&gt;0,1,0)</f>
        <v>0</v>
      </c>
      <c r="F1449">
        <f>IF(COUNTIFS('United Data'!$A$3:$A$3390,F$1,'United Data'!$C$3:$C$3390,$A1449)&gt;0,1,0)</f>
        <v>0</v>
      </c>
      <c r="G1449">
        <f>IF(COUNTIFS('United Data'!$A$3:$A$3390,G$1,'United Data'!$C$3:$C$3390,$A1449)&gt;0,1,0)</f>
        <v>0</v>
      </c>
      <c r="H1449">
        <f>IF(COUNTIFS('United Data'!$A$3:$A$3390,H$1,'United Data'!$C$3:$C$3390,$A1449)&gt;0,1,0)</f>
        <v>0</v>
      </c>
      <c r="I1449">
        <f>IF(COUNTIFS('United Data'!$A$3:$A$3390,I$1,'United Data'!$C$3:$C$3390,$A1449)&gt;0,1,0)</f>
        <v>1</v>
      </c>
      <c r="J1449">
        <f>IF(COUNTIFS('United Data'!$A$3:$A$3390,J$1,'United Data'!$C$3:$C$3390,$A1449)&gt;0,1,0)</f>
        <v>0</v>
      </c>
      <c r="K1449">
        <f>IF(COUNTIFS('United Data'!$A$3:$A$3390,K$1,'United Data'!$C$3:$C$3390,$A1449)&gt;0,1,0)</f>
        <v>0</v>
      </c>
      <c r="L1449">
        <f>IF(COUNTIFS('United Data'!$A$3:$A$3390,L$1,'United Data'!$C$3:$C$3390,$A1449)&gt;0,1,0)</f>
        <v>0</v>
      </c>
      <c r="M1449">
        <f>IF(COUNTIFS('United Data'!$A$3:$A$3390,M$1,'United Data'!$C$3:$C$3390,$A1449)&gt;0,1,0)</f>
        <v>0</v>
      </c>
      <c r="N1449">
        <f>IF(COUNTIFS('United Data'!$A$3:$A$3390,N$1,'United Data'!$C$3:$C$3390,$A1449)&gt;0,1,0)</f>
        <v>0</v>
      </c>
      <c r="O1449">
        <f>IF(COUNTIFS('United Data'!$A$3:$A$3390,O$1,'United Data'!$C$3:$C$3390,$A1449)&gt;0,1,0)</f>
        <v>0</v>
      </c>
      <c r="P1449">
        <f>IF(COUNTIFS('United Data'!$A$3:$A$3390,P$1,'United Data'!$C$3:$C$3390,$A1449)&gt;0,1,0)</f>
        <v>0</v>
      </c>
      <c r="Q1449">
        <f>IF(COUNTIFS('United Data'!$A$3:$A$3390,Q$1,'United Data'!$C$3:$C$3390,$A1449)&gt;0,1,0)</f>
        <v>0</v>
      </c>
      <c r="R1449">
        <f>IF(COUNTIFS('United Data'!$A$3:$A$3390,R$1,'United Data'!$C$3:$C$3390,$A1449)&gt;0,1,0)</f>
        <v>0</v>
      </c>
      <c r="S1449">
        <f t="shared" si="44"/>
        <v>1</v>
      </c>
      <c r="T1449">
        <f t="shared" si="45"/>
        <v>1</v>
      </c>
    </row>
    <row r="1450" spans="1:20" x14ac:dyDescent="0.2">
      <c r="A1450" t="s">
        <v>1719</v>
      </c>
      <c r="B1450">
        <f>IF(COUNTIFS('United Data'!$A$3:$A$3390,B$1,'United Data'!$C$3:$C$3390,$A1450)&gt;0,1,0)</f>
        <v>0</v>
      </c>
      <c r="C1450">
        <f>IF(COUNTIFS('United Data'!$A$3:$A$3390,C$1,'United Data'!$C$3:$C$3390,$A1450)&gt;0,1,0)</f>
        <v>0</v>
      </c>
      <c r="D1450">
        <f>IF(COUNTIFS('United Data'!$A$3:$A$3390,D$1,'United Data'!$C$3:$C$3390,$A1450)&gt;0,1,0)</f>
        <v>0</v>
      </c>
      <c r="E1450">
        <f>IF(COUNTIFS('United Data'!$A$3:$A$3390,E$1,'United Data'!$C$3:$C$3390,$A1450)&gt;0,1,0)</f>
        <v>0</v>
      </c>
      <c r="F1450">
        <f>IF(COUNTIFS('United Data'!$A$3:$A$3390,F$1,'United Data'!$C$3:$C$3390,$A1450)&gt;0,1,0)</f>
        <v>0</v>
      </c>
      <c r="G1450">
        <f>IF(COUNTIFS('United Data'!$A$3:$A$3390,G$1,'United Data'!$C$3:$C$3390,$A1450)&gt;0,1,0)</f>
        <v>0</v>
      </c>
      <c r="H1450">
        <f>IF(COUNTIFS('United Data'!$A$3:$A$3390,H$1,'United Data'!$C$3:$C$3390,$A1450)&gt;0,1,0)</f>
        <v>0</v>
      </c>
      <c r="I1450">
        <f>IF(COUNTIFS('United Data'!$A$3:$A$3390,I$1,'United Data'!$C$3:$C$3390,$A1450)&gt;0,1,0)</f>
        <v>1</v>
      </c>
      <c r="J1450">
        <f>IF(COUNTIFS('United Data'!$A$3:$A$3390,J$1,'United Data'!$C$3:$C$3390,$A1450)&gt;0,1,0)</f>
        <v>0</v>
      </c>
      <c r="K1450">
        <f>IF(COUNTIFS('United Data'!$A$3:$A$3390,K$1,'United Data'!$C$3:$C$3390,$A1450)&gt;0,1,0)</f>
        <v>0</v>
      </c>
      <c r="L1450">
        <f>IF(COUNTIFS('United Data'!$A$3:$A$3390,L$1,'United Data'!$C$3:$C$3390,$A1450)&gt;0,1,0)</f>
        <v>1</v>
      </c>
      <c r="M1450">
        <f>IF(COUNTIFS('United Data'!$A$3:$A$3390,M$1,'United Data'!$C$3:$C$3390,$A1450)&gt;0,1,0)</f>
        <v>0</v>
      </c>
      <c r="N1450">
        <f>IF(COUNTIFS('United Data'!$A$3:$A$3390,N$1,'United Data'!$C$3:$C$3390,$A1450)&gt;0,1,0)</f>
        <v>0</v>
      </c>
      <c r="O1450">
        <f>IF(COUNTIFS('United Data'!$A$3:$A$3390,O$1,'United Data'!$C$3:$C$3390,$A1450)&gt;0,1,0)</f>
        <v>0</v>
      </c>
      <c r="P1450">
        <f>IF(COUNTIFS('United Data'!$A$3:$A$3390,P$1,'United Data'!$C$3:$C$3390,$A1450)&gt;0,1,0)</f>
        <v>0</v>
      </c>
      <c r="Q1450">
        <f>IF(COUNTIFS('United Data'!$A$3:$A$3390,Q$1,'United Data'!$C$3:$C$3390,$A1450)&gt;0,1,0)</f>
        <v>0</v>
      </c>
      <c r="R1450">
        <f>IF(COUNTIFS('United Data'!$A$3:$A$3390,R$1,'United Data'!$C$3:$C$3390,$A1450)&gt;0,1,0)</f>
        <v>0</v>
      </c>
      <c r="S1450">
        <f t="shared" si="44"/>
        <v>2</v>
      </c>
      <c r="T1450">
        <f t="shared" si="45"/>
        <v>2</v>
      </c>
    </row>
    <row r="1451" spans="1:20" x14ac:dyDescent="0.2">
      <c r="A1451" t="s">
        <v>1720</v>
      </c>
      <c r="B1451">
        <f>IF(COUNTIFS('United Data'!$A$3:$A$3390,B$1,'United Data'!$C$3:$C$3390,$A1451)&gt;0,1,0)</f>
        <v>0</v>
      </c>
      <c r="C1451">
        <f>IF(COUNTIFS('United Data'!$A$3:$A$3390,C$1,'United Data'!$C$3:$C$3390,$A1451)&gt;0,1,0)</f>
        <v>0</v>
      </c>
      <c r="D1451">
        <f>IF(COUNTIFS('United Data'!$A$3:$A$3390,D$1,'United Data'!$C$3:$C$3390,$A1451)&gt;0,1,0)</f>
        <v>0</v>
      </c>
      <c r="E1451">
        <f>IF(COUNTIFS('United Data'!$A$3:$A$3390,E$1,'United Data'!$C$3:$C$3390,$A1451)&gt;0,1,0)</f>
        <v>0</v>
      </c>
      <c r="F1451">
        <f>IF(COUNTIFS('United Data'!$A$3:$A$3390,F$1,'United Data'!$C$3:$C$3390,$A1451)&gt;0,1,0)</f>
        <v>0</v>
      </c>
      <c r="G1451">
        <f>IF(COUNTIFS('United Data'!$A$3:$A$3390,G$1,'United Data'!$C$3:$C$3390,$A1451)&gt;0,1,0)</f>
        <v>0</v>
      </c>
      <c r="H1451">
        <f>IF(COUNTIFS('United Data'!$A$3:$A$3390,H$1,'United Data'!$C$3:$C$3390,$A1451)&gt;0,1,0)</f>
        <v>0</v>
      </c>
      <c r="I1451">
        <f>IF(COUNTIFS('United Data'!$A$3:$A$3390,I$1,'United Data'!$C$3:$C$3390,$A1451)&gt;0,1,0)</f>
        <v>1</v>
      </c>
      <c r="J1451">
        <f>IF(COUNTIFS('United Data'!$A$3:$A$3390,J$1,'United Data'!$C$3:$C$3390,$A1451)&gt;0,1,0)</f>
        <v>0</v>
      </c>
      <c r="K1451">
        <f>IF(COUNTIFS('United Data'!$A$3:$A$3390,K$1,'United Data'!$C$3:$C$3390,$A1451)&gt;0,1,0)</f>
        <v>0</v>
      </c>
      <c r="L1451">
        <f>IF(COUNTIFS('United Data'!$A$3:$A$3390,L$1,'United Data'!$C$3:$C$3390,$A1451)&gt;0,1,0)</f>
        <v>1</v>
      </c>
      <c r="M1451">
        <f>IF(COUNTIFS('United Data'!$A$3:$A$3390,M$1,'United Data'!$C$3:$C$3390,$A1451)&gt;0,1,0)</f>
        <v>0</v>
      </c>
      <c r="N1451">
        <f>IF(COUNTIFS('United Data'!$A$3:$A$3390,N$1,'United Data'!$C$3:$C$3390,$A1451)&gt;0,1,0)</f>
        <v>0</v>
      </c>
      <c r="O1451">
        <f>IF(COUNTIFS('United Data'!$A$3:$A$3390,O$1,'United Data'!$C$3:$C$3390,$A1451)&gt;0,1,0)</f>
        <v>0</v>
      </c>
      <c r="P1451">
        <f>IF(COUNTIFS('United Data'!$A$3:$A$3390,P$1,'United Data'!$C$3:$C$3390,$A1451)&gt;0,1,0)</f>
        <v>0</v>
      </c>
      <c r="Q1451">
        <f>IF(COUNTIFS('United Data'!$A$3:$A$3390,Q$1,'United Data'!$C$3:$C$3390,$A1451)&gt;0,1,0)</f>
        <v>0</v>
      </c>
      <c r="R1451">
        <f>IF(COUNTIFS('United Data'!$A$3:$A$3390,R$1,'United Data'!$C$3:$C$3390,$A1451)&gt;0,1,0)</f>
        <v>0</v>
      </c>
      <c r="S1451">
        <f t="shared" si="44"/>
        <v>2</v>
      </c>
      <c r="T1451">
        <f t="shared" si="45"/>
        <v>2</v>
      </c>
    </row>
    <row r="1452" spans="1:20" x14ac:dyDescent="0.2">
      <c r="A1452" t="s">
        <v>1721</v>
      </c>
      <c r="B1452">
        <f>IF(COUNTIFS('United Data'!$A$3:$A$3390,B$1,'United Data'!$C$3:$C$3390,$A1452)&gt;0,1,0)</f>
        <v>0</v>
      </c>
      <c r="C1452">
        <f>IF(COUNTIFS('United Data'!$A$3:$A$3390,C$1,'United Data'!$C$3:$C$3390,$A1452)&gt;0,1,0)</f>
        <v>0</v>
      </c>
      <c r="D1452">
        <f>IF(COUNTIFS('United Data'!$A$3:$A$3390,D$1,'United Data'!$C$3:$C$3390,$A1452)&gt;0,1,0)</f>
        <v>1</v>
      </c>
      <c r="E1452">
        <f>IF(COUNTIFS('United Data'!$A$3:$A$3390,E$1,'United Data'!$C$3:$C$3390,$A1452)&gt;0,1,0)</f>
        <v>1</v>
      </c>
      <c r="F1452">
        <f>IF(COUNTIFS('United Data'!$A$3:$A$3390,F$1,'United Data'!$C$3:$C$3390,$A1452)&gt;0,1,0)</f>
        <v>1</v>
      </c>
      <c r="G1452">
        <f>IF(COUNTIFS('United Data'!$A$3:$A$3390,G$1,'United Data'!$C$3:$C$3390,$A1452)&gt;0,1,0)</f>
        <v>1</v>
      </c>
      <c r="H1452">
        <f>IF(COUNTIFS('United Data'!$A$3:$A$3390,H$1,'United Data'!$C$3:$C$3390,$A1452)&gt;0,1,0)</f>
        <v>0</v>
      </c>
      <c r="I1452">
        <f>IF(COUNTIFS('United Data'!$A$3:$A$3390,I$1,'United Data'!$C$3:$C$3390,$A1452)&gt;0,1,0)</f>
        <v>1</v>
      </c>
      <c r="J1452">
        <f>IF(COUNTIFS('United Data'!$A$3:$A$3390,J$1,'United Data'!$C$3:$C$3390,$A1452)&gt;0,1,0)</f>
        <v>0</v>
      </c>
      <c r="K1452">
        <f>IF(COUNTIFS('United Data'!$A$3:$A$3390,K$1,'United Data'!$C$3:$C$3390,$A1452)&gt;0,1,0)</f>
        <v>0</v>
      </c>
      <c r="L1452">
        <f>IF(COUNTIFS('United Data'!$A$3:$A$3390,L$1,'United Data'!$C$3:$C$3390,$A1452)&gt;0,1,0)</f>
        <v>0</v>
      </c>
      <c r="M1452">
        <f>IF(COUNTIFS('United Data'!$A$3:$A$3390,M$1,'United Data'!$C$3:$C$3390,$A1452)&gt;0,1,0)</f>
        <v>0</v>
      </c>
      <c r="N1452">
        <f>IF(COUNTIFS('United Data'!$A$3:$A$3390,N$1,'United Data'!$C$3:$C$3390,$A1452)&gt;0,1,0)</f>
        <v>0</v>
      </c>
      <c r="O1452">
        <f>IF(COUNTIFS('United Data'!$A$3:$A$3390,O$1,'United Data'!$C$3:$C$3390,$A1452)&gt;0,1,0)</f>
        <v>0</v>
      </c>
      <c r="P1452">
        <f>IF(COUNTIFS('United Data'!$A$3:$A$3390,P$1,'United Data'!$C$3:$C$3390,$A1452)&gt;0,1,0)</f>
        <v>0</v>
      </c>
      <c r="Q1452">
        <f>IF(COUNTIFS('United Data'!$A$3:$A$3390,Q$1,'United Data'!$C$3:$C$3390,$A1452)&gt;0,1,0)</f>
        <v>0</v>
      </c>
      <c r="R1452">
        <f>IF(COUNTIFS('United Data'!$A$3:$A$3390,R$1,'United Data'!$C$3:$C$3390,$A1452)&gt;0,1,0)</f>
        <v>0</v>
      </c>
      <c r="S1452">
        <f t="shared" si="44"/>
        <v>5</v>
      </c>
      <c r="T1452">
        <f t="shared" si="45"/>
        <v>2</v>
      </c>
    </row>
    <row r="1453" spans="1:20" x14ac:dyDescent="0.2">
      <c r="A1453" t="s">
        <v>1722</v>
      </c>
      <c r="B1453">
        <f>IF(COUNTIFS('United Data'!$A$3:$A$3390,B$1,'United Data'!$C$3:$C$3390,$A1453)&gt;0,1,0)</f>
        <v>0</v>
      </c>
      <c r="C1453">
        <f>IF(COUNTIFS('United Data'!$A$3:$A$3390,C$1,'United Data'!$C$3:$C$3390,$A1453)&gt;0,1,0)</f>
        <v>0</v>
      </c>
      <c r="D1453">
        <f>IF(COUNTIFS('United Data'!$A$3:$A$3390,D$1,'United Data'!$C$3:$C$3390,$A1453)&gt;0,1,0)</f>
        <v>0</v>
      </c>
      <c r="E1453">
        <f>IF(COUNTIFS('United Data'!$A$3:$A$3390,E$1,'United Data'!$C$3:$C$3390,$A1453)&gt;0,1,0)</f>
        <v>0</v>
      </c>
      <c r="F1453">
        <f>IF(COUNTIFS('United Data'!$A$3:$A$3390,F$1,'United Data'!$C$3:$C$3390,$A1453)&gt;0,1,0)</f>
        <v>0</v>
      </c>
      <c r="G1453">
        <f>IF(COUNTIFS('United Data'!$A$3:$A$3390,G$1,'United Data'!$C$3:$C$3390,$A1453)&gt;0,1,0)</f>
        <v>0</v>
      </c>
      <c r="H1453">
        <f>IF(COUNTIFS('United Data'!$A$3:$A$3390,H$1,'United Data'!$C$3:$C$3390,$A1453)&gt;0,1,0)</f>
        <v>0</v>
      </c>
      <c r="I1453">
        <f>IF(COUNTIFS('United Data'!$A$3:$A$3390,I$1,'United Data'!$C$3:$C$3390,$A1453)&gt;0,1,0)</f>
        <v>0</v>
      </c>
      <c r="J1453">
        <f>IF(COUNTIFS('United Data'!$A$3:$A$3390,J$1,'United Data'!$C$3:$C$3390,$A1453)&gt;0,1,0)</f>
        <v>1</v>
      </c>
      <c r="K1453">
        <f>IF(COUNTIFS('United Data'!$A$3:$A$3390,K$1,'United Data'!$C$3:$C$3390,$A1453)&gt;0,1,0)</f>
        <v>1</v>
      </c>
      <c r="L1453">
        <f>IF(COUNTIFS('United Data'!$A$3:$A$3390,L$1,'United Data'!$C$3:$C$3390,$A1453)&gt;0,1,0)</f>
        <v>0</v>
      </c>
      <c r="M1453">
        <f>IF(COUNTIFS('United Data'!$A$3:$A$3390,M$1,'United Data'!$C$3:$C$3390,$A1453)&gt;0,1,0)</f>
        <v>0</v>
      </c>
      <c r="N1453">
        <f>IF(COUNTIFS('United Data'!$A$3:$A$3390,N$1,'United Data'!$C$3:$C$3390,$A1453)&gt;0,1,0)</f>
        <v>0</v>
      </c>
      <c r="O1453">
        <f>IF(COUNTIFS('United Data'!$A$3:$A$3390,O$1,'United Data'!$C$3:$C$3390,$A1453)&gt;0,1,0)</f>
        <v>0</v>
      </c>
      <c r="P1453">
        <f>IF(COUNTIFS('United Data'!$A$3:$A$3390,P$1,'United Data'!$C$3:$C$3390,$A1453)&gt;0,1,0)</f>
        <v>1</v>
      </c>
      <c r="Q1453">
        <f>IF(COUNTIFS('United Data'!$A$3:$A$3390,Q$1,'United Data'!$C$3:$C$3390,$A1453)&gt;0,1,0)</f>
        <v>0</v>
      </c>
      <c r="R1453">
        <f>IF(COUNTIFS('United Data'!$A$3:$A$3390,R$1,'United Data'!$C$3:$C$3390,$A1453)&gt;0,1,0)</f>
        <v>0</v>
      </c>
      <c r="S1453">
        <f t="shared" si="44"/>
        <v>3</v>
      </c>
      <c r="T1453">
        <f t="shared" si="45"/>
        <v>2</v>
      </c>
    </row>
    <row r="1454" spans="1:20" x14ac:dyDescent="0.2">
      <c r="A1454" t="s">
        <v>1723</v>
      </c>
      <c r="B1454">
        <f>IF(COUNTIFS('United Data'!$A$3:$A$3390,B$1,'United Data'!$C$3:$C$3390,$A1454)&gt;0,1,0)</f>
        <v>0</v>
      </c>
      <c r="C1454">
        <f>IF(COUNTIFS('United Data'!$A$3:$A$3390,C$1,'United Data'!$C$3:$C$3390,$A1454)&gt;0,1,0)</f>
        <v>0</v>
      </c>
      <c r="D1454">
        <f>IF(COUNTIFS('United Data'!$A$3:$A$3390,D$1,'United Data'!$C$3:$C$3390,$A1454)&gt;0,1,0)</f>
        <v>0</v>
      </c>
      <c r="E1454">
        <f>IF(COUNTIFS('United Data'!$A$3:$A$3390,E$1,'United Data'!$C$3:$C$3390,$A1454)&gt;0,1,0)</f>
        <v>0</v>
      </c>
      <c r="F1454">
        <f>IF(COUNTIFS('United Data'!$A$3:$A$3390,F$1,'United Data'!$C$3:$C$3390,$A1454)&gt;0,1,0)</f>
        <v>0</v>
      </c>
      <c r="G1454">
        <f>IF(COUNTIFS('United Data'!$A$3:$A$3390,G$1,'United Data'!$C$3:$C$3390,$A1454)&gt;0,1,0)</f>
        <v>0</v>
      </c>
      <c r="H1454">
        <f>IF(COUNTIFS('United Data'!$A$3:$A$3390,H$1,'United Data'!$C$3:$C$3390,$A1454)&gt;0,1,0)</f>
        <v>0</v>
      </c>
      <c r="I1454">
        <f>IF(COUNTIFS('United Data'!$A$3:$A$3390,I$1,'United Data'!$C$3:$C$3390,$A1454)&gt;0,1,0)</f>
        <v>0</v>
      </c>
      <c r="J1454">
        <f>IF(COUNTIFS('United Data'!$A$3:$A$3390,J$1,'United Data'!$C$3:$C$3390,$A1454)&gt;0,1,0)</f>
        <v>1</v>
      </c>
      <c r="K1454">
        <f>IF(COUNTIFS('United Data'!$A$3:$A$3390,K$1,'United Data'!$C$3:$C$3390,$A1454)&gt;0,1,0)</f>
        <v>0</v>
      </c>
      <c r="L1454">
        <f>IF(COUNTIFS('United Data'!$A$3:$A$3390,L$1,'United Data'!$C$3:$C$3390,$A1454)&gt;0,1,0)</f>
        <v>0</v>
      </c>
      <c r="M1454">
        <f>IF(COUNTIFS('United Data'!$A$3:$A$3390,M$1,'United Data'!$C$3:$C$3390,$A1454)&gt;0,1,0)</f>
        <v>0</v>
      </c>
      <c r="N1454">
        <f>IF(COUNTIFS('United Data'!$A$3:$A$3390,N$1,'United Data'!$C$3:$C$3390,$A1454)&gt;0,1,0)</f>
        <v>0</v>
      </c>
      <c r="O1454">
        <f>IF(COUNTIFS('United Data'!$A$3:$A$3390,O$1,'United Data'!$C$3:$C$3390,$A1454)&gt;0,1,0)</f>
        <v>1</v>
      </c>
      <c r="P1454">
        <f>IF(COUNTIFS('United Data'!$A$3:$A$3390,P$1,'United Data'!$C$3:$C$3390,$A1454)&gt;0,1,0)</f>
        <v>0</v>
      </c>
      <c r="Q1454">
        <f>IF(COUNTIFS('United Data'!$A$3:$A$3390,Q$1,'United Data'!$C$3:$C$3390,$A1454)&gt;0,1,0)</f>
        <v>0</v>
      </c>
      <c r="R1454">
        <f>IF(COUNTIFS('United Data'!$A$3:$A$3390,R$1,'United Data'!$C$3:$C$3390,$A1454)&gt;0,1,0)</f>
        <v>0</v>
      </c>
      <c r="S1454">
        <f t="shared" si="44"/>
        <v>2</v>
      </c>
      <c r="T1454">
        <f t="shared" si="45"/>
        <v>2</v>
      </c>
    </row>
    <row r="1455" spans="1:20" x14ac:dyDescent="0.2">
      <c r="A1455" t="s">
        <v>1724</v>
      </c>
      <c r="B1455">
        <f>IF(COUNTIFS('United Data'!$A$3:$A$3390,B$1,'United Data'!$C$3:$C$3390,$A1455)&gt;0,1,0)</f>
        <v>0</v>
      </c>
      <c r="C1455">
        <f>IF(COUNTIFS('United Data'!$A$3:$A$3390,C$1,'United Data'!$C$3:$C$3390,$A1455)&gt;0,1,0)</f>
        <v>0</v>
      </c>
      <c r="D1455">
        <f>IF(COUNTIFS('United Data'!$A$3:$A$3390,D$1,'United Data'!$C$3:$C$3390,$A1455)&gt;0,1,0)</f>
        <v>0</v>
      </c>
      <c r="E1455">
        <f>IF(COUNTIFS('United Data'!$A$3:$A$3390,E$1,'United Data'!$C$3:$C$3390,$A1455)&gt;0,1,0)</f>
        <v>0</v>
      </c>
      <c r="F1455">
        <f>IF(COUNTIFS('United Data'!$A$3:$A$3390,F$1,'United Data'!$C$3:$C$3390,$A1455)&gt;0,1,0)</f>
        <v>0</v>
      </c>
      <c r="G1455">
        <f>IF(COUNTIFS('United Data'!$A$3:$A$3390,G$1,'United Data'!$C$3:$C$3390,$A1455)&gt;0,1,0)</f>
        <v>0</v>
      </c>
      <c r="H1455">
        <f>IF(COUNTIFS('United Data'!$A$3:$A$3390,H$1,'United Data'!$C$3:$C$3390,$A1455)&gt;0,1,0)</f>
        <v>0</v>
      </c>
      <c r="I1455">
        <f>IF(COUNTIFS('United Data'!$A$3:$A$3390,I$1,'United Data'!$C$3:$C$3390,$A1455)&gt;0,1,0)</f>
        <v>0</v>
      </c>
      <c r="J1455">
        <f>IF(COUNTIFS('United Data'!$A$3:$A$3390,J$1,'United Data'!$C$3:$C$3390,$A1455)&gt;0,1,0)</f>
        <v>0</v>
      </c>
      <c r="K1455">
        <f>IF(COUNTIFS('United Data'!$A$3:$A$3390,K$1,'United Data'!$C$3:$C$3390,$A1455)&gt;0,1,0)</f>
        <v>1</v>
      </c>
      <c r="L1455">
        <f>IF(COUNTIFS('United Data'!$A$3:$A$3390,L$1,'United Data'!$C$3:$C$3390,$A1455)&gt;0,1,0)</f>
        <v>0</v>
      </c>
      <c r="M1455">
        <f>IF(COUNTIFS('United Data'!$A$3:$A$3390,M$1,'United Data'!$C$3:$C$3390,$A1455)&gt;0,1,0)</f>
        <v>0</v>
      </c>
      <c r="N1455">
        <f>IF(COUNTIFS('United Data'!$A$3:$A$3390,N$1,'United Data'!$C$3:$C$3390,$A1455)&gt;0,1,0)</f>
        <v>0</v>
      </c>
      <c r="O1455">
        <f>IF(COUNTIFS('United Data'!$A$3:$A$3390,O$1,'United Data'!$C$3:$C$3390,$A1455)&gt;0,1,0)</f>
        <v>0</v>
      </c>
      <c r="P1455">
        <f>IF(COUNTIFS('United Data'!$A$3:$A$3390,P$1,'United Data'!$C$3:$C$3390,$A1455)&gt;0,1,0)</f>
        <v>0</v>
      </c>
      <c r="Q1455">
        <f>IF(COUNTIFS('United Data'!$A$3:$A$3390,Q$1,'United Data'!$C$3:$C$3390,$A1455)&gt;0,1,0)</f>
        <v>0</v>
      </c>
      <c r="R1455">
        <f>IF(COUNTIFS('United Data'!$A$3:$A$3390,R$1,'United Data'!$C$3:$C$3390,$A1455)&gt;0,1,0)</f>
        <v>0</v>
      </c>
      <c r="S1455">
        <f t="shared" si="44"/>
        <v>1</v>
      </c>
      <c r="T1455">
        <f t="shared" si="45"/>
        <v>1</v>
      </c>
    </row>
    <row r="1456" spans="1:20" x14ac:dyDescent="0.2">
      <c r="A1456" t="s">
        <v>1725</v>
      </c>
      <c r="B1456">
        <f>IF(COUNTIFS('United Data'!$A$3:$A$3390,B$1,'United Data'!$C$3:$C$3390,$A1456)&gt;0,1,0)</f>
        <v>0</v>
      </c>
      <c r="C1456">
        <f>IF(COUNTIFS('United Data'!$A$3:$A$3390,C$1,'United Data'!$C$3:$C$3390,$A1456)&gt;0,1,0)</f>
        <v>0</v>
      </c>
      <c r="D1456">
        <f>IF(COUNTIFS('United Data'!$A$3:$A$3390,D$1,'United Data'!$C$3:$C$3390,$A1456)&gt;0,1,0)</f>
        <v>0</v>
      </c>
      <c r="E1456">
        <f>IF(COUNTIFS('United Data'!$A$3:$A$3390,E$1,'United Data'!$C$3:$C$3390,$A1456)&gt;0,1,0)</f>
        <v>0</v>
      </c>
      <c r="F1456">
        <f>IF(COUNTIFS('United Data'!$A$3:$A$3390,F$1,'United Data'!$C$3:$C$3390,$A1456)&gt;0,1,0)</f>
        <v>0</v>
      </c>
      <c r="G1456">
        <f>IF(COUNTIFS('United Data'!$A$3:$A$3390,G$1,'United Data'!$C$3:$C$3390,$A1456)&gt;0,1,0)</f>
        <v>0</v>
      </c>
      <c r="H1456">
        <f>IF(COUNTIFS('United Data'!$A$3:$A$3390,H$1,'United Data'!$C$3:$C$3390,$A1456)&gt;0,1,0)</f>
        <v>0</v>
      </c>
      <c r="I1456">
        <f>IF(COUNTIFS('United Data'!$A$3:$A$3390,I$1,'United Data'!$C$3:$C$3390,$A1456)&gt;0,1,0)</f>
        <v>0</v>
      </c>
      <c r="J1456">
        <f>IF(COUNTIFS('United Data'!$A$3:$A$3390,J$1,'United Data'!$C$3:$C$3390,$A1456)&gt;0,1,0)</f>
        <v>0</v>
      </c>
      <c r="K1456">
        <f>IF(COUNTIFS('United Data'!$A$3:$A$3390,K$1,'United Data'!$C$3:$C$3390,$A1456)&gt;0,1,0)</f>
        <v>1</v>
      </c>
      <c r="L1456">
        <f>IF(COUNTIFS('United Data'!$A$3:$A$3390,L$1,'United Data'!$C$3:$C$3390,$A1456)&gt;0,1,0)</f>
        <v>0</v>
      </c>
      <c r="M1456">
        <f>IF(COUNTIFS('United Data'!$A$3:$A$3390,M$1,'United Data'!$C$3:$C$3390,$A1456)&gt;0,1,0)</f>
        <v>0</v>
      </c>
      <c r="N1456">
        <f>IF(COUNTIFS('United Data'!$A$3:$A$3390,N$1,'United Data'!$C$3:$C$3390,$A1456)&gt;0,1,0)</f>
        <v>0</v>
      </c>
      <c r="O1456">
        <f>IF(COUNTIFS('United Data'!$A$3:$A$3390,O$1,'United Data'!$C$3:$C$3390,$A1456)&gt;0,1,0)</f>
        <v>0</v>
      </c>
      <c r="P1456">
        <f>IF(COUNTIFS('United Data'!$A$3:$A$3390,P$1,'United Data'!$C$3:$C$3390,$A1456)&gt;0,1,0)</f>
        <v>0</v>
      </c>
      <c r="Q1456">
        <f>IF(COUNTIFS('United Data'!$A$3:$A$3390,Q$1,'United Data'!$C$3:$C$3390,$A1456)&gt;0,1,0)</f>
        <v>0</v>
      </c>
      <c r="R1456">
        <f>IF(COUNTIFS('United Data'!$A$3:$A$3390,R$1,'United Data'!$C$3:$C$3390,$A1456)&gt;0,1,0)</f>
        <v>0</v>
      </c>
      <c r="S1456">
        <f t="shared" si="44"/>
        <v>1</v>
      </c>
      <c r="T1456">
        <f t="shared" si="45"/>
        <v>1</v>
      </c>
    </row>
    <row r="1457" spans="1:20" x14ac:dyDescent="0.2">
      <c r="A1457" t="s">
        <v>1726</v>
      </c>
      <c r="B1457">
        <f>IF(COUNTIFS('United Data'!$A$3:$A$3390,B$1,'United Data'!$C$3:$C$3390,$A1457)&gt;0,1,0)</f>
        <v>0</v>
      </c>
      <c r="C1457">
        <f>IF(COUNTIFS('United Data'!$A$3:$A$3390,C$1,'United Data'!$C$3:$C$3390,$A1457)&gt;0,1,0)</f>
        <v>0</v>
      </c>
      <c r="D1457">
        <f>IF(COUNTIFS('United Data'!$A$3:$A$3390,D$1,'United Data'!$C$3:$C$3390,$A1457)&gt;0,1,0)</f>
        <v>0</v>
      </c>
      <c r="E1457">
        <f>IF(COUNTIFS('United Data'!$A$3:$A$3390,E$1,'United Data'!$C$3:$C$3390,$A1457)&gt;0,1,0)</f>
        <v>0</v>
      </c>
      <c r="F1457">
        <f>IF(COUNTIFS('United Data'!$A$3:$A$3390,F$1,'United Data'!$C$3:$C$3390,$A1457)&gt;0,1,0)</f>
        <v>0</v>
      </c>
      <c r="G1457">
        <f>IF(COUNTIFS('United Data'!$A$3:$A$3390,G$1,'United Data'!$C$3:$C$3390,$A1457)&gt;0,1,0)</f>
        <v>0</v>
      </c>
      <c r="H1457">
        <f>IF(COUNTIFS('United Data'!$A$3:$A$3390,H$1,'United Data'!$C$3:$C$3390,$A1457)&gt;0,1,0)</f>
        <v>0</v>
      </c>
      <c r="I1457">
        <f>IF(COUNTIFS('United Data'!$A$3:$A$3390,I$1,'United Data'!$C$3:$C$3390,$A1457)&gt;0,1,0)</f>
        <v>0</v>
      </c>
      <c r="J1457">
        <f>IF(COUNTIFS('United Data'!$A$3:$A$3390,J$1,'United Data'!$C$3:$C$3390,$A1457)&gt;0,1,0)</f>
        <v>0</v>
      </c>
      <c r="K1457">
        <f>IF(COUNTIFS('United Data'!$A$3:$A$3390,K$1,'United Data'!$C$3:$C$3390,$A1457)&gt;0,1,0)</f>
        <v>1</v>
      </c>
      <c r="L1457">
        <f>IF(COUNTIFS('United Data'!$A$3:$A$3390,L$1,'United Data'!$C$3:$C$3390,$A1457)&gt;0,1,0)</f>
        <v>0</v>
      </c>
      <c r="M1457">
        <f>IF(COUNTIFS('United Data'!$A$3:$A$3390,M$1,'United Data'!$C$3:$C$3390,$A1457)&gt;0,1,0)</f>
        <v>0</v>
      </c>
      <c r="N1457">
        <f>IF(COUNTIFS('United Data'!$A$3:$A$3390,N$1,'United Data'!$C$3:$C$3390,$A1457)&gt;0,1,0)</f>
        <v>0</v>
      </c>
      <c r="O1457">
        <f>IF(COUNTIFS('United Data'!$A$3:$A$3390,O$1,'United Data'!$C$3:$C$3390,$A1457)&gt;0,1,0)</f>
        <v>0</v>
      </c>
      <c r="P1457">
        <f>IF(COUNTIFS('United Data'!$A$3:$A$3390,P$1,'United Data'!$C$3:$C$3390,$A1457)&gt;0,1,0)</f>
        <v>0</v>
      </c>
      <c r="Q1457">
        <f>IF(COUNTIFS('United Data'!$A$3:$A$3390,Q$1,'United Data'!$C$3:$C$3390,$A1457)&gt;0,1,0)</f>
        <v>0</v>
      </c>
      <c r="R1457">
        <f>IF(COUNTIFS('United Data'!$A$3:$A$3390,R$1,'United Data'!$C$3:$C$3390,$A1457)&gt;0,1,0)</f>
        <v>0</v>
      </c>
      <c r="S1457">
        <f t="shared" si="44"/>
        <v>1</v>
      </c>
      <c r="T1457">
        <f t="shared" si="45"/>
        <v>1</v>
      </c>
    </row>
    <row r="1458" spans="1:20" x14ac:dyDescent="0.2">
      <c r="A1458" t="s">
        <v>1727</v>
      </c>
      <c r="B1458">
        <f>IF(COUNTIFS('United Data'!$A$3:$A$3390,B$1,'United Data'!$C$3:$C$3390,$A1458)&gt;0,1,0)</f>
        <v>0</v>
      </c>
      <c r="C1458">
        <f>IF(COUNTIFS('United Data'!$A$3:$A$3390,C$1,'United Data'!$C$3:$C$3390,$A1458)&gt;0,1,0)</f>
        <v>0</v>
      </c>
      <c r="D1458">
        <f>IF(COUNTIFS('United Data'!$A$3:$A$3390,D$1,'United Data'!$C$3:$C$3390,$A1458)&gt;0,1,0)</f>
        <v>0</v>
      </c>
      <c r="E1458">
        <f>IF(COUNTIFS('United Data'!$A$3:$A$3390,E$1,'United Data'!$C$3:$C$3390,$A1458)&gt;0,1,0)</f>
        <v>0</v>
      </c>
      <c r="F1458">
        <f>IF(COUNTIFS('United Data'!$A$3:$A$3390,F$1,'United Data'!$C$3:$C$3390,$A1458)&gt;0,1,0)</f>
        <v>0</v>
      </c>
      <c r="G1458">
        <f>IF(COUNTIFS('United Data'!$A$3:$A$3390,G$1,'United Data'!$C$3:$C$3390,$A1458)&gt;0,1,0)</f>
        <v>0</v>
      </c>
      <c r="H1458">
        <f>IF(COUNTIFS('United Data'!$A$3:$A$3390,H$1,'United Data'!$C$3:$C$3390,$A1458)&gt;0,1,0)</f>
        <v>0</v>
      </c>
      <c r="I1458">
        <f>IF(COUNTIFS('United Data'!$A$3:$A$3390,I$1,'United Data'!$C$3:$C$3390,$A1458)&gt;0,1,0)</f>
        <v>0</v>
      </c>
      <c r="J1458">
        <f>IF(COUNTIFS('United Data'!$A$3:$A$3390,J$1,'United Data'!$C$3:$C$3390,$A1458)&gt;0,1,0)</f>
        <v>0</v>
      </c>
      <c r="K1458">
        <f>IF(COUNTIFS('United Data'!$A$3:$A$3390,K$1,'United Data'!$C$3:$C$3390,$A1458)&gt;0,1,0)</f>
        <v>1</v>
      </c>
      <c r="L1458">
        <f>IF(COUNTIFS('United Data'!$A$3:$A$3390,L$1,'United Data'!$C$3:$C$3390,$A1458)&gt;0,1,0)</f>
        <v>0</v>
      </c>
      <c r="M1458">
        <f>IF(COUNTIFS('United Data'!$A$3:$A$3390,M$1,'United Data'!$C$3:$C$3390,$A1458)&gt;0,1,0)</f>
        <v>0</v>
      </c>
      <c r="N1458">
        <f>IF(COUNTIFS('United Data'!$A$3:$A$3390,N$1,'United Data'!$C$3:$C$3390,$A1458)&gt;0,1,0)</f>
        <v>0</v>
      </c>
      <c r="O1458">
        <f>IF(COUNTIFS('United Data'!$A$3:$A$3390,O$1,'United Data'!$C$3:$C$3390,$A1458)&gt;0,1,0)</f>
        <v>0</v>
      </c>
      <c r="P1458">
        <f>IF(COUNTIFS('United Data'!$A$3:$A$3390,P$1,'United Data'!$C$3:$C$3390,$A1458)&gt;0,1,0)</f>
        <v>0</v>
      </c>
      <c r="Q1458">
        <f>IF(COUNTIFS('United Data'!$A$3:$A$3390,Q$1,'United Data'!$C$3:$C$3390,$A1458)&gt;0,1,0)</f>
        <v>0</v>
      </c>
      <c r="R1458">
        <f>IF(COUNTIFS('United Data'!$A$3:$A$3390,R$1,'United Data'!$C$3:$C$3390,$A1458)&gt;0,1,0)</f>
        <v>0</v>
      </c>
      <c r="S1458">
        <f t="shared" si="44"/>
        <v>1</v>
      </c>
      <c r="T1458">
        <f t="shared" si="45"/>
        <v>1</v>
      </c>
    </row>
    <row r="1459" spans="1:20" x14ac:dyDescent="0.2">
      <c r="A1459" t="s">
        <v>1728</v>
      </c>
      <c r="B1459">
        <f>IF(COUNTIFS('United Data'!$A$3:$A$3390,B$1,'United Data'!$C$3:$C$3390,$A1459)&gt;0,1,0)</f>
        <v>0</v>
      </c>
      <c r="C1459">
        <f>IF(COUNTIFS('United Data'!$A$3:$A$3390,C$1,'United Data'!$C$3:$C$3390,$A1459)&gt;0,1,0)</f>
        <v>0</v>
      </c>
      <c r="D1459">
        <f>IF(COUNTIFS('United Data'!$A$3:$A$3390,D$1,'United Data'!$C$3:$C$3390,$A1459)&gt;0,1,0)</f>
        <v>0</v>
      </c>
      <c r="E1459">
        <f>IF(COUNTIFS('United Data'!$A$3:$A$3390,E$1,'United Data'!$C$3:$C$3390,$A1459)&gt;0,1,0)</f>
        <v>0</v>
      </c>
      <c r="F1459">
        <f>IF(COUNTIFS('United Data'!$A$3:$A$3390,F$1,'United Data'!$C$3:$C$3390,$A1459)&gt;0,1,0)</f>
        <v>0</v>
      </c>
      <c r="G1459">
        <f>IF(COUNTIFS('United Data'!$A$3:$A$3390,G$1,'United Data'!$C$3:$C$3390,$A1459)&gt;0,1,0)</f>
        <v>0</v>
      </c>
      <c r="H1459">
        <f>IF(COUNTIFS('United Data'!$A$3:$A$3390,H$1,'United Data'!$C$3:$C$3390,$A1459)&gt;0,1,0)</f>
        <v>0</v>
      </c>
      <c r="I1459">
        <f>IF(COUNTIFS('United Data'!$A$3:$A$3390,I$1,'United Data'!$C$3:$C$3390,$A1459)&gt;0,1,0)</f>
        <v>0</v>
      </c>
      <c r="J1459">
        <f>IF(COUNTIFS('United Data'!$A$3:$A$3390,J$1,'United Data'!$C$3:$C$3390,$A1459)&gt;0,1,0)</f>
        <v>0</v>
      </c>
      <c r="K1459">
        <f>IF(COUNTIFS('United Data'!$A$3:$A$3390,K$1,'United Data'!$C$3:$C$3390,$A1459)&gt;0,1,0)</f>
        <v>1</v>
      </c>
      <c r="L1459">
        <f>IF(COUNTIFS('United Data'!$A$3:$A$3390,L$1,'United Data'!$C$3:$C$3390,$A1459)&gt;0,1,0)</f>
        <v>0</v>
      </c>
      <c r="M1459">
        <f>IF(COUNTIFS('United Data'!$A$3:$A$3390,M$1,'United Data'!$C$3:$C$3390,$A1459)&gt;0,1,0)</f>
        <v>0</v>
      </c>
      <c r="N1459">
        <f>IF(COUNTIFS('United Data'!$A$3:$A$3390,N$1,'United Data'!$C$3:$C$3390,$A1459)&gt;0,1,0)</f>
        <v>0</v>
      </c>
      <c r="O1459">
        <f>IF(COUNTIFS('United Data'!$A$3:$A$3390,O$1,'United Data'!$C$3:$C$3390,$A1459)&gt;0,1,0)</f>
        <v>0</v>
      </c>
      <c r="P1459">
        <f>IF(COUNTIFS('United Data'!$A$3:$A$3390,P$1,'United Data'!$C$3:$C$3390,$A1459)&gt;0,1,0)</f>
        <v>0</v>
      </c>
      <c r="Q1459">
        <f>IF(COUNTIFS('United Data'!$A$3:$A$3390,Q$1,'United Data'!$C$3:$C$3390,$A1459)&gt;0,1,0)</f>
        <v>0</v>
      </c>
      <c r="R1459">
        <f>IF(COUNTIFS('United Data'!$A$3:$A$3390,R$1,'United Data'!$C$3:$C$3390,$A1459)&gt;0,1,0)</f>
        <v>0</v>
      </c>
      <c r="S1459">
        <f t="shared" si="44"/>
        <v>1</v>
      </c>
      <c r="T1459">
        <f t="shared" si="45"/>
        <v>1</v>
      </c>
    </row>
    <row r="1460" spans="1:20" x14ac:dyDescent="0.2">
      <c r="A1460" t="s">
        <v>1729</v>
      </c>
      <c r="B1460">
        <f>IF(COUNTIFS('United Data'!$A$3:$A$3390,B$1,'United Data'!$C$3:$C$3390,$A1460)&gt;0,1,0)</f>
        <v>0</v>
      </c>
      <c r="C1460">
        <f>IF(COUNTIFS('United Data'!$A$3:$A$3390,C$1,'United Data'!$C$3:$C$3390,$A1460)&gt;0,1,0)</f>
        <v>0</v>
      </c>
      <c r="D1460">
        <f>IF(COUNTIFS('United Data'!$A$3:$A$3390,D$1,'United Data'!$C$3:$C$3390,$A1460)&gt;0,1,0)</f>
        <v>0</v>
      </c>
      <c r="E1460">
        <f>IF(COUNTIFS('United Data'!$A$3:$A$3390,E$1,'United Data'!$C$3:$C$3390,$A1460)&gt;0,1,0)</f>
        <v>0</v>
      </c>
      <c r="F1460">
        <f>IF(COUNTIFS('United Data'!$A$3:$A$3390,F$1,'United Data'!$C$3:$C$3390,$A1460)&gt;0,1,0)</f>
        <v>0</v>
      </c>
      <c r="G1460">
        <f>IF(COUNTIFS('United Data'!$A$3:$A$3390,G$1,'United Data'!$C$3:$C$3390,$A1460)&gt;0,1,0)</f>
        <v>0</v>
      </c>
      <c r="H1460">
        <f>IF(COUNTIFS('United Data'!$A$3:$A$3390,H$1,'United Data'!$C$3:$C$3390,$A1460)&gt;0,1,0)</f>
        <v>0</v>
      </c>
      <c r="I1460">
        <f>IF(COUNTIFS('United Data'!$A$3:$A$3390,I$1,'United Data'!$C$3:$C$3390,$A1460)&gt;0,1,0)</f>
        <v>0</v>
      </c>
      <c r="J1460">
        <f>IF(COUNTIFS('United Data'!$A$3:$A$3390,J$1,'United Data'!$C$3:$C$3390,$A1460)&gt;0,1,0)</f>
        <v>0</v>
      </c>
      <c r="K1460">
        <f>IF(COUNTIFS('United Data'!$A$3:$A$3390,K$1,'United Data'!$C$3:$C$3390,$A1460)&gt;0,1,0)</f>
        <v>1</v>
      </c>
      <c r="L1460">
        <f>IF(COUNTIFS('United Data'!$A$3:$A$3390,L$1,'United Data'!$C$3:$C$3390,$A1460)&gt;0,1,0)</f>
        <v>0</v>
      </c>
      <c r="M1460">
        <f>IF(COUNTIFS('United Data'!$A$3:$A$3390,M$1,'United Data'!$C$3:$C$3390,$A1460)&gt;0,1,0)</f>
        <v>0</v>
      </c>
      <c r="N1460">
        <f>IF(COUNTIFS('United Data'!$A$3:$A$3390,N$1,'United Data'!$C$3:$C$3390,$A1460)&gt;0,1,0)</f>
        <v>0</v>
      </c>
      <c r="O1460">
        <f>IF(COUNTIFS('United Data'!$A$3:$A$3390,O$1,'United Data'!$C$3:$C$3390,$A1460)&gt;0,1,0)</f>
        <v>0</v>
      </c>
      <c r="P1460">
        <f>IF(COUNTIFS('United Data'!$A$3:$A$3390,P$1,'United Data'!$C$3:$C$3390,$A1460)&gt;0,1,0)</f>
        <v>0</v>
      </c>
      <c r="Q1460">
        <f>IF(COUNTIFS('United Data'!$A$3:$A$3390,Q$1,'United Data'!$C$3:$C$3390,$A1460)&gt;0,1,0)</f>
        <v>0</v>
      </c>
      <c r="R1460">
        <f>IF(COUNTIFS('United Data'!$A$3:$A$3390,R$1,'United Data'!$C$3:$C$3390,$A1460)&gt;0,1,0)</f>
        <v>0</v>
      </c>
      <c r="S1460">
        <f t="shared" si="44"/>
        <v>1</v>
      </c>
      <c r="T1460">
        <f t="shared" si="45"/>
        <v>1</v>
      </c>
    </row>
    <row r="1461" spans="1:20" x14ac:dyDescent="0.2">
      <c r="A1461" t="s">
        <v>1730</v>
      </c>
      <c r="B1461">
        <f>IF(COUNTIFS('United Data'!$A$3:$A$3390,B$1,'United Data'!$C$3:$C$3390,$A1461)&gt;0,1,0)</f>
        <v>0</v>
      </c>
      <c r="C1461">
        <f>IF(COUNTIFS('United Data'!$A$3:$A$3390,C$1,'United Data'!$C$3:$C$3390,$A1461)&gt;0,1,0)</f>
        <v>0</v>
      </c>
      <c r="D1461">
        <f>IF(COUNTIFS('United Data'!$A$3:$A$3390,D$1,'United Data'!$C$3:$C$3390,$A1461)&gt;0,1,0)</f>
        <v>0</v>
      </c>
      <c r="E1461">
        <f>IF(COUNTIFS('United Data'!$A$3:$A$3390,E$1,'United Data'!$C$3:$C$3390,$A1461)&gt;0,1,0)</f>
        <v>0</v>
      </c>
      <c r="F1461">
        <f>IF(COUNTIFS('United Data'!$A$3:$A$3390,F$1,'United Data'!$C$3:$C$3390,$A1461)&gt;0,1,0)</f>
        <v>0</v>
      </c>
      <c r="G1461">
        <f>IF(COUNTIFS('United Data'!$A$3:$A$3390,G$1,'United Data'!$C$3:$C$3390,$A1461)&gt;0,1,0)</f>
        <v>0</v>
      </c>
      <c r="H1461">
        <f>IF(COUNTIFS('United Data'!$A$3:$A$3390,H$1,'United Data'!$C$3:$C$3390,$A1461)&gt;0,1,0)</f>
        <v>0</v>
      </c>
      <c r="I1461">
        <f>IF(COUNTIFS('United Data'!$A$3:$A$3390,I$1,'United Data'!$C$3:$C$3390,$A1461)&gt;0,1,0)</f>
        <v>0</v>
      </c>
      <c r="J1461">
        <f>IF(COUNTIFS('United Data'!$A$3:$A$3390,J$1,'United Data'!$C$3:$C$3390,$A1461)&gt;0,1,0)</f>
        <v>0</v>
      </c>
      <c r="K1461">
        <f>IF(COUNTIFS('United Data'!$A$3:$A$3390,K$1,'United Data'!$C$3:$C$3390,$A1461)&gt;0,1,0)</f>
        <v>1</v>
      </c>
      <c r="L1461">
        <f>IF(COUNTIFS('United Data'!$A$3:$A$3390,L$1,'United Data'!$C$3:$C$3390,$A1461)&gt;0,1,0)</f>
        <v>0</v>
      </c>
      <c r="M1461">
        <f>IF(COUNTIFS('United Data'!$A$3:$A$3390,M$1,'United Data'!$C$3:$C$3390,$A1461)&gt;0,1,0)</f>
        <v>0</v>
      </c>
      <c r="N1461">
        <f>IF(COUNTIFS('United Data'!$A$3:$A$3390,N$1,'United Data'!$C$3:$C$3390,$A1461)&gt;0,1,0)</f>
        <v>0</v>
      </c>
      <c r="O1461">
        <f>IF(COUNTIFS('United Data'!$A$3:$A$3390,O$1,'United Data'!$C$3:$C$3390,$A1461)&gt;0,1,0)</f>
        <v>0</v>
      </c>
      <c r="P1461">
        <f>IF(COUNTIFS('United Data'!$A$3:$A$3390,P$1,'United Data'!$C$3:$C$3390,$A1461)&gt;0,1,0)</f>
        <v>0</v>
      </c>
      <c r="Q1461">
        <f>IF(COUNTIFS('United Data'!$A$3:$A$3390,Q$1,'United Data'!$C$3:$C$3390,$A1461)&gt;0,1,0)</f>
        <v>0</v>
      </c>
      <c r="R1461">
        <f>IF(COUNTIFS('United Data'!$A$3:$A$3390,R$1,'United Data'!$C$3:$C$3390,$A1461)&gt;0,1,0)</f>
        <v>0</v>
      </c>
      <c r="S1461">
        <f t="shared" si="44"/>
        <v>1</v>
      </c>
      <c r="T1461">
        <f t="shared" si="45"/>
        <v>1</v>
      </c>
    </row>
    <row r="1462" spans="1:20" x14ac:dyDescent="0.2">
      <c r="A1462" t="s">
        <v>1731</v>
      </c>
      <c r="B1462">
        <f>IF(COUNTIFS('United Data'!$A$3:$A$3390,B$1,'United Data'!$C$3:$C$3390,$A1462)&gt;0,1,0)</f>
        <v>0</v>
      </c>
      <c r="C1462">
        <f>IF(COUNTIFS('United Data'!$A$3:$A$3390,C$1,'United Data'!$C$3:$C$3390,$A1462)&gt;0,1,0)</f>
        <v>0</v>
      </c>
      <c r="D1462">
        <f>IF(COUNTIFS('United Data'!$A$3:$A$3390,D$1,'United Data'!$C$3:$C$3390,$A1462)&gt;0,1,0)</f>
        <v>0</v>
      </c>
      <c r="E1462">
        <f>IF(COUNTIFS('United Data'!$A$3:$A$3390,E$1,'United Data'!$C$3:$C$3390,$A1462)&gt;0,1,0)</f>
        <v>0</v>
      </c>
      <c r="F1462">
        <f>IF(COUNTIFS('United Data'!$A$3:$A$3390,F$1,'United Data'!$C$3:$C$3390,$A1462)&gt;0,1,0)</f>
        <v>0</v>
      </c>
      <c r="G1462">
        <f>IF(COUNTIFS('United Data'!$A$3:$A$3390,G$1,'United Data'!$C$3:$C$3390,$A1462)&gt;0,1,0)</f>
        <v>0</v>
      </c>
      <c r="H1462">
        <f>IF(COUNTIFS('United Data'!$A$3:$A$3390,H$1,'United Data'!$C$3:$C$3390,$A1462)&gt;0,1,0)</f>
        <v>0</v>
      </c>
      <c r="I1462">
        <f>IF(COUNTIFS('United Data'!$A$3:$A$3390,I$1,'United Data'!$C$3:$C$3390,$A1462)&gt;0,1,0)</f>
        <v>0</v>
      </c>
      <c r="J1462">
        <f>IF(COUNTIFS('United Data'!$A$3:$A$3390,J$1,'United Data'!$C$3:$C$3390,$A1462)&gt;0,1,0)</f>
        <v>0</v>
      </c>
      <c r="K1462">
        <f>IF(COUNTIFS('United Data'!$A$3:$A$3390,K$1,'United Data'!$C$3:$C$3390,$A1462)&gt;0,1,0)</f>
        <v>1</v>
      </c>
      <c r="L1462">
        <f>IF(COUNTIFS('United Data'!$A$3:$A$3390,L$1,'United Data'!$C$3:$C$3390,$A1462)&gt;0,1,0)</f>
        <v>0</v>
      </c>
      <c r="M1462">
        <f>IF(COUNTIFS('United Data'!$A$3:$A$3390,M$1,'United Data'!$C$3:$C$3390,$A1462)&gt;0,1,0)</f>
        <v>1</v>
      </c>
      <c r="N1462">
        <f>IF(COUNTIFS('United Data'!$A$3:$A$3390,N$1,'United Data'!$C$3:$C$3390,$A1462)&gt;0,1,0)</f>
        <v>0</v>
      </c>
      <c r="O1462">
        <f>IF(COUNTIFS('United Data'!$A$3:$A$3390,O$1,'United Data'!$C$3:$C$3390,$A1462)&gt;0,1,0)</f>
        <v>0</v>
      </c>
      <c r="P1462">
        <f>IF(COUNTIFS('United Data'!$A$3:$A$3390,P$1,'United Data'!$C$3:$C$3390,$A1462)&gt;0,1,0)</f>
        <v>0</v>
      </c>
      <c r="Q1462">
        <f>IF(COUNTIFS('United Data'!$A$3:$A$3390,Q$1,'United Data'!$C$3:$C$3390,$A1462)&gt;0,1,0)</f>
        <v>0</v>
      </c>
      <c r="R1462">
        <f>IF(COUNTIFS('United Data'!$A$3:$A$3390,R$1,'United Data'!$C$3:$C$3390,$A1462)&gt;0,1,0)</f>
        <v>0</v>
      </c>
      <c r="S1462">
        <f t="shared" si="44"/>
        <v>2</v>
      </c>
      <c r="T1462">
        <f t="shared" si="45"/>
        <v>2</v>
      </c>
    </row>
    <row r="1463" spans="1:20" x14ac:dyDescent="0.2">
      <c r="A1463" t="s">
        <v>1732</v>
      </c>
      <c r="B1463">
        <f>IF(COUNTIFS('United Data'!$A$3:$A$3390,B$1,'United Data'!$C$3:$C$3390,$A1463)&gt;0,1,0)</f>
        <v>0</v>
      </c>
      <c r="C1463">
        <f>IF(COUNTIFS('United Data'!$A$3:$A$3390,C$1,'United Data'!$C$3:$C$3390,$A1463)&gt;0,1,0)</f>
        <v>0</v>
      </c>
      <c r="D1463">
        <f>IF(COUNTIFS('United Data'!$A$3:$A$3390,D$1,'United Data'!$C$3:$C$3390,$A1463)&gt;0,1,0)</f>
        <v>0</v>
      </c>
      <c r="E1463">
        <f>IF(COUNTIFS('United Data'!$A$3:$A$3390,E$1,'United Data'!$C$3:$C$3390,$A1463)&gt;0,1,0)</f>
        <v>0</v>
      </c>
      <c r="F1463">
        <f>IF(COUNTIFS('United Data'!$A$3:$A$3390,F$1,'United Data'!$C$3:$C$3390,$A1463)&gt;0,1,0)</f>
        <v>0</v>
      </c>
      <c r="G1463">
        <f>IF(COUNTIFS('United Data'!$A$3:$A$3390,G$1,'United Data'!$C$3:$C$3390,$A1463)&gt;0,1,0)</f>
        <v>0</v>
      </c>
      <c r="H1463">
        <f>IF(COUNTIFS('United Data'!$A$3:$A$3390,H$1,'United Data'!$C$3:$C$3390,$A1463)&gt;0,1,0)</f>
        <v>0</v>
      </c>
      <c r="I1463">
        <f>IF(COUNTIFS('United Data'!$A$3:$A$3390,I$1,'United Data'!$C$3:$C$3390,$A1463)&gt;0,1,0)</f>
        <v>0</v>
      </c>
      <c r="J1463">
        <f>IF(COUNTIFS('United Data'!$A$3:$A$3390,J$1,'United Data'!$C$3:$C$3390,$A1463)&gt;0,1,0)</f>
        <v>0</v>
      </c>
      <c r="K1463">
        <f>IF(COUNTIFS('United Data'!$A$3:$A$3390,K$1,'United Data'!$C$3:$C$3390,$A1463)&gt;0,1,0)</f>
        <v>1</v>
      </c>
      <c r="L1463">
        <f>IF(COUNTIFS('United Data'!$A$3:$A$3390,L$1,'United Data'!$C$3:$C$3390,$A1463)&gt;0,1,0)</f>
        <v>0</v>
      </c>
      <c r="M1463">
        <f>IF(COUNTIFS('United Data'!$A$3:$A$3390,M$1,'United Data'!$C$3:$C$3390,$A1463)&gt;0,1,0)</f>
        <v>0</v>
      </c>
      <c r="N1463">
        <f>IF(COUNTIFS('United Data'!$A$3:$A$3390,N$1,'United Data'!$C$3:$C$3390,$A1463)&gt;0,1,0)</f>
        <v>0</v>
      </c>
      <c r="O1463">
        <f>IF(COUNTIFS('United Data'!$A$3:$A$3390,O$1,'United Data'!$C$3:$C$3390,$A1463)&gt;0,1,0)</f>
        <v>0</v>
      </c>
      <c r="P1463">
        <f>IF(COUNTIFS('United Data'!$A$3:$A$3390,P$1,'United Data'!$C$3:$C$3390,$A1463)&gt;0,1,0)</f>
        <v>0</v>
      </c>
      <c r="Q1463">
        <f>IF(COUNTIFS('United Data'!$A$3:$A$3390,Q$1,'United Data'!$C$3:$C$3390,$A1463)&gt;0,1,0)</f>
        <v>0</v>
      </c>
      <c r="R1463">
        <f>IF(COUNTIFS('United Data'!$A$3:$A$3390,R$1,'United Data'!$C$3:$C$3390,$A1463)&gt;0,1,0)</f>
        <v>0</v>
      </c>
      <c r="S1463">
        <f t="shared" si="44"/>
        <v>1</v>
      </c>
      <c r="T1463">
        <f t="shared" si="45"/>
        <v>1</v>
      </c>
    </row>
    <row r="1464" spans="1:20" x14ac:dyDescent="0.2">
      <c r="A1464" t="s">
        <v>1733</v>
      </c>
      <c r="B1464">
        <f>IF(COUNTIFS('United Data'!$A$3:$A$3390,B$1,'United Data'!$C$3:$C$3390,$A1464)&gt;0,1,0)</f>
        <v>0</v>
      </c>
      <c r="C1464">
        <f>IF(COUNTIFS('United Data'!$A$3:$A$3390,C$1,'United Data'!$C$3:$C$3390,$A1464)&gt;0,1,0)</f>
        <v>0</v>
      </c>
      <c r="D1464">
        <f>IF(COUNTIFS('United Data'!$A$3:$A$3390,D$1,'United Data'!$C$3:$C$3390,$A1464)&gt;0,1,0)</f>
        <v>0</v>
      </c>
      <c r="E1464">
        <f>IF(COUNTIFS('United Data'!$A$3:$A$3390,E$1,'United Data'!$C$3:$C$3390,$A1464)&gt;0,1,0)</f>
        <v>0</v>
      </c>
      <c r="F1464">
        <f>IF(COUNTIFS('United Data'!$A$3:$A$3390,F$1,'United Data'!$C$3:$C$3390,$A1464)&gt;0,1,0)</f>
        <v>0</v>
      </c>
      <c r="G1464">
        <f>IF(COUNTIFS('United Data'!$A$3:$A$3390,G$1,'United Data'!$C$3:$C$3390,$A1464)&gt;0,1,0)</f>
        <v>0</v>
      </c>
      <c r="H1464">
        <f>IF(COUNTIFS('United Data'!$A$3:$A$3390,H$1,'United Data'!$C$3:$C$3390,$A1464)&gt;0,1,0)</f>
        <v>0</v>
      </c>
      <c r="I1464">
        <f>IF(COUNTIFS('United Data'!$A$3:$A$3390,I$1,'United Data'!$C$3:$C$3390,$A1464)&gt;0,1,0)</f>
        <v>0</v>
      </c>
      <c r="J1464">
        <f>IF(COUNTIFS('United Data'!$A$3:$A$3390,J$1,'United Data'!$C$3:$C$3390,$A1464)&gt;0,1,0)</f>
        <v>0</v>
      </c>
      <c r="K1464">
        <f>IF(COUNTIFS('United Data'!$A$3:$A$3390,K$1,'United Data'!$C$3:$C$3390,$A1464)&gt;0,1,0)</f>
        <v>1</v>
      </c>
      <c r="L1464">
        <f>IF(COUNTIFS('United Data'!$A$3:$A$3390,L$1,'United Data'!$C$3:$C$3390,$A1464)&gt;0,1,0)</f>
        <v>0</v>
      </c>
      <c r="M1464">
        <f>IF(COUNTIFS('United Data'!$A$3:$A$3390,M$1,'United Data'!$C$3:$C$3390,$A1464)&gt;0,1,0)</f>
        <v>0</v>
      </c>
      <c r="N1464">
        <f>IF(COUNTIFS('United Data'!$A$3:$A$3390,N$1,'United Data'!$C$3:$C$3390,$A1464)&gt;0,1,0)</f>
        <v>0</v>
      </c>
      <c r="O1464">
        <f>IF(COUNTIFS('United Data'!$A$3:$A$3390,O$1,'United Data'!$C$3:$C$3390,$A1464)&gt;0,1,0)</f>
        <v>0</v>
      </c>
      <c r="P1464">
        <f>IF(COUNTIFS('United Data'!$A$3:$A$3390,P$1,'United Data'!$C$3:$C$3390,$A1464)&gt;0,1,0)</f>
        <v>0</v>
      </c>
      <c r="Q1464">
        <f>IF(COUNTIFS('United Data'!$A$3:$A$3390,Q$1,'United Data'!$C$3:$C$3390,$A1464)&gt;0,1,0)</f>
        <v>0</v>
      </c>
      <c r="R1464">
        <f>IF(COUNTIFS('United Data'!$A$3:$A$3390,R$1,'United Data'!$C$3:$C$3390,$A1464)&gt;0,1,0)</f>
        <v>0</v>
      </c>
      <c r="S1464">
        <f t="shared" si="44"/>
        <v>1</v>
      </c>
      <c r="T1464">
        <f t="shared" si="45"/>
        <v>1</v>
      </c>
    </row>
    <row r="1465" spans="1:20" x14ac:dyDescent="0.2">
      <c r="A1465" t="s">
        <v>1734</v>
      </c>
      <c r="B1465">
        <f>IF(COUNTIFS('United Data'!$A$3:$A$3390,B$1,'United Data'!$C$3:$C$3390,$A1465)&gt;0,1,0)</f>
        <v>0</v>
      </c>
      <c r="C1465">
        <f>IF(COUNTIFS('United Data'!$A$3:$A$3390,C$1,'United Data'!$C$3:$C$3390,$A1465)&gt;0,1,0)</f>
        <v>0</v>
      </c>
      <c r="D1465">
        <f>IF(COUNTIFS('United Data'!$A$3:$A$3390,D$1,'United Data'!$C$3:$C$3390,$A1465)&gt;0,1,0)</f>
        <v>0</v>
      </c>
      <c r="E1465">
        <f>IF(COUNTIFS('United Data'!$A$3:$A$3390,E$1,'United Data'!$C$3:$C$3390,$A1465)&gt;0,1,0)</f>
        <v>0</v>
      </c>
      <c r="F1465">
        <f>IF(COUNTIFS('United Data'!$A$3:$A$3390,F$1,'United Data'!$C$3:$C$3390,$A1465)&gt;0,1,0)</f>
        <v>0</v>
      </c>
      <c r="G1465">
        <f>IF(COUNTIFS('United Data'!$A$3:$A$3390,G$1,'United Data'!$C$3:$C$3390,$A1465)&gt;0,1,0)</f>
        <v>0</v>
      </c>
      <c r="H1465">
        <f>IF(COUNTIFS('United Data'!$A$3:$A$3390,H$1,'United Data'!$C$3:$C$3390,$A1465)&gt;0,1,0)</f>
        <v>0</v>
      </c>
      <c r="I1465">
        <f>IF(COUNTIFS('United Data'!$A$3:$A$3390,I$1,'United Data'!$C$3:$C$3390,$A1465)&gt;0,1,0)</f>
        <v>0</v>
      </c>
      <c r="J1465">
        <f>IF(COUNTIFS('United Data'!$A$3:$A$3390,J$1,'United Data'!$C$3:$C$3390,$A1465)&gt;0,1,0)</f>
        <v>0</v>
      </c>
      <c r="K1465">
        <f>IF(COUNTIFS('United Data'!$A$3:$A$3390,K$1,'United Data'!$C$3:$C$3390,$A1465)&gt;0,1,0)</f>
        <v>1</v>
      </c>
      <c r="L1465">
        <f>IF(COUNTIFS('United Data'!$A$3:$A$3390,L$1,'United Data'!$C$3:$C$3390,$A1465)&gt;0,1,0)</f>
        <v>0</v>
      </c>
      <c r="M1465">
        <f>IF(COUNTIFS('United Data'!$A$3:$A$3390,M$1,'United Data'!$C$3:$C$3390,$A1465)&gt;0,1,0)</f>
        <v>0</v>
      </c>
      <c r="N1465">
        <f>IF(COUNTIFS('United Data'!$A$3:$A$3390,N$1,'United Data'!$C$3:$C$3390,$A1465)&gt;0,1,0)</f>
        <v>1</v>
      </c>
      <c r="O1465">
        <f>IF(COUNTIFS('United Data'!$A$3:$A$3390,O$1,'United Data'!$C$3:$C$3390,$A1465)&gt;0,1,0)</f>
        <v>1</v>
      </c>
      <c r="P1465">
        <f>IF(COUNTIFS('United Data'!$A$3:$A$3390,P$1,'United Data'!$C$3:$C$3390,$A1465)&gt;0,1,0)</f>
        <v>1</v>
      </c>
      <c r="Q1465">
        <f>IF(COUNTIFS('United Data'!$A$3:$A$3390,Q$1,'United Data'!$C$3:$C$3390,$A1465)&gt;0,1,0)</f>
        <v>0</v>
      </c>
      <c r="R1465">
        <f>IF(COUNTIFS('United Data'!$A$3:$A$3390,R$1,'United Data'!$C$3:$C$3390,$A1465)&gt;0,1,0)</f>
        <v>0</v>
      </c>
      <c r="S1465">
        <f t="shared" si="44"/>
        <v>4</v>
      </c>
      <c r="T1465">
        <f t="shared" si="45"/>
        <v>2</v>
      </c>
    </row>
    <row r="1466" spans="1:20" x14ac:dyDescent="0.2">
      <c r="A1466" t="s">
        <v>1736</v>
      </c>
      <c r="B1466">
        <f>IF(COUNTIFS('United Data'!$A$3:$A$3390,B$1,'United Data'!$C$3:$C$3390,$A1466)&gt;0,1,0)</f>
        <v>0</v>
      </c>
      <c r="C1466">
        <f>IF(COUNTIFS('United Data'!$A$3:$A$3390,C$1,'United Data'!$C$3:$C$3390,$A1466)&gt;0,1,0)</f>
        <v>0</v>
      </c>
      <c r="D1466">
        <f>IF(COUNTIFS('United Data'!$A$3:$A$3390,D$1,'United Data'!$C$3:$C$3390,$A1466)&gt;0,1,0)</f>
        <v>0</v>
      </c>
      <c r="E1466">
        <f>IF(COUNTIFS('United Data'!$A$3:$A$3390,E$1,'United Data'!$C$3:$C$3390,$A1466)&gt;0,1,0)</f>
        <v>0</v>
      </c>
      <c r="F1466">
        <f>IF(COUNTIFS('United Data'!$A$3:$A$3390,F$1,'United Data'!$C$3:$C$3390,$A1466)&gt;0,1,0)</f>
        <v>0</v>
      </c>
      <c r="G1466">
        <f>IF(COUNTIFS('United Data'!$A$3:$A$3390,G$1,'United Data'!$C$3:$C$3390,$A1466)&gt;0,1,0)</f>
        <v>0</v>
      </c>
      <c r="H1466">
        <f>IF(COUNTIFS('United Data'!$A$3:$A$3390,H$1,'United Data'!$C$3:$C$3390,$A1466)&gt;0,1,0)</f>
        <v>0</v>
      </c>
      <c r="I1466">
        <f>IF(COUNTIFS('United Data'!$A$3:$A$3390,I$1,'United Data'!$C$3:$C$3390,$A1466)&gt;0,1,0)</f>
        <v>0</v>
      </c>
      <c r="J1466">
        <f>IF(COUNTIFS('United Data'!$A$3:$A$3390,J$1,'United Data'!$C$3:$C$3390,$A1466)&gt;0,1,0)</f>
        <v>0</v>
      </c>
      <c r="K1466">
        <f>IF(COUNTIFS('United Data'!$A$3:$A$3390,K$1,'United Data'!$C$3:$C$3390,$A1466)&gt;0,1,0)</f>
        <v>1</v>
      </c>
      <c r="L1466">
        <f>IF(COUNTIFS('United Data'!$A$3:$A$3390,L$1,'United Data'!$C$3:$C$3390,$A1466)&gt;0,1,0)</f>
        <v>0</v>
      </c>
      <c r="M1466">
        <f>IF(COUNTIFS('United Data'!$A$3:$A$3390,M$1,'United Data'!$C$3:$C$3390,$A1466)&gt;0,1,0)</f>
        <v>0</v>
      </c>
      <c r="N1466">
        <f>IF(COUNTIFS('United Data'!$A$3:$A$3390,N$1,'United Data'!$C$3:$C$3390,$A1466)&gt;0,1,0)</f>
        <v>0</v>
      </c>
      <c r="O1466">
        <f>IF(COUNTIFS('United Data'!$A$3:$A$3390,O$1,'United Data'!$C$3:$C$3390,$A1466)&gt;0,1,0)</f>
        <v>0</v>
      </c>
      <c r="P1466">
        <f>IF(COUNTIFS('United Data'!$A$3:$A$3390,P$1,'United Data'!$C$3:$C$3390,$A1466)&gt;0,1,0)</f>
        <v>0</v>
      </c>
      <c r="Q1466">
        <f>IF(COUNTIFS('United Data'!$A$3:$A$3390,Q$1,'United Data'!$C$3:$C$3390,$A1466)&gt;0,1,0)</f>
        <v>0</v>
      </c>
      <c r="R1466">
        <f>IF(COUNTIFS('United Data'!$A$3:$A$3390,R$1,'United Data'!$C$3:$C$3390,$A1466)&gt;0,1,0)</f>
        <v>0</v>
      </c>
      <c r="S1466">
        <f t="shared" si="44"/>
        <v>1</v>
      </c>
      <c r="T1466">
        <f t="shared" si="45"/>
        <v>1</v>
      </c>
    </row>
    <row r="1467" spans="1:20" x14ac:dyDescent="0.2">
      <c r="A1467" t="s">
        <v>1737</v>
      </c>
      <c r="B1467">
        <f>IF(COUNTIFS('United Data'!$A$3:$A$3390,B$1,'United Data'!$C$3:$C$3390,$A1467)&gt;0,1,0)</f>
        <v>0</v>
      </c>
      <c r="C1467">
        <f>IF(COUNTIFS('United Data'!$A$3:$A$3390,C$1,'United Data'!$C$3:$C$3390,$A1467)&gt;0,1,0)</f>
        <v>0</v>
      </c>
      <c r="D1467">
        <f>IF(COUNTIFS('United Data'!$A$3:$A$3390,D$1,'United Data'!$C$3:$C$3390,$A1467)&gt;0,1,0)</f>
        <v>0</v>
      </c>
      <c r="E1467">
        <f>IF(COUNTIFS('United Data'!$A$3:$A$3390,E$1,'United Data'!$C$3:$C$3390,$A1467)&gt;0,1,0)</f>
        <v>0</v>
      </c>
      <c r="F1467">
        <f>IF(COUNTIFS('United Data'!$A$3:$A$3390,F$1,'United Data'!$C$3:$C$3390,$A1467)&gt;0,1,0)</f>
        <v>0</v>
      </c>
      <c r="G1467">
        <f>IF(COUNTIFS('United Data'!$A$3:$A$3390,G$1,'United Data'!$C$3:$C$3390,$A1467)&gt;0,1,0)</f>
        <v>0</v>
      </c>
      <c r="H1467">
        <f>IF(COUNTIFS('United Data'!$A$3:$A$3390,H$1,'United Data'!$C$3:$C$3390,$A1467)&gt;0,1,0)</f>
        <v>0</v>
      </c>
      <c r="I1467">
        <f>IF(COUNTIFS('United Data'!$A$3:$A$3390,I$1,'United Data'!$C$3:$C$3390,$A1467)&gt;0,1,0)</f>
        <v>0</v>
      </c>
      <c r="J1467">
        <f>IF(COUNTIFS('United Data'!$A$3:$A$3390,J$1,'United Data'!$C$3:$C$3390,$A1467)&gt;0,1,0)</f>
        <v>0</v>
      </c>
      <c r="K1467">
        <f>IF(COUNTIFS('United Data'!$A$3:$A$3390,K$1,'United Data'!$C$3:$C$3390,$A1467)&gt;0,1,0)</f>
        <v>0</v>
      </c>
      <c r="L1467">
        <f>IF(COUNTIFS('United Data'!$A$3:$A$3390,L$1,'United Data'!$C$3:$C$3390,$A1467)&gt;0,1,0)</f>
        <v>1</v>
      </c>
      <c r="M1467">
        <f>IF(COUNTIFS('United Data'!$A$3:$A$3390,M$1,'United Data'!$C$3:$C$3390,$A1467)&gt;0,1,0)</f>
        <v>0</v>
      </c>
      <c r="N1467">
        <f>IF(COUNTIFS('United Data'!$A$3:$A$3390,N$1,'United Data'!$C$3:$C$3390,$A1467)&gt;0,1,0)</f>
        <v>0</v>
      </c>
      <c r="O1467">
        <f>IF(COUNTIFS('United Data'!$A$3:$A$3390,O$1,'United Data'!$C$3:$C$3390,$A1467)&gt;0,1,0)</f>
        <v>0</v>
      </c>
      <c r="P1467">
        <f>IF(COUNTIFS('United Data'!$A$3:$A$3390,P$1,'United Data'!$C$3:$C$3390,$A1467)&gt;0,1,0)</f>
        <v>0</v>
      </c>
      <c r="Q1467">
        <f>IF(COUNTIFS('United Data'!$A$3:$A$3390,Q$1,'United Data'!$C$3:$C$3390,$A1467)&gt;0,1,0)</f>
        <v>0</v>
      </c>
      <c r="R1467">
        <f>IF(COUNTIFS('United Data'!$A$3:$A$3390,R$1,'United Data'!$C$3:$C$3390,$A1467)&gt;0,1,0)</f>
        <v>0</v>
      </c>
      <c r="S1467">
        <f t="shared" si="44"/>
        <v>1</v>
      </c>
      <c r="T1467">
        <f t="shared" si="45"/>
        <v>1</v>
      </c>
    </row>
    <row r="1468" spans="1:20" x14ac:dyDescent="0.2">
      <c r="A1468" t="s">
        <v>1738</v>
      </c>
      <c r="B1468">
        <f>IF(COUNTIFS('United Data'!$A$3:$A$3390,B$1,'United Data'!$C$3:$C$3390,$A1468)&gt;0,1,0)</f>
        <v>0</v>
      </c>
      <c r="C1468">
        <f>IF(COUNTIFS('United Data'!$A$3:$A$3390,C$1,'United Data'!$C$3:$C$3390,$A1468)&gt;0,1,0)</f>
        <v>0</v>
      </c>
      <c r="D1468">
        <f>IF(COUNTIFS('United Data'!$A$3:$A$3390,D$1,'United Data'!$C$3:$C$3390,$A1468)&gt;0,1,0)</f>
        <v>0</v>
      </c>
      <c r="E1468">
        <f>IF(COUNTIFS('United Data'!$A$3:$A$3390,E$1,'United Data'!$C$3:$C$3390,$A1468)&gt;0,1,0)</f>
        <v>0</v>
      </c>
      <c r="F1468">
        <f>IF(COUNTIFS('United Data'!$A$3:$A$3390,F$1,'United Data'!$C$3:$C$3390,$A1468)&gt;0,1,0)</f>
        <v>0</v>
      </c>
      <c r="G1468">
        <f>IF(COUNTIFS('United Data'!$A$3:$A$3390,G$1,'United Data'!$C$3:$C$3390,$A1468)&gt;0,1,0)</f>
        <v>0</v>
      </c>
      <c r="H1468">
        <f>IF(COUNTIFS('United Data'!$A$3:$A$3390,H$1,'United Data'!$C$3:$C$3390,$A1468)&gt;0,1,0)</f>
        <v>0</v>
      </c>
      <c r="I1468">
        <f>IF(COUNTIFS('United Data'!$A$3:$A$3390,I$1,'United Data'!$C$3:$C$3390,$A1468)&gt;0,1,0)</f>
        <v>0</v>
      </c>
      <c r="J1468">
        <f>IF(COUNTIFS('United Data'!$A$3:$A$3390,J$1,'United Data'!$C$3:$C$3390,$A1468)&gt;0,1,0)</f>
        <v>0</v>
      </c>
      <c r="K1468">
        <f>IF(COUNTIFS('United Data'!$A$3:$A$3390,K$1,'United Data'!$C$3:$C$3390,$A1468)&gt;0,1,0)</f>
        <v>0</v>
      </c>
      <c r="L1468">
        <f>IF(COUNTIFS('United Data'!$A$3:$A$3390,L$1,'United Data'!$C$3:$C$3390,$A1468)&gt;0,1,0)</f>
        <v>1</v>
      </c>
      <c r="M1468">
        <f>IF(COUNTIFS('United Data'!$A$3:$A$3390,M$1,'United Data'!$C$3:$C$3390,$A1468)&gt;0,1,0)</f>
        <v>0</v>
      </c>
      <c r="N1468">
        <f>IF(COUNTIFS('United Data'!$A$3:$A$3390,N$1,'United Data'!$C$3:$C$3390,$A1468)&gt;0,1,0)</f>
        <v>0</v>
      </c>
      <c r="O1468">
        <f>IF(COUNTIFS('United Data'!$A$3:$A$3390,O$1,'United Data'!$C$3:$C$3390,$A1468)&gt;0,1,0)</f>
        <v>0</v>
      </c>
      <c r="P1468">
        <f>IF(COUNTIFS('United Data'!$A$3:$A$3390,P$1,'United Data'!$C$3:$C$3390,$A1468)&gt;0,1,0)</f>
        <v>0</v>
      </c>
      <c r="Q1468">
        <f>IF(COUNTIFS('United Data'!$A$3:$A$3390,Q$1,'United Data'!$C$3:$C$3390,$A1468)&gt;0,1,0)</f>
        <v>0</v>
      </c>
      <c r="R1468">
        <f>IF(COUNTIFS('United Data'!$A$3:$A$3390,R$1,'United Data'!$C$3:$C$3390,$A1468)&gt;0,1,0)</f>
        <v>0</v>
      </c>
      <c r="S1468">
        <f t="shared" si="44"/>
        <v>1</v>
      </c>
      <c r="T1468">
        <f t="shared" si="45"/>
        <v>1</v>
      </c>
    </row>
    <row r="1469" spans="1:20" x14ac:dyDescent="0.2">
      <c r="A1469" t="s">
        <v>1739</v>
      </c>
      <c r="B1469">
        <f>IF(COUNTIFS('United Data'!$A$3:$A$3390,B$1,'United Data'!$C$3:$C$3390,$A1469)&gt;0,1,0)</f>
        <v>0</v>
      </c>
      <c r="C1469">
        <f>IF(COUNTIFS('United Data'!$A$3:$A$3390,C$1,'United Data'!$C$3:$C$3390,$A1469)&gt;0,1,0)</f>
        <v>0</v>
      </c>
      <c r="D1469">
        <f>IF(COUNTIFS('United Data'!$A$3:$A$3390,D$1,'United Data'!$C$3:$C$3390,$A1469)&gt;0,1,0)</f>
        <v>0</v>
      </c>
      <c r="E1469">
        <f>IF(COUNTIFS('United Data'!$A$3:$A$3390,E$1,'United Data'!$C$3:$C$3390,$A1469)&gt;0,1,0)</f>
        <v>0</v>
      </c>
      <c r="F1469">
        <f>IF(COUNTIFS('United Data'!$A$3:$A$3390,F$1,'United Data'!$C$3:$C$3390,$A1469)&gt;0,1,0)</f>
        <v>0</v>
      </c>
      <c r="G1469">
        <f>IF(COUNTIFS('United Data'!$A$3:$A$3390,G$1,'United Data'!$C$3:$C$3390,$A1469)&gt;0,1,0)</f>
        <v>0</v>
      </c>
      <c r="H1469">
        <f>IF(COUNTIFS('United Data'!$A$3:$A$3390,H$1,'United Data'!$C$3:$C$3390,$A1469)&gt;0,1,0)</f>
        <v>0</v>
      </c>
      <c r="I1469">
        <f>IF(COUNTIFS('United Data'!$A$3:$A$3390,I$1,'United Data'!$C$3:$C$3390,$A1469)&gt;0,1,0)</f>
        <v>0</v>
      </c>
      <c r="J1469">
        <f>IF(COUNTIFS('United Data'!$A$3:$A$3390,J$1,'United Data'!$C$3:$C$3390,$A1469)&gt;0,1,0)</f>
        <v>0</v>
      </c>
      <c r="K1469">
        <f>IF(COUNTIFS('United Data'!$A$3:$A$3390,K$1,'United Data'!$C$3:$C$3390,$A1469)&gt;0,1,0)</f>
        <v>0</v>
      </c>
      <c r="L1469">
        <f>IF(COUNTIFS('United Data'!$A$3:$A$3390,L$1,'United Data'!$C$3:$C$3390,$A1469)&gt;0,1,0)</f>
        <v>0</v>
      </c>
      <c r="M1469">
        <f>IF(COUNTIFS('United Data'!$A$3:$A$3390,M$1,'United Data'!$C$3:$C$3390,$A1469)&gt;0,1,0)</f>
        <v>1</v>
      </c>
      <c r="N1469">
        <f>IF(COUNTIFS('United Data'!$A$3:$A$3390,N$1,'United Data'!$C$3:$C$3390,$A1469)&gt;0,1,0)</f>
        <v>0</v>
      </c>
      <c r="O1469">
        <f>IF(COUNTIFS('United Data'!$A$3:$A$3390,O$1,'United Data'!$C$3:$C$3390,$A1469)&gt;0,1,0)</f>
        <v>1</v>
      </c>
      <c r="P1469">
        <f>IF(COUNTIFS('United Data'!$A$3:$A$3390,P$1,'United Data'!$C$3:$C$3390,$A1469)&gt;0,1,0)</f>
        <v>0</v>
      </c>
      <c r="Q1469">
        <f>IF(COUNTIFS('United Data'!$A$3:$A$3390,Q$1,'United Data'!$C$3:$C$3390,$A1469)&gt;0,1,0)</f>
        <v>0</v>
      </c>
      <c r="R1469">
        <f>IF(COUNTIFS('United Data'!$A$3:$A$3390,R$1,'United Data'!$C$3:$C$3390,$A1469)&gt;0,1,0)</f>
        <v>0</v>
      </c>
      <c r="S1469">
        <f t="shared" si="44"/>
        <v>2</v>
      </c>
      <c r="T1469">
        <f t="shared" si="45"/>
        <v>2</v>
      </c>
    </row>
    <row r="1470" spans="1:20" x14ac:dyDescent="0.2">
      <c r="A1470" t="s">
        <v>1740</v>
      </c>
      <c r="B1470">
        <f>IF(COUNTIFS('United Data'!$A$3:$A$3390,B$1,'United Data'!$C$3:$C$3390,$A1470)&gt;0,1,0)</f>
        <v>0</v>
      </c>
      <c r="C1470">
        <f>IF(COUNTIFS('United Data'!$A$3:$A$3390,C$1,'United Data'!$C$3:$C$3390,$A1470)&gt;0,1,0)</f>
        <v>0</v>
      </c>
      <c r="D1470">
        <f>IF(COUNTIFS('United Data'!$A$3:$A$3390,D$1,'United Data'!$C$3:$C$3390,$A1470)&gt;0,1,0)</f>
        <v>0</v>
      </c>
      <c r="E1470">
        <f>IF(COUNTIFS('United Data'!$A$3:$A$3390,E$1,'United Data'!$C$3:$C$3390,$A1470)&gt;0,1,0)</f>
        <v>0</v>
      </c>
      <c r="F1470">
        <f>IF(COUNTIFS('United Data'!$A$3:$A$3390,F$1,'United Data'!$C$3:$C$3390,$A1470)&gt;0,1,0)</f>
        <v>0</v>
      </c>
      <c r="G1470">
        <f>IF(COUNTIFS('United Data'!$A$3:$A$3390,G$1,'United Data'!$C$3:$C$3390,$A1470)&gt;0,1,0)</f>
        <v>0</v>
      </c>
      <c r="H1470">
        <f>IF(COUNTIFS('United Data'!$A$3:$A$3390,H$1,'United Data'!$C$3:$C$3390,$A1470)&gt;0,1,0)</f>
        <v>0</v>
      </c>
      <c r="I1470">
        <f>IF(COUNTIFS('United Data'!$A$3:$A$3390,I$1,'United Data'!$C$3:$C$3390,$A1470)&gt;0,1,0)</f>
        <v>0</v>
      </c>
      <c r="J1470">
        <f>IF(COUNTIFS('United Data'!$A$3:$A$3390,J$1,'United Data'!$C$3:$C$3390,$A1470)&gt;0,1,0)</f>
        <v>0</v>
      </c>
      <c r="K1470">
        <f>IF(COUNTIFS('United Data'!$A$3:$A$3390,K$1,'United Data'!$C$3:$C$3390,$A1470)&gt;0,1,0)</f>
        <v>0</v>
      </c>
      <c r="L1470">
        <f>IF(COUNTIFS('United Data'!$A$3:$A$3390,L$1,'United Data'!$C$3:$C$3390,$A1470)&gt;0,1,0)</f>
        <v>0</v>
      </c>
      <c r="M1470">
        <f>IF(COUNTIFS('United Data'!$A$3:$A$3390,M$1,'United Data'!$C$3:$C$3390,$A1470)&gt;0,1,0)</f>
        <v>1</v>
      </c>
      <c r="N1470">
        <f>IF(COUNTIFS('United Data'!$A$3:$A$3390,N$1,'United Data'!$C$3:$C$3390,$A1470)&gt;0,1,0)</f>
        <v>0</v>
      </c>
      <c r="O1470">
        <f>IF(COUNTIFS('United Data'!$A$3:$A$3390,O$1,'United Data'!$C$3:$C$3390,$A1470)&gt;0,1,0)</f>
        <v>0</v>
      </c>
      <c r="P1470">
        <f>IF(COUNTIFS('United Data'!$A$3:$A$3390,P$1,'United Data'!$C$3:$C$3390,$A1470)&gt;0,1,0)</f>
        <v>0</v>
      </c>
      <c r="Q1470">
        <f>IF(COUNTIFS('United Data'!$A$3:$A$3390,Q$1,'United Data'!$C$3:$C$3390,$A1470)&gt;0,1,0)</f>
        <v>0</v>
      </c>
      <c r="R1470">
        <f>IF(COUNTIFS('United Data'!$A$3:$A$3390,R$1,'United Data'!$C$3:$C$3390,$A1470)&gt;0,1,0)</f>
        <v>0</v>
      </c>
      <c r="S1470">
        <f t="shared" si="44"/>
        <v>1</v>
      </c>
      <c r="T1470">
        <f t="shared" si="45"/>
        <v>1</v>
      </c>
    </row>
    <row r="1471" spans="1:20" x14ac:dyDescent="0.2">
      <c r="A1471" t="s">
        <v>1741</v>
      </c>
      <c r="B1471">
        <f>IF(COUNTIFS('United Data'!$A$3:$A$3390,B$1,'United Data'!$C$3:$C$3390,$A1471)&gt;0,1,0)</f>
        <v>0</v>
      </c>
      <c r="C1471">
        <f>IF(COUNTIFS('United Data'!$A$3:$A$3390,C$1,'United Data'!$C$3:$C$3390,$A1471)&gt;0,1,0)</f>
        <v>0</v>
      </c>
      <c r="D1471">
        <f>IF(COUNTIFS('United Data'!$A$3:$A$3390,D$1,'United Data'!$C$3:$C$3390,$A1471)&gt;0,1,0)</f>
        <v>0</v>
      </c>
      <c r="E1471">
        <f>IF(COUNTIFS('United Data'!$A$3:$A$3390,E$1,'United Data'!$C$3:$C$3390,$A1471)&gt;0,1,0)</f>
        <v>0</v>
      </c>
      <c r="F1471">
        <f>IF(COUNTIFS('United Data'!$A$3:$A$3390,F$1,'United Data'!$C$3:$C$3390,$A1471)&gt;0,1,0)</f>
        <v>0</v>
      </c>
      <c r="G1471">
        <f>IF(COUNTIFS('United Data'!$A$3:$A$3390,G$1,'United Data'!$C$3:$C$3390,$A1471)&gt;0,1,0)</f>
        <v>0</v>
      </c>
      <c r="H1471">
        <f>IF(COUNTIFS('United Data'!$A$3:$A$3390,H$1,'United Data'!$C$3:$C$3390,$A1471)&gt;0,1,0)</f>
        <v>0</v>
      </c>
      <c r="I1471">
        <f>IF(COUNTIFS('United Data'!$A$3:$A$3390,I$1,'United Data'!$C$3:$C$3390,$A1471)&gt;0,1,0)</f>
        <v>0</v>
      </c>
      <c r="J1471">
        <f>IF(COUNTIFS('United Data'!$A$3:$A$3390,J$1,'United Data'!$C$3:$C$3390,$A1471)&gt;0,1,0)</f>
        <v>0</v>
      </c>
      <c r="K1471">
        <f>IF(COUNTIFS('United Data'!$A$3:$A$3390,K$1,'United Data'!$C$3:$C$3390,$A1471)&gt;0,1,0)</f>
        <v>0</v>
      </c>
      <c r="L1471">
        <f>IF(COUNTIFS('United Data'!$A$3:$A$3390,L$1,'United Data'!$C$3:$C$3390,$A1471)&gt;0,1,0)</f>
        <v>0</v>
      </c>
      <c r="M1471">
        <f>IF(COUNTIFS('United Data'!$A$3:$A$3390,M$1,'United Data'!$C$3:$C$3390,$A1471)&gt;0,1,0)</f>
        <v>1</v>
      </c>
      <c r="N1471">
        <f>IF(COUNTIFS('United Data'!$A$3:$A$3390,N$1,'United Data'!$C$3:$C$3390,$A1471)&gt;0,1,0)</f>
        <v>0</v>
      </c>
      <c r="O1471">
        <f>IF(COUNTIFS('United Data'!$A$3:$A$3390,O$1,'United Data'!$C$3:$C$3390,$A1471)&gt;0,1,0)</f>
        <v>0</v>
      </c>
      <c r="P1471">
        <f>IF(COUNTIFS('United Data'!$A$3:$A$3390,P$1,'United Data'!$C$3:$C$3390,$A1471)&gt;0,1,0)</f>
        <v>0</v>
      </c>
      <c r="Q1471">
        <f>IF(COUNTIFS('United Data'!$A$3:$A$3390,Q$1,'United Data'!$C$3:$C$3390,$A1471)&gt;0,1,0)</f>
        <v>0</v>
      </c>
      <c r="R1471">
        <f>IF(COUNTIFS('United Data'!$A$3:$A$3390,R$1,'United Data'!$C$3:$C$3390,$A1471)&gt;0,1,0)</f>
        <v>0</v>
      </c>
      <c r="S1471">
        <f t="shared" si="44"/>
        <v>1</v>
      </c>
      <c r="T1471">
        <f t="shared" si="45"/>
        <v>1</v>
      </c>
    </row>
    <row r="1472" spans="1:20" x14ac:dyDescent="0.2">
      <c r="A1472" t="s">
        <v>1742</v>
      </c>
      <c r="B1472">
        <f>IF(COUNTIFS('United Data'!$A$3:$A$3390,B$1,'United Data'!$C$3:$C$3390,$A1472)&gt;0,1,0)</f>
        <v>0</v>
      </c>
      <c r="C1472">
        <f>IF(COUNTIFS('United Data'!$A$3:$A$3390,C$1,'United Data'!$C$3:$C$3390,$A1472)&gt;0,1,0)</f>
        <v>0</v>
      </c>
      <c r="D1472">
        <f>IF(COUNTIFS('United Data'!$A$3:$A$3390,D$1,'United Data'!$C$3:$C$3390,$A1472)&gt;0,1,0)</f>
        <v>0</v>
      </c>
      <c r="E1472">
        <f>IF(COUNTIFS('United Data'!$A$3:$A$3390,E$1,'United Data'!$C$3:$C$3390,$A1472)&gt;0,1,0)</f>
        <v>0</v>
      </c>
      <c r="F1472">
        <f>IF(COUNTIFS('United Data'!$A$3:$A$3390,F$1,'United Data'!$C$3:$C$3390,$A1472)&gt;0,1,0)</f>
        <v>0</v>
      </c>
      <c r="G1472">
        <f>IF(COUNTIFS('United Data'!$A$3:$A$3390,G$1,'United Data'!$C$3:$C$3390,$A1472)&gt;0,1,0)</f>
        <v>0</v>
      </c>
      <c r="H1472">
        <f>IF(COUNTIFS('United Data'!$A$3:$A$3390,H$1,'United Data'!$C$3:$C$3390,$A1472)&gt;0,1,0)</f>
        <v>0</v>
      </c>
      <c r="I1472">
        <f>IF(COUNTIFS('United Data'!$A$3:$A$3390,I$1,'United Data'!$C$3:$C$3390,$A1472)&gt;0,1,0)</f>
        <v>0</v>
      </c>
      <c r="J1472">
        <f>IF(COUNTIFS('United Data'!$A$3:$A$3390,J$1,'United Data'!$C$3:$C$3390,$A1472)&gt;0,1,0)</f>
        <v>0</v>
      </c>
      <c r="K1472">
        <f>IF(COUNTIFS('United Data'!$A$3:$A$3390,K$1,'United Data'!$C$3:$C$3390,$A1472)&gt;0,1,0)</f>
        <v>0</v>
      </c>
      <c r="L1472">
        <f>IF(COUNTIFS('United Data'!$A$3:$A$3390,L$1,'United Data'!$C$3:$C$3390,$A1472)&gt;0,1,0)</f>
        <v>0</v>
      </c>
      <c r="M1472">
        <f>IF(COUNTIFS('United Data'!$A$3:$A$3390,M$1,'United Data'!$C$3:$C$3390,$A1472)&gt;0,1,0)</f>
        <v>1</v>
      </c>
      <c r="N1472">
        <f>IF(COUNTIFS('United Data'!$A$3:$A$3390,N$1,'United Data'!$C$3:$C$3390,$A1472)&gt;0,1,0)</f>
        <v>1</v>
      </c>
      <c r="O1472">
        <f>IF(COUNTIFS('United Data'!$A$3:$A$3390,O$1,'United Data'!$C$3:$C$3390,$A1472)&gt;0,1,0)</f>
        <v>0</v>
      </c>
      <c r="P1472">
        <f>IF(COUNTIFS('United Data'!$A$3:$A$3390,P$1,'United Data'!$C$3:$C$3390,$A1472)&gt;0,1,0)</f>
        <v>0</v>
      </c>
      <c r="Q1472">
        <f>IF(COUNTIFS('United Data'!$A$3:$A$3390,Q$1,'United Data'!$C$3:$C$3390,$A1472)&gt;0,1,0)</f>
        <v>0</v>
      </c>
      <c r="R1472">
        <f>IF(COUNTIFS('United Data'!$A$3:$A$3390,R$1,'United Data'!$C$3:$C$3390,$A1472)&gt;0,1,0)</f>
        <v>0</v>
      </c>
      <c r="S1472">
        <f t="shared" si="44"/>
        <v>2</v>
      </c>
      <c r="T1472">
        <f t="shared" si="45"/>
        <v>1</v>
      </c>
    </row>
    <row r="1473" spans="1:20" x14ac:dyDescent="0.2">
      <c r="A1473" t="s">
        <v>1743</v>
      </c>
      <c r="B1473">
        <f>IF(COUNTIFS('United Data'!$A$3:$A$3390,B$1,'United Data'!$C$3:$C$3390,$A1473)&gt;0,1,0)</f>
        <v>0</v>
      </c>
      <c r="C1473">
        <f>IF(COUNTIFS('United Data'!$A$3:$A$3390,C$1,'United Data'!$C$3:$C$3390,$A1473)&gt;0,1,0)</f>
        <v>0</v>
      </c>
      <c r="D1473">
        <f>IF(COUNTIFS('United Data'!$A$3:$A$3390,D$1,'United Data'!$C$3:$C$3390,$A1473)&gt;0,1,0)</f>
        <v>0</v>
      </c>
      <c r="E1473">
        <f>IF(COUNTIFS('United Data'!$A$3:$A$3390,E$1,'United Data'!$C$3:$C$3390,$A1473)&gt;0,1,0)</f>
        <v>0</v>
      </c>
      <c r="F1473">
        <f>IF(COUNTIFS('United Data'!$A$3:$A$3390,F$1,'United Data'!$C$3:$C$3390,$A1473)&gt;0,1,0)</f>
        <v>0</v>
      </c>
      <c r="G1473">
        <f>IF(COUNTIFS('United Data'!$A$3:$A$3390,G$1,'United Data'!$C$3:$C$3390,$A1473)&gt;0,1,0)</f>
        <v>0</v>
      </c>
      <c r="H1473">
        <f>IF(COUNTIFS('United Data'!$A$3:$A$3390,H$1,'United Data'!$C$3:$C$3390,$A1473)&gt;0,1,0)</f>
        <v>0</v>
      </c>
      <c r="I1473">
        <f>IF(COUNTIFS('United Data'!$A$3:$A$3390,I$1,'United Data'!$C$3:$C$3390,$A1473)&gt;0,1,0)</f>
        <v>0</v>
      </c>
      <c r="J1473">
        <f>IF(COUNTIFS('United Data'!$A$3:$A$3390,J$1,'United Data'!$C$3:$C$3390,$A1473)&gt;0,1,0)</f>
        <v>0</v>
      </c>
      <c r="K1473">
        <f>IF(COUNTIFS('United Data'!$A$3:$A$3390,K$1,'United Data'!$C$3:$C$3390,$A1473)&gt;0,1,0)</f>
        <v>0</v>
      </c>
      <c r="L1473">
        <f>IF(COUNTIFS('United Data'!$A$3:$A$3390,L$1,'United Data'!$C$3:$C$3390,$A1473)&gt;0,1,0)</f>
        <v>0</v>
      </c>
      <c r="M1473">
        <f>IF(COUNTIFS('United Data'!$A$3:$A$3390,M$1,'United Data'!$C$3:$C$3390,$A1473)&gt;0,1,0)</f>
        <v>1</v>
      </c>
      <c r="N1473">
        <f>IF(COUNTIFS('United Data'!$A$3:$A$3390,N$1,'United Data'!$C$3:$C$3390,$A1473)&gt;0,1,0)</f>
        <v>0</v>
      </c>
      <c r="O1473">
        <f>IF(COUNTIFS('United Data'!$A$3:$A$3390,O$1,'United Data'!$C$3:$C$3390,$A1473)&gt;0,1,0)</f>
        <v>0</v>
      </c>
      <c r="P1473">
        <f>IF(COUNTIFS('United Data'!$A$3:$A$3390,P$1,'United Data'!$C$3:$C$3390,$A1473)&gt;0,1,0)</f>
        <v>0</v>
      </c>
      <c r="Q1473">
        <f>IF(COUNTIFS('United Data'!$A$3:$A$3390,Q$1,'United Data'!$C$3:$C$3390,$A1473)&gt;0,1,0)</f>
        <v>0</v>
      </c>
      <c r="R1473">
        <f>IF(COUNTIFS('United Data'!$A$3:$A$3390,R$1,'United Data'!$C$3:$C$3390,$A1473)&gt;0,1,0)</f>
        <v>0</v>
      </c>
      <c r="S1473">
        <f t="shared" si="44"/>
        <v>1</v>
      </c>
      <c r="T1473">
        <f t="shared" si="45"/>
        <v>1</v>
      </c>
    </row>
    <row r="1474" spans="1:20" x14ac:dyDescent="0.2">
      <c r="A1474" t="s">
        <v>1744</v>
      </c>
      <c r="B1474">
        <f>IF(COUNTIFS('United Data'!$A$3:$A$3390,B$1,'United Data'!$C$3:$C$3390,$A1474)&gt;0,1,0)</f>
        <v>0</v>
      </c>
      <c r="C1474">
        <f>IF(COUNTIFS('United Data'!$A$3:$A$3390,C$1,'United Data'!$C$3:$C$3390,$A1474)&gt;0,1,0)</f>
        <v>0</v>
      </c>
      <c r="D1474">
        <f>IF(COUNTIFS('United Data'!$A$3:$A$3390,D$1,'United Data'!$C$3:$C$3390,$A1474)&gt;0,1,0)</f>
        <v>0</v>
      </c>
      <c r="E1474">
        <f>IF(COUNTIFS('United Data'!$A$3:$A$3390,E$1,'United Data'!$C$3:$C$3390,$A1474)&gt;0,1,0)</f>
        <v>0</v>
      </c>
      <c r="F1474">
        <f>IF(COUNTIFS('United Data'!$A$3:$A$3390,F$1,'United Data'!$C$3:$C$3390,$A1474)&gt;0,1,0)</f>
        <v>0</v>
      </c>
      <c r="G1474">
        <f>IF(COUNTIFS('United Data'!$A$3:$A$3390,G$1,'United Data'!$C$3:$C$3390,$A1474)&gt;0,1,0)</f>
        <v>0</v>
      </c>
      <c r="H1474">
        <f>IF(COUNTIFS('United Data'!$A$3:$A$3390,H$1,'United Data'!$C$3:$C$3390,$A1474)&gt;0,1,0)</f>
        <v>0</v>
      </c>
      <c r="I1474">
        <f>IF(COUNTIFS('United Data'!$A$3:$A$3390,I$1,'United Data'!$C$3:$C$3390,$A1474)&gt;0,1,0)</f>
        <v>0</v>
      </c>
      <c r="J1474">
        <f>IF(COUNTIFS('United Data'!$A$3:$A$3390,J$1,'United Data'!$C$3:$C$3390,$A1474)&gt;0,1,0)</f>
        <v>0</v>
      </c>
      <c r="K1474">
        <f>IF(COUNTIFS('United Data'!$A$3:$A$3390,K$1,'United Data'!$C$3:$C$3390,$A1474)&gt;0,1,0)</f>
        <v>0</v>
      </c>
      <c r="L1474">
        <f>IF(COUNTIFS('United Data'!$A$3:$A$3390,L$1,'United Data'!$C$3:$C$3390,$A1474)&gt;0,1,0)</f>
        <v>0</v>
      </c>
      <c r="M1474">
        <f>IF(COUNTIFS('United Data'!$A$3:$A$3390,M$1,'United Data'!$C$3:$C$3390,$A1474)&gt;0,1,0)</f>
        <v>1</v>
      </c>
      <c r="N1474">
        <f>IF(COUNTIFS('United Data'!$A$3:$A$3390,N$1,'United Data'!$C$3:$C$3390,$A1474)&gt;0,1,0)</f>
        <v>1</v>
      </c>
      <c r="O1474">
        <f>IF(COUNTIFS('United Data'!$A$3:$A$3390,O$1,'United Data'!$C$3:$C$3390,$A1474)&gt;0,1,0)</f>
        <v>1</v>
      </c>
      <c r="P1474">
        <f>IF(COUNTIFS('United Data'!$A$3:$A$3390,P$1,'United Data'!$C$3:$C$3390,$A1474)&gt;0,1,0)</f>
        <v>0</v>
      </c>
      <c r="Q1474">
        <f>IF(COUNTIFS('United Data'!$A$3:$A$3390,Q$1,'United Data'!$C$3:$C$3390,$A1474)&gt;0,1,0)</f>
        <v>0</v>
      </c>
      <c r="R1474">
        <f>IF(COUNTIFS('United Data'!$A$3:$A$3390,R$1,'United Data'!$C$3:$C$3390,$A1474)&gt;0,1,0)</f>
        <v>0</v>
      </c>
      <c r="S1474">
        <f t="shared" ref="S1474:S1537" si="46">SUM(B1474:R1474)</f>
        <v>3</v>
      </c>
      <c r="T1474">
        <f t="shared" ref="T1474:T1537" si="47">B1474+SUMPRODUCT(--(C1474:R1474&gt;B1474:Q1474))</f>
        <v>1</v>
      </c>
    </row>
    <row r="1475" spans="1:20" x14ac:dyDescent="0.2">
      <c r="A1475" t="s">
        <v>1745</v>
      </c>
      <c r="B1475">
        <f>IF(COUNTIFS('United Data'!$A$3:$A$3390,B$1,'United Data'!$C$3:$C$3390,$A1475)&gt;0,1,0)</f>
        <v>0</v>
      </c>
      <c r="C1475">
        <f>IF(COUNTIFS('United Data'!$A$3:$A$3390,C$1,'United Data'!$C$3:$C$3390,$A1475)&gt;0,1,0)</f>
        <v>0</v>
      </c>
      <c r="D1475">
        <f>IF(COUNTIFS('United Data'!$A$3:$A$3390,D$1,'United Data'!$C$3:$C$3390,$A1475)&gt;0,1,0)</f>
        <v>0</v>
      </c>
      <c r="E1475">
        <f>IF(COUNTIFS('United Data'!$A$3:$A$3390,E$1,'United Data'!$C$3:$C$3390,$A1475)&gt;0,1,0)</f>
        <v>0</v>
      </c>
      <c r="F1475">
        <f>IF(COUNTIFS('United Data'!$A$3:$A$3390,F$1,'United Data'!$C$3:$C$3390,$A1475)&gt;0,1,0)</f>
        <v>0</v>
      </c>
      <c r="G1475">
        <f>IF(COUNTIFS('United Data'!$A$3:$A$3390,G$1,'United Data'!$C$3:$C$3390,$A1475)&gt;0,1,0)</f>
        <v>0</v>
      </c>
      <c r="H1475">
        <f>IF(COUNTIFS('United Data'!$A$3:$A$3390,H$1,'United Data'!$C$3:$C$3390,$A1475)&gt;0,1,0)</f>
        <v>0</v>
      </c>
      <c r="I1475">
        <f>IF(COUNTIFS('United Data'!$A$3:$A$3390,I$1,'United Data'!$C$3:$C$3390,$A1475)&gt;0,1,0)</f>
        <v>0</v>
      </c>
      <c r="J1475">
        <f>IF(COUNTIFS('United Data'!$A$3:$A$3390,J$1,'United Data'!$C$3:$C$3390,$A1475)&gt;0,1,0)</f>
        <v>0</v>
      </c>
      <c r="K1475">
        <f>IF(COUNTIFS('United Data'!$A$3:$A$3390,K$1,'United Data'!$C$3:$C$3390,$A1475)&gt;0,1,0)</f>
        <v>0</v>
      </c>
      <c r="L1475">
        <f>IF(COUNTIFS('United Data'!$A$3:$A$3390,L$1,'United Data'!$C$3:$C$3390,$A1475)&gt;0,1,0)</f>
        <v>0</v>
      </c>
      <c r="M1475">
        <f>IF(COUNTIFS('United Data'!$A$3:$A$3390,M$1,'United Data'!$C$3:$C$3390,$A1475)&gt;0,1,0)</f>
        <v>1</v>
      </c>
      <c r="N1475">
        <f>IF(COUNTIFS('United Data'!$A$3:$A$3390,N$1,'United Data'!$C$3:$C$3390,$A1475)&gt;0,1,0)</f>
        <v>0</v>
      </c>
      <c r="O1475">
        <f>IF(COUNTIFS('United Data'!$A$3:$A$3390,O$1,'United Data'!$C$3:$C$3390,$A1475)&gt;0,1,0)</f>
        <v>0</v>
      </c>
      <c r="P1475">
        <f>IF(COUNTIFS('United Data'!$A$3:$A$3390,P$1,'United Data'!$C$3:$C$3390,$A1475)&gt;0,1,0)</f>
        <v>0</v>
      </c>
      <c r="Q1475">
        <f>IF(COUNTIFS('United Data'!$A$3:$A$3390,Q$1,'United Data'!$C$3:$C$3390,$A1475)&gt;0,1,0)</f>
        <v>0</v>
      </c>
      <c r="R1475">
        <f>IF(COUNTIFS('United Data'!$A$3:$A$3390,R$1,'United Data'!$C$3:$C$3390,$A1475)&gt;0,1,0)</f>
        <v>0</v>
      </c>
      <c r="S1475">
        <f t="shared" si="46"/>
        <v>1</v>
      </c>
      <c r="T1475">
        <f t="shared" si="47"/>
        <v>1</v>
      </c>
    </row>
    <row r="1476" spans="1:20" x14ac:dyDescent="0.2">
      <c r="A1476" t="s">
        <v>1746</v>
      </c>
      <c r="B1476">
        <f>IF(COUNTIFS('United Data'!$A$3:$A$3390,B$1,'United Data'!$C$3:$C$3390,$A1476)&gt;0,1,0)</f>
        <v>0</v>
      </c>
      <c r="C1476">
        <f>IF(COUNTIFS('United Data'!$A$3:$A$3390,C$1,'United Data'!$C$3:$C$3390,$A1476)&gt;0,1,0)</f>
        <v>0</v>
      </c>
      <c r="D1476">
        <f>IF(COUNTIFS('United Data'!$A$3:$A$3390,D$1,'United Data'!$C$3:$C$3390,$A1476)&gt;0,1,0)</f>
        <v>0</v>
      </c>
      <c r="E1476">
        <f>IF(COUNTIFS('United Data'!$A$3:$A$3390,E$1,'United Data'!$C$3:$C$3390,$A1476)&gt;0,1,0)</f>
        <v>0</v>
      </c>
      <c r="F1476">
        <f>IF(COUNTIFS('United Data'!$A$3:$A$3390,F$1,'United Data'!$C$3:$C$3390,$A1476)&gt;0,1,0)</f>
        <v>0</v>
      </c>
      <c r="G1476">
        <f>IF(COUNTIFS('United Data'!$A$3:$A$3390,G$1,'United Data'!$C$3:$C$3390,$A1476)&gt;0,1,0)</f>
        <v>0</v>
      </c>
      <c r="H1476">
        <f>IF(COUNTIFS('United Data'!$A$3:$A$3390,H$1,'United Data'!$C$3:$C$3390,$A1476)&gt;0,1,0)</f>
        <v>0</v>
      </c>
      <c r="I1476">
        <f>IF(COUNTIFS('United Data'!$A$3:$A$3390,I$1,'United Data'!$C$3:$C$3390,$A1476)&gt;0,1,0)</f>
        <v>0</v>
      </c>
      <c r="J1476">
        <f>IF(COUNTIFS('United Data'!$A$3:$A$3390,J$1,'United Data'!$C$3:$C$3390,$A1476)&gt;0,1,0)</f>
        <v>0</v>
      </c>
      <c r="K1476">
        <f>IF(COUNTIFS('United Data'!$A$3:$A$3390,K$1,'United Data'!$C$3:$C$3390,$A1476)&gt;0,1,0)</f>
        <v>0</v>
      </c>
      <c r="L1476">
        <f>IF(COUNTIFS('United Data'!$A$3:$A$3390,L$1,'United Data'!$C$3:$C$3390,$A1476)&gt;0,1,0)</f>
        <v>0</v>
      </c>
      <c r="M1476">
        <f>IF(COUNTIFS('United Data'!$A$3:$A$3390,M$1,'United Data'!$C$3:$C$3390,$A1476)&gt;0,1,0)</f>
        <v>1</v>
      </c>
      <c r="N1476">
        <f>IF(COUNTIFS('United Data'!$A$3:$A$3390,N$1,'United Data'!$C$3:$C$3390,$A1476)&gt;0,1,0)</f>
        <v>1</v>
      </c>
      <c r="O1476">
        <f>IF(COUNTIFS('United Data'!$A$3:$A$3390,O$1,'United Data'!$C$3:$C$3390,$A1476)&gt;0,1,0)</f>
        <v>0</v>
      </c>
      <c r="P1476">
        <f>IF(COUNTIFS('United Data'!$A$3:$A$3390,P$1,'United Data'!$C$3:$C$3390,$A1476)&gt;0,1,0)</f>
        <v>0</v>
      </c>
      <c r="Q1476">
        <f>IF(COUNTIFS('United Data'!$A$3:$A$3390,Q$1,'United Data'!$C$3:$C$3390,$A1476)&gt;0,1,0)</f>
        <v>0</v>
      </c>
      <c r="R1476">
        <f>IF(COUNTIFS('United Data'!$A$3:$A$3390,R$1,'United Data'!$C$3:$C$3390,$A1476)&gt;0,1,0)</f>
        <v>0</v>
      </c>
      <c r="S1476">
        <f t="shared" si="46"/>
        <v>2</v>
      </c>
      <c r="T1476">
        <f t="shared" si="47"/>
        <v>1</v>
      </c>
    </row>
    <row r="1477" spans="1:20" x14ac:dyDescent="0.2">
      <c r="A1477" t="s">
        <v>1747</v>
      </c>
      <c r="B1477">
        <f>IF(COUNTIFS('United Data'!$A$3:$A$3390,B$1,'United Data'!$C$3:$C$3390,$A1477)&gt;0,1,0)</f>
        <v>0</v>
      </c>
      <c r="C1477">
        <f>IF(COUNTIFS('United Data'!$A$3:$A$3390,C$1,'United Data'!$C$3:$C$3390,$A1477)&gt;0,1,0)</f>
        <v>0</v>
      </c>
      <c r="D1477">
        <f>IF(COUNTIFS('United Data'!$A$3:$A$3390,D$1,'United Data'!$C$3:$C$3390,$A1477)&gt;0,1,0)</f>
        <v>0</v>
      </c>
      <c r="E1477">
        <f>IF(COUNTIFS('United Data'!$A$3:$A$3390,E$1,'United Data'!$C$3:$C$3390,$A1477)&gt;0,1,0)</f>
        <v>0</v>
      </c>
      <c r="F1477">
        <f>IF(COUNTIFS('United Data'!$A$3:$A$3390,F$1,'United Data'!$C$3:$C$3390,$A1477)&gt;0,1,0)</f>
        <v>0</v>
      </c>
      <c r="G1477">
        <f>IF(COUNTIFS('United Data'!$A$3:$A$3390,G$1,'United Data'!$C$3:$C$3390,$A1477)&gt;0,1,0)</f>
        <v>0</v>
      </c>
      <c r="H1477">
        <f>IF(COUNTIFS('United Data'!$A$3:$A$3390,H$1,'United Data'!$C$3:$C$3390,$A1477)&gt;0,1,0)</f>
        <v>0</v>
      </c>
      <c r="I1477">
        <f>IF(COUNTIFS('United Data'!$A$3:$A$3390,I$1,'United Data'!$C$3:$C$3390,$A1477)&gt;0,1,0)</f>
        <v>0</v>
      </c>
      <c r="J1477">
        <f>IF(COUNTIFS('United Data'!$A$3:$A$3390,J$1,'United Data'!$C$3:$C$3390,$A1477)&gt;0,1,0)</f>
        <v>0</v>
      </c>
      <c r="K1477">
        <f>IF(COUNTIFS('United Data'!$A$3:$A$3390,K$1,'United Data'!$C$3:$C$3390,$A1477)&gt;0,1,0)</f>
        <v>0</v>
      </c>
      <c r="L1477">
        <f>IF(COUNTIFS('United Data'!$A$3:$A$3390,L$1,'United Data'!$C$3:$C$3390,$A1477)&gt;0,1,0)</f>
        <v>0</v>
      </c>
      <c r="M1477">
        <f>IF(COUNTIFS('United Data'!$A$3:$A$3390,M$1,'United Data'!$C$3:$C$3390,$A1477)&gt;0,1,0)</f>
        <v>0</v>
      </c>
      <c r="N1477">
        <f>IF(COUNTIFS('United Data'!$A$3:$A$3390,N$1,'United Data'!$C$3:$C$3390,$A1477)&gt;0,1,0)</f>
        <v>1</v>
      </c>
      <c r="O1477">
        <f>IF(COUNTIFS('United Data'!$A$3:$A$3390,O$1,'United Data'!$C$3:$C$3390,$A1477)&gt;0,1,0)</f>
        <v>0</v>
      </c>
      <c r="P1477">
        <f>IF(COUNTIFS('United Data'!$A$3:$A$3390,P$1,'United Data'!$C$3:$C$3390,$A1477)&gt;0,1,0)</f>
        <v>0</v>
      </c>
      <c r="Q1477">
        <f>IF(COUNTIFS('United Data'!$A$3:$A$3390,Q$1,'United Data'!$C$3:$C$3390,$A1477)&gt;0,1,0)</f>
        <v>0</v>
      </c>
      <c r="R1477">
        <f>IF(COUNTIFS('United Data'!$A$3:$A$3390,R$1,'United Data'!$C$3:$C$3390,$A1477)&gt;0,1,0)</f>
        <v>0</v>
      </c>
      <c r="S1477">
        <f t="shared" si="46"/>
        <v>1</v>
      </c>
      <c r="T1477">
        <f t="shared" si="47"/>
        <v>1</v>
      </c>
    </row>
    <row r="1478" spans="1:20" x14ac:dyDescent="0.2">
      <c r="A1478" t="s">
        <v>1748</v>
      </c>
      <c r="B1478">
        <f>IF(COUNTIFS('United Data'!$A$3:$A$3390,B$1,'United Data'!$C$3:$C$3390,$A1478)&gt;0,1,0)</f>
        <v>0</v>
      </c>
      <c r="C1478">
        <f>IF(COUNTIFS('United Data'!$A$3:$A$3390,C$1,'United Data'!$C$3:$C$3390,$A1478)&gt;0,1,0)</f>
        <v>0</v>
      </c>
      <c r="D1478">
        <f>IF(COUNTIFS('United Data'!$A$3:$A$3390,D$1,'United Data'!$C$3:$C$3390,$A1478)&gt;0,1,0)</f>
        <v>0</v>
      </c>
      <c r="E1478">
        <f>IF(COUNTIFS('United Data'!$A$3:$A$3390,E$1,'United Data'!$C$3:$C$3390,$A1478)&gt;0,1,0)</f>
        <v>0</v>
      </c>
      <c r="F1478">
        <f>IF(COUNTIFS('United Data'!$A$3:$A$3390,F$1,'United Data'!$C$3:$C$3390,$A1478)&gt;0,1,0)</f>
        <v>0</v>
      </c>
      <c r="G1478">
        <f>IF(COUNTIFS('United Data'!$A$3:$A$3390,G$1,'United Data'!$C$3:$C$3390,$A1478)&gt;0,1,0)</f>
        <v>0</v>
      </c>
      <c r="H1478">
        <f>IF(COUNTIFS('United Data'!$A$3:$A$3390,H$1,'United Data'!$C$3:$C$3390,$A1478)&gt;0,1,0)</f>
        <v>0</v>
      </c>
      <c r="I1478">
        <f>IF(COUNTIFS('United Data'!$A$3:$A$3390,I$1,'United Data'!$C$3:$C$3390,$A1478)&gt;0,1,0)</f>
        <v>0</v>
      </c>
      <c r="J1478">
        <f>IF(COUNTIFS('United Data'!$A$3:$A$3390,J$1,'United Data'!$C$3:$C$3390,$A1478)&gt;0,1,0)</f>
        <v>0</v>
      </c>
      <c r="K1478">
        <f>IF(COUNTIFS('United Data'!$A$3:$A$3390,K$1,'United Data'!$C$3:$C$3390,$A1478)&gt;0,1,0)</f>
        <v>0</v>
      </c>
      <c r="L1478">
        <f>IF(COUNTIFS('United Data'!$A$3:$A$3390,L$1,'United Data'!$C$3:$C$3390,$A1478)&gt;0,1,0)</f>
        <v>0</v>
      </c>
      <c r="M1478">
        <f>IF(COUNTIFS('United Data'!$A$3:$A$3390,M$1,'United Data'!$C$3:$C$3390,$A1478)&gt;0,1,0)</f>
        <v>0</v>
      </c>
      <c r="N1478">
        <f>IF(COUNTIFS('United Data'!$A$3:$A$3390,N$1,'United Data'!$C$3:$C$3390,$A1478)&gt;0,1,0)</f>
        <v>0</v>
      </c>
      <c r="O1478">
        <f>IF(COUNTIFS('United Data'!$A$3:$A$3390,O$1,'United Data'!$C$3:$C$3390,$A1478)&gt;0,1,0)</f>
        <v>1</v>
      </c>
      <c r="P1478">
        <f>IF(COUNTIFS('United Data'!$A$3:$A$3390,P$1,'United Data'!$C$3:$C$3390,$A1478)&gt;0,1,0)</f>
        <v>0</v>
      </c>
      <c r="Q1478">
        <f>IF(COUNTIFS('United Data'!$A$3:$A$3390,Q$1,'United Data'!$C$3:$C$3390,$A1478)&gt;0,1,0)</f>
        <v>0</v>
      </c>
      <c r="R1478">
        <f>IF(COUNTIFS('United Data'!$A$3:$A$3390,R$1,'United Data'!$C$3:$C$3390,$A1478)&gt;0,1,0)</f>
        <v>0</v>
      </c>
      <c r="S1478">
        <f t="shared" si="46"/>
        <v>1</v>
      </c>
      <c r="T1478">
        <f t="shared" si="47"/>
        <v>1</v>
      </c>
    </row>
    <row r="1479" spans="1:20" x14ac:dyDescent="0.2">
      <c r="A1479" t="s">
        <v>1749</v>
      </c>
      <c r="B1479">
        <f>IF(COUNTIFS('United Data'!$A$3:$A$3390,B$1,'United Data'!$C$3:$C$3390,$A1479)&gt;0,1,0)</f>
        <v>0</v>
      </c>
      <c r="C1479">
        <f>IF(COUNTIFS('United Data'!$A$3:$A$3390,C$1,'United Data'!$C$3:$C$3390,$A1479)&gt;0,1,0)</f>
        <v>0</v>
      </c>
      <c r="D1479">
        <f>IF(COUNTIFS('United Data'!$A$3:$A$3390,D$1,'United Data'!$C$3:$C$3390,$A1479)&gt;0,1,0)</f>
        <v>0</v>
      </c>
      <c r="E1479">
        <f>IF(COUNTIFS('United Data'!$A$3:$A$3390,E$1,'United Data'!$C$3:$C$3390,$A1479)&gt;0,1,0)</f>
        <v>0</v>
      </c>
      <c r="F1479">
        <f>IF(COUNTIFS('United Data'!$A$3:$A$3390,F$1,'United Data'!$C$3:$C$3390,$A1479)&gt;0,1,0)</f>
        <v>0</v>
      </c>
      <c r="G1479">
        <f>IF(COUNTIFS('United Data'!$A$3:$A$3390,G$1,'United Data'!$C$3:$C$3390,$A1479)&gt;0,1,0)</f>
        <v>0</v>
      </c>
      <c r="H1479">
        <f>IF(COUNTIFS('United Data'!$A$3:$A$3390,H$1,'United Data'!$C$3:$C$3390,$A1479)&gt;0,1,0)</f>
        <v>0</v>
      </c>
      <c r="I1479">
        <f>IF(COUNTIFS('United Data'!$A$3:$A$3390,I$1,'United Data'!$C$3:$C$3390,$A1479)&gt;0,1,0)</f>
        <v>0</v>
      </c>
      <c r="J1479">
        <f>IF(COUNTIFS('United Data'!$A$3:$A$3390,J$1,'United Data'!$C$3:$C$3390,$A1479)&gt;0,1,0)</f>
        <v>0</v>
      </c>
      <c r="K1479">
        <f>IF(COUNTIFS('United Data'!$A$3:$A$3390,K$1,'United Data'!$C$3:$C$3390,$A1479)&gt;0,1,0)</f>
        <v>0</v>
      </c>
      <c r="L1479">
        <f>IF(COUNTIFS('United Data'!$A$3:$A$3390,L$1,'United Data'!$C$3:$C$3390,$A1479)&gt;0,1,0)</f>
        <v>0</v>
      </c>
      <c r="M1479">
        <f>IF(COUNTIFS('United Data'!$A$3:$A$3390,M$1,'United Data'!$C$3:$C$3390,$A1479)&gt;0,1,0)</f>
        <v>0</v>
      </c>
      <c r="N1479">
        <f>IF(COUNTIFS('United Data'!$A$3:$A$3390,N$1,'United Data'!$C$3:$C$3390,$A1479)&gt;0,1,0)</f>
        <v>0</v>
      </c>
      <c r="O1479">
        <f>IF(COUNTIFS('United Data'!$A$3:$A$3390,O$1,'United Data'!$C$3:$C$3390,$A1479)&gt;0,1,0)</f>
        <v>1</v>
      </c>
      <c r="P1479">
        <f>IF(COUNTIFS('United Data'!$A$3:$A$3390,P$1,'United Data'!$C$3:$C$3390,$A1479)&gt;0,1,0)</f>
        <v>0</v>
      </c>
      <c r="Q1479">
        <f>IF(COUNTIFS('United Data'!$A$3:$A$3390,Q$1,'United Data'!$C$3:$C$3390,$A1479)&gt;0,1,0)</f>
        <v>0</v>
      </c>
      <c r="R1479">
        <f>IF(COUNTIFS('United Data'!$A$3:$A$3390,R$1,'United Data'!$C$3:$C$3390,$A1479)&gt;0,1,0)</f>
        <v>0</v>
      </c>
      <c r="S1479">
        <f t="shared" si="46"/>
        <v>1</v>
      </c>
      <c r="T1479">
        <f t="shared" si="47"/>
        <v>1</v>
      </c>
    </row>
    <row r="1480" spans="1:20" x14ac:dyDescent="0.2">
      <c r="A1480" t="s">
        <v>1750</v>
      </c>
      <c r="B1480">
        <f>IF(COUNTIFS('United Data'!$A$3:$A$3390,B$1,'United Data'!$C$3:$C$3390,$A1480)&gt;0,1,0)</f>
        <v>0</v>
      </c>
      <c r="C1480">
        <f>IF(COUNTIFS('United Data'!$A$3:$A$3390,C$1,'United Data'!$C$3:$C$3390,$A1480)&gt;0,1,0)</f>
        <v>0</v>
      </c>
      <c r="D1480">
        <f>IF(COUNTIFS('United Data'!$A$3:$A$3390,D$1,'United Data'!$C$3:$C$3390,$A1480)&gt;0,1,0)</f>
        <v>0</v>
      </c>
      <c r="E1480">
        <f>IF(COUNTIFS('United Data'!$A$3:$A$3390,E$1,'United Data'!$C$3:$C$3390,$A1480)&gt;0,1,0)</f>
        <v>0</v>
      </c>
      <c r="F1480">
        <f>IF(COUNTIFS('United Data'!$A$3:$A$3390,F$1,'United Data'!$C$3:$C$3390,$A1480)&gt;0,1,0)</f>
        <v>0</v>
      </c>
      <c r="G1480">
        <f>IF(COUNTIFS('United Data'!$A$3:$A$3390,G$1,'United Data'!$C$3:$C$3390,$A1480)&gt;0,1,0)</f>
        <v>0</v>
      </c>
      <c r="H1480">
        <f>IF(COUNTIFS('United Data'!$A$3:$A$3390,H$1,'United Data'!$C$3:$C$3390,$A1480)&gt;0,1,0)</f>
        <v>0</v>
      </c>
      <c r="I1480">
        <f>IF(COUNTIFS('United Data'!$A$3:$A$3390,I$1,'United Data'!$C$3:$C$3390,$A1480)&gt;0,1,0)</f>
        <v>0</v>
      </c>
      <c r="J1480">
        <f>IF(COUNTIFS('United Data'!$A$3:$A$3390,J$1,'United Data'!$C$3:$C$3390,$A1480)&gt;0,1,0)</f>
        <v>0</v>
      </c>
      <c r="K1480">
        <f>IF(COUNTIFS('United Data'!$A$3:$A$3390,K$1,'United Data'!$C$3:$C$3390,$A1480)&gt;0,1,0)</f>
        <v>0</v>
      </c>
      <c r="L1480">
        <f>IF(COUNTIFS('United Data'!$A$3:$A$3390,L$1,'United Data'!$C$3:$C$3390,$A1480)&gt;0,1,0)</f>
        <v>0</v>
      </c>
      <c r="M1480">
        <f>IF(COUNTIFS('United Data'!$A$3:$A$3390,M$1,'United Data'!$C$3:$C$3390,$A1480)&gt;0,1,0)</f>
        <v>0</v>
      </c>
      <c r="N1480">
        <f>IF(COUNTIFS('United Data'!$A$3:$A$3390,N$1,'United Data'!$C$3:$C$3390,$A1480)&gt;0,1,0)</f>
        <v>0</v>
      </c>
      <c r="O1480">
        <f>IF(COUNTIFS('United Data'!$A$3:$A$3390,O$1,'United Data'!$C$3:$C$3390,$A1480)&gt;0,1,0)</f>
        <v>1</v>
      </c>
      <c r="P1480">
        <f>IF(COUNTIFS('United Data'!$A$3:$A$3390,P$1,'United Data'!$C$3:$C$3390,$A1480)&gt;0,1,0)</f>
        <v>1</v>
      </c>
      <c r="Q1480">
        <f>IF(COUNTIFS('United Data'!$A$3:$A$3390,Q$1,'United Data'!$C$3:$C$3390,$A1480)&gt;0,1,0)</f>
        <v>0</v>
      </c>
      <c r="R1480">
        <f>IF(COUNTIFS('United Data'!$A$3:$A$3390,R$1,'United Data'!$C$3:$C$3390,$A1480)&gt;0,1,0)</f>
        <v>0</v>
      </c>
      <c r="S1480">
        <f t="shared" si="46"/>
        <v>2</v>
      </c>
      <c r="T1480">
        <f t="shared" si="47"/>
        <v>1</v>
      </c>
    </row>
    <row r="1481" spans="1:20" x14ac:dyDescent="0.2">
      <c r="A1481" t="s">
        <v>1751</v>
      </c>
      <c r="B1481">
        <f>IF(COUNTIFS('United Data'!$A$3:$A$3390,B$1,'United Data'!$C$3:$C$3390,$A1481)&gt;0,1,0)</f>
        <v>0</v>
      </c>
      <c r="C1481">
        <f>IF(COUNTIFS('United Data'!$A$3:$A$3390,C$1,'United Data'!$C$3:$C$3390,$A1481)&gt;0,1,0)</f>
        <v>0</v>
      </c>
      <c r="D1481">
        <f>IF(COUNTIFS('United Data'!$A$3:$A$3390,D$1,'United Data'!$C$3:$C$3390,$A1481)&gt;0,1,0)</f>
        <v>0</v>
      </c>
      <c r="E1481">
        <f>IF(COUNTIFS('United Data'!$A$3:$A$3390,E$1,'United Data'!$C$3:$C$3390,$A1481)&gt;0,1,0)</f>
        <v>0</v>
      </c>
      <c r="F1481">
        <f>IF(COUNTIFS('United Data'!$A$3:$A$3390,F$1,'United Data'!$C$3:$C$3390,$A1481)&gt;0,1,0)</f>
        <v>0</v>
      </c>
      <c r="G1481">
        <f>IF(COUNTIFS('United Data'!$A$3:$A$3390,G$1,'United Data'!$C$3:$C$3390,$A1481)&gt;0,1,0)</f>
        <v>0</v>
      </c>
      <c r="H1481">
        <f>IF(COUNTIFS('United Data'!$A$3:$A$3390,H$1,'United Data'!$C$3:$C$3390,$A1481)&gt;0,1,0)</f>
        <v>0</v>
      </c>
      <c r="I1481">
        <f>IF(COUNTIFS('United Data'!$A$3:$A$3390,I$1,'United Data'!$C$3:$C$3390,$A1481)&gt;0,1,0)</f>
        <v>0</v>
      </c>
      <c r="J1481">
        <f>IF(COUNTIFS('United Data'!$A$3:$A$3390,J$1,'United Data'!$C$3:$C$3390,$A1481)&gt;0,1,0)</f>
        <v>0</v>
      </c>
      <c r="K1481">
        <f>IF(COUNTIFS('United Data'!$A$3:$A$3390,K$1,'United Data'!$C$3:$C$3390,$A1481)&gt;0,1,0)</f>
        <v>0</v>
      </c>
      <c r="L1481">
        <f>IF(COUNTIFS('United Data'!$A$3:$A$3390,L$1,'United Data'!$C$3:$C$3390,$A1481)&gt;0,1,0)</f>
        <v>0</v>
      </c>
      <c r="M1481">
        <f>IF(COUNTIFS('United Data'!$A$3:$A$3390,M$1,'United Data'!$C$3:$C$3390,$A1481)&gt;0,1,0)</f>
        <v>0</v>
      </c>
      <c r="N1481">
        <f>IF(COUNTIFS('United Data'!$A$3:$A$3390,N$1,'United Data'!$C$3:$C$3390,$A1481)&gt;0,1,0)</f>
        <v>0</v>
      </c>
      <c r="O1481">
        <f>IF(COUNTIFS('United Data'!$A$3:$A$3390,O$1,'United Data'!$C$3:$C$3390,$A1481)&gt;0,1,0)</f>
        <v>1</v>
      </c>
      <c r="P1481">
        <f>IF(COUNTIFS('United Data'!$A$3:$A$3390,P$1,'United Data'!$C$3:$C$3390,$A1481)&gt;0,1,0)</f>
        <v>0</v>
      </c>
      <c r="Q1481">
        <f>IF(COUNTIFS('United Data'!$A$3:$A$3390,Q$1,'United Data'!$C$3:$C$3390,$A1481)&gt;0,1,0)</f>
        <v>0</v>
      </c>
      <c r="R1481">
        <f>IF(COUNTIFS('United Data'!$A$3:$A$3390,R$1,'United Data'!$C$3:$C$3390,$A1481)&gt;0,1,0)</f>
        <v>0</v>
      </c>
      <c r="S1481">
        <f t="shared" si="46"/>
        <v>1</v>
      </c>
      <c r="T1481">
        <f t="shared" si="47"/>
        <v>1</v>
      </c>
    </row>
    <row r="1482" spans="1:20" x14ac:dyDescent="0.2">
      <c r="A1482" t="s">
        <v>1753</v>
      </c>
      <c r="B1482">
        <f>IF(COUNTIFS('United Data'!$A$3:$A$3390,B$1,'United Data'!$C$3:$C$3390,$A1482)&gt;0,1,0)</f>
        <v>0</v>
      </c>
      <c r="C1482">
        <f>IF(COUNTIFS('United Data'!$A$3:$A$3390,C$1,'United Data'!$C$3:$C$3390,$A1482)&gt;0,1,0)</f>
        <v>0</v>
      </c>
      <c r="D1482">
        <f>IF(COUNTIFS('United Data'!$A$3:$A$3390,D$1,'United Data'!$C$3:$C$3390,$A1482)&gt;0,1,0)</f>
        <v>0</v>
      </c>
      <c r="E1482">
        <f>IF(COUNTIFS('United Data'!$A$3:$A$3390,E$1,'United Data'!$C$3:$C$3390,$A1482)&gt;0,1,0)</f>
        <v>0</v>
      </c>
      <c r="F1482">
        <f>IF(COUNTIFS('United Data'!$A$3:$A$3390,F$1,'United Data'!$C$3:$C$3390,$A1482)&gt;0,1,0)</f>
        <v>0</v>
      </c>
      <c r="G1482">
        <f>IF(COUNTIFS('United Data'!$A$3:$A$3390,G$1,'United Data'!$C$3:$C$3390,$A1482)&gt;0,1,0)</f>
        <v>0</v>
      </c>
      <c r="H1482">
        <f>IF(COUNTIFS('United Data'!$A$3:$A$3390,H$1,'United Data'!$C$3:$C$3390,$A1482)&gt;0,1,0)</f>
        <v>0</v>
      </c>
      <c r="I1482">
        <f>IF(COUNTIFS('United Data'!$A$3:$A$3390,I$1,'United Data'!$C$3:$C$3390,$A1482)&gt;0,1,0)</f>
        <v>0</v>
      </c>
      <c r="J1482">
        <f>IF(COUNTIFS('United Data'!$A$3:$A$3390,J$1,'United Data'!$C$3:$C$3390,$A1482)&gt;0,1,0)</f>
        <v>0</v>
      </c>
      <c r="K1482">
        <f>IF(COUNTIFS('United Data'!$A$3:$A$3390,K$1,'United Data'!$C$3:$C$3390,$A1482)&gt;0,1,0)</f>
        <v>0</v>
      </c>
      <c r="L1482">
        <f>IF(COUNTIFS('United Data'!$A$3:$A$3390,L$1,'United Data'!$C$3:$C$3390,$A1482)&gt;0,1,0)</f>
        <v>0</v>
      </c>
      <c r="M1482">
        <f>IF(COUNTIFS('United Data'!$A$3:$A$3390,M$1,'United Data'!$C$3:$C$3390,$A1482)&gt;0,1,0)</f>
        <v>0</v>
      </c>
      <c r="N1482">
        <f>IF(COUNTIFS('United Data'!$A$3:$A$3390,N$1,'United Data'!$C$3:$C$3390,$A1482)&gt;0,1,0)</f>
        <v>0</v>
      </c>
      <c r="O1482">
        <f>IF(COUNTIFS('United Data'!$A$3:$A$3390,O$1,'United Data'!$C$3:$C$3390,$A1482)&gt;0,1,0)</f>
        <v>1</v>
      </c>
      <c r="P1482">
        <f>IF(COUNTIFS('United Data'!$A$3:$A$3390,P$1,'United Data'!$C$3:$C$3390,$A1482)&gt;0,1,0)</f>
        <v>0</v>
      </c>
      <c r="Q1482">
        <f>IF(COUNTIFS('United Data'!$A$3:$A$3390,Q$1,'United Data'!$C$3:$C$3390,$A1482)&gt;0,1,0)</f>
        <v>0</v>
      </c>
      <c r="R1482">
        <f>IF(COUNTIFS('United Data'!$A$3:$A$3390,R$1,'United Data'!$C$3:$C$3390,$A1482)&gt;0,1,0)</f>
        <v>0</v>
      </c>
      <c r="S1482">
        <f t="shared" si="46"/>
        <v>1</v>
      </c>
      <c r="T1482">
        <f t="shared" si="47"/>
        <v>1</v>
      </c>
    </row>
    <row r="1483" spans="1:20" x14ac:dyDescent="0.2">
      <c r="A1483" t="s">
        <v>1754</v>
      </c>
      <c r="B1483">
        <f>IF(COUNTIFS('United Data'!$A$3:$A$3390,B$1,'United Data'!$C$3:$C$3390,$A1483)&gt;0,1,0)</f>
        <v>0</v>
      </c>
      <c r="C1483">
        <f>IF(COUNTIFS('United Data'!$A$3:$A$3390,C$1,'United Data'!$C$3:$C$3390,$A1483)&gt;0,1,0)</f>
        <v>0</v>
      </c>
      <c r="D1483">
        <f>IF(COUNTIFS('United Data'!$A$3:$A$3390,D$1,'United Data'!$C$3:$C$3390,$A1483)&gt;0,1,0)</f>
        <v>0</v>
      </c>
      <c r="E1483">
        <f>IF(COUNTIFS('United Data'!$A$3:$A$3390,E$1,'United Data'!$C$3:$C$3390,$A1483)&gt;0,1,0)</f>
        <v>0</v>
      </c>
      <c r="F1483">
        <f>IF(COUNTIFS('United Data'!$A$3:$A$3390,F$1,'United Data'!$C$3:$C$3390,$A1483)&gt;0,1,0)</f>
        <v>0</v>
      </c>
      <c r="G1483">
        <f>IF(COUNTIFS('United Data'!$A$3:$A$3390,G$1,'United Data'!$C$3:$C$3390,$A1483)&gt;0,1,0)</f>
        <v>0</v>
      </c>
      <c r="H1483">
        <f>IF(COUNTIFS('United Data'!$A$3:$A$3390,H$1,'United Data'!$C$3:$C$3390,$A1483)&gt;0,1,0)</f>
        <v>0</v>
      </c>
      <c r="I1483">
        <f>IF(COUNTIFS('United Data'!$A$3:$A$3390,I$1,'United Data'!$C$3:$C$3390,$A1483)&gt;0,1,0)</f>
        <v>0</v>
      </c>
      <c r="J1483">
        <f>IF(COUNTIFS('United Data'!$A$3:$A$3390,J$1,'United Data'!$C$3:$C$3390,$A1483)&gt;0,1,0)</f>
        <v>0</v>
      </c>
      <c r="K1483">
        <f>IF(COUNTIFS('United Data'!$A$3:$A$3390,K$1,'United Data'!$C$3:$C$3390,$A1483)&gt;0,1,0)</f>
        <v>0</v>
      </c>
      <c r="L1483">
        <f>IF(COUNTIFS('United Data'!$A$3:$A$3390,L$1,'United Data'!$C$3:$C$3390,$A1483)&gt;0,1,0)</f>
        <v>0</v>
      </c>
      <c r="M1483">
        <f>IF(COUNTIFS('United Data'!$A$3:$A$3390,M$1,'United Data'!$C$3:$C$3390,$A1483)&gt;0,1,0)</f>
        <v>0</v>
      </c>
      <c r="N1483">
        <f>IF(COUNTIFS('United Data'!$A$3:$A$3390,N$1,'United Data'!$C$3:$C$3390,$A1483)&gt;0,1,0)</f>
        <v>0</v>
      </c>
      <c r="O1483">
        <f>IF(COUNTIFS('United Data'!$A$3:$A$3390,O$1,'United Data'!$C$3:$C$3390,$A1483)&gt;0,1,0)</f>
        <v>1</v>
      </c>
      <c r="P1483">
        <f>IF(COUNTIFS('United Data'!$A$3:$A$3390,P$1,'United Data'!$C$3:$C$3390,$A1483)&gt;0,1,0)</f>
        <v>0</v>
      </c>
      <c r="Q1483">
        <f>IF(COUNTIFS('United Data'!$A$3:$A$3390,Q$1,'United Data'!$C$3:$C$3390,$A1483)&gt;0,1,0)</f>
        <v>0</v>
      </c>
      <c r="R1483">
        <f>IF(COUNTIFS('United Data'!$A$3:$A$3390,R$1,'United Data'!$C$3:$C$3390,$A1483)&gt;0,1,0)</f>
        <v>0</v>
      </c>
      <c r="S1483">
        <f t="shared" si="46"/>
        <v>1</v>
      </c>
      <c r="T1483">
        <f t="shared" si="47"/>
        <v>1</v>
      </c>
    </row>
    <row r="1484" spans="1:20" x14ac:dyDescent="0.2">
      <c r="A1484" t="s">
        <v>1755</v>
      </c>
      <c r="B1484">
        <f>IF(COUNTIFS('United Data'!$A$3:$A$3390,B$1,'United Data'!$C$3:$C$3390,$A1484)&gt;0,1,0)</f>
        <v>0</v>
      </c>
      <c r="C1484">
        <f>IF(COUNTIFS('United Data'!$A$3:$A$3390,C$1,'United Data'!$C$3:$C$3390,$A1484)&gt;0,1,0)</f>
        <v>0</v>
      </c>
      <c r="D1484">
        <f>IF(COUNTIFS('United Data'!$A$3:$A$3390,D$1,'United Data'!$C$3:$C$3390,$A1484)&gt;0,1,0)</f>
        <v>0</v>
      </c>
      <c r="E1484">
        <f>IF(COUNTIFS('United Data'!$A$3:$A$3390,E$1,'United Data'!$C$3:$C$3390,$A1484)&gt;0,1,0)</f>
        <v>0</v>
      </c>
      <c r="F1484">
        <f>IF(COUNTIFS('United Data'!$A$3:$A$3390,F$1,'United Data'!$C$3:$C$3390,$A1484)&gt;0,1,0)</f>
        <v>0</v>
      </c>
      <c r="G1484">
        <f>IF(COUNTIFS('United Data'!$A$3:$A$3390,G$1,'United Data'!$C$3:$C$3390,$A1484)&gt;0,1,0)</f>
        <v>0</v>
      </c>
      <c r="H1484">
        <f>IF(COUNTIFS('United Data'!$A$3:$A$3390,H$1,'United Data'!$C$3:$C$3390,$A1484)&gt;0,1,0)</f>
        <v>0</v>
      </c>
      <c r="I1484">
        <f>IF(COUNTIFS('United Data'!$A$3:$A$3390,I$1,'United Data'!$C$3:$C$3390,$A1484)&gt;0,1,0)</f>
        <v>0</v>
      </c>
      <c r="J1484">
        <f>IF(COUNTIFS('United Data'!$A$3:$A$3390,J$1,'United Data'!$C$3:$C$3390,$A1484)&gt;0,1,0)</f>
        <v>0</v>
      </c>
      <c r="K1484">
        <f>IF(COUNTIFS('United Data'!$A$3:$A$3390,K$1,'United Data'!$C$3:$C$3390,$A1484)&gt;0,1,0)</f>
        <v>0</v>
      </c>
      <c r="L1484">
        <f>IF(COUNTIFS('United Data'!$A$3:$A$3390,L$1,'United Data'!$C$3:$C$3390,$A1484)&gt;0,1,0)</f>
        <v>0</v>
      </c>
      <c r="M1484">
        <f>IF(COUNTIFS('United Data'!$A$3:$A$3390,M$1,'United Data'!$C$3:$C$3390,$A1484)&gt;0,1,0)</f>
        <v>0</v>
      </c>
      <c r="N1484">
        <f>IF(COUNTIFS('United Data'!$A$3:$A$3390,N$1,'United Data'!$C$3:$C$3390,$A1484)&gt;0,1,0)</f>
        <v>0</v>
      </c>
      <c r="O1484">
        <f>IF(COUNTIFS('United Data'!$A$3:$A$3390,O$1,'United Data'!$C$3:$C$3390,$A1484)&gt;0,1,0)</f>
        <v>1</v>
      </c>
      <c r="P1484">
        <f>IF(COUNTIFS('United Data'!$A$3:$A$3390,P$1,'United Data'!$C$3:$C$3390,$A1484)&gt;0,1,0)</f>
        <v>0</v>
      </c>
      <c r="Q1484">
        <f>IF(COUNTIFS('United Data'!$A$3:$A$3390,Q$1,'United Data'!$C$3:$C$3390,$A1484)&gt;0,1,0)</f>
        <v>0</v>
      </c>
      <c r="R1484">
        <f>IF(COUNTIFS('United Data'!$A$3:$A$3390,R$1,'United Data'!$C$3:$C$3390,$A1484)&gt;0,1,0)</f>
        <v>0</v>
      </c>
      <c r="S1484">
        <f t="shared" si="46"/>
        <v>1</v>
      </c>
      <c r="T1484">
        <f t="shared" si="47"/>
        <v>1</v>
      </c>
    </row>
    <row r="1485" spans="1:20" x14ac:dyDescent="0.2">
      <c r="A1485" t="s">
        <v>1756</v>
      </c>
      <c r="B1485">
        <f>IF(COUNTIFS('United Data'!$A$3:$A$3390,B$1,'United Data'!$C$3:$C$3390,$A1485)&gt;0,1,0)</f>
        <v>0</v>
      </c>
      <c r="C1485">
        <f>IF(COUNTIFS('United Data'!$A$3:$A$3390,C$1,'United Data'!$C$3:$C$3390,$A1485)&gt;0,1,0)</f>
        <v>0</v>
      </c>
      <c r="D1485">
        <f>IF(COUNTIFS('United Data'!$A$3:$A$3390,D$1,'United Data'!$C$3:$C$3390,$A1485)&gt;0,1,0)</f>
        <v>0</v>
      </c>
      <c r="E1485">
        <f>IF(COUNTIFS('United Data'!$A$3:$A$3390,E$1,'United Data'!$C$3:$C$3390,$A1485)&gt;0,1,0)</f>
        <v>0</v>
      </c>
      <c r="F1485">
        <f>IF(COUNTIFS('United Data'!$A$3:$A$3390,F$1,'United Data'!$C$3:$C$3390,$A1485)&gt;0,1,0)</f>
        <v>0</v>
      </c>
      <c r="G1485">
        <f>IF(COUNTIFS('United Data'!$A$3:$A$3390,G$1,'United Data'!$C$3:$C$3390,$A1485)&gt;0,1,0)</f>
        <v>0</v>
      </c>
      <c r="H1485">
        <f>IF(COUNTIFS('United Data'!$A$3:$A$3390,H$1,'United Data'!$C$3:$C$3390,$A1485)&gt;0,1,0)</f>
        <v>0</v>
      </c>
      <c r="I1485">
        <f>IF(COUNTIFS('United Data'!$A$3:$A$3390,I$1,'United Data'!$C$3:$C$3390,$A1485)&gt;0,1,0)</f>
        <v>0</v>
      </c>
      <c r="J1485">
        <f>IF(COUNTIFS('United Data'!$A$3:$A$3390,J$1,'United Data'!$C$3:$C$3390,$A1485)&gt;0,1,0)</f>
        <v>0</v>
      </c>
      <c r="K1485">
        <f>IF(COUNTIFS('United Data'!$A$3:$A$3390,K$1,'United Data'!$C$3:$C$3390,$A1485)&gt;0,1,0)</f>
        <v>0</v>
      </c>
      <c r="L1485">
        <f>IF(COUNTIFS('United Data'!$A$3:$A$3390,L$1,'United Data'!$C$3:$C$3390,$A1485)&gt;0,1,0)</f>
        <v>0</v>
      </c>
      <c r="M1485">
        <f>IF(COUNTIFS('United Data'!$A$3:$A$3390,M$1,'United Data'!$C$3:$C$3390,$A1485)&gt;0,1,0)</f>
        <v>0</v>
      </c>
      <c r="N1485">
        <f>IF(COUNTIFS('United Data'!$A$3:$A$3390,N$1,'United Data'!$C$3:$C$3390,$A1485)&gt;0,1,0)</f>
        <v>0</v>
      </c>
      <c r="O1485">
        <f>IF(COUNTIFS('United Data'!$A$3:$A$3390,O$1,'United Data'!$C$3:$C$3390,$A1485)&gt;0,1,0)</f>
        <v>1</v>
      </c>
      <c r="P1485">
        <f>IF(COUNTIFS('United Data'!$A$3:$A$3390,P$1,'United Data'!$C$3:$C$3390,$A1485)&gt;0,1,0)</f>
        <v>0</v>
      </c>
      <c r="Q1485">
        <f>IF(COUNTIFS('United Data'!$A$3:$A$3390,Q$1,'United Data'!$C$3:$C$3390,$A1485)&gt;0,1,0)</f>
        <v>0</v>
      </c>
      <c r="R1485">
        <f>IF(COUNTIFS('United Data'!$A$3:$A$3390,R$1,'United Data'!$C$3:$C$3390,$A1485)&gt;0,1,0)</f>
        <v>0</v>
      </c>
      <c r="S1485">
        <f t="shared" si="46"/>
        <v>1</v>
      </c>
      <c r="T1485">
        <f t="shared" si="47"/>
        <v>1</v>
      </c>
    </row>
    <row r="1486" spans="1:20" x14ac:dyDescent="0.2">
      <c r="A1486" t="s">
        <v>1757</v>
      </c>
      <c r="B1486">
        <f>IF(COUNTIFS('United Data'!$A$3:$A$3390,B$1,'United Data'!$C$3:$C$3390,$A1486)&gt;0,1,0)</f>
        <v>0</v>
      </c>
      <c r="C1486">
        <f>IF(COUNTIFS('United Data'!$A$3:$A$3390,C$1,'United Data'!$C$3:$C$3390,$A1486)&gt;0,1,0)</f>
        <v>0</v>
      </c>
      <c r="D1486">
        <f>IF(COUNTIFS('United Data'!$A$3:$A$3390,D$1,'United Data'!$C$3:$C$3390,$A1486)&gt;0,1,0)</f>
        <v>0</v>
      </c>
      <c r="E1486">
        <f>IF(COUNTIFS('United Data'!$A$3:$A$3390,E$1,'United Data'!$C$3:$C$3390,$A1486)&gt;0,1,0)</f>
        <v>0</v>
      </c>
      <c r="F1486">
        <f>IF(COUNTIFS('United Data'!$A$3:$A$3390,F$1,'United Data'!$C$3:$C$3390,$A1486)&gt;0,1,0)</f>
        <v>0</v>
      </c>
      <c r="G1486">
        <f>IF(COUNTIFS('United Data'!$A$3:$A$3390,G$1,'United Data'!$C$3:$C$3390,$A1486)&gt;0,1,0)</f>
        <v>0</v>
      </c>
      <c r="H1486">
        <f>IF(COUNTIFS('United Data'!$A$3:$A$3390,H$1,'United Data'!$C$3:$C$3390,$A1486)&gt;0,1,0)</f>
        <v>0</v>
      </c>
      <c r="I1486">
        <f>IF(COUNTIFS('United Data'!$A$3:$A$3390,I$1,'United Data'!$C$3:$C$3390,$A1486)&gt;0,1,0)</f>
        <v>0</v>
      </c>
      <c r="J1486">
        <f>IF(COUNTIFS('United Data'!$A$3:$A$3390,J$1,'United Data'!$C$3:$C$3390,$A1486)&gt;0,1,0)</f>
        <v>0</v>
      </c>
      <c r="K1486">
        <f>IF(COUNTIFS('United Data'!$A$3:$A$3390,K$1,'United Data'!$C$3:$C$3390,$A1486)&gt;0,1,0)</f>
        <v>0</v>
      </c>
      <c r="L1486">
        <f>IF(COUNTIFS('United Data'!$A$3:$A$3390,L$1,'United Data'!$C$3:$C$3390,$A1486)&gt;0,1,0)</f>
        <v>0</v>
      </c>
      <c r="M1486">
        <f>IF(COUNTIFS('United Data'!$A$3:$A$3390,M$1,'United Data'!$C$3:$C$3390,$A1486)&gt;0,1,0)</f>
        <v>0</v>
      </c>
      <c r="N1486">
        <f>IF(COUNTIFS('United Data'!$A$3:$A$3390,N$1,'United Data'!$C$3:$C$3390,$A1486)&gt;0,1,0)</f>
        <v>0</v>
      </c>
      <c r="O1486">
        <f>IF(COUNTIFS('United Data'!$A$3:$A$3390,O$1,'United Data'!$C$3:$C$3390,$A1486)&gt;0,1,0)</f>
        <v>1</v>
      </c>
      <c r="P1486">
        <f>IF(COUNTIFS('United Data'!$A$3:$A$3390,P$1,'United Data'!$C$3:$C$3390,$A1486)&gt;0,1,0)</f>
        <v>0</v>
      </c>
      <c r="Q1486">
        <f>IF(COUNTIFS('United Data'!$A$3:$A$3390,Q$1,'United Data'!$C$3:$C$3390,$A1486)&gt;0,1,0)</f>
        <v>0</v>
      </c>
      <c r="R1486">
        <f>IF(COUNTIFS('United Data'!$A$3:$A$3390,R$1,'United Data'!$C$3:$C$3390,$A1486)&gt;0,1,0)</f>
        <v>0</v>
      </c>
      <c r="S1486">
        <f t="shared" si="46"/>
        <v>1</v>
      </c>
      <c r="T1486">
        <f t="shared" si="47"/>
        <v>1</v>
      </c>
    </row>
    <row r="1487" spans="1:20" x14ac:dyDescent="0.2">
      <c r="A1487" t="s">
        <v>1758</v>
      </c>
      <c r="B1487">
        <f>IF(COUNTIFS('United Data'!$A$3:$A$3390,B$1,'United Data'!$C$3:$C$3390,$A1487)&gt;0,1,0)</f>
        <v>0</v>
      </c>
      <c r="C1487">
        <f>IF(COUNTIFS('United Data'!$A$3:$A$3390,C$1,'United Data'!$C$3:$C$3390,$A1487)&gt;0,1,0)</f>
        <v>0</v>
      </c>
      <c r="D1487">
        <f>IF(COUNTIFS('United Data'!$A$3:$A$3390,D$1,'United Data'!$C$3:$C$3390,$A1487)&gt;0,1,0)</f>
        <v>0</v>
      </c>
      <c r="E1487">
        <f>IF(COUNTIFS('United Data'!$A$3:$A$3390,E$1,'United Data'!$C$3:$C$3390,$A1487)&gt;0,1,0)</f>
        <v>0</v>
      </c>
      <c r="F1487">
        <f>IF(COUNTIFS('United Data'!$A$3:$A$3390,F$1,'United Data'!$C$3:$C$3390,$A1487)&gt;0,1,0)</f>
        <v>0</v>
      </c>
      <c r="G1487">
        <f>IF(COUNTIFS('United Data'!$A$3:$A$3390,G$1,'United Data'!$C$3:$C$3390,$A1487)&gt;0,1,0)</f>
        <v>0</v>
      </c>
      <c r="H1487">
        <f>IF(COUNTIFS('United Data'!$A$3:$A$3390,H$1,'United Data'!$C$3:$C$3390,$A1487)&gt;0,1,0)</f>
        <v>0</v>
      </c>
      <c r="I1487">
        <f>IF(COUNTIFS('United Data'!$A$3:$A$3390,I$1,'United Data'!$C$3:$C$3390,$A1487)&gt;0,1,0)</f>
        <v>0</v>
      </c>
      <c r="J1487">
        <f>IF(COUNTIFS('United Data'!$A$3:$A$3390,J$1,'United Data'!$C$3:$C$3390,$A1487)&gt;0,1,0)</f>
        <v>0</v>
      </c>
      <c r="K1487">
        <f>IF(COUNTIFS('United Data'!$A$3:$A$3390,K$1,'United Data'!$C$3:$C$3390,$A1487)&gt;0,1,0)</f>
        <v>0</v>
      </c>
      <c r="L1487">
        <f>IF(COUNTIFS('United Data'!$A$3:$A$3390,L$1,'United Data'!$C$3:$C$3390,$A1487)&gt;0,1,0)</f>
        <v>0</v>
      </c>
      <c r="M1487">
        <f>IF(COUNTIFS('United Data'!$A$3:$A$3390,M$1,'United Data'!$C$3:$C$3390,$A1487)&gt;0,1,0)</f>
        <v>0</v>
      </c>
      <c r="N1487">
        <f>IF(COUNTIFS('United Data'!$A$3:$A$3390,N$1,'United Data'!$C$3:$C$3390,$A1487)&gt;0,1,0)</f>
        <v>0</v>
      </c>
      <c r="O1487">
        <f>IF(COUNTIFS('United Data'!$A$3:$A$3390,O$1,'United Data'!$C$3:$C$3390,$A1487)&gt;0,1,0)</f>
        <v>1</v>
      </c>
      <c r="P1487">
        <f>IF(COUNTIFS('United Data'!$A$3:$A$3390,P$1,'United Data'!$C$3:$C$3390,$A1487)&gt;0,1,0)</f>
        <v>1</v>
      </c>
      <c r="Q1487">
        <f>IF(COUNTIFS('United Data'!$A$3:$A$3390,Q$1,'United Data'!$C$3:$C$3390,$A1487)&gt;0,1,0)</f>
        <v>0</v>
      </c>
      <c r="R1487">
        <f>IF(COUNTIFS('United Data'!$A$3:$A$3390,R$1,'United Data'!$C$3:$C$3390,$A1487)&gt;0,1,0)</f>
        <v>0</v>
      </c>
      <c r="S1487">
        <f t="shared" si="46"/>
        <v>2</v>
      </c>
      <c r="T1487">
        <f t="shared" si="47"/>
        <v>1</v>
      </c>
    </row>
    <row r="1488" spans="1:20" x14ac:dyDescent="0.2">
      <c r="A1488" t="s">
        <v>1759</v>
      </c>
      <c r="B1488">
        <f>IF(COUNTIFS('United Data'!$A$3:$A$3390,B$1,'United Data'!$C$3:$C$3390,$A1488)&gt;0,1,0)</f>
        <v>0</v>
      </c>
      <c r="C1488">
        <f>IF(COUNTIFS('United Data'!$A$3:$A$3390,C$1,'United Data'!$C$3:$C$3390,$A1488)&gt;0,1,0)</f>
        <v>0</v>
      </c>
      <c r="D1488">
        <f>IF(COUNTIFS('United Data'!$A$3:$A$3390,D$1,'United Data'!$C$3:$C$3390,$A1488)&gt;0,1,0)</f>
        <v>0</v>
      </c>
      <c r="E1488">
        <f>IF(COUNTIFS('United Data'!$A$3:$A$3390,E$1,'United Data'!$C$3:$C$3390,$A1488)&gt;0,1,0)</f>
        <v>0</v>
      </c>
      <c r="F1488">
        <f>IF(COUNTIFS('United Data'!$A$3:$A$3390,F$1,'United Data'!$C$3:$C$3390,$A1488)&gt;0,1,0)</f>
        <v>0</v>
      </c>
      <c r="G1488">
        <f>IF(COUNTIFS('United Data'!$A$3:$A$3390,G$1,'United Data'!$C$3:$C$3390,$A1488)&gt;0,1,0)</f>
        <v>0</v>
      </c>
      <c r="H1488">
        <f>IF(COUNTIFS('United Data'!$A$3:$A$3390,H$1,'United Data'!$C$3:$C$3390,$A1488)&gt;0,1,0)</f>
        <v>0</v>
      </c>
      <c r="I1488">
        <f>IF(COUNTIFS('United Data'!$A$3:$A$3390,I$1,'United Data'!$C$3:$C$3390,$A1488)&gt;0,1,0)</f>
        <v>0</v>
      </c>
      <c r="J1488">
        <f>IF(COUNTIFS('United Data'!$A$3:$A$3390,J$1,'United Data'!$C$3:$C$3390,$A1488)&gt;0,1,0)</f>
        <v>0</v>
      </c>
      <c r="K1488">
        <f>IF(COUNTIFS('United Data'!$A$3:$A$3390,K$1,'United Data'!$C$3:$C$3390,$A1488)&gt;0,1,0)</f>
        <v>0</v>
      </c>
      <c r="L1488">
        <f>IF(COUNTIFS('United Data'!$A$3:$A$3390,L$1,'United Data'!$C$3:$C$3390,$A1488)&gt;0,1,0)</f>
        <v>0</v>
      </c>
      <c r="M1488">
        <f>IF(COUNTIFS('United Data'!$A$3:$A$3390,M$1,'United Data'!$C$3:$C$3390,$A1488)&gt;0,1,0)</f>
        <v>0</v>
      </c>
      <c r="N1488">
        <f>IF(COUNTIFS('United Data'!$A$3:$A$3390,N$1,'United Data'!$C$3:$C$3390,$A1488)&gt;0,1,0)</f>
        <v>0</v>
      </c>
      <c r="O1488">
        <f>IF(COUNTIFS('United Data'!$A$3:$A$3390,O$1,'United Data'!$C$3:$C$3390,$A1488)&gt;0,1,0)</f>
        <v>1</v>
      </c>
      <c r="P1488">
        <f>IF(COUNTIFS('United Data'!$A$3:$A$3390,P$1,'United Data'!$C$3:$C$3390,$A1488)&gt;0,1,0)</f>
        <v>0</v>
      </c>
      <c r="Q1488">
        <f>IF(COUNTIFS('United Data'!$A$3:$A$3390,Q$1,'United Data'!$C$3:$C$3390,$A1488)&gt;0,1,0)</f>
        <v>0</v>
      </c>
      <c r="R1488">
        <f>IF(COUNTIFS('United Data'!$A$3:$A$3390,R$1,'United Data'!$C$3:$C$3390,$A1488)&gt;0,1,0)</f>
        <v>0</v>
      </c>
      <c r="S1488">
        <f t="shared" si="46"/>
        <v>1</v>
      </c>
      <c r="T1488">
        <f t="shared" si="47"/>
        <v>1</v>
      </c>
    </row>
    <row r="1489" spans="1:20" x14ac:dyDescent="0.2">
      <c r="A1489" t="s">
        <v>1760</v>
      </c>
      <c r="B1489">
        <f>IF(COUNTIFS('United Data'!$A$3:$A$3390,B$1,'United Data'!$C$3:$C$3390,$A1489)&gt;0,1,0)</f>
        <v>0</v>
      </c>
      <c r="C1489">
        <f>IF(COUNTIFS('United Data'!$A$3:$A$3390,C$1,'United Data'!$C$3:$C$3390,$A1489)&gt;0,1,0)</f>
        <v>0</v>
      </c>
      <c r="D1489">
        <f>IF(COUNTIFS('United Data'!$A$3:$A$3390,D$1,'United Data'!$C$3:$C$3390,$A1489)&gt;0,1,0)</f>
        <v>0</v>
      </c>
      <c r="E1489">
        <f>IF(COUNTIFS('United Data'!$A$3:$A$3390,E$1,'United Data'!$C$3:$C$3390,$A1489)&gt;0,1,0)</f>
        <v>0</v>
      </c>
      <c r="F1489">
        <f>IF(COUNTIFS('United Data'!$A$3:$A$3390,F$1,'United Data'!$C$3:$C$3390,$A1489)&gt;0,1,0)</f>
        <v>0</v>
      </c>
      <c r="G1489">
        <f>IF(COUNTIFS('United Data'!$A$3:$A$3390,G$1,'United Data'!$C$3:$C$3390,$A1489)&gt;0,1,0)</f>
        <v>0</v>
      </c>
      <c r="H1489">
        <f>IF(COUNTIFS('United Data'!$A$3:$A$3390,H$1,'United Data'!$C$3:$C$3390,$A1489)&gt;0,1,0)</f>
        <v>0</v>
      </c>
      <c r="I1489">
        <f>IF(COUNTIFS('United Data'!$A$3:$A$3390,I$1,'United Data'!$C$3:$C$3390,$A1489)&gt;0,1,0)</f>
        <v>0</v>
      </c>
      <c r="J1489">
        <f>IF(COUNTIFS('United Data'!$A$3:$A$3390,J$1,'United Data'!$C$3:$C$3390,$A1489)&gt;0,1,0)</f>
        <v>0</v>
      </c>
      <c r="K1489">
        <f>IF(COUNTIFS('United Data'!$A$3:$A$3390,K$1,'United Data'!$C$3:$C$3390,$A1489)&gt;0,1,0)</f>
        <v>0</v>
      </c>
      <c r="L1489">
        <f>IF(COUNTIFS('United Data'!$A$3:$A$3390,L$1,'United Data'!$C$3:$C$3390,$A1489)&gt;0,1,0)</f>
        <v>0</v>
      </c>
      <c r="M1489">
        <f>IF(COUNTIFS('United Data'!$A$3:$A$3390,M$1,'United Data'!$C$3:$C$3390,$A1489)&gt;0,1,0)</f>
        <v>0</v>
      </c>
      <c r="N1489">
        <f>IF(COUNTIFS('United Data'!$A$3:$A$3390,N$1,'United Data'!$C$3:$C$3390,$A1489)&gt;0,1,0)</f>
        <v>0</v>
      </c>
      <c r="O1489">
        <f>IF(COUNTIFS('United Data'!$A$3:$A$3390,O$1,'United Data'!$C$3:$C$3390,$A1489)&gt;0,1,0)</f>
        <v>0</v>
      </c>
      <c r="P1489">
        <f>IF(COUNTIFS('United Data'!$A$3:$A$3390,P$1,'United Data'!$C$3:$C$3390,$A1489)&gt;0,1,0)</f>
        <v>1</v>
      </c>
      <c r="Q1489">
        <f>IF(COUNTIFS('United Data'!$A$3:$A$3390,Q$1,'United Data'!$C$3:$C$3390,$A1489)&gt;0,1,0)</f>
        <v>0</v>
      </c>
      <c r="R1489">
        <f>IF(COUNTIFS('United Data'!$A$3:$A$3390,R$1,'United Data'!$C$3:$C$3390,$A1489)&gt;0,1,0)</f>
        <v>0</v>
      </c>
      <c r="S1489">
        <f t="shared" si="46"/>
        <v>1</v>
      </c>
      <c r="T1489">
        <f t="shared" si="47"/>
        <v>1</v>
      </c>
    </row>
    <row r="1490" spans="1:20" x14ac:dyDescent="0.2">
      <c r="A1490" t="s">
        <v>1762</v>
      </c>
      <c r="B1490">
        <f>IF(COUNTIFS('United Data'!$A$3:$A$3390,B$1,'United Data'!$C$3:$C$3390,$A1490)&gt;0,1,0)</f>
        <v>0</v>
      </c>
      <c r="C1490">
        <f>IF(COUNTIFS('United Data'!$A$3:$A$3390,C$1,'United Data'!$C$3:$C$3390,$A1490)&gt;0,1,0)</f>
        <v>0</v>
      </c>
      <c r="D1490">
        <f>IF(COUNTIFS('United Data'!$A$3:$A$3390,D$1,'United Data'!$C$3:$C$3390,$A1490)&gt;0,1,0)</f>
        <v>0</v>
      </c>
      <c r="E1490">
        <f>IF(COUNTIFS('United Data'!$A$3:$A$3390,E$1,'United Data'!$C$3:$C$3390,$A1490)&gt;0,1,0)</f>
        <v>0</v>
      </c>
      <c r="F1490">
        <f>IF(COUNTIFS('United Data'!$A$3:$A$3390,F$1,'United Data'!$C$3:$C$3390,$A1490)&gt;0,1,0)</f>
        <v>0</v>
      </c>
      <c r="G1490">
        <f>IF(COUNTIFS('United Data'!$A$3:$A$3390,G$1,'United Data'!$C$3:$C$3390,$A1490)&gt;0,1,0)</f>
        <v>0</v>
      </c>
      <c r="H1490">
        <f>IF(COUNTIFS('United Data'!$A$3:$A$3390,H$1,'United Data'!$C$3:$C$3390,$A1490)&gt;0,1,0)</f>
        <v>0</v>
      </c>
      <c r="I1490">
        <f>IF(COUNTIFS('United Data'!$A$3:$A$3390,I$1,'United Data'!$C$3:$C$3390,$A1490)&gt;0,1,0)</f>
        <v>0</v>
      </c>
      <c r="J1490">
        <f>IF(COUNTIFS('United Data'!$A$3:$A$3390,J$1,'United Data'!$C$3:$C$3390,$A1490)&gt;0,1,0)</f>
        <v>0</v>
      </c>
      <c r="K1490">
        <f>IF(COUNTIFS('United Data'!$A$3:$A$3390,K$1,'United Data'!$C$3:$C$3390,$A1490)&gt;0,1,0)</f>
        <v>0</v>
      </c>
      <c r="L1490">
        <f>IF(COUNTIFS('United Data'!$A$3:$A$3390,L$1,'United Data'!$C$3:$C$3390,$A1490)&gt;0,1,0)</f>
        <v>0</v>
      </c>
      <c r="M1490">
        <f>IF(COUNTIFS('United Data'!$A$3:$A$3390,M$1,'United Data'!$C$3:$C$3390,$A1490)&gt;0,1,0)</f>
        <v>0</v>
      </c>
      <c r="N1490">
        <f>IF(COUNTIFS('United Data'!$A$3:$A$3390,N$1,'United Data'!$C$3:$C$3390,$A1490)&gt;0,1,0)</f>
        <v>0</v>
      </c>
      <c r="O1490">
        <f>IF(COUNTIFS('United Data'!$A$3:$A$3390,O$1,'United Data'!$C$3:$C$3390,$A1490)&gt;0,1,0)</f>
        <v>0</v>
      </c>
      <c r="P1490">
        <f>IF(COUNTIFS('United Data'!$A$3:$A$3390,P$1,'United Data'!$C$3:$C$3390,$A1490)&gt;0,1,0)</f>
        <v>1</v>
      </c>
      <c r="Q1490">
        <f>IF(COUNTIFS('United Data'!$A$3:$A$3390,Q$1,'United Data'!$C$3:$C$3390,$A1490)&gt;0,1,0)</f>
        <v>0</v>
      </c>
      <c r="R1490">
        <f>IF(COUNTIFS('United Data'!$A$3:$A$3390,R$1,'United Data'!$C$3:$C$3390,$A1490)&gt;0,1,0)</f>
        <v>0</v>
      </c>
      <c r="S1490">
        <f t="shared" si="46"/>
        <v>1</v>
      </c>
      <c r="T1490">
        <f t="shared" si="47"/>
        <v>1</v>
      </c>
    </row>
    <row r="1491" spans="1:20" x14ac:dyDescent="0.2">
      <c r="A1491" t="s">
        <v>1763</v>
      </c>
      <c r="B1491">
        <f>IF(COUNTIFS('United Data'!$A$3:$A$3390,B$1,'United Data'!$C$3:$C$3390,$A1491)&gt;0,1,0)</f>
        <v>0</v>
      </c>
      <c r="C1491">
        <f>IF(COUNTIFS('United Data'!$A$3:$A$3390,C$1,'United Data'!$C$3:$C$3390,$A1491)&gt;0,1,0)</f>
        <v>0</v>
      </c>
      <c r="D1491">
        <f>IF(COUNTIFS('United Data'!$A$3:$A$3390,D$1,'United Data'!$C$3:$C$3390,$A1491)&gt;0,1,0)</f>
        <v>0</v>
      </c>
      <c r="E1491">
        <f>IF(COUNTIFS('United Data'!$A$3:$A$3390,E$1,'United Data'!$C$3:$C$3390,$A1491)&gt;0,1,0)</f>
        <v>0</v>
      </c>
      <c r="F1491">
        <f>IF(COUNTIFS('United Data'!$A$3:$A$3390,F$1,'United Data'!$C$3:$C$3390,$A1491)&gt;0,1,0)</f>
        <v>0</v>
      </c>
      <c r="G1491">
        <f>IF(COUNTIFS('United Data'!$A$3:$A$3390,G$1,'United Data'!$C$3:$C$3390,$A1491)&gt;0,1,0)</f>
        <v>0</v>
      </c>
      <c r="H1491">
        <f>IF(COUNTIFS('United Data'!$A$3:$A$3390,H$1,'United Data'!$C$3:$C$3390,$A1491)&gt;0,1,0)</f>
        <v>0</v>
      </c>
      <c r="I1491">
        <f>IF(COUNTIFS('United Data'!$A$3:$A$3390,I$1,'United Data'!$C$3:$C$3390,$A1491)&gt;0,1,0)</f>
        <v>0</v>
      </c>
      <c r="J1491">
        <f>IF(COUNTIFS('United Data'!$A$3:$A$3390,J$1,'United Data'!$C$3:$C$3390,$A1491)&gt;0,1,0)</f>
        <v>0</v>
      </c>
      <c r="K1491">
        <f>IF(COUNTIFS('United Data'!$A$3:$A$3390,K$1,'United Data'!$C$3:$C$3390,$A1491)&gt;0,1,0)</f>
        <v>0</v>
      </c>
      <c r="L1491">
        <f>IF(COUNTIFS('United Data'!$A$3:$A$3390,L$1,'United Data'!$C$3:$C$3390,$A1491)&gt;0,1,0)</f>
        <v>0</v>
      </c>
      <c r="M1491">
        <f>IF(COUNTIFS('United Data'!$A$3:$A$3390,M$1,'United Data'!$C$3:$C$3390,$A1491)&gt;0,1,0)</f>
        <v>0</v>
      </c>
      <c r="N1491">
        <f>IF(COUNTIFS('United Data'!$A$3:$A$3390,N$1,'United Data'!$C$3:$C$3390,$A1491)&gt;0,1,0)</f>
        <v>0</v>
      </c>
      <c r="O1491">
        <f>IF(COUNTIFS('United Data'!$A$3:$A$3390,O$1,'United Data'!$C$3:$C$3390,$A1491)&gt;0,1,0)</f>
        <v>0</v>
      </c>
      <c r="P1491">
        <f>IF(COUNTIFS('United Data'!$A$3:$A$3390,P$1,'United Data'!$C$3:$C$3390,$A1491)&gt;0,1,0)</f>
        <v>0</v>
      </c>
      <c r="Q1491">
        <f>IF(COUNTIFS('United Data'!$A$3:$A$3390,Q$1,'United Data'!$C$3:$C$3390,$A1491)&gt;0,1,0)</f>
        <v>1</v>
      </c>
      <c r="R1491">
        <f>IF(COUNTIFS('United Data'!$A$3:$A$3390,R$1,'United Data'!$C$3:$C$3390,$A1491)&gt;0,1,0)</f>
        <v>1</v>
      </c>
      <c r="S1491">
        <f t="shared" si="46"/>
        <v>2</v>
      </c>
      <c r="T1491">
        <f t="shared" si="47"/>
        <v>1</v>
      </c>
    </row>
    <row r="1492" spans="1:20" x14ac:dyDescent="0.2">
      <c r="A1492" t="s">
        <v>1764</v>
      </c>
      <c r="B1492">
        <f>IF(COUNTIFS('United Data'!$A$3:$A$3390,B$1,'United Data'!$C$3:$C$3390,$A1492)&gt;0,1,0)</f>
        <v>0</v>
      </c>
      <c r="C1492">
        <f>IF(COUNTIFS('United Data'!$A$3:$A$3390,C$1,'United Data'!$C$3:$C$3390,$A1492)&gt;0,1,0)</f>
        <v>0</v>
      </c>
      <c r="D1492">
        <f>IF(COUNTIFS('United Data'!$A$3:$A$3390,D$1,'United Data'!$C$3:$C$3390,$A1492)&gt;0,1,0)</f>
        <v>0</v>
      </c>
      <c r="E1492">
        <f>IF(COUNTIFS('United Data'!$A$3:$A$3390,E$1,'United Data'!$C$3:$C$3390,$A1492)&gt;0,1,0)</f>
        <v>0</v>
      </c>
      <c r="F1492">
        <f>IF(COUNTIFS('United Data'!$A$3:$A$3390,F$1,'United Data'!$C$3:$C$3390,$A1492)&gt;0,1,0)</f>
        <v>0</v>
      </c>
      <c r="G1492">
        <f>IF(COUNTIFS('United Data'!$A$3:$A$3390,G$1,'United Data'!$C$3:$C$3390,$A1492)&gt;0,1,0)</f>
        <v>0</v>
      </c>
      <c r="H1492">
        <f>IF(COUNTIFS('United Data'!$A$3:$A$3390,H$1,'United Data'!$C$3:$C$3390,$A1492)&gt;0,1,0)</f>
        <v>0</v>
      </c>
      <c r="I1492">
        <f>IF(COUNTIFS('United Data'!$A$3:$A$3390,I$1,'United Data'!$C$3:$C$3390,$A1492)&gt;0,1,0)</f>
        <v>0</v>
      </c>
      <c r="J1492">
        <f>IF(COUNTIFS('United Data'!$A$3:$A$3390,J$1,'United Data'!$C$3:$C$3390,$A1492)&gt;0,1,0)</f>
        <v>0</v>
      </c>
      <c r="K1492">
        <f>IF(COUNTIFS('United Data'!$A$3:$A$3390,K$1,'United Data'!$C$3:$C$3390,$A1492)&gt;0,1,0)</f>
        <v>0</v>
      </c>
      <c r="L1492">
        <f>IF(COUNTIFS('United Data'!$A$3:$A$3390,L$1,'United Data'!$C$3:$C$3390,$A1492)&gt;0,1,0)</f>
        <v>0</v>
      </c>
      <c r="M1492">
        <f>IF(COUNTIFS('United Data'!$A$3:$A$3390,M$1,'United Data'!$C$3:$C$3390,$A1492)&gt;0,1,0)</f>
        <v>0</v>
      </c>
      <c r="N1492">
        <f>IF(COUNTIFS('United Data'!$A$3:$A$3390,N$1,'United Data'!$C$3:$C$3390,$A1492)&gt;0,1,0)</f>
        <v>0</v>
      </c>
      <c r="O1492">
        <f>IF(COUNTIFS('United Data'!$A$3:$A$3390,O$1,'United Data'!$C$3:$C$3390,$A1492)&gt;0,1,0)</f>
        <v>0</v>
      </c>
      <c r="P1492">
        <f>IF(COUNTIFS('United Data'!$A$3:$A$3390,P$1,'United Data'!$C$3:$C$3390,$A1492)&gt;0,1,0)</f>
        <v>0</v>
      </c>
      <c r="Q1492">
        <f>IF(COUNTIFS('United Data'!$A$3:$A$3390,Q$1,'United Data'!$C$3:$C$3390,$A1492)&gt;0,1,0)</f>
        <v>1</v>
      </c>
      <c r="R1492">
        <f>IF(COUNTIFS('United Data'!$A$3:$A$3390,R$1,'United Data'!$C$3:$C$3390,$A1492)&gt;0,1,0)</f>
        <v>1</v>
      </c>
      <c r="S1492">
        <f t="shared" si="46"/>
        <v>2</v>
      </c>
      <c r="T1492">
        <f t="shared" si="47"/>
        <v>1</v>
      </c>
    </row>
    <row r="1493" spans="1:20" x14ac:dyDescent="0.2">
      <c r="A1493" t="s">
        <v>1765</v>
      </c>
      <c r="B1493">
        <f>IF(COUNTIFS('United Data'!$A$3:$A$3390,B$1,'United Data'!$C$3:$C$3390,$A1493)&gt;0,1,0)</f>
        <v>0</v>
      </c>
      <c r="C1493">
        <f>IF(COUNTIFS('United Data'!$A$3:$A$3390,C$1,'United Data'!$C$3:$C$3390,$A1493)&gt;0,1,0)</f>
        <v>0</v>
      </c>
      <c r="D1493">
        <f>IF(COUNTIFS('United Data'!$A$3:$A$3390,D$1,'United Data'!$C$3:$C$3390,$A1493)&gt;0,1,0)</f>
        <v>0</v>
      </c>
      <c r="E1493">
        <f>IF(COUNTIFS('United Data'!$A$3:$A$3390,E$1,'United Data'!$C$3:$C$3390,$A1493)&gt;0,1,0)</f>
        <v>0</v>
      </c>
      <c r="F1493">
        <f>IF(COUNTIFS('United Data'!$A$3:$A$3390,F$1,'United Data'!$C$3:$C$3390,$A1493)&gt;0,1,0)</f>
        <v>0</v>
      </c>
      <c r="G1493">
        <f>IF(COUNTIFS('United Data'!$A$3:$A$3390,G$1,'United Data'!$C$3:$C$3390,$A1493)&gt;0,1,0)</f>
        <v>0</v>
      </c>
      <c r="H1493">
        <f>IF(COUNTIFS('United Data'!$A$3:$A$3390,H$1,'United Data'!$C$3:$C$3390,$A1493)&gt;0,1,0)</f>
        <v>0</v>
      </c>
      <c r="I1493">
        <f>IF(COUNTIFS('United Data'!$A$3:$A$3390,I$1,'United Data'!$C$3:$C$3390,$A1493)&gt;0,1,0)</f>
        <v>0</v>
      </c>
      <c r="J1493">
        <f>IF(COUNTIFS('United Data'!$A$3:$A$3390,J$1,'United Data'!$C$3:$C$3390,$A1493)&gt;0,1,0)</f>
        <v>0</v>
      </c>
      <c r="K1493">
        <f>IF(COUNTIFS('United Data'!$A$3:$A$3390,K$1,'United Data'!$C$3:$C$3390,$A1493)&gt;0,1,0)</f>
        <v>0</v>
      </c>
      <c r="L1493">
        <f>IF(COUNTIFS('United Data'!$A$3:$A$3390,L$1,'United Data'!$C$3:$C$3390,$A1493)&gt;0,1,0)</f>
        <v>0</v>
      </c>
      <c r="M1493">
        <f>IF(COUNTIFS('United Data'!$A$3:$A$3390,M$1,'United Data'!$C$3:$C$3390,$A1493)&gt;0,1,0)</f>
        <v>0</v>
      </c>
      <c r="N1493">
        <f>IF(COUNTIFS('United Data'!$A$3:$A$3390,N$1,'United Data'!$C$3:$C$3390,$A1493)&gt;0,1,0)</f>
        <v>0</v>
      </c>
      <c r="O1493">
        <f>IF(COUNTIFS('United Data'!$A$3:$A$3390,O$1,'United Data'!$C$3:$C$3390,$A1493)&gt;0,1,0)</f>
        <v>0</v>
      </c>
      <c r="P1493">
        <f>IF(COUNTIFS('United Data'!$A$3:$A$3390,P$1,'United Data'!$C$3:$C$3390,$A1493)&gt;0,1,0)</f>
        <v>0</v>
      </c>
      <c r="Q1493">
        <f>IF(COUNTIFS('United Data'!$A$3:$A$3390,Q$1,'United Data'!$C$3:$C$3390,$A1493)&gt;0,1,0)</f>
        <v>1</v>
      </c>
      <c r="R1493">
        <f>IF(COUNTIFS('United Data'!$A$3:$A$3390,R$1,'United Data'!$C$3:$C$3390,$A1493)&gt;0,1,0)</f>
        <v>0</v>
      </c>
      <c r="S1493">
        <f t="shared" si="46"/>
        <v>1</v>
      </c>
      <c r="T1493">
        <f t="shared" si="47"/>
        <v>1</v>
      </c>
    </row>
    <row r="1494" spans="1:20" x14ac:dyDescent="0.2">
      <c r="A1494" t="s">
        <v>1766</v>
      </c>
      <c r="B1494">
        <f>IF(COUNTIFS('United Data'!$A$3:$A$3390,B$1,'United Data'!$C$3:$C$3390,$A1494)&gt;0,1,0)</f>
        <v>0</v>
      </c>
      <c r="C1494">
        <f>IF(COUNTIFS('United Data'!$A$3:$A$3390,C$1,'United Data'!$C$3:$C$3390,$A1494)&gt;0,1,0)</f>
        <v>0</v>
      </c>
      <c r="D1494">
        <f>IF(COUNTIFS('United Data'!$A$3:$A$3390,D$1,'United Data'!$C$3:$C$3390,$A1494)&gt;0,1,0)</f>
        <v>0</v>
      </c>
      <c r="E1494">
        <f>IF(COUNTIFS('United Data'!$A$3:$A$3390,E$1,'United Data'!$C$3:$C$3390,$A1494)&gt;0,1,0)</f>
        <v>0</v>
      </c>
      <c r="F1494">
        <f>IF(COUNTIFS('United Data'!$A$3:$A$3390,F$1,'United Data'!$C$3:$C$3390,$A1494)&gt;0,1,0)</f>
        <v>0</v>
      </c>
      <c r="G1494">
        <f>IF(COUNTIFS('United Data'!$A$3:$A$3390,G$1,'United Data'!$C$3:$C$3390,$A1494)&gt;0,1,0)</f>
        <v>0</v>
      </c>
      <c r="H1494">
        <f>IF(COUNTIFS('United Data'!$A$3:$A$3390,H$1,'United Data'!$C$3:$C$3390,$A1494)&gt;0,1,0)</f>
        <v>0</v>
      </c>
      <c r="I1494">
        <f>IF(COUNTIFS('United Data'!$A$3:$A$3390,I$1,'United Data'!$C$3:$C$3390,$A1494)&gt;0,1,0)</f>
        <v>0</v>
      </c>
      <c r="J1494">
        <f>IF(COUNTIFS('United Data'!$A$3:$A$3390,J$1,'United Data'!$C$3:$C$3390,$A1494)&gt;0,1,0)</f>
        <v>0</v>
      </c>
      <c r="K1494">
        <f>IF(COUNTIFS('United Data'!$A$3:$A$3390,K$1,'United Data'!$C$3:$C$3390,$A1494)&gt;0,1,0)</f>
        <v>0</v>
      </c>
      <c r="L1494">
        <f>IF(COUNTIFS('United Data'!$A$3:$A$3390,L$1,'United Data'!$C$3:$C$3390,$A1494)&gt;0,1,0)</f>
        <v>0</v>
      </c>
      <c r="M1494">
        <f>IF(COUNTIFS('United Data'!$A$3:$A$3390,M$1,'United Data'!$C$3:$C$3390,$A1494)&gt;0,1,0)</f>
        <v>0</v>
      </c>
      <c r="N1494">
        <f>IF(COUNTIFS('United Data'!$A$3:$A$3390,N$1,'United Data'!$C$3:$C$3390,$A1494)&gt;0,1,0)</f>
        <v>0</v>
      </c>
      <c r="O1494">
        <f>IF(COUNTIFS('United Data'!$A$3:$A$3390,O$1,'United Data'!$C$3:$C$3390,$A1494)&gt;0,1,0)</f>
        <v>0</v>
      </c>
      <c r="P1494">
        <f>IF(COUNTIFS('United Data'!$A$3:$A$3390,P$1,'United Data'!$C$3:$C$3390,$A1494)&gt;0,1,0)</f>
        <v>0</v>
      </c>
      <c r="Q1494">
        <f>IF(COUNTIFS('United Data'!$A$3:$A$3390,Q$1,'United Data'!$C$3:$C$3390,$A1494)&gt;0,1,0)</f>
        <v>0</v>
      </c>
      <c r="R1494">
        <f>IF(COUNTIFS('United Data'!$A$3:$A$3390,R$1,'United Data'!$C$3:$C$3390,$A1494)&gt;0,1,0)</f>
        <v>1</v>
      </c>
      <c r="S1494">
        <f t="shared" si="46"/>
        <v>1</v>
      </c>
      <c r="T1494">
        <f t="shared" si="47"/>
        <v>1</v>
      </c>
    </row>
    <row r="1495" spans="1:20" x14ac:dyDescent="0.2">
      <c r="A1495" t="s">
        <v>1767</v>
      </c>
      <c r="B1495">
        <f>IF(COUNTIFS('United Data'!$A$3:$A$3390,B$1,'United Data'!$C$3:$C$3390,$A1495)&gt;0,1,0)</f>
        <v>0</v>
      </c>
      <c r="C1495">
        <f>IF(COUNTIFS('United Data'!$A$3:$A$3390,C$1,'United Data'!$C$3:$C$3390,$A1495)&gt;0,1,0)</f>
        <v>0</v>
      </c>
      <c r="D1495">
        <f>IF(COUNTIFS('United Data'!$A$3:$A$3390,D$1,'United Data'!$C$3:$C$3390,$A1495)&gt;0,1,0)</f>
        <v>0</v>
      </c>
      <c r="E1495">
        <f>IF(COUNTIFS('United Data'!$A$3:$A$3390,E$1,'United Data'!$C$3:$C$3390,$A1495)&gt;0,1,0)</f>
        <v>0</v>
      </c>
      <c r="F1495">
        <f>IF(COUNTIFS('United Data'!$A$3:$A$3390,F$1,'United Data'!$C$3:$C$3390,$A1495)&gt;0,1,0)</f>
        <v>0</v>
      </c>
      <c r="G1495">
        <f>IF(COUNTIFS('United Data'!$A$3:$A$3390,G$1,'United Data'!$C$3:$C$3390,$A1495)&gt;0,1,0)</f>
        <v>0</v>
      </c>
      <c r="H1495">
        <f>IF(COUNTIFS('United Data'!$A$3:$A$3390,H$1,'United Data'!$C$3:$C$3390,$A1495)&gt;0,1,0)</f>
        <v>0</v>
      </c>
      <c r="I1495">
        <f>IF(COUNTIFS('United Data'!$A$3:$A$3390,I$1,'United Data'!$C$3:$C$3390,$A1495)&gt;0,1,0)</f>
        <v>0</v>
      </c>
      <c r="J1495">
        <f>IF(COUNTIFS('United Data'!$A$3:$A$3390,J$1,'United Data'!$C$3:$C$3390,$A1495)&gt;0,1,0)</f>
        <v>0</v>
      </c>
      <c r="K1495">
        <f>IF(COUNTIFS('United Data'!$A$3:$A$3390,K$1,'United Data'!$C$3:$C$3390,$A1495)&gt;0,1,0)</f>
        <v>0</v>
      </c>
      <c r="L1495">
        <f>IF(COUNTIFS('United Data'!$A$3:$A$3390,L$1,'United Data'!$C$3:$C$3390,$A1495)&gt;0,1,0)</f>
        <v>0</v>
      </c>
      <c r="M1495">
        <f>IF(COUNTIFS('United Data'!$A$3:$A$3390,M$1,'United Data'!$C$3:$C$3390,$A1495)&gt;0,1,0)</f>
        <v>0</v>
      </c>
      <c r="N1495">
        <f>IF(COUNTIFS('United Data'!$A$3:$A$3390,N$1,'United Data'!$C$3:$C$3390,$A1495)&gt;0,1,0)</f>
        <v>0</v>
      </c>
      <c r="O1495">
        <f>IF(COUNTIFS('United Data'!$A$3:$A$3390,O$1,'United Data'!$C$3:$C$3390,$A1495)&gt;0,1,0)</f>
        <v>0</v>
      </c>
      <c r="P1495">
        <f>IF(COUNTIFS('United Data'!$A$3:$A$3390,P$1,'United Data'!$C$3:$C$3390,$A1495)&gt;0,1,0)</f>
        <v>0</v>
      </c>
      <c r="Q1495">
        <f>IF(COUNTIFS('United Data'!$A$3:$A$3390,Q$1,'United Data'!$C$3:$C$3390,$A1495)&gt;0,1,0)</f>
        <v>0</v>
      </c>
      <c r="R1495">
        <f>IF(COUNTIFS('United Data'!$A$3:$A$3390,R$1,'United Data'!$C$3:$C$3390,$A1495)&gt;0,1,0)</f>
        <v>1</v>
      </c>
      <c r="S1495">
        <f t="shared" si="46"/>
        <v>1</v>
      </c>
      <c r="T1495">
        <f t="shared" si="47"/>
        <v>1</v>
      </c>
    </row>
    <row r="1496" spans="1:20" x14ac:dyDescent="0.2">
      <c r="A1496" t="s">
        <v>1769</v>
      </c>
      <c r="B1496">
        <f>IF(COUNTIFS('United Data'!$A$3:$A$3390,B$1,'United Data'!$C$3:$C$3390,$A1496)&gt;0,1,0)</f>
        <v>0</v>
      </c>
      <c r="C1496">
        <f>IF(COUNTIFS('United Data'!$A$3:$A$3390,C$1,'United Data'!$C$3:$C$3390,$A1496)&gt;0,1,0)</f>
        <v>0</v>
      </c>
      <c r="D1496">
        <f>IF(COUNTIFS('United Data'!$A$3:$A$3390,D$1,'United Data'!$C$3:$C$3390,$A1496)&gt;0,1,0)</f>
        <v>0</v>
      </c>
      <c r="E1496">
        <f>IF(COUNTIFS('United Data'!$A$3:$A$3390,E$1,'United Data'!$C$3:$C$3390,$A1496)&gt;0,1,0)</f>
        <v>0</v>
      </c>
      <c r="F1496">
        <f>IF(COUNTIFS('United Data'!$A$3:$A$3390,F$1,'United Data'!$C$3:$C$3390,$A1496)&gt;0,1,0)</f>
        <v>0</v>
      </c>
      <c r="G1496">
        <f>IF(COUNTIFS('United Data'!$A$3:$A$3390,G$1,'United Data'!$C$3:$C$3390,$A1496)&gt;0,1,0)</f>
        <v>0</v>
      </c>
      <c r="H1496">
        <f>IF(COUNTIFS('United Data'!$A$3:$A$3390,H$1,'United Data'!$C$3:$C$3390,$A1496)&gt;0,1,0)</f>
        <v>0</v>
      </c>
      <c r="I1496">
        <f>IF(COUNTIFS('United Data'!$A$3:$A$3390,I$1,'United Data'!$C$3:$C$3390,$A1496)&gt;0,1,0)</f>
        <v>0</v>
      </c>
      <c r="J1496">
        <f>IF(COUNTIFS('United Data'!$A$3:$A$3390,J$1,'United Data'!$C$3:$C$3390,$A1496)&gt;0,1,0)</f>
        <v>0</v>
      </c>
      <c r="K1496">
        <f>IF(COUNTIFS('United Data'!$A$3:$A$3390,K$1,'United Data'!$C$3:$C$3390,$A1496)&gt;0,1,0)</f>
        <v>0</v>
      </c>
      <c r="L1496">
        <f>IF(COUNTIFS('United Data'!$A$3:$A$3390,L$1,'United Data'!$C$3:$C$3390,$A1496)&gt;0,1,0)</f>
        <v>0</v>
      </c>
      <c r="M1496">
        <f>IF(COUNTIFS('United Data'!$A$3:$A$3390,M$1,'United Data'!$C$3:$C$3390,$A1496)&gt;0,1,0)</f>
        <v>0</v>
      </c>
      <c r="N1496">
        <f>IF(COUNTIFS('United Data'!$A$3:$A$3390,N$1,'United Data'!$C$3:$C$3390,$A1496)&gt;0,1,0)</f>
        <v>0</v>
      </c>
      <c r="O1496">
        <f>IF(COUNTIFS('United Data'!$A$3:$A$3390,O$1,'United Data'!$C$3:$C$3390,$A1496)&gt;0,1,0)</f>
        <v>0</v>
      </c>
      <c r="P1496">
        <f>IF(COUNTIFS('United Data'!$A$3:$A$3390,P$1,'United Data'!$C$3:$C$3390,$A1496)&gt;0,1,0)</f>
        <v>0</v>
      </c>
      <c r="Q1496">
        <f>IF(COUNTIFS('United Data'!$A$3:$A$3390,Q$1,'United Data'!$C$3:$C$3390,$A1496)&gt;0,1,0)</f>
        <v>0</v>
      </c>
      <c r="R1496">
        <f>IF(COUNTIFS('United Data'!$A$3:$A$3390,R$1,'United Data'!$C$3:$C$3390,$A1496)&gt;0,1,0)</f>
        <v>1</v>
      </c>
      <c r="S1496">
        <f t="shared" si="46"/>
        <v>1</v>
      </c>
      <c r="T1496">
        <f t="shared" si="47"/>
        <v>1</v>
      </c>
    </row>
    <row r="1497" spans="1:20" x14ac:dyDescent="0.2">
      <c r="A1497" t="s">
        <v>1770</v>
      </c>
      <c r="B1497">
        <f>IF(COUNTIFS('United Data'!$A$3:$A$3390,B$1,'United Data'!$C$3:$C$3390,$A1497)&gt;0,1,0)</f>
        <v>1</v>
      </c>
      <c r="C1497">
        <f>IF(COUNTIFS('United Data'!$A$3:$A$3390,C$1,'United Data'!$C$3:$C$3390,$A1497)&gt;0,1,0)</f>
        <v>0</v>
      </c>
      <c r="D1497">
        <f>IF(COUNTIFS('United Data'!$A$3:$A$3390,D$1,'United Data'!$C$3:$C$3390,$A1497)&gt;0,1,0)</f>
        <v>0</v>
      </c>
      <c r="E1497">
        <f>IF(COUNTIFS('United Data'!$A$3:$A$3390,E$1,'United Data'!$C$3:$C$3390,$A1497)&gt;0,1,0)</f>
        <v>0</v>
      </c>
      <c r="F1497">
        <f>IF(COUNTIFS('United Data'!$A$3:$A$3390,F$1,'United Data'!$C$3:$C$3390,$A1497)&gt;0,1,0)</f>
        <v>0</v>
      </c>
      <c r="G1497">
        <f>IF(COUNTIFS('United Data'!$A$3:$A$3390,G$1,'United Data'!$C$3:$C$3390,$A1497)&gt;0,1,0)</f>
        <v>0</v>
      </c>
      <c r="H1497">
        <f>IF(COUNTIFS('United Data'!$A$3:$A$3390,H$1,'United Data'!$C$3:$C$3390,$A1497)&gt;0,1,0)</f>
        <v>0</v>
      </c>
      <c r="I1497">
        <f>IF(COUNTIFS('United Data'!$A$3:$A$3390,I$1,'United Data'!$C$3:$C$3390,$A1497)&gt;0,1,0)</f>
        <v>0</v>
      </c>
      <c r="J1497">
        <f>IF(COUNTIFS('United Data'!$A$3:$A$3390,J$1,'United Data'!$C$3:$C$3390,$A1497)&gt;0,1,0)</f>
        <v>0</v>
      </c>
      <c r="K1497">
        <f>IF(COUNTIFS('United Data'!$A$3:$A$3390,K$1,'United Data'!$C$3:$C$3390,$A1497)&gt;0,1,0)</f>
        <v>0</v>
      </c>
      <c r="L1497">
        <f>IF(COUNTIFS('United Data'!$A$3:$A$3390,L$1,'United Data'!$C$3:$C$3390,$A1497)&gt;0,1,0)</f>
        <v>0</v>
      </c>
      <c r="M1497">
        <f>IF(COUNTIFS('United Data'!$A$3:$A$3390,M$1,'United Data'!$C$3:$C$3390,$A1497)&gt;0,1,0)</f>
        <v>0</v>
      </c>
      <c r="N1497">
        <f>IF(COUNTIFS('United Data'!$A$3:$A$3390,N$1,'United Data'!$C$3:$C$3390,$A1497)&gt;0,1,0)</f>
        <v>0</v>
      </c>
      <c r="O1497">
        <f>IF(COUNTIFS('United Data'!$A$3:$A$3390,O$1,'United Data'!$C$3:$C$3390,$A1497)&gt;0,1,0)</f>
        <v>0</v>
      </c>
      <c r="P1497">
        <f>IF(COUNTIFS('United Data'!$A$3:$A$3390,P$1,'United Data'!$C$3:$C$3390,$A1497)&gt;0,1,0)</f>
        <v>1</v>
      </c>
      <c r="Q1497">
        <f>IF(COUNTIFS('United Data'!$A$3:$A$3390,Q$1,'United Data'!$C$3:$C$3390,$A1497)&gt;0,1,0)</f>
        <v>1</v>
      </c>
      <c r="R1497">
        <f>IF(COUNTIFS('United Data'!$A$3:$A$3390,R$1,'United Data'!$C$3:$C$3390,$A1497)&gt;0,1,0)</f>
        <v>0</v>
      </c>
      <c r="S1497">
        <f t="shared" si="46"/>
        <v>3</v>
      </c>
      <c r="T1497">
        <f t="shared" si="47"/>
        <v>2</v>
      </c>
    </row>
    <row r="1498" spans="1:20" x14ac:dyDescent="0.2">
      <c r="A1498" t="s">
        <v>1771</v>
      </c>
      <c r="B1498">
        <f>IF(COUNTIFS('United Data'!$A$3:$A$3390,B$1,'United Data'!$C$3:$C$3390,$A1498)&gt;0,1,0)</f>
        <v>1</v>
      </c>
      <c r="C1498">
        <f>IF(COUNTIFS('United Data'!$A$3:$A$3390,C$1,'United Data'!$C$3:$C$3390,$A1498)&gt;0,1,0)</f>
        <v>1</v>
      </c>
      <c r="D1498">
        <f>IF(COUNTIFS('United Data'!$A$3:$A$3390,D$1,'United Data'!$C$3:$C$3390,$A1498)&gt;0,1,0)</f>
        <v>1</v>
      </c>
      <c r="E1498">
        <f>IF(COUNTIFS('United Data'!$A$3:$A$3390,E$1,'United Data'!$C$3:$C$3390,$A1498)&gt;0,1,0)</f>
        <v>1</v>
      </c>
      <c r="F1498">
        <f>IF(COUNTIFS('United Data'!$A$3:$A$3390,F$1,'United Data'!$C$3:$C$3390,$A1498)&gt;0,1,0)</f>
        <v>1</v>
      </c>
      <c r="G1498">
        <f>IF(COUNTIFS('United Data'!$A$3:$A$3390,G$1,'United Data'!$C$3:$C$3390,$A1498)&gt;0,1,0)</f>
        <v>1</v>
      </c>
      <c r="H1498">
        <f>IF(COUNTIFS('United Data'!$A$3:$A$3390,H$1,'United Data'!$C$3:$C$3390,$A1498)&gt;0,1,0)</f>
        <v>0</v>
      </c>
      <c r="I1498">
        <f>IF(COUNTIFS('United Data'!$A$3:$A$3390,I$1,'United Data'!$C$3:$C$3390,$A1498)&gt;0,1,0)</f>
        <v>0</v>
      </c>
      <c r="J1498">
        <f>IF(COUNTIFS('United Data'!$A$3:$A$3390,J$1,'United Data'!$C$3:$C$3390,$A1498)&gt;0,1,0)</f>
        <v>0</v>
      </c>
      <c r="K1498">
        <f>IF(COUNTIFS('United Data'!$A$3:$A$3390,K$1,'United Data'!$C$3:$C$3390,$A1498)&gt;0,1,0)</f>
        <v>1</v>
      </c>
      <c r="L1498">
        <f>IF(COUNTIFS('United Data'!$A$3:$A$3390,L$1,'United Data'!$C$3:$C$3390,$A1498)&gt;0,1,0)</f>
        <v>0</v>
      </c>
      <c r="M1498">
        <f>IF(COUNTIFS('United Data'!$A$3:$A$3390,M$1,'United Data'!$C$3:$C$3390,$A1498)&gt;0,1,0)</f>
        <v>0</v>
      </c>
      <c r="N1498">
        <f>IF(COUNTIFS('United Data'!$A$3:$A$3390,N$1,'United Data'!$C$3:$C$3390,$A1498)&gt;0,1,0)</f>
        <v>0</v>
      </c>
      <c r="O1498">
        <f>IF(COUNTIFS('United Data'!$A$3:$A$3390,O$1,'United Data'!$C$3:$C$3390,$A1498)&gt;0,1,0)</f>
        <v>1</v>
      </c>
      <c r="P1498">
        <f>IF(COUNTIFS('United Data'!$A$3:$A$3390,P$1,'United Data'!$C$3:$C$3390,$A1498)&gt;0,1,0)</f>
        <v>1</v>
      </c>
      <c r="Q1498">
        <f>IF(COUNTIFS('United Data'!$A$3:$A$3390,Q$1,'United Data'!$C$3:$C$3390,$A1498)&gt;0,1,0)</f>
        <v>0</v>
      </c>
      <c r="R1498">
        <f>IF(COUNTIFS('United Data'!$A$3:$A$3390,R$1,'United Data'!$C$3:$C$3390,$A1498)&gt;0,1,0)</f>
        <v>1</v>
      </c>
      <c r="S1498">
        <f t="shared" si="46"/>
        <v>10</v>
      </c>
      <c r="T1498">
        <f t="shared" si="47"/>
        <v>4</v>
      </c>
    </row>
    <row r="1499" spans="1:20" x14ac:dyDescent="0.2">
      <c r="A1499" t="s">
        <v>1772</v>
      </c>
      <c r="B1499">
        <f>IF(COUNTIFS('United Data'!$A$3:$A$3390,B$1,'United Data'!$C$3:$C$3390,$A1499)&gt;0,1,0)</f>
        <v>1</v>
      </c>
      <c r="C1499">
        <f>IF(COUNTIFS('United Data'!$A$3:$A$3390,C$1,'United Data'!$C$3:$C$3390,$A1499)&gt;0,1,0)</f>
        <v>1</v>
      </c>
      <c r="D1499">
        <f>IF(COUNTIFS('United Data'!$A$3:$A$3390,D$1,'United Data'!$C$3:$C$3390,$A1499)&gt;0,1,0)</f>
        <v>1</v>
      </c>
      <c r="E1499">
        <f>IF(COUNTIFS('United Data'!$A$3:$A$3390,E$1,'United Data'!$C$3:$C$3390,$A1499)&gt;0,1,0)</f>
        <v>0</v>
      </c>
      <c r="F1499">
        <f>IF(COUNTIFS('United Data'!$A$3:$A$3390,F$1,'United Data'!$C$3:$C$3390,$A1499)&gt;0,1,0)</f>
        <v>1</v>
      </c>
      <c r="G1499">
        <f>IF(COUNTIFS('United Data'!$A$3:$A$3390,G$1,'United Data'!$C$3:$C$3390,$A1499)&gt;0,1,0)</f>
        <v>0</v>
      </c>
      <c r="H1499">
        <f>IF(COUNTIFS('United Data'!$A$3:$A$3390,H$1,'United Data'!$C$3:$C$3390,$A1499)&gt;0,1,0)</f>
        <v>0</v>
      </c>
      <c r="I1499">
        <f>IF(COUNTIFS('United Data'!$A$3:$A$3390,I$1,'United Data'!$C$3:$C$3390,$A1499)&gt;0,1,0)</f>
        <v>0</v>
      </c>
      <c r="J1499">
        <f>IF(COUNTIFS('United Data'!$A$3:$A$3390,J$1,'United Data'!$C$3:$C$3390,$A1499)&gt;0,1,0)</f>
        <v>0</v>
      </c>
      <c r="K1499">
        <f>IF(COUNTIFS('United Data'!$A$3:$A$3390,K$1,'United Data'!$C$3:$C$3390,$A1499)&gt;0,1,0)</f>
        <v>1</v>
      </c>
      <c r="L1499">
        <f>IF(COUNTIFS('United Data'!$A$3:$A$3390,L$1,'United Data'!$C$3:$C$3390,$A1499)&gt;0,1,0)</f>
        <v>1</v>
      </c>
      <c r="M1499">
        <f>IF(COUNTIFS('United Data'!$A$3:$A$3390,M$1,'United Data'!$C$3:$C$3390,$A1499)&gt;0,1,0)</f>
        <v>1</v>
      </c>
      <c r="N1499">
        <f>IF(COUNTIFS('United Data'!$A$3:$A$3390,N$1,'United Data'!$C$3:$C$3390,$A1499)&gt;0,1,0)</f>
        <v>1</v>
      </c>
      <c r="O1499">
        <f>IF(COUNTIFS('United Data'!$A$3:$A$3390,O$1,'United Data'!$C$3:$C$3390,$A1499)&gt;0,1,0)</f>
        <v>0</v>
      </c>
      <c r="P1499">
        <f>IF(COUNTIFS('United Data'!$A$3:$A$3390,P$1,'United Data'!$C$3:$C$3390,$A1499)&gt;0,1,0)</f>
        <v>1</v>
      </c>
      <c r="Q1499">
        <f>IF(COUNTIFS('United Data'!$A$3:$A$3390,Q$1,'United Data'!$C$3:$C$3390,$A1499)&gt;0,1,0)</f>
        <v>1</v>
      </c>
      <c r="R1499">
        <f>IF(COUNTIFS('United Data'!$A$3:$A$3390,R$1,'United Data'!$C$3:$C$3390,$A1499)&gt;0,1,0)</f>
        <v>0</v>
      </c>
      <c r="S1499">
        <f t="shared" si="46"/>
        <v>10</v>
      </c>
      <c r="T1499">
        <f t="shared" si="47"/>
        <v>4</v>
      </c>
    </row>
    <row r="1500" spans="1:20" x14ac:dyDescent="0.2">
      <c r="A1500" t="s">
        <v>1773</v>
      </c>
      <c r="B1500">
        <f>IF(COUNTIFS('United Data'!$A$3:$A$3390,B$1,'United Data'!$C$3:$C$3390,$A1500)&gt;0,1,0)</f>
        <v>1</v>
      </c>
      <c r="C1500">
        <f>IF(COUNTIFS('United Data'!$A$3:$A$3390,C$1,'United Data'!$C$3:$C$3390,$A1500)&gt;0,1,0)</f>
        <v>0</v>
      </c>
      <c r="D1500">
        <f>IF(COUNTIFS('United Data'!$A$3:$A$3390,D$1,'United Data'!$C$3:$C$3390,$A1500)&gt;0,1,0)</f>
        <v>0</v>
      </c>
      <c r="E1500">
        <f>IF(COUNTIFS('United Data'!$A$3:$A$3390,E$1,'United Data'!$C$3:$C$3390,$A1500)&gt;0,1,0)</f>
        <v>0</v>
      </c>
      <c r="F1500">
        <f>IF(COUNTIFS('United Data'!$A$3:$A$3390,F$1,'United Data'!$C$3:$C$3390,$A1500)&gt;0,1,0)</f>
        <v>0</v>
      </c>
      <c r="G1500">
        <f>IF(COUNTIFS('United Data'!$A$3:$A$3390,G$1,'United Data'!$C$3:$C$3390,$A1500)&gt;0,1,0)</f>
        <v>0</v>
      </c>
      <c r="H1500">
        <f>IF(COUNTIFS('United Data'!$A$3:$A$3390,H$1,'United Data'!$C$3:$C$3390,$A1500)&gt;0,1,0)</f>
        <v>0</v>
      </c>
      <c r="I1500">
        <f>IF(COUNTIFS('United Data'!$A$3:$A$3390,I$1,'United Data'!$C$3:$C$3390,$A1500)&gt;0,1,0)</f>
        <v>0</v>
      </c>
      <c r="J1500">
        <f>IF(COUNTIFS('United Data'!$A$3:$A$3390,J$1,'United Data'!$C$3:$C$3390,$A1500)&gt;0,1,0)</f>
        <v>0</v>
      </c>
      <c r="K1500">
        <f>IF(COUNTIFS('United Data'!$A$3:$A$3390,K$1,'United Data'!$C$3:$C$3390,$A1500)&gt;0,1,0)</f>
        <v>0</v>
      </c>
      <c r="L1500">
        <f>IF(COUNTIFS('United Data'!$A$3:$A$3390,L$1,'United Data'!$C$3:$C$3390,$A1500)&gt;0,1,0)</f>
        <v>0</v>
      </c>
      <c r="M1500">
        <f>IF(COUNTIFS('United Data'!$A$3:$A$3390,M$1,'United Data'!$C$3:$C$3390,$A1500)&gt;0,1,0)</f>
        <v>0</v>
      </c>
      <c r="N1500">
        <f>IF(COUNTIFS('United Data'!$A$3:$A$3390,N$1,'United Data'!$C$3:$C$3390,$A1500)&gt;0,1,0)</f>
        <v>0</v>
      </c>
      <c r="O1500">
        <f>IF(COUNTIFS('United Data'!$A$3:$A$3390,O$1,'United Data'!$C$3:$C$3390,$A1500)&gt;0,1,0)</f>
        <v>0</v>
      </c>
      <c r="P1500">
        <f>IF(COUNTIFS('United Data'!$A$3:$A$3390,P$1,'United Data'!$C$3:$C$3390,$A1500)&gt;0,1,0)</f>
        <v>0</v>
      </c>
      <c r="Q1500">
        <f>IF(COUNTIFS('United Data'!$A$3:$A$3390,Q$1,'United Data'!$C$3:$C$3390,$A1500)&gt;0,1,0)</f>
        <v>0</v>
      </c>
      <c r="R1500">
        <f>IF(COUNTIFS('United Data'!$A$3:$A$3390,R$1,'United Data'!$C$3:$C$3390,$A1500)&gt;0,1,0)</f>
        <v>0</v>
      </c>
      <c r="S1500">
        <f t="shared" si="46"/>
        <v>1</v>
      </c>
      <c r="T1500">
        <f t="shared" si="47"/>
        <v>1</v>
      </c>
    </row>
    <row r="1501" spans="1:20" x14ac:dyDescent="0.2">
      <c r="A1501" t="s">
        <v>1774</v>
      </c>
      <c r="B1501">
        <f>IF(COUNTIFS('United Data'!$A$3:$A$3390,B$1,'United Data'!$C$3:$C$3390,$A1501)&gt;0,1,0)</f>
        <v>1</v>
      </c>
      <c r="C1501">
        <f>IF(COUNTIFS('United Data'!$A$3:$A$3390,C$1,'United Data'!$C$3:$C$3390,$A1501)&gt;0,1,0)</f>
        <v>1</v>
      </c>
      <c r="D1501">
        <f>IF(COUNTIFS('United Data'!$A$3:$A$3390,D$1,'United Data'!$C$3:$C$3390,$A1501)&gt;0,1,0)</f>
        <v>0</v>
      </c>
      <c r="E1501">
        <f>IF(COUNTIFS('United Data'!$A$3:$A$3390,E$1,'United Data'!$C$3:$C$3390,$A1501)&gt;0,1,0)</f>
        <v>1</v>
      </c>
      <c r="F1501">
        <f>IF(COUNTIFS('United Data'!$A$3:$A$3390,F$1,'United Data'!$C$3:$C$3390,$A1501)&gt;0,1,0)</f>
        <v>1</v>
      </c>
      <c r="G1501">
        <f>IF(COUNTIFS('United Data'!$A$3:$A$3390,G$1,'United Data'!$C$3:$C$3390,$A1501)&gt;0,1,0)</f>
        <v>1</v>
      </c>
      <c r="H1501">
        <f>IF(COUNTIFS('United Data'!$A$3:$A$3390,H$1,'United Data'!$C$3:$C$3390,$A1501)&gt;0,1,0)</f>
        <v>0</v>
      </c>
      <c r="I1501">
        <f>IF(COUNTIFS('United Data'!$A$3:$A$3390,I$1,'United Data'!$C$3:$C$3390,$A1501)&gt;0,1,0)</f>
        <v>0</v>
      </c>
      <c r="J1501">
        <f>IF(COUNTIFS('United Data'!$A$3:$A$3390,J$1,'United Data'!$C$3:$C$3390,$A1501)&gt;0,1,0)</f>
        <v>0</v>
      </c>
      <c r="K1501">
        <f>IF(COUNTIFS('United Data'!$A$3:$A$3390,K$1,'United Data'!$C$3:$C$3390,$A1501)&gt;0,1,0)</f>
        <v>1</v>
      </c>
      <c r="L1501">
        <f>IF(COUNTIFS('United Data'!$A$3:$A$3390,L$1,'United Data'!$C$3:$C$3390,$A1501)&gt;0,1,0)</f>
        <v>0</v>
      </c>
      <c r="M1501">
        <f>IF(COUNTIFS('United Data'!$A$3:$A$3390,M$1,'United Data'!$C$3:$C$3390,$A1501)&gt;0,1,0)</f>
        <v>0</v>
      </c>
      <c r="N1501">
        <f>IF(COUNTIFS('United Data'!$A$3:$A$3390,N$1,'United Data'!$C$3:$C$3390,$A1501)&gt;0,1,0)</f>
        <v>1</v>
      </c>
      <c r="O1501">
        <f>IF(COUNTIFS('United Data'!$A$3:$A$3390,O$1,'United Data'!$C$3:$C$3390,$A1501)&gt;0,1,0)</f>
        <v>1</v>
      </c>
      <c r="P1501">
        <f>IF(COUNTIFS('United Data'!$A$3:$A$3390,P$1,'United Data'!$C$3:$C$3390,$A1501)&gt;0,1,0)</f>
        <v>1</v>
      </c>
      <c r="Q1501">
        <f>IF(COUNTIFS('United Data'!$A$3:$A$3390,Q$1,'United Data'!$C$3:$C$3390,$A1501)&gt;0,1,0)</f>
        <v>0</v>
      </c>
      <c r="R1501">
        <f>IF(COUNTIFS('United Data'!$A$3:$A$3390,R$1,'United Data'!$C$3:$C$3390,$A1501)&gt;0,1,0)</f>
        <v>1</v>
      </c>
      <c r="S1501">
        <f t="shared" si="46"/>
        <v>10</v>
      </c>
      <c r="T1501">
        <f t="shared" si="47"/>
        <v>5</v>
      </c>
    </row>
    <row r="1502" spans="1:20" x14ac:dyDescent="0.2">
      <c r="A1502" t="s">
        <v>1775</v>
      </c>
      <c r="B1502">
        <f>IF(COUNTIFS('United Data'!$A$3:$A$3390,B$1,'United Data'!$C$3:$C$3390,$A1502)&gt;0,1,0)</f>
        <v>0</v>
      </c>
      <c r="C1502">
        <f>IF(COUNTIFS('United Data'!$A$3:$A$3390,C$1,'United Data'!$C$3:$C$3390,$A1502)&gt;0,1,0)</f>
        <v>0</v>
      </c>
      <c r="D1502">
        <f>IF(COUNTIFS('United Data'!$A$3:$A$3390,D$1,'United Data'!$C$3:$C$3390,$A1502)&gt;0,1,0)</f>
        <v>1</v>
      </c>
      <c r="E1502">
        <f>IF(COUNTIFS('United Data'!$A$3:$A$3390,E$1,'United Data'!$C$3:$C$3390,$A1502)&gt;0,1,0)</f>
        <v>0</v>
      </c>
      <c r="F1502">
        <f>IF(COUNTIFS('United Data'!$A$3:$A$3390,F$1,'United Data'!$C$3:$C$3390,$A1502)&gt;0,1,0)</f>
        <v>0</v>
      </c>
      <c r="G1502">
        <f>IF(COUNTIFS('United Data'!$A$3:$A$3390,G$1,'United Data'!$C$3:$C$3390,$A1502)&gt;0,1,0)</f>
        <v>0</v>
      </c>
      <c r="H1502">
        <f>IF(COUNTIFS('United Data'!$A$3:$A$3390,H$1,'United Data'!$C$3:$C$3390,$A1502)&gt;0,1,0)</f>
        <v>0</v>
      </c>
      <c r="I1502">
        <f>IF(COUNTIFS('United Data'!$A$3:$A$3390,I$1,'United Data'!$C$3:$C$3390,$A1502)&gt;0,1,0)</f>
        <v>0</v>
      </c>
      <c r="J1502">
        <f>IF(COUNTIFS('United Data'!$A$3:$A$3390,J$1,'United Data'!$C$3:$C$3390,$A1502)&gt;0,1,0)</f>
        <v>0</v>
      </c>
      <c r="K1502">
        <f>IF(COUNTIFS('United Data'!$A$3:$A$3390,K$1,'United Data'!$C$3:$C$3390,$A1502)&gt;0,1,0)</f>
        <v>0</v>
      </c>
      <c r="L1502">
        <f>IF(COUNTIFS('United Data'!$A$3:$A$3390,L$1,'United Data'!$C$3:$C$3390,$A1502)&gt;0,1,0)</f>
        <v>0</v>
      </c>
      <c r="M1502">
        <f>IF(COUNTIFS('United Data'!$A$3:$A$3390,M$1,'United Data'!$C$3:$C$3390,$A1502)&gt;0,1,0)</f>
        <v>0</v>
      </c>
      <c r="N1502">
        <f>IF(COUNTIFS('United Data'!$A$3:$A$3390,N$1,'United Data'!$C$3:$C$3390,$A1502)&gt;0,1,0)</f>
        <v>0</v>
      </c>
      <c r="O1502">
        <f>IF(COUNTIFS('United Data'!$A$3:$A$3390,O$1,'United Data'!$C$3:$C$3390,$A1502)&gt;0,1,0)</f>
        <v>0</v>
      </c>
      <c r="P1502">
        <f>IF(COUNTIFS('United Data'!$A$3:$A$3390,P$1,'United Data'!$C$3:$C$3390,$A1502)&gt;0,1,0)</f>
        <v>0</v>
      </c>
      <c r="Q1502">
        <f>IF(COUNTIFS('United Data'!$A$3:$A$3390,Q$1,'United Data'!$C$3:$C$3390,$A1502)&gt;0,1,0)</f>
        <v>0</v>
      </c>
      <c r="R1502">
        <f>IF(COUNTIFS('United Data'!$A$3:$A$3390,R$1,'United Data'!$C$3:$C$3390,$A1502)&gt;0,1,0)</f>
        <v>0</v>
      </c>
      <c r="S1502">
        <f t="shared" si="46"/>
        <v>1</v>
      </c>
      <c r="T1502">
        <f t="shared" si="47"/>
        <v>1</v>
      </c>
    </row>
    <row r="1503" spans="1:20" x14ac:dyDescent="0.2">
      <c r="A1503" t="s">
        <v>1776</v>
      </c>
      <c r="B1503">
        <f>IF(COUNTIFS('United Data'!$A$3:$A$3390,B$1,'United Data'!$C$3:$C$3390,$A1503)&gt;0,1,0)</f>
        <v>0</v>
      </c>
      <c r="C1503">
        <f>IF(COUNTIFS('United Data'!$A$3:$A$3390,C$1,'United Data'!$C$3:$C$3390,$A1503)&gt;0,1,0)</f>
        <v>0</v>
      </c>
      <c r="D1503">
        <f>IF(COUNTIFS('United Data'!$A$3:$A$3390,D$1,'United Data'!$C$3:$C$3390,$A1503)&gt;0,1,0)</f>
        <v>1</v>
      </c>
      <c r="E1503">
        <f>IF(COUNTIFS('United Data'!$A$3:$A$3390,E$1,'United Data'!$C$3:$C$3390,$A1503)&gt;0,1,0)</f>
        <v>1</v>
      </c>
      <c r="F1503">
        <f>IF(COUNTIFS('United Data'!$A$3:$A$3390,F$1,'United Data'!$C$3:$C$3390,$A1503)&gt;0,1,0)</f>
        <v>0</v>
      </c>
      <c r="G1503">
        <f>IF(COUNTIFS('United Data'!$A$3:$A$3390,G$1,'United Data'!$C$3:$C$3390,$A1503)&gt;0,1,0)</f>
        <v>0</v>
      </c>
      <c r="H1503">
        <f>IF(COUNTIFS('United Data'!$A$3:$A$3390,H$1,'United Data'!$C$3:$C$3390,$A1503)&gt;0,1,0)</f>
        <v>0</v>
      </c>
      <c r="I1503">
        <f>IF(COUNTIFS('United Data'!$A$3:$A$3390,I$1,'United Data'!$C$3:$C$3390,$A1503)&gt;0,1,0)</f>
        <v>0</v>
      </c>
      <c r="J1503">
        <f>IF(COUNTIFS('United Data'!$A$3:$A$3390,J$1,'United Data'!$C$3:$C$3390,$A1503)&gt;0,1,0)</f>
        <v>0</v>
      </c>
      <c r="K1503">
        <f>IF(COUNTIFS('United Data'!$A$3:$A$3390,K$1,'United Data'!$C$3:$C$3390,$A1503)&gt;0,1,0)</f>
        <v>0</v>
      </c>
      <c r="L1503">
        <f>IF(COUNTIFS('United Data'!$A$3:$A$3390,L$1,'United Data'!$C$3:$C$3390,$A1503)&gt;0,1,0)</f>
        <v>0</v>
      </c>
      <c r="M1503">
        <f>IF(COUNTIFS('United Data'!$A$3:$A$3390,M$1,'United Data'!$C$3:$C$3390,$A1503)&gt;0,1,0)</f>
        <v>0</v>
      </c>
      <c r="N1503">
        <f>IF(COUNTIFS('United Data'!$A$3:$A$3390,N$1,'United Data'!$C$3:$C$3390,$A1503)&gt;0,1,0)</f>
        <v>0</v>
      </c>
      <c r="O1503">
        <f>IF(COUNTIFS('United Data'!$A$3:$A$3390,O$1,'United Data'!$C$3:$C$3390,$A1503)&gt;0,1,0)</f>
        <v>0</v>
      </c>
      <c r="P1503">
        <f>IF(COUNTIFS('United Data'!$A$3:$A$3390,P$1,'United Data'!$C$3:$C$3390,$A1503)&gt;0,1,0)</f>
        <v>0</v>
      </c>
      <c r="Q1503">
        <f>IF(COUNTIFS('United Data'!$A$3:$A$3390,Q$1,'United Data'!$C$3:$C$3390,$A1503)&gt;0,1,0)</f>
        <v>0</v>
      </c>
      <c r="R1503">
        <f>IF(COUNTIFS('United Data'!$A$3:$A$3390,R$1,'United Data'!$C$3:$C$3390,$A1503)&gt;0,1,0)</f>
        <v>0</v>
      </c>
      <c r="S1503">
        <f t="shared" si="46"/>
        <v>2</v>
      </c>
      <c r="T1503">
        <f t="shared" si="47"/>
        <v>1</v>
      </c>
    </row>
    <row r="1504" spans="1:20" x14ac:dyDescent="0.2">
      <c r="A1504" t="s">
        <v>1778</v>
      </c>
      <c r="B1504">
        <f>IF(COUNTIFS('United Data'!$A$3:$A$3390,B$1,'United Data'!$C$3:$C$3390,$A1504)&gt;0,1,0)</f>
        <v>0</v>
      </c>
      <c r="C1504">
        <f>IF(COUNTIFS('United Data'!$A$3:$A$3390,C$1,'United Data'!$C$3:$C$3390,$A1504)&gt;0,1,0)</f>
        <v>0</v>
      </c>
      <c r="D1504">
        <f>IF(COUNTIFS('United Data'!$A$3:$A$3390,D$1,'United Data'!$C$3:$C$3390,$A1504)&gt;0,1,0)</f>
        <v>1</v>
      </c>
      <c r="E1504">
        <f>IF(COUNTIFS('United Data'!$A$3:$A$3390,E$1,'United Data'!$C$3:$C$3390,$A1504)&gt;0,1,0)</f>
        <v>0</v>
      </c>
      <c r="F1504">
        <f>IF(COUNTIFS('United Data'!$A$3:$A$3390,F$1,'United Data'!$C$3:$C$3390,$A1504)&gt;0,1,0)</f>
        <v>0</v>
      </c>
      <c r="G1504">
        <f>IF(COUNTIFS('United Data'!$A$3:$A$3390,G$1,'United Data'!$C$3:$C$3390,$A1504)&gt;0,1,0)</f>
        <v>0</v>
      </c>
      <c r="H1504">
        <f>IF(COUNTIFS('United Data'!$A$3:$A$3390,H$1,'United Data'!$C$3:$C$3390,$A1504)&gt;0,1,0)</f>
        <v>0</v>
      </c>
      <c r="I1504">
        <f>IF(COUNTIFS('United Data'!$A$3:$A$3390,I$1,'United Data'!$C$3:$C$3390,$A1504)&gt;0,1,0)</f>
        <v>0</v>
      </c>
      <c r="J1504">
        <f>IF(COUNTIFS('United Data'!$A$3:$A$3390,J$1,'United Data'!$C$3:$C$3390,$A1504)&gt;0,1,0)</f>
        <v>0</v>
      </c>
      <c r="K1504">
        <f>IF(COUNTIFS('United Data'!$A$3:$A$3390,K$1,'United Data'!$C$3:$C$3390,$A1504)&gt;0,1,0)</f>
        <v>0</v>
      </c>
      <c r="L1504">
        <f>IF(COUNTIFS('United Data'!$A$3:$A$3390,L$1,'United Data'!$C$3:$C$3390,$A1504)&gt;0,1,0)</f>
        <v>0</v>
      </c>
      <c r="M1504">
        <f>IF(COUNTIFS('United Data'!$A$3:$A$3390,M$1,'United Data'!$C$3:$C$3390,$A1504)&gt;0,1,0)</f>
        <v>0</v>
      </c>
      <c r="N1504">
        <f>IF(COUNTIFS('United Data'!$A$3:$A$3390,N$1,'United Data'!$C$3:$C$3390,$A1504)&gt;0,1,0)</f>
        <v>0</v>
      </c>
      <c r="O1504">
        <f>IF(COUNTIFS('United Data'!$A$3:$A$3390,O$1,'United Data'!$C$3:$C$3390,$A1504)&gt;0,1,0)</f>
        <v>0</v>
      </c>
      <c r="P1504">
        <f>IF(COUNTIFS('United Data'!$A$3:$A$3390,P$1,'United Data'!$C$3:$C$3390,$A1504)&gt;0,1,0)</f>
        <v>0</v>
      </c>
      <c r="Q1504">
        <f>IF(COUNTIFS('United Data'!$A$3:$A$3390,Q$1,'United Data'!$C$3:$C$3390,$A1504)&gt;0,1,0)</f>
        <v>0</v>
      </c>
      <c r="R1504">
        <f>IF(COUNTIFS('United Data'!$A$3:$A$3390,R$1,'United Data'!$C$3:$C$3390,$A1504)&gt;0,1,0)</f>
        <v>0</v>
      </c>
      <c r="S1504">
        <f t="shared" si="46"/>
        <v>1</v>
      </c>
      <c r="T1504">
        <f t="shared" si="47"/>
        <v>1</v>
      </c>
    </row>
    <row r="1505" spans="1:20" x14ac:dyDescent="0.2">
      <c r="A1505" t="s">
        <v>1779</v>
      </c>
      <c r="B1505">
        <f>IF(COUNTIFS('United Data'!$A$3:$A$3390,B$1,'United Data'!$C$3:$C$3390,$A1505)&gt;0,1,0)</f>
        <v>0</v>
      </c>
      <c r="C1505">
        <f>IF(COUNTIFS('United Data'!$A$3:$A$3390,C$1,'United Data'!$C$3:$C$3390,$A1505)&gt;0,1,0)</f>
        <v>0</v>
      </c>
      <c r="D1505">
        <f>IF(COUNTIFS('United Data'!$A$3:$A$3390,D$1,'United Data'!$C$3:$C$3390,$A1505)&gt;0,1,0)</f>
        <v>1</v>
      </c>
      <c r="E1505">
        <f>IF(COUNTIFS('United Data'!$A$3:$A$3390,E$1,'United Data'!$C$3:$C$3390,$A1505)&gt;0,1,0)</f>
        <v>0</v>
      </c>
      <c r="F1505">
        <f>IF(COUNTIFS('United Data'!$A$3:$A$3390,F$1,'United Data'!$C$3:$C$3390,$A1505)&gt;0,1,0)</f>
        <v>1</v>
      </c>
      <c r="G1505">
        <f>IF(COUNTIFS('United Data'!$A$3:$A$3390,G$1,'United Data'!$C$3:$C$3390,$A1505)&gt;0,1,0)</f>
        <v>0</v>
      </c>
      <c r="H1505">
        <f>IF(COUNTIFS('United Data'!$A$3:$A$3390,H$1,'United Data'!$C$3:$C$3390,$A1505)&gt;0,1,0)</f>
        <v>0</v>
      </c>
      <c r="I1505">
        <f>IF(COUNTIFS('United Data'!$A$3:$A$3390,I$1,'United Data'!$C$3:$C$3390,$A1505)&gt;0,1,0)</f>
        <v>0</v>
      </c>
      <c r="J1505">
        <f>IF(COUNTIFS('United Data'!$A$3:$A$3390,J$1,'United Data'!$C$3:$C$3390,$A1505)&gt;0,1,0)</f>
        <v>0</v>
      </c>
      <c r="K1505">
        <f>IF(COUNTIFS('United Data'!$A$3:$A$3390,K$1,'United Data'!$C$3:$C$3390,$A1505)&gt;0,1,0)</f>
        <v>1</v>
      </c>
      <c r="L1505">
        <f>IF(COUNTIFS('United Data'!$A$3:$A$3390,L$1,'United Data'!$C$3:$C$3390,$A1505)&gt;0,1,0)</f>
        <v>0</v>
      </c>
      <c r="M1505">
        <f>IF(COUNTIFS('United Data'!$A$3:$A$3390,M$1,'United Data'!$C$3:$C$3390,$A1505)&gt;0,1,0)</f>
        <v>1</v>
      </c>
      <c r="N1505">
        <f>IF(COUNTIFS('United Data'!$A$3:$A$3390,N$1,'United Data'!$C$3:$C$3390,$A1505)&gt;0,1,0)</f>
        <v>1</v>
      </c>
      <c r="O1505">
        <f>IF(COUNTIFS('United Data'!$A$3:$A$3390,O$1,'United Data'!$C$3:$C$3390,$A1505)&gt;0,1,0)</f>
        <v>1</v>
      </c>
      <c r="P1505">
        <f>IF(COUNTIFS('United Data'!$A$3:$A$3390,P$1,'United Data'!$C$3:$C$3390,$A1505)&gt;0,1,0)</f>
        <v>1</v>
      </c>
      <c r="Q1505">
        <f>IF(COUNTIFS('United Data'!$A$3:$A$3390,Q$1,'United Data'!$C$3:$C$3390,$A1505)&gt;0,1,0)</f>
        <v>0</v>
      </c>
      <c r="R1505">
        <f>IF(COUNTIFS('United Data'!$A$3:$A$3390,R$1,'United Data'!$C$3:$C$3390,$A1505)&gt;0,1,0)</f>
        <v>0</v>
      </c>
      <c r="S1505">
        <f t="shared" si="46"/>
        <v>7</v>
      </c>
      <c r="T1505">
        <f t="shared" si="47"/>
        <v>4</v>
      </c>
    </row>
    <row r="1506" spans="1:20" x14ac:dyDescent="0.2">
      <c r="A1506" t="s">
        <v>1780</v>
      </c>
      <c r="B1506">
        <f>IF(COUNTIFS('United Data'!$A$3:$A$3390,B$1,'United Data'!$C$3:$C$3390,$A1506)&gt;0,1,0)</f>
        <v>0</v>
      </c>
      <c r="C1506">
        <f>IF(COUNTIFS('United Data'!$A$3:$A$3390,C$1,'United Data'!$C$3:$C$3390,$A1506)&gt;0,1,0)</f>
        <v>0</v>
      </c>
      <c r="D1506">
        <f>IF(COUNTIFS('United Data'!$A$3:$A$3390,D$1,'United Data'!$C$3:$C$3390,$A1506)&gt;0,1,0)</f>
        <v>1</v>
      </c>
      <c r="E1506">
        <f>IF(COUNTIFS('United Data'!$A$3:$A$3390,E$1,'United Data'!$C$3:$C$3390,$A1506)&gt;0,1,0)</f>
        <v>1</v>
      </c>
      <c r="F1506">
        <f>IF(COUNTIFS('United Data'!$A$3:$A$3390,F$1,'United Data'!$C$3:$C$3390,$A1506)&gt;0,1,0)</f>
        <v>1</v>
      </c>
      <c r="G1506">
        <f>IF(COUNTIFS('United Data'!$A$3:$A$3390,G$1,'United Data'!$C$3:$C$3390,$A1506)&gt;0,1,0)</f>
        <v>1</v>
      </c>
      <c r="H1506">
        <f>IF(COUNTIFS('United Data'!$A$3:$A$3390,H$1,'United Data'!$C$3:$C$3390,$A1506)&gt;0,1,0)</f>
        <v>0</v>
      </c>
      <c r="I1506">
        <f>IF(COUNTIFS('United Data'!$A$3:$A$3390,I$1,'United Data'!$C$3:$C$3390,$A1506)&gt;0,1,0)</f>
        <v>0</v>
      </c>
      <c r="J1506">
        <f>IF(COUNTIFS('United Data'!$A$3:$A$3390,J$1,'United Data'!$C$3:$C$3390,$A1506)&gt;0,1,0)</f>
        <v>0</v>
      </c>
      <c r="K1506">
        <f>IF(COUNTIFS('United Data'!$A$3:$A$3390,K$1,'United Data'!$C$3:$C$3390,$A1506)&gt;0,1,0)</f>
        <v>0</v>
      </c>
      <c r="L1506">
        <f>IF(COUNTIFS('United Data'!$A$3:$A$3390,L$1,'United Data'!$C$3:$C$3390,$A1506)&gt;0,1,0)</f>
        <v>0</v>
      </c>
      <c r="M1506">
        <f>IF(COUNTIFS('United Data'!$A$3:$A$3390,M$1,'United Data'!$C$3:$C$3390,$A1506)&gt;0,1,0)</f>
        <v>0</v>
      </c>
      <c r="N1506">
        <f>IF(COUNTIFS('United Data'!$A$3:$A$3390,N$1,'United Data'!$C$3:$C$3390,$A1506)&gt;0,1,0)</f>
        <v>0</v>
      </c>
      <c r="O1506">
        <f>IF(COUNTIFS('United Data'!$A$3:$A$3390,O$1,'United Data'!$C$3:$C$3390,$A1506)&gt;0,1,0)</f>
        <v>0</v>
      </c>
      <c r="P1506">
        <f>IF(COUNTIFS('United Data'!$A$3:$A$3390,P$1,'United Data'!$C$3:$C$3390,$A1506)&gt;0,1,0)</f>
        <v>0</v>
      </c>
      <c r="Q1506">
        <f>IF(COUNTIFS('United Data'!$A$3:$A$3390,Q$1,'United Data'!$C$3:$C$3390,$A1506)&gt;0,1,0)</f>
        <v>0</v>
      </c>
      <c r="R1506">
        <f>IF(COUNTIFS('United Data'!$A$3:$A$3390,R$1,'United Data'!$C$3:$C$3390,$A1506)&gt;0,1,0)</f>
        <v>0</v>
      </c>
      <c r="S1506">
        <f t="shared" si="46"/>
        <v>4</v>
      </c>
      <c r="T1506">
        <f t="shared" si="47"/>
        <v>1</v>
      </c>
    </row>
    <row r="1507" spans="1:20" x14ac:dyDescent="0.2">
      <c r="A1507" t="s">
        <v>1783</v>
      </c>
      <c r="B1507">
        <f>IF(COUNTIFS('United Data'!$A$3:$A$3390,B$1,'United Data'!$C$3:$C$3390,$A1507)&gt;0,1,0)</f>
        <v>0</v>
      </c>
      <c r="C1507">
        <f>IF(COUNTIFS('United Data'!$A$3:$A$3390,C$1,'United Data'!$C$3:$C$3390,$A1507)&gt;0,1,0)</f>
        <v>0</v>
      </c>
      <c r="D1507">
        <f>IF(COUNTIFS('United Data'!$A$3:$A$3390,D$1,'United Data'!$C$3:$C$3390,$A1507)&gt;0,1,0)</f>
        <v>1</v>
      </c>
      <c r="E1507">
        <f>IF(COUNTIFS('United Data'!$A$3:$A$3390,E$1,'United Data'!$C$3:$C$3390,$A1507)&gt;0,1,0)</f>
        <v>0</v>
      </c>
      <c r="F1507">
        <f>IF(COUNTIFS('United Data'!$A$3:$A$3390,F$1,'United Data'!$C$3:$C$3390,$A1507)&gt;0,1,0)</f>
        <v>0</v>
      </c>
      <c r="G1507">
        <f>IF(COUNTIFS('United Data'!$A$3:$A$3390,G$1,'United Data'!$C$3:$C$3390,$A1507)&gt;0,1,0)</f>
        <v>0</v>
      </c>
      <c r="H1507">
        <f>IF(COUNTIFS('United Data'!$A$3:$A$3390,H$1,'United Data'!$C$3:$C$3390,$A1507)&gt;0,1,0)</f>
        <v>0</v>
      </c>
      <c r="I1507">
        <f>IF(COUNTIFS('United Data'!$A$3:$A$3390,I$1,'United Data'!$C$3:$C$3390,$A1507)&gt;0,1,0)</f>
        <v>0</v>
      </c>
      <c r="J1507">
        <f>IF(COUNTIFS('United Data'!$A$3:$A$3390,J$1,'United Data'!$C$3:$C$3390,$A1507)&gt;0,1,0)</f>
        <v>0</v>
      </c>
      <c r="K1507">
        <f>IF(COUNTIFS('United Data'!$A$3:$A$3390,K$1,'United Data'!$C$3:$C$3390,$A1507)&gt;0,1,0)</f>
        <v>0</v>
      </c>
      <c r="L1507">
        <f>IF(COUNTIFS('United Data'!$A$3:$A$3390,L$1,'United Data'!$C$3:$C$3390,$A1507)&gt;0,1,0)</f>
        <v>0</v>
      </c>
      <c r="M1507">
        <f>IF(COUNTIFS('United Data'!$A$3:$A$3390,M$1,'United Data'!$C$3:$C$3390,$A1507)&gt;0,1,0)</f>
        <v>0</v>
      </c>
      <c r="N1507">
        <f>IF(COUNTIFS('United Data'!$A$3:$A$3390,N$1,'United Data'!$C$3:$C$3390,$A1507)&gt;0,1,0)</f>
        <v>0</v>
      </c>
      <c r="O1507">
        <f>IF(COUNTIFS('United Data'!$A$3:$A$3390,O$1,'United Data'!$C$3:$C$3390,$A1507)&gt;0,1,0)</f>
        <v>0</v>
      </c>
      <c r="P1507">
        <f>IF(COUNTIFS('United Data'!$A$3:$A$3390,P$1,'United Data'!$C$3:$C$3390,$A1507)&gt;0,1,0)</f>
        <v>0</v>
      </c>
      <c r="Q1507">
        <f>IF(COUNTIFS('United Data'!$A$3:$A$3390,Q$1,'United Data'!$C$3:$C$3390,$A1507)&gt;0,1,0)</f>
        <v>0</v>
      </c>
      <c r="R1507">
        <f>IF(COUNTIFS('United Data'!$A$3:$A$3390,R$1,'United Data'!$C$3:$C$3390,$A1507)&gt;0,1,0)</f>
        <v>0</v>
      </c>
      <c r="S1507">
        <f t="shared" si="46"/>
        <v>1</v>
      </c>
      <c r="T1507">
        <f t="shared" si="47"/>
        <v>1</v>
      </c>
    </row>
    <row r="1508" spans="1:20" x14ac:dyDescent="0.2">
      <c r="A1508" t="s">
        <v>1784</v>
      </c>
      <c r="B1508">
        <f>IF(COUNTIFS('United Data'!$A$3:$A$3390,B$1,'United Data'!$C$3:$C$3390,$A1508)&gt;0,1,0)</f>
        <v>0</v>
      </c>
      <c r="C1508">
        <f>IF(COUNTIFS('United Data'!$A$3:$A$3390,C$1,'United Data'!$C$3:$C$3390,$A1508)&gt;0,1,0)</f>
        <v>0</v>
      </c>
      <c r="D1508">
        <f>IF(COUNTIFS('United Data'!$A$3:$A$3390,D$1,'United Data'!$C$3:$C$3390,$A1508)&gt;0,1,0)</f>
        <v>1</v>
      </c>
      <c r="E1508">
        <f>IF(COUNTIFS('United Data'!$A$3:$A$3390,E$1,'United Data'!$C$3:$C$3390,$A1508)&gt;0,1,0)</f>
        <v>0</v>
      </c>
      <c r="F1508">
        <f>IF(COUNTIFS('United Data'!$A$3:$A$3390,F$1,'United Data'!$C$3:$C$3390,$A1508)&gt;0,1,0)</f>
        <v>0</v>
      </c>
      <c r="G1508">
        <f>IF(COUNTIFS('United Data'!$A$3:$A$3390,G$1,'United Data'!$C$3:$C$3390,$A1508)&gt;0,1,0)</f>
        <v>0</v>
      </c>
      <c r="H1508">
        <f>IF(COUNTIFS('United Data'!$A$3:$A$3390,H$1,'United Data'!$C$3:$C$3390,$A1508)&gt;0,1,0)</f>
        <v>0</v>
      </c>
      <c r="I1508">
        <f>IF(COUNTIFS('United Data'!$A$3:$A$3390,I$1,'United Data'!$C$3:$C$3390,$A1508)&gt;0,1,0)</f>
        <v>0</v>
      </c>
      <c r="J1508">
        <f>IF(COUNTIFS('United Data'!$A$3:$A$3390,J$1,'United Data'!$C$3:$C$3390,$A1508)&gt;0,1,0)</f>
        <v>0</v>
      </c>
      <c r="K1508">
        <f>IF(COUNTIFS('United Data'!$A$3:$A$3390,K$1,'United Data'!$C$3:$C$3390,$A1508)&gt;0,1,0)</f>
        <v>0</v>
      </c>
      <c r="L1508">
        <f>IF(COUNTIFS('United Data'!$A$3:$A$3390,L$1,'United Data'!$C$3:$C$3390,$A1508)&gt;0,1,0)</f>
        <v>0</v>
      </c>
      <c r="M1508">
        <f>IF(COUNTIFS('United Data'!$A$3:$A$3390,M$1,'United Data'!$C$3:$C$3390,$A1508)&gt;0,1,0)</f>
        <v>0</v>
      </c>
      <c r="N1508">
        <f>IF(COUNTIFS('United Data'!$A$3:$A$3390,N$1,'United Data'!$C$3:$C$3390,$A1508)&gt;0,1,0)</f>
        <v>0</v>
      </c>
      <c r="O1508">
        <f>IF(COUNTIFS('United Data'!$A$3:$A$3390,O$1,'United Data'!$C$3:$C$3390,$A1508)&gt;0,1,0)</f>
        <v>0</v>
      </c>
      <c r="P1508">
        <f>IF(COUNTIFS('United Data'!$A$3:$A$3390,P$1,'United Data'!$C$3:$C$3390,$A1508)&gt;0,1,0)</f>
        <v>0</v>
      </c>
      <c r="Q1508">
        <f>IF(COUNTIFS('United Data'!$A$3:$A$3390,Q$1,'United Data'!$C$3:$C$3390,$A1508)&gt;0,1,0)</f>
        <v>0</v>
      </c>
      <c r="R1508">
        <f>IF(COUNTIFS('United Data'!$A$3:$A$3390,R$1,'United Data'!$C$3:$C$3390,$A1508)&gt;0,1,0)</f>
        <v>0</v>
      </c>
      <c r="S1508">
        <f t="shared" si="46"/>
        <v>1</v>
      </c>
      <c r="T1508">
        <f t="shared" si="47"/>
        <v>1</v>
      </c>
    </row>
    <row r="1509" spans="1:20" x14ac:dyDescent="0.2">
      <c r="A1509" t="s">
        <v>1785</v>
      </c>
      <c r="B1509">
        <f>IF(COUNTIFS('United Data'!$A$3:$A$3390,B$1,'United Data'!$C$3:$C$3390,$A1509)&gt;0,1,0)</f>
        <v>0</v>
      </c>
      <c r="C1509">
        <f>IF(COUNTIFS('United Data'!$A$3:$A$3390,C$1,'United Data'!$C$3:$C$3390,$A1509)&gt;0,1,0)</f>
        <v>0</v>
      </c>
      <c r="D1509">
        <f>IF(COUNTIFS('United Data'!$A$3:$A$3390,D$1,'United Data'!$C$3:$C$3390,$A1509)&gt;0,1,0)</f>
        <v>1</v>
      </c>
      <c r="E1509">
        <f>IF(COUNTIFS('United Data'!$A$3:$A$3390,E$1,'United Data'!$C$3:$C$3390,$A1509)&gt;0,1,0)</f>
        <v>0</v>
      </c>
      <c r="F1509">
        <f>IF(COUNTIFS('United Data'!$A$3:$A$3390,F$1,'United Data'!$C$3:$C$3390,$A1509)&gt;0,1,0)</f>
        <v>0</v>
      </c>
      <c r="G1509">
        <f>IF(COUNTIFS('United Data'!$A$3:$A$3390,G$1,'United Data'!$C$3:$C$3390,$A1509)&gt;0,1,0)</f>
        <v>0</v>
      </c>
      <c r="H1509">
        <f>IF(COUNTIFS('United Data'!$A$3:$A$3390,H$1,'United Data'!$C$3:$C$3390,$A1509)&gt;0,1,0)</f>
        <v>0</v>
      </c>
      <c r="I1509">
        <f>IF(COUNTIFS('United Data'!$A$3:$A$3390,I$1,'United Data'!$C$3:$C$3390,$A1509)&gt;0,1,0)</f>
        <v>0</v>
      </c>
      <c r="J1509">
        <f>IF(COUNTIFS('United Data'!$A$3:$A$3390,J$1,'United Data'!$C$3:$C$3390,$A1509)&gt;0,1,0)</f>
        <v>0</v>
      </c>
      <c r="K1509">
        <f>IF(COUNTIFS('United Data'!$A$3:$A$3390,K$1,'United Data'!$C$3:$C$3390,$A1509)&gt;0,1,0)</f>
        <v>0</v>
      </c>
      <c r="L1509">
        <f>IF(COUNTIFS('United Data'!$A$3:$A$3390,L$1,'United Data'!$C$3:$C$3390,$A1509)&gt;0,1,0)</f>
        <v>0</v>
      </c>
      <c r="M1509">
        <f>IF(COUNTIFS('United Data'!$A$3:$A$3390,M$1,'United Data'!$C$3:$C$3390,$A1509)&gt;0,1,0)</f>
        <v>0</v>
      </c>
      <c r="N1509">
        <f>IF(COUNTIFS('United Data'!$A$3:$A$3390,N$1,'United Data'!$C$3:$C$3390,$A1509)&gt;0,1,0)</f>
        <v>0</v>
      </c>
      <c r="O1509">
        <f>IF(COUNTIFS('United Data'!$A$3:$A$3390,O$1,'United Data'!$C$3:$C$3390,$A1509)&gt;0,1,0)</f>
        <v>0</v>
      </c>
      <c r="P1509">
        <f>IF(COUNTIFS('United Data'!$A$3:$A$3390,P$1,'United Data'!$C$3:$C$3390,$A1509)&gt;0,1,0)</f>
        <v>0</v>
      </c>
      <c r="Q1509">
        <f>IF(COUNTIFS('United Data'!$A$3:$A$3390,Q$1,'United Data'!$C$3:$C$3390,$A1509)&gt;0,1,0)</f>
        <v>0</v>
      </c>
      <c r="R1509">
        <f>IF(COUNTIFS('United Data'!$A$3:$A$3390,R$1,'United Data'!$C$3:$C$3390,$A1509)&gt;0,1,0)</f>
        <v>0</v>
      </c>
      <c r="S1509">
        <f t="shared" si="46"/>
        <v>1</v>
      </c>
      <c r="T1509">
        <f t="shared" si="47"/>
        <v>1</v>
      </c>
    </row>
    <row r="1510" spans="1:20" x14ac:dyDescent="0.2">
      <c r="A1510" t="s">
        <v>1786</v>
      </c>
      <c r="B1510">
        <f>IF(COUNTIFS('United Data'!$A$3:$A$3390,B$1,'United Data'!$C$3:$C$3390,$A1510)&gt;0,1,0)</f>
        <v>0</v>
      </c>
      <c r="C1510">
        <f>IF(COUNTIFS('United Data'!$A$3:$A$3390,C$1,'United Data'!$C$3:$C$3390,$A1510)&gt;0,1,0)</f>
        <v>0</v>
      </c>
      <c r="D1510">
        <f>IF(COUNTIFS('United Data'!$A$3:$A$3390,D$1,'United Data'!$C$3:$C$3390,$A1510)&gt;0,1,0)</f>
        <v>1</v>
      </c>
      <c r="E1510">
        <f>IF(COUNTIFS('United Data'!$A$3:$A$3390,E$1,'United Data'!$C$3:$C$3390,$A1510)&gt;0,1,0)</f>
        <v>0</v>
      </c>
      <c r="F1510">
        <f>IF(COUNTIFS('United Data'!$A$3:$A$3390,F$1,'United Data'!$C$3:$C$3390,$A1510)&gt;0,1,0)</f>
        <v>0</v>
      </c>
      <c r="G1510">
        <f>IF(COUNTIFS('United Data'!$A$3:$A$3390,G$1,'United Data'!$C$3:$C$3390,$A1510)&gt;0,1,0)</f>
        <v>0</v>
      </c>
      <c r="H1510">
        <f>IF(COUNTIFS('United Data'!$A$3:$A$3390,H$1,'United Data'!$C$3:$C$3390,$A1510)&gt;0,1,0)</f>
        <v>0</v>
      </c>
      <c r="I1510">
        <f>IF(COUNTIFS('United Data'!$A$3:$A$3390,I$1,'United Data'!$C$3:$C$3390,$A1510)&gt;0,1,0)</f>
        <v>0</v>
      </c>
      <c r="J1510">
        <f>IF(COUNTIFS('United Data'!$A$3:$A$3390,J$1,'United Data'!$C$3:$C$3390,$A1510)&gt;0,1,0)</f>
        <v>0</v>
      </c>
      <c r="K1510">
        <f>IF(COUNTIFS('United Data'!$A$3:$A$3390,K$1,'United Data'!$C$3:$C$3390,$A1510)&gt;0,1,0)</f>
        <v>0</v>
      </c>
      <c r="L1510">
        <f>IF(COUNTIFS('United Data'!$A$3:$A$3390,L$1,'United Data'!$C$3:$C$3390,$A1510)&gt;0,1,0)</f>
        <v>0</v>
      </c>
      <c r="M1510">
        <f>IF(COUNTIFS('United Data'!$A$3:$A$3390,M$1,'United Data'!$C$3:$C$3390,$A1510)&gt;0,1,0)</f>
        <v>0</v>
      </c>
      <c r="N1510">
        <f>IF(COUNTIFS('United Data'!$A$3:$A$3390,N$1,'United Data'!$C$3:$C$3390,$A1510)&gt;0,1,0)</f>
        <v>0</v>
      </c>
      <c r="O1510">
        <f>IF(COUNTIFS('United Data'!$A$3:$A$3390,O$1,'United Data'!$C$3:$C$3390,$A1510)&gt;0,1,0)</f>
        <v>0</v>
      </c>
      <c r="P1510">
        <f>IF(COUNTIFS('United Data'!$A$3:$A$3390,P$1,'United Data'!$C$3:$C$3390,$A1510)&gt;0,1,0)</f>
        <v>0</v>
      </c>
      <c r="Q1510">
        <f>IF(COUNTIFS('United Data'!$A$3:$A$3390,Q$1,'United Data'!$C$3:$C$3390,$A1510)&gt;0,1,0)</f>
        <v>0</v>
      </c>
      <c r="R1510">
        <f>IF(COUNTIFS('United Data'!$A$3:$A$3390,R$1,'United Data'!$C$3:$C$3390,$A1510)&gt;0,1,0)</f>
        <v>0</v>
      </c>
      <c r="S1510">
        <f t="shared" si="46"/>
        <v>1</v>
      </c>
      <c r="T1510">
        <f t="shared" si="47"/>
        <v>1</v>
      </c>
    </row>
    <row r="1511" spans="1:20" x14ac:dyDescent="0.2">
      <c r="A1511" t="s">
        <v>1788</v>
      </c>
      <c r="B1511">
        <f>IF(COUNTIFS('United Data'!$A$3:$A$3390,B$1,'United Data'!$C$3:$C$3390,$A1511)&gt;0,1,0)</f>
        <v>0</v>
      </c>
      <c r="C1511">
        <f>IF(COUNTIFS('United Data'!$A$3:$A$3390,C$1,'United Data'!$C$3:$C$3390,$A1511)&gt;0,1,0)</f>
        <v>0</v>
      </c>
      <c r="D1511">
        <f>IF(COUNTIFS('United Data'!$A$3:$A$3390,D$1,'United Data'!$C$3:$C$3390,$A1511)&gt;0,1,0)</f>
        <v>0</v>
      </c>
      <c r="E1511">
        <f>IF(COUNTIFS('United Data'!$A$3:$A$3390,E$1,'United Data'!$C$3:$C$3390,$A1511)&gt;0,1,0)</f>
        <v>1</v>
      </c>
      <c r="F1511">
        <f>IF(COUNTIFS('United Data'!$A$3:$A$3390,F$1,'United Data'!$C$3:$C$3390,$A1511)&gt;0,1,0)</f>
        <v>0</v>
      </c>
      <c r="G1511">
        <f>IF(COUNTIFS('United Data'!$A$3:$A$3390,G$1,'United Data'!$C$3:$C$3390,$A1511)&gt;0,1,0)</f>
        <v>0</v>
      </c>
      <c r="H1511">
        <f>IF(COUNTIFS('United Data'!$A$3:$A$3390,H$1,'United Data'!$C$3:$C$3390,$A1511)&gt;0,1,0)</f>
        <v>0</v>
      </c>
      <c r="I1511">
        <f>IF(COUNTIFS('United Data'!$A$3:$A$3390,I$1,'United Data'!$C$3:$C$3390,$A1511)&gt;0,1,0)</f>
        <v>0</v>
      </c>
      <c r="J1511">
        <f>IF(COUNTIFS('United Data'!$A$3:$A$3390,J$1,'United Data'!$C$3:$C$3390,$A1511)&gt;0,1,0)</f>
        <v>0</v>
      </c>
      <c r="K1511">
        <f>IF(COUNTIFS('United Data'!$A$3:$A$3390,K$1,'United Data'!$C$3:$C$3390,$A1511)&gt;0,1,0)</f>
        <v>0</v>
      </c>
      <c r="L1511">
        <f>IF(COUNTIFS('United Data'!$A$3:$A$3390,L$1,'United Data'!$C$3:$C$3390,$A1511)&gt;0,1,0)</f>
        <v>0</v>
      </c>
      <c r="M1511">
        <f>IF(COUNTIFS('United Data'!$A$3:$A$3390,M$1,'United Data'!$C$3:$C$3390,$A1511)&gt;0,1,0)</f>
        <v>0</v>
      </c>
      <c r="N1511">
        <f>IF(COUNTIFS('United Data'!$A$3:$A$3390,N$1,'United Data'!$C$3:$C$3390,$A1511)&gt;0,1,0)</f>
        <v>0</v>
      </c>
      <c r="O1511">
        <f>IF(COUNTIFS('United Data'!$A$3:$A$3390,O$1,'United Data'!$C$3:$C$3390,$A1511)&gt;0,1,0)</f>
        <v>0</v>
      </c>
      <c r="P1511">
        <f>IF(COUNTIFS('United Data'!$A$3:$A$3390,P$1,'United Data'!$C$3:$C$3390,$A1511)&gt;0,1,0)</f>
        <v>0</v>
      </c>
      <c r="Q1511">
        <f>IF(COUNTIFS('United Data'!$A$3:$A$3390,Q$1,'United Data'!$C$3:$C$3390,$A1511)&gt;0,1,0)</f>
        <v>0</v>
      </c>
      <c r="R1511">
        <f>IF(COUNTIFS('United Data'!$A$3:$A$3390,R$1,'United Data'!$C$3:$C$3390,$A1511)&gt;0,1,0)</f>
        <v>0</v>
      </c>
      <c r="S1511">
        <f t="shared" si="46"/>
        <v>1</v>
      </c>
      <c r="T1511">
        <f t="shared" si="47"/>
        <v>1</v>
      </c>
    </row>
    <row r="1512" spans="1:20" x14ac:dyDescent="0.2">
      <c r="A1512" t="s">
        <v>1789</v>
      </c>
      <c r="B1512">
        <f>IF(COUNTIFS('United Data'!$A$3:$A$3390,B$1,'United Data'!$C$3:$C$3390,$A1512)&gt;0,1,0)</f>
        <v>0</v>
      </c>
      <c r="C1512">
        <f>IF(COUNTIFS('United Data'!$A$3:$A$3390,C$1,'United Data'!$C$3:$C$3390,$A1512)&gt;0,1,0)</f>
        <v>0</v>
      </c>
      <c r="D1512">
        <f>IF(COUNTIFS('United Data'!$A$3:$A$3390,D$1,'United Data'!$C$3:$C$3390,$A1512)&gt;0,1,0)</f>
        <v>0</v>
      </c>
      <c r="E1512">
        <f>IF(COUNTIFS('United Data'!$A$3:$A$3390,E$1,'United Data'!$C$3:$C$3390,$A1512)&gt;0,1,0)</f>
        <v>1</v>
      </c>
      <c r="F1512">
        <f>IF(COUNTIFS('United Data'!$A$3:$A$3390,F$1,'United Data'!$C$3:$C$3390,$A1512)&gt;0,1,0)</f>
        <v>0</v>
      </c>
      <c r="G1512">
        <f>IF(COUNTIFS('United Data'!$A$3:$A$3390,G$1,'United Data'!$C$3:$C$3390,$A1512)&gt;0,1,0)</f>
        <v>0</v>
      </c>
      <c r="H1512">
        <f>IF(COUNTIFS('United Data'!$A$3:$A$3390,H$1,'United Data'!$C$3:$C$3390,$A1512)&gt;0,1,0)</f>
        <v>0</v>
      </c>
      <c r="I1512">
        <f>IF(COUNTIFS('United Data'!$A$3:$A$3390,I$1,'United Data'!$C$3:$C$3390,$A1512)&gt;0,1,0)</f>
        <v>0</v>
      </c>
      <c r="J1512">
        <f>IF(COUNTIFS('United Data'!$A$3:$A$3390,J$1,'United Data'!$C$3:$C$3390,$A1512)&gt;0,1,0)</f>
        <v>0</v>
      </c>
      <c r="K1512">
        <f>IF(COUNTIFS('United Data'!$A$3:$A$3390,K$1,'United Data'!$C$3:$C$3390,$A1512)&gt;0,1,0)</f>
        <v>0</v>
      </c>
      <c r="L1512">
        <f>IF(COUNTIFS('United Data'!$A$3:$A$3390,L$1,'United Data'!$C$3:$C$3390,$A1512)&gt;0,1,0)</f>
        <v>0</v>
      </c>
      <c r="M1512">
        <f>IF(COUNTIFS('United Data'!$A$3:$A$3390,M$1,'United Data'!$C$3:$C$3390,$A1512)&gt;0,1,0)</f>
        <v>0</v>
      </c>
      <c r="N1512">
        <f>IF(COUNTIFS('United Data'!$A$3:$A$3390,N$1,'United Data'!$C$3:$C$3390,$A1512)&gt;0,1,0)</f>
        <v>0</v>
      </c>
      <c r="O1512">
        <f>IF(COUNTIFS('United Data'!$A$3:$A$3390,O$1,'United Data'!$C$3:$C$3390,$A1512)&gt;0,1,0)</f>
        <v>0</v>
      </c>
      <c r="P1512">
        <f>IF(COUNTIFS('United Data'!$A$3:$A$3390,P$1,'United Data'!$C$3:$C$3390,$A1512)&gt;0,1,0)</f>
        <v>0</v>
      </c>
      <c r="Q1512">
        <f>IF(COUNTIFS('United Data'!$A$3:$A$3390,Q$1,'United Data'!$C$3:$C$3390,$A1512)&gt;0,1,0)</f>
        <v>0</v>
      </c>
      <c r="R1512">
        <f>IF(COUNTIFS('United Data'!$A$3:$A$3390,R$1,'United Data'!$C$3:$C$3390,$A1512)&gt;0,1,0)</f>
        <v>0</v>
      </c>
      <c r="S1512">
        <f t="shared" si="46"/>
        <v>1</v>
      </c>
      <c r="T1512">
        <f t="shared" si="47"/>
        <v>1</v>
      </c>
    </row>
    <row r="1513" spans="1:20" x14ac:dyDescent="0.2">
      <c r="A1513" t="s">
        <v>1791</v>
      </c>
      <c r="B1513">
        <f>IF(COUNTIFS('United Data'!$A$3:$A$3390,B$1,'United Data'!$C$3:$C$3390,$A1513)&gt;0,1,0)</f>
        <v>0</v>
      </c>
      <c r="C1513">
        <f>IF(COUNTIFS('United Data'!$A$3:$A$3390,C$1,'United Data'!$C$3:$C$3390,$A1513)&gt;0,1,0)</f>
        <v>0</v>
      </c>
      <c r="D1513">
        <f>IF(COUNTIFS('United Data'!$A$3:$A$3390,D$1,'United Data'!$C$3:$C$3390,$A1513)&gt;0,1,0)</f>
        <v>0</v>
      </c>
      <c r="E1513">
        <f>IF(COUNTIFS('United Data'!$A$3:$A$3390,E$1,'United Data'!$C$3:$C$3390,$A1513)&gt;0,1,0)</f>
        <v>1</v>
      </c>
      <c r="F1513">
        <f>IF(COUNTIFS('United Data'!$A$3:$A$3390,F$1,'United Data'!$C$3:$C$3390,$A1513)&gt;0,1,0)</f>
        <v>0</v>
      </c>
      <c r="G1513">
        <f>IF(COUNTIFS('United Data'!$A$3:$A$3390,G$1,'United Data'!$C$3:$C$3390,$A1513)&gt;0,1,0)</f>
        <v>0</v>
      </c>
      <c r="H1513">
        <f>IF(COUNTIFS('United Data'!$A$3:$A$3390,H$1,'United Data'!$C$3:$C$3390,$A1513)&gt;0,1,0)</f>
        <v>0</v>
      </c>
      <c r="I1513">
        <f>IF(COUNTIFS('United Data'!$A$3:$A$3390,I$1,'United Data'!$C$3:$C$3390,$A1513)&gt;0,1,0)</f>
        <v>0</v>
      </c>
      <c r="J1513">
        <f>IF(COUNTIFS('United Data'!$A$3:$A$3390,J$1,'United Data'!$C$3:$C$3390,$A1513)&gt;0,1,0)</f>
        <v>0</v>
      </c>
      <c r="K1513">
        <f>IF(COUNTIFS('United Data'!$A$3:$A$3390,K$1,'United Data'!$C$3:$C$3390,$A1513)&gt;0,1,0)</f>
        <v>0</v>
      </c>
      <c r="L1513">
        <f>IF(COUNTIFS('United Data'!$A$3:$A$3390,L$1,'United Data'!$C$3:$C$3390,$A1513)&gt;0,1,0)</f>
        <v>0</v>
      </c>
      <c r="M1513">
        <f>IF(COUNTIFS('United Data'!$A$3:$A$3390,M$1,'United Data'!$C$3:$C$3390,$A1513)&gt;0,1,0)</f>
        <v>0</v>
      </c>
      <c r="N1513">
        <f>IF(COUNTIFS('United Data'!$A$3:$A$3390,N$1,'United Data'!$C$3:$C$3390,$A1513)&gt;0,1,0)</f>
        <v>0</v>
      </c>
      <c r="O1513">
        <f>IF(COUNTIFS('United Data'!$A$3:$A$3390,O$1,'United Data'!$C$3:$C$3390,$A1513)&gt;0,1,0)</f>
        <v>0</v>
      </c>
      <c r="P1513">
        <f>IF(COUNTIFS('United Data'!$A$3:$A$3390,P$1,'United Data'!$C$3:$C$3390,$A1513)&gt;0,1,0)</f>
        <v>0</v>
      </c>
      <c r="Q1513">
        <f>IF(COUNTIFS('United Data'!$A$3:$A$3390,Q$1,'United Data'!$C$3:$C$3390,$A1513)&gt;0,1,0)</f>
        <v>0</v>
      </c>
      <c r="R1513">
        <f>IF(COUNTIFS('United Data'!$A$3:$A$3390,R$1,'United Data'!$C$3:$C$3390,$A1513)&gt;0,1,0)</f>
        <v>0</v>
      </c>
      <c r="S1513">
        <f t="shared" si="46"/>
        <v>1</v>
      </c>
      <c r="T1513">
        <f t="shared" si="47"/>
        <v>1</v>
      </c>
    </row>
    <row r="1514" spans="1:20" x14ac:dyDescent="0.2">
      <c r="A1514" t="s">
        <v>1792</v>
      </c>
      <c r="B1514">
        <f>IF(COUNTIFS('United Data'!$A$3:$A$3390,B$1,'United Data'!$C$3:$C$3390,$A1514)&gt;0,1,0)</f>
        <v>0</v>
      </c>
      <c r="C1514">
        <f>IF(COUNTIFS('United Data'!$A$3:$A$3390,C$1,'United Data'!$C$3:$C$3390,$A1514)&gt;0,1,0)</f>
        <v>0</v>
      </c>
      <c r="D1514">
        <f>IF(COUNTIFS('United Data'!$A$3:$A$3390,D$1,'United Data'!$C$3:$C$3390,$A1514)&gt;0,1,0)</f>
        <v>0</v>
      </c>
      <c r="E1514">
        <f>IF(COUNTIFS('United Data'!$A$3:$A$3390,E$1,'United Data'!$C$3:$C$3390,$A1514)&gt;0,1,0)</f>
        <v>1</v>
      </c>
      <c r="F1514">
        <f>IF(COUNTIFS('United Data'!$A$3:$A$3390,F$1,'United Data'!$C$3:$C$3390,$A1514)&gt;0,1,0)</f>
        <v>0</v>
      </c>
      <c r="G1514">
        <f>IF(COUNTIFS('United Data'!$A$3:$A$3390,G$1,'United Data'!$C$3:$C$3390,$A1514)&gt;0,1,0)</f>
        <v>0</v>
      </c>
      <c r="H1514">
        <f>IF(COUNTIFS('United Data'!$A$3:$A$3390,H$1,'United Data'!$C$3:$C$3390,$A1514)&gt;0,1,0)</f>
        <v>0</v>
      </c>
      <c r="I1514">
        <f>IF(COUNTIFS('United Data'!$A$3:$A$3390,I$1,'United Data'!$C$3:$C$3390,$A1514)&gt;0,1,0)</f>
        <v>0</v>
      </c>
      <c r="J1514">
        <f>IF(COUNTIFS('United Data'!$A$3:$A$3390,J$1,'United Data'!$C$3:$C$3390,$A1514)&gt;0,1,0)</f>
        <v>0</v>
      </c>
      <c r="K1514">
        <f>IF(COUNTIFS('United Data'!$A$3:$A$3390,K$1,'United Data'!$C$3:$C$3390,$A1514)&gt;0,1,0)</f>
        <v>0</v>
      </c>
      <c r="L1514">
        <f>IF(COUNTIFS('United Data'!$A$3:$A$3390,L$1,'United Data'!$C$3:$C$3390,$A1514)&gt;0,1,0)</f>
        <v>0</v>
      </c>
      <c r="M1514">
        <f>IF(COUNTIFS('United Data'!$A$3:$A$3390,M$1,'United Data'!$C$3:$C$3390,$A1514)&gt;0,1,0)</f>
        <v>0</v>
      </c>
      <c r="N1514">
        <f>IF(COUNTIFS('United Data'!$A$3:$A$3390,N$1,'United Data'!$C$3:$C$3390,$A1514)&gt;0,1,0)</f>
        <v>0</v>
      </c>
      <c r="O1514">
        <f>IF(COUNTIFS('United Data'!$A$3:$A$3390,O$1,'United Data'!$C$3:$C$3390,$A1514)&gt;0,1,0)</f>
        <v>0</v>
      </c>
      <c r="P1514">
        <f>IF(COUNTIFS('United Data'!$A$3:$A$3390,P$1,'United Data'!$C$3:$C$3390,$A1514)&gt;0,1,0)</f>
        <v>0</v>
      </c>
      <c r="Q1514">
        <f>IF(COUNTIFS('United Data'!$A$3:$A$3390,Q$1,'United Data'!$C$3:$C$3390,$A1514)&gt;0,1,0)</f>
        <v>0</v>
      </c>
      <c r="R1514">
        <f>IF(COUNTIFS('United Data'!$A$3:$A$3390,R$1,'United Data'!$C$3:$C$3390,$A1514)&gt;0,1,0)</f>
        <v>0</v>
      </c>
      <c r="S1514">
        <f t="shared" si="46"/>
        <v>1</v>
      </c>
      <c r="T1514">
        <f t="shared" si="47"/>
        <v>1</v>
      </c>
    </row>
    <row r="1515" spans="1:20" x14ac:dyDescent="0.2">
      <c r="A1515" t="s">
        <v>1793</v>
      </c>
      <c r="B1515">
        <f>IF(COUNTIFS('United Data'!$A$3:$A$3390,B$1,'United Data'!$C$3:$C$3390,$A1515)&gt;0,1,0)</f>
        <v>0</v>
      </c>
      <c r="C1515">
        <f>IF(COUNTIFS('United Data'!$A$3:$A$3390,C$1,'United Data'!$C$3:$C$3390,$A1515)&gt;0,1,0)</f>
        <v>0</v>
      </c>
      <c r="D1515">
        <f>IF(COUNTIFS('United Data'!$A$3:$A$3390,D$1,'United Data'!$C$3:$C$3390,$A1515)&gt;0,1,0)</f>
        <v>0</v>
      </c>
      <c r="E1515">
        <f>IF(COUNTIFS('United Data'!$A$3:$A$3390,E$1,'United Data'!$C$3:$C$3390,$A1515)&gt;0,1,0)</f>
        <v>1</v>
      </c>
      <c r="F1515">
        <f>IF(COUNTIFS('United Data'!$A$3:$A$3390,F$1,'United Data'!$C$3:$C$3390,$A1515)&gt;0,1,0)</f>
        <v>0</v>
      </c>
      <c r="G1515">
        <f>IF(COUNTIFS('United Data'!$A$3:$A$3390,G$1,'United Data'!$C$3:$C$3390,$A1515)&gt;0,1,0)</f>
        <v>0</v>
      </c>
      <c r="H1515">
        <f>IF(COUNTIFS('United Data'!$A$3:$A$3390,H$1,'United Data'!$C$3:$C$3390,$A1515)&gt;0,1,0)</f>
        <v>0</v>
      </c>
      <c r="I1515">
        <f>IF(COUNTIFS('United Data'!$A$3:$A$3390,I$1,'United Data'!$C$3:$C$3390,$A1515)&gt;0,1,0)</f>
        <v>0</v>
      </c>
      <c r="J1515">
        <f>IF(COUNTIFS('United Data'!$A$3:$A$3390,J$1,'United Data'!$C$3:$C$3390,$A1515)&gt;0,1,0)</f>
        <v>0</v>
      </c>
      <c r="K1515">
        <f>IF(COUNTIFS('United Data'!$A$3:$A$3390,K$1,'United Data'!$C$3:$C$3390,$A1515)&gt;0,1,0)</f>
        <v>0</v>
      </c>
      <c r="L1515">
        <f>IF(COUNTIFS('United Data'!$A$3:$A$3390,L$1,'United Data'!$C$3:$C$3390,$A1515)&gt;0,1,0)</f>
        <v>0</v>
      </c>
      <c r="M1515">
        <f>IF(COUNTIFS('United Data'!$A$3:$A$3390,M$1,'United Data'!$C$3:$C$3390,$A1515)&gt;0,1,0)</f>
        <v>0</v>
      </c>
      <c r="N1515">
        <f>IF(COUNTIFS('United Data'!$A$3:$A$3390,N$1,'United Data'!$C$3:$C$3390,$A1515)&gt;0,1,0)</f>
        <v>0</v>
      </c>
      <c r="O1515">
        <f>IF(COUNTIFS('United Data'!$A$3:$A$3390,O$1,'United Data'!$C$3:$C$3390,$A1515)&gt;0,1,0)</f>
        <v>0</v>
      </c>
      <c r="P1515">
        <f>IF(COUNTIFS('United Data'!$A$3:$A$3390,P$1,'United Data'!$C$3:$C$3390,$A1515)&gt;0,1,0)</f>
        <v>0</v>
      </c>
      <c r="Q1515">
        <f>IF(COUNTIFS('United Data'!$A$3:$A$3390,Q$1,'United Data'!$C$3:$C$3390,$A1515)&gt;0,1,0)</f>
        <v>0</v>
      </c>
      <c r="R1515">
        <f>IF(COUNTIFS('United Data'!$A$3:$A$3390,R$1,'United Data'!$C$3:$C$3390,$A1515)&gt;0,1,0)</f>
        <v>0</v>
      </c>
      <c r="S1515">
        <f t="shared" si="46"/>
        <v>1</v>
      </c>
      <c r="T1515">
        <f t="shared" si="47"/>
        <v>1</v>
      </c>
    </row>
    <row r="1516" spans="1:20" x14ac:dyDescent="0.2">
      <c r="A1516" t="s">
        <v>1794</v>
      </c>
      <c r="B1516">
        <f>IF(COUNTIFS('United Data'!$A$3:$A$3390,B$1,'United Data'!$C$3:$C$3390,$A1516)&gt;0,1,0)</f>
        <v>0</v>
      </c>
      <c r="C1516">
        <f>IF(COUNTIFS('United Data'!$A$3:$A$3390,C$1,'United Data'!$C$3:$C$3390,$A1516)&gt;0,1,0)</f>
        <v>0</v>
      </c>
      <c r="D1516">
        <f>IF(COUNTIFS('United Data'!$A$3:$A$3390,D$1,'United Data'!$C$3:$C$3390,$A1516)&gt;0,1,0)</f>
        <v>0</v>
      </c>
      <c r="E1516">
        <f>IF(COUNTIFS('United Data'!$A$3:$A$3390,E$1,'United Data'!$C$3:$C$3390,$A1516)&gt;0,1,0)</f>
        <v>1</v>
      </c>
      <c r="F1516">
        <f>IF(COUNTIFS('United Data'!$A$3:$A$3390,F$1,'United Data'!$C$3:$C$3390,$A1516)&gt;0,1,0)</f>
        <v>0</v>
      </c>
      <c r="G1516">
        <f>IF(COUNTIFS('United Data'!$A$3:$A$3390,G$1,'United Data'!$C$3:$C$3390,$A1516)&gt;0,1,0)</f>
        <v>0</v>
      </c>
      <c r="H1516">
        <f>IF(COUNTIFS('United Data'!$A$3:$A$3390,H$1,'United Data'!$C$3:$C$3390,$A1516)&gt;0,1,0)</f>
        <v>0</v>
      </c>
      <c r="I1516">
        <f>IF(COUNTIFS('United Data'!$A$3:$A$3390,I$1,'United Data'!$C$3:$C$3390,$A1516)&gt;0,1,0)</f>
        <v>0</v>
      </c>
      <c r="J1516">
        <f>IF(COUNTIFS('United Data'!$A$3:$A$3390,J$1,'United Data'!$C$3:$C$3390,$A1516)&gt;0,1,0)</f>
        <v>0</v>
      </c>
      <c r="K1516">
        <f>IF(COUNTIFS('United Data'!$A$3:$A$3390,K$1,'United Data'!$C$3:$C$3390,$A1516)&gt;0,1,0)</f>
        <v>0</v>
      </c>
      <c r="L1516">
        <f>IF(COUNTIFS('United Data'!$A$3:$A$3390,L$1,'United Data'!$C$3:$C$3390,$A1516)&gt;0,1,0)</f>
        <v>0</v>
      </c>
      <c r="M1516">
        <f>IF(COUNTIFS('United Data'!$A$3:$A$3390,M$1,'United Data'!$C$3:$C$3390,$A1516)&gt;0,1,0)</f>
        <v>0</v>
      </c>
      <c r="N1516">
        <f>IF(COUNTIFS('United Data'!$A$3:$A$3390,N$1,'United Data'!$C$3:$C$3390,$A1516)&gt;0,1,0)</f>
        <v>0</v>
      </c>
      <c r="O1516">
        <f>IF(COUNTIFS('United Data'!$A$3:$A$3390,O$1,'United Data'!$C$3:$C$3390,$A1516)&gt;0,1,0)</f>
        <v>0</v>
      </c>
      <c r="P1516">
        <f>IF(COUNTIFS('United Data'!$A$3:$A$3390,P$1,'United Data'!$C$3:$C$3390,$A1516)&gt;0,1,0)</f>
        <v>0</v>
      </c>
      <c r="Q1516">
        <f>IF(COUNTIFS('United Data'!$A$3:$A$3390,Q$1,'United Data'!$C$3:$C$3390,$A1516)&gt;0,1,0)</f>
        <v>0</v>
      </c>
      <c r="R1516">
        <f>IF(COUNTIFS('United Data'!$A$3:$A$3390,R$1,'United Data'!$C$3:$C$3390,$A1516)&gt;0,1,0)</f>
        <v>0</v>
      </c>
      <c r="S1516">
        <f t="shared" si="46"/>
        <v>1</v>
      </c>
      <c r="T1516">
        <f t="shared" si="47"/>
        <v>1</v>
      </c>
    </row>
    <row r="1517" spans="1:20" x14ac:dyDescent="0.2">
      <c r="A1517" t="s">
        <v>1795</v>
      </c>
      <c r="B1517">
        <f>IF(COUNTIFS('United Data'!$A$3:$A$3390,B$1,'United Data'!$C$3:$C$3390,$A1517)&gt;0,1,0)</f>
        <v>0</v>
      </c>
      <c r="C1517">
        <f>IF(COUNTIFS('United Data'!$A$3:$A$3390,C$1,'United Data'!$C$3:$C$3390,$A1517)&gt;0,1,0)</f>
        <v>0</v>
      </c>
      <c r="D1517">
        <f>IF(COUNTIFS('United Data'!$A$3:$A$3390,D$1,'United Data'!$C$3:$C$3390,$A1517)&gt;0,1,0)</f>
        <v>0</v>
      </c>
      <c r="E1517">
        <f>IF(COUNTIFS('United Data'!$A$3:$A$3390,E$1,'United Data'!$C$3:$C$3390,$A1517)&gt;0,1,0)</f>
        <v>1</v>
      </c>
      <c r="F1517">
        <f>IF(COUNTIFS('United Data'!$A$3:$A$3390,F$1,'United Data'!$C$3:$C$3390,$A1517)&gt;0,1,0)</f>
        <v>0</v>
      </c>
      <c r="G1517">
        <f>IF(COUNTIFS('United Data'!$A$3:$A$3390,G$1,'United Data'!$C$3:$C$3390,$A1517)&gt;0,1,0)</f>
        <v>0</v>
      </c>
      <c r="H1517">
        <f>IF(COUNTIFS('United Data'!$A$3:$A$3390,H$1,'United Data'!$C$3:$C$3390,$A1517)&gt;0,1,0)</f>
        <v>0</v>
      </c>
      <c r="I1517">
        <f>IF(COUNTIFS('United Data'!$A$3:$A$3390,I$1,'United Data'!$C$3:$C$3390,$A1517)&gt;0,1,0)</f>
        <v>0</v>
      </c>
      <c r="J1517">
        <f>IF(COUNTIFS('United Data'!$A$3:$A$3390,J$1,'United Data'!$C$3:$C$3390,$A1517)&gt;0,1,0)</f>
        <v>0</v>
      </c>
      <c r="K1517">
        <f>IF(COUNTIFS('United Data'!$A$3:$A$3390,K$1,'United Data'!$C$3:$C$3390,$A1517)&gt;0,1,0)</f>
        <v>0</v>
      </c>
      <c r="L1517">
        <f>IF(COUNTIFS('United Data'!$A$3:$A$3390,L$1,'United Data'!$C$3:$C$3390,$A1517)&gt;0,1,0)</f>
        <v>0</v>
      </c>
      <c r="M1517">
        <f>IF(COUNTIFS('United Data'!$A$3:$A$3390,M$1,'United Data'!$C$3:$C$3390,$A1517)&gt;0,1,0)</f>
        <v>0</v>
      </c>
      <c r="N1517">
        <f>IF(COUNTIFS('United Data'!$A$3:$A$3390,N$1,'United Data'!$C$3:$C$3390,$A1517)&gt;0,1,0)</f>
        <v>0</v>
      </c>
      <c r="O1517">
        <f>IF(COUNTIFS('United Data'!$A$3:$A$3390,O$1,'United Data'!$C$3:$C$3390,$A1517)&gt;0,1,0)</f>
        <v>0</v>
      </c>
      <c r="P1517">
        <f>IF(COUNTIFS('United Data'!$A$3:$A$3390,P$1,'United Data'!$C$3:$C$3390,$A1517)&gt;0,1,0)</f>
        <v>0</v>
      </c>
      <c r="Q1517">
        <f>IF(COUNTIFS('United Data'!$A$3:$A$3390,Q$1,'United Data'!$C$3:$C$3390,$A1517)&gt;0,1,0)</f>
        <v>0</v>
      </c>
      <c r="R1517">
        <f>IF(COUNTIFS('United Data'!$A$3:$A$3390,R$1,'United Data'!$C$3:$C$3390,$A1517)&gt;0,1,0)</f>
        <v>0</v>
      </c>
      <c r="S1517">
        <f t="shared" si="46"/>
        <v>1</v>
      </c>
      <c r="T1517">
        <f t="shared" si="47"/>
        <v>1</v>
      </c>
    </row>
    <row r="1518" spans="1:20" x14ac:dyDescent="0.2">
      <c r="A1518" t="s">
        <v>2088</v>
      </c>
      <c r="B1518">
        <f>IF(COUNTIFS('United Data'!$A$3:$A$3390,B$1,'United Data'!$C$3:$C$3390,$A1518)&gt;0,1,0)</f>
        <v>0</v>
      </c>
      <c r="C1518">
        <f>IF(COUNTIFS('United Data'!$A$3:$A$3390,C$1,'United Data'!$C$3:$C$3390,$A1518)&gt;0,1,0)</f>
        <v>0</v>
      </c>
      <c r="D1518">
        <f>IF(COUNTIFS('United Data'!$A$3:$A$3390,D$1,'United Data'!$C$3:$C$3390,$A1518)&gt;0,1,0)</f>
        <v>0</v>
      </c>
      <c r="E1518">
        <f>IF(COUNTIFS('United Data'!$A$3:$A$3390,E$1,'United Data'!$C$3:$C$3390,$A1518)&gt;0,1,0)</f>
        <v>1</v>
      </c>
      <c r="F1518">
        <f>IF(COUNTIFS('United Data'!$A$3:$A$3390,F$1,'United Data'!$C$3:$C$3390,$A1518)&gt;0,1,0)</f>
        <v>0</v>
      </c>
      <c r="G1518">
        <f>IF(COUNTIFS('United Data'!$A$3:$A$3390,G$1,'United Data'!$C$3:$C$3390,$A1518)&gt;0,1,0)</f>
        <v>0</v>
      </c>
      <c r="H1518">
        <f>IF(COUNTIFS('United Data'!$A$3:$A$3390,H$1,'United Data'!$C$3:$C$3390,$A1518)&gt;0,1,0)</f>
        <v>0</v>
      </c>
      <c r="I1518">
        <f>IF(COUNTIFS('United Data'!$A$3:$A$3390,I$1,'United Data'!$C$3:$C$3390,$A1518)&gt;0,1,0)</f>
        <v>0</v>
      </c>
      <c r="J1518">
        <f>IF(COUNTIFS('United Data'!$A$3:$A$3390,J$1,'United Data'!$C$3:$C$3390,$A1518)&gt;0,1,0)</f>
        <v>0</v>
      </c>
      <c r="K1518">
        <f>IF(COUNTIFS('United Data'!$A$3:$A$3390,K$1,'United Data'!$C$3:$C$3390,$A1518)&gt;0,1,0)</f>
        <v>0</v>
      </c>
      <c r="L1518">
        <f>IF(COUNTIFS('United Data'!$A$3:$A$3390,L$1,'United Data'!$C$3:$C$3390,$A1518)&gt;0,1,0)</f>
        <v>0</v>
      </c>
      <c r="M1518">
        <f>IF(COUNTIFS('United Data'!$A$3:$A$3390,M$1,'United Data'!$C$3:$C$3390,$A1518)&gt;0,1,0)</f>
        <v>0</v>
      </c>
      <c r="N1518">
        <f>IF(COUNTIFS('United Data'!$A$3:$A$3390,N$1,'United Data'!$C$3:$C$3390,$A1518)&gt;0,1,0)</f>
        <v>0</v>
      </c>
      <c r="O1518">
        <f>IF(COUNTIFS('United Data'!$A$3:$A$3390,O$1,'United Data'!$C$3:$C$3390,$A1518)&gt;0,1,0)</f>
        <v>0</v>
      </c>
      <c r="P1518">
        <f>IF(COUNTIFS('United Data'!$A$3:$A$3390,P$1,'United Data'!$C$3:$C$3390,$A1518)&gt;0,1,0)</f>
        <v>0</v>
      </c>
      <c r="Q1518">
        <f>IF(COUNTIFS('United Data'!$A$3:$A$3390,Q$1,'United Data'!$C$3:$C$3390,$A1518)&gt;0,1,0)</f>
        <v>0</v>
      </c>
      <c r="R1518">
        <f>IF(COUNTIFS('United Data'!$A$3:$A$3390,R$1,'United Data'!$C$3:$C$3390,$A1518)&gt;0,1,0)</f>
        <v>0</v>
      </c>
      <c r="S1518">
        <f t="shared" si="46"/>
        <v>1</v>
      </c>
      <c r="T1518">
        <f t="shared" si="47"/>
        <v>1</v>
      </c>
    </row>
    <row r="1519" spans="1:20" x14ac:dyDescent="0.2">
      <c r="A1519" t="s">
        <v>1796</v>
      </c>
      <c r="B1519">
        <f>IF(COUNTIFS('United Data'!$A$3:$A$3390,B$1,'United Data'!$C$3:$C$3390,$A1519)&gt;0,1,0)</f>
        <v>0</v>
      </c>
      <c r="C1519">
        <f>IF(COUNTIFS('United Data'!$A$3:$A$3390,C$1,'United Data'!$C$3:$C$3390,$A1519)&gt;0,1,0)</f>
        <v>0</v>
      </c>
      <c r="D1519">
        <f>IF(COUNTIFS('United Data'!$A$3:$A$3390,D$1,'United Data'!$C$3:$C$3390,$A1519)&gt;0,1,0)</f>
        <v>0</v>
      </c>
      <c r="E1519">
        <f>IF(COUNTIFS('United Data'!$A$3:$A$3390,E$1,'United Data'!$C$3:$C$3390,$A1519)&gt;0,1,0)</f>
        <v>1</v>
      </c>
      <c r="F1519">
        <f>IF(COUNTIFS('United Data'!$A$3:$A$3390,F$1,'United Data'!$C$3:$C$3390,$A1519)&gt;0,1,0)</f>
        <v>1</v>
      </c>
      <c r="G1519">
        <f>IF(COUNTIFS('United Data'!$A$3:$A$3390,G$1,'United Data'!$C$3:$C$3390,$A1519)&gt;0,1,0)</f>
        <v>1</v>
      </c>
      <c r="H1519">
        <f>IF(COUNTIFS('United Data'!$A$3:$A$3390,H$1,'United Data'!$C$3:$C$3390,$A1519)&gt;0,1,0)</f>
        <v>0</v>
      </c>
      <c r="I1519">
        <f>IF(COUNTIFS('United Data'!$A$3:$A$3390,I$1,'United Data'!$C$3:$C$3390,$A1519)&gt;0,1,0)</f>
        <v>1</v>
      </c>
      <c r="J1519">
        <f>IF(COUNTIFS('United Data'!$A$3:$A$3390,J$1,'United Data'!$C$3:$C$3390,$A1519)&gt;0,1,0)</f>
        <v>1</v>
      </c>
      <c r="K1519">
        <f>IF(COUNTIFS('United Data'!$A$3:$A$3390,K$1,'United Data'!$C$3:$C$3390,$A1519)&gt;0,1,0)</f>
        <v>1</v>
      </c>
      <c r="L1519">
        <f>IF(COUNTIFS('United Data'!$A$3:$A$3390,L$1,'United Data'!$C$3:$C$3390,$A1519)&gt;0,1,0)</f>
        <v>1</v>
      </c>
      <c r="M1519">
        <f>IF(COUNTIFS('United Data'!$A$3:$A$3390,M$1,'United Data'!$C$3:$C$3390,$A1519)&gt;0,1,0)</f>
        <v>0</v>
      </c>
      <c r="N1519">
        <f>IF(COUNTIFS('United Data'!$A$3:$A$3390,N$1,'United Data'!$C$3:$C$3390,$A1519)&gt;0,1,0)</f>
        <v>0</v>
      </c>
      <c r="O1519">
        <f>IF(COUNTIFS('United Data'!$A$3:$A$3390,O$1,'United Data'!$C$3:$C$3390,$A1519)&gt;0,1,0)</f>
        <v>0</v>
      </c>
      <c r="P1519">
        <f>IF(COUNTIFS('United Data'!$A$3:$A$3390,P$1,'United Data'!$C$3:$C$3390,$A1519)&gt;0,1,0)</f>
        <v>0</v>
      </c>
      <c r="Q1519">
        <f>IF(COUNTIFS('United Data'!$A$3:$A$3390,Q$1,'United Data'!$C$3:$C$3390,$A1519)&gt;0,1,0)</f>
        <v>0</v>
      </c>
      <c r="R1519">
        <f>IF(COUNTIFS('United Data'!$A$3:$A$3390,R$1,'United Data'!$C$3:$C$3390,$A1519)&gt;0,1,0)</f>
        <v>0</v>
      </c>
      <c r="S1519">
        <f t="shared" si="46"/>
        <v>7</v>
      </c>
      <c r="T1519">
        <f t="shared" si="47"/>
        <v>2</v>
      </c>
    </row>
    <row r="1520" spans="1:20" x14ac:dyDescent="0.2">
      <c r="A1520" t="s">
        <v>1797</v>
      </c>
      <c r="B1520">
        <f>IF(COUNTIFS('United Data'!$A$3:$A$3390,B$1,'United Data'!$C$3:$C$3390,$A1520)&gt;0,1,0)</f>
        <v>0</v>
      </c>
      <c r="C1520">
        <f>IF(COUNTIFS('United Data'!$A$3:$A$3390,C$1,'United Data'!$C$3:$C$3390,$A1520)&gt;0,1,0)</f>
        <v>0</v>
      </c>
      <c r="D1520">
        <f>IF(COUNTIFS('United Data'!$A$3:$A$3390,D$1,'United Data'!$C$3:$C$3390,$A1520)&gt;0,1,0)</f>
        <v>0</v>
      </c>
      <c r="E1520">
        <f>IF(COUNTIFS('United Data'!$A$3:$A$3390,E$1,'United Data'!$C$3:$C$3390,$A1520)&gt;0,1,0)</f>
        <v>1</v>
      </c>
      <c r="F1520">
        <f>IF(COUNTIFS('United Data'!$A$3:$A$3390,F$1,'United Data'!$C$3:$C$3390,$A1520)&gt;0,1,0)</f>
        <v>0</v>
      </c>
      <c r="G1520">
        <f>IF(COUNTIFS('United Data'!$A$3:$A$3390,G$1,'United Data'!$C$3:$C$3390,$A1520)&gt;0,1,0)</f>
        <v>0</v>
      </c>
      <c r="H1520">
        <f>IF(COUNTIFS('United Data'!$A$3:$A$3390,H$1,'United Data'!$C$3:$C$3390,$A1520)&gt;0,1,0)</f>
        <v>0</v>
      </c>
      <c r="I1520">
        <f>IF(COUNTIFS('United Data'!$A$3:$A$3390,I$1,'United Data'!$C$3:$C$3390,$A1520)&gt;0,1,0)</f>
        <v>0</v>
      </c>
      <c r="J1520">
        <f>IF(COUNTIFS('United Data'!$A$3:$A$3390,J$1,'United Data'!$C$3:$C$3390,$A1520)&gt;0,1,0)</f>
        <v>0</v>
      </c>
      <c r="K1520">
        <f>IF(COUNTIFS('United Data'!$A$3:$A$3390,K$1,'United Data'!$C$3:$C$3390,$A1520)&gt;0,1,0)</f>
        <v>0</v>
      </c>
      <c r="L1520">
        <f>IF(COUNTIFS('United Data'!$A$3:$A$3390,L$1,'United Data'!$C$3:$C$3390,$A1520)&gt;0,1,0)</f>
        <v>0</v>
      </c>
      <c r="M1520">
        <f>IF(COUNTIFS('United Data'!$A$3:$A$3390,M$1,'United Data'!$C$3:$C$3390,$A1520)&gt;0,1,0)</f>
        <v>0</v>
      </c>
      <c r="N1520">
        <f>IF(COUNTIFS('United Data'!$A$3:$A$3390,N$1,'United Data'!$C$3:$C$3390,$A1520)&gt;0,1,0)</f>
        <v>0</v>
      </c>
      <c r="O1520">
        <f>IF(COUNTIFS('United Data'!$A$3:$A$3390,O$1,'United Data'!$C$3:$C$3390,$A1520)&gt;0,1,0)</f>
        <v>0</v>
      </c>
      <c r="P1520">
        <f>IF(COUNTIFS('United Data'!$A$3:$A$3390,P$1,'United Data'!$C$3:$C$3390,$A1520)&gt;0,1,0)</f>
        <v>0</v>
      </c>
      <c r="Q1520">
        <f>IF(COUNTIFS('United Data'!$A$3:$A$3390,Q$1,'United Data'!$C$3:$C$3390,$A1520)&gt;0,1,0)</f>
        <v>0</v>
      </c>
      <c r="R1520">
        <f>IF(COUNTIFS('United Data'!$A$3:$A$3390,R$1,'United Data'!$C$3:$C$3390,$A1520)&gt;0,1,0)</f>
        <v>0</v>
      </c>
      <c r="S1520">
        <f t="shared" si="46"/>
        <v>1</v>
      </c>
      <c r="T1520">
        <f t="shared" si="47"/>
        <v>1</v>
      </c>
    </row>
    <row r="1521" spans="1:20" x14ac:dyDescent="0.2">
      <c r="A1521" t="s">
        <v>1798</v>
      </c>
      <c r="B1521">
        <f>IF(COUNTIFS('United Data'!$A$3:$A$3390,B$1,'United Data'!$C$3:$C$3390,$A1521)&gt;0,1,0)</f>
        <v>0</v>
      </c>
      <c r="C1521">
        <f>IF(COUNTIFS('United Data'!$A$3:$A$3390,C$1,'United Data'!$C$3:$C$3390,$A1521)&gt;0,1,0)</f>
        <v>0</v>
      </c>
      <c r="D1521">
        <f>IF(COUNTIFS('United Data'!$A$3:$A$3390,D$1,'United Data'!$C$3:$C$3390,$A1521)&gt;0,1,0)</f>
        <v>0</v>
      </c>
      <c r="E1521">
        <f>IF(COUNTIFS('United Data'!$A$3:$A$3390,E$1,'United Data'!$C$3:$C$3390,$A1521)&gt;0,1,0)</f>
        <v>0</v>
      </c>
      <c r="F1521">
        <f>IF(COUNTIFS('United Data'!$A$3:$A$3390,F$1,'United Data'!$C$3:$C$3390,$A1521)&gt;0,1,0)</f>
        <v>1</v>
      </c>
      <c r="G1521">
        <f>IF(COUNTIFS('United Data'!$A$3:$A$3390,G$1,'United Data'!$C$3:$C$3390,$A1521)&gt;0,1,0)</f>
        <v>0</v>
      </c>
      <c r="H1521">
        <f>IF(COUNTIFS('United Data'!$A$3:$A$3390,H$1,'United Data'!$C$3:$C$3390,$A1521)&gt;0,1,0)</f>
        <v>0</v>
      </c>
      <c r="I1521">
        <f>IF(COUNTIFS('United Data'!$A$3:$A$3390,I$1,'United Data'!$C$3:$C$3390,$A1521)&gt;0,1,0)</f>
        <v>1</v>
      </c>
      <c r="J1521">
        <f>IF(COUNTIFS('United Data'!$A$3:$A$3390,J$1,'United Data'!$C$3:$C$3390,$A1521)&gt;0,1,0)</f>
        <v>0</v>
      </c>
      <c r="K1521">
        <f>IF(COUNTIFS('United Data'!$A$3:$A$3390,K$1,'United Data'!$C$3:$C$3390,$A1521)&gt;0,1,0)</f>
        <v>0</v>
      </c>
      <c r="L1521">
        <f>IF(COUNTIFS('United Data'!$A$3:$A$3390,L$1,'United Data'!$C$3:$C$3390,$A1521)&gt;0,1,0)</f>
        <v>0</v>
      </c>
      <c r="M1521">
        <f>IF(COUNTIFS('United Data'!$A$3:$A$3390,M$1,'United Data'!$C$3:$C$3390,$A1521)&gt;0,1,0)</f>
        <v>0</v>
      </c>
      <c r="N1521">
        <f>IF(COUNTIFS('United Data'!$A$3:$A$3390,N$1,'United Data'!$C$3:$C$3390,$A1521)&gt;0,1,0)</f>
        <v>0</v>
      </c>
      <c r="O1521">
        <f>IF(COUNTIFS('United Data'!$A$3:$A$3390,O$1,'United Data'!$C$3:$C$3390,$A1521)&gt;0,1,0)</f>
        <v>0</v>
      </c>
      <c r="P1521">
        <f>IF(COUNTIFS('United Data'!$A$3:$A$3390,P$1,'United Data'!$C$3:$C$3390,$A1521)&gt;0,1,0)</f>
        <v>0</v>
      </c>
      <c r="Q1521">
        <f>IF(COUNTIFS('United Data'!$A$3:$A$3390,Q$1,'United Data'!$C$3:$C$3390,$A1521)&gt;0,1,0)</f>
        <v>0</v>
      </c>
      <c r="R1521">
        <f>IF(COUNTIFS('United Data'!$A$3:$A$3390,R$1,'United Data'!$C$3:$C$3390,$A1521)&gt;0,1,0)</f>
        <v>0</v>
      </c>
      <c r="S1521">
        <f t="shared" si="46"/>
        <v>2</v>
      </c>
      <c r="T1521">
        <f t="shared" si="47"/>
        <v>2</v>
      </c>
    </row>
    <row r="1522" spans="1:20" x14ac:dyDescent="0.2">
      <c r="A1522" t="s">
        <v>1799</v>
      </c>
      <c r="B1522">
        <f>IF(COUNTIFS('United Data'!$A$3:$A$3390,B$1,'United Data'!$C$3:$C$3390,$A1522)&gt;0,1,0)</f>
        <v>0</v>
      </c>
      <c r="C1522">
        <f>IF(COUNTIFS('United Data'!$A$3:$A$3390,C$1,'United Data'!$C$3:$C$3390,$A1522)&gt;0,1,0)</f>
        <v>0</v>
      </c>
      <c r="D1522">
        <f>IF(COUNTIFS('United Data'!$A$3:$A$3390,D$1,'United Data'!$C$3:$C$3390,$A1522)&gt;0,1,0)</f>
        <v>0</v>
      </c>
      <c r="E1522">
        <f>IF(COUNTIFS('United Data'!$A$3:$A$3390,E$1,'United Data'!$C$3:$C$3390,$A1522)&gt;0,1,0)</f>
        <v>0</v>
      </c>
      <c r="F1522">
        <f>IF(COUNTIFS('United Data'!$A$3:$A$3390,F$1,'United Data'!$C$3:$C$3390,$A1522)&gt;0,1,0)</f>
        <v>1</v>
      </c>
      <c r="G1522">
        <f>IF(COUNTIFS('United Data'!$A$3:$A$3390,G$1,'United Data'!$C$3:$C$3390,$A1522)&gt;0,1,0)</f>
        <v>0</v>
      </c>
      <c r="H1522">
        <f>IF(COUNTIFS('United Data'!$A$3:$A$3390,H$1,'United Data'!$C$3:$C$3390,$A1522)&gt;0,1,0)</f>
        <v>1</v>
      </c>
      <c r="I1522">
        <f>IF(COUNTIFS('United Data'!$A$3:$A$3390,I$1,'United Data'!$C$3:$C$3390,$A1522)&gt;0,1,0)</f>
        <v>1</v>
      </c>
      <c r="J1522">
        <f>IF(COUNTIFS('United Data'!$A$3:$A$3390,J$1,'United Data'!$C$3:$C$3390,$A1522)&gt;0,1,0)</f>
        <v>1</v>
      </c>
      <c r="K1522">
        <f>IF(COUNTIFS('United Data'!$A$3:$A$3390,K$1,'United Data'!$C$3:$C$3390,$A1522)&gt;0,1,0)</f>
        <v>1</v>
      </c>
      <c r="L1522">
        <f>IF(COUNTIFS('United Data'!$A$3:$A$3390,L$1,'United Data'!$C$3:$C$3390,$A1522)&gt;0,1,0)</f>
        <v>1</v>
      </c>
      <c r="M1522">
        <f>IF(COUNTIFS('United Data'!$A$3:$A$3390,M$1,'United Data'!$C$3:$C$3390,$A1522)&gt;0,1,0)</f>
        <v>1</v>
      </c>
      <c r="N1522">
        <f>IF(COUNTIFS('United Data'!$A$3:$A$3390,N$1,'United Data'!$C$3:$C$3390,$A1522)&gt;0,1,0)</f>
        <v>1</v>
      </c>
      <c r="O1522">
        <f>IF(COUNTIFS('United Data'!$A$3:$A$3390,O$1,'United Data'!$C$3:$C$3390,$A1522)&gt;0,1,0)</f>
        <v>1</v>
      </c>
      <c r="P1522">
        <f>IF(COUNTIFS('United Data'!$A$3:$A$3390,P$1,'United Data'!$C$3:$C$3390,$A1522)&gt;0,1,0)</f>
        <v>1</v>
      </c>
      <c r="Q1522">
        <f>IF(COUNTIFS('United Data'!$A$3:$A$3390,Q$1,'United Data'!$C$3:$C$3390,$A1522)&gt;0,1,0)</f>
        <v>1</v>
      </c>
      <c r="R1522">
        <f>IF(COUNTIFS('United Data'!$A$3:$A$3390,R$1,'United Data'!$C$3:$C$3390,$A1522)&gt;0,1,0)</f>
        <v>0</v>
      </c>
      <c r="S1522">
        <f t="shared" si="46"/>
        <v>11</v>
      </c>
      <c r="T1522">
        <f t="shared" si="47"/>
        <v>2</v>
      </c>
    </row>
    <row r="1523" spans="1:20" x14ac:dyDescent="0.2">
      <c r="A1523" t="s">
        <v>1800</v>
      </c>
      <c r="B1523">
        <f>IF(COUNTIFS('United Data'!$A$3:$A$3390,B$1,'United Data'!$C$3:$C$3390,$A1523)&gt;0,1,0)</f>
        <v>0</v>
      </c>
      <c r="C1523">
        <f>IF(COUNTIFS('United Data'!$A$3:$A$3390,C$1,'United Data'!$C$3:$C$3390,$A1523)&gt;0,1,0)</f>
        <v>0</v>
      </c>
      <c r="D1523">
        <f>IF(COUNTIFS('United Data'!$A$3:$A$3390,D$1,'United Data'!$C$3:$C$3390,$A1523)&gt;0,1,0)</f>
        <v>0</v>
      </c>
      <c r="E1523">
        <f>IF(COUNTIFS('United Data'!$A$3:$A$3390,E$1,'United Data'!$C$3:$C$3390,$A1523)&gt;0,1,0)</f>
        <v>0</v>
      </c>
      <c r="F1523">
        <f>IF(COUNTIFS('United Data'!$A$3:$A$3390,F$1,'United Data'!$C$3:$C$3390,$A1523)&gt;0,1,0)</f>
        <v>1</v>
      </c>
      <c r="G1523">
        <f>IF(COUNTIFS('United Data'!$A$3:$A$3390,G$1,'United Data'!$C$3:$C$3390,$A1523)&gt;0,1,0)</f>
        <v>0</v>
      </c>
      <c r="H1523">
        <f>IF(COUNTIFS('United Data'!$A$3:$A$3390,H$1,'United Data'!$C$3:$C$3390,$A1523)&gt;0,1,0)</f>
        <v>0</v>
      </c>
      <c r="I1523">
        <f>IF(COUNTIFS('United Data'!$A$3:$A$3390,I$1,'United Data'!$C$3:$C$3390,$A1523)&gt;0,1,0)</f>
        <v>0</v>
      </c>
      <c r="J1523">
        <f>IF(COUNTIFS('United Data'!$A$3:$A$3390,J$1,'United Data'!$C$3:$C$3390,$A1523)&gt;0,1,0)</f>
        <v>0</v>
      </c>
      <c r="K1523">
        <f>IF(COUNTIFS('United Data'!$A$3:$A$3390,K$1,'United Data'!$C$3:$C$3390,$A1523)&gt;0,1,0)</f>
        <v>0</v>
      </c>
      <c r="L1523">
        <f>IF(COUNTIFS('United Data'!$A$3:$A$3390,L$1,'United Data'!$C$3:$C$3390,$A1523)&gt;0,1,0)</f>
        <v>0</v>
      </c>
      <c r="M1523">
        <f>IF(COUNTIFS('United Data'!$A$3:$A$3390,M$1,'United Data'!$C$3:$C$3390,$A1523)&gt;0,1,0)</f>
        <v>0</v>
      </c>
      <c r="N1523">
        <f>IF(COUNTIFS('United Data'!$A$3:$A$3390,N$1,'United Data'!$C$3:$C$3390,$A1523)&gt;0,1,0)</f>
        <v>0</v>
      </c>
      <c r="O1523">
        <f>IF(COUNTIFS('United Data'!$A$3:$A$3390,O$1,'United Data'!$C$3:$C$3390,$A1523)&gt;0,1,0)</f>
        <v>0</v>
      </c>
      <c r="P1523">
        <f>IF(COUNTIFS('United Data'!$A$3:$A$3390,P$1,'United Data'!$C$3:$C$3390,$A1523)&gt;0,1,0)</f>
        <v>0</v>
      </c>
      <c r="Q1523">
        <f>IF(COUNTIFS('United Data'!$A$3:$A$3390,Q$1,'United Data'!$C$3:$C$3390,$A1523)&gt;0,1,0)</f>
        <v>0</v>
      </c>
      <c r="R1523">
        <f>IF(COUNTIFS('United Data'!$A$3:$A$3390,R$1,'United Data'!$C$3:$C$3390,$A1523)&gt;0,1,0)</f>
        <v>0</v>
      </c>
      <c r="S1523">
        <f t="shared" si="46"/>
        <v>1</v>
      </c>
      <c r="T1523">
        <f t="shared" si="47"/>
        <v>1</v>
      </c>
    </row>
    <row r="1524" spans="1:20" x14ac:dyDescent="0.2">
      <c r="A1524" t="s">
        <v>1801</v>
      </c>
      <c r="B1524">
        <f>IF(COUNTIFS('United Data'!$A$3:$A$3390,B$1,'United Data'!$C$3:$C$3390,$A1524)&gt;0,1,0)</f>
        <v>0</v>
      </c>
      <c r="C1524">
        <f>IF(COUNTIFS('United Data'!$A$3:$A$3390,C$1,'United Data'!$C$3:$C$3390,$A1524)&gt;0,1,0)</f>
        <v>0</v>
      </c>
      <c r="D1524">
        <f>IF(COUNTIFS('United Data'!$A$3:$A$3390,D$1,'United Data'!$C$3:$C$3390,$A1524)&gt;0,1,0)</f>
        <v>0</v>
      </c>
      <c r="E1524">
        <f>IF(COUNTIFS('United Data'!$A$3:$A$3390,E$1,'United Data'!$C$3:$C$3390,$A1524)&gt;0,1,0)</f>
        <v>0</v>
      </c>
      <c r="F1524">
        <f>IF(COUNTIFS('United Data'!$A$3:$A$3390,F$1,'United Data'!$C$3:$C$3390,$A1524)&gt;0,1,0)</f>
        <v>1</v>
      </c>
      <c r="G1524">
        <f>IF(COUNTIFS('United Data'!$A$3:$A$3390,G$1,'United Data'!$C$3:$C$3390,$A1524)&gt;0,1,0)</f>
        <v>0</v>
      </c>
      <c r="H1524">
        <f>IF(COUNTIFS('United Data'!$A$3:$A$3390,H$1,'United Data'!$C$3:$C$3390,$A1524)&gt;0,1,0)</f>
        <v>0</v>
      </c>
      <c r="I1524">
        <f>IF(COUNTIFS('United Data'!$A$3:$A$3390,I$1,'United Data'!$C$3:$C$3390,$A1524)&gt;0,1,0)</f>
        <v>0</v>
      </c>
      <c r="J1524">
        <f>IF(COUNTIFS('United Data'!$A$3:$A$3390,J$1,'United Data'!$C$3:$C$3390,$A1524)&gt;0,1,0)</f>
        <v>0</v>
      </c>
      <c r="K1524">
        <f>IF(COUNTIFS('United Data'!$A$3:$A$3390,K$1,'United Data'!$C$3:$C$3390,$A1524)&gt;0,1,0)</f>
        <v>0</v>
      </c>
      <c r="L1524">
        <f>IF(COUNTIFS('United Data'!$A$3:$A$3390,L$1,'United Data'!$C$3:$C$3390,$A1524)&gt;0,1,0)</f>
        <v>0</v>
      </c>
      <c r="M1524">
        <f>IF(COUNTIFS('United Data'!$A$3:$A$3390,M$1,'United Data'!$C$3:$C$3390,$A1524)&gt;0,1,0)</f>
        <v>0</v>
      </c>
      <c r="N1524">
        <f>IF(COUNTIFS('United Data'!$A$3:$A$3390,N$1,'United Data'!$C$3:$C$3390,$A1524)&gt;0,1,0)</f>
        <v>0</v>
      </c>
      <c r="O1524">
        <f>IF(COUNTIFS('United Data'!$A$3:$A$3390,O$1,'United Data'!$C$3:$C$3390,$A1524)&gt;0,1,0)</f>
        <v>0</v>
      </c>
      <c r="P1524">
        <f>IF(COUNTIFS('United Data'!$A$3:$A$3390,P$1,'United Data'!$C$3:$C$3390,$A1524)&gt;0,1,0)</f>
        <v>0</v>
      </c>
      <c r="Q1524">
        <f>IF(COUNTIFS('United Data'!$A$3:$A$3390,Q$1,'United Data'!$C$3:$C$3390,$A1524)&gt;0,1,0)</f>
        <v>0</v>
      </c>
      <c r="R1524">
        <f>IF(COUNTIFS('United Data'!$A$3:$A$3390,R$1,'United Data'!$C$3:$C$3390,$A1524)&gt;0,1,0)</f>
        <v>0</v>
      </c>
      <c r="S1524">
        <f t="shared" si="46"/>
        <v>1</v>
      </c>
      <c r="T1524">
        <f t="shared" si="47"/>
        <v>1</v>
      </c>
    </row>
    <row r="1525" spans="1:20" x14ac:dyDescent="0.2">
      <c r="A1525" t="s">
        <v>1802</v>
      </c>
      <c r="B1525">
        <f>IF(COUNTIFS('United Data'!$A$3:$A$3390,B$1,'United Data'!$C$3:$C$3390,$A1525)&gt;0,1,0)</f>
        <v>0</v>
      </c>
      <c r="C1525">
        <f>IF(COUNTIFS('United Data'!$A$3:$A$3390,C$1,'United Data'!$C$3:$C$3390,$A1525)&gt;0,1,0)</f>
        <v>0</v>
      </c>
      <c r="D1525">
        <f>IF(COUNTIFS('United Data'!$A$3:$A$3390,D$1,'United Data'!$C$3:$C$3390,$A1525)&gt;0,1,0)</f>
        <v>0</v>
      </c>
      <c r="E1525">
        <f>IF(COUNTIFS('United Data'!$A$3:$A$3390,E$1,'United Data'!$C$3:$C$3390,$A1525)&gt;0,1,0)</f>
        <v>0</v>
      </c>
      <c r="F1525">
        <f>IF(COUNTIFS('United Data'!$A$3:$A$3390,F$1,'United Data'!$C$3:$C$3390,$A1525)&gt;0,1,0)</f>
        <v>1</v>
      </c>
      <c r="G1525">
        <f>IF(COUNTIFS('United Data'!$A$3:$A$3390,G$1,'United Data'!$C$3:$C$3390,$A1525)&gt;0,1,0)</f>
        <v>1</v>
      </c>
      <c r="H1525">
        <f>IF(COUNTIFS('United Data'!$A$3:$A$3390,H$1,'United Data'!$C$3:$C$3390,$A1525)&gt;0,1,0)</f>
        <v>0</v>
      </c>
      <c r="I1525">
        <f>IF(COUNTIFS('United Data'!$A$3:$A$3390,I$1,'United Data'!$C$3:$C$3390,$A1525)&gt;0,1,0)</f>
        <v>1</v>
      </c>
      <c r="J1525">
        <f>IF(COUNTIFS('United Data'!$A$3:$A$3390,J$1,'United Data'!$C$3:$C$3390,$A1525)&gt;0,1,0)</f>
        <v>0</v>
      </c>
      <c r="K1525">
        <f>IF(COUNTIFS('United Data'!$A$3:$A$3390,K$1,'United Data'!$C$3:$C$3390,$A1525)&gt;0,1,0)</f>
        <v>0</v>
      </c>
      <c r="L1525">
        <f>IF(COUNTIFS('United Data'!$A$3:$A$3390,L$1,'United Data'!$C$3:$C$3390,$A1525)&gt;0,1,0)</f>
        <v>0</v>
      </c>
      <c r="M1525">
        <f>IF(COUNTIFS('United Data'!$A$3:$A$3390,M$1,'United Data'!$C$3:$C$3390,$A1525)&gt;0,1,0)</f>
        <v>0</v>
      </c>
      <c r="N1525">
        <f>IF(COUNTIFS('United Data'!$A$3:$A$3390,N$1,'United Data'!$C$3:$C$3390,$A1525)&gt;0,1,0)</f>
        <v>0</v>
      </c>
      <c r="O1525">
        <f>IF(COUNTIFS('United Data'!$A$3:$A$3390,O$1,'United Data'!$C$3:$C$3390,$A1525)&gt;0,1,0)</f>
        <v>0</v>
      </c>
      <c r="P1525">
        <f>IF(COUNTIFS('United Data'!$A$3:$A$3390,P$1,'United Data'!$C$3:$C$3390,$A1525)&gt;0,1,0)</f>
        <v>0</v>
      </c>
      <c r="Q1525">
        <f>IF(COUNTIFS('United Data'!$A$3:$A$3390,Q$1,'United Data'!$C$3:$C$3390,$A1525)&gt;0,1,0)</f>
        <v>0</v>
      </c>
      <c r="R1525">
        <f>IF(COUNTIFS('United Data'!$A$3:$A$3390,R$1,'United Data'!$C$3:$C$3390,$A1525)&gt;0,1,0)</f>
        <v>0</v>
      </c>
      <c r="S1525">
        <f t="shared" si="46"/>
        <v>3</v>
      </c>
      <c r="T1525">
        <f t="shared" si="47"/>
        <v>2</v>
      </c>
    </row>
    <row r="1526" spans="1:20" x14ac:dyDescent="0.2">
      <c r="A1526" t="s">
        <v>1804</v>
      </c>
      <c r="B1526">
        <f>IF(COUNTIFS('United Data'!$A$3:$A$3390,B$1,'United Data'!$C$3:$C$3390,$A1526)&gt;0,1,0)</f>
        <v>0</v>
      </c>
      <c r="C1526">
        <f>IF(COUNTIFS('United Data'!$A$3:$A$3390,C$1,'United Data'!$C$3:$C$3390,$A1526)&gt;0,1,0)</f>
        <v>0</v>
      </c>
      <c r="D1526">
        <f>IF(COUNTIFS('United Data'!$A$3:$A$3390,D$1,'United Data'!$C$3:$C$3390,$A1526)&gt;0,1,0)</f>
        <v>0</v>
      </c>
      <c r="E1526">
        <f>IF(COUNTIFS('United Data'!$A$3:$A$3390,E$1,'United Data'!$C$3:$C$3390,$A1526)&gt;0,1,0)</f>
        <v>0</v>
      </c>
      <c r="F1526">
        <f>IF(COUNTIFS('United Data'!$A$3:$A$3390,F$1,'United Data'!$C$3:$C$3390,$A1526)&gt;0,1,0)</f>
        <v>1</v>
      </c>
      <c r="G1526">
        <f>IF(COUNTIFS('United Data'!$A$3:$A$3390,G$1,'United Data'!$C$3:$C$3390,$A1526)&gt;0,1,0)</f>
        <v>0</v>
      </c>
      <c r="H1526">
        <f>IF(COUNTIFS('United Data'!$A$3:$A$3390,H$1,'United Data'!$C$3:$C$3390,$A1526)&gt;0,1,0)</f>
        <v>0</v>
      </c>
      <c r="I1526">
        <f>IF(COUNTIFS('United Data'!$A$3:$A$3390,I$1,'United Data'!$C$3:$C$3390,$A1526)&gt;0,1,0)</f>
        <v>0</v>
      </c>
      <c r="J1526">
        <f>IF(COUNTIFS('United Data'!$A$3:$A$3390,J$1,'United Data'!$C$3:$C$3390,$A1526)&gt;0,1,0)</f>
        <v>0</v>
      </c>
      <c r="K1526">
        <f>IF(COUNTIFS('United Data'!$A$3:$A$3390,K$1,'United Data'!$C$3:$C$3390,$A1526)&gt;0,1,0)</f>
        <v>0</v>
      </c>
      <c r="L1526">
        <f>IF(COUNTIFS('United Data'!$A$3:$A$3390,L$1,'United Data'!$C$3:$C$3390,$A1526)&gt;0,1,0)</f>
        <v>0</v>
      </c>
      <c r="M1526">
        <f>IF(COUNTIFS('United Data'!$A$3:$A$3390,M$1,'United Data'!$C$3:$C$3390,$A1526)&gt;0,1,0)</f>
        <v>0</v>
      </c>
      <c r="N1526">
        <f>IF(COUNTIFS('United Data'!$A$3:$A$3390,N$1,'United Data'!$C$3:$C$3390,$A1526)&gt;0,1,0)</f>
        <v>0</v>
      </c>
      <c r="O1526">
        <f>IF(COUNTIFS('United Data'!$A$3:$A$3390,O$1,'United Data'!$C$3:$C$3390,$A1526)&gt;0,1,0)</f>
        <v>0</v>
      </c>
      <c r="P1526">
        <f>IF(COUNTIFS('United Data'!$A$3:$A$3390,P$1,'United Data'!$C$3:$C$3390,$A1526)&gt;0,1,0)</f>
        <v>0</v>
      </c>
      <c r="Q1526">
        <f>IF(COUNTIFS('United Data'!$A$3:$A$3390,Q$1,'United Data'!$C$3:$C$3390,$A1526)&gt;0,1,0)</f>
        <v>0</v>
      </c>
      <c r="R1526">
        <f>IF(COUNTIFS('United Data'!$A$3:$A$3390,R$1,'United Data'!$C$3:$C$3390,$A1526)&gt;0,1,0)</f>
        <v>0</v>
      </c>
      <c r="S1526">
        <f t="shared" si="46"/>
        <v>1</v>
      </c>
      <c r="T1526">
        <f t="shared" si="47"/>
        <v>1</v>
      </c>
    </row>
    <row r="1527" spans="1:20" x14ac:dyDescent="0.2">
      <c r="A1527" t="s">
        <v>1805</v>
      </c>
      <c r="B1527">
        <f>IF(COUNTIFS('United Data'!$A$3:$A$3390,B$1,'United Data'!$C$3:$C$3390,$A1527)&gt;0,1,0)</f>
        <v>0</v>
      </c>
      <c r="C1527">
        <f>IF(COUNTIFS('United Data'!$A$3:$A$3390,C$1,'United Data'!$C$3:$C$3390,$A1527)&gt;0,1,0)</f>
        <v>0</v>
      </c>
      <c r="D1527">
        <f>IF(COUNTIFS('United Data'!$A$3:$A$3390,D$1,'United Data'!$C$3:$C$3390,$A1527)&gt;0,1,0)</f>
        <v>0</v>
      </c>
      <c r="E1527">
        <f>IF(COUNTIFS('United Data'!$A$3:$A$3390,E$1,'United Data'!$C$3:$C$3390,$A1527)&gt;0,1,0)</f>
        <v>0</v>
      </c>
      <c r="F1527">
        <f>IF(COUNTIFS('United Data'!$A$3:$A$3390,F$1,'United Data'!$C$3:$C$3390,$A1527)&gt;0,1,0)</f>
        <v>1</v>
      </c>
      <c r="G1527">
        <f>IF(COUNTIFS('United Data'!$A$3:$A$3390,G$1,'United Data'!$C$3:$C$3390,$A1527)&gt;0,1,0)</f>
        <v>0</v>
      </c>
      <c r="H1527">
        <f>IF(COUNTIFS('United Data'!$A$3:$A$3390,H$1,'United Data'!$C$3:$C$3390,$A1527)&gt;0,1,0)</f>
        <v>0</v>
      </c>
      <c r="I1527">
        <f>IF(COUNTIFS('United Data'!$A$3:$A$3390,I$1,'United Data'!$C$3:$C$3390,$A1527)&gt;0,1,0)</f>
        <v>0</v>
      </c>
      <c r="J1527">
        <f>IF(COUNTIFS('United Data'!$A$3:$A$3390,J$1,'United Data'!$C$3:$C$3390,$A1527)&gt;0,1,0)</f>
        <v>0</v>
      </c>
      <c r="K1527">
        <f>IF(COUNTIFS('United Data'!$A$3:$A$3390,K$1,'United Data'!$C$3:$C$3390,$A1527)&gt;0,1,0)</f>
        <v>1</v>
      </c>
      <c r="L1527">
        <f>IF(COUNTIFS('United Data'!$A$3:$A$3390,L$1,'United Data'!$C$3:$C$3390,$A1527)&gt;0,1,0)</f>
        <v>1</v>
      </c>
      <c r="M1527">
        <f>IF(COUNTIFS('United Data'!$A$3:$A$3390,M$1,'United Data'!$C$3:$C$3390,$A1527)&gt;0,1,0)</f>
        <v>0</v>
      </c>
      <c r="N1527">
        <f>IF(COUNTIFS('United Data'!$A$3:$A$3390,N$1,'United Data'!$C$3:$C$3390,$A1527)&gt;0,1,0)</f>
        <v>1</v>
      </c>
      <c r="O1527">
        <f>IF(COUNTIFS('United Data'!$A$3:$A$3390,O$1,'United Data'!$C$3:$C$3390,$A1527)&gt;0,1,0)</f>
        <v>0</v>
      </c>
      <c r="P1527">
        <f>IF(COUNTIFS('United Data'!$A$3:$A$3390,P$1,'United Data'!$C$3:$C$3390,$A1527)&gt;0,1,0)</f>
        <v>0</v>
      </c>
      <c r="Q1527">
        <f>IF(COUNTIFS('United Data'!$A$3:$A$3390,Q$1,'United Data'!$C$3:$C$3390,$A1527)&gt;0,1,0)</f>
        <v>0</v>
      </c>
      <c r="R1527">
        <f>IF(COUNTIFS('United Data'!$A$3:$A$3390,R$1,'United Data'!$C$3:$C$3390,$A1527)&gt;0,1,0)</f>
        <v>0</v>
      </c>
      <c r="S1527">
        <f t="shared" si="46"/>
        <v>4</v>
      </c>
      <c r="T1527">
        <f t="shared" si="47"/>
        <v>3</v>
      </c>
    </row>
    <row r="1528" spans="1:20" x14ac:dyDescent="0.2">
      <c r="A1528" t="s">
        <v>1806</v>
      </c>
      <c r="B1528">
        <f>IF(COUNTIFS('United Data'!$A$3:$A$3390,B$1,'United Data'!$C$3:$C$3390,$A1528)&gt;0,1,0)</f>
        <v>0</v>
      </c>
      <c r="C1528">
        <f>IF(COUNTIFS('United Data'!$A$3:$A$3390,C$1,'United Data'!$C$3:$C$3390,$A1528)&gt;0,1,0)</f>
        <v>0</v>
      </c>
      <c r="D1528">
        <f>IF(COUNTIFS('United Data'!$A$3:$A$3390,D$1,'United Data'!$C$3:$C$3390,$A1528)&gt;0,1,0)</f>
        <v>0</v>
      </c>
      <c r="E1528">
        <f>IF(COUNTIFS('United Data'!$A$3:$A$3390,E$1,'United Data'!$C$3:$C$3390,$A1528)&gt;0,1,0)</f>
        <v>0</v>
      </c>
      <c r="F1528">
        <f>IF(COUNTIFS('United Data'!$A$3:$A$3390,F$1,'United Data'!$C$3:$C$3390,$A1528)&gt;0,1,0)</f>
        <v>1</v>
      </c>
      <c r="G1528">
        <f>IF(COUNTIFS('United Data'!$A$3:$A$3390,G$1,'United Data'!$C$3:$C$3390,$A1528)&gt;0,1,0)</f>
        <v>0</v>
      </c>
      <c r="H1528">
        <f>IF(COUNTIFS('United Data'!$A$3:$A$3390,H$1,'United Data'!$C$3:$C$3390,$A1528)&gt;0,1,0)</f>
        <v>0</v>
      </c>
      <c r="I1528">
        <f>IF(COUNTIFS('United Data'!$A$3:$A$3390,I$1,'United Data'!$C$3:$C$3390,$A1528)&gt;0,1,0)</f>
        <v>0</v>
      </c>
      <c r="J1528">
        <f>IF(COUNTIFS('United Data'!$A$3:$A$3390,J$1,'United Data'!$C$3:$C$3390,$A1528)&gt;0,1,0)</f>
        <v>0</v>
      </c>
      <c r="K1528">
        <f>IF(COUNTIFS('United Data'!$A$3:$A$3390,K$1,'United Data'!$C$3:$C$3390,$A1528)&gt;0,1,0)</f>
        <v>0</v>
      </c>
      <c r="L1528">
        <f>IF(COUNTIFS('United Data'!$A$3:$A$3390,L$1,'United Data'!$C$3:$C$3390,$A1528)&gt;0,1,0)</f>
        <v>0</v>
      </c>
      <c r="M1528">
        <f>IF(COUNTIFS('United Data'!$A$3:$A$3390,M$1,'United Data'!$C$3:$C$3390,$A1528)&gt;0,1,0)</f>
        <v>0</v>
      </c>
      <c r="N1528">
        <f>IF(COUNTIFS('United Data'!$A$3:$A$3390,N$1,'United Data'!$C$3:$C$3390,$A1528)&gt;0,1,0)</f>
        <v>0</v>
      </c>
      <c r="O1528">
        <f>IF(COUNTIFS('United Data'!$A$3:$A$3390,O$1,'United Data'!$C$3:$C$3390,$A1528)&gt;0,1,0)</f>
        <v>0</v>
      </c>
      <c r="P1528">
        <f>IF(COUNTIFS('United Data'!$A$3:$A$3390,P$1,'United Data'!$C$3:$C$3390,$A1528)&gt;0,1,0)</f>
        <v>0</v>
      </c>
      <c r="Q1528">
        <f>IF(COUNTIFS('United Data'!$A$3:$A$3390,Q$1,'United Data'!$C$3:$C$3390,$A1528)&gt;0,1,0)</f>
        <v>0</v>
      </c>
      <c r="R1528">
        <f>IF(COUNTIFS('United Data'!$A$3:$A$3390,R$1,'United Data'!$C$3:$C$3390,$A1528)&gt;0,1,0)</f>
        <v>0</v>
      </c>
      <c r="S1528">
        <f t="shared" si="46"/>
        <v>1</v>
      </c>
      <c r="T1528">
        <f t="shared" si="47"/>
        <v>1</v>
      </c>
    </row>
    <row r="1529" spans="1:20" x14ac:dyDescent="0.2">
      <c r="A1529" t="s">
        <v>1807</v>
      </c>
      <c r="B1529">
        <f>IF(COUNTIFS('United Data'!$A$3:$A$3390,B$1,'United Data'!$C$3:$C$3390,$A1529)&gt;0,1,0)</f>
        <v>0</v>
      </c>
      <c r="C1529">
        <f>IF(COUNTIFS('United Data'!$A$3:$A$3390,C$1,'United Data'!$C$3:$C$3390,$A1529)&gt;0,1,0)</f>
        <v>0</v>
      </c>
      <c r="D1529">
        <f>IF(COUNTIFS('United Data'!$A$3:$A$3390,D$1,'United Data'!$C$3:$C$3390,$A1529)&gt;0,1,0)</f>
        <v>0</v>
      </c>
      <c r="E1529">
        <f>IF(COUNTIFS('United Data'!$A$3:$A$3390,E$1,'United Data'!$C$3:$C$3390,$A1529)&gt;0,1,0)</f>
        <v>0</v>
      </c>
      <c r="F1529">
        <f>IF(COUNTIFS('United Data'!$A$3:$A$3390,F$1,'United Data'!$C$3:$C$3390,$A1529)&gt;0,1,0)</f>
        <v>1</v>
      </c>
      <c r="G1529">
        <f>IF(COUNTIFS('United Data'!$A$3:$A$3390,G$1,'United Data'!$C$3:$C$3390,$A1529)&gt;0,1,0)</f>
        <v>1</v>
      </c>
      <c r="H1529">
        <f>IF(COUNTIFS('United Data'!$A$3:$A$3390,H$1,'United Data'!$C$3:$C$3390,$A1529)&gt;0,1,0)</f>
        <v>0</v>
      </c>
      <c r="I1529">
        <f>IF(COUNTIFS('United Data'!$A$3:$A$3390,I$1,'United Data'!$C$3:$C$3390,$A1529)&gt;0,1,0)</f>
        <v>0</v>
      </c>
      <c r="J1529">
        <f>IF(COUNTIFS('United Data'!$A$3:$A$3390,J$1,'United Data'!$C$3:$C$3390,$A1529)&gt;0,1,0)</f>
        <v>0</v>
      </c>
      <c r="K1529">
        <f>IF(COUNTIFS('United Data'!$A$3:$A$3390,K$1,'United Data'!$C$3:$C$3390,$A1529)&gt;0,1,0)</f>
        <v>0</v>
      </c>
      <c r="L1529">
        <f>IF(COUNTIFS('United Data'!$A$3:$A$3390,L$1,'United Data'!$C$3:$C$3390,$A1529)&gt;0,1,0)</f>
        <v>0</v>
      </c>
      <c r="M1529">
        <f>IF(COUNTIFS('United Data'!$A$3:$A$3390,M$1,'United Data'!$C$3:$C$3390,$A1529)&gt;0,1,0)</f>
        <v>0</v>
      </c>
      <c r="N1529">
        <f>IF(COUNTIFS('United Data'!$A$3:$A$3390,N$1,'United Data'!$C$3:$C$3390,$A1529)&gt;0,1,0)</f>
        <v>0</v>
      </c>
      <c r="O1529">
        <f>IF(COUNTIFS('United Data'!$A$3:$A$3390,O$1,'United Data'!$C$3:$C$3390,$A1529)&gt;0,1,0)</f>
        <v>0</v>
      </c>
      <c r="P1529">
        <f>IF(COUNTIFS('United Data'!$A$3:$A$3390,P$1,'United Data'!$C$3:$C$3390,$A1529)&gt;0,1,0)</f>
        <v>0</v>
      </c>
      <c r="Q1529">
        <f>IF(COUNTIFS('United Data'!$A$3:$A$3390,Q$1,'United Data'!$C$3:$C$3390,$A1529)&gt;0,1,0)</f>
        <v>0</v>
      </c>
      <c r="R1529">
        <f>IF(COUNTIFS('United Data'!$A$3:$A$3390,R$1,'United Data'!$C$3:$C$3390,$A1529)&gt;0,1,0)</f>
        <v>0</v>
      </c>
      <c r="S1529">
        <f t="shared" si="46"/>
        <v>2</v>
      </c>
      <c r="T1529">
        <f t="shared" si="47"/>
        <v>1</v>
      </c>
    </row>
    <row r="1530" spans="1:20" x14ac:dyDescent="0.2">
      <c r="A1530" t="s">
        <v>1808</v>
      </c>
      <c r="B1530">
        <f>IF(COUNTIFS('United Data'!$A$3:$A$3390,B$1,'United Data'!$C$3:$C$3390,$A1530)&gt;0,1,0)</f>
        <v>0</v>
      </c>
      <c r="C1530">
        <f>IF(COUNTIFS('United Data'!$A$3:$A$3390,C$1,'United Data'!$C$3:$C$3390,$A1530)&gt;0,1,0)</f>
        <v>0</v>
      </c>
      <c r="D1530">
        <f>IF(COUNTIFS('United Data'!$A$3:$A$3390,D$1,'United Data'!$C$3:$C$3390,$A1530)&gt;0,1,0)</f>
        <v>0</v>
      </c>
      <c r="E1530">
        <f>IF(COUNTIFS('United Data'!$A$3:$A$3390,E$1,'United Data'!$C$3:$C$3390,$A1530)&gt;0,1,0)</f>
        <v>0</v>
      </c>
      <c r="F1530">
        <f>IF(COUNTIFS('United Data'!$A$3:$A$3390,F$1,'United Data'!$C$3:$C$3390,$A1530)&gt;0,1,0)</f>
        <v>1</v>
      </c>
      <c r="G1530">
        <f>IF(COUNTIFS('United Data'!$A$3:$A$3390,G$1,'United Data'!$C$3:$C$3390,$A1530)&gt;0,1,0)</f>
        <v>0</v>
      </c>
      <c r="H1530">
        <f>IF(COUNTIFS('United Data'!$A$3:$A$3390,H$1,'United Data'!$C$3:$C$3390,$A1530)&gt;0,1,0)</f>
        <v>0</v>
      </c>
      <c r="I1530">
        <f>IF(COUNTIFS('United Data'!$A$3:$A$3390,I$1,'United Data'!$C$3:$C$3390,$A1530)&gt;0,1,0)</f>
        <v>0</v>
      </c>
      <c r="J1530">
        <f>IF(COUNTIFS('United Data'!$A$3:$A$3390,J$1,'United Data'!$C$3:$C$3390,$A1530)&gt;0,1,0)</f>
        <v>0</v>
      </c>
      <c r="K1530">
        <f>IF(COUNTIFS('United Data'!$A$3:$A$3390,K$1,'United Data'!$C$3:$C$3390,$A1530)&gt;0,1,0)</f>
        <v>0</v>
      </c>
      <c r="L1530">
        <f>IF(COUNTIFS('United Data'!$A$3:$A$3390,L$1,'United Data'!$C$3:$C$3390,$A1530)&gt;0,1,0)</f>
        <v>0</v>
      </c>
      <c r="M1530">
        <f>IF(COUNTIFS('United Data'!$A$3:$A$3390,M$1,'United Data'!$C$3:$C$3390,$A1530)&gt;0,1,0)</f>
        <v>0</v>
      </c>
      <c r="N1530">
        <f>IF(COUNTIFS('United Data'!$A$3:$A$3390,N$1,'United Data'!$C$3:$C$3390,$A1530)&gt;0,1,0)</f>
        <v>0</v>
      </c>
      <c r="O1530">
        <f>IF(COUNTIFS('United Data'!$A$3:$A$3390,O$1,'United Data'!$C$3:$C$3390,$A1530)&gt;0,1,0)</f>
        <v>0</v>
      </c>
      <c r="P1530">
        <f>IF(COUNTIFS('United Data'!$A$3:$A$3390,P$1,'United Data'!$C$3:$C$3390,$A1530)&gt;0,1,0)</f>
        <v>0</v>
      </c>
      <c r="Q1530">
        <f>IF(COUNTIFS('United Data'!$A$3:$A$3390,Q$1,'United Data'!$C$3:$C$3390,$A1530)&gt;0,1,0)</f>
        <v>0</v>
      </c>
      <c r="R1530">
        <f>IF(COUNTIFS('United Data'!$A$3:$A$3390,R$1,'United Data'!$C$3:$C$3390,$A1530)&gt;0,1,0)</f>
        <v>0</v>
      </c>
      <c r="S1530">
        <f t="shared" si="46"/>
        <v>1</v>
      </c>
      <c r="T1530">
        <f t="shared" si="47"/>
        <v>1</v>
      </c>
    </row>
    <row r="1531" spans="1:20" x14ac:dyDescent="0.2">
      <c r="A1531" t="s">
        <v>1809</v>
      </c>
      <c r="B1531">
        <f>IF(COUNTIFS('United Data'!$A$3:$A$3390,B$1,'United Data'!$C$3:$C$3390,$A1531)&gt;0,1,0)</f>
        <v>0</v>
      </c>
      <c r="C1531">
        <f>IF(COUNTIFS('United Data'!$A$3:$A$3390,C$1,'United Data'!$C$3:$C$3390,$A1531)&gt;0,1,0)</f>
        <v>0</v>
      </c>
      <c r="D1531">
        <f>IF(COUNTIFS('United Data'!$A$3:$A$3390,D$1,'United Data'!$C$3:$C$3390,$A1531)&gt;0,1,0)</f>
        <v>0</v>
      </c>
      <c r="E1531">
        <f>IF(COUNTIFS('United Data'!$A$3:$A$3390,E$1,'United Data'!$C$3:$C$3390,$A1531)&gt;0,1,0)</f>
        <v>0</v>
      </c>
      <c r="F1531">
        <f>IF(COUNTIFS('United Data'!$A$3:$A$3390,F$1,'United Data'!$C$3:$C$3390,$A1531)&gt;0,1,0)</f>
        <v>1</v>
      </c>
      <c r="G1531">
        <f>IF(COUNTIFS('United Data'!$A$3:$A$3390,G$1,'United Data'!$C$3:$C$3390,$A1531)&gt;0,1,0)</f>
        <v>0</v>
      </c>
      <c r="H1531">
        <f>IF(COUNTIFS('United Data'!$A$3:$A$3390,H$1,'United Data'!$C$3:$C$3390,$A1531)&gt;0,1,0)</f>
        <v>0</v>
      </c>
      <c r="I1531">
        <f>IF(COUNTIFS('United Data'!$A$3:$A$3390,I$1,'United Data'!$C$3:$C$3390,$A1531)&gt;0,1,0)</f>
        <v>0</v>
      </c>
      <c r="J1531">
        <f>IF(COUNTIFS('United Data'!$A$3:$A$3390,J$1,'United Data'!$C$3:$C$3390,$A1531)&gt;0,1,0)</f>
        <v>0</v>
      </c>
      <c r="K1531">
        <f>IF(COUNTIFS('United Data'!$A$3:$A$3390,K$1,'United Data'!$C$3:$C$3390,$A1531)&gt;0,1,0)</f>
        <v>0</v>
      </c>
      <c r="L1531">
        <f>IF(COUNTIFS('United Data'!$A$3:$A$3390,L$1,'United Data'!$C$3:$C$3390,$A1531)&gt;0,1,0)</f>
        <v>0</v>
      </c>
      <c r="M1531">
        <f>IF(COUNTIFS('United Data'!$A$3:$A$3390,M$1,'United Data'!$C$3:$C$3390,$A1531)&gt;0,1,0)</f>
        <v>0</v>
      </c>
      <c r="N1531">
        <f>IF(COUNTIFS('United Data'!$A$3:$A$3390,N$1,'United Data'!$C$3:$C$3390,$A1531)&gt;0,1,0)</f>
        <v>0</v>
      </c>
      <c r="O1531">
        <f>IF(COUNTIFS('United Data'!$A$3:$A$3390,O$1,'United Data'!$C$3:$C$3390,$A1531)&gt;0,1,0)</f>
        <v>0</v>
      </c>
      <c r="P1531">
        <f>IF(COUNTIFS('United Data'!$A$3:$A$3390,P$1,'United Data'!$C$3:$C$3390,$A1531)&gt;0,1,0)</f>
        <v>0</v>
      </c>
      <c r="Q1531">
        <f>IF(COUNTIFS('United Data'!$A$3:$A$3390,Q$1,'United Data'!$C$3:$C$3390,$A1531)&gt;0,1,0)</f>
        <v>0</v>
      </c>
      <c r="R1531">
        <f>IF(COUNTIFS('United Data'!$A$3:$A$3390,R$1,'United Data'!$C$3:$C$3390,$A1531)&gt;0,1,0)</f>
        <v>0</v>
      </c>
      <c r="S1531">
        <f t="shared" si="46"/>
        <v>1</v>
      </c>
      <c r="T1531">
        <f t="shared" si="47"/>
        <v>1</v>
      </c>
    </row>
    <row r="1532" spans="1:20" x14ac:dyDescent="0.2">
      <c r="A1532" t="s">
        <v>1810</v>
      </c>
      <c r="B1532">
        <f>IF(COUNTIFS('United Data'!$A$3:$A$3390,B$1,'United Data'!$C$3:$C$3390,$A1532)&gt;0,1,0)</f>
        <v>0</v>
      </c>
      <c r="C1532">
        <f>IF(COUNTIFS('United Data'!$A$3:$A$3390,C$1,'United Data'!$C$3:$C$3390,$A1532)&gt;0,1,0)</f>
        <v>0</v>
      </c>
      <c r="D1532">
        <f>IF(COUNTIFS('United Data'!$A$3:$A$3390,D$1,'United Data'!$C$3:$C$3390,$A1532)&gt;0,1,0)</f>
        <v>0</v>
      </c>
      <c r="E1532">
        <f>IF(COUNTIFS('United Data'!$A$3:$A$3390,E$1,'United Data'!$C$3:$C$3390,$A1532)&gt;0,1,0)</f>
        <v>0</v>
      </c>
      <c r="F1532">
        <f>IF(COUNTIFS('United Data'!$A$3:$A$3390,F$1,'United Data'!$C$3:$C$3390,$A1532)&gt;0,1,0)</f>
        <v>1</v>
      </c>
      <c r="G1532">
        <f>IF(COUNTIFS('United Data'!$A$3:$A$3390,G$1,'United Data'!$C$3:$C$3390,$A1532)&gt;0,1,0)</f>
        <v>1</v>
      </c>
      <c r="H1532">
        <f>IF(COUNTIFS('United Data'!$A$3:$A$3390,H$1,'United Data'!$C$3:$C$3390,$A1532)&gt;0,1,0)</f>
        <v>0</v>
      </c>
      <c r="I1532">
        <f>IF(COUNTIFS('United Data'!$A$3:$A$3390,I$1,'United Data'!$C$3:$C$3390,$A1532)&gt;0,1,0)</f>
        <v>0</v>
      </c>
      <c r="J1532">
        <f>IF(COUNTIFS('United Data'!$A$3:$A$3390,J$1,'United Data'!$C$3:$C$3390,$A1532)&gt;0,1,0)</f>
        <v>0</v>
      </c>
      <c r="K1532">
        <f>IF(COUNTIFS('United Data'!$A$3:$A$3390,K$1,'United Data'!$C$3:$C$3390,$A1532)&gt;0,1,0)</f>
        <v>0</v>
      </c>
      <c r="L1532">
        <f>IF(COUNTIFS('United Data'!$A$3:$A$3390,L$1,'United Data'!$C$3:$C$3390,$A1532)&gt;0,1,0)</f>
        <v>0</v>
      </c>
      <c r="M1532">
        <f>IF(COUNTIFS('United Data'!$A$3:$A$3390,M$1,'United Data'!$C$3:$C$3390,$A1532)&gt;0,1,0)</f>
        <v>0</v>
      </c>
      <c r="N1532">
        <f>IF(COUNTIFS('United Data'!$A$3:$A$3390,N$1,'United Data'!$C$3:$C$3390,$A1532)&gt;0,1,0)</f>
        <v>0</v>
      </c>
      <c r="O1532">
        <f>IF(COUNTIFS('United Data'!$A$3:$A$3390,O$1,'United Data'!$C$3:$C$3390,$A1532)&gt;0,1,0)</f>
        <v>0</v>
      </c>
      <c r="P1532">
        <f>IF(COUNTIFS('United Data'!$A$3:$A$3390,P$1,'United Data'!$C$3:$C$3390,$A1532)&gt;0,1,0)</f>
        <v>0</v>
      </c>
      <c r="Q1532">
        <f>IF(COUNTIFS('United Data'!$A$3:$A$3390,Q$1,'United Data'!$C$3:$C$3390,$A1532)&gt;0,1,0)</f>
        <v>0</v>
      </c>
      <c r="R1532">
        <f>IF(COUNTIFS('United Data'!$A$3:$A$3390,R$1,'United Data'!$C$3:$C$3390,$A1532)&gt;0,1,0)</f>
        <v>0</v>
      </c>
      <c r="S1532">
        <f t="shared" si="46"/>
        <v>2</v>
      </c>
      <c r="T1532">
        <f t="shared" si="47"/>
        <v>1</v>
      </c>
    </row>
    <row r="1533" spans="1:20" x14ac:dyDescent="0.2">
      <c r="A1533" t="s">
        <v>1811</v>
      </c>
      <c r="B1533">
        <f>IF(COUNTIFS('United Data'!$A$3:$A$3390,B$1,'United Data'!$C$3:$C$3390,$A1533)&gt;0,1,0)</f>
        <v>0</v>
      </c>
      <c r="C1533">
        <f>IF(COUNTIFS('United Data'!$A$3:$A$3390,C$1,'United Data'!$C$3:$C$3390,$A1533)&gt;0,1,0)</f>
        <v>0</v>
      </c>
      <c r="D1533">
        <f>IF(COUNTIFS('United Data'!$A$3:$A$3390,D$1,'United Data'!$C$3:$C$3390,$A1533)&gt;0,1,0)</f>
        <v>0</v>
      </c>
      <c r="E1533">
        <f>IF(COUNTIFS('United Data'!$A$3:$A$3390,E$1,'United Data'!$C$3:$C$3390,$A1533)&gt;0,1,0)</f>
        <v>0</v>
      </c>
      <c r="F1533">
        <f>IF(COUNTIFS('United Data'!$A$3:$A$3390,F$1,'United Data'!$C$3:$C$3390,$A1533)&gt;0,1,0)</f>
        <v>1</v>
      </c>
      <c r="G1533">
        <f>IF(COUNTIFS('United Data'!$A$3:$A$3390,G$1,'United Data'!$C$3:$C$3390,$A1533)&gt;0,1,0)</f>
        <v>0</v>
      </c>
      <c r="H1533">
        <f>IF(COUNTIFS('United Data'!$A$3:$A$3390,H$1,'United Data'!$C$3:$C$3390,$A1533)&gt;0,1,0)</f>
        <v>0</v>
      </c>
      <c r="I1533">
        <f>IF(COUNTIFS('United Data'!$A$3:$A$3390,I$1,'United Data'!$C$3:$C$3390,$A1533)&gt;0,1,0)</f>
        <v>0</v>
      </c>
      <c r="J1533">
        <f>IF(COUNTIFS('United Data'!$A$3:$A$3390,J$1,'United Data'!$C$3:$C$3390,$A1533)&gt;0,1,0)</f>
        <v>0</v>
      </c>
      <c r="K1533">
        <f>IF(COUNTIFS('United Data'!$A$3:$A$3390,K$1,'United Data'!$C$3:$C$3390,$A1533)&gt;0,1,0)</f>
        <v>0</v>
      </c>
      <c r="L1533">
        <f>IF(COUNTIFS('United Data'!$A$3:$A$3390,L$1,'United Data'!$C$3:$C$3390,$A1533)&gt;0,1,0)</f>
        <v>0</v>
      </c>
      <c r="M1533">
        <f>IF(COUNTIFS('United Data'!$A$3:$A$3390,M$1,'United Data'!$C$3:$C$3390,$A1533)&gt;0,1,0)</f>
        <v>0</v>
      </c>
      <c r="N1533">
        <f>IF(COUNTIFS('United Data'!$A$3:$A$3390,N$1,'United Data'!$C$3:$C$3390,$A1533)&gt;0,1,0)</f>
        <v>0</v>
      </c>
      <c r="O1533">
        <f>IF(COUNTIFS('United Data'!$A$3:$A$3390,O$1,'United Data'!$C$3:$C$3390,$A1533)&gt;0,1,0)</f>
        <v>0</v>
      </c>
      <c r="P1533">
        <f>IF(COUNTIFS('United Data'!$A$3:$A$3390,P$1,'United Data'!$C$3:$C$3390,$A1533)&gt;0,1,0)</f>
        <v>0</v>
      </c>
      <c r="Q1533">
        <f>IF(COUNTIFS('United Data'!$A$3:$A$3390,Q$1,'United Data'!$C$3:$C$3390,$A1533)&gt;0,1,0)</f>
        <v>0</v>
      </c>
      <c r="R1533">
        <f>IF(COUNTIFS('United Data'!$A$3:$A$3390,R$1,'United Data'!$C$3:$C$3390,$A1533)&gt;0,1,0)</f>
        <v>0</v>
      </c>
      <c r="S1533">
        <f t="shared" si="46"/>
        <v>1</v>
      </c>
      <c r="T1533">
        <f t="shared" si="47"/>
        <v>1</v>
      </c>
    </row>
    <row r="1534" spans="1:20" x14ac:dyDescent="0.2">
      <c r="A1534" t="s">
        <v>1812</v>
      </c>
      <c r="B1534">
        <f>IF(COUNTIFS('United Data'!$A$3:$A$3390,B$1,'United Data'!$C$3:$C$3390,$A1534)&gt;0,1,0)</f>
        <v>0</v>
      </c>
      <c r="C1534">
        <f>IF(COUNTIFS('United Data'!$A$3:$A$3390,C$1,'United Data'!$C$3:$C$3390,$A1534)&gt;0,1,0)</f>
        <v>0</v>
      </c>
      <c r="D1534">
        <f>IF(COUNTIFS('United Data'!$A$3:$A$3390,D$1,'United Data'!$C$3:$C$3390,$A1534)&gt;0,1,0)</f>
        <v>0</v>
      </c>
      <c r="E1534">
        <f>IF(COUNTIFS('United Data'!$A$3:$A$3390,E$1,'United Data'!$C$3:$C$3390,$A1534)&gt;0,1,0)</f>
        <v>0</v>
      </c>
      <c r="F1534">
        <f>IF(COUNTIFS('United Data'!$A$3:$A$3390,F$1,'United Data'!$C$3:$C$3390,$A1534)&gt;0,1,0)</f>
        <v>1</v>
      </c>
      <c r="G1534">
        <f>IF(COUNTIFS('United Data'!$A$3:$A$3390,G$1,'United Data'!$C$3:$C$3390,$A1534)&gt;0,1,0)</f>
        <v>1</v>
      </c>
      <c r="H1534">
        <f>IF(COUNTIFS('United Data'!$A$3:$A$3390,H$1,'United Data'!$C$3:$C$3390,$A1534)&gt;0,1,0)</f>
        <v>0</v>
      </c>
      <c r="I1534">
        <f>IF(COUNTIFS('United Data'!$A$3:$A$3390,I$1,'United Data'!$C$3:$C$3390,$A1534)&gt;0,1,0)</f>
        <v>0</v>
      </c>
      <c r="J1534">
        <f>IF(COUNTIFS('United Data'!$A$3:$A$3390,J$1,'United Data'!$C$3:$C$3390,$A1534)&gt;0,1,0)</f>
        <v>0</v>
      </c>
      <c r="K1534">
        <f>IF(COUNTIFS('United Data'!$A$3:$A$3390,K$1,'United Data'!$C$3:$C$3390,$A1534)&gt;0,1,0)</f>
        <v>0</v>
      </c>
      <c r="L1534">
        <f>IF(COUNTIFS('United Data'!$A$3:$A$3390,L$1,'United Data'!$C$3:$C$3390,$A1534)&gt;0,1,0)</f>
        <v>0</v>
      </c>
      <c r="M1534">
        <f>IF(COUNTIFS('United Data'!$A$3:$A$3390,M$1,'United Data'!$C$3:$C$3390,$A1534)&gt;0,1,0)</f>
        <v>0</v>
      </c>
      <c r="N1534">
        <f>IF(COUNTIFS('United Data'!$A$3:$A$3390,N$1,'United Data'!$C$3:$C$3390,$A1534)&gt;0,1,0)</f>
        <v>0</v>
      </c>
      <c r="O1534">
        <f>IF(COUNTIFS('United Data'!$A$3:$A$3390,O$1,'United Data'!$C$3:$C$3390,$A1534)&gt;0,1,0)</f>
        <v>0</v>
      </c>
      <c r="P1534">
        <f>IF(COUNTIFS('United Data'!$A$3:$A$3390,P$1,'United Data'!$C$3:$C$3390,$A1534)&gt;0,1,0)</f>
        <v>0</v>
      </c>
      <c r="Q1534">
        <f>IF(COUNTIFS('United Data'!$A$3:$A$3390,Q$1,'United Data'!$C$3:$C$3390,$A1534)&gt;0,1,0)</f>
        <v>0</v>
      </c>
      <c r="R1534">
        <f>IF(COUNTIFS('United Data'!$A$3:$A$3390,R$1,'United Data'!$C$3:$C$3390,$A1534)&gt;0,1,0)</f>
        <v>0</v>
      </c>
      <c r="S1534">
        <f t="shared" si="46"/>
        <v>2</v>
      </c>
      <c r="T1534">
        <f t="shared" si="47"/>
        <v>1</v>
      </c>
    </row>
    <row r="1535" spans="1:20" x14ac:dyDescent="0.2">
      <c r="A1535" t="s">
        <v>1813</v>
      </c>
      <c r="B1535">
        <f>IF(COUNTIFS('United Data'!$A$3:$A$3390,B$1,'United Data'!$C$3:$C$3390,$A1535)&gt;0,1,0)</f>
        <v>0</v>
      </c>
      <c r="C1535">
        <f>IF(COUNTIFS('United Data'!$A$3:$A$3390,C$1,'United Data'!$C$3:$C$3390,$A1535)&gt;0,1,0)</f>
        <v>0</v>
      </c>
      <c r="D1535">
        <f>IF(COUNTIFS('United Data'!$A$3:$A$3390,D$1,'United Data'!$C$3:$C$3390,$A1535)&gt;0,1,0)</f>
        <v>0</v>
      </c>
      <c r="E1535">
        <f>IF(COUNTIFS('United Data'!$A$3:$A$3390,E$1,'United Data'!$C$3:$C$3390,$A1535)&gt;0,1,0)</f>
        <v>0</v>
      </c>
      <c r="F1535">
        <f>IF(COUNTIFS('United Data'!$A$3:$A$3390,F$1,'United Data'!$C$3:$C$3390,$A1535)&gt;0,1,0)</f>
        <v>1</v>
      </c>
      <c r="G1535">
        <f>IF(COUNTIFS('United Data'!$A$3:$A$3390,G$1,'United Data'!$C$3:$C$3390,$A1535)&gt;0,1,0)</f>
        <v>0</v>
      </c>
      <c r="H1535">
        <f>IF(COUNTIFS('United Data'!$A$3:$A$3390,H$1,'United Data'!$C$3:$C$3390,$A1535)&gt;0,1,0)</f>
        <v>0</v>
      </c>
      <c r="I1535">
        <f>IF(COUNTIFS('United Data'!$A$3:$A$3390,I$1,'United Data'!$C$3:$C$3390,$A1535)&gt;0,1,0)</f>
        <v>0</v>
      </c>
      <c r="J1535">
        <f>IF(COUNTIFS('United Data'!$A$3:$A$3390,J$1,'United Data'!$C$3:$C$3390,$A1535)&gt;0,1,0)</f>
        <v>0</v>
      </c>
      <c r="K1535">
        <f>IF(COUNTIFS('United Data'!$A$3:$A$3390,K$1,'United Data'!$C$3:$C$3390,$A1535)&gt;0,1,0)</f>
        <v>0</v>
      </c>
      <c r="L1535">
        <f>IF(COUNTIFS('United Data'!$A$3:$A$3390,L$1,'United Data'!$C$3:$C$3390,$A1535)&gt;0,1,0)</f>
        <v>0</v>
      </c>
      <c r="M1535">
        <f>IF(COUNTIFS('United Data'!$A$3:$A$3390,M$1,'United Data'!$C$3:$C$3390,$A1535)&gt;0,1,0)</f>
        <v>0</v>
      </c>
      <c r="N1535">
        <f>IF(COUNTIFS('United Data'!$A$3:$A$3390,N$1,'United Data'!$C$3:$C$3390,$A1535)&gt;0,1,0)</f>
        <v>0</v>
      </c>
      <c r="O1535">
        <f>IF(COUNTIFS('United Data'!$A$3:$A$3390,O$1,'United Data'!$C$3:$C$3390,$A1535)&gt;0,1,0)</f>
        <v>0</v>
      </c>
      <c r="P1535">
        <f>IF(COUNTIFS('United Data'!$A$3:$A$3390,P$1,'United Data'!$C$3:$C$3390,$A1535)&gt;0,1,0)</f>
        <v>0</v>
      </c>
      <c r="Q1535">
        <f>IF(COUNTIFS('United Data'!$A$3:$A$3390,Q$1,'United Data'!$C$3:$C$3390,$A1535)&gt;0,1,0)</f>
        <v>0</v>
      </c>
      <c r="R1535">
        <f>IF(COUNTIFS('United Data'!$A$3:$A$3390,R$1,'United Data'!$C$3:$C$3390,$A1535)&gt;0,1,0)</f>
        <v>0</v>
      </c>
      <c r="S1535">
        <f t="shared" si="46"/>
        <v>1</v>
      </c>
      <c r="T1535">
        <f t="shared" si="47"/>
        <v>1</v>
      </c>
    </row>
    <row r="1536" spans="1:20" x14ac:dyDescent="0.2">
      <c r="A1536" t="s">
        <v>1814</v>
      </c>
      <c r="B1536">
        <f>IF(COUNTIFS('United Data'!$A$3:$A$3390,B$1,'United Data'!$C$3:$C$3390,$A1536)&gt;0,1,0)</f>
        <v>0</v>
      </c>
      <c r="C1536">
        <f>IF(COUNTIFS('United Data'!$A$3:$A$3390,C$1,'United Data'!$C$3:$C$3390,$A1536)&gt;0,1,0)</f>
        <v>0</v>
      </c>
      <c r="D1536">
        <f>IF(COUNTIFS('United Data'!$A$3:$A$3390,D$1,'United Data'!$C$3:$C$3390,$A1536)&gt;0,1,0)</f>
        <v>0</v>
      </c>
      <c r="E1536">
        <f>IF(COUNTIFS('United Data'!$A$3:$A$3390,E$1,'United Data'!$C$3:$C$3390,$A1536)&gt;0,1,0)</f>
        <v>0</v>
      </c>
      <c r="F1536">
        <f>IF(COUNTIFS('United Data'!$A$3:$A$3390,F$1,'United Data'!$C$3:$C$3390,$A1536)&gt;0,1,0)</f>
        <v>1</v>
      </c>
      <c r="G1536">
        <f>IF(COUNTIFS('United Data'!$A$3:$A$3390,G$1,'United Data'!$C$3:$C$3390,$A1536)&gt;0,1,0)</f>
        <v>0</v>
      </c>
      <c r="H1536">
        <f>IF(COUNTIFS('United Data'!$A$3:$A$3390,H$1,'United Data'!$C$3:$C$3390,$A1536)&gt;0,1,0)</f>
        <v>0</v>
      </c>
      <c r="I1536">
        <f>IF(COUNTIFS('United Data'!$A$3:$A$3390,I$1,'United Data'!$C$3:$C$3390,$A1536)&gt;0,1,0)</f>
        <v>0</v>
      </c>
      <c r="J1536">
        <f>IF(COUNTIFS('United Data'!$A$3:$A$3390,J$1,'United Data'!$C$3:$C$3390,$A1536)&gt;0,1,0)</f>
        <v>0</v>
      </c>
      <c r="K1536">
        <f>IF(COUNTIFS('United Data'!$A$3:$A$3390,K$1,'United Data'!$C$3:$C$3390,$A1536)&gt;0,1,0)</f>
        <v>0</v>
      </c>
      <c r="L1536">
        <f>IF(COUNTIFS('United Data'!$A$3:$A$3390,L$1,'United Data'!$C$3:$C$3390,$A1536)&gt;0,1,0)</f>
        <v>0</v>
      </c>
      <c r="M1536">
        <f>IF(COUNTIFS('United Data'!$A$3:$A$3390,M$1,'United Data'!$C$3:$C$3390,$A1536)&gt;0,1,0)</f>
        <v>0</v>
      </c>
      <c r="N1536">
        <f>IF(COUNTIFS('United Data'!$A$3:$A$3390,N$1,'United Data'!$C$3:$C$3390,$A1536)&gt;0,1,0)</f>
        <v>0</v>
      </c>
      <c r="O1536">
        <f>IF(COUNTIFS('United Data'!$A$3:$A$3390,O$1,'United Data'!$C$3:$C$3390,$A1536)&gt;0,1,0)</f>
        <v>0</v>
      </c>
      <c r="P1536">
        <f>IF(COUNTIFS('United Data'!$A$3:$A$3390,P$1,'United Data'!$C$3:$C$3390,$A1536)&gt;0,1,0)</f>
        <v>0</v>
      </c>
      <c r="Q1536">
        <f>IF(COUNTIFS('United Data'!$A$3:$A$3390,Q$1,'United Data'!$C$3:$C$3390,$A1536)&gt;0,1,0)</f>
        <v>0</v>
      </c>
      <c r="R1536">
        <f>IF(COUNTIFS('United Data'!$A$3:$A$3390,R$1,'United Data'!$C$3:$C$3390,$A1536)&gt;0,1,0)</f>
        <v>0</v>
      </c>
      <c r="S1536">
        <f t="shared" si="46"/>
        <v>1</v>
      </c>
      <c r="T1536">
        <f t="shared" si="47"/>
        <v>1</v>
      </c>
    </row>
    <row r="1537" spans="1:20" x14ac:dyDescent="0.2">
      <c r="A1537" t="s">
        <v>1815</v>
      </c>
      <c r="B1537">
        <f>IF(COUNTIFS('United Data'!$A$3:$A$3390,B$1,'United Data'!$C$3:$C$3390,$A1537)&gt;0,1,0)</f>
        <v>0</v>
      </c>
      <c r="C1537">
        <f>IF(COUNTIFS('United Data'!$A$3:$A$3390,C$1,'United Data'!$C$3:$C$3390,$A1537)&gt;0,1,0)</f>
        <v>0</v>
      </c>
      <c r="D1537">
        <f>IF(COUNTIFS('United Data'!$A$3:$A$3390,D$1,'United Data'!$C$3:$C$3390,$A1537)&gt;0,1,0)</f>
        <v>0</v>
      </c>
      <c r="E1537">
        <f>IF(COUNTIFS('United Data'!$A$3:$A$3390,E$1,'United Data'!$C$3:$C$3390,$A1537)&gt;0,1,0)</f>
        <v>0</v>
      </c>
      <c r="F1537">
        <f>IF(COUNTIFS('United Data'!$A$3:$A$3390,F$1,'United Data'!$C$3:$C$3390,$A1537)&gt;0,1,0)</f>
        <v>1</v>
      </c>
      <c r="G1537">
        <f>IF(COUNTIFS('United Data'!$A$3:$A$3390,G$1,'United Data'!$C$3:$C$3390,$A1537)&gt;0,1,0)</f>
        <v>0</v>
      </c>
      <c r="H1537">
        <f>IF(COUNTIFS('United Data'!$A$3:$A$3390,H$1,'United Data'!$C$3:$C$3390,$A1537)&gt;0,1,0)</f>
        <v>0</v>
      </c>
      <c r="I1537">
        <f>IF(COUNTIFS('United Data'!$A$3:$A$3390,I$1,'United Data'!$C$3:$C$3390,$A1537)&gt;0,1,0)</f>
        <v>0</v>
      </c>
      <c r="J1537">
        <f>IF(COUNTIFS('United Data'!$A$3:$A$3390,J$1,'United Data'!$C$3:$C$3390,$A1537)&gt;0,1,0)</f>
        <v>0</v>
      </c>
      <c r="K1537">
        <f>IF(COUNTIFS('United Data'!$A$3:$A$3390,K$1,'United Data'!$C$3:$C$3390,$A1537)&gt;0,1,0)</f>
        <v>0</v>
      </c>
      <c r="L1537">
        <f>IF(COUNTIFS('United Data'!$A$3:$A$3390,L$1,'United Data'!$C$3:$C$3390,$A1537)&gt;0,1,0)</f>
        <v>0</v>
      </c>
      <c r="M1537">
        <f>IF(COUNTIFS('United Data'!$A$3:$A$3390,M$1,'United Data'!$C$3:$C$3390,$A1537)&gt;0,1,0)</f>
        <v>0</v>
      </c>
      <c r="N1537">
        <f>IF(COUNTIFS('United Data'!$A$3:$A$3390,N$1,'United Data'!$C$3:$C$3390,$A1537)&gt;0,1,0)</f>
        <v>0</v>
      </c>
      <c r="O1537">
        <f>IF(COUNTIFS('United Data'!$A$3:$A$3390,O$1,'United Data'!$C$3:$C$3390,$A1537)&gt;0,1,0)</f>
        <v>0</v>
      </c>
      <c r="P1537">
        <f>IF(COUNTIFS('United Data'!$A$3:$A$3390,P$1,'United Data'!$C$3:$C$3390,$A1537)&gt;0,1,0)</f>
        <v>0</v>
      </c>
      <c r="Q1537">
        <f>IF(COUNTIFS('United Data'!$A$3:$A$3390,Q$1,'United Data'!$C$3:$C$3390,$A1537)&gt;0,1,0)</f>
        <v>0</v>
      </c>
      <c r="R1537">
        <f>IF(COUNTIFS('United Data'!$A$3:$A$3390,R$1,'United Data'!$C$3:$C$3390,$A1537)&gt;0,1,0)</f>
        <v>0</v>
      </c>
      <c r="S1537">
        <f t="shared" si="46"/>
        <v>1</v>
      </c>
      <c r="T1537">
        <f t="shared" si="47"/>
        <v>1</v>
      </c>
    </row>
    <row r="1538" spans="1:20" x14ac:dyDescent="0.2">
      <c r="A1538" t="s">
        <v>1816</v>
      </c>
      <c r="B1538">
        <f>IF(COUNTIFS('United Data'!$A$3:$A$3390,B$1,'United Data'!$C$3:$C$3390,$A1538)&gt;0,1,0)</f>
        <v>0</v>
      </c>
      <c r="C1538">
        <f>IF(COUNTIFS('United Data'!$A$3:$A$3390,C$1,'United Data'!$C$3:$C$3390,$A1538)&gt;0,1,0)</f>
        <v>0</v>
      </c>
      <c r="D1538">
        <f>IF(COUNTIFS('United Data'!$A$3:$A$3390,D$1,'United Data'!$C$3:$C$3390,$A1538)&gt;0,1,0)</f>
        <v>0</v>
      </c>
      <c r="E1538">
        <f>IF(COUNTIFS('United Data'!$A$3:$A$3390,E$1,'United Data'!$C$3:$C$3390,$A1538)&gt;0,1,0)</f>
        <v>0</v>
      </c>
      <c r="F1538">
        <f>IF(COUNTIFS('United Data'!$A$3:$A$3390,F$1,'United Data'!$C$3:$C$3390,$A1538)&gt;0,1,0)</f>
        <v>1</v>
      </c>
      <c r="G1538">
        <f>IF(COUNTIFS('United Data'!$A$3:$A$3390,G$1,'United Data'!$C$3:$C$3390,$A1538)&gt;0,1,0)</f>
        <v>0</v>
      </c>
      <c r="H1538">
        <f>IF(COUNTIFS('United Data'!$A$3:$A$3390,H$1,'United Data'!$C$3:$C$3390,$A1538)&gt;0,1,0)</f>
        <v>0</v>
      </c>
      <c r="I1538">
        <f>IF(COUNTIFS('United Data'!$A$3:$A$3390,I$1,'United Data'!$C$3:$C$3390,$A1538)&gt;0,1,0)</f>
        <v>0</v>
      </c>
      <c r="J1538">
        <f>IF(COUNTIFS('United Data'!$A$3:$A$3390,J$1,'United Data'!$C$3:$C$3390,$A1538)&gt;0,1,0)</f>
        <v>0</v>
      </c>
      <c r="K1538">
        <f>IF(COUNTIFS('United Data'!$A$3:$A$3390,K$1,'United Data'!$C$3:$C$3390,$A1538)&gt;0,1,0)</f>
        <v>0</v>
      </c>
      <c r="L1538">
        <f>IF(COUNTIFS('United Data'!$A$3:$A$3390,L$1,'United Data'!$C$3:$C$3390,$A1538)&gt;0,1,0)</f>
        <v>0</v>
      </c>
      <c r="M1538">
        <f>IF(COUNTIFS('United Data'!$A$3:$A$3390,M$1,'United Data'!$C$3:$C$3390,$A1538)&gt;0,1,0)</f>
        <v>0</v>
      </c>
      <c r="N1538">
        <f>IF(COUNTIFS('United Data'!$A$3:$A$3390,N$1,'United Data'!$C$3:$C$3390,$A1538)&gt;0,1,0)</f>
        <v>0</v>
      </c>
      <c r="O1538">
        <f>IF(COUNTIFS('United Data'!$A$3:$A$3390,O$1,'United Data'!$C$3:$C$3390,$A1538)&gt;0,1,0)</f>
        <v>0</v>
      </c>
      <c r="P1538">
        <f>IF(COUNTIFS('United Data'!$A$3:$A$3390,P$1,'United Data'!$C$3:$C$3390,$A1538)&gt;0,1,0)</f>
        <v>0</v>
      </c>
      <c r="Q1538">
        <f>IF(COUNTIFS('United Data'!$A$3:$A$3390,Q$1,'United Data'!$C$3:$C$3390,$A1538)&gt;0,1,0)</f>
        <v>0</v>
      </c>
      <c r="R1538">
        <f>IF(COUNTIFS('United Data'!$A$3:$A$3390,R$1,'United Data'!$C$3:$C$3390,$A1538)&gt;0,1,0)</f>
        <v>0</v>
      </c>
      <c r="S1538">
        <f t="shared" ref="S1538:S1601" si="48">SUM(B1538:R1538)</f>
        <v>1</v>
      </c>
      <c r="T1538">
        <f t="shared" ref="T1538:T1601" si="49">B1538+SUMPRODUCT(--(C1538:R1538&gt;B1538:Q1538))</f>
        <v>1</v>
      </c>
    </row>
    <row r="1539" spans="1:20" x14ac:dyDescent="0.2">
      <c r="A1539" t="s">
        <v>1817</v>
      </c>
      <c r="B1539">
        <f>IF(COUNTIFS('United Data'!$A$3:$A$3390,B$1,'United Data'!$C$3:$C$3390,$A1539)&gt;0,1,0)</f>
        <v>0</v>
      </c>
      <c r="C1539">
        <f>IF(COUNTIFS('United Data'!$A$3:$A$3390,C$1,'United Data'!$C$3:$C$3390,$A1539)&gt;0,1,0)</f>
        <v>0</v>
      </c>
      <c r="D1539">
        <f>IF(COUNTIFS('United Data'!$A$3:$A$3390,D$1,'United Data'!$C$3:$C$3390,$A1539)&gt;0,1,0)</f>
        <v>0</v>
      </c>
      <c r="E1539">
        <f>IF(COUNTIFS('United Data'!$A$3:$A$3390,E$1,'United Data'!$C$3:$C$3390,$A1539)&gt;0,1,0)</f>
        <v>0</v>
      </c>
      <c r="F1539">
        <f>IF(COUNTIFS('United Data'!$A$3:$A$3390,F$1,'United Data'!$C$3:$C$3390,$A1539)&gt;0,1,0)</f>
        <v>0</v>
      </c>
      <c r="G1539">
        <f>IF(COUNTIFS('United Data'!$A$3:$A$3390,G$1,'United Data'!$C$3:$C$3390,$A1539)&gt;0,1,0)</f>
        <v>1</v>
      </c>
      <c r="H1539">
        <f>IF(COUNTIFS('United Data'!$A$3:$A$3390,H$1,'United Data'!$C$3:$C$3390,$A1539)&gt;0,1,0)</f>
        <v>0</v>
      </c>
      <c r="I1539">
        <f>IF(COUNTIFS('United Data'!$A$3:$A$3390,I$1,'United Data'!$C$3:$C$3390,$A1539)&gt;0,1,0)</f>
        <v>0</v>
      </c>
      <c r="J1539">
        <f>IF(COUNTIFS('United Data'!$A$3:$A$3390,J$1,'United Data'!$C$3:$C$3390,$A1539)&gt;0,1,0)</f>
        <v>0</v>
      </c>
      <c r="K1539">
        <f>IF(COUNTIFS('United Data'!$A$3:$A$3390,K$1,'United Data'!$C$3:$C$3390,$A1539)&gt;0,1,0)</f>
        <v>0</v>
      </c>
      <c r="L1539">
        <f>IF(COUNTIFS('United Data'!$A$3:$A$3390,L$1,'United Data'!$C$3:$C$3390,$A1539)&gt;0,1,0)</f>
        <v>0</v>
      </c>
      <c r="M1539">
        <f>IF(COUNTIFS('United Data'!$A$3:$A$3390,M$1,'United Data'!$C$3:$C$3390,$A1539)&gt;0,1,0)</f>
        <v>0</v>
      </c>
      <c r="N1539">
        <f>IF(COUNTIFS('United Data'!$A$3:$A$3390,N$1,'United Data'!$C$3:$C$3390,$A1539)&gt;0,1,0)</f>
        <v>0</v>
      </c>
      <c r="O1539">
        <f>IF(COUNTIFS('United Data'!$A$3:$A$3390,O$1,'United Data'!$C$3:$C$3390,$A1539)&gt;0,1,0)</f>
        <v>0</v>
      </c>
      <c r="P1539">
        <f>IF(COUNTIFS('United Data'!$A$3:$A$3390,P$1,'United Data'!$C$3:$C$3390,$A1539)&gt;0,1,0)</f>
        <v>0</v>
      </c>
      <c r="Q1539">
        <f>IF(COUNTIFS('United Data'!$A$3:$A$3390,Q$1,'United Data'!$C$3:$C$3390,$A1539)&gt;0,1,0)</f>
        <v>0</v>
      </c>
      <c r="R1539">
        <f>IF(COUNTIFS('United Data'!$A$3:$A$3390,R$1,'United Data'!$C$3:$C$3390,$A1539)&gt;0,1,0)</f>
        <v>0</v>
      </c>
      <c r="S1539">
        <f t="shared" si="48"/>
        <v>1</v>
      </c>
      <c r="T1539">
        <f t="shared" si="49"/>
        <v>1</v>
      </c>
    </row>
    <row r="1540" spans="1:20" x14ac:dyDescent="0.2">
      <c r="A1540" t="s">
        <v>1818</v>
      </c>
      <c r="B1540">
        <f>IF(COUNTIFS('United Data'!$A$3:$A$3390,B$1,'United Data'!$C$3:$C$3390,$A1540)&gt;0,1,0)</f>
        <v>0</v>
      </c>
      <c r="C1540">
        <f>IF(COUNTIFS('United Data'!$A$3:$A$3390,C$1,'United Data'!$C$3:$C$3390,$A1540)&gt;0,1,0)</f>
        <v>0</v>
      </c>
      <c r="D1540">
        <f>IF(COUNTIFS('United Data'!$A$3:$A$3390,D$1,'United Data'!$C$3:$C$3390,$A1540)&gt;0,1,0)</f>
        <v>0</v>
      </c>
      <c r="E1540">
        <f>IF(COUNTIFS('United Data'!$A$3:$A$3390,E$1,'United Data'!$C$3:$C$3390,$A1540)&gt;0,1,0)</f>
        <v>0</v>
      </c>
      <c r="F1540">
        <f>IF(COUNTIFS('United Data'!$A$3:$A$3390,F$1,'United Data'!$C$3:$C$3390,$A1540)&gt;0,1,0)</f>
        <v>0</v>
      </c>
      <c r="G1540">
        <f>IF(COUNTIFS('United Data'!$A$3:$A$3390,G$1,'United Data'!$C$3:$C$3390,$A1540)&gt;0,1,0)</f>
        <v>1</v>
      </c>
      <c r="H1540">
        <f>IF(COUNTIFS('United Data'!$A$3:$A$3390,H$1,'United Data'!$C$3:$C$3390,$A1540)&gt;0,1,0)</f>
        <v>0</v>
      </c>
      <c r="I1540">
        <f>IF(COUNTIFS('United Data'!$A$3:$A$3390,I$1,'United Data'!$C$3:$C$3390,$A1540)&gt;0,1,0)</f>
        <v>0</v>
      </c>
      <c r="J1540">
        <f>IF(COUNTIFS('United Data'!$A$3:$A$3390,J$1,'United Data'!$C$3:$C$3390,$A1540)&gt;0,1,0)</f>
        <v>0</v>
      </c>
      <c r="K1540">
        <f>IF(COUNTIFS('United Data'!$A$3:$A$3390,K$1,'United Data'!$C$3:$C$3390,$A1540)&gt;0,1,0)</f>
        <v>0</v>
      </c>
      <c r="L1540">
        <f>IF(COUNTIFS('United Data'!$A$3:$A$3390,L$1,'United Data'!$C$3:$C$3390,$A1540)&gt;0,1,0)</f>
        <v>0</v>
      </c>
      <c r="M1540">
        <f>IF(COUNTIFS('United Data'!$A$3:$A$3390,M$1,'United Data'!$C$3:$C$3390,$A1540)&gt;0,1,0)</f>
        <v>0</v>
      </c>
      <c r="N1540">
        <f>IF(COUNTIFS('United Data'!$A$3:$A$3390,N$1,'United Data'!$C$3:$C$3390,$A1540)&gt;0,1,0)</f>
        <v>0</v>
      </c>
      <c r="O1540">
        <f>IF(COUNTIFS('United Data'!$A$3:$A$3390,O$1,'United Data'!$C$3:$C$3390,$A1540)&gt;0,1,0)</f>
        <v>0</v>
      </c>
      <c r="P1540">
        <f>IF(COUNTIFS('United Data'!$A$3:$A$3390,P$1,'United Data'!$C$3:$C$3390,$A1540)&gt;0,1,0)</f>
        <v>0</v>
      </c>
      <c r="Q1540">
        <f>IF(COUNTIFS('United Data'!$A$3:$A$3390,Q$1,'United Data'!$C$3:$C$3390,$A1540)&gt;0,1,0)</f>
        <v>0</v>
      </c>
      <c r="R1540">
        <f>IF(COUNTIFS('United Data'!$A$3:$A$3390,R$1,'United Data'!$C$3:$C$3390,$A1540)&gt;0,1,0)</f>
        <v>0</v>
      </c>
      <c r="S1540">
        <f t="shared" si="48"/>
        <v>1</v>
      </c>
      <c r="T1540">
        <f t="shared" si="49"/>
        <v>1</v>
      </c>
    </row>
    <row r="1541" spans="1:20" x14ac:dyDescent="0.2">
      <c r="A1541" t="s">
        <v>1819</v>
      </c>
      <c r="B1541">
        <f>IF(COUNTIFS('United Data'!$A$3:$A$3390,B$1,'United Data'!$C$3:$C$3390,$A1541)&gt;0,1,0)</f>
        <v>0</v>
      </c>
      <c r="C1541">
        <f>IF(COUNTIFS('United Data'!$A$3:$A$3390,C$1,'United Data'!$C$3:$C$3390,$A1541)&gt;0,1,0)</f>
        <v>0</v>
      </c>
      <c r="D1541">
        <f>IF(COUNTIFS('United Data'!$A$3:$A$3390,D$1,'United Data'!$C$3:$C$3390,$A1541)&gt;0,1,0)</f>
        <v>0</v>
      </c>
      <c r="E1541">
        <f>IF(COUNTIFS('United Data'!$A$3:$A$3390,E$1,'United Data'!$C$3:$C$3390,$A1541)&gt;0,1,0)</f>
        <v>0</v>
      </c>
      <c r="F1541">
        <f>IF(COUNTIFS('United Data'!$A$3:$A$3390,F$1,'United Data'!$C$3:$C$3390,$A1541)&gt;0,1,0)</f>
        <v>0</v>
      </c>
      <c r="G1541">
        <f>IF(COUNTIFS('United Data'!$A$3:$A$3390,G$1,'United Data'!$C$3:$C$3390,$A1541)&gt;0,1,0)</f>
        <v>1</v>
      </c>
      <c r="H1541">
        <f>IF(COUNTIFS('United Data'!$A$3:$A$3390,H$1,'United Data'!$C$3:$C$3390,$A1541)&gt;0,1,0)</f>
        <v>0</v>
      </c>
      <c r="I1541">
        <f>IF(COUNTIFS('United Data'!$A$3:$A$3390,I$1,'United Data'!$C$3:$C$3390,$A1541)&gt;0,1,0)</f>
        <v>0</v>
      </c>
      <c r="J1541">
        <f>IF(COUNTIFS('United Data'!$A$3:$A$3390,J$1,'United Data'!$C$3:$C$3390,$A1541)&gt;0,1,0)</f>
        <v>0</v>
      </c>
      <c r="K1541">
        <f>IF(COUNTIFS('United Data'!$A$3:$A$3390,K$1,'United Data'!$C$3:$C$3390,$A1541)&gt;0,1,0)</f>
        <v>0</v>
      </c>
      <c r="L1541">
        <f>IF(COUNTIFS('United Data'!$A$3:$A$3390,L$1,'United Data'!$C$3:$C$3390,$A1541)&gt;0,1,0)</f>
        <v>0</v>
      </c>
      <c r="M1541">
        <f>IF(COUNTIFS('United Data'!$A$3:$A$3390,M$1,'United Data'!$C$3:$C$3390,$A1541)&gt;0,1,0)</f>
        <v>0</v>
      </c>
      <c r="N1541">
        <f>IF(COUNTIFS('United Data'!$A$3:$A$3390,N$1,'United Data'!$C$3:$C$3390,$A1541)&gt;0,1,0)</f>
        <v>0</v>
      </c>
      <c r="O1541">
        <f>IF(COUNTIFS('United Data'!$A$3:$A$3390,O$1,'United Data'!$C$3:$C$3390,$A1541)&gt;0,1,0)</f>
        <v>0</v>
      </c>
      <c r="P1541">
        <f>IF(COUNTIFS('United Data'!$A$3:$A$3390,P$1,'United Data'!$C$3:$C$3390,$A1541)&gt;0,1,0)</f>
        <v>0</v>
      </c>
      <c r="Q1541">
        <f>IF(COUNTIFS('United Data'!$A$3:$A$3390,Q$1,'United Data'!$C$3:$C$3390,$A1541)&gt;0,1,0)</f>
        <v>0</v>
      </c>
      <c r="R1541">
        <f>IF(COUNTIFS('United Data'!$A$3:$A$3390,R$1,'United Data'!$C$3:$C$3390,$A1541)&gt;0,1,0)</f>
        <v>0</v>
      </c>
      <c r="S1541">
        <f t="shared" si="48"/>
        <v>1</v>
      </c>
      <c r="T1541">
        <f t="shared" si="49"/>
        <v>1</v>
      </c>
    </row>
    <row r="1542" spans="1:20" x14ac:dyDescent="0.2">
      <c r="A1542" t="s">
        <v>1820</v>
      </c>
      <c r="B1542">
        <f>IF(COUNTIFS('United Data'!$A$3:$A$3390,B$1,'United Data'!$C$3:$C$3390,$A1542)&gt;0,1,0)</f>
        <v>0</v>
      </c>
      <c r="C1542">
        <f>IF(COUNTIFS('United Data'!$A$3:$A$3390,C$1,'United Data'!$C$3:$C$3390,$A1542)&gt;0,1,0)</f>
        <v>0</v>
      </c>
      <c r="D1542">
        <f>IF(COUNTIFS('United Data'!$A$3:$A$3390,D$1,'United Data'!$C$3:$C$3390,$A1542)&gt;0,1,0)</f>
        <v>0</v>
      </c>
      <c r="E1542">
        <f>IF(COUNTIFS('United Data'!$A$3:$A$3390,E$1,'United Data'!$C$3:$C$3390,$A1542)&gt;0,1,0)</f>
        <v>0</v>
      </c>
      <c r="F1542">
        <f>IF(COUNTIFS('United Data'!$A$3:$A$3390,F$1,'United Data'!$C$3:$C$3390,$A1542)&gt;0,1,0)</f>
        <v>0</v>
      </c>
      <c r="G1542">
        <f>IF(COUNTIFS('United Data'!$A$3:$A$3390,G$1,'United Data'!$C$3:$C$3390,$A1542)&gt;0,1,0)</f>
        <v>1</v>
      </c>
      <c r="H1542">
        <f>IF(COUNTIFS('United Data'!$A$3:$A$3390,H$1,'United Data'!$C$3:$C$3390,$A1542)&gt;0,1,0)</f>
        <v>0</v>
      </c>
      <c r="I1542">
        <f>IF(COUNTIFS('United Data'!$A$3:$A$3390,I$1,'United Data'!$C$3:$C$3390,$A1542)&gt;0,1,0)</f>
        <v>0</v>
      </c>
      <c r="J1542">
        <f>IF(COUNTIFS('United Data'!$A$3:$A$3390,J$1,'United Data'!$C$3:$C$3390,$A1542)&gt;0,1,0)</f>
        <v>0</v>
      </c>
      <c r="K1542">
        <f>IF(COUNTIFS('United Data'!$A$3:$A$3390,K$1,'United Data'!$C$3:$C$3390,$A1542)&gt;0,1,0)</f>
        <v>0</v>
      </c>
      <c r="L1542">
        <f>IF(COUNTIFS('United Data'!$A$3:$A$3390,L$1,'United Data'!$C$3:$C$3390,$A1542)&gt;0,1,0)</f>
        <v>0</v>
      </c>
      <c r="M1542">
        <f>IF(COUNTIFS('United Data'!$A$3:$A$3390,M$1,'United Data'!$C$3:$C$3390,$A1542)&gt;0,1,0)</f>
        <v>0</v>
      </c>
      <c r="N1542">
        <f>IF(COUNTIFS('United Data'!$A$3:$A$3390,N$1,'United Data'!$C$3:$C$3390,$A1542)&gt;0,1,0)</f>
        <v>0</v>
      </c>
      <c r="O1542">
        <f>IF(COUNTIFS('United Data'!$A$3:$A$3390,O$1,'United Data'!$C$3:$C$3390,$A1542)&gt;0,1,0)</f>
        <v>0</v>
      </c>
      <c r="P1542">
        <f>IF(COUNTIFS('United Data'!$A$3:$A$3390,P$1,'United Data'!$C$3:$C$3390,$A1542)&gt;0,1,0)</f>
        <v>0</v>
      </c>
      <c r="Q1542">
        <f>IF(COUNTIFS('United Data'!$A$3:$A$3390,Q$1,'United Data'!$C$3:$C$3390,$A1542)&gt;0,1,0)</f>
        <v>0</v>
      </c>
      <c r="R1542">
        <f>IF(COUNTIFS('United Data'!$A$3:$A$3390,R$1,'United Data'!$C$3:$C$3390,$A1542)&gt;0,1,0)</f>
        <v>0</v>
      </c>
      <c r="S1542">
        <f t="shared" si="48"/>
        <v>1</v>
      </c>
      <c r="T1542">
        <f t="shared" si="49"/>
        <v>1</v>
      </c>
    </row>
    <row r="1543" spans="1:20" x14ac:dyDescent="0.2">
      <c r="A1543" t="s">
        <v>1821</v>
      </c>
      <c r="B1543">
        <f>IF(COUNTIFS('United Data'!$A$3:$A$3390,B$1,'United Data'!$C$3:$C$3390,$A1543)&gt;0,1,0)</f>
        <v>0</v>
      </c>
      <c r="C1543">
        <f>IF(COUNTIFS('United Data'!$A$3:$A$3390,C$1,'United Data'!$C$3:$C$3390,$A1543)&gt;0,1,0)</f>
        <v>0</v>
      </c>
      <c r="D1543">
        <f>IF(COUNTIFS('United Data'!$A$3:$A$3390,D$1,'United Data'!$C$3:$C$3390,$A1543)&gt;0,1,0)</f>
        <v>0</v>
      </c>
      <c r="E1543">
        <f>IF(COUNTIFS('United Data'!$A$3:$A$3390,E$1,'United Data'!$C$3:$C$3390,$A1543)&gt;0,1,0)</f>
        <v>0</v>
      </c>
      <c r="F1543">
        <f>IF(COUNTIFS('United Data'!$A$3:$A$3390,F$1,'United Data'!$C$3:$C$3390,$A1543)&gt;0,1,0)</f>
        <v>0</v>
      </c>
      <c r="G1543">
        <f>IF(COUNTIFS('United Data'!$A$3:$A$3390,G$1,'United Data'!$C$3:$C$3390,$A1543)&gt;0,1,0)</f>
        <v>1</v>
      </c>
      <c r="H1543">
        <f>IF(COUNTIFS('United Data'!$A$3:$A$3390,H$1,'United Data'!$C$3:$C$3390,$A1543)&gt;0,1,0)</f>
        <v>0</v>
      </c>
      <c r="I1543">
        <f>IF(COUNTIFS('United Data'!$A$3:$A$3390,I$1,'United Data'!$C$3:$C$3390,$A1543)&gt;0,1,0)</f>
        <v>0</v>
      </c>
      <c r="J1543">
        <f>IF(COUNTIFS('United Data'!$A$3:$A$3390,J$1,'United Data'!$C$3:$C$3390,$A1543)&gt;0,1,0)</f>
        <v>0</v>
      </c>
      <c r="K1543">
        <f>IF(COUNTIFS('United Data'!$A$3:$A$3390,K$1,'United Data'!$C$3:$C$3390,$A1543)&gt;0,1,0)</f>
        <v>1</v>
      </c>
      <c r="L1543">
        <f>IF(COUNTIFS('United Data'!$A$3:$A$3390,L$1,'United Data'!$C$3:$C$3390,$A1543)&gt;0,1,0)</f>
        <v>1</v>
      </c>
      <c r="M1543">
        <f>IF(COUNTIFS('United Data'!$A$3:$A$3390,M$1,'United Data'!$C$3:$C$3390,$A1543)&gt;0,1,0)</f>
        <v>1</v>
      </c>
      <c r="N1543">
        <f>IF(COUNTIFS('United Data'!$A$3:$A$3390,N$1,'United Data'!$C$3:$C$3390,$A1543)&gt;0,1,0)</f>
        <v>0</v>
      </c>
      <c r="O1543">
        <f>IF(COUNTIFS('United Data'!$A$3:$A$3390,O$1,'United Data'!$C$3:$C$3390,$A1543)&gt;0,1,0)</f>
        <v>0</v>
      </c>
      <c r="P1543">
        <f>IF(COUNTIFS('United Data'!$A$3:$A$3390,P$1,'United Data'!$C$3:$C$3390,$A1543)&gt;0,1,0)</f>
        <v>0</v>
      </c>
      <c r="Q1543">
        <f>IF(COUNTIFS('United Data'!$A$3:$A$3390,Q$1,'United Data'!$C$3:$C$3390,$A1543)&gt;0,1,0)</f>
        <v>0</v>
      </c>
      <c r="R1543">
        <f>IF(COUNTIFS('United Data'!$A$3:$A$3390,R$1,'United Data'!$C$3:$C$3390,$A1543)&gt;0,1,0)</f>
        <v>0</v>
      </c>
      <c r="S1543">
        <f t="shared" si="48"/>
        <v>4</v>
      </c>
      <c r="T1543">
        <f t="shared" si="49"/>
        <v>2</v>
      </c>
    </row>
    <row r="1544" spans="1:20" x14ac:dyDescent="0.2">
      <c r="A1544" t="s">
        <v>1823</v>
      </c>
      <c r="B1544">
        <f>IF(COUNTIFS('United Data'!$A$3:$A$3390,B$1,'United Data'!$C$3:$C$3390,$A1544)&gt;0,1,0)</f>
        <v>0</v>
      </c>
      <c r="C1544">
        <f>IF(COUNTIFS('United Data'!$A$3:$A$3390,C$1,'United Data'!$C$3:$C$3390,$A1544)&gt;0,1,0)</f>
        <v>0</v>
      </c>
      <c r="D1544">
        <f>IF(COUNTIFS('United Data'!$A$3:$A$3390,D$1,'United Data'!$C$3:$C$3390,$A1544)&gt;0,1,0)</f>
        <v>0</v>
      </c>
      <c r="E1544">
        <f>IF(COUNTIFS('United Data'!$A$3:$A$3390,E$1,'United Data'!$C$3:$C$3390,$A1544)&gt;0,1,0)</f>
        <v>0</v>
      </c>
      <c r="F1544">
        <f>IF(COUNTIFS('United Data'!$A$3:$A$3390,F$1,'United Data'!$C$3:$C$3390,$A1544)&gt;0,1,0)</f>
        <v>0</v>
      </c>
      <c r="G1544">
        <f>IF(COUNTIFS('United Data'!$A$3:$A$3390,G$1,'United Data'!$C$3:$C$3390,$A1544)&gt;0,1,0)</f>
        <v>0</v>
      </c>
      <c r="H1544">
        <f>IF(COUNTIFS('United Data'!$A$3:$A$3390,H$1,'United Data'!$C$3:$C$3390,$A1544)&gt;0,1,0)</f>
        <v>1</v>
      </c>
      <c r="I1544">
        <f>IF(COUNTIFS('United Data'!$A$3:$A$3390,I$1,'United Data'!$C$3:$C$3390,$A1544)&gt;0,1,0)</f>
        <v>0</v>
      </c>
      <c r="J1544">
        <f>IF(COUNTIFS('United Data'!$A$3:$A$3390,J$1,'United Data'!$C$3:$C$3390,$A1544)&gt;0,1,0)</f>
        <v>0</v>
      </c>
      <c r="K1544">
        <f>IF(COUNTIFS('United Data'!$A$3:$A$3390,K$1,'United Data'!$C$3:$C$3390,$A1544)&gt;0,1,0)</f>
        <v>0</v>
      </c>
      <c r="L1544">
        <f>IF(COUNTIFS('United Data'!$A$3:$A$3390,L$1,'United Data'!$C$3:$C$3390,$A1544)&gt;0,1,0)</f>
        <v>0</v>
      </c>
      <c r="M1544">
        <f>IF(COUNTIFS('United Data'!$A$3:$A$3390,M$1,'United Data'!$C$3:$C$3390,$A1544)&gt;0,1,0)</f>
        <v>0</v>
      </c>
      <c r="N1544">
        <f>IF(COUNTIFS('United Data'!$A$3:$A$3390,N$1,'United Data'!$C$3:$C$3390,$A1544)&gt;0,1,0)</f>
        <v>0</v>
      </c>
      <c r="O1544">
        <f>IF(COUNTIFS('United Data'!$A$3:$A$3390,O$1,'United Data'!$C$3:$C$3390,$A1544)&gt;0,1,0)</f>
        <v>0</v>
      </c>
      <c r="P1544">
        <f>IF(COUNTIFS('United Data'!$A$3:$A$3390,P$1,'United Data'!$C$3:$C$3390,$A1544)&gt;0,1,0)</f>
        <v>0</v>
      </c>
      <c r="Q1544">
        <f>IF(COUNTIFS('United Data'!$A$3:$A$3390,Q$1,'United Data'!$C$3:$C$3390,$A1544)&gt;0,1,0)</f>
        <v>0</v>
      </c>
      <c r="R1544">
        <f>IF(COUNTIFS('United Data'!$A$3:$A$3390,R$1,'United Data'!$C$3:$C$3390,$A1544)&gt;0,1,0)</f>
        <v>0</v>
      </c>
      <c r="S1544">
        <f t="shared" si="48"/>
        <v>1</v>
      </c>
      <c r="T1544">
        <f t="shared" si="49"/>
        <v>1</v>
      </c>
    </row>
    <row r="1545" spans="1:20" x14ac:dyDescent="0.2">
      <c r="A1545" t="s">
        <v>1824</v>
      </c>
      <c r="B1545">
        <f>IF(COUNTIFS('United Data'!$A$3:$A$3390,B$1,'United Data'!$C$3:$C$3390,$A1545)&gt;0,1,0)</f>
        <v>0</v>
      </c>
      <c r="C1545">
        <f>IF(COUNTIFS('United Data'!$A$3:$A$3390,C$1,'United Data'!$C$3:$C$3390,$A1545)&gt;0,1,0)</f>
        <v>0</v>
      </c>
      <c r="D1545">
        <f>IF(COUNTIFS('United Data'!$A$3:$A$3390,D$1,'United Data'!$C$3:$C$3390,$A1545)&gt;0,1,0)</f>
        <v>0</v>
      </c>
      <c r="E1545">
        <f>IF(COUNTIFS('United Data'!$A$3:$A$3390,E$1,'United Data'!$C$3:$C$3390,$A1545)&gt;0,1,0)</f>
        <v>0</v>
      </c>
      <c r="F1545">
        <f>IF(COUNTIFS('United Data'!$A$3:$A$3390,F$1,'United Data'!$C$3:$C$3390,$A1545)&gt;0,1,0)</f>
        <v>0</v>
      </c>
      <c r="G1545">
        <f>IF(COUNTIFS('United Data'!$A$3:$A$3390,G$1,'United Data'!$C$3:$C$3390,$A1545)&gt;0,1,0)</f>
        <v>0</v>
      </c>
      <c r="H1545">
        <f>IF(COUNTIFS('United Data'!$A$3:$A$3390,H$1,'United Data'!$C$3:$C$3390,$A1545)&gt;0,1,0)</f>
        <v>1</v>
      </c>
      <c r="I1545">
        <f>IF(COUNTIFS('United Data'!$A$3:$A$3390,I$1,'United Data'!$C$3:$C$3390,$A1545)&gt;0,1,0)</f>
        <v>0</v>
      </c>
      <c r="J1545">
        <f>IF(COUNTIFS('United Data'!$A$3:$A$3390,J$1,'United Data'!$C$3:$C$3390,$A1545)&gt;0,1,0)</f>
        <v>0</v>
      </c>
      <c r="K1545">
        <f>IF(COUNTIFS('United Data'!$A$3:$A$3390,K$1,'United Data'!$C$3:$C$3390,$A1545)&gt;0,1,0)</f>
        <v>0</v>
      </c>
      <c r="L1545">
        <f>IF(COUNTIFS('United Data'!$A$3:$A$3390,L$1,'United Data'!$C$3:$C$3390,$A1545)&gt;0,1,0)</f>
        <v>0</v>
      </c>
      <c r="M1545">
        <f>IF(COUNTIFS('United Data'!$A$3:$A$3390,M$1,'United Data'!$C$3:$C$3390,$A1545)&gt;0,1,0)</f>
        <v>0</v>
      </c>
      <c r="N1545">
        <f>IF(COUNTIFS('United Data'!$A$3:$A$3390,N$1,'United Data'!$C$3:$C$3390,$A1545)&gt;0,1,0)</f>
        <v>0</v>
      </c>
      <c r="O1545">
        <f>IF(COUNTIFS('United Data'!$A$3:$A$3390,O$1,'United Data'!$C$3:$C$3390,$A1545)&gt;0,1,0)</f>
        <v>0</v>
      </c>
      <c r="P1545">
        <f>IF(COUNTIFS('United Data'!$A$3:$A$3390,P$1,'United Data'!$C$3:$C$3390,$A1545)&gt;0,1,0)</f>
        <v>0</v>
      </c>
      <c r="Q1545">
        <f>IF(COUNTIFS('United Data'!$A$3:$A$3390,Q$1,'United Data'!$C$3:$C$3390,$A1545)&gt;0,1,0)</f>
        <v>0</v>
      </c>
      <c r="R1545">
        <f>IF(COUNTIFS('United Data'!$A$3:$A$3390,R$1,'United Data'!$C$3:$C$3390,$A1545)&gt;0,1,0)</f>
        <v>0</v>
      </c>
      <c r="S1545">
        <f t="shared" si="48"/>
        <v>1</v>
      </c>
      <c r="T1545">
        <f t="shared" si="49"/>
        <v>1</v>
      </c>
    </row>
    <row r="1546" spans="1:20" x14ac:dyDescent="0.2">
      <c r="A1546" t="s">
        <v>1825</v>
      </c>
      <c r="B1546">
        <f>IF(COUNTIFS('United Data'!$A$3:$A$3390,B$1,'United Data'!$C$3:$C$3390,$A1546)&gt;0,1,0)</f>
        <v>0</v>
      </c>
      <c r="C1546">
        <f>IF(COUNTIFS('United Data'!$A$3:$A$3390,C$1,'United Data'!$C$3:$C$3390,$A1546)&gt;0,1,0)</f>
        <v>0</v>
      </c>
      <c r="D1546">
        <f>IF(COUNTIFS('United Data'!$A$3:$A$3390,D$1,'United Data'!$C$3:$C$3390,$A1546)&gt;0,1,0)</f>
        <v>0</v>
      </c>
      <c r="E1546">
        <f>IF(COUNTIFS('United Data'!$A$3:$A$3390,E$1,'United Data'!$C$3:$C$3390,$A1546)&gt;0,1,0)</f>
        <v>0</v>
      </c>
      <c r="F1546">
        <f>IF(COUNTIFS('United Data'!$A$3:$A$3390,F$1,'United Data'!$C$3:$C$3390,$A1546)&gt;0,1,0)</f>
        <v>0</v>
      </c>
      <c r="G1546">
        <f>IF(COUNTIFS('United Data'!$A$3:$A$3390,G$1,'United Data'!$C$3:$C$3390,$A1546)&gt;0,1,0)</f>
        <v>0</v>
      </c>
      <c r="H1546">
        <f>IF(COUNTIFS('United Data'!$A$3:$A$3390,H$1,'United Data'!$C$3:$C$3390,$A1546)&gt;0,1,0)</f>
        <v>1</v>
      </c>
      <c r="I1546">
        <f>IF(COUNTIFS('United Data'!$A$3:$A$3390,I$1,'United Data'!$C$3:$C$3390,$A1546)&gt;0,1,0)</f>
        <v>0</v>
      </c>
      <c r="J1546">
        <f>IF(COUNTIFS('United Data'!$A$3:$A$3390,J$1,'United Data'!$C$3:$C$3390,$A1546)&gt;0,1,0)</f>
        <v>0</v>
      </c>
      <c r="K1546">
        <f>IF(COUNTIFS('United Data'!$A$3:$A$3390,K$1,'United Data'!$C$3:$C$3390,$A1546)&gt;0,1,0)</f>
        <v>0</v>
      </c>
      <c r="L1546">
        <f>IF(COUNTIFS('United Data'!$A$3:$A$3390,L$1,'United Data'!$C$3:$C$3390,$A1546)&gt;0,1,0)</f>
        <v>0</v>
      </c>
      <c r="M1546">
        <f>IF(COUNTIFS('United Data'!$A$3:$A$3390,M$1,'United Data'!$C$3:$C$3390,$A1546)&gt;0,1,0)</f>
        <v>0</v>
      </c>
      <c r="N1546">
        <f>IF(COUNTIFS('United Data'!$A$3:$A$3390,N$1,'United Data'!$C$3:$C$3390,$A1546)&gt;0,1,0)</f>
        <v>0</v>
      </c>
      <c r="O1546">
        <f>IF(COUNTIFS('United Data'!$A$3:$A$3390,O$1,'United Data'!$C$3:$C$3390,$A1546)&gt;0,1,0)</f>
        <v>0</v>
      </c>
      <c r="P1546">
        <f>IF(COUNTIFS('United Data'!$A$3:$A$3390,P$1,'United Data'!$C$3:$C$3390,$A1546)&gt;0,1,0)</f>
        <v>0</v>
      </c>
      <c r="Q1546">
        <f>IF(COUNTIFS('United Data'!$A$3:$A$3390,Q$1,'United Data'!$C$3:$C$3390,$A1546)&gt;0,1,0)</f>
        <v>0</v>
      </c>
      <c r="R1546">
        <f>IF(COUNTIFS('United Data'!$A$3:$A$3390,R$1,'United Data'!$C$3:$C$3390,$A1546)&gt;0,1,0)</f>
        <v>0</v>
      </c>
      <c r="S1546">
        <f t="shared" si="48"/>
        <v>1</v>
      </c>
      <c r="T1546">
        <f t="shared" si="49"/>
        <v>1</v>
      </c>
    </row>
    <row r="1547" spans="1:20" x14ac:dyDescent="0.2">
      <c r="A1547" t="s">
        <v>1826</v>
      </c>
      <c r="B1547">
        <f>IF(COUNTIFS('United Data'!$A$3:$A$3390,B$1,'United Data'!$C$3:$C$3390,$A1547)&gt;0,1,0)</f>
        <v>0</v>
      </c>
      <c r="C1547">
        <f>IF(COUNTIFS('United Data'!$A$3:$A$3390,C$1,'United Data'!$C$3:$C$3390,$A1547)&gt;0,1,0)</f>
        <v>0</v>
      </c>
      <c r="D1547">
        <f>IF(COUNTIFS('United Data'!$A$3:$A$3390,D$1,'United Data'!$C$3:$C$3390,$A1547)&gt;0,1,0)</f>
        <v>0</v>
      </c>
      <c r="E1547">
        <f>IF(COUNTIFS('United Data'!$A$3:$A$3390,E$1,'United Data'!$C$3:$C$3390,$A1547)&gt;0,1,0)</f>
        <v>0</v>
      </c>
      <c r="F1547">
        <f>IF(COUNTIFS('United Data'!$A$3:$A$3390,F$1,'United Data'!$C$3:$C$3390,$A1547)&gt;0,1,0)</f>
        <v>0</v>
      </c>
      <c r="G1547">
        <f>IF(COUNTIFS('United Data'!$A$3:$A$3390,G$1,'United Data'!$C$3:$C$3390,$A1547)&gt;0,1,0)</f>
        <v>0</v>
      </c>
      <c r="H1547">
        <f>IF(COUNTIFS('United Data'!$A$3:$A$3390,H$1,'United Data'!$C$3:$C$3390,$A1547)&gt;0,1,0)</f>
        <v>0</v>
      </c>
      <c r="I1547">
        <f>IF(COUNTIFS('United Data'!$A$3:$A$3390,I$1,'United Data'!$C$3:$C$3390,$A1547)&gt;0,1,0)</f>
        <v>1</v>
      </c>
      <c r="J1547">
        <f>IF(COUNTIFS('United Data'!$A$3:$A$3390,J$1,'United Data'!$C$3:$C$3390,$A1547)&gt;0,1,0)</f>
        <v>0</v>
      </c>
      <c r="K1547">
        <f>IF(COUNTIFS('United Data'!$A$3:$A$3390,K$1,'United Data'!$C$3:$C$3390,$A1547)&gt;0,1,0)</f>
        <v>0</v>
      </c>
      <c r="L1547">
        <f>IF(COUNTIFS('United Data'!$A$3:$A$3390,L$1,'United Data'!$C$3:$C$3390,$A1547)&gt;0,1,0)</f>
        <v>1</v>
      </c>
      <c r="M1547">
        <f>IF(COUNTIFS('United Data'!$A$3:$A$3390,M$1,'United Data'!$C$3:$C$3390,$A1547)&gt;0,1,0)</f>
        <v>0</v>
      </c>
      <c r="N1547">
        <f>IF(COUNTIFS('United Data'!$A$3:$A$3390,N$1,'United Data'!$C$3:$C$3390,$A1547)&gt;0,1,0)</f>
        <v>0</v>
      </c>
      <c r="O1547">
        <f>IF(COUNTIFS('United Data'!$A$3:$A$3390,O$1,'United Data'!$C$3:$C$3390,$A1547)&gt;0,1,0)</f>
        <v>0</v>
      </c>
      <c r="P1547">
        <f>IF(COUNTIFS('United Data'!$A$3:$A$3390,P$1,'United Data'!$C$3:$C$3390,$A1547)&gt;0,1,0)</f>
        <v>0</v>
      </c>
      <c r="Q1547">
        <f>IF(COUNTIFS('United Data'!$A$3:$A$3390,Q$1,'United Data'!$C$3:$C$3390,$A1547)&gt;0,1,0)</f>
        <v>0</v>
      </c>
      <c r="R1547">
        <f>IF(COUNTIFS('United Data'!$A$3:$A$3390,R$1,'United Data'!$C$3:$C$3390,$A1547)&gt;0,1,0)</f>
        <v>0</v>
      </c>
      <c r="S1547">
        <f t="shared" si="48"/>
        <v>2</v>
      </c>
      <c r="T1547">
        <f t="shared" si="49"/>
        <v>2</v>
      </c>
    </row>
    <row r="1548" spans="1:20" x14ac:dyDescent="0.2">
      <c r="A1548" t="s">
        <v>1827</v>
      </c>
      <c r="B1548">
        <f>IF(COUNTIFS('United Data'!$A$3:$A$3390,B$1,'United Data'!$C$3:$C$3390,$A1548)&gt;0,1,0)</f>
        <v>0</v>
      </c>
      <c r="C1548">
        <f>IF(COUNTIFS('United Data'!$A$3:$A$3390,C$1,'United Data'!$C$3:$C$3390,$A1548)&gt;0,1,0)</f>
        <v>0</v>
      </c>
      <c r="D1548">
        <f>IF(COUNTIFS('United Data'!$A$3:$A$3390,D$1,'United Data'!$C$3:$C$3390,$A1548)&gt;0,1,0)</f>
        <v>0</v>
      </c>
      <c r="E1548">
        <f>IF(COUNTIFS('United Data'!$A$3:$A$3390,E$1,'United Data'!$C$3:$C$3390,$A1548)&gt;0,1,0)</f>
        <v>0</v>
      </c>
      <c r="F1548">
        <f>IF(COUNTIFS('United Data'!$A$3:$A$3390,F$1,'United Data'!$C$3:$C$3390,$A1548)&gt;0,1,0)</f>
        <v>0</v>
      </c>
      <c r="G1548">
        <f>IF(COUNTIFS('United Data'!$A$3:$A$3390,G$1,'United Data'!$C$3:$C$3390,$A1548)&gt;0,1,0)</f>
        <v>0</v>
      </c>
      <c r="H1548">
        <f>IF(COUNTIFS('United Data'!$A$3:$A$3390,H$1,'United Data'!$C$3:$C$3390,$A1548)&gt;0,1,0)</f>
        <v>0</v>
      </c>
      <c r="I1548">
        <f>IF(COUNTIFS('United Data'!$A$3:$A$3390,I$1,'United Data'!$C$3:$C$3390,$A1548)&gt;0,1,0)</f>
        <v>1</v>
      </c>
      <c r="J1548">
        <f>IF(COUNTIFS('United Data'!$A$3:$A$3390,J$1,'United Data'!$C$3:$C$3390,$A1548)&gt;0,1,0)</f>
        <v>0</v>
      </c>
      <c r="K1548">
        <f>IF(COUNTIFS('United Data'!$A$3:$A$3390,K$1,'United Data'!$C$3:$C$3390,$A1548)&gt;0,1,0)</f>
        <v>1</v>
      </c>
      <c r="L1548">
        <f>IF(COUNTIFS('United Data'!$A$3:$A$3390,L$1,'United Data'!$C$3:$C$3390,$A1548)&gt;0,1,0)</f>
        <v>0</v>
      </c>
      <c r="M1548">
        <f>IF(COUNTIFS('United Data'!$A$3:$A$3390,M$1,'United Data'!$C$3:$C$3390,$A1548)&gt;0,1,0)</f>
        <v>1</v>
      </c>
      <c r="N1548">
        <f>IF(COUNTIFS('United Data'!$A$3:$A$3390,N$1,'United Data'!$C$3:$C$3390,$A1548)&gt;0,1,0)</f>
        <v>0</v>
      </c>
      <c r="O1548">
        <f>IF(COUNTIFS('United Data'!$A$3:$A$3390,O$1,'United Data'!$C$3:$C$3390,$A1548)&gt;0,1,0)</f>
        <v>0</v>
      </c>
      <c r="P1548">
        <f>IF(COUNTIFS('United Data'!$A$3:$A$3390,P$1,'United Data'!$C$3:$C$3390,$A1548)&gt;0,1,0)</f>
        <v>0</v>
      </c>
      <c r="Q1548">
        <f>IF(COUNTIFS('United Data'!$A$3:$A$3390,Q$1,'United Data'!$C$3:$C$3390,$A1548)&gt;0,1,0)</f>
        <v>0</v>
      </c>
      <c r="R1548">
        <f>IF(COUNTIFS('United Data'!$A$3:$A$3390,R$1,'United Data'!$C$3:$C$3390,$A1548)&gt;0,1,0)</f>
        <v>0</v>
      </c>
      <c r="S1548">
        <f t="shared" si="48"/>
        <v>3</v>
      </c>
      <c r="T1548">
        <f t="shared" si="49"/>
        <v>3</v>
      </c>
    </row>
    <row r="1549" spans="1:20" x14ac:dyDescent="0.2">
      <c r="A1549" t="s">
        <v>1828</v>
      </c>
      <c r="B1549">
        <f>IF(COUNTIFS('United Data'!$A$3:$A$3390,B$1,'United Data'!$C$3:$C$3390,$A1549)&gt;0,1,0)</f>
        <v>0</v>
      </c>
      <c r="C1549">
        <f>IF(COUNTIFS('United Data'!$A$3:$A$3390,C$1,'United Data'!$C$3:$C$3390,$A1549)&gt;0,1,0)</f>
        <v>0</v>
      </c>
      <c r="D1549">
        <f>IF(COUNTIFS('United Data'!$A$3:$A$3390,D$1,'United Data'!$C$3:$C$3390,$A1549)&gt;0,1,0)</f>
        <v>0</v>
      </c>
      <c r="E1549">
        <f>IF(COUNTIFS('United Data'!$A$3:$A$3390,E$1,'United Data'!$C$3:$C$3390,$A1549)&gt;0,1,0)</f>
        <v>0</v>
      </c>
      <c r="F1549">
        <f>IF(COUNTIFS('United Data'!$A$3:$A$3390,F$1,'United Data'!$C$3:$C$3390,$A1549)&gt;0,1,0)</f>
        <v>0</v>
      </c>
      <c r="G1549">
        <f>IF(COUNTIFS('United Data'!$A$3:$A$3390,G$1,'United Data'!$C$3:$C$3390,$A1549)&gt;0,1,0)</f>
        <v>0</v>
      </c>
      <c r="H1549">
        <f>IF(COUNTIFS('United Data'!$A$3:$A$3390,H$1,'United Data'!$C$3:$C$3390,$A1549)&gt;0,1,0)</f>
        <v>0</v>
      </c>
      <c r="I1549">
        <f>IF(COUNTIFS('United Data'!$A$3:$A$3390,I$1,'United Data'!$C$3:$C$3390,$A1549)&gt;0,1,0)</f>
        <v>0</v>
      </c>
      <c r="J1549">
        <f>IF(COUNTIFS('United Data'!$A$3:$A$3390,J$1,'United Data'!$C$3:$C$3390,$A1549)&gt;0,1,0)</f>
        <v>1</v>
      </c>
      <c r="K1549">
        <f>IF(COUNTIFS('United Data'!$A$3:$A$3390,K$1,'United Data'!$C$3:$C$3390,$A1549)&gt;0,1,0)</f>
        <v>0</v>
      </c>
      <c r="L1549">
        <f>IF(COUNTIFS('United Data'!$A$3:$A$3390,L$1,'United Data'!$C$3:$C$3390,$A1549)&gt;0,1,0)</f>
        <v>0</v>
      </c>
      <c r="M1549">
        <f>IF(COUNTIFS('United Data'!$A$3:$A$3390,M$1,'United Data'!$C$3:$C$3390,$A1549)&gt;0,1,0)</f>
        <v>0</v>
      </c>
      <c r="N1549">
        <f>IF(COUNTIFS('United Data'!$A$3:$A$3390,N$1,'United Data'!$C$3:$C$3390,$A1549)&gt;0,1,0)</f>
        <v>0</v>
      </c>
      <c r="O1549">
        <f>IF(COUNTIFS('United Data'!$A$3:$A$3390,O$1,'United Data'!$C$3:$C$3390,$A1549)&gt;0,1,0)</f>
        <v>0</v>
      </c>
      <c r="P1549">
        <f>IF(COUNTIFS('United Data'!$A$3:$A$3390,P$1,'United Data'!$C$3:$C$3390,$A1549)&gt;0,1,0)</f>
        <v>0</v>
      </c>
      <c r="Q1549">
        <f>IF(COUNTIFS('United Data'!$A$3:$A$3390,Q$1,'United Data'!$C$3:$C$3390,$A1549)&gt;0,1,0)</f>
        <v>0</v>
      </c>
      <c r="R1549">
        <f>IF(COUNTIFS('United Data'!$A$3:$A$3390,R$1,'United Data'!$C$3:$C$3390,$A1549)&gt;0,1,0)</f>
        <v>0</v>
      </c>
      <c r="S1549">
        <f t="shared" si="48"/>
        <v>1</v>
      </c>
      <c r="T1549">
        <f t="shared" si="49"/>
        <v>1</v>
      </c>
    </row>
    <row r="1550" spans="1:20" x14ac:dyDescent="0.2">
      <c r="A1550" t="s">
        <v>1829</v>
      </c>
      <c r="B1550">
        <f>IF(COUNTIFS('United Data'!$A$3:$A$3390,B$1,'United Data'!$C$3:$C$3390,$A1550)&gt;0,1,0)</f>
        <v>0</v>
      </c>
      <c r="C1550">
        <f>IF(COUNTIFS('United Data'!$A$3:$A$3390,C$1,'United Data'!$C$3:$C$3390,$A1550)&gt;0,1,0)</f>
        <v>0</v>
      </c>
      <c r="D1550">
        <f>IF(COUNTIFS('United Data'!$A$3:$A$3390,D$1,'United Data'!$C$3:$C$3390,$A1550)&gt;0,1,0)</f>
        <v>0</v>
      </c>
      <c r="E1550">
        <f>IF(COUNTIFS('United Data'!$A$3:$A$3390,E$1,'United Data'!$C$3:$C$3390,$A1550)&gt;0,1,0)</f>
        <v>0</v>
      </c>
      <c r="F1550">
        <f>IF(COUNTIFS('United Data'!$A$3:$A$3390,F$1,'United Data'!$C$3:$C$3390,$A1550)&gt;0,1,0)</f>
        <v>0</v>
      </c>
      <c r="G1550">
        <f>IF(COUNTIFS('United Data'!$A$3:$A$3390,G$1,'United Data'!$C$3:$C$3390,$A1550)&gt;0,1,0)</f>
        <v>0</v>
      </c>
      <c r="H1550">
        <f>IF(COUNTIFS('United Data'!$A$3:$A$3390,H$1,'United Data'!$C$3:$C$3390,$A1550)&gt;0,1,0)</f>
        <v>0</v>
      </c>
      <c r="I1550">
        <f>IF(COUNTIFS('United Data'!$A$3:$A$3390,I$1,'United Data'!$C$3:$C$3390,$A1550)&gt;0,1,0)</f>
        <v>0</v>
      </c>
      <c r="J1550">
        <f>IF(COUNTIFS('United Data'!$A$3:$A$3390,J$1,'United Data'!$C$3:$C$3390,$A1550)&gt;0,1,0)</f>
        <v>1</v>
      </c>
      <c r="K1550">
        <f>IF(COUNTIFS('United Data'!$A$3:$A$3390,K$1,'United Data'!$C$3:$C$3390,$A1550)&gt;0,1,0)</f>
        <v>0</v>
      </c>
      <c r="L1550">
        <f>IF(COUNTIFS('United Data'!$A$3:$A$3390,L$1,'United Data'!$C$3:$C$3390,$A1550)&gt;0,1,0)</f>
        <v>0</v>
      </c>
      <c r="M1550">
        <f>IF(COUNTIFS('United Data'!$A$3:$A$3390,M$1,'United Data'!$C$3:$C$3390,$A1550)&gt;0,1,0)</f>
        <v>0</v>
      </c>
      <c r="N1550">
        <f>IF(COUNTIFS('United Data'!$A$3:$A$3390,N$1,'United Data'!$C$3:$C$3390,$A1550)&gt;0,1,0)</f>
        <v>0</v>
      </c>
      <c r="O1550">
        <f>IF(COUNTIFS('United Data'!$A$3:$A$3390,O$1,'United Data'!$C$3:$C$3390,$A1550)&gt;0,1,0)</f>
        <v>0</v>
      </c>
      <c r="P1550">
        <f>IF(COUNTIFS('United Data'!$A$3:$A$3390,P$1,'United Data'!$C$3:$C$3390,$A1550)&gt;0,1,0)</f>
        <v>0</v>
      </c>
      <c r="Q1550">
        <f>IF(COUNTIFS('United Data'!$A$3:$A$3390,Q$1,'United Data'!$C$3:$C$3390,$A1550)&gt;0,1,0)</f>
        <v>0</v>
      </c>
      <c r="R1550">
        <f>IF(COUNTIFS('United Data'!$A$3:$A$3390,R$1,'United Data'!$C$3:$C$3390,$A1550)&gt;0,1,0)</f>
        <v>0</v>
      </c>
      <c r="S1550">
        <f t="shared" si="48"/>
        <v>1</v>
      </c>
      <c r="T1550">
        <f t="shared" si="49"/>
        <v>1</v>
      </c>
    </row>
    <row r="1551" spans="1:20" x14ac:dyDescent="0.2">
      <c r="A1551" t="s">
        <v>1830</v>
      </c>
      <c r="B1551">
        <f>IF(COUNTIFS('United Data'!$A$3:$A$3390,B$1,'United Data'!$C$3:$C$3390,$A1551)&gt;0,1,0)</f>
        <v>0</v>
      </c>
      <c r="C1551">
        <f>IF(COUNTIFS('United Data'!$A$3:$A$3390,C$1,'United Data'!$C$3:$C$3390,$A1551)&gt;0,1,0)</f>
        <v>0</v>
      </c>
      <c r="D1551">
        <f>IF(COUNTIFS('United Data'!$A$3:$A$3390,D$1,'United Data'!$C$3:$C$3390,$A1551)&gt;0,1,0)</f>
        <v>0</v>
      </c>
      <c r="E1551">
        <f>IF(COUNTIFS('United Data'!$A$3:$A$3390,E$1,'United Data'!$C$3:$C$3390,$A1551)&gt;0,1,0)</f>
        <v>0</v>
      </c>
      <c r="F1551">
        <f>IF(COUNTIFS('United Data'!$A$3:$A$3390,F$1,'United Data'!$C$3:$C$3390,$A1551)&gt;0,1,0)</f>
        <v>0</v>
      </c>
      <c r="G1551">
        <f>IF(COUNTIFS('United Data'!$A$3:$A$3390,G$1,'United Data'!$C$3:$C$3390,$A1551)&gt;0,1,0)</f>
        <v>0</v>
      </c>
      <c r="H1551">
        <f>IF(COUNTIFS('United Data'!$A$3:$A$3390,H$1,'United Data'!$C$3:$C$3390,$A1551)&gt;0,1,0)</f>
        <v>0</v>
      </c>
      <c r="I1551">
        <f>IF(COUNTIFS('United Data'!$A$3:$A$3390,I$1,'United Data'!$C$3:$C$3390,$A1551)&gt;0,1,0)</f>
        <v>0</v>
      </c>
      <c r="J1551">
        <f>IF(COUNTIFS('United Data'!$A$3:$A$3390,J$1,'United Data'!$C$3:$C$3390,$A1551)&gt;0,1,0)</f>
        <v>1</v>
      </c>
      <c r="K1551">
        <f>IF(COUNTIFS('United Data'!$A$3:$A$3390,K$1,'United Data'!$C$3:$C$3390,$A1551)&gt;0,1,0)</f>
        <v>0</v>
      </c>
      <c r="L1551">
        <f>IF(COUNTIFS('United Data'!$A$3:$A$3390,L$1,'United Data'!$C$3:$C$3390,$A1551)&gt;0,1,0)</f>
        <v>0</v>
      </c>
      <c r="M1551">
        <f>IF(COUNTIFS('United Data'!$A$3:$A$3390,M$1,'United Data'!$C$3:$C$3390,$A1551)&gt;0,1,0)</f>
        <v>1</v>
      </c>
      <c r="N1551">
        <f>IF(COUNTIFS('United Data'!$A$3:$A$3390,N$1,'United Data'!$C$3:$C$3390,$A1551)&gt;0,1,0)</f>
        <v>1</v>
      </c>
      <c r="O1551">
        <f>IF(COUNTIFS('United Data'!$A$3:$A$3390,O$1,'United Data'!$C$3:$C$3390,$A1551)&gt;0,1,0)</f>
        <v>0</v>
      </c>
      <c r="P1551">
        <f>IF(COUNTIFS('United Data'!$A$3:$A$3390,P$1,'United Data'!$C$3:$C$3390,$A1551)&gt;0,1,0)</f>
        <v>0</v>
      </c>
      <c r="Q1551">
        <f>IF(COUNTIFS('United Data'!$A$3:$A$3390,Q$1,'United Data'!$C$3:$C$3390,$A1551)&gt;0,1,0)</f>
        <v>0</v>
      </c>
      <c r="R1551">
        <f>IF(COUNTIFS('United Data'!$A$3:$A$3390,R$1,'United Data'!$C$3:$C$3390,$A1551)&gt;0,1,0)</f>
        <v>0</v>
      </c>
      <c r="S1551">
        <f t="shared" si="48"/>
        <v>3</v>
      </c>
      <c r="T1551">
        <f t="shared" si="49"/>
        <v>2</v>
      </c>
    </row>
    <row r="1552" spans="1:20" x14ac:dyDescent="0.2">
      <c r="A1552" t="s">
        <v>1831</v>
      </c>
      <c r="B1552">
        <f>IF(COUNTIFS('United Data'!$A$3:$A$3390,B$1,'United Data'!$C$3:$C$3390,$A1552)&gt;0,1,0)</f>
        <v>0</v>
      </c>
      <c r="C1552">
        <f>IF(COUNTIFS('United Data'!$A$3:$A$3390,C$1,'United Data'!$C$3:$C$3390,$A1552)&gt;0,1,0)</f>
        <v>0</v>
      </c>
      <c r="D1552">
        <f>IF(COUNTIFS('United Data'!$A$3:$A$3390,D$1,'United Data'!$C$3:$C$3390,$A1552)&gt;0,1,0)</f>
        <v>0</v>
      </c>
      <c r="E1552">
        <f>IF(COUNTIFS('United Data'!$A$3:$A$3390,E$1,'United Data'!$C$3:$C$3390,$A1552)&gt;0,1,0)</f>
        <v>0</v>
      </c>
      <c r="F1552">
        <f>IF(COUNTIFS('United Data'!$A$3:$A$3390,F$1,'United Data'!$C$3:$C$3390,$A1552)&gt;0,1,0)</f>
        <v>0</v>
      </c>
      <c r="G1552">
        <f>IF(COUNTIFS('United Data'!$A$3:$A$3390,G$1,'United Data'!$C$3:$C$3390,$A1552)&gt;0,1,0)</f>
        <v>0</v>
      </c>
      <c r="H1552">
        <f>IF(COUNTIFS('United Data'!$A$3:$A$3390,H$1,'United Data'!$C$3:$C$3390,$A1552)&gt;0,1,0)</f>
        <v>0</v>
      </c>
      <c r="I1552">
        <f>IF(COUNTIFS('United Data'!$A$3:$A$3390,I$1,'United Data'!$C$3:$C$3390,$A1552)&gt;0,1,0)</f>
        <v>0</v>
      </c>
      <c r="J1552">
        <f>IF(COUNTIFS('United Data'!$A$3:$A$3390,J$1,'United Data'!$C$3:$C$3390,$A1552)&gt;0,1,0)</f>
        <v>0</v>
      </c>
      <c r="K1552">
        <f>IF(COUNTIFS('United Data'!$A$3:$A$3390,K$1,'United Data'!$C$3:$C$3390,$A1552)&gt;0,1,0)</f>
        <v>1</v>
      </c>
      <c r="L1552">
        <f>IF(COUNTIFS('United Data'!$A$3:$A$3390,L$1,'United Data'!$C$3:$C$3390,$A1552)&gt;0,1,0)</f>
        <v>0</v>
      </c>
      <c r="M1552">
        <f>IF(COUNTIFS('United Data'!$A$3:$A$3390,M$1,'United Data'!$C$3:$C$3390,$A1552)&gt;0,1,0)</f>
        <v>0</v>
      </c>
      <c r="N1552">
        <f>IF(COUNTIFS('United Data'!$A$3:$A$3390,N$1,'United Data'!$C$3:$C$3390,$A1552)&gt;0,1,0)</f>
        <v>0</v>
      </c>
      <c r="O1552">
        <f>IF(COUNTIFS('United Data'!$A$3:$A$3390,O$1,'United Data'!$C$3:$C$3390,$A1552)&gt;0,1,0)</f>
        <v>0</v>
      </c>
      <c r="P1552">
        <f>IF(COUNTIFS('United Data'!$A$3:$A$3390,P$1,'United Data'!$C$3:$C$3390,$A1552)&gt;0,1,0)</f>
        <v>0</v>
      </c>
      <c r="Q1552">
        <f>IF(COUNTIFS('United Data'!$A$3:$A$3390,Q$1,'United Data'!$C$3:$C$3390,$A1552)&gt;0,1,0)</f>
        <v>0</v>
      </c>
      <c r="R1552">
        <f>IF(COUNTIFS('United Data'!$A$3:$A$3390,R$1,'United Data'!$C$3:$C$3390,$A1552)&gt;0,1,0)</f>
        <v>0</v>
      </c>
      <c r="S1552">
        <f t="shared" si="48"/>
        <v>1</v>
      </c>
      <c r="T1552">
        <f t="shared" si="49"/>
        <v>1</v>
      </c>
    </row>
    <row r="1553" spans="1:20" x14ac:dyDescent="0.2">
      <c r="A1553" t="s">
        <v>1832</v>
      </c>
      <c r="B1553">
        <f>IF(COUNTIFS('United Data'!$A$3:$A$3390,B$1,'United Data'!$C$3:$C$3390,$A1553)&gt;0,1,0)</f>
        <v>0</v>
      </c>
      <c r="C1553">
        <f>IF(COUNTIFS('United Data'!$A$3:$A$3390,C$1,'United Data'!$C$3:$C$3390,$A1553)&gt;0,1,0)</f>
        <v>0</v>
      </c>
      <c r="D1553">
        <f>IF(COUNTIFS('United Data'!$A$3:$A$3390,D$1,'United Data'!$C$3:$C$3390,$A1553)&gt;0,1,0)</f>
        <v>0</v>
      </c>
      <c r="E1553">
        <f>IF(COUNTIFS('United Data'!$A$3:$A$3390,E$1,'United Data'!$C$3:$C$3390,$A1553)&gt;0,1,0)</f>
        <v>0</v>
      </c>
      <c r="F1553">
        <f>IF(COUNTIFS('United Data'!$A$3:$A$3390,F$1,'United Data'!$C$3:$C$3390,$A1553)&gt;0,1,0)</f>
        <v>0</v>
      </c>
      <c r="G1553">
        <f>IF(COUNTIFS('United Data'!$A$3:$A$3390,G$1,'United Data'!$C$3:$C$3390,$A1553)&gt;0,1,0)</f>
        <v>0</v>
      </c>
      <c r="H1553">
        <f>IF(COUNTIFS('United Data'!$A$3:$A$3390,H$1,'United Data'!$C$3:$C$3390,$A1553)&gt;0,1,0)</f>
        <v>0</v>
      </c>
      <c r="I1553">
        <f>IF(COUNTIFS('United Data'!$A$3:$A$3390,I$1,'United Data'!$C$3:$C$3390,$A1553)&gt;0,1,0)</f>
        <v>0</v>
      </c>
      <c r="J1553">
        <f>IF(COUNTIFS('United Data'!$A$3:$A$3390,J$1,'United Data'!$C$3:$C$3390,$A1553)&gt;0,1,0)</f>
        <v>0</v>
      </c>
      <c r="K1553">
        <f>IF(COUNTIFS('United Data'!$A$3:$A$3390,K$1,'United Data'!$C$3:$C$3390,$A1553)&gt;0,1,0)</f>
        <v>1</v>
      </c>
      <c r="L1553">
        <f>IF(COUNTIFS('United Data'!$A$3:$A$3390,L$1,'United Data'!$C$3:$C$3390,$A1553)&gt;0,1,0)</f>
        <v>0</v>
      </c>
      <c r="M1553">
        <f>IF(COUNTIFS('United Data'!$A$3:$A$3390,M$1,'United Data'!$C$3:$C$3390,$A1553)&gt;0,1,0)</f>
        <v>1</v>
      </c>
      <c r="N1553">
        <f>IF(COUNTIFS('United Data'!$A$3:$A$3390,N$1,'United Data'!$C$3:$C$3390,$A1553)&gt;0,1,0)</f>
        <v>0</v>
      </c>
      <c r="O1553">
        <f>IF(COUNTIFS('United Data'!$A$3:$A$3390,O$1,'United Data'!$C$3:$C$3390,$A1553)&gt;0,1,0)</f>
        <v>0</v>
      </c>
      <c r="P1553">
        <f>IF(COUNTIFS('United Data'!$A$3:$A$3390,P$1,'United Data'!$C$3:$C$3390,$A1553)&gt;0,1,0)</f>
        <v>0</v>
      </c>
      <c r="Q1553">
        <f>IF(COUNTIFS('United Data'!$A$3:$A$3390,Q$1,'United Data'!$C$3:$C$3390,$A1553)&gt;0,1,0)</f>
        <v>0</v>
      </c>
      <c r="R1553">
        <f>IF(COUNTIFS('United Data'!$A$3:$A$3390,R$1,'United Data'!$C$3:$C$3390,$A1553)&gt;0,1,0)</f>
        <v>0</v>
      </c>
      <c r="S1553">
        <f t="shared" si="48"/>
        <v>2</v>
      </c>
      <c r="T1553">
        <f t="shared" si="49"/>
        <v>2</v>
      </c>
    </row>
    <row r="1554" spans="1:20" x14ac:dyDescent="0.2">
      <c r="A1554" t="s">
        <v>1833</v>
      </c>
      <c r="B1554">
        <f>IF(COUNTIFS('United Data'!$A$3:$A$3390,B$1,'United Data'!$C$3:$C$3390,$A1554)&gt;0,1,0)</f>
        <v>0</v>
      </c>
      <c r="C1554">
        <f>IF(COUNTIFS('United Data'!$A$3:$A$3390,C$1,'United Data'!$C$3:$C$3390,$A1554)&gt;0,1,0)</f>
        <v>0</v>
      </c>
      <c r="D1554">
        <f>IF(COUNTIFS('United Data'!$A$3:$A$3390,D$1,'United Data'!$C$3:$C$3390,$A1554)&gt;0,1,0)</f>
        <v>0</v>
      </c>
      <c r="E1554">
        <f>IF(COUNTIFS('United Data'!$A$3:$A$3390,E$1,'United Data'!$C$3:$C$3390,$A1554)&gt;0,1,0)</f>
        <v>0</v>
      </c>
      <c r="F1554">
        <f>IF(COUNTIFS('United Data'!$A$3:$A$3390,F$1,'United Data'!$C$3:$C$3390,$A1554)&gt;0,1,0)</f>
        <v>0</v>
      </c>
      <c r="G1554">
        <f>IF(COUNTIFS('United Data'!$A$3:$A$3390,G$1,'United Data'!$C$3:$C$3390,$A1554)&gt;0,1,0)</f>
        <v>0</v>
      </c>
      <c r="H1554">
        <f>IF(COUNTIFS('United Data'!$A$3:$A$3390,H$1,'United Data'!$C$3:$C$3390,$A1554)&gt;0,1,0)</f>
        <v>0</v>
      </c>
      <c r="I1554">
        <f>IF(COUNTIFS('United Data'!$A$3:$A$3390,I$1,'United Data'!$C$3:$C$3390,$A1554)&gt;0,1,0)</f>
        <v>0</v>
      </c>
      <c r="J1554">
        <f>IF(COUNTIFS('United Data'!$A$3:$A$3390,J$1,'United Data'!$C$3:$C$3390,$A1554)&gt;0,1,0)</f>
        <v>0</v>
      </c>
      <c r="K1554">
        <f>IF(COUNTIFS('United Data'!$A$3:$A$3390,K$1,'United Data'!$C$3:$C$3390,$A1554)&gt;0,1,0)</f>
        <v>1</v>
      </c>
      <c r="L1554">
        <f>IF(COUNTIFS('United Data'!$A$3:$A$3390,L$1,'United Data'!$C$3:$C$3390,$A1554)&gt;0,1,0)</f>
        <v>0</v>
      </c>
      <c r="M1554">
        <f>IF(COUNTIFS('United Data'!$A$3:$A$3390,M$1,'United Data'!$C$3:$C$3390,$A1554)&gt;0,1,0)</f>
        <v>0</v>
      </c>
      <c r="N1554">
        <f>IF(COUNTIFS('United Data'!$A$3:$A$3390,N$1,'United Data'!$C$3:$C$3390,$A1554)&gt;0,1,0)</f>
        <v>0</v>
      </c>
      <c r="O1554">
        <f>IF(COUNTIFS('United Data'!$A$3:$A$3390,O$1,'United Data'!$C$3:$C$3390,$A1554)&gt;0,1,0)</f>
        <v>0</v>
      </c>
      <c r="P1554">
        <f>IF(COUNTIFS('United Data'!$A$3:$A$3390,P$1,'United Data'!$C$3:$C$3390,$A1554)&gt;0,1,0)</f>
        <v>0</v>
      </c>
      <c r="Q1554">
        <f>IF(COUNTIFS('United Data'!$A$3:$A$3390,Q$1,'United Data'!$C$3:$C$3390,$A1554)&gt;0,1,0)</f>
        <v>0</v>
      </c>
      <c r="R1554">
        <f>IF(COUNTIFS('United Data'!$A$3:$A$3390,R$1,'United Data'!$C$3:$C$3390,$A1554)&gt;0,1,0)</f>
        <v>0</v>
      </c>
      <c r="S1554">
        <f t="shared" si="48"/>
        <v>1</v>
      </c>
      <c r="T1554">
        <f t="shared" si="49"/>
        <v>1</v>
      </c>
    </row>
    <row r="1555" spans="1:20" x14ac:dyDescent="0.2">
      <c r="A1555" t="s">
        <v>1834</v>
      </c>
      <c r="B1555">
        <f>IF(COUNTIFS('United Data'!$A$3:$A$3390,B$1,'United Data'!$C$3:$C$3390,$A1555)&gt;0,1,0)</f>
        <v>0</v>
      </c>
      <c r="C1555">
        <f>IF(COUNTIFS('United Data'!$A$3:$A$3390,C$1,'United Data'!$C$3:$C$3390,$A1555)&gt;0,1,0)</f>
        <v>0</v>
      </c>
      <c r="D1555">
        <f>IF(COUNTIFS('United Data'!$A$3:$A$3390,D$1,'United Data'!$C$3:$C$3390,$A1555)&gt;0,1,0)</f>
        <v>0</v>
      </c>
      <c r="E1555">
        <f>IF(COUNTIFS('United Data'!$A$3:$A$3390,E$1,'United Data'!$C$3:$C$3390,$A1555)&gt;0,1,0)</f>
        <v>0</v>
      </c>
      <c r="F1555">
        <f>IF(COUNTIFS('United Data'!$A$3:$A$3390,F$1,'United Data'!$C$3:$C$3390,$A1555)&gt;0,1,0)</f>
        <v>0</v>
      </c>
      <c r="G1555">
        <f>IF(COUNTIFS('United Data'!$A$3:$A$3390,G$1,'United Data'!$C$3:$C$3390,$A1555)&gt;0,1,0)</f>
        <v>0</v>
      </c>
      <c r="H1555">
        <f>IF(COUNTIFS('United Data'!$A$3:$A$3390,H$1,'United Data'!$C$3:$C$3390,$A1555)&gt;0,1,0)</f>
        <v>0</v>
      </c>
      <c r="I1555">
        <f>IF(COUNTIFS('United Data'!$A$3:$A$3390,I$1,'United Data'!$C$3:$C$3390,$A1555)&gt;0,1,0)</f>
        <v>0</v>
      </c>
      <c r="J1555">
        <f>IF(COUNTIFS('United Data'!$A$3:$A$3390,J$1,'United Data'!$C$3:$C$3390,$A1555)&gt;0,1,0)</f>
        <v>0</v>
      </c>
      <c r="K1555">
        <f>IF(COUNTIFS('United Data'!$A$3:$A$3390,K$1,'United Data'!$C$3:$C$3390,$A1555)&gt;0,1,0)</f>
        <v>1</v>
      </c>
      <c r="L1555">
        <f>IF(COUNTIFS('United Data'!$A$3:$A$3390,L$1,'United Data'!$C$3:$C$3390,$A1555)&gt;0,1,0)</f>
        <v>0</v>
      </c>
      <c r="M1555">
        <f>IF(COUNTIFS('United Data'!$A$3:$A$3390,M$1,'United Data'!$C$3:$C$3390,$A1555)&gt;0,1,0)</f>
        <v>0</v>
      </c>
      <c r="N1555">
        <f>IF(COUNTIFS('United Data'!$A$3:$A$3390,N$1,'United Data'!$C$3:$C$3390,$A1555)&gt;0,1,0)</f>
        <v>0</v>
      </c>
      <c r="O1555">
        <f>IF(COUNTIFS('United Data'!$A$3:$A$3390,O$1,'United Data'!$C$3:$C$3390,$A1555)&gt;0,1,0)</f>
        <v>0</v>
      </c>
      <c r="P1555">
        <f>IF(COUNTIFS('United Data'!$A$3:$A$3390,P$1,'United Data'!$C$3:$C$3390,$A1555)&gt;0,1,0)</f>
        <v>0</v>
      </c>
      <c r="Q1555">
        <f>IF(COUNTIFS('United Data'!$A$3:$A$3390,Q$1,'United Data'!$C$3:$C$3390,$A1555)&gt;0,1,0)</f>
        <v>0</v>
      </c>
      <c r="R1555">
        <f>IF(COUNTIFS('United Data'!$A$3:$A$3390,R$1,'United Data'!$C$3:$C$3390,$A1555)&gt;0,1,0)</f>
        <v>0</v>
      </c>
      <c r="S1555">
        <f t="shared" si="48"/>
        <v>1</v>
      </c>
      <c r="T1555">
        <f t="shared" si="49"/>
        <v>1</v>
      </c>
    </row>
    <row r="1556" spans="1:20" x14ac:dyDescent="0.2">
      <c r="A1556" t="s">
        <v>1835</v>
      </c>
      <c r="B1556">
        <f>IF(COUNTIFS('United Data'!$A$3:$A$3390,B$1,'United Data'!$C$3:$C$3390,$A1556)&gt;0,1,0)</f>
        <v>0</v>
      </c>
      <c r="C1556">
        <f>IF(COUNTIFS('United Data'!$A$3:$A$3390,C$1,'United Data'!$C$3:$C$3390,$A1556)&gt;0,1,0)</f>
        <v>0</v>
      </c>
      <c r="D1556">
        <f>IF(COUNTIFS('United Data'!$A$3:$A$3390,D$1,'United Data'!$C$3:$C$3390,$A1556)&gt;0,1,0)</f>
        <v>0</v>
      </c>
      <c r="E1556">
        <f>IF(COUNTIFS('United Data'!$A$3:$A$3390,E$1,'United Data'!$C$3:$C$3390,$A1556)&gt;0,1,0)</f>
        <v>0</v>
      </c>
      <c r="F1556">
        <f>IF(COUNTIFS('United Data'!$A$3:$A$3390,F$1,'United Data'!$C$3:$C$3390,$A1556)&gt;0,1,0)</f>
        <v>0</v>
      </c>
      <c r="G1556">
        <f>IF(COUNTIFS('United Data'!$A$3:$A$3390,G$1,'United Data'!$C$3:$C$3390,$A1556)&gt;0,1,0)</f>
        <v>0</v>
      </c>
      <c r="H1556">
        <f>IF(COUNTIFS('United Data'!$A$3:$A$3390,H$1,'United Data'!$C$3:$C$3390,$A1556)&gt;0,1,0)</f>
        <v>0</v>
      </c>
      <c r="I1556">
        <f>IF(COUNTIFS('United Data'!$A$3:$A$3390,I$1,'United Data'!$C$3:$C$3390,$A1556)&gt;0,1,0)</f>
        <v>0</v>
      </c>
      <c r="J1556">
        <f>IF(COUNTIFS('United Data'!$A$3:$A$3390,J$1,'United Data'!$C$3:$C$3390,$A1556)&gt;0,1,0)</f>
        <v>0</v>
      </c>
      <c r="K1556">
        <f>IF(COUNTIFS('United Data'!$A$3:$A$3390,K$1,'United Data'!$C$3:$C$3390,$A1556)&gt;0,1,0)</f>
        <v>1</v>
      </c>
      <c r="L1556">
        <f>IF(COUNTIFS('United Data'!$A$3:$A$3390,L$1,'United Data'!$C$3:$C$3390,$A1556)&gt;0,1,0)</f>
        <v>0</v>
      </c>
      <c r="M1556">
        <f>IF(COUNTIFS('United Data'!$A$3:$A$3390,M$1,'United Data'!$C$3:$C$3390,$A1556)&gt;0,1,0)</f>
        <v>0</v>
      </c>
      <c r="N1556">
        <f>IF(COUNTIFS('United Data'!$A$3:$A$3390,N$1,'United Data'!$C$3:$C$3390,$A1556)&gt;0,1,0)</f>
        <v>0</v>
      </c>
      <c r="O1556">
        <f>IF(COUNTIFS('United Data'!$A$3:$A$3390,O$1,'United Data'!$C$3:$C$3390,$A1556)&gt;0,1,0)</f>
        <v>0</v>
      </c>
      <c r="P1556">
        <f>IF(COUNTIFS('United Data'!$A$3:$A$3390,P$1,'United Data'!$C$3:$C$3390,$A1556)&gt;0,1,0)</f>
        <v>0</v>
      </c>
      <c r="Q1556">
        <f>IF(COUNTIFS('United Data'!$A$3:$A$3390,Q$1,'United Data'!$C$3:$C$3390,$A1556)&gt;0,1,0)</f>
        <v>0</v>
      </c>
      <c r="R1556">
        <f>IF(COUNTIFS('United Data'!$A$3:$A$3390,R$1,'United Data'!$C$3:$C$3390,$A1556)&gt;0,1,0)</f>
        <v>0</v>
      </c>
      <c r="S1556">
        <f t="shared" si="48"/>
        <v>1</v>
      </c>
      <c r="T1556">
        <f t="shared" si="49"/>
        <v>1</v>
      </c>
    </row>
    <row r="1557" spans="1:20" x14ac:dyDescent="0.2">
      <c r="A1557" t="s">
        <v>1836</v>
      </c>
      <c r="B1557">
        <f>IF(COUNTIFS('United Data'!$A$3:$A$3390,B$1,'United Data'!$C$3:$C$3390,$A1557)&gt;0,1,0)</f>
        <v>0</v>
      </c>
      <c r="C1557">
        <f>IF(COUNTIFS('United Data'!$A$3:$A$3390,C$1,'United Data'!$C$3:$C$3390,$A1557)&gt;0,1,0)</f>
        <v>0</v>
      </c>
      <c r="D1557">
        <f>IF(COUNTIFS('United Data'!$A$3:$A$3390,D$1,'United Data'!$C$3:$C$3390,$A1557)&gt;0,1,0)</f>
        <v>0</v>
      </c>
      <c r="E1557">
        <f>IF(COUNTIFS('United Data'!$A$3:$A$3390,E$1,'United Data'!$C$3:$C$3390,$A1557)&gt;0,1,0)</f>
        <v>0</v>
      </c>
      <c r="F1557">
        <f>IF(COUNTIFS('United Data'!$A$3:$A$3390,F$1,'United Data'!$C$3:$C$3390,$A1557)&gt;0,1,0)</f>
        <v>0</v>
      </c>
      <c r="G1557">
        <f>IF(COUNTIFS('United Data'!$A$3:$A$3390,G$1,'United Data'!$C$3:$C$3390,$A1557)&gt;0,1,0)</f>
        <v>0</v>
      </c>
      <c r="H1557">
        <f>IF(COUNTIFS('United Data'!$A$3:$A$3390,H$1,'United Data'!$C$3:$C$3390,$A1557)&gt;0,1,0)</f>
        <v>0</v>
      </c>
      <c r="I1557">
        <f>IF(COUNTIFS('United Data'!$A$3:$A$3390,I$1,'United Data'!$C$3:$C$3390,$A1557)&gt;0,1,0)</f>
        <v>0</v>
      </c>
      <c r="J1557">
        <f>IF(COUNTIFS('United Data'!$A$3:$A$3390,J$1,'United Data'!$C$3:$C$3390,$A1557)&gt;0,1,0)</f>
        <v>0</v>
      </c>
      <c r="K1557">
        <f>IF(COUNTIFS('United Data'!$A$3:$A$3390,K$1,'United Data'!$C$3:$C$3390,$A1557)&gt;0,1,0)</f>
        <v>1</v>
      </c>
      <c r="L1557">
        <f>IF(COUNTIFS('United Data'!$A$3:$A$3390,L$1,'United Data'!$C$3:$C$3390,$A1557)&gt;0,1,0)</f>
        <v>0</v>
      </c>
      <c r="M1557">
        <f>IF(COUNTIFS('United Data'!$A$3:$A$3390,M$1,'United Data'!$C$3:$C$3390,$A1557)&gt;0,1,0)</f>
        <v>0</v>
      </c>
      <c r="N1557">
        <f>IF(COUNTIFS('United Data'!$A$3:$A$3390,N$1,'United Data'!$C$3:$C$3390,$A1557)&gt;0,1,0)</f>
        <v>0</v>
      </c>
      <c r="O1557">
        <f>IF(COUNTIFS('United Data'!$A$3:$A$3390,O$1,'United Data'!$C$3:$C$3390,$A1557)&gt;0,1,0)</f>
        <v>0</v>
      </c>
      <c r="P1557">
        <f>IF(COUNTIFS('United Data'!$A$3:$A$3390,P$1,'United Data'!$C$3:$C$3390,$A1557)&gt;0,1,0)</f>
        <v>0</v>
      </c>
      <c r="Q1557">
        <f>IF(COUNTIFS('United Data'!$A$3:$A$3390,Q$1,'United Data'!$C$3:$C$3390,$A1557)&gt;0,1,0)</f>
        <v>0</v>
      </c>
      <c r="R1557">
        <f>IF(COUNTIFS('United Data'!$A$3:$A$3390,R$1,'United Data'!$C$3:$C$3390,$A1557)&gt;0,1,0)</f>
        <v>0</v>
      </c>
      <c r="S1557">
        <f t="shared" si="48"/>
        <v>1</v>
      </c>
      <c r="T1557">
        <f t="shared" si="49"/>
        <v>1</v>
      </c>
    </row>
    <row r="1558" spans="1:20" x14ac:dyDescent="0.2">
      <c r="A1558" t="s">
        <v>1837</v>
      </c>
      <c r="B1558">
        <f>IF(COUNTIFS('United Data'!$A$3:$A$3390,B$1,'United Data'!$C$3:$C$3390,$A1558)&gt;0,1,0)</f>
        <v>0</v>
      </c>
      <c r="C1558">
        <f>IF(COUNTIFS('United Data'!$A$3:$A$3390,C$1,'United Data'!$C$3:$C$3390,$A1558)&gt;0,1,0)</f>
        <v>0</v>
      </c>
      <c r="D1558">
        <f>IF(COUNTIFS('United Data'!$A$3:$A$3390,D$1,'United Data'!$C$3:$C$3390,$A1558)&gt;0,1,0)</f>
        <v>0</v>
      </c>
      <c r="E1558">
        <f>IF(COUNTIFS('United Data'!$A$3:$A$3390,E$1,'United Data'!$C$3:$C$3390,$A1558)&gt;0,1,0)</f>
        <v>0</v>
      </c>
      <c r="F1558">
        <f>IF(COUNTIFS('United Data'!$A$3:$A$3390,F$1,'United Data'!$C$3:$C$3390,$A1558)&gt;0,1,0)</f>
        <v>0</v>
      </c>
      <c r="G1558">
        <f>IF(COUNTIFS('United Data'!$A$3:$A$3390,G$1,'United Data'!$C$3:$C$3390,$A1558)&gt;0,1,0)</f>
        <v>0</v>
      </c>
      <c r="H1558">
        <f>IF(COUNTIFS('United Data'!$A$3:$A$3390,H$1,'United Data'!$C$3:$C$3390,$A1558)&gt;0,1,0)</f>
        <v>0</v>
      </c>
      <c r="I1558">
        <f>IF(COUNTIFS('United Data'!$A$3:$A$3390,I$1,'United Data'!$C$3:$C$3390,$A1558)&gt;0,1,0)</f>
        <v>0</v>
      </c>
      <c r="J1558">
        <f>IF(COUNTIFS('United Data'!$A$3:$A$3390,J$1,'United Data'!$C$3:$C$3390,$A1558)&gt;0,1,0)</f>
        <v>0</v>
      </c>
      <c r="K1558">
        <f>IF(COUNTIFS('United Data'!$A$3:$A$3390,K$1,'United Data'!$C$3:$C$3390,$A1558)&gt;0,1,0)</f>
        <v>0</v>
      </c>
      <c r="L1558">
        <f>IF(COUNTIFS('United Data'!$A$3:$A$3390,L$1,'United Data'!$C$3:$C$3390,$A1558)&gt;0,1,0)</f>
        <v>1</v>
      </c>
      <c r="M1558">
        <f>IF(COUNTIFS('United Data'!$A$3:$A$3390,M$1,'United Data'!$C$3:$C$3390,$A1558)&gt;0,1,0)</f>
        <v>0</v>
      </c>
      <c r="N1558">
        <f>IF(COUNTIFS('United Data'!$A$3:$A$3390,N$1,'United Data'!$C$3:$C$3390,$A1558)&gt;0,1,0)</f>
        <v>0</v>
      </c>
      <c r="O1558">
        <f>IF(COUNTIFS('United Data'!$A$3:$A$3390,O$1,'United Data'!$C$3:$C$3390,$A1558)&gt;0,1,0)</f>
        <v>0</v>
      </c>
      <c r="P1558">
        <f>IF(COUNTIFS('United Data'!$A$3:$A$3390,P$1,'United Data'!$C$3:$C$3390,$A1558)&gt;0,1,0)</f>
        <v>0</v>
      </c>
      <c r="Q1558">
        <f>IF(COUNTIFS('United Data'!$A$3:$A$3390,Q$1,'United Data'!$C$3:$C$3390,$A1558)&gt;0,1,0)</f>
        <v>0</v>
      </c>
      <c r="R1558">
        <f>IF(COUNTIFS('United Data'!$A$3:$A$3390,R$1,'United Data'!$C$3:$C$3390,$A1558)&gt;0,1,0)</f>
        <v>0</v>
      </c>
      <c r="S1558">
        <f t="shared" si="48"/>
        <v>1</v>
      </c>
      <c r="T1558">
        <f t="shared" si="49"/>
        <v>1</v>
      </c>
    </row>
    <row r="1559" spans="1:20" x14ac:dyDescent="0.2">
      <c r="A1559" t="s">
        <v>1838</v>
      </c>
      <c r="B1559">
        <f>IF(COUNTIFS('United Data'!$A$3:$A$3390,B$1,'United Data'!$C$3:$C$3390,$A1559)&gt;0,1,0)</f>
        <v>0</v>
      </c>
      <c r="C1559">
        <f>IF(COUNTIFS('United Data'!$A$3:$A$3390,C$1,'United Data'!$C$3:$C$3390,$A1559)&gt;0,1,0)</f>
        <v>0</v>
      </c>
      <c r="D1559">
        <f>IF(COUNTIFS('United Data'!$A$3:$A$3390,D$1,'United Data'!$C$3:$C$3390,$A1559)&gt;0,1,0)</f>
        <v>0</v>
      </c>
      <c r="E1559">
        <f>IF(COUNTIFS('United Data'!$A$3:$A$3390,E$1,'United Data'!$C$3:$C$3390,$A1559)&gt;0,1,0)</f>
        <v>0</v>
      </c>
      <c r="F1559">
        <f>IF(COUNTIFS('United Data'!$A$3:$A$3390,F$1,'United Data'!$C$3:$C$3390,$A1559)&gt;0,1,0)</f>
        <v>0</v>
      </c>
      <c r="G1559">
        <f>IF(COUNTIFS('United Data'!$A$3:$A$3390,G$1,'United Data'!$C$3:$C$3390,$A1559)&gt;0,1,0)</f>
        <v>0</v>
      </c>
      <c r="H1559">
        <f>IF(COUNTIFS('United Data'!$A$3:$A$3390,H$1,'United Data'!$C$3:$C$3390,$A1559)&gt;0,1,0)</f>
        <v>0</v>
      </c>
      <c r="I1559">
        <f>IF(COUNTIFS('United Data'!$A$3:$A$3390,I$1,'United Data'!$C$3:$C$3390,$A1559)&gt;0,1,0)</f>
        <v>0</v>
      </c>
      <c r="J1559">
        <f>IF(COUNTIFS('United Data'!$A$3:$A$3390,J$1,'United Data'!$C$3:$C$3390,$A1559)&gt;0,1,0)</f>
        <v>0</v>
      </c>
      <c r="K1559">
        <f>IF(COUNTIFS('United Data'!$A$3:$A$3390,K$1,'United Data'!$C$3:$C$3390,$A1559)&gt;0,1,0)</f>
        <v>0</v>
      </c>
      <c r="L1559">
        <f>IF(COUNTIFS('United Data'!$A$3:$A$3390,L$1,'United Data'!$C$3:$C$3390,$A1559)&gt;0,1,0)</f>
        <v>0</v>
      </c>
      <c r="M1559">
        <f>IF(COUNTIFS('United Data'!$A$3:$A$3390,M$1,'United Data'!$C$3:$C$3390,$A1559)&gt;0,1,0)</f>
        <v>1</v>
      </c>
      <c r="N1559">
        <f>IF(COUNTIFS('United Data'!$A$3:$A$3390,N$1,'United Data'!$C$3:$C$3390,$A1559)&gt;0,1,0)</f>
        <v>0</v>
      </c>
      <c r="O1559">
        <f>IF(COUNTIFS('United Data'!$A$3:$A$3390,O$1,'United Data'!$C$3:$C$3390,$A1559)&gt;0,1,0)</f>
        <v>0</v>
      </c>
      <c r="P1559">
        <f>IF(COUNTIFS('United Data'!$A$3:$A$3390,P$1,'United Data'!$C$3:$C$3390,$A1559)&gt;0,1,0)</f>
        <v>0</v>
      </c>
      <c r="Q1559">
        <f>IF(COUNTIFS('United Data'!$A$3:$A$3390,Q$1,'United Data'!$C$3:$C$3390,$A1559)&gt;0,1,0)</f>
        <v>0</v>
      </c>
      <c r="R1559">
        <f>IF(COUNTIFS('United Data'!$A$3:$A$3390,R$1,'United Data'!$C$3:$C$3390,$A1559)&gt;0,1,0)</f>
        <v>0</v>
      </c>
      <c r="S1559">
        <f t="shared" si="48"/>
        <v>1</v>
      </c>
      <c r="T1559">
        <f t="shared" si="49"/>
        <v>1</v>
      </c>
    </row>
    <row r="1560" spans="1:20" x14ac:dyDescent="0.2">
      <c r="A1560" t="s">
        <v>1839</v>
      </c>
      <c r="B1560">
        <f>IF(COUNTIFS('United Data'!$A$3:$A$3390,B$1,'United Data'!$C$3:$C$3390,$A1560)&gt;0,1,0)</f>
        <v>0</v>
      </c>
      <c r="C1560">
        <f>IF(COUNTIFS('United Data'!$A$3:$A$3390,C$1,'United Data'!$C$3:$C$3390,$A1560)&gt;0,1,0)</f>
        <v>0</v>
      </c>
      <c r="D1560">
        <f>IF(COUNTIFS('United Data'!$A$3:$A$3390,D$1,'United Data'!$C$3:$C$3390,$A1560)&gt;0,1,0)</f>
        <v>0</v>
      </c>
      <c r="E1560">
        <f>IF(COUNTIFS('United Data'!$A$3:$A$3390,E$1,'United Data'!$C$3:$C$3390,$A1560)&gt;0,1,0)</f>
        <v>0</v>
      </c>
      <c r="F1560">
        <f>IF(COUNTIFS('United Data'!$A$3:$A$3390,F$1,'United Data'!$C$3:$C$3390,$A1560)&gt;0,1,0)</f>
        <v>0</v>
      </c>
      <c r="G1560">
        <f>IF(COUNTIFS('United Data'!$A$3:$A$3390,G$1,'United Data'!$C$3:$C$3390,$A1560)&gt;0,1,0)</f>
        <v>0</v>
      </c>
      <c r="H1560">
        <f>IF(COUNTIFS('United Data'!$A$3:$A$3390,H$1,'United Data'!$C$3:$C$3390,$A1560)&gt;0,1,0)</f>
        <v>0</v>
      </c>
      <c r="I1560">
        <f>IF(COUNTIFS('United Data'!$A$3:$A$3390,I$1,'United Data'!$C$3:$C$3390,$A1560)&gt;0,1,0)</f>
        <v>0</v>
      </c>
      <c r="J1560">
        <f>IF(COUNTIFS('United Data'!$A$3:$A$3390,J$1,'United Data'!$C$3:$C$3390,$A1560)&gt;0,1,0)</f>
        <v>0</v>
      </c>
      <c r="K1560">
        <f>IF(COUNTIFS('United Data'!$A$3:$A$3390,K$1,'United Data'!$C$3:$C$3390,$A1560)&gt;0,1,0)</f>
        <v>0</v>
      </c>
      <c r="L1560">
        <f>IF(COUNTIFS('United Data'!$A$3:$A$3390,L$1,'United Data'!$C$3:$C$3390,$A1560)&gt;0,1,0)</f>
        <v>0</v>
      </c>
      <c r="M1560">
        <f>IF(COUNTIFS('United Data'!$A$3:$A$3390,M$1,'United Data'!$C$3:$C$3390,$A1560)&gt;0,1,0)</f>
        <v>1</v>
      </c>
      <c r="N1560">
        <f>IF(COUNTIFS('United Data'!$A$3:$A$3390,N$1,'United Data'!$C$3:$C$3390,$A1560)&gt;0,1,0)</f>
        <v>1</v>
      </c>
      <c r="O1560">
        <f>IF(COUNTIFS('United Data'!$A$3:$A$3390,O$1,'United Data'!$C$3:$C$3390,$A1560)&gt;0,1,0)</f>
        <v>0</v>
      </c>
      <c r="P1560">
        <f>IF(COUNTIFS('United Data'!$A$3:$A$3390,P$1,'United Data'!$C$3:$C$3390,$A1560)&gt;0,1,0)</f>
        <v>0</v>
      </c>
      <c r="Q1560">
        <f>IF(COUNTIFS('United Data'!$A$3:$A$3390,Q$1,'United Data'!$C$3:$C$3390,$A1560)&gt;0,1,0)</f>
        <v>0</v>
      </c>
      <c r="R1560">
        <f>IF(COUNTIFS('United Data'!$A$3:$A$3390,R$1,'United Data'!$C$3:$C$3390,$A1560)&gt;0,1,0)</f>
        <v>0</v>
      </c>
      <c r="S1560">
        <f t="shared" si="48"/>
        <v>2</v>
      </c>
      <c r="T1560">
        <f t="shared" si="49"/>
        <v>1</v>
      </c>
    </row>
    <row r="1561" spans="1:20" x14ac:dyDescent="0.2">
      <c r="A1561" t="s">
        <v>1840</v>
      </c>
      <c r="B1561">
        <f>IF(COUNTIFS('United Data'!$A$3:$A$3390,B$1,'United Data'!$C$3:$C$3390,$A1561)&gt;0,1,0)</f>
        <v>0</v>
      </c>
      <c r="C1561">
        <f>IF(COUNTIFS('United Data'!$A$3:$A$3390,C$1,'United Data'!$C$3:$C$3390,$A1561)&gt;0,1,0)</f>
        <v>0</v>
      </c>
      <c r="D1561">
        <f>IF(COUNTIFS('United Data'!$A$3:$A$3390,D$1,'United Data'!$C$3:$C$3390,$A1561)&gt;0,1,0)</f>
        <v>0</v>
      </c>
      <c r="E1561">
        <f>IF(COUNTIFS('United Data'!$A$3:$A$3390,E$1,'United Data'!$C$3:$C$3390,$A1561)&gt;0,1,0)</f>
        <v>0</v>
      </c>
      <c r="F1561">
        <f>IF(COUNTIFS('United Data'!$A$3:$A$3390,F$1,'United Data'!$C$3:$C$3390,$A1561)&gt;0,1,0)</f>
        <v>0</v>
      </c>
      <c r="G1561">
        <f>IF(COUNTIFS('United Data'!$A$3:$A$3390,G$1,'United Data'!$C$3:$C$3390,$A1561)&gt;0,1,0)</f>
        <v>0</v>
      </c>
      <c r="H1561">
        <f>IF(COUNTIFS('United Data'!$A$3:$A$3390,H$1,'United Data'!$C$3:$C$3390,$A1561)&gt;0,1,0)</f>
        <v>0</v>
      </c>
      <c r="I1561">
        <f>IF(COUNTIFS('United Data'!$A$3:$A$3390,I$1,'United Data'!$C$3:$C$3390,$A1561)&gt;0,1,0)</f>
        <v>0</v>
      </c>
      <c r="J1561">
        <f>IF(COUNTIFS('United Data'!$A$3:$A$3390,J$1,'United Data'!$C$3:$C$3390,$A1561)&gt;0,1,0)</f>
        <v>0</v>
      </c>
      <c r="K1561">
        <f>IF(COUNTIFS('United Data'!$A$3:$A$3390,K$1,'United Data'!$C$3:$C$3390,$A1561)&gt;0,1,0)</f>
        <v>0</v>
      </c>
      <c r="L1561">
        <f>IF(COUNTIFS('United Data'!$A$3:$A$3390,L$1,'United Data'!$C$3:$C$3390,$A1561)&gt;0,1,0)</f>
        <v>0</v>
      </c>
      <c r="M1561">
        <f>IF(COUNTIFS('United Data'!$A$3:$A$3390,M$1,'United Data'!$C$3:$C$3390,$A1561)&gt;0,1,0)</f>
        <v>0</v>
      </c>
      <c r="N1561">
        <f>IF(COUNTIFS('United Data'!$A$3:$A$3390,N$1,'United Data'!$C$3:$C$3390,$A1561)&gt;0,1,0)</f>
        <v>1</v>
      </c>
      <c r="O1561">
        <f>IF(COUNTIFS('United Data'!$A$3:$A$3390,O$1,'United Data'!$C$3:$C$3390,$A1561)&gt;0,1,0)</f>
        <v>0</v>
      </c>
      <c r="P1561">
        <f>IF(COUNTIFS('United Data'!$A$3:$A$3390,P$1,'United Data'!$C$3:$C$3390,$A1561)&gt;0,1,0)</f>
        <v>0</v>
      </c>
      <c r="Q1561">
        <f>IF(COUNTIFS('United Data'!$A$3:$A$3390,Q$1,'United Data'!$C$3:$C$3390,$A1561)&gt;0,1,0)</f>
        <v>0</v>
      </c>
      <c r="R1561">
        <f>IF(COUNTIFS('United Data'!$A$3:$A$3390,R$1,'United Data'!$C$3:$C$3390,$A1561)&gt;0,1,0)</f>
        <v>0</v>
      </c>
      <c r="S1561">
        <f t="shared" si="48"/>
        <v>1</v>
      </c>
      <c r="T1561">
        <f t="shared" si="49"/>
        <v>1</v>
      </c>
    </row>
    <row r="1562" spans="1:20" x14ac:dyDescent="0.2">
      <c r="A1562" t="s">
        <v>1841</v>
      </c>
      <c r="B1562">
        <f>IF(COUNTIFS('United Data'!$A$3:$A$3390,B$1,'United Data'!$C$3:$C$3390,$A1562)&gt;0,1,0)</f>
        <v>0</v>
      </c>
      <c r="C1562">
        <f>IF(COUNTIFS('United Data'!$A$3:$A$3390,C$1,'United Data'!$C$3:$C$3390,$A1562)&gt;0,1,0)</f>
        <v>0</v>
      </c>
      <c r="D1562">
        <f>IF(COUNTIFS('United Data'!$A$3:$A$3390,D$1,'United Data'!$C$3:$C$3390,$A1562)&gt;0,1,0)</f>
        <v>0</v>
      </c>
      <c r="E1562">
        <f>IF(COUNTIFS('United Data'!$A$3:$A$3390,E$1,'United Data'!$C$3:$C$3390,$A1562)&gt;0,1,0)</f>
        <v>0</v>
      </c>
      <c r="F1562">
        <f>IF(COUNTIFS('United Data'!$A$3:$A$3390,F$1,'United Data'!$C$3:$C$3390,$A1562)&gt;0,1,0)</f>
        <v>0</v>
      </c>
      <c r="G1562">
        <f>IF(COUNTIFS('United Data'!$A$3:$A$3390,G$1,'United Data'!$C$3:$C$3390,$A1562)&gt;0,1,0)</f>
        <v>0</v>
      </c>
      <c r="H1562">
        <f>IF(COUNTIFS('United Data'!$A$3:$A$3390,H$1,'United Data'!$C$3:$C$3390,$A1562)&gt;0,1,0)</f>
        <v>0</v>
      </c>
      <c r="I1562">
        <f>IF(COUNTIFS('United Data'!$A$3:$A$3390,I$1,'United Data'!$C$3:$C$3390,$A1562)&gt;0,1,0)</f>
        <v>0</v>
      </c>
      <c r="J1562">
        <f>IF(COUNTIFS('United Data'!$A$3:$A$3390,J$1,'United Data'!$C$3:$C$3390,$A1562)&gt;0,1,0)</f>
        <v>0</v>
      </c>
      <c r="K1562">
        <f>IF(COUNTIFS('United Data'!$A$3:$A$3390,K$1,'United Data'!$C$3:$C$3390,$A1562)&gt;0,1,0)</f>
        <v>0</v>
      </c>
      <c r="L1562">
        <f>IF(COUNTIFS('United Data'!$A$3:$A$3390,L$1,'United Data'!$C$3:$C$3390,$A1562)&gt;0,1,0)</f>
        <v>0</v>
      </c>
      <c r="M1562">
        <f>IF(COUNTIFS('United Data'!$A$3:$A$3390,M$1,'United Data'!$C$3:$C$3390,$A1562)&gt;0,1,0)</f>
        <v>0</v>
      </c>
      <c r="N1562">
        <f>IF(COUNTIFS('United Data'!$A$3:$A$3390,N$1,'United Data'!$C$3:$C$3390,$A1562)&gt;0,1,0)</f>
        <v>0</v>
      </c>
      <c r="O1562">
        <f>IF(COUNTIFS('United Data'!$A$3:$A$3390,O$1,'United Data'!$C$3:$C$3390,$A1562)&gt;0,1,0)</f>
        <v>1</v>
      </c>
      <c r="P1562">
        <f>IF(COUNTIFS('United Data'!$A$3:$A$3390,P$1,'United Data'!$C$3:$C$3390,$A1562)&gt;0,1,0)</f>
        <v>0</v>
      </c>
      <c r="Q1562">
        <f>IF(COUNTIFS('United Data'!$A$3:$A$3390,Q$1,'United Data'!$C$3:$C$3390,$A1562)&gt;0,1,0)</f>
        <v>0</v>
      </c>
      <c r="R1562">
        <f>IF(COUNTIFS('United Data'!$A$3:$A$3390,R$1,'United Data'!$C$3:$C$3390,$A1562)&gt;0,1,0)</f>
        <v>0</v>
      </c>
      <c r="S1562">
        <f t="shared" si="48"/>
        <v>1</v>
      </c>
      <c r="T1562">
        <f t="shared" si="49"/>
        <v>1</v>
      </c>
    </row>
    <row r="1563" spans="1:20" x14ac:dyDescent="0.2">
      <c r="A1563" t="s">
        <v>1842</v>
      </c>
      <c r="B1563">
        <f>IF(COUNTIFS('United Data'!$A$3:$A$3390,B$1,'United Data'!$C$3:$C$3390,$A1563)&gt;0,1,0)</f>
        <v>0</v>
      </c>
      <c r="C1563">
        <f>IF(COUNTIFS('United Data'!$A$3:$A$3390,C$1,'United Data'!$C$3:$C$3390,$A1563)&gt;0,1,0)</f>
        <v>0</v>
      </c>
      <c r="D1563">
        <f>IF(COUNTIFS('United Data'!$A$3:$A$3390,D$1,'United Data'!$C$3:$C$3390,$A1563)&gt;0,1,0)</f>
        <v>0</v>
      </c>
      <c r="E1563">
        <f>IF(COUNTIFS('United Data'!$A$3:$A$3390,E$1,'United Data'!$C$3:$C$3390,$A1563)&gt;0,1,0)</f>
        <v>0</v>
      </c>
      <c r="F1563">
        <f>IF(COUNTIFS('United Data'!$A$3:$A$3390,F$1,'United Data'!$C$3:$C$3390,$A1563)&gt;0,1,0)</f>
        <v>0</v>
      </c>
      <c r="G1563">
        <f>IF(COUNTIFS('United Data'!$A$3:$A$3390,G$1,'United Data'!$C$3:$C$3390,$A1563)&gt;0,1,0)</f>
        <v>0</v>
      </c>
      <c r="H1563">
        <f>IF(COUNTIFS('United Data'!$A$3:$A$3390,H$1,'United Data'!$C$3:$C$3390,$A1563)&gt;0,1,0)</f>
        <v>0</v>
      </c>
      <c r="I1563">
        <f>IF(COUNTIFS('United Data'!$A$3:$A$3390,I$1,'United Data'!$C$3:$C$3390,$A1563)&gt;0,1,0)</f>
        <v>0</v>
      </c>
      <c r="J1563">
        <f>IF(COUNTIFS('United Data'!$A$3:$A$3390,J$1,'United Data'!$C$3:$C$3390,$A1563)&gt;0,1,0)</f>
        <v>0</v>
      </c>
      <c r="K1563">
        <f>IF(COUNTIFS('United Data'!$A$3:$A$3390,K$1,'United Data'!$C$3:$C$3390,$A1563)&gt;0,1,0)</f>
        <v>0</v>
      </c>
      <c r="L1563">
        <f>IF(COUNTIFS('United Data'!$A$3:$A$3390,L$1,'United Data'!$C$3:$C$3390,$A1563)&gt;0,1,0)</f>
        <v>0</v>
      </c>
      <c r="M1563">
        <f>IF(COUNTIFS('United Data'!$A$3:$A$3390,M$1,'United Data'!$C$3:$C$3390,$A1563)&gt;0,1,0)</f>
        <v>0</v>
      </c>
      <c r="N1563">
        <f>IF(COUNTIFS('United Data'!$A$3:$A$3390,N$1,'United Data'!$C$3:$C$3390,$A1563)&gt;0,1,0)</f>
        <v>0</v>
      </c>
      <c r="O1563">
        <f>IF(COUNTIFS('United Data'!$A$3:$A$3390,O$1,'United Data'!$C$3:$C$3390,$A1563)&gt;0,1,0)</f>
        <v>1</v>
      </c>
      <c r="P1563">
        <f>IF(COUNTIFS('United Data'!$A$3:$A$3390,P$1,'United Data'!$C$3:$C$3390,$A1563)&gt;0,1,0)</f>
        <v>0</v>
      </c>
      <c r="Q1563">
        <f>IF(COUNTIFS('United Data'!$A$3:$A$3390,Q$1,'United Data'!$C$3:$C$3390,$A1563)&gt;0,1,0)</f>
        <v>0</v>
      </c>
      <c r="R1563">
        <f>IF(COUNTIFS('United Data'!$A$3:$A$3390,R$1,'United Data'!$C$3:$C$3390,$A1563)&gt;0,1,0)</f>
        <v>0</v>
      </c>
      <c r="S1563">
        <f t="shared" si="48"/>
        <v>1</v>
      </c>
      <c r="T1563">
        <f t="shared" si="49"/>
        <v>1</v>
      </c>
    </row>
    <row r="1564" spans="1:20" x14ac:dyDescent="0.2">
      <c r="A1564" t="s">
        <v>1843</v>
      </c>
      <c r="B1564">
        <f>IF(COUNTIFS('United Data'!$A$3:$A$3390,B$1,'United Data'!$C$3:$C$3390,$A1564)&gt;0,1,0)</f>
        <v>0</v>
      </c>
      <c r="C1564">
        <f>IF(COUNTIFS('United Data'!$A$3:$A$3390,C$1,'United Data'!$C$3:$C$3390,$A1564)&gt;0,1,0)</f>
        <v>0</v>
      </c>
      <c r="D1564">
        <f>IF(COUNTIFS('United Data'!$A$3:$A$3390,D$1,'United Data'!$C$3:$C$3390,$A1564)&gt;0,1,0)</f>
        <v>0</v>
      </c>
      <c r="E1564">
        <f>IF(COUNTIFS('United Data'!$A$3:$A$3390,E$1,'United Data'!$C$3:$C$3390,$A1564)&gt;0,1,0)</f>
        <v>0</v>
      </c>
      <c r="F1564">
        <f>IF(COUNTIFS('United Data'!$A$3:$A$3390,F$1,'United Data'!$C$3:$C$3390,$A1564)&gt;0,1,0)</f>
        <v>0</v>
      </c>
      <c r="G1564">
        <f>IF(COUNTIFS('United Data'!$A$3:$A$3390,G$1,'United Data'!$C$3:$C$3390,$A1564)&gt;0,1,0)</f>
        <v>0</v>
      </c>
      <c r="H1564">
        <f>IF(COUNTIFS('United Data'!$A$3:$A$3390,H$1,'United Data'!$C$3:$C$3390,$A1564)&gt;0,1,0)</f>
        <v>0</v>
      </c>
      <c r="I1564">
        <f>IF(COUNTIFS('United Data'!$A$3:$A$3390,I$1,'United Data'!$C$3:$C$3390,$A1564)&gt;0,1,0)</f>
        <v>0</v>
      </c>
      <c r="J1564">
        <f>IF(COUNTIFS('United Data'!$A$3:$A$3390,J$1,'United Data'!$C$3:$C$3390,$A1564)&gt;0,1,0)</f>
        <v>0</v>
      </c>
      <c r="K1564">
        <f>IF(COUNTIFS('United Data'!$A$3:$A$3390,K$1,'United Data'!$C$3:$C$3390,$A1564)&gt;0,1,0)</f>
        <v>0</v>
      </c>
      <c r="L1564">
        <f>IF(COUNTIFS('United Data'!$A$3:$A$3390,L$1,'United Data'!$C$3:$C$3390,$A1564)&gt;0,1,0)</f>
        <v>0</v>
      </c>
      <c r="M1564">
        <f>IF(COUNTIFS('United Data'!$A$3:$A$3390,M$1,'United Data'!$C$3:$C$3390,$A1564)&gt;0,1,0)</f>
        <v>0</v>
      </c>
      <c r="N1564">
        <f>IF(COUNTIFS('United Data'!$A$3:$A$3390,N$1,'United Data'!$C$3:$C$3390,$A1564)&gt;0,1,0)</f>
        <v>0</v>
      </c>
      <c r="O1564">
        <f>IF(COUNTIFS('United Data'!$A$3:$A$3390,O$1,'United Data'!$C$3:$C$3390,$A1564)&gt;0,1,0)</f>
        <v>1</v>
      </c>
      <c r="P1564">
        <f>IF(COUNTIFS('United Data'!$A$3:$A$3390,P$1,'United Data'!$C$3:$C$3390,$A1564)&gt;0,1,0)</f>
        <v>0</v>
      </c>
      <c r="Q1564">
        <f>IF(COUNTIFS('United Data'!$A$3:$A$3390,Q$1,'United Data'!$C$3:$C$3390,$A1564)&gt;0,1,0)</f>
        <v>0</v>
      </c>
      <c r="R1564">
        <f>IF(COUNTIFS('United Data'!$A$3:$A$3390,R$1,'United Data'!$C$3:$C$3390,$A1564)&gt;0,1,0)</f>
        <v>0</v>
      </c>
      <c r="S1564">
        <f t="shared" si="48"/>
        <v>1</v>
      </c>
      <c r="T1564">
        <f t="shared" si="49"/>
        <v>1</v>
      </c>
    </row>
    <row r="1565" spans="1:20" x14ac:dyDescent="0.2">
      <c r="A1565" t="s">
        <v>1844</v>
      </c>
      <c r="B1565">
        <f>IF(COUNTIFS('United Data'!$A$3:$A$3390,B$1,'United Data'!$C$3:$C$3390,$A1565)&gt;0,1,0)</f>
        <v>0</v>
      </c>
      <c r="C1565">
        <f>IF(COUNTIFS('United Data'!$A$3:$A$3390,C$1,'United Data'!$C$3:$C$3390,$A1565)&gt;0,1,0)</f>
        <v>0</v>
      </c>
      <c r="D1565">
        <f>IF(COUNTIFS('United Data'!$A$3:$A$3390,D$1,'United Data'!$C$3:$C$3390,$A1565)&gt;0,1,0)</f>
        <v>0</v>
      </c>
      <c r="E1565">
        <f>IF(COUNTIFS('United Data'!$A$3:$A$3390,E$1,'United Data'!$C$3:$C$3390,$A1565)&gt;0,1,0)</f>
        <v>0</v>
      </c>
      <c r="F1565">
        <f>IF(COUNTIFS('United Data'!$A$3:$A$3390,F$1,'United Data'!$C$3:$C$3390,$A1565)&gt;0,1,0)</f>
        <v>0</v>
      </c>
      <c r="G1565">
        <f>IF(COUNTIFS('United Data'!$A$3:$A$3390,G$1,'United Data'!$C$3:$C$3390,$A1565)&gt;0,1,0)</f>
        <v>0</v>
      </c>
      <c r="H1565">
        <f>IF(COUNTIFS('United Data'!$A$3:$A$3390,H$1,'United Data'!$C$3:$C$3390,$A1565)&gt;0,1,0)</f>
        <v>0</v>
      </c>
      <c r="I1565">
        <f>IF(COUNTIFS('United Data'!$A$3:$A$3390,I$1,'United Data'!$C$3:$C$3390,$A1565)&gt;0,1,0)</f>
        <v>0</v>
      </c>
      <c r="J1565">
        <f>IF(COUNTIFS('United Data'!$A$3:$A$3390,J$1,'United Data'!$C$3:$C$3390,$A1565)&gt;0,1,0)</f>
        <v>0</v>
      </c>
      <c r="K1565">
        <f>IF(COUNTIFS('United Data'!$A$3:$A$3390,K$1,'United Data'!$C$3:$C$3390,$A1565)&gt;0,1,0)</f>
        <v>0</v>
      </c>
      <c r="L1565">
        <f>IF(COUNTIFS('United Data'!$A$3:$A$3390,L$1,'United Data'!$C$3:$C$3390,$A1565)&gt;0,1,0)</f>
        <v>0</v>
      </c>
      <c r="M1565">
        <f>IF(COUNTIFS('United Data'!$A$3:$A$3390,M$1,'United Data'!$C$3:$C$3390,$A1565)&gt;0,1,0)</f>
        <v>0</v>
      </c>
      <c r="N1565">
        <f>IF(COUNTIFS('United Data'!$A$3:$A$3390,N$1,'United Data'!$C$3:$C$3390,$A1565)&gt;0,1,0)</f>
        <v>0</v>
      </c>
      <c r="O1565">
        <f>IF(COUNTIFS('United Data'!$A$3:$A$3390,O$1,'United Data'!$C$3:$C$3390,$A1565)&gt;0,1,0)</f>
        <v>1</v>
      </c>
      <c r="P1565">
        <f>IF(COUNTIFS('United Data'!$A$3:$A$3390,P$1,'United Data'!$C$3:$C$3390,$A1565)&gt;0,1,0)</f>
        <v>1</v>
      </c>
      <c r="Q1565">
        <f>IF(COUNTIFS('United Data'!$A$3:$A$3390,Q$1,'United Data'!$C$3:$C$3390,$A1565)&gt;0,1,0)</f>
        <v>0</v>
      </c>
      <c r="R1565">
        <f>IF(COUNTIFS('United Data'!$A$3:$A$3390,R$1,'United Data'!$C$3:$C$3390,$A1565)&gt;0,1,0)</f>
        <v>0</v>
      </c>
      <c r="S1565">
        <f t="shared" si="48"/>
        <v>2</v>
      </c>
      <c r="T1565">
        <f t="shared" si="49"/>
        <v>1</v>
      </c>
    </row>
    <row r="1566" spans="1:20" x14ac:dyDescent="0.2">
      <c r="A1566" t="s">
        <v>1845</v>
      </c>
      <c r="B1566">
        <f>IF(COUNTIFS('United Data'!$A$3:$A$3390,B$1,'United Data'!$C$3:$C$3390,$A1566)&gt;0,1,0)</f>
        <v>0</v>
      </c>
      <c r="C1566">
        <f>IF(COUNTIFS('United Data'!$A$3:$A$3390,C$1,'United Data'!$C$3:$C$3390,$A1566)&gt;0,1,0)</f>
        <v>0</v>
      </c>
      <c r="D1566">
        <f>IF(COUNTIFS('United Data'!$A$3:$A$3390,D$1,'United Data'!$C$3:$C$3390,$A1566)&gt;0,1,0)</f>
        <v>0</v>
      </c>
      <c r="E1566">
        <f>IF(COUNTIFS('United Data'!$A$3:$A$3390,E$1,'United Data'!$C$3:$C$3390,$A1566)&gt;0,1,0)</f>
        <v>0</v>
      </c>
      <c r="F1566">
        <f>IF(COUNTIFS('United Data'!$A$3:$A$3390,F$1,'United Data'!$C$3:$C$3390,$A1566)&gt;0,1,0)</f>
        <v>0</v>
      </c>
      <c r="G1566">
        <f>IF(COUNTIFS('United Data'!$A$3:$A$3390,G$1,'United Data'!$C$3:$C$3390,$A1566)&gt;0,1,0)</f>
        <v>0</v>
      </c>
      <c r="H1566">
        <f>IF(COUNTIFS('United Data'!$A$3:$A$3390,H$1,'United Data'!$C$3:$C$3390,$A1566)&gt;0,1,0)</f>
        <v>0</v>
      </c>
      <c r="I1566">
        <f>IF(COUNTIFS('United Data'!$A$3:$A$3390,I$1,'United Data'!$C$3:$C$3390,$A1566)&gt;0,1,0)</f>
        <v>0</v>
      </c>
      <c r="J1566">
        <f>IF(COUNTIFS('United Data'!$A$3:$A$3390,J$1,'United Data'!$C$3:$C$3390,$A1566)&gt;0,1,0)</f>
        <v>0</v>
      </c>
      <c r="K1566">
        <f>IF(COUNTIFS('United Data'!$A$3:$A$3390,K$1,'United Data'!$C$3:$C$3390,$A1566)&gt;0,1,0)</f>
        <v>0</v>
      </c>
      <c r="L1566">
        <f>IF(COUNTIFS('United Data'!$A$3:$A$3390,L$1,'United Data'!$C$3:$C$3390,$A1566)&gt;0,1,0)</f>
        <v>0</v>
      </c>
      <c r="M1566">
        <f>IF(COUNTIFS('United Data'!$A$3:$A$3390,M$1,'United Data'!$C$3:$C$3390,$A1566)&gt;0,1,0)</f>
        <v>0</v>
      </c>
      <c r="N1566">
        <f>IF(COUNTIFS('United Data'!$A$3:$A$3390,N$1,'United Data'!$C$3:$C$3390,$A1566)&gt;0,1,0)</f>
        <v>0</v>
      </c>
      <c r="O1566">
        <f>IF(COUNTIFS('United Data'!$A$3:$A$3390,O$1,'United Data'!$C$3:$C$3390,$A1566)&gt;0,1,0)</f>
        <v>1</v>
      </c>
      <c r="P1566">
        <f>IF(COUNTIFS('United Data'!$A$3:$A$3390,P$1,'United Data'!$C$3:$C$3390,$A1566)&gt;0,1,0)</f>
        <v>0</v>
      </c>
      <c r="Q1566">
        <f>IF(COUNTIFS('United Data'!$A$3:$A$3390,Q$1,'United Data'!$C$3:$C$3390,$A1566)&gt;0,1,0)</f>
        <v>0</v>
      </c>
      <c r="R1566">
        <f>IF(COUNTIFS('United Data'!$A$3:$A$3390,R$1,'United Data'!$C$3:$C$3390,$A1566)&gt;0,1,0)</f>
        <v>0</v>
      </c>
      <c r="S1566">
        <f t="shared" si="48"/>
        <v>1</v>
      </c>
      <c r="T1566">
        <f t="shared" si="49"/>
        <v>1</v>
      </c>
    </row>
    <row r="1567" spans="1:20" x14ac:dyDescent="0.2">
      <c r="A1567" t="s">
        <v>1846</v>
      </c>
      <c r="B1567">
        <f>IF(COUNTIFS('United Data'!$A$3:$A$3390,B$1,'United Data'!$C$3:$C$3390,$A1567)&gt;0,1,0)</f>
        <v>0</v>
      </c>
      <c r="C1567">
        <f>IF(COUNTIFS('United Data'!$A$3:$A$3390,C$1,'United Data'!$C$3:$C$3390,$A1567)&gt;0,1,0)</f>
        <v>0</v>
      </c>
      <c r="D1567">
        <f>IF(COUNTIFS('United Data'!$A$3:$A$3390,D$1,'United Data'!$C$3:$C$3390,$A1567)&gt;0,1,0)</f>
        <v>0</v>
      </c>
      <c r="E1567">
        <f>IF(COUNTIFS('United Data'!$A$3:$A$3390,E$1,'United Data'!$C$3:$C$3390,$A1567)&gt;0,1,0)</f>
        <v>0</v>
      </c>
      <c r="F1567">
        <f>IF(COUNTIFS('United Data'!$A$3:$A$3390,F$1,'United Data'!$C$3:$C$3390,$A1567)&gt;0,1,0)</f>
        <v>0</v>
      </c>
      <c r="G1567">
        <f>IF(COUNTIFS('United Data'!$A$3:$A$3390,G$1,'United Data'!$C$3:$C$3390,$A1567)&gt;0,1,0)</f>
        <v>0</v>
      </c>
      <c r="H1567">
        <f>IF(COUNTIFS('United Data'!$A$3:$A$3390,H$1,'United Data'!$C$3:$C$3390,$A1567)&gt;0,1,0)</f>
        <v>0</v>
      </c>
      <c r="I1567">
        <f>IF(COUNTIFS('United Data'!$A$3:$A$3390,I$1,'United Data'!$C$3:$C$3390,$A1567)&gt;0,1,0)</f>
        <v>0</v>
      </c>
      <c r="J1567">
        <f>IF(COUNTIFS('United Data'!$A$3:$A$3390,J$1,'United Data'!$C$3:$C$3390,$A1567)&gt;0,1,0)</f>
        <v>0</v>
      </c>
      <c r="K1567">
        <f>IF(COUNTIFS('United Data'!$A$3:$A$3390,K$1,'United Data'!$C$3:$C$3390,$A1567)&gt;0,1,0)</f>
        <v>0</v>
      </c>
      <c r="L1567">
        <f>IF(COUNTIFS('United Data'!$A$3:$A$3390,L$1,'United Data'!$C$3:$C$3390,$A1567)&gt;0,1,0)</f>
        <v>0</v>
      </c>
      <c r="M1567">
        <f>IF(COUNTIFS('United Data'!$A$3:$A$3390,M$1,'United Data'!$C$3:$C$3390,$A1567)&gt;0,1,0)</f>
        <v>0</v>
      </c>
      <c r="N1567">
        <f>IF(COUNTIFS('United Data'!$A$3:$A$3390,N$1,'United Data'!$C$3:$C$3390,$A1567)&gt;0,1,0)</f>
        <v>0</v>
      </c>
      <c r="O1567">
        <f>IF(COUNTIFS('United Data'!$A$3:$A$3390,O$1,'United Data'!$C$3:$C$3390,$A1567)&gt;0,1,0)</f>
        <v>1</v>
      </c>
      <c r="P1567">
        <f>IF(COUNTIFS('United Data'!$A$3:$A$3390,P$1,'United Data'!$C$3:$C$3390,$A1567)&gt;0,1,0)</f>
        <v>0</v>
      </c>
      <c r="Q1567">
        <f>IF(COUNTIFS('United Data'!$A$3:$A$3390,Q$1,'United Data'!$C$3:$C$3390,$A1567)&gt;0,1,0)</f>
        <v>0</v>
      </c>
      <c r="R1567">
        <f>IF(COUNTIFS('United Data'!$A$3:$A$3390,R$1,'United Data'!$C$3:$C$3390,$A1567)&gt;0,1,0)</f>
        <v>0</v>
      </c>
      <c r="S1567">
        <f t="shared" si="48"/>
        <v>1</v>
      </c>
      <c r="T1567">
        <f t="shared" si="49"/>
        <v>1</v>
      </c>
    </row>
    <row r="1568" spans="1:20" x14ac:dyDescent="0.2">
      <c r="A1568" t="s">
        <v>1847</v>
      </c>
      <c r="B1568">
        <f>IF(COUNTIFS('United Data'!$A$3:$A$3390,B$1,'United Data'!$C$3:$C$3390,$A1568)&gt;0,1,0)</f>
        <v>0</v>
      </c>
      <c r="C1568">
        <f>IF(COUNTIFS('United Data'!$A$3:$A$3390,C$1,'United Data'!$C$3:$C$3390,$A1568)&gt;0,1,0)</f>
        <v>0</v>
      </c>
      <c r="D1568">
        <f>IF(COUNTIFS('United Data'!$A$3:$A$3390,D$1,'United Data'!$C$3:$C$3390,$A1568)&gt;0,1,0)</f>
        <v>0</v>
      </c>
      <c r="E1568">
        <f>IF(COUNTIFS('United Data'!$A$3:$A$3390,E$1,'United Data'!$C$3:$C$3390,$A1568)&gt;0,1,0)</f>
        <v>0</v>
      </c>
      <c r="F1568">
        <f>IF(COUNTIFS('United Data'!$A$3:$A$3390,F$1,'United Data'!$C$3:$C$3390,$A1568)&gt;0,1,0)</f>
        <v>0</v>
      </c>
      <c r="G1568">
        <f>IF(COUNTIFS('United Data'!$A$3:$A$3390,G$1,'United Data'!$C$3:$C$3390,$A1568)&gt;0,1,0)</f>
        <v>0</v>
      </c>
      <c r="H1568">
        <f>IF(COUNTIFS('United Data'!$A$3:$A$3390,H$1,'United Data'!$C$3:$C$3390,$A1568)&gt;0,1,0)</f>
        <v>0</v>
      </c>
      <c r="I1568">
        <f>IF(COUNTIFS('United Data'!$A$3:$A$3390,I$1,'United Data'!$C$3:$C$3390,$A1568)&gt;0,1,0)</f>
        <v>0</v>
      </c>
      <c r="J1568">
        <f>IF(COUNTIFS('United Data'!$A$3:$A$3390,J$1,'United Data'!$C$3:$C$3390,$A1568)&gt;0,1,0)</f>
        <v>0</v>
      </c>
      <c r="K1568">
        <f>IF(COUNTIFS('United Data'!$A$3:$A$3390,K$1,'United Data'!$C$3:$C$3390,$A1568)&gt;0,1,0)</f>
        <v>0</v>
      </c>
      <c r="L1568">
        <f>IF(COUNTIFS('United Data'!$A$3:$A$3390,L$1,'United Data'!$C$3:$C$3390,$A1568)&gt;0,1,0)</f>
        <v>0</v>
      </c>
      <c r="M1568">
        <f>IF(COUNTIFS('United Data'!$A$3:$A$3390,M$1,'United Data'!$C$3:$C$3390,$A1568)&gt;0,1,0)</f>
        <v>0</v>
      </c>
      <c r="N1568">
        <f>IF(COUNTIFS('United Data'!$A$3:$A$3390,N$1,'United Data'!$C$3:$C$3390,$A1568)&gt;0,1,0)</f>
        <v>0</v>
      </c>
      <c r="O1568">
        <f>IF(COUNTIFS('United Data'!$A$3:$A$3390,O$1,'United Data'!$C$3:$C$3390,$A1568)&gt;0,1,0)</f>
        <v>1</v>
      </c>
      <c r="P1568">
        <f>IF(COUNTIFS('United Data'!$A$3:$A$3390,P$1,'United Data'!$C$3:$C$3390,$A1568)&gt;0,1,0)</f>
        <v>1</v>
      </c>
      <c r="Q1568">
        <f>IF(COUNTIFS('United Data'!$A$3:$A$3390,Q$1,'United Data'!$C$3:$C$3390,$A1568)&gt;0,1,0)</f>
        <v>0</v>
      </c>
      <c r="R1568">
        <f>IF(COUNTIFS('United Data'!$A$3:$A$3390,R$1,'United Data'!$C$3:$C$3390,$A1568)&gt;0,1,0)</f>
        <v>0</v>
      </c>
      <c r="S1568">
        <f t="shared" si="48"/>
        <v>2</v>
      </c>
      <c r="T1568">
        <f t="shared" si="49"/>
        <v>1</v>
      </c>
    </row>
    <row r="1569" spans="1:20" x14ac:dyDescent="0.2">
      <c r="A1569" t="s">
        <v>1848</v>
      </c>
      <c r="B1569">
        <f>IF(COUNTIFS('United Data'!$A$3:$A$3390,B$1,'United Data'!$C$3:$C$3390,$A1569)&gt;0,1,0)</f>
        <v>0</v>
      </c>
      <c r="C1569">
        <f>IF(COUNTIFS('United Data'!$A$3:$A$3390,C$1,'United Data'!$C$3:$C$3390,$A1569)&gt;0,1,0)</f>
        <v>0</v>
      </c>
      <c r="D1569">
        <f>IF(COUNTIFS('United Data'!$A$3:$A$3390,D$1,'United Data'!$C$3:$C$3390,$A1569)&gt;0,1,0)</f>
        <v>0</v>
      </c>
      <c r="E1569">
        <f>IF(COUNTIFS('United Data'!$A$3:$A$3390,E$1,'United Data'!$C$3:$C$3390,$A1569)&gt;0,1,0)</f>
        <v>0</v>
      </c>
      <c r="F1569">
        <f>IF(COUNTIFS('United Data'!$A$3:$A$3390,F$1,'United Data'!$C$3:$C$3390,$A1569)&gt;0,1,0)</f>
        <v>0</v>
      </c>
      <c r="G1569">
        <f>IF(COUNTIFS('United Data'!$A$3:$A$3390,G$1,'United Data'!$C$3:$C$3390,$A1569)&gt;0,1,0)</f>
        <v>0</v>
      </c>
      <c r="H1569">
        <f>IF(COUNTIFS('United Data'!$A$3:$A$3390,H$1,'United Data'!$C$3:$C$3390,$A1569)&gt;0,1,0)</f>
        <v>0</v>
      </c>
      <c r="I1569">
        <f>IF(COUNTIFS('United Data'!$A$3:$A$3390,I$1,'United Data'!$C$3:$C$3390,$A1569)&gt;0,1,0)</f>
        <v>0</v>
      </c>
      <c r="J1569">
        <f>IF(COUNTIFS('United Data'!$A$3:$A$3390,J$1,'United Data'!$C$3:$C$3390,$A1569)&gt;0,1,0)</f>
        <v>0</v>
      </c>
      <c r="K1569">
        <f>IF(COUNTIFS('United Data'!$A$3:$A$3390,K$1,'United Data'!$C$3:$C$3390,$A1569)&gt;0,1,0)</f>
        <v>0</v>
      </c>
      <c r="L1569">
        <f>IF(COUNTIFS('United Data'!$A$3:$A$3390,L$1,'United Data'!$C$3:$C$3390,$A1569)&gt;0,1,0)</f>
        <v>0</v>
      </c>
      <c r="M1569">
        <f>IF(COUNTIFS('United Data'!$A$3:$A$3390,M$1,'United Data'!$C$3:$C$3390,$A1569)&gt;0,1,0)</f>
        <v>0</v>
      </c>
      <c r="N1569">
        <f>IF(COUNTIFS('United Data'!$A$3:$A$3390,N$1,'United Data'!$C$3:$C$3390,$A1569)&gt;0,1,0)</f>
        <v>0</v>
      </c>
      <c r="O1569">
        <f>IF(COUNTIFS('United Data'!$A$3:$A$3390,O$1,'United Data'!$C$3:$C$3390,$A1569)&gt;0,1,0)</f>
        <v>1</v>
      </c>
      <c r="P1569">
        <f>IF(COUNTIFS('United Data'!$A$3:$A$3390,P$1,'United Data'!$C$3:$C$3390,$A1569)&gt;0,1,0)</f>
        <v>0</v>
      </c>
      <c r="Q1569">
        <f>IF(COUNTIFS('United Data'!$A$3:$A$3390,Q$1,'United Data'!$C$3:$C$3390,$A1569)&gt;0,1,0)</f>
        <v>0</v>
      </c>
      <c r="R1569">
        <f>IF(COUNTIFS('United Data'!$A$3:$A$3390,R$1,'United Data'!$C$3:$C$3390,$A1569)&gt;0,1,0)</f>
        <v>1</v>
      </c>
      <c r="S1569">
        <f t="shared" si="48"/>
        <v>2</v>
      </c>
      <c r="T1569">
        <f t="shared" si="49"/>
        <v>2</v>
      </c>
    </row>
    <row r="1570" spans="1:20" x14ac:dyDescent="0.2">
      <c r="A1570" t="s">
        <v>1849</v>
      </c>
      <c r="B1570">
        <f>IF(COUNTIFS('United Data'!$A$3:$A$3390,B$1,'United Data'!$C$3:$C$3390,$A1570)&gt;0,1,0)</f>
        <v>0</v>
      </c>
      <c r="C1570">
        <f>IF(COUNTIFS('United Data'!$A$3:$A$3390,C$1,'United Data'!$C$3:$C$3390,$A1570)&gt;0,1,0)</f>
        <v>0</v>
      </c>
      <c r="D1570">
        <f>IF(COUNTIFS('United Data'!$A$3:$A$3390,D$1,'United Data'!$C$3:$C$3390,$A1570)&gt;0,1,0)</f>
        <v>0</v>
      </c>
      <c r="E1570">
        <f>IF(COUNTIFS('United Data'!$A$3:$A$3390,E$1,'United Data'!$C$3:$C$3390,$A1570)&gt;0,1,0)</f>
        <v>0</v>
      </c>
      <c r="F1570">
        <f>IF(COUNTIFS('United Data'!$A$3:$A$3390,F$1,'United Data'!$C$3:$C$3390,$A1570)&gt;0,1,0)</f>
        <v>0</v>
      </c>
      <c r="G1570">
        <f>IF(COUNTIFS('United Data'!$A$3:$A$3390,G$1,'United Data'!$C$3:$C$3390,$A1570)&gt;0,1,0)</f>
        <v>0</v>
      </c>
      <c r="H1570">
        <f>IF(COUNTIFS('United Data'!$A$3:$A$3390,H$1,'United Data'!$C$3:$C$3390,$A1570)&gt;0,1,0)</f>
        <v>0</v>
      </c>
      <c r="I1570">
        <f>IF(COUNTIFS('United Data'!$A$3:$A$3390,I$1,'United Data'!$C$3:$C$3390,$A1570)&gt;0,1,0)</f>
        <v>0</v>
      </c>
      <c r="J1570">
        <f>IF(COUNTIFS('United Data'!$A$3:$A$3390,J$1,'United Data'!$C$3:$C$3390,$A1570)&gt;0,1,0)</f>
        <v>0</v>
      </c>
      <c r="K1570">
        <f>IF(COUNTIFS('United Data'!$A$3:$A$3390,K$1,'United Data'!$C$3:$C$3390,$A1570)&gt;0,1,0)</f>
        <v>0</v>
      </c>
      <c r="L1570">
        <f>IF(COUNTIFS('United Data'!$A$3:$A$3390,L$1,'United Data'!$C$3:$C$3390,$A1570)&gt;0,1,0)</f>
        <v>0</v>
      </c>
      <c r="M1570">
        <f>IF(COUNTIFS('United Data'!$A$3:$A$3390,M$1,'United Data'!$C$3:$C$3390,$A1570)&gt;0,1,0)</f>
        <v>0</v>
      </c>
      <c r="N1570">
        <f>IF(COUNTIFS('United Data'!$A$3:$A$3390,N$1,'United Data'!$C$3:$C$3390,$A1570)&gt;0,1,0)</f>
        <v>0</v>
      </c>
      <c r="O1570">
        <f>IF(COUNTIFS('United Data'!$A$3:$A$3390,O$1,'United Data'!$C$3:$C$3390,$A1570)&gt;0,1,0)</f>
        <v>0</v>
      </c>
      <c r="P1570">
        <f>IF(COUNTIFS('United Data'!$A$3:$A$3390,P$1,'United Data'!$C$3:$C$3390,$A1570)&gt;0,1,0)</f>
        <v>1</v>
      </c>
      <c r="Q1570">
        <f>IF(COUNTIFS('United Data'!$A$3:$A$3390,Q$1,'United Data'!$C$3:$C$3390,$A1570)&gt;0,1,0)</f>
        <v>0</v>
      </c>
      <c r="R1570">
        <f>IF(COUNTIFS('United Data'!$A$3:$A$3390,R$1,'United Data'!$C$3:$C$3390,$A1570)&gt;0,1,0)</f>
        <v>0</v>
      </c>
      <c r="S1570">
        <f t="shared" si="48"/>
        <v>1</v>
      </c>
      <c r="T1570">
        <f t="shared" si="49"/>
        <v>1</v>
      </c>
    </row>
    <row r="1571" spans="1:20" x14ac:dyDescent="0.2">
      <c r="A1571" t="s">
        <v>1850</v>
      </c>
      <c r="B1571">
        <f>IF(COUNTIFS('United Data'!$A$3:$A$3390,B$1,'United Data'!$C$3:$C$3390,$A1571)&gt;0,1,0)</f>
        <v>0</v>
      </c>
      <c r="C1571">
        <f>IF(COUNTIFS('United Data'!$A$3:$A$3390,C$1,'United Data'!$C$3:$C$3390,$A1571)&gt;0,1,0)</f>
        <v>0</v>
      </c>
      <c r="D1571">
        <f>IF(COUNTIFS('United Data'!$A$3:$A$3390,D$1,'United Data'!$C$3:$C$3390,$A1571)&gt;0,1,0)</f>
        <v>0</v>
      </c>
      <c r="E1571">
        <f>IF(COUNTIFS('United Data'!$A$3:$A$3390,E$1,'United Data'!$C$3:$C$3390,$A1571)&gt;0,1,0)</f>
        <v>0</v>
      </c>
      <c r="F1571">
        <f>IF(COUNTIFS('United Data'!$A$3:$A$3390,F$1,'United Data'!$C$3:$C$3390,$A1571)&gt;0,1,0)</f>
        <v>0</v>
      </c>
      <c r="G1571">
        <f>IF(COUNTIFS('United Data'!$A$3:$A$3390,G$1,'United Data'!$C$3:$C$3390,$A1571)&gt;0,1,0)</f>
        <v>0</v>
      </c>
      <c r="H1571">
        <f>IF(COUNTIFS('United Data'!$A$3:$A$3390,H$1,'United Data'!$C$3:$C$3390,$A1571)&gt;0,1,0)</f>
        <v>0</v>
      </c>
      <c r="I1571">
        <f>IF(COUNTIFS('United Data'!$A$3:$A$3390,I$1,'United Data'!$C$3:$C$3390,$A1571)&gt;0,1,0)</f>
        <v>0</v>
      </c>
      <c r="J1571">
        <f>IF(COUNTIFS('United Data'!$A$3:$A$3390,J$1,'United Data'!$C$3:$C$3390,$A1571)&gt;0,1,0)</f>
        <v>0</v>
      </c>
      <c r="K1571">
        <f>IF(COUNTIFS('United Data'!$A$3:$A$3390,K$1,'United Data'!$C$3:$C$3390,$A1571)&gt;0,1,0)</f>
        <v>0</v>
      </c>
      <c r="L1571">
        <f>IF(COUNTIFS('United Data'!$A$3:$A$3390,L$1,'United Data'!$C$3:$C$3390,$A1571)&gt;0,1,0)</f>
        <v>0</v>
      </c>
      <c r="M1571">
        <f>IF(COUNTIFS('United Data'!$A$3:$A$3390,M$1,'United Data'!$C$3:$C$3390,$A1571)&gt;0,1,0)</f>
        <v>0</v>
      </c>
      <c r="N1571">
        <f>IF(COUNTIFS('United Data'!$A$3:$A$3390,N$1,'United Data'!$C$3:$C$3390,$A1571)&gt;0,1,0)</f>
        <v>0</v>
      </c>
      <c r="O1571">
        <f>IF(COUNTIFS('United Data'!$A$3:$A$3390,O$1,'United Data'!$C$3:$C$3390,$A1571)&gt;0,1,0)</f>
        <v>0</v>
      </c>
      <c r="P1571">
        <f>IF(COUNTIFS('United Data'!$A$3:$A$3390,P$1,'United Data'!$C$3:$C$3390,$A1571)&gt;0,1,0)</f>
        <v>1</v>
      </c>
      <c r="Q1571">
        <f>IF(COUNTIFS('United Data'!$A$3:$A$3390,Q$1,'United Data'!$C$3:$C$3390,$A1571)&gt;0,1,0)</f>
        <v>0</v>
      </c>
      <c r="R1571">
        <f>IF(COUNTIFS('United Data'!$A$3:$A$3390,R$1,'United Data'!$C$3:$C$3390,$A1571)&gt;0,1,0)</f>
        <v>0</v>
      </c>
      <c r="S1571">
        <f t="shared" si="48"/>
        <v>1</v>
      </c>
      <c r="T1571">
        <f t="shared" si="49"/>
        <v>1</v>
      </c>
    </row>
    <row r="1572" spans="1:20" x14ac:dyDescent="0.2">
      <c r="A1572" t="s">
        <v>1851</v>
      </c>
      <c r="B1572">
        <f>IF(COUNTIFS('United Data'!$A$3:$A$3390,B$1,'United Data'!$C$3:$C$3390,$A1572)&gt;0,1,0)</f>
        <v>0</v>
      </c>
      <c r="C1572">
        <f>IF(COUNTIFS('United Data'!$A$3:$A$3390,C$1,'United Data'!$C$3:$C$3390,$A1572)&gt;0,1,0)</f>
        <v>0</v>
      </c>
      <c r="D1572">
        <f>IF(COUNTIFS('United Data'!$A$3:$A$3390,D$1,'United Data'!$C$3:$C$3390,$A1572)&gt;0,1,0)</f>
        <v>0</v>
      </c>
      <c r="E1572">
        <f>IF(COUNTIFS('United Data'!$A$3:$A$3390,E$1,'United Data'!$C$3:$C$3390,$A1572)&gt;0,1,0)</f>
        <v>0</v>
      </c>
      <c r="F1572">
        <f>IF(COUNTIFS('United Data'!$A$3:$A$3390,F$1,'United Data'!$C$3:$C$3390,$A1572)&gt;0,1,0)</f>
        <v>0</v>
      </c>
      <c r="G1572">
        <f>IF(COUNTIFS('United Data'!$A$3:$A$3390,G$1,'United Data'!$C$3:$C$3390,$A1572)&gt;0,1,0)</f>
        <v>0</v>
      </c>
      <c r="H1572">
        <f>IF(COUNTIFS('United Data'!$A$3:$A$3390,H$1,'United Data'!$C$3:$C$3390,$A1572)&gt;0,1,0)</f>
        <v>0</v>
      </c>
      <c r="I1572">
        <f>IF(COUNTIFS('United Data'!$A$3:$A$3390,I$1,'United Data'!$C$3:$C$3390,$A1572)&gt;0,1,0)</f>
        <v>0</v>
      </c>
      <c r="J1572">
        <f>IF(COUNTIFS('United Data'!$A$3:$A$3390,J$1,'United Data'!$C$3:$C$3390,$A1572)&gt;0,1,0)</f>
        <v>0</v>
      </c>
      <c r="K1572">
        <f>IF(COUNTIFS('United Data'!$A$3:$A$3390,K$1,'United Data'!$C$3:$C$3390,$A1572)&gt;0,1,0)</f>
        <v>0</v>
      </c>
      <c r="L1572">
        <f>IF(COUNTIFS('United Data'!$A$3:$A$3390,L$1,'United Data'!$C$3:$C$3390,$A1572)&gt;0,1,0)</f>
        <v>0</v>
      </c>
      <c r="M1572">
        <f>IF(COUNTIFS('United Data'!$A$3:$A$3390,M$1,'United Data'!$C$3:$C$3390,$A1572)&gt;0,1,0)</f>
        <v>0</v>
      </c>
      <c r="N1572">
        <f>IF(COUNTIFS('United Data'!$A$3:$A$3390,N$1,'United Data'!$C$3:$C$3390,$A1572)&gt;0,1,0)</f>
        <v>0</v>
      </c>
      <c r="O1572">
        <f>IF(COUNTIFS('United Data'!$A$3:$A$3390,O$1,'United Data'!$C$3:$C$3390,$A1572)&gt;0,1,0)</f>
        <v>0</v>
      </c>
      <c r="P1572">
        <f>IF(COUNTIFS('United Data'!$A$3:$A$3390,P$1,'United Data'!$C$3:$C$3390,$A1572)&gt;0,1,0)</f>
        <v>1</v>
      </c>
      <c r="Q1572">
        <f>IF(COUNTIFS('United Data'!$A$3:$A$3390,Q$1,'United Data'!$C$3:$C$3390,$A1572)&gt;0,1,0)</f>
        <v>0</v>
      </c>
      <c r="R1572">
        <f>IF(COUNTIFS('United Data'!$A$3:$A$3390,R$1,'United Data'!$C$3:$C$3390,$A1572)&gt;0,1,0)</f>
        <v>0</v>
      </c>
      <c r="S1572">
        <f t="shared" si="48"/>
        <v>1</v>
      </c>
      <c r="T1572">
        <f t="shared" si="49"/>
        <v>1</v>
      </c>
    </row>
    <row r="1573" spans="1:20" x14ac:dyDescent="0.2">
      <c r="A1573" t="s">
        <v>1852</v>
      </c>
      <c r="B1573">
        <f>IF(COUNTIFS('United Data'!$A$3:$A$3390,B$1,'United Data'!$C$3:$C$3390,$A1573)&gt;0,1,0)</f>
        <v>0</v>
      </c>
      <c r="C1573">
        <f>IF(COUNTIFS('United Data'!$A$3:$A$3390,C$1,'United Data'!$C$3:$C$3390,$A1573)&gt;0,1,0)</f>
        <v>0</v>
      </c>
      <c r="D1573">
        <f>IF(COUNTIFS('United Data'!$A$3:$A$3390,D$1,'United Data'!$C$3:$C$3390,$A1573)&gt;0,1,0)</f>
        <v>0</v>
      </c>
      <c r="E1573">
        <f>IF(COUNTIFS('United Data'!$A$3:$A$3390,E$1,'United Data'!$C$3:$C$3390,$A1573)&gt;0,1,0)</f>
        <v>0</v>
      </c>
      <c r="F1573">
        <f>IF(COUNTIFS('United Data'!$A$3:$A$3390,F$1,'United Data'!$C$3:$C$3390,$A1573)&gt;0,1,0)</f>
        <v>0</v>
      </c>
      <c r="G1573">
        <f>IF(COUNTIFS('United Data'!$A$3:$A$3390,G$1,'United Data'!$C$3:$C$3390,$A1573)&gt;0,1,0)</f>
        <v>0</v>
      </c>
      <c r="H1573">
        <f>IF(COUNTIFS('United Data'!$A$3:$A$3390,H$1,'United Data'!$C$3:$C$3390,$A1573)&gt;0,1,0)</f>
        <v>0</v>
      </c>
      <c r="I1573">
        <f>IF(COUNTIFS('United Data'!$A$3:$A$3390,I$1,'United Data'!$C$3:$C$3390,$A1573)&gt;0,1,0)</f>
        <v>0</v>
      </c>
      <c r="J1573">
        <f>IF(COUNTIFS('United Data'!$A$3:$A$3390,J$1,'United Data'!$C$3:$C$3390,$A1573)&gt;0,1,0)</f>
        <v>0</v>
      </c>
      <c r="K1573">
        <f>IF(COUNTIFS('United Data'!$A$3:$A$3390,K$1,'United Data'!$C$3:$C$3390,$A1573)&gt;0,1,0)</f>
        <v>0</v>
      </c>
      <c r="L1573">
        <f>IF(COUNTIFS('United Data'!$A$3:$A$3390,L$1,'United Data'!$C$3:$C$3390,$A1573)&gt;0,1,0)</f>
        <v>0</v>
      </c>
      <c r="M1573">
        <f>IF(COUNTIFS('United Data'!$A$3:$A$3390,M$1,'United Data'!$C$3:$C$3390,$A1573)&gt;0,1,0)</f>
        <v>0</v>
      </c>
      <c r="N1573">
        <f>IF(COUNTIFS('United Data'!$A$3:$A$3390,N$1,'United Data'!$C$3:$C$3390,$A1573)&gt;0,1,0)</f>
        <v>0</v>
      </c>
      <c r="O1573">
        <f>IF(COUNTIFS('United Data'!$A$3:$A$3390,O$1,'United Data'!$C$3:$C$3390,$A1573)&gt;0,1,0)</f>
        <v>0</v>
      </c>
      <c r="P1573">
        <f>IF(COUNTIFS('United Data'!$A$3:$A$3390,P$1,'United Data'!$C$3:$C$3390,$A1573)&gt;0,1,0)</f>
        <v>1</v>
      </c>
      <c r="Q1573">
        <f>IF(COUNTIFS('United Data'!$A$3:$A$3390,Q$1,'United Data'!$C$3:$C$3390,$A1573)&gt;0,1,0)</f>
        <v>0</v>
      </c>
      <c r="R1573">
        <f>IF(COUNTIFS('United Data'!$A$3:$A$3390,R$1,'United Data'!$C$3:$C$3390,$A1573)&gt;0,1,0)</f>
        <v>0</v>
      </c>
      <c r="S1573">
        <f t="shared" si="48"/>
        <v>1</v>
      </c>
      <c r="T1573">
        <f t="shared" si="49"/>
        <v>1</v>
      </c>
    </row>
    <row r="1574" spans="1:20" x14ac:dyDescent="0.2">
      <c r="A1574" t="s">
        <v>1853</v>
      </c>
      <c r="B1574">
        <f>IF(COUNTIFS('United Data'!$A$3:$A$3390,B$1,'United Data'!$C$3:$C$3390,$A1574)&gt;0,1,0)</f>
        <v>0</v>
      </c>
      <c r="C1574">
        <f>IF(COUNTIFS('United Data'!$A$3:$A$3390,C$1,'United Data'!$C$3:$C$3390,$A1574)&gt;0,1,0)</f>
        <v>0</v>
      </c>
      <c r="D1574">
        <f>IF(COUNTIFS('United Data'!$A$3:$A$3390,D$1,'United Data'!$C$3:$C$3390,$A1574)&gt;0,1,0)</f>
        <v>0</v>
      </c>
      <c r="E1574">
        <f>IF(COUNTIFS('United Data'!$A$3:$A$3390,E$1,'United Data'!$C$3:$C$3390,$A1574)&gt;0,1,0)</f>
        <v>0</v>
      </c>
      <c r="F1574">
        <f>IF(COUNTIFS('United Data'!$A$3:$A$3390,F$1,'United Data'!$C$3:$C$3390,$A1574)&gt;0,1,0)</f>
        <v>0</v>
      </c>
      <c r="G1574">
        <f>IF(COUNTIFS('United Data'!$A$3:$A$3390,G$1,'United Data'!$C$3:$C$3390,$A1574)&gt;0,1,0)</f>
        <v>0</v>
      </c>
      <c r="H1574">
        <f>IF(COUNTIFS('United Data'!$A$3:$A$3390,H$1,'United Data'!$C$3:$C$3390,$A1574)&gt;0,1,0)</f>
        <v>0</v>
      </c>
      <c r="I1574">
        <f>IF(COUNTIFS('United Data'!$A$3:$A$3390,I$1,'United Data'!$C$3:$C$3390,$A1574)&gt;0,1,0)</f>
        <v>0</v>
      </c>
      <c r="J1574">
        <f>IF(COUNTIFS('United Data'!$A$3:$A$3390,J$1,'United Data'!$C$3:$C$3390,$A1574)&gt;0,1,0)</f>
        <v>0</v>
      </c>
      <c r="K1574">
        <f>IF(COUNTIFS('United Data'!$A$3:$A$3390,K$1,'United Data'!$C$3:$C$3390,$A1574)&gt;0,1,0)</f>
        <v>0</v>
      </c>
      <c r="L1574">
        <f>IF(COUNTIFS('United Data'!$A$3:$A$3390,L$1,'United Data'!$C$3:$C$3390,$A1574)&gt;0,1,0)</f>
        <v>0</v>
      </c>
      <c r="M1574">
        <f>IF(COUNTIFS('United Data'!$A$3:$A$3390,M$1,'United Data'!$C$3:$C$3390,$A1574)&gt;0,1,0)</f>
        <v>0</v>
      </c>
      <c r="N1574">
        <f>IF(COUNTIFS('United Data'!$A$3:$A$3390,N$1,'United Data'!$C$3:$C$3390,$A1574)&gt;0,1,0)</f>
        <v>0</v>
      </c>
      <c r="O1574">
        <f>IF(COUNTIFS('United Data'!$A$3:$A$3390,O$1,'United Data'!$C$3:$C$3390,$A1574)&gt;0,1,0)</f>
        <v>0</v>
      </c>
      <c r="P1574">
        <f>IF(COUNTIFS('United Data'!$A$3:$A$3390,P$1,'United Data'!$C$3:$C$3390,$A1574)&gt;0,1,0)</f>
        <v>1</v>
      </c>
      <c r="Q1574">
        <f>IF(COUNTIFS('United Data'!$A$3:$A$3390,Q$1,'United Data'!$C$3:$C$3390,$A1574)&gt;0,1,0)</f>
        <v>1</v>
      </c>
      <c r="R1574">
        <f>IF(COUNTIFS('United Data'!$A$3:$A$3390,R$1,'United Data'!$C$3:$C$3390,$A1574)&gt;0,1,0)</f>
        <v>0</v>
      </c>
      <c r="S1574">
        <f t="shared" si="48"/>
        <v>2</v>
      </c>
      <c r="T1574">
        <f t="shared" si="49"/>
        <v>1</v>
      </c>
    </row>
    <row r="1575" spans="1:20" x14ac:dyDescent="0.2">
      <c r="A1575" t="s">
        <v>1854</v>
      </c>
      <c r="B1575">
        <f>IF(COUNTIFS('United Data'!$A$3:$A$3390,B$1,'United Data'!$C$3:$C$3390,$A1575)&gt;0,1,0)</f>
        <v>0</v>
      </c>
      <c r="C1575">
        <f>IF(COUNTIFS('United Data'!$A$3:$A$3390,C$1,'United Data'!$C$3:$C$3390,$A1575)&gt;0,1,0)</f>
        <v>0</v>
      </c>
      <c r="D1575">
        <f>IF(COUNTIFS('United Data'!$A$3:$A$3390,D$1,'United Data'!$C$3:$C$3390,$A1575)&gt;0,1,0)</f>
        <v>0</v>
      </c>
      <c r="E1575">
        <f>IF(COUNTIFS('United Data'!$A$3:$A$3390,E$1,'United Data'!$C$3:$C$3390,$A1575)&gt;0,1,0)</f>
        <v>0</v>
      </c>
      <c r="F1575">
        <f>IF(COUNTIFS('United Data'!$A$3:$A$3390,F$1,'United Data'!$C$3:$C$3390,$A1575)&gt;0,1,0)</f>
        <v>0</v>
      </c>
      <c r="G1575">
        <f>IF(COUNTIFS('United Data'!$A$3:$A$3390,G$1,'United Data'!$C$3:$C$3390,$A1575)&gt;0,1,0)</f>
        <v>0</v>
      </c>
      <c r="H1575">
        <f>IF(COUNTIFS('United Data'!$A$3:$A$3390,H$1,'United Data'!$C$3:$C$3390,$A1575)&gt;0,1,0)</f>
        <v>0</v>
      </c>
      <c r="I1575">
        <f>IF(COUNTIFS('United Data'!$A$3:$A$3390,I$1,'United Data'!$C$3:$C$3390,$A1575)&gt;0,1,0)</f>
        <v>0</v>
      </c>
      <c r="J1575">
        <f>IF(COUNTIFS('United Data'!$A$3:$A$3390,J$1,'United Data'!$C$3:$C$3390,$A1575)&gt;0,1,0)</f>
        <v>0</v>
      </c>
      <c r="K1575">
        <f>IF(COUNTIFS('United Data'!$A$3:$A$3390,K$1,'United Data'!$C$3:$C$3390,$A1575)&gt;0,1,0)</f>
        <v>0</v>
      </c>
      <c r="L1575">
        <f>IF(COUNTIFS('United Data'!$A$3:$A$3390,L$1,'United Data'!$C$3:$C$3390,$A1575)&gt;0,1,0)</f>
        <v>0</v>
      </c>
      <c r="M1575">
        <f>IF(COUNTIFS('United Data'!$A$3:$A$3390,M$1,'United Data'!$C$3:$C$3390,$A1575)&gt;0,1,0)</f>
        <v>0</v>
      </c>
      <c r="N1575">
        <f>IF(COUNTIFS('United Data'!$A$3:$A$3390,N$1,'United Data'!$C$3:$C$3390,$A1575)&gt;0,1,0)</f>
        <v>0</v>
      </c>
      <c r="O1575">
        <f>IF(COUNTIFS('United Data'!$A$3:$A$3390,O$1,'United Data'!$C$3:$C$3390,$A1575)&gt;0,1,0)</f>
        <v>0</v>
      </c>
      <c r="P1575">
        <f>IF(COUNTIFS('United Data'!$A$3:$A$3390,P$1,'United Data'!$C$3:$C$3390,$A1575)&gt;0,1,0)</f>
        <v>1</v>
      </c>
      <c r="Q1575">
        <f>IF(COUNTIFS('United Data'!$A$3:$A$3390,Q$1,'United Data'!$C$3:$C$3390,$A1575)&gt;0,1,0)</f>
        <v>0</v>
      </c>
      <c r="R1575">
        <f>IF(COUNTIFS('United Data'!$A$3:$A$3390,R$1,'United Data'!$C$3:$C$3390,$A1575)&gt;0,1,0)</f>
        <v>0</v>
      </c>
      <c r="S1575">
        <f t="shared" si="48"/>
        <v>1</v>
      </c>
      <c r="T1575">
        <f t="shared" si="49"/>
        <v>1</v>
      </c>
    </row>
    <row r="1576" spans="1:20" x14ac:dyDescent="0.2">
      <c r="A1576" t="s">
        <v>1855</v>
      </c>
      <c r="B1576">
        <f>IF(COUNTIFS('United Data'!$A$3:$A$3390,B$1,'United Data'!$C$3:$C$3390,$A1576)&gt;0,1,0)</f>
        <v>0</v>
      </c>
      <c r="C1576">
        <f>IF(COUNTIFS('United Data'!$A$3:$A$3390,C$1,'United Data'!$C$3:$C$3390,$A1576)&gt;0,1,0)</f>
        <v>0</v>
      </c>
      <c r="D1576">
        <f>IF(COUNTIFS('United Data'!$A$3:$A$3390,D$1,'United Data'!$C$3:$C$3390,$A1576)&gt;0,1,0)</f>
        <v>0</v>
      </c>
      <c r="E1576">
        <f>IF(COUNTIFS('United Data'!$A$3:$A$3390,E$1,'United Data'!$C$3:$C$3390,$A1576)&gt;0,1,0)</f>
        <v>0</v>
      </c>
      <c r="F1576">
        <f>IF(COUNTIFS('United Data'!$A$3:$A$3390,F$1,'United Data'!$C$3:$C$3390,$A1576)&gt;0,1,0)</f>
        <v>0</v>
      </c>
      <c r="G1576">
        <f>IF(COUNTIFS('United Data'!$A$3:$A$3390,G$1,'United Data'!$C$3:$C$3390,$A1576)&gt;0,1,0)</f>
        <v>0</v>
      </c>
      <c r="H1576">
        <f>IF(COUNTIFS('United Data'!$A$3:$A$3390,H$1,'United Data'!$C$3:$C$3390,$A1576)&gt;0,1,0)</f>
        <v>0</v>
      </c>
      <c r="I1576">
        <f>IF(COUNTIFS('United Data'!$A$3:$A$3390,I$1,'United Data'!$C$3:$C$3390,$A1576)&gt;0,1,0)</f>
        <v>0</v>
      </c>
      <c r="J1576">
        <f>IF(COUNTIFS('United Data'!$A$3:$A$3390,J$1,'United Data'!$C$3:$C$3390,$A1576)&gt;0,1,0)</f>
        <v>0</v>
      </c>
      <c r="K1576">
        <f>IF(COUNTIFS('United Data'!$A$3:$A$3390,K$1,'United Data'!$C$3:$C$3390,$A1576)&gt;0,1,0)</f>
        <v>0</v>
      </c>
      <c r="L1576">
        <f>IF(COUNTIFS('United Data'!$A$3:$A$3390,L$1,'United Data'!$C$3:$C$3390,$A1576)&gt;0,1,0)</f>
        <v>0</v>
      </c>
      <c r="M1576">
        <f>IF(COUNTIFS('United Data'!$A$3:$A$3390,M$1,'United Data'!$C$3:$C$3390,$A1576)&gt;0,1,0)</f>
        <v>0</v>
      </c>
      <c r="N1576">
        <f>IF(COUNTIFS('United Data'!$A$3:$A$3390,N$1,'United Data'!$C$3:$C$3390,$A1576)&gt;0,1,0)</f>
        <v>0</v>
      </c>
      <c r="O1576">
        <f>IF(COUNTIFS('United Data'!$A$3:$A$3390,O$1,'United Data'!$C$3:$C$3390,$A1576)&gt;0,1,0)</f>
        <v>0</v>
      </c>
      <c r="P1576">
        <f>IF(COUNTIFS('United Data'!$A$3:$A$3390,P$1,'United Data'!$C$3:$C$3390,$A1576)&gt;0,1,0)</f>
        <v>1</v>
      </c>
      <c r="Q1576">
        <f>IF(COUNTIFS('United Data'!$A$3:$A$3390,Q$1,'United Data'!$C$3:$C$3390,$A1576)&gt;0,1,0)</f>
        <v>1</v>
      </c>
      <c r="R1576">
        <f>IF(COUNTIFS('United Data'!$A$3:$A$3390,R$1,'United Data'!$C$3:$C$3390,$A1576)&gt;0,1,0)</f>
        <v>0</v>
      </c>
      <c r="S1576">
        <f t="shared" si="48"/>
        <v>2</v>
      </c>
      <c r="T1576">
        <f t="shared" si="49"/>
        <v>1</v>
      </c>
    </row>
    <row r="1577" spans="1:20" x14ac:dyDescent="0.2">
      <c r="A1577" t="s">
        <v>1856</v>
      </c>
      <c r="B1577">
        <f>IF(COUNTIFS('United Data'!$A$3:$A$3390,B$1,'United Data'!$C$3:$C$3390,$A1577)&gt;0,1,0)</f>
        <v>0</v>
      </c>
      <c r="C1577">
        <f>IF(COUNTIFS('United Data'!$A$3:$A$3390,C$1,'United Data'!$C$3:$C$3390,$A1577)&gt;0,1,0)</f>
        <v>0</v>
      </c>
      <c r="D1577">
        <f>IF(COUNTIFS('United Data'!$A$3:$A$3390,D$1,'United Data'!$C$3:$C$3390,$A1577)&gt;0,1,0)</f>
        <v>0</v>
      </c>
      <c r="E1577">
        <f>IF(COUNTIFS('United Data'!$A$3:$A$3390,E$1,'United Data'!$C$3:$C$3390,$A1577)&gt;0,1,0)</f>
        <v>0</v>
      </c>
      <c r="F1577">
        <f>IF(COUNTIFS('United Data'!$A$3:$A$3390,F$1,'United Data'!$C$3:$C$3390,$A1577)&gt;0,1,0)</f>
        <v>0</v>
      </c>
      <c r="G1577">
        <f>IF(COUNTIFS('United Data'!$A$3:$A$3390,G$1,'United Data'!$C$3:$C$3390,$A1577)&gt;0,1,0)</f>
        <v>0</v>
      </c>
      <c r="H1577">
        <f>IF(COUNTIFS('United Data'!$A$3:$A$3390,H$1,'United Data'!$C$3:$C$3390,$A1577)&gt;0,1,0)</f>
        <v>0</v>
      </c>
      <c r="I1577">
        <f>IF(COUNTIFS('United Data'!$A$3:$A$3390,I$1,'United Data'!$C$3:$C$3390,$A1577)&gt;0,1,0)</f>
        <v>0</v>
      </c>
      <c r="J1577">
        <f>IF(COUNTIFS('United Data'!$A$3:$A$3390,J$1,'United Data'!$C$3:$C$3390,$A1577)&gt;0,1,0)</f>
        <v>0</v>
      </c>
      <c r="K1577">
        <f>IF(COUNTIFS('United Data'!$A$3:$A$3390,K$1,'United Data'!$C$3:$C$3390,$A1577)&gt;0,1,0)</f>
        <v>0</v>
      </c>
      <c r="L1577">
        <f>IF(COUNTIFS('United Data'!$A$3:$A$3390,L$1,'United Data'!$C$3:$C$3390,$A1577)&gt;0,1,0)</f>
        <v>0</v>
      </c>
      <c r="M1577">
        <f>IF(COUNTIFS('United Data'!$A$3:$A$3390,M$1,'United Data'!$C$3:$C$3390,$A1577)&gt;0,1,0)</f>
        <v>0</v>
      </c>
      <c r="N1577">
        <f>IF(COUNTIFS('United Data'!$A$3:$A$3390,N$1,'United Data'!$C$3:$C$3390,$A1577)&gt;0,1,0)</f>
        <v>0</v>
      </c>
      <c r="O1577">
        <f>IF(COUNTIFS('United Data'!$A$3:$A$3390,O$1,'United Data'!$C$3:$C$3390,$A1577)&gt;0,1,0)</f>
        <v>0</v>
      </c>
      <c r="P1577">
        <f>IF(COUNTIFS('United Data'!$A$3:$A$3390,P$1,'United Data'!$C$3:$C$3390,$A1577)&gt;0,1,0)</f>
        <v>1</v>
      </c>
      <c r="Q1577">
        <f>IF(COUNTIFS('United Data'!$A$3:$A$3390,Q$1,'United Data'!$C$3:$C$3390,$A1577)&gt;0,1,0)</f>
        <v>0</v>
      </c>
      <c r="R1577">
        <f>IF(COUNTIFS('United Data'!$A$3:$A$3390,R$1,'United Data'!$C$3:$C$3390,$A1577)&gt;0,1,0)</f>
        <v>0</v>
      </c>
      <c r="S1577">
        <f t="shared" si="48"/>
        <v>1</v>
      </c>
      <c r="T1577">
        <f t="shared" si="49"/>
        <v>1</v>
      </c>
    </row>
    <row r="1578" spans="1:20" x14ac:dyDescent="0.2">
      <c r="A1578" t="s">
        <v>1857</v>
      </c>
      <c r="B1578">
        <f>IF(COUNTIFS('United Data'!$A$3:$A$3390,B$1,'United Data'!$C$3:$C$3390,$A1578)&gt;0,1,0)</f>
        <v>0</v>
      </c>
      <c r="C1578">
        <f>IF(COUNTIFS('United Data'!$A$3:$A$3390,C$1,'United Data'!$C$3:$C$3390,$A1578)&gt;0,1,0)</f>
        <v>0</v>
      </c>
      <c r="D1578">
        <f>IF(COUNTIFS('United Data'!$A$3:$A$3390,D$1,'United Data'!$C$3:$C$3390,$A1578)&gt;0,1,0)</f>
        <v>0</v>
      </c>
      <c r="E1578">
        <f>IF(COUNTIFS('United Data'!$A$3:$A$3390,E$1,'United Data'!$C$3:$C$3390,$A1578)&gt;0,1,0)</f>
        <v>0</v>
      </c>
      <c r="F1578">
        <f>IF(COUNTIFS('United Data'!$A$3:$A$3390,F$1,'United Data'!$C$3:$C$3390,$A1578)&gt;0,1,0)</f>
        <v>0</v>
      </c>
      <c r="G1578">
        <f>IF(COUNTIFS('United Data'!$A$3:$A$3390,G$1,'United Data'!$C$3:$C$3390,$A1578)&gt;0,1,0)</f>
        <v>0</v>
      </c>
      <c r="H1578">
        <f>IF(COUNTIFS('United Data'!$A$3:$A$3390,H$1,'United Data'!$C$3:$C$3390,$A1578)&gt;0,1,0)</f>
        <v>0</v>
      </c>
      <c r="I1578">
        <f>IF(COUNTIFS('United Data'!$A$3:$A$3390,I$1,'United Data'!$C$3:$C$3390,$A1578)&gt;0,1,0)</f>
        <v>0</v>
      </c>
      <c r="J1578">
        <f>IF(COUNTIFS('United Data'!$A$3:$A$3390,J$1,'United Data'!$C$3:$C$3390,$A1578)&gt;0,1,0)</f>
        <v>0</v>
      </c>
      <c r="K1578">
        <f>IF(COUNTIFS('United Data'!$A$3:$A$3390,K$1,'United Data'!$C$3:$C$3390,$A1578)&gt;0,1,0)</f>
        <v>0</v>
      </c>
      <c r="L1578">
        <f>IF(COUNTIFS('United Data'!$A$3:$A$3390,L$1,'United Data'!$C$3:$C$3390,$A1578)&gt;0,1,0)</f>
        <v>0</v>
      </c>
      <c r="M1578">
        <f>IF(COUNTIFS('United Data'!$A$3:$A$3390,M$1,'United Data'!$C$3:$C$3390,$A1578)&gt;0,1,0)</f>
        <v>0</v>
      </c>
      <c r="N1578">
        <f>IF(COUNTIFS('United Data'!$A$3:$A$3390,N$1,'United Data'!$C$3:$C$3390,$A1578)&gt;0,1,0)</f>
        <v>0</v>
      </c>
      <c r="O1578">
        <f>IF(COUNTIFS('United Data'!$A$3:$A$3390,O$1,'United Data'!$C$3:$C$3390,$A1578)&gt;0,1,0)</f>
        <v>0</v>
      </c>
      <c r="P1578">
        <f>IF(COUNTIFS('United Data'!$A$3:$A$3390,P$1,'United Data'!$C$3:$C$3390,$A1578)&gt;0,1,0)</f>
        <v>1</v>
      </c>
      <c r="Q1578">
        <f>IF(COUNTIFS('United Data'!$A$3:$A$3390,Q$1,'United Data'!$C$3:$C$3390,$A1578)&gt;0,1,0)</f>
        <v>0</v>
      </c>
      <c r="R1578">
        <f>IF(COUNTIFS('United Data'!$A$3:$A$3390,R$1,'United Data'!$C$3:$C$3390,$A1578)&gt;0,1,0)</f>
        <v>0</v>
      </c>
      <c r="S1578">
        <f t="shared" si="48"/>
        <v>1</v>
      </c>
      <c r="T1578">
        <f t="shared" si="49"/>
        <v>1</v>
      </c>
    </row>
    <row r="1579" spans="1:20" x14ac:dyDescent="0.2">
      <c r="A1579" t="s">
        <v>1858</v>
      </c>
      <c r="B1579">
        <f>IF(COUNTIFS('United Data'!$A$3:$A$3390,B$1,'United Data'!$C$3:$C$3390,$A1579)&gt;0,1,0)</f>
        <v>0</v>
      </c>
      <c r="C1579">
        <f>IF(COUNTIFS('United Data'!$A$3:$A$3390,C$1,'United Data'!$C$3:$C$3390,$A1579)&gt;0,1,0)</f>
        <v>0</v>
      </c>
      <c r="D1579">
        <f>IF(COUNTIFS('United Data'!$A$3:$A$3390,D$1,'United Data'!$C$3:$C$3390,$A1579)&gt;0,1,0)</f>
        <v>0</v>
      </c>
      <c r="E1579">
        <f>IF(COUNTIFS('United Data'!$A$3:$A$3390,E$1,'United Data'!$C$3:$C$3390,$A1579)&gt;0,1,0)</f>
        <v>0</v>
      </c>
      <c r="F1579">
        <f>IF(COUNTIFS('United Data'!$A$3:$A$3390,F$1,'United Data'!$C$3:$C$3390,$A1579)&gt;0,1,0)</f>
        <v>0</v>
      </c>
      <c r="G1579">
        <f>IF(COUNTIFS('United Data'!$A$3:$A$3390,G$1,'United Data'!$C$3:$C$3390,$A1579)&gt;0,1,0)</f>
        <v>0</v>
      </c>
      <c r="H1579">
        <f>IF(COUNTIFS('United Data'!$A$3:$A$3390,H$1,'United Data'!$C$3:$C$3390,$A1579)&gt;0,1,0)</f>
        <v>0</v>
      </c>
      <c r="I1579">
        <f>IF(COUNTIFS('United Data'!$A$3:$A$3390,I$1,'United Data'!$C$3:$C$3390,$A1579)&gt;0,1,0)</f>
        <v>0</v>
      </c>
      <c r="J1579">
        <f>IF(COUNTIFS('United Data'!$A$3:$A$3390,J$1,'United Data'!$C$3:$C$3390,$A1579)&gt;0,1,0)</f>
        <v>0</v>
      </c>
      <c r="K1579">
        <f>IF(COUNTIFS('United Data'!$A$3:$A$3390,K$1,'United Data'!$C$3:$C$3390,$A1579)&gt;0,1,0)</f>
        <v>0</v>
      </c>
      <c r="L1579">
        <f>IF(COUNTIFS('United Data'!$A$3:$A$3390,L$1,'United Data'!$C$3:$C$3390,$A1579)&gt;0,1,0)</f>
        <v>0</v>
      </c>
      <c r="M1579">
        <f>IF(COUNTIFS('United Data'!$A$3:$A$3390,M$1,'United Data'!$C$3:$C$3390,$A1579)&gt;0,1,0)</f>
        <v>0</v>
      </c>
      <c r="N1579">
        <f>IF(COUNTIFS('United Data'!$A$3:$A$3390,N$1,'United Data'!$C$3:$C$3390,$A1579)&gt;0,1,0)</f>
        <v>0</v>
      </c>
      <c r="O1579">
        <f>IF(COUNTIFS('United Data'!$A$3:$A$3390,O$1,'United Data'!$C$3:$C$3390,$A1579)&gt;0,1,0)</f>
        <v>0</v>
      </c>
      <c r="P1579">
        <f>IF(COUNTIFS('United Data'!$A$3:$A$3390,P$1,'United Data'!$C$3:$C$3390,$A1579)&gt;0,1,0)</f>
        <v>1</v>
      </c>
      <c r="Q1579">
        <f>IF(COUNTIFS('United Data'!$A$3:$A$3390,Q$1,'United Data'!$C$3:$C$3390,$A1579)&gt;0,1,0)</f>
        <v>0</v>
      </c>
      <c r="R1579">
        <f>IF(COUNTIFS('United Data'!$A$3:$A$3390,R$1,'United Data'!$C$3:$C$3390,$A1579)&gt;0,1,0)</f>
        <v>0</v>
      </c>
      <c r="S1579">
        <f t="shared" si="48"/>
        <v>1</v>
      </c>
      <c r="T1579">
        <f t="shared" si="49"/>
        <v>1</v>
      </c>
    </row>
    <row r="1580" spans="1:20" x14ac:dyDescent="0.2">
      <c r="A1580" t="s">
        <v>1859</v>
      </c>
      <c r="B1580">
        <f>IF(COUNTIFS('United Data'!$A$3:$A$3390,B$1,'United Data'!$C$3:$C$3390,$A1580)&gt;0,1,0)</f>
        <v>0</v>
      </c>
      <c r="C1580">
        <f>IF(COUNTIFS('United Data'!$A$3:$A$3390,C$1,'United Data'!$C$3:$C$3390,$A1580)&gt;0,1,0)</f>
        <v>0</v>
      </c>
      <c r="D1580">
        <f>IF(COUNTIFS('United Data'!$A$3:$A$3390,D$1,'United Data'!$C$3:$C$3390,$A1580)&gt;0,1,0)</f>
        <v>0</v>
      </c>
      <c r="E1580">
        <f>IF(COUNTIFS('United Data'!$A$3:$A$3390,E$1,'United Data'!$C$3:$C$3390,$A1580)&gt;0,1,0)</f>
        <v>0</v>
      </c>
      <c r="F1580">
        <f>IF(COUNTIFS('United Data'!$A$3:$A$3390,F$1,'United Data'!$C$3:$C$3390,$A1580)&gt;0,1,0)</f>
        <v>0</v>
      </c>
      <c r="G1580">
        <f>IF(COUNTIFS('United Data'!$A$3:$A$3390,G$1,'United Data'!$C$3:$C$3390,$A1580)&gt;0,1,0)</f>
        <v>0</v>
      </c>
      <c r="H1580">
        <f>IF(COUNTIFS('United Data'!$A$3:$A$3390,H$1,'United Data'!$C$3:$C$3390,$A1580)&gt;0,1,0)</f>
        <v>0</v>
      </c>
      <c r="I1580">
        <f>IF(COUNTIFS('United Data'!$A$3:$A$3390,I$1,'United Data'!$C$3:$C$3390,$A1580)&gt;0,1,0)</f>
        <v>0</v>
      </c>
      <c r="J1580">
        <f>IF(COUNTIFS('United Data'!$A$3:$A$3390,J$1,'United Data'!$C$3:$C$3390,$A1580)&gt;0,1,0)</f>
        <v>0</v>
      </c>
      <c r="K1580">
        <f>IF(COUNTIFS('United Data'!$A$3:$A$3390,K$1,'United Data'!$C$3:$C$3390,$A1580)&gt;0,1,0)</f>
        <v>0</v>
      </c>
      <c r="L1580">
        <f>IF(COUNTIFS('United Data'!$A$3:$A$3390,L$1,'United Data'!$C$3:$C$3390,$A1580)&gt;0,1,0)</f>
        <v>0</v>
      </c>
      <c r="M1580">
        <f>IF(COUNTIFS('United Data'!$A$3:$A$3390,M$1,'United Data'!$C$3:$C$3390,$A1580)&gt;0,1,0)</f>
        <v>0</v>
      </c>
      <c r="N1580">
        <f>IF(COUNTIFS('United Data'!$A$3:$A$3390,N$1,'United Data'!$C$3:$C$3390,$A1580)&gt;0,1,0)</f>
        <v>0</v>
      </c>
      <c r="O1580">
        <f>IF(COUNTIFS('United Data'!$A$3:$A$3390,O$1,'United Data'!$C$3:$C$3390,$A1580)&gt;0,1,0)</f>
        <v>0</v>
      </c>
      <c r="P1580">
        <f>IF(COUNTIFS('United Data'!$A$3:$A$3390,P$1,'United Data'!$C$3:$C$3390,$A1580)&gt;0,1,0)</f>
        <v>1</v>
      </c>
      <c r="Q1580">
        <f>IF(COUNTIFS('United Data'!$A$3:$A$3390,Q$1,'United Data'!$C$3:$C$3390,$A1580)&gt;0,1,0)</f>
        <v>0</v>
      </c>
      <c r="R1580">
        <f>IF(COUNTIFS('United Data'!$A$3:$A$3390,R$1,'United Data'!$C$3:$C$3390,$A1580)&gt;0,1,0)</f>
        <v>1</v>
      </c>
      <c r="S1580">
        <f t="shared" si="48"/>
        <v>2</v>
      </c>
      <c r="T1580">
        <f t="shared" si="49"/>
        <v>2</v>
      </c>
    </row>
    <row r="1581" spans="1:20" x14ac:dyDescent="0.2">
      <c r="A1581" t="s">
        <v>1860</v>
      </c>
      <c r="B1581">
        <f>IF(COUNTIFS('United Data'!$A$3:$A$3390,B$1,'United Data'!$C$3:$C$3390,$A1581)&gt;0,1,0)</f>
        <v>0</v>
      </c>
      <c r="C1581">
        <f>IF(COUNTIFS('United Data'!$A$3:$A$3390,C$1,'United Data'!$C$3:$C$3390,$A1581)&gt;0,1,0)</f>
        <v>0</v>
      </c>
      <c r="D1581">
        <f>IF(COUNTIFS('United Data'!$A$3:$A$3390,D$1,'United Data'!$C$3:$C$3390,$A1581)&gt;0,1,0)</f>
        <v>0</v>
      </c>
      <c r="E1581">
        <f>IF(COUNTIFS('United Data'!$A$3:$A$3390,E$1,'United Data'!$C$3:$C$3390,$A1581)&gt;0,1,0)</f>
        <v>0</v>
      </c>
      <c r="F1581">
        <f>IF(COUNTIFS('United Data'!$A$3:$A$3390,F$1,'United Data'!$C$3:$C$3390,$A1581)&gt;0,1,0)</f>
        <v>0</v>
      </c>
      <c r="G1581">
        <f>IF(COUNTIFS('United Data'!$A$3:$A$3390,G$1,'United Data'!$C$3:$C$3390,$A1581)&gt;0,1,0)</f>
        <v>0</v>
      </c>
      <c r="H1581">
        <f>IF(COUNTIFS('United Data'!$A$3:$A$3390,H$1,'United Data'!$C$3:$C$3390,$A1581)&gt;0,1,0)</f>
        <v>0</v>
      </c>
      <c r="I1581">
        <f>IF(COUNTIFS('United Data'!$A$3:$A$3390,I$1,'United Data'!$C$3:$C$3390,$A1581)&gt;0,1,0)</f>
        <v>0</v>
      </c>
      <c r="J1581">
        <f>IF(COUNTIFS('United Data'!$A$3:$A$3390,J$1,'United Data'!$C$3:$C$3390,$A1581)&gt;0,1,0)</f>
        <v>0</v>
      </c>
      <c r="K1581">
        <f>IF(COUNTIFS('United Data'!$A$3:$A$3390,K$1,'United Data'!$C$3:$C$3390,$A1581)&gt;0,1,0)</f>
        <v>0</v>
      </c>
      <c r="L1581">
        <f>IF(COUNTIFS('United Data'!$A$3:$A$3390,L$1,'United Data'!$C$3:$C$3390,$A1581)&gt;0,1,0)</f>
        <v>0</v>
      </c>
      <c r="M1581">
        <f>IF(COUNTIFS('United Data'!$A$3:$A$3390,M$1,'United Data'!$C$3:$C$3390,$A1581)&gt;0,1,0)</f>
        <v>0</v>
      </c>
      <c r="N1581">
        <f>IF(COUNTIFS('United Data'!$A$3:$A$3390,N$1,'United Data'!$C$3:$C$3390,$A1581)&gt;0,1,0)</f>
        <v>0</v>
      </c>
      <c r="O1581">
        <f>IF(COUNTIFS('United Data'!$A$3:$A$3390,O$1,'United Data'!$C$3:$C$3390,$A1581)&gt;0,1,0)</f>
        <v>0</v>
      </c>
      <c r="P1581">
        <f>IF(COUNTIFS('United Data'!$A$3:$A$3390,P$1,'United Data'!$C$3:$C$3390,$A1581)&gt;0,1,0)</f>
        <v>0</v>
      </c>
      <c r="Q1581">
        <f>IF(COUNTIFS('United Data'!$A$3:$A$3390,Q$1,'United Data'!$C$3:$C$3390,$A1581)&gt;0,1,0)</f>
        <v>1</v>
      </c>
      <c r="R1581">
        <f>IF(COUNTIFS('United Data'!$A$3:$A$3390,R$1,'United Data'!$C$3:$C$3390,$A1581)&gt;0,1,0)</f>
        <v>0</v>
      </c>
      <c r="S1581">
        <f t="shared" si="48"/>
        <v>1</v>
      </c>
      <c r="T1581">
        <f t="shared" si="49"/>
        <v>1</v>
      </c>
    </row>
    <row r="1582" spans="1:20" x14ac:dyDescent="0.2">
      <c r="A1582" t="s">
        <v>1861</v>
      </c>
      <c r="B1582">
        <f>IF(COUNTIFS('United Data'!$A$3:$A$3390,B$1,'United Data'!$C$3:$C$3390,$A1582)&gt;0,1,0)</f>
        <v>0</v>
      </c>
      <c r="C1582">
        <f>IF(COUNTIFS('United Data'!$A$3:$A$3390,C$1,'United Data'!$C$3:$C$3390,$A1582)&gt;0,1,0)</f>
        <v>0</v>
      </c>
      <c r="D1582">
        <f>IF(COUNTIFS('United Data'!$A$3:$A$3390,D$1,'United Data'!$C$3:$C$3390,$A1582)&gt;0,1,0)</f>
        <v>0</v>
      </c>
      <c r="E1582">
        <f>IF(COUNTIFS('United Data'!$A$3:$A$3390,E$1,'United Data'!$C$3:$C$3390,$A1582)&gt;0,1,0)</f>
        <v>0</v>
      </c>
      <c r="F1582">
        <f>IF(COUNTIFS('United Data'!$A$3:$A$3390,F$1,'United Data'!$C$3:$C$3390,$A1582)&gt;0,1,0)</f>
        <v>0</v>
      </c>
      <c r="G1582">
        <f>IF(COUNTIFS('United Data'!$A$3:$A$3390,G$1,'United Data'!$C$3:$C$3390,$A1582)&gt;0,1,0)</f>
        <v>0</v>
      </c>
      <c r="H1582">
        <f>IF(COUNTIFS('United Data'!$A$3:$A$3390,H$1,'United Data'!$C$3:$C$3390,$A1582)&gt;0,1,0)</f>
        <v>0</v>
      </c>
      <c r="I1582">
        <f>IF(COUNTIFS('United Data'!$A$3:$A$3390,I$1,'United Data'!$C$3:$C$3390,$A1582)&gt;0,1,0)</f>
        <v>0</v>
      </c>
      <c r="J1582">
        <f>IF(COUNTIFS('United Data'!$A$3:$A$3390,J$1,'United Data'!$C$3:$C$3390,$A1582)&gt;0,1,0)</f>
        <v>0</v>
      </c>
      <c r="K1582">
        <f>IF(COUNTIFS('United Data'!$A$3:$A$3390,K$1,'United Data'!$C$3:$C$3390,$A1582)&gt;0,1,0)</f>
        <v>0</v>
      </c>
      <c r="L1582">
        <f>IF(COUNTIFS('United Data'!$A$3:$A$3390,L$1,'United Data'!$C$3:$C$3390,$A1582)&gt;0,1,0)</f>
        <v>0</v>
      </c>
      <c r="M1582">
        <f>IF(COUNTIFS('United Data'!$A$3:$A$3390,M$1,'United Data'!$C$3:$C$3390,$A1582)&gt;0,1,0)</f>
        <v>0</v>
      </c>
      <c r="N1582">
        <f>IF(COUNTIFS('United Data'!$A$3:$A$3390,N$1,'United Data'!$C$3:$C$3390,$A1582)&gt;0,1,0)</f>
        <v>0</v>
      </c>
      <c r="O1582">
        <f>IF(COUNTIFS('United Data'!$A$3:$A$3390,O$1,'United Data'!$C$3:$C$3390,$A1582)&gt;0,1,0)</f>
        <v>0</v>
      </c>
      <c r="P1582">
        <f>IF(COUNTIFS('United Data'!$A$3:$A$3390,P$1,'United Data'!$C$3:$C$3390,$A1582)&gt;0,1,0)</f>
        <v>0</v>
      </c>
      <c r="Q1582">
        <f>IF(COUNTIFS('United Data'!$A$3:$A$3390,Q$1,'United Data'!$C$3:$C$3390,$A1582)&gt;0,1,0)</f>
        <v>1</v>
      </c>
      <c r="R1582">
        <f>IF(COUNTIFS('United Data'!$A$3:$A$3390,R$1,'United Data'!$C$3:$C$3390,$A1582)&gt;0,1,0)</f>
        <v>0</v>
      </c>
      <c r="S1582">
        <f t="shared" si="48"/>
        <v>1</v>
      </c>
      <c r="T1582">
        <f t="shared" si="49"/>
        <v>1</v>
      </c>
    </row>
    <row r="1583" spans="1:20" x14ac:dyDescent="0.2">
      <c r="A1583" t="s">
        <v>1862</v>
      </c>
      <c r="B1583">
        <f>IF(COUNTIFS('United Data'!$A$3:$A$3390,B$1,'United Data'!$C$3:$C$3390,$A1583)&gt;0,1,0)</f>
        <v>0</v>
      </c>
      <c r="C1583">
        <f>IF(COUNTIFS('United Data'!$A$3:$A$3390,C$1,'United Data'!$C$3:$C$3390,$A1583)&gt;0,1,0)</f>
        <v>0</v>
      </c>
      <c r="D1583">
        <f>IF(COUNTIFS('United Data'!$A$3:$A$3390,D$1,'United Data'!$C$3:$C$3390,$A1583)&gt;0,1,0)</f>
        <v>0</v>
      </c>
      <c r="E1583">
        <f>IF(COUNTIFS('United Data'!$A$3:$A$3390,E$1,'United Data'!$C$3:$C$3390,$A1583)&gt;0,1,0)</f>
        <v>0</v>
      </c>
      <c r="F1583">
        <f>IF(COUNTIFS('United Data'!$A$3:$A$3390,F$1,'United Data'!$C$3:$C$3390,$A1583)&gt;0,1,0)</f>
        <v>0</v>
      </c>
      <c r="G1583">
        <f>IF(COUNTIFS('United Data'!$A$3:$A$3390,G$1,'United Data'!$C$3:$C$3390,$A1583)&gt;0,1,0)</f>
        <v>0</v>
      </c>
      <c r="H1583">
        <f>IF(COUNTIFS('United Data'!$A$3:$A$3390,H$1,'United Data'!$C$3:$C$3390,$A1583)&gt;0,1,0)</f>
        <v>0</v>
      </c>
      <c r="I1583">
        <f>IF(COUNTIFS('United Data'!$A$3:$A$3390,I$1,'United Data'!$C$3:$C$3390,$A1583)&gt;0,1,0)</f>
        <v>0</v>
      </c>
      <c r="J1583">
        <f>IF(COUNTIFS('United Data'!$A$3:$A$3390,J$1,'United Data'!$C$3:$C$3390,$A1583)&gt;0,1,0)</f>
        <v>0</v>
      </c>
      <c r="K1583">
        <f>IF(COUNTIFS('United Data'!$A$3:$A$3390,K$1,'United Data'!$C$3:$C$3390,$A1583)&gt;0,1,0)</f>
        <v>0</v>
      </c>
      <c r="L1583">
        <f>IF(COUNTIFS('United Data'!$A$3:$A$3390,L$1,'United Data'!$C$3:$C$3390,$A1583)&gt;0,1,0)</f>
        <v>0</v>
      </c>
      <c r="M1583">
        <f>IF(COUNTIFS('United Data'!$A$3:$A$3390,M$1,'United Data'!$C$3:$C$3390,$A1583)&gt;0,1,0)</f>
        <v>0</v>
      </c>
      <c r="N1583">
        <f>IF(COUNTIFS('United Data'!$A$3:$A$3390,N$1,'United Data'!$C$3:$C$3390,$A1583)&gt;0,1,0)</f>
        <v>0</v>
      </c>
      <c r="O1583">
        <f>IF(COUNTIFS('United Data'!$A$3:$A$3390,O$1,'United Data'!$C$3:$C$3390,$A1583)&gt;0,1,0)</f>
        <v>0</v>
      </c>
      <c r="P1583">
        <f>IF(COUNTIFS('United Data'!$A$3:$A$3390,P$1,'United Data'!$C$3:$C$3390,$A1583)&gt;0,1,0)</f>
        <v>0</v>
      </c>
      <c r="Q1583">
        <f>IF(COUNTIFS('United Data'!$A$3:$A$3390,Q$1,'United Data'!$C$3:$C$3390,$A1583)&gt;0,1,0)</f>
        <v>1</v>
      </c>
      <c r="R1583">
        <f>IF(COUNTIFS('United Data'!$A$3:$A$3390,R$1,'United Data'!$C$3:$C$3390,$A1583)&gt;0,1,0)</f>
        <v>0</v>
      </c>
      <c r="S1583">
        <f t="shared" si="48"/>
        <v>1</v>
      </c>
      <c r="T1583">
        <f t="shared" si="49"/>
        <v>1</v>
      </c>
    </row>
    <row r="1584" spans="1:20" x14ac:dyDescent="0.2">
      <c r="A1584" t="s">
        <v>1863</v>
      </c>
      <c r="B1584">
        <f>IF(COUNTIFS('United Data'!$A$3:$A$3390,B$1,'United Data'!$C$3:$C$3390,$A1584)&gt;0,1,0)</f>
        <v>0</v>
      </c>
      <c r="C1584">
        <f>IF(COUNTIFS('United Data'!$A$3:$A$3390,C$1,'United Data'!$C$3:$C$3390,$A1584)&gt;0,1,0)</f>
        <v>0</v>
      </c>
      <c r="D1584">
        <f>IF(COUNTIFS('United Data'!$A$3:$A$3390,D$1,'United Data'!$C$3:$C$3390,$A1584)&gt;0,1,0)</f>
        <v>0</v>
      </c>
      <c r="E1584">
        <f>IF(COUNTIFS('United Data'!$A$3:$A$3390,E$1,'United Data'!$C$3:$C$3390,$A1584)&gt;0,1,0)</f>
        <v>0</v>
      </c>
      <c r="F1584">
        <f>IF(COUNTIFS('United Data'!$A$3:$A$3390,F$1,'United Data'!$C$3:$C$3390,$A1584)&gt;0,1,0)</f>
        <v>0</v>
      </c>
      <c r="G1584">
        <f>IF(COUNTIFS('United Data'!$A$3:$A$3390,G$1,'United Data'!$C$3:$C$3390,$A1584)&gt;0,1,0)</f>
        <v>0</v>
      </c>
      <c r="H1584">
        <f>IF(COUNTIFS('United Data'!$A$3:$A$3390,H$1,'United Data'!$C$3:$C$3390,$A1584)&gt;0,1,0)</f>
        <v>0</v>
      </c>
      <c r="I1584">
        <f>IF(COUNTIFS('United Data'!$A$3:$A$3390,I$1,'United Data'!$C$3:$C$3390,$A1584)&gt;0,1,0)</f>
        <v>0</v>
      </c>
      <c r="J1584">
        <f>IF(COUNTIFS('United Data'!$A$3:$A$3390,J$1,'United Data'!$C$3:$C$3390,$A1584)&gt;0,1,0)</f>
        <v>0</v>
      </c>
      <c r="K1584">
        <f>IF(COUNTIFS('United Data'!$A$3:$A$3390,K$1,'United Data'!$C$3:$C$3390,$A1584)&gt;0,1,0)</f>
        <v>0</v>
      </c>
      <c r="L1584">
        <f>IF(COUNTIFS('United Data'!$A$3:$A$3390,L$1,'United Data'!$C$3:$C$3390,$A1584)&gt;0,1,0)</f>
        <v>0</v>
      </c>
      <c r="M1584">
        <f>IF(COUNTIFS('United Data'!$A$3:$A$3390,M$1,'United Data'!$C$3:$C$3390,$A1584)&gt;0,1,0)</f>
        <v>0</v>
      </c>
      <c r="N1584">
        <f>IF(COUNTIFS('United Data'!$A$3:$A$3390,N$1,'United Data'!$C$3:$C$3390,$A1584)&gt;0,1,0)</f>
        <v>0</v>
      </c>
      <c r="O1584">
        <f>IF(COUNTIFS('United Data'!$A$3:$A$3390,O$1,'United Data'!$C$3:$C$3390,$A1584)&gt;0,1,0)</f>
        <v>0</v>
      </c>
      <c r="P1584">
        <f>IF(COUNTIFS('United Data'!$A$3:$A$3390,P$1,'United Data'!$C$3:$C$3390,$A1584)&gt;0,1,0)</f>
        <v>0</v>
      </c>
      <c r="Q1584">
        <f>IF(COUNTIFS('United Data'!$A$3:$A$3390,Q$1,'United Data'!$C$3:$C$3390,$A1584)&gt;0,1,0)</f>
        <v>1</v>
      </c>
      <c r="R1584">
        <f>IF(COUNTIFS('United Data'!$A$3:$A$3390,R$1,'United Data'!$C$3:$C$3390,$A1584)&gt;0,1,0)</f>
        <v>0</v>
      </c>
      <c r="S1584">
        <f t="shared" si="48"/>
        <v>1</v>
      </c>
      <c r="T1584">
        <f t="shared" si="49"/>
        <v>1</v>
      </c>
    </row>
    <row r="1585" spans="1:20" x14ac:dyDescent="0.2">
      <c r="A1585" t="s">
        <v>1864</v>
      </c>
      <c r="B1585">
        <f>IF(COUNTIFS('United Data'!$A$3:$A$3390,B$1,'United Data'!$C$3:$C$3390,$A1585)&gt;0,1,0)</f>
        <v>0</v>
      </c>
      <c r="C1585">
        <f>IF(COUNTIFS('United Data'!$A$3:$A$3390,C$1,'United Data'!$C$3:$C$3390,$A1585)&gt;0,1,0)</f>
        <v>0</v>
      </c>
      <c r="D1585">
        <f>IF(COUNTIFS('United Data'!$A$3:$A$3390,D$1,'United Data'!$C$3:$C$3390,$A1585)&gt;0,1,0)</f>
        <v>0</v>
      </c>
      <c r="E1585">
        <f>IF(COUNTIFS('United Data'!$A$3:$A$3390,E$1,'United Data'!$C$3:$C$3390,$A1585)&gt;0,1,0)</f>
        <v>0</v>
      </c>
      <c r="F1585">
        <f>IF(COUNTIFS('United Data'!$A$3:$A$3390,F$1,'United Data'!$C$3:$C$3390,$A1585)&gt;0,1,0)</f>
        <v>0</v>
      </c>
      <c r="G1585">
        <f>IF(COUNTIFS('United Data'!$A$3:$A$3390,G$1,'United Data'!$C$3:$C$3390,$A1585)&gt;0,1,0)</f>
        <v>0</v>
      </c>
      <c r="H1585">
        <f>IF(COUNTIFS('United Data'!$A$3:$A$3390,H$1,'United Data'!$C$3:$C$3390,$A1585)&gt;0,1,0)</f>
        <v>0</v>
      </c>
      <c r="I1585">
        <f>IF(COUNTIFS('United Data'!$A$3:$A$3390,I$1,'United Data'!$C$3:$C$3390,$A1585)&gt;0,1,0)</f>
        <v>0</v>
      </c>
      <c r="J1585">
        <f>IF(COUNTIFS('United Data'!$A$3:$A$3390,J$1,'United Data'!$C$3:$C$3390,$A1585)&gt;0,1,0)</f>
        <v>0</v>
      </c>
      <c r="K1585">
        <f>IF(COUNTIFS('United Data'!$A$3:$A$3390,K$1,'United Data'!$C$3:$C$3390,$A1585)&gt;0,1,0)</f>
        <v>0</v>
      </c>
      <c r="L1585">
        <f>IF(COUNTIFS('United Data'!$A$3:$A$3390,L$1,'United Data'!$C$3:$C$3390,$A1585)&gt;0,1,0)</f>
        <v>0</v>
      </c>
      <c r="M1585">
        <f>IF(COUNTIFS('United Data'!$A$3:$A$3390,M$1,'United Data'!$C$3:$C$3390,$A1585)&gt;0,1,0)</f>
        <v>0</v>
      </c>
      <c r="N1585">
        <f>IF(COUNTIFS('United Data'!$A$3:$A$3390,N$1,'United Data'!$C$3:$C$3390,$A1585)&gt;0,1,0)</f>
        <v>0</v>
      </c>
      <c r="O1585">
        <f>IF(COUNTIFS('United Data'!$A$3:$A$3390,O$1,'United Data'!$C$3:$C$3390,$A1585)&gt;0,1,0)</f>
        <v>0</v>
      </c>
      <c r="P1585">
        <f>IF(COUNTIFS('United Data'!$A$3:$A$3390,P$1,'United Data'!$C$3:$C$3390,$A1585)&gt;0,1,0)</f>
        <v>0</v>
      </c>
      <c r="Q1585">
        <f>IF(COUNTIFS('United Data'!$A$3:$A$3390,Q$1,'United Data'!$C$3:$C$3390,$A1585)&gt;0,1,0)</f>
        <v>0</v>
      </c>
      <c r="R1585">
        <f>IF(COUNTIFS('United Data'!$A$3:$A$3390,R$1,'United Data'!$C$3:$C$3390,$A1585)&gt;0,1,0)</f>
        <v>1</v>
      </c>
      <c r="S1585">
        <f t="shared" si="48"/>
        <v>1</v>
      </c>
      <c r="T1585">
        <f t="shared" si="49"/>
        <v>1</v>
      </c>
    </row>
    <row r="1586" spans="1:20" x14ac:dyDescent="0.2">
      <c r="A1586" t="s">
        <v>2055</v>
      </c>
      <c r="B1586">
        <f>IF(COUNTIFS('United Data'!$A$3:$A$3390,B$1,'United Data'!$C$3:$C$3390,$A1586)&gt;0,1,0)</f>
        <v>0</v>
      </c>
      <c r="C1586">
        <f>IF(COUNTIFS('United Data'!$A$3:$A$3390,C$1,'United Data'!$C$3:$C$3390,$A1586)&gt;0,1,0)</f>
        <v>0</v>
      </c>
      <c r="D1586">
        <f>IF(COUNTIFS('United Data'!$A$3:$A$3390,D$1,'United Data'!$C$3:$C$3390,$A1586)&gt;0,1,0)</f>
        <v>1</v>
      </c>
      <c r="E1586">
        <f>IF(COUNTIFS('United Data'!$A$3:$A$3390,E$1,'United Data'!$C$3:$C$3390,$A1586)&gt;0,1,0)</f>
        <v>0</v>
      </c>
      <c r="F1586">
        <f>IF(COUNTIFS('United Data'!$A$3:$A$3390,F$1,'United Data'!$C$3:$C$3390,$A1586)&gt;0,1,0)</f>
        <v>0</v>
      </c>
      <c r="G1586">
        <f>IF(COUNTIFS('United Data'!$A$3:$A$3390,G$1,'United Data'!$C$3:$C$3390,$A1586)&gt;0,1,0)</f>
        <v>0</v>
      </c>
      <c r="H1586">
        <f>IF(COUNTIFS('United Data'!$A$3:$A$3390,H$1,'United Data'!$C$3:$C$3390,$A1586)&gt;0,1,0)</f>
        <v>0</v>
      </c>
      <c r="I1586">
        <f>IF(COUNTIFS('United Data'!$A$3:$A$3390,I$1,'United Data'!$C$3:$C$3390,$A1586)&gt;0,1,0)</f>
        <v>0</v>
      </c>
      <c r="J1586">
        <f>IF(COUNTIFS('United Data'!$A$3:$A$3390,J$1,'United Data'!$C$3:$C$3390,$A1586)&gt;0,1,0)</f>
        <v>0</v>
      </c>
      <c r="K1586">
        <f>IF(COUNTIFS('United Data'!$A$3:$A$3390,K$1,'United Data'!$C$3:$C$3390,$A1586)&gt;0,1,0)</f>
        <v>0</v>
      </c>
      <c r="L1586">
        <f>IF(COUNTIFS('United Data'!$A$3:$A$3390,L$1,'United Data'!$C$3:$C$3390,$A1586)&gt;0,1,0)</f>
        <v>0</v>
      </c>
      <c r="M1586">
        <f>IF(COUNTIFS('United Data'!$A$3:$A$3390,M$1,'United Data'!$C$3:$C$3390,$A1586)&gt;0,1,0)</f>
        <v>0</v>
      </c>
      <c r="N1586">
        <f>IF(COUNTIFS('United Data'!$A$3:$A$3390,N$1,'United Data'!$C$3:$C$3390,$A1586)&gt;0,1,0)</f>
        <v>0</v>
      </c>
      <c r="O1586">
        <f>IF(COUNTIFS('United Data'!$A$3:$A$3390,O$1,'United Data'!$C$3:$C$3390,$A1586)&gt;0,1,0)</f>
        <v>0</v>
      </c>
      <c r="P1586">
        <f>IF(COUNTIFS('United Data'!$A$3:$A$3390,P$1,'United Data'!$C$3:$C$3390,$A1586)&gt;0,1,0)</f>
        <v>0</v>
      </c>
      <c r="Q1586">
        <f>IF(COUNTIFS('United Data'!$A$3:$A$3390,Q$1,'United Data'!$C$3:$C$3390,$A1586)&gt;0,1,0)</f>
        <v>0</v>
      </c>
      <c r="R1586">
        <f>IF(COUNTIFS('United Data'!$A$3:$A$3390,R$1,'United Data'!$C$3:$C$3390,$A1586)&gt;0,1,0)</f>
        <v>0</v>
      </c>
      <c r="S1586">
        <f t="shared" si="48"/>
        <v>1</v>
      </c>
      <c r="T1586">
        <f t="shared" si="49"/>
        <v>1</v>
      </c>
    </row>
    <row r="1587" spans="1:20" x14ac:dyDescent="0.2">
      <c r="A1587" t="s">
        <v>1865</v>
      </c>
      <c r="B1587">
        <f>IF(COUNTIFS('United Data'!$A$3:$A$3390,B$1,'United Data'!$C$3:$C$3390,$A1587)&gt;0,1,0)</f>
        <v>0</v>
      </c>
      <c r="C1587">
        <f>IF(COUNTIFS('United Data'!$A$3:$A$3390,C$1,'United Data'!$C$3:$C$3390,$A1587)&gt;0,1,0)</f>
        <v>0</v>
      </c>
      <c r="D1587">
        <f>IF(COUNTIFS('United Data'!$A$3:$A$3390,D$1,'United Data'!$C$3:$C$3390,$A1587)&gt;0,1,0)</f>
        <v>1</v>
      </c>
      <c r="E1587">
        <f>IF(COUNTIFS('United Data'!$A$3:$A$3390,E$1,'United Data'!$C$3:$C$3390,$A1587)&gt;0,1,0)</f>
        <v>0</v>
      </c>
      <c r="F1587">
        <f>IF(COUNTIFS('United Data'!$A$3:$A$3390,F$1,'United Data'!$C$3:$C$3390,$A1587)&gt;0,1,0)</f>
        <v>0</v>
      </c>
      <c r="G1587">
        <f>IF(COUNTIFS('United Data'!$A$3:$A$3390,G$1,'United Data'!$C$3:$C$3390,$A1587)&gt;0,1,0)</f>
        <v>0</v>
      </c>
      <c r="H1587">
        <f>IF(COUNTIFS('United Data'!$A$3:$A$3390,H$1,'United Data'!$C$3:$C$3390,$A1587)&gt;0,1,0)</f>
        <v>0</v>
      </c>
      <c r="I1587">
        <f>IF(COUNTIFS('United Data'!$A$3:$A$3390,I$1,'United Data'!$C$3:$C$3390,$A1587)&gt;0,1,0)</f>
        <v>0</v>
      </c>
      <c r="J1587">
        <f>IF(COUNTIFS('United Data'!$A$3:$A$3390,J$1,'United Data'!$C$3:$C$3390,$A1587)&gt;0,1,0)</f>
        <v>0</v>
      </c>
      <c r="K1587">
        <f>IF(COUNTIFS('United Data'!$A$3:$A$3390,K$1,'United Data'!$C$3:$C$3390,$A1587)&gt;0,1,0)</f>
        <v>0</v>
      </c>
      <c r="L1587">
        <f>IF(COUNTIFS('United Data'!$A$3:$A$3390,L$1,'United Data'!$C$3:$C$3390,$A1587)&gt;0,1,0)</f>
        <v>0</v>
      </c>
      <c r="M1587">
        <f>IF(COUNTIFS('United Data'!$A$3:$A$3390,M$1,'United Data'!$C$3:$C$3390,$A1587)&gt;0,1,0)</f>
        <v>0</v>
      </c>
      <c r="N1587">
        <f>IF(COUNTIFS('United Data'!$A$3:$A$3390,N$1,'United Data'!$C$3:$C$3390,$A1587)&gt;0,1,0)</f>
        <v>0</v>
      </c>
      <c r="O1587">
        <f>IF(COUNTIFS('United Data'!$A$3:$A$3390,O$1,'United Data'!$C$3:$C$3390,$A1587)&gt;0,1,0)</f>
        <v>0</v>
      </c>
      <c r="P1587">
        <f>IF(COUNTIFS('United Data'!$A$3:$A$3390,P$1,'United Data'!$C$3:$C$3390,$A1587)&gt;0,1,0)</f>
        <v>0</v>
      </c>
      <c r="Q1587">
        <f>IF(COUNTIFS('United Data'!$A$3:$A$3390,Q$1,'United Data'!$C$3:$C$3390,$A1587)&gt;0,1,0)</f>
        <v>0</v>
      </c>
      <c r="R1587">
        <f>IF(COUNTIFS('United Data'!$A$3:$A$3390,R$1,'United Data'!$C$3:$C$3390,$A1587)&gt;0,1,0)</f>
        <v>0</v>
      </c>
      <c r="S1587">
        <f t="shared" si="48"/>
        <v>1</v>
      </c>
      <c r="T1587">
        <f t="shared" si="49"/>
        <v>1</v>
      </c>
    </row>
    <row r="1588" spans="1:20" x14ac:dyDescent="0.2">
      <c r="A1588" t="s">
        <v>1866</v>
      </c>
      <c r="B1588">
        <f>IF(COUNTIFS('United Data'!$A$3:$A$3390,B$1,'United Data'!$C$3:$C$3390,$A1588)&gt;0,1,0)</f>
        <v>0</v>
      </c>
      <c r="C1588">
        <f>IF(COUNTIFS('United Data'!$A$3:$A$3390,C$1,'United Data'!$C$3:$C$3390,$A1588)&gt;0,1,0)</f>
        <v>0</v>
      </c>
      <c r="D1588">
        <f>IF(COUNTIFS('United Data'!$A$3:$A$3390,D$1,'United Data'!$C$3:$C$3390,$A1588)&gt;0,1,0)</f>
        <v>1</v>
      </c>
      <c r="E1588">
        <f>IF(COUNTIFS('United Data'!$A$3:$A$3390,E$1,'United Data'!$C$3:$C$3390,$A1588)&gt;0,1,0)</f>
        <v>0</v>
      </c>
      <c r="F1588">
        <f>IF(COUNTIFS('United Data'!$A$3:$A$3390,F$1,'United Data'!$C$3:$C$3390,$A1588)&gt;0,1,0)</f>
        <v>0</v>
      </c>
      <c r="G1588">
        <f>IF(COUNTIFS('United Data'!$A$3:$A$3390,G$1,'United Data'!$C$3:$C$3390,$A1588)&gt;0,1,0)</f>
        <v>0</v>
      </c>
      <c r="H1588">
        <f>IF(COUNTIFS('United Data'!$A$3:$A$3390,H$1,'United Data'!$C$3:$C$3390,$A1588)&gt;0,1,0)</f>
        <v>0</v>
      </c>
      <c r="I1588">
        <f>IF(COUNTIFS('United Data'!$A$3:$A$3390,I$1,'United Data'!$C$3:$C$3390,$A1588)&gt;0,1,0)</f>
        <v>0</v>
      </c>
      <c r="J1588">
        <f>IF(COUNTIFS('United Data'!$A$3:$A$3390,J$1,'United Data'!$C$3:$C$3390,$A1588)&gt;0,1,0)</f>
        <v>0</v>
      </c>
      <c r="K1588">
        <f>IF(COUNTIFS('United Data'!$A$3:$A$3390,K$1,'United Data'!$C$3:$C$3390,$A1588)&gt;0,1,0)</f>
        <v>1</v>
      </c>
      <c r="L1588">
        <f>IF(COUNTIFS('United Data'!$A$3:$A$3390,L$1,'United Data'!$C$3:$C$3390,$A1588)&gt;0,1,0)</f>
        <v>0</v>
      </c>
      <c r="M1588">
        <f>IF(COUNTIFS('United Data'!$A$3:$A$3390,M$1,'United Data'!$C$3:$C$3390,$A1588)&gt;0,1,0)</f>
        <v>0</v>
      </c>
      <c r="N1588">
        <f>IF(COUNTIFS('United Data'!$A$3:$A$3390,N$1,'United Data'!$C$3:$C$3390,$A1588)&gt;0,1,0)</f>
        <v>0</v>
      </c>
      <c r="O1588">
        <f>IF(COUNTIFS('United Data'!$A$3:$A$3390,O$1,'United Data'!$C$3:$C$3390,$A1588)&gt;0,1,0)</f>
        <v>1</v>
      </c>
      <c r="P1588">
        <f>IF(COUNTIFS('United Data'!$A$3:$A$3390,P$1,'United Data'!$C$3:$C$3390,$A1588)&gt;0,1,0)</f>
        <v>0</v>
      </c>
      <c r="Q1588">
        <f>IF(COUNTIFS('United Data'!$A$3:$A$3390,Q$1,'United Data'!$C$3:$C$3390,$A1588)&gt;0,1,0)</f>
        <v>0</v>
      </c>
      <c r="R1588">
        <f>IF(COUNTIFS('United Data'!$A$3:$A$3390,R$1,'United Data'!$C$3:$C$3390,$A1588)&gt;0,1,0)</f>
        <v>0</v>
      </c>
      <c r="S1588">
        <f t="shared" si="48"/>
        <v>3</v>
      </c>
      <c r="T1588">
        <f t="shared" si="49"/>
        <v>3</v>
      </c>
    </row>
    <row r="1589" spans="1:20" x14ac:dyDescent="0.2">
      <c r="A1589" t="s">
        <v>2056</v>
      </c>
      <c r="B1589">
        <f>IF(COUNTIFS('United Data'!$A$3:$A$3390,B$1,'United Data'!$C$3:$C$3390,$A1589)&gt;0,1,0)</f>
        <v>0</v>
      </c>
      <c r="C1589">
        <f>IF(COUNTIFS('United Data'!$A$3:$A$3390,C$1,'United Data'!$C$3:$C$3390,$A1589)&gt;0,1,0)</f>
        <v>0</v>
      </c>
      <c r="D1589">
        <f>IF(COUNTIFS('United Data'!$A$3:$A$3390,D$1,'United Data'!$C$3:$C$3390,$A1589)&gt;0,1,0)</f>
        <v>0</v>
      </c>
      <c r="E1589">
        <f>IF(COUNTIFS('United Data'!$A$3:$A$3390,E$1,'United Data'!$C$3:$C$3390,$A1589)&gt;0,1,0)</f>
        <v>0</v>
      </c>
      <c r="F1589">
        <f>IF(COUNTIFS('United Data'!$A$3:$A$3390,F$1,'United Data'!$C$3:$C$3390,$A1589)&gt;0,1,0)</f>
        <v>0</v>
      </c>
      <c r="G1589">
        <f>IF(COUNTIFS('United Data'!$A$3:$A$3390,G$1,'United Data'!$C$3:$C$3390,$A1589)&gt;0,1,0)</f>
        <v>1</v>
      </c>
      <c r="H1589">
        <f>IF(COUNTIFS('United Data'!$A$3:$A$3390,H$1,'United Data'!$C$3:$C$3390,$A1589)&gt;0,1,0)</f>
        <v>0</v>
      </c>
      <c r="I1589">
        <f>IF(COUNTIFS('United Data'!$A$3:$A$3390,I$1,'United Data'!$C$3:$C$3390,$A1589)&gt;0,1,0)</f>
        <v>0</v>
      </c>
      <c r="J1589">
        <f>IF(COUNTIFS('United Data'!$A$3:$A$3390,J$1,'United Data'!$C$3:$C$3390,$A1589)&gt;0,1,0)</f>
        <v>0</v>
      </c>
      <c r="K1589">
        <f>IF(COUNTIFS('United Data'!$A$3:$A$3390,K$1,'United Data'!$C$3:$C$3390,$A1589)&gt;0,1,0)</f>
        <v>0</v>
      </c>
      <c r="L1589">
        <f>IF(COUNTIFS('United Data'!$A$3:$A$3390,L$1,'United Data'!$C$3:$C$3390,$A1589)&gt;0,1,0)</f>
        <v>0</v>
      </c>
      <c r="M1589">
        <f>IF(COUNTIFS('United Data'!$A$3:$A$3390,M$1,'United Data'!$C$3:$C$3390,$A1589)&gt;0,1,0)</f>
        <v>0</v>
      </c>
      <c r="N1589">
        <f>IF(COUNTIFS('United Data'!$A$3:$A$3390,N$1,'United Data'!$C$3:$C$3390,$A1589)&gt;0,1,0)</f>
        <v>0</v>
      </c>
      <c r="O1589">
        <f>IF(COUNTIFS('United Data'!$A$3:$A$3390,O$1,'United Data'!$C$3:$C$3390,$A1589)&gt;0,1,0)</f>
        <v>0</v>
      </c>
      <c r="P1589">
        <f>IF(COUNTIFS('United Data'!$A$3:$A$3390,P$1,'United Data'!$C$3:$C$3390,$A1589)&gt;0,1,0)</f>
        <v>0</v>
      </c>
      <c r="Q1589">
        <f>IF(COUNTIFS('United Data'!$A$3:$A$3390,Q$1,'United Data'!$C$3:$C$3390,$A1589)&gt;0,1,0)</f>
        <v>0</v>
      </c>
      <c r="R1589">
        <f>IF(COUNTIFS('United Data'!$A$3:$A$3390,R$1,'United Data'!$C$3:$C$3390,$A1589)&gt;0,1,0)</f>
        <v>0</v>
      </c>
      <c r="S1589">
        <f t="shared" si="48"/>
        <v>1</v>
      </c>
      <c r="T1589">
        <f t="shared" si="49"/>
        <v>1</v>
      </c>
    </row>
    <row r="1590" spans="1:20" x14ac:dyDescent="0.2">
      <c r="A1590" t="s">
        <v>2057</v>
      </c>
      <c r="B1590">
        <f>IF(COUNTIFS('United Data'!$A$3:$A$3390,B$1,'United Data'!$C$3:$C$3390,$A1590)&gt;0,1,0)</f>
        <v>0</v>
      </c>
      <c r="C1590">
        <f>IF(COUNTIFS('United Data'!$A$3:$A$3390,C$1,'United Data'!$C$3:$C$3390,$A1590)&gt;0,1,0)</f>
        <v>0</v>
      </c>
      <c r="D1590">
        <f>IF(COUNTIFS('United Data'!$A$3:$A$3390,D$1,'United Data'!$C$3:$C$3390,$A1590)&gt;0,1,0)</f>
        <v>0</v>
      </c>
      <c r="E1590">
        <f>IF(COUNTIFS('United Data'!$A$3:$A$3390,E$1,'United Data'!$C$3:$C$3390,$A1590)&gt;0,1,0)</f>
        <v>0</v>
      </c>
      <c r="F1590">
        <f>IF(COUNTIFS('United Data'!$A$3:$A$3390,F$1,'United Data'!$C$3:$C$3390,$A1590)&gt;0,1,0)</f>
        <v>0</v>
      </c>
      <c r="G1590">
        <f>IF(COUNTIFS('United Data'!$A$3:$A$3390,G$1,'United Data'!$C$3:$C$3390,$A1590)&gt;0,1,0)</f>
        <v>0</v>
      </c>
      <c r="H1590">
        <f>IF(COUNTIFS('United Data'!$A$3:$A$3390,H$1,'United Data'!$C$3:$C$3390,$A1590)&gt;0,1,0)</f>
        <v>0</v>
      </c>
      <c r="I1590">
        <f>IF(COUNTIFS('United Data'!$A$3:$A$3390,I$1,'United Data'!$C$3:$C$3390,$A1590)&gt;0,1,0)</f>
        <v>1</v>
      </c>
      <c r="J1590">
        <f>IF(COUNTIFS('United Data'!$A$3:$A$3390,J$1,'United Data'!$C$3:$C$3390,$A1590)&gt;0,1,0)</f>
        <v>0</v>
      </c>
      <c r="K1590">
        <f>IF(COUNTIFS('United Data'!$A$3:$A$3390,K$1,'United Data'!$C$3:$C$3390,$A1590)&gt;0,1,0)</f>
        <v>0</v>
      </c>
      <c r="L1590">
        <f>IF(COUNTIFS('United Data'!$A$3:$A$3390,L$1,'United Data'!$C$3:$C$3390,$A1590)&gt;0,1,0)</f>
        <v>0</v>
      </c>
      <c r="M1590">
        <f>IF(COUNTIFS('United Data'!$A$3:$A$3390,M$1,'United Data'!$C$3:$C$3390,$A1590)&gt;0,1,0)</f>
        <v>0</v>
      </c>
      <c r="N1590">
        <f>IF(COUNTIFS('United Data'!$A$3:$A$3390,N$1,'United Data'!$C$3:$C$3390,$A1590)&gt;0,1,0)</f>
        <v>0</v>
      </c>
      <c r="O1590">
        <f>IF(COUNTIFS('United Data'!$A$3:$A$3390,O$1,'United Data'!$C$3:$C$3390,$A1590)&gt;0,1,0)</f>
        <v>0</v>
      </c>
      <c r="P1590">
        <f>IF(COUNTIFS('United Data'!$A$3:$A$3390,P$1,'United Data'!$C$3:$C$3390,$A1590)&gt;0,1,0)</f>
        <v>0</v>
      </c>
      <c r="Q1590">
        <f>IF(COUNTIFS('United Data'!$A$3:$A$3390,Q$1,'United Data'!$C$3:$C$3390,$A1590)&gt;0,1,0)</f>
        <v>0</v>
      </c>
      <c r="R1590">
        <f>IF(COUNTIFS('United Data'!$A$3:$A$3390,R$1,'United Data'!$C$3:$C$3390,$A1590)&gt;0,1,0)</f>
        <v>0</v>
      </c>
      <c r="S1590">
        <f t="shared" si="48"/>
        <v>1</v>
      </c>
      <c r="T1590">
        <f t="shared" si="49"/>
        <v>1</v>
      </c>
    </row>
    <row r="1591" spans="1:20" x14ac:dyDescent="0.2">
      <c r="A1591" t="s">
        <v>1867</v>
      </c>
      <c r="B1591">
        <f>IF(COUNTIFS('United Data'!$A$3:$A$3390,B$1,'United Data'!$C$3:$C$3390,$A1591)&gt;0,1,0)</f>
        <v>0</v>
      </c>
      <c r="C1591">
        <f>IF(COUNTIFS('United Data'!$A$3:$A$3390,C$1,'United Data'!$C$3:$C$3390,$A1591)&gt;0,1,0)</f>
        <v>0</v>
      </c>
      <c r="D1591">
        <f>IF(COUNTIFS('United Data'!$A$3:$A$3390,D$1,'United Data'!$C$3:$C$3390,$A1591)&gt;0,1,0)</f>
        <v>0</v>
      </c>
      <c r="E1591">
        <f>IF(COUNTIFS('United Data'!$A$3:$A$3390,E$1,'United Data'!$C$3:$C$3390,$A1591)&gt;0,1,0)</f>
        <v>0</v>
      </c>
      <c r="F1591">
        <f>IF(COUNTIFS('United Data'!$A$3:$A$3390,F$1,'United Data'!$C$3:$C$3390,$A1591)&gt;0,1,0)</f>
        <v>0</v>
      </c>
      <c r="G1591">
        <f>IF(COUNTIFS('United Data'!$A$3:$A$3390,G$1,'United Data'!$C$3:$C$3390,$A1591)&gt;0,1,0)</f>
        <v>0</v>
      </c>
      <c r="H1591">
        <f>IF(COUNTIFS('United Data'!$A$3:$A$3390,H$1,'United Data'!$C$3:$C$3390,$A1591)&gt;0,1,0)</f>
        <v>0</v>
      </c>
      <c r="I1591">
        <f>IF(COUNTIFS('United Data'!$A$3:$A$3390,I$1,'United Data'!$C$3:$C$3390,$A1591)&gt;0,1,0)</f>
        <v>0</v>
      </c>
      <c r="J1591">
        <f>IF(COUNTIFS('United Data'!$A$3:$A$3390,J$1,'United Data'!$C$3:$C$3390,$A1591)&gt;0,1,0)</f>
        <v>0</v>
      </c>
      <c r="K1591">
        <f>IF(COUNTIFS('United Data'!$A$3:$A$3390,K$1,'United Data'!$C$3:$C$3390,$A1591)&gt;0,1,0)</f>
        <v>1</v>
      </c>
      <c r="L1591">
        <f>IF(COUNTIFS('United Data'!$A$3:$A$3390,L$1,'United Data'!$C$3:$C$3390,$A1591)&gt;0,1,0)</f>
        <v>0</v>
      </c>
      <c r="M1591">
        <f>IF(COUNTIFS('United Data'!$A$3:$A$3390,M$1,'United Data'!$C$3:$C$3390,$A1591)&gt;0,1,0)</f>
        <v>0</v>
      </c>
      <c r="N1591">
        <f>IF(COUNTIFS('United Data'!$A$3:$A$3390,N$1,'United Data'!$C$3:$C$3390,$A1591)&gt;0,1,0)</f>
        <v>0</v>
      </c>
      <c r="O1591">
        <f>IF(COUNTIFS('United Data'!$A$3:$A$3390,O$1,'United Data'!$C$3:$C$3390,$A1591)&gt;0,1,0)</f>
        <v>0</v>
      </c>
      <c r="P1591">
        <f>IF(COUNTIFS('United Data'!$A$3:$A$3390,P$1,'United Data'!$C$3:$C$3390,$A1591)&gt;0,1,0)</f>
        <v>0</v>
      </c>
      <c r="Q1591">
        <f>IF(COUNTIFS('United Data'!$A$3:$A$3390,Q$1,'United Data'!$C$3:$C$3390,$A1591)&gt;0,1,0)</f>
        <v>0</v>
      </c>
      <c r="R1591">
        <f>IF(COUNTIFS('United Data'!$A$3:$A$3390,R$1,'United Data'!$C$3:$C$3390,$A1591)&gt;0,1,0)</f>
        <v>0</v>
      </c>
      <c r="S1591">
        <f t="shared" si="48"/>
        <v>1</v>
      </c>
      <c r="T1591">
        <f t="shared" si="49"/>
        <v>1</v>
      </c>
    </row>
    <row r="1592" spans="1:20" x14ac:dyDescent="0.2">
      <c r="A1592" t="s">
        <v>1869</v>
      </c>
      <c r="B1592">
        <f>IF(COUNTIFS('United Data'!$A$3:$A$3390,B$1,'United Data'!$C$3:$C$3390,$A1592)&gt;0,1,0)</f>
        <v>0</v>
      </c>
      <c r="C1592">
        <f>IF(COUNTIFS('United Data'!$A$3:$A$3390,C$1,'United Data'!$C$3:$C$3390,$A1592)&gt;0,1,0)</f>
        <v>0</v>
      </c>
      <c r="D1592">
        <f>IF(COUNTIFS('United Data'!$A$3:$A$3390,D$1,'United Data'!$C$3:$C$3390,$A1592)&gt;0,1,0)</f>
        <v>0</v>
      </c>
      <c r="E1592">
        <f>IF(COUNTIFS('United Data'!$A$3:$A$3390,E$1,'United Data'!$C$3:$C$3390,$A1592)&gt;0,1,0)</f>
        <v>0</v>
      </c>
      <c r="F1592">
        <f>IF(COUNTIFS('United Data'!$A$3:$A$3390,F$1,'United Data'!$C$3:$C$3390,$A1592)&gt;0,1,0)</f>
        <v>0</v>
      </c>
      <c r="G1592">
        <f>IF(COUNTIFS('United Data'!$A$3:$A$3390,G$1,'United Data'!$C$3:$C$3390,$A1592)&gt;0,1,0)</f>
        <v>0</v>
      </c>
      <c r="H1592">
        <f>IF(COUNTIFS('United Data'!$A$3:$A$3390,H$1,'United Data'!$C$3:$C$3390,$A1592)&gt;0,1,0)</f>
        <v>0</v>
      </c>
      <c r="I1592">
        <f>IF(COUNTIFS('United Data'!$A$3:$A$3390,I$1,'United Data'!$C$3:$C$3390,$A1592)&gt;0,1,0)</f>
        <v>0</v>
      </c>
      <c r="J1592">
        <f>IF(COUNTIFS('United Data'!$A$3:$A$3390,J$1,'United Data'!$C$3:$C$3390,$A1592)&gt;0,1,0)</f>
        <v>0</v>
      </c>
      <c r="K1592">
        <f>IF(COUNTIFS('United Data'!$A$3:$A$3390,K$1,'United Data'!$C$3:$C$3390,$A1592)&gt;0,1,0)</f>
        <v>1</v>
      </c>
      <c r="L1592">
        <f>IF(COUNTIFS('United Data'!$A$3:$A$3390,L$1,'United Data'!$C$3:$C$3390,$A1592)&gt;0,1,0)</f>
        <v>0</v>
      </c>
      <c r="M1592">
        <f>IF(COUNTIFS('United Data'!$A$3:$A$3390,M$1,'United Data'!$C$3:$C$3390,$A1592)&gt;0,1,0)</f>
        <v>0</v>
      </c>
      <c r="N1592">
        <f>IF(COUNTIFS('United Data'!$A$3:$A$3390,N$1,'United Data'!$C$3:$C$3390,$A1592)&gt;0,1,0)</f>
        <v>0</v>
      </c>
      <c r="O1592">
        <f>IF(COUNTIFS('United Data'!$A$3:$A$3390,O$1,'United Data'!$C$3:$C$3390,$A1592)&gt;0,1,0)</f>
        <v>0</v>
      </c>
      <c r="P1592">
        <f>IF(COUNTIFS('United Data'!$A$3:$A$3390,P$1,'United Data'!$C$3:$C$3390,$A1592)&gt;0,1,0)</f>
        <v>0</v>
      </c>
      <c r="Q1592">
        <f>IF(COUNTIFS('United Data'!$A$3:$A$3390,Q$1,'United Data'!$C$3:$C$3390,$A1592)&gt;0,1,0)</f>
        <v>0</v>
      </c>
      <c r="R1592">
        <f>IF(COUNTIFS('United Data'!$A$3:$A$3390,R$1,'United Data'!$C$3:$C$3390,$A1592)&gt;0,1,0)</f>
        <v>0</v>
      </c>
      <c r="S1592">
        <f t="shared" si="48"/>
        <v>1</v>
      </c>
      <c r="T1592">
        <f t="shared" si="49"/>
        <v>1</v>
      </c>
    </row>
    <row r="1593" spans="1:20" x14ac:dyDescent="0.2">
      <c r="A1593" t="s">
        <v>1870</v>
      </c>
      <c r="B1593">
        <f>IF(COUNTIFS('United Data'!$A$3:$A$3390,B$1,'United Data'!$C$3:$C$3390,$A1593)&gt;0,1,0)</f>
        <v>0</v>
      </c>
      <c r="C1593">
        <f>IF(COUNTIFS('United Data'!$A$3:$A$3390,C$1,'United Data'!$C$3:$C$3390,$A1593)&gt;0,1,0)</f>
        <v>0</v>
      </c>
      <c r="D1593">
        <f>IF(COUNTIFS('United Data'!$A$3:$A$3390,D$1,'United Data'!$C$3:$C$3390,$A1593)&gt;0,1,0)</f>
        <v>0</v>
      </c>
      <c r="E1593">
        <f>IF(COUNTIFS('United Data'!$A$3:$A$3390,E$1,'United Data'!$C$3:$C$3390,$A1593)&gt;0,1,0)</f>
        <v>0</v>
      </c>
      <c r="F1593">
        <f>IF(COUNTIFS('United Data'!$A$3:$A$3390,F$1,'United Data'!$C$3:$C$3390,$A1593)&gt;0,1,0)</f>
        <v>0</v>
      </c>
      <c r="G1593">
        <f>IF(COUNTIFS('United Data'!$A$3:$A$3390,G$1,'United Data'!$C$3:$C$3390,$A1593)&gt;0,1,0)</f>
        <v>0</v>
      </c>
      <c r="H1593">
        <f>IF(COUNTIFS('United Data'!$A$3:$A$3390,H$1,'United Data'!$C$3:$C$3390,$A1593)&gt;0,1,0)</f>
        <v>0</v>
      </c>
      <c r="I1593">
        <f>IF(COUNTIFS('United Data'!$A$3:$A$3390,I$1,'United Data'!$C$3:$C$3390,$A1593)&gt;0,1,0)</f>
        <v>0</v>
      </c>
      <c r="J1593">
        <f>IF(COUNTIFS('United Data'!$A$3:$A$3390,J$1,'United Data'!$C$3:$C$3390,$A1593)&gt;0,1,0)</f>
        <v>0</v>
      </c>
      <c r="K1593">
        <f>IF(COUNTIFS('United Data'!$A$3:$A$3390,K$1,'United Data'!$C$3:$C$3390,$A1593)&gt;0,1,0)</f>
        <v>0</v>
      </c>
      <c r="L1593">
        <f>IF(COUNTIFS('United Data'!$A$3:$A$3390,L$1,'United Data'!$C$3:$C$3390,$A1593)&gt;0,1,0)</f>
        <v>1</v>
      </c>
      <c r="M1593">
        <f>IF(COUNTIFS('United Data'!$A$3:$A$3390,M$1,'United Data'!$C$3:$C$3390,$A1593)&gt;0,1,0)</f>
        <v>0</v>
      </c>
      <c r="N1593">
        <f>IF(COUNTIFS('United Data'!$A$3:$A$3390,N$1,'United Data'!$C$3:$C$3390,$A1593)&gt;0,1,0)</f>
        <v>0</v>
      </c>
      <c r="O1593">
        <f>IF(COUNTIFS('United Data'!$A$3:$A$3390,O$1,'United Data'!$C$3:$C$3390,$A1593)&gt;0,1,0)</f>
        <v>0</v>
      </c>
      <c r="P1593">
        <f>IF(COUNTIFS('United Data'!$A$3:$A$3390,P$1,'United Data'!$C$3:$C$3390,$A1593)&gt;0,1,0)</f>
        <v>0</v>
      </c>
      <c r="Q1593">
        <f>IF(COUNTIFS('United Data'!$A$3:$A$3390,Q$1,'United Data'!$C$3:$C$3390,$A1593)&gt;0,1,0)</f>
        <v>0</v>
      </c>
      <c r="R1593">
        <f>IF(COUNTIFS('United Data'!$A$3:$A$3390,R$1,'United Data'!$C$3:$C$3390,$A1593)&gt;0,1,0)</f>
        <v>0</v>
      </c>
      <c r="S1593">
        <f t="shared" si="48"/>
        <v>1</v>
      </c>
      <c r="T1593">
        <f t="shared" si="49"/>
        <v>1</v>
      </c>
    </row>
    <row r="1594" spans="1:20" x14ac:dyDescent="0.2">
      <c r="A1594" t="s">
        <v>1871</v>
      </c>
      <c r="B1594">
        <f>IF(COUNTIFS('United Data'!$A$3:$A$3390,B$1,'United Data'!$C$3:$C$3390,$A1594)&gt;0,1,0)</f>
        <v>1</v>
      </c>
      <c r="C1594">
        <f>IF(COUNTIFS('United Data'!$A$3:$A$3390,C$1,'United Data'!$C$3:$C$3390,$A1594)&gt;0,1,0)</f>
        <v>1</v>
      </c>
      <c r="D1594">
        <f>IF(COUNTIFS('United Data'!$A$3:$A$3390,D$1,'United Data'!$C$3:$C$3390,$A1594)&gt;0,1,0)</f>
        <v>1</v>
      </c>
      <c r="E1594">
        <f>IF(COUNTIFS('United Data'!$A$3:$A$3390,E$1,'United Data'!$C$3:$C$3390,$A1594)&gt;0,1,0)</f>
        <v>1</v>
      </c>
      <c r="F1594">
        <f>IF(COUNTIFS('United Data'!$A$3:$A$3390,F$1,'United Data'!$C$3:$C$3390,$A1594)&gt;0,1,0)</f>
        <v>1</v>
      </c>
      <c r="G1594">
        <f>IF(COUNTIFS('United Data'!$A$3:$A$3390,G$1,'United Data'!$C$3:$C$3390,$A1594)&gt;0,1,0)</f>
        <v>1</v>
      </c>
      <c r="H1594">
        <f>IF(COUNTIFS('United Data'!$A$3:$A$3390,H$1,'United Data'!$C$3:$C$3390,$A1594)&gt;0,1,0)</f>
        <v>0</v>
      </c>
      <c r="I1594">
        <f>IF(COUNTIFS('United Data'!$A$3:$A$3390,I$1,'United Data'!$C$3:$C$3390,$A1594)&gt;0,1,0)</f>
        <v>0</v>
      </c>
      <c r="J1594">
        <f>IF(COUNTIFS('United Data'!$A$3:$A$3390,J$1,'United Data'!$C$3:$C$3390,$A1594)&gt;0,1,0)</f>
        <v>0</v>
      </c>
      <c r="K1594">
        <f>IF(COUNTIFS('United Data'!$A$3:$A$3390,K$1,'United Data'!$C$3:$C$3390,$A1594)&gt;0,1,0)</f>
        <v>0</v>
      </c>
      <c r="L1594">
        <f>IF(COUNTIFS('United Data'!$A$3:$A$3390,L$1,'United Data'!$C$3:$C$3390,$A1594)&gt;0,1,0)</f>
        <v>0</v>
      </c>
      <c r="M1594">
        <f>IF(COUNTIFS('United Data'!$A$3:$A$3390,M$1,'United Data'!$C$3:$C$3390,$A1594)&gt;0,1,0)</f>
        <v>1</v>
      </c>
      <c r="N1594">
        <f>IF(COUNTIFS('United Data'!$A$3:$A$3390,N$1,'United Data'!$C$3:$C$3390,$A1594)&gt;0,1,0)</f>
        <v>0</v>
      </c>
      <c r="O1594">
        <f>IF(COUNTIFS('United Data'!$A$3:$A$3390,O$1,'United Data'!$C$3:$C$3390,$A1594)&gt;0,1,0)</f>
        <v>1</v>
      </c>
      <c r="P1594">
        <f>IF(COUNTIFS('United Data'!$A$3:$A$3390,P$1,'United Data'!$C$3:$C$3390,$A1594)&gt;0,1,0)</f>
        <v>1</v>
      </c>
      <c r="Q1594">
        <f>IF(COUNTIFS('United Data'!$A$3:$A$3390,Q$1,'United Data'!$C$3:$C$3390,$A1594)&gt;0,1,0)</f>
        <v>0</v>
      </c>
      <c r="R1594">
        <f>IF(COUNTIFS('United Data'!$A$3:$A$3390,R$1,'United Data'!$C$3:$C$3390,$A1594)&gt;0,1,0)</f>
        <v>1</v>
      </c>
      <c r="S1594">
        <f t="shared" si="48"/>
        <v>10</v>
      </c>
      <c r="T1594">
        <f t="shared" si="49"/>
        <v>4</v>
      </c>
    </row>
    <row r="1595" spans="1:20" x14ac:dyDescent="0.2">
      <c r="A1595" t="s">
        <v>2058</v>
      </c>
      <c r="B1595">
        <f>IF(COUNTIFS('United Data'!$A$3:$A$3390,B$1,'United Data'!$C$3:$C$3390,$A1595)&gt;0,1,0)</f>
        <v>0</v>
      </c>
      <c r="C1595">
        <f>IF(COUNTIFS('United Data'!$A$3:$A$3390,C$1,'United Data'!$C$3:$C$3390,$A1595)&gt;0,1,0)</f>
        <v>0</v>
      </c>
      <c r="D1595">
        <f>IF(COUNTIFS('United Data'!$A$3:$A$3390,D$1,'United Data'!$C$3:$C$3390,$A1595)&gt;0,1,0)</f>
        <v>0</v>
      </c>
      <c r="E1595">
        <f>IF(COUNTIFS('United Data'!$A$3:$A$3390,E$1,'United Data'!$C$3:$C$3390,$A1595)&gt;0,1,0)</f>
        <v>0</v>
      </c>
      <c r="F1595">
        <f>IF(COUNTIFS('United Data'!$A$3:$A$3390,F$1,'United Data'!$C$3:$C$3390,$A1595)&gt;0,1,0)</f>
        <v>0</v>
      </c>
      <c r="G1595">
        <f>IF(COUNTIFS('United Data'!$A$3:$A$3390,G$1,'United Data'!$C$3:$C$3390,$A1595)&gt;0,1,0)</f>
        <v>0</v>
      </c>
      <c r="H1595">
        <f>IF(COUNTIFS('United Data'!$A$3:$A$3390,H$1,'United Data'!$C$3:$C$3390,$A1595)&gt;0,1,0)</f>
        <v>0</v>
      </c>
      <c r="I1595">
        <f>IF(COUNTIFS('United Data'!$A$3:$A$3390,I$1,'United Data'!$C$3:$C$3390,$A1595)&gt;0,1,0)</f>
        <v>0</v>
      </c>
      <c r="J1595">
        <f>IF(COUNTIFS('United Data'!$A$3:$A$3390,J$1,'United Data'!$C$3:$C$3390,$A1595)&gt;0,1,0)</f>
        <v>0</v>
      </c>
      <c r="K1595">
        <f>IF(COUNTIFS('United Data'!$A$3:$A$3390,K$1,'United Data'!$C$3:$C$3390,$A1595)&gt;0,1,0)</f>
        <v>0</v>
      </c>
      <c r="L1595">
        <f>IF(COUNTIFS('United Data'!$A$3:$A$3390,L$1,'United Data'!$C$3:$C$3390,$A1595)&gt;0,1,0)</f>
        <v>0</v>
      </c>
      <c r="M1595">
        <f>IF(COUNTIFS('United Data'!$A$3:$A$3390,M$1,'United Data'!$C$3:$C$3390,$A1595)&gt;0,1,0)</f>
        <v>0</v>
      </c>
      <c r="N1595">
        <f>IF(COUNTIFS('United Data'!$A$3:$A$3390,N$1,'United Data'!$C$3:$C$3390,$A1595)&gt;0,1,0)</f>
        <v>0</v>
      </c>
      <c r="O1595">
        <f>IF(COUNTIFS('United Data'!$A$3:$A$3390,O$1,'United Data'!$C$3:$C$3390,$A1595)&gt;0,1,0)</f>
        <v>0</v>
      </c>
      <c r="P1595">
        <f>IF(COUNTIFS('United Data'!$A$3:$A$3390,P$1,'United Data'!$C$3:$C$3390,$A1595)&gt;0,1,0)</f>
        <v>0</v>
      </c>
      <c r="Q1595">
        <f>IF(COUNTIFS('United Data'!$A$3:$A$3390,Q$1,'United Data'!$C$3:$C$3390,$A1595)&gt;0,1,0)</f>
        <v>0</v>
      </c>
      <c r="R1595">
        <f>IF(COUNTIFS('United Data'!$A$3:$A$3390,R$1,'United Data'!$C$3:$C$3390,$A1595)&gt;0,1,0)</f>
        <v>1</v>
      </c>
      <c r="S1595">
        <f t="shared" si="48"/>
        <v>1</v>
      </c>
      <c r="T1595">
        <f t="shared" si="49"/>
        <v>1</v>
      </c>
    </row>
    <row r="1596" spans="1:20" x14ac:dyDescent="0.2">
      <c r="A1596" t="s">
        <v>1873</v>
      </c>
      <c r="B1596">
        <f>IF(COUNTIFS('United Data'!$A$3:$A$3390,B$1,'United Data'!$C$3:$C$3390,$A1596)&gt;0,1,0)</f>
        <v>1</v>
      </c>
      <c r="C1596">
        <f>IF(COUNTIFS('United Data'!$A$3:$A$3390,C$1,'United Data'!$C$3:$C$3390,$A1596)&gt;0,1,0)</f>
        <v>0</v>
      </c>
      <c r="D1596">
        <f>IF(COUNTIFS('United Data'!$A$3:$A$3390,D$1,'United Data'!$C$3:$C$3390,$A1596)&gt;0,1,0)</f>
        <v>0</v>
      </c>
      <c r="E1596">
        <f>IF(COUNTIFS('United Data'!$A$3:$A$3390,E$1,'United Data'!$C$3:$C$3390,$A1596)&gt;0,1,0)</f>
        <v>0</v>
      </c>
      <c r="F1596">
        <f>IF(COUNTIFS('United Data'!$A$3:$A$3390,F$1,'United Data'!$C$3:$C$3390,$A1596)&gt;0,1,0)</f>
        <v>0</v>
      </c>
      <c r="G1596">
        <f>IF(COUNTIFS('United Data'!$A$3:$A$3390,G$1,'United Data'!$C$3:$C$3390,$A1596)&gt;0,1,0)</f>
        <v>0</v>
      </c>
      <c r="H1596">
        <f>IF(COUNTIFS('United Data'!$A$3:$A$3390,H$1,'United Data'!$C$3:$C$3390,$A1596)&gt;0,1,0)</f>
        <v>0</v>
      </c>
      <c r="I1596">
        <f>IF(COUNTIFS('United Data'!$A$3:$A$3390,I$1,'United Data'!$C$3:$C$3390,$A1596)&gt;0,1,0)</f>
        <v>0</v>
      </c>
      <c r="J1596">
        <f>IF(COUNTIFS('United Data'!$A$3:$A$3390,J$1,'United Data'!$C$3:$C$3390,$A1596)&gt;0,1,0)</f>
        <v>0</v>
      </c>
      <c r="K1596">
        <f>IF(COUNTIFS('United Data'!$A$3:$A$3390,K$1,'United Data'!$C$3:$C$3390,$A1596)&gt;0,1,0)</f>
        <v>0</v>
      </c>
      <c r="L1596">
        <f>IF(COUNTIFS('United Data'!$A$3:$A$3390,L$1,'United Data'!$C$3:$C$3390,$A1596)&gt;0,1,0)</f>
        <v>0</v>
      </c>
      <c r="M1596">
        <f>IF(COUNTIFS('United Data'!$A$3:$A$3390,M$1,'United Data'!$C$3:$C$3390,$A1596)&gt;0,1,0)</f>
        <v>0</v>
      </c>
      <c r="N1596">
        <f>IF(COUNTIFS('United Data'!$A$3:$A$3390,N$1,'United Data'!$C$3:$C$3390,$A1596)&gt;0,1,0)</f>
        <v>0</v>
      </c>
      <c r="O1596">
        <f>IF(COUNTIFS('United Data'!$A$3:$A$3390,O$1,'United Data'!$C$3:$C$3390,$A1596)&gt;0,1,0)</f>
        <v>0</v>
      </c>
      <c r="P1596">
        <f>IF(COUNTIFS('United Data'!$A$3:$A$3390,P$1,'United Data'!$C$3:$C$3390,$A1596)&gt;0,1,0)</f>
        <v>1</v>
      </c>
      <c r="Q1596">
        <f>IF(COUNTIFS('United Data'!$A$3:$A$3390,Q$1,'United Data'!$C$3:$C$3390,$A1596)&gt;0,1,0)</f>
        <v>0</v>
      </c>
      <c r="R1596">
        <f>IF(COUNTIFS('United Data'!$A$3:$A$3390,R$1,'United Data'!$C$3:$C$3390,$A1596)&gt;0,1,0)</f>
        <v>0</v>
      </c>
      <c r="S1596">
        <f t="shared" si="48"/>
        <v>2</v>
      </c>
      <c r="T1596">
        <f t="shared" si="49"/>
        <v>2</v>
      </c>
    </row>
    <row r="1597" spans="1:20" x14ac:dyDescent="0.2">
      <c r="A1597" t="s">
        <v>1874</v>
      </c>
      <c r="B1597">
        <f>IF(COUNTIFS('United Data'!$A$3:$A$3390,B$1,'United Data'!$C$3:$C$3390,$A1597)&gt;0,1,0)</f>
        <v>1</v>
      </c>
      <c r="C1597">
        <f>IF(COUNTIFS('United Data'!$A$3:$A$3390,C$1,'United Data'!$C$3:$C$3390,$A1597)&gt;0,1,0)</f>
        <v>1</v>
      </c>
      <c r="D1597">
        <f>IF(COUNTIFS('United Data'!$A$3:$A$3390,D$1,'United Data'!$C$3:$C$3390,$A1597)&gt;0,1,0)</f>
        <v>1</v>
      </c>
      <c r="E1597">
        <f>IF(COUNTIFS('United Data'!$A$3:$A$3390,E$1,'United Data'!$C$3:$C$3390,$A1597)&gt;0,1,0)</f>
        <v>1</v>
      </c>
      <c r="F1597">
        <f>IF(COUNTIFS('United Data'!$A$3:$A$3390,F$1,'United Data'!$C$3:$C$3390,$A1597)&gt;0,1,0)</f>
        <v>0</v>
      </c>
      <c r="G1597">
        <f>IF(COUNTIFS('United Data'!$A$3:$A$3390,G$1,'United Data'!$C$3:$C$3390,$A1597)&gt;0,1,0)</f>
        <v>0</v>
      </c>
      <c r="H1597">
        <f>IF(COUNTIFS('United Data'!$A$3:$A$3390,H$1,'United Data'!$C$3:$C$3390,$A1597)&gt;0,1,0)</f>
        <v>0</v>
      </c>
      <c r="I1597">
        <f>IF(COUNTIFS('United Data'!$A$3:$A$3390,I$1,'United Data'!$C$3:$C$3390,$A1597)&gt;0,1,0)</f>
        <v>0</v>
      </c>
      <c r="J1597">
        <f>IF(COUNTIFS('United Data'!$A$3:$A$3390,J$1,'United Data'!$C$3:$C$3390,$A1597)&gt;0,1,0)</f>
        <v>0</v>
      </c>
      <c r="K1597">
        <f>IF(COUNTIFS('United Data'!$A$3:$A$3390,K$1,'United Data'!$C$3:$C$3390,$A1597)&gt;0,1,0)</f>
        <v>0</v>
      </c>
      <c r="L1597">
        <f>IF(COUNTIFS('United Data'!$A$3:$A$3390,L$1,'United Data'!$C$3:$C$3390,$A1597)&gt;0,1,0)</f>
        <v>0</v>
      </c>
      <c r="M1597">
        <f>IF(COUNTIFS('United Data'!$A$3:$A$3390,M$1,'United Data'!$C$3:$C$3390,$A1597)&gt;0,1,0)</f>
        <v>0</v>
      </c>
      <c r="N1597">
        <f>IF(COUNTIFS('United Data'!$A$3:$A$3390,N$1,'United Data'!$C$3:$C$3390,$A1597)&gt;0,1,0)</f>
        <v>0</v>
      </c>
      <c r="O1597">
        <f>IF(COUNTIFS('United Data'!$A$3:$A$3390,O$1,'United Data'!$C$3:$C$3390,$A1597)&gt;0,1,0)</f>
        <v>1</v>
      </c>
      <c r="P1597">
        <f>IF(COUNTIFS('United Data'!$A$3:$A$3390,P$1,'United Data'!$C$3:$C$3390,$A1597)&gt;0,1,0)</f>
        <v>0</v>
      </c>
      <c r="Q1597">
        <f>IF(COUNTIFS('United Data'!$A$3:$A$3390,Q$1,'United Data'!$C$3:$C$3390,$A1597)&gt;0,1,0)</f>
        <v>0</v>
      </c>
      <c r="R1597">
        <f>IF(COUNTIFS('United Data'!$A$3:$A$3390,R$1,'United Data'!$C$3:$C$3390,$A1597)&gt;0,1,0)</f>
        <v>0</v>
      </c>
      <c r="S1597">
        <f t="shared" si="48"/>
        <v>5</v>
      </c>
      <c r="T1597">
        <f t="shared" si="49"/>
        <v>2</v>
      </c>
    </row>
    <row r="1598" spans="1:20" x14ac:dyDescent="0.2">
      <c r="A1598" t="s">
        <v>1875</v>
      </c>
      <c r="B1598">
        <f>IF(COUNTIFS('United Data'!$A$3:$A$3390,B$1,'United Data'!$C$3:$C$3390,$A1598)&gt;0,1,0)</f>
        <v>1</v>
      </c>
      <c r="C1598">
        <f>IF(COUNTIFS('United Data'!$A$3:$A$3390,C$1,'United Data'!$C$3:$C$3390,$A1598)&gt;0,1,0)</f>
        <v>1</v>
      </c>
      <c r="D1598">
        <f>IF(COUNTIFS('United Data'!$A$3:$A$3390,D$1,'United Data'!$C$3:$C$3390,$A1598)&gt;0,1,0)</f>
        <v>1</v>
      </c>
      <c r="E1598">
        <f>IF(COUNTIFS('United Data'!$A$3:$A$3390,E$1,'United Data'!$C$3:$C$3390,$A1598)&gt;0,1,0)</f>
        <v>1</v>
      </c>
      <c r="F1598">
        <f>IF(COUNTIFS('United Data'!$A$3:$A$3390,F$1,'United Data'!$C$3:$C$3390,$A1598)&gt;0,1,0)</f>
        <v>1</v>
      </c>
      <c r="G1598">
        <f>IF(COUNTIFS('United Data'!$A$3:$A$3390,G$1,'United Data'!$C$3:$C$3390,$A1598)&gt;0,1,0)</f>
        <v>1</v>
      </c>
      <c r="H1598">
        <f>IF(COUNTIFS('United Data'!$A$3:$A$3390,H$1,'United Data'!$C$3:$C$3390,$A1598)&gt;0,1,0)</f>
        <v>0</v>
      </c>
      <c r="I1598">
        <f>IF(COUNTIFS('United Data'!$A$3:$A$3390,I$1,'United Data'!$C$3:$C$3390,$A1598)&gt;0,1,0)</f>
        <v>0</v>
      </c>
      <c r="J1598">
        <f>IF(COUNTIFS('United Data'!$A$3:$A$3390,J$1,'United Data'!$C$3:$C$3390,$A1598)&gt;0,1,0)</f>
        <v>0</v>
      </c>
      <c r="K1598">
        <f>IF(COUNTIFS('United Data'!$A$3:$A$3390,K$1,'United Data'!$C$3:$C$3390,$A1598)&gt;0,1,0)</f>
        <v>0</v>
      </c>
      <c r="L1598">
        <f>IF(COUNTIFS('United Data'!$A$3:$A$3390,L$1,'United Data'!$C$3:$C$3390,$A1598)&gt;0,1,0)</f>
        <v>0</v>
      </c>
      <c r="M1598">
        <f>IF(COUNTIFS('United Data'!$A$3:$A$3390,M$1,'United Data'!$C$3:$C$3390,$A1598)&gt;0,1,0)</f>
        <v>0</v>
      </c>
      <c r="N1598">
        <f>IF(COUNTIFS('United Data'!$A$3:$A$3390,N$1,'United Data'!$C$3:$C$3390,$A1598)&gt;0,1,0)</f>
        <v>0</v>
      </c>
      <c r="O1598">
        <f>IF(COUNTIFS('United Data'!$A$3:$A$3390,O$1,'United Data'!$C$3:$C$3390,$A1598)&gt;0,1,0)</f>
        <v>1</v>
      </c>
      <c r="P1598">
        <f>IF(COUNTIFS('United Data'!$A$3:$A$3390,P$1,'United Data'!$C$3:$C$3390,$A1598)&gt;0,1,0)</f>
        <v>1</v>
      </c>
      <c r="Q1598">
        <f>IF(COUNTIFS('United Data'!$A$3:$A$3390,Q$1,'United Data'!$C$3:$C$3390,$A1598)&gt;0,1,0)</f>
        <v>0</v>
      </c>
      <c r="R1598">
        <f>IF(COUNTIFS('United Data'!$A$3:$A$3390,R$1,'United Data'!$C$3:$C$3390,$A1598)&gt;0,1,0)</f>
        <v>1</v>
      </c>
      <c r="S1598">
        <f t="shared" si="48"/>
        <v>9</v>
      </c>
      <c r="T1598">
        <f t="shared" si="49"/>
        <v>3</v>
      </c>
    </row>
    <row r="1599" spans="1:20" x14ac:dyDescent="0.2">
      <c r="A1599" t="s">
        <v>1876</v>
      </c>
      <c r="B1599">
        <f>IF(COUNTIFS('United Data'!$A$3:$A$3390,B$1,'United Data'!$C$3:$C$3390,$A1599)&gt;0,1,0)</f>
        <v>0</v>
      </c>
      <c r="C1599">
        <f>IF(COUNTIFS('United Data'!$A$3:$A$3390,C$1,'United Data'!$C$3:$C$3390,$A1599)&gt;0,1,0)</f>
        <v>1</v>
      </c>
      <c r="D1599">
        <f>IF(COUNTIFS('United Data'!$A$3:$A$3390,D$1,'United Data'!$C$3:$C$3390,$A1599)&gt;0,1,0)</f>
        <v>0</v>
      </c>
      <c r="E1599">
        <f>IF(COUNTIFS('United Data'!$A$3:$A$3390,E$1,'United Data'!$C$3:$C$3390,$A1599)&gt;0,1,0)</f>
        <v>0</v>
      </c>
      <c r="F1599">
        <f>IF(COUNTIFS('United Data'!$A$3:$A$3390,F$1,'United Data'!$C$3:$C$3390,$A1599)&gt;0,1,0)</f>
        <v>0</v>
      </c>
      <c r="G1599">
        <f>IF(COUNTIFS('United Data'!$A$3:$A$3390,G$1,'United Data'!$C$3:$C$3390,$A1599)&gt;0,1,0)</f>
        <v>0</v>
      </c>
      <c r="H1599">
        <f>IF(COUNTIFS('United Data'!$A$3:$A$3390,H$1,'United Data'!$C$3:$C$3390,$A1599)&gt;0,1,0)</f>
        <v>1</v>
      </c>
      <c r="I1599">
        <f>IF(COUNTIFS('United Data'!$A$3:$A$3390,I$1,'United Data'!$C$3:$C$3390,$A1599)&gt;0,1,0)</f>
        <v>0</v>
      </c>
      <c r="J1599">
        <f>IF(COUNTIFS('United Data'!$A$3:$A$3390,J$1,'United Data'!$C$3:$C$3390,$A1599)&gt;0,1,0)</f>
        <v>0</v>
      </c>
      <c r="K1599">
        <f>IF(COUNTIFS('United Data'!$A$3:$A$3390,K$1,'United Data'!$C$3:$C$3390,$A1599)&gt;0,1,0)</f>
        <v>0</v>
      </c>
      <c r="L1599">
        <f>IF(COUNTIFS('United Data'!$A$3:$A$3390,L$1,'United Data'!$C$3:$C$3390,$A1599)&gt;0,1,0)</f>
        <v>0</v>
      </c>
      <c r="M1599">
        <f>IF(COUNTIFS('United Data'!$A$3:$A$3390,M$1,'United Data'!$C$3:$C$3390,$A1599)&gt;0,1,0)</f>
        <v>0</v>
      </c>
      <c r="N1599">
        <f>IF(COUNTIFS('United Data'!$A$3:$A$3390,N$1,'United Data'!$C$3:$C$3390,$A1599)&gt;0,1,0)</f>
        <v>0</v>
      </c>
      <c r="O1599">
        <f>IF(COUNTIFS('United Data'!$A$3:$A$3390,O$1,'United Data'!$C$3:$C$3390,$A1599)&gt;0,1,0)</f>
        <v>0</v>
      </c>
      <c r="P1599">
        <f>IF(COUNTIFS('United Data'!$A$3:$A$3390,P$1,'United Data'!$C$3:$C$3390,$A1599)&gt;0,1,0)</f>
        <v>0</v>
      </c>
      <c r="Q1599">
        <f>IF(COUNTIFS('United Data'!$A$3:$A$3390,Q$1,'United Data'!$C$3:$C$3390,$A1599)&gt;0,1,0)</f>
        <v>0</v>
      </c>
      <c r="R1599">
        <f>IF(COUNTIFS('United Data'!$A$3:$A$3390,R$1,'United Data'!$C$3:$C$3390,$A1599)&gt;0,1,0)</f>
        <v>0</v>
      </c>
      <c r="S1599">
        <f t="shared" si="48"/>
        <v>2</v>
      </c>
      <c r="T1599">
        <f t="shared" si="49"/>
        <v>2</v>
      </c>
    </row>
    <row r="1600" spans="1:20" x14ac:dyDescent="0.2">
      <c r="A1600" t="s">
        <v>1877</v>
      </c>
      <c r="B1600">
        <f>IF(COUNTIFS('United Data'!$A$3:$A$3390,B$1,'United Data'!$C$3:$C$3390,$A1600)&gt;0,1,0)</f>
        <v>0</v>
      </c>
      <c r="C1600">
        <f>IF(COUNTIFS('United Data'!$A$3:$A$3390,C$1,'United Data'!$C$3:$C$3390,$A1600)&gt;0,1,0)</f>
        <v>0</v>
      </c>
      <c r="D1600">
        <f>IF(COUNTIFS('United Data'!$A$3:$A$3390,D$1,'United Data'!$C$3:$C$3390,$A1600)&gt;0,1,0)</f>
        <v>1</v>
      </c>
      <c r="E1600">
        <f>IF(COUNTIFS('United Data'!$A$3:$A$3390,E$1,'United Data'!$C$3:$C$3390,$A1600)&gt;0,1,0)</f>
        <v>0</v>
      </c>
      <c r="F1600">
        <f>IF(COUNTIFS('United Data'!$A$3:$A$3390,F$1,'United Data'!$C$3:$C$3390,$A1600)&gt;0,1,0)</f>
        <v>0</v>
      </c>
      <c r="G1600">
        <f>IF(COUNTIFS('United Data'!$A$3:$A$3390,G$1,'United Data'!$C$3:$C$3390,$A1600)&gt;0,1,0)</f>
        <v>0</v>
      </c>
      <c r="H1600">
        <f>IF(COUNTIFS('United Data'!$A$3:$A$3390,H$1,'United Data'!$C$3:$C$3390,$A1600)&gt;0,1,0)</f>
        <v>0</v>
      </c>
      <c r="I1600">
        <f>IF(COUNTIFS('United Data'!$A$3:$A$3390,I$1,'United Data'!$C$3:$C$3390,$A1600)&gt;0,1,0)</f>
        <v>0</v>
      </c>
      <c r="J1600">
        <f>IF(COUNTIFS('United Data'!$A$3:$A$3390,J$1,'United Data'!$C$3:$C$3390,$A1600)&gt;0,1,0)</f>
        <v>0</v>
      </c>
      <c r="K1600">
        <f>IF(COUNTIFS('United Data'!$A$3:$A$3390,K$1,'United Data'!$C$3:$C$3390,$A1600)&gt;0,1,0)</f>
        <v>0</v>
      </c>
      <c r="L1600">
        <f>IF(COUNTIFS('United Data'!$A$3:$A$3390,L$1,'United Data'!$C$3:$C$3390,$A1600)&gt;0,1,0)</f>
        <v>0</v>
      </c>
      <c r="M1600">
        <f>IF(COUNTIFS('United Data'!$A$3:$A$3390,M$1,'United Data'!$C$3:$C$3390,$A1600)&gt;0,1,0)</f>
        <v>0</v>
      </c>
      <c r="N1600">
        <f>IF(COUNTIFS('United Data'!$A$3:$A$3390,N$1,'United Data'!$C$3:$C$3390,$A1600)&gt;0,1,0)</f>
        <v>0</v>
      </c>
      <c r="O1600">
        <f>IF(COUNTIFS('United Data'!$A$3:$A$3390,O$1,'United Data'!$C$3:$C$3390,$A1600)&gt;0,1,0)</f>
        <v>0</v>
      </c>
      <c r="P1600">
        <f>IF(COUNTIFS('United Data'!$A$3:$A$3390,P$1,'United Data'!$C$3:$C$3390,$A1600)&gt;0,1,0)</f>
        <v>0</v>
      </c>
      <c r="Q1600">
        <f>IF(COUNTIFS('United Data'!$A$3:$A$3390,Q$1,'United Data'!$C$3:$C$3390,$A1600)&gt;0,1,0)</f>
        <v>0</v>
      </c>
      <c r="R1600">
        <f>IF(COUNTIFS('United Data'!$A$3:$A$3390,R$1,'United Data'!$C$3:$C$3390,$A1600)&gt;0,1,0)</f>
        <v>0</v>
      </c>
      <c r="S1600">
        <f t="shared" si="48"/>
        <v>1</v>
      </c>
      <c r="T1600">
        <f t="shared" si="49"/>
        <v>1</v>
      </c>
    </row>
    <row r="1601" spans="1:20" x14ac:dyDescent="0.2">
      <c r="A1601" t="s">
        <v>1880</v>
      </c>
      <c r="B1601">
        <f>IF(COUNTIFS('United Data'!$A$3:$A$3390,B$1,'United Data'!$C$3:$C$3390,$A1601)&gt;0,1,0)</f>
        <v>0</v>
      </c>
      <c r="C1601">
        <f>IF(COUNTIFS('United Data'!$A$3:$A$3390,C$1,'United Data'!$C$3:$C$3390,$A1601)&gt;0,1,0)</f>
        <v>0</v>
      </c>
      <c r="D1601">
        <f>IF(COUNTIFS('United Data'!$A$3:$A$3390,D$1,'United Data'!$C$3:$C$3390,$A1601)&gt;0,1,0)</f>
        <v>1</v>
      </c>
      <c r="E1601">
        <f>IF(COUNTIFS('United Data'!$A$3:$A$3390,E$1,'United Data'!$C$3:$C$3390,$A1601)&gt;0,1,0)</f>
        <v>0</v>
      </c>
      <c r="F1601">
        <f>IF(COUNTIFS('United Data'!$A$3:$A$3390,F$1,'United Data'!$C$3:$C$3390,$A1601)&gt;0,1,0)</f>
        <v>0</v>
      </c>
      <c r="G1601">
        <f>IF(COUNTIFS('United Data'!$A$3:$A$3390,G$1,'United Data'!$C$3:$C$3390,$A1601)&gt;0,1,0)</f>
        <v>0</v>
      </c>
      <c r="H1601">
        <f>IF(COUNTIFS('United Data'!$A$3:$A$3390,H$1,'United Data'!$C$3:$C$3390,$A1601)&gt;0,1,0)</f>
        <v>0</v>
      </c>
      <c r="I1601">
        <f>IF(COUNTIFS('United Data'!$A$3:$A$3390,I$1,'United Data'!$C$3:$C$3390,$A1601)&gt;0,1,0)</f>
        <v>0</v>
      </c>
      <c r="J1601">
        <f>IF(COUNTIFS('United Data'!$A$3:$A$3390,J$1,'United Data'!$C$3:$C$3390,$A1601)&gt;0,1,0)</f>
        <v>0</v>
      </c>
      <c r="K1601">
        <f>IF(COUNTIFS('United Data'!$A$3:$A$3390,K$1,'United Data'!$C$3:$C$3390,$A1601)&gt;0,1,0)</f>
        <v>0</v>
      </c>
      <c r="L1601">
        <f>IF(COUNTIFS('United Data'!$A$3:$A$3390,L$1,'United Data'!$C$3:$C$3390,$A1601)&gt;0,1,0)</f>
        <v>0</v>
      </c>
      <c r="M1601">
        <f>IF(COUNTIFS('United Data'!$A$3:$A$3390,M$1,'United Data'!$C$3:$C$3390,$A1601)&gt;0,1,0)</f>
        <v>0</v>
      </c>
      <c r="N1601">
        <f>IF(COUNTIFS('United Data'!$A$3:$A$3390,N$1,'United Data'!$C$3:$C$3390,$A1601)&gt;0,1,0)</f>
        <v>0</v>
      </c>
      <c r="O1601">
        <f>IF(COUNTIFS('United Data'!$A$3:$A$3390,O$1,'United Data'!$C$3:$C$3390,$A1601)&gt;0,1,0)</f>
        <v>0</v>
      </c>
      <c r="P1601">
        <f>IF(COUNTIFS('United Data'!$A$3:$A$3390,P$1,'United Data'!$C$3:$C$3390,$A1601)&gt;0,1,0)</f>
        <v>0</v>
      </c>
      <c r="Q1601">
        <f>IF(COUNTIFS('United Data'!$A$3:$A$3390,Q$1,'United Data'!$C$3:$C$3390,$A1601)&gt;0,1,0)</f>
        <v>0</v>
      </c>
      <c r="R1601">
        <f>IF(COUNTIFS('United Data'!$A$3:$A$3390,R$1,'United Data'!$C$3:$C$3390,$A1601)&gt;0,1,0)</f>
        <v>0</v>
      </c>
      <c r="S1601">
        <f t="shared" si="48"/>
        <v>1</v>
      </c>
      <c r="T1601">
        <f t="shared" si="49"/>
        <v>1</v>
      </c>
    </row>
    <row r="1602" spans="1:20" x14ac:dyDescent="0.2">
      <c r="A1602" t="s">
        <v>1882</v>
      </c>
      <c r="B1602">
        <f>IF(COUNTIFS('United Data'!$A$3:$A$3390,B$1,'United Data'!$C$3:$C$3390,$A1602)&gt;0,1,0)</f>
        <v>0</v>
      </c>
      <c r="C1602">
        <f>IF(COUNTIFS('United Data'!$A$3:$A$3390,C$1,'United Data'!$C$3:$C$3390,$A1602)&gt;0,1,0)</f>
        <v>0</v>
      </c>
      <c r="D1602">
        <f>IF(COUNTIFS('United Data'!$A$3:$A$3390,D$1,'United Data'!$C$3:$C$3390,$A1602)&gt;0,1,0)</f>
        <v>1</v>
      </c>
      <c r="E1602">
        <f>IF(COUNTIFS('United Data'!$A$3:$A$3390,E$1,'United Data'!$C$3:$C$3390,$A1602)&gt;0,1,0)</f>
        <v>0</v>
      </c>
      <c r="F1602">
        <f>IF(COUNTIFS('United Data'!$A$3:$A$3390,F$1,'United Data'!$C$3:$C$3390,$A1602)&gt;0,1,0)</f>
        <v>1</v>
      </c>
      <c r="G1602">
        <f>IF(COUNTIFS('United Data'!$A$3:$A$3390,G$1,'United Data'!$C$3:$C$3390,$A1602)&gt;0,1,0)</f>
        <v>0</v>
      </c>
      <c r="H1602">
        <f>IF(COUNTIFS('United Data'!$A$3:$A$3390,H$1,'United Data'!$C$3:$C$3390,$A1602)&gt;0,1,0)</f>
        <v>0</v>
      </c>
      <c r="I1602">
        <f>IF(COUNTIFS('United Data'!$A$3:$A$3390,I$1,'United Data'!$C$3:$C$3390,$A1602)&gt;0,1,0)</f>
        <v>0</v>
      </c>
      <c r="J1602">
        <f>IF(COUNTIFS('United Data'!$A$3:$A$3390,J$1,'United Data'!$C$3:$C$3390,$A1602)&gt;0,1,0)</f>
        <v>0</v>
      </c>
      <c r="K1602">
        <f>IF(COUNTIFS('United Data'!$A$3:$A$3390,K$1,'United Data'!$C$3:$C$3390,$A1602)&gt;0,1,0)</f>
        <v>0</v>
      </c>
      <c r="L1602">
        <f>IF(COUNTIFS('United Data'!$A$3:$A$3390,L$1,'United Data'!$C$3:$C$3390,$A1602)&gt;0,1,0)</f>
        <v>0</v>
      </c>
      <c r="M1602">
        <f>IF(COUNTIFS('United Data'!$A$3:$A$3390,M$1,'United Data'!$C$3:$C$3390,$A1602)&gt;0,1,0)</f>
        <v>0</v>
      </c>
      <c r="N1602">
        <f>IF(COUNTIFS('United Data'!$A$3:$A$3390,N$1,'United Data'!$C$3:$C$3390,$A1602)&gt;0,1,0)</f>
        <v>0</v>
      </c>
      <c r="O1602">
        <f>IF(COUNTIFS('United Data'!$A$3:$A$3390,O$1,'United Data'!$C$3:$C$3390,$A1602)&gt;0,1,0)</f>
        <v>1</v>
      </c>
      <c r="P1602">
        <f>IF(COUNTIFS('United Data'!$A$3:$A$3390,P$1,'United Data'!$C$3:$C$3390,$A1602)&gt;0,1,0)</f>
        <v>1</v>
      </c>
      <c r="Q1602">
        <f>IF(COUNTIFS('United Data'!$A$3:$A$3390,Q$1,'United Data'!$C$3:$C$3390,$A1602)&gt;0,1,0)</f>
        <v>0</v>
      </c>
      <c r="R1602">
        <f>IF(COUNTIFS('United Data'!$A$3:$A$3390,R$1,'United Data'!$C$3:$C$3390,$A1602)&gt;0,1,0)</f>
        <v>0</v>
      </c>
      <c r="S1602">
        <f t="shared" ref="S1602:S1665" si="50">SUM(B1602:R1602)</f>
        <v>4</v>
      </c>
      <c r="T1602">
        <f t="shared" ref="T1602:T1665" si="51">B1602+SUMPRODUCT(--(C1602:R1602&gt;B1602:Q1602))</f>
        <v>3</v>
      </c>
    </row>
    <row r="1603" spans="1:20" x14ac:dyDescent="0.2">
      <c r="A1603" t="s">
        <v>1883</v>
      </c>
      <c r="B1603">
        <f>IF(COUNTIFS('United Data'!$A$3:$A$3390,B$1,'United Data'!$C$3:$C$3390,$A1603)&gt;0,1,0)</f>
        <v>0</v>
      </c>
      <c r="C1603">
        <f>IF(COUNTIFS('United Data'!$A$3:$A$3390,C$1,'United Data'!$C$3:$C$3390,$A1603)&gt;0,1,0)</f>
        <v>0</v>
      </c>
      <c r="D1603">
        <f>IF(COUNTIFS('United Data'!$A$3:$A$3390,D$1,'United Data'!$C$3:$C$3390,$A1603)&gt;0,1,0)</f>
        <v>0</v>
      </c>
      <c r="E1603">
        <f>IF(COUNTIFS('United Data'!$A$3:$A$3390,E$1,'United Data'!$C$3:$C$3390,$A1603)&gt;0,1,0)</f>
        <v>1</v>
      </c>
      <c r="F1603">
        <f>IF(COUNTIFS('United Data'!$A$3:$A$3390,F$1,'United Data'!$C$3:$C$3390,$A1603)&gt;0,1,0)</f>
        <v>0</v>
      </c>
      <c r="G1603">
        <f>IF(COUNTIFS('United Data'!$A$3:$A$3390,G$1,'United Data'!$C$3:$C$3390,$A1603)&gt;0,1,0)</f>
        <v>0</v>
      </c>
      <c r="H1603">
        <f>IF(COUNTIFS('United Data'!$A$3:$A$3390,H$1,'United Data'!$C$3:$C$3390,$A1603)&gt;0,1,0)</f>
        <v>0</v>
      </c>
      <c r="I1603">
        <f>IF(COUNTIFS('United Data'!$A$3:$A$3390,I$1,'United Data'!$C$3:$C$3390,$A1603)&gt;0,1,0)</f>
        <v>0</v>
      </c>
      <c r="J1603">
        <f>IF(COUNTIFS('United Data'!$A$3:$A$3390,J$1,'United Data'!$C$3:$C$3390,$A1603)&gt;0,1,0)</f>
        <v>0</v>
      </c>
      <c r="K1603">
        <f>IF(COUNTIFS('United Data'!$A$3:$A$3390,K$1,'United Data'!$C$3:$C$3390,$A1603)&gt;0,1,0)</f>
        <v>0</v>
      </c>
      <c r="L1603">
        <f>IF(COUNTIFS('United Data'!$A$3:$A$3390,L$1,'United Data'!$C$3:$C$3390,$A1603)&gt;0,1,0)</f>
        <v>0</v>
      </c>
      <c r="M1603">
        <f>IF(COUNTIFS('United Data'!$A$3:$A$3390,M$1,'United Data'!$C$3:$C$3390,$A1603)&gt;0,1,0)</f>
        <v>0</v>
      </c>
      <c r="N1603">
        <f>IF(COUNTIFS('United Data'!$A$3:$A$3390,N$1,'United Data'!$C$3:$C$3390,$A1603)&gt;0,1,0)</f>
        <v>0</v>
      </c>
      <c r="O1603">
        <f>IF(COUNTIFS('United Data'!$A$3:$A$3390,O$1,'United Data'!$C$3:$C$3390,$A1603)&gt;0,1,0)</f>
        <v>0</v>
      </c>
      <c r="P1603">
        <f>IF(COUNTIFS('United Data'!$A$3:$A$3390,P$1,'United Data'!$C$3:$C$3390,$A1603)&gt;0,1,0)</f>
        <v>0</v>
      </c>
      <c r="Q1603">
        <f>IF(COUNTIFS('United Data'!$A$3:$A$3390,Q$1,'United Data'!$C$3:$C$3390,$A1603)&gt;0,1,0)</f>
        <v>0</v>
      </c>
      <c r="R1603">
        <f>IF(COUNTIFS('United Data'!$A$3:$A$3390,R$1,'United Data'!$C$3:$C$3390,$A1603)&gt;0,1,0)</f>
        <v>0</v>
      </c>
      <c r="S1603">
        <f t="shared" si="50"/>
        <v>1</v>
      </c>
      <c r="T1603">
        <f t="shared" si="51"/>
        <v>1</v>
      </c>
    </row>
    <row r="1604" spans="1:20" x14ac:dyDescent="0.2">
      <c r="A1604" t="s">
        <v>1885</v>
      </c>
      <c r="B1604">
        <f>IF(COUNTIFS('United Data'!$A$3:$A$3390,B$1,'United Data'!$C$3:$C$3390,$A1604)&gt;0,1,0)</f>
        <v>0</v>
      </c>
      <c r="C1604">
        <f>IF(COUNTIFS('United Data'!$A$3:$A$3390,C$1,'United Data'!$C$3:$C$3390,$A1604)&gt;0,1,0)</f>
        <v>0</v>
      </c>
      <c r="D1604">
        <f>IF(COUNTIFS('United Data'!$A$3:$A$3390,D$1,'United Data'!$C$3:$C$3390,$A1604)&gt;0,1,0)</f>
        <v>0</v>
      </c>
      <c r="E1604">
        <f>IF(COUNTIFS('United Data'!$A$3:$A$3390,E$1,'United Data'!$C$3:$C$3390,$A1604)&gt;0,1,0)</f>
        <v>0</v>
      </c>
      <c r="F1604">
        <f>IF(COUNTIFS('United Data'!$A$3:$A$3390,F$1,'United Data'!$C$3:$C$3390,$A1604)&gt;0,1,0)</f>
        <v>1</v>
      </c>
      <c r="G1604">
        <f>IF(COUNTIFS('United Data'!$A$3:$A$3390,G$1,'United Data'!$C$3:$C$3390,$A1604)&gt;0,1,0)</f>
        <v>0</v>
      </c>
      <c r="H1604">
        <f>IF(COUNTIFS('United Data'!$A$3:$A$3390,H$1,'United Data'!$C$3:$C$3390,$A1604)&gt;0,1,0)</f>
        <v>0</v>
      </c>
      <c r="I1604">
        <f>IF(COUNTIFS('United Data'!$A$3:$A$3390,I$1,'United Data'!$C$3:$C$3390,$A1604)&gt;0,1,0)</f>
        <v>0</v>
      </c>
      <c r="J1604">
        <f>IF(COUNTIFS('United Data'!$A$3:$A$3390,J$1,'United Data'!$C$3:$C$3390,$A1604)&gt;0,1,0)</f>
        <v>0</v>
      </c>
      <c r="K1604">
        <f>IF(COUNTIFS('United Data'!$A$3:$A$3390,K$1,'United Data'!$C$3:$C$3390,$A1604)&gt;0,1,0)</f>
        <v>0</v>
      </c>
      <c r="L1604">
        <f>IF(COUNTIFS('United Data'!$A$3:$A$3390,L$1,'United Data'!$C$3:$C$3390,$A1604)&gt;0,1,0)</f>
        <v>0</v>
      </c>
      <c r="M1604">
        <f>IF(COUNTIFS('United Data'!$A$3:$A$3390,M$1,'United Data'!$C$3:$C$3390,$A1604)&gt;0,1,0)</f>
        <v>0</v>
      </c>
      <c r="N1604">
        <f>IF(COUNTIFS('United Data'!$A$3:$A$3390,N$1,'United Data'!$C$3:$C$3390,$A1604)&gt;0,1,0)</f>
        <v>0</v>
      </c>
      <c r="O1604">
        <f>IF(COUNTIFS('United Data'!$A$3:$A$3390,O$1,'United Data'!$C$3:$C$3390,$A1604)&gt;0,1,0)</f>
        <v>0</v>
      </c>
      <c r="P1604">
        <f>IF(COUNTIFS('United Data'!$A$3:$A$3390,P$1,'United Data'!$C$3:$C$3390,$A1604)&gt;0,1,0)</f>
        <v>0</v>
      </c>
      <c r="Q1604">
        <f>IF(COUNTIFS('United Data'!$A$3:$A$3390,Q$1,'United Data'!$C$3:$C$3390,$A1604)&gt;0,1,0)</f>
        <v>0</v>
      </c>
      <c r="R1604">
        <f>IF(COUNTIFS('United Data'!$A$3:$A$3390,R$1,'United Data'!$C$3:$C$3390,$A1604)&gt;0,1,0)</f>
        <v>0</v>
      </c>
      <c r="S1604">
        <f t="shared" si="50"/>
        <v>1</v>
      </c>
      <c r="T1604">
        <f t="shared" si="51"/>
        <v>1</v>
      </c>
    </row>
    <row r="1605" spans="1:20" x14ac:dyDescent="0.2">
      <c r="A1605" t="s">
        <v>1886</v>
      </c>
      <c r="B1605">
        <f>IF(COUNTIFS('United Data'!$A$3:$A$3390,B$1,'United Data'!$C$3:$C$3390,$A1605)&gt;0,1,0)</f>
        <v>0</v>
      </c>
      <c r="C1605">
        <f>IF(COUNTIFS('United Data'!$A$3:$A$3390,C$1,'United Data'!$C$3:$C$3390,$A1605)&gt;0,1,0)</f>
        <v>0</v>
      </c>
      <c r="D1605">
        <f>IF(COUNTIFS('United Data'!$A$3:$A$3390,D$1,'United Data'!$C$3:$C$3390,$A1605)&gt;0,1,0)</f>
        <v>0</v>
      </c>
      <c r="E1605">
        <f>IF(COUNTIFS('United Data'!$A$3:$A$3390,E$1,'United Data'!$C$3:$C$3390,$A1605)&gt;0,1,0)</f>
        <v>0</v>
      </c>
      <c r="F1605">
        <f>IF(COUNTIFS('United Data'!$A$3:$A$3390,F$1,'United Data'!$C$3:$C$3390,$A1605)&gt;0,1,0)</f>
        <v>1</v>
      </c>
      <c r="G1605">
        <f>IF(COUNTIFS('United Data'!$A$3:$A$3390,G$1,'United Data'!$C$3:$C$3390,$A1605)&gt;0,1,0)</f>
        <v>0</v>
      </c>
      <c r="H1605">
        <f>IF(COUNTIFS('United Data'!$A$3:$A$3390,H$1,'United Data'!$C$3:$C$3390,$A1605)&gt;0,1,0)</f>
        <v>0</v>
      </c>
      <c r="I1605">
        <f>IF(COUNTIFS('United Data'!$A$3:$A$3390,I$1,'United Data'!$C$3:$C$3390,$A1605)&gt;0,1,0)</f>
        <v>0</v>
      </c>
      <c r="J1605">
        <f>IF(COUNTIFS('United Data'!$A$3:$A$3390,J$1,'United Data'!$C$3:$C$3390,$A1605)&gt;0,1,0)</f>
        <v>0</v>
      </c>
      <c r="K1605">
        <f>IF(COUNTIFS('United Data'!$A$3:$A$3390,K$1,'United Data'!$C$3:$C$3390,$A1605)&gt;0,1,0)</f>
        <v>0</v>
      </c>
      <c r="L1605">
        <f>IF(COUNTIFS('United Data'!$A$3:$A$3390,L$1,'United Data'!$C$3:$C$3390,$A1605)&gt;0,1,0)</f>
        <v>0</v>
      </c>
      <c r="M1605">
        <f>IF(COUNTIFS('United Data'!$A$3:$A$3390,M$1,'United Data'!$C$3:$C$3390,$A1605)&gt;0,1,0)</f>
        <v>0</v>
      </c>
      <c r="N1605">
        <f>IF(COUNTIFS('United Data'!$A$3:$A$3390,N$1,'United Data'!$C$3:$C$3390,$A1605)&gt;0,1,0)</f>
        <v>0</v>
      </c>
      <c r="O1605">
        <f>IF(COUNTIFS('United Data'!$A$3:$A$3390,O$1,'United Data'!$C$3:$C$3390,$A1605)&gt;0,1,0)</f>
        <v>0</v>
      </c>
      <c r="P1605">
        <f>IF(COUNTIFS('United Data'!$A$3:$A$3390,P$1,'United Data'!$C$3:$C$3390,$A1605)&gt;0,1,0)</f>
        <v>0</v>
      </c>
      <c r="Q1605">
        <f>IF(COUNTIFS('United Data'!$A$3:$A$3390,Q$1,'United Data'!$C$3:$C$3390,$A1605)&gt;0,1,0)</f>
        <v>0</v>
      </c>
      <c r="R1605">
        <f>IF(COUNTIFS('United Data'!$A$3:$A$3390,R$1,'United Data'!$C$3:$C$3390,$A1605)&gt;0,1,0)</f>
        <v>0</v>
      </c>
      <c r="S1605">
        <f t="shared" si="50"/>
        <v>1</v>
      </c>
      <c r="T1605">
        <f t="shared" si="51"/>
        <v>1</v>
      </c>
    </row>
    <row r="1606" spans="1:20" x14ac:dyDescent="0.2">
      <c r="A1606" t="s">
        <v>1888</v>
      </c>
      <c r="B1606">
        <f>IF(COUNTIFS('United Data'!$A$3:$A$3390,B$1,'United Data'!$C$3:$C$3390,$A1606)&gt;0,1,0)</f>
        <v>0</v>
      </c>
      <c r="C1606">
        <f>IF(COUNTIFS('United Data'!$A$3:$A$3390,C$1,'United Data'!$C$3:$C$3390,$A1606)&gt;0,1,0)</f>
        <v>0</v>
      </c>
      <c r="D1606">
        <f>IF(COUNTIFS('United Data'!$A$3:$A$3390,D$1,'United Data'!$C$3:$C$3390,$A1606)&gt;0,1,0)</f>
        <v>0</v>
      </c>
      <c r="E1606">
        <f>IF(COUNTIFS('United Data'!$A$3:$A$3390,E$1,'United Data'!$C$3:$C$3390,$A1606)&gt;0,1,0)</f>
        <v>0</v>
      </c>
      <c r="F1606">
        <f>IF(COUNTIFS('United Data'!$A$3:$A$3390,F$1,'United Data'!$C$3:$C$3390,$A1606)&gt;0,1,0)</f>
        <v>1</v>
      </c>
      <c r="G1606">
        <f>IF(COUNTIFS('United Data'!$A$3:$A$3390,G$1,'United Data'!$C$3:$C$3390,$A1606)&gt;0,1,0)</f>
        <v>1</v>
      </c>
      <c r="H1606">
        <f>IF(COUNTIFS('United Data'!$A$3:$A$3390,H$1,'United Data'!$C$3:$C$3390,$A1606)&gt;0,1,0)</f>
        <v>0</v>
      </c>
      <c r="I1606">
        <f>IF(COUNTIFS('United Data'!$A$3:$A$3390,I$1,'United Data'!$C$3:$C$3390,$A1606)&gt;0,1,0)</f>
        <v>1</v>
      </c>
      <c r="J1606">
        <f>IF(COUNTIFS('United Data'!$A$3:$A$3390,J$1,'United Data'!$C$3:$C$3390,$A1606)&gt;0,1,0)</f>
        <v>0</v>
      </c>
      <c r="K1606">
        <f>IF(COUNTIFS('United Data'!$A$3:$A$3390,K$1,'United Data'!$C$3:$C$3390,$A1606)&gt;0,1,0)</f>
        <v>0</v>
      </c>
      <c r="L1606">
        <f>IF(COUNTIFS('United Data'!$A$3:$A$3390,L$1,'United Data'!$C$3:$C$3390,$A1606)&gt;0,1,0)</f>
        <v>1</v>
      </c>
      <c r="M1606">
        <f>IF(COUNTIFS('United Data'!$A$3:$A$3390,M$1,'United Data'!$C$3:$C$3390,$A1606)&gt;0,1,0)</f>
        <v>0</v>
      </c>
      <c r="N1606">
        <f>IF(COUNTIFS('United Data'!$A$3:$A$3390,N$1,'United Data'!$C$3:$C$3390,$A1606)&gt;0,1,0)</f>
        <v>0</v>
      </c>
      <c r="O1606">
        <f>IF(COUNTIFS('United Data'!$A$3:$A$3390,O$1,'United Data'!$C$3:$C$3390,$A1606)&gt;0,1,0)</f>
        <v>0</v>
      </c>
      <c r="P1606">
        <f>IF(COUNTIFS('United Data'!$A$3:$A$3390,P$1,'United Data'!$C$3:$C$3390,$A1606)&gt;0,1,0)</f>
        <v>0</v>
      </c>
      <c r="Q1606">
        <f>IF(COUNTIFS('United Data'!$A$3:$A$3390,Q$1,'United Data'!$C$3:$C$3390,$A1606)&gt;0,1,0)</f>
        <v>0</v>
      </c>
      <c r="R1606">
        <f>IF(COUNTIFS('United Data'!$A$3:$A$3390,R$1,'United Data'!$C$3:$C$3390,$A1606)&gt;0,1,0)</f>
        <v>1</v>
      </c>
      <c r="S1606">
        <f t="shared" si="50"/>
        <v>5</v>
      </c>
      <c r="T1606">
        <f t="shared" si="51"/>
        <v>4</v>
      </c>
    </row>
    <row r="1607" spans="1:20" x14ac:dyDescent="0.2">
      <c r="A1607" t="s">
        <v>1889</v>
      </c>
      <c r="B1607">
        <f>IF(COUNTIFS('United Data'!$A$3:$A$3390,B$1,'United Data'!$C$3:$C$3390,$A1607)&gt;0,1,0)</f>
        <v>0</v>
      </c>
      <c r="C1607">
        <f>IF(COUNTIFS('United Data'!$A$3:$A$3390,C$1,'United Data'!$C$3:$C$3390,$A1607)&gt;0,1,0)</f>
        <v>0</v>
      </c>
      <c r="D1607">
        <f>IF(COUNTIFS('United Data'!$A$3:$A$3390,D$1,'United Data'!$C$3:$C$3390,$A1607)&gt;0,1,0)</f>
        <v>0</v>
      </c>
      <c r="E1607">
        <f>IF(COUNTIFS('United Data'!$A$3:$A$3390,E$1,'United Data'!$C$3:$C$3390,$A1607)&gt;0,1,0)</f>
        <v>0</v>
      </c>
      <c r="F1607">
        <f>IF(COUNTIFS('United Data'!$A$3:$A$3390,F$1,'United Data'!$C$3:$C$3390,$A1607)&gt;0,1,0)</f>
        <v>0</v>
      </c>
      <c r="G1607">
        <f>IF(COUNTIFS('United Data'!$A$3:$A$3390,G$1,'United Data'!$C$3:$C$3390,$A1607)&gt;0,1,0)</f>
        <v>0</v>
      </c>
      <c r="H1607">
        <f>IF(COUNTIFS('United Data'!$A$3:$A$3390,H$1,'United Data'!$C$3:$C$3390,$A1607)&gt;0,1,0)</f>
        <v>0</v>
      </c>
      <c r="I1607">
        <f>IF(COUNTIFS('United Data'!$A$3:$A$3390,I$1,'United Data'!$C$3:$C$3390,$A1607)&gt;0,1,0)</f>
        <v>1</v>
      </c>
      <c r="J1607">
        <f>IF(COUNTIFS('United Data'!$A$3:$A$3390,J$1,'United Data'!$C$3:$C$3390,$A1607)&gt;0,1,0)</f>
        <v>0</v>
      </c>
      <c r="K1607">
        <f>IF(COUNTIFS('United Data'!$A$3:$A$3390,K$1,'United Data'!$C$3:$C$3390,$A1607)&gt;0,1,0)</f>
        <v>0</v>
      </c>
      <c r="L1607">
        <f>IF(COUNTIFS('United Data'!$A$3:$A$3390,L$1,'United Data'!$C$3:$C$3390,$A1607)&gt;0,1,0)</f>
        <v>0</v>
      </c>
      <c r="M1607">
        <f>IF(COUNTIFS('United Data'!$A$3:$A$3390,M$1,'United Data'!$C$3:$C$3390,$A1607)&gt;0,1,0)</f>
        <v>0</v>
      </c>
      <c r="N1607">
        <f>IF(COUNTIFS('United Data'!$A$3:$A$3390,N$1,'United Data'!$C$3:$C$3390,$A1607)&gt;0,1,0)</f>
        <v>0</v>
      </c>
      <c r="O1607">
        <f>IF(COUNTIFS('United Data'!$A$3:$A$3390,O$1,'United Data'!$C$3:$C$3390,$A1607)&gt;0,1,0)</f>
        <v>0</v>
      </c>
      <c r="P1607">
        <f>IF(COUNTIFS('United Data'!$A$3:$A$3390,P$1,'United Data'!$C$3:$C$3390,$A1607)&gt;0,1,0)</f>
        <v>0</v>
      </c>
      <c r="Q1607">
        <f>IF(COUNTIFS('United Data'!$A$3:$A$3390,Q$1,'United Data'!$C$3:$C$3390,$A1607)&gt;0,1,0)</f>
        <v>0</v>
      </c>
      <c r="R1607">
        <f>IF(COUNTIFS('United Data'!$A$3:$A$3390,R$1,'United Data'!$C$3:$C$3390,$A1607)&gt;0,1,0)</f>
        <v>0</v>
      </c>
      <c r="S1607">
        <f t="shared" si="50"/>
        <v>1</v>
      </c>
      <c r="T1607">
        <f t="shared" si="51"/>
        <v>1</v>
      </c>
    </row>
    <row r="1608" spans="1:20" x14ac:dyDescent="0.2">
      <c r="A1608" t="s">
        <v>1890</v>
      </c>
      <c r="B1608">
        <f>IF(COUNTIFS('United Data'!$A$3:$A$3390,B$1,'United Data'!$C$3:$C$3390,$A1608)&gt;0,1,0)</f>
        <v>0</v>
      </c>
      <c r="C1608">
        <f>IF(COUNTIFS('United Data'!$A$3:$A$3390,C$1,'United Data'!$C$3:$C$3390,$A1608)&gt;0,1,0)</f>
        <v>0</v>
      </c>
      <c r="D1608">
        <f>IF(COUNTIFS('United Data'!$A$3:$A$3390,D$1,'United Data'!$C$3:$C$3390,$A1608)&gt;0,1,0)</f>
        <v>0</v>
      </c>
      <c r="E1608">
        <f>IF(COUNTIFS('United Data'!$A$3:$A$3390,E$1,'United Data'!$C$3:$C$3390,$A1608)&gt;0,1,0)</f>
        <v>0</v>
      </c>
      <c r="F1608">
        <f>IF(COUNTIFS('United Data'!$A$3:$A$3390,F$1,'United Data'!$C$3:$C$3390,$A1608)&gt;0,1,0)</f>
        <v>0</v>
      </c>
      <c r="G1608">
        <f>IF(COUNTIFS('United Data'!$A$3:$A$3390,G$1,'United Data'!$C$3:$C$3390,$A1608)&gt;0,1,0)</f>
        <v>0</v>
      </c>
      <c r="H1608">
        <f>IF(COUNTIFS('United Data'!$A$3:$A$3390,H$1,'United Data'!$C$3:$C$3390,$A1608)&gt;0,1,0)</f>
        <v>0</v>
      </c>
      <c r="I1608">
        <f>IF(COUNTIFS('United Data'!$A$3:$A$3390,I$1,'United Data'!$C$3:$C$3390,$A1608)&gt;0,1,0)</f>
        <v>0</v>
      </c>
      <c r="J1608">
        <f>IF(COUNTIFS('United Data'!$A$3:$A$3390,J$1,'United Data'!$C$3:$C$3390,$A1608)&gt;0,1,0)</f>
        <v>1</v>
      </c>
      <c r="K1608">
        <f>IF(COUNTIFS('United Data'!$A$3:$A$3390,K$1,'United Data'!$C$3:$C$3390,$A1608)&gt;0,1,0)</f>
        <v>0</v>
      </c>
      <c r="L1608">
        <f>IF(COUNTIFS('United Data'!$A$3:$A$3390,L$1,'United Data'!$C$3:$C$3390,$A1608)&gt;0,1,0)</f>
        <v>0</v>
      </c>
      <c r="M1608">
        <f>IF(COUNTIFS('United Data'!$A$3:$A$3390,M$1,'United Data'!$C$3:$C$3390,$A1608)&gt;0,1,0)</f>
        <v>0</v>
      </c>
      <c r="N1608">
        <f>IF(COUNTIFS('United Data'!$A$3:$A$3390,N$1,'United Data'!$C$3:$C$3390,$A1608)&gt;0,1,0)</f>
        <v>0</v>
      </c>
      <c r="O1608">
        <f>IF(COUNTIFS('United Data'!$A$3:$A$3390,O$1,'United Data'!$C$3:$C$3390,$A1608)&gt;0,1,0)</f>
        <v>0</v>
      </c>
      <c r="P1608">
        <f>IF(COUNTIFS('United Data'!$A$3:$A$3390,P$1,'United Data'!$C$3:$C$3390,$A1608)&gt;0,1,0)</f>
        <v>0</v>
      </c>
      <c r="Q1608">
        <f>IF(COUNTIFS('United Data'!$A$3:$A$3390,Q$1,'United Data'!$C$3:$C$3390,$A1608)&gt;0,1,0)</f>
        <v>0</v>
      </c>
      <c r="R1608">
        <f>IF(COUNTIFS('United Data'!$A$3:$A$3390,R$1,'United Data'!$C$3:$C$3390,$A1608)&gt;0,1,0)</f>
        <v>0</v>
      </c>
      <c r="S1608">
        <f t="shared" si="50"/>
        <v>1</v>
      </c>
      <c r="T1608">
        <f t="shared" si="51"/>
        <v>1</v>
      </c>
    </row>
    <row r="1609" spans="1:20" x14ac:dyDescent="0.2">
      <c r="A1609" t="s">
        <v>1891</v>
      </c>
      <c r="B1609">
        <f>IF(COUNTIFS('United Data'!$A$3:$A$3390,B$1,'United Data'!$C$3:$C$3390,$A1609)&gt;0,1,0)</f>
        <v>0</v>
      </c>
      <c r="C1609">
        <f>IF(COUNTIFS('United Data'!$A$3:$A$3390,C$1,'United Data'!$C$3:$C$3390,$A1609)&gt;0,1,0)</f>
        <v>0</v>
      </c>
      <c r="D1609">
        <f>IF(COUNTIFS('United Data'!$A$3:$A$3390,D$1,'United Data'!$C$3:$C$3390,$A1609)&gt;0,1,0)</f>
        <v>0</v>
      </c>
      <c r="E1609">
        <f>IF(COUNTIFS('United Data'!$A$3:$A$3390,E$1,'United Data'!$C$3:$C$3390,$A1609)&gt;0,1,0)</f>
        <v>0</v>
      </c>
      <c r="F1609">
        <f>IF(COUNTIFS('United Data'!$A$3:$A$3390,F$1,'United Data'!$C$3:$C$3390,$A1609)&gt;0,1,0)</f>
        <v>0</v>
      </c>
      <c r="G1609">
        <f>IF(COUNTIFS('United Data'!$A$3:$A$3390,G$1,'United Data'!$C$3:$C$3390,$A1609)&gt;0,1,0)</f>
        <v>0</v>
      </c>
      <c r="H1609">
        <f>IF(COUNTIFS('United Data'!$A$3:$A$3390,H$1,'United Data'!$C$3:$C$3390,$A1609)&gt;0,1,0)</f>
        <v>0</v>
      </c>
      <c r="I1609">
        <f>IF(COUNTIFS('United Data'!$A$3:$A$3390,I$1,'United Data'!$C$3:$C$3390,$A1609)&gt;0,1,0)</f>
        <v>0</v>
      </c>
      <c r="J1609">
        <f>IF(COUNTIFS('United Data'!$A$3:$A$3390,J$1,'United Data'!$C$3:$C$3390,$A1609)&gt;0,1,0)</f>
        <v>1</v>
      </c>
      <c r="K1609">
        <f>IF(COUNTIFS('United Data'!$A$3:$A$3390,K$1,'United Data'!$C$3:$C$3390,$A1609)&gt;0,1,0)</f>
        <v>0</v>
      </c>
      <c r="L1609">
        <f>IF(COUNTIFS('United Data'!$A$3:$A$3390,L$1,'United Data'!$C$3:$C$3390,$A1609)&gt;0,1,0)</f>
        <v>0</v>
      </c>
      <c r="M1609">
        <f>IF(COUNTIFS('United Data'!$A$3:$A$3390,M$1,'United Data'!$C$3:$C$3390,$A1609)&gt;0,1,0)</f>
        <v>0</v>
      </c>
      <c r="N1609">
        <f>IF(COUNTIFS('United Data'!$A$3:$A$3390,N$1,'United Data'!$C$3:$C$3390,$A1609)&gt;0,1,0)</f>
        <v>0</v>
      </c>
      <c r="O1609">
        <f>IF(COUNTIFS('United Data'!$A$3:$A$3390,O$1,'United Data'!$C$3:$C$3390,$A1609)&gt;0,1,0)</f>
        <v>0</v>
      </c>
      <c r="P1609">
        <f>IF(COUNTIFS('United Data'!$A$3:$A$3390,P$1,'United Data'!$C$3:$C$3390,$A1609)&gt;0,1,0)</f>
        <v>0</v>
      </c>
      <c r="Q1609">
        <f>IF(COUNTIFS('United Data'!$A$3:$A$3390,Q$1,'United Data'!$C$3:$C$3390,$A1609)&gt;0,1,0)</f>
        <v>0</v>
      </c>
      <c r="R1609">
        <f>IF(COUNTIFS('United Data'!$A$3:$A$3390,R$1,'United Data'!$C$3:$C$3390,$A1609)&gt;0,1,0)</f>
        <v>0</v>
      </c>
      <c r="S1609">
        <f t="shared" si="50"/>
        <v>1</v>
      </c>
      <c r="T1609">
        <f t="shared" si="51"/>
        <v>1</v>
      </c>
    </row>
    <row r="1610" spans="1:20" x14ac:dyDescent="0.2">
      <c r="A1610" t="s">
        <v>1892</v>
      </c>
      <c r="B1610">
        <f>IF(COUNTIFS('United Data'!$A$3:$A$3390,B$1,'United Data'!$C$3:$C$3390,$A1610)&gt;0,1,0)</f>
        <v>0</v>
      </c>
      <c r="C1610">
        <f>IF(COUNTIFS('United Data'!$A$3:$A$3390,C$1,'United Data'!$C$3:$C$3390,$A1610)&gt;0,1,0)</f>
        <v>0</v>
      </c>
      <c r="D1610">
        <f>IF(COUNTIFS('United Data'!$A$3:$A$3390,D$1,'United Data'!$C$3:$C$3390,$A1610)&gt;0,1,0)</f>
        <v>0</v>
      </c>
      <c r="E1610">
        <f>IF(COUNTIFS('United Data'!$A$3:$A$3390,E$1,'United Data'!$C$3:$C$3390,$A1610)&gt;0,1,0)</f>
        <v>0</v>
      </c>
      <c r="F1610">
        <f>IF(COUNTIFS('United Data'!$A$3:$A$3390,F$1,'United Data'!$C$3:$C$3390,$A1610)&gt;0,1,0)</f>
        <v>0</v>
      </c>
      <c r="G1610">
        <f>IF(COUNTIFS('United Data'!$A$3:$A$3390,G$1,'United Data'!$C$3:$C$3390,$A1610)&gt;0,1,0)</f>
        <v>0</v>
      </c>
      <c r="H1610">
        <f>IF(COUNTIFS('United Data'!$A$3:$A$3390,H$1,'United Data'!$C$3:$C$3390,$A1610)&gt;0,1,0)</f>
        <v>0</v>
      </c>
      <c r="I1610">
        <f>IF(COUNTIFS('United Data'!$A$3:$A$3390,I$1,'United Data'!$C$3:$C$3390,$A1610)&gt;0,1,0)</f>
        <v>0</v>
      </c>
      <c r="J1610">
        <f>IF(COUNTIFS('United Data'!$A$3:$A$3390,J$1,'United Data'!$C$3:$C$3390,$A1610)&gt;0,1,0)</f>
        <v>0</v>
      </c>
      <c r="K1610">
        <f>IF(COUNTIFS('United Data'!$A$3:$A$3390,K$1,'United Data'!$C$3:$C$3390,$A1610)&gt;0,1,0)</f>
        <v>1</v>
      </c>
      <c r="L1610">
        <f>IF(COUNTIFS('United Data'!$A$3:$A$3390,L$1,'United Data'!$C$3:$C$3390,$A1610)&gt;0,1,0)</f>
        <v>0</v>
      </c>
      <c r="M1610">
        <f>IF(COUNTIFS('United Data'!$A$3:$A$3390,M$1,'United Data'!$C$3:$C$3390,$A1610)&gt;0,1,0)</f>
        <v>0</v>
      </c>
      <c r="N1610">
        <f>IF(COUNTIFS('United Data'!$A$3:$A$3390,N$1,'United Data'!$C$3:$C$3390,$A1610)&gt;0,1,0)</f>
        <v>0</v>
      </c>
      <c r="O1610">
        <f>IF(COUNTIFS('United Data'!$A$3:$A$3390,O$1,'United Data'!$C$3:$C$3390,$A1610)&gt;0,1,0)</f>
        <v>0</v>
      </c>
      <c r="P1610">
        <f>IF(COUNTIFS('United Data'!$A$3:$A$3390,P$1,'United Data'!$C$3:$C$3390,$A1610)&gt;0,1,0)</f>
        <v>0</v>
      </c>
      <c r="Q1610">
        <f>IF(COUNTIFS('United Data'!$A$3:$A$3390,Q$1,'United Data'!$C$3:$C$3390,$A1610)&gt;0,1,0)</f>
        <v>0</v>
      </c>
      <c r="R1610">
        <f>IF(COUNTIFS('United Data'!$A$3:$A$3390,R$1,'United Data'!$C$3:$C$3390,$A1610)&gt;0,1,0)</f>
        <v>0</v>
      </c>
      <c r="S1610">
        <f t="shared" si="50"/>
        <v>1</v>
      </c>
      <c r="T1610">
        <f t="shared" si="51"/>
        <v>1</v>
      </c>
    </row>
    <row r="1611" spans="1:20" x14ac:dyDescent="0.2">
      <c r="A1611" t="s">
        <v>1893</v>
      </c>
      <c r="B1611">
        <f>IF(COUNTIFS('United Data'!$A$3:$A$3390,B$1,'United Data'!$C$3:$C$3390,$A1611)&gt;0,1,0)</f>
        <v>0</v>
      </c>
      <c r="C1611">
        <f>IF(COUNTIFS('United Data'!$A$3:$A$3390,C$1,'United Data'!$C$3:$C$3390,$A1611)&gt;0,1,0)</f>
        <v>0</v>
      </c>
      <c r="D1611">
        <f>IF(COUNTIFS('United Data'!$A$3:$A$3390,D$1,'United Data'!$C$3:$C$3390,$A1611)&gt;0,1,0)</f>
        <v>0</v>
      </c>
      <c r="E1611">
        <f>IF(COUNTIFS('United Data'!$A$3:$A$3390,E$1,'United Data'!$C$3:$C$3390,$A1611)&gt;0,1,0)</f>
        <v>0</v>
      </c>
      <c r="F1611">
        <f>IF(COUNTIFS('United Data'!$A$3:$A$3390,F$1,'United Data'!$C$3:$C$3390,$A1611)&gt;0,1,0)</f>
        <v>0</v>
      </c>
      <c r="G1611">
        <f>IF(COUNTIFS('United Data'!$A$3:$A$3390,G$1,'United Data'!$C$3:$C$3390,$A1611)&gt;0,1,0)</f>
        <v>0</v>
      </c>
      <c r="H1611">
        <f>IF(COUNTIFS('United Data'!$A$3:$A$3390,H$1,'United Data'!$C$3:$C$3390,$A1611)&gt;0,1,0)</f>
        <v>0</v>
      </c>
      <c r="I1611">
        <f>IF(COUNTIFS('United Data'!$A$3:$A$3390,I$1,'United Data'!$C$3:$C$3390,$A1611)&gt;0,1,0)</f>
        <v>0</v>
      </c>
      <c r="J1611">
        <f>IF(COUNTIFS('United Data'!$A$3:$A$3390,J$1,'United Data'!$C$3:$C$3390,$A1611)&gt;0,1,0)</f>
        <v>0</v>
      </c>
      <c r="K1611">
        <f>IF(COUNTIFS('United Data'!$A$3:$A$3390,K$1,'United Data'!$C$3:$C$3390,$A1611)&gt;0,1,0)</f>
        <v>1</v>
      </c>
      <c r="L1611">
        <f>IF(COUNTIFS('United Data'!$A$3:$A$3390,L$1,'United Data'!$C$3:$C$3390,$A1611)&gt;0,1,0)</f>
        <v>0</v>
      </c>
      <c r="M1611">
        <f>IF(COUNTIFS('United Data'!$A$3:$A$3390,M$1,'United Data'!$C$3:$C$3390,$A1611)&gt;0,1,0)</f>
        <v>0</v>
      </c>
      <c r="N1611">
        <f>IF(COUNTIFS('United Data'!$A$3:$A$3390,N$1,'United Data'!$C$3:$C$3390,$A1611)&gt;0,1,0)</f>
        <v>0</v>
      </c>
      <c r="O1611">
        <f>IF(COUNTIFS('United Data'!$A$3:$A$3390,O$1,'United Data'!$C$3:$C$3390,$A1611)&gt;0,1,0)</f>
        <v>0</v>
      </c>
      <c r="P1611">
        <f>IF(COUNTIFS('United Data'!$A$3:$A$3390,P$1,'United Data'!$C$3:$C$3390,$A1611)&gt;0,1,0)</f>
        <v>0</v>
      </c>
      <c r="Q1611">
        <f>IF(COUNTIFS('United Data'!$A$3:$A$3390,Q$1,'United Data'!$C$3:$C$3390,$A1611)&gt;0,1,0)</f>
        <v>1</v>
      </c>
      <c r="R1611">
        <f>IF(COUNTIFS('United Data'!$A$3:$A$3390,R$1,'United Data'!$C$3:$C$3390,$A1611)&gt;0,1,0)</f>
        <v>0</v>
      </c>
      <c r="S1611">
        <f t="shared" si="50"/>
        <v>2</v>
      </c>
      <c r="T1611">
        <f t="shared" si="51"/>
        <v>2</v>
      </c>
    </row>
    <row r="1612" spans="1:20" x14ac:dyDescent="0.2">
      <c r="A1612" t="s">
        <v>1894</v>
      </c>
      <c r="B1612">
        <f>IF(COUNTIFS('United Data'!$A$3:$A$3390,B$1,'United Data'!$C$3:$C$3390,$A1612)&gt;0,1,0)</f>
        <v>0</v>
      </c>
      <c r="C1612">
        <f>IF(COUNTIFS('United Data'!$A$3:$A$3390,C$1,'United Data'!$C$3:$C$3390,$A1612)&gt;0,1,0)</f>
        <v>0</v>
      </c>
      <c r="D1612">
        <f>IF(COUNTIFS('United Data'!$A$3:$A$3390,D$1,'United Data'!$C$3:$C$3390,$A1612)&gt;0,1,0)</f>
        <v>0</v>
      </c>
      <c r="E1612">
        <f>IF(COUNTIFS('United Data'!$A$3:$A$3390,E$1,'United Data'!$C$3:$C$3390,$A1612)&gt;0,1,0)</f>
        <v>0</v>
      </c>
      <c r="F1612">
        <f>IF(COUNTIFS('United Data'!$A$3:$A$3390,F$1,'United Data'!$C$3:$C$3390,$A1612)&gt;0,1,0)</f>
        <v>0</v>
      </c>
      <c r="G1612">
        <f>IF(COUNTIFS('United Data'!$A$3:$A$3390,G$1,'United Data'!$C$3:$C$3390,$A1612)&gt;0,1,0)</f>
        <v>0</v>
      </c>
      <c r="H1612">
        <f>IF(COUNTIFS('United Data'!$A$3:$A$3390,H$1,'United Data'!$C$3:$C$3390,$A1612)&gt;0,1,0)</f>
        <v>0</v>
      </c>
      <c r="I1612">
        <f>IF(COUNTIFS('United Data'!$A$3:$A$3390,I$1,'United Data'!$C$3:$C$3390,$A1612)&gt;0,1,0)</f>
        <v>0</v>
      </c>
      <c r="J1612">
        <f>IF(COUNTIFS('United Data'!$A$3:$A$3390,J$1,'United Data'!$C$3:$C$3390,$A1612)&gt;0,1,0)</f>
        <v>0</v>
      </c>
      <c r="K1612">
        <f>IF(COUNTIFS('United Data'!$A$3:$A$3390,K$1,'United Data'!$C$3:$C$3390,$A1612)&gt;0,1,0)</f>
        <v>0</v>
      </c>
      <c r="L1612">
        <f>IF(COUNTIFS('United Data'!$A$3:$A$3390,L$1,'United Data'!$C$3:$C$3390,$A1612)&gt;0,1,0)</f>
        <v>1</v>
      </c>
      <c r="M1612">
        <f>IF(COUNTIFS('United Data'!$A$3:$A$3390,M$1,'United Data'!$C$3:$C$3390,$A1612)&gt;0,1,0)</f>
        <v>0</v>
      </c>
      <c r="N1612">
        <f>IF(COUNTIFS('United Data'!$A$3:$A$3390,N$1,'United Data'!$C$3:$C$3390,$A1612)&gt;0,1,0)</f>
        <v>0</v>
      </c>
      <c r="O1612">
        <f>IF(COUNTIFS('United Data'!$A$3:$A$3390,O$1,'United Data'!$C$3:$C$3390,$A1612)&gt;0,1,0)</f>
        <v>0</v>
      </c>
      <c r="P1612">
        <f>IF(COUNTIFS('United Data'!$A$3:$A$3390,P$1,'United Data'!$C$3:$C$3390,$A1612)&gt;0,1,0)</f>
        <v>0</v>
      </c>
      <c r="Q1612">
        <f>IF(COUNTIFS('United Data'!$A$3:$A$3390,Q$1,'United Data'!$C$3:$C$3390,$A1612)&gt;0,1,0)</f>
        <v>0</v>
      </c>
      <c r="R1612">
        <f>IF(COUNTIFS('United Data'!$A$3:$A$3390,R$1,'United Data'!$C$3:$C$3390,$A1612)&gt;0,1,0)</f>
        <v>0</v>
      </c>
      <c r="S1612">
        <f t="shared" si="50"/>
        <v>1</v>
      </c>
      <c r="T1612">
        <f t="shared" si="51"/>
        <v>1</v>
      </c>
    </row>
    <row r="1613" spans="1:20" x14ac:dyDescent="0.2">
      <c r="A1613" t="s">
        <v>1895</v>
      </c>
      <c r="B1613">
        <f>IF(COUNTIFS('United Data'!$A$3:$A$3390,B$1,'United Data'!$C$3:$C$3390,$A1613)&gt;0,1,0)</f>
        <v>0</v>
      </c>
      <c r="C1613">
        <f>IF(COUNTIFS('United Data'!$A$3:$A$3390,C$1,'United Data'!$C$3:$C$3390,$A1613)&gt;0,1,0)</f>
        <v>0</v>
      </c>
      <c r="D1613">
        <f>IF(COUNTIFS('United Data'!$A$3:$A$3390,D$1,'United Data'!$C$3:$C$3390,$A1613)&gt;0,1,0)</f>
        <v>0</v>
      </c>
      <c r="E1613">
        <f>IF(COUNTIFS('United Data'!$A$3:$A$3390,E$1,'United Data'!$C$3:$C$3390,$A1613)&gt;0,1,0)</f>
        <v>0</v>
      </c>
      <c r="F1613">
        <f>IF(COUNTIFS('United Data'!$A$3:$A$3390,F$1,'United Data'!$C$3:$C$3390,$A1613)&gt;0,1,0)</f>
        <v>0</v>
      </c>
      <c r="G1613">
        <f>IF(COUNTIFS('United Data'!$A$3:$A$3390,G$1,'United Data'!$C$3:$C$3390,$A1613)&gt;0,1,0)</f>
        <v>0</v>
      </c>
      <c r="H1613">
        <f>IF(COUNTIFS('United Data'!$A$3:$A$3390,H$1,'United Data'!$C$3:$C$3390,$A1613)&gt;0,1,0)</f>
        <v>0</v>
      </c>
      <c r="I1613">
        <f>IF(COUNTIFS('United Data'!$A$3:$A$3390,I$1,'United Data'!$C$3:$C$3390,$A1613)&gt;0,1,0)</f>
        <v>0</v>
      </c>
      <c r="J1613">
        <f>IF(COUNTIFS('United Data'!$A$3:$A$3390,J$1,'United Data'!$C$3:$C$3390,$A1613)&gt;0,1,0)</f>
        <v>0</v>
      </c>
      <c r="K1613">
        <f>IF(COUNTIFS('United Data'!$A$3:$A$3390,K$1,'United Data'!$C$3:$C$3390,$A1613)&gt;0,1,0)</f>
        <v>0</v>
      </c>
      <c r="L1613">
        <f>IF(COUNTIFS('United Data'!$A$3:$A$3390,L$1,'United Data'!$C$3:$C$3390,$A1613)&gt;0,1,0)</f>
        <v>0</v>
      </c>
      <c r="M1613">
        <f>IF(COUNTIFS('United Data'!$A$3:$A$3390,M$1,'United Data'!$C$3:$C$3390,$A1613)&gt;0,1,0)</f>
        <v>1</v>
      </c>
      <c r="N1613">
        <f>IF(COUNTIFS('United Data'!$A$3:$A$3390,N$1,'United Data'!$C$3:$C$3390,$A1613)&gt;0,1,0)</f>
        <v>0</v>
      </c>
      <c r="O1613">
        <f>IF(COUNTIFS('United Data'!$A$3:$A$3390,O$1,'United Data'!$C$3:$C$3390,$A1613)&gt;0,1,0)</f>
        <v>0</v>
      </c>
      <c r="P1613">
        <f>IF(COUNTIFS('United Data'!$A$3:$A$3390,P$1,'United Data'!$C$3:$C$3390,$A1613)&gt;0,1,0)</f>
        <v>0</v>
      </c>
      <c r="Q1613">
        <f>IF(COUNTIFS('United Data'!$A$3:$A$3390,Q$1,'United Data'!$C$3:$C$3390,$A1613)&gt;0,1,0)</f>
        <v>0</v>
      </c>
      <c r="R1613">
        <f>IF(COUNTIFS('United Data'!$A$3:$A$3390,R$1,'United Data'!$C$3:$C$3390,$A1613)&gt;0,1,0)</f>
        <v>0</v>
      </c>
      <c r="S1613">
        <f t="shared" si="50"/>
        <v>1</v>
      </c>
      <c r="T1613">
        <f t="shared" si="51"/>
        <v>1</v>
      </c>
    </row>
    <row r="1614" spans="1:20" x14ac:dyDescent="0.2">
      <c r="A1614" t="s">
        <v>1896</v>
      </c>
      <c r="B1614">
        <f>IF(COUNTIFS('United Data'!$A$3:$A$3390,B$1,'United Data'!$C$3:$C$3390,$A1614)&gt;0,1,0)</f>
        <v>0</v>
      </c>
      <c r="C1614">
        <f>IF(COUNTIFS('United Data'!$A$3:$A$3390,C$1,'United Data'!$C$3:$C$3390,$A1614)&gt;0,1,0)</f>
        <v>0</v>
      </c>
      <c r="D1614">
        <f>IF(COUNTIFS('United Data'!$A$3:$A$3390,D$1,'United Data'!$C$3:$C$3390,$A1614)&gt;0,1,0)</f>
        <v>0</v>
      </c>
      <c r="E1614">
        <f>IF(COUNTIFS('United Data'!$A$3:$A$3390,E$1,'United Data'!$C$3:$C$3390,$A1614)&gt;0,1,0)</f>
        <v>0</v>
      </c>
      <c r="F1614">
        <f>IF(COUNTIFS('United Data'!$A$3:$A$3390,F$1,'United Data'!$C$3:$C$3390,$A1614)&gt;0,1,0)</f>
        <v>0</v>
      </c>
      <c r="G1614">
        <f>IF(COUNTIFS('United Data'!$A$3:$A$3390,G$1,'United Data'!$C$3:$C$3390,$A1614)&gt;0,1,0)</f>
        <v>0</v>
      </c>
      <c r="H1614">
        <f>IF(COUNTIFS('United Data'!$A$3:$A$3390,H$1,'United Data'!$C$3:$C$3390,$A1614)&gt;0,1,0)</f>
        <v>0</v>
      </c>
      <c r="I1614">
        <f>IF(COUNTIFS('United Data'!$A$3:$A$3390,I$1,'United Data'!$C$3:$C$3390,$A1614)&gt;0,1,0)</f>
        <v>0</v>
      </c>
      <c r="J1614">
        <f>IF(COUNTIFS('United Data'!$A$3:$A$3390,J$1,'United Data'!$C$3:$C$3390,$A1614)&gt;0,1,0)</f>
        <v>0</v>
      </c>
      <c r="K1614">
        <f>IF(COUNTIFS('United Data'!$A$3:$A$3390,K$1,'United Data'!$C$3:$C$3390,$A1614)&gt;0,1,0)</f>
        <v>0</v>
      </c>
      <c r="L1614">
        <f>IF(COUNTIFS('United Data'!$A$3:$A$3390,L$1,'United Data'!$C$3:$C$3390,$A1614)&gt;0,1,0)</f>
        <v>0</v>
      </c>
      <c r="M1614">
        <f>IF(COUNTIFS('United Data'!$A$3:$A$3390,M$1,'United Data'!$C$3:$C$3390,$A1614)&gt;0,1,0)</f>
        <v>1</v>
      </c>
      <c r="N1614">
        <f>IF(COUNTIFS('United Data'!$A$3:$A$3390,N$1,'United Data'!$C$3:$C$3390,$A1614)&gt;0,1,0)</f>
        <v>0</v>
      </c>
      <c r="O1614">
        <f>IF(COUNTIFS('United Data'!$A$3:$A$3390,O$1,'United Data'!$C$3:$C$3390,$A1614)&gt;0,1,0)</f>
        <v>0</v>
      </c>
      <c r="P1614">
        <f>IF(COUNTIFS('United Data'!$A$3:$A$3390,P$1,'United Data'!$C$3:$C$3390,$A1614)&gt;0,1,0)</f>
        <v>0</v>
      </c>
      <c r="Q1614">
        <f>IF(COUNTIFS('United Data'!$A$3:$A$3390,Q$1,'United Data'!$C$3:$C$3390,$A1614)&gt;0,1,0)</f>
        <v>0</v>
      </c>
      <c r="R1614">
        <f>IF(COUNTIFS('United Data'!$A$3:$A$3390,R$1,'United Data'!$C$3:$C$3390,$A1614)&gt;0,1,0)</f>
        <v>0</v>
      </c>
      <c r="S1614">
        <f t="shared" si="50"/>
        <v>1</v>
      </c>
      <c r="T1614">
        <f t="shared" si="51"/>
        <v>1</v>
      </c>
    </row>
    <row r="1615" spans="1:20" x14ac:dyDescent="0.2">
      <c r="A1615" t="s">
        <v>1897</v>
      </c>
      <c r="B1615">
        <f>IF(COUNTIFS('United Data'!$A$3:$A$3390,B$1,'United Data'!$C$3:$C$3390,$A1615)&gt;0,1,0)</f>
        <v>0</v>
      </c>
      <c r="C1615">
        <f>IF(COUNTIFS('United Data'!$A$3:$A$3390,C$1,'United Data'!$C$3:$C$3390,$A1615)&gt;0,1,0)</f>
        <v>0</v>
      </c>
      <c r="D1615">
        <f>IF(COUNTIFS('United Data'!$A$3:$A$3390,D$1,'United Data'!$C$3:$C$3390,$A1615)&gt;0,1,0)</f>
        <v>0</v>
      </c>
      <c r="E1615">
        <f>IF(COUNTIFS('United Data'!$A$3:$A$3390,E$1,'United Data'!$C$3:$C$3390,$A1615)&gt;0,1,0)</f>
        <v>0</v>
      </c>
      <c r="F1615">
        <f>IF(COUNTIFS('United Data'!$A$3:$A$3390,F$1,'United Data'!$C$3:$C$3390,$A1615)&gt;0,1,0)</f>
        <v>0</v>
      </c>
      <c r="G1615">
        <f>IF(COUNTIFS('United Data'!$A$3:$A$3390,G$1,'United Data'!$C$3:$C$3390,$A1615)&gt;0,1,0)</f>
        <v>0</v>
      </c>
      <c r="H1615">
        <f>IF(COUNTIFS('United Data'!$A$3:$A$3390,H$1,'United Data'!$C$3:$C$3390,$A1615)&gt;0,1,0)</f>
        <v>0</v>
      </c>
      <c r="I1615">
        <f>IF(COUNTIFS('United Data'!$A$3:$A$3390,I$1,'United Data'!$C$3:$C$3390,$A1615)&gt;0,1,0)</f>
        <v>0</v>
      </c>
      <c r="J1615">
        <f>IF(COUNTIFS('United Data'!$A$3:$A$3390,J$1,'United Data'!$C$3:$C$3390,$A1615)&gt;0,1,0)</f>
        <v>0</v>
      </c>
      <c r="K1615">
        <f>IF(COUNTIFS('United Data'!$A$3:$A$3390,K$1,'United Data'!$C$3:$C$3390,$A1615)&gt;0,1,0)</f>
        <v>0</v>
      </c>
      <c r="L1615">
        <f>IF(COUNTIFS('United Data'!$A$3:$A$3390,L$1,'United Data'!$C$3:$C$3390,$A1615)&gt;0,1,0)</f>
        <v>0</v>
      </c>
      <c r="M1615">
        <f>IF(COUNTIFS('United Data'!$A$3:$A$3390,M$1,'United Data'!$C$3:$C$3390,$A1615)&gt;0,1,0)</f>
        <v>1</v>
      </c>
      <c r="N1615">
        <f>IF(COUNTIFS('United Data'!$A$3:$A$3390,N$1,'United Data'!$C$3:$C$3390,$A1615)&gt;0,1,0)</f>
        <v>0</v>
      </c>
      <c r="O1615">
        <f>IF(COUNTIFS('United Data'!$A$3:$A$3390,O$1,'United Data'!$C$3:$C$3390,$A1615)&gt;0,1,0)</f>
        <v>0</v>
      </c>
      <c r="P1615">
        <f>IF(COUNTIFS('United Data'!$A$3:$A$3390,P$1,'United Data'!$C$3:$C$3390,$A1615)&gt;0,1,0)</f>
        <v>0</v>
      </c>
      <c r="Q1615">
        <f>IF(COUNTIFS('United Data'!$A$3:$A$3390,Q$1,'United Data'!$C$3:$C$3390,$A1615)&gt;0,1,0)</f>
        <v>0</v>
      </c>
      <c r="R1615">
        <f>IF(COUNTIFS('United Data'!$A$3:$A$3390,R$1,'United Data'!$C$3:$C$3390,$A1615)&gt;0,1,0)</f>
        <v>0</v>
      </c>
      <c r="S1615">
        <f t="shared" si="50"/>
        <v>1</v>
      </c>
      <c r="T1615">
        <f t="shared" si="51"/>
        <v>1</v>
      </c>
    </row>
    <row r="1616" spans="1:20" x14ac:dyDescent="0.2">
      <c r="A1616" t="s">
        <v>1898</v>
      </c>
      <c r="B1616">
        <f>IF(COUNTIFS('United Data'!$A$3:$A$3390,B$1,'United Data'!$C$3:$C$3390,$A1616)&gt;0,1,0)</f>
        <v>0</v>
      </c>
      <c r="C1616">
        <f>IF(COUNTIFS('United Data'!$A$3:$A$3390,C$1,'United Data'!$C$3:$C$3390,$A1616)&gt;0,1,0)</f>
        <v>0</v>
      </c>
      <c r="D1616">
        <f>IF(COUNTIFS('United Data'!$A$3:$A$3390,D$1,'United Data'!$C$3:$C$3390,$A1616)&gt;0,1,0)</f>
        <v>0</v>
      </c>
      <c r="E1616">
        <f>IF(COUNTIFS('United Data'!$A$3:$A$3390,E$1,'United Data'!$C$3:$C$3390,$A1616)&gt;0,1,0)</f>
        <v>0</v>
      </c>
      <c r="F1616">
        <f>IF(COUNTIFS('United Data'!$A$3:$A$3390,F$1,'United Data'!$C$3:$C$3390,$A1616)&gt;0,1,0)</f>
        <v>0</v>
      </c>
      <c r="G1616">
        <f>IF(COUNTIFS('United Data'!$A$3:$A$3390,G$1,'United Data'!$C$3:$C$3390,$A1616)&gt;0,1,0)</f>
        <v>0</v>
      </c>
      <c r="H1616">
        <f>IF(COUNTIFS('United Data'!$A$3:$A$3390,H$1,'United Data'!$C$3:$C$3390,$A1616)&gt;0,1,0)</f>
        <v>0</v>
      </c>
      <c r="I1616">
        <f>IF(COUNTIFS('United Data'!$A$3:$A$3390,I$1,'United Data'!$C$3:$C$3390,$A1616)&gt;0,1,0)</f>
        <v>0</v>
      </c>
      <c r="J1616">
        <f>IF(COUNTIFS('United Data'!$A$3:$A$3390,J$1,'United Data'!$C$3:$C$3390,$A1616)&gt;0,1,0)</f>
        <v>0</v>
      </c>
      <c r="K1616">
        <f>IF(COUNTIFS('United Data'!$A$3:$A$3390,K$1,'United Data'!$C$3:$C$3390,$A1616)&gt;0,1,0)</f>
        <v>0</v>
      </c>
      <c r="L1616">
        <f>IF(COUNTIFS('United Data'!$A$3:$A$3390,L$1,'United Data'!$C$3:$C$3390,$A1616)&gt;0,1,0)</f>
        <v>0</v>
      </c>
      <c r="M1616">
        <f>IF(COUNTIFS('United Data'!$A$3:$A$3390,M$1,'United Data'!$C$3:$C$3390,$A1616)&gt;0,1,0)</f>
        <v>0</v>
      </c>
      <c r="N1616">
        <f>IF(COUNTIFS('United Data'!$A$3:$A$3390,N$1,'United Data'!$C$3:$C$3390,$A1616)&gt;0,1,0)</f>
        <v>1</v>
      </c>
      <c r="O1616">
        <f>IF(COUNTIFS('United Data'!$A$3:$A$3390,O$1,'United Data'!$C$3:$C$3390,$A1616)&gt;0,1,0)</f>
        <v>0</v>
      </c>
      <c r="P1616">
        <f>IF(COUNTIFS('United Data'!$A$3:$A$3390,P$1,'United Data'!$C$3:$C$3390,$A1616)&gt;0,1,0)</f>
        <v>0</v>
      </c>
      <c r="Q1616">
        <f>IF(COUNTIFS('United Data'!$A$3:$A$3390,Q$1,'United Data'!$C$3:$C$3390,$A1616)&gt;0,1,0)</f>
        <v>1</v>
      </c>
      <c r="R1616">
        <f>IF(COUNTIFS('United Data'!$A$3:$A$3390,R$1,'United Data'!$C$3:$C$3390,$A1616)&gt;0,1,0)</f>
        <v>0</v>
      </c>
      <c r="S1616">
        <f t="shared" si="50"/>
        <v>2</v>
      </c>
      <c r="T1616">
        <f t="shared" si="51"/>
        <v>2</v>
      </c>
    </row>
    <row r="1617" spans="1:20" x14ac:dyDescent="0.2">
      <c r="A1617" t="s">
        <v>1899</v>
      </c>
      <c r="B1617">
        <f>IF(COUNTIFS('United Data'!$A$3:$A$3390,B$1,'United Data'!$C$3:$C$3390,$A1617)&gt;0,1,0)</f>
        <v>0</v>
      </c>
      <c r="C1617">
        <f>IF(COUNTIFS('United Data'!$A$3:$A$3390,C$1,'United Data'!$C$3:$C$3390,$A1617)&gt;0,1,0)</f>
        <v>0</v>
      </c>
      <c r="D1617">
        <f>IF(COUNTIFS('United Data'!$A$3:$A$3390,D$1,'United Data'!$C$3:$C$3390,$A1617)&gt;0,1,0)</f>
        <v>0</v>
      </c>
      <c r="E1617">
        <f>IF(COUNTIFS('United Data'!$A$3:$A$3390,E$1,'United Data'!$C$3:$C$3390,$A1617)&gt;0,1,0)</f>
        <v>0</v>
      </c>
      <c r="F1617">
        <f>IF(COUNTIFS('United Data'!$A$3:$A$3390,F$1,'United Data'!$C$3:$C$3390,$A1617)&gt;0,1,0)</f>
        <v>0</v>
      </c>
      <c r="G1617">
        <f>IF(COUNTIFS('United Data'!$A$3:$A$3390,G$1,'United Data'!$C$3:$C$3390,$A1617)&gt;0,1,0)</f>
        <v>0</v>
      </c>
      <c r="H1617">
        <f>IF(COUNTIFS('United Data'!$A$3:$A$3390,H$1,'United Data'!$C$3:$C$3390,$A1617)&gt;0,1,0)</f>
        <v>0</v>
      </c>
      <c r="I1617">
        <f>IF(COUNTIFS('United Data'!$A$3:$A$3390,I$1,'United Data'!$C$3:$C$3390,$A1617)&gt;0,1,0)</f>
        <v>0</v>
      </c>
      <c r="J1617">
        <f>IF(COUNTIFS('United Data'!$A$3:$A$3390,J$1,'United Data'!$C$3:$C$3390,$A1617)&gt;0,1,0)</f>
        <v>0</v>
      </c>
      <c r="K1617">
        <f>IF(COUNTIFS('United Data'!$A$3:$A$3390,K$1,'United Data'!$C$3:$C$3390,$A1617)&gt;0,1,0)</f>
        <v>0</v>
      </c>
      <c r="L1617">
        <f>IF(COUNTIFS('United Data'!$A$3:$A$3390,L$1,'United Data'!$C$3:$C$3390,$A1617)&gt;0,1,0)</f>
        <v>0</v>
      </c>
      <c r="M1617">
        <f>IF(COUNTIFS('United Data'!$A$3:$A$3390,M$1,'United Data'!$C$3:$C$3390,$A1617)&gt;0,1,0)</f>
        <v>0</v>
      </c>
      <c r="N1617">
        <f>IF(COUNTIFS('United Data'!$A$3:$A$3390,N$1,'United Data'!$C$3:$C$3390,$A1617)&gt;0,1,0)</f>
        <v>1</v>
      </c>
      <c r="O1617">
        <f>IF(COUNTIFS('United Data'!$A$3:$A$3390,O$1,'United Data'!$C$3:$C$3390,$A1617)&gt;0,1,0)</f>
        <v>0</v>
      </c>
      <c r="P1617">
        <f>IF(COUNTIFS('United Data'!$A$3:$A$3390,P$1,'United Data'!$C$3:$C$3390,$A1617)&gt;0,1,0)</f>
        <v>0</v>
      </c>
      <c r="Q1617">
        <f>IF(COUNTIFS('United Data'!$A$3:$A$3390,Q$1,'United Data'!$C$3:$C$3390,$A1617)&gt;0,1,0)</f>
        <v>0</v>
      </c>
      <c r="R1617">
        <f>IF(COUNTIFS('United Data'!$A$3:$A$3390,R$1,'United Data'!$C$3:$C$3390,$A1617)&gt;0,1,0)</f>
        <v>0</v>
      </c>
      <c r="S1617">
        <f t="shared" si="50"/>
        <v>1</v>
      </c>
      <c r="T1617">
        <f t="shared" si="51"/>
        <v>1</v>
      </c>
    </row>
    <row r="1618" spans="1:20" x14ac:dyDescent="0.2">
      <c r="A1618" t="s">
        <v>1900</v>
      </c>
      <c r="B1618">
        <f>IF(COUNTIFS('United Data'!$A$3:$A$3390,B$1,'United Data'!$C$3:$C$3390,$A1618)&gt;0,1,0)</f>
        <v>0</v>
      </c>
      <c r="C1618">
        <f>IF(COUNTIFS('United Data'!$A$3:$A$3390,C$1,'United Data'!$C$3:$C$3390,$A1618)&gt;0,1,0)</f>
        <v>0</v>
      </c>
      <c r="D1618">
        <f>IF(COUNTIFS('United Data'!$A$3:$A$3390,D$1,'United Data'!$C$3:$C$3390,$A1618)&gt;0,1,0)</f>
        <v>0</v>
      </c>
      <c r="E1618">
        <f>IF(COUNTIFS('United Data'!$A$3:$A$3390,E$1,'United Data'!$C$3:$C$3390,$A1618)&gt;0,1,0)</f>
        <v>0</v>
      </c>
      <c r="F1618">
        <f>IF(COUNTIFS('United Data'!$A$3:$A$3390,F$1,'United Data'!$C$3:$C$3390,$A1618)&gt;0,1,0)</f>
        <v>0</v>
      </c>
      <c r="G1618">
        <f>IF(COUNTIFS('United Data'!$A$3:$A$3390,G$1,'United Data'!$C$3:$C$3390,$A1618)&gt;0,1,0)</f>
        <v>0</v>
      </c>
      <c r="H1618">
        <f>IF(COUNTIFS('United Data'!$A$3:$A$3390,H$1,'United Data'!$C$3:$C$3390,$A1618)&gt;0,1,0)</f>
        <v>0</v>
      </c>
      <c r="I1618">
        <f>IF(COUNTIFS('United Data'!$A$3:$A$3390,I$1,'United Data'!$C$3:$C$3390,$A1618)&gt;0,1,0)</f>
        <v>0</v>
      </c>
      <c r="J1618">
        <f>IF(COUNTIFS('United Data'!$A$3:$A$3390,J$1,'United Data'!$C$3:$C$3390,$A1618)&gt;0,1,0)</f>
        <v>0</v>
      </c>
      <c r="K1618">
        <f>IF(COUNTIFS('United Data'!$A$3:$A$3390,K$1,'United Data'!$C$3:$C$3390,$A1618)&gt;0,1,0)</f>
        <v>0</v>
      </c>
      <c r="L1618">
        <f>IF(COUNTIFS('United Data'!$A$3:$A$3390,L$1,'United Data'!$C$3:$C$3390,$A1618)&gt;0,1,0)</f>
        <v>0</v>
      </c>
      <c r="M1618">
        <f>IF(COUNTIFS('United Data'!$A$3:$A$3390,M$1,'United Data'!$C$3:$C$3390,$A1618)&gt;0,1,0)</f>
        <v>0</v>
      </c>
      <c r="N1618">
        <f>IF(COUNTIFS('United Data'!$A$3:$A$3390,N$1,'United Data'!$C$3:$C$3390,$A1618)&gt;0,1,0)</f>
        <v>1</v>
      </c>
      <c r="O1618">
        <f>IF(COUNTIFS('United Data'!$A$3:$A$3390,O$1,'United Data'!$C$3:$C$3390,$A1618)&gt;0,1,0)</f>
        <v>0</v>
      </c>
      <c r="P1618">
        <f>IF(COUNTIFS('United Data'!$A$3:$A$3390,P$1,'United Data'!$C$3:$C$3390,$A1618)&gt;0,1,0)</f>
        <v>0</v>
      </c>
      <c r="Q1618">
        <f>IF(COUNTIFS('United Data'!$A$3:$A$3390,Q$1,'United Data'!$C$3:$C$3390,$A1618)&gt;0,1,0)</f>
        <v>0</v>
      </c>
      <c r="R1618">
        <f>IF(COUNTIFS('United Data'!$A$3:$A$3390,R$1,'United Data'!$C$3:$C$3390,$A1618)&gt;0,1,0)</f>
        <v>0</v>
      </c>
      <c r="S1618">
        <f t="shared" si="50"/>
        <v>1</v>
      </c>
      <c r="T1618">
        <f t="shared" si="51"/>
        <v>1</v>
      </c>
    </row>
    <row r="1619" spans="1:20" x14ac:dyDescent="0.2">
      <c r="A1619" t="s">
        <v>1901</v>
      </c>
      <c r="B1619">
        <f>IF(COUNTIFS('United Data'!$A$3:$A$3390,B$1,'United Data'!$C$3:$C$3390,$A1619)&gt;0,1,0)</f>
        <v>0</v>
      </c>
      <c r="C1619">
        <f>IF(COUNTIFS('United Data'!$A$3:$A$3390,C$1,'United Data'!$C$3:$C$3390,$A1619)&gt;0,1,0)</f>
        <v>0</v>
      </c>
      <c r="D1619">
        <f>IF(COUNTIFS('United Data'!$A$3:$A$3390,D$1,'United Data'!$C$3:$C$3390,$A1619)&gt;0,1,0)</f>
        <v>0</v>
      </c>
      <c r="E1619">
        <f>IF(COUNTIFS('United Data'!$A$3:$A$3390,E$1,'United Data'!$C$3:$C$3390,$A1619)&gt;0,1,0)</f>
        <v>0</v>
      </c>
      <c r="F1619">
        <f>IF(COUNTIFS('United Data'!$A$3:$A$3390,F$1,'United Data'!$C$3:$C$3390,$A1619)&gt;0,1,0)</f>
        <v>0</v>
      </c>
      <c r="G1619">
        <f>IF(COUNTIFS('United Data'!$A$3:$A$3390,G$1,'United Data'!$C$3:$C$3390,$A1619)&gt;0,1,0)</f>
        <v>0</v>
      </c>
      <c r="H1619">
        <f>IF(COUNTIFS('United Data'!$A$3:$A$3390,H$1,'United Data'!$C$3:$C$3390,$A1619)&gt;0,1,0)</f>
        <v>0</v>
      </c>
      <c r="I1619">
        <f>IF(COUNTIFS('United Data'!$A$3:$A$3390,I$1,'United Data'!$C$3:$C$3390,$A1619)&gt;0,1,0)</f>
        <v>0</v>
      </c>
      <c r="J1619">
        <f>IF(COUNTIFS('United Data'!$A$3:$A$3390,J$1,'United Data'!$C$3:$C$3390,$A1619)&gt;0,1,0)</f>
        <v>0</v>
      </c>
      <c r="K1619">
        <f>IF(COUNTIFS('United Data'!$A$3:$A$3390,K$1,'United Data'!$C$3:$C$3390,$A1619)&gt;0,1,0)</f>
        <v>0</v>
      </c>
      <c r="L1619">
        <f>IF(COUNTIFS('United Data'!$A$3:$A$3390,L$1,'United Data'!$C$3:$C$3390,$A1619)&gt;0,1,0)</f>
        <v>0</v>
      </c>
      <c r="M1619">
        <f>IF(COUNTIFS('United Data'!$A$3:$A$3390,M$1,'United Data'!$C$3:$C$3390,$A1619)&gt;0,1,0)</f>
        <v>0</v>
      </c>
      <c r="N1619">
        <f>IF(COUNTIFS('United Data'!$A$3:$A$3390,N$1,'United Data'!$C$3:$C$3390,$A1619)&gt;0,1,0)</f>
        <v>0</v>
      </c>
      <c r="O1619">
        <f>IF(COUNTIFS('United Data'!$A$3:$A$3390,O$1,'United Data'!$C$3:$C$3390,$A1619)&gt;0,1,0)</f>
        <v>1</v>
      </c>
      <c r="P1619">
        <f>IF(COUNTIFS('United Data'!$A$3:$A$3390,P$1,'United Data'!$C$3:$C$3390,$A1619)&gt;0,1,0)</f>
        <v>0</v>
      </c>
      <c r="Q1619">
        <f>IF(COUNTIFS('United Data'!$A$3:$A$3390,Q$1,'United Data'!$C$3:$C$3390,$A1619)&gt;0,1,0)</f>
        <v>0</v>
      </c>
      <c r="R1619">
        <f>IF(COUNTIFS('United Data'!$A$3:$A$3390,R$1,'United Data'!$C$3:$C$3390,$A1619)&gt;0,1,0)</f>
        <v>0</v>
      </c>
      <c r="S1619">
        <f t="shared" si="50"/>
        <v>1</v>
      </c>
      <c r="T1619">
        <f t="shared" si="51"/>
        <v>1</v>
      </c>
    </row>
    <row r="1620" spans="1:20" x14ac:dyDescent="0.2">
      <c r="A1620" t="s">
        <v>1902</v>
      </c>
      <c r="B1620">
        <f>IF(COUNTIFS('United Data'!$A$3:$A$3390,B$1,'United Data'!$C$3:$C$3390,$A1620)&gt;0,1,0)</f>
        <v>0</v>
      </c>
      <c r="C1620">
        <f>IF(COUNTIFS('United Data'!$A$3:$A$3390,C$1,'United Data'!$C$3:$C$3390,$A1620)&gt;0,1,0)</f>
        <v>0</v>
      </c>
      <c r="D1620">
        <f>IF(COUNTIFS('United Data'!$A$3:$A$3390,D$1,'United Data'!$C$3:$C$3390,$A1620)&gt;0,1,0)</f>
        <v>0</v>
      </c>
      <c r="E1620">
        <f>IF(COUNTIFS('United Data'!$A$3:$A$3390,E$1,'United Data'!$C$3:$C$3390,$A1620)&gt;0,1,0)</f>
        <v>0</v>
      </c>
      <c r="F1620">
        <f>IF(COUNTIFS('United Data'!$A$3:$A$3390,F$1,'United Data'!$C$3:$C$3390,$A1620)&gt;0,1,0)</f>
        <v>0</v>
      </c>
      <c r="G1620">
        <f>IF(COUNTIFS('United Data'!$A$3:$A$3390,G$1,'United Data'!$C$3:$C$3390,$A1620)&gt;0,1,0)</f>
        <v>0</v>
      </c>
      <c r="H1620">
        <f>IF(COUNTIFS('United Data'!$A$3:$A$3390,H$1,'United Data'!$C$3:$C$3390,$A1620)&gt;0,1,0)</f>
        <v>0</v>
      </c>
      <c r="I1620">
        <f>IF(COUNTIFS('United Data'!$A$3:$A$3390,I$1,'United Data'!$C$3:$C$3390,$A1620)&gt;0,1,0)</f>
        <v>0</v>
      </c>
      <c r="J1620">
        <f>IF(COUNTIFS('United Data'!$A$3:$A$3390,J$1,'United Data'!$C$3:$C$3390,$A1620)&gt;0,1,0)</f>
        <v>0</v>
      </c>
      <c r="K1620">
        <f>IF(COUNTIFS('United Data'!$A$3:$A$3390,K$1,'United Data'!$C$3:$C$3390,$A1620)&gt;0,1,0)</f>
        <v>0</v>
      </c>
      <c r="L1620">
        <f>IF(COUNTIFS('United Data'!$A$3:$A$3390,L$1,'United Data'!$C$3:$C$3390,$A1620)&gt;0,1,0)</f>
        <v>0</v>
      </c>
      <c r="M1620">
        <f>IF(COUNTIFS('United Data'!$A$3:$A$3390,M$1,'United Data'!$C$3:$C$3390,$A1620)&gt;0,1,0)</f>
        <v>0</v>
      </c>
      <c r="N1620">
        <f>IF(COUNTIFS('United Data'!$A$3:$A$3390,N$1,'United Data'!$C$3:$C$3390,$A1620)&gt;0,1,0)</f>
        <v>0</v>
      </c>
      <c r="O1620">
        <f>IF(COUNTIFS('United Data'!$A$3:$A$3390,O$1,'United Data'!$C$3:$C$3390,$A1620)&gt;0,1,0)</f>
        <v>0</v>
      </c>
      <c r="P1620">
        <f>IF(COUNTIFS('United Data'!$A$3:$A$3390,P$1,'United Data'!$C$3:$C$3390,$A1620)&gt;0,1,0)</f>
        <v>1</v>
      </c>
      <c r="Q1620">
        <f>IF(COUNTIFS('United Data'!$A$3:$A$3390,Q$1,'United Data'!$C$3:$C$3390,$A1620)&gt;0,1,0)</f>
        <v>0</v>
      </c>
      <c r="R1620">
        <f>IF(COUNTIFS('United Data'!$A$3:$A$3390,R$1,'United Data'!$C$3:$C$3390,$A1620)&gt;0,1,0)</f>
        <v>0</v>
      </c>
      <c r="S1620">
        <f t="shared" si="50"/>
        <v>1</v>
      </c>
      <c r="T1620">
        <f t="shared" si="51"/>
        <v>1</v>
      </c>
    </row>
    <row r="1621" spans="1:20" x14ac:dyDescent="0.2">
      <c r="A1621" t="s">
        <v>1903</v>
      </c>
      <c r="B1621">
        <f>IF(COUNTIFS('United Data'!$A$3:$A$3390,B$1,'United Data'!$C$3:$C$3390,$A1621)&gt;0,1,0)</f>
        <v>0</v>
      </c>
      <c r="C1621">
        <f>IF(COUNTIFS('United Data'!$A$3:$A$3390,C$1,'United Data'!$C$3:$C$3390,$A1621)&gt;0,1,0)</f>
        <v>0</v>
      </c>
      <c r="D1621">
        <f>IF(COUNTIFS('United Data'!$A$3:$A$3390,D$1,'United Data'!$C$3:$C$3390,$A1621)&gt;0,1,0)</f>
        <v>0</v>
      </c>
      <c r="E1621">
        <f>IF(COUNTIFS('United Data'!$A$3:$A$3390,E$1,'United Data'!$C$3:$C$3390,$A1621)&gt;0,1,0)</f>
        <v>0</v>
      </c>
      <c r="F1621">
        <f>IF(COUNTIFS('United Data'!$A$3:$A$3390,F$1,'United Data'!$C$3:$C$3390,$A1621)&gt;0,1,0)</f>
        <v>0</v>
      </c>
      <c r="G1621">
        <f>IF(COUNTIFS('United Data'!$A$3:$A$3390,G$1,'United Data'!$C$3:$C$3390,$A1621)&gt;0,1,0)</f>
        <v>0</v>
      </c>
      <c r="H1621">
        <f>IF(COUNTIFS('United Data'!$A$3:$A$3390,H$1,'United Data'!$C$3:$C$3390,$A1621)&gt;0,1,0)</f>
        <v>0</v>
      </c>
      <c r="I1621">
        <f>IF(COUNTIFS('United Data'!$A$3:$A$3390,I$1,'United Data'!$C$3:$C$3390,$A1621)&gt;0,1,0)</f>
        <v>0</v>
      </c>
      <c r="J1621">
        <f>IF(COUNTIFS('United Data'!$A$3:$A$3390,J$1,'United Data'!$C$3:$C$3390,$A1621)&gt;0,1,0)</f>
        <v>0</v>
      </c>
      <c r="K1621">
        <f>IF(COUNTIFS('United Data'!$A$3:$A$3390,K$1,'United Data'!$C$3:$C$3390,$A1621)&gt;0,1,0)</f>
        <v>0</v>
      </c>
      <c r="L1621">
        <f>IF(COUNTIFS('United Data'!$A$3:$A$3390,L$1,'United Data'!$C$3:$C$3390,$A1621)&gt;0,1,0)</f>
        <v>0</v>
      </c>
      <c r="M1621">
        <f>IF(COUNTIFS('United Data'!$A$3:$A$3390,M$1,'United Data'!$C$3:$C$3390,$A1621)&gt;0,1,0)</f>
        <v>0</v>
      </c>
      <c r="N1621">
        <f>IF(COUNTIFS('United Data'!$A$3:$A$3390,N$1,'United Data'!$C$3:$C$3390,$A1621)&gt;0,1,0)</f>
        <v>0</v>
      </c>
      <c r="O1621">
        <f>IF(COUNTIFS('United Data'!$A$3:$A$3390,O$1,'United Data'!$C$3:$C$3390,$A1621)&gt;0,1,0)</f>
        <v>0</v>
      </c>
      <c r="P1621">
        <f>IF(COUNTIFS('United Data'!$A$3:$A$3390,P$1,'United Data'!$C$3:$C$3390,$A1621)&gt;0,1,0)</f>
        <v>1</v>
      </c>
      <c r="Q1621">
        <f>IF(COUNTIFS('United Data'!$A$3:$A$3390,Q$1,'United Data'!$C$3:$C$3390,$A1621)&gt;0,1,0)</f>
        <v>0</v>
      </c>
      <c r="R1621">
        <f>IF(COUNTIFS('United Data'!$A$3:$A$3390,R$1,'United Data'!$C$3:$C$3390,$A1621)&gt;0,1,0)</f>
        <v>0</v>
      </c>
      <c r="S1621">
        <f t="shared" si="50"/>
        <v>1</v>
      </c>
      <c r="T1621">
        <f t="shared" si="51"/>
        <v>1</v>
      </c>
    </row>
    <row r="1622" spans="1:20" x14ac:dyDescent="0.2">
      <c r="A1622" t="s">
        <v>1904</v>
      </c>
      <c r="B1622">
        <f>IF(COUNTIFS('United Data'!$A$3:$A$3390,B$1,'United Data'!$C$3:$C$3390,$A1622)&gt;0,1,0)</f>
        <v>0</v>
      </c>
      <c r="C1622">
        <f>IF(COUNTIFS('United Data'!$A$3:$A$3390,C$1,'United Data'!$C$3:$C$3390,$A1622)&gt;0,1,0)</f>
        <v>0</v>
      </c>
      <c r="D1622">
        <f>IF(COUNTIFS('United Data'!$A$3:$A$3390,D$1,'United Data'!$C$3:$C$3390,$A1622)&gt;0,1,0)</f>
        <v>0</v>
      </c>
      <c r="E1622">
        <f>IF(COUNTIFS('United Data'!$A$3:$A$3390,E$1,'United Data'!$C$3:$C$3390,$A1622)&gt;0,1,0)</f>
        <v>0</v>
      </c>
      <c r="F1622">
        <f>IF(COUNTIFS('United Data'!$A$3:$A$3390,F$1,'United Data'!$C$3:$C$3390,$A1622)&gt;0,1,0)</f>
        <v>0</v>
      </c>
      <c r="G1622">
        <f>IF(COUNTIFS('United Data'!$A$3:$A$3390,G$1,'United Data'!$C$3:$C$3390,$A1622)&gt;0,1,0)</f>
        <v>0</v>
      </c>
      <c r="H1622">
        <f>IF(COUNTIFS('United Data'!$A$3:$A$3390,H$1,'United Data'!$C$3:$C$3390,$A1622)&gt;0,1,0)</f>
        <v>0</v>
      </c>
      <c r="I1622">
        <f>IF(COUNTIFS('United Data'!$A$3:$A$3390,I$1,'United Data'!$C$3:$C$3390,$A1622)&gt;0,1,0)</f>
        <v>0</v>
      </c>
      <c r="J1622">
        <f>IF(COUNTIFS('United Data'!$A$3:$A$3390,J$1,'United Data'!$C$3:$C$3390,$A1622)&gt;0,1,0)</f>
        <v>0</v>
      </c>
      <c r="K1622">
        <f>IF(COUNTIFS('United Data'!$A$3:$A$3390,K$1,'United Data'!$C$3:$C$3390,$A1622)&gt;0,1,0)</f>
        <v>0</v>
      </c>
      <c r="L1622">
        <f>IF(COUNTIFS('United Data'!$A$3:$A$3390,L$1,'United Data'!$C$3:$C$3390,$A1622)&gt;0,1,0)</f>
        <v>0</v>
      </c>
      <c r="M1622">
        <f>IF(COUNTIFS('United Data'!$A$3:$A$3390,M$1,'United Data'!$C$3:$C$3390,$A1622)&gt;0,1,0)</f>
        <v>0</v>
      </c>
      <c r="N1622">
        <f>IF(COUNTIFS('United Data'!$A$3:$A$3390,N$1,'United Data'!$C$3:$C$3390,$A1622)&gt;0,1,0)</f>
        <v>0</v>
      </c>
      <c r="O1622">
        <f>IF(COUNTIFS('United Data'!$A$3:$A$3390,O$1,'United Data'!$C$3:$C$3390,$A1622)&gt;0,1,0)</f>
        <v>0</v>
      </c>
      <c r="P1622">
        <f>IF(COUNTIFS('United Data'!$A$3:$A$3390,P$1,'United Data'!$C$3:$C$3390,$A1622)&gt;0,1,0)</f>
        <v>1</v>
      </c>
      <c r="Q1622">
        <f>IF(COUNTIFS('United Data'!$A$3:$A$3390,Q$1,'United Data'!$C$3:$C$3390,$A1622)&gt;0,1,0)</f>
        <v>0</v>
      </c>
      <c r="R1622">
        <f>IF(COUNTIFS('United Data'!$A$3:$A$3390,R$1,'United Data'!$C$3:$C$3390,$A1622)&gt;0,1,0)</f>
        <v>0</v>
      </c>
      <c r="S1622">
        <f t="shared" si="50"/>
        <v>1</v>
      </c>
      <c r="T1622">
        <f t="shared" si="51"/>
        <v>1</v>
      </c>
    </row>
    <row r="1623" spans="1:20" x14ac:dyDescent="0.2">
      <c r="A1623" t="s">
        <v>1905</v>
      </c>
      <c r="B1623">
        <f>IF(COUNTIFS('United Data'!$A$3:$A$3390,B$1,'United Data'!$C$3:$C$3390,$A1623)&gt;0,1,0)</f>
        <v>1</v>
      </c>
      <c r="C1623">
        <f>IF(COUNTIFS('United Data'!$A$3:$A$3390,C$1,'United Data'!$C$3:$C$3390,$A1623)&gt;0,1,0)</f>
        <v>0</v>
      </c>
      <c r="D1623">
        <f>IF(COUNTIFS('United Data'!$A$3:$A$3390,D$1,'United Data'!$C$3:$C$3390,$A1623)&gt;0,1,0)</f>
        <v>0</v>
      </c>
      <c r="E1623">
        <f>IF(COUNTIFS('United Data'!$A$3:$A$3390,E$1,'United Data'!$C$3:$C$3390,$A1623)&gt;0,1,0)</f>
        <v>0</v>
      </c>
      <c r="F1623">
        <f>IF(COUNTIFS('United Data'!$A$3:$A$3390,F$1,'United Data'!$C$3:$C$3390,$A1623)&gt;0,1,0)</f>
        <v>0</v>
      </c>
      <c r="G1623">
        <f>IF(COUNTIFS('United Data'!$A$3:$A$3390,G$1,'United Data'!$C$3:$C$3390,$A1623)&gt;0,1,0)</f>
        <v>0</v>
      </c>
      <c r="H1623">
        <f>IF(COUNTIFS('United Data'!$A$3:$A$3390,H$1,'United Data'!$C$3:$C$3390,$A1623)&gt;0,1,0)</f>
        <v>0</v>
      </c>
      <c r="I1623">
        <f>IF(COUNTIFS('United Data'!$A$3:$A$3390,I$1,'United Data'!$C$3:$C$3390,$A1623)&gt;0,1,0)</f>
        <v>0</v>
      </c>
      <c r="J1623">
        <f>IF(COUNTIFS('United Data'!$A$3:$A$3390,J$1,'United Data'!$C$3:$C$3390,$A1623)&gt;0,1,0)</f>
        <v>0</v>
      </c>
      <c r="K1623">
        <f>IF(COUNTIFS('United Data'!$A$3:$A$3390,K$1,'United Data'!$C$3:$C$3390,$A1623)&gt;0,1,0)</f>
        <v>0</v>
      </c>
      <c r="L1623">
        <f>IF(COUNTIFS('United Data'!$A$3:$A$3390,L$1,'United Data'!$C$3:$C$3390,$A1623)&gt;0,1,0)</f>
        <v>0</v>
      </c>
      <c r="M1623">
        <f>IF(COUNTIFS('United Data'!$A$3:$A$3390,M$1,'United Data'!$C$3:$C$3390,$A1623)&gt;0,1,0)</f>
        <v>0</v>
      </c>
      <c r="N1623">
        <f>IF(COUNTIFS('United Data'!$A$3:$A$3390,N$1,'United Data'!$C$3:$C$3390,$A1623)&gt;0,1,0)</f>
        <v>0</v>
      </c>
      <c r="O1623">
        <f>IF(COUNTIFS('United Data'!$A$3:$A$3390,O$1,'United Data'!$C$3:$C$3390,$A1623)&gt;0,1,0)</f>
        <v>1</v>
      </c>
      <c r="P1623">
        <f>IF(COUNTIFS('United Data'!$A$3:$A$3390,P$1,'United Data'!$C$3:$C$3390,$A1623)&gt;0,1,0)</f>
        <v>1</v>
      </c>
      <c r="Q1623">
        <f>IF(COUNTIFS('United Data'!$A$3:$A$3390,Q$1,'United Data'!$C$3:$C$3390,$A1623)&gt;0,1,0)</f>
        <v>1</v>
      </c>
      <c r="R1623">
        <f>IF(COUNTIFS('United Data'!$A$3:$A$3390,R$1,'United Data'!$C$3:$C$3390,$A1623)&gt;0,1,0)</f>
        <v>0</v>
      </c>
      <c r="S1623">
        <f t="shared" si="50"/>
        <v>4</v>
      </c>
      <c r="T1623">
        <f t="shared" si="51"/>
        <v>2</v>
      </c>
    </row>
    <row r="1624" spans="1:20" x14ac:dyDescent="0.2">
      <c r="A1624" t="s">
        <v>1907</v>
      </c>
      <c r="B1624">
        <f>IF(COUNTIFS('United Data'!$A$3:$A$3390,B$1,'United Data'!$C$3:$C$3390,$A1624)&gt;0,1,0)</f>
        <v>0</v>
      </c>
      <c r="C1624">
        <f>IF(COUNTIFS('United Data'!$A$3:$A$3390,C$1,'United Data'!$C$3:$C$3390,$A1624)&gt;0,1,0)</f>
        <v>0</v>
      </c>
      <c r="D1624">
        <f>IF(COUNTIFS('United Data'!$A$3:$A$3390,D$1,'United Data'!$C$3:$C$3390,$A1624)&gt;0,1,0)</f>
        <v>1</v>
      </c>
      <c r="E1624">
        <f>IF(COUNTIFS('United Data'!$A$3:$A$3390,E$1,'United Data'!$C$3:$C$3390,$A1624)&gt;0,1,0)</f>
        <v>0</v>
      </c>
      <c r="F1624">
        <f>IF(COUNTIFS('United Data'!$A$3:$A$3390,F$1,'United Data'!$C$3:$C$3390,$A1624)&gt;0,1,0)</f>
        <v>0</v>
      </c>
      <c r="G1624">
        <f>IF(COUNTIFS('United Data'!$A$3:$A$3390,G$1,'United Data'!$C$3:$C$3390,$A1624)&gt;0,1,0)</f>
        <v>0</v>
      </c>
      <c r="H1624">
        <f>IF(COUNTIFS('United Data'!$A$3:$A$3390,H$1,'United Data'!$C$3:$C$3390,$A1624)&gt;0,1,0)</f>
        <v>0</v>
      </c>
      <c r="I1624">
        <f>IF(COUNTIFS('United Data'!$A$3:$A$3390,I$1,'United Data'!$C$3:$C$3390,$A1624)&gt;0,1,0)</f>
        <v>0</v>
      </c>
      <c r="J1624">
        <f>IF(COUNTIFS('United Data'!$A$3:$A$3390,J$1,'United Data'!$C$3:$C$3390,$A1624)&gt;0,1,0)</f>
        <v>0</v>
      </c>
      <c r="K1624">
        <f>IF(COUNTIFS('United Data'!$A$3:$A$3390,K$1,'United Data'!$C$3:$C$3390,$A1624)&gt;0,1,0)</f>
        <v>0</v>
      </c>
      <c r="L1624">
        <f>IF(COUNTIFS('United Data'!$A$3:$A$3390,L$1,'United Data'!$C$3:$C$3390,$A1624)&gt;0,1,0)</f>
        <v>0</v>
      </c>
      <c r="M1624">
        <f>IF(COUNTIFS('United Data'!$A$3:$A$3390,M$1,'United Data'!$C$3:$C$3390,$A1624)&gt;0,1,0)</f>
        <v>0</v>
      </c>
      <c r="N1624">
        <f>IF(COUNTIFS('United Data'!$A$3:$A$3390,N$1,'United Data'!$C$3:$C$3390,$A1624)&gt;0,1,0)</f>
        <v>0</v>
      </c>
      <c r="O1624">
        <f>IF(COUNTIFS('United Data'!$A$3:$A$3390,O$1,'United Data'!$C$3:$C$3390,$A1624)&gt;0,1,0)</f>
        <v>0</v>
      </c>
      <c r="P1624">
        <f>IF(COUNTIFS('United Data'!$A$3:$A$3390,P$1,'United Data'!$C$3:$C$3390,$A1624)&gt;0,1,0)</f>
        <v>0</v>
      </c>
      <c r="Q1624">
        <f>IF(COUNTIFS('United Data'!$A$3:$A$3390,Q$1,'United Data'!$C$3:$C$3390,$A1624)&gt;0,1,0)</f>
        <v>0</v>
      </c>
      <c r="R1624">
        <f>IF(COUNTIFS('United Data'!$A$3:$A$3390,R$1,'United Data'!$C$3:$C$3390,$A1624)&gt;0,1,0)</f>
        <v>0</v>
      </c>
      <c r="S1624">
        <f t="shared" si="50"/>
        <v>1</v>
      </c>
      <c r="T1624">
        <f t="shared" si="51"/>
        <v>1</v>
      </c>
    </row>
    <row r="1625" spans="1:20" x14ac:dyDescent="0.2">
      <c r="A1625" t="s">
        <v>1908</v>
      </c>
      <c r="B1625">
        <f>IF(COUNTIFS('United Data'!$A$3:$A$3390,B$1,'United Data'!$C$3:$C$3390,$A1625)&gt;0,1,0)</f>
        <v>0</v>
      </c>
      <c r="C1625">
        <f>IF(COUNTIFS('United Data'!$A$3:$A$3390,C$1,'United Data'!$C$3:$C$3390,$A1625)&gt;0,1,0)</f>
        <v>0</v>
      </c>
      <c r="D1625">
        <f>IF(COUNTIFS('United Data'!$A$3:$A$3390,D$1,'United Data'!$C$3:$C$3390,$A1625)&gt;0,1,0)</f>
        <v>1</v>
      </c>
      <c r="E1625">
        <f>IF(COUNTIFS('United Data'!$A$3:$A$3390,E$1,'United Data'!$C$3:$C$3390,$A1625)&gt;0,1,0)</f>
        <v>1</v>
      </c>
      <c r="F1625">
        <f>IF(COUNTIFS('United Data'!$A$3:$A$3390,F$1,'United Data'!$C$3:$C$3390,$A1625)&gt;0,1,0)</f>
        <v>0</v>
      </c>
      <c r="G1625">
        <f>IF(COUNTIFS('United Data'!$A$3:$A$3390,G$1,'United Data'!$C$3:$C$3390,$A1625)&gt;0,1,0)</f>
        <v>1</v>
      </c>
      <c r="H1625">
        <f>IF(COUNTIFS('United Data'!$A$3:$A$3390,H$1,'United Data'!$C$3:$C$3390,$A1625)&gt;0,1,0)</f>
        <v>0</v>
      </c>
      <c r="I1625">
        <f>IF(COUNTIFS('United Data'!$A$3:$A$3390,I$1,'United Data'!$C$3:$C$3390,$A1625)&gt;0,1,0)</f>
        <v>0</v>
      </c>
      <c r="J1625">
        <f>IF(COUNTIFS('United Data'!$A$3:$A$3390,J$1,'United Data'!$C$3:$C$3390,$A1625)&gt;0,1,0)</f>
        <v>0</v>
      </c>
      <c r="K1625">
        <f>IF(COUNTIFS('United Data'!$A$3:$A$3390,K$1,'United Data'!$C$3:$C$3390,$A1625)&gt;0,1,0)</f>
        <v>0</v>
      </c>
      <c r="L1625">
        <f>IF(COUNTIFS('United Data'!$A$3:$A$3390,L$1,'United Data'!$C$3:$C$3390,$A1625)&gt;0,1,0)</f>
        <v>0</v>
      </c>
      <c r="M1625">
        <f>IF(COUNTIFS('United Data'!$A$3:$A$3390,M$1,'United Data'!$C$3:$C$3390,$A1625)&gt;0,1,0)</f>
        <v>0</v>
      </c>
      <c r="N1625">
        <f>IF(COUNTIFS('United Data'!$A$3:$A$3390,N$1,'United Data'!$C$3:$C$3390,$A1625)&gt;0,1,0)</f>
        <v>0</v>
      </c>
      <c r="O1625">
        <f>IF(COUNTIFS('United Data'!$A$3:$A$3390,O$1,'United Data'!$C$3:$C$3390,$A1625)&gt;0,1,0)</f>
        <v>1</v>
      </c>
      <c r="P1625">
        <f>IF(COUNTIFS('United Data'!$A$3:$A$3390,P$1,'United Data'!$C$3:$C$3390,$A1625)&gt;0,1,0)</f>
        <v>0</v>
      </c>
      <c r="Q1625">
        <f>IF(COUNTIFS('United Data'!$A$3:$A$3390,Q$1,'United Data'!$C$3:$C$3390,$A1625)&gt;0,1,0)</f>
        <v>0</v>
      </c>
      <c r="R1625">
        <f>IF(COUNTIFS('United Data'!$A$3:$A$3390,R$1,'United Data'!$C$3:$C$3390,$A1625)&gt;0,1,0)</f>
        <v>1</v>
      </c>
      <c r="S1625">
        <f t="shared" si="50"/>
        <v>5</v>
      </c>
      <c r="T1625">
        <f t="shared" si="51"/>
        <v>4</v>
      </c>
    </row>
    <row r="1626" spans="1:20" x14ac:dyDescent="0.2">
      <c r="A1626" t="s">
        <v>1909</v>
      </c>
      <c r="B1626">
        <f>IF(COUNTIFS('United Data'!$A$3:$A$3390,B$1,'United Data'!$C$3:$C$3390,$A1626)&gt;0,1,0)</f>
        <v>0</v>
      </c>
      <c r="C1626">
        <f>IF(COUNTIFS('United Data'!$A$3:$A$3390,C$1,'United Data'!$C$3:$C$3390,$A1626)&gt;0,1,0)</f>
        <v>0</v>
      </c>
      <c r="D1626">
        <f>IF(COUNTIFS('United Data'!$A$3:$A$3390,D$1,'United Data'!$C$3:$C$3390,$A1626)&gt;0,1,0)</f>
        <v>1</v>
      </c>
      <c r="E1626">
        <f>IF(COUNTIFS('United Data'!$A$3:$A$3390,E$1,'United Data'!$C$3:$C$3390,$A1626)&gt;0,1,0)</f>
        <v>0</v>
      </c>
      <c r="F1626">
        <f>IF(COUNTIFS('United Data'!$A$3:$A$3390,F$1,'United Data'!$C$3:$C$3390,$A1626)&gt;0,1,0)</f>
        <v>0</v>
      </c>
      <c r="G1626">
        <f>IF(COUNTIFS('United Data'!$A$3:$A$3390,G$1,'United Data'!$C$3:$C$3390,$A1626)&gt;0,1,0)</f>
        <v>0</v>
      </c>
      <c r="H1626">
        <f>IF(COUNTIFS('United Data'!$A$3:$A$3390,H$1,'United Data'!$C$3:$C$3390,$A1626)&gt;0,1,0)</f>
        <v>0</v>
      </c>
      <c r="I1626">
        <f>IF(COUNTIFS('United Data'!$A$3:$A$3390,I$1,'United Data'!$C$3:$C$3390,$A1626)&gt;0,1,0)</f>
        <v>0</v>
      </c>
      <c r="J1626">
        <f>IF(COUNTIFS('United Data'!$A$3:$A$3390,J$1,'United Data'!$C$3:$C$3390,$A1626)&gt;0,1,0)</f>
        <v>0</v>
      </c>
      <c r="K1626">
        <f>IF(COUNTIFS('United Data'!$A$3:$A$3390,K$1,'United Data'!$C$3:$C$3390,$A1626)&gt;0,1,0)</f>
        <v>0</v>
      </c>
      <c r="L1626">
        <f>IF(COUNTIFS('United Data'!$A$3:$A$3390,L$1,'United Data'!$C$3:$C$3390,$A1626)&gt;0,1,0)</f>
        <v>0</v>
      </c>
      <c r="M1626">
        <f>IF(COUNTIFS('United Data'!$A$3:$A$3390,M$1,'United Data'!$C$3:$C$3390,$A1626)&gt;0,1,0)</f>
        <v>0</v>
      </c>
      <c r="N1626">
        <f>IF(COUNTIFS('United Data'!$A$3:$A$3390,N$1,'United Data'!$C$3:$C$3390,$A1626)&gt;0,1,0)</f>
        <v>0</v>
      </c>
      <c r="O1626">
        <f>IF(COUNTIFS('United Data'!$A$3:$A$3390,O$1,'United Data'!$C$3:$C$3390,$A1626)&gt;0,1,0)</f>
        <v>0</v>
      </c>
      <c r="P1626">
        <f>IF(COUNTIFS('United Data'!$A$3:$A$3390,P$1,'United Data'!$C$3:$C$3390,$A1626)&gt;0,1,0)</f>
        <v>0</v>
      </c>
      <c r="Q1626">
        <f>IF(COUNTIFS('United Data'!$A$3:$A$3390,Q$1,'United Data'!$C$3:$C$3390,$A1626)&gt;0,1,0)</f>
        <v>0</v>
      </c>
      <c r="R1626">
        <f>IF(COUNTIFS('United Data'!$A$3:$A$3390,R$1,'United Data'!$C$3:$C$3390,$A1626)&gt;0,1,0)</f>
        <v>0</v>
      </c>
      <c r="S1626">
        <f t="shared" si="50"/>
        <v>1</v>
      </c>
      <c r="T1626">
        <f t="shared" si="51"/>
        <v>1</v>
      </c>
    </row>
    <row r="1627" spans="1:20" x14ac:dyDescent="0.2">
      <c r="A1627" t="s">
        <v>1910</v>
      </c>
      <c r="B1627">
        <f>IF(COUNTIFS('United Data'!$A$3:$A$3390,B$1,'United Data'!$C$3:$C$3390,$A1627)&gt;0,1,0)</f>
        <v>0</v>
      </c>
      <c r="C1627">
        <f>IF(COUNTIFS('United Data'!$A$3:$A$3390,C$1,'United Data'!$C$3:$C$3390,$A1627)&gt;0,1,0)</f>
        <v>0</v>
      </c>
      <c r="D1627">
        <f>IF(COUNTIFS('United Data'!$A$3:$A$3390,D$1,'United Data'!$C$3:$C$3390,$A1627)&gt;0,1,0)</f>
        <v>0</v>
      </c>
      <c r="E1627">
        <f>IF(COUNTIFS('United Data'!$A$3:$A$3390,E$1,'United Data'!$C$3:$C$3390,$A1627)&gt;0,1,0)</f>
        <v>1</v>
      </c>
      <c r="F1627">
        <f>IF(COUNTIFS('United Data'!$A$3:$A$3390,F$1,'United Data'!$C$3:$C$3390,$A1627)&gt;0,1,0)</f>
        <v>0</v>
      </c>
      <c r="G1627">
        <f>IF(COUNTIFS('United Data'!$A$3:$A$3390,G$1,'United Data'!$C$3:$C$3390,$A1627)&gt;0,1,0)</f>
        <v>0</v>
      </c>
      <c r="H1627">
        <f>IF(COUNTIFS('United Data'!$A$3:$A$3390,H$1,'United Data'!$C$3:$C$3390,$A1627)&gt;0,1,0)</f>
        <v>0</v>
      </c>
      <c r="I1627">
        <f>IF(COUNTIFS('United Data'!$A$3:$A$3390,I$1,'United Data'!$C$3:$C$3390,$A1627)&gt;0,1,0)</f>
        <v>0</v>
      </c>
      <c r="J1627">
        <f>IF(COUNTIFS('United Data'!$A$3:$A$3390,J$1,'United Data'!$C$3:$C$3390,$A1627)&gt;0,1,0)</f>
        <v>0</v>
      </c>
      <c r="K1627">
        <f>IF(COUNTIFS('United Data'!$A$3:$A$3390,K$1,'United Data'!$C$3:$C$3390,$A1627)&gt;0,1,0)</f>
        <v>0</v>
      </c>
      <c r="L1627">
        <f>IF(COUNTIFS('United Data'!$A$3:$A$3390,L$1,'United Data'!$C$3:$C$3390,$A1627)&gt;0,1,0)</f>
        <v>0</v>
      </c>
      <c r="M1627">
        <f>IF(COUNTIFS('United Data'!$A$3:$A$3390,M$1,'United Data'!$C$3:$C$3390,$A1627)&gt;0,1,0)</f>
        <v>0</v>
      </c>
      <c r="N1627">
        <f>IF(COUNTIFS('United Data'!$A$3:$A$3390,N$1,'United Data'!$C$3:$C$3390,$A1627)&gt;0,1,0)</f>
        <v>0</v>
      </c>
      <c r="O1627">
        <f>IF(COUNTIFS('United Data'!$A$3:$A$3390,O$1,'United Data'!$C$3:$C$3390,$A1627)&gt;0,1,0)</f>
        <v>0</v>
      </c>
      <c r="P1627">
        <f>IF(COUNTIFS('United Data'!$A$3:$A$3390,P$1,'United Data'!$C$3:$C$3390,$A1627)&gt;0,1,0)</f>
        <v>0</v>
      </c>
      <c r="Q1627">
        <f>IF(COUNTIFS('United Data'!$A$3:$A$3390,Q$1,'United Data'!$C$3:$C$3390,$A1627)&gt;0,1,0)</f>
        <v>0</v>
      </c>
      <c r="R1627">
        <f>IF(COUNTIFS('United Data'!$A$3:$A$3390,R$1,'United Data'!$C$3:$C$3390,$A1627)&gt;0,1,0)</f>
        <v>0</v>
      </c>
      <c r="S1627">
        <f t="shared" si="50"/>
        <v>1</v>
      </c>
      <c r="T1627">
        <f t="shared" si="51"/>
        <v>1</v>
      </c>
    </row>
    <row r="1628" spans="1:20" x14ac:dyDescent="0.2">
      <c r="A1628" t="s">
        <v>1912</v>
      </c>
      <c r="B1628">
        <f>IF(COUNTIFS('United Data'!$A$3:$A$3390,B$1,'United Data'!$C$3:$C$3390,$A1628)&gt;0,1,0)</f>
        <v>0</v>
      </c>
      <c r="C1628">
        <f>IF(COUNTIFS('United Data'!$A$3:$A$3390,C$1,'United Data'!$C$3:$C$3390,$A1628)&gt;0,1,0)</f>
        <v>0</v>
      </c>
      <c r="D1628">
        <f>IF(COUNTIFS('United Data'!$A$3:$A$3390,D$1,'United Data'!$C$3:$C$3390,$A1628)&gt;0,1,0)</f>
        <v>0</v>
      </c>
      <c r="E1628">
        <f>IF(COUNTIFS('United Data'!$A$3:$A$3390,E$1,'United Data'!$C$3:$C$3390,$A1628)&gt;0,1,0)</f>
        <v>0</v>
      </c>
      <c r="F1628">
        <f>IF(COUNTIFS('United Data'!$A$3:$A$3390,F$1,'United Data'!$C$3:$C$3390,$A1628)&gt;0,1,0)</f>
        <v>1</v>
      </c>
      <c r="G1628">
        <f>IF(COUNTIFS('United Data'!$A$3:$A$3390,G$1,'United Data'!$C$3:$C$3390,$A1628)&gt;0,1,0)</f>
        <v>0</v>
      </c>
      <c r="H1628">
        <f>IF(COUNTIFS('United Data'!$A$3:$A$3390,H$1,'United Data'!$C$3:$C$3390,$A1628)&gt;0,1,0)</f>
        <v>0</v>
      </c>
      <c r="I1628">
        <f>IF(COUNTIFS('United Data'!$A$3:$A$3390,I$1,'United Data'!$C$3:$C$3390,$A1628)&gt;0,1,0)</f>
        <v>0</v>
      </c>
      <c r="J1628">
        <f>IF(COUNTIFS('United Data'!$A$3:$A$3390,J$1,'United Data'!$C$3:$C$3390,$A1628)&gt;0,1,0)</f>
        <v>0</v>
      </c>
      <c r="K1628">
        <f>IF(COUNTIFS('United Data'!$A$3:$A$3390,K$1,'United Data'!$C$3:$C$3390,$A1628)&gt;0,1,0)</f>
        <v>0</v>
      </c>
      <c r="L1628">
        <f>IF(COUNTIFS('United Data'!$A$3:$A$3390,L$1,'United Data'!$C$3:$C$3390,$A1628)&gt;0,1,0)</f>
        <v>0</v>
      </c>
      <c r="M1628">
        <f>IF(COUNTIFS('United Data'!$A$3:$A$3390,M$1,'United Data'!$C$3:$C$3390,$A1628)&gt;0,1,0)</f>
        <v>0</v>
      </c>
      <c r="N1628">
        <f>IF(COUNTIFS('United Data'!$A$3:$A$3390,N$1,'United Data'!$C$3:$C$3390,$A1628)&gt;0,1,0)</f>
        <v>1</v>
      </c>
      <c r="O1628">
        <f>IF(COUNTIFS('United Data'!$A$3:$A$3390,O$1,'United Data'!$C$3:$C$3390,$A1628)&gt;0,1,0)</f>
        <v>0</v>
      </c>
      <c r="P1628">
        <f>IF(COUNTIFS('United Data'!$A$3:$A$3390,P$1,'United Data'!$C$3:$C$3390,$A1628)&gt;0,1,0)</f>
        <v>0</v>
      </c>
      <c r="Q1628">
        <f>IF(COUNTIFS('United Data'!$A$3:$A$3390,Q$1,'United Data'!$C$3:$C$3390,$A1628)&gt;0,1,0)</f>
        <v>1</v>
      </c>
      <c r="R1628">
        <f>IF(COUNTIFS('United Data'!$A$3:$A$3390,R$1,'United Data'!$C$3:$C$3390,$A1628)&gt;0,1,0)</f>
        <v>0</v>
      </c>
      <c r="S1628">
        <f t="shared" si="50"/>
        <v>3</v>
      </c>
      <c r="T1628">
        <f t="shared" si="51"/>
        <v>3</v>
      </c>
    </row>
    <row r="1629" spans="1:20" x14ac:dyDescent="0.2">
      <c r="A1629" t="s">
        <v>1913</v>
      </c>
      <c r="B1629">
        <f>IF(COUNTIFS('United Data'!$A$3:$A$3390,B$1,'United Data'!$C$3:$C$3390,$A1629)&gt;0,1,0)</f>
        <v>0</v>
      </c>
      <c r="C1629">
        <f>IF(COUNTIFS('United Data'!$A$3:$A$3390,C$1,'United Data'!$C$3:$C$3390,$A1629)&gt;0,1,0)</f>
        <v>0</v>
      </c>
      <c r="D1629">
        <f>IF(COUNTIFS('United Data'!$A$3:$A$3390,D$1,'United Data'!$C$3:$C$3390,$A1629)&gt;0,1,0)</f>
        <v>0</v>
      </c>
      <c r="E1629">
        <f>IF(COUNTIFS('United Data'!$A$3:$A$3390,E$1,'United Data'!$C$3:$C$3390,$A1629)&gt;0,1,0)</f>
        <v>0</v>
      </c>
      <c r="F1629">
        <f>IF(COUNTIFS('United Data'!$A$3:$A$3390,F$1,'United Data'!$C$3:$C$3390,$A1629)&gt;0,1,0)</f>
        <v>1</v>
      </c>
      <c r="G1629">
        <f>IF(COUNTIFS('United Data'!$A$3:$A$3390,G$1,'United Data'!$C$3:$C$3390,$A1629)&gt;0,1,0)</f>
        <v>0</v>
      </c>
      <c r="H1629">
        <f>IF(COUNTIFS('United Data'!$A$3:$A$3390,H$1,'United Data'!$C$3:$C$3390,$A1629)&gt;0,1,0)</f>
        <v>0</v>
      </c>
      <c r="I1629">
        <f>IF(COUNTIFS('United Data'!$A$3:$A$3390,I$1,'United Data'!$C$3:$C$3390,$A1629)&gt;0,1,0)</f>
        <v>0</v>
      </c>
      <c r="J1629">
        <f>IF(COUNTIFS('United Data'!$A$3:$A$3390,J$1,'United Data'!$C$3:$C$3390,$A1629)&gt;0,1,0)</f>
        <v>0</v>
      </c>
      <c r="K1629">
        <f>IF(COUNTIFS('United Data'!$A$3:$A$3390,K$1,'United Data'!$C$3:$C$3390,$A1629)&gt;0,1,0)</f>
        <v>0</v>
      </c>
      <c r="L1629">
        <f>IF(COUNTIFS('United Data'!$A$3:$A$3390,L$1,'United Data'!$C$3:$C$3390,$A1629)&gt;0,1,0)</f>
        <v>0</v>
      </c>
      <c r="M1629">
        <f>IF(COUNTIFS('United Data'!$A$3:$A$3390,M$1,'United Data'!$C$3:$C$3390,$A1629)&gt;0,1,0)</f>
        <v>0</v>
      </c>
      <c r="N1629">
        <f>IF(COUNTIFS('United Data'!$A$3:$A$3390,N$1,'United Data'!$C$3:$C$3390,$A1629)&gt;0,1,0)</f>
        <v>1</v>
      </c>
      <c r="O1629">
        <f>IF(COUNTIFS('United Data'!$A$3:$A$3390,O$1,'United Data'!$C$3:$C$3390,$A1629)&gt;0,1,0)</f>
        <v>0</v>
      </c>
      <c r="P1629">
        <f>IF(COUNTIFS('United Data'!$A$3:$A$3390,P$1,'United Data'!$C$3:$C$3390,$A1629)&gt;0,1,0)</f>
        <v>0</v>
      </c>
      <c r="Q1629">
        <f>IF(COUNTIFS('United Data'!$A$3:$A$3390,Q$1,'United Data'!$C$3:$C$3390,$A1629)&gt;0,1,0)</f>
        <v>1</v>
      </c>
      <c r="R1629">
        <f>IF(COUNTIFS('United Data'!$A$3:$A$3390,R$1,'United Data'!$C$3:$C$3390,$A1629)&gt;0,1,0)</f>
        <v>0</v>
      </c>
      <c r="S1629">
        <f t="shared" si="50"/>
        <v>3</v>
      </c>
      <c r="T1629">
        <f t="shared" si="51"/>
        <v>3</v>
      </c>
    </row>
    <row r="1630" spans="1:20" x14ac:dyDescent="0.2">
      <c r="A1630" t="s">
        <v>1914</v>
      </c>
      <c r="B1630">
        <f>IF(COUNTIFS('United Data'!$A$3:$A$3390,B$1,'United Data'!$C$3:$C$3390,$A1630)&gt;0,1,0)</f>
        <v>0</v>
      </c>
      <c r="C1630">
        <f>IF(COUNTIFS('United Data'!$A$3:$A$3390,C$1,'United Data'!$C$3:$C$3390,$A1630)&gt;0,1,0)</f>
        <v>0</v>
      </c>
      <c r="D1630">
        <f>IF(COUNTIFS('United Data'!$A$3:$A$3390,D$1,'United Data'!$C$3:$C$3390,$A1630)&gt;0,1,0)</f>
        <v>0</v>
      </c>
      <c r="E1630">
        <f>IF(COUNTIFS('United Data'!$A$3:$A$3390,E$1,'United Data'!$C$3:$C$3390,$A1630)&gt;0,1,0)</f>
        <v>0</v>
      </c>
      <c r="F1630">
        <f>IF(COUNTIFS('United Data'!$A$3:$A$3390,F$1,'United Data'!$C$3:$C$3390,$A1630)&gt;0,1,0)</f>
        <v>0</v>
      </c>
      <c r="G1630">
        <f>IF(COUNTIFS('United Data'!$A$3:$A$3390,G$1,'United Data'!$C$3:$C$3390,$A1630)&gt;0,1,0)</f>
        <v>1</v>
      </c>
      <c r="H1630">
        <f>IF(COUNTIFS('United Data'!$A$3:$A$3390,H$1,'United Data'!$C$3:$C$3390,$A1630)&gt;0,1,0)</f>
        <v>0</v>
      </c>
      <c r="I1630">
        <f>IF(COUNTIFS('United Data'!$A$3:$A$3390,I$1,'United Data'!$C$3:$C$3390,$A1630)&gt;0,1,0)</f>
        <v>0</v>
      </c>
      <c r="J1630">
        <f>IF(COUNTIFS('United Data'!$A$3:$A$3390,J$1,'United Data'!$C$3:$C$3390,$A1630)&gt;0,1,0)</f>
        <v>0</v>
      </c>
      <c r="K1630">
        <f>IF(COUNTIFS('United Data'!$A$3:$A$3390,K$1,'United Data'!$C$3:$C$3390,$A1630)&gt;0,1,0)</f>
        <v>0</v>
      </c>
      <c r="L1630">
        <f>IF(COUNTIFS('United Data'!$A$3:$A$3390,L$1,'United Data'!$C$3:$C$3390,$A1630)&gt;0,1,0)</f>
        <v>0</v>
      </c>
      <c r="M1630">
        <f>IF(COUNTIFS('United Data'!$A$3:$A$3390,M$1,'United Data'!$C$3:$C$3390,$A1630)&gt;0,1,0)</f>
        <v>0</v>
      </c>
      <c r="N1630">
        <f>IF(COUNTIFS('United Data'!$A$3:$A$3390,N$1,'United Data'!$C$3:$C$3390,$A1630)&gt;0,1,0)</f>
        <v>0</v>
      </c>
      <c r="O1630">
        <f>IF(COUNTIFS('United Data'!$A$3:$A$3390,O$1,'United Data'!$C$3:$C$3390,$A1630)&gt;0,1,0)</f>
        <v>0</v>
      </c>
      <c r="P1630">
        <f>IF(COUNTIFS('United Data'!$A$3:$A$3390,P$1,'United Data'!$C$3:$C$3390,$A1630)&gt;0,1,0)</f>
        <v>0</v>
      </c>
      <c r="Q1630">
        <f>IF(COUNTIFS('United Data'!$A$3:$A$3390,Q$1,'United Data'!$C$3:$C$3390,$A1630)&gt;0,1,0)</f>
        <v>0</v>
      </c>
      <c r="R1630">
        <f>IF(COUNTIFS('United Data'!$A$3:$A$3390,R$1,'United Data'!$C$3:$C$3390,$A1630)&gt;0,1,0)</f>
        <v>1</v>
      </c>
      <c r="S1630">
        <f t="shared" si="50"/>
        <v>2</v>
      </c>
      <c r="T1630">
        <f t="shared" si="51"/>
        <v>2</v>
      </c>
    </row>
    <row r="1631" spans="1:20" x14ac:dyDescent="0.2">
      <c r="A1631" t="s">
        <v>1915</v>
      </c>
      <c r="B1631">
        <f>IF(COUNTIFS('United Data'!$A$3:$A$3390,B$1,'United Data'!$C$3:$C$3390,$A1631)&gt;0,1,0)</f>
        <v>0</v>
      </c>
      <c r="C1631">
        <f>IF(COUNTIFS('United Data'!$A$3:$A$3390,C$1,'United Data'!$C$3:$C$3390,$A1631)&gt;0,1,0)</f>
        <v>0</v>
      </c>
      <c r="D1631">
        <f>IF(COUNTIFS('United Data'!$A$3:$A$3390,D$1,'United Data'!$C$3:$C$3390,$A1631)&gt;0,1,0)</f>
        <v>0</v>
      </c>
      <c r="E1631">
        <f>IF(COUNTIFS('United Data'!$A$3:$A$3390,E$1,'United Data'!$C$3:$C$3390,$A1631)&gt;0,1,0)</f>
        <v>0</v>
      </c>
      <c r="F1631">
        <f>IF(COUNTIFS('United Data'!$A$3:$A$3390,F$1,'United Data'!$C$3:$C$3390,$A1631)&gt;0,1,0)</f>
        <v>0</v>
      </c>
      <c r="G1631">
        <f>IF(COUNTIFS('United Data'!$A$3:$A$3390,G$1,'United Data'!$C$3:$C$3390,$A1631)&gt;0,1,0)</f>
        <v>0</v>
      </c>
      <c r="H1631">
        <f>IF(COUNTIFS('United Data'!$A$3:$A$3390,H$1,'United Data'!$C$3:$C$3390,$A1631)&gt;0,1,0)</f>
        <v>0</v>
      </c>
      <c r="I1631">
        <f>IF(COUNTIFS('United Data'!$A$3:$A$3390,I$1,'United Data'!$C$3:$C$3390,$A1631)&gt;0,1,0)</f>
        <v>0</v>
      </c>
      <c r="J1631">
        <f>IF(COUNTIFS('United Data'!$A$3:$A$3390,J$1,'United Data'!$C$3:$C$3390,$A1631)&gt;0,1,0)</f>
        <v>0</v>
      </c>
      <c r="K1631">
        <f>IF(COUNTIFS('United Data'!$A$3:$A$3390,K$1,'United Data'!$C$3:$C$3390,$A1631)&gt;0,1,0)</f>
        <v>1</v>
      </c>
      <c r="L1631">
        <f>IF(COUNTIFS('United Data'!$A$3:$A$3390,L$1,'United Data'!$C$3:$C$3390,$A1631)&gt;0,1,0)</f>
        <v>0</v>
      </c>
      <c r="M1631">
        <f>IF(COUNTIFS('United Data'!$A$3:$A$3390,M$1,'United Data'!$C$3:$C$3390,$A1631)&gt;0,1,0)</f>
        <v>0</v>
      </c>
      <c r="N1631">
        <f>IF(COUNTIFS('United Data'!$A$3:$A$3390,N$1,'United Data'!$C$3:$C$3390,$A1631)&gt;0,1,0)</f>
        <v>0</v>
      </c>
      <c r="O1631">
        <f>IF(COUNTIFS('United Data'!$A$3:$A$3390,O$1,'United Data'!$C$3:$C$3390,$A1631)&gt;0,1,0)</f>
        <v>0</v>
      </c>
      <c r="P1631">
        <f>IF(COUNTIFS('United Data'!$A$3:$A$3390,P$1,'United Data'!$C$3:$C$3390,$A1631)&gt;0,1,0)</f>
        <v>0</v>
      </c>
      <c r="Q1631">
        <f>IF(COUNTIFS('United Data'!$A$3:$A$3390,Q$1,'United Data'!$C$3:$C$3390,$A1631)&gt;0,1,0)</f>
        <v>0</v>
      </c>
      <c r="R1631">
        <f>IF(COUNTIFS('United Data'!$A$3:$A$3390,R$1,'United Data'!$C$3:$C$3390,$A1631)&gt;0,1,0)</f>
        <v>0</v>
      </c>
      <c r="S1631">
        <f t="shared" si="50"/>
        <v>1</v>
      </c>
      <c r="T1631">
        <f t="shared" si="51"/>
        <v>1</v>
      </c>
    </row>
    <row r="1632" spans="1:20" x14ac:dyDescent="0.2">
      <c r="A1632" t="s">
        <v>1916</v>
      </c>
      <c r="B1632">
        <f>IF(COUNTIFS('United Data'!$A$3:$A$3390,B$1,'United Data'!$C$3:$C$3390,$A1632)&gt;0,1,0)</f>
        <v>0</v>
      </c>
      <c r="C1632">
        <f>IF(COUNTIFS('United Data'!$A$3:$A$3390,C$1,'United Data'!$C$3:$C$3390,$A1632)&gt;0,1,0)</f>
        <v>0</v>
      </c>
      <c r="D1632">
        <f>IF(COUNTIFS('United Data'!$A$3:$A$3390,D$1,'United Data'!$C$3:$C$3390,$A1632)&gt;0,1,0)</f>
        <v>0</v>
      </c>
      <c r="E1632">
        <f>IF(COUNTIFS('United Data'!$A$3:$A$3390,E$1,'United Data'!$C$3:$C$3390,$A1632)&gt;0,1,0)</f>
        <v>0</v>
      </c>
      <c r="F1632">
        <f>IF(COUNTIFS('United Data'!$A$3:$A$3390,F$1,'United Data'!$C$3:$C$3390,$A1632)&gt;0,1,0)</f>
        <v>0</v>
      </c>
      <c r="G1632">
        <f>IF(COUNTIFS('United Data'!$A$3:$A$3390,G$1,'United Data'!$C$3:$C$3390,$A1632)&gt;0,1,0)</f>
        <v>0</v>
      </c>
      <c r="H1632">
        <f>IF(COUNTIFS('United Data'!$A$3:$A$3390,H$1,'United Data'!$C$3:$C$3390,$A1632)&gt;0,1,0)</f>
        <v>0</v>
      </c>
      <c r="I1632">
        <f>IF(COUNTIFS('United Data'!$A$3:$A$3390,I$1,'United Data'!$C$3:$C$3390,$A1632)&gt;0,1,0)</f>
        <v>0</v>
      </c>
      <c r="J1632">
        <f>IF(COUNTIFS('United Data'!$A$3:$A$3390,J$1,'United Data'!$C$3:$C$3390,$A1632)&gt;0,1,0)</f>
        <v>0</v>
      </c>
      <c r="K1632">
        <f>IF(COUNTIFS('United Data'!$A$3:$A$3390,K$1,'United Data'!$C$3:$C$3390,$A1632)&gt;0,1,0)</f>
        <v>1</v>
      </c>
      <c r="L1632">
        <f>IF(COUNTIFS('United Data'!$A$3:$A$3390,L$1,'United Data'!$C$3:$C$3390,$A1632)&gt;0,1,0)</f>
        <v>0</v>
      </c>
      <c r="M1632">
        <f>IF(COUNTIFS('United Data'!$A$3:$A$3390,M$1,'United Data'!$C$3:$C$3390,$A1632)&gt;0,1,0)</f>
        <v>0</v>
      </c>
      <c r="N1632">
        <f>IF(COUNTIFS('United Data'!$A$3:$A$3390,N$1,'United Data'!$C$3:$C$3390,$A1632)&gt;0,1,0)</f>
        <v>0</v>
      </c>
      <c r="O1632">
        <f>IF(COUNTIFS('United Data'!$A$3:$A$3390,O$1,'United Data'!$C$3:$C$3390,$A1632)&gt;0,1,0)</f>
        <v>0</v>
      </c>
      <c r="P1632">
        <f>IF(COUNTIFS('United Data'!$A$3:$A$3390,P$1,'United Data'!$C$3:$C$3390,$A1632)&gt;0,1,0)</f>
        <v>0</v>
      </c>
      <c r="Q1632">
        <f>IF(COUNTIFS('United Data'!$A$3:$A$3390,Q$1,'United Data'!$C$3:$C$3390,$A1632)&gt;0,1,0)</f>
        <v>0</v>
      </c>
      <c r="R1632">
        <f>IF(COUNTIFS('United Data'!$A$3:$A$3390,R$1,'United Data'!$C$3:$C$3390,$A1632)&gt;0,1,0)</f>
        <v>0</v>
      </c>
      <c r="S1632">
        <f t="shared" si="50"/>
        <v>1</v>
      </c>
      <c r="T1632">
        <f t="shared" si="51"/>
        <v>1</v>
      </c>
    </row>
    <row r="1633" spans="1:20" x14ac:dyDescent="0.2">
      <c r="A1633" t="s">
        <v>1917</v>
      </c>
      <c r="B1633">
        <f>IF(COUNTIFS('United Data'!$A$3:$A$3390,B$1,'United Data'!$C$3:$C$3390,$A1633)&gt;0,1,0)</f>
        <v>0</v>
      </c>
      <c r="C1633">
        <f>IF(COUNTIFS('United Data'!$A$3:$A$3390,C$1,'United Data'!$C$3:$C$3390,$A1633)&gt;0,1,0)</f>
        <v>0</v>
      </c>
      <c r="D1633">
        <f>IF(COUNTIFS('United Data'!$A$3:$A$3390,D$1,'United Data'!$C$3:$C$3390,$A1633)&gt;0,1,0)</f>
        <v>0</v>
      </c>
      <c r="E1633">
        <f>IF(COUNTIFS('United Data'!$A$3:$A$3390,E$1,'United Data'!$C$3:$C$3390,$A1633)&gt;0,1,0)</f>
        <v>0</v>
      </c>
      <c r="F1633">
        <f>IF(COUNTIFS('United Data'!$A$3:$A$3390,F$1,'United Data'!$C$3:$C$3390,$A1633)&gt;0,1,0)</f>
        <v>0</v>
      </c>
      <c r="G1633">
        <f>IF(COUNTIFS('United Data'!$A$3:$A$3390,G$1,'United Data'!$C$3:$C$3390,$A1633)&gt;0,1,0)</f>
        <v>0</v>
      </c>
      <c r="H1633">
        <f>IF(COUNTIFS('United Data'!$A$3:$A$3390,H$1,'United Data'!$C$3:$C$3390,$A1633)&gt;0,1,0)</f>
        <v>0</v>
      </c>
      <c r="I1633">
        <f>IF(COUNTIFS('United Data'!$A$3:$A$3390,I$1,'United Data'!$C$3:$C$3390,$A1633)&gt;0,1,0)</f>
        <v>0</v>
      </c>
      <c r="J1633">
        <f>IF(COUNTIFS('United Data'!$A$3:$A$3390,J$1,'United Data'!$C$3:$C$3390,$A1633)&gt;0,1,0)</f>
        <v>0</v>
      </c>
      <c r="K1633">
        <f>IF(COUNTIFS('United Data'!$A$3:$A$3390,K$1,'United Data'!$C$3:$C$3390,$A1633)&gt;0,1,0)</f>
        <v>1</v>
      </c>
      <c r="L1633">
        <f>IF(COUNTIFS('United Data'!$A$3:$A$3390,L$1,'United Data'!$C$3:$C$3390,$A1633)&gt;0,1,0)</f>
        <v>0</v>
      </c>
      <c r="M1633">
        <f>IF(COUNTIFS('United Data'!$A$3:$A$3390,M$1,'United Data'!$C$3:$C$3390,$A1633)&gt;0,1,0)</f>
        <v>0</v>
      </c>
      <c r="N1633">
        <f>IF(COUNTIFS('United Data'!$A$3:$A$3390,N$1,'United Data'!$C$3:$C$3390,$A1633)&gt;0,1,0)</f>
        <v>1</v>
      </c>
      <c r="O1633">
        <f>IF(COUNTIFS('United Data'!$A$3:$A$3390,O$1,'United Data'!$C$3:$C$3390,$A1633)&gt;0,1,0)</f>
        <v>0</v>
      </c>
      <c r="P1633">
        <f>IF(COUNTIFS('United Data'!$A$3:$A$3390,P$1,'United Data'!$C$3:$C$3390,$A1633)&gt;0,1,0)</f>
        <v>0</v>
      </c>
      <c r="Q1633">
        <f>IF(COUNTIFS('United Data'!$A$3:$A$3390,Q$1,'United Data'!$C$3:$C$3390,$A1633)&gt;0,1,0)</f>
        <v>1</v>
      </c>
      <c r="R1633">
        <f>IF(COUNTIFS('United Data'!$A$3:$A$3390,R$1,'United Data'!$C$3:$C$3390,$A1633)&gt;0,1,0)</f>
        <v>0</v>
      </c>
      <c r="S1633">
        <f t="shared" si="50"/>
        <v>3</v>
      </c>
      <c r="T1633">
        <f t="shared" si="51"/>
        <v>3</v>
      </c>
    </row>
    <row r="1634" spans="1:20" x14ac:dyDescent="0.2">
      <c r="A1634" t="s">
        <v>1918</v>
      </c>
      <c r="B1634">
        <f>IF(COUNTIFS('United Data'!$A$3:$A$3390,B$1,'United Data'!$C$3:$C$3390,$A1634)&gt;0,1,0)</f>
        <v>0</v>
      </c>
      <c r="C1634">
        <f>IF(COUNTIFS('United Data'!$A$3:$A$3390,C$1,'United Data'!$C$3:$C$3390,$A1634)&gt;0,1,0)</f>
        <v>0</v>
      </c>
      <c r="D1634">
        <f>IF(COUNTIFS('United Data'!$A$3:$A$3390,D$1,'United Data'!$C$3:$C$3390,$A1634)&gt;0,1,0)</f>
        <v>0</v>
      </c>
      <c r="E1634">
        <f>IF(COUNTIFS('United Data'!$A$3:$A$3390,E$1,'United Data'!$C$3:$C$3390,$A1634)&gt;0,1,0)</f>
        <v>0</v>
      </c>
      <c r="F1634">
        <f>IF(COUNTIFS('United Data'!$A$3:$A$3390,F$1,'United Data'!$C$3:$C$3390,$A1634)&gt;0,1,0)</f>
        <v>0</v>
      </c>
      <c r="G1634">
        <f>IF(COUNTIFS('United Data'!$A$3:$A$3390,G$1,'United Data'!$C$3:$C$3390,$A1634)&gt;0,1,0)</f>
        <v>0</v>
      </c>
      <c r="H1634">
        <f>IF(COUNTIFS('United Data'!$A$3:$A$3390,H$1,'United Data'!$C$3:$C$3390,$A1634)&gt;0,1,0)</f>
        <v>0</v>
      </c>
      <c r="I1634">
        <f>IF(COUNTIFS('United Data'!$A$3:$A$3390,I$1,'United Data'!$C$3:$C$3390,$A1634)&gt;0,1,0)</f>
        <v>0</v>
      </c>
      <c r="J1634">
        <f>IF(COUNTIFS('United Data'!$A$3:$A$3390,J$1,'United Data'!$C$3:$C$3390,$A1634)&gt;0,1,0)</f>
        <v>0</v>
      </c>
      <c r="K1634">
        <f>IF(COUNTIFS('United Data'!$A$3:$A$3390,K$1,'United Data'!$C$3:$C$3390,$A1634)&gt;0,1,0)</f>
        <v>1</v>
      </c>
      <c r="L1634">
        <f>IF(COUNTIFS('United Data'!$A$3:$A$3390,L$1,'United Data'!$C$3:$C$3390,$A1634)&gt;0,1,0)</f>
        <v>0</v>
      </c>
      <c r="M1634">
        <f>IF(COUNTIFS('United Data'!$A$3:$A$3390,M$1,'United Data'!$C$3:$C$3390,$A1634)&gt;0,1,0)</f>
        <v>0</v>
      </c>
      <c r="N1634">
        <f>IF(COUNTIFS('United Data'!$A$3:$A$3390,N$1,'United Data'!$C$3:$C$3390,$A1634)&gt;0,1,0)</f>
        <v>0</v>
      </c>
      <c r="O1634">
        <f>IF(COUNTIFS('United Data'!$A$3:$A$3390,O$1,'United Data'!$C$3:$C$3390,$A1634)&gt;0,1,0)</f>
        <v>0</v>
      </c>
      <c r="P1634">
        <f>IF(COUNTIFS('United Data'!$A$3:$A$3390,P$1,'United Data'!$C$3:$C$3390,$A1634)&gt;0,1,0)</f>
        <v>0</v>
      </c>
      <c r="Q1634">
        <f>IF(COUNTIFS('United Data'!$A$3:$A$3390,Q$1,'United Data'!$C$3:$C$3390,$A1634)&gt;0,1,0)</f>
        <v>0</v>
      </c>
      <c r="R1634">
        <f>IF(COUNTIFS('United Data'!$A$3:$A$3390,R$1,'United Data'!$C$3:$C$3390,$A1634)&gt;0,1,0)</f>
        <v>0</v>
      </c>
      <c r="S1634">
        <f t="shared" si="50"/>
        <v>1</v>
      </c>
      <c r="T1634">
        <f t="shared" si="51"/>
        <v>1</v>
      </c>
    </row>
    <row r="1635" spans="1:20" x14ac:dyDescent="0.2">
      <c r="A1635" t="s">
        <v>1919</v>
      </c>
      <c r="B1635">
        <f>IF(COUNTIFS('United Data'!$A$3:$A$3390,B$1,'United Data'!$C$3:$C$3390,$A1635)&gt;0,1,0)</f>
        <v>0</v>
      </c>
      <c r="C1635">
        <f>IF(COUNTIFS('United Data'!$A$3:$A$3390,C$1,'United Data'!$C$3:$C$3390,$A1635)&gt;0,1,0)</f>
        <v>0</v>
      </c>
      <c r="D1635">
        <f>IF(COUNTIFS('United Data'!$A$3:$A$3390,D$1,'United Data'!$C$3:$C$3390,$A1635)&gt;0,1,0)</f>
        <v>0</v>
      </c>
      <c r="E1635">
        <f>IF(COUNTIFS('United Data'!$A$3:$A$3390,E$1,'United Data'!$C$3:$C$3390,$A1635)&gt;0,1,0)</f>
        <v>0</v>
      </c>
      <c r="F1635">
        <f>IF(COUNTIFS('United Data'!$A$3:$A$3390,F$1,'United Data'!$C$3:$C$3390,$A1635)&gt;0,1,0)</f>
        <v>0</v>
      </c>
      <c r="G1635">
        <f>IF(COUNTIFS('United Data'!$A$3:$A$3390,G$1,'United Data'!$C$3:$C$3390,$A1635)&gt;0,1,0)</f>
        <v>0</v>
      </c>
      <c r="H1635">
        <f>IF(COUNTIFS('United Data'!$A$3:$A$3390,H$1,'United Data'!$C$3:$C$3390,$A1635)&gt;0,1,0)</f>
        <v>0</v>
      </c>
      <c r="I1635">
        <f>IF(COUNTIFS('United Data'!$A$3:$A$3390,I$1,'United Data'!$C$3:$C$3390,$A1635)&gt;0,1,0)</f>
        <v>0</v>
      </c>
      <c r="J1635">
        <f>IF(COUNTIFS('United Data'!$A$3:$A$3390,J$1,'United Data'!$C$3:$C$3390,$A1635)&gt;0,1,0)</f>
        <v>0</v>
      </c>
      <c r="K1635">
        <f>IF(COUNTIFS('United Data'!$A$3:$A$3390,K$1,'United Data'!$C$3:$C$3390,$A1635)&gt;0,1,0)</f>
        <v>0</v>
      </c>
      <c r="L1635">
        <f>IF(COUNTIFS('United Data'!$A$3:$A$3390,L$1,'United Data'!$C$3:$C$3390,$A1635)&gt;0,1,0)</f>
        <v>0</v>
      </c>
      <c r="M1635">
        <f>IF(COUNTIFS('United Data'!$A$3:$A$3390,M$1,'United Data'!$C$3:$C$3390,$A1635)&gt;0,1,0)</f>
        <v>1</v>
      </c>
      <c r="N1635">
        <f>IF(COUNTIFS('United Data'!$A$3:$A$3390,N$1,'United Data'!$C$3:$C$3390,$A1635)&gt;0,1,0)</f>
        <v>1</v>
      </c>
      <c r="O1635">
        <f>IF(COUNTIFS('United Data'!$A$3:$A$3390,O$1,'United Data'!$C$3:$C$3390,$A1635)&gt;0,1,0)</f>
        <v>1</v>
      </c>
      <c r="P1635">
        <f>IF(COUNTIFS('United Data'!$A$3:$A$3390,P$1,'United Data'!$C$3:$C$3390,$A1635)&gt;0,1,0)</f>
        <v>0</v>
      </c>
      <c r="Q1635">
        <f>IF(COUNTIFS('United Data'!$A$3:$A$3390,Q$1,'United Data'!$C$3:$C$3390,$A1635)&gt;0,1,0)</f>
        <v>0</v>
      </c>
      <c r="R1635">
        <f>IF(COUNTIFS('United Data'!$A$3:$A$3390,R$1,'United Data'!$C$3:$C$3390,$A1635)&gt;0,1,0)</f>
        <v>0</v>
      </c>
      <c r="S1635">
        <f t="shared" si="50"/>
        <v>3</v>
      </c>
      <c r="T1635">
        <f t="shared" si="51"/>
        <v>1</v>
      </c>
    </row>
    <row r="1636" spans="1:20" x14ac:dyDescent="0.2">
      <c r="A1636" t="s">
        <v>1920</v>
      </c>
      <c r="B1636">
        <f>IF(COUNTIFS('United Data'!$A$3:$A$3390,B$1,'United Data'!$C$3:$C$3390,$A1636)&gt;0,1,0)</f>
        <v>1</v>
      </c>
      <c r="C1636">
        <f>IF(COUNTIFS('United Data'!$A$3:$A$3390,C$1,'United Data'!$C$3:$C$3390,$A1636)&gt;0,1,0)</f>
        <v>1</v>
      </c>
      <c r="D1636">
        <f>IF(COUNTIFS('United Data'!$A$3:$A$3390,D$1,'United Data'!$C$3:$C$3390,$A1636)&gt;0,1,0)</f>
        <v>0</v>
      </c>
      <c r="E1636">
        <f>IF(COUNTIFS('United Data'!$A$3:$A$3390,E$1,'United Data'!$C$3:$C$3390,$A1636)&gt;0,1,0)</f>
        <v>1</v>
      </c>
      <c r="F1636">
        <f>IF(COUNTIFS('United Data'!$A$3:$A$3390,F$1,'United Data'!$C$3:$C$3390,$A1636)&gt;0,1,0)</f>
        <v>1</v>
      </c>
      <c r="G1636">
        <f>IF(COUNTIFS('United Data'!$A$3:$A$3390,G$1,'United Data'!$C$3:$C$3390,$A1636)&gt;0,1,0)</f>
        <v>1</v>
      </c>
      <c r="H1636">
        <f>IF(COUNTIFS('United Data'!$A$3:$A$3390,H$1,'United Data'!$C$3:$C$3390,$A1636)&gt;0,1,0)</f>
        <v>1</v>
      </c>
      <c r="I1636">
        <f>IF(COUNTIFS('United Data'!$A$3:$A$3390,I$1,'United Data'!$C$3:$C$3390,$A1636)&gt;0,1,0)</f>
        <v>0</v>
      </c>
      <c r="J1636">
        <f>IF(COUNTIFS('United Data'!$A$3:$A$3390,J$1,'United Data'!$C$3:$C$3390,$A1636)&gt;0,1,0)</f>
        <v>1</v>
      </c>
      <c r="K1636">
        <f>IF(COUNTIFS('United Data'!$A$3:$A$3390,K$1,'United Data'!$C$3:$C$3390,$A1636)&gt;0,1,0)</f>
        <v>1</v>
      </c>
      <c r="L1636">
        <f>IF(COUNTIFS('United Data'!$A$3:$A$3390,L$1,'United Data'!$C$3:$C$3390,$A1636)&gt;0,1,0)</f>
        <v>0</v>
      </c>
      <c r="M1636">
        <f>IF(COUNTIFS('United Data'!$A$3:$A$3390,M$1,'United Data'!$C$3:$C$3390,$A1636)&gt;0,1,0)</f>
        <v>0</v>
      </c>
      <c r="N1636">
        <f>IF(COUNTIFS('United Data'!$A$3:$A$3390,N$1,'United Data'!$C$3:$C$3390,$A1636)&gt;0,1,0)</f>
        <v>0</v>
      </c>
      <c r="O1636">
        <f>IF(COUNTIFS('United Data'!$A$3:$A$3390,O$1,'United Data'!$C$3:$C$3390,$A1636)&gt;0,1,0)</f>
        <v>0</v>
      </c>
      <c r="P1636">
        <f>IF(COUNTIFS('United Data'!$A$3:$A$3390,P$1,'United Data'!$C$3:$C$3390,$A1636)&gt;0,1,0)</f>
        <v>1</v>
      </c>
      <c r="Q1636">
        <f>IF(COUNTIFS('United Data'!$A$3:$A$3390,Q$1,'United Data'!$C$3:$C$3390,$A1636)&gt;0,1,0)</f>
        <v>1</v>
      </c>
      <c r="R1636">
        <f>IF(COUNTIFS('United Data'!$A$3:$A$3390,R$1,'United Data'!$C$3:$C$3390,$A1636)&gt;0,1,0)</f>
        <v>1</v>
      </c>
      <c r="S1636">
        <f t="shared" si="50"/>
        <v>11</v>
      </c>
      <c r="T1636">
        <f t="shared" si="51"/>
        <v>4</v>
      </c>
    </row>
    <row r="1637" spans="1:20" x14ac:dyDescent="0.2">
      <c r="A1637" t="s">
        <v>1921</v>
      </c>
      <c r="B1637">
        <f>IF(COUNTIFS('United Data'!$A$3:$A$3390,B$1,'United Data'!$C$3:$C$3390,$A1637)&gt;0,1,0)</f>
        <v>1</v>
      </c>
      <c r="C1637">
        <f>IF(COUNTIFS('United Data'!$A$3:$A$3390,C$1,'United Data'!$C$3:$C$3390,$A1637)&gt;0,1,0)</f>
        <v>1</v>
      </c>
      <c r="D1637">
        <f>IF(COUNTIFS('United Data'!$A$3:$A$3390,D$1,'United Data'!$C$3:$C$3390,$A1637)&gt;0,1,0)</f>
        <v>1</v>
      </c>
      <c r="E1637">
        <f>IF(COUNTIFS('United Data'!$A$3:$A$3390,E$1,'United Data'!$C$3:$C$3390,$A1637)&gt;0,1,0)</f>
        <v>1</v>
      </c>
      <c r="F1637">
        <f>IF(COUNTIFS('United Data'!$A$3:$A$3390,F$1,'United Data'!$C$3:$C$3390,$A1637)&gt;0,1,0)</f>
        <v>1</v>
      </c>
      <c r="G1637">
        <f>IF(COUNTIFS('United Data'!$A$3:$A$3390,G$1,'United Data'!$C$3:$C$3390,$A1637)&gt;0,1,0)</f>
        <v>0</v>
      </c>
      <c r="H1637">
        <f>IF(COUNTIFS('United Data'!$A$3:$A$3390,H$1,'United Data'!$C$3:$C$3390,$A1637)&gt;0,1,0)</f>
        <v>0</v>
      </c>
      <c r="I1637">
        <f>IF(COUNTIFS('United Data'!$A$3:$A$3390,I$1,'United Data'!$C$3:$C$3390,$A1637)&gt;0,1,0)</f>
        <v>0</v>
      </c>
      <c r="J1637">
        <f>IF(COUNTIFS('United Data'!$A$3:$A$3390,J$1,'United Data'!$C$3:$C$3390,$A1637)&gt;0,1,0)</f>
        <v>0</v>
      </c>
      <c r="K1637">
        <f>IF(COUNTIFS('United Data'!$A$3:$A$3390,K$1,'United Data'!$C$3:$C$3390,$A1637)&gt;0,1,0)</f>
        <v>0</v>
      </c>
      <c r="L1637">
        <f>IF(COUNTIFS('United Data'!$A$3:$A$3390,L$1,'United Data'!$C$3:$C$3390,$A1637)&gt;0,1,0)</f>
        <v>0</v>
      </c>
      <c r="M1637">
        <f>IF(COUNTIFS('United Data'!$A$3:$A$3390,M$1,'United Data'!$C$3:$C$3390,$A1637)&gt;0,1,0)</f>
        <v>1</v>
      </c>
      <c r="N1637">
        <f>IF(COUNTIFS('United Data'!$A$3:$A$3390,N$1,'United Data'!$C$3:$C$3390,$A1637)&gt;0,1,0)</f>
        <v>0</v>
      </c>
      <c r="O1637">
        <f>IF(COUNTIFS('United Data'!$A$3:$A$3390,O$1,'United Data'!$C$3:$C$3390,$A1637)&gt;0,1,0)</f>
        <v>0</v>
      </c>
      <c r="P1637">
        <f>IF(COUNTIFS('United Data'!$A$3:$A$3390,P$1,'United Data'!$C$3:$C$3390,$A1637)&gt;0,1,0)</f>
        <v>0</v>
      </c>
      <c r="Q1637">
        <f>IF(COUNTIFS('United Data'!$A$3:$A$3390,Q$1,'United Data'!$C$3:$C$3390,$A1637)&gt;0,1,0)</f>
        <v>0</v>
      </c>
      <c r="R1637">
        <f>IF(COUNTIFS('United Data'!$A$3:$A$3390,R$1,'United Data'!$C$3:$C$3390,$A1637)&gt;0,1,0)</f>
        <v>0</v>
      </c>
      <c r="S1637">
        <f t="shared" si="50"/>
        <v>6</v>
      </c>
      <c r="T1637">
        <f t="shared" si="51"/>
        <v>2</v>
      </c>
    </row>
    <row r="1638" spans="1:20" x14ac:dyDescent="0.2">
      <c r="A1638" t="s">
        <v>1922</v>
      </c>
      <c r="B1638">
        <f>IF(COUNTIFS('United Data'!$A$3:$A$3390,B$1,'United Data'!$C$3:$C$3390,$A1638)&gt;0,1,0)</f>
        <v>1</v>
      </c>
      <c r="C1638">
        <f>IF(COUNTIFS('United Data'!$A$3:$A$3390,C$1,'United Data'!$C$3:$C$3390,$A1638)&gt;0,1,0)</f>
        <v>0</v>
      </c>
      <c r="D1638">
        <f>IF(COUNTIFS('United Data'!$A$3:$A$3390,D$1,'United Data'!$C$3:$C$3390,$A1638)&gt;0,1,0)</f>
        <v>0</v>
      </c>
      <c r="E1638">
        <f>IF(COUNTIFS('United Data'!$A$3:$A$3390,E$1,'United Data'!$C$3:$C$3390,$A1638)&gt;0,1,0)</f>
        <v>1</v>
      </c>
      <c r="F1638">
        <f>IF(COUNTIFS('United Data'!$A$3:$A$3390,F$1,'United Data'!$C$3:$C$3390,$A1638)&gt;0,1,0)</f>
        <v>1</v>
      </c>
      <c r="G1638">
        <f>IF(COUNTIFS('United Data'!$A$3:$A$3390,G$1,'United Data'!$C$3:$C$3390,$A1638)&gt;0,1,0)</f>
        <v>0</v>
      </c>
      <c r="H1638">
        <f>IF(COUNTIFS('United Data'!$A$3:$A$3390,H$1,'United Data'!$C$3:$C$3390,$A1638)&gt;0,1,0)</f>
        <v>0</v>
      </c>
      <c r="I1638">
        <f>IF(COUNTIFS('United Data'!$A$3:$A$3390,I$1,'United Data'!$C$3:$C$3390,$A1638)&gt;0,1,0)</f>
        <v>0</v>
      </c>
      <c r="J1638">
        <f>IF(COUNTIFS('United Data'!$A$3:$A$3390,J$1,'United Data'!$C$3:$C$3390,$A1638)&gt;0,1,0)</f>
        <v>0</v>
      </c>
      <c r="K1638">
        <f>IF(COUNTIFS('United Data'!$A$3:$A$3390,K$1,'United Data'!$C$3:$C$3390,$A1638)&gt;0,1,0)</f>
        <v>0</v>
      </c>
      <c r="L1638">
        <f>IF(COUNTIFS('United Data'!$A$3:$A$3390,L$1,'United Data'!$C$3:$C$3390,$A1638)&gt;0,1,0)</f>
        <v>0</v>
      </c>
      <c r="M1638">
        <f>IF(COUNTIFS('United Data'!$A$3:$A$3390,M$1,'United Data'!$C$3:$C$3390,$A1638)&gt;0,1,0)</f>
        <v>0</v>
      </c>
      <c r="N1638">
        <f>IF(COUNTIFS('United Data'!$A$3:$A$3390,N$1,'United Data'!$C$3:$C$3390,$A1638)&gt;0,1,0)</f>
        <v>0</v>
      </c>
      <c r="O1638">
        <f>IF(COUNTIFS('United Data'!$A$3:$A$3390,O$1,'United Data'!$C$3:$C$3390,$A1638)&gt;0,1,0)</f>
        <v>0</v>
      </c>
      <c r="P1638">
        <f>IF(COUNTIFS('United Data'!$A$3:$A$3390,P$1,'United Data'!$C$3:$C$3390,$A1638)&gt;0,1,0)</f>
        <v>0</v>
      </c>
      <c r="Q1638">
        <f>IF(COUNTIFS('United Data'!$A$3:$A$3390,Q$1,'United Data'!$C$3:$C$3390,$A1638)&gt;0,1,0)</f>
        <v>0</v>
      </c>
      <c r="R1638">
        <f>IF(COUNTIFS('United Data'!$A$3:$A$3390,R$1,'United Data'!$C$3:$C$3390,$A1638)&gt;0,1,0)</f>
        <v>0</v>
      </c>
      <c r="S1638">
        <f t="shared" si="50"/>
        <v>3</v>
      </c>
      <c r="T1638">
        <f t="shared" si="51"/>
        <v>2</v>
      </c>
    </row>
    <row r="1639" spans="1:20" x14ac:dyDescent="0.2">
      <c r="A1639" t="s">
        <v>1923</v>
      </c>
      <c r="B1639">
        <f>IF(COUNTIFS('United Data'!$A$3:$A$3390,B$1,'United Data'!$C$3:$C$3390,$A1639)&gt;0,1,0)</f>
        <v>1</v>
      </c>
      <c r="C1639">
        <f>IF(COUNTIFS('United Data'!$A$3:$A$3390,C$1,'United Data'!$C$3:$C$3390,$A1639)&gt;0,1,0)</f>
        <v>1</v>
      </c>
      <c r="D1639">
        <f>IF(COUNTIFS('United Data'!$A$3:$A$3390,D$1,'United Data'!$C$3:$C$3390,$A1639)&gt;0,1,0)</f>
        <v>0</v>
      </c>
      <c r="E1639">
        <f>IF(COUNTIFS('United Data'!$A$3:$A$3390,E$1,'United Data'!$C$3:$C$3390,$A1639)&gt;0,1,0)</f>
        <v>0</v>
      </c>
      <c r="F1639">
        <f>IF(COUNTIFS('United Data'!$A$3:$A$3390,F$1,'United Data'!$C$3:$C$3390,$A1639)&gt;0,1,0)</f>
        <v>0</v>
      </c>
      <c r="G1639">
        <f>IF(COUNTIFS('United Data'!$A$3:$A$3390,G$1,'United Data'!$C$3:$C$3390,$A1639)&gt;0,1,0)</f>
        <v>0</v>
      </c>
      <c r="H1639">
        <f>IF(COUNTIFS('United Data'!$A$3:$A$3390,H$1,'United Data'!$C$3:$C$3390,$A1639)&gt;0,1,0)</f>
        <v>0</v>
      </c>
      <c r="I1639">
        <f>IF(COUNTIFS('United Data'!$A$3:$A$3390,I$1,'United Data'!$C$3:$C$3390,$A1639)&gt;0,1,0)</f>
        <v>0</v>
      </c>
      <c r="J1639">
        <f>IF(COUNTIFS('United Data'!$A$3:$A$3390,J$1,'United Data'!$C$3:$C$3390,$A1639)&gt;0,1,0)</f>
        <v>0</v>
      </c>
      <c r="K1639">
        <f>IF(COUNTIFS('United Data'!$A$3:$A$3390,K$1,'United Data'!$C$3:$C$3390,$A1639)&gt;0,1,0)</f>
        <v>0</v>
      </c>
      <c r="L1639">
        <f>IF(COUNTIFS('United Data'!$A$3:$A$3390,L$1,'United Data'!$C$3:$C$3390,$A1639)&gt;0,1,0)</f>
        <v>0</v>
      </c>
      <c r="M1639">
        <f>IF(COUNTIFS('United Data'!$A$3:$A$3390,M$1,'United Data'!$C$3:$C$3390,$A1639)&gt;0,1,0)</f>
        <v>0</v>
      </c>
      <c r="N1639">
        <f>IF(COUNTIFS('United Data'!$A$3:$A$3390,N$1,'United Data'!$C$3:$C$3390,$A1639)&gt;0,1,0)</f>
        <v>0</v>
      </c>
      <c r="O1639">
        <f>IF(COUNTIFS('United Data'!$A$3:$A$3390,O$1,'United Data'!$C$3:$C$3390,$A1639)&gt;0,1,0)</f>
        <v>0</v>
      </c>
      <c r="P1639">
        <f>IF(COUNTIFS('United Data'!$A$3:$A$3390,P$1,'United Data'!$C$3:$C$3390,$A1639)&gt;0,1,0)</f>
        <v>0</v>
      </c>
      <c r="Q1639">
        <f>IF(COUNTIFS('United Data'!$A$3:$A$3390,Q$1,'United Data'!$C$3:$C$3390,$A1639)&gt;0,1,0)</f>
        <v>0</v>
      </c>
      <c r="R1639">
        <f>IF(COUNTIFS('United Data'!$A$3:$A$3390,R$1,'United Data'!$C$3:$C$3390,$A1639)&gt;0,1,0)</f>
        <v>0</v>
      </c>
      <c r="S1639">
        <f t="shared" si="50"/>
        <v>2</v>
      </c>
      <c r="T1639">
        <f t="shared" si="51"/>
        <v>1</v>
      </c>
    </row>
    <row r="1640" spans="1:20" x14ac:dyDescent="0.2">
      <c r="A1640" t="s">
        <v>1924</v>
      </c>
      <c r="B1640">
        <f>IF(COUNTIFS('United Data'!$A$3:$A$3390,B$1,'United Data'!$C$3:$C$3390,$A1640)&gt;0,1,0)</f>
        <v>1</v>
      </c>
      <c r="C1640">
        <f>IF(COUNTIFS('United Data'!$A$3:$A$3390,C$1,'United Data'!$C$3:$C$3390,$A1640)&gt;0,1,0)</f>
        <v>1</v>
      </c>
      <c r="D1640">
        <f>IF(COUNTIFS('United Data'!$A$3:$A$3390,D$1,'United Data'!$C$3:$C$3390,$A1640)&gt;0,1,0)</f>
        <v>1</v>
      </c>
      <c r="E1640">
        <f>IF(COUNTIFS('United Data'!$A$3:$A$3390,E$1,'United Data'!$C$3:$C$3390,$A1640)&gt;0,1,0)</f>
        <v>0</v>
      </c>
      <c r="F1640">
        <f>IF(COUNTIFS('United Data'!$A$3:$A$3390,F$1,'United Data'!$C$3:$C$3390,$A1640)&gt;0,1,0)</f>
        <v>0</v>
      </c>
      <c r="G1640">
        <f>IF(COUNTIFS('United Data'!$A$3:$A$3390,G$1,'United Data'!$C$3:$C$3390,$A1640)&gt;0,1,0)</f>
        <v>0</v>
      </c>
      <c r="H1640">
        <f>IF(COUNTIFS('United Data'!$A$3:$A$3390,H$1,'United Data'!$C$3:$C$3390,$A1640)&gt;0,1,0)</f>
        <v>0</v>
      </c>
      <c r="I1640">
        <f>IF(COUNTIFS('United Data'!$A$3:$A$3390,I$1,'United Data'!$C$3:$C$3390,$A1640)&gt;0,1,0)</f>
        <v>0</v>
      </c>
      <c r="J1640">
        <f>IF(COUNTIFS('United Data'!$A$3:$A$3390,J$1,'United Data'!$C$3:$C$3390,$A1640)&gt;0,1,0)</f>
        <v>0</v>
      </c>
      <c r="K1640">
        <f>IF(COUNTIFS('United Data'!$A$3:$A$3390,K$1,'United Data'!$C$3:$C$3390,$A1640)&gt;0,1,0)</f>
        <v>0</v>
      </c>
      <c r="L1640">
        <f>IF(COUNTIFS('United Data'!$A$3:$A$3390,L$1,'United Data'!$C$3:$C$3390,$A1640)&gt;0,1,0)</f>
        <v>0</v>
      </c>
      <c r="M1640">
        <f>IF(COUNTIFS('United Data'!$A$3:$A$3390,M$1,'United Data'!$C$3:$C$3390,$A1640)&gt;0,1,0)</f>
        <v>0</v>
      </c>
      <c r="N1640">
        <f>IF(COUNTIFS('United Data'!$A$3:$A$3390,N$1,'United Data'!$C$3:$C$3390,$A1640)&gt;0,1,0)</f>
        <v>0</v>
      </c>
      <c r="O1640">
        <f>IF(COUNTIFS('United Data'!$A$3:$A$3390,O$1,'United Data'!$C$3:$C$3390,$A1640)&gt;0,1,0)</f>
        <v>0</v>
      </c>
      <c r="P1640">
        <f>IF(COUNTIFS('United Data'!$A$3:$A$3390,P$1,'United Data'!$C$3:$C$3390,$A1640)&gt;0,1,0)</f>
        <v>0</v>
      </c>
      <c r="Q1640">
        <f>IF(COUNTIFS('United Data'!$A$3:$A$3390,Q$1,'United Data'!$C$3:$C$3390,$A1640)&gt;0,1,0)</f>
        <v>0</v>
      </c>
      <c r="R1640">
        <f>IF(COUNTIFS('United Data'!$A$3:$A$3390,R$1,'United Data'!$C$3:$C$3390,$A1640)&gt;0,1,0)</f>
        <v>0</v>
      </c>
      <c r="S1640">
        <f t="shared" si="50"/>
        <v>3</v>
      </c>
      <c r="T1640">
        <f t="shared" si="51"/>
        <v>1</v>
      </c>
    </row>
    <row r="1641" spans="1:20" x14ac:dyDescent="0.2">
      <c r="A1641" t="s">
        <v>1926</v>
      </c>
      <c r="B1641">
        <f>IF(COUNTIFS('United Data'!$A$3:$A$3390,B$1,'United Data'!$C$3:$C$3390,$A1641)&gt;0,1,0)</f>
        <v>0</v>
      </c>
      <c r="C1641">
        <f>IF(COUNTIFS('United Data'!$A$3:$A$3390,C$1,'United Data'!$C$3:$C$3390,$A1641)&gt;0,1,0)</f>
        <v>0</v>
      </c>
      <c r="D1641">
        <f>IF(COUNTIFS('United Data'!$A$3:$A$3390,D$1,'United Data'!$C$3:$C$3390,$A1641)&gt;0,1,0)</f>
        <v>1</v>
      </c>
      <c r="E1641">
        <f>IF(COUNTIFS('United Data'!$A$3:$A$3390,E$1,'United Data'!$C$3:$C$3390,$A1641)&gt;0,1,0)</f>
        <v>0</v>
      </c>
      <c r="F1641">
        <f>IF(COUNTIFS('United Data'!$A$3:$A$3390,F$1,'United Data'!$C$3:$C$3390,$A1641)&gt;0,1,0)</f>
        <v>0</v>
      </c>
      <c r="G1641">
        <f>IF(COUNTIFS('United Data'!$A$3:$A$3390,G$1,'United Data'!$C$3:$C$3390,$A1641)&gt;0,1,0)</f>
        <v>0</v>
      </c>
      <c r="H1641">
        <f>IF(COUNTIFS('United Data'!$A$3:$A$3390,H$1,'United Data'!$C$3:$C$3390,$A1641)&gt;0,1,0)</f>
        <v>0</v>
      </c>
      <c r="I1641">
        <f>IF(COUNTIFS('United Data'!$A$3:$A$3390,I$1,'United Data'!$C$3:$C$3390,$A1641)&gt;0,1,0)</f>
        <v>0</v>
      </c>
      <c r="J1641">
        <f>IF(COUNTIFS('United Data'!$A$3:$A$3390,J$1,'United Data'!$C$3:$C$3390,$A1641)&gt;0,1,0)</f>
        <v>0</v>
      </c>
      <c r="K1641">
        <f>IF(COUNTIFS('United Data'!$A$3:$A$3390,K$1,'United Data'!$C$3:$C$3390,$A1641)&gt;0,1,0)</f>
        <v>0</v>
      </c>
      <c r="L1641">
        <f>IF(COUNTIFS('United Data'!$A$3:$A$3390,L$1,'United Data'!$C$3:$C$3390,$A1641)&gt;0,1,0)</f>
        <v>0</v>
      </c>
      <c r="M1641">
        <f>IF(COUNTIFS('United Data'!$A$3:$A$3390,M$1,'United Data'!$C$3:$C$3390,$A1641)&gt;0,1,0)</f>
        <v>0</v>
      </c>
      <c r="N1641">
        <f>IF(COUNTIFS('United Data'!$A$3:$A$3390,N$1,'United Data'!$C$3:$C$3390,$A1641)&gt;0,1,0)</f>
        <v>0</v>
      </c>
      <c r="O1641">
        <f>IF(COUNTIFS('United Data'!$A$3:$A$3390,O$1,'United Data'!$C$3:$C$3390,$A1641)&gt;0,1,0)</f>
        <v>0</v>
      </c>
      <c r="P1641">
        <f>IF(COUNTIFS('United Data'!$A$3:$A$3390,P$1,'United Data'!$C$3:$C$3390,$A1641)&gt;0,1,0)</f>
        <v>1</v>
      </c>
      <c r="Q1641">
        <f>IF(COUNTIFS('United Data'!$A$3:$A$3390,Q$1,'United Data'!$C$3:$C$3390,$A1641)&gt;0,1,0)</f>
        <v>1</v>
      </c>
      <c r="R1641">
        <f>IF(COUNTIFS('United Data'!$A$3:$A$3390,R$1,'United Data'!$C$3:$C$3390,$A1641)&gt;0,1,0)</f>
        <v>0</v>
      </c>
      <c r="S1641">
        <f t="shared" si="50"/>
        <v>3</v>
      </c>
      <c r="T1641">
        <f t="shared" si="51"/>
        <v>2</v>
      </c>
    </row>
    <row r="1642" spans="1:20" x14ac:dyDescent="0.2">
      <c r="A1642" t="s">
        <v>1927</v>
      </c>
      <c r="B1642">
        <f>IF(COUNTIFS('United Data'!$A$3:$A$3390,B$1,'United Data'!$C$3:$C$3390,$A1642)&gt;0,1,0)</f>
        <v>0</v>
      </c>
      <c r="C1642">
        <f>IF(COUNTIFS('United Data'!$A$3:$A$3390,C$1,'United Data'!$C$3:$C$3390,$A1642)&gt;0,1,0)</f>
        <v>0</v>
      </c>
      <c r="D1642">
        <f>IF(COUNTIFS('United Data'!$A$3:$A$3390,D$1,'United Data'!$C$3:$C$3390,$A1642)&gt;0,1,0)</f>
        <v>1</v>
      </c>
      <c r="E1642">
        <f>IF(COUNTIFS('United Data'!$A$3:$A$3390,E$1,'United Data'!$C$3:$C$3390,$A1642)&gt;0,1,0)</f>
        <v>0</v>
      </c>
      <c r="F1642">
        <f>IF(COUNTIFS('United Data'!$A$3:$A$3390,F$1,'United Data'!$C$3:$C$3390,$A1642)&gt;0,1,0)</f>
        <v>0</v>
      </c>
      <c r="G1642">
        <f>IF(COUNTIFS('United Data'!$A$3:$A$3390,G$1,'United Data'!$C$3:$C$3390,$A1642)&gt;0,1,0)</f>
        <v>0</v>
      </c>
      <c r="H1642">
        <f>IF(COUNTIFS('United Data'!$A$3:$A$3390,H$1,'United Data'!$C$3:$C$3390,$A1642)&gt;0,1,0)</f>
        <v>0</v>
      </c>
      <c r="I1642">
        <f>IF(COUNTIFS('United Data'!$A$3:$A$3390,I$1,'United Data'!$C$3:$C$3390,$A1642)&gt;0,1,0)</f>
        <v>0</v>
      </c>
      <c r="J1642">
        <f>IF(COUNTIFS('United Data'!$A$3:$A$3390,J$1,'United Data'!$C$3:$C$3390,$A1642)&gt;0,1,0)</f>
        <v>0</v>
      </c>
      <c r="K1642">
        <f>IF(COUNTIFS('United Data'!$A$3:$A$3390,K$1,'United Data'!$C$3:$C$3390,$A1642)&gt;0,1,0)</f>
        <v>0</v>
      </c>
      <c r="L1642">
        <f>IF(COUNTIFS('United Data'!$A$3:$A$3390,L$1,'United Data'!$C$3:$C$3390,$A1642)&gt;0,1,0)</f>
        <v>0</v>
      </c>
      <c r="M1642">
        <f>IF(COUNTIFS('United Data'!$A$3:$A$3390,M$1,'United Data'!$C$3:$C$3390,$A1642)&gt;0,1,0)</f>
        <v>0</v>
      </c>
      <c r="N1642">
        <f>IF(COUNTIFS('United Data'!$A$3:$A$3390,N$1,'United Data'!$C$3:$C$3390,$A1642)&gt;0,1,0)</f>
        <v>0</v>
      </c>
      <c r="O1642">
        <f>IF(COUNTIFS('United Data'!$A$3:$A$3390,O$1,'United Data'!$C$3:$C$3390,$A1642)&gt;0,1,0)</f>
        <v>0</v>
      </c>
      <c r="P1642">
        <f>IF(COUNTIFS('United Data'!$A$3:$A$3390,P$1,'United Data'!$C$3:$C$3390,$A1642)&gt;0,1,0)</f>
        <v>0</v>
      </c>
      <c r="Q1642">
        <f>IF(COUNTIFS('United Data'!$A$3:$A$3390,Q$1,'United Data'!$C$3:$C$3390,$A1642)&gt;0,1,0)</f>
        <v>0</v>
      </c>
      <c r="R1642">
        <f>IF(COUNTIFS('United Data'!$A$3:$A$3390,R$1,'United Data'!$C$3:$C$3390,$A1642)&gt;0,1,0)</f>
        <v>0</v>
      </c>
      <c r="S1642">
        <f t="shared" si="50"/>
        <v>1</v>
      </c>
      <c r="T1642">
        <f t="shared" si="51"/>
        <v>1</v>
      </c>
    </row>
    <row r="1643" spans="1:20" x14ac:dyDescent="0.2">
      <c r="A1643" t="s">
        <v>1929</v>
      </c>
      <c r="B1643">
        <f>IF(COUNTIFS('United Data'!$A$3:$A$3390,B$1,'United Data'!$C$3:$C$3390,$A1643)&gt;0,1,0)</f>
        <v>0</v>
      </c>
      <c r="C1643">
        <f>IF(COUNTIFS('United Data'!$A$3:$A$3390,C$1,'United Data'!$C$3:$C$3390,$A1643)&gt;0,1,0)</f>
        <v>0</v>
      </c>
      <c r="D1643">
        <f>IF(COUNTIFS('United Data'!$A$3:$A$3390,D$1,'United Data'!$C$3:$C$3390,$A1643)&gt;0,1,0)</f>
        <v>1</v>
      </c>
      <c r="E1643">
        <f>IF(COUNTIFS('United Data'!$A$3:$A$3390,E$1,'United Data'!$C$3:$C$3390,$A1643)&gt;0,1,0)</f>
        <v>0</v>
      </c>
      <c r="F1643">
        <f>IF(COUNTIFS('United Data'!$A$3:$A$3390,F$1,'United Data'!$C$3:$C$3390,$A1643)&gt;0,1,0)</f>
        <v>0</v>
      </c>
      <c r="G1643">
        <f>IF(COUNTIFS('United Data'!$A$3:$A$3390,G$1,'United Data'!$C$3:$C$3390,$A1643)&gt;0,1,0)</f>
        <v>0</v>
      </c>
      <c r="H1643">
        <f>IF(COUNTIFS('United Data'!$A$3:$A$3390,H$1,'United Data'!$C$3:$C$3390,$A1643)&gt;0,1,0)</f>
        <v>0</v>
      </c>
      <c r="I1643">
        <f>IF(COUNTIFS('United Data'!$A$3:$A$3390,I$1,'United Data'!$C$3:$C$3390,$A1643)&gt;0,1,0)</f>
        <v>0</v>
      </c>
      <c r="J1643">
        <f>IF(COUNTIFS('United Data'!$A$3:$A$3390,J$1,'United Data'!$C$3:$C$3390,$A1643)&gt;0,1,0)</f>
        <v>0</v>
      </c>
      <c r="K1643">
        <f>IF(COUNTIFS('United Data'!$A$3:$A$3390,K$1,'United Data'!$C$3:$C$3390,$A1643)&gt;0,1,0)</f>
        <v>0</v>
      </c>
      <c r="L1643">
        <f>IF(COUNTIFS('United Data'!$A$3:$A$3390,L$1,'United Data'!$C$3:$C$3390,$A1643)&gt;0,1,0)</f>
        <v>0</v>
      </c>
      <c r="M1643">
        <f>IF(COUNTIFS('United Data'!$A$3:$A$3390,M$1,'United Data'!$C$3:$C$3390,$A1643)&gt;0,1,0)</f>
        <v>0</v>
      </c>
      <c r="N1643">
        <f>IF(COUNTIFS('United Data'!$A$3:$A$3390,N$1,'United Data'!$C$3:$C$3390,$A1643)&gt;0,1,0)</f>
        <v>0</v>
      </c>
      <c r="O1643">
        <f>IF(COUNTIFS('United Data'!$A$3:$A$3390,O$1,'United Data'!$C$3:$C$3390,$A1643)&gt;0,1,0)</f>
        <v>0</v>
      </c>
      <c r="P1643">
        <f>IF(COUNTIFS('United Data'!$A$3:$A$3390,P$1,'United Data'!$C$3:$C$3390,$A1643)&gt;0,1,0)</f>
        <v>0</v>
      </c>
      <c r="Q1643">
        <f>IF(COUNTIFS('United Data'!$A$3:$A$3390,Q$1,'United Data'!$C$3:$C$3390,$A1643)&gt;0,1,0)</f>
        <v>0</v>
      </c>
      <c r="R1643">
        <f>IF(COUNTIFS('United Data'!$A$3:$A$3390,R$1,'United Data'!$C$3:$C$3390,$A1643)&gt;0,1,0)</f>
        <v>0</v>
      </c>
      <c r="S1643">
        <f t="shared" si="50"/>
        <v>1</v>
      </c>
      <c r="T1643">
        <f t="shared" si="51"/>
        <v>1</v>
      </c>
    </row>
    <row r="1644" spans="1:20" x14ac:dyDescent="0.2">
      <c r="A1644" t="s">
        <v>1931</v>
      </c>
      <c r="B1644">
        <f>IF(COUNTIFS('United Data'!$A$3:$A$3390,B$1,'United Data'!$C$3:$C$3390,$A1644)&gt;0,1,0)</f>
        <v>0</v>
      </c>
      <c r="C1644">
        <f>IF(COUNTIFS('United Data'!$A$3:$A$3390,C$1,'United Data'!$C$3:$C$3390,$A1644)&gt;0,1,0)</f>
        <v>0</v>
      </c>
      <c r="D1644">
        <f>IF(COUNTIFS('United Data'!$A$3:$A$3390,D$1,'United Data'!$C$3:$C$3390,$A1644)&gt;0,1,0)</f>
        <v>0</v>
      </c>
      <c r="E1644">
        <f>IF(COUNTIFS('United Data'!$A$3:$A$3390,E$1,'United Data'!$C$3:$C$3390,$A1644)&gt;0,1,0)</f>
        <v>1</v>
      </c>
      <c r="F1644">
        <f>IF(COUNTIFS('United Data'!$A$3:$A$3390,F$1,'United Data'!$C$3:$C$3390,$A1644)&gt;0,1,0)</f>
        <v>0</v>
      </c>
      <c r="G1644">
        <f>IF(COUNTIFS('United Data'!$A$3:$A$3390,G$1,'United Data'!$C$3:$C$3390,$A1644)&gt;0,1,0)</f>
        <v>0</v>
      </c>
      <c r="H1644">
        <f>IF(COUNTIFS('United Data'!$A$3:$A$3390,H$1,'United Data'!$C$3:$C$3390,$A1644)&gt;0,1,0)</f>
        <v>0</v>
      </c>
      <c r="I1644">
        <f>IF(COUNTIFS('United Data'!$A$3:$A$3390,I$1,'United Data'!$C$3:$C$3390,$A1644)&gt;0,1,0)</f>
        <v>0</v>
      </c>
      <c r="J1644">
        <f>IF(COUNTIFS('United Data'!$A$3:$A$3390,J$1,'United Data'!$C$3:$C$3390,$A1644)&gt;0,1,0)</f>
        <v>0</v>
      </c>
      <c r="K1644">
        <f>IF(COUNTIFS('United Data'!$A$3:$A$3390,K$1,'United Data'!$C$3:$C$3390,$A1644)&gt;0,1,0)</f>
        <v>0</v>
      </c>
      <c r="L1644">
        <f>IF(COUNTIFS('United Data'!$A$3:$A$3390,L$1,'United Data'!$C$3:$C$3390,$A1644)&gt;0,1,0)</f>
        <v>0</v>
      </c>
      <c r="M1644">
        <f>IF(COUNTIFS('United Data'!$A$3:$A$3390,M$1,'United Data'!$C$3:$C$3390,$A1644)&gt;0,1,0)</f>
        <v>0</v>
      </c>
      <c r="N1644">
        <f>IF(COUNTIFS('United Data'!$A$3:$A$3390,N$1,'United Data'!$C$3:$C$3390,$A1644)&gt;0,1,0)</f>
        <v>0</v>
      </c>
      <c r="O1644">
        <f>IF(COUNTIFS('United Data'!$A$3:$A$3390,O$1,'United Data'!$C$3:$C$3390,$A1644)&gt;0,1,0)</f>
        <v>0</v>
      </c>
      <c r="P1644">
        <f>IF(COUNTIFS('United Data'!$A$3:$A$3390,P$1,'United Data'!$C$3:$C$3390,$A1644)&gt;0,1,0)</f>
        <v>0</v>
      </c>
      <c r="Q1644">
        <f>IF(COUNTIFS('United Data'!$A$3:$A$3390,Q$1,'United Data'!$C$3:$C$3390,$A1644)&gt;0,1,0)</f>
        <v>0</v>
      </c>
      <c r="R1644">
        <f>IF(COUNTIFS('United Data'!$A$3:$A$3390,R$1,'United Data'!$C$3:$C$3390,$A1644)&gt;0,1,0)</f>
        <v>0</v>
      </c>
      <c r="S1644">
        <f t="shared" si="50"/>
        <v>1</v>
      </c>
      <c r="T1644">
        <f t="shared" si="51"/>
        <v>1</v>
      </c>
    </row>
    <row r="1645" spans="1:20" x14ac:dyDescent="0.2">
      <c r="A1645" t="s">
        <v>1932</v>
      </c>
      <c r="B1645">
        <f>IF(COUNTIFS('United Data'!$A$3:$A$3390,B$1,'United Data'!$C$3:$C$3390,$A1645)&gt;0,1,0)</f>
        <v>0</v>
      </c>
      <c r="C1645">
        <f>IF(COUNTIFS('United Data'!$A$3:$A$3390,C$1,'United Data'!$C$3:$C$3390,$A1645)&gt;0,1,0)</f>
        <v>0</v>
      </c>
      <c r="D1645">
        <f>IF(COUNTIFS('United Data'!$A$3:$A$3390,D$1,'United Data'!$C$3:$C$3390,$A1645)&gt;0,1,0)</f>
        <v>0</v>
      </c>
      <c r="E1645">
        <f>IF(COUNTIFS('United Data'!$A$3:$A$3390,E$1,'United Data'!$C$3:$C$3390,$A1645)&gt;0,1,0)</f>
        <v>1</v>
      </c>
      <c r="F1645">
        <f>IF(COUNTIFS('United Data'!$A$3:$A$3390,F$1,'United Data'!$C$3:$C$3390,$A1645)&gt;0,1,0)</f>
        <v>1</v>
      </c>
      <c r="G1645">
        <f>IF(COUNTIFS('United Data'!$A$3:$A$3390,G$1,'United Data'!$C$3:$C$3390,$A1645)&gt;0,1,0)</f>
        <v>1</v>
      </c>
      <c r="H1645">
        <f>IF(COUNTIFS('United Data'!$A$3:$A$3390,H$1,'United Data'!$C$3:$C$3390,$A1645)&gt;0,1,0)</f>
        <v>0</v>
      </c>
      <c r="I1645">
        <f>IF(COUNTIFS('United Data'!$A$3:$A$3390,I$1,'United Data'!$C$3:$C$3390,$A1645)&gt;0,1,0)</f>
        <v>0</v>
      </c>
      <c r="J1645">
        <f>IF(COUNTIFS('United Data'!$A$3:$A$3390,J$1,'United Data'!$C$3:$C$3390,$A1645)&gt;0,1,0)</f>
        <v>0</v>
      </c>
      <c r="K1645">
        <f>IF(COUNTIFS('United Data'!$A$3:$A$3390,K$1,'United Data'!$C$3:$C$3390,$A1645)&gt;0,1,0)</f>
        <v>0</v>
      </c>
      <c r="L1645">
        <f>IF(COUNTIFS('United Data'!$A$3:$A$3390,L$1,'United Data'!$C$3:$C$3390,$A1645)&gt;0,1,0)</f>
        <v>0</v>
      </c>
      <c r="M1645">
        <f>IF(COUNTIFS('United Data'!$A$3:$A$3390,M$1,'United Data'!$C$3:$C$3390,$A1645)&gt;0,1,0)</f>
        <v>0</v>
      </c>
      <c r="N1645">
        <f>IF(COUNTIFS('United Data'!$A$3:$A$3390,N$1,'United Data'!$C$3:$C$3390,$A1645)&gt;0,1,0)</f>
        <v>0</v>
      </c>
      <c r="O1645">
        <f>IF(COUNTIFS('United Data'!$A$3:$A$3390,O$1,'United Data'!$C$3:$C$3390,$A1645)&gt;0,1,0)</f>
        <v>0</v>
      </c>
      <c r="P1645">
        <f>IF(COUNTIFS('United Data'!$A$3:$A$3390,P$1,'United Data'!$C$3:$C$3390,$A1645)&gt;0,1,0)</f>
        <v>0</v>
      </c>
      <c r="Q1645">
        <f>IF(COUNTIFS('United Data'!$A$3:$A$3390,Q$1,'United Data'!$C$3:$C$3390,$A1645)&gt;0,1,0)</f>
        <v>0</v>
      </c>
      <c r="R1645">
        <f>IF(COUNTIFS('United Data'!$A$3:$A$3390,R$1,'United Data'!$C$3:$C$3390,$A1645)&gt;0,1,0)</f>
        <v>1</v>
      </c>
      <c r="S1645">
        <f t="shared" si="50"/>
        <v>4</v>
      </c>
      <c r="T1645">
        <f t="shared" si="51"/>
        <v>2</v>
      </c>
    </row>
    <row r="1646" spans="1:20" x14ac:dyDescent="0.2">
      <c r="A1646" t="s">
        <v>1933</v>
      </c>
      <c r="B1646">
        <f>IF(COUNTIFS('United Data'!$A$3:$A$3390,B$1,'United Data'!$C$3:$C$3390,$A1646)&gt;0,1,0)</f>
        <v>0</v>
      </c>
      <c r="C1646">
        <f>IF(COUNTIFS('United Data'!$A$3:$A$3390,C$1,'United Data'!$C$3:$C$3390,$A1646)&gt;0,1,0)</f>
        <v>0</v>
      </c>
      <c r="D1646">
        <f>IF(COUNTIFS('United Data'!$A$3:$A$3390,D$1,'United Data'!$C$3:$C$3390,$A1646)&gt;0,1,0)</f>
        <v>0</v>
      </c>
      <c r="E1646">
        <f>IF(COUNTIFS('United Data'!$A$3:$A$3390,E$1,'United Data'!$C$3:$C$3390,$A1646)&gt;0,1,0)</f>
        <v>1</v>
      </c>
      <c r="F1646">
        <f>IF(COUNTIFS('United Data'!$A$3:$A$3390,F$1,'United Data'!$C$3:$C$3390,$A1646)&gt;0,1,0)</f>
        <v>0</v>
      </c>
      <c r="G1646">
        <f>IF(COUNTIFS('United Data'!$A$3:$A$3390,G$1,'United Data'!$C$3:$C$3390,$A1646)&gt;0,1,0)</f>
        <v>0</v>
      </c>
      <c r="H1646">
        <f>IF(COUNTIFS('United Data'!$A$3:$A$3390,H$1,'United Data'!$C$3:$C$3390,$A1646)&gt;0,1,0)</f>
        <v>0</v>
      </c>
      <c r="I1646">
        <f>IF(COUNTIFS('United Data'!$A$3:$A$3390,I$1,'United Data'!$C$3:$C$3390,$A1646)&gt;0,1,0)</f>
        <v>0</v>
      </c>
      <c r="J1646">
        <f>IF(COUNTIFS('United Data'!$A$3:$A$3390,J$1,'United Data'!$C$3:$C$3390,$A1646)&gt;0,1,0)</f>
        <v>0</v>
      </c>
      <c r="K1646">
        <f>IF(COUNTIFS('United Data'!$A$3:$A$3390,K$1,'United Data'!$C$3:$C$3390,$A1646)&gt;0,1,0)</f>
        <v>0</v>
      </c>
      <c r="L1646">
        <f>IF(COUNTIFS('United Data'!$A$3:$A$3390,L$1,'United Data'!$C$3:$C$3390,$A1646)&gt;0,1,0)</f>
        <v>0</v>
      </c>
      <c r="M1646">
        <f>IF(COUNTIFS('United Data'!$A$3:$A$3390,M$1,'United Data'!$C$3:$C$3390,$A1646)&gt;0,1,0)</f>
        <v>0</v>
      </c>
      <c r="N1646">
        <f>IF(COUNTIFS('United Data'!$A$3:$A$3390,N$1,'United Data'!$C$3:$C$3390,$A1646)&gt;0,1,0)</f>
        <v>0</v>
      </c>
      <c r="O1646">
        <f>IF(COUNTIFS('United Data'!$A$3:$A$3390,O$1,'United Data'!$C$3:$C$3390,$A1646)&gt;0,1,0)</f>
        <v>0</v>
      </c>
      <c r="P1646">
        <f>IF(COUNTIFS('United Data'!$A$3:$A$3390,P$1,'United Data'!$C$3:$C$3390,$A1646)&gt;0,1,0)</f>
        <v>0</v>
      </c>
      <c r="Q1646">
        <f>IF(COUNTIFS('United Data'!$A$3:$A$3390,Q$1,'United Data'!$C$3:$C$3390,$A1646)&gt;0,1,0)</f>
        <v>0</v>
      </c>
      <c r="R1646">
        <f>IF(COUNTIFS('United Data'!$A$3:$A$3390,R$1,'United Data'!$C$3:$C$3390,$A1646)&gt;0,1,0)</f>
        <v>0</v>
      </c>
      <c r="S1646">
        <f t="shared" si="50"/>
        <v>1</v>
      </c>
      <c r="T1646">
        <f t="shared" si="51"/>
        <v>1</v>
      </c>
    </row>
    <row r="1647" spans="1:20" x14ac:dyDescent="0.2">
      <c r="A1647" t="s">
        <v>1934</v>
      </c>
      <c r="B1647">
        <f>IF(COUNTIFS('United Data'!$A$3:$A$3390,B$1,'United Data'!$C$3:$C$3390,$A1647)&gt;0,1,0)</f>
        <v>0</v>
      </c>
      <c r="C1647">
        <f>IF(COUNTIFS('United Data'!$A$3:$A$3390,C$1,'United Data'!$C$3:$C$3390,$A1647)&gt;0,1,0)</f>
        <v>0</v>
      </c>
      <c r="D1647">
        <f>IF(COUNTIFS('United Data'!$A$3:$A$3390,D$1,'United Data'!$C$3:$C$3390,$A1647)&gt;0,1,0)</f>
        <v>0</v>
      </c>
      <c r="E1647">
        <f>IF(COUNTIFS('United Data'!$A$3:$A$3390,E$1,'United Data'!$C$3:$C$3390,$A1647)&gt;0,1,0)</f>
        <v>1</v>
      </c>
      <c r="F1647">
        <f>IF(COUNTIFS('United Data'!$A$3:$A$3390,F$1,'United Data'!$C$3:$C$3390,$A1647)&gt;0,1,0)</f>
        <v>1</v>
      </c>
      <c r="G1647">
        <f>IF(COUNTIFS('United Data'!$A$3:$A$3390,G$1,'United Data'!$C$3:$C$3390,$A1647)&gt;0,1,0)</f>
        <v>0</v>
      </c>
      <c r="H1647">
        <f>IF(COUNTIFS('United Data'!$A$3:$A$3390,H$1,'United Data'!$C$3:$C$3390,$A1647)&gt;0,1,0)</f>
        <v>0</v>
      </c>
      <c r="I1647">
        <f>IF(COUNTIFS('United Data'!$A$3:$A$3390,I$1,'United Data'!$C$3:$C$3390,$A1647)&gt;0,1,0)</f>
        <v>0</v>
      </c>
      <c r="J1647">
        <f>IF(COUNTIFS('United Data'!$A$3:$A$3390,J$1,'United Data'!$C$3:$C$3390,$A1647)&gt;0,1,0)</f>
        <v>0</v>
      </c>
      <c r="K1647">
        <f>IF(COUNTIFS('United Data'!$A$3:$A$3390,K$1,'United Data'!$C$3:$C$3390,$A1647)&gt;0,1,0)</f>
        <v>0</v>
      </c>
      <c r="L1647">
        <f>IF(COUNTIFS('United Data'!$A$3:$A$3390,L$1,'United Data'!$C$3:$C$3390,$A1647)&gt;0,1,0)</f>
        <v>0</v>
      </c>
      <c r="M1647">
        <f>IF(COUNTIFS('United Data'!$A$3:$A$3390,M$1,'United Data'!$C$3:$C$3390,$A1647)&gt;0,1,0)</f>
        <v>0</v>
      </c>
      <c r="N1647">
        <f>IF(COUNTIFS('United Data'!$A$3:$A$3390,N$1,'United Data'!$C$3:$C$3390,$A1647)&gt;0,1,0)</f>
        <v>0</v>
      </c>
      <c r="O1647">
        <f>IF(COUNTIFS('United Data'!$A$3:$A$3390,O$1,'United Data'!$C$3:$C$3390,$A1647)&gt;0,1,0)</f>
        <v>0</v>
      </c>
      <c r="P1647">
        <f>IF(COUNTIFS('United Data'!$A$3:$A$3390,P$1,'United Data'!$C$3:$C$3390,$A1647)&gt;0,1,0)</f>
        <v>0</v>
      </c>
      <c r="Q1647">
        <f>IF(COUNTIFS('United Data'!$A$3:$A$3390,Q$1,'United Data'!$C$3:$C$3390,$A1647)&gt;0,1,0)</f>
        <v>0</v>
      </c>
      <c r="R1647">
        <f>IF(COUNTIFS('United Data'!$A$3:$A$3390,R$1,'United Data'!$C$3:$C$3390,$A1647)&gt;0,1,0)</f>
        <v>0</v>
      </c>
      <c r="S1647">
        <f t="shared" si="50"/>
        <v>2</v>
      </c>
      <c r="T1647">
        <f t="shared" si="51"/>
        <v>1</v>
      </c>
    </row>
    <row r="1648" spans="1:20" x14ac:dyDescent="0.2">
      <c r="A1648" t="s">
        <v>1935</v>
      </c>
      <c r="B1648">
        <f>IF(COUNTIFS('United Data'!$A$3:$A$3390,B$1,'United Data'!$C$3:$C$3390,$A1648)&gt;0,1,0)</f>
        <v>0</v>
      </c>
      <c r="C1648">
        <f>IF(COUNTIFS('United Data'!$A$3:$A$3390,C$1,'United Data'!$C$3:$C$3390,$A1648)&gt;0,1,0)</f>
        <v>0</v>
      </c>
      <c r="D1648">
        <f>IF(COUNTIFS('United Data'!$A$3:$A$3390,D$1,'United Data'!$C$3:$C$3390,$A1648)&gt;0,1,0)</f>
        <v>0</v>
      </c>
      <c r="E1648">
        <f>IF(COUNTIFS('United Data'!$A$3:$A$3390,E$1,'United Data'!$C$3:$C$3390,$A1648)&gt;0,1,0)</f>
        <v>1</v>
      </c>
      <c r="F1648">
        <f>IF(COUNTIFS('United Data'!$A$3:$A$3390,F$1,'United Data'!$C$3:$C$3390,$A1648)&gt;0,1,0)</f>
        <v>0</v>
      </c>
      <c r="G1648">
        <f>IF(COUNTIFS('United Data'!$A$3:$A$3390,G$1,'United Data'!$C$3:$C$3390,$A1648)&gt;0,1,0)</f>
        <v>0</v>
      </c>
      <c r="H1648">
        <f>IF(COUNTIFS('United Data'!$A$3:$A$3390,H$1,'United Data'!$C$3:$C$3390,$A1648)&gt;0,1,0)</f>
        <v>0</v>
      </c>
      <c r="I1648">
        <f>IF(COUNTIFS('United Data'!$A$3:$A$3390,I$1,'United Data'!$C$3:$C$3390,$A1648)&gt;0,1,0)</f>
        <v>0</v>
      </c>
      <c r="J1648">
        <f>IF(COUNTIFS('United Data'!$A$3:$A$3390,J$1,'United Data'!$C$3:$C$3390,$A1648)&gt;0,1,0)</f>
        <v>0</v>
      </c>
      <c r="K1648">
        <f>IF(COUNTIFS('United Data'!$A$3:$A$3390,K$1,'United Data'!$C$3:$C$3390,$A1648)&gt;0,1,0)</f>
        <v>0</v>
      </c>
      <c r="L1648">
        <f>IF(COUNTIFS('United Data'!$A$3:$A$3390,L$1,'United Data'!$C$3:$C$3390,$A1648)&gt;0,1,0)</f>
        <v>0</v>
      </c>
      <c r="M1648">
        <f>IF(COUNTIFS('United Data'!$A$3:$A$3390,M$1,'United Data'!$C$3:$C$3390,$A1648)&gt;0,1,0)</f>
        <v>0</v>
      </c>
      <c r="N1648">
        <f>IF(COUNTIFS('United Data'!$A$3:$A$3390,N$1,'United Data'!$C$3:$C$3390,$A1648)&gt;0,1,0)</f>
        <v>0</v>
      </c>
      <c r="O1648">
        <f>IF(COUNTIFS('United Data'!$A$3:$A$3390,O$1,'United Data'!$C$3:$C$3390,$A1648)&gt;0,1,0)</f>
        <v>0</v>
      </c>
      <c r="P1648">
        <f>IF(COUNTIFS('United Data'!$A$3:$A$3390,P$1,'United Data'!$C$3:$C$3390,$A1648)&gt;0,1,0)</f>
        <v>0</v>
      </c>
      <c r="Q1648">
        <f>IF(COUNTIFS('United Data'!$A$3:$A$3390,Q$1,'United Data'!$C$3:$C$3390,$A1648)&gt;0,1,0)</f>
        <v>0</v>
      </c>
      <c r="R1648">
        <f>IF(COUNTIFS('United Data'!$A$3:$A$3390,R$1,'United Data'!$C$3:$C$3390,$A1648)&gt;0,1,0)</f>
        <v>0</v>
      </c>
      <c r="S1648">
        <f t="shared" si="50"/>
        <v>1</v>
      </c>
      <c r="T1648">
        <f t="shared" si="51"/>
        <v>1</v>
      </c>
    </row>
    <row r="1649" spans="1:20" x14ac:dyDescent="0.2">
      <c r="A1649" t="s">
        <v>1936</v>
      </c>
      <c r="B1649">
        <f>IF(COUNTIFS('United Data'!$A$3:$A$3390,B$1,'United Data'!$C$3:$C$3390,$A1649)&gt;0,1,0)</f>
        <v>0</v>
      </c>
      <c r="C1649">
        <f>IF(COUNTIFS('United Data'!$A$3:$A$3390,C$1,'United Data'!$C$3:$C$3390,$A1649)&gt;0,1,0)</f>
        <v>0</v>
      </c>
      <c r="D1649">
        <f>IF(COUNTIFS('United Data'!$A$3:$A$3390,D$1,'United Data'!$C$3:$C$3390,$A1649)&gt;0,1,0)</f>
        <v>0</v>
      </c>
      <c r="E1649">
        <f>IF(COUNTIFS('United Data'!$A$3:$A$3390,E$1,'United Data'!$C$3:$C$3390,$A1649)&gt;0,1,0)</f>
        <v>1</v>
      </c>
      <c r="F1649">
        <f>IF(COUNTIFS('United Data'!$A$3:$A$3390,F$1,'United Data'!$C$3:$C$3390,$A1649)&gt;0,1,0)</f>
        <v>1</v>
      </c>
      <c r="G1649">
        <f>IF(COUNTIFS('United Data'!$A$3:$A$3390,G$1,'United Data'!$C$3:$C$3390,$A1649)&gt;0,1,0)</f>
        <v>1</v>
      </c>
      <c r="H1649">
        <f>IF(COUNTIFS('United Data'!$A$3:$A$3390,H$1,'United Data'!$C$3:$C$3390,$A1649)&gt;0,1,0)</f>
        <v>0</v>
      </c>
      <c r="I1649">
        <f>IF(COUNTIFS('United Data'!$A$3:$A$3390,I$1,'United Data'!$C$3:$C$3390,$A1649)&gt;0,1,0)</f>
        <v>0</v>
      </c>
      <c r="J1649">
        <f>IF(COUNTIFS('United Data'!$A$3:$A$3390,J$1,'United Data'!$C$3:$C$3390,$A1649)&gt;0,1,0)</f>
        <v>0</v>
      </c>
      <c r="K1649">
        <f>IF(COUNTIFS('United Data'!$A$3:$A$3390,K$1,'United Data'!$C$3:$C$3390,$A1649)&gt;0,1,0)</f>
        <v>0</v>
      </c>
      <c r="L1649">
        <f>IF(COUNTIFS('United Data'!$A$3:$A$3390,L$1,'United Data'!$C$3:$C$3390,$A1649)&gt;0,1,0)</f>
        <v>0</v>
      </c>
      <c r="M1649">
        <f>IF(COUNTIFS('United Data'!$A$3:$A$3390,M$1,'United Data'!$C$3:$C$3390,$A1649)&gt;0,1,0)</f>
        <v>0</v>
      </c>
      <c r="N1649">
        <f>IF(COUNTIFS('United Data'!$A$3:$A$3390,N$1,'United Data'!$C$3:$C$3390,$A1649)&gt;0,1,0)</f>
        <v>0</v>
      </c>
      <c r="O1649">
        <f>IF(COUNTIFS('United Data'!$A$3:$A$3390,O$1,'United Data'!$C$3:$C$3390,$A1649)&gt;0,1,0)</f>
        <v>0</v>
      </c>
      <c r="P1649">
        <f>IF(COUNTIFS('United Data'!$A$3:$A$3390,P$1,'United Data'!$C$3:$C$3390,$A1649)&gt;0,1,0)</f>
        <v>0</v>
      </c>
      <c r="Q1649">
        <f>IF(COUNTIFS('United Data'!$A$3:$A$3390,Q$1,'United Data'!$C$3:$C$3390,$A1649)&gt;0,1,0)</f>
        <v>0</v>
      </c>
      <c r="R1649">
        <f>IF(COUNTIFS('United Data'!$A$3:$A$3390,R$1,'United Data'!$C$3:$C$3390,$A1649)&gt;0,1,0)</f>
        <v>0</v>
      </c>
      <c r="S1649">
        <f t="shared" si="50"/>
        <v>3</v>
      </c>
      <c r="T1649">
        <f t="shared" si="51"/>
        <v>1</v>
      </c>
    </row>
    <row r="1650" spans="1:20" x14ac:dyDescent="0.2">
      <c r="A1650" t="s">
        <v>1937</v>
      </c>
      <c r="B1650">
        <f>IF(COUNTIFS('United Data'!$A$3:$A$3390,B$1,'United Data'!$C$3:$C$3390,$A1650)&gt;0,1,0)</f>
        <v>0</v>
      </c>
      <c r="C1650">
        <f>IF(COUNTIFS('United Data'!$A$3:$A$3390,C$1,'United Data'!$C$3:$C$3390,$A1650)&gt;0,1,0)</f>
        <v>0</v>
      </c>
      <c r="D1650">
        <f>IF(COUNTIFS('United Data'!$A$3:$A$3390,D$1,'United Data'!$C$3:$C$3390,$A1650)&gt;0,1,0)</f>
        <v>0</v>
      </c>
      <c r="E1650">
        <f>IF(COUNTIFS('United Data'!$A$3:$A$3390,E$1,'United Data'!$C$3:$C$3390,$A1650)&gt;0,1,0)</f>
        <v>1</v>
      </c>
      <c r="F1650">
        <f>IF(COUNTIFS('United Data'!$A$3:$A$3390,F$1,'United Data'!$C$3:$C$3390,$A1650)&gt;0,1,0)</f>
        <v>0</v>
      </c>
      <c r="G1650">
        <f>IF(COUNTIFS('United Data'!$A$3:$A$3390,G$1,'United Data'!$C$3:$C$3390,$A1650)&gt;0,1,0)</f>
        <v>0</v>
      </c>
      <c r="H1650">
        <f>IF(COUNTIFS('United Data'!$A$3:$A$3390,H$1,'United Data'!$C$3:$C$3390,$A1650)&gt;0,1,0)</f>
        <v>0</v>
      </c>
      <c r="I1650">
        <f>IF(COUNTIFS('United Data'!$A$3:$A$3390,I$1,'United Data'!$C$3:$C$3390,$A1650)&gt;0,1,0)</f>
        <v>0</v>
      </c>
      <c r="J1650">
        <f>IF(COUNTIFS('United Data'!$A$3:$A$3390,J$1,'United Data'!$C$3:$C$3390,$A1650)&gt;0,1,0)</f>
        <v>0</v>
      </c>
      <c r="K1650">
        <f>IF(COUNTIFS('United Data'!$A$3:$A$3390,K$1,'United Data'!$C$3:$C$3390,$A1650)&gt;0,1,0)</f>
        <v>0</v>
      </c>
      <c r="L1650">
        <f>IF(COUNTIFS('United Data'!$A$3:$A$3390,L$1,'United Data'!$C$3:$C$3390,$A1650)&gt;0,1,0)</f>
        <v>0</v>
      </c>
      <c r="M1650">
        <f>IF(COUNTIFS('United Data'!$A$3:$A$3390,M$1,'United Data'!$C$3:$C$3390,$A1650)&gt;0,1,0)</f>
        <v>0</v>
      </c>
      <c r="N1650">
        <f>IF(COUNTIFS('United Data'!$A$3:$A$3390,N$1,'United Data'!$C$3:$C$3390,$A1650)&gt;0,1,0)</f>
        <v>0</v>
      </c>
      <c r="O1650">
        <f>IF(COUNTIFS('United Data'!$A$3:$A$3390,O$1,'United Data'!$C$3:$C$3390,$A1650)&gt;0,1,0)</f>
        <v>0</v>
      </c>
      <c r="P1650">
        <f>IF(COUNTIFS('United Data'!$A$3:$A$3390,P$1,'United Data'!$C$3:$C$3390,$A1650)&gt;0,1,0)</f>
        <v>0</v>
      </c>
      <c r="Q1650">
        <f>IF(COUNTIFS('United Data'!$A$3:$A$3390,Q$1,'United Data'!$C$3:$C$3390,$A1650)&gt;0,1,0)</f>
        <v>0</v>
      </c>
      <c r="R1650">
        <f>IF(COUNTIFS('United Data'!$A$3:$A$3390,R$1,'United Data'!$C$3:$C$3390,$A1650)&gt;0,1,0)</f>
        <v>0</v>
      </c>
      <c r="S1650">
        <f t="shared" si="50"/>
        <v>1</v>
      </c>
      <c r="T1650">
        <f t="shared" si="51"/>
        <v>1</v>
      </c>
    </row>
    <row r="1651" spans="1:20" x14ac:dyDescent="0.2">
      <c r="A1651" t="s">
        <v>1938</v>
      </c>
      <c r="B1651">
        <f>IF(COUNTIFS('United Data'!$A$3:$A$3390,B$1,'United Data'!$C$3:$C$3390,$A1651)&gt;0,1,0)</f>
        <v>0</v>
      </c>
      <c r="C1651">
        <f>IF(COUNTIFS('United Data'!$A$3:$A$3390,C$1,'United Data'!$C$3:$C$3390,$A1651)&gt;0,1,0)</f>
        <v>0</v>
      </c>
      <c r="D1651">
        <f>IF(COUNTIFS('United Data'!$A$3:$A$3390,D$1,'United Data'!$C$3:$C$3390,$A1651)&gt;0,1,0)</f>
        <v>0</v>
      </c>
      <c r="E1651">
        <f>IF(COUNTIFS('United Data'!$A$3:$A$3390,E$1,'United Data'!$C$3:$C$3390,$A1651)&gt;0,1,0)</f>
        <v>0</v>
      </c>
      <c r="F1651">
        <f>IF(COUNTIFS('United Data'!$A$3:$A$3390,F$1,'United Data'!$C$3:$C$3390,$A1651)&gt;0,1,0)</f>
        <v>1</v>
      </c>
      <c r="G1651">
        <f>IF(COUNTIFS('United Data'!$A$3:$A$3390,G$1,'United Data'!$C$3:$C$3390,$A1651)&gt;0,1,0)</f>
        <v>1</v>
      </c>
      <c r="H1651">
        <f>IF(COUNTIFS('United Data'!$A$3:$A$3390,H$1,'United Data'!$C$3:$C$3390,$A1651)&gt;0,1,0)</f>
        <v>0</v>
      </c>
      <c r="I1651">
        <f>IF(COUNTIFS('United Data'!$A$3:$A$3390,I$1,'United Data'!$C$3:$C$3390,$A1651)&gt;0,1,0)</f>
        <v>0</v>
      </c>
      <c r="J1651">
        <f>IF(COUNTIFS('United Data'!$A$3:$A$3390,J$1,'United Data'!$C$3:$C$3390,$A1651)&gt;0,1,0)</f>
        <v>0</v>
      </c>
      <c r="K1651">
        <f>IF(COUNTIFS('United Data'!$A$3:$A$3390,K$1,'United Data'!$C$3:$C$3390,$A1651)&gt;0,1,0)</f>
        <v>0</v>
      </c>
      <c r="L1651">
        <f>IF(COUNTIFS('United Data'!$A$3:$A$3390,L$1,'United Data'!$C$3:$C$3390,$A1651)&gt;0,1,0)</f>
        <v>0</v>
      </c>
      <c r="M1651">
        <f>IF(COUNTIFS('United Data'!$A$3:$A$3390,M$1,'United Data'!$C$3:$C$3390,$A1651)&gt;0,1,0)</f>
        <v>0</v>
      </c>
      <c r="N1651">
        <f>IF(COUNTIFS('United Data'!$A$3:$A$3390,N$1,'United Data'!$C$3:$C$3390,$A1651)&gt;0,1,0)</f>
        <v>0</v>
      </c>
      <c r="O1651">
        <f>IF(COUNTIFS('United Data'!$A$3:$A$3390,O$1,'United Data'!$C$3:$C$3390,$A1651)&gt;0,1,0)</f>
        <v>0</v>
      </c>
      <c r="P1651">
        <f>IF(COUNTIFS('United Data'!$A$3:$A$3390,P$1,'United Data'!$C$3:$C$3390,$A1651)&gt;0,1,0)</f>
        <v>0</v>
      </c>
      <c r="Q1651">
        <f>IF(COUNTIFS('United Data'!$A$3:$A$3390,Q$1,'United Data'!$C$3:$C$3390,$A1651)&gt;0,1,0)</f>
        <v>0</v>
      </c>
      <c r="R1651">
        <f>IF(COUNTIFS('United Data'!$A$3:$A$3390,R$1,'United Data'!$C$3:$C$3390,$A1651)&gt;0,1,0)</f>
        <v>1</v>
      </c>
      <c r="S1651">
        <f t="shared" si="50"/>
        <v>3</v>
      </c>
      <c r="T1651">
        <f t="shared" si="51"/>
        <v>2</v>
      </c>
    </row>
    <row r="1652" spans="1:20" x14ac:dyDescent="0.2">
      <c r="A1652" t="s">
        <v>1939</v>
      </c>
      <c r="B1652">
        <f>IF(COUNTIFS('United Data'!$A$3:$A$3390,B$1,'United Data'!$C$3:$C$3390,$A1652)&gt;0,1,0)</f>
        <v>0</v>
      </c>
      <c r="C1652">
        <f>IF(COUNTIFS('United Data'!$A$3:$A$3390,C$1,'United Data'!$C$3:$C$3390,$A1652)&gt;0,1,0)</f>
        <v>0</v>
      </c>
      <c r="D1652">
        <f>IF(COUNTIFS('United Data'!$A$3:$A$3390,D$1,'United Data'!$C$3:$C$3390,$A1652)&gt;0,1,0)</f>
        <v>0</v>
      </c>
      <c r="E1652">
        <f>IF(COUNTIFS('United Data'!$A$3:$A$3390,E$1,'United Data'!$C$3:$C$3390,$A1652)&gt;0,1,0)</f>
        <v>0</v>
      </c>
      <c r="F1652">
        <f>IF(COUNTIFS('United Data'!$A$3:$A$3390,F$1,'United Data'!$C$3:$C$3390,$A1652)&gt;0,1,0)</f>
        <v>1</v>
      </c>
      <c r="G1652">
        <f>IF(COUNTIFS('United Data'!$A$3:$A$3390,G$1,'United Data'!$C$3:$C$3390,$A1652)&gt;0,1,0)</f>
        <v>0</v>
      </c>
      <c r="H1652">
        <f>IF(COUNTIFS('United Data'!$A$3:$A$3390,H$1,'United Data'!$C$3:$C$3390,$A1652)&gt;0,1,0)</f>
        <v>0</v>
      </c>
      <c r="I1652">
        <f>IF(COUNTIFS('United Data'!$A$3:$A$3390,I$1,'United Data'!$C$3:$C$3390,$A1652)&gt;0,1,0)</f>
        <v>0</v>
      </c>
      <c r="J1652">
        <f>IF(COUNTIFS('United Data'!$A$3:$A$3390,J$1,'United Data'!$C$3:$C$3390,$A1652)&gt;0,1,0)</f>
        <v>0</v>
      </c>
      <c r="K1652">
        <f>IF(COUNTIFS('United Data'!$A$3:$A$3390,K$1,'United Data'!$C$3:$C$3390,$A1652)&gt;0,1,0)</f>
        <v>0</v>
      </c>
      <c r="L1652">
        <f>IF(COUNTIFS('United Data'!$A$3:$A$3390,L$1,'United Data'!$C$3:$C$3390,$A1652)&gt;0,1,0)</f>
        <v>0</v>
      </c>
      <c r="M1652">
        <f>IF(COUNTIFS('United Data'!$A$3:$A$3390,M$1,'United Data'!$C$3:$C$3390,$A1652)&gt;0,1,0)</f>
        <v>0</v>
      </c>
      <c r="N1652">
        <f>IF(COUNTIFS('United Data'!$A$3:$A$3390,N$1,'United Data'!$C$3:$C$3390,$A1652)&gt;0,1,0)</f>
        <v>0</v>
      </c>
      <c r="O1652">
        <f>IF(COUNTIFS('United Data'!$A$3:$A$3390,O$1,'United Data'!$C$3:$C$3390,$A1652)&gt;0,1,0)</f>
        <v>0</v>
      </c>
      <c r="P1652">
        <f>IF(COUNTIFS('United Data'!$A$3:$A$3390,P$1,'United Data'!$C$3:$C$3390,$A1652)&gt;0,1,0)</f>
        <v>0</v>
      </c>
      <c r="Q1652">
        <f>IF(COUNTIFS('United Data'!$A$3:$A$3390,Q$1,'United Data'!$C$3:$C$3390,$A1652)&gt;0,1,0)</f>
        <v>0</v>
      </c>
      <c r="R1652">
        <f>IF(COUNTIFS('United Data'!$A$3:$A$3390,R$1,'United Data'!$C$3:$C$3390,$A1652)&gt;0,1,0)</f>
        <v>0</v>
      </c>
      <c r="S1652">
        <f t="shared" si="50"/>
        <v>1</v>
      </c>
      <c r="T1652">
        <f t="shared" si="51"/>
        <v>1</v>
      </c>
    </row>
    <row r="1653" spans="1:20" x14ac:dyDescent="0.2">
      <c r="A1653" t="s">
        <v>1940</v>
      </c>
      <c r="B1653">
        <f>IF(COUNTIFS('United Data'!$A$3:$A$3390,B$1,'United Data'!$C$3:$C$3390,$A1653)&gt;0,1,0)</f>
        <v>0</v>
      </c>
      <c r="C1653">
        <f>IF(COUNTIFS('United Data'!$A$3:$A$3390,C$1,'United Data'!$C$3:$C$3390,$A1653)&gt;0,1,0)</f>
        <v>0</v>
      </c>
      <c r="D1653">
        <f>IF(COUNTIFS('United Data'!$A$3:$A$3390,D$1,'United Data'!$C$3:$C$3390,$A1653)&gt;0,1,0)</f>
        <v>0</v>
      </c>
      <c r="E1653">
        <f>IF(COUNTIFS('United Data'!$A$3:$A$3390,E$1,'United Data'!$C$3:$C$3390,$A1653)&gt;0,1,0)</f>
        <v>0</v>
      </c>
      <c r="F1653">
        <f>IF(COUNTIFS('United Data'!$A$3:$A$3390,F$1,'United Data'!$C$3:$C$3390,$A1653)&gt;0,1,0)</f>
        <v>1</v>
      </c>
      <c r="G1653">
        <f>IF(COUNTIFS('United Data'!$A$3:$A$3390,G$1,'United Data'!$C$3:$C$3390,$A1653)&gt;0,1,0)</f>
        <v>1</v>
      </c>
      <c r="H1653">
        <f>IF(COUNTIFS('United Data'!$A$3:$A$3390,H$1,'United Data'!$C$3:$C$3390,$A1653)&gt;0,1,0)</f>
        <v>0</v>
      </c>
      <c r="I1653">
        <f>IF(COUNTIFS('United Data'!$A$3:$A$3390,I$1,'United Data'!$C$3:$C$3390,$A1653)&gt;0,1,0)</f>
        <v>0</v>
      </c>
      <c r="J1653">
        <f>IF(COUNTIFS('United Data'!$A$3:$A$3390,J$1,'United Data'!$C$3:$C$3390,$A1653)&gt;0,1,0)</f>
        <v>0</v>
      </c>
      <c r="K1653">
        <f>IF(COUNTIFS('United Data'!$A$3:$A$3390,K$1,'United Data'!$C$3:$C$3390,$A1653)&gt;0,1,0)</f>
        <v>0</v>
      </c>
      <c r="L1653">
        <f>IF(COUNTIFS('United Data'!$A$3:$A$3390,L$1,'United Data'!$C$3:$C$3390,$A1653)&gt;0,1,0)</f>
        <v>0</v>
      </c>
      <c r="M1653">
        <f>IF(COUNTIFS('United Data'!$A$3:$A$3390,M$1,'United Data'!$C$3:$C$3390,$A1653)&gt;0,1,0)</f>
        <v>0</v>
      </c>
      <c r="N1653">
        <f>IF(COUNTIFS('United Data'!$A$3:$A$3390,N$1,'United Data'!$C$3:$C$3390,$A1653)&gt;0,1,0)</f>
        <v>0</v>
      </c>
      <c r="O1653">
        <f>IF(COUNTIFS('United Data'!$A$3:$A$3390,O$1,'United Data'!$C$3:$C$3390,$A1653)&gt;0,1,0)</f>
        <v>0</v>
      </c>
      <c r="P1653">
        <f>IF(COUNTIFS('United Data'!$A$3:$A$3390,P$1,'United Data'!$C$3:$C$3390,$A1653)&gt;0,1,0)</f>
        <v>0</v>
      </c>
      <c r="Q1653">
        <f>IF(COUNTIFS('United Data'!$A$3:$A$3390,Q$1,'United Data'!$C$3:$C$3390,$A1653)&gt;0,1,0)</f>
        <v>0</v>
      </c>
      <c r="R1653">
        <f>IF(COUNTIFS('United Data'!$A$3:$A$3390,R$1,'United Data'!$C$3:$C$3390,$A1653)&gt;0,1,0)</f>
        <v>0</v>
      </c>
      <c r="S1653">
        <f t="shared" si="50"/>
        <v>2</v>
      </c>
      <c r="T1653">
        <f t="shared" si="51"/>
        <v>1</v>
      </c>
    </row>
    <row r="1654" spans="1:20" x14ac:dyDescent="0.2">
      <c r="A1654" t="s">
        <v>1941</v>
      </c>
      <c r="B1654">
        <f>IF(COUNTIFS('United Data'!$A$3:$A$3390,B$1,'United Data'!$C$3:$C$3390,$A1654)&gt;0,1,0)</f>
        <v>0</v>
      </c>
      <c r="C1654">
        <f>IF(COUNTIFS('United Data'!$A$3:$A$3390,C$1,'United Data'!$C$3:$C$3390,$A1654)&gt;0,1,0)</f>
        <v>0</v>
      </c>
      <c r="D1654">
        <f>IF(COUNTIFS('United Data'!$A$3:$A$3390,D$1,'United Data'!$C$3:$C$3390,$A1654)&gt;0,1,0)</f>
        <v>0</v>
      </c>
      <c r="E1654">
        <f>IF(COUNTIFS('United Data'!$A$3:$A$3390,E$1,'United Data'!$C$3:$C$3390,$A1654)&gt;0,1,0)</f>
        <v>0</v>
      </c>
      <c r="F1654">
        <f>IF(COUNTIFS('United Data'!$A$3:$A$3390,F$1,'United Data'!$C$3:$C$3390,$A1654)&gt;0,1,0)</f>
        <v>1</v>
      </c>
      <c r="G1654">
        <f>IF(COUNTIFS('United Data'!$A$3:$A$3390,G$1,'United Data'!$C$3:$C$3390,$A1654)&gt;0,1,0)</f>
        <v>0</v>
      </c>
      <c r="H1654">
        <f>IF(COUNTIFS('United Data'!$A$3:$A$3390,H$1,'United Data'!$C$3:$C$3390,$A1654)&gt;0,1,0)</f>
        <v>0</v>
      </c>
      <c r="I1654">
        <f>IF(COUNTIFS('United Data'!$A$3:$A$3390,I$1,'United Data'!$C$3:$C$3390,$A1654)&gt;0,1,0)</f>
        <v>0</v>
      </c>
      <c r="J1654">
        <f>IF(COUNTIFS('United Data'!$A$3:$A$3390,J$1,'United Data'!$C$3:$C$3390,$A1654)&gt;0,1,0)</f>
        <v>0</v>
      </c>
      <c r="K1654">
        <f>IF(COUNTIFS('United Data'!$A$3:$A$3390,K$1,'United Data'!$C$3:$C$3390,$A1654)&gt;0,1,0)</f>
        <v>0</v>
      </c>
      <c r="L1654">
        <f>IF(COUNTIFS('United Data'!$A$3:$A$3390,L$1,'United Data'!$C$3:$C$3390,$A1654)&gt;0,1,0)</f>
        <v>0</v>
      </c>
      <c r="M1654">
        <f>IF(COUNTIFS('United Data'!$A$3:$A$3390,M$1,'United Data'!$C$3:$C$3390,$A1654)&gt;0,1,0)</f>
        <v>0</v>
      </c>
      <c r="N1654">
        <f>IF(COUNTIFS('United Data'!$A$3:$A$3390,N$1,'United Data'!$C$3:$C$3390,$A1654)&gt;0,1,0)</f>
        <v>0</v>
      </c>
      <c r="O1654">
        <f>IF(COUNTIFS('United Data'!$A$3:$A$3390,O$1,'United Data'!$C$3:$C$3390,$A1654)&gt;0,1,0)</f>
        <v>0</v>
      </c>
      <c r="P1654">
        <f>IF(COUNTIFS('United Data'!$A$3:$A$3390,P$1,'United Data'!$C$3:$C$3390,$A1654)&gt;0,1,0)</f>
        <v>0</v>
      </c>
      <c r="Q1654">
        <f>IF(COUNTIFS('United Data'!$A$3:$A$3390,Q$1,'United Data'!$C$3:$C$3390,$A1654)&gt;0,1,0)</f>
        <v>0</v>
      </c>
      <c r="R1654">
        <f>IF(COUNTIFS('United Data'!$A$3:$A$3390,R$1,'United Data'!$C$3:$C$3390,$A1654)&gt;0,1,0)</f>
        <v>0</v>
      </c>
      <c r="S1654">
        <f t="shared" si="50"/>
        <v>1</v>
      </c>
      <c r="T1654">
        <f t="shared" si="51"/>
        <v>1</v>
      </c>
    </row>
    <row r="1655" spans="1:20" x14ac:dyDescent="0.2">
      <c r="A1655" t="s">
        <v>1942</v>
      </c>
      <c r="B1655">
        <f>IF(COUNTIFS('United Data'!$A$3:$A$3390,B$1,'United Data'!$C$3:$C$3390,$A1655)&gt;0,1,0)</f>
        <v>0</v>
      </c>
      <c r="C1655">
        <f>IF(COUNTIFS('United Data'!$A$3:$A$3390,C$1,'United Data'!$C$3:$C$3390,$A1655)&gt;0,1,0)</f>
        <v>0</v>
      </c>
      <c r="D1655">
        <f>IF(COUNTIFS('United Data'!$A$3:$A$3390,D$1,'United Data'!$C$3:$C$3390,$A1655)&gt;0,1,0)</f>
        <v>0</v>
      </c>
      <c r="E1655">
        <f>IF(COUNTIFS('United Data'!$A$3:$A$3390,E$1,'United Data'!$C$3:$C$3390,$A1655)&gt;0,1,0)</f>
        <v>0</v>
      </c>
      <c r="F1655">
        <f>IF(COUNTIFS('United Data'!$A$3:$A$3390,F$1,'United Data'!$C$3:$C$3390,$A1655)&gt;0,1,0)</f>
        <v>1</v>
      </c>
      <c r="G1655">
        <f>IF(COUNTIFS('United Data'!$A$3:$A$3390,G$1,'United Data'!$C$3:$C$3390,$A1655)&gt;0,1,0)</f>
        <v>0</v>
      </c>
      <c r="H1655">
        <f>IF(COUNTIFS('United Data'!$A$3:$A$3390,H$1,'United Data'!$C$3:$C$3390,$A1655)&gt;0,1,0)</f>
        <v>0</v>
      </c>
      <c r="I1655">
        <f>IF(COUNTIFS('United Data'!$A$3:$A$3390,I$1,'United Data'!$C$3:$C$3390,$A1655)&gt;0,1,0)</f>
        <v>0</v>
      </c>
      <c r="J1655">
        <f>IF(COUNTIFS('United Data'!$A$3:$A$3390,J$1,'United Data'!$C$3:$C$3390,$A1655)&gt;0,1,0)</f>
        <v>0</v>
      </c>
      <c r="K1655">
        <f>IF(COUNTIFS('United Data'!$A$3:$A$3390,K$1,'United Data'!$C$3:$C$3390,$A1655)&gt;0,1,0)</f>
        <v>1</v>
      </c>
      <c r="L1655">
        <f>IF(COUNTIFS('United Data'!$A$3:$A$3390,L$1,'United Data'!$C$3:$C$3390,$A1655)&gt;0,1,0)</f>
        <v>0</v>
      </c>
      <c r="M1655">
        <f>IF(COUNTIFS('United Data'!$A$3:$A$3390,M$1,'United Data'!$C$3:$C$3390,$A1655)&gt;0,1,0)</f>
        <v>0</v>
      </c>
      <c r="N1655">
        <f>IF(COUNTIFS('United Data'!$A$3:$A$3390,N$1,'United Data'!$C$3:$C$3390,$A1655)&gt;0,1,0)</f>
        <v>0</v>
      </c>
      <c r="O1655">
        <f>IF(COUNTIFS('United Data'!$A$3:$A$3390,O$1,'United Data'!$C$3:$C$3390,$A1655)&gt;0,1,0)</f>
        <v>0</v>
      </c>
      <c r="P1655">
        <f>IF(COUNTIFS('United Data'!$A$3:$A$3390,P$1,'United Data'!$C$3:$C$3390,$A1655)&gt;0,1,0)</f>
        <v>0</v>
      </c>
      <c r="Q1655">
        <f>IF(COUNTIFS('United Data'!$A$3:$A$3390,Q$1,'United Data'!$C$3:$C$3390,$A1655)&gt;0,1,0)</f>
        <v>0</v>
      </c>
      <c r="R1655">
        <f>IF(COUNTIFS('United Data'!$A$3:$A$3390,R$1,'United Data'!$C$3:$C$3390,$A1655)&gt;0,1,0)</f>
        <v>0</v>
      </c>
      <c r="S1655">
        <f t="shared" si="50"/>
        <v>2</v>
      </c>
      <c r="T1655">
        <f t="shared" si="51"/>
        <v>2</v>
      </c>
    </row>
    <row r="1656" spans="1:20" x14ac:dyDescent="0.2">
      <c r="A1656" t="s">
        <v>1943</v>
      </c>
      <c r="B1656">
        <f>IF(COUNTIFS('United Data'!$A$3:$A$3390,B$1,'United Data'!$C$3:$C$3390,$A1656)&gt;0,1,0)</f>
        <v>0</v>
      </c>
      <c r="C1656">
        <f>IF(COUNTIFS('United Data'!$A$3:$A$3390,C$1,'United Data'!$C$3:$C$3390,$A1656)&gt;0,1,0)</f>
        <v>0</v>
      </c>
      <c r="D1656">
        <f>IF(COUNTIFS('United Data'!$A$3:$A$3390,D$1,'United Data'!$C$3:$C$3390,$A1656)&gt;0,1,0)</f>
        <v>0</v>
      </c>
      <c r="E1656">
        <f>IF(COUNTIFS('United Data'!$A$3:$A$3390,E$1,'United Data'!$C$3:$C$3390,$A1656)&gt;0,1,0)</f>
        <v>0</v>
      </c>
      <c r="F1656">
        <f>IF(COUNTIFS('United Data'!$A$3:$A$3390,F$1,'United Data'!$C$3:$C$3390,$A1656)&gt;0,1,0)</f>
        <v>0</v>
      </c>
      <c r="G1656">
        <f>IF(COUNTIFS('United Data'!$A$3:$A$3390,G$1,'United Data'!$C$3:$C$3390,$A1656)&gt;0,1,0)</f>
        <v>1</v>
      </c>
      <c r="H1656">
        <f>IF(COUNTIFS('United Data'!$A$3:$A$3390,H$1,'United Data'!$C$3:$C$3390,$A1656)&gt;0,1,0)</f>
        <v>0</v>
      </c>
      <c r="I1656">
        <f>IF(COUNTIFS('United Data'!$A$3:$A$3390,I$1,'United Data'!$C$3:$C$3390,$A1656)&gt;0,1,0)</f>
        <v>0</v>
      </c>
      <c r="J1656">
        <f>IF(COUNTIFS('United Data'!$A$3:$A$3390,J$1,'United Data'!$C$3:$C$3390,$A1656)&gt;0,1,0)</f>
        <v>0</v>
      </c>
      <c r="K1656">
        <f>IF(COUNTIFS('United Data'!$A$3:$A$3390,K$1,'United Data'!$C$3:$C$3390,$A1656)&gt;0,1,0)</f>
        <v>0</v>
      </c>
      <c r="L1656">
        <f>IF(COUNTIFS('United Data'!$A$3:$A$3390,L$1,'United Data'!$C$3:$C$3390,$A1656)&gt;0,1,0)</f>
        <v>0</v>
      </c>
      <c r="M1656">
        <f>IF(COUNTIFS('United Data'!$A$3:$A$3390,M$1,'United Data'!$C$3:$C$3390,$A1656)&gt;0,1,0)</f>
        <v>0</v>
      </c>
      <c r="N1656">
        <f>IF(COUNTIFS('United Data'!$A$3:$A$3390,N$1,'United Data'!$C$3:$C$3390,$A1656)&gt;0,1,0)</f>
        <v>0</v>
      </c>
      <c r="O1656">
        <f>IF(COUNTIFS('United Data'!$A$3:$A$3390,O$1,'United Data'!$C$3:$C$3390,$A1656)&gt;0,1,0)</f>
        <v>0</v>
      </c>
      <c r="P1656">
        <f>IF(COUNTIFS('United Data'!$A$3:$A$3390,P$1,'United Data'!$C$3:$C$3390,$A1656)&gt;0,1,0)</f>
        <v>0</v>
      </c>
      <c r="Q1656">
        <f>IF(COUNTIFS('United Data'!$A$3:$A$3390,Q$1,'United Data'!$C$3:$C$3390,$A1656)&gt;0,1,0)</f>
        <v>0</v>
      </c>
      <c r="R1656">
        <f>IF(COUNTIFS('United Data'!$A$3:$A$3390,R$1,'United Data'!$C$3:$C$3390,$A1656)&gt;0,1,0)</f>
        <v>0</v>
      </c>
      <c r="S1656">
        <f t="shared" si="50"/>
        <v>1</v>
      </c>
      <c r="T1656">
        <f t="shared" si="51"/>
        <v>1</v>
      </c>
    </row>
    <row r="1657" spans="1:20" x14ac:dyDescent="0.2">
      <c r="A1657" t="s">
        <v>1944</v>
      </c>
      <c r="B1657">
        <f>IF(COUNTIFS('United Data'!$A$3:$A$3390,B$1,'United Data'!$C$3:$C$3390,$A1657)&gt;0,1,0)</f>
        <v>0</v>
      </c>
      <c r="C1657">
        <f>IF(COUNTIFS('United Data'!$A$3:$A$3390,C$1,'United Data'!$C$3:$C$3390,$A1657)&gt;0,1,0)</f>
        <v>0</v>
      </c>
      <c r="D1657">
        <f>IF(COUNTIFS('United Data'!$A$3:$A$3390,D$1,'United Data'!$C$3:$C$3390,$A1657)&gt;0,1,0)</f>
        <v>0</v>
      </c>
      <c r="E1657">
        <f>IF(COUNTIFS('United Data'!$A$3:$A$3390,E$1,'United Data'!$C$3:$C$3390,$A1657)&gt;0,1,0)</f>
        <v>0</v>
      </c>
      <c r="F1657">
        <f>IF(COUNTIFS('United Data'!$A$3:$A$3390,F$1,'United Data'!$C$3:$C$3390,$A1657)&gt;0,1,0)</f>
        <v>0</v>
      </c>
      <c r="G1657">
        <f>IF(COUNTIFS('United Data'!$A$3:$A$3390,G$1,'United Data'!$C$3:$C$3390,$A1657)&gt;0,1,0)</f>
        <v>1</v>
      </c>
      <c r="H1657">
        <f>IF(COUNTIFS('United Data'!$A$3:$A$3390,H$1,'United Data'!$C$3:$C$3390,$A1657)&gt;0,1,0)</f>
        <v>1</v>
      </c>
      <c r="I1657">
        <f>IF(COUNTIFS('United Data'!$A$3:$A$3390,I$1,'United Data'!$C$3:$C$3390,$A1657)&gt;0,1,0)</f>
        <v>0</v>
      </c>
      <c r="J1657">
        <f>IF(COUNTIFS('United Data'!$A$3:$A$3390,J$1,'United Data'!$C$3:$C$3390,$A1657)&gt;0,1,0)</f>
        <v>0</v>
      </c>
      <c r="K1657">
        <f>IF(COUNTIFS('United Data'!$A$3:$A$3390,K$1,'United Data'!$C$3:$C$3390,$A1657)&gt;0,1,0)</f>
        <v>0</v>
      </c>
      <c r="L1657">
        <f>IF(COUNTIFS('United Data'!$A$3:$A$3390,L$1,'United Data'!$C$3:$C$3390,$A1657)&gt;0,1,0)</f>
        <v>0</v>
      </c>
      <c r="M1657">
        <f>IF(COUNTIFS('United Data'!$A$3:$A$3390,M$1,'United Data'!$C$3:$C$3390,$A1657)&gt;0,1,0)</f>
        <v>0</v>
      </c>
      <c r="N1657">
        <f>IF(COUNTIFS('United Data'!$A$3:$A$3390,N$1,'United Data'!$C$3:$C$3390,$A1657)&gt;0,1,0)</f>
        <v>0</v>
      </c>
      <c r="O1657">
        <f>IF(COUNTIFS('United Data'!$A$3:$A$3390,O$1,'United Data'!$C$3:$C$3390,$A1657)&gt;0,1,0)</f>
        <v>0</v>
      </c>
      <c r="P1657">
        <f>IF(COUNTIFS('United Data'!$A$3:$A$3390,P$1,'United Data'!$C$3:$C$3390,$A1657)&gt;0,1,0)</f>
        <v>0</v>
      </c>
      <c r="Q1657">
        <f>IF(COUNTIFS('United Data'!$A$3:$A$3390,Q$1,'United Data'!$C$3:$C$3390,$A1657)&gt;0,1,0)</f>
        <v>0</v>
      </c>
      <c r="R1657">
        <f>IF(COUNTIFS('United Data'!$A$3:$A$3390,R$1,'United Data'!$C$3:$C$3390,$A1657)&gt;0,1,0)</f>
        <v>1</v>
      </c>
      <c r="S1657">
        <f t="shared" si="50"/>
        <v>3</v>
      </c>
      <c r="T1657">
        <f t="shared" si="51"/>
        <v>2</v>
      </c>
    </row>
    <row r="1658" spans="1:20" x14ac:dyDescent="0.2">
      <c r="A1658" t="s">
        <v>1945</v>
      </c>
      <c r="B1658">
        <f>IF(COUNTIFS('United Data'!$A$3:$A$3390,B$1,'United Data'!$C$3:$C$3390,$A1658)&gt;0,1,0)</f>
        <v>0</v>
      </c>
      <c r="C1658">
        <f>IF(COUNTIFS('United Data'!$A$3:$A$3390,C$1,'United Data'!$C$3:$C$3390,$A1658)&gt;0,1,0)</f>
        <v>0</v>
      </c>
      <c r="D1658">
        <f>IF(COUNTIFS('United Data'!$A$3:$A$3390,D$1,'United Data'!$C$3:$C$3390,$A1658)&gt;0,1,0)</f>
        <v>0</v>
      </c>
      <c r="E1658">
        <f>IF(COUNTIFS('United Data'!$A$3:$A$3390,E$1,'United Data'!$C$3:$C$3390,$A1658)&gt;0,1,0)</f>
        <v>0</v>
      </c>
      <c r="F1658">
        <f>IF(COUNTIFS('United Data'!$A$3:$A$3390,F$1,'United Data'!$C$3:$C$3390,$A1658)&gt;0,1,0)</f>
        <v>0</v>
      </c>
      <c r="G1658">
        <f>IF(COUNTIFS('United Data'!$A$3:$A$3390,G$1,'United Data'!$C$3:$C$3390,$A1658)&gt;0,1,0)</f>
        <v>0</v>
      </c>
      <c r="H1658">
        <f>IF(COUNTIFS('United Data'!$A$3:$A$3390,H$1,'United Data'!$C$3:$C$3390,$A1658)&gt;0,1,0)</f>
        <v>0</v>
      </c>
      <c r="I1658">
        <f>IF(COUNTIFS('United Data'!$A$3:$A$3390,I$1,'United Data'!$C$3:$C$3390,$A1658)&gt;0,1,0)</f>
        <v>1</v>
      </c>
      <c r="J1658">
        <f>IF(COUNTIFS('United Data'!$A$3:$A$3390,J$1,'United Data'!$C$3:$C$3390,$A1658)&gt;0,1,0)</f>
        <v>1</v>
      </c>
      <c r="K1658">
        <f>IF(COUNTIFS('United Data'!$A$3:$A$3390,K$1,'United Data'!$C$3:$C$3390,$A1658)&gt;0,1,0)</f>
        <v>0</v>
      </c>
      <c r="L1658">
        <f>IF(COUNTIFS('United Data'!$A$3:$A$3390,L$1,'United Data'!$C$3:$C$3390,$A1658)&gt;0,1,0)</f>
        <v>1</v>
      </c>
      <c r="M1658">
        <f>IF(COUNTIFS('United Data'!$A$3:$A$3390,M$1,'United Data'!$C$3:$C$3390,$A1658)&gt;0,1,0)</f>
        <v>0</v>
      </c>
      <c r="N1658">
        <f>IF(COUNTIFS('United Data'!$A$3:$A$3390,N$1,'United Data'!$C$3:$C$3390,$A1658)&gt;0,1,0)</f>
        <v>0</v>
      </c>
      <c r="O1658">
        <f>IF(COUNTIFS('United Data'!$A$3:$A$3390,O$1,'United Data'!$C$3:$C$3390,$A1658)&gt;0,1,0)</f>
        <v>0</v>
      </c>
      <c r="P1658">
        <f>IF(COUNTIFS('United Data'!$A$3:$A$3390,P$1,'United Data'!$C$3:$C$3390,$A1658)&gt;0,1,0)</f>
        <v>0</v>
      </c>
      <c r="Q1658">
        <f>IF(COUNTIFS('United Data'!$A$3:$A$3390,Q$1,'United Data'!$C$3:$C$3390,$A1658)&gt;0,1,0)</f>
        <v>0</v>
      </c>
      <c r="R1658">
        <f>IF(COUNTIFS('United Data'!$A$3:$A$3390,R$1,'United Data'!$C$3:$C$3390,$A1658)&gt;0,1,0)</f>
        <v>0</v>
      </c>
      <c r="S1658">
        <f t="shared" si="50"/>
        <v>3</v>
      </c>
      <c r="T1658">
        <f t="shared" si="51"/>
        <v>2</v>
      </c>
    </row>
    <row r="1659" spans="1:20" x14ac:dyDescent="0.2">
      <c r="A1659" t="s">
        <v>1946</v>
      </c>
      <c r="B1659">
        <f>IF(COUNTIFS('United Data'!$A$3:$A$3390,B$1,'United Data'!$C$3:$C$3390,$A1659)&gt;0,1,0)</f>
        <v>0</v>
      </c>
      <c r="C1659">
        <f>IF(COUNTIFS('United Data'!$A$3:$A$3390,C$1,'United Data'!$C$3:$C$3390,$A1659)&gt;0,1,0)</f>
        <v>0</v>
      </c>
      <c r="D1659">
        <f>IF(COUNTIFS('United Data'!$A$3:$A$3390,D$1,'United Data'!$C$3:$C$3390,$A1659)&gt;0,1,0)</f>
        <v>0</v>
      </c>
      <c r="E1659">
        <f>IF(COUNTIFS('United Data'!$A$3:$A$3390,E$1,'United Data'!$C$3:$C$3390,$A1659)&gt;0,1,0)</f>
        <v>0</v>
      </c>
      <c r="F1659">
        <f>IF(COUNTIFS('United Data'!$A$3:$A$3390,F$1,'United Data'!$C$3:$C$3390,$A1659)&gt;0,1,0)</f>
        <v>0</v>
      </c>
      <c r="G1659">
        <f>IF(COUNTIFS('United Data'!$A$3:$A$3390,G$1,'United Data'!$C$3:$C$3390,$A1659)&gt;0,1,0)</f>
        <v>0</v>
      </c>
      <c r="H1659">
        <f>IF(COUNTIFS('United Data'!$A$3:$A$3390,H$1,'United Data'!$C$3:$C$3390,$A1659)&gt;0,1,0)</f>
        <v>0</v>
      </c>
      <c r="I1659">
        <f>IF(COUNTIFS('United Data'!$A$3:$A$3390,I$1,'United Data'!$C$3:$C$3390,$A1659)&gt;0,1,0)</f>
        <v>1</v>
      </c>
      <c r="J1659">
        <f>IF(COUNTIFS('United Data'!$A$3:$A$3390,J$1,'United Data'!$C$3:$C$3390,$A1659)&gt;0,1,0)</f>
        <v>0</v>
      </c>
      <c r="K1659">
        <f>IF(COUNTIFS('United Data'!$A$3:$A$3390,K$1,'United Data'!$C$3:$C$3390,$A1659)&gt;0,1,0)</f>
        <v>0</v>
      </c>
      <c r="L1659">
        <f>IF(COUNTIFS('United Data'!$A$3:$A$3390,L$1,'United Data'!$C$3:$C$3390,$A1659)&gt;0,1,0)</f>
        <v>0</v>
      </c>
      <c r="M1659">
        <f>IF(COUNTIFS('United Data'!$A$3:$A$3390,M$1,'United Data'!$C$3:$C$3390,$A1659)&gt;0,1,0)</f>
        <v>0</v>
      </c>
      <c r="N1659">
        <f>IF(COUNTIFS('United Data'!$A$3:$A$3390,N$1,'United Data'!$C$3:$C$3390,$A1659)&gt;0,1,0)</f>
        <v>0</v>
      </c>
      <c r="O1659">
        <f>IF(COUNTIFS('United Data'!$A$3:$A$3390,O$1,'United Data'!$C$3:$C$3390,$A1659)&gt;0,1,0)</f>
        <v>0</v>
      </c>
      <c r="P1659">
        <f>IF(COUNTIFS('United Data'!$A$3:$A$3390,P$1,'United Data'!$C$3:$C$3390,$A1659)&gt;0,1,0)</f>
        <v>0</v>
      </c>
      <c r="Q1659">
        <f>IF(COUNTIFS('United Data'!$A$3:$A$3390,Q$1,'United Data'!$C$3:$C$3390,$A1659)&gt;0,1,0)</f>
        <v>0</v>
      </c>
      <c r="R1659">
        <f>IF(COUNTIFS('United Data'!$A$3:$A$3390,R$1,'United Data'!$C$3:$C$3390,$A1659)&gt;0,1,0)</f>
        <v>0</v>
      </c>
      <c r="S1659">
        <f t="shared" si="50"/>
        <v>1</v>
      </c>
      <c r="T1659">
        <f t="shared" si="51"/>
        <v>1</v>
      </c>
    </row>
    <row r="1660" spans="1:20" x14ac:dyDescent="0.2">
      <c r="A1660" t="s">
        <v>1947</v>
      </c>
      <c r="B1660">
        <f>IF(COUNTIFS('United Data'!$A$3:$A$3390,B$1,'United Data'!$C$3:$C$3390,$A1660)&gt;0,1,0)</f>
        <v>0</v>
      </c>
      <c r="C1660">
        <f>IF(COUNTIFS('United Data'!$A$3:$A$3390,C$1,'United Data'!$C$3:$C$3390,$A1660)&gt;0,1,0)</f>
        <v>0</v>
      </c>
      <c r="D1660">
        <f>IF(COUNTIFS('United Data'!$A$3:$A$3390,D$1,'United Data'!$C$3:$C$3390,$A1660)&gt;0,1,0)</f>
        <v>0</v>
      </c>
      <c r="E1660">
        <f>IF(COUNTIFS('United Data'!$A$3:$A$3390,E$1,'United Data'!$C$3:$C$3390,$A1660)&gt;0,1,0)</f>
        <v>0</v>
      </c>
      <c r="F1660">
        <f>IF(COUNTIFS('United Data'!$A$3:$A$3390,F$1,'United Data'!$C$3:$C$3390,$A1660)&gt;0,1,0)</f>
        <v>0</v>
      </c>
      <c r="G1660">
        <f>IF(COUNTIFS('United Data'!$A$3:$A$3390,G$1,'United Data'!$C$3:$C$3390,$A1660)&gt;0,1,0)</f>
        <v>0</v>
      </c>
      <c r="H1660">
        <f>IF(COUNTIFS('United Data'!$A$3:$A$3390,H$1,'United Data'!$C$3:$C$3390,$A1660)&gt;0,1,0)</f>
        <v>0</v>
      </c>
      <c r="I1660">
        <f>IF(COUNTIFS('United Data'!$A$3:$A$3390,I$1,'United Data'!$C$3:$C$3390,$A1660)&gt;0,1,0)</f>
        <v>0</v>
      </c>
      <c r="J1660">
        <f>IF(COUNTIFS('United Data'!$A$3:$A$3390,J$1,'United Data'!$C$3:$C$3390,$A1660)&gt;0,1,0)</f>
        <v>0</v>
      </c>
      <c r="K1660">
        <f>IF(COUNTIFS('United Data'!$A$3:$A$3390,K$1,'United Data'!$C$3:$C$3390,$A1660)&gt;0,1,0)</f>
        <v>1</v>
      </c>
      <c r="L1660">
        <f>IF(COUNTIFS('United Data'!$A$3:$A$3390,L$1,'United Data'!$C$3:$C$3390,$A1660)&gt;0,1,0)</f>
        <v>0</v>
      </c>
      <c r="M1660">
        <f>IF(COUNTIFS('United Data'!$A$3:$A$3390,M$1,'United Data'!$C$3:$C$3390,$A1660)&gt;0,1,0)</f>
        <v>0</v>
      </c>
      <c r="N1660">
        <f>IF(COUNTIFS('United Data'!$A$3:$A$3390,N$1,'United Data'!$C$3:$C$3390,$A1660)&gt;0,1,0)</f>
        <v>0</v>
      </c>
      <c r="O1660">
        <f>IF(COUNTIFS('United Data'!$A$3:$A$3390,O$1,'United Data'!$C$3:$C$3390,$A1660)&gt;0,1,0)</f>
        <v>0</v>
      </c>
      <c r="P1660">
        <f>IF(COUNTIFS('United Data'!$A$3:$A$3390,P$1,'United Data'!$C$3:$C$3390,$A1660)&gt;0,1,0)</f>
        <v>0</v>
      </c>
      <c r="Q1660">
        <f>IF(COUNTIFS('United Data'!$A$3:$A$3390,Q$1,'United Data'!$C$3:$C$3390,$A1660)&gt;0,1,0)</f>
        <v>0</v>
      </c>
      <c r="R1660">
        <f>IF(COUNTIFS('United Data'!$A$3:$A$3390,R$1,'United Data'!$C$3:$C$3390,$A1660)&gt;0,1,0)</f>
        <v>0</v>
      </c>
      <c r="S1660">
        <f t="shared" si="50"/>
        <v>1</v>
      </c>
      <c r="T1660">
        <f t="shared" si="51"/>
        <v>1</v>
      </c>
    </row>
    <row r="1661" spans="1:20" x14ac:dyDescent="0.2">
      <c r="A1661" t="s">
        <v>1948</v>
      </c>
      <c r="B1661">
        <f>IF(COUNTIFS('United Data'!$A$3:$A$3390,B$1,'United Data'!$C$3:$C$3390,$A1661)&gt;0,1,0)</f>
        <v>0</v>
      </c>
      <c r="C1661">
        <f>IF(COUNTIFS('United Data'!$A$3:$A$3390,C$1,'United Data'!$C$3:$C$3390,$A1661)&gt;0,1,0)</f>
        <v>0</v>
      </c>
      <c r="D1661">
        <f>IF(COUNTIFS('United Data'!$A$3:$A$3390,D$1,'United Data'!$C$3:$C$3390,$A1661)&gt;0,1,0)</f>
        <v>0</v>
      </c>
      <c r="E1661">
        <f>IF(COUNTIFS('United Data'!$A$3:$A$3390,E$1,'United Data'!$C$3:$C$3390,$A1661)&gt;0,1,0)</f>
        <v>0</v>
      </c>
      <c r="F1661">
        <f>IF(COUNTIFS('United Data'!$A$3:$A$3390,F$1,'United Data'!$C$3:$C$3390,$A1661)&gt;0,1,0)</f>
        <v>0</v>
      </c>
      <c r="G1661">
        <f>IF(COUNTIFS('United Data'!$A$3:$A$3390,G$1,'United Data'!$C$3:$C$3390,$A1661)&gt;0,1,0)</f>
        <v>0</v>
      </c>
      <c r="H1661">
        <f>IF(COUNTIFS('United Data'!$A$3:$A$3390,H$1,'United Data'!$C$3:$C$3390,$A1661)&gt;0,1,0)</f>
        <v>0</v>
      </c>
      <c r="I1661">
        <f>IF(COUNTIFS('United Data'!$A$3:$A$3390,I$1,'United Data'!$C$3:$C$3390,$A1661)&gt;0,1,0)</f>
        <v>0</v>
      </c>
      <c r="J1661">
        <f>IF(COUNTIFS('United Data'!$A$3:$A$3390,J$1,'United Data'!$C$3:$C$3390,$A1661)&gt;0,1,0)</f>
        <v>0</v>
      </c>
      <c r="K1661">
        <f>IF(COUNTIFS('United Data'!$A$3:$A$3390,K$1,'United Data'!$C$3:$C$3390,$A1661)&gt;0,1,0)</f>
        <v>1</v>
      </c>
      <c r="L1661">
        <f>IF(COUNTIFS('United Data'!$A$3:$A$3390,L$1,'United Data'!$C$3:$C$3390,$A1661)&gt;0,1,0)</f>
        <v>0</v>
      </c>
      <c r="M1661">
        <f>IF(COUNTIFS('United Data'!$A$3:$A$3390,M$1,'United Data'!$C$3:$C$3390,$A1661)&gt;0,1,0)</f>
        <v>0</v>
      </c>
      <c r="N1661">
        <f>IF(COUNTIFS('United Data'!$A$3:$A$3390,N$1,'United Data'!$C$3:$C$3390,$A1661)&gt;0,1,0)</f>
        <v>0</v>
      </c>
      <c r="O1661">
        <f>IF(COUNTIFS('United Data'!$A$3:$A$3390,O$1,'United Data'!$C$3:$C$3390,$A1661)&gt;0,1,0)</f>
        <v>0</v>
      </c>
      <c r="P1661">
        <f>IF(COUNTIFS('United Data'!$A$3:$A$3390,P$1,'United Data'!$C$3:$C$3390,$A1661)&gt;0,1,0)</f>
        <v>0</v>
      </c>
      <c r="Q1661">
        <f>IF(COUNTIFS('United Data'!$A$3:$A$3390,Q$1,'United Data'!$C$3:$C$3390,$A1661)&gt;0,1,0)</f>
        <v>0</v>
      </c>
      <c r="R1661">
        <f>IF(COUNTIFS('United Data'!$A$3:$A$3390,R$1,'United Data'!$C$3:$C$3390,$A1661)&gt;0,1,0)</f>
        <v>0</v>
      </c>
      <c r="S1661">
        <f t="shared" si="50"/>
        <v>1</v>
      </c>
      <c r="T1661">
        <f t="shared" si="51"/>
        <v>1</v>
      </c>
    </row>
    <row r="1662" spans="1:20" x14ac:dyDescent="0.2">
      <c r="A1662" t="s">
        <v>1949</v>
      </c>
      <c r="B1662">
        <f>IF(COUNTIFS('United Data'!$A$3:$A$3390,B$1,'United Data'!$C$3:$C$3390,$A1662)&gt;0,1,0)</f>
        <v>0</v>
      </c>
      <c r="C1662">
        <f>IF(COUNTIFS('United Data'!$A$3:$A$3390,C$1,'United Data'!$C$3:$C$3390,$A1662)&gt;0,1,0)</f>
        <v>0</v>
      </c>
      <c r="D1662">
        <f>IF(COUNTIFS('United Data'!$A$3:$A$3390,D$1,'United Data'!$C$3:$C$3390,$A1662)&gt;0,1,0)</f>
        <v>0</v>
      </c>
      <c r="E1662">
        <f>IF(COUNTIFS('United Data'!$A$3:$A$3390,E$1,'United Data'!$C$3:$C$3390,$A1662)&gt;0,1,0)</f>
        <v>0</v>
      </c>
      <c r="F1662">
        <f>IF(COUNTIFS('United Data'!$A$3:$A$3390,F$1,'United Data'!$C$3:$C$3390,$A1662)&gt;0,1,0)</f>
        <v>0</v>
      </c>
      <c r="G1662">
        <f>IF(COUNTIFS('United Data'!$A$3:$A$3390,G$1,'United Data'!$C$3:$C$3390,$A1662)&gt;0,1,0)</f>
        <v>0</v>
      </c>
      <c r="H1662">
        <f>IF(COUNTIFS('United Data'!$A$3:$A$3390,H$1,'United Data'!$C$3:$C$3390,$A1662)&gt;0,1,0)</f>
        <v>0</v>
      </c>
      <c r="I1662">
        <f>IF(COUNTIFS('United Data'!$A$3:$A$3390,I$1,'United Data'!$C$3:$C$3390,$A1662)&gt;0,1,0)</f>
        <v>0</v>
      </c>
      <c r="J1662">
        <f>IF(COUNTIFS('United Data'!$A$3:$A$3390,J$1,'United Data'!$C$3:$C$3390,$A1662)&gt;0,1,0)</f>
        <v>0</v>
      </c>
      <c r="K1662">
        <f>IF(COUNTIFS('United Data'!$A$3:$A$3390,K$1,'United Data'!$C$3:$C$3390,$A1662)&gt;0,1,0)</f>
        <v>1</v>
      </c>
      <c r="L1662">
        <f>IF(COUNTIFS('United Data'!$A$3:$A$3390,L$1,'United Data'!$C$3:$C$3390,$A1662)&gt;0,1,0)</f>
        <v>0</v>
      </c>
      <c r="M1662">
        <f>IF(COUNTIFS('United Data'!$A$3:$A$3390,M$1,'United Data'!$C$3:$C$3390,$A1662)&gt;0,1,0)</f>
        <v>0</v>
      </c>
      <c r="N1662">
        <f>IF(COUNTIFS('United Data'!$A$3:$A$3390,N$1,'United Data'!$C$3:$C$3390,$A1662)&gt;0,1,0)</f>
        <v>0</v>
      </c>
      <c r="O1662">
        <f>IF(COUNTIFS('United Data'!$A$3:$A$3390,O$1,'United Data'!$C$3:$C$3390,$A1662)&gt;0,1,0)</f>
        <v>0</v>
      </c>
      <c r="P1662">
        <f>IF(COUNTIFS('United Data'!$A$3:$A$3390,P$1,'United Data'!$C$3:$C$3390,$A1662)&gt;0,1,0)</f>
        <v>0</v>
      </c>
      <c r="Q1662">
        <f>IF(COUNTIFS('United Data'!$A$3:$A$3390,Q$1,'United Data'!$C$3:$C$3390,$A1662)&gt;0,1,0)</f>
        <v>0</v>
      </c>
      <c r="R1662">
        <f>IF(COUNTIFS('United Data'!$A$3:$A$3390,R$1,'United Data'!$C$3:$C$3390,$A1662)&gt;0,1,0)</f>
        <v>0</v>
      </c>
      <c r="S1662">
        <f t="shared" si="50"/>
        <v>1</v>
      </c>
      <c r="T1662">
        <f t="shared" si="51"/>
        <v>1</v>
      </c>
    </row>
    <row r="1663" spans="1:20" x14ac:dyDescent="0.2">
      <c r="A1663" t="s">
        <v>1950</v>
      </c>
      <c r="B1663">
        <f>IF(COUNTIFS('United Data'!$A$3:$A$3390,B$1,'United Data'!$C$3:$C$3390,$A1663)&gt;0,1,0)</f>
        <v>0</v>
      </c>
      <c r="C1663">
        <f>IF(COUNTIFS('United Data'!$A$3:$A$3390,C$1,'United Data'!$C$3:$C$3390,$A1663)&gt;0,1,0)</f>
        <v>0</v>
      </c>
      <c r="D1663">
        <f>IF(COUNTIFS('United Data'!$A$3:$A$3390,D$1,'United Data'!$C$3:$C$3390,$A1663)&gt;0,1,0)</f>
        <v>0</v>
      </c>
      <c r="E1663">
        <f>IF(COUNTIFS('United Data'!$A$3:$A$3390,E$1,'United Data'!$C$3:$C$3390,$A1663)&gt;0,1,0)</f>
        <v>0</v>
      </c>
      <c r="F1663">
        <f>IF(COUNTIFS('United Data'!$A$3:$A$3390,F$1,'United Data'!$C$3:$C$3390,$A1663)&gt;0,1,0)</f>
        <v>0</v>
      </c>
      <c r="G1663">
        <f>IF(COUNTIFS('United Data'!$A$3:$A$3390,G$1,'United Data'!$C$3:$C$3390,$A1663)&gt;0,1,0)</f>
        <v>0</v>
      </c>
      <c r="H1663">
        <f>IF(COUNTIFS('United Data'!$A$3:$A$3390,H$1,'United Data'!$C$3:$C$3390,$A1663)&gt;0,1,0)</f>
        <v>0</v>
      </c>
      <c r="I1663">
        <f>IF(COUNTIFS('United Data'!$A$3:$A$3390,I$1,'United Data'!$C$3:$C$3390,$A1663)&gt;0,1,0)</f>
        <v>0</v>
      </c>
      <c r="J1663">
        <f>IF(COUNTIFS('United Data'!$A$3:$A$3390,J$1,'United Data'!$C$3:$C$3390,$A1663)&gt;0,1,0)</f>
        <v>0</v>
      </c>
      <c r="K1663">
        <f>IF(COUNTIFS('United Data'!$A$3:$A$3390,K$1,'United Data'!$C$3:$C$3390,$A1663)&gt;0,1,0)</f>
        <v>0</v>
      </c>
      <c r="L1663">
        <f>IF(COUNTIFS('United Data'!$A$3:$A$3390,L$1,'United Data'!$C$3:$C$3390,$A1663)&gt;0,1,0)</f>
        <v>0</v>
      </c>
      <c r="M1663">
        <f>IF(COUNTIFS('United Data'!$A$3:$A$3390,M$1,'United Data'!$C$3:$C$3390,$A1663)&gt;0,1,0)</f>
        <v>0</v>
      </c>
      <c r="N1663">
        <f>IF(COUNTIFS('United Data'!$A$3:$A$3390,N$1,'United Data'!$C$3:$C$3390,$A1663)&gt;0,1,0)</f>
        <v>1</v>
      </c>
      <c r="O1663">
        <f>IF(COUNTIFS('United Data'!$A$3:$A$3390,O$1,'United Data'!$C$3:$C$3390,$A1663)&gt;0,1,0)</f>
        <v>1</v>
      </c>
      <c r="P1663">
        <f>IF(COUNTIFS('United Data'!$A$3:$A$3390,P$1,'United Data'!$C$3:$C$3390,$A1663)&gt;0,1,0)</f>
        <v>0</v>
      </c>
      <c r="Q1663">
        <f>IF(COUNTIFS('United Data'!$A$3:$A$3390,Q$1,'United Data'!$C$3:$C$3390,$A1663)&gt;0,1,0)</f>
        <v>0</v>
      </c>
      <c r="R1663">
        <f>IF(COUNTIFS('United Data'!$A$3:$A$3390,R$1,'United Data'!$C$3:$C$3390,$A1663)&gt;0,1,0)</f>
        <v>0</v>
      </c>
      <c r="S1663">
        <f t="shared" si="50"/>
        <v>2</v>
      </c>
      <c r="T1663">
        <f t="shared" si="51"/>
        <v>1</v>
      </c>
    </row>
    <row r="1664" spans="1:20" x14ac:dyDescent="0.2">
      <c r="A1664" t="s">
        <v>1951</v>
      </c>
      <c r="B1664">
        <f>IF(COUNTIFS('United Data'!$A$3:$A$3390,B$1,'United Data'!$C$3:$C$3390,$A1664)&gt;0,1,0)</f>
        <v>0</v>
      </c>
      <c r="C1664">
        <f>IF(COUNTIFS('United Data'!$A$3:$A$3390,C$1,'United Data'!$C$3:$C$3390,$A1664)&gt;0,1,0)</f>
        <v>0</v>
      </c>
      <c r="D1664">
        <f>IF(COUNTIFS('United Data'!$A$3:$A$3390,D$1,'United Data'!$C$3:$C$3390,$A1664)&gt;0,1,0)</f>
        <v>0</v>
      </c>
      <c r="E1664">
        <f>IF(COUNTIFS('United Data'!$A$3:$A$3390,E$1,'United Data'!$C$3:$C$3390,$A1664)&gt;0,1,0)</f>
        <v>0</v>
      </c>
      <c r="F1664">
        <f>IF(COUNTIFS('United Data'!$A$3:$A$3390,F$1,'United Data'!$C$3:$C$3390,$A1664)&gt;0,1,0)</f>
        <v>0</v>
      </c>
      <c r="G1664">
        <f>IF(COUNTIFS('United Data'!$A$3:$A$3390,G$1,'United Data'!$C$3:$C$3390,$A1664)&gt;0,1,0)</f>
        <v>0</v>
      </c>
      <c r="H1664">
        <f>IF(COUNTIFS('United Data'!$A$3:$A$3390,H$1,'United Data'!$C$3:$C$3390,$A1664)&gt;0,1,0)</f>
        <v>0</v>
      </c>
      <c r="I1664">
        <f>IF(COUNTIFS('United Data'!$A$3:$A$3390,I$1,'United Data'!$C$3:$C$3390,$A1664)&gt;0,1,0)</f>
        <v>0</v>
      </c>
      <c r="J1664">
        <f>IF(COUNTIFS('United Data'!$A$3:$A$3390,J$1,'United Data'!$C$3:$C$3390,$A1664)&gt;0,1,0)</f>
        <v>0</v>
      </c>
      <c r="K1664">
        <f>IF(COUNTIFS('United Data'!$A$3:$A$3390,K$1,'United Data'!$C$3:$C$3390,$A1664)&gt;0,1,0)</f>
        <v>0</v>
      </c>
      <c r="L1664">
        <f>IF(COUNTIFS('United Data'!$A$3:$A$3390,L$1,'United Data'!$C$3:$C$3390,$A1664)&gt;0,1,0)</f>
        <v>0</v>
      </c>
      <c r="M1664">
        <f>IF(COUNTIFS('United Data'!$A$3:$A$3390,M$1,'United Data'!$C$3:$C$3390,$A1664)&gt;0,1,0)</f>
        <v>0</v>
      </c>
      <c r="N1664">
        <f>IF(COUNTIFS('United Data'!$A$3:$A$3390,N$1,'United Data'!$C$3:$C$3390,$A1664)&gt;0,1,0)</f>
        <v>1</v>
      </c>
      <c r="O1664">
        <f>IF(COUNTIFS('United Data'!$A$3:$A$3390,O$1,'United Data'!$C$3:$C$3390,$A1664)&gt;0,1,0)</f>
        <v>0</v>
      </c>
      <c r="P1664">
        <f>IF(COUNTIFS('United Data'!$A$3:$A$3390,P$1,'United Data'!$C$3:$C$3390,$A1664)&gt;0,1,0)</f>
        <v>0</v>
      </c>
      <c r="Q1664">
        <f>IF(COUNTIFS('United Data'!$A$3:$A$3390,Q$1,'United Data'!$C$3:$C$3390,$A1664)&gt;0,1,0)</f>
        <v>0</v>
      </c>
      <c r="R1664">
        <f>IF(COUNTIFS('United Data'!$A$3:$A$3390,R$1,'United Data'!$C$3:$C$3390,$A1664)&gt;0,1,0)</f>
        <v>0</v>
      </c>
      <c r="S1664">
        <f t="shared" si="50"/>
        <v>1</v>
      </c>
      <c r="T1664">
        <f t="shared" si="51"/>
        <v>1</v>
      </c>
    </row>
    <row r="1665" spans="1:20" x14ac:dyDescent="0.2">
      <c r="A1665" t="s">
        <v>1952</v>
      </c>
      <c r="B1665">
        <f>IF(COUNTIFS('United Data'!$A$3:$A$3390,B$1,'United Data'!$C$3:$C$3390,$A1665)&gt;0,1,0)</f>
        <v>0</v>
      </c>
      <c r="C1665">
        <f>IF(COUNTIFS('United Data'!$A$3:$A$3390,C$1,'United Data'!$C$3:$C$3390,$A1665)&gt;0,1,0)</f>
        <v>0</v>
      </c>
      <c r="D1665">
        <f>IF(COUNTIFS('United Data'!$A$3:$A$3390,D$1,'United Data'!$C$3:$C$3390,$A1665)&gt;0,1,0)</f>
        <v>0</v>
      </c>
      <c r="E1665">
        <f>IF(COUNTIFS('United Data'!$A$3:$A$3390,E$1,'United Data'!$C$3:$C$3390,$A1665)&gt;0,1,0)</f>
        <v>0</v>
      </c>
      <c r="F1665">
        <f>IF(COUNTIFS('United Data'!$A$3:$A$3390,F$1,'United Data'!$C$3:$C$3390,$A1665)&gt;0,1,0)</f>
        <v>0</v>
      </c>
      <c r="G1665">
        <f>IF(COUNTIFS('United Data'!$A$3:$A$3390,G$1,'United Data'!$C$3:$C$3390,$A1665)&gt;0,1,0)</f>
        <v>0</v>
      </c>
      <c r="H1665">
        <f>IF(COUNTIFS('United Data'!$A$3:$A$3390,H$1,'United Data'!$C$3:$C$3390,$A1665)&gt;0,1,0)</f>
        <v>0</v>
      </c>
      <c r="I1665">
        <f>IF(COUNTIFS('United Data'!$A$3:$A$3390,I$1,'United Data'!$C$3:$C$3390,$A1665)&gt;0,1,0)</f>
        <v>0</v>
      </c>
      <c r="J1665">
        <f>IF(COUNTIFS('United Data'!$A$3:$A$3390,J$1,'United Data'!$C$3:$C$3390,$A1665)&gt;0,1,0)</f>
        <v>0</v>
      </c>
      <c r="K1665">
        <f>IF(COUNTIFS('United Data'!$A$3:$A$3390,K$1,'United Data'!$C$3:$C$3390,$A1665)&gt;0,1,0)</f>
        <v>0</v>
      </c>
      <c r="L1665">
        <f>IF(COUNTIFS('United Data'!$A$3:$A$3390,L$1,'United Data'!$C$3:$C$3390,$A1665)&gt;0,1,0)</f>
        <v>0</v>
      </c>
      <c r="M1665">
        <f>IF(COUNTIFS('United Data'!$A$3:$A$3390,M$1,'United Data'!$C$3:$C$3390,$A1665)&gt;0,1,0)</f>
        <v>0</v>
      </c>
      <c r="N1665">
        <f>IF(COUNTIFS('United Data'!$A$3:$A$3390,N$1,'United Data'!$C$3:$C$3390,$A1665)&gt;0,1,0)</f>
        <v>0</v>
      </c>
      <c r="O1665">
        <f>IF(COUNTIFS('United Data'!$A$3:$A$3390,O$1,'United Data'!$C$3:$C$3390,$A1665)&gt;0,1,0)</f>
        <v>1</v>
      </c>
      <c r="P1665">
        <f>IF(COUNTIFS('United Data'!$A$3:$A$3390,P$1,'United Data'!$C$3:$C$3390,$A1665)&gt;0,1,0)</f>
        <v>0</v>
      </c>
      <c r="Q1665">
        <f>IF(COUNTIFS('United Data'!$A$3:$A$3390,Q$1,'United Data'!$C$3:$C$3390,$A1665)&gt;0,1,0)</f>
        <v>0</v>
      </c>
      <c r="R1665">
        <f>IF(COUNTIFS('United Data'!$A$3:$A$3390,R$1,'United Data'!$C$3:$C$3390,$A1665)&gt;0,1,0)</f>
        <v>0</v>
      </c>
      <c r="S1665">
        <f t="shared" si="50"/>
        <v>1</v>
      </c>
      <c r="T1665">
        <f t="shared" si="51"/>
        <v>1</v>
      </c>
    </row>
    <row r="1666" spans="1:20" x14ac:dyDescent="0.2">
      <c r="A1666" t="s">
        <v>1953</v>
      </c>
      <c r="B1666">
        <f>IF(COUNTIFS('United Data'!$A$3:$A$3390,B$1,'United Data'!$C$3:$C$3390,$A1666)&gt;0,1,0)</f>
        <v>0</v>
      </c>
      <c r="C1666">
        <f>IF(COUNTIFS('United Data'!$A$3:$A$3390,C$1,'United Data'!$C$3:$C$3390,$A1666)&gt;0,1,0)</f>
        <v>0</v>
      </c>
      <c r="D1666">
        <f>IF(COUNTIFS('United Data'!$A$3:$A$3390,D$1,'United Data'!$C$3:$C$3390,$A1666)&gt;0,1,0)</f>
        <v>0</v>
      </c>
      <c r="E1666">
        <f>IF(COUNTIFS('United Data'!$A$3:$A$3390,E$1,'United Data'!$C$3:$C$3390,$A1666)&gt;0,1,0)</f>
        <v>0</v>
      </c>
      <c r="F1666">
        <f>IF(COUNTIFS('United Data'!$A$3:$A$3390,F$1,'United Data'!$C$3:$C$3390,$A1666)&gt;0,1,0)</f>
        <v>0</v>
      </c>
      <c r="G1666">
        <f>IF(COUNTIFS('United Data'!$A$3:$A$3390,G$1,'United Data'!$C$3:$C$3390,$A1666)&gt;0,1,0)</f>
        <v>0</v>
      </c>
      <c r="H1666">
        <f>IF(COUNTIFS('United Data'!$A$3:$A$3390,H$1,'United Data'!$C$3:$C$3390,$A1666)&gt;0,1,0)</f>
        <v>0</v>
      </c>
      <c r="I1666">
        <f>IF(COUNTIFS('United Data'!$A$3:$A$3390,I$1,'United Data'!$C$3:$C$3390,$A1666)&gt;0,1,0)</f>
        <v>0</v>
      </c>
      <c r="J1666">
        <f>IF(COUNTIFS('United Data'!$A$3:$A$3390,J$1,'United Data'!$C$3:$C$3390,$A1666)&gt;0,1,0)</f>
        <v>0</v>
      </c>
      <c r="K1666">
        <f>IF(COUNTIFS('United Data'!$A$3:$A$3390,K$1,'United Data'!$C$3:$C$3390,$A1666)&gt;0,1,0)</f>
        <v>0</v>
      </c>
      <c r="L1666">
        <f>IF(COUNTIFS('United Data'!$A$3:$A$3390,L$1,'United Data'!$C$3:$C$3390,$A1666)&gt;0,1,0)</f>
        <v>0</v>
      </c>
      <c r="M1666">
        <f>IF(COUNTIFS('United Data'!$A$3:$A$3390,M$1,'United Data'!$C$3:$C$3390,$A1666)&gt;0,1,0)</f>
        <v>0</v>
      </c>
      <c r="N1666">
        <f>IF(COUNTIFS('United Data'!$A$3:$A$3390,N$1,'United Data'!$C$3:$C$3390,$A1666)&gt;0,1,0)</f>
        <v>0</v>
      </c>
      <c r="O1666">
        <f>IF(COUNTIFS('United Data'!$A$3:$A$3390,O$1,'United Data'!$C$3:$C$3390,$A1666)&gt;0,1,0)</f>
        <v>1</v>
      </c>
      <c r="P1666">
        <f>IF(COUNTIFS('United Data'!$A$3:$A$3390,P$1,'United Data'!$C$3:$C$3390,$A1666)&gt;0,1,0)</f>
        <v>0</v>
      </c>
      <c r="Q1666">
        <f>IF(COUNTIFS('United Data'!$A$3:$A$3390,Q$1,'United Data'!$C$3:$C$3390,$A1666)&gt;0,1,0)</f>
        <v>0</v>
      </c>
      <c r="R1666">
        <f>IF(COUNTIFS('United Data'!$A$3:$A$3390,R$1,'United Data'!$C$3:$C$3390,$A1666)&gt;0,1,0)</f>
        <v>0</v>
      </c>
      <c r="S1666">
        <f t="shared" ref="S1666:S1729" si="52">SUM(B1666:R1666)</f>
        <v>1</v>
      </c>
      <c r="T1666">
        <f t="shared" ref="T1666:T1729" si="53">B1666+SUMPRODUCT(--(C1666:R1666&gt;B1666:Q1666))</f>
        <v>1</v>
      </c>
    </row>
    <row r="1667" spans="1:20" x14ac:dyDescent="0.2">
      <c r="A1667" t="s">
        <v>1954</v>
      </c>
      <c r="B1667">
        <f>IF(COUNTIFS('United Data'!$A$3:$A$3390,B$1,'United Data'!$C$3:$C$3390,$A1667)&gt;0,1,0)</f>
        <v>0</v>
      </c>
      <c r="C1667">
        <f>IF(COUNTIFS('United Data'!$A$3:$A$3390,C$1,'United Data'!$C$3:$C$3390,$A1667)&gt;0,1,0)</f>
        <v>0</v>
      </c>
      <c r="D1667">
        <f>IF(COUNTIFS('United Data'!$A$3:$A$3390,D$1,'United Data'!$C$3:$C$3390,$A1667)&gt;0,1,0)</f>
        <v>0</v>
      </c>
      <c r="E1667">
        <f>IF(COUNTIFS('United Data'!$A$3:$A$3390,E$1,'United Data'!$C$3:$C$3390,$A1667)&gt;0,1,0)</f>
        <v>0</v>
      </c>
      <c r="F1667">
        <f>IF(COUNTIFS('United Data'!$A$3:$A$3390,F$1,'United Data'!$C$3:$C$3390,$A1667)&gt;0,1,0)</f>
        <v>0</v>
      </c>
      <c r="G1667">
        <f>IF(COUNTIFS('United Data'!$A$3:$A$3390,G$1,'United Data'!$C$3:$C$3390,$A1667)&gt;0,1,0)</f>
        <v>0</v>
      </c>
      <c r="H1667">
        <f>IF(COUNTIFS('United Data'!$A$3:$A$3390,H$1,'United Data'!$C$3:$C$3390,$A1667)&gt;0,1,0)</f>
        <v>0</v>
      </c>
      <c r="I1667">
        <f>IF(COUNTIFS('United Data'!$A$3:$A$3390,I$1,'United Data'!$C$3:$C$3390,$A1667)&gt;0,1,0)</f>
        <v>0</v>
      </c>
      <c r="J1667">
        <f>IF(COUNTIFS('United Data'!$A$3:$A$3390,J$1,'United Data'!$C$3:$C$3390,$A1667)&gt;0,1,0)</f>
        <v>0</v>
      </c>
      <c r="K1667">
        <f>IF(COUNTIFS('United Data'!$A$3:$A$3390,K$1,'United Data'!$C$3:$C$3390,$A1667)&gt;0,1,0)</f>
        <v>0</v>
      </c>
      <c r="L1667">
        <f>IF(COUNTIFS('United Data'!$A$3:$A$3390,L$1,'United Data'!$C$3:$C$3390,$A1667)&gt;0,1,0)</f>
        <v>0</v>
      </c>
      <c r="M1667">
        <f>IF(COUNTIFS('United Data'!$A$3:$A$3390,M$1,'United Data'!$C$3:$C$3390,$A1667)&gt;0,1,0)</f>
        <v>0</v>
      </c>
      <c r="N1667">
        <f>IF(COUNTIFS('United Data'!$A$3:$A$3390,N$1,'United Data'!$C$3:$C$3390,$A1667)&gt;0,1,0)</f>
        <v>0</v>
      </c>
      <c r="O1667">
        <f>IF(COUNTIFS('United Data'!$A$3:$A$3390,O$1,'United Data'!$C$3:$C$3390,$A1667)&gt;0,1,0)</f>
        <v>1</v>
      </c>
      <c r="P1667">
        <f>IF(COUNTIFS('United Data'!$A$3:$A$3390,P$1,'United Data'!$C$3:$C$3390,$A1667)&gt;0,1,0)</f>
        <v>0</v>
      </c>
      <c r="Q1667">
        <f>IF(COUNTIFS('United Data'!$A$3:$A$3390,Q$1,'United Data'!$C$3:$C$3390,$A1667)&gt;0,1,0)</f>
        <v>0</v>
      </c>
      <c r="R1667">
        <f>IF(COUNTIFS('United Data'!$A$3:$A$3390,R$1,'United Data'!$C$3:$C$3390,$A1667)&gt;0,1,0)</f>
        <v>0</v>
      </c>
      <c r="S1667">
        <f t="shared" si="52"/>
        <v>1</v>
      </c>
      <c r="T1667">
        <f t="shared" si="53"/>
        <v>1</v>
      </c>
    </row>
    <row r="1668" spans="1:20" x14ac:dyDescent="0.2">
      <c r="A1668" t="s">
        <v>1955</v>
      </c>
      <c r="B1668">
        <f>IF(COUNTIFS('United Data'!$A$3:$A$3390,B$1,'United Data'!$C$3:$C$3390,$A1668)&gt;0,1,0)</f>
        <v>0</v>
      </c>
      <c r="C1668">
        <f>IF(COUNTIFS('United Data'!$A$3:$A$3390,C$1,'United Data'!$C$3:$C$3390,$A1668)&gt;0,1,0)</f>
        <v>0</v>
      </c>
      <c r="D1668">
        <f>IF(COUNTIFS('United Data'!$A$3:$A$3390,D$1,'United Data'!$C$3:$C$3390,$A1668)&gt;0,1,0)</f>
        <v>0</v>
      </c>
      <c r="E1668">
        <f>IF(COUNTIFS('United Data'!$A$3:$A$3390,E$1,'United Data'!$C$3:$C$3390,$A1668)&gt;0,1,0)</f>
        <v>0</v>
      </c>
      <c r="F1668">
        <f>IF(COUNTIFS('United Data'!$A$3:$A$3390,F$1,'United Data'!$C$3:$C$3390,$A1668)&gt;0,1,0)</f>
        <v>0</v>
      </c>
      <c r="G1668">
        <f>IF(COUNTIFS('United Data'!$A$3:$A$3390,G$1,'United Data'!$C$3:$C$3390,$A1668)&gt;0,1,0)</f>
        <v>0</v>
      </c>
      <c r="H1668">
        <f>IF(COUNTIFS('United Data'!$A$3:$A$3390,H$1,'United Data'!$C$3:$C$3390,$A1668)&gt;0,1,0)</f>
        <v>0</v>
      </c>
      <c r="I1668">
        <f>IF(COUNTIFS('United Data'!$A$3:$A$3390,I$1,'United Data'!$C$3:$C$3390,$A1668)&gt;0,1,0)</f>
        <v>0</v>
      </c>
      <c r="J1668">
        <f>IF(COUNTIFS('United Data'!$A$3:$A$3390,J$1,'United Data'!$C$3:$C$3390,$A1668)&gt;0,1,0)</f>
        <v>0</v>
      </c>
      <c r="K1668">
        <f>IF(COUNTIFS('United Data'!$A$3:$A$3390,K$1,'United Data'!$C$3:$C$3390,$A1668)&gt;0,1,0)</f>
        <v>0</v>
      </c>
      <c r="L1668">
        <f>IF(COUNTIFS('United Data'!$A$3:$A$3390,L$1,'United Data'!$C$3:$C$3390,$A1668)&gt;0,1,0)</f>
        <v>0</v>
      </c>
      <c r="M1668">
        <f>IF(COUNTIFS('United Data'!$A$3:$A$3390,M$1,'United Data'!$C$3:$C$3390,$A1668)&gt;0,1,0)</f>
        <v>0</v>
      </c>
      <c r="N1668">
        <f>IF(COUNTIFS('United Data'!$A$3:$A$3390,N$1,'United Data'!$C$3:$C$3390,$A1668)&gt;0,1,0)</f>
        <v>0</v>
      </c>
      <c r="O1668">
        <f>IF(COUNTIFS('United Data'!$A$3:$A$3390,O$1,'United Data'!$C$3:$C$3390,$A1668)&gt;0,1,0)</f>
        <v>1</v>
      </c>
      <c r="P1668">
        <f>IF(COUNTIFS('United Data'!$A$3:$A$3390,P$1,'United Data'!$C$3:$C$3390,$A1668)&gt;0,1,0)</f>
        <v>0</v>
      </c>
      <c r="Q1668">
        <f>IF(COUNTIFS('United Data'!$A$3:$A$3390,Q$1,'United Data'!$C$3:$C$3390,$A1668)&gt;0,1,0)</f>
        <v>1</v>
      </c>
      <c r="R1668">
        <f>IF(COUNTIFS('United Data'!$A$3:$A$3390,R$1,'United Data'!$C$3:$C$3390,$A1668)&gt;0,1,0)</f>
        <v>0</v>
      </c>
      <c r="S1668">
        <f t="shared" si="52"/>
        <v>2</v>
      </c>
      <c r="T1668">
        <f t="shared" si="53"/>
        <v>2</v>
      </c>
    </row>
    <row r="1669" spans="1:20" x14ac:dyDescent="0.2">
      <c r="A1669" t="s">
        <v>1956</v>
      </c>
      <c r="B1669">
        <f>IF(COUNTIFS('United Data'!$A$3:$A$3390,B$1,'United Data'!$C$3:$C$3390,$A1669)&gt;0,1,0)</f>
        <v>0</v>
      </c>
      <c r="C1669">
        <f>IF(COUNTIFS('United Data'!$A$3:$A$3390,C$1,'United Data'!$C$3:$C$3390,$A1669)&gt;0,1,0)</f>
        <v>0</v>
      </c>
      <c r="D1669">
        <f>IF(COUNTIFS('United Data'!$A$3:$A$3390,D$1,'United Data'!$C$3:$C$3390,$A1669)&gt;0,1,0)</f>
        <v>0</v>
      </c>
      <c r="E1669">
        <f>IF(COUNTIFS('United Data'!$A$3:$A$3390,E$1,'United Data'!$C$3:$C$3390,$A1669)&gt;0,1,0)</f>
        <v>0</v>
      </c>
      <c r="F1669">
        <f>IF(COUNTIFS('United Data'!$A$3:$A$3390,F$1,'United Data'!$C$3:$C$3390,$A1669)&gt;0,1,0)</f>
        <v>0</v>
      </c>
      <c r="G1669">
        <f>IF(COUNTIFS('United Data'!$A$3:$A$3390,G$1,'United Data'!$C$3:$C$3390,$A1669)&gt;0,1,0)</f>
        <v>0</v>
      </c>
      <c r="H1669">
        <f>IF(COUNTIFS('United Data'!$A$3:$A$3390,H$1,'United Data'!$C$3:$C$3390,$A1669)&gt;0,1,0)</f>
        <v>0</v>
      </c>
      <c r="I1669">
        <f>IF(COUNTIFS('United Data'!$A$3:$A$3390,I$1,'United Data'!$C$3:$C$3390,$A1669)&gt;0,1,0)</f>
        <v>0</v>
      </c>
      <c r="J1669">
        <f>IF(COUNTIFS('United Data'!$A$3:$A$3390,J$1,'United Data'!$C$3:$C$3390,$A1669)&gt;0,1,0)</f>
        <v>0</v>
      </c>
      <c r="K1669">
        <f>IF(COUNTIFS('United Data'!$A$3:$A$3390,K$1,'United Data'!$C$3:$C$3390,$A1669)&gt;0,1,0)</f>
        <v>0</v>
      </c>
      <c r="L1669">
        <f>IF(COUNTIFS('United Data'!$A$3:$A$3390,L$1,'United Data'!$C$3:$C$3390,$A1669)&gt;0,1,0)</f>
        <v>0</v>
      </c>
      <c r="M1669">
        <f>IF(COUNTIFS('United Data'!$A$3:$A$3390,M$1,'United Data'!$C$3:$C$3390,$A1669)&gt;0,1,0)</f>
        <v>0</v>
      </c>
      <c r="N1669">
        <f>IF(COUNTIFS('United Data'!$A$3:$A$3390,N$1,'United Data'!$C$3:$C$3390,$A1669)&gt;0,1,0)</f>
        <v>0</v>
      </c>
      <c r="O1669">
        <f>IF(COUNTIFS('United Data'!$A$3:$A$3390,O$1,'United Data'!$C$3:$C$3390,$A1669)&gt;0,1,0)</f>
        <v>1</v>
      </c>
      <c r="P1669">
        <f>IF(COUNTIFS('United Data'!$A$3:$A$3390,P$1,'United Data'!$C$3:$C$3390,$A1669)&gt;0,1,0)</f>
        <v>0</v>
      </c>
      <c r="Q1669">
        <f>IF(COUNTIFS('United Data'!$A$3:$A$3390,Q$1,'United Data'!$C$3:$C$3390,$A1669)&gt;0,1,0)</f>
        <v>0</v>
      </c>
      <c r="R1669">
        <f>IF(COUNTIFS('United Data'!$A$3:$A$3390,R$1,'United Data'!$C$3:$C$3390,$A1669)&gt;0,1,0)</f>
        <v>0</v>
      </c>
      <c r="S1669">
        <f t="shared" si="52"/>
        <v>1</v>
      </c>
      <c r="T1669">
        <f t="shared" si="53"/>
        <v>1</v>
      </c>
    </row>
    <row r="1670" spans="1:20" x14ac:dyDescent="0.2">
      <c r="A1670" t="s">
        <v>1957</v>
      </c>
      <c r="B1670">
        <f>IF(COUNTIFS('United Data'!$A$3:$A$3390,B$1,'United Data'!$C$3:$C$3390,$A1670)&gt;0,1,0)</f>
        <v>0</v>
      </c>
      <c r="C1670">
        <f>IF(COUNTIFS('United Data'!$A$3:$A$3390,C$1,'United Data'!$C$3:$C$3390,$A1670)&gt;0,1,0)</f>
        <v>0</v>
      </c>
      <c r="D1670">
        <f>IF(COUNTIFS('United Data'!$A$3:$A$3390,D$1,'United Data'!$C$3:$C$3390,$A1670)&gt;0,1,0)</f>
        <v>0</v>
      </c>
      <c r="E1670">
        <f>IF(COUNTIFS('United Data'!$A$3:$A$3390,E$1,'United Data'!$C$3:$C$3390,$A1670)&gt;0,1,0)</f>
        <v>0</v>
      </c>
      <c r="F1670">
        <f>IF(COUNTIFS('United Data'!$A$3:$A$3390,F$1,'United Data'!$C$3:$C$3390,$A1670)&gt;0,1,0)</f>
        <v>0</v>
      </c>
      <c r="G1670">
        <f>IF(COUNTIFS('United Data'!$A$3:$A$3390,G$1,'United Data'!$C$3:$C$3390,$A1670)&gt;0,1,0)</f>
        <v>0</v>
      </c>
      <c r="H1670">
        <f>IF(COUNTIFS('United Data'!$A$3:$A$3390,H$1,'United Data'!$C$3:$C$3390,$A1670)&gt;0,1,0)</f>
        <v>0</v>
      </c>
      <c r="I1670">
        <f>IF(COUNTIFS('United Data'!$A$3:$A$3390,I$1,'United Data'!$C$3:$C$3390,$A1670)&gt;0,1,0)</f>
        <v>0</v>
      </c>
      <c r="J1670">
        <f>IF(COUNTIFS('United Data'!$A$3:$A$3390,J$1,'United Data'!$C$3:$C$3390,$A1670)&gt;0,1,0)</f>
        <v>0</v>
      </c>
      <c r="K1670">
        <f>IF(COUNTIFS('United Data'!$A$3:$A$3390,K$1,'United Data'!$C$3:$C$3390,$A1670)&gt;0,1,0)</f>
        <v>0</v>
      </c>
      <c r="L1670">
        <f>IF(COUNTIFS('United Data'!$A$3:$A$3390,L$1,'United Data'!$C$3:$C$3390,$A1670)&gt;0,1,0)</f>
        <v>0</v>
      </c>
      <c r="M1670">
        <f>IF(COUNTIFS('United Data'!$A$3:$A$3390,M$1,'United Data'!$C$3:$C$3390,$A1670)&gt;0,1,0)</f>
        <v>0</v>
      </c>
      <c r="N1670">
        <f>IF(COUNTIFS('United Data'!$A$3:$A$3390,N$1,'United Data'!$C$3:$C$3390,$A1670)&gt;0,1,0)</f>
        <v>0</v>
      </c>
      <c r="O1670">
        <f>IF(COUNTIFS('United Data'!$A$3:$A$3390,O$1,'United Data'!$C$3:$C$3390,$A1670)&gt;0,1,0)</f>
        <v>1</v>
      </c>
      <c r="P1670">
        <f>IF(COUNTIFS('United Data'!$A$3:$A$3390,P$1,'United Data'!$C$3:$C$3390,$A1670)&gt;0,1,0)</f>
        <v>1</v>
      </c>
      <c r="Q1670">
        <f>IF(COUNTIFS('United Data'!$A$3:$A$3390,Q$1,'United Data'!$C$3:$C$3390,$A1670)&gt;0,1,0)</f>
        <v>0</v>
      </c>
      <c r="R1670">
        <f>IF(COUNTIFS('United Data'!$A$3:$A$3390,R$1,'United Data'!$C$3:$C$3390,$A1670)&gt;0,1,0)</f>
        <v>0</v>
      </c>
      <c r="S1670">
        <f t="shared" si="52"/>
        <v>2</v>
      </c>
      <c r="T1670">
        <f t="shared" si="53"/>
        <v>1</v>
      </c>
    </row>
    <row r="1671" spans="1:20" x14ac:dyDescent="0.2">
      <c r="A1671" t="s">
        <v>1958</v>
      </c>
      <c r="B1671">
        <f>IF(COUNTIFS('United Data'!$A$3:$A$3390,B$1,'United Data'!$C$3:$C$3390,$A1671)&gt;0,1,0)</f>
        <v>0</v>
      </c>
      <c r="C1671">
        <f>IF(COUNTIFS('United Data'!$A$3:$A$3390,C$1,'United Data'!$C$3:$C$3390,$A1671)&gt;0,1,0)</f>
        <v>0</v>
      </c>
      <c r="D1671">
        <f>IF(COUNTIFS('United Data'!$A$3:$A$3390,D$1,'United Data'!$C$3:$C$3390,$A1671)&gt;0,1,0)</f>
        <v>0</v>
      </c>
      <c r="E1671">
        <f>IF(COUNTIFS('United Data'!$A$3:$A$3390,E$1,'United Data'!$C$3:$C$3390,$A1671)&gt;0,1,0)</f>
        <v>0</v>
      </c>
      <c r="F1671">
        <f>IF(COUNTIFS('United Data'!$A$3:$A$3390,F$1,'United Data'!$C$3:$C$3390,$A1671)&gt;0,1,0)</f>
        <v>0</v>
      </c>
      <c r="G1671">
        <f>IF(COUNTIFS('United Data'!$A$3:$A$3390,G$1,'United Data'!$C$3:$C$3390,$A1671)&gt;0,1,0)</f>
        <v>0</v>
      </c>
      <c r="H1671">
        <f>IF(COUNTIFS('United Data'!$A$3:$A$3390,H$1,'United Data'!$C$3:$C$3390,$A1671)&gt;0,1,0)</f>
        <v>0</v>
      </c>
      <c r="I1671">
        <f>IF(COUNTIFS('United Data'!$A$3:$A$3390,I$1,'United Data'!$C$3:$C$3390,$A1671)&gt;0,1,0)</f>
        <v>0</v>
      </c>
      <c r="J1671">
        <f>IF(COUNTIFS('United Data'!$A$3:$A$3390,J$1,'United Data'!$C$3:$C$3390,$A1671)&gt;0,1,0)</f>
        <v>0</v>
      </c>
      <c r="K1671">
        <f>IF(COUNTIFS('United Data'!$A$3:$A$3390,K$1,'United Data'!$C$3:$C$3390,$A1671)&gt;0,1,0)</f>
        <v>0</v>
      </c>
      <c r="L1671">
        <f>IF(COUNTIFS('United Data'!$A$3:$A$3390,L$1,'United Data'!$C$3:$C$3390,$A1671)&gt;0,1,0)</f>
        <v>0</v>
      </c>
      <c r="M1671">
        <f>IF(COUNTIFS('United Data'!$A$3:$A$3390,M$1,'United Data'!$C$3:$C$3390,$A1671)&gt;0,1,0)</f>
        <v>0</v>
      </c>
      <c r="N1671">
        <f>IF(COUNTIFS('United Data'!$A$3:$A$3390,N$1,'United Data'!$C$3:$C$3390,$A1671)&gt;0,1,0)</f>
        <v>0</v>
      </c>
      <c r="O1671">
        <f>IF(COUNTIFS('United Data'!$A$3:$A$3390,O$1,'United Data'!$C$3:$C$3390,$A1671)&gt;0,1,0)</f>
        <v>0</v>
      </c>
      <c r="P1671">
        <f>IF(COUNTIFS('United Data'!$A$3:$A$3390,P$1,'United Data'!$C$3:$C$3390,$A1671)&gt;0,1,0)</f>
        <v>1</v>
      </c>
      <c r="Q1671">
        <f>IF(COUNTIFS('United Data'!$A$3:$A$3390,Q$1,'United Data'!$C$3:$C$3390,$A1671)&gt;0,1,0)</f>
        <v>0</v>
      </c>
      <c r="R1671">
        <f>IF(COUNTIFS('United Data'!$A$3:$A$3390,R$1,'United Data'!$C$3:$C$3390,$A1671)&gt;0,1,0)</f>
        <v>0</v>
      </c>
      <c r="S1671">
        <f t="shared" si="52"/>
        <v>1</v>
      </c>
      <c r="T1671">
        <f t="shared" si="53"/>
        <v>1</v>
      </c>
    </row>
    <row r="1672" spans="1:20" x14ac:dyDescent="0.2">
      <c r="A1672" t="s">
        <v>1960</v>
      </c>
      <c r="B1672">
        <f>IF(COUNTIFS('United Data'!$A$3:$A$3390,B$1,'United Data'!$C$3:$C$3390,$A1672)&gt;0,1,0)</f>
        <v>0</v>
      </c>
      <c r="C1672">
        <f>IF(COUNTIFS('United Data'!$A$3:$A$3390,C$1,'United Data'!$C$3:$C$3390,$A1672)&gt;0,1,0)</f>
        <v>0</v>
      </c>
      <c r="D1672">
        <f>IF(COUNTIFS('United Data'!$A$3:$A$3390,D$1,'United Data'!$C$3:$C$3390,$A1672)&gt;0,1,0)</f>
        <v>0</v>
      </c>
      <c r="E1672">
        <f>IF(COUNTIFS('United Data'!$A$3:$A$3390,E$1,'United Data'!$C$3:$C$3390,$A1672)&gt;0,1,0)</f>
        <v>0</v>
      </c>
      <c r="F1672">
        <f>IF(COUNTIFS('United Data'!$A$3:$A$3390,F$1,'United Data'!$C$3:$C$3390,$A1672)&gt;0,1,0)</f>
        <v>0</v>
      </c>
      <c r="G1672">
        <f>IF(COUNTIFS('United Data'!$A$3:$A$3390,G$1,'United Data'!$C$3:$C$3390,$A1672)&gt;0,1,0)</f>
        <v>0</v>
      </c>
      <c r="H1672">
        <f>IF(COUNTIFS('United Data'!$A$3:$A$3390,H$1,'United Data'!$C$3:$C$3390,$A1672)&gt;0,1,0)</f>
        <v>0</v>
      </c>
      <c r="I1672">
        <f>IF(COUNTIFS('United Data'!$A$3:$A$3390,I$1,'United Data'!$C$3:$C$3390,$A1672)&gt;0,1,0)</f>
        <v>0</v>
      </c>
      <c r="J1672">
        <f>IF(COUNTIFS('United Data'!$A$3:$A$3390,J$1,'United Data'!$C$3:$C$3390,$A1672)&gt;0,1,0)</f>
        <v>0</v>
      </c>
      <c r="K1672">
        <f>IF(COUNTIFS('United Data'!$A$3:$A$3390,K$1,'United Data'!$C$3:$C$3390,$A1672)&gt;0,1,0)</f>
        <v>0</v>
      </c>
      <c r="L1672">
        <f>IF(COUNTIFS('United Data'!$A$3:$A$3390,L$1,'United Data'!$C$3:$C$3390,$A1672)&gt;0,1,0)</f>
        <v>0</v>
      </c>
      <c r="M1672">
        <f>IF(COUNTIFS('United Data'!$A$3:$A$3390,M$1,'United Data'!$C$3:$C$3390,$A1672)&gt;0,1,0)</f>
        <v>0</v>
      </c>
      <c r="N1672">
        <f>IF(COUNTIFS('United Data'!$A$3:$A$3390,N$1,'United Data'!$C$3:$C$3390,$A1672)&gt;0,1,0)</f>
        <v>0</v>
      </c>
      <c r="O1672">
        <f>IF(COUNTIFS('United Data'!$A$3:$A$3390,O$1,'United Data'!$C$3:$C$3390,$A1672)&gt;0,1,0)</f>
        <v>0</v>
      </c>
      <c r="P1672">
        <f>IF(COUNTIFS('United Data'!$A$3:$A$3390,P$1,'United Data'!$C$3:$C$3390,$A1672)&gt;0,1,0)</f>
        <v>1</v>
      </c>
      <c r="Q1672">
        <f>IF(COUNTIFS('United Data'!$A$3:$A$3390,Q$1,'United Data'!$C$3:$C$3390,$A1672)&gt;0,1,0)</f>
        <v>0</v>
      </c>
      <c r="R1672">
        <f>IF(COUNTIFS('United Data'!$A$3:$A$3390,R$1,'United Data'!$C$3:$C$3390,$A1672)&gt;0,1,0)</f>
        <v>0</v>
      </c>
      <c r="S1672">
        <f t="shared" si="52"/>
        <v>1</v>
      </c>
      <c r="T1672">
        <f t="shared" si="53"/>
        <v>1</v>
      </c>
    </row>
    <row r="1673" spans="1:20" x14ac:dyDescent="0.2">
      <c r="A1673" t="s">
        <v>1961</v>
      </c>
      <c r="B1673">
        <f>IF(COUNTIFS('United Data'!$A$3:$A$3390,B$1,'United Data'!$C$3:$C$3390,$A1673)&gt;0,1,0)</f>
        <v>0</v>
      </c>
      <c r="C1673">
        <f>IF(COUNTIFS('United Data'!$A$3:$A$3390,C$1,'United Data'!$C$3:$C$3390,$A1673)&gt;0,1,0)</f>
        <v>0</v>
      </c>
      <c r="D1673">
        <f>IF(COUNTIFS('United Data'!$A$3:$A$3390,D$1,'United Data'!$C$3:$C$3390,$A1673)&gt;0,1,0)</f>
        <v>0</v>
      </c>
      <c r="E1673">
        <f>IF(COUNTIFS('United Data'!$A$3:$A$3390,E$1,'United Data'!$C$3:$C$3390,$A1673)&gt;0,1,0)</f>
        <v>0</v>
      </c>
      <c r="F1673">
        <f>IF(COUNTIFS('United Data'!$A$3:$A$3390,F$1,'United Data'!$C$3:$C$3390,$A1673)&gt;0,1,0)</f>
        <v>0</v>
      </c>
      <c r="G1673">
        <f>IF(COUNTIFS('United Data'!$A$3:$A$3390,G$1,'United Data'!$C$3:$C$3390,$A1673)&gt;0,1,0)</f>
        <v>0</v>
      </c>
      <c r="H1673">
        <f>IF(COUNTIFS('United Data'!$A$3:$A$3390,H$1,'United Data'!$C$3:$C$3390,$A1673)&gt;0,1,0)</f>
        <v>0</v>
      </c>
      <c r="I1673">
        <f>IF(COUNTIFS('United Data'!$A$3:$A$3390,I$1,'United Data'!$C$3:$C$3390,$A1673)&gt;0,1,0)</f>
        <v>0</v>
      </c>
      <c r="J1673">
        <f>IF(COUNTIFS('United Data'!$A$3:$A$3390,J$1,'United Data'!$C$3:$C$3390,$A1673)&gt;0,1,0)</f>
        <v>0</v>
      </c>
      <c r="K1673">
        <f>IF(COUNTIFS('United Data'!$A$3:$A$3390,K$1,'United Data'!$C$3:$C$3390,$A1673)&gt;0,1,0)</f>
        <v>0</v>
      </c>
      <c r="L1673">
        <f>IF(COUNTIFS('United Data'!$A$3:$A$3390,L$1,'United Data'!$C$3:$C$3390,$A1673)&gt;0,1,0)</f>
        <v>0</v>
      </c>
      <c r="M1673">
        <f>IF(COUNTIFS('United Data'!$A$3:$A$3390,M$1,'United Data'!$C$3:$C$3390,$A1673)&gt;0,1,0)</f>
        <v>0</v>
      </c>
      <c r="N1673">
        <f>IF(COUNTIFS('United Data'!$A$3:$A$3390,N$1,'United Data'!$C$3:$C$3390,$A1673)&gt;0,1,0)</f>
        <v>0</v>
      </c>
      <c r="O1673">
        <f>IF(COUNTIFS('United Data'!$A$3:$A$3390,O$1,'United Data'!$C$3:$C$3390,$A1673)&gt;0,1,0)</f>
        <v>0</v>
      </c>
      <c r="P1673">
        <f>IF(COUNTIFS('United Data'!$A$3:$A$3390,P$1,'United Data'!$C$3:$C$3390,$A1673)&gt;0,1,0)</f>
        <v>0</v>
      </c>
      <c r="Q1673">
        <f>IF(COUNTIFS('United Data'!$A$3:$A$3390,Q$1,'United Data'!$C$3:$C$3390,$A1673)&gt;0,1,0)</f>
        <v>1</v>
      </c>
      <c r="R1673">
        <f>IF(COUNTIFS('United Data'!$A$3:$A$3390,R$1,'United Data'!$C$3:$C$3390,$A1673)&gt;0,1,0)</f>
        <v>0</v>
      </c>
      <c r="S1673">
        <f t="shared" si="52"/>
        <v>1</v>
      </c>
      <c r="T1673">
        <f t="shared" si="53"/>
        <v>1</v>
      </c>
    </row>
    <row r="1674" spans="1:20" x14ac:dyDescent="0.2">
      <c r="A1674" t="s">
        <v>1962</v>
      </c>
      <c r="B1674">
        <f>IF(COUNTIFS('United Data'!$A$3:$A$3390,B$1,'United Data'!$C$3:$C$3390,$A1674)&gt;0,1,0)</f>
        <v>0</v>
      </c>
      <c r="C1674">
        <f>IF(COUNTIFS('United Data'!$A$3:$A$3390,C$1,'United Data'!$C$3:$C$3390,$A1674)&gt;0,1,0)</f>
        <v>0</v>
      </c>
      <c r="D1674">
        <f>IF(COUNTIFS('United Data'!$A$3:$A$3390,D$1,'United Data'!$C$3:$C$3390,$A1674)&gt;0,1,0)</f>
        <v>0</v>
      </c>
      <c r="E1674">
        <f>IF(COUNTIFS('United Data'!$A$3:$A$3390,E$1,'United Data'!$C$3:$C$3390,$A1674)&gt;0,1,0)</f>
        <v>0</v>
      </c>
      <c r="F1674">
        <f>IF(COUNTIFS('United Data'!$A$3:$A$3390,F$1,'United Data'!$C$3:$C$3390,$A1674)&gt;0,1,0)</f>
        <v>0</v>
      </c>
      <c r="G1674">
        <f>IF(COUNTIFS('United Data'!$A$3:$A$3390,G$1,'United Data'!$C$3:$C$3390,$A1674)&gt;0,1,0)</f>
        <v>0</v>
      </c>
      <c r="H1674">
        <f>IF(COUNTIFS('United Data'!$A$3:$A$3390,H$1,'United Data'!$C$3:$C$3390,$A1674)&gt;0,1,0)</f>
        <v>0</v>
      </c>
      <c r="I1674">
        <f>IF(COUNTIFS('United Data'!$A$3:$A$3390,I$1,'United Data'!$C$3:$C$3390,$A1674)&gt;0,1,0)</f>
        <v>0</v>
      </c>
      <c r="J1674">
        <f>IF(COUNTIFS('United Data'!$A$3:$A$3390,J$1,'United Data'!$C$3:$C$3390,$A1674)&gt;0,1,0)</f>
        <v>0</v>
      </c>
      <c r="K1674">
        <f>IF(COUNTIFS('United Data'!$A$3:$A$3390,K$1,'United Data'!$C$3:$C$3390,$A1674)&gt;0,1,0)</f>
        <v>0</v>
      </c>
      <c r="L1674">
        <f>IF(COUNTIFS('United Data'!$A$3:$A$3390,L$1,'United Data'!$C$3:$C$3390,$A1674)&gt;0,1,0)</f>
        <v>0</v>
      </c>
      <c r="M1674">
        <f>IF(COUNTIFS('United Data'!$A$3:$A$3390,M$1,'United Data'!$C$3:$C$3390,$A1674)&gt;0,1,0)</f>
        <v>0</v>
      </c>
      <c r="N1674">
        <f>IF(COUNTIFS('United Data'!$A$3:$A$3390,N$1,'United Data'!$C$3:$C$3390,$A1674)&gt;0,1,0)</f>
        <v>0</v>
      </c>
      <c r="O1674">
        <f>IF(COUNTIFS('United Data'!$A$3:$A$3390,O$1,'United Data'!$C$3:$C$3390,$A1674)&gt;0,1,0)</f>
        <v>0</v>
      </c>
      <c r="P1674">
        <f>IF(COUNTIFS('United Data'!$A$3:$A$3390,P$1,'United Data'!$C$3:$C$3390,$A1674)&gt;0,1,0)</f>
        <v>0</v>
      </c>
      <c r="Q1674">
        <f>IF(COUNTIFS('United Data'!$A$3:$A$3390,Q$1,'United Data'!$C$3:$C$3390,$A1674)&gt;0,1,0)</f>
        <v>1</v>
      </c>
      <c r="R1674">
        <f>IF(COUNTIFS('United Data'!$A$3:$A$3390,R$1,'United Data'!$C$3:$C$3390,$A1674)&gt;0,1,0)</f>
        <v>0</v>
      </c>
      <c r="S1674">
        <f t="shared" si="52"/>
        <v>1</v>
      </c>
      <c r="T1674">
        <f t="shared" si="53"/>
        <v>1</v>
      </c>
    </row>
    <row r="1675" spans="1:20" x14ac:dyDescent="0.2">
      <c r="A1675" t="s">
        <v>1963</v>
      </c>
      <c r="B1675">
        <f>IF(COUNTIFS('United Data'!$A$3:$A$3390,B$1,'United Data'!$C$3:$C$3390,$A1675)&gt;0,1,0)</f>
        <v>0</v>
      </c>
      <c r="C1675">
        <f>IF(COUNTIFS('United Data'!$A$3:$A$3390,C$1,'United Data'!$C$3:$C$3390,$A1675)&gt;0,1,0)</f>
        <v>0</v>
      </c>
      <c r="D1675">
        <f>IF(COUNTIFS('United Data'!$A$3:$A$3390,D$1,'United Data'!$C$3:$C$3390,$A1675)&gt;0,1,0)</f>
        <v>0</v>
      </c>
      <c r="E1675">
        <f>IF(COUNTIFS('United Data'!$A$3:$A$3390,E$1,'United Data'!$C$3:$C$3390,$A1675)&gt;0,1,0)</f>
        <v>0</v>
      </c>
      <c r="F1675">
        <f>IF(COUNTIFS('United Data'!$A$3:$A$3390,F$1,'United Data'!$C$3:$C$3390,$A1675)&gt;0,1,0)</f>
        <v>0</v>
      </c>
      <c r="G1675">
        <f>IF(COUNTIFS('United Data'!$A$3:$A$3390,G$1,'United Data'!$C$3:$C$3390,$A1675)&gt;0,1,0)</f>
        <v>0</v>
      </c>
      <c r="H1675">
        <f>IF(COUNTIFS('United Data'!$A$3:$A$3390,H$1,'United Data'!$C$3:$C$3390,$A1675)&gt;0,1,0)</f>
        <v>0</v>
      </c>
      <c r="I1675">
        <f>IF(COUNTIFS('United Data'!$A$3:$A$3390,I$1,'United Data'!$C$3:$C$3390,$A1675)&gt;0,1,0)</f>
        <v>0</v>
      </c>
      <c r="J1675">
        <f>IF(COUNTIFS('United Data'!$A$3:$A$3390,J$1,'United Data'!$C$3:$C$3390,$A1675)&gt;0,1,0)</f>
        <v>0</v>
      </c>
      <c r="K1675">
        <f>IF(COUNTIFS('United Data'!$A$3:$A$3390,K$1,'United Data'!$C$3:$C$3390,$A1675)&gt;0,1,0)</f>
        <v>0</v>
      </c>
      <c r="L1675">
        <f>IF(COUNTIFS('United Data'!$A$3:$A$3390,L$1,'United Data'!$C$3:$C$3390,$A1675)&gt;0,1,0)</f>
        <v>0</v>
      </c>
      <c r="M1675">
        <f>IF(COUNTIFS('United Data'!$A$3:$A$3390,M$1,'United Data'!$C$3:$C$3390,$A1675)&gt;0,1,0)</f>
        <v>0</v>
      </c>
      <c r="N1675">
        <f>IF(COUNTIFS('United Data'!$A$3:$A$3390,N$1,'United Data'!$C$3:$C$3390,$A1675)&gt;0,1,0)</f>
        <v>0</v>
      </c>
      <c r="O1675">
        <f>IF(COUNTIFS('United Data'!$A$3:$A$3390,O$1,'United Data'!$C$3:$C$3390,$A1675)&gt;0,1,0)</f>
        <v>0</v>
      </c>
      <c r="P1675">
        <f>IF(COUNTIFS('United Data'!$A$3:$A$3390,P$1,'United Data'!$C$3:$C$3390,$A1675)&gt;0,1,0)</f>
        <v>0</v>
      </c>
      <c r="Q1675">
        <f>IF(COUNTIFS('United Data'!$A$3:$A$3390,Q$1,'United Data'!$C$3:$C$3390,$A1675)&gt;0,1,0)</f>
        <v>0</v>
      </c>
      <c r="R1675">
        <f>IF(COUNTIFS('United Data'!$A$3:$A$3390,R$1,'United Data'!$C$3:$C$3390,$A1675)&gt;0,1,0)</f>
        <v>1</v>
      </c>
      <c r="S1675">
        <f t="shared" si="52"/>
        <v>1</v>
      </c>
      <c r="T1675">
        <f t="shared" si="53"/>
        <v>1</v>
      </c>
    </row>
    <row r="1676" spans="1:20" x14ac:dyDescent="0.2">
      <c r="A1676" t="s">
        <v>1965</v>
      </c>
      <c r="B1676">
        <f>IF(COUNTIFS('United Data'!$A$3:$A$3390,B$1,'United Data'!$C$3:$C$3390,$A1676)&gt;0,1,0)</f>
        <v>1</v>
      </c>
      <c r="C1676">
        <f>IF(COUNTIFS('United Data'!$A$3:$A$3390,C$1,'United Data'!$C$3:$C$3390,$A1676)&gt;0,1,0)</f>
        <v>1</v>
      </c>
      <c r="D1676">
        <f>IF(COUNTIFS('United Data'!$A$3:$A$3390,D$1,'United Data'!$C$3:$C$3390,$A1676)&gt;0,1,0)</f>
        <v>0</v>
      </c>
      <c r="E1676">
        <f>IF(COUNTIFS('United Data'!$A$3:$A$3390,E$1,'United Data'!$C$3:$C$3390,$A1676)&gt;0,1,0)</f>
        <v>0</v>
      </c>
      <c r="F1676">
        <f>IF(COUNTIFS('United Data'!$A$3:$A$3390,F$1,'United Data'!$C$3:$C$3390,$A1676)&gt;0,1,0)</f>
        <v>0</v>
      </c>
      <c r="G1676">
        <f>IF(COUNTIFS('United Data'!$A$3:$A$3390,G$1,'United Data'!$C$3:$C$3390,$A1676)&gt;0,1,0)</f>
        <v>0</v>
      </c>
      <c r="H1676">
        <f>IF(COUNTIFS('United Data'!$A$3:$A$3390,H$1,'United Data'!$C$3:$C$3390,$A1676)&gt;0,1,0)</f>
        <v>0</v>
      </c>
      <c r="I1676">
        <f>IF(COUNTIFS('United Data'!$A$3:$A$3390,I$1,'United Data'!$C$3:$C$3390,$A1676)&gt;0,1,0)</f>
        <v>0</v>
      </c>
      <c r="J1676">
        <f>IF(COUNTIFS('United Data'!$A$3:$A$3390,J$1,'United Data'!$C$3:$C$3390,$A1676)&gt;0,1,0)</f>
        <v>0</v>
      </c>
      <c r="K1676">
        <f>IF(COUNTIFS('United Data'!$A$3:$A$3390,K$1,'United Data'!$C$3:$C$3390,$A1676)&gt;0,1,0)</f>
        <v>1</v>
      </c>
      <c r="L1676">
        <f>IF(COUNTIFS('United Data'!$A$3:$A$3390,L$1,'United Data'!$C$3:$C$3390,$A1676)&gt;0,1,0)</f>
        <v>0</v>
      </c>
      <c r="M1676">
        <f>IF(COUNTIFS('United Data'!$A$3:$A$3390,M$1,'United Data'!$C$3:$C$3390,$A1676)&gt;0,1,0)</f>
        <v>0</v>
      </c>
      <c r="N1676">
        <f>IF(COUNTIFS('United Data'!$A$3:$A$3390,N$1,'United Data'!$C$3:$C$3390,$A1676)&gt;0,1,0)</f>
        <v>1</v>
      </c>
      <c r="O1676">
        <f>IF(COUNTIFS('United Data'!$A$3:$A$3390,O$1,'United Data'!$C$3:$C$3390,$A1676)&gt;0,1,0)</f>
        <v>1</v>
      </c>
      <c r="P1676">
        <f>IF(COUNTIFS('United Data'!$A$3:$A$3390,P$1,'United Data'!$C$3:$C$3390,$A1676)&gt;0,1,0)</f>
        <v>1</v>
      </c>
      <c r="Q1676">
        <f>IF(COUNTIFS('United Data'!$A$3:$A$3390,Q$1,'United Data'!$C$3:$C$3390,$A1676)&gt;0,1,0)</f>
        <v>1</v>
      </c>
      <c r="R1676">
        <f>IF(COUNTIFS('United Data'!$A$3:$A$3390,R$1,'United Data'!$C$3:$C$3390,$A1676)&gt;0,1,0)</f>
        <v>1</v>
      </c>
      <c r="S1676">
        <f t="shared" si="52"/>
        <v>8</v>
      </c>
      <c r="T1676">
        <f t="shared" si="53"/>
        <v>3</v>
      </c>
    </row>
    <row r="1677" spans="1:20" x14ac:dyDescent="0.2">
      <c r="A1677" t="s">
        <v>1966</v>
      </c>
      <c r="B1677">
        <f>IF(COUNTIFS('United Data'!$A$3:$A$3390,B$1,'United Data'!$C$3:$C$3390,$A1677)&gt;0,1,0)</f>
        <v>1</v>
      </c>
      <c r="C1677">
        <f>IF(COUNTIFS('United Data'!$A$3:$A$3390,C$1,'United Data'!$C$3:$C$3390,$A1677)&gt;0,1,0)</f>
        <v>1</v>
      </c>
      <c r="D1677">
        <f>IF(COUNTIFS('United Data'!$A$3:$A$3390,D$1,'United Data'!$C$3:$C$3390,$A1677)&gt;0,1,0)</f>
        <v>0</v>
      </c>
      <c r="E1677">
        <f>IF(COUNTIFS('United Data'!$A$3:$A$3390,E$1,'United Data'!$C$3:$C$3390,$A1677)&gt;0,1,0)</f>
        <v>0</v>
      </c>
      <c r="F1677">
        <f>IF(COUNTIFS('United Data'!$A$3:$A$3390,F$1,'United Data'!$C$3:$C$3390,$A1677)&gt;0,1,0)</f>
        <v>0</v>
      </c>
      <c r="G1677">
        <f>IF(COUNTIFS('United Data'!$A$3:$A$3390,G$1,'United Data'!$C$3:$C$3390,$A1677)&gt;0,1,0)</f>
        <v>0</v>
      </c>
      <c r="H1677">
        <f>IF(COUNTIFS('United Data'!$A$3:$A$3390,H$1,'United Data'!$C$3:$C$3390,$A1677)&gt;0,1,0)</f>
        <v>0</v>
      </c>
      <c r="I1677">
        <f>IF(COUNTIFS('United Data'!$A$3:$A$3390,I$1,'United Data'!$C$3:$C$3390,$A1677)&gt;0,1,0)</f>
        <v>0</v>
      </c>
      <c r="J1677">
        <f>IF(COUNTIFS('United Data'!$A$3:$A$3390,J$1,'United Data'!$C$3:$C$3390,$A1677)&gt;0,1,0)</f>
        <v>0</v>
      </c>
      <c r="K1677">
        <f>IF(COUNTIFS('United Data'!$A$3:$A$3390,K$1,'United Data'!$C$3:$C$3390,$A1677)&gt;0,1,0)</f>
        <v>0</v>
      </c>
      <c r="L1677">
        <f>IF(COUNTIFS('United Data'!$A$3:$A$3390,L$1,'United Data'!$C$3:$C$3390,$A1677)&gt;0,1,0)</f>
        <v>0</v>
      </c>
      <c r="M1677">
        <f>IF(COUNTIFS('United Data'!$A$3:$A$3390,M$1,'United Data'!$C$3:$C$3390,$A1677)&gt;0,1,0)</f>
        <v>0</v>
      </c>
      <c r="N1677">
        <f>IF(COUNTIFS('United Data'!$A$3:$A$3390,N$1,'United Data'!$C$3:$C$3390,$A1677)&gt;0,1,0)</f>
        <v>0</v>
      </c>
      <c r="O1677">
        <f>IF(COUNTIFS('United Data'!$A$3:$A$3390,O$1,'United Data'!$C$3:$C$3390,$A1677)&gt;0,1,0)</f>
        <v>0</v>
      </c>
      <c r="P1677">
        <f>IF(COUNTIFS('United Data'!$A$3:$A$3390,P$1,'United Data'!$C$3:$C$3390,$A1677)&gt;0,1,0)</f>
        <v>0</v>
      </c>
      <c r="Q1677">
        <f>IF(COUNTIFS('United Data'!$A$3:$A$3390,Q$1,'United Data'!$C$3:$C$3390,$A1677)&gt;0,1,0)</f>
        <v>1</v>
      </c>
      <c r="R1677">
        <f>IF(COUNTIFS('United Data'!$A$3:$A$3390,R$1,'United Data'!$C$3:$C$3390,$A1677)&gt;0,1,0)</f>
        <v>1</v>
      </c>
      <c r="S1677">
        <f t="shared" si="52"/>
        <v>4</v>
      </c>
      <c r="T1677">
        <f t="shared" si="53"/>
        <v>2</v>
      </c>
    </row>
    <row r="1678" spans="1:20" x14ac:dyDescent="0.2">
      <c r="A1678" t="s">
        <v>1967</v>
      </c>
      <c r="B1678">
        <f>IF(COUNTIFS('United Data'!$A$3:$A$3390,B$1,'United Data'!$C$3:$C$3390,$A1678)&gt;0,1,0)</f>
        <v>1</v>
      </c>
      <c r="C1678">
        <f>IF(COUNTIFS('United Data'!$A$3:$A$3390,C$1,'United Data'!$C$3:$C$3390,$A1678)&gt;0,1,0)</f>
        <v>1</v>
      </c>
      <c r="D1678">
        <f>IF(COUNTIFS('United Data'!$A$3:$A$3390,D$1,'United Data'!$C$3:$C$3390,$A1678)&gt;0,1,0)</f>
        <v>1</v>
      </c>
      <c r="E1678">
        <f>IF(COUNTIFS('United Data'!$A$3:$A$3390,E$1,'United Data'!$C$3:$C$3390,$A1678)&gt;0,1,0)</f>
        <v>0</v>
      </c>
      <c r="F1678">
        <f>IF(COUNTIFS('United Data'!$A$3:$A$3390,F$1,'United Data'!$C$3:$C$3390,$A1678)&gt;0,1,0)</f>
        <v>0</v>
      </c>
      <c r="G1678">
        <f>IF(COUNTIFS('United Data'!$A$3:$A$3390,G$1,'United Data'!$C$3:$C$3390,$A1678)&gt;0,1,0)</f>
        <v>1</v>
      </c>
      <c r="H1678">
        <f>IF(COUNTIFS('United Data'!$A$3:$A$3390,H$1,'United Data'!$C$3:$C$3390,$A1678)&gt;0,1,0)</f>
        <v>1</v>
      </c>
      <c r="I1678">
        <f>IF(COUNTIFS('United Data'!$A$3:$A$3390,I$1,'United Data'!$C$3:$C$3390,$A1678)&gt;0,1,0)</f>
        <v>0</v>
      </c>
      <c r="J1678">
        <f>IF(COUNTIFS('United Data'!$A$3:$A$3390,J$1,'United Data'!$C$3:$C$3390,$A1678)&gt;0,1,0)</f>
        <v>0</v>
      </c>
      <c r="K1678">
        <f>IF(COUNTIFS('United Data'!$A$3:$A$3390,K$1,'United Data'!$C$3:$C$3390,$A1678)&gt;0,1,0)</f>
        <v>0</v>
      </c>
      <c r="L1678">
        <f>IF(COUNTIFS('United Data'!$A$3:$A$3390,L$1,'United Data'!$C$3:$C$3390,$A1678)&gt;0,1,0)</f>
        <v>1</v>
      </c>
      <c r="M1678">
        <f>IF(COUNTIFS('United Data'!$A$3:$A$3390,M$1,'United Data'!$C$3:$C$3390,$A1678)&gt;0,1,0)</f>
        <v>0</v>
      </c>
      <c r="N1678">
        <f>IF(COUNTIFS('United Data'!$A$3:$A$3390,N$1,'United Data'!$C$3:$C$3390,$A1678)&gt;0,1,0)</f>
        <v>0</v>
      </c>
      <c r="O1678">
        <f>IF(COUNTIFS('United Data'!$A$3:$A$3390,O$1,'United Data'!$C$3:$C$3390,$A1678)&gt;0,1,0)</f>
        <v>0</v>
      </c>
      <c r="P1678">
        <f>IF(COUNTIFS('United Data'!$A$3:$A$3390,P$1,'United Data'!$C$3:$C$3390,$A1678)&gt;0,1,0)</f>
        <v>0</v>
      </c>
      <c r="Q1678">
        <f>IF(COUNTIFS('United Data'!$A$3:$A$3390,Q$1,'United Data'!$C$3:$C$3390,$A1678)&gt;0,1,0)</f>
        <v>0</v>
      </c>
      <c r="R1678">
        <f>IF(COUNTIFS('United Data'!$A$3:$A$3390,R$1,'United Data'!$C$3:$C$3390,$A1678)&gt;0,1,0)</f>
        <v>1</v>
      </c>
      <c r="S1678">
        <f t="shared" si="52"/>
        <v>7</v>
      </c>
      <c r="T1678">
        <f t="shared" si="53"/>
        <v>4</v>
      </c>
    </row>
    <row r="1679" spans="1:20" x14ac:dyDescent="0.2">
      <c r="A1679" t="s">
        <v>1968</v>
      </c>
      <c r="B1679">
        <f>IF(COUNTIFS('United Data'!$A$3:$A$3390,B$1,'United Data'!$C$3:$C$3390,$A1679)&gt;0,1,0)</f>
        <v>1</v>
      </c>
      <c r="C1679">
        <f>IF(COUNTIFS('United Data'!$A$3:$A$3390,C$1,'United Data'!$C$3:$C$3390,$A1679)&gt;0,1,0)</f>
        <v>1</v>
      </c>
      <c r="D1679">
        <f>IF(COUNTIFS('United Data'!$A$3:$A$3390,D$1,'United Data'!$C$3:$C$3390,$A1679)&gt;0,1,0)</f>
        <v>1</v>
      </c>
      <c r="E1679">
        <f>IF(COUNTIFS('United Data'!$A$3:$A$3390,E$1,'United Data'!$C$3:$C$3390,$A1679)&gt;0,1,0)</f>
        <v>0</v>
      </c>
      <c r="F1679">
        <f>IF(COUNTIFS('United Data'!$A$3:$A$3390,F$1,'United Data'!$C$3:$C$3390,$A1679)&gt;0,1,0)</f>
        <v>1</v>
      </c>
      <c r="G1679">
        <f>IF(COUNTIFS('United Data'!$A$3:$A$3390,G$1,'United Data'!$C$3:$C$3390,$A1679)&gt;0,1,0)</f>
        <v>0</v>
      </c>
      <c r="H1679">
        <f>IF(COUNTIFS('United Data'!$A$3:$A$3390,H$1,'United Data'!$C$3:$C$3390,$A1679)&gt;0,1,0)</f>
        <v>0</v>
      </c>
      <c r="I1679">
        <f>IF(COUNTIFS('United Data'!$A$3:$A$3390,I$1,'United Data'!$C$3:$C$3390,$A1679)&gt;0,1,0)</f>
        <v>0</v>
      </c>
      <c r="J1679">
        <f>IF(COUNTIFS('United Data'!$A$3:$A$3390,J$1,'United Data'!$C$3:$C$3390,$A1679)&gt;0,1,0)</f>
        <v>1</v>
      </c>
      <c r="K1679">
        <f>IF(COUNTIFS('United Data'!$A$3:$A$3390,K$1,'United Data'!$C$3:$C$3390,$A1679)&gt;0,1,0)</f>
        <v>0</v>
      </c>
      <c r="L1679">
        <f>IF(COUNTIFS('United Data'!$A$3:$A$3390,L$1,'United Data'!$C$3:$C$3390,$A1679)&gt;0,1,0)</f>
        <v>1</v>
      </c>
      <c r="M1679">
        <f>IF(COUNTIFS('United Data'!$A$3:$A$3390,M$1,'United Data'!$C$3:$C$3390,$A1679)&gt;0,1,0)</f>
        <v>0</v>
      </c>
      <c r="N1679">
        <f>IF(COUNTIFS('United Data'!$A$3:$A$3390,N$1,'United Data'!$C$3:$C$3390,$A1679)&gt;0,1,0)</f>
        <v>1</v>
      </c>
      <c r="O1679">
        <f>IF(COUNTIFS('United Data'!$A$3:$A$3390,O$1,'United Data'!$C$3:$C$3390,$A1679)&gt;0,1,0)</f>
        <v>1</v>
      </c>
      <c r="P1679">
        <f>IF(COUNTIFS('United Data'!$A$3:$A$3390,P$1,'United Data'!$C$3:$C$3390,$A1679)&gt;0,1,0)</f>
        <v>0</v>
      </c>
      <c r="Q1679">
        <f>IF(COUNTIFS('United Data'!$A$3:$A$3390,Q$1,'United Data'!$C$3:$C$3390,$A1679)&gt;0,1,0)</f>
        <v>0</v>
      </c>
      <c r="R1679">
        <f>IF(COUNTIFS('United Data'!$A$3:$A$3390,R$1,'United Data'!$C$3:$C$3390,$A1679)&gt;0,1,0)</f>
        <v>1</v>
      </c>
      <c r="S1679">
        <f t="shared" si="52"/>
        <v>9</v>
      </c>
      <c r="T1679">
        <f t="shared" si="53"/>
        <v>6</v>
      </c>
    </row>
    <row r="1680" spans="1:20" x14ac:dyDescent="0.2">
      <c r="A1680" t="s">
        <v>1969</v>
      </c>
      <c r="B1680">
        <f>IF(COUNTIFS('United Data'!$A$3:$A$3390,B$1,'United Data'!$C$3:$C$3390,$A1680)&gt;0,1,0)</f>
        <v>0</v>
      </c>
      <c r="C1680">
        <f>IF(COUNTIFS('United Data'!$A$3:$A$3390,C$1,'United Data'!$C$3:$C$3390,$A1680)&gt;0,1,0)</f>
        <v>1</v>
      </c>
      <c r="D1680">
        <f>IF(COUNTIFS('United Data'!$A$3:$A$3390,D$1,'United Data'!$C$3:$C$3390,$A1680)&gt;0,1,0)</f>
        <v>0</v>
      </c>
      <c r="E1680">
        <f>IF(COUNTIFS('United Data'!$A$3:$A$3390,E$1,'United Data'!$C$3:$C$3390,$A1680)&gt;0,1,0)</f>
        <v>0</v>
      </c>
      <c r="F1680">
        <f>IF(COUNTIFS('United Data'!$A$3:$A$3390,F$1,'United Data'!$C$3:$C$3390,$A1680)&gt;0,1,0)</f>
        <v>0</v>
      </c>
      <c r="G1680">
        <f>IF(COUNTIFS('United Data'!$A$3:$A$3390,G$1,'United Data'!$C$3:$C$3390,$A1680)&gt;0,1,0)</f>
        <v>0</v>
      </c>
      <c r="H1680">
        <f>IF(COUNTIFS('United Data'!$A$3:$A$3390,H$1,'United Data'!$C$3:$C$3390,$A1680)&gt;0,1,0)</f>
        <v>0</v>
      </c>
      <c r="I1680">
        <f>IF(COUNTIFS('United Data'!$A$3:$A$3390,I$1,'United Data'!$C$3:$C$3390,$A1680)&gt;0,1,0)</f>
        <v>0</v>
      </c>
      <c r="J1680">
        <f>IF(COUNTIFS('United Data'!$A$3:$A$3390,J$1,'United Data'!$C$3:$C$3390,$A1680)&gt;0,1,0)</f>
        <v>0</v>
      </c>
      <c r="K1680">
        <f>IF(COUNTIFS('United Data'!$A$3:$A$3390,K$1,'United Data'!$C$3:$C$3390,$A1680)&gt;0,1,0)</f>
        <v>0</v>
      </c>
      <c r="L1680">
        <f>IF(COUNTIFS('United Data'!$A$3:$A$3390,L$1,'United Data'!$C$3:$C$3390,$A1680)&gt;0,1,0)</f>
        <v>0</v>
      </c>
      <c r="M1680">
        <f>IF(COUNTIFS('United Data'!$A$3:$A$3390,M$1,'United Data'!$C$3:$C$3390,$A1680)&gt;0,1,0)</f>
        <v>0</v>
      </c>
      <c r="N1680">
        <f>IF(COUNTIFS('United Data'!$A$3:$A$3390,N$1,'United Data'!$C$3:$C$3390,$A1680)&gt;0,1,0)</f>
        <v>1</v>
      </c>
      <c r="O1680">
        <f>IF(COUNTIFS('United Data'!$A$3:$A$3390,O$1,'United Data'!$C$3:$C$3390,$A1680)&gt;0,1,0)</f>
        <v>0</v>
      </c>
      <c r="P1680">
        <f>IF(COUNTIFS('United Data'!$A$3:$A$3390,P$1,'United Data'!$C$3:$C$3390,$A1680)&gt;0,1,0)</f>
        <v>1</v>
      </c>
      <c r="Q1680">
        <f>IF(COUNTIFS('United Data'!$A$3:$A$3390,Q$1,'United Data'!$C$3:$C$3390,$A1680)&gt;0,1,0)</f>
        <v>1</v>
      </c>
      <c r="R1680">
        <f>IF(COUNTIFS('United Data'!$A$3:$A$3390,R$1,'United Data'!$C$3:$C$3390,$A1680)&gt;0,1,0)</f>
        <v>1</v>
      </c>
      <c r="S1680">
        <f t="shared" si="52"/>
        <v>5</v>
      </c>
      <c r="T1680">
        <f t="shared" si="53"/>
        <v>3</v>
      </c>
    </row>
    <row r="1681" spans="1:20" x14ac:dyDescent="0.2">
      <c r="A1681" t="s">
        <v>1970</v>
      </c>
      <c r="B1681">
        <f>IF(COUNTIFS('United Data'!$A$3:$A$3390,B$1,'United Data'!$C$3:$C$3390,$A1681)&gt;0,1,0)</f>
        <v>0</v>
      </c>
      <c r="C1681">
        <f>IF(COUNTIFS('United Data'!$A$3:$A$3390,C$1,'United Data'!$C$3:$C$3390,$A1681)&gt;0,1,0)</f>
        <v>1</v>
      </c>
      <c r="D1681">
        <f>IF(COUNTIFS('United Data'!$A$3:$A$3390,D$1,'United Data'!$C$3:$C$3390,$A1681)&gt;0,1,0)</f>
        <v>1</v>
      </c>
      <c r="E1681">
        <f>IF(COUNTIFS('United Data'!$A$3:$A$3390,E$1,'United Data'!$C$3:$C$3390,$A1681)&gt;0,1,0)</f>
        <v>0</v>
      </c>
      <c r="F1681">
        <f>IF(COUNTIFS('United Data'!$A$3:$A$3390,F$1,'United Data'!$C$3:$C$3390,$A1681)&gt;0,1,0)</f>
        <v>0</v>
      </c>
      <c r="G1681">
        <f>IF(COUNTIFS('United Data'!$A$3:$A$3390,G$1,'United Data'!$C$3:$C$3390,$A1681)&gt;0,1,0)</f>
        <v>0</v>
      </c>
      <c r="H1681">
        <f>IF(COUNTIFS('United Data'!$A$3:$A$3390,H$1,'United Data'!$C$3:$C$3390,$A1681)&gt;0,1,0)</f>
        <v>0</v>
      </c>
      <c r="I1681">
        <f>IF(COUNTIFS('United Data'!$A$3:$A$3390,I$1,'United Data'!$C$3:$C$3390,$A1681)&gt;0,1,0)</f>
        <v>0</v>
      </c>
      <c r="J1681">
        <f>IF(COUNTIFS('United Data'!$A$3:$A$3390,J$1,'United Data'!$C$3:$C$3390,$A1681)&gt;0,1,0)</f>
        <v>0</v>
      </c>
      <c r="K1681">
        <f>IF(COUNTIFS('United Data'!$A$3:$A$3390,K$1,'United Data'!$C$3:$C$3390,$A1681)&gt;0,1,0)</f>
        <v>1</v>
      </c>
      <c r="L1681">
        <f>IF(COUNTIFS('United Data'!$A$3:$A$3390,L$1,'United Data'!$C$3:$C$3390,$A1681)&gt;0,1,0)</f>
        <v>0</v>
      </c>
      <c r="M1681">
        <f>IF(COUNTIFS('United Data'!$A$3:$A$3390,M$1,'United Data'!$C$3:$C$3390,$A1681)&gt;0,1,0)</f>
        <v>1</v>
      </c>
      <c r="N1681">
        <f>IF(COUNTIFS('United Data'!$A$3:$A$3390,N$1,'United Data'!$C$3:$C$3390,$A1681)&gt;0,1,0)</f>
        <v>1</v>
      </c>
      <c r="O1681">
        <f>IF(COUNTIFS('United Data'!$A$3:$A$3390,O$1,'United Data'!$C$3:$C$3390,$A1681)&gt;0,1,0)</f>
        <v>1</v>
      </c>
      <c r="P1681">
        <f>IF(COUNTIFS('United Data'!$A$3:$A$3390,P$1,'United Data'!$C$3:$C$3390,$A1681)&gt;0,1,0)</f>
        <v>1</v>
      </c>
      <c r="Q1681">
        <f>IF(COUNTIFS('United Data'!$A$3:$A$3390,Q$1,'United Data'!$C$3:$C$3390,$A1681)&gt;0,1,0)</f>
        <v>1</v>
      </c>
      <c r="R1681">
        <f>IF(COUNTIFS('United Data'!$A$3:$A$3390,R$1,'United Data'!$C$3:$C$3390,$A1681)&gt;0,1,0)</f>
        <v>1</v>
      </c>
      <c r="S1681">
        <f t="shared" si="52"/>
        <v>9</v>
      </c>
      <c r="T1681">
        <f t="shared" si="53"/>
        <v>3</v>
      </c>
    </row>
    <row r="1682" spans="1:20" x14ac:dyDescent="0.2">
      <c r="A1682" t="s">
        <v>1971</v>
      </c>
      <c r="B1682">
        <f>IF(COUNTIFS('United Data'!$A$3:$A$3390,B$1,'United Data'!$C$3:$C$3390,$A1682)&gt;0,1,0)</f>
        <v>0</v>
      </c>
      <c r="C1682">
        <f>IF(COUNTIFS('United Data'!$A$3:$A$3390,C$1,'United Data'!$C$3:$C$3390,$A1682)&gt;0,1,0)</f>
        <v>1</v>
      </c>
      <c r="D1682">
        <f>IF(COUNTIFS('United Data'!$A$3:$A$3390,D$1,'United Data'!$C$3:$C$3390,$A1682)&gt;0,1,0)</f>
        <v>0</v>
      </c>
      <c r="E1682">
        <f>IF(COUNTIFS('United Data'!$A$3:$A$3390,E$1,'United Data'!$C$3:$C$3390,$A1682)&gt;0,1,0)</f>
        <v>0</v>
      </c>
      <c r="F1682">
        <f>IF(COUNTIFS('United Data'!$A$3:$A$3390,F$1,'United Data'!$C$3:$C$3390,$A1682)&gt;0,1,0)</f>
        <v>0</v>
      </c>
      <c r="G1682">
        <f>IF(COUNTIFS('United Data'!$A$3:$A$3390,G$1,'United Data'!$C$3:$C$3390,$A1682)&gt;0,1,0)</f>
        <v>0</v>
      </c>
      <c r="H1682">
        <f>IF(COUNTIFS('United Data'!$A$3:$A$3390,H$1,'United Data'!$C$3:$C$3390,$A1682)&gt;0,1,0)</f>
        <v>0</v>
      </c>
      <c r="I1682">
        <f>IF(COUNTIFS('United Data'!$A$3:$A$3390,I$1,'United Data'!$C$3:$C$3390,$A1682)&gt;0,1,0)</f>
        <v>0</v>
      </c>
      <c r="J1682">
        <f>IF(COUNTIFS('United Data'!$A$3:$A$3390,J$1,'United Data'!$C$3:$C$3390,$A1682)&gt;0,1,0)</f>
        <v>0</v>
      </c>
      <c r="K1682">
        <f>IF(COUNTIFS('United Data'!$A$3:$A$3390,K$1,'United Data'!$C$3:$C$3390,$A1682)&gt;0,1,0)</f>
        <v>0</v>
      </c>
      <c r="L1682">
        <f>IF(COUNTIFS('United Data'!$A$3:$A$3390,L$1,'United Data'!$C$3:$C$3390,$A1682)&gt;0,1,0)</f>
        <v>0</v>
      </c>
      <c r="M1682">
        <f>IF(COUNTIFS('United Data'!$A$3:$A$3390,M$1,'United Data'!$C$3:$C$3390,$A1682)&gt;0,1,0)</f>
        <v>0</v>
      </c>
      <c r="N1682">
        <f>IF(COUNTIFS('United Data'!$A$3:$A$3390,N$1,'United Data'!$C$3:$C$3390,$A1682)&gt;0,1,0)</f>
        <v>0</v>
      </c>
      <c r="O1682">
        <f>IF(COUNTIFS('United Data'!$A$3:$A$3390,O$1,'United Data'!$C$3:$C$3390,$A1682)&gt;0,1,0)</f>
        <v>0</v>
      </c>
      <c r="P1682">
        <f>IF(COUNTIFS('United Data'!$A$3:$A$3390,P$1,'United Data'!$C$3:$C$3390,$A1682)&gt;0,1,0)</f>
        <v>0</v>
      </c>
      <c r="Q1682">
        <f>IF(COUNTIFS('United Data'!$A$3:$A$3390,Q$1,'United Data'!$C$3:$C$3390,$A1682)&gt;0,1,0)</f>
        <v>0</v>
      </c>
      <c r="R1682">
        <f>IF(COUNTIFS('United Data'!$A$3:$A$3390,R$1,'United Data'!$C$3:$C$3390,$A1682)&gt;0,1,0)</f>
        <v>0</v>
      </c>
      <c r="S1682">
        <f t="shared" si="52"/>
        <v>1</v>
      </c>
      <c r="T1682">
        <f t="shared" si="53"/>
        <v>1</v>
      </c>
    </row>
    <row r="1683" spans="1:20" x14ac:dyDescent="0.2">
      <c r="A1683" t="s">
        <v>1972</v>
      </c>
      <c r="B1683">
        <f>IF(COUNTIFS('United Data'!$A$3:$A$3390,B$1,'United Data'!$C$3:$C$3390,$A1683)&gt;0,1,0)</f>
        <v>0</v>
      </c>
      <c r="C1683">
        <f>IF(COUNTIFS('United Data'!$A$3:$A$3390,C$1,'United Data'!$C$3:$C$3390,$A1683)&gt;0,1,0)</f>
        <v>1</v>
      </c>
      <c r="D1683">
        <f>IF(COUNTIFS('United Data'!$A$3:$A$3390,D$1,'United Data'!$C$3:$C$3390,$A1683)&gt;0,1,0)</f>
        <v>0</v>
      </c>
      <c r="E1683">
        <f>IF(COUNTIFS('United Data'!$A$3:$A$3390,E$1,'United Data'!$C$3:$C$3390,$A1683)&gt;0,1,0)</f>
        <v>1</v>
      </c>
      <c r="F1683">
        <f>IF(COUNTIFS('United Data'!$A$3:$A$3390,F$1,'United Data'!$C$3:$C$3390,$A1683)&gt;0,1,0)</f>
        <v>0</v>
      </c>
      <c r="G1683">
        <f>IF(COUNTIFS('United Data'!$A$3:$A$3390,G$1,'United Data'!$C$3:$C$3390,$A1683)&gt;0,1,0)</f>
        <v>0</v>
      </c>
      <c r="H1683">
        <f>IF(COUNTIFS('United Data'!$A$3:$A$3390,H$1,'United Data'!$C$3:$C$3390,$A1683)&gt;0,1,0)</f>
        <v>0</v>
      </c>
      <c r="I1683">
        <f>IF(COUNTIFS('United Data'!$A$3:$A$3390,I$1,'United Data'!$C$3:$C$3390,$A1683)&gt;0,1,0)</f>
        <v>0</v>
      </c>
      <c r="J1683">
        <f>IF(COUNTIFS('United Data'!$A$3:$A$3390,J$1,'United Data'!$C$3:$C$3390,$A1683)&gt;0,1,0)</f>
        <v>0</v>
      </c>
      <c r="K1683">
        <f>IF(COUNTIFS('United Data'!$A$3:$A$3390,K$1,'United Data'!$C$3:$C$3390,$A1683)&gt;0,1,0)</f>
        <v>0</v>
      </c>
      <c r="L1683">
        <f>IF(COUNTIFS('United Data'!$A$3:$A$3390,L$1,'United Data'!$C$3:$C$3390,$A1683)&gt;0,1,0)</f>
        <v>0</v>
      </c>
      <c r="M1683">
        <f>IF(COUNTIFS('United Data'!$A$3:$A$3390,M$1,'United Data'!$C$3:$C$3390,$A1683)&gt;0,1,0)</f>
        <v>0</v>
      </c>
      <c r="N1683">
        <f>IF(COUNTIFS('United Data'!$A$3:$A$3390,N$1,'United Data'!$C$3:$C$3390,$A1683)&gt;0,1,0)</f>
        <v>0</v>
      </c>
      <c r="O1683">
        <f>IF(COUNTIFS('United Data'!$A$3:$A$3390,O$1,'United Data'!$C$3:$C$3390,$A1683)&gt;0,1,0)</f>
        <v>0</v>
      </c>
      <c r="P1683">
        <f>IF(COUNTIFS('United Data'!$A$3:$A$3390,P$1,'United Data'!$C$3:$C$3390,$A1683)&gt;0,1,0)</f>
        <v>0</v>
      </c>
      <c r="Q1683">
        <f>IF(COUNTIFS('United Data'!$A$3:$A$3390,Q$1,'United Data'!$C$3:$C$3390,$A1683)&gt;0,1,0)</f>
        <v>0</v>
      </c>
      <c r="R1683">
        <f>IF(COUNTIFS('United Data'!$A$3:$A$3390,R$1,'United Data'!$C$3:$C$3390,$A1683)&gt;0,1,0)</f>
        <v>0</v>
      </c>
      <c r="S1683">
        <f t="shared" si="52"/>
        <v>2</v>
      </c>
      <c r="T1683">
        <f t="shared" si="53"/>
        <v>2</v>
      </c>
    </row>
    <row r="1684" spans="1:20" x14ac:dyDescent="0.2">
      <c r="A1684" t="s">
        <v>1973</v>
      </c>
      <c r="B1684">
        <f>IF(COUNTIFS('United Data'!$A$3:$A$3390,B$1,'United Data'!$C$3:$C$3390,$A1684)&gt;0,1,0)</f>
        <v>0</v>
      </c>
      <c r="C1684">
        <f>IF(COUNTIFS('United Data'!$A$3:$A$3390,C$1,'United Data'!$C$3:$C$3390,$A1684)&gt;0,1,0)</f>
        <v>1</v>
      </c>
      <c r="D1684">
        <f>IF(COUNTIFS('United Data'!$A$3:$A$3390,D$1,'United Data'!$C$3:$C$3390,$A1684)&gt;0,1,0)</f>
        <v>0</v>
      </c>
      <c r="E1684">
        <f>IF(COUNTIFS('United Data'!$A$3:$A$3390,E$1,'United Data'!$C$3:$C$3390,$A1684)&gt;0,1,0)</f>
        <v>1</v>
      </c>
      <c r="F1684">
        <f>IF(COUNTIFS('United Data'!$A$3:$A$3390,F$1,'United Data'!$C$3:$C$3390,$A1684)&gt;0,1,0)</f>
        <v>0</v>
      </c>
      <c r="G1684">
        <f>IF(COUNTIFS('United Data'!$A$3:$A$3390,G$1,'United Data'!$C$3:$C$3390,$A1684)&gt;0,1,0)</f>
        <v>0</v>
      </c>
      <c r="H1684">
        <f>IF(COUNTIFS('United Data'!$A$3:$A$3390,H$1,'United Data'!$C$3:$C$3390,$A1684)&gt;0,1,0)</f>
        <v>0</v>
      </c>
      <c r="I1684">
        <f>IF(COUNTIFS('United Data'!$A$3:$A$3390,I$1,'United Data'!$C$3:$C$3390,$A1684)&gt;0,1,0)</f>
        <v>0</v>
      </c>
      <c r="J1684">
        <f>IF(COUNTIFS('United Data'!$A$3:$A$3390,J$1,'United Data'!$C$3:$C$3390,$A1684)&gt;0,1,0)</f>
        <v>0</v>
      </c>
      <c r="K1684">
        <f>IF(COUNTIFS('United Data'!$A$3:$A$3390,K$1,'United Data'!$C$3:$C$3390,$A1684)&gt;0,1,0)</f>
        <v>0</v>
      </c>
      <c r="L1684">
        <f>IF(COUNTIFS('United Data'!$A$3:$A$3390,L$1,'United Data'!$C$3:$C$3390,$A1684)&gt;0,1,0)</f>
        <v>0</v>
      </c>
      <c r="M1684">
        <f>IF(COUNTIFS('United Data'!$A$3:$A$3390,M$1,'United Data'!$C$3:$C$3390,$A1684)&gt;0,1,0)</f>
        <v>0</v>
      </c>
      <c r="N1684">
        <f>IF(COUNTIFS('United Data'!$A$3:$A$3390,N$1,'United Data'!$C$3:$C$3390,$A1684)&gt;0,1,0)</f>
        <v>0</v>
      </c>
      <c r="O1684">
        <f>IF(COUNTIFS('United Data'!$A$3:$A$3390,O$1,'United Data'!$C$3:$C$3390,$A1684)&gt;0,1,0)</f>
        <v>0</v>
      </c>
      <c r="P1684">
        <f>IF(COUNTIFS('United Data'!$A$3:$A$3390,P$1,'United Data'!$C$3:$C$3390,$A1684)&gt;0,1,0)</f>
        <v>0</v>
      </c>
      <c r="Q1684">
        <f>IF(COUNTIFS('United Data'!$A$3:$A$3390,Q$1,'United Data'!$C$3:$C$3390,$A1684)&gt;0,1,0)</f>
        <v>0</v>
      </c>
      <c r="R1684">
        <f>IF(COUNTIFS('United Data'!$A$3:$A$3390,R$1,'United Data'!$C$3:$C$3390,$A1684)&gt;0,1,0)</f>
        <v>0</v>
      </c>
      <c r="S1684">
        <f t="shared" si="52"/>
        <v>2</v>
      </c>
      <c r="T1684">
        <f t="shared" si="53"/>
        <v>2</v>
      </c>
    </row>
    <row r="1685" spans="1:20" x14ac:dyDescent="0.2">
      <c r="A1685" t="s">
        <v>1974</v>
      </c>
      <c r="B1685">
        <f>IF(COUNTIFS('United Data'!$A$3:$A$3390,B$1,'United Data'!$C$3:$C$3390,$A1685)&gt;0,1,0)</f>
        <v>0</v>
      </c>
      <c r="C1685">
        <f>IF(COUNTIFS('United Data'!$A$3:$A$3390,C$1,'United Data'!$C$3:$C$3390,$A1685)&gt;0,1,0)</f>
        <v>1</v>
      </c>
      <c r="D1685">
        <f>IF(COUNTIFS('United Data'!$A$3:$A$3390,D$1,'United Data'!$C$3:$C$3390,$A1685)&gt;0,1,0)</f>
        <v>0</v>
      </c>
      <c r="E1685">
        <f>IF(COUNTIFS('United Data'!$A$3:$A$3390,E$1,'United Data'!$C$3:$C$3390,$A1685)&gt;0,1,0)</f>
        <v>1</v>
      </c>
      <c r="F1685">
        <f>IF(COUNTIFS('United Data'!$A$3:$A$3390,F$1,'United Data'!$C$3:$C$3390,$A1685)&gt;0,1,0)</f>
        <v>1</v>
      </c>
      <c r="G1685">
        <f>IF(COUNTIFS('United Data'!$A$3:$A$3390,G$1,'United Data'!$C$3:$C$3390,$A1685)&gt;0,1,0)</f>
        <v>0</v>
      </c>
      <c r="H1685">
        <f>IF(COUNTIFS('United Data'!$A$3:$A$3390,H$1,'United Data'!$C$3:$C$3390,$A1685)&gt;0,1,0)</f>
        <v>1</v>
      </c>
      <c r="I1685">
        <f>IF(COUNTIFS('United Data'!$A$3:$A$3390,I$1,'United Data'!$C$3:$C$3390,$A1685)&gt;0,1,0)</f>
        <v>0</v>
      </c>
      <c r="J1685">
        <f>IF(COUNTIFS('United Data'!$A$3:$A$3390,J$1,'United Data'!$C$3:$C$3390,$A1685)&gt;0,1,0)</f>
        <v>0</v>
      </c>
      <c r="K1685">
        <f>IF(COUNTIFS('United Data'!$A$3:$A$3390,K$1,'United Data'!$C$3:$C$3390,$A1685)&gt;0,1,0)</f>
        <v>0</v>
      </c>
      <c r="L1685">
        <f>IF(COUNTIFS('United Data'!$A$3:$A$3390,L$1,'United Data'!$C$3:$C$3390,$A1685)&gt;0,1,0)</f>
        <v>0</v>
      </c>
      <c r="M1685">
        <f>IF(COUNTIFS('United Data'!$A$3:$A$3390,M$1,'United Data'!$C$3:$C$3390,$A1685)&gt;0,1,0)</f>
        <v>0</v>
      </c>
      <c r="N1685">
        <f>IF(COUNTIFS('United Data'!$A$3:$A$3390,N$1,'United Data'!$C$3:$C$3390,$A1685)&gt;0,1,0)</f>
        <v>0</v>
      </c>
      <c r="O1685">
        <f>IF(COUNTIFS('United Data'!$A$3:$A$3390,O$1,'United Data'!$C$3:$C$3390,$A1685)&gt;0,1,0)</f>
        <v>0</v>
      </c>
      <c r="P1685">
        <f>IF(COUNTIFS('United Data'!$A$3:$A$3390,P$1,'United Data'!$C$3:$C$3390,$A1685)&gt;0,1,0)</f>
        <v>0</v>
      </c>
      <c r="Q1685">
        <f>IF(COUNTIFS('United Data'!$A$3:$A$3390,Q$1,'United Data'!$C$3:$C$3390,$A1685)&gt;0,1,0)</f>
        <v>1</v>
      </c>
      <c r="R1685">
        <f>IF(COUNTIFS('United Data'!$A$3:$A$3390,R$1,'United Data'!$C$3:$C$3390,$A1685)&gt;0,1,0)</f>
        <v>0</v>
      </c>
      <c r="S1685">
        <f t="shared" si="52"/>
        <v>5</v>
      </c>
      <c r="T1685">
        <f t="shared" si="53"/>
        <v>4</v>
      </c>
    </row>
    <row r="1686" spans="1:20" x14ac:dyDescent="0.2">
      <c r="A1686" t="s">
        <v>1975</v>
      </c>
      <c r="B1686">
        <f>IF(COUNTIFS('United Data'!$A$3:$A$3390,B$1,'United Data'!$C$3:$C$3390,$A1686)&gt;0,1,0)</f>
        <v>0</v>
      </c>
      <c r="C1686">
        <f>IF(COUNTIFS('United Data'!$A$3:$A$3390,C$1,'United Data'!$C$3:$C$3390,$A1686)&gt;0,1,0)</f>
        <v>1</v>
      </c>
      <c r="D1686">
        <f>IF(COUNTIFS('United Data'!$A$3:$A$3390,D$1,'United Data'!$C$3:$C$3390,$A1686)&gt;0,1,0)</f>
        <v>0</v>
      </c>
      <c r="E1686">
        <f>IF(COUNTIFS('United Data'!$A$3:$A$3390,E$1,'United Data'!$C$3:$C$3390,$A1686)&gt;0,1,0)</f>
        <v>1</v>
      </c>
      <c r="F1686">
        <f>IF(COUNTIFS('United Data'!$A$3:$A$3390,F$1,'United Data'!$C$3:$C$3390,$A1686)&gt;0,1,0)</f>
        <v>0</v>
      </c>
      <c r="G1686">
        <f>IF(COUNTIFS('United Data'!$A$3:$A$3390,G$1,'United Data'!$C$3:$C$3390,$A1686)&gt;0,1,0)</f>
        <v>0</v>
      </c>
      <c r="H1686">
        <f>IF(COUNTIFS('United Data'!$A$3:$A$3390,H$1,'United Data'!$C$3:$C$3390,$A1686)&gt;0,1,0)</f>
        <v>1</v>
      </c>
      <c r="I1686">
        <f>IF(COUNTIFS('United Data'!$A$3:$A$3390,I$1,'United Data'!$C$3:$C$3390,$A1686)&gt;0,1,0)</f>
        <v>0</v>
      </c>
      <c r="J1686">
        <f>IF(COUNTIFS('United Data'!$A$3:$A$3390,J$1,'United Data'!$C$3:$C$3390,$A1686)&gt;0,1,0)</f>
        <v>0</v>
      </c>
      <c r="K1686">
        <f>IF(COUNTIFS('United Data'!$A$3:$A$3390,K$1,'United Data'!$C$3:$C$3390,$A1686)&gt;0,1,0)</f>
        <v>0</v>
      </c>
      <c r="L1686">
        <f>IF(COUNTIFS('United Data'!$A$3:$A$3390,L$1,'United Data'!$C$3:$C$3390,$A1686)&gt;0,1,0)</f>
        <v>0</v>
      </c>
      <c r="M1686">
        <f>IF(COUNTIFS('United Data'!$A$3:$A$3390,M$1,'United Data'!$C$3:$C$3390,$A1686)&gt;0,1,0)</f>
        <v>0</v>
      </c>
      <c r="N1686">
        <f>IF(COUNTIFS('United Data'!$A$3:$A$3390,N$1,'United Data'!$C$3:$C$3390,$A1686)&gt;0,1,0)</f>
        <v>1</v>
      </c>
      <c r="O1686">
        <f>IF(COUNTIFS('United Data'!$A$3:$A$3390,O$1,'United Data'!$C$3:$C$3390,$A1686)&gt;0,1,0)</f>
        <v>0</v>
      </c>
      <c r="P1686">
        <f>IF(COUNTIFS('United Data'!$A$3:$A$3390,P$1,'United Data'!$C$3:$C$3390,$A1686)&gt;0,1,0)</f>
        <v>0</v>
      </c>
      <c r="Q1686">
        <f>IF(COUNTIFS('United Data'!$A$3:$A$3390,Q$1,'United Data'!$C$3:$C$3390,$A1686)&gt;0,1,0)</f>
        <v>1</v>
      </c>
      <c r="R1686">
        <f>IF(COUNTIFS('United Data'!$A$3:$A$3390,R$1,'United Data'!$C$3:$C$3390,$A1686)&gt;0,1,0)</f>
        <v>0</v>
      </c>
      <c r="S1686">
        <f t="shared" si="52"/>
        <v>5</v>
      </c>
      <c r="T1686">
        <f t="shared" si="53"/>
        <v>5</v>
      </c>
    </row>
    <row r="1687" spans="1:20" x14ac:dyDescent="0.2">
      <c r="A1687" t="s">
        <v>1976</v>
      </c>
      <c r="B1687">
        <f>IF(COUNTIFS('United Data'!$A$3:$A$3390,B$1,'United Data'!$C$3:$C$3390,$A1687)&gt;0,1,0)</f>
        <v>0</v>
      </c>
      <c r="C1687">
        <f>IF(COUNTIFS('United Data'!$A$3:$A$3390,C$1,'United Data'!$C$3:$C$3390,$A1687)&gt;0,1,0)</f>
        <v>1</v>
      </c>
      <c r="D1687">
        <f>IF(COUNTIFS('United Data'!$A$3:$A$3390,D$1,'United Data'!$C$3:$C$3390,$A1687)&gt;0,1,0)</f>
        <v>0</v>
      </c>
      <c r="E1687">
        <f>IF(COUNTIFS('United Data'!$A$3:$A$3390,E$1,'United Data'!$C$3:$C$3390,$A1687)&gt;0,1,0)</f>
        <v>0</v>
      </c>
      <c r="F1687">
        <f>IF(COUNTIFS('United Data'!$A$3:$A$3390,F$1,'United Data'!$C$3:$C$3390,$A1687)&gt;0,1,0)</f>
        <v>0</v>
      </c>
      <c r="G1687">
        <f>IF(COUNTIFS('United Data'!$A$3:$A$3390,G$1,'United Data'!$C$3:$C$3390,$A1687)&gt;0,1,0)</f>
        <v>0</v>
      </c>
      <c r="H1687">
        <f>IF(COUNTIFS('United Data'!$A$3:$A$3390,H$1,'United Data'!$C$3:$C$3390,$A1687)&gt;0,1,0)</f>
        <v>0</v>
      </c>
      <c r="I1687">
        <f>IF(COUNTIFS('United Data'!$A$3:$A$3390,I$1,'United Data'!$C$3:$C$3390,$A1687)&gt;0,1,0)</f>
        <v>0</v>
      </c>
      <c r="J1687">
        <f>IF(COUNTIFS('United Data'!$A$3:$A$3390,J$1,'United Data'!$C$3:$C$3390,$A1687)&gt;0,1,0)</f>
        <v>0</v>
      </c>
      <c r="K1687">
        <f>IF(COUNTIFS('United Data'!$A$3:$A$3390,K$1,'United Data'!$C$3:$C$3390,$A1687)&gt;0,1,0)</f>
        <v>0</v>
      </c>
      <c r="L1687">
        <f>IF(COUNTIFS('United Data'!$A$3:$A$3390,L$1,'United Data'!$C$3:$C$3390,$A1687)&gt;0,1,0)</f>
        <v>0</v>
      </c>
      <c r="M1687">
        <f>IF(COUNTIFS('United Data'!$A$3:$A$3390,M$1,'United Data'!$C$3:$C$3390,$A1687)&gt;0,1,0)</f>
        <v>0</v>
      </c>
      <c r="N1687">
        <f>IF(COUNTIFS('United Data'!$A$3:$A$3390,N$1,'United Data'!$C$3:$C$3390,$A1687)&gt;0,1,0)</f>
        <v>0</v>
      </c>
      <c r="O1687">
        <f>IF(COUNTIFS('United Data'!$A$3:$A$3390,O$1,'United Data'!$C$3:$C$3390,$A1687)&gt;0,1,0)</f>
        <v>0</v>
      </c>
      <c r="P1687">
        <f>IF(COUNTIFS('United Data'!$A$3:$A$3390,P$1,'United Data'!$C$3:$C$3390,$A1687)&gt;0,1,0)</f>
        <v>0</v>
      </c>
      <c r="Q1687">
        <f>IF(COUNTIFS('United Data'!$A$3:$A$3390,Q$1,'United Data'!$C$3:$C$3390,$A1687)&gt;0,1,0)</f>
        <v>0</v>
      </c>
      <c r="R1687">
        <f>IF(COUNTIFS('United Data'!$A$3:$A$3390,R$1,'United Data'!$C$3:$C$3390,$A1687)&gt;0,1,0)</f>
        <v>0</v>
      </c>
      <c r="S1687">
        <f t="shared" si="52"/>
        <v>1</v>
      </c>
      <c r="T1687">
        <f t="shared" si="53"/>
        <v>1</v>
      </c>
    </row>
    <row r="1688" spans="1:20" x14ac:dyDescent="0.2">
      <c r="A1688" t="s">
        <v>1977</v>
      </c>
      <c r="B1688">
        <f>IF(COUNTIFS('United Data'!$A$3:$A$3390,B$1,'United Data'!$C$3:$C$3390,$A1688)&gt;0,1,0)</f>
        <v>0</v>
      </c>
      <c r="C1688">
        <f>IF(COUNTIFS('United Data'!$A$3:$A$3390,C$1,'United Data'!$C$3:$C$3390,$A1688)&gt;0,1,0)</f>
        <v>1</v>
      </c>
      <c r="D1688">
        <f>IF(COUNTIFS('United Data'!$A$3:$A$3390,D$1,'United Data'!$C$3:$C$3390,$A1688)&gt;0,1,0)</f>
        <v>0</v>
      </c>
      <c r="E1688">
        <f>IF(COUNTIFS('United Data'!$A$3:$A$3390,E$1,'United Data'!$C$3:$C$3390,$A1688)&gt;0,1,0)</f>
        <v>0</v>
      </c>
      <c r="F1688">
        <f>IF(COUNTIFS('United Data'!$A$3:$A$3390,F$1,'United Data'!$C$3:$C$3390,$A1688)&gt;0,1,0)</f>
        <v>0</v>
      </c>
      <c r="G1688">
        <f>IF(COUNTIFS('United Data'!$A$3:$A$3390,G$1,'United Data'!$C$3:$C$3390,$A1688)&gt;0,1,0)</f>
        <v>0</v>
      </c>
      <c r="H1688">
        <f>IF(COUNTIFS('United Data'!$A$3:$A$3390,H$1,'United Data'!$C$3:$C$3390,$A1688)&gt;0,1,0)</f>
        <v>0</v>
      </c>
      <c r="I1688">
        <f>IF(COUNTIFS('United Data'!$A$3:$A$3390,I$1,'United Data'!$C$3:$C$3390,$A1688)&gt;0,1,0)</f>
        <v>0</v>
      </c>
      <c r="J1688">
        <f>IF(COUNTIFS('United Data'!$A$3:$A$3390,J$1,'United Data'!$C$3:$C$3390,$A1688)&gt;0,1,0)</f>
        <v>0</v>
      </c>
      <c r="K1688">
        <f>IF(COUNTIFS('United Data'!$A$3:$A$3390,K$1,'United Data'!$C$3:$C$3390,$A1688)&gt;0,1,0)</f>
        <v>0</v>
      </c>
      <c r="L1688">
        <f>IF(COUNTIFS('United Data'!$A$3:$A$3390,L$1,'United Data'!$C$3:$C$3390,$A1688)&gt;0,1,0)</f>
        <v>0</v>
      </c>
      <c r="M1688">
        <f>IF(COUNTIFS('United Data'!$A$3:$A$3390,M$1,'United Data'!$C$3:$C$3390,$A1688)&gt;0,1,0)</f>
        <v>0</v>
      </c>
      <c r="N1688">
        <f>IF(COUNTIFS('United Data'!$A$3:$A$3390,N$1,'United Data'!$C$3:$C$3390,$A1688)&gt;0,1,0)</f>
        <v>0</v>
      </c>
      <c r="O1688">
        <f>IF(COUNTIFS('United Data'!$A$3:$A$3390,O$1,'United Data'!$C$3:$C$3390,$A1688)&gt;0,1,0)</f>
        <v>0</v>
      </c>
      <c r="P1688">
        <f>IF(COUNTIFS('United Data'!$A$3:$A$3390,P$1,'United Data'!$C$3:$C$3390,$A1688)&gt;0,1,0)</f>
        <v>0</v>
      </c>
      <c r="Q1688">
        <f>IF(COUNTIFS('United Data'!$A$3:$A$3390,Q$1,'United Data'!$C$3:$C$3390,$A1688)&gt;0,1,0)</f>
        <v>0</v>
      </c>
      <c r="R1688">
        <f>IF(COUNTIFS('United Data'!$A$3:$A$3390,R$1,'United Data'!$C$3:$C$3390,$A1688)&gt;0,1,0)</f>
        <v>0</v>
      </c>
      <c r="S1688">
        <f t="shared" si="52"/>
        <v>1</v>
      </c>
      <c r="T1688">
        <f t="shared" si="53"/>
        <v>1</v>
      </c>
    </row>
    <row r="1689" spans="1:20" x14ac:dyDescent="0.2">
      <c r="A1689" t="s">
        <v>1978</v>
      </c>
      <c r="B1689">
        <f>IF(COUNTIFS('United Data'!$A$3:$A$3390,B$1,'United Data'!$C$3:$C$3390,$A1689)&gt;0,1,0)</f>
        <v>0</v>
      </c>
      <c r="C1689">
        <f>IF(COUNTIFS('United Data'!$A$3:$A$3390,C$1,'United Data'!$C$3:$C$3390,$A1689)&gt;0,1,0)</f>
        <v>1</v>
      </c>
      <c r="D1689">
        <f>IF(COUNTIFS('United Data'!$A$3:$A$3390,D$1,'United Data'!$C$3:$C$3390,$A1689)&gt;0,1,0)</f>
        <v>0</v>
      </c>
      <c r="E1689">
        <f>IF(COUNTIFS('United Data'!$A$3:$A$3390,E$1,'United Data'!$C$3:$C$3390,$A1689)&gt;0,1,0)</f>
        <v>1</v>
      </c>
      <c r="F1689">
        <f>IF(COUNTIFS('United Data'!$A$3:$A$3390,F$1,'United Data'!$C$3:$C$3390,$A1689)&gt;0,1,0)</f>
        <v>1</v>
      </c>
      <c r="G1689">
        <f>IF(COUNTIFS('United Data'!$A$3:$A$3390,G$1,'United Data'!$C$3:$C$3390,$A1689)&gt;0,1,0)</f>
        <v>0</v>
      </c>
      <c r="H1689">
        <f>IF(COUNTIFS('United Data'!$A$3:$A$3390,H$1,'United Data'!$C$3:$C$3390,$A1689)&gt;0,1,0)</f>
        <v>0</v>
      </c>
      <c r="I1689">
        <f>IF(COUNTIFS('United Data'!$A$3:$A$3390,I$1,'United Data'!$C$3:$C$3390,$A1689)&gt;0,1,0)</f>
        <v>0</v>
      </c>
      <c r="J1689">
        <f>IF(COUNTIFS('United Data'!$A$3:$A$3390,J$1,'United Data'!$C$3:$C$3390,$A1689)&gt;0,1,0)</f>
        <v>0</v>
      </c>
      <c r="K1689">
        <f>IF(COUNTIFS('United Data'!$A$3:$A$3390,K$1,'United Data'!$C$3:$C$3390,$A1689)&gt;0,1,0)</f>
        <v>0</v>
      </c>
      <c r="L1689">
        <f>IF(COUNTIFS('United Data'!$A$3:$A$3390,L$1,'United Data'!$C$3:$C$3390,$A1689)&gt;0,1,0)</f>
        <v>0</v>
      </c>
      <c r="M1689">
        <f>IF(COUNTIFS('United Data'!$A$3:$A$3390,M$1,'United Data'!$C$3:$C$3390,$A1689)&gt;0,1,0)</f>
        <v>0</v>
      </c>
      <c r="N1689">
        <f>IF(COUNTIFS('United Data'!$A$3:$A$3390,N$1,'United Data'!$C$3:$C$3390,$A1689)&gt;0,1,0)</f>
        <v>1</v>
      </c>
      <c r="O1689">
        <f>IF(COUNTIFS('United Data'!$A$3:$A$3390,O$1,'United Data'!$C$3:$C$3390,$A1689)&gt;0,1,0)</f>
        <v>0</v>
      </c>
      <c r="P1689">
        <f>IF(COUNTIFS('United Data'!$A$3:$A$3390,P$1,'United Data'!$C$3:$C$3390,$A1689)&gt;0,1,0)</f>
        <v>0</v>
      </c>
      <c r="Q1689">
        <f>IF(COUNTIFS('United Data'!$A$3:$A$3390,Q$1,'United Data'!$C$3:$C$3390,$A1689)&gt;0,1,0)</f>
        <v>1</v>
      </c>
      <c r="R1689">
        <f>IF(COUNTIFS('United Data'!$A$3:$A$3390,R$1,'United Data'!$C$3:$C$3390,$A1689)&gt;0,1,0)</f>
        <v>0</v>
      </c>
      <c r="S1689">
        <f t="shared" si="52"/>
        <v>5</v>
      </c>
      <c r="T1689">
        <f t="shared" si="53"/>
        <v>4</v>
      </c>
    </row>
    <row r="1690" spans="1:20" x14ac:dyDescent="0.2">
      <c r="A1690" t="s">
        <v>1979</v>
      </c>
      <c r="B1690">
        <f>IF(COUNTIFS('United Data'!$A$3:$A$3390,B$1,'United Data'!$C$3:$C$3390,$A1690)&gt;0,1,0)</f>
        <v>0</v>
      </c>
      <c r="C1690">
        <f>IF(COUNTIFS('United Data'!$A$3:$A$3390,C$1,'United Data'!$C$3:$C$3390,$A1690)&gt;0,1,0)</f>
        <v>0</v>
      </c>
      <c r="D1690">
        <f>IF(COUNTIFS('United Data'!$A$3:$A$3390,D$1,'United Data'!$C$3:$C$3390,$A1690)&gt;0,1,0)</f>
        <v>1</v>
      </c>
      <c r="E1690">
        <f>IF(COUNTIFS('United Data'!$A$3:$A$3390,E$1,'United Data'!$C$3:$C$3390,$A1690)&gt;0,1,0)</f>
        <v>0</v>
      </c>
      <c r="F1690">
        <f>IF(COUNTIFS('United Data'!$A$3:$A$3390,F$1,'United Data'!$C$3:$C$3390,$A1690)&gt;0,1,0)</f>
        <v>0</v>
      </c>
      <c r="G1690">
        <f>IF(COUNTIFS('United Data'!$A$3:$A$3390,G$1,'United Data'!$C$3:$C$3390,$A1690)&gt;0,1,0)</f>
        <v>0</v>
      </c>
      <c r="H1690">
        <f>IF(COUNTIFS('United Data'!$A$3:$A$3390,H$1,'United Data'!$C$3:$C$3390,$A1690)&gt;0,1,0)</f>
        <v>0</v>
      </c>
      <c r="I1690">
        <f>IF(COUNTIFS('United Data'!$A$3:$A$3390,I$1,'United Data'!$C$3:$C$3390,$A1690)&gt;0,1,0)</f>
        <v>0</v>
      </c>
      <c r="J1690">
        <f>IF(COUNTIFS('United Data'!$A$3:$A$3390,J$1,'United Data'!$C$3:$C$3390,$A1690)&gt;0,1,0)</f>
        <v>0</v>
      </c>
      <c r="K1690">
        <f>IF(COUNTIFS('United Data'!$A$3:$A$3390,K$1,'United Data'!$C$3:$C$3390,$A1690)&gt;0,1,0)</f>
        <v>0</v>
      </c>
      <c r="L1690">
        <f>IF(COUNTIFS('United Data'!$A$3:$A$3390,L$1,'United Data'!$C$3:$C$3390,$A1690)&gt;0,1,0)</f>
        <v>0</v>
      </c>
      <c r="M1690">
        <f>IF(COUNTIFS('United Data'!$A$3:$A$3390,M$1,'United Data'!$C$3:$C$3390,$A1690)&gt;0,1,0)</f>
        <v>0</v>
      </c>
      <c r="N1690">
        <f>IF(COUNTIFS('United Data'!$A$3:$A$3390,N$1,'United Data'!$C$3:$C$3390,$A1690)&gt;0,1,0)</f>
        <v>0</v>
      </c>
      <c r="O1690">
        <f>IF(COUNTIFS('United Data'!$A$3:$A$3390,O$1,'United Data'!$C$3:$C$3390,$A1690)&gt;0,1,0)</f>
        <v>0</v>
      </c>
      <c r="P1690">
        <f>IF(COUNTIFS('United Data'!$A$3:$A$3390,P$1,'United Data'!$C$3:$C$3390,$A1690)&gt;0,1,0)</f>
        <v>0</v>
      </c>
      <c r="Q1690">
        <f>IF(COUNTIFS('United Data'!$A$3:$A$3390,Q$1,'United Data'!$C$3:$C$3390,$A1690)&gt;0,1,0)</f>
        <v>0</v>
      </c>
      <c r="R1690">
        <f>IF(COUNTIFS('United Data'!$A$3:$A$3390,R$1,'United Data'!$C$3:$C$3390,$A1690)&gt;0,1,0)</f>
        <v>0</v>
      </c>
      <c r="S1690">
        <f t="shared" si="52"/>
        <v>1</v>
      </c>
      <c r="T1690">
        <f t="shared" si="53"/>
        <v>1</v>
      </c>
    </row>
    <row r="1691" spans="1:20" x14ac:dyDescent="0.2">
      <c r="A1691" t="s">
        <v>1981</v>
      </c>
      <c r="B1691">
        <f>IF(COUNTIFS('United Data'!$A$3:$A$3390,B$1,'United Data'!$C$3:$C$3390,$A1691)&gt;0,1,0)</f>
        <v>0</v>
      </c>
      <c r="C1691">
        <f>IF(COUNTIFS('United Data'!$A$3:$A$3390,C$1,'United Data'!$C$3:$C$3390,$A1691)&gt;0,1,0)</f>
        <v>0</v>
      </c>
      <c r="D1691">
        <f>IF(COUNTIFS('United Data'!$A$3:$A$3390,D$1,'United Data'!$C$3:$C$3390,$A1691)&gt;0,1,0)</f>
        <v>1</v>
      </c>
      <c r="E1691">
        <f>IF(COUNTIFS('United Data'!$A$3:$A$3390,E$1,'United Data'!$C$3:$C$3390,$A1691)&gt;0,1,0)</f>
        <v>1</v>
      </c>
      <c r="F1691">
        <f>IF(COUNTIFS('United Data'!$A$3:$A$3390,F$1,'United Data'!$C$3:$C$3390,$A1691)&gt;0,1,0)</f>
        <v>1</v>
      </c>
      <c r="G1691">
        <f>IF(COUNTIFS('United Data'!$A$3:$A$3390,G$1,'United Data'!$C$3:$C$3390,$A1691)&gt;0,1,0)</f>
        <v>0</v>
      </c>
      <c r="H1691">
        <f>IF(COUNTIFS('United Data'!$A$3:$A$3390,H$1,'United Data'!$C$3:$C$3390,$A1691)&gt;0,1,0)</f>
        <v>0</v>
      </c>
      <c r="I1691">
        <f>IF(COUNTIFS('United Data'!$A$3:$A$3390,I$1,'United Data'!$C$3:$C$3390,$A1691)&gt;0,1,0)</f>
        <v>0</v>
      </c>
      <c r="J1691">
        <f>IF(COUNTIFS('United Data'!$A$3:$A$3390,J$1,'United Data'!$C$3:$C$3390,$A1691)&gt;0,1,0)</f>
        <v>1</v>
      </c>
      <c r="K1691">
        <f>IF(COUNTIFS('United Data'!$A$3:$A$3390,K$1,'United Data'!$C$3:$C$3390,$A1691)&gt;0,1,0)</f>
        <v>0</v>
      </c>
      <c r="L1691">
        <f>IF(COUNTIFS('United Data'!$A$3:$A$3390,L$1,'United Data'!$C$3:$C$3390,$A1691)&gt;0,1,0)</f>
        <v>0</v>
      </c>
      <c r="M1691">
        <f>IF(COUNTIFS('United Data'!$A$3:$A$3390,M$1,'United Data'!$C$3:$C$3390,$A1691)&gt;0,1,0)</f>
        <v>0</v>
      </c>
      <c r="N1691">
        <f>IF(COUNTIFS('United Data'!$A$3:$A$3390,N$1,'United Data'!$C$3:$C$3390,$A1691)&gt;0,1,0)</f>
        <v>0</v>
      </c>
      <c r="O1691">
        <f>IF(COUNTIFS('United Data'!$A$3:$A$3390,O$1,'United Data'!$C$3:$C$3390,$A1691)&gt;0,1,0)</f>
        <v>0</v>
      </c>
      <c r="P1691">
        <f>IF(COUNTIFS('United Data'!$A$3:$A$3390,P$1,'United Data'!$C$3:$C$3390,$A1691)&gt;0,1,0)</f>
        <v>0</v>
      </c>
      <c r="Q1691">
        <f>IF(COUNTIFS('United Data'!$A$3:$A$3390,Q$1,'United Data'!$C$3:$C$3390,$A1691)&gt;0,1,0)</f>
        <v>0</v>
      </c>
      <c r="R1691">
        <f>IF(COUNTIFS('United Data'!$A$3:$A$3390,R$1,'United Data'!$C$3:$C$3390,$A1691)&gt;0,1,0)</f>
        <v>0</v>
      </c>
      <c r="S1691">
        <f t="shared" si="52"/>
        <v>4</v>
      </c>
      <c r="T1691">
        <f t="shared" si="53"/>
        <v>2</v>
      </c>
    </row>
    <row r="1692" spans="1:20" x14ac:dyDescent="0.2">
      <c r="A1692" t="s">
        <v>1983</v>
      </c>
      <c r="B1692">
        <f>IF(COUNTIFS('United Data'!$A$3:$A$3390,B$1,'United Data'!$C$3:$C$3390,$A1692)&gt;0,1,0)</f>
        <v>0</v>
      </c>
      <c r="C1692">
        <f>IF(COUNTIFS('United Data'!$A$3:$A$3390,C$1,'United Data'!$C$3:$C$3390,$A1692)&gt;0,1,0)</f>
        <v>0</v>
      </c>
      <c r="D1692">
        <f>IF(COUNTIFS('United Data'!$A$3:$A$3390,D$1,'United Data'!$C$3:$C$3390,$A1692)&gt;0,1,0)</f>
        <v>1</v>
      </c>
      <c r="E1692">
        <f>IF(COUNTIFS('United Data'!$A$3:$A$3390,E$1,'United Data'!$C$3:$C$3390,$A1692)&gt;0,1,0)</f>
        <v>1</v>
      </c>
      <c r="F1692">
        <f>IF(COUNTIFS('United Data'!$A$3:$A$3390,F$1,'United Data'!$C$3:$C$3390,$A1692)&gt;0,1,0)</f>
        <v>1</v>
      </c>
      <c r="G1692">
        <f>IF(COUNTIFS('United Data'!$A$3:$A$3390,G$1,'United Data'!$C$3:$C$3390,$A1692)&gt;0,1,0)</f>
        <v>0</v>
      </c>
      <c r="H1692">
        <f>IF(COUNTIFS('United Data'!$A$3:$A$3390,H$1,'United Data'!$C$3:$C$3390,$A1692)&gt;0,1,0)</f>
        <v>0</v>
      </c>
      <c r="I1692">
        <f>IF(COUNTIFS('United Data'!$A$3:$A$3390,I$1,'United Data'!$C$3:$C$3390,$A1692)&gt;0,1,0)</f>
        <v>0</v>
      </c>
      <c r="J1692">
        <f>IF(COUNTIFS('United Data'!$A$3:$A$3390,J$1,'United Data'!$C$3:$C$3390,$A1692)&gt;0,1,0)</f>
        <v>1</v>
      </c>
      <c r="K1692">
        <f>IF(COUNTIFS('United Data'!$A$3:$A$3390,K$1,'United Data'!$C$3:$C$3390,$A1692)&gt;0,1,0)</f>
        <v>0</v>
      </c>
      <c r="L1692">
        <f>IF(COUNTIFS('United Data'!$A$3:$A$3390,L$1,'United Data'!$C$3:$C$3390,$A1692)&gt;0,1,0)</f>
        <v>0</v>
      </c>
      <c r="M1692">
        <f>IF(COUNTIFS('United Data'!$A$3:$A$3390,M$1,'United Data'!$C$3:$C$3390,$A1692)&gt;0,1,0)</f>
        <v>1</v>
      </c>
      <c r="N1692">
        <f>IF(COUNTIFS('United Data'!$A$3:$A$3390,N$1,'United Data'!$C$3:$C$3390,$A1692)&gt;0,1,0)</f>
        <v>0</v>
      </c>
      <c r="O1692">
        <f>IF(COUNTIFS('United Data'!$A$3:$A$3390,O$1,'United Data'!$C$3:$C$3390,$A1692)&gt;0,1,0)</f>
        <v>0</v>
      </c>
      <c r="P1692">
        <f>IF(COUNTIFS('United Data'!$A$3:$A$3390,P$1,'United Data'!$C$3:$C$3390,$A1692)&gt;0,1,0)</f>
        <v>0</v>
      </c>
      <c r="Q1692">
        <f>IF(COUNTIFS('United Data'!$A$3:$A$3390,Q$1,'United Data'!$C$3:$C$3390,$A1692)&gt;0,1,0)</f>
        <v>0</v>
      </c>
      <c r="R1692">
        <f>IF(COUNTIFS('United Data'!$A$3:$A$3390,R$1,'United Data'!$C$3:$C$3390,$A1692)&gt;0,1,0)</f>
        <v>1</v>
      </c>
      <c r="S1692">
        <f t="shared" si="52"/>
        <v>6</v>
      </c>
      <c r="T1692">
        <f t="shared" si="53"/>
        <v>4</v>
      </c>
    </row>
    <row r="1693" spans="1:20" x14ac:dyDescent="0.2">
      <c r="A1693" t="s">
        <v>1985</v>
      </c>
      <c r="B1693">
        <f>IF(COUNTIFS('United Data'!$A$3:$A$3390,B$1,'United Data'!$C$3:$C$3390,$A1693)&gt;0,1,0)</f>
        <v>0</v>
      </c>
      <c r="C1693">
        <f>IF(COUNTIFS('United Data'!$A$3:$A$3390,C$1,'United Data'!$C$3:$C$3390,$A1693)&gt;0,1,0)</f>
        <v>0</v>
      </c>
      <c r="D1693">
        <f>IF(COUNTIFS('United Data'!$A$3:$A$3390,D$1,'United Data'!$C$3:$C$3390,$A1693)&gt;0,1,0)</f>
        <v>1</v>
      </c>
      <c r="E1693">
        <f>IF(COUNTIFS('United Data'!$A$3:$A$3390,E$1,'United Data'!$C$3:$C$3390,$A1693)&gt;0,1,0)</f>
        <v>0</v>
      </c>
      <c r="F1693">
        <f>IF(COUNTIFS('United Data'!$A$3:$A$3390,F$1,'United Data'!$C$3:$C$3390,$A1693)&gt;0,1,0)</f>
        <v>0</v>
      </c>
      <c r="G1693">
        <f>IF(COUNTIFS('United Data'!$A$3:$A$3390,G$1,'United Data'!$C$3:$C$3390,$A1693)&gt;0,1,0)</f>
        <v>0</v>
      </c>
      <c r="H1693">
        <f>IF(COUNTIFS('United Data'!$A$3:$A$3390,H$1,'United Data'!$C$3:$C$3390,$A1693)&gt;0,1,0)</f>
        <v>0</v>
      </c>
      <c r="I1693">
        <f>IF(COUNTIFS('United Data'!$A$3:$A$3390,I$1,'United Data'!$C$3:$C$3390,$A1693)&gt;0,1,0)</f>
        <v>0</v>
      </c>
      <c r="J1693">
        <f>IF(COUNTIFS('United Data'!$A$3:$A$3390,J$1,'United Data'!$C$3:$C$3390,$A1693)&gt;0,1,0)</f>
        <v>0</v>
      </c>
      <c r="K1693">
        <f>IF(COUNTIFS('United Data'!$A$3:$A$3390,K$1,'United Data'!$C$3:$C$3390,$A1693)&gt;0,1,0)</f>
        <v>0</v>
      </c>
      <c r="L1693">
        <f>IF(COUNTIFS('United Data'!$A$3:$A$3390,L$1,'United Data'!$C$3:$C$3390,$A1693)&gt;0,1,0)</f>
        <v>0</v>
      </c>
      <c r="M1693">
        <f>IF(COUNTIFS('United Data'!$A$3:$A$3390,M$1,'United Data'!$C$3:$C$3390,$A1693)&gt;0,1,0)</f>
        <v>0</v>
      </c>
      <c r="N1693">
        <f>IF(COUNTIFS('United Data'!$A$3:$A$3390,N$1,'United Data'!$C$3:$C$3390,$A1693)&gt;0,1,0)</f>
        <v>0</v>
      </c>
      <c r="O1693">
        <f>IF(COUNTIFS('United Data'!$A$3:$A$3390,O$1,'United Data'!$C$3:$C$3390,$A1693)&gt;0,1,0)</f>
        <v>0</v>
      </c>
      <c r="P1693">
        <f>IF(COUNTIFS('United Data'!$A$3:$A$3390,P$1,'United Data'!$C$3:$C$3390,$A1693)&gt;0,1,0)</f>
        <v>0</v>
      </c>
      <c r="Q1693">
        <f>IF(COUNTIFS('United Data'!$A$3:$A$3390,Q$1,'United Data'!$C$3:$C$3390,$A1693)&gt;0,1,0)</f>
        <v>0</v>
      </c>
      <c r="R1693">
        <f>IF(COUNTIFS('United Data'!$A$3:$A$3390,R$1,'United Data'!$C$3:$C$3390,$A1693)&gt;0,1,0)</f>
        <v>0</v>
      </c>
      <c r="S1693">
        <f t="shared" si="52"/>
        <v>1</v>
      </c>
      <c r="T1693">
        <f t="shared" si="53"/>
        <v>1</v>
      </c>
    </row>
    <row r="1694" spans="1:20" x14ac:dyDescent="0.2">
      <c r="A1694" t="s">
        <v>1986</v>
      </c>
      <c r="B1694">
        <f>IF(COUNTIFS('United Data'!$A$3:$A$3390,B$1,'United Data'!$C$3:$C$3390,$A1694)&gt;0,1,0)</f>
        <v>0</v>
      </c>
      <c r="C1694">
        <f>IF(COUNTIFS('United Data'!$A$3:$A$3390,C$1,'United Data'!$C$3:$C$3390,$A1694)&gt;0,1,0)</f>
        <v>0</v>
      </c>
      <c r="D1694">
        <f>IF(COUNTIFS('United Data'!$A$3:$A$3390,D$1,'United Data'!$C$3:$C$3390,$A1694)&gt;0,1,0)</f>
        <v>1</v>
      </c>
      <c r="E1694">
        <f>IF(COUNTIFS('United Data'!$A$3:$A$3390,E$1,'United Data'!$C$3:$C$3390,$A1694)&gt;0,1,0)</f>
        <v>0</v>
      </c>
      <c r="F1694">
        <f>IF(COUNTIFS('United Data'!$A$3:$A$3390,F$1,'United Data'!$C$3:$C$3390,$A1694)&gt;0,1,0)</f>
        <v>0</v>
      </c>
      <c r="G1694">
        <f>IF(COUNTIFS('United Data'!$A$3:$A$3390,G$1,'United Data'!$C$3:$C$3390,$A1694)&gt;0,1,0)</f>
        <v>0</v>
      </c>
      <c r="H1694">
        <f>IF(COUNTIFS('United Data'!$A$3:$A$3390,H$1,'United Data'!$C$3:$C$3390,$A1694)&gt;0,1,0)</f>
        <v>0</v>
      </c>
      <c r="I1694">
        <f>IF(COUNTIFS('United Data'!$A$3:$A$3390,I$1,'United Data'!$C$3:$C$3390,$A1694)&gt;0,1,0)</f>
        <v>0</v>
      </c>
      <c r="J1694">
        <f>IF(COUNTIFS('United Data'!$A$3:$A$3390,J$1,'United Data'!$C$3:$C$3390,$A1694)&gt;0,1,0)</f>
        <v>0</v>
      </c>
      <c r="K1694">
        <f>IF(COUNTIFS('United Data'!$A$3:$A$3390,K$1,'United Data'!$C$3:$C$3390,$A1694)&gt;0,1,0)</f>
        <v>0</v>
      </c>
      <c r="L1694">
        <f>IF(COUNTIFS('United Data'!$A$3:$A$3390,L$1,'United Data'!$C$3:$C$3390,$A1694)&gt;0,1,0)</f>
        <v>0</v>
      </c>
      <c r="M1694">
        <f>IF(COUNTIFS('United Data'!$A$3:$A$3390,M$1,'United Data'!$C$3:$C$3390,$A1694)&gt;0,1,0)</f>
        <v>0</v>
      </c>
      <c r="N1694">
        <f>IF(COUNTIFS('United Data'!$A$3:$A$3390,N$1,'United Data'!$C$3:$C$3390,$A1694)&gt;0,1,0)</f>
        <v>0</v>
      </c>
      <c r="O1694">
        <f>IF(COUNTIFS('United Data'!$A$3:$A$3390,O$1,'United Data'!$C$3:$C$3390,$A1694)&gt;0,1,0)</f>
        <v>0</v>
      </c>
      <c r="P1694">
        <f>IF(COUNTIFS('United Data'!$A$3:$A$3390,P$1,'United Data'!$C$3:$C$3390,$A1694)&gt;0,1,0)</f>
        <v>0</v>
      </c>
      <c r="Q1694">
        <f>IF(COUNTIFS('United Data'!$A$3:$A$3390,Q$1,'United Data'!$C$3:$C$3390,$A1694)&gt;0,1,0)</f>
        <v>0</v>
      </c>
      <c r="R1694">
        <f>IF(COUNTIFS('United Data'!$A$3:$A$3390,R$1,'United Data'!$C$3:$C$3390,$A1694)&gt;0,1,0)</f>
        <v>0</v>
      </c>
      <c r="S1694">
        <f t="shared" si="52"/>
        <v>1</v>
      </c>
      <c r="T1694">
        <f t="shared" si="53"/>
        <v>1</v>
      </c>
    </row>
    <row r="1695" spans="1:20" x14ac:dyDescent="0.2">
      <c r="A1695" t="s">
        <v>1988</v>
      </c>
      <c r="B1695">
        <f>IF(COUNTIFS('United Data'!$A$3:$A$3390,B$1,'United Data'!$C$3:$C$3390,$A1695)&gt;0,1,0)</f>
        <v>0</v>
      </c>
      <c r="C1695">
        <f>IF(COUNTIFS('United Data'!$A$3:$A$3390,C$1,'United Data'!$C$3:$C$3390,$A1695)&gt;0,1,0)</f>
        <v>0</v>
      </c>
      <c r="D1695">
        <f>IF(COUNTIFS('United Data'!$A$3:$A$3390,D$1,'United Data'!$C$3:$C$3390,$A1695)&gt;0,1,0)</f>
        <v>0</v>
      </c>
      <c r="E1695">
        <f>IF(COUNTIFS('United Data'!$A$3:$A$3390,E$1,'United Data'!$C$3:$C$3390,$A1695)&gt;0,1,0)</f>
        <v>1</v>
      </c>
      <c r="F1695">
        <f>IF(COUNTIFS('United Data'!$A$3:$A$3390,F$1,'United Data'!$C$3:$C$3390,$A1695)&gt;0,1,0)</f>
        <v>0</v>
      </c>
      <c r="G1695">
        <f>IF(COUNTIFS('United Data'!$A$3:$A$3390,G$1,'United Data'!$C$3:$C$3390,$A1695)&gt;0,1,0)</f>
        <v>0</v>
      </c>
      <c r="H1695">
        <f>IF(COUNTIFS('United Data'!$A$3:$A$3390,H$1,'United Data'!$C$3:$C$3390,$A1695)&gt;0,1,0)</f>
        <v>0</v>
      </c>
      <c r="I1695">
        <f>IF(COUNTIFS('United Data'!$A$3:$A$3390,I$1,'United Data'!$C$3:$C$3390,$A1695)&gt;0,1,0)</f>
        <v>0</v>
      </c>
      <c r="J1695">
        <f>IF(COUNTIFS('United Data'!$A$3:$A$3390,J$1,'United Data'!$C$3:$C$3390,$A1695)&gt;0,1,0)</f>
        <v>0</v>
      </c>
      <c r="K1695">
        <f>IF(COUNTIFS('United Data'!$A$3:$A$3390,K$1,'United Data'!$C$3:$C$3390,$A1695)&gt;0,1,0)</f>
        <v>0</v>
      </c>
      <c r="L1695">
        <f>IF(COUNTIFS('United Data'!$A$3:$A$3390,L$1,'United Data'!$C$3:$C$3390,$A1695)&gt;0,1,0)</f>
        <v>0</v>
      </c>
      <c r="M1695">
        <f>IF(COUNTIFS('United Data'!$A$3:$A$3390,M$1,'United Data'!$C$3:$C$3390,$A1695)&gt;0,1,0)</f>
        <v>0</v>
      </c>
      <c r="N1695">
        <f>IF(COUNTIFS('United Data'!$A$3:$A$3390,N$1,'United Data'!$C$3:$C$3390,$A1695)&gt;0,1,0)</f>
        <v>0</v>
      </c>
      <c r="O1695">
        <f>IF(COUNTIFS('United Data'!$A$3:$A$3390,O$1,'United Data'!$C$3:$C$3390,$A1695)&gt;0,1,0)</f>
        <v>0</v>
      </c>
      <c r="P1695">
        <f>IF(COUNTIFS('United Data'!$A$3:$A$3390,P$1,'United Data'!$C$3:$C$3390,$A1695)&gt;0,1,0)</f>
        <v>0</v>
      </c>
      <c r="Q1695">
        <f>IF(COUNTIFS('United Data'!$A$3:$A$3390,Q$1,'United Data'!$C$3:$C$3390,$A1695)&gt;0,1,0)</f>
        <v>0</v>
      </c>
      <c r="R1695">
        <f>IF(COUNTIFS('United Data'!$A$3:$A$3390,R$1,'United Data'!$C$3:$C$3390,$A1695)&gt;0,1,0)</f>
        <v>0</v>
      </c>
      <c r="S1695">
        <f t="shared" si="52"/>
        <v>1</v>
      </c>
      <c r="T1695">
        <f t="shared" si="53"/>
        <v>1</v>
      </c>
    </row>
    <row r="1696" spans="1:20" x14ac:dyDescent="0.2">
      <c r="A1696" t="s">
        <v>1989</v>
      </c>
      <c r="B1696">
        <f>IF(COUNTIFS('United Data'!$A$3:$A$3390,B$1,'United Data'!$C$3:$C$3390,$A1696)&gt;0,1,0)</f>
        <v>0</v>
      </c>
      <c r="C1696">
        <f>IF(COUNTIFS('United Data'!$A$3:$A$3390,C$1,'United Data'!$C$3:$C$3390,$A1696)&gt;0,1,0)</f>
        <v>0</v>
      </c>
      <c r="D1696">
        <f>IF(COUNTIFS('United Data'!$A$3:$A$3390,D$1,'United Data'!$C$3:$C$3390,$A1696)&gt;0,1,0)</f>
        <v>0</v>
      </c>
      <c r="E1696">
        <f>IF(COUNTIFS('United Data'!$A$3:$A$3390,E$1,'United Data'!$C$3:$C$3390,$A1696)&gt;0,1,0)</f>
        <v>1</v>
      </c>
      <c r="F1696">
        <f>IF(COUNTIFS('United Data'!$A$3:$A$3390,F$1,'United Data'!$C$3:$C$3390,$A1696)&gt;0,1,0)</f>
        <v>0</v>
      </c>
      <c r="G1696">
        <f>IF(COUNTIFS('United Data'!$A$3:$A$3390,G$1,'United Data'!$C$3:$C$3390,$A1696)&gt;0,1,0)</f>
        <v>0</v>
      </c>
      <c r="H1696">
        <f>IF(COUNTIFS('United Data'!$A$3:$A$3390,H$1,'United Data'!$C$3:$C$3390,$A1696)&gt;0,1,0)</f>
        <v>0</v>
      </c>
      <c r="I1696">
        <f>IF(COUNTIFS('United Data'!$A$3:$A$3390,I$1,'United Data'!$C$3:$C$3390,$A1696)&gt;0,1,0)</f>
        <v>0</v>
      </c>
      <c r="J1696">
        <f>IF(COUNTIFS('United Data'!$A$3:$A$3390,J$1,'United Data'!$C$3:$C$3390,$A1696)&gt;0,1,0)</f>
        <v>0</v>
      </c>
      <c r="K1696">
        <f>IF(COUNTIFS('United Data'!$A$3:$A$3390,K$1,'United Data'!$C$3:$C$3390,$A1696)&gt;0,1,0)</f>
        <v>0</v>
      </c>
      <c r="L1696">
        <f>IF(COUNTIFS('United Data'!$A$3:$A$3390,L$1,'United Data'!$C$3:$C$3390,$A1696)&gt;0,1,0)</f>
        <v>0</v>
      </c>
      <c r="M1696">
        <f>IF(COUNTIFS('United Data'!$A$3:$A$3390,M$1,'United Data'!$C$3:$C$3390,$A1696)&gt;0,1,0)</f>
        <v>0</v>
      </c>
      <c r="N1696">
        <f>IF(COUNTIFS('United Data'!$A$3:$A$3390,N$1,'United Data'!$C$3:$C$3390,$A1696)&gt;0,1,0)</f>
        <v>0</v>
      </c>
      <c r="O1696">
        <f>IF(COUNTIFS('United Data'!$A$3:$A$3390,O$1,'United Data'!$C$3:$C$3390,$A1696)&gt;0,1,0)</f>
        <v>0</v>
      </c>
      <c r="P1696">
        <f>IF(COUNTIFS('United Data'!$A$3:$A$3390,P$1,'United Data'!$C$3:$C$3390,$A1696)&gt;0,1,0)</f>
        <v>0</v>
      </c>
      <c r="Q1696">
        <f>IF(COUNTIFS('United Data'!$A$3:$A$3390,Q$1,'United Data'!$C$3:$C$3390,$A1696)&gt;0,1,0)</f>
        <v>0</v>
      </c>
      <c r="R1696">
        <f>IF(COUNTIFS('United Data'!$A$3:$A$3390,R$1,'United Data'!$C$3:$C$3390,$A1696)&gt;0,1,0)</f>
        <v>0</v>
      </c>
      <c r="S1696">
        <f t="shared" si="52"/>
        <v>1</v>
      </c>
      <c r="T1696">
        <f t="shared" si="53"/>
        <v>1</v>
      </c>
    </row>
    <row r="1697" spans="1:20" x14ac:dyDescent="0.2">
      <c r="A1697" t="s">
        <v>1993</v>
      </c>
      <c r="B1697">
        <f>IF(COUNTIFS('United Data'!$A$3:$A$3390,B$1,'United Data'!$C$3:$C$3390,$A1697)&gt;0,1,0)</f>
        <v>0</v>
      </c>
      <c r="C1697">
        <f>IF(COUNTIFS('United Data'!$A$3:$A$3390,C$1,'United Data'!$C$3:$C$3390,$A1697)&gt;0,1,0)</f>
        <v>0</v>
      </c>
      <c r="D1697">
        <f>IF(COUNTIFS('United Data'!$A$3:$A$3390,D$1,'United Data'!$C$3:$C$3390,$A1697)&gt;0,1,0)</f>
        <v>0</v>
      </c>
      <c r="E1697">
        <f>IF(COUNTIFS('United Data'!$A$3:$A$3390,E$1,'United Data'!$C$3:$C$3390,$A1697)&gt;0,1,0)</f>
        <v>1</v>
      </c>
      <c r="F1697">
        <f>IF(COUNTIFS('United Data'!$A$3:$A$3390,F$1,'United Data'!$C$3:$C$3390,$A1697)&gt;0,1,0)</f>
        <v>1</v>
      </c>
      <c r="G1697">
        <f>IF(COUNTIFS('United Data'!$A$3:$A$3390,G$1,'United Data'!$C$3:$C$3390,$A1697)&gt;0,1,0)</f>
        <v>0</v>
      </c>
      <c r="H1697">
        <f>IF(COUNTIFS('United Data'!$A$3:$A$3390,H$1,'United Data'!$C$3:$C$3390,$A1697)&gt;0,1,0)</f>
        <v>0</v>
      </c>
      <c r="I1697">
        <f>IF(COUNTIFS('United Data'!$A$3:$A$3390,I$1,'United Data'!$C$3:$C$3390,$A1697)&gt;0,1,0)</f>
        <v>0</v>
      </c>
      <c r="J1697">
        <f>IF(COUNTIFS('United Data'!$A$3:$A$3390,J$1,'United Data'!$C$3:$C$3390,$A1697)&gt;0,1,0)</f>
        <v>0</v>
      </c>
      <c r="K1697">
        <f>IF(COUNTIFS('United Data'!$A$3:$A$3390,K$1,'United Data'!$C$3:$C$3390,$A1697)&gt;0,1,0)</f>
        <v>0</v>
      </c>
      <c r="L1697">
        <f>IF(COUNTIFS('United Data'!$A$3:$A$3390,L$1,'United Data'!$C$3:$C$3390,$A1697)&gt;0,1,0)</f>
        <v>0</v>
      </c>
      <c r="M1697">
        <f>IF(COUNTIFS('United Data'!$A$3:$A$3390,M$1,'United Data'!$C$3:$C$3390,$A1697)&gt;0,1,0)</f>
        <v>0</v>
      </c>
      <c r="N1697">
        <f>IF(COUNTIFS('United Data'!$A$3:$A$3390,N$1,'United Data'!$C$3:$C$3390,$A1697)&gt;0,1,0)</f>
        <v>1</v>
      </c>
      <c r="O1697">
        <f>IF(COUNTIFS('United Data'!$A$3:$A$3390,O$1,'United Data'!$C$3:$C$3390,$A1697)&gt;0,1,0)</f>
        <v>0</v>
      </c>
      <c r="P1697">
        <f>IF(COUNTIFS('United Data'!$A$3:$A$3390,P$1,'United Data'!$C$3:$C$3390,$A1697)&gt;0,1,0)</f>
        <v>0</v>
      </c>
      <c r="Q1697">
        <f>IF(COUNTIFS('United Data'!$A$3:$A$3390,Q$1,'United Data'!$C$3:$C$3390,$A1697)&gt;0,1,0)</f>
        <v>0</v>
      </c>
      <c r="R1697">
        <f>IF(COUNTIFS('United Data'!$A$3:$A$3390,R$1,'United Data'!$C$3:$C$3390,$A1697)&gt;0,1,0)</f>
        <v>0</v>
      </c>
      <c r="S1697">
        <f t="shared" si="52"/>
        <v>3</v>
      </c>
      <c r="T1697">
        <f t="shared" si="53"/>
        <v>2</v>
      </c>
    </row>
    <row r="1698" spans="1:20" x14ac:dyDescent="0.2">
      <c r="A1698" t="s">
        <v>1994</v>
      </c>
      <c r="B1698">
        <f>IF(COUNTIFS('United Data'!$A$3:$A$3390,B$1,'United Data'!$C$3:$C$3390,$A1698)&gt;0,1,0)</f>
        <v>0</v>
      </c>
      <c r="C1698">
        <f>IF(COUNTIFS('United Data'!$A$3:$A$3390,C$1,'United Data'!$C$3:$C$3390,$A1698)&gt;0,1,0)</f>
        <v>0</v>
      </c>
      <c r="D1698">
        <f>IF(COUNTIFS('United Data'!$A$3:$A$3390,D$1,'United Data'!$C$3:$C$3390,$A1698)&gt;0,1,0)</f>
        <v>0</v>
      </c>
      <c r="E1698">
        <f>IF(COUNTIFS('United Data'!$A$3:$A$3390,E$1,'United Data'!$C$3:$C$3390,$A1698)&gt;0,1,0)</f>
        <v>1</v>
      </c>
      <c r="F1698">
        <f>IF(COUNTIFS('United Data'!$A$3:$A$3390,F$1,'United Data'!$C$3:$C$3390,$A1698)&gt;0,1,0)</f>
        <v>0</v>
      </c>
      <c r="G1698">
        <f>IF(COUNTIFS('United Data'!$A$3:$A$3390,G$1,'United Data'!$C$3:$C$3390,$A1698)&gt;0,1,0)</f>
        <v>0</v>
      </c>
      <c r="H1698">
        <f>IF(COUNTIFS('United Data'!$A$3:$A$3390,H$1,'United Data'!$C$3:$C$3390,$A1698)&gt;0,1,0)</f>
        <v>0</v>
      </c>
      <c r="I1698">
        <f>IF(COUNTIFS('United Data'!$A$3:$A$3390,I$1,'United Data'!$C$3:$C$3390,$A1698)&gt;0,1,0)</f>
        <v>0</v>
      </c>
      <c r="J1698">
        <f>IF(COUNTIFS('United Data'!$A$3:$A$3390,J$1,'United Data'!$C$3:$C$3390,$A1698)&gt;0,1,0)</f>
        <v>0</v>
      </c>
      <c r="K1698">
        <f>IF(COUNTIFS('United Data'!$A$3:$A$3390,K$1,'United Data'!$C$3:$C$3390,$A1698)&gt;0,1,0)</f>
        <v>0</v>
      </c>
      <c r="L1698">
        <f>IF(COUNTIFS('United Data'!$A$3:$A$3390,L$1,'United Data'!$C$3:$C$3390,$A1698)&gt;0,1,0)</f>
        <v>0</v>
      </c>
      <c r="M1698">
        <f>IF(COUNTIFS('United Data'!$A$3:$A$3390,M$1,'United Data'!$C$3:$C$3390,$A1698)&gt;0,1,0)</f>
        <v>0</v>
      </c>
      <c r="N1698">
        <f>IF(COUNTIFS('United Data'!$A$3:$A$3390,N$1,'United Data'!$C$3:$C$3390,$A1698)&gt;0,1,0)</f>
        <v>0</v>
      </c>
      <c r="O1698">
        <f>IF(COUNTIFS('United Data'!$A$3:$A$3390,O$1,'United Data'!$C$3:$C$3390,$A1698)&gt;0,1,0)</f>
        <v>0</v>
      </c>
      <c r="P1698">
        <f>IF(COUNTIFS('United Data'!$A$3:$A$3390,P$1,'United Data'!$C$3:$C$3390,$A1698)&gt;0,1,0)</f>
        <v>0</v>
      </c>
      <c r="Q1698">
        <f>IF(COUNTIFS('United Data'!$A$3:$A$3390,Q$1,'United Data'!$C$3:$C$3390,$A1698)&gt;0,1,0)</f>
        <v>0</v>
      </c>
      <c r="R1698">
        <f>IF(COUNTIFS('United Data'!$A$3:$A$3390,R$1,'United Data'!$C$3:$C$3390,$A1698)&gt;0,1,0)</f>
        <v>0</v>
      </c>
      <c r="S1698">
        <f t="shared" si="52"/>
        <v>1</v>
      </c>
      <c r="T1698">
        <f t="shared" si="53"/>
        <v>1</v>
      </c>
    </row>
    <row r="1699" spans="1:20" x14ac:dyDescent="0.2">
      <c r="A1699" t="s">
        <v>1996</v>
      </c>
      <c r="B1699">
        <f>IF(COUNTIFS('United Data'!$A$3:$A$3390,B$1,'United Data'!$C$3:$C$3390,$A1699)&gt;0,1,0)</f>
        <v>0</v>
      </c>
      <c r="C1699">
        <f>IF(COUNTIFS('United Data'!$A$3:$A$3390,C$1,'United Data'!$C$3:$C$3390,$A1699)&gt;0,1,0)</f>
        <v>0</v>
      </c>
      <c r="D1699">
        <f>IF(COUNTIFS('United Data'!$A$3:$A$3390,D$1,'United Data'!$C$3:$C$3390,$A1699)&gt;0,1,0)</f>
        <v>0</v>
      </c>
      <c r="E1699">
        <f>IF(COUNTIFS('United Data'!$A$3:$A$3390,E$1,'United Data'!$C$3:$C$3390,$A1699)&gt;0,1,0)</f>
        <v>1</v>
      </c>
      <c r="F1699">
        <f>IF(COUNTIFS('United Data'!$A$3:$A$3390,F$1,'United Data'!$C$3:$C$3390,$A1699)&gt;0,1,0)</f>
        <v>0</v>
      </c>
      <c r="G1699">
        <f>IF(COUNTIFS('United Data'!$A$3:$A$3390,G$1,'United Data'!$C$3:$C$3390,$A1699)&gt;0,1,0)</f>
        <v>0</v>
      </c>
      <c r="H1699">
        <f>IF(COUNTIFS('United Data'!$A$3:$A$3390,H$1,'United Data'!$C$3:$C$3390,$A1699)&gt;0,1,0)</f>
        <v>0</v>
      </c>
      <c r="I1699">
        <f>IF(COUNTIFS('United Data'!$A$3:$A$3390,I$1,'United Data'!$C$3:$C$3390,$A1699)&gt;0,1,0)</f>
        <v>0</v>
      </c>
      <c r="J1699">
        <f>IF(COUNTIFS('United Data'!$A$3:$A$3390,J$1,'United Data'!$C$3:$C$3390,$A1699)&gt;0,1,0)</f>
        <v>0</v>
      </c>
      <c r="K1699">
        <f>IF(COUNTIFS('United Data'!$A$3:$A$3390,K$1,'United Data'!$C$3:$C$3390,$A1699)&gt;0,1,0)</f>
        <v>0</v>
      </c>
      <c r="L1699">
        <f>IF(COUNTIFS('United Data'!$A$3:$A$3390,L$1,'United Data'!$C$3:$C$3390,$A1699)&gt;0,1,0)</f>
        <v>0</v>
      </c>
      <c r="M1699">
        <f>IF(COUNTIFS('United Data'!$A$3:$A$3390,M$1,'United Data'!$C$3:$C$3390,$A1699)&gt;0,1,0)</f>
        <v>0</v>
      </c>
      <c r="N1699">
        <f>IF(COUNTIFS('United Data'!$A$3:$A$3390,N$1,'United Data'!$C$3:$C$3390,$A1699)&gt;0,1,0)</f>
        <v>0</v>
      </c>
      <c r="O1699">
        <f>IF(COUNTIFS('United Data'!$A$3:$A$3390,O$1,'United Data'!$C$3:$C$3390,$A1699)&gt;0,1,0)</f>
        <v>0</v>
      </c>
      <c r="P1699">
        <f>IF(COUNTIFS('United Data'!$A$3:$A$3390,P$1,'United Data'!$C$3:$C$3390,$A1699)&gt;0,1,0)</f>
        <v>0</v>
      </c>
      <c r="Q1699">
        <f>IF(COUNTIFS('United Data'!$A$3:$A$3390,Q$1,'United Data'!$C$3:$C$3390,$A1699)&gt;0,1,0)</f>
        <v>0</v>
      </c>
      <c r="R1699">
        <f>IF(COUNTIFS('United Data'!$A$3:$A$3390,R$1,'United Data'!$C$3:$C$3390,$A1699)&gt;0,1,0)</f>
        <v>0</v>
      </c>
      <c r="S1699">
        <f t="shared" si="52"/>
        <v>1</v>
      </c>
      <c r="T1699">
        <f t="shared" si="53"/>
        <v>1</v>
      </c>
    </row>
    <row r="1700" spans="1:20" x14ac:dyDescent="0.2">
      <c r="A1700" t="s">
        <v>1997</v>
      </c>
      <c r="B1700">
        <f>IF(COUNTIFS('United Data'!$A$3:$A$3390,B$1,'United Data'!$C$3:$C$3390,$A1700)&gt;0,1,0)</f>
        <v>0</v>
      </c>
      <c r="C1700">
        <f>IF(COUNTIFS('United Data'!$A$3:$A$3390,C$1,'United Data'!$C$3:$C$3390,$A1700)&gt;0,1,0)</f>
        <v>0</v>
      </c>
      <c r="D1700">
        <f>IF(COUNTIFS('United Data'!$A$3:$A$3390,D$1,'United Data'!$C$3:$C$3390,$A1700)&gt;0,1,0)</f>
        <v>0</v>
      </c>
      <c r="E1700">
        <f>IF(COUNTIFS('United Data'!$A$3:$A$3390,E$1,'United Data'!$C$3:$C$3390,$A1700)&gt;0,1,0)</f>
        <v>0</v>
      </c>
      <c r="F1700">
        <f>IF(COUNTIFS('United Data'!$A$3:$A$3390,F$1,'United Data'!$C$3:$C$3390,$A1700)&gt;0,1,0)</f>
        <v>1</v>
      </c>
      <c r="G1700">
        <f>IF(COUNTIFS('United Data'!$A$3:$A$3390,G$1,'United Data'!$C$3:$C$3390,$A1700)&gt;0,1,0)</f>
        <v>0</v>
      </c>
      <c r="H1700">
        <f>IF(COUNTIFS('United Data'!$A$3:$A$3390,H$1,'United Data'!$C$3:$C$3390,$A1700)&gt;0,1,0)</f>
        <v>0</v>
      </c>
      <c r="I1700">
        <f>IF(COUNTIFS('United Data'!$A$3:$A$3390,I$1,'United Data'!$C$3:$C$3390,$A1700)&gt;0,1,0)</f>
        <v>0</v>
      </c>
      <c r="J1700">
        <f>IF(COUNTIFS('United Data'!$A$3:$A$3390,J$1,'United Data'!$C$3:$C$3390,$A1700)&gt;0,1,0)</f>
        <v>0</v>
      </c>
      <c r="K1700">
        <f>IF(COUNTIFS('United Data'!$A$3:$A$3390,K$1,'United Data'!$C$3:$C$3390,$A1700)&gt;0,1,0)</f>
        <v>0</v>
      </c>
      <c r="L1700">
        <f>IF(COUNTIFS('United Data'!$A$3:$A$3390,L$1,'United Data'!$C$3:$C$3390,$A1700)&gt;0,1,0)</f>
        <v>0</v>
      </c>
      <c r="M1700">
        <f>IF(COUNTIFS('United Data'!$A$3:$A$3390,M$1,'United Data'!$C$3:$C$3390,$A1700)&gt;0,1,0)</f>
        <v>0</v>
      </c>
      <c r="N1700">
        <f>IF(COUNTIFS('United Data'!$A$3:$A$3390,N$1,'United Data'!$C$3:$C$3390,$A1700)&gt;0,1,0)</f>
        <v>0</v>
      </c>
      <c r="O1700">
        <f>IF(COUNTIFS('United Data'!$A$3:$A$3390,O$1,'United Data'!$C$3:$C$3390,$A1700)&gt;0,1,0)</f>
        <v>0</v>
      </c>
      <c r="P1700">
        <f>IF(COUNTIFS('United Data'!$A$3:$A$3390,P$1,'United Data'!$C$3:$C$3390,$A1700)&gt;0,1,0)</f>
        <v>0</v>
      </c>
      <c r="Q1700">
        <f>IF(COUNTIFS('United Data'!$A$3:$A$3390,Q$1,'United Data'!$C$3:$C$3390,$A1700)&gt;0,1,0)</f>
        <v>0</v>
      </c>
      <c r="R1700">
        <f>IF(COUNTIFS('United Data'!$A$3:$A$3390,R$1,'United Data'!$C$3:$C$3390,$A1700)&gt;0,1,0)</f>
        <v>0</v>
      </c>
      <c r="S1700">
        <f t="shared" si="52"/>
        <v>1</v>
      </c>
      <c r="T1700">
        <f t="shared" si="53"/>
        <v>1</v>
      </c>
    </row>
    <row r="1701" spans="1:20" x14ac:dyDescent="0.2">
      <c r="A1701" t="s">
        <v>1998</v>
      </c>
      <c r="B1701">
        <f>IF(COUNTIFS('United Data'!$A$3:$A$3390,B$1,'United Data'!$C$3:$C$3390,$A1701)&gt;0,1,0)</f>
        <v>0</v>
      </c>
      <c r="C1701">
        <f>IF(COUNTIFS('United Data'!$A$3:$A$3390,C$1,'United Data'!$C$3:$C$3390,$A1701)&gt;0,1,0)</f>
        <v>0</v>
      </c>
      <c r="D1701">
        <f>IF(COUNTIFS('United Data'!$A$3:$A$3390,D$1,'United Data'!$C$3:$C$3390,$A1701)&gt;0,1,0)</f>
        <v>0</v>
      </c>
      <c r="E1701">
        <f>IF(COUNTIFS('United Data'!$A$3:$A$3390,E$1,'United Data'!$C$3:$C$3390,$A1701)&gt;0,1,0)</f>
        <v>0</v>
      </c>
      <c r="F1701">
        <f>IF(COUNTIFS('United Data'!$A$3:$A$3390,F$1,'United Data'!$C$3:$C$3390,$A1701)&gt;0,1,0)</f>
        <v>1</v>
      </c>
      <c r="G1701">
        <f>IF(COUNTIFS('United Data'!$A$3:$A$3390,G$1,'United Data'!$C$3:$C$3390,$A1701)&gt;0,1,0)</f>
        <v>0</v>
      </c>
      <c r="H1701">
        <f>IF(COUNTIFS('United Data'!$A$3:$A$3390,H$1,'United Data'!$C$3:$C$3390,$A1701)&gt;0,1,0)</f>
        <v>0</v>
      </c>
      <c r="I1701">
        <f>IF(COUNTIFS('United Data'!$A$3:$A$3390,I$1,'United Data'!$C$3:$C$3390,$A1701)&gt;0,1,0)</f>
        <v>0</v>
      </c>
      <c r="J1701">
        <f>IF(COUNTIFS('United Data'!$A$3:$A$3390,J$1,'United Data'!$C$3:$C$3390,$A1701)&gt;0,1,0)</f>
        <v>0</v>
      </c>
      <c r="K1701">
        <f>IF(COUNTIFS('United Data'!$A$3:$A$3390,K$1,'United Data'!$C$3:$C$3390,$A1701)&gt;0,1,0)</f>
        <v>0</v>
      </c>
      <c r="L1701">
        <f>IF(COUNTIFS('United Data'!$A$3:$A$3390,L$1,'United Data'!$C$3:$C$3390,$A1701)&gt;0,1,0)</f>
        <v>0</v>
      </c>
      <c r="M1701">
        <f>IF(COUNTIFS('United Data'!$A$3:$A$3390,M$1,'United Data'!$C$3:$C$3390,$A1701)&gt;0,1,0)</f>
        <v>0</v>
      </c>
      <c r="N1701">
        <f>IF(COUNTIFS('United Data'!$A$3:$A$3390,N$1,'United Data'!$C$3:$C$3390,$A1701)&gt;0,1,0)</f>
        <v>0</v>
      </c>
      <c r="O1701">
        <f>IF(COUNTIFS('United Data'!$A$3:$A$3390,O$1,'United Data'!$C$3:$C$3390,$A1701)&gt;0,1,0)</f>
        <v>0</v>
      </c>
      <c r="P1701">
        <f>IF(COUNTIFS('United Data'!$A$3:$A$3390,P$1,'United Data'!$C$3:$C$3390,$A1701)&gt;0,1,0)</f>
        <v>0</v>
      </c>
      <c r="Q1701">
        <f>IF(COUNTIFS('United Data'!$A$3:$A$3390,Q$1,'United Data'!$C$3:$C$3390,$A1701)&gt;0,1,0)</f>
        <v>0</v>
      </c>
      <c r="R1701">
        <f>IF(COUNTIFS('United Data'!$A$3:$A$3390,R$1,'United Data'!$C$3:$C$3390,$A1701)&gt;0,1,0)</f>
        <v>0</v>
      </c>
      <c r="S1701">
        <f t="shared" si="52"/>
        <v>1</v>
      </c>
      <c r="T1701">
        <f t="shared" si="53"/>
        <v>1</v>
      </c>
    </row>
    <row r="1702" spans="1:20" x14ac:dyDescent="0.2">
      <c r="A1702" t="s">
        <v>1999</v>
      </c>
      <c r="B1702">
        <f>IF(COUNTIFS('United Data'!$A$3:$A$3390,B$1,'United Data'!$C$3:$C$3390,$A1702)&gt;0,1,0)</f>
        <v>0</v>
      </c>
      <c r="C1702">
        <f>IF(COUNTIFS('United Data'!$A$3:$A$3390,C$1,'United Data'!$C$3:$C$3390,$A1702)&gt;0,1,0)</f>
        <v>0</v>
      </c>
      <c r="D1702">
        <f>IF(COUNTIFS('United Data'!$A$3:$A$3390,D$1,'United Data'!$C$3:$C$3390,$A1702)&gt;0,1,0)</f>
        <v>0</v>
      </c>
      <c r="E1702">
        <f>IF(COUNTIFS('United Data'!$A$3:$A$3390,E$1,'United Data'!$C$3:$C$3390,$A1702)&gt;0,1,0)</f>
        <v>0</v>
      </c>
      <c r="F1702">
        <f>IF(COUNTIFS('United Data'!$A$3:$A$3390,F$1,'United Data'!$C$3:$C$3390,$A1702)&gt;0,1,0)</f>
        <v>1</v>
      </c>
      <c r="G1702">
        <f>IF(COUNTIFS('United Data'!$A$3:$A$3390,G$1,'United Data'!$C$3:$C$3390,$A1702)&gt;0,1,0)</f>
        <v>0</v>
      </c>
      <c r="H1702">
        <f>IF(COUNTIFS('United Data'!$A$3:$A$3390,H$1,'United Data'!$C$3:$C$3390,$A1702)&gt;0,1,0)</f>
        <v>0</v>
      </c>
      <c r="I1702">
        <f>IF(COUNTIFS('United Data'!$A$3:$A$3390,I$1,'United Data'!$C$3:$C$3390,$A1702)&gt;0,1,0)</f>
        <v>0</v>
      </c>
      <c r="J1702">
        <f>IF(COUNTIFS('United Data'!$A$3:$A$3390,J$1,'United Data'!$C$3:$C$3390,$A1702)&gt;0,1,0)</f>
        <v>0</v>
      </c>
      <c r="K1702">
        <f>IF(COUNTIFS('United Data'!$A$3:$A$3390,K$1,'United Data'!$C$3:$C$3390,$A1702)&gt;0,1,0)</f>
        <v>0</v>
      </c>
      <c r="L1702">
        <f>IF(COUNTIFS('United Data'!$A$3:$A$3390,L$1,'United Data'!$C$3:$C$3390,$A1702)&gt;0,1,0)</f>
        <v>0</v>
      </c>
      <c r="M1702">
        <f>IF(COUNTIFS('United Data'!$A$3:$A$3390,M$1,'United Data'!$C$3:$C$3390,$A1702)&gt;0,1,0)</f>
        <v>0</v>
      </c>
      <c r="N1702">
        <f>IF(COUNTIFS('United Data'!$A$3:$A$3390,N$1,'United Data'!$C$3:$C$3390,$A1702)&gt;0,1,0)</f>
        <v>0</v>
      </c>
      <c r="O1702">
        <f>IF(COUNTIFS('United Data'!$A$3:$A$3390,O$1,'United Data'!$C$3:$C$3390,$A1702)&gt;0,1,0)</f>
        <v>0</v>
      </c>
      <c r="P1702">
        <f>IF(COUNTIFS('United Data'!$A$3:$A$3390,P$1,'United Data'!$C$3:$C$3390,$A1702)&gt;0,1,0)</f>
        <v>0</v>
      </c>
      <c r="Q1702">
        <f>IF(COUNTIFS('United Data'!$A$3:$A$3390,Q$1,'United Data'!$C$3:$C$3390,$A1702)&gt;0,1,0)</f>
        <v>0</v>
      </c>
      <c r="R1702">
        <f>IF(COUNTIFS('United Data'!$A$3:$A$3390,R$1,'United Data'!$C$3:$C$3390,$A1702)&gt;0,1,0)</f>
        <v>0</v>
      </c>
      <c r="S1702">
        <f t="shared" si="52"/>
        <v>1</v>
      </c>
      <c r="T1702">
        <f t="shared" si="53"/>
        <v>1</v>
      </c>
    </row>
    <row r="1703" spans="1:20" x14ac:dyDescent="0.2">
      <c r="A1703" t="s">
        <v>2001</v>
      </c>
      <c r="B1703">
        <f>IF(COUNTIFS('United Data'!$A$3:$A$3390,B$1,'United Data'!$C$3:$C$3390,$A1703)&gt;0,1,0)</f>
        <v>0</v>
      </c>
      <c r="C1703">
        <f>IF(COUNTIFS('United Data'!$A$3:$A$3390,C$1,'United Data'!$C$3:$C$3390,$A1703)&gt;0,1,0)</f>
        <v>0</v>
      </c>
      <c r="D1703">
        <f>IF(COUNTIFS('United Data'!$A$3:$A$3390,D$1,'United Data'!$C$3:$C$3390,$A1703)&gt;0,1,0)</f>
        <v>0</v>
      </c>
      <c r="E1703">
        <f>IF(COUNTIFS('United Data'!$A$3:$A$3390,E$1,'United Data'!$C$3:$C$3390,$A1703)&gt;0,1,0)</f>
        <v>0</v>
      </c>
      <c r="F1703">
        <f>IF(COUNTIFS('United Data'!$A$3:$A$3390,F$1,'United Data'!$C$3:$C$3390,$A1703)&gt;0,1,0)</f>
        <v>1</v>
      </c>
      <c r="G1703">
        <f>IF(COUNTIFS('United Data'!$A$3:$A$3390,G$1,'United Data'!$C$3:$C$3390,$A1703)&gt;0,1,0)</f>
        <v>0</v>
      </c>
      <c r="H1703">
        <f>IF(COUNTIFS('United Data'!$A$3:$A$3390,H$1,'United Data'!$C$3:$C$3390,$A1703)&gt;0,1,0)</f>
        <v>0</v>
      </c>
      <c r="I1703">
        <f>IF(COUNTIFS('United Data'!$A$3:$A$3390,I$1,'United Data'!$C$3:$C$3390,$A1703)&gt;0,1,0)</f>
        <v>0</v>
      </c>
      <c r="J1703">
        <f>IF(COUNTIFS('United Data'!$A$3:$A$3390,J$1,'United Data'!$C$3:$C$3390,$A1703)&gt;0,1,0)</f>
        <v>0</v>
      </c>
      <c r="K1703">
        <f>IF(COUNTIFS('United Data'!$A$3:$A$3390,K$1,'United Data'!$C$3:$C$3390,$A1703)&gt;0,1,0)</f>
        <v>0</v>
      </c>
      <c r="L1703">
        <f>IF(COUNTIFS('United Data'!$A$3:$A$3390,L$1,'United Data'!$C$3:$C$3390,$A1703)&gt;0,1,0)</f>
        <v>0</v>
      </c>
      <c r="M1703">
        <f>IF(COUNTIFS('United Data'!$A$3:$A$3390,M$1,'United Data'!$C$3:$C$3390,$A1703)&gt;0,1,0)</f>
        <v>0</v>
      </c>
      <c r="N1703">
        <f>IF(COUNTIFS('United Data'!$A$3:$A$3390,N$1,'United Data'!$C$3:$C$3390,$A1703)&gt;0,1,0)</f>
        <v>0</v>
      </c>
      <c r="O1703">
        <f>IF(COUNTIFS('United Data'!$A$3:$A$3390,O$1,'United Data'!$C$3:$C$3390,$A1703)&gt;0,1,0)</f>
        <v>0</v>
      </c>
      <c r="P1703">
        <f>IF(COUNTIFS('United Data'!$A$3:$A$3390,P$1,'United Data'!$C$3:$C$3390,$A1703)&gt;0,1,0)</f>
        <v>0</v>
      </c>
      <c r="Q1703">
        <f>IF(COUNTIFS('United Data'!$A$3:$A$3390,Q$1,'United Data'!$C$3:$C$3390,$A1703)&gt;0,1,0)</f>
        <v>0</v>
      </c>
      <c r="R1703">
        <f>IF(COUNTIFS('United Data'!$A$3:$A$3390,R$1,'United Data'!$C$3:$C$3390,$A1703)&gt;0,1,0)</f>
        <v>0</v>
      </c>
      <c r="S1703">
        <f t="shared" si="52"/>
        <v>1</v>
      </c>
      <c r="T1703">
        <f t="shared" si="53"/>
        <v>1</v>
      </c>
    </row>
    <row r="1704" spans="1:20" x14ac:dyDescent="0.2">
      <c r="A1704" t="s">
        <v>2002</v>
      </c>
      <c r="B1704">
        <f>IF(COUNTIFS('United Data'!$A$3:$A$3390,B$1,'United Data'!$C$3:$C$3390,$A1704)&gt;0,1,0)</f>
        <v>0</v>
      </c>
      <c r="C1704">
        <f>IF(COUNTIFS('United Data'!$A$3:$A$3390,C$1,'United Data'!$C$3:$C$3390,$A1704)&gt;0,1,0)</f>
        <v>0</v>
      </c>
      <c r="D1704">
        <f>IF(COUNTIFS('United Data'!$A$3:$A$3390,D$1,'United Data'!$C$3:$C$3390,$A1704)&gt;0,1,0)</f>
        <v>0</v>
      </c>
      <c r="E1704">
        <f>IF(COUNTIFS('United Data'!$A$3:$A$3390,E$1,'United Data'!$C$3:$C$3390,$A1704)&gt;0,1,0)</f>
        <v>0</v>
      </c>
      <c r="F1704">
        <f>IF(COUNTIFS('United Data'!$A$3:$A$3390,F$1,'United Data'!$C$3:$C$3390,$A1704)&gt;0,1,0)</f>
        <v>1</v>
      </c>
      <c r="G1704">
        <f>IF(COUNTIFS('United Data'!$A$3:$A$3390,G$1,'United Data'!$C$3:$C$3390,$A1704)&gt;0,1,0)</f>
        <v>0</v>
      </c>
      <c r="H1704">
        <f>IF(COUNTIFS('United Data'!$A$3:$A$3390,H$1,'United Data'!$C$3:$C$3390,$A1704)&gt;0,1,0)</f>
        <v>0</v>
      </c>
      <c r="I1704">
        <f>IF(COUNTIFS('United Data'!$A$3:$A$3390,I$1,'United Data'!$C$3:$C$3390,$A1704)&gt;0,1,0)</f>
        <v>0</v>
      </c>
      <c r="J1704">
        <f>IF(COUNTIFS('United Data'!$A$3:$A$3390,J$1,'United Data'!$C$3:$C$3390,$A1704)&gt;0,1,0)</f>
        <v>0</v>
      </c>
      <c r="K1704">
        <f>IF(COUNTIFS('United Data'!$A$3:$A$3390,K$1,'United Data'!$C$3:$C$3390,$A1704)&gt;0,1,0)</f>
        <v>0</v>
      </c>
      <c r="L1704">
        <f>IF(COUNTIFS('United Data'!$A$3:$A$3390,L$1,'United Data'!$C$3:$C$3390,$A1704)&gt;0,1,0)</f>
        <v>0</v>
      </c>
      <c r="M1704">
        <f>IF(COUNTIFS('United Data'!$A$3:$A$3390,M$1,'United Data'!$C$3:$C$3390,$A1704)&gt;0,1,0)</f>
        <v>0</v>
      </c>
      <c r="N1704">
        <f>IF(COUNTIFS('United Data'!$A$3:$A$3390,N$1,'United Data'!$C$3:$C$3390,$A1704)&gt;0,1,0)</f>
        <v>0</v>
      </c>
      <c r="O1704">
        <f>IF(COUNTIFS('United Data'!$A$3:$A$3390,O$1,'United Data'!$C$3:$C$3390,$A1704)&gt;0,1,0)</f>
        <v>0</v>
      </c>
      <c r="P1704">
        <f>IF(COUNTIFS('United Data'!$A$3:$A$3390,P$1,'United Data'!$C$3:$C$3390,$A1704)&gt;0,1,0)</f>
        <v>0</v>
      </c>
      <c r="Q1704">
        <f>IF(COUNTIFS('United Data'!$A$3:$A$3390,Q$1,'United Data'!$C$3:$C$3390,$A1704)&gt;0,1,0)</f>
        <v>0</v>
      </c>
      <c r="R1704">
        <f>IF(COUNTIFS('United Data'!$A$3:$A$3390,R$1,'United Data'!$C$3:$C$3390,$A1704)&gt;0,1,0)</f>
        <v>0</v>
      </c>
      <c r="S1704">
        <f t="shared" si="52"/>
        <v>1</v>
      </c>
      <c r="T1704">
        <f t="shared" si="53"/>
        <v>1</v>
      </c>
    </row>
    <row r="1705" spans="1:20" x14ac:dyDescent="0.2">
      <c r="A1705" t="s">
        <v>2003</v>
      </c>
      <c r="B1705">
        <f>IF(COUNTIFS('United Data'!$A$3:$A$3390,B$1,'United Data'!$C$3:$C$3390,$A1705)&gt;0,1,0)</f>
        <v>0</v>
      </c>
      <c r="C1705">
        <f>IF(COUNTIFS('United Data'!$A$3:$A$3390,C$1,'United Data'!$C$3:$C$3390,$A1705)&gt;0,1,0)</f>
        <v>0</v>
      </c>
      <c r="D1705">
        <f>IF(COUNTIFS('United Data'!$A$3:$A$3390,D$1,'United Data'!$C$3:$C$3390,$A1705)&gt;0,1,0)</f>
        <v>0</v>
      </c>
      <c r="E1705">
        <f>IF(COUNTIFS('United Data'!$A$3:$A$3390,E$1,'United Data'!$C$3:$C$3390,$A1705)&gt;0,1,0)</f>
        <v>0</v>
      </c>
      <c r="F1705">
        <f>IF(COUNTIFS('United Data'!$A$3:$A$3390,F$1,'United Data'!$C$3:$C$3390,$A1705)&gt;0,1,0)</f>
        <v>1</v>
      </c>
      <c r="G1705">
        <f>IF(COUNTIFS('United Data'!$A$3:$A$3390,G$1,'United Data'!$C$3:$C$3390,$A1705)&gt;0,1,0)</f>
        <v>0</v>
      </c>
      <c r="H1705">
        <f>IF(COUNTIFS('United Data'!$A$3:$A$3390,H$1,'United Data'!$C$3:$C$3390,$A1705)&gt;0,1,0)</f>
        <v>0</v>
      </c>
      <c r="I1705">
        <f>IF(COUNTIFS('United Data'!$A$3:$A$3390,I$1,'United Data'!$C$3:$C$3390,$A1705)&gt;0,1,0)</f>
        <v>0</v>
      </c>
      <c r="J1705">
        <f>IF(COUNTIFS('United Data'!$A$3:$A$3390,J$1,'United Data'!$C$3:$C$3390,$A1705)&gt;0,1,0)</f>
        <v>1</v>
      </c>
      <c r="K1705">
        <f>IF(COUNTIFS('United Data'!$A$3:$A$3390,K$1,'United Data'!$C$3:$C$3390,$A1705)&gt;0,1,0)</f>
        <v>0</v>
      </c>
      <c r="L1705">
        <f>IF(COUNTIFS('United Data'!$A$3:$A$3390,L$1,'United Data'!$C$3:$C$3390,$A1705)&gt;0,1,0)</f>
        <v>0</v>
      </c>
      <c r="M1705">
        <f>IF(COUNTIFS('United Data'!$A$3:$A$3390,M$1,'United Data'!$C$3:$C$3390,$A1705)&gt;0,1,0)</f>
        <v>0</v>
      </c>
      <c r="N1705">
        <f>IF(COUNTIFS('United Data'!$A$3:$A$3390,N$1,'United Data'!$C$3:$C$3390,$A1705)&gt;0,1,0)</f>
        <v>0</v>
      </c>
      <c r="O1705">
        <f>IF(COUNTIFS('United Data'!$A$3:$A$3390,O$1,'United Data'!$C$3:$C$3390,$A1705)&gt;0,1,0)</f>
        <v>0</v>
      </c>
      <c r="P1705">
        <f>IF(COUNTIFS('United Data'!$A$3:$A$3390,P$1,'United Data'!$C$3:$C$3390,$A1705)&gt;0,1,0)</f>
        <v>0</v>
      </c>
      <c r="Q1705">
        <f>IF(COUNTIFS('United Data'!$A$3:$A$3390,Q$1,'United Data'!$C$3:$C$3390,$A1705)&gt;0,1,0)</f>
        <v>0</v>
      </c>
      <c r="R1705">
        <f>IF(COUNTIFS('United Data'!$A$3:$A$3390,R$1,'United Data'!$C$3:$C$3390,$A1705)&gt;0,1,0)</f>
        <v>0</v>
      </c>
      <c r="S1705">
        <f t="shared" si="52"/>
        <v>2</v>
      </c>
      <c r="T1705">
        <f t="shared" si="53"/>
        <v>2</v>
      </c>
    </row>
    <row r="1706" spans="1:20" x14ac:dyDescent="0.2">
      <c r="A1706" t="s">
        <v>2004</v>
      </c>
      <c r="B1706">
        <f>IF(COUNTIFS('United Data'!$A$3:$A$3390,B$1,'United Data'!$C$3:$C$3390,$A1706)&gt;0,1,0)</f>
        <v>0</v>
      </c>
      <c r="C1706">
        <f>IF(COUNTIFS('United Data'!$A$3:$A$3390,C$1,'United Data'!$C$3:$C$3390,$A1706)&gt;0,1,0)</f>
        <v>0</v>
      </c>
      <c r="D1706">
        <f>IF(COUNTIFS('United Data'!$A$3:$A$3390,D$1,'United Data'!$C$3:$C$3390,$A1706)&gt;0,1,0)</f>
        <v>0</v>
      </c>
      <c r="E1706">
        <f>IF(COUNTIFS('United Data'!$A$3:$A$3390,E$1,'United Data'!$C$3:$C$3390,$A1706)&gt;0,1,0)</f>
        <v>0</v>
      </c>
      <c r="F1706">
        <f>IF(COUNTIFS('United Data'!$A$3:$A$3390,F$1,'United Data'!$C$3:$C$3390,$A1706)&gt;0,1,0)</f>
        <v>1</v>
      </c>
      <c r="G1706">
        <f>IF(COUNTIFS('United Data'!$A$3:$A$3390,G$1,'United Data'!$C$3:$C$3390,$A1706)&gt;0,1,0)</f>
        <v>0</v>
      </c>
      <c r="H1706">
        <f>IF(COUNTIFS('United Data'!$A$3:$A$3390,H$1,'United Data'!$C$3:$C$3390,$A1706)&gt;0,1,0)</f>
        <v>0</v>
      </c>
      <c r="I1706">
        <f>IF(COUNTIFS('United Data'!$A$3:$A$3390,I$1,'United Data'!$C$3:$C$3390,$A1706)&gt;0,1,0)</f>
        <v>0</v>
      </c>
      <c r="J1706">
        <f>IF(COUNTIFS('United Data'!$A$3:$A$3390,J$1,'United Data'!$C$3:$C$3390,$A1706)&gt;0,1,0)</f>
        <v>1</v>
      </c>
      <c r="K1706">
        <f>IF(COUNTIFS('United Data'!$A$3:$A$3390,K$1,'United Data'!$C$3:$C$3390,$A1706)&gt;0,1,0)</f>
        <v>0</v>
      </c>
      <c r="L1706">
        <f>IF(COUNTIFS('United Data'!$A$3:$A$3390,L$1,'United Data'!$C$3:$C$3390,$A1706)&gt;0,1,0)</f>
        <v>0</v>
      </c>
      <c r="M1706">
        <f>IF(COUNTIFS('United Data'!$A$3:$A$3390,M$1,'United Data'!$C$3:$C$3390,$A1706)&gt;0,1,0)</f>
        <v>0</v>
      </c>
      <c r="N1706">
        <f>IF(COUNTIFS('United Data'!$A$3:$A$3390,N$1,'United Data'!$C$3:$C$3390,$A1706)&gt;0,1,0)</f>
        <v>0</v>
      </c>
      <c r="O1706">
        <f>IF(COUNTIFS('United Data'!$A$3:$A$3390,O$1,'United Data'!$C$3:$C$3390,$A1706)&gt;0,1,0)</f>
        <v>0</v>
      </c>
      <c r="P1706">
        <f>IF(COUNTIFS('United Data'!$A$3:$A$3390,P$1,'United Data'!$C$3:$C$3390,$A1706)&gt;0,1,0)</f>
        <v>0</v>
      </c>
      <c r="Q1706">
        <f>IF(COUNTIFS('United Data'!$A$3:$A$3390,Q$1,'United Data'!$C$3:$C$3390,$A1706)&gt;0,1,0)</f>
        <v>0</v>
      </c>
      <c r="R1706">
        <f>IF(COUNTIFS('United Data'!$A$3:$A$3390,R$1,'United Data'!$C$3:$C$3390,$A1706)&gt;0,1,0)</f>
        <v>0</v>
      </c>
      <c r="S1706">
        <f t="shared" si="52"/>
        <v>2</v>
      </c>
      <c r="T1706">
        <f t="shared" si="53"/>
        <v>2</v>
      </c>
    </row>
    <row r="1707" spans="1:20" x14ac:dyDescent="0.2">
      <c r="A1707" t="s">
        <v>2005</v>
      </c>
      <c r="B1707">
        <f>IF(COUNTIFS('United Data'!$A$3:$A$3390,B$1,'United Data'!$C$3:$C$3390,$A1707)&gt;0,1,0)</f>
        <v>0</v>
      </c>
      <c r="C1707">
        <f>IF(COUNTIFS('United Data'!$A$3:$A$3390,C$1,'United Data'!$C$3:$C$3390,$A1707)&gt;0,1,0)</f>
        <v>0</v>
      </c>
      <c r="D1707">
        <f>IF(COUNTIFS('United Data'!$A$3:$A$3390,D$1,'United Data'!$C$3:$C$3390,$A1707)&gt;0,1,0)</f>
        <v>0</v>
      </c>
      <c r="E1707">
        <f>IF(COUNTIFS('United Data'!$A$3:$A$3390,E$1,'United Data'!$C$3:$C$3390,$A1707)&gt;0,1,0)</f>
        <v>0</v>
      </c>
      <c r="F1707">
        <f>IF(COUNTIFS('United Data'!$A$3:$A$3390,F$1,'United Data'!$C$3:$C$3390,$A1707)&gt;0,1,0)</f>
        <v>1</v>
      </c>
      <c r="G1707">
        <f>IF(COUNTIFS('United Data'!$A$3:$A$3390,G$1,'United Data'!$C$3:$C$3390,$A1707)&gt;0,1,0)</f>
        <v>0</v>
      </c>
      <c r="H1707">
        <f>IF(COUNTIFS('United Data'!$A$3:$A$3390,H$1,'United Data'!$C$3:$C$3390,$A1707)&gt;0,1,0)</f>
        <v>0</v>
      </c>
      <c r="I1707">
        <f>IF(COUNTIFS('United Data'!$A$3:$A$3390,I$1,'United Data'!$C$3:$C$3390,$A1707)&gt;0,1,0)</f>
        <v>0</v>
      </c>
      <c r="J1707">
        <f>IF(COUNTIFS('United Data'!$A$3:$A$3390,J$1,'United Data'!$C$3:$C$3390,$A1707)&gt;0,1,0)</f>
        <v>0</v>
      </c>
      <c r="K1707">
        <f>IF(COUNTIFS('United Data'!$A$3:$A$3390,K$1,'United Data'!$C$3:$C$3390,$A1707)&gt;0,1,0)</f>
        <v>0</v>
      </c>
      <c r="L1707">
        <f>IF(COUNTIFS('United Data'!$A$3:$A$3390,L$1,'United Data'!$C$3:$C$3390,$A1707)&gt;0,1,0)</f>
        <v>0</v>
      </c>
      <c r="M1707">
        <f>IF(COUNTIFS('United Data'!$A$3:$A$3390,M$1,'United Data'!$C$3:$C$3390,$A1707)&gt;0,1,0)</f>
        <v>0</v>
      </c>
      <c r="N1707">
        <f>IF(COUNTIFS('United Data'!$A$3:$A$3390,N$1,'United Data'!$C$3:$C$3390,$A1707)&gt;0,1,0)</f>
        <v>0</v>
      </c>
      <c r="O1707">
        <f>IF(COUNTIFS('United Data'!$A$3:$A$3390,O$1,'United Data'!$C$3:$C$3390,$A1707)&gt;0,1,0)</f>
        <v>0</v>
      </c>
      <c r="P1707">
        <f>IF(COUNTIFS('United Data'!$A$3:$A$3390,P$1,'United Data'!$C$3:$C$3390,$A1707)&gt;0,1,0)</f>
        <v>0</v>
      </c>
      <c r="Q1707">
        <f>IF(COUNTIFS('United Data'!$A$3:$A$3390,Q$1,'United Data'!$C$3:$C$3390,$A1707)&gt;0,1,0)</f>
        <v>0</v>
      </c>
      <c r="R1707">
        <f>IF(COUNTIFS('United Data'!$A$3:$A$3390,R$1,'United Data'!$C$3:$C$3390,$A1707)&gt;0,1,0)</f>
        <v>0</v>
      </c>
      <c r="S1707">
        <f t="shared" si="52"/>
        <v>1</v>
      </c>
      <c r="T1707">
        <f t="shared" si="53"/>
        <v>1</v>
      </c>
    </row>
    <row r="1708" spans="1:20" x14ac:dyDescent="0.2">
      <c r="A1708" t="s">
        <v>2006</v>
      </c>
      <c r="B1708">
        <f>IF(COUNTIFS('United Data'!$A$3:$A$3390,B$1,'United Data'!$C$3:$C$3390,$A1708)&gt;0,1,0)</f>
        <v>0</v>
      </c>
      <c r="C1708">
        <f>IF(COUNTIFS('United Data'!$A$3:$A$3390,C$1,'United Data'!$C$3:$C$3390,$A1708)&gt;0,1,0)</f>
        <v>0</v>
      </c>
      <c r="D1708">
        <f>IF(COUNTIFS('United Data'!$A$3:$A$3390,D$1,'United Data'!$C$3:$C$3390,$A1708)&gt;0,1,0)</f>
        <v>0</v>
      </c>
      <c r="E1708">
        <f>IF(COUNTIFS('United Data'!$A$3:$A$3390,E$1,'United Data'!$C$3:$C$3390,$A1708)&gt;0,1,0)</f>
        <v>0</v>
      </c>
      <c r="F1708">
        <f>IF(COUNTIFS('United Data'!$A$3:$A$3390,F$1,'United Data'!$C$3:$C$3390,$A1708)&gt;0,1,0)</f>
        <v>1</v>
      </c>
      <c r="G1708">
        <f>IF(COUNTIFS('United Data'!$A$3:$A$3390,G$1,'United Data'!$C$3:$C$3390,$A1708)&gt;0,1,0)</f>
        <v>0</v>
      </c>
      <c r="H1708">
        <f>IF(COUNTIFS('United Data'!$A$3:$A$3390,H$1,'United Data'!$C$3:$C$3390,$A1708)&gt;0,1,0)</f>
        <v>0</v>
      </c>
      <c r="I1708">
        <f>IF(COUNTIFS('United Data'!$A$3:$A$3390,I$1,'United Data'!$C$3:$C$3390,$A1708)&gt;0,1,0)</f>
        <v>0</v>
      </c>
      <c r="J1708">
        <f>IF(COUNTIFS('United Data'!$A$3:$A$3390,J$1,'United Data'!$C$3:$C$3390,$A1708)&gt;0,1,0)</f>
        <v>0</v>
      </c>
      <c r="K1708">
        <f>IF(COUNTIFS('United Data'!$A$3:$A$3390,K$1,'United Data'!$C$3:$C$3390,$A1708)&gt;0,1,0)</f>
        <v>0</v>
      </c>
      <c r="L1708">
        <f>IF(COUNTIFS('United Data'!$A$3:$A$3390,L$1,'United Data'!$C$3:$C$3390,$A1708)&gt;0,1,0)</f>
        <v>0</v>
      </c>
      <c r="M1708">
        <f>IF(COUNTIFS('United Data'!$A$3:$A$3390,M$1,'United Data'!$C$3:$C$3390,$A1708)&gt;0,1,0)</f>
        <v>0</v>
      </c>
      <c r="N1708">
        <f>IF(COUNTIFS('United Data'!$A$3:$A$3390,N$1,'United Data'!$C$3:$C$3390,$A1708)&gt;0,1,0)</f>
        <v>0</v>
      </c>
      <c r="O1708">
        <f>IF(COUNTIFS('United Data'!$A$3:$A$3390,O$1,'United Data'!$C$3:$C$3390,$A1708)&gt;0,1,0)</f>
        <v>0</v>
      </c>
      <c r="P1708">
        <f>IF(COUNTIFS('United Data'!$A$3:$A$3390,P$1,'United Data'!$C$3:$C$3390,$A1708)&gt;0,1,0)</f>
        <v>0</v>
      </c>
      <c r="Q1708">
        <f>IF(COUNTIFS('United Data'!$A$3:$A$3390,Q$1,'United Data'!$C$3:$C$3390,$A1708)&gt;0,1,0)</f>
        <v>0</v>
      </c>
      <c r="R1708">
        <f>IF(COUNTIFS('United Data'!$A$3:$A$3390,R$1,'United Data'!$C$3:$C$3390,$A1708)&gt;0,1,0)</f>
        <v>0</v>
      </c>
      <c r="S1708">
        <f t="shared" si="52"/>
        <v>1</v>
      </c>
      <c r="T1708">
        <f t="shared" si="53"/>
        <v>1</v>
      </c>
    </row>
    <row r="1709" spans="1:20" x14ac:dyDescent="0.2">
      <c r="A1709" t="s">
        <v>2007</v>
      </c>
      <c r="B1709">
        <f>IF(COUNTIFS('United Data'!$A$3:$A$3390,B$1,'United Data'!$C$3:$C$3390,$A1709)&gt;0,1,0)</f>
        <v>0</v>
      </c>
      <c r="C1709">
        <f>IF(COUNTIFS('United Data'!$A$3:$A$3390,C$1,'United Data'!$C$3:$C$3390,$A1709)&gt;0,1,0)</f>
        <v>0</v>
      </c>
      <c r="D1709">
        <f>IF(COUNTIFS('United Data'!$A$3:$A$3390,D$1,'United Data'!$C$3:$C$3390,$A1709)&gt;0,1,0)</f>
        <v>0</v>
      </c>
      <c r="E1709">
        <f>IF(COUNTIFS('United Data'!$A$3:$A$3390,E$1,'United Data'!$C$3:$C$3390,$A1709)&gt;0,1,0)</f>
        <v>0</v>
      </c>
      <c r="F1709">
        <f>IF(COUNTIFS('United Data'!$A$3:$A$3390,F$1,'United Data'!$C$3:$C$3390,$A1709)&gt;0,1,0)</f>
        <v>0</v>
      </c>
      <c r="G1709">
        <f>IF(COUNTIFS('United Data'!$A$3:$A$3390,G$1,'United Data'!$C$3:$C$3390,$A1709)&gt;0,1,0)</f>
        <v>1</v>
      </c>
      <c r="H1709">
        <f>IF(COUNTIFS('United Data'!$A$3:$A$3390,H$1,'United Data'!$C$3:$C$3390,$A1709)&gt;0,1,0)</f>
        <v>0</v>
      </c>
      <c r="I1709">
        <f>IF(COUNTIFS('United Data'!$A$3:$A$3390,I$1,'United Data'!$C$3:$C$3390,$A1709)&gt;0,1,0)</f>
        <v>0</v>
      </c>
      <c r="J1709">
        <f>IF(COUNTIFS('United Data'!$A$3:$A$3390,J$1,'United Data'!$C$3:$C$3390,$A1709)&gt;0,1,0)</f>
        <v>0</v>
      </c>
      <c r="K1709">
        <f>IF(COUNTIFS('United Data'!$A$3:$A$3390,K$1,'United Data'!$C$3:$C$3390,$A1709)&gt;0,1,0)</f>
        <v>0</v>
      </c>
      <c r="L1709">
        <f>IF(COUNTIFS('United Data'!$A$3:$A$3390,L$1,'United Data'!$C$3:$C$3390,$A1709)&gt;0,1,0)</f>
        <v>0</v>
      </c>
      <c r="M1709">
        <f>IF(COUNTIFS('United Data'!$A$3:$A$3390,M$1,'United Data'!$C$3:$C$3390,$A1709)&gt;0,1,0)</f>
        <v>0</v>
      </c>
      <c r="N1709">
        <f>IF(COUNTIFS('United Data'!$A$3:$A$3390,N$1,'United Data'!$C$3:$C$3390,$A1709)&gt;0,1,0)</f>
        <v>0</v>
      </c>
      <c r="O1709">
        <f>IF(COUNTIFS('United Data'!$A$3:$A$3390,O$1,'United Data'!$C$3:$C$3390,$A1709)&gt;0,1,0)</f>
        <v>0</v>
      </c>
      <c r="P1709">
        <f>IF(COUNTIFS('United Data'!$A$3:$A$3390,P$1,'United Data'!$C$3:$C$3390,$A1709)&gt;0,1,0)</f>
        <v>0</v>
      </c>
      <c r="Q1709">
        <f>IF(COUNTIFS('United Data'!$A$3:$A$3390,Q$1,'United Data'!$C$3:$C$3390,$A1709)&gt;0,1,0)</f>
        <v>0</v>
      </c>
      <c r="R1709">
        <f>IF(COUNTIFS('United Data'!$A$3:$A$3390,R$1,'United Data'!$C$3:$C$3390,$A1709)&gt;0,1,0)</f>
        <v>0</v>
      </c>
      <c r="S1709">
        <f t="shared" si="52"/>
        <v>1</v>
      </c>
      <c r="T1709">
        <f t="shared" si="53"/>
        <v>1</v>
      </c>
    </row>
    <row r="1710" spans="1:20" x14ac:dyDescent="0.2">
      <c r="A1710" t="s">
        <v>2008</v>
      </c>
      <c r="B1710">
        <f>IF(COUNTIFS('United Data'!$A$3:$A$3390,B$1,'United Data'!$C$3:$C$3390,$A1710)&gt;0,1,0)</f>
        <v>0</v>
      </c>
      <c r="C1710">
        <f>IF(COUNTIFS('United Data'!$A$3:$A$3390,C$1,'United Data'!$C$3:$C$3390,$A1710)&gt;0,1,0)</f>
        <v>0</v>
      </c>
      <c r="D1710">
        <f>IF(COUNTIFS('United Data'!$A$3:$A$3390,D$1,'United Data'!$C$3:$C$3390,$A1710)&gt;0,1,0)</f>
        <v>0</v>
      </c>
      <c r="E1710">
        <f>IF(COUNTIFS('United Data'!$A$3:$A$3390,E$1,'United Data'!$C$3:$C$3390,$A1710)&gt;0,1,0)</f>
        <v>0</v>
      </c>
      <c r="F1710">
        <f>IF(COUNTIFS('United Data'!$A$3:$A$3390,F$1,'United Data'!$C$3:$C$3390,$A1710)&gt;0,1,0)</f>
        <v>0</v>
      </c>
      <c r="G1710">
        <f>IF(COUNTIFS('United Data'!$A$3:$A$3390,G$1,'United Data'!$C$3:$C$3390,$A1710)&gt;0,1,0)</f>
        <v>1</v>
      </c>
      <c r="H1710">
        <f>IF(COUNTIFS('United Data'!$A$3:$A$3390,H$1,'United Data'!$C$3:$C$3390,$A1710)&gt;0,1,0)</f>
        <v>0</v>
      </c>
      <c r="I1710">
        <f>IF(COUNTIFS('United Data'!$A$3:$A$3390,I$1,'United Data'!$C$3:$C$3390,$A1710)&gt;0,1,0)</f>
        <v>0</v>
      </c>
      <c r="J1710">
        <f>IF(COUNTIFS('United Data'!$A$3:$A$3390,J$1,'United Data'!$C$3:$C$3390,$A1710)&gt;0,1,0)</f>
        <v>0</v>
      </c>
      <c r="K1710">
        <f>IF(COUNTIFS('United Data'!$A$3:$A$3390,K$1,'United Data'!$C$3:$C$3390,$A1710)&gt;0,1,0)</f>
        <v>0</v>
      </c>
      <c r="L1710">
        <f>IF(COUNTIFS('United Data'!$A$3:$A$3390,L$1,'United Data'!$C$3:$C$3390,$A1710)&gt;0,1,0)</f>
        <v>0</v>
      </c>
      <c r="M1710">
        <f>IF(COUNTIFS('United Data'!$A$3:$A$3390,M$1,'United Data'!$C$3:$C$3390,$A1710)&gt;0,1,0)</f>
        <v>0</v>
      </c>
      <c r="N1710">
        <f>IF(COUNTIFS('United Data'!$A$3:$A$3390,N$1,'United Data'!$C$3:$C$3390,$A1710)&gt;0,1,0)</f>
        <v>0</v>
      </c>
      <c r="O1710">
        <f>IF(COUNTIFS('United Data'!$A$3:$A$3390,O$1,'United Data'!$C$3:$C$3390,$A1710)&gt;0,1,0)</f>
        <v>0</v>
      </c>
      <c r="P1710">
        <f>IF(COUNTIFS('United Data'!$A$3:$A$3390,P$1,'United Data'!$C$3:$C$3390,$A1710)&gt;0,1,0)</f>
        <v>0</v>
      </c>
      <c r="Q1710">
        <f>IF(COUNTIFS('United Data'!$A$3:$A$3390,Q$1,'United Data'!$C$3:$C$3390,$A1710)&gt;0,1,0)</f>
        <v>0</v>
      </c>
      <c r="R1710">
        <f>IF(COUNTIFS('United Data'!$A$3:$A$3390,R$1,'United Data'!$C$3:$C$3390,$A1710)&gt;0,1,0)</f>
        <v>0</v>
      </c>
      <c r="S1710">
        <f t="shared" si="52"/>
        <v>1</v>
      </c>
      <c r="T1710">
        <f t="shared" si="53"/>
        <v>1</v>
      </c>
    </row>
    <row r="1711" spans="1:20" x14ac:dyDescent="0.2">
      <c r="A1711" t="s">
        <v>2009</v>
      </c>
      <c r="B1711">
        <f>IF(COUNTIFS('United Data'!$A$3:$A$3390,B$1,'United Data'!$C$3:$C$3390,$A1711)&gt;0,1,0)</f>
        <v>0</v>
      </c>
      <c r="C1711">
        <f>IF(COUNTIFS('United Data'!$A$3:$A$3390,C$1,'United Data'!$C$3:$C$3390,$A1711)&gt;0,1,0)</f>
        <v>0</v>
      </c>
      <c r="D1711">
        <f>IF(COUNTIFS('United Data'!$A$3:$A$3390,D$1,'United Data'!$C$3:$C$3390,$A1711)&gt;0,1,0)</f>
        <v>0</v>
      </c>
      <c r="E1711">
        <f>IF(COUNTIFS('United Data'!$A$3:$A$3390,E$1,'United Data'!$C$3:$C$3390,$A1711)&gt;0,1,0)</f>
        <v>0</v>
      </c>
      <c r="F1711">
        <f>IF(COUNTIFS('United Data'!$A$3:$A$3390,F$1,'United Data'!$C$3:$C$3390,$A1711)&gt;0,1,0)</f>
        <v>0</v>
      </c>
      <c r="G1711">
        <f>IF(COUNTIFS('United Data'!$A$3:$A$3390,G$1,'United Data'!$C$3:$C$3390,$A1711)&gt;0,1,0)</f>
        <v>1</v>
      </c>
      <c r="H1711">
        <f>IF(COUNTIFS('United Data'!$A$3:$A$3390,H$1,'United Data'!$C$3:$C$3390,$A1711)&gt;0,1,0)</f>
        <v>0</v>
      </c>
      <c r="I1711">
        <f>IF(COUNTIFS('United Data'!$A$3:$A$3390,I$1,'United Data'!$C$3:$C$3390,$A1711)&gt;0,1,0)</f>
        <v>0</v>
      </c>
      <c r="J1711">
        <f>IF(COUNTIFS('United Data'!$A$3:$A$3390,J$1,'United Data'!$C$3:$C$3390,$A1711)&gt;0,1,0)</f>
        <v>0</v>
      </c>
      <c r="K1711">
        <f>IF(COUNTIFS('United Data'!$A$3:$A$3390,K$1,'United Data'!$C$3:$C$3390,$A1711)&gt;0,1,0)</f>
        <v>0</v>
      </c>
      <c r="L1711">
        <f>IF(COUNTIFS('United Data'!$A$3:$A$3390,L$1,'United Data'!$C$3:$C$3390,$A1711)&gt;0,1,0)</f>
        <v>0</v>
      </c>
      <c r="M1711">
        <f>IF(COUNTIFS('United Data'!$A$3:$A$3390,M$1,'United Data'!$C$3:$C$3390,$A1711)&gt;0,1,0)</f>
        <v>0</v>
      </c>
      <c r="N1711">
        <f>IF(COUNTIFS('United Data'!$A$3:$A$3390,N$1,'United Data'!$C$3:$C$3390,$A1711)&gt;0,1,0)</f>
        <v>0</v>
      </c>
      <c r="O1711">
        <f>IF(COUNTIFS('United Data'!$A$3:$A$3390,O$1,'United Data'!$C$3:$C$3390,$A1711)&gt;0,1,0)</f>
        <v>0</v>
      </c>
      <c r="P1711">
        <f>IF(COUNTIFS('United Data'!$A$3:$A$3390,P$1,'United Data'!$C$3:$C$3390,$A1711)&gt;0,1,0)</f>
        <v>0</v>
      </c>
      <c r="Q1711">
        <f>IF(COUNTIFS('United Data'!$A$3:$A$3390,Q$1,'United Data'!$C$3:$C$3390,$A1711)&gt;0,1,0)</f>
        <v>0</v>
      </c>
      <c r="R1711">
        <f>IF(COUNTIFS('United Data'!$A$3:$A$3390,R$1,'United Data'!$C$3:$C$3390,$A1711)&gt;0,1,0)</f>
        <v>0</v>
      </c>
      <c r="S1711">
        <f t="shared" si="52"/>
        <v>1</v>
      </c>
      <c r="T1711">
        <f t="shared" si="53"/>
        <v>1</v>
      </c>
    </row>
    <row r="1712" spans="1:20" x14ac:dyDescent="0.2">
      <c r="A1712" t="s">
        <v>2010</v>
      </c>
      <c r="B1712">
        <f>IF(COUNTIFS('United Data'!$A$3:$A$3390,B$1,'United Data'!$C$3:$C$3390,$A1712)&gt;0,1,0)</f>
        <v>0</v>
      </c>
      <c r="C1712">
        <f>IF(COUNTIFS('United Data'!$A$3:$A$3390,C$1,'United Data'!$C$3:$C$3390,$A1712)&gt;0,1,0)</f>
        <v>0</v>
      </c>
      <c r="D1712">
        <f>IF(COUNTIFS('United Data'!$A$3:$A$3390,D$1,'United Data'!$C$3:$C$3390,$A1712)&gt;0,1,0)</f>
        <v>0</v>
      </c>
      <c r="E1712">
        <f>IF(COUNTIFS('United Data'!$A$3:$A$3390,E$1,'United Data'!$C$3:$C$3390,$A1712)&gt;0,1,0)</f>
        <v>0</v>
      </c>
      <c r="F1712">
        <f>IF(COUNTIFS('United Data'!$A$3:$A$3390,F$1,'United Data'!$C$3:$C$3390,$A1712)&gt;0,1,0)</f>
        <v>0</v>
      </c>
      <c r="G1712">
        <f>IF(COUNTIFS('United Data'!$A$3:$A$3390,G$1,'United Data'!$C$3:$C$3390,$A1712)&gt;0,1,0)</f>
        <v>1</v>
      </c>
      <c r="H1712">
        <f>IF(COUNTIFS('United Data'!$A$3:$A$3390,H$1,'United Data'!$C$3:$C$3390,$A1712)&gt;0,1,0)</f>
        <v>0</v>
      </c>
      <c r="I1712">
        <f>IF(COUNTIFS('United Data'!$A$3:$A$3390,I$1,'United Data'!$C$3:$C$3390,$A1712)&gt;0,1,0)</f>
        <v>0</v>
      </c>
      <c r="J1712">
        <f>IF(COUNTIFS('United Data'!$A$3:$A$3390,J$1,'United Data'!$C$3:$C$3390,$A1712)&gt;0,1,0)</f>
        <v>0</v>
      </c>
      <c r="K1712">
        <f>IF(COUNTIFS('United Data'!$A$3:$A$3390,K$1,'United Data'!$C$3:$C$3390,$A1712)&gt;0,1,0)</f>
        <v>0</v>
      </c>
      <c r="L1712">
        <f>IF(COUNTIFS('United Data'!$A$3:$A$3390,L$1,'United Data'!$C$3:$C$3390,$A1712)&gt;0,1,0)</f>
        <v>0</v>
      </c>
      <c r="M1712">
        <f>IF(COUNTIFS('United Data'!$A$3:$A$3390,M$1,'United Data'!$C$3:$C$3390,$A1712)&gt;0,1,0)</f>
        <v>0</v>
      </c>
      <c r="N1712">
        <f>IF(COUNTIFS('United Data'!$A$3:$A$3390,N$1,'United Data'!$C$3:$C$3390,$A1712)&gt;0,1,0)</f>
        <v>0</v>
      </c>
      <c r="O1712">
        <f>IF(COUNTIFS('United Data'!$A$3:$A$3390,O$1,'United Data'!$C$3:$C$3390,$A1712)&gt;0,1,0)</f>
        <v>0</v>
      </c>
      <c r="P1712">
        <f>IF(COUNTIFS('United Data'!$A$3:$A$3390,P$1,'United Data'!$C$3:$C$3390,$A1712)&gt;0,1,0)</f>
        <v>0</v>
      </c>
      <c r="Q1712">
        <f>IF(COUNTIFS('United Data'!$A$3:$A$3390,Q$1,'United Data'!$C$3:$C$3390,$A1712)&gt;0,1,0)</f>
        <v>0</v>
      </c>
      <c r="R1712">
        <f>IF(COUNTIFS('United Data'!$A$3:$A$3390,R$1,'United Data'!$C$3:$C$3390,$A1712)&gt;0,1,0)</f>
        <v>0</v>
      </c>
      <c r="S1712">
        <f t="shared" si="52"/>
        <v>1</v>
      </c>
      <c r="T1712">
        <f t="shared" si="53"/>
        <v>1</v>
      </c>
    </row>
    <row r="1713" spans="1:20" x14ac:dyDescent="0.2">
      <c r="A1713" t="s">
        <v>2011</v>
      </c>
      <c r="B1713">
        <f>IF(COUNTIFS('United Data'!$A$3:$A$3390,B$1,'United Data'!$C$3:$C$3390,$A1713)&gt;0,1,0)</f>
        <v>0</v>
      </c>
      <c r="C1713">
        <f>IF(COUNTIFS('United Data'!$A$3:$A$3390,C$1,'United Data'!$C$3:$C$3390,$A1713)&gt;0,1,0)</f>
        <v>0</v>
      </c>
      <c r="D1713">
        <f>IF(COUNTIFS('United Data'!$A$3:$A$3390,D$1,'United Data'!$C$3:$C$3390,$A1713)&gt;0,1,0)</f>
        <v>0</v>
      </c>
      <c r="E1713">
        <f>IF(COUNTIFS('United Data'!$A$3:$A$3390,E$1,'United Data'!$C$3:$C$3390,$A1713)&gt;0,1,0)</f>
        <v>0</v>
      </c>
      <c r="F1713">
        <f>IF(COUNTIFS('United Data'!$A$3:$A$3390,F$1,'United Data'!$C$3:$C$3390,$A1713)&gt;0,1,0)</f>
        <v>0</v>
      </c>
      <c r="G1713">
        <f>IF(COUNTIFS('United Data'!$A$3:$A$3390,G$1,'United Data'!$C$3:$C$3390,$A1713)&gt;0,1,0)</f>
        <v>0</v>
      </c>
      <c r="H1713">
        <f>IF(COUNTIFS('United Data'!$A$3:$A$3390,H$1,'United Data'!$C$3:$C$3390,$A1713)&gt;0,1,0)</f>
        <v>1</v>
      </c>
      <c r="I1713">
        <f>IF(COUNTIFS('United Data'!$A$3:$A$3390,I$1,'United Data'!$C$3:$C$3390,$A1713)&gt;0,1,0)</f>
        <v>0</v>
      </c>
      <c r="J1713">
        <f>IF(COUNTIFS('United Data'!$A$3:$A$3390,J$1,'United Data'!$C$3:$C$3390,$A1713)&gt;0,1,0)</f>
        <v>0</v>
      </c>
      <c r="K1713">
        <f>IF(COUNTIFS('United Data'!$A$3:$A$3390,K$1,'United Data'!$C$3:$C$3390,$A1713)&gt;0,1,0)</f>
        <v>0</v>
      </c>
      <c r="L1713">
        <f>IF(COUNTIFS('United Data'!$A$3:$A$3390,L$1,'United Data'!$C$3:$C$3390,$A1713)&gt;0,1,0)</f>
        <v>0</v>
      </c>
      <c r="M1713">
        <f>IF(COUNTIFS('United Data'!$A$3:$A$3390,M$1,'United Data'!$C$3:$C$3390,$A1713)&gt;0,1,0)</f>
        <v>0</v>
      </c>
      <c r="N1713">
        <f>IF(COUNTIFS('United Data'!$A$3:$A$3390,N$1,'United Data'!$C$3:$C$3390,$A1713)&gt;0,1,0)</f>
        <v>0</v>
      </c>
      <c r="O1713">
        <f>IF(COUNTIFS('United Data'!$A$3:$A$3390,O$1,'United Data'!$C$3:$C$3390,$A1713)&gt;0,1,0)</f>
        <v>0</v>
      </c>
      <c r="P1713">
        <f>IF(COUNTIFS('United Data'!$A$3:$A$3390,P$1,'United Data'!$C$3:$C$3390,$A1713)&gt;0,1,0)</f>
        <v>0</v>
      </c>
      <c r="Q1713">
        <f>IF(COUNTIFS('United Data'!$A$3:$A$3390,Q$1,'United Data'!$C$3:$C$3390,$A1713)&gt;0,1,0)</f>
        <v>0</v>
      </c>
      <c r="R1713">
        <f>IF(COUNTIFS('United Data'!$A$3:$A$3390,R$1,'United Data'!$C$3:$C$3390,$A1713)&gt;0,1,0)</f>
        <v>0</v>
      </c>
      <c r="S1713">
        <f t="shared" si="52"/>
        <v>1</v>
      </c>
      <c r="T1713">
        <f t="shared" si="53"/>
        <v>1</v>
      </c>
    </row>
    <row r="1714" spans="1:20" x14ac:dyDescent="0.2">
      <c r="A1714" t="s">
        <v>2012</v>
      </c>
      <c r="B1714">
        <f>IF(COUNTIFS('United Data'!$A$3:$A$3390,B$1,'United Data'!$C$3:$C$3390,$A1714)&gt;0,1,0)</f>
        <v>0</v>
      </c>
      <c r="C1714">
        <f>IF(COUNTIFS('United Data'!$A$3:$A$3390,C$1,'United Data'!$C$3:$C$3390,$A1714)&gt;0,1,0)</f>
        <v>0</v>
      </c>
      <c r="D1714">
        <f>IF(COUNTIFS('United Data'!$A$3:$A$3390,D$1,'United Data'!$C$3:$C$3390,$A1714)&gt;0,1,0)</f>
        <v>0</v>
      </c>
      <c r="E1714">
        <f>IF(COUNTIFS('United Data'!$A$3:$A$3390,E$1,'United Data'!$C$3:$C$3390,$A1714)&gt;0,1,0)</f>
        <v>0</v>
      </c>
      <c r="F1714">
        <f>IF(COUNTIFS('United Data'!$A$3:$A$3390,F$1,'United Data'!$C$3:$C$3390,$A1714)&gt;0,1,0)</f>
        <v>0</v>
      </c>
      <c r="G1714">
        <f>IF(COUNTIFS('United Data'!$A$3:$A$3390,G$1,'United Data'!$C$3:$C$3390,$A1714)&gt;0,1,0)</f>
        <v>0</v>
      </c>
      <c r="H1714">
        <f>IF(COUNTIFS('United Data'!$A$3:$A$3390,H$1,'United Data'!$C$3:$C$3390,$A1714)&gt;0,1,0)</f>
        <v>1</v>
      </c>
      <c r="I1714">
        <f>IF(COUNTIFS('United Data'!$A$3:$A$3390,I$1,'United Data'!$C$3:$C$3390,$A1714)&gt;0,1,0)</f>
        <v>0</v>
      </c>
      <c r="J1714">
        <f>IF(COUNTIFS('United Data'!$A$3:$A$3390,J$1,'United Data'!$C$3:$C$3390,$A1714)&gt;0,1,0)</f>
        <v>0</v>
      </c>
      <c r="K1714">
        <f>IF(COUNTIFS('United Data'!$A$3:$A$3390,K$1,'United Data'!$C$3:$C$3390,$A1714)&gt;0,1,0)</f>
        <v>0</v>
      </c>
      <c r="L1714">
        <f>IF(COUNTIFS('United Data'!$A$3:$A$3390,L$1,'United Data'!$C$3:$C$3390,$A1714)&gt;0,1,0)</f>
        <v>0</v>
      </c>
      <c r="M1714">
        <f>IF(COUNTIFS('United Data'!$A$3:$A$3390,M$1,'United Data'!$C$3:$C$3390,$A1714)&gt;0,1,0)</f>
        <v>0</v>
      </c>
      <c r="N1714">
        <f>IF(COUNTIFS('United Data'!$A$3:$A$3390,N$1,'United Data'!$C$3:$C$3390,$A1714)&gt;0,1,0)</f>
        <v>0</v>
      </c>
      <c r="O1714">
        <f>IF(COUNTIFS('United Data'!$A$3:$A$3390,O$1,'United Data'!$C$3:$C$3390,$A1714)&gt;0,1,0)</f>
        <v>0</v>
      </c>
      <c r="P1714">
        <f>IF(COUNTIFS('United Data'!$A$3:$A$3390,P$1,'United Data'!$C$3:$C$3390,$A1714)&gt;0,1,0)</f>
        <v>0</v>
      </c>
      <c r="Q1714">
        <f>IF(COUNTIFS('United Data'!$A$3:$A$3390,Q$1,'United Data'!$C$3:$C$3390,$A1714)&gt;0,1,0)</f>
        <v>0</v>
      </c>
      <c r="R1714">
        <f>IF(COUNTIFS('United Data'!$A$3:$A$3390,R$1,'United Data'!$C$3:$C$3390,$A1714)&gt;0,1,0)</f>
        <v>0</v>
      </c>
      <c r="S1714">
        <f t="shared" si="52"/>
        <v>1</v>
      </c>
      <c r="T1714">
        <f t="shared" si="53"/>
        <v>1</v>
      </c>
    </row>
    <row r="1715" spans="1:20" x14ac:dyDescent="0.2">
      <c r="A1715" t="s">
        <v>2013</v>
      </c>
      <c r="B1715">
        <f>IF(COUNTIFS('United Data'!$A$3:$A$3390,B$1,'United Data'!$C$3:$C$3390,$A1715)&gt;0,1,0)</f>
        <v>0</v>
      </c>
      <c r="C1715">
        <f>IF(COUNTIFS('United Data'!$A$3:$A$3390,C$1,'United Data'!$C$3:$C$3390,$A1715)&gt;0,1,0)</f>
        <v>0</v>
      </c>
      <c r="D1715">
        <f>IF(COUNTIFS('United Data'!$A$3:$A$3390,D$1,'United Data'!$C$3:$C$3390,$A1715)&gt;0,1,0)</f>
        <v>0</v>
      </c>
      <c r="E1715">
        <f>IF(COUNTIFS('United Data'!$A$3:$A$3390,E$1,'United Data'!$C$3:$C$3390,$A1715)&gt;0,1,0)</f>
        <v>0</v>
      </c>
      <c r="F1715">
        <f>IF(COUNTIFS('United Data'!$A$3:$A$3390,F$1,'United Data'!$C$3:$C$3390,$A1715)&gt;0,1,0)</f>
        <v>0</v>
      </c>
      <c r="G1715">
        <f>IF(COUNTIFS('United Data'!$A$3:$A$3390,G$1,'United Data'!$C$3:$C$3390,$A1715)&gt;0,1,0)</f>
        <v>0</v>
      </c>
      <c r="H1715">
        <f>IF(COUNTIFS('United Data'!$A$3:$A$3390,H$1,'United Data'!$C$3:$C$3390,$A1715)&gt;0,1,0)</f>
        <v>1</v>
      </c>
      <c r="I1715">
        <f>IF(COUNTIFS('United Data'!$A$3:$A$3390,I$1,'United Data'!$C$3:$C$3390,$A1715)&gt;0,1,0)</f>
        <v>0</v>
      </c>
      <c r="J1715">
        <f>IF(COUNTIFS('United Data'!$A$3:$A$3390,J$1,'United Data'!$C$3:$C$3390,$A1715)&gt;0,1,0)</f>
        <v>0</v>
      </c>
      <c r="K1715">
        <f>IF(COUNTIFS('United Data'!$A$3:$A$3390,K$1,'United Data'!$C$3:$C$3390,$A1715)&gt;0,1,0)</f>
        <v>0</v>
      </c>
      <c r="L1715">
        <f>IF(COUNTIFS('United Data'!$A$3:$A$3390,L$1,'United Data'!$C$3:$C$3390,$A1715)&gt;0,1,0)</f>
        <v>0</v>
      </c>
      <c r="M1715">
        <f>IF(COUNTIFS('United Data'!$A$3:$A$3390,M$1,'United Data'!$C$3:$C$3390,$A1715)&gt;0,1,0)</f>
        <v>0</v>
      </c>
      <c r="N1715">
        <f>IF(COUNTIFS('United Data'!$A$3:$A$3390,N$1,'United Data'!$C$3:$C$3390,$A1715)&gt;0,1,0)</f>
        <v>0</v>
      </c>
      <c r="O1715">
        <f>IF(COUNTIFS('United Data'!$A$3:$A$3390,O$1,'United Data'!$C$3:$C$3390,$A1715)&gt;0,1,0)</f>
        <v>0</v>
      </c>
      <c r="P1715">
        <f>IF(COUNTIFS('United Data'!$A$3:$A$3390,P$1,'United Data'!$C$3:$C$3390,$A1715)&gt;0,1,0)</f>
        <v>0</v>
      </c>
      <c r="Q1715">
        <f>IF(COUNTIFS('United Data'!$A$3:$A$3390,Q$1,'United Data'!$C$3:$C$3390,$A1715)&gt;0,1,0)</f>
        <v>0</v>
      </c>
      <c r="R1715">
        <f>IF(COUNTIFS('United Data'!$A$3:$A$3390,R$1,'United Data'!$C$3:$C$3390,$A1715)&gt;0,1,0)</f>
        <v>0</v>
      </c>
      <c r="S1715">
        <f t="shared" si="52"/>
        <v>1</v>
      </c>
      <c r="T1715">
        <f t="shared" si="53"/>
        <v>1</v>
      </c>
    </row>
    <row r="1716" spans="1:20" x14ac:dyDescent="0.2">
      <c r="A1716" t="s">
        <v>2014</v>
      </c>
      <c r="B1716">
        <f>IF(COUNTIFS('United Data'!$A$3:$A$3390,B$1,'United Data'!$C$3:$C$3390,$A1716)&gt;0,1,0)</f>
        <v>0</v>
      </c>
      <c r="C1716">
        <f>IF(COUNTIFS('United Data'!$A$3:$A$3390,C$1,'United Data'!$C$3:$C$3390,$A1716)&gt;0,1,0)</f>
        <v>0</v>
      </c>
      <c r="D1716">
        <f>IF(COUNTIFS('United Data'!$A$3:$A$3390,D$1,'United Data'!$C$3:$C$3390,$A1716)&gt;0,1,0)</f>
        <v>0</v>
      </c>
      <c r="E1716">
        <f>IF(COUNTIFS('United Data'!$A$3:$A$3390,E$1,'United Data'!$C$3:$C$3390,$A1716)&gt;0,1,0)</f>
        <v>0</v>
      </c>
      <c r="F1716">
        <f>IF(COUNTIFS('United Data'!$A$3:$A$3390,F$1,'United Data'!$C$3:$C$3390,$A1716)&gt;0,1,0)</f>
        <v>0</v>
      </c>
      <c r="G1716">
        <f>IF(COUNTIFS('United Data'!$A$3:$A$3390,G$1,'United Data'!$C$3:$C$3390,$A1716)&gt;0,1,0)</f>
        <v>0</v>
      </c>
      <c r="H1716">
        <f>IF(COUNTIFS('United Data'!$A$3:$A$3390,H$1,'United Data'!$C$3:$C$3390,$A1716)&gt;0,1,0)</f>
        <v>0</v>
      </c>
      <c r="I1716">
        <f>IF(COUNTIFS('United Data'!$A$3:$A$3390,I$1,'United Data'!$C$3:$C$3390,$A1716)&gt;0,1,0)</f>
        <v>1</v>
      </c>
      <c r="J1716">
        <f>IF(COUNTIFS('United Data'!$A$3:$A$3390,J$1,'United Data'!$C$3:$C$3390,$A1716)&gt;0,1,0)</f>
        <v>0</v>
      </c>
      <c r="K1716">
        <f>IF(COUNTIFS('United Data'!$A$3:$A$3390,K$1,'United Data'!$C$3:$C$3390,$A1716)&gt;0,1,0)</f>
        <v>0</v>
      </c>
      <c r="L1716">
        <f>IF(COUNTIFS('United Data'!$A$3:$A$3390,L$1,'United Data'!$C$3:$C$3390,$A1716)&gt;0,1,0)</f>
        <v>0</v>
      </c>
      <c r="M1716">
        <f>IF(COUNTIFS('United Data'!$A$3:$A$3390,M$1,'United Data'!$C$3:$C$3390,$A1716)&gt;0,1,0)</f>
        <v>0</v>
      </c>
      <c r="N1716">
        <f>IF(COUNTIFS('United Data'!$A$3:$A$3390,N$1,'United Data'!$C$3:$C$3390,$A1716)&gt;0,1,0)</f>
        <v>0</v>
      </c>
      <c r="O1716">
        <f>IF(COUNTIFS('United Data'!$A$3:$A$3390,O$1,'United Data'!$C$3:$C$3390,$A1716)&gt;0,1,0)</f>
        <v>0</v>
      </c>
      <c r="P1716">
        <f>IF(COUNTIFS('United Data'!$A$3:$A$3390,P$1,'United Data'!$C$3:$C$3390,$A1716)&gt;0,1,0)</f>
        <v>0</v>
      </c>
      <c r="Q1716">
        <f>IF(COUNTIFS('United Data'!$A$3:$A$3390,Q$1,'United Data'!$C$3:$C$3390,$A1716)&gt;0,1,0)</f>
        <v>0</v>
      </c>
      <c r="R1716">
        <f>IF(COUNTIFS('United Data'!$A$3:$A$3390,R$1,'United Data'!$C$3:$C$3390,$A1716)&gt;0,1,0)</f>
        <v>0</v>
      </c>
      <c r="S1716">
        <f t="shared" si="52"/>
        <v>1</v>
      </c>
      <c r="T1716">
        <f t="shared" si="53"/>
        <v>1</v>
      </c>
    </row>
    <row r="1717" spans="1:20" x14ac:dyDescent="0.2">
      <c r="A1717" t="s">
        <v>2015</v>
      </c>
      <c r="B1717">
        <f>IF(COUNTIFS('United Data'!$A$3:$A$3390,B$1,'United Data'!$C$3:$C$3390,$A1717)&gt;0,1,0)</f>
        <v>0</v>
      </c>
      <c r="C1717">
        <f>IF(COUNTIFS('United Data'!$A$3:$A$3390,C$1,'United Data'!$C$3:$C$3390,$A1717)&gt;0,1,0)</f>
        <v>0</v>
      </c>
      <c r="D1717">
        <f>IF(COUNTIFS('United Data'!$A$3:$A$3390,D$1,'United Data'!$C$3:$C$3390,$A1717)&gt;0,1,0)</f>
        <v>0</v>
      </c>
      <c r="E1717">
        <f>IF(COUNTIFS('United Data'!$A$3:$A$3390,E$1,'United Data'!$C$3:$C$3390,$A1717)&gt;0,1,0)</f>
        <v>0</v>
      </c>
      <c r="F1717">
        <f>IF(COUNTIFS('United Data'!$A$3:$A$3390,F$1,'United Data'!$C$3:$C$3390,$A1717)&gt;0,1,0)</f>
        <v>0</v>
      </c>
      <c r="G1717">
        <f>IF(COUNTIFS('United Data'!$A$3:$A$3390,G$1,'United Data'!$C$3:$C$3390,$A1717)&gt;0,1,0)</f>
        <v>0</v>
      </c>
      <c r="H1717">
        <f>IF(COUNTIFS('United Data'!$A$3:$A$3390,H$1,'United Data'!$C$3:$C$3390,$A1717)&gt;0,1,0)</f>
        <v>0</v>
      </c>
      <c r="I1717">
        <f>IF(COUNTIFS('United Data'!$A$3:$A$3390,I$1,'United Data'!$C$3:$C$3390,$A1717)&gt;0,1,0)</f>
        <v>1</v>
      </c>
      <c r="J1717">
        <f>IF(COUNTIFS('United Data'!$A$3:$A$3390,J$1,'United Data'!$C$3:$C$3390,$A1717)&gt;0,1,0)</f>
        <v>0</v>
      </c>
      <c r="K1717">
        <f>IF(COUNTIFS('United Data'!$A$3:$A$3390,K$1,'United Data'!$C$3:$C$3390,$A1717)&gt;0,1,0)</f>
        <v>0</v>
      </c>
      <c r="L1717">
        <f>IF(COUNTIFS('United Data'!$A$3:$A$3390,L$1,'United Data'!$C$3:$C$3390,$A1717)&gt;0,1,0)</f>
        <v>0</v>
      </c>
      <c r="M1717">
        <f>IF(COUNTIFS('United Data'!$A$3:$A$3390,M$1,'United Data'!$C$3:$C$3390,$A1717)&gt;0,1,0)</f>
        <v>0</v>
      </c>
      <c r="N1717">
        <f>IF(COUNTIFS('United Data'!$A$3:$A$3390,N$1,'United Data'!$C$3:$C$3390,$A1717)&gt;0,1,0)</f>
        <v>0</v>
      </c>
      <c r="O1717">
        <f>IF(COUNTIFS('United Data'!$A$3:$A$3390,O$1,'United Data'!$C$3:$C$3390,$A1717)&gt;0,1,0)</f>
        <v>1</v>
      </c>
      <c r="P1717">
        <f>IF(COUNTIFS('United Data'!$A$3:$A$3390,P$1,'United Data'!$C$3:$C$3390,$A1717)&gt;0,1,0)</f>
        <v>0</v>
      </c>
      <c r="Q1717">
        <f>IF(COUNTIFS('United Data'!$A$3:$A$3390,Q$1,'United Data'!$C$3:$C$3390,$A1717)&gt;0,1,0)</f>
        <v>0</v>
      </c>
      <c r="R1717">
        <f>IF(COUNTIFS('United Data'!$A$3:$A$3390,R$1,'United Data'!$C$3:$C$3390,$A1717)&gt;0,1,0)</f>
        <v>0</v>
      </c>
      <c r="S1717">
        <f t="shared" si="52"/>
        <v>2</v>
      </c>
      <c r="T1717">
        <f t="shared" si="53"/>
        <v>2</v>
      </c>
    </row>
    <row r="1718" spans="1:20" x14ac:dyDescent="0.2">
      <c r="A1718" t="s">
        <v>2016</v>
      </c>
      <c r="B1718">
        <f>IF(COUNTIFS('United Data'!$A$3:$A$3390,B$1,'United Data'!$C$3:$C$3390,$A1718)&gt;0,1,0)</f>
        <v>0</v>
      </c>
      <c r="C1718">
        <f>IF(COUNTIFS('United Data'!$A$3:$A$3390,C$1,'United Data'!$C$3:$C$3390,$A1718)&gt;0,1,0)</f>
        <v>0</v>
      </c>
      <c r="D1718">
        <f>IF(COUNTIFS('United Data'!$A$3:$A$3390,D$1,'United Data'!$C$3:$C$3390,$A1718)&gt;0,1,0)</f>
        <v>0</v>
      </c>
      <c r="E1718">
        <f>IF(COUNTIFS('United Data'!$A$3:$A$3390,E$1,'United Data'!$C$3:$C$3390,$A1718)&gt;0,1,0)</f>
        <v>0</v>
      </c>
      <c r="F1718">
        <f>IF(COUNTIFS('United Data'!$A$3:$A$3390,F$1,'United Data'!$C$3:$C$3390,$A1718)&gt;0,1,0)</f>
        <v>0</v>
      </c>
      <c r="G1718">
        <f>IF(COUNTIFS('United Data'!$A$3:$A$3390,G$1,'United Data'!$C$3:$C$3390,$A1718)&gt;0,1,0)</f>
        <v>0</v>
      </c>
      <c r="H1718">
        <f>IF(COUNTIFS('United Data'!$A$3:$A$3390,H$1,'United Data'!$C$3:$C$3390,$A1718)&gt;0,1,0)</f>
        <v>0</v>
      </c>
      <c r="I1718">
        <f>IF(COUNTIFS('United Data'!$A$3:$A$3390,I$1,'United Data'!$C$3:$C$3390,$A1718)&gt;0,1,0)</f>
        <v>1</v>
      </c>
      <c r="J1718">
        <f>IF(COUNTIFS('United Data'!$A$3:$A$3390,J$1,'United Data'!$C$3:$C$3390,$A1718)&gt;0,1,0)</f>
        <v>0</v>
      </c>
      <c r="K1718">
        <f>IF(COUNTIFS('United Data'!$A$3:$A$3390,K$1,'United Data'!$C$3:$C$3390,$A1718)&gt;0,1,0)</f>
        <v>0</v>
      </c>
      <c r="L1718">
        <f>IF(COUNTIFS('United Data'!$A$3:$A$3390,L$1,'United Data'!$C$3:$C$3390,$A1718)&gt;0,1,0)</f>
        <v>0</v>
      </c>
      <c r="M1718">
        <f>IF(COUNTIFS('United Data'!$A$3:$A$3390,M$1,'United Data'!$C$3:$C$3390,$A1718)&gt;0,1,0)</f>
        <v>0</v>
      </c>
      <c r="N1718">
        <f>IF(COUNTIFS('United Data'!$A$3:$A$3390,N$1,'United Data'!$C$3:$C$3390,$A1718)&gt;0,1,0)</f>
        <v>0</v>
      </c>
      <c r="O1718">
        <f>IF(COUNTIFS('United Data'!$A$3:$A$3390,O$1,'United Data'!$C$3:$C$3390,$A1718)&gt;0,1,0)</f>
        <v>0</v>
      </c>
      <c r="P1718">
        <f>IF(COUNTIFS('United Data'!$A$3:$A$3390,P$1,'United Data'!$C$3:$C$3390,$A1718)&gt;0,1,0)</f>
        <v>0</v>
      </c>
      <c r="Q1718">
        <f>IF(COUNTIFS('United Data'!$A$3:$A$3390,Q$1,'United Data'!$C$3:$C$3390,$A1718)&gt;0,1,0)</f>
        <v>0</v>
      </c>
      <c r="R1718">
        <f>IF(COUNTIFS('United Data'!$A$3:$A$3390,R$1,'United Data'!$C$3:$C$3390,$A1718)&gt;0,1,0)</f>
        <v>0</v>
      </c>
      <c r="S1718">
        <f t="shared" si="52"/>
        <v>1</v>
      </c>
      <c r="T1718">
        <f t="shared" si="53"/>
        <v>1</v>
      </c>
    </row>
    <row r="1719" spans="1:20" x14ac:dyDescent="0.2">
      <c r="A1719" t="s">
        <v>2017</v>
      </c>
      <c r="B1719">
        <f>IF(COUNTIFS('United Data'!$A$3:$A$3390,B$1,'United Data'!$C$3:$C$3390,$A1719)&gt;0,1,0)</f>
        <v>0</v>
      </c>
      <c r="C1719">
        <f>IF(COUNTIFS('United Data'!$A$3:$A$3390,C$1,'United Data'!$C$3:$C$3390,$A1719)&gt;0,1,0)</f>
        <v>0</v>
      </c>
      <c r="D1719">
        <f>IF(COUNTIFS('United Data'!$A$3:$A$3390,D$1,'United Data'!$C$3:$C$3390,$A1719)&gt;0,1,0)</f>
        <v>0</v>
      </c>
      <c r="E1719">
        <f>IF(COUNTIFS('United Data'!$A$3:$A$3390,E$1,'United Data'!$C$3:$C$3390,$A1719)&gt;0,1,0)</f>
        <v>0</v>
      </c>
      <c r="F1719">
        <f>IF(COUNTIFS('United Data'!$A$3:$A$3390,F$1,'United Data'!$C$3:$C$3390,$A1719)&gt;0,1,0)</f>
        <v>0</v>
      </c>
      <c r="G1719">
        <f>IF(COUNTIFS('United Data'!$A$3:$A$3390,G$1,'United Data'!$C$3:$C$3390,$A1719)&gt;0,1,0)</f>
        <v>0</v>
      </c>
      <c r="H1719">
        <f>IF(COUNTIFS('United Data'!$A$3:$A$3390,H$1,'United Data'!$C$3:$C$3390,$A1719)&gt;0,1,0)</f>
        <v>0</v>
      </c>
      <c r="I1719">
        <f>IF(COUNTIFS('United Data'!$A$3:$A$3390,I$1,'United Data'!$C$3:$C$3390,$A1719)&gt;0,1,0)</f>
        <v>1</v>
      </c>
      <c r="J1719">
        <f>IF(COUNTIFS('United Data'!$A$3:$A$3390,J$1,'United Data'!$C$3:$C$3390,$A1719)&gt;0,1,0)</f>
        <v>0</v>
      </c>
      <c r="K1719">
        <f>IF(COUNTIFS('United Data'!$A$3:$A$3390,K$1,'United Data'!$C$3:$C$3390,$A1719)&gt;0,1,0)</f>
        <v>0</v>
      </c>
      <c r="L1719">
        <f>IF(COUNTIFS('United Data'!$A$3:$A$3390,L$1,'United Data'!$C$3:$C$3390,$A1719)&gt;0,1,0)</f>
        <v>0</v>
      </c>
      <c r="M1719">
        <f>IF(COUNTIFS('United Data'!$A$3:$A$3390,M$1,'United Data'!$C$3:$C$3390,$A1719)&gt;0,1,0)</f>
        <v>0</v>
      </c>
      <c r="N1719">
        <f>IF(COUNTIFS('United Data'!$A$3:$A$3390,N$1,'United Data'!$C$3:$C$3390,$A1719)&gt;0,1,0)</f>
        <v>0</v>
      </c>
      <c r="O1719">
        <f>IF(COUNTIFS('United Data'!$A$3:$A$3390,O$1,'United Data'!$C$3:$C$3390,$A1719)&gt;0,1,0)</f>
        <v>1</v>
      </c>
      <c r="P1719">
        <f>IF(COUNTIFS('United Data'!$A$3:$A$3390,P$1,'United Data'!$C$3:$C$3390,$A1719)&gt;0,1,0)</f>
        <v>0</v>
      </c>
      <c r="Q1719">
        <f>IF(COUNTIFS('United Data'!$A$3:$A$3390,Q$1,'United Data'!$C$3:$C$3390,$A1719)&gt;0,1,0)</f>
        <v>0</v>
      </c>
      <c r="R1719">
        <f>IF(COUNTIFS('United Data'!$A$3:$A$3390,R$1,'United Data'!$C$3:$C$3390,$A1719)&gt;0,1,0)</f>
        <v>0</v>
      </c>
      <c r="S1719">
        <f t="shared" si="52"/>
        <v>2</v>
      </c>
      <c r="T1719">
        <f t="shared" si="53"/>
        <v>2</v>
      </c>
    </row>
    <row r="1720" spans="1:20" x14ac:dyDescent="0.2">
      <c r="A1720" t="s">
        <v>2018</v>
      </c>
      <c r="B1720">
        <f>IF(COUNTIFS('United Data'!$A$3:$A$3390,B$1,'United Data'!$C$3:$C$3390,$A1720)&gt;0,1,0)</f>
        <v>0</v>
      </c>
      <c r="C1720">
        <f>IF(COUNTIFS('United Data'!$A$3:$A$3390,C$1,'United Data'!$C$3:$C$3390,$A1720)&gt;0,1,0)</f>
        <v>0</v>
      </c>
      <c r="D1720">
        <f>IF(COUNTIFS('United Data'!$A$3:$A$3390,D$1,'United Data'!$C$3:$C$3390,$A1720)&gt;0,1,0)</f>
        <v>0</v>
      </c>
      <c r="E1720">
        <f>IF(COUNTIFS('United Data'!$A$3:$A$3390,E$1,'United Data'!$C$3:$C$3390,$A1720)&gt;0,1,0)</f>
        <v>0</v>
      </c>
      <c r="F1720">
        <f>IF(COUNTIFS('United Data'!$A$3:$A$3390,F$1,'United Data'!$C$3:$C$3390,$A1720)&gt;0,1,0)</f>
        <v>0</v>
      </c>
      <c r="G1720">
        <f>IF(COUNTIFS('United Data'!$A$3:$A$3390,G$1,'United Data'!$C$3:$C$3390,$A1720)&gt;0,1,0)</f>
        <v>0</v>
      </c>
      <c r="H1720">
        <f>IF(COUNTIFS('United Data'!$A$3:$A$3390,H$1,'United Data'!$C$3:$C$3390,$A1720)&gt;0,1,0)</f>
        <v>0</v>
      </c>
      <c r="I1720">
        <f>IF(COUNTIFS('United Data'!$A$3:$A$3390,I$1,'United Data'!$C$3:$C$3390,$A1720)&gt;0,1,0)</f>
        <v>0</v>
      </c>
      <c r="J1720">
        <f>IF(COUNTIFS('United Data'!$A$3:$A$3390,J$1,'United Data'!$C$3:$C$3390,$A1720)&gt;0,1,0)</f>
        <v>1</v>
      </c>
      <c r="K1720">
        <f>IF(COUNTIFS('United Data'!$A$3:$A$3390,K$1,'United Data'!$C$3:$C$3390,$A1720)&gt;0,1,0)</f>
        <v>0</v>
      </c>
      <c r="L1720">
        <f>IF(COUNTIFS('United Data'!$A$3:$A$3390,L$1,'United Data'!$C$3:$C$3390,$A1720)&gt;0,1,0)</f>
        <v>0</v>
      </c>
      <c r="M1720">
        <f>IF(COUNTIFS('United Data'!$A$3:$A$3390,M$1,'United Data'!$C$3:$C$3390,$A1720)&gt;0,1,0)</f>
        <v>0</v>
      </c>
      <c r="N1720">
        <f>IF(COUNTIFS('United Data'!$A$3:$A$3390,N$1,'United Data'!$C$3:$C$3390,$A1720)&gt;0,1,0)</f>
        <v>0</v>
      </c>
      <c r="O1720">
        <f>IF(COUNTIFS('United Data'!$A$3:$A$3390,O$1,'United Data'!$C$3:$C$3390,$A1720)&gt;0,1,0)</f>
        <v>0</v>
      </c>
      <c r="P1720">
        <f>IF(COUNTIFS('United Data'!$A$3:$A$3390,P$1,'United Data'!$C$3:$C$3390,$A1720)&gt;0,1,0)</f>
        <v>0</v>
      </c>
      <c r="Q1720">
        <f>IF(COUNTIFS('United Data'!$A$3:$A$3390,Q$1,'United Data'!$C$3:$C$3390,$A1720)&gt;0,1,0)</f>
        <v>0</v>
      </c>
      <c r="R1720">
        <f>IF(COUNTIFS('United Data'!$A$3:$A$3390,R$1,'United Data'!$C$3:$C$3390,$A1720)&gt;0,1,0)</f>
        <v>0</v>
      </c>
      <c r="S1720">
        <f t="shared" si="52"/>
        <v>1</v>
      </c>
      <c r="T1720">
        <f t="shared" si="53"/>
        <v>1</v>
      </c>
    </row>
    <row r="1721" spans="1:20" x14ac:dyDescent="0.2">
      <c r="A1721" t="s">
        <v>2019</v>
      </c>
      <c r="B1721">
        <f>IF(COUNTIFS('United Data'!$A$3:$A$3390,B$1,'United Data'!$C$3:$C$3390,$A1721)&gt;0,1,0)</f>
        <v>0</v>
      </c>
      <c r="C1721">
        <f>IF(COUNTIFS('United Data'!$A$3:$A$3390,C$1,'United Data'!$C$3:$C$3390,$A1721)&gt;0,1,0)</f>
        <v>0</v>
      </c>
      <c r="D1721">
        <f>IF(COUNTIFS('United Data'!$A$3:$A$3390,D$1,'United Data'!$C$3:$C$3390,$A1721)&gt;0,1,0)</f>
        <v>0</v>
      </c>
      <c r="E1721">
        <f>IF(COUNTIFS('United Data'!$A$3:$A$3390,E$1,'United Data'!$C$3:$C$3390,$A1721)&gt;0,1,0)</f>
        <v>0</v>
      </c>
      <c r="F1721">
        <f>IF(COUNTIFS('United Data'!$A$3:$A$3390,F$1,'United Data'!$C$3:$C$3390,$A1721)&gt;0,1,0)</f>
        <v>0</v>
      </c>
      <c r="G1721">
        <f>IF(COUNTIFS('United Data'!$A$3:$A$3390,G$1,'United Data'!$C$3:$C$3390,$A1721)&gt;0,1,0)</f>
        <v>0</v>
      </c>
      <c r="H1721">
        <f>IF(COUNTIFS('United Data'!$A$3:$A$3390,H$1,'United Data'!$C$3:$C$3390,$A1721)&gt;0,1,0)</f>
        <v>0</v>
      </c>
      <c r="I1721">
        <f>IF(COUNTIFS('United Data'!$A$3:$A$3390,I$1,'United Data'!$C$3:$C$3390,$A1721)&gt;0,1,0)</f>
        <v>0</v>
      </c>
      <c r="J1721">
        <f>IF(COUNTIFS('United Data'!$A$3:$A$3390,J$1,'United Data'!$C$3:$C$3390,$A1721)&gt;0,1,0)</f>
        <v>1</v>
      </c>
      <c r="K1721">
        <f>IF(COUNTIFS('United Data'!$A$3:$A$3390,K$1,'United Data'!$C$3:$C$3390,$A1721)&gt;0,1,0)</f>
        <v>0</v>
      </c>
      <c r="L1721">
        <f>IF(COUNTIFS('United Data'!$A$3:$A$3390,L$1,'United Data'!$C$3:$C$3390,$A1721)&gt;0,1,0)</f>
        <v>1</v>
      </c>
      <c r="M1721">
        <f>IF(COUNTIFS('United Data'!$A$3:$A$3390,M$1,'United Data'!$C$3:$C$3390,$A1721)&gt;0,1,0)</f>
        <v>1</v>
      </c>
      <c r="N1721">
        <f>IF(COUNTIFS('United Data'!$A$3:$A$3390,N$1,'United Data'!$C$3:$C$3390,$A1721)&gt;0,1,0)</f>
        <v>0</v>
      </c>
      <c r="O1721">
        <f>IF(COUNTIFS('United Data'!$A$3:$A$3390,O$1,'United Data'!$C$3:$C$3390,$A1721)&gt;0,1,0)</f>
        <v>1</v>
      </c>
      <c r="P1721">
        <f>IF(COUNTIFS('United Data'!$A$3:$A$3390,P$1,'United Data'!$C$3:$C$3390,$A1721)&gt;0,1,0)</f>
        <v>0</v>
      </c>
      <c r="Q1721">
        <f>IF(COUNTIFS('United Data'!$A$3:$A$3390,Q$1,'United Data'!$C$3:$C$3390,$A1721)&gt;0,1,0)</f>
        <v>0</v>
      </c>
      <c r="R1721">
        <f>IF(COUNTIFS('United Data'!$A$3:$A$3390,R$1,'United Data'!$C$3:$C$3390,$A1721)&gt;0,1,0)</f>
        <v>1</v>
      </c>
      <c r="S1721">
        <f t="shared" si="52"/>
        <v>5</v>
      </c>
      <c r="T1721">
        <f t="shared" si="53"/>
        <v>4</v>
      </c>
    </row>
    <row r="1722" spans="1:20" x14ac:dyDescent="0.2">
      <c r="A1722" t="s">
        <v>2020</v>
      </c>
      <c r="B1722">
        <f>IF(COUNTIFS('United Data'!$A$3:$A$3390,B$1,'United Data'!$C$3:$C$3390,$A1722)&gt;0,1,0)</f>
        <v>0</v>
      </c>
      <c r="C1722">
        <f>IF(COUNTIFS('United Data'!$A$3:$A$3390,C$1,'United Data'!$C$3:$C$3390,$A1722)&gt;0,1,0)</f>
        <v>0</v>
      </c>
      <c r="D1722">
        <f>IF(COUNTIFS('United Data'!$A$3:$A$3390,D$1,'United Data'!$C$3:$C$3390,$A1722)&gt;0,1,0)</f>
        <v>0</v>
      </c>
      <c r="E1722">
        <f>IF(COUNTIFS('United Data'!$A$3:$A$3390,E$1,'United Data'!$C$3:$C$3390,$A1722)&gt;0,1,0)</f>
        <v>0</v>
      </c>
      <c r="F1722">
        <f>IF(COUNTIFS('United Data'!$A$3:$A$3390,F$1,'United Data'!$C$3:$C$3390,$A1722)&gt;0,1,0)</f>
        <v>0</v>
      </c>
      <c r="G1722">
        <f>IF(COUNTIFS('United Data'!$A$3:$A$3390,G$1,'United Data'!$C$3:$C$3390,$A1722)&gt;0,1,0)</f>
        <v>0</v>
      </c>
      <c r="H1722">
        <f>IF(COUNTIFS('United Data'!$A$3:$A$3390,H$1,'United Data'!$C$3:$C$3390,$A1722)&gt;0,1,0)</f>
        <v>0</v>
      </c>
      <c r="I1722">
        <f>IF(COUNTIFS('United Data'!$A$3:$A$3390,I$1,'United Data'!$C$3:$C$3390,$A1722)&gt;0,1,0)</f>
        <v>0</v>
      </c>
      <c r="J1722">
        <f>IF(COUNTIFS('United Data'!$A$3:$A$3390,J$1,'United Data'!$C$3:$C$3390,$A1722)&gt;0,1,0)</f>
        <v>1</v>
      </c>
      <c r="K1722">
        <f>IF(COUNTIFS('United Data'!$A$3:$A$3390,K$1,'United Data'!$C$3:$C$3390,$A1722)&gt;0,1,0)</f>
        <v>0</v>
      </c>
      <c r="L1722">
        <f>IF(COUNTIFS('United Data'!$A$3:$A$3390,L$1,'United Data'!$C$3:$C$3390,$A1722)&gt;0,1,0)</f>
        <v>0</v>
      </c>
      <c r="M1722">
        <f>IF(COUNTIFS('United Data'!$A$3:$A$3390,M$1,'United Data'!$C$3:$C$3390,$A1722)&gt;0,1,0)</f>
        <v>0</v>
      </c>
      <c r="N1722">
        <f>IF(COUNTIFS('United Data'!$A$3:$A$3390,N$1,'United Data'!$C$3:$C$3390,$A1722)&gt;0,1,0)</f>
        <v>0</v>
      </c>
      <c r="O1722">
        <f>IF(COUNTIFS('United Data'!$A$3:$A$3390,O$1,'United Data'!$C$3:$C$3390,$A1722)&gt;0,1,0)</f>
        <v>0</v>
      </c>
      <c r="P1722">
        <f>IF(COUNTIFS('United Data'!$A$3:$A$3390,P$1,'United Data'!$C$3:$C$3390,$A1722)&gt;0,1,0)</f>
        <v>0</v>
      </c>
      <c r="Q1722">
        <f>IF(COUNTIFS('United Data'!$A$3:$A$3390,Q$1,'United Data'!$C$3:$C$3390,$A1722)&gt;0,1,0)</f>
        <v>0</v>
      </c>
      <c r="R1722">
        <f>IF(COUNTIFS('United Data'!$A$3:$A$3390,R$1,'United Data'!$C$3:$C$3390,$A1722)&gt;0,1,0)</f>
        <v>0</v>
      </c>
      <c r="S1722">
        <f t="shared" si="52"/>
        <v>1</v>
      </c>
      <c r="T1722">
        <f t="shared" si="53"/>
        <v>1</v>
      </c>
    </row>
    <row r="1723" spans="1:20" x14ac:dyDescent="0.2">
      <c r="A1723" t="s">
        <v>2021</v>
      </c>
      <c r="B1723">
        <f>IF(COUNTIFS('United Data'!$A$3:$A$3390,B$1,'United Data'!$C$3:$C$3390,$A1723)&gt;0,1,0)</f>
        <v>0</v>
      </c>
      <c r="C1723">
        <f>IF(COUNTIFS('United Data'!$A$3:$A$3390,C$1,'United Data'!$C$3:$C$3390,$A1723)&gt;0,1,0)</f>
        <v>0</v>
      </c>
      <c r="D1723">
        <f>IF(COUNTIFS('United Data'!$A$3:$A$3390,D$1,'United Data'!$C$3:$C$3390,$A1723)&gt;0,1,0)</f>
        <v>0</v>
      </c>
      <c r="E1723">
        <f>IF(COUNTIFS('United Data'!$A$3:$A$3390,E$1,'United Data'!$C$3:$C$3390,$A1723)&gt;0,1,0)</f>
        <v>0</v>
      </c>
      <c r="F1723">
        <f>IF(COUNTIFS('United Data'!$A$3:$A$3390,F$1,'United Data'!$C$3:$C$3390,$A1723)&gt;0,1,0)</f>
        <v>0</v>
      </c>
      <c r="G1723">
        <f>IF(COUNTIFS('United Data'!$A$3:$A$3390,G$1,'United Data'!$C$3:$C$3390,$A1723)&gt;0,1,0)</f>
        <v>0</v>
      </c>
      <c r="H1723">
        <f>IF(COUNTIFS('United Data'!$A$3:$A$3390,H$1,'United Data'!$C$3:$C$3390,$A1723)&gt;0,1,0)</f>
        <v>0</v>
      </c>
      <c r="I1723">
        <f>IF(COUNTIFS('United Data'!$A$3:$A$3390,I$1,'United Data'!$C$3:$C$3390,$A1723)&gt;0,1,0)</f>
        <v>0</v>
      </c>
      <c r="J1723">
        <f>IF(COUNTIFS('United Data'!$A$3:$A$3390,J$1,'United Data'!$C$3:$C$3390,$A1723)&gt;0,1,0)</f>
        <v>1</v>
      </c>
      <c r="K1723">
        <f>IF(COUNTIFS('United Data'!$A$3:$A$3390,K$1,'United Data'!$C$3:$C$3390,$A1723)&gt;0,1,0)</f>
        <v>0</v>
      </c>
      <c r="L1723">
        <f>IF(COUNTIFS('United Data'!$A$3:$A$3390,L$1,'United Data'!$C$3:$C$3390,$A1723)&gt;0,1,0)</f>
        <v>0</v>
      </c>
      <c r="M1723">
        <f>IF(COUNTIFS('United Data'!$A$3:$A$3390,M$1,'United Data'!$C$3:$C$3390,$A1723)&gt;0,1,0)</f>
        <v>0</v>
      </c>
      <c r="N1723">
        <f>IF(COUNTIFS('United Data'!$A$3:$A$3390,N$1,'United Data'!$C$3:$C$3390,$A1723)&gt;0,1,0)</f>
        <v>0</v>
      </c>
      <c r="O1723">
        <f>IF(COUNTIFS('United Data'!$A$3:$A$3390,O$1,'United Data'!$C$3:$C$3390,$A1723)&gt;0,1,0)</f>
        <v>0</v>
      </c>
      <c r="P1723">
        <f>IF(COUNTIFS('United Data'!$A$3:$A$3390,P$1,'United Data'!$C$3:$C$3390,$A1723)&gt;0,1,0)</f>
        <v>0</v>
      </c>
      <c r="Q1723">
        <f>IF(COUNTIFS('United Data'!$A$3:$A$3390,Q$1,'United Data'!$C$3:$C$3390,$A1723)&gt;0,1,0)</f>
        <v>0</v>
      </c>
      <c r="R1723">
        <f>IF(COUNTIFS('United Data'!$A$3:$A$3390,R$1,'United Data'!$C$3:$C$3390,$A1723)&gt;0,1,0)</f>
        <v>0</v>
      </c>
      <c r="S1723">
        <f t="shared" si="52"/>
        <v>1</v>
      </c>
      <c r="T1723">
        <f t="shared" si="53"/>
        <v>1</v>
      </c>
    </row>
    <row r="1724" spans="1:20" x14ac:dyDescent="0.2">
      <c r="A1724" t="s">
        <v>2022</v>
      </c>
      <c r="B1724">
        <f>IF(COUNTIFS('United Data'!$A$3:$A$3390,B$1,'United Data'!$C$3:$C$3390,$A1724)&gt;0,1,0)</f>
        <v>0</v>
      </c>
      <c r="C1724">
        <f>IF(COUNTIFS('United Data'!$A$3:$A$3390,C$1,'United Data'!$C$3:$C$3390,$A1724)&gt;0,1,0)</f>
        <v>0</v>
      </c>
      <c r="D1724">
        <f>IF(COUNTIFS('United Data'!$A$3:$A$3390,D$1,'United Data'!$C$3:$C$3390,$A1724)&gt;0,1,0)</f>
        <v>0</v>
      </c>
      <c r="E1724">
        <f>IF(COUNTIFS('United Data'!$A$3:$A$3390,E$1,'United Data'!$C$3:$C$3390,$A1724)&gt;0,1,0)</f>
        <v>0</v>
      </c>
      <c r="F1724">
        <f>IF(COUNTIFS('United Data'!$A$3:$A$3390,F$1,'United Data'!$C$3:$C$3390,$A1724)&gt;0,1,0)</f>
        <v>0</v>
      </c>
      <c r="G1724">
        <f>IF(COUNTIFS('United Data'!$A$3:$A$3390,G$1,'United Data'!$C$3:$C$3390,$A1724)&gt;0,1,0)</f>
        <v>0</v>
      </c>
      <c r="H1724">
        <f>IF(COUNTIFS('United Data'!$A$3:$A$3390,H$1,'United Data'!$C$3:$C$3390,$A1724)&gt;0,1,0)</f>
        <v>0</v>
      </c>
      <c r="I1724">
        <f>IF(COUNTIFS('United Data'!$A$3:$A$3390,I$1,'United Data'!$C$3:$C$3390,$A1724)&gt;0,1,0)</f>
        <v>0</v>
      </c>
      <c r="J1724">
        <f>IF(COUNTIFS('United Data'!$A$3:$A$3390,J$1,'United Data'!$C$3:$C$3390,$A1724)&gt;0,1,0)</f>
        <v>1</v>
      </c>
      <c r="K1724">
        <f>IF(COUNTIFS('United Data'!$A$3:$A$3390,K$1,'United Data'!$C$3:$C$3390,$A1724)&gt;0,1,0)</f>
        <v>0</v>
      </c>
      <c r="L1724">
        <f>IF(COUNTIFS('United Data'!$A$3:$A$3390,L$1,'United Data'!$C$3:$C$3390,$A1724)&gt;0,1,0)</f>
        <v>0</v>
      </c>
      <c r="M1724">
        <f>IF(COUNTIFS('United Data'!$A$3:$A$3390,M$1,'United Data'!$C$3:$C$3390,$A1724)&gt;0,1,0)</f>
        <v>0</v>
      </c>
      <c r="N1724">
        <f>IF(COUNTIFS('United Data'!$A$3:$A$3390,N$1,'United Data'!$C$3:$C$3390,$A1724)&gt;0,1,0)</f>
        <v>0</v>
      </c>
      <c r="O1724">
        <f>IF(COUNTIFS('United Data'!$A$3:$A$3390,O$1,'United Data'!$C$3:$C$3390,$A1724)&gt;0,1,0)</f>
        <v>0</v>
      </c>
      <c r="P1724">
        <f>IF(COUNTIFS('United Data'!$A$3:$A$3390,P$1,'United Data'!$C$3:$C$3390,$A1724)&gt;0,1,0)</f>
        <v>0</v>
      </c>
      <c r="Q1724">
        <f>IF(COUNTIFS('United Data'!$A$3:$A$3390,Q$1,'United Data'!$C$3:$C$3390,$A1724)&gt;0,1,0)</f>
        <v>0</v>
      </c>
      <c r="R1724">
        <f>IF(COUNTIFS('United Data'!$A$3:$A$3390,R$1,'United Data'!$C$3:$C$3390,$A1724)&gt;0,1,0)</f>
        <v>0</v>
      </c>
      <c r="S1724">
        <f t="shared" si="52"/>
        <v>1</v>
      </c>
      <c r="T1724">
        <f t="shared" si="53"/>
        <v>1</v>
      </c>
    </row>
    <row r="1725" spans="1:20" x14ac:dyDescent="0.2">
      <c r="A1725" t="s">
        <v>2023</v>
      </c>
      <c r="B1725">
        <f>IF(COUNTIFS('United Data'!$A$3:$A$3390,B$1,'United Data'!$C$3:$C$3390,$A1725)&gt;0,1,0)</f>
        <v>0</v>
      </c>
      <c r="C1725">
        <f>IF(COUNTIFS('United Data'!$A$3:$A$3390,C$1,'United Data'!$C$3:$C$3390,$A1725)&gt;0,1,0)</f>
        <v>0</v>
      </c>
      <c r="D1725">
        <f>IF(COUNTIFS('United Data'!$A$3:$A$3390,D$1,'United Data'!$C$3:$C$3390,$A1725)&gt;0,1,0)</f>
        <v>0</v>
      </c>
      <c r="E1725">
        <f>IF(COUNTIFS('United Data'!$A$3:$A$3390,E$1,'United Data'!$C$3:$C$3390,$A1725)&gt;0,1,0)</f>
        <v>0</v>
      </c>
      <c r="F1725">
        <f>IF(COUNTIFS('United Data'!$A$3:$A$3390,F$1,'United Data'!$C$3:$C$3390,$A1725)&gt;0,1,0)</f>
        <v>0</v>
      </c>
      <c r="G1725">
        <f>IF(COUNTIFS('United Data'!$A$3:$A$3390,G$1,'United Data'!$C$3:$C$3390,$A1725)&gt;0,1,0)</f>
        <v>0</v>
      </c>
      <c r="H1725">
        <f>IF(COUNTIFS('United Data'!$A$3:$A$3390,H$1,'United Data'!$C$3:$C$3390,$A1725)&gt;0,1,0)</f>
        <v>0</v>
      </c>
      <c r="I1725">
        <f>IF(COUNTIFS('United Data'!$A$3:$A$3390,I$1,'United Data'!$C$3:$C$3390,$A1725)&gt;0,1,0)</f>
        <v>0</v>
      </c>
      <c r="J1725">
        <f>IF(COUNTIFS('United Data'!$A$3:$A$3390,J$1,'United Data'!$C$3:$C$3390,$A1725)&gt;0,1,0)</f>
        <v>1</v>
      </c>
      <c r="K1725">
        <f>IF(COUNTIFS('United Data'!$A$3:$A$3390,K$1,'United Data'!$C$3:$C$3390,$A1725)&gt;0,1,0)</f>
        <v>0</v>
      </c>
      <c r="L1725">
        <f>IF(COUNTIFS('United Data'!$A$3:$A$3390,L$1,'United Data'!$C$3:$C$3390,$A1725)&gt;0,1,0)</f>
        <v>0</v>
      </c>
      <c r="M1725">
        <f>IF(COUNTIFS('United Data'!$A$3:$A$3390,M$1,'United Data'!$C$3:$C$3390,$A1725)&gt;0,1,0)</f>
        <v>0</v>
      </c>
      <c r="N1725">
        <f>IF(COUNTIFS('United Data'!$A$3:$A$3390,N$1,'United Data'!$C$3:$C$3390,$A1725)&gt;0,1,0)</f>
        <v>0</v>
      </c>
      <c r="O1725">
        <f>IF(COUNTIFS('United Data'!$A$3:$A$3390,O$1,'United Data'!$C$3:$C$3390,$A1725)&gt;0,1,0)</f>
        <v>0</v>
      </c>
      <c r="P1725">
        <f>IF(COUNTIFS('United Data'!$A$3:$A$3390,P$1,'United Data'!$C$3:$C$3390,$A1725)&gt;0,1,0)</f>
        <v>0</v>
      </c>
      <c r="Q1725">
        <f>IF(COUNTIFS('United Data'!$A$3:$A$3390,Q$1,'United Data'!$C$3:$C$3390,$A1725)&gt;0,1,0)</f>
        <v>0</v>
      </c>
      <c r="R1725">
        <f>IF(COUNTIFS('United Data'!$A$3:$A$3390,R$1,'United Data'!$C$3:$C$3390,$A1725)&gt;0,1,0)</f>
        <v>0</v>
      </c>
      <c r="S1725">
        <f t="shared" si="52"/>
        <v>1</v>
      </c>
      <c r="T1725">
        <f t="shared" si="53"/>
        <v>1</v>
      </c>
    </row>
    <row r="1726" spans="1:20" x14ac:dyDescent="0.2">
      <c r="A1726" t="s">
        <v>2024</v>
      </c>
      <c r="B1726">
        <f>IF(COUNTIFS('United Data'!$A$3:$A$3390,B$1,'United Data'!$C$3:$C$3390,$A1726)&gt;0,1,0)</f>
        <v>0</v>
      </c>
      <c r="C1726">
        <f>IF(COUNTIFS('United Data'!$A$3:$A$3390,C$1,'United Data'!$C$3:$C$3390,$A1726)&gt;0,1,0)</f>
        <v>0</v>
      </c>
      <c r="D1726">
        <f>IF(COUNTIFS('United Data'!$A$3:$A$3390,D$1,'United Data'!$C$3:$C$3390,$A1726)&gt;0,1,0)</f>
        <v>0</v>
      </c>
      <c r="E1726">
        <f>IF(COUNTIFS('United Data'!$A$3:$A$3390,E$1,'United Data'!$C$3:$C$3390,$A1726)&gt;0,1,0)</f>
        <v>0</v>
      </c>
      <c r="F1726">
        <f>IF(COUNTIFS('United Data'!$A$3:$A$3390,F$1,'United Data'!$C$3:$C$3390,$A1726)&gt;0,1,0)</f>
        <v>0</v>
      </c>
      <c r="G1726">
        <f>IF(COUNTIFS('United Data'!$A$3:$A$3390,G$1,'United Data'!$C$3:$C$3390,$A1726)&gt;0,1,0)</f>
        <v>0</v>
      </c>
      <c r="H1726">
        <f>IF(COUNTIFS('United Data'!$A$3:$A$3390,H$1,'United Data'!$C$3:$C$3390,$A1726)&gt;0,1,0)</f>
        <v>0</v>
      </c>
      <c r="I1726">
        <f>IF(COUNTIFS('United Data'!$A$3:$A$3390,I$1,'United Data'!$C$3:$C$3390,$A1726)&gt;0,1,0)</f>
        <v>0</v>
      </c>
      <c r="J1726">
        <f>IF(COUNTIFS('United Data'!$A$3:$A$3390,J$1,'United Data'!$C$3:$C$3390,$A1726)&gt;0,1,0)</f>
        <v>0</v>
      </c>
      <c r="K1726">
        <f>IF(COUNTIFS('United Data'!$A$3:$A$3390,K$1,'United Data'!$C$3:$C$3390,$A1726)&gt;0,1,0)</f>
        <v>1</v>
      </c>
      <c r="L1726">
        <f>IF(COUNTIFS('United Data'!$A$3:$A$3390,L$1,'United Data'!$C$3:$C$3390,$A1726)&gt;0,1,0)</f>
        <v>0</v>
      </c>
      <c r="M1726">
        <f>IF(COUNTIFS('United Data'!$A$3:$A$3390,M$1,'United Data'!$C$3:$C$3390,$A1726)&gt;0,1,0)</f>
        <v>0</v>
      </c>
      <c r="N1726">
        <f>IF(COUNTIFS('United Data'!$A$3:$A$3390,N$1,'United Data'!$C$3:$C$3390,$A1726)&gt;0,1,0)</f>
        <v>0</v>
      </c>
      <c r="O1726">
        <f>IF(COUNTIFS('United Data'!$A$3:$A$3390,O$1,'United Data'!$C$3:$C$3390,$A1726)&gt;0,1,0)</f>
        <v>0</v>
      </c>
      <c r="P1726">
        <f>IF(COUNTIFS('United Data'!$A$3:$A$3390,P$1,'United Data'!$C$3:$C$3390,$A1726)&gt;0,1,0)</f>
        <v>0</v>
      </c>
      <c r="Q1726">
        <f>IF(COUNTIFS('United Data'!$A$3:$A$3390,Q$1,'United Data'!$C$3:$C$3390,$A1726)&gt;0,1,0)</f>
        <v>0</v>
      </c>
      <c r="R1726">
        <f>IF(COUNTIFS('United Data'!$A$3:$A$3390,R$1,'United Data'!$C$3:$C$3390,$A1726)&gt;0,1,0)</f>
        <v>0</v>
      </c>
      <c r="S1726">
        <f t="shared" si="52"/>
        <v>1</v>
      </c>
      <c r="T1726">
        <f t="shared" si="53"/>
        <v>1</v>
      </c>
    </row>
    <row r="1727" spans="1:20" x14ac:dyDescent="0.2">
      <c r="A1727" t="s">
        <v>2025</v>
      </c>
      <c r="B1727">
        <f>IF(COUNTIFS('United Data'!$A$3:$A$3390,B$1,'United Data'!$C$3:$C$3390,$A1727)&gt;0,1,0)</f>
        <v>0</v>
      </c>
      <c r="C1727">
        <f>IF(COUNTIFS('United Data'!$A$3:$A$3390,C$1,'United Data'!$C$3:$C$3390,$A1727)&gt;0,1,0)</f>
        <v>0</v>
      </c>
      <c r="D1727">
        <f>IF(COUNTIFS('United Data'!$A$3:$A$3390,D$1,'United Data'!$C$3:$C$3390,$A1727)&gt;0,1,0)</f>
        <v>0</v>
      </c>
      <c r="E1727">
        <f>IF(COUNTIFS('United Data'!$A$3:$A$3390,E$1,'United Data'!$C$3:$C$3390,$A1727)&gt;0,1,0)</f>
        <v>0</v>
      </c>
      <c r="F1727">
        <f>IF(COUNTIFS('United Data'!$A$3:$A$3390,F$1,'United Data'!$C$3:$C$3390,$A1727)&gt;0,1,0)</f>
        <v>0</v>
      </c>
      <c r="G1727">
        <f>IF(COUNTIFS('United Data'!$A$3:$A$3390,G$1,'United Data'!$C$3:$C$3390,$A1727)&gt;0,1,0)</f>
        <v>0</v>
      </c>
      <c r="H1727">
        <f>IF(COUNTIFS('United Data'!$A$3:$A$3390,H$1,'United Data'!$C$3:$C$3390,$A1727)&gt;0,1,0)</f>
        <v>0</v>
      </c>
      <c r="I1727">
        <f>IF(COUNTIFS('United Data'!$A$3:$A$3390,I$1,'United Data'!$C$3:$C$3390,$A1727)&gt;0,1,0)</f>
        <v>0</v>
      </c>
      <c r="J1727">
        <f>IF(COUNTIFS('United Data'!$A$3:$A$3390,J$1,'United Data'!$C$3:$C$3390,$A1727)&gt;0,1,0)</f>
        <v>0</v>
      </c>
      <c r="K1727">
        <f>IF(COUNTIFS('United Data'!$A$3:$A$3390,K$1,'United Data'!$C$3:$C$3390,$A1727)&gt;0,1,0)</f>
        <v>1</v>
      </c>
      <c r="L1727">
        <f>IF(COUNTIFS('United Data'!$A$3:$A$3390,L$1,'United Data'!$C$3:$C$3390,$A1727)&gt;0,1,0)</f>
        <v>0</v>
      </c>
      <c r="M1727">
        <f>IF(COUNTIFS('United Data'!$A$3:$A$3390,M$1,'United Data'!$C$3:$C$3390,$A1727)&gt;0,1,0)</f>
        <v>0</v>
      </c>
      <c r="N1727">
        <f>IF(COUNTIFS('United Data'!$A$3:$A$3390,N$1,'United Data'!$C$3:$C$3390,$A1727)&gt;0,1,0)</f>
        <v>0</v>
      </c>
      <c r="O1727">
        <f>IF(COUNTIFS('United Data'!$A$3:$A$3390,O$1,'United Data'!$C$3:$C$3390,$A1727)&gt;0,1,0)</f>
        <v>0</v>
      </c>
      <c r="P1727">
        <f>IF(COUNTIFS('United Data'!$A$3:$A$3390,P$1,'United Data'!$C$3:$C$3390,$A1727)&gt;0,1,0)</f>
        <v>0</v>
      </c>
      <c r="Q1727">
        <f>IF(COUNTIFS('United Data'!$A$3:$A$3390,Q$1,'United Data'!$C$3:$C$3390,$A1727)&gt;0,1,0)</f>
        <v>0</v>
      </c>
      <c r="R1727">
        <f>IF(COUNTIFS('United Data'!$A$3:$A$3390,R$1,'United Data'!$C$3:$C$3390,$A1727)&gt;0,1,0)</f>
        <v>0</v>
      </c>
      <c r="S1727">
        <f t="shared" si="52"/>
        <v>1</v>
      </c>
      <c r="T1727">
        <f t="shared" si="53"/>
        <v>1</v>
      </c>
    </row>
    <row r="1728" spans="1:20" x14ac:dyDescent="0.2">
      <c r="A1728" t="s">
        <v>2026</v>
      </c>
      <c r="B1728">
        <f>IF(COUNTIFS('United Data'!$A$3:$A$3390,B$1,'United Data'!$C$3:$C$3390,$A1728)&gt;0,1,0)</f>
        <v>0</v>
      </c>
      <c r="C1728">
        <f>IF(COUNTIFS('United Data'!$A$3:$A$3390,C$1,'United Data'!$C$3:$C$3390,$A1728)&gt;0,1,0)</f>
        <v>0</v>
      </c>
      <c r="D1728">
        <f>IF(COUNTIFS('United Data'!$A$3:$A$3390,D$1,'United Data'!$C$3:$C$3390,$A1728)&gt;0,1,0)</f>
        <v>0</v>
      </c>
      <c r="E1728">
        <f>IF(COUNTIFS('United Data'!$A$3:$A$3390,E$1,'United Data'!$C$3:$C$3390,$A1728)&gt;0,1,0)</f>
        <v>0</v>
      </c>
      <c r="F1728">
        <f>IF(COUNTIFS('United Data'!$A$3:$A$3390,F$1,'United Data'!$C$3:$C$3390,$A1728)&gt;0,1,0)</f>
        <v>0</v>
      </c>
      <c r="G1728">
        <f>IF(COUNTIFS('United Data'!$A$3:$A$3390,G$1,'United Data'!$C$3:$C$3390,$A1728)&gt;0,1,0)</f>
        <v>0</v>
      </c>
      <c r="H1728">
        <f>IF(COUNTIFS('United Data'!$A$3:$A$3390,H$1,'United Data'!$C$3:$C$3390,$A1728)&gt;0,1,0)</f>
        <v>0</v>
      </c>
      <c r="I1728">
        <f>IF(COUNTIFS('United Data'!$A$3:$A$3390,I$1,'United Data'!$C$3:$C$3390,$A1728)&gt;0,1,0)</f>
        <v>0</v>
      </c>
      <c r="J1728">
        <f>IF(COUNTIFS('United Data'!$A$3:$A$3390,J$1,'United Data'!$C$3:$C$3390,$A1728)&gt;0,1,0)</f>
        <v>0</v>
      </c>
      <c r="K1728">
        <f>IF(COUNTIFS('United Data'!$A$3:$A$3390,K$1,'United Data'!$C$3:$C$3390,$A1728)&gt;0,1,0)</f>
        <v>1</v>
      </c>
      <c r="L1728">
        <f>IF(COUNTIFS('United Data'!$A$3:$A$3390,L$1,'United Data'!$C$3:$C$3390,$A1728)&gt;0,1,0)</f>
        <v>1</v>
      </c>
      <c r="M1728">
        <f>IF(COUNTIFS('United Data'!$A$3:$A$3390,M$1,'United Data'!$C$3:$C$3390,$A1728)&gt;0,1,0)</f>
        <v>1</v>
      </c>
      <c r="N1728">
        <f>IF(COUNTIFS('United Data'!$A$3:$A$3390,N$1,'United Data'!$C$3:$C$3390,$A1728)&gt;0,1,0)</f>
        <v>1</v>
      </c>
      <c r="O1728">
        <f>IF(COUNTIFS('United Data'!$A$3:$A$3390,O$1,'United Data'!$C$3:$C$3390,$A1728)&gt;0,1,0)</f>
        <v>0</v>
      </c>
      <c r="P1728">
        <f>IF(COUNTIFS('United Data'!$A$3:$A$3390,P$1,'United Data'!$C$3:$C$3390,$A1728)&gt;0,1,0)</f>
        <v>0</v>
      </c>
      <c r="Q1728">
        <f>IF(COUNTIFS('United Data'!$A$3:$A$3390,Q$1,'United Data'!$C$3:$C$3390,$A1728)&gt;0,1,0)</f>
        <v>0</v>
      </c>
      <c r="R1728">
        <f>IF(COUNTIFS('United Data'!$A$3:$A$3390,R$1,'United Data'!$C$3:$C$3390,$A1728)&gt;0,1,0)</f>
        <v>0</v>
      </c>
      <c r="S1728">
        <f t="shared" si="52"/>
        <v>4</v>
      </c>
      <c r="T1728">
        <f t="shared" si="53"/>
        <v>1</v>
      </c>
    </row>
    <row r="1729" spans="1:20" x14ac:dyDescent="0.2">
      <c r="A1729" t="s">
        <v>2028</v>
      </c>
      <c r="B1729">
        <f>IF(COUNTIFS('United Data'!$A$3:$A$3390,B$1,'United Data'!$C$3:$C$3390,$A1729)&gt;0,1,0)</f>
        <v>0</v>
      </c>
      <c r="C1729">
        <f>IF(COUNTIFS('United Data'!$A$3:$A$3390,C$1,'United Data'!$C$3:$C$3390,$A1729)&gt;0,1,0)</f>
        <v>0</v>
      </c>
      <c r="D1729">
        <f>IF(COUNTIFS('United Data'!$A$3:$A$3390,D$1,'United Data'!$C$3:$C$3390,$A1729)&gt;0,1,0)</f>
        <v>0</v>
      </c>
      <c r="E1729">
        <f>IF(COUNTIFS('United Data'!$A$3:$A$3390,E$1,'United Data'!$C$3:$C$3390,$A1729)&gt;0,1,0)</f>
        <v>0</v>
      </c>
      <c r="F1729">
        <f>IF(COUNTIFS('United Data'!$A$3:$A$3390,F$1,'United Data'!$C$3:$C$3390,$A1729)&gt;0,1,0)</f>
        <v>0</v>
      </c>
      <c r="G1729">
        <f>IF(COUNTIFS('United Data'!$A$3:$A$3390,G$1,'United Data'!$C$3:$C$3390,$A1729)&gt;0,1,0)</f>
        <v>0</v>
      </c>
      <c r="H1729">
        <f>IF(COUNTIFS('United Data'!$A$3:$A$3390,H$1,'United Data'!$C$3:$C$3390,$A1729)&gt;0,1,0)</f>
        <v>0</v>
      </c>
      <c r="I1729">
        <f>IF(COUNTIFS('United Data'!$A$3:$A$3390,I$1,'United Data'!$C$3:$C$3390,$A1729)&gt;0,1,0)</f>
        <v>0</v>
      </c>
      <c r="J1729">
        <f>IF(COUNTIFS('United Data'!$A$3:$A$3390,J$1,'United Data'!$C$3:$C$3390,$A1729)&gt;0,1,0)</f>
        <v>0</v>
      </c>
      <c r="K1729">
        <f>IF(COUNTIFS('United Data'!$A$3:$A$3390,K$1,'United Data'!$C$3:$C$3390,$A1729)&gt;0,1,0)</f>
        <v>0</v>
      </c>
      <c r="L1729">
        <f>IF(COUNTIFS('United Data'!$A$3:$A$3390,L$1,'United Data'!$C$3:$C$3390,$A1729)&gt;0,1,0)</f>
        <v>1</v>
      </c>
      <c r="M1729">
        <f>IF(COUNTIFS('United Data'!$A$3:$A$3390,M$1,'United Data'!$C$3:$C$3390,$A1729)&gt;0,1,0)</f>
        <v>1</v>
      </c>
      <c r="N1729">
        <f>IF(COUNTIFS('United Data'!$A$3:$A$3390,N$1,'United Data'!$C$3:$C$3390,$A1729)&gt;0,1,0)</f>
        <v>1</v>
      </c>
      <c r="O1729">
        <f>IF(COUNTIFS('United Data'!$A$3:$A$3390,O$1,'United Data'!$C$3:$C$3390,$A1729)&gt;0,1,0)</f>
        <v>0</v>
      </c>
      <c r="P1729">
        <f>IF(COUNTIFS('United Data'!$A$3:$A$3390,P$1,'United Data'!$C$3:$C$3390,$A1729)&gt;0,1,0)</f>
        <v>1</v>
      </c>
      <c r="Q1729">
        <f>IF(COUNTIFS('United Data'!$A$3:$A$3390,Q$1,'United Data'!$C$3:$C$3390,$A1729)&gt;0,1,0)</f>
        <v>0</v>
      </c>
      <c r="R1729">
        <f>IF(COUNTIFS('United Data'!$A$3:$A$3390,R$1,'United Data'!$C$3:$C$3390,$A1729)&gt;0,1,0)</f>
        <v>1</v>
      </c>
      <c r="S1729">
        <f t="shared" si="52"/>
        <v>5</v>
      </c>
      <c r="T1729">
        <f t="shared" si="53"/>
        <v>3</v>
      </c>
    </row>
    <row r="1730" spans="1:20" x14ac:dyDescent="0.2">
      <c r="A1730" t="s">
        <v>2029</v>
      </c>
      <c r="B1730">
        <f>IF(COUNTIFS('United Data'!$A$3:$A$3390,B$1,'United Data'!$C$3:$C$3390,$A1730)&gt;0,1,0)</f>
        <v>0</v>
      </c>
      <c r="C1730">
        <f>IF(COUNTIFS('United Data'!$A$3:$A$3390,C$1,'United Data'!$C$3:$C$3390,$A1730)&gt;0,1,0)</f>
        <v>0</v>
      </c>
      <c r="D1730">
        <f>IF(COUNTIFS('United Data'!$A$3:$A$3390,D$1,'United Data'!$C$3:$C$3390,$A1730)&gt;0,1,0)</f>
        <v>0</v>
      </c>
      <c r="E1730">
        <f>IF(COUNTIFS('United Data'!$A$3:$A$3390,E$1,'United Data'!$C$3:$C$3390,$A1730)&gt;0,1,0)</f>
        <v>0</v>
      </c>
      <c r="F1730">
        <f>IF(COUNTIFS('United Data'!$A$3:$A$3390,F$1,'United Data'!$C$3:$C$3390,$A1730)&gt;0,1,0)</f>
        <v>0</v>
      </c>
      <c r="G1730">
        <f>IF(COUNTIFS('United Data'!$A$3:$A$3390,G$1,'United Data'!$C$3:$C$3390,$A1730)&gt;0,1,0)</f>
        <v>0</v>
      </c>
      <c r="H1730">
        <f>IF(COUNTIFS('United Data'!$A$3:$A$3390,H$1,'United Data'!$C$3:$C$3390,$A1730)&gt;0,1,0)</f>
        <v>0</v>
      </c>
      <c r="I1730">
        <f>IF(COUNTIFS('United Data'!$A$3:$A$3390,I$1,'United Data'!$C$3:$C$3390,$A1730)&gt;0,1,0)</f>
        <v>0</v>
      </c>
      <c r="J1730">
        <f>IF(COUNTIFS('United Data'!$A$3:$A$3390,J$1,'United Data'!$C$3:$C$3390,$A1730)&gt;0,1,0)</f>
        <v>0</v>
      </c>
      <c r="K1730">
        <f>IF(COUNTIFS('United Data'!$A$3:$A$3390,K$1,'United Data'!$C$3:$C$3390,$A1730)&gt;0,1,0)</f>
        <v>0</v>
      </c>
      <c r="L1730">
        <f>IF(COUNTIFS('United Data'!$A$3:$A$3390,L$1,'United Data'!$C$3:$C$3390,$A1730)&gt;0,1,0)</f>
        <v>1</v>
      </c>
      <c r="M1730">
        <f>IF(COUNTIFS('United Data'!$A$3:$A$3390,M$1,'United Data'!$C$3:$C$3390,$A1730)&gt;0,1,0)</f>
        <v>0</v>
      </c>
      <c r="N1730">
        <f>IF(COUNTIFS('United Data'!$A$3:$A$3390,N$1,'United Data'!$C$3:$C$3390,$A1730)&gt;0,1,0)</f>
        <v>0</v>
      </c>
      <c r="O1730">
        <f>IF(COUNTIFS('United Data'!$A$3:$A$3390,O$1,'United Data'!$C$3:$C$3390,$A1730)&gt;0,1,0)</f>
        <v>0</v>
      </c>
      <c r="P1730">
        <f>IF(COUNTIFS('United Data'!$A$3:$A$3390,P$1,'United Data'!$C$3:$C$3390,$A1730)&gt;0,1,0)</f>
        <v>0</v>
      </c>
      <c r="Q1730">
        <f>IF(COUNTIFS('United Data'!$A$3:$A$3390,Q$1,'United Data'!$C$3:$C$3390,$A1730)&gt;0,1,0)</f>
        <v>0</v>
      </c>
      <c r="R1730">
        <f>IF(COUNTIFS('United Data'!$A$3:$A$3390,R$1,'United Data'!$C$3:$C$3390,$A1730)&gt;0,1,0)</f>
        <v>0</v>
      </c>
      <c r="S1730">
        <f t="shared" ref="S1730:S1793" si="54">SUM(B1730:R1730)</f>
        <v>1</v>
      </c>
      <c r="T1730">
        <f t="shared" ref="T1730:T1743" si="55">B1730+SUMPRODUCT(--(C1730:R1730&gt;B1730:Q1730))</f>
        <v>1</v>
      </c>
    </row>
    <row r="1731" spans="1:20" x14ac:dyDescent="0.2">
      <c r="A1731" t="s">
        <v>2030</v>
      </c>
      <c r="B1731">
        <f>IF(COUNTIFS('United Data'!$A$3:$A$3390,B$1,'United Data'!$C$3:$C$3390,$A1731)&gt;0,1,0)</f>
        <v>0</v>
      </c>
      <c r="C1731">
        <f>IF(COUNTIFS('United Data'!$A$3:$A$3390,C$1,'United Data'!$C$3:$C$3390,$A1731)&gt;0,1,0)</f>
        <v>0</v>
      </c>
      <c r="D1731">
        <f>IF(COUNTIFS('United Data'!$A$3:$A$3390,D$1,'United Data'!$C$3:$C$3390,$A1731)&gt;0,1,0)</f>
        <v>0</v>
      </c>
      <c r="E1731">
        <f>IF(COUNTIFS('United Data'!$A$3:$A$3390,E$1,'United Data'!$C$3:$C$3390,$A1731)&gt;0,1,0)</f>
        <v>0</v>
      </c>
      <c r="F1731">
        <f>IF(COUNTIFS('United Data'!$A$3:$A$3390,F$1,'United Data'!$C$3:$C$3390,$A1731)&gt;0,1,0)</f>
        <v>0</v>
      </c>
      <c r="G1731">
        <f>IF(COUNTIFS('United Data'!$A$3:$A$3390,G$1,'United Data'!$C$3:$C$3390,$A1731)&gt;0,1,0)</f>
        <v>0</v>
      </c>
      <c r="H1731">
        <f>IF(COUNTIFS('United Data'!$A$3:$A$3390,H$1,'United Data'!$C$3:$C$3390,$A1731)&gt;0,1,0)</f>
        <v>0</v>
      </c>
      <c r="I1731">
        <f>IF(COUNTIFS('United Data'!$A$3:$A$3390,I$1,'United Data'!$C$3:$C$3390,$A1731)&gt;0,1,0)</f>
        <v>0</v>
      </c>
      <c r="J1731">
        <f>IF(COUNTIFS('United Data'!$A$3:$A$3390,J$1,'United Data'!$C$3:$C$3390,$A1731)&gt;0,1,0)</f>
        <v>0</v>
      </c>
      <c r="K1731">
        <f>IF(COUNTIFS('United Data'!$A$3:$A$3390,K$1,'United Data'!$C$3:$C$3390,$A1731)&gt;0,1,0)</f>
        <v>0</v>
      </c>
      <c r="L1731">
        <f>IF(COUNTIFS('United Data'!$A$3:$A$3390,L$1,'United Data'!$C$3:$C$3390,$A1731)&gt;0,1,0)</f>
        <v>0</v>
      </c>
      <c r="M1731">
        <f>IF(COUNTIFS('United Data'!$A$3:$A$3390,M$1,'United Data'!$C$3:$C$3390,$A1731)&gt;0,1,0)</f>
        <v>0</v>
      </c>
      <c r="N1731">
        <f>IF(COUNTIFS('United Data'!$A$3:$A$3390,N$1,'United Data'!$C$3:$C$3390,$A1731)&gt;0,1,0)</f>
        <v>1</v>
      </c>
      <c r="O1731">
        <f>IF(COUNTIFS('United Data'!$A$3:$A$3390,O$1,'United Data'!$C$3:$C$3390,$A1731)&gt;0,1,0)</f>
        <v>0</v>
      </c>
      <c r="P1731">
        <f>IF(COUNTIFS('United Data'!$A$3:$A$3390,P$1,'United Data'!$C$3:$C$3390,$A1731)&gt;0,1,0)</f>
        <v>0</v>
      </c>
      <c r="Q1731">
        <f>IF(COUNTIFS('United Data'!$A$3:$A$3390,Q$1,'United Data'!$C$3:$C$3390,$A1731)&gt;0,1,0)</f>
        <v>1</v>
      </c>
      <c r="R1731">
        <f>IF(COUNTIFS('United Data'!$A$3:$A$3390,R$1,'United Data'!$C$3:$C$3390,$A1731)&gt;0,1,0)</f>
        <v>0</v>
      </c>
      <c r="S1731">
        <f t="shared" si="54"/>
        <v>2</v>
      </c>
      <c r="T1731">
        <f t="shared" si="55"/>
        <v>2</v>
      </c>
    </row>
    <row r="1732" spans="1:20" x14ac:dyDescent="0.2">
      <c r="A1732" t="s">
        <v>2031</v>
      </c>
      <c r="B1732">
        <f>IF(COUNTIFS('United Data'!$A$3:$A$3390,B$1,'United Data'!$C$3:$C$3390,$A1732)&gt;0,1,0)</f>
        <v>0</v>
      </c>
      <c r="C1732">
        <f>IF(COUNTIFS('United Data'!$A$3:$A$3390,C$1,'United Data'!$C$3:$C$3390,$A1732)&gt;0,1,0)</f>
        <v>0</v>
      </c>
      <c r="D1732">
        <f>IF(COUNTIFS('United Data'!$A$3:$A$3390,D$1,'United Data'!$C$3:$C$3390,$A1732)&gt;0,1,0)</f>
        <v>0</v>
      </c>
      <c r="E1732">
        <f>IF(COUNTIFS('United Data'!$A$3:$A$3390,E$1,'United Data'!$C$3:$C$3390,$A1732)&gt;0,1,0)</f>
        <v>0</v>
      </c>
      <c r="F1732">
        <f>IF(COUNTIFS('United Data'!$A$3:$A$3390,F$1,'United Data'!$C$3:$C$3390,$A1732)&gt;0,1,0)</f>
        <v>0</v>
      </c>
      <c r="G1732">
        <f>IF(COUNTIFS('United Data'!$A$3:$A$3390,G$1,'United Data'!$C$3:$C$3390,$A1732)&gt;0,1,0)</f>
        <v>0</v>
      </c>
      <c r="H1732">
        <f>IF(COUNTIFS('United Data'!$A$3:$A$3390,H$1,'United Data'!$C$3:$C$3390,$A1732)&gt;0,1,0)</f>
        <v>0</v>
      </c>
      <c r="I1732">
        <f>IF(COUNTIFS('United Data'!$A$3:$A$3390,I$1,'United Data'!$C$3:$C$3390,$A1732)&gt;0,1,0)</f>
        <v>0</v>
      </c>
      <c r="J1732">
        <f>IF(COUNTIFS('United Data'!$A$3:$A$3390,J$1,'United Data'!$C$3:$C$3390,$A1732)&gt;0,1,0)</f>
        <v>0</v>
      </c>
      <c r="K1732">
        <f>IF(COUNTIFS('United Data'!$A$3:$A$3390,K$1,'United Data'!$C$3:$C$3390,$A1732)&gt;0,1,0)</f>
        <v>0</v>
      </c>
      <c r="L1732">
        <f>IF(COUNTIFS('United Data'!$A$3:$A$3390,L$1,'United Data'!$C$3:$C$3390,$A1732)&gt;0,1,0)</f>
        <v>0</v>
      </c>
      <c r="M1732">
        <f>IF(COUNTIFS('United Data'!$A$3:$A$3390,M$1,'United Data'!$C$3:$C$3390,$A1732)&gt;0,1,0)</f>
        <v>0</v>
      </c>
      <c r="N1732">
        <f>IF(COUNTIFS('United Data'!$A$3:$A$3390,N$1,'United Data'!$C$3:$C$3390,$A1732)&gt;0,1,0)</f>
        <v>1</v>
      </c>
      <c r="O1732">
        <f>IF(COUNTIFS('United Data'!$A$3:$A$3390,O$1,'United Data'!$C$3:$C$3390,$A1732)&gt;0,1,0)</f>
        <v>0</v>
      </c>
      <c r="P1732">
        <f>IF(COUNTIFS('United Data'!$A$3:$A$3390,P$1,'United Data'!$C$3:$C$3390,$A1732)&gt;0,1,0)</f>
        <v>0</v>
      </c>
      <c r="Q1732">
        <f>IF(COUNTIFS('United Data'!$A$3:$A$3390,Q$1,'United Data'!$C$3:$C$3390,$A1732)&gt;0,1,0)</f>
        <v>0</v>
      </c>
      <c r="R1732">
        <f>IF(COUNTIFS('United Data'!$A$3:$A$3390,R$1,'United Data'!$C$3:$C$3390,$A1732)&gt;0,1,0)</f>
        <v>0</v>
      </c>
      <c r="S1732">
        <f t="shared" si="54"/>
        <v>1</v>
      </c>
      <c r="T1732">
        <f t="shared" si="55"/>
        <v>1</v>
      </c>
    </row>
    <row r="1733" spans="1:20" x14ac:dyDescent="0.2">
      <c r="A1733" t="s">
        <v>2032</v>
      </c>
      <c r="B1733">
        <f>IF(COUNTIFS('United Data'!$A$3:$A$3390,B$1,'United Data'!$C$3:$C$3390,$A1733)&gt;0,1,0)</f>
        <v>0</v>
      </c>
      <c r="C1733">
        <f>IF(COUNTIFS('United Data'!$A$3:$A$3390,C$1,'United Data'!$C$3:$C$3390,$A1733)&gt;0,1,0)</f>
        <v>0</v>
      </c>
      <c r="D1733">
        <f>IF(COUNTIFS('United Data'!$A$3:$A$3390,D$1,'United Data'!$C$3:$C$3390,$A1733)&gt;0,1,0)</f>
        <v>0</v>
      </c>
      <c r="E1733">
        <f>IF(COUNTIFS('United Data'!$A$3:$A$3390,E$1,'United Data'!$C$3:$C$3390,$A1733)&gt;0,1,0)</f>
        <v>0</v>
      </c>
      <c r="F1733">
        <f>IF(COUNTIFS('United Data'!$A$3:$A$3390,F$1,'United Data'!$C$3:$C$3390,$A1733)&gt;0,1,0)</f>
        <v>0</v>
      </c>
      <c r="G1733">
        <f>IF(COUNTIFS('United Data'!$A$3:$A$3390,G$1,'United Data'!$C$3:$C$3390,$A1733)&gt;0,1,0)</f>
        <v>0</v>
      </c>
      <c r="H1733">
        <f>IF(COUNTIFS('United Data'!$A$3:$A$3390,H$1,'United Data'!$C$3:$C$3390,$A1733)&gt;0,1,0)</f>
        <v>0</v>
      </c>
      <c r="I1733">
        <f>IF(COUNTIFS('United Data'!$A$3:$A$3390,I$1,'United Data'!$C$3:$C$3390,$A1733)&gt;0,1,0)</f>
        <v>0</v>
      </c>
      <c r="J1733">
        <f>IF(COUNTIFS('United Data'!$A$3:$A$3390,J$1,'United Data'!$C$3:$C$3390,$A1733)&gt;0,1,0)</f>
        <v>0</v>
      </c>
      <c r="K1733">
        <f>IF(COUNTIFS('United Data'!$A$3:$A$3390,K$1,'United Data'!$C$3:$C$3390,$A1733)&gt;0,1,0)</f>
        <v>0</v>
      </c>
      <c r="L1733">
        <f>IF(COUNTIFS('United Data'!$A$3:$A$3390,L$1,'United Data'!$C$3:$C$3390,$A1733)&gt;0,1,0)</f>
        <v>0</v>
      </c>
      <c r="M1733">
        <f>IF(COUNTIFS('United Data'!$A$3:$A$3390,M$1,'United Data'!$C$3:$C$3390,$A1733)&gt;0,1,0)</f>
        <v>0</v>
      </c>
      <c r="N1733">
        <f>IF(COUNTIFS('United Data'!$A$3:$A$3390,N$1,'United Data'!$C$3:$C$3390,$A1733)&gt;0,1,0)</f>
        <v>1</v>
      </c>
      <c r="O1733">
        <f>IF(COUNTIFS('United Data'!$A$3:$A$3390,O$1,'United Data'!$C$3:$C$3390,$A1733)&gt;0,1,0)</f>
        <v>0</v>
      </c>
      <c r="P1733">
        <f>IF(COUNTIFS('United Data'!$A$3:$A$3390,P$1,'United Data'!$C$3:$C$3390,$A1733)&gt;0,1,0)</f>
        <v>0</v>
      </c>
      <c r="Q1733">
        <f>IF(COUNTIFS('United Data'!$A$3:$A$3390,Q$1,'United Data'!$C$3:$C$3390,$A1733)&gt;0,1,0)</f>
        <v>0</v>
      </c>
      <c r="R1733">
        <f>IF(COUNTIFS('United Data'!$A$3:$A$3390,R$1,'United Data'!$C$3:$C$3390,$A1733)&gt;0,1,0)</f>
        <v>0</v>
      </c>
      <c r="S1733">
        <f t="shared" si="54"/>
        <v>1</v>
      </c>
      <c r="T1733">
        <f t="shared" si="55"/>
        <v>1</v>
      </c>
    </row>
    <row r="1734" spans="1:20" x14ac:dyDescent="0.2">
      <c r="A1734" t="s">
        <v>2033</v>
      </c>
      <c r="B1734">
        <f>IF(COUNTIFS('United Data'!$A$3:$A$3390,B$1,'United Data'!$C$3:$C$3390,$A1734)&gt;0,1,0)</f>
        <v>0</v>
      </c>
      <c r="C1734">
        <f>IF(COUNTIFS('United Data'!$A$3:$A$3390,C$1,'United Data'!$C$3:$C$3390,$A1734)&gt;0,1,0)</f>
        <v>0</v>
      </c>
      <c r="D1734">
        <f>IF(COUNTIFS('United Data'!$A$3:$A$3390,D$1,'United Data'!$C$3:$C$3390,$A1734)&gt;0,1,0)</f>
        <v>0</v>
      </c>
      <c r="E1734">
        <f>IF(COUNTIFS('United Data'!$A$3:$A$3390,E$1,'United Data'!$C$3:$C$3390,$A1734)&gt;0,1,0)</f>
        <v>0</v>
      </c>
      <c r="F1734">
        <f>IF(COUNTIFS('United Data'!$A$3:$A$3390,F$1,'United Data'!$C$3:$C$3390,$A1734)&gt;0,1,0)</f>
        <v>0</v>
      </c>
      <c r="G1734">
        <f>IF(COUNTIFS('United Data'!$A$3:$A$3390,G$1,'United Data'!$C$3:$C$3390,$A1734)&gt;0,1,0)</f>
        <v>0</v>
      </c>
      <c r="H1734">
        <f>IF(COUNTIFS('United Data'!$A$3:$A$3390,H$1,'United Data'!$C$3:$C$3390,$A1734)&gt;0,1,0)</f>
        <v>0</v>
      </c>
      <c r="I1734">
        <f>IF(COUNTIFS('United Data'!$A$3:$A$3390,I$1,'United Data'!$C$3:$C$3390,$A1734)&gt;0,1,0)</f>
        <v>0</v>
      </c>
      <c r="J1734">
        <f>IF(COUNTIFS('United Data'!$A$3:$A$3390,J$1,'United Data'!$C$3:$C$3390,$A1734)&gt;0,1,0)</f>
        <v>0</v>
      </c>
      <c r="K1734">
        <f>IF(COUNTIFS('United Data'!$A$3:$A$3390,K$1,'United Data'!$C$3:$C$3390,$A1734)&gt;0,1,0)</f>
        <v>0</v>
      </c>
      <c r="L1734">
        <f>IF(COUNTIFS('United Data'!$A$3:$A$3390,L$1,'United Data'!$C$3:$C$3390,$A1734)&gt;0,1,0)</f>
        <v>0</v>
      </c>
      <c r="M1734">
        <f>IF(COUNTIFS('United Data'!$A$3:$A$3390,M$1,'United Data'!$C$3:$C$3390,$A1734)&gt;0,1,0)</f>
        <v>0</v>
      </c>
      <c r="N1734">
        <f>IF(COUNTIFS('United Data'!$A$3:$A$3390,N$1,'United Data'!$C$3:$C$3390,$A1734)&gt;0,1,0)</f>
        <v>1</v>
      </c>
      <c r="O1734">
        <f>IF(COUNTIFS('United Data'!$A$3:$A$3390,O$1,'United Data'!$C$3:$C$3390,$A1734)&gt;0,1,0)</f>
        <v>0</v>
      </c>
      <c r="P1734">
        <f>IF(COUNTIFS('United Data'!$A$3:$A$3390,P$1,'United Data'!$C$3:$C$3390,$A1734)&gt;0,1,0)</f>
        <v>0</v>
      </c>
      <c r="Q1734">
        <f>IF(COUNTIFS('United Data'!$A$3:$A$3390,Q$1,'United Data'!$C$3:$C$3390,$A1734)&gt;0,1,0)</f>
        <v>0</v>
      </c>
      <c r="R1734">
        <f>IF(COUNTIFS('United Data'!$A$3:$A$3390,R$1,'United Data'!$C$3:$C$3390,$A1734)&gt;0,1,0)</f>
        <v>0</v>
      </c>
      <c r="S1734">
        <f t="shared" si="54"/>
        <v>1</v>
      </c>
      <c r="T1734">
        <f t="shared" si="55"/>
        <v>1</v>
      </c>
    </row>
    <row r="1735" spans="1:20" x14ac:dyDescent="0.2">
      <c r="A1735" t="s">
        <v>2036</v>
      </c>
      <c r="B1735">
        <f>IF(COUNTIFS('United Data'!$A$3:$A$3390,B$1,'United Data'!$C$3:$C$3390,$A1735)&gt;0,1,0)</f>
        <v>0</v>
      </c>
      <c r="C1735">
        <f>IF(COUNTIFS('United Data'!$A$3:$A$3390,C$1,'United Data'!$C$3:$C$3390,$A1735)&gt;0,1,0)</f>
        <v>0</v>
      </c>
      <c r="D1735">
        <f>IF(COUNTIFS('United Data'!$A$3:$A$3390,D$1,'United Data'!$C$3:$C$3390,$A1735)&gt;0,1,0)</f>
        <v>0</v>
      </c>
      <c r="E1735">
        <f>IF(COUNTIFS('United Data'!$A$3:$A$3390,E$1,'United Data'!$C$3:$C$3390,$A1735)&gt;0,1,0)</f>
        <v>0</v>
      </c>
      <c r="F1735">
        <f>IF(COUNTIFS('United Data'!$A$3:$A$3390,F$1,'United Data'!$C$3:$C$3390,$A1735)&gt;0,1,0)</f>
        <v>0</v>
      </c>
      <c r="G1735">
        <f>IF(COUNTIFS('United Data'!$A$3:$A$3390,G$1,'United Data'!$C$3:$C$3390,$A1735)&gt;0,1,0)</f>
        <v>0</v>
      </c>
      <c r="H1735">
        <f>IF(COUNTIFS('United Data'!$A$3:$A$3390,H$1,'United Data'!$C$3:$C$3390,$A1735)&gt;0,1,0)</f>
        <v>0</v>
      </c>
      <c r="I1735">
        <f>IF(COUNTIFS('United Data'!$A$3:$A$3390,I$1,'United Data'!$C$3:$C$3390,$A1735)&gt;0,1,0)</f>
        <v>0</v>
      </c>
      <c r="J1735">
        <f>IF(COUNTIFS('United Data'!$A$3:$A$3390,J$1,'United Data'!$C$3:$C$3390,$A1735)&gt;0,1,0)</f>
        <v>0</v>
      </c>
      <c r="K1735">
        <f>IF(COUNTIFS('United Data'!$A$3:$A$3390,K$1,'United Data'!$C$3:$C$3390,$A1735)&gt;0,1,0)</f>
        <v>0</v>
      </c>
      <c r="L1735">
        <f>IF(COUNTIFS('United Data'!$A$3:$A$3390,L$1,'United Data'!$C$3:$C$3390,$A1735)&gt;0,1,0)</f>
        <v>0</v>
      </c>
      <c r="M1735">
        <f>IF(COUNTIFS('United Data'!$A$3:$A$3390,M$1,'United Data'!$C$3:$C$3390,$A1735)&gt;0,1,0)</f>
        <v>0</v>
      </c>
      <c r="N1735">
        <f>IF(COUNTIFS('United Data'!$A$3:$A$3390,N$1,'United Data'!$C$3:$C$3390,$A1735)&gt;0,1,0)</f>
        <v>1</v>
      </c>
      <c r="O1735">
        <f>IF(COUNTIFS('United Data'!$A$3:$A$3390,O$1,'United Data'!$C$3:$C$3390,$A1735)&gt;0,1,0)</f>
        <v>0</v>
      </c>
      <c r="P1735">
        <f>IF(COUNTIFS('United Data'!$A$3:$A$3390,P$1,'United Data'!$C$3:$C$3390,$A1735)&gt;0,1,0)</f>
        <v>0</v>
      </c>
      <c r="Q1735">
        <f>IF(COUNTIFS('United Data'!$A$3:$A$3390,Q$1,'United Data'!$C$3:$C$3390,$A1735)&gt;0,1,0)</f>
        <v>0</v>
      </c>
      <c r="R1735">
        <f>IF(COUNTIFS('United Data'!$A$3:$A$3390,R$1,'United Data'!$C$3:$C$3390,$A1735)&gt;0,1,0)</f>
        <v>0</v>
      </c>
      <c r="S1735">
        <f t="shared" si="54"/>
        <v>1</v>
      </c>
      <c r="T1735">
        <f t="shared" si="55"/>
        <v>1</v>
      </c>
    </row>
    <row r="1736" spans="1:20" x14ac:dyDescent="0.2">
      <c r="A1736" t="s">
        <v>2037</v>
      </c>
      <c r="B1736">
        <f>IF(COUNTIFS('United Data'!$A$3:$A$3390,B$1,'United Data'!$C$3:$C$3390,$A1736)&gt;0,1,0)</f>
        <v>0</v>
      </c>
      <c r="C1736">
        <f>IF(COUNTIFS('United Data'!$A$3:$A$3390,C$1,'United Data'!$C$3:$C$3390,$A1736)&gt;0,1,0)</f>
        <v>0</v>
      </c>
      <c r="D1736">
        <f>IF(COUNTIFS('United Data'!$A$3:$A$3390,D$1,'United Data'!$C$3:$C$3390,$A1736)&gt;0,1,0)</f>
        <v>0</v>
      </c>
      <c r="E1736">
        <f>IF(COUNTIFS('United Data'!$A$3:$A$3390,E$1,'United Data'!$C$3:$C$3390,$A1736)&gt;0,1,0)</f>
        <v>0</v>
      </c>
      <c r="F1736">
        <f>IF(COUNTIFS('United Data'!$A$3:$A$3390,F$1,'United Data'!$C$3:$C$3390,$A1736)&gt;0,1,0)</f>
        <v>0</v>
      </c>
      <c r="G1736">
        <f>IF(COUNTIFS('United Data'!$A$3:$A$3390,G$1,'United Data'!$C$3:$C$3390,$A1736)&gt;0,1,0)</f>
        <v>0</v>
      </c>
      <c r="H1736">
        <f>IF(COUNTIFS('United Data'!$A$3:$A$3390,H$1,'United Data'!$C$3:$C$3390,$A1736)&gt;0,1,0)</f>
        <v>0</v>
      </c>
      <c r="I1736">
        <f>IF(COUNTIFS('United Data'!$A$3:$A$3390,I$1,'United Data'!$C$3:$C$3390,$A1736)&gt;0,1,0)</f>
        <v>0</v>
      </c>
      <c r="J1736">
        <f>IF(COUNTIFS('United Data'!$A$3:$A$3390,J$1,'United Data'!$C$3:$C$3390,$A1736)&gt;0,1,0)</f>
        <v>0</v>
      </c>
      <c r="K1736">
        <f>IF(COUNTIFS('United Data'!$A$3:$A$3390,K$1,'United Data'!$C$3:$C$3390,$A1736)&gt;0,1,0)</f>
        <v>0</v>
      </c>
      <c r="L1736">
        <f>IF(COUNTIFS('United Data'!$A$3:$A$3390,L$1,'United Data'!$C$3:$C$3390,$A1736)&gt;0,1,0)</f>
        <v>0</v>
      </c>
      <c r="M1736">
        <f>IF(COUNTIFS('United Data'!$A$3:$A$3390,M$1,'United Data'!$C$3:$C$3390,$A1736)&gt;0,1,0)</f>
        <v>0</v>
      </c>
      <c r="N1736">
        <f>IF(COUNTIFS('United Data'!$A$3:$A$3390,N$1,'United Data'!$C$3:$C$3390,$A1736)&gt;0,1,0)</f>
        <v>1</v>
      </c>
      <c r="O1736">
        <f>IF(COUNTIFS('United Data'!$A$3:$A$3390,O$1,'United Data'!$C$3:$C$3390,$A1736)&gt;0,1,0)</f>
        <v>0</v>
      </c>
      <c r="P1736">
        <f>IF(COUNTIFS('United Data'!$A$3:$A$3390,P$1,'United Data'!$C$3:$C$3390,$A1736)&gt;0,1,0)</f>
        <v>0</v>
      </c>
      <c r="Q1736">
        <f>IF(COUNTIFS('United Data'!$A$3:$A$3390,Q$1,'United Data'!$C$3:$C$3390,$A1736)&gt;0,1,0)</f>
        <v>0</v>
      </c>
      <c r="R1736">
        <f>IF(COUNTIFS('United Data'!$A$3:$A$3390,R$1,'United Data'!$C$3:$C$3390,$A1736)&gt;0,1,0)</f>
        <v>0</v>
      </c>
      <c r="S1736">
        <f t="shared" si="54"/>
        <v>1</v>
      </c>
      <c r="T1736">
        <f t="shared" si="55"/>
        <v>1</v>
      </c>
    </row>
    <row r="1737" spans="1:20" x14ac:dyDescent="0.2">
      <c r="A1737" t="s">
        <v>2038</v>
      </c>
      <c r="B1737">
        <f>IF(COUNTIFS('United Data'!$A$3:$A$3390,B$1,'United Data'!$C$3:$C$3390,$A1737)&gt;0,1,0)</f>
        <v>0</v>
      </c>
      <c r="C1737">
        <f>IF(COUNTIFS('United Data'!$A$3:$A$3390,C$1,'United Data'!$C$3:$C$3390,$A1737)&gt;0,1,0)</f>
        <v>0</v>
      </c>
      <c r="D1737">
        <f>IF(COUNTIFS('United Data'!$A$3:$A$3390,D$1,'United Data'!$C$3:$C$3390,$A1737)&gt;0,1,0)</f>
        <v>0</v>
      </c>
      <c r="E1737">
        <f>IF(COUNTIFS('United Data'!$A$3:$A$3390,E$1,'United Data'!$C$3:$C$3390,$A1737)&gt;0,1,0)</f>
        <v>0</v>
      </c>
      <c r="F1737">
        <f>IF(COUNTIFS('United Data'!$A$3:$A$3390,F$1,'United Data'!$C$3:$C$3390,$A1737)&gt;0,1,0)</f>
        <v>0</v>
      </c>
      <c r="G1737">
        <f>IF(COUNTIFS('United Data'!$A$3:$A$3390,G$1,'United Data'!$C$3:$C$3390,$A1737)&gt;0,1,0)</f>
        <v>0</v>
      </c>
      <c r="H1737">
        <f>IF(COUNTIFS('United Data'!$A$3:$A$3390,H$1,'United Data'!$C$3:$C$3390,$A1737)&gt;0,1,0)</f>
        <v>0</v>
      </c>
      <c r="I1737">
        <f>IF(COUNTIFS('United Data'!$A$3:$A$3390,I$1,'United Data'!$C$3:$C$3390,$A1737)&gt;0,1,0)</f>
        <v>0</v>
      </c>
      <c r="J1737">
        <f>IF(COUNTIFS('United Data'!$A$3:$A$3390,J$1,'United Data'!$C$3:$C$3390,$A1737)&gt;0,1,0)</f>
        <v>0</v>
      </c>
      <c r="K1737">
        <f>IF(COUNTIFS('United Data'!$A$3:$A$3390,K$1,'United Data'!$C$3:$C$3390,$A1737)&gt;0,1,0)</f>
        <v>0</v>
      </c>
      <c r="L1737">
        <f>IF(COUNTIFS('United Data'!$A$3:$A$3390,L$1,'United Data'!$C$3:$C$3390,$A1737)&gt;0,1,0)</f>
        <v>0</v>
      </c>
      <c r="M1737">
        <f>IF(COUNTIFS('United Data'!$A$3:$A$3390,M$1,'United Data'!$C$3:$C$3390,$A1737)&gt;0,1,0)</f>
        <v>0</v>
      </c>
      <c r="N1737">
        <f>IF(COUNTIFS('United Data'!$A$3:$A$3390,N$1,'United Data'!$C$3:$C$3390,$A1737)&gt;0,1,0)</f>
        <v>1</v>
      </c>
      <c r="O1737">
        <f>IF(COUNTIFS('United Data'!$A$3:$A$3390,O$1,'United Data'!$C$3:$C$3390,$A1737)&gt;0,1,0)</f>
        <v>0</v>
      </c>
      <c r="P1737">
        <f>IF(COUNTIFS('United Data'!$A$3:$A$3390,P$1,'United Data'!$C$3:$C$3390,$A1737)&gt;0,1,0)</f>
        <v>0</v>
      </c>
      <c r="Q1737">
        <f>IF(COUNTIFS('United Data'!$A$3:$A$3390,Q$1,'United Data'!$C$3:$C$3390,$A1737)&gt;0,1,0)</f>
        <v>0</v>
      </c>
      <c r="R1737">
        <f>IF(COUNTIFS('United Data'!$A$3:$A$3390,R$1,'United Data'!$C$3:$C$3390,$A1737)&gt;0,1,0)</f>
        <v>0</v>
      </c>
      <c r="S1737">
        <f t="shared" si="54"/>
        <v>1</v>
      </c>
      <c r="T1737">
        <f t="shared" si="55"/>
        <v>1</v>
      </c>
    </row>
    <row r="1738" spans="1:20" x14ac:dyDescent="0.2">
      <c r="A1738" t="s">
        <v>2039</v>
      </c>
      <c r="B1738">
        <f>IF(COUNTIFS('United Data'!$A$3:$A$3390,B$1,'United Data'!$C$3:$C$3390,$A1738)&gt;0,1,0)</f>
        <v>0</v>
      </c>
      <c r="C1738">
        <f>IF(COUNTIFS('United Data'!$A$3:$A$3390,C$1,'United Data'!$C$3:$C$3390,$A1738)&gt;0,1,0)</f>
        <v>0</v>
      </c>
      <c r="D1738">
        <f>IF(COUNTIFS('United Data'!$A$3:$A$3390,D$1,'United Data'!$C$3:$C$3390,$A1738)&gt;0,1,0)</f>
        <v>0</v>
      </c>
      <c r="E1738">
        <f>IF(COUNTIFS('United Data'!$A$3:$A$3390,E$1,'United Data'!$C$3:$C$3390,$A1738)&gt;0,1,0)</f>
        <v>0</v>
      </c>
      <c r="F1738">
        <f>IF(COUNTIFS('United Data'!$A$3:$A$3390,F$1,'United Data'!$C$3:$C$3390,$A1738)&gt;0,1,0)</f>
        <v>0</v>
      </c>
      <c r="G1738">
        <f>IF(COUNTIFS('United Data'!$A$3:$A$3390,G$1,'United Data'!$C$3:$C$3390,$A1738)&gt;0,1,0)</f>
        <v>0</v>
      </c>
      <c r="H1738">
        <f>IF(COUNTIFS('United Data'!$A$3:$A$3390,H$1,'United Data'!$C$3:$C$3390,$A1738)&gt;0,1,0)</f>
        <v>0</v>
      </c>
      <c r="I1738">
        <f>IF(COUNTIFS('United Data'!$A$3:$A$3390,I$1,'United Data'!$C$3:$C$3390,$A1738)&gt;0,1,0)</f>
        <v>0</v>
      </c>
      <c r="J1738">
        <f>IF(COUNTIFS('United Data'!$A$3:$A$3390,J$1,'United Data'!$C$3:$C$3390,$A1738)&gt;0,1,0)</f>
        <v>0</v>
      </c>
      <c r="K1738">
        <f>IF(COUNTIFS('United Data'!$A$3:$A$3390,K$1,'United Data'!$C$3:$C$3390,$A1738)&gt;0,1,0)</f>
        <v>0</v>
      </c>
      <c r="L1738">
        <f>IF(COUNTIFS('United Data'!$A$3:$A$3390,L$1,'United Data'!$C$3:$C$3390,$A1738)&gt;0,1,0)</f>
        <v>0</v>
      </c>
      <c r="M1738">
        <f>IF(COUNTIFS('United Data'!$A$3:$A$3390,M$1,'United Data'!$C$3:$C$3390,$A1738)&gt;0,1,0)</f>
        <v>0</v>
      </c>
      <c r="N1738">
        <f>IF(COUNTIFS('United Data'!$A$3:$A$3390,N$1,'United Data'!$C$3:$C$3390,$A1738)&gt;0,1,0)</f>
        <v>0</v>
      </c>
      <c r="O1738">
        <f>IF(COUNTIFS('United Data'!$A$3:$A$3390,O$1,'United Data'!$C$3:$C$3390,$A1738)&gt;0,1,0)</f>
        <v>1</v>
      </c>
      <c r="P1738">
        <f>IF(COUNTIFS('United Data'!$A$3:$A$3390,P$1,'United Data'!$C$3:$C$3390,$A1738)&gt;0,1,0)</f>
        <v>0</v>
      </c>
      <c r="Q1738">
        <f>IF(COUNTIFS('United Data'!$A$3:$A$3390,Q$1,'United Data'!$C$3:$C$3390,$A1738)&gt;0,1,0)</f>
        <v>0</v>
      </c>
      <c r="R1738">
        <f>IF(COUNTIFS('United Data'!$A$3:$A$3390,R$1,'United Data'!$C$3:$C$3390,$A1738)&gt;0,1,0)</f>
        <v>0</v>
      </c>
      <c r="S1738">
        <f t="shared" si="54"/>
        <v>1</v>
      </c>
      <c r="T1738">
        <f t="shared" si="55"/>
        <v>1</v>
      </c>
    </row>
    <row r="1739" spans="1:20" x14ac:dyDescent="0.2">
      <c r="A1739" t="s">
        <v>2040</v>
      </c>
      <c r="B1739">
        <f>IF(COUNTIFS('United Data'!$A$3:$A$3390,B$1,'United Data'!$C$3:$C$3390,$A1739)&gt;0,1,0)</f>
        <v>0</v>
      </c>
      <c r="C1739">
        <f>IF(COUNTIFS('United Data'!$A$3:$A$3390,C$1,'United Data'!$C$3:$C$3390,$A1739)&gt;0,1,0)</f>
        <v>0</v>
      </c>
      <c r="D1739">
        <f>IF(COUNTIFS('United Data'!$A$3:$A$3390,D$1,'United Data'!$C$3:$C$3390,$A1739)&gt;0,1,0)</f>
        <v>0</v>
      </c>
      <c r="E1739">
        <f>IF(COUNTIFS('United Data'!$A$3:$A$3390,E$1,'United Data'!$C$3:$C$3390,$A1739)&gt;0,1,0)</f>
        <v>0</v>
      </c>
      <c r="F1739">
        <f>IF(COUNTIFS('United Data'!$A$3:$A$3390,F$1,'United Data'!$C$3:$C$3390,$A1739)&gt;0,1,0)</f>
        <v>0</v>
      </c>
      <c r="G1739">
        <f>IF(COUNTIFS('United Data'!$A$3:$A$3390,G$1,'United Data'!$C$3:$C$3390,$A1739)&gt;0,1,0)</f>
        <v>0</v>
      </c>
      <c r="H1739">
        <f>IF(COUNTIFS('United Data'!$A$3:$A$3390,H$1,'United Data'!$C$3:$C$3390,$A1739)&gt;0,1,0)</f>
        <v>0</v>
      </c>
      <c r="I1739">
        <f>IF(COUNTIFS('United Data'!$A$3:$A$3390,I$1,'United Data'!$C$3:$C$3390,$A1739)&gt;0,1,0)</f>
        <v>0</v>
      </c>
      <c r="J1739">
        <f>IF(COUNTIFS('United Data'!$A$3:$A$3390,J$1,'United Data'!$C$3:$C$3390,$A1739)&gt;0,1,0)</f>
        <v>0</v>
      </c>
      <c r="K1739">
        <f>IF(COUNTIFS('United Data'!$A$3:$A$3390,K$1,'United Data'!$C$3:$C$3390,$A1739)&gt;0,1,0)</f>
        <v>0</v>
      </c>
      <c r="L1739">
        <f>IF(COUNTIFS('United Data'!$A$3:$A$3390,L$1,'United Data'!$C$3:$C$3390,$A1739)&gt;0,1,0)</f>
        <v>0</v>
      </c>
      <c r="M1739">
        <f>IF(COUNTIFS('United Data'!$A$3:$A$3390,M$1,'United Data'!$C$3:$C$3390,$A1739)&gt;0,1,0)</f>
        <v>0</v>
      </c>
      <c r="N1739">
        <f>IF(COUNTIFS('United Data'!$A$3:$A$3390,N$1,'United Data'!$C$3:$C$3390,$A1739)&gt;0,1,0)</f>
        <v>0</v>
      </c>
      <c r="O1739">
        <f>IF(COUNTIFS('United Data'!$A$3:$A$3390,O$1,'United Data'!$C$3:$C$3390,$A1739)&gt;0,1,0)</f>
        <v>1</v>
      </c>
      <c r="P1739">
        <f>IF(COUNTIFS('United Data'!$A$3:$A$3390,P$1,'United Data'!$C$3:$C$3390,$A1739)&gt;0,1,0)</f>
        <v>0</v>
      </c>
      <c r="Q1739">
        <f>IF(COUNTIFS('United Data'!$A$3:$A$3390,Q$1,'United Data'!$C$3:$C$3390,$A1739)&gt;0,1,0)</f>
        <v>0</v>
      </c>
      <c r="R1739">
        <f>IF(COUNTIFS('United Data'!$A$3:$A$3390,R$1,'United Data'!$C$3:$C$3390,$A1739)&gt;0,1,0)</f>
        <v>0</v>
      </c>
      <c r="S1739">
        <f t="shared" si="54"/>
        <v>1</v>
      </c>
      <c r="T1739">
        <f t="shared" si="55"/>
        <v>1</v>
      </c>
    </row>
    <row r="1740" spans="1:20" x14ac:dyDescent="0.2">
      <c r="A1740" t="s">
        <v>2041</v>
      </c>
      <c r="B1740">
        <f>IF(COUNTIFS('United Data'!$A$3:$A$3390,B$1,'United Data'!$C$3:$C$3390,$A1740)&gt;0,1,0)</f>
        <v>0</v>
      </c>
      <c r="C1740">
        <f>IF(COUNTIFS('United Data'!$A$3:$A$3390,C$1,'United Data'!$C$3:$C$3390,$A1740)&gt;0,1,0)</f>
        <v>0</v>
      </c>
      <c r="D1740">
        <f>IF(COUNTIFS('United Data'!$A$3:$A$3390,D$1,'United Data'!$C$3:$C$3390,$A1740)&gt;0,1,0)</f>
        <v>0</v>
      </c>
      <c r="E1740">
        <f>IF(COUNTIFS('United Data'!$A$3:$A$3390,E$1,'United Data'!$C$3:$C$3390,$A1740)&gt;0,1,0)</f>
        <v>0</v>
      </c>
      <c r="F1740">
        <f>IF(COUNTIFS('United Data'!$A$3:$A$3390,F$1,'United Data'!$C$3:$C$3390,$A1740)&gt;0,1,0)</f>
        <v>0</v>
      </c>
      <c r="G1740">
        <f>IF(COUNTIFS('United Data'!$A$3:$A$3390,G$1,'United Data'!$C$3:$C$3390,$A1740)&gt;0,1,0)</f>
        <v>0</v>
      </c>
      <c r="H1740">
        <f>IF(COUNTIFS('United Data'!$A$3:$A$3390,H$1,'United Data'!$C$3:$C$3390,$A1740)&gt;0,1,0)</f>
        <v>0</v>
      </c>
      <c r="I1740">
        <f>IF(COUNTIFS('United Data'!$A$3:$A$3390,I$1,'United Data'!$C$3:$C$3390,$A1740)&gt;0,1,0)</f>
        <v>0</v>
      </c>
      <c r="J1740">
        <f>IF(COUNTIFS('United Data'!$A$3:$A$3390,J$1,'United Data'!$C$3:$C$3390,$A1740)&gt;0,1,0)</f>
        <v>0</v>
      </c>
      <c r="K1740">
        <f>IF(COUNTIFS('United Data'!$A$3:$A$3390,K$1,'United Data'!$C$3:$C$3390,$A1740)&gt;0,1,0)</f>
        <v>0</v>
      </c>
      <c r="L1740">
        <f>IF(COUNTIFS('United Data'!$A$3:$A$3390,L$1,'United Data'!$C$3:$C$3390,$A1740)&gt;0,1,0)</f>
        <v>0</v>
      </c>
      <c r="M1740">
        <f>IF(COUNTIFS('United Data'!$A$3:$A$3390,M$1,'United Data'!$C$3:$C$3390,$A1740)&gt;0,1,0)</f>
        <v>0</v>
      </c>
      <c r="N1740">
        <f>IF(COUNTIFS('United Data'!$A$3:$A$3390,N$1,'United Data'!$C$3:$C$3390,$A1740)&gt;0,1,0)</f>
        <v>0</v>
      </c>
      <c r="O1740">
        <f>IF(COUNTIFS('United Data'!$A$3:$A$3390,O$1,'United Data'!$C$3:$C$3390,$A1740)&gt;0,1,0)</f>
        <v>1</v>
      </c>
      <c r="P1740">
        <f>IF(COUNTIFS('United Data'!$A$3:$A$3390,P$1,'United Data'!$C$3:$C$3390,$A1740)&gt;0,1,0)</f>
        <v>0</v>
      </c>
      <c r="Q1740">
        <f>IF(COUNTIFS('United Data'!$A$3:$A$3390,Q$1,'United Data'!$C$3:$C$3390,$A1740)&gt;0,1,0)</f>
        <v>0</v>
      </c>
      <c r="R1740">
        <f>IF(COUNTIFS('United Data'!$A$3:$A$3390,R$1,'United Data'!$C$3:$C$3390,$A1740)&gt;0,1,0)</f>
        <v>0</v>
      </c>
      <c r="S1740">
        <f t="shared" si="54"/>
        <v>1</v>
      </c>
      <c r="T1740">
        <f t="shared" si="55"/>
        <v>1</v>
      </c>
    </row>
    <row r="1741" spans="1:20" x14ac:dyDescent="0.2">
      <c r="A1741" t="s">
        <v>2042</v>
      </c>
      <c r="B1741">
        <f>IF(COUNTIFS('United Data'!$A$3:$A$3390,B$1,'United Data'!$C$3:$C$3390,$A1741)&gt;0,1,0)</f>
        <v>0</v>
      </c>
      <c r="C1741">
        <f>IF(COUNTIFS('United Data'!$A$3:$A$3390,C$1,'United Data'!$C$3:$C$3390,$A1741)&gt;0,1,0)</f>
        <v>0</v>
      </c>
      <c r="D1741">
        <f>IF(COUNTIFS('United Data'!$A$3:$A$3390,D$1,'United Data'!$C$3:$C$3390,$A1741)&gt;0,1,0)</f>
        <v>0</v>
      </c>
      <c r="E1741">
        <f>IF(COUNTIFS('United Data'!$A$3:$A$3390,E$1,'United Data'!$C$3:$C$3390,$A1741)&gt;0,1,0)</f>
        <v>0</v>
      </c>
      <c r="F1741">
        <f>IF(COUNTIFS('United Data'!$A$3:$A$3390,F$1,'United Data'!$C$3:$C$3390,$A1741)&gt;0,1,0)</f>
        <v>0</v>
      </c>
      <c r="G1741">
        <f>IF(COUNTIFS('United Data'!$A$3:$A$3390,G$1,'United Data'!$C$3:$C$3390,$A1741)&gt;0,1,0)</f>
        <v>0</v>
      </c>
      <c r="H1741">
        <f>IF(COUNTIFS('United Data'!$A$3:$A$3390,H$1,'United Data'!$C$3:$C$3390,$A1741)&gt;0,1,0)</f>
        <v>0</v>
      </c>
      <c r="I1741">
        <f>IF(COUNTIFS('United Data'!$A$3:$A$3390,I$1,'United Data'!$C$3:$C$3390,$A1741)&gt;0,1,0)</f>
        <v>0</v>
      </c>
      <c r="J1741">
        <f>IF(COUNTIFS('United Data'!$A$3:$A$3390,J$1,'United Data'!$C$3:$C$3390,$A1741)&gt;0,1,0)</f>
        <v>0</v>
      </c>
      <c r="K1741">
        <f>IF(COUNTIFS('United Data'!$A$3:$A$3390,K$1,'United Data'!$C$3:$C$3390,$A1741)&gt;0,1,0)</f>
        <v>0</v>
      </c>
      <c r="L1741">
        <f>IF(COUNTIFS('United Data'!$A$3:$A$3390,L$1,'United Data'!$C$3:$C$3390,$A1741)&gt;0,1,0)</f>
        <v>0</v>
      </c>
      <c r="M1741">
        <f>IF(COUNTIFS('United Data'!$A$3:$A$3390,M$1,'United Data'!$C$3:$C$3390,$A1741)&gt;0,1,0)</f>
        <v>0</v>
      </c>
      <c r="N1741">
        <f>IF(COUNTIFS('United Data'!$A$3:$A$3390,N$1,'United Data'!$C$3:$C$3390,$A1741)&gt;0,1,0)</f>
        <v>0</v>
      </c>
      <c r="O1741">
        <f>IF(COUNTIFS('United Data'!$A$3:$A$3390,O$1,'United Data'!$C$3:$C$3390,$A1741)&gt;0,1,0)</f>
        <v>1</v>
      </c>
      <c r="P1741">
        <f>IF(COUNTIFS('United Data'!$A$3:$A$3390,P$1,'United Data'!$C$3:$C$3390,$A1741)&gt;0,1,0)</f>
        <v>0</v>
      </c>
      <c r="Q1741">
        <f>IF(COUNTIFS('United Data'!$A$3:$A$3390,Q$1,'United Data'!$C$3:$C$3390,$A1741)&gt;0,1,0)</f>
        <v>0</v>
      </c>
      <c r="R1741">
        <f>IF(COUNTIFS('United Data'!$A$3:$A$3390,R$1,'United Data'!$C$3:$C$3390,$A1741)&gt;0,1,0)</f>
        <v>0</v>
      </c>
      <c r="S1741">
        <f t="shared" si="54"/>
        <v>1</v>
      </c>
      <c r="T1741">
        <f t="shared" si="55"/>
        <v>1</v>
      </c>
    </row>
    <row r="1742" spans="1:20" x14ac:dyDescent="0.2">
      <c r="A1742" t="s">
        <v>2046</v>
      </c>
      <c r="B1742">
        <f>IF(COUNTIFS('United Data'!$A$3:$A$3390,B$1,'United Data'!$C$3:$C$3390,$A1742)&gt;0,1,0)</f>
        <v>0</v>
      </c>
      <c r="C1742">
        <f>IF(COUNTIFS('United Data'!$A$3:$A$3390,C$1,'United Data'!$C$3:$C$3390,$A1742)&gt;0,1,0)</f>
        <v>0</v>
      </c>
      <c r="D1742">
        <f>IF(COUNTIFS('United Data'!$A$3:$A$3390,D$1,'United Data'!$C$3:$C$3390,$A1742)&gt;0,1,0)</f>
        <v>0</v>
      </c>
      <c r="E1742">
        <f>IF(COUNTIFS('United Data'!$A$3:$A$3390,E$1,'United Data'!$C$3:$C$3390,$A1742)&gt;0,1,0)</f>
        <v>0</v>
      </c>
      <c r="F1742">
        <f>IF(COUNTIFS('United Data'!$A$3:$A$3390,F$1,'United Data'!$C$3:$C$3390,$A1742)&gt;0,1,0)</f>
        <v>0</v>
      </c>
      <c r="G1742">
        <f>IF(COUNTIFS('United Data'!$A$3:$A$3390,G$1,'United Data'!$C$3:$C$3390,$A1742)&gt;0,1,0)</f>
        <v>0</v>
      </c>
      <c r="H1742">
        <f>IF(COUNTIFS('United Data'!$A$3:$A$3390,H$1,'United Data'!$C$3:$C$3390,$A1742)&gt;0,1,0)</f>
        <v>0</v>
      </c>
      <c r="I1742">
        <f>IF(COUNTIFS('United Data'!$A$3:$A$3390,I$1,'United Data'!$C$3:$C$3390,$A1742)&gt;0,1,0)</f>
        <v>0</v>
      </c>
      <c r="J1742">
        <f>IF(COUNTIFS('United Data'!$A$3:$A$3390,J$1,'United Data'!$C$3:$C$3390,$A1742)&gt;0,1,0)</f>
        <v>0</v>
      </c>
      <c r="K1742">
        <f>IF(COUNTIFS('United Data'!$A$3:$A$3390,K$1,'United Data'!$C$3:$C$3390,$A1742)&gt;0,1,0)</f>
        <v>0</v>
      </c>
      <c r="L1742">
        <f>IF(COUNTIFS('United Data'!$A$3:$A$3390,L$1,'United Data'!$C$3:$C$3390,$A1742)&gt;0,1,0)</f>
        <v>0</v>
      </c>
      <c r="M1742">
        <f>IF(COUNTIFS('United Data'!$A$3:$A$3390,M$1,'United Data'!$C$3:$C$3390,$A1742)&gt;0,1,0)</f>
        <v>0</v>
      </c>
      <c r="N1742">
        <f>IF(COUNTIFS('United Data'!$A$3:$A$3390,N$1,'United Data'!$C$3:$C$3390,$A1742)&gt;0,1,0)</f>
        <v>0</v>
      </c>
      <c r="O1742">
        <f>IF(COUNTIFS('United Data'!$A$3:$A$3390,O$1,'United Data'!$C$3:$C$3390,$A1742)&gt;0,1,0)</f>
        <v>0</v>
      </c>
      <c r="P1742">
        <f>IF(COUNTIFS('United Data'!$A$3:$A$3390,P$1,'United Data'!$C$3:$C$3390,$A1742)&gt;0,1,0)</f>
        <v>0</v>
      </c>
      <c r="Q1742">
        <f>IF(COUNTIFS('United Data'!$A$3:$A$3390,Q$1,'United Data'!$C$3:$C$3390,$A1742)&gt;0,1,0)</f>
        <v>0</v>
      </c>
      <c r="R1742">
        <f>IF(COUNTIFS('United Data'!$A$3:$A$3390,R$1,'United Data'!$C$3:$C$3390,$A1742)&gt;0,1,0)</f>
        <v>1</v>
      </c>
      <c r="S1742">
        <f t="shared" si="54"/>
        <v>1</v>
      </c>
      <c r="T1742">
        <f t="shared" si="55"/>
        <v>1</v>
      </c>
    </row>
    <row r="1743" spans="1:20" x14ac:dyDescent="0.2">
      <c r="A1743" t="s">
        <v>2048</v>
      </c>
      <c r="B1743">
        <f>IF(COUNTIFS('United Data'!$A$3:$A$3390,B$1,'United Data'!$C$3:$C$3390,$A1743)&gt;0,1,0)</f>
        <v>0</v>
      </c>
      <c r="C1743">
        <f>IF(COUNTIFS('United Data'!$A$3:$A$3390,C$1,'United Data'!$C$3:$C$3390,$A1743)&gt;0,1,0)</f>
        <v>0</v>
      </c>
      <c r="D1743">
        <f>IF(COUNTIFS('United Data'!$A$3:$A$3390,D$1,'United Data'!$C$3:$C$3390,$A1743)&gt;0,1,0)</f>
        <v>0</v>
      </c>
      <c r="E1743">
        <f>IF(COUNTIFS('United Data'!$A$3:$A$3390,E$1,'United Data'!$C$3:$C$3390,$A1743)&gt;0,1,0)</f>
        <v>0</v>
      </c>
      <c r="F1743">
        <f>IF(COUNTIFS('United Data'!$A$3:$A$3390,F$1,'United Data'!$C$3:$C$3390,$A1743)&gt;0,1,0)</f>
        <v>0</v>
      </c>
      <c r="G1743">
        <f>IF(COUNTIFS('United Data'!$A$3:$A$3390,G$1,'United Data'!$C$3:$C$3390,$A1743)&gt;0,1,0)</f>
        <v>0</v>
      </c>
      <c r="H1743">
        <f>IF(COUNTIFS('United Data'!$A$3:$A$3390,H$1,'United Data'!$C$3:$C$3390,$A1743)&gt;0,1,0)</f>
        <v>0</v>
      </c>
      <c r="I1743">
        <f>IF(COUNTIFS('United Data'!$A$3:$A$3390,I$1,'United Data'!$C$3:$C$3390,$A1743)&gt;0,1,0)</f>
        <v>0</v>
      </c>
      <c r="J1743">
        <f>IF(COUNTIFS('United Data'!$A$3:$A$3390,J$1,'United Data'!$C$3:$C$3390,$A1743)&gt;0,1,0)</f>
        <v>0</v>
      </c>
      <c r="K1743">
        <f>IF(COUNTIFS('United Data'!$A$3:$A$3390,K$1,'United Data'!$C$3:$C$3390,$A1743)&gt;0,1,0)</f>
        <v>0</v>
      </c>
      <c r="L1743">
        <f>IF(COUNTIFS('United Data'!$A$3:$A$3390,L$1,'United Data'!$C$3:$C$3390,$A1743)&gt;0,1,0)</f>
        <v>0</v>
      </c>
      <c r="M1743">
        <f>IF(COUNTIFS('United Data'!$A$3:$A$3390,M$1,'United Data'!$C$3:$C$3390,$A1743)&gt;0,1,0)</f>
        <v>0</v>
      </c>
      <c r="N1743">
        <f>IF(COUNTIFS('United Data'!$A$3:$A$3390,N$1,'United Data'!$C$3:$C$3390,$A1743)&gt;0,1,0)</f>
        <v>0</v>
      </c>
      <c r="O1743">
        <f>IF(COUNTIFS('United Data'!$A$3:$A$3390,O$1,'United Data'!$C$3:$C$3390,$A1743)&gt;0,1,0)</f>
        <v>0</v>
      </c>
      <c r="P1743">
        <f>IF(COUNTIFS('United Data'!$A$3:$A$3390,P$1,'United Data'!$C$3:$C$3390,$A1743)&gt;0,1,0)</f>
        <v>0</v>
      </c>
      <c r="Q1743">
        <f>IF(COUNTIFS('United Data'!$A$3:$A$3390,Q$1,'United Data'!$C$3:$C$3390,$A1743)&gt;0,1,0)</f>
        <v>0</v>
      </c>
      <c r="R1743">
        <f>IF(COUNTIFS('United Data'!$A$3:$A$3390,R$1,'United Data'!$C$3:$C$3390,$A1743)&gt;0,1,0)</f>
        <v>1</v>
      </c>
      <c r="S1743">
        <f t="shared" si="54"/>
        <v>1</v>
      </c>
      <c r="T1743">
        <f t="shared" si="55"/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T1675"/>
  <sheetViews>
    <sheetView workbookViewId="0"/>
  </sheetViews>
  <sheetFormatPr defaultRowHeight="12.75" x14ac:dyDescent="0.2"/>
  <sheetData>
    <row r="1" spans="1:20" ht="15" x14ac:dyDescent="0.25">
      <c r="A1" s="42" t="s">
        <v>8</v>
      </c>
      <c r="B1" s="42">
        <v>7</v>
      </c>
      <c r="C1" s="42">
        <v>8</v>
      </c>
      <c r="D1" s="42">
        <v>9</v>
      </c>
      <c r="E1" s="42">
        <v>10</v>
      </c>
      <c r="F1" s="42">
        <v>11</v>
      </c>
      <c r="G1" s="42">
        <v>12</v>
      </c>
      <c r="H1" s="42">
        <v>13</v>
      </c>
      <c r="I1" s="42">
        <v>14</v>
      </c>
      <c r="J1" s="42">
        <v>15</v>
      </c>
      <c r="K1" s="42">
        <v>16</v>
      </c>
      <c r="L1" s="42">
        <v>17</v>
      </c>
      <c r="M1" s="42">
        <v>18</v>
      </c>
      <c r="N1" s="42">
        <v>19</v>
      </c>
      <c r="O1" s="42">
        <v>20</v>
      </c>
      <c r="P1" s="42">
        <v>21</v>
      </c>
      <c r="Q1" s="42">
        <v>22</v>
      </c>
      <c r="R1" s="42">
        <v>23</v>
      </c>
      <c r="S1" s="42" t="s">
        <v>2082</v>
      </c>
      <c r="T1" s="42" t="s">
        <v>2071</v>
      </c>
    </row>
    <row r="2" spans="1:20" x14ac:dyDescent="0.2">
      <c r="A2" t="s">
        <v>23</v>
      </c>
      <c r="B2">
        <f>IF(COUNTIFS('United Data'!$A$3:$A$3390,B$1,'United Data'!$C$3:$C$3390,$A2,'United Data'!$B$3:$B$3390,"&lt;&gt;Off-street")&gt;0,1,0)</f>
        <v>0</v>
      </c>
      <c r="C2">
        <f>IF(COUNTIFS('United Data'!$A$3:$A$3390,C$1,'United Data'!$C$3:$C$3390,$A2,'United Data'!$B$3:$B$3390,"&lt;&gt;Off-street")&gt;0,1,0)</f>
        <v>1</v>
      </c>
      <c r="D2">
        <f>IF(COUNTIFS('United Data'!$A$3:$A$3390,D$1,'United Data'!$C$3:$C$3390,$A2,'United Data'!$B$3:$B$3390,"&lt;&gt;Off-street")&gt;0,1,0)</f>
        <v>0</v>
      </c>
      <c r="E2">
        <f>IF(COUNTIFS('United Data'!$A$3:$A$3390,E$1,'United Data'!$C$3:$C$3390,$A2,'United Data'!$B$3:$B$3390,"&lt;&gt;Off-street")&gt;0,1,0)</f>
        <v>0</v>
      </c>
      <c r="F2">
        <f>IF(COUNTIFS('United Data'!$A$3:$A$3390,F$1,'United Data'!$C$3:$C$3390,$A2,'United Data'!$B$3:$B$3390,"&lt;&gt;Off-street")&gt;0,1,0)</f>
        <v>0</v>
      </c>
      <c r="G2">
        <f>IF(COUNTIFS('United Data'!$A$3:$A$3390,G$1,'United Data'!$C$3:$C$3390,$A2,'United Data'!$B$3:$B$3390,"&lt;&gt;Off-street")&gt;0,1,0)</f>
        <v>0</v>
      </c>
      <c r="H2">
        <f>IF(COUNTIFS('United Data'!$A$3:$A$3390,H$1,'United Data'!$C$3:$C$3390,$A2,'United Data'!$B$3:$B$3390,"&lt;&gt;Off-street")&gt;0,1,0)</f>
        <v>0</v>
      </c>
      <c r="I2">
        <f>IF(COUNTIFS('United Data'!$A$3:$A$3390,I$1,'United Data'!$C$3:$C$3390,$A2,'United Data'!$B$3:$B$3390,"&lt;&gt;Off-street")&gt;0,1,0)</f>
        <v>0</v>
      </c>
      <c r="J2">
        <f>IF(COUNTIFS('United Data'!$A$3:$A$3390,J$1,'United Data'!$C$3:$C$3390,$A2,'United Data'!$B$3:$B$3390,"&lt;&gt;Off-street")&gt;0,1,0)</f>
        <v>0</v>
      </c>
      <c r="K2">
        <f>IF(COUNTIFS('United Data'!$A$3:$A$3390,K$1,'United Data'!$C$3:$C$3390,$A2,'United Data'!$B$3:$B$3390,"&lt;&gt;Off-street")&gt;0,1,0)</f>
        <v>0</v>
      </c>
      <c r="L2">
        <f>IF(COUNTIFS('United Data'!$A$3:$A$3390,L$1,'United Data'!$C$3:$C$3390,$A2,'United Data'!$B$3:$B$3390,"&lt;&gt;Off-street")&gt;0,1,0)</f>
        <v>0</v>
      </c>
      <c r="M2">
        <f>IF(COUNTIFS('United Data'!$A$3:$A$3390,M$1,'United Data'!$C$3:$C$3390,$A2,'United Data'!$B$3:$B$3390,"&lt;&gt;Off-street")&gt;0,1,0)</f>
        <v>0</v>
      </c>
      <c r="N2">
        <f>IF(COUNTIFS('United Data'!$A$3:$A$3390,N$1,'United Data'!$C$3:$C$3390,$A2,'United Data'!$B$3:$B$3390,"&lt;&gt;Off-street")&gt;0,1,0)</f>
        <v>0</v>
      </c>
      <c r="O2">
        <f>IF(COUNTIFS('United Data'!$A$3:$A$3390,O$1,'United Data'!$C$3:$C$3390,$A2,'United Data'!$B$3:$B$3390,"&lt;&gt;Off-street")&gt;0,1,0)</f>
        <v>0</v>
      </c>
      <c r="P2">
        <f>IF(COUNTIFS('United Data'!$A$3:$A$3390,P$1,'United Data'!$C$3:$C$3390,$A2,'United Data'!$B$3:$B$3390,"&lt;&gt;Off-street")&gt;0,1,0)</f>
        <v>0</v>
      </c>
      <c r="Q2">
        <f>IF(COUNTIFS('United Data'!$A$3:$A$3390,Q$1,'United Data'!$C$3:$C$3390,$A2,'United Data'!$B$3:$B$3390,"&lt;&gt;Off-street")&gt;0,1,0)</f>
        <v>0</v>
      </c>
      <c r="R2">
        <f>IF(COUNTIFS('United Data'!$A$3:$A$3390,R$1,'United Data'!$C$3:$C$3390,$A2,'United Data'!$B$3:$B$3390,"&lt;&gt;Off-street")&gt;0,1,0)</f>
        <v>0</v>
      </c>
      <c r="S2">
        <f t="shared" ref="S2:S65" si="0">SUM(B2:R2)</f>
        <v>1</v>
      </c>
      <c r="T2">
        <f t="shared" ref="T2:T65" si="1">B2+SUMPRODUCT(--(C2:R2&gt;B2:Q2))</f>
        <v>1</v>
      </c>
    </row>
    <row r="3" spans="1:20" x14ac:dyDescent="0.2">
      <c r="A3" t="s">
        <v>29</v>
      </c>
      <c r="B3">
        <f>IF(COUNTIFS('United Data'!$A$3:$A$3390,B$1,'United Data'!$C$3:$C$3390,$A3,'United Data'!$B$3:$B$3390,"&lt;&gt;Off-street")&gt;0,1,0)</f>
        <v>0</v>
      </c>
      <c r="C3">
        <f>IF(COUNTIFS('United Data'!$A$3:$A$3390,C$1,'United Data'!$C$3:$C$3390,$A3,'United Data'!$B$3:$B$3390,"&lt;&gt;Off-street")&gt;0,1,0)</f>
        <v>0</v>
      </c>
      <c r="D3">
        <f>IF(COUNTIFS('United Data'!$A$3:$A$3390,D$1,'United Data'!$C$3:$C$3390,$A3,'United Data'!$B$3:$B$3390,"&lt;&gt;Off-street")&gt;0,1,0)</f>
        <v>1</v>
      </c>
      <c r="E3">
        <f>IF(COUNTIFS('United Data'!$A$3:$A$3390,E$1,'United Data'!$C$3:$C$3390,$A3,'United Data'!$B$3:$B$3390,"&lt;&gt;Off-street")&gt;0,1,0)</f>
        <v>0</v>
      </c>
      <c r="F3">
        <f>IF(COUNTIFS('United Data'!$A$3:$A$3390,F$1,'United Data'!$C$3:$C$3390,$A3,'United Data'!$B$3:$B$3390,"&lt;&gt;Off-street")&gt;0,1,0)</f>
        <v>0</v>
      </c>
      <c r="G3">
        <f>IF(COUNTIFS('United Data'!$A$3:$A$3390,G$1,'United Data'!$C$3:$C$3390,$A3,'United Data'!$B$3:$B$3390,"&lt;&gt;Off-street")&gt;0,1,0)</f>
        <v>0</v>
      </c>
      <c r="H3">
        <f>IF(COUNTIFS('United Data'!$A$3:$A$3390,H$1,'United Data'!$C$3:$C$3390,$A3,'United Data'!$B$3:$B$3390,"&lt;&gt;Off-street")&gt;0,1,0)</f>
        <v>0</v>
      </c>
      <c r="I3">
        <f>IF(COUNTIFS('United Data'!$A$3:$A$3390,I$1,'United Data'!$C$3:$C$3390,$A3,'United Data'!$B$3:$B$3390,"&lt;&gt;Off-street")&gt;0,1,0)</f>
        <v>0</v>
      </c>
      <c r="J3">
        <f>IF(COUNTIFS('United Data'!$A$3:$A$3390,J$1,'United Data'!$C$3:$C$3390,$A3,'United Data'!$B$3:$B$3390,"&lt;&gt;Off-street")&gt;0,1,0)</f>
        <v>0</v>
      </c>
      <c r="K3">
        <f>IF(COUNTIFS('United Data'!$A$3:$A$3390,K$1,'United Data'!$C$3:$C$3390,$A3,'United Data'!$B$3:$B$3390,"&lt;&gt;Off-street")&gt;0,1,0)</f>
        <v>0</v>
      </c>
      <c r="L3">
        <f>IF(COUNTIFS('United Data'!$A$3:$A$3390,L$1,'United Data'!$C$3:$C$3390,$A3,'United Data'!$B$3:$B$3390,"&lt;&gt;Off-street")&gt;0,1,0)</f>
        <v>0</v>
      </c>
      <c r="M3">
        <f>IF(COUNTIFS('United Data'!$A$3:$A$3390,M$1,'United Data'!$C$3:$C$3390,$A3,'United Data'!$B$3:$B$3390,"&lt;&gt;Off-street")&gt;0,1,0)</f>
        <v>0</v>
      </c>
      <c r="N3">
        <f>IF(COUNTIFS('United Data'!$A$3:$A$3390,N$1,'United Data'!$C$3:$C$3390,$A3,'United Data'!$B$3:$B$3390,"&lt;&gt;Off-street")&gt;0,1,0)</f>
        <v>0</v>
      </c>
      <c r="O3">
        <f>IF(COUNTIFS('United Data'!$A$3:$A$3390,O$1,'United Data'!$C$3:$C$3390,$A3,'United Data'!$B$3:$B$3390,"&lt;&gt;Off-street")&gt;0,1,0)</f>
        <v>0</v>
      </c>
      <c r="P3">
        <f>IF(COUNTIFS('United Data'!$A$3:$A$3390,P$1,'United Data'!$C$3:$C$3390,$A3,'United Data'!$B$3:$B$3390,"&lt;&gt;Off-street")&gt;0,1,0)</f>
        <v>0</v>
      </c>
      <c r="Q3">
        <f>IF(COUNTIFS('United Data'!$A$3:$A$3390,Q$1,'United Data'!$C$3:$C$3390,$A3,'United Data'!$B$3:$B$3390,"&lt;&gt;Off-street")&gt;0,1,0)</f>
        <v>0</v>
      </c>
      <c r="R3">
        <f>IF(COUNTIFS('United Data'!$A$3:$A$3390,R$1,'United Data'!$C$3:$C$3390,$A3,'United Data'!$B$3:$B$3390,"&lt;&gt;Off-street")&gt;0,1,0)</f>
        <v>0</v>
      </c>
      <c r="S3">
        <f t="shared" si="0"/>
        <v>1</v>
      </c>
      <c r="T3">
        <f t="shared" si="1"/>
        <v>1</v>
      </c>
    </row>
    <row r="4" spans="1:20" x14ac:dyDescent="0.2">
      <c r="A4" t="s">
        <v>32</v>
      </c>
      <c r="B4">
        <f>IF(COUNTIFS('United Data'!$A$3:$A$3390,B$1,'United Data'!$C$3:$C$3390,$A4,'United Data'!$B$3:$B$3390,"&lt;&gt;Off-street")&gt;0,1,0)</f>
        <v>0</v>
      </c>
      <c r="C4">
        <f>IF(COUNTIFS('United Data'!$A$3:$A$3390,C$1,'United Data'!$C$3:$C$3390,$A4,'United Data'!$B$3:$B$3390,"&lt;&gt;Off-street")&gt;0,1,0)</f>
        <v>0</v>
      </c>
      <c r="D4">
        <f>IF(COUNTIFS('United Data'!$A$3:$A$3390,D$1,'United Data'!$C$3:$C$3390,$A4,'United Data'!$B$3:$B$3390,"&lt;&gt;Off-street")&gt;0,1,0)</f>
        <v>1</v>
      </c>
      <c r="E4">
        <f>IF(COUNTIFS('United Data'!$A$3:$A$3390,E$1,'United Data'!$C$3:$C$3390,$A4,'United Data'!$B$3:$B$3390,"&lt;&gt;Off-street")&gt;0,1,0)</f>
        <v>1</v>
      </c>
      <c r="F4">
        <f>IF(COUNTIFS('United Data'!$A$3:$A$3390,F$1,'United Data'!$C$3:$C$3390,$A4,'United Data'!$B$3:$B$3390,"&lt;&gt;Off-street")&gt;0,1,0)</f>
        <v>0</v>
      </c>
      <c r="G4">
        <f>IF(COUNTIFS('United Data'!$A$3:$A$3390,G$1,'United Data'!$C$3:$C$3390,$A4,'United Data'!$B$3:$B$3390,"&lt;&gt;Off-street")&gt;0,1,0)</f>
        <v>0</v>
      </c>
      <c r="H4">
        <f>IF(COUNTIFS('United Data'!$A$3:$A$3390,H$1,'United Data'!$C$3:$C$3390,$A4,'United Data'!$B$3:$B$3390,"&lt;&gt;Off-street")&gt;0,1,0)</f>
        <v>0</v>
      </c>
      <c r="I4">
        <f>IF(COUNTIFS('United Data'!$A$3:$A$3390,I$1,'United Data'!$C$3:$C$3390,$A4,'United Data'!$B$3:$B$3390,"&lt;&gt;Off-street")&gt;0,1,0)</f>
        <v>0</v>
      </c>
      <c r="J4">
        <f>IF(COUNTIFS('United Data'!$A$3:$A$3390,J$1,'United Data'!$C$3:$C$3390,$A4,'United Data'!$B$3:$B$3390,"&lt;&gt;Off-street")&gt;0,1,0)</f>
        <v>0</v>
      </c>
      <c r="K4">
        <f>IF(COUNTIFS('United Data'!$A$3:$A$3390,K$1,'United Data'!$C$3:$C$3390,$A4,'United Data'!$B$3:$B$3390,"&lt;&gt;Off-street")&gt;0,1,0)</f>
        <v>0</v>
      </c>
      <c r="L4">
        <f>IF(COUNTIFS('United Data'!$A$3:$A$3390,L$1,'United Data'!$C$3:$C$3390,$A4,'United Data'!$B$3:$B$3390,"&lt;&gt;Off-street")&gt;0,1,0)</f>
        <v>0</v>
      </c>
      <c r="M4">
        <f>IF(COUNTIFS('United Data'!$A$3:$A$3390,M$1,'United Data'!$C$3:$C$3390,$A4,'United Data'!$B$3:$B$3390,"&lt;&gt;Off-street")&gt;0,1,0)</f>
        <v>0</v>
      </c>
      <c r="N4">
        <f>IF(COUNTIFS('United Data'!$A$3:$A$3390,N$1,'United Data'!$C$3:$C$3390,$A4,'United Data'!$B$3:$B$3390,"&lt;&gt;Off-street")&gt;0,1,0)</f>
        <v>0</v>
      </c>
      <c r="O4">
        <f>IF(COUNTIFS('United Data'!$A$3:$A$3390,O$1,'United Data'!$C$3:$C$3390,$A4,'United Data'!$B$3:$B$3390,"&lt;&gt;Off-street")&gt;0,1,0)</f>
        <v>0</v>
      </c>
      <c r="P4">
        <f>IF(COUNTIFS('United Data'!$A$3:$A$3390,P$1,'United Data'!$C$3:$C$3390,$A4,'United Data'!$B$3:$B$3390,"&lt;&gt;Off-street")&gt;0,1,0)</f>
        <v>0</v>
      </c>
      <c r="Q4">
        <f>IF(COUNTIFS('United Data'!$A$3:$A$3390,Q$1,'United Data'!$C$3:$C$3390,$A4,'United Data'!$B$3:$B$3390,"&lt;&gt;Off-street")&gt;0,1,0)</f>
        <v>0</v>
      </c>
      <c r="R4">
        <f>IF(COUNTIFS('United Data'!$A$3:$A$3390,R$1,'United Data'!$C$3:$C$3390,$A4,'United Data'!$B$3:$B$3390,"&lt;&gt;Off-street")&gt;0,1,0)</f>
        <v>0</v>
      </c>
      <c r="S4">
        <f t="shared" si="0"/>
        <v>2</v>
      </c>
      <c r="T4">
        <f t="shared" si="1"/>
        <v>1</v>
      </c>
    </row>
    <row r="5" spans="1:20" x14ac:dyDescent="0.2">
      <c r="A5" t="s">
        <v>34</v>
      </c>
      <c r="B5">
        <f>IF(COUNTIFS('United Data'!$A$3:$A$3390,B$1,'United Data'!$C$3:$C$3390,$A5,'United Data'!$B$3:$B$3390,"&lt;&gt;Off-street")&gt;0,1,0)</f>
        <v>0</v>
      </c>
      <c r="C5">
        <f>IF(COUNTIFS('United Data'!$A$3:$A$3390,C$1,'United Data'!$C$3:$C$3390,$A5,'United Data'!$B$3:$B$3390,"&lt;&gt;Off-street")&gt;0,1,0)</f>
        <v>0</v>
      </c>
      <c r="D5">
        <f>IF(COUNTIFS('United Data'!$A$3:$A$3390,D$1,'United Data'!$C$3:$C$3390,$A5,'United Data'!$B$3:$B$3390,"&lt;&gt;Off-street")&gt;0,1,0)</f>
        <v>0</v>
      </c>
      <c r="E5">
        <f>IF(COUNTIFS('United Data'!$A$3:$A$3390,E$1,'United Data'!$C$3:$C$3390,$A5,'United Data'!$B$3:$B$3390,"&lt;&gt;Off-street")&gt;0,1,0)</f>
        <v>1</v>
      </c>
      <c r="F5">
        <f>IF(COUNTIFS('United Data'!$A$3:$A$3390,F$1,'United Data'!$C$3:$C$3390,$A5,'United Data'!$B$3:$B$3390,"&lt;&gt;Off-street")&gt;0,1,0)</f>
        <v>0</v>
      </c>
      <c r="G5">
        <f>IF(COUNTIFS('United Data'!$A$3:$A$3390,G$1,'United Data'!$C$3:$C$3390,$A5,'United Data'!$B$3:$B$3390,"&lt;&gt;Off-street")&gt;0,1,0)</f>
        <v>0</v>
      </c>
      <c r="H5">
        <f>IF(COUNTIFS('United Data'!$A$3:$A$3390,H$1,'United Data'!$C$3:$C$3390,$A5,'United Data'!$B$3:$B$3390,"&lt;&gt;Off-street")&gt;0,1,0)</f>
        <v>0</v>
      </c>
      <c r="I5">
        <f>IF(COUNTIFS('United Data'!$A$3:$A$3390,I$1,'United Data'!$C$3:$C$3390,$A5,'United Data'!$B$3:$B$3390,"&lt;&gt;Off-street")&gt;0,1,0)</f>
        <v>0</v>
      </c>
      <c r="J5">
        <f>IF(COUNTIFS('United Data'!$A$3:$A$3390,J$1,'United Data'!$C$3:$C$3390,$A5,'United Data'!$B$3:$B$3390,"&lt;&gt;Off-street")&gt;0,1,0)</f>
        <v>0</v>
      </c>
      <c r="K5">
        <f>IF(COUNTIFS('United Data'!$A$3:$A$3390,K$1,'United Data'!$C$3:$C$3390,$A5,'United Data'!$B$3:$B$3390,"&lt;&gt;Off-street")&gt;0,1,0)</f>
        <v>0</v>
      </c>
      <c r="L5">
        <f>IF(COUNTIFS('United Data'!$A$3:$A$3390,L$1,'United Data'!$C$3:$C$3390,$A5,'United Data'!$B$3:$B$3390,"&lt;&gt;Off-street")&gt;0,1,0)</f>
        <v>0</v>
      </c>
      <c r="M5">
        <f>IF(COUNTIFS('United Data'!$A$3:$A$3390,M$1,'United Data'!$C$3:$C$3390,$A5,'United Data'!$B$3:$B$3390,"&lt;&gt;Off-street")&gt;0,1,0)</f>
        <v>0</v>
      </c>
      <c r="N5">
        <f>IF(COUNTIFS('United Data'!$A$3:$A$3390,N$1,'United Data'!$C$3:$C$3390,$A5,'United Data'!$B$3:$B$3390,"&lt;&gt;Off-street")&gt;0,1,0)</f>
        <v>0</v>
      </c>
      <c r="O5">
        <f>IF(COUNTIFS('United Data'!$A$3:$A$3390,O$1,'United Data'!$C$3:$C$3390,$A5,'United Data'!$B$3:$B$3390,"&lt;&gt;Off-street")&gt;0,1,0)</f>
        <v>0</v>
      </c>
      <c r="P5">
        <f>IF(COUNTIFS('United Data'!$A$3:$A$3390,P$1,'United Data'!$C$3:$C$3390,$A5,'United Data'!$B$3:$B$3390,"&lt;&gt;Off-street")&gt;0,1,0)</f>
        <v>0</v>
      </c>
      <c r="Q5">
        <f>IF(COUNTIFS('United Data'!$A$3:$A$3390,Q$1,'United Data'!$C$3:$C$3390,$A5,'United Data'!$B$3:$B$3390,"&lt;&gt;Off-street")&gt;0,1,0)</f>
        <v>0</v>
      </c>
      <c r="R5">
        <f>IF(COUNTIFS('United Data'!$A$3:$A$3390,R$1,'United Data'!$C$3:$C$3390,$A5,'United Data'!$B$3:$B$3390,"&lt;&gt;Off-street")&gt;0,1,0)</f>
        <v>0</v>
      </c>
      <c r="S5">
        <f t="shared" si="0"/>
        <v>1</v>
      </c>
      <c r="T5">
        <f t="shared" si="1"/>
        <v>1</v>
      </c>
    </row>
    <row r="6" spans="1:20" x14ac:dyDescent="0.2">
      <c r="A6" t="s">
        <v>35</v>
      </c>
      <c r="B6">
        <f>IF(COUNTIFS('United Data'!$A$3:$A$3390,B$1,'United Data'!$C$3:$C$3390,$A6,'United Data'!$B$3:$B$3390,"&lt;&gt;Off-street")&gt;0,1,0)</f>
        <v>0</v>
      </c>
      <c r="C6">
        <f>IF(COUNTIFS('United Data'!$A$3:$A$3390,C$1,'United Data'!$C$3:$C$3390,$A6,'United Data'!$B$3:$B$3390,"&lt;&gt;Off-street")&gt;0,1,0)</f>
        <v>0</v>
      </c>
      <c r="D6">
        <f>IF(COUNTIFS('United Data'!$A$3:$A$3390,D$1,'United Data'!$C$3:$C$3390,$A6,'United Data'!$B$3:$B$3390,"&lt;&gt;Off-street")&gt;0,1,0)</f>
        <v>0</v>
      </c>
      <c r="E6">
        <f>IF(COUNTIFS('United Data'!$A$3:$A$3390,E$1,'United Data'!$C$3:$C$3390,$A6,'United Data'!$B$3:$B$3390,"&lt;&gt;Off-street")&gt;0,1,0)</f>
        <v>1</v>
      </c>
      <c r="F6">
        <f>IF(COUNTIFS('United Data'!$A$3:$A$3390,F$1,'United Data'!$C$3:$C$3390,$A6,'United Data'!$B$3:$B$3390,"&lt;&gt;Off-street")&gt;0,1,0)</f>
        <v>0</v>
      </c>
      <c r="G6">
        <f>IF(COUNTIFS('United Data'!$A$3:$A$3390,G$1,'United Data'!$C$3:$C$3390,$A6,'United Data'!$B$3:$B$3390,"&lt;&gt;Off-street")&gt;0,1,0)</f>
        <v>0</v>
      </c>
      <c r="H6">
        <f>IF(COUNTIFS('United Data'!$A$3:$A$3390,H$1,'United Data'!$C$3:$C$3390,$A6,'United Data'!$B$3:$B$3390,"&lt;&gt;Off-street")&gt;0,1,0)</f>
        <v>0</v>
      </c>
      <c r="I6">
        <f>IF(COUNTIFS('United Data'!$A$3:$A$3390,I$1,'United Data'!$C$3:$C$3390,$A6,'United Data'!$B$3:$B$3390,"&lt;&gt;Off-street")&gt;0,1,0)</f>
        <v>0</v>
      </c>
      <c r="J6">
        <f>IF(COUNTIFS('United Data'!$A$3:$A$3390,J$1,'United Data'!$C$3:$C$3390,$A6,'United Data'!$B$3:$B$3390,"&lt;&gt;Off-street")&gt;0,1,0)</f>
        <v>0</v>
      </c>
      <c r="K6">
        <f>IF(COUNTIFS('United Data'!$A$3:$A$3390,K$1,'United Data'!$C$3:$C$3390,$A6,'United Data'!$B$3:$B$3390,"&lt;&gt;Off-street")&gt;0,1,0)</f>
        <v>0</v>
      </c>
      <c r="L6">
        <f>IF(COUNTIFS('United Data'!$A$3:$A$3390,L$1,'United Data'!$C$3:$C$3390,$A6,'United Data'!$B$3:$B$3390,"&lt;&gt;Off-street")&gt;0,1,0)</f>
        <v>0</v>
      </c>
      <c r="M6">
        <f>IF(COUNTIFS('United Data'!$A$3:$A$3390,M$1,'United Data'!$C$3:$C$3390,$A6,'United Data'!$B$3:$B$3390,"&lt;&gt;Off-street")&gt;0,1,0)</f>
        <v>0</v>
      </c>
      <c r="N6">
        <f>IF(COUNTIFS('United Data'!$A$3:$A$3390,N$1,'United Data'!$C$3:$C$3390,$A6,'United Data'!$B$3:$B$3390,"&lt;&gt;Off-street")&gt;0,1,0)</f>
        <v>0</v>
      </c>
      <c r="O6">
        <f>IF(COUNTIFS('United Data'!$A$3:$A$3390,O$1,'United Data'!$C$3:$C$3390,$A6,'United Data'!$B$3:$B$3390,"&lt;&gt;Off-street")&gt;0,1,0)</f>
        <v>0</v>
      </c>
      <c r="P6">
        <f>IF(COUNTIFS('United Data'!$A$3:$A$3390,P$1,'United Data'!$C$3:$C$3390,$A6,'United Data'!$B$3:$B$3390,"&lt;&gt;Off-street")&gt;0,1,0)</f>
        <v>0</v>
      </c>
      <c r="Q6">
        <f>IF(COUNTIFS('United Data'!$A$3:$A$3390,Q$1,'United Data'!$C$3:$C$3390,$A6,'United Data'!$B$3:$B$3390,"&lt;&gt;Off-street")&gt;0,1,0)</f>
        <v>0</v>
      </c>
      <c r="R6">
        <f>IF(COUNTIFS('United Data'!$A$3:$A$3390,R$1,'United Data'!$C$3:$C$3390,$A6,'United Data'!$B$3:$B$3390,"&lt;&gt;Off-street")&gt;0,1,0)</f>
        <v>0</v>
      </c>
      <c r="S6">
        <f t="shared" si="0"/>
        <v>1</v>
      </c>
      <c r="T6">
        <f t="shared" si="1"/>
        <v>1</v>
      </c>
    </row>
    <row r="7" spans="1:20" x14ac:dyDescent="0.2">
      <c r="A7" t="s">
        <v>36</v>
      </c>
      <c r="B7">
        <f>IF(COUNTIFS('United Data'!$A$3:$A$3390,B$1,'United Data'!$C$3:$C$3390,$A7,'United Data'!$B$3:$B$3390,"&lt;&gt;Off-street")&gt;0,1,0)</f>
        <v>0</v>
      </c>
      <c r="C7">
        <f>IF(COUNTIFS('United Data'!$A$3:$A$3390,C$1,'United Data'!$C$3:$C$3390,$A7,'United Data'!$B$3:$B$3390,"&lt;&gt;Off-street")&gt;0,1,0)</f>
        <v>0</v>
      </c>
      <c r="D7">
        <f>IF(COUNTIFS('United Data'!$A$3:$A$3390,D$1,'United Data'!$C$3:$C$3390,$A7,'United Data'!$B$3:$B$3390,"&lt;&gt;Off-street")&gt;0,1,0)</f>
        <v>0</v>
      </c>
      <c r="E7">
        <f>IF(COUNTIFS('United Data'!$A$3:$A$3390,E$1,'United Data'!$C$3:$C$3390,$A7,'United Data'!$B$3:$B$3390,"&lt;&gt;Off-street")&gt;0,1,0)</f>
        <v>1</v>
      </c>
      <c r="F7">
        <f>IF(COUNTIFS('United Data'!$A$3:$A$3390,F$1,'United Data'!$C$3:$C$3390,$A7,'United Data'!$B$3:$B$3390,"&lt;&gt;Off-street")&gt;0,1,0)</f>
        <v>0</v>
      </c>
      <c r="G7">
        <f>IF(COUNTIFS('United Data'!$A$3:$A$3390,G$1,'United Data'!$C$3:$C$3390,$A7,'United Data'!$B$3:$B$3390,"&lt;&gt;Off-street")&gt;0,1,0)</f>
        <v>0</v>
      </c>
      <c r="H7">
        <f>IF(COUNTIFS('United Data'!$A$3:$A$3390,H$1,'United Data'!$C$3:$C$3390,$A7,'United Data'!$B$3:$B$3390,"&lt;&gt;Off-street")&gt;0,1,0)</f>
        <v>0</v>
      </c>
      <c r="I7">
        <f>IF(COUNTIFS('United Data'!$A$3:$A$3390,I$1,'United Data'!$C$3:$C$3390,$A7,'United Data'!$B$3:$B$3390,"&lt;&gt;Off-street")&gt;0,1,0)</f>
        <v>0</v>
      </c>
      <c r="J7">
        <f>IF(COUNTIFS('United Data'!$A$3:$A$3390,J$1,'United Data'!$C$3:$C$3390,$A7,'United Data'!$B$3:$B$3390,"&lt;&gt;Off-street")&gt;0,1,0)</f>
        <v>0</v>
      </c>
      <c r="K7">
        <f>IF(COUNTIFS('United Data'!$A$3:$A$3390,K$1,'United Data'!$C$3:$C$3390,$A7,'United Data'!$B$3:$B$3390,"&lt;&gt;Off-street")&gt;0,1,0)</f>
        <v>0</v>
      </c>
      <c r="L7">
        <f>IF(COUNTIFS('United Data'!$A$3:$A$3390,L$1,'United Data'!$C$3:$C$3390,$A7,'United Data'!$B$3:$B$3390,"&lt;&gt;Off-street")&gt;0,1,0)</f>
        <v>0</v>
      </c>
      <c r="M7">
        <f>IF(COUNTIFS('United Data'!$A$3:$A$3390,M$1,'United Data'!$C$3:$C$3390,$A7,'United Data'!$B$3:$B$3390,"&lt;&gt;Off-street")&gt;0,1,0)</f>
        <v>0</v>
      </c>
      <c r="N7">
        <f>IF(COUNTIFS('United Data'!$A$3:$A$3390,N$1,'United Data'!$C$3:$C$3390,$A7,'United Data'!$B$3:$B$3390,"&lt;&gt;Off-street")&gt;0,1,0)</f>
        <v>0</v>
      </c>
      <c r="O7">
        <f>IF(COUNTIFS('United Data'!$A$3:$A$3390,O$1,'United Data'!$C$3:$C$3390,$A7,'United Data'!$B$3:$B$3390,"&lt;&gt;Off-street")&gt;0,1,0)</f>
        <v>0</v>
      </c>
      <c r="P7">
        <f>IF(COUNTIFS('United Data'!$A$3:$A$3390,P$1,'United Data'!$C$3:$C$3390,$A7,'United Data'!$B$3:$B$3390,"&lt;&gt;Off-street")&gt;0,1,0)</f>
        <v>0</v>
      </c>
      <c r="Q7">
        <f>IF(COUNTIFS('United Data'!$A$3:$A$3390,Q$1,'United Data'!$C$3:$C$3390,$A7,'United Data'!$B$3:$B$3390,"&lt;&gt;Off-street")&gt;0,1,0)</f>
        <v>0</v>
      </c>
      <c r="R7">
        <f>IF(COUNTIFS('United Data'!$A$3:$A$3390,R$1,'United Data'!$C$3:$C$3390,$A7,'United Data'!$B$3:$B$3390,"&lt;&gt;Off-street")&gt;0,1,0)</f>
        <v>0</v>
      </c>
      <c r="S7">
        <f t="shared" si="0"/>
        <v>1</v>
      </c>
      <c r="T7">
        <f t="shared" si="1"/>
        <v>1</v>
      </c>
    </row>
    <row r="8" spans="1:20" x14ac:dyDescent="0.2">
      <c r="A8" t="s">
        <v>37</v>
      </c>
      <c r="B8">
        <f>IF(COUNTIFS('United Data'!$A$3:$A$3390,B$1,'United Data'!$C$3:$C$3390,$A8,'United Data'!$B$3:$B$3390,"&lt;&gt;Off-street")&gt;0,1,0)</f>
        <v>0</v>
      </c>
      <c r="C8">
        <f>IF(COUNTIFS('United Data'!$A$3:$A$3390,C$1,'United Data'!$C$3:$C$3390,$A8,'United Data'!$B$3:$B$3390,"&lt;&gt;Off-street")&gt;0,1,0)</f>
        <v>0</v>
      </c>
      <c r="D8">
        <f>IF(COUNTIFS('United Data'!$A$3:$A$3390,D$1,'United Data'!$C$3:$C$3390,$A8,'United Data'!$B$3:$B$3390,"&lt;&gt;Off-street")&gt;0,1,0)</f>
        <v>0</v>
      </c>
      <c r="E8">
        <f>IF(COUNTIFS('United Data'!$A$3:$A$3390,E$1,'United Data'!$C$3:$C$3390,$A8,'United Data'!$B$3:$B$3390,"&lt;&gt;Off-street")&gt;0,1,0)</f>
        <v>1</v>
      </c>
      <c r="F8">
        <f>IF(COUNTIFS('United Data'!$A$3:$A$3390,F$1,'United Data'!$C$3:$C$3390,$A8,'United Data'!$B$3:$B$3390,"&lt;&gt;Off-street")&gt;0,1,0)</f>
        <v>1</v>
      </c>
      <c r="G8">
        <f>IF(COUNTIFS('United Data'!$A$3:$A$3390,G$1,'United Data'!$C$3:$C$3390,$A8,'United Data'!$B$3:$B$3390,"&lt;&gt;Off-street")&gt;0,1,0)</f>
        <v>0</v>
      </c>
      <c r="H8">
        <f>IF(COUNTIFS('United Data'!$A$3:$A$3390,H$1,'United Data'!$C$3:$C$3390,$A8,'United Data'!$B$3:$B$3390,"&lt;&gt;Off-street")&gt;0,1,0)</f>
        <v>0</v>
      </c>
      <c r="I8">
        <f>IF(COUNTIFS('United Data'!$A$3:$A$3390,I$1,'United Data'!$C$3:$C$3390,$A8,'United Data'!$B$3:$B$3390,"&lt;&gt;Off-street")&gt;0,1,0)</f>
        <v>0</v>
      </c>
      <c r="J8">
        <f>IF(COUNTIFS('United Data'!$A$3:$A$3390,J$1,'United Data'!$C$3:$C$3390,$A8,'United Data'!$B$3:$B$3390,"&lt;&gt;Off-street")&gt;0,1,0)</f>
        <v>0</v>
      </c>
      <c r="K8">
        <f>IF(COUNTIFS('United Data'!$A$3:$A$3390,K$1,'United Data'!$C$3:$C$3390,$A8,'United Data'!$B$3:$B$3390,"&lt;&gt;Off-street")&gt;0,1,0)</f>
        <v>0</v>
      </c>
      <c r="L8">
        <f>IF(COUNTIFS('United Data'!$A$3:$A$3390,L$1,'United Data'!$C$3:$C$3390,$A8,'United Data'!$B$3:$B$3390,"&lt;&gt;Off-street")&gt;0,1,0)</f>
        <v>0</v>
      </c>
      <c r="M8">
        <f>IF(COUNTIFS('United Data'!$A$3:$A$3390,M$1,'United Data'!$C$3:$C$3390,$A8,'United Data'!$B$3:$B$3390,"&lt;&gt;Off-street")&gt;0,1,0)</f>
        <v>0</v>
      </c>
      <c r="N8">
        <f>IF(COUNTIFS('United Data'!$A$3:$A$3390,N$1,'United Data'!$C$3:$C$3390,$A8,'United Data'!$B$3:$B$3390,"&lt;&gt;Off-street")&gt;0,1,0)</f>
        <v>1</v>
      </c>
      <c r="O8">
        <f>IF(COUNTIFS('United Data'!$A$3:$A$3390,O$1,'United Data'!$C$3:$C$3390,$A8,'United Data'!$B$3:$B$3390,"&lt;&gt;Off-street")&gt;0,1,0)</f>
        <v>0</v>
      </c>
      <c r="P8">
        <f>IF(COUNTIFS('United Data'!$A$3:$A$3390,P$1,'United Data'!$C$3:$C$3390,$A8,'United Data'!$B$3:$B$3390,"&lt;&gt;Off-street")&gt;0,1,0)</f>
        <v>0</v>
      </c>
      <c r="Q8">
        <f>IF(COUNTIFS('United Data'!$A$3:$A$3390,Q$1,'United Data'!$C$3:$C$3390,$A8,'United Data'!$B$3:$B$3390,"&lt;&gt;Off-street")&gt;0,1,0)</f>
        <v>0</v>
      </c>
      <c r="R8">
        <f>IF(COUNTIFS('United Data'!$A$3:$A$3390,R$1,'United Data'!$C$3:$C$3390,$A8,'United Data'!$B$3:$B$3390,"&lt;&gt;Off-street")&gt;0,1,0)</f>
        <v>0</v>
      </c>
      <c r="S8">
        <f t="shared" si="0"/>
        <v>3</v>
      </c>
      <c r="T8">
        <f t="shared" si="1"/>
        <v>2</v>
      </c>
    </row>
    <row r="9" spans="1:20" x14ac:dyDescent="0.2">
      <c r="A9" t="s">
        <v>39</v>
      </c>
      <c r="B9">
        <f>IF(COUNTIFS('United Data'!$A$3:$A$3390,B$1,'United Data'!$C$3:$C$3390,$A9,'United Data'!$B$3:$B$3390,"&lt;&gt;Off-street")&gt;0,1,0)</f>
        <v>0</v>
      </c>
      <c r="C9">
        <f>IF(COUNTIFS('United Data'!$A$3:$A$3390,C$1,'United Data'!$C$3:$C$3390,$A9,'United Data'!$B$3:$B$3390,"&lt;&gt;Off-street")&gt;0,1,0)</f>
        <v>0</v>
      </c>
      <c r="D9">
        <f>IF(COUNTIFS('United Data'!$A$3:$A$3390,D$1,'United Data'!$C$3:$C$3390,$A9,'United Data'!$B$3:$B$3390,"&lt;&gt;Off-street")&gt;0,1,0)</f>
        <v>0</v>
      </c>
      <c r="E9">
        <f>IF(COUNTIFS('United Data'!$A$3:$A$3390,E$1,'United Data'!$C$3:$C$3390,$A9,'United Data'!$B$3:$B$3390,"&lt;&gt;Off-street")&gt;0,1,0)</f>
        <v>0</v>
      </c>
      <c r="F9">
        <f>IF(COUNTIFS('United Data'!$A$3:$A$3390,F$1,'United Data'!$C$3:$C$3390,$A9,'United Data'!$B$3:$B$3390,"&lt;&gt;Off-street")&gt;0,1,0)</f>
        <v>1</v>
      </c>
      <c r="G9">
        <f>IF(COUNTIFS('United Data'!$A$3:$A$3390,G$1,'United Data'!$C$3:$C$3390,$A9,'United Data'!$B$3:$B$3390,"&lt;&gt;Off-street")&gt;0,1,0)</f>
        <v>0</v>
      </c>
      <c r="H9">
        <f>IF(COUNTIFS('United Data'!$A$3:$A$3390,H$1,'United Data'!$C$3:$C$3390,$A9,'United Data'!$B$3:$B$3390,"&lt;&gt;Off-street")&gt;0,1,0)</f>
        <v>0</v>
      </c>
      <c r="I9">
        <f>IF(COUNTIFS('United Data'!$A$3:$A$3390,I$1,'United Data'!$C$3:$C$3390,$A9,'United Data'!$B$3:$B$3390,"&lt;&gt;Off-street")&gt;0,1,0)</f>
        <v>0</v>
      </c>
      <c r="J9">
        <f>IF(COUNTIFS('United Data'!$A$3:$A$3390,J$1,'United Data'!$C$3:$C$3390,$A9,'United Data'!$B$3:$B$3390,"&lt;&gt;Off-street")&gt;0,1,0)</f>
        <v>0</v>
      </c>
      <c r="K9">
        <f>IF(COUNTIFS('United Data'!$A$3:$A$3390,K$1,'United Data'!$C$3:$C$3390,$A9,'United Data'!$B$3:$B$3390,"&lt;&gt;Off-street")&gt;0,1,0)</f>
        <v>0</v>
      </c>
      <c r="L9">
        <f>IF(COUNTIFS('United Data'!$A$3:$A$3390,L$1,'United Data'!$C$3:$C$3390,$A9,'United Data'!$B$3:$B$3390,"&lt;&gt;Off-street")&gt;0,1,0)</f>
        <v>0</v>
      </c>
      <c r="M9">
        <f>IF(COUNTIFS('United Data'!$A$3:$A$3390,M$1,'United Data'!$C$3:$C$3390,$A9,'United Data'!$B$3:$B$3390,"&lt;&gt;Off-street")&gt;0,1,0)</f>
        <v>0</v>
      </c>
      <c r="N9">
        <f>IF(COUNTIFS('United Data'!$A$3:$A$3390,N$1,'United Data'!$C$3:$C$3390,$A9,'United Data'!$B$3:$B$3390,"&lt;&gt;Off-street")&gt;0,1,0)</f>
        <v>1</v>
      </c>
      <c r="O9">
        <f>IF(COUNTIFS('United Data'!$A$3:$A$3390,O$1,'United Data'!$C$3:$C$3390,$A9,'United Data'!$B$3:$B$3390,"&lt;&gt;Off-street")&gt;0,1,0)</f>
        <v>1</v>
      </c>
      <c r="P9">
        <f>IF(COUNTIFS('United Data'!$A$3:$A$3390,P$1,'United Data'!$C$3:$C$3390,$A9,'United Data'!$B$3:$B$3390,"&lt;&gt;Off-street")&gt;0,1,0)</f>
        <v>0</v>
      </c>
      <c r="Q9">
        <f>IF(COUNTIFS('United Data'!$A$3:$A$3390,Q$1,'United Data'!$C$3:$C$3390,$A9,'United Data'!$B$3:$B$3390,"&lt;&gt;Off-street")&gt;0,1,0)</f>
        <v>1</v>
      </c>
      <c r="R9">
        <f>IF(COUNTIFS('United Data'!$A$3:$A$3390,R$1,'United Data'!$C$3:$C$3390,$A9,'United Data'!$B$3:$B$3390,"&lt;&gt;Off-street")&gt;0,1,0)</f>
        <v>0</v>
      </c>
      <c r="S9">
        <f t="shared" si="0"/>
        <v>4</v>
      </c>
      <c r="T9">
        <f t="shared" si="1"/>
        <v>3</v>
      </c>
    </row>
    <row r="10" spans="1:20" x14ac:dyDescent="0.2">
      <c r="A10" t="s">
        <v>40</v>
      </c>
      <c r="B10">
        <f>IF(COUNTIFS('United Data'!$A$3:$A$3390,B$1,'United Data'!$C$3:$C$3390,$A10,'United Data'!$B$3:$B$3390,"&lt;&gt;Off-street")&gt;0,1,0)</f>
        <v>0</v>
      </c>
      <c r="C10">
        <f>IF(COUNTIFS('United Data'!$A$3:$A$3390,C$1,'United Data'!$C$3:$C$3390,$A10,'United Data'!$B$3:$B$3390,"&lt;&gt;Off-street")&gt;0,1,0)</f>
        <v>0</v>
      </c>
      <c r="D10">
        <f>IF(COUNTIFS('United Data'!$A$3:$A$3390,D$1,'United Data'!$C$3:$C$3390,$A10,'United Data'!$B$3:$B$3390,"&lt;&gt;Off-street")&gt;0,1,0)</f>
        <v>0</v>
      </c>
      <c r="E10">
        <f>IF(COUNTIFS('United Data'!$A$3:$A$3390,E$1,'United Data'!$C$3:$C$3390,$A10,'United Data'!$B$3:$B$3390,"&lt;&gt;Off-street")&gt;0,1,0)</f>
        <v>0</v>
      </c>
      <c r="F10">
        <f>IF(COUNTIFS('United Data'!$A$3:$A$3390,F$1,'United Data'!$C$3:$C$3390,$A10,'United Data'!$B$3:$B$3390,"&lt;&gt;Off-street")&gt;0,1,0)</f>
        <v>1</v>
      </c>
      <c r="G10">
        <f>IF(COUNTIFS('United Data'!$A$3:$A$3390,G$1,'United Data'!$C$3:$C$3390,$A10,'United Data'!$B$3:$B$3390,"&lt;&gt;Off-street")&gt;0,1,0)</f>
        <v>1</v>
      </c>
      <c r="H10">
        <f>IF(COUNTIFS('United Data'!$A$3:$A$3390,H$1,'United Data'!$C$3:$C$3390,$A10,'United Data'!$B$3:$B$3390,"&lt;&gt;Off-street")&gt;0,1,0)</f>
        <v>0</v>
      </c>
      <c r="I10">
        <f>IF(COUNTIFS('United Data'!$A$3:$A$3390,I$1,'United Data'!$C$3:$C$3390,$A10,'United Data'!$B$3:$B$3390,"&lt;&gt;Off-street")&gt;0,1,0)</f>
        <v>0</v>
      </c>
      <c r="J10">
        <f>IF(COUNTIFS('United Data'!$A$3:$A$3390,J$1,'United Data'!$C$3:$C$3390,$A10,'United Data'!$B$3:$B$3390,"&lt;&gt;Off-street")&gt;0,1,0)</f>
        <v>1</v>
      </c>
      <c r="K10">
        <f>IF(COUNTIFS('United Data'!$A$3:$A$3390,K$1,'United Data'!$C$3:$C$3390,$A10,'United Data'!$B$3:$B$3390,"&lt;&gt;Off-street")&gt;0,1,0)</f>
        <v>1</v>
      </c>
      <c r="L10">
        <f>IF(COUNTIFS('United Data'!$A$3:$A$3390,L$1,'United Data'!$C$3:$C$3390,$A10,'United Data'!$B$3:$B$3390,"&lt;&gt;Off-street")&gt;0,1,0)</f>
        <v>0</v>
      </c>
      <c r="M10">
        <f>IF(COUNTIFS('United Data'!$A$3:$A$3390,M$1,'United Data'!$C$3:$C$3390,$A10,'United Data'!$B$3:$B$3390,"&lt;&gt;Off-street")&gt;0,1,0)</f>
        <v>0</v>
      </c>
      <c r="N10">
        <f>IF(COUNTIFS('United Data'!$A$3:$A$3390,N$1,'United Data'!$C$3:$C$3390,$A10,'United Data'!$B$3:$B$3390,"&lt;&gt;Off-street")&gt;0,1,0)</f>
        <v>0</v>
      </c>
      <c r="O10">
        <f>IF(COUNTIFS('United Data'!$A$3:$A$3390,O$1,'United Data'!$C$3:$C$3390,$A10,'United Data'!$B$3:$B$3390,"&lt;&gt;Off-street")&gt;0,1,0)</f>
        <v>0</v>
      </c>
      <c r="P10">
        <f>IF(COUNTIFS('United Data'!$A$3:$A$3390,P$1,'United Data'!$C$3:$C$3390,$A10,'United Data'!$B$3:$B$3390,"&lt;&gt;Off-street")&gt;0,1,0)</f>
        <v>0</v>
      </c>
      <c r="Q10">
        <f>IF(COUNTIFS('United Data'!$A$3:$A$3390,Q$1,'United Data'!$C$3:$C$3390,$A10,'United Data'!$B$3:$B$3390,"&lt;&gt;Off-street")&gt;0,1,0)</f>
        <v>0</v>
      </c>
      <c r="R10">
        <f>IF(COUNTIFS('United Data'!$A$3:$A$3390,R$1,'United Data'!$C$3:$C$3390,$A10,'United Data'!$B$3:$B$3390,"&lt;&gt;Off-street")&gt;0,1,0)</f>
        <v>0</v>
      </c>
      <c r="S10">
        <f t="shared" si="0"/>
        <v>4</v>
      </c>
      <c r="T10">
        <f t="shared" si="1"/>
        <v>2</v>
      </c>
    </row>
    <row r="11" spans="1:20" x14ac:dyDescent="0.2">
      <c r="A11" t="s">
        <v>41</v>
      </c>
      <c r="B11">
        <f>IF(COUNTIFS('United Data'!$A$3:$A$3390,B$1,'United Data'!$C$3:$C$3390,$A11,'United Data'!$B$3:$B$3390,"&lt;&gt;Off-street")&gt;0,1,0)</f>
        <v>0</v>
      </c>
      <c r="C11">
        <f>IF(COUNTIFS('United Data'!$A$3:$A$3390,C$1,'United Data'!$C$3:$C$3390,$A11,'United Data'!$B$3:$B$3390,"&lt;&gt;Off-street")&gt;0,1,0)</f>
        <v>0</v>
      </c>
      <c r="D11">
        <f>IF(COUNTIFS('United Data'!$A$3:$A$3390,D$1,'United Data'!$C$3:$C$3390,$A11,'United Data'!$B$3:$B$3390,"&lt;&gt;Off-street")&gt;0,1,0)</f>
        <v>0</v>
      </c>
      <c r="E11">
        <f>IF(COUNTIFS('United Data'!$A$3:$A$3390,E$1,'United Data'!$C$3:$C$3390,$A11,'United Data'!$B$3:$B$3390,"&lt;&gt;Off-street")&gt;0,1,0)</f>
        <v>0</v>
      </c>
      <c r="F11">
        <f>IF(COUNTIFS('United Data'!$A$3:$A$3390,F$1,'United Data'!$C$3:$C$3390,$A11,'United Data'!$B$3:$B$3390,"&lt;&gt;Off-street")&gt;0,1,0)</f>
        <v>1</v>
      </c>
      <c r="G11">
        <f>IF(COUNTIFS('United Data'!$A$3:$A$3390,G$1,'United Data'!$C$3:$C$3390,$A11,'United Data'!$B$3:$B$3390,"&lt;&gt;Off-street")&gt;0,1,0)</f>
        <v>0</v>
      </c>
      <c r="H11">
        <f>IF(COUNTIFS('United Data'!$A$3:$A$3390,H$1,'United Data'!$C$3:$C$3390,$A11,'United Data'!$B$3:$B$3390,"&lt;&gt;Off-street")&gt;0,1,0)</f>
        <v>0</v>
      </c>
      <c r="I11">
        <f>IF(COUNTIFS('United Data'!$A$3:$A$3390,I$1,'United Data'!$C$3:$C$3390,$A11,'United Data'!$B$3:$B$3390,"&lt;&gt;Off-street")&gt;0,1,0)</f>
        <v>0</v>
      </c>
      <c r="J11">
        <f>IF(COUNTIFS('United Data'!$A$3:$A$3390,J$1,'United Data'!$C$3:$C$3390,$A11,'United Data'!$B$3:$B$3390,"&lt;&gt;Off-street")&gt;0,1,0)</f>
        <v>0</v>
      </c>
      <c r="K11">
        <f>IF(COUNTIFS('United Data'!$A$3:$A$3390,K$1,'United Data'!$C$3:$C$3390,$A11,'United Data'!$B$3:$B$3390,"&lt;&gt;Off-street")&gt;0,1,0)</f>
        <v>0</v>
      </c>
      <c r="L11">
        <f>IF(COUNTIFS('United Data'!$A$3:$A$3390,L$1,'United Data'!$C$3:$C$3390,$A11,'United Data'!$B$3:$B$3390,"&lt;&gt;Off-street")&gt;0,1,0)</f>
        <v>0</v>
      </c>
      <c r="M11">
        <f>IF(COUNTIFS('United Data'!$A$3:$A$3390,M$1,'United Data'!$C$3:$C$3390,$A11,'United Data'!$B$3:$B$3390,"&lt;&gt;Off-street")&gt;0,1,0)</f>
        <v>0</v>
      </c>
      <c r="N11">
        <f>IF(COUNTIFS('United Data'!$A$3:$A$3390,N$1,'United Data'!$C$3:$C$3390,$A11,'United Data'!$B$3:$B$3390,"&lt;&gt;Off-street")&gt;0,1,0)</f>
        <v>0</v>
      </c>
      <c r="O11">
        <f>IF(COUNTIFS('United Data'!$A$3:$A$3390,O$1,'United Data'!$C$3:$C$3390,$A11,'United Data'!$B$3:$B$3390,"&lt;&gt;Off-street")&gt;0,1,0)</f>
        <v>0</v>
      </c>
      <c r="P11">
        <f>IF(COUNTIFS('United Data'!$A$3:$A$3390,P$1,'United Data'!$C$3:$C$3390,$A11,'United Data'!$B$3:$B$3390,"&lt;&gt;Off-street")&gt;0,1,0)</f>
        <v>0</v>
      </c>
      <c r="Q11">
        <f>IF(COUNTIFS('United Data'!$A$3:$A$3390,Q$1,'United Data'!$C$3:$C$3390,$A11,'United Data'!$B$3:$B$3390,"&lt;&gt;Off-street")&gt;0,1,0)</f>
        <v>0</v>
      </c>
      <c r="R11">
        <f>IF(COUNTIFS('United Data'!$A$3:$A$3390,R$1,'United Data'!$C$3:$C$3390,$A11,'United Data'!$B$3:$B$3390,"&lt;&gt;Off-street")&gt;0,1,0)</f>
        <v>0</v>
      </c>
      <c r="S11">
        <f t="shared" si="0"/>
        <v>1</v>
      </c>
      <c r="T11">
        <f t="shared" si="1"/>
        <v>1</v>
      </c>
    </row>
    <row r="12" spans="1:20" x14ac:dyDescent="0.2">
      <c r="A12" t="s">
        <v>42</v>
      </c>
      <c r="B12">
        <f>IF(COUNTIFS('United Data'!$A$3:$A$3390,B$1,'United Data'!$C$3:$C$3390,$A12,'United Data'!$B$3:$B$3390,"&lt;&gt;Off-street")&gt;0,1,0)</f>
        <v>0</v>
      </c>
      <c r="C12">
        <f>IF(COUNTIFS('United Data'!$A$3:$A$3390,C$1,'United Data'!$C$3:$C$3390,$A12,'United Data'!$B$3:$B$3390,"&lt;&gt;Off-street")&gt;0,1,0)</f>
        <v>0</v>
      </c>
      <c r="D12">
        <f>IF(COUNTIFS('United Data'!$A$3:$A$3390,D$1,'United Data'!$C$3:$C$3390,$A12,'United Data'!$B$3:$B$3390,"&lt;&gt;Off-street")&gt;0,1,0)</f>
        <v>0</v>
      </c>
      <c r="E12">
        <f>IF(COUNTIFS('United Data'!$A$3:$A$3390,E$1,'United Data'!$C$3:$C$3390,$A12,'United Data'!$B$3:$B$3390,"&lt;&gt;Off-street")&gt;0,1,0)</f>
        <v>0</v>
      </c>
      <c r="F12">
        <f>IF(COUNTIFS('United Data'!$A$3:$A$3390,F$1,'United Data'!$C$3:$C$3390,$A12,'United Data'!$B$3:$B$3390,"&lt;&gt;Off-street")&gt;0,1,0)</f>
        <v>1</v>
      </c>
      <c r="G12">
        <f>IF(COUNTIFS('United Data'!$A$3:$A$3390,G$1,'United Data'!$C$3:$C$3390,$A12,'United Data'!$B$3:$B$3390,"&lt;&gt;Off-street")&gt;0,1,0)</f>
        <v>0</v>
      </c>
      <c r="H12">
        <f>IF(COUNTIFS('United Data'!$A$3:$A$3390,H$1,'United Data'!$C$3:$C$3390,$A12,'United Data'!$B$3:$B$3390,"&lt;&gt;Off-street")&gt;0,1,0)</f>
        <v>0</v>
      </c>
      <c r="I12">
        <f>IF(COUNTIFS('United Data'!$A$3:$A$3390,I$1,'United Data'!$C$3:$C$3390,$A12,'United Data'!$B$3:$B$3390,"&lt;&gt;Off-street")&gt;0,1,0)</f>
        <v>0</v>
      </c>
      <c r="J12">
        <f>IF(COUNTIFS('United Data'!$A$3:$A$3390,J$1,'United Data'!$C$3:$C$3390,$A12,'United Data'!$B$3:$B$3390,"&lt;&gt;Off-street")&gt;0,1,0)</f>
        <v>0</v>
      </c>
      <c r="K12">
        <f>IF(COUNTIFS('United Data'!$A$3:$A$3390,K$1,'United Data'!$C$3:$C$3390,$A12,'United Data'!$B$3:$B$3390,"&lt;&gt;Off-street")&gt;0,1,0)</f>
        <v>0</v>
      </c>
      <c r="L12">
        <f>IF(COUNTIFS('United Data'!$A$3:$A$3390,L$1,'United Data'!$C$3:$C$3390,$A12,'United Data'!$B$3:$B$3390,"&lt;&gt;Off-street")&gt;0,1,0)</f>
        <v>0</v>
      </c>
      <c r="M12">
        <f>IF(COUNTIFS('United Data'!$A$3:$A$3390,M$1,'United Data'!$C$3:$C$3390,$A12,'United Data'!$B$3:$B$3390,"&lt;&gt;Off-street")&gt;0,1,0)</f>
        <v>0</v>
      </c>
      <c r="N12">
        <f>IF(COUNTIFS('United Data'!$A$3:$A$3390,N$1,'United Data'!$C$3:$C$3390,$A12,'United Data'!$B$3:$B$3390,"&lt;&gt;Off-street")&gt;0,1,0)</f>
        <v>0</v>
      </c>
      <c r="O12">
        <f>IF(COUNTIFS('United Data'!$A$3:$A$3390,O$1,'United Data'!$C$3:$C$3390,$A12,'United Data'!$B$3:$B$3390,"&lt;&gt;Off-street")&gt;0,1,0)</f>
        <v>0</v>
      </c>
      <c r="P12">
        <f>IF(COUNTIFS('United Data'!$A$3:$A$3390,P$1,'United Data'!$C$3:$C$3390,$A12,'United Data'!$B$3:$B$3390,"&lt;&gt;Off-street")&gt;0,1,0)</f>
        <v>0</v>
      </c>
      <c r="Q12">
        <f>IF(COUNTIFS('United Data'!$A$3:$A$3390,Q$1,'United Data'!$C$3:$C$3390,$A12,'United Data'!$B$3:$B$3390,"&lt;&gt;Off-street")&gt;0,1,0)</f>
        <v>0</v>
      </c>
      <c r="R12">
        <f>IF(COUNTIFS('United Data'!$A$3:$A$3390,R$1,'United Data'!$C$3:$C$3390,$A12,'United Data'!$B$3:$B$3390,"&lt;&gt;Off-street")&gt;0,1,0)</f>
        <v>0</v>
      </c>
      <c r="S12">
        <f t="shared" si="0"/>
        <v>1</v>
      </c>
      <c r="T12">
        <f t="shared" si="1"/>
        <v>1</v>
      </c>
    </row>
    <row r="13" spans="1:20" x14ac:dyDescent="0.2">
      <c r="A13" t="s">
        <v>43</v>
      </c>
      <c r="B13">
        <f>IF(COUNTIFS('United Data'!$A$3:$A$3390,B$1,'United Data'!$C$3:$C$3390,$A13,'United Data'!$B$3:$B$3390,"&lt;&gt;Off-street")&gt;0,1,0)</f>
        <v>0</v>
      </c>
      <c r="C13">
        <f>IF(COUNTIFS('United Data'!$A$3:$A$3390,C$1,'United Data'!$C$3:$C$3390,$A13,'United Data'!$B$3:$B$3390,"&lt;&gt;Off-street")&gt;0,1,0)</f>
        <v>0</v>
      </c>
      <c r="D13">
        <f>IF(COUNTIFS('United Data'!$A$3:$A$3390,D$1,'United Data'!$C$3:$C$3390,$A13,'United Data'!$B$3:$B$3390,"&lt;&gt;Off-street")&gt;0,1,0)</f>
        <v>0</v>
      </c>
      <c r="E13">
        <f>IF(COUNTIFS('United Data'!$A$3:$A$3390,E$1,'United Data'!$C$3:$C$3390,$A13,'United Data'!$B$3:$B$3390,"&lt;&gt;Off-street")&gt;0,1,0)</f>
        <v>0</v>
      </c>
      <c r="F13">
        <f>IF(COUNTIFS('United Data'!$A$3:$A$3390,F$1,'United Data'!$C$3:$C$3390,$A13,'United Data'!$B$3:$B$3390,"&lt;&gt;Off-street")&gt;0,1,0)</f>
        <v>1</v>
      </c>
      <c r="G13">
        <f>IF(COUNTIFS('United Data'!$A$3:$A$3390,G$1,'United Data'!$C$3:$C$3390,$A13,'United Data'!$B$3:$B$3390,"&lt;&gt;Off-street")&gt;0,1,0)</f>
        <v>0</v>
      </c>
      <c r="H13">
        <f>IF(COUNTIFS('United Data'!$A$3:$A$3390,H$1,'United Data'!$C$3:$C$3390,$A13,'United Data'!$B$3:$B$3390,"&lt;&gt;Off-street")&gt;0,1,0)</f>
        <v>0</v>
      </c>
      <c r="I13">
        <f>IF(COUNTIFS('United Data'!$A$3:$A$3390,I$1,'United Data'!$C$3:$C$3390,$A13,'United Data'!$B$3:$B$3390,"&lt;&gt;Off-street")&gt;0,1,0)</f>
        <v>0</v>
      </c>
      <c r="J13">
        <f>IF(COUNTIFS('United Data'!$A$3:$A$3390,J$1,'United Data'!$C$3:$C$3390,$A13,'United Data'!$B$3:$B$3390,"&lt;&gt;Off-street")&gt;0,1,0)</f>
        <v>0</v>
      </c>
      <c r="K13">
        <f>IF(COUNTIFS('United Data'!$A$3:$A$3390,K$1,'United Data'!$C$3:$C$3390,$A13,'United Data'!$B$3:$B$3390,"&lt;&gt;Off-street")&gt;0,1,0)</f>
        <v>0</v>
      </c>
      <c r="L13">
        <f>IF(COUNTIFS('United Data'!$A$3:$A$3390,L$1,'United Data'!$C$3:$C$3390,$A13,'United Data'!$B$3:$B$3390,"&lt;&gt;Off-street")&gt;0,1,0)</f>
        <v>0</v>
      </c>
      <c r="M13">
        <f>IF(COUNTIFS('United Data'!$A$3:$A$3390,M$1,'United Data'!$C$3:$C$3390,$A13,'United Data'!$B$3:$B$3390,"&lt;&gt;Off-street")&gt;0,1,0)</f>
        <v>0</v>
      </c>
      <c r="N13">
        <f>IF(COUNTIFS('United Data'!$A$3:$A$3390,N$1,'United Data'!$C$3:$C$3390,$A13,'United Data'!$B$3:$B$3390,"&lt;&gt;Off-street")&gt;0,1,0)</f>
        <v>0</v>
      </c>
      <c r="O13">
        <f>IF(COUNTIFS('United Data'!$A$3:$A$3390,O$1,'United Data'!$C$3:$C$3390,$A13,'United Data'!$B$3:$B$3390,"&lt;&gt;Off-street")&gt;0,1,0)</f>
        <v>0</v>
      </c>
      <c r="P13">
        <f>IF(COUNTIFS('United Data'!$A$3:$A$3390,P$1,'United Data'!$C$3:$C$3390,$A13,'United Data'!$B$3:$B$3390,"&lt;&gt;Off-street")&gt;0,1,0)</f>
        <v>0</v>
      </c>
      <c r="Q13">
        <f>IF(COUNTIFS('United Data'!$A$3:$A$3390,Q$1,'United Data'!$C$3:$C$3390,$A13,'United Data'!$B$3:$B$3390,"&lt;&gt;Off-street")&gt;0,1,0)</f>
        <v>0</v>
      </c>
      <c r="R13">
        <f>IF(COUNTIFS('United Data'!$A$3:$A$3390,R$1,'United Data'!$C$3:$C$3390,$A13,'United Data'!$B$3:$B$3390,"&lt;&gt;Off-street")&gt;0,1,0)</f>
        <v>0</v>
      </c>
      <c r="S13">
        <f t="shared" si="0"/>
        <v>1</v>
      </c>
      <c r="T13">
        <f t="shared" si="1"/>
        <v>1</v>
      </c>
    </row>
    <row r="14" spans="1:20" x14ac:dyDescent="0.2">
      <c r="A14" t="s">
        <v>44</v>
      </c>
      <c r="B14">
        <f>IF(COUNTIFS('United Data'!$A$3:$A$3390,B$1,'United Data'!$C$3:$C$3390,$A14,'United Data'!$B$3:$B$3390,"&lt;&gt;Off-street")&gt;0,1,0)</f>
        <v>0</v>
      </c>
      <c r="C14">
        <f>IF(COUNTIFS('United Data'!$A$3:$A$3390,C$1,'United Data'!$C$3:$C$3390,$A14,'United Data'!$B$3:$B$3390,"&lt;&gt;Off-street")&gt;0,1,0)</f>
        <v>0</v>
      </c>
      <c r="D14">
        <f>IF(COUNTIFS('United Data'!$A$3:$A$3390,D$1,'United Data'!$C$3:$C$3390,$A14,'United Data'!$B$3:$B$3390,"&lt;&gt;Off-street")&gt;0,1,0)</f>
        <v>0</v>
      </c>
      <c r="E14">
        <f>IF(COUNTIFS('United Data'!$A$3:$A$3390,E$1,'United Data'!$C$3:$C$3390,$A14,'United Data'!$B$3:$B$3390,"&lt;&gt;Off-street")&gt;0,1,0)</f>
        <v>0</v>
      </c>
      <c r="F14">
        <f>IF(COUNTIFS('United Data'!$A$3:$A$3390,F$1,'United Data'!$C$3:$C$3390,$A14,'United Data'!$B$3:$B$3390,"&lt;&gt;Off-street")&gt;0,1,0)</f>
        <v>1</v>
      </c>
      <c r="G14">
        <f>IF(COUNTIFS('United Data'!$A$3:$A$3390,G$1,'United Data'!$C$3:$C$3390,$A14,'United Data'!$B$3:$B$3390,"&lt;&gt;Off-street")&gt;0,1,0)</f>
        <v>0</v>
      </c>
      <c r="H14">
        <f>IF(COUNTIFS('United Data'!$A$3:$A$3390,H$1,'United Data'!$C$3:$C$3390,$A14,'United Data'!$B$3:$B$3390,"&lt;&gt;Off-street")&gt;0,1,0)</f>
        <v>0</v>
      </c>
      <c r="I14">
        <f>IF(COUNTIFS('United Data'!$A$3:$A$3390,I$1,'United Data'!$C$3:$C$3390,$A14,'United Data'!$B$3:$B$3390,"&lt;&gt;Off-street")&gt;0,1,0)</f>
        <v>0</v>
      </c>
      <c r="J14">
        <f>IF(COUNTIFS('United Data'!$A$3:$A$3390,J$1,'United Data'!$C$3:$C$3390,$A14,'United Data'!$B$3:$B$3390,"&lt;&gt;Off-street")&gt;0,1,0)</f>
        <v>0</v>
      </c>
      <c r="K14">
        <f>IF(COUNTIFS('United Data'!$A$3:$A$3390,K$1,'United Data'!$C$3:$C$3390,$A14,'United Data'!$B$3:$B$3390,"&lt;&gt;Off-street")&gt;0,1,0)</f>
        <v>0</v>
      </c>
      <c r="L14">
        <f>IF(COUNTIFS('United Data'!$A$3:$A$3390,L$1,'United Data'!$C$3:$C$3390,$A14,'United Data'!$B$3:$B$3390,"&lt;&gt;Off-street")&gt;0,1,0)</f>
        <v>0</v>
      </c>
      <c r="M14">
        <f>IF(COUNTIFS('United Data'!$A$3:$A$3390,M$1,'United Data'!$C$3:$C$3390,$A14,'United Data'!$B$3:$B$3390,"&lt;&gt;Off-street")&gt;0,1,0)</f>
        <v>0</v>
      </c>
      <c r="N14">
        <f>IF(COUNTIFS('United Data'!$A$3:$A$3390,N$1,'United Data'!$C$3:$C$3390,$A14,'United Data'!$B$3:$B$3390,"&lt;&gt;Off-street")&gt;0,1,0)</f>
        <v>0</v>
      </c>
      <c r="O14">
        <f>IF(COUNTIFS('United Data'!$A$3:$A$3390,O$1,'United Data'!$C$3:$C$3390,$A14,'United Data'!$B$3:$B$3390,"&lt;&gt;Off-street")&gt;0,1,0)</f>
        <v>0</v>
      </c>
      <c r="P14">
        <f>IF(COUNTIFS('United Data'!$A$3:$A$3390,P$1,'United Data'!$C$3:$C$3390,$A14,'United Data'!$B$3:$B$3390,"&lt;&gt;Off-street")&gt;0,1,0)</f>
        <v>0</v>
      </c>
      <c r="Q14">
        <f>IF(COUNTIFS('United Data'!$A$3:$A$3390,Q$1,'United Data'!$C$3:$C$3390,$A14,'United Data'!$B$3:$B$3390,"&lt;&gt;Off-street")&gt;0,1,0)</f>
        <v>0</v>
      </c>
      <c r="R14">
        <f>IF(COUNTIFS('United Data'!$A$3:$A$3390,R$1,'United Data'!$C$3:$C$3390,$A14,'United Data'!$B$3:$B$3390,"&lt;&gt;Off-street")&gt;0,1,0)</f>
        <v>0</v>
      </c>
      <c r="S14">
        <f t="shared" si="0"/>
        <v>1</v>
      </c>
      <c r="T14">
        <f t="shared" si="1"/>
        <v>1</v>
      </c>
    </row>
    <row r="15" spans="1:20" x14ac:dyDescent="0.2">
      <c r="A15" t="s">
        <v>45</v>
      </c>
      <c r="B15">
        <f>IF(COUNTIFS('United Data'!$A$3:$A$3390,B$1,'United Data'!$C$3:$C$3390,$A15,'United Data'!$B$3:$B$3390,"&lt;&gt;Off-street")&gt;0,1,0)</f>
        <v>0</v>
      </c>
      <c r="C15">
        <f>IF(COUNTIFS('United Data'!$A$3:$A$3390,C$1,'United Data'!$C$3:$C$3390,$A15,'United Data'!$B$3:$B$3390,"&lt;&gt;Off-street")&gt;0,1,0)</f>
        <v>0</v>
      </c>
      <c r="D15">
        <f>IF(COUNTIFS('United Data'!$A$3:$A$3390,D$1,'United Data'!$C$3:$C$3390,$A15,'United Data'!$B$3:$B$3390,"&lt;&gt;Off-street")&gt;0,1,0)</f>
        <v>0</v>
      </c>
      <c r="E15">
        <f>IF(COUNTIFS('United Data'!$A$3:$A$3390,E$1,'United Data'!$C$3:$C$3390,$A15,'United Data'!$B$3:$B$3390,"&lt;&gt;Off-street")&gt;0,1,0)</f>
        <v>0</v>
      </c>
      <c r="F15">
        <f>IF(COUNTIFS('United Data'!$A$3:$A$3390,F$1,'United Data'!$C$3:$C$3390,$A15,'United Data'!$B$3:$B$3390,"&lt;&gt;Off-street")&gt;0,1,0)</f>
        <v>1</v>
      </c>
      <c r="G15">
        <f>IF(COUNTIFS('United Data'!$A$3:$A$3390,G$1,'United Data'!$C$3:$C$3390,$A15,'United Data'!$B$3:$B$3390,"&lt;&gt;Off-street")&gt;0,1,0)</f>
        <v>0</v>
      </c>
      <c r="H15">
        <f>IF(COUNTIFS('United Data'!$A$3:$A$3390,H$1,'United Data'!$C$3:$C$3390,$A15,'United Data'!$B$3:$B$3390,"&lt;&gt;Off-street")&gt;0,1,0)</f>
        <v>0</v>
      </c>
      <c r="I15">
        <f>IF(COUNTIFS('United Data'!$A$3:$A$3390,I$1,'United Data'!$C$3:$C$3390,$A15,'United Data'!$B$3:$B$3390,"&lt;&gt;Off-street")&gt;0,1,0)</f>
        <v>0</v>
      </c>
      <c r="J15">
        <f>IF(COUNTIFS('United Data'!$A$3:$A$3390,J$1,'United Data'!$C$3:$C$3390,$A15,'United Data'!$B$3:$B$3390,"&lt;&gt;Off-street")&gt;0,1,0)</f>
        <v>0</v>
      </c>
      <c r="K15">
        <f>IF(COUNTIFS('United Data'!$A$3:$A$3390,K$1,'United Data'!$C$3:$C$3390,$A15,'United Data'!$B$3:$B$3390,"&lt;&gt;Off-street")&gt;0,1,0)</f>
        <v>0</v>
      </c>
      <c r="L15">
        <f>IF(COUNTIFS('United Data'!$A$3:$A$3390,L$1,'United Data'!$C$3:$C$3390,$A15,'United Data'!$B$3:$B$3390,"&lt;&gt;Off-street")&gt;0,1,0)</f>
        <v>0</v>
      </c>
      <c r="M15">
        <f>IF(COUNTIFS('United Data'!$A$3:$A$3390,M$1,'United Data'!$C$3:$C$3390,$A15,'United Data'!$B$3:$B$3390,"&lt;&gt;Off-street")&gt;0,1,0)</f>
        <v>0</v>
      </c>
      <c r="N15">
        <f>IF(COUNTIFS('United Data'!$A$3:$A$3390,N$1,'United Data'!$C$3:$C$3390,$A15,'United Data'!$B$3:$B$3390,"&lt;&gt;Off-street")&gt;0,1,0)</f>
        <v>0</v>
      </c>
      <c r="O15">
        <f>IF(COUNTIFS('United Data'!$A$3:$A$3390,O$1,'United Data'!$C$3:$C$3390,$A15,'United Data'!$B$3:$B$3390,"&lt;&gt;Off-street")&gt;0,1,0)</f>
        <v>0</v>
      </c>
      <c r="P15">
        <f>IF(COUNTIFS('United Data'!$A$3:$A$3390,P$1,'United Data'!$C$3:$C$3390,$A15,'United Data'!$B$3:$B$3390,"&lt;&gt;Off-street")&gt;0,1,0)</f>
        <v>0</v>
      </c>
      <c r="Q15">
        <f>IF(COUNTIFS('United Data'!$A$3:$A$3390,Q$1,'United Data'!$C$3:$C$3390,$A15,'United Data'!$B$3:$B$3390,"&lt;&gt;Off-street")&gt;0,1,0)</f>
        <v>0</v>
      </c>
      <c r="R15">
        <f>IF(COUNTIFS('United Data'!$A$3:$A$3390,R$1,'United Data'!$C$3:$C$3390,$A15,'United Data'!$B$3:$B$3390,"&lt;&gt;Off-street")&gt;0,1,0)</f>
        <v>0</v>
      </c>
      <c r="S15">
        <f t="shared" si="0"/>
        <v>1</v>
      </c>
      <c r="T15">
        <f t="shared" si="1"/>
        <v>1</v>
      </c>
    </row>
    <row r="16" spans="1:20" x14ac:dyDescent="0.2">
      <c r="A16" t="s">
        <v>48</v>
      </c>
      <c r="B16">
        <f>IF(COUNTIFS('United Data'!$A$3:$A$3390,B$1,'United Data'!$C$3:$C$3390,$A16,'United Data'!$B$3:$B$3390,"&lt;&gt;Off-street")&gt;0,1,0)</f>
        <v>0</v>
      </c>
      <c r="C16">
        <f>IF(COUNTIFS('United Data'!$A$3:$A$3390,C$1,'United Data'!$C$3:$C$3390,$A16,'United Data'!$B$3:$B$3390,"&lt;&gt;Off-street")&gt;0,1,0)</f>
        <v>0</v>
      </c>
      <c r="D16">
        <f>IF(COUNTIFS('United Data'!$A$3:$A$3390,D$1,'United Data'!$C$3:$C$3390,$A16,'United Data'!$B$3:$B$3390,"&lt;&gt;Off-street")&gt;0,1,0)</f>
        <v>0</v>
      </c>
      <c r="E16">
        <f>IF(COUNTIFS('United Data'!$A$3:$A$3390,E$1,'United Data'!$C$3:$C$3390,$A16,'United Data'!$B$3:$B$3390,"&lt;&gt;Off-street")&gt;0,1,0)</f>
        <v>0</v>
      </c>
      <c r="F16">
        <f>IF(COUNTIFS('United Data'!$A$3:$A$3390,F$1,'United Data'!$C$3:$C$3390,$A16,'United Data'!$B$3:$B$3390,"&lt;&gt;Off-street")&gt;0,1,0)</f>
        <v>0</v>
      </c>
      <c r="G16">
        <f>IF(COUNTIFS('United Data'!$A$3:$A$3390,G$1,'United Data'!$C$3:$C$3390,$A16,'United Data'!$B$3:$B$3390,"&lt;&gt;Off-street")&gt;0,1,0)</f>
        <v>1</v>
      </c>
      <c r="H16">
        <f>IF(COUNTIFS('United Data'!$A$3:$A$3390,H$1,'United Data'!$C$3:$C$3390,$A16,'United Data'!$B$3:$B$3390,"&lt;&gt;Off-street")&gt;0,1,0)</f>
        <v>0</v>
      </c>
      <c r="I16">
        <f>IF(COUNTIFS('United Data'!$A$3:$A$3390,I$1,'United Data'!$C$3:$C$3390,$A16,'United Data'!$B$3:$B$3390,"&lt;&gt;Off-street")&gt;0,1,0)</f>
        <v>0</v>
      </c>
      <c r="J16">
        <f>IF(COUNTIFS('United Data'!$A$3:$A$3390,J$1,'United Data'!$C$3:$C$3390,$A16,'United Data'!$B$3:$B$3390,"&lt;&gt;Off-street")&gt;0,1,0)</f>
        <v>0</v>
      </c>
      <c r="K16">
        <f>IF(COUNTIFS('United Data'!$A$3:$A$3390,K$1,'United Data'!$C$3:$C$3390,$A16,'United Data'!$B$3:$B$3390,"&lt;&gt;Off-street")&gt;0,1,0)</f>
        <v>1</v>
      </c>
      <c r="L16">
        <f>IF(COUNTIFS('United Data'!$A$3:$A$3390,L$1,'United Data'!$C$3:$C$3390,$A16,'United Data'!$B$3:$B$3390,"&lt;&gt;Off-street")&gt;0,1,0)</f>
        <v>0</v>
      </c>
      <c r="M16">
        <f>IF(COUNTIFS('United Data'!$A$3:$A$3390,M$1,'United Data'!$C$3:$C$3390,$A16,'United Data'!$B$3:$B$3390,"&lt;&gt;Off-street")&gt;0,1,0)</f>
        <v>0</v>
      </c>
      <c r="N16">
        <f>IF(COUNTIFS('United Data'!$A$3:$A$3390,N$1,'United Data'!$C$3:$C$3390,$A16,'United Data'!$B$3:$B$3390,"&lt;&gt;Off-street")&gt;0,1,0)</f>
        <v>0</v>
      </c>
      <c r="O16">
        <f>IF(COUNTIFS('United Data'!$A$3:$A$3390,O$1,'United Data'!$C$3:$C$3390,$A16,'United Data'!$B$3:$B$3390,"&lt;&gt;Off-street")&gt;0,1,0)</f>
        <v>0</v>
      </c>
      <c r="P16">
        <f>IF(COUNTIFS('United Data'!$A$3:$A$3390,P$1,'United Data'!$C$3:$C$3390,$A16,'United Data'!$B$3:$B$3390,"&lt;&gt;Off-street")&gt;0,1,0)</f>
        <v>0</v>
      </c>
      <c r="Q16">
        <f>IF(COUNTIFS('United Data'!$A$3:$A$3390,Q$1,'United Data'!$C$3:$C$3390,$A16,'United Data'!$B$3:$B$3390,"&lt;&gt;Off-street")&gt;0,1,0)</f>
        <v>0</v>
      </c>
      <c r="R16">
        <f>IF(COUNTIFS('United Data'!$A$3:$A$3390,R$1,'United Data'!$C$3:$C$3390,$A16,'United Data'!$B$3:$B$3390,"&lt;&gt;Off-street")&gt;0,1,0)</f>
        <v>0</v>
      </c>
      <c r="S16">
        <f t="shared" si="0"/>
        <v>2</v>
      </c>
      <c r="T16">
        <f t="shared" si="1"/>
        <v>2</v>
      </c>
    </row>
    <row r="17" spans="1:20" x14ac:dyDescent="0.2">
      <c r="A17" t="s">
        <v>50</v>
      </c>
      <c r="B17">
        <f>IF(COUNTIFS('United Data'!$A$3:$A$3390,B$1,'United Data'!$C$3:$C$3390,$A17,'United Data'!$B$3:$B$3390,"&lt;&gt;Off-street")&gt;0,1,0)</f>
        <v>0</v>
      </c>
      <c r="C17">
        <f>IF(COUNTIFS('United Data'!$A$3:$A$3390,C$1,'United Data'!$C$3:$C$3390,$A17,'United Data'!$B$3:$B$3390,"&lt;&gt;Off-street")&gt;0,1,0)</f>
        <v>0</v>
      </c>
      <c r="D17">
        <f>IF(COUNTIFS('United Data'!$A$3:$A$3390,D$1,'United Data'!$C$3:$C$3390,$A17,'United Data'!$B$3:$B$3390,"&lt;&gt;Off-street")&gt;0,1,0)</f>
        <v>0</v>
      </c>
      <c r="E17">
        <f>IF(COUNTIFS('United Data'!$A$3:$A$3390,E$1,'United Data'!$C$3:$C$3390,$A17,'United Data'!$B$3:$B$3390,"&lt;&gt;Off-street")&gt;0,1,0)</f>
        <v>0</v>
      </c>
      <c r="F17">
        <f>IF(COUNTIFS('United Data'!$A$3:$A$3390,F$1,'United Data'!$C$3:$C$3390,$A17,'United Data'!$B$3:$B$3390,"&lt;&gt;Off-street")&gt;0,1,0)</f>
        <v>0</v>
      </c>
      <c r="G17">
        <f>IF(COUNTIFS('United Data'!$A$3:$A$3390,G$1,'United Data'!$C$3:$C$3390,$A17,'United Data'!$B$3:$B$3390,"&lt;&gt;Off-street")&gt;0,1,0)</f>
        <v>0</v>
      </c>
      <c r="H17">
        <f>IF(COUNTIFS('United Data'!$A$3:$A$3390,H$1,'United Data'!$C$3:$C$3390,$A17,'United Data'!$B$3:$B$3390,"&lt;&gt;Off-street")&gt;0,1,0)</f>
        <v>1</v>
      </c>
      <c r="I17">
        <f>IF(COUNTIFS('United Data'!$A$3:$A$3390,I$1,'United Data'!$C$3:$C$3390,$A17,'United Data'!$B$3:$B$3390,"&lt;&gt;Off-street")&gt;0,1,0)</f>
        <v>0</v>
      </c>
      <c r="J17">
        <f>IF(COUNTIFS('United Data'!$A$3:$A$3390,J$1,'United Data'!$C$3:$C$3390,$A17,'United Data'!$B$3:$B$3390,"&lt;&gt;Off-street")&gt;0,1,0)</f>
        <v>0</v>
      </c>
      <c r="K17">
        <f>IF(COUNTIFS('United Data'!$A$3:$A$3390,K$1,'United Data'!$C$3:$C$3390,$A17,'United Data'!$B$3:$B$3390,"&lt;&gt;Off-street")&gt;0,1,0)</f>
        <v>0</v>
      </c>
      <c r="L17">
        <f>IF(COUNTIFS('United Data'!$A$3:$A$3390,L$1,'United Data'!$C$3:$C$3390,$A17,'United Data'!$B$3:$B$3390,"&lt;&gt;Off-street")&gt;0,1,0)</f>
        <v>0</v>
      </c>
      <c r="M17">
        <f>IF(COUNTIFS('United Data'!$A$3:$A$3390,M$1,'United Data'!$C$3:$C$3390,$A17,'United Data'!$B$3:$B$3390,"&lt;&gt;Off-street")&gt;0,1,0)</f>
        <v>0</v>
      </c>
      <c r="N17">
        <f>IF(COUNTIFS('United Data'!$A$3:$A$3390,N$1,'United Data'!$C$3:$C$3390,$A17,'United Data'!$B$3:$B$3390,"&lt;&gt;Off-street")&gt;0,1,0)</f>
        <v>0</v>
      </c>
      <c r="O17">
        <f>IF(COUNTIFS('United Data'!$A$3:$A$3390,O$1,'United Data'!$C$3:$C$3390,$A17,'United Data'!$B$3:$B$3390,"&lt;&gt;Off-street")&gt;0,1,0)</f>
        <v>0</v>
      </c>
      <c r="P17">
        <f>IF(COUNTIFS('United Data'!$A$3:$A$3390,P$1,'United Data'!$C$3:$C$3390,$A17,'United Data'!$B$3:$B$3390,"&lt;&gt;Off-street")&gt;0,1,0)</f>
        <v>0</v>
      </c>
      <c r="Q17">
        <f>IF(COUNTIFS('United Data'!$A$3:$A$3390,Q$1,'United Data'!$C$3:$C$3390,$A17,'United Data'!$B$3:$B$3390,"&lt;&gt;Off-street")&gt;0,1,0)</f>
        <v>0</v>
      </c>
      <c r="R17">
        <f>IF(COUNTIFS('United Data'!$A$3:$A$3390,R$1,'United Data'!$C$3:$C$3390,$A17,'United Data'!$B$3:$B$3390,"&lt;&gt;Off-street")&gt;0,1,0)</f>
        <v>0</v>
      </c>
      <c r="S17">
        <f t="shared" si="0"/>
        <v>1</v>
      </c>
      <c r="T17">
        <f t="shared" si="1"/>
        <v>1</v>
      </c>
    </row>
    <row r="18" spans="1:20" x14ac:dyDescent="0.2">
      <c r="A18" t="s">
        <v>51</v>
      </c>
      <c r="B18">
        <f>IF(COUNTIFS('United Data'!$A$3:$A$3390,B$1,'United Data'!$C$3:$C$3390,$A18,'United Data'!$B$3:$B$3390,"&lt;&gt;Off-street")&gt;0,1,0)</f>
        <v>0</v>
      </c>
      <c r="C18">
        <f>IF(COUNTIFS('United Data'!$A$3:$A$3390,C$1,'United Data'!$C$3:$C$3390,$A18,'United Data'!$B$3:$B$3390,"&lt;&gt;Off-street")&gt;0,1,0)</f>
        <v>0</v>
      </c>
      <c r="D18">
        <f>IF(COUNTIFS('United Data'!$A$3:$A$3390,D$1,'United Data'!$C$3:$C$3390,$A18,'United Data'!$B$3:$B$3390,"&lt;&gt;Off-street")&gt;0,1,0)</f>
        <v>0</v>
      </c>
      <c r="E18">
        <f>IF(COUNTIFS('United Data'!$A$3:$A$3390,E$1,'United Data'!$C$3:$C$3390,$A18,'United Data'!$B$3:$B$3390,"&lt;&gt;Off-street")&gt;0,1,0)</f>
        <v>0</v>
      </c>
      <c r="F18">
        <f>IF(COUNTIFS('United Data'!$A$3:$A$3390,F$1,'United Data'!$C$3:$C$3390,$A18,'United Data'!$B$3:$B$3390,"&lt;&gt;Off-street")&gt;0,1,0)</f>
        <v>0</v>
      </c>
      <c r="G18">
        <f>IF(COUNTIFS('United Data'!$A$3:$A$3390,G$1,'United Data'!$C$3:$C$3390,$A18,'United Data'!$B$3:$B$3390,"&lt;&gt;Off-street")&gt;0,1,0)</f>
        <v>0</v>
      </c>
      <c r="H18">
        <f>IF(COUNTIFS('United Data'!$A$3:$A$3390,H$1,'United Data'!$C$3:$C$3390,$A18,'United Data'!$B$3:$B$3390,"&lt;&gt;Off-street")&gt;0,1,0)</f>
        <v>1</v>
      </c>
      <c r="I18">
        <f>IF(COUNTIFS('United Data'!$A$3:$A$3390,I$1,'United Data'!$C$3:$C$3390,$A18,'United Data'!$B$3:$B$3390,"&lt;&gt;Off-street")&gt;0,1,0)</f>
        <v>0</v>
      </c>
      <c r="J18">
        <f>IF(COUNTIFS('United Data'!$A$3:$A$3390,J$1,'United Data'!$C$3:$C$3390,$A18,'United Data'!$B$3:$B$3390,"&lt;&gt;Off-street")&gt;0,1,0)</f>
        <v>0</v>
      </c>
      <c r="K18">
        <f>IF(COUNTIFS('United Data'!$A$3:$A$3390,K$1,'United Data'!$C$3:$C$3390,$A18,'United Data'!$B$3:$B$3390,"&lt;&gt;Off-street")&gt;0,1,0)</f>
        <v>0</v>
      </c>
      <c r="L18">
        <f>IF(COUNTIFS('United Data'!$A$3:$A$3390,L$1,'United Data'!$C$3:$C$3390,$A18,'United Data'!$B$3:$B$3390,"&lt;&gt;Off-street")&gt;0,1,0)</f>
        <v>0</v>
      </c>
      <c r="M18">
        <f>IF(COUNTIFS('United Data'!$A$3:$A$3390,M$1,'United Data'!$C$3:$C$3390,$A18,'United Data'!$B$3:$B$3390,"&lt;&gt;Off-street")&gt;0,1,0)</f>
        <v>0</v>
      </c>
      <c r="N18">
        <f>IF(COUNTIFS('United Data'!$A$3:$A$3390,N$1,'United Data'!$C$3:$C$3390,$A18,'United Data'!$B$3:$B$3390,"&lt;&gt;Off-street")&gt;0,1,0)</f>
        <v>0</v>
      </c>
      <c r="O18">
        <f>IF(COUNTIFS('United Data'!$A$3:$A$3390,O$1,'United Data'!$C$3:$C$3390,$A18,'United Data'!$B$3:$B$3390,"&lt;&gt;Off-street")&gt;0,1,0)</f>
        <v>0</v>
      </c>
      <c r="P18">
        <f>IF(COUNTIFS('United Data'!$A$3:$A$3390,P$1,'United Data'!$C$3:$C$3390,$A18,'United Data'!$B$3:$B$3390,"&lt;&gt;Off-street")&gt;0,1,0)</f>
        <v>0</v>
      </c>
      <c r="Q18">
        <f>IF(COUNTIFS('United Data'!$A$3:$A$3390,Q$1,'United Data'!$C$3:$C$3390,$A18,'United Data'!$B$3:$B$3390,"&lt;&gt;Off-street")&gt;0,1,0)</f>
        <v>0</v>
      </c>
      <c r="R18">
        <f>IF(COUNTIFS('United Data'!$A$3:$A$3390,R$1,'United Data'!$C$3:$C$3390,$A18,'United Data'!$B$3:$B$3390,"&lt;&gt;Off-street")&gt;0,1,0)</f>
        <v>0</v>
      </c>
      <c r="S18">
        <f t="shared" si="0"/>
        <v>1</v>
      </c>
      <c r="T18">
        <f t="shared" si="1"/>
        <v>1</v>
      </c>
    </row>
    <row r="19" spans="1:20" x14ac:dyDescent="0.2">
      <c r="A19" t="s">
        <v>53</v>
      </c>
      <c r="B19">
        <f>IF(COUNTIFS('United Data'!$A$3:$A$3390,B$1,'United Data'!$C$3:$C$3390,$A19,'United Data'!$B$3:$B$3390,"&lt;&gt;Off-street")&gt;0,1,0)</f>
        <v>0</v>
      </c>
      <c r="C19">
        <f>IF(COUNTIFS('United Data'!$A$3:$A$3390,C$1,'United Data'!$C$3:$C$3390,$A19,'United Data'!$B$3:$B$3390,"&lt;&gt;Off-street")&gt;0,1,0)</f>
        <v>0</v>
      </c>
      <c r="D19">
        <f>IF(COUNTIFS('United Data'!$A$3:$A$3390,D$1,'United Data'!$C$3:$C$3390,$A19,'United Data'!$B$3:$B$3390,"&lt;&gt;Off-street")&gt;0,1,0)</f>
        <v>0</v>
      </c>
      <c r="E19">
        <f>IF(COUNTIFS('United Data'!$A$3:$A$3390,E$1,'United Data'!$C$3:$C$3390,$A19,'United Data'!$B$3:$B$3390,"&lt;&gt;Off-street")&gt;0,1,0)</f>
        <v>0</v>
      </c>
      <c r="F19">
        <f>IF(COUNTIFS('United Data'!$A$3:$A$3390,F$1,'United Data'!$C$3:$C$3390,$A19,'United Data'!$B$3:$B$3390,"&lt;&gt;Off-street")&gt;0,1,0)</f>
        <v>0</v>
      </c>
      <c r="G19">
        <f>IF(COUNTIFS('United Data'!$A$3:$A$3390,G$1,'United Data'!$C$3:$C$3390,$A19,'United Data'!$B$3:$B$3390,"&lt;&gt;Off-street")&gt;0,1,0)</f>
        <v>0</v>
      </c>
      <c r="H19">
        <f>IF(COUNTIFS('United Data'!$A$3:$A$3390,H$1,'United Data'!$C$3:$C$3390,$A19,'United Data'!$B$3:$B$3390,"&lt;&gt;Off-street")&gt;0,1,0)</f>
        <v>0</v>
      </c>
      <c r="I19">
        <f>IF(COUNTIFS('United Data'!$A$3:$A$3390,I$1,'United Data'!$C$3:$C$3390,$A19,'United Data'!$B$3:$B$3390,"&lt;&gt;Off-street")&gt;0,1,0)</f>
        <v>1</v>
      </c>
      <c r="J19">
        <f>IF(COUNTIFS('United Data'!$A$3:$A$3390,J$1,'United Data'!$C$3:$C$3390,$A19,'United Data'!$B$3:$B$3390,"&lt;&gt;Off-street")&gt;0,1,0)</f>
        <v>0</v>
      </c>
      <c r="K19">
        <f>IF(COUNTIFS('United Data'!$A$3:$A$3390,K$1,'United Data'!$C$3:$C$3390,$A19,'United Data'!$B$3:$B$3390,"&lt;&gt;Off-street")&gt;0,1,0)</f>
        <v>0</v>
      </c>
      <c r="L19">
        <f>IF(COUNTIFS('United Data'!$A$3:$A$3390,L$1,'United Data'!$C$3:$C$3390,$A19,'United Data'!$B$3:$B$3390,"&lt;&gt;Off-street")&gt;0,1,0)</f>
        <v>0</v>
      </c>
      <c r="M19">
        <f>IF(COUNTIFS('United Data'!$A$3:$A$3390,M$1,'United Data'!$C$3:$C$3390,$A19,'United Data'!$B$3:$B$3390,"&lt;&gt;Off-street")&gt;0,1,0)</f>
        <v>0</v>
      </c>
      <c r="N19">
        <f>IF(COUNTIFS('United Data'!$A$3:$A$3390,N$1,'United Data'!$C$3:$C$3390,$A19,'United Data'!$B$3:$B$3390,"&lt;&gt;Off-street")&gt;0,1,0)</f>
        <v>0</v>
      </c>
      <c r="O19">
        <f>IF(COUNTIFS('United Data'!$A$3:$A$3390,O$1,'United Data'!$C$3:$C$3390,$A19,'United Data'!$B$3:$B$3390,"&lt;&gt;Off-street")&gt;0,1,0)</f>
        <v>0</v>
      </c>
      <c r="P19">
        <f>IF(COUNTIFS('United Data'!$A$3:$A$3390,P$1,'United Data'!$C$3:$C$3390,$A19,'United Data'!$B$3:$B$3390,"&lt;&gt;Off-street")&gt;0,1,0)</f>
        <v>0</v>
      </c>
      <c r="Q19">
        <f>IF(COUNTIFS('United Data'!$A$3:$A$3390,Q$1,'United Data'!$C$3:$C$3390,$A19,'United Data'!$B$3:$B$3390,"&lt;&gt;Off-street")&gt;0,1,0)</f>
        <v>0</v>
      </c>
      <c r="R19">
        <f>IF(COUNTIFS('United Data'!$A$3:$A$3390,R$1,'United Data'!$C$3:$C$3390,$A19,'United Data'!$B$3:$B$3390,"&lt;&gt;Off-street")&gt;0,1,0)</f>
        <v>0</v>
      </c>
      <c r="S19">
        <f t="shared" si="0"/>
        <v>1</v>
      </c>
      <c r="T19">
        <f t="shared" si="1"/>
        <v>1</v>
      </c>
    </row>
    <row r="20" spans="1:20" x14ac:dyDescent="0.2">
      <c r="A20" t="s">
        <v>54</v>
      </c>
      <c r="B20">
        <f>IF(COUNTIFS('United Data'!$A$3:$A$3390,B$1,'United Data'!$C$3:$C$3390,$A20,'United Data'!$B$3:$B$3390,"&lt;&gt;Off-street")&gt;0,1,0)</f>
        <v>0</v>
      </c>
      <c r="C20">
        <f>IF(COUNTIFS('United Data'!$A$3:$A$3390,C$1,'United Data'!$C$3:$C$3390,$A20,'United Data'!$B$3:$B$3390,"&lt;&gt;Off-street")&gt;0,1,0)</f>
        <v>0</v>
      </c>
      <c r="D20">
        <f>IF(COUNTIFS('United Data'!$A$3:$A$3390,D$1,'United Data'!$C$3:$C$3390,$A20,'United Data'!$B$3:$B$3390,"&lt;&gt;Off-street")&gt;0,1,0)</f>
        <v>0</v>
      </c>
      <c r="E20">
        <f>IF(COUNTIFS('United Data'!$A$3:$A$3390,E$1,'United Data'!$C$3:$C$3390,$A20,'United Data'!$B$3:$B$3390,"&lt;&gt;Off-street")&gt;0,1,0)</f>
        <v>0</v>
      </c>
      <c r="F20">
        <f>IF(COUNTIFS('United Data'!$A$3:$A$3390,F$1,'United Data'!$C$3:$C$3390,$A20,'United Data'!$B$3:$B$3390,"&lt;&gt;Off-street")&gt;0,1,0)</f>
        <v>0</v>
      </c>
      <c r="G20">
        <f>IF(COUNTIFS('United Data'!$A$3:$A$3390,G$1,'United Data'!$C$3:$C$3390,$A20,'United Data'!$B$3:$B$3390,"&lt;&gt;Off-street")&gt;0,1,0)</f>
        <v>0</v>
      </c>
      <c r="H20">
        <f>IF(COUNTIFS('United Data'!$A$3:$A$3390,H$1,'United Data'!$C$3:$C$3390,$A20,'United Data'!$B$3:$B$3390,"&lt;&gt;Off-street")&gt;0,1,0)</f>
        <v>0</v>
      </c>
      <c r="I20">
        <f>IF(COUNTIFS('United Data'!$A$3:$A$3390,I$1,'United Data'!$C$3:$C$3390,$A20,'United Data'!$B$3:$B$3390,"&lt;&gt;Off-street")&gt;0,1,0)</f>
        <v>1</v>
      </c>
      <c r="J20">
        <f>IF(COUNTIFS('United Data'!$A$3:$A$3390,J$1,'United Data'!$C$3:$C$3390,$A20,'United Data'!$B$3:$B$3390,"&lt;&gt;Off-street")&gt;0,1,0)</f>
        <v>0</v>
      </c>
      <c r="K20">
        <f>IF(COUNTIFS('United Data'!$A$3:$A$3390,K$1,'United Data'!$C$3:$C$3390,$A20,'United Data'!$B$3:$B$3390,"&lt;&gt;Off-street")&gt;0,1,0)</f>
        <v>0</v>
      </c>
      <c r="L20">
        <f>IF(COUNTIFS('United Data'!$A$3:$A$3390,L$1,'United Data'!$C$3:$C$3390,$A20,'United Data'!$B$3:$B$3390,"&lt;&gt;Off-street")&gt;0,1,0)</f>
        <v>0</v>
      </c>
      <c r="M20">
        <f>IF(COUNTIFS('United Data'!$A$3:$A$3390,M$1,'United Data'!$C$3:$C$3390,$A20,'United Data'!$B$3:$B$3390,"&lt;&gt;Off-street")&gt;0,1,0)</f>
        <v>0</v>
      </c>
      <c r="N20">
        <f>IF(COUNTIFS('United Data'!$A$3:$A$3390,N$1,'United Data'!$C$3:$C$3390,$A20,'United Data'!$B$3:$B$3390,"&lt;&gt;Off-street")&gt;0,1,0)</f>
        <v>0</v>
      </c>
      <c r="O20">
        <f>IF(COUNTIFS('United Data'!$A$3:$A$3390,O$1,'United Data'!$C$3:$C$3390,$A20,'United Data'!$B$3:$B$3390,"&lt;&gt;Off-street")&gt;0,1,0)</f>
        <v>0</v>
      </c>
      <c r="P20">
        <f>IF(COUNTIFS('United Data'!$A$3:$A$3390,P$1,'United Data'!$C$3:$C$3390,$A20,'United Data'!$B$3:$B$3390,"&lt;&gt;Off-street")&gt;0,1,0)</f>
        <v>0</v>
      </c>
      <c r="Q20">
        <f>IF(COUNTIFS('United Data'!$A$3:$A$3390,Q$1,'United Data'!$C$3:$C$3390,$A20,'United Data'!$B$3:$B$3390,"&lt;&gt;Off-street")&gt;0,1,0)</f>
        <v>0</v>
      </c>
      <c r="R20">
        <f>IF(COUNTIFS('United Data'!$A$3:$A$3390,R$1,'United Data'!$C$3:$C$3390,$A20,'United Data'!$B$3:$B$3390,"&lt;&gt;Off-street")&gt;0,1,0)</f>
        <v>0</v>
      </c>
      <c r="S20">
        <f t="shared" si="0"/>
        <v>1</v>
      </c>
      <c r="T20">
        <f t="shared" si="1"/>
        <v>1</v>
      </c>
    </row>
    <row r="21" spans="1:20" x14ac:dyDescent="0.2">
      <c r="A21" t="s">
        <v>55</v>
      </c>
      <c r="B21">
        <f>IF(COUNTIFS('United Data'!$A$3:$A$3390,B$1,'United Data'!$C$3:$C$3390,$A21,'United Data'!$B$3:$B$3390,"&lt;&gt;Off-street")&gt;0,1,0)</f>
        <v>0</v>
      </c>
      <c r="C21">
        <f>IF(COUNTIFS('United Data'!$A$3:$A$3390,C$1,'United Data'!$C$3:$C$3390,$A21,'United Data'!$B$3:$B$3390,"&lt;&gt;Off-street")&gt;0,1,0)</f>
        <v>0</v>
      </c>
      <c r="D21">
        <f>IF(COUNTIFS('United Data'!$A$3:$A$3390,D$1,'United Data'!$C$3:$C$3390,$A21,'United Data'!$B$3:$B$3390,"&lt;&gt;Off-street")&gt;0,1,0)</f>
        <v>0</v>
      </c>
      <c r="E21">
        <f>IF(COUNTIFS('United Data'!$A$3:$A$3390,E$1,'United Data'!$C$3:$C$3390,$A21,'United Data'!$B$3:$B$3390,"&lt;&gt;Off-street")&gt;0,1,0)</f>
        <v>0</v>
      </c>
      <c r="F21">
        <f>IF(COUNTIFS('United Data'!$A$3:$A$3390,F$1,'United Data'!$C$3:$C$3390,$A21,'United Data'!$B$3:$B$3390,"&lt;&gt;Off-street")&gt;0,1,0)</f>
        <v>0</v>
      </c>
      <c r="G21">
        <f>IF(COUNTIFS('United Data'!$A$3:$A$3390,G$1,'United Data'!$C$3:$C$3390,$A21,'United Data'!$B$3:$B$3390,"&lt;&gt;Off-street")&gt;0,1,0)</f>
        <v>0</v>
      </c>
      <c r="H21">
        <f>IF(COUNTIFS('United Data'!$A$3:$A$3390,H$1,'United Data'!$C$3:$C$3390,$A21,'United Data'!$B$3:$B$3390,"&lt;&gt;Off-street")&gt;0,1,0)</f>
        <v>0</v>
      </c>
      <c r="I21">
        <f>IF(COUNTIFS('United Data'!$A$3:$A$3390,I$1,'United Data'!$C$3:$C$3390,$A21,'United Data'!$B$3:$B$3390,"&lt;&gt;Off-street")&gt;0,1,0)</f>
        <v>1</v>
      </c>
      <c r="J21">
        <f>IF(COUNTIFS('United Data'!$A$3:$A$3390,J$1,'United Data'!$C$3:$C$3390,$A21,'United Data'!$B$3:$B$3390,"&lt;&gt;Off-street")&gt;0,1,0)</f>
        <v>0</v>
      </c>
      <c r="K21">
        <f>IF(COUNTIFS('United Data'!$A$3:$A$3390,K$1,'United Data'!$C$3:$C$3390,$A21,'United Data'!$B$3:$B$3390,"&lt;&gt;Off-street")&gt;0,1,0)</f>
        <v>0</v>
      </c>
      <c r="L21">
        <f>IF(COUNTIFS('United Data'!$A$3:$A$3390,L$1,'United Data'!$C$3:$C$3390,$A21,'United Data'!$B$3:$B$3390,"&lt;&gt;Off-street")&gt;0,1,0)</f>
        <v>0</v>
      </c>
      <c r="M21">
        <f>IF(COUNTIFS('United Data'!$A$3:$A$3390,M$1,'United Data'!$C$3:$C$3390,$A21,'United Data'!$B$3:$B$3390,"&lt;&gt;Off-street")&gt;0,1,0)</f>
        <v>0</v>
      </c>
      <c r="N21">
        <f>IF(COUNTIFS('United Data'!$A$3:$A$3390,N$1,'United Data'!$C$3:$C$3390,$A21,'United Data'!$B$3:$B$3390,"&lt;&gt;Off-street")&gt;0,1,0)</f>
        <v>0</v>
      </c>
      <c r="O21">
        <f>IF(COUNTIFS('United Data'!$A$3:$A$3390,O$1,'United Data'!$C$3:$C$3390,$A21,'United Data'!$B$3:$B$3390,"&lt;&gt;Off-street")&gt;0,1,0)</f>
        <v>0</v>
      </c>
      <c r="P21">
        <f>IF(COUNTIFS('United Data'!$A$3:$A$3390,P$1,'United Data'!$C$3:$C$3390,$A21,'United Data'!$B$3:$B$3390,"&lt;&gt;Off-street")&gt;0,1,0)</f>
        <v>0</v>
      </c>
      <c r="Q21">
        <f>IF(COUNTIFS('United Data'!$A$3:$A$3390,Q$1,'United Data'!$C$3:$C$3390,$A21,'United Data'!$B$3:$B$3390,"&lt;&gt;Off-street")&gt;0,1,0)</f>
        <v>0</v>
      </c>
      <c r="R21">
        <f>IF(COUNTIFS('United Data'!$A$3:$A$3390,R$1,'United Data'!$C$3:$C$3390,$A21,'United Data'!$B$3:$B$3390,"&lt;&gt;Off-street")&gt;0,1,0)</f>
        <v>0</v>
      </c>
      <c r="S21">
        <f t="shared" si="0"/>
        <v>1</v>
      </c>
      <c r="T21">
        <f t="shared" si="1"/>
        <v>1</v>
      </c>
    </row>
    <row r="22" spans="1:20" x14ac:dyDescent="0.2">
      <c r="A22" t="s">
        <v>56</v>
      </c>
      <c r="B22">
        <f>IF(COUNTIFS('United Data'!$A$3:$A$3390,B$1,'United Data'!$C$3:$C$3390,$A22,'United Data'!$B$3:$B$3390,"&lt;&gt;Off-street")&gt;0,1,0)</f>
        <v>0</v>
      </c>
      <c r="C22">
        <f>IF(COUNTIFS('United Data'!$A$3:$A$3390,C$1,'United Data'!$C$3:$C$3390,$A22,'United Data'!$B$3:$B$3390,"&lt;&gt;Off-street")&gt;0,1,0)</f>
        <v>0</v>
      </c>
      <c r="D22">
        <f>IF(COUNTIFS('United Data'!$A$3:$A$3390,D$1,'United Data'!$C$3:$C$3390,$A22,'United Data'!$B$3:$B$3390,"&lt;&gt;Off-street")&gt;0,1,0)</f>
        <v>0</v>
      </c>
      <c r="E22">
        <f>IF(COUNTIFS('United Data'!$A$3:$A$3390,E$1,'United Data'!$C$3:$C$3390,$A22,'United Data'!$B$3:$B$3390,"&lt;&gt;Off-street")&gt;0,1,0)</f>
        <v>0</v>
      </c>
      <c r="F22">
        <f>IF(COUNTIFS('United Data'!$A$3:$A$3390,F$1,'United Data'!$C$3:$C$3390,$A22,'United Data'!$B$3:$B$3390,"&lt;&gt;Off-street")&gt;0,1,0)</f>
        <v>0</v>
      </c>
      <c r="G22">
        <f>IF(COUNTIFS('United Data'!$A$3:$A$3390,G$1,'United Data'!$C$3:$C$3390,$A22,'United Data'!$B$3:$B$3390,"&lt;&gt;Off-street")&gt;0,1,0)</f>
        <v>0</v>
      </c>
      <c r="H22">
        <f>IF(COUNTIFS('United Data'!$A$3:$A$3390,H$1,'United Data'!$C$3:$C$3390,$A22,'United Data'!$B$3:$B$3390,"&lt;&gt;Off-street")&gt;0,1,0)</f>
        <v>0</v>
      </c>
      <c r="I22">
        <f>IF(COUNTIFS('United Data'!$A$3:$A$3390,I$1,'United Data'!$C$3:$C$3390,$A22,'United Data'!$B$3:$B$3390,"&lt;&gt;Off-street")&gt;0,1,0)</f>
        <v>1</v>
      </c>
      <c r="J22">
        <f>IF(COUNTIFS('United Data'!$A$3:$A$3390,J$1,'United Data'!$C$3:$C$3390,$A22,'United Data'!$B$3:$B$3390,"&lt;&gt;Off-street")&gt;0,1,0)</f>
        <v>0</v>
      </c>
      <c r="K22">
        <f>IF(COUNTIFS('United Data'!$A$3:$A$3390,K$1,'United Data'!$C$3:$C$3390,$A22,'United Data'!$B$3:$B$3390,"&lt;&gt;Off-street")&gt;0,1,0)</f>
        <v>0</v>
      </c>
      <c r="L22">
        <f>IF(COUNTIFS('United Data'!$A$3:$A$3390,L$1,'United Data'!$C$3:$C$3390,$A22,'United Data'!$B$3:$B$3390,"&lt;&gt;Off-street")&gt;0,1,0)</f>
        <v>0</v>
      </c>
      <c r="M22">
        <f>IF(COUNTIFS('United Data'!$A$3:$A$3390,M$1,'United Data'!$C$3:$C$3390,$A22,'United Data'!$B$3:$B$3390,"&lt;&gt;Off-street")&gt;0,1,0)</f>
        <v>0</v>
      </c>
      <c r="N22">
        <f>IF(COUNTIFS('United Data'!$A$3:$A$3390,N$1,'United Data'!$C$3:$C$3390,$A22,'United Data'!$B$3:$B$3390,"&lt;&gt;Off-street")&gt;0,1,0)</f>
        <v>0</v>
      </c>
      <c r="O22">
        <f>IF(COUNTIFS('United Data'!$A$3:$A$3390,O$1,'United Data'!$C$3:$C$3390,$A22,'United Data'!$B$3:$B$3390,"&lt;&gt;Off-street")&gt;0,1,0)</f>
        <v>0</v>
      </c>
      <c r="P22">
        <f>IF(COUNTIFS('United Data'!$A$3:$A$3390,P$1,'United Data'!$C$3:$C$3390,$A22,'United Data'!$B$3:$B$3390,"&lt;&gt;Off-street")&gt;0,1,0)</f>
        <v>0</v>
      </c>
      <c r="Q22">
        <f>IF(COUNTIFS('United Data'!$A$3:$A$3390,Q$1,'United Data'!$C$3:$C$3390,$A22,'United Data'!$B$3:$B$3390,"&lt;&gt;Off-street")&gt;0,1,0)</f>
        <v>0</v>
      </c>
      <c r="R22">
        <f>IF(COUNTIFS('United Data'!$A$3:$A$3390,R$1,'United Data'!$C$3:$C$3390,$A22,'United Data'!$B$3:$B$3390,"&lt;&gt;Off-street")&gt;0,1,0)</f>
        <v>0</v>
      </c>
      <c r="S22">
        <f t="shared" si="0"/>
        <v>1</v>
      </c>
      <c r="T22">
        <f t="shared" si="1"/>
        <v>1</v>
      </c>
    </row>
    <row r="23" spans="1:20" x14ac:dyDescent="0.2">
      <c r="A23" t="s">
        <v>57</v>
      </c>
      <c r="B23">
        <f>IF(COUNTIFS('United Data'!$A$3:$A$3390,B$1,'United Data'!$C$3:$C$3390,$A23,'United Data'!$B$3:$B$3390,"&lt;&gt;Off-street")&gt;0,1,0)</f>
        <v>0</v>
      </c>
      <c r="C23">
        <f>IF(COUNTIFS('United Data'!$A$3:$A$3390,C$1,'United Data'!$C$3:$C$3390,$A23,'United Data'!$B$3:$B$3390,"&lt;&gt;Off-street")&gt;0,1,0)</f>
        <v>0</v>
      </c>
      <c r="D23">
        <f>IF(COUNTIFS('United Data'!$A$3:$A$3390,D$1,'United Data'!$C$3:$C$3390,$A23,'United Data'!$B$3:$B$3390,"&lt;&gt;Off-street")&gt;0,1,0)</f>
        <v>0</v>
      </c>
      <c r="E23">
        <f>IF(COUNTIFS('United Data'!$A$3:$A$3390,E$1,'United Data'!$C$3:$C$3390,$A23,'United Data'!$B$3:$B$3390,"&lt;&gt;Off-street")&gt;0,1,0)</f>
        <v>0</v>
      </c>
      <c r="F23">
        <f>IF(COUNTIFS('United Data'!$A$3:$A$3390,F$1,'United Data'!$C$3:$C$3390,$A23,'United Data'!$B$3:$B$3390,"&lt;&gt;Off-street")&gt;0,1,0)</f>
        <v>0</v>
      </c>
      <c r="G23">
        <f>IF(COUNTIFS('United Data'!$A$3:$A$3390,G$1,'United Data'!$C$3:$C$3390,$A23,'United Data'!$B$3:$B$3390,"&lt;&gt;Off-street")&gt;0,1,0)</f>
        <v>0</v>
      </c>
      <c r="H23">
        <f>IF(COUNTIFS('United Data'!$A$3:$A$3390,H$1,'United Data'!$C$3:$C$3390,$A23,'United Data'!$B$3:$B$3390,"&lt;&gt;Off-street")&gt;0,1,0)</f>
        <v>0</v>
      </c>
      <c r="I23">
        <f>IF(COUNTIFS('United Data'!$A$3:$A$3390,I$1,'United Data'!$C$3:$C$3390,$A23,'United Data'!$B$3:$B$3390,"&lt;&gt;Off-street")&gt;0,1,0)</f>
        <v>1</v>
      </c>
      <c r="J23">
        <f>IF(COUNTIFS('United Data'!$A$3:$A$3390,J$1,'United Data'!$C$3:$C$3390,$A23,'United Data'!$B$3:$B$3390,"&lt;&gt;Off-street")&gt;0,1,0)</f>
        <v>0</v>
      </c>
      <c r="K23">
        <f>IF(COUNTIFS('United Data'!$A$3:$A$3390,K$1,'United Data'!$C$3:$C$3390,$A23,'United Data'!$B$3:$B$3390,"&lt;&gt;Off-street")&gt;0,1,0)</f>
        <v>0</v>
      </c>
      <c r="L23">
        <f>IF(COUNTIFS('United Data'!$A$3:$A$3390,L$1,'United Data'!$C$3:$C$3390,$A23,'United Data'!$B$3:$B$3390,"&lt;&gt;Off-street")&gt;0,1,0)</f>
        <v>0</v>
      </c>
      <c r="M23">
        <f>IF(COUNTIFS('United Data'!$A$3:$A$3390,M$1,'United Data'!$C$3:$C$3390,$A23,'United Data'!$B$3:$B$3390,"&lt;&gt;Off-street")&gt;0,1,0)</f>
        <v>0</v>
      </c>
      <c r="N23">
        <f>IF(COUNTIFS('United Data'!$A$3:$A$3390,N$1,'United Data'!$C$3:$C$3390,$A23,'United Data'!$B$3:$B$3390,"&lt;&gt;Off-street")&gt;0,1,0)</f>
        <v>0</v>
      </c>
      <c r="O23">
        <f>IF(COUNTIFS('United Data'!$A$3:$A$3390,O$1,'United Data'!$C$3:$C$3390,$A23,'United Data'!$B$3:$B$3390,"&lt;&gt;Off-street")&gt;0,1,0)</f>
        <v>0</v>
      </c>
      <c r="P23">
        <f>IF(COUNTIFS('United Data'!$A$3:$A$3390,P$1,'United Data'!$C$3:$C$3390,$A23,'United Data'!$B$3:$B$3390,"&lt;&gt;Off-street")&gt;0,1,0)</f>
        <v>0</v>
      </c>
      <c r="Q23">
        <f>IF(COUNTIFS('United Data'!$A$3:$A$3390,Q$1,'United Data'!$C$3:$C$3390,$A23,'United Data'!$B$3:$B$3390,"&lt;&gt;Off-street")&gt;0,1,0)</f>
        <v>0</v>
      </c>
      <c r="R23">
        <f>IF(COUNTIFS('United Data'!$A$3:$A$3390,R$1,'United Data'!$C$3:$C$3390,$A23,'United Data'!$B$3:$B$3390,"&lt;&gt;Off-street")&gt;0,1,0)</f>
        <v>0</v>
      </c>
      <c r="S23">
        <f t="shared" si="0"/>
        <v>1</v>
      </c>
      <c r="T23">
        <f t="shared" si="1"/>
        <v>1</v>
      </c>
    </row>
    <row r="24" spans="1:20" x14ac:dyDescent="0.2">
      <c r="A24" t="s">
        <v>58</v>
      </c>
      <c r="B24">
        <f>IF(COUNTIFS('United Data'!$A$3:$A$3390,B$1,'United Data'!$C$3:$C$3390,$A24,'United Data'!$B$3:$B$3390,"&lt;&gt;Off-street")&gt;0,1,0)</f>
        <v>0</v>
      </c>
      <c r="C24">
        <f>IF(COUNTIFS('United Data'!$A$3:$A$3390,C$1,'United Data'!$C$3:$C$3390,$A24,'United Data'!$B$3:$B$3390,"&lt;&gt;Off-street")&gt;0,1,0)</f>
        <v>0</v>
      </c>
      <c r="D24">
        <f>IF(COUNTIFS('United Data'!$A$3:$A$3390,D$1,'United Data'!$C$3:$C$3390,$A24,'United Data'!$B$3:$B$3390,"&lt;&gt;Off-street")&gt;0,1,0)</f>
        <v>0</v>
      </c>
      <c r="E24">
        <f>IF(COUNTIFS('United Data'!$A$3:$A$3390,E$1,'United Data'!$C$3:$C$3390,$A24,'United Data'!$B$3:$B$3390,"&lt;&gt;Off-street")&gt;0,1,0)</f>
        <v>0</v>
      </c>
      <c r="F24">
        <f>IF(COUNTIFS('United Data'!$A$3:$A$3390,F$1,'United Data'!$C$3:$C$3390,$A24,'United Data'!$B$3:$B$3390,"&lt;&gt;Off-street")&gt;0,1,0)</f>
        <v>0</v>
      </c>
      <c r="G24">
        <f>IF(COUNTIFS('United Data'!$A$3:$A$3390,G$1,'United Data'!$C$3:$C$3390,$A24,'United Data'!$B$3:$B$3390,"&lt;&gt;Off-street")&gt;0,1,0)</f>
        <v>0</v>
      </c>
      <c r="H24">
        <f>IF(COUNTIFS('United Data'!$A$3:$A$3390,H$1,'United Data'!$C$3:$C$3390,$A24,'United Data'!$B$3:$B$3390,"&lt;&gt;Off-street")&gt;0,1,0)</f>
        <v>0</v>
      </c>
      <c r="I24">
        <f>IF(COUNTIFS('United Data'!$A$3:$A$3390,I$1,'United Data'!$C$3:$C$3390,$A24,'United Data'!$B$3:$B$3390,"&lt;&gt;Off-street")&gt;0,1,0)</f>
        <v>1</v>
      </c>
      <c r="J24">
        <f>IF(COUNTIFS('United Data'!$A$3:$A$3390,J$1,'United Data'!$C$3:$C$3390,$A24,'United Data'!$B$3:$B$3390,"&lt;&gt;Off-street")&gt;0,1,0)</f>
        <v>0</v>
      </c>
      <c r="K24">
        <f>IF(COUNTIFS('United Data'!$A$3:$A$3390,K$1,'United Data'!$C$3:$C$3390,$A24,'United Data'!$B$3:$B$3390,"&lt;&gt;Off-street")&gt;0,1,0)</f>
        <v>0</v>
      </c>
      <c r="L24">
        <f>IF(COUNTIFS('United Data'!$A$3:$A$3390,L$1,'United Data'!$C$3:$C$3390,$A24,'United Data'!$B$3:$B$3390,"&lt;&gt;Off-street")&gt;0,1,0)</f>
        <v>0</v>
      </c>
      <c r="M24">
        <f>IF(COUNTIFS('United Data'!$A$3:$A$3390,M$1,'United Data'!$C$3:$C$3390,$A24,'United Data'!$B$3:$B$3390,"&lt;&gt;Off-street")&gt;0,1,0)</f>
        <v>0</v>
      </c>
      <c r="N24">
        <f>IF(COUNTIFS('United Data'!$A$3:$A$3390,N$1,'United Data'!$C$3:$C$3390,$A24,'United Data'!$B$3:$B$3390,"&lt;&gt;Off-street")&gt;0,1,0)</f>
        <v>0</v>
      </c>
      <c r="O24">
        <f>IF(COUNTIFS('United Data'!$A$3:$A$3390,O$1,'United Data'!$C$3:$C$3390,$A24,'United Data'!$B$3:$B$3390,"&lt;&gt;Off-street")&gt;0,1,0)</f>
        <v>0</v>
      </c>
      <c r="P24">
        <f>IF(COUNTIFS('United Data'!$A$3:$A$3390,P$1,'United Data'!$C$3:$C$3390,$A24,'United Data'!$B$3:$B$3390,"&lt;&gt;Off-street")&gt;0,1,0)</f>
        <v>0</v>
      </c>
      <c r="Q24">
        <f>IF(COUNTIFS('United Data'!$A$3:$A$3390,Q$1,'United Data'!$C$3:$C$3390,$A24,'United Data'!$B$3:$B$3390,"&lt;&gt;Off-street")&gt;0,1,0)</f>
        <v>0</v>
      </c>
      <c r="R24">
        <f>IF(COUNTIFS('United Data'!$A$3:$A$3390,R$1,'United Data'!$C$3:$C$3390,$A24,'United Data'!$B$3:$B$3390,"&lt;&gt;Off-street")&gt;0,1,0)</f>
        <v>0</v>
      </c>
      <c r="S24">
        <f t="shared" si="0"/>
        <v>1</v>
      </c>
      <c r="T24">
        <f t="shared" si="1"/>
        <v>1</v>
      </c>
    </row>
    <row r="25" spans="1:20" x14ac:dyDescent="0.2">
      <c r="A25" t="s">
        <v>60</v>
      </c>
      <c r="B25">
        <f>IF(COUNTIFS('United Data'!$A$3:$A$3390,B$1,'United Data'!$C$3:$C$3390,$A25,'United Data'!$B$3:$B$3390,"&lt;&gt;Off-street")&gt;0,1,0)</f>
        <v>0</v>
      </c>
      <c r="C25">
        <f>IF(COUNTIFS('United Data'!$A$3:$A$3390,C$1,'United Data'!$C$3:$C$3390,$A25,'United Data'!$B$3:$B$3390,"&lt;&gt;Off-street")&gt;0,1,0)</f>
        <v>0</v>
      </c>
      <c r="D25">
        <f>IF(COUNTIFS('United Data'!$A$3:$A$3390,D$1,'United Data'!$C$3:$C$3390,$A25,'United Data'!$B$3:$B$3390,"&lt;&gt;Off-street")&gt;0,1,0)</f>
        <v>0</v>
      </c>
      <c r="E25">
        <f>IF(COUNTIFS('United Data'!$A$3:$A$3390,E$1,'United Data'!$C$3:$C$3390,$A25,'United Data'!$B$3:$B$3390,"&lt;&gt;Off-street")&gt;0,1,0)</f>
        <v>0</v>
      </c>
      <c r="F25">
        <f>IF(COUNTIFS('United Data'!$A$3:$A$3390,F$1,'United Data'!$C$3:$C$3390,$A25,'United Data'!$B$3:$B$3390,"&lt;&gt;Off-street")&gt;0,1,0)</f>
        <v>0</v>
      </c>
      <c r="G25">
        <f>IF(COUNTIFS('United Data'!$A$3:$A$3390,G$1,'United Data'!$C$3:$C$3390,$A25,'United Data'!$B$3:$B$3390,"&lt;&gt;Off-street")&gt;0,1,0)</f>
        <v>0</v>
      </c>
      <c r="H25">
        <f>IF(COUNTIFS('United Data'!$A$3:$A$3390,H$1,'United Data'!$C$3:$C$3390,$A25,'United Data'!$B$3:$B$3390,"&lt;&gt;Off-street")&gt;0,1,0)</f>
        <v>0</v>
      </c>
      <c r="I25">
        <f>IF(COUNTIFS('United Data'!$A$3:$A$3390,I$1,'United Data'!$C$3:$C$3390,$A25,'United Data'!$B$3:$B$3390,"&lt;&gt;Off-street")&gt;0,1,0)</f>
        <v>0</v>
      </c>
      <c r="J25">
        <f>IF(COUNTIFS('United Data'!$A$3:$A$3390,J$1,'United Data'!$C$3:$C$3390,$A25,'United Data'!$B$3:$B$3390,"&lt;&gt;Off-street")&gt;0,1,0)</f>
        <v>1</v>
      </c>
      <c r="K25">
        <f>IF(COUNTIFS('United Data'!$A$3:$A$3390,K$1,'United Data'!$C$3:$C$3390,$A25,'United Data'!$B$3:$B$3390,"&lt;&gt;Off-street")&gt;0,1,0)</f>
        <v>0</v>
      </c>
      <c r="L25">
        <f>IF(COUNTIFS('United Data'!$A$3:$A$3390,L$1,'United Data'!$C$3:$C$3390,$A25,'United Data'!$B$3:$B$3390,"&lt;&gt;Off-street")&gt;0,1,0)</f>
        <v>0</v>
      </c>
      <c r="M25">
        <f>IF(COUNTIFS('United Data'!$A$3:$A$3390,M$1,'United Data'!$C$3:$C$3390,$A25,'United Data'!$B$3:$B$3390,"&lt;&gt;Off-street")&gt;0,1,0)</f>
        <v>0</v>
      </c>
      <c r="N25">
        <f>IF(COUNTIFS('United Data'!$A$3:$A$3390,N$1,'United Data'!$C$3:$C$3390,$A25,'United Data'!$B$3:$B$3390,"&lt;&gt;Off-street")&gt;0,1,0)</f>
        <v>0</v>
      </c>
      <c r="O25">
        <f>IF(COUNTIFS('United Data'!$A$3:$A$3390,O$1,'United Data'!$C$3:$C$3390,$A25,'United Data'!$B$3:$B$3390,"&lt;&gt;Off-street")&gt;0,1,0)</f>
        <v>0</v>
      </c>
      <c r="P25">
        <f>IF(COUNTIFS('United Data'!$A$3:$A$3390,P$1,'United Data'!$C$3:$C$3390,$A25,'United Data'!$B$3:$B$3390,"&lt;&gt;Off-street")&gt;0,1,0)</f>
        <v>0</v>
      </c>
      <c r="Q25">
        <f>IF(COUNTIFS('United Data'!$A$3:$A$3390,Q$1,'United Data'!$C$3:$C$3390,$A25,'United Data'!$B$3:$B$3390,"&lt;&gt;Off-street")&gt;0,1,0)</f>
        <v>0</v>
      </c>
      <c r="R25">
        <f>IF(COUNTIFS('United Data'!$A$3:$A$3390,R$1,'United Data'!$C$3:$C$3390,$A25,'United Data'!$B$3:$B$3390,"&lt;&gt;Off-street")&gt;0,1,0)</f>
        <v>0</v>
      </c>
      <c r="S25">
        <f t="shared" si="0"/>
        <v>1</v>
      </c>
      <c r="T25">
        <f t="shared" si="1"/>
        <v>1</v>
      </c>
    </row>
    <row r="26" spans="1:20" x14ac:dyDescent="0.2">
      <c r="A26" t="s">
        <v>63</v>
      </c>
      <c r="B26">
        <f>IF(COUNTIFS('United Data'!$A$3:$A$3390,B$1,'United Data'!$C$3:$C$3390,$A26,'United Data'!$B$3:$B$3390,"&lt;&gt;Off-street")&gt;0,1,0)</f>
        <v>0</v>
      </c>
      <c r="C26">
        <f>IF(COUNTIFS('United Data'!$A$3:$A$3390,C$1,'United Data'!$C$3:$C$3390,$A26,'United Data'!$B$3:$B$3390,"&lt;&gt;Off-street")&gt;0,1,0)</f>
        <v>0</v>
      </c>
      <c r="D26">
        <f>IF(COUNTIFS('United Data'!$A$3:$A$3390,D$1,'United Data'!$C$3:$C$3390,$A26,'United Data'!$B$3:$B$3390,"&lt;&gt;Off-street")&gt;0,1,0)</f>
        <v>0</v>
      </c>
      <c r="E26">
        <f>IF(COUNTIFS('United Data'!$A$3:$A$3390,E$1,'United Data'!$C$3:$C$3390,$A26,'United Data'!$B$3:$B$3390,"&lt;&gt;Off-street")&gt;0,1,0)</f>
        <v>0</v>
      </c>
      <c r="F26">
        <f>IF(COUNTIFS('United Data'!$A$3:$A$3390,F$1,'United Data'!$C$3:$C$3390,$A26,'United Data'!$B$3:$B$3390,"&lt;&gt;Off-street")&gt;0,1,0)</f>
        <v>0</v>
      </c>
      <c r="G26">
        <f>IF(COUNTIFS('United Data'!$A$3:$A$3390,G$1,'United Data'!$C$3:$C$3390,$A26,'United Data'!$B$3:$B$3390,"&lt;&gt;Off-street")&gt;0,1,0)</f>
        <v>0</v>
      </c>
      <c r="H26">
        <f>IF(COUNTIFS('United Data'!$A$3:$A$3390,H$1,'United Data'!$C$3:$C$3390,$A26,'United Data'!$B$3:$B$3390,"&lt;&gt;Off-street")&gt;0,1,0)</f>
        <v>0</v>
      </c>
      <c r="I26">
        <f>IF(COUNTIFS('United Data'!$A$3:$A$3390,I$1,'United Data'!$C$3:$C$3390,$A26,'United Data'!$B$3:$B$3390,"&lt;&gt;Off-street")&gt;0,1,0)</f>
        <v>0</v>
      </c>
      <c r="J26">
        <f>IF(COUNTIFS('United Data'!$A$3:$A$3390,J$1,'United Data'!$C$3:$C$3390,$A26,'United Data'!$B$3:$B$3390,"&lt;&gt;Off-street")&gt;0,1,0)</f>
        <v>0</v>
      </c>
      <c r="K26">
        <f>IF(COUNTIFS('United Data'!$A$3:$A$3390,K$1,'United Data'!$C$3:$C$3390,$A26,'United Data'!$B$3:$B$3390,"&lt;&gt;Off-street")&gt;0,1,0)</f>
        <v>0</v>
      </c>
      <c r="L26">
        <f>IF(COUNTIFS('United Data'!$A$3:$A$3390,L$1,'United Data'!$C$3:$C$3390,$A26,'United Data'!$B$3:$B$3390,"&lt;&gt;Off-street")&gt;0,1,0)</f>
        <v>1</v>
      </c>
      <c r="M26">
        <f>IF(COUNTIFS('United Data'!$A$3:$A$3390,M$1,'United Data'!$C$3:$C$3390,$A26,'United Data'!$B$3:$B$3390,"&lt;&gt;Off-street")&gt;0,1,0)</f>
        <v>1</v>
      </c>
      <c r="N26">
        <f>IF(COUNTIFS('United Data'!$A$3:$A$3390,N$1,'United Data'!$C$3:$C$3390,$A26,'United Data'!$B$3:$B$3390,"&lt;&gt;Off-street")&gt;0,1,0)</f>
        <v>0</v>
      </c>
      <c r="O26">
        <f>IF(COUNTIFS('United Data'!$A$3:$A$3390,O$1,'United Data'!$C$3:$C$3390,$A26,'United Data'!$B$3:$B$3390,"&lt;&gt;Off-street")&gt;0,1,0)</f>
        <v>0</v>
      </c>
      <c r="P26">
        <f>IF(COUNTIFS('United Data'!$A$3:$A$3390,P$1,'United Data'!$C$3:$C$3390,$A26,'United Data'!$B$3:$B$3390,"&lt;&gt;Off-street")&gt;0,1,0)</f>
        <v>0</v>
      </c>
      <c r="Q26">
        <f>IF(COUNTIFS('United Data'!$A$3:$A$3390,Q$1,'United Data'!$C$3:$C$3390,$A26,'United Data'!$B$3:$B$3390,"&lt;&gt;Off-street")&gt;0,1,0)</f>
        <v>0</v>
      </c>
      <c r="R26">
        <f>IF(COUNTIFS('United Data'!$A$3:$A$3390,R$1,'United Data'!$C$3:$C$3390,$A26,'United Data'!$B$3:$B$3390,"&lt;&gt;Off-street")&gt;0,1,0)</f>
        <v>0</v>
      </c>
      <c r="S26">
        <f t="shared" si="0"/>
        <v>2</v>
      </c>
      <c r="T26">
        <f t="shared" si="1"/>
        <v>1</v>
      </c>
    </row>
    <row r="27" spans="1:20" x14ac:dyDescent="0.2">
      <c r="A27" t="s">
        <v>64</v>
      </c>
      <c r="B27">
        <f>IF(COUNTIFS('United Data'!$A$3:$A$3390,B$1,'United Data'!$C$3:$C$3390,$A27,'United Data'!$B$3:$B$3390,"&lt;&gt;Off-street")&gt;0,1,0)</f>
        <v>0</v>
      </c>
      <c r="C27">
        <f>IF(COUNTIFS('United Data'!$A$3:$A$3390,C$1,'United Data'!$C$3:$C$3390,$A27,'United Data'!$B$3:$B$3390,"&lt;&gt;Off-street")&gt;0,1,0)</f>
        <v>0</v>
      </c>
      <c r="D27">
        <f>IF(COUNTIFS('United Data'!$A$3:$A$3390,D$1,'United Data'!$C$3:$C$3390,$A27,'United Data'!$B$3:$B$3390,"&lt;&gt;Off-street")&gt;0,1,0)</f>
        <v>0</v>
      </c>
      <c r="E27">
        <f>IF(COUNTIFS('United Data'!$A$3:$A$3390,E$1,'United Data'!$C$3:$C$3390,$A27,'United Data'!$B$3:$B$3390,"&lt;&gt;Off-street")&gt;0,1,0)</f>
        <v>0</v>
      </c>
      <c r="F27">
        <f>IF(COUNTIFS('United Data'!$A$3:$A$3390,F$1,'United Data'!$C$3:$C$3390,$A27,'United Data'!$B$3:$B$3390,"&lt;&gt;Off-street")&gt;0,1,0)</f>
        <v>0</v>
      </c>
      <c r="G27">
        <f>IF(COUNTIFS('United Data'!$A$3:$A$3390,G$1,'United Data'!$C$3:$C$3390,$A27,'United Data'!$B$3:$B$3390,"&lt;&gt;Off-street")&gt;0,1,0)</f>
        <v>0</v>
      </c>
      <c r="H27">
        <f>IF(COUNTIFS('United Data'!$A$3:$A$3390,H$1,'United Data'!$C$3:$C$3390,$A27,'United Data'!$B$3:$B$3390,"&lt;&gt;Off-street")&gt;0,1,0)</f>
        <v>0</v>
      </c>
      <c r="I27">
        <f>IF(COUNTIFS('United Data'!$A$3:$A$3390,I$1,'United Data'!$C$3:$C$3390,$A27,'United Data'!$B$3:$B$3390,"&lt;&gt;Off-street")&gt;0,1,0)</f>
        <v>0</v>
      </c>
      <c r="J27">
        <f>IF(COUNTIFS('United Data'!$A$3:$A$3390,J$1,'United Data'!$C$3:$C$3390,$A27,'United Data'!$B$3:$B$3390,"&lt;&gt;Off-street")&gt;0,1,0)</f>
        <v>0</v>
      </c>
      <c r="K27">
        <f>IF(COUNTIFS('United Data'!$A$3:$A$3390,K$1,'United Data'!$C$3:$C$3390,$A27,'United Data'!$B$3:$B$3390,"&lt;&gt;Off-street")&gt;0,1,0)</f>
        <v>0</v>
      </c>
      <c r="L27">
        <f>IF(COUNTIFS('United Data'!$A$3:$A$3390,L$1,'United Data'!$C$3:$C$3390,$A27,'United Data'!$B$3:$B$3390,"&lt;&gt;Off-street")&gt;0,1,0)</f>
        <v>1</v>
      </c>
      <c r="M27">
        <f>IF(COUNTIFS('United Data'!$A$3:$A$3390,M$1,'United Data'!$C$3:$C$3390,$A27,'United Data'!$B$3:$B$3390,"&lt;&gt;Off-street")&gt;0,1,0)</f>
        <v>0</v>
      </c>
      <c r="N27">
        <f>IF(COUNTIFS('United Data'!$A$3:$A$3390,N$1,'United Data'!$C$3:$C$3390,$A27,'United Data'!$B$3:$B$3390,"&lt;&gt;Off-street")&gt;0,1,0)</f>
        <v>0</v>
      </c>
      <c r="O27">
        <f>IF(COUNTIFS('United Data'!$A$3:$A$3390,O$1,'United Data'!$C$3:$C$3390,$A27,'United Data'!$B$3:$B$3390,"&lt;&gt;Off-street")&gt;0,1,0)</f>
        <v>0</v>
      </c>
      <c r="P27">
        <f>IF(COUNTIFS('United Data'!$A$3:$A$3390,P$1,'United Data'!$C$3:$C$3390,$A27,'United Data'!$B$3:$B$3390,"&lt;&gt;Off-street")&gt;0,1,0)</f>
        <v>0</v>
      </c>
      <c r="Q27">
        <f>IF(COUNTIFS('United Data'!$A$3:$A$3390,Q$1,'United Data'!$C$3:$C$3390,$A27,'United Data'!$B$3:$B$3390,"&lt;&gt;Off-street")&gt;0,1,0)</f>
        <v>0</v>
      </c>
      <c r="R27">
        <f>IF(COUNTIFS('United Data'!$A$3:$A$3390,R$1,'United Data'!$C$3:$C$3390,$A27,'United Data'!$B$3:$B$3390,"&lt;&gt;Off-street")&gt;0,1,0)</f>
        <v>0</v>
      </c>
      <c r="S27">
        <f t="shared" si="0"/>
        <v>1</v>
      </c>
      <c r="T27">
        <f t="shared" si="1"/>
        <v>1</v>
      </c>
    </row>
    <row r="28" spans="1:20" x14ac:dyDescent="0.2">
      <c r="A28" t="s">
        <v>65</v>
      </c>
      <c r="B28">
        <f>IF(COUNTIFS('United Data'!$A$3:$A$3390,B$1,'United Data'!$C$3:$C$3390,$A28,'United Data'!$B$3:$B$3390,"&lt;&gt;Off-street")&gt;0,1,0)</f>
        <v>0</v>
      </c>
      <c r="C28">
        <f>IF(COUNTIFS('United Data'!$A$3:$A$3390,C$1,'United Data'!$C$3:$C$3390,$A28,'United Data'!$B$3:$B$3390,"&lt;&gt;Off-street")&gt;0,1,0)</f>
        <v>0</v>
      </c>
      <c r="D28">
        <f>IF(COUNTIFS('United Data'!$A$3:$A$3390,D$1,'United Data'!$C$3:$C$3390,$A28,'United Data'!$B$3:$B$3390,"&lt;&gt;Off-street")&gt;0,1,0)</f>
        <v>0</v>
      </c>
      <c r="E28">
        <f>IF(COUNTIFS('United Data'!$A$3:$A$3390,E$1,'United Data'!$C$3:$C$3390,$A28,'United Data'!$B$3:$B$3390,"&lt;&gt;Off-street")&gt;0,1,0)</f>
        <v>0</v>
      </c>
      <c r="F28">
        <f>IF(COUNTIFS('United Data'!$A$3:$A$3390,F$1,'United Data'!$C$3:$C$3390,$A28,'United Data'!$B$3:$B$3390,"&lt;&gt;Off-street")&gt;0,1,0)</f>
        <v>0</v>
      </c>
      <c r="G28">
        <f>IF(COUNTIFS('United Data'!$A$3:$A$3390,G$1,'United Data'!$C$3:$C$3390,$A28,'United Data'!$B$3:$B$3390,"&lt;&gt;Off-street")&gt;0,1,0)</f>
        <v>0</v>
      </c>
      <c r="H28">
        <f>IF(COUNTIFS('United Data'!$A$3:$A$3390,H$1,'United Data'!$C$3:$C$3390,$A28,'United Data'!$B$3:$B$3390,"&lt;&gt;Off-street")&gt;0,1,0)</f>
        <v>0</v>
      </c>
      <c r="I28">
        <f>IF(COUNTIFS('United Data'!$A$3:$A$3390,I$1,'United Data'!$C$3:$C$3390,$A28,'United Data'!$B$3:$B$3390,"&lt;&gt;Off-street")&gt;0,1,0)</f>
        <v>0</v>
      </c>
      <c r="J28">
        <f>IF(COUNTIFS('United Data'!$A$3:$A$3390,J$1,'United Data'!$C$3:$C$3390,$A28,'United Data'!$B$3:$B$3390,"&lt;&gt;Off-street")&gt;0,1,0)</f>
        <v>0</v>
      </c>
      <c r="K28">
        <f>IF(COUNTIFS('United Data'!$A$3:$A$3390,K$1,'United Data'!$C$3:$C$3390,$A28,'United Data'!$B$3:$B$3390,"&lt;&gt;Off-street")&gt;0,1,0)</f>
        <v>0</v>
      </c>
      <c r="L28">
        <f>IF(COUNTIFS('United Data'!$A$3:$A$3390,L$1,'United Data'!$C$3:$C$3390,$A28,'United Data'!$B$3:$B$3390,"&lt;&gt;Off-street")&gt;0,1,0)</f>
        <v>1</v>
      </c>
      <c r="M28">
        <f>IF(COUNTIFS('United Data'!$A$3:$A$3390,M$1,'United Data'!$C$3:$C$3390,$A28,'United Data'!$B$3:$B$3390,"&lt;&gt;Off-street")&gt;0,1,0)</f>
        <v>0</v>
      </c>
      <c r="N28">
        <f>IF(COUNTIFS('United Data'!$A$3:$A$3390,N$1,'United Data'!$C$3:$C$3390,$A28,'United Data'!$B$3:$B$3390,"&lt;&gt;Off-street")&gt;0,1,0)</f>
        <v>0</v>
      </c>
      <c r="O28">
        <f>IF(COUNTIFS('United Data'!$A$3:$A$3390,O$1,'United Data'!$C$3:$C$3390,$A28,'United Data'!$B$3:$B$3390,"&lt;&gt;Off-street")&gt;0,1,0)</f>
        <v>0</v>
      </c>
      <c r="P28">
        <f>IF(COUNTIFS('United Data'!$A$3:$A$3390,P$1,'United Data'!$C$3:$C$3390,$A28,'United Data'!$B$3:$B$3390,"&lt;&gt;Off-street")&gt;0,1,0)</f>
        <v>0</v>
      </c>
      <c r="Q28">
        <f>IF(COUNTIFS('United Data'!$A$3:$A$3390,Q$1,'United Data'!$C$3:$C$3390,$A28,'United Data'!$B$3:$B$3390,"&lt;&gt;Off-street")&gt;0,1,0)</f>
        <v>0</v>
      </c>
      <c r="R28">
        <f>IF(COUNTIFS('United Data'!$A$3:$A$3390,R$1,'United Data'!$C$3:$C$3390,$A28,'United Data'!$B$3:$B$3390,"&lt;&gt;Off-street")&gt;0,1,0)</f>
        <v>0</v>
      </c>
      <c r="S28">
        <f t="shared" si="0"/>
        <v>1</v>
      </c>
      <c r="T28">
        <f t="shared" si="1"/>
        <v>1</v>
      </c>
    </row>
    <row r="29" spans="1:20" x14ac:dyDescent="0.2">
      <c r="A29" t="s">
        <v>66</v>
      </c>
      <c r="B29">
        <f>IF(COUNTIFS('United Data'!$A$3:$A$3390,B$1,'United Data'!$C$3:$C$3390,$A29,'United Data'!$B$3:$B$3390,"&lt;&gt;Off-street")&gt;0,1,0)</f>
        <v>0</v>
      </c>
      <c r="C29">
        <f>IF(COUNTIFS('United Data'!$A$3:$A$3390,C$1,'United Data'!$C$3:$C$3390,$A29,'United Data'!$B$3:$B$3390,"&lt;&gt;Off-street")&gt;0,1,0)</f>
        <v>0</v>
      </c>
      <c r="D29">
        <f>IF(COUNTIFS('United Data'!$A$3:$A$3390,D$1,'United Data'!$C$3:$C$3390,$A29,'United Data'!$B$3:$B$3390,"&lt;&gt;Off-street")&gt;0,1,0)</f>
        <v>0</v>
      </c>
      <c r="E29">
        <f>IF(COUNTIFS('United Data'!$A$3:$A$3390,E$1,'United Data'!$C$3:$C$3390,$A29,'United Data'!$B$3:$B$3390,"&lt;&gt;Off-street")&gt;0,1,0)</f>
        <v>0</v>
      </c>
      <c r="F29">
        <f>IF(COUNTIFS('United Data'!$A$3:$A$3390,F$1,'United Data'!$C$3:$C$3390,$A29,'United Data'!$B$3:$B$3390,"&lt;&gt;Off-street")&gt;0,1,0)</f>
        <v>0</v>
      </c>
      <c r="G29">
        <f>IF(COUNTIFS('United Data'!$A$3:$A$3390,G$1,'United Data'!$C$3:$C$3390,$A29,'United Data'!$B$3:$B$3390,"&lt;&gt;Off-street")&gt;0,1,0)</f>
        <v>0</v>
      </c>
      <c r="H29">
        <f>IF(COUNTIFS('United Data'!$A$3:$A$3390,H$1,'United Data'!$C$3:$C$3390,$A29,'United Data'!$B$3:$B$3390,"&lt;&gt;Off-street")&gt;0,1,0)</f>
        <v>0</v>
      </c>
      <c r="I29">
        <f>IF(COUNTIFS('United Data'!$A$3:$A$3390,I$1,'United Data'!$C$3:$C$3390,$A29,'United Data'!$B$3:$B$3390,"&lt;&gt;Off-street")&gt;0,1,0)</f>
        <v>0</v>
      </c>
      <c r="J29">
        <f>IF(COUNTIFS('United Data'!$A$3:$A$3390,J$1,'United Data'!$C$3:$C$3390,$A29,'United Data'!$B$3:$B$3390,"&lt;&gt;Off-street")&gt;0,1,0)</f>
        <v>0</v>
      </c>
      <c r="K29">
        <f>IF(COUNTIFS('United Data'!$A$3:$A$3390,K$1,'United Data'!$C$3:$C$3390,$A29,'United Data'!$B$3:$B$3390,"&lt;&gt;Off-street")&gt;0,1,0)</f>
        <v>0</v>
      </c>
      <c r="L29">
        <f>IF(COUNTIFS('United Data'!$A$3:$A$3390,L$1,'United Data'!$C$3:$C$3390,$A29,'United Data'!$B$3:$B$3390,"&lt;&gt;Off-street")&gt;0,1,0)</f>
        <v>1</v>
      </c>
      <c r="M29">
        <f>IF(COUNTIFS('United Data'!$A$3:$A$3390,M$1,'United Data'!$C$3:$C$3390,$A29,'United Data'!$B$3:$B$3390,"&lt;&gt;Off-street")&gt;0,1,0)</f>
        <v>0</v>
      </c>
      <c r="N29">
        <f>IF(COUNTIFS('United Data'!$A$3:$A$3390,N$1,'United Data'!$C$3:$C$3390,$A29,'United Data'!$B$3:$B$3390,"&lt;&gt;Off-street")&gt;0,1,0)</f>
        <v>0</v>
      </c>
      <c r="O29">
        <f>IF(COUNTIFS('United Data'!$A$3:$A$3390,O$1,'United Data'!$C$3:$C$3390,$A29,'United Data'!$B$3:$B$3390,"&lt;&gt;Off-street")&gt;0,1,0)</f>
        <v>0</v>
      </c>
      <c r="P29">
        <f>IF(COUNTIFS('United Data'!$A$3:$A$3390,P$1,'United Data'!$C$3:$C$3390,$A29,'United Data'!$B$3:$B$3390,"&lt;&gt;Off-street")&gt;0,1,0)</f>
        <v>0</v>
      </c>
      <c r="Q29">
        <f>IF(COUNTIFS('United Data'!$A$3:$A$3390,Q$1,'United Data'!$C$3:$C$3390,$A29,'United Data'!$B$3:$B$3390,"&lt;&gt;Off-street")&gt;0,1,0)</f>
        <v>0</v>
      </c>
      <c r="R29">
        <f>IF(COUNTIFS('United Data'!$A$3:$A$3390,R$1,'United Data'!$C$3:$C$3390,$A29,'United Data'!$B$3:$B$3390,"&lt;&gt;Off-street")&gt;0,1,0)</f>
        <v>0</v>
      </c>
      <c r="S29">
        <f t="shared" si="0"/>
        <v>1</v>
      </c>
      <c r="T29">
        <f t="shared" si="1"/>
        <v>1</v>
      </c>
    </row>
    <row r="30" spans="1:20" x14ac:dyDescent="0.2">
      <c r="A30" t="s">
        <v>67</v>
      </c>
      <c r="B30">
        <f>IF(COUNTIFS('United Data'!$A$3:$A$3390,B$1,'United Data'!$C$3:$C$3390,$A30,'United Data'!$B$3:$B$3390,"&lt;&gt;Off-street")&gt;0,1,0)</f>
        <v>0</v>
      </c>
      <c r="C30">
        <f>IF(COUNTIFS('United Data'!$A$3:$A$3390,C$1,'United Data'!$C$3:$C$3390,$A30,'United Data'!$B$3:$B$3390,"&lt;&gt;Off-street")&gt;0,1,0)</f>
        <v>0</v>
      </c>
      <c r="D30">
        <f>IF(COUNTIFS('United Data'!$A$3:$A$3390,D$1,'United Data'!$C$3:$C$3390,$A30,'United Data'!$B$3:$B$3390,"&lt;&gt;Off-street")&gt;0,1,0)</f>
        <v>0</v>
      </c>
      <c r="E30">
        <f>IF(COUNTIFS('United Data'!$A$3:$A$3390,E$1,'United Data'!$C$3:$C$3390,$A30,'United Data'!$B$3:$B$3390,"&lt;&gt;Off-street")&gt;0,1,0)</f>
        <v>0</v>
      </c>
      <c r="F30">
        <f>IF(COUNTIFS('United Data'!$A$3:$A$3390,F$1,'United Data'!$C$3:$C$3390,$A30,'United Data'!$B$3:$B$3390,"&lt;&gt;Off-street")&gt;0,1,0)</f>
        <v>0</v>
      </c>
      <c r="G30">
        <f>IF(COUNTIFS('United Data'!$A$3:$A$3390,G$1,'United Data'!$C$3:$C$3390,$A30,'United Data'!$B$3:$B$3390,"&lt;&gt;Off-street")&gt;0,1,0)</f>
        <v>0</v>
      </c>
      <c r="H30">
        <f>IF(COUNTIFS('United Data'!$A$3:$A$3390,H$1,'United Data'!$C$3:$C$3390,$A30,'United Data'!$B$3:$B$3390,"&lt;&gt;Off-street")&gt;0,1,0)</f>
        <v>0</v>
      </c>
      <c r="I30">
        <f>IF(COUNTIFS('United Data'!$A$3:$A$3390,I$1,'United Data'!$C$3:$C$3390,$A30,'United Data'!$B$3:$B$3390,"&lt;&gt;Off-street")&gt;0,1,0)</f>
        <v>0</v>
      </c>
      <c r="J30">
        <f>IF(COUNTIFS('United Data'!$A$3:$A$3390,J$1,'United Data'!$C$3:$C$3390,$A30,'United Data'!$B$3:$B$3390,"&lt;&gt;Off-street")&gt;0,1,0)</f>
        <v>0</v>
      </c>
      <c r="K30">
        <f>IF(COUNTIFS('United Data'!$A$3:$A$3390,K$1,'United Data'!$C$3:$C$3390,$A30,'United Data'!$B$3:$B$3390,"&lt;&gt;Off-street")&gt;0,1,0)</f>
        <v>0</v>
      </c>
      <c r="L30">
        <f>IF(COUNTIFS('United Data'!$A$3:$A$3390,L$1,'United Data'!$C$3:$C$3390,$A30,'United Data'!$B$3:$B$3390,"&lt;&gt;Off-street")&gt;0,1,0)</f>
        <v>1</v>
      </c>
      <c r="M30">
        <f>IF(COUNTIFS('United Data'!$A$3:$A$3390,M$1,'United Data'!$C$3:$C$3390,$A30,'United Data'!$B$3:$B$3390,"&lt;&gt;Off-street")&gt;0,1,0)</f>
        <v>0</v>
      </c>
      <c r="N30">
        <f>IF(COUNTIFS('United Data'!$A$3:$A$3390,N$1,'United Data'!$C$3:$C$3390,$A30,'United Data'!$B$3:$B$3390,"&lt;&gt;Off-street")&gt;0,1,0)</f>
        <v>0</v>
      </c>
      <c r="O30">
        <f>IF(COUNTIFS('United Data'!$A$3:$A$3390,O$1,'United Data'!$C$3:$C$3390,$A30,'United Data'!$B$3:$B$3390,"&lt;&gt;Off-street")&gt;0,1,0)</f>
        <v>0</v>
      </c>
      <c r="P30">
        <f>IF(COUNTIFS('United Data'!$A$3:$A$3390,P$1,'United Data'!$C$3:$C$3390,$A30,'United Data'!$B$3:$B$3390,"&lt;&gt;Off-street")&gt;0,1,0)</f>
        <v>0</v>
      </c>
      <c r="Q30">
        <f>IF(COUNTIFS('United Data'!$A$3:$A$3390,Q$1,'United Data'!$C$3:$C$3390,$A30,'United Data'!$B$3:$B$3390,"&lt;&gt;Off-street")&gt;0,1,0)</f>
        <v>0</v>
      </c>
      <c r="R30">
        <f>IF(COUNTIFS('United Data'!$A$3:$A$3390,R$1,'United Data'!$C$3:$C$3390,$A30,'United Data'!$B$3:$B$3390,"&lt;&gt;Off-street")&gt;0,1,0)</f>
        <v>0</v>
      </c>
      <c r="S30">
        <f t="shared" si="0"/>
        <v>1</v>
      </c>
      <c r="T30">
        <f t="shared" si="1"/>
        <v>1</v>
      </c>
    </row>
    <row r="31" spans="1:20" x14ac:dyDescent="0.2">
      <c r="A31" t="s">
        <v>68</v>
      </c>
      <c r="B31">
        <f>IF(COUNTIFS('United Data'!$A$3:$A$3390,B$1,'United Data'!$C$3:$C$3390,$A31,'United Data'!$B$3:$B$3390,"&lt;&gt;Off-street")&gt;0,1,0)</f>
        <v>0</v>
      </c>
      <c r="C31">
        <f>IF(COUNTIFS('United Data'!$A$3:$A$3390,C$1,'United Data'!$C$3:$C$3390,$A31,'United Data'!$B$3:$B$3390,"&lt;&gt;Off-street")&gt;0,1,0)</f>
        <v>0</v>
      </c>
      <c r="D31">
        <f>IF(COUNTIFS('United Data'!$A$3:$A$3390,D$1,'United Data'!$C$3:$C$3390,$A31,'United Data'!$B$3:$B$3390,"&lt;&gt;Off-street")&gt;0,1,0)</f>
        <v>0</v>
      </c>
      <c r="E31">
        <f>IF(COUNTIFS('United Data'!$A$3:$A$3390,E$1,'United Data'!$C$3:$C$3390,$A31,'United Data'!$B$3:$B$3390,"&lt;&gt;Off-street")&gt;0,1,0)</f>
        <v>0</v>
      </c>
      <c r="F31">
        <f>IF(COUNTIFS('United Data'!$A$3:$A$3390,F$1,'United Data'!$C$3:$C$3390,$A31,'United Data'!$B$3:$B$3390,"&lt;&gt;Off-street")&gt;0,1,0)</f>
        <v>0</v>
      </c>
      <c r="G31">
        <f>IF(COUNTIFS('United Data'!$A$3:$A$3390,G$1,'United Data'!$C$3:$C$3390,$A31,'United Data'!$B$3:$B$3390,"&lt;&gt;Off-street")&gt;0,1,0)</f>
        <v>0</v>
      </c>
      <c r="H31">
        <f>IF(COUNTIFS('United Data'!$A$3:$A$3390,H$1,'United Data'!$C$3:$C$3390,$A31,'United Data'!$B$3:$B$3390,"&lt;&gt;Off-street")&gt;0,1,0)</f>
        <v>0</v>
      </c>
      <c r="I31">
        <f>IF(COUNTIFS('United Data'!$A$3:$A$3390,I$1,'United Data'!$C$3:$C$3390,$A31,'United Data'!$B$3:$B$3390,"&lt;&gt;Off-street")&gt;0,1,0)</f>
        <v>0</v>
      </c>
      <c r="J31">
        <f>IF(COUNTIFS('United Data'!$A$3:$A$3390,J$1,'United Data'!$C$3:$C$3390,$A31,'United Data'!$B$3:$B$3390,"&lt;&gt;Off-street")&gt;0,1,0)</f>
        <v>0</v>
      </c>
      <c r="K31">
        <f>IF(COUNTIFS('United Data'!$A$3:$A$3390,K$1,'United Data'!$C$3:$C$3390,$A31,'United Data'!$B$3:$B$3390,"&lt;&gt;Off-street")&gt;0,1,0)</f>
        <v>0</v>
      </c>
      <c r="L31">
        <f>IF(COUNTIFS('United Data'!$A$3:$A$3390,L$1,'United Data'!$C$3:$C$3390,$A31,'United Data'!$B$3:$B$3390,"&lt;&gt;Off-street")&gt;0,1,0)</f>
        <v>1</v>
      </c>
      <c r="M31">
        <f>IF(COUNTIFS('United Data'!$A$3:$A$3390,M$1,'United Data'!$C$3:$C$3390,$A31,'United Data'!$B$3:$B$3390,"&lt;&gt;Off-street")&gt;0,1,0)</f>
        <v>0</v>
      </c>
      <c r="N31">
        <f>IF(COUNTIFS('United Data'!$A$3:$A$3390,N$1,'United Data'!$C$3:$C$3390,$A31,'United Data'!$B$3:$B$3390,"&lt;&gt;Off-street")&gt;0,1,0)</f>
        <v>0</v>
      </c>
      <c r="O31">
        <f>IF(COUNTIFS('United Data'!$A$3:$A$3390,O$1,'United Data'!$C$3:$C$3390,$A31,'United Data'!$B$3:$B$3390,"&lt;&gt;Off-street")&gt;0,1,0)</f>
        <v>0</v>
      </c>
      <c r="P31">
        <f>IF(COUNTIFS('United Data'!$A$3:$A$3390,P$1,'United Data'!$C$3:$C$3390,$A31,'United Data'!$B$3:$B$3390,"&lt;&gt;Off-street")&gt;0,1,0)</f>
        <v>0</v>
      </c>
      <c r="Q31">
        <f>IF(COUNTIFS('United Data'!$A$3:$A$3390,Q$1,'United Data'!$C$3:$C$3390,$A31,'United Data'!$B$3:$B$3390,"&lt;&gt;Off-street")&gt;0,1,0)</f>
        <v>0</v>
      </c>
      <c r="R31">
        <f>IF(COUNTIFS('United Data'!$A$3:$A$3390,R$1,'United Data'!$C$3:$C$3390,$A31,'United Data'!$B$3:$B$3390,"&lt;&gt;Off-street")&gt;0,1,0)</f>
        <v>0</v>
      </c>
      <c r="S31">
        <f t="shared" si="0"/>
        <v>1</v>
      </c>
      <c r="T31">
        <f t="shared" si="1"/>
        <v>1</v>
      </c>
    </row>
    <row r="32" spans="1:20" x14ac:dyDescent="0.2">
      <c r="A32" t="s">
        <v>69</v>
      </c>
      <c r="B32">
        <f>IF(COUNTIFS('United Data'!$A$3:$A$3390,B$1,'United Data'!$C$3:$C$3390,$A32,'United Data'!$B$3:$B$3390,"&lt;&gt;Off-street")&gt;0,1,0)</f>
        <v>0</v>
      </c>
      <c r="C32">
        <f>IF(COUNTIFS('United Data'!$A$3:$A$3390,C$1,'United Data'!$C$3:$C$3390,$A32,'United Data'!$B$3:$B$3390,"&lt;&gt;Off-street")&gt;0,1,0)</f>
        <v>0</v>
      </c>
      <c r="D32">
        <f>IF(COUNTIFS('United Data'!$A$3:$A$3390,D$1,'United Data'!$C$3:$C$3390,$A32,'United Data'!$B$3:$B$3390,"&lt;&gt;Off-street")&gt;0,1,0)</f>
        <v>0</v>
      </c>
      <c r="E32">
        <f>IF(COUNTIFS('United Data'!$A$3:$A$3390,E$1,'United Data'!$C$3:$C$3390,$A32,'United Data'!$B$3:$B$3390,"&lt;&gt;Off-street")&gt;0,1,0)</f>
        <v>0</v>
      </c>
      <c r="F32">
        <f>IF(COUNTIFS('United Data'!$A$3:$A$3390,F$1,'United Data'!$C$3:$C$3390,$A32,'United Data'!$B$3:$B$3390,"&lt;&gt;Off-street")&gt;0,1,0)</f>
        <v>0</v>
      </c>
      <c r="G32">
        <f>IF(COUNTIFS('United Data'!$A$3:$A$3390,G$1,'United Data'!$C$3:$C$3390,$A32,'United Data'!$B$3:$B$3390,"&lt;&gt;Off-street")&gt;0,1,0)</f>
        <v>0</v>
      </c>
      <c r="H32">
        <f>IF(COUNTIFS('United Data'!$A$3:$A$3390,H$1,'United Data'!$C$3:$C$3390,$A32,'United Data'!$B$3:$B$3390,"&lt;&gt;Off-street")&gt;0,1,0)</f>
        <v>0</v>
      </c>
      <c r="I32">
        <f>IF(COUNTIFS('United Data'!$A$3:$A$3390,I$1,'United Data'!$C$3:$C$3390,$A32,'United Data'!$B$3:$B$3390,"&lt;&gt;Off-street")&gt;0,1,0)</f>
        <v>0</v>
      </c>
      <c r="J32">
        <f>IF(COUNTIFS('United Data'!$A$3:$A$3390,J$1,'United Data'!$C$3:$C$3390,$A32,'United Data'!$B$3:$B$3390,"&lt;&gt;Off-street")&gt;0,1,0)</f>
        <v>0</v>
      </c>
      <c r="K32">
        <f>IF(COUNTIFS('United Data'!$A$3:$A$3390,K$1,'United Data'!$C$3:$C$3390,$A32,'United Data'!$B$3:$B$3390,"&lt;&gt;Off-street")&gt;0,1,0)</f>
        <v>0</v>
      </c>
      <c r="L32">
        <f>IF(COUNTIFS('United Data'!$A$3:$A$3390,L$1,'United Data'!$C$3:$C$3390,$A32,'United Data'!$B$3:$B$3390,"&lt;&gt;Off-street")&gt;0,1,0)</f>
        <v>1</v>
      </c>
      <c r="M32">
        <f>IF(COUNTIFS('United Data'!$A$3:$A$3390,M$1,'United Data'!$C$3:$C$3390,$A32,'United Data'!$B$3:$B$3390,"&lt;&gt;Off-street")&gt;0,1,0)</f>
        <v>0</v>
      </c>
      <c r="N32">
        <f>IF(COUNTIFS('United Data'!$A$3:$A$3390,N$1,'United Data'!$C$3:$C$3390,$A32,'United Data'!$B$3:$B$3390,"&lt;&gt;Off-street")&gt;0,1,0)</f>
        <v>0</v>
      </c>
      <c r="O32">
        <f>IF(COUNTIFS('United Data'!$A$3:$A$3390,O$1,'United Data'!$C$3:$C$3390,$A32,'United Data'!$B$3:$B$3390,"&lt;&gt;Off-street")&gt;0,1,0)</f>
        <v>0</v>
      </c>
      <c r="P32">
        <f>IF(COUNTIFS('United Data'!$A$3:$A$3390,P$1,'United Data'!$C$3:$C$3390,$A32,'United Data'!$B$3:$B$3390,"&lt;&gt;Off-street")&gt;0,1,0)</f>
        <v>0</v>
      </c>
      <c r="Q32">
        <f>IF(COUNTIFS('United Data'!$A$3:$A$3390,Q$1,'United Data'!$C$3:$C$3390,$A32,'United Data'!$B$3:$B$3390,"&lt;&gt;Off-street")&gt;0,1,0)</f>
        <v>0</v>
      </c>
      <c r="R32">
        <f>IF(COUNTIFS('United Data'!$A$3:$A$3390,R$1,'United Data'!$C$3:$C$3390,$A32,'United Data'!$B$3:$B$3390,"&lt;&gt;Off-street")&gt;0,1,0)</f>
        <v>0</v>
      </c>
      <c r="S32">
        <f t="shared" si="0"/>
        <v>1</v>
      </c>
      <c r="T32">
        <f t="shared" si="1"/>
        <v>1</v>
      </c>
    </row>
    <row r="33" spans="1:20" x14ac:dyDescent="0.2">
      <c r="A33" t="s">
        <v>71</v>
      </c>
      <c r="B33">
        <f>IF(COUNTIFS('United Data'!$A$3:$A$3390,B$1,'United Data'!$C$3:$C$3390,$A33,'United Data'!$B$3:$B$3390,"&lt;&gt;Off-street")&gt;0,1,0)</f>
        <v>0</v>
      </c>
      <c r="C33">
        <f>IF(COUNTIFS('United Data'!$A$3:$A$3390,C$1,'United Data'!$C$3:$C$3390,$A33,'United Data'!$B$3:$B$3390,"&lt;&gt;Off-street")&gt;0,1,0)</f>
        <v>0</v>
      </c>
      <c r="D33">
        <f>IF(COUNTIFS('United Data'!$A$3:$A$3390,D$1,'United Data'!$C$3:$C$3390,$A33,'United Data'!$B$3:$B$3390,"&lt;&gt;Off-street")&gt;0,1,0)</f>
        <v>0</v>
      </c>
      <c r="E33">
        <f>IF(COUNTIFS('United Data'!$A$3:$A$3390,E$1,'United Data'!$C$3:$C$3390,$A33,'United Data'!$B$3:$B$3390,"&lt;&gt;Off-street")&gt;0,1,0)</f>
        <v>0</v>
      </c>
      <c r="F33">
        <f>IF(COUNTIFS('United Data'!$A$3:$A$3390,F$1,'United Data'!$C$3:$C$3390,$A33,'United Data'!$B$3:$B$3390,"&lt;&gt;Off-street")&gt;0,1,0)</f>
        <v>0</v>
      </c>
      <c r="G33">
        <f>IF(COUNTIFS('United Data'!$A$3:$A$3390,G$1,'United Data'!$C$3:$C$3390,$A33,'United Data'!$B$3:$B$3390,"&lt;&gt;Off-street")&gt;0,1,0)</f>
        <v>0</v>
      </c>
      <c r="H33">
        <f>IF(COUNTIFS('United Data'!$A$3:$A$3390,H$1,'United Data'!$C$3:$C$3390,$A33,'United Data'!$B$3:$B$3390,"&lt;&gt;Off-street")&gt;0,1,0)</f>
        <v>0</v>
      </c>
      <c r="I33">
        <f>IF(COUNTIFS('United Data'!$A$3:$A$3390,I$1,'United Data'!$C$3:$C$3390,$A33,'United Data'!$B$3:$B$3390,"&lt;&gt;Off-street")&gt;0,1,0)</f>
        <v>0</v>
      </c>
      <c r="J33">
        <f>IF(COUNTIFS('United Data'!$A$3:$A$3390,J$1,'United Data'!$C$3:$C$3390,$A33,'United Data'!$B$3:$B$3390,"&lt;&gt;Off-street")&gt;0,1,0)</f>
        <v>0</v>
      </c>
      <c r="K33">
        <f>IF(COUNTIFS('United Data'!$A$3:$A$3390,K$1,'United Data'!$C$3:$C$3390,$A33,'United Data'!$B$3:$B$3390,"&lt;&gt;Off-street")&gt;0,1,0)</f>
        <v>0</v>
      </c>
      <c r="L33">
        <f>IF(COUNTIFS('United Data'!$A$3:$A$3390,L$1,'United Data'!$C$3:$C$3390,$A33,'United Data'!$B$3:$B$3390,"&lt;&gt;Off-street")&gt;0,1,0)</f>
        <v>1</v>
      </c>
      <c r="M33">
        <f>IF(COUNTIFS('United Data'!$A$3:$A$3390,M$1,'United Data'!$C$3:$C$3390,$A33,'United Data'!$B$3:$B$3390,"&lt;&gt;Off-street")&gt;0,1,0)</f>
        <v>1</v>
      </c>
      <c r="N33">
        <f>IF(COUNTIFS('United Data'!$A$3:$A$3390,N$1,'United Data'!$C$3:$C$3390,$A33,'United Data'!$B$3:$B$3390,"&lt;&gt;Off-street")&gt;0,1,0)</f>
        <v>0</v>
      </c>
      <c r="O33">
        <f>IF(COUNTIFS('United Data'!$A$3:$A$3390,O$1,'United Data'!$C$3:$C$3390,$A33,'United Data'!$B$3:$B$3390,"&lt;&gt;Off-street")&gt;0,1,0)</f>
        <v>1</v>
      </c>
      <c r="P33">
        <f>IF(COUNTIFS('United Data'!$A$3:$A$3390,P$1,'United Data'!$C$3:$C$3390,$A33,'United Data'!$B$3:$B$3390,"&lt;&gt;Off-street")&gt;0,1,0)</f>
        <v>0</v>
      </c>
      <c r="Q33">
        <f>IF(COUNTIFS('United Data'!$A$3:$A$3390,Q$1,'United Data'!$C$3:$C$3390,$A33,'United Data'!$B$3:$B$3390,"&lt;&gt;Off-street")&gt;0,1,0)</f>
        <v>1</v>
      </c>
      <c r="R33">
        <f>IF(COUNTIFS('United Data'!$A$3:$A$3390,R$1,'United Data'!$C$3:$C$3390,$A33,'United Data'!$B$3:$B$3390,"&lt;&gt;Off-street")&gt;0,1,0)</f>
        <v>0</v>
      </c>
      <c r="S33">
        <f t="shared" si="0"/>
        <v>4</v>
      </c>
      <c r="T33">
        <f t="shared" si="1"/>
        <v>3</v>
      </c>
    </row>
    <row r="34" spans="1:20" x14ac:dyDescent="0.2">
      <c r="A34" t="s">
        <v>72</v>
      </c>
      <c r="B34">
        <f>IF(COUNTIFS('United Data'!$A$3:$A$3390,B$1,'United Data'!$C$3:$C$3390,$A34,'United Data'!$B$3:$B$3390,"&lt;&gt;Off-street")&gt;0,1,0)</f>
        <v>0</v>
      </c>
      <c r="C34">
        <f>IF(COUNTIFS('United Data'!$A$3:$A$3390,C$1,'United Data'!$C$3:$C$3390,$A34,'United Data'!$B$3:$B$3390,"&lt;&gt;Off-street")&gt;0,1,0)</f>
        <v>0</v>
      </c>
      <c r="D34">
        <f>IF(COUNTIFS('United Data'!$A$3:$A$3390,D$1,'United Data'!$C$3:$C$3390,$A34,'United Data'!$B$3:$B$3390,"&lt;&gt;Off-street")&gt;0,1,0)</f>
        <v>0</v>
      </c>
      <c r="E34">
        <f>IF(COUNTIFS('United Data'!$A$3:$A$3390,E$1,'United Data'!$C$3:$C$3390,$A34,'United Data'!$B$3:$B$3390,"&lt;&gt;Off-street")&gt;0,1,0)</f>
        <v>0</v>
      </c>
      <c r="F34">
        <f>IF(COUNTIFS('United Data'!$A$3:$A$3390,F$1,'United Data'!$C$3:$C$3390,$A34,'United Data'!$B$3:$B$3390,"&lt;&gt;Off-street")&gt;0,1,0)</f>
        <v>0</v>
      </c>
      <c r="G34">
        <f>IF(COUNTIFS('United Data'!$A$3:$A$3390,G$1,'United Data'!$C$3:$C$3390,$A34,'United Data'!$B$3:$B$3390,"&lt;&gt;Off-street")&gt;0,1,0)</f>
        <v>0</v>
      </c>
      <c r="H34">
        <f>IF(COUNTIFS('United Data'!$A$3:$A$3390,H$1,'United Data'!$C$3:$C$3390,$A34,'United Data'!$B$3:$B$3390,"&lt;&gt;Off-street")&gt;0,1,0)</f>
        <v>0</v>
      </c>
      <c r="I34">
        <f>IF(COUNTIFS('United Data'!$A$3:$A$3390,I$1,'United Data'!$C$3:$C$3390,$A34,'United Data'!$B$3:$B$3390,"&lt;&gt;Off-street")&gt;0,1,0)</f>
        <v>0</v>
      </c>
      <c r="J34">
        <f>IF(COUNTIFS('United Data'!$A$3:$A$3390,J$1,'United Data'!$C$3:$C$3390,$A34,'United Data'!$B$3:$B$3390,"&lt;&gt;Off-street")&gt;0,1,0)</f>
        <v>0</v>
      </c>
      <c r="K34">
        <f>IF(COUNTIFS('United Data'!$A$3:$A$3390,K$1,'United Data'!$C$3:$C$3390,$A34,'United Data'!$B$3:$B$3390,"&lt;&gt;Off-street")&gt;0,1,0)</f>
        <v>0</v>
      </c>
      <c r="L34">
        <f>IF(COUNTIFS('United Data'!$A$3:$A$3390,L$1,'United Data'!$C$3:$C$3390,$A34,'United Data'!$B$3:$B$3390,"&lt;&gt;Off-street")&gt;0,1,0)</f>
        <v>0</v>
      </c>
      <c r="M34">
        <f>IF(COUNTIFS('United Data'!$A$3:$A$3390,M$1,'United Data'!$C$3:$C$3390,$A34,'United Data'!$B$3:$B$3390,"&lt;&gt;Off-street")&gt;0,1,0)</f>
        <v>1</v>
      </c>
      <c r="N34">
        <f>IF(COUNTIFS('United Data'!$A$3:$A$3390,N$1,'United Data'!$C$3:$C$3390,$A34,'United Data'!$B$3:$B$3390,"&lt;&gt;Off-street")&gt;0,1,0)</f>
        <v>0</v>
      </c>
      <c r="O34">
        <f>IF(COUNTIFS('United Data'!$A$3:$A$3390,O$1,'United Data'!$C$3:$C$3390,$A34,'United Data'!$B$3:$B$3390,"&lt;&gt;Off-street")&gt;0,1,0)</f>
        <v>0</v>
      </c>
      <c r="P34">
        <f>IF(COUNTIFS('United Data'!$A$3:$A$3390,P$1,'United Data'!$C$3:$C$3390,$A34,'United Data'!$B$3:$B$3390,"&lt;&gt;Off-street")&gt;0,1,0)</f>
        <v>0</v>
      </c>
      <c r="Q34">
        <f>IF(COUNTIFS('United Data'!$A$3:$A$3390,Q$1,'United Data'!$C$3:$C$3390,$A34,'United Data'!$B$3:$B$3390,"&lt;&gt;Off-street")&gt;0,1,0)</f>
        <v>0</v>
      </c>
      <c r="R34">
        <f>IF(COUNTIFS('United Data'!$A$3:$A$3390,R$1,'United Data'!$C$3:$C$3390,$A34,'United Data'!$B$3:$B$3390,"&lt;&gt;Off-street")&gt;0,1,0)</f>
        <v>0</v>
      </c>
      <c r="S34">
        <f t="shared" si="0"/>
        <v>1</v>
      </c>
      <c r="T34">
        <f t="shared" si="1"/>
        <v>1</v>
      </c>
    </row>
    <row r="35" spans="1:20" x14ac:dyDescent="0.2">
      <c r="A35" t="s">
        <v>74</v>
      </c>
      <c r="B35">
        <f>IF(COUNTIFS('United Data'!$A$3:$A$3390,B$1,'United Data'!$C$3:$C$3390,$A35,'United Data'!$B$3:$B$3390,"&lt;&gt;Off-street")&gt;0,1,0)</f>
        <v>0</v>
      </c>
      <c r="C35">
        <f>IF(COUNTIFS('United Data'!$A$3:$A$3390,C$1,'United Data'!$C$3:$C$3390,$A35,'United Data'!$B$3:$B$3390,"&lt;&gt;Off-street")&gt;0,1,0)</f>
        <v>0</v>
      </c>
      <c r="D35">
        <f>IF(COUNTIFS('United Data'!$A$3:$A$3390,D$1,'United Data'!$C$3:$C$3390,$A35,'United Data'!$B$3:$B$3390,"&lt;&gt;Off-street")&gt;0,1,0)</f>
        <v>0</v>
      </c>
      <c r="E35">
        <f>IF(COUNTIFS('United Data'!$A$3:$A$3390,E$1,'United Data'!$C$3:$C$3390,$A35,'United Data'!$B$3:$B$3390,"&lt;&gt;Off-street")&gt;0,1,0)</f>
        <v>0</v>
      </c>
      <c r="F35">
        <f>IF(COUNTIFS('United Data'!$A$3:$A$3390,F$1,'United Data'!$C$3:$C$3390,$A35,'United Data'!$B$3:$B$3390,"&lt;&gt;Off-street")&gt;0,1,0)</f>
        <v>0</v>
      </c>
      <c r="G35">
        <f>IF(COUNTIFS('United Data'!$A$3:$A$3390,G$1,'United Data'!$C$3:$C$3390,$A35,'United Data'!$B$3:$B$3390,"&lt;&gt;Off-street")&gt;0,1,0)</f>
        <v>0</v>
      </c>
      <c r="H35">
        <f>IF(COUNTIFS('United Data'!$A$3:$A$3390,H$1,'United Data'!$C$3:$C$3390,$A35,'United Data'!$B$3:$B$3390,"&lt;&gt;Off-street")&gt;0,1,0)</f>
        <v>0</v>
      </c>
      <c r="I35">
        <f>IF(COUNTIFS('United Data'!$A$3:$A$3390,I$1,'United Data'!$C$3:$C$3390,$A35,'United Data'!$B$3:$B$3390,"&lt;&gt;Off-street")&gt;0,1,0)</f>
        <v>0</v>
      </c>
      <c r="J35">
        <f>IF(COUNTIFS('United Data'!$A$3:$A$3390,J$1,'United Data'!$C$3:$C$3390,$A35,'United Data'!$B$3:$B$3390,"&lt;&gt;Off-street")&gt;0,1,0)</f>
        <v>0</v>
      </c>
      <c r="K35">
        <f>IF(COUNTIFS('United Data'!$A$3:$A$3390,K$1,'United Data'!$C$3:$C$3390,$A35,'United Data'!$B$3:$B$3390,"&lt;&gt;Off-street")&gt;0,1,0)</f>
        <v>0</v>
      </c>
      <c r="L35">
        <f>IF(COUNTIFS('United Data'!$A$3:$A$3390,L$1,'United Data'!$C$3:$C$3390,$A35,'United Data'!$B$3:$B$3390,"&lt;&gt;Off-street")&gt;0,1,0)</f>
        <v>0</v>
      </c>
      <c r="M35">
        <f>IF(COUNTIFS('United Data'!$A$3:$A$3390,M$1,'United Data'!$C$3:$C$3390,$A35,'United Data'!$B$3:$B$3390,"&lt;&gt;Off-street")&gt;0,1,0)</f>
        <v>0</v>
      </c>
      <c r="N35">
        <f>IF(COUNTIFS('United Data'!$A$3:$A$3390,N$1,'United Data'!$C$3:$C$3390,$A35,'United Data'!$B$3:$B$3390,"&lt;&gt;Off-street")&gt;0,1,0)</f>
        <v>1</v>
      </c>
      <c r="O35">
        <f>IF(COUNTIFS('United Data'!$A$3:$A$3390,O$1,'United Data'!$C$3:$C$3390,$A35,'United Data'!$B$3:$B$3390,"&lt;&gt;Off-street")&gt;0,1,0)</f>
        <v>1</v>
      </c>
      <c r="P35">
        <f>IF(COUNTIFS('United Data'!$A$3:$A$3390,P$1,'United Data'!$C$3:$C$3390,$A35,'United Data'!$B$3:$B$3390,"&lt;&gt;Off-street")&gt;0,1,0)</f>
        <v>0</v>
      </c>
      <c r="Q35">
        <f>IF(COUNTIFS('United Data'!$A$3:$A$3390,Q$1,'United Data'!$C$3:$C$3390,$A35,'United Data'!$B$3:$B$3390,"&lt;&gt;Off-street")&gt;0,1,0)</f>
        <v>0</v>
      </c>
      <c r="R35">
        <f>IF(COUNTIFS('United Data'!$A$3:$A$3390,R$1,'United Data'!$C$3:$C$3390,$A35,'United Data'!$B$3:$B$3390,"&lt;&gt;Off-street")&gt;0,1,0)</f>
        <v>0</v>
      </c>
      <c r="S35">
        <f t="shared" si="0"/>
        <v>2</v>
      </c>
      <c r="T35">
        <f t="shared" si="1"/>
        <v>1</v>
      </c>
    </row>
    <row r="36" spans="1:20" x14ac:dyDescent="0.2">
      <c r="A36" t="s">
        <v>75</v>
      </c>
      <c r="B36">
        <f>IF(COUNTIFS('United Data'!$A$3:$A$3390,B$1,'United Data'!$C$3:$C$3390,$A36,'United Data'!$B$3:$B$3390,"&lt;&gt;Off-street")&gt;0,1,0)</f>
        <v>0</v>
      </c>
      <c r="C36">
        <f>IF(COUNTIFS('United Data'!$A$3:$A$3390,C$1,'United Data'!$C$3:$C$3390,$A36,'United Data'!$B$3:$B$3390,"&lt;&gt;Off-street")&gt;0,1,0)</f>
        <v>0</v>
      </c>
      <c r="D36">
        <f>IF(COUNTIFS('United Data'!$A$3:$A$3390,D$1,'United Data'!$C$3:$C$3390,$A36,'United Data'!$B$3:$B$3390,"&lt;&gt;Off-street")&gt;0,1,0)</f>
        <v>0</v>
      </c>
      <c r="E36">
        <f>IF(COUNTIFS('United Data'!$A$3:$A$3390,E$1,'United Data'!$C$3:$C$3390,$A36,'United Data'!$B$3:$B$3390,"&lt;&gt;Off-street")&gt;0,1,0)</f>
        <v>0</v>
      </c>
      <c r="F36">
        <f>IF(COUNTIFS('United Data'!$A$3:$A$3390,F$1,'United Data'!$C$3:$C$3390,$A36,'United Data'!$B$3:$B$3390,"&lt;&gt;Off-street")&gt;0,1,0)</f>
        <v>0</v>
      </c>
      <c r="G36">
        <f>IF(COUNTIFS('United Data'!$A$3:$A$3390,G$1,'United Data'!$C$3:$C$3390,$A36,'United Data'!$B$3:$B$3390,"&lt;&gt;Off-street")&gt;0,1,0)</f>
        <v>0</v>
      </c>
      <c r="H36">
        <f>IF(COUNTIFS('United Data'!$A$3:$A$3390,H$1,'United Data'!$C$3:$C$3390,$A36,'United Data'!$B$3:$B$3390,"&lt;&gt;Off-street")&gt;0,1,0)</f>
        <v>0</v>
      </c>
      <c r="I36">
        <f>IF(COUNTIFS('United Data'!$A$3:$A$3390,I$1,'United Data'!$C$3:$C$3390,$A36,'United Data'!$B$3:$B$3390,"&lt;&gt;Off-street")&gt;0,1,0)</f>
        <v>0</v>
      </c>
      <c r="J36">
        <f>IF(COUNTIFS('United Data'!$A$3:$A$3390,J$1,'United Data'!$C$3:$C$3390,$A36,'United Data'!$B$3:$B$3390,"&lt;&gt;Off-street")&gt;0,1,0)</f>
        <v>0</v>
      </c>
      <c r="K36">
        <f>IF(COUNTIFS('United Data'!$A$3:$A$3390,K$1,'United Data'!$C$3:$C$3390,$A36,'United Data'!$B$3:$B$3390,"&lt;&gt;Off-street")&gt;0,1,0)</f>
        <v>0</v>
      </c>
      <c r="L36">
        <f>IF(COUNTIFS('United Data'!$A$3:$A$3390,L$1,'United Data'!$C$3:$C$3390,$A36,'United Data'!$B$3:$B$3390,"&lt;&gt;Off-street")&gt;0,1,0)</f>
        <v>0</v>
      </c>
      <c r="M36">
        <f>IF(COUNTIFS('United Data'!$A$3:$A$3390,M$1,'United Data'!$C$3:$C$3390,$A36,'United Data'!$B$3:$B$3390,"&lt;&gt;Off-street")&gt;0,1,0)</f>
        <v>0</v>
      </c>
      <c r="N36">
        <f>IF(COUNTIFS('United Data'!$A$3:$A$3390,N$1,'United Data'!$C$3:$C$3390,$A36,'United Data'!$B$3:$B$3390,"&lt;&gt;Off-street")&gt;0,1,0)</f>
        <v>1</v>
      </c>
      <c r="O36">
        <f>IF(COUNTIFS('United Data'!$A$3:$A$3390,O$1,'United Data'!$C$3:$C$3390,$A36,'United Data'!$B$3:$B$3390,"&lt;&gt;Off-street")&gt;0,1,0)</f>
        <v>0</v>
      </c>
      <c r="P36">
        <f>IF(COUNTIFS('United Data'!$A$3:$A$3390,P$1,'United Data'!$C$3:$C$3390,$A36,'United Data'!$B$3:$B$3390,"&lt;&gt;Off-street")&gt;0,1,0)</f>
        <v>0</v>
      </c>
      <c r="Q36">
        <f>IF(COUNTIFS('United Data'!$A$3:$A$3390,Q$1,'United Data'!$C$3:$C$3390,$A36,'United Data'!$B$3:$B$3390,"&lt;&gt;Off-street")&gt;0,1,0)</f>
        <v>0</v>
      </c>
      <c r="R36">
        <f>IF(COUNTIFS('United Data'!$A$3:$A$3390,R$1,'United Data'!$C$3:$C$3390,$A36,'United Data'!$B$3:$B$3390,"&lt;&gt;Off-street")&gt;0,1,0)</f>
        <v>0</v>
      </c>
      <c r="S36">
        <f t="shared" si="0"/>
        <v>1</v>
      </c>
      <c r="T36">
        <f t="shared" si="1"/>
        <v>1</v>
      </c>
    </row>
    <row r="37" spans="1:20" x14ac:dyDescent="0.2">
      <c r="A37" t="s">
        <v>76</v>
      </c>
      <c r="B37">
        <f>IF(COUNTIFS('United Data'!$A$3:$A$3390,B$1,'United Data'!$C$3:$C$3390,$A37,'United Data'!$B$3:$B$3390,"&lt;&gt;Off-street")&gt;0,1,0)</f>
        <v>0</v>
      </c>
      <c r="C37">
        <f>IF(COUNTIFS('United Data'!$A$3:$A$3390,C$1,'United Data'!$C$3:$C$3390,$A37,'United Data'!$B$3:$B$3390,"&lt;&gt;Off-street")&gt;0,1,0)</f>
        <v>0</v>
      </c>
      <c r="D37">
        <f>IF(COUNTIFS('United Data'!$A$3:$A$3390,D$1,'United Data'!$C$3:$C$3390,$A37,'United Data'!$B$3:$B$3390,"&lt;&gt;Off-street")&gt;0,1,0)</f>
        <v>0</v>
      </c>
      <c r="E37">
        <f>IF(COUNTIFS('United Data'!$A$3:$A$3390,E$1,'United Data'!$C$3:$C$3390,$A37,'United Data'!$B$3:$B$3390,"&lt;&gt;Off-street")&gt;0,1,0)</f>
        <v>0</v>
      </c>
      <c r="F37">
        <f>IF(COUNTIFS('United Data'!$A$3:$A$3390,F$1,'United Data'!$C$3:$C$3390,$A37,'United Data'!$B$3:$B$3390,"&lt;&gt;Off-street")&gt;0,1,0)</f>
        <v>0</v>
      </c>
      <c r="G37">
        <f>IF(COUNTIFS('United Data'!$A$3:$A$3390,G$1,'United Data'!$C$3:$C$3390,$A37,'United Data'!$B$3:$B$3390,"&lt;&gt;Off-street")&gt;0,1,0)</f>
        <v>0</v>
      </c>
      <c r="H37">
        <f>IF(COUNTIFS('United Data'!$A$3:$A$3390,H$1,'United Data'!$C$3:$C$3390,$A37,'United Data'!$B$3:$B$3390,"&lt;&gt;Off-street")&gt;0,1,0)</f>
        <v>0</v>
      </c>
      <c r="I37">
        <f>IF(COUNTIFS('United Data'!$A$3:$A$3390,I$1,'United Data'!$C$3:$C$3390,$A37,'United Data'!$B$3:$B$3390,"&lt;&gt;Off-street")&gt;0,1,0)</f>
        <v>0</v>
      </c>
      <c r="J37">
        <f>IF(COUNTIFS('United Data'!$A$3:$A$3390,J$1,'United Data'!$C$3:$C$3390,$A37,'United Data'!$B$3:$B$3390,"&lt;&gt;Off-street")&gt;0,1,0)</f>
        <v>0</v>
      </c>
      <c r="K37">
        <f>IF(COUNTIFS('United Data'!$A$3:$A$3390,K$1,'United Data'!$C$3:$C$3390,$A37,'United Data'!$B$3:$B$3390,"&lt;&gt;Off-street")&gt;0,1,0)</f>
        <v>0</v>
      </c>
      <c r="L37">
        <f>IF(COUNTIFS('United Data'!$A$3:$A$3390,L$1,'United Data'!$C$3:$C$3390,$A37,'United Data'!$B$3:$B$3390,"&lt;&gt;Off-street")&gt;0,1,0)</f>
        <v>0</v>
      </c>
      <c r="M37">
        <f>IF(COUNTIFS('United Data'!$A$3:$A$3390,M$1,'United Data'!$C$3:$C$3390,$A37,'United Data'!$B$3:$B$3390,"&lt;&gt;Off-street")&gt;0,1,0)</f>
        <v>0</v>
      </c>
      <c r="N37">
        <f>IF(COUNTIFS('United Data'!$A$3:$A$3390,N$1,'United Data'!$C$3:$C$3390,$A37,'United Data'!$B$3:$B$3390,"&lt;&gt;Off-street")&gt;0,1,0)</f>
        <v>1</v>
      </c>
      <c r="O37">
        <f>IF(COUNTIFS('United Data'!$A$3:$A$3390,O$1,'United Data'!$C$3:$C$3390,$A37,'United Data'!$B$3:$B$3390,"&lt;&gt;Off-street")&gt;0,1,0)</f>
        <v>0</v>
      </c>
      <c r="P37">
        <f>IF(COUNTIFS('United Data'!$A$3:$A$3390,P$1,'United Data'!$C$3:$C$3390,$A37,'United Data'!$B$3:$B$3390,"&lt;&gt;Off-street")&gt;0,1,0)</f>
        <v>0</v>
      </c>
      <c r="Q37">
        <f>IF(COUNTIFS('United Data'!$A$3:$A$3390,Q$1,'United Data'!$C$3:$C$3390,$A37,'United Data'!$B$3:$B$3390,"&lt;&gt;Off-street")&gt;0,1,0)</f>
        <v>0</v>
      </c>
      <c r="R37">
        <f>IF(COUNTIFS('United Data'!$A$3:$A$3390,R$1,'United Data'!$C$3:$C$3390,$A37,'United Data'!$B$3:$B$3390,"&lt;&gt;Off-street")&gt;0,1,0)</f>
        <v>0</v>
      </c>
      <c r="S37">
        <f t="shared" si="0"/>
        <v>1</v>
      </c>
      <c r="T37">
        <f t="shared" si="1"/>
        <v>1</v>
      </c>
    </row>
    <row r="38" spans="1:20" x14ac:dyDescent="0.2">
      <c r="A38" t="s">
        <v>78</v>
      </c>
      <c r="B38">
        <f>IF(COUNTIFS('United Data'!$A$3:$A$3390,B$1,'United Data'!$C$3:$C$3390,$A38,'United Data'!$B$3:$B$3390,"&lt;&gt;Off-street")&gt;0,1,0)</f>
        <v>0</v>
      </c>
      <c r="C38">
        <f>IF(COUNTIFS('United Data'!$A$3:$A$3390,C$1,'United Data'!$C$3:$C$3390,$A38,'United Data'!$B$3:$B$3390,"&lt;&gt;Off-street")&gt;0,1,0)</f>
        <v>0</v>
      </c>
      <c r="D38">
        <f>IF(COUNTIFS('United Data'!$A$3:$A$3390,D$1,'United Data'!$C$3:$C$3390,$A38,'United Data'!$B$3:$B$3390,"&lt;&gt;Off-street")&gt;0,1,0)</f>
        <v>0</v>
      </c>
      <c r="E38">
        <f>IF(COUNTIFS('United Data'!$A$3:$A$3390,E$1,'United Data'!$C$3:$C$3390,$A38,'United Data'!$B$3:$B$3390,"&lt;&gt;Off-street")&gt;0,1,0)</f>
        <v>0</v>
      </c>
      <c r="F38">
        <f>IF(COUNTIFS('United Data'!$A$3:$A$3390,F$1,'United Data'!$C$3:$C$3390,$A38,'United Data'!$B$3:$B$3390,"&lt;&gt;Off-street")&gt;0,1,0)</f>
        <v>0</v>
      </c>
      <c r="G38">
        <f>IF(COUNTIFS('United Data'!$A$3:$A$3390,G$1,'United Data'!$C$3:$C$3390,$A38,'United Data'!$B$3:$B$3390,"&lt;&gt;Off-street")&gt;0,1,0)</f>
        <v>0</v>
      </c>
      <c r="H38">
        <f>IF(COUNTIFS('United Data'!$A$3:$A$3390,H$1,'United Data'!$C$3:$C$3390,$A38,'United Data'!$B$3:$B$3390,"&lt;&gt;Off-street")&gt;0,1,0)</f>
        <v>0</v>
      </c>
      <c r="I38">
        <f>IF(COUNTIFS('United Data'!$A$3:$A$3390,I$1,'United Data'!$C$3:$C$3390,$A38,'United Data'!$B$3:$B$3390,"&lt;&gt;Off-street")&gt;0,1,0)</f>
        <v>0</v>
      </c>
      <c r="J38">
        <f>IF(COUNTIFS('United Data'!$A$3:$A$3390,J$1,'United Data'!$C$3:$C$3390,$A38,'United Data'!$B$3:$B$3390,"&lt;&gt;Off-street")&gt;0,1,0)</f>
        <v>0</v>
      </c>
      <c r="K38">
        <f>IF(COUNTIFS('United Data'!$A$3:$A$3390,K$1,'United Data'!$C$3:$C$3390,$A38,'United Data'!$B$3:$B$3390,"&lt;&gt;Off-street")&gt;0,1,0)</f>
        <v>0</v>
      </c>
      <c r="L38">
        <f>IF(COUNTIFS('United Data'!$A$3:$A$3390,L$1,'United Data'!$C$3:$C$3390,$A38,'United Data'!$B$3:$B$3390,"&lt;&gt;Off-street")&gt;0,1,0)</f>
        <v>0</v>
      </c>
      <c r="M38">
        <f>IF(COUNTIFS('United Data'!$A$3:$A$3390,M$1,'United Data'!$C$3:$C$3390,$A38,'United Data'!$B$3:$B$3390,"&lt;&gt;Off-street")&gt;0,1,0)</f>
        <v>0</v>
      </c>
      <c r="N38">
        <f>IF(COUNTIFS('United Data'!$A$3:$A$3390,N$1,'United Data'!$C$3:$C$3390,$A38,'United Data'!$B$3:$B$3390,"&lt;&gt;Off-street")&gt;0,1,0)</f>
        <v>0</v>
      </c>
      <c r="O38">
        <f>IF(COUNTIFS('United Data'!$A$3:$A$3390,O$1,'United Data'!$C$3:$C$3390,$A38,'United Data'!$B$3:$B$3390,"&lt;&gt;Off-street")&gt;0,1,0)</f>
        <v>1</v>
      </c>
      <c r="P38">
        <f>IF(COUNTIFS('United Data'!$A$3:$A$3390,P$1,'United Data'!$C$3:$C$3390,$A38,'United Data'!$B$3:$B$3390,"&lt;&gt;Off-street")&gt;0,1,0)</f>
        <v>0</v>
      </c>
      <c r="Q38">
        <f>IF(COUNTIFS('United Data'!$A$3:$A$3390,Q$1,'United Data'!$C$3:$C$3390,$A38,'United Data'!$B$3:$B$3390,"&lt;&gt;Off-street")&gt;0,1,0)</f>
        <v>0</v>
      </c>
      <c r="R38">
        <f>IF(COUNTIFS('United Data'!$A$3:$A$3390,R$1,'United Data'!$C$3:$C$3390,$A38,'United Data'!$B$3:$B$3390,"&lt;&gt;Off-street")&gt;0,1,0)</f>
        <v>0</v>
      </c>
      <c r="S38">
        <f t="shared" si="0"/>
        <v>1</v>
      </c>
      <c r="T38">
        <f t="shared" si="1"/>
        <v>1</v>
      </c>
    </row>
    <row r="39" spans="1:20" x14ac:dyDescent="0.2">
      <c r="A39" t="s">
        <v>80</v>
      </c>
      <c r="B39">
        <f>IF(COUNTIFS('United Data'!$A$3:$A$3390,B$1,'United Data'!$C$3:$C$3390,$A39,'United Data'!$B$3:$B$3390,"&lt;&gt;Off-street")&gt;0,1,0)</f>
        <v>0</v>
      </c>
      <c r="C39">
        <f>IF(COUNTIFS('United Data'!$A$3:$A$3390,C$1,'United Data'!$C$3:$C$3390,$A39,'United Data'!$B$3:$B$3390,"&lt;&gt;Off-street")&gt;0,1,0)</f>
        <v>0</v>
      </c>
      <c r="D39">
        <f>IF(COUNTIFS('United Data'!$A$3:$A$3390,D$1,'United Data'!$C$3:$C$3390,$A39,'United Data'!$B$3:$B$3390,"&lt;&gt;Off-street")&gt;0,1,0)</f>
        <v>0</v>
      </c>
      <c r="E39">
        <f>IF(COUNTIFS('United Data'!$A$3:$A$3390,E$1,'United Data'!$C$3:$C$3390,$A39,'United Data'!$B$3:$B$3390,"&lt;&gt;Off-street")&gt;0,1,0)</f>
        <v>0</v>
      </c>
      <c r="F39">
        <f>IF(COUNTIFS('United Data'!$A$3:$A$3390,F$1,'United Data'!$C$3:$C$3390,$A39,'United Data'!$B$3:$B$3390,"&lt;&gt;Off-street")&gt;0,1,0)</f>
        <v>0</v>
      </c>
      <c r="G39">
        <f>IF(COUNTIFS('United Data'!$A$3:$A$3390,G$1,'United Data'!$C$3:$C$3390,$A39,'United Data'!$B$3:$B$3390,"&lt;&gt;Off-street")&gt;0,1,0)</f>
        <v>0</v>
      </c>
      <c r="H39">
        <f>IF(COUNTIFS('United Data'!$A$3:$A$3390,H$1,'United Data'!$C$3:$C$3390,$A39,'United Data'!$B$3:$B$3390,"&lt;&gt;Off-street")&gt;0,1,0)</f>
        <v>0</v>
      </c>
      <c r="I39">
        <f>IF(COUNTIFS('United Data'!$A$3:$A$3390,I$1,'United Data'!$C$3:$C$3390,$A39,'United Data'!$B$3:$B$3390,"&lt;&gt;Off-street")&gt;0,1,0)</f>
        <v>0</v>
      </c>
      <c r="J39">
        <f>IF(COUNTIFS('United Data'!$A$3:$A$3390,J$1,'United Data'!$C$3:$C$3390,$A39,'United Data'!$B$3:$B$3390,"&lt;&gt;Off-street")&gt;0,1,0)</f>
        <v>0</v>
      </c>
      <c r="K39">
        <f>IF(COUNTIFS('United Data'!$A$3:$A$3390,K$1,'United Data'!$C$3:$C$3390,$A39,'United Data'!$B$3:$B$3390,"&lt;&gt;Off-street")&gt;0,1,0)</f>
        <v>0</v>
      </c>
      <c r="L39">
        <f>IF(COUNTIFS('United Data'!$A$3:$A$3390,L$1,'United Data'!$C$3:$C$3390,$A39,'United Data'!$B$3:$B$3390,"&lt;&gt;Off-street")&gt;0,1,0)</f>
        <v>0</v>
      </c>
      <c r="M39">
        <f>IF(COUNTIFS('United Data'!$A$3:$A$3390,M$1,'United Data'!$C$3:$C$3390,$A39,'United Data'!$B$3:$B$3390,"&lt;&gt;Off-street")&gt;0,1,0)</f>
        <v>0</v>
      </c>
      <c r="N39">
        <f>IF(COUNTIFS('United Data'!$A$3:$A$3390,N$1,'United Data'!$C$3:$C$3390,$A39,'United Data'!$B$3:$B$3390,"&lt;&gt;Off-street")&gt;0,1,0)</f>
        <v>0</v>
      </c>
      <c r="O39">
        <f>IF(COUNTIFS('United Data'!$A$3:$A$3390,O$1,'United Data'!$C$3:$C$3390,$A39,'United Data'!$B$3:$B$3390,"&lt;&gt;Off-street")&gt;0,1,0)</f>
        <v>0</v>
      </c>
      <c r="P39">
        <f>IF(COUNTIFS('United Data'!$A$3:$A$3390,P$1,'United Data'!$C$3:$C$3390,$A39,'United Data'!$B$3:$B$3390,"&lt;&gt;Off-street")&gt;0,1,0)</f>
        <v>1</v>
      </c>
      <c r="Q39">
        <f>IF(COUNTIFS('United Data'!$A$3:$A$3390,Q$1,'United Data'!$C$3:$C$3390,$A39,'United Data'!$B$3:$B$3390,"&lt;&gt;Off-street")&gt;0,1,0)</f>
        <v>1</v>
      </c>
      <c r="R39">
        <f>IF(COUNTIFS('United Data'!$A$3:$A$3390,R$1,'United Data'!$C$3:$C$3390,$A39,'United Data'!$B$3:$B$3390,"&lt;&gt;Off-street")&gt;0,1,0)</f>
        <v>0</v>
      </c>
      <c r="S39">
        <f t="shared" si="0"/>
        <v>2</v>
      </c>
      <c r="T39">
        <f t="shared" si="1"/>
        <v>1</v>
      </c>
    </row>
    <row r="40" spans="1:20" x14ac:dyDescent="0.2">
      <c r="A40" t="s">
        <v>81</v>
      </c>
      <c r="B40">
        <f>IF(COUNTIFS('United Data'!$A$3:$A$3390,B$1,'United Data'!$C$3:$C$3390,$A40,'United Data'!$B$3:$B$3390,"&lt;&gt;Off-street")&gt;0,1,0)</f>
        <v>0</v>
      </c>
      <c r="C40">
        <f>IF(COUNTIFS('United Data'!$A$3:$A$3390,C$1,'United Data'!$C$3:$C$3390,$A40,'United Data'!$B$3:$B$3390,"&lt;&gt;Off-street")&gt;0,1,0)</f>
        <v>0</v>
      </c>
      <c r="D40">
        <f>IF(COUNTIFS('United Data'!$A$3:$A$3390,D$1,'United Data'!$C$3:$C$3390,$A40,'United Data'!$B$3:$B$3390,"&lt;&gt;Off-street")&gt;0,1,0)</f>
        <v>0</v>
      </c>
      <c r="E40">
        <f>IF(COUNTIFS('United Data'!$A$3:$A$3390,E$1,'United Data'!$C$3:$C$3390,$A40,'United Data'!$B$3:$B$3390,"&lt;&gt;Off-street")&gt;0,1,0)</f>
        <v>0</v>
      </c>
      <c r="F40">
        <f>IF(COUNTIFS('United Data'!$A$3:$A$3390,F$1,'United Data'!$C$3:$C$3390,$A40,'United Data'!$B$3:$B$3390,"&lt;&gt;Off-street")&gt;0,1,0)</f>
        <v>0</v>
      </c>
      <c r="G40">
        <f>IF(COUNTIFS('United Data'!$A$3:$A$3390,G$1,'United Data'!$C$3:$C$3390,$A40,'United Data'!$B$3:$B$3390,"&lt;&gt;Off-street")&gt;0,1,0)</f>
        <v>0</v>
      </c>
      <c r="H40">
        <f>IF(COUNTIFS('United Data'!$A$3:$A$3390,H$1,'United Data'!$C$3:$C$3390,$A40,'United Data'!$B$3:$B$3390,"&lt;&gt;Off-street")&gt;0,1,0)</f>
        <v>0</v>
      </c>
      <c r="I40">
        <f>IF(COUNTIFS('United Data'!$A$3:$A$3390,I$1,'United Data'!$C$3:$C$3390,$A40,'United Data'!$B$3:$B$3390,"&lt;&gt;Off-street")&gt;0,1,0)</f>
        <v>0</v>
      </c>
      <c r="J40">
        <f>IF(COUNTIFS('United Data'!$A$3:$A$3390,J$1,'United Data'!$C$3:$C$3390,$A40,'United Data'!$B$3:$B$3390,"&lt;&gt;Off-street")&gt;0,1,0)</f>
        <v>0</v>
      </c>
      <c r="K40">
        <f>IF(COUNTIFS('United Data'!$A$3:$A$3390,K$1,'United Data'!$C$3:$C$3390,$A40,'United Data'!$B$3:$B$3390,"&lt;&gt;Off-street")&gt;0,1,0)</f>
        <v>0</v>
      </c>
      <c r="L40">
        <f>IF(COUNTIFS('United Data'!$A$3:$A$3390,L$1,'United Data'!$C$3:$C$3390,$A40,'United Data'!$B$3:$B$3390,"&lt;&gt;Off-street")&gt;0,1,0)</f>
        <v>0</v>
      </c>
      <c r="M40">
        <f>IF(COUNTIFS('United Data'!$A$3:$A$3390,M$1,'United Data'!$C$3:$C$3390,$A40,'United Data'!$B$3:$B$3390,"&lt;&gt;Off-street")&gt;0,1,0)</f>
        <v>0</v>
      </c>
      <c r="N40">
        <f>IF(COUNTIFS('United Data'!$A$3:$A$3390,N$1,'United Data'!$C$3:$C$3390,$A40,'United Data'!$B$3:$B$3390,"&lt;&gt;Off-street")&gt;0,1,0)</f>
        <v>0</v>
      </c>
      <c r="O40">
        <f>IF(COUNTIFS('United Data'!$A$3:$A$3390,O$1,'United Data'!$C$3:$C$3390,$A40,'United Data'!$B$3:$B$3390,"&lt;&gt;Off-street")&gt;0,1,0)</f>
        <v>0</v>
      </c>
      <c r="P40">
        <f>IF(COUNTIFS('United Data'!$A$3:$A$3390,P$1,'United Data'!$C$3:$C$3390,$A40,'United Data'!$B$3:$B$3390,"&lt;&gt;Off-street")&gt;0,1,0)</f>
        <v>1</v>
      </c>
      <c r="Q40">
        <f>IF(COUNTIFS('United Data'!$A$3:$A$3390,Q$1,'United Data'!$C$3:$C$3390,$A40,'United Data'!$B$3:$B$3390,"&lt;&gt;Off-street")&gt;0,1,0)</f>
        <v>0</v>
      </c>
      <c r="R40">
        <f>IF(COUNTIFS('United Data'!$A$3:$A$3390,R$1,'United Data'!$C$3:$C$3390,$A40,'United Data'!$B$3:$B$3390,"&lt;&gt;Off-street")&gt;0,1,0)</f>
        <v>0</v>
      </c>
      <c r="S40">
        <f t="shared" si="0"/>
        <v>1</v>
      </c>
      <c r="T40">
        <f t="shared" si="1"/>
        <v>1</v>
      </c>
    </row>
    <row r="41" spans="1:20" x14ac:dyDescent="0.2">
      <c r="A41" t="s">
        <v>82</v>
      </c>
      <c r="B41">
        <f>IF(COUNTIFS('United Data'!$A$3:$A$3390,B$1,'United Data'!$C$3:$C$3390,$A41,'United Data'!$B$3:$B$3390,"&lt;&gt;Off-street")&gt;0,1,0)</f>
        <v>0</v>
      </c>
      <c r="C41">
        <f>IF(COUNTIFS('United Data'!$A$3:$A$3390,C$1,'United Data'!$C$3:$C$3390,$A41,'United Data'!$B$3:$B$3390,"&lt;&gt;Off-street")&gt;0,1,0)</f>
        <v>0</v>
      </c>
      <c r="D41">
        <f>IF(COUNTIFS('United Data'!$A$3:$A$3390,D$1,'United Data'!$C$3:$C$3390,$A41,'United Data'!$B$3:$B$3390,"&lt;&gt;Off-street")&gt;0,1,0)</f>
        <v>0</v>
      </c>
      <c r="E41">
        <f>IF(COUNTIFS('United Data'!$A$3:$A$3390,E$1,'United Data'!$C$3:$C$3390,$A41,'United Data'!$B$3:$B$3390,"&lt;&gt;Off-street")&gt;0,1,0)</f>
        <v>0</v>
      </c>
      <c r="F41">
        <f>IF(COUNTIFS('United Data'!$A$3:$A$3390,F$1,'United Data'!$C$3:$C$3390,$A41,'United Data'!$B$3:$B$3390,"&lt;&gt;Off-street")&gt;0,1,0)</f>
        <v>0</v>
      </c>
      <c r="G41">
        <f>IF(COUNTIFS('United Data'!$A$3:$A$3390,G$1,'United Data'!$C$3:$C$3390,$A41,'United Data'!$B$3:$B$3390,"&lt;&gt;Off-street")&gt;0,1,0)</f>
        <v>0</v>
      </c>
      <c r="H41">
        <f>IF(COUNTIFS('United Data'!$A$3:$A$3390,H$1,'United Data'!$C$3:$C$3390,$A41,'United Data'!$B$3:$B$3390,"&lt;&gt;Off-street")&gt;0,1,0)</f>
        <v>0</v>
      </c>
      <c r="I41">
        <f>IF(COUNTIFS('United Data'!$A$3:$A$3390,I$1,'United Data'!$C$3:$C$3390,$A41,'United Data'!$B$3:$B$3390,"&lt;&gt;Off-street")&gt;0,1,0)</f>
        <v>0</v>
      </c>
      <c r="J41">
        <f>IF(COUNTIFS('United Data'!$A$3:$A$3390,J$1,'United Data'!$C$3:$C$3390,$A41,'United Data'!$B$3:$B$3390,"&lt;&gt;Off-street")&gt;0,1,0)</f>
        <v>0</v>
      </c>
      <c r="K41">
        <f>IF(COUNTIFS('United Data'!$A$3:$A$3390,K$1,'United Data'!$C$3:$C$3390,$A41,'United Data'!$B$3:$B$3390,"&lt;&gt;Off-street")&gt;0,1,0)</f>
        <v>0</v>
      </c>
      <c r="L41">
        <f>IF(COUNTIFS('United Data'!$A$3:$A$3390,L$1,'United Data'!$C$3:$C$3390,$A41,'United Data'!$B$3:$B$3390,"&lt;&gt;Off-street")&gt;0,1,0)</f>
        <v>0</v>
      </c>
      <c r="M41">
        <f>IF(COUNTIFS('United Data'!$A$3:$A$3390,M$1,'United Data'!$C$3:$C$3390,$A41,'United Data'!$B$3:$B$3390,"&lt;&gt;Off-street")&gt;0,1,0)</f>
        <v>0</v>
      </c>
      <c r="N41">
        <f>IF(COUNTIFS('United Data'!$A$3:$A$3390,N$1,'United Data'!$C$3:$C$3390,$A41,'United Data'!$B$3:$B$3390,"&lt;&gt;Off-street")&gt;0,1,0)</f>
        <v>0</v>
      </c>
      <c r="O41">
        <f>IF(COUNTIFS('United Data'!$A$3:$A$3390,O$1,'United Data'!$C$3:$C$3390,$A41,'United Data'!$B$3:$B$3390,"&lt;&gt;Off-street")&gt;0,1,0)</f>
        <v>0</v>
      </c>
      <c r="P41">
        <f>IF(COUNTIFS('United Data'!$A$3:$A$3390,P$1,'United Data'!$C$3:$C$3390,$A41,'United Data'!$B$3:$B$3390,"&lt;&gt;Off-street")&gt;0,1,0)</f>
        <v>1</v>
      </c>
      <c r="Q41">
        <f>IF(COUNTIFS('United Data'!$A$3:$A$3390,Q$1,'United Data'!$C$3:$C$3390,$A41,'United Data'!$B$3:$B$3390,"&lt;&gt;Off-street")&gt;0,1,0)</f>
        <v>0</v>
      </c>
      <c r="R41">
        <f>IF(COUNTIFS('United Data'!$A$3:$A$3390,R$1,'United Data'!$C$3:$C$3390,$A41,'United Data'!$B$3:$B$3390,"&lt;&gt;Off-street")&gt;0,1,0)</f>
        <v>0</v>
      </c>
      <c r="S41">
        <f t="shared" si="0"/>
        <v>1</v>
      </c>
      <c r="T41">
        <f t="shared" si="1"/>
        <v>1</v>
      </c>
    </row>
    <row r="42" spans="1:20" x14ac:dyDescent="0.2">
      <c r="A42" t="s">
        <v>84</v>
      </c>
      <c r="B42">
        <f>IF(COUNTIFS('United Data'!$A$3:$A$3390,B$1,'United Data'!$C$3:$C$3390,$A42,'United Data'!$B$3:$B$3390,"&lt;&gt;Off-street")&gt;0,1,0)</f>
        <v>0</v>
      </c>
      <c r="C42">
        <f>IF(COUNTIFS('United Data'!$A$3:$A$3390,C$1,'United Data'!$C$3:$C$3390,$A42,'United Data'!$B$3:$B$3390,"&lt;&gt;Off-street")&gt;0,1,0)</f>
        <v>0</v>
      </c>
      <c r="D42">
        <f>IF(COUNTIFS('United Data'!$A$3:$A$3390,D$1,'United Data'!$C$3:$C$3390,$A42,'United Data'!$B$3:$B$3390,"&lt;&gt;Off-street")&gt;0,1,0)</f>
        <v>0</v>
      </c>
      <c r="E42">
        <f>IF(COUNTIFS('United Data'!$A$3:$A$3390,E$1,'United Data'!$C$3:$C$3390,$A42,'United Data'!$B$3:$B$3390,"&lt;&gt;Off-street")&gt;0,1,0)</f>
        <v>0</v>
      </c>
      <c r="F42">
        <f>IF(COUNTIFS('United Data'!$A$3:$A$3390,F$1,'United Data'!$C$3:$C$3390,$A42,'United Data'!$B$3:$B$3390,"&lt;&gt;Off-street")&gt;0,1,0)</f>
        <v>0</v>
      </c>
      <c r="G42">
        <f>IF(COUNTIFS('United Data'!$A$3:$A$3390,G$1,'United Data'!$C$3:$C$3390,$A42,'United Data'!$B$3:$B$3390,"&lt;&gt;Off-street")&gt;0,1,0)</f>
        <v>0</v>
      </c>
      <c r="H42">
        <f>IF(COUNTIFS('United Data'!$A$3:$A$3390,H$1,'United Data'!$C$3:$C$3390,$A42,'United Data'!$B$3:$B$3390,"&lt;&gt;Off-street")&gt;0,1,0)</f>
        <v>0</v>
      </c>
      <c r="I42">
        <f>IF(COUNTIFS('United Data'!$A$3:$A$3390,I$1,'United Data'!$C$3:$C$3390,$A42,'United Data'!$B$3:$B$3390,"&lt;&gt;Off-street")&gt;0,1,0)</f>
        <v>0</v>
      </c>
      <c r="J42">
        <f>IF(COUNTIFS('United Data'!$A$3:$A$3390,J$1,'United Data'!$C$3:$C$3390,$A42,'United Data'!$B$3:$B$3390,"&lt;&gt;Off-street")&gt;0,1,0)</f>
        <v>0</v>
      </c>
      <c r="K42">
        <f>IF(COUNTIFS('United Data'!$A$3:$A$3390,K$1,'United Data'!$C$3:$C$3390,$A42,'United Data'!$B$3:$B$3390,"&lt;&gt;Off-street")&gt;0,1,0)</f>
        <v>0</v>
      </c>
      <c r="L42">
        <f>IF(COUNTIFS('United Data'!$A$3:$A$3390,L$1,'United Data'!$C$3:$C$3390,$A42,'United Data'!$B$3:$B$3390,"&lt;&gt;Off-street")&gt;0,1,0)</f>
        <v>0</v>
      </c>
      <c r="M42">
        <f>IF(COUNTIFS('United Data'!$A$3:$A$3390,M$1,'United Data'!$C$3:$C$3390,$A42,'United Data'!$B$3:$B$3390,"&lt;&gt;Off-street")&gt;0,1,0)</f>
        <v>0</v>
      </c>
      <c r="N42">
        <f>IF(COUNTIFS('United Data'!$A$3:$A$3390,N$1,'United Data'!$C$3:$C$3390,$A42,'United Data'!$B$3:$B$3390,"&lt;&gt;Off-street")&gt;0,1,0)</f>
        <v>0</v>
      </c>
      <c r="O42">
        <f>IF(COUNTIFS('United Data'!$A$3:$A$3390,O$1,'United Data'!$C$3:$C$3390,$A42,'United Data'!$B$3:$B$3390,"&lt;&gt;Off-street")&gt;0,1,0)</f>
        <v>0</v>
      </c>
      <c r="P42">
        <f>IF(COUNTIFS('United Data'!$A$3:$A$3390,P$1,'United Data'!$C$3:$C$3390,$A42,'United Data'!$B$3:$B$3390,"&lt;&gt;Off-street")&gt;0,1,0)</f>
        <v>0</v>
      </c>
      <c r="Q42">
        <f>IF(COUNTIFS('United Data'!$A$3:$A$3390,Q$1,'United Data'!$C$3:$C$3390,$A42,'United Data'!$B$3:$B$3390,"&lt;&gt;Off-street")&gt;0,1,0)</f>
        <v>1</v>
      </c>
      <c r="R42">
        <f>IF(COUNTIFS('United Data'!$A$3:$A$3390,R$1,'United Data'!$C$3:$C$3390,$A42,'United Data'!$B$3:$B$3390,"&lt;&gt;Off-street")&gt;0,1,0)</f>
        <v>0</v>
      </c>
      <c r="S42">
        <f t="shared" si="0"/>
        <v>1</v>
      </c>
      <c r="T42">
        <f t="shared" si="1"/>
        <v>1</v>
      </c>
    </row>
    <row r="43" spans="1:20" x14ac:dyDescent="0.2">
      <c r="A43" t="s">
        <v>86</v>
      </c>
      <c r="B43">
        <f>IF(COUNTIFS('United Data'!$A$3:$A$3390,B$1,'United Data'!$C$3:$C$3390,$A43,'United Data'!$B$3:$B$3390,"&lt;&gt;Off-street")&gt;0,1,0)</f>
        <v>1</v>
      </c>
      <c r="C43">
        <f>IF(COUNTIFS('United Data'!$A$3:$A$3390,C$1,'United Data'!$C$3:$C$3390,$A43,'United Data'!$B$3:$B$3390,"&lt;&gt;Off-street")&gt;0,1,0)</f>
        <v>0</v>
      </c>
      <c r="D43">
        <f>IF(COUNTIFS('United Data'!$A$3:$A$3390,D$1,'United Data'!$C$3:$C$3390,$A43,'United Data'!$B$3:$B$3390,"&lt;&gt;Off-street")&gt;0,1,0)</f>
        <v>0</v>
      </c>
      <c r="E43">
        <f>IF(COUNTIFS('United Data'!$A$3:$A$3390,E$1,'United Data'!$C$3:$C$3390,$A43,'United Data'!$B$3:$B$3390,"&lt;&gt;Off-street")&gt;0,1,0)</f>
        <v>0</v>
      </c>
      <c r="F43">
        <f>IF(COUNTIFS('United Data'!$A$3:$A$3390,F$1,'United Data'!$C$3:$C$3390,$A43,'United Data'!$B$3:$B$3390,"&lt;&gt;Off-street")&gt;0,1,0)</f>
        <v>0</v>
      </c>
      <c r="G43">
        <f>IF(COUNTIFS('United Data'!$A$3:$A$3390,G$1,'United Data'!$C$3:$C$3390,$A43,'United Data'!$B$3:$B$3390,"&lt;&gt;Off-street")&gt;0,1,0)</f>
        <v>0</v>
      </c>
      <c r="H43">
        <f>IF(COUNTIFS('United Data'!$A$3:$A$3390,H$1,'United Data'!$C$3:$C$3390,$A43,'United Data'!$B$3:$B$3390,"&lt;&gt;Off-street")&gt;0,1,0)</f>
        <v>0</v>
      </c>
      <c r="I43">
        <f>IF(COUNTIFS('United Data'!$A$3:$A$3390,I$1,'United Data'!$C$3:$C$3390,$A43,'United Data'!$B$3:$B$3390,"&lt;&gt;Off-street")&gt;0,1,0)</f>
        <v>0</v>
      </c>
      <c r="J43">
        <f>IF(COUNTIFS('United Data'!$A$3:$A$3390,J$1,'United Data'!$C$3:$C$3390,$A43,'United Data'!$B$3:$B$3390,"&lt;&gt;Off-street")&gt;0,1,0)</f>
        <v>0</v>
      </c>
      <c r="K43">
        <f>IF(COUNTIFS('United Data'!$A$3:$A$3390,K$1,'United Data'!$C$3:$C$3390,$A43,'United Data'!$B$3:$B$3390,"&lt;&gt;Off-street")&gt;0,1,0)</f>
        <v>0</v>
      </c>
      <c r="L43">
        <f>IF(COUNTIFS('United Data'!$A$3:$A$3390,L$1,'United Data'!$C$3:$C$3390,$A43,'United Data'!$B$3:$B$3390,"&lt;&gt;Off-street")&gt;0,1,0)</f>
        <v>0</v>
      </c>
      <c r="M43">
        <f>IF(COUNTIFS('United Data'!$A$3:$A$3390,M$1,'United Data'!$C$3:$C$3390,$A43,'United Data'!$B$3:$B$3390,"&lt;&gt;Off-street")&gt;0,1,0)</f>
        <v>0</v>
      </c>
      <c r="N43">
        <f>IF(COUNTIFS('United Data'!$A$3:$A$3390,N$1,'United Data'!$C$3:$C$3390,$A43,'United Data'!$B$3:$B$3390,"&lt;&gt;Off-street")&gt;0,1,0)</f>
        <v>0</v>
      </c>
      <c r="O43">
        <f>IF(COUNTIFS('United Data'!$A$3:$A$3390,O$1,'United Data'!$C$3:$C$3390,$A43,'United Data'!$B$3:$B$3390,"&lt;&gt;Off-street")&gt;0,1,0)</f>
        <v>0</v>
      </c>
      <c r="P43">
        <f>IF(COUNTIFS('United Data'!$A$3:$A$3390,P$1,'United Data'!$C$3:$C$3390,$A43,'United Data'!$B$3:$B$3390,"&lt;&gt;Off-street")&gt;0,1,0)</f>
        <v>0</v>
      </c>
      <c r="Q43">
        <f>IF(COUNTIFS('United Data'!$A$3:$A$3390,Q$1,'United Data'!$C$3:$C$3390,$A43,'United Data'!$B$3:$B$3390,"&lt;&gt;Off-street")&gt;0,1,0)</f>
        <v>0</v>
      </c>
      <c r="R43">
        <f>IF(COUNTIFS('United Data'!$A$3:$A$3390,R$1,'United Data'!$C$3:$C$3390,$A43,'United Data'!$B$3:$B$3390,"&lt;&gt;Off-street")&gt;0,1,0)</f>
        <v>0</v>
      </c>
      <c r="S43">
        <f t="shared" si="0"/>
        <v>1</v>
      </c>
      <c r="T43">
        <f t="shared" si="1"/>
        <v>1</v>
      </c>
    </row>
    <row r="44" spans="1:20" x14ac:dyDescent="0.2">
      <c r="A44" t="s">
        <v>88</v>
      </c>
      <c r="B44">
        <f>IF(COUNTIFS('United Data'!$A$3:$A$3390,B$1,'United Data'!$C$3:$C$3390,$A44,'United Data'!$B$3:$B$3390,"&lt;&gt;Off-street")&gt;0,1,0)</f>
        <v>0</v>
      </c>
      <c r="C44">
        <f>IF(COUNTIFS('United Data'!$A$3:$A$3390,C$1,'United Data'!$C$3:$C$3390,$A44,'United Data'!$B$3:$B$3390,"&lt;&gt;Off-street")&gt;0,1,0)</f>
        <v>0</v>
      </c>
      <c r="D44">
        <f>IF(COUNTIFS('United Data'!$A$3:$A$3390,D$1,'United Data'!$C$3:$C$3390,$A44,'United Data'!$B$3:$B$3390,"&lt;&gt;Off-street")&gt;0,1,0)</f>
        <v>1</v>
      </c>
      <c r="E44">
        <f>IF(COUNTIFS('United Data'!$A$3:$A$3390,E$1,'United Data'!$C$3:$C$3390,$A44,'United Data'!$B$3:$B$3390,"&lt;&gt;Off-street")&gt;0,1,0)</f>
        <v>0</v>
      </c>
      <c r="F44">
        <f>IF(COUNTIFS('United Data'!$A$3:$A$3390,F$1,'United Data'!$C$3:$C$3390,$A44,'United Data'!$B$3:$B$3390,"&lt;&gt;Off-street")&gt;0,1,0)</f>
        <v>0</v>
      </c>
      <c r="G44">
        <f>IF(COUNTIFS('United Data'!$A$3:$A$3390,G$1,'United Data'!$C$3:$C$3390,$A44,'United Data'!$B$3:$B$3390,"&lt;&gt;Off-street")&gt;0,1,0)</f>
        <v>0</v>
      </c>
      <c r="H44">
        <f>IF(COUNTIFS('United Data'!$A$3:$A$3390,H$1,'United Data'!$C$3:$C$3390,$A44,'United Data'!$B$3:$B$3390,"&lt;&gt;Off-street")&gt;0,1,0)</f>
        <v>1</v>
      </c>
      <c r="I44">
        <f>IF(COUNTIFS('United Data'!$A$3:$A$3390,I$1,'United Data'!$C$3:$C$3390,$A44,'United Data'!$B$3:$B$3390,"&lt;&gt;Off-street")&gt;0,1,0)</f>
        <v>1</v>
      </c>
      <c r="J44">
        <f>IF(COUNTIFS('United Data'!$A$3:$A$3390,J$1,'United Data'!$C$3:$C$3390,$A44,'United Data'!$B$3:$B$3390,"&lt;&gt;Off-street")&gt;0,1,0)</f>
        <v>0</v>
      </c>
      <c r="K44">
        <f>IF(COUNTIFS('United Data'!$A$3:$A$3390,K$1,'United Data'!$C$3:$C$3390,$A44,'United Data'!$B$3:$B$3390,"&lt;&gt;Off-street")&gt;0,1,0)</f>
        <v>0</v>
      </c>
      <c r="L44">
        <f>IF(COUNTIFS('United Data'!$A$3:$A$3390,L$1,'United Data'!$C$3:$C$3390,$A44,'United Data'!$B$3:$B$3390,"&lt;&gt;Off-street")&gt;0,1,0)</f>
        <v>1</v>
      </c>
      <c r="M44">
        <f>IF(COUNTIFS('United Data'!$A$3:$A$3390,M$1,'United Data'!$C$3:$C$3390,$A44,'United Data'!$B$3:$B$3390,"&lt;&gt;Off-street")&gt;0,1,0)</f>
        <v>1</v>
      </c>
      <c r="N44">
        <f>IF(COUNTIFS('United Data'!$A$3:$A$3390,N$1,'United Data'!$C$3:$C$3390,$A44,'United Data'!$B$3:$B$3390,"&lt;&gt;Off-street")&gt;0,1,0)</f>
        <v>0</v>
      </c>
      <c r="O44">
        <f>IF(COUNTIFS('United Data'!$A$3:$A$3390,O$1,'United Data'!$C$3:$C$3390,$A44,'United Data'!$B$3:$B$3390,"&lt;&gt;Off-street")&gt;0,1,0)</f>
        <v>0</v>
      </c>
      <c r="P44">
        <f>IF(COUNTIFS('United Data'!$A$3:$A$3390,P$1,'United Data'!$C$3:$C$3390,$A44,'United Data'!$B$3:$B$3390,"&lt;&gt;Off-street")&gt;0,1,0)</f>
        <v>0</v>
      </c>
      <c r="Q44">
        <f>IF(COUNTIFS('United Data'!$A$3:$A$3390,Q$1,'United Data'!$C$3:$C$3390,$A44,'United Data'!$B$3:$B$3390,"&lt;&gt;Off-street")&gt;0,1,0)</f>
        <v>0</v>
      </c>
      <c r="R44">
        <f>IF(COUNTIFS('United Data'!$A$3:$A$3390,R$1,'United Data'!$C$3:$C$3390,$A44,'United Data'!$B$3:$B$3390,"&lt;&gt;Off-street")&gt;0,1,0)</f>
        <v>0</v>
      </c>
      <c r="S44">
        <f t="shared" si="0"/>
        <v>5</v>
      </c>
      <c r="T44">
        <f t="shared" si="1"/>
        <v>3</v>
      </c>
    </row>
    <row r="45" spans="1:20" x14ac:dyDescent="0.2">
      <c r="A45" t="s">
        <v>89</v>
      </c>
      <c r="B45">
        <f>IF(COUNTIFS('United Data'!$A$3:$A$3390,B$1,'United Data'!$C$3:$C$3390,$A45,'United Data'!$B$3:$B$3390,"&lt;&gt;Off-street")&gt;0,1,0)</f>
        <v>0</v>
      </c>
      <c r="C45">
        <f>IF(COUNTIFS('United Data'!$A$3:$A$3390,C$1,'United Data'!$C$3:$C$3390,$A45,'United Data'!$B$3:$B$3390,"&lt;&gt;Off-street")&gt;0,1,0)</f>
        <v>0</v>
      </c>
      <c r="D45">
        <f>IF(COUNTIFS('United Data'!$A$3:$A$3390,D$1,'United Data'!$C$3:$C$3390,$A45,'United Data'!$B$3:$B$3390,"&lt;&gt;Off-street")&gt;0,1,0)</f>
        <v>1</v>
      </c>
      <c r="E45">
        <f>IF(COUNTIFS('United Data'!$A$3:$A$3390,E$1,'United Data'!$C$3:$C$3390,$A45,'United Data'!$B$3:$B$3390,"&lt;&gt;Off-street")&gt;0,1,0)</f>
        <v>0</v>
      </c>
      <c r="F45">
        <f>IF(COUNTIFS('United Data'!$A$3:$A$3390,F$1,'United Data'!$C$3:$C$3390,$A45,'United Data'!$B$3:$B$3390,"&lt;&gt;Off-street")&gt;0,1,0)</f>
        <v>0</v>
      </c>
      <c r="G45">
        <f>IF(COUNTIFS('United Data'!$A$3:$A$3390,G$1,'United Data'!$C$3:$C$3390,$A45,'United Data'!$B$3:$B$3390,"&lt;&gt;Off-street")&gt;0,1,0)</f>
        <v>0</v>
      </c>
      <c r="H45">
        <f>IF(COUNTIFS('United Data'!$A$3:$A$3390,H$1,'United Data'!$C$3:$C$3390,$A45,'United Data'!$B$3:$B$3390,"&lt;&gt;Off-street")&gt;0,1,0)</f>
        <v>0</v>
      </c>
      <c r="I45">
        <f>IF(COUNTIFS('United Data'!$A$3:$A$3390,I$1,'United Data'!$C$3:$C$3390,$A45,'United Data'!$B$3:$B$3390,"&lt;&gt;Off-street")&gt;0,1,0)</f>
        <v>0</v>
      </c>
      <c r="J45">
        <f>IF(COUNTIFS('United Data'!$A$3:$A$3390,J$1,'United Data'!$C$3:$C$3390,$A45,'United Data'!$B$3:$B$3390,"&lt;&gt;Off-street")&gt;0,1,0)</f>
        <v>0</v>
      </c>
      <c r="K45">
        <f>IF(COUNTIFS('United Data'!$A$3:$A$3390,K$1,'United Data'!$C$3:$C$3390,$A45,'United Data'!$B$3:$B$3390,"&lt;&gt;Off-street")&gt;0,1,0)</f>
        <v>0</v>
      </c>
      <c r="L45">
        <f>IF(COUNTIFS('United Data'!$A$3:$A$3390,L$1,'United Data'!$C$3:$C$3390,$A45,'United Data'!$B$3:$B$3390,"&lt;&gt;Off-street")&gt;0,1,0)</f>
        <v>0</v>
      </c>
      <c r="M45">
        <f>IF(COUNTIFS('United Data'!$A$3:$A$3390,M$1,'United Data'!$C$3:$C$3390,$A45,'United Data'!$B$3:$B$3390,"&lt;&gt;Off-street")&gt;0,1,0)</f>
        <v>0</v>
      </c>
      <c r="N45">
        <f>IF(COUNTIFS('United Data'!$A$3:$A$3390,N$1,'United Data'!$C$3:$C$3390,$A45,'United Data'!$B$3:$B$3390,"&lt;&gt;Off-street")&gt;0,1,0)</f>
        <v>0</v>
      </c>
      <c r="O45">
        <f>IF(COUNTIFS('United Data'!$A$3:$A$3390,O$1,'United Data'!$C$3:$C$3390,$A45,'United Data'!$B$3:$B$3390,"&lt;&gt;Off-street")&gt;0,1,0)</f>
        <v>0</v>
      </c>
      <c r="P45">
        <f>IF(COUNTIFS('United Data'!$A$3:$A$3390,P$1,'United Data'!$C$3:$C$3390,$A45,'United Data'!$B$3:$B$3390,"&lt;&gt;Off-street")&gt;0,1,0)</f>
        <v>0</v>
      </c>
      <c r="Q45">
        <f>IF(COUNTIFS('United Data'!$A$3:$A$3390,Q$1,'United Data'!$C$3:$C$3390,$A45,'United Data'!$B$3:$B$3390,"&lt;&gt;Off-street")&gt;0,1,0)</f>
        <v>0</v>
      </c>
      <c r="R45">
        <f>IF(COUNTIFS('United Data'!$A$3:$A$3390,R$1,'United Data'!$C$3:$C$3390,$A45,'United Data'!$B$3:$B$3390,"&lt;&gt;Off-street")&gt;0,1,0)</f>
        <v>0</v>
      </c>
      <c r="S45">
        <f t="shared" si="0"/>
        <v>1</v>
      </c>
      <c r="T45">
        <f t="shared" si="1"/>
        <v>1</v>
      </c>
    </row>
    <row r="46" spans="1:20" x14ac:dyDescent="0.2">
      <c r="A46" t="s">
        <v>90</v>
      </c>
      <c r="B46">
        <f>IF(COUNTIFS('United Data'!$A$3:$A$3390,B$1,'United Data'!$C$3:$C$3390,$A46,'United Data'!$B$3:$B$3390,"&lt;&gt;Off-street")&gt;0,1,0)</f>
        <v>0</v>
      </c>
      <c r="C46">
        <f>IF(COUNTIFS('United Data'!$A$3:$A$3390,C$1,'United Data'!$C$3:$C$3390,$A46,'United Data'!$B$3:$B$3390,"&lt;&gt;Off-street")&gt;0,1,0)</f>
        <v>0</v>
      </c>
      <c r="D46">
        <f>IF(COUNTIFS('United Data'!$A$3:$A$3390,D$1,'United Data'!$C$3:$C$3390,$A46,'United Data'!$B$3:$B$3390,"&lt;&gt;Off-street")&gt;0,1,0)</f>
        <v>0</v>
      </c>
      <c r="E46">
        <f>IF(COUNTIFS('United Data'!$A$3:$A$3390,E$1,'United Data'!$C$3:$C$3390,$A46,'United Data'!$B$3:$B$3390,"&lt;&gt;Off-street")&gt;0,1,0)</f>
        <v>1</v>
      </c>
      <c r="F46">
        <f>IF(COUNTIFS('United Data'!$A$3:$A$3390,F$1,'United Data'!$C$3:$C$3390,$A46,'United Data'!$B$3:$B$3390,"&lt;&gt;Off-street")&gt;0,1,0)</f>
        <v>0</v>
      </c>
      <c r="G46">
        <f>IF(COUNTIFS('United Data'!$A$3:$A$3390,G$1,'United Data'!$C$3:$C$3390,$A46,'United Data'!$B$3:$B$3390,"&lt;&gt;Off-street")&gt;0,1,0)</f>
        <v>0</v>
      </c>
      <c r="H46">
        <f>IF(COUNTIFS('United Data'!$A$3:$A$3390,H$1,'United Data'!$C$3:$C$3390,$A46,'United Data'!$B$3:$B$3390,"&lt;&gt;Off-street")&gt;0,1,0)</f>
        <v>0</v>
      </c>
      <c r="I46">
        <f>IF(COUNTIFS('United Data'!$A$3:$A$3390,I$1,'United Data'!$C$3:$C$3390,$A46,'United Data'!$B$3:$B$3390,"&lt;&gt;Off-street")&gt;0,1,0)</f>
        <v>0</v>
      </c>
      <c r="J46">
        <f>IF(COUNTIFS('United Data'!$A$3:$A$3390,J$1,'United Data'!$C$3:$C$3390,$A46,'United Data'!$B$3:$B$3390,"&lt;&gt;Off-street")&gt;0,1,0)</f>
        <v>0</v>
      </c>
      <c r="K46">
        <f>IF(COUNTIFS('United Data'!$A$3:$A$3390,K$1,'United Data'!$C$3:$C$3390,$A46,'United Data'!$B$3:$B$3390,"&lt;&gt;Off-street")&gt;0,1,0)</f>
        <v>0</v>
      </c>
      <c r="L46">
        <f>IF(COUNTIFS('United Data'!$A$3:$A$3390,L$1,'United Data'!$C$3:$C$3390,$A46,'United Data'!$B$3:$B$3390,"&lt;&gt;Off-street")&gt;0,1,0)</f>
        <v>0</v>
      </c>
      <c r="M46">
        <f>IF(COUNTIFS('United Data'!$A$3:$A$3390,M$1,'United Data'!$C$3:$C$3390,$A46,'United Data'!$B$3:$B$3390,"&lt;&gt;Off-street")&gt;0,1,0)</f>
        <v>0</v>
      </c>
      <c r="N46">
        <f>IF(COUNTIFS('United Data'!$A$3:$A$3390,N$1,'United Data'!$C$3:$C$3390,$A46,'United Data'!$B$3:$B$3390,"&lt;&gt;Off-street")&gt;0,1,0)</f>
        <v>0</v>
      </c>
      <c r="O46">
        <f>IF(COUNTIFS('United Data'!$A$3:$A$3390,O$1,'United Data'!$C$3:$C$3390,$A46,'United Data'!$B$3:$B$3390,"&lt;&gt;Off-street")&gt;0,1,0)</f>
        <v>0</v>
      </c>
      <c r="P46">
        <f>IF(COUNTIFS('United Data'!$A$3:$A$3390,P$1,'United Data'!$C$3:$C$3390,$A46,'United Data'!$B$3:$B$3390,"&lt;&gt;Off-street")&gt;0,1,0)</f>
        <v>0</v>
      </c>
      <c r="Q46">
        <f>IF(COUNTIFS('United Data'!$A$3:$A$3390,Q$1,'United Data'!$C$3:$C$3390,$A46,'United Data'!$B$3:$B$3390,"&lt;&gt;Off-street")&gt;0,1,0)</f>
        <v>0</v>
      </c>
      <c r="R46">
        <f>IF(COUNTIFS('United Data'!$A$3:$A$3390,R$1,'United Data'!$C$3:$C$3390,$A46,'United Data'!$B$3:$B$3390,"&lt;&gt;Off-street")&gt;0,1,0)</f>
        <v>0</v>
      </c>
      <c r="S46">
        <f t="shared" si="0"/>
        <v>1</v>
      </c>
      <c r="T46">
        <f t="shared" si="1"/>
        <v>1</v>
      </c>
    </row>
    <row r="47" spans="1:20" x14ac:dyDescent="0.2">
      <c r="A47" t="s">
        <v>91</v>
      </c>
      <c r="B47">
        <f>IF(COUNTIFS('United Data'!$A$3:$A$3390,B$1,'United Data'!$C$3:$C$3390,$A47,'United Data'!$B$3:$B$3390,"&lt;&gt;Off-street")&gt;0,1,0)</f>
        <v>0</v>
      </c>
      <c r="C47">
        <f>IF(COUNTIFS('United Data'!$A$3:$A$3390,C$1,'United Data'!$C$3:$C$3390,$A47,'United Data'!$B$3:$B$3390,"&lt;&gt;Off-street")&gt;0,1,0)</f>
        <v>0</v>
      </c>
      <c r="D47">
        <f>IF(COUNTIFS('United Data'!$A$3:$A$3390,D$1,'United Data'!$C$3:$C$3390,$A47,'United Data'!$B$3:$B$3390,"&lt;&gt;Off-street")&gt;0,1,0)</f>
        <v>0</v>
      </c>
      <c r="E47">
        <f>IF(COUNTIFS('United Data'!$A$3:$A$3390,E$1,'United Data'!$C$3:$C$3390,$A47,'United Data'!$B$3:$B$3390,"&lt;&gt;Off-street")&gt;0,1,0)</f>
        <v>1</v>
      </c>
      <c r="F47">
        <f>IF(COUNTIFS('United Data'!$A$3:$A$3390,F$1,'United Data'!$C$3:$C$3390,$A47,'United Data'!$B$3:$B$3390,"&lt;&gt;Off-street")&gt;0,1,0)</f>
        <v>0</v>
      </c>
      <c r="G47">
        <f>IF(COUNTIFS('United Data'!$A$3:$A$3390,G$1,'United Data'!$C$3:$C$3390,$A47,'United Data'!$B$3:$B$3390,"&lt;&gt;Off-street")&gt;0,1,0)</f>
        <v>0</v>
      </c>
      <c r="H47">
        <f>IF(COUNTIFS('United Data'!$A$3:$A$3390,H$1,'United Data'!$C$3:$C$3390,$A47,'United Data'!$B$3:$B$3390,"&lt;&gt;Off-street")&gt;0,1,0)</f>
        <v>0</v>
      </c>
      <c r="I47">
        <f>IF(COUNTIFS('United Data'!$A$3:$A$3390,I$1,'United Data'!$C$3:$C$3390,$A47,'United Data'!$B$3:$B$3390,"&lt;&gt;Off-street")&gt;0,1,0)</f>
        <v>0</v>
      </c>
      <c r="J47">
        <f>IF(COUNTIFS('United Data'!$A$3:$A$3390,J$1,'United Data'!$C$3:$C$3390,$A47,'United Data'!$B$3:$B$3390,"&lt;&gt;Off-street")&gt;0,1,0)</f>
        <v>0</v>
      </c>
      <c r="K47">
        <f>IF(COUNTIFS('United Data'!$A$3:$A$3390,K$1,'United Data'!$C$3:$C$3390,$A47,'United Data'!$B$3:$B$3390,"&lt;&gt;Off-street")&gt;0,1,0)</f>
        <v>0</v>
      </c>
      <c r="L47">
        <f>IF(COUNTIFS('United Data'!$A$3:$A$3390,L$1,'United Data'!$C$3:$C$3390,$A47,'United Data'!$B$3:$B$3390,"&lt;&gt;Off-street")&gt;0,1,0)</f>
        <v>0</v>
      </c>
      <c r="M47">
        <f>IF(COUNTIFS('United Data'!$A$3:$A$3390,M$1,'United Data'!$C$3:$C$3390,$A47,'United Data'!$B$3:$B$3390,"&lt;&gt;Off-street")&gt;0,1,0)</f>
        <v>0</v>
      </c>
      <c r="N47">
        <f>IF(COUNTIFS('United Data'!$A$3:$A$3390,N$1,'United Data'!$C$3:$C$3390,$A47,'United Data'!$B$3:$B$3390,"&lt;&gt;Off-street")&gt;0,1,0)</f>
        <v>0</v>
      </c>
      <c r="O47">
        <f>IF(COUNTIFS('United Data'!$A$3:$A$3390,O$1,'United Data'!$C$3:$C$3390,$A47,'United Data'!$B$3:$B$3390,"&lt;&gt;Off-street")&gt;0,1,0)</f>
        <v>0</v>
      </c>
      <c r="P47">
        <f>IF(COUNTIFS('United Data'!$A$3:$A$3390,P$1,'United Data'!$C$3:$C$3390,$A47,'United Data'!$B$3:$B$3390,"&lt;&gt;Off-street")&gt;0,1,0)</f>
        <v>0</v>
      </c>
      <c r="Q47">
        <f>IF(COUNTIFS('United Data'!$A$3:$A$3390,Q$1,'United Data'!$C$3:$C$3390,$A47,'United Data'!$B$3:$B$3390,"&lt;&gt;Off-street")&gt;0,1,0)</f>
        <v>0</v>
      </c>
      <c r="R47">
        <f>IF(COUNTIFS('United Data'!$A$3:$A$3390,R$1,'United Data'!$C$3:$C$3390,$A47,'United Data'!$B$3:$B$3390,"&lt;&gt;Off-street")&gt;0,1,0)</f>
        <v>0</v>
      </c>
      <c r="S47">
        <f t="shared" si="0"/>
        <v>1</v>
      </c>
      <c r="T47">
        <f t="shared" si="1"/>
        <v>1</v>
      </c>
    </row>
    <row r="48" spans="1:20" x14ac:dyDescent="0.2">
      <c r="A48" t="s">
        <v>92</v>
      </c>
      <c r="B48">
        <f>IF(COUNTIFS('United Data'!$A$3:$A$3390,B$1,'United Data'!$C$3:$C$3390,$A48,'United Data'!$B$3:$B$3390,"&lt;&gt;Off-street")&gt;0,1,0)</f>
        <v>0</v>
      </c>
      <c r="C48">
        <f>IF(COUNTIFS('United Data'!$A$3:$A$3390,C$1,'United Data'!$C$3:$C$3390,$A48,'United Data'!$B$3:$B$3390,"&lt;&gt;Off-street")&gt;0,1,0)</f>
        <v>0</v>
      </c>
      <c r="D48">
        <f>IF(COUNTIFS('United Data'!$A$3:$A$3390,D$1,'United Data'!$C$3:$C$3390,$A48,'United Data'!$B$3:$B$3390,"&lt;&gt;Off-street")&gt;0,1,0)</f>
        <v>0</v>
      </c>
      <c r="E48">
        <f>IF(COUNTIFS('United Data'!$A$3:$A$3390,E$1,'United Data'!$C$3:$C$3390,$A48,'United Data'!$B$3:$B$3390,"&lt;&gt;Off-street")&gt;0,1,0)</f>
        <v>1</v>
      </c>
      <c r="F48">
        <f>IF(COUNTIFS('United Data'!$A$3:$A$3390,F$1,'United Data'!$C$3:$C$3390,$A48,'United Data'!$B$3:$B$3390,"&lt;&gt;Off-street")&gt;0,1,0)</f>
        <v>0</v>
      </c>
      <c r="G48">
        <f>IF(COUNTIFS('United Data'!$A$3:$A$3390,G$1,'United Data'!$C$3:$C$3390,$A48,'United Data'!$B$3:$B$3390,"&lt;&gt;Off-street")&gt;0,1,0)</f>
        <v>0</v>
      </c>
      <c r="H48">
        <f>IF(COUNTIFS('United Data'!$A$3:$A$3390,H$1,'United Data'!$C$3:$C$3390,$A48,'United Data'!$B$3:$B$3390,"&lt;&gt;Off-street")&gt;0,1,0)</f>
        <v>0</v>
      </c>
      <c r="I48">
        <f>IF(COUNTIFS('United Data'!$A$3:$A$3390,I$1,'United Data'!$C$3:$C$3390,$A48,'United Data'!$B$3:$B$3390,"&lt;&gt;Off-street")&gt;0,1,0)</f>
        <v>0</v>
      </c>
      <c r="J48">
        <f>IF(COUNTIFS('United Data'!$A$3:$A$3390,J$1,'United Data'!$C$3:$C$3390,$A48,'United Data'!$B$3:$B$3390,"&lt;&gt;Off-street")&gt;0,1,0)</f>
        <v>0</v>
      </c>
      <c r="K48">
        <f>IF(COUNTIFS('United Data'!$A$3:$A$3390,K$1,'United Data'!$C$3:$C$3390,$A48,'United Data'!$B$3:$B$3390,"&lt;&gt;Off-street")&gt;0,1,0)</f>
        <v>0</v>
      </c>
      <c r="L48">
        <f>IF(COUNTIFS('United Data'!$A$3:$A$3390,L$1,'United Data'!$C$3:$C$3390,$A48,'United Data'!$B$3:$B$3390,"&lt;&gt;Off-street")&gt;0,1,0)</f>
        <v>0</v>
      </c>
      <c r="M48">
        <f>IF(COUNTIFS('United Data'!$A$3:$A$3390,M$1,'United Data'!$C$3:$C$3390,$A48,'United Data'!$B$3:$B$3390,"&lt;&gt;Off-street")&gt;0,1,0)</f>
        <v>0</v>
      </c>
      <c r="N48">
        <f>IF(COUNTIFS('United Data'!$A$3:$A$3390,N$1,'United Data'!$C$3:$C$3390,$A48,'United Data'!$B$3:$B$3390,"&lt;&gt;Off-street")&gt;0,1,0)</f>
        <v>0</v>
      </c>
      <c r="O48">
        <f>IF(COUNTIFS('United Data'!$A$3:$A$3390,O$1,'United Data'!$C$3:$C$3390,$A48,'United Data'!$B$3:$B$3390,"&lt;&gt;Off-street")&gt;0,1,0)</f>
        <v>0</v>
      </c>
      <c r="P48">
        <f>IF(COUNTIFS('United Data'!$A$3:$A$3390,P$1,'United Data'!$C$3:$C$3390,$A48,'United Data'!$B$3:$B$3390,"&lt;&gt;Off-street")&gt;0,1,0)</f>
        <v>0</v>
      </c>
      <c r="Q48">
        <f>IF(COUNTIFS('United Data'!$A$3:$A$3390,Q$1,'United Data'!$C$3:$C$3390,$A48,'United Data'!$B$3:$B$3390,"&lt;&gt;Off-street")&gt;0,1,0)</f>
        <v>0</v>
      </c>
      <c r="R48">
        <f>IF(COUNTIFS('United Data'!$A$3:$A$3390,R$1,'United Data'!$C$3:$C$3390,$A48,'United Data'!$B$3:$B$3390,"&lt;&gt;Off-street")&gt;0,1,0)</f>
        <v>0</v>
      </c>
      <c r="S48">
        <f t="shared" si="0"/>
        <v>1</v>
      </c>
      <c r="T48">
        <f t="shared" si="1"/>
        <v>1</v>
      </c>
    </row>
    <row r="49" spans="1:20" x14ac:dyDescent="0.2">
      <c r="A49" t="s">
        <v>93</v>
      </c>
      <c r="B49">
        <f>IF(COUNTIFS('United Data'!$A$3:$A$3390,B$1,'United Data'!$C$3:$C$3390,$A49,'United Data'!$B$3:$B$3390,"&lt;&gt;Off-street")&gt;0,1,0)</f>
        <v>0</v>
      </c>
      <c r="C49">
        <f>IF(COUNTIFS('United Data'!$A$3:$A$3390,C$1,'United Data'!$C$3:$C$3390,$A49,'United Data'!$B$3:$B$3390,"&lt;&gt;Off-street")&gt;0,1,0)</f>
        <v>0</v>
      </c>
      <c r="D49">
        <f>IF(COUNTIFS('United Data'!$A$3:$A$3390,D$1,'United Data'!$C$3:$C$3390,$A49,'United Data'!$B$3:$B$3390,"&lt;&gt;Off-street")&gt;0,1,0)</f>
        <v>0</v>
      </c>
      <c r="E49">
        <f>IF(COUNTIFS('United Data'!$A$3:$A$3390,E$1,'United Data'!$C$3:$C$3390,$A49,'United Data'!$B$3:$B$3390,"&lt;&gt;Off-street")&gt;0,1,0)</f>
        <v>1</v>
      </c>
      <c r="F49">
        <f>IF(COUNTIFS('United Data'!$A$3:$A$3390,F$1,'United Data'!$C$3:$C$3390,$A49,'United Data'!$B$3:$B$3390,"&lt;&gt;Off-street")&gt;0,1,0)</f>
        <v>0</v>
      </c>
      <c r="G49">
        <f>IF(COUNTIFS('United Data'!$A$3:$A$3390,G$1,'United Data'!$C$3:$C$3390,$A49,'United Data'!$B$3:$B$3390,"&lt;&gt;Off-street")&gt;0,1,0)</f>
        <v>0</v>
      </c>
      <c r="H49">
        <f>IF(COUNTIFS('United Data'!$A$3:$A$3390,H$1,'United Data'!$C$3:$C$3390,$A49,'United Data'!$B$3:$B$3390,"&lt;&gt;Off-street")&gt;0,1,0)</f>
        <v>0</v>
      </c>
      <c r="I49">
        <f>IF(COUNTIFS('United Data'!$A$3:$A$3390,I$1,'United Data'!$C$3:$C$3390,$A49,'United Data'!$B$3:$B$3390,"&lt;&gt;Off-street")&gt;0,1,0)</f>
        <v>0</v>
      </c>
      <c r="J49">
        <f>IF(COUNTIFS('United Data'!$A$3:$A$3390,J$1,'United Data'!$C$3:$C$3390,$A49,'United Data'!$B$3:$B$3390,"&lt;&gt;Off-street")&gt;0,1,0)</f>
        <v>0</v>
      </c>
      <c r="K49">
        <f>IF(COUNTIFS('United Data'!$A$3:$A$3390,K$1,'United Data'!$C$3:$C$3390,$A49,'United Data'!$B$3:$B$3390,"&lt;&gt;Off-street")&gt;0,1,0)</f>
        <v>0</v>
      </c>
      <c r="L49">
        <f>IF(COUNTIFS('United Data'!$A$3:$A$3390,L$1,'United Data'!$C$3:$C$3390,$A49,'United Data'!$B$3:$B$3390,"&lt;&gt;Off-street")&gt;0,1,0)</f>
        <v>0</v>
      </c>
      <c r="M49">
        <f>IF(COUNTIFS('United Data'!$A$3:$A$3390,M$1,'United Data'!$C$3:$C$3390,$A49,'United Data'!$B$3:$B$3390,"&lt;&gt;Off-street")&gt;0,1,0)</f>
        <v>0</v>
      </c>
      <c r="N49">
        <f>IF(COUNTIFS('United Data'!$A$3:$A$3390,N$1,'United Data'!$C$3:$C$3390,$A49,'United Data'!$B$3:$B$3390,"&lt;&gt;Off-street")&gt;0,1,0)</f>
        <v>0</v>
      </c>
      <c r="O49">
        <f>IF(COUNTIFS('United Data'!$A$3:$A$3390,O$1,'United Data'!$C$3:$C$3390,$A49,'United Data'!$B$3:$B$3390,"&lt;&gt;Off-street")&gt;0,1,0)</f>
        <v>0</v>
      </c>
      <c r="P49">
        <f>IF(COUNTIFS('United Data'!$A$3:$A$3390,P$1,'United Data'!$C$3:$C$3390,$A49,'United Data'!$B$3:$B$3390,"&lt;&gt;Off-street")&gt;0,1,0)</f>
        <v>0</v>
      </c>
      <c r="Q49">
        <f>IF(COUNTIFS('United Data'!$A$3:$A$3390,Q$1,'United Data'!$C$3:$C$3390,$A49,'United Data'!$B$3:$B$3390,"&lt;&gt;Off-street")&gt;0,1,0)</f>
        <v>0</v>
      </c>
      <c r="R49">
        <f>IF(COUNTIFS('United Data'!$A$3:$A$3390,R$1,'United Data'!$C$3:$C$3390,$A49,'United Data'!$B$3:$B$3390,"&lt;&gt;Off-street")&gt;0,1,0)</f>
        <v>0</v>
      </c>
      <c r="S49">
        <f t="shared" si="0"/>
        <v>1</v>
      </c>
      <c r="T49">
        <f t="shared" si="1"/>
        <v>1</v>
      </c>
    </row>
    <row r="50" spans="1:20" x14ac:dyDescent="0.2">
      <c r="A50" t="s">
        <v>94</v>
      </c>
      <c r="B50">
        <f>IF(COUNTIFS('United Data'!$A$3:$A$3390,B$1,'United Data'!$C$3:$C$3390,$A50,'United Data'!$B$3:$B$3390,"&lt;&gt;Off-street")&gt;0,1,0)</f>
        <v>0</v>
      </c>
      <c r="C50">
        <f>IF(COUNTIFS('United Data'!$A$3:$A$3390,C$1,'United Data'!$C$3:$C$3390,$A50,'United Data'!$B$3:$B$3390,"&lt;&gt;Off-street")&gt;0,1,0)</f>
        <v>0</v>
      </c>
      <c r="D50">
        <f>IF(COUNTIFS('United Data'!$A$3:$A$3390,D$1,'United Data'!$C$3:$C$3390,$A50,'United Data'!$B$3:$B$3390,"&lt;&gt;Off-street")&gt;0,1,0)</f>
        <v>0</v>
      </c>
      <c r="E50">
        <f>IF(COUNTIFS('United Data'!$A$3:$A$3390,E$1,'United Data'!$C$3:$C$3390,$A50,'United Data'!$B$3:$B$3390,"&lt;&gt;Off-street")&gt;0,1,0)</f>
        <v>0</v>
      </c>
      <c r="F50">
        <f>IF(COUNTIFS('United Data'!$A$3:$A$3390,F$1,'United Data'!$C$3:$C$3390,$A50,'United Data'!$B$3:$B$3390,"&lt;&gt;Off-street")&gt;0,1,0)</f>
        <v>1</v>
      </c>
      <c r="G50">
        <f>IF(COUNTIFS('United Data'!$A$3:$A$3390,G$1,'United Data'!$C$3:$C$3390,$A50,'United Data'!$B$3:$B$3390,"&lt;&gt;Off-street")&gt;0,1,0)</f>
        <v>1</v>
      </c>
      <c r="H50">
        <f>IF(COUNTIFS('United Data'!$A$3:$A$3390,H$1,'United Data'!$C$3:$C$3390,$A50,'United Data'!$B$3:$B$3390,"&lt;&gt;Off-street")&gt;0,1,0)</f>
        <v>0</v>
      </c>
      <c r="I50">
        <f>IF(COUNTIFS('United Data'!$A$3:$A$3390,I$1,'United Data'!$C$3:$C$3390,$A50,'United Data'!$B$3:$B$3390,"&lt;&gt;Off-street")&gt;0,1,0)</f>
        <v>0</v>
      </c>
      <c r="J50">
        <f>IF(COUNTIFS('United Data'!$A$3:$A$3390,J$1,'United Data'!$C$3:$C$3390,$A50,'United Data'!$B$3:$B$3390,"&lt;&gt;Off-street")&gt;0,1,0)</f>
        <v>0</v>
      </c>
      <c r="K50">
        <f>IF(COUNTIFS('United Data'!$A$3:$A$3390,K$1,'United Data'!$C$3:$C$3390,$A50,'United Data'!$B$3:$B$3390,"&lt;&gt;Off-street")&gt;0,1,0)</f>
        <v>0</v>
      </c>
      <c r="L50">
        <f>IF(COUNTIFS('United Data'!$A$3:$A$3390,L$1,'United Data'!$C$3:$C$3390,$A50,'United Data'!$B$3:$B$3390,"&lt;&gt;Off-street")&gt;0,1,0)</f>
        <v>0</v>
      </c>
      <c r="M50">
        <f>IF(COUNTIFS('United Data'!$A$3:$A$3390,M$1,'United Data'!$C$3:$C$3390,$A50,'United Data'!$B$3:$B$3390,"&lt;&gt;Off-street")&gt;0,1,0)</f>
        <v>0</v>
      </c>
      <c r="N50">
        <f>IF(COUNTIFS('United Data'!$A$3:$A$3390,N$1,'United Data'!$C$3:$C$3390,$A50,'United Data'!$B$3:$B$3390,"&lt;&gt;Off-street")&gt;0,1,0)</f>
        <v>0</v>
      </c>
      <c r="O50">
        <f>IF(COUNTIFS('United Data'!$A$3:$A$3390,O$1,'United Data'!$C$3:$C$3390,$A50,'United Data'!$B$3:$B$3390,"&lt;&gt;Off-street")&gt;0,1,0)</f>
        <v>0</v>
      </c>
      <c r="P50">
        <f>IF(COUNTIFS('United Data'!$A$3:$A$3390,P$1,'United Data'!$C$3:$C$3390,$A50,'United Data'!$B$3:$B$3390,"&lt;&gt;Off-street")&gt;0,1,0)</f>
        <v>0</v>
      </c>
      <c r="Q50">
        <f>IF(COUNTIFS('United Data'!$A$3:$A$3390,Q$1,'United Data'!$C$3:$C$3390,$A50,'United Data'!$B$3:$B$3390,"&lt;&gt;Off-street")&gt;0,1,0)</f>
        <v>0</v>
      </c>
      <c r="R50">
        <f>IF(COUNTIFS('United Data'!$A$3:$A$3390,R$1,'United Data'!$C$3:$C$3390,$A50,'United Data'!$B$3:$B$3390,"&lt;&gt;Off-street")&gt;0,1,0)</f>
        <v>0</v>
      </c>
      <c r="S50">
        <f t="shared" si="0"/>
        <v>2</v>
      </c>
      <c r="T50">
        <f t="shared" si="1"/>
        <v>1</v>
      </c>
    </row>
    <row r="51" spans="1:20" x14ac:dyDescent="0.2">
      <c r="A51" t="s">
        <v>95</v>
      </c>
      <c r="B51">
        <f>IF(COUNTIFS('United Data'!$A$3:$A$3390,B$1,'United Data'!$C$3:$C$3390,$A51,'United Data'!$B$3:$B$3390,"&lt;&gt;Off-street")&gt;0,1,0)</f>
        <v>0</v>
      </c>
      <c r="C51">
        <f>IF(COUNTIFS('United Data'!$A$3:$A$3390,C$1,'United Data'!$C$3:$C$3390,$A51,'United Data'!$B$3:$B$3390,"&lt;&gt;Off-street")&gt;0,1,0)</f>
        <v>0</v>
      </c>
      <c r="D51">
        <f>IF(COUNTIFS('United Data'!$A$3:$A$3390,D$1,'United Data'!$C$3:$C$3390,$A51,'United Data'!$B$3:$B$3390,"&lt;&gt;Off-street")&gt;0,1,0)</f>
        <v>0</v>
      </c>
      <c r="E51">
        <f>IF(COUNTIFS('United Data'!$A$3:$A$3390,E$1,'United Data'!$C$3:$C$3390,$A51,'United Data'!$B$3:$B$3390,"&lt;&gt;Off-street")&gt;0,1,0)</f>
        <v>0</v>
      </c>
      <c r="F51">
        <f>IF(COUNTIFS('United Data'!$A$3:$A$3390,F$1,'United Data'!$C$3:$C$3390,$A51,'United Data'!$B$3:$B$3390,"&lt;&gt;Off-street")&gt;0,1,0)</f>
        <v>1</v>
      </c>
      <c r="G51">
        <f>IF(COUNTIFS('United Data'!$A$3:$A$3390,G$1,'United Data'!$C$3:$C$3390,$A51,'United Data'!$B$3:$B$3390,"&lt;&gt;Off-street")&gt;0,1,0)</f>
        <v>0</v>
      </c>
      <c r="H51">
        <f>IF(COUNTIFS('United Data'!$A$3:$A$3390,H$1,'United Data'!$C$3:$C$3390,$A51,'United Data'!$B$3:$B$3390,"&lt;&gt;Off-street")&gt;0,1,0)</f>
        <v>0</v>
      </c>
      <c r="I51">
        <f>IF(COUNTIFS('United Data'!$A$3:$A$3390,I$1,'United Data'!$C$3:$C$3390,$A51,'United Data'!$B$3:$B$3390,"&lt;&gt;Off-street")&gt;0,1,0)</f>
        <v>0</v>
      </c>
      <c r="J51">
        <f>IF(COUNTIFS('United Data'!$A$3:$A$3390,J$1,'United Data'!$C$3:$C$3390,$A51,'United Data'!$B$3:$B$3390,"&lt;&gt;Off-street")&gt;0,1,0)</f>
        <v>0</v>
      </c>
      <c r="K51">
        <f>IF(COUNTIFS('United Data'!$A$3:$A$3390,K$1,'United Data'!$C$3:$C$3390,$A51,'United Data'!$B$3:$B$3390,"&lt;&gt;Off-street")&gt;0,1,0)</f>
        <v>0</v>
      </c>
      <c r="L51">
        <f>IF(COUNTIFS('United Data'!$A$3:$A$3390,L$1,'United Data'!$C$3:$C$3390,$A51,'United Data'!$B$3:$B$3390,"&lt;&gt;Off-street")&gt;0,1,0)</f>
        <v>0</v>
      </c>
      <c r="M51">
        <f>IF(COUNTIFS('United Data'!$A$3:$A$3390,M$1,'United Data'!$C$3:$C$3390,$A51,'United Data'!$B$3:$B$3390,"&lt;&gt;Off-street")&gt;0,1,0)</f>
        <v>0</v>
      </c>
      <c r="N51">
        <f>IF(COUNTIFS('United Data'!$A$3:$A$3390,N$1,'United Data'!$C$3:$C$3390,$A51,'United Data'!$B$3:$B$3390,"&lt;&gt;Off-street")&gt;0,1,0)</f>
        <v>0</v>
      </c>
      <c r="O51">
        <f>IF(COUNTIFS('United Data'!$A$3:$A$3390,O$1,'United Data'!$C$3:$C$3390,$A51,'United Data'!$B$3:$B$3390,"&lt;&gt;Off-street")&gt;0,1,0)</f>
        <v>0</v>
      </c>
      <c r="P51">
        <f>IF(COUNTIFS('United Data'!$A$3:$A$3390,P$1,'United Data'!$C$3:$C$3390,$A51,'United Data'!$B$3:$B$3390,"&lt;&gt;Off-street")&gt;0,1,0)</f>
        <v>0</v>
      </c>
      <c r="Q51">
        <f>IF(COUNTIFS('United Data'!$A$3:$A$3390,Q$1,'United Data'!$C$3:$C$3390,$A51,'United Data'!$B$3:$B$3390,"&lt;&gt;Off-street")&gt;0,1,0)</f>
        <v>0</v>
      </c>
      <c r="R51">
        <f>IF(COUNTIFS('United Data'!$A$3:$A$3390,R$1,'United Data'!$C$3:$C$3390,$A51,'United Data'!$B$3:$B$3390,"&lt;&gt;Off-street")&gt;0,1,0)</f>
        <v>0</v>
      </c>
      <c r="S51">
        <f t="shared" si="0"/>
        <v>1</v>
      </c>
      <c r="T51">
        <f t="shared" si="1"/>
        <v>1</v>
      </c>
    </row>
    <row r="52" spans="1:20" x14ac:dyDescent="0.2">
      <c r="A52" t="s">
        <v>96</v>
      </c>
      <c r="B52">
        <f>IF(COUNTIFS('United Data'!$A$3:$A$3390,B$1,'United Data'!$C$3:$C$3390,$A52,'United Data'!$B$3:$B$3390,"&lt;&gt;Off-street")&gt;0,1,0)</f>
        <v>1</v>
      </c>
      <c r="C52">
        <f>IF(COUNTIFS('United Data'!$A$3:$A$3390,C$1,'United Data'!$C$3:$C$3390,$A52,'United Data'!$B$3:$B$3390,"&lt;&gt;Off-street")&gt;0,1,0)</f>
        <v>0</v>
      </c>
      <c r="D52">
        <f>IF(COUNTIFS('United Data'!$A$3:$A$3390,D$1,'United Data'!$C$3:$C$3390,$A52,'United Data'!$B$3:$B$3390,"&lt;&gt;Off-street")&gt;0,1,0)</f>
        <v>0</v>
      </c>
      <c r="E52">
        <f>IF(COUNTIFS('United Data'!$A$3:$A$3390,E$1,'United Data'!$C$3:$C$3390,$A52,'United Data'!$B$3:$B$3390,"&lt;&gt;Off-street")&gt;0,1,0)</f>
        <v>0</v>
      </c>
      <c r="F52">
        <f>IF(COUNTIFS('United Data'!$A$3:$A$3390,F$1,'United Data'!$C$3:$C$3390,$A52,'United Data'!$B$3:$B$3390,"&lt;&gt;Off-street")&gt;0,1,0)</f>
        <v>0</v>
      </c>
      <c r="G52">
        <f>IF(COUNTIFS('United Data'!$A$3:$A$3390,G$1,'United Data'!$C$3:$C$3390,$A52,'United Data'!$B$3:$B$3390,"&lt;&gt;Off-street")&gt;0,1,0)</f>
        <v>0</v>
      </c>
      <c r="H52">
        <f>IF(COUNTIFS('United Data'!$A$3:$A$3390,H$1,'United Data'!$C$3:$C$3390,$A52,'United Data'!$B$3:$B$3390,"&lt;&gt;Off-street")&gt;0,1,0)</f>
        <v>1</v>
      </c>
      <c r="I52">
        <f>IF(COUNTIFS('United Data'!$A$3:$A$3390,I$1,'United Data'!$C$3:$C$3390,$A52,'United Data'!$B$3:$B$3390,"&lt;&gt;Off-street")&gt;0,1,0)</f>
        <v>0</v>
      </c>
      <c r="J52">
        <f>IF(COUNTIFS('United Data'!$A$3:$A$3390,J$1,'United Data'!$C$3:$C$3390,$A52,'United Data'!$B$3:$B$3390,"&lt;&gt;Off-street")&gt;0,1,0)</f>
        <v>0</v>
      </c>
      <c r="K52">
        <f>IF(COUNTIFS('United Data'!$A$3:$A$3390,K$1,'United Data'!$C$3:$C$3390,$A52,'United Data'!$B$3:$B$3390,"&lt;&gt;Off-street")&gt;0,1,0)</f>
        <v>0</v>
      </c>
      <c r="L52">
        <f>IF(COUNTIFS('United Data'!$A$3:$A$3390,L$1,'United Data'!$C$3:$C$3390,$A52,'United Data'!$B$3:$B$3390,"&lt;&gt;Off-street")&gt;0,1,0)</f>
        <v>0</v>
      </c>
      <c r="M52">
        <f>IF(COUNTIFS('United Data'!$A$3:$A$3390,M$1,'United Data'!$C$3:$C$3390,$A52,'United Data'!$B$3:$B$3390,"&lt;&gt;Off-street")&gt;0,1,0)</f>
        <v>0</v>
      </c>
      <c r="N52">
        <f>IF(COUNTIFS('United Data'!$A$3:$A$3390,N$1,'United Data'!$C$3:$C$3390,$A52,'United Data'!$B$3:$B$3390,"&lt;&gt;Off-street")&gt;0,1,0)</f>
        <v>0</v>
      </c>
      <c r="O52">
        <f>IF(COUNTIFS('United Data'!$A$3:$A$3390,O$1,'United Data'!$C$3:$C$3390,$A52,'United Data'!$B$3:$B$3390,"&lt;&gt;Off-street")&gt;0,1,0)</f>
        <v>0</v>
      </c>
      <c r="P52">
        <f>IF(COUNTIFS('United Data'!$A$3:$A$3390,P$1,'United Data'!$C$3:$C$3390,$A52,'United Data'!$B$3:$B$3390,"&lt;&gt;Off-street")&gt;0,1,0)</f>
        <v>0</v>
      </c>
      <c r="Q52">
        <f>IF(COUNTIFS('United Data'!$A$3:$A$3390,Q$1,'United Data'!$C$3:$C$3390,$A52,'United Data'!$B$3:$B$3390,"&lt;&gt;Off-street")&gt;0,1,0)</f>
        <v>0</v>
      </c>
      <c r="R52">
        <f>IF(COUNTIFS('United Data'!$A$3:$A$3390,R$1,'United Data'!$C$3:$C$3390,$A52,'United Data'!$B$3:$B$3390,"&lt;&gt;Off-street")&gt;0,1,0)</f>
        <v>0</v>
      </c>
      <c r="S52">
        <f t="shared" si="0"/>
        <v>2</v>
      </c>
      <c r="T52">
        <f t="shared" si="1"/>
        <v>2</v>
      </c>
    </row>
    <row r="53" spans="1:20" x14ac:dyDescent="0.2">
      <c r="A53" t="s">
        <v>97</v>
      </c>
      <c r="B53">
        <f>IF(COUNTIFS('United Data'!$A$3:$A$3390,B$1,'United Data'!$C$3:$C$3390,$A53,'United Data'!$B$3:$B$3390,"&lt;&gt;Off-street")&gt;0,1,0)</f>
        <v>0</v>
      </c>
      <c r="C53">
        <f>IF(COUNTIFS('United Data'!$A$3:$A$3390,C$1,'United Data'!$C$3:$C$3390,$A53,'United Data'!$B$3:$B$3390,"&lt;&gt;Off-street")&gt;0,1,0)</f>
        <v>0</v>
      </c>
      <c r="D53">
        <f>IF(COUNTIFS('United Data'!$A$3:$A$3390,D$1,'United Data'!$C$3:$C$3390,$A53,'United Data'!$B$3:$B$3390,"&lt;&gt;Off-street")&gt;0,1,0)</f>
        <v>0</v>
      </c>
      <c r="E53">
        <f>IF(COUNTIFS('United Data'!$A$3:$A$3390,E$1,'United Data'!$C$3:$C$3390,$A53,'United Data'!$B$3:$B$3390,"&lt;&gt;Off-street")&gt;0,1,0)</f>
        <v>0</v>
      </c>
      <c r="F53">
        <f>IF(COUNTIFS('United Data'!$A$3:$A$3390,F$1,'United Data'!$C$3:$C$3390,$A53,'United Data'!$B$3:$B$3390,"&lt;&gt;Off-street")&gt;0,1,0)</f>
        <v>0</v>
      </c>
      <c r="G53">
        <f>IF(COUNTIFS('United Data'!$A$3:$A$3390,G$1,'United Data'!$C$3:$C$3390,$A53,'United Data'!$B$3:$B$3390,"&lt;&gt;Off-street")&gt;0,1,0)</f>
        <v>0</v>
      </c>
      <c r="H53">
        <f>IF(COUNTIFS('United Data'!$A$3:$A$3390,H$1,'United Data'!$C$3:$C$3390,$A53,'United Data'!$B$3:$B$3390,"&lt;&gt;Off-street")&gt;0,1,0)</f>
        <v>0</v>
      </c>
      <c r="I53">
        <f>IF(COUNTIFS('United Data'!$A$3:$A$3390,I$1,'United Data'!$C$3:$C$3390,$A53,'United Data'!$B$3:$B$3390,"&lt;&gt;Off-street")&gt;0,1,0)</f>
        <v>1</v>
      </c>
      <c r="J53">
        <f>IF(COUNTIFS('United Data'!$A$3:$A$3390,J$1,'United Data'!$C$3:$C$3390,$A53,'United Data'!$B$3:$B$3390,"&lt;&gt;Off-street")&gt;0,1,0)</f>
        <v>0</v>
      </c>
      <c r="K53">
        <f>IF(COUNTIFS('United Data'!$A$3:$A$3390,K$1,'United Data'!$C$3:$C$3390,$A53,'United Data'!$B$3:$B$3390,"&lt;&gt;Off-street")&gt;0,1,0)</f>
        <v>0</v>
      </c>
      <c r="L53">
        <f>IF(COUNTIFS('United Data'!$A$3:$A$3390,L$1,'United Data'!$C$3:$C$3390,$A53,'United Data'!$B$3:$B$3390,"&lt;&gt;Off-street")&gt;0,1,0)</f>
        <v>0</v>
      </c>
      <c r="M53">
        <f>IF(COUNTIFS('United Data'!$A$3:$A$3390,M$1,'United Data'!$C$3:$C$3390,$A53,'United Data'!$B$3:$B$3390,"&lt;&gt;Off-street")&gt;0,1,0)</f>
        <v>0</v>
      </c>
      <c r="N53">
        <f>IF(COUNTIFS('United Data'!$A$3:$A$3390,N$1,'United Data'!$C$3:$C$3390,$A53,'United Data'!$B$3:$B$3390,"&lt;&gt;Off-street")&gt;0,1,0)</f>
        <v>0</v>
      </c>
      <c r="O53">
        <f>IF(COUNTIFS('United Data'!$A$3:$A$3390,O$1,'United Data'!$C$3:$C$3390,$A53,'United Data'!$B$3:$B$3390,"&lt;&gt;Off-street")&gt;0,1,0)</f>
        <v>0</v>
      </c>
      <c r="P53">
        <f>IF(COUNTIFS('United Data'!$A$3:$A$3390,P$1,'United Data'!$C$3:$C$3390,$A53,'United Data'!$B$3:$B$3390,"&lt;&gt;Off-street")&gt;0,1,0)</f>
        <v>0</v>
      </c>
      <c r="Q53">
        <f>IF(COUNTIFS('United Data'!$A$3:$A$3390,Q$1,'United Data'!$C$3:$C$3390,$A53,'United Data'!$B$3:$B$3390,"&lt;&gt;Off-street")&gt;0,1,0)</f>
        <v>0</v>
      </c>
      <c r="R53">
        <f>IF(COUNTIFS('United Data'!$A$3:$A$3390,R$1,'United Data'!$C$3:$C$3390,$A53,'United Data'!$B$3:$B$3390,"&lt;&gt;Off-street")&gt;0,1,0)</f>
        <v>0</v>
      </c>
      <c r="S53">
        <f t="shared" si="0"/>
        <v>1</v>
      </c>
      <c r="T53">
        <f t="shared" si="1"/>
        <v>1</v>
      </c>
    </row>
    <row r="54" spans="1:20" x14ac:dyDescent="0.2">
      <c r="A54" t="s">
        <v>98</v>
      </c>
      <c r="B54">
        <f>IF(COUNTIFS('United Data'!$A$3:$A$3390,B$1,'United Data'!$C$3:$C$3390,$A54,'United Data'!$B$3:$B$3390,"&lt;&gt;Off-street")&gt;0,1,0)</f>
        <v>0</v>
      </c>
      <c r="C54">
        <f>IF(COUNTIFS('United Data'!$A$3:$A$3390,C$1,'United Data'!$C$3:$C$3390,$A54,'United Data'!$B$3:$B$3390,"&lt;&gt;Off-street")&gt;0,1,0)</f>
        <v>0</v>
      </c>
      <c r="D54">
        <f>IF(COUNTIFS('United Data'!$A$3:$A$3390,D$1,'United Data'!$C$3:$C$3390,$A54,'United Data'!$B$3:$B$3390,"&lt;&gt;Off-street")&gt;0,1,0)</f>
        <v>0</v>
      </c>
      <c r="E54">
        <f>IF(COUNTIFS('United Data'!$A$3:$A$3390,E$1,'United Data'!$C$3:$C$3390,$A54,'United Data'!$B$3:$B$3390,"&lt;&gt;Off-street")&gt;0,1,0)</f>
        <v>0</v>
      </c>
      <c r="F54">
        <f>IF(COUNTIFS('United Data'!$A$3:$A$3390,F$1,'United Data'!$C$3:$C$3390,$A54,'United Data'!$B$3:$B$3390,"&lt;&gt;Off-street")&gt;0,1,0)</f>
        <v>0</v>
      </c>
      <c r="G54">
        <f>IF(COUNTIFS('United Data'!$A$3:$A$3390,G$1,'United Data'!$C$3:$C$3390,$A54,'United Data'!$B$3:$B$3390,"&lt;&gt;Off-street")&gt;0,1,0)</f>
        <v>0</v>
      </c>
      <c r="H54">
        <f>IF(COUNTIFS('United Data'!$A$3:$A$3390,H$1,'United Data'!$C$3:$C$3390,$A54,'United Data'!$B$3:$B$3390,"&lt;&gt;Off-street")&gt;0,1,0)</f>
        <v>0</v>
      </c>
      <c r="I54">
        <f>IF(COUNTIFS('United Data'!$A$3:$A$3390,I$1,'United Data'!$C$3:$C$3390,$A54,'United Data'!$B$3:$B$3390,"&lt;&gt;Off-street")&gt;0,1,0)</f>
        <v>1</v>
      </c>
      <c r="J54">
        <f>IF(COUNTIFS('United Data'!$A$3:$A$3390,J$1,'United Data'!$C$3:$C$3390,$A54,'United Data'!$B$3:$B$3390,"&lt;&gt;Off-street")&gt;0,1,0)</f>
        <v>0</v>
      </c>
      <c r="K54">
        <f>IF(COUNTIFS('United Data'!$A$3:$A$3390,K$1,'United Data'!$C$3:$C$3390,$A54,'United Data'!$B$3:$B$3390,"&lt;&gt;Off-street")&gt;0,1,0)</f>
        <v>0</v>
      </c>
      <c r="L54">
        <f>IF(COUNTIFS('United Data'!$A$3:$A$3390,L$1,'United Data'!$C$3:$C$3390,$A54,'United Data'!$B$3:$B$3390,"&lt;&gt;Off-street")&gt;0,1,0)</f>
        <v>0</v>
      </c>
      <c r="M54">
        <f>IF(COUNTIFS('United Data'!$A$3:$A$3390,M$1,'United Data'!$C$3:$C$3390,$A54,'United Data'!$B$3:$B$3390,"&lt;&gt;Off-street")&gt;0,1,0)</f>
        <v>0</v>
      </c>
      <c r="N54">
        <f>IF(COUNTIFS('United Data'!$A$3:$A$3390,N$1,'United Data'!$C$3:$C$3390,$A54,'United Data'!$B$3:$B$3390,"&lt;&gt;Off-street")&gt;0,1,0)</f>
        <v>0</v>
      </c>
      <c r="O54">
        <f>IF(COUNTIFS('United Data'!$A$3:$A$3390,O$1,'United Data'!$C$3:$C$3390,$A54,'United Data'!$B$3:$B$3390,"&lt;&gt;Off-street")&gt;0,1,0)</f>
        <v>0</v>
      </c>
      <c r="P54">
        <f>IF(COUNTIFS('United Data'!$A$3:$A$3390,P$1,'United Data'!$C$3:$C$3390,$A54,'United Data'!$B$3:$B$3390,"&lt;&gt;Off-street")&gt;0,1,0)</f>
        <v>0</v>
      </c>
      <c r="Q54">
        <f>IF(COUNTIFS('United Data'!$A$3:$A$3390,Q$1,'United Data'!$C$3:$C$3390,$A54,'United Data'!$B$3:$B$3390,"&lt;&gt;Off-street")&gt;0,1,0)</f>
        <v>0</v>
      </c>
      <c r="R54">
        <f>IF(COUNTIFS('United Data'!$A$3:$A$3390,R$1,'United Data'!$C$3:$C$3390,$A54,'United Data'!$B$3:$B$3390,"&lt;&gt;Off-street")&gt;0,1,0)</f>
        <v>0</v>
      </c>
      <c r="S54">
        <f t="shared" si="0"/>
        <v>1</v>
      </c>
      <c r="T54">
        <f t="shared" si="1"/>
        <v>1</v>
      </c>
    </row>
    <row r="55" spans="1:20" x14ac:dyDescent="0.2">
      <c r="A55" t="s">
        <v>99</v>
      </c>
      <c r="B55">
        <f>IF(COUNTIFS('United Data'!$A$3:$A$3390,B$1,'United Data'!$C$3:$C$3390,$A55,'United Data'!$B$3:$B$3390,"&lt;&gt;Off-street")&gt;0,1,0)</f>
        <v>0</v>
      </c>
      <c r="C55">
        <f>IF(COUNTIFS('United Data'!$A$3:$A$3390,C$1,'United Data'!$C$3:$C$3390,$A55,'United Data'!$B$3:$B$3390,"&lt;&gt;Off-street")&gt;0,1,0)</f>
        <v>0</v>
      </c>
      <c r="D55">
        <f>IF(COUNTIFS('United Data'!$A$3:$A$3390,D$1,'United Data'!$C$3:$C$3390,$A55,'United Data'!$B$3:$B$3390,"&lt;&gt;Off-street")&gt;0,1,0)</f>
        <v>0</v>
      </c>
      <c r="E55">
        <f>IF(COUNTIFS('United Data'!$A$3:$A$3390,E$1,'United Data'!$C$3:$C$3390,$A55,'United Data'!$B$3:$B$3390,"&lt;&gt;Off-street")&gt;0,1,0)</f>
        <v>0</v>
      </c>
      <c r="F55">
        <f>IF(COUNTIFS('United Data'!$A$3:$A$3390,F$1,'United Data'!$C$3:$C$3390,$A55,'United Data'!$B$3:$B$3390,"&lt;&gt;Off-street")&gt;0,1,0)</f>
        <v>0</v>
      </c>
      <c r="G55">
        <f>IF(COUNTIFS('United Data'!$A$3:$A$3390,G$1,'United Data'!$C$3:$C$3390,$A55,'United Data'!$B$3:$B$3390,"&lt;&gt;Off-street")&gt;0,1,0)</f>
        <v>0</v>
      </c>
      <c r="H55">
        <f>IF(COUNTIFS('United Data'!$A$3:$A$3390,H$1,'United Data'!$C$3:$C$3390,$A55,'United Data'!$B$3:$B$3390,"&lt;&gt;Off-street")&gt;0,1,0)</f>
        <v>0</v>
      </c>
      <c r="I55">
        <f>IF(COUNTIFS('United Data'!$A$3:$A$3390,I$1,'United Data'!$C$3:$C$3390,$A55,'United Data'!$B$3:$B$3390,"&lt;&gt;Off-street")&gt;0,1,0)</f>
        <v>1</v>
      </c>
      <c r="J55">
        <f>IF(COUNTIFS('United Data'!$A$3:$A$3390,J$1,'United Data'!$C$3:$C$3390,$A55,'United Data'!$B$3:$B$3390,"&lt;&gt;Off-street")&gt;0,1,0)</f>
        <v>0</v>
      </c>
      <c r="K55">
        <f>IF(COUNTIFS('United Data'!$A$3:$A$3390,K$1,'United Data'!$C$3:$C$3390,$A55,'United Data'!$B$3:$B$3390,"&lt;&gt;Off-street")&gt;0,1,0)</f>
        <v>0</v>
      </c>
      <c r="L55">
        <f>IF(COUNTIFS('United Data'!$A$3:$A$3390,L$1,'United Data'!$C$3:$C$3390,$A55,'United Data'!$B$3:$B$3390,"&lt;&gt;Off-street")&gt;0,1,0)</f>
        <v>0</v>
      </c>
      <c r="M55">
        <f>IF(COUNTIFS('United Data'!$A$3:$A$3390,M$1,'United Data'!$C$3:$C$3390,$A55,'United Data'!$B$3:$B$3390,"&lt;&gt;Off-street")&gt;0,1,0)</f>
        <v>0</v>
      </c>
      <c r="N55">
        <f>IF(COUNTIFS('United Data'!$A$3:$A$3390,N$1,'United Data'!$C$3:$C$3390,$A55,'United Data'!$B$3:$B$3390,"&lt;&gt;Off-street")&gt;0,1,0)</f>
        <v>0</v>
      </c>
      <c r="O55">
        <f>IF(COUNTIFS('United Data'!$A$3:$A$3390,O$1,'United Data'!$C$3:$C$3390,$A55,'United Data'!$B$3:$B$3390,"&lt;&gt;Off-street")&gt;0,1,0)</f>
        <v>0</v>
      </c>
      <c r="P55">
        <f>IF(COUNTIFS('United Data'!$A$3:$A$3390,P$1,'United Data'!$C$3:$C$3390,$A55,'United Data'!$B$3:$B$3390,"&lt;&gt;Off-street")&gt;0,1,0)</f>
        <v>0</v>
      </c>
      <c r="Q55">
        <f>IF(COUNTIFS('United Data'!$A$3:$A$3390,Q$1,'United Data'!$C$3:$C$3390,$A55,'United Data'!$B$3:$B$3390,"&lt;&gt;Off-street")&gt;0,1,0)</f>
        <v>0</v>
      </c>
      <c r="R55">
        <f>IF(COUNTIFS('United Data'!$A$3:$A$3390,R$1,'United Data'!$C$3:$C$3390,$A55,'United Data'!$B$3:$B$3390,"&lt;&gt;Off-street")&gt;0,1,0)</f>
        <v>0</v>
      </c>
      <c r="S55">
        <f t="shared" si="0"/>
        <v>1</v>
      </c>
      <c r="T55">
        <f t="shared" si="1"/>
        <v>1</v>
      </c>
    </row>
    <row r="56" spans="1:20" x14ac:dyDescent="0.2">
      <c r="A56" t="s">
        <v>100</v>
      </c>
      <c r="B56">
        <f>IF(COUNTIFS('United Data'!$A$3:$A$3390,B$1,'United Data'!$C$3:$C$3390,$A56,'United Data'!$B$3:$B$3390,"&lt;&gt;Off-street")&gt;0,1,0)</f>
        <v>0</v>
      </c>
      <c r="C56">
        <f>IF(COUNTIFS('United Data'!$A$3:$A$3390,C$1,'United Data'!$C$3:$C$3390,$A56,'United Data'!$B$3:$B$3390,"&lt;&gt;Off-street")&gt;0,1,0)</f>
        <v>0</v>
      </c>
      <c r="D56">
        <f>IF(COUNTIFS('United Data'!$A$3:$A$3390,D$1,'United Data'!$C$3:$C$3390,$A56,'United Data'!$B$3:$B$3390,"&lt;&gt;Off-street")&gt;0,1,0)</f>
        <v>0</v>
      </c>
      <c r="E56">
        <f>IF(COUNTIFS('United Data'!$A$3:$A$3390,E$1,'United Data'!$C$3:$C$3390,$A56,'United Data'!$B$3:$B$3390,"&lt;&gt;Off-street")&gt;0,1,0)</f>
        <v>0</v>
      </c>
      <c r="F56">
        <f>IF(COUNTIFS('United Data'!$A$3:$A$3390,F$1,'United Data'!$C$3:$C$3390,$A56,'United Data'!$B$3:$B$3390,"&lt;&gt;Off-street")&gt;0,1,0)</f>
        <v>0</v>
      </c>
      <c r="G56">
        <f>IF(COUNTIFS('United Data'!$A$3:$A$3390,G$1,'United Data'!$C$3:$C$3390,$A56,'United Data'!$B$3:$B$3390,"&lt;&gt;Off-street")&gt;0,1,0)</f>
        <v>0</v>
      </c>
      <c r="H56">
        <f>IF(COUNTIFS('United Data'!$A$3:$A$3390,H$1,'United Data'!$C$3:$C$3390,$A56,'United Data'!$B$3:$B$3390,"&lt;&gt;Off-street")&gt;0,1,0)</f>
        <v>0</v>
      </c>
      <c r="I56">
        <f>IF(COUNTIFS('United Data'!$A$3:$A$3390,I$1,'United Data'!$C$3:$C$3390,$A56,'United Data'!$B$3:$B$3390,"&lt;&gt;Off-street")&gt;0,1,0)</f>
        <v>0</v>
      </c>
      <c r="J56">
        <f>IF(COUNTIFS('United Data'!$A$3:$A$3390,J$1,'United Data'!$C$3:$C$3390,$A56,'United Data'!$B$3:$B$3390,"&lt;&gt;Off-street")&gt;0,1,0)</f>
        <v>1</v>
      </c>
      <c r="K56">
        <f>IF(COUNTIFS('United Data'!$A$3:$A$3390,K$1,'United Data'!$C$3:$C$3390,$A56,'United Data'!$B$3:$B$3390,"&lt;&gt;Off-street")&gt;0,1,0)</f>
        <v>0</v>
      </c>
      <c r="L56">
        <f>IF(COUNTIFS('United Data'!$A$3:$A$3390,L$1,'United Data'!$C$3:$C$3390,$A56,'United Data'!$B$3:$B$3390,"&lt;&gt;Off-street")&gt;0,1,0)</f>
        <v>0</v>
      </c>
      <c r="M56">
        <f>IF(COUNTIFS('United Data'!$A$3:$A$3390,M$1,'United Data'!$C$3:$C$3390,$A56,'United Data'!$B$3:$B$3390,"&lt;&gt;Off-street")&gt;0,1,0)</f>
        <v>0</v>
      </c>
      <c r="N56">
        <f>IF(COUNTIFS('United Data'!$A$3:$A$3390,N$1,'United Data'!$C$3:$C$3390,$A56,'United Data'!$B$3:$B$3390,"&lt;&gt;Off-street")&gt;0,1,0)</f>
        <v>0</v>
      </c>
      <c r="O56">
        <f>IF(COUNTIFS('United Data'!$A$3:$A$3390,O$1,'United Data'!$C$3:$C$3390,$A56,'United Data'!$B$3:$B$3390,"&lt;&gt;Off-street")&gt;0,1,0)</f>
        <v>0</v>
      </c>
      <c r="P56">
        <f>IF(COUNTIFS('United Data'!$A$3:$A$3390,P$1,'United Data'!$C$3:$C$3390,$A56,'United Data'!$B$3:$B$3390,"&lt;&gt;Off-street")&gt;0,1,0)</f>
        <v>0</v>
      </c>
      <c r="Q56">
        <f>IF(COUNTIFS('United Data'!$A$3:$A$3390,Q$1,'United Data'!$C$3:$C$3390,$A56,'United Data'!$B$3:$B$3390,"&lt;&gt;Off-street")&gt;0,1,0)</f>
        <v>0</v>
      </c>
      <c r="R56">
        <f>IF(COUNTIFS('United Data'!$A$3:$A$3390,R$1,'United Data'!$C$3:$C$3390,$A56,'United Data'!$B$3:$B$3390,"&lt;&gt;Off-street")&gt;0,1,0)</f>
        <v>0</v>
      </c>
      <c r="S56">
        <f t="shared" si="0"/>
        <v>1</v>
      </c>
      <c r="T56">
        <f t="shared" si="1"/>
        <v>1</v>
      </c>
    </row>
    <row r="57" spans="1:20" x14ac:dyDescent="0.2">
      <c r="A57" t="s">
        <v>102</v>
      </c>
      <c r="B57">
        <f>IF(COUNTIFS('United Data'!$A$3:$A$3390,B$1,'United Data'!$C$3:$C$3390,$A57,'United Data'!$B$3:$B$3390,"&lt;&gt;Off-street")&gt;0,1,0)</f>
        <v>0</v>
      </c>
      <c r="C57">
        <f>IF(COUNTIFS('United Data'!$A$3:$A$3390,C$1,'United Data'!$C$3:$C$3390,$A57,'United Data'!$B$3:$B$3390,"&lt;&gt;Off-street")&gt;0,1,0)</f>
        <v>0</v>
      </c>
      <c r="D57">
        <f>IF(COUNTIFS('United Data'!$A$3:$A$3390,D$1,'United Data'!$C$3:$C$3390,$A57,'United Data'!$B$3:$B$3390,"&lt;&gt;Off-street")&gt;0,1,0)</f>
        <v>0</v>
      </c>
      <c r="E57">
        <f>IF(COUNTIFS('United Data'!$A$3:$A$3390,E$1,'United Data'!$C$3:$C$3390,$A57,'United Data'!$B$3:$B$3390,"&lt;&gt;Off-street")&gt;0,1,0)</f>
        <v>0</v>
      </c>
      <c r="F57">
        <f>IF(COUNTIFS('United Data'!$A$3:$A$3390,F$1,'United Data'!$C$3:$C$3390,$A57,'United Data'!$B$3:$B$3390,"&lt;&gt;Off-street")&gt;0,1,0)</f>
        <v>0</v>
      </c>
      <c r="G57">
        <f>IF(COUNTIFS('United Data'!$A$3:$A$3390,G$1,'United Data'!$C$3:$C$3390,$A57,'United Data'!$B$3:$B$3390,"&lt;&gt;Off-street")&gt;0,1,0)</f>
        <v>0</v>
      </c>
      <c r="H57">
        <f>IF(COUNTIFS('United Data'!$A$3:$A$3390,H$1,'United Data'!$C$3:$C$3390,$A57,'United Data'!$B$3:$B$3390,"&lt;&gt;Off-street")&gt;0,1,0)</f>
        <v>0</v>
      </c>
      <c r="I57">
        <f>IF(COUNTIFS('United Data'!$A$3:$A$3390,I$1,'United Data'!$C$3:$C$3390,$A57,'United Data'!$B$3:$B$3390,"&lt;&gt;Off-street")&gt;0,1,0)</f>
        <v>0</v>
      </c>
      <c r="J57">
        <f>IF(COUNTIFS('United Data'!$A$3:$A$3390,J$1,'United Data'!$C$3:$C$3390,$A57,'United Data'!$B$3:$B$3390,"&lt;&gt;Off-street")&gt;0,1,0)</f>
        <v>0</v>
      </c>
      <c r="K57">
        <f>IF(COUNTIFS('United Data'!$A$3:$A$3390,K$1,'United Data'!$C$3:$C$3390,$A57,'United Data'!$B$3:$B$3390,"&lt;&gt;Off-street")&gt;0,1,0)</f>
        <v>0</v>
      </c>
      <c r="L57">
        <f>IF(COUNTIFS('United Data'!$A$3:$A$3390,L$1,'United Data'!$C$3:$C$3390,$A57,'United Data'!$B$3:$B$3390,"&lt;&gt;Off-street")&gt;0,1,0)</f>
        <v>1</v>
      </c>
      <c r="M57">
        <f>IF(COUNTIFS('United Data'!$A$3:$A$3390,M$1,'United Data'!$C$3:$C$3390,$A57,'United Data'!$B$3:$B$3390,"&lt;&gt;Off-street")&gt;0,1,0)</f>
        <v>0</v>
      </c>
      <c r="N57">
        <f>IF(COUNTIFS('United Data'!$A$3:$A$3390,N$1,'United Data'!$C$3:$C$3390,$A57,'United Data'!$B$3:$B$3390,"&lt;&gt;Off-street")&gt;0,1,0)</f>
        <v>0</v>
      </c>
      <c r="O57">
        <f>IF(COUNTIFS('United Data'!$A$3:$A$3390,O$1,'United Data'!$C$3:$C$3390,$A57,'United Data'!$B$3:$B$3390,"&lt;&gt;Off-street")&gt;0,1,0)</f>
        <v>0</v>
      </c>
      <c r="P57">
        <f>IF(COUNTIFS('United Data'!$A$3:$A$3390,P$1,'United Data'!$C$3:$C$3390,$A57,'United Data'!$B$3:$B$3390,"&lt;&gt;Off-street")&gt;0,1,0)</f>
        <v>0</v>
      </c>
      <c r="Q57">
        <f>IF(COUNTIFS('United Data'!$A$3:$A$3390,Q$1,'United Data'!$C$3:$C$3390,$A57,'United Data'!$B$3:$B$3390,"&lt;&gt;Off-street")&gt;0,1,0)</f>
        <v>0</v>
      </c>
      <c r="R57">
        <f>IF(COUNTIFS('United Data'!$A$3:$A$3390,R$1,'United Data'!$C$3:$C$3390,$A57,'United Data'!$B$3:$B$3390,"&lt;&gt;Off-street")&gt;0,1,0)</f>
        <v>0</v>
      </c>
      <c r="S57">
        <f t="shared" si="0"/>
        <v>1</v>
      </c>
      <c r="T57">
        <f t="shared" si="1"/>
        <v>1</v>
      </c>
    </row>
    <row r="58" spans="1:20" x14ac:dyDescent="0.2">
      <c r="A58" t="s">
        <v>103</v>
      </c>
      <c r="B58">
        <f>IF(COUNTIFS('United Data'!$A$3:$A$3390,B$1,'United Data'!$C$3:$C$3390,$A58,'United Data'!$B$3:$B$3390,"&lt;&gt;Off-street")&gt;0,1,0)</f>
        <v>0</v>
      </c>
      <c r="C58">
        <f>IF(COUNTIFS('United Data'!$A$3:$A$3390,C$1,'United Data'!$C$3:$C$3390,$A58,'United Data'!$B$3:$B$3390,"&lt;&gt;Off-street")&gt;0,1,0)</f>
        <v>0</v>
      </c>
      <c r="D58">
        <f>IF(COUNTIFS('United Data'!$A$3:$A$3390,D$1,'United Data'!$C$3:$C$3390,$A58,'United Data'!$B$3:$B$3390,"&lt;&gt;Off-street")&gt;0,1,0)</f>
        <v>0</v>
      </c>
      <c r="E58">
        <f>IF(COUNTIFS('United Data'!$A$3:$A$3390,E$1,'United Data'!$C$3:$C$3390,$A58,'United Data'!$B$3:$B$3390,"&lt;&gt;Off-street")&gt;0,1,0)</f>
        <v>0</v>
      </c>
      <c r="F58">
        <f>IF(COUNTIFS('United Data'!$A$3:$A$3390,F$1,'United Data'!$C$3:$C$3390,$A58,'United Data'!$B$3:$B$3390,"&lt;&gt;Off-street")&gt;0,1,0)</f>
        <v>0</v>
      </c>
      <c r="G58">
        <f>IF(COUNTIFS('United Data'!$A$3:$A$3390,G$1,'United Data'!$C$3:$C$3390,$A58,'United Data'!$B$3:$B$3390,"&lt;&gt;Off-street")&gt;0,1,0)</f>
        <v>0</v>
      </c>
      <c r="H58">
        <f>IF(COUNTIFS('United Data'!$A$3:$A$3390,H$1,'United Data'!$C$3:$C$3390,$A58,'United Data'!$B$3:$B$3390,"&lt;&gt;Off-street")&gt;0,1,0)</f>
        <v>0</v>
      </c>
      <c r="I58">
        <f>IF(COUNTIFS('United Data'!$A$3:$A$3390,I$1,'United Data'!$C$3:$C$3390,$A58,'United Data'!$B$3:$B$3390,"&lt;&gt;Off-street")&gt;0,1,0)</f>
        <v>0</v>
      </c>
      <c r="J58">
        <f>IF(COUNTIFS('United Data'!$A$3:$A$3390,J$1,'United Data'!$C$3:$C$3390,$A58,'United Data'!$B$3:$B$3390,"&lt;&gt;Off-street")&gt;0,1,0)</f>
        <v>0</v>
      </c>
      <c r="K58">
        <f>IF(COUNTIFS('United Data'!$A$3:$A$3390,K$1,'United Data'!$C$3:$C$3390,$A58,'United Data'!$B$3:$B$3390,"&lt;&gt;Off-street")&gt;0,1,0)</f>
        <v>0</v>
      </c>
      <c r="L58">
        <f>IF(COUNTIFS('United Data'!$A$3:$A$3390,L$1,'United Data'!$C$3:$C$3390,$A58,'United Data'!$B$3:$B$3390,"&lt;&gt;Off-street")&gt;0,1,0)</f>
        <v>0</v>
      </c>
      <c r="M58">
        <f>IF(COUNTIFS('United Data'!$A$3:$A$3390,M$1,'United Data'!$C$3:$C$3390,$A58,'United Data'!$B$3:$B$3390,"&lt;&gt;Off-street")&gt;0,1,0)</f>
        <v>1</v>
      </c>
      <c r="N58">
        <f>IF(COUNTIFS('United Data'!$A$3:$A$3390,N$1,'United Data'!$C$3:$C$3390,$A58,'United Data'!$B$3:$B$3390,"&lt;&gt;Off-street")&gt;0,1,0)</f>
        <v>0</v>
      </c>
      <c r="O58">
        <f>IF(COUNTIFS('United Data'!$A$3:$A$3390,O$1,'United Data'!$C$3:$C$3390,$A58,'United Data'!$B$3:$B$3390,"&lt;&gt;Off-street")&gt;0,1,0)</f>
        <v>0</v>
      </c>
      <c r="P58">
        <f>IF(COUNTIFS('United Data'!$A$3:$A$3390,P$1,'United Data'!$C$3:$C$3390,$A58,'United Data'!$B$3:$B$3390,"&lt;&gt;Off-street")&gt;0,1,0)</f>
        <v>0</v>
      </c>
      <c r="Q58">
        <f>IF(COUNTIFS('United Data'!$A$3:$A$3390,Q$1,'United Data'!$C$3:$C$3390,$A58,'United Data'!$B$3:$B$3390,"&lt;&gt;Off-street")&gt;0,1,0)</f>
        <v>0</v>
      </c>
      <c r="R58">
        <f>IF(COUNTIFS('United Data'!$A$3:$A$3390,R$1,'United Data'!$C$3:$C$3390,$A58,'United Data'!$B$3:$B$3390,"&lt;&gt;Off-street")&gt;0,1,0)</f>
        <v>0</v>
      </c>
      <c r="S58">
        <f t="shared" si="0"/>
        <v>1</v>
      </c>
      <c r="T58">
        <f t="shared" si="1"/>
        <v>1</v>
      </c>
    </row>
    <row r="59" spans="1:20" x14ac:dyDescent="0.2">
      <c r="A59" t="s">
        <v>104</v>
      </c>
      <c r="B59">
        <f>IF(COUNTIFS('United Data'!$A$3:$A$3390,B$1,'United Data'!$C$3:$C$3390,$A59,'United Data'!$B$3:$B$3390,"&lt;&gt;Off-street")&gt;0,1,0)</f>
        <v>0</v>
      </c>
      <c r="C59">
        <f>IF(COUNTIFS('United Data'!$A$3:$A$3390,C$1,'United Data'!$C$3:$C$3390,$A59,'United Data'!$B$3:$B$3390,"&lt;&gt;Off-street")&gt;0,1,0)</f>
        <v>0</v>
      </c>
      <c r="D59">
        <f>IF(COUNTIFS('United Data'!$A$3:$A$3390,D$1,'United Data'!$C$3:$C$3390,$A59,'United Data'!$B$3:$B$3390,"&lt;&gt;Off-street")&gt;0,1,0)</f>
        <v>0</v>
      </c>
      <c r="E59">
        <f>IF(COUNTIFS('United Data'!$A$3:$A$3390,E$1,'United Data'!$C$3:$C$3390,$A59,'United Data'!$B$3:$B$3390,"&lt;&gt;Off-street")&gt;0,1,0)</f>
        <v>0</v>
      </c>
      <c r="F59">
        <f>IF(COUNTIFS('United Data'!$A$3:$A$3390,F$1,'United Data'!$C$3:$C$3390,$A59,'United Data'!$B$3:$B$3390,"&lt;&gt;Off-street")&gt;0,1,0)</f>
        <v>0</v>
      </c>
      <c r="G59">
        <f>IF(COUNTIFS('United Data'!$A$3:$A$3390,G$1,'United Data'!$C$3:$C$3390,$A59,'United Data'!$B$3:$B$3390,"&lt;&gt;Off-street")&gt;0,1,0)</f>
        <v>0</v>
      </c>
      <c r="H59">
        <f>IF(COUNTIFS('United Data'!$A$3:$A$3390,H$1,'United Data'!$C$3:$C$3390,$A59,'United Data'!$B$3:$B$3390,"&lt;&gt;Off-street")&gt;0,1,0)</f>
        <v>0</v>
      </c>
      <c r="I59">
        <f>IF(COUNTIFS('United Data'!$A$3:$A$3390,I$1,'United Data'!$C$3:$C$3390,$A59,'United Data'!$B$3:$B$3390,"&lt;&gt;Off-street")&gt;0,1,0)</f>
        <v>0</v>
      </c>
      <c r="J59">
        <f>IF(COUNTIFS('United Data'!$A$3:$A$3390,J$1,'United Data'!$C$3:$C$3390,$A59,'United Data'!$B$3:$B$3390,"&lt;&gt;Off-street")&gt;0,1,0)</f>
        <v>0</v>
      </c>
      <c r="K59">
        <f>IF(COUNTIFS('United Data'!$A$3:$A$3390,K$1,'United Data'!$C$3:$C$3390,$A59,'United Data'!$B$3:$B$3390,"&lt;&gt;Off-street")&gt;0,1,0)</f>
        <v>0</v>
      </c>
      <c r="L59">
        <f>IF(COUNTIFS('United Data'!$A$3:$A$3390,L$1,'United Data'!$C$3:$C$3390,$A59,'United Data'!$B$3:$B$3390,"&lt;&gt;Off-street")&gt;0,1,0)</f>
        <v>0</v>
      </c>
      <c r="M59">
        <f>IF(COUNTIFS('United Data'!$A$3:$A$3390,M$1,'United Data'!$C$3:$C$3390,$A59,'United Data'!$B$3:$B$3390,"&lt;&gt;Off-street")&gt;0,1,0)</f>
        <v>0</v>
      </c>
      <c r="N59">
        <f>IF(COUNTIFS('United Data'!$A$3:$A$3390,N$1,'United Data'!$C$3:$C$3390,$A59,'United Data'!$B$3:$B$3390,"&lt;&gt;Off-street")&gt;0,1,0)</f>
        <v>1</v>
      </c>
      <c r="O59">
        <f>IF(COUNTIFS('United Data'!$A$3:$A$3390,O$1,'United Data'!$C$3:$C$3390,$A59,'United Data'!$B$3:$B$3390,"&lt;&gt;Off-street")&gt;0,1,0)</f>
        <v>0</v>
      </c>
      <c r="P59">
        <f>IF(COUNTIFS('United Data'!$A$3:$A$3390,P$1,'United Data'!$C$3:$C$3390,$A59,'United Data'!$B$3:$B$3390,"&lt;&gt;Off-street")&gt;0,1,0)</f>
        <v>0</v>
      </c>
      <c r="Q59">
        <f>IF(COUNTIFS('United Data'!$A$3:$A$3390,Q$1,'United Data'!$C$3:$C$3390,$A59,'United Data'!$B$3:$B$3390,"&lt;&gt;Off-street")&gt;0,1,0)</f>
        <v>0</v>
      </c>
      <c r="R59">
        <f>IF(COUNTIFS('United Data'!$A$3:$A$3390,R$1,'United Data'!$C$3:$C$3390,$A59,'United Data'!$B$3:$B$3390,"&lt;&gt;Off-street")&gt;0,1,0)</f>
        <v>0</v>
      </c>
      <c r="S59">
        <f t="shared" si="0"/>
        <v>1</v>
      </c>
      <c r="T59">
        <f t="shared" si="1"/>
        <v>1</v>
      </c>
    </row>
    <row r="60" spans="1:20" x14ac:dyDescent="0.2">
      <c r="A60" t="s">
        <v>105</v>
      </c>
      <c r="B60">
        <f>IF(COUNTIFS('United Data'!$A$3:$A$3390,B$1,'United Data'!$C$3:$C$3390,$A60,'United Data'!$B$3:$B$3390,"&lt;&gt;Off-street")&gt;0,1,0)</f>
        <v>0</v>
      </c>
      <c r="C60">
        <f>IF(COUNTIFS('United Data'!$A$3:$A$3390,C$1,'United Data'!$C$3:$C$3390,$A60,'United Data'!$B$3:$B$3390,"&lt;&gt;Off-street")&gt;0,1,0)</f>
        <v>0</v>
      </c>
      <c r="D60">
        <f>IF(COUNTIFS('United Data'!$A$3:$A$3390,D$1,'United Data'!$C$3:$C$3390,$A60,'United Data'!$B$3:$B$3390,"&lt;&gt;Off-street")&gt;0,1,0)</f>
        <v>0</v>
      </c>
      <c r="E60">
        <f>IF(COUNTIFS('United Data'!$A$3:$A$3390,E$1,'United Data'!$C$3:$C$3390,$A60,'United Data'!$B$3:$B$3390,"&lt;&gt;Off-street")&gt;0,1,0)</f>
        <v>0</v>
      </c>
      <c r="F60">
        <f>IF(COUNTIFS('United Data'!$A$3:$A$3390,F$1,'United Data'!$C$3:$C$3390,$A60,'United Data'!$B$3:$B$3390,"&lt;&gt;Off-street")&gt;0,1,0)</f>
        <v>0</v>
      </c>
      <c r="G60">
        <f>IF(COUNTIFS('United Data'!$A$3:$A$3390,G$1,'United Data'!$C$3:$C$3390,$A60,'United Data'!$B$3:$B$3390,"&lt;&gt;Off-street")&gt;0,1,0)</f>
        <v>0</v>
      </c>
      <c r="H60">
        <f>IF(COUNTIFS('United Data'!$A$3:$A$3390,H$1,'United Data'!$C$3:$C$3390,$A60,'United Data'!$B$3:$B$3390,"&lt;&gt;Off-street")&gt;0,1,0)</f>
        <v>0</v>
      </c>
      <c r="I60">
        <f>IF(COUNTIFS('United Data'!$A$3:$A$3390,I$1,'United Data'!$C$3:$C$3390,$A60,'United Data'!$B$3:$B$3390,"&lt;&gt;Off-street")&gt;0,1,0)</f>
        <v>0</v>
      </c>
      <c r="J60">
        <f>IF(COUNTIFS('United Data'!$A$3:$A$3390,J$1,'United Data'!$C$3:$C$3390,$A60,'United Data'!$B$3:$B$3390,"&lt;&gt;Off-street")&gt;0,1,0)</f>
        <v>0</v>
      </c>
      <c r="K60">
        <f>IF(COUNTIFS('United Data'!$A$3:$A$3390,K$1,'United Data'!$C$3:$C$3390,$A60,'United Data'!$B$3:$B$3390,"&lt;&gt;Off-street")&gt;0,1,0)</f>
        <v>0</v>
      </c>
      <c r="L60">
        <f>IF(COUNTIFS('United Data'!$A$3:$A$3390,L$1,'United Data'!$C$3:$C$3390,$A60,'United Data'!$B$3:$B$3390,"&lt;&gt;Off-street")&gt;0,1,0)</f>
        <v>0</v>
      </c>
      <c r="M60">
        <f>IF(COUNTIFS('United Data'!$A$3:$A$3390,M$1,'United Data'!$C$3:$C$3390,$A60,'United Data'!$B$3:$B$3390,"&lt;&gt;Off-street")&gt;0,1,0)</f>
        <v>0</v>
      </c>
      <c r="N60">
        <f>IF(COUNTIFS('United Data'!$A$3:$A$3390,N$1,'United Data'!$C$3:$C$3390,$A60,'United Data'!$B$3:$B$3390,"&lt;&gt;Off-street")&gt;0,1,0)</f>
        <v>1</v>
      </c>
      <c r="O60">
        <f>IF(COUNTIFS('United Data'!$A$3:$A$3390,O$1,'United Data'!$C$3:$C$3390,$A60,'United Data'!$B$3:$B$3390,"&lt;&gt;Off-street")&gt;0,1,0)</f>
        <v>0</v>
      </c>
      <c r="P60">
        <f>IF(COUNTIFS('United Data'!$A$3:$A$3390,P$1,'United Data'!$C$3:$C$3390,$A60,'United Data'!$B$3:$B$3390,"&lt;&gt;Off-street")&gt;0,1,0)</f>
        <v>0</v>
      </c>
      <c r="Q60">
        <f>IF(COUNTIFS('United Data'!$A$3:$A$3390,Q$1,'United Data'!$C$3:$C$3390,$A60,'United Data'!$B$3:$B$3390,"&lt;&gt;Off-street")&gt;0,1,0)</f>
        <v>0</v>
      </c>
      <c r="R60">
        <f>IF(COUNTIFS('United Data'!$A$3:$A$3390,R$1,'United Data'!$C$3:$C$3390,$A60,'United Data'!$B$3:$B$3390,"&lt;&gt;Off-street")&gt;0,1,0)</f>
        <v>0</v>
      </c>
      <c r="S60">
        <f t="shared" si="0"/>
        <v>1</v>
      </c>
      <c r="T60">
        <f t="shared" si="1"/>
        <v>1</v>
      </c>
    </row>
    <row r="61" spans="1:20" x14ac:dyDescent="0.2">
      <c r="A61" t="s">
        <v>106</v>
      </c>
      <c r="B61">
        <f>IF(COUNTIFS('United Data'!$A$3:$A$3390,B$1,'United Data'!$C$3:$C$3390,$A61,'United Data'!$B$3:$B$3390,"&lt;&gt;Off-street")&gt;0,1,0)</f>
        <v>0</v>
      </c>
      <c r="C61">
        <f>IF(COUNTIFS('United Data'!$A$3:$A$3390,C$1,'United Data'!$C$3:$C$3390,$A61,'United Data'!$B$3:$B$3390,"&lt;&gt;Off-street")&gt;0,1,0)</f>
        <v>1</v>
      </c>
      <c r="D61">
        <f>IF(COUNTIFS('United Data'!$A$3:$A$3390,D$1,'United Data'!$C$3:$C$3390,$A61,'United Data'!$B$3:$B$3390,"&lt;&gt;Off-street")&gt;0,1,0)</f>
        <v>1</v>
      </c>
      <c r="E61">
        <f>IF(COUNTIFS('United Data'!$A$3:$A$3390,E$1,'United Data'!$C$3:$C$3390,$A61,'United Data'!$B$3:$B$3390,"&lt;&gt;Off-street")&gt;0,1,0)</f>
        <v>1</v>
      </c>
      <c r="F61">
        <f>IF(COUNTIFS('United Data'!$A$3:$A$3390,F$1,'United Data'!$C$3:$C$3390,$A61,'United Data'!$B$3:$B$3390,"&lt;&gt;Off-street")&gt;0,1,0)</f>
        <v>0</v>
      </c>
      <c r="G61">
        <f>IF(COUNTIFS('United Data'!$A$3:$A$3390,G$1,'United Data'!$C$3:$C$3390,$A61,'United Data'!$B$3:$B$3390,"&lt;&gt;Off-street")&gt;0,1,0)</f>
        <v>0</v>
      </c>
      <c r="H61">
        <f>IF(COUNTIFS('United Data'!$A$3:$A$3390,H$1,'United Data'!$C$3:$C$3390,$A61,'United Data'!$B$3:$B$3390,"&lt;&gt;Off-street")&gt;0,1,0)</f>
        <v>0</v>
      </c>
      <c r="I61">
        <f>IF(COUNTIFS('United Data'!$A$3:$A$3390,I$1,'United Data'!$C$3:$C$3390,$A61,'United Data'!$B$3:$B$3390,"&lt;&gt;Off-street")&gt;0,1,0)</f>
        <v>0</v>
      </c>
      <c r="J61">
        <f>IF(COUNTIFS('United Data'!$A$3:$A$3390,J$1,'United Data'!$C$3:$C$3390,$A61,'United Data'!$B$3:$B$3390,"&lt;&gt;Off-street")&gt;0,1,0)</f>
        <v>0</v>
      </c>
      <c r="K61">
        <f>IF(COUNTIFS('United Data'!$A$3:$A$3390,K$1,'United Data'!$C$3:$C$3390,$A61,'United Data'!$B$3:$B$3390,"&lt;&gt;Off-street")&gt;0,1,0)</f>
        <v>0</v>
      </c>
      <c r="L61">
        <f>IF(COUNTIFS('United Data'!$A$3:$A$3390,L$1,'United Data'!$C$3:$C$3390,$A61,'United Data'!$B$3:$B$3390,"&lt;&gt;Off-street")&gt;0,1,0)</f>
        <v>1</v>
      </c>
      <c r="M61">
        <f>IF(COUNTIFS('United Data'!$A$3:$A$3390,M$1,'United Data'!$C$3:$C$3390,$A61,'United Data'!$B$3:$B$3390,"&lt;&gt;Off-street")&gt;0,1,0)</f>
        <v>1</v>
      </c>
      <c r="N61">
        <f>IF(COUNTIFS('United Data'!$A$3:$A$3390,N$1,'United Data'!$C$3:$C$3390,$A61,'United Data'!$B$3:$B$3390,"&lt;&gt;Off-street")&gt;0,1,0)</f>
        <v>1</v>
      </c>
      <c r="O61">
        <f>IF(COUNTIFS('United Data'!$A$3:$A$3390,O$1,'United Data'!$C$3:$C$3390,$A61,'United Data'!$B$3:$B$3390,"&lt;&gt;Off-street")&gt;0,1,0)</f>
        <v>1</v>
      </c>
      <c r="P61">
        <f>IF(COUNTIFS('United Data'!$A$3:$A$3390,P$1,'United Data'!$C$3:$C$3390,$A61,'United Data'!$B$3:$B$3390,"&lt;&gt;Off-street")&gt;0,1,0)</f>
        <v>1</v>
      </c>
      <c r="Q61">
        <f>IF(COUNTIFS('United Data'!$A$3:$A$3390,Q$1,'United Data'!$C$3:$C$3390,$A61,'United Data'!$B$3:$B$3390,"&lt;&gt;Off-street")&gt;0,1,0)</f>
        <v>1</v>
      </c>
      <c r="R61">
        <f>IF(COUNTIFS('United Data'!$A$3:$A$3390,R$1,'United Data'!$C$3:$C$3390,$A61,'United Data'!$B$3:$B$3390,"&lt;&gt;Off-street")&gt;0,1,0)</f>
        <v>0</v>
      </c>
      <c r="S61">
        <f t="shared" si="0"/>
        <v>9</v>
      </c>
      <c r="T61">
        <f t="shared" si="1"/>
        <v>2</v>
      </c>
    </row>
    <row r="62" spans="1:20" x14ac:dyDescent="0.2">
      <c r="A62" t="s">
        <v>107</v>
      </c>
      <c r="B62">
        <f>IF(COUNTIFS('United Data'!$A$3:$A$3390,B$1,'United Data'!$C$3:$C$3390,$A62,'United Data'!$B$3:$B$3390,"&lt;&gt;Off-street")&gt;0,1,0)</f>
        <v>0</v>
      </c>
      <c r="C62">
        <f>IF(COUNTIFS('United Data'!$A$3:$A$3390,C$1,'United Data'!$C$3:$C$3390,$A62,'United Data'!$B$3:$B$3390,"&lt;&gt;Off-street")&gt;0,1,0)</f>
        <v>0</v>
      </c>
      <c r="D62">
        <f>IF(COUNTIFS('United Data'!$A$3:$A$3390,D$1,'United Data'!$C$3:$C$3390,$A62,'United Data'!$B$3:$B$3390,"&lt;&gt;Off-street")&gt;0,1,0)</f>
        <v>0</v>
      </c>
      <c r="E62">
        <f>IF(COUNTIFS('United Data'!$A$3:$A$3390,E$1,'United Data'!$C$3:$C$3390,$A62,'United Data'!$B$3:$B$3390,"&lt;&gt;Off-street")&gt;0,1,0)</f>
        <v>0</v>
      </c>
      <c r="F62">
        <f>IF(COUNTIFS('United Data'!$A$3:$A$3390,F$1,'United Data'!$C$3:$C$3390,$A62,'United Data'!$B$3:$B$3390,"&lt;&gt;Off-street")&gt;0,1,0)</f>
        <v>0</v>
      </c>
      <c r="G62">
        <f>IF(COUNTIFS('United Data'!$A$3:$A$3390,G$1,'United Data'!$C$3:$C$3390,$A62,'United Data'!$B$3:$B$3390,"&lt;&gt;Off-street")&gt;0,1,0)</f>
        <v>0</v>
      </c>
      <c r="H62">
        <f>IF(COUNTIFS('United Data'!$A$3:$A$3390,H$1,'United Data'!$C$3:$C$3390,$A62,'United Data'!$B$3:$B$3390,"&lt;&gt;Off-street")&gt;0,1,0)</f>
        <v>0</v>
      </c>
      <c r="I62">
        <f>IF(COUNTIFS('United Data'!$A$3:$A$3390,I$1,'United Data'!$C$3:$C$3390,$A62,'United Data'!$B$3:$B$3390,"&lt;&gt;Off-street")&gt;0,1,0)</f>
        <v>0</v>
      </c>
      <c r="J62">
        <f>IF(COUNTIFS('United Data'!$A$3:$A$3390,J$1,'United Data'!$C$3:$C$3390,$A62,'United Data'!$B$3:$B$3390,"&lt;&gt;Off-street")&gt;0,1,0)</f>
        <v>0</v>
      </c>
      <c r="K62">
        <f>IF(COUNTIFS('United Data'!$A$3:$A$3390,K$1,'United Data'!$C$3:$C$3390,$A62,'United Data'!$B$3:$B$3390,"&lt;&gt;Off-street")&gt;0,1,0)</f>
        <v>0</v>
      </c>
      <c r="L62">
        <f>IF(COUNTIFS('United Data'!$A$3:$A$3390,L$1,'United Data'!$C$3:$C$3390,$A62,'United Data'!$B$3:$B$3390,"&lt;&gt;Off-street")&gt;0,1,0)</f>
        <v>0</v>
      </c>
      <c r="M62">
        <f>IF(COUNTIFS('United Data'!$A$3:$A$3390,M$1,'United Data'!$C$3:$C$3390,$A62,'United Data'!$B$3:$B$3390,"&lt;&gt;Off-street")&gt;0,1,0)</f>
        <v>0</v>
      </c>
      <c r="N62">
        <f>IF(COUNTIFS('United Data'!$A$3:$A$3390,N$1,'United Data'!$C$3:$C$3390,$A62,'United Data'!$B$3:$B$3390,"&lt;&gt;Off-street")&gt;0,1,0)</f>
        <v>0</v>
      </c>
      <c r="O62">
        <f>IF(COUNTIFS('United Data'!$A$3:$A$3390,O$1,'United Data'!$C$3:$C$3390,$A62,'United Data'!$B$3:$B$3390,"&lt;&gt;Off-street")&gt;0,1,0)</f>
        <v>1</v>
      </c>
      <c r="P62">
        <f>IF(COUNTIFS('United Data'!$A$3:$A$3390,P$1,'United Data'!$C$3:$C$3390,$A62,'United Data'!$B$3:$B$3390,"&lt;&gt;Off-street")&gt;0,1,0)</f>
        <v>0</v>
      </c>
      <c r="Q62">
        <f>IF(COUNTIFS('United Data'!$A$3:$A$3390,Q$1,'United Data'!$C$3:$C$3390,$A62,'United Data'!$B$3:$B$3390,"&lt;&gt;Off-street")&gt;0,1,0)</f>
        <v>1</v>
      </c>
      <c r="R62">
        <f>IF(COUNTIFS('United Data'!$A$3:$A$3390,R$1,'United Data'!$C$3:$C$3390,$A62,'United Data'!$B$3:$B$3390,"&lt;&gt;Off-street")&gt;0,1,0)</f>
        <v>0</v>
      </c>
      <c r="S62">
        <f t="shared" si="0"/>
        <v>2</v>
      </c>
      <c r="T62">
        <f t="shared" si="1"/>
        <v>2</v>
      </c>
    </row>
    <row r="63" spans="1:20" x14ac:dyDescent="0.2">
      <c r="A63" t="s">
        <v>108</v>
      </c>
      <c r="B63">
        <f>IF(COUNTIFS('United Data'!$A$3:$A$3390,B$1,'United Data'!$C$3:$C$3390,$A63,'United Data'!$B$3:$B$3390,"&lt;&gt;Off-street")&gt;0,1,0)</f>
        <v>0</v>
      </c>
      <c r="C63">
        <f>IF(COUNTIFS('United Data'!$A$3:$A$3390,C$1,'United Data'!$C$3:$C$3390,$A63,'United Data'!$B$3:$B$3390,"&lt;&gt;Off-street")&gt;0,1,0)</f>
        <v>0</v>
      </c>
      <c r="D63">
        <f>IF(COUNTIFS('United Data'!$A$3:$A$3390,D$1,'United Data'!$C$3:$C$3390,$A63,'United Data'!$B$3:$B$3390,"&lt;&gt;Off-street")&gt;0,1,0)</f>
        <v>0</v>
      </c>
      <c r="E63">
        <f>IF(COUNTIFS('United Data'!$A$3:$A$3390,E$1,'United Data'!$C$3:$C$3390,$A63,'United Data'!$B$3:$B$3390,"&lt;&gt;Off-street")&gt;0,1,0)</f>
        <v>0</v>
      </c>
      <c r="F63">
        <f>IF(COUNTIFS('United Data'!$A$3:$A$3390,F$1,'United Data'!$C$3:$C$3390,$A63,'United Data'!$B$3:$B$3390,"&lt;&gt;Off-street")&gt;0,1,0)</f>
        <v>0</v>
      </c>
      <c r="G63">
        <f>IF(COUNTIFS('United Data'!$A$3:$A$3390,G$1,'United Data'!$C$3:$C$3390,$A63,'United Data'!$B$3:$B$3390,"&lt;&gt;Off-street")&gt;0,1,0)</f>
        <v>0</v>
      </c>
      <c r="H63">
        <f>IF(COUNTIFS('United Data'!$A$3:$A$3390,H$1,'United Data'!$C$3:$C$3390,$A63,'United Data'!$B$3:$B$3390,"&lt;&gt;Off-street")&gt;0,1,0)</f>
        <v>0</v>
      </c>
      <c r="I63">
        <f>IF(COUNTIFS('United Data'!$A$3:$A$3390,I$1,'United Data'!$C$3:$C$3390,$A63,'United Data'!$B$3:$B$3390,"&lt;&gt;Off-street")&gt;0,1,0)</f>
        <v>0</v>
      </c>
      <c r="J63">
        <f>IF(COUNTIFS('United Data'!$A$3:$A$3390,J$1,'United Data'!$C$3:$C$3390,$A63,'United Data'!$B$3:$B$3390,"&lt;&gt;Off-street")&gt;0,1,0)</f>
        <v>0</v>
      </c>
      <c r="K63">
        <f>IF(COUNTIFS('United Data'!$A$3:$A$3390,K$1,'United Data'!$C$3:$C$3390,$A63,'United Data'!$B$3:$B$3390,"&lt;&gt;Off-street")&gt;0,1,0)</f>
        <v>0</v>
      </c>
      <c r="L63">
        <f>IF(COUNTIFS('United Data'!$A$3:$A$3390,L$1,'United Data'!$C$3:$C$3390,$A63,'United Data'!$B$3:$B$3390,"&lt;&gt;Off-street")&gt;0,1,0)</f>
        <v>0</v>
      </c>
      <c r="M63">
        <f>IF(COUNTIFS('United Data'!$A$3:$A$3390,M$1,'United Data'!$C$3:$C$3390,$A63,'United Data'!$B$3:$B$3390,"&lt;&gt;Off-street")&gt;0,1,0)</f>
        <v>0</v>
      </c>
      <c r="N63">
        <f>IF(COUNTIFS('United Data'!$A$3:$A$3390,N$1,'United Data'!$C$3:$C$3390,$A63,'United Data'!$B$3:$B$3390,"&lt;&gt;Off-street")&gt;0,1,0)</f>
        <v>0</v>
      </c>
      <c r="O63">
        <f>IF(COUNTIFS('United Data'!$A$3:$A$3390,O$1,'United Data'!$C$3:$C$3390,$A63,'United Data'!$B$3:$B$3390,"&lt;&gt;Off-street")&gt;0,1,0)</f>
        <v>0</v>
      </c>
      <c r="P63">
        <f>IF(COUNTIFS('United Data'!$A$3:$A$3390,P$1,'United Data'!$C$3:$C$3390,$A63,'United Data'!$B$3:$B$3390,"&lt;&gt;Off-street")&gt;0,1,0)</f>
        <v>1</v>
      </c>
      <c r="Q63">
        <f>IF(COUNTIFS('United Data'!$A$3:$A$3390,Q$1,'United Data'!$C$3:$C$3390,$A63,'United Data'!$B$3:$B$3390,"&lt;&gt;Off-street")&gt;0,1,0)</f>
        <v>1</v>
      </c>
      <c r="R63">
        <f>IF(COUNTIFS('United Data'!$A$3:$A$3390,R$1,'United Data'!$C$3:$C$3390,$A63,'United Data'!$B$3:$B$3390,"&lt;&gt;Off-street")&gt;0,1,0)</f>
        <v>0</v>
      </c>
      <c r="S63">
        <f t="shared" si="0"/>
        <v>2</v>
      </c>
      <c r="T63">
        <f t="shared" si="1"/>
        <v>1</v>
      </c>
    </row>
    <row r="64" spans="1:20" x14ac:dyDescent="0.2">
      <c r="A64" t="s">
        <v>109</v>
      </c>
      <c r="B64">
        <f>IF(COUNTIFS('United Data'!$A$3:$A$3390,B$1,'United Data'!$C$3:$C$3390,$A64,'United Data'!$B$3:$B$3390,"&lt;&gt;Off-street")&gt;0,1,0)</f>
        <v>0</v>
      </c>
      <c r="C64">
        <f>IF(COUNTIFS('United Data'!$A$3:$A$3390,C$1,'United Data'!$C$3:$C$3390,$A64,'United Data'!$B$3:$B$3390,"&lt;&gt;Off-street")&gt;0,1,0)</f>
        <v>0</v>
      </c>
      <c r="D64">
        <f>IF(COUNTIFS('United Data'!$A$3:$A$3390,D$1,'United Data'!$C$3:$C$3390,$A64,'United Data'!$B$3:$B$3390,"&lt;&gt;Off-street")&gt;0,1,0)</f>
        <v>0</v>
      </c>
      <c r="E64">
        <f>IF(COUNTIFS('United Data'!$A$3:$A$3390,E$1,'United Data'!$C$3:$C$3390,$A64,'United Data'!$B$3:$B$3390,"&lt;&gt;Off-street")&gt;0,1,0)</f>
        <v>0</v>
      </c>
      <c r="F64">
        <f>IF(COUNTIFS('United Data'!$A$3:$A$3390,F$1,'United Data'!$C$3:$C$3390,$A64,'United Data'!$B$3:$B$3390,"&lt;&gt;Off-street")&gt;0,1,0)</f>
        <v>0</v>
      </c>
      <c r="G64">
        <f>IF(COUNTIFS('United Data'!$A$3:$A$3390,G$1,'United Data'!$C$3:$C$3390,$A64,'United Data'!$B$3:$B$3390,"&lt;&gt;Off-street")&gt;0,1,0)</f>
        <v>0</v>
      </c>
      <c r="H64">
        <f>IF(COUNTIFS('United Data'!$A$3:$A$3390,H$1,'United Data'!$C$3:$C$3390,$A64,'United Data'!$B$3:$B$3390,"&lt;&gt;Off-street")&gt;0,1,0)</f>
        <v>0</v>
      </c>
      <c r="I64">
        <f>IF(COUNTIFS('United Data'!$A$3:$A$3390,I$1,'United Data'!$C$3:$C$3390,$A64,'United Data'!$B$3:$B$3390,"&lt;&gt;Off-street")&gt;0,1,0)</f>
        <v>0</v>
      </c>
      <c r="J64">
        <f>IF(COUNTIFS('United Data'!$A$3:$A$3390,J$1,'United Data'!$C$3:$C$3390,$A64,'United Data'!$B$3:$B$3390,"&lt;&gt;Off-street")&gt;0,1,0)</f>
        <v>0</v>
      </c>
      <c r="K64">
        <f>IF(COUNTIFS('United Data'!$A$3:$A$3390,K$1,'United Data'!$C$3:$C$3390,$A64,'United Data'!$B$3:$B$3390,"&lt;&gt;Off-street")&gt;0,1,0)</f>
        <v>0</v>
      </c>
      <c r="L64">
        <f>IF(COUNTIFS('United Data'!$A$3:$A$3390,L$1,'United Data'!$C$3:$C$3390,$A64,'United Data'!$B$3:$B$3390,"&lt;&gt;Off-street")&gt;0,1,0)</f>
        <v>0</v>
      </c>
      <c r="M64">
        <f>IF(COUNTIFS('United Data'!$A$3:$A$3390,M$1,'United Data'!$C$3:$C$3390,$A64,'United Data'!$B$3:$B$3390,"&lt;&gt;Off-street")&gt;0,1,0)</f>
        <v>0</v>
      </c>
      <c r="N64">
        <f>IF(COUNTIFS('United Data'!$A$3:$A$3390,N$1,'United Data'!$C$3:$C$3390,$A64,'United Data'!$B$3:$B$3390,"&lt;&gt;Off-street")&gt;0,1,0)</f>
        <v>0</v>
      </c>
      <c r="O64">
        <f>IF(COUNTIFS('United Data'!$A$3:$A$3390,O$1,'United Data'!$C$3:$C$3390,$A64,'United Data'!$B$3:$B$3390,"&lt;&gt;Off-street")&gt;0,1,0)</f>
        <v>0</v>
      </c>
      <c r="P64">
        <f>IF(COUNTIFS('United Data'!$A$3:$A$3390,P$1,'United Data'!$C$3:$C$3390,$A64,'United Data'!$B$3:$B$3390,"&lt;&gt;Off-street")&gt;0,1,0)</f>
        <v>0</v>
      </c>
      <c r="Q64">
        <f>IF(COUNTIFS('United Data'!$A$3:$A$3390,Q$1,'United Data'!$C$3:$C$3390,$A64,'United Data'!$B$3:$B$3390,"&lt;&gt;Off-street")&gt;0,1,0)</f>
        <v>0</v>
      </c>
      <c r="R64">
        <f>IF(COUNTIFS('United Data'!$A$3:$A$3390,R$1,'United Data'!$C$3:$C$3390,$A64,'United Data'!$B$3:$B$3390,"&lt;&gt;Off-street")&gt;0,1,0)</f>
        <v>1</v>
      </c>
      <c r="S64">
        <f t="shared" si="0"/>
        <v>1</v>
      </c>
      <c r="T64">
        <f t="shared" si="1"/>
        <v>1</v>
      </c>
    </row>
    <row r="65" spans="1:20" x14ac:dyDescent="0.2">
      <c r="A65" t="s">
        <v>110</v>
      </c>
      <c r="B65">
        <f>IF(COUNTIFS('United Data'!$A$3:$A$3390,B$1,'United Data'!$C$3:$C$3390,$A65,'United Data'!$B$3:$B$3390,"&lt;&gt;Off-street")&gt;0,1,0)</f>
        <v>0</v>
      </c>
      <c r="C65">
        <f>IF(COUNTIFS('United Data'!$A$3:$A$3390,C$1,'United Data'!$C$3:$C$3390,$A65,'United Data'!$B$3:$B$3390,"&lt;&gt;Off-street")&gt;0,1,0)</f>
        <v>1</v>
      </c>
      <c r="D65">
        <f>IF(COUNTIFS('United Data'!$A$3:$A$3390,D$1,'United Data'!$C$3:$C$3390,$A65,'United Data'!$B$3:$B$3390,"&lt;&gt;Off-street")&gt;0,1,0)</f>
        <v>0</v>
      </c>
      <c r="E65">
        <f>IF(COUNTIFS('United Data'!$A$3:$A$3390,E$1,'United Data'!$C$3:$C$3390,$A65,'United Data'!$B$3:$B$3390,"&lt;&gt;Off-street")&gt;0,1,0)</f>
        <v>0</v>
      </c>
      <c r="F65">
        <f>IF(COUNTIFS('United Data'!$A$3:$A$3390,F$1,'United Data'!$C$3:$C$3390,$A65,'United Data'!$B$3:$B$3390,"&lt;&gt;Off-street")&gt;0,1,0)</f>
        <v>0</v>
      </c>
      <c r="G65">
        <f>IF(COUNTIFS('United Data'!$A$3:$A$3390,G$1,'United Data'!$C$3:$C$3390,$A65,'United Data'!$B$3:$B$3390,"&lt;&gt;Off-street")&gt;0,1,0)</f>
        <v>0</v>
      </c>
      <c r="H65">
        <f>IF(COUNTIFS('United Data'!$A$3:$A$3390,H$1,'United Data'!$C$3:$C$3390,$A65,'United Data'!$B$3:$B$3390,"&lt;&gt;Off-street")&gt;0,1,0)</f>
        <v>0</v>
      </c>
      <c r="I65">
        <f>IF(COUNTIFS('United Data'!$A$3:$A$3390,I$1,'United Data'!$C$3:$C$3390,$A65,'United Data'!$B$3:$B$3390,"&lt;&gt;Off-street")&gt;0,1,0)</f>
        <v>0</v>
      </c>
      <c r="J65">
        <f>IF(COUNTIFS('United Data'!$A$3:$A$3390,J$1,'United Data'!$C$3:$C$3390,$A65,'United Data'!$B$3:$B$3390,"&lt;&gt;Off-street")&gt;0,1,0)</f>
        <v>0</v>
      </c>
      <c r="K65">
        <f>IF(COUNTIFS('United Data'!$A$3:$A$3390,K$1,'United Data'!$C$3:$C$3390,$A65,'United Data'!$B$3:$B$3390,"&lt;&gt;Off-street")&gt;0,1,0)</f>
        <v>0</v>
      </c>
      <c r="L65">
        <f>IF(COUNTIFS('United Data'!$A$3:$A$3390,L$1,'United Data'!$C$3:$C$3390,$A65,'United Data'!$B$3:$B$3390,"&lt;&gt;Off-street")&gt;0,1,0)</f>
        <v>0</v>
      </c>
      <c r="M65">
        <f>IF(COUNTIFS('United Data'!$A$3:$A$3390,M$1,'United Data'!$C$3:$C$3390,$A65,'United Data'!$B$3:$B$3390,"&lt;&gt;Off-street")&gt;0,1,0)</f>
        <v>0</v>
      </c>
      <c r="N65">
        <f>IF(COUNTIFS('United Data'!$A$3:$A$3390,N$1,'United Data'!$C$3:$C$3390,$A65,'United Data'!$B$3:$B$3390,"&lt;&gt;Off-street")&gt;0,1,0)</f>
        <v>0</v>
      </c>
      <c r="O65">
        <f>IF(COUNTIFS('United Data'!$A$3:$A$3390,O$1,'United Data'!$C$3:$C$3390,$A65,'United Data'!$B$3:$B$3390,"&lt;&gt;Off-street")&gt;0,1,0)</f>
        <v>0</v>
      </c>
      <c r="P65">
        <f>IF(COUNTIFS('United Data'!$A$3:$A$3390,P$1,'United Data'!$C$3:$C$3390,$A65,'United Data'!$B$3:$B$3390,"&lt;&gt;Off-street")&gt;0,1,0)</f>
        <v>0</v>
      </c>
      <c r="Q65">
        <f>IF(COUNTIFS('United Data'!$A$3:$A$3390,Q$1,'United Data'!$C$3:$C$3390,$A65,'United Data'!$B$3:$B$3390,"&lt;&gt;Off-street")&gt;0,1,0)</f>
        <v>0</v>
      </c>
      <c r="R65">
        <f>IF(COUNTIFS('United Data'!$A$3:$A$3390,R$1,'United Data'!$C$3:$C$3390,$A65,'United Data'!$B$3:$B$3390,"&lt;&gt;Off-street")&gt;0,1,0)</f>
        <v>0</v>
      </c>
      <c r="S65">
        <f t="shared" si="0"/>
        <v>1</v>
      </c>
      <c r="T65">
        <f t="shared" si="1"/>
        <v>1</v>
      </c>
    </row>
    <row r="66" spans="1:20" x14ac:dyDescent="0.2">
      <c r="A66" t="s">
        <v>111</v>
      </c>
      <c r="B66">
        <f>IF(COUNTIFS('United Data'!$A$3:$A$3390,B$1,'United Data'!$C$3:$C$3390,$A66,'United Data'!$B$3:$B$3390,"&lt;&gt;Off-street")&gt;0,1,0)</f>
        <v>0</v>
      </c>
      <c r="C66">
        <f>IF(COUNTIFS('United Data'!$A$3:$A$3390,C$1,'United Data'!$C$3:$C$3390,$A66,'United Data'!$B$3:$B$3390,"&lt;&gt;Off-street")&gt;0,1,0)</f>
        <v>1</v>
      </c>
      <c r="D66">
        <f>IF(COUNTIFS('United Data'!$A$3:$A$3390,D$1,'United Data'!$C$3:$C$3390,$A66,'United Data'!$B$3:$B$3390,"&lt;&gt;Off-street")&gt;0,1,0)</f>
        <v>1</v>
      </c>
      <c r="E66">
        <f>IF(COUNTIFS('United Data'!$A$3:$A$3390,E$1,'United Data'!$C$3:$C$3390,$A66,'United Data'!$B$3:$B$3390,"&lt;&gt;Off-street")&gt;0,1,0)</f>
        <v>1</v>
      </c>
      <c r="F66">
        <f>IF(COUNTIFS('United Data'!$A$3:$A$3390,F$1,'United Data'!$C$3:$C$3390,$A66,'United Data'!$B$3:$B$3390,"&lt;&gt;Off-street")&gt;0,1,0)</f>
        <v>1</v>
      </c>
      <c r="G66">
        <f>IF(COUNTIFS('United Data'!$A$3:$A$3390,G$1,'United Data'!$C$3:$C$3390,$A66,'United Data'!$B$3:$B$3390,"&lt;&gt;Off-street")&gt;0,1,0)</f>
        <v>0</v>
      </c>
      <c r="H66">
        <f>IF(COUNTIFS('United Data'!$A$3:$A$3390,H$1,'United Data'!$C$3:$C$3390,$A66,'United Data'!$B$3:$B$3390,"&lt;&gt;Off-street")&gt;0,1,0)</f>
        <v>0</v>
      </c>
      <c r="I66">
        <f>IF(COUNTIFS('United Data'!$A$3:$A$3390,I$1,'United Data'!$C$3:$C$3390,$A66,'United Data'!$B$3:$B$3390,"&lt;&gt;Off-street")&gt;0,1,0)</f>
        <v>0</v>
      </c>
      <c r="J66">
        <f>IF(COUNTIFS('United Data'!$A$3:$A$3390,J$1,'United Data'!$C$3:$C$3390,$A66,'United Data'!$B$3:$B$3390,"&lt;&gt;Off-street")&gt;0,1,0)</f>
        <v>0</v>
      </c>
      <c r="K66">
        <f>IF(COUNTIFS('United Data'!$A$3:$A$3390,K$1,'United Data'!$C$3:$C$3390,$A66,'United Data'!$B$3:$B$3390,"&lt;&gt;Off-street")&gt;0,1,0)</f>
        <v>0</v>
      </c>
      <c r="L66">
        <f>IF(COUNTIFS('United Data'!$A$3:$A$3390,L$1,'United Data'!$C$3:$C$3390,$A66,'United Data'!$B$3:$B$3390,"&lt;&gt;Off-street")&gt;0,1,0)</f>
        <v>0</v>
      </c>
      <c r="M66">
        <f>IF(COUNTIFS('United Data'!$A$3:$A$3390,M$1,'United Data'!$C$3:$C$3390,$A66,'United Data'!$B$3:$B$3390,"&lt;&gt;Off-street")&gt;0,1,0)</f>
        <v>0</v>
      </c>
      <c r="N66">
        <f>IF(COUNTIFS('United Data'!$A$3:$A$3390,N$1,'United Data'!$C$3:$C$3390,$A66,'United Data'!$B$3:$B$3390,"&lt;&gt;Off-street")&gt;0,1,0)</f>
        <v>0</v>
      </c>
      <c r="O66">
        <f>IF(COUNTIFS('United Data'!$A$3:$A$3390,O$1,'United Data'!$C$3:$C$3390,$A66,'United Data'!$B$3:$B$3390,"&lt;&gt;Off-street")&gt;0,1,0)</f>
        <v>0</v>
      </c>
      <c r="P66">
        <f>IF(COUNTIFS('United Data'!$A$3:$A$3390,P$1,'United Data'!$C$3:$C$3390,$A66,'United Data'!$B$3:$B$3390,"&lt;&gt;Off-street")&gt;0,1,0)</f>
        <v>0</v>
      </c>
      <c r="Q66">
        <f>IF(COUNTIFS('United Data'!$A$3:$A$3390,Q$1,'United Data'!$C$3:$C$3390,$A66,'United Data'!$B$3:$B$3390,"&lt;&gt;Off-street")&gt;0,1,0)</f>
        <v>0</v>
      </c>
      <c r="R66">
        <f>IF(COUNTIFS('United Data'!$A$3:$A$3390,R$1,'United Data'!$C$3:$C$3390,$A66,'United Data'!$B$3:$B$3390,"&lt;&gt;Off-street")&gt;0,1,0)</f>
        <v>0</v>
      </c>
      <c r="S66">
        <f t="shared" ref="S66:S129" si="2">SUM(B66:R66)</f>
        <v>4</v>
      </c>
      <c r="T66">
        <f t="shared" ref="T66:T129" si="3">B66+SUMPRODUCT(--(C66:R66&gt;B66:Q66))</f>
        <v>1</v>
      </c>
    </row>
    <row r="67" spans="1:20" x14ac:dyDescent="0.2">
      <c r="A67" t="s">
        <v>114</v>
      </c>
      <c r="B67">
        <f>IF(COUNTIFS('United Data'!$A$3:$A$3390,B$1,'United Data'!$C$3:$C$3390,$A67,'United Data'!$B$3:$B$3390,"&lt;&gt;Off-street")&gt;0,1,0)</f>
        <v>0</v>
      </c>
      <c r="C67">
        <f>IF(COUNTIFS('United Data'!$A$3:$A$3390,C$1,'United Data'!$C$3:$C$3390,$A67,'United Data'!$B$3:$B$3390,"&lt;&gt;Off-street")&gt;0,1,0)</f>
        <v>0</v>
      </c>
      <c r="D67">
        <f>IF(COUNTIFS('United Data'!$A$3:$A$3390,D$1,'United Data'!$C$3:$C$3390,$A67,'United Data'!$B$3:$B$3390,"&lt;&gt;Off-street")&gt;0,1,0)</f>
        <v>1</v>
      </c>
      <c r="E67">
        <f>IF(COUNTIFS('United Data'!$A$3:$A$3390,E$1,'United Data'!$C$3:$C$3390,$A67,'United Data'!$B$3:$B$3390,"&lt;&gt;Off-street")&gt;0,1,0)</f>
        <v>1</v>
      </c>
      <c r="F67">
        <f>IF(COUNTIFS('United Data'!$A$3:$A$3390,F$1,'United Data'!$C$3:$C$3390,$A67,'United Data'!$B$3:$B$3390,"&lt;&gt;Off-street")&gt;0,1,0)</f>
        <v>1</v>
      </c>
      <c r="G67">
        <f>IF(COUNTIFS('United Data'!$A$3:$A$3390,G$1,'United Data'!$C$3:$C$3390,$A67,'United Data'!$B$3:$B$3390,"&lt;&gt;Off-street")&gt;0,1,0)</f>
        <v>1</v>
      </c>
      <c r="H67">
        <f>IF(COUNTIFS('United Data'!$A$3:$A$3390,H$1,'United Data'!$C$3:$C$3390,$A67,'United Data'!$B$3:$B$3390,"&lt;&gt;Off-street")&gt;0,1,0)</f>
        <v>0</v>
      </c>
      <c r="I67">
        <f>IF(COUNTIFS('United Data'!$A$3:$A$3390,I$1,'United Data'!$C$3:$C$3390,$A67,'United Data'!$B$3:$B$3390,"&lt;&gt;Off-street")&gt;0,1,0)</f>
        <v>0</v>
      </c>
      <c r="J67">
        <f>IF(COUNTIFS('United Data'!$A$3:$A$3390,J$1,'United Data'!$C$3:$C$3390,$A67,'United Data'!$B$3:$B$3390,"&lt;&gt;Off-street")&gt;0,1,0)</f>
        <v>0</v>
      </c>
      <c r="K67">
        <f>IF(COUNTIFS('United Data'!$A$3:$A$3390,K$1,'United Data'!$C$3:$C$3390,$A67,'United Data'!$B$3:$B$3390,"&lt;&gt;Off-street")&gt;0,1,0)</f>
        <v>0</v>
      </c>
      <c r="L67">
        <f>IF(COUNTIFS('United Data'!$A$3:$A$3390,L$1,'United Data'!$C$3:$C$3390,$A67,'United Data'!$B$3:$B$3390,"&lt;&gt;Off-street")&gt;0,1,0)</f>
        <v>1</v>
      </c>
      <c r="M67">
        <f>IF(COUNTIFS('United Data'!$A$3:$A$3390,M$1,'United Data'!$C$3:$C$3390,$A67,'United Data'!$B$3:$B$3390,"&lt;&gt;Off-street")&gt;0,1,0)</f>
        <v>0</v>
      </c>
      <c r="N67">
        <f>IF(COUNTIFS('United Data'!$A$3:$A$3390,N$1,'United Data'!$C$3:$C$3390,$A67,'United Data'!$B$3:$B$3390,"&lt;&gt;Off-street")&gt;0,1,0)</f>
        <v>0</v>
      </c>
      <c r="O67">
        <f>IF(COUNTIFS('United Data'!$A$3:$A$3390,O$1,'United Data'!$C$3:$C$3390,$A67,'United Data'!$B$3:$B$3390,"&lt;&gt;Off-street")&gt;0,1,0)</f>
        <v>0</v>
      </c>
      <c r="P67">
        <f>IF(COUNTIFS('United Data'!$A$3:$A$3390,P$1,'United Data'!$C$3:$C$3390,$A67,'United Data'!$B$3:$B$3390,"&lt;&gt;Off-street")&gt;0,1,0)</f>
        <v>0</v>
      </c>
      <c r="Q67">
        <f>IF(COUNTIFS('United Data'!$A$3:$A$3390,Q$1,'United Data'!$C$3:$C$3390,$A67,'United Data'!$B$3:$B$3390,"&lt;&gt;Off-street")&gt;0,1,0)</f>
        <v>0</v>
      </c>
      <c r="R67">
        <f>IF(COUNTIFS('United Data'!$A$3:$A$3390,R$1,'United Data'!$C$3:$C$3390,$A67,'United Data'!$B$3:$B$3390,"&lt;&gt;Off-street")&gt;0,1,0)</f>
        <v>0</v>
      </c>
      <c r="S67">
        <f t="shared" si="2"/>
        <v>5</v>
      </c>
      <c r="T67">
        <f t="shared" si="3"/>
        <v>2</v>
      </c>
    </row>
    <row r="68" spans="1:20" x14ac:dyDescent="0.2">
      <c r="A68" t="s">
        <v>115</v>
      </c>
      <c r="B68">
        <f>IF(COUNTIFS('United Data'!$A$3:$A$3390,B$1,'United Data'!$C$3:$C$3390,$A68,'United Data'!$B$3:$B$3390,"&lt;&gt;Off-street")&gt;0,1,0)</f>
        <v>0</v>
      </c>
      <c r="C68">
        <f>IF(COUNTIFS('United Data'!$A$3:$A$3390,C$1,'United Data'!$C$3:$C$3390,$A68,'United Data'!$B$3:$B$3390,"&lt;&gt;Off-street")&gt;0,1,0)</f>
        <v>0</v>
      </c>
      <c r="D68">
        <f>IF(COUNTIFS('United Data'!$A$3:$A$3390,D$1,'United Data'!$C$3:$C$3390,$A68,'United Data'!$B$3:$B$3390,"&lt;&gt;Off-street")&gt;0,1,0)</f>
        <v>1</v>
      </c>
      <c r="E68">
        <f>IF(COUNTIFS('United Data'!$A$3:$A$3390,E$1,'United Data'!$C$3:$C$3390,$A68,'United Data'!$B$3:$B$3390,"&lt;&gt;Off-street")&gt;0,1,0)</f>
        <v>0</v>
      </c>
      <c r="F68">
        <f>IF(COUNTIFS('United Data'!$A$3:$A$3390,F$1,'United Data'!$C$3:$C$3390,$A68,'United Data'!$B$3:$B$3390,"&lt;&gt;Off-street")&gt;0,1,0)</f>
        <v>0</v>
      </c>
      <c r="G68">
        <f>IF(COUNTIFS('United Data'!$A$3:$A$3390,G$1,'United Data'!$C$3:$C$3390,$A68,'United Data'!$B$3:$B$3390,"&lt;&gt;Off-street")&gt;0,1,0)</f>
        <v>0</v>
      </c>
      <c r="H68">
        <f>IF(COUNTIFS('United Data'!$A$3:$A$3390,H$1,'United Data'!$C$3:$C$3390,$A68,'United Data'!$B$3:$B$3390,"&lt;&gt;Off-street")&gt;0,1,0)</f>
        <v>0</v>
      </c>
      <c r="I68">
        <f>IF(COUNTIFS('United Data'!$A$3:$A$3390,I$1,'United Data'!$C$3:$C$3390,$A68,'United Data'!$B$3:$B$3390,"&lt;&gt;Off-street")&gt;0,1,0)</f>
        <v>0</v>
      </c>
      <c r="J68">
        <f>IF(COUNTIFS('United Data'!$A$3:$A$3390,J$1,'United Data'!$C$3:$C$3390,$A68,'United Data'!$B$3:$B$3390,"&lt;&gt;Off-street")&gt;0,1,0)</f>
        <v>0</v>
      </c>
      <c r="K68">
        <f>IF(COUNTIFS('United Data'!$A$3:$A$3390,K$1,'United Data'!$C$3:$C$3390,$A68,'United Data'!$B$3:$B$3390,"&lt;&gt;Off-street")&gt;0,1,0)</f>
        <v>0</v>
      </c>
      <c r="L68">
        <f>IF(COUNTIFS('United Data'!$A$3:$A$3390,L$1,'United Data'!$C$3:$C$3390,$A68,'United Data'!$B$3:$B$3390,"&lt;&gt;Off-street")&gt;0,1,0)</f>
        <v>0</v>
      </c>
      <c r="M68">
        <f>IF(COUNTIFS('United Data'!$A$3:$A$3390,M$1,'United Data'!$C$3:$C$3390,$A68,'United Data'!$B$3:$B$3390,"&lt;&gt;Off-street")&gt;0,1,0)</f>
        <v>0</v>
      </c>
      <c r="N68">
        <f>IF(COUNTIFS('United Data'!$A$3:$A$3390,N$1,'United Data'!$C$3:$C$3390,$A68,'United Data'!$B$3:$B$3390,"&lt;&gt;Off-street")&gt;0,1,0)</f>
        <v>0</v>
      </c>
      <c r="O68">
        <f>IF(COUNTIFS('United Data'!$A$3:$A$3390,O$1,'United Data'!$C$3:$C$3390,$A68,'United Data'!$B$3:$B$3390,"&lt;&gt;Off-street")&gt;0,1,0)</f>
        <v>0</v>
      </c>
      <c r="P68">
        <f>IF(COUNTIFS('United Data'!$A$3:$A$3390,P$1,'United Data'!$C$3:$C$3390,$A68,'United Data'!$B$3:$B$3390,"&lt;&gt;Off-street")&gt;0,1,0)</f>
        <v>0</v>
      </c>
      <c r="Q68">
        <f>IF(COUNTIFS('United Data'!$A$3:$A$3390,Q$1,'United Data'!$C$3:$C$3390,$A68,'United Data'!$B$3:$B$3390,"&lt;&gt;Off-street")&gt;0,1,0)</f>
        <v>0</v>
      </c>
      <c r="R68">
        <f>IF(COUNTIFS('United Data'!$A$3:$A$3390,R$1,'United Data'!$C$3:$C$3390,$A68,'United Data'!$B$3:$B$3390,"&lt;&gt;Off-street")&gt;0,1,0)</f>
        <v>0</v>
      </c>
      <c r="S68">
        <f t="shared" si="2"/>
        <v>1</v>
      </c>
      <c r="T68">
        <f t="shared" si="3"/>
        <v>1</v>
      </c>
    </row>
    <row r="69" spans="1:20" x14ac:dyDescent="0.2">
      <c r="A69" t="s">
        <v>116</v>
      </c>
      <c r="B69">
        <f>IF(COUNTIFS('United Data'!$A$3:$A$3390,B$1,'United Data'!$C$3:$C$3390,$A69,'United Data'!$B$3:$B$3390,"&lt;&gt;Off-street")&gt;0,1,0)</f>
        <v>0</v>
      </c>
      <c r="C69">
        <f>IF(COUNTIFS('United Data'!$A$3:$A$3390,C$1,'United Data'!$C$3:$C$3390,$A69,'United Data'!$B$3:$B$3390,"&lt;&gt;Off-street")&gt;0,1,0)</f>
        <v>0</v>
      </c>
      <c r="D69">
        <f>IF(COUNTIFS('United Data'!$A$3:$A$3390,D$1,'United Data'!$C$3:$C$3390,$A69,'United Data'!$B$3:$B$3390,"&lt;&gt;Off-street")&gt;0,1,0)</f>
        <v>0</v>
      </c>
      <c r="E69">
        <f>IF(COUNTIFS('United Data'!$A$3:$A$3390,E$1,'United Data'!$C$3:$C$3390,$A69,'United Data'!$B$3:$B$3390,"&lt;&gt;Off-street")&gt;0,1,0)</f>
        <v>0</v>
      </c>
      <c r="F69">
        <f>IF(COUNTIFS('United Data'!$A$3:$A$3390,F$1,'United Data'!$C$3:$C$3390,$A69,'United Data'!$B$3:$B$3390,"&lt;&gt;Off-street")&gt;0,1,0)</f>
        <v>1</v>
      </c>
      <c r="G69">
        <f>IF(COUNTIFS('United Data'!$A$3:$A$3390,G$1,'United Data'!$C$3:$C$3390,$A69,'United Data'!$B$3:$B$3390,"&lt;&gt;Off-street")&gt;0,1,0)</f>
        <v>0</v>
      </c>
      <c r="H69">
        <f>IF(COUNTIFS('United Data'!$A$3:$A$3390,H$1,'United Data'!$C$3:$C$3390,$A69,'United Data'!$B$3:$B$3390,"&lt;&gt;Off-street")&gt;0,1,0)</f>
        <v>0</v>
      </c>
      <c r="I69">
        <f>IF(COUNTIFS('United Data'!$A$3:$A$3390,I$1,'United Data'!$C$3:$C$3390,$A69,'United Data'!$B$3:$B$3390,"&lt;&gt;Off-street")&gt;0,1,0)</f>
        <v>0</v>
      </c>
      <c r="J69">
        <f>IF(COUNTIFS('United Data'!$A$3:$A$3390,J$1,'United Data'!$C$3:$C$3390,$A69,'United Data'!$B$3:$B$3390,"&lt;&gt;Off-street")&gt;0,1,0)</f>
        <v>0</v>
      </c>
      <c r="K69">
        <f>IF(COUNTIFS('United Data'!$A$3:$A$3390,K$1,'United Data'!$C$3:$C$3390,$A69,'United Data'!$B$3:$B$3390,"&lt;&gt;Off-street")&gt;0,1,0)</f>
        <v>0</v>
      </c>
      <c r="L69">
        <f>IF(COUNTIFS('United Data'!$A$3:$A$3390,L$1,'United Data'!$C$3:$C$3390,$A69,'United Data'!$B$3:$B$3390,"&lt;&gt;Off-street")&gt;0,1,0)</f>
        <v>0</v>
      </c>
      <c r="M69">
        <f>IF(COUNTIFS('United Data'!$A$3:$A$3390,M$1,'United Data'!$C$3:$C$3390,$A69,'United Data'!$B$3:$B$3390,"&lt;&gt;Off-street")&gt;0,1,0)</f>
        <v>0</v>
      </c>
      <c r="N69">
        <f>IF(COUNTIFS('United Data'!$A$3:$A$3390,N$1,'United Data'!$C$3:$C$3390,$A69,'United Data'!$B$3:$B$3390,"&lt;&gt;Off-street")&gt;0,1,0)</f>
        <v>0</v>
      </c>
      <c r="O69">
        <f>IF(COUNTIFS('United Data'!$A$3:$A$3390,O$1,'United Data'!$C$3:$C$3390,$A69,'United Data'!$B$3:$B$3390,"&lt;&gt;Off-street")&gt;0,1,0)</f>
        <v>0</v>
      </c>
      <c r="P69">
        <f>IF(COUNTIFS('United Data'!$A$3:$A$3390,P$1,'United Data'!$C$3:$C$3390,$A69,'United Data'!$B$3:$B$3390,"&lt;&gt;Off-street")&gt;0,1,0)</f>
        <v>0</v>
      </c>
      <c r="Q69">
        <f>IF(COUNTIFS('United Data'!$A$3:$A$3390,Q$1,'United Data'!$C$3:$C$3390,$A69,'United Data'!$B$3:$B$3390,"&lt;&gt;Off-street")&gt;0,1,0)</f>
        <v>0</v>
      </c>
      <c r="R69">
        <f>IF(COUNTIFS('United Data'!$A$3:$A$3390,R$1,'United Data'!$C$3:$C$3390,$A69,'United Data'!$B$3:$B$3390,"&lt;&gt;Off-street")&gt;0,1,0)</f>
        <v>0</v>
      </c>
      <c r="S69">
        <f t="shared" si="2"/>
        <v>1</v>
      </c>
      <c r="T69">
        <f t="shared" si="3"/>
        <v>1</v>
      </c>
    </row>
    <row r="70" spans="1:20" x14ac:dyDescent="0.2">
      <c r="A70" t="s">
        <v>117</v>
      </c>
      <c r="B70">
        <f>IF(COUNTIFS('United Data'!$A$3:$A$3390,B$1,'United Data'!$C$3:$C$3390,$A70,'United Data'!$B$3:$B$3390,"&lt;&gt;Off-street")&gt;0,1,0)</f>
        <v>0</v>
      </c>
      <c r="C70">
        <f>IF(COUNTIFS('United Data'!$A$3:$A$3390,C$1,'United Data'!$C$3:$C$3390,$A70,'United Data'!$B$3:$B$3390,"&lt;&gt;Off-street")&gt;0,1,0)</f>
        <v>0</v>
      </c>
      <c r="D70">
        <f>IF(COUNTIFS('United Data'!$A$3:$A$3390,D$1,'United Data'!$C$3:$C$3390,$A70,'United Data'!$B$3:$B$3390,"&lt;&gt;Off-street")&gt;0,1,0)</f>
        <v>0</v>
      </c>
      <c r="E70">
        <f>IF(COUNTIFS('United Data'!$A$3:$A$3390,E$1,'United Data'!$C$3:$C$3390,$A70,'United Data'!$B$3:$B$3390,"&lt;&gt;Off-street")&gt;0,1,0)</f>
        <v>0</v>
      </c>
      <c r="F70">
        <f>IF(COUNTIFS('United Data'!$A$3:$A$3390,F$1,'United Data'!$C$3:$C$3390,$A70,'United Data'!$B$3:$B$3390,"&lt;&gt;Off-street")&gt;0,1,0)</f>
        <v>1</v>
      </c>
      <c r="G70">
        <f>IF(COUNTIFS('United Data'!$A$3:$A$3390,G$1,'United Data'!$C$3:$C$3390,$A70,'United Data'!$B$3:$B$3390,"&lt;&gt;Off-street")&gt;0,1,0)</f>
        <v>0</v>
      </c>
      <c r="H70">
        <f>IF(COUNTIFS('United Data'!$A$3:$A$3390,H$1,'United Data'!$C$3:$C$3390,$A70,'United Data'!$B$3:$B$3390,"&lt;&gt;Off-street")&gt;0,1,0)</f>
        <v>0</v>
      </c>
      <c r="I70">
        <f>IF(COUNTIFS('United Data'!$A$3:$A$3390,I$1,'United Data'!$C$3:$C$3390,$A70,'United Data'!$B$3:$B$3390,"&lt;&gt;Off-street")&gt;0,1,0)</f>
        <v>0</v>
      </c>
      <c r="J70">
        <f>IF(COUNTIFS('United Data'!$A$3:$A$3390,J$1,'United Data'!$C$3:$C$3390,$A70,'United Data'!$B$3:$B$3390,"&lt;&gt;Off-street")&gt;0,1,0)</f>
        <v>0</v>
      </c>
      <c r="K70">
        <f>IF(COUNTIFS('United Data'!$A$3:$A$3390,K$1,'United Data'!$C$3:$C$3390,$A70,'United Data'!$B$3:$B$3390,"&lt;&gt;Off-street")&gt;0,1,0)</f>
        <v>0</v>
      </c>
      <c r="L70">
        <f>IF(COUNTIFS('United Data'!$A$3:$A$3390,L$1,'United Data'!$C$3:$C$3390,$A70,'United Data'!$B$3:$B$3390,"&lt;&gt;Off-street")&gt;0,1,0)</f>
        <v>0</v>
      </c>
      <c r="M70">
        <f>IF(COUNTIFS('United Data'!$A$3:$A$3390,M$1,'United Data'!$C$3:$C$3390,$A70,'United Data'!$B$3:$B$3390,"&lt;&gt;Off-street")&gt;0,1,0)</f>
        <v>0</v>
      </c>
      <c r="N70">
        <f>IF(COUNTIFS('United Data'!$A$3:$A$3390,N$1,'United Data'!$C$3:$C$3390,$A70,'United Data'!$B$3:$B$3390,"&lt;&gt;Off-street")&gt;0,1,0)</f>
        <v>0</v>
      </c>
      <c r="O70">
        <f>IF(COUNTIFS('United Data'!$A$3:$A$3390,O$1,'United Data'!$C$3:$C$3390,$A70,'United Data'!$B$3:$B$3390,"&lt;&gt;Off-street")&gt;0,1,0)</f>
        <v>0</v>
      </c>
      <c r="P70">
        <f>IF(COUNTIFS('United Data'!$A$3:$A$3390,P$1,'United Data'!$C$3:$C$3390,$A70,'United Data'!$B$3:$B$3390,"&lt;&gt;Off-street")&gt;0,1,0)</f>
        <v>0</v>
      </c>
      <c r="Q70">
        <f>IF(COUNTIFS('United Data'!$A$3:$A$3390,Q$1,'United Data'!$C$3:$C$3390,$A70,'United Data'!$B$3:$B$3390,"&lt;&gt;Off-street")&gt;0,1,0)</f>
        <v>0</v>
      </c>
      <c r="R70">
        <f>IF(COUNTIFS('United Data'!$A$3:$A$3390,R$1,'United Data'!$C$3:$C$3390,$A70,'United Data'!$B$3:$B$3390,"&lt;&gt;Off-street")&gt;0,1,0)</f>
        <v>0</v>
      </c>
      <c r="S70">
        <f t="shared" si="2"/>
        <v>1</v>
      </c>
      <c r="T70">
        <f t="shared" si="3"/>
        <v>1</v>
      </c>
    </row>
    <row r="71" spans="1:20" x14ac:dyDescent="0.2">
      <c r="A71" t="s">
        <v>118</v>
      </c>
      <c r="B71">
        <f>IF(COUNTIFS('United Data'!$A$3:$A$3390,B$1,'United Data'!$C$3:$C$3390,$A71,'United Data'!$B$3:$B$3390,"&lt;&gt;Off-street")&gt;0,1,0)</f>
        <v>0</v>
      </c>
      <c r="C71">
        <f>IF(COUNTIFS('United Data'!$A$3:$A$3390,C$1,'United Data'!$C$3:$C$3390,$A71,'United Data'!$B$3:$B$3390,"&lt;&gt;Off-street")&gt;0,1,0)</f>
        <v>0</v>
      </c>
      <c r="D71">
        <f>IF(COUNTIFS('United Data'!$A$3:$A$3390,D$1,'United Data'!$C$3:$C$3390,$A71,'United Data'!$B$3:$B$3390,"&lt;&gt;Off-street")&gt;0,1,0)</f>
        <v>0</v>
      </c>
      <c r="E71">
        <f>IF(COUNTIFS('United Data'!$A$3:$A$3390,E$1,'United Data'!$C$3:$C$3390,$A71,'United Data'!$B$3:$B$3390,"&lt;&gt;Off-street")&gt;0,1,0)</f>
        <v>0</v>
      </c>
      <c r="F71">
        <f>IF(COUNTIFS('United Data'!$A$3:$A$3390,F$1,'United Data'!$C$3:$C$3390,$A71,'United Data'!$B$3:$B$3390,"&lt;&gt;Off-street")&gt;0,1,0)</f>
        <v>1</v>
      </c>
      <c r="G71">
        <f>IF(COUNTIFS('United Data'!$A$3:$A$3390,G$1,'United Data'!$C$3:$C$3390,$A71,'United Data'!$B$3:$B$3390,"&lt;&gt;Off-street")&gt;0,1,0)</f>
        <v>0</v>
      </c>
      <c r="H71">
        <f>IF(COUNTIFS('United Data'!$A$3:$A$3390,H$1,'United Data'!$C$3:$C$3390,$A71,'United Data'!$B$3:$B$3390,"&lt;&gt;Off-street")&gt;0,1,0)</f>
        <v>0</v>
      </c>
      <c r="I71">
        <f>IF(COUNTIFS('United Data'!$A$3:$A$3390,I$1,'United Data'!$C$3:$C$3390,$A71,'United Data'!$B$3:$B$3390,"&lt;&gt;Off-street")&gt;0,1,0)</f>
        <v>0</v>
      </c>
      <c r="J71">
        <f>IF(COUNTIFS('United Data'!$A$3:$A$3390,J$1,'United Data'!$C$3:$C$3390,$A71,'United Data'!$B$3:$B$3390,"&lt;&gt;Off-street")&gt;0,1,0)</f>
        <v>0</v>
      </c>
      <c r="K71">
        <f>IF(COUNTIFS('United Data'!$A$3:$A$3390,K$1,'United Data'!$C$3:$C$3390,$A71,'United Data'!$B$3:$B$3390,"&lt;&gt;Off-street")&gt;0,1,0)</f>
        <v>0</v>
      </c>
      <c r="L71">
        <f>IF(COUNTIFS('United Data'!$A$3:$A$3390,L$1,'United Data'!$C$3:$C$3390,$A71,'United Data'!$B$3:$B$3390,"&lt;&gt;Off-street")&gt;0,1,0)</f>
        <v>0</v>
      </c>
      <c r="M71">
        <f>IF(COUNTIFS('United Data'!$A$3:$A$3390,M$1,'United Data'!$C$3:$C$3390,$A71,'United Data'!$B$3:$B$3390,"&lt;&gt;Off-street")&gt;0,1,0)</f>
        <v>0</v>
      </c>
      <c r="N71">
        <f>IF(COUNTIFS('United Data'!$A$3:$A$3390,N$1,'United Data'!$C$3:$C$3390,$A71,'United Data'!$B$3:$B$3390,"&lt;&gt;Off-street")&gt;0,1,0)</f>
        <v>0</v>
      </c>
      <c r="O71">
        <f>IF(COUNTIFS('United Data'!$A$3:$A$3390,O$1,'United Data'!$C$3:$C$3390,$A71,'United Data'!$B$3:$B$3390,"&lt;&gt;Off-street")&gt;0,1,0)</f>
        <v>0</v>
      </c>
      <c r="P71">
        <f>IF(COUNTIFS('United Data'!$A$3:$A$3390,P$1,'United Data'!$C$3:$C$3390,$A71,'United Data'!$B$3:$B$3390,"&lt;&gt;Off-street")&gt;0,1,0)</f>
        <v>0</v>
      </c>
      <c r="Q71">
        <f>IF(COUNTIFS('United Data'!$A$3:$A$3390,Q$1,'United Data'!$C$3:$C$3390,$A71,'United Data'!$B$3:$B$3390,"&lt;&gt;Off-street")&gt;0,1,0)</f>
        <v>0</v>
      </c>
      <c r="R71">
        <f>IF(COUNTIFS('United Data'!$A$3:$A$3390,R$1,'United Data'!$C$3:$C$3390,$A71,'United Data'!$B$3:$B$3390,"&lt;&gt;Off-street")&gt;0,1,0)</f>
        <v>0</v>
      </c>
      <c r="S71">
        <f t="shared" si="2"/>
        <v>1</v>
      </c>
      <c r="T71">
        <f t="shared" si="3"/>
        <v>1</v>
      </c>
    </row>
    <row r="72" spans="1:20" x14ac:dyDescent="0.2">
      <c r="A72" t="s">
        <v>119</v>
      </c>
      <c r="B72">
        <f>IF(COUNTIFS('United Data'!$A$3:$A$3390,B$1,'United Data'!$C$3:$C$3390,$A72,'United Data'!$B$3:$B$3390,"&lt;&gt;Off-street")&gt;0,1,0)</f>
        <v>0</v>
      </c>
      <c r="C72">
        <f>IF(COUNTIFS('United Data'!$A$3:$A$3390,C$1,'United Data'!$C$3:$C$3390,$A72,'United Data'!$B$3:$B$3390,"&lt;&gt;Off-street")&gt;0,1,0)</f>
        <v>0</v>
      </c>
      <c r="D72">
        <f>IF(COUNTIFS('United Data'!$A$3:$A$3390,D$1,'United Data'!$C$3:$C$3390,$A72,'United Data'!$B$3:$B$3390,"&lt;&gt;Off-street")&gt;0,1,0)</f>
        <v>0</v>
      </c>
      <c r="E72">
        <f>IF(COUNTIFS('United Data'!$A$3:$A$3390,E$1,'United Data'!$C$3:$C$3390,$A72,'United Data'!$B$3:$B$3390,"&lt;&gt;Off-street")&gt;0,1,0)</f>
        <v>0</v>
      </c>
      <c r="F72">
        <f>IF(COUNTIFS('United Data'!$A$3:$A$3390,F$1,'United Data'!$C$3:$C$3390,$A72,'United Data'!$B$3:$B$3390,"&lt;&gt;Off-street")&gt;0,1,0)</f>
        <v>0</v>
      </c>
      <c r="G72">
        <f>IF(COUNTIFS('United Data'!$A$3:$A$3390,G$1,'United Data'!$C$3:$C$3390,$A72,'United Data'!$B$3:$B$3390,"&lt;&gt;Off-street")&gt;0,1,0)</f>
        <v>1</v>
      </c>
      <c r="H72">
        <f>IF(COUNTIFS('United Data'!$A$3:$A$3390,H$1,'United Data'!$C$3:$C$3390,$A72,'United Data'!$B$3:$B$3390,"&lt;&gt;Off-street")&gt;0,1,0)</f>
        <v>0</v>
      </c>
      <c r="I72">
        <f>IF(COUNTIFS('United Data'!$A$3:$A$3390,I$1,'United Data'!$C$3:$C$3390,$A72,'United Data'!$B$3:$B$3390,"&lt;&gt;Off-street")&gt;0,1,0)</f>
        <v>0</v>
      </c>
      <c r="J72">
        <f>IF(COUNTIFS('United Data'!$A$3:$A$3390,J$1,'United Data'!$C$3:$C$3390,$A72,'United Data'!$B$3:$B$3390,"&lt;&gt;Off-street")&gt;0,1,0)</f>
        <v>0</v>
      </c>
      <c r="K72">
        <f>IF(COUNTIFS('United Data'!$A$3:$A$3390,K$1,'United Data'!$C$3:$C$3390,$A72,'United Data'!$B$3:$B$3390,"&lt;&gt;Off-street")&gt;0,1,0)</f>
        <v>0</v>
      </c>
      <c r="L72">
        <f>IF(COUNTIFS('United Data'!$A$3:$A$3390,L$1,'United Data'!$C$3:$C$3390,$A72,'United Data'!$B$3:$B$3390,"&lt;&gt;Off-street")&gt;0,1,0)</f>
        <v>0</v>
      </c>
      <c r="M72">
        <f>IF(COUNTIFS('United Data'!$A$3:$A$3390,M$1,'United Data'!$C$3:$C$3390,$A72,'United Data'!$B$3:$B$3390,"&lt;&gt;Off-street")&gt;0,1,0)</f>
        <v>0</v>
      </c>
      <c r="N72">
        <f>IF(COUNTIFS('United Data'!$A$3:$A$3390,N$1,'United Data'!$C$3:$C$3390,$A72,'United Data'!$B$3:$B$3390,"&lt;&gt;Off-street")&gt;0,1,0)</f>
        <v>0</v>
      </c>
      <c r="O72">
        <f>IF(COUNTIFS('United Data'!$A$3:$A$3390,O$1,'United Data'!$C$3:$C$3390,$A72,'United Data'!$B$3:$B$3390,"&lt;&gt;Off-street")&gt;0,1,0)</f>
        <v>0</v>
      </c>
      <c r="P72">
        <f>IF(COUNTIFS('United Data'!$A$3:$A$3390,P$1,'United Data'!$C$3:$C$3390,$A72,'United Data'!$B$3:$B$3390,"&lt;&gt;Off-street")&gt;0,1,0)</f>
        <v>0</v>
      </c>
      <c r="Q72">
        <f>IF(COUNTIFS('United Data'!$A$3:$A$3390,Q$1,'United Data'!$C$3:$C$3390,$A72,'United Data'!$B$3:$B$3390,"&lt;&gt;Off-street")&gt;0,1,0)</f>
        <v>0</v>
      </c>
      <c r="R72">
        <f>IF(COUNTIFS('United Data'!$A$3:$A$3390,R$1,'United Data'!$C$3:$C$3390,$A72,'United Data'!$B$3:$B$3390,"&lt;&gt;Off-street")&gt;0,1,0)</f>
        <v>0</v>
      </c>
      <c r="S72">
        <f t="shared" si="2"/>
        <v>1</v>
      </c>
      <c r="T72">
        <f t="shared" si="3"/>
        <v>1</v>
      </c>
    </row>
    <row r="73" spans="1:20" x14ac:dyDescent="0.2">
      <c r="A73" t="s">
        <v>120</v>
      </c>
      <c r="B73">
        <f>IF(COUNTIFS('United Data'!$A$3:$A$3390,B$1,'United Data'!$C$3:$C$3390,$A73,'United Data'!$B$3:$B$3390,"&lt;&gt;Off-street")&gt;0,1,0)</f>
        <v>0</v>
      </c>
      <c r="C73">
        <f>IF(COUNTIFS('United Data'!$A$3:$A$3390,C$1,'United Data'!$C$3:$C$3390,$A73,'United Data'!$B$3:$B$3390,"&lt;&gt;Off-street")&gt;0,1,0)</f>
        <v>0</v>
      </c>
      <c r="D73">
        <f>IF(COUNTIFS('United Data'!$A$3:$A$3390,D$1,'United Data'!$C$3:$C$3390,$A73,'United Data'!$B$3:$B$3390,"&lt;&gt;Off-street")&gt;0,1,0)</f>
        <v>0</v>
      </c>
      <c r="E73">
        <f>IF(COUNTIFS('United Data'!$A$3:$A$3390,E$1,'United Data'!$C$3:$C$3390,$A73,'United Data'!$B$3:$B$3390,"&lt;&gt;Off-street")&gt;0,1,0)</f>
        <v>0</v>
      </c>
      <c r="F73">
        <f>IF(COUNTIFS('United Data'!$A$3:$A$3390,F$1,'United Data'!$C$3:$C$3390,$A73,'United Data'!$B$3:$B$3390,"&lt;&gt;Off-street")&gt;0,1,0)</f>
        <v>0</v>
      </c>
      <c r="G73">
        <f>IF(COUNTIFS('United Data'!$A$3:$A$3390,G$1,'United Data'!$C$3:$C$3390,$A73,'United Data'!$B$3:$B$3390,"&lt;&gt;Off-street")&gt;0,1,0)</f>
        <v>1</v>
      </c>
      <c r="H73">
        <f>IF(COUNTIFS('United Data'!$A$3:$A$3390,H$1,'United Data'!$C$3:$C$3390,$A73,'United Data'!$B$3:$B$3390,"&lt;&gt;Off-street")&gt;0,1,0)</f>
        <v>0</v>
      </c>
      <c r="I73">
        <f>IF(COUNTIFS('United Data'!$A$3:$A$3390,I$1,'United Data'!$C$3:$C$3390,$A73,'United Data'!$B$3:$B$3390,"&lt;&gt;Off-street")&gt;0,1,0)</f>
        <v>0</v>
      </c>
      <c r="J73">
        <f>IF(COUNTIFS('United Data'!$A$3:$A$3390,J$1,'United Data'!$C$3:$C$3390,$A73,'United Data'!$B$3:$B$3390,"&lt;&gt;Off-street")&gt;0,1,0)</f>
        <v>0</v>
      </c>
      <c r="K73">
        <f>IF(COUNTIFS('United Data'!$A$3:$A$3390,K$1,'United Data'!$C$3:$C$3390,$A73,'United Data'!$B$3:$B$3390,"&lt;&gt;Off-street")&gt;0,1,0)</f>
        <v>1</v>
      </c>
      <c r="L73">
        <f>IF(COUNTIFS('United Data'!$A$3:$A$3390,L$1,'United Data'!$C$3:$C$3390,$A73,'United Data'!$B$3:$B$3390,"&lt;&gt;Off-street")&gt;0,1,0)</f>
        <v>0</v>
      </c>
      <c r="M73">
        <f>IF(COUNTIFS('United Data'!$A$3:$A$3390,M$1,'United Data'!$C$3:$C$3390,$A73,'United Data'!$B$3:$B$3390,"&lt;&gt;Off-street")&gt;0,1,0)</f>
        <v>0</v>
      </c>
      <c r="N73">
        <f>IF(COUNTIFS('United Data'!$A$3:$A$3390,N$1,'United Data'!$C$3:$C$3390,$A73,'United Data'!$B$3:$B$3390,"&lt;&gt;Off-street")&gt;0,1,0)</f>
        <v>0</v>
      </c>
      <c r="O73">
        <f>IF(COUNTIFS('United Data'!$A$3:$A$3390,O$1,'United Data'!$C$3:$C$3390,$A73,'United Data'!$B$3:$B$3390,"&lt;&gt;Off-street")&gt;0,1,0)</f>
        <v>0</v>
      </c>
      <c r="P73">
        <f>IF(COUNTIFS('United Data'!$A$3:$A$3390,P$1,'United Data'!$C$3:$C$3390,$A73,'United Data'!$B$3:$B$3390,"&lt;&gt;Off-street")&gt;0,1,0)</f>
        <v>0</v>
      </c>
      <c r="Q73">
        <f>IF(COUNTIFS('United Data'!$A$3:$A$3390,Q$1,'United Data'!$C$3:$C$3390,$A73,'United Data'!$B$3:$B$3390,"&lt;&gt;Off-street")&gt;0,1,0)</f>
        <v>0</v>
      </c>
      <c r="R73">
        <f>IF(COUNTIFS('United Data'!$A$3:$A$3390,R$1,'United Data'!$C$3:$C$3390,$A73,'United Data'!$B$3:$B$3390,"&lt;&gt;Off-street")&gt;0,1,0)</f>
        <v>0</v>
      </c>
      <c r="S73">
        <f t="shared" si="2"/>
        <v>2</v>
      </c>
      <c r="T73">
        <f t="shared" si="3"/>
        <v>2</v>
      </c>
    </row>
    <row r="74" spans="1:20" x14ac:dyDescent="0.2">
      <c r="A74" t="s">
        <v>121</v>
      </c>
      <c r="B74">
        <f>IF(COUNTIFS('United Data'!$A$3:$A$3390,B$1,'United Data'!$C$3:$C$3390,$A74,'United Data'!$B$3:$B$3390,"&lt;&gt;Off-street")&gt;0,1,0)</f>
        <v>0</v>
      </c>
      <c r="C74">
        <f>IF(COUNTIFS('United Data'!$A$3:$A$3390,C$1,'United Data'!$C$3:$C$3390,$A74,'United Data'!$B$3:$B$3390,"&lt;&gt;Off-street")&gt;0,1,0)</f>
        <v>0</v>
      </c>
      <c r="D74">
        <f>IF(COUNTIFS('United Data'!$A$3:$A$3390,D$1,'United Data'!$C$3:$C$3390,$A74,'United Data'!$B$3:$B$3390,"&lt;&gt;Off-street")&gt;0,1,0)</f>
        <v>0</v>
      </c>
      <c r="E74">
        <f>IF(COUNTIFS('United Data'!$A$3:$A$3390,E$1,'United Data'!$C$3:$C$3390,$A74,'United Data'!$B$3:$B$3390,"&lt;&gt;Off-street")&gt;0,1,0)</f>
        <v>0</v>
      </c>
      <c r="F74">
        <f>IF(COUNTIFS('United Data'!$A$3:$A$3390,F$1,'United Data'!$C$3:$C$3390,$A74,'United Data'!$B$3:$B$3390,"&lt;&gt;Off-street")&gt;0,1,0)</f>
        <v>0</v>
      </c>
      <c r="G74">
        <f>IF(COUNTIFS('United Data'!$A$3:$A$3390,G$1,'United Data'!$C$3:$C$3390,$A74,'United Data'!$B$3:$B$3390,"&lt;&gt;Off-street")&gt;0,1,0)</f>
        <v>0</v>
      </c>
      <c r="H74">
        <f>IF(COUNTIFS('United Data'!$A$3:$A$3390,H$1,'United Data'!$C$3:$C$3390,$A74,'United Data'!$B$3:$B$3390,"&lt;&gt;Off-street")&gt;0,1,0)</f>
        <v>1</v>
      </c>
      <c r="I74">
        <f>IF(COUNTIFS('United Data'!$A$3:$A$3390,I$1,'United Data'!$C$3:$C$3390,$A74,'United Data'!$B$3:$B$3390,"&lt;&gt;Off-street")&gt;0,1,0)</f>
        <v>1</v>
      </c>
      <c r="J74">
        <f>IF(COUNTIFS('United Data'!$A$3:$A$3390,J$1,'United Data'!$C$3:$C$3390,$A74,'United Data'!$B$3:$B$3390,"&lt;&gt;Off-street")&gt;0,1,0)</f>
        <v>0</v>
      </c>
      <c r="K74">
        <f>IF(COUNTIFS('United Data'!$A$3:$A$3390,K$1,'United Data'!$C$3:$C$3390,$A74,'United Data'!$B$3:$B$3390,"&lt;&gt;Off-street")&gt;0,1,0)</f>
        <v>0</v>
      </c>
      <c r="L74">
        <f>IF(COUNTIFS('United Data'!$A$3:$A$3390,L$1,'United Data'!$C$3:$C$3390,$A74,'United Data'!$B$3:$B$3390,"&lt;&gt;Off-street")&gt;0,1,0)</f>
        <v>0</v>
      </c>
      <c r="M74">
        <f>IF(COUNTIFS('United Data'!$A$3:$A$3390,M$1,'United Data'!$C$3:$C$3390,$A74,'United Data'!$B$3:$B$3390,"&lt;&gt;Off-street")&gt;0,1,0)</f>
        <v>0</v>
      </c>
      <c r="N74">
        <f>IF(COUNTIFS('United Data'!$A$3:$A$3390,N$1,'United Data'!$C$3:$C$3390,$A74,'United Data'!$B$3:$B$3390,"&lt;&gt;Off-street")&gt;0,1,0)</f>
        <v>0</v>
      </c>
      <c r="O74">
        <f>IF(COUNTIFS('United Data'!$A$3:$A$3390,O$1,'United Data'!$C$3:$C$3390,$A74,'United Data'!$B$3:$B$3390,"&lt;&gt;Off-street")&gt;0,1,0)</f>
        <v>0</v>
      </c>
      <c r="P74">
        <f>IF(COUNTIFS('United Data'!$A$3:$A$3390,P$1,'United Data'!$C$3:$C$3390,$A74,'United Data'!$B$3:$B$3390,"&lt;&gt;Off-street")&gt;0,1,0)</f>
        <v>0</v>
      </c>
      <c r="Q74">
        <f>IF(COUNTIFS('United Data'!$A$3:$A$3390,Q$1,'United Data'!$C$3:$C$3390,$A74,'United Data'!$B$3:$B$3390,"&lt;&gt;Off-street")&gt;0,1,0)</f>
        <v>0</v>
      </c>
      <c r="R74">
        <f>IF(COUNTIFS('United Data'!$A$3:$A$3390,R$1,'United Data'!$C$3:$C$3390,$A74,'United Data'!$B$3:$B$3390,"&lt;&gt;Off-street")&gt;0,1,0)</f>
        <v>0</v>
      </c>
      <c r="S74">
        <f t="shared" si="2"/>
        <v>2</v>
      </c>
      <c r="T74">
        <f t="shared" si="3"/>
        <v>1</v>
      </c>
    </row>
    <row r="75" spans="1:20" x14ac:dyDescent="0.2">
      <c r="A75" t="s">
        <v>123</v>
      </c>
      <c r="B75">
        <f>IF(COUNTIFS('United Data'!$A$3:$A$3390,B$1,'United Data'!$C$3:$C$3390,$A75,'United Data'!$B$3:$B$3390,"&lt;&gt;Off-street")&gt;0,1,0)</f>
        <v>0</v>
      </c>
      <c r="C75">
        <f>IF(COUNTIFS('United Data'!$A$3:$A$3390,C$1,'United Data'!$C$3:$C$3390,$A75,'United Data'!$B$3:$B$3390,"&lt;&gt;Off-street")&gt;0,1,0)</f>
        <v>0</v>
      </c>
      <c r="D75">
        <f>IF(COUNTIFS('United Data'!$A$3:$A$3390,D$1,'United Data'!$C$3:$C$3390,$A75,'United Data'!$B$3:$B$3390,"&lt;&gt;Off-street")&gt;0,1,0)</f>
        <v>0</v>
      </c>
      <c r="E75">
        <f>IF(COUNTIFS('United Data'!$A$3:$A$3390,E$1,'United Data'!$C$3:$C$3390,$A75,'United Data'!$B$3:$B$3390,"&lt;&gt;Off-street")&gt;0,1,0)</f>
        <v>0</v>
      </c>
      <c r="F75">
        <f>IF(COUNTIFS('United Data'!$A$3:$A$3390,F$1,'United Data'!$C$3:$C$3390,$A75,'United Data'!$B$3:$B$3390,"&lt;&gt;Off-street")&gt;0,1,0)</f>
        <v>0</v>
      </c>
      <c r="G75">
        <f>IF(COUNTIFS('United Data'!$A$3:$A$3390,G$1,'United Data'!$C$3:$C$3390,$A75,'United Data'!$B$3:$B$3390,"&lt;&gt;Off-street")&gt;0,1,0)</f>
        <v>0</v>
      </c>
      <c r="H75">
        <f>IF(COUNTIFS('United Data'!$A$3:$A$3390,H$1,'United Data'!$C$3:$C$3390,$A75,'United Data'!$B$3:$B$3390,"&lt;&gt;Off-street")&gt;0,1,0)</f>
        <v>0</v>
      </c>
      <c r="I75">
        <f>IF(COUNTIFS('United Data'!$A$3:$A$3390,I$1,'United Data'!$C$3:$C$3390,$A75,'United Data'!$B$3:$B$3390,"&lt;&gt;Off-street")&gt;0,1,0)</f>
        <v>1</v>
      </c>
      <c r="J75">
        <f>IF(COUNTIFS('United Data'!$A$3:$A$3390,J$1,'United Data'!$C$3:$C$3390,$A75,'United Data'!$B$3:$B$3390,"&lt;&gt;Off-street")&gt;0,1,0)</f>
        <v>0</v>
      </c>
      <c r="K75">
        <f>IF(COUNTIFS('United Data'!$A$3:$A$3390,K$1,'United Data'!$C$3:$C$3390,$A75,'United Data'!$B$3:$B$3390,"&lt;&gt;Off-street")&gt;0,1,0)</f>
        <v>0</v>
      </c>
      <c r="L75">
        <f>IF(COUNTIFS('United Data'!$A$3:$A$3390,L$1,'United Data'!$C$3:$C$3390,$A75,'United Data'!$B$3:$B$3390,"&lt;&gt;Off-street")&gt;0,1,0)</f>
        <v>0</v>
      </c>
      <c r="M75">
        <f>IF(COUNTIFS('United Data'!$A$3:$A$3390,M$1,'United Data'!$C$3:$C$3390,$A75,'United Data'!$B$3:$B$3390,"&lt;&gt;Off-street")&gt;0,1,0)</f>
        <v>0</v>
      </c>
      <c r="N75">
        <f>IF(COUNTIFS('United Data'!$A$3:$A$3390,N$1,'United Data'!$C$3:$C$3390,$A75,'United Data'!$B$3:$B$3390,"&lt;&gt;Off-street")&gt;0,1,0)</f>
        <v>0</v>
      </c>
      <c r="O75">
        <f>IF(COUNTIFS('United Data'!$A$3:$A$3390,O$1,'United Data'!$C$3:$C$3390,$A75,'United Data'!$B$3:$B$3390,"&lt;&gt;Off-street")&gt;0,1,0)</f>
        <v>0</v>
      </c>
      <c r="P75">
        <f>IF(COUNTIFS('United Data'!$A$3:$A$3390,P$1,'United Data'!$C$3:$C$3390,$A75,'United Data'!$B$3:$B$3390,"&lt;&gt;Off-street")&gt;0,1,0)</f>
        <v>0</v>
      </c>
      <c r="Q75">
        <f>IF(COUNTIFS('United Data'!$A$3:$A$3390,Q$1,'United Data'!$C$3:$C$3390,$A75,'United Data'!$B$3:$B$3390,"&lt;&gt;Off-street")&gt;0,1,0)</f>
        <v>0</v>
      </c>
      <c r="R75">
        <f>IF(COUNTIFS('United Data'!$A$3:$A$3390,R$1,'United Data'!$C$3:$C$3390,$A75,'United Data'!$B$3:$B$3390,"&lt;&gt;Off-street")&gt;0,1,0)</f>
        <v>0</v>
      </c>
      <c r="S75">
        <f t="shared" si="2"/>
        <v>1</v>
      </c>
      <c r="T75">
        <f t="shared" si="3"/>
        <v>1</v>
      </c>
    </row>
    <row r="76" spans="1:20" x14ac:dyDescent="0.2">
      <c r="A76" t="s">
        <v>124</v>
      </c>
      <c r="B76">
        <f>IF(COUNTIFS('United Data'!$A$3:$A$3390,B$1,'United Data'!$C$3:$C$3390,$A76,'United Data'!$B$3:$B$3390,"&lt;&gt;Off-street")&gt;0,1,0)</f>
        <v>0</v>
      </c>
      <c r="C76">
        <f>IF(COUNTIFS('United Data'!$A$3:$A$3390,C$1,'United Data'!$C$3:$C$3390,$A76,'United Data'!$B$3:$B$3390,"&lt;&gt;Off-street")&gt;0,1,0)</f>
        <v>0</v>
      </c>
      <c r="D76">
        <f>IF(COUNTIFS('United Data'!$A$3:$A$3390,D$1,'United Data'!$C$3:$C$3390,$A76,'United Data'!$B$3:$B$3390,"&lt;&gt;Off-street")&gt;0,1,0)</f>
        <v>0</v>
      </c>
      <c r="E76">
        <f>IF(COUNTIFS('United Data'!$A$3:$A$3390,E$1,'United Data'!$C$3:$C$3390,$A76,'United Data'!$B$3:$B$3390,"&lt;&gt;Off-street")&gt;0,1,0)</f>
        <v>0</v>
      </c>
      <c r="F76">
        <f>IF(COUNTIFS('United Data'!$A$3:$A$3390,F$1,'United Data'!$C$3:$C$3390,$A76,'United Data'!$B$3:$B$3390,"&lt;&gt;Off-street")&gt;0,1,0)</f>
        <v>0</v>
      </c>
      <c r="G76">
        <f>IF(COUNTIFS('United Data'!$A$3:$A$3390,G$1,'United Data'!$C$3:$C$3390,$A76,'United Data'!$B$3:$B$3390,"&lt;&gt;Off-street")&gt;0,1,0)</f>
        <v>0</v>
      </c>
      <c r="H76">
        <f>IF(COUNTIFS('United Data'!$A$3:$A$3390,H$1,'United Data'!$C$3:$C$3390,$A76,'United Data'!$B$3:$B$3390,"&lt;&gt;Off-street")&gt;0,1,0)</f>
        <v>0</v>
      </c>
      <c r="I76">
        <f>IF(COUNTIFS('United Data'!$A$3:$A$3390,I$1,'United Data'!$C$3:$C$3390,$A76,'United Data'!$B$3:$B$3390,"&lt;&gt;Off-street")&gt;0,1,0)</f>
        <v>1</v>
      </c>
      <c r="J76">
        <f>IF(COUNTIFS('United Data'!$A$3:$A$3390,J$1,'United Data'!$C$3:$C$3390,$A76,'United Data'!$B$3:$B$3390,"&lt;&gt;Off-street")&gt;0,1,0)</f>
        <v>0</v>
      </c>
      <c r="K76">
        <f>IF(COUNTIFS('United Data'!$A$3:$A$3390,K$1,'United Data'!$C$3:$C$3390,$A76,'United Data'!$B$3:$B$3390,"&lt;&gt;Off-street")&gt;0,1,0)</f>
        <v>0</v>
      </c>
      <c r="L76">
        <f>IF(COUNTIFS('United Data'!$A$3:$A$3390,L$1,'United Data'!$C$3:$C$3390,$A76,'United Data'!$B$3:$B$3390,"&lt;&gt;Off-street")&gt;0,1,0)</f>
        <v>0</v>
      </c>
      <c r="M76">
        <f>IF(COUNTIFS('United Data'!$A$3:$A$3390,M$1,'United Data'!$C$3:$C$3390,$A76,'United Data'!$B$3:$B$3390,"&lt;&gt;Off-street")&gt;0,1,0)</f>
        <v>0</v>
      </c>
      <c r="N76">
        <f>IF(COUNTIFS('United Data'!$A$3:$A$3390,N$1,'United Data'!$C$3:$C$3390,$A76,'United Data'!$B$3:$B$3390,"&lt;&gt;Off-street")&gt;0,1,0)</f>
        <v>0</v>
      </c>
      <c r="O76">
        <f>IF(COUNTIFS('United Data'!$A$3:$A$3390,O$1,'United Data'!$C$3:$C$3390,$A76,'United Data'!$B$3:$B$3390,"&lt;&gt;Off-street")&gt;0,1,0)</f>
        <v>0</v>
      </c>
      <c r="P76">
        <f>IF(COUNTIFS('United Data'!$A$3:$A$3390,P$1,'United Data'!$C$3:$C$3390,$A76,'United Data'!$B$3:$B$3390,"&lt;&gt;Off-street")&gt;0,1,0)</f>
        <v>0</v>
      </c>
      <c r="Q76">
        <f>IF(COUNTIFS('United Data'!$A$3:$A$3390,Q$1,'United Data'!$C$3:$C$3390,$A76,'United Data'!$B$3:$B$3390,"&lt;&gt;Off-street")&gt;0,1,0)</f>
        <v>0</v>
      </c>
      <c r="R76">
        <f>IF(COUNTIFS('United Data'!$A$3:$A$3390,R$1,'United Data'!$C$3:$C$3390,$A76,'United Data'!$B$3:$B$3390,"&lt;&gt;Off-street")&gt;0,1,0)</f>
        <v>0</v>
      </c>
      <c r="S76">
        <f t="shared" si="2"/>
        <v>1</v>
      </c>
      <c r="T76">
        <f t="shared" si="3"/>
        <v>1</v>
      </c>
    </row>
    <row r="77" spans="1:20" x14ac:dyDescent="0.2">
      <c r="A77" t="s">
        <v>125</v>
      </c>
      <c r="B77">
        <f>IF(COUNTIFS('United Data'!$A$3:$A$3390,B$1,'United Data'!$C$3:$C$3390,$A77,'United Data'!$B$3:$B$3390,"&lt;&gt;Off-street")&gt;0,1,0)</f>
        <v>0</v>
      </c>
      <c r="C77">
        <f>IF(COUNTIFS('United Data'!$A$3:$A$3390,C$1,'United Data'!$C$3:$C$3390,$A77,'United Data'!$B$3:$B$3390,"&lt;&gt;Off-street")&gt;0,1,0)</f>
        <v>0</v>
      </c>
      <c r="D77">
        <f>IF(COUNTIFS('United Data'!$A$3:$A$3390,D$1,'United Data'!$C$3:$C$3390,$A77,'United Data'!$B$3:$B$3390,"&lt;&gt;Off-street")&gt;0,1,0)</f>
        <v>0</v>
      </c>
      <c r="E77">
        <f>IF(COUNTIFS('United Data'!$A$3:$A$3390,E$1,'United Data'!$C$3:$C$3390,$A77,'United Data'!$B$3:$B$3390,"&lt;&gt;Off-street")&gt;0,1,0)</f>
        <v>0</v>
      </c>
      <c r="F77">
        <f>IF(COUNTIFS('United Data'!$A$3:$A$3390,F$1,'United Data'!$C$3:$C$3390,$A77,'United Data'!$B$3:$B$3390,"&lt;&gt;Off-street")&gt;0,1,0)</f>
        <v>0</v>
      </c>
      <c r="G77">
        <f>IF(COUNTIFS('United Data'!$A$3:$A$3390,G$1,'United Data'!$C$3:$C$3390,$A77,'United Data'!$B$3:$B$3390,"&lt;&gt;Off-street")&gt;0,1,0)</f>
        <v>0</v>
      </c>
      <c r="H77">
        <f>IF(COUNTIFS('United Data'!$A$3:$A$3390,H$1,'United Data'!$C$3:$C$3390,$A77,'United Data'!$B$3:$B$3390,"&lt;&gt;Off-street")&gt;0,1,0)</f>
        <v>0</v>
      </c>
      <c r="I77">
        <f>IF(COUNTIFS('United Data'!$A$3:$A$3390,I$1,'United Data'!$C$3:$C$3390,$A77,'United Data'!$B$3:$B$3390,"&lt;&gt;Off-street")&gt;0,1,0)</f>
        <v>1</v>
      </c>
      <c r="J77">
        <f>IF(COUNTIFS('United Data'!$A$3:$A$3390,J$1,'United Data'!$C$3:$C$3390,$A77,'United Data'!$B$3:$B$3390,"&lt;&gt;Off-street")&gt;0,1,0)</f>
        <v>0</v>
      </c>
      <c r="K77">
        <f>IF(COUNTIFS('United Data'!$A$3:$A$3390,K$1,'United Data'!$C$3:$C$3390,$A77,'United Data'!$B$3:$B$3390,"&lt;&gt;Off-street")&gt;0,1,0)</f>
        <v>0</v>
      </c>
      <c r="L77">
        <f>IF(COUNTIFS('United Data'!$A$3:$A$3390,L$1,'United Data'!$C$3:$C$3390,$A77,'United Data'!$B$3:$B$3390,"&lt;&gt;Off-street")&gt;0,1,0)</f>
        <v>0</v>
      </c>
      <c r="M77">
        <f>IF(COUNTIFS('United Data'!$A$3:$A$3390,M$1,'United Data'!$C$3:$C$3390,$A77,'United Data'!$B$3:$B$3390,"&lt;&gt;Off-street")&gt;0,1,0)</f>
        <v>0</v>
      </c>
      <c r="N77">
        <f>IF(COUNTIFS('United Data'!$A$3:$A$3390,N$1,'United Data'!$C$3:$C$3390,$A77,'United Data'!$B$3:$B$3390,"&lt;&gt;Off-street")&gt;0,1,0)</f>
        <v>0</v>
      </c>
      <c r="O77">
        <f>IF(COUNTIFS('United Data'!$A$3:$A$3390,O$1,'United Data'!$C$3:$C$3390,$A77,'United Data'!$B$3:$B$3390,"&lt;&gt;Off-street")&gt;0,1,0)</f>
        <v>0</v>
      </c>
      <c r="P77">
        <f>IF(COUNTIFS('United Data'!$A$3:$A$3390,P$1,'United Data'!$C$3:$C$3390,$A77,'United Data'!$B$3:$B$3390,"&lt;&gt;Off-street")&gt;0,1,0)</f>
        <v>0</v>
      </c>
      <c r="Q77">
        <f>IF(COUNTIFS('United Data'!$A$3:$A$3390,Q$1,'United Data'!$C$3:$C$3390,$A77,'United Data'!$B$3:$B$3390,"&lt;&gt;Off-street")&gt;0,1,0)</f>
        <v>0</v>
      </c>
      <c r="R77">
        <f>IF(COUNTIFS('United Data'!$A$3:$A$3390,R$1,'United Data'!$C$3:$C$3390,$A77,'United Data'!$B$3:$B$3390,"&lt;&gt;Off-street")&gt;0,1,0)</f>
        <v>0</v>
      </c>
      <c r="S77">
        <f t="shared" si="2"/>
        <v>1</v>
      </c>
      <c r="T77">
        <f t="shared" si="3"/>
        <v>1</v>
      </c>
    </row>
    <row r="78" spans="1:20" x14ac:dyDescent="0.2">
      <c r="A78" t="s">
        <v>126</v>
      </c>
      <c r="B78">
        <f>IF(COUNTIFS('United Data'!$A$3:$A$3390,B$1,'United Data'!$C$3:$C$3390,$A78,'United Data'!$B$3:$B$3390,"&lt;&gt;Off-street")&gt;0,1,0)</f>
        <v>0</v>
      </c>
      <c r="C78">
        <f>IF(COUNTIFS('United Data'!$A$3:$A$3390,C$1,'United Data'!$C$3:$C$3390,$A78,'United Data'!$B$3:$B$3390,"&lt;&gt;Off-street")&gt;0,1,0)</f>
        <v>0</v>
      </c>
      <c r="D78">
        <f>IF(COUNTIFS('United Data'!$A$3:$A$3390,D$1,'United Data'!$C$3:$C$3390,$A78,'United Data'!$B$3:$B$3390,"&lt;&gt;Off-street")&gt;0,1,0)</f>
        <v>0</v>
      </c>
      <c r="E78">
        <f>IF(COUNTIFS('United Data'!$A$3:$A$3390,E$1,'United Data'!$C$3:$C$3390,$A78,'United Data'!$B$3:$B$3390,"&lt;&gt;Off-street")&gt;0,1,0)</f>
        <v>0</v>
      </c>
      <c r="F78">
        <f>IF(COUNTIFS('United Data'!$A$3:$A$3390,F$1,'United Data'!$C$3:$C$3390,$A78,'United Data'!$B$3:$B$3390,"&lt;&gt;Off-street")&gt;0,1,0)</f>
        <v>0</v>
      </c>
      <c r="G78">
        <f>IF(COUNTIFS('United Data'!$A$3:$A$3390,G$1,'United Data'!$C$3:$C$3390,$A78,'United Data'!$B$3:$B$3390,"&lt;&gt;Off-street")&gt;0,1,0)</f>
        <v>0</v>
      </c>
      <c r="H78">
        <f>IF(COUNTIFS('United Data'!$A$3:$A$3390,H$1,'United Data'!$C$3:$C$3390,$A78,'United Data'!$B$3:$B$3390,"&lt;&gt;Off-street")&gt;0,1,0)</f>
        <v>0</v>
      </c>
      <c r="I78">
        <f>IF(COUNTIFS('United Data'!$A$3:$A$3390,I$1,'United Data'!$C$3:$C$3390,$A78,'United Data'!$B$3:$B$3390,"&lt;&gt;Off-street")&gt;0,1,0)</f>
        <v>1</v>
      </c>
      <c r="J78">
        <f>IF(COUNTIFS('United Data'!$A$3:$A$3390,J$1,'United Data'!$C$3:$C$3390,$A78,'United Data'!$B$3:$B$3390,"&lt;&gt;Off-street")&gt;0,1,0)</f>
        <v>0</v>
      </c>
      <c r="K78">
        <f>IF(COUNTIFS('United Data'!$A$3:$A$3390,K$1,'United Data'!$C$3:$C$3390,$A78,'United Data'!$B$3:$B$3390,"&lt;&gt;Off-street")&gt;0,1,0)</f>
        <v>0</v>
      </c>
      <c r="L78">
        <f>IF(COUNTIFS('United Data'!$A$3:$A$3390,L$1,'United Data'!$C$3:$C$3390,$A78,'United Data'!$B$3:$B$3390,"&lt;&gt;Off-street")&gt;0,1,0)</f>
        <v>0</v>
      </c>
      <c r="M78">
        <f>IF(COUNTIFS('United Data'!$A$3:$A$3390,M$1,'United Data'!$C$3:$C$3390,$A78,'United Data'!$B$3:$B$3390,"&lt;&gt;Off-street")&gt;0,1,0)</f>
        <v>0</v>
      </c>
      <c r="N78">
        <f>IF(COUNTIFS('United Data'!$A$3:$A$3390,N$1,'United Data'!$C$3:$C$3390,$A78,'United Data'!$B$3:$B$3390,"&lt;&gt;Off-street")&gt;0,1,0)</f>
        <v>0</v>
      </c>
      <c r="O78">
        <f>IF(COUNTIFS('United Data'!$A$3:$A$3390,O$1,'United Data'!$C$3:$C$3390,$A78,'United Data'!$B$3:$B$3390,"&lt;&gt;Off-street")&gt;0,1,0)</f>
        <v>0</v>
      </c>
      <c r="P78">
        <f>IF(COUNTIFS('United Data'!$A$3:$A$3390,P$1,'United Data'!$C$3:$C$3390,$A78,'United Data'!$B$3:$B$3390,"&lt;&gt;Off-street")&gt;0,1,0)</f>
        <v>0</v>
      </c>
      <c r="Q78">
        <f>IF(COUNTIFS('United Data'!$A$3:$A$3390,Q$1,'United Data'!$C$3:$C$3390,$A78,'United Data'!$B$3:$B$3390,"&lt;&gt;Off-street")&gt;0,1,0)</f>
        <v>0</v>
      </c>
      <c r="R78">
        <f>IF(COUNTIFS('United Data'!$A$3:$A$3390,R$1,'United Data'!$C$3:$C$3390,$A78,'United Data'!$B$3:$B$3390,"&lt;&gt;Off-street")&gt;0,1,0)</f>
        <v>0</v>
      </c>
      <c r="S78">
        <f t="shared" si="2"/>
        <v>1</v>
      </c>
      <c r="T78">
        <f t="shared" si="3"/>
        <v>1</v>
      </c>
    </row>
    <row r="79" spans="1:20" x14ac:dyDescent="0.2">
      <c r="A79" t="s">
        <v>127</v>
      </c>
      <c r="B79">
        <f>IF(COUNTIFS('United Data'!$A$3:$A$3390,B$1,'United Data'!$C$3:$C$3390,$A79,'United Data'!$B$3:$B$3390,"&lt;&gt;Off-street")&gt;0,1,0)</f>
        <v>0</v>
      </c>
      <c r="C79">
        <f>IF(COUNTIFS('United Data'!$A$3:$A$3390,C$1,'United Data'!$C$3:$C$3390,$A79,'United Data'!$B$3:$B$3390,"&lt;&gt;Off-street")&gt;0,1,0)</f>
        <v>0</v>
      </c>
      <c r="D79">
        <f>IF(COUNTIFS('United Data'!$A$3:$A$3390,D$1,'United Data'!$C$3:$C$3390,$A79,'United Data'!$B$3:$B$3390,"&lt;&gt;Off-street")&gt;0,1,0)</f>
        <v>0</v>
      </c>
      <c r="E79">
        <f>IF(COUNTIFS('United Data'!$A$3:$A$3390,E$1,'United Data'!$C$3:$C$3390,$A79,'United Data'!$B$3:$B$3390,"&lt;&gt;Off-street")&gt;0,1,0)</f>
        <v>0</v>
      </c>
      <c r="F79">
        <f>IF(COUNTIFS('United Data'!$A$3:$A$3390,F$1,'United Data'!$C$3:$C$3390,$A79,'United Data'!$B$3:$B$3390,"&lt;&gt;Off-street")&gt;0,1,0)</f>
        <v>0</v>
      </c>
      <c r="G79">
        <f>IF(COUNTIFS('United Data'!$A$3:$A$3390,G$1,'United Data'!$C$3:$C$3390,$A79,'United Data'!$B$3:$B$3390,"&lt;&gt;Off-street")&gt;0,1,0)</f>
        <v>0</v>
      </c>
      <c r="H79">
        <f>IF(COUNTIFS('United Data'!$A$3:$A$3390,H$1,'United Data'!$C$3:$C$3390,$A79,'United Data'!$B$3:$B$3390,"&lt;&gt;Off-street")&gt;0,1,0)</f>
        <v>0</v>
      </c>
      <c r="I79">
        <f>IF(COUNTIFS('United Data'!$A$3:$A$3390,I$1,'United Data'!$C$3:$C$3390,$A79,'United Data'!$B$3:$B$3390,"&lt;&gt;Off-street")&gt;0,1,0)</f>
        <v>0</v>
      </c>
      <c r="J79">
        <f>IF(COUNTIFS('United Data'!$A$3:$A$3390,J$1,'United Data'!$C$3:$C$3390,$A79,'United Data'!$B$3:$B$3390,"&lt;&gt;Off-street")&gt;0,1,0)</f>
        <v>1</v>
      </c>
      <c r="K79">
        <f>IF(COUNTIFS('United Data'!$A$3:$A$3390,K$1,'United Data'!$C$3:$C$3390,$A79,'United Data'!$B$3:$B$3390,"&lt;&gt;Off-street")&gt;0,1,0)</f>
        <v>1</v>
      </c>
      <c r="L79">
        <f>IF(COUNTIFS('United Data'!$A$3:$A$3390,L$1,'United Data'!$C$3:$C$3390,$A79,'United Data'!$B$3:$B$3390,"&lt;&gt;Off-street")&gt;0,1,0)</f>
        <v>0</v>
      </c>
      <c r="M79">
        <f>IF(COUNTIFS('United Data'!$A$3:$A$3390,M$1,'United Data'!$C$3:$C$3390,$A79,'United Data'!$B$3:$B$3390,"&lt;&gt;Off-street")&gt;0,1,0)</f>
        <v>0</v>
      </c>
      <c r="N79">
        <f>IF(COUNTIFS('United Data'!$A$3:$A$3390,N$1,'United Data'!$C$3:$C$3390,$A79,'United Data'!$B$3:$B$3390,"&lt;&gt;Off-street")&gt;0,1,0)</f>
        <v>0</v>
      </c>
      <c r="O79">
        <f>IF(COUNTIFS('United Data'!$A$3:$A$3390,O$1,'United Data'!$C$3:$C$3390,$A79,'United Data'!$B$3:$B$3390,"&lt;&gt;Off-street")&gt;0,1,0)</f>
        <v>0</v>
      </c>
      <c r="P79">
        <f>IF(COUNTIFS('United Data'!$A$3:$A$3390,P$1,'United Data'!$C$3:$C$3390,$A79,'United Data'!$B$3:$B$3390,"&lt;&gt;Off-street")&gt;0,1,0)</f>
        <v>0</v>
      </c>
      <c r="Q79">
        <f>IF(COUNTIFS('United Data'!$A$3:$A$3390,Q$1,'United Data'!$C$3:$C$3390,$A79,'United Data'!$B$3:$B$3390,"&lt;&gt;Off-street")&gt;0,1,0)</f>
        <v>0</v>
      </c>
      <c r="R79">
        <f>IF(COUNTIFS('United Data'!$A$3:$A$3390,R$1,'United Data'!$C$3:$C$3390,$A79,'United Data'!$B$3:$B$3390,"&lt;&gt;Off-street")&gt;0,1,0)</f>
        <v>0</v>
      </c>
      <c r="S79">
        <f t="shared" si="2"/>
        <v>2</v>
      </c>
      <c r="T79">
        <f t="shared" si="3"/>
        <v>1</v>
      </c>
    </row>
    <row r="80" spans="1:20" x14ac:dyDescent="0.2">
      <c r="A80" t="s">
        <v>128</v>
      </c>
      <c r="B80">
        <f>IF(COUNTIFS('United Data'!$A$3:$A$3390,B$1,'United Data'!$C$3:$C$3390,$A80,'United Data'!$B$3:$B$3390,"&lt;&gt;Off-street")&gt;0,1,0)</f>
        <v>0</v>
      </c>
      <c r="C80">
        <f>IF(COUNTIFS('United Data'!$A$3:$A$3390,C$1,'United Data'!$C$3:$C$3390,$A80,'United Data'!$B$3:$B$3390,"&lt;&gt;Off-street")&gt;0,1,0)</f>
        <v>0</v>
      </c>
      <c r="D80">
        <f>IF(COUNTIFS('United Data'!$A$3:$A$3390,D$1,'United Data'!$C$3:$C$3390,$A80,'United Data'!$B$3:$B$3390,"&lt;&gt;Off-street")&gt;0,1,0)</f>
        <v>0</v>
      </c>
      <c r="E80">
        <f>IF(COUNTIFS('United Data'!$A$3:$A$3390,E$1,'United Data'!$C$3:$C$3390,$A80,'United Data'!$B$3:$B$3390,"&lt;&gt;Off-street")&gt;0,1,0)</f>
        <v>0</v>
      </c>
      <c r="F80">
        <f>IF(COUNTIFS('United Data'!$A$3:$A$3390,F$1,'United Data'!$C$3:$C$3390,$A80,'United Data'!$B$3:$B$3390,"&lt;&gt;Off-street")&gt;0,1,0)</f>
        <v>0</v>
      </c>
      <c r="G80">
        <f>IF(COUNTIFS('United Data'!$A$3:$A$3390,G$1,'United Data'!$C$3:$C$3390,$A80,'United Data'!$B$3:$B$3390,"&lt;&gt;Off-street")&gt;0,1,0)</f>
        <v>0</v>
      </c>
      <c r="H80">
        <f>IF(COUNTIFS('United Data'!$A$3:$A$3390,H$1,'United Data'!$C$3:$C$3390,$A80,'United Data'!$B$3:$B$3390,"&lt;&gt;Off-street")&gt;0,1,0)</f>
        <v>0</v>
      </c>
      <c r="I80">
        <f>IF(COUNTIFS('United Data'!$A$3:$A$3390,I$1,'United Data'!$C$3:$C$3390,$A80,'United Data'!$B$3:$B$3390,"&lt;&gt;Off-street")&gt;0,1,0)</f>
        <v>0</v>
      </c>
      <c r="J80">
        <f>IF(COUNTIFS('United Data'!$A$3:$A$3390,J$1,'United Data'!$C$3:$C$3390,$A80,'United Data'!$B$3:$B$3390,"&lt;&gt;Off-street")&gt;0,1,0)</f>
        <v>1</v>
      </c>
      <c r="K80">
        <f>IF(COUNTIFS('United Data'!$A$3:$A$3390,K$1,'United Data'!$C$3:$C$3390,$A80,'United Data'!$B$3:$B$3390,"&lt;&gt;Off-street")&gt;0,1,0)</f>
        <v>0</v>
      </c>
      <c r="L80">
        <f>IF(COUNTIFS('United Data'!$A$3:$A$3390,L$1,'United Data'!$C$3:$C$3390,$A80,'United Data'!$B$3:$B$3390,"&lt;&gt;Off-street")&gt;0,1,0)</f>
        <v>0</v>
      </c>
      <c r="M80">
        <f>IF(COUNTIFS('United Data'!$A$3:$A$3390,M$1,'United Data'!$C$3:$C$3390,$A80,'United Data'!$B$3:$B$3390,"&lt;&gt;Off-street")&gt;0,1,0)</f>
        <v>0</v>
      </c>
      <c r="N80">
        <f>IF(COUNTIFS('United Data'!$A$3:$A$3390,N$1,'United Data'!$C$3:$C$3390,$A80,'United Data'!$B$3:$B$3390,"&lt;&gt;Off-street")&gt;0,1,0)</f>
        <v>0</v>
      </c>
      <c r="O80">
        <f>IF(COUNTIFS('United Data'!$A$3:$A$3390,O$1,'United Data'!$C$3:$C$3390,$A80,'United Data'!$B$3:$B$3390,"&lt;&gt;Off-street")&gt;0,1,0)</f>
        <v>1</v>
      </c>
      <c r="P80">
        <f>IF(COUNTIFS('United Data'!$A$3:$A$3390,P$1,'United Data'!$C$3:$C$3390,$A80,'United Data'!$B$3:$B$3390,"&lt;&gt;Off-street")&gt;0,1,0)</f>
        <v>0</v>
      </c>
      <c r="Q80">
        <f>IF(COUNTIFS('United Data'!$A$3:$A$3390,Q$1,'United Data'!$C$3:$C$3390,$A80,'United Data'!$B$3:$B$3390,"&lt;&gt;Off-street")&gt;0,1,0)</f>
        <v>0</v>
      </c>
      <c r="R80">
        <f>IF(COUNTIFS('United Data'!$A$3:$A$3390,R$1,'United Data'!$C$3:$C$3390,$A80,'United Data'!$B$3:$B$3390,"&lt;&gt;Off-street")&gt;0,1,0)</f>
        <v>0</v>
      </c>
      <c r="S80">
        <f t="shared" si="2"/>
        <v>2</v>
      </c>
      <c r="T80">
        <f t="shared" si="3"/>
        <v>2</v>
      </c>
    </row>
    <row r="81" spans="1:20" x14ac:dyDescent="0.2">
      <c r="A81" t="s">
        <v>129</v>
      </c>
      <c r="B81">
        <f>IF(COUNTIFS('United Data'!$A$3:$A$3390,B$1,'United Data'!$C$3:$C$3390,$A81,'United Data'!$B$3:$B$3390,"&lt;&gt;Off-street")&gt;0,1,0)</f>
        <v>0</v>
      </c>
      <c r="C81">
        <f>IF(COUNTIFS('United Data'!$A$3:$A$3390,C$1,'United Data'!$C$3:$C$3390,$A81,'United Data'!$B$3:$B$3390,"&lt;&gt;Off-street")&gt;0,1,0)</f>
        <v>0</v>
      </c>
      <c r="D81">
        <f>IF(COUNTIFS('United Data'!$A$3:$A$3390,D$1,'United Data'!$C$3:$C$3390,$A81,'United Data'!$B$3:$B$3390,"&lt;&gt;Off-street")&gt;0,1,0)</f>
        <v>0</v>
      </c>
      <c r="E81">
        <f>IF(COUNTIFS('United Data'!$A$3:$A$3390,E$1,'United Data'!$C$3:$C$3390,$A81,'United Data'!$B$3:$B$3390,"&lt;&gt;Off-street")&gt;0,1,0)</f>
        <v>0</v>
      </c>
      <c r="F81">
        <f>IF(COUNTIFS('United Data'!$A$3:$A$3390,F$1,'United Data'!$C$3:$C$3390,$A81,'United Data'!$B$3:$B$3390,"&lt;&gt;Off-street")&gt;0,1,0)</f>
        <v>0</v>
      </c>
      <c r="G81">
        <f>IF(COUNTIFS('United Data'!$A$3:$A$3390,G$1,'United Data'!$C$3:$C$3390,$A81,'United Data'!$B$3:$B$3390,"&lt;&gt;Off-street")&gt;0,1,0)</f>
        <v>0</v>
      </c>
      <c r="H81">
        <f>IF(COUNTIFS('United Data'!$A$3:$A$3390,H$1,'United Data'!$C$3:$C$3390,$A81,'United Data'!$B$3:$B$3390,"&lt;&gt;Off-street")&gt;0,1,0)</f>
        <v>0</v>
      </c>
      <c r="I81">
        <f>IF(COUNTIFS('United Data'!$A$3:$A$3390,I$1,'United Data'!$C$3:$C$3390,$A81,'United Data'!$B$3:$B$3390,"&lt;&gt;Off-street")&gt;0,1,0)</f>
        <v>0</v>
      </c>
      <c r="J81">
        <f>IF(COUNTIFS('United Data'!$A$3:$A$3390,J$1,'United Data'!$C$3:$C$3390,$A81,'United Data'!$B$3:$B$3390,"&lt;&gt;Off-street")&gt;0,1,0)</f>
        <v>0</v>
      </c>
      <c r="K81">
        <f>IF(COUNTIFS('United Data'!$A$3:$A$3390,K$1,'United Data'!$C$3:$C$3390,$A81,'United Data'!$B$3:$B$3390,"&lt;&gt;Off-street")&gt;0,1,0)</f>
        <v>0</v>
      </c>
      <c r="L81">
        <f>IF(COUNTIFS('United Data'!$A$3:$A$3390,L$1,'United Data'!$C$3:$C$3390,$A81,'United Data'!$B$3:$B$3390,"&lt;&gt;Off-street")&gt;0,1,0)</f>
        <v>1</v>
      </c>
      <c r="M81">
        <f>IF(COUNTIFS('United Data'!$A$3:$A$3390,M$1,'United Data'!$C$3:$C$3390,$A81,'United Data'!$B$3:$B$3390,"&lt;&gt;Off-street")&gt;0,1,0)</f>
        <v>0</v>
      </c>
      <c r="N81">
        <f>IF(COUNTIFS('United Data'!$A$3:$A$3390,N$1,'United Data'!$C$3:$C$3390,$A81,'United Data'!$B$3:$B$3390,"&lt;&gt;Off-street")&gt;0,1,0)</f>
        <v>0</v>
      </c>
      <c r="O81">
        <f>IF(COUNTIFS('United Data'!$A$3:$A$3390,O$1,'United Data'!$C$3:$C$3390,$A81,'United Data'!$B$3:$B$3390,"&lt;&gt;Off-street")&gt;0,1,0)</f>
        <v>0</v>
      </c>
      <c r="P81">
        <f>IF(COUNTIFS('United Data'!$A$3:$A$3390,P$1,'United Data'!$C$3:$C$3390,$A81,'United Data'!$B$3:$B$3390,"&lt;&gt;Off-street")&gt;0,1,0)</f>
        <v>0</v>
      </c>
      <c r="Q81">
        <f>IF(COUNTIFS('United Data'!$A$3:$A$3390,Q$1,'United Data'!$C$3:$C$3390,$A81,'United Data'!$B$3:$B$3390,"&lt;&gt;Off-street")&gt;0,1,0)</f>
        <v>0</v>
      </c>
      <c r="R81">
        <f>IF(COUNTIFS('United Data'!$A$3:$A$3390,R$1,'United Data'!$C$3:$C$3390,$A81,'United Data'!$B$3:$B$3390,"&lt;&gt;Off-street")&gt;0,1,0)</f>
        <v>0</v>
      </c>
      <c r="S81">
        <f t="shared" si="2"/>
        <v>1</v>
      </c>
      <c r="T81">
        <f t="shared" si="3"/>
        <v>1</v>
      </c>
    </row>
    <row r="82" spans="1:20" x14ac:dyDescent="0.2">
      <c r="A82" t="s">
        <v>130</v>
      </c>
      <c r="B82">
        <f>IF(COUNTIFS('United Data'!$A$3:$A$3390,B$1,'United Data'!$C$3:$C$3390,$A82,'United Data'!$B$3:$B$3390,"&lt;&gt;Off-street")&gt;0,1,0)</f>
        <v>0</v>
      </c>
      <c r="C82">
        <f>IF(COUNTIFS('United Data'!$A$3:$A$3390,C$1,'United Data'!$C$3:$C$3390,$A82,'United Data'!$B$3:$B$3390,"&lt;&gt;Off-street")&gt;0,1,0)</f>
        <v>0</v>
      </c>
      <c r="D82">
        <f>IF(COUNTIFS('United Data'!$A$3:$A$3390,D$1,'United Data'!$C$3:$C$3390,$A82,'United Data'!$B$3:$B$3390,"&lt;&gt;Off-street")&gt;0,1,0)</f>
        <v>0</v>
      </c>
      <c r="E82">
        <f>IF(COUNTIFS('United Data'!$A$3:$A$3390,E$1,'United Data'!$C$3:$C$3390,$A82,'United Data'!$B$3:$B$3390,"&lt;&gt;Off-street")&gt;0,1,0)</f>
        <v>0</v>
      </c>
      <c r="F82">
        <f>IF(COUNTIFS('United Data'!$A$3:$A$3390,F$1,'United Data'!$C$3:$C$3390,$A82,'United Data'!$B$3:$B$3390,"&lt;&gt;Off-street")&gt;0,1,0)</f>
        <v>0</v>
      </c>
      <c r="G82">
        <f>IF(COUNTIFS('United Data'!$A$3:$A$3390,G$1,'United Data'!$C$3:$C$3390,$A82,'United Data'!$B$3:$B$3390,"&lt;&gt;Off-street")&gt;0,1,0)</f>
        <v>0</v>
      </c>
      <c r="H82">
        <f>IF(COUNTIFS('United Data'!$A$3:$A$3390,H$1,'United Data'!$C$3:$C$3390,$A82,'United Data'!$B$3:$B$3390,"&lt;&gt;Off-street")&gt;0,1,0)</f>
        <v>0</v>
      </c>
      <c r="I82">
        <f>IF(COUNTIFS('United Data'!$A$3:$A$3390,I$1,'United Data'!$C$3:$C$3390,$A82,'United Data'!$B$3:$B$3390,"&lt;&gt;Off-street")&gt;0,1,0)</f>
        <v>0</v>
      </c>
      <c r="J82">
        <f>IF(COUNTIFS('United Data'!$A$3:$A$3390,J$1,'United Data'!$C$3:$C$3390,$A82,'United Data'!$B$3:$B$3390,"&lt;&gt;Off-street")&gt;0,1,0)</f>
        <v>0</v>
      </c>
      <c r="K82">
        <f>IF(COUNTIFS('United Data'!$A$3:$A$3390,K$1,'United Data'!$C$3:$C$3390,$A82,'United Data'!$B$3:$B$3390,"&lt;&gt;Off-street")&gt;0,1,0)</f>
        <v>0</v>
      </c>
      <c r="L82">
        <f>IF(COUNTIFS('United Data'!$A$3:$A$3390,L$1,'United Data'!$C$3:$C$3390,$A82,'United Data'!$B$3:$B$3390,"&lt;&gt;Off-street")&gt;0,1,0)</f>
        <v>1</v>
      </c>
      <c r="M82">
        <f>IF(COUNTIFS('United Data'!$A$3:$A$3390,M$1,'United Data'!$C$3:$C$3390,$A82,'United Data'!$B$3:$B$3390,"&lt;&gt;Off-street")&gt;0,1,0)</f>
        <v>0</v>
      </c>
      <c r="N82">
        <f>IF(COUNTIFS('United Data'!$A$3:$A$3390,N$1,'United Data'!$C$3:$C$3390,$A82,'United Data'!$B$3:$B$3390,"&lt;&gt;Off-street")&gt;0,1,0)</f>
        <v>0</v>
      </c>
      <c r="O82">
        <f>IF(COUNTIFS('United Data'!$A$3:$A$3390,O$1,'United Data'!$C$3:$C$3390,$A82,'United Data'!$B$3:$B$3390,"&lt;&gt;Off-street")&gt;0,1,0)</f>
        <v>0</v>
      </c>
      <c r="P82">
        <f>IF(COUNTIFS('United Data'!$A$3:$A$3390,P$1,'United Data'!$C$3:$C$3390,$A82,'United Data'!$B$3:$B$3390,"&lt;&gt;Off-street")&gt;0,1,0)</f>
        <v>0</v>
      </c>
      <c r="Q82">
        <f>IF(COUNTIFS('United Data'!$A$3:$A$3390,Q$1,'United Data'!$C$3:$C$3390,$A82,'United Data'!$B$3:$B$3390,"&lt;&gt;Off-street")&gt;0,1,0)</f>
        <v>0</v>
      </c>
      <c r="R82">
        <f>IF(COUNTIFS('United Data'!$A$3:$A$3390,R$1,'United Data'!$C$3:$C$3390,$A82,'United Data'!$B$3:$B$3390,"&lt;&gt;Off-street")&gt;0,1,0)</f>
        <v>0</v>
      </c>
      <c r="S82">
        <f t="shared" si="2"/>
        <v>1</v>
      </c>
      <c r="T82">
        <f t="shared" si="3"/>
        <v>1</v>
      </c>
    </row>
    <row r="83" spans="1:20" x14ac:dyDescent="0.2">
      <c r="A83" t="s">
        <v>131</v>
      </c>
      <c r="B83">
        <f>IF(COUNTIFS('United Data'!$A$3:$A$3390,B$1,'United Data'!$C$3:$C$3390,$A83,'United Data'!$B$3:$B$3390,"&lt;&gt;Off-street")&gt;0,1,0)</f>
        <v>0</v>
      </c>
      <c r="C83">
        <f>IF(COUNTIFS('United Data'!$A$3:$A$3390,C$1,'United Data'!$C$3:$C$3390,$A83,'United Data'!$B$3:$B$3390,"&lt;&gt;Off-street")&gt;0,1,0)</f>
        <v>0</v>
      </c>
      <c r="D83">
        <f>IF(COUNTIFS('United Data'!$A$3:$A$3390,D$1,'United Data'!$C$3:$C$3390,$A83,'United Data'!$B$3:$B$3390,"&lt;&gt;Off-street")&gt;0,1,0)</f>
        <v>0</v>
      </c>
      <c r="E83">
        <f>IF(COUNTIFS('United Data'!$A$3:$A$3390,E$1,'United Data'!$C$3:$C$3390,$A83,'United Data'!$B$3:$B$3390,"&lt;&gt;Off-street")&gt;0,1,0)</f>
        <v>0</v>
      </c>
      <c r="F83">
        <f>IF(COUNTIFS('United Data'!$A$3:$A$3390,F$1,'United Data'!$C$3:$C$3390,$A83,'United Data'!$B$3:$B$3390,"&lt;&gt;Off-street")&gt;0,1,0)</f>
        <v>0</v>
      </c>
      <c r="G83">
        <f>IF(COUNTIFS('United Data'!$A$3:$A$3390,G$1,'United Data'!$C$3:$C$3390,$A83,'United Data'!$B$3:$B$3390,"&lt;&gt;Off-street")&gt;0,1,0)</f>
        <v>0</v>
      </c>
      <c r="H83">
        <f>IF(COUNTIFS('United Data'!$A$3:$A$3390,H$1,'United Data'!$C$3:$C$3390,$A83,'United Data'!$B$3:$B$3390,"&lt;&gt;Off-street")&gt;0,1,0)</f>
        <v>0</v>
      </c>
      <c r="I83">
        <f>IF(COUNTIFS('United Data'!$A$3:$A$3390,I$1,'United Data'!$C$3:$C$3390,$A83,'United Data'!$B$3:$B$3390,"&lt;&gt;Off-street")&gt;0,1,0)</f>
        <v>0</v>
      </c>
      <c r="J83">
        <f>IF(COUNTIFS('United Data'!$A$3:$A$3390,J$1,'United Data'!$C$3:$C$3390,$A83,'United Data'!$B$3:$B$3390,"&lt;&gt;Off-street")&gt;0,1,0)</f>
        <v>0</v>
      </c>
      <c r="K83">
        <f>IF(COUNTIFS('United Data'!$A$3:$A$3390,K$1,'United Data'!$C$3:$C$3390,$A83,'United Data'!$B$3:$B$3390,"&lt;&gt;Off-street")&gt;0,1,0)</f>
        <v>0</v>
      </c>
      <c r="L83">
        <f>IF(COUNTIFS('United Data'!$A$3:$A$3390,L$1,'United Data'!$C$3:$C$3390,$A83,'United Data'!$B$3:$B$3390,"&lt;&gt;Off-street")&gt;0,1,0)</f>
        <v>0</v>
      </c>
      <c r="M83">
        <f>IF(COUNTIFS('United Data'!$A$3:$A$3390,M$1,'United Data'!$C$3:$C$3390,$A83,'United Data'!$B$3:$B$3390,"&lt;&gt;Off-street")&gt;0,1,0)</f>
        <v>1</v>
      </c>
      <c r="N83">
        <f>IF(COUNTIFS('United Data'!$A$3:$A$3390,N$1,'United Data'!$C$3:$C$3390,$A83,'United Data'!$B$3:$B$3390,"&lt;&gt;Off-street")&gt;0,1,0)</f>
        <v>1</v>
      </c>
      <c r="O83">
        <f>IF(COUNTIFS('United Data'!$A$3:$A$3390,O$1,'United Data'!$C$3:$C$3390,$A83,'United Data'!$B$3:$B$3390,"&lt;&gt;Off-street")&gt;0,1,0)</f>
        <v>1</v>
      </c>
      <c r="P83">
        <f>IF(COUNTIFS('United Data'!$A$3:$A$3390,P$1,'United Data'!$C$3:$C$3390,$A83,'United Data'!$B$3:$B$3390,"&lt;&gt;Off-street")&gt;0,1,0)</f>
        <v>1</v>
      </c>
      <c r="Q83">
        <f>IF(COUNTIFS('United Data'!$A$3:$A$3390,Q$1,'United Data'!$C$3:$C$3390,$A83,'United Data'!$B$3:$B$3390,"&lt;&gt;Off-street")&gt;0,1,0)</f>
        <v>1</v>
      </c>
      <c r="R83">
        <f>IF(COUNTIFS('United Data'!$A$3:$A$3390,R$1,'United Data'!$C$3:$C$3390,$A83,'United Data'!$B$3:$B$3390,"&lt;&gt;Off-street")&gt;0,1,0)</f>
        <v>0</v>
      </c>
      <c r="S83">
        <f t="shared" si="2"/>
        <v>5</v>
      </c>
      <c r="T83">
        <f t="shared" si="3"/>
        <v>1</v>
      </c>
    </row>
    <row r="84" spans="1:20" x14ac:dyDescent="0.2">
      <c r="A84" t="s">
        <v>132</v>
      </c>
      <c r="B84">
        <f>IF(COUNTIFS('United Data'!$A$3:$A$3390,B$1,'United Data'!$C$3:$C$3390,$A84,'United Data'!$B$3:$B$3390,"&lt;&gt;Off-street")&gt;0,1,0)</f>
        <v>0</v>
      </c>
      <c r="C84">
        <f>IF(COUNTIFS('United Data'!$A$3:$A$3390,C$1,'United Data'!$C$3:$C$3390,$A84,'United Data'!$B$3:$B$3390,"&lt;&gt;Off-street")&gt;0,1,0)</f>
        <v>0</v>
      </c>
      <c r="D84">
        <f>IF(COUNTIFS('United Data'!$A$3:$A$3390,D$1,'United Data'!$C$3:$C$3390,$A84,'United Data'!$B$3:$B$3390,"&lt;&gt;Off-street")&gt;0,1,0)</f>
        <v>0</v>
      </c>
      <c r="E84">
        <f>IF(COUNTIFS('United Data'!$A$3:$A$3390,E$1,'United Data'!$C$3:$C$3390,$A84,'United Data'!$B$3:$B$3390,"&lt;&gt;Off-street")&gt;0,1,0)</f>
        <v>0</v>
      </c>
      <c r="F84">
        <f>IF(COUNTIFS('United Data'!$A$3:$A$3390,F$1,'United Data'!$C$3:$C$3390,$A84,'United Data'!$B$3:$B$3390,"&lt;&gt;Off-street")&gt;0,1,0)</f>
        <v>0</v>
      </c>
      <c r="G84">
        <f>IF(COUNTIFS('United Data'!$A$3:$A$3390,G$1,'United Data'!$C$3:$C$3390,$A84,'United Data'!$B$3:$B$3390,"&lt;&gt;Off-street")&gt;0,1,0)</f>
        <v>0</v>
      </c>
      <c r="H84">
        <f>IF(COUNTIFS('United Data'!$A$3:$A$3390,H$1,'United Data'!$C$3:$C$3390,$A84,'United Data'!$B$3:$B$3390,"&lt;&gt;Off-street")&gt;0,1,0)</f>
        <v>0</v>
      </c>
      <c r="I84">
        <f>IF(COUNTIFS('United Data'!$A$3:$A$3390,I$1,'United Data'!$C$3:$C$3390,$A84,'United Data'!$B$3:$B$3390,"&lt;&gt;Off-street")&gt;0,1,0)</f>
        <v>0</v>
      </c>
      <c r="J84">
        <f>IF(COUNTIFS('United Data'!$A$3:$A$3390,J$1,'United Data'!$C$3:$C$3390,$A84,'United Data'!$B$3:$B$3390,"&lt;&gt;Off-street")&gt;0,1,0)</f>
        <v>0</v>
      </c>
      <c r="K84">
        <f>IF(COUNTIFS('United Data'!$A$3:$A$3390,K$1,'United Data'!$C$3:$C$3390,$A84,'United Data'!$B$3:$B$3390,"&lt;&gt;Off-street")&gt;0,1,0)</f>
        <v>0</v>
      </c>
      <c r="L84">
        <f>IF(COUNTIFS('United Data'!$A$3:$A$3390,L$1,'United Data'!$C$3:$C$3390,$A84,'United Data'!$B$3:$B$3390,"&lt;&gt;Off-street")&gt;0,1,0)</f>
        <v>0</v>
      </c>
      <c r="M84">
        <f>IF(COUNTIFS('United Data'!$A$3:$A$3390,M$1,'United Data'!$C$3:$C$3390,$A84,'United Data'!$B$3:$B$3390,"&lt;&gt;Off-street")&gt;0,1,0)</f>
        <v>0</v>
      </c>
      <c r="N84">
        <f>IF(COUNTIFS('United Data'!$A$3:$A$3390,N$1,'United Data'!$C$3:$C$3390,$A84,'United Data'!$B$3:$B$3390,"&lt;&gt;Off-street")&gt;0,1,0)</f>
        <v>1</v>
      </c>
      <c r="O84">
        <f>IF(COUNTIFS('United Data'!$A$3:$A$3390,O$1,'United Data'!$C$3:$C$3390,$A84,'United Data'!$B$3:$B$3390,"&lt;&gt;Off-street")&gt;0,1,0)</f>
        <v>0</v>
      </c>
      <c r="P84">
        <f>IF(COUNTIFS('United Data'!$A$3:$A$3390,P$1,'United Data'!$C$3:$C$3390,$A84,'United Data'!$B$3:$B$3390,"&lt;&gt;Off-street")&gt;0,1,0)</f>
        <v>0</v>
      </c>
      <c r="Q84">
        <f>IF(COUNTIFS('United Data'!$A$3:$A$3390,Q$1,'United Data'!$C$3:$C$3390,$A84,'United Data'!$B$3:$B$3390,"&lt;&gt;Off-street")&gt;0,1,0)</f>
        <v>0</v>
      </c>
      <c r="R84">
        <f>IF(COUNTIFS('United Data'!$A$3:$A$3390,R$1,'United Data'!$C$3:$C$3390,$A84,'United Data'!$B$3:$B$3390,"&lt;&gt;Off-street")&gt;0,1,0)</f>
        <v>0</v>
      </c>
      <c r="S84">
        <f t="shared" si="2"/>
        <v>1</v>
      </c>
      <c r="T84">
        <f t="shared" si="3"/>
        <v>1</v>
      </c>
    </row>
    <row r="85" spans="1:20" x14ac:dyDescent="0.2">
      <c r="A85" t="s">
        <v>133</v>
      </c>
      <c r="B85">
        <f>IF(COUNTIFS('United Data'!$A$3:$A$3390,B$1,'United Data'!$C$3:$C$3390,$A85,'United Data'!$B$3:$B$3390,"&lt;&gt;Off-street")&gt;0,1,0)</f>
        <v>0</v>
      </c>
      <c r="C85">
        <f>IF(COUNTIFS('United Data'!$A$3:$A$3390,C$1,'United Data'!$C$3:$C$3390,$A85,'United Data'!$B$3:$B$3390,"&lt;&gt;Off-street")&gt;0,1,0)</f>
        <v>0</v>
      </c>
      <c r="D85">
        <f>IF(COUNTIFS('United Data'!$A$3:$A$3390,D$1,'United Data'!$C$3:$C$3390,$A85,'United Data'!$B$3:$B$3390,"&lt;&gt;Off-street")&gt;0,1,0)</f>
        <v>0</v>
      </c>
      <c r="E85">
        <f>IF(COUNTIFS('United Data'!$A$3:$A$3390,E$1,'United Data'!$C$3:$C$3390,$A85,'United Data'!$B$3:$B$3390,"&lt;&gt;Off-street")&gt;0,1,0)</f>
        <v>0</v>
      </c>
      <c r="F85">
        <f>IF(COUNTIFS('United Data'!$A$3:$A$3390,F$1,'United Data'!$C$3:$C$3390,$A85,'United Data'!$B$3:$B$3390,"&lt;&gt;Off-street")&gt;0,1,0)</f>
        <v>0</v>
      </c>
      <c r="G85">
        <f>IF(COUNTIFS('United Data'!$A$3:$A$3390,G$1,'United Data'!$C$3:$C$3390,$A85,'United Data'!$B$3:$B$3390,"&lt;&gt;Off-street")&gt;0,1,0)</f>
        <v>0</v>
      </c>
      <c r="H85">
        <f>IF(COUNTIFS('United Data'!$A$3:$A$3390,H$1,'United Data'!$C$3:$C$3390,$A85,'United Data'!$B$3:$B$3390,"&lt;&gt;Off-street")&gt;0,1,0)</f>
        <v>0</v>
      </c>
      <c r="I85">
        <f>IF(COUNTIFS('United Data'!$A$3:$A$3390,I$1,'United Data'!$C$3:$C$3390,$A85,'United Data'!$B$3:$B$3390,"&lt;&gt;Off-street")&gt;0,1,0)</f>
        <v>0</v>
      </c>
      <c r="J85">
        <f>IF(COUNTIFS('United Data'!$A$3:$A$3390,J$1,'United Data'!$C$3:$C$3390,$A85,'United Data'!$B$3:$B$3390,"&lt;&gt;Off-street")&gt;0,1,0)</f>
        <v>0</v>
      </c>
      <c r="K85">
        <f>IF(COUNTIFS('United Data'!$A$3:$A$3390,K$1,'United Data'!$C$3:$C$3390,$A85,'United Data'!$B$3:$B$3390,"&lt;&gt;Off-street")&gt;0,1,0)</f>
        <v>0</v>
      </c>
      <c r="L85">
        <f>IF(COUNTIFS('United Data'!$A$3:$A$3390,L$1,'United Data'!$C$3:$C$3390,$A85,'United Data'!$B$3:$B$3390,"&lt;&gt;Off-street")&gt;0,1,0)</f>
        <v>0</v>
      </c>
      <c r="M85">
        <f>IF(COUNTIFS('United Data'!$A$3:$A$3390,M$1,'United Data'!$C$3:$C$3390,$A85,'United Data'!$B$3:$B$3390,"&lt;&gt;Off-street")&gt;0,1,0)</f>
        <v>0</v>
      </c>
      <c r="N85">
        <f>IF(COUNTIFS('United Data'!$A$3:$A$3390,N$1,'United Data'!$C$3:$C$3390,$A85,'United Data'!$B$3:$B$3390,"&lt;&gt;Off-street")&gt;0,1,0)</f>
        <v>0</v>
      </c>
      <c r="O85">
        <f>IF(COUNTIFS('United Data'!$A$3:$A$3390,O$1,'United Data'!$C$3:$C$3390,$A85,'United Data'!$B$3:$B$3390,"&lt;&gt;Off-street")&gt;0,1,0)</f>
        <v>1</v>
      </c>
      <c r="P85">
        <f>IF(COUNTIFS('United Data'!$A$3:$A$3390,P$1,'United Data'!$C$3:$C$3390,$A85,'United Data'!$B$3:$B$3390,"&lt;&gt;Off-street")&gt;0,1,0)</f>
        <v>0</v>
      </c>
      <c r="Q85">
        <f>IF(COUNTIFS('United Data'!$A$3:$A$3390,Q$1,'United Data'!$C$3:$C$3390,$A85,'United Data'!$B$3:$B$3390,"&lt;&gt;Off-street")&gt;0,1,0)</f>
        <v>0</v>
      </c>
      <c r="R85">
        <f>IF(COUNTIFS('United Data'!$A$3:$A$3390,R$1,'United Data'!$C$3:$C$3390,$A85,'United Data'!$B$3:$B$3390,"&lt;&gt;Off-street")&gt;0,1,0)</f>
        <v>0</v>
      </c>
      <c r="S85">
        <f t="shared" si="2"/>
        <v>1</v>
      </c>
      <c r="T85">
        <f t="shared" si="3"/>
        <v>1</v>
      </c>
    </row>
    <row r="86" spans="1:20" x14ac:dyDescent="0.2">
      <c r="A86" t="s">
        <v>134</v>
      </c>
      <c r="B86">
        <f>IF(COUNTIFS('United Data'!$A$3:$A$3390,B$1,'United Data'!$C$3:$C$3390,$A86,'United Data'!$B$3:$B$3390,"&lt;&gt;Off-street")&gt;0,1,0)</f>
        <v>0</v>
      </c>
      <c r="C86">
        <f>IF(COUNTIFS('United Data'!$A$3:$A$3390,C$1,'United Data'!$C$3:$C$3390,$A86,'United Data'!$B$3:$B$3390,"&lt;&gt;Off-street")&gt;0,1,0)</f>
        <v>0</v>
      </c>
      <c r="D86">
        <f>IF(COUNTIFS('United Data'!$A$3:$A$3390,D$1,'United Data'!$C$3:$C$3390,$A86,'United Data'!$B$3:$B$3390,"&lt;&gt;Off-street")&gt;0,1,0)</f>
        <v>0</v>
      </c>
      <c r="E86">
        <f>IF(COUNTIFS('United Data'!$A$3:$A$3390,E$1,'United Data'!$C$3:$C$3390,$A86,'United Data'!$B$3:$B$3390,"&lt;&gt;Off-street")&gt;0,1,0)</f>
        <v>0</v>
      </c>
      <c r="F86">
        <f>IF(COUNTIFS('United Data'!$A$3:$A$3390,F$1,'United Data'!$C$3:$C$3390,$A86,'United Data'!$B$3:$B$3390,"&lt;&gt;Off-street")&gt;0,1,0)</f>
        <v>0</v>
      </c>
      <c r="G86">
        <f>IF(COUNTIFS('United Data'!$A$3:$A$3390,G$1,'United Data'!$C$3:$C$3390,$A86,'United Data'!$B$3:$B$3390,"&lt;&gt;Off-street")&gt;0,1,0)</f>
        <v>0</v>
      </c>
      <c r="H86">
        <f>IF(COUNTIFS('United Data'!$A$3:$A$3390,H$1,'United Data'!$C$3:$C$3390,$A86,'United Data'!$B$3:$B$3390,"&lt;&gt;Off-street")&gt;0,1,0)</f>
        <v>0</v>
      </c>
      <c r="I86">
        <f>IF(COUNTIFS('United Data'!$A$3:$A$3390,I$1,'United Data'!$C$3:$C$3390,$A86,'United Data'!$B$3:$B$3390,"&lt;&gt;Off-street")&gt;0,1,0)</f>
        <v>0</v>
      </c>
      <c r="J86">
        <f>IF(COUNTIFS('United Data'!$A$3:$A$3390,J$1,'United Data'!$C$3:$C$3390,$A86,'United Data'!$B$3:$B$3390,"&lt;&gt;Off-street")&gt;0,1,0)</f>
        <v>0</v>
      </c>
      <c r="K86">
        <f>IF(COUNTIFS('United Data'!$A$3:$A$3390,K$1,'United Data'!$C$3:$C$3390,$A86,'United Data'!$B$3:$B$3390,"&lt;&gt;Off-street")&gt;0,1,0)</f>
        <v>0</v>
      </c>
      <c r="L86">
        <f>IF(COUNTIFS('United Data'!$A$3:$A$3390,L$1,'United Data'!$C$3:$C$3390,$A86,'United Data'!$B$3:$B$3390,"&lt;&gt;Off-street")&gt;0,1,0)</f>
        <v>0</v>
      </c>
      <c r="M86">
        <f>IF(COUNTIFS('United Data'!$A$3:$A$3390,M$1,'United Data'!$C$3:$C$3390,$A86,'United Data'!$B$3:$B$3390,"&lt;&gt;Off-street")&gt;0,1,0)</f>
        <v>0</v>
      </c>
      <c r="N86">
        <f>IF(COUNTIFS('United Data'!$A$3:$A$3390,N$1,'United Data'!$C$3:$C$3390,$A86,'United Data'!$B$3:$B$3390,"&lt;&gt;Off-street")&gt;0,1,0)</f>
        <v>0</v>
      </c>
      <c r="O86">
        <f>IF(COUNTIFS('United Data'!$A$3:$A$3390,O$1,'United Data'!$C$3:$C$3390,$A86,'United Data'!$B$3:$B$3390,"&lt;&gt;Off-street")&gt;0,1,0)</f>
        <v>1</v>
      </c>
      <c r="P86">
        <f>IF(COUNTIFS('United Data'!$A$3:$A$3390,P$1,'United Data'!$C$3:$C$3390,$A86,'United Data'!$B$3:$B$3390,"&lt;&gt;Off-street")&gt;0,1,0)</f>
        <v>0</v>
      </c>
      <c r="Q86">
        <f>IF(COUNTIFS('United Data'!$A$3:$A$3390,Q$1,'United Data'!$C$3:$C$3390,$A86,'United Data'!$B$3:$B$3390,"&lt;&gt;Off-street")&gt;0,1,0)</f>
        <v>0</v>
      </c>
      <c r="R86">
        <f>IF(COUNTIFS('United Data'!$A$3:$A$3390,R$1,'United Data'!$C$3:$C$3390,$A86,'United Data'!$B$3:$B$3390,"&lt;&gt;Off-street")&gt;0,1,0)</f>
        <v>0</v>
      </c>
      <c r="S86">
        <f t="shared" si="2"/>
        <v>1</v>
      </c>
      <c r="T86">
        <f t="shared" si="3"/>
        <v>1</v>
      </c>
    </row>
    <row r="87" spans="1:20" x14ac:dyDescent="0.2">
      <c r="A87" t="s">
        <v>135</v>
      </c>
      <c r="B87">
        <f>IF(COUNTIFS('United Data'!$A$3:$A$3390,B$1,'United Data'!$C$3:$C$3390,$A87,'United Data'!$B$3:$B$3390,"&lt;&gt;Off-street")&gt;0,1,0)</f>
        <v>0</v>
      </c>
      <c r="C87">
        <f>IF(COUNTIFS('United Data'!$A$3:$A$3390,C$1,'United Data'!$C$3:$C$3390,$A87,'United Data'!$B$3:$B$3390,"&lt;&gt;Off-street")&gt;0,1,0)</f>
        <v>0</v>
      </c>
      <c r="D87">
        <f>IF(COUNTIFS('United Data'!$A$3:$A$3390,D$1,'United Data'!$C$3:$C$3390,$A87,'United Data'!$B$3:$B$3390,"&lt;&gt;Off-street")&gt;0,1,0)</f>
        <v>0</v>
      </c>
      <c r="E87">
        <f>IF(COUNTIFS('United Data'!$A$3:$A$3390,E$1,'United Data'!$C$3:$C$3390,$A87,'United Data'!$B$3:$B$3390,"&lt;&gt;Off-street")&gt;0,1,0)</f>
        <v>0</v>
      </c>
      <c r="F87">
        <f>IF(COUNTIFS('United Data'!$A$3:$A$3390,F$1,'United Data'!$C$3:$C$3390,$A87,'United Data'!$B$3:$B$3390,"&lt;&gt;Off-street")&gt;0,1,0)</f>
        <v>0</v>
      </c>
      <c r="G87">
        <f>IF(COUNTIFS('United Data'!$A$3:$A$3390,G$1,'United Data'!$C$3:$C$3390,$A87,'United Data'!$B$3:$B$3390,"&lt;&gt;Off-street")&gt;0,1,0)</f>
        <v>0</v>
      </c>
      <c r="H87">
        <f>IF(COUNTIFS('United Data'!$A$3:$A$3390,H$1,'United Data'!$C$3:$C$3390,$A87,'United Data'!$B$3:$B$3390,"&lt;&gt;Off-street")&gt;0,1,0)</f>
        <v>0</v>
      </c>
      <c r="I87">
        <f>IF(COUNTIFS('United Data'!$A$3:$A$3390,I$1,'United Data'!$C$3:$C$3390,$A87,'United Data'!$B$3:$B$3390,"&lt;&gt;Off-street")&gt;0,1,0)</f>
        <v>0</v>
      </c>
      <c r="J87">
        <f>IF(COUNTIFS('United Data'!$A$3:$A$3390,J$1,'United Data'!$C$3:$C$3390,$A87,'United Data'!$B$3:$B$3390,"&lt;&gt;Off-street")&gt;0,1,0)</f>
        <v>0</v>
      </c>
      <c r="K87">
        <f>IF(COUNTIFS('United Data'!$A$3:$A$3390,K$1,'United Data'!$C$3:$C$3390,$A87,'United Data'!$B$3:$B$3390,"&lt;&gt;Off-street")&gt;0,1,0)</f>
        <v>0</v>
      </c>
      <c r="L87">
        <f>IF(COUNTIFS('United Data'!$A$3:$A$3390,L$1,'United Data'!$C$3:$C$3390,$A87,'United Data'!$B$3:$B$3390,"&lt;&gt;Off-street")&gt;0,1,0)</f>
        <v>0</v>
      </c>
      <c r="M87">
        <f>IF(COUNTIFS('United Data'!$A$3:$A$3390,M$1,'United Data'!$C$3:$C$3390,$A87,'United Data'!$B$3:$B$3390,"&lt;&gt;Off-street")&gt;0,1,0)</f>
        <v>0</v>
      </c>
      <c r="N87">
        <f>IF(COUNTIFS('United Data'!$A$3:$A$3390,N$1,'United Data'!$C$3:$C$3390,$A87,'United Data'!$B$3:$B$3390,"&lt;&gt;Off-street")&gt;0,1,0)</f>
        <v>0</v>
      </c>
      <c r="O87">
        <f>IF(COUNTIFS('United Data'!$A$3:$A$3390,O$1,'United Data'!$C$3:$C$3390,$A87,'United Data'!$B$3:$B$3390,"&lt;&gt;Off-street")&gt;0,1,0)</f>
        <v>1</v>
      </c>
      <c r="P87">
        <f>IF(COUNTIFS('United Data'!$A$3:$A$3390,P$1,'United Data'!$C$3:$C$3390,$A87,'United Data'!$B$3:$B$3390,"&lt;&gt;Off-street")&gt;0,1,0)</f>
        <v>0</v>
      </c>
      <c r="Q87">
        <f>IF(COUNTIFS('United Data'!$A$3:$A$3390,Q$1,'United Data'!$C$3:$C$3390,$A87,'United Data'!$B$3:$B$3390,"&lt;&gt;Off-street")&gt;0,1,0)</f>
        <v>0</v>
      </c>
      <c r="R87">
        <f>IF(COUNTIFS('United Data'!$A$3:$A$3390,R$1,'United Data'!$C$3:$C$3390,$A87,'United Data'!$B$3:$B$3390,"&lt;&gt;Off-street")&gt;0,1,0)</f>
        <v>0</v>
      </c>
      <c r="S87">
        <f t="shared" si="2"/>
        <v>1</v>
      </c>
      <c r="T87">
        <f t="shared" si="3"/>
        <v>1</v>
      </c>
    </row>
    <row r="88" spans="1:20" x14ac:dyDescent="0.2">
      <c r="A88" t="s">
        <v>136</v>
      </c>
      <c r="B88">
        <f>IF(COUNTIFS('United Data'!$A$3:$A$3390,B$1,'United Data'!$C$3:$C$3390,$A88,'United Data'!$B$3:$B$3390,"&lt;&gt;Off-street")&gt;0,1,0)</f>
        <v>0</v>
      </c>
      <c r="C88">
        <f>IF(COUNTIFS('United Data'!$A$3:$A$3390,C$1,'United Data'!$C$3:$C$3390,$A88,'United Data'!$B$3:$B$3390,"&lt;&gt;Off-street")&gt;0,1,0)</f>
        <v>0</v>
      </c>
      <c r="D88">
        <f>IF(COUNTIFS('United Data'!$A$3:$A$3390,D$1,'United Data'!$C$3:$C$3390,$A88,'United Data'!$B$3:$B$3390,"&lt;&gt;Off-street")&gt;0,1,0)</f>
        <v>0</v>
      </c>
      <c r="E88">
        <f>IF(COUNTIFS('United Data'!$A$3:$A$3390,E$1,'United Data'!$C$3:$C$3390,$A88,'United Data'!$B$3:$B$3390,"&lt;&gt;Off-street")&gt;0,1,0)</f>
        <v>0</v>
      </c>
      <c r="F88">
        <f>IF(COUNTIFS('United Data'!$A$3:$A$3390,F$1,'United Data'!$C$3:$C$3390,$A88,'United Data'!$B$3:$B$3390,"&lt;&gt;Off-street")&gt;0,1,0)</f>
        <v>0</v>
      </c>
      <c r="G88">
        <f>IF(COUNTIFS('United Data'!$A$3:$A$3390,G$1,'United Data'!$C$3:$C$3390,$A88,'United Data'!$B$3:$B$3390,"&lt;&gt;Off-street")&gt;0,1,0)</f>
        <v>0</v>
      </c>
      <c r="H88">
        <f>IF(COUNTIFS('United Data'!$A$3:$A$3390,H$1,'United Data'!$C$3:$C$3390,$A88,'United Data'!$B$3:$B$3390,"&lt;&gt;Off-street")&gt;0,1,0)</f>
        <v>0</v>
      </c>
      <c r="I88">
        <f>IF(COUNTIFS('United Data'!$A$3:$A$3390,I$1,'United Data'!$C$3:$C$3390,$A88,'United Data'!$B$3:$B$3390,"&lt;&gt;Off-street")&gt;0,1,0)</f>
        <v>0</v>
      </c>
      <c r="J88">
        <f>IF(COUNTIFS('United Data'!$A$3:$A$3390,J$1,'United Data'!$C$3:$C$3390,$A88,'United Data'!$B$3:$B$3390,"&lt;&gt;Off-street")&gt;0,1,0)</f>
        <v>0</v>
      </c>
      <c r="K88">
        <f>IF(COUNTIFS('United Data'!$A$3:$A$3390,K$1,'United Data'!$C$3:$C$3390,$A88,'United Data'!$B$3:$B$3390,"&lt;&gt;Off-street")&gt;0,1,0)</f>
        <v>0</v>
      </c>
      <c r="L88">
        <f>IF(COUNTIFS('United Data'!$A$3:$A$3390,L$1,'United Data'!$C$3:$C$3390,$A88,'United Data'!$B$3:$B$3390,"&lt;&gt;Off-street")&gt;0,1,0)</f>
        <v>0</v>
      </c>
      <c r="M88">
        <f>IF(COUNTIFS('United Data'!$A$3:$A$3390,M$1,'United Data'!$C$3:$C$3390,$A88,'United Data'!$B$3:$B$3390,"&lt;&gt;Off-street")&gt;0,1,0)</f>
        <v>0</v>
      </c>
      <c r="N88">
        <f>IF(COUNTIFS('United Data'!$A$3:$A$3390,N$1,'United Data'!$C$3:$C$3390,$A88,'United Data'!$B$3:$B$3390,"&lt;&gt;Off-street")&gt;0,1,0)</f>
        <v>0</v>
      </c>
      <c r="O88">
        <f>IF(COUNTIFS('United Data'!$A$3:$A$3390,O$1,'United Data'!$C$3:$C$3390,$A88,'United Data'!$B$3:$B$3390,"&lt;&gt;Off-street")&gt;0,1,0)</f>
        <v>0</v>
      </c>
      <c r="P88">
        <f>IF(COUNTIFS('United Data'!$A$3:$A$3390,P$1,'United Data'!$C$3:$C$3390,$A88,'United Data'!$B$3:$B$3390,"&lt;&gt;Off-street")&gt;0,1,0)</f>
        <v>1</v>
      </c>
      <c r="Q88">
        <f>IF(COUNTIFS('United Data'!$A$3:$A$3390,Q$1,'United Data'!$C$3:$C$3390,$A88,'United Data'!$B$3:$B$3390,"&lt;&gt;Off-street")&gt;0,1,0)</f>
        <v>1</v>
      </c>
      <c r="R88">
        <f>IF(COUNTIFS('United Data'!$A$3:$A$3390,R$1,'United Data'!$C$3:$C$3390,$A88,'United Data'!$B$3:$B$3390,"&lt;&gt;Off-street")&gt;0,1,0)</f>
        <v>0</v>
      </c>
      <c r="S88">
        <f t="shared" si="2"/>
        <v>2</v>
      </c>
      <c r="T88">
        <f t="shared" si="3"/>
        <v>1</v>
      </c>
    </row>
    <row r="89" spans="1:20" x14ac:dyDescent="0.2">
      <c r="A89" t="s">
        <v>137</v>
      </c>
      <c r="B89">
        <f>IF(COUNTIFS('United Data'!$A$3:$A$3390,B$1,'United Data'!$C$3:$C$3390,$A89,'United Data'!$B$3:$B$3390,"&lt;&gt;Off-street")&gt;0,1,0)</f>
        <v>0</v>
      </c>
      <c r="C89">
        <f>IF(COUNTIFS('United Data'!$A$3:$A$3390,C$1,'United Data'!$C$3:$C$3390,$A89,'United Data'!$B$3:$B$3390,"&lt;&gt;Off-street")&gt;0,1,0)</f>
        <v>0</v>
      </c>
      <c r="D89">
        <f>IF(COUNTIFS('United Data'!$A$3:$A$3390,D$1,'United Data'!$C$3:$C$3390,$A89,'United Data'!$B$3:$B$3390,"&lt;&gt;Off-street")&gt;0,1,0)</f>
        <v>0</v>
      </c>
      <c r="E89">
        <f>IF(COUNTIFS('United Data'!$A$3:$A$3390,E$1,'United Data'!$C$3:$C$3390,$A89,'United Data'!$B$3:$B$3390,"&lt;&gt;Off-street")&gt;0,1,0)</f>
        <v>0</v>
      </c>
      <c r="F89">
        <f>IF(COUNTIFS('United Data'!$A$3:$A$3390,F$1,'United Data'!$C$3:$C$3390,$A89,'United Data'!$B$3:$B$3390,"&lt;&gt;Off-street")&gt;0,1,0)</f>
        <v>0</v>
      </c>
      <c r="G89">
        <f>IF(COUNTIFS('United Data'!$A$3:$A$3390,G$1,'United Data'!$C$3:$C$3390,$A89,'United Data'!$B$3:$B$3390,"&lt;&gt;Off-street")&gt;0,1,0)</f>
        <v>0</v>
      </c>
      <c r="H89">
        <f>IF(COUNTIFS('United Data'!$A$3:$A$3390,H$1,'United Data'!$C$3:$C$3390,$A89,'United Data'!$B$3:$B$3390,"&lt;&gt;Off-street")&gt;0,1,0)</f>
        <v>0</v>
      </c>
      <c r="I89">
        <f>IF(COUNTIFS('United Data'!$A$3:$A$3390,I$1,'United Data'!$C$3:$C$3390,$A89,'United Data'!$B$3:$B$3390,"&lt;&gt;Off-street")&gt;0,1,0)</f>
        <v>0</v>
      </c>
      <c r="J89">
        <f>IF(COUNTIFS('United Data'!$A$3:$A$3390,J$1,'United Data'!$C$3:$C$3390,$A89,'United Data'!$B$3:$B$3390,"&lt;&gt;Off-street")&gt;0,1,0)</f>
        <v>0</v>
      </c>
      <c r="K89">
        <f>IF(COUNTIFS('United Data'!$A$3:$A$3390,K$1,'United Data'!$C$3:$C$3390,$A89,'United Data'!$B$3:$B$3390,"&lt;&gt;Off-street")&gt;0,1,0)</f>
        <v>0</v>
      </c>
      <c r="L89">
        <f>IF(COUNTIFS('United Data'!$A$3:$A$3390,L$1,'United Data'!$C$3:$C$3390,$A89,'United Data'!$B$3:$B$3390,"&lt;&gt;Off-street")&gt;0,1,0)</f>
        <v>0</v>
      </c>
      <c r="M89">
        <f>IF(COUNTIFS('United Data'!$A$3:$A$3390,M$1,'United Data'!$C$3:$C$3390,$A89,'United Data'!$B$3:$B$3390,"&lt;&gt;Off-street")&gt;0,1,0)</f>
        <v>0</v>
      </c>
      <c r="N89">
        <f>IF(COUNTIFS('United Data'!$A$3:$A$3390,N$1,'United Data'!$C$3:$C$3390,$A89,'United Data'!$B$3:$B$3390,"&lt;&gt;Off-street")&gt;0,1,0)</f>
        <v>0</v>
      </c>
      <c r="O89">
        <f>IF(COUNTIFS('United Data'!$A$3:$A$3390,O$1,'United Data'!$C$3:$C$3390,$A89,'United Data'!$B$3:$B$3390,"&lt;&gt;Off-street")&gt;0,1,0)</f>
        <v>0</v>
      </c>
      <c r="P89">
        <f>IF(COUNTIFS('United Data'!$A$3:$A$3390,P$1,'United Data'!$C$3:$C$3390,$A89,'United Data'!$B$3:$B$3390,"&lt;&gt;Off-street")&gt;0,1,0)</f>
        <v>0</v>
      </c>
      <c r="Q89">
        <f>IF(COUNTIFS('United Data'!$A$3:$A$3390,Q$1,'United Data'!$C$3:$C$3390,$A89,'United Data'!$B$3:$B$3390,"&lt;&gt;Off-street")&gt;0,1,0)</f>
        <v>1</v>
      </c>
      <c r="R89">
        <f>IF(COUNTIFS('United Data'!$A$3:$A$3390,R$1,'United Data'!$C$3:$C$3390,$A89,'United Data'!$B$3:$B$3390,"&lt;&gt;Off-street")&gt;0,1,0)</f>
        <v>0</v>
      </c>
      <c r="S89">
        <f t="shared" si="2"/>
        <v>1</v>
      </c>
      <c r="T89">
        <f t="shared" si="3"/>
        <v>1</v>
      </c>
    </row>
    <row r="90" spans="1:20" x14ac:dyDescent="0.2">
      <c r="A90" t="s">
        <v>138</v>
      </c>
      <c r="B90">
        <f>IF(COUNTIFS('United Data'!$A$3:$A$3390,B$1,'United Data'!$C$3:$C$3390,$A90,'United Data'!$B$3:$B$3390,"&lt;&gt;Off-street")&gt;0,1,0)</f>
        <v>0</v>
      </c>
      <c r="C90">
        <f>IF(COUNTIFS('United Data'!$A$3:$A$3390,C$1,'United Data'!$C$3:$C$3390,$A90,'United Data'!$B$3:$B$3390,"&lt;&gt;Off-street")&gt;0,1,0)</f>
        <v>0</v>
      </c>
      <c r="D90">
        <f>IF(COUNTIFS('United Data'!$A$3:$A$3390,D$1,'United Data'!$C$3:$C$3390,$A90,'United Data'!$B$3:$B$3390,"&lt;&gt;Off-street")&gt;0,1,0)</f>
        <v>0</v>
      </c>
      <c r="E90">
        <f>IF(COUNTIFS('United Data'!$A$3:$A$3390,E$1,'United Data'!$C$3:$C$3390,$A90,'United Data'!$B$3:$B$3390,"&lt;&gt;Off-street")&gt;0,1,0)</f>
        <v>0</v>
      </c>
      <c r="F90">
        <f>IF(COUNTIFS('United Data'!$A$3:$A$3390,F$1,'United Data'!$C$3:$C$3390,$A90,'United Data'!$B$3:$B$3390,"&lt;&gt;Off-street")&gt;0,1,0)</f>
        <v>0</v>
      </c>
      <c r="G90">
        <f>IF(COUNTIFS('United Data'!$A$3:$A$3390,G$1,'United Data'!$C$3:$C$3390,$A90,'United Data'!$B$3:$B$3390,"&lt;&gt;Off-street")&gt;0,1,0)</f>
        <v>0</v>
      </c>
      <c r="H90">
        <f>IF(COUNTIFS('United Data'!$A$3:$A$3390,H$1,'United Data'!$C$3:$C$3390,$A90,'United Data'!$B$3:$B$3390,"&lt;&gt;Off-street")&gt;0,1,0)</f>
        <v>0</v>
      </c>
      <c r="I90">
        <f>IF(COUNTIFS('United Data'!$A$3:$A$3390,I$1,'United Data'!$C$3:$C$3390,$A90,'United Data'!$B$3:$B$3390,"&lt;&gt;Off-street")&gt;0,1,0)</f>
        <v>0</v>
      </c>
      <c r="J90">
        <f>IF(COUNTIFS('United Data'!$A$3:$A$3390,J$1,'United Data'!$C$3:$C$3390,$A90,'United Data'!$B$3:$B$3390,"&lt;&gt;Off-street")&gt;0,1,0)</f>
        <v>0</v>
      </c>
      <c r="K90">
        <f>IF(COUNTIFS('United Data'!$A$3:$A$3390,K$1,'United Data'!$C$3:$C$3390,$A90,'United Data'!$B$3:$B$3390,"&lt;&gt;Off-street")&gt;0,1,0)</f>
        <v>0</v>
      </c>
      <c r="L90">
        <f>IF(COUNTIFS('United Data'!$A$3:$A$3390,L$1,'United Data'!$C$3:$C$3390,$A90,'United Data'!$B$3:$B$3390,"&lt;&gt;Off-street")&gt;0,1,0)</f>
        <v>0</v>
      </c>
      <c r="M90">
        <f>IF(COUNTIFS('United Data'!$A$3:$A$3390,M$1,'United Data'!$C$3:$C$3390,$A90,'United Data'!$B$3:$B$3390,"&lt;&gt;Off-street")&gt;0,1,0)</f>
        <v>0</v>
      </c>
      <c r="N90">
        <f>IF(COUNTIFS('United Data'!$A$3:$A$3390,N$1,'United Data'!$C$3:$C$3390,$A90,'United Data'!$B$3:$B$3390,"&lt;&gt;Off-street")&gt;0,1,0)</f>
        <v>0</v>
      </c>
      <c r="O90">
        <f>IF(COUNTIFS('United Data'!$A$3:$A$3390,O$1,'United Data'!$C$3:$C$3390,$A90,'United Data'!$B$3:$B$3390,"&lt;&gt;Off-street")&gt;0,1,0)</f>
        <v>0</v>
      </c>
      <c r="P90">
        <f>IF(COUNTIFS('United Data'!$A$3:$A$3390,P$1,'United Data'!$C$3:$C$3390,$A90,'United Data'!$B$3:$B$3390,"&lt;&gt;Off-street")&gt;0,1,0)</f>
        <v>0</v>
      </c>
      <c r="Q90">
        <f>IF(COUNTIFS('United Data'!$A$3:$A$3390,Q$1,'United Data'!$C$3:$C$3390,$A90,'United Data'!$B$3:$B$3390,"&lt;&gt;Off-street")&gt;0,1,0)</f>
        <v>1</v>
      </c>
      <c r="R90">
        <f>IF(COUNTIFS('United Data'!$A$3:$A$3390,R$1,'United Data'!$C$3:$C$3390,$A90,'United Data'!$B$3:$B$3390,"&lt;&gt;Off-street")&gt;0,1,0)</f>
        <v>0</v>
      </c>
      <c r="S90">
        <f t="shared" si="2"/>
        <v>1</v>
      </c>
      <c r="T90">
        <f t="shared" si="3"/>
        <v>1</v>
      </c>
    </row>
    <row r="91" spans="1:20" x14ac:dyDescent="0.2">
      <c r="A91" t="s">
        <v>139</v>
      </c>
      <c r="B91">
        <f>IF(COUNTIFS('United Data'!$A$3:$A$3390,B$1,'United Data'!$C$3:$C$3390,$A91,'United Data'!$B$3:$B$3390,"&lt;&gt;Off-street")&gt;0,1,0)</f>
        <v>0</v>
      </c>
      <c r="C91">
        <f>IF(COUNTIFS('United Data'!$A$3:$A$3390,C$1,'United Data'!$C$3:$C$3390,$A91,'United Data'!$B$3:$B$3390,"&lt;&gt;Off-street")&gt;0,1,0)</f>
        <v>0</v>
      </c>
      <c r="D91">
        <f>IF(COUNTIFS('United Data'!$A$3:$A$3390,D$1,'United Data'!$C$3:$C$3390,$A91,'United Data'!$B$3:$B$3390,"&lt;&gt;Off-street")&gt;0,1,0)</f>
        <v>0</v>
      </c>
      <c r="E91">
        <f>IF(COUNTIFS('United Data'!$A$3:$A$3390,E$1,'United Data'!$C$3:$C$3390,$A91,'United Data'!$B$3:$B$3390,"&lt;&gt;Off-street")&gt;0,1,0)</f>
        <v>0</v>
      </c>
      <c r="F91">
        <f>IF(COUNTIFS('United Data'!$A$3:$A$3390,F$1,'United Data'!$C$3:$C$3390,$A91,'United Data'!$B$3:$B$3390,"&lt;&gt;Off-street")&gt;0,1,0)</f>
        <v>0</v>
      </c>
      <c r="G91">
        <f>IF(COUNTIFS('United Data'!$A$3:$A$3390,G$1,'United Data'!$C$3:$C$3390,$A91,'United Data'!$B$3:$B$3390,"&lt;&gt;Off-street")&gt;0,1,0)</f>
        <v>0</v>
      </c>
      <c r="H91">
        <f>IF(COUNTIFS('United Data'!$A$3:$A$3390,H$1,'United Data'!$C$3:$C$3390,$A91,'United Data'!$B$3:$B$3390,"&lt;&gt;Off-street")&gt;0,1,0)</f>
        <v>0</v>
      </c>
      <c r="I91">
        <f>IF(COUNTIFS('United Data'!$A$3:$A$3390,I$1,'United Data'!$C$3:$C$3390,$A91,'United Data'!$B$3:$B$3390,"&lt;&gt;Off-street")&gt;0,1,0)</f>
        <v>0</v>
      </c>
      <c r="J91">
        <f>IF(COUNTIFS('United Data'!$A$3:$A$3390,J$1,'United Data'!$C$3:$C$3390,$A91,'United Data'!$B$3:$B$3390,"&lt;&gt;Off-street")&gt;0,1,0)</f>
        <v>0</v>
      </c>
      <c r="K91">
        <f>IF(COUNTIFS('United Data'!$A$3:$A$3390,K$1,'United Data'!$C$3:$C$3390,$A91,'United Data'!$B$3:$B$3390,"&lt;&gt;Off-street")&gt;0,1,0)</f>
        <v>0</v>
      </c>
      <c r="L91">
        <f>IF(COUNTIFS('United Data'!$A$3:$A$3390,L$1,'United Data'!$C$3:$C$3390,$A91,'United Data'!$B$3:$B$3390,"&lt;&gt;Off-street")&gt;0,1,0)</f>
        <v>0</v>
      </c>
      <c r="M91">
        <f>IF(COUNTIFS('United Data'!$A$3:$A$3390,M$1,'United Data'!$C$3:$C$3390,$A91,'United Data'!$B$3:$B$3390,"&lt;&gt;Off-street")&gt;0,1,0)</f>
        <v>0</v>
      </c>
      <c r="N91">
        <f>IF(COUNTIFS('United Data'!$A$3:$A$3390,N$1,'United Data'!$C$3:$C$3390,$A91,'United Data'!$B$3:$B$3390,"&lt;&gt;Off-street")&gt;0,1,0)</f>
        <v>0</v>
      </c>
      <c r="O91">
        <f>IF(COUNTIFS('United Data'!$A$3:$A$3390,O$1,'United Data'!$C$3:$C$3390,$A91,'United Data'!$B$3:$B$3390,"&lt;&gt;Off-street")&gt;0,1,0)</f>
        <v>0</v>
      </c>
      <c r="P91">
        <f>IF(COUNTIFS('United Data'!$A$3:$A$3390,P$1,'United Data'!$C$3:$C$3390,$A91,'United Data'!$B$3:$B$3390,"&lt;&gt;Off-street")&gt;0,1,0)</f>
        <v>0</v>
      </c>
      <c r="Q91">
        <f>IF(COUNTIFS('United Data'!$A$3:$A$3390,Q$1,'United Data'!$C$3:$C$3390,$A91,'United Data'!$B$3:$B$3390,"&lt;&gt;Off-street")&gt;0,1,0)</f>
        <v>0</v>
      </c>
      <c r="R91">
        <f>IF(COUNTIFS('United Data'!$A$3:$A$3390,R$1,'United Data'!$C$3:$C$3390,$A91,'United Data'!$B$3:$B$3390,"&lt;&gt;Off-street")&gt;0,1,0)</f>
        <v>1</v>
      </c>
      <c r="S91">
        <f t="shared" si="2"/>
        <v>1</v>
      </c>
      <c r="T91">
        <f t="shared" si="3"/>
        <v>1</v>
      </c>
    </row>
    <row r="92" spans="1:20" x14ac:dyDescent="0.2">
      <c r="A92" t="s">
        <v>140</v>
      </c>
      <c r="B92">
        <f>IF(COUNTIFS('United Data'!$A$3:$A$3390,B$1,'United Data'!$C$3:$C$3390,$A92,'United Data'!$B$3:$B$3390,"&lt;&gt;Off-street")&gt;0,1,0)</f>
        <v>1</v>
      </c>
      <c r="C92">
        <f>IF(COUNTIFS('United Data'!$A$3:$A$3390,C$1,'United Data'!$C$3:$C$3390,$A92,'United Data'!$B$3:$B$3390,"&lt;&gt;Off-street")&gt;0,1,0)</f>
        <v>0</v>
      </c>
      <c r="D92">
        <f>IF(COUNTIFS('United Data'!$A$3:$A$3390,D$1,'United Data'!$C$3:$C$3390,$A92,'United Data'!$B$3:$B$3390,"&lt;&gt;Off-street")&gt;0,1,0)</f>
        <v>0</v>
      </c>
      <c r="E92">
        <f>IF(COUNTIFS('United Data'!$A$3:$A$3390,E$1,'United Data'!$C$3:$C$3390,$A92,'United Data'!$B$3:$B$3390,"&lt;&gt;Off-street")&gt;0,1,0)</f>
        <v>0</v>
      </c>
      <c r="F92">
        <f>IF(COUNTIFS('United Data'!$A$3:$A$3390,F$1,'United Data'!$C$3:$C$3390,$A92,'United Data'!$B$3:$B$3390,"&lt;&gt;Off-street")&gt;0,1,0)</f>
        <v>0</v>
      </c>
      <c r="G92">
        <f>IF(COUNTIFS('United Data'!$A$3:$A$3390,G$1,'United Data'!$C$3:$C$3390,$A92,'United Data'!$B$3:$B$3390,"&lt;&gt;Off-street")&gt;0,1,0)</f>
        <v>0</v>
      </c>
      <c r="H92">
        <f>IF(COUNTIFS('United Data'!$A$3:$A$3390,H$1,'United Data'!$C$3:$C$3390,$A92,'United Data'!$B$3:$B$3390,"&lt;&gt;Off-street")&gt;0,1,0)</f>
        <v>1</v>
      </c>
      <c r="I92">
        <f>IF(COUNTIFS('United Data'!$A$3:$A$3390,I$1,'United Data'!$C$3:$C$3390,$A92,'United Data'!$B$3:$B$3390,"&lt;&gt;Off-street")&gt;0,1,0)</f>
        <v>0</v>
      </c>
      <c r="J92">
        <f>IF(COUNTIFS('United Data'!$A$3:$A$3390,J$1,'United Data'!$C$3:$C$3390,$A92,'United Data'!$B$3:$B$3390,"&lt;&gt;Off-street")&gt;0,1,0)</f>
        <v>0</v>
      </c>
      <c r="K92">
        <f>IF(COUNTIFS('United Data'!$A$3:$A$3390,K$1,'United Data'!$C$3:$C$3390,$A92,'United Data'!$B$3:$B$3390,"&lt;&gt;Off-street")&gt;0,1,0)</f>
        <v>0</v>
      </c>
      <c r="L92">
        <f>IF(COUNTIFS('United Data'!$A$3:$A$3390,L$1,'United Data'!$C$3:$C$3390,$A92,'United Data'!$B$3:$B$3390,"&lt;&gt;Off-street")&gt;0,1,0)</f>
        <v>0</v>
      </c>
      <c r="M92">
        <f>IF(COUNTIFS('United Data'!$A$3:$A$3390,M$1,'United Data'!$C$3:$C$3390,$A92,'United Data'!$B$3:$B$3390,"&lt;&gt;Off-street")&gt;0,1,0)</f>
        <v>0</v>
      </c>
      <c r="N92">
        <f>IF(COUNTIFS('United Data'!$A$3:$A$3390,N$1,'United Data'!$C$3:$C$3390,$A92,'United Data'!$B$3:$B$3390,"&lt;&gt;Off-street")&gt;0,1,0)</f>
        <v>0</v>
      </c>
      <c r="O92">
        <f>IF(COUNTIFS('United Data'!$A$3:$A$3390,O$1,'United Data'!$C$3:$C$3390,$A92,'United Data'!$B$3:$B$3390,"&lt;&gt;Off-street")&gt;0,1,0)</f>
        <v>0</v>
      </c>
      <c r="P92">
        <f>IF(COUNTIFS('United Data'!$A$3:$A$3390,P$1,'United Data'!$C$3:$C$3390,$A92,'United Data'!$B$3:$B$3390,"&lt;&gt;Off-street")&gt;0,1,0)</f>
        <v>0</v>
      </c>
      <c r="Q92">
        <f>IF(COUNTIFS('United Data'!$A$3:$A$3390,Q$1,'United Data'!$C$3:$C$3390,$A92,'United Data'!$B$3:$B$3390,"&lt;&gt;Off-street")&gt;0,1,0)</f>
        <v>0</v>
      </c>
      <c r="R92">
        <f>IF(COUNTIFS('United Data'!$A$3:$A$3390,R$1,'United Data'!$C$3:$C$3390,$A92,'United Data'!$B$3:$B$3390,"&lt;&gt;Off-street")&gt;0,1,0)</f>
        <v>0</v>
      </c>
      <c r="S92">
        <f t="shared" si="2"/>
        <v>2</v>
      </c>
      <c r="T92">
        <f t="shared" si="3"/>
        <v>2</v>
      </c>
    </row>
    <row r="93" spans="1:20" x14ac:dyDescent="0.2">
      <c r="A93" t="s">
        <v>141</v>
      </c>
      <c r="B93">
        <f>IF(COUNTIFS('United Data'!$A$3:$A$3390,B$1,'United Data'!$C$3:$C$3390,$A93,'United Data'!$B$3:$B$3390,"&lt;&gt;Off-street")&gt;0,1,0)</f>
        <v>1</v>
      </c>
      <c r="C93">
        <f>IF(COUNTIFS('United Data'!$A$3:$A$3390,C$1,'United Data'!$C$3:$C$3390,$A93,'United Data'!$B$3:$B$3390,"&lt;&gt;Off-street")&gt;0,1,0)</f>
        <v>0</v>
      </c>
      <c r="D93">
        <f>IF(COUNTIFS('United Data'!$A$3:$A$3390,D$1,'United Data'!$C$3:$C$3390,$A93,'United Data'!$B$3:$B$3390,"&lt;&gt;Off-street")&gt;0,1,0)</f>
        <v>0</v>
      </c>
      <c r="E93">
        <f>IF(COUNTIFS('United Data'!$A$3:$A$3390,E$1,'United Data'!$C$3:$C$3390,$A93,'United Data'!$B$3:$B$3390,"&lt;&gt;Off-street")&gt;0,1,0)</f>
        <v>0</v>
      </c>
      <c r="F93">
        <f>IF(COUNTIFS('United Data'!$A$3:$A$3390,F$1,'United Data'!$C$3:$C$3390,$A93,'United Data'!$B$3:$B$3390,"&lt;&gt;Off-street")&gt;0,1,0)</f>
        <v>0</v>
      </c>
      <c r="G93">
        <f>IF(COUNTIFS('United Data'!$A$3:$A$3390,G$1,'United Data'!$C$3:$C$3390,$A93,'United Data'!$B$3:$B$3390,"&lt;&gt;Off-street")&gt;0,1,0)</f>
        <v>0</v>
      </c>
      <c r="H93">
        <f>IF(COUNTIFS('United Data'!$A$3:$A$3390,H$1,'United Data'!$C$3:$C$3390,$A93,'United Data'!$B$3:$B$3390,"&lt;&gt;Off-street")&gt;0,1,0)</f>
        <v>0</v>
      </c>
      <c r="I93">
        <f>IF(COUNTIFS('United Data'!$A$3:$A$3390,I$1,'United Data'!$C$3:$C$3390,$A93,'United Data'!$B$3:$B$3390,"&lt;&gt;Off-street")&gt;0,1,0)</f>
        <v>0</v>
      </c>
      <c r="J93">
        <f>IF(COUNTIFS('United Data'!$A$3:$A$3390,J$1,'United Data'!$C$3:$C$3390,$A93,'United Data'!$B$3:$B$3390,"&lt;&gt;Off-street")&gt;0,1,0)</f>
        <v>1</v>
      </c>
      <c r="K93">
        <f>IF(COUNTIFS('United Data'!$A$3:$A$3390,K$1,'United Data'!$C$3:$C$3390,$A93,'United Data'!$B$3:$B$3390,"&lt;&gt;Off-street")&gt;0,1,0)</f>
        <v>0</v>
      </c>
      <c r="L93">
        <f>IF(COUNTIFS('United Data'!$A$3:$A$3390,L$1,'United Data'!$C$3:$C$3390,$A93,'United Data'!$B$3:$B$3390,"&lt;&gt;Off-street")&gt;0,1,0)</f>
        <v>0</v>
      </c>
      <c r="M93">
        <f>IF(COUNTIFS('United Data'!$A$3:$A$3390,M$1,'United Data'!$C$3:$C$3390,$A93,'United Data'!$B$3:$B$3390,"&lt;&gt;Off-street")&gt;0,1,0)</f>
        <v>0</v>
      </c>
      <c r="N93">
        <f>IF(COUNTIFS('United Data'!$A$3:$A$3390,N$1,'United Data'!$C$3:$C$3390,$A93,'United Data'!$B$3:$B$3390,"&lt;&gt;Off-street")&gt;0,1,0)</f>
        <v>0</v>
      </c>
      <c r="O93">
        <f>IF(COUNTIFS('United Data'!$A$3:$A$3390,O$1,'United Data'!$C$3:$C$3390,$A93,'United Data'!$B$3:$B$3390,"&lt;&gt;Off-street")&gt;0,1,0)</f>
        <v>0</v>
      </c>
      <c r="P93">
        <f>IF(COUNTIFS('United Data'!$A$3:$A$3390,P$1,'United Data'!$C$3:$C$3390,$A93,'United Data'!$B$3:$B$3390,"&lt;&gt;Off-street")&gt;0,1,0)</f>
        <v>0</v>
      </c>
      <c r="Q93">
        <f>IF(COUNTIFS('United Data'!$A$3:$A$3390,Q$1,'United Data'!$C$3:$C$3390,$A93,'United Data'!$B$3:$B$3390,"&lt;&gt;Off-street")&gt;0,1,0)</f>
        <v>0</v>
      </c>
      <c r="R93">
        <f>IF(COUNTIFS('United Data'!$A$3:$A$3390,R$1,'United Data'!$C$3:$C$3390,$A93,'United Data'!$B$3:$B$3390,"&lt;&gt;Off-street")&gt;0,1,0)</f>
        <v>0</v>
      </c>
      <c r="S93">
        <f t="shared" si="2"/>
        <v>2</v>
      </c>
      <c r="T93">
        <f t="shared" si="3"/>
        <v>2</v>
      </c>
    </row>
    <row r="94" spans="1:20" x14ac:dyDescent="0.2">
      <c r="A94" t="s">
        <v>142</v>
      </c>
      <c r="B94">
        <f>IF(COUNTIFS('United Data'!$A$3:$A$3390,B$1,'United Data'!$C$3:$C$3390,$A94,'United Data'!$B$3:$B$3390,"&lt;&gt;Off-street")&gt;0,1,0)</f>
        <v>0</v>
      </c>
      <c r="C94">
        <f>IF(COUNTIFS('United Data'!$A$3:$A$3390,C$1,'United Data'!$C$3:$C$3390,$A94,'United Data'!$B$3:$B$3390,"&lt;&gt;Off-street")&gt;0,1,0)</f>
        <v>1</v>
      </c>
      <c r="D94">
        <f>IF(COUNTIFS('United Data'!$A$3:$A$3390,D$1,'United Data'!$C$3:$C$3390,$A94,'United Data'!$B$3:$B$3390,"&lt;&gt;Off-street")&gt;0,1,0)</f>
        <v>0</v>
      </c>
      <c r="E94">
        <f>IF(COUNTIFS('United Data'!$A$3:$A$3390,E$1,'United Data'!$C$3:$C$3390,$A94,'United Data'!$B$3:$B$3390,"&lt;&gt;Off-street")&gt;0,1,0)</f>
        <v>0</v>
      </c>
      <c r="F94">
        <f>IF(COUNTIFS('United Data'!$A$3:$A$3390,F$1,'United Data'!$C$3:$C$3390,$A94,'United Data'!$B$3:$B$3390,"&lt;&gt;Off-street")&gt;0,1,0)</f>
        <v>0</v>
      </c>
      <c r="G94">
        <f>IF(COUNTIFS('United Data'!$A$3:$A$3390,G$1,'United Data'!$C$3:$C$3390,$A94,'United Data'!$B$3:$B$3390,"&lt;&gt;Off-street")&gt;0,1,0)</f>
        <v>0</v>
      </c>
      <c r="H94">
        <f>IF(COUNTIFS('United Data'!$A$3:$A$3390,H$1,'United Data'!$C$3:$C$3390,$A94,'United Data'!$B$3:$B$3390,"&lt;&gt;Off-street")&gt;0,1,0)</f>
        <v>0</v>
      </c>
      <c r="I94">
        <f>IF(COUNTIFS('United Data'!$A$3:$A$3390,I$1,'United Data'!$C$3:$C$3390,$A94,'United Data'!$B$3:$B$3390,"&lt;&gt;Off-street")&gt;0,1,0)</f>
        <v>0</v>
      </c>
      <c r="J94">
        <f>IF(COUNTIFS('United Data'!$A$3:$A$3390,J$1,'United Data'!$C$3:$C$3390,$A94,'United Data'!$B$3:$B$3390,"&lt;&gt;Off-street")&gt;0,1,0)</f>
        <v>0</v>
      </c>
      <c r="K94">
        <f>IF(COUNTIFS('United Data'!$A$3:$A$3390,K$1,'United Data'!$C$3:$C$3390,$A94,'United Data'!$B$3:$B$3390,"&lt;&gt;Off-street")&gt;0,1,0)</f>
        <v>0</v>
      </c>
      <c r="L94">
        <f>IF(COUNTIFS('United Data'!$A$3:$A$3390,L$1,'United Data'!$C$3:$C$3390,$A94,'United Data'!$B$3:$B$3390,"&lt;&gt;Off-street")&gt;0,1,0)</f>
        <v>0</v>
      </c>
      <c r="M94">
        <f>IF(COUNTIFS('United Data'!$A$3:$A$3390,M$1,'United Data'!$C$3:$C$3390,$A94,'United Data'!$B$3:$B$3390,"&lt;&gt;Off-street")&gt;0,1,0)</f>
        <v>0</v>
      </c>
      <c r="N94">
        <f>IF(COUNTIFS('United Data'!$A$3:$A$3390,N$1,'United Data'!$C$3:$C$3390,$A94,'United Data'!$B$3:$B$3390,"&lt;&gt;Off-street")&gt;0,1,0)</f>
        <v>1</v>
      </c>
      <c r="O94">
        <f>IF(COUNTIFS('United Data'!$A$3:$A$3390,O$1,'United Data'!$C$3:$C$3390,$A94,'United Data'!$B$3:$B$3390,"&lt;&gt;Off-street")&gt;0,1,0)</f>
        <v>1</v>
      </c>
      <c r="P94">
        <f>IF(COUNTIFS('United Data'!$A$3:$A$3390,P$1,'United Data'!$C$3:$C$3390,$A94,'United Data'!$B$3:$B$3390,"&lt;&gt;Off-street")&gt;0,1,0)</f>
        <v>0</v>
      </c>
      <c r="Q94">
        <f>IF(COUNTIFS('United Data'!$A$3:$A$3390,Q$1,'United Data'!$C$3:$C$3390,$A94,'United Data'!$B$3:$B$3390,"&lt;&gt;Off-street")&gt;0,1,0)</f>
        <v>0</v>
      </c>
      <c r="R94">
        <f>IF(COUNTIFS('United Data'!$A$3:$A$3390,R$1,'United Data'!$C$3:$C$3390,$A94,'United Data'!$B$3:$B$3390,"&lt;&gt;Off-street")&gt;0,1,0)</f>
        <v>0</v>
      </c>
      <c r="S94">
        <f t="shared" si="2"/>
        <v>3</v>
      </c>
      <c r="T94">
        <f t="shared" si="3"/>
        <v>2</v>
      </c>
    </row>
    <row r="95" spans="1:20" x14ac:dyDescent="0.2">
      <c r="A95" t="s">
        <v>143</v>
      </c>
      <c r="B95">
        <f>IF(COUNTIFS('United Data'!$A$3:$A$3390,B$1,'United Data'!$C$3:$C$3390,$A95,'United Data'!$B$3:$B$3390,"&lt;&gt;Off-street")&gt;0,1,0)</f>
        <v>0</v>
      </c>
      <c r="C95">
        <f>IF(COUNTIFS('United Data'!$A$3:$A$3390,C$1,'United Data'!$C$3:$C$3390,$A95,'United Data'!$B$3:$B$3390,"&lt;&gt;Off-street")&gt;0,1,0)</f>
        <v>1</v>
      </c>
      <c r="D95">
        <f>IF(COUNTIFS('United Data'!$A$3:$A$3390,D$1,'United Data'!$C$3:$C$3390,$A95,'United Data'!$B$3:$B$3390,"&lt;&gt;Off-street")&gt;0,1,0)</f>
        <v>0</v>
      </c>
      <c r="E95">
        <f>IF(COUNTIFS('United Data'!$A$3:$A$3390,E$1,'United Data'!$C$3:$C$3390,$A95,'United Data'!$B$3:$B$3390,"&lt;&gt;Off-street")&gt;0,1,0)</f>
        <v>0</v>
      </c>
      <c r="F95">
        <f>IF(COUNTIFS('United Data'!$A$3:$A$3390,F$1,'United Data'!$C$3:$C$3390,$A95,'United Data'!$B$3:$B$3390,"&lt;&gt;Off-street")&gt;0,1,0)</f>
        <v>0</v>
      </c>
      <c r="G95">
        <f>IF(COUNTIFS('United Data'!$A$3:$A$3390,G$1,'United Data'!$C$3:$C$3390,$A95,'United Data'!$B$3:$B$3390,"&lt;&gt;Off-street")&gt;0,1,0)</f>
        <v>0</v>
      </c>
      <c r="H95">
        <f>IF(COUNTIFS('United Data'!$A$3:$A$3390,H$1,'United Data'!$C$3:$C$3390,$A95,'United Data'!$B$3:$B$3390,"&lt;&gt;Off-street")&gt;0,1,0)</f>
        <v>0</v>
      </c>
      <c r="I95">
        <f>IF(COUNTIFS('United Data'!$A$3:$A$3390,I$1,'United Data'!$C$3:$C$3390,$A95,'United Data'!$B$3:$B$3390,"&lt;&gt;Off-street")&gt;0,1,0)</f>
        <v>0</v>
      </c>
      <c r="J95">
        <f>IF(COUNTIFS('United Data'!$A$3:$A$3390,J$1,'United Data'!$C$3:$C$3390,$A95,'United Data'!$B$3:$B$3390,"&lt;&gt;Off-street")&gt;0,1,0)</f>
        <v>0</v>
      </c>
      <c r="K95">
        <f>IF(COUNTIFS('United Data'!$A$3:$A$3390,K$1,'United Data'!$C$3:$C$3390,$A95,'United Data'!$B$3:$B$3390,"&lt;&gt;Off-street")&gt;0,1,0)</f>
        <v>0</v>
      </c>
      <c r="L95">
        <f>IF(COUNTIFS('United Data'!$A$3:$A$3390,L$1,'United Data'!$C$3:$C$3390,$A95,'United Data'!$B$3:$B$3390,"&lt;&gt;Off-street")&gt;0,1,0)</f>
        <v>0</v>
      </c>
      <c r="M95">
        <f>IF(COUNTIFS('United Data'!$A$3:$A$3390,M$1,'United Data'!$C$3:$C$3390,$A95,'United Data'!$B$3:$B$3390,"&lt;&gt;Off-street")&gt;0,1,0)</f>
        <v>0</v>
      </c>
      <c r="N95">
        <f>IF(COUNTIFS('United Data'!$A$3:$A$3390,N$1,'United Data'!$C$3:$C$3390,$A95,'United Data'!$B$3:$B$3390,"&lt;&gt;Off-street")&gt;0,1,0)</f>
        <v>0</v>
      </c>
      <c r="O95">
        <f>IF(COUNTIFS('United Data'!$A$3:$A$3390,O$1,'United Data'!$C$3:$C$3390,$A95,'United Data'!$B$3:$B$3390,"&lt;&gt;Off-street")&gt;0,1,0)</f>
        <v>0</v>
      </c>
      <c r="P95">
        <f>IF(COUNTIFS('United Data'!$A$3:$A$3390,P$1,'United Data'!$C$3:$C$3390,$A95,'United Data'!$B$3:$B$3390,"&lt;&gt;Off-street")&gt;0,1,0)</f>
        <v>0</v>
      </c>
      <c r="Q95">
        <f>IF(COUNTIFS('United Data'!$A$3:$A$3390,Q$1,'United Data'!$C$3:$C$3390,$A95,'United Data'!$B$3:$B$3390,"&lt;&gt;Off-street")&gt;0,1,0)</f>
        <v>0</v>
      </c>
      <c r="R95">
        <f>IF(COUNTIFS('United Data'!$A$3:$A$3390,R$1,'United Data'!$C$3:$C$3390,$A95,'United Data'!$B$3:$B$3390,"&lt;&gt;Off-street")&gt;0,1,0)</f>
        <v>0</v>
      </c>
      <c r="S95">
        <f t="shared" si="2"/>
        <v>1</v>
      </c>
      <c r="T95">
        <f t="shared" si="3"/>
        <v>1</v>
      </c>
    </row>
    <row r="96" spans="1:20" x14ac:dyDescent="0.2">
      <c r="A96" t="s">
        <v>144</v>
      </c>
      <c r="B96">
        <f>IF(COUNTIFS('United Data'!$A$3:$A$3390,B$1,'United Data'!$C$3:$C$3390,$A96,'United Data'!$B$3:$B$3390,"&lt;&gt;Off-street")&gt;0,1,0)</f>
        <v>0</v>
      </c>
      <c r="C96">
        <f>IF(COUNTIFS('United Data'!$A$3:$A$3390,C$1,'United Data'!$C$3:$C$3390,$A96,'United Data'!$B$3:$B$3390,"&lt;&gt;Off-street")&gt;0,1,0)</f>
        <v>1</v>
      </c>
      <c r="D96">
        <f>IF(COUNTIFS('United Data'!$A$3:$A$3390,D$1,'United Data'!$C$3:$C$3390,$A96,'United Data'!$B$3:$B$3390,"&lt;&gt;Off-street")&gt;0,1,0)</f>
        <v>1</v>
      </c>
      <c r="E96">
        <f>IF(COUNTIFS('United Data'!$A$3:$A$3390,E$1,'United Data'!$C$3:$C$3390,$A96,'United Data'!$B$3:$B$3390,"&lt;&gt;Off-street")&gt;0,1,0)</f>
        <v>0</v>
      </c>
      <c r="F96">
        <f>IF(COUNTIFS('United Data'!$A$3:$A$3390,F$1,'United Data'!$C$3:$C$3390,$A96,'United Data'!$B$3:$B$3390,"&lt;&gt;Off-street")&gt;0,1,0)</f>
        <v>1</v>
      </c>
      <c r="G96">
        <f>IF(COUNTIFS('United Data'!$A$3:$A$3390,G$1,'United Data'!$C$3:$C$3390,$A96,'United Data'!$B$3:$B$3390,"&lt;&gt;Off-street")&gt;0,1,0)</f>
        <v>0</v>
      </c>
      <c r="H96">
        <f>IF(COUNTIFS('United Data'!$A$3:$A$3390,H$1,'United Data'!$C$3:$C$3390,$A96,'United Data'!$B$3:$B$3390,"&lt;&gt;Off-street")&gt;0,1,0)</f>
        <v>0</v>
      </c>
      <c r="I96">
        <f>IF(COUNTIFS('United Data'!$A$3:$A$3390,I$1,'United Data'!$C$3:$C$3390,$A96,'United Data'!$B$3:$B$3390,"&lt;&gt;Off-street")&gt;0,1,0)</f>
        <v>0</v>
      </c>
      <c r="J96">
        <f>IF(COUNTIFS('United Data'!$A$3:$A$3390,J$1,'United Data'!$C$3:$C$3390,$A96,'United Data'!$B$3:$B$3390,"&lt;&gt;Off-street")&gt;0,1,0)</f>
        <v>0</v>
      </c>
      <c r="K96">
        <f>IF(COUNTIFS('United Data'!$A$3:$A$3390,K$1,'United Data'!$C$3:$C$3390,$A96,'United Data'!$B$3:$B$3390,"&lt;&gt;Off-street")&gt;0,1,0)</f>
        <v>0</v>
      </c>
      <c r="L96">
        <f>IF(COUNTIFS('United Data'!$A$3:$A$3390,L$1,'United Data'!$C$3:$C$3390,$A96,'United Data'!$B$3:$B$3390,"&lt;&gt;Off-street")&gt;0,1,0)</f>
        <v>0</v>
      </c>
      <c r="M96">
        <f>IF(COUNTIFS('United Data'!$A$3:$A$3390,M$1,'United Data'!$C$3:$C$3390,$A96,'United Data'!$B$3:$B$3390,"&lt;&gt;Off-street")&gt;0,1,0)</f>
        <v>0</v>
      </c>
      <c r="N96">
        <f>IF(COUNTIFS('United Data'!$A$3:$A$3390,N$1,'United Data'!$C$3:$C$3390,$A96,'United Data'!$B$3:$B$3390,"&lt;&gt;Off-street")&gt;0,1,0)</f>
        <v>0</v>
      </c>
      <c r="O96">
        <f>IF(COUNTIFS('United Data'!$A$3:$A$3390,O$1,'United Data'!$C$3:$C$3390,$A96,'United Data'!$B$3:$B$3390,"&lt;&gt;Off-street")&gt;0,1,0)</f>
        <v>0</v>
      </c>
      <c r="P96">
        <f>IF(COUNTIFS('United Data'!$A$3:$A$3390,P$1,'United Data'!$C$3:$C$3390,$A96,'United Data'!$B$3:$B$3390,"&lt;&gt;Off-street")&gt;0,1,0)</f>
        <v>0</v>
      </c>
      <c r="Q96">
        <f>IF(COUNTIFS('United Data'!$A$3:$A$3390,Q$1,'United Data'!$C$3:$C$3390,$A96,'United Data'!$B$3:$B$3390,"&lt;&gt;Off-street")&gt;0,1,0)</f>
        <v>0</v>
      </c>
      <c r="R96">
        <f>IF(COUNTIFS('United Data'!$A$3:$A$3390,R$1,'United Data'!$C$3:$C$3390,$A96,'United Data'!$B$3:$B$3390,"&lt;&gt;Off-street")&gt;0,1,0)</f>
        <v>0</v>
      </c>
      <c r="S96">
        <f t="shared" si="2"/>
        <v>3</v>
      </c>
      <c r="T96">
        <f t="shared" si="3"/>
        <v>2</v>
      </c>
    </row>
    <row r="97" spans="1:20" x14ac:dyDescent="0.2">
      <c r="A97" t="s">
        <v>145</v>
      </c>
      <c r="B97">
        <f>IF(COUNTIFS('United Data'!$A$3:$A$3390,B$1,'United Data'!$C$3:$C$3390,$A97,'United Data'!$B$3:$B$3390,"&lt;&gt;Off-street")&gt;0,1,0)</f>
        <v>0</v>
      </c>
      <c r="C97">
        <f>IF(COUNTIFS('United Data'!$A$3:$A$3390,C$1,'United Data'!$C$3:$C$3390,$A97,'United Data'!$B$3:$B$3390,"&lt;&gt;Off-street")&gt;0,1,0)</f>
        <v>1</v>
      </c>
      <c r="D97">
        <f>IF(COUNTIFS('United Data'!$A$3:$A$3390,D$1,'United Data'!$C$3:$C$3390,$A97,'United Data'!$B$3:$B$3390,"&lt;&gt;Off-street")&gt;0,1,0)</f>
        <v>1</v>
      </c>
      <c r="E97">
        <f>IF(COUNTIFS('United Data'!$A$3:$A$3390,E$1,'United Data'!$C$3:$C$3390,$A97,'United Data'!$B$3:$B$3390,"&lt;&gt;Off-street")&gt;0,1,0)</f>
        <v>0</v>
      </c>
      <c r="F97">
        <f>IF(COUNTIFS('United Data'!$A$3:$A$3390,F$1,'United Data'!$C$3:$C$3390,$A97,'United Data'!$B$3:$B$3390,"&lt;&gt;Off-street")&gt;0,1,0)</f>
        <v>1</v>
      </c>
      <c r="G97">
        <f>IF(COUNTIFS('United Data'!$A$3:$A$3390,G$1,'United Data'!$C$3:$C$3390,$A97,'United Data'!$B$3:$B$3390,"&lt;&gt;Off-street")&gt;0,1,0)</f>
        <v>0</v>
      </c>
      <c r="H97">
        <f>IF(COUNTIFS('United Data'!$A$3:$A$3390,H$1,'United Data'!$C$3:$C$3390,$A97,'United Data'!$B$3:$B$3390,"&lt;&gt;Off-street")&gt;0,1,0)</f>
        <v>0</v>
      </c>
      <c r="I97">
        <f>IF(COUNTIFS('United Data'!$A$3:$A$3390,I$1,'United Data'!$C$3:$C$3390,$A97,'United Data'!$B$3:$B$3390,"&lt;&gt;Off-street")&gt;0,1,0)</f>
        <v>0</v>
      </c>
      <c r="J97">
        <f>IF(COUNTIFS('United Data'!$A$3:$A$3390,J$1,'United Data'!$C$3:$C$3390,$A97,'United Data'!$B$3:$B$3390,"&lt;&gt;Off-street")&gt;0,1,0)</f>
        <v>0</v>
      </c>
      <c r="K97">
        <f>IF(COUNTIFS('United Data'!$A$3:$A$3390,K$1,'United Data'!$C$3:$C$3390,$A97,'United Data'!$B$3:$B$3390,"&lt;&gt;Off-street")&gt;0,1,0)</f>
        <v>0</v>
      </c>
      <c r="L97">
        <f>IF(COUNTIFS('United Data'!$A$3:$A$3390,L$1,'United Data'!$C$3:$C$3390,$A97,'United Data'!$B$3:$B$3390,"&lt;&gt;Off-street")&gt;0,1,0)</f>
        <v>0</v>
      </c>
      <c r="M97">
        <f>IF(COUNTIFS('United Data'!$A$3:$A$3390,M$1,'United Data'!$C$3:$C$3390,$A97,'United Data'!$B$3:$B$3390,"&lt;&gt;Off-street")&gt;0,1,0)</f>
        <v>0</v>
      </c>
      <c r="N97">
        <f>IF(COUNTIFS('United Data'!$A$3:$A$3390,N$1,'United Data'!$C$3:$C$3390,$A97,'United Data'!$B$3:$B$3390,"&lt;&gt;Off-street")&gt;0,1,0)</f>
        <v>0</v>
      </c>
      <c r="O97">
        <f>IF(COUNTIFS('United Data'!$A$3:$A$3390,O$1,'United Data'!$C$3:$C$3390,$A97,'United Data'!$B$3:$B$3390,"&lt;&gt;Off-street")&gt;0,1,0)</f>
        <v>1</v>
      </c>
      <c r="P97">
        <f>IF(COUNTIFS('United Data'!$A$3:$A$3390,P$1,'United Data'!$C$3:$C$3390,$A97,'United Data'!$B$3:$B$3390,"&lt;&gt;Off-street")&gt;0,1,0)</f>
        <v>1</v>
      </c>
      <c r="Q97">
        <f>IF(COUNTIFS('United Data'!$A$3:$A$3390,Q$1,'United Data'!$C$3:$C$3390,$A97,'United Data'!$B$3:$B$3390,"&lt;&gt;Off-street")&gt;0,1,0)</f>
        <v>1</v>
      </c>
      <c r="R97">
        <f>IF(COUNTIFS('United Data'!$A$3:$A$3390,R$1,'United Data'!$C$3:$C$3390,$A97,'United Data'!$B$3:$B$3390,"&lt;&gt;Off-street")&gt;0,1,0)</f>
        <v>0</v>
      </c>
      <c r="S97">
        <f t="shared" si="2"/>
        <v>6</v>
      </c>
      <c r="T97">
        <f t="shared" si="3"/>
        <v>3</v>
      </c>
    </row>
    <row r="98" spans="1:20" x14ac:dyDescent="0.2">
      <c r="A98" t="s">
        <v>146</v>
      </c>
      <c r="B98">
        <f>IF(COUNTIFS('United Data'!$A$3:$A$3390,B$1,'United Data'!$C$3:$C$3390,$A98,'United Data'!$B$3:$B$3390,"&lt;&gt;Off-street")&gt;0,1,0)</f>
        <v>0</v>
      </c>
      <c r="C98">
        <f>IF(COUNTIFS('United Data'!$A$3:$A$3390,C$1,'United Data'!$C$3:$C$3390,$A98,'United Data'!$B$3:$B$3390,"&lt;&gt;Off-street")&gt;0,1,0)</f>
        <v>1</v>
      </c>
      <c r="D98">
        <f>IF(COUNTIFS('United Data'!$A$3:$A$3390,D$1,'United Data'!$C$3:$C$3390,$A98,'United Data'!$B$3:$B$3390,"&lt;&gt;Off-street")&gt;0,1,0)</f>
        <v>1</v>
      </c>
      <c r="E98">
        <f>IF(COUNTIFS('United Data'!$A$3:$A$3390,E$1,'United Data'!$C$3:$C$3390,$A98,'United Data'!$B$3:$B$3390,"&lt;&gt;Off-street")&gt;0,1,0)</f>
        <v>0</v>
      </c>
      <c r="F98">
        <f>IF(COUNTIFS('United Data'!$A$3:$A$3390,F$1,'United Data'!$C$3:$C$3390,$A98,'United Data'!$B$3:$B$3390,"&lt;&gt;Off-street")&gt;0,1,0)</f>
        <v>0</v>
      </c>
      <c r="G98">
        <f>IF(COUNTIFS('United Data'!$A$3:$A$3390,G$1,'United Data'!$C$3:$C$3390,$A98,'United Data'!$B$3:$B$3390,"&lt;&gt;Off-street")&gt;0,1,0)</f>
        <v>0</v>
      </c>
      <c r="H98">
        <f>IF(COUNTIFS('United Data'!$A$3:$A$3390,H$1,'United Data'!$C$3:$C$3390,$A98,'United Data'!$B$3:$B$3390,"&lt;&gt;Off-street")&gt;0,1,0)</f>
        <v>0</v>
      </c>
      <c r="I98">
        <f>IF(COUNTIFS('United Data'!$A$3:$A$3390,I$1,'United Data'!$C$3:$C$3390,$A98,'United Data'!$B$3:$B$3390,"&lt;&gt;Off-street")&gt;0,1,0)</f>
        <v>0</v>
      </c>
      <c r="J98">
        <f>IF(COUNTIFS('United Data'!$A$3:$A$3390,J$1,'United Data'!$C$3:$C$3390,$A98,'United Data'!$B$3:$B$3390,"&lt;&gt;Off-street")&gt;0,1,0)</f>
        <v>0</v>
      </c>
      <c r="K98">
        <f>IF(COUNTIFS('United Data'!$A$3:$A$3390,K$1,'United Data'!$C$3:$C$3390,$A98,'United Data'!$B$3:$B$3390,"&lt;&gt;Off-street")&gt;0,1,0)</f>
        <v>0</v>
      </c>
      <c r="L98">
        <f>IF(COUNTIFS('United Data'!$A$3:$A$3390,L$1,'United Data'!$C$3:$C$3390,$A98,'United Data'!$B$3:$B$3390,"&lt;&gt;Off-street")&gt;0,1,0)</f>
        <v>0</v>
      </c>
      <c r="M98">
        <f>IF(COUNTIFS('United Data'!$A$3:$A$3390,M$1,'United Data'!$C$3:$C$3390,$A98,'United Data'!$B$3:$B$3390,"&lt;&gt;Off-street")&gt;0,1,0)</f>
        <v>1</v>
      </c>
      <c r="N98">
        <f>IF(COUNTIFS('United Data'!$A$3:$A$3390,N$1,'United Data'!$C$3:$C$3390,$A98,'United Data'!$B$3:$B$3390,"&lt;&gt;Off-street")&gt;0,1,0)</f>
        <v>1</v>
      </c>
      <c r="O98">
        <f>IF(COUNTIFS('United Data'!$A$3:$A$3390,O$1,'United Data'!$C$3:$C$3390,$A98,'United Data'!$B$3:$B$3390,"&lt;&gt;Off-street")&gt;0,1,0)</f>
        <v>1</v>
      </c>
      <c r="P98">
        <f>IF(COUNTIFS('United Data'!$A$3:$A$3390,P$1,'United Data'!$C$3:$C$3390,$A98,'United Data'!$B$3:$B$3390,"&lt;&gt;Off-street")&gt;0,1,0)</f>
        <v>0</v>
      </c>
      <c r="Q98">
        <f>IF(COUNTIFS('United Data'!$A$3:$A$3390,Q$1,'United Data'!$C$3:$C$3390,$A98,'United Data'!$B$3:$B$3390,"&lt;&gt;Off-street")&gt;0,1,0)</f>
        <v>1</v>
      </c>
      <c r="R98">
        <f>IF(COUNTIFS('United Data'!$A$3:$A$3390,R$1,'United Data'!$C$3:$C$3390,$A98,'United Data'!$B$3:$B$3390,"&lt;&gt;Off-street")&gt;0,1,0)</f>
        <v>0</v>
      </c>
      <c r="S98">
        <f t="shared" si="2"/>
        <v>6</v>
      </c>
      <c r="T98">
        <f t="shared" si="3"/>
        <v>3</v>
      </c>
    </row>
    <row r="99" spans="1:20" x14ac:dyDescent="0.2">
      <c r="A99" t="s">
        <v>147</v>
      </c>
      <c r="B99">
        <f>IF(COUNTIFS('United Data'!$A$3:$A$3390,B$1,'United Data'!$C$3:$C$3390,$A99,'United Data'!$B$3:$B$3390,"&lt;&gt;Off-street")&gt;0,1,0)</f>
        <v>0</v>
      </c>
      <c r="C99">
        <f>IF(COUNTIFS('United Data'!$A$3:$A$3390,C$1,'United Data'!$C$3:$C$3390,$A99,'United Data'!$B$3:$B$3390,"&lt;&gt;Off-street")&gt;0,1,0)</f>
        <v>1</v>
      </c>
      <c r="D99">
        <f>IF(COUNTIFS('United Data'!$A$3:$A$3390,D$1,'United Data'!$C$3:$C$3390,$A99,'United Data'!$B$3:$B$3390,"&lt;&gt;Off-street")&gt;0,1,0)</f>
        <v>1</v>
      </c>
      <c r="E99">
        <f>IF(COUNTIFS('United Data'!$A$3:$A$3390,E$1,'United Data'!$C$3:$C$3390,$A99,'United Data'!$B$3:$B$3390,"&lt;&gt;Off-street")&gt;0,1,0)</f>
        <v>1</v>
      </c>
      <c r="F99">
        <f>IF(COUNTIFS('United Data'!$A$3:$A$3390,F$1,'United Data'!$C$3:$C$3390,$A99,'United Data'!$B$3:$B$3390,"&lt;&gt;Off-street")&gt;0,1,0)</f>
        <v>1</v>
      </c>
      <c r="G99">
        <f>IF(COUNTIFS('United Data'!$A$3:$A$3390,G$1,'United Data'!$C$3:$C$3390,$A99,'United Data'!$B$3:$B$3390,"&lt;&gt;Off-street")&gt;0,1,0)</f>
        <v>1</v>
      </c>
      <c r="H99">
        <f>IF(COUNTIFS('United Data'!$A$3:$A$3390,H$1,'United Data'!$C$3:$C$3390,$A99,'United Data'!$B$3:$B$3390,"&lt;&gt;Off-street")&gt;0,1,0)</f>
        <v>1</v>
      </c>
      <c r="I99">
        <f>IF(COUNTIFS('United Data'!$A$3:$A$3390,I$1,'United Data'!$C$3:$C$3390,$A99,'United Data'!$B$3:$B$3390,"&lt;&gt;Off-street")&gt;0,1,0)</f>
        <v>1</v>
      </c>
      <c r="J99">
        <f>IF(COUNTIFS('United Data'!$A$3:$A$3390,J$1,'United Data'!$C$3:$C$3390,$A99,'United Data'!$B$3:$B$3390,"&lt;&gt;Off-street")&gt;0,1,0)</f>
        <v>1</v>
      </c>
      <c r="K99">
        <f>IF(COUNTIFS('United Data'!$A$3:$A$3390,K$1,'United Data'!$C$3:$C$3390,$A99,'United Data'!$B$3:$B$3390,"&lt;&gt;Off-street")&gt;0,1,0)</f>
        <v>1</v>
      </c>
      <c r="L99">
        <f>IF(COUNTIFS('United Data'!$A$3:$A$3390,L$1,'United Data'!$C$3:$C$3390,$A99,'United Data'!$B$3:$B$3390,"&lt;&gt;Off-street")&gt;0,1,0)</f>
        <v>1</v>
      </c>
      <c r="M99">
        <f>IF(COUNTIFS('United Data'!$A$3:$A$3390,M$1,'United Data'!$C$3:$C$3390,$A99,'United Data'!$B$3:$B$3390,"&lt;&gt;Off-street")&gt;0,1,0)</f>
        <v>1</v>
      </c>
      <c r="N99">
        <f>IF(COUNTIFS('United Data'!$A$3:$A$3390,N$1,'United Data'!$C$3:$C$3390,$A99,'United Data'!$B$3:$B$3390,"&lt;&gt;Off-street")&gt;0,1,0)</f>
        <v>1</v>
      </c>
      <c r="O99">
        <f>IF(COUNTIFS('United Data'!$A$3:$A$3390,O$1,'United Data'!$C$3:$C$3390,$A99,'United Data'!$B$3:$B$3390,"&lt;&gt;Off-street")&gt;0,1,0)</f>
        <v>1</v>
      </c>
      <c r="P99">
        <f>IF(COUNTIFS('United Data'!$A$3:$A$3390,P$1,'United Data'!$C$3:$C$3390,$A99,'United Data'!$B$3:$B$3390,"&lt;&gt;Off-street")&gt;0,1,0)</f>
        <v>0</v>
      </c>
      <c r="Q99">
        <f>IF(COUNTIFS('United Data'!$A$3:$A$3390,Q$1,'United Data'!$C$3:$C$3390,$A99,'United Data'!$B$3:$B$3390,"&lt;&gt;Off-street")&gt;0,1,0)</f>
        <v>0</v>
      </c>
      <c r="R99">
        <f>IF(COUNTIFS('United Data'!$A$3:$A$3390,R$1,'United Data'!$C$3:$C$3390,$A99,'United Data'!$B$3:$B$3390,"&lt;&gt;Off-street")&gt;0,1,0)</f>
        <v>0</v>
      </c>
      <c r="S99">
        <f t="shared" si="2"/>
        <v>13</v>
      </c>
      <c r="T99">
        <f t="shared" si="3"/>
        <v>1</v>
      </c>
    </row>
    <row r="100" spans="1:20" x14ac:dyDescent="0.2">
      <c r="A100" t="s">
        <v>148</v>
      </c>
      <c r="B100">
        <f>IF(COUNTIFS('United Data'!$A$3:$A$3390,B$1,'United Data'!$C$3:$C$3390,$A100,'United Data'!$B$3:$B$3390,"&lt;&gt;Off-street")&gt;0,1,0)</f>
        <v>0</v>
      </c>
      <c r="C100">
        <f>IF(COUNTIFS('United Data'!$A$3:$A$3390,C$1,'United Data'!$C$3:$C$3390,$A100,'United Data'!$B$3:$B$3390,"&lt;&gt;Off-street")&gt;0,1,0)</f>
        <v>1</v>
      </c>
      <c r="D100">
        <f>IF(COUNTIFS('United Data'!$A$3:$A$3390,D$1,'United Data'!$C$3:$C$3390,$A100,'United Data'!$B$3:$B$3390,"&lt;&gt;Off-street")&gt;0,1,0)</f>
        <v>0</v>
      </c>
      <c r="E100">
        <f>IF(COUNTIFS('United Data'!$A$3:$A$3390,E$1,'United Data'!$C$3:$C$3390,$A100,'United Data'!$B$3:$B$3390,"&lt;&gt;Off-street")&gt;0,1,0)</f>
        <v>0</v>
      </c>
      <c r="F100">
        <f>IF(COUNTIFS('United Data'!$A$3:$A$3390,F$1,'United Data'!$C$3:$C$3390,$A100,'United Data'!$B$3:$B$3390,"&lt;&gt;Off-street")&gt;0,1,0)</f>
        <v>0</v>
      </c>
      <c r="G100">
        <f>IF(COUNTIFS('United Data'!$A$3:$A$3390,G$1,'United Data'!$C$3:$C$3390,$A100,'United Data'!$B$3:$B$3390,"&lt;&gt;Off-street")&gt;0,1,0)</f>
        <v>0</v>
      </c>
      <c r="H100">
        <f>IF(COUNTIFS('United Data'!$A$3:$A$3390,H$1,'United Data'!$C$3:$C$3390,$A100,'United Data'!$B$3:$B$3390,"&lt;&gt;Off-street")&gt;0,1,0)</f>
        <v>0</v>
      </c>
      <c r="I100">
        <f>IF(COUNTIFS('United Data'!$A$3:$A$3390,I$1,'United Data'!$C$3:$C$3390,$A100,'United Data'!$B$3:$B$3390,"&lt;&gt;Off-street")&gt;0,1,0)</f>
        <v>0</v>
      </c>
      <c r="J100">
        <f>IF(COUNTIFS('United Data'!$A$3:$A$3390,J$1,'United Data'!$C$3:$C$3390,$A100,'United Data'!$B$3:$B$3390,"&lt;&gt;Off-street")&gt;0,1,0)</f>
        <v>0</v>
      </c>
      <c r="K100">
        <f>IF(COUNTIFS('United Data'!$A$3:$A$3390,K$1,'United Data'!$C$3:$C$3390,$A100,'United Data'!$B$3:$B$3390,"&lt;&gt;Off-street")&gt;0,1,0)</f>
        <v>0</v>
      </c>
      <c r="L100">
        <f>IF(COUNTIFS('United Data'!$A$3:$A$3390,L$1,'United Data'!$C$3:$C$3390,$A100,'United Data'!$B$3:$B$3390,"&lt;&gt;Off-street")&gt;0,1,0)</f>
        <v>0</v>
      </c>
      <c r="M100">
        <f>IF(COUNTIFS('United Data'!$A$3:$A$3390,M$1,'United Data'!$C$3:$C$3390,$A100,'United Data'!$B$3:$B$3390,"&lt;&gt;Off-street")&gt;0,1,0)</f>
        <v>0</v>
      </c>
      <c r="N100">
        <f>IF(COUNTIFS('United Data'!$A$3:$A$3390,N$1,'United Data'!$C$3:$C$3390,$A100,'United Data'!$B$3:$B$3390,"&lt;&gt;Off-street")&gt;0,1,0)</f>
        <v>0</v>
      </c>
      <c r="O100">
        <f>IF(COUNTIFS('United Data'!$A$3:$A$3390,O$1,'United Data'!$C$3:$C$3390,$A100,'United Data'!$B$3:$B$3390,"&lt;&gt;Off-street")&gt;0,1,0)</f>
        <v>0</v>
      </c>
      <c r="P100">
        <f>IF(COUNTIFS('United Data'!$A$3:$A$3390,P$1,'United Data'!$C$3:$C$3390,$A100,'United Data'!$B$3:$B$3390,"&lt;&gt;Off-street")&gt;0,1,0)</f>
        <v>0</v>
      </c>
      <c r="Q100">
        <f>IF(COUNTIFS('United Data'!$A$3:$A$3390,Q$1,'United Data'!$C$3:$C$3390,$A100,'United Data'!$B$3:$B$3390,"&lt;&gt;Off-street")&gt;0,1,0)</f>
        <v>0</v>
      </c>
      <c r="R100">
        <f>IF(COUNTIFS('United Data'!$A$3:$A$3390,R$1,'United Data'!$C$3:$C$3390,$A100,'United Data'!$B$3:$B$3390,"&lt;&gt;Off-street")&gt;0,1,0)</f>
        <v>0</v>
      </c>
      <c r="S100">
        <f t="shared" si="2"/>
        <v>1</v>
      </c>
      <c r="T100">
        <f t="shared" si="3"/>
        <v>1</v>
      </c>
    </row>
    <row r="101" spans="1:20" x14ac:dyDescent="0.2">
      <c r="A101" t="s">
        <v>149</v>
      </c>
      <c r="B101">
        <f>IF(COUNTIFS('United Data'!$A$3:$A$3390,B$1,'United Data'!$C$3:$C$3390,$A101,'United Data'!$B$3:$B$3390,"&lt;&gt;Off-street")&gt;0,1,0)</f>
        <v>0</v>
      </c>
      <c r="C101">
        <f>IF(COUNTIFS('United Data'!$A$3:$A$3390,C$1,'United Data'!$C$3:$C$3390,$A101,'United Data'!$B$3:$B$3390,"&lt;&gt;Off-street")&gt;0,1,0)</f>
        <v>1</v>
      </c>
      <c r="D101">
        <f>IF(COUNTIFS('United Data'!$A$3:$A$3390,D$1,'United Data'!$C$3:$C$3390,$A101,'United Data'!$B$3:$B$3390,"&lt;&gt;Off-street")&gt;0,1,0)</f>
        <v>1</v>
      </c>
      <c r="E101">
        <f>IF(COUNTIFS('United Data'!$A$3:$A$3390,E$1,'United Data'!$C$3:$C$3390,$A101,'United Data'!$B$3:$B$3390,"&lt;&gt;Off-street")&gt;0,1,0)</f>
        <v>0</v>
      </c>
      <c r="F101">
        <f>IF(COUNTIFS('United Data'!$A$3:$A$3390,F$1,'United Data'!$C$3:$C$3390,$A101,'United Data'!$B$3:$B$3390,"&lt;&gt;Off-street")&gt;0,1,0)</f>
        <v>0</v>
      </c>
      <c r="G101">
        <f>IF(COUNTIFS('United Data'!$A$3:$A$3390,G$1,'United Data'!$C$3:$C$3390,$A101,'United Data'!$B$3:$B$3390,"&lt;&gt;Off-street")&gt;0,1,0)</f>
        <v>0</v>
      </c>
      <c r="H101">
        <f>IF(COUNTIFS('United Data'!$A$3:$A$3390,H$1,'United Data'!$C$3:$C$3390,$A101,'United Data'!$B$3:$B$3390,"&lt;&gt;Off-street")&gt;0,1,0)</f>
        <v>0</v>
      </c>
      <c r="I101">
        <f>IF(COUNTIFS('United Data'!$A$3:$A$3390,I$1,'United Data'!$C$3:$C$3390,$A101,'United Data'!$B$3:$B$3390,"&lt;&gt;Off-street")&gt;0,1,0)</f>
        <v>0</v>
      </c>
      <c r="J101">
        <f>IF(COUNTIFS('United Data'!$A$3:$A$3390,J$1,'United Data'!$C$3:$C$3390,$A101,'United Data'!$B$3:$B$3390,"&lt;&gt;Off-street")&gt;0,1,0)</f>
        <v>0</v>
      </c>
      <c r="K101">
        <f>IF(COUNTIFS('United Data'!$A$3:$A$3390,K$1,'United Data'!$C$3:$C$3390,$A101,'United Data'!$B$3:$B$3390,"&lt;&gt;Off-street")&gt;0,1,0)</f>
        <v>0</v>
      </c>
      <c r="L101">
        <f>IF(COUNTIFS('United Data'!$A$3:$A$3390,L$1,'United Data'!$C$3:$C$3390,$A101,'United Data'!$B$3:$B$3390,"&lt;&gt;Off-street")&gt;0,1,0)</f>
        <v>0</v>
      </c>
      <c r="M101">
        <f>IF(COUNTIFS('United Data'!$A$3:$A$3390,M$1,'United Data'!$C$3:$C$3390,$A101,'United Data'!$B$3:$B$3390,"&lt;&gt;Off-street")&gt;0,1,0)</f>
        <v>0</v>
      </c>
      <c r="N101">
        <f>IF(COUNTIFS('United Data'!$A$3:$A$3390,N$1,'United Data'!$C$3:$C$3390,$A101,'United Data'!$B$3:$B$3390,"&lt;&gt;Off-street")&gt;0,1,0)</f>
        <v>0</v>
      </c>
      <c r="O101">
        <f>IF(COUNTIFS('United Data'!$A$3:$A$3390,O$1,'United Data'!$C$3:$C$3390,$A101,'United Data'!$B$3:$B$3390,"&lt;&gt;Off-street")&gt;0,1,0)</f>
        <v>0</v>
      </c>
      <c r="P101">
        <f>IF(COUNTIFS('United Data'!$A$3:$A$3390,P$1,'United Data'!$C$3:$C$3390,$A101,'United Data'!$B$3:$B$3390,"&lt;&gt;Off-street")&gt;0,1,0)</f>
        <v>0</v>
      </c>
      <c r="Q101">
        <f>IF(COUNTIFS('United Data'!$A$3:$A$3390,Q$1,'United Data'!$C$3:$C$3390,$A101,'United Data'!$B$3:$B$3390,"&lt;&gt;Off-street")&gt;0,1,0)</f>
        <v>0</v>
      </c>
      <c r="R101">
        <f>IF(COUNTIFS('United Data'!$A$3:$A$3390,R$1,'United Data'!$C$3:$C$3390,$A101,'United Data'!$B$3:$B$3390,"&lt;&gt;Off-street")&gt;0,1,0)</f>
        <v>0</v>
      </c>
      <c r="S101">
        <f t="shared" si="2"/>
        <v>2</v>
      </c>
      <c r="T101">
        <f t="shared" si="3"/>
        <v>1</v>
      </c>
    </row>
    <row r="102" spans="1:20" x14ac:dyDescent="0.2">
      <c r="A102" t="s">
        <v>150</v>
      </c>
      <c r="B102">
        <f>IF(COUNTIFS('United Data'!$A$3:$A$3390,B$1,'United Data'!$C$3:$C$3390,$A102,'United Data'!$B$3:$B$3390,"&lt;&gt;Off-street")&gt;0,1,0)</f>
        <v>0</v>
      </c>
      <c r="C102">
        <f>IF(COUNTIFS('United Data'!$A$3:$A$3390,C$1,'United Data'!$C$3:$C$3390,$A102,'United Data'!$B$3:$B$3390,"&lt;&gt;Off-street")&gt;0,1,0)</f>
        <v>0</v>
      </c>
      <c r="D102">
        <f>IF(COUNTIFS('United Data'!$A$3:$A$3390,D$1,'United Data'!$C$3:$C$3390,$A102,'United Data'!$B$3:$B$3390,"&lt;&gt;Off-street")&gt;0,1,0)</f>
        <v>1</v>
      </c>
      <c r="E102">
        <f>IF(COUNTIFS('United Data'!$A$3:$A$3390,E$1,'United Data'!$C$3:$C$3390,$A102,'United Data'!$B$3:$B$3390,"&lt;&gt;Off-street")&gt;0,1,0)</f>
        <v>0</v>
      </c>
      <c r="F102">
        <f>IF(COUNTIFS('United Data'!$A$3:$A$3390,F$1,'United Data'!$C$3:$C$3390,$A102,'United Data'!$B$3:$B$3390,"&lt;&gt;Off-street")&gt;0,1,0)</f>
        <v>0</v>
      </c>
      <c r="G102">
        <f>IF(COUNTIFS('United Data'!$A$3:$A$3390,G$1,'United Data'!$C$3:$C$3390,$A102,'United Data'!$B$3:$B$3390,"&lt;&gt;Off-street")&gt;0,1,0)</f>
        <v>0</v>
      </c>
      <c r="H102">
        <f>IF(COUNTIFS('United Data'!$A$3:$A$3390,H$1,'United Data'!$C$3:$C$3390,$A102,'United Data'!$B$3:$B$3390,"&lt;&gt;Off-street")&gt;0,1,0)</f>
        <v>0</v>
      </c>
      <c r="I102">
        <f>IF(COUNTIFS('United Data'!$A$3:$A$3390,I$1,'United Data'!$C$3:$C$3390,$A102,'United Data'!$B$3:$B$3390,"&lt;&gt;Off-street")&gt;0,1,0)</f>
        <v>0</v>
      </c>
      <c r="J102">
        <f>IF(COUNTIFS('United Data'!$A$3:$A$3390,J$1,'United Data'!$C$3:$C$3390,$A102,'United Data'!$B$3:$B$3390,"&lt;&gt;Off-street")&gt;0,1,0)</f>
        <v>0</v>
      </c>
      <c r="K102">
        <f>IF(COUNTIFS('United Data'!$A$3:$A$3390,K$1,'United Data'!$C$3:$C$3390,$A102,'United Data'!$B$3:$B$3390,"&lt;&gt;Off-street")&gt;0,1,0)</f>
        <v>0</v>
      </c>
      <c r="L102">
        <f>IF(COUNTIFS('United Data'!$A$3:$A$3390,L$1,'United Data'!$C$3:$C$3390,$A102,'United Data'!$B$3:$B$3390,"&lt;&gt;Off-street")&gt;0,1,0)</f>
        <v>0</v>
      </c>
      <c r="M102">
        <f>IF(COUNTIFS('United Data'!$A$3:$A$3390,M$1,'United Data'!$C$3:$C$3390,$A102,'United Data'!$B$3:$B$3390,"&lt;&gt;Off-street")&gt;0,1,0)</f>
        <v>0</v>
      </c>
      <c r="N102">
        <f>IF(COUNTIFS('United Data'!$A$3:$A$3390,N$1,'United Data'!$C$3:$C$3390,$A102,'United Data'!$B$3:$B$3390,"&lt;&gt;Off-street")&gt;0,1,0)</f>
        <v>0</v>
      </c>
      <c r="O102">
        <f>IF(COUNTIFS('United Data'!$A$3:$A$3390,O$1,'United Data'!$C$3:$C$3390,$A102,'United Data'!$B$3:$B$3390,"&lt;&gt;Off-street")&gt;0,1,0)</f>
        <v>0</v>
      </c>
      <c r="P102">
        <f>IF(COUNTIFS('United Data'!$A$3:$A$3390,P$1,'United Data'!$C$3:$C$3390,$A102,'United Data'!$B$3:$B$3390,"&lt;&gt;Off-street")&gt;0,1,0)</f>
        <v>0</v>
      </c>
      <c r="Q102">
        <f>IF(COUNTIFS('United Data'!$A$3:$A$3390,Q$1,'United Data'!$C$3:$C$3390,$A102,'United Data'!$B$3:$B$3390,"&lt;&gt;Off-street")&gt;0,1,0)</f>
        <v>0</v>
      </c>
      <c r="R102">
        <f>IF(COUNTIFS('United Data'!$A$3:$A$3390,R$1,'United Data'!$C$3:$C$3390,$A102,'United Data'!$B$3:$B$3390,"&lt;&gt;Off-street")&gt;0,1,0)</f>
        <v>0</v>
      </c>
      <c r="S102">
        <f t="shared" si="2"/>
        <v>1</v>
      </c>
      <c r="T102">
        <f t="shared" si="3"/>
        <v>1</v>
      </c>
    </row>
    <row r="103" spans="1:20" x14ac:dyDescent="0.2">
      <c r="A103" t="s">
        <v>154</v>
      </c>
      <c r="B103">
        <f>IF(COUNTIFS('United Data'!$A$3:$A$3390,B$1,'United Data'!$C$3:$C$3390,$A103,'United Data'!$B$3:$B$3390,"&lt;&gt;Off-street")&gt;0,1,0)</f>
        <v>0</v>
      </c>
      <c r="C103">
        <f>IF(COUNTIFS('United Data'!$A$3:$A$3390,C$1,'United Data'!$C$3:$C$3390,$A103,'United Data'!$B$3:$B$3390,"&lt;&gt;Off-street")&gt;0,1,0)</f>
        <v>0</v>
      </c>
      <c r="D103">
        <f>IF(COUNTIFS('United Data'!$A$3:$A$3390,D$1,'United Data'!$C$3:$C$3390,$A103,'United Data'!$B$3:$B$3390,"&lt;&gt;Off-street")&gt;0,1,0)</f>
        <v>1</v>
      </c>
      <c r="E103">
        <f>IF(COUNTIFS('United Data'!$A$3:$A$3390,E$1,'United Data'!$C$3:$C$3390,$A103,'United Data'!$B$3:$B$3390,"&lt;&gt;Off-street")&gt;0,1,0)</f>
        <v>0</v>
      </c>
      <c r="F103">
        <f>IF(COUNTIFS('United Data'!$A$3:$A$3390,F$1,'United Data'!$C$3:$C$3390,$A103,'United Data'!$B$3:$B$3390,"&lt;&gt;Off-street")&gt;0,1,0)</f>
        <v>0</v>
      </c>
      <c r="G103">
        <f>IF(COUNTIFS('United Data'!$A$3:$A$3390,G$1,'United Data'!$C$3:$C$3390,$A103,'United Data'!$B$3:$B$3390,"&lt;&gt;Off-street")&gt;0,1,0)</f>
        <v>0</v>
      </c>
      <c r="H103">
        <f>IF(COUNTIFS('United Data'!$A$3:$A$3390,H$1,'United Data'!$C$3:$C$3390,$A103,'United Data'!$B$3:$B$3390,"&lt;&gt;Off-street")&gt;0,1,0)</f>
        <v>0</v>
      </c>
      <c r="I103">
        <f>IF(COUNTIFS('United Data'!$A$3:$A$3390,I$1,'United Data'!$C$3:$C$3390,$A103,'United Data'!$B$3:$B$3390,"&lt;&gt;Off-street")&gt;0,1,0)</f>
        <v>0</v>
      </c>
      <c r="J103">
        <f>IF(COUNTIFS('United Data'!$A$3:$A$3390,J$1,'United Data'!$C$3:$C$3390,$A103,'United Data'!$B$3:$B$3390,"&lt;&gt;Off-street")&gt;0,1,0)</f>
        <v>0</v>
      </c>
      <c r="K103">
        <f>IF(COUNTIFS('United Data'!$A$3:$A$3390,K$1,'United Data'!$C$3:$C$3390,$A103,'United Data'!$B$3:$B$3390,"&lt;&gt;Off-street")&gt;0,1,0)</f>
        <v>0</v>
      </c>
      <c r="L103">
        <f>IF(COUNTIFS('United Data'!$A$3:$A$3390,L$1,'United Data'!$C$3:$C$3390,$A103,'United Data'!$B$3:$B$3390,"&lt;&gt;Off-street")&gt;0,1,0)</f>
        <v>0</v>
      </c>
      <c r="M103">
        <f>IF(COUNTIFS('United Data'!$A$3:$A$3390,M$1,'United Data'!$C$3:$C$3390,$A103,'United Data'!$B$3:$B$3390,"&lt;&gt;Off-street")&gt;0,1,0)</f>
        <v>0</v>
      </c>
      <c r="N103">
        <f>IF(COUNTIFS('United Data'!$A$3:$A$3390,N$1,'United Data'!$C$3:$C$3390,$A103,'United Data'!$B$3:$B$3390,"&lt;&gt;Off-street")&gt;0,1,0)</f>
        <v>0</v>
      </c>
      <c r="O103">
        <f>IF(COUNTIFS('United Data'!$A$3:$A$3390,O$1,'United Data'!$C$3:$C$3390,$A103,'United Data'!$B$3:$B$3390,"&lt;&gt;Off-street")&gt;0,1,0)</f>
        <v>0</v>
      </c>
      <c r="P103">
        <f>IF(COUNTIFS('United Data'!$A$3:$A$3390,P$1,'United Data'!$C$3:$C$3390,$A103,'United Data'!$B$3:$B$3390,"&lt;&gt;Off-street")&gt;0,1,0)</f>
        <v>0</v>
      </c>
      <c r="Q103">
        <f>IF(COUNTIFS('United Data'!$A$3:$A$3390,Q$1,'United Data'!$C$3:$C$3390,$A103,'United Data'!$B$3:$B$3390,"&lt;&gt;Off-street")&gt;0,1,0)</f>
        <v>0</v>
      </c>
      <c r="R103">
        <f>IF(COUNTIFS('United Data'!$A$3:$A$3390,R$1,'United Data'!$C$3:$C$3390,$A103,'United Data'!$B$3:$B$3390,"&lt;&gt;Off-street")&gt;0,1,0)</f>
        <v>0</v>
      </c>
      <c r="S103">
        <f t="shared" si="2"/>
        <v>1</v>
      </c>
      <c r="T103">
        <f t="shared" si="3"/>
        <v>1</v>
      </c>
    </row>
    <row r="104" spans="1:20" x14ac:dyDescent="0.2">
      <c r="A104" t="s">
        <v>156</v>
      </c>
      <c r="B104">
        <f>IF(COUNTIFS('United Data'!$A$3:$A$3390,B$1,'United Data'!$C$3:$C$3390,$A104,'United Data'!$B$3:$B$3390,"&lt;&gt;Off-street")&gt;0,1,0)</f>
        <v>0</v>
      </c>
      <c r="C104">
        <f>IF(COUNTIFS('United Data'!$A$3:$A$3390,C$1,'United Data'!$C$3:$C$3390,$A104,'United Data'!$B$3:$B$3390,"&lt;&gt;Off-street")&gt;0,1,0)</f>
        <v>0</v>
      </c>
      <c r="D104">
        <f>IF(COUNTIFS('United Data'!$A$3:$A$3390,D$1,'United Data'!$C$3:$C$3390,$A104,'United Data'!$B$3:$B$3390,"&lt;&gt;Off-street")&gt;0,1,0)</f>
        <v>1</v>
      </c>
      <c r="E104">
        <f>IF(COUNTIFS('United Data'!$A$3:$A$3390,E$1,'United Data'!$C$3:$C$3390,$A104,'United Data'!$B$3:$B$3390,"&lt;&gt;Off-street")&gt;0,1,0)</f>
        <v>1</v>
      </c>
      <c r="F104">
        <f>IF(COUNTIFS('United Data'!$A$3:$A$3390,F$1,'United Data'!$C$3:$C$3390,$A104,'United Data'!$B$3:$B$3390,"&lt;&gt;Off-street")&gt;0,1,0)</f>
        <v>1</v>
      </c>
      <c r="G104">
        <f>IF(COUNTIFS('United Data'!$A$3:$A$3390,G$1,'United Data'!$C$3:$C$3390,$A104,'United Data'!$B$3:$B$3390,"&lt;&gt;Off-street")&gt;0,1,0)</f>
        <v>1</v>
      </c>
      <c r="H104">
        <f>IF(COUNTIFS('United Data'!$A$3:$A$3390,H$1,'United Data'!$C$3:$C$3390,$A104,'United Data'!$B$3:$B$3390,"&lt;&gt;Off-street")&gt;0,1,0)</f>
        <v>0</v>
      </c>
      <c r="I104">
        <f>IF(COUNTIFS('United Data'!$A$3:$A$3390,I$1,'United Data'!$C$3:$C$3390,$A104,'United Data'!$B$3:$B$3390,"&lt;&gt;Off-street")&gt;0,1,0)</f>
        <v>0</v>
      </c>
      <c r="J104">
        <f>IF(COUNTIFS('United Data'!$A$3:$A$3390,J$1,'United Data'!$C$3:$C$3390,$A104,'United Data'!$B$3:$B$3390,"&lt;&gt;Off-street")&gt;0,1,0)</f>
        <v>0</v>
      </c>
      <c r="K104">
        <f>IF(COUNTIFS('United Data'!$A$3:$A$3390,K$1,'United Data'!$C$3:$C$3390,$A104,'United Data'!$B$3:$B$3390,"&lt;&gt;Off-street")&gt;0,1,0)</f>
        <v>0</v>
      </c>
      <c r="L104">
        <f>IF(COUNTIFS('United Data'!$A$3:$A$3390,L$1,'United Data'!$C$3:$C$3390,$A104,'United Data'!$B$3:$B$3390,"&lt;&gt;Off-street")&gt;0,1,0)</f>
        <v>1</v>
      </c>
      <c r="M104">
        <f>IF(COUNTIFS('United Data'!$A$3:$A$3390,M$1,'United Data'!$C$3:$C$3390,$A104,'United Data'!$B$3:$B$3390,"&lt;&gt;Off-street")&gt;0,1,0)</f>
        <v>0</v>
      </c>
      <c r="N104">
        <f>IF(COUNTIFS('United Data'!$A$3:$A$3390,N$1,'United Data'!$C$3:$C$3390,$A104,'United Data'!$B$3:$B$3390,"&lt;&gt;Off-street")&gt;0,1,0)</f>
        <v>0</v>
      </c>
      <c r="O104">
        <f>IF(COUNTIFS('United Data'!$A$3:$A$3390,O$1,'United Data'!$C$3:$C$3390,$A104,'United Data'!$B$3:$B$3390,"&lt;&gt;Off-street")&gt;0,1,0)</f>
        <v>0</v>
      </c>
      <c r="P104">
        <f>IF(COUNTIFS('United Data'!$A$3:$A$3390,P$1,'United Data'!$C$3:$C$3390,$A104,'United Data'!$B$3:$B$3390,"&lt;&gt;Off-street")&gt;0,1,0)</f>
        <v>0</v>
      </c>
      <c r="Q104">
        <f>IF(COUNTIFS('United Data'!$A$3:$A$3390,Q$1,'United Data'!$C$3:$C$3390,$A104,'United Data'!$B$3:$B$3390,"&lt;&gt;Off-street")&gt;0,1,0)</f>
        <v>0</v>
      </c>
      <c r="R104">
        <f>IF(COUNTIFS('United Data'!$A$3:$A$3390,R$1,'United Data'!$C$3:$C$3390,$A104,'United Data'!$B$3:$B$3390,"&lt;&gt;Off-street")&gt;0,1,0)</f>
        <v>0</v>
      </c>
      <c r="S104">
        <f t="shared" si="2"/>
        <v>5</v>
      </c>
      <c r="T104">
        <f t="shared" si="3"/>
        <v>2</v>
      </c>
    </row>
    <row r="105" spans="1:20" x14ac:dyDescent="0.2">
      <c r="A105" t="s">
        <v>158</v>
      </c>
      <c r="B105">
        <f>IF(COUNTIFS('United Data'!$A$3:$A$3390,B$1,'United Data'!$C$3:$C$3390,$A105,'United Data'!$B$3:$B$3390,"&lt;&gt;Off-street")&gt;0,1,0)</f>
        <v>0</v>
      </c>
      <c r="C105">
        <f>IF(COUNTIFS('United Data'!$A$3:$A$3390,C$1,'United Data'!$C$3:$C$3390,$A105,'United Data'!$B$3:$B$3390,"&lt;&gt;Off-street")&gt;0,1,0)</f>
        <v>0</v>
      </c>
      <c r="D105">
        <f>IF(COUNTIFS('United Data'!$A$3:$A$3390,D$1,'United Data'!$C$3:$C$3390,$A105,'United Data'!$B$3:$B$3390,"&lt;&gt;Off-street")&gt;0,1,0)</f>
        <v>0</v>
      </c>
      <c r="E105">
        <f>IF(COUNTIFS('United Data'!$A$3:$A$3390,E$1,'United Data'!$C$3:$C$3390,$A105,'United Data'!$B$3:$B$3390,"&lt;&gt;Off-street")&gt;0,1,0)</f>
        <v>1</v>
      </c>
      <c r="F105">
        <f>IF(COUNTIFS('United Data'!$A$3:$A$3390,F$1,'United Data'!$C$3:$C$3390,$A105,'United Data'!$B$3:$B$3390,"&lt;&gt;Off-street")&gt;0,1,0)</f>
        <v>0</v>
      </c>
      <c r="G105">
        <f>IF(COUNTIFS('United Data'!$A$3:$A$3390,G$1,'United Data'!$C$3:$C$3390,$A105,'United Data'!$B$3:$B$3390,"&lt;&gt;Off-street")&gt;0,1,0)</f>
        <v>1</v>
      </c>
      <c r="H105">
        <f>IF(COUNTIFS('United Data'!$A$3:$A$3390,H$1,'United Data'!$C$3:$C$3390,$A105,'United Data'!$B$3:$B$3390,"&lt;&gt;Off-street")&gt;0,1,0)</f>
        <v>1</v>
      </c>
      <c r="I105">
        <f>IF(COUNTIFS('United Data'!$A$3:$A$3390,I$1,'United Data'!$C$3:$C$3390,$A105,'United Data'!$B$3:$B$3390,"&lt;&gt;Off-street")&gt;0,1,0)</f>
        <v>1</v>
      </c>
      <c r="J105">
        <f>IF(COUNTIFS('United Data'!$A$3:$A$3390,J$1,'United Data'!$C$3:$C$3390,$A105,'United Data'!$B$3:$B$3390,"&lt;&gt;Off-street")&gt;0,1,0)</f>
        <v>1</v>
      </c>
      <c r="K105">
        <f>IF(COUNTIFS('United Data'!$A$3:$A$3390,K$1,'United Data'!$C$3:$C$3390,$A105,'United Data'!$B$3:$B$3390,"&lt;&gt;Off-street")&gt;0,1,0)</f>
        <v>1</v>
      </c>
      <c r="L105">
        <f>IF(COUNTIFS('United Data'!$A$3:$A$3390,L$1,'United Data'!$C$3:$C$3390,$A105,'United Data'!$B$3:$B$3390,"&lt;&gt;Off-street")&gt;0,1,0)</f>
        <v>1</v>
      </c>
      <c r="M105">
        <f>IF(COUNTIFS('United Data'!$A$3:$A$3390,M$1,'United Data'!$C$3:$C$3390,$A105,'United Data'!$B$3:$B$3390,"&lt;&gt;Off-street")&gt;0,1,0)</f>
        <v>0</v>
      </c>
      <c r="N105">
        <f>IF(COUNTIFS('United Data'!$A$3:$A$3390,N$1,'United Data'!$C$3:$C$3390,$A105,'United Data'!$B$3:$B$3390,"&lt;&gt;Off-street")&gt;0,1,0)</f>
        <v>1</v>
      </c>
      <c r="O105">
        <f>IF(COUNTIFS('United Data'!$A$3:$A$3390,O$1,'United Data'!$C$3:$C$3390,$A105,'United Data'!$B$3:$B$3390,"&lt;&gt;Off-street")&gt;0,1,0)</f>
        <v>0</v>
      </c>
      <c r="P105">
        <f>IF(COUNTIFS('United Data'!$A$3:$A$3390,P$1,'United Data'!$C$3:$C$3390,$A105,'United Data'!$B$3:$B$3390,"&lt;&gt;Off-street")&gt;0,1,0)</f>
        <v>0</v>
      </c>
      <c r="Q105">
        <f>IF(COUNTIFS('United Data'!$A$3:$A$3390,Q$1,'United Data'!$C$3:$C$3390,$A105,'United Data'!$B$3:$B$3390,"&lt;&gt;Off-street")&gt;0,1,0)</f>
        <v>0</v>
      </c>
      <c r="R105">
        <f>IF(COUNTIFS('United Data'!$A$3:$A$3390,R$1,'United Data'!$C$3:$C$3390,$A105,'United Data'!$B$3:$B$3390,"&lt;&gt;Off-street")&gt;0,1,0)</f>
        <v>0</v>
      </c>
      <c r="S105">
        <f t="shared" si="2"/>
        <v>8</v>
      </c>
      <c r="T105">
        <f t="shared" si="3"/>
        <v>3</v>
      </c>
    </row>
    <row r="106" spans="1:20" x14ac:dyDescent="0.2">
      <c r="A106" t="s">
        <v>159</v>
      </c>
      <c r="B106">
        <f>IF(COUNTIFS('United Data'!$A$3:$A$3390,B$1,'United Data'!$C$3:$C$3390,$A106,'United Data'!$B$3:$B$3390,"&lt;&gt;Off-street")&gt;0,1,0)</f>
        <v>0</v>
      </c>
      <c r="C106">
        <f>IF(COUNTIFS('United Data'!$A$3:$A$3390,C$1,'United Data'!$C$3:$C$3390,$A106,'United Data'!$B$3:$B$3390,"&lt;&gt;Off-street")&gt;0,1,0)</f>
        <v>0</v>
      </c>
      <c r="D106">
        <f>IF(COUNTIFS('United Data'!$A$3:$A$3390,D$1,'United Data'!$C$3:$C$3390,$A106,'United Data'!$B$3:$B$3390,"&lt;&gt;Off-street")&gt;0,1,0)</f>
        <v>0</v>
      </c>
      <c r="E106">
        <f>IF(COUNTIFS('United Data'!$A$3:$A$3390,E$1,'United Data'!$C$3:$C$3390,$A106,'United Data'!$B$3:$B$3390,"&lt;&gt;Off-street")&gt;0,1,0)</f>
        <v>1</v>
      </c>
      <c r="F106">
        <f>IF(COUNTIFS('United Data'!$A$3:$A$3390,F$1,'United Data'!$C$3:$C$3390,$A106,'United Data'!$B$3:$B$3390,"&lt;&gt;Off-street")&gt;0,1,0)</f>
        <v>0</v>
      </c>
      <c r="G106">
        <f>IF(COUNTIFS('United Data'!$A$3:$A$3390,G$1,'United Data'!$C$3:$C$3390,$A106,'United Data'!$B$3:$B$3390,"&lt;&gt;Off-street")&gt;0,1,0)</f>
        <v>0</v>
      </c>
      <c r="H106">
        <f>IF(COUNTIFS('United Data'!$A$3:$A$3390,H$1,'United Data'!$C$3:$C$3390,$A106,'United Data'!$B$3:$B$3390,"&lt;&gt;Off-street")&gt;0,1,0)</f>
        <v>0</v>
      </c>
      <c r="I106">
        <f>IF(COUNTIFS('United Data'!$A$3:$A$3390,I$1,'United Data'!$C$3:$C$3390,$A106,'United Data'!$B$3:$B$3390,"&lt;&gt;Off-street")&gt;0,1,0)</f>
        <v>0</v>
      </c>
      <c r="J106">
        <f>IF(COUNTIFS('United Data'!$A$3:$A$3390,J$1,'United Data'!$C$3:$C$3390,$A106,'United Data'!$B$3:$B$3390,"&lt;&gt;Off-street")&gt;0,1,0)</f>
        <v>0</v>
      </c>
      <c r="K106">
        <f>IF(COUNTIFS('United Data'!$A$3:$A$3390,K$1,'United Data'!$C$3:$C$3390,$A106,'United Data'!$B$3:$B$3390,"&lt;&gt;Off-street")&gt;0,1,0)</f>
        <v>0</v>
      </c>
      <c r="L106">
        <f>IF(COUNTIFS('United Data'!$A$3:$A$3390,L$1,'United Data'!$C$3:$C$3390,$A106,'United Data'!$B$3:$B$3390,"&lt;&gt;Off-street")&gt;0,1,0)</f>
        <v>0</v>
      </c>
      <c r="M106">
        <f>IF(COUNTIFS('United Data'!$A$3:$A$3390,M$1,'United Data'!$C$3:$C$3390,$A106,'United Data'!$B$3:$B$3390,"&lt;&gt;Off-street")&gt;0,1,0)</f>
        <v>0</v>
      </c>
      <c r="N106">
        <f>IF(COUNTIFS('United Data'!$A$3:$A$3390,N$1,'United Data'!$C$3:$C$3390,$A106,'United Data'!$B$3:$B$3390,"&lt;&gt;Off-street")&gt;0,1,0)</f>
        <v>0</v>
      </c>
      <c r="O106">
        <f>IF(COUNTIFS('United Data'!$A$3:$A$3390,O$1,'United Data'!$C$3:$C$3390,$A106,'United Data'!$B$3:$B$3390,"&lt;&gt;Off-street")&gt;0,1,0)</f>
        <v>0</v>
      </c>
      <c r="P106">
        <f>IF(COUNTIFS('United Data'!$A$3:$A$3390,P$1,'United Data'!$C$3:$C$3390,$A106,'United Data'!$B$3:$B$3390,"&lt;&gt;Off-street")&gt;0,1,0)</f>
        <v>0</v>
      </c>
      <c r="Q106">
        <f>IF(COUNTIFS('United Data'!$A$3:$A$3390,Q$1,'United Data'!$C$3:$C$3390,$A106,'United Data'!$B$3:$B$3390,"&lt;&gt;Off-street")&gt;0,1,0)</f>
        <v>0</v>
      </c>
      <c r="R106">
        <f>IF(COUNTIFS('United Data'!$A$3:$A$3390,R$1,'United Data'!$C$3:$C$3390,$A106,'United Data'!$B$3:$B$3390,"&lt;&gt;Off-street")&gt;0,1,0)</f>
        <v>0</v>
      </c>
      <c r="S106">
        <f t="shared" si="2"/>
        <v>1</v>
      </c>
      <c r="T106">
        <f t="shared" si="3"/>
        <v>1</v>
      </c>
    </row>
    <row r="107" spans="1:20" x14ac:dyDescent="0.2">
      <c r="A107" t="s">
        <v>160</v>
      </c>
      <c r="B107">
        <f>IF(COUNTIFS('United Data'!$A$3:$A$3390,B$1,'United Data'!$C$3:$C$3390,$A107,'United Data'!$B$3:$B$3390,"&lt;&gt;Off-street")&gt;0,1,0)</f>
        <v>0</v>
      </c>
      <c r="C107">
        <f>IF(COUNTIFS('United Data'!$A$3:$A$3390,C$1,'United Data'!$C$3:$C$3390,$A107,'United Data'!$B$3:$B$3390,"&lt;&gt;Off-street")&gt;0,1,0)</f>
        <v>0</v>
      </c>
      <c r="D107">
        <f>IF(COUNTIFS('United Data'!$A$3:$A$3390,D$1,'United Data'!$C$3:$C$3390,$A107,'United Data'!$B$3:$B$3390,"&lt;&gt;Off-street")&gt;0,1,0)</f>
        <v>0</v>
      </c>
      <c r="E107">
        <f>IF(COUNTIFS('United Data'!$A$3:$A$3390,E$1,'United Data'!$C$3:$C$3390,$A107,'United Data'!$B$3:$B$3390,"&lt;&gt;Off-street")&gt;0,1,0)</f>
        <v>1</v>
      </c>
      <c r="F107">
        <f>IF(COUNTIFS('United Data'!$A$3:$A$3390,F$1,'United Data'!$C$3:$C$3390,$A107,'United Data'!$B$3:$B$3390,"&lt;&gt;Off-street")&gt;0,1,0)</f>
        <v>0</v>
      </c>
      <c r="G107">
        <f>IF(COUNTIFS('United Data'!$A$3:$A$3390,G$1,'United Data'!$C$3:$C$3390,$A107,'United Data'!$B$3:$B$3390,"&lt;&gt;Off-street")&gt;0,1,0)</f>
        <v>0</v>
      </c>
      <c r="H107">
        <f>IF(COUNTIFS('United Data'!$A$3:$A$3390,H$1,'United Data'!$C$3:$C$3390,$A107,'United Data'!$B$3:$B$3390,"&lt;&gt;Off-street")&gt;0,1,0)</f>
        <v>0</v>
      </c>
      <c r="I107">
        <f>IF(COUNTIFS('United Data'!$A$3:$A$3390,I$1,'United Data'!$C$3:$C$3390,$A107,'United Data'!$B$3:$B$3390,"&lt;&gt;Off-street")&gt;0,1,0)</f>
        <v>0</v>
      </c>
      <c r="J107">
        <f>IF(COUNTIFS('United Data'!$A$3:$A$3390,J$1,'United Data'!$C$3:$C$3390,$A107,'United Data'!$B$3:$B$3390,"&lt;&gt;Off-street")&gt;0,1,0)</f>
        <v>0</v>
      </c>
      <c r="K107">
        <f>IF(COUNTIFS('United Data'!$A$3:$A$3390,K$1,'United Data'!$C$3:$C$3390,$A107,'United Data'!$B$3:$B$3390,"&lt;&gt;Off-street")&gt;0,1,0)</f>
        <v>0</v>
      </c>
      <c r="L107">
        <f>IF(COUNTIFS('United Data'!$A$3:$A$3390,L$1,'United Data'!$C$3:$C$3390,$A107,'United Data'!$B$3:$B$3390,"&lt;&gt;Off-street")&gt;0,1,0)</f>
        <v>0</v>
      </c>
      <c r="M107">
        <f>IF(COUNTIFS('United Data'!$A$3:$A$3390,M$1,'United Data'!$C$3:$C$3390,$A107,'United Data'!$B$3:$B$3390,"&lt;&gt;Off-street")&gt;0,1,0)</f>
        <v>0</v>
      </c>
      <c r="N107">
        <f>IF(COUNTIFS('United Data'!$A$3:$A$3390,N$1,'United Data'!$C$3:$C$3390,$A107,'United Data'!$B$3:$B$3390,"&lt;&gt;Off-street")&gt;0,1,0)</f>
        <v>0</v>
      </c>
      <c r="O107">
        <f>IF(COUNTIFS('United Data'!$A$3:$A$3390,O$1,'United Data'!$C$3:$C$3390,$A107,'United Data'!$B$3:$B$3390,"&lt;&gt;Off-street")&gt;0,1,0)</f>
        <v>0</v>
      </c>
      <c r="P107">
        <f>IF(COUNTIFS('United Data'!$A$3:$A$3390,P$1,'United Data'!$C$3:$C$3390,$A107,'United Data'!$B$3:$B$3390,"&lt;&gt;Off-street")&gt;0,1,0)</f>
        <v>0</v>
      </c>
      <c r="Q107">
        <f>IF(COUNTIFS('United Data'!$A$3:$A$3390,Q$1,'United Data'!$C$3:$C$3390,$A107,'United Data'!$B$3:$B$3390,"&lt;&gt;Off-street")&gt;0,1,0)</f>
        <v>0</v>
      </c>
      <c r="R107">
        <f>IF(COUNTIFS('United Data'!$A$3:$A$3390,R$1,'United Data'!$C$3:$C$3390,$A107,'United Data'!$B$3:$B$3390,"&lt;&gt;Off-street")&gt;0,1,0)</f>
        <v>0</v>
      </c>
      <c r="S107">
        <f t="shared" si="2"/>
        <v>1</v>
      </c>
      <c r="T107">
        <f t="shared" si="3"/>
        <v>1</v>
      </c>
    </row>
    <row r="108" spans="1:20" x14ac:dyDescent="0.2">
      <c r="A108" t="s">
        <v>161</v>
      </c>
      <c r="B108">
        <f>IF(COUNTIFS('United Data'!$A$3:$A$3390,B$1,'United Data'!$C$3:$C$3390,$A108,'United Data'!$B$3:$B$3390,"&lt;&gt;Off-street")&gt;0,1,0)</f>
        <v>0</v>
      </c>
      <c r="C108">
        <f>IF(COUNTIFS('United Data'!$A$3:$A$3390,C$1,'United Data'!$C$3:$C$3390,$A108,'United Data'!$B$3:$B$3390,"&lt;&gt;Off-street")&gt;0,1,0)</f>
        <v>0</v>
      </c>
      <c r="D108">
        <f>IF(COUNTIFS('United Data'!$A$3:$A$3390,D$1,'United Data'!$C$3:$C$3390,$A108,'United Data'!$B$3:$B$3390,"&lt;&gt;Off-street")&gt;0,1,0)</f>
        <v>0</v>
      </c>
      <c r="E108">
        <f>IF(COUNTIFS('United Data'!$A$3:$A$3390,E$1,'United Data'!$C$3:$C$3390,$A108,'United Data'!$B$3:$B$3390,"&lt;&gt;Off-street")&gt;0,1,0)</f>
        <v>1</v>
      </c>
      <c r="F108">
        <f>IF(COUNTIFS('United Data'!$A$3:$A$3390,F$1,'United Data'!$C$3:$C$3390,$A108,'United Data'!$B$3:$B$3390,"&lt;&gt;Off-street")&gt;0,1,0)</f>
        <v>0</v>
      </c>
      <c r="G108">
        <f>IF(COUNTIFS('United Data'!$A$3:$A$3390,G$1,'United Data'!$C$3:$C$3390,$A108,'United Data'!$B$3:$B$3390,"&lt;&gt;Off-street")&gt;0,1,0)</f>
        <v>0</v>
      </c>
      <c r="H108">
        <f>IF(COUNTIFS('United Data'!$A$3:$A$3390,H$1,'United Data'!$C$3:$C$3390,$A108,'United Data'!$B$3:$B$3390,"&lt;&gt;Off-street")&gt;0,1,0)</f>
        <v>0</v>
      </c>
      <c r="I108">
        <f>IF(COUNTIFS('United Data'!$A$3:$A$3390,I$1,'United Data'!$C$3:$C$3390,$A108,'United Data'!$B$3:$B$3390,"&lt;&gt;Off-street")&gt;0,1,0)</f>
        <v>0</v>
      </c>
      <c r="J108">
        <f>IF(COUNTIFS('United Data'!$A$3:$A$3390,J$1,'United Data'!$C$3:$C$3390,$A108,'United Data'!$B$3:$B$3390,"&lt;&gt;Off-street")&gt;0,1,0)</f>
        <v>0</v>
      </c>
      <c r="K108">
        <f>IF(COUNTIFS('United Data'!$A$3:$A$3390,K$1,'United Data'!$C$3:$C$3390,$A108,'United Data'!$B$3:$B$3390,"&lt;&gt;Off-street")&gt;0,1,0)</f>
        <v>0</v>
      </c>
      <c r="L108">
        <f>IF(COUNTIFS('United Data'!$A$3:$A$3390,L$1,'United Data'!$C$3:$C$3390,$A108,'United Data'!$B$3:$B$3390,"&lt;&gt;Off-street")&gt;0,1,0)</f>
        <v>0</v>
      </c>
      <c r="M108">
        <f>IF(COUNTIFS('United Data'!$A$3:$A$3390,M$1,'United Data'!$C$3:$C$3390,$A108,'United Data'!$B$3:$B$3390,"&lt;&gt;Off-street")&gt;0,1,0)</f>
        <v>0</v>
      </c>
      <c r="N108">
        <f>IF(COUNTIFS('United Data'!$A$3:$A$3390,N$1,'United Data'!$C$3:$C$3390,$A108,'United Data'!$B$3:$B$3390,"&lt;&gt;Off-street")&gt;0,1,0)</f>
        <v>0</v>
      </c>
      <c r="O108">
        <f>IF(COUNTIFS('United Data'!$A$3:$A$3390,O$1,'United Data'!$C$3:$C$3390,$A108,'United Data'!$B$3:$B$3390,"&lt;&gt;Off-street")&gt;0,1,0)</f>
        <v>0</v>
      </c>
      <c r="P108">
        <f>IF(COUNTIFS('United Data'!$A$3:$A$3390,P$1,'United Data'!$C$3:$C$3390,$A108,'United Data'!$B$3:$B$3390,"&lt;&gt;Off-street")&gt;0,1,0)</f>
        <v>0</v>
      </c>
      <c r="Q108">
        <f>IF(COUNTIFS('United Data'!$A$3:$A$3390,Q$1,'United Data'!$C$3:$C$3390,$A108,'United Data'!$B$3:$B$3390,"&lt;&gt;Off-street")&gt;0,1,0)</f>
        <v>0</v>
      </c>
      <c r="R108">
        <f>IF(COUNTIFS('United Data'!$A$3:$A$3390,R$1,'United Data'!$C$3:$C$3390,$A108,'United Data'!$B$3:$B$3390,"&lt;&gt;Off-street")&gt;0,1,0)</f>
        <v>0</v>
      </c>
      <c r="S108">
        <f t="shared" si="2"/>
        <v>1</v>
      </c>
      <c r="T108">
        <f t="shared" si="3"/>
        <v>1</v>
      </c>
    </row>
    <row r="109" spans="1:20" x14ac:dyDescent="0.2">
      <c r="A109" t="s">
        <v>162</v>
      </c>
      <c r="B109">
        <f>IF(COUNTIFS('United Data'!$A$3:$A$3390,B$1,'United Data'!$C$3:$C$3390,$A109,'United Data'!$B$3:$B$3390,"&lt;&gt;Off-street")&gt;0,1,0)</f>
        <v>0</v>
      </c>
      <c r="C109">
        <f>IF(COUNTIFS('United Data'!$A$3:$A$3390,C$1,'United Data'!$C$3:$C$3390,$A109,'United Data'!$B$3:$B$3390,"&lt;&gt;Off-street")&gt;0,1,0)</f>
        <v>0</v>
      </c>
      <c r="D109">
        <f>IF(COUNTIFS('United Data'!$A$3:$A$3390,D$1,'United Data'!$C$3:$C$3390,$A109,'United Data'!$B$3:$B$3390,"&lt;&gt;Off-street")&gt;0,1,0)</f>
        <v>0</v>
      </c>
      <c r="E109">
        <f>IF(COUNTIFS('United Data'!$A$3:$A$3390,E$1,'United Data'!$C$3:$C$3390,$A109,'United Data'!$B$3:$B$3390,"&lt;&gt;Off-street")&gt;0,1,0)</f>
        <v>1</v>
      </c>
      <c r="F109">
        <f>IF(COUNTIFS('United Data'!$A$3:$A$3390,F$1,'United Data'!$C$3:$C$3390,$A109,'United Data'!$B$3:$B$3390,"&lt;&gt;Off-street")&gt;0,1,0)</f>
        <v>1</v>
      </c>
      <c r="G109">
        <f>IF(COUNTIFS('United Data'!$A$3:$A$3390,G$1,'United Data'!$C$3:$C$3390,$A109,'United Data'!$B$3:$B$3390,"&lt;&gt;Off-street")&gt;0,1,0)</f>
        <v>0</v>
      </c>
      <c r="H109">
        <f>IF(COUNTIFS('United Data'!$A$3:$A$3390,H$1,'United Data'!$C$3:$C$3390,$A109,'United Data'!$B$3:$B$3390,"&lt;&gt;Off-street")&gt;0,1,0)</f>
        <v>0</v>
      </c>
      <c r="I109">
        <f>IF(COUNTIFS('United Data'!$A$3:$A$3390,I$1,'United Data'!$C$3:$C$3390,$A109,'United Data'!$B$3:$B$3390,"&lt;&gt;Off-street")&gt;0,1,0)</f>
        <v>1</v>
      </c>
      <c r="J109">
        <f>IF(COUNTIFS('United Data'!$A$3:$A$3390,J$1,'United Data'!$C$3:$C$3390,$A109,'United Data'!$B$3:$B$3390,"&lt;&gt;Off-street")&gt;0,1,0)</f>
        <v>0</v>
      </c>
      <c r="K109">
        <f>IF(COUNTIFS('United Data'!$A$3:$A$3390,K$1,'United Data'!$C$3:$C$3390,$A109,'United Data'!$B$3:$B$3390,"&lt;&gt;Off-street")&gt;0,1,0)</f>
        <v>0</v>
      </c>
      <c r="L109">
        <f>IF(COUNTIFS('United Data'!$A$3:$A$3390,L$1,'United Data'!$C$3:$C$3390,$A109,'United Data'!$B$3:$B$3390,"&lt;&gt;Off-street")&gt;0,1,0)</f>
        <v>1</v>
      </c>
      <c r="M109">
        <f>IF(COUNTIFS('United Data'!$A$3:$A$3390,M$1,'United Data'!$C$3:$C$3390,$A109,'United Data'!$B$3:$B$3390,"&lt;&gt;Off-street")&gt;0,1,0)</f>
        <v>1</v>
      </c>
      <c r="N109">
        <f>IF(COUNTIFS('United Data'!$A$3:$A$3390,N$1,'United Data'!$C$3:$C$3390,$A109,'United Data'!$B$3:$B$3390,"&lt;&gt;Off-street")&gt;0,1,0)</f>
        <v>1</v>
      </c>
      <c r="O109">
        <f>IF(COUNTIFS('United Data'!$A$3:$A$3390,O$1,'United Data'!$C$3:$C$3390,$A109,'United Data'!$B$3:$B$3390,"&lt;&gt;Off-street")&gt;0,1,0)</f>
        <v>0</v>
      </c>
      <c r="P109">
        <f>IF(COUNTIFS('United Data'!$A$3:$A$3390,P$1,'United Data'!$C$3:$C$3390,$A109,'United Data'!$B$3:$B$3390,"&lt;&gt;Off-street")&gt;0,1,0)</f>
        <v>0</v>
      </c>
      <c r="Q109">
        <f>IF(COUNTIFS('United Data'!$A$3:$A$3390,Q$1,'United Data'!$C$3:$C$3390,$A109,'United Data'!$B$3:$B$3390,"&lt;&gt;Off-street")&gt;0,1,0)</f>
        <v>0</v>
      </c>
      <c r="R109">
        <f>IF(COUNTIFS('United Data'!$A$3:$A$3390,R$1,'United Data'!$C$3:$C$3390,$A109,'United Data'!$B$3:$B$3390,"&lt;&gt;Off-street")&gt;0,1,0)</f>
        <v>0</v>
      </c>
      <c r="S109">
        <f t="shared" si="2"/>
        <v>6</v>
      </c>
      <c r="T109">
        <f t="shared" si="3"/>
        <v>3</v>
      </c>
    </row>
    <row r="110" spans="1:20" x14ac:dyDescent="0.2">
      <c r="A110" t="s">
        <v>163</v>
      </c>
      <c r="B110">
        <f>IF(COUNTIFS('United Data'!$A$3:$A$3390,B$1,'United Data'!$C$3:$C$3390,$A110,'United Data'!$B$3:$B$3390,"&lt;&gt;Off-street")&gt;0,1,0)</f>
        <v>0</v>
      </c>
      <c r="C110">
        <f>IF(COUNTIFS('United Data'!$A$3:$A$3390,C$1,'United Data'!$C$3:$C$3390,$A110,'United Data'!$B$3:$B$3390,"&lt;&gt;Off-street")&gt;0,1,0)</f>
        <v>0</v>
      </c>
      <c r="D110">
        <f>IF(COUNTIFS('United Data'!$A$3:$A$3390,D$1,'United Data'!$C$3:$C$3390,$A110,'United Data'!$B$3:$B$3390,"&lt;&gt;Off-street")&gt;0,1,0)</f>
        <v>0</v>
      </c>
      <c r="E110">
        <f>IF(COUNTIFS('United Data'!$A$3:$A$3390,E$1,'United Data'!$C$3:$C$3390,$A110,'United Data'!$B$3:$B$3390,"&lt;&gt;Off-street")&gt;0,1,0)</f>
        <v>1</v>
      </c>
      <c r="F110">
        <f>IF(COUNTIFS('United Data'!$A$3:$A$3390,F$1,'United Data'!$C$3:$C$3390,$A110,'United Data'!$B$3:$B$3390,"&lt;&gt;Off-street")&gt;0,1,0)</f>
        <v>0</v>
      </c>
      <c r="G110">
        <f>IF(COUNTIFS('United Data'!$A$3:$A$3390,G$1,'United Data'!$C$3:$C$3390,$A110,'United Data'!$B$3:$B$3390,"&lt;&gt;Off-street")&gt;0,1,0)</f>
        <v>0</v>
      </c>
      <c r="H110">
        <f>IF(COUNTIFS('United Data'!$A$3:$A$3390,H$1,'United Data'!$C$3:$C$3390,$A110,'United Data'!$B$3:$B$3390,"&lt;&gt;Off-street")&gt;0,1,0)</f>
        <v>0</v>
      </c>
      <c r="I110">
        <f>IF(COUNTIFS('United Data'!$A$3:$A$3390,I$1,'United Data'!$C$3:$C$3390,$A110,'United Data'!$B$3:$B$3390,"&lt;&gt;Off-street")&gt;0,1,0)</f>
        <v>0</v>
      </c>
      <c r="J110">
        <f>IF(COUNTIFS('United Data'!$A$3:$A$3390,J$1,'United Data'!$C$3:$C$3390,$A110,'United Data'!$B$3:$B$3390,"&lt;&gt;Off-street")&gt;0,1,0)</f>
        <v>0</v>
      </c>
      <c r="K110">
        <f>IF(COUNTIFS('United Data'!$A$3:$A$3390,K$1,'United Data'!$C$3:$C$3390,$A110,'United Data'!$B$3:$B$3390,"&lt;&gt;Off-street")&gt;0,1,0)</f>
        <v>0</v>
      </c>
      <c r="L110">
        <f>IF(COUNTIFS('United Data'!$A$3:$A$3390,L$1,'United Data'!$C$3:$C$3390,$A110,'United Data'!$B$3:$B$3390,"&lt;&gt;Off-street")&gt;0,1,0)</f>
        <v>0</v>
      </c>
      <c r="M110">
        <f>IF(COUNTIFS('United Data'!$A$3:$A$3390,M$1,'United Data'!$C$3:$C$3390,$A110,'United Data'!$B$3:$B$3390,"&lt;&gt;Off-street")&gt;0,1,0)</f>
        <v>0</v>
      </c>
      <c r="N110">
        <f>IF(COUNTIFS('United Data'!$A$3:$A$3390,N$1,'United Data'!$C$3:$C$3390,$A110,'United Data'!$B$3:$B$3390,"&lt;&gt;Off-street")&gt;0,1,0)</f>
        <v>0</v>
      </c>
      <c r="O110">
        <f>IF(COUNTIFS('United Data'!$A$3:$A$3390,O$1,'United Data'!$C$3:$C$3390,$A110,'United Data'!$B$3:$B$3390,"&lt;&gt;Off-street")&gt;0,1,0)</f>
        <v>0</v>
      </c>
      <c r="P110">
        <f>IF(COUNTIFS('United Data'!$A$3:$A$3390,P$1,'United Data'!$C$3:$C$3390,$A110,'United Data'!$B$3:$B$3390,"&lt;&gt;Off-street")&gt;0,1,0)</f>
        <v>0</v>
      </c>
      <c r="Q110">
        <f>IF(COUNTIFS('United Data'!$A$3:$A$3390,Q$1,'United Data'!$C$3:$C$3390,$A110,'United Data'!$B$3:$B$3390,"&lt;&gt;Off-street")&gt;0,1,0)</f>
        <v>0</v>
      </c>
      <c r="R110">
        <f>IF(COUNTIFS('United Data'!$A$3:$A$3390,R$1,'United Data'!$C$3:$C$3390,$A110,'United Data'!$B$3:$B$3390,"&lt;&gt;Off-street")&gt;0,1,0)</f>
        <v>0</v>
      </c>
      <c r="S110">
        <f t="shared" si="2"/>
        <v>1</v>
      </c>
      <c r="T110">
        <f t="shared" si="3"/>
        <v>1</v>
      </c>
    </row>
    <row r="111" spans="1:20" x14ac:dyDescent="0.2">
      <c r="A111" t="s">
        <v>164</v>
      </c>
      <c r="B111">
        <f>IF(COUNTIFS('United Data'!$A$3:$A$3390,B$1,'United Data'!$C$3:$C$3390,$A111,'United Data'!$B$3:$B$3390,"&lt;&gt;Off-street")&gt;0,1,0)</f>
        <v>0</v>
      </c>
      <c r="C111">
        <f>IF(COUNTIFS('United Data'!$A$3:$A$3390,C$1,'United Data'!$C$3:$C$3390,$A111,'United Data'!$B$3:$B$3390,"&lt;&gt;Off-street")&gt;0,1,0)</f>
        <v>0</v>
      </c>
      <c r="D111">
        <f>IF(COUNTIFS('United Data'!$A$3:$A$3390,D$1,'United Data'!$C$3:$C$3390,$A111,'United Data'!$B$3:$B$3390,"&lt;&gt;Off-street")&gt;0,1,0)</f>
        <v>0</v>
      </c>
      <c r="E111">
        <f>IF(COUNTIFS('United Data'!$A$3:$A$3390,E$1,'United Data'!$C$3:$C$3390,$A111,'United Data'!$B$3:$B$3390,"&lt;&gt;Off-street")&gt;0,1,0)</f>
        <v>0</v>
      </c>
      <c r="F111">
        <f>IF(COUNTIFS('United Data'!$A$3:$A$3390,F$1,'United Data'!$C$3:$C$3390,$A111,'United Data'!$B$3:$B$3390,"&lt;&gt;Off-street")&gt;0,1,0)</f>
        <v>1</v>
      </c>
      <c r="G111">
        <f>IF(COUNTIFS('United Data'!$A$3:$A$3390,G$1,'United Data'!$C$3:$C$3390,$A111,'United Data'!$B$3:$B$3390,"&lt;&gt;Off-street")&gt;0,1,0)</f>
        <v>0</v>
      </c>
      <c r="H111">
        <f>IF(COUNTIFS('United Data'!$A$3:$A$3390,H$1,'United Data'!$C$3:$C$3390,$A111,'United Data'!$B$3:$B$3390,"&lt;&gt;Off-street")&gt;0,1,0)</f>
        <v>0</v>
      </c>
      <c r="I111">
        <f>IF(COUNTIFS('United Data'!$A$3:$A$3390,I$1,'United Data'!$C$3:$C$3390,$A111,'United Data'!$B$3:$B$3390,"&lt;&gt;Off-street")&gt;0,1,0)</f>
        <v>0</v>
      </c>
      <c r="J111">
        <f>IF(COUNTIFS('United Data'!$A$3:$A$3390,J$1,'United Data'!$C$3:$C$3390,$A111,'United Data'!$B$3:$B$3390,"&lt;&gt;Off-street")&gt;0,1,0)</f>
        <v>0</v>
      </c>
      <c r="K111">
        <f>IF(COUNTIFS('United Data'!$A$3:$A$3390,K$1,'United Data'!$C$3:$C$3390,$A111,'United Data'!$B$3:$B$3390,"&lt;&gt;Off-street")&gt;0,1,0)</f>
        <v>0</v>
      </c>
      <c r="L111">
        <f>IF(COUNTIFS('United Data'!$A$3:$A$3390,L$1,'United Data'!$C$3:$C$3390,$A111,'United Data'!$B$3:$B$3390,"&lt;&gt;Off-street")&gt;0,1,0)</f>
        <v>0</v>
      </c>
      <c r="M111">
        <f>IF(COUNTIFS('United Data'!$A$3:$A$3390,M$1,'United Data'!$C$3:$C$3390,$A111,'United Data'!$B$3:$B$3390,"&lt;&gt;Off-street")&gt;0,1,0)</f>
        <v>0</v>
      </c>
      <c r="N111">
        <f>IF(COUNTIFS('United Data'!$A$3:$A$3390,N$1,'United Data'!$C$3:$C$3390,$A111,'United Data'!$B$3:$B$3390,"&lt;&gt;Off-street")&gt;0,1,0)</f>
        <v>0</v>
      </c>
      <c r="O111">
        <f>IF(COUNTIFS('United Data'!$A$3:$A$3390,O$1,'United Data'!$C$3:$C$3390,$A111,'United Data'!$B$3:$B$3390,"&lt;&gt;Off-street")&gt;0,1,0)</f>
        <v>0</v>
      </c>
      <c r="P111">
        <f>IF(COUNTIFS('United Data'!$A$3:$A$3390,P$1,'United Data'!$C$3:$C$3390,$A111,'United Data'!$B$3:$B$3390,"&lt;&gt;Off-street")&gt;0,1,0)</f>
        <v>0</v>
      </c>
      <c r="Q111">
        <f>IF(COUNTIFS('United Data'!$A$3:$A$3390,Q$1,'United Data'!$C$3:$C$3390,$A111,'United Data'!$B$3:$B$3390,"&lt;&gt;Off-street")&gt;0,1,0)</f>
        <v>0</v>
      </c>
      <c r="R111">
        <f>IF(COUNTIFS('United Data'!$A$3:$A$3390,R$1,'United Data'!$C$3:$C$3390,$A111,'United Data'!$B$3:$B$3390,"&lt;&gt;Off-street")&gt;0,1,0)</f>
        <v>0</v>
      </c>
      <c r="S111">
        <f t="shared" si="2"/>
        <v>1</v>
      </c>
      <c r="T111">
        <f t="shared" si="3"/>
        <v>1</v>
      </c>
    </row>
    <row r="112" spans="1:20" x14ac:dyDescent="0.2">
      <c r="A112" t="s">
        <v>165</v>
      </c>
      <c r="B112">
        <f>IF(COUNTIFS('United Data'!$A$3:$A$3390,B$1,'United Data'!$C$3:$C$3390,$A112,'United Data'!$B$3:$B$3390,"&lt;&gt;Off-street")&gt;0,1,0)</f>
        <v>0</v>
      </c>
      <c r="C112">
        <f>IF(COUNTIFS('United Data'!$A$3:$A$3390,C$1,'United Data'!$C$3:$C$3390,$A112,'United Data'!$B$3:$B$3390,"&lt;&gt;Off-street")&gt;0,1,0)</f>
        <v>0</v>
      </c>
      <c r="D112">
        <f>IF(COUNTIFS('United Data'!$A$3:$A$3390,D$1,'United Data'!$C$3:$C$3390,$A112,'United Data'!$B$3:$B$3390,"&lt;&gt;Off-street")&gt;0,1,0)</f>
        <v>0</v>
      </c>
      <c r="E112">
        <f>IF(COUNTIFS('United Data'!$A$3:$A$3390,E$1,'United Data'!$C$3:$C$3390,$A112,'United Data'!$B$3:$B$3390,"&lt;&gt;Off-street")&gt;0,1,0)</f>
        <v>0</v>
      </c>
      <c r="F112">
        <f>IF(COUNTIFS('United Data'!$A$3:$A$3390,F$1,'United Data'!$C$3:$C$3390,$A112,'United Data'!$B$3:$B$3390,"&lt;&gt;Off-street")&gt;0,1,0)</f>
        <v>1</v>
      </c>
      <c r="G112">
        <f>IF(COUNTIFS('United Data'!$A$3:$A$3390,G$1,'United Data'!$C$3:$C$3390,$A112,'United Data'!$B$3:$B$3390,"&lt;&gt;Off-street")&gt;0,1,0)</f>
        <v>0</v>
      </c>
      <c r="H112">
        <f>IF(COUNTIFS('United Data'!$A$3:$A$3390,H$1,'United Data'!$C$3:$C$3390,$A112,'United Data'!$B$3:$B$3390,"&lt;&gt;Off-street")&gt;0,1,0)</f>
        <v>0</v>
      </c>
      <c r="I112">
        <f>IF(COUNTIFS('United Data'!$A$3:$A$3390,I$1,'United Data'!$C$3:$C$3390,$A112,'United Data'!$B$3:$B$3390,"&lt;&gt;Off-street")&gt;0,1,0)</f>
        <v>0</v>
      </c>
      <c r="J112">
        <f>IF(COUNTIFS('United Data'!$A$3:$A$3390,J$1,'United Data'!$C$3:$C$3390,$A112,'United Data'!$B$3:$B$3390,"&lt;&gt;Off-street")&gt;0,1,0)</f>
        <v>0</v>
      </c>
      <c r="K112">
        <f>IF(COUNTIFS('United Data'!$A$3:$A$3390,K$1,'United Data'!$C$3:$C$3390,$A112,'United Data'!$B$3:$B$3390,"&lt;&gt;Off-street")&gt;0,1,0)</f>
        <v>0</v>
      </c>
      <c r="L112">
        <f>IF(COUNTIFS('United Data'!$A$3:$A$3390,L$1,'United Data'!$C$3:$C$3390,$A112,'United Data'!$B$3:$B$3390,"&lt;&gt;Off-street")&gt;0,1,0)</f>
        <v>0</v>
      </c>
      <c r="M112">
        <f>IF(COUNTIFS('United Data'!$A$3:$A$3390,M$1,'United Data'!$C$3:$C$3390,$A112,'United Data'!$B$3:$B$3390,"&lt;&gt;Off-street")&gt;0,1,0)</f>
        <v>0</v>
      </c>
      <c r="N112">
        <f>IF(COUNTIFS('United Data'!$A$3:$A$3390,N$1,'United Data'!$C$3:$C$3390,$A112,'United Data'!$B$3:$B$3390,"&lt;&gt;Off-street")&gt;0,1,0)</f>
        <v>0</v>
      </c>
      <c r="O112">
        <f>IF(COUNTIFS('United Data'!$A$3:$A$3390,O$1,'United Data'!$C$3:$C$3390,$A112,'United Data'!$B$3:$B$3390,"&lt;&gt;Off-street")&gt;0,1,0)</f>
        <v>0</v>
      </c>
      <c r="P112">
        <f>IF(COUNTIFS('United Data'!$A$3:$A$3390,P$1,'United Data'!$C$3:$C$3390,$A112,'United Data'!$B$3:$B$3390,"&lt;&gt;Off-street")&gt;0,1,0)</f>
        <v>0</v>
      </c>
      <c r="Q112">
        <f>IF(COUNTIFS('United Data'!$A$3:$A$3390,Q$1,'United Data'!$C$3:$C$3390,$A112,'United Data'!$B$3:$B$3390,"&lt;&gt;Off-street")&gt;0,1,0)</f>
        <v>0</v>
      </c>
      <c r="R112">
        <f>IF(COUNTIFS('United Data'!$A$3:$A$3390,R$1,'United Data'!$C$3:$C$3390,$A112,'United Data'!$B$3:$B$3390,"&lt;&gt;Off-street")&gt;0,1,0)</f>
        <v>0</v>
      </c>
      <c r="S112">
        <f t="shared" si="2"/>
        <v>1</v>
      </c>
      <c r="T112">
        <f t="shared" si="3"/>
        <v>1</v>
      </c>
    </row>
    <row r="113" spans="1:20" x14ac:dyDescent="0.2">
      <c r="A113" t="s">
        <v>166</v>
      </c>
      <c r="B113">
        <f>IF(COUNTIFS('United Data'!$A$3:$A$3390,B$1,'United Data'!$C$3:$C$3390,$A113,'United Data'!$B$3:$B$3390,"&lt;&gt;Off-street")&gt;0,1,0)</f>
        <v>0</v>
      </c>
      <c r="C113">
        <f>IF(COUNTIFS('United Data'!$A$3:$A$3390,C$1,'United Data'!$C$3:$C$3390,$A113,'United Data'!$B$3:$B$3390,"&lt;&gt;Off-street")&gt;0,1,0)</f>
        <v>0</v>
      </c>
      <c r="D113">
        <f>IF(COUNTIFS('United Data'!$A$3:$A$3390,D$1,'United Data'!$C$3:$C$3390,$A113,'United Data'!$B$3:$B$3390,"&lt;&gt;Off-street")&gt;0,1,0)</f>
        <v>0</v>
      </c>
      <c r="E113">
        <f>IF(COUNTIFS('United Data'!$A$3:$A$3390,E$1,'United Data'!$C$3:$C$3390,$A113,'United Data'!$B$3:$B$3390,"&lt;&gt;Off-street")&gt;0,1,0)</f>
        <v>0</v>
      </c>
      <c r="F113">
        <f>IF(COUNTIFS('United Data'!$A$3:$A$3390,F$1,'United Data'!$C$3:$C$3390,$A113,'United Data'!$B$3:$B$3390,"&lt;&gt;Off-street")&gt;0,1,0)</f>
        <v>1</v>
      </c>
      <c r="G113">
        <f>IF(COUNTIFS('United Data'!$A$3:$A$3390,G$1,'United Data'!$C$3:$C$3390,$A113,'United Data'!$B$3:$B$3390,"&lt;&gt;Off-street")&gt;0,1,0)</f>
        <v>0</v>
      </c>
      <c r="H113">
        <f>IF(COUNTIFS('United Data'!$A$3:$A$3390,H$1,'United Data'!$C$3:$C$3390,$A113,'United Data'!$B$3:$B$3390,"&lt;&gt;Off-street")&gt;0,1,0)</f>
        <v>0</v>
      </c>
      <c r="I113">
        <f>IF(COUNTIFS('United Data'!$A$3:$A$3390,I$1,'United Data'!$C$3:$C$3390,$A113,'United Data'!$B$3:$B$3390,"&lt;&gt;Off-street")&gt;0,1,0)</f>
        <v>0</v>
      </c>
      <c r="J113">
        <f>IF(COUNTIFS('United Data'!$A$3:$A$3390,J$1,'United Data'!$C$3:$C$3390,$A113,'United Data'!$B$3:$B$3390,"&lt;&gt;Off-street")&gt;0,1,0)</f>
        <v>0</v>
      </c>
      <c r="K113">
        <f>IF(COUNTIFS('United Data'!$A$3:$A$3390,K$1,'United Data'!$C$3:$C$3390,$A113,'United Data'!$B$3:$B$3390,"&lt;&gt;Off-street")&gt;0,1,0)</f>
        <v>0</v>
      </c>
      <c r="L113">
        <f>IF(COUNTIFS('United Data'!$A$3:$A$3390,L$1,'United Data'!$C$3:$C$3390,$A113,'United Data'!$B$3:$B$3390,"&lt;&gt;Off-street")&gt;0,1,0)</f>
        <v>0</v>
      </c>
      <c r="M113">
        <f>IF(COUNTIFS('United Data'!$A$3:$A$3390,M$1,'United Data'!$C$3:$C$3390,$A113,'United Data'!$B$3:$B$3390,"&lt;&gt;Off-street")&gt;0,1,0)</f>
        <v>0</v>
      </c>
      <c r="N113">
        <f>IF(COUNTIFS('United Data'!$A$3:$A$3390,N$1,'United Data'!$C$3:$C$3390,$A113,'United Data'!$B$3:$B$3390,"&lt;&gt;Off-street")&gt;0,1,0)</f>
        <v>0</v>
      </c>
      <c r="O113">
        <f>IF(COUNTIFS('United Data'!$A$3:$A$3390,O$1,'United Data'!$C$3:$C$3390,$A113,'United Data'!$B$3:$B$3390,"&lt;&gt;Off-street")&gt;0,1,0)</f>
        <v>0</v>
      </c>
      <c r="P113">
        <f>IF(COUNTIFS('United Data'!$A$3:$A$3390,P$1,'United Data'!$C$3:$C$3390,$A113,'United Data'!$B$3:$B$3390,"&lt;&gt;Off-street")&gt;0,1,0)</f>
        <v>0</v>
      </c>
      <c r="Q113">
        <f>IF(COUNTIFS('United Data'!$A$3:$A$3390,Q$1,'United Data'!$C$3:$C$3390,$A113,'United Data'!$B$3:$B$3390,"&lt;&gt;Off-street")&gt;0,1,0)</f>
        <v>0</v>
      </c>
      <c r="R113">
        <f>IF(COUNTIFS('United Data'!$A$3:$A$3390,R$1,'United Data'!$C$3:$C$3390,$A113,'United Data'!$B$3:$B$3390,"&lt;&gt;Off-street")&gt;0,1,0)</f>
        <v>0</v>
      </c>
      <c r="S113">
        <f t="shared" si="2"/>
        <v>1</v>
      </c>
      <c r="T113">
        <f t="shared" si="3"/>
        <v>1</v>
      </c>
    </row>
    <row r="114" spans="1:20" x14ac:dyDescent="0.2">
      <c r="A114" t="s">
        <v>167</v>
      </c>
      <c r="B114">
        <f>IF(COUNTIFS('United Data'!$A$3:$A$3390,B$1,'United Data'!$C$3:$C$3390,$A114,'United Data'!$B$3:$B$3390,"&lt;&gt;Off-street")&gt;0,1,0)</f>
        <v>0</v>
      </c>
      <c r="C114">
        <f>IF(COUNTIFS('United Data'!$A$3:$A$3390,C$1,'United Data'!$C$3:$C$3390,$A114,'United Data'!$B$3:$B$3390,"&lt;&gt;Off-street")&gt;0,1,0)</f>
        <v>0</v>
      </c>
      <c r="D114">
        <f>IF(COUNTIFS('United Data'!$A$3:$A$3390,D$1,'United Data'!$C$3:$C$3390,$A114,'United Data'!$B$3:$B$3390,"&lt;&gt;Off-street")&gt;0,1,0)</f>
        <v>0</v>
      </c>
      <c r="E114">
        <f>IF(COUNTIFS('United Data'!$A$3:$A$3390,E$1,'United Data'!$C$3:$C$3390,$A114,'United Data'!$B$3:$B$3390,"&lt;&gt;Off-street")&gt;0,1,0)</f>
        <v>0</v>
      </c>
      <c r="F114">
        <f>IF(COUNTIFS('United Data'!$A$3:$A$3390,F$1,'United Data'!$C$3:$C$3390,$A114,'United Data'!$B$3:$B$3390,"&lt;&gt;Off-street")&gt;0,1,0)</f>
        <v>1</v>
      </c>
      <c r="G114">
        <f>IF(COUNTIFS('United Data'!$A$3:$A$3390,G$1,'United Data'!$C$3:$C$3390,$A114,'United Data'!$B$3:$B$3390,"&lt;&gt;Off-street")&gt;0,1,0)</f>
        <v>0</v>
      </c>
      <c r="H114">
        <f>IF(COUNTIFS('United Data'!$A$3:$A$3390,H$1,'United Data'!$C$3:$C$3390,$A114,'United Data'!$B$3:$B$3390,"&lt;&gt;Off-street")&gt;0,1,0)</f>
        <v>0</v>
      </c>
      <c r="I114">
        <f>IF(COUNTIFS('United Data'!$A$3:$A$3390,I$1,'United Data'!$C$3:$C$3390,$A114,'United Data'!$B$3:$B$3390,"&lt;&gt;Off-street")&gt;0,1,0)</f>
        <v>0</v>
      </c>
      <c r="J114">
        <f>IF(COUNTIFS('United Data'!$A$3:$A$3390,J$1,'United Data'!$C$3:$C$3390,$A114,'United Data'!$B$3:$B$3390,"&lt;&gt;Off-street")&gt;0,1,0)</f>
        <v>0</v>
      </c>
      <c r="K114">
        <f>IF(COUNTIFS('United Data'!$A$3:$A$3390,K$1,'United Data'!$C$3:$C$3390,$A114,'United Data'!$B$3:$B$3390,"&lt;&gt;Off-street")&gt;0,1,0)</f>
        <v>0</v>
      </c>
      <c r="L114">
        <f>IF(COUNTIFS('United Data'!$A$3:$A$3390,L$1,'United Data'!$C$3:$C$3390,$A114,'United Data'!$B$3:$B$3390,"&lt;&gt;Off-street")&gt;0,1,0)</f>
        <v>0</v>
      </c>
      <c r="M114">
        <f>IF(COUNTIFS('United Data'!$A$3:$A$3390,M$1,'United Data'!$C$3:$C$3390,$A114,'United Data'!$B$3:$B$3390,"&lt;&gt;Off-street")&gt;0,1,0)</f>
        <v>0</v>
      </c>
      <c r="N114">
        <f>IF(COUNTIFS('United Data'!$A$3:$A$3390,N$1,'United Data'!$C$3:$C$3390,$A114,'United Data'!$B$3:$B$3390,"&lt;&gt;Off-street")&gt;0,1,0)</f>
        <v>0</v>
      </c>
      <c r="O114">
        <f>IF(COUNTIFS('United Data'!$A$3:$A$3390,O$1,'United Data'!$C$3:$C$3390,$A114,'United Data'!$B$3:$B$3390,"&lt;&gt;Off-street")&gt;0,1,0)</f>
        <v>0</v>
      </c>
      <c r="P114">
        <f>IF(COUNTIFS('United Data'!$A$3:$A$3390,P$1,'United Data'!$C$3:$C$3390,$A114,'United Data'!$B$3:$B$3390,"&lt;&gt;Off-street")&gt;0,1,0)</f>
        <v>0</v>
      </c>
      <c r="Q114">
        <f>IF(COUNTIFS('United Data'!$A$3:$A$3390,Q$1,'United Data'!$C$3:$C$3390,$A114,'United Data'!$B$3:$B$3390,"&lt;&gt;Off-street")&gt;0,1,0)</f>
        <v>0</v>
      </c>
      <c r="R114">
        <f>IF(COUNTIFS('United Data'!$A$3:$A$3390,R$1,'United Data'!$C$3:$C$3390,$A114,'United Data'!$B$3:$B$3390,"&lt;&gt;Off-street")&gt;0,1,0)</f>
        <v>0</v>
      </c>
      <c r="S114">
        <f t="shared" si="2"/>
        <v>1</v>
      </c>
      <c r="T114">
        <f t="shared" si="3"/>
        <v>1</v>
      </c>
    </row>
    <row r="115" spans="1:20" x14ac:dyDescent="0.2">
      <c r="A115" t="s">
        <v>168</v>
      </c>
      <c r="B115">
        <f>IF(COUNTIFS('United Data'!$A$3:$A$3390,B$1,'United Data'!$C$3:$C$3390,$A115,'United Data'!$B$3:$B$3390,"&lt;&gt;Off-street")&gt;0,1,0)</f>
        <v>0</v>
      </c>
      <c r="C115">
        <f>IF(COUNTIFS('United Data'!$A$3:$A$3390,C$1,'United Data'!$C$3:$C$3390,$A115,'United Data'!$B$3:$B$3390,"&lt;&gt;Off-street")&gt;0,1,0)</f>
        <v>0</v>
      </c>
      <c r="D115">
        <f>IF(COUNTIFS('United Data'!$A$3:$A$3390,D$1,'United Data'!$C$3:$C$3390,$A115,'United Data'!$B$3:$B$3390,"&lt;&gt;Off-street")&gt;0,1,0)</f>
        <v>0</v>
      </c>
      <c r="E115">
        <f>IF(COUNTIFS('United Data'!$A$3:$A$3390,E$1,'United Data'!$C$3:$C$3390,$A115,'United Data'!$B$3:$B$3390,"&lt;&gt;Off-street")&gt;0,1,0)</f>
        <v>0</v>
      </c>
      <c r="F115">
        <f>IF(COUNTIFS('United Data'!$A$3:$A$3390,F$1,'United Data'!$C$3:$C$3390,$A115,'United Data'!$B$3:$B$3390,"&lt;&gt;Off-street")&gt;0,1,0)</f>
        <v>1</v>
      </c>
      <c r="G115">
        <f>IF(COUNTIFS('United Data'!$A$3:$A$3390,G$1,'United Data'!$C$3:$C$3390,$A115,'United Data'!$B$3:$B$3390,"&lt;&gt;Off-street")&gt;0,1,0)</f>
        <v>0</v>
      </c>
      <c r="H115">
        <f>IF(COUNTIFS('United Data'!$A$3:$A$3390,H$1,'United Data'!$C$3:$C$3390,$A115,'United Data'!$B$3:$B$3390,"&lt;&gt;Off-street")&gt;0,1,0)</f>
        <v>0</v>
      </c>
      <c r="I115">
        <f>IF(COUNTIFS('United Data'!$A$3:$A$3390,I$1,'United Data'!$C$3:$C$3390,$A115,'United Data'!$B$3:$B$3390,"&lt;&gt;Off-street")&gt;0,1,0)</f>
        <v>0</v>
      </c>
      <c r="J115">
        <f>IF(COUNTIFS('United Data'!$A$3:$A$3390,J$1,'United Data'!$C$3:$C$3390,$A115,'United Data'!$B$3:$B$3390,"&lt;&gt;Off-street")&gt;0,1,0)</f>
        <v>0</v>
      </c>
      <c r="K115">
        <f>IF(COUNTIFS('United Data'!$A$3:$A$3390,K$1,'United Data'!$C$3:$C$3390,$A115,'United Data'!$B$3:$B$3390,"&lt;&gt;Off-street")&gt;0,1,0)</f>
        <v>0</v>
      </c>
      <c r="L115">
        <f>IF(COUNTIFS('United Data'!$A$3:$A$3390,L$1,'United Data'!$C$3:$C$3390,$A115,'United Data'!$B$3:$B$3390,"&lt;&gt;Off-street")&gt;0,1,0)</f>
        <v>0</v>
      </c>
      <c r="M115">
        <f>IF(COUNTIFS('United Data'!$A$3:$A$3390,M$1,'United Data'!$C$3:$C$3390,$A115,'United Data'!$B$3:$B$3390,"&lt;&gt;Off-street")&gt;0,1,0)</f>
        <v>0</v>
      </c>
      <c r="N115">
        <f>IF(COUNTIFS('United Data'!$A$3:$A$3390,N$1,'United Data'!$C$3:$C$3390,$A115,'United Data'!$B$3:$B$3390,"&lt;&gt;Off-street")&gt;0,1,0)</f>
        <v>0</v>
      </c>
      <c r="O115">
        <f>IF(COUNTIFS('United Data'!$A$3:$A$3390,O$1,'United Data'!$C$3:$C$3390,$A115,'United Data'!$B$3:$B$3390,"&lt;&gt;Off-street")&gt;0,1,0)</f>
        <v>0</v>
      </c>
      <c r="P115">
        <f>IF(COUNTIFS('United Data'!$A$3:$A$3390,P$1,'United Data'!$C$3:$C$3390,$A115,'United Data'!$B$3:$B$3390,"&lt;&gt;Off-street")&gt;0,1,0)</f>
        <v>0</v>
      </c>
      <c r="Q115">
        <f>IF(COUNTIFS('United Data'!$A$3:$A$3390,Q$1,'United Data'!$C$3:$C$3390,$A115,'United Data'!$B$3:$B$3390,"&lt;&gt;Off-street")&gt;0,1,0)</f>
        <v>0</v>
      </c>
      <c r="R115">
        <f>IF(COUNTIFS('United Data'!$A$3:$A$3390,R$1,'United Data'!$C$3:$C$3390,$A115,'United Data'!$B$3:$B$3390,"&lt;&gt;Off-street")&gt;0,1,0)</f>
        <v>0</v>
      </c>
      <c r="S115">
        <f t="shared" si="2"/>
        <v>1</v>
      </c>
      <c r="T115">
        <f t="shared" si="3"/>
        <v>1</v>
      </c>
    </row>
    <row r="116" spans="1:20" x14ac:dyDescent="0.2">
      <c r="A116" t="s">
        <v>169</v>
      </c>
      <c r="B116">
        <f>IF(COUNTIFS('United Data'!$A$3:$A$3390,B$1,'United Data'!$C$3:$C$3390,$A116,'United Data'!$B$3:$B$3390,"&lt;&gt;Off-street")&gt;0,1,0)</f>
        <v>0</v>
      </c>
      <c r="C116">
        <f>IF(COUNTIFS('United Data'!$A$3:$A$3390,C$1,'United Data'!$C$3:$C$3390,$A116,'United Data'!$B$3:$B$3390,"&lt;&gt;Off-street")&gt;0,1,0)</f>
        <v>0</v>
      </c>
      <c r="D116">
        <f>IF(COUNTIFS('United Data'!$A$3:$A$3390,D$1,'United Data'!$C$3:$C$3390,$A116,'United Data'!$B$3:$B$3390,"&lt;&gt;Off-street")&gt;0,1,0)</f>
        <v>0</v>
      </c>
      <c r="E116">
        <f>IF(COUNTIFS('United Data'!$A$3:$A$3390,E$1,'United Data'!$C$3:$C$3390,$A116,'United Data'!$B$3:$B$3390,"&lt;&gt;Off-street")&gt;0,1,0)</f>
        <v>0</v>
      </c>
      <c r="F116">
        <f>IF(COUNTIFS('United Data'!$A$3:$A$3390,F$1,'United Data'!$C$3:$C$3390,$A116,'United Data'!$B$3:$B$3390,"&lt;&gt;Off-street")&gt;0,1,0)</f>
        <v>0</v>
      </c>
      <c r="G116">
        <f>IF(COUNTIFS('United Data'!$A$3:$A$3390,G$1,'United Data'!$C$3:$C$3390,$A116,'United Data'!$B$3:$B$3390,"&lt;&gt;Off-street")&gt;0,1,0)</f>
        <v>0</v>
      </c>
      <c r="H116">
        <f>IF(COUNTIFS('United Data'!$A$3:$A$3390,H$1,'United Data'!$C$3:$C$3390,$A116,'United Data'!$B$3:$B$3390,"&lt;&gt;Off-street")&gt;0,1,0)</f>
        <v>0</v>
      </c>
      <c r="I116">
        <f>IF(COUNTIFS('United Data'!$A$3:$A$3390,I$1,'United Data'!$C$3:$C$3390,$A116,'United Data'!$B$3:$B$3390,"&lt;&gt;Off-street")&gt;0,1,0)</f>
        <v>1</v>
      </c>
      <c r="J116">
        <f>IF(COUNTIFS('United Data'!$A$3:$A$3390,J$1,'United Data'!$C$3:$C$3390,$A116,'United Data'!$B$3:$B$3390,"&lt;&gt;Off-street")&gt;0,1,0)</f>
        <v>0</v>
      </c>
      <c r="K116">
        <f>IF(COUNTIFS('United Data'!$A$3:$A$3390,K$1,'United Data'!$C$3:$C$3390,$A116,'United Data'!$B$3:$B$3390,"&lt;&gt;Off-street")&gt;0,1,0)</f>
        <v>0</v>
      </c>
      <c r="L116">
        <f>IF(COUNTIFS('United Data'!$A$3:$A$3390,L$1,'United Data'!$C$3:$C$3390,$A116,'United Data'!$B$3:$B$3390,"&lt;&gt;Off-street")&gt;0,1,0)</f>
        <v>0</v>
      </c>
      <c r="M116">
        <f>IF(COUNTIFS('United Data'!$A$3:$A$3390,M$1,'United Data'!$C$3:$C$3390,$A116,'United Data'!$B$3:$B$3390,"&lt;&gt;Off-street")&gt;0,1,0)</f>
        <v>0</v>
      </c>
      <c r="N116">
        <f>IF(COUNTIFS('United Data'!$A$3:$A$3390,N$1,'United Data'!$C$3:$C$3390,$A116,'United Data'!$B$3:$B$3390,"&lt;&gt;Off-street")&gt;0,1,0)</f>
        <v>0</v>
      </c>
      <c r="O116">
        <f>IF(COUNTIFS('United Data'!$A$3:$A$3390,O$1,'United Data'!$C$3:$C$3390,$A116,'United Data'!$B$3:$B$3390,"&lt;&gt;Off-street")&gt;0,1,0)</f>
        <v>0</v>
      </c>
      <c r="P116">
        <f>IF(COUNTIFS('United Data'!$A$3:$A$3390,P$1,'United Data'!$C$3:$C$3390,$A116,'United Data'!$B$3:$B$3390,"&lt;&gt;Off-street")&gt;0,1,0)</f>
        <v>0</v>
      </c>
      <c r="Q116">
        <f>IF(COUNTIFS('United Data'!$A$3:$A$3390,Q$1,'United Data'!$C$3:$C$3390,$A116,'United Data'!$B$3:$B$3390,"&lt;&gt;Off-street")&gt;0,1,0)</f>
        <v>0</v>
      </c>
      <c r="R116">
        <f>IF(COUNTIFS('United Data'!$A$3:$A$3390,R$1,'United Data'!$C$3:$C$3390,$A116,'United Data'!$B$3:$B$3390,"&lt;&gt;Off-street")&gt;0,1,0)</f>
        <v>0</v>
      </c>
      <c r="S116">
        <f t="shared" si="2"/>
        <v>1</v>
      </c>
      <c r="T116">
        <f t="shared" si="3"/>
        <v>1</v>
      </c>
    </row>
    <row r="117" spans="1:20" x14ac:dyDescent="0.2">
      <c r="A117" t="s">
        <v>170</v>
      </c>
      <c r="B117">
        <f>IF(COUNTIFS('United Data'!$A$3:$A$3390,B$1,'United Data'!$C$3:$C$3390,$A117,'United Data'!$B$3:$B$3390,"&lt;&gt;Off-street")&gt;0,1,0)</f>
        <v>0</v>
      </c>
      <c r="C117">
        <f>IF(COUNTIFS('United Data'!$A$3:$A$3390,C$1,'United Data'!$C$3:$C$3390,$A117,'United Data'!$B$3:$B$3390,"&lt;&gt;Off-street")&gt;0,1,0)</f>
        <v>0</v>
      </c>
      <c r="D117">
        <f>IF(COUNTIFS('United Data'!$A$3:$A$3390,D$1,'United Data'!$C$3:$C$3390,$A117,'United Data'!$B$3:$B$3390,"&lt;&gt;Off-street")&gt;0,1,0)</f>
        <v>0</v>
      </c>
      <c r="E117">
        <f>IF(COUNTIFS('United Data'!$A$3:$A$3390,E$1,'United Data'!$C$3:$C$3390,$A117,'United Data'!$B$3:$B$3390,"&lt;&gt;Off-street")&gt;0,1,0)</f>
        <v>0</v>
      </c>
      <c r="F117">
        <f>IF(COUNTIFS('United Data'!$A$3:$A$3390,F$1,'United Data'!$C$3:$C$3390,$A117,'United Data'!$B$3:$B$3390,"&lt;&gt;Off-street")&gt;0,1,0)</f>
        <v>0</v>
      </c>
      <c r="G117">
        <f>IF(COUNTIFS('United Data'!$A$3:$A$3390,G$1,'United Data'!$C$3:$C$3390,$A117,'United Data'!$B$3:$B$3390,"&lt;&gt;Off-street")&gt;0,1,0)</f>
        <v>0</v>
      </c>
      <c r="H117">
        <f>IF(COUNTIFS('United Data'!$A$3:$A$3390,H$1,'United Data'!$C$3:$C$3390,$A117,'United Data'!$B$3:$B$3390,"&lt;&gt;Off-street")&gt;0,1,0)</f>
        <v>0</v>
      </c>
      <c r="I117">
        <f>IF(COUNTIFS('United Data'!$A$3:$A$3390,I$1,'United Data'!$C$3:$C$3390,$A117,'United Data'!$B$3:$B$3390,"&lt;&gt;Off-street")&gt;0,1,0)</f>
        <v>1</v>
      </c>
      <c r="J117">
        <f>IF(COUNTIFS('United Data'!$A$3:$A$3390,J$1,'United Data'!$C$3:$C$3390,$A117,'United Data'!$B$3:$B$3390,"&lt;&gt;Off-street")&gt;0,1,0)</f>
        <v>0</v>
      </c>
      <c r="K117">
        <f>IF(COUNTIFS('United Data'!$A$3:$A$3390,K$1,'United Data'!$C$3:$C$3390,$A117,'United Data'!$B$3:$B$3390,"&lt;&gt;Off-street")&gt;0,1,0)</f>
        <v>0</v>
      </c>
      <c r="L117">
        <f>IF(COUNTIFS('United Data'!$A$3:$A$3390,L$1,'United Data'!$C$3:$C$3390,$A117,'United Data'!$B$3:$B$3390,"&lt;&gt;Off-street")&gt;0,1,0)</f>
        <v>0</v>
      </c>
      <c r="M117">
        <f>IF(COUNTIFS('United Data'!$A$3:$A$3390,M$1,'United Data'!$C$3:$C$3390,$A117,'United Data'!$B$3:$B$3390,"&lt;&gt;Off-street")&gt;0,1,0)</f>
        <v>0</v>
      </c>
      <c r="N117">
        <f>IF(COUNTIFS('United Data'!$A$3:$A$3390,N$1,'United Data'!$C$3:$C$3390,$A117,'United Data'!$B$3:$B$3390,"&lt;&gt;Off-street")&gt;0,1,0)</f>
        <v>0</v>
      </c>
      <c r="O117">
        <f>IF(COUNTIFS('United Data'!$A$3:$A$3390,O$1,'United Data'!$C$3:$C$3390,$A117,'United Data'!$B$3:$B$3390,"&lt;&gt;Off-street")&gt;0,1,0)</f>
        <v>0</v>
      </c>
      <c r="P117">
        <f>IF(COUNTIFS('United Data'!$A$3:$A$3390,P$1,'United Data'!$C$3:$C$3390,$A117,'United Data'!$B$3:$B$3390,"&lt;&gt;Off-street")&gt;0,1,0)</f>
        <v>0</v>
      </c>
      <c r="Q117">
        <f>IF(COUNTIFS('United Data'!$A$3:$A$3390,Q$1,'United Data'!$C$3:$C$3390,$A117,'United Data'!$B$3:$B$3390,"&lt;&gt;Off-street")&gt;0,1,0)</f>
        <v>0</v>
      </c>
      <c r="R117">
        <f>IF(COUNTIFS('United Data'!$A$3:$A$3390,R$1,'United Data'!$C$3:$C$3390,$A117,'United Data'!$B$3:$B$3390,"&lt;&gt;Off-street")&gt;0,1,0)</f>
        <v>0</v>
      </c>
      <c r="S117">
        <f t="shared" si="2"/>
        <v>1</v>
      </c>
      <c r="T117">
        <f t="shared" si="3"/>
        <v>1</v>
      </c>
    </row>
    <row r="118" spans="1:20" x14ac:dyDescent="0.2">
      <c r="A118" t="s">
        <v>172</v>
      </c>
      <c r="B118">
        <f>IF(COUNTIFS('United Data'!$A$3:$A$3390,B$1,'United Data'!$C$3:$C$3390,$A118,'United Data'!$B$3:$B$3390,"&lt;&gt;Off-street")&gt;0,1,0)</f>
        <v>0</v>
      </c>
      <c r="C118">
        <f>IF(COUNTIFS('United Data'!$A$3:$A$3390,C$1,'United Data'!$C$3:$C$3390,$A118,'United Data'!$B$3:$B$3390,"&lt;&gt;Off-street")&gt;0,1,0)</f>
        <v>0</v>
      </c>
      <c r="D118">
        <f>IF(COUNTIFS('United Data'!$A$3:$A$3390,D$1,'United Data'!$C$3:$C$3390,$A118,'United Data'!$B$3:$B$3390,"&lt;&gt;Off-street")&gt;0,1,0)</f>
        <v>0</v>
      </c>
      <c r="E118">
        <f>IF(COUNTIFS('United Data'!$A$3:$A$3390,E$1,'United Data'!$C$3:$C$3390,$A118,'United Data'!$B$3:$B$3390,"&lt;&gt;Off-street")&gt;0,1,0)</f>
        <v>0</v>
      </c>
      <c r="F118">
        <f>IF(COUNTIFS('United Data'!$A$3:$A$3390,F$1,'United Data'!$C$3:$C$3390,$A118,'United Data'!$B$3:$B$3390,"&lt;&gt;Off-street")&gt;0,1,0)</f>
        <v>0</v>
      </c>
      <c r="G118">
        <f>IF(COUNTIFS('United Data'!$A$3:$A$3390,G$1,'United Data'!$C$3:$C$3390,$A118,'United Data'!$B$3:$B$3390,"&lt;&gt;Off-street")&gt;0,1,0)</f>
        <v>0</v>
      </c>
      <c r="H118">
        <f>IF(COUNTIFS('United Data'!$A$3:$A$3390,H$1,'United Data'!$C$3:$C$3390,$A118,'United Data'!$B$3:$B$3390,"&lt;&gt;Off-street")&gt;0,1,0)</f>
        <v>0</v>
      </c>
      <c r="I118">
        <f>IF(COUNTIFS('United Data'!$A$3:$A$3390,I$1,'United Data'!$C$3:$C$3390,$A118,'United Data'!$B$3:$B$3390,"&lt;&gt;Off-street")&gt;0,1,0)</f>
        <v>0</v>
      </c>
      <c r="J118">
        <f>IF(COUNTIFS('United Data'!$A$3:$A$3390,J$1,'United Data'!$C$3:$C$3390,$A118,'United Data'!$B$3:$B$3390,"&lt;&gt;Off-street")&gt;0,1,0)</f>
        <v>0</v>
      </c>
      <c r="K118">
        <f>IF(COUNTIFS('United Data'!$A$3:$A$3390,K$1,'United Data'!$C$3:$C$3390,$A118,'United Data'!$B$3:$B$3390,"&lt;&gt;Off-street")&gt;0,1,0)</f>
        <v>0</v>
      </c>
      <c r="L118">
        <f>IF(COUNTIFS('United Data'!$A$3:$A$3390,L$1,'United Data'!$C$3:$C$3390,$A118,'United Data'!$B$3:$B$3390,"&lt;&gt;Off-street")&gt;0,1,0)</f>
        <v>0</v>
      </c>
      <c r="M118">
        <f>IF(COUNTIFS('United Data'!$A$3:$A$3390,M$1,'United Data'!$C$3:$C$3390,$A118,'United Data'!$B$3:$B$3390,"&lt;&gt;Off-street")&gt;0,1,0)</f>
        <v>1</v>
      </c>
      <c r="N118">
        <f>IF(COUNTIFS('United Data'!$A$3:$A$3390,N$1,'United Data'!$C$3:$C$3390,$A118,'United Data'!$B$3:$B$3390,"&lt;&gt;Off-street")&gt;0,1,0)</f>
        <v>0</v>
      </c>
      <c r="O118">
        <f>IF(COUNTIFS('United Data'!$A$3:$A$3390,O$1,'United Data'!$C$3:$C$3390,$A118,'United Data'!$B$3:$B$3390,"&lt;&gt;Off-street")&gt;0,1,0)</f>
        <v>0</v>
      </c>
      <c r="P118">
        <f>IF(COUNTIFS('United Data'!$A$3:$A$3390,P$1,'United Data'!$C$3:$C$3390,$A118,'United Data'!$B$3:$B$3390,"&lt;&gt;Off-street")&gt;0,1,0)</f>
        <v>0</v>
      </c>
      <c r="Q118">
        <f>IF(COUNTIFS('United Data'!$A$3:$A$3390,Q$1,'United Data'!$C$3:$C$3390,$A118,'United Data'!$B$3:$B$3390,"&lt;&gt;Off-street")&gt;0,1,0)</f>
        <v>0</v>
      </c>
      <c r="R118">
        <f>IF(COUNTIFS('United Data'!$A$3:$A$3390,R$1,'United Data'!$C$3:$C$3390,$A118,'United Data'!$B$3:$B$3390,"&lt;&gt;Off-street")&gt;0,1,0)</f>
        <v>0</v>
      </c>
      <c r="S118">
        <f t="shared" si="2"/>
        <v>1</v>
      </c>
      <c r="T118">
        <f t="shared" si="3"/>
        <v>1</v>
      </c>
    </row>
    <row r="119" spans="1:20" x14ac:dyDescent="0.2">
      <c r="A119" t="s">
        <v>173</v>
      </c>
      <c r="B119">
        <f>IF(COUNTIFS('United Data'!$A$3:$A$3390,B$1,'United Data'!$C$3:$C$3390,$A119,'United Data'!$B$3:$B$3390,"&lt;&gt;Off-street")&gt;0,1,0)</f>
        <v>0</v>
      </c>
      <c r="C119">
        <f>IF(COUNTIFS('United Data'!$A$3:$A$3390,C$1,'United Data'!$C$3:$C$3390,$A119,'United Data'!$B$3:$B$3390,"&lt;&gt;Off-street")&gt;0,1,0)</f>
        <v>0</v>
      </c>
      <c r="D119">
        <f>IF(COUNTIFS('United Data'!$A$3:$A$3390,D$1,'United Data'!$C$3:$C$3390,$A119,'United Data'!$B$3:$B$3390,"&lt;&gt;Off-street")&gt;0,1,0)</f>
        <v>0</v>
      </c>
      <c r="E119">
        <f>IF(COUNTIFS('United Data'!$A$3:$A$3390,E$1,'United Data'!$C$3:$C$3390,$A119,'United Data'!$B$3:$B$3390,"&lt;&gt;Off-street")&gt;0,1,0)</f>
        <v>0</v>
      </c>
      <c r="F119">
        <f>IF(COUNTIFS('United Data'!$A$3:$A$3390,F$1,'United Data'!$C$3:$C$3390,$A119,'United Data'!$B$3:$B$3390,"&lt;&gt;Off-street")&gt;0,1,0)</f>
        <v>0</v>
      </c>
      <c r="G119">
        <f>IF(COUNTIFS('United Data'!$A$3:$A$3390,G$1,'United Data'!$C$3:$C$3390,$A119,'United Data'!$B$3:$B$3390,"&lt;&gt;Off-street")&gt;0,1,0)</f>
        <v>0</v>
      </c>
      <c r="H119">
        <f>IF(COUNTIFS('United Data'!$A$3:$A$3390,H$1,'United Data'!$C$3:$C$3390,$A119,'United Data'!$B$3:$B$3390,"&lt;&gt;Off-street")&gt;0,1,0)</f>
        <v>0</v>
      </c>
      <c r="I119">
        <f>IF(COUNTIFS('United Data'!$A$3:$A$3390,I$1,'United Data'!$C$3:$C$3390,$A119,'United Data'!$B$3:$B$3390,"&lt;&gt;Off-street")&gt;0,1,0)</f>
        <v>0</v>
      </c>
      <c r="J119">
        <f>IF(COUNTIFS('United Data'!$A$3:$A$3390,J$1,'United Data'!$C$3:$C$3390,$A119,'United Data'!$B$3:$B$3390,"&lt;&gt;Off-street")&gt;0,1,0)</f>
        <v>0</v>
      </c>
      <c r="K119">
        <f>IF(COUNTIFS('United Data'!$A$3:$A$3390,K$1,'United Data'!$C$3:$C$3390,$A119,'United Data'!$B$3:$B$3390,"&lt;&gt;Off-street")&gt;0,1,0)</f>
        <v>0</v>
      </c>
      <c r="L119">
        <f>IF(COUNTIFS('United Data'!$A$3:$A$3390,L$1,'United Data'!$C$3:$C$3390,$A119,'United Data'!$B$3:$B$3390,"&lt;&gt;Off-street")&gt;0,1,0)</f>
        <v>0</v>
      </c>
      <c r="M119">
        <f>IF(COUNTIFS('United Data'!$A$3:$A$3390,M$1,'United Data'!$C$3:$C$3390,$A119,'United Data'!$B$3:$B$3390,"&lt;&gt;Off-street")&gt;0,1,0)</f>
        <v>1</v>
      </c>
      <c r="N119">
        <f>IF(COUNTIFS('United Data'!$A$3:$A$3390,N$1,'United Data'!$C$3:$C$3390,$A119,'United Data'!$B$3:$B$3390,"&lt;&gt;Off-street")&gt;0,1,0)</f>
        <v>0</v>
      </c>
      <c r="O119">
        <f>IF(COUNTIFS('United Data'!$A$3:$A$3390,O$1,'United Data'!$C$3:$C$3390,$A119,'United Data'!$B$3:$B$3390,"&lt;&gt;Off-street")&gt;0,1,0)</f>
        <v>0</v>
      </c>
      <c r="P119">
        <f>IF(COUNTIFS('United Data'!$A$3:$A$3390,P$1,'United Data'!$C$3:$C$3390,$A119,'United Data'!$B$3:$B$3390,"&lt;&gt;Off-street")&gt;0,1,0)</f>
        <v>0</v>
      </c>
      <c r="Q119">
        <f>IF(COUNTIFS('United Data'!$A$3:$A$3390,Q$1,'United Data'!$C$3:$C$3390,$A119,'United Data'!$B$3:$B$3390,"&lt;&gt;Off-street")&gt;0,1,0)</f>
        <v>0</v>
      </c>
      <c r="R119">
        <f>IF(COUNTIFS('United Data'!$A$3:$A$3390,R$1,'United Data'!$C$3:$C$3390,$A119,'United Data'!$B$3:$B$3390,"&lt;&gt;Off-street")&gt;0,1,0)</f>
        <v>0</v>
      </c>
      <c r="S119">
        <f t="shared" si="2"/>
        <v>1</v>
      </c>
      <c r="T119">
        <f t="shared" si="3"/>
        <v>1</v>
      </c>
    </row>
    <row r="120" spans="1:20" x14ac:dyDescent="0.2">
      <c r="A120" t="s">
        <v>174</v>
      </c>
      <c r="B120">
        <f>IF(COUNTIFS('United Data'!$A$3:$A$3390,B$1,'United Data'!$C$3:$C$3390,$A120,'United Data'!$B$3:$B$3390,"&lt;&gt;Off-street")&gt;0,1,0)</f>
        <v>0</v>
      </c>
      <c r="C120">
        <f>IF(COUNTIFS('United Data'!$A$3:$A$3390,C$1,'United Data'!$C$3:$C$3390,$A120,'United Data'!$B$3:$B$3390,"&lt;&gt;Off-street")&gt;0,1,0)</f>
        <v>0</v>
      </c>
      <c r="D120">
        <f>IF(COUNTIFS('United Data'!$A$3:$A$3390,D$1,'United Data'!$C$3:$C$3390,$A120,'United Data'!$B$3:$B$3390,"&lt;&gt;Off-street")&gt;0,1,0)</f>
        <v>0</v>
      </c>
      <c r="E120">
        <f>IF(COUNTIFS('United Data'!$A$3:$A$3390,E$1,'United Data'!$C$3:$C$3390,$A120,'United Data'!$B$3:$B$3390,"&lt;&gt;Off-street")&gt;0,1,0)</f>
        <v>0</v>
      </c>
      <c r="F120">
        <f>IF(COUNTIFS('United Data'!$A$3:$A$3390,F$1,'United Data'!$C$3:$C$3390,$A120,'United Data'!$B$3:$B$3390,"&lt;&gt;Off-street")&gt;0,1,0)</f>
        <v>0</v>
      </c>
      <c r="G120">
        <f>IF(COUNTIFS('United Data'!$A$3:$A$3390,G$1,'United Data'!$C$3:$C$3390,$A120,'United Data'!$B$3:$B$3390,"&lt;&gt;Off-street")&gt;0,1,0)</f>
        <v>0</v>
      </c>
      <c r="H120">
        <f>IF(COUNTIFS('United Data'!$A$3:$A$3390,H$1,'United Data'!$C$3:$C$3390,$A120,'United Data'!$B$3:$B$3390,"&lt;&gt;Off-street")&gt;0,1,0)</f>
        <v>0</v>
      </c>
      <c r="I120">
        <f>IF(COUNTIFS('United Data'!$A$3:$A$3390,I$1,'United Data'!$C$3:$C$3390,$A120,'United Data'!$B$3:$B$3390,"&lt;&gt;Off-street")&gt;0,1,0)</f>
        <v>0</v>
      </c>
      <c r="J120">
        <f>IF(COUNTIFS('United Data'!$A$3:$A$3390,J$1,'United Data'!$C$3:$C$3390,$A120,'United Data'!$B$3:$B$3390,"&lt;&gt;Off-street")&gt;0,1,0)</f>
        <v>0</v>
      </c>
      <c r="K120">
        <f>IF(COUNTIFS('United Data'!$A$3:$A$3390,K$1,'United Data'!$C$3:$C$3390,$A120,'United Data'!$B$3:$B$3390,"&lt;&gt;Off-street")&gt;0,1,0)</f>
        <v>0</v>
      </c>
      <c r="L120">
        <f>IF(COUNTIFS('United Data'!$A$3:$A$3390,L$1,'United Data'!$C$3:$C$3390,$A120,'United Data'!$B$3:$B$3390,"&lt;&gt;Off-street")&gt;0,1,0)</f>
        <v>0</v>
      </c>
      <c r="M120">
        <f>IF(COUNTIFS('United Data'!$A$3:$A$3390,M$1,'United Data'!$C$3:$C$3390,$A120,'United Data'!$B$3:$B$3390,"&lt;&gt;Off-street")&gt;0,1,0)</f>
        <v>1</v>
      </c>
      <c r="N120">
        <f>IF(COUNTIFS('United Data'!$A$3:$A$3390,N$1,'United Data'!$C$3:$C$3390,$A120,'United Data'!$B$3:$B$3390,"&lt;&gt;Off-street")&gt;0,1,0)</f>
        <v>0</v>
      </c>
      <c r="O120">
        <f>IF(COUNTIFS('United Data'!$A$3:$A$3390,O$1,'United Data'!$C$3:$C$3390,$A120,'United Data'!$B$3:$B$3390,"&lt;&gt;Off-street")&gt;0,1,0)</f>
        <v>0</v>
      </c>
      <c r="P120">
        <f>IF(COUNTIFS('United Data'!$A$3:$A$3390,P$1,'United Data'!$C$3:$C$3390,$A120,'United Data'!$B$3:$B$3390,"&lt;&gt;Off-street")&gt;0,1,0)</f>
        <v>1</v>
      </c>
      <c r="Q120">
        <f>IF(COUNTIFS('United Data'!$A$3:$A$3390,Q$1,'United Data'!$C$3:$C$3390,$A120,'United Data'!$B$3:$B$3390,"&lt;&gt;Off-street")&gt;0,1,0)</f>
        <v>0</v>
      </c>
      <c r="R120">
        <f>IF(COUNTIFS('United Data'!$A$3:$A$3390,R$1,'United Data'!$C$3:$C$3390,$A120,'United Data'!$B$3:$B$3390,"&lt;&gt;Off-street")&gt;0,1,0)</f>
        <v>0</v>
      </c>
      <c r="S120">
        <f t="shared" si="2"/>
        <v>2</v>
      </c>
      <c r="T120">
        <f t="shared" si="3"/>
        <v>2</v>
      </c>
    </row>
    <row r="121" spans="1:20" x14ac:dyDescent="0.2">
      <c r="A121" t="s">
        <v>175</v>
      </c>
      <c r="B121">
        <f>IF(COUNTIFS('United Data'!$A$3:$A$3390,B$1,'United Data'!$C$3:$C$3390,$A121,'United Data'!$B$3:$B$3390,"&lt;&gt;Off-street")&gt;0,1,0)</f>
        <v>0</v>
      </c>
      <c r="C121">
        <f>IF(COUNTIFS('United Data'!$A$3:$A$3390,C$1,'United Data'!$C$3:$C$3390,$A121,'United Data'!$B$3:$B$3390,"&lt;&gt;Off-street")&gt;0,1,0)</f>
        <v>0</v>
      </c>
      <c r="D121">
        <f>IF(COUNTIFS('United Data'!$A$3:$A$3390,D$1,'United Data'!$C$3:$C$3390,$A121,'United Data'!$B$3:$B$3390,"&lt;&gt;Off-street")&gt;0,1,0)</f>
        <v>0</v>
      </c>
      <c r="E121">
        <f>IF(COUNTIFS('United Data'!$A$3:$A$3390,E$1,'United Data'!$C$3:$C$3390,$A121,'United Data'!$B$3:$B$3390,"&lt;&gt;Off-street")&gt;0,1,0)</f>
        <v>0</v>
      </c>
      <c r="F121">
        <f>IF(COUNTIFS('United Data'!$A$3:$A$3390,F$1,'United Data'!$C$3:$C$3390,$A121,'United Data'!$B$3:$B$3390,"&lt;&gt;Off-street")&gt;0,1,0)</f>
        <v>0</v>
      </c>
      <c r="G121">
        <f>IF(COUNTIFS('United Data'!$A$3:$A$3390,G$1,'United Data'!$C$3:$C$3390,$A121,'United Data'!$B$3:$B$3390,"&lt;&gt;Off-street")&gt;0,1,0)</f>
        <v>0</v>
      </c>
      <c r="H121">
        <f>IF(COUNTIFS('United Data'!$A$3:$A$3390,H$1,'United Data'!$C$3:$C$3390,$A121,'United Data'!$B$3:$B$3390,"&lt;&gt;Off-street")&gt;0,1,0)</f>
        <v>0</v>
      </c>
      <c r="I121">
        <f>IF(COUNTIFS('United Data'!$A$3:$A$3390,I$1,'United Data'!$C$3:$C$3390,$A121,'United Data'!$B$3:$B$3390,"&lt;&gt;Off-street")&gt;0,1,0)</f>
        <v>0</v>
      </c>
      <c r="J121">
        <f>IF(COUNTIFS('United Data'!$A$3:$A$3390,J$1,'United Data'!$C$3:$C$3390,$A121,'United Data'!$B$3:$B$3390,"&lt;&gt;Off-street")&gt;0,1,0)</f>
        <v>0</v>
      </c>
      <c r="K121">
        <f>IF(COUNTIFS('United Data'!$A$3:$A$3390,K$1,'United Data'!$C$3:$C$3390,$A121,'United Data'!$B$3:$B$3390,"&lt;&gt;Off-street")&gt;0,1,0)</f>
        <v>0</v>
      </c>
      <c r="L121">
        <f>IF(COUNTIFS('United Data'!$A$3:$A$3390,L$1,'United Data'!$C$3:$C$3390,$A121,'United Data'!$B$3:$B$3390,"&lt;&gt;Off-street")&gt;0,1,0)</f>
        <v>0</v>
      </c>
      <c r="M121">
        <f>IF(COUNTIFS('United Data'!$A$3:$A$3390,M$1,'United Data'!$C$3:$C$3390,$A121,'United Data'!$B$3:$B$3390,"&lt;&gt;Off-street")&gt;0,1,0)</f>
        <v>1</v>
      </c>
      <c r="N121">
        <f>IF(COUNTIFS('United Data'!$A$3:$A$3390,N$1,'United Data'!$C$3:$C$3390,$A121,'United Data'!$B$3:$B$3390,"&lt;&gt;Off-street")&gt;0,1,0)</f>
        <v>0</v>
      </c>
      <c r="O121">
        <f>IF(COUNTIFS('United Data'!$A$3:$A$3390,O$1,'United Data'!$C$3:$C$3390,$A121,'United Data'!$B$3:$B$3390,"&lt;&gt;Off-street")&gt;0,1,0)</f>
        <v>0</v>
      </c>
      <c r="P121">
        <f>IF(COUNTIFS('United Data'!$A$3:$A$3390,P$1,'United Data'!$C$3:$C$3390,$A121,'United Data'!$B$3:$B$3390,"&lt;&gt;Off-street")&gt;0,1,0)</f>
        <v>0</v>
      </c>
      <c r="Q121">
        <f>IF(COUNTIFS('United Data'!$A$3:$A$3390,Q$1,'United Data'!$C$3:$C$3390,$A121,'United Data'!$B$3:$B$3390,"&lt;&gt;Off-street")&gt;0,1,0)</f>
        <v>0</v>
      </c>
      <c r="R121">
        <f>IF(COUNTIFS('United Data'!$A$3:$A$3390,R$1,'United Data'!$C$3:$C$3390,$A121,'United Data'!$B$3:$B$3390,"&lt;&gt;Off-street")&gt;0,1,0)</f>
        <v>0</v>
      </c>
      <c r="S121">
        <f t="shared" si="2"/>
        <v>1</v>
      </c>
      <c r="T121">
        <f t="shared" si="3"/>
        <v>1</v>
      </c>
    </row>
    <row r="122" spans="1:20" x14ac:dyDescent="0.2">
      <c r="A122" t="s">
        <v>176</v>
      </c>
      <c r="B122">
        <f>IF(COUNTIFS('United Data'!$A$3:$A$3390,B$1,'United Data'!$C$3:$C$3390,$A122,'United Data'!$B$3:$B$3390,"&lt;&gt;Off-street")&gt;0,1,0)</f>
        <v>0</v>
      </c>
      <c r="C122">
        <f>IF(COUNTIFS('United Data'!$A$3:$A$3390,C$1,'United Data'!$C$3:$C$3390,$A122,'United Data'!$B$3:$B$3390,"&lt;&gt;Off-street")&gt;0,1,0)</f>
        <v>0</v>
      </c>
      <c r="D122">
        <f>IF(COUNTIFS('United Data'!$A$3:$A$3390,D$1,'United Data'!$C$3:$C$3390,$A122,'United Data'!$B$3:$B$3390,"&lt;&gt;Off-street")&gt;0,1,0)</f>
        <v>0</v>
      </c>
      <c r="E122">
        <f>IF(COUNTIFS('United Data'!$A$3:$A$3390,E$1,'United Data'!$C$3:$C$3390,$A122,'United Data'!$B$3:$B$3390,"&lt;&gt;Off-street")&gt;0,1,0)</f>
        <v>0</v>
      </c>
      <c r="F122">
        <f>IF(COUNTIFS('United Data'!$A$3:$A$3390,F$1,'United Data'!$C$3:$C$3390,$A122,'United Data'!$B$3:$B$3390,"&lt;&gt;Off-street")&gt;0,1,0)</f>
        <v>0</v>
      </c>
      <c r="G122">
        <f>IF(COUNTIFS('United Data'!$A$3:$A$3390,G$1,'United Data'!$C$3:$C$3390,$A122,'United Data'!$B$3:$B$3390,"&lt;&gt;Off-street")&gt;0,1,0)</f>
        <v>0</v>
      </c>
      <c r="H122">
        <f>IF(COUNTIFS('United Data'!$A$3:$A$3390,H$1,'United Data'!$C$3:$C$3390,$A122,'United Data'!$B$3:$B$3390,"&lt;&gt;Off-street")&gt;0,1,0)</f>
        <v>0</v>
      </c>
      <c r="I122">
        <f>IF(COUNTIFS('United Data'!$A$3:$A$3390,I$1,'United Data'!$C$3:$C$3390,$A122,'United Data'!$B$3:$B$3390,"&lt;&gt;Off-street")&gt;0,1,0)</f>
        <v>0</v>
      </c>
      <c r="J122">
        <f>IF(COUNTIFS('United Data'!$A$3:$A$3390,J$1,'United Data'!$C$3:$C$3390,$A122,'United Data'!$B$3:$B$3390,"&lt;&gt;Off-street")&gt;0,1,0)</f>
        <v>0</v>
      </c>
      <c r="K122">
        <f>IF(COUNTIFS('United Data'!$A$3:$A$3390,K$1,'United Data'!$C$3:$C$3390,$A122,'United Data'!$B$3:$B$3390,"&lt;&gt;Off-street")&gt;0,1,0)</f>
        <v>0</v>
      </c>
      <c r="L122">
        <f>IF(COUNTIFS('United Data'!$A$3:$A$3390,L$1,'United Data'!$C$3:$C$3390,$A122,'United Data'!$B$3:$B$3390,"&lt;&gt;Off-street")&gt;0,1,0)</f>
        <v>0</v>
      </c>
      <c r="M122">
        <f>IF(COUNTIFS('United Data'!$A$3:$A$3390,M$1,'United Data'!$C$3:$C$3390,$A122,'United Data'!$B$3:$B$3390,"&lt;&gt;Off-street")&gt;0,1,0)</f>
        <v>1</v>
      </c>
      <c r="N122">
        <f>IF(COUNTIFS('United Data'!$A$3:$A$3390,N$1,'United Data'!$C$3:$C$3390,$A122,'United Data'!$B$3:$B$3390,"&lt;&gt;Off-street")&gt;0,1,0)</f>
        <v>1</v>
      </c>
      <c r="O122">
        <f>IF(COUNTIFS('United Data'!$A$3:$A$3390,O$1,'United Data'!$C$3:$C$3390,$A122,'United Data'!$B$3:$B$3390,"&lt;&gt;Off-street")&gt;0,1,0)</f>
        <v>0</v>
      </c>
      <c r="P122">
        <f>IF(COUNTIFS('United Data'!$A$3:$A$3390,P$1,'United Data'!$C$3:$C$3390,$A122,'United Data'!$B$3:$B$3390,"&lt;&gt;Off-street")&gt;0,1,0)</f>
        <v>0</v>
      </c>
      <c r="Q122">
        <f>IF(COUNTIFS('United Data'!$A$3:$A$3390,Q$1,'United Data'!$C$3:$C$3390,$A122,'United Data'!$B$3:$B$3390,"&lt;&gt;Off-street")&gt;0,1,0)</f>
        <v>0</v>
      </c>
      <c r="R122">
        <f>IF(COUNTIFS('United Data'!$A$3:$A$3390,R$1,'United Data'!$C$3:$C$3390,$A122,'United Data'!$B$3:$B$3390,"&lt;&gt;Off-street")&gt;0,1,0)</f>
        <v>0</v>
      </c>
      <c r="S122">
        <f t="shared" si="2"/>
        <v>2</v>
      </c>
      <c r="T122">
        <f t="shared" si="3"/>
        <v>1</v>
      </c>
    </row>
    <row r="123" spans="1:20" x14ac:dyDescent="0.2">
      <c r="A123" t="s">
        <v>177</v>
      </c>
      <c r="B123">
        <f>IF(COUNTIFS('United Data'!$A$3:$A$3390,B$1,'United Data'!$C$3:$C$3390,$A123,'United Data'!$B$3:$B$3390,"&lt;&gt;Off-street")&gt;0,1,0)</f>
        <v>0</v>
      </c>
      <c r="C123">
        <f>IF(COUNTIFS('United Data'!$A$3:$A$3390,C$1,'United Data'!$C$3:$C$3390,$A123,'United Data'!$B$3:$B$3390,"&lt;&gt;Off-street")&gt;0,1,0)</f>
        <v>0</v>
      </c>
      <c r="D123">
        <f>IF(COUNTIFS('United Data'!$A$3:$A$3390,D$1,'United Data'!$C$3:$C$3390,$A123,'United Data'!$B$3:$B$3390,"&lt;&gt;Off-street")&gt;0,1,0)</f>
        <v>0</v>
      </c>
      <c r="E123">
        <f>IF(COUNTIFS('United Data'!$A$3:$A$3390,E$1,'United Data'!$C$3:$C$3390,$A123,'United Data'!$B$3:$B$3390,"&lt;&gt;Off-street")&gt;0,1,0)</f>
        <v>0</v>
      </c>
      <c r="F123">
        <f>IF(COUNTIFS('United Data'!$A$3:$A$3390,F$1,'United Data'!$C$3:$C$3390,$A123,'United Data'!$B$3:$B$3390,"&lt;&gt;Off-street")&gt;0,1,0)</f>
        <v>0</v>
      </c>
      <c r="G123">
        <f>IF(COUNTIFS('United Data'!$A$3:$A$3390,G$1,'United Data'!$C$3:$C$3390,$A123,'United Data'!$B$3:$B$3390,"&lt;&gt;Off-street")&gt;0,1,0)</f>
        <v>0</v>
      </c>
      <c r="H123">
        <f>IF(COUNTIFS('United Data'!$A$3:$A$3390,H$1,'United Data'!$C$3:$C$3390,$A123,'United Data'!$B$3:$B$3390,"&lt;&gt;Off-street")&gt;0,1,0)</f>
        <v>0</v>
      </c>
      <c r="I123">
        <f>IF(COUNTIFS('United Data'!$A$3:$A$3390,I$1,'United Data'!$C$3:$C$3390,$A123,'United Data'!$B$3:$B$3390,"&lt;&gt;Off-street")&gt;0,1,0)</f>
        <v>0</v>
      </c>
      <c r="J123">
        <f>IF(COUNTIFS('United Data'!$A$3:$A$3390,J$1,'United Data'!$C$3:$C$3390,$A123,'United Data'!$B$3:$B$3390,"&lt;&gt;Off-street")&gt;0,1,0)</f>
        <v>0</v>
      </c>
      <c r="K123">
        <f>IF(COUNTIFS('United Data'!$A$3:$A$3390,K$1,'United Data'!$C$3:$C$3390,$A123,'United Data'!$B$3:$B$3390,"&lt;&gt;Off-street")&gt;0,1,0)</f>
        <v>0</v>
      </c>
      <c r="L123">
        <f>IF(COUNTIFS('United Data'!$A$3:$A$3390,L$1,'United Data'!$C$3:$C$3390,$A123,'United Data'!$B$3:$B$3390,"&lt;&gt;Off-street")&gt;0,1,0)</f>
        <v>0</v>
      </c>
      <c r="M123">
        <f>IF(COUNTIFS('United Data'!$A$3:$A$3390,M$1,'United Data'!$C$3:$C$3390,$A123,'United Data'!$B$3:$B$3390,"&lt;&gt;Off-street")&gt;0,1,0)</f>
        <v>0</v>
      </c>
      <c r="N123">
        <f>IF(COUNTIFS('United Data'!$A$3:$A$3390,N$1,'United Data'!$C$3:$C$3390,$A123,'United Data'!$B$3:$B$3390,"&lt;&gt;Off-street")&gt;0,1,0)</f>
        <v>1</v>
      </c>
      <c r="O123">
        <f>IF(COUNTIFS('United Data'!$A$3:$A$3390,O$1,'United Data'!$C$3:$C$3390,$A123,'United Data'!$B$3:$B$3390,"&lt;&gt;Off-street")&gt;0,1,0)</f>
        <v>0</v>
      </c>
      <c r="P123">
        <f>IF(COUNTIFS('United Data'!$A$3:$A$3390,P$1,'United Data'!$C$3:$C$3390,$A123,'United Data'!$B$3:$B$3390,"&lt;&gt;Off-street")&gt;0,1,0)</f>
        <v>0</v>
      </c>
      <c r="Q123">
        <f>IF(COUNTIFS('United Data'!$A$3:$A$3390,Q$1,'United Data'!$C$3:$C$3390,$A123,'United Data'!$B$3:$B$3390,"&lt;&gt;Off-street")&gt;0,1,0)</f>
        <v>0</v>
      </c>
      <c r="R123">
        <f>IF(COUNTIFS('United Data'!$A$3:$A$3390,R$1,'United Data'!$C$3:$C$3390,$A123,'United Data'!$B$3:$B$3390,"&lt;&gt;Off-street")&gt;0,1,0)</f>
        <v>0</v>
      </c>
      <c r="S123">
        <f t="shared" si="2"/>
        <v>1</v>
      </c>
      <c r="T123">
        <f t="shared" si="3"/>
        <v>1</v>
      </c>
    </row>
    <row r="124" spans="1:20" x14ac:dyDescent="0.2">
      <c r="A124" t="s">
        <v>179</v>
      </c>
      <c r="B124">
        <f>IF(COUNTIFS('United Data'!$A$3:$A$3390,B$1,'United Data'!$C$3:$C$3390,$A124,'United Data'!$B$3:$B$3390,"&lt;&gt;Off-street")&gt;0,1,0)</f>
        <v>0</v>
      </c>
      <c r="C124">
        <f>IF(COUNTIFS('United Data'!$A$3:$A$3390,C$1,'United Data'!$C$3:$C$3390,$A124,'United Data'!$B$3:$B$3390,"&lt;&gt;Off-street")&gt;0,1,0)</f>
        <v>0</v>
      </c>
      <c r="D124">
        <f>IF(COUNTIFS('United Data'!$A$3:$A$3390,D$1,'United Data'!$C$3:$C$3390,$A124,'United Data'!$B$3:$B$3390,"&lt;&gt;Off-street")&gt;0,1,0)</f>
        <v>0</v>
      </c>
      <c r="E124">
        <f>IF(COUNTIFS('United Data'!$A$3:$A$3390,E$1,'United Data'!$C$3:$C$3390,$A124,'United Data'!$B$3:$B$3390,"&lt;&gt;Off-street")&gt;0,1,0)</f>
        <v>0</v>
      </c>
      <c r="F124">
        <f>IF(COUNTIFS('United Data'!$A$3:$A$3390,F$1,'United Data'!$C$3:$C$3390,$A124,'United Data'!$B$3:$B$3390,"&lt;&gt;Off-street")&gt;0,1,0)</f>
        <v>0</v>
      </c>
      <c r="G124">
        <f>IF(COUNTIFS('United Data'!$A$3:$A$3390,G$1,'United Data'!$C$3:$C$3390,$A124,'United Data'!$B$3:$B$3390,"&lt;&gt;Off-street")&gt;0,1,0)</f>
        <v>0</v>
      </c>
      <c r="H124">
        <f>IF(COUNTIFS('United Data'!$A$3:$A$3390,H$1,'United Data'!$C$3:$C$3390,$A124,'United Data'!$B$3:$B$3390,"&lt;&gt;Off-street")&gt;0,1,0)</f>
        <v>0</v>
      </c>
      <c r="I124">
        <f>IF(COUNTIFS('United Data'!$A$3:$A$3390,I$1,'United Data'!$C$3:$C$3390,$A124,'United Data'!$B$3:$B$3390,"&lt;&gt;Off-street")&gt;0,1,0)</f>
        <v>0</v>
      </c>
      <c r="J124">
        <f>IF(COUNTIFS('United Data'!$A$3:$A$3390,J$1,'United Data'!$C$3:$C$3390,$A124,'United Data'!$B$3:$B$3390,"&lt;&gt;Off-street")&gt;0,1,0)</f>
        <v>0</v>
      </c>
      <c r="K124">
        <f>IF(COUNTIFS('United Data'!$A$3:$A$3390,K$1,'United Data'!$C$3:$C$3390,$A124,'United Data'!$B$3:$B$3390,"&lt;&gt;Off-street")&gt;0,1,0)</f>
        <v>0</v>
      </c>
      <c r="L124">
        <f>IF(COUNTIFS('United Data'!$A$3:$A$3390,L$1,'United Data'!$C$3:$C$3390,$A124,'United Data'!$B$3:$B$3390,"&lt;&gt;Off-street")&gt;0,1,0)</f>
        <v>0</v>
      </c>
      <c r="M124">
        <f>IF(COUNTIFS('United Data'!$A$3:$A$3390,M$1,'United Data'!$C$3:$C$3390,$A124,'United Data'!$B$3:$B$3390,"&lt;&gt;Off-street")&gt;0,1,0)</f>
        <v>0</v>
      </c>
      <c r="N124">
        <f>IF(COUNTIFS('United Data'!$A$3:$A$3390,N$1,'United Data'!$C$3:$C$3390,$A124,'United Data'!$B$3:$B$3390,"&lt;&gt;Off-street")&gt;0,1,0)</f>
        <v>1</v>
      </c>
      <c r="O124">
        <f>IF(COUNTIFS('United Data'!$A$3:$A$3390,O$1,'United Data'!$C$3:$C$3390,$A124,'United Data'!$B$3:$B$3390,"&lt;&gt;Off-street")&gt;0,1,0)</f>
        <v>0</v>
      </c>
      <c r="P124">
        <f>IF(COUNTIFS('United Data'!$A$3:$A$3390,P$1,'United Data'!$C$3:$C$3390,$A124,'United Data'!$B$3:$B$3390,"&lt;&gt;Off-street")&gt;0,1,0)</f>
        <v>0</v>
      </c>
      <c r="Q124">
        <f>IF(COUNTIFS('United Data'!$A$3:$A$3390,Q$1,'United Data'!$C$3:$C$3390,$A124,'United Data'!$B$3:$B$3390,"&lt;&gt;Off-street")&gt;0,1,0)</f>
        <v>0</v>
      </c>
      <c r="R124">
        <f>IF(COUNTIFS('United Data'!$A$3:$A$3390,R$1,'United Data'!$C$3:$C$3390,$A124,'United Data'!$B$3:$B$3390,"&lt;&gt;Off-street")&gt;0,1,0)</f>
        <v>0</v>
      </c>
      <c r="S124">
        <f t="shared" si="2"/>
        <v>1</v>
      </c>
      <c r="T124">
        <f t="shared" si="3"/>
        <v>1</v>
      </c>
    </row>
    <row r="125" spans="1:20" x14ac:dyDescent="0.2">
      <c r="A125" t="s">
        <v>180</v>
      </c>
      <c r="B125">
        <f>IF(COUNTIFS('United Data'!$A$3:$A$3390,B$1,'United Data'!$C$3:$C$3390,$A125,'United Data'!$B$3:$B$3390,"&lt;&gt;Off-street")&gt;0,1,0)</f>
        <v>0</v>
      </c>
      <c r="C125">
        <f>IF(COUNTIFS('United Data'!$A$3:$A$3390,C$1,'United Data'!$C$3:$C$3390,$A125,'United Data'!$B$3:$B$3390,"&lt;&gt;Off-street")&gt;0,1,0)</f>
        <v>0</v>
      </c>
      <c r="D125">
        <f>IF(COUNTIFS('United Data'!$A$3:$A$3390,D$1,'United Data'!$C$3:$C$3390,$A125,'United Data'!$B$3:$B$3390,"&lt;&gt;Off-street")&gt;0,1,0)</f>
        <v>0</v>
      </c>
      <c r="E125">
        <f>IF(COUNTIFS('United Data'!$A$3:$A$3390,E$1,'United Data'!$C$3:$C$3390,$A125,'United Data'!$B$3:$B$3390,"&lt;&gt;Off-street")&gt;0,1,0)</f>
        <v>0</v>
      </c>
      <c r="F125">
        <f>IF(COUNTIFS('United Data'!$A$3:$A$3390,F$1,'United Data'!$C$3:$C$3390,$A125,'United Data'!$B$3:$B$3390,"&lt;&gt;Off-street")&gt;0,1,0)</f>
        <v>0</v>
      </c>
      <c r="G125">
        <f>IF(COUNTIFS('United Data'!$A$3:$A$3390,G$1,'United Data'!$C$3:$C$3390,$A125,'United Data'!$B$3:$B$3390,"&lt;&gt;Off-street")&gt;0,1,0)</f>
        <v>0</v>
      </c>
      <c r="H125">
        <f>IF(COUNTIFS('United Data'!$A$3:$A$3390,H$1,'United Data'!$C$3:$C$3390,$A125,'United Data'!$B$3:$B$3390,"&lt;&gt;Off-street")&gt;0,1,0)</f>
        <v>0</v>
      </c>
      <c r="I125">
        <f>IF(COUNTIFS('United Data'!$A$3:$A$3390,I$1,'United Data'!$C$3:$C$3390,$A125,'United Data'!$B$3:$B$3390,"&lt;&gt;Off-street")&gt;0,1,0)</f>
        <v>0</v>
      </c>
      <c r="J125">
        <f>IF(COUNTIFS('United Data'!$A$3:$A$3390,J$1,'United Data'!$C$3:$C$3390,$A125,'United Data'!$B$3:$B$3390,"&lt;&gt;Off-street")&gt;0,1,0)</f>
        <v>0</v>
      </c>
      <c r="K125">
        <f>IF(COUNTIFS('United Data'!$A$3:$A$3390,K$1,'United Data'!$C$3:$C$3390,$A125,'United Data'!$B$3:$B$3390,"&lt;&gt;Off-street")&gt;0,1,0)</f>
        <v>0</v>
      </c>
      <c r="L125">
        <f>IF(COUNTIFS('United Data'!$A$3:$A$3390,L$1,'United Data'!$C$3:$C$3390,$A125,'United Data'!$B$3:$B$3390,"&lt;&gt;Off-street")&gt;0,1,0)</f>
        <v>0</v>
      </c>
      <c r="M125">
        <f>IF(COUNTIFS('United Data'!$A$3:$A$3390,M$1,'United Data'!$C$3:$C$3390,$A125,'United Data'!$B$3:$B$3390,"&lt;&gt;Off-street")&gt;0,1,0)</f>
        <v>0</v>
      </c>
      <c r="N125">
        <f>IF(COUNTIFS('United Data'!$A$3:$A$3390,N$1,'United Data'!$C$3:$C$3390,$A125,'United Data'!$B$3:$B$3390,"&lt;&gt;Off-street")&gt;0,1,0)</f>
        <v>1</v>
      </c>
      <c r="O125">
        <f>IF(COUNTIFS('United Data'!$A$3:$A$3390,O$1,'United Data'!$C$3:$C$3390,$A125,'United Data'!$B$3:$B$3390,"&lt;&gt;Off-street")&gt;0,1,0)</f>
        <v>1</v>
      </c>
      <c r="P125">
        <f>IF(COUNTIFS('United Data'!$A$3:$A$3390,P$1,'United Data'!$C$3:$C$3390,$A125,'United Data'!$B$3:$B$3390,"&lt;&gt;Off-street")&gt;0,1,0)</f>
        <v>1</v>
      </c>
      <c r="Q125">
        <f>IF(COUNTIFS('United Data'!$A$3:$A$3390,Q$1,'United Data'!$C$3:$C$3390,$A125,'United Data'!$B$3:$B$3390,"&lt;&gt;Off-street")&gt;0,1,0)</f>
        <v>1</v>
      </c>
      <c r="R125">
        <f>IF(COUNTIFS('United Data'!$A$3:$A$3390,R$1,'United Data'!$C$3:$C$3390,$A125,'United Data'!$B$3:$B$3390,"&lt;&gt;Off-street")&gt;0,1,0)</f>
        <v>0</v>
      </c>
      <c r="S125">
        <f t="shared" si="2"/>
        <v>4</v>
      </c>
      <c r="T125">
        <f t="shared" si="3"/>
        <v>1</v>
      </c>
    </row>
    <row r="126" spans="1:20" x14ac:dyDescent="0.2">
      <c r="A126" t="s">
        <v>181</v>
      </c>
      <c r="B126">
        <f>IF(COUNTIFS('United Data'!$A$3:$A$3390,B$1,'United Data'!$C$3:$C$3390,$A126,'United Data'!$B$3:$B$3390,"&lt;&gt;Off-street")&gt;0,1,0)</f>
        <v>0</v>
      </c>
      <c r="C126">
        <f>IF(COUNTIFS('United Data'!$A$3:$A$3390,C$1,'United Data'!$C$3:$C$3390,$A126,'United Data'!$B$3:$B$3390,"&lt;&gt;Off-street")&gt;0,1,0)</f>
        <v>0</v>
      </c>
      <c r="D126">
        <f>IF(COUNTIFS('United Data'!$A$3:$A$3390,D$1,'United Data'!$C$3:$C$3390,$A126,'United Data'!$B$3:$B$3390,"&lt;&gt;Off-street")&gt;0,1,0)</f>
        <v>0</v>
      </c>
      <c r="E126">
        <f>IF(COUNTIFS('United Data'!$A$3:$A$3390,E$1,'United Data'!$C$3:$C$3390,$A126,'United Data'!$B$3:$B$3390,"&lt;&gt;Off-street")&gt;0,1,0)</f>
        <v>0</v>
      </c>
      <c r="F126">
        <f>IF(COUNTIFS('United Data'!$A$3:$A$3390,F$1,'United Data'!$C$3:$C$3390,$A126,'United Data'!$B$3:$B$3390,"&lt;&gt;Off-street")&gt;0,1,0)</f>
        <v>0</v>
      </c>
      <c r="G126">
        <f>IF(COUNTIFS('United Data'!$A$3:$A$3390,G$1,'United Data'!$C$3:$C$3390,$A126,'United Data'!$B$3:$B$3390,"&lt;&gt;Off-street")&gt;0,1,0)</f>
        <v>0</v>
      </c>
      <c r="H126">
        <f>IF(COUNTIFS('United Data'!$A$3:$A$3390,H$1,'United Data'!$C$3:$C$3390,$A126,'United Data'!$B$3:$B$3390,"&lt;&gt;Off-street")&gt;0,1,0)</f>
        <v>0</v>
      </c>
      <c r="I126">
        <f>IF(COUNTIFS('United Data'!$A$3:$A$3390,I$1,'United Data'!$C$3:$C$3390,$A126,'United Data'!$B$3:$B$3390,"&lt;&gt;Off-street")&gt;0,1,0)</f>
        <v>0</v>
      </c>
      <c r="J126">
        <f>IF(COUNTIFS('United Data'!$A$3:$A$3390,J$1,'United Data'!$C$3:$C$3390,$A126,'United Data'!$B$3:$B$3390,"&lt;&gt;Off-street")&gt;0,1,0)</f>
        <v>0</v>
      </c>
      <c r="K126">
        <f>IF(COUNTIFS('United Data'!$A$3:$A$3390,K$1,'United Data'!$C$3:$C$3390,$A126,'United Data'!$B$3:$B$3390,"&lt;&gt;Off-street")&gt;0,1,0)</f>
        <v>0</v>
      </c>
      <c r="L126">
        <f>IF(COUNTIFS('United Data'!$A$3:$A$3390,L$1,'United Data'!$C$3:$C$3390,$A126,'United Data'!$B$3:$B$3390,"&lt;&gt;Off-street")&gt;0,1,0)</f>
        <v>0</v>
      </c>
      <c r="M126">
        <f>IF(COUNTIFS('United Data'!$A$3:$A$3390,M$1,'United Data'!$C$3:$C$3390,$A126,'United Data'!$B$3:$B$3390,"&lt;&gt;Off-street")&gt;0,1,0)</f>
        <v>0</v>
      </c>
      <c r="N126">
        <f>IF(COUNTIFS('United Data'!$A$3:$A$3390,N$1,'United Data'!$C$3:$C$3390,$A126,'United Data'!$B$3:$B$3390,"&lt;&gt;Off-street")&gt;0,1,0)</f>
        <v>0</v>
      </c>
      <c r="O126">
        <f>IF(COUNTIFS('United Data'!$A$3:$A$3390,O$1,'United Data'!$C$3:$C$3390,$A126,'United Data'!$B$3:$B$3390,"&lt;&gt;Off-street")&gt;0,1,0)</f>
        <v>1</v>
      </c>
      <c r="P126">
        <f>IF(COUNTIFS('United Data'!$A$3:$A$3390,P$1,'United Data'!$C$3:$C$3390,$A126,'United Data'!$B$3:$B$3390,"&lt;&gt;Off-street")&gt;0,1,0)</f>
        <v>0</v>
      </c>
      <c r="Q126">
        <f>IF(COUNTIFS('United Data'!$A$3:$A$3390,Q$1,'United Data'!$C$3:$C$3390,$A126,'United Data'!$B$3:$B$3390,"&lt;&gt;Off-street")&gt;0,1,0)</f>
        <v>0</v>
      </c>
      <c r="R126">
        <f>IF(COUNTIFS('United Data'!$A$3:$A$3390,R$1,'United Data'!$C$3:$C$3390,$A126,'United Data'!$B$3:$B$3390,"&lt;&gt;Off-street")&gt;0,1,0)</f>
        <v>0</v>
      </c>
      <c r="S126">
        <f t="shared" si="2"/>
        <v>1</v>
      </c>
      <c r="T126">
        <f t="shared" si="3"/>
        <v>1</v>
      </c>
    </row>
    <row r="127" spans="1:20" x14ac:dyDescent="0.2">
      <c r="A127" t="s">
        <v>182</v>
      </c>
      <c r="B127">
        <f>IF(COUNTIFS('United Data'!$A$3:$A$3390,B$1,'United Data'!$C$3:$C$3390,$A127,'United Data'!$B$3:$B$3390,"&lt;&gt;Off-street")&gt;0,1,0)</f>
        <v>0</v>
      </c>
      <c r="C127">
        <f>IF(COUNTIFS('United Data'!$A$3:$A$3390,C$1,'United Data'!$C$3:$C$3390,$A127,'United Data'!$B$3:$B$3390,"&lt;&gt;Off-street")&gt;0,1,0)</f>
        <v>0</v>
      </c>
      <c r="D127">
        <f>IF(COUNTIFS('United Data'!$A$3:$A$3390,D$1,'United Data'!$C$3:$C$3390,$A127,'United Data'!$B$3:$B$3390,"&lt;&gt;Off-street")&gt;0,1,0)</f>
        <v>0</v>
      </c>
      <c r="E127">
        <f>IF(COUNTIFS('United Data'!$A$3:$A$3390,E$1,'United Data'!$C$3:$C$3390,$A127,'United Data'!$B$3:$B$3390,"&lt;&gt;Off-street")&gt;0,1,0)</f>
        <v>0</v>
      </c>
      <c r="F127">
        <f>IF(COUNTIFS('United Data'!$A$3:$A$3390,F$1,'United Data'!$C$3:$C$3390,$A127,'United Data'!$B$3:$B$3390,"&lt;&gt;Off-street")&gt;0,1,0)</f>
        <v>0</v>
      </c>
      <c r="G127">
        <f>IF(COUNTIFS('United Data'!$A$3:$A$3390,G$1,'United Data'!$C$3:$C$3390,$A127,'United Data'!$B$3:$B$3390,"&lt;&gt;Off-street")&gt;0,1,0)</f>
        <v>0</v>
      </c>
      <c r="H127">
        <f>IF(COUNTIFS('United Data'!$A$3:$A$3390,H$1,'United Data'!$C$3:$C$3390,$A127,'United Data'!$B$3:$B$3390,"&lt;&gt;Off-street")&gt;0,1,0)</f>
        <v>0</v>
      </c>
      <c r="I127">
        <f>IF(COUNTIFS('United Data'!$A$3:$A$3390,I$1,'United Data'!$C$3:$C$3390,$A127,'United Data'!$B$3:$B$3390,"&lt;&gt;Off-street")&gt;0,1,0)</f>
        <v>0</v>
      </c>
      <c r="J127">
        <f>IF(COUNTIFS('United Data'!$A$3:$A$3390,J$1,'United Data'!$C$3:$C$3390,$A127,'United Data'!$B$3:$B$3390,"&lt;&gt;Off-street")&gt;0,1,0)</f>
        <v>0</v>
      </c>
      <c r="K127">
        <f>IF(COUNTIFS('United Data'!$A$3:$A$3390,K$1,'United Data'!$C$3:$C$3390,$A127,'United Data'!$B$3:$B$3390,"&lt;&gt;Off-street")&gt;0,1,0)</f>
        <v>0</v>
      </c>
      <c r="L127">
        <f>IF(COUNTIFS('United Data'!$A$3:$A$3390,L$1,'United Data'!$C$3:$C$3390,$A127,'United Data'!$B$3:$B$3390,"&lt;&gt;Off-street")&gt;0,1,0)</f>
        <v>0</v>
      </c>
      <c r="M127">
        <f>IF(COUNTIFS('United Data'!$A$3:$A$3390,M$1,'United Data'!$C$3:$C$3390,$A127,'United Data'!$B$3:$B$3390,"&lt;&gt;Off-street")&gt;0,1,0)</f>
        <v>0</v>
      </c>
      <c r="N127">
        <f>IF(COUNTIFS('United Data'!$A$3:$A$3390,N$1,'United Data'!$C$3:$C$3390,$A127,'United Data'!$B$3:$B$3390,"&lt;&gt;Off-street")&gt;0,1,0)</f>
        <v>0</v>
      </c>
      <c r="O127">
        <f>IF(COUNTIFS('United Data'!$A$3:$A$3390,O$1,'United Data'!$C$3:$C$3390,$A127,'United Data'!$B$3:$B$3390,"&lt;&gt;Off-street")&gt;0,1,0)</f>
        <v>1</v>
      </c>
      <c r="P127">
        <f>IF(COUNTIFS('United Data'!$A$3:$A$3390,P$1,'United Data'!$C$3:$C$3390,$A127,'United Data'!$B$3:$B$3390,"&lt;&gt;Off-street")&gt;0,1,0)</f>
        <v>0</v>
      </c>
      <c r="Q127">
        <f>IF(COUNTIFS('United Data'!$A$3:$A$3390,Q$1,'United Data'!$C$3:$C$3390,$A127,'United Data'!$B$3:$B$3390,"&lt;&gt;Off-street")&gt;0,1,0)</f>
        <v>0</v>
      </c>
      <c r="R127">
        <f>IF(COUNTIFS('United Data'!$A$3:$A$3390,R$1,'United Data'!$C$3:$C$3390,$A127,'United Data'!$B$3:$B$3390,"&lt;&gt;Off-street")&gt;0,1,0)</f>
        <v>0</v>
      </c>
      <c r="S127">
        <f t="shared" si="2"/>
        <v>1</v>
      </c>
      <c r="T127">
        <f t="shared" si="3"/>
        <v>1</v>
      </c>
    </row>
    <row r="128" spans="1:20" x14ac:dyDescent="0.2">
      <c r="A128" t="s">
        <v>183</v>
      </c>
      <c r="B128">
        <f>IF(COUNTIFS('United Data'!$A$3:$A$3390,B$1,'United Data'!$C$3:$C$3390,$A128,'United Data'!$B$3:$B$3390,"&lt;&gt;Off-street")&gt;0,1,0)</f>
        <v>0</v>
      </c>
      <c r="C128">
        <f>IF(COUNTIFS('United Data'!$A$3:$A$3390,C$1,'United Data'!$C$3:$C$3390,$A128,'United Data'!$B$3:$B$3390,"&lt;&gt;Off-street")&gt;0,1,0)</f>
        <v>0</v>
      </c>
      <c r="D128">
        <f>IF(COUNTIFS('United Data'!$A$3:$A$3390,D$1,'United Data'!$C$3:$C$3390,$A128,'United Data'!$B$3:$B$3390,"&lt;&gt;Off-street")&gt;0,1,0)</f>
        <v>0</v>
      </c>
      <c r="E128">
        <f>IF(COUNTIFS('United Data'!$A$3:$A$3390,E$1,'United Data'!$C$3:$C$3390,$A128,'United Data'!$B$3:$B$3390,"&lt;&gt;Off-street")&gt;0,1,0)</f>
        <v>0</v>
      </c>
      <c r="F128">
        <f>IF(COUNTIFS('United Data'!$A$3:$A$3390,F$1,'United Data'!$C$3:$C$3390,$A128,'United Data'!$B$3:$B$3390,"&lt;&gt;Off-street")&gt;0,1,0)</f>
        <v>0</v>
      </c>
      <c r="G128">
        <f>IF(COUNTIFS('United Data'!$A$3:$A$3390,G$1,'United Data'!$C$3:$C$3390,$A128,'United Data'!$B$3:$B$3390,"&lt;&gt;Off-street")&gt;0,1,0)</f>
        <v>0</v>
      </c>
      <c r="H128">
        <f>IF(COUNTIFS('United Data'!$A$3:$A$3390,H$1,'United Data'!$C$3:$C$3390,$A128,'United Data'!$B$3:$B$3390,"&lt;&gt;Off-street")&gt;0,1,0)</f>
        <v>0</v>
      </c>
      <c r="I128">
        <f>IF(COUNTIFS('United Data'!$A$3:$A$3390,I$1,'United Data'!$C$3:$C$3390,$A128,'United Data'!$B$3:$B$3390,"&lt;&gt;Off-street")&gt;0,1,0)</f>
        <v>0</v>
      </c>
      <c r="J128">
        <f>IF(COUNTIFS('United Data'!$A$3:$A$3390,J$1,'United Data'!$C$3:$C$3390,$A128,'United Data'!$B$3:$B$3390,"&lt;&gt;Off-street")&gt;0,1,0)</f>
        <v>0</v>
      </c>
      <c r="K128">
        <f>IF(COUNTIFS('United Data'!$A$3:$A$3390,K$1,'United Data'!$C$3:$C$3390,$A128,'United Data'!$B$3:$B$3390,"&lt;&gt;Off-street")&gt;0,1,0)</f>
        <v>0</v>
      </c>
      <c r="L128">
        <f>IF(COUNTIFS('United Data'!$A$3:$A$3390,L$1,'United Data'!$C$3:$C$3390,$A128,'United Data'!$B$3:$B$3390,"&lt;&gt;Off-street")&gt;0,1,0)</f>
        <v>0</v>
      </c>
      <c r="M128">
        <f>IF(COUNTIFS('United Data'!$A$3:$A$3390,M$1,'United Data'!$C$3:$C$3390,$A128,'United Data'!$B$3:$B$3390,"&lt;&gt;Off-street")&gt;0,1,0)</f>
        <v>0</v>
      </c>
      <c r="N128">
        <f>IF(COUNTIFS('United Data'!$A$3:$A$3390,N$1,'United Data'!$C$3:$C$3390,$A128,'United Data'!$B$3:$B$3390,"&lt;&gt;Off-street")&gt;0,1,0)</f>
        <v>0</v>
      </c>
      <c r="O128">
        <f>IF(COUNTIFS('United Data'!$A$3:$A$3390,O$1,'United Data'!$C$3:$C$3390,$A128,'United Data'!$B$3:$B$3390,"&lt;&gt;Off-street")&gt;0,1,0)</f>
        <v>1</v>
      </c>
      <c r="P128">
        <f>IF(COUNTIFS('United Data'!$A$3:$A$3390,P$1,'United Data'!$C$3:$C$3390,$A128,'United Data'!$B$3:$B$3390,"&lt;&gt;Off-street")&gt;0,1,0)</f>
        <v>0</v>
      </c>
      <c r="Q128">
        <f>IF(COUNTIFS('United Data'!$A$3:$A$3390,Q$1,'United Data'!$C$3:$C$3390,$A128,'United Data'!$B$3:$B$3390,"&lt;&gt;Off-street")&gt;0,1,0)</f>
        <v>1</v>
      </c>
      <c r="R128">
        <f>IF(COUNTIFS('United Data'!$A$3:$A$3390,R$1,'United Data'!$C$3:$C$3390,$A128,'United Data'!$B$3:$B$3390,"&lt;&gt;Off-street")&gt;0,1,0)</f>
        <v>0</v>
      </c>
      <c r="S128">
        <f t="shared" si="2"/>
        <v>2</v>
      </c>
      <c r="T128">
        <f t="shared" si="3"/>
        <v>2</v>
      </c>
    </row>
    <row r="129" spans="1:20" x14ac:dyDescent="0.2">
      <c r="A129" t="s">
        <v>184</v>
      </c>
      <c r="B129">
        <f>IF(COUNTIFS('United Data'!$A$3:$A$3390,B$1,'United Data'!$C$3:$C$3390,$A129,'United Data'!$B$3:$B$3390,"&lt;&gt;Off-street")&gt;0,1,0)</f>
        <v>0</v>
      </c>
      <c r="C129">
        <f>IF(COUNTIFS('United Data'!$A$3:$A$3390,C$1,'United Data'!$C$3:$C$3390,$A129,'United Data'!$B$3:$B$3390,"&lt;&gt;Off-street")&gt;0,1,0)</f>
        <v>0</v>
      </c>
      <c r="D129">
        <f>IF(COUNTIFS('United Data'!$A$3:$A$3390,D$1,'United Data'!$C$3:$C$3390,$A129,'United Data'!$B$3:$B$3390,"&lt;&gt;Off-street")&gt;0,1,0)</f>
        <v>0</v>
      </c>
      <c r="E129">
        <f>IF(COUNTIFS('United Data'!$A$3:$A$3390,E$1,'United Data'!$C$3:$C$3390,$A129,'United Data'!$B$3:$B$3390,"&lt;&gt;Off-street")&gt;0,1,0)</f>
        <v>0</v>
      </c>
      <c r="F129">
        <f>IF(COUNTIFS('United Data'!$A$3:$A$3390,F$1,'United Data'!$C$3:$C$3390,$A129,'United Data'!$B$3:$B$3390,"&lt;&gt;Off-street")&gt;0,1,0)</f>
        <v>0</v>
      </c>
      <c r="G129">
        <f>IF(COUNTIFS('United Data'!$A$3:$A$3390,G$1,'United Data'!$C$3:$C$3390,$A129,'United Data'!$B$3:$B$3390,"&lt;&gt;Off-street")&gt;0,1,0)</f>
        <v>0</v>
      </c>
      <c r="H129">
        <f>IF(COUNTIFS('United Data'!$A$3:$A$3390,H$1,'United Data'!$C$3:$C$3390,$A129,'United Data'!$B$3:$B$3390,"&lt;&gt;Off-street")&gt;0,1,0)</f>
        <v>0</v>
      </c>
      <c r="I129">
        <f>IF(COUNTIFS('United Data'!$A$3:$A$3390,I$1,'United Data'!$C$3:$C$3390,$A129,'United Data'!$B$3:$B$3390,"&lt;&gt;Off-street")&gt;0,1,0)</f>
        <v>0</v>
      </c>
      <c r="J129">
        <f>IF(COUNTIFS('United Data'!$A$3:$A$3390,J$1,'United Data'!$C$3:$C$3390,$A129,'United Data'!$B$3:$B$3390,"&lt;&gt;Off-street")&gt;0,1,0)</f>
        <v>0</v>
      </c>
      <c r="K129">
        <f>IF(COUNTIFS('United Data'!$A$3:$A$3390,K$1,'United Data'!$C$3:$C$3390,$A129,'United Data'!$B$3:$B$3390,"&lt;&gt;Off-street")&gt;0,1,0)</f>
        <v>0</v>
      </c>
      <c r="L129">
        <f>IF(COUNTIFS('United Data'!$A$3:$A$3390,L$1,'United Data'!$C$3:$C$3390,$A129,'United Data'!$B$3:$B$3390,"&lt;&gt;Off-street")&gt;0,1,0)</f>
        <v>0</v>
      </c>
      <c r="M129">
        <f>IF(COUNTIFS('United Data'!$A$3:$A$3390,M$1,'United Data'!$C$3:$C$3390,$A129,'United Data'!$B$3:$B$3390,"&lt;&gt;Off-street")&gt;0,1,0)</f>
        <v>0</v>
      </c>
      <c r="N129">
        <f>IF(COUNTIFS('United Data'!$A$3:$A$3390,N$1,'United Data'!$C$3:$C$3390,$A129,'United Data'!$B$3:$B$3390,"&lt;&gt;Off-street")&gt;0,1,0)</f>
        <v>0</v>
      </c>
      <c r="O129">
        <f>IF(COUNTIFS('United Data'!$A$3:$A$3390,O$1,'United Data'!$C$3:$C$3390,$A129,'United Data'!$B$3:$B$3390,"&lt;&gt;Off-street")&gt;0,1,0)</f>
        <v>1</v>
      </c>
      <c r="P129">
        <f>IF(COUNTIFS('United Data'!$A$3:$A$3390,P$1,'United Data'!$C$3:$C$3390,$A129,'United Data'!$B$3:$B$3390,"&lt;&gt;Off-street")&gt;0,1,0)</f>
        <v>0</v>
      </c>
      <c r="Q129">
        <f>IF(COUNTIFS('United Data'!$A$3:$A$3390,Q$1,'United Data'!$C$3:$C$3390,$A129,'United Data'!$B$3:$B$3390,"&lt;&gt;Off-street")&gt;0,1,0)</f>
        <v>0</v>
      </c>
      <c r="R129">
        <f>IF(COUNTIFS('United Data'!$A$3:$A$3390,R$1,'United Data'!$C$3:$C$3390,$A129,'United Data'!$B$3:$B$3390,"&lt;&gt;Off-street")&gt;0,1,0)</f>
        <v>0</v>
      </c>
      <c r="S129">
        <f t="shared" si="2"/>
        <v>1</v>
      </c>
      <c r="T129">
        <f t="shared" si="3"/>
        <v>1</v>
      </c>
    </row>
    <row r="130" spans="1:20" x14ac:dyDescent="0.2">
      <c r="A130" t="s">
        <v>185</v>
      </c>
      <c r="B130">
        <f>IF(COUNTIFS('United Data'!$A$3:$A$3390,B$1,'United Data'!$C$3:$C$3390,$A130,'United Data'!$B$3:$B$3390,"&lt;&gt;Off-street")&gt;0,1,0)</f>
        <v>0</v>
      </c>
      <c r="C130">
        <f>IF(COUNTIFS('United Data'!$A$3:$A$3390,C$1,'United Data'!$C$3:$C$3390,$A130,'United Data'!$B$3:$B$3390,"&lt;&gt;Off-street")&gt;0,1,0)</f>
        <v>0</v>
      </c>
      <c r="D130">
        <f>IF(COUNTIFS('United Data'!$A$3:$A$3390,D$1,'United Data'!$C$3:$C$3390,$A130,'United Data'!$B$3:$B$3390,"&lt;&gt;Off-street")&gt;0,1,0)</f>
        <v>0</v>
      </c>
      <c r="E130">
        <f>IF(COUNTIFS('United Data'!$A$3:$A$3390,E$1,'United Data'!$C$3:$C$3390,$A130,'United Data'!$B$3:$B$3390,"&lt;&gt;Off-street")&gt;0,1,0)</f>
        <v>0</v>
      </c>
      <c r="F130">
        <f>IF(COUNTIFS('United Data'!$A$3:$A$3390,F$1,'United Data'!$C$3:$C$3390,$A130,'United Data'!$B$3:$B$3390,"&lt;&gt;Off-street")&gt;0,1,0)</f>
        <v>0</v>
      </c>
      <c r="G130">
        <f>IF(COUNTIFS('United Data'!$A$3:$A$3390,G$1,'United Data'!$C$3:$C$3390,$A130,'United Data'!$B$3:$B$3390,"&lt;&gt;Off-street")&gt;0,1,0)</f>
        <v>0</v>
      </c>
      <c r="H130">
        <f>IF(COUNTIFS('United Data'!$A$3:$A$3390,H$1,'United Data'!$C$3:$C$3390,$A130,'United Data'!$B$3:$B$3390,"&lt;&gt;Off-street")&gt;0,1,0)</f>
        <v>0</v>
      </c>
      <c r="I130">
        <f>IF(COUNTIFS('United Data'!$A$3:$A$3390,I$1,'United Data'!$C$3:$C$3390,$A130,'United Data'!$B$3:$B$3390,"&lt;&gt;Off-street")&gt;0,1,0)</f>
        <v>0</v>
      </c>
      <c r="J130">
        <f>IF(COUNTIFS('United Data'!$A$3:$A$3390,J$1,'United Data'!$C$3:$C$3390,$A130,'United Data'!$B$3:$B$3390,"&lt;&gt;Off-street")&gt;0,1,0)</f>
        <v>0</v>
      </c>
      <c r="K130">
        <f>IF(COUNTIFS('United Data'!$A$3:$A$3390,K$1,'United Data'!$C$3:$C$3390,$A130,'United Data'!$B$3:$B$3390,"&lt;&gt;Off-street")&gt;0,1,0)</f>
        <v>0</v>
      </c>
      <c r="L130">
        <f>IF(COUNTIFS('United Data'!$A$3:$A$3390,L$1,'United Data'!$C$3:$C$3390,$A130,'United Data'!$B$3:$B$3390,"&lt;&gt;Off-street")&gt;0,1,0)</f>
        <v>0</v>
      </c>
      <c r="M130">
        <f>IF(COUNTIFS('United Data'!$A$3:$A$3390,M$1,'United Data'!$C$3:$C$3390,$A130,'United Data'!$B$3:$B$3390,"&lt;&gt;Off-street")&gt;0,1,0)</f>
        <v>0</v>
      </c>
      <c r="N130">
        <f>IF(COUNTIFS('United Data'!$A$3:$A$3390,N$1,'United Data'!$C$3:$C$3390,$A130,'United Data'!$B$3:$B$3390,"&lt;&gt;Off-street")&gt;0,1,0)</f>
        <v>0</v>
      </c>
      <c r="O130">
        <f>IF(COUNTIFS('United Data'!$A$3:$A$3390,O$1,'United Data'!$C$3:$C$3390,$A130,'United Data'!$B$3:$B$3390,"&lt;&gt;Off-street")&gt;0,1,0)</f>
        <v>1</v>
      </c>
      <c r="P130">
        <f>IF(COUNTIFS('United Data'!$A$3:$A$3390,P$1,'United Data'!$C$3:$C$3390,$A130,'United Data'!$B$3:$B$3390,"&lt;&gt;Off-street")&gt;0,1,0)</f>
        <v>0</v>
      </c>
      <c r="Q130">
        <f>IF(COUNTIFS('United Data'!$A$3:$A$3390,Q$1,'United Data'!$C$3:$C$3390,$A130,'United Data'!$B$3:$B$3390,"&lt;&gt;Off-street")&gt;0,1,0)</f>
        <v>0</v>
      </c>
      <c r="R130">
        <f>IF(COUNTIFS('United Data'!$A$3:$A$3390,R$1,'United Data'!$C$3:$C$3390,$A130,'United Data'!$B$3:$B$3390,"&lt;&gt;Off-street")&gt;0,1,0)</f>
        <v>0</v>
      </c>
      <c r="S130">
        <f t="shared" ref="S130:S193" si="4">SUM(B130:R130)</f>
        <v>1</v>
      </c>
      <c r="T130">
        <f t="shared" ref="T130:T193" si="5">B130+SUMPRODUCT(--(C130:R130&gt;B130:Q130))</f>
        <v>1</v>
      </c>
    </row>
    <row r="131" spans="1:20" x14ac:dyDescent="0.2">
      <c r="A131" t="s">
        <v>186</v>
      </c>
      <c r="B131">
        <f>IF(COUNTIFS('United Data'!$A$3:$A$3390,B$1,'United Data'!$C$3:$C$3390,$A131,'United Data'!$B$3:$B$3390,"&lt;&gt;Off-street")&gt;0,1,0)</f>
        <v>0</v>
      </c>
      <c r="C131">
        <f>IF(COUNTIFS('United Data'!$A$3:$A$3390,C$1,'United Data'!$C$3:$C$3390,$A131,'United Data'!$B$3:$B$3390,"&lt;&gt;Off-street")&gt;0,1,0)</f>
        <v>0</v>
      </c>
      <c r="D131">
        <f>IF(COUNTIFS('United Data'!$A$3:$A$3390,D$1,'United Data'!$C$3:$C$3390,$A131,'United Data'!$B$3:$B$3390,"&lt;&gt;Off-street")&gt;0,1,0)</f>
        <v>0</v>
      </c>
      <c r="E131">
        <f>IF(COUNTIFS('United Data'!$A$3:$A$3390,E$1,'United Data'!$C$3:$C$3390,$A131,'United Data'!$B$3:$B$3390,"&lt;&gt;Off-street")&gt;0,1,0)</f>
        <v>0</v>
      </c>
      <c r="F131">
        <f>IF(COUNTIFS('United Data'!$A$3:$A$3390,F$1,'United Data'!$C$3:$C$3390,$A131,'United Data'!$B$3:$B$3390,"&lt;&gt;Off-street")&gt;0,1,0)</f>
        <v>0</v>
      </c>
      <c r="G131">
        <f>IF(COUNTIFS('United Data'!$A$3:$A$3390,G$1,'United Data'!$C$3:$C$3390,$A131,'United Data'!$B$3:$B$3390,"&lt;&gt;Off-street")&gt;0,1,0)</f>
        <v>0</v>
      </c>
      <c r="H131">
        <f>IF(COUNTIFS('United Data'!$A$3:$A$3390,H$1,'United Data'!$C$3:$C$3390,$A131,'United Data'!$B$3:$B$3390,"&lt;&gt;Off-street")&gt;0,1,0)</f>
        <v>0</v>
      </c>
      <c r="I131">
        <f>IF(COUNTIFS('United Data'!$A$3:$A$3390,I$1,'United Data'!$C$3:$C$3390,$A131,'United Data'!$B$3:$B$3390,"&lt;&gt;Off-street")&gt;0,1,0)</f>
        <v>0</v>
      </c>
      <c r="J131">
        <f>IF(COUNTIFS('United Data'!$A$3:$A$3390,J$1,'United Data'!$C$3:$C$3390,$A131,'United Data'!$B$3:$B$3390,"&lt;&gt;Off-street")&gt;0,1,0)</f>
        <v>0</v>
      </c>
      <c r="K131">
        <f>IF(COUNTIFS('United Data'!$A$3:$A$3390,K$1,'United Data'!$C$3:$C$3390,$A131,'United Data'!$B$3:$B$3390,"&lt;&gt;Off-street")&gt;0,1,0)</f>
        <v>0</v>
      </c>
      <c r="L131">
        <f>IF(COUNTIFS('United Data'!$A$3:$A$3390,L$1,'United Data'!$C$3:$C$3390,$A131,'United Data'!$B$3:$B$3390,"&lt;&gt;Off-street")&gt;0,1,0)</f>
        <v>0</v>
      </c>
      <c r="M131">
        <f>IF(COUNTIFS('United Data'!$A$3:$A$3390,M$1,'United Data'!$C$3:$C$3390,$A131,'United Data'!$B$3:$B$3390,"&lt;&gt;Off-street")&gt;0,1,0)</f>
        <v>0</v>
      </c>
      <c r="N131">
        <f>IF(COUNTIFS('United Data'!$A$3:$A$3390,N$1,'United Data'!$C$3:$C$3390,$A131,'United Data'!$B$3:$B$3390,"&lt;&gt;Off-street")&gt;0,1,0)</f>
        <v>0</v>
      </c>
      <c r="O131">
        <f>IF(COUNTIFS('United Data'!$A$3:$A$3390,O$1,'United Data'!$C$3:$C$3390,$A131,'United Data'!$B$3:$B$3390,"&lt;&gt;Off-street")&gt;0,1,0)</f>
        <v>0</v>
      </c>
      <c r="P131">
        <f>IF(COUNTIFS('United Data'!$A$3:$A$3390,P$1,'United Data'!$C$3:$C$3390,$A131,'United Data'!$B$3:$B$3390,"&lt;&gt;Off-street")&gt;0,1,0)</f>
        <v>1</v>
      </c>
      <c r="Q131">
        <f>IF(COUNTIFS('United Data'!$A$3:$A$3390,Q$1,'United Data'!$C$3:$C$3390,$A131,'United Data'!$B$3:$B$3390,"&lt;&gt;Off-street")&gt;0,1,0)</f>
        <v>0</v>
      </c>
      <c r="R131">
        <f>IF(COUNTIFS('United Data'!$A$3:$A$3390,R$1,'United Data'!$C$3:$C$3390,$A131,'United Data'!$B$3:$B$3390,"&lt;&gt;Off-street")&gt;0,1,0)</f>
        <v>0</v>
      </c>
      <c r="S131">
        <f t="shared" si="4"/>
        <v>1</v>
      </c>
      <c r="T131">
        <f t="shared" si="5"/>
        <v>1</v>
      </c>
    </row>
    <row r="132" spans="1:20" x14ac:dyDescent="0.2">
      <c r="A132" t="s">
        <v>187</v>
      </c>
      <c r="B132">
        <f>IF(COUNTIFS('United Data'!$A$3:$A$3390,B$1,'United Data'!$C$3:$C$3390,$A132,'United Data'!$B$3:$B$3390,"&lt;&gt;Off-street")&gt;0,1,0)</f>
        <v>0</v>
      </c>
      <c r="C132">
        <f>IF(COUNTIFS('United Data'!$A$3:$A$3390,C$1,'United Data'!$C$3:$C$3390,$A132,'United Data'!$B$3:$B$3390,"&lt;&gt;Off-street")&gt;0,1,0)</f>
        <v>1</v>
      </c>
      <c r="D132">
        <f>IF(COUNTIFS('United Data'!$A$3:$A$3390,D$1,'United Data'!$C$3:$C$3390,$A132,'United Data'!$B$3:$B$3390,"&lt;&gt;Off-street")&gt;0,1,0)</f>
        <v>0</v>
      </c>
      <c r="E132">
        <f>IF(COUNTIFS('United Data'!$A$3:$A$3390,E$1,'United Data'!$C$3:$C$3390,$A132,'United Data'!$B$3:$B$3390,"&lt;&gt;Off-street")&gt;0,1,0)</f>
        <v>0</v>
      </c>
      <c r="F132">
        <f>IF(COUNTIFS('United Data'!$A$3:$A$3390,F$1,'United Data'!$C$3:$C$3390,$A132,'United Data'!$B$3:$B$3390,"&lt;&gt;Off-street")&gt;0,1,0)</f>
        <v>0</v>
      </c>
      <c r="G132">
        <f>IF(COUNTIFS('United Data'!$A$3:$A$3390,G$1,'United Data'!$C$3:$C$3390,$A132,'United Data'!$B$3:$B$3390,"&lt;&gt;Off-street")&gt;0,1,0)</f>
        <v>0</v>
      </c>
      <c r="H132">
        <f>IF(COUNTIFS('United Data'!$A$3:$A$3390,H$1,'United Data'!$C$3:$C$3390,$A132,'United Data'!$B$3:$B$3390,"&lt;&gt;Off-street")&gt;0,1,0)</f>
        <v>0</v>
      </c>
      <c r="I132">
        <f>IF(COUNTIFS('United Data'!$A$3:$A$3390,I$1,'United Data'!$C$3:$C$3390,$A132,'United Data'!$B$3:$B$3390,"&lt;&gt;Off-street")&gt;0,1,0)</f>
        <v>0</v>
      </c>
      <c r="J132">
        <f>IF(COUNTIFS('United Data'!$A$3:$A$3390,J$1,'United Data'!$C$3:$C$3390,$A132,'United Data'!$B$3:$B$3390,"&lt;&gt;Off-street")&gt;0,1,0)</f>
        <v>0</v>
      </c>
      <c r="K132">
        <f>IF(COUNTIFS('United Data'!$A$3:$A$3390,K$1,'United Data'!$C$3:$C$3390,$A132,'United Data'!$B$3:$B$3390,"&lt;&gt;Off-street")&gt;0,1,0)</f>
        <v>0</v>
      </c>
      <c r="L132">
        <f>IF(COUNTIFS('United Data'!$A$3:$A$3390,L$1,'United Data'!$C$3:$C$3390,$A132,'United Data'!$B$3:$B$3390,"&lt;&gt;Off-street")&gt;0,1,0)</f>
        <v>0</v>
      </c>
      <c r="M132">
        <f>IF(COUNTIFS('United Data'!$A$3:$A$3390,M$1,'United Data'!$C$3:$C$3390,$A132,'United Data'!$B$3:$B$3390,"&lt;&gt;Off-street")&gt;0,1,0)</f>
        <v>0</v>
      </c>
      <c r="N132">
        <f>IF(COUNTIFS('United Data'!$A$3:$A$3390,N$1,'United Data'!$C$3:$C$3390,$A132,'United Data'!$B$3:$B$3390,"&lt;&gt;Off-street")&gt;0,1,0)</f>
        <v>0</v>
      </c>
      <c r="O132">
        <f>IF(COUNTIFS('United Data'!$A$3:$A$3390,O$1,'United Data'!$C$3:$C$3390,$A132,'United Data'!$B$3:$B$3390,"&lt;&gt;Off-street")&gt;0,1,0)</f>
        <v>0</v>
      </c>
      <c r="P132">
        <f>IF(COUNTIFS('United Data'!$A$3:$A$3390,P$1,'United Data'!$C$3:$C$3390,$A132,'United Data'!$B$3:$B$3390,"&lt;&gt;Off-street")&gt;0,1,0)</f>
        <v>1</v>
      </c>
      <c r="Q132">
        <f>IF(COUNTIFS('United Data'!$A$3:$A$3390,Q$1,'United Data'!$C$3:$C$3390,$A132,'United Data'!$B$3:$B$3390,"&lt;&gt;Off-street")&gt;0,1,0)</f>
        <v>0</v>
      </c>
      <c r="R132">
        <f>IF(COUNTIFS('United Data'!$A$3:$A$3390,R$1,'United Data'!$C$3:$C$3390,$A132,'United Data'!$B$3:$B$3390,"&lt;&gt;Off-street")&gt;0,1,0)</f>
        <v>0</v>
      </c>
      <c r="S132">
        <f t="shared" si="4"/>
        <v>2</v>
      </c>
      <c r="T132">
        <f t="shared" si="5"/>
        <v>2</v>
      </c>
    </row>
    <row r="133" spans="1:20" x14ac:dyDescent="0.2">
      <c r="A133" t="s">
        <v>188</v>
      </c>
      <c r="B133">
        <f>IF(COUNTIFS('United Data'!$A$3:$A$3390,B$1,'United Data'!$C$3:$C$3390,$A133,'United Data'!$B$3:$B$3390,"&lt;&gt;Off-street")&gt;0,1,0)</f>
        <v>0</v>
      </c>
      <c r="C133">
        <f>IF(COUNTIFS('United Data'!$A$3:$A$3390,C$1,'United Data'!$C$3:$C$3390,$A133,'United Data'!$B$3:$B$3390,"&lt;&gt;Off-street")&gt;0,1,0)</f>
        <v>0</v>
      </c>
      <c r="D133">
        <f>IF(COUNTIFS('United Data'!$A$3:$A$3390,D$1,'United Data'!$C$3:$C$3390,$A133,'United Data'!$B$3:$B$3390,"&lt;&gt;Off-street")&gt;0,1,0)</f>
        <v>0</v>
      </c>
      <c r="E133">
        <f>IF(COUNTIFS('United Data'!$A$3:$A$3390,E$1,'United Data'!$C$3:$C$3390,$A133,'United Data'!$B$3:$B$3390,"&lt;&gt;Off-street")&gt;0,1,0)</f>
        <v>0</v>
      </c>
      <c r="F133">
        <f>IF(COUNTIFS('United Data'!$A$3:$A$3390,F$1,'United Data'!$C$3:$C$3390,$A133,'United Data'!$B$3:$B$3390,"&lt;&gt;Off-street")&gt;0,1,0)</f>
        <v>0</v>
      </c>
      <c r="G133">
        <f>IF(COUNTIFS('United Data'!$A$3:$A$3390,G$1,'United Data'!$C$3:$C$3390,$A133,'United Data'!$B$3:$B$3390,"&lt;&gt;Off-street")&gt;0,1,0)</f>
        <v>0</v>
      </c>
      <c r="H133">
        <f>IF(COUNTIFS('United Data'!$A$3:$A$3390,H$1,'United Data'!$C$3:$C$3390,$A133,'United Data'!$B$3:$B$3390,"&lt;&gt;Off-street")&gt;0,1,0)</f>
        <v>0</v>
      </c>
      <c r="I133">
        <f>IF(COUNTIFS('United Data'!$A$3:$A$3390,I$1,'United Data'!$C$3:$C$3390,$A133,'United Data'!$B$3:$B$3390,"&lt;&gt;Off-street")&gt;0,1,0)</f>
        <v>0</v>
      </c>
      <c r="J133">
        <f>IF(COUNTIFS('United Data'!$A$3:$A$3390,J$1,'United Data'!$C$3:$C$3390,$A133,'United Data'!$B$3:$B$3390,"&lt;&gt;Off-street")&gt;0,1,0)</f>
        <v>0</v>
      </c>
      <c r="K133">
        <f>IF(COUNTIFS('United Data'!$A$3:$A$3390,K$1,'United Data'!$C$3:$C$3390,$A133,'United Data'!$B$3:$B$3390,"&lt;&gt;Off-street")&gt;0,1,0)</f>
        <v>0</v>
      </c>
      <c r="L133">
        <f>IF(COUNTIFS('United Data'!$A$3:$A$3390,L$1,'United Data'!$C$3:$C$3390,$A133,'United Data'!$B$3:$B$3390,"&lt;&gt;Off-street")&gt;0,1,0)</f>
        <v>0</v>
      </c>
      <c r="M133">
        <f>IF(COUNTIFS('United Data'!$A$3:$A$3390,M$1,'United Data'!$C$3:$C$3390,$A133,'United Data'!$B$3:$B$3390,"&lt;&gt;Off-street")&gt;0,1,0)</f>
        <v>0</v>
      </c>
      <c r="N133">
        <f>IF(COUNTIFS('United Data'!$A$3:$A$3390,N$1,'United Data'!$C$3:$C$3390,$A133,'United Data'!$B$3:$B$3390,"&lt;&gt;Off-street")&gt;0,1,0)</f>
        <v>0</v>
      </c>
      <c r="O133">
        <f>IF(COUNTIFS('United Data'!$A$3:$A$3390,O$1,'United Data'!$C$3:$C$3390,$A133,'United Data'!$B$3:$B$3390,"&lt;&gt;Off-street")&gt;0,1,0)</f>
        <v>0</v>
      </c>
      <c r="P133">
        <f>IF(COUNTIFS('United Data'!$A$3:$A$3390,P$1,'United Data'!$C$3:$C$3390,$A133,'United Data'!$B$3:$B$3390,"&lt;&gt;Off-street")&gt;0,1,0)</f>
        <v>1</v>
      </c>
      <c r="Q133">
        <f>IF(COUNTIFS('United Data'!$A$3:$A$3390,Q$1,'United Data'!$C$3:$C$3390,$A133,'United Data'!$B$3:$B$3390,"&lt;&gt;Off-street")&gt;0,1,0)</f>
        <v>1</v>
      </c>
      <c r="R133">
        <f>IF(COUNTIFS('United Data'!$A$3:$A$3390,R$1,'United Data'!$C$3:$C$3390,$A133,'United Data'!$B$3:$B$3390,"&lt;&gt;Off-street")&gt;0,1,0)</f>
        <v>0</v>
      </c>
      <c r="S133">
        <f t="shared" si="4"/>
        <v>2</v>
      </c>
      <c r="T133">
        <f t="shared" si="5"/>
        <v>1</v>
      </c>
    </row>
    <row r="134" spans="1:20" x14ac:dyDescent="0.2">
      <c r="A134" t="s">
        <v>189</v>
      </c>
      <c r="B134">
        <f>IF(COUNTIFS('United Data'!$A$3:$A$3390,B$1,'United Data'!$C$3:$C$3390,$A134,'United Data'!$B$3:$B$3390,"&lt;&gt;Off-street")&gt;0,1,0)</f>
        <v>0</v>
      </c>
      <c r="C134">
        <f>IF(COUNTIFS('United Data'!$A$3:$A$3390,C$1,'United Data'!$C$3:$C$3390,$A134,'United Data'!$B$3:$B$3390,"&lt;&gt;Off-street")&gt;0,1,0)</f>
        <v>0</v>
      </c>
      <c r="D134">
        <f>IF(COUNTIFS('United Data'!$A$3:$A$3390,D$1,'United Data'!$C$3:$C$3390,$A134,'United Data'!$B$3:$B$3390,"&lt;&gt;Off-street")&gt;0,1,0)</f>
        <v>0</v>
      </c>
      <c r="E134">
        <f>IF(COUNTIFS('United Data'!$A$3:$A$3390,E$1,'United Data'!$C$3:$C$3390,$A134,'United Data'!$B$3:$B$3390,"&lt;&gt;Off-street")&gt;0,1,0)</f>
        <v>0</v>
      </c>
      <c r="F134">
        <f>IF(COUNTIFS('United Data'!$A$3:$A$3390,F$1,'United Data'!$C$3:$C$3390,$A134,'United Data'!$B$3:$B$3390,"&lt;&gt;Off-street")&gt;0,1,0)</f>
        <v>0</v>
      </c>
      <c r="G134">
        <f>IF(COUNTIFS('United Data'!$A$3:$A$3390,G$1,'United Data'!$C$3:$C$3390,$A134,'United Data'!$B$3:$B$3390,"&lt;&gt;Off-street")&gt;0,1,0)</f>
        <v>0</v>
      </c>
      <c r="H134">
        <f>IF(COUNTIFS('United Data'!$A$3:$A$3390,H$1,'United Data'!$C$3:$C$3390,$A134,'United Data'!$B$3:$B$3390,"&lt;&gt;Off-street")&gt;0,1,0)</f>
        <v>0</v>
      </c>
      <c r="I134">
        <f>IF(COUNTIFS('United Data'!$A$3:$A$3390,I$1,'United Data'!$C$3:$C$3390,$A134,'United Data'!$B$3:$B$3390,"&lt;&gt;Off-street")&gt;0,1,0)</f>
        <v>0</v>
      </c>
      <c r="J134">
        <f>IF(COUNTIFS('United Data'!$A$3:$A$3390,J$1,'United Data'!$C$3:$C$3390,$A134,'United Data'!$B$3:$B$3390,"&lt;&gt;Off-street")&gt;0,1,0)</f>
        <v>0</v>
      </c>
      <c r="K134">
        <f>IF(COUNTIFS('United Data'!$A$3:$A$3390,K$1,'United Data'!$C$3:$C$3390,$A134,'United Data'!$B$3:$B$3390,"&lt;&gt;Off-street")&gt;0,1,0)</f>
        <v>0</v>
      </c>
      <c r="L134">
        <f>IF(COUNTIFS('United Data'!$A$3:$A$3390,L$1,'United Data'!$C$3:$C$3390,$A134,'United Data'!$B$3:$B$3390,"&lt;&gt;Off-street")&gt;0,1,0)</f>
        <v>0</v>
      </c>
      <c r="M134">
        <f>IF(COUNTIFS('United Data'!$A$3:$A$3390,M$1,'United Data'!$C$3:$C$3390,$A134,'United Data'!$B$3:$B$3390,"&lt;&gt;Off-street")&gt;0,1,0)</f>
        <v>0</v>
      </c>
      <c r="N134">
        <f>IF(COUNTIFS('United Data'!$A$3:$A$3390,N$1,'United Data'!$C$3:$C$3390,$A134,'United Data'!$B$3:$B$3390,"&lt;&gt;Off-street")&gt;0,1,0)</f>
        <v>0</v>
      </c>
      <c r="O134">
        <f>IF(COUNTIFS('United Data'!$A$3:$A$3390,O$1,'United Data'!$C$3:$C$3390,$A134,'United Data'!$B$3:$B$3390,"&lt;&gt;Off-street")&gt;0,1,0)</f>
        <v>0</v>
      </c>
      <c r="P134">
        <f>IF(COUNTIFS('United Data'!$A$3:$A$3390,P$1,'United Data'!$C$3:$C$3390,$A134,'United Data'!$B$3:$B$3390,"&lt;&gt;Off-street")&gt;0,1,0)</f>
        <v>1</v>
      </c>
      <c r="Q134">
        <f>IF(COUNTIFS('United Data'!$A$3:$A$3390,Q$1,'United Data'!$C$3:$C$3390,$A134,'United Data'!$B$3:$B$3390,"&lt;&gt;Off-street")&gt;0,1,0)</f>
        <v>0</v>
      </c>
      <c r="R134">
        <f>IF(COUNTIFS('United Data'!$A$3:$A$3390,R$1,'United Data'!$C$3:$C$3390,$A134,'United Data'!$B$3:$B$3390,"&lt;&gt;Off-street")&gt;0,1,0)</f>
        <v>0</v>
      </c>
      <c r="S134">
        <f t="shared" si="4"/>
        <v>1</v>
      </c>
      <c r="T134">
        <f t="shared" si="5"/>
        <v>1</v>
      </c>
    </row>
    <row r="135" spans="1:20" x14ac:dyDescent="0.2">
      <c r="A135" t="s">
        <v>190</v>
      </c>
      <c r="B135">
        <f>IF(COUNTIFS('United Data'!$A$3:$A$3390,B$1,'United Data'!$C$3:$C$3390,$A135,'United Data'!$B$3:$B$3390,"&lt;&gt;Off-street")&gt;0,1,0)</f>
        <v>0</v>
      </c>
      <c r="C135">
        <f>IF(COUNTIFS('United Data'!$A$3:$A$3390,C$1,'United Data'!$C$3:$C$3390,$A135,'United Data'!$B$3:$B$3390,"&lt;&gt;Off-street")&gt;0,1,0)</f>
        <v>0</v>
      </c>
      <c r="D135">
        <f>IF(COUNTIFS('United Data'!$A$3:$A$3390,D$1,'United Data'!$C$3:$C$3390,$A135,'United Data'!$B$3:$B$3390,"&lt;&gt;Off-street")&gt;0,1,0)</f>
        <v>0</v>
      </c>
      <c r="E135">
        <f>IF(COUNTIFS('United Data'!$A$3:$A$3390,E$1,'United Data'!$C$3:$C$3390,$A135,'United Data'!$B$3:$B$3390,"&lt;&gt;Off-street")&gt;0,1,0)</f>
        <v>0</v>
      </c>
      <c r="F135">
        <f>IF(COUNTIFS('United Data'!$A$3:$A$3390,F$1,'United Data'!$C$3:$C$3390,$A135,'United Data'!$B$3:$B$3390,"&lt;&gt;Off-street")&gt;0,1,0)</f>
        <v>0</v>
      </c>
      <c r="G135">
        <f>IF(COUNTIFS('United Data'!$A$3:$A$3390,G$1,'United Data'!$C$3:$C$3390,$A135,'United Data'!$B$3:$B$3390,"&lt;&gt;Off-street")&gt;0,1,0)</f>
        <v>0</v>
      </c>
      <c r="H135">
        <f>IF(COUNTIFS('United Data'!$A$3:$A$3390,H$1,'United Data'!$C$3:$C$3390,$A135,'United Data'!$B$3:$B$3390,"&lt;&gt;Off-street")&gt;0,1,0)</f>
        <v>0</v>
      </c>
      <c r="I135">
        <f>IF(COUNTIFS('United Data'!$A$3:$A$3390,I$1,'United Data'!$C$3:$C$3390,$A135,'United Data'!$B$3:$B$3390,"&lt;&gt;Off-street")&gt;0,1,0)</f>
        <v>0</v>
      </c>
      <c r="J135">
        <f>IF(COUNTIFS('United Data'!$A$3:$A$3390,J$1,'United Data'!$C$3:$C$3390,$A135,'United Data'!$B$3:$B$3390,"&lt;&gt;Off-street")&gt;0,1,0)</f>
        <v>0</v>
      </c>
      <c r="K135">
        <f>IF(COUNTIFS('United Data'!$A$3:$A$3390,K$1,'United Data'!$C$3:$C$3390,$A135,'United Data'!$B$3:$B$3390,"&lt;&gt;Off-street")&gt;0,1,0)</f>
        <v>0</v>
      </c>
      <c r="L135">
        <f>IF(COUNTIFS('United Data'!$A$3:$A$3390,L$1,'United Data'!$C$3:$C$3390,$A135,'United Data'!$B$3:$B$3390,"&lt;&gt;Off-street")&gt;0,1,0)</f>
        <v>0</v>
      </c>
      <c r="M135">
        <f>IF(COUNTIFS('United Data'!$A$3:$A$3390,M$1,'United Data'!$C$3:$C$3390,$A135,'United Data'!$B$3:$B$3390,"&lt;&gt;Off-street")&gt;0,1,0)</f>
        <v>0</v>
      </c>
      <c r="N135">
        <f>IF(COUNTIFS('United Data'!$A$3:$A$3390,N$1,'United Data'!$C$3:$C$3390,$A135,'United Data'!$B$3:$B$3390,"&lt;&gt;Off-street")&gt;0,1,0)</f>
        <v>0</v>
      </c>
      <c r="O135">
        <f>IF(COUNTIFS('United Data'!$A$3:$A$3390,O$1,'United Data'!$C$3:$C$3390,$A135,'United Data'!$B$3:$B$3390,"&lt;&gt;Off-street")&gt;0,1,0)</f>
        <v>0</v>
      </c>
      <c r="P135">
        <f>IF(COUNTIFS('United Data'!$A$3:$A$3390,P$1,'United Data'!$C$3:$C$3390,$A135,'United Data'!$B$3:$B$3390,"&lt;&gt;Off-street")&gt;0,1,0)</f>
        <v>0</v>
      </c>
      <c r="Q135">
        <f>IF(COUNTIFS('United Data'!$A$3:$A$3390,Q$1,'United Data'!$C$3:$C$3390,$A135,'United Data'!$B$3:$B$3390,"&lt;&gt;Off-street")&gt;0,1,0)</f>
        <v>1</v>
      </c>
      <c r="R135">
        <f>IF(COUNTIFS('United Data'!$A$3:$A$3390,R$1,'United Data'!$C$3:$C$3390,$A135,'United Data'!$B$3:$B$3390,"&lt;&gt;Off-street")&gt;0,1,0)</f>
        <v>0</v>
      </c>
      <c r="S135">
        <f t="shared" si="4"/>
        <v>1</v>
      </c>
      <c r="T135">
        <f t="shared" si="5"/>
        <v>1</v>
      </c>
    </row>
    <row r="136" spans="1:20" x14ac:dyDescent="0.2">
      <c r="A136" t="s">
        <v>191</v>
      </c>
      <c r="B136">
        <f>IF(COUNTIFS('United Data'!$A$3:$A$3390,B$1,'United Data'!$C$3:$C$3390,$A136,'United Data'!$B$3:$B$3390,"&lt;&gt;Off-street")&gt;0,1,0)</f>
        <v>0</v>
      </c>
      <c r="C136">
        <f>IF(COUNTIFS('United Data'!$A$3:$A$3390,C$1,'United Data'!$C$3:$C$3390,$A136,'United Data'!$B$3:$B$3390,"&lt;&gt;Off-street")&gt;0,1,0)</f>
        <v>0</v>
      </c>
      <c r="D136">
        <f>IF(COUNTIFS('United Data'!$A$3:$A$3390,D$1,'United Data'!$C$3:$C$3390,$A136,'United Data'!$B$3:$B$3390,"&lt;&gt;Off-street")&gt;0,1,0)</f>
        <v>0</v>
      </c>
      <c r="E136">
        <f>IF(COUNTIFS('United Data'!$A$3:$A$3390,E$1,'United Data'!$C$3:$C$3390,$A136,'United Data'!$B$3:$B$3390,"&lt;&gt;Off-street")&gt;0,1,0)</f>
        <v>0</v>
      </c>
      <c r="F136">
        <f>IF(COUNTIFS('United Data'!$A$3:$A$3390,F$1,'United Data'!$C$3:$C$3390,$A136,'United Data'!$B$3:$B$3390,"&lt;&gt;Off-street")&gt;0,1,0)</f>
        <v>0</v>
      </c>
      <c r="G136">
        <f>IF(COUNTIFS('United Data'!$A$3:$A$3390,G$1,'United Data'!$C$3:$C$3390,$A136,'United Data'!$B$3:$B$3390,"&lt;&gt;Off-street")&gt;0,1,0)</f>
        <v>0</v>
      </c>
      <c r="H136">
        <f>IF(COUNTIFS('United Data'!$A$3:$A$3390,H$1,'United Data'!$C$3:$C$3390,$A136,'United Data'!$B$3:$B$3390,"&lt;&gt;Off-street")&gt;0,1,0)</f>
        <v>0</v>
      </c>
      <c r="I136">
        <f>IF(COUNTIFS('United Data'!$A$3:$A$3390,I$1,'United Data'!$C$3:$C$3390,$A136,'United Data'!$B$3:$B$3390,"&lt;&gt;Off-street")&gt;0,1,0)</f>
        <v>0</v>
      </c>
      <c r="J136">
        <f>IF(COUNTIFS('United Data'!$A$3:$A$3390,J$1,'United Data'!$C$3:$C$3390,$A136,'United Data'!$B$3:$B$3390,"&lt;&gt;Off-street")&gt;0,1,0)</f>
        <v>0</v>
      </c>
      <c r="K136">
        <f>IF(COUNTIFS('United Data'!$A$3:$A$3390,K$1,'United Data'!$C$3:$C$3390,$A136,'United Data'!$B$3:$B$3390,"&lt;&gt;Off-street")&gt;0,1,0)</f>
        <v>0</v>
      </c>
      <c r="L136">
        <f>IF(COUNTIFS('United Data'!$A$3:$A$3390,L$1,'United Data'!$C$3:$C$3390,$A136,'United Data'!$B$3:$B$3390,"&lt;&gt;Off-street")&gt;0,1,0)</f>
        <v>0</v>
      </c>
      <c r="M136">
        <f>IF(COUNTIFS('United Data'!$A$3:$A$3390,M$1,'United Data'!$C$3:$C$3390,$A136,'United Data'!$B$3:$B$3390,"&lt;&gt;Off-street")&gt;0,1,0)</f>
        <v>0</v>
      </c>
      <c r="N136">
        <f>IF(COUNTIFS('United Data'!$A$3:$A$3390,N$1,'United Data'!$C$3:$C$3390,$A136,'United Data'!$B$3:$B$3390,"&lt;&gt;Off-street")&gt;0,1,0)</f>
        <v>0</v>
      </c>
      <c r="O136">
        <f>IF(COUNTIFS('United Data'!$A$3:$A$3390,O$1,'United Data'!$C$3:$C$3390,$A136,'United Data'!$B$3:$B$3390,"&lt;&gt;Off-street")&gt;0,1,0)</f>
        <v>0</v>
      </c>
      <c r="P136">
        <f>IF(COUNTIFS('United Data'!$A$3:$A$3390,P$1,'United Data'!$C$3:$C$3390,$A136,'United Data'!$B$3:$B$3390,"&lt;&gt;Off-street")&gt;0,1,0)</f>
        <v>0</v>
      </c>
      <c r="Q136">
        <f>IF(COUNTIFS('United Data'!$A$3:$A$3390,Q$1,'United Data'!$C$3:$C$3390,$A136,'United Data'!$B$3:$B$3390,"&lt;&gt;Off-street")&gt;0,1,0)</f>
        <v>1</v>
      </c>
      <c r="R136">
        <f>IF(COUNTIFS('United Data'!$A$3:$A$3390,R$1,'United Data'!$C$3:$C$3390,$A136,'United Data'!$B$3:$B$3390,"&lt;&gt;Off-street")&gt;0,1,0)</f>
        <v>0</v>
      </c>
      <c r="S136">
        <f t="shared" si="4"/>
        <v>1</v>
      </c>
      <c r="T136">
        <f t="shared" si="5"/>
        <v>1</v>
      </c>
    </row>
    <row r="137" spans="1:20" x14ac:dyDescent="0.2">
      <c r="A137" t="s">
        <v>192</v>
      </c>
      <c r="B137">
        <f>IF(COUNTIFS('United Data'!$A$3:$A$3390,B$1,'United Data'!$C$3:$C$3390,$A137,'United Data'!$B$3:$B$3390,"&lt;&gt;Off-street")&gt;0,1,0)</f>
        <v>0</v>
      </c>
      <c r="C137">
        <f>IF(COUNTIFS('United Data'!$A$3:$A$3390,C$1,'United Data'!$C$3:$C$3390,$A137,'United Data'!$B$3:$B$3390,"&lt;&gt;Off-street")&gt;0,1,0)</f>
        <v>0</v>
      </c>
      <c r="D137">
        <f>IF(COUNTIFS('United Data'!$A$3:$A$3390,D$1,'United Data'!$C$3:$C$3390,$A137,'United Data'!$B$3:$B$3390,"&lt;&gt;Off-street")&gt;0,1,0)</f>
        <v>0</v>
      </c>
      <c r="E137">
        <f>IF(COUNTIFS('United Data'!$A$3:$A$3390,E$1,'United Data'!$C$3:$C$3390,$A137,'United Data'!$B$3:$B$3390,"&lt;&gt;Off-street")&gt;0,1,0)</f>
        <v>0</v>
      </c>
      <c r="F137">
        <f>IF(COUNTIFS('United Data'!$A$3:$A$3390,F$1,'United Data'!$C$3:$C$3390,$A137,'United Data'!$B$3:$B$3390,"&lt;&gt;Off-street")&gt;0,1,0)</f>
        <v>0</v>
      </c>
      <c r="G137">
        <f>IF(COUNTIFS('United Data'!$A$3:$A$3390,G$1,'United Data'!$C$3:$C$3390,$A137,'United Data'!$B$3:$B$3390,"&lt;&gt;Off-street")&gt;0,1,0)</f>
        <v>0</v>
      </c>
      <c r="H137">
        <f>IF(COUNTIFS('United Data'!$A$3:$A$3390,H$1,'United Data'!$C$3:$C$3390,$A137,'United Data'!$B$3:$B$3390,"&lt;&gt;Off-street")&gt;0,1,0)</f>
        <v>0</v>
      </c>
      <c r="I137">
        <f>IF(COUNTIFS('United Data'!$A$3:$A$3390,I$1,'United Data'!$C$3:$C$3390,$A137,'United Data'!$B$3:$B$3390,"&lt;&gt;Off-street")&gt;0,1,0)</f>
        <v>0</v>
      </c>
      <c r="J137">
        <f>IF(COUNTIFS('United Data'!$A$3:$A$3390,J$1,'United Data'!$C$3:$C$3390,$A137,'United Data'!$B$3:$B$3390,"&lt;&gt;Off-street")&gt;0,1,0)</f>
        <v>0</v>
      </c>
      <c r="K137">
        <f>IF(COUNTIFS('United Data'!$A$3:$A$3390,K$1,'United Data'!$C$3:$C$3390,$A137,'United Data'!$B$3:$B$3390,"&lt;&gt;Off-street")&gt;0,1,0)</f>
        <v>0</v>
      </c>
      <c r="L137">
        <f>IF(COUNTIFS('United Data'!$A$3:$A$3390,L$1,'United Data'!$C$3:$C$3390,$A137,'United Data'!$B$3:$B$3390,"&lt;&gt;Off-street")&gt;0,1,0)</f>
        <v>0</v>
      </c>
      <c r="M137">
        <f>IF(COUNTIFS('United Data'!$A$3:$A$3390,M$1,'United Data'!$C$3:$C$3390,$A137,'United Data'!$B$3:$B$3390,"&lt;&gt;Off-street")&gt;0,1,0)</f>
        <v>0</v>
      </c>
      <c r="N137">
        <f>IF(COUNTIFS('United Data'!$A$3:$A$3390,N$1,'United Data'!$C$3:$C$3390,$A137,'United Data'!$B$3:$B$3390,"&lt;&gt;Off-street")&gt;0,1,0)</f>
        <v>0</v>
      </c>
      <c r="O137">
        <f>IF(COUNTIFS('United Data'!$A$3:$A$3390,O$1,'United Data'!$C$3:$C$3390,$A137,'United Data'!$B$3:$B$3390,"&lt;&gt;Off-street")&gt;0,1,0)</f>
        <v>0</v>
      </c>
      <c r="P137">
        <f>IF(COUNTIFS('United Data'!$A$3:$A$3390,P$1,'United Data'!$C$3:$C$3390,$A137,'United Data'!$B$3:$B$3390,"&lt;&gt;Off-street")&gt;0,1,0)</f>
        <v>0</v>
      </c>
      <c r="Q137">
        <f>IF(COUNTIFS('United Data'!$A$3:$A$3390,Q$1,'United Data'!$C$3:$C$3390,$A137,'United Data'!$B$3:$B$3390,"&lt;&gt;Off-street")&gt;0,1,0)</f>
        <v>1</v>
      </c>
      <c r="R137">
        <f>IF(COUNTIFS('United Data'!$A$3:$A$3390,R$1,'United Data'!$C$3:$C$3390,$A137,'United Data'!$B$3:$B$3390,"&lt;&gt;Off-street")&gt;0,1,0)</f>
        <v>0</v>
      </c>
      <c r="S137">
        <f t="shared" si="4"/>
        <v>1</v>
      </c>
      <c r="T137">
        <f t="shared" si="5"/>
        <v>1</v>
      </c>
    </row>
    <row r="138" spans="1:20" x14ac:dyDescent="0.2">
      <c r="A138" t="s">
        <v>193</v>
      </c>
      <c r="B138">
        <f>IF(COUNTIFS('United Data'!$A$3:$A$3390,B$1,'United Data'!$C$3:$C$3390,$A138,'United Data'!$B$3:$B$3390,"&lt;&gt;Off-street")&gt;0,1,0)</f>
        <v>0</v>
      </c>
      <c r="C138">
        <f>IF(COUNTIFS('United Data'!$A$3:$A$3390,C$1,'United Data'!$C$3:$C$3390,$A138,'United Data'!$B$3:$B$3390,"&lt;&gt;Off-street")&gt;0,1,0)</f>
        <v>0</v>
      </c>
      <c r="D138">
        <f>IF(COUNTIFS('United Data'!$A$3:$A$3390,D$1,'United Data'!$C$3:$C$3390,$A138,'United Data'!$B$3:$B$3390,"&lt;&gt;Off-street")&gt;0,1,0)</f>
        <v>0</v>
      </c>
      <c r="E138">
        <f>IF(COUNTIFS('United Data'!$A$3:$A$3390,E$1,'United Data'!$C$3:$C$3390,$A138,'United Data'!$B$3:$B$3390,"&lt;&gt;Off-street")&gt;0,1,0)</f>
        <v>0</v>
      </c>
      <c r="F138">
        <f>IF(COUNTIFS('United Data'!$A$3:$A$3390,F$1,'United Data'!$C$3:$C$3390,$A138,'United Data'!$B$3:$B$3390,"&lt;&gt;Off-street")&gt;0,1,0)</f>
        <v>0</v>
      </c>
      <c r="G138">
        <f>IF(COUNTIFS('United Data'!$A$3:$A$3390,G$1,'United Data'!$C$3:$C$3390,$A138,'United Data'!$B$3:$B$3390,"&lt;&gt;Off-street")&gt;0,1,0)</f>
        <v>0</v>
      </c>
      <c r="H138">
        <f>IF(COUNTIFS('United Data'!$A$3:$A$3390,H$1,'United Data'!$C$3:$C$3390,$A138,'United Data'!$B$3:$B$3390,"&lt;&gt;Off-street")&gt;0,1,0)</f>
        <v>0</v>
      </c>
      <c r="I138">
        <f>IF(COUNTIFS('United Data'!$A$3:$A$3390,I$1,'United Data'!$C$3:$C$3390,$A138,'United Data'!$B$3:$B$3390,"&lt;&gt;Off-street")&gt;0,1,0)</f>
        <v>0</v>
      </c>
      <c r="J138">
        <f>IF(COUNTIFS('United Data'!$A$3:$A$3390,J$1,'United Data'!$C$3:$C$3390,$A138,'United Data'!$B$3:$B$3390,"&lt;&gt;Off-street")&gt;0,1,0)</f>
        <v>0</v>
      </c>
      <c r="K138">
        <f>IF(COUNTIFS('United Data'!$A$3:$A$3390,K$1,'United Data'!$C$3:$C$3390,$A138,'United Data'!$B$3:$B$3390,"&lt;&gt;Off-street")&gt;0,1,0)</f>
        <v>0</v>
      </c>
      <c r="L138">
        <f>IF(COUNTIFS('United Data'!$A$3:$A$3390,L$1,'United Data'!$C$3:$C$3390,$A138,'United Data'!$B$3:$B$3390,"&lt;&gt;Off-street")&gt;0,1,0)</f>
        <v>0</v>
      </c>
      <c r="M138">
        <f>IF(COUNTIFS('United Data'!$A$3:$A$3390,M$1,'United Data'!$C$3:$C$3390,$A138,'United Data'!$B$3:$B$3390,"&lt;&gt;Off-street")&gt;0,1,0)</f>
        <v>0</v>
      </c>
      <c r="N138">
        <f>IF(COUNTIFS('United Data'!$A$3:$A$3390,N$1,'United Data'!$C$3:$C$3390,$A138,'United Data'!$B$3:$B$3390,"&lt;&gt;Off-street")&gt;0,1,0)</f>
        <v>0</v>
      </c>
      <c r="O138">
        <f>IF(COUNTIFS('United Data'!$A$3:$A$3390,O$1,'United Data'!$C$3:$C$3390,$A138,'United Data'!$B$3:$B$3390,"&lt;&gt;Off-street")&gt;0,1,0)</f>
        <v>0</v>
      </c>
      <c r="P138">
        <f>IF(COUNTIFS('United Data'!$A$3:$A$3390,P$1,'United Data'!$C$3:$C$3390,$A138,'United Data'!$B$3:$B$3390,"&lt;&gt;Off-street")&gt;0,1,0)</f>
        <v>0</v>
      </c>
      <c r="Q138">
        <f>IF(COUNTIFS('United Data'!$A$3:$A$3390,Q$1,'United Data'!$C$3:$C$3390,$A138,'United Data'!$B$3:$B$3390,"&lt;&gt;Off-street")&gt;0,1,0)</f>
        <v>0</v>
      </c>
      <c r="R138">
        <f>IF(COUNTIFS('United Data'!$A$3:$A$3390,R$1,'United Data'!$C$3:$C$3390,$A138,'United Data'!$B$3:$B$3390,"&lt;&gt;Off-street")&gt;0,1,0)</f>
        <v>1</v>
      </c>
      <c r="S138">
        <f t="shared" si="4"/>
        <v>1</v>
      </c>
      <c r="T138">
        <f t="shared" si="5"/>
        <v>1</v>
      </c>
    </row>
    <row r="139" spans="1:20" x14ac:dyDescent="0.2">
      <c r="A139" t="s">
        <v>194</v>
      </c>
      <c r="B139">
        <f>IF(COUNTIFS('United Data'!$A$3:$A$3390,B$1,'United Data'!$C$3:$C$3390,$A139,'United Data'!$B$3:$B$3390,"&lt;&gt;Off-street")&gt;0,1,0)</f>
        <v>0</v>
      </c>
      <c r="C139">
        <f>IF(COUNTIFS('United Data'!$A$3:$A$3390,C$1,'United Data'!$C$3:$C$3390,$A139,'United Data'!$B$3:$B$3390,"&lt;&gt;Off-street")&gt;0,1,0)</f>
        <v>0</v>
      </c>
      <c r="D139">
        <f>IF(COUNTIFS('United Data'!$A$3:$A$3390,D$1,'United Data'!$C$3:$C$3390,$A139,'United Data'!$B$3:$B$3390,"&lt;&gt;Off-street")&gt;0,1,0)</f>
        <v>0</v>
      </c>
      <c r="E139">
        <f>IF(COUNTIFS('United Data'!$A$3:$A$3390,E$1,'United Data'!$C$3:$C$3390,$A139,'United Data'!$B$3:$B$3390,"&lt;&gt;Off-street")&gt;0,1,0)</f>
        <v>0</v>
      </c>
      <c r="F139">
        <f>IF(COUNTIFS('United Data'!$A$3:$A$3390,F$1,'United Data'!$C$3:$C$3390,$A139,'United Data'!$B$3:$B$3390,"&lt;&gt;Off-street")&gt;0,1,0)</f>
        <v>0</v>
      </c>
      <c r="G139">
        <f>IF(COUNTIFS('United Data'!$A$3:$A$3390,G$1,'United Data'!$C$3:$C$3390,$A139,'United Data'!$B$3:$B$3390,"&lt;&gt;Off-street")&gt;0,1,0)</f>
        <v>0</v>
      </c>
      <c r="H139">
        <f>IF(COUNTIFS('United Data'!$A$3:$A$3390,H$1,'United Data'!$C$3:$C$3390,$A139,'United Data'!$B$3:$B$3390,"&lt;&gt;Off-street")&gt;0,1,0)</f>
        <v>0</v>
      </c>
      <c r="I139">
        <f>IF(COUNTIFS('United Data'!$A$3:$A$3390,I$1,'United Data'!$C$3:$C$3390,$A139,'United Data'!$B$3:$B$3390,"&lt;&gt;Off-street")&gt;0,1,0)</f>
        <v>0</v>
      </c>
      <c r="J139">
        <f>IF(COUNTIFS('United Data'!$A$3:$A$3390,J$1,'United Data'!$C$3:$C$3390,$A139,'United Data'!$B$3:$B$3390,"&lt;&gt;Off-street")&gt;0,1,0)</f>
        <v>0</v>
      </c>
      <c r="K139">
        <f>IF(COUNTIFS('United Data'!$A$3:$A$3390,K$1,'United Data'!$C$3:$C$3390,$A139,'United Data'!$B$3:$B$3390,"&lt;&gt;Off-street")&gt;0,1,0)</f>
        <v>0</v>
      </c>
      <c r="L139">
        <f>IF(COUNTIFS('United Data'!$A$3:$A$3390,L$1,'United Data'!$C$3:$C$3390,$A139,'United Data'!$B$3:$B$3390,"&lt;&gt;Off-street")&gt;0,1,0)</f>
        <v>0</v>
      </c>
      <c r="M139">
        <f>IF(COUNTIFS('United Data'!$A$3:$A$3390,M$1,'United Data'!$C$3:$C$3390,$A139,'United Data'!$B$3:$B$3390,"&lt;&gt;Off-street")&gt;0,1,0)</f>
        <v>0</v>
      </c>
      <c r="N139">
        <f>IF(COUNTIFS('United Data'!$A$3:$A$3390,N$1,'United Data'!$C$3:$C$3390,$A139,'United Data'!$B$3:$B$3390,"&lt;&gt;Off-street")&gt;0,1,0)</f>
        <v>0</v>
      </c>
      <c r="O139">
        <f>IF(COUNTIFS('United Data'!$A$3:$A$3390,O$1,'United Data'!$C$3:$C$3390,$A139,'United Data'!$B$3:$B$3390,"&lt;&gt;Off-street")&gt;0,1,0)</f>
        <v>0</v>
      </c>
      <c r="P139">
        <f>IF(COUNTIFS('United Data'!$A$3:$A$3390,P$1,'United Data'!$C$3:$C$3390,$A139,'United Data'!$B$3:$B$3390,"&lt;&gt;Off-street")&gt;0,1,0)</f>
        <v>0</v>
      </c>
      <c r="Q139">
        <f>IF(COUNTIFS('United Data'!$A$3:$A$3390,Q$1,'United Data'!$C$3:$C$3390,$A139,'United Data'!$B$3:$B$3390,"&lt;&gt;Off-street")&gt;0,1,0)</f>
        <v>0</v>
      </c>
      <c r="R139">
        <f>IF(COUNTIFS('United Data'!$A$3:$A$3390,R$1,'United Data'!$C$3:$C$3390,$A139,'United Data'!$B$3:$B$3390,"&lt;&gt;Off-street")&gt;0,1,0)</f>
        <v>1</v>
      </c>
      <c r="S139">
        <f t="shared" si="4"/>
        <v>1</v>
      </c>
      <c r="T139">
        <f t="shared" si="5"/>
        <v>1</v>
      </c>
    </row>
    <row r="140" spans="1:20" x14ac:dyDescent="0.2">
      <c r="A140" t="s">
        <v>195</v>
      </c>
      <c r="B140">
        <f>IF(COUNTIFS('United Data'!$A$3:$A$3390,B$1,'United Data'!$C$3:$C$3390,$A140,'United Data'!$B$3:$B$3390,"&lt;&gt;Off-street")&gt;0,1,0)</f>
        <v>0</v>
      </c>
      <c r="C140">
        <f>IF(COUNTIFS('United Data'!$A$3:$A$3390,C$1,'United Data'!$C$3:$C$3390,$A140,'United Data'!$B$3:$B$3390,"&lt;&gt;Off-street")&gt;0,1,0)</f>
        <v>0</v>
      </c>
      <c r="D140">
        <f>IF(COUNTIFS('United Data'!$A$3:$A$3390,D$1,'United Data'!$C$3:$C$3390,$A140,'United Data'!$B$3:$B$3390,"&lt;&gt;Off-street")&gt;0,1,0)</f>
        <v>0</v>
      </c>
      <c r="E140">
        <f>IF(COUNTIFS('United Data'!$A$3:$A$3390,E$1,'United Data'!$C$3:$C$3390,$A140,'United Data'!$B$3:$B$3390,"&lt;&gt;Off-street")&gt;0,1,0)</f>
        <v>0</v>
      </c>
      <c r="F140">
        <f>IF(COUNTIFS('United Data'!$A$3:$A$3390,F$1,'United Data'!$C$3:$C$3390,$A140,'United Data'!$B$3:$B$3390,"&lt;&gt;Off-street")&gt;0,1,0)</f>
        <v>0</v>
      </c>
      <c r="G140">
        <f>IF(COUNTIFS('United Data'!$A$3:$A$3390,G$1,'United Data'!$C$3:$C$3390,$A140,'United Data'!$B$3:$B$3390,"&lt;&gt;Off-street")&gt;0,1,0)</f>
        <v>0</v>
      </c>
      <c r="H140">
        <f>IF(COUNTIFS('United Data'!$A$3:$A$3390,H$1,'United Data'!$C$3:$C$3390,$A140,'United Data'!$B$3:$B$3390,"&lt;&gt;Off-street")&gt;0,1,0)</f>
        <v>0</v>
      </c>
      <c r="I140">
        <f>IF(COUNTIFS('United Data'!$A$3:$A$3390,I$1,'United Data'!$C$3:$C$3390,$A140,'United Data'!$B$3:$B$3390,"&lt;&gt;Off-street")&gt;0,1,0)</f>
        <v>0</v>
      </c>
      <c r="J140">
        <f>IF(COUNTIFS('United Data'!$A$3:$A$3390,J$1,'United Data'!$C$3:$C$3390,$A140,'United Data'!$B$3:$B$3390,"&lt;&gt;Off-street")&gt;0,1,0)</f>
        <v>0</v>
      </c>
      <c r="K140">
        <f>IF(COUNTIFS('United Data'!$A$3:$A$3390,K$1,'United Data'!$C$3:$C$3390,$A140,'United Data'!$B$3:$B$3390,"&lt;&gt;Off-street")&gt;0,1,0)</f>
        <v>0</v>
      </c>
      <c r="L140">
        <f>IF(COUNTIFS('United Data'!$A$3:$A$3390,L$1,'United Data'!$C$3:$C$3390,$A140,'United Data'!$B$3:$B$3390,"&lt;&gt;Off-street")&gt;0,1,0)</f>
        <v>0</v>
      </c>
      <c r="M140">
        <f>IF(COUNTIFS('United Data'!$A$3:$A$3390,M$1,'United Data'!$C$3:$C$3390,$A140,'United Data'!$B$3:$B$3390,"&lt;&gt;Off-street")&gt;0,1,0)</f>
        <v>0</v>
      </c>
      <c r="N140">
        <f>IF(COUNTIFS('United Data'!$A$3:$A$3390,N$1,'United Data'!$C$3:$C$3390,$A140,'United Data'!$B$3:$B$3390,"&lt;&gt;Off-street")&gt;0,1,0)</f>
        <v>0</v>
      </c>
      <c r="O140">
        <f>IF(COUNTIFS('United Data'!$A$3:$A$3390,O$1,'United Data'!$C$3:$C$3390,$A140,'United Data'!$B$3:$B$3390,"&lt;&gt;Off-street")&gt;0,1,0)</f>
        <v>0</v>
      </c>
      <c r="P140">
        <f>IF(COUNTIFS('United Data'!$A$3:$A$3390,P$1,'United Data'!$C$3:$C$3390,$A140,'United Data'!$B$3:$B$3390,"&lt;&gt;Off-street")&gt;0,1,0)</f>
        <v>1</v>
      </c>
      <c r="Q140">
        <f>IF(COUNTIFS('United Data'!$A$3:$A$3390,Q$1,'United Data'!$C$3:$C$3390,$A140,'United Data'!$B$3:$B$3390,"&lt;&gt;Off-street")&gt;0,1,0)</f>
        <v>0</v>
      </c>
      <c r="R140">
        <f>IF(COUNTIFS('United Data'!$A$3:$A$3390,R$1,'United Data'!$C$3:$C$3390,$A140,'United Data'!$B$3:$B$3390,"&lt;&gt;Off-street")&gt;0,1,0)</f>
        <v>1</v>
      </c>
      <c r="S140">
        <f t="shared" si="4"/>
        <v>2</v>
      </c>
      <c r="T140">
        <f t="shared" si="5"/>
        <v>2</v>
      </c>
    </row>
    <row r="141" spans="1:20" x14ac:dyDescent="0.2">
      <c r="A141" t="s">
        <v>196</v>
      </c>
      <c r="B141">
        <f>IF(COUNTIFS('United Data'!$A$3:$A$3390,B$1,'United Data'!$C$3:$C$3390,$A141,'United Data'!$B$3:$B$3390,"&lt;&gt;Off-street")&gt;0,1,0)</f>
        <v>0</v>
      </c>
      <c r="C141">
        <f>IF(COUNTIFS('United Data'!$A$3:$A$3390,C$1,'United Data'!$C$3:$C$3390,$A141,'United Data'!$B$3:$B$3390,"&lt;&gt;Off-street")&gt;0,1,0)</f>
        <v>0</v>
      </c>
      <c r="D141">
        <f>IF(COUNTIFS('United Data'!$A$3:$A$3390,D$1,'United Data'!$C$3:$C$3390,$A141,'United Data'!$B$3:$B$3390,"&lt;&gt;Off-street")&gt;0,1,0)</f>
        <v>0</v>
      </c>
      <c r="E141">
        <f>IF(COUNTIFS('United Data'!$A$3:$A$3390,E$1,'United Data'!$C$3:$C$3390,$A141,'United Data'!$B$3:$B$3390,"&lt;&gt;Off-street")&gt;0,1,0)</f>
        <v>0</v>
      </c>
      <c r="F141">
        <f>IF(COUNTIFS('United Data'!$A$3:$A$3390,F$1,'United Data'!$C$3:$C$3390,$A141,'United Data'!$B$3:$B$3390,"&lt;&gt;Off-street")&gt;0,1,0)</f>
        <v>0</v>
      </c>
      <c r="G141">
        <f>IF(COUNTIFS('United Data'!$A$3:$A$3390,G$1,'United Data'!$C$3:$C$3390,$A141,'United Data'!$B$3:$B$3390,"&lt;&gt;Off-street")&gt;0,1,0)</f>
        <v>0</v>
      </c>
      <c r="H141">
        <f>IF(COUNTIFS('United Data'!$A$3:$A$3390,H$1,'United Data'!$C$3:$C$3390,$A141,'United Data'!$B$3:$B$3390,"&lt;&gt;Off-street")&gt;0,1,0)</f>
        <v>0</v>
      </c>
      <c r="I141">
        <f>IF(COUNTIFS('United Data'!$A$3:$A$3390,I$1,'United Data'!$C$3:$C$3390,$A141,'United Data'!$B$3:$B$3390,"&lt;&gt;Off-street")&gt;0,1,0)</f>
        <v>0</v>
      </c>
      <c r="J141">
        <f>IF(COUNTIFS('United Data'!$A$3:$A$3390,J$1,'United Data'!$C$3:$C$3390,$A141,'United Data'!$B$3:$B$3390,"&lt;&gt;Off-street")&gt;0,1,0)</f>
        <v>0</v>
      </c>
      <c r="K141">
        <f>IF(COUNTIFS('United Data'!$A$3:$A$3390,K$1,'United Data'!$C$3:$C$3390,$A141,'United Data'!$B$3:$B$3390,"&lt;&gt;Off-street")&gt;0,1,0)</f>
        <v>1</v>
      </c>
      <c r="L141">
        <f>IF(COUNTIFS('United Data'!$A$3:$A$3390,L$1,'United Data'!$C$3:$C$3390,$A141,'United Data'!$B$3:$B$3390,"&lt;&gt;Off-street")&gt;0,1,0)</f>
        <v>1</v>
      </c>
      <c r="M141">
        <f>IF(COUNTIFS('United Data'!$A$3:$A$3390,M$1,'United Data'!$C$3:$C$3390,$A141,'United Data'!$B$3:$B$3390,"&lt;&gt;Off-street")&gt;0,1,0)</f>
        <v>0</v>
      </c>
      <c r="N141">
        <f>IF(COUNTIFS('United Data'!$A$3:$A$3390,N$1,'United Data'!$C$3:$C$3390,$A141,'United Data'!$B$3:$B$3390,"&lt;&gt;Off-street")&gt;0,1,0)</f>
        <v>1</v>
      </c>
      <c r="O141">
        <f>IF(COUNTIFS('United Data'!$A$3:$A$3390,O$1,'United Data'!$C$3:$C$3390,$A141,'United Data'!$B$3:$B$3390,"&lt;&gt;Off-street")&gt;0,1,0)</f>
        <v>1</v>
      </c>
      <c r="P141">
        <f>IF(COUNTIFS('United Data'!$A$3:$A$3390,P$1,'United Data'!$C$3:$C$3390,$A141,'United Data'!$B$3:$B$3390,"&lt;&gt;Off-street")&gt;0,1,0)</f>
        <v>1</v>
      </c>
      <c r="Q141">
        <f>IF(COUNTIFS('United Data'!$A$3:$A$3390,Q$1,'United Data'!$C$3:$C$3390,$A141,'United Data'!$B$3:$B$3390,"&lt;&gt;Off-street")&gt;0,1,0)</f>
        <v>0</v>
      </c>
      <c r="R141">
        <f>IF(COUNTIFS('United Data'!$A$3:$A$3390,R$1,'United Data'!$C$3:$C$3390,$A141,'United Data'!$B$3:$B$3390,"&lt;&gt;Off-street")&gt;0,1,0)</f>
        <v>1</v>
      </c>
      <c r="S141">
        <f t="shared" si="4"/>
        <v>6</v>
      </c>
      <c r="T141">
        <f t="shared" si="5"/>
        <v>3</v>
      </c>
    </row>
    <row r="142" spans="1:20" x14ac:dyDescent="0.2">
      <c r="A142" t="s">
        <v>197</v>
      </c>
      <c r="B142">
        <f>IF(COUNTIFS('United Data'!$A$3:$A$3390,B$1,'United Data'!$C$3:$C$3390,$A142,'United Data'!$B$3:$B$3390,"&lt;&gt;Off-street")&gt;0,1,0)</f>
        <v>0</v>
      </c>
      <c r="C142">
        <f>IF(COUNTIFS('United Data'!$A$3:$A$3390,C$1,'United Data'!$C$3:$C$3390,$A142,'United Data'!$B$3:$B$3390,"&lt;&gt;Off-street")&gt;0,1,0)</f>
        <v>0</v>
      </c>
      <c r="D142">
        <f>IF(COUNTIFS('United Data'!$A$3:$A$3390,D$1,'United Data'!$C$3:$C$3390,$A142,'United Data'!$B$3:$B$3390,"&lt;&gt;Off-street")&gt;0,1,0)</f>
        <v>0</v>
      </c>
      <c r="E142">
        <f>IF(COUNTIFS('United Data'!$A$3:$A$3390,E$1,'United Data'!$C$3:$C$3390,$A142,'United Data'!$B$3:$B$3390,"&lt;&gt;Off-street")&gt;0,1,0)</f>
        <v>0</v>
      </c>
      <c r="F142">
        <f>IF(COUNTIFS('United Data'!$A$3:$A$3390,F$1,'United Data'!$C$3:$C$3390,$A142,'United Data'!$B$3:$B$3390,"&lt;&gt;Off-street")&gt;0,1,0)</f>
        <v>0</v>
      </c>
      <c r="G142">
        <f>IF(COUNTIFS('United Data'!$A$3:$A$3390,G$1,'United Data'!$C$3:$C$3390,$A142,'United Data'!$B$3:$B$3390,"&lt;&gt;Off-street")&gt;0,1,0)</f>
        <v>0</v>
      </c>
      <c r="H142">
        <f>IF(COUNTIFS('United Data'!$A$3:$A$3390,H$1,'United Data'!$C$3:$C$3390,$A142,'United Data'!$B$3:$B$3390,"&lt;&gt;Off-street")&gt;0,1,0)</f>
        <v>0</v>
      </c>
      <c r="I142">
        <f>IF(COUNTIFS('United Data'!$A$3:$A$3390,I$1,'United Data'!$C$3:$C$3390,$A142,'United Data'!$B$3:$B$3390,"&lt;&gt;Off-street")&gt;0,1,0)</f>
        <v>0</v>
      </c>
      <c r="J142">
        <f>IF(COUNTIFS('United Data'!$A$3:$A$3390,J$1,'United Data'!$C$3:$C$3390,$A142,'United Data'!$B$3:$B$3390,"&lt;&gt;Off-street")&gt;0,1,0)</f>
        <v>0</v>
      </c>
      <c r="K142">
        <f>IF(COUNTIFS('United Data'!$A$3:$A$3390,K$1,'United Data'!$C$3:$C$3390,$A142,'United Data'!$B$3:$B$3390,"&lt;&gt;Off-street")&gt;0,1,0)</f>
        <v>0</v>
      </c>
      <c r="L142">
        <f>IF(COUNTIFS('United Data'!$A$3:$A$3390,L$1,'United Data'!$C$3:$C$3390,$A142,'United Data'!$B$3:$B$3390,"&lt;&gt;Off-street")&gt;0,1,0)</f>
        <v>0</v>
      </c>
      <c r="M142">
        <f>IF(COUNTIFS('United Data'!$A$3:$A$3390,M$1,'United Data'!$C$3:$C$3390,$A142,'United Data'!$B$3:$B$3390,"&lt;&gt;Off-street")&gt;0,1,0)</f>
        <v>1</v>
      </c>
      <c r="N142">
        <f>IF(COUNTIFS('United Data'!$A$3:$A$3390,N$1,'United Data'!$C$3:$C$3390,$A142,'United Data'!$B$3:$B$3390,"&lt;&gt;Off-street")&gt;0,1,0)</f>
        <v>1</v>
      </c>
      <c r="O142">
        <f>IF(COUNTIFS('United Data'!$A$3:$A$3390,O$1,'United Data'!$C$3:$C$3390,$A142,'United Data'!$B$3:$B$3390,"&lt;&gt;Off-street")&gt;0,1,0)</f>
        <v>1</v>
      </c>
      <c r="P142">
        <f>IF(COUNTIFS('United Data'!$A$3:$A$3390,P$1,'United Data'!$C$3:$C$3390,$A142,'United Data'!$B$3:$B$3390,"&lt;&gt;Off-street")&gt;0,1,0)</f>
        <v>1</v>
      </c>
      <c r="Q142">
        <f>IF(COUNTIFS('United Data'!$A$3:$A$3390,Q$1,'United Data'!$C$3:$C$3390,$A142,'United Data'!$B$3:$B$3390,"&lt;&gt;Off-street")&gt;0,1,0)</f>
        <v>1</v>
      </c>
      <c r="R142">
        <f>IF(COUNTIFS('United Data'!$A$3:$A$3390,R$1,'United Data'!$C$3:$C$3390,$A142,'United Data'!$B$3:$B$3390,"&lt;&gt;Off-street")&gt;0,1,0)</f>
        <v>1</v>
      </c>
      <c r="S142">
        <f t="shared" si="4"/>
        <v>6</v>
      </c>
      <c r="T142">
        <f t="shared" si="5"/>
        <v>1</v>
      </c>
    </row>
    <row r="143" spans="1:20" x14ac:dyDescent="0.2">
      <c r="A143" t="s">
        <v>198</v>
      </c>
      <c r="B143">
        <f>IF(COUNTIFS('United Data'!$A$3:$A$3390,B$1,'United Data'!$C$3:$C$3390,$A143,'United Data'!$B$3:$B$3390,"&lt;&gt;Off-street")&gt;0,1,0)</f>
        <v>0</v>
      </c>
      <c r="C143">
        <f>IF(COUNTIFS('United Data'!$A$3:$A$3390,C$1,'United Data'!$C$3:$C$3390,$A143,'United Data'!$B$3:$B$3390,"&lt;&gt;Off-street")&gt;0,1,0)</f>
        <v>0</v>
      </c>
      <c r="D143">
        <f>IF(COUNTIFS('United Data'!$A$3:$A$3390,D$1,'United Data'!$C$3:$C$3390,$A143,'United Data'!$B$3:$B$3390,"&lt;&gt;Off-street")&gt;0,1,0)</f>
        <v>0</v>
      </c>
      <c r="E143">
        <f>IF(COUNTIFS('United Data'!$A$3:$A$3390,E$1,'United Data'!$C$3:$C$3390,$A143,'United Data'!$B$3:$B$3390,"&lt;&gt;Off-street")&gt;0,1,0)</f>
        <v>0</v>
      </c>
      <c r="F143">
        <f>IF(COUNTIFS('United Data'!$A$3:$A$3390,F$1,'United Data'!$C$3:$C$3390,$A143,'United Data'!$B$3:$B$3390,"&lt;&gt;Off-street")&gt;0,1,0)</f>
        <v>0</v>
      </c>
      <c r="G143">
        <f>IF(COUNTIFS('United Data'!$A$3:$A$3390,G$1,'United Data'!$C$3:$C$3390,$A143,'United Data'!$B$3:$B$3390,"&lt;&gt;Off-street")&gt;0,1,0)</f>
        <v>0</v>
      </c>
      <c r="H143">
        <f>IF(COUNTIFS('United Data'!$A$3:$A$3390,H$1,'United Data'!$C$3:$C$3390,$A143,'United Data'!$B$3:$B$3390,"&lt;&gt;Off-street")&gt;0,1,0)</f>
        <v>0</v>
      </c>
      <c r="I143">
        <f>IF(COUNTIFS('United Data'!$A$3:$A$3390,I$1,'United Data'!$C$3:$C$3390,$A143,'United Data'!$B$3:$B$3390,"&lt;&gt;Off-street")&gt;0,1,0)</f>
        <v>0</v>
      </c>
      <c r="J143">
        <f>IF(COUNTIFS('United Data'!$A$3:$A$3390,J$1,'United Data'!$C$3:$C$3390,$A143,'United Data'!$B$3:$B$3390,"&lt;&gt;Off-street")&gt;0,1,0)</f>
        <v>0</v>
      </c>
      <c r="K143">
        <f>IF(COUNTIFS('United Data'!$A$3:$A$3390,K$1,'United Data'!$C$3:$C$3390,$A143,'United Data'!$B$3:$B$3390,"&lt;&gt;Off-street")&gt;0,1,0)</f>
        <v>0</v>
      </c>
      <c r="L143">
        <f>IF(COUNTIFS('United Data'!$A$3:$A$3390,L$1,'United Data'!$C$3:$C$3390,$A143,'United Data'!$B$3:$B$3390,"&lt;&gt;Off-street")&gt;0,1,0)</f>
        <v>0</v>
      </c>
      <c r="M143">
        <f>IF(COUNTIFS('United Data'!$A$3:$A$3390,M$1,'United Data'!$C$3:$C$3390,$A143,'United Data'!$B$3:$B$3390,"&lt;&gt;Off-street")&gt;0,1,0)</f>
        <v>0</v>
      </c>
      <c r="N143">
        <f>IF(COUNTIFS('United Data'!$A$3:$A$3390,N$1,'United Data'!$C$3:$C$3390,$A143,'United Data'!$B$3:$B$3390,"&lt;&gt;Off-street")&gt;0,1,0)</f>
        <v>0</v>
      </c>
      <c r="O143">
        <f>IF(COUNTIFS('United Data'!$A$3:$A$3390,O$1,'United Data'!$C$3:$C$3390,$A143,'United Data'!$B$3:$B$3390,"&lt;&gt;Off-street")&gt;0,1,0)</f>
        <v>0</v>
      </c>
      <c r="P143">
        <f>IF(COUNTIFS('United Data'!$A$3:$A$3390,P$1,'United Data'!$C$3:$C$3390,$A143,'United Data'!$B$3:$B$3390,"&lt;&gt;Off-street")&gt;0,1,0)</f>
        <v>0</v>
      </c>
      <c r="Q143">
        <f>IF(COUNTIFS('United Data'!$A$3:$A$3390,Q$1,'United Data'!$C$3:$C$3390,$A143,'United Data'!$B$3:$B$3390,"&lt;&gt;Off-street")&gt;0,1,0)</f>
        <v>0</v>
      </c>
      <c r="R143">
        <f>IF(COUNTIFS('United Data'!$A$3:$A$3390,R$1,'United Data'!$C$3:$C$3390,$A143,'United Data'!$B$3:$B$3390,"&lt;&gt;Off-street")&gt;0,1,0)</f>
        <v>1</v>
      </c>
      <c r="S143">
        <f t="shared" si="4"/>
        <v>1</v>
      </c>
      <c r="T143">
        <f t="shared" si="5"/>
        <v>1</v>
      </c>
    </row>
    <row r="144" spans="1:20" x14ac:dyDescent="0.2">
      <c r="A144" t="s">
        <v>199</v>
      </c>
      <c r="B144">
        <f>IF(COUNTIFS('United Data'!$A$3:$A$3390,B$1,'United Data'!$C$3:$C$3390,$A144,'United Data'!$B$3:$B$3390,"&lt;&gt;Off-street")&gt;0,1,0)</f>
        <v>1</v>
      </c>
      <c r="C144">
        <f>IF(COUNTIFS('United Data'!$A$3:$A$3390,C$1,'United Data'!$C$3:$C$3390,$A144,'United Data'!$B$3:$B$3390,"&lt;&gt;Off-street")&gt;0,1,0)</f>
        <v>0</v>
      </c>
      <c r="D144">
        <f>IF(COUNTIFS('United Data'!$A$3:$A$3390,D$1,'United Data'!$C$3:$C$3390,$A144,'United Data'!$B$3:$B$3390,"&lt;&gt;Off-street")&gt;0,1,0)</f>
        <v>0</v>
      </c>
      <c r="E144">
        <f>IF(COUNTIFS('United Data'!$A$3:$A$3390,E$1,'United Data'!$C$3:$C$3390,$A144,'United Data'!$B$3:$B$3390,"&lt;&gt;Off-street")&gt;0,1,0)</f>
        <v>0</v>
      </c>
      <c r="F144">
        <f>IF(COUNTIFS('United Data'!$A$3:$A$3390,F$1,'United Data'!$C$3:$C$3390,$A144,'United Data'!$B$3:$B$3390,"&lt;&gt;Off-street")&gt;0,1,0)</f>
        <v>0</v>
      </c>
      <c r="G144">
        <f>IF(COUNTIFS('United Data'!$A$3:$A$3390,G$1,'United Data'!$C$3:$C$3390,$A144,'United Data'!$B$3:$B$3390,"&lt;&gt;Off-street")&gt;0,1,0)</f>
        <v>0</v>
      </c>
      <c r="H144">
        <f>IF(COUNTIFS('United Data'!$A$3:$A$3390,H$1,'United Data'!$C$3:$C$3390,$A144,'United Data'!$B$3:$B$3390,"&lt;&gt;Off-street")&gt;0,1,0)</f>
        <v>0</v>
      </c>
      <c r="I144">
        <f>IF(COUNTIFS('United Data'!$A$3:$A$3390,I$1,'United Data'!$C$3:$C$3390,$A144,'United Data'!$B$3:$B$3390,"&lt;&gt;Off-street")&gt;0,1,0)</f>
        <v>0</v>
      </c>
      <c r="J144">
        <f>IF(COUNTIFS('United Data'!$A$3:$A$3390,J$1,'United Data'!$C$3:$C$3390,$A144,'United Data'!$B$3:$B$3390,"&lt;&gt;Off-street")&gt;0,1,0)</f>
        <v>1</v>
      </c>
      <c r="K144">
        <f>IF(COUNTIFS('United Data'!$A$3:$A$3390,K$1,'United Data'!$C$3:$C$3390,$A144,'United Data'!$B$3:$B$3390,"&lt;&gt;Off-street")&gt;0,1,0)</f>
        <v>0</v>
      </c>
      <c r="L144">
        <f>IF(COUNTIFS('United Data'!$A$3:$A$3390,L$1,'United Data'!$C$3:$C$3390,$A144,'United Data'!$B$3:$B$3390,"&lt;&gt;Off-street")&gt;0,1,0)</f>
        <v>0</v>
      </c>
      <c r="M144">
        <f>IF(COUNTIFS('United Data'!$A$3:$A$3390,M$1,'United Data'!$C$3:$C$3390,$A144,'United Data'!$B$3:$B$3390,"&lt;&gt;Off-street")&gt;0,1,0)</f>
        <v>0</v>
      </c>
      <c r="N144">
        <f>IF(COUNTIFS('United Data'!$A$3:$A$3390,N$1,'United Data'!$C$3:$C$3390,$A144,'United Data'!$B$3:$B$3390,"&lt;&gt;Off-street")&gt;0,1,0)</f>
        <v>0</v>
      </c>
      <c r="O144">
        <f>IF(COUNTIFS('United Data'!$A$3:$A$3390,O$1,'United Data'!$C$3:$C$3390,$A144,'United Data'!$B$3:$B$3390,"&lt;&gt;Off-street")&gt;0,1,0)</f>
        <v>0</v>
      </c>
      <c r="P144">
        <f>IF(COUNTIFS('United Data'!$A$3:$A$3390,P$1,'United Data'!$C$3:$C$3390,$A144,'United Data'!$B$3:$B$3390,"&lt;&gt;Off-street")&gt;0,1,0)</f>
        <v>0</v>
      </c>
      <c r="Q144">
        <f>IF(COUNTIFS('United Data'!$A$3:$A$3390,Q$1,'United Data'!$C$3:$C$3390,$A144,'United Data'!$B$3:$B$3390,"&lt;&gt;Off-street")&gt;0,1,0)</f>
        <v>0</v>
      </c>
      <c r="R144">
        <f>IF(COUNTIFS('United Data'!$A$3:$A$3390,R$1,'United Data'!$C$3:$C$3390,$A144,'United Data'!$B$3:$B$3390,"&lt;&gt;Off-street")&gt;0,1,0)</f>
        <v>0</v>
      </c>
      <c r="S144">
        <f t="shared" si="4"/>
        <v>2</v>
      </c>
      <c r="T144">
        <f t="shared" si="5"/>
        <v>2</v>
      </c>
    </row>
    <row r="145" spans="1:20" x14ac:dyDescent="0.2">
      <c r="A145" t="s">
        <v>200</v>
      </c>
      <c r="B145">
        <f>IF(COUNTIFS('United Data'!$A$3:$A$3390,B$1,'United Data'!$C$3:$C$3390,$A145,'United Data'!$B$3:$B$3390,"&lt;&gt;Off-street")&gt;0,1,0)</f>
        <v>1</v>
      </c>
      <c r="C145">
        <f>IF(COUNTIFS('United Data'!$A$3:$A$3390,C$1,'United Data'!$C$3:$C$3390,$A145,'United Data'!$B$3:$B$3390,"&lt;&gt;Off-street")&gt;0,1,0)</f>
        <v>0</v>
      </c>
      <c r="D145">
        <f>IF(COUNTIFS('United Data'!$A$3:$A$3390,D$1,'United Data'!$C$3:$C$3390,$A145,'United Data'!$B$3:$B$3390,"&lt;&gt;Off-street")&gt;0,1,0)</f>
        <v>0</v>
      </c>
      <c r="E145">
        <f>IF(COUNTIFS('United Data'!$A$3:$A$3390,E$1,'United Data'!$C$3:$C$3390,$A145,'United Data'!$B$3:$B$3390,"&lt;&gt;Off-street")&gt;0,1,0)</f>
        <v>0</v>
      </c>
      <c r="F145">
        <f>IF(COUNTIFS('United Data'!$A$3:$A$3390,F$1,'United Data'!$C$3:$C$3390,$A145,'United Data'!$B$3:$B$3390,"&lt;&gt;Off-street")&gt;0,1,0)</f>
        <v>0</v>
      </c>
      <c r="G145">
        <f>IF(COUNTIFS('United Data'!$A$3:$A$3390,G$1,'United Data'!$C$3:$C$3390,$A145,'United Data'!$B$3:$B$3390,"&lt;&gt;Off-street")&gt;0,1,0)</f>
        <v>0</v>
      </c>
      <c r="H145">
        <f>IF(COUNTIFS('United Data'!$A$3:$A$3390,H$1,'United Data'!$C$3:$C$3390,$A145,'United Data'!$B$3:$B$3390,"&lt;&gt;Off-street")&gt;0,1,0)</f>
        <v>0</v>
      </c>
      <c r="I145">
        <f>IF(COUNTIFS('United Data'!$A$3:$A$3390,I$1,'United Data'!$C$3:$C$3390,$A145,'United Data'!$B$3:$B$3390,"&lt;&gt;Off-street")&gt;0,1,0)</f>
        <v>0</v>
      </c>
      <c r="J145">
        <f>IF(COUNTIFS('United Data'!$A$3:$A$3390,J$1,'United Data'!$C$3:$C$3390,$A145,'United Data'!$B$3:$B$3390,"&lt;&gt;Off-street")&gt;0,1,0)</f>
        <v>1</v>
      </c>
      <c r="K145">
        <f>IF(COUNTIFS('United Data'!$A$3:$A$3390,K$1,'United Data'!$C$3:$C$3390,$A145,'United Data'!$B$3:$B$3390,"&lt;&gt;Off-street")&gt;0,1,0)</f>
        <v>0</v>
      </c>
      <c r="L145">
        <f>IF(COUNTIFS('United Data'!$A$3:$A$3390,L$1,'United Data'!$C$3:$C$3390,$A145,'United Data'!$B$3:$B$3390,"&lt;&gt;Off-street")&gt;0,1,0)</f>
        <v>0</v>
      </c>
      <c r="M145">
        <f>IF(COUNTIFS('United Data'!$A$3:$A$3390,M$1,'United Data'!$C$3:$C$3390,$A145,'United Data'!$B$3:$B$3390,"&lt;&gt;Off-street")&gt;0,1,0)</f>
        <v>0</v>
      </c>
      <c r="N145">
        <f>IF(COUNTIFS('United Data'!$A$3:$A$3390,N$1,'United Data'!$C$3:$C$3390,$A145,'United Data'!$B$3:$B$3390,"&lt;&gt;Off-street")&gt;0,1,0)</f>
        <v>0</v>
      </c>
      <c r="O145">
        <f>IF(COUNTIFS('United Data'!$A$3:$A$3390,O$1,'United Data'!$C$3:$C$3390,$A145,'United Data'!$B$3:$B$3390,"&lt;&gt;Off-street")&gt;0,1,0)</f>
        <v>0</v>
      </c>
      <c r="P145">
        <f>IF(COUNTIFS('United Data'!$A$3:$A$3390,P$1,'United Data'!$C$3:$C$3390,$A145,'United Data'!$B$3:$B$3390,"&lt;&gt;Off-street")&gt;0,1,0)</f>
        <v>0</v>
      </c>
      <c r="Q145">
        <f>IF(COUNTIFS('United Data'!$A$3:$A$3390,Q$1,'United Data'!$C$3:$C$3390,$A145,'United Data'!$B$3:$B$3390,"&lt;&gt;Off-street")&gt;0,1,0)</f>
        <v>0</v>
      </c>
      <c r="R145">
        <f>IF(COUNTIFS('United Data'!$A$3:$A$3390,R$1,'United Data'!$C$3:$C$3390,$A145,'United Data'!$B$3:$B$3390,"&lt;&gt;Off-street")&gt;0,1,0)</f>
        <v>0</v>
      </c>
      <c r="S145">
        <f t="shared" si="4"/>
        <v>2</v>
      </c>
      <c r="T145">
        <f t="shared" si="5"/>
        <v>2</v>
      </c>
    </row>
    <row r="146" spans="1:20" x14ac:dyDescent="0.2">
      <c r="A146" t="s">
        <v>201</v>
      </c>
      <c r="B146">
        <f>IF(COUNTIFS('United Data'!$A$3:$A$3390,B$1,'United Data'!$C$3:$C$3390,$A146,'United Data'!$B$3:$B$3390,"&lt;&gt;Off-street")&gt;0,1,0)</f>
        <v>0</v>
      </c>
      <c r="C146">
        <f>IF(COUNTIFS('United Data'!$A$3:$A$3390,C$1,'United Data'!$C$3:$C$3390,$A146,'United Data'!$B$3:$B$3390,"&lt;&gt;Off-street")&gt;0,1,0)</f>
        <v>1</v>
      </c>
      <c r="D146">
        <f>IF(COUNTIFS('United Data'!$A$3:$A$3390,D$1,'United Data'!$C$3:$C$3390,$A146,'United Data'!$B$3:$B$3390,"&lt;&gt;Off-street")&gt;0,1,0)</f>
        <v>1</v>
      </c>
      <c r="E146">
        <f>IF(COUNTIFS('United Data'!$A$3:$A$3390,E$1,'United Data'!$C$3:$C$3390,$A146,'United Data'!$B$3:$B$3390,"&lt;&gt;Off-street")&gt;0,1,0)</f>
        <v>1</v>
      </c>
      <c r="F146">
        <f>IF(COUNTIFS('United Data'!$A$3:$A$3390,F$1,'United Data'!$C$3:$C$3390,$A146,'United Data'!$B$3:$B$3390,"&lt;&gt;Off-street")&gt;0,1,0)</f>
        <v>1</v>
      </c>
      <c r="G146">
        <f>IF(COUNTIFS('United Data'!$A$3:$A$3390,G$1,'United Data'!$C$3:$C$3390,$A146,'United Data'!$B$3:$B$3390,"&lt;&gt;Off-street")&gt;0,1,0)</f>
        <v>0</v>
      </c>
      <c r="H146">
        <f>IF(COUNTIFS('United Data'!$A$3:$A$3390,H$1,'United Data'!$C$3:$C$3390,$A146,'United Data'!$B$3:$B$3390,"&lt;&gt;Off-street")&gt;0,1,0)</f>
        <v>0</v>
      </c>
      <c r="I146">
        <f>IF(COUNTIFS('United Data'!$A$3:$A$3390,I$1,'United Data'!$C$3:$C$3390,$A146,'United Data'!$B$3:$B$3390,"&lt;&gt;Off-street")&gt;0,1,0)</f>
        <v>0</v>
      </c>
      <c r="J146">
        <f>IF(COUNTIFS('United Data'!$A$3:$A$3390,J$1,'United Data'!$C$3:$C$3390,$A146,'United Data'!$B$3:$B$3390,"&lt;&gt;Off-street")&gt;0,1,0)</f>
        <v>0</v>
      </c>
      <c r="K146">
        <f>IF(COUNTIFS('United Data'!$A$3:$A$3390,K$1,'United Data'!$C$3:$C$3390,$A146,'United Data'!$B$3:$B$3390,"&lt;&gt;Off-street")&gt;0,1,0)</f>
        <v>0</v>
      </c>
      <c r="L146">
        <f>IF(COUNTIFS('United Data'!$A$3:$A$3390,L$1,'United Data'!$C$3:$C$3390,$A146,'United Data'!$B$3:$B$3390,"&lt;&gt;Off-street")&gt;0,1,0)</f>
        <v>0</v>
      </c>
      <c r="M146">
        <f>IF(COUNTIFS('United Data'!$A$3:$A$3390,M$1,'United Data'!$C$3:$C$3390,$A146,'United Data'!$B$3:$B$3390,"&lt;&gt;Off-street")&gt;0,1,0)</f>
        <v>0</v>
      </c>
      <c r="N146">
        <f>IF(COUNTIFS('United Data'!$A$3:$A$3390,N$1,'United Data'!$C$3:$C$3390,$A146,'United Data'!$B$3:$B$3390,"&lt;&gt;Off-street")&gt;0,1,0)</f>
        <v>0</v>
      </c>
      <c r="O146">
        <f>IF(COUNTIFS('United Data'!$A$3:$A$3390,O$1,'United Data'!$C$3:$C$3390,$A146,'United Data'!$B$3:$B$3390,"&lt;&gt;Off-street")&gt;0,1,0)</f>
        <v>0</v>
      </c>
      <c r="P146">
        <f>IF(COUNTIFS('United Data'!$A$3:$A$3390,P$1,'United Data'!$C$3:$C$3390,$A146,'United Data'!$B$3:$B$3390,"&lt;&gt;Off-street")&gt;0,1,0)</f>
        <v>0</v>
      </c>
      <c r="Q146">
        <f>IF(COUNTIFS('United Data'!$A$3:$A$3390,Q$1,'United Data'!$C$3:$C$3390,$A146,'United Data'!$B$3:$B$3390,"&lt;&gt;Off-street")&gt;0,1,0)</f>
        <v>0</v>
      </c>
      <c r="R146">
        <f>IF(COUNTIFS('United Data'!$A$3:$A$3390,R$1,'United Data'!$C$3:$C$3390,$A146,'United Data'!$B$3:$B$3390,"&lt;&gt;Off-street")&gt;0,1,0)</f>
        <v>0</v>
      </c>
      <c r="S146">
        <f t="shared" si="4"/>
        <v>4</v>
      </c>
      <c r="T146">
        <f t="shared" si="5"/>
        <v>1</v>
      </c>
    </row>
    <row r="147" spans="1:20" x14ac:dyDescent="0.2">
      <c r="A147" t="s">
        <v>203</v>
      </c>
      <c r="B147">
        <f>IF(COUNTIFS('United Data'!$A$3:$A$3390,B$1,'United Data'!$C$3:$C$3390,$A147,'United Data'!$B$3:$B$3390,"&lt;&gt;Off-street")&gt;0,1,0)</f>
        <v>0</v>
      </c>
      <c r="C147">
        <f>IF(COUNTIFS('United Data'!$A$3:$A$3390,C$1,'United Data'!$C$3:$C$3390,$A147,'United Data'!$B$3:$B$3390,"&lt;&gt;Off-street")&gt;0,1,0)</f>
        <v>1</v>
      </c>
      <c r="D147">
        <f>IF(COUNTIFS('United Data'!$A$3:$A$3390,D$1,'United Data'!$C$3:$C$3390,$A147,'United Data'!$B$3:$B$3390,"&lt;&gt;Off-street")&gt;0,1,0)</f>
        <v>0</v>
      </c>
      <c r="E147">
        <f>IF(COUNTIFS('United Data'!$A$3:$A$3390,E$1,'United Data'!$C$3:$C$3390,$A147,'United Data'!$B$3:$B$3390,"&lt;&gt;Off-street")&gt;0,1,0)</f>
        <v>0</v>
      </c>
      <c r="F147">
        <f>IF(COUNTIFS('United Data'!$A$3:$A$3390,F$1,'United Data'!$C$3:$C$3390,$A147,'United Data'!$B$3:$B$3390,"&lt;&gt;Off-street")&gt;0,1,0)</f>
        <v>0</v>
      </c>
      <c r="G147">
        <f>IF(COUNTIFS('United Data'!$A$3:$A$3390,G$1,'United Data'!$C$3:$C$3390,$A147,'United Data'!$B$3:$B$3390,"&lt;&gt;Off-street")&gt;0,1,0)</f>
        <v>0</v>
      </c>
      <c r="H147">
        <f>IF(COUNTIFS('United Data'!$A$3:$A$3390,H$1,'United Data'!$C$3:$C$3390,$A147,'United Data'!$B$3:$B$3390,"&lt;&gt;Off-street")&gt;0,1,0)</f>
        <v>0</v>
      </c>
      <c r="I147">
        <f>IF(COUNTIFS('United Data'!$A$3:$A$3390,I$1,'United Data'!$C$3:$C$3390,$A147,'United Data'!$B$3:$B$3390,"&lt;&gt;Off-street")&gt;0,1,0)</f>
        <v>0</v>
      </c>
      <c r="J147">
        <f>IF(COUNTIFS('United Data'!$A$3:$A$3390,J$1,'United Data'!$C$3:$C$3390,$A147,'United Data'!$B$3:$B$3390,"&lt;&gt;Off-street")&gt;0,1,0)</f>
        <v>0</v>
      </c>
      <c r="K147">
        <f>IF(COUNTIFS('United Data'!$A$3:$A$3390,K$1,'United Data'!$C$3:$C$3390,$A147,'United Data'!$B$3:$B$3390,"&lt;&gt;Off-street")&gt;0,1,0)</f>
        <v>0</v>
      </c>
      <c r="L147">
        <f>IF(COUNTIFS('United Data'!$A$3:$A$3390,L$1,'United Data'!$C$3:$C$3390,$A147,'United Data'!$B$3:$B$3390,"&lt;&gt;Off-street")&gt;0,1,0)</f>
        <v>0</v>
      </c>
      <c r="M147">
        <f>IF(COUNTIFS('United Data'!$A$3:$A$3390,M$1,'United Data'!$C$3:$C$3390,$A147,'United Data'!$B$3:$B$3390,"&lt;&gt;Off-street")&gt;0,1,0)</f>
        <v>0</v>
      </c>
      <c r="N147">
        <f>IF(COUNTIFS('United Data'!$A$3:$A$3390,N$1,'United Data'!$C$3:$C$3390,$A147,'United Data'!$B$3:$B$3390,"&lt;&gt;Off-street")&gt;0,1,0)</f>
        <v>0</v>
      </c>
      <c r="O147">
        <f>IF(COUNTIFS('United Data'!$A$3:$A$3390,O$1,'United Data'!$C$3:$C$3390,$A147,'United Data'!$B$3:$B$3390,"&lt;&gt;Off-street")&gt;0,1,0)</f>
        <v>0</v>
      </c>
      <c r="P147">
        <f>IF(COUNTIFS('United Data'!$A$3:$A$3390,P$1,'United Data'!$C$3:$C$3390,$A147,'United Data'!$B$3:$B$3390,"&lt;&gt;Off-street")&gt;0,1,0)</f>
        <v>0</v>
      </c>
      <c r="Q147">
        <f>IF(COUNTIFS('United Data'!$A$3:$A$3390,Q$1,'United Data'!$C$3:$C$3390,$A147,'United Data'!$B$3:$B$3390,"&lt;&gt;Off-street")&gt;0,1,0)</f>
        <v>0</v>
      </c>
      <c r="R147">
        <f>IF(COUNTIFS('United Data'!$A$3:$A$3390,R$1,'United Data'!$C$3:$C$3390,$A147,'United Data'!$B$3:$B$3390,"&lt;&gt;Off-street")&gt;0,1,0)</f>
        <v>0</v>
      </c>
      <c r="S147">
        <f t="shared" si="4"/>
        <v>1</v>
      </c>
      <c r="T147">
        <f t="shared" si="5"/>
        <v>1</v>
      </c>
    </row>
    <row r="148" spans="1:20" x14ac:dyDescent="0.2">
      <c r="A148" t="s">
        <v>204</v>
      </c>
      <c r="B148">
        <f>IF(COUNTIFS('United Data'!$A$3:$A$3390,B$1,'United Data'!$C$3:$C$3390,$A148,'United Data'!$B$3:$B$3390,"&lt;&gt;Off-street")&gt;0,1,0)</f>
        <v>0</v>
      </c>
      <c r="C148">
        <f>IF(COUNTIFS('United Data'!$A$3:$A$3390,C$1,'United Data'!$C$3:$C$3390,$A148,'United Data'!$B$3:$B$3390,"&lt;&gt;Off-street")&gt;0,1,0)</f>
        <v>1</v>
      </c>
      <c r="D148">
        <f>IF(COUNTIFS('United Data'!$A$3:$A$3390,D$1,'United Data'!$C$3:$C$3390,$A148,'United Data'!$B$3:$B$3390,"&lt;&gt;Off-street")&gt;0,1,0)</f>
        <v>1</v>
      </c>
      <c r="E148">
        <f>IF(COUNTIFS('United Data'!$A$3:$A$3390,E$1,'United Data'!$C$3:$C$3390,$A148,'United Data'!$B$3:$B$3390,"&lt;&gt;Off-street")&gt;0,1,0)</f>
        <v>0</v>
      </c>
      <c r="F148">
        <f>IF(COUNTIFS('United Data'!$A$3:$A$3390,F$1,'United Data'!$C$3:$C$3390,$A148,'United Data'!$B$3:$B$3390,"&lt;&gt;Off-street")&gt;0,1,0)</f>
        <v>1</v>
      </c>
      <c r="G148">
        <f>IF(COUNTIFS('United Data'!$A$3:$A$3390,G$1,'United Data'!$C$3:$C$3390,$A148,'United Data'!$B$3:$B$3390,"&lt;&gt;Off-street")&gt;0,1,0)</f>
        <v>0</v>
      </c>
      <c r="H148">
        <f>IF(COUNTIFS('United Data'!$A$3:$A$3390,H$1,'United Data'!$C$3:$C$3390,$A148,'United Data'!$B$3:$B$3390,"&lt;&gt;Off-street")&gt;0,1,0)</f>
        <v>0</v>
      </c>
      <c r="I148">
        <f>IF(COUNTIFS('United Data'!$A$3:$A$3390,I$1,'United Data'!$C$3:$C$3390,$A148,'United Data'!$B$3:$B$3390,"&lt;&gt;Off-street")&gt;0,1,0)</f>
        <v>1</v>
      </c>
      <c r="J148">
        <f>IF(COUNTIFS('United Data'!$A$3:$A$3390,J$1,'United Data'!$C$3:$C$3390,$A148,'United Data'!$B$3:$B$3390,"&lt;&gt;Off-street")&gt;0,1,0)</f>
        <v>0</v>
      </c>
      <c r="K148">
        <f>IF(COUNTIFS('United Data'!$A$3:$A$3390,K$1,'United Data'!$C$3:$C$3390,$A148,'United Data'!$B$3:$B$3390,"&lt;&gt;Off-street")&gt;0,1,0)</f>
        <v>0</v>
      </c>
      <c r="L148">
        <f>IF(COUNTIFS('United Data'!$A$3:$A$3390,L$1,'United Data'!$C$3:$C$3390,$A148,'United Data'!$B$3:$B$3390,"&lt;&gt;Off-street")&gt;0,1,0)</f>
        <v>1</v>
      </c>
      <c r="M148">
        <f>IF(COUNTIFS('United Data'!$A$3:$A$3390,M$1,'United Data'!$C$3:$C$3390,$A148,'United Data'!$B$3:$B$3390,"&lt;&gt;Off-street")&gt;0,1,0)</f>
        <v>0</v>
      </c>
      <c r="N148">
        <f>IF(COUNTIFS('United Data'!$A$3:$A$3390,N$1,'United Data'!$C$3:$C$3390,$A148,'United Data'!$B$3:$B$3390,"&lt;&gt;Off-street")&gt;0,1,0)</f>
        <v>0</v>
      </c>
      <c r="O148">
        <f>IF(COUNTIFS('United Data'!$A$3:$A$3390,O$1,'United Data'!$C$3:$C$3390,$A148,'United Data'!$B$3:$B$3390,"&lt;&gt;Off-street")&gt;0,1,0)</f>
        <v>0</v>
      </c>
      <c r="P148">
        <f>IF(COUNTIFS('United Data'!$A$3:$A$3390,P$1,'United Data'!$C$3:$C$3390,$A148,'United Data'!$B$3:$B$3390,"&lt;&gt;Off-street")&gt;0,1,0)</f>
        <v>0</v>
      </c>
      <c r="Q148">
        <f>IF(COUNTIFS('United Data'!$A$3:$A$3390,Q$1,'United Data'!$C$3:$C$3390,$A148,'United Data'!$B$3:$B$3390,"&lt;&gt;Off-street")&gt;0,1,0)</f>
        <v>0</v>
      </c>
      <c r="R148">
        <f>IF(COUNTIFS('United Data'!$A$3:$A$3390,R$1,'United Data'!$C$3:$C$3390,$A148,'United Data'!$B$3:$B$3390,"&lt;&gt;Off-street")&gt;0,1,0)</f>
        <v>0</v>
      </c>
      <c r="S148">
        <f t="shared" si="4"/>
        <v>5</v>
      </c>
      <c r="T148">
        <f t="shared" si="5"/>
        <v>4</v>
      </c>
    </row>
    <row r="149" spans="1:20" x14ac:dyDescent="0.2">
      <c r="A149" t="s">
        <v>205</v>
      </c>
      <c r="B149">
        <f>IF(COUNTIFS('United Data'!$A$3:$A$3390,B$1,'United Data'!$C$3:$C$3390,$A149,'United Data'!$B$3:$B$3390,"&lt;&gt;Off-street")&gt;0,1,0)</f>
        <v>0</v>
      </c>
      <c r="C149">
        <f>IF(COUNTIFS('United Data'!$A$3:$A$3390,C$1,'United Data'!$C$3:$C$3390,$A149,'United Data'!$B$3:$B$3390,"&lt;&gt;Off-street")&gt;0,1,0)</f>
        <v>1</v>
      </c>
      <c r="D149">
        <f>IF(COUNTIFS('United Data'!$A$3:$A$3390,D$1,'United Data'!$C$3:$C$3390,$A149,'United Data'!$B$3:$B$3390,"&lt;&gt;Off-street")&gt;0,1,0)</f>
        <v>0</v>
      </c>
      <c r="E149">
        <f>IF(COUNTIFS('United Data'!$A$3:$A$3390,E$1,'United Data'!$C$3:$C$3390,$A149,'United Data'!$B$3:$B$3390,"&lt;&gt;Off-street")&gt;0,1,0)</f>
        <v>0</v>
      </c>
      <c r="F149">
        <f>IF(COUNTIFS('United Data'!$A$3:$A$3390,F$1,'United Data'!$C$3:$C$3390,$A149,'United Data'!$B$3:$B$3390,"&lt;&gt;Off-street")&gt;0,1,0)</f>
        <v>0</v>
      </c>
      <c r="G149">
        <f>IF(COUNTIFS('United Data'!$A$3:$A$3390,G$1,'United Data'!$C$3:$C$3390,$A149,'United Data'!$B$3:$B$3390,"&lt;&gt;Off-street")&gt;0,1,0)</f>
        <v>0</v>
      </c>
      <c r="H149">
        <f>IF(COUNTIFS('United Data'!$A$3:$A$3390,H$1,'United Data'!$C$3:$C$3390,$A149,'United Data'!$B$3:$B$3390,"&lt;&gt;Off-street")&gt;0,1,0)</f>
        <v>0</v>
      </c>
      <c r="I149">
        <f>IF(COUNTIFS('United Data'!$A$3:$A$3390,I$1,'United Data'!$C$3:$C$3390,$A149,'United Data'!$B$3:$B$3390,"&lt;&gt;Off-street")&gt;0,1,0)</f>
        <v>0</v>
      </c>
      <c r="J149">
        <f>IF(COUNTIFS('United Data'!$A$3:$A$3390,J$1,'United Data'!$C$3:$C$3390,$A149,'United Data'!$B$3:$B$3390,"&lt;&gt;Off-street")&gt;0,1,0)</f>
        <v>0</v>
      </c>
      <c r="K149">
        <f>IF(COUNTIFS('United Data'!$A$3:$A$3390,K$1,'United Data'!$C$3:$C$3390,$A149,'United Data'!$B$3:$B$3390,"&lt;&gt;Off-street")&gt;0,1,0)</f>
        <v>0</v>
      </c>
      <c r="L149">
        <f>IF(COUNTIFS('United Data'!$A$3:$A$3390,L$1,'United Data'!$C$3:$C$3390,$A149,'United Data'!$B$3:$B$3390,"&lt;&gt;Off-street")&gt;0,1,0)</f>
        <v>0</v>
      </c>
      <c r="M149">
        <f>IF(COUNTIFS('United Data'!$A$3:$A$3390,M$1,'United Data'!$C$3:$C$3390,$A149,'United Data'!$B$3:$B$3390,"&lt;&gt;Off-street")&gt;0,1,0)</f>
        <v>0</v>
      </c>
      <c r="N149">
        <f>IF(COUNTIFS('United Data'!$A$3:$A$3390,N$1,'United Data'!$C$3:$C$3390,$A149,'United Data'!$B$3:$B$3390,"&lt;&gt;Off-street")&gt;0,1,0)</f>
        <v>0</v>
      </c>
      <c r="O149">
        <f>IF(COUNTIFS('United Data'!$A$3:$A$3390,O$1,'United Data'!$C$3:$C$3390,$A149,'United Data'!$B$3:$B$3390,"&lt;&gt;Off-street")&gt;0,1,0)</f>
        <v>0</v>
      </c>
      <c r="P149">
        <f>IF(COUNTIFS('United Data'!$A$3:$A$3390,P$1,'United Data'!$C$3:$C$3390,$A149,'United Data'!$B$3:$B$3390,"&lt;&gt;Off-street")&gt;0,1,0)</f>
        <v>0</v>
      </c>
      <c r="Q149">
        <f>IF(COUNTIFS('United Data'!$A$3:$A$3390,Q$1,'United Data'!$C$3:$C$3390,$A149,'United Data'!$B$3:$B$3390,"&lt;&gt;Off-street")&gt;0,1,0)</f>
        <v>0</v>
      </c>
      <c r="R149">
        <f>IF(COUNTIFS('United Data'!$A$3:$A$3390,R$1,'United Data'!$C$3:$C$3390,$A149,'United Data'!$B$3:$B$3390,"&lt;&gt;Off-street")&gt;0,1,0)</f>
        <v>0</v>
      </c>
      <c r="S149">
        <f t="shared" si="4"/>
        <v>1</v>
      </c>
      <c r="T149">
        <f t="shared" si="5"/>
        <v>1</v>
      </c>
    </row>
    <row r="150" spans="1:20" x14ac:dyDescent="0.2">
      <c r="A150" t="s">
        <v>206</v>
      </c>
      <c r="B150">
        <f>IF(COUNTIFS('United Data'!$A$3:$A$3390,B$1,'United Data'!$C$3:$C$3390,$A150,'United Data'!$B$3:$B$3390,"&lt;&gt;Off-street")&gt;0,1,0)</f>
        <v>0</v>
      </c>
      <c r="C150">
        <f>IF(COUNTIFS('United Data'!$A$3:$A$3390,C$1,'United Data'!$C$3:$C$3390,$A150,'United Data'!$B$3:$B$3390,"&lt;&gt;Off-street")&gt;0,1,0)</f>
        <v>1</v>
      </c>
      <c r="D150">
        <f>IF(COUNTIFS('United Data'!$A$3:$A$3390,D$1,'United Data'!$C$3:$C$3390,$A150,'United Data'!$B$3:$B$3390,"&lt;&gt;Off-street")&gt;0,1,0)</f>
        <v>1</v>
      </c>
      <c r="E150">
        <f>IF(COUNTIFS('United Data'!$A$3:$A$3390,E$1,'United Data'!$C$3:$C$3390,$A150,'United Data'!$B$3:$B$3390,"&lt;&gt;Off-street")&gt;0,1,0)</f>
        <v>0</v>
      </c>
      <c r="F150">
        <f>IF(COUNTIFS('United Data'!$A$3:$A$3390,F$1,'United Data'!$C$3:$C$3390,$A150,'United Data'!$B$3:$B$3390,"&lt;&gt;Off-street")&gt;0,1,0)</f>
        <v>1</v>
      </c>
      <c r="G150">
        <f>IF(COUNTIFS('United Data'!$A$3:$A$3390,G$1,'United Data'!$C$3:$C$3390,$A150,'United Data'!$B$3:$B$3390,"&lt;&gt;Off-street")&gt;0,1,0)</f>
        <v>0</v>
      </c>
      <c r="H150">
        <f>IF(COUNTIFS('United Data'!$A$3:$A$3390,H$1,'United Data'!$C$3:$C$3390,$A150,'United Data'!$B$3:$B$3390,"&lt;&gt;Off-street")&gt;0,1,0)</f>
        <v>0</v>
      </c>
      <c r="I150">
        <f>IF(COUNTIFS('United Data'!$A$3:$A$3390,I$1,'United Data'!$C$3:$C$3390,$A150,'United Data'!$B$3:$B$3390,"&lt;&gt;Off-street")&gt;0,1,0)</f>
        <v>0</v>
      </c>
      <c r="J150">
        <f>IF(COUNTIFS('United Data'!$A$3:$A$3390,J$1,'United Data'!$C$3:$C$3390,$A150,'United Data'!$B$3:$B$3390,"&lt;&gt;Off-street")&gt;0,1,0)</f>
        <v>0</v>
      </c>
      <c r="K150">
        <f>IF(COUNTIFS('United Data'!$A$3:$A$3390,K$1,'United Data'!$C$3:$C$3390,$A150,'United Data'!$B$3:$B$3390,"&lt;&gt;Off-street")&gt;0,1,0)</f>
        <v>0</v>
      </c>
      <c r="L150">
        <f>IF(COUNTIFS('United Data'!$A$3:$A$3390,L$1,'United Data'!$C$3:$C$3390,$A150,'United Data'!$B$3:$B$3390,"&lt;&gt;Off-street")&gt;0,1,0)</f>
        <v>0</v>
      </c>
      <c r="M150">
        <f>IF(COUNTIFS('United Data'!$A$3:$A$3390,M$1,'United Data'!$C$3:$C$3390,$A150,'United Data'!$B$3:$B$3390,"&lt;&gt;Off-street")&gt;0,1,0)</f>
        <v>0</v>
      </c>
      <c r="N150">
        <f>IF(COUNTIFS('United Data'!$A$3:$A$3390,N$1,'United Data'!$C$3:$C$3390,$A150,'United Data'!$B$3:$B$3390,"&lt;&gt;Off-street")&gt;0,1,0)</f>
        <v>0</v>
      </c>
      <c r="O150">
        <f>IF(COUNTIFS('United Data'!$A$3:$A$3390,O$1,'United Data'!$C$3:$C$3390,$A150,'United Data'!$B$3:$B$3390,"&lt;&gt;Off-street")&gt;0,1,0)</f>
        <v>0</v>
      </c>
      <c r="P150">
        <f>IF(COUNTIFS('United Data'!$A$3:$A$3390,P$1,'United Data'!$C$3:$C$3390,$A150,'United Data'!$B$3:$B$3390,"&lt;&gt;Off-street")&gt;0,1,0)</f>
        <v>0</v>
      </c>
      <c r="Q150">
        <f>IF(COUNTIFS('United Data'!$A$3:$A$3390,Q$1,'United Data'!$C$3:$C$3390,$A150,'United Data'!$B$3:$B$3390,"&lt;&gt;Off-street")&gt;0,1,0)</f>
        <v>0</v>
      </c>
      <c r="R150">
        <f>IF(COUNTIFS('United Data'!$A$3:$A$3390,R$1,'United Data'!$C$3:$C$3390,$A150,'United Data'!$B$3:$B$3390,"&lt;&gt;Off-street")&gt;0,1,0)</f>
        <v>0</v>
      </c>
      <c r="S150">
        <f t="shared" si="4"/>
        <v>3</v>
      </c>
      <c r="T150">
        <f t="shared" si="5"/>
        <v>2</v>
      </c>
    </row>
    <row r="151" spans="1:20" x14ac:dyDescent="0.2">
      <c r="A151" t="s">
        <v>207</v>
      </c>
      <c r="B151">
        <f>IF(COUNTIFS('United Data'!$A$3:$A$3390,B$1,'United Data'!$C$3:$C$3390,$A151,'United Data'!$B$3:$B$3390,"&lt;&gt;Off-street")&gt;0,1,0)</f>
        <v>0</v>
      </c>
      <c r="C151">
        <f>IF(COUNTIFS('United Data'!$A$3:$A$3390,C$1,'United Data'!$C$3:$C$3390,$A151,'United Data'!$B$3:$B$3390,"&lt;&gt;Off-street")&gt;0,1,0)</f>
        <v>1</v>
      </c>
      <c r="D151">
        <f>IF(COUNTIFS('United Data'!$A$3:$A$3390,D$1,'United Data'!$C$3:$C$3390,$A151,'United Data'!$B$3:$B$3390,"&lt;&gt;Off-street")&gt;0,1,0)</f>
        <v>0</v>
      </c>
      <c r="E151">
        <f>IF(COUNTIFS('United Data'!$A$3:$A$3390,E$1,'United Data'!$C$3:$C$3390,$A151,'United Data'!$B$3:$B$3390,"&lt;&gt;Off-street")&gt;0,1,0)</f>
        <v>0</v>
      </c>
      <c r="F151">
        <f>IF(COUNTIFS('United Data'!$A$3:$A$3390,F$1,'United Data'!$C$3:$C$3390,$A151,'United Data'!$B$3:$B$3390,"&lt;&gt;Off-street")&gt;0,1,0)</f>
        <v>0</v>
      </c>
      <c r="G151">
        <f>IF(COUNTIFS('United Data'!$A$3:$A$3390,G$1,'United Data'!$C$3:$C$3390,$A151,'United Data'!$B$3:$B$3390,"&lt;&gt;Off-street")&gt;0,1,0)</f>
        <v>1</v>
      </c>
      <c r="H151">
        <f>IF(COUNTIFS('United Data'!$A$3:$A$3390,H$1,'United Data'!$C$3:$C$3390,$A151,'United Data'!$B$3:$B$3390,"&lt;&gt;Off-street")&gt;0,1,0)</f>
        <v>0</v>
      </c>
      <c r="I151">
        <f>IF(COUNTIFS('United Data'!$A$3:$A$3390,I$1,'United Data'!$C$3:$C$3390,$A151,'United Data'!$B$3:$B$3390,"&lt;&gt;Off-street")&gt;0,1,0)</f>
        <v>1</v>
      </c>
      <c r="J151">
        <f>IF(COUNTIFS('United Data'!$A$3:$A$3390,J$1,'United Data'!$C$3:$C$3390,$A151,'United Data'!$B$3:$B$3390,"&lt;&gt;Off-street")&gt;0,1,0)</f>
        <v>0</v>
      </c>
      <c r="K151">
        <f>IF(COUNTIFS('United Data'!$A$3:$A$3390,K$1,'United Data'!$C$3:$C$3390,$A151,'United Data'!$B$3:$B$3390,"&lt;&gt;Off-street")&gt;0,1,0)</f>
        <v>0</v>
      </c>
      <c r="L151">
        <f>IF(COUNTIFS('United Data'!$A$3:$A$3390,L$1,'United Data'!$C$3:$C$3390,$A151,'United Data'!$B$3:$B$3390,"&lt;&gt;Off-street")&gt;0,1,0)</f>
        <v>1</v>
      </c>
      <c r="M151">
        <f>IF(COUNTIFS('United Data'!$A$3:$A$3390,M$1,'United Data'!$C$3:$C$3390,$A151,'United Data'!$B$3:$B$3390,"&lt;&gt;Off-street")&gt;0,1,0)</f>
        <v>0</v>
      </c>
      <c r="N151">
        <f>IF(COUNTIFS('United Data'!$A$3:$A$3390,N$1,'United Data'!$C$3:$C$3390,$A151,'United Data'!$B$3:$B$3390,"&lt;&gt;Off-street")&gt;0,1,0)</f>
        <v>1</v>
      </c>
      <c r="O151">
        <f>IF(COUNTIFS('United Data'!$A$3:$A$3390,O$1,'United Data'!$C$3:$C$3390,$A151,'United Data'!$B$3:$B$3390,"&lt;&gt;Off-street")&gt;0,1,0)</f>
        <v>1</v>
      </c>
      <c r="P151">
        <f>IF(COUNTIFS('United Data'!$A$3:$A$3390,P$1,'United Data'!$C$3:$C$3390,$A151,'United Data'!$B$3:$B$3390,"&lt;&gt;Off-street")&gt;0,1,0)</f>
        <v>0</v>
      </c>
      <c r="Q151">
        <f>IF(COUNTIFS('United Data'!$A$3:$A$3390,Q$1,'United Data'!$C$3:$C$3390,$A151,'United Data'!$B$3:$B$3390,"&lt;&gt;Off-street")&gt;0,1,0)</f>
        <v>1</v>
      </c>
      <c r="R151">
        <f>IF(COUNTIFS('United Data'!$A$3:$A$3390,R$1,'United Data'!$C$3:$C$3390,$A151,'United Data'!$B$3:$B$3390,"&lt;&gt;Off-street")&gt;0,1,0)</f>
        <v>0</v>
      </c>
      <c r="S151">
        <f t="shared" si="4"/>
        <v>7</v>
      </c>
      <c r="T151">
        <f t="shared" si="5"/>
        <v>6</v>
      </c>
    </row>
    <row r="152" spans="1:20" x14ac:dyDescent="0.2">
      <c r="A152" t="s">
        <v>209</v>
      </c>
      <c r="B152">
        <f>IF(COUNTIFS('United Data'!$A$3:$A$3390,B$1,'United Data'!$C$3:$C$3390,$A152,'United Data'!$B$3:$B$3390,"&lt;&gt;Off-street")&gt;0,1,0)</f>
        <v>0</v>
      </c>
      <c r="C152">
        <f>IF(COUNTIFS('United Data'!$A$3:$A$3390,C$1,'United Data'!$C$3:$C$3390,$A152,'United Data'!$B$3:$B$3390,"&lt;&gt;Off-street")&gt;0,1,0)</f>
        <v>0</v>
      </c>
      <c r="D152">
        <f>IF(COUNTIFS('United Data'!$A$3:$A$3390,D$1,'United Data'!$C$3:$C$3390,$A152,'United Data'!$B$3:$B$3390,"&lt;&gt;Off-street")&gt;0,1,0)</f>
        <v>1</v>
      </c>
      <c r="E152">
        <f>IF(COUNTIFS('United Data'!$A$3:$A$3390,E$1,'United Data'!$C$3:$C$3390,$A152,'United Data'!$B$3:$B$3390,"&lt;&gt;Off-street")&gt;0,1,0)</f>
        <v>1</v>
      </c>
      <c r="F152">
        <f>IF(COUNTIFS('United Data'!$A$3:$A$3390,F$1,'United Data'!$C$3:$C$3390,$A152,'United Data'!$B$3:$B$3390,"&lt;&gt;Off-street")&gt;0,1,0)</f>
        <v>0</v>
      </c>
      <c r="G152">
        <f>IF(COUNTIFS('United Data'!$A$3:$A$3390,G$1,'United Data'!$C$3:$C$3390,$A152,'United Data'!$B$3:$B$3390,"&lt;&gt;Off-street")&gt;0,1,0)</f>
        <v>0</v>
      </c>
      <c r="H152">
        <f>IF(COUNTIFS('United Data'!$A$3:$A$3390,H$1,'United Data'!$C$3:$C$3390,$A152,'United Data'!$B$3:$B$3390,"&lt;&gt;Off-street")&gt;0,1,0)</f>
        <v>0</v>
      </c>
      <c r="I152">
        <f>IF(COUNTIFS('United Data'!$A$3:$A$3390,I$1,'United Data'!$C$3:$C$3390,$A152,'United Data'!$B$3:$B$3390,"&lt;&gt;Off-street")&gt;0,1,0)</f>
        <v>0</v>
      </c>
      <c r="J152">
        <f>IF(COUNTIFS('United Data'!$A$3:$A$3390,J$1,'United Data'!$C$3:$C$3390,$A152,'United Data'!$B$3:$B$3390,"&lt;&gt;Off-street")&gt;0,1,0)</f>
        <v>0</v>
      </c>
      <c r="K152">
        <f>IF(COUNTIFS('United Data'!$A$3:$A$3390,K$1,'United Data'!$C$3:$C$3390,$A152,'United Data'!$B$3:$B$3390,"&lt;&gt;Off-street")&gt;0,1,0)</f>
        <v>0</v>
      </c>
      <c r="L152">
        <f>IF(COUNTIFS('United Data'!$A$3:$A$3390,L$1,'United Data'!$C$3:$C$3390,$A152,'United Data'!$B$3:$B$3390,"&lt;&gt;Off-street")&gt;0,1,0)</f>
        <v>0</v>
      </c>
      <c r="M152">
        <f>IF(COUNTIFS('United Data'!$A$3:$A$3390,M$1,'United Data'!$C$3:$C$3390,$A152,'United Data'!$B$3:$B$3390,"&lt;&gt;Off-street")&gt;0,1,0)</f>
        <v>0</v>
      </c>
      <c r="N152">
        <f>IF(COUNTIFS('United Data'!$A$3:$A$3390,N$1,'United Data'!$C$3:$C$3390,$A152,'United Data'!$B$3:$B$3390,"&lt;&gt;Off-street")&gt;0,1,0)</f>
        <v>0</v>
      </c>
      <c r="O152">
        <f>IF(COUNTIFS('United Data'!$A$3:$A$3390,O$1,'United Data'!$C$3:$C$3390,$A152,'United Data'!$B$3:$B$3390,"&lt;&gt;Off-street")&gt;0,1,0)</f>
        <v>0</v>
      </c>
      <c r="P152">
        <f>IF(COUNTIFS('United Data'!$A$3:$A$3390,P$1,'United Data'!$C$3:$C$3390,$A152,'United Data'!$B$3:$B$3390,"&lt;&gt;Off-street")&gt;0,1,0)</f>
        <v>0</v>
      </c>
      <c r="Q152">
        <f>IF(COUNTIFS('United Data'!$A$3:$A$3390,Q$1,'United Data'!$C$3:$C$3390,$A152,'United Data'!$B$3:$B$3390,"&lt;&gt;Off-street")&gt;0,1,0)</f>
        <v>0</v>
      </c>
      <c r="R152">
        <f>IF(COUNTIFS('United Data'!$A$3:$A$3390,R$1,'United Data'!$C$3:$C$3390,$A152,'United Data'!$B$3:$B$3390,"&lt;&gt;Off-street")&gt;0,1,0)</f>
        <v>0</v>
      </c>
      <c r="S152">
        <f t="shared" si="4"/>
        <v>2</v>
      </c>
      <c r="T152">
        <f t="shared" si="5"/>
        <v>1</v>
      </c>
    </row>
    <row r="153" spans="1:20" x14ac:dyDescent="0.2">
      <c r="A153" t="s">
        <v>210</v>
      </c>
      <c r="B153">
        <f>IF(COUNTIFS('United Data'!$A$3:$A$3390,B$1,'United Data'!$C$3:$C$3390,$A153,'United Data'!$B$3:$B$3390,"&lt;&gt;Off-street")&gt;0,1,0)</f>
        <v>0</v>
      </c>
      <c r="C153">
        <f>IF(COUNTIFS('United Data'!$A$3:$A$3390,C$1,'United Data'!$C$3:$C$3390,$A153,'United Data'!$B$3:$B$3390,"&lt;&gt;Off-street")&gt;0,1,0)</f>
        <v>0</v>
      </c>
      <c r="D153">
        <f>IF(COUNTIFS('United Data'!$A$3:$A$3390,D$1,'United Data'!$C$3:$C$3390,$A153,'United Data'!$B$3:$B$3390,"&lt;&gt;Off-street")&gt;0,1,0)</f>
        <v>1</v>
      </c>
      <c r="E153">
        <f>IF(COUNTIFS('United Data'!$A$3:$A$3390,E$1,'United Data'!$C$3:$C$3390,$A153,'United Data'!$B$3:$B$3390,"&lt;&gt;Off-street")&gt;0,1,0)</f>
        <v>1</v>
      </c>
      <c r="F153">
        <f>IF(COUNTIFS('United Data'!$A$3:$A$3390,F$1,'United Data'!$C$3:$C$3390,$A153,'United Data'!$B$3:$B$3390,"&lt;&gt;Off-street")&gt;0,1,0)</f>
        <v>0</v>
      </c>
      <c r="G153">
        <f>IF(COUNTIFS('United Data'!$A$3:$A$3390,G$1,'United Data'!$C$3:$C$3390,$A153,'United Data'!$B$3:$B$3390,"&lt;&gt;Off-street")&gt;0,1,0)</f>
        <v>0</v>
      </c>
      <c r="H153">
        <f>IF(COUNTIFS('United Data'!$A$3:$A$3390,H$1,'United Data'!$C$3:$C$3390,$A153,'United Data'!$B$3:$B$3390,"&lt;&gt;Off-street")&gt;0,1,0)</f>
        <v>0</v>
      </c>
      <c r="I153">
        <f>IF(COUNTIFS('United Data'!$A$3:$A$3390,I$1,'United Data'!$C$3:$C$3390,$A153,'United Data'!$B$3:$B$3390,"&lt;&gt;Off-street")&gt;0,1,0)</f>
        <v>0</v>
      </c>
      <c r="J153">
        <f>IF(COUNTIFS('United Data'!$A$3:$A$3390,J$1,'United Data'!$C$3:$C$3390,$A153,'United Data'!$B$3:$B$3390,"&lt;&gt;Off-street")&gt;0,1,0)</f>
        <v>0</v>
      </c>
      <c r="K153">
        <f>IF(COUNTIFS('United Data'!$A$3:$A$3390,K$1,'United Data'!$C$3:$C$3390,$A153,'United Data'!$B$3:$B$3390,"&lt;&gt;Off-street")&gt;0,1,0)</f>
        <v>0</v>
      </c>
      <c r="L153">
        <f>IF(COUNTIFS('United Data'!$A$3:$A$3390,L$1,'United Data'!$C$3:$C$3390,$A153,'United Data'!$B$3:$B$3390,"&lt;&gt;Off-street")&gt;0,1,0)</f>
        <v>0</v>
      </c>
      <c r="M153">
        <f>IF(COUNTIFS('United Data'!$A$3:$A$3390,M$1,'United Data'!$C$3:$C$3390,$A153,'United Data'!$B$3:$B$3390,"&lt;&gt;Off-street")&gt;0,1,0)</f>
        <v>0</v>
      </c>
      <c r="N153">
        <f>IF(COUNTIFS('United Data'!$A$3:$A$3390,N$1,'United Data'!$C$3:$C$3390,$A153,'United Data'!$B$3:$B$3390,"&lt;&gt;Off-street")&gt;0,1,0)</f>
        <v>0</v>
      </c>
      <c r="O153">
        <f>IF(COUNTIFS('United Data'!$A$3:$A$3390,O$1,'United Data'!$C$3:$C$3390,$A153,'United Data'!$B$3:$B$3390,"&lt;&gt;Off-street")&gt;0,1,0)</f>
        <v>0</v>
      </c>
      <c r="P153">
        <f>IF(COUNTIFS('United Data'!$A$3:$A$3390,P$1,'United Data'!$C$3:$C$3390,$A153,'United Data'!$B$3:$B$3390,"&lt;&gt;Off-street")&gt;0,1,0)</f>
        <v>0</v>
      </c>
      <c r="Q153">
        <f>IF(COUNTIFS('United Data'!$A$3:$A$3390,Q$1,'United Data'!$C$3:$C$3390,$A153,'United Data'!$B$3:$B$3390,"&lt;&gt;Off-street")&gt;0,1,0)</f>
        <v>0</v>
      </c>
      <c r="R153">
        <f>IF(COUNTIFS('United Data'!$A$3:$A$3390,R$1,'United Data'!$C$3:$C$3390,$A153,'United Data'!$B$3:$B$3390,"&lt;&gt;Off-street")&gt;0,1,0)</f>
        <v>0</v>
      </c>
      <c r="S153">
        <f t="shared" si="4"/>
        <v>2</v>
      </c>
      <c r="T153">
        <f t="shared" si="5"/>
        <v>1</v>
      </c>
    </row>
    <row r="154" spans="1:20" x14ac:dyDescent="0.2">
      <c r="A154" t="s">
        <v>211</v>
      </c>
      <c r="B154">
        <f>IF(COUNTIFS('United Data'!$A$3:$A$3390,B$1,'United Data'!$C$3:$C$3390,$A154,'United Data'!$B$3:$B$3390,"&lt;&gt;Off-street")&gt;0,1,0)</f>
        <v>0</v>
      </c>
      <c r="C154">
        <f>IF(COUNTIFS('United Data'!$A$3:$A$3390,C$1,'United Data'!$C$3:$C$3390,$A154,'United Data'!$B$3:$B$3390,"&lt;&gt;Off-street")&gt;0,1,0)</f>
        <v>0</v>
      </c>
      <c r="D154">
        <f>IF(COUNTIFS('United Data'!$A$3:$A$3390,D$1,'United Data'!$C$3:$C$3390,$A154,'United Data'!$B$3:$B$3390,"&lt;&gt;Off-street")&gt;0,1,0)</f>
        <v>1</v>
      </c>
      <c r="E154">
        <f>IF(COUNTIFS('United Data'!$A$3:$A$3390,E$1,'United Data'!$C$3:$C$3390,$A154,'United Data'!$B$3:$B$3390,"&lt;&gt;Off-street")&gt;0,1,0)</f>
        <v>0</v>
      </c>
      <c r="F154">
        <f>IF(COUNTIFS('United Data'!$A$3:$A$3390,F$1,'United Data'!$C$3:$C$3390,$A154,'United Data'!$B$3:$B$3390,"&lt;&gt;Off-street")&gt;0,1,0)</f>
        <v>0</v>
      </c>
      <c r="G154">
        <f>IF(COUNTIFS('United Data'!$A$3:$A$3390,G$1,'United Data'!$C$3:$C$3390,$A154,'United Data'!$B$3:$B$3390,"&lt;&gt;Off-street")&gt;0,1,0)</f>
        <v>0</v>
      </c>
      <c r="H154">
        <f>IF(COUNTIFS('United Data'!$A$3:$A$3390,H$1,'United Data'!$C$3:$C$3390,$A154,'United Data'!$B$3:$B$3390,"&lt;&gt;Off-street")&gt;0,1,0)</f>
        <v>0</v>
      </c>
      <c r="I154">
        <f>IF(COUNTIFS('United Data'!$A$3:$A$3390,I$1,'United Data'!$C$3:$C$3390,$A154,'United Data'!$B$3:$B$3390,"&lt;&gt;Off-street")&gt;0,1,0)</f>
        <v>0</v>
      </c>
      <c r="J154">
        <f>IF(COUNTIFS('United Data'!$A$3:$A$3390,J$1,'United Data'!$C$3:$C$3390,$A154,'United Data'!$B$3:$B$3390,"&lt;&gt;Off-street")&gt;0,1,0)</f>
        <v>0</v>
      </c>
      <c r="K154">
        <f>IF(COUNTIFS('United Data'!$A$3:$A$3390,K$1,'United Data'!$C$3:$C$3390,$A154,'United Data'!$B$3:$B$3390,"&lt;&gt;Off-street")&gt;0,1,0)</f>
        <v>0</v>
      </c>
      <c r="L154">
        <f>IF(COUNTIFS('United Data'!$A$3:$A$3390,L$1,'United Data'!$C$3:$C$3390,$A154,'United Data'!$B$3:$B$3390,"&lt;&gt;Off-street")&gt;0,1,0)</f>
        <v>0</v>
      </c>
      <c r="M154">
        <f>IF(COUNTIFS('United Data'!$A$3:$A$3390,M$1,'United Data'!$C$3:$C$3390,$A154,'United Data'!$B$3:$B$3390,"&lt;&gt;Off-street")&gt;0,1,0)</f>
        <v>0</v>
      </c>
      <c r="N154">
        <f>IF(COUNTIFS('United Data'!$A$3:$A$3390,N$1,'United Data'!$C$3:$C$3390,$A154,'United Data'!$B$3:$B$3390,"&lt;&gt;Off-street")&gt;0,1,0)</f>
        <v>0</v>
      </c>
      <c r="O154">
        <f>IF(COUNTIFS('United Data'!$A$3:$A$3390,O$1,'United Data'!$C$3:$C$3390,$A154,'United Data'!$B$3:$B$3390,"&lt;&gt;Off-street")&gt;0,1,0)</f>
        <v>0</v>
      </c>
      <c r="P154">
        <f>IF(COUNTIFS('United Data'!$A$3:$A$3390,P$1,'United Data'!$C$3:$C$3390,$A154,'United Data'!$B$3:$B$3390,"&lt;&gt;Off-street")&gt;0,1,0)</f>
        <v>0</v>
      </c>
      <c r="Q154">
        <f>IF(COUNTIFS('United Data'!$A$3:$A$3390,Q$1,'United Data'!$C$3:$C$3390,$A154,'United Data'!$B$3:$B$3390,"&lt;&gt;Off-street")&gt;0,1,0)</f>
        <v>0</v>
      </c>
      <c r="R154">
        <f>IF(COUNTIFS('United Data'!$A$3:$A$3390,R$1,'United Data'!$C$3:$C$3390,$A154,'United Data'!$B$3:$B$3390,"&lt;&gt;Off-street")&gt;0,1,0)</f>
        <v>0</v>
      </c>
      <c r="S154">
        <f t="shared" si="4"/>
        <v>1</v>
      </c>
      <c r="T154">
        <f t="shared" si="5"/>
        <v>1</v>
      </c>
    </row>
    <row r="155" spans="1:20" x14ac:dyDescent="0.2">
      <c r="A155" t="s">
        <v>213</v>
      </c>
      <c r="B155">
        <f>IF(COUNTIFS('United Data'!$A$3:$A$3390,B$1,'United Data'!$C$3:$C$3390,$A155,'United Data'!$B$3:$B$3390,"&lt;&gt;Off-street")&gt;0,1,0)</f>
        <v>0</v>
      </c>
      <c r="C155">
        <f>IF(COUNTIFS('United Data'!$A$3:$A$3390,C$1,'United Data'!$C$3:$C$3390,$A155,'United Data'!$B$3:$B$3390,"&lt;&gt;Off-street")&gt;0,1,0)</f>
        <v>0</v>
      </c>
      <c r="D155">
        <f>IF(COUNTIFS('United Data'!$A$3:$A$3390,D$1,'United Data'!$C$3:$C$3390,$A155,'United Data'!$B$3:$B$3390,"&lt;&gt;Off-street")&gt;0,1,0)</f>
        <v>1</v>
      </c>
      <c r="E155">
        <f>IF(COUNTIFS('United Data'!$A$3:$A$3390,E$1,'United Data'!$C$3:$C$3390,$A155,'United Data'!$B$3:$B$3390,"&lt;&gt;Off-street")&gt;0,1,0)</f>
        <v>0</v>
      </c>
      <c r="F155">
        <f>IF(COUNTIFS('United Data'!$A$3:$A$3390,F$1,'United Data'!$C$3:$C$3390,$A155,'United Data'!$B$3:$B$3390,"&lt;&gt;Off-street")&gt;0,1,0)</f>
        <v>1</v>
      </c>
      <c r="G155">
        <f>IF(COUNTIFS('United Data'!$A$3:$A$3390,G$1,'United Data'!$C$3:$C$3390,$A155,'United Data'!$B$3:$B$3390,"&lt;&gt;Off-street")&gt;0,1,0)</f>
        <v>0</v>
      </c>
      <c r="H155">
        <f>IF(COUNTIFS('United Data'!$A$3:$A$3390,H$1,'United Data'!$C$3:$C$3390,$A155,'United Data'!$B$3:$B$3390,"&lt;&gt;Off-street")&gt;0,1,0)</f>
        <v>0</v>
      </c>
      <c r="I155">
        <f>IF(COUNTIFS('United Data'!$A$3:$A$3390,I$1,'United Data'!$C$3:$C$3390,$A155,'United Data'!$B$3:$B$3390,"&lt;&gt;Off-street")&gt;0,1,0)</f>
        <v>0</v>
      </c>
      <c r="J155">
        <f>IF(COUNTIFS('United Data'!$A$3:$A$3390,J$1,'United Data'!$C$3:$C$3390,$A155,'United Data'!$B$3:$B$3390,"&lt;&gt;Off-street")&gt;0,1,0)</f>
        <v>0</v>
      </c>
      <c r="K155">
        <f>IF(COUNTIFS('United Data'!$A$3:$A$3390,K$1,'United Data'!$C$3:$C$3390,$A155,'United Data'!$B$3:$B$3390,"&lt;&gt;Off-street")&gt;0,1,0)</f>
        <v>0</v>
      </c>
      <c r="L155">
        <f>IF(COUNTIFS('United Data'!$A$3:$A$3390,L$1,'United Data'!$C$3:$C$3390,$A155,'United Data'!$B$3:$B$3390,"&lt;&gt;Off-street")&gt;0,1,0)</f>
        <v>0</v>
      </c>
      <c r="M155">
        <f>IF(COUNTIFS('United Data'!$A$3:$A$3390,M$1,'United Data'!$C$3:$C$3390,$A155,'United Data'!$B$3:$B$3390,"&lt;&gt;Off-street")&gt;0,1,0)</f>
        <v>0</v>
      </c>
      <c r="N155">
        <f>IF(COUNTIFS('United Data'!$A$3:$A$3390,N$1,'United Data'!$C$3:$C$3390,$A155,'United Data'!$B$3:$B$3390,"&lt;&gt;Off-street")&gt;0,1,0)</f>
        <v>0</v>
      </c>
      <c r="O155">
        <f>IF(COUNTIFS('United Data'!$A$3:$A$3390,O$1,'United Data'!$C$3:$C$3390,$A155,'United Data'!$B$3:$B$3390,"&lt;&gt;Off-street")&gt;0,1,0)</f>
        <v>0</v>
      </c>
      <c r="P155">
        <f>IF(COUNTIFS('United Data'!$A$3:$A$3390,P$1,'United Data'!$C$3:$C$3390,$A155,'United Data'!$B$3:$B$3390,"&lt;&gt;Off-street")&gt;0,1,0)</f>
        <v>0</v>
      </c>
      <c r="Q155">
        <f>IF(COUNTIFS('United Data'!$A$3:$A$3390,Q$1,'United Data'!$C$3:$C$3390,$A155,'United Data'!$B$3:$B$3390,"&lt;&gt;Off-street")&gt;0,1,0)</f>
        <v>0</v>
      </c>
      <c r="R155">
        <f>IF(COUNTIFS('United Data'!$A$3:$A$3390,R$1,'United Data'!$C$3:$C$3390,$A155,'United Data'!$B$3:$B$3390,"&lt;&gt;Off-street")&gt;0,1,0)</f>
        <v>0</v>
      </c>
      <c r="S155">
        <f t="shared" si="4"/>
        <v>2</v>
      </c>
      <c r="T155">
        <f t="shared" si="5"/>
        <v>2</v>
      </c>
    </row>
    <row r="156" spans="1:20" x14ac:dyDescent="0.2">
      <c r="A156" t="s">
        <v>215</v>
      </c>
      <c r="B156">
        <f>IF(COUNTIFS('United Data'!$A$3:$A$3390,B$1,'United Data'!$C$3:$C$3390,$A156,'United Data'!$B$3:$B$3390,"&lt;&gt;Off-street")&gt;0,1,0)</f>
        <v>0</v>
      </c>
      <c r="C156">
        <f>IF(COUNTIFS('United Data'!$A$3:$A$3390,C$1,'United Data'!$C$3:$C$3390,$A156,'United Data'!$B$3:$B$3390,"&lt;&gt;Off-street")&gt;0,1,0)</f>
        <v>0</v>
      </c>
      <c r="D156">
        <f>IF(COUNTIFS('United Data'!$A$3:$A$3390,D$1,'United Data'!$C$3:$C$3390,$A156,'United Data'!$B$3:$B$3390,"&lt;&gt;Off-street")&gt;0,1,0)</f>
        <v>0</v>
      </c>
      <c r="E156">
        <f>IF(COUNTIFS('United Data'!$A$3:$A$3390,E$1,'United Data'!$C$3:$C$3390,$A156,'United Data'!$B$3:$B$3390,"&lt;&gt;Off-street")&gt;0,1,0)</f>
        <v>1</v>
      </c>
      <c r="F156">
        <f>IF(COUNTIFS('United Data'!$A$3:$A$3390,F$1,'United Data'!$C$3:$C$3390,$A156,'United Data'!$B$3:$B$3390,"&lt;&gt;Off-street")&gt;0,1,0)</f>
        <v>1</v>
      </c>
      <c r="G156">
        <f>IF(COUNTIFS('United Data'!$A$3:$A$3390,G$1,'United Data'!$C$3:$C$3390,$A156,'United Data'!$B$3:$B$3390,"&lt;&gt;Off-street")&gt;0,1,0)</f>
        <v>0</v>
      </c>
      <c r="H156">
        <f>IF(COUNTIFS('United Data'!$A$3:$A$3390,H$1,'United Data'!$C$3:$C$3390,$A156,'United Data'!$B$3:$B$3390,"&lt;&gt;Off-street")&gt;0,1,0)</f>
        <v>0</v>
      </c>
      <c r="I156">
        <f>IF(COUNTIFS('United Data'!$A$3:$A$3390,I$1,'United Data'!$C$3:$C$3390,$A156,'United Data'!$B$3:$B$3390,"&lt;&gt;Off-street")&gt;0,1,0)</f>
        <v>0</v>
      </c>
      <c r="J156">
        <f>IF(COUNTIFS('United Data'!$A$3:$A$3390,J$1,'United Data'!$C$3:$C$3390,$A156,'United Data'!$B$3:$B$3390,"&lt;&gt;Off-street")&gt;0,1,0)</f>
        <v>0</v>
      </c>
      <c r="K156">
        <f>IF(COUNTIFS('United Data'!$A$3:$A$3390,K$1,'United Data'!$C$3:$C$3390,$A156,'United Data'!$B$3:$B$3390,"&lt;&gt;Off-street")&gt;0,1,0)</f>
        <v>0</v>
      </c>
      <c r="L156">
        <f>IF(COUNTIFS('United Data'!$A$3:$A$3390,L$1,'United Data'!$C$3:$C$3390,$A156,'United Data'!$B$3:$B$3390,"&lt;&gt;Off-street")&gt;0,1,0)</f>
        <v>0</v>
      </c>
      <c r="M156">
        <f>IF(COUNTIFS('United Data'!$A$3:$A$3390,M$1,'United Data'!$C$3:$C$3390,$A156,'United Data'!$B$3:$B$3390,"&lt;&gt;Off-street")&gt;0,1,0)</f>
        <v>0</v>
      </c>
      <c r="N156">
        <f>IF(COUNTIFS('United Data'!$A$3:$A$3390,N$1,'United Data'!$C$3:$C$3390,$A156,'United Data'!$B$3:$B$3390,"&lt;&gt;Off-street")&gt;0,1,0)</f>
        <v>0</v>
      </c>
      <c r="O156">
        <f>IF(COUNTIFS('United Data'!$A$3:$A$3390,O$1,'United Data'!$C$3:$C$3390,$A156,'United Data'!$B$3:$B$3390,"&lt;&gt;Off-street")&gt;0,1,0)</f>
        <v>0</v>
      </c>
      <c r="P156">
        <f>IF(COUNTIFS('United Data'!$A$3:$A$3390,P$1,'United Data'!$C$3:$C$3390,$A156,'United Data'!$B$3:$B$3390,"&lt;&gt;Off-street")&gt;0,1,0)</f>
        <v>0</v>
      </c>
      <c r="Q156">
        <f>IF(COUNTIFS('United Data'!$A$3:$A$3390,Q$1,'United Data'!$C$3:$C$3390,$A156,'United Data'!$B$3:$B$3390,"&lt;&gt;Off-street")&gt;0,1,0)</f>
        <v>0</v>
      </c>
      <c r="R156">
        <f>IF(COUNTIFS('United Data'!$A$3:$A$3390,R$1,'United Data'!$C$3:$C$3390,$A156,'United Data'!$B$3:$B$3390,"&lt;&gt;Off-street")&gt;0,1,0)</f>
        <v>0</v>
      </c>
      <c r="S156">
        <f t="shared" si="4"/>
        <v>2</v>
      </c>
      <c r="T156">
        <f t="shared" si="5"/>
        <v>1</v>
      </c>
    </row>
    <row r="157" spans="1:20" x14ac:dyDescent="0.2">
      <c r="A157" t="s">
        <v>216</v>
      </c>
      <c r="B157">
        <f>IF(COUNTIFS('United Data'!$A$3:$A$3390,B$1,'United Data'!$C$3:$C$3390,$A157,'United Data'!$B$3:$B$3390,"&lt;&gt;Off-street")&gt;0,1,0)</f>
        <v>0</v>
      </c>
      <c r="C157">
        <f>IF(COUNTIFS('United Data'!$A$3:$A$3390,C$1,'United Data'!$C$3:$C$3390,$A157,'United Data'!$B$3:$B$3390,"&lt;&gt;Off-street")&gt;0,1,0)</f>
        <v>0</v>
      </c>
      <c r="D157">
        <f>IF(COUNTIFS('United Data'!$A$3:$A$3390,D$1,'United Data'!$C$3:$C$3390,$A157,'United Data'!$B$3:$B$3390,"&lt;&gt;Off-street")&gt;0,1,0)</f>
        <v>0</v>
      </c>
      <c r="E157">
        <f>IF(COUNTIFS('United Data'!$A$3:$A$3390,E$1,'United Data'!$C$3:$C$3390,$A157,'United Data'!$B$3:$B$3390,"&lt;&gt;Off-street")&gt;0,1,0)</f>
        <v>1</v>
      </c>
      <c r="F157">
        <f>IF(COUNTIFS('United Data'!$A$3:$A$3390,F$1,'United Data'!$C$3:$C$3390,$A157,'United Data'!$B$3:$B$3390,"&lt;&gt;Off-street")&gt;0,1,0)</f>
        <v>0</v>
      </c>
      <c r="G157">
        <f>IF(COUNTIFS('United Data'!$A$3:$A$3390,G$1,'United Data'!$C$3:$C$3390,$A157,'United Data'!$B$3:$B$3390,"&lt;&gt;Off-street")&gt;0,1,0)</f>
        <v>0</v>
      </c>
      <c r="H157">
        <f>IF(COUNTIFS('United Data'!$A$3:$A$3390,H$1,'United Data'!$C$3:$C$3390,$A157,'United Data'!$B$3:$B$3390,"&lt;&gt;Off-street")&gt;0,1,0)</f>
        <v>0</v>
      </c>
      <c r="I157">
        <f>IF(COUNTIFS('United Data'!$A$3:$A$3390,I$1,'United Data'!$C$3:$C$3390,$A157,'United Data'!$B$3:$B$3390,"&lt;&gt;Off-street")&gt;0,1,0)</f>
        <v>0</v>
      </c>
      <c r="J157">
        <f>IF(COUNTIFS('United Data'!$A$3:$A$3390,J$1,'United Data'!$C$3:$C$3390,$A157,'United Data'!$B$3:$B$3390,"&lt;&gt;Off-street")&gt;0,1,0)</f>
        <v>0</v>
      </c>
      <c r="K157">
        <f>IF(COUNTIFS('United Data'!$A$3:$A$3390,K$1,'United Data'!$C$3:$C$3390,$A157,'United Data'!$B$3:$B$3390,"&lt;&gt;Off-street")&gt;0,1,0)</f>
        <v>0</v>
      </c>
      <c r="L157">
        <f>IF(COUNTIFS('United Data'!$A$3:$A$3390,L$1,'United Data'!$C$3:$C$3390,$A157,'United Data'!$B$3:$B$3390,"&lt;&gt;Off-street")&gt;0,1,0)</f>
        <v>0</v>
      </c>
      <c r="M157">
        <f>IF(COUNTIFS('United Data'!$A$3:$A$3390,M$1,'United Data'!$C$3:$C$3390,$A157,'United Data'!$B$3:$B$3390,"&lt;&gt;Off-street")&gt;0,1,0)</f>
        <v>0</v>
      </c>
      <c r="N157">
        <f>IF(COUNTIFS('United Data'!$A$3:$A$3390,N$1,'United Data'!$C$3:$C$3390,$A157,'United Data'!$B$3:$B$3390,"&lt;&gt;Off-street")&gt;0,1,0)</f>
        <v>0</v>
      </c>
      <c r="O157">
        <f>IF(COUNTIFS('United Data'!$A$3:$A$3390,O$1,'United Data'!$C$3:$C$3390,$A157,'United Data'!$B$3:$B$3390,"&lt;&gt;Off-street")&gt;0,1,0)</f>
        <v>0</v>
      </c>
      <c r="P157">
        <f>IF(COUNTIFS('United Data'!$A$3:$A$3390,P$1,'United Data'!$C$3:$C$3390,$A157,'United Data'!$B$3:$B$3390,"&lt;&gt;Off-street")&gt;0,1,0)</f>
        <v>0</v>
      </c>
      <c r="Q157">
        <f>IF(COUNTIFS('United Data'!$A$3:$A$3390,Q$1,'United Data'!$C$3:$C$3390,$A157,'United Data'!$B$3:$B$3390,"&lt;&gt;Off-street")&gt;0,1,0)</f>
        <v>0</v>
      </c>
      <c r="R157">
        <f>IF(COUNTIFS('United Data'!$A$3:$A$3390,R$1,'United Data'!$C$3:$C$3390,$A157,'United Data'!$B$3:$B$3390,"&lt;&gt;Off-street")&gt;0,1,0)</f>
        <v>0</v>
      </c>
      <c r="S157">
        <f t="shared" si="4"/>
        <v>1</v>
      </c>
      <c r="T157">
        <f t="shared" si="5"/>
        <v>1</v>
      </c>
    </row>
    <row r="158" spans="1:20" x14ac:dyDescent="0.2">
      <c r="A158" t="s">
        <v>217</v>
      </c>
      <c r="B158">
        <f>IF(COUNTIFS('United Data'!$A$3:$A$3390,B$1,'United Data'!$C$3:$C$3390,$A158,'United Data'!$B$3:$B$3390,"&lt;&gt;Off-street")&gt;0,1,0)</f>
        <v>0</v>
      </c>
      <c r="C158">
        <f>IF(COUNTIFS('United Data'!$A$3:$A$3390,C$1,'United Data'!$C$3:$C$3390,$A158,'United Data'!$B$3:$B$3390,"&lt;&gt;Off-street")&gt;0,1,0)</f>
        <v>0</v>
      </c>
      <c r="D158">
        <f>IF(COUNTIFS('United Data'!$A$3:$A$3390,D$1,'United Data'!$C$3:$C$3390,$A158,'United Data'!$B$3:$B$3390,"&lt;&gt;Off-street")&gt;0,1,0)</f>
        <v>0</v>
      </c>
      <c r="E158">
        <f>IF(COUNTIFS('United Data'!$A$3:$A$3390,E$1,'United Data'!$C$3:$C$3390,$A158,'United Data'!$B$3:$B$3390,"&lt;&gt;Off-street")&gt;0,1,0)</f>
        <v>0</v>
      </c>
      <c r="F158">
        <f>IF(COUNTIFS('United Data'!$A$3:$A$3390,F$1,'United Data'!$C$3:$C$3390,$A158,'United Data'!$B$3:$B$3390,"&lt;&gt;Off-street")&gt;0,1,0)</f>
        <v>1</v>
      </c>
      <c r="G158">
        <f>IF(COUNTIFS('United Data'!$A$3:$A$3390,G$1,'United Data'!$C$3:$C$3390,$A158,'United Data'!$B$3:$B$3390,"&lt;&gt;Off-street")&gt;0,1,0)</f>
        <v>0</v>
      </c>
      <c r="H158">
        <f>IF(COUNTIFS('United Data'!$A$3:$A$3390,H$1,'United Data'!$C$3:$C$3390,$A158,'United Data'!$B$3:$B$3390,"&lt;&gt;Off-street")&gt;0,1,0)</f>
        <v>0</v>
      </c>
      <c r="I158">
        <f>IF(COUNTIFS('United Data'!$A$3:$A$3390,I$1,'United Data'!$C$3:$C$3390,$A158,'United Data'!$B$3:$B$3390,"&lt;&gt;Off-street")&gt;0,1,0)</f>
        <v>0</v>
      </c>
      <c r="J158">
        <f>IF(COUNTIFS('United Data'!$A$3:$A$3390,J$1,'United Data'!$C$3:$C$3390,$A158,'United Data'!$B$3:$B$3390,"&lt;&gt;Off-street")&gt;0,1,0)</f>
        <v>0</v>
      </c>
      <c r="K158">
        <f>IF(COUNTIFS('United Data'!$A$3:$A$3390,K$1,'United Data'!$C$3:$C$3390,$A158,'United Data'!$B$3:$B$3390,"&lt;&gt;Off-street")&gt;0,1,0)</f>
        <v>0</v>
      </c>
      <c r="L158">
        <f>IF(COUNTIFS('United Data'!$A$3:$A$3390,L$1,'United Data'!$C$3:$C$3390,$A158,'United Data'!$B$3:$B$3390,"&lt;&gt;Off-street")&gt;0,1,0)</f>
        <v>0</v>
      </c>
      <c r="M158">
        <f>IF(COUNTIFS('United Data'!$A$3:$A$3390,M$1,'United Data'!$C$3:$C$3390,$A158,'United Data'!$B$3:$B$3390,"&lt;&gt;Off-street")&gt;0,1,0)</f>
        <v>0</v>
      </c>
      <c r="N158">
        <f>IF(COUNTIFS('United Data'!$A$3:$A$3390,N$1,'United Data'!$C$3:$C$3390,$A158,'United Data'!$B$3:$B$3390,"&lt;&gt;Off-street")&gt;0,1,0)</f>
        <v>0</v>
      </c>
      <c r="O158">
        <f>IF(COUNTIFS('United Data'!$A$3:$A$3390,O$1,'United Data'!$C$3:$C$3390,$A158,'United Data'!$B$3:$B$3390,"&lt;&gt;Off-street")&gt;0,1,0)</f>
        <v>0</v>
      </c>
      <c r="P158">
        <f>IF(COUNTIFS('United Data'!$A$3:$A$3390,P$1,'United Data'!$C$3:$C$3390,$A158,'United Data'!$B$3:$B$3390,"&lt;&gt;Off-street")&gt;0,1,0)</f>
        <v>0</v>
      </c>
      <c r="Q158">
        <f>IF(COUNTIFS('United Data'!$A$3:$A$3390,Q$1,'United Data'!$C$3:$C$3390,$A158,'United Data'!$B$3:$B$3390,"&lt;&gt;Off-street")&gt;0,1,0)</f>
        <v>0</v>
      </c>
      <c r="R158">
        <f>IF(COUNTIFS('United Data'!$A$3:$A$3390,R$1,'United Data'!$C$3:$C$3390,$A158,'United Data'!$B$3:$B$3390,"&lt;&gt;Off-street")&gt;0,1,0)</f>
        <v>0</v>
      </c>
      <c r="S158">
        <f t="shared" si="4"/>
        <v>1</v>
      </c>
      <c r="T158">
        <f t="shared" si="5"/>
        <v>1</v>
      </c>
    </row>
    <row r="159" spans="1:20" x14ac:dyDescent="0.2">
      <c r="A159" t="s">
        <v>218</v>
      </c>
      <c r="B159">
        <f>IF(COUNTIFS('United Data'!$A$3:$A$3390,B$1,'United Data'!$C$3:$C$3390,$A159,'United Data'!$B$3:$B$3390,"&lt;&gt;Off-street")&gt;0,1,0)</f>
        <v>0</v>
      </c>
      <c r="C159">
        <f>IF(COUNTIFS('United Data'!$A$3:$A$3390,C$1,'United Data'!$C$3:$C$3390,$A159,'United Data'!$B$3:$B$3390,"&lt;&gt;Off-street")&gt;0,1,0)</f>
        <v>0</v>
      </c>
      <c r="D159">
        <f>IF(COUNTIFS('United Data'!$A$3:$A$3390,D$1,'United Data'!$C$3:$C$3390,$A159,'United Data'!$B$3:$B$3390,"&lt;&gt;Off-street")&gt;0,1,0)</f>
        <v>0</v>
      </c>
      <c r="E159">
        <f>IF(COUNTIFS('United Data'!$A$3:$A$3390,E$1,'United Data'!$C$3:$C$3390,$A159,'United Data'!$B$3:$B$3390,"&lt;&gt;Off-street")&gt;0,1,0)</f>
        <v>0</v>
      </c>
      <c r="F159">
        <f>IF(COUNTIFS('United Data'!$A$3:$A$3390,F$1,'United Data'!$C$3:$C$3390,$A159,'United Data'!$B$3:$B$3390,"&lt;&gt;Off-street")&gt;0,1,0)</f>
        <v>1</v>
      </c>
      <c r="G159">
        <f>IF(COUNTIFS('United Data'!$A$3:$A$3390,G$1,'United Data'!$C$3:$C$3390,$A159,'United Data'!$B$3:$B$3390,"&lt;&gt;Off-street")&gt;0,1,0)</f>
        <v>0</v>
      </c>
      <c r="H159">
        <f>IF(COUNTIFS('United Data'!$A$3:$A$3390,H$1,'United Data'!$C$3:$C$3390,$A159,'United Data'!$B$3:$B$3390,"&lt;&gt;Off-street")&gt;0,1,0)</f>
        <v>0</v>
      </c>
      <c r="I159">
        <f>IF(COUNTIFS('United Data'!$A$3:$A$3390,I$1,'United Data'!$C$3:$C$3390,$A159,'United Data'!$B$3:$B$3390,"&lt;&gt;Off-street")&gt;0,1,0)</f>
        <v>0</v>
      </c>
      <c r="J159">
        <f>IF(COUNTIFS('United Data'!$A$3:$A$3390,J$1,'United Data'!$C$3:$C$3390,$A159,'United Data'!$B$3:$B$3390,"&lt;&gt;Off-street")&gt;0,1,0)</f>
        <v>0</v>
      </c>
      <c r="K159">
        <f>IF(COUNTIFS('United Data'!$A$3:$A$3390,K$1,'United Data'!$C$3:$C$3390,$A159,'United Data'!$B$3:$B$3390,"&lt;&gt;Off-street")&gt;0,1,0)</f>
        <v>0</v>
      </c>
      <c r="L159">
        <f>IF(COUNTIFS('United Data'!$A$3:$A$3390,L$1,'United Data'!$C$3:$C$3390,$A159,'United Data'!$B$3:$B$3390,"&lt;&gt;Off-street")&gt;0,1,0)</f>
        <v>0</v>
      </c>
      <c r="M159">
        <f>IF(COUNTIFS('United Data'!$A$3:$A$3390,M$1,'United Data'!$C$3:$C$3390,$A159,'United Data'!$B$3:$B$3390,"&lt;&gt;Off-street")&gt;0,1,0)</f>
        <v>0</v>
      </c>
      <c r="N159">
        <f>IF(COUNTIFS('United Data'!$A$3:$A$3390,N$1,'United Data'!$C$3:$C$3390,$A159,'United Data'!$B$3:$B$3390,"&lt;&gt;Off-street")&gt;0,1,0)</f>
        <v>0</v>
      </c>
      <c r="O159">
        <f>IF(COUNTIFS('United Data'!$A$3:$A$3390,O$1,'United Data'!$C$3:$C$3390,$A159,'United Data'!$B$3:$B$3390,"&lt;&gt;Off-street")&gt;0,1,0)</f>
        <v>0</v>
      </c>
      <c r="P159">
        <f>IF(COUNTIFS('United Data'!$A$3:$A$3390,P$1,'United Data'!$C$3:$C$3390,$A159,'United Data'!$B$3:$B$3390,"&lt;&gt;Off-street")&gt;0,1,0)</f>
        <v>0</v>
      </c>
      <c r="Q159">
        <f>IF(COUNTIFS('United Data'!$A$3:$A$3390,Q$1,'United Data'!$C$3:$C$3390,$A159,'United Data'!$B$3:$B$3390,"&lt;&gt;Off-street")&gt;0,1,0)</f>
        <v>0</v>
      </c>
      <c r="R159">
        <f>IF(COUNTIFS('United Data'!$A$3:$A$3390,R$1,'United Data'!$C$3:$C$3390,$A159,'United Data'!$B$3:$B$3390,"&lt;&gt;Off-street")&gt;0,1,0)</f>
        <v>0</v>
      </c>
      <c r="S159">
        <f t="shared" si="4"/>
        <v>1</v>
      </c>
      <c r="T159">
        <f t="shared" si="5"/>
        <v>1</v>
      </c>
    </row>
    <row r="160" spans="1:20" x14ac:dyDescent="0.2">
      <c r="A160" t="s">
        <v>219</v>
      </c>
      <c r="B160">
        <f>IF(COUNTIFS('United Data'!$A$3:$A$3390,B$1,'United Data'!$C$3:$C$3390,$A160,'United Data'!$B$3:$B$3390,"&lt;&gt;Off-street")&gt;0,1,0)</f>
        <v>0</v>
      </c>
      <c r="C160">
        <f>IF(COUNTIFS('United Data'!$A$3:$A$3390,C$1,'United Data'!$C$3:$C$3390,$A160,'United Data'!$B$3:$B$3390,"&lt;&gt;Off-street")&gt;0,1,0)</f>
        <v>0</v>
      </c>
      <c r="D160">
        <f>IF(COUNTIFS('United Data'!$A$3:$A$3390,D$1,'United Data'!$C$3:$C$3390,$A160,'United Data'!$B$3:$B$3390,"&lt;&gt;Off-street")&gt;0,1,0)</f>
        <v>0</v>
      </c>
      <c r="E160">
        <f>IF(COUNTIFS('United Data'!$A$3:$A$3390,E$1,'United Data'!$C$3:$C$3390,$A160,'United Data'!$B$3:$B$3390,"&lt;&gt;Off-street")&gt;0,1,0)</f>
        <v>0</v>
      </c>
      <c r="F160">
        <f>IF(COUNTIFS('United Data'!$A$3:$A$3390,F$1,'United Data'!$C$3:$C$3390,$A160,'United Data'!$B$3:$B$3390,"&lt;&gt;Off-street")&gt;0,1,0)</f>
        <v>1</v>
      </c>
      <c r="G160">
        <f>IF(COUNTIFS('United Data'!$A$3:$A$3390,G$1,'United Data'!$C$3:$C$3390,$A160,'United Data'!$B$3:$B$3390,"&lt;&gt;Off-street")&gt;0,1,0)</f>
        <v>0</v>
      </c>
      <c r="H160">
        <f>IF(COUNTIFS('United Data'!$A$3:$A$3390,H$1,'United Data'!$C$3:$C$3390,$A160,'United Data'!$B$3:$B$3390,"&lt;&gt;Off-street")&gt;0,1,0)</f>
        <v>0</v>
      </c>
      <c r="I160">
        <f>IF(COUNTIFS('United Data'!$A$3:$A$3390,I$1,'United Data'!$C$3:$C$3390,$A160,'United Data'!$B$3:$B$3390,"&lt;&gt;Off-street")&gt;0,1,0)</f>
        <v>0</v>
      </c>
      <c r="J160">
        <f>IF(COUNTIFS('United Data'!$A$3:$A$3390,J$1,'United Data'!$C$3:$C$3390,$A160,'United Data'!$B$3:$B$3390,"&lt;&gt;Off-street")&gt;0,1,0)</f>
        <v>0</v>
      </c>
      <c r="K160">
        <f>IF(COUNTIFS('United Data'!$A$3:$A$3390,K$1,'United Data'!$C$3:$C$3390,$A160,'United Data'!$B$3:$B$3390,"&lt;&gt;Off-street")&gt;0,1,0)</f>
        <v>0</v>
      </c>
      <c r="L160">
        <f>IF(COUNTIFS('United Data'!$A$3:$A$3390,L$1,'United Data'!$C$3:$C$3390,$A160,'United Data'!$B$3:$B$3390,"&lt;&gt;Off-street")&gt;0,1,0)</f>
        <v>0</v>
      </c>
      <c r="M160">
        <f>IF(COUNTIFS('United Data'!$A$3:$A$3390,M$1,'United Data'!$C$3:$C$3390,$A160,'United Data'!$B$3:$B$3390,"&lt;&gt;Off-street")&gt;0,1,0)</f>
        <v>0</v>
      </c>
      <c r="N160">
        <f>IF(COUNTIFS('United Data'!$A$3:$A$3390,N$1,'United Data'!$C$3:$C$3390,$A160,'United Data'!$B$3:$B$3390,"&lt;&gt;Off-street")&gt;0,1,0)</f>
        <v>0</v>
      </c>
      <c r="O160">
        <f>IF(COUNTIFS('United Data'!$A$3:$A$3390,O$1,'United Data'!$C$3:$C$3390,$A160,'United Data'!$B$3:$B$3390,"&lt;&gt;Off-street")&gt;0,1,0)</f>
        <v>0</v>
      </c>
      <c r="P160">
        <f>IF(COUNTIFS('United Data'!$A$3:$A$3390,P$1,'United Data'!$C$3:$C$3390,$A160,'United Data'!$B$3:$B$3390,"&lt;&gt;Off-street")&gt;0,1,0)</f>
        <v>0</v>
      </c>
      <c r="Q160">
        <f>IF(COUNTIFS('United Data'!$A$3:$A$3390,Q$1,'United Data'!$C$3:$C$3390,$A160,'United Data'!$B$3:$B$3390,"&lt;&gt;Off-street")&gt;0,1,0)</f>
        <v>0</v>
      </c>
      <c r="R160">
        <f>IF(COUNTIFS('United Data'!$A$3:$A$3390,R$1,'United Data'!$C$3:$C$3390,$A160,'United Data'!$B$3:$B$3390,"&lt;&gt;Off-street")&gt;0,1,0)</f>
        <v>0</v>
      </c>
      <c r="S160">
        <f t="shared" si="4"/>
        <v>1</v>
      </c>
      <c r="T160">
        <f t="shared" si="5"/>
        <v>1</v>
      </c>
    </row>
    <row r="161" spans="1:20" x14ac:dyDescent="0.2">
      <c r="A161" t="s">
        <v>221</v>
      </c>
      <c r="B161">
        <f>IF(COUNTIFS('United Data'!$A$3:$A$3390,B$1,'United Data'!$C$3:$C$3390,$A161,'United Data'!$B$3:$B$3390,"&lt;&gt;Off-street")&gt;0,1,0)</f>
        <v>0</v>
      </c>
      <c r="C161">
        <f>IF(COUNTIFS('United Data'!$A$3:$A$3390,C$1,'United Data'!$C$3:$C$3390,$A161,'United Data'!$B$3:$B$3390,"&lt;&gt;Off-street")&gt;0,1,0)</f>
        <v>0</v>
      </c>
      <c r="D161">
        <f>IF(COUNTIFS('United Data'!$A$3:$A$3390,D$1,'United Data'!$C$3:$C$3390,$A161,'United Data'!$B$3:$B$3390,"&lt;&gt;Off-street")&gt;0,1,0)</f>
        <v>0</v>
      </c>
      <c r="E161">
        <f>IF(COUNTIFS('United Data'!$A$3:$A$3390,E$1,'United Data'!$C$3:$C$3390,$A161,'United Data'!$B$3:$B$3390,"&lt;&gt;Off-street")&gt;0,1,0)</f>
        <v>0</v>
      </c>
      <c r="F161">
        <f>IF(COUNTIFS('United Data'!$A$3:$A$3390,F$1,'United Data'!$C$3:$C$3390,$A161,'United Data'!$B$3:$B$3390,"&lt;&gt;Off-street")&gt;0,1,0)</f>
        <v>0</v>
      </c>
      <c r="G161">
        <f>IF(COUNTIFS('United Data'!$A$3:$A$3390,G$1,'United Data'!$C$3:$C$3390,$A161,'United Data'!$B$3:$B$3390,"&lt;&gt;Off-street")&gt;0,1,0)</f>
        <v>1</v>
      </c>
      <c r="H161">
        <f>IF(COUNTIFS('United Data'!$A$3:$A$3390,H$1,'United Data'!$C$3:$C$3390,$A161,'United Data'!$B$3:$B$3390,"&lt;&gt;Off-street")&gt;0,1,0)</f>
        <v>0</v>
      </c>
      <c r="I161">
        <f>IF(COUNTIFS('United Data'!$A$3:$A$3390,I$1,'United Data'!$C$3:$C$3390,$A161,'United Data'!$B$3:$B$3390,"&lt;&gt;Off-street")&gt;0,1,0)</f>
        <v>0</v>
      </c>
      <c r="J161">
        <f>IF(COUNTIFS('United Data'!$A$3:$A$3390,J$1,'United Data'!$C$3:$C$3390,$A161,'United Data'!$B$3:$B$3390,"&lt;&gt;Off-street")&gt;0,1,0)</f>
        <v>0</v>
      </c>
      <c r="K161">
        <f>IF(COUNTIFS('United Data'!$A$3:$A$3390,K$1,'United Data'!$C$3:$C$3390,$A161,'United Data'!$B$3:$B$3390,"&lt;&gt;Off-street")&gt;0,1,0)</f>
        <v>0</v>
      </c>
      <c r="L161">
        <f>IF(COUNTIFS('United Data'!$A$3:$A$3390,L$1,'United Data'!$C$3:$C$3390,$A161,'United Data'!$B$3:$B$3390,"&lt;&gt;Off-street")&gt;0,1,0)</f>
        <v>0</v>
      </c>
      <c r="M161">
        <f>IF(COUNTIFS('United Data'!$A$3:$A$3390,M$1,'United Data'!$C$3:$C$3390,$A161,'United Data'!$B$3:$B$3390,"&lt;&gt;Off-street")&gt;0,1,0)</f>
        <v>0</v>
      </c>
      <c r="N161">
        <f>IF(COUNTIFS('United Data'!$A$3:$A$3390,N$1,'United Data'!$C$3:$C$3390,$A161,'United Data'!$B$3:$B$3390,"&lt;&gt;Off-street")&gt;0,1,0)</f>
        <v>0</v>
      </c>
      <c r="O161">
        <f>IF(COUNTIFS('United Data'!$A$3:$A$3390,O$1,'United Data'!$C$3:$C$3390,$A161,'United Data'!$B$3:$B$3390,"&lt;&gt;Off-street")&gt;0,1,0)</f>
        <v>0</v>
      </c>
      <c r="P161">
        <f>IF(COUNTIFS('United Data'!$A$3:$A$3390,P$1,'United Data'!$C$3:$C$3390,$A161,'United Data'!$B$3:$B$3390,"&lt;&gt;Off-street")&gt;0,1,0)</f>
        <v>0</v>
      </c>
      <c r="Q161">
        <f>IF(COUNTIFS('United Data'!$A$3:$A$3390,Q$1,'United Data'!$C$3:$C$3390,$A161,'United Data'!$B$3:$B$3390,"&lt;&gt;Off-street")&gt;0,1,0)</f>
        <v>0</v>
      </c>
      <c r="R161">
        <f>IF(COUNTIFS('United Data'!$A$3:$A$3390,R$1,'United Data'!$C$3:$C$3390,$A161,'United Data'!$B$3:$B$3390,"&lt;&gt;Off-street")&gt;0,1,0)</f>
        <v>0</v>
      </c>
      <c r="S161">
        <f t="shared" si="4"/>
        <v>1</v>
      </c>
      <c r="T161">
        <f t="shared" si="5"/>
        <v>1</v>
      </c>
    </row>
    <row r="162" spans="1:20" x14ac:dyDescent="0.2">
      <c r="A162" t="s">
        <v>222</v>
      </c>
      <c r="B162">
        <f>IF(COUNTIFS('United Data'!$A$3:$A$3390,B$1,'United Data'!$C$3:$C$3390,$A162,'United Data'!$B$3:$B$3390,"&lt;&gt;Off-street")&gt;0,1,0)</f>
        <v>0</v>
      </c>
      <c r="C162">
        <f>IF(COUNTIFS('United Data'!$A$3:$A$3390,C$1,'United Data'!$C$3:$C$3390,$A162,'United Data'!$B$3:$B$3390,"&lt;&gt;Off-street")&gt;0,1,0)</f>
        <v>0</v>
      </c>
      <c r="D162">
        <f>IF(COUNTIFS('United Data'!$A$3:$A$3390,D$1,'United Data'!$C$3:$C$3390,$A162,'United Data'!$B$3:$B$3390,"&lt;&gt;Off-street")&gt;0,1,0)</f>
        <v>0</v>
      </c>
      <c r="E162">
        <f>IF(COUNTIFS('United Data'!$A$3:$A$3390,E$1,'United Data'!$C$3:$C$3390,$A162,'United Data'!$B$3:$B$3390,"&lt;&gt;Off-street")&gt;0,1,0)</f>
        <v>0</v>
      </c>
      <c r="F162">
        <f>IF(COUNTIFS('United Data'!$A$3:$A$3390,F$1,'United Data'!$C$3:$C$3390,$A162,'United Data'!$B$3:$B$3390,"&lt;&gt;Off-street")&gt;0,1,0)</f>
        <v>0</v>
      </c>
      <c r="G162">
        <f>IF(COUNTIFS('United Data'!$A$3:$A$3390,G$1,'United Data'!$C$3:$C$3390,$A162,'United Data'!$B$3:$B$3390,"&lt;&gt;Off-street")&gt;0,1,0)</f>
        <v>0</v>
      </c>
      <c r="H162">
        <f>IF(COUNTIFS('United Data'!$A$3:$A$3390,H$1,'United Data'!$C$3:$C$3390,$A162,'United Data'!$B$3:$B$3390,"&lt;&gt;Off-street")&gt;0,1,0)</f>
        <v>1</v>
      </c>
      <c r="I162">
        <f>IF(COUNTIFS('United Data'!$A$3:$A$3390,I$1,'United Data'!$C$3:$C$3390,$A162,'United Data'!$B$3:$B$3390,"&lt;&gt;Off-street")&gt;0,1,0)</f>
        <v>0</v>
      </c>
      <c r="J162">
        <f>IF(COUNTIFS('United Data'!$A$3:$A$3390,J$1,'United Data'!$C$3:$C$3390,$A162,'United Data'!$B$3:$B$3390,"&lt;&gt;Off-street")&gt;0,1,0)</f>
        <v>0</v>
      </c>
      <c r="K162">
        <f>IF(COUNTIFS('United Data'!$A$3:$A$3390,K$1,'United Data'!$C$3:$C$3390,$A162,'United Data'!$B$3:$B$3390,"&lt;&gt;Off-street")&gt;0,1,0)</f>
        <v>0</v>
      </c>
      <c r="L162">
        <f>IF(COUNTIFS('United Data'!$A$3:$A$3390,L$1,'United Data'!$C$3:$C$3390,$A162,'United Data'!$B$3:$B$3390,"&lt;&gt;Off-street")&gt;0,1,0)</f>
        <v>0</v>
      </c>
      <c r="M162">
        <f>IF(COUNTIFS('United Data'!$A$3:$A$3390,M$1,'United Data'!$C$3:$C$3390,$A162,'United Data'!$B$3:$B$3390,"&lt;&gt;Off-street")&gt;0,1,0)</f>
        <v>0</v>
      </c>
      <c r="N162">
        <f>IF(COUNTIFS('United Data'!$A$3:$A$3390,N$1,'United Data'!$C$3:$C$3390,$A162,'United Data'!$B$3:$B$3390,"&lt;&gt;Off-street")&gt;0,1,0)</f>
        <v>0</v>
      </c>
      <c r="O162">
        <f>IF(COUNTIFS('United Data'!$A$3:$A$3390,O$1,'United Data'!$C$3:$C$3390,$A162,'United Data'!$B$3:$B$3390,"&lt;&gt;Off-street")&gt;0,1,0)</f>
        <v>0</v>
      </c>
      <c r="P162">
        <f>IF(COUNTIFS('United Data'!$A$3:$A$3390,P$1,'United Data'!$C$3:$C$3390,$A162,'United Data'!$B$3:$B$3390,"&lt;&gt;Off-street")&gt;0,1,0)</f>
        <v>0</v>
      </c>
      <c r="Q162">
        <f>IF(COUNTIFS('United Data'!$A$3:$A$3390,Q$1,'United Data'!$C$3:$C$3390,$A162,'United Data'!$B$3:$B$3390,"&lt;&gt;Off-street")&gt;0,1,0)</f>
        <v>1</v>
      </c>
      <c r="R162">
        <f>IF(COUNTIFS('United Data'!$A$3:$A$3390,R$1,'United Data'!$C$3:$C$3390,$A162,'United Data'!$B$3:$B$3390,"&lt;&gt;Off-street")&gt;0,1,0)</f>
        <v>1</v>
      </c>
      <c r="S162">
        <f t="shared" si="4"/>
        <v>3</v>
      </c>
      <c r="T162">
        <f t="shared" si="5"/>
        <v>2</v>
      </c>
    </row>
    <row r="163" spans="1:20" x14ac:dyDescent="0.2">
      <c r="A163" t="s">
        <v>223</v>
      </c>
      <c r="B163">
        <f>IF(COUNTIFS('United Data'!$A$3:$A$3390,B$1,'United Data'!$C$3:$C$3390,$A163,'United Data'!$B$3:$B$3390,"&lt;&gt;Off-street")&gt;0,1,0)</f>
        <v>0</v>
      </c>
      <c r="C163">
        <f>IF(COUNTIFS('United Data'!$A$3:$A$3390,C$1,'United Data'!$C$3:$C$3390,$A163,'United Data'!$B$3:$B$3390,"&lt;&gt;Off-street")&gt;0,1,0)</f>
        <v>0</v>
      </c>
      <c r="D163">
        <f>IF(COUNTIFS('United Data'!$A$3:$A$3390,D$1,'United Data'!$C$3:$C$3390,$A163,'United Data'!$B$3:$B$3390,"&lt;&gt;Off-street")&gt;0,1,0)</f>
        <v>1</v>
      </c>
      <c r="E163">
        <f>IF(COUNTIFS('United Data'!$A$3:$A$3390,E$1,'United Data'!$C$3:$C$3390,$A163,'United Data'!$B$3:$B$3390,"&lt;&gt;Off-street")&gt;0,1,0)</f>
        <v>1</v>
      </c>
      <c r="F163">
        <f>IF(COUNTIFS('United Data'!$A$3:$A$3390,F$1,'United Data'!$C$3:$C$3390,$A163,'United Data'!$B$3:$B$3390,"&lt;&gt;Off-street")&gt;0,1,0)</f>
        <v>0</v>
      </c>
      <c r="G163">
        <f>IF(COUNTIFS('United Data'!$A$3:$A$3390,G$1,'United Data'!$C$3:$C$3390,$A163,'United Data'!$B$3:$B$3390,"&lt;&gt;Off-street")&gt;0,1,0)</f>
        <v>1</v>
      </c>
      <c r="H163">
        <f>IF(COUNTIFS('United Data'!$A$3:$A$3390,H$1,'United Data'!$C$3:$C$3390,$A163,'United Data'!$B$3:$B$3390,"&lt;&gt;Off-street")&gt;0,1,0)</f>
        <v>1</v>
      </c>
      <c r="I163">
        <f>IF(COUNTIFS('United Data'!$A$3:$A$3390,I$1,'United Data'!$C$3:$C$3390,$A163,'United Data'!$B$3:$B$3390,"&lt;&gt;Off-street")&gt;0,1,0)</f>
        <v>0</v>
      </c>
      <c r="J163">
        <f>IF(COUNTIFS('United Data'!$A$3:$A$3390,J$1,'United Data'!$C$3:$C$3390,$A163,'United Data'!$B$3:$B$3390,"&lt;&gt;Off-street")&gt;0,1,0)</f>
        <v>0</v>
      </c>
      <c r="K163">
        <f>IF(COUNTIFS('United Data'!$A$3:$A$3390,K$1,'United Data'!$C$3:$C$3390,$A163,'United Data'!$B$3:$B$3390,"&lt;&gt;Off-street")&gt;0,1,0)</f>
        <v>1</v>
      </c>
      <c r="L163">
        <f>IF(COUNTIFS('United Data'!$A$3:$A$3390,L$1,'United Data'!$C$3:$C$3390,$A163,'United Data'!$B$3:$B$3390,"&lt;&gt;Off-street")&gt;0,1,0)</f>
        <v>0</v>
      </c>
      <c r="M163">
        <f>IF(COUNTIFS('United Data'!$A$3:$A$3390,M$1,'United Data'!$C$3:$C$3390,$A163,'United Data'!$B$3:$B$3390,"&lt;&gt;Off-street")&gt;0,1,0)</f>
        <v>0</v>
      </c>
      <c r="N163">
        <f>IF(COUNTIFS('United Data'!$A$3:$A$3390,N$1,'United Data'!$C$3:$C$3390,$A163,'United Data'!$B$3:$B$3390,"&lt;&gt;Off-street")&gt;0,1,0)</f>
        <v>0</v>
      </c>
      <c r="O163">
        <f>IF(COUNTIFS('United Data'!$A$3:$A$3390,O$1,'United Data'!$C$3:$C$3390,$A163,'United Data'!$B$3:$B$3390,"&lt;&gt;Off-street")&gt;0,1,0)</f>
        <v>1</v>
      </c>
      <c r="P163">
        <f>IF(COUNTIFS('United Data'!$A$3:$A$3390,P$1,'United Data'!$C$3:$C$3390,$A163,'United Data'!$B$3:$B$3390,"&lt;&gt;Off-street")&gt;0,1,0)</f>
        <v>1</v>
      </c>
      <c r="Q163">
        <f>IF(COUNTIFS('United Data'!$A$3:$A$3390,Q$1,'United Data'!$C$3:$C$3390,$A163,'United Data'!$B$3:$B$3390,"&lt;&gt;Off-street")&gt;0,1,0)</f>
        <v>0</v>
      </c>
      <c r="R163">
        <f>IF(COUNTIFS('United Data'!$A$3:$A$3390,R$1,'United Data'!$C$3:$C$3390,$A163,'United Data'!$B$3:$B$3390,"&lt;&gt;Off-street")&gt;0,1,0)</f>
        <v>1</v>
      </c>
      <c r="S163">
        <f t="shared" si="4"/>
        <v>8</v>
      </c>
      <c r="T163">
        <f t="shared" si="5"/>
        <v>5</v>
      </c>
    </row>
    <row r="164" spans="1:20" x14ac:dyDescent="0.2">
      <c r="A164" t="s">
        <v>224</v>
      </c>
      <c r="B164">
        <f>IF(COUNTIFS('United Data'!$A$3:$A$3390,B$1,'United Data'!$C$3:$C$3390,$A164,'United Data'!$B$3:$B$3390,"&lt;&gt;Off-street")&gt;0,1,0)</f>
        <v>0</v>
      </c>
      <c r="C164">
        <f>IF(COUNTIFS('United Data'!$A$3:$A$3390,C$1,'United Data'!$C$3:$C$3390,$A164,'United Data'!$B$3:$B$3390,"&lt;&gt;Off-street")&gt;0,1,0)</f>
        <v>0</v>
      </c>
      <c r="D164">
        <f>IF(COUNTIFS('United Data'!$A$3:$A$3390,D$1,'United Data'!$C$3:$C$3390,$A164,'United Data'!$B$3:$B$3390,"&lt;&gt;Off-street")&gt;0,1,0)</f>
        <v>0</v>
      </c>
      <c r="E164">
        <f>IF(COUNTIFS('United Data'!$A$3:$A$3390,E$1,'United Data'!$C$3:$C$3390,$A164,'United Data'!$B$3:$B$3390,"&lt;&gt;Off-street")&gt;0,1,0)</f>
        <v>0</v>
      </c>
      <c r="F164">
        <f>IF(COUNTIFS('United Data'!$A$3:$A$3390,F$1,'United Data'!$C$3:$C$3390,$A164,'United Data'!$B$3:$B$3390,"&lt;&gt;Off-street")&gt;0,1,0)</f>
        <v>0</v>
      </c>
      <c r="G164">
        <f>IF(COUNTIFS('United Data'!$A$3:$A$3390,G$1,'United Data'!$C$3:$C$3390,$A164,'United Data'!$B$3:$B$3390,"&lt;&gt;Off-street")&gt;0,1,0)</f>
        <v>0</v>
      </c>
      <c r="H164">
        <f>IF(COUNTIFS('United Data'!$A$3:$A$3390,H$1,'United Data'!$C$3:$C$3390,$A164,'United Data'!$B$3:$B$3390,"&lt;&gt;Off-street")&gt;0,1,0)</f>
        <v>0</v>
      </c>
      <c r="I164">
        <f>IF(COUNTIFS('United Data'!$A$3:$A$3390,I$1,'United Data'!$C$3:$C$3390,$A164,'United Data'!$B$3:$B$3390,"&lt;&gt;Off-street")&gt;0,1,0)</f>
        <v>1</v>
      </c>
      <c r="J164">
        <f>IF(COUNTIFS('United Data'!$A$3:$A$3390,J$1,'United Data'!$C$3:$C$3390,$A164,'United Data'!$B$3:$B$3390,"&lt;&gt;Off-street")&gt;0,1,0)</f>
        <v>0</v>
      </c>
      <c r="K164">
        <f>IF(COUNTIFS('United Data'!$A$3:$A$3390,K$1,'United Data'!$C$3:$C$3390,$A164,'United Data'!$B$3:$B$3390,"&lt;&gt;Off-street")&gt;0,1,0)</f>
        <v>0</v>
      </c>
      <c r="L164">
        <f>IF(COUNTIFS('United Data'!$A$3:$A$3390,L$1,'United Data'!$C$3:$C$3390,$A164,'United Data'!$B$3:$B$3390,"&lt;&gt;Off-street")&gt;0,1,0)</f>
        <v>0</v>
      </c>
      <c r="M164">
        <f>IF(COUNTIFS('United Data'!$A$3:$A$3390,M$1,'United Data'!$C$3:$C$3390,$A164,'United Data'!$B$3:$B$3390,"&lt;&gt;Off-street")&gt;0,1,0)</f>
        <v>0</v>
      </c>
      <c r="N164">
        <f>IF(COUNTIFS('United Data'!$A$3:$A$3390,N$1,'United Data'!$C$3:$C$3390,$A164,'United Data'!$B$3:$B$3390,"&lt;&gt;Off-street")&gt;0,1,0)</f>
        <v>0</v>
      </c>
      <c r="O164">
        <f>IF(COUNTIFS('United Data'!$A$3:$A$3390,O$1,'United Data'!$C$3:$C$3390,$A164,'United Data'!$B$3:$B$3390,"&lt;&gt;Off-street")&gt;0,1,0)</f>
        <v>0</v>
      </c>
      <c r="P164">
        <f>IF(COUNTIFS('United Data'!$A$3:$A$3390,P$1,'United Data'!$C$3:$C$3390,$A164,'United Data'!$B$3:$B$3390,"&lt;&gt;Off-street")&gt;0,1,0)</f>
        <v>0</v>
      </c>
      <c r="Q164">
        <f>IF(COUNTIFS('United Data'!$A$3:$A$3390,Q$1,'United Data'!$C$3:$C$3390,$A164,'United Data'!$B$3:$B$3390,"&lt;&gt;Off-street")&gt;0,1,0)</f>
        <v>0</v>
      </c>
      <c r="R164">
        <f>IF(COUNTIFS('United Data'!$A$3:$A$3390,R$1,'United Data'!$C$3:$C$3390,$A164,'United Data'!$B$3:$B$3390,"&lt;&gt;Off-street")&gt;0,1,0)</f>
        <v>0</v>
      </c>
      <c r="S164">
        <f t="shared" si="4"/>
        <v>1</v>
      </c>
      <c r="T164">
        <f t="shared" si="5"/>
        <v>1</v>
      </c>
    </row>
    <row r="165" spans="1:20" x14ac:dyDescent="0.2">
      <c r="A165" t="s">
        <v>225</v>
      </c>
      <c r="B165">
        <f>IF(COUNTIFS('United Data'!$A$3:$A$3390,B$1,'United Data'!$C$3:$C$3390,$A165,'United Data'!$B$3:$B$3390,"&lt;&gt;Off-street")&gt;0,1,0)</f>
        <v>0</v>
      </c>
      <c r="C165">
        <f>IF(COUNTIFS('United Data'!$A$3:$A$3390,C$1,'United Data'!$C$3:$C$3390,$A165,'United Data'!$B$3:$B$3390,"&lt;&gt;Off-street")&gt;0,1,0)</f>
        <v>0</v>
      </c>
      <c r="D165">
        <f>IF(COUNTIFS('United Data'!$A$3:$A$3390,D$1,'United Data'!$C$3:$C$3390,$A165,'United Data'!$B$3:$B$3390,"&lt;&gt;Off-street")&gt;0,1,0)</f>
        <v>0</v>
      </c>
      <c r="E165">
        <f>IF(COUNTIFS('United Data'!$A$3:$A$3390,E$1,'United Data'!$C$3:$C$3390,$A165,'United Data'!$B$3:$B$3390,"&lt;&gt;Off-street")&gt;0,1,0)</f>
        <v>0</v>
      </c>
      <c r="F165">
        <f>IF(COUNTIFS('United Data'!$A$3:$A$3390,F$1,'United Data'!$C$3:$C$3390,$A165,'United Data'!$B$3:$B$3390,"&lt;&gt;Off-street")&gt;0,1,0)</f>
        <v>0</v>
      </c>
      <c r="G165">
        <f>IF(COUNTIFS('United Data'!$A$3:$A$3390,G$1,'United Data'!$C$3:$C$3390,$A165,'United Data'!$B$3:$B$3390,"&lt;&gt;Off-street")&gt;0,1,0)</f>
        <v>0</v>
      </c>
      <c r="H165">
        <f>IF(COUNTIFS('United Data'!$A$3:$A$3390,H$1,'United Data'!$C$3:$C$3390,$A165,'United Data'!$B$3:$B$3390,"&lt;&gt;Off-street")&gt;0,1,0)</f>
        <v>0</v>
      </c>
      <c r="I165">
        <f>IF(COUNTIFS('United Data'!$A$3:$A$3390,I$1,'United Data'!$C$3:$C$3390,$A165,'United Data'!$B$3:$B$3390,"&lt;&gt;Off-street")&gt;0,1,0)</f>
        <v>1</v>
      </c>
      <c r="J165">
        <f>IF(COUNTIFS('United Data'!$A$3:$A$3390,J$1,'United Data'!$C$3:$C$3390,$A165,'United Data'!$B$3:$B$3390,"&lt;&gt;Off-street")&gt;0,1,0)</f>
        <v>0</v>
      </c>
      <c r="K165">
        <f>IF(COUNTIFS('United Data'!$A$3:$A$3390,K$1,'United Data'!$C$3:$C$3390,$A165,'United Data'!$B$3:$B$3390,"&lt;&gt;Off-street")&gt;0,1,0)</f>
        <v>0</v>
      </c>
      <c r="L165">
        <f>IF(COUNTIFS('United Data'!$A$3:$A$3390,L$1,'United Data'!$C$3:$C$3390,$A165,'United Data'!$B$3:$B$3390,"&lt;&gt;Off-street")&gt;0,1,0)</f>
        <v>0</v>
      </c>
      <c r="M165">
        <f>IF(COUNTIFS('United Data'!$A$3:$A$3390,M$1,'United Data'!$C$3:$C$3390,$A165,'United Data'!$B$3:$B$3390,"&lt;&gt;Off-street")&gt;0,1,0)</f>
        <v>0</v>
      </c>
      <c r="N165">
        <f>IF(COUNTIFS('United Data'!$A$3:$A$3390,N$1,'United Data'!$C$3:$C$3390,$A165,'United Data'!$B$3:$B$3390,"&lt;&gt;Off-street")&gt;0,1,0)</f>
        <v>0</v>
      </c>
      <c r="O165">
        <f>IF(COUNTIFS('United Data'!$A$3:$A$3390,O$1,'United Data'!$C$3:$C$3390,$A165,'United Data'!$B$3:$B$3390,"&lt;&gt;Off-street")&gt;0,1,0)</f>
        <v>0</v>
      </c>
      <c r="P165">
        <f>IF(COUNTIFS('United Data'!$A$3:$A$3390,P$1,'United Data'!$C$3:$C$3390,$A165,'United Data'!$B$3:$B$3390,"&lt;&gt;Off-street")&gt;0,1,0)</f>
        <v>0</v>
      </c>
      <c r="Q165">
        <f>IF(COUNTIFS('United Data'!$A$3:$A$3390,Q$1,'United Data'!$C$3:$C$3390,$A165,'United Data'!$B$3:$B$3390,"&lt;&gt;Off-street")&gt;0,1,0)</f>
        <v>0</v>
      </c>
      <c r="R165">
        <f>IF(COUNTIFS('United Data'!$A$3:$A$3390,R$1,'United Data'!$C$3:$C$3390,$A165,'United Data'!$B$3:$B$3390,"&lt;&gt;Off-street")&gt;0,1,0)</f>
        <v>0</v>
      </c>
      <c r="S165">
        <f t="shared" si="4"/>
        <v>1</v>
      </c>
      <c r="T165">
        <f t="shared" si="5"/>
        <v>1</v>
      </c>
    </row>
    <row r="166" spans="1:20" x14ac:dyDescent="0.2">
      <c r="A166" t="s">
        <v>226</v>
      </c>
      <c r="B166">
        <f>IF(COUNTIFS('United Data'!$A$3:$A$3390,B$1,'United Data'!$C$3:$C$3390,$A166,'United Data'!$B$3:$B$3390,"&lt;&gt;Off-street")&gt;0,1,0)</f>
        <v>0</v>
      </c>
      <c r="C166">
        <f>IF(COUNTIFS('United Data'!$A$3:$A$3390,C$1,'United Data'!$C$3:$C$3390,$A166,'United Data'!$B$3:$B$3390,"&lt;&gt;Off-street")&gt;0,1,0)</f>
        <v>0</v>
      </c>
      <c r="D166">
        <f>IF(COUNTIFS('United Data'!$A$3:$A$3390,D$1,'United Data'!$C$3:$C$3390,$A166,'United Data'!$B$3:$B$3390,"&lt;&gt;Off-street")&gt;0,1,0)</f>
        <v>0</v>
      </c>
      <c r="E166">
        <f>IF(COUNTIFS('United Data'!$A$3:$A$3390,E$1,'United Data'!$C$3:$C$3390,$A166,'United Data'!$B$3:$B$3390,"&lt;&gt;Off-street")&gt;0,1,0)</f>
        <v>0</v>
      </c>
      <c r="F166">
        <f>IF(COUNTIFS('United Data'!$A$3:$A$3390,F$1,'United Data'!$C$3:$C$3390,$A166,'United Data'!$B$3:$B$3390,"&lt;&gt;Off-street")&gt;0,1,0)</f>
        <v>0</v>
      </c>
      <c r="G166">
        <f>IF(COUNTIFS('United Data'!$A$3:$A$3390,G$1,'United Data'!$C$3:$C$3390,$A166,'United Data'!$B$3:$B$3390,"&lt;&gt;Off-street")&gt;0,1,0)</f>
        <v>0</v>
      </c>
      <c r="H166">
        <f>IF(COUNTIFS('United Data'!$A$3:$A$3390,H$1,'United Data'!$C$3:$C$3390,$A166,'United Data'!$B$3:$B$3390,"&lt;&gt;Off-street")&gt;0,1,0)</f>
        <v>0</v>
      </c>
      <c r="I166">
        <f>IF(COUNTIFS('United Data'!$A$3:$A$3390,I$1,'United Data'!$C$3:$C$3390,$A166,'United Data'!$B$3:$B$3390,"&lt;&gt;Off-street")&gt;0,1,0)</f>
        <v>1</v>
      </c>
      <c r="J166">
        <f>IF(COUNTIFS('United Data'!$A$3:$A$3390,J$1,'United Data'!$C$3:$C$3390,$A166,'United Data'!$B$3:$B$3390,"&lt;&gt;Off-street")&gt;0,1,0)</f>
        <v>0</v>
      </c>
      <c r="K166">
        <f>IF(COUNTIFS('United Data'!$A$3:$A$3390,K$1,'United Data'!$C$3:$C$3390,$A166,'United Data'!$B$3:$B$3390,"&lt;&gt;Off-street")&gt;0,1,0)</f>
        <v>0</v>
      </c>
      <c r="L166">
        <f>IF(COUNTIFS('United Data'!$A$3:$A$3390,L$1,'United Data'!$C$3:$C$3390,$A166,'United Data'!$B$3:$B$3390,"&lt;&gt;Off-street")&gt;0,1,0)</f>
        <v>0</v>
      </c>
      <c r="M166">
        <f>IF(COUNTIFS('United Data'!$A$3:$A$3390,M$1,'United Data'!$C$3:$C$3390,$A166,'United Data'!$B$3:$B$3390,"&lt;&gt;Off-street")&gt;0,1,0)</f>
        <v>0</v>
      </c>
      <c r="N166">
        <f>IF(COUNTIFS('United Data'!$A$3:$A$3390,N$1,'United Data'!$C$3:$C$3390,$A166,'United Data'!$B$3:$B$3390,"&lt;&gt;Off-street")&gt;0,1,0)</f>
        <v>0</v>
      </c>
      <c r="O166">
        <f>IF(COUNTIFS('United Data'!$A$3:$A$3390,O$1,'United Data'!$C$3:$C$3390,$A166,'United Data'!$B$3:$B$3390,"&lt;&gt;Off-street")&gt;0,1,0)</f>
        <v>0</v>
      </c>
      <c r="P166">
        <f>IF(COUNTIFS('United Data'!$A$3:$A$3390,P$1,'United Data'!$C$3:$C$3390,$A166,'United Data'!$B$3:$B$3390,"&lt;&gt;Off-street")&gt;0,1,0)</f>
        <v>0</v>
      </c>
      <c r="Q166">
        <f>IF(COUNTIFS('United Data'!$A$3:$A$3390,Q$1,'United Data'!$C$3:$C$3390,$A166,'United Data'!$B$3:$B$3390,"&lt;&gt;Off-street")&gt;0,1,0)</f>
        <v>0</v>
      </c>
      <c r="R166">
        <f>IF(COUNTIFS('United Data'!$A$3:$A$3390,R$1,'United Data'!$C$3:$C$3390,$A166,'United Data'!$B$3:$B$3390,"&lt;&gt;Off-street")&gt;0,1,0)</f>
        <v>0</v>
      </c>
      <c r="S166">
        <f t="shared" si="4"/>
        <v>1</v>
      </c>
      <c r="T166">
        <f t="shared" si="5"/>
        <v>1</v>
      </c>
    </row>
    <row r="167" spans="1:20" x14ac:dyDescent="0.2">
      <c r="A167" t="s">
        <v>227</v>
      </c>
      <c r="B167">
        <f>IF(COUNTIFS('United Data'!$A$3:$A$3390,B$1,'United Data'!$C$3:$C$3390,$A167,'United Data'!$B$3:$B$3390,"&lt;&gt;Off-street")&gt;0,1,0)</f>
        <v>1</v>
      </c>
      <c r="C167">
        <f>IF(COUNTIFS('United Data'!$A$3:$A$3390,C$1,'United Data'!$C$3:$C$3390,$A167,'United Data'!$B$3:$B$3390,"&lt;&gt;Off-street")&gt;0,1,0)</f>
        <v>1</v>
      </c>
      <c r="D167">
        <f>IF(COUNTIFS('United Data'!$A$3:$A$3390,D$1,'United Data'!$C$3:$C$3390,$A167,'United Data'!$B$3:$B$3390,"&lt;&gt;Off-street")&gt;0,1,0)</f>
        <v>1</v>
      </c>
      <c r="E167">
        <f>IF(COUNTIFS('United Data'!$A$3:$A$3390,E$1,'United Data'!$C$3:$C$3390,$A167,'United Data'!$B$3:$B$3390,"&lt;&gt;Off-street")&gt;0,1,0)</f>
        <v>1</v>
      </c>
      <c r="F167">
        <f>IF(COUNTIFS('United Data'!$A$3:$A$3390,F$1,'United Data'!$C$3:$C$3390,$A167,'United Data'!$B$3:$B$3390,"&lt;&gt;Off-street")&gt;0,1,0)</f>
        <v>1</v>
      </c>
      <c r="G167">
        <f>IF(COUNTIFS('United Data'!$A$3:$A$3390,G$1,'United Data'!$C$3:$C$3390,$A167,'United Data'!$B$3:$B$3390,"&lt;&gt;Off-street")&gt;0,1,0)</f>
        <v>1</v>
      </c>
      <c r="H167">
        <f>IF(COUNTIFS('United Data'!$A$3:$A$3390,H$1,'United Data'!$C$3:$C$3390,$A167,'United Data'!$B$3:$B$3390,"&lt;&gt;Off-street")&gt;0,1,0)</f>
        <v>0</v>
      </c>
      <c r="I167">
        <f>IF(COUNTIFS('United Data'!$A$3:$A$3390,I$1,'United Data'!$C$3:$C$3390,$A167,'United Data'!$B$3:$B$3390,"&lt;&gt;Off-street")&gt;0,1,0)</f>
        <v>0</v>
      </c>
      <c r="J167">
        <f>IF(COUNTIFS('United Data'!$A$3:$A$3390,J$1,'United Data'!$C$3:$C$3390,$A167,'United Data'!$B$3:$B$3390,"&lt;&gt;Off-street")&gt;0,1,0)</f>
        <v>0</v>
      </c>
      <c r="K167">
        <f>IF(COUNTIFS('United Data'!$A$3:$A$3390,K$1,'United Data'!$C$3:$C$3390,$A167,'United Data'!$B$3:$B$3390,"&lt;&gt;Off-street")&gt;0,1,0)</f>
        <v>1</v>
      </c>
      <c r="L167">
        <f>IF(COUNTIFS('United Data'!$A$3:$A$3390,L$1,'United Data'!$C$3:$C$3390,$A167,'United Data'!$B$3:$B$3390,"&lt;&gt;Off-street")&gt;0,1,0)</f>
        <v>1</v>
      </c>
      <c r="M167">
        <f>IF(COUNTIFS('United Data'!$A$3:$A$3390,M$1,'United Data'!$C$3:$C$3390,$A167,'United Data'!$B$3:$B$3390,"&lt;&gt;Off-street")&gt;0,1,0)</f>
        <v>0</v>
      </c>
      <c r="N167">
        <f>IF(COUNTIFS('United Data'!$A$3:$A$3390,N$1,'United Data'!$C$3:$C$3390,$A167,'United Data'!$B$3:$B$3390,"&lt;&gt;Off-street")&gt;0,1,0)</f>
        <v>0</v>
      </c>
      <c r="O167">
        <f>IF(COUNTIFS('United Data'!$A$3:$A$3390,O$1,'United Data'!$C$3:$C$3390,$A167,'United Data'!$B$3:$B$3390,"&lt;&gt;Off-street")&gt;0,1,0)</f>
        <v>0</v>
      </c>
      <c r="P167">
        <f>IF(COUNTIFS('United Data'!$A$3:$A$3390,P$1,'United Data'!$C$3:$C$3390,$A167,'United Data'!$B$3:$B$3390,"&lt;&gt;Off-street")&gt;0,1,0)</f>
        <v>0</v>
      </c>
      <c r="Q167">
        <f>IF(COUNTIFS('United Data'!$A$3:$A$3390,Q$1,'United Data'!$C$3:$C$3390,$A167,'United Data'!$B$3:$B$3390,"&lt;&gt;Off-street")&gt;0,1,0)</f>
        <v>0</v>
      </c>
      <c r="R167">
        <f>IF(COUNTIFS('United Data'!$A$3:$A$3390,R$1,'United Data'!$C$3:$C$3390,$A167,'United Data'!$B$3:$B$3390,"&lt;&gt;Off-street")&gt;0,1,0)</f>
        <v>0</v>
      </c>
      <c r="S167">
        <f t="shared" si="4"/>
        <v>8</v>
      </c>
      <c r="T167">
        <f t="shared" si="5"/>
        <v>2</v>
      </c>
    </row>
    <row r="168" spans="1:20" x14ac:dyDescent="0.2">
      <c r="A168" t="s">
        <v>228</v>
      </c>
      <c r="B168">
        <f>IF(COUNTIFS('United Data'!$A$3:$A$3390,B$1,'United Data'!$C$3:$C$3390,$A168,'United Data'!$B$3:$B$3390,"&lt;&gt;Off-street")&gt;0,1,0)</f>
        <v>1</v>
      </c>
      <c r="C168">
        <f>IF(COUNTIFS('United Data'!$A$3:$A$3390,C$1,'United Data'!$C$3:$C$3390,$A168,'United Data'!$B$3:$B$3390,"&lt;&gt;Off-street")&gt;0,1,0)</f>
        <v>1</v>
      </c>
      <c r="D168">
        <f>IF(COUNTIFS('United Data'!$A$3:$A$3390,D$1,'United Data'!$C$3:$C$3390,$A168,'United Data'!$B$3:$B$3390,"&lt;&gt;Off-street")&gt;0,1,0)</f>
        <v>1</v>
      </c>
      <c r="E168">
        <f>IF(COUNTIFS('United Data'!$A$3:$A$3390,E$1,'United Data'!$C$3:$C$3390,$A168,'United Data'!$B$3:$B$3390,"&lt;&gt;Off-street")&gt;0,1,0)</f>
        <v>1</v>
      </c>
      <c r="F168">
        <f>IF(COUNTIFS('United Data'!$A$3:$A$3390,F$1,'United Data'!$C$3:$C$3390,$A168,'United Data'!$B$3:$B$3390,"&lt;&gt;Off-street")&gt;0,1,0)</f>
        <v>0</v>
      </c>
      <c r="G168">
        <f>IF(COUNTIFS('United Data'!$A$3:$A$3390,G$1,'United Data'!$C$3:$C$3390,$A168,'United Data'!$B$3:$B$3390,"&lt;&gt;Off-street")&gt;0,1,0)</f>
        <v>0</v>
      </c>
      <c r="H168">
        <f>IF(COUNTIFS('United Data'!$A$3:$A$3390,H$1,'United Data'!$C$3:$C$3390,$A168,'United Data'!$B$3:$B$3390,"&lt;&gt;Off-street")&gt;0,1,0)</f>
        <v>0</v>
      </c>
      <c r="I168">
        <f>IF(COUNTIFS('United Data'!$A$3:$A$3390,I$1,'United Data'!$C$3:$C$3390,$A168,'United Data'!$B$3:$B$3390,"&lt;&gt;Off-street")&gt;0,1,0)</f>
        <v>0</v>
      </c>
      <c r="J168">
        <f>IF(COUNTIFS('United Data'!$A$3:$A$3390,J$1,'United Data'!$C$3:$C$3390,$A168,'United Data'!$B$3:$B$3390,"&lt;&gt;Off-street")&gt;0,1,0)</f>
        <v>0</v>
      </c>
      <c r="K168">
        <f>IF(COUNTIFS('United Data'!$A$3:$A$3390,K$1,'United Data'!$C$3:$C$3390,$A168,'United Data'!$B$3:$B$3390,"&lt;&gt;Off-street")&gt;0,1,0)</f>
        <v>1</v>
      </c>
      <c r="L168">
        <f>IF(COUNTIFS('United Data'!$A$3:$A$3390,L$1,'United Data'!$C$3:$C$3390,$A168,'United Data'!$B$3:$B$3390,"&lt;&gt;Off-street")&gt;0,1,0)</f>
        <v>0</v>
      </c>
      <c r="M168">
        <f>IF(COUNTIFS('United Data'!$A$3:$A$3390,M$1,'United Data'!$C$3:$C$3390,$A168,'United Data'!$B$3:$B$3390,"&lt;&gt;Off-street")&gt;0,1,0)</f>
        <v>1</v>
      </c>
      <c r="N168">
        <f>IF(COUNTIFS('United Data'!$A$3:$A$3390,N$1,'United Data'!$C$3:$C$3390,$A168,'United Data'!$B$3:$B$3390,"&lt;&gt;Off-street")&gt;0,1,0)</f>
        <v>1</v>
      </c>
      <c r="O168">
        <f>IF(COUNTIFS('United Data'!$A$3:$A$3390,O$1,'United Data'!$C$3:$C$3390,$A168,'United Data'!$B$3:$B$3390,"&lt;&gt;Off-street")&gt;0,1,0)</f>
        <v>0</v>
      </c>
      <c r="P168">
        <f>IF(COUNTIFS('United Data'!$A$3:$A$3390,P$1,'United Data'!$C$3:$C$3390,$A168,'United Data'!$B$3:$B$3390,"&lt;&gt;Off-street")&gt;0,1,0)</f>
        <v>0</v>
      </c>
      <c r="Q168">
        <f>IF(COUNTIFS('United Data'!$A$3:$A$3390,Q$1,'United Data'!$C$3:$C$3390,$A168,'United Data'!$B$3:$B$3390,"&lt;&gt;Off-street")&gt;0,1,0)</f>
        <v>0</v>
      </c>
      <c r="R168">
        <f>IF(COUNTIFS('United Data'!$A$3:$A$3390,R$1,'United Data'!$C$3:$C$3390,$A168,'United Data'!$B$3:$B$3390,"&lt;&gt;Off-street")&gt;0,1,0)</f>
        <v>1</v>
      </c>
      <c r="S168">
        <f t="shared" si="4"/>
        <v>8</v>
      </c>
      <c r="T168">
        <f t="shared" si="5"/>
        <v>4</v>
      </c>
    </row>
    <row r="169" spans="1:20" x14ac:dyDescent="0.2">
      <c r="A169" t="s">
        <v>229</v>
      </c>
      <c r="B169">
        <f>IF(COUNTIFS('United Data'!$A$3:$A$3390,B$1,'United Data'!$C$3:$C$3390,$A169,'United Data'!$B$3:$B$3390,"&lt;&gt;Off-street")&gt;0,1,0)</f>
        <v>0</v>
      </c>
      <c r="C169">
        <f>IF(COUNTIFS('United Data'!$A$3:$A$3390,C$1,'United Data'!$C$3:$C$3390,$A169,'United Data'!$B$3:$B$3390,"&lt;&gt;Off-street")&gt;0,1,0)</f>
        <v>0</v>
      </c>
      <c r="D169">
        <f>IF(COUNTIFS('United Data'!$A$3:$A$3390,D$1,'United Data'!$C$3:$C$3390,$A169,'United Data'!$B$3:$B$3390,"&lt;&gt;Off-street")&gt;0,1,0)</f>
        <v>0</v>
      </c>
      <c r="E169">
        <f>IF(COUNTIFS('United Data'!$A$3:$A$3390,E$1,'United Data'!$C$3:$C$3390,$A169,'United Data'!$B$3:$B$3390,"&lt;&gt;Off-street")&gt;0,1,0)</f>
        <v>0</v>
      </c>
      <c r="F169">
        <f>IF(COUNTIFS('United Data'!$A$3:$A$3390,F$1,'United Data'!$C$3:$C$3390,$A169,'United Data'!$B$3:$B$3390,"&lt;&gt;Off-street")&gt;0,1,0)</f>
        <v>0</v>
      </c>
      <c r="G169">
        <f>IF(COUNTIFS('United Data'!$A$3:$A$3390,G$1,'United Data'!$C$3:$C$3390,$A169,'United Data'!$B$3:$B$3390,"&lt;&gt;Off-street")&gt;0,1,0)</f>
        <v>0</v>
      </c>
      <c r="H169">
        <f>IF(COUNTIFS('United Data'!$A$3:$A$3390,H$1,'United Data'!$C$3:$C$3390,$A169,'United Data'!$B$3:$B$3390,"&lt;&gt;Off-street")&gt;0,1,0)</f>
        <v>0</v>
      </c>
      <c r="I169">
        <f>IF(COUNTIFS('United Data'!$A$3:$A$3390,I$1,'United Data'!$C$3:$C$3390,$A169,'United Data'!$B$3:$B$3390,"&lt;&gt;Off-street")&gt;0,1,0)</f>
        <v>0</v>
      </c>
      <c r="J169">
        <f>IF(COUNTIFS('United Data'!$A$3:$A$3390,J$1,'United Data'!$C$3:$C$3390,$A169,'United Data'!$B$3:$B$3390,"&lt;&gt;Off-street")&gt;0,1,0)</f>
        <v>0</v>
      </c>
      <c r="K169">
        <f>IF(COUNTIFS('United Data'!$A$3:$A$3390,K$1,'United Data'!$C$3:$C$3390,$A169,'United Data'!$B$3:$B$3390,"&lt;&gt;Off-street")&gt;0,1,0)</f>
        <v>0</v>
      </c>
      <c r="L169">
        <f>IF(COUNTIFS('United Data'!$A$3:$A$3390,L$1,'United Data'!$C$3:$C$3390,$A169,'United Data'!$B$3:$B$3390,"&lt;&gt;Off-street")&gt;0,1,0)</f>
        <v>1</v>
      </c>
      <c r="M169">
        <f>IF(COUNTIFS('United Data'!$A$3:$A$3390,M$1,'United Data'!$C$3:$C$3390,$A169,'United Data'!$B$3:$B$3390,"&lt;&gt;Off-street")&gt;0,1,0)</f>
        <v>1</v>
      </c>
      <c r="N169">
        <f>IF(COUNTIFS('United Data'!$A$3:$A$3390,N$1,'United Data'!$C$3:$C$3390,$A169,'United Data'!$B$3:$B$3390,"&lt;&gt;Off-street")&gt;0,1,0)</f>
        <v>1</v>
      </c>
      <c r="O169">
        <f>IF(COUNTIFS('United Data'!$A$3:$A$3390,O$1,'United Data'!$C$3:$C$3390,$A169,'United Data'!$B$3:$B$3390,"&lt;&gt;Off-street")&gt;0,1,0)</f>
        <v>0</v>
      </c>
      <c r="P169">
        <f>IF(COUNTIFS('United Data'!$A$3:$A$3390,P$1,'United Data'!$C$3:$C$3390,$A169,'United Data'!$B$3:$B$3390,"&lt;&gt;Off-street")&gt;0,1,0)</f>
        <v>0</v>
      </c>
      <c r="Q169">
        <f>IF(COUNTIFS('United Data'!$A$3:$A$3390,Q$1,'United Data'!$C$3:$C$3390,$A169,'United Data'!$B$3:$B$3390,"&lt;&gt;Off-street")&gt;0,1,0)</f>
        <v>0</v>
      </c>
      <c r="R169">
        <f>IF(COUNTIFS('United Data'!$A$3:$A$3390,R$1,'United Data'!$C$3:$C$3390,$A169,'United Data'!$B$3:$B$3390,"&lt;&gt;Off-street")&gt;0,1,0)</f>
        <v>0</v>
      </c>
      <c r="S169">
        <f t="shared" si="4"/>
        <v>3</v>
      </c>
      <c r="T169">
        <f t="shared" si="5"/>
        <v>1</v>
      </c>
    </row>
    <row r="170" spans="1:20" x14ac:dyDescent="0.2">
      <c r="A170" t="s">
        <v>230</v>
      </c>
      <c r="B170">
        <f>IF(COUNTIFS('United Data'!$A$3:$A$3390,B$1,'United Data'!$C$3:$C$3390,$A170,'United Data'!$B$3:$B$3390,"&lt;&gt;Off-street")&gt;0,1,0)</f>
        <v>0</v>
      </c>
      <c r="C170">
        <f>IF(COUNTIFS('United Data'!$A$3:$A$3390,C$1,'United Data'!$C$3:$C$3390,$A170,'United Data'!$B$3:$B$3390,"&lt;&gt;Off-street")&gt;0,1,0)</f>
        <v>0</v>
      </c>
      <c r="D170">
        <f>IF(COUNTIFS('United Data'!$A$3:$A$3390,D$1,'United Data'!$C$3:$C$3390,$A170,'United Data'!$B$3:$B$3390,"&lt;&gt;Off-street")&gt;0,1,0)</f>
        <v>0</v>
      </c>
      <c r="E170">
        <f>IF(COUNTIFS('United Data'!$A$3:$A$3390,E$1,'United Data'!$C$3:$C$3390,$A170,'United Data'!$B$3:$B$3390,"&lt;&gt;Off-street")&gt;0,1,0)</f>
        <v>0</v>
      </c>
      <c r="F170">
        <f>IF(COUNTIFS('United Data'!$A$3:$A$3390,F$1,'United Data'!$C$3:$C$3390,$A170,'United Data'!$B$3:$B$3390,"&lt;&gt;Off-street")&gt;0,1,0)</f>
        <v>0</v>
      </c>
      <c r="G170">
        <f>IF(COUNTIFS('United Data'!$A$3:$A$3390,G$1,'United Data'!$C$3:$C$3390,$A170,'United Data'!$B$3:$B$3390,"&lt;&gt;Off-street")&gt;0,1,0)</f>
        <v>0</v>
      </c>
      <c r="H170">
        <f>IF(COUNTIFS('United Data'!$A$3:$A$3390,H$1,'United Data'!$C$3:$C$3390,$A170,'United Data'!$B$3:$B$3390,"&lt;&gt;Off-street")&gt;0,1,0)</f>
        <v>0</v>
      </c>
      <c r="I170">
        <f>IF(COUNTIFS('United Data'!$A$3:$A$3390,I$1,'United Data'!$C$3:$C$3390,$A170,'United Data'!$B$3:$B$3390,"&lt;&gt;Off-street")&gt;0,1,0)</f>
        <v>0</v>
      </c>
      <c r="J170">
        <f>IF(COUNTIFS('United Data'!$A$3:$A$3390,J$1,'United Data'!$C$3:$C$3390,$A170,'United Data'!$B$3:$B$3390,"&lt;&gt;Off-street")&gt;0,1,0)</f>
        <v>0</v>
      </c>
      <c r="K170">
        <f>IF(COUNTIFS('United Data'!$A$3:$A$3390,K$1,'United Data'!$C$3:$C$3390,$A170,'United Data'!$B$3:$B$3390,"&lt;&gt;Off-street")&gt;0,1,0)</f>
        <v>0</v>
      </c>
      <c r="L170">
        <f>IF(COUNTIFS('United Data'!$A$3:$A$3390,L$1,'United Data'!$C$3:$C$3390,$A170,'United Data'!$B$3:$B$3390,"&lt;&gt;Off-street")&gt;0,1,0)</f>
        <v>1</v>
      </c>
      <c r="M170">
        <f>IF(COUNTIFS('United Data'!$A$3:$A$3390,M$1,'United Data'!$C$3:$C$3390,$A170,'United Data'!$B$3:$B$3390,"&lt;&gt;Off-street")&gt;0,1,0)</f>
        <v>0</v>
      </c>
      <c r="N170">
        <f>IF(COUNTIFS('United Data'!$A$3:$A$3390,N$1,'United Data'!$C$3:$C$3390,$A170,'United Data'!$B$3:$B$3390,"&lt;&gt;Off-street")&gt;0,1,0)</f>
        <v>0</v>
      </c>
      <c r="O170">
        <f>IF(COUNTIFS('United Data'!$A$3:$A$3390,O$1,'United Data'!$C$3:$C$3390,$A170,'United Data'!$B$3:$B$3390,"&lt;&gt;Off-street")&gt;0,1,0)</f>
        <v>0</v>
      </c>
      <c r="P170">
        <f>IF(COUNTIFS('United Data'!$A$3:$A$3390,P$1,'United Data'!$C$3:$C$3390,$A170,'United Data'!$B$3:$B$3390,"&lt;&gt;Off-street")&gt;0,1,0)</f>
        <v>0</v>
      </c>
      <c r="Q170">
        <f>IF(COUNTIFS('United Data'!$A$3:$A$3390,Q$1,'United Data'!$C$3:$C$3390,$A170,'United Data'!$B$3:$B$3390,"&lt;&gt;Off-street")&gt;0,1,0)</f>
        <v>0</v>
      </c>
      <c r="R170">
        <f>IF(COUNTIFS('United Data'!$A$3:$A$3390,R$1,'United Data'!$C$3:$C$3390,$A170,'United Data'!$B$3:$B$3390,"&lt;&gt;Off-street")&gt;0,1,0)</f>
        <v>0</v>
      </c>
      <c r="S170">
        <f t="shared" si="4"/>
        <v>1</v>
      </c>
      <c r="T170">
        <f t="shared" si="5"/>
        <v>1</v>
      </c>
    </row>
    <row r="171" spans="1:20" x14ac:dyDescent="0.2">
      <c r="A171" t="s">
        <v>231</v>
      </c>
      <c r="B171">
        <f>IF(COUNTIFS('United Data'!$A$3:$A$3390,B$1,'United Data'!$C$3:$C$3390,$A171,'United Data'!$B$3:$B$3390,"&lt;&gt;Off-street")&gt;0,1,0)</f>
        <v>0</v>
      </c>
      <c r="C171">
        <f>IF(COUNTIFS('United Data'!$A$3:$A$3390,C$1,'United Data'!$C$3:$C$3390,$A171,'United Data'!$B$3:$B$3390,"&lt;&gt;Off-street")&gt;0,1,0)</f>
        <v>0</v>
      </c>
      <c r="D171">
        <f>IF(COUNTIFS('United Data'!$A$3:$A$3390,D$1,'United Data'!$C$3:$C$3390,$A171,'United Data'!$B$3:$B$3390,"&lt;&gt;Off-street")&gt;0,1,0)</f>
        <v>0</v>
      </c>
      <c r="E171">
        <f>IF(COUNTIFS('United Data'!$A$3:$A$3390,E$1,'United Data'!$C$3:$C$3390,$A171,'United Data'!$B$3:$B$3390,"&lt;&gt;Off-street")&gt;0,1,0)</f>
        <v>0</v>
      </c>
      <c r="F171">
        <f>IF(COUNTIFS('United Data'!$A$3:$A$3390,F$1,'United Data'!$C$3:$C$3390,$A171,'United Data'!$B$3:$B$3390,"&lt;&gt;Off-street")&gt;0,1,0)</f>
        <v>0</v>
      </c>
      <c r="G171">
        <f>IF(COUNTIFS('United Data'!$A$3:$A$3390,G$1,'United Data'!$C$3:$C$3390,$A171,'United Data'!$B$3:$B$3390,"&lt;&gt;Off-street")&gt;0,1,0)</f>
        <v>0</v>
      </c>
      <c r="H171">
        <f>IF(COUNTIFS('United Data'!$A$3:$A$3390,H$1,'United Data'!$C$3:$C$3390,$A171,'United Data'!$B$3:$B$3390,"&lt;&gt;Off-street")&gt;0,1,0)</f>
        <v>0</v>
      </c>
      <c r="I171">
        <f>IF(COUNTIFS('United Data'!$A$3:$A$3390,I$1,'United Data'!$C$3:$C$3390,$A171,'United Data'!$B$3:$B$3390,"&lt;&gt;Off-street")&gt;0,1,0)</f>
        <v>0</v>
      </c>
      <c r="J171">
        <f>IF(COUNTIFS('United Data'!$A$3:$A$3390,J$1,'United Data'!$C$3:$C$3390,$A171,'United Data'!$B$3:$B$3390,"&lt;&gt;Off-street")&gt;0,1,0)</f>
        <v>0</v>
      </c>
      <c r="K171">
        <f>IF(COUNTIFS('United Data'!$A$3:$A$3390,K$1,'United Data'!$C$3:$C$3390,$A171,'United Data'!$B$3:$B$3390,"&lt;&gt;Off-street")&gt;0,1,0)</f>
        <v>0</v>
      </c>
      <c r="L171">
        <f>IF(COUNTIFS('United Data'!$A$3:$A$3390,L$1,'United Data'!$C$3:$C$3390,$A171,'United Data'!$B$3:$B$3390,"&lt;&gt;Off-street")&gt;0,1,0)</f>
        <v>0</v>
      </c>
      <c r="M171">
        <f>IF(COUNTIFS('United Data'!$A$3:$A$3390,M$1,'United Data'!$C$3:$C$3390,$A171,'United Data'!$B$3:$B$3390,"&lt;&gt;Off-street")&gt;0,1,0)</f>
        <v>1</v>
      </c>
      <c r="N171">
        <f>IF(COUNTIFS('United Data'!$A$3:$A$3390,N$1,'United Data'!$C$3:$C$3390,$A171,'United Data'!$B$3:$B$3390,"&lt;&gt;Off-street")&gt;0,1,0)</f>
        <v>0</v>
      </c>
      <c r="O171">
        <f>IF(COUNTIFS('United Data'!$A$3:$A$3390,O$1,'United Data'!$C$3:$C$3390,$A171,'United Data'!$B$3:$B$3390,"&lt;&gt;Off-street")&gt;0,1,0)</f>
        <v>0</v>
      </c>
      <c r="P171">
        <f>IF(COUNTIFS('United Data'!$A$3:$A$3390,P$1,'United Data'!$C$3:$C$3390,$A171,'United Data'!$B$3:$B$3390,"&lt;&gt;Off-street")&gt;0,1,0)</f>
        <v>0</v>
      </c>
      <c r="Q171">
        <f>IF(COUNTIFS('United Data'!$A$3:$A$3390,Q$1,'United Data'!$C$3:$C$3390,$A171,'United Data'!$B$3:$B$3390,"&lt;&gt;Off-street")&gt;0,1,0)</f>
        <v>0</v>
      </c>
      <c r="R171">
        <f>IF(COUNTIFS('United Data'!$A$3:$A$3390,R$1,'United Data'!$C$3:$C$3390,$A171,'United Data'!$B$3:$B$3390,"&lt;&gt;Off-street")&gt;0,1,0)</f>
        <v>0</v>
      </c>
      <c r="S171">
        <f t="shared" si="4"/>
        <v>1</v>
      </c>
      <c r="T171">
        <f t="shared" si="5"/>
        <v>1</v>
      </c>
    </row>
    <row r="172" spans="1:20" x14ac:dyDescent="0.2">
      <c r="A172" t="s">
        <v>232</v>
      </c>
      <c r="B172">
        <f>IF(COUNTIFS('United Data'!$A$3:$A$3390,B$1,'United Data'!$C$3:$C$3390,$A172,'United Data'!$B$3:$B$3390,"&lt;&gt;Off-street")&gt;0,1,0)</f>
        <v>0</v>
      </c>
      <c r="C172">
        <f>IF(COUNTIFS('United Data'!$A$3:$A$3390,C$1,'United Data'!$C$3:$C$3390,$A172,'United Data'!$B$3:$B$3390,"&lt;&gt;Off-street")&gt;0,1,0)</f>
        <v>0</v>
      </c>
      <c r="D172">
        <f>IF(COUNTIFS('United Data'!$A$3:$A$3390,D$1,'United Data'!$C$3:$C$3390,$A172,'United Data'!$B$3:$B$3390,"&lt;&gt;Off-street")&gt;0,1,0)</f>
        <v>0</v>
      </c>
      <c r="E172">
        <f>IF(COUNTIFS('United Data'!$A$3:$A$3390,E$1,'United Data'!$C$3:$C$3390,$A172,'United Data'!$B$3:$B$3390,"&lt;&gt;Off-street")&gt;0,1,0)</f>
        <v>0</v>
      </c>
      <c r="F172">
        <f>IF(COUNTIFS('United Data'!$A$3:$A$3390,F$1,'United Data'!$C$3:$C$3390,$A172,'United Data'!$B$3:$B$3390,"&lt;&gt;Off-street")&gt;0,1,0)</f>
        <v>0</v>
      </c>
      <c r="G172">
        <f>IF(COUNTIFS('United Data'!$A$3:$A$3390,G$1,'United Data'!$C$3:$C$3390,$A172,'United Data'!$B$3:$B$3390,"&lt;&gt;Off-street")&gt;0,1,0)</f>
        <v>0</v>
      </c>
      <c r="H172">
        <f>IF(COUNTIFS('United Data'!$A$3:$A$3390,H$1,'United Data'!$C$3:$C$3390,$A172,'United Data'!$B$3:$B$3390,"&lt;&gt;Off-street")&gt;0,1,0)</f>
        <v>0</v>
      </c>
      <c r="I172">
        <f>IF(COUNTIFS('United Data'!$A$3:$A$3390,I$1,'United Data'!$C$3:$C$3390,$A172,'United Data'!$B$3:$B$3390,"&lt;&gt;Off-street")&gt;0,1,0)</f>
        <v>0</v>
      </c>
      <c r="J172">
        <f>IF(COUNTIFS('United Data'!$A$3:$A$3390,J$1,'United Data'!$C$3:$C$3390,$A172,'United Data'!$B$3:$B$3390,"&lt;&gt;Off-street")&gt;0,1,0)</f>
        <v>0</v>
      </c>
      <c r="K172">
        <f>IF(COUNTIFS('United Data'!$A$3:$A$3390,K$1,'United Data'!$C$3:$C$3390,$A172,'United Data'!$B$3:$B$3390,"&lt;&gt;Off-street")&gt;0,1,0)</f>
        <v>0</v>
      </c>
      <c r="L172">
        <f>IF(COUNTIFS('United Data'!$A$3:$A$3390,L$1,'United Data'!$C$3:$C$3390,$A172,'United Data'!$B$3:$B$3390,"&lt;&gt;Off-street")&gt;0,1,0)</f>
        <v>0</v>
      </c>
      <c r="M172">
        <f>IF(COUNTIFS('United Data'!$A$3:$A$3390,M$1,'United Data'!$C$3:$C$3390,$A172,'United Data'!$B$3:$B$3390,"&lt;&gt;Off-street")&gt;0,1,0)</f>
        <v>1</v>
      </c>
      <c r="N172">
        <f>IF(COUNTIFS('United Data'!$A$3:$A$3390,N$1,'United Data'!$C$3:$C$3390,$A172,'United Data'!$B$3:$B$3390,"&lt;&gt;Off-street")&gt;0,1,0)</f>
        <v>0</v>
      </c>
      <c r="O172">
        <f>IF(COUNTIFS('United Data'!$A$3:$A$3390,O$1,'United Data'!$C$3:$C$3390,$A172,'United Data'!$B$3:$B$3390,"&lt;&gt;Off-street")&gt;0,1,0)</f>
        <v>0</v>
      </c>
      <c r="P172">
        <f>IF(COUNTIFS('United Data'!$A$3:$A$3390,P$1,'United Data'!$C$3:$C$3390,$A172,'United Data'!$B$3:$B$3390,"&lt;&gt;Off-street")&gt;0,1,0)</f>
        <v>0</v>
      </c>
      <c r="Q172">
        <f>IF(COUNTIFS('United Data'!$A$3:$A$3390,Q$1,'United Data'!$C$3:$C$3390,$A172,'United Data'!$B$3:$B$3390,"&lt;&gt;Off-street")&gt;0,1,0)</f>
        <v>0</v>
      </c>
      <c r="R172">
        <f>IF(COUNTIFS('United Data'!$A$3:$A$3390,R$1,'United Data'!$C$3:$C$3390,$A172,'United Data'!$B$3:$B$3390,"&lt;&gt;Off-street")&gt;0,1,0)</f>
        <v>0</v>
      </c>
      <c r="S172">
        <f t="shared" si="4"/>
        <v>1</v>
      </c>
      <c r="T172">
        <f t="shared" si="5"/>
        <v>1</v>
      </c>
    </row>
    <row r="173" spans="1:20" x14ac:dyDescent="0.2">
      <c r="A173" t="s">
        <v>233</v>
      </c>
      <c r="B173">
        <f>IF(COUNTIFS('United Data'!$A$3:$A$3390,B$1,'United Data'!$C$3:$C$3390,$A173,'United Data'!$B$3:$B$3390,"&lt;&gt;Off-street")&gt;0,1,0)</f>
        <v>0</v>
      </c>
      <c r="C173">
        <f>IF(COUNTIFS('United Data'!$A$3:$A$3390,C$1,'United Data'!$C$3:$C$3390,$A173,'United Data'!$B$3:$B$3390,"&lt;&gt;Off-street")&gt;0,1,0)</f>
        <v>0</v>
      </c>
      <c r="D173">
        <f>IF(COUNTIFS('United Data'!$A$3:$A$3390,D$1,'United Data'!$C$3:$C$3390,$A173,'United Data'!$B$3:$B$3390,"&lt;&gt;Off-street")&gt;0,1,0)</f>
        <v>0</v>
      </c>
      <c r="E173">
        <f>IF(COUNTIFS('United Data'!$A$3:$A$3390,E$1,'United Data'!$C$3:$C$3390,$A173,'United Data'!$B$3:$B$3390,"&lt;&gt;Off-street")&gt;0,1,0)</f>
        <v>0</v>
      </c>
      <c r="F173">
        <f>IF(COUNTIFS('United Data'!$A$3:$A$3390,F$1,'United Data'!$C$3:$C$3390,$A173,'United Data'!$B$3:$B$3390,"&lt;&gt;Off-street")&gt;0,1,0)</f>
        <v>0</v>
      </c>
      <c r="G173">
        <f>IF(COUNTIFS('United Data'!$A$3:$A$3390,G$1,'United Data'!$C$3:$C$3390,$A173,'United Data'!$B$3:$B$3390,"&lt;&gt;Off-street")&gt;0,1,0)</f>
        <v>0</v>
      </c>
      <c r="H173">
        <f>IF(COUNTIFS('United Data'!$A$3:$A$3390,H$1,'United Data'!$C$3:$C$3390,$A173,'United Data'!$B$3:$B$3390,"&lt;&gt;Off-street")&gt;0,1,0)</f>
        <v>0</v>
      </c>
      <c r="I173">
        <f>IF(COUNTIFS('United Data'!$A$3:$A$3390,I$1,'United Data'!$C$3:$C$3390,$A173,'United Data'!$B$3:$B$3390,"&lt;&gt;Off-street")&gt;0,1,0)</f>
        <v>0</v>
      </c>
      <c r="J173">
        <f>IF(COUNTIFS('United Data'!$A$3:$A$3390,J$1,'United Data'!$C$3:$C$3390,$A173,'United Data'!$B$3:$B$3390,"&lt;&gt;Off-street")&gt;0,1,0)</f>
        <v>0</v>
      </c>
      <c r="K173">
        <f>IF(COUNTIFS('United Data'!$A$3:$A$3390,K$1,'United Data'!$C$3:$C$3390,$A173,'United Data'!$B$3:$B$3390,"&lt;&gt;Off-street")&gt;0,1,0)</f>
        <v>0</v>
      </c>
      <c r="L173">
        <f>IF(COUNTIFS('United Data'!$A$3:$A$3390,L$1,'United Data'!$C$3:$C$3390,$A173,'United Data'!$B$3:$B$3390,"&lt;&gt;Off-street")&gt;0,1,0)</f>
        <v>0</v>
      </c>
      <c r="M173">
        <f>IF(COUNTIFS('United Data'!$A$3:$A$3390,M$1,'United Data'!$C$3:$C$3390,$A173,'United Data'!$B$3:$B$3390,"&lt;&gt;Off-street")&gt;0,1,0)</f>
        <v>1</v>
      </c>
      <c r="N173">
        <f>IF(COUNTIFS('United Data'!$A$3:$A$3390,N$1,'United Data'!$C$3:$C$3390,$A173,'United Data'!$B$3:$B$3390,"&lt;&gt;Off-street")&gt;0,1,0)</f>
        <v>0</v>
      </c>
      <c r="O173">
        <f>IF(COUNTIFS('United Data'!$A$3:$A$3390,O$1,'United Data'!$C$3:$C$3390,$A173,'United Data'!$B$3:$B$3390,"&lt;&gt;Off-street")&gt;0,1,0)</f>
        <v>0</v>
      </c>
      <c r="P173">
        <f>IF(COUNTIFS('United Data'!$A$3:$A$3390,P$1,'United Data'!$C$3:$C$3390,$A173,'United Data'!$B$3:$B$3390,"&lt;&gt;Off-street")&gt;0,1,0)</f>
        <v>0</v>
      </c>
      <c r="Q173">
        <f>IF(COUNTIFS('United Data'!$A$3:$A$3390,Q$1,'United Data'!$C$3:$C$3390,$A173,'United Data'!$B$3:$B$3390,"&lt;&gt;Off-street")&gt;0,1,0)</f>
        <v>0</v>
      </c>
      <c r="R173">
        <f>IF(COUNTIFS('United Data'!$A$3:$A$3390,R$1,'United Data'!$C$3:$C$3390,$A173,'United Data'!$B$3:$B$3390,"&lt;&gt;Off-street")&gt;0,1,0)</f>
        <v>0</v>
      </c>
      <c r="S173">
        <f t="shared" si="4"/>
        <v>1</v>
      </c>
      <c r="T173">
        <f t="shared" si="5"/>
        <v>1</v>
      </c>
    </row>
    <row r="174" spans="1:20" x14ac:dyDescent="0.2">
      <c r="A174" t="s">
        <v>234</v>
      </c>
      <c r="B174">
        <f>IF(COUNTIFS('United Data'!$A$3:$A$3390,B$1,'United Data'!$C$3:$C$3390,$A174,'United Data'!$B$3:$B$3390,"&lt;&gt;Off-street")&gt;0,1,0)</f>
        <v>0</v>
      </c>
      <c r="C174">
        <f>IF(COUNTIFS('United Data'!$A$3:$A$3390,C$1,'United Data'!$C$3:$C$3390,$A174,'United Data'!$B$3:$B$3390,"&lt;&gt;Off-street")&gt;0,1,0)</f>
        <v>0</v>
      </c>
      <c r="D174">
        <f>IF(COUNTIFS('United Data'!$A$3:$A$3390,D$1,'United Data'!$C$3:$C$3390,$A174,'United Data'!$B$3:$B$3390,"&lt;&gt;Off-street")&gt;0,1,0)</f>
        <v>0</v>
      </c>
      <c r="E174">
        <f>IF(COUNTIFS('United Data'!$A$3:$A$3390,E$1,'United Data'!$C$3:$C$3390,$A174,'United Data'!$B$3:$B$3390,"&lt;&gt;Off-street")&gt;0,1,0)</f>
        <v>0</v>
      </c>
      <c r="F174">
        <f>IF(COUNTIFS('United Data'!$A$3:$A$3390,F$1,'United Data'!$C$3:$C$3390,$A174,'United Data'!$B$3:$B$3390,"&lt;&gt;Off-street")&gt;0,1,0)</f>
        <v>0</v>
      </c>
      <c r="G174">
        <f>IF(COUNTIFS('United Data'!$A$3:$A$3390,G$1,'United Data'!$C$3:$C$3390,$A174,'United Data'!$B$3:$B$3390,"&lt;&gt;Off-street")&gt;0,1,0)</f>
        <v>0</v>
      </c>
      <c r="H174">
        <f>IF(COUNTIFS('United Data'!$A$3:$A$3390,H$1,'United Data'!$C$3:$C$3390,$A174,'United Data'!$B$3:$B$3390,"&lt;&gt;Off-street")&gt;0,1,0)</f>
        <v>0</v>
      </c>
      <c r="I174">
        <f>IF(COUNTIFS('United Data'!$A$3:$A$3390,I$1,'United Data'!$C$3:$C$3390,$A174,'United Data'!$B$3:$B$3390,"&lt;&gt;Off-street")&gt;0,1,0)</f>
        <v>0</v>
      </c>
      <c r="J174">
        <f>IF(COUNTIFS('United Data'!$A$3:$A$3390,J$1,'United Data'!$C$3:$C$3390,$A174,'United Data'!$B$3:$B$3390,"&lt;&gt;Off-street")&gt;0,1,0)</f>
        <v>0</v>
      </c>
      <c r="K174">
        <f>IF(COUNTIFS('United Data'!$A$3:$A$3390,K$1,'United Data'!$C$3:$C$3390,$A174,'United Data'!$B$3:$B$3390,"&lt;&gt;Off-street")&gt;0,1,0)</f>
        <v>0</v>
      </c>
      <c r="L174">
        <f>IF(COUNTIFS('United Data'!$A$3:$A$3390,L$1,'United Data'!$C$3:$C$3390,$A174,'United Data'!$B$3:$B$3390,"&lt;&gt;Off-street")&gt;0,1,0)</f>
        <v>0</v>
      </c>
      <c r="M174">
        <f>IF(COUNTIFS('United Data'!$A$3:$A$3390,M$1,'United Data'!$C$3:$C$3390,$A174,'United Data'!$B$3:$B$3390,"&lt;&gt;Off-street")&gt;0,1,0)</f>
        <v>1</v>
      </c>
      <c r="N174">
        <f>IF(COUNTIFS('United Data'!$A$3:$A$3390,N$1,'United Data'!$C$3:$C$3390,$A174,'United Data'!$B$3:$B$3390,"&lt;&gt;Off-street")&gt;0,1,0)</f>
        <v>0</v>
      </c>
      <c r="O174">
        <f>IF(COUNTIFS('United Data'!$A$3:$A$3390,O$1,'United Data'!$C$3:$C$3390,$A174,'United Data'!$B$3:$B$3390,"&lt;&gt;Off-street")&gt;0,1,0)</f>
        <v>0</v>
      </c>
      <c r="P174">
        <f>IF(COUNTIFS('United Data'!$A$3:$A$3390,P$1,'United Data'!$C$3:$C$3390,$A174,'United Data'!$B$3:$B$3390,"&lt;&gt;Off-street")&gt;0,1,0)</f>
        <v>0</v>
      </c>
      <c r="Q174">
        <f>IF(COUNTIFS('United Data'!$A$3:$A$3390,Q$1,'United Data'!$C$3:$C$3390,$A174,'United Data'!$B$3:$B$3390,"&lt;&gt;Off-street")&gt;0,1,0)</f>
        <v>0</v>
      </c>
      <c r="R174">
        <f>IF(COUNTIFS('United Data'!$A$3:$A$3390,R$1,'United Data'!$C$3:$C$3390,$A174,'United Data'!$B$3:$B$3390,"&lt;&gt;Off-street")&gt;0,1,0)</f>
        <v>0</v>
      </c>
      <c r="S174">
        <f t="shared" si="4"/>
        <v>1</v>
      </c>
      <c r="T174">
        <f t="shared" si="5"/>
        <v>1</v>
      </c>
    </row>
    <row r="175" spans="1:20" x14ac:dyDescent="0.2">
      <c r="A175" t="s">
        <v>235</v>
      </c>
      <c r="B175">
        <f>IF(COUNTIFS('United Data'!$A$3:$A$3390,B$1,'United Data'!$C$3:$C$3390,$A175,'United Data'!$B$3:$B$3390,"&lt;&gt;Off-street")&gt;0,1,0)</f>
        <v>0</v>
      </c>
      <c r="C175">
        <f>IF(COUNTIFS('United Data'!$A$3:$A$3390,C$1,'United Data'!$C$3:$C$3390,$A175,'United Data'!$B$3:$B$3390,"&lt;&gt;Off-street")&gt;0,1,0)</f>
        <v>0</v>
      </c>
      <c r="D175">
        <f>IF(COUNTIFS('United Data'!$A$3:$A$3390,D$1,'United Data'!$C$3:$C$3390,$A175,'United Data'!$B$3:$B$3390,"&lt;&gt;Off-street")&gt;0,1,0)</f>
        <v>0</v>
      </c>
      <c r="E175">
        <f>IF(COUNTIFS('United Data'!$A$3:$A$3390,E$1,'United Data'!$C$3:$C$3390,$A175,'United Data'!$B$3:$B$3390,"&lt;&gt;Off-street")&gt;0,1,0)</f>
        <v>0</v>
      </c>
      <c r="F175">
        <f>IF(COUNTIFS('United Data'!$A$3:$A$3390,F$1,'United Data'!$C$3:$C$3390,$A175,'United Data'!$B$3:$B$3390,"&lt;&gt;Off-street")&gt;0,1,0)</f>
        <v>0</v>
      </c>
      <c r="G175">
        <f>IF(COUNTIFS('United Data'!$A$3:$A$3390,G$1,'United Data'!$C$3:$C$3390,$A175,'United Data'!$B$3:$B$3390,"&lt;&gt;Off-street")&gt;0,1,0)</f>
        <v>0</v>
      </c>
      <c r="H175">
        <f>IF(COUNTIFS('United Data'!$A$3:$A$3390,H$1,'United Data'!$C$3:$C$3390,$A175,'United Data'!$B$3:$B$3390,"&lt;&gt;Off-street")&gt;0,1,0)</f>
        <v>0</v>
      </c>
      <c r="I175">
        <f>IF(COUNTIFS('United Data'!$A$3:$A$3390,I$1,'United Data'!$C$3:$C$3390,$A175,'United Data'!$B$3:$B$3390,"&lt;&gt;Off-street")&gt;0,1,0)</f>
        <v>0</v>
      </c>
      <c r="J175">
        <f>IF(COUNTIFS('United Data'!$A$3:$A$3390,J$1,'United Data'!$C$3:$C$3390,$A175,'United Data'!$B$3:$B$3390,"&lt;&gt;Off-street")&gt;0,1,0)</f>
        <v>0</v>
      </c>
      <c r="K175">
        <f>IF(COUNTIFS('United Data'!$A$3:$A$3390,K$1,'United Data'!$C$3:$C$3390,$A175,'United Data'!$B$3:$B$3390,"&lt;&gt;Off-street")&gt;0,1,0)</f>
        <v>0</v>
      </c>
      <c r="L175">
        <f>IF(COUNTIFS('United Data'!$A$3:$A$3390,L$1,'United Data'!$C$3:$C$3390,$A175,'United Data'!$B$3:$B$3390,"&lt;&gt;Off-street")&gt;0,1,0)</f>
        <v>0</v>
      </c>
      <c r="M175">
        <f>IF(COUNTIFS('United Data'!$A$3:$A$3390,M$1,'United Data'!$C$3:$C$3390,$A175,'United Data'!$B$3:$B$3390,"&lt;&gt;Off-street")&gt;0,1,0)</f>
        <v>0</v>
      </c>
      <c r="N175">
        <f>IF(COUNTIFS('United Data'!$A$3:$A$3390,N$1,'United Data'!$C$3:$C$3390,$A175,'United Data'!$B$3:$B$3390,"&lt;&gt;Off-street")&gt;0,1,0)</f>
        <v>1</v>
      </c>
      <c r="O175">
        <f>IF(COUNTIFS('United Data'!$A$3:$A$3390,O$1,'United Data'!$C$3:$C$3390,$A175,'United Data'!$B$3:$B$3390,"&lt;&gt;Off-street")&gt;0,1,0)</f>
        <v>0</v>
      </c>
      <c r="P175">
        <f>IF(COUNTIFS('United Data'!$A$3:$A$3390,P$1,'United Data'!$C$3:$C$3390,$A175,'United Data'!$B$3:$B$3390,"&lt;&gt;Off-street")&gt;0,1,0)</f>
        <v>0</v>
      </c>
      <c r="Q175">
        <f>IF(COUNTIFS('United Data'!$A$3:$A$3390,Q$1,'United Data'!$C$3:$C$3390,$A175,'United Data'!$B$3:$B$3390,"&lt;&gt;Off-street")&gt;0,1,0)</f>
        <v>0</v>
      </c>
      <c r="R175">
        <f>IF(COUNTIFS('United Data'!$A$3:$A$3390,R$1,'United Data'!$C$3:$C$3390,$A175,'United Data'!$B$3:$B$3390,"&lt;&gt;Off-street")&gt;0,1,0)</f>
        <v>0</v>
      </c>
      <c r="S175">
        <f t="shared" si="4"/>
        <v>1</v>
      </c>
      <c r="T175">
        <f t="shared" si="5"/>
        <v>1</v>
      </c>
    </row>
    <row r="176" spans="1:20" x14ac:dyDescent="0.2">
      <c r="A176" t="s">
        <v>236</v>
      </c>
      <c r="B176">
        <f>IF(COUNTIFS('United Data'!$A$3:$A$3390,B$1,'United Data'!$C$3:$C$3390,$A176,'United Data'!$B$3:$B$3390,"&lt;&gt;Off-street")&gt;0,1,0)</f>
        <v>0</v>
      </c>
      <c r="C176">
        <f>IF(COUNTIFS('United Data'!$A$3:$A$3390,C$1,'United Data'!$C$3:$C$3390,$A176,'United Data'!$B$3:$B$3390,"&lt;&gt;Off-street")&gt;0,1,0)</f>
        <v>0</v>
      </c>
      <c r="D176">
        <f>IF(COUNTIFS('United Data'!$A$3:$A$3390,D$1,'United Data'!$C$3:$C$3390,$A176,'United Data'!$B$3:$B$3390,"&lt;&gt;Off-street")&gt;0,1,0)</f>
        <v>0</v>
      </c>
      <c r="E176">
        <f>IF(COUNTIFS('United Data'!$A$3:$A$3390,E$1,'United Data'!$C$3:$C$3390,$A176,'United Data'!$B$3:$B$3390,"&lt;&gt;Off-street")&gt;0,1,0)</f>
        <v>0</v>
      </c>
      <c r="F176">
        <f>IF(COUNTIFS('United Data'!$A$3:$A$3390,F$1,'United Data'!$C$3:$C$3390,$A176,'United Data'!$B$3:$B$3390,"&lt;&gt;Off-street")&gt;0,1,0)</f>
        <v>0</v>
      </c>
      <c r="G176">
        <f>IF(COUNTIFS('United Data'!$A$3:$A$3390,G$1,'United Data'!$C$3:$C$3390,$A176,'United Data'!$B$3:$B$3390,"&lt;&gt;Off-street")&gt;0,1,0)</f>
        <v>0</v>
      </c>
      <c r="H176">
        <f>IF(COUNTIFS('United Data'!$A$3:$A$3390,H$1,'United Data'!$C$3:$C$3390,$A176,'United Data'!$B$3:$B$3390,"&lt;&gt;Off-street")&gt;0,1,0)</f>
        <v>0</v>
      </c>
      <c r="I176">
        <f>IF(COUNTIFS('United Data'!$A$3:$A$3390,I$1,'United Data'!$C$3:$C$3390,$A176,'United Data'!$B$3:$B$3390,"&lt;&gt;Off-street")&gt;0,1,0)</f>
        <v>0</v>
      </c>
      <c r="J176">
        <f>IF(COUNTIFS('United Data'!$A$3:$A$3390,J$1,'United Data'!$C$3:$C$3390,$A176,'United Data'!$B$3:$B$3390,"&lt;&gt;Off-street")&gt;0,1,0)</f>
        <v>0</v>
      </c>
      <c r="K176">
        <f>IF(COUNTIFS('United Data'!$A$3:$A$3390,K$1,'United Data'!$C$3:$C$3390,$A176,'United Data'!$B$3:$B$3390,"&lt;&gt;Off-street")&gt;0,1,0)</f>
        <v>0</v>
      </c>
      <c r="L176">
        <f>IF(COUNTIFS('United Data'!$A$3:$A$3390,L$1,'United Data'!$C$3:$C$3390,$A176,'United Data'!$B$3:$B$3390,"&lt;&gt;Off-street")&gt;0,1,0)</f>
        <v>0</v>
      </c>
      <c r="M176">
        <f>IF(COUNTIFS('United Data'!$A$3:$A$3390,M$1,'United Data'!$C$3:$C$3390,$A176,'United Data'!$B$3:$B$3390,"&lt;&gt;Off-street")&gt;0,1,0)</f>
        <v>0</v>
      </c>
      <c r="N176">
        <f>IF(COUNTIFS('United Data'!$A$3:$A$3390,N$1,'United Data'!$C$3:$C$3390,$A176,'United Data'!$B$3:$B$3390,"&lt;&gt;Off-street")&gt;0,1,0)</f>
        <v>1</v>
      </c>
      <c r="O176">
        <f>IF(COUNTIFS('United Data'!$A$3:$A$3390,O$1,'United Data'!$C$3:$C$3390,$A176,'United Data'!$B$3:$B$3390,"&lt;&gt;Off-street")&gt;0,1,0)</f>
        <v>1</v>
      </c>
      <c r="P176">
        <f>IF(COUNTIFS('United Data'!$A$3:$A$3390,P$1,'United Data'!$C$3:$C$3390,$A176,'United Data'!$B$3:$B$3390,"&lt;&gt;Off-street")&gt;0,1,0)</f>
        <v>0</v>
      </c>
      <c r="Q176">
        <f>IF(COUNTIFS('United Data'!$A$3:$A$3390,Q$1,'United Data'!$C$3:$C$3390,$A176,'United Data'!$B$3:$B$3390,"&lt;&gt;Off-street")&gt;0,1,0)</f>
        <v>0</v>
      </c>
      <c r="R176">
        <f>IF(COUNTIFS('United Data'!$A$3:$A$3390,R$1,'United Data'!$C$3:$C$3390,$A176,'United Data'!$B$3:$B$3390,"&lt;&gt;Off-street")&gt;0,1,0)</f>
        <v>0</v>
      </c>
      <c r="S176">
        <f t="shared" si="4"/>
        <v>2</v>
      </c>
      <c r="T176">
        <f t="shared" si="5"/>
        <v>1</v>
      </c>
    </row>
    <row r="177" spans="1:20" x14ac:dyDescent="0.2">
      <c r="A177" t="s">
        <v>237</v>
      </c>
      <c r="B177">
        <f>IF(COUNTIFS('United Data'!$A$3:$A$3390,B$1,'United Data'!$C$3:$C$3390,$A177,'United Data'!$B$3:$B$3390,"&lt;&gt;Off-street")&gt;0,1,0)</f>
        <v>0</v>
      </c>
      <c r="C177">
        <f>IF(COUNTIFS('United Data'!$A$3:$A$3390,C$1,'United Data'!$C$3:$C$3390,$A177,'United Data'!$B$3:$B$3390,"&lt;&gt;Off-street")&gt;0,1,0)</f>
        <v>0</v>
      </c>
      <c r="D177">
        <f>IF(COUNTIFS('United Data'!$A$3:$A$3390,D$1,'United Data'!$C$3:$C$3390,$A177,'United Data'!$B$3:$B$3390,"&lt;&gt;Off-street")&gt;0,1,0)</f>
        <v>0</v>
      </c>
      <c r="E177">
        <f>IF(COUNTIFS('United Data'!$A$3:$A$3390,E$1,'United Data'!$C$3:$C$3390,$A177,'United Data'!$B$3:$B$3390,"&lt;&gt;Off-street")&gt;0,1,0)</f>
        <v>0</v>
      </c>
      <c r="F177">
        <f>IF(COUNTIFS('United Data'!$A$3:$A$3390,F$1,'United Data'!$C$3:$C$3390,$A177,'United Data'!$B$3:$B$3390,"&lt;&gt;Off-street")&gt;0,1,0)</f>
        <v>0</v>
      </c>
      <c r="G177">
        <f>IF(COUNTIFS('United Data'!$A$3:$A$3390,G$1,'United Data'!$C$3:$C$3390,$A177,'United Data'!$B$3:$B$3390,"&lt;&gt;Off-street")&gt;0,1,0)</f>
        <v>0</v>
      </c>
      <c r="H177">
        <f>IF(COUNTIFS('United Data'!$A$3:$A$3390,H$1,'United Data'!$C$3:$C$3390,$A177,'United Data'!$B$3:$B$3390,"&lt;&gt;Off-street")&gt;0,1,0)</f>
        <v>0</v>
      </c>
      <c r="I177">
        <f>IF(COUNTIFS('United Data'!$A$3:$A$3390,I$1,'United Data'!$C$3:$C$3390,$A177,'United Data'!$B$3:$B$3390,"&lt;&gt;Off-street")&gt;0,1,0)</f>
        <v>0</v>
      </c>
      <c r="J177">
        <f>IF(COUNTIFS('United Data'!$A$3:$A$3390,J$1,'United Data'!$C$3:$C$3390,$A177,'United Data'!$B$3:$B$3390,"&lt;&gt;Off-street")&gt;0,1,0)</f>
        <v>0</v>
      </c>
      <c r="K177">
        <f>IF(COUNTIFS('United Data'!$A$3:$A$3390,K$1,'United Data'!$C$3:$C$3390,$A177,'United Data'!$B$3:$B$3390,"&lt;&gt;Off-street")&gt;0,1,0)</f>
        <v>0</v>
      </c>
      <c r="L177">
        <f>IF(COUNTIFS('United Data'!$A$3:$A$3390,L$1,'United Data'!$C$3:$C$3390,$A177,'United Data'!$B$3:$B$3390,"&lt;&gt;Off-street")&gt;0,1,0)</f>
        <v>0</v>
      </c>
      <c r="M177">
        <f>IF(COUNTIFS('United Data'!$A$3:$A$3390,M$1,'United Data'!$C$3:$C$3390,$A177,'United Data'!$B$3:$B$3390,"&lt;&gt;Off-street")&gt;0,1,0)</f>
        <v>0</v>
      </c>
      <c r="N177">
        <f>IF(COUNTIFS('United Data'!$A$3:$A$3390,N$1,'United Data'!$C$3:$C$3390,$A177,'United Data'!$B$3:$B$3390,"&lt;&gt;Off-street")&gt;0,1,0)</f>
        <v>0</v>
      </c>
      <c r="O177">
        <f>IF(COUNTIFS('United Data'!$A$3:$A$3390,O$1,'United Data'!$C$3:$C$3390,$A177,'United Data'!$B$3:$B$3390,"&lt;&gt;Off-street")&gt;0,1,0)</f>
        <v>1</v>
      </c>
      <c r="P177">
        <f>IF(COUNTIFS('United Data'!$A$3:$A$3390,P$1,'United Data'!$C$3:$C$3390,$A177,'United Data'!$B$3:$B$3390,"&lt;&gt;Off-street")&gt;0,1,0)</f>
        <v>0</v>
      </c>
      <c r="Q177">
        <f>IF(COUNTIFS('United Data'!$A$3:$A$3390,Q$1,'United Data'!$C$3:$C$3390,$A177,'United Data'!$B$3:$B$3390,"&lt;&gt;Off-street")&gt;0,1,0)</f>
        <v>0</v>
      </c>
      <c r="R177">
        <f>IF(COUNTIFS('United Data'!$A$3:$A$3390,R$1,'United Data'!$C$3:$C$3390,$A177,'United Data'!$B$3:$B$3390,"&lt;&gt;Off-street")&gt;0,1,0)</f>
        <v>0</v>
      </c>
      <c r="S177">
        <f t="shared" si="4"/>
        <v>1</v>
      </c>
      <c r="T177">
        <f t="shared" si="5"/>
        <v>1</v>
      </c>
    </row>
    <row r="178" spans="1:20" x14ac:dyDescent="0.2">
      <c r="A178" t="s">
        <v>238</v>
      </c>
      <c r="B178">
        <f>IF(COUNTIFS('United Data'!$A$3:$A$3390,B$1,'United Data'!$C$3:$C$3390,$A178,'United Data'!$B$3:$B$3390,"&lt;&gt;Off-street")&gt;0,1,0)</f>
        <v>0</v>
      </c>
      <c r="C178">
        <f>IF(COUNTIFS('United Data'!$A$3:$A$3390,C$1,'United Data'!$C$3:$C$3390,$A178,'United Data'!$B$3:$B$3390,"&lt;&gt;Off-street")&gt;0,1,0)</f>
        <v>0</v>
      </c>
      <c r="D178">
        <f>IF(COUNTIFS('United Data'!$A$3:$A$3390,D$1,'United Data'!$C$3:$C$3390,$A178,'United Data'!$B$3:$B$3390,"&lt;&gt;Off-street")&gt;0,1,0)</f>
        <v>0</v>
      </c>
      <c r="E178">
        <f>IF(COUNTIFS('United Data'!$A$3:$A$3390,E$1,'United Data'!$C$3:$C$3390,$A178,'United Data'!$B$3:$B$3390,"&lt;&gt;Off-street")&gt;0,1,0)</f>
        <v>0</v>
      </c>
      <c r="F178">
        <f>IF(COUNTIFS('United Data'!$A$3:$A$3390,F$1,'United Data'!$C$3:$C$3390,$A178,'United Data'!$B$3:$B$3390,"&lt;&gt;Off-street")&gt;0,1,0)</f>
        <v>0</v>
      </c>
      <c r="G178">
        <f>IF(COUNTIFS('United Data'!$A$3:$A$3390,G$1,'United Data'!$C$3:$C$3390,$A178,'United Data'!$B$3:$B$3390,"&lt;&gt;Off-street")&gt;0,1,0)</f>
        <v>0</v>
      </c>
      <c r="H178">
        <f>IF(COUNTIFS('United Data'!$A$3:$A$3390,H$1,'United Data'!$C$3:$C$3390,$A178,'United Data'!$B$3:$B$3390,"&lt;&gt;Off-street")&gt;0,1,0)</f>
        <v>0</v>
      </c>
      <c r="I178">
        <f>IF(COUNTIFS('United Data'!$A$3:$A$3390,I$1,'United Data'!$C$3:$C$3390,$A178,'United Data'!$B$3:$B$3390,"&lt;&gt;Off-street")&gt;0,1,0)</f>
        <v>0</v>
      </c>
      <c r="J178">
        <f>IF(COUNTIFS('United Data'!$A$3:$A$3390,J$1,'United Data'!$C$3:$C$3390,$A178,'United Data'!$B$3:$B$3390,"&lt;&gt;Off-street")&gt;0,1,0)</f>
        <v>0</v>
      </c>
      <c r="K178">
        <f>IF(COUNTIFS('United Data'!$A$3:$A$3390,K$1,'United Data'!$C$3:$C$3390,$A178,'United Data'!$B$3:$B$3390,"&lt;&gt;Off-street")&gt;0,1,0)</f>
        <v>0</v>
      </c>
      <c r="L178">
        <f>IF(COUNTIFS('United Data'!$A$3:$A$3390,L$1,'United Data'!$C$3:$C$3390,$A178,'United Data'!$B$3:$B$3390,"&lt;&gt;Off-street")&gt;0,1,0)</f>
        <v>0</v>
      </c>
      <c r="M178">
        <f>IF(COUNTIFS('United Data'!$A$3:$A$3390,M$1,'United Data'!$C$3:$C$3390,$A178,'United Data'!$B$3:$B$3390,"&lt;&gt;Off-street")&gt;0,1,0)</f>
        <v>0</v>
      </c>
      <c r="N178">
        <f>IF(COUNTIFS('United Data'!$A$3:$A$3390,N$1,'United Data'!$C$3:$C$3390,$A178,'United Data'!$B$3:$B$3390,"&lt;&gt;Off-street")&gt;0,1,0)</f>
        <v>0</v>
      </c>
      <c r="O178">
        <f>IF(COUNTIFS('United Data'!$A$3:$A$3390,O$1,'United Data'!$C$3:$C$3390,$A178,'United Data'!$B$3:$B$3390,"&lt;&gt;Off-street")&gt;0,1,0)</f>
        <v>1</v>
      </c>
      <c r="P178">
        <f>IF(COUNTIFS('United Data'!$A$3:$A$3390,P$1,'United Data'!$C$3:$C$3390,$A178,'United Data'!$B$3:$B$3390,"&lt;&gt;Off-street")&gt;0,1,0)</f>
        <v>0</v>
      </c>
      <c r="Q178">
        <f>IF(COUNTIFS('United Data'!$A$3:$A$3390,Q$1,'United Data'!$C$3:$C$3390,$A178,'United Data'!$B$3:$B$3390,"&lt;&gt;Off-street")&gt;0,1,0)</f>
        <v>0</v>
      </c>
      <c r="R178">
        <f>IF(COUNTIFS('United Data'!$A$3:$A$3390,R$1,'United Data'!$C$3:$C$3390,$A178,'United Data'!$B$3:$B$3390,"&lt;&gt;Off-street")&gt;0,1,0)</f>
        <v>0</v>
      </c>
      <c r="S178">
        <f t="shared" si="4"/>
        <v>1</v>
      </c>
      <c r="T178">
        <f t="shared" si="5"/>
        <v>1</v>
      </c>
    </row>
    <row r="179" spans="1:20" x14ac:dyDescent="0.2">
      <c r="A179" t="s">
        <v>239</v>
      </c>
      <c r="B179">
        <f>IF(COUNTIFS('United Data'!$A$3:$A$3390,B$1,'United Data'!$C$3:$C$3390,$A179,'United Data'!$B$3:$B$3390,"&lt;&gt;Off-street")&gt;0,1,0)</f>
        <v>0</v>
      </c>
      <c r="C179">
        <f>IF(COUNTIFS('United Data'!$A$3:$A$3390,C$1,'United Data'!$C$3:$C$3390,$A179,'United Data'!$B$3:$B$3390,"&lt;&gt;Off-street")&gt;0,1,0)</f>
        <v>0</v>
      </c>
      <c r="D179">
        <f>IF(COUNTIFS('United Data'!$A$3:$A$3390,D$1,'United Data'!$C$3:$C$3390,$A179,'United Data'!$B$3:$B$3390,"&lt;&gt;Off-street")&gt;0,1,0)</f>
        <v>1</v>
      </c>
      <c r="E179">
        <f>IF(COUNTIFS('United Data'!$A$3:$A$3390,E$1,'United Data'!$C$3:$C$3390,$A179,'United Data'!$B$3:$B$3390,"&lt;&gt;Off-street")&gt;0,1,0)</f>
        <v>1</v>
      </c>
      <c r="F179">
        <f>IF(COUNTIFS('United Data'!$A$3:$A$3390,F$1,'United Data'!$C$3:$C$3390,$A179,'United Data'!$B$3:$B$3390,"&lt;&gt;Off-street")&gt;0,1,0)</f>
        <v>1</v>
      </c>
      <c r="G179">
        <f>IF(COUNTIFS('United Data'!$A$3:$A$3390,G$1,'United Data'!$C$3:$C$3390,$A179,'United Data'!$B$3:$B$3390,"&lt;&gt;Off-street")&gt;0,1,0)</f>
        <v>0</v>
      </c>
      <c r="H179">
        <f>IF(COUNTIFS('United Data'!$A$3:$A$3390,H$1,'United Data'!$C$3:$C$3390,$A179,'United Data'!$B$3:$B$3390,"&lt;&gt;Off-street")&gt;0,1,0)</f>
        <v>0</v>
      </c>
      <c r="I179">
        <f>IF(COUNTIFS('United Data'!$A$3:$A$3390,I$1,'United Data'!$C$3:$C$3390,$A179,'United Data'!$B$3:$B$3390,"&lt;&gt;Off-street")&gt;0,1,0)</f>
        <v>1</v>
      </c>
      <c r="J179">
        <f>IF(COUNTIFS('United Data'!$A$3:$A$3390,J$1,'United Data'!$C$3:$C$3390,$A179,'United Data'!$B$3:$B$3390,"&lt;&gt;Off-street")&gt;0,1,0)</f>
        <v>0</v>
      </c>
      <c r="K179">
        <f>IF(COUNTIFS('United Data'!$A$3:$A$3390,K$1,'United Data'!$C$3:$C$3390,$A179,'United Data'!$B$3:$B$3390,"&lt;&gt;Off-street")&gt;0,1,0)</f>
        <v>0</v>
      </c>
      <c r="L179">
        <f>IF(COUNTIFS('United Data'!$A$3:$A$3390,L$1,'United Data'!$C$3:$C$3390,$A179,'United Data'!$B$3:$B$3390,"&lt;&gt;Off-street")&gt;0,1,0)</f>
        <v>0</v>
      </c>
      <c r="M179">
        <f>IF(COUNTIFS('United Data'!$A$3:$A$3390,M$1,'United Data'!$C$3:$C$3390,$A179,'United Data'!$B$3:$B$3390,"&lt;&gt;Off-street")&gt;0,1,0)</f>
        <v>0</v>
      </c>
      <c r="N179">
        <f>IF(COUNTIFS('United Data'!$A$3:$A$3390,N$1,'United Data'!$C$3:$C$3390,$A179,'United Data'!$B$3:$B$3390,"&lt;&gt;Off-street")&gt;0,1,0)</f>
        <v>0</v>
      </c>
      <c r="O179">
        <f>IF(COUNTIFS('United Data'!$A$3:$A$3390,O$1,'United Data'!$C$3:$C$3390,$A179,'United Data'!$B$3:$B$3390,"&lt;&gt;Off-street")&gt;0,1,0)</f>
        <v>1</v>
      </c>
      <c r="P179">
        <f>IF(COUNTIFS('United Data'!$A$3:$A$3390,P$1,'United Data'!$C$3:$C$3390,$A179,'United Data'!$B$3:$B$3390,"&lt;&gt;Off-street")&gt;0,1,0)</f>
        <v>0</v>
      </c>
      <c r="Q179">
        <f>IF(COUNTIFS('United Data'!$A$3:$A$3390,Q$1,'United Data'!$C$3:$C$3390,$A179,'United Data'!$B$3:$B$3390,"&lt;&gt;Off-street")&gt;0,1,0)</f>
        <v>0</v>
      </c>
      <c r="R179">
        <f>IF(COUNTIFS('United Data'!$A$3:$A$3390,R$1,'United Data'!$C$3:$C$3390,$A179,'United Data'!$B$3:$B$3390,"&lt;&gt;Off-street")&gt;0,1,0)</f>
        <v>0</v>
      </c>
      <c r="S179">
        <f t="shared" si="4"/>
        <v>5</v>
      </c>
      <c r="T179">
        <f t="shared" si="5"/>
        <v>3</v>
      </c>
    </row>
    <row r="180" spans="1:20" x14ac:dyDescent="0.2">
      <c r="A180" t="s">
        <v>240</v>
      </c>
      <c r="B180">
        <f>IF(COUNTIFS('United Data'!$A$3:$A$3390,B$1,'United Data'!$C$3:$C$3390,$A180,'United Data'!$B$3:$B$3390,"&lt;&gt;Off-street")&gt;0,1,0)</f>
        <v>0</v>
      </c>
      <c r="C180">
        <f>IF(COUNTIFS('United Data'!$A$3:$A$3390,C$1,'United Data'!$C$3:$C$3390,$A180,'United Data'!$B$3:$B$3390,"&lt;&gt;Off-street")&gt;0,1,0)</f>
        <v>0</v>
      </c>
      <c r="D180">
        <f>IF(COUNTIFS('United Data'!$A$3:$A$3390,D$1,'United Data'!$C$3:$C$3390,$A180,'United Data'!$B$3:$B$3390,"&lt;&gt;Off-street")&gt;0,1,0)</f>
        <v>0</v>
      </c>
      <c r="E180">
        <f>IF(COUNTIFS('United Data'!$A$3:$A$3390,E$1,'United Data'!$C$3:$C$3390,$A180,'United Data'!$B$3:$B$3390,"&lt;&gt;Off-street")&gt;0,1,0)</f>
        <v>0</v>
      </c>
      <c r="F180">
        <f>IF(COUNTIFS('United Data'!$A$3:$A$3390,F$1,'United Data'!$C$3:$C$3390,$A180,'United Data'!$B$3:$B$3390,"&lt;&gt;Off-street")&gt;0,1,0)</f>
        <v>0</v>
      </c>
      <c r="G180">
        <f>IF(COUNTIFS('United Data'!$A$3:$A$3390,G$1,'United Data'!$C$3:$C$3390,$A180,'United Data'!$B$3:$B$3390,"&lt;&gt;Off-street")&gt;0,1,0)</f>
        <v>0</v>
      </c>
      <c r="H180">
        <f>IF(COUNTIFS('United Data'!$A$3:$A$3390,H$1,'United Data'!$C$3:$C$3390,$A180,'United Data'!$B$3:$B$3390,"&lt;&gt;Off-street")&gt;0,1,0)</f>
        <v>0</v>
      </c>
      <c r="I180">
        <f>IF(COUNTIFS('United Data'!$A$3:$A$3390,I$1,'United Data'!$C$3:$C$3390,$A180,'United Data'!$B$3:$B$3390,"&lt;&gt;Off-street")&gt;0,1,0)</f>
        <v>0</v>
      </c>
      <c r="J180">
        <f>IF(COUNTIFS('United Data'!$A$3:$A$3390,J$1,'United Data'!$C$3:$C$3390,$A180,'United Data'!$B$3:$B$3390,"&lt;&gt;Off-street")&gt;0,1,0)</f>
        <v>0</v>
      </c>
      <c r="K180">
        <f>IF(COUNTIFS('United Data'!$A$3:$A$3390,K$1,'United Data'!$C$3:$C$3390,$A180,'United Data'!$B$3:$B$3390,"&lt;&gt;Off-street")&gt;0,1,0)</f>
        <v>0</v>
      </c>
      <c r="L180">
        <f>IF(COUNTIFS('United Data'!$A$3:$A$3390,L$1,'United Data'!$C$3:$C$3390,$A180,'United Data'!$B$3:$B$3390,"&lt;&gt;Off-street")&gt;0,1,0)</f>
        <v>0</v>
      </c>
      <c r="M180">
        <f>IF(COUNTIFS('United Data'!$A$3:$A$3390,M$1,'United Data'!$C$3:$C$3390,$A180,'United Data'!$B$3:$B$3390,"&lt;&gt;Off-street")&gt;0,1,0)</f>
        <v>0</v>
      </c>
      <c r="N180">
        <f>IF(COUNTIFS('United Data'!$A$3:$A$3390,N$1,'United Data'!$C$3:$C$3390,$A180,'United Data'!$B$3:$B$3390,"&lt;&gt;Off-street")&gt;0,1,0)</f>
        <v>0</v>
      </c>
      <c r="O180">
        <f>IF(COUNTIFS('United Data'!$A$3:$A$3390,O$1,'United Data'!$C$3:$C$3390,$A180,'United Data'!$B$3:$B$3390,"&lt;&gt;Off-street")&gt;0,1,0)</f>
        <v>1</v>
      </c>
      <c r="P180">
        <f>IF(COUNTIFS('United Data'!$A$3:$A$3390,P$1,'United Data'!$C$3:$C$3390,$A180,'United Data'!$B$3:$B$3390,"&lt;&gt;Off-street")&gt;0,1,0)</f>
        <v>0</v>
      </c>
      <c r="Q180">
        <f>IF(COUNTIFS('United Data'!$A$3:$A$3390,Q$1,'United Data'!$C$3:$C$3390,$A180,'United Data'!$B$3:$B$3390,"&lt;&gt;Off-street")&gt;0,1,0)</f>
        <v>0</v>
      </c>
      <c r="R180">
        <f>IF(COUNTIFS('United Data'!$A$3:$A$3390,R$1,'United Data'!$C$3:$C$3390,$A180,'United Data'!$B$3:$B$3390,"&lt;&gt;Off-street")&gt;0,1,0)</f>
        <v>0</v>
      </c>
      <c r="S180">
        <f t="shared" si="4"/>
        <v>1</v>
      </c>
      <c r="T180">
        <f t="shared" si="5"/>
        <v>1</v>
      </c>
    </row>
    <row r="181" spans="1:20" x14ac:dyDescent="0.2">
      <c r="A181" t="s">
        <v>241</v>
      </c>
      <c r="B181">
        <f>IF(COUNTIFS('United Data'!$A$3:$A$3390,B$1,'United Data'!$C$3:$C$3390,$A181,'United Data'!$B$3:$B$3390,"&lt;&gt;Off-street")&gt;0,1,0)</f>
        <v>0</v>
      </c>
      <c r="C181">
        <f>IF(COUNTIFS('United Data'!$A$3:$A$3390,C$1,'United Data'!$C$3:$C$3390,$A181,'United Data'!$B$3:$B$3390,"&lt;&gt;Off-street")&gt;0,1,0)</f>
        <v>0</v>
      </c>
      <c r="D181">
        <f>IF(COUNTIFS('United Data'!$A$3:$A$3390,D$1,'United Data'!$C$3:$C$3390,$A181,'United Data'!$B$3:$B$3390,"&lt;&gt;Off-street")&gt;0,1,0)</f>
        <v>0</v>
      </c>
      <c r="E181">
        <f>IF(COUNTIFS('United Data'!$A$3:$A$3390,E$1,'United Data'!$C$3:$C$3390,$A181,'United Data'!$B$3:$B$3390,"&lt;&gt;Off-street")&gt;0,1,0)</f>
        <v>0</v>
      </c>
      <c r="F181">
        <f>IF(COUNTIFS('United Data'!$A$3:$A$3390,F$1,'United Data'!$C$3:$C$3390,$A181,'United Data'!$B$3:$B$3390,"&lt;&gt;Off-street")&gt;0,1,0)</f>
        <v>0</v>
      </c>
      <c r="G181">
        <f>IF(COUNTIFS('United Data'!$A$3:$A$3390,G$1,'United Data'!$C$3:$C$3390,$A181,'United Data'!$B$3:$B$3390,"&lt;&gt;Off-street")&gt;0,1,0)</f>
        <v>0</v>
      </c>
      <c r="H181">
        <f>IF(COUNTIFS('United Data'!$A$3:$A$3390,H$1,'United Data'!$C$3:$C$3390,$A181,'United Data'!$B$3:$B$3390,"&lt;&gt;Off-street")&gt;0,1,0)</f>
        <v>0</v>
      </c>
      <c r="I181">
        <f>IF(COUNTIFS('United Data'!$A$3:$A$3390,I$1,'United Data'!$C$3:$C$3390,$A181,'United Data'!$B$3:$B$3390,"&lt;&gt;Off-street")&gt;0,1,0)</f>
        <v>0</v>
      </c>
      <c r="J181">
        <f>IF(COUNTIFS('United Data'!$A$3:$A$3390,J$1,'United Data'!$C$3:$C$3390,$A181,'United Data'!$B$3:$B$3390,"&lt;&gt;Off-street")&gt;0,1,0)</f>
        <v>0</v>
      </c>
      <c r="K181">
        <f>IF(COUNTIFS('United Data'!$A$3:$A$3390,K$1,'United Data'!$C$3:$C$3390,$A181,'United Data'!$B$3:$B$3390,"&lt;&gt;Off-street")&gt;0,1,0)</f>
        <v>0</v>
      </c>
      <c r="L181">
        <f>IF(COUNTIFS('United Data'!$A$3:$A$3390,L$1,'United Data'!$C$3:$C$3390,$A181,'United Data'!$B$3:$B$3390,"&lt;&gt;Off-street")&gt;0,1,0)</f>
        <v>0</v>
      </c>
      <c r="M181">
        <f>IF(COUNTIFS('United Data'!$A$3:$A$3390,M$1,'United Data'!$C$3:$C$3390,$A181,'United Data'!$B$3:$B$3390,"&lt;&gt;Off-street")&gt;0,1,0)</f>
        <v>0</v>
      </c>
      <c r="N181">
        <f>IF(COUNTIFS('United Data'!$A$3:$A$3390,N$1,'United Data'!$C$3:$C$3390,$A181,'United Data'!$B$3:$B$3390,"&lt;&gt;Off-street")&gt;0,1,0)</f>
        <v>0</v>
      </c>
      <c r="O181">
        <f>IF(COUNTIFS('United Data'!$A$3:$A$3390,O$1,'United Data'!$C$3:$C$3390,$A181,'United Data'!$B$3:$B$3390,"&lt;&gt;Off-street")&gt;0,1,0)</f>
        <v>0</v>
      </c>
      <c r="P181">
        <f>IF(COUNTIFS('United Data'!$A$3:$A$3390,P$1,'United Data'!$C$3:$C$3390,$A181,'United Data'!$B$3:$B$3390,"&lt;&gt;Off-street")&gt;0,1,0)</f>
        <v>1</v>
      </c>
      <c r="Q181">
        <f>IF(COUNTIFS('United Data'!$A$3:$A$3390,Q$1,'United Data'!$C$3:$C$3390,$A181,'United Data'!$B$3:$B$3390,"&lt;&gt;Off-street")&gt;0,1,0)</f>
        <v>1</v>
      </c>
      <c r="R181">
        <f>IF(COUNTIFS('United Data'!$A$3:$A$3390,R$1,'United Data'!$C$3:$C$3390,$A181,'United Data'!$B$3:$B$3390,"&lt;&gt;Off-street")&gt;0,1,0)</f>
        <v>0</v>
      </c>
      <c r="S181">
        <f t="shared" si="4"/>
        <v>2</v>
      </c>
      <c r="T181">
        <f t="shared" si="5"/>
        <v>1</v>
      </c>
    </row>
    <row r="182" spans="1:20" x14ac:dyDescent="0.2">
      <c r="A182" t="s">
        <v>242</v>
      </c>
      <c r="B182">
        <f>IF(COUNTIFS('United Data'!$A$3:$A$3390,B$1,'United Data'!$C$3:$C$3390,$A182,'United Data'!$B$3:$B$3390,"&lt;&gt;Off-street")&gt;0,1,0)</f>
        <v>0</v>
      </c>
      <c r="C182">
        <f>IF(COUNTIFS('United Data'!$A$3:$A$3390,C$1,'United Data'!$C$3:$C$3390,$A182,'United Data'!$B$3:$B$3390,"&lt;&gt;Off-street")&gt;0,1,0)</f>
        <v>0</v>
      </c>
      <c r="D182">
        <f>IF(COUNTIFS('United Data'!$A$3:$A$3390,D$1,'United Data'!$C$3:$C$3390,$A182,'United Data'!$B$3:$B$3390,"&lt;&gt;Off-street")&gt;0,1,0)</f>
        <v>0</v>
      </c>
      <c r="E182">
        <f>IF(COUNTIFS('United Data'!$A$3:$A$3390,E$1,'United Data'!$C$3:$C$3390,$A182,'United Data'!$B$3:$B$3390,"&lt;&gt;Off-street")&gt;0,1,0)</f>
        <v>0</v>
      </c>
      <c r="F182">
        <f>IF(COUNTIFS('United Data'!$A$3:$A$3390,F$1,'United Data'!$C$3:$C$3390,$A182,'United Data'!$B$3:$B$3390,"&lt;&gt;Off-street")&gt;0,1,0)</f>
        <v>0</v>
      </c>
      <c r="G182">
        <f>IF(COUNTIFS('United Data'!$A$3:$A$3390,G$1,'United Data'!$C$3:$C$3390,$A182,'United Data'!$B$3:$B$3390,"&lt;&gt;Off-street")&gt;0,1,0)</f>
        <v>0</v>
      </c>
      <c r="H182">
        <f>IF(COUNTIFS('United Data'!$A$3:$A$3390,H$1,'United Data'!$C$3:$C$3390,$A182,'United Data'!$B$3:$B$3390,"&lt;&gt;Off-street")&gt;0,1,0)</f>
        <v>0</v>
      </c>
      <c r="I182">
        <f>IF(COUNTIFS('United Data'!$A$3:$A$3390,I$1,'United Data'!$C$3:$C$3390,$A182,'United Data'!$B$3:$B$3390,"&lt;&gt;Off-street")&gt;0,1,0)</f>
        <v>0</v>
      </c>
      <c r="J182">
        <f>IF(COUNTIFS('United Data'!$A$3:$A$3390,J$1,'United Data'!$C$3:$C$3390,$A182,'United Data'!$B$3:$B$3390,"&lt;&gt;Off-street")&gt;0,1,0)</f>
        <v>0</v>
      </c>
      <c r="K182">
        <f>IF(COUNTIFS('United Data'!$A$3:$A$3390,K$1,'United Data'!$C$3:$C$3390,$A182,'United Data'!$B$3:$B$3390,"&lt;&gt;Off-street")&gt;0,1,0)</f>
        <v>0</v>
      </c>
      <c r="L182">
        <f>IF(COUNTIFS('United Data'!$A$3:$A$3390,L$1,'United Data'!$C$3:$C$3390,$A182,'United Data'!$B$3:$B$3390,"&lt;&gt;Off-street")&gt;0,1,0)</f>
        <v>0</v>
      </c>
      <c r="M182">
        <f>IF(COUNTIFS('United Data'!$A$3:$A$3390,M$1,'United Data'!$C$3:$C$3390,$A182,'United Data'!$B$3:$B$3390,"&lt;&gt;Off-street")&gt;0,1,0)</f>
        <v>0</v>
      </c>
      <c r="N182">
        <f>IF(COUNTIFS('United Data'!$A$3:$A$3390,N$1,'United Data'!$C$3:$C$3390,$A182,'United Data'!$B$3:$B$3390,"&lt;&gt;Off-street")&gt;0,1,0)</f>
        <v>0</v>
      </c>
      <c r="O182">
        <f>IF(COUNTIFS('United Data'!$A$3:$A$3390,O$1,'United Data'!$C$3:$C$3390,$A182,'United Data'!$B$3:$B$3390,"&lt;&gt;Off-street")&gt;0,1,0)</f>
        <v>0</v>
      </c>
      <c r="P182">
        <f>IF(COUNTIFS('United Data'!$A$3:$A$3390,P$1,'United Data'!$C$3:$C$3390,$A182,'United Data'!$B$3:$B$3390,"&lt;&gt;Off-street")&gt;0,1,0)</f>
        <v>1</v>
      </c>
      <c r="Q182">
        <f>IF(COUNTIFS('United Data'!$A$3:$A$3390,Q$1,'United Data'!$C$3:$C$3390,$A182,'United Data'!$B$3:$B$3390,"&lt;&gt;Off-street")&gt;0,1,0)</f>
        <v>0</v>
      </c>
      <c r="R182">
        <f>IF(COUNTIFS('United Data'!$A$3:$A$3390,R$1,'United Data'!$C$3:$C$3390,$A182,'United Data'!$B$3:$B$3390,"&lt;&gt;Off-street")&gt;0,1,0)</f>
        <v>0</v>
      </c>
      <c r="S182">
        <f t="shared" si="4"/>
        <v>1</v>
      </c>
      <c r="T182">
        <f t="shared" si="5"/>
        <v>1</v>
      </c>
    </row>
    <row r="183" spans="1:20" x14ac:dyDescent="0.2">
      <c r="A183" t="s">
        <v>243</v>
      </c>
      <c r="B183">
        <f>IF(COUNTIFS('United Data'!$A$3:$A$3390,B$1,'United Data'!$C$3:$C$3390,$A183,'United Data'!$B$3:$B$3390,"&lt;&gt;Off-street")&gt;0,1,0)</f>
        <v>0</v>
      </c>
      <c r="C183">
        <f>IF(COUNTIFS('United Data'!$A$3:$A$3390,C$1,'United Data'!$C$3:$C$3390,$A183,'United Data'!$B$3:$B$3390,"&lt;&gt;Off-street")&gt;0,1,0)</f>
        <v>0</v>
      </c>
      <c r="D183">
        <f>IF(COUNTIFS('United Data'!$A$3:$A$3390,D$1,'United Data'!$C$3:$C$3390,$A183,'United Data'!$B$3:$B$3390,"&lt;&gt;Off-street")&gt;0,1,0)</f>
        <v>0</v>
      </c>
      <c r="E183">
        <f>IF(COUNTIFS('United Data'!$A$3:$A$3390,E$1,'United Data'!$C$3:$C$3390,$A183,'United Data'!$B$3:$B$3390,"&lt;&gt;Off-street")&gt;0,1,0)</f>
        <v>0</v>
      </c>
      <c r="F183">
        <f>IF(COUNTIFS('United Data'!$A$3:$A$3390,F$1,'United Data'!$C$3:$C$3390,$A183,'United Data'!$B$3:$B$3390,"&lt;&gt;Off-street")&gt;0,1,0)</f>
        <v>0</v>
      </c>
      <c r="G183">
        <f>IF(COUNTIFS('United Data'!$A$3:$A$3390,G$1,'United Data'!$C$3:$C$3390,$A183,'United Data'!$B$3:$B$3390,"&lt;&gt;Off-street")&gt;0,1,0)</f>
        <v>0</v>
      </c>
      <c r="H183">
        <f>IF(COUNTIFS('United Data'!$A$3:$A$3390,H$1,'United Data'!$C$3:$C$3390,$A183,'United Data'!$B$3:$B$3390,"&lt;&gt;Off-street")&gt;0,1,0)</f>
        <v>0</v>
      </c>
      <c r="I183">
        <f>IF(COUNTIFS('United Data'!$A$3:$A$3390,I$1,'United Data'!$C$3:$C$3390,$A183,'United Data'!$B$3:$B$3390,"&lt;&gt;Off-street")&gt;0,1,0)</f>
        <v>0</v>
      </c>
      <c r="J183">
        <f>IF(COUNTIFS('United Data'!$A$3:$A$3390,J$1,'United Data'!$C$3:$C$3390,$A183,'United Data'!$B$3:$B$3390,"&lt;&gt;Off-street")&gt;0,1,0)</f>
        <v>0</v>
      </c>
      <c r="K183">
        <f>IF(COUNTIFS('United Data'!$A$3:$A$3390,K$1,'United Data'!$C$3:$C$3390,$A183,'United Data'!$B$3:$B$3390,"&lt;&gt;Off-street")&gt;0,1,0)</f>
        <v>0</v>
      </c>
      <c r="L183">
        <f>IF(COUNTIFS('United Data'!$A$3:$A$3390,L$1,'United Data'!$C$3:$C$3390,$A183,'United Data'!$B$3:$B$3390,"&lt;&gt;Off-street")&gt;0,1,0)</f>
        <v>0</v>
      </c>
      <c r="M183">
        <f>IF(COUNTIFS('United Data'!$A$3:$A$3390,M$1,'United Data'!$C$3:$C$3390,$A183,'United Data'!$B$3:$B$3390,"&lt;&gt;Off-street")&gt;0,1,0)</f>
        <v>0</v>
      </c>
      <c r="N183">
        <f>IF(COUNTIFS('United Data'!$A$3:$A$3390,N$1,'United Data'!$C$3:$C$3390,$A183,'United Data'!$B$3:$B$3390,"&lt;&gt;Off-street")&gt;0,1,0)</f>
        <v>0</v>
      </c>
      <c r="O183">
        <f>IF(COUNTIFS('United Data'!$A$3:$A$3390,O$1,'United Data'!$C$3:$C$3390,$A183,'United Data'!$B$3:$B$3390,"&lt;&gt;Off-street")&gt;0,1,0)</f>
        <v>0</v>
      </c>
      <c r="P183">
        <f>IF(COUNTIFS('United Data'!$A$3:$A$3390,P$1,'United Data'!$C$3:$C$3390,$A183,'United Data'!$B$3:$B$3390,"&lt;&gt;Off-street")&gt;0,1,0)</f>
        <v>1</v>
      </c>
      <c r="Q183">
        <f>IF(COUNTIFS('United Data'!$A$3:$A$3390,Q$1,'United Data'!$C$3:$C$3390,$A183,'United Data'!$B$3:$B$3390,"&lt;&gt;Off-street")&gt;0,1,0)</f>
        <v>0</v>
      </c>
      <c r="R183">
        <f>IF(COUNTIFS('United Data'!$A$3:$A$3390,R$1,'United Data'!$C$3:$C$3390,$A183,'United Data'!$B$3:$B$3390,"&lt;&gt;Off-street")&gt;0,1,0)</f>
        <v>0</v>
      </c>
      <c r="S183">
        <f t="shared" si="4"/>
        <v>1</v>
      </c>
      <c r="T183">
        <f t="shared" si="5"/>
        <v>1</v>
      </c>
    </row>
    <row r="184" spans="1:20" x14ac:dyDescent="0.2">
      <c r="A184" t="s">
        <v>244</v>
      </c>
      <c r="B184">
        <f>IF(COUNTIFS('United Data'!$A$3:$A$3390,B$1,'United Data'!$C$3:$C$3390,$A184,'United Data'!$B$3:$B$3390,"&lt;&gt;Off-street")&gt;0,1,0)</f>
        <v>0</v>
      </c>
      <c r="C184">
        <f>IF(COUNTIFS('United Data'!$A$3:$A$3390,C$1,'United Data'!$C$3:$C$3390,$A184,'United Data'!$B$3:$B$3390,"&lt;&gt;Off-street")&gt;0,1,0)</f>
        <v>0</v>
      </c>
      <c r="D184">
        <f>IF(COUNTIFS('United Data'!$A$3:$A$3390,D$1,'United Data'!$C$3:$C$3390,$A184,'United Data'!$B$3:$B$3390,"&lt;&gt;Off-street")&gt;0,1,0)</f>
        <v>0</v>
      </c>
      <c r="E184">
        <f>IF(COUNTIFS('United Data'!$A$3:$A$3390,E$1,'United Data'!$C$3:$C$3390,$A184,'United Data'!$B$3:$B$3390,"&lt;&gt;Off-street")&gt;0,1,0)</f>
        <v>0</v>
      </c>
      <c r="F184">
        <f>IF(COUNTIFS('United Data'!$A$3:$A$3390,F$1,'United Data'!$C$3:$C$3390,$A184,'United Data'!$B$3:$B$3390,"&lt;&gt;Off-street")&gt;0,1,0)</f>
        <v>0</v>
      </c>
      <c r="G184">
        <f>IF(COUNTIFS('United Data'!$A$3:$A$3390,G$1,'United Data'!$C$3:$C$3390,$A184,'United Data'!$B$3:$B$3390,"&lt;&gt;Off-street")&gt;0,1,0)</f>
        <v>0</v>
      </c>
      <c r="H184">
        <f>IF(COUNTIFS('United Data'!$A$3:$A$3390,H$1,'United Data'!$C$3:$C$3390,$A184,'United Data'!$B$3:$B$3390,"&lt;&gt;Off-street")&gt;0,1,0)</f>
        <v>0</v>
      </c>
      <c r="I184">
        <f>IF(COUNTIFS('United Data'!$A$3:$A$3390,I$1,'United Data'!$C$3:$C$3390,$A184,'United Data'!$B$3:$B$3390,"&lt;&gt;Off-street")&gt;0,1,0)</f>
        <v>0</v>
      </c>
      <c r="J184">
        <f>IF(COUNTIFS('United Data'!$A$3:$A$3390,J$1,'United Data'!$C$3:$C$3390,$A184,'United Data'!$B$3:$B$3390,"&lt;&gt;Off-street")&gt;0,1,0)</f>
        <v>0</v>
      </c>
      <c r="K184">
        <f>IF(COUNTIFS('United Data'!$A$3:$A$3390,K$1,'United Data'!$C$3:$C$3390,$A184,'United Data'!$B$3:$B$3390,"&lt;&gt;Off-street")&gt;0,1,0)</f>
        <v>0</v>
      </c>
      <c r="L184">
        <f>IF(COUNTIFS('United Data'!$A$3:$A$3390,L$1,'United Data'!$C$3:$C$3390,$A184,'United Data'!$B$3:$B$3390,"&lt;&gt;Off-street")&gt;0,1,0)</f>
        <v>0</v>
      </c>
      <c r="M184">
        <f>IF(COUNTIFS('United Data'!$A$3:$A$3390,M$1,'United Data'!$C$3:$C$3390,$A184,'United Data'!$B$3:$B$3390,"&lt;&gt;Off-street")&gt;0,1,0)</f>
        <v>0</v>
      </c>
      <c r="N184">
        <f>IF(COUNTIFS('United Data'!$A$3:$A$3390,N$1,'United Data'!$C$3:$C$3390,$A184,'United Data'!$B$3:$B$3390,"&lt;&gt;Off-street")&gt;0,1,0)</f>
        <v>0</v>
      </c>
      <c r="O184">
        <f>IF(COUNTIFS('United Data'!$A$3:$A$3390,O$1,'United Data'!$C$3:$C$3390,$A184,'United Data'!$B$3:$B$3390,"&lt;&gt;Off-street")&gt;0,1,0)</f>
        <v>0</v>
      </c>
      <c r="P184">
        <f>IF(COUNTIFS('United Data'!$A$3:$A$3390,P$1,'United Data'!$C$3:$C$3390,$A184,'United Data'!$B$3:$B$3390,"&lt;&gt;Off-street")&gt;0,1,0)</f>
        <v>1</v>
      </c>
      <c r="Q184">
        <f>IF(COUNTIFS('United Data'!$A$3:$A$3390,Q$1,'United Data'!$C$3:$C$3390,$A184,'United Data'!$B$3:$B$3390,"&lt;&gt;Off-street")&gt;0,1,0)</f>
        <v>0</v>
      </c>
      <c r="R184">
        <f>IF(COUNTIFS('United Data'!$A$3:$A$3390,R$1,'United Data'!$C$3:$C$3390,$A184,'United Data'!$B$3:$B$3390,"&lt;&gt;Off-street")&gt;0,1,0)</f>
        <v>0</v>
      </c>
      <c r="S184">
        <f t="shared" si="4"/>
        <v>1</v>
      </c>
      <c r="T184">
        <f t="shared" si="5"/>
        <v>1</v>
      </c>
    </row>
    <row r="185" spans="1:20" x14ac:dyDescent="0.2">
      <c r="A185" t="s">
        <v>245</v>
      </c>
      <c r="B185">
        <f>IF(COUNTIFS('United Data'!$A$3:$A$3390,B$1,'United Data'!$C$3:$C$3390,$A185,'United Data'!$B$3:$B$3390,"&lt;&gt;Off-street")&gt;0,1,0)</f>
        <v>0</v>
      </c>
      <c r="C185">
        <f>IF(COUNTIFS('United Data'!$A$3:$A$3390,C$1,'United Data'!$C$3:$C$3390,$A185,'United Data'!$B$3:$B$3390,"&lt;&gt;Off-street")&gt;0,1,0)</f>
        <v>0</v>
      </c>
      <c r="D185">
        <f>IF(COUNTIFS('United Data'!$A$3:$A$3390,D$1,'United Data'!$C$3:$C$3390,$A185,'United Data'!$B$3:$B$3390,"&lt;&gt;Off-street")&gt;0,1,0)</f>
        <v>0</v>
      </c>
      <c r="E185">
        <f>IF(COUNTIFS('United Data'!$A$3:$A$3390,E$1,'United Data'!$C$3:$C$3390,$A185,'United Data'!$B$3:$B$3390,"&lt;&gt;Off-street")&gt;0,1,0)</f>
        <v>0</v>
      </c>
      <c r="F185">
        <f>IF(COUNTIFS('United Data'!$A$3:$A$3390,F$1,'United Data'!$C$3:$C$3390,$A185,'United Data'!$B$3:$B$3390,"&lt;&gt;Off-street")&gt;0,1,0)</f>
        <v>0</v>
      </c>
      <c r="G185">
        <f>IF(COUNTIFS('United Data'!$A$3:$A$3390,G$1,'United Data'!$C$3:$C$3390,$A185,'United Data'!$B$3:$B$3390,"&lt;&gt;Off-street")&gt;0,1,0)</f>
        <v>0</v>
      </c>
      <c r="H185">
        <f>IF(COUNTIFS('United Data'!$A$3:$A$3390,H$1,'United Data'!$C$3:$C$3390,$A185,'United Data'!$B$3:$B$3390,"&lt;&gt;Off-street")&gt;0,1,0)</f>
        <v>0</v>
      </c>
      <c r="I185">
        <f>IF(COUNTIFS('United Data'!$A$3:$A$3390,I$1,'United Data'!$C$3:$C$3390,$A185,'United Data'!$B$3:$B$3390,"&lt;&gt;Off-street")&gt;0,1,0)</f>
        <v>0</v>
      </c>
      <c r="J185">
        <f>IF(COUNTIFS('United Data'!$A$3:$A$3390,J$1,'United Data'!$C$3:$C$3390,$A185,'United Data'!$B$3:$B$3390,"&lt;&gt;Off-street")&gt;0,1,0)</f>
        <v>0</v>
      </c>
      <c r="K185">
        <f>IF(COUNTIFS('United Data'!$A$3:$A$3390,K$1,'United Data'!$C$3:$C$3390,$A185,'United Data'!$B$3:$B$3390,"&lt;&gt;Off-street")&gt;0,1,0)</f>
        <v>0</v>
      </c>
      <c r="L185">
        <f>IF(COUNTIFS('United Data'!$A$3:$A$3390,L$1,'United Data'!$C$3:$C$3390,$A185,'United Data'!$B$3:$B$3390,"&lt;&gt;Off-street")&gt;0,1,0)</f>
        <v>0</v>
      </c>
      <c r="M185">
        <f>IF(COUNTIFS('United Data'!$A$3:$A$3390,M$1,'United Data'!$C$3:$C$3390,$A185,'United Data'!$B$3:$B$3390,"&lt;&gt;Off-street")&gt;0,1,0)</f>
        <v>0</v>
      </c>
      <c r="N185">
        <f>IF(COUNTIFS('United Data'!$A$3:$A$3390,N$1,'United Data'!$C$3:$C$3390,$A185,'United Data'!$B$3:$B$3390,"&lt;&gt;Off-street")&gt;0,1,0)</f>
        <v>0</v>
      </c>
      <c r="O185">
        <f>IF(COUNTIFS('United Data'!$A$3:$A$3390,O$1,'United Data'!$C$3:$C$3390,$A185,'United Data'!$B$3:$B$3390,"&lt;&gt;Off-street")&gt;0,1,0)</f>
        <v>0</v>
      </c>
      <c r="P185">
        <f>IF(COUNTIFS('United Data'!$A$3:$A$3390,P$1,'United Data'!$C$3:$C$3390,$A185,'United Data'!$B$3:$B$3390,"&lt;&gt;Off-street")&gt;0,1,0)</f>
        <v>1</v>
      </c>
      <c r="Q185">
        <f>IF(COUNTIFS('United Data'!$A$3:$A$3390,Q$1,'United Data'!$C$3:$C$3390,$A185,'United Data'!$B$3:$B$3390,"&lt;&gt;Off-street")&gt;0,1,0)</f>
        <v>0</v>
      </c>
      <c r="R185">
        <f>IF(COUNTIFS('United Data'!$A$3:$A$3390,R$1,'United Data'!$C$3:$C$3390,$A185,'United Data'!$B$3:$B$3390,"&lt;&gt;Off-street")&gt;0,1,0)</f>
        <v>0</v>
      </c>
      <c r="S185">
        <f t="shared" si="4"/>
        <v>1</v>
      </c>
      <c r="T185">
        <f t="shared" si="5"/>
        <v>1</v>
      </c>
    </row>
    <row r="186" spans="1:20" x14ac:dyDescent="0.2">
      <c r="A186" t="s">
        <v>246</v>
      </c>
      <c r="B186">
        <f>IF(COUNTIFS('United Data'!$A$3:$A$3390,B$1,'United Data'!$C$3:$C$3390,$A186,'United Data'!$B$3:$B$3390,"&lt;&gt;Off-street")&gt;0,1,0)</f>
        <v>0</v>
      </c>
      <c r="C186">
        <f>IF(COUNTIFS('United Data'!$A$3:$A$3390,C$1,'United Data'!$C$3:$C$3390,$A186,'United Data'!$B$3:$B$3390,"&lt;&gt;Off-street")&gt;0,1,0)</f>
        <v>0</v>
      </c>
      <c r="D186">
        <f>IF(COUNTIFS('United Data'!$A$3:$A$3390,D$1,'United Data'!$C$3:$C$3390,$A186,'United Data'!$B$3:$B$3390,"&lt;&gt;Off-street")&gt;0,1,0)</f>
        <v>0</v>
      </c>
      <c r="E186">
        <f>IF(COUNTIFS('United Data'!$A$3:$A$3390,E$1,'United Data'!$C$3:$C$3390,$A186,'United Data'!$B$3:$B$3390,"&lt;&gt;Off-street")&gt;0,1,0)</f>
        <v>0</v>
      </c>
      <c r="F186">
        <f>IF(COUNTIFS('United Data'!$A$3:$A$3390,F$1,'United Data'!$C$3:$C$3390,$A186,'United Data'!$B$3:$B$3390,"&lt;&gt;Off-street")&gt;0,1,0)</f>
        <v>0</v>
      </c>
      <c r="G186">
        <f>IF(COUNTIFS('United Data'!$A$3:$A$3390,G$1,'United Data'!$C$3:$C$3390,$A186,'United Data'!$B$3:$B$3390,"&lt;&gt;Off-street")&gt;0,1,0)</f>
        <v>0</v>
      </c>
      <c r="H186">
        <f>IF(COUNTIFS('United Data'!$A$3:$A$3390,H$1,'United Data'!$C$3:$C$3390,$A186,'United Data'!$B$3:$B$3390,"&lt;&gt;Off-street")&gt;0,1,0)</f>
        <v>0</v>
      </c>
      <c r="I186">
        <f>IF(COUNTIFS('United Data'!$A$3:$A$3390,I$1,'United Data'!$C$3:$C$3390,$A186,'United Data'!$B$3:$B$3390,"&lt;&gt;Off-street")&gt;0,1,0)</f>
        <v>0</v>
      </c>
      <c r="J186">
        <f>IF(COUNTIFS('United Data'!$A$3:$A$3390,J$1,'United Data'!$C$3:$C$3390,$A186,'United Data'!$B$3:$B$3390,"&lt;&gt;Off-street")&gt;0,1,0)</f>
        <v>0</v>
      </c>
      <c r="K186">
        <f>IF(COUNTIFS('United Data'!$A$3:$A$3390,K$1,'United Data'!$C$3:$C$3390,$A186,'United Data'!$B$3:$B$3390,"&lt;&gt;Off-street")&gt;0,1,0)</f>
        <v>0</v>
      </c>
      <c r="L186">
        <f>IF(COUNTIFS('United Data'!$A$3:$A$3390,L$1,'United Data'!$C$3:$C$3390,$A186,'United Data'!$B$3:$B$3390,"&lt;&gt;Off-street")&gt;0,1,0)</f>
        <v>0</v>
      </c>
      <c r="M186">
        <f>IF(COUNTIFS('United Data'!$A$3:$A$3390,M$1,'United Data'!$C$3:$C$3390,$A186,'United Data'!$B$3:$B$3390,"&lt;&gt;Off-street")&gt;0,1,0)</f>
        <v>0</v>
      </c>
      <c r="N186">
        <f>IF(COUNTIFS('United Data'!$A$3:$A$3390,N$1,'United Data'!$C$3:$C$3390,$A186,'United Data'!$B$3:$B$3390,"&lt;&gt;Off-street")&gt;0,1,0)</f>
        <v>0</v>
      </c>
      <c r="O186">
        <f>IF(COUNTIFS('United Data'!$A$3:$A$3390,O$1,'United Data'!$C$3:$C$3390,$A186,'United Data'!$B$3:$B$3390,"&lt;&gt;Off-street")&gt;0,1,0)</f>
        <v>0</v>
      </c>
      <c r="P186">
        <f>IF(COUNTIFS('United Data'!$A$3:$A$3390,P$1,'United Data'!$C$3:$C$3390,$A186,'United Data'!$B$3:$B$3390,"&lt;&gt;Off-street")&gt;0,1,0)</f>
        <v>1</v>
      </c>
      <c r="Q186">
        <f>IF(COUNTIFS('United Data'!$A$3:$A$3390,Q$1,'United Data'!$C$3:$C$3390,$A186,'United Data'!$B$3:$B$3390,"&lt;&gt;Off-street")&gt;0,1,0)</f>
        <v>0</v>
      </c>
      <c r="R186">
        <f>IF(COUNTIFS('United Data'!$A$3:$A$3390,R$1,'United Data'!$C$3:$C$3390,$A186,'United Data'!$B$3:$B$3390,"&lt;&gt;Off-street")&gt;0,1,0)</f>
        <v>0</v>
      </c>
      <c r="S186">
        <f t="shared" si="4"/>
        <v>1</v>
      </c>
      <c r="T186">
        <f t="shared" si="5"/>
        <v>1</v>
      </c>
    </row>
    <row r="187" spans="1:20" x14ac:dyDescent="0.2">
      <c r="A187" t="s">
        <v>247</v>
      </c>
      <c r="B187">
        <f>IF(COUNTIFS('United Data'!$A$3:$A$3390,B$1,'United Data'!$C$3:$C$3390,$A187,'United Data'!$B$3:$B$3390,"&lt;&gt;Off-street")&gt;0,1,0)</f>
        <v>0</v>
      </c>
      <c r="C187">
        <f>IF(COUNTIFS('United Data'!$A$3:$A$3390,C$1,'United Data'!$C$3:$C$3390,$A187,'United Data'!$B$3:$B$3390,"&lt;&gt;Off-street")&gt;0,1,0)</f>
        <v>0</v>
      </c>
      <c r="D187">
        <f>IF(COUNTIFS('United Data'!$A$3:$A$3390,D$1,'United Data'!$C$3:$C$3390,$A187,'United Data'!$B$3:$B$3390,"&lt;&gt;Off-street")&gt;0,1,0)</f>
        <v>0</v>
      </c>
      <c r="E187">
        <f>IF(COUNTIFS('United Data'!$A$3:$A$3390,E$1,'United Data'!$C$3:$C$3390,$A187,'United Data'!$B$3:$B$3390,"&lt;&gt;Off-street")&gt;0,1,0)</f>
        <v>0</v>
      </c>
      <c r="F187">
        <f>IF(COUNTIFS('United Data'!$A$3:$A$3390,F$1,'United Data'!$C$3:$C$3390,$A187,'United Data'!$B$3:$B$3390,"&lt;&gt;Off-street")&gt;0,1,0)</f>
        <v>0</v>
      </c>
      <c r="G187">
        <f>IF(COUNTIFS('United Data'!$A$3:$A$3390,G$1,'United Data'!$C$3:$C$3390,$A187,'United Data'!$B$3:$B$3390,"&lt;&gt;Off-street")&gt;0,1,0)</f>
        <v>0</v>
      </c>
      <c r="H187">
        <f>IF(COUNTIFS('United Data'!$A$3:$A$3390,H$1,'United Data'!$C$3:$C$3390,$A187,'United Data'!$B$3:$B$3390,"&lt;&gt;Off-street")&gt;0,1,0)</f>
        <v>0</v>
      </c>
      <c r="I187">
        <f>IF(COUNTIFS('United Data'!$A$3:$A$3390,I$1,'United Data'!$C$3:$C$3390,$A187,'United Data'!$B$3:$B$3390,"&lt;&gt;Off-street")&gt;0,1,0)</f>
        <v>0</v>
      </c>
      <c r="J187">
        <f>IF(COUNTIFS('United Data'!$A$3:$A$3390,J$1,'United Data'!$C$3:$C$3390,$A187,'United Data'!$B$3:$B$3390,"&lt;&gt;Off-street")&gt;0,1,0)</f>
        <v>0</v>
      </c>
      <c r="K187">
        <f>IF(COUNTIFS('United Data'!$A$3:$A$3390,K$1,'United Data'!$C$3:$C$3390,$A187,'United Data'!$B$3:$B$3390,"&lt;&gt;Off-street")&gt;0,1,0)</f>
        <v>0</v>
      </c>
      <c r="L187">
        <f>IF(COUNTIFS('United Data'!$A$3:$A$3390,L$1,'United Data'!$C$3:$C$3390,$A187,'United Data'!$B$3:$B$3390,"&lt;&gt;Off-street")&gt;0,1,0)</f>
        <v>0</v>
      </c>
      <c r="M187">
        <f>IF(COUNTIFS('United Data'!$A$3:$A$3390,M$1,'United Data'!$C$3:$C$3390,$A187,'United Data'!$B$3:$B$3390,"&lt;&gt;Off-street")&gt;0,1,0)</f>
        <v>0</v>
      </c>
      <c r="N187">
        <f>IF(COUNTIFS('United Data'!$A$3:$A$3390,N$1,'United Data'!$C$3:$C$3390,$A187,'United Data'!$B$3:$B$3390,"&lt;&gt;Off-street")&gt;0,1,0)</f>
        <v>0</v>
      </c>
      <c r="O187">
        <f>IF(COUNTIFS('United Data'!$A$3:$A$3390,O$1,'United Data'!$C$3:$C$3390,$A187,'United Data'!$B$3:$B$3390,"&lt;&gt;Off-street")&gt;0,1,0)</f>
        <v>0</v>
      </c>
      <c r="P187">
        <f>IF(COUNTIFS('United Data'!$A$3:$A$3390,P$1,'United Data'!$C$3:$C$3390,$A187,'United Data'!$B$3:$B$3390,"&lt;&gt;Off-street")&gt;0,1,0)</f>
        <v>0</v>
      </c>
      <c r="Q187">
        <f>IF(COUNTIFS('United Data'!$A$3:$A$3390,Q$1,'United Data'!$C$3:$C$3390,$A187,'United Data'!$B$3:$B$3390,"&lt;&gt;Off-street")&gt;0,1,0)</f>
        <v>1</v>
      </c>
      <c r="R187">
        <f>IF(COUNTIFS('United Data'!$A$3:$A$3390,R$1,'United Data'!$C$3:$C$3390,$A187,'United Data'!$B$3:$B$3390,"&lt;&gt;Off-street")&gt;0,1,0)</f>
        <v>0</v>
      </c>
      <c r="S187">
        <f t="shared" si="4"/>
        <v>1</v>
      </c>
      <c r="T187">
        <f t="shared" si="5"/>
        <v>1</v>
      </c>
    </row>
    <row r="188" spans="1:20" x14ac:dyDescent="0.2">
      <c r="A188" t="s">
        <v>248</v>
      </c>
      <c r="B188">
        <f>IF(COUNTIFS('United Data'!$A$3:$A$3390,B$1,'United Data'!$C$3:$C$3390,$A188,'United Data'!$B$3:$B$3390,"&lt;&gt;Off-street")&gt;0,1,0)</f>
        <v>0</v>
      </c>
      <c r="C188">
        <f>IF(COUNTIFS('United Data'!$A$3:$A$3390,C$1,'United Data'!$C$3:$C$3390,$A188,'United Data'!$B$3:$B$3390,"&lt;&gt;Off-street")&gt;0,1,0)</f>
        <v>0</v>
      </c>
      <c r="D188">
        <f>IF(COUNTIFS('United Data'!$A$3:$A$3390,D$1,'United Data'!$C$3:$C$3390,$A188,'United Data'!$B$3:$B$3390,"&lt;&gt;Off-street")&gt;0,1,0)</f>
        <v>0</v>
      </c>
      <c r="E188">
        <f>IF(COUNTIFS('United Data'!$A$3:$A$3390,E$1,'United Data'!$C$3:$C$3390,$A188,'United Data'!$B$3:$B$3390,"&lt;&gt;Off-street")&gt;0,1,0)</f>
        <v>0</v>
      </c>
      <c r="F188">
        <f>IF(COUNTIFS('United Data'!$A$3:$A$3390,F$1,'United Data'!$C$3:$C$3390,$A188,'United Data'!$B$3:$B$3390,"&lt;&gt;Off-street")&gt;0,1,0)</f>
        <v>0</v>
      </c>
      <c r="G188">
        <f>IF(COUNTIFS('United Data'!$A$3:$A$3390,G$1,'United Data'!$C$3:$C$3390,$A188,'United Data'!$B$3:$B$3390,"&lt;&gt;Off-street")&gt;0,1,0)</f>
        <v>0</v>
      </c>
      <c r="H188">
        <f>IF(COUNTIFS('United Data'!$A$3:$A$3390,H$1,'United Data'!$C$3:$C$3390,$A188,'United Data'!$B$3:$B$3390,"&lt;&gt;Off-street")&gt;0,1,0)</f>
        <v>0</v>
      </c>
      <c r="I188">
        <f>IF(COUNTIFS('United Data'!$A$3:$A$3390,I$1,'United Data'!$C$3:$C$3390,$A188,'United Data'!$B$3:$B$3390,"&lt;&gt;Off-street")&gt;0,1,0)</f>
        <v>0</v>
      </c>
      <c r="J188">
        <f>IF(COUNTIFS('United Data'!$A$3:$A$3390,J$1,'United Data'!$C$3:$C$3390,$A188,'United Data'!$B$3:$B$3390,"&lt;&gt;Off-street")&gt;0,1,0)</f>
        <v>0</v>
      </c>
      <c r="K188">
        <f>IF(COUNTIFS('United Data'!$A$3:$A$3390,K$1,'United Data'!$C$3:$C$3390,$A188,'United Data'!$B$3:$B$3390,"&lt;&gt;Off-street")&gt;0,1,0)</f>
        <v>0</v>
      </c>
      <c r="L188">
        <f>IF(COUNTIFS('United Data'!$A$3:$A$3390,L$1,'United Data'!$C$3:$C$3390,$A188,'United Data'!$B$3:$B$3390,"&lt;&gt;Off-street")&gt;0,1,0)</f>
        <v>0</v>
      </c>
      <c r="M188">
        <f>IF(COUNTIFS('United Data'!$A$3:$A$3390,M$1,'United Data'!$C$3:$C$3390,$A188,'United Data'!$B$3:$B$3390,"&lt;&gt;Off-street")&gt;0,1,0)</f>
        <v>0</v>
      </c>
      <c r="N188">
        <f>IF(COUNTIFS('United Data'!$A$3:$A$3390,N$1,'United Data'!$C$3:$C$3390,$A188,'United Data'!$B$3:$B$3390,"&lt;&gt;Off-street")&gt;0,1,0)</f>
        <v>0</v>
      </c>
      <c r="O188">
        <f>IF(COUNTIFS('United Data'!$A$3:$A$3390,O$1,'United Data'!$C$3:$C$3390,$A188,'United Data'!$B$3:$B$3390,"&lt;&gt;Off-street")&gt;0,1,0)</f>
        <v>0</v>
      </c>
      <c r="P188">
        <f>IF(COUNTIFS('United Data'!$A$3:$A$3390,P$1,'United Data'!$C$3:$C$3390,$A188,'United Data'!$B$3:$B$3390,"&lt;&gt;Off-street")&gt;0,1,0)</f>
        <v>0</v>
      </c>
      <c r="Q188">
        <f>IF(COUNTIFS('United Data'!$A$3:$A$3390,Q$1,'United Data'!$C$3:$C$3390,$A188,'United Data'!$B$3:$B$3390,"&lt;&gt;Off-street")&gt;0,1,0)</f>
        <v>1</v>
      </c>
      <c r="R188">
        <f>IF(COUNTIFS('United Data'!$A$3:$A$3390,R$1,'United Data'!$C$3:$C$3390,$A188,'United Data'!$B$3:$B$3390,"&lt;&gt;Off-street")&gt;0,1,0)</f>
        <v>0</v>
      </c>
      <c r="S188">
        <f t="shared" si="4"/>
        <v>1</v>
      </c>
      <c r="T188">
        <f t="shared" si="5"/>
        <v>1</v>
      </c>
    </row>
    <row r="189" spans="1:20" x14ac:dyDescent="0.2">
      <c r="A189" t="s">
        <v>249</v>
      </c>
      <c r="B189">
        <f>IF(COUNTIFS('United Data'!$A$3:$A$3390,B$1,'United Data'!$C$3:$C$3390,$A189,'United Data'!$B$3:$B$3390,"&lt;&gt;Off-street")&gt;0,1,0)</f>
        <v>1</v>
      </c>
      <c r="C189">
        <f>IF(COUNTIFS('United Data'!$A$3:$A$3390,C$1,'United Data'!$C$3:$C$3390,$A189,'United Data'!$B$3:$B$3390,"&lt;&gt;Off-street")&gt;0,1,0)</f>
        <v>0</v>
      </c>
      <c r="D189">
        <f>IF(COUNTIFS('United Data'!$A$3:$A$3390,D$1,'United Data'!$C$3:$C$3390,$A189,'United Data'!$B$3:$B$3390,"&lt;&gt;Off-street")&gt;0,1,0)</f>
        <v>0</v>
      </c>
      <c r="E189">
        <f>IF(COUNTIFS('United Data'!$A$3:$A$3390,E$1,'United Data'!$C$3:$C$3390,$A189,'United Data'!$B$3:$B$3390,"&lt;&gt;Off-street")&gt;0,1,0)</f>
        <v>0</v>
      </c>
      <c r="F189">
        <f>IF(COUNTIFS('United Data'!$A$3:$A$3390,F$1,'United Data'!$C$3:$C$3390,$A189,'United Data'!$B$3:$B$3390,"&lt;&gt;Off-street")&gt;0,1,0)</f>
        <v>0</v>
      </c>
      <c r="G189">
        <f>IF(COUNTIFS('United Data'!$A$3:$A$3390,G$1,'United Data'!$C$3:$C$3390,$A189,'United Data'!$B$3:$B$3390,"&lt;&gt;Off-street")&gt;0,1,0)</f>
        <v>0</v>
      </c>
      <c r="H189">
        <f>IF(COUNTIFS('United Data'!$A$3:$A$3390,H$1,'United Data'!$C$3:$C$3390,$A189,'United Data'!$B$3:$B$3390,"&lt;&gt;Off-street")&gt;0,1,0)</f>
        <v>0</v>
      </c>
      <c r="I189">
        <f>IF(COUNTIFS('United Data'!$A$3:$A$3390,I$1,'United Data'!$C$3:$C$3390,$A189,'United Data'!$B$3:$B$3390,"&lt;&gt;Off-street")&gt;0,1,0)</f>
        <v>0</v>
      </c>
      <c r="J189">
        <f>IF(COUNTIFS('United Data'!$A$3:$A$3390,J$1,'United Data'!$C$3:$C$3390,$A189,'United Data'!$B$3:$B$3390,"&lt;&gt;Off-street")&gt;0,1,0)</f>
        <v>0</v>
      </c>
      <c r="K189">
        <f>IF(COUNTIFS('United Data'!$A$3:$A$3390,K$1,'United Data'!$C$3:$C$3390,$A189,'United Data'!$B$3:$B$3390,"&lt;&gt;Off-street")&gt;0,1,0)</f>
        <v>0</v>
      </c>
      <c r="L189">
        <f>IF(COUNTIFS('United Data'!$A$3:$A$3390,L$1,'United Data'!$C$3:$C$3390,$A189,'United Data'!$B$3:$B$3390,"&lt;&gt;Off-street")&gt;0,1,0)</f>
        <v>0</v>
      </c>
      <c r="M189">
        <f>IF(COUNTIFS('United Data'!$A$3:$A$3390,M$1,'United Data'!$C$3:$C$3390,$A189,'United Data'!$B$3:$B$3390,"&lt;&gt;Off-street")&gt;0,1,0)</f>
        <v>0</v>
      </c>
      <c r="N189">
        <f>IF(COUNTIFS('United Data'!$A$3:$A$3390,N$1,'United Data'!$C$3:$C$3390,$A189,'United Data'!$B$3:$B$3390,"&lt;&gt;Off-street")&gt;0,1,0)</f>
        <v>0</v>
      </c>
      <c r="O189">
        <f>IF(COUNTIFS('United Data'!$A$3:$A$3390,O$1,'United Data'!$C$3:$C$3390,$A189,'United Data'!$B$3:$B$3390,"&lt;&gt;Off-street")&gt;0,1,0)</f>
        <v>0</v>
      </c>
      <c r="P189">
        <f>IF(COUNTIFS('United Data'!$A$3:$A$3390,P$1,'United Data'!$C$3:$C$3390,$A189,'United Data'!$B$3:$B$3390,"&lt;&gt;Off-street")&gt;0,1,0)</f>
        <v>1</v>
      </c>
      <c r="Q189">
        <f>IF(COUNTIFS('United Data'!$A$3:$A$3390,Q$1,'United Data'!$C$3:$C$3390,$A189,'United Data'!$B$3:$B$3390,"&lt;&gt;Off-street")&gt;0,1,0)</f>
        <v>1</v>
      </c>
      <c r="R189">
        <f>IF(COUNTIFS('United Data'!$A$3:$A$3390,R$1,'United Data'!$C$3:$C$3390,$A189,'United Data'!$B$3:$B$3390,"&lt;&gt;Off-street")&gt;0,1,0)</f>
        <v>1</v>
      </c>
      <c r="S189">
        <f t="shared" si="4"/>
        <v>4</v>
      </c>
      <c r="T189">
        <f t="shared" si="5"/>
        <v>2</v>
      </c>
    </row>
    <row r="190" spans="1:20" x14ac:dyDescent="0.2">
      <c r="A190" t="s">
        <v>250</v>
      </c>
      <c r="B190">
        <f>IF(COUNTIFS('United Data'!$A$3:$A$3390,B$1,'United Data'!$C$3:$C$3390,$A190,'United Data'!$B$3:$B$3390,"&lt;&gt;Off-street")&gt;0,1,0)</f>
        <v>1</v>
      </c>
      <c r="C190">
        <f>IF(COUNTIFS('United Data'!$A$3:$A$3390,C$1,'United Data'!$C$3:$C$3390,$A190,'United Data'!$B$3:$B$3390,"&lt;&gt;Off-street")&gt;0,1,0)</f>
        <v>1</v>
      </c>
      <c r="D190">
        <f>IF(COUNTIFS('United Data'!$A$3:$A$3390,D$1,'United Data'!$C$3:$C$3390,$A190,'United Data'!$B$3:$B$3390,"&lt;&gt;Off-street")&gt;0,1,0)</f>
        <v>0</v>
      </c>
      <c r="E190">
        <f>IF(COUNTIFS('United Data'!$A$3:$A$3390,E$1,'United Data'!$C$3:$C$3390,$A190,'United Data'!$B$3:$B$3390,"&lt;&gt;Off-street")&gt;0,1,0)</f>
        <v>1</v>
      </c>
      <c r="F190">
        <f>IF(COUNTIFS('United Data'!$A$3:$A$3390,F$1,'United Data'!$C$3:$C$3390,$A190,'United Data'!$B$3:$B$3390,"&lt;&gt;Off-street")&gt;0,1,0)</f>
        <v>1</v>
      </c>
      <c r="G190">
        <f>IF(COUNTIFS('United Data'!$A$3:$A$3390,G$1,'United Data'!$C$3:$C$3390,$A190,'United Data'!$B$3:$B$3390,"&lt;&gt;Off-street")&gt;0,1,0)</f>
        <v>0</v>
      </c>
      <c r="H190">
        <f>IF(COUNTIFS('United Data'!$A$3:$A$3390,H$1,'United Data'!$C$3:$C$3390,$A190,'United Data'!$B$3:$B$3390,"&lt;&gt;Off-street")&gt;0,1,0)</f>
        <v>0</v>
      </c>
      <c r="I190">
        <f>IF(COUNTIFS('United Data'!$A$3:$A$3390,I$1,'United Data'!$C$3:$C$3390,$A190,'United Data'!$B$3:$B$3390,"&lt;&gt;Off-street")&gt;0,1,0)</f>
        <v>0</v>
      </c>
      <c r="J190">
        <f>IF(COUNTIFS('United Data'!$A$3:$A$3390,J$1,'United Data'!$C$3:$C$3390,$A190,'United Data'!$B$3:$B$3390,"&lt;&gt;Off-street")&gt;0,1,0)</f>
        <v>0</v>
      </c>
      <c r="K190">
        <f>IF(COUNTIFS('United Data'!$A$3:$A$3390,K$1,'United Data'!$C$3:$C$3390,$A190,'United Data'!$B$3:$B$3390,"&lt;&gt;Off-street")&gt;0,1,0)</f>
        <v>0</v>
      </c>
      <c r="L190">
        <f>IF(COUNTIFS('United Data'!$A$3:$A$3390,L$1,'United Data'!$C$3:$C$3390,$A190,'United Data'!$B$3:$B$3390,"&lt;&gt;Off-street")&gt;0,1,0)</f>
        <v>0</v>
      </c>
      <c r="M190">
        <f>IF(COUNTIFS('United Data'!$A$3:$A$3390,M$1,'United Data'!$C$3:$C$3390,$A190,'United Data'!$B$3:$B$3390,"&lt;&gt;Off-street")&gt;0,1,0)</f>
        <v>0</v>
      </c>
      <c r="N190">
        <f>IF(COUNTIFS('United Data'!$A$3:$A$3390,N$1,'United Data'!$C$3:$C$3390,$A190,'United Data'!$B$3:$B$3390,"&lt;&gt;Off-street")&gt;0,1,0)</f>
        <v>0</v>
      </c>
      <c r="O190">
        <f>IF(COUNTIFS('United Data'!$A$3:$A$3390,O$1,'United Data'!$C$3:$C$3390,$A190,'United Data'!$B$3:$B$3390,"&lt;&gt;Off-street")&gt;0,1,0)</f>
        <v>0</v>
      </c>
      <c r="P190">
        <f>IF(COUNTIFS('United Data'!$A$3:$A$3390,P$1,'United Data'!$C$3:$C$3390,$A190,'United Data'!$B$3:$B$3390,"&lt;&gt;Off-street")&gt;0,1,0)</f>
        <v>0</v>
      </c>
      <c r="Q190">
        <f>IF(COUNTIFS('United Data'!$A$3:$A$3390,Q$1,'United Data'!$C$3:$C$3390,$A190,'United Data'!$B$3:$B$3390,"&lt;&gt;Off-street")&gt;0,1,0)</f>
        <v>0</v>
      </c>
      <c r="R190">
        <f>IF(COUNTIFS('United Data'!$A$3:$A$3390,R$1,'United Data'!$C$3:$C$3390,$A190,'United Data'!$B$3:$B$3390,"&lt;&gt;Off-street")&gt;0,1,0)</f>
        <v>1</v>
      </c>
      <c r="S190">
        <f t="shared" si="4"/>
        <v>5</v>
      </c>
      <c r="T190">
        <f t="shared" si="5"/>
        <v>3</v>
      </c>
    </row>
    <row r="191" spans="1:20" x14ac:dyDescent="0.2">
      <c r="A191" t="s">
        <v>251</v>
      </c>
      <c r="B191">
        <f>IF(COUNTIFS('United Data'!$A$3:$A$3390,B$1,'United Data'!$C$3:$C$3390,$A191,'United Data'!$B$3:$B$3390,"&lt;&gt;Off-street")&gt;0,1,0)</f>
        <v>0</v>
      </c>
      <c r="C191">
        <f>IF(COUNTIFS('United Data'!$A$3:$A$3390,C$1,'United Data'!$C$3:$C$3390,$A191,'United Data'!$B$3:$B$3390,"&lt;&gt;Off-street")&gt;0,1,0)</f>
        <v>0</v>
      </c>
      <c r="D191">
        <f>IF(COUNTIFS('United Data'!$A$3:$A$3390,D$1,'United Data'!$C$3:$C$3390,$A191,'United Data'!$B$3:$B$3390,"&lt;&gt;Off-street")&gt;0,1,0)</f>
        <v>0</v>
      </c>
      <c r="E191">
        <f>IF(COUNTIFS('United Data'!$A$3:$A$3390,E$1,'United Data'!$C$3:$C$3390,$A191,'United Data'!$B$3:$B$3390,"&lt;&gt;Off-street")&gt;0,1,0)</f>
        <v>0</v>
      </c>
      <c r="F191">
        <f>IF(COUNTIFS('United Data'!$A$3:$A$3390,F$1,'United Data'!$C$3:$C$3390,$A191,'United Data'!$B$3:$B$3390,"&lt;&gt;Off-street")&gt;0,1,0)</f>
        <v>0</v>
      </c>
      <c r="G191">
        <f>IF(COUNTIFS('United Data'!$A$3:$A$3390,G$1,'United Data'!$C$3:$C$3390,$A191,'United Data'!$B$3:$B$3390,"&lt;&gt;Off-street")&gt;0,1,0)</f>
        <v>0</v>
      </c>
      <c r="H191">
        <f>IF(COUNTIFS('United Data'!$A$3:$A$3390,H$1,'United Data'!$C$3:$C$3390,$A191,'United Data'!$B$3:$B$3390,"&lt;&gt;Off-street")&gt;0,1,0)</f>
        <v>0</v>
      </c>
      <c r="I191">
        <f>IF(COUNTIFS('United Data'!$A$3:$A$3390,I$1,'United Data'!$C$3:$C$3390,$A191,'United Data'!$B$3:$B$3390,"&lt;&gt;Off-street")&gt;0,1,0)</f>
        <v>0</v>
      </c>
      <c r="J191">
        <f>IF(COUNTIFS('United Data'!$A$3:$A$3390,J$1,'United Data'!$C$3:$C$3390,$A191,'United Data'!$B$3:$B$3390,"&lt;&gt;Off-street")&gt;0,1,0)</f>
        <v>1</v>
      </c>
      <c r="K191">
        <f>IF(COUNTIFS('United Data'!$A$3:$A$3390,K$1,'United Data'!$C$3:$C$3390,$A191,'United Data'!$B$3:$B$3390,"&lt;&gt;Off-street")&gt;0,1,0)</f>
        <v>1</v>
      </c>
      <c r="L191">
        <f>IF(COUNTIFS('United Data'!$A$3:$A$3390,L$1,'United Data'!$C$3:$C$3390,$A191,'United Data'!$B$3:$B$3390,"&lt;&gt;Off-street")&gt;0,1,0)</f>
        <v>0</v>
      </c>
      <c r="M191">
        <f>IF(COUNTIFS('United Data'!$A$3:$A$3390,M$1,'United Data'!$C$3:$C$3390,$A191,'United Data'!$B$3:$B$3390,"&lt;&gt;Off-street")&gt;0,1,0)</f>
        <v>0</v>
      </c>
      <c r="N191">
        <f>IF(COUNTIFS('United Data'!$A$3:$A$3390,N$1,'United Data'!$C$3:$C$3390,$A191,'United Data'!$B$3:$B$3390,"&lt;&gt;Off-street")&gt;0,1,0)</f>
        <v>0</v>
      </c>
      <c r="O191">
        <f>IF(COUNTIFS('United Data'!$A$3:$A$3390,O$1,'United Data'!$C$3:$C$3390,$A191,'United Data'!$B$3:$B$3390,"&lt;&gt;Off-street")&gt;0,1,0)</f>
        <v>0</v>
      </c>
      <c r="P191">
        <f>IF(COUNTIFS('United Data'!$A$3:$A$3390,P$1,'United Data'!$C$3:$C$3390,$A191,'United Data'!$B$3:$B$3390,"&lt;&gt;Off-street")&gt;0,1,0)</f>
        <v>1</v>
      </c>
      <c r="Q191">
        <f>IF(COUNTIFS('United Data'!$A$3:$A$3390,Q$1,'United Data'!$C$3:$C$3390,$A191,'United Data'!$B$3:$B$3390,"&lt;&gt;Off-street")&gt;0,1,0)</f>
        <v>1</v>
      </c>
      <c r="R191">
        <f>IF(COUNTIFS('United Data'!$A$3:$A$3390,R$1,'United Data'!$C$3:$C$3390,$A191,'United Data'!$B$3:$B$3390,"&lt;&gt;Off-street")&gt;0,1,0)</f>
        <v>1</v>
      </c>
      <c r="S191">
        <f t="shared" si="4"/>
        <v>5</v>
      </c>
      <c r="T191">
        <f t="shared" si="5"/>
        <v>2</v>
      </c>
    </row>
    <row r="192" spans="1:20" x14ac:dyDescent="0.2">
      <c r="A192" t="s">
        <v>252</v>
      </c>
      <c r="B192">
        <f>IF(COUNTIFS('United Data'!$A$3:$A$3390,B$1,'United Data'!$C$3:$C$3390,$A192,'United Data'!$B$3:$B$3390,"&lt;&gt;Off-street")&gt;0,1,0)</f>
        <v>1</v>
      </c>
      <c r="C192">
        <f>IF(COUNTIFS('United Data'!$A$3:$A$3390,C$1,'United Data'!$C$3:$C$3390,$A192,'United Data'!$B$3:$B$3390,"&lt;&gt;Off-street")&gt;0,1,0)</f>
        <v>1</v>
      </c>
      <c r="D192">
        <f>IF(COUNTIFS('United Data'!$A$3:$A$3390,D$1,'United Data'!$C$3:$C$3390,$A192,'United Data'!$B$3:$B$3390,"&lt;&gt;Off-street")&gt;0,1,0)</f>
        <v>1</v>
      </c>
      <c r="E192">
        <f>IF(COUNTIFS('United Data'!$A$3:$A$3390,E$1,'United Data'!$C$3:$C$3390,$A192,'United Data'!$B$3:$B$3390,"&lt;&gt;Off-street")&gt;0,1,0)</f>
        <v>0</v>
      </c>
      <c r="F192">
        <f>IF(COUNTIFS('United Data'!$A$3:$A$3390,F$1,'United Data'!$C$3:$C$3390,$A192,'United Data'!$B$3:$B$3390,"&lt;&gt;Off-street")&gt;0,1,0)</f>
        <v>0</v>
      </c>
      <c r="G192">
        <f>IF(COUNTIFS('United Data'!$A$3:$A$3390,G$1,'United Data'!$C$3:$C$3390,$A192,'United Data'!$B$3:$B$3390,"&lt;&gt;Off-street")&gt;0,1,0)</f>
        <v>0</v>
      </c>
      <c r="H192">
        <f>IF(COUNTIFS('United Data'!$A$3:$A$3390,H$1,'United Data'!$C$3:$C$3390,$A192,'United Data'!$B$3:$B$3390,"&lt;&gt;Off-street")&gt;0,1,0)</f>
        <v>0</v>
      </c>
      <c r="I192">
        <f>IF(COUNTIFS('United Data'!$A$3:$A$3390,I$1,'United Data'!$C$3:$C$3390,$A192,'United Data'!$B$3:$B$3390,"&lt;&gt;Off-street")&gt;0,1,0)</f>
        <v>0</v>
      </c>
      <c r="J192">
        <f>IF(COUNTIFS('United Data'!$A$3:$A$3390,J$1,'United Data'!$C$3:$C$3390,$A192,'United Data'!$B$3:$B$3390,"&lt;&gt;Off-street")&gt;0,1,0)</f>
        <v>0</v>
      </c>
      <c r="K192">
        <f>IF(COUNTIFS('United Data'!$A$3:$A$3390,K$1,'United Data'!$C$3:$C$3390,$A192,'United Data'!$B$3:$B$3390,"&lt;&gt;Off-street")&gt;0,1,0)</f>
        <v>0</v>
      </c>
      <c r="L192">
        <f>IF(COUNTIFS('United Data'!$A$3:$A$3390,L$1,'United Data'!$C$3:$C$3390,$A192,'United Data'!$B$3:$B$3390,"&lt;&gt;Off-street")&gt;0,1,0)</f>
        <v>0</v>
      </c>
      <c r="M192">
        <f>IF(COUNTIFS('United Data'!$A$3:$A$3390,M$1,'United Data'!$C$3:$C$3390,$A192,'United Data'!$B$3:$B$3390,"&lt;&gt;Off-street")&gt;0,1,0)</f>
        <v>1</v>
      </c>
      <c r="N192">
        <f>IF(COUNTIFS('United Data'!$A$3:$A$3390,N$1,'United Data'!$C$3:$C$3390,$A192,'United Data'!$B$3:$B$3390,"&lt;&gt;Off-street")&gt;0,1,0)</f>
        <v>0</v>
      </c>
      <c r="O192">
        <f>IF(COUNTIFS('United Data'!$A$3:$A$3390,O$1,'United Data'!$C$3:$C$3390,$A192,'United Data'!$B$3:$B$3390,"&lt;&gt;Off-street")&gt;0,1,0)</f>
        <v>1</v>
      </c>
      <c r="P192">
        <f>IF(COUNTIFS('United Data'!$A$3:$A$3390,P$1,'United Data'!$C$3:$C$3390,$A192,'United Data'!$B$3:$B$3390,"&lt;&gt;Off-street")&gt;0,1,0)</f>
        <v>1</v>
      </c>
      <c r="Q192">
        <f>IF(COUNTIFS('United Data'!$A$3:$A$3390,Q$1,'United Data'!$C$3:$C$3390,$A192,'United Data'!$B$3:$B$3390,"&lt;&gt;Off-street")&gt;0,1,0)</f>
        <v>0</v>
      </c>
      <c r="R192">
        <f>IF(COUNTIFS('United Data'!$A$3:$A$3390,R$1,'United Data'!$C$3:$C$3390,$A192,'United Data'!$B$3:$B$3390,"&lt;&gt;Off-street")&gt;0,1,0)</f>
        <v>1</v>
      </c>
      <c r="S192">
        <f t="shared" si="4"/>
        <v>7</v>
      </c>
      <c r="T192">
        <f t="shared" si="5"/>
        <v>4</v>
      </c>
    </row>
    <row r="193" spans="1:20" x14ac:dyDescent="0.2">
      <c r="A193" t="s">
        <v>253</v>
      </c>
      <c r="B193">
        <f>IF(COUNTIFS('United Data'!$A$3:$A$3390,B$1,'United Data'!$C$3:$C$3390,$A193,'United Data'!$B$3:$B$3390,"&lt;&gt;Off-street")&gt;0,1,0)</f>
        <v>0</v>
      </c>
      <c r="C193">
        <f>IF(COUNTIFS('United Data'!$A$3:$A$3390,C$1,'United Data'!$C$3:$C$3390,$A193,'United Data'!$B$3:$B$3390,"&lt;&gt;Off-street")&gt;0,1,0)</f>
        <v>0</v>
      </c>
      <c r="D193">
        <f>IF(COUNTIFS('United Data'!$A$3:$A$3390,D$1,'United Data'!$C$3:$C$3390,$A193,'United Data'!$B$3:$B$3390,"&lt;&gt;Off-street")&gt;0,1,0)</f>
        <v>0</v>
      </c>
      <c r="E193">
        <f>IF(COUNTIFS('United Data'!$A$3:$A$3390,E$1,'United Data'!$C$3:$C$3390,$A193,'United Data'!$B$3:$B$3390,"&lt;&gt;Off-street")&gt;0,1,0)</f>
        <v>0</v>
      </c>
      <c r="F193">
        <f>IF(COUNTIFS('United Data'!$A$3:$A$3390,F$1,'United Data'!$C$3:$C$3390,$A193,'United Data'!$B$3:$B$3390,"&lt;&gt;Off-street")&gt;0,1,0)</f>
        <v>0</v>
      </c>
      <c r="G193">
        <f>IF(COUNTIFS('United Data'!$A$3:$A$3390,G$1,'United Data'!$C$3:$C$3390,$A193,'United Data'!$B$3:$B$3390,"&lt;&gt;Off-street")&gt;0,1,0)</f>
        <v>0</v>
      </c>
      <c r="H193">
        <f>IF(COUNTIFS('United Data'!$A$3:$A$3390,H$1,'United Data'!$C$3:$C$3390,$A193,'United Data'!$B$3:$B$3390,"&lt;&gt;Off-street")&gt;0,1,0)</f>
        <v>0</v>
      </c>
      <c r="I193">
        <f>IF(COUNTIFS('United Data'!$A$3:$A$3390,I$1,'United Data'!$C$3:$C$3390,$A193,'United Data'!$B$3:$B$3390,"&lt;&gt;Off-street")&gt;0,1,0)</f>
        <v>0</v>
      </c>
      <c r="J193">
        <f>IF(COUNTIFS('United Data'!$A$3:$A$3390,J$1,'United Data'!$C$3:$C$3390,$A193,'United Data'!$B$3:$B$3390,"&lt;&gt;Off-street")&gt;0,1,0)</f>
        <v>0</v>
      </c>
      <c r="K193">
        <f>IF(COUNTIFS('United Data'!$A$3:$A$3390,K$1,'United Data'!$C$3:$C$3390,$A193,'United Data'!$B$3:$B$3390,"&lt;&gt;Off-street")&gt;0,1,0)</f>
        <v>0</v>
      </c>
      <c r="L193">
        <f>IF(COUNTIFS('United Data'!$A$3:$A$3390,L$1,'United Data'!$C$3:$C$3390,$A193,'United Data'!$B$3:$B$3390,"&lt;&gt;Off-street")&gt;0,1,0)</f>
        <v>0</v>
      </c>
      <c r="M193">
        <f>IF(COUNTIFS('United Data'!$A$3:$A$3390,M$1,'United Data'!$C$3:$C$3390,$A193,'United Data'!$B$3:$B$3390,"&lt;&gt;Off-street")&gt;0,1,0)</f>
        <v>0</v>
      </c>
      <c r="N193">
        <f>IF(COUNTIFS('United Data'!$A$3:$A$3390,N$1,'United Data'!$C$3:$C$3390,$A193,'United Data'!$B$3:$B$3390,"&lt;&gt;Off-street")&gt;0,1,0)</f>
        <v>0</v>
      </c>
      <c r="O193">
        <f>IF(COUNTIFS('United Data'!$A$3:$A$3390,O$1,'United Data'!$C$3:$C$3390,$A193,'United Data'!$B$3:$B$3390,"&lt;&gt;Off-street")&gt;0,1,0)</f>
        <v>0</v>
      </c>
      <c r="P193">
        <f>IF(COUNTIFS('United Data'!$A$3:$A$3390,P$1,'United Data'!$C$3:$C$3390,$A193,'United Data'!$B$3:$B$3390,"&lt;&gt;Off-street")&gt;0,1,0)</f>
        <v>0</v>
      </c>
      <c r="Q193">
        <f>IF(COUNTIFS('United Data'!$A$3:$A$3390,Q$1,'United Data'!$C$3:$C$3390,$A193,'United Data'!$B$3:$B$3390,"&lt;&gt;Off-street")&gt;0,1,0)</f>
        <v>0</v>
      </c>
      <c r="R193">
        <f>IF(COUNTIFS('United Data'!$A$3:$A$3390,R$1,'United Data'!$C$3:$C$3390,$A193,'United Data'!$B$3:$B$3390,"&lt;&gt;Off-street")&gt;0,1,0)</f>
        <v>1</v>
      </c>
      <c r="S193">
        <f t="shared" si="4"/>
        <v>1</v>
      </c>
      <c r="T193">
        <f t="shared" si="5"/>
        <v>1</v>
      </c>
    </row>
    <row r="194" spans="1:20" x14ac:dyDescent="0.2">
      <c r="A194" t="s">
        <v>254</v>
      </c>
      <c r="B194">
        <f>IF(COUNTIFS('United Data'!$A$3:$A$3390,B$1,'United Data'!$C$3:$C$3390,$A194,'United Data'!$B$3:$B$3390,"&lt;&gt;Off-street")&gt;0,1,0)</f>
        <v>0</v>
      </c>
      <c r="C194">
        <f>IF(COUNTIFS('United Data'!$A$3:$A$3390,C$1,'United Data'!$C$3:$C$3390,$A194,'United Data'!$B$3:$B$3390,"&lt;&gt;Off-street")&gt;0,1,0)</f>
        <v>0</v>
      </c>
      <c r="D194">
        <f>IF(COUNTIFS('United Data'!$A$3:$A$3390,D$1,'United Data'!$C$3:$C$3390,$A194,'United Data'!$B$3:$B$3390,"&lt;&gt;Off-street")&gt;0,1,0)</f>
        <v>1</v>
      </c>
      <c r="E194">
        <f>IF(COUNTIFS('United Data'!$A$3:$A$3390,E$1,'United Data'!$C$3:$C$3390,$A194,'United Data'!$B$3:$B$3390,"&lt;&gt;Off-street")&gt;0,1,0)</f>
        <v>1</v>
      </c>
      <c r="F194">
        <f>IF(COUNTIFS('United Data'!$A$3:$A$3390,F$1,'United Data'!$C$3:$C$3390,$A194,'United Data'!$B$3:$B$3390,"&lt;&gt;Off-street")&gt;0,1,0)</f>
        <v>1</v>
      </c>
      <c r="G194">
        <f>IF(COUNTIFS('United Data'!$A$3:$A$3390,G$1,'United Data'!$C$3:$C$3390,$A194,'United Data'!$B$3:$B$3390,"&lt;&gt;Off-street")&gt;0,1,0)</f>
        <v>1</v>
      </c>
      <c r="H194">
        <f>IF(COUNTIFS('United Data'!$A$3:$A$3390,H$1,'United Data'!$C$3:$C$3390,$A194,'United Data'!$B$3:$B$3390,"&lt;&gt;Off-street")&gt;0,1,0)</f>
        <v>0</v>
      </c>
      <c r="I194">
        <f>IF(COUNTIFS('United Data'!$A$3:$A$3390,I$1,'United Data'!$C$3:$C$3390,$A194,'United Data'!$B$3:$B$3390,"&lt;&gt;Off-street")&gt;0,1,0)</f>
        <v>1</v>
      </c>
      <c r="J194">
        <f>IF(COUNTIFS('United Data'!$A$3:$A$3390,J$1,'United Data'!$C$3:$C$3390,$A194,'United Data'!$B$3:$B$3390,"&lt;&gt;Off-street")&gt;0,1,0)</f>
        <v>0</v>
      </c>
      <c r="K194">
        <f>IF(COUNTIFS('United Data'!$A$3:$A$3390,K$1,'United Data'!$C$3:$C$3390,$A194,'United Data'!$B$3:$B$3390,"&lt;&gt;Off-street")&gt;0,1,0)</f>
        <v>1</v>
      </c>
      <c r="L194">
        <f>IF(COUNTIFS('United Data'!$A$3:$A$3390,L$1,'United Data'!$C$3:$C$3390,$A194,'United Data'!$B$3:$B$3390,"&lt;&gt;Off-street")&gt;0,1,0)</f>
        <v>1</v>
      </c>
      <c r="M194">
        <f>IF(COUNTIFS('United Data'!$A$3:$A$3390,M$1,'United Data'!$C$3:$C$3390,$A194,'United Data'!$B$3:$B$3390,"&lt;&gt;Off-street")&gt;0,1,0)</f>
        <v>0</v>
      </c>
      <c r="N194">
        <f>IF(COUNTIFS('United Data'!$A$3:$A$3390,N$1,'United Data'!$C$3:$C$3390,$A194,'United Data'!$B$3:$B$3390,"&lt;&gt;Off-street")&gt;0,1,0)</f>
        <v>1</v>
      </c>
      <c r="O194">
        <f>IF(COUNTIFS('United Data'!$A$3:$A$3390,O$1,'United Data'!$C$3:$C$3390,$A194,'United Data'!$B$3:$B$3390,"&lt;&gt;Off-street")&gt;0,1,0)</f>
        <v>1</v>
      </c>
      <c r="P194">
        <f>IF(COUNTIFS('United Data'!$A$3:$A$3390,P$1,'United Data'!$C$3:$C$3390,$A194,'United Data'!$B$3:$B$3390,"&lt;&gt;Off-street")&gt;0,1,0)</f>
        <v>1</v>
      </c>
      <c r="Q194">
        <f>IF(COUNTIFS('United Data'!$A$3:$A$3390,Q$1,'United Data'!$C$3:$C$3390,$A194,'United Data'!$B$3:$B$3390,"&lt;&gt;Off-street")&gt;0,1,0)</f>
        <v>1</v>
      </c>
      <c r="R194">
        <f>IF(COUNTIFS('United Data'!$A$3:$A$3390,R$1,'United Data'!$C$3:$C$3390,$A194,'United Data'!$B$3:$B$3390,"&lt;&gt;Off-street")&gt;0,1,0)</f>
        <v>1</v>
      </c>
      <c r="S194">
        <f t="shared" ref="S194:S257" si="6">SUM(B194:R194)</f>
        <v>12</v>
      </c>
      <c r="T194">
        <f t="shared" ref="T194:T257" si="7">B194+SUMPRODUCT(--(C194:R194&gt;B194:Q194))</f>
        <v>4</v>
      </c>
    </row>
    <row r="195" spans="1:20" x14ac:dyDescent="0.2">
      <c r="A195" t="s">
        <v>255</v>
      </c>
      <c r="B195">
        <f>IF(COUNTIFS('United Data'!$A$3:$A$3390,B$1,'United Data'!$C$3:$C$3390,$A195,'United Data'!$B$3:$B$3390,"&lt;&gt;Off-street")&gt;0,1,0)</f>
        <v>1</v>
      </c>
      <c r="C195">
        <f>IF(COUNTIFS('United Data'!$A$3:$A$3390,C$1,'United Data'!$C$3:$C$3390,$A195,'United Data'!$B$3:$B$3390,"&lt;&gt;Off-street")&gt;0,1,0)</f>
        <v>0</v>
      </c>
      <c r="D195">
        <f>IF(COUNTIFS('United Data'!$A$3:$A$3390,D$1,'United Data'!$C$3:$C$3390,$A195,'United Data'!$B$3:$B$3390,"&lt;&gt;Off-street")&gt;0,1,0)</f>
        <v>0</v>
      </c>
      <c r="E195">
        <f>IF(COUNTIFS('United Data'!$A$3:$A$3390,E$1,'United Data'!$C$3:$C$3390,$A195,'United Data'!$B$3:$B$3390,"&lt;&gt;Off-street")&gt;0,1,0)</f>
        <v>0</v>
      </c>
      <c r="F195">
        <f>IF(COUNTIFS('United Data'!$A$3:$A$3390,F$1,'United Data'!$C$3:$C$3390,$A195,'United Data'!$B$3:$B$3390,"&lt;&gt;Off-street")&gt;0,1,0)</f>
        <v>0</v>
      </c>
      <c r="G195">
        <f>IF(COUNTIFS('United Data'!$A$3:$A$3390,G$1,'United Data'!$C$3:$C$3390,$A195,'United Data'!$B$3:$B$3390,"&lt;&gt;Off-street")&gt;0,1,0)</f>
        <v>0</v>
      </c>
      <c r="H195">
        <f>IF(COUNTIFS('United Data'!$A$3:$A$3390,H$1,'United Data'!$C$3:$C$3390,$A195,'United Data'!$B$3:$B$3390,"&lt;&gt;Off-street")&gt;0,1,0)</f>
        <v>0</v>
      </c>
      <c r="I195">
        <f>IF(COUNTIFS('United Data'!$A$3:$A$3390,I$1,'United Data'!$C$3:$C$3390,$A195,'United Data'!$B$3:$B$3390,"&lt;&gt;Off-street")&gt;0,1,0)</f>
        <v>0</v>
      </c>
      <c r="J195">
        <f>IF(COUNTIFS('United Data'!$A$3:$A$3390,J$1,'United Data'!$C$3:$C$3390,$A195,'United Data'!$B$3:$B$3390,"&lt;&gt;Off-street")&gt;0,1,0)</f>
        <v>0</v>
      </c>
      <c r="K195">
        <f>IF(COUNTIFS('United Data'!$A$3:$A$3390,K$1,'United Data'!$C$3:$C$3390,$A195,'United Data'!$B$3:$B$3390,"&lt;&gt;Off-street")&gt;0,1,0)</f>
        <v>0</v>
      </c>
      <c r="L195">
        <f>IF(COUNTIFS('United Data'!$A$3:$A$3390,L$1,'United Data'!$C$3:$C$3390,$A195,'United Data'!$B$3:$B$3390,"&lt;&gt;Off-street")&gt;0,1,0)</f>
        <v>0</v>
      </c>
      <c r="M195">
        <f>IF(COUNTIFS('United Data'!$A$3:$A$3390,M$1,'United Data'!$C$3:$C$3390,$A195,'United Data'!$B$3:$B$3390,"&lt;&gt;Off-street")&gt;0,1,0)</f>
        <v>0</v>
      </c>
      <c r="N195">
        <f>IF(COUNTIFS('United Data'!$A$3:$A$3390,N$1,'United Data'!$C$3:$C$3390,$A195,'United Data'!$B$3:$B$3390,"&lt;&gt;Off-street")&gt;0,1,0)</f>
        <v>0</v>
      </c>
      <c r="O195">
        <f>IF(COUNTIFS('United Data'!$A$3:$A$3390,O$1,'United Data'!$C$3:$C$3390,$A195,'United Data'!$B$3:$B$3390,"&lt;&gt;Off-street")&gt;0,1,0)</f>
        <v>0</v>
      </c>
      <c r="P195">
        <f>IF(COUNTIFS('United Data'!$A$3:$A$3390,P$1,'United Data'!$C$3:$C$3390,$A195,'United Data'!$B$3:$B$3390,"&lt;&gt;Off-street")&gt;0,1,0)</f>
        <v>0</v>
      </c>
      <c r="Q195">
        <f>IF(COUNTIFS('United Data'!$A$3:$A$3390,Q$1,'United Data'!$C$3:$C$3390,$A195,'United Data'!$B$3:$B$3390,"&lt;&gt;Off-street")&gt;0,1,0)</f>
        <v>0</v>
      </c>
      <c r="R195">
        <f>IF(COUNTIFS('United Data'!$A$3:$A$3390,R$1,'United Data'!$C$3:$C$3390,$A195,'United Data'!$B$3:$B$3390,"&lt;&gt;Off-street")&gt;0,1,0)</f>
        <v>0</v>
      </c>
      <c r="S195">
        <f t="shared" si="6"/>
        <v>1</v>
      </c>
      <c r="T195">
        <f t="shared" si="7"/>
        <v>1</v>
      </c>
    </row>
    <row r="196" spans="1:20" x14ac:dyDescent="0.2">
      <c r="A196" t="s">
        <v>257</v>
      </c>
      <c r="B196">
        <f>IF(COUNTIFS('United Data'!$A$3:$A$3390,B$1,'United Data'!$C$3:$C$3390,$A196,'United Data'!$B$3:$B$3390,"&lt;&gt;Off-street")&gt;0,1,0)</f>
        <v>0</v>
      </c>
      <c r="C196">
        <f>IF(COUNTIFS('United Data'!$A$3:$A$3390,C$1,'United Data'!$C$3:$C$3390,$A196,'United Data'!$B$3:$B$3390,"&lt;&gt;Off-street")&gt;0,1,0)</f>
        <v>1</v>
      </c>
      <c r="D196">
        <f>IF(COUNTIFS('United Data'!$A$3:$A$3390,D$1,'United Data'!$C$3:$C$3390,$A196,'United Data'!$B$3:$B$3390,"&lt;&gt;Off-street")&gt;0,1,0)</f>
        <v>1</v>
      </c>
      <c r="E196">
        <f>IF(COUNTIFS('United Data'!$A$3:$A$3390,E$1,'United Data'!$C$3:$C$3390,$A196,'United Data'!$B$3:$B$3390,"&lt;&gt;Off-street")&gt;0,1,0)</f>
        <v>0</v>
      </c>
      <c r="F196">
        <f>IF(COUNTIFS('United Data'!$A$3:$A$3390,F$1,'United Data'!$C$3:$C$3390,$A196,'United Data'!$B$3:$B$3390,"&lt;&gt;Off-street")&gt;0,1,0)</f>
        <v>0</v>
      </c>
      <c r="G196">
        <f>IF(COUNTIFS('United Data'!$A$3:$A$3390,G$1,'United Data'!$C$3:$C$3390,$A196,'United Data'!$B$3:$B$3390,"&lt;&gt;Off-street")&gt;0,1,0)</f>
        <v>0</v>
      </c>
      <c r="H196">
        <f>IF(COUNTIFS('United Data'!$A$3:$A$3390,H$1,'United Data'!$C$3:$C$3390,$A196,'United Data'!$B$3:$B$3390,"&lt;&gt;Off-street")&gt;0,1,0)</f>
        <v>0</v>
      </c>
      <c r="I196">
        <f>IF(COUNTIFS('United Data'!$A$3:$A$3390,I$1,'United Data'!$C$3:$C$3390,$A196,'United Data'!$B$3:$B$3390,"&lt;&gt;Off-street")&gt;0,1,0)</f>
        <v>0</v>
      </c>
      <c r="J196">
        <f>IF(COUNTIFS('United Data'!$A$3:$A$3390,J$1,'United Data'!$C$3:$C$3390,$A196,'United Data'!$B$3:$B$3390,"&lt;&gt;Off-street")&gt;0,1,0)</f>
        <v>0</v>
      </c>
      <c r="K196">
        <f>IF(COUNTIFS('United Data'!$A$3:$A$3390,K$1,'United Data'!$C$3:$C$3390,$A196,'United Data'!$B$3:$B$3390,"&lt;&gt;Off-street")&gt;0,1,0)</f>
        <v>0</v>
      </c>
      <c r="L196">
        <f>IF(COUNTIFS('United Data'!$A$3:$A$3390,L$1,'United Data'!$C$3:$C$3390,$A196,'United Data'!$B$3:$B$3390,"&lt;&gt;Off-street")&gt;0,1,0)</f>
        <v>0</v>
      </c>
      <c r="M196">
        <f>IF(COUNTIFS('United Data'!$A$3:$A$3390,M$1,'United Data'!$C$3:$C$3390,$A196,'United Data'!$B$3:$B$3390,"&lt;&gt;Off-street")&gt;0,1,0)</f>
        <v>0</v>
      </c>
      <c r="N196">
        <f>IF(COUNTIFS('United Data'!$A$3:$A$3390,N$1,'United Data'!$C$3:$C$3390,$A196,'United Data'!$B$3:$B$3390,"&lt;&gt;Off-street")&gt;0,1,0)</f>
        <v>0</v>
      </c>
      <c r="O196">
        <f>IF(COUNTIFS('United Data'!$A$3:$A$3390,O$1,'United Data'!$C$3:$C$3390,$A196,'United Data'!$B$3:$B$3390,"&lt;&gt;Off-street")&gt;0,1,0)</f>
        <v>0</v>
      </c>
      <c r="P196">
        <f>IF(COUNTIFS('United Data'!$A$3:$A$3390,P$1,'United Data'!$C$3:$C$3390,$A196,'United Data'!$B$3:$B$3390,"&lt;&gt;Off-street")&gt;0,1,0)</f>
        <v>0</v>
      </c>
      <c r="Q196">
        <f>IF(COUNTIFS('United Data'!$A$3:$A$3390,Q$1,'United Data'!$C$3:$C$3390,$A196,'United Data'!$B$3:$B$3390,"&lt;&gt;Off-street")&gt;0,1,0)</f>
        <v>0</v>
      </c>
      <c r="R196">
        <f>IF(COUNTIFS('United Data'!$A$3:$A$3390,R$1,'United Data'!$C$3:$C$3390,$A196,'United Data'!$B$3:$B$3390,"&lt;&gt;Off-street")&gt;0,1,0)</f>
        <v>0</v>
      </c>
      <c r="S196">
        <f t="shared" si="6"/>
        <v>2</v>
      </c>
      <c r="T196">
        <f t="shared" si="7"/>
        <v>1</v>
      </c>
    </row>
    <row r="197" spans="1:20" x14ac:dyDescent="0.2">
      <c r="A197" t="s">
        <v>258</v>
      </c>
      <c r="B197">
        <f>IF(COUNTIFS('United Data'!$A$3:$A$3390,B$1,'United Data'!$C$3:$C$3390,$A197,'United Data'!$B$3:$B$3390,"&lt;&gt;Off-street")&gt;0,1,0)</f>
        <v>0</v>
      </c>
      <c r="C197">
        <f>IF(COUNTIFS('United Data'!$A$3:$A$3390,C$1,'United Data'!$C$3:$C$3390,$A197,'United Data'!$B$3:$B$3390,"&lt;&gt;Off-street")&gt;0,1,0)</f>
        <v>1</v>
      </c>
      <c r="D197">
        <f>IF(COUNTIFS('United Data'!$A$3:$A$3390,D$1,'United Data'!$C$3:$C$3390,$A197,'United Data'!$B$3:$B$3390,"&lt;&gt;Off-street")&gt;0,1,0)</f>
        <v>1</v>
      </c>
      <c r="E197">
        <f>IF(COUNTIFS('United Data'!$A$3:$A$3390,E$1,'United Data'!$C$3:$C$3390,$A197,'United Data'!$B$3:$B$3390,"&lt;&gt;Off-street")&gt;0,1,0)</f>
        <v>1</v>
      </c>
      <c r="F197">
        <f>IF(COUNTIFS('United Data'!$A$3:$A$3390,F$1,'United Data'!$C$3:$C$3390,$A197,'United Data'!$B$3:$B$3390,"&lt;&gt;Off-street")&gt;0,1,0)</f>
        <v>1</v>
      </c>
      <c r="G197">
        <f>IF(COUNTIFS('United Data'!$A$3:$A$3390,G$1,'United Data'!$C$3:$C$3390,$A197,'United Data'!$B$3:$B$3390,"&lt;&gt;Off-street")&gt;0,1,0)</f>
        <v>0</v>
      </c>
      <c r="H197">
        <f>IF(COUNTIFS('United Data'!$A$3:$A$3390,H$1,'United Data'!$C$3:$C$3390,$A197,'United Data'!$B$3:$B$3390,"&lt;&gt;Off-street")&gt;0,1,0)</f>
        <v>0</v>
      </c>
      <c r="I197">
        <f>IF(COUNTIFS('United Data'!$A$3:$A$3390,I$1,'United Data'!$C$3:$C$3390,$A197,'United Data'!$B$3:$B$3390,"&lt;&gt;Off-street")&gt;0,1,0)</f>
        <v>0</v>
      </c>
      <c r="J197">
        <f>IF(COUNTIFS('United Data'!$A$3:$A$3390,J$1,'United Data'!$C$3:$C$3390,$A197,'United Data'!$B$3:$B$3390,"&lt;&gt;Off-street")&gt;0,1,0)</f>
        <v>0</v>
      </c>
      <c r="K197">
        <f>IF(COUNTIFS('United Data'!$A$3:$A$3390,K$1,'United Data'!$C$3:$C$3390,$A197,'United Data'!$B$3:$B$3390,"&lt;&gt;Off-street")&gt;0,1,0)</f>
        <v>1</v>
      </c>
      <c r="L197">
        <f>IF(COUNTIFS('United Data'!$A$3:$A$3390,L$1,'United Data'!$C$3:$C$3390,$A197,'United Data'!$B$3:$B$3390,"&lt;&gt;Off-street")&gt;0,1,0)</f>
        <v>0</v>
      </c>
      <c r="M197">
        <f>IF(COUNTIFS('United Data'!$A$3:$A$3390,M$1,'United Data'!$C$3:$C$3390,$A197,'United Data'!$B$3:$B$3390,"&lt;&gt;Off-street")&gt;0,1,0)</f>
        <v>0</v>
      </c>
      <c r="N197">
        <f>IF(COUNTIFS('United Data'!$A$3:$A$3390,N$1,'United Data'!$C$3:$C$3390,$A197,'United Data'!$B$3:$B$3390,"&lt;&gt;Off-street")&gt;0,1,0)</f>
        <v>0</v>
      </c>
      <c r="O197">
        <f>IF(COUNTIFS('United Data'!$A$3:$A$3390,O$1,'United Data'!$C$3:$C$3390,$A197,'United Data'!$B$3:$B$3390,"&lt;&gt;Off-street")&gt;0,1,0)</f>
        <v>0</v>
      </c>
      <c r="P197">
        <f>IF(COUNTIFS('United Data'!$A$3:$A$3390,P$1,'United Data'!$C$3:$C$3390,$A197,'United Data'!$B$3:$B$3390,"&lt;&gt;Off-street")&gt;0,1,0)</f>
        <v>0</v>
      </c>
      <c r="Q197">
        <f>IF(COUNTIFS('United Data'!$A$3:$A$3390,Q$1,'United Data'!$C$3:$C$3390,$A197,'United Data'!$B$3:$B$3390,"&lt;&gt;Off-street")&gt;0,1,0)</f>
        <v>1</v>
      </c>
      <c r="R197">
        <f>IF(COUNTIFS('United Data'!$A$3:$A$3390,R$1,'United Data'!$C$3:$C$3390,$A197,'United Data'!$B$3:$B$3390,"&lt;&gt;Off-street")&gt;0,1,0)</f>
        <v>0</v>
      </c>
      <c r="S197">
        <f t="shared" si="6"/>
        <v>6</v>
      </c>
      <c r="T197">
        <f t="shared" si="7"/>
        <v>3</v>
      </c>
    </row>
    <row r="198" spans="1:20" x14ac:dyDescent="0.2">
      <c r="A198" t="s">
        <v>259</v>
      </c>
      <c r="B198">
        <f>IF(COUNTIFS('United Data'!$A$3:$A$3390,B$1,'United Data'!$C$3:$C$3390,$A198,'United Data'!$B$3:$B$3390,"&lt;&gt;Off-street")&gt;0,1,0)</f>
        <v>0</v>
      </c>
      <c r="C198">
        <f>IF(COUNTIFS('United Data'!$A$3:$A$3390,C$1,'United Data'!$C$3:$C$3390,$A198,'United Data'!$B$3:$B$3390,"&lt;&gt;Off-street")&gt;0,1,0)</f>
        <v>1</v>
      </c>
      <c r="D198">
        <f>IF(COUNTIFS('United Data'!$A$3:$A$3390,D$1,'United Data'!$C$3:$C$3390,$A198,'United Data'!$B$3:$B$3390,"&lt;&gt;Off-street")&gt;0,1,0)</f>
        <v>1</v>
      </c>
      <c r="E198">
        <f>IF(COUNTIFS('United Data'!$A$3:$A$3390,E$1,'United Data'!$C$3:$C$3390,$A198,'United Data'!$B$3:$B$3390,"&lt;&gt;Off-street")&gt;0,1,0)</f>
        <v>1</v>
      </c>
      <c r="F198">
        <f>IF(COUNTIFS('United Data'!$A$3:$A$3390,F$1,'United Data'!$C$3:$C$3390,$A198,'United Data'!$B$3:$B$3390,"&lt;&gt;Off-street")&gt;0,1,0)</f>
        <v>0</v>
      </c>
      <c r="G198">
        <f>IF(COUNTIFS('United Data'!$A$3:$A$3390,G$1,'United Data'!$C$3:$C$3390,$A198,'United Data'!$B$3:$B$3390,"&lt;&gt;Off-street")&gt;0,1,0)</f>
        <v>0</v>
      </c>
      <c r="H198">
        <f>IF(COUNTIFS('United Data'!$A$3:$A$3390,H$1,'United Data'!$C$3:$C$3390,$A198,'United Data'!$B$3:$B$3390,"&lt;&gt;Off-street")&gt;0,1,0)</f>
        <v>0</v>
      </c>
      <c r="I198">
        <f>IF(COUNTIFS('United Data'!$A$3:$A$3390,I$1,'United Data'!$C$3:$C$3390,$A198,'United Data'!$B$3:$B$3390,"&lt;&gt;Off-street")&gt;0,1,0)</f>
        <v>1</v>
      </c>
      <c r="J198">
        <f>IF(COUNTIFS('United Data'!$A$3:$A$3390,J$1,'United Data'!$C$3:$C$3390,$A198,'United Data'!$B$3:$B$3390,"&lt;&gt;Off-street")&gt;0,1,0)</f>
        <v>1</v>
      </c>
      <c r="K198">
        <f>IF(COUNTIFS('United Data'!$A$3:$A$3390,K$1,'United Data'!$C$3:$C$3390,$A198,'United Data'!$B$3:$B$3390,"&lt;&gt;Off-street")&gt;0,1,0)</f>
        <v>0</v>
      </c>
      <c r="L198">
        <f>IF(COUNTIFS('United Data'!$A$3:$A$3390,L$1,'United Data'!$C$3:$C$3390,$A198,'United Data'!$B$3:$B$3390,"&lt;&gt;Off-street")&gt;0,1,0)</f>
        <v>0</v>
      </c>
      <c r="M198">
        <f>IF(COUNTIFS('United Data'!$A$3:$A$3390,M$1,'United Data'!$C$3:$C$3390,$A198,'United Data'!$B$3:$B$3390,"&lt;&gt;Off-street")&gt;0,1,0)</f>
        <v>0</v>
      </c>
      <c r="N198">
        <f>IF(COUNTIFS('United Data'!$A$3:$A$3390,N$1,'United Data'!$C$3:$C$3390,$A198,'United Data'!$B$3:$B$3390,"&lt;&gt;Off-street")&gt;0,1,0)</f>
        <v>0</v>
      </c>
      <c r="O198">
        <f>IF(COUNTIFS('United Data'!$A$3:$A$3390,O$1,'United Data'!$C$3:$C$3390,$A198,'United Data'!$B$3:$B$3390,"&lt;&gt;Off-street")&gt;0,1,0)</f>
        <v>1</v>
      </c>
      <c r="P198">
        <f>IF(COUNTIFS('United Data'!$A$3:$A$3390,P$1,'United Data'!$C$3:$C$3390,$A198,'United Data'!$B$3:$B$3390,"&lt;&gt;Off-street")&gt;0,1,0)</f>
        <v>1</v>
      </c>
      <c r="Q198">
        <f>IF(COUNTIFS('United Data'!$A$3:$A$3390,Q$1,'United Data'!$C$3:$C$3390,$A198,'United Data'!$B$3:$B$3390,"&lt;&gt;Off-street")&gt;0,1,0)</f>
        <v>1</v>
      </c>
      <c r="R198">
        <f>IF(COUNTIFS('United Data'!$A$3:$A$3390,R$1,'United Data'!$C$3:$C$3390,$A198,'United Data'!$B$3:$B$3390,"&lt;&gt;Off-street")&gt;0,1,0)</f>
        <v>0</v>
      </c>
      <c r="S198">
        <f t="shared" si="6"/>
        <v>8</v>
      </c>
      <c r="T198">
        <f t="shared" si="7"/>
        <v>3</v>
      </c>
    </row>
    <row r="199" spans="1:20" x14ac:dyDescent="0.2">
      <c r="A199" t="s">
        <v>260</v>
      </c>
      <c r="B199">
        <f>IF(COUNTIFS('United Data'!$A$3:$A$3390,B$1,'United Data'!$C$3:$C$3390,$A199,'United Data'!$B$3:$B$3390,"&lt;&gt;Off-street")&gt;0,1,0)</f>
        <v>0</v>
      </c>
      <c r="C199">
        <f>IF(COUNTIFS('United Data'!$A$3:$A$3390,C$1,'United Data'!$C$3:$C$3390,$A199,'United Data'!$B$3:$B$3390,"&lt;&gt;Off-street")&gt;0,1,0)</f>
        <v>1</v>
      </c>
      <c r="D199">
        <f>IF(COUNTIFS('United Data'!$A$3:$A$3390,D$1,'United Data'!$C$3:$C$3390,$A199,'United Data'!$B$3:$B$3390,"&lt;&gt;Off-street")&gt;0,1,0)</f>
        <v>1</v>
      </c>
      <c r="E199">
        <f>IF(COUNTIFS('United Data'!$A$3:$A$3390,E$1,'United Data'!$C$3:$C$3390,$A199,'United Data'!$B$3:$B$3390,"&lt;&gt;Off-street")&gt;0,1,0)</f>
        <v>1</v>
      </c>
      <c r="F199">
        <f>IF(COUNTIFS('United Data'!$A$3:$A$3390,F$1,'United Data'!$C$3:$C$3390,$A199,'United Data'!$B$3:$B$3390,"&lt;&gt;Off-street")&gt;0,1,0)</f>
        <v>1</v>
      </c>
      <c r="G199">
        <f>IF(COUNTIFS('United Data'!$A$3:$A$3390,G$1,'United Data'!$C$3:$C$3390,$A199,'United Data'!$B$3:$B$3390,"&lt;&gt;Off-street")&gt;0,1,0)</f>
        <v>1</v>
      </c>
      <c r="H199">
        <f>IF(COUNTIFS('United Data'!$A$3:$A$3390,H$1,'United Data'!$C$3:$C$3390,$A199,'United Data'!$B$3:$B$3390,"&lt;&gt;Off-street")&gt;0,1,0)</f>
        <v>0</v>
      </c>
      <c r="I199">
        <f>IF(COUNTIFS('United Data'!$A$3:$A$3390,I$1,'United Data'!$C$3:$C$3390,$A199,'United Data'!$B$3:$B$3390,"&lt;&gt;Off-street")&gt;0,1,0)</f>
        <v>0</v>
      </c>
      <c r="J199">
        <f>IF(COUNTIFS('United Data'!$A$3:$A$3390,J$1,'United Data'!$C$3:$C$3390,$A199,'United Data'!$B$3:$B$3390,"&lt;&gt;Off-street")&gt;0,1,0)</f>
        <v>0</v>
      </c>
      <c r="K199">
        <f>IF(COUNTIFS('United Data'!$A$3:$A$3390,K$1,'United Data'!$C$3:$C$3390,$A199,'United Data'!$B$3:$B$3390,"&lt;&gt;Off-street")&gt;0,1,0)</f>
        <v>0</v>
      </c>
      <c r="L199">
        <f>IF(COUNTIFS('United Data'!$A$3:$A$3390,L$1,'United Data'!$C$3:$C$3390,$A199,'United Data'!$B$3:$B$3390,"&lt;&gt;Off-street")&gt;0,1,0)</f>
        <v>0</v>
      </c>
      <c r="M199">
        <f>IF(COUNTIFS('United Data'!$A$3:$A$3390,M$1,'United Data'!$C$3:$C$3390,$A199,'United Data'!$B$3:$B$3390,"&lt;&gt;Off-street")&gt;0,1,0)</f>
        <v>0</v>
      </c>
      <c r="N199">
        <f>IF(COUNTIFS('United Data'!$A$3:$A$3390,N$1,'United Data'!$C$3:$C$3390,$A199,'United Data'!$B$3:$B$3390,"&lt;&gt;Off-street")&gt;0,1,0)</f>
        <v>0</v>
      </c>
      <c r="O199">
        <f>IF(COUNTIFS('United Data'!$A$3:$A$3390,O$1,'United Data'!$C$3:$C$3390,$A199,'United Data'!$B$3:$B$3390,"&lt;&gt;Off-street")&gt;0,1,0)</f>
        <v>1</v>
      </c>
      <c r="P199">
        <f>IF(COUNTIFS('United Data'!$A$3:$A$3390,P$1,'United Data'!$C$3:$C$3390,$A199,'United Data'!$B$3:$B$3390,"&lt;&gt;Off-street")&gt;0,1,0)</f>
        <v>0</v>
      </c>
      <c r="Q199">
        <f>IF(COUNTIFS('United Data'!$A$3:$A$3390,Q$1,'United Data'!$C$3:$C$3390,$A199,'United Data'!$B$3:$B$3390,"&lt;&gt;Off-street")&gt;0,1,0)</f>
        <v>1</v>
      </c>
      <c r="R199">
        <f>IF(COUNTIFS('United Data'!$A$3:$A$3390,R$1,'United Data'!$C$3:$C$3390,$A199,'United Data'!$B$3:$B$3390,"&lt;&gt;Off-street")&gt;0,1,0)</f>
        <v>0</v>
      </c>
      <c r="S199">
        <f t="shared" si="6"/>
        <v>7</v>
      </c>
      <c r="T199">
        <f t="shared" si="7"/>
        <v>3</v>
      </c>
    </row>
    <row r="200" spans="1:20" x14ac:dyDescent="0.2">
      <c r="A200" t="s">
        <v>261</v>
      </c>
      <c r="B200">
        <f>IF(COUNTIFS('United Data'!$A$3:$A$3390,B$1,'United Data'!$C$3:$C$3390,$A200,'United Data'!$B$3:$B$3390,"&lt;&gt;Off-street")&gt;0,1,0)</f>
        <v>0</v>
      </c>
      <c r="C200">
        <f>IF(COUNTIFS('United Data'!$A$3:$A$3390,C$1,'United Data'!$C$3:$C$3390,$A200,'United Data'!$B$3:$B$3390,"&lt;&gt;Off-street")&gt;0,1,0)</f>
        <v>1</v>
      </c>
      <c r="D200">
        <f>IF(COUNTIFS('United Data'!$A$3:$A$3390,D$1,'United Data'!$C$3:$C$3390,$A200,'United Data'!$B$3:$B$3390,"&lt;&gt;Off-street")&gt;0,1,0)</f>
        <v>1</v>
      </c>
      <c r="E200">
        <f>IF(COUNTIFS('United Data'!$A$3:$A$3390,E$1,'United Data'!$C$3:$C$3390,$A200,'United Data'!$B$3:$B$3390,"&lt;&gt;Off-street")&gt;0,1,0)</f>
        <v>1</v>
      </c>
      <c r="F200">
        <f>IF(COUNTIFS('United Data'!$A$3:$A$3390,F$1,'United Data'!$C$3:$C$3390,$A200,'United Data'!$B$3:$B$3390,"&lt;&gt;Off-street")&gt;0,1,0)</f>
        <v>0</v>
      </c>
      <c r="G200">
        <f>IF(COUNTIFS('United Data'!$A$3:$A$3390,G$1,'United Data'!$C$3:$C$3390,$A200,'United Data'!$B$3:$B$3390,"&lt;&gt;Off-street")&gt;0,1,0)</f>
        <v>0</v>
      </c>
      <c r="H200">
        <f>IF(COUNTIFS('United Data'!$A$3:$A$3390,H$1,'United Data'!$C$3:$C$3390,$A200,'United Data'!$B$3:$B$3390,"&lt;&gt;Off-street")&gt;0,1,0)</f>
        <v>1</v>
      </c>
      <c r="I200">
        <f>IF(COUNTIFS('United Data'!$A$3:$A$3390,I$1,'United Data'!$C$3:$C$3390,$A200,'United Data'!$B$3:$B$3390,"&lt;&gt;Off-street")&gt;0,1,0)</f>
        <v>0</v>
      </c>
      <c r="J200">
        <f>IF(COUNTIFS('United Data'!$A$3:$A$3390,J$1,'United Data'!$C$3:$C$3390,$A200,'United Data'!$B$3:$B$3390,"&lt;&gt;Off-street")&gt;0,1,0)</f>
        <v>0</v>
      </c>
      <c r="K200">
        <f>IF(COUNTIFS('United Data'!$A$3:$A$3390,K$1,'United Data'!$C$3:$C$3390,$A200,'United Data'!$B$3:$B$3390,"&lt;&gt;Off-street")&gt;0,1,0)</f>
        <v>0</v>
      </c>
      <c r="L200">
        <f>IF(COUNTIFS('United Data'!$A$3:$A$3390,L$1,'United Data'!$C$3:$C$3390,$A200,'United Data'!$B$3:$B$3390,"&lt;&gt;Off-street")&gt;0,1,0)</f>
        <v>0</v>
      </c>
      <c r="M200">
        <f>IF(COUNTIFS('United Data'!$A$3:$A$3390,M$1,'United Data'!$C$3:$C$3390,$A200,'United Data'!$B$3:$B$3390,"&lt;&gt;Off-street")&gt;0,1,0)</f>
        <v>0</v>
      </c>
      <c r="N200">
        <f>IF(COUNTIFS('United Data'!$A$3:$A$3390,N$1,'United Data'!$C$3:$C$3390,$A200,'United Data'!$B$3:$B$3390,"&lt;&gt;Off-street")&gt;0,1,0)</f>
        <v>1</v>
      </c>
      <c r="O200">
        <f>IF(COUNTIFS('United Data'!$A$3:$A$3390,O$1,'United Data'!$C$3:$C$3390,$A200,'United Data'!$B$3:$B$3390,"&lt;&gt;Off-street")&gt;0,1,0)</f>
        <v>0</v>
      </c>
      <c r="P200">
        <f>IF(COUNTIFS('United Data'!$A$3:$A$3390,P$1,'United Data'!$C$3:$C$3390,$A200,'United Data'!$B$3:$B$3390,"&lt;&gt;Off-street")&gt;0,1,0)</f>
        <v>0</v>
      </c>
      <c r="Q200">
        <f>IF(COUNTIFS('United Data'!$A$3:$A$3390,Q$1,'United Data'!$C$3:$C$3390,$A200,'United Data'!$B$3:$B$3390,"&lt;&gt;Off-street")&gt;0,1,0)</f>
        <v>0</v>
      </c>
      <c r="R200">
        <f>IF(COUNTIFS('United Data'!$A$3:$A$3390,R$1,'United Data'!$C$3:$C$3390,$A200,'United Data'!$B$3:$B$3390,"&lt;&gt;Off-street")&gt;0,1,0)</f>
        <v>0</v>
      </c>
      <c r="S200">
        <f t="shared" si="6"/>
        <v>5</v>
      </c>
      <c r="T200">
        <f t="shared" si="7"/>
        <v>3</v>
      </c>
    </row>
    <row r="201" spans="1:20" x14ac:dyDescent="0.2">
      <c r="A201" t="s">
        <v>263</v>
      </c>
      <c r="B201">
        <f>IF(COUNTIFS('United Data'!$A$3:$A$3390,B$1,'United Data'!$C$3:$C$3390,$A201,'United Data'!$B$3:$B$3390,"&lt;&gt;Off-street")&gt;0,1,0)</f>
        <v>0</v>
      </c>
      <c r="C201">
        <f>IF(COUNTIFS('United Data'!$A$3:$A$3390,C$1,'United Data'!$C$3:$C$3390,$A201,'United Data'!$B$3:$B$3390,"&lt;&gt;Off-street")&gt;0,1,0)</f>
        <v>0</v>
      </c>
      <c r="D201">
        <f>IF(COUNTIFS('United Data'!$A$3:$A$3390,D$1,'United Data'!$C$3:$C$3390,$A201,'United Data'!$B$3:$B$3390,"&lt;&gt;Off-street")&gt;0,1,0)</f>
        <v>1</v>
      </c>
      <c r="E201">
        <f>IF(COUNTIFS('United Data'!$A$3:$A$3390,E$1,'United Data'!$C$3:$C$3390,$A201,'United Data'!$B$3:$B$3390,"&lt;&gt;Off-street")&gt;0,1,0)</f>
        <v>0</v>
      </c>
      <c r="F201">
        <f>IF(COUNTIFS('United Data'!$A$3:$A$3390,F$1,'United Data'!$C$3:$C$3390,$A201,'United Data'!$B$3:$B$3390,"&lt;&gt;Off-street")&gt;0,1,0)</f>
        <v>0</v>
      </c>
      <c r="G201">
        <f>IF(COUNTIFS('United Data'!$A$3:$A$3390,G$1,'United Data'!$C$3:$C$3390,$A201,'United Data'!$B$3:$B$3390,"&lt;&gt;Off-street")&gt;0,1,0)</f>
        <v>0</v>
      </c>
      <c r="H201">
        <f>IF(COUNTIFS('United Data'!$A$3:$A$3390,H$1,'United Data'!$C$3:$C$3390,$A201,'United Data'!$B$3:$B$3390,"&lt;&gt;Off-street")&gt;0,1,0)</f>
        <v>0</v>
      </c>
      <c r="I201">
        <f>IF(COUNTIFS('United Data'!$A$3:$A$3390,I$1,'United Data'!$C$3:$C$3390,$A201,'United Data'!$B$3:$B$3390,"&lt;&gt;Off-street")&gt;0,1,0)</f>
        <v>0</v>
      </c>
      <c r="J201">
        <f>IF(COUNTIFS('United Data'!$A$3:$A$3390,J$1,'United Data'!$C$3:$C$3390,$A201,'United Data'!$B$3:$B$3390,"&lt;&gt;Off-street")&gt;0,1,0)</f>
        <v>0</v>
      </c>
      <c r="K201">
        <f>IF(COUNTIFS('United Data'!$A$3:$A$3390,K$1,'United Data'!$C$3:$C$3390,$A201,'United Data'!$B$3:$B$3390,"&lt;&gt;Off-street")&gt;0,1,0)</f>
        <v>0</v>
      </c>
      <c r="L201">
        <f>IF(COUNTIFS('United Data'!$A$3:$A$3390,L$1,'United Data'!$C$3:$C$3390,$A201,'United Data'!$B$3:$B$3390,"&lt;&gt;Off-street")&gt;0,1,0)</f>
        <v>0</v>
      </c>
      <c r="M201">
        <f>IF(COUNTIFS('United Data'!$A$3:$A$3390,M$1,'United Data'!$C$3:$C$3390,$A201,'United Data'!$B$3:$B$3390,"&lt;&gt;Off-street")&gt;0,1,0)</f>
        <v>0</v>
      </c>
      <c r="N201">
        <f>IF(COUNTIFS('United Data'!$A$3:$A$3390,N$1,'United Data'!$C$3:$C$3390,$A201,'United Data'!$B$3:$B$3390,"&lt;&gt;Off-street")&gt;0,1,0)</f>
        <v>0</v>
      </c>
      <c r="O201">
        <f>IF(COUNTIFS('United Data'!$A$3:$A$3390,O$1,'United Data'!$C$3:$C$3390,$A201,'United Data'!$B$3:$B$3390,"&lt;&gt;Off-street")&gt;0,1,0)</f>
        <v>0</v>
      </c>
      <c r="P201">
        <f>IF(COUNTIFS('United Data'!$A$3:$A$3390,P$1,'United Data'!$C$3:$C$3390,$A201,'United Data'!$B$3:$B$3390,"&lt;&gt;Off-street")&gt;0,1,0)</f>
        <v>0</v>
      </c>
      <c r="Q201">
        <f>IF(COUNTIFS('United Data'!$A$3:$A$3390,Q$1,'United Data'!$C$3:$C$3390,$A201,'United Data'!$B$3:$B$3390,"&lt;&gt;Off-street")&gt;0,1,0)</f>
        <v>0</v>
      </c>
      <c r="R201">
        <f>IF(COUNTIFS('United Data'!$A$3:$A$3390,R$1,'United Data'!$C$3:$C$3390,$A201,'United Data'!$B$3:$B$3390,"&lt;&gt;Off-street")&gt;0,1,0)</f>
        <v>0</v>
      </c>
      <c r="S201">
        <f t="shared" si="6"/>
        <v>1</v>
      </c>
      <c r="T201">
        <f t="shared" si="7"/>
        <v>1</v>
      </c>
    </row>
    <row r="202" spans="1:20" x14ac:dyDescent="0.2">
      <c r="A202" t="s">
        <v>265</v>
      </c>
      <c r="B202">
        <f>IF(COUNTIFS('United Data'!$A$3:$A$3390,B$1,'United Data'!$C$3:$C$3390,$A202,'United Data'!$B$3:$B$3390,"&lt;&gt;Off-street")&gt;0,1,0)</f>
        <v>0</v>
      </c>
      <c r="C202">
        <f>IF(COUNTIFS('United Data'!$A$3:$A$3390,C$1,'United Data'!$C$3:$C$3390,$A202,'United Data'!$B$3:$B$3390,"&lt;&gt;Off-street")&gt;0,1,0)</f>
        <v>0</v>
      </c>
      <c r="D202">
        <f>IF(COUNTIFS('United Data'!$A$3:$A$3390,D$1,'United Data'!$C$3:$C$3390,$A202,'United Data'!$B$3:$B$3390,"&lt;&gt;Off-street")&gt;0,1,0)</f>
        <v>1</v>
      </c>
      <c r="E202">
        <f>IF(COUNTIFS('United Data'!$A$3:$A$3390,E$1,'United Data'!$C$3:$C$3390,$A202,'United Data'!$B$3:$B$3390,"&lt;&gt;Off-street")&gt;0,1,0)</f>
        <v>0</v>
      </c>
      <c r="F202">
        <f>IF(COUNTIFS('United Data'!$A$3:$A$3390,F$1,'United Data'!$C$3:$C$3390,$A202,'United Data'!$B$3:$B$3390,"&lt;&gt;Off-street")&gt;0,1,0)</f>
        <v>1</v>
      </c>
      <c r="G202">
        <f>IF(COUNTIFS('United Data'!$A$3:$A$3390,G$1,'United Data'!$C$3:$C$3390,$A202,'United Data'!$B$3:$B$3390,"&lt;&gt;Off-street")&gt;0,1,0)</f>
        <v>0</v>
      </c>
      <c r="H202">
        <f>IF(COUNTIFS('United Data'!$A$3:$A$3390,H$1,'United Data'!$C$3:$C$3390,$A202,'United Data'!$B$3:$B$3390,"&lt;&gt;Off-street")&gt;0,1,0)</f>
        <v>0</v>
      </c>
      <c r="I202">
        <f>IF(COUNTIFS('United Data'!$A$3:$A$3390,I$1,'United Data'!$C$3:$C$3390,$A202,'United Data'!$B$3:$B$3390,"&lt;&gt;Off-street")&gt;0,1,0)</f>
        <v>1</v>
      </c>
      <c r="J202">
        <f>IF(COUNTIFS('United Data'!$A$3:$A$3390,J$1,'United Data'!$C$3:$C$3390,$A202,'United Data'!$B$3:$B$3390,"&lt;&gt;Off-street")&gt;0,1,0)</f>
        <v>0</v>
      </c>
      <c r="K202">
        <f>IF(COUNTIFS('United Data'!$A$3:$A$3390,K$1,'United Data'!$C$3:$C$3390,$A202,'United Data'!$B$3:$B$3390,"&lt;&gt;Off-street")&gt;0,1,0)</f>
        <v>0</v>
      </c>
      <c r="L202">
        <f>IF(COUNTIFS('United Data'!$A$3:$A$3390,L$1,'United Data'!$C$3:$C$3390,$A202,'United Data'!$B$3:$B$3390,"&lt;&gt;Off-street")&gt;0,1,0)</f>
        <v>0</v>
      </c>
      <c r="M202">
        <f>IF(COUNTIFS('United Data'!$A$3:$A$3390,M$1,'United Data'!$C$3:$C$3390,$A202,'United Data'!$B$3:$B$3390,"&lt;&gt;Off-street")&gt;0,1,0)</f>
        <v>1</v>
      </c>
      <c r="N202">
        <f>IF(COUNTIFS('United Data'!$A$3:$A$3390,N$1,'United Data'!$C$3:$C$3390,$A202,'United Data'!$B$3:$B$3390,"&lt;&gt;Off-street")&gt;0,1,0)</f>
        <v>0</v>
      </c>
      <c r="O202">
        <f>IF(COUNTIFS('United Data'!$A$3:$A$3390,O$1,'United Data'!$C$3:$C$3390,$A202,'United Data'!$B$3:$B$3390,"&lt;&gt;Off-street")&gt;0,1,0)</f>
        <v>1</v>
      </c>
      <c r="P202">
        <f>IF(COUNTIFS('United Data'!$A$3:$A$3390,P$1,'United Data'!$C$3:$C$3390,$A202,'United Data'!$B$3:$B$3390,"&lt;&gt;Off-street")&gt;0,1,0)</f>
        <v>1</v>
      </c>
      <c r="Q202">
        <f>IF(COUNTIFS('United Data'!$A$3:$A$3390,Q$1,'United Data'!$C$3:$C$3390,$A202,'United Data'!$B$3:$B$3390,"&lt;&gt;Off-street")&gt;0,1,0)</f>
        <v>0</v>
      </c>
      <c r="R202">
        <f>IF(COUNTIFS('United Data'!$A$3:$A$3390,R$1,'United Data'!$C$3:$C$3390,$A202,'United Data'!$B$3:$B$3390,"&lt;&gt;Off-street")&gt;0,1,0)</f>
        <v>0</v>
      </c>
      <c r="S202">
        <f t="shared" si="6"/>
        <v>6</v>
      </c>
      <c r="T202">
        <f t="shared" si="7"/>
        <v>5</v>
      </c>
    </row>
    <row r="203" spans="1:20" x14ac:dyDescent="0.2">
      <c r="A203" t="s">
        <v>268</v>
      </c>
      <c r="B203">
        <f>IF(COUNTIFS('United Data'!$A$3:$A$3390,B$1,'United Data'!$C$3:$C$3390,$A203,'United Data'!$B$3:$B$3390,"&lt;&gt;Off-street")&gt;0,1,0)</f>
        <v>0</v>
      </c>
      <c r="C203">
        <f>IF(COUNTIFS('United Data'!$A$3:$A$3390,C$1,'United Data'!$C$3:$C$3390,$A203,'United Data'!$B$3:$B$3390,"&lt;&gt;Off-street")&gt;0,1,0)</f>
        <v>0</v>
      </c>
      <c r="D203">
        <f>IF(COUNTIFS('United Data'!$A$3:$A$3390,D$1,'United Data'!$C$3:$C$3390,$A203,'United Data'!$B$3:$B$3390,"&lt;&gt;Off-street")&gt;0,1,0)</f>
        <v>1</v>
      </c>
      <c r="E203">
        <f>IF(COUNTIFS('United Data'!$A$3:$A$3390,E$1,'United Data'!$C$3:$C$3390,$A203,'United Data'!$B$3:$B$3390,"&lt;&gt;Off-street")&gt;0,1,0)</f>
        <v>1</v>
      </c>
      <c r="F203">
        <f>IF(COUNTIFS('United Data'!$A$3:$A$3390,F$1,'United Data'!$C$3:$C$3390,$A203,'United Data'!$B$3:$B$3390,"&lt;&gt;Off-street")&gt;0,1,0)</f>
        <v>1</v>
      </c>
      <c r="G203">
        <f>IF(COUNTIFS('United Data'!$A$3:$A$3390,G$1,'United Data'!$C$3:$C$3390,$A203,'United Data'!$B$3:$B$3390,"&lt;&gt;Off-street")&gt;0,1,0)</f>
        <v>0</v>
      </c>
      <c r="H203">
        <f>IF(COUNTIFS('United Data'!$A$3:$A$3390,H$1,'United Data'!$C$3:$C$3390,$A203,'United Data'!$B$3:$B$3390,"&lt;&gt;Off-street")&gt;0,1,0)</f>
        <v>0</v>
      </c>
      <c r="I203">
        <f>IF(COUNTIFS('United Data'!$A$3:$A$3390,I$1,'United Data'!$C$3:$C$3390,$A203,'United Data'!$B$3:$B$3390,"&lt;&gt;Off-street")&gt;0,1,0)</f>
        <v>0</v>
      </c>
      <c r="J203">
        <f>IF(COUNTIFS('United Data'!$A$3:$A$3390,J$1,'United Data'!$C$3:$C$3390,$A203,'United Data'!$B$3:$B$3390,"&lt;&gt;Off-street")&gt;0,1,0)</f>
        <v>0</v>
      </c>
      <c r="K203">
        <f>IF(COUNTIFS('United Data'!$A$3:$A$3390,K$1,'United Data'!$C$3:$C$3390,$A203,'United Data'!$B$3:$B$3390,"&lt;&gt;Off-street")&gt;0,1,0)</f>
        <v>0</v>
      </c>
      <c r="L203">
        <f>IF(COUNTIFS('United Data'!$A$3:$A$3390,L$1,'United Data'!$C$3:$C$3390,$A203,'United Data'!$B$3:$B$3390,"&lt;&gt;Off-street")&gt;0,1,0)</f>
        <v>0</v>
      </c>
      <c r="M203">
        <f>IF(COUNTIFS('United Data'!$A$3:$A$3390,M$1,'United Data'!$C$3:$C$3390,$A203,'United Data'!$B$3:$B$3390,"&lt;&gt;Off-street")&gt;0,1,0)</f>
        <v>0</v>
      </c>
      <c r="N203">
        <f>IF(COUNTIFS('United Data'!$A$3:$A$3390,N$1,'United Data'!$C$3:$C$3390,$A203,'United Data'!$B$3:$B$3390,"&lt;&gt;Off-street")&gt;0,1,0)</f>
        <v>0</v>
      </c>
      <c r="O203">
        <f>IF(COUNTIFS('United Data'!$A$3:$A$3390,O$1,'United Data'!$C$3:$C$3390,$A203,'United Data'!$B$3:$B$3390,"&lt;&gt;Off-street")&gt;0,1,0)</f>
        <v>0</v>
      </c>
      <c r="P203">
        <f>IF(COUNTIFS('United Data'!$A$3:$A$3390,P$1,'United Data'!$C$3:$C$3390,$A203,'United Data'!$B$3:$B$3390,"&lt;&gt;Off-street")&gt;0,1,0)</f>
        <v>0</v>
      </c>
      <c r="Q203">
        <f>IF(COUNTIFS('United Data'!$A$3:$A$3390,Q$1,'United Data'!$C$3:$C$3390,$A203,'United Data'!$B$3:$B$3390,"&lt;&gt;Off-street")&gt;0,1,0)</f>
        <v>0</v>
      </c>
      <c r="R203">
        <f>IF(COUNTIFS('United Data'!$A$3:$A$3390,R$1,'United Data'!$C$3:$C$3390,$A203,'United Data'!$B$3:$B$3390,"&lt;&gt;Off-street")&gt;0,1,0)</f>
        <v>0</v>
      </c>
      <c r="S203">
        <f t="shared" si="6"/>
        <v>3</v>
      </c>
      <c r="T203">
        <f t="shared" si="7"/>
        <v>1</v>
      </c>
    </row>
    <row r="204" spans="1:20" x14ac:dyDescent="0.2">
      <c r="A204" t="s">
        <v>269</v>
      </c>
      <c r="B204">
        <f>IF(COUNTIFS('United Data'!$A$3:$A$3390,B$1,'United Data'!$C$3:$C$3390,$A204,'United Data'!$B$3:$B$3390,"&lt;&gt;Off-street")&gt;0,1,0)</f>
        <v>0</v>
      </c>
      <c r="C204">
        <f>IF(COUNTIFS('United Data'!$A$3:$A$3390,C$1,'United Data'!$C$3:$C$3390,$A204,'United Data'!$B$3:$B$3390,"&lt;&gt;Off-street")&gt;0,1,0)</f>
        <v>0</v>
      </c>
      <c r="D204">
        <f>IF(COUNTIFS('United Data'!$A$3:$A$3390,D$1,'United Data'!$C$3:$C$3390,$A204,'United Data'!$B$3:$B$3390,"&lt;&gt;Off-street")&gt;0,1,0)</f>
        <v>1</v>
      </c>
      <c r="E204">
        <f>IF(COUNTIFS('United Data'!$A$3:$A$3390,E$1,'United Data'!$C$3:$C$3390,$A204,'United Data'!$B$3:$B$3390,"&lt;&gt;Off-street")&gt;0,1,0)</f>
        <v>0</v>
      </c>
      <c r="F204">
        <f>IF(COUNTIFS('United Data'!$A$3:$A$3390,F$1,'United Data'!$C$3:$C$3390,$A204,'United Data'!$B$3:$B$3390,"&lt;&gt;Off-street")&gt;0,1,0)</f>
        <v>0</v>
      </c>
      <c r="G204">
        <f>IF(COUNTIFS('United Data'!$A$3:$A$3390,G$1,'United Data'!$C$3:$C$3390,$A204,'United Data'!$B$3:$B$3390,"&lt;&gt;Off-street")&gt;0,1,0)</f>
        <v>0</v>
      </c>
      <c r="H204">
        <f>IF(COUNTIFS('United Data'!$A$3:$A$3390,H$1,'United Data'!$C$3:$C$3390,$A204,'United Data'!$B$3:$B$3390,"&lt;&gt;Off-street")&gt;0,1,0)</f>
        <v>0</v>
      </c>
      <c r="I204">
        <f>IF(COUNTIFS('United Data'!$A$3:$A$3390,I$1,'United Data'!$C$3:$C$3390,$A204,'United Data'!$B$3:$B$3390,"&lt;&gt;Off-street")&gt;0,1,0)</f>
        <v>0</v>
      </c>
      <c r="J204">
        <f>IF(COUNTIFS('United Data'!$A$3:$A$3390,J$1,'United Data'!$C$3:$C$3390,$A204,'United Data'!$B$3:$B$3390,"&lt;&gt;Off-street")&gt;0,1,0)</f>
        <v>0</v>
      </c>
      <c r="K204">
        <f>IF(COUNTIFS('United Data'!$A$3:$A$3390,K$1,'United Data'!$C$3:$C$3390,$A204,'United Data'!$B$3:$B$3390,"&lt;&gt;Off-street")&gt;0,1,0)</f>
        <v>0</v>
      </c>
      <c r="L204">
        <f>IF(COUNTIFS('United Data'!$A$3:$A$3390,L$1,'United Data'!$C$3:$C$3390,$A204,'United Data'!$B$3:$B$3390,"&lt;&gt;Off-street")&gt;0,1,0)</f>
        <v>0</v>
      </c>
      <c r="M204">
        <f>IF(COUNTIFS('United Data'!$A$3:$A$3390,M$1,'United Data'!$C$3:$C$3390,$A204,'United Data'!$B$3:$B$3390,"&lt;&gt;Off-street")&gt;0,1,0)</f>
        <v>0</v>
      </c>
      <c r="N204">
        <f>IF(COUNTIFS('United Data'!$A$3:$A$3390,N$1,'United Data'!$C$3:$C$3390,$A204,'United Data'!$B$3:$B$3390,"&lt;&gt;Off-street")&gt;0,1,0)</f>
        <v>0</v>
      </c>
      <c r="O204">
        <f>IF(COUNTIFS('United Data'!$A$3:$A$3390,O$1,'United Data'!$C$3:$C$3390,$A204,'United Data'!$B$3:$B$3390,"&lt;&gt;Off-street")&gt;0,1,0)</f>
        <v>0</v>
      </c>
      <c r="P204">
        <f>IF(COUNTIFS('United Data'!$A$3:$A$3390,P$1,'United Data'!$C$3:$C$3390,$A204,'United Data'!$B$3:$B$3390,"&lt;&gt;Off-street")&gt;0,1,0)</f>
        <v>0</v>
      </c>
      <c r="Q204">
        <f>IF(COUNTIFS('United Data'!$A$3:$A$3390,Q$1,'United Data'!$C$3:$C$3390,$A204,'United Data'!$B$3:$B$3390,"&lt;&gt;Off-street")&gt;0,1,0)</f>
        <v>0</v>
      </c>
      <c r="R204">
        <f>IF(COUNTIFS('United Data'!$A$3:$A$3390,R$1,'United Data'!$C$3:$C$3390,$A204,'United Data'!$B$3:$B$3390,"&lt;&gt;Off-street")&gt;0,1,0)</f>
        <v>0</v>
      </c>
      <c r="S204">
        <f t="shared" si="6"/>
        <v>1</v>
      </c>
      <c r="T204">
        <f t="shared" si="7"/>
        <v>1</v>
      </c>
    </row>
    <row r="205" spans="1:20" x14ac:dyDescent="0.2">
      <c r="A205" t="s">
        <v>271</v>
      </c>
      <c r="B205">
        <f>IF(COUNTIFS('United Data'!$A$3:$A$3390,B$1,'United Data'!$C$3:$C$3390,$A205,'United Data'!$B$3:$B$3390,"&lt;&gt;Off-street")&gt;0,1,0)</f>
        <v>0</v>
      </c>
      <c r="C205">
        <f>IF(COUNTIFS('United Data'!$A$3:$A$3390,C$1,'United Data'!$C$3:$C$3390,$A205,'United Data'!$B$3:$B$3390,"&lt;&gt;Off-street")&gt;0,1,0)</f>
        <v>0</v>
      </c>
      <c r="D205">
        <f>IF(COUNTIFS('United Data'!$A$3:$A$3390,D$1,'United Data'!$C$3:$C$3390,$A205,'United Data'!$B$3:$B$3390,"&lt;&gt;Off-street")&gt;0,1,0)</f>
        <v>0</v>
      </c>
      <c r="E205">
        <f>IF(COUNTIFS('United Data'!$A$3:$A$3390,E$1,'United Data'!$C$3:$C$3390,$A205,'United Data'!$B$3:$B$3390,"&lt;&gt;Off-street")&gt;0,1,0)</f>
        <v>1</v>
      </c>
      <c r="F205">
        <f>IF(COUNTIFS('United Data'!$A$3:$A$3390,F$1,'United Data'!$C$3:$C$3390,$A205,'United Data'!$B$3:$B$3390,"&lt;&gt;Off-street")&gt;0,1,0)</f>
        <v>0</v>
      </c>
      <c r="G205">
        <f>IF(COUNTIFS('United Data'!$A$3:$A$3390,G$1,'United Data'!$C$3:$C$3390,$A205,'United Data'!$B$3:$B$3390,"&lt;&gt;Off-street")&gt;0,1,0)</f>
        <v>0</v>
      </c>
      <c r="H205">
        <f>IF(COUNTIFS('United Data'!$A$3:$A$3390,H$1,'United Data'!$C$3:$C$3390,$A205,'United Data'!$B$3:$B$3390,"&lt;&gt;Off-street")&gt;0,1,0)</f>
        <v>0</v>
      </c>
      <c r="I205">
        <f>IF(COUNTIFS('United Data'!$A$3:$A$3390,I$1,'United Data'!$C$3:$C$3390,$A205,'United Data'!$B$3:$B$3390,"&lt;&gt;Off-street")&gt;0,1,0)</f>
        <v>0</v>
      </c>
      <c r="J205">
        <f>IF(COUNTIFS('United Data'!$A$3:$A$3390,J$1,'United Data'!$C$3:$C$3390,$A205,'United Data'!$B$3:$B$3390,"&lt;&gt;Off-street")&gt;0,1,0)</f>
        <v>0</v>
      </c>
      <c r="K205">
        <f>IF(COUNTIFS('United Data'!$A$3:$A$3390,K$1,'United Data'!$C$3:$C$3390,$A205,'United Data'!$B$3:$B$3390,"&lt;&gt;Off-street")&gt;0,1,0)</f>
        <v>0</v>
      </c>
      <c r="L205">
        <f>IF(COUNTIFS('United Data'!$A$3:$A$3390,L$1,'United Data'!$C$3:$C$3390,$A205,'United Data'!$B$3:$B$3390,"&lt;&gt;Off-street")&gt;0,1,0)</f>
        <v>0</v>
      </c>
      <c r="M205">
        <f>IF(COUNTIFS('United Data'!$A$3:$A$3390,M$1,'United Data'!$C$3:$C$3390,$A205,'United Data'!$B$3:$B$3390,"&lt;&gt;Off-street")&gt;0,1,0)</f>
        <v>0</v>
      </c>
      <c r="N205">
        <f>IF(COUNTIFS('United Data'!$A$3:$A$3390,N$1,'United Data'!$C$3:$C$3390,$A205,'United Data'!$B$3:$B$3390,"&lt;&gt;Off-street")&gt;0,1,0)</f>
        <v>0</v>
      </c>
      <c r="O205">
        <f>IF(COUNTIFS('United Data'!$A$3:$A$3390,O$1,'United Data'!$C$3:$C$3390,$A205,'United Data'!$B$3:$B$3390,"&lt;&gt;Off-street")&gt;0,1,0)</f>
        <v>0</v>
      </c>
      <c r="P205">
        <f>IF(COUNTIFS('United Data'!$A$3:$A$3390,P$1,'United Data'!$C$3:$C$3390,$A205,'United Data'!$B$3:$B$3390,"&lt;&gt;Off-street")&gt;0,1,0)</f>
        <v>0</v>
      </c>
      <c r="Q205">
        <f>IF(COUNTIFS('United Data'!$A$3:$A$3390,Q$1,'United Data'!$C$3:$C$3390,$A205,'United Data'!$B$3:$B$3390,"&lt;&gt;Off-street")&gt;0,1,0)</f>
        <v>0</v>
      </c>
      <c r="R205">
        <f>IF(COUNTIFS('United Data'!$A$3:$A$3390,R$1,'United Data'!$C$3:$C$3390,$A205,'United Data'!$B$3:$B$3390,"&lt;&gt;Off-street")&gt;0,1,0)</f>
        <v>0</v>
      </c>
      <c r="S205">
        <f t="shared" si="6"/>
        <v>1</v>
      </c>
      <c r="T205">
        <f t="shared" si="7"/>
        <v>1</v>
      </c>
    </row>
    <row r="206" spans="1:20" x14ac:dyDescent="0.2">
      <c r="A206" t="s">
        <v>272</v>
      </c>
      <c r="B206">
        <f>IF(COUNTIFS('United Data'!$A$3:$A$3390,B$1,'United Data'!$C$3:$C$3390,$A206,'United Data'!$B$3:$B$3390,"&lt;&gt;Off-street")&gt;0,1,0)</f>
        <v>0</v>
      </c>
      <c r="C206">
        <f>IF(COUNTIFS('United Data'!$A$3:$A$3390,C$1,'United Data'!$C$3:$C$3390,$A206,'United Data'!$B$3:$B$3390,"&lt;&gt;Off-street")&gt;0,1,0)</f>
        <v>0</v>
      </c>
      <c r="D206">
        <f>IF(COUNTIFS('United Data'!$A$3:$A$3390,D$1,'United Data'!$C$3:$C$3390,$A206,'United Data'!$B$3:$B$3390,"&lt;&gt;Off-street")&gt;0,1,0)</f>
        <v>0</v>
      </c>
      <c r="E206">
        <f>IF(COUNTIFS('United Data'!$A$3:$A$3390,E$1,'United Data'!$C$3:$C$3390,$A206,'United Data'!$B$3:$B$3390,"&lt;&gt;Off-street")&gt;0,1,0)</f>
        <v>1</v>
      </c>
      <c r="F206">
        <f>IF(COUNTIFS('United Data'!$A$3:$A$3390,F$1,'United Data'!$C$3:$C$3390,$A206,'United Data'!$B$3:$B$3390,"&lt;&gt;Off-street")&gt;0,1,0)</f>
        <v>0</v>
      </c>
      <c r="G206">
        <f>IF(COUNTIFS('United Data'!$A$3:$A$3390,G$1,'United Data'!$C$3:$C$3390,$A206,'United Data'!$B$3:$B$3390,"&lt;&gt;Off-street")&gt;0,1,0)</f>
        <v>0</v>
      </c>
      <c r="H206">
        <f>IF(COUNTIFS('United Data'!$A$3:$A$3390,H$1,'United Data'!$C$3:$C$3390,$A206,'United Data'!$B$3:$B$3390,"&lt;&gt;Off-street")&gt;0,1,0)</f>
        <v>0</v>
      </c>
      <c r="I206">
        <f>IF(COUNTIFS('United Data'!$A$3:$A$3390,I$1,'United Data'!$C$3:$C$3390,$A206,'United Data'!$B$3:$B$3390,"&lt;&gt;Off-street")&gt;0,1,0)</f>
        <v>0</v>
      </c>
      <c r="J206">
        <f>IF(COUNTIFS('United Data'!$A$3:$A$3390,J$1,'United Data'!$C$3:$C$3390,$A206,'United Data'!$B$3:$B$3390,"&lt;&gt;Off-street")&gt;0,1,0)</f>
        <v>0</v>
      </c>
      <c r="K206">
        <f>IF(COUNTIFS('United Data'!$A$3:$A$3390,K$1,'United Data'!$C$3:$C$3390,$A206,'United Data'!$B$3:$B$3390,"&lt;&gt;Off-street")&gt;0,1,0)</f>
        <v>0</v>
      </c>
      <c r="L206">
        <f>IF(COUNTIFS('United Data'!$A$3:$A$3390,L$1,'United Data'!$C$3:$C$3390,$A206,'United Data'!$B$3:$B$3390,"&lt;&gt;Off-street")&gt;0,1,0)</f>
        <v>0</v>
      </c>
      <c r="M206">
        <f>IF(COUNTIFS('United Data'!$A$3:$A$3390,M$1,'United Data'!$C$3:$C$3390,$A206,'United Data'!$B$3:$B$3390,"&lt;&gt;Off-street")&gt;0,1,0)</f>
        <v>0</v>
      </c>
      <c r="N206">
        <f>IF(COUNTIFS('United Data'!$A$3:$A$3390,N$1,'United Data'!$C$3:$C$3390,$A206,'United Data'!$B$3:$B$3390,"&lt;&gt;Off-street")&gt;0,1,0)</f>
        <v>0</v>
      </c>
      <c r="O206">
        <f>IF(COUNTIFS('United Data'!$A$3:$A$3390,O$1,'United Data'!$C$3:$C$3390,$A206,'United Data'!$B$3:$B$3390,"&lt;&gt;Off-street")&gt;0,1,0)</f>
        <v>0</v>
      </c>
      <c r="P206">
        <f>IF(COUNTIFS('United Data'!$A$3:$A$3390,P$1,'United Data'!$C$3:$C$3390,$A206,'United Data'!$B$3:$B$3390,"&lt;&gt;Off-street")&gt;0,1,0)</f>
        <v>0</v>
      </c>
      <c r="Q206">
        <f>IF(COUNTIFS('United Data'!$A$3:$A$3390,Q$1,'United Data'!$C$3:$C$3390,$A206,'United Data'!$B$3:$B$3390,"&lt;&gt;Off-street")&gt;0,1,0)</f>
        <v>0</v>
      </c>
      <c r="R206">
        <f>IF(COUNTIFS('United Data'!$A$3:$A$3390,R$1,'United Data'!$C$3:$C$3390,$A206,'United Data'!$B$3:$B$3390,"&lt;&gt;Off-street")&gt;0,1,0)</f>
        <v>0</v>
      </c>
      <c r="S206">
        <f t="shared" si="6"/>
        <v>1</v>
      </c>
      <c r="T206">
        <f t="shared" si="7"/>
        <v>1</v>
      </c>
    </row>
    <row r="207" spans="1:20" x14ac:dyDescent="0.2">
      <c r="A207" t="s">
        <v>273</v>
      </c>
      <c r="B207">
        <f>IF(COUNTIFS('United Data'!$A$3:$A$3390,B$1,'United Data'!$C$3:$C$3390,$A207,'United Data'!$B$3:$B$3390,"&lt;&gt;Off-street")&gt;0,1,0)</f>
        <v>0</v>
      </c>
      <c r="C207">
        <f>IF(COUNTIFS('United Data'!$A$3:$A$3390,C$1,'United Data'!$C$3:$C$3390,$A207,'United Data'!$B$3:$B$3390,"&lt;&gt;Off-street")&gt;0,1,0)</f>
        <v>0</v>
      </c>
      <c r="D207">
        <f>IF(COUNTIFS('United Data'!$A$3:$A$3390,D$1,'United Data'!$C$3:$C$3390,$A207,'United Data'!$B$3:$B$3390,"&lt;&gt;Off-street")&gt;0,1,0)</f>
        <v>0</v>
      </c>
      <c r="E207">
        <f>IF(COUNTIFS('United Data'!$A$3:$A$3390,E$1,'United Data'!$C$3:$C$3390,$A207,'United Data'!$B$3:$B$3390,"&lt;&gt;Off-street")&gt;0,1,0)</f>
        <v>1</v>
      </c>
      <c r="F207">
        <f>IF(COUNTIFS('United Data'!$A$3:$A$3390,F$1,'United Data'!$C$3:$C$3390,$A207,'United Data'!$B$3:$B$3390,"&lt;&gt;Off-street")&gt;0,1,0)</f>
        <v>0</v>
      </c>
      <c r="G207">
        <f>IF(COUNTIFS('United Data'!$A$3:$A$3390,G$1,'United Data'!$C$3:$C$3390,$A207,'United Data'!$B$3:$B$3390,"&lt;&gt;Off-street")&gt;0,1,0)</f>
        <v>0</v>
      </c>
      <c r="H207">
        <f>IF(COUNTIFS('United Data'!$A$3:$A$3390,H$1,'United Data'!$C$3:$C$3390,$A207,'United Data'!$B$3:$B$3390,"&lt;&gt;Off-street")&gt;0,1,0)</f>
        <v>0</v>
      </c>
      <c r="I207">
        <f>IF(COUNTIFS('United Data'!$A$3:$A$3390,I$1,'United Data'!$C$3:$C$3390,$A207,'United Data'!$B$3:$B$3390,"&lt;&gt;Off-street")&gt;0,1,0)</f>
        <v>0</v>
      </c>
      <c r="J207">
        <f>IF(COUNTIFS('United Data'!$A$3:$A$3390,J$1,'United Data'!$C$3:$C$3390,$A207,'United Data'!$B$3:$B$3390,"&lt;&gt;Off-street")&gt;0,1,0)</f>
        <v>0</v>
      </c>
      <c r="K207">
        <f>IF(COUNTIFS('United Data'!$A$3:$A$3390,K$1,'United Data'!$C$3:$C$3390,$A207,'United Data'!$B$3:$B$3390,"&lt;&gt;Off-street")&gt;0,1,0)</f>
        <v>0</v>
      </c>
      <c r="L207">
        <f>IF(COUNTIFS('United Data'!$A$3:$A$3390,L$1,'United Data'!$C$3:$C$3390,$A207,'United Data'!$B$3:$B$3390,"&lt;&gt;Off-street")&gt;0,1,0)</f>
        <v>0</v>
      </c>
      <c r="M207">
        <f>IF(COUNTIFS('United Data'!$A$3:$A$3390,M$1,'United Data'!$C$3:$C$3390,$A207,'United Data'!$B$3:$B$3390,"&lt;&gt;Off-street")&gt;0,1,0)</f>
        <v>0</v>
      </c>
      <c r="N207">
        <f>IF(COUNTIFS('United Data'!$A$3:$A$3390,N$1,'United Data'!$C$3:$C$3390,$A207,'United Data'!$B$3:$B$3390,"&lt;&gt;Off-street")&gt;0,1,0)</f>
        <v>0</v>
      </c>
      <c r="O207">
        <f>IF(COUNTIFS('United Data'!$A$3:$A$3390,O$1,'United Data'!$C$3:$C$3390,$A207,'United Data'!$B$3:$B$3390,"&lt;&gt;Off-street")&gt;0,1,0)</f>
        <v>0</v>
      </c>
      <c r="P207">
        <f>IF(COUNTIFS('United Data'!$A$3:$A$3390,P$1,'United Data'!$C$3:$C$3390,$A207,'United Data'!$B$3:$B$3390,"&lt;&gt;Off-street")&gt;0,1,0)</f>
        <v>0</v>
      </c>
      <c r="Q207">
        <f>IF(COUNTIFS('United Data'!$A$3:$A$3390,Q$1,'United Data'!$C$3:$C$3390,$A207,'United Data'!$B$3:$B$3390,"&lt;&gt;Off-street")&gt;0,1,0)</f>
        <v>0</v>
      </c>
      <c r="R207">
        <f>IF(COUNTIFS('United Data'!$A$3:$A$3390,R$1,'United Data'!$C$3:$C$3390,$A207,'United Data'!$B$3:$B$3390,"&lt;&gt;Off-street")&gt;0,1,0)</f>
        <v>0</v>
      </c>
      <c r="S207">
        <f t="shared" si="6"/>
        <v>1</v>
      </c>
      <c r="T207">
        <f t="shared" si="7"/>
        <v>1</v>
      </c>
    </row>
    <row r="208" spans="1:20" x14ac:dyDescent="0.2">
      <c r="A208" t="s">
        <v>274</v>
      </c>
      <c r="B208">
        <f>IF(COUNTIFS('United Data'!$A$3:$A$3390,B$1,'United Data'!$C$3:$C$3390,$A208,'United Data'!$B$3:$B$3390,"&lt;&gt;Off-street")&gt;0,1,0)</f>
        <v>0</v>
      </c>
      <c r="C208">
        <f>IF(COUNTIFS('United Data'!$A$3:$A$3390,C$1,'United Data'!$C$3:$C$3390,$A208,'United Data'!$B$3:$B$3390,"&lt;&gt;Off-street")&gt;0,1,0)</f>
        <v>0</v>
      </c>
      <c r="D208">
        <f>IF(COUNTIFS('United Data'!$A$3:$A$3390,D$1,'United Data'!$C$3:$C$3390,$A208,'United Data'!$B$3:$B$3390,"&lt;&gt;Off-street")&gt;0,1,0)</f>
        <v>0</v>
      </c>
      <c r="E208">
        <f>IF(COUNTIFS('United Data'!$A$3:$A$3390,E$1,'United Data'!$C$3:$C$3390,$A208,'United Data'!$B$3:$B$3390,"&lt;&gt;Off-street")&gt;0,1,0)</f>
        <v>1</v>
      </c>
      <c r="F208">
        <f>IF(COUNTIFS('United Data'!$A$3:$A$3390,F$1,'United Data'!$C$3:$C$3390,$A208,'United Data'!$B$3:$B$3390,"&lt;&gt;Off-street")&gt;0,1,0)</f>
        <v>0</v>
      </c>
      <c r="G208">
        <f>IF(COUNTIFS('United Data'!$A$3:$A$3390,G$1,'United Data'!$C$3:$C$3390,$A208,'United Data'!$B$3:$B$3390,"&lt;&gt;Off-street")&gt;0,1,0)</f>
        <v>0</v>
      </c>
      <c r="H208">
        <f>IF(COUNTIFS('United Data'!$A$3:$A$3390,H$1,'United Data'!$C$3:$C$3390,$A208,'United Data'!$B$3:$B$3390,"&lt;&gt;Off-street")&gt;0,1,0)</f>
        <v>0</v>
      </c>
      <c r="I208">
        <f>IF(COUNTIFS('United Data'!$A$3:$A$3390,I$1,'United Data'!$C$3:$C$3390,$A208,'United Data'!$B$3:$B$3390,"&lt;&gt;Off-street")&gt;0,1,0)</f>
        <v>0</v>
      </c>
      <c r="J208">
        <f>IF(COUNTIFS('United Data'!$A$3:$A$3390,J$1,'United Data'!$C$3:$C$3390,$A208,'United Data'!$B$3:$B$3390,"&lt;&gt;Off-street")&gt;0,1,0)</f>
        <v>0</v>
      </c>
      <c r="K208">
        <f>IF(COUNTIFS('United Data'!$A$3:$A$3390,K$1,'United Data'!$C$3:$C$3390,$A208,'United Data'!$B$3:$B$3390,"&lt;&gt;Off-street")&gt;0,1,0)</f>
        <v>0</v>
      </c>
      <c r="L208">
        <f>IF(COUNTIFS('United Data'!$A$3:$A$3390,L$1,'United Data'!$C$3:$C$3390,$A208,'United Data'!$B$3:$B$3390,"&lt;&gt;Off-street")&gt;0,1,0)</f>
        <v>0</v>
      </c>
      <c r="M208">
        <f>IF(COUNTIFS('United Data'!$A$3:$A$3390,M$1,'United Data'!$C$3:$C$3390,$A208,'United Data'!$B$3:$B$3390,"&lt;&gt;Off-street")&gt;0,1,0)</f>
        <v>0</v>
      </c>
      <c r="N208">
        <f>IF(COUNTIFS('United Data'!$A$3:$A$3390,N$1,'United Data'!$C$3:$C$3390,$A208,'United Data'!$B$3:$B$3390,"&lt;&gt;Off-street")&gt;0,1,0)</f>
        <v>0</v>
      </c>
      <c r="O208">
        <f>IF(COUNTIFS('United Data'!$A$3:$A$3390,O$1,'United Data'!$C$3:$C$3390,$A208,'United Data'!$B$3:$B$3390,"&lt;&gt;Off-street")&gt;0,1,0)</f>
        <v>0</v>
      </c>
      <c r="P208">
        <f>IF(COUNTIFS('United Data'!$A$3:$A$3390,P$1,'United Data'!$C$3:$C$3390,$A208,'United Data'!$B$3:$B$3390,"&lt;&gt;Off-street")&gt;0,1,0)</f>
        <v>0</v>
      </c>
      <c r="Q208">
        <f>IF(COUNTIFS('United Data'!$A$3:$A$3390,Q$1,'United Data'!$C$3:$C$3390,$A208,'United Data'!$B$3:$B$3390,"&lt;&gt;Off-street")&gt;0,1,0)</f>
        <v>0</v>
      </c>
      <c r="R208">
        <f>IF(COUNTIFS('United Data'!$A$3:$A$3390,R$1,'United Data'!$C$3:$C$3390,$A208,'United Data'!$B$3:$B$3390,"&lt;&gt;Off-street")&gt;0,1,0)</f>
        <v>0</v>
      </c>
      <c r="S208">
        <f t="shared" si="6"/>
        <v>1</v>
      </c>
      <c r="T208">
        <f t="shared" si="7"/>
        <v>1</v>
      </c>
    </row>
    <row r="209" spans="1:20" x14ac:dyDescent="0.2">
      <c r="A209" t="s">
        <v>275</v>
      </c>
      <c r="B209">
        <f>IF(COUNTIFS('United Data'!$A$3:$A$3390,B$1,'United Data'!$C$3:$C$3390,$A209,'United Data'!$B$3:$B$3390,"&lt;&gt;Off-street")&gt;0,1,0)</f>
        <v>0</v>
      </c>
      <c r="C209">
        <f>IF(COUNTIFS('United Data'!$A$3:$A$3390,C$1,'United Data'!$C$3:$C$3390,$A209,'United Data'!$B$3:$B$3390,"&lt;&gt;Off-street")&gt;0,1,0)</f>
        <v>0</v>
      </c>
      <c r="D209">
        <f>IF(COUNTIFS('United Data'!$A$3:$A$3390,D$1,'United Data'!$C$3:$C$3390,$A209,'United Data'!$B$3:$B$3390,"&lt;&gt;Off-street")&gt;0,1,0)</f>
        <v>0</v>
      </c>
      <c r="E209">
        <f>IF(COUNTIFS('United Data'!$A$3:$A$3390,E$1,'United Data'!$C$3:$C$3390,$A209,'United Data'!$B$3:$B$3390,"&lt;&gt;Off-street")&gt;0,1,0)</f>
        <v>1</v>
      </c>
      <c r="F209">
        <f>IF(COUNTIFS('United Data'!$A$3:$A$3390,F$1,'United Data'!$C$3:$C$3390,$A209,'United Data'!$B$3:$B$3390,"&lt;&gt;Off-street")&gt;0,1,0)</f>
        <v>0</v>
      </c>
      <c r="G209">
        <f>IF(COUNTIFS('United Data'!$A$3:$A$3390,G$1,'United Data'!$C$3:$C$3390,$A209,'United Data'!$B$3:$B$3390,"&lt;&gt;Off-street")&gt;0,1,0)</f>
        <v>0</v>
      </c>
      <c r="H209">
        <f>IF(COUNTIFS('United Data'!$A$3:$A$3390,H$1,'United Data'!$C$3:$C$3390,$A209,'United Data'!$B$3:$B$3390,"&lt;&gt;Off-street")&gt;0,1,0)</f>
        <v>0</v>
      </c>
      <c r="I209">
        <f>IF(COUNTIFS('United Data'!$A$3:$A$3390,I$1,'United Data'!$C$3:$C$3390,$A209,'United Data'!$B$3:$B$3390,"&lt;&gt;Off-street")&gt;0,1,0)</f>
        <v>1</v>
      </c>
      <c r="J209">
        <f>IF(COUNTIFS('United Data'!$A$3:$A$3390,J$1,'United Data'!$C$3:$C$3390,$A209,'United Data'!$B$3:$B$3390,"&lt;&gt;Off-street")&gt;0,1,0)</f>
        <v>0</v>
      </c>
      <c r="K209">
        <f>IF(COUNTIFS('United Data'!$A$3:$A$3390,K$1,'United Data'!$C$3:$C$3390,$A209,'United Data'!$B$3:$B$3390,"&lt;&gt;Off-street")&gt;0,1,0)</f>
        <v>0</v>
      </c>
      <c r="L209">
        <f>IF(COUNTIFS('United Data'!$A$3:$A$3390,L$1,'United Data'!$C$3:$C$3390,$A209,'United Data'!$B$3:$B$3390,"&lt;&gt;Off-street")&gt;0,1,0)</f>
        <v>0</v>
      </c>
      <c r="M209">
        <f>IF(COUNTIFS('United Data'!$A$3:$A$3390,M$1,'United Data'!$C$3:$C$3390,$A209,'United Data'!$B$3:$B$3390,"&lt;&gt;Off-street")&gt;0,1,0)</f>
        <v>0</v>
      </c>
      <c r="N209">
        <f>IF(COUNTIFS('United Data'!$A$3:$A$3390,N$1,'United Data'!$C$3:$C$3390,$A209,'United Data'!$B$3:$B$3390,"&lt;&gt;Off-street")&gt;0,1,0)</f>
        <v>0</v>
      </c>
      <c r="O209">
        <f>IF(COUNTIFS('United Data'!$A$3:$A$3390,O$1,'United Data'!$C$3:$C$3390,$A209,'United Data'!$B$3:$B$3390,"&lt;&gt;Off-street")&gt;0,1,0)</f>
        <v>0</v>
      </c>
      <c r="P209">
        <f>IF(COUNTIFS('United Data'!$A$3:$A$3390,P$1,'United Data'!$C$3:$C$3390,$A209,'United Data'!$B$3:$B$3390,"&lt;&gt;Off-street")&gt;0,1,0)</f>
        <v>0</v>
      </c>
      <c r="Q209">
        <f>IF(COUNTIFS('United Data'!$A$3:$A$3390,Q$1,'United Data'!$C$3:$C$3390,$A209,'United Data'!$B$3:$B$3390,"&lt;&gt;Off-street")&gt;0,1,0)</f>
        <v>0</v>
      </c>
      <c r="R209">
        <f>IF(COUNTIFS('United Data'!$A$3:$A$3390,R$1,'United Data'!$C$3:$C$3390,$A209,'United Data'!$B$3:$B$3390,"&lt;&gt;Off-street")&gt;0,1,0)</f>
        <v>0</v>
      </c>
      <c r="S209">
        <f t="shared" si="6"/>
        <v>2</v>
      </c>
      <c r="T209">
        <f t="shared" si="7"/>
        <v>2</v>
      </c>
    </row>
    <row r="210" spans="1:20" x14ac:dyDescent="0.2">
      <c r="A210" t="s">
        <v>276</v>
      </c>
      <c r="B210">
        <f>IF(COUNTIFS('United Data'!$A$3:$A$3390,B$1,'United Data'!$C$3:$C$3390,$A210,'United Data'!$B$3:$B$3390,"&lt;&gt;Off-street")&gt;0,1,0)</f>
        <v>0</v>
      </c>
      <c r="C210">
        <f>IF(COUNTIFS('United Data'!$A$3:$A$3390,C$1,'United Data'!$C$3:$C$3390,$A210,'United Data'!$B$3:$B$3390,"&lt;&gt;Off-street")&gt;0,1,0)</f>
        <v>0</v>
      </c>
      <c r="D210">
        <f>IF(COUNTIFS('United Data'!$A$3:$A$3390,D$1,'United Data'!$C$3:$C$3390,$A210,'United Data'!$B$3:$B$3390,"&lt;&gt;Off-street")&gt;0,1,0)</f>
        <v>0</v>
      </c>
      <c r="E210">
        <f>IF(COUNTIFS('United Data'!$A$3:$A$3390,E$1,'United Data'!$C$3:$C$3390,$A210,'United Data'!$B$3:$B$3390,"&lt;&gt;Off-street")&gt;0,1,0)</f>
        <v>1</v>
      </c>
      <c r="F210">
        <f>IF(COUNTIFS('United Data'!$A$3:$A$3390,F$1,'United Data'!$C$3:$C$3390,$A210,'United Data'!$B$3:$B$3390,"&lt;&gt;Off-street")&gt;0,1,0)</f>
        <v>0</v>
      </c>
      <c r="G210">
        <f>IF(COUNTIFS('United Data'!$A$3:$A$3390,G$1,'United Data'!$C$3:$C$3390,$A210,'United Data'!$B$3:$B$3390,"&lt;&gt;Off-street")&gt;0,1,0)</f>
        <v>0</v>
      </c>
      <c r="H210">
        <f>IF(COUNTIFS('United Data'!$A$3:$A$3390,H$1,'United Data'!$C$3:$C$3390,$A210,'United Data'!$B$3:$B$3390,"&lt;&gt;Off-street")&gt;0,1,0)</f>
        <v>0</v>
      </c>
      <c r="I210">
        <f>IF(COUNTIFS('United Data'!$A$3:$A$3390,I$1,'United Data'!$C$3:$C$3390,$A210,'United Data'!$B$3:$B$3390,"&lt;&gt;Off-street")&gt;0,1,0)</f>
        <v>0</v>
      </c>
      <c r="J210">
        <f>IF(COUNTIFS('United Data'!$A$3:$A$3390,J$1,'United Data'!$C$3:$C$3390,$A210,'United Data'!$B$3:$B$3390,"&lt;&gt;Off-street")&gt;0,1,0)</f>
        <v>0</v>
      </c>
      <c r="K210">
        <f>IF(COUNTIFS('United Data'!$A$3:$A$3390,K$1,'United Data'!$C$3:$C$3390,$A210,'United Data'!$B$3:$B$3390,"&lt;&gt;Off-street")&gt;0,1,0)</f>
        <v>0</v>
      </c>
      <c r="L210">
        <f>IF(COUNTIFS('United Data'!$A$3:$A$3390,L$1,'United Data'!$C$3:$C$3390,$A210,'United Data'!$B$3:$B$3390,"&lt;&gt;Off-street")&gt;0,1,0)</f>
        <v>0</v>
      </c>
      <c r="M210">
        <f>IF(COUNTIFS('United Data'!$A$3:$A$3390,M$1,'United Data'!$C$3:$C$3390,$A210,'United Data'!$B$3:$B$3390,"&lt;&gt;Off-street")&gt;0,1,0)</f>
        <v>0</v>
      </c>
      <c r="N210">
        <f>IF(COUNTIFS('United Data'!$A$3:$A$3390,N$1,'United Data'!$C$3:$C$3390,$A210,'United Data'!$B$3:$B$3390,"&lt;&gt;Off-street")&gt;0,1,0)</f>
        <v>0</v>
      </c>
      <c r="O210">
        <f>IF(COUNTIFS('United Data'!$A$3:$A$3390,O$1,'United Data'!$C$3:$C$3390,$A210,'United Data'!$B$3:$B$3390,"&lt;&gt;Off-street")&gt;0,1,0)</f>
        <v>0</v>
      </c>
      <c r="P210">
        <f>IF(COUNTIFS('United Data'!$A$3:$A$3390,P$1,'United Data'!$C$3:$C$3390,$A210,'United Data'!$B$3:$B$3390,"&lt;&gt;Off-street")&gt;0,1,0)</f>
        <v>0</v>
      </c>
      <c r="Q210">
        <f>IF(COUNTIFS('United Data'!$A$3:$A$3390,Q$1,'United Data'!$C$3:$C$3390,$A210,'United Data'!$B$3:$B$3390,"&lt;&gt;Off-street")&gt;0,1,0)</f>
        <v>0</v>
      </c>
      <c r="R210">
        <f>IF(COUNTIFS('United Data'!$A$3:$A$3390,R$1,'United Data'!$C$3:$C$3390,$A210,'United Data'!$B$3:$B$3390,"&lt;&gt;Off-street")&gt;0,1,0)</f>
        <v>0</v>
      </c>
      <c r="S210">
        <f t="shared" si="6"/>
        <v>1</v>
      </c>
      <c r="T210">
        <f t="shared" si="7"/>
        <v>1</v>
      </c>
    </row>
    <row r="211" spans="1:20" x14ac:dyDescent="0.2">
      <c r="A211" t="s">
        <v>277</v>
      </c>
      <c r="B211">
        <f>IF(COUNTIFS('United Data'!$A$3:$A$3390,B$1,'United Data'!$C$3:$C$3390,$A211,'United Data'!$B$3:$B$3390,"&lt;&gt;Off-street")&gt;0,1,0)</f>
        <v>0</v>
      </c>
      <c r="C211">
        <f>IF(COUNTIFS('United Data'!$A$3:$A$3390,C$1,'United Data'!$C$3:$C$3390,$A211,'United Data'!$B$3:$B$3390,"&lt;&gt;Off-street")&gt;0,1,0)</f>
        <v>0</v>
      </c>
      <c r="D211">
        <f>IF(COUNTIFS('United Data'!$A$3:$A$3390,D$1,'United Data'!$C$3:$C$3390,$A211,'United Data'!$B$3:$B$3390,"&lt;&gt;Off-street")&gt;0,1,0)</f>
        <v>0</v>
      </c>
      <c r="E211">
        <f>IF(COUNTIFS('United Data'!$A$3:$A$3390,E$1,'United Data'!$C$3:$C$3390,$A211,'United Data'!$B$3:$B$3390,"&lt;&gt;Off-street")&gt;0,1,0)</f>
        <v>1</v>
      </c>
      <c r="F211">
        <f>IF(COUNTIFS('United Data'!$A$3:$A$3390,F$1,'United Data'!$C$3:$C$3390,$A211,'United Data'!$B$3:$B$3390,"&lt;&gt;Off-street")&gt;0,1,0)</f>
        <v>0</v>
      </c>
      <c r="G211">
        <f>IF(COUNTIFS('United Data'!$A$3:$A$3390,G$1,'United Data'!$C$3:$C$3390,$A211,'United Data'!$B$3:$B$3390,"&lt;&gt;Off-street")&gt;0,1,0)</f>
        <v>0</v>
      </c>
      <c r="H211">
        <f>IF(COUNTIFS('United Data'!$A$3:$A$3390,H$1,'United Data'!$C$3:$C$3390,$A211,'United Data'!$B$3:$B$3390,"&lt;&gt;Off-street")&gt;0,1,0)</f>
        <v>0</v>
      </c>
      <c r="I211">
        <f>IF(COUNTIFS('United Data'!$A$3:$A$3390,I$1,'United Data'!$C$3:$C$3390,$A211,'United Data'!$B$3:$B$3390,"&lt;&gt;Off-street")&gt;0,1,0)</f>
        <v>0</v>
      </c>
      <c r="J211">
        <f>IF(COUNTIFS('United Data'!$A$3:$A$3390,J$1,'United Data'!$C$3:$C$3390,$A211,'United Data'!$B$3:$B$3390,"&lt;&gt;Off-street")&gt;0,1,0)</f>
        <v>0</v>
      </c>
      <c r="K211">
        <f>IF(COUNTIFS('United Data'!$A$3:$A$3390,K$1,'United Data'!$C$3:$C$3390,$A211,'United Data'!$B$3:$B$3390,"&lt;&gt;Off-street")&gt;0,1,0)</f>
        <v>0</v>
      </c>
      <c r="L211">
        <f>IF(COUNTIFS('United Data'!$A$3:$A$3390,L$1,'United Data'!$C$3:$C$3390,$A211,'United Data'!$B$3:$B$3390,"&lt;&gt;Off-street")&gt;0,1,0)</f>
        <v>0</v>
      </c>
      <c r="M211">
        <f>IF(COUNTIFS('United Data'!$A$3:$A$3390,M$1,'United Data'!$C$3:$C$3390,$A211,'United Data'!$B$3:$B$3390,"&lt;&gt;Off-street")&gt;0,1,0)</f>
        <v>0</v>
      </c>
      <c r="N211">
        <f>IF(COUNTIFS('United Data'!$A$3:$A$3390,N$1,'United Data'!$C$3:$C$3390,$A211,'United Data'!$B$3:$B$3390,"&lt;&gt;Off-street")&gt;0,1,0)</f>
        <v>0</v>
      </c>
      <c r="O211">
        <f>IF(COUNTIFS('United Data'!$A$3:$A$3390,O$1,'United Data'!$C$3:$C$3390,$A211,'United Data'!$B$3:$B$3390,"&lt;&gt;Off-street")&gt;0,1,0)</f>
        <v>0</v>
      </c>
      <c r="P211">
        <f>IF(COUNTIFS('United Data'!$A$3:$A$3390,P$1,'United Data'!$C$3:$C$3390,$A211,'United Data'!$B$3:$B$3390,"&lt;&gt;Off-street")&gt;0,1,0)</f>
        <v>0</v>
      </c>
      <c r="Q211">
        <f>IF(COUNTIFS('United Data'!$A$3:$A$3390,Q$1,'United Data'!$C$3:$C$3390,$A211,'United Data'!$B$3:$B$3390,"&lt;&gt;Off-street")&gt;0,1,0)</f>
        <v>0</v>
      </c>
      <c r="R211">
        <f>IF(COUNTIFS('United Data'!$A$3:$A$3390,R$1,'United Data'!$C$3:$C$3390,$A211,'United Data'!$B$3:$B$3390,"&lt;&gt;Off-street")&gt;0,1,0)</f>
        <v>0</v>
      </c>
      <c r="S211">
        <f t="shared" si="6"/>
        <v>1</v>
      </c>
      <c r="T211">
        <f t="shared" si="7"/>
        <v>1</v>
      </c>
    </row>
    <row r="212" spans="1:20" x14ac:dyDescent="0.2">
      <c r="A212" t="s">
        <v>278</v>
      </c>
      <c r="B212">
        <f>IF(COUNTIFS('United Data'!$A$3:$A$3390,B$1,'United Data'!$C$3:$C$3390,$A212,'United Data'!$B$3:$B$3390,"&lt;&gt;Off-street")&gt;0,1,0)</f>
        <v>0</v>
      </c>
      <c r="C212">
        <f>IF(COUNTIFS('United Data'!$A$3:$A$3390,C$1,'United Data'!$C$3:$C$3390,$A212,'United Data'!$B$3:$B$3390,"&lt;&gt;Off-street")&gt;0,1,0)</f>
        <v>0</v>
      </c>
      <c r="D212">
        <f>IF(COUNTIFS('United Data'!$A$3:$A$3390,D$1,'United Data'!$C$3:$C$3390,$A212,'United Data'!$B$3:$B$3390,"&lt;&gt;Off-street")&gt;0,1,0)</f>
        <v>0</v>
      </c>
      <c r="E212">
        <f>IF(COUNTIFS('United Data'!$A$3:$A$3390,E$1,'United Data'!$C$3:$C$3390,$A212,'United Data'!$B$3:$B$3390,"&lt;&gt;Off-street")&gt;0,1,0)</f>
        <v>1</v>
      </c>
      <c r="F212">
        <f>IF(COUNTIFS('United Data'!$A$3:$A$3390,F$1,'United Data'!$C$3:$C$3390,$A212,'United Data'!$B$3:$B$3390,"&lt;&gt;Off-street")&gt;0,1,0)</f>
        <v>0</v>
      </c>
      <c r="G212">
        <f>IF(COUNTIFS('United Data'!$A$3:$A$3390,G$1,'United Data'!$C$3:$C$3390,$A212,'United Data'!$B$3:$B$3390,"&lt;&gt;Off-street")&gt;0,1,0)</f>
        <v>0</v>
      </c>
      <c r="H212">
        <f>IF(COUNTIFS('United Data'!$A$3:$A$3390,H$1,'United Data'!$C$3:$C$3390,$A212,'United Data'!$B$3:$B$3390,"&lt;&gt;Off-street")&gt;0,1,0)</f>
        <v>1</v>
      </c>
      <c r="I212">
        <f>IF(COUNTIFS('United Data'!$A$3:$A$3390,I$1,'United Data'!$C$3:$C$3390,$A212,'United Data'!$B$3:$B$3390,"&lt;&gt;Off-street")&gt;0,1,0)</f>
        <v>1</v>
      </c>
      <c r="J212">
        <f>IF(COUNTIFS('United Data'!$A$3:$A$3390,J$1,'United Data'!$C$3:$C$3390,$A212,'United Data'!$B$3:$B$3390,"&lt;&gt;Off-street")&gt;0,1,0)</f>
        <v>0</v>
      </c>
      <c r="K212">
        <f>IF(COUNTIFS('United Data'!$A$3:$A$3390,K$1,'United Data'!$C$3:$C$3390,$A212,'United Data'!$B$3:$B$3390,"&lt;&gt;Off-street")&gt;0,1,0)</f>
        <v>0</v>
      </c>
      <c r="L212">
        <f>IF(COUNTIFS('United Data'!$A$3:$A$3390,L$1,'United Data'!$C$3:$C$3390,$A212,'United Data'!$B$3:$B$3390,"&lt;&gt;Off-street")&gt;0,1,0)</f>
        <v>0</v>
      </c>
      <c r="M212">
        <f>IF(COUNTIFS('United Data'!$A$3:$A$3390,M$1,'United Data'!$C$3:$C$3390,$A212,'United Data'!$B$3:$B$3390,"&lt;&gt;Off-street")&gt;0,1,0)</f>
        <v>1</v>
      </c>
      <c r="N212">
        <f>IF(COUNTIFS('United Data'!$A$3:$A$3390,N$1,'United Data'!$C$3:$C$3390,$A212,'United Data'!$B$3:$B$3390,"&lt;&gt;Off-street")&gt;0,1,0)</f>
        <v>0</v>
      </c>
      <c r="O212">
        <f>IF(COUNTIFS('United Data'!$A$3:$A$3390,O$1,'United Data'!$C$3:$C$3390,$A212,'United Data'!$B$3:$B$3390,"&lt;&gt;Off-street")&gt;0,1,0)</f>
        <v>1</v>
      </c>
      <c r="P212">
        <f>IF(COUNTIFS('United Data'!$A$3:$A$3390,P$1,'United Data'!$C$3:$C$3390,$A212,'United Data'!$B$3:$B$3390,"&lt;&gt;Off-street")&gt;0,1,0)</f>
        <v>1</v>
      </c>
      <c r="Q212">
        <f>IF(COUNTIFS('United Data'!$A$3:$A$3390,Q$1,'United Data'!$C$3:$C$3390,$A212,'United Data'!$B$3:$B$3390,"&lt;&gt;Off-street")&gt;0,1,0)</f>
        <v>1</v>
      </c>
      <c r="R212">
        <f>IF(COUNTIFS('United Data'!$A$3:$A$3390,R$1,'United Data'!$C$3:$C$3390,$A212,'United Data'!$B$3:$B$3390,"&lt;&gt;Off-street")&gt;0,1,0)</f>
        <v>0</v>
      </c>
      <c r="S212">
        <f t="shared" si="6"/>
        <v>7</v>
      </c>
      <c r="T212">
        <f t="shared" si="7"/>
        <v>4</v>
      </c>
    </row>
    <row r="213" spans="1:20" x14ac:dyDescent="0.2">
      <c r="A213" t="s">
        <v>279</v>
      </c>
      <c r="B213">
        <f>IF(COUNTIFS('United Data'!$A$3:$A$3390,B$1,'United Data'!$C$3:$C$3390,$A213,'United Data'!$B$3:$B$3390,"&lt;&gt;Off-street")&gt;0,1,0)</f>
        <v>0</v>
      </c>
      <c r="C213">
        <f>IF(COUNTIFS('United Data'!$A$3:$A$3390,C$1,'United Data'!$C$3:$C$3390,$A213,'United Data'!$B$3:$B$3390,"&lt;&gt;Off-street")&gt;0,1,0)</f>
        <v>0</v>
      </c>
      <c r="D213">
        <f>IF(COUNTIFS('United Data'!$A$3:$A$3390,D$1,'United Data'!$C$3:$C$3390,$A213,'United Data'!$B$3:$B$3390,"&lt;&gt;Off-street")&gt;0,1,0)</f>
        <v>0</v>
      </c>
      <c r="E213">
        <f>IF(COUNTIFS('United Data'!$A$3:$A$3390,E$1,'United Data'!$C$3:$C$3390,$A213,'United Data'!$B$3:$B$3390,"&lt;&gt;Off-street")&gt;0,1,0)</f>
        <v>1</v>
      </c>
      <c r="F213">
        <f>IF(COUNTIFS('United Data'!$A$3:$A$3390,F$1,'United Data'!$C$3:$C$3390,$A213,'United Data'!$B$3:$B$3390,"&lt;&gt;Off-street")&gt;0,1,0)</f>
        <v>0</v>
      </c>
      <c r="G213">
        <f>IF(COUNTIFS('United Data'!$A$3:$A$3390,G$1,'United Data'!$C$3:$C$3390,$A213,'United Data'!$B$3:$B$3390,"&lt;&gt;Off-street")&gt;0,1,0)</f>
        <v>0</v>
      </c>
      <c r="H213">
        <f>IF(COUNTIFS('United Data'!$A$3:$A$3390,H$1,'United Data'!$C$3:$C$3390,$A213,'United Data'!$B$3:$B$3390,"&lt;&gt;Off-street")&gt;0,1,0)</f>
        <v>0</v>
      </c>
      <c r="I213">
        <f>IF(COUNTIFS('United Data'!$A$3:$A$3390,I$1,'United Data'!$C$3:$C$3390,$A213,'United Data'!$B$3:$B$3390,"&lt;&gt;Off-street")&gt;0,1,0)</f>
        <v>0</v>
      </c>
      <c r="J213">
        <f>IF(COUNTIFS('United Data'!$A$3:$A$3390,J$1,'United Data'!$C$3:$C$3390,$A213,'United Data'!$B$3:$B$3390,"&lt;&gt;Off-street")&gt;0,1,0)</f>
        <v>0</v>
      </c>
      <c r="K213">
        <f>IF(COUNTIFS('United Data'!$A$3:$A$3390,K$1,'United Data'!$C$3:$C$3390,$A213,'United Data'!$B$3:$B$3390,"&lt;&gt;Off-street")&gt;0,1,0)</f>
        <v>0</v>
      </c>
      <c r="L213">
        <f>IF(COUNTIFS('United Data'!$A$3:$A$3390,L$1,'United Data'!$C$3:$C$3390,$A213,'United Data'!$B$3:$B$3390,"&lt;&gt;Off-street")&gt;0,1,0)</f>
        <v>0</v>
      </c>
      <c r="M213">
        <f>IF(COUNTIFS('United Data'!$A$3:$A$3390,M$1,'United Data'!$C$3:$C$3390,$A213,'United Data'!$B$3:$B$3390,"&lt;&gt;Off-street")&gt;0,1,0)</f>
        <v>0</v>
      </c>
      <c r="N213">
        <f>IF(COUNTIFS('United Data'!$A$3:$A$3390,N$1,'United Data'!$C$3:$C$3390,$A213,'United Data'!$B$3:$B$3390,"&lt;&gt;Off-street")&gt;0,1,0)</f>
        <v>0</v>
      </c>
      <c r="O213">
        <f>IF(COUNTIFS('United Data'!$A$3:$A$3390,O$1,'United Data'!$C$3:$C$3390,$A213,'United Data'!$B$3:$B$3390,"&lt;&gt;Off-street")&gt;0,1,0)</f>
        <v>0</v>
      </c>
      <c r="P213">
        <f>IF(COUNTIFS('United Data'!$A$3:$A$3390,P$1,'United Data'!$C$3:$C$3390,$A213,'United Data'!$B$3:$B$3390,"&lt;&gt;Off-street")&gt;0,1,0)</f>
        <v>0</v>
      </c>
      <c r="Q213">
        <f>IF(COUNTIFS('United Data'!$A$3:$A$3390,Q$1,'United Data'!$C$3:$C$3390,$A213,'United Data'!$B$3:$B$3390,"&lt;&gt;Off-street")&gt;0,1,0)</f>
        <v>0</v>
      </c>
      <c r="R213">
        <f>IF(COUNTIFS('United Data'!$A$3:$A$3390,R$1,'United Data'!$C$3:$C$3390,$A213,'United Data'!$B$3:$B$3390,"&lt;&gt;Off-street")&gt;0,1,0)</f>
        <v>0</v>
      </c>
      <c r="S213">
        <f t="shared" si="6"/>
        <v>1</v>
      </c>
      <c r="T213">
        <f t="shared" si="7"/>
        <v>1</v>
      </c>
    </row>
    <row r="214" spans="1:20" x14ac:dyDescent="0.2">
      <c r="A214" t="s">
        <v>281</v>
      </c>
      <c r="B214">
        <f>IF(COUNTIFS('United Data'!$A$3:$A$3390,B$1,'United Data'!$C$3:$C$3390,$A214,'United Data'!$B$3:$B$3390,"&lt;&gt;Off-street")&gt;0,1,0)</f>
        <v>0</v>
      </c>
      <c r="C214">
        <f>IF(COUNTIFS('United Data'!$A$3:$A$3390,C$1,'United Data'!$C$3:$C$3390,$A214,'United Data'!$B$3:$B$3390,"&lt;&gt;Off-street")&gt;0,1,0)</f>
        <v>0</v>
      </c>
      <c r="D214">
        <f>IF(COUNTIFS('United Data'!$A$3:$A$3390,D$1,'United Data'!$C$3:$C$3390,$A214,'United Data'!$B$3:$B$3390,"&lt;&gt;Off-street")&gt;0,1,0)</f>
        <v>0</v>
      </c>
      <c r="E214">
        <f>IF(COUNTIFS('United Data'!$A$3:$A$3390,E$1,'United Data'!$C$3:$C$3390,$A214,'United Data'!$B$3:$B$3390,"&lt;&gt;Off-street")&gt;0,1,0)</f>
        <v>1</v>
      </c>
      <c r="F214">
        <f>IF(COUNTIFS('United Data'!$A$3:$A$3390,F$1,'United Data'!$C$3:$C$3390,$A214,'United Data'!$B$3:$B$3390,"&lt;&gt;Off-street")&gt;0,1,0)</f>
        <v>1</v>
      </c>
      <c r="G214">
        <f>IF(COUNTIFS('United Data'!$A$3:$A$3390,G$1,'United Data'!$C$3:$C$3390,$A214,'United Data'!$B$3:$B$3390,"&lt;&gt;Off-street")&gt;0,1,0)</f>
        <v>0</v>
      </c>
      <c r="H214">
        <f>IF(COUNTIFS('United Data'!$A$3:$A$3390,H$1,'United Data'!$C$3:$C$3390,$A214,'United Data'!$B$3:$B$3390,"&lt;&gt;Off-street")&gt;0,1,0)</f>
        <v>1</v>
      </c>
      <c r="I214">
        <f>IF(COUNTIFS('United Data'!$A$3:$A$3390,I$1,'United Data'!$C$3:$C$3390,$A214,'United Data'!$B$3:$B$3390,"&lt;&gt;Off-street")&gt;0,1,0)</f>
        <v>1</v>
      </c>
      <c r="J214">
        <f>IF(COUNTIFS('United Data'!$A$3:$A$3390,J$1,'United Data'!$C$3:$C$3390,$A214,'United Data'!$B$3:$B$3390,"&lt;&gt;Off-street")&gt;0,1,0)</f>
        <v>0</v>
      </c>
      <c r="K214">
        <f>IF(COUNTIFS('United Data'!$A$3:$A$3390,K$1,'United Data'!$C$3:$C$3390,$A214,'United Data'!$B$3:$B$3390,"&lt;&gt;Off-street")&gt;0,1,0)</f>
        <v>0</v>
      </c>
      <c r="L214">
        <f>IF(COUNTIFS('United Data'!$A$3:$A$3390,L$1,'United Data'!$C$3:$C$3390,$A214,'United Data'!$B$3:$B$3390,"&lt;&gt;Off-street")&gt;0,1,0)</f>
        <v>0</v>
      </c>
      <c r="M214">
        <f>IF(COUNTIFS('United Data'!$A$3:$A$3390,M$1,'United Data'!$C$3:$C$3390,$A214,'United Data'!$B$3:$B$3390,"&lt;&gt;Off-street")&gt;0,1,0)</f>
        <v>0</v>
      </c>
      <c r="N214">
        <f>IF(COUNTIFS('United Data'!$A$3:$A$3390,N$1,'United Data'!$C$3:$C$3390,$A214,'United Data'!$B$3:$B$3390,"&lt;&gt;Off-street")&gt;0,1,0)</f>
        <v>0</v>
      </c>
      <c r="O214">
        <f>IF(COUNTIFS('United Data'!$A$3:$A$3390,O$1,'United Data'!$C$3:$C$3390,$A214,'United Data'!$B$3:$B$3390,"&lt;&gt;Off-street")&gt;0,1,0)</f>
        <v>0</v>
      </c>
      <c r="P214">
        <f>IF(COUNTIFS('United Data'!$A$3:$A$3390,P$1,'United Data'!$C$3:$C$3390,$A214,'United Data'!$B$3:$B$3390,"&lt;&gt;Off-street")&gt;0,1,0)</f>
        <v>0</v>
      </c>
      <c r="Q214">
        <f>IF(COUNTIFS('United Data'!$A$3:$A$3390,Q$1,'United Data'!$C$3:$C$3390,$A214,'United Data'!$B$3:$B$3390,"&lt;&gt;Off-street")&gt;0,1,0)</f>
        <v>0</v>
      </c>
      <c r="R214">
        <f>IF(COUNTIFS('United Data'!$A$3:$A$3390,R$1,'United Data'!$C$3:$C$3390,$A214,'United Data'!$B$3:$B$3390,"&lt;&gt;Off-street")&gt;0,1,0)</f>
        <v>0</v>
      </c>
      <c r="S214">
        <f t="shared" si="6"/>
        <v>4</v>
      </c>
      <c r="T214">
        <f t="shared" si="7"/>
        <v>2</v>
      </c>
    </row>
    <row r="215" spans="1:20" x14ac:dyDescent="0.2">
      <c r="A215" t="s">
        <v>282</v>
      </c>
      <c r="B215">
        <f>IF(COUNTIFS('United Data'!$A$3:$A$3390,B$1,'United Data'!$C$3:$C$3390,$A215,'United Data'!$B$3:$B$3390,"&lt;&gt;Off-street")&gt;0,1,0)</f>
        <v>0</v>
      </c>
      <c r="C215">
        <f>IF(COUNTIFS('United Data'!$A$3:$A$3390,C$1,'United Data'!$C$3:$C$3390,$A215,'United Data'!$B$3:$B$3390,"&lt;&gt;Off-street")&gt;0,1,0)</f>
        <v>0</v>
      </c>
      <c r="D215">
        <f>IF(COUNTIFS('United Data'!$A$3:$A$3390,D$1,'United Data'!$C$3:$C$3390,$A215,'United Data'!$B$3:$B$3390,"&lt;&gt;Off-street")&gt;0,1,0)</f>
        <v>0</v>
      </c>
      <c r="E215">
        <f>IF(COUNTIFS('United Data'!$A$3:$A$3390,E$1,'United Data'!$C$3:$C$3390,$A215,'United Data'!$B$3:$B$3390,"&lt;&gt;Off-street")&gt;0,1,0)</f>
        <v>1</v>
      </c>
      <c r="F215">
        <f>IF(COUNTIFS('United Data'!$A$3:$A$3390,F$1,'United Data'!$C$3:$C$3390,$A215,'United Data'!$B$3:$B$3390,"&lt;&gt;Off-street")&gt;0,1,0)</f>
        <v>0</v>
      </c>
      <c r="G215">
        <f>IF(COUNTIFS('United Data'!$A$3:$A$3390,G$1,'United Data'!$C$3:$C$3390,$A215,'United Data'!$B$3:$B$3390,"&lt;&gt;Off-street")&gt;0,1,0)</f>
        <v>0</v>
      </c>
      <c r="H215">
        <f>IF(COUNTIFS('United Data'!$A$3:$A$3390,H$1,'United Data'!$C$3:$C$3390,$A215,'United Data'!$B$3:$B$3390,"&lt;&gt;Off-street")&gt;0,1,0)</f>
        <v>0</v>
      </c>
      <c r="I215">
        <f>IF(COUNTIFS('United Data'!$A$3:$A$3390,I$1,'United Data'!$C$3:$C$3390,$A215,'United Data'!$B$3:$B$3390,"&lt;&gt;Off-street")&gt;0,1,0)</f>
        <v>0</v>
      </c>
      <c r="J215">
        <f>IF(COUNTIFS('United Data'!$A$3:$A$3390,J$1,'United Data'!$C$3:$C$3390,$A215,'United Data'!$B$3:$B$3390,"&lt;&gt;Off-street")&gt;0,1,0)</f>
        <v>1</v>
      </c>
      <c r="K215">
        <f>IF(COUNTIFS('United Data'!$A$3:$A$3390,K$1,'United Data'!$C$3:$C$3390,$A215,'United Data'!$B$3:$B$3390,"&lt;&gt;Off-street")&gt;0,1,0)</f>
        <v>0</v>
      </c>
      <c r="L215">
        <f>IF(COUNTIFS('United Data'!$A$3:$A$3390,L$1,'United Data'!$C$3:$C$3390,$A215,'United Data'!$B$3:$B$3390,"&lt;&gt;Off-street")&gt;0,1,0)</f>
        <v>1</v>
      </c>
      <c r="M215">
        <f>IF(COUNTIFS('United Data'!$A$3:$A$3390,M$1,'United Data'!$C$3:$C$3390,$A215,'United Data'!$B$3:$B$3390,"&lt;&gt;Off-street")&gt;0,1,0)</f>
        <v>1</v>
      </c>
      <c r="N215">
        <f>IF(COUNTIFS('United Data'!$A$3:$A$3390,N$1,'United Data'!$C$3:$C$3390,$A215,'United Data'!$B$3:$B$3390,"&lt;&gt;Off-street")&gt;0,1,0)</f>
        <v>1</v>
      </c>
      <c r="O215">
        <f>IF(COUNTIFS('United Data'!$A$3:$A$3390,O$1,'United Data'!$C$3:$C$3390,$A215,'United Data'!$B$3:$B$3390,"&lt;&gt;Off-street")&gt;0,1,0)</f>
        <v>1</v>
      </c>
      <c r="P215">
        <f>IF(COUNTIFS('United Data'!$A$3:$A$3390,P$1,'United Data'!$C$3:$C$3390,$A215,'United Data'!$B$3:$B$3390,"&lt;&gt;Off-street")&gt;0,1,0)</f>
        <v>0</v>
      </c>
      <c r="Q215">
        <f>IF(COUNTIFS('United Data'!$A$3:$A$3390,Q$1,'United Data'!$C$3:$C$3390,$A215,'United Data'!$B$3:$B$3390,"&lt;&gt;Off-street")&gt;0,1,0)</f>
        <v>0</v>
      </c>
      <c r="R215">
        <f>IF(COUNTIFS('United Data'!$A$3:$A$3390,R$1,'United Data'!$C$3:$C$3390,$A215,'United Data'!$B$3:$B$3390,"&lt;&gt;Off-street")&gt;0,1,0)</f>
        <v>0</v>
      </c>
      <c r="S215">
        <f t="shared" si="6"/>
        <v>6</v>
      </c>
      <c r="T215">
        <f t="shared" si="7"/>
        <v>3</v>
      </c>
    </row>
    <row r="216" spans="1:20" x14ac:dyDescent="0.2">
      <c r="A216" t="s">
        <v>283</v>
      </c>
      <c r="B216">
        <f>IF(COUNTIFS('United Data'!$A$3:$A$3390,B$1,'United Data'!$C$3:$C$3390,$A216,'United Data'!$B$3:$B$3390,"&lt;&gt;Off-street")&gt;0,1,0)</f>
        <v>0</v>
      </c>
      <c r="C216">
        <f>IF(COUNTIFS('United Data'!$A$3:$A$3390,C$1,'United Data'!$C$3:$C$3390,$A216,'United Data'!$B$3:$B$3390,"&lt;&gt;Off-street")&gt;0,1,0)</f>
        <v>1</v>
      </c>
      <c r="D216">
        <f>IF(COUNTIFS('United Data'!$A$3:$A$3390,D$1,'United Data'!$C$3:$C$3390,$A216,'United Data'!$B$3:$B$3390,"&lt;&gt;Off-street")&gt;0,1,0)</f>
        <v>1</v>
      </c>
      <c r="E216">
        <f>IF(COUNTIFS('United Data'!$A$3:$A$3390,E$1,'United Data'!$C$3:$C$3390,$A216,'United Data'!$B$3:$B$3390,"&lt;&gt;Off-street")&gt;0,1,0)</f>
        <v>1</v>
      </c>
      <c r="F216">
        <f>IF(COUNTIFS('United Data'!$A$3:$A$3390,F$1,'United Data'!$C$3:$C$3390,$A216,'United Data'!$B$3:$B$3390,"&lt;&gt;Off-street")&gt;0,1,0)</f>
        <v>1</v>
      </c>
      <c r="G216">
        <f>IF(COUNTIFS('United Data'!$A$3:$A$3390,G$1,'United Data'!$C$3:$C$3390,$A216,'United Data'!$B$3:$B$3390,"&lt;&gt;Off-street")&gt;0,1,0)</f>
        <v>0</v>
      </c>
      <c r="H216">
        <f>IF(COUNTIFS('United Data'!$A$3:$A$3390,H$1,'United Data'!$C$3:$C$3390,$A216,'United Data'!$B$3:$B$3390,"&lt;&gt;Off-street")&gt;0,1,0)</f>
        <v>0</v>
      </c>
      <c r="I216">
        <f>IF(COUNTIFS('United Data'!$A$3:$A$3390,I$1,'United Data'!$C$3:$C$3390,$A216,'United Data'!$B$3:$B$3390,"&lt;&gt;Off-street")&gt;0,1,0)</f>
        <v>0</v>
      </c>
      <c r="J216">
        <f>IF(COUNTIFS('United Data'!$A$3:$A$3390,J$1,'United Data'!$C$3:$C$3390,$A216,'United Data'!$B$3:$B$3390,"&lt;&gt;Off-street")&gt;0,1,0)</f>
        <v>0</v>
      </c>
      <c r="K216">
        <f>IF(COUNTIFS('United Data'!$A$3:$A$3390,K$1,'United Data'!$C$3:$C$3390,$A216,'United Data'!$B$3:$B$3390,"&lt;&gt;Off-street")&gt;0,1,0)</f>
        <v>1</v>
      </c>
      <c r="L216">
        <f>IF(COUNTIFS('United Data'!$A$3:$A$3390,L$1,'United Data'!$C$3:$C$3390,$A216,'United Data'!$B$3:$B$3390,"&lt;&gt;Off-street")&gt;0,1,0)</f>
        <v>0</v>
      </c>
      <c r="M216">
        <f>IF(COUNTIFS('United Data'!$A$3:$A$3390,M$1,'United Data'!$C$3:$C$3390,$A216,'United Data'!$B$3:$B$3390,"&lt;&gt;Off-street")&gt;0,1,0)</f>
        <v>0</v>
      </c>
      <c r="N216">
        <f>IF(COUNTIFS('United Data'!$A$3:$A$3390,N$1,'United Data'!$C$3:$C$3390,$A216,'United Data'!$B$3:$B$3390,"&lt;&gt;Off-street")&gt;0,1,0)</f>
        <v>0</v>
      </c>
      <c r="O216">
        <f>IF(COUNTIFS('United Data'!$A$3:$A$3390,O$1,'United Data'!$C$3:$C$3390,$A216,'United Data'!$B$3:$B$3390,"&lt;&gt;Off-street")&gt;0,1,0)</f>
        <v>0</v>
      </c>
      <c r="P216">
        <f>IF(COUNTIFS('United Data'!$A$3:$A$3390,P$1,'United Data'!$C$3:$C$3390,$A216,'United Data'!$B$3:$B$3390,"&lt;&gt;Off-street")&gt;0,1,0)</f>
        <v>0</v>
      </c>
      <c r="Q216">
        <f>IF(COUNTIFS('United Data'!$A$3:$A$3390,Q$1,'United Data'!$C$3:$C$3390,$A216,'United Data'!$B$3:$B$3390,"&lt;&gt;Off-street")&gt;0,1,0)</f>
        <v>0</v>
      </c>
      <c r="R216">
        <f>IF(COUNTIFS('United Data'!$A$3:$A$3390,R$1,'United Data'!$C$3:$C$3390,$A216,'United Data'!$B$3:$B$3390,"&lt;&gt;Off-street")&gt;0,1,0)</f>
        <v>0</v>
      </c>
      <c r="S216">
        <f t="shared" si="6"/>
        <v>5</v>
      </c>
      <c r="T216">
        <f t="shared" si="7"/>
        <v>2</v>
      </c>
    </row>
    <row r="217" spans="1:20" x14ac:dyDescent="0.2">
      <c r="A217" t="s">
        <v>284</v>
      </c>
      <c r="B217">
        <f>IF(COUNTIFS('United Data'!$A$3:$A$3390,B$1,'United Data'!$C$3:$C$3390,$A217,'United Data'!$B$3:$B$3390,"&lt;&gt;Off-street")&gt;0,1,0)</f>
        <v>0</v>
      </c>
      <c r="C217">
        <f>IF(COUNTIFS('United Data'!$A$3:$A$3390,C$1,'United Data'!$C$3:$C$3390,$A217,'United Data'!$B$3:$B$3390,"&lt;&gt;Off-street")&gt;0,1,0)</f>
        <v>0</v>
      </c>
      <c r="D217">
        <f>IF(COUNTIFS('United Data'!$A$3:$A$3390,D$1,'United Data'!$C$3:$C$3390,$A217,'United Data'!$B$3:$B$3390,"&lt;&gt;Off-street")&gt;0,1,0)</f>
        <v>0</v>
      </c>
      <c r="E217">
        <f>IF(COUNTIFS('United Data'!$A$3:$A$3390,E$1,'United Data'!$C$3:$C$3390,$A217,'United Data'!$B$3:$B$3390,"&lt;&gt;Off-street")&gt;0,1,0)</f>
        <v>0</v>
      </c>
      <c r="F217">
        <f>IF(COUNTIFS('United Data'!$A$3:$A$3390,F$1,'United Data'!$C$3:$C$3390,$A217,'United Data'!$B$3:$B$3390,"&lt;&gt;Off-street")&gt;0,1,0)</f>
        <v>1</v>
      </c>
      <c r="G217">
        <f>IF(COUNTIFS('United Data'!$A$3:$A$3390,G$1,'United Data'!$C$3:$C$3390,$A217,'United Data'!$B$3:$B$3390,"&lt;&gt;Off-street")&gt;0,1,0)</f>
        <v>0</v>
      </c>
      <c r="H217">
        <f>IF(COUNTIFS('United Data'!$A$3:$A$3390,H$1,'United Data'!$C$3:$C$3390,$A217,'United Data'!$B$3:$B$3390,"&lt;&gt;Off-street")&gt;0,1,0)</f>
        <v>0</v>
      </c>
      <c r="I217">
        <f>IF(COUNTIFS('United Data'!$A$3:$A$3390,I$1,'United Data'!$C$3:$C$3390,$A217,'United Data'!$B$3:$B$3390,"&lt;&gt;Off-street")&gt;0,1,0)</f>
        <v>0</v>
      </c>
      <c r="J217">
        <f>IF(COUNTIFS('United Data'!$A$3:$A$3390,J$1,'United Data'!$C$3:$C$3390,$A217,'United Data'!$B$3:$B$3390,"&lt;&gt;Off-street")&gt;0,1,0)</f>
        <v>0</v>
      </c>
      <c r="K217">
        <f>IF(COUNTIFS('United Data'!$A$3:$A$3390,K$1,'United Data'!$C$3:$C$3390,$A217,'United Data'!$B$3:$B$3390,"&lt;&gt;Off-street")&gt;0,1,0)</f>
        <v>0</v>
      </c>
      <c r="L217">
        <f>IF(COUNTIFS('United Data'!$A$3:$A$3390,L$1,'United Data'!$C$3:$C$3390,$A217,'United Data'!$B$3:$B$3390,"&lt;&gt;Off-street")&gt;0,1,0)</f>
        <v>0</v>
      </c>
      <c r="M217">
        <f>IF(COUNTIFS('United Data'!$A$3:$A$3390,M$1,'United Data'!$C$3:$C$3390,$A217,'United Data'!$B$3:$B$3390,"&lt;&gt;Off-street")&gt;0,1,0)</f>
        <v>0</v>
      </c>
      <c r="N217">
        <f>IF(COUNTIFS('United Data'!$A$3:$A$3390,N$1,'United Data'!$C$3:$C$3390,$A217,'United Data'!$B$3:$B$3390,"&lt;&gt;Off-street")&gt;0,1,0)</f>
        <v>0</v>
      </c>
      <c r="O217">
        <f>IF(COUNTIFS('United Data'!$A$3:$A$3390,O$1,'United Data'!$C$3:$C$3390,$A217,'United Data'!$B$3:$B$3390,"&lt;&gt;Off-street")&gt;0,1,0)</f>
        <v>0</v>
      </c>
      <c r="P217">
        <f>IF(COUNTIFS('United Data'!$A$3:$A$3390,P$1,'United Data'!$C$3:$C$3390,$A217,'United Data'!$B$3:$B$3390,"&lt;&gt;Off-street")&gt;0,1,0)</f>
        <v>0</v>
      </c>
      <c r="Q217">
        <f>IF(COUNTIFS('United Data'!$A$3:$A$3390,Q$1,'United Data'!$C$3:$C$3390,$A217,'United Data'!$B$3:$B$3390,"&lt;&gt;Off-street")&gt;0,1,0)</f>
        <v>0</v>
      </c>
      <c r="R217">
        <f>IF(COUNTIFS('United Data'!$A$3:$A$3390,R$1,'United Data'!$C$3:$C$3390,$A217,'United Data'!$B$3:$B$3390,"&lt;&gt;Off-street")&gt;0,1,0)</f>
        <v>0</v>
      </c>
      <c r="S217">
        <f t="shared" si="6"/>
        <v>1</v>
      </c>
      <c r="T217">
        <f t="shared" si="7"/>
        <v>1</v>
      </c>
    </row>
    <row r="218" spans="1:20" x14ac:dyDescent="0.2">
      <c r="A218" t="s">
        <v>285</v>
      </c>
      <c r="B218">
        <f>IF(COUNTIFS('United Data'!$A$3:$A$3390,B$1,'United Data'!$C$3:$C$3390,$A218,'United Data'!$B$3:$B$3390,"&lt;&gt;Off-street")&gt;0,1,0)</f>
        <v>0</v>
      </c>
      <c r="C218">
        <f>IF(COUNTIFS('United Data'!$A$3:$A$3390,C$1,'United Data'!$C$3:$C$3390,$A218,'United Data'!$B$3:$B$3390,"&lt;&gt;Off-street")&gt;0,1,0)</f>
        <v>0</v>
      </c>
      <c r="D218">
        <f>IF(COUNTIFS('United Data'!$A$3:$A$3390,D$1,'United Data'!$C$3:$C$3390,$A218,'United Data'!$B$3:$B$3390,"&lt;&gt;Off-street")&gt;0,1,0)</f>
        <v>0</v>
      </c>
      <c r="E218">
        <f>IF(COUNTIFS('United Data'!$A$3:$A$3390,E$1,'United Data'!$C$3:$C$3390,$A218,'United Data'!$B$3:$B$3390,"&lt;&gt;Off-street")&gt;0,1,0)</f>
        <v>0</v>
      </c>
      <c r="F218">
        <f>IF(COUNTIFS('United Data'!$A$3:$A$3390,F$1,'United Data'!$C$3:$C$3390,$A218,'United Data'!$B$3:$B$3390,"&lt;&gt;Off-street")&gt;0,1,0)</f>
        <v>1</v>
      </c>
      <c r="G218">
        <f>IF(COUNTIFS('United Data'!$A$3:$A$3390,G$1,'United Data'!$C$3:$C$3390,$A218,'United Data'!$B$3:$B$3390,"&lt;&gt;Off-street")&gt;0,1,0)</f>
        <v>0</v>
      </c>
      <c r="H218">
        <f>IF(COUNTIFS('United Data'!$A$3:$A$3390,H$1,'United Data'!$C$3:$C$3390,$A218,'United Data'!$B$3:$B$3390,"&lt;&gt;Off-street")&gt;0,1,0)</f>
        <v>0</v>
      </c>
      <c r="I218">
        <f>IF(COUNTIFS('United Data'!$A$3:$A$3390,I$1,'United Data'!$C$3:$C$3390,$A218,'United Data'!$B$3:$B$3390,"&lt;&gt;Off-street")&gt;0,1,0)</f>
        <v>0</v>
      </c>
      <c r="J218">
        <f>IF(COUNTIFS('United Data'!$A$3:$A$3390,J$1,'United Data'!$C$3:$C$3390,$A218,'United Data'!$B$3:$B$3390,"&lt;&gt;Off-street")&gt;0,1,0)</f>
        <v>0</v>
      </c>
      <c r="K218">
        <f>IF(COUNTIFS('United Data'!$A$3:$A$3390,K$1,'United Data'!$C$3:$C$3390,$A218,'United Data'!$B$3:$B$3390,"&lt;&gt;Off-street")&gt;0,1,0)</f>
        <v>1</v>
      </c>
      <c r="L218">
        <f>IF(COUNTIFS('United Data'!$A$3:$A$3390,L$1,'United Data'!$C$3:$C$3390,$A218,'United Data'!$B$3:$B$3390,"&lt;&gt;Off-street")&gt;0,1,0)</f>
        <v>0</v>
      </c>
      <c r="M218">
        <f>IF(COUNTIFS('United Data'!$A$3:$A$3390,M$1,'United Data'!$C$3:$C$3390,$A218,'United Data'!$B$3:$B$3390,"&lt;&gt;Off-street")&gt;0,1,0)</f>
        <v>0</v>
      </c>
      <c r="N218">
        <f>IF(COUNTIFS('United Data'!$A$3:$A$3390,N$1,'United Data'!$C$3:$C$3390,$A218,'United Data'!$B$3:$B$3390,"&lt;&gt;Off-street")&gt;0,1,0)</f>
        <v>0</v>
      </c>
      <c r="O218">
        <f>IF(COUNTIFS('United Data'!$A$3:$A$3390,O$1,'United Data'!$C$3:$C$3390,$A218,'United Data'!$B$3:$B$3390,"&lt;&gt;Off-street")&gt;0,1,0)</f>
        <v>0</v>
      </c>
      <c r="P218">
        <f>IF(COUNTIFS('United Data'!$A$3:$A$3390,P$1,'United Data'!$C$3:$C$3390,$A218,'United Data'!$B$3:$B$3390,"&lt;&gt;Off-street")&gt;0,1,0)</f>
        <v>0</v>
      </c>
      <c r="Q218">
        <f>IF(COUNTIFS('United Data'!$A$3:$A$3390,Q$1,'United Data'!$C$3:$C$3390,$A218,'United Data'!$B$3:$B$3390,"&lt;&gt;Off-street")&gt;0,1,0)</f>
        <v>0</v>
      </c>
      <c r="R218">
        <f>IF(COUNTIFS('United Data'!$A$3:$A$3390,R$1,'United Data'!$C$3:$C$3390,$A218,'United Data'!$B$3:$B$3390,"&lt;&gt;Off-street")&gt;0,1,0)</f>
        <v>0</v>
      </c>
      <c r="S218">
        <f t="shared" si="6"/>
        <v>2</v>
      </c>
      <c r="T218">
        <f t="shared" si="7"/>
        <v>2</v>
      </c>
    </row>
    <row r="219" spans="1:20" x14ac:dyDescent="0.2">
      <c r="A219" t="s">
        <v>286</v>
      </c>
      <c r="B219">
        <f>IF(COUNTIFS('United Data'!$A$3:$A$3390,B$1,'United Data'!$C$3:$C$3390,$A219,'United Data'!$B$3:$B$3390,"&lt;&gt;Off-street")&gt;0,1,0)</f>
        <v>0</v>
      </c>
      <c r="C219">
        <f>IF(COUNTIFS('United Data'!$A$3:$A$3390,C$1,'United Data'!$C$3:$C$3390,$A219,'United Data'!$B$3:$B$3390,"&lt;&gt;Off-street")&gt;0,1,0)</f>
        <v>1</v>
      </c>
      <c r="D219">
        <f>IF(COUNTIFS('United Data'!$A$3:$A$3390,D$1,'United Data'!$C$3:$C$3390,$A219,'United Data'!$B$3:$B$3390,"&lt;&gt;Off-street")&gt;0,1,0)</f>
        <v>1</v>
      </c>
      <c r="E219">
        <f>IF(COUNTIFS('United Data'!$A$3:$A$3390,E$1,'United Data'!$C$3:$C$3390,$A219,'United Data'!$B$3:$B$3390,"&lt;&gt;Off-street")&gt;0,1,0)</f>
        <v>0</v>
      </c>
      <c r="F219">
        <f>IF(COUNTIFS('United Data'!$A$3:$A$3390,F$1,'United Data'!$C$3:$C$3390,$A219,'United Data'!$B$3:$B$3390,"&lt;&gt;Off-street")&gt;0,1,0)</f>
        <v>1</v>
      </c>
      <c r="G219">
        <f>IF(COUNTIFS('United Data'!$A$3:$A$3390,G$1,'United Data'!$C$3:$C$3390,$A219,'United Data'!$B$3:$B$3390,"&lt;&gt;Off-street")&gt;0,1,0)</f>
        <v>1</v>
      </c>
      <c r="H219">
        <f>IF(COUNTIFS('United Data'!$A$3:$A$3390,H$1,'United Data'!$C$3:$C$3390,$A219,'United Data'!$B$3:$B$3390,"&lt;&gt;Off-street")&gt;0,1,0)</f>
        <v>0</v>
      </c>
      <c r="I219">
        <f>IF(COUNTIFS('United Data'!$A$3:$A$3390,I$1,'United Data'!$C$3:$C$3390,$A219,'United Data'!$B$3:$B$3390,"&lt;&gt;Off-street")&gt;0,1,0)</f>
        <v>1</v>
      </c>
      <c r="J219">
        <f>IF(COUNTIFS('United Data'!$A$3:$A$3390,J$1,'United Data'!$C$3:$C$3390,$A219,'United Data'!$B$3:$B$3390,"&lt;&gt;Off-street")&gt;0,1,0)</f>
        <v>0</v>
      </c>
      <c r="K219">
        <f>IF(COUNTIFS('United Data'!$A$3:$A$3390,K$1,'United Data'!$C$3:$C$3390,$A219,'United Data'!$B$3:$B$3390,"&lt;&gt;Off-street")&gt;0,1,0)</f>
        <v>0</v>
      </c>
      <c r="L219">
        <f>IF(COUNTIFS('United Data'!$A$3:$A$3390,L$1,'United Data'!$C$3:$C$3390,$A219,'United Data'!$B$3:$B$3390,"&lt;&gt;Off-street")&gt;0,1,0)</f>
        <v>0</v>
      </c>
      <c r="M219">
        <f>IF(COUNTIFS('United Data'!$A$3:$A$3390,M$1,'United Data'!$C$3:$C$3390,$A219,'United Data'!$B$3:$B$3390,"&lt;&gt;Off-street")&gt;0,1,0)</f>
        <v>1</v>
      </c>
      <c r="N219">
        <f>IF(COUNTIFS('United Data'!$A$3:$A$3390,N$1,'United Data'!$C$3:$C$3390,$A219,'United Data'!$B$3:$B$3390,"&lt;&gt;Off-street")&gt;0,1,0)</f>
        <v>1</v>
      </c>
      <c r="O219">
        <f>IF(COUNTIFS('United Data'!$A$3:$A$3390,O$1,'United Data'!$C$3:$C$3390,$A219,'United Data'!$B$3:$B$3390,"&lt;&gt;Off-street")&gt;0,1,0)</f>
        <v>1</v>
      </c>
      <c r="P219">
        <f>IF(COUNTIFS('United Data'!$A$3:$A$3390,P$1,'United Data'!$C$3:$C$3390,$A219,'United Data'!$B$3:$B$3390,"&lt;&gt;Off-street")&gt;0,1,0)</f>
        <v>0</v>
      </c>
      <c r="Q219">
        <f>IF(COUNTIFS('United Data'!$A$3:$A$3390,Q$1,'United Data'!$C$3:$C$3390,$A219,'United Data'!$B$3:$B$3390,"&lt;&gt;Off-street")&gt;0,1,0)</f>
        <v>1</v>
      </c>
      <c r="R219">
        <f>IF(COUNTIFS('United Data'!$A$3:$A$3390,R$1,'United Data'!$C$3:$C$3390,$A219,'United Data'!$B$3:$B$3390,"&lt;&gt;Off-street")&gt;0,1,0)</f>
        <v>0</v>
      </c>
      <c r="S219">
        <f t="shared" si="6"/>
        <v>9</v>
      </c>
      <c r="T219">
        <f t="shared" si="7"/>
        <v>5</v>
      </c>
    </row>
    <row r="220" spans="1:20" x14ac:dyDescent="0.2">
      <c r="A220" t="s">
        <v>287</v>
      </c>
      <c r="B220">
        <f>IF(COUNTIFS('United Data'!$A$3:$A$3390,B$1,'United Data'!$C$3:$C$3390,$A220,'United Data'!$B$3:$B$3390,"&lt;&gt;Off-street")&gt;0,1,0)</f>
        <v>0</v>
      </c>
      <c r="C220">
        <f>IF(COUNTIFS('United Data'!$A$3:$A$3390,C$1,'United Data'!$C$3:$C$3390,$A220,'United Data'!$B$3:$B$3390,"&lt;&gt;Off-street")&gt;0,1,0)</f>
        <v>0</v>
      </c>
      <c r="D220">
        <f>IF(COUNTIFS('United Data'!$A$3:$A$3390,D$1,'United Data'!$C$3:$C$3390,$A220,'United Data'!$B$3:$B$3390,"&lt;&gt;Off-street")&gt;0,1,0)</f>
        <v>0</v>
      </c>
      <c r="E220">
        <f>IF(COUNTIFS('United Data'!$A$3:$A$3390,E$1,'United Data'!$C$3:$C$3390,$A220,'United Data'!$B$3:$B$3390,"&lt;&gt;Off-street")&gt;0,1,0)</f>
        <v>0</v>
      </c>
      <c r="F220">
        <f>IF(COUNTIFS('United Data'!$A$3:$A$3390,F$1,'United Data'!$C$3:$C$3390,$A220,'United Data'!$B$3:$B$3390,"&lt;&gt;Off-street")&gt;0,1,0)</f>
        <v>1</v>
      </c>
      <c r="G220">
        <f>IF(COUNTIFS('United Data'!$A$3:$A$3390,G$1,'United Data'!$C$3:$C$3390,$A220,'United Data'!$B$3:$B$3390,"&lt;&gt;Off-street")&gt;0,1,0)</f>
        <v>0</v>
      </c>
      <c r="H220">
        <f>IF(COUNTIFS('United Data'!$A$3:$A$3390,H$1,'United Data'!$C$3:$C$3390,$A220,'United Data'!$B$3:$B$3390,"&lt;&gt;Off-street")&gt;0,1,0)</f>
        <v>0</v>
      </c>
      <c r="I220">
        <f>IF(COUNTIFS('United Data'!$A$3:$A$3390,I$1,'United Data'!$C$3:$C$3390,$A220,'United Data'!$B$3:$B$3390,"&lt;&gt;Off-street")&gt;0,1,0)</f>
        <v>1</v>
      </c>
      <c r="J220">
        <f>IF(COUNTIFS('United Data'!$A$3:$A$3390,J$1,'United Data'!$C$3:$C$3390,$A220,'United Data'!$B$3:$B$3390,"&lt;&gt;Off-street")&gt;0,1,0)</f>
        <v>0</v>
      </c>
      <c r="K220">
        <f>IF(COUNTIFS('United Data'!$A$3:$A$3390,K$1,'United Data'!$C$3:$C$3390,$A220,'United Data'!$B$3:$B$3390,"&lt;&gt;Off-street")&gt;0,1,0)</f>
        <v>0</v>
      </c>
      <c r="L220">
        <f>IF(COUNTIFS('United Data'!$A$3:$A$3390,L$1,'United Data'!$C$3:$C$3390,$A220,'United Data'!$B$3:$B$3390,"&lt;&gt;Off-street")&gt;0,1,0)</f>
        <v>0</v>
      </c>
      <c r="M220">
        <f>IF(COUNTIFS('United Data'!$A$3:$A$3390,M$1,'United Data'!$C$3:$C$3390,$A220,'United Data'!$B$3:$B$3390,"&lt;&gt;Off-street")&gt;0,1,0)</f>
        <v>1</v>
      </c>
      <c r="N220">
        <f>IF(COUNTIFS('United Data'!$A$3:$A$3390,N$1,'United Data'!$C$3:$C$3390,$A220,'United Data'!$B$3:$B$3390,"&lt;&gt;Off-street")&gt;0,1,0)</f>
        <v>1</v>
      </c>
      <c r="O220">
        <f>IF(COUNTIFS('United Data'!$A$3:$A$3390,O$1,'United Data'!$C$3:$C$3390,$A220,'United Data'!$B$3:$B$3390,"&lt;&gt;Off-street")&gt;0,1,0)</f>
        <v>0</v>
      </c>
      <c r="P220">
        <f>IF(COUNTIFS('United Data'!$A$3:$A$3390,P$1,'United Data'!$C$3:$C$3390,$A220,'United Data'!$B$3:$B$3390,"&lt;&gt;Off-street")&gt;0,1,0)</f>
        <v>0</v>
      </c>
      <c r="Q220">
        <f>IF(COUNTIFS('United Data'!$A$3:$A$3390,Q$1,'United Data'!$C$3:$C$3390,$A220,'United Data'!$B$3:$B$3390,"&lt;&gt;Off-street")&gt;0,1,0)</f>
        <v>0</v>
      </c>
      <c r="R220">
        <f>IF(COUNTIFS('United Data'!$A$3:$A$3390,R$1,'United Data'!$C$3:$C$3390,$A220,'United Data'!$B$3:$B$3390,"&lt;&gt;Off-street")&gt;0,1,0)</f>
        <v>0</v>
      </c>
      <c r="S220">
        <f t="shared" si="6"/>
        <v>4</v>
      </c>
      <c r="T220">
        <f t="shared" si="7"/>
        <v>3</v>
      </c>
    </row>
    <row r="221" spans="1:20" x14ac:dyDescent="0.2">
      <c r="A221" t="s">
        <v>288</v>
      </c>
      <c r="B221">
        <f>IF(COUNTIFS('United Data'!$A$3:$A$3390,B$1,'United Data'!$C$3:$C$3390,$A221,'United Data'!$B$3:$B$3390,"&lt;&gt;Off-street")&gt;0,1,0)</f>
        <v>0</v>
      </c>
      <c r="C221">
        <f>IF(COUNTIFS('United Data'!$A$3:$A$3390,C$1,'United Data'!$C$3:$C$3390,$A221,'United Data'!$B$3:$B$3390,"&lt;&gt;Off-street")&gt;0,1,0)</f>
        <v>1</v>
      </c>
      <c r="D221">
        <f>IF(COUNTIFS('United Data'!$A$3:$A$3390,D$1,'United Data'!$C$3:$C$3390,$A221,'United Data'!$B$3:$B$3390,"&lt;&gt;Off-street")&gt;0,1,0)</f>
        <v>1</v>
      </c>
      <c r="E221">
        <f>IF(COUNTIFS('United Data'!$A$3:$A$3390,E$1,'United Data'!$C$3:$C$3390,$A221,'United Data'!$B$3:$B$3390,"&lt;&gt;Off-street")&gt;0,1,0)</f>
        <v>0</v>
      </c>
      <c r="F221">
        <f>IF(COUNTIFS('United Data'!$A$3:$A$3390,F$1,'United Data'!$C$3:$C$3390,$A221,'United Data'!$B$3:$B$3390,"&lt;&gt;Off-street")&gt;0,1,0)</f>
        <v>1</v>
      </c>
      <c r="G221">
        <f>IF(COUNTIFS('United Data'!$A$3:$A$3390,G$1,'United Data'!$C$3:$C$3390,$A221,'United Data'!$B$3:$B$3390,"&lt;&gt;Off-street")&gt;0,1,0)</f>
        <v>0</v>
      </c>
      <c r="H221">
        <f>IF(COUNTIFS('United Data'!$A$3:$A$3390,H$1,'United Data'!$C$3:$C$3390,$A221,'United Data'!$B$3:$B$3390,"&lt;&gt;Off-street")&gt;0,1,0)</f>
        <v>0</v>
      </c>
      <c r="I221">
        <f>IF(COUNTIFS('United Data'!$A$3:$A$3390,I$1,'United Data'!$C$3:$C$3390,$A221,'United Data'!$B$3:$B$3390,"&lt;&gt;Off-street")&gt;0,1,0)</f>
        <v>0</v>
      </c>
      <c r="J221">
        <f>IF(COUNTIFS('United Data'!$A$3:$A$3390,J$1,'United Data'!$C$3:$C$3390,$A221,'United Data'!$B$3:$B$3390,"&lt;&gt;Off-street")&gt;0,1,0)</f>
        <v>0</v>
      </c>
      <c r="K221">
        <f>IF(COUNTIFS('United Data'!$A$3:$A$3390,K$1,'United Data'!$C$3:$C$3390,$A221,'United Data'!$B$3:$B$3390,"&lt;&gt;Off-street")&gt;0,1,0)</f>
        <v>0</v>
      </c>
      <c r="L221">
        <f>IF(COUNTIFS('United Data'!$A$3:$A$3390,L$1,'United Data'!$C$3:$C$3390,$A221,'United Data'!$B$3:$B$3390,"&lt;&gt;Off-street")&gt;0,1,0)</f>
        <v>0</v>
      </c>
      <c r="M221">
        <f>IF(COUNTIFS('United Data'!$A$3:$A$3390,M$1,'United Data'!$C$3:$C$3390,$A221,'United Data'!$B$3:$B$3390,"&lt;&gt;Off-street")&gt;0,1,0)</f>
        <v>0</v>
      </c>
      <c r="N221">
        <f>IF(COUNTIFS('United Data'!$A$3:$A$3390,N$1,'United Data'!$C$3:$C$3390,$A221,'United Data'!$B$3:$B$3390,"&lt;&gt;Off-street")&gt;0,1,0)</f>
        <v>0</v>
      </c>
      <c r="O221">
        <f>IF(COUNTIFS('United Data'!$A$3:$A$3390,O$1,'United Data'!$C$3:$C$3390,$A221,'United Data'!$B$3:$B$3390,"&lt;&gt;Off-street")&gt;0,1,0)</f>
        <v>0</v>
      </c>
      <c r="P221">
        <f>IF(COUNTIFS('United Data'!$A$3:$A$3390,P$1,'United Data'!$C$3:$C$3390,$A221,'United Data'!$B$3:$B$3390,"&lt;&gt;Off-street")&gt;0,1,0)</f>
        <v>0</v>
      </c>
      <c r="Q221">
        <f>IF(COUNTIFS('United Data'!$A$3:$A$3390,Q$1,'United Data'!$C$3:$C$3390,$A221,'United Data'!$B$3:$B$3390,"&lt;&gt;Off-street")&gt;0,1,0)</f>
        <v>1</v>
      </c>
      <c r="R221">
        <f>IF(COUNTIFS('United Data'!$A$3:$A$3390,R$1,'United Data'!$C$3:$C$3390,$A221,'United Data'!$B$3:$B$3390,"&lt;&gt;Off-street")&gt;0,1,0)</f>
        <v>0</v>
      </c>
      <c r="S221">
        <f t="shared" si="6"/>
        <v>4</v>
      </c>
      <c r="T221">
        <f t="shared" si="7"/>
        <v>3</v>
      </c>
    </row>
    <row r="222" spans="1:20" x14ac:dyDescent="0.2">
      <c r="A222" t="s">
        <v>289</v>
      </c>
      <c r="B222">
        <f>IF(COUNTIFS('United Data'!$A$3:$A$3390,B$1,'United Data'!$C$3:$C$3390,$A222,'United Data'!$B$3:$B$3390,"&lt;&gt;Off-street")&gt;0,1,0)</f>
        <v>0</v>
      </c>
      <c r="C222">
        <f>IF(COUNTIFS('United Data'!$A$3:$A$3390,C$1,'United Data'!$C$3:$C$3390,$A222,'United Data'!$B$3:$B$3390,"&lt;&gt;Off-street")&gt;0,1,0)</f>
        <v>0</v>
      </c>
      <c r="D222">
        <f>IF(COUNTIFS('United Data'!$A$3:$A$3390,D$1,'United Data'!$C$3:$C$3390,$A222,'United Data'!$B$3:$B$3390,"&lt;&gt;Off-street")&gt;0,1,0)</f>
        <v>0</v>
      </c>
      <c r="E222">
        <f>IF(COUNTIFS('United Data'!$A$3:$A$3390,E$1,'United Data'!$C$3:$C$3390,$A222,'United Data'!$B$3:$B$3390,"&lt;&gt;Off-street")&gt;0,1,0)</f>
        <v>0</v>
      </c>
      <c r="F222">
        <f>IF(COUNTIFS('United Data'!$A$3:$A$3390,F$1,'United Data'!$C$3:$C$3390,$A222,'United Data'!$B$3:$B$3390,"&lt;&gt;Off-street")&gt;0,1,0)</f>
        <v>1</v>
      </c>
      <c r="G222">
        <f>IF(COUNTIFS('United Data'!$A$3:$A$3390,G$1,'United Data'!$C$3:$C$3390,$A222,'United Data'!$B$3:$B$3390,"&lt;&gt;Off-street")&gt;0,1,0)</f>
        <v>0</v>
      </c>
      <c r="H222">
        <f>IF(COUNTIFS('United Data'!$A$3:$A$3390,H$1,'United Data'!$C$3:$C$3390,$A222,'United Data'!$B$3:$B$3390,"&lt;&gt;Off-street")&gt;0,1,0)</f>
        <v>0</v>
      </c>
      <c r="I222">
        <f>IF(COUNTIFS('United Data'!$A$3:$A$3390,I$1,'United Data'!$C$3:$C$3390,$A222,'United Data'!$B$3:$B$3390,"&lt;&gt;Off-street")&gt;0,1,0)</f>
        <v>0</v>
      </c>
      <c r="J222">
        <f>IF(COUNTIFS('United Data'!$A$3:$A$3390,J$1,'United Data'!$C$3:$C$3390,$A222,'United Data'!$B$3:$B$3390,"&lt;&gt;Off-street")&gt;0,1,0)</f>
        <v>0</v>
      </c>
      <c r="K222">
        <f>IF(COUNTIFS('United Data'!$A$3:$A$3390,K$1,'United Data'!$C$3:$C$3390,$A222,'United Data'!$B$3:$B$3390,"&lt;&gt;Off-street")&gt;0,1,0)</f>
        <v>0</v>
      </c>
      <c r="L222">
        <f>IF(COUNTIFS('United Data'!$A$3:$A$3390,L$1,'United Data'!$C$3:$C$3390,$A222,'United Data'!$B$3:$B$3390,"&lt;&gt;Off-street")&gt;0,1,0)</f>
        <v>0</v>
      </c>
      <c r="M222">
        <f>IF(COUNTIFS('United Data'!$A$3:$A$3390,M$1,'United Data'!$C$3:$C$3390,$A222,'United Data'!$B$3:$B$3390,"&lt;&gt;Off-street")&gt;0,1,0)</f>
        <v>0</v>
      </c>
      <c r="N222">
        <f>IF(COUNTIFS('United Data'!$A$3:$A$3390,N$1,'United Data'!$C$3:$C$3390,$A222,'United Data'!$B$3:$B$3390,"&lt;&gt;Off-street")&gt;0,1,0)</f>
        <v>0</v>
      </c>
      <c r="O222">
        <f>IF(COUNTIFS('United Data'!$A$3:$A$3390,O$1,'United Data'!$C$3:$C$3390,$A222,'United Data'!$B$3:$B$3390,"&lt;&gt;Off-street")&gt;0,1,0)</f>
        <v>0</v>
      </c>
      <c r="P222">
        <f>IF(COUNTIFS('United Data'!$A$3:$A$3390,P$1,'United Data'!$C$3:$C$3390,$A222,'United Data'!$B$3:$B$3390,"&lt;&gt;Off-street")&gt;0,1,0)</f>
        <v>0</v>
      </c>
      <c r="Q222">
        <f>IF(COUNTIFS('United Data'!$A$3:$A$3390,Q$1,'United Data'!$C$3:$C$3390,$A222,'United Data'!$B$3:$B$3390,"&lt;&gt;Off-street")&gt;0,1,0)</f>
        <v>0</v>
      </c>
      <c r="R222">
        <f>IF(COUNTIFS('United Data'!$A$3:$A$3390,R$1,'United Data'!$C$3:$C$3390,$A222,'United Data'!$B$3:$B$3390,"&lt;&gt;Off-street")&gt;0,1,0)</f>
        <v>0</v>
      </c>
      <c r="S222">
        <f t="shared" si="6"/>
        <v>1</v>
      </c>
      <c r="T222">
        <f t="shared" si="7"/>
        <v>1</v>
      </c>
    </row>
    <row r="223" spans="1:20" x14ac:dyDescent="0.2">
      <c r="A223" t="s">
        <v>290</v>
      </c>
      <c r="B223">
        <f>IF(COUNTIFS('United Data'!$A$3:$A$3390,B$1,'United Data'!$C$3:$C$3390,$A223,'United Data'!$B$3:$B$3390,"&lt;&gt;Off-street")&gt;0,1,0)</f>
        <v>0</v>
      </c>
      <c r="C223">
        <f>IF(COUNTIFS('United Data'!$A$3:$A$3390,C$1,'United Data'!$C$3:$C$3390,$A223,'United Data'!$B$3:$B$3390,"&lt;&gt;Off-street")&gt;0,1,0)</f>
        <v>0</v>
      </c>
      <c r="D223">
        <f>IF(COUNTIFS('United Data'!$A$3:$A$3390,D$1,'United Data'!$C$3:$C$3390,$A223,'United Data'!$B$3:$B$3390,"&lt;&gt;Off-street")&gt;0,1,0)</f>
        <v>0</v>
      </c>
      <c r="E223">
        <f>IF(COUNTIFS('United Data'!$A$3:$A$3390,E$1,'United Data'!$C$3:$C$3390,$A223,'United Data'!$B$3:$B$3390,"&lt;&gt;Off-street")&gt;0,1,0)</f>
        <v>0</v>
      </c>
      <c r="F223">
        <f>IF(COUNTIFS('United Data'!$A$3:$A$3390,F$1,'United Data'!$C$3:$C$3390,$A223,'United Data'!$B$3:$B$3390,"&lt;&gt;Off-street")&gt;0,1,0)</f>
        <v>1</v>
      </c>
      <c r="G223">
        <f>IF(COUNTIFS('United Data'!$A$3:$A$3390,G$1,'United Data'!$C$3:$C$3390,$A223,'United Data'!$B$3:$B$3390,"&lt;&gt;Off-street")&gt;0,1,0)</f>
        <v>1</v>
      </c>
      <c r="H223">
        <f>IF(COUNTIFS('United Data'!$A$3:$A$3390,H$1,'United Data'!$C$3:$C$3390,$A223,'United Data'!$B$3:$B$3390,"&lt;&gt;Off-street")&gt;0,1,0)</f>
        <v>0</v>
      </c>
      <c r="I223">
        <f>IF(COUNTIFS('United Data'!$A$3:$A$3390,I$1,'United Data'!$C$3:$C$3390,$A223,'United Data'!$B$3:$B$3390,"&lt;&gt;Off-street")&gt;0,1,0)</f>
        <v>0</v>
      </c>
      <c r="J223">
        <f>IF(COUNTIFS('United Data'!$A$3:$A$3390,J$1,'United Data'!$C$3:$C$3390,$A223,'United Data'!$B$3:$B$3390,"&lt;&gt;Off-street")&gt;0,1,0)</f>
        <v>0</v>
      </c>
      <c r="K223">
        <f>IF(COUNTIFS('United Data'!$A$3:$A$3390,K$1,'United Data'!$C$3:$C$3390,$A223,'United Data'!$B$3:$B$3390,"&lt;&gt;Off-street")&gt;0,1,0)</f>
        <v>0</v>
      </c>
      <c r="L223">
        <f>IF(COUNTIFS('United Data'!$A$3:$A$3390,L$1,'United Data'!$C$3:$C$3390,$A223,'United Data'!$B$3:$B$3390,"&lt;&gt;Off-street")&gt;0,1,0)</f>
        <v>0</v>
      </c>
      <c r="M223">
        <f>IF(COUNTIFS('United Data'!$A$3:$A$3390,M$1,'United Data'!$C$3:$C$3390,$A223,'United Data'!$B$3:$B$3390,"&lt;&gt;Off-street")&gt;0,1,0)</f>
        <v>0</v>
      </c>
      <c r="N223">
        <f>IF(COUNTIFS('United Data'!$A$3:$A$3390,N$1,'United Data'!$C$3:$C$3390,$A223,'United Data'!$B$3:$B$3390,"&lt;&gt;Off-street")&gt;0,1,0)</f>
        <v>0</v>
      </c>
      <c r="O223">
        <f>IF(COUNTIFS('United Data'!$A$3:$A$3390,O$1,'United Data'!$C$3:$C$3390,$A223,'United Data'!$B$3:$B$3390,"&lt;&gt;Off-street")&gt;0,1,0)</f>
        <v>0</v>
      </c>
      <c r="P223">
        <f>IF(COUNTIFS('United Data'!$A$3:$A$3390,P$1,'United Data'!$C$3:$C$3390,$A223,'United Data'!$B$3:$B$3390,"&lt;&gt;Off-street")&gt;0,1,0)</f>
        <v>0</v>
      </c>
      <c r="Q223">
        <f>IF(COUNTIFS('United Data'!$A$3:$A$3390,Q$1,'United Data'!$C$3:$C$3390,$A223,'United Data'!$B$3:$B$3390,"&lt;&gt;Off-street")&gt;0,1,0)</f>
        <v>0</v>
      </c>
      <c r="R223">
        <f>IF(COUNTIFS('United Data'!$A$3:$A$3390,R$1,'United Data'!$C$3:$C$3390,$A223,'United Data'!$B$3:$B$3390,"&lt;&gt;Off-street")&gt;0,1,0)</f>
        <v>0</v>
      </c>
      <c r="S223">
        <f t="shared" si="6"/>
        <v>2</v>
      </c>
      <c r="T223">
        <f t="shared" si="7"/>
        <v>1</v>
      </c>
    </row>
    <row r="224" spans="1:20" x14ac:dyDescent="0.2">
      <c r="A224" t="s">
        <v>294</v>
      </c>
      <c r="B224">
        <f>IF(COUNTIFS('United Data'!$A$3:$A$3390,B$1,'United Data'!$C$3:$C$3390,$A224,'United Data'!$B$3:$B$3390,"&lt;&gt;Off-street")&gt;0,1,0)</f>
        <v>0</v>
      </c>
      <c r="C224">
        <f>IF(COUNTIFS('United Data'!$A$3:$A$3390,C$1,'United Data'!$C$3:$C$3390,$A224,'United Data'!$B$3:$B$3390,"&lt;&gt;Off-street")&gt;0,1,0)</f>
        <v>0</v>
      </c>
      <c r="D224">
        <f>IF(COUNTIFS('United Data'!$A$3:$A$3390,D$1,'United Data'!$C$3:$C$3390,$A224,'United Data'!$B$3:$B$3390,"&lt;&gt;Off-street")&gt;0,1,0)</f>
        <v>0</v>
      </c>
      <c r="E224">
        <f>IF(COUNTIFS('United Data'!$A$3:$A$3390,E$1,'United Data'!$C$3:$C$3390,$A224,'United Data'!$B$3:$B$3390,"&lt;&gt;Off-street")&gt;0,1,0)</f>
        <v>0</v>
      </c>
      <c r="F224">
        <f>IF(COUNTIFS('United Data'!$A$3:$A$3390,F$1,'United Data'!$C$3:$C$3390,$A224,'United Data'!$B$3:$B$3390,"&lt;&gt;Off-street")&gt;0,1,0)</f>
        <v>0</v>
      </c>
      <c r="G224">
        <f>IF(COUNTIFS('United Data'!$A$3:$A$3390,G$1,'United Data'!$C$3:$C$3390,$A224,'United Data'!$B$3:$B$3390,"&lt;&gt;Off-street")&gt;0,1,0)</f>
        <v>1</v>
      </c>
      <c r="H224">
        <f>IF(COUNTIFS('United Data'!$A$3:$A$3390,H$1,'United Data'!$C$3:$C$3390,$A224,'United Data'!$B$3:$B$3390,"&lt;&gt;Off-street")&gt;0,1,0)</f>
        <v>0</v>
      </c>
      <c r="I224">
        <f>IF(COUNTIFS('United Data'!$A$3:$A$3390,I$1,'United Data'!$C$3:$C$3390,$A224,'United Data'!$B$3:$B$3390,"&lt;&gt;Off-street")&gt;0,1,0)</f>
        <v>0</v>
      </c>
      <c r="J224">
        <f>IF(COUNTIFS('United Data'!$A$3:$A$3390,J$1,'United Data'!$C$3:$C$3390,$A224,'United Data'!$B$3:$B$3390,"&lt;&gt;Off-street")&gt;0,1,0)</f>
        <v>0</v>
      </c>
      <c r="K224">
        <f>IF(COUNTIFS('United Data'!$A$3:$A$3390,K$1,'United Data'!$C$3:$C$3390,$A224,'United Data'!$B$3:$B$3390,"&lt;&gt;Off-street")&gt;0,1,0)</f>
        <v>1</v>
      </c>
      <c r="L224">
        <f>IF(COUNTIFS('United Data'!$A$3:$A$3390,L$1,'United Data'!$C$3:$C$3390,$A224,'United Data'!$B$3:$B$3390,"&lt;&gt;Off-street")&gt;0,1,0)</f>
        <v>0</v>
      </c>
      <c r="M224">
        <f>IF(COUNTIFS('United Data'!$A$3:$A$3390,M$1,'United Data'!$C$3:$C$3390,$A224,'United Data'!$B$3:$B$3390,"&lt;&gt;Off-street")&gt;0,1,0)</f>
        <v>0</v>
      </c>
      <c r="N224">
        <f>IF(COUNTIFS('United Data'!$A$3:$A$3390,N$1,'United Data'!$C$3:$C$3390,$A224,'United Data'!$B$3:$B$3390,"&lt;&gt;Off-street")&gt;0,1,0)</f>
        <v>0</v>
      </c>
      <c r="O224">
        <f>IF(COUNTIFS('United Data'!$A$3:$A$3390,O$1,'United Data'!$C$3:$C$3390,$A224,'United Data'!$B$3:$B$3390,"&lt;&gt;Off-street")&gt;0,1,0)</f>
        <v>0</v>
      </c>
      <c r="P224">
        <f>IF(COUNTIFS('United Data'!$A$3:$A$3390,P$1,'United Data'!$C$3:$C$3390,$A224,'United Data'!$B$3:$B$3390,"&lt;&gt;Off-street")&gt;0,1,0)</f>
        <v>0</v>
      </c>
      <c r="Q224">
        <f>IF(COUNTIFS('United Data'!$A$3:$A$3390,Q$1,'United Data'!$C$3:$C$3390,$A224,'United Data'!$B$3:$B$3390,"&lt;&gt;Off-street")&gt;0,1,0)</f>
        <v>0</v>
      </c>
      <c r="R224">
        <f>IF(COUNTIFS('United Data'!$A$3:$A$3390,R$1,'United Data'!$C$3:$C$3390,$A224,'United Data'!$B$3:$B$3390,"&lt;&gt;Off-street")&gt;0,1,0)</f>
        <v>0</v>
      </c>
      <c r="S224">
        <f t="shared" si="6"/>
        <v>2</v>
      </c>
      <c r="T224">
        <f t="shared" si="7"/>
        <v>2</v>
      </c>
    </row>
    <row r="225" spans="1:20" x14ac:dyDescent="0.2">
      <c r="A225" t="s">
        <v>296</v>
      </c>
      <c r="B225">
        <f>IF(COUNTIFS('United Data'!$A$3:$A$3390,B$1,'United Data'!$C$3:$C$3390,$A225,'United Data'!$B$3:$B$3390,"&lt;&gt;Off-street")&gt;0,1,0)</f>
        <v>0</v>
      </c>
      <c r="C225">
        <f>IF(COUNTIFS('United Data'!$A$3:$A$3390,C$1,'United Data'!$C$3:$C$3390,$A225,'United Data'!$B$3:$B$3390,"&lt;&gt;Off-street")&gt;0,1,0)</f>
        <v>0</v>
      </c>
      <c r="D225">
        <f>IF(COUNTIFS('United Data'!$A$3:$A$3390,D$1,'United Data'!$C$3:$C$3390,$A225,'United Data'!$B$3:$B$3390,"&lt;&gt;Off-street")&gt;0,1,0)</f>
        <v>0</v>
      </c>
      <c r="E225">
        <f>IF(COUNTIFS('United Data'!$A$3:$A$3390,E$1,'United Data'!$C$3:$C$3390,$A225,'United Data'!$B$3:$B$3390,"&lt;&gt;Off-street")&gt;0,1,0)</f>
        <v>0</v>
      </c>
      <c r="F225">
        <f>IF(COUNTIFS('United Data'!$A$3:$A$3390,F$1,'United Data'!$C$3:$C$3390,$A225,'United Data'!$B$3:$B$3390,"&lt;&gt;Off-street")&gt;0,1,0)</f>
        <v>0</v>
      </c>
      <c r="G225">
        <f>IF(COUNTIFS('United Data'!$A$3:$A$3390,G$1,'United Data'!$C$3:$C$3390,$A225,'United Data'!$B$3:$B$3390,"&lt;&gt;Off-street")&gt;0,1,0)</f>
        <v>1</v>
      </c>
      <c r="H225">
        <f>IF(COUNTIFS('United Data'!$A$3:$A$3390,H$1,'United Data'!$C$3:$C$3390,$A225,'United Data'!$B$3:$B$3390,"&lt;&gt;Off-street")&gt;0,1,0)</f>
        <v>0</v>
      </c>
      <c r="I225">
        <f>IF(COUNTIFS('United Data'!$A$3:$A$3390,I$1,'United Data'!$C$3:$C$3390,$A225,'United Data'!$B$3:$B$3390,"&lt;&gt;Off-street")&gt;0,1,0)</f>
        <v>0</v>
      </c>
      <c r="J225">
        <f>IF(COUNTIFS('United Data'!$A$3:$A$3390,J$1,'United Data'!$C$3:$C$3390,$A225,'United Data'!$B$3:$B$3390,"&lt;&gt;Off-street")&gt;0,1,0)</f>
        <v>0</v>
      </c>
      <c r="K225">
        <f>IF(COUNTIFS('United Data'!$A$3:$A$3390,K$1,'United Data'!$C$3:$C$3390,$A225,'United Data'!$B$3:$B$3390,"&lt;&gt;Off-street")&gt;0,1,0)</f>
        <v>1</v>
      </c>
      <c r="L225">
        <f>IF(COUNTIFS('United Data'!$A$3:$A$3390,L$1,'United Data'!$C$3:$C$3390,$A225,'United Data'!$B$3:$B$3390,"&lt;&gt;Off-street")&gt;0,1,0)</f>
        <v>0</v>
      </c>
      <c r="M225">
        <f>IF(COUNTIFS('United Data'!$A$3:$A$3390,M$1,'United Data'!$C$3:$C$3390,$A225,'United Data'!$B$3:$B$3390,"&lt;&gt;Off-street")&gt;0,1,0)</f>
        <v>0</v>
      </c>
      <c r="N225">
        <f>IF(COUNTIFS('United Data'!$A$3:$A$3390,N$1,'United Data'!$C$3:$C$3390,$A225,'United Data'!$B$3:$B$3390,"&lt;&gt;Off-street")&gt;0,1,0)</f>
        <v>0</v>
      </c>
      <c r="O225">
        <f>IF(COUNTIFS('United Data'!$A$3:$A$3390,O$1,'United Data'!$C$3:$C$3390,$A225,'United Data'!$B$3:$B$3390,"&lt;&gt;Off-street")&gt;0,1,0)</f>
        <v>0</v>
      </c>
      <c r="P225">
        <f>IF(COUNTIFS('United Data'!$A$3:$A$3390,P$1,'United Data'!$C$3:$C$3390,$A225,'United Data'!$B$3:$B$3390,"&lt;&gt;Off-street")&gt;0,1,0)</f>
        <v>0</v>
      </c>
      <c r="Q225">
        <f>IF(COUNTIFS('United Data'!$A$3:$A$3390,Q$1,'United Data'!$C$3:$C$3390,$A225,'United Data'!$B$3:$B$3390,"&lt;&gt;Off-street")&gt;0,1,0)</f>
        <v>0</v>
      </c>
      <c r="R225">
        <f>IF(COUNTIFS('United Data'!$A$3:$A$3390,R$1,'United Data'!$C$3:$C$3390,$A225,'United Data'!$B$3:$B$3390,"&lt;&gt;Off-street")&gt;0,1,0)</f>
        <v>0</v>
      </c>
      <c r="S225">
        <f t="shared" si="6"/>
        <v>2</v>
      </c>
      <c r="T225">
        <f t="shared" si="7"/>
        <v>2</v>
      </c>
    </row>
    <row r="226" spans="1:20" x14ac:dyDescent="0.2">
      <c r="A226" t="s">
        <v>297</v>
      </c>
      <c r="B226">
        <f>IF(COUNTIFS('United Data'!$A$3:$A$3390,B$1,'United Data'!$C$3:$C$3390,$A226,'United Data'!$B$3:$B$3390,"&lt;&gt;Off-street")&gt;0,1,0)</f>
        <v>0</v>
      </c>
      <c r="C226">
        <f>IF(COUNTIFS('United Data'!$A$3:$A$3390,C$1,'United Data'!$C$3:$C$3390,$A226,'United Data'!$B$3:$B$3390,"&lt;&gt;Off-street")&gt;0,1,0)</f>
        <v>0</v>
      </c>
      <c r="D226">
        <f>IF(COUNTIFS('United Data'!$A$3:$A$3390,D$1,'United Data'!$C$3:$C$3390,$A226,'United Data'!$B$3:$B$3390,"&lt;&gt;Off-street")&gt;0,1,0)</f>
        <v>0</v>
      </c>
      <c r="E226">
        <f>IF(COUNTIFS('United Data'!$A$3:$A$3390,E$1,'United Data'!$C$3:$C$3390,$A226,'United Data'!$B$3:$B$3390,"&lt;&gt;Off-street")&gt;0,1,0)</f>
        <v>0</v>
      </c>
      <c r="F226">
        <f>IF(COUNTIFS('United Data'!$A$3:$A$3390,F$1,'United Data'!$C$3:$C$3390,$A226,'United Data'!$B$3:$B$3390,"&lt;&gt;Off-street")&gt;0,1,0)</f>
        <v>0</v>
      </c>
      <c r="G226">
        <f>IF(COUNTIFS('United Data'!$A$3:$A$3390,G$1,'United Data'!$C$3:$C$3390,$A226,'United Data'!$B$3:$B$3390,"&lt;&gt;Off-street")&gt;0,1,0)</f>
        <v>0</v>
      </c>
      <c r="H226">
        <f>IF(COUNTIFS('United Data'!$A$3:$A$3390,H$1,'United Data'!$C$3:$C$3390,$A226,'United Data'!$B$3:$B$3390,"&lt;&gt;Off-street")&gt;0,1,0)</f>
        <v>1</v>
      </c>
      <c r="I226">
        <f>IF(COUNTIFS('United Data'!$A$3:$A$3390,I$1,'United Data'!$C$3:$C$3390,$A226,'United Data'!$B$3:$B$3390,"&lt;&gt;Off-street")&gt;0,1,0)</f>
        <v>1</v>
      </c>
      <c r="J226">
        <f>IF(COUNTIFS('United Data'!$A$3:$A$3390,J$1,'United Data'!$C$3:$C$3390,$A226,'United Data'!$B$3:$B$3390,"&lt;&gt;Off-street")&gt;0,1,0)</f>
        <v>1</v>
      </c>
      <c r="K226">
        <f>IF(COUNTIFS('United Data'!$A$3:$A$3390,K$1,'United Data'!$C$3:$C$3390,$A226,'United Data'!$B$3:$B$3390,"&lt;&gt;Off-street")&gt;0,1,0)</f>
        <v>0</v>
      </c>
      <c r="L226">
        <f>IF(COUNTIFS('United Data'!$A$3:$A$3390,L$1,'United Data'!$C$3:$C$3390,$A226,'United Data'!$B$3:$B$3390,"&lt;&gt;Off-street")&gt;0,1,0)</f>
        <v>0</v>
      </c>
      <c r="M226">
        <f>IF(COUNTIFS('United Data'!$A$3:$A$3390,M$1,'United Data'!$C$3:$C$3390,$A226,'United Data'!$B$3:$B$3390,"&lt;&gt;Off-street")&gt;0,1,0)</f>
        <v>0</v>
      </c>
      <c r="N226">
        <f>IF(COUNTIFS('United Data'!$A$3:$A$3390,N$1,'United Data'!$C$3:$C$3390,$A226,'United Data'!$B$3:$B$3390,"&lt;&gt;Off-street")&gt;0,1,0)</f>
        <v>0</v>
      </c>
      <c r="O226">
        <f>IF(COUNTIFS('United Data'!$A$3:$A$3390,O$1,'United Data'!$C$3:$C$3390,$A226,'United Data'!$B$3:$B$3390,"&lt;&gt;Off-street")&gt;0,1,0)</f>
        <v>0</v>
      </c>
      <c r="P226">
        <f>IF(COUNTIFS('United Data'!$A$3:$A$3390,P$1,'United Data'!$C$3:$C$3390,$A226,'United Data'!$B$3:$B$3390,"&lt;&gt;Off-street")&gt;0,1,0)</f>
        <v>0</v>
      </c>
      <c r="Q226">
        <f>IF(COUNTIFS('United Data'!$A$3:$A$3390,Q$1,'United Data'!$C$3:$C$3390,$A226,'United Data'!$B$3:$B$3390,"&lt;&gt;Off-street")&gt;0,1,0)</f>
        <v>0</v>
      </c>
      <c r="R226">
        <f>IF(COUNTIFS('United Data'!$A$3:$A$3390,R$1,'United Data'!$C$3:$C$3390,$A226,'United Data'!$B$3:$B$3390,"&lt;&gt;Off-street")&gt;0,1,0)</f>
        <v>0</v>
      </c>
      <c r="S226">
        <f t="shared" si="6"/>
        <v>3</v>
      </c>
      <c r="T226">
        <f t="shared" si="7"/>
        <v>1</v>
      </c>
    </row>
    <row r="227" spans="1:20" x14ac:dyDescent="0.2">
      <c r="A227" t="s">
        <v>298</v>
      </c>
      <c r="B227">
        <f>IF(COUNTIFS('United Data'!$A$3:$A$3390,B$1,'United Data'!$C$3:$C$3390,$A227,'United Data'!$B$3:$B$3390,"&lt;&gt;Off-street")&gt;0,1,0)</f>
        <v>0</v>
      </c>
      <c r="C227">
        <f>IF(COUNTIFS('United Data'!$A$3:$A$3390,C$1,'United Data'!$C$3:$C$3390,$A227,'United Data'!$B$3:$B$3390,"&lt;&gt;Off-street")&gt;0,1,0)</f>
        <v>0</v>
      </c>
      <c r="D227">
        <f>IF(COUNTIFS('United Data'!$A$3:$A$3390,D$1,'United Data'!$C$3:$C$3390,$A227,'United Data'!$B$3:$B$3390,"&lt;&gt;Off-street")&gt;0,1,0)</f>
        <v>0</v>
      </c>
      <c r="E227">
        <f>IF(COUNTIFS('United Data'!$A$3:$A$3390,E$1,'United Data'!$C$3:$C$3390,$A227,'United Data'!$B$3:$B$3390,"&lt;&gt;Off-street")&gt;0,1,0)</f>
        <v>0</v>
      </c>
      <c r="F227">
        <f>IF(COUNTIFS('United Data'!$A$3:$A$3390,F$1,'United Data'!$C$3:$C$3390,$A227,'United Data'!$B$3:$B$3390,"&lt;&gt;Off-street")&gt;0,1,0)</f>
        <v>0</v>
      </c>
      <c r="G227">
        <f>IF(COUNTIFS('United Data'!$A$3:$A$3390,G$1,'United Data'!$C$3:$C$3390,$A227,'United Data'!$B$3:$B$3390,"&lt;&gt;Off-street")&gt;0,1,0)</f>
        <v>0</v>
      </c>
      <c r="H227">
        <f>IF(COUNTIFS('United Data'!$A$3:$A$3390,H$1,'United Data'!$C$3:$C$3390,$A227,'United Data'!$B$3:$B$3390,"&lt;&gt;Off-street")&gt;0,1,0)</f>
        <v>0</v>
      </c>
      <c r="I227">
        <f>IF(COUNTIFS('United Data'!$A$3:$A$3390,I$1,'United Data'!$C$3:$C$3390,$A227,'United Data'!$B$3:$B$3390,"&lt;&gt;Off-street")&gt;0,1,0)</f>
        <v>1</v>
      </c>
      <c r="J227">
        <f>IF(COUNTIFS('United Data'!$A$3:$A$3390,J$1,'United Data'!$C$3:$C$3390,$A227,'United Data'!$B$3:$B$3390,"&lt;&gt;Off-street")&gt;0,1,0)</f>
        <v>0</v>
      </c>
      <c r="K227">
        <f>IF(COUNTIFS('United Data'!$A$3:$A$3390,K$1,'United Data'!$C$3:$C$3390,$A227,'United Data'!$B$3:$B$3390,"&lt;&gt;Off-street")&gt;0,1,0)</f>
        <v>0</v>
      </c>
      <c r="L227">
        <f>IF(COUNTIFS('United Data'!$A$3:$A$3390,L$1,'United Data'!$C$3:$C$3390,$A227,'United Data'!$B$3:$B$3390,"&lt;&gt;Off-street")&gt;0,1,0)</f>
        <v>1</v>
      </c>
      <c r="M227">
        <f>IF(COUNTIFS('United Data'!$A$3:$A$3390,M$1,'United Data'!$C$3:$C$3390,$A227,'United Data'!$B$3:$B$3390,"&lt;&gt;Off-street")&gt;0,1,0)</f>
        <v>0</v>
      </c>
      <c r="N227">
        <f>IF(COUNTIFS('United Data'!$A$3:$A$3390,N$1,'United Data'!$C$3:$C$3390,$A227,'United Data'!$B$3:$B$3390,"&lt;&gt;Off-street")&gt;0,1,0)</f>
        <v>1</v>
      </c>
      <c r="O227">
        <f>IF(COUNTIFS('United Data'!$A$3:$A$3390,O$1,'United Data'!$C$3:$C$3390,$A227,'United Data'!$B$3:$B$3390,"&lt;&gt;Off-street")&gt;0,1,0)</f>
        <v>0</v>
      </c>
      <c r="P227">
        <f>IF(COUNTIFS('United Data'!$A$3:$A$3390,P$1,'United Data'!$C$3:$C$3390,$A227,'United Data'!$B$3:$B$3390,"&lt;&gt;Off-street")&gt;0,1,0)</f>
        <v>0</v>
      </c>
      <c r="Q227">
        <f>IF(COUNTIFS('United Data'!$A$3:$A$3390,Q$1,'United Data'!$C$3:$C$3390,$A227,'United Data'!$B$3:$B$3390,"&lt;&gt;Off-street")&gt;0,1,0)</f>
        <v>0</v>
      </c>
      <c r="R227">
        <f>IF(COUNTIFS('United Data'!$A$3:$A$3390,R$1,'United Data'!$C$3:$C$3390,$A227,'United Data'!$B$3:$B$3390,"&lt;&gt;Off-street")&gt;0,1,0)</f>
        <v>0</v>
      </c>
      <c r="S227">
        <f t="shared" si="6"/>
        <v>3</v>
      </c>
      <c r="T227">
        <f t="shared" si="7"/>
        <v>3</v>
      </c>
    </row>
    <row r="228" spans="1:20" x14ac:dyDescent="0.2">
      <c r="A228" t="s">
        <v>299</v>
      </c>
      <c r="B228">
        <f>IF(COUNTIFS('United Data'!$A$3:$A$3390,B$1,'United Data'!$C$3:$C$3390,$A228,'United Data'!$B$3:$B$3390,"&lt;&gt;Off-street")&gt;0,1,0)</f>
        <v>0</v>
      </c>
      <c r="C228">
        <f>IF(COUNTIFS('United Data'!$A$3:$A$3390,C$1,'United Data'!$C$3:$C$3390,$A228,'United Data'!$B$3:$B$3390,"&lt;&gt;Off-street")&gt;0,1,0)</f>
        <v>0</v>
      </c>
      <c r="D228">
        <f>IF(COUNTIFS('United Data'!$A$3:$A$3390,D$1,'United Data'!$C$3:$C$3390,$A228,'United Data'!$B$3:$B$3390,"&lt;&gt;Off-street")&gt;0,1,0)</f>
        <v>0</v>
      </c>
      <c r="E228">
        <f>IF(COUNTIFS('United Data'!$A$3:$A$3390,E$1,'United Data'!$C$3:$C$3390,$A228,'United Data'!$B$3:$B$3390,"&lt;&gt;Off-street")&gt;0,1,0)</f>
        <v>0</v>
      </c>
      <c r="F228">
        <f>IF(COUNTIFS('United Data'!$A$3:$A$3390,F$1,'United Data'!$C$3:$C$3390,$A228,'United Data'!$B$3:$B$3390,"&lt;&gt;Off-street")&gt;0,1,0)</f>
        <v>0</v>
      </c>
      <c r="G228">
        <f>IF(COUNTIFS('United Data'!$A$3:$A$3390,G$1,'United Data'!$C$3:$C$3390,$A228,'United Data'!$B$3:$B$3390,"&lt;&gt;Off-street")&gt;0,1,0)</f>
        <v>0</v>
      </c>
      <c r="H228">
        <f>IF(COUNTIFS('United Data'!$A$3:$A$3390,H$1,'United Data'!$C$3:$C$3390,$A228,'United Data'!$B$3:$B$3390,"&lt;&gt;Off-street")&gt;0,1,0)</f>
        <v>0</v>
      </c>
      <c r="I228">
        <f>IF(COUNTIFS('United Data'!$A$3:$A$3390,I$1,'United Data'!$C$3:$C$3390,$A228,'United Data'!$B$3:$B$3390,"&lt;&gt;Off-street")&gt;0,1,0)</f>
        <v>1</v>
      </c>
      <c r="J228">
        <f>IF(COUNTIFS('United Data'!$A$3:$A$3390,J$1,'United Data'!$C$3:$C$3390,$A228,'United Data'!$B$3:$B$3390,"&lt;&gt;Off-street")&gt;0,1,0)</f>
        <v>0</v>
      </c>
      <c r="K228">
        <f>IF(COUNTIFS('United Data'!$A$3:$A$3390,K$1,'United Data'!$C$3:$C$3390,$A228,'United Data'!$B$3:$B$3390,"&lt;&gt;Off-street")&gt;0,1,0)</f>
        <v>0</v>
      </c>
      <c r="L228">
        <f>IF(COUNTIFS('United Data'!$A$3:$A$3390,L$1,'United Data'!$C$3:$C$3390,$A228,'United Data'!$B$3:$B$3390,"&lt;&gt;Off-street")&gt;0,1,0)</f>
        <v>0</v>
      </c>
      <c r="M228">
        <f>IF(COUNTIFS('United Data'!$A$3:$A$3390,M$1,'United Data'!$C$3:$C$3390,$A228,'United Data'!$B$3:$B$3390,"&lt;&gt;Off-street")&gt;0,1,0)</f>
        <v>0</v>
      </c>
      <c r="N228">
        <f>IF(COUNTIFS('United Data'!$A$3:$A$3390,N$1,'United Data'!$C$3:$C$3390,$A228,'United Data'!$B$3:$B$3390,"&lt;&gt;Off-street")&gt;0,1,0)</f>
        <v>0</v>
      </c>
      <c r="O228">
        <f>IF(COUNTIFS('United Data'!$A$3:$A$3390,O$1,'United Data'!$C$3:$C$3390,$A228,'United Data'!$B$3:$B$3390,"&lt;&gt;Off-street")&gt;0,1,0)</f>
        <v>0</v>
      </c>
      <c r="P228">
        <f>IF(COUNTIFS('United Data'!$A$3:$A$3390,P$1,'United Data'!$C$3:$C$3390,$A228,'United Data'!$B$3:$B$3390,"&lt;&gt;Off-street")&gt;0,1,0)</f>
        <v>0</v>
      </c>
      <c r="Q228">
        <f>IF(COUNTIFS('United Data'!$A$3:$A$3390,Q$1,'United Data'!$C$3:$C$3390,$A228,'United Data'!$B$3:$B$3390,"&lt;&gt;Off-street")&gt;0,1,0)</f>
        <v>0</v>
      </c>
      <c r="R228">
        <f>IF(COUNTIFS('United Data'!$A$3:$A$3390,R$1,'United Data'!$C$3:$C$3390,$A228,'United Data'!$B$3:$B$3390,"&lt;&gt;Off-street")&gt;0,1,0)</f>
        <v>0</v>
      </c>
      <c r="S228">
        <f t="shared" si="6"/>
        <v>1</v>
      </c>
      <c r="T228">
        <f t="shared" si="7"/>
        <v>1</v>
      </c>
    </row>
    <row r="229" spans="1:20" x14ac:dyDescent="0.2">
      <c r="A229" t="s">
        <v>300</v>
      </c>
      <c r="B229">
        <f>IF(COUNTIFS('United Data'!$A$3:$A$3390,B$1,'United Data'!$C$3:$C$3390,$A229,'United Data'!$B$3:$B$3390,"&lt;&gt;Off-street")&gt;0,1,0)</f>
        <v>0</v>
      </c>
      <c r="C229">
        <f>IF(COUNTIFS('United Data'!$A$3:$A$3390,C$1,'United Data'!$C$3:$C$3390,$A229,'United Data'!$B$3:$B$3390,"&lt;&gt;Off-street")&gt;0,1,0)</f>
        <v>0</v>
      </c>
      <c r="D229">
        <f>IF(COUNTIFS('United Data'!$A$3:$A$3390,D$1,'United Data'!$C$3:$C$3390,$A229,'United Data'!$B$3:$B$3390,"&lt;&gt;Off-street")&gt;0,1,0)</f>
        <v>0</v>
      </c>
      <c r="E229">
        <f>IF(COUNTIFS('United Data'!$A$3:$A$3390,E$1,'United Data'!$C$3:$C$3390,$A229,'United Data'!$B$3:$B$3390,"&lt;&gt;Off-street")&gt;0,1,0)</f>
        <v>0</v>
      </c>
      <c r="F229">
        <f>IF(COUNTIFS('United Data'!$A$3:$A$3390,F$1,'United Data'!$C$3:$C$3390,$A229,'United Data'!$B$3:$B$3390,"&lt;&gt;Off-street")&gt;0,1,0)</f>
        <v>0</v>
      </c>
      <c r="G229">
        <f>IF(COUNTIFS('United Data'!$A$3:$A$3390,G$1,'United Data'!$C$3:$C$3390,$A229,'United Data'!$B$3:$B$3390,"&lt;&gt;Off-street")&gt;0,1,0)</f>
        <v>0</v>
      </c>
      <c r="H229">
        <f>IF(COUNTIFS('United Data'!$A$3:$A$3390,H$1,'United Data'!$C$3:$C$3390,$A229,'United Data'!$B$3:$B$3390,"&lt;&gt;Off-street")&gt;0,1,0)</f>
        <v>0</v>
      </c>
      <c r="I229">
        <f>IF(COUNTIFS('United Data'!$A$3:$A$3390,I$1,'United Data'!$C$3:$C$3390,$A229,'United Data'!$B$3:$B$3390,"&lt;&gt;Off-street")&gt;0,1,0)</f>
        <v>0</v>
      </c>
      <c r="J229">
        <f>IF(COUNTIFS('United Data'!$A$3:$A$3390,J$1,'United Data'!$C$3:$C$3390,$A229,'United Data'!$B$3:$B$3390,"&lt;&gt;Off-street")&gt;0,1,0)</f>
        <v>1</v>
      </c>
      <c r="K229">
        <f>IF(COUNTIFS('United Data'!$A$3:$A$3390,K$1,'United Data'!$C$3:$C$3390,$A229,'United Data'!$B$3:$B$3390,"&lt;&gt;Off-street")&gt;0,1,0)</f>
        <v>0</v>
      </c>
      <c r="L229">
        <f>IF(COUNTIFS('United Data'!$A$3:$A$3390,L$1,'United Data'!$C$3:$C$3390,$A229,'United Data'!$B$3:$B$3390,"&lt;&gt;Off-street")&gt;0,1,0)</f>
        <v>0</v>
      </c>
      <c r="M229">
        <f>IF(COUNTIFS('United Data'!$A$3:$A$3390,M$1,'United Data'!$C$3:$C$3390,$A229,'United Data'!$B$3:$B$3390,"&lt;&gt;Off-street")&gt;0,1,0)</f>
        <v>0</v>
      </c>
      <c r="N229">
        <f>IF(COUNTIFS('United Data'!$A$3:$A$3390,N$1,'United Data'!$C$3:$C$3390,$A229,'United Data'!$B$3:$B$3390,"&lt;&gt;Off-street")&gt;0,1,0)</f>
        <v>0</v>
      </c>
      <c r="O229">
        <f>IF(COUNTIFS('United Data'!$A$3:$A$3390,O$1,'United Data'!$C$3:$C$3390,$A229,'United Data'!$B$3:$B$3390,"&lt;&gt;Off-street")&gt;0,1,0)</f>
        <v>0</v>
      </c>
      <c r="P229">
        <f>IF(COUNTIFS('United Data'!$A$3:$A$3390,P$1,'United Data'!$C$3:$C$3390,$A229,'United Data'!$B$3:$B$3390,"&lt;&gt;Off-street")&gt;0,1,0)</f>
        <v>0</v>
      </c>
      <c r="Q229">
        <f>IF(COUNTIFS('United Data'!$A$3:$A$3390,Q$1,'United Data'!$C$3:$C$3390,$A229,'United Data'!$B$3:$B$3390,"&lt;&gt;Off-street")&gt;0,1,0)</f>
        <v>0</v>
      </c>
      <c r="R229">
        <f>IF(COUNTIFS('United Data'!$A$3:$A$3390,R$1,'United Data'!$C$3:$C$3390,$A229,'United Data'!$B$3:$B$3390,"&lt;&gt;Off-street")&gt;0,1,0)</f>
        <v>0</v>
      </c>
      <c r="S229">
        <f t="shared" si="6"/>
        <v>1</v>
      </c>
      <c r="T229">
        <f t="shared" si="7"/>
        <v>1</v>
      </c>
    </row>
    <row r="230" spans="1:20" x14ac:dyDescent="0.2">
      <c r="A230" t="s">
        <v>301</v>
      </c>
      <c r="B230">
        <f>IF(COUNTIFS('United Data'!$A$3:$A$3390,B$1,'United Data'!$C$3:$C$3390,$A230,'United Data'!$B$3:$B$3390,"&lt;&gt;Off-street")&gt;0,1,0)</f>
        <v>0</v>
      </c>
      <c r="C230">
        <f>IF(COUNTIFS('United Data'!$A$3:$A$3390,C$1,'United Data'!$C$3:$C$3390,$A230,'United Data'!$B$3:$B$3390,"&lt;&gt;Off-street")&gt;0,1,0)</f>
        <v>0</v>
      </c>
      <c r="D230">
        <f>IF(COUNTIFS('United Data'!$A$3:$A$3390,D$1,'United Data'!$C$3:$C$3390,$A230,'United Data'!$B$3:$B$3390,"&lt;&gt;Off-street")&gt;0,1,0)</f>
        <v>0</v>
      </c>
      <c r="E230">
        <f>IF(COUNTIFS('United Data'!$A$3:$A$3390,E$1,'United Data'!$C$3:$C$3390,$A230,'United Data'!$B$3:$B$3390,"&lt;&gt;Off-street")&gt;0,1,0)</f>
        <v>0</v>
      </c>
      <c r="F230">
        <f>IF(COUNTIFS('United Data'!$A$3:$A$3390,F$1,'United Data'!$C$3:$C$3390,$A230,'United Data'!$B$3:$B$3390,"&lt;&gt;Off-street")&gt;0,1,0)</f>
        <v>0</v>
      </c>
      <c r="G230">
        <f>IF(COUNTIFS('United Data'!$A$3:$A$3390,G$1,'United Data'!$C$3:$C$3390,$A230,'United Data'!$B$3:$B$3390,"&lt;&gt;Off-street")&gt;0,1,0)</f>
        <v>0</v>
      </c>
      <c r="H230">
        <f>IF(COUNTIFS('United Data'!$A$3:$A$3390,H$1,'United Data'!$C$3:$C$3390,$A230,'United Data'!$B$3:$B$3390,"&lt;&gt;Off-street")&gt;0,1,0)</f>
        <v>0</v>
      </c>
      <c r="I230">
        <f>IF(COUNTIFS('United Data'!$A$3:$A$3390,I$1,'United Data'!$C$3:$C$3390,$A230,'United Data'!$B$3:$B$3390,"&lt;&gt;Off-street")&gt;0,1,0)</f>
        <v>0</v>
      </c>
      <c r="J230">
        <f>IF(COUNTIFS('United Data'!$A$3:$A$3390,J$1,'United Data'!$C$3:$C$3390,$A230,'United Data'!$B$3:$B$3390,"&lt;&gt;Off-street")&gt;0,1,0)</f>
        <v>0</v>
      </c>
      <c r="K230">
        <f>IF(COUNTIFS('United Data'!$A$3:$A$3390,K$1,'United Data'!$C$3:$C$3390,$A230,'United Data'!$B$3:$B$3390,"&lt;&gt;Off-street")&gt;0,1,0)</f>
        <v>1</v>
      </c>
      <c r="L230">
        <f>IF(COUNTIFS('United Data'!$A$3:$A$3390,L$1,'United Data'!$C$3:$C$3390,$A230,'United Data'!$B$3:$B$3390,"&lt;&gt;Off-street")&gt;0,1,0)</f>
        <v>0</v>
      </c>
      <c r="M230">
        <f>IF(COUNTIFS('United Data'!$A$3:$A$3390,M$1,'United Data'!$C$3:$C$3390,$A230,'United Data'!$B$3:$B$3390,"&lt;&gt;Off-street")&gt;0,1,0)</f>
        <v>0</v>
      </c>
      <c r="N230">
        <f>IF(COUNTIFS('United Data'!$A$3:$A$3390,N$1,'United Data'!$C$3:$C$3390,$A230,'United Data'!$B$3:$B$3390,"&lt;&gt;Off-street")&gt;0,1,0)</f>
        <v>0</v>
      </c>
      <c r="O230">
        <f>IF(COUNTIFS('United Data'!$A$3:$A$3390,O$1,'United Data'!$C$3:$C$3390,$A230,'United Data'!$B$3:$B$3390,"&lt;&gt;Off-street")&gt;0,1,0)</f>
        <v>0</v>
      </c>
      <c r="P230">
        <f>IF(COUNTIFS('United Data'!$A$3:$A$3390,P$1,'United Data'!$C$3:$C$3390,$A230,'United Data'!$B$3:$B$3390,"&lt;&gt;Off-street")&gt;0,1,0)</f>
        <v>0</v>
      </c>
      <c r="Q230">
        <f>IF(COUNTIFS('United Data'!$A$3:$A$3390,Q$1,'United Data'!$C$3:$C$3390,$A230,'United Data'!$B$3:$B$3390,"&lt;&gt;Off-street")&gt;0,1,0)</f>
        <v>0</v>
      </c>
      <c r="R230">
        <f>IF(COUNTIFS('United Data'!$A$3:$A$3390,R$1,'United Data'!$C$3:$C$3390,$A230,'United Data'!$B$3:$B$3390,"&lt;&gt;Off-street")&gt;0,1,0)</f>
        <v>0</v>
      </c>
      <c r="S230">
        <f t="shared" si="6"/>
        <v>1</v>
      </c>
      <c r="T230">
        <f t="shared" si="7"/>
        <v>1</v>
      </c>
    </row>
    <row r="231" spans="1:20" x14ac:dyDescent="0.2">
      <c r="A231" t="s">
        <v>302</v>
      </c>
      <c r="B231">
        <f>IF(COUNTIFS('United Data'!$A$3:$A$3390,B$1,'United Data'!$C$3:$C$3390,$A231,'United Data'!$B$3:$B$3390,"&lt;&gt;Off-street")&gt;0,1,0)</f>
        <v>0</v>
      </c>
      <c r="C231">
        <f>IF(COUNTIFS('United Data'!$A$3:$A$3390,C$1,'United Data'!$C$3:$C$3390,$A231,'United Data'!$B$3:$B$3390,"&lt;&gt;Off-street")&gt;0,1,0)</f>
        <v>0</v>
      </c>
      <c r="D231">
        <f>IF(COUNTIFS('United Data'!$A$3:$A$3390,D$1,'United Data'!$C$3:$C$3390,$A231,'United Data'!$B$3:$B$3390,"&lt;&gt;Off-street")&gt;0,1,0)</f>
        <v>0</v>
      </c>
      <c r="E231">
        <f>IF(COUNTIFS('United Data'!$A$3:$A$3390,E$1,'United Data'!$C$3:$C$3390,$A231,'United Data'!$B$3:$B$3390,"&lt;&gt;Off-street")&gt;0,1,0)</f>
        <v>0</v>
      </c>
      <c r="F231">
        <f>IF(COUNTIFS('United Data'!$A$3:$A$3390,F$1,'United Data'!$C$3:$C$3390,$A231,'United Data'!$B$3:$B$3390,"&lt;&gt;Off-street")&gt;0,1,0)</f>
        <v>0</v>
      </c>
      <c r="G231">
        <f>IF(COUNTIFS('United Data'!$A$3:$A$3390,G$1,'United Data'!$C$3:$C$3390,$A231,'United Data'!$B$3:$B$3390,"&lt;&gt;Off-street")&gt;0,1,0)</f>
        <v>0</v>
      </c>
      <c r="H231">
        <f>IF(COUNTIFS('United Data'!$A$3:$A$3390,H$1,'United Data'!$C$3:$C$3390,$A231,'United Data'!$B$3:$B$3390,"&lt;&gt;Off-street")&gt;0,1,0)</f>
        <v>0</v>
      </c>
      <c r="I231">
        <f>IF(COUNTIFS('United Data'!$A$3:$A$3390,I$1,'United Data'!$C$3:$C$3390,$A231,'United Data'!$B$3:$B$3390,"&lt;&gt;Off-street")&gt;0,1,0)</f>
        <v>0</v>
      </c>
      <c r="J231">
        <f>IF(COUNTIFS('United Data'!$A$3:$A$3390,J$1,'United Data'!$C$3:$C$3390,$A231,'United Data'!$B$3:$B$3390,"&lt;&gt;Off-street")&gt;0,1,0)</f>
        <v>0</v>
      </c>
      <c r="K231">
        <f>IF(COUNTIFS('United Data'!$A$3:$A$3390,K$1,'United Data'!$C$3:$C$3390,$A231,'United Data'!$B$3:$B$3390,"&lt;&gt;Off-street")&gt;0,1,0)</f>
        <v>0</v>
      </c>
      <c r="L231">
        <f>IF(COUNTIFS('United Data'!$A$3:$A$3390,L$1,'United Data'!$C$3:$C$3390,$A231,'United Data'!$B$3:$B$3390,"&lt;&gt;Off-street")&gt;0,1,0)</f>
        <v>1</v>
      </c>
      <c r="M231">
        <f>IF(COUNTIFS('United Data'!$A$3:$A$3390,M$1,'United Data'!$C$3:$C$3390,$A231,'United Data'!$B$3:$B$3390,"&lt;&gt;Off-street")&gt;0,1,0)</f>
        <v>1</v>
      </c>
      <c r="N231">
        <f>IF(COUNTIFS('United Data'!$A$3:$A$3390,N$1,'United Data'!$C$3:$C$3390,$A231,'United Data'!$B$3:$B$3390,"&lt;&gt;Off-street")&gt;0,1,0)</f>
        <v>1</v>
      </c>
      <c r="O231">
        <f>IF(COUNTIFS('United Data'!$A$3:$A$3390,O$1,'United Data'!$C$3:$C$3390,$A231,'United Data'!$B$3:$B$3390,"&lt;&gt;Off-street")&gt;0,1,0)</f>
        <v>0</v>
      </c>
      <c r="P231">
        <f>IF(COUNTIFS('United Data'!$A$3:$A$3390,P$1,'United Data'!$C$3:$C$3390,$A231,'United Data'!$B$3:$B$3390,"&lt;&gt;Off-street")&gt;0,1,0)</f>
        <v>0</v>
      </c>
      <c r="Q231">
        <f>IF(COUNTIFS('United Data'!$A$3:$A$3390,Q$1,'United Data'!$C$3:$C$3390,$A231,'United Data'!$B$3:$B$3390,"&lt;&gt;Off-street")&gt;0,1,0)</f>
        <v>0</v>
      </c>
      <c r="R231">
        <f>IF(COUNTIFS('United Data'!$A$3:$A$3390,R$1,'United Data'!$C$3:$C$3390,$A231,'United Data'!$B$3:$B$3390,"&lt;&gt;Off-street")&gt;0,1,0)</f>
        <v>0</v>
      </c>
      <c r="S231">
        <f t="shared" si="6"/>
        <v>3</v>
      </c>
      <c r="T231">
        <f t="shared" si="7"/>
        <v>1</v>
      </c>
    </row>
    <row r="232" spans="1:20" x14ac:dyDescent="0.2">
      <c r="A232" t="s">
        <v>303</v>
      </c>
      <c r="B232">
        <f>IF(COUNTIFS('United Data'!$A$3:$A$3390,B$1,'United Data'!$C$3:$C$3390,$A232,'United Data'!$B$3:$B$3390,"&lt;&gt;Off-street")&gt;0,1,0)</f>
        <v>0</v>
      </c>
      <c r="C232">
        <f>IF(COUNTIFS('United Data'!$A$3:$A$3390,C$1,'United Data'!$C$3:$C$3390,$A232,'United Data'!$B$3:$B$3390,"&lt;&gt;Off-street")&gt;0,1,0)</f>
        <v>0</v>
      </c>
      <c r="D232">
        <f>IF(COUNTIFS('United Data'!$A$3:$A$3390,D$1,'United Data'!$C$3:$C$3390,$A232,'United Data'!$B$3:$B$3390,"&lt;&gt;Off-street")&gt;0,1,0)</f>
        <v>0</v>
      </c>
      <c r="E232">
        <f>IF(COUNTIFS('United Data'!$A$3:$A$3390,E$1,'United Data'!$C$3:$C$3390,$A232,'United Data'!$B$3:$B$3390,"&lt;&gt;Off-street")&gt;0,1,0)</f>
        <v>0</v>
      </c>
      <c r="F232">
        <f>IF(COUNTIFS('United Data'!$A$3:$A$3390,F$1,'United Data'!$C$3:$C$3390,$A232,'United Data'!$B$3:$B$3390,"&lt;&gt;Off-street")&gt;0,1,0)</f>
        <v>0</v>
      </c>
      <c r="G232">
        <f>IF(COUNTIFS('United Data'!$A$3:$A$3390,G$1,'United Data'!$C$3:$C$3390,$A232,'United Data'!$B$3:$B$3390,"&lt;&gt;Off-street")&gt;0,1,0)</f>
        <v>0</v>
      </c>
      <c r="H232">
        <f>IF(COUNTIFS('United Data'!$A$3:$A$3390,H$1,'United Data'!$C$3:$C$3390,$A232,'United Data'!$B$3:$B$3390,"&lt;&gt;Off-street")&gt;0,1,0)</f>
        <v>0</v>
      </c>
      <c r="I232">
        <f>IF(COUNTIFS('United Data'!$A$3:$A$3390,I$1,'United Data'!$C$3:$C$3390,$A232,'United Data'!$B$3:$B$3390,"&lt;&gt;Off-street")&gt;0,1,0)</f>
        <v>0</v>
      </c>
      <c r="J232">
        <f>IF(COUNTIFS('United Data'!$A$3:$A$3390,J$1,'United Data'!$C$3:$C$3390,$A232,'United Data'!$B$3:$B$3390,"&lt;&gt;Off-street")&gt;0,1,0)</f>
        <v>0</v>
      </c>
      <c r="K232">
        <f>IF(COUNTIFS('United Data'!$A$3:$A$3390,K$1,'United Data'!$C$3:$C$3390,$A232,'United Data'!$B$3:$B$3390,"&lt;&gt;Off-street")&gt;0,1,0)</f>
        <v>0</v>
      </c>
      <c r="L232">
        <f>IF(COUNTIFS('United Data'!$A$3:$A$3390,L$1,'United Data'!$C$3:$C$3390,$A232,'United Data'!$B$3:$B$3390,"&lt;&gt;Off-street")&gt;0,1,0)</f>
        <v>1</v>
      </c>
      <c r="M232">
        <f>IF(COUNTIFS('United Data'!$A$3:$A$3390,M$1,'United Data'!$C$3:$C$3390,$A232,'United Data'!$B$3:$B$3390,"&lt;&gt;Off-street")&gt;0,1,0)</f>
        <v>1</v>
      </c>
      <c r="N232">
        <f>IF(COUNTIFS('United Data'!$A$3:$A$3390,N$1,'United Data'!$C$3:$C$3390,$A232,'United Data'!$B$3:$B$3390,"&lt;&gt;Off-street")&gt;0,1,0)</f>
        <v>1</v>
      </c>
      <c r="O232">
        <f>IF(COUNTIFS('United Data'!$A$3:$A$3390,O$1,'United Data'!$C$3:$C$3390,$A232,'United Data'!$B$3:$B$3390,"&lt;&gt;Off-street")&gt;0,1,0)</f>
        <v>0</v>
      </c>
      <c r="P232">
        <f>IF(COUNTIFS('United Data'!$A$3:$A$3390,P$1,'United Data'!$C$3:$C$3390,$A232,'United Data'!$B$3:$B$3390,"&lt;&gt;Off-street")&gt;0,1,0)</f>
        <v>0</v>
      </c>
      <c r="Q232">
        <f>IF(COUNTIFS('United Data'!$A$3:$A$3390,Q$1,'United Data'!$C$3:$C$3390,$A232,'United Data'!$B$3:$B$3390,"&lt;&gt;Off-street")&gt;0,1,0)</f>
        <v>0</v>
      </c>
      <c r="R232">
        <f>IF(COUNTIFS('United Data'!$A$3:$A$3390,R$1,'United Data'!$C$3:$C$3390,$A232,'United Data'!$B$3:$B$3390,"&lt;&gt;Off-street")&gt;0,1,0)</f>
        <v>0</v>
      </c>
      <c r="S232">
        <f t="shared" si="6"/>
        <v>3</v>
      </c>
      <c r="T232">
        <f t="shared" si="7"/>
        <v>1</v>
      </c>
    </row>
    <row r="233" spans="1:20" x14ac:dyDescent="0.2">
      <c r="A233" t="s">
        <v>304</v>
      </c>
      <c r="B233">
        <f>IF(COUNTIFS('United Data'!$A$3:$A$3390,B$1,'United Data'!$C$3:$C$3390,$A233,'United Data'!$B$3:$B$3390,"&lt;&gt;Off-street")&gt;0,1,0)</f>
        <v>0</v>
      </c>
      <c r="C233">
        <f>IF(COUNTIFS('United Data'!$A$3:$A$3390,C$1,'United Data'!$C$3:$C$3390,$A233,'United Data'!$B$3:$B$3390,"&lt;&gt;Off-street")&gt;0,1,0)</f>
        <v>0</v>
      </c>
      <c r="D233">
        <f>IF(COUNTIFS('United Data'!$A$3:$A$3390,D$1,'United Data'!$C$3:$C$3390,$A233,'United Data'!$B$3:$B$3390,"&lt;&gt;Off-street")&gt;0,1,0)</f>
        <v>0</v>
      </c>
      <c r="E233">
        <f>IF(COUNTIFS('United Data'!$A$3:$A$3390,E$1,'United Data'!$C$3:$C$3390,$A233,'United Data'!$B$3:$B$3390,"&lt;&gt;Off-street")&gt;0,1,0)</f>
        <v>0</v>
      </c>
      <c r="F233">
        <f>IF(COUNTIFS('United Data'!$A$3:$A$3390,F$1,'United Data'!$C$3:$C$3390,$A233,'United Data'!$B$3:$B$3390,"&lt;&gt;Off-street")&gt;0,1,0)</f>
        <v>0</v>
      </c>
      <c r="G233">
        <f>IF(COUNTIFS('United Data'!$A$3:$A$3390,G$1,'United Data'!$C$3:$C$3390,$A233,'United Data'!$B$3:$B$3390,"&lt;&gt;Off-street")&gt;0,1,0)</f>
        <v>0</v>
      </c>
      <c r="H233">
        <f>IF(COUNTIFS('United Data'!$A$3:$A$3390,H$1,'United Data'!$C$3:$C$3390,$A233,'United Data'!$B$3:$B$3390,"&lt;&gt;Off-street")&gt;0,1,0)</f>
        <v>0</v>
      </c>
      <c r="I233">
        <f>IF(COUNTIFS('United Data'!$A$3:$A$3390,I$1,'United Data'!$C$3:$C$3390,$A233,'United Data'!$B$3:$B$3390,"&lt;&gt;Off-street")&gt;0,1,0)</f>
        <v>0</v>
      </c>
      <c r="J233">
        <f>IF(COUNTIFS('United Data'!$A$3:$A$3390,J$1,'United Data'!$C$3:$C$3390,$A233,'United Data'!$B$3:$B$3390,"&lt;&gt;Off-street")&gt;0,1,0)</f>
        <v>0</v>
      </c>
      <c r="K233">
        <f>IF(COUNTIFS('United Data'!$A$3:$A$3390,K$1,'United Data'!$C$3:$C$3390,$A233,'United Data'!$B$3:$B$3390,"&lt;&gt;Off-street")&gt;0,1,0)</f>
        <v>0</v>
      </c>
      <c r="L233">
        <f>IF(COUNTIFS('United Data'!$A$3:$A$3390,L$1,'United Data'!$C$3:$C$3390,$A233,'United Data'!$B$3:$B$3390,"&lt;&gt;Off-street")&gt;0,1,0)</f>
        <v>0</v>
      </c>
      <c r="M233">
        <f>IF(COUNTIFS('United Data'!$A$3:$A$3390,M$1,'United Data'!$C$3:$C$3390,$A233,'United Data'!$B$3:$B$3390,"&lt;&gt;Off-street")&gt;0,1,0)</f>
        <v>1</v>
      </c>
      <c r="N233">
        <f>IF(COUNTIFS('United Data'!$A$3:$A$3390,N$1,'United Data'!$C$3:$C$3390,$A233,'United Data'!$B$3:$B$3390,"&lt;&gt;Off-street")&gt;0,1,0)</f>
        <v>0</v>
      </c>
      <c r="O233">
        <f>IF(COUNTIFS('United Data'!$A$3:$A$3390,O$1,'United Data'!$C$3:$C$3390,$A233,'United Data'!$B$3:$B$3390,"&lt;&gt;Off-street")&gt;0,1,0)</f>
        <v>1</v>
      </c>
      <c r="P233">
        <f>IF(COUNTIFS('United Data'!$A$3:$A$3390,P$1,'United Data'!$C$3:$C$3390,$A233,'United Data'!$B$3:$B$3390,"&lt;&gt;Off-street")&gt;0,1,0)</f>
        <v>0</v>
      </c>
      <c r="Q233">
        <f>IF(COUNTIFS('United Data'!$A$3:$A$3390,Q$1,'United Data'!$C$3:$C$3390,$A233,'United Data'!$B$3:$B$3390,"&lt;&gt;Off-street")&gt;0,1,0)</f>
        <v>0</v>
      </c>
      <c r="R233">
        <f>IF(COUNTIFS('United Data'!$A$3:$A$3390,R$1,'United Data'!$C$3:$C$3390,$A233,'United Data'!$B$3:$B$3390,"&lt;&gt;Off-street")&gt;0,1,0)</f>
        <v>0</v>
      </c>
      <c r="S233">
        <f t="shared" si="6"/>
        <v>2</v>
      </c>
      <c r="T233">
        <f t="shared" si="7"/>
        <v>2</v>
      </c>
    </row>
    <row r="234" spans="1:20" x14ac:dyDescent="0.2">
      <c r="A234" t="s">
        <v>305</v>
      </c>
      <c r="B234">
        <f>IF(COUNTIFS('United Data'!$A$3:$A$3390,B$1,'United Data'!$C$3:$C$3390,$A234,'United Data'!$B$3:$B$3390,"&lt;&gt;Off-street")&gt;0,1,0)</f>
        <v>0</v>
      </c>
      <c r="C234">
        <f>IF(COUNTIFS('United Data'!$A$3:$A$3390,C$1,'United Data'!$C$3:$C$3390,$A234,'United Data'!$B$3:$B$3390,"&lt;&gt;Off-street")&gt;0,1,0)</f>
        <v>0</v>
      </c>
      <c r="D234">
        <f>IF(COUNTIFS('United Data'!$A$3:$A$3390,D$1,'United Data'!$C$3:$C$3390,$A234,'United Data'!$B$3:$B$3390,"&lt;&gt;Off-street")&gt;0,1,0)</f>
        <v>0</v>
      </c>
      <c r="E234">
        <f>IF(COUNTIFS('United Data'!$A$3:$A$3390,E$1,'United Data'!$C$3:$C$3390,$A234,'United Data'!$B$3:$B$3390,"&lt;&gt;Off-street")&gt;0,1,0)</f>
        <v>0</v>
      </c>
      <c r="F234">
        <f>IF(COUNTIFS('United Data'!$A$3:$A$3390,F$1,'United Data'!$C$3:$C$3390,$A234,'United Data'!$B$3:$B$3390,"&lt;&gt;Off-street")&gt;0,1,0)</f>
        <v>0</v>
      </c>
      <c r="G234">
        <f>IF(COUNTIFS('United Data'!$A$3:$A$3390,G$1,'United Data'!$C$3:$C$3390,$A234,'United Data'!$B$3:$B$3390,"&lt;&gt;Off-street")&gt;0,1,0)</f>
        <v>0</v>
      </c>
      <c r="H234">
        <f>IF(COUNTIFS('United Data'!$A$3:$A$3390,H$1,'United Data'!$C$3:$C$3390,$A234,'United Data'!$B$3:$B$3390,"&lt;&gt;Off-street")&gt;0,1,0)</f>
        <v>0</v>
      </c>
      <c r="I234">
        <f>IF(COUNTIFS('United Data'!$A$3:$A$3390,I$1,'United Data'!$C$3:$C$3390,$A234,'United Data'!$B$3:$B$3390,"&lt;&gt;Off-street")&gt;0,1,0)</f>
        <v>0</v>
      </c>
      <c r="J234">
        <f>IF(COUNTIFS('United Data'!$A$3:$A$3390,J$1,'United Data'!$C$3:$C$3390,$A234,'United Data'!$B$3:$B$3390,"&lt;&gt;Off-street")&gt;0,1,0)</f>
        <v>0</v>
      </c>
      <c r="K234">
        <f>IF(COUNTIFS('United Data'!$A$3:$A$3390,K$1,'United Data'!$C$3:$C$3390,$A234,'United Data'!$B$3:$B$3390,"&lt;&gt;Off-street")&gt;0,1,0)</f>
        <v>0</v>
      </c>
      <c r="L234">
        <f>IF(COUNTIFS('United Data'!$A$3:$A$3390,L$1,'United Data'!$C$3:$C$3390,$A234,'United Data'!$B$3:$B$3390,"&lt;&gt;Off-street")&gt;0,1,0)</f>
        <v>0</v>
      </c>
      <c r="M234">
        <f>IF(COUNTIFS('United Data'!$A$3:$A$3390,M$1,'United Data'!$C$3:$C$3390,$A234,'United Data'!$B$3:$B$3390,"&lt;&gt;Off-street")&gt;0,1,0)</f>
        <v>0</v>
      </c>
      <c r="N234">
        <f>IF(COUNTIFS('United Data'!$A$3:$A$3390,N$1,'United Data'!$C$3:$C$3390,$A234,'United Data'!$B$3:$B$3390,"&lt;&gt;Off-street")&gt;0,1,0)</f>
        <v>1</v>
      </c>
      <c r="O234">
        <f>IF(COUNTIFS('United Data'!$A$3:$A$3390,O$1,'United Data'!$C$3:$C$3390,$A234,'United Data'!$B$3:$B$3390,"&lt;&gt;Off-street")&gt;0,1,0)</f>
        <v>0</v>
      </c>
      <c r="P234">
        <f>IF(COUNTIFS('United Data'!$A$3:$A$3390,P$1,'United Data'!$C$3:$C$3390,$A234,'United Data'!$B$3:$B$3390,"&lt;&gt;Off-street")&gt;0,1,0)</f>
        <v>0</v>
      </c>
      <c r="Q234">
        <f>IF(COUNTIFS('United Data'!$A$3:$A$3390,Q$1,'United Data'!$C$3:$C$3390,$A234,'United Data'!$B$3:$B$3390,"&lt;&gt;Off-street")&gt;0,1,0)</f>
        <v>0</v>
      </c>
      <c r="R234">
        <f>IF(COUNTIFS('United Data'!$A$3:$A$3390,R$1,'United Data'!$C$3:$C$3390,$A234,'United Data'!$B$3:$B$3390,"&lt;&gt;Off-street")&gt;0,1,0)</f>
        <v>0</v>
      </c>
      <c r="S234">
        <f t="shared" si="6"/>
        <v>1</v>
      </c>
      <c r="T234">
        <f t="shared" si="7"/>
        <v>1</v>
      </c>
    </row>
    <row r="235" spans="1:20" x14ac:dyDescent="0.2">
      <c r="A235" t="s">
        <v>306</v>
      </c>
      <c r="B235">
        <f>IF(COUNTIFS('United Data'!$A$3:$A$3390,B$1,'United Data'!$C$3:$C$3390,$A235,'United Data'!$B$3:$B$3390,"&lt;&gt;Off-street")&gt;0,1,0)</f>
        <v>0</v>
      </c>
      <c r="C235">
        <f>IF(COUNTIFS('United Data'!$A$3:$A$3390,C$1,'United Data'!$C$3:$C$3390,$A235,'United Data'!$B$3:$B$3390,"&lt;&gt;Off-street")&gt;0,1,0)</f>
        <v>0</v>
      </c>
      <c r="D235">
        <f>IF(COUNTIFS('United Data'!$A$3:$A$3390,D$1,'United Data'!$C$3:$C$3390,$A235,'United Data'!$B$3:$B$3390,"&lt;&gt;Off-street")&gt;0,1,0)</f>
        <v>0</v>
      </c>
      <c r="E235">
        <f>IF(COUNTIFS('United Data'!$A$3:$A$3390,E$1,'United Data'!$C$3:$C$3390,$A235,'United Data'!$B$3:$B$3390,"&lt;&gt;Off-street")&gt;0,1,0)</f>
        <v>0</v>
      </c>
      <c r="F235">
        <f>IF(COUNTIFS('United Data'!$A$3:$A$3390,F$1,'United Data'!$C$3:$C$3390,$A235,'United Data'!$B$3:$B$3390,"&lt;&gt;Off-street")&gt;0,1,0)</f>
        <v>0</v>
      </c>
      <c r="G235">
        <f>IF(COUNTIFS('United Data'!$A$3:$A$3390,G$1,'United Data'!$C$3:$C$3390,$A235,'United Data'!$B$3:$B$3390,"&lt;&gt;Off-street")&gt;0,1,0)</f>
        <v>0</v>
      </c>
      <c r="H235">
        <f>IF(COUNTIFS('United Data'!$A$3:$A$3390,H$1,'United Data'!$C$3:$C$3390,$A235,'United Data'!$B$3:$B$3390,"&lt;&gt;Off-street")&gt;0,1,0)</f>
        <v>0</v>
      </c>
      <c r="I235">
        <f>IF(COUNTIFS('United Data'!$A$3:$A$3390,I$1,'United Data'!$C$3:$C$3390,$A235,'United Data'!$B$3:$B$3390,"&lt;&gt;Off-street")&gt;0,1,0)</f>
        <v>0</v>
      </c>
      <c r="J235">
        <f>IF(COUNTIFS('United Data'!$A$3:$A$3390,J$1,'United Data'!$C$3:$C$3390,$A235,'United Data'!$B$3:$B$3390,"&lt;&gt;Off-street")&gt;0,1,0)</f>
        <v>0</v>
      </c>
      <c r="K235">
        <f>IF(COUNTIFS('United Data'!$A$3:$A$3390,K$1,'United Data'!$C$3:$C$3390,$A235,'United Data'!$B$3:$B$3390,"&lt;&gt;Off-street")&gt;0,1,0)</f>
        <v>0</v>
      </c>
      <c r="L235">
        <f>IF(COUNTIFS('United Data'!$A$3:$A$3390,L$1,'United Data'!$C$3:$C$3390,$A235,'United Data'!$B$3:$B$3390,"&lt;&gt;Off-street")&gt;0,1,0)</f>
        <v>0</v>
      </c>
      <c r="M235">
        <f>IF(COUNTIFS('United Data'!$A$3:$A$3390,M$1,'United Data'!$C$3:$C$3390,$A235,'United Data'!$B$3:$B$3390,"&lt;&gt;Off-street")&gt;0,1,0)</f>
        <v>0</v>
      </c>
      <c r="N235">
        <f>IF(COUNTIFS('United Data'!$A$3:$A$3390,N$1,'United Data'!$C$3:$C$3390,$A235,'United Data'!$B$3:$B$3390,"&lt;&gt;Off-street")&gt;0,1,0)</f>
        <v>1</v>
      </c>
      <c r="O235">
        <f>IF(COUNTIFS('United Data'!$A$3:$A$3390,O$1,'United Data'!$C$3:$C$3390,$A235,'United Data'!$B$3:$B$3390,"&lt;&gt;Off-street")&gt;0,1,0)</f>
        <v>0</v>
      </c>
      <c r="P235">
        <f>IF(COUNTIFS('United Data'!$A$3:$A$3390,P$1,'United Data'!$C$3:$C$3390,$A235,'United Data'!$B$3:$B$3390,"&lt;&gt;Off-street")&gt;0,1,0)</f>
        <v>0</v>
      </c>
      <c r="Q235">
        <f>IF(COUNTIFS('United Data'!$A$3:$A$3390,Q$1,'United Data'!$C$3:$C$3390,$A235,'United Data'!$B$3:$B$3390,"&lt;&gt;Off-street")&gt;0,1,0)</f>
        <v>0</v>
      </c>
      <c r="R235">
        <f>IF(COUNTIFS('United Data'!$A$3:$A$3390,R$1,'United Data'!$C$3:$C$3390,$A235,'United Data'!$B$3:$B$3390,"&lt;&gt;Off-street")&gt;0,1,0)</f>
        <v>0</v>
      </c>
      <c r="S235">
        <f t="shared" si="6"/>
        <v>1</v>
      </c>
      <c r="T235">
        <f t="shared" si="7"/>
        <v>1</v>
      </c>
    </row>
    <row r="236" spans="1:20" x14ac:dyDescent="0.2">
      <c r="A236" t="s">
        <v>307</v>
      </c>
      <c r="B236">
        <f>IF(COUNTIFS('United Data'!$A$3:$A$3390,B$1,'United Data'!$C$3:$C$3390,$A236,'United Data'!$B$3:$B$3390,"&lt;&gt;Off-street")&gt;0,1,0)</f>
        <v>0</v>
      </c>
      <c r="C236">
        <f>IF(COUNTIFS('United Data'!$A$3:$A$3390,C$1,'United Data'!$C$3:$C$3390,$A236,'United Data'!$B$3:$B$3390,"&lt;&gt;Off-street")&gt;0,1,0)</f>
        <v>0</v>
      </c>
      <c r="D236">
        <f>IF(COUNTIFS('United Data'!$A$3:$A$3390,D$1,'United Data'!$C$3:$C$3390,$A236,'United Data'!$B$3:$B$3390,"&lt;&gt;Off-street")&gt;0,1,0)</f>
        <v>0</v>
      </c>
      <c r="E236">
        <f>IF(COUNTIFS('United Data'!$A$3:$A$3390,E$1,'United Data'!$C$3:$C$3390,$A236,'United Data'!$B$3:$B$3390,"&lt;&gt;Off-street")&gt;0,1,0)</f>
        <v>0</v>
      </c>
      <c r="F236">
        <f>IF(COUNTIFS('United Data'!$A$3:$A$3390,F$1,'United Data'!$C$3:$C$3390,$A236,'United Data'!$B$3:$B$3390,"&lt;&gt;Off-street")&gt;0,1,0)</f>
        <v>0</v>
      </c>
      <c r="G236">
        <f>IF(COUNTIFS('United Data'!$A$3:$A$3390,G$1,'United Data'!$C$3:$C$3390,$A236,'United Data'!$B$3:$B$3390,"&lt;&gt;Off-street")&gt;0,1,0)</f>
        <v>0</v>
      </c>
      <c r="H236">
        <f>IF(COUNTIFS('United Data'!$A$3:$A$3390,H$1,'United Data'!$C$3:$C$3390,$A236,'United Data'!$B$3:$B$3390,"&lt;&gt;Off-street")&gt;0,1,0)</f>
        <v>0</v>
      </c>
      <c r="I236">
        <f>IF(COUNTIFS('United Data'!$A$3:$A$3390,I$1,'United Data'!$C$3:$C$3390,$A236,'United Data'!$B$3:$B$3390,"&lt;&gt;Off-street")&gt;0,1,0)</f>
        <v>0</v>
      </c>
      <c r="J236">
        <f>IF(COUNTIFS('United Data'!$A$3:$A$3390,J$1,'United Data'!$C$3:$C$3390,$A236,'United Data'!$B$3:$B$3390,"&lt;&gt;Off-street")&gt;0,1,0)</f>
        <v>0</v>
      </c>
      <c r="K236">
        <f>IF(COUNTIFS('United Data'!$A$3:$A$3390,K$1,'United Data'!$C$3:$C$3390,$A236,'United Data'!$B$3:$B$3390,"&lt;&gt;Off-street")&gt;0,1,0)</f>
        <v>0</v>
      </c>
      <c r="L236">
        <f>IF(COUNTIFS('United Data'!$A$3:$A$3390,L$1,'United Data'!$C$3:$C$3390,$A236,'United Data'!$B$3:$B$3390,"&lt;&gt;Off-street")&gt;0,1,0)</f>
        <v>0</v>
      </c>
      <c r="M236">
        <f>IF(COUNTIFS('United Data'!$A$3:$A$3390,M$1,'United Data'!$C$3:$C$3390,$A236,'United Data'!$B$3:$B$3390,"&lt;&gt;Off-street")&gt;0,1,0)</f>
        <v>0</v>
      </c>
      <c r="N236">
        <f>IF(COUNTIFS('United Data'!$A$3:$A$3390,N$1,'United Data'!$C$3:$C$3390,$A236,'United Data'!$B$3:$B$3390,"&lt;&gt;Off-street")&gt;0,1,0)</f>
        <v>1</v>
      </c>
      <c r="O236">
        <f>IF(COUNTIFS('United Data'!$A$3:$A$3390,O$1,'United Data'!$C$3:$C$3390,$A236,'United Data'!$B$3:$B$3390,"&lt;&gt;Off-street")&gt;0,1,0)</f>
        <v>1</v>
      </c>
      <c r="P236">
        <f>IF(COUNTIFS('United Data'!$A$3:$A$3390,P$1,'United Data'!$C$3:$C$3390,$A236,'United Data'!$B$3:$B$3390,"&lt;&gt;Off-street")&gt;0,1,0)</f>
        <v>0</v>
      </c>
      <c r="Q236">
        <f>IF(COUNTIFS('United Data'!$A$3:$A$3390,Q$1,'United Data'!$C$3:$C$3390,$A236,'United Data'!$B$3:$B$3390,"&lt;&gt;Off-street")&gt;0,1,0)</f>
        <v>0</v>
      </c>
      <c r="R236">
        <f>IF(COUNTIFS('United Data'!$A$3:$A$3390,R$1,'United Data'!$C$3:$C$3390,$A236,'United Data'!$B$3:$B$3390,"&lt;&gt;Off-street")&gt;0,1,0)</f>
        <v>0</v>
      </c>
      <c r="S236">
        <f t="shared" si="6"/>
        <v>2</v>
      </c>
      <c r="T236">
        <f t="shared" si="7"/>
        <v>1</v>
      </c>
    </row>
    <row r="237" spans="1:20" x14ac:dyDescent="0.2">
      <c r="A237" t="s">
        <v>309</v>
      </c>
      <c r="B237">
        <f>IF(COUNTIFS('United Data'!$A$3:$A$3390,B$1,'United Data'!$C$3:$C$3390,$A237,'United Data'!$B$3:$B$3390,"&lt;&gt;Off-street")&gt;0,1,0)</f>
        <v>0</v>
      </c>
      <c r="C237">
        <f>IF(COUNTIFS('United Data'!$A$3:$A$3390,C$1,'United Data'!$C$3:$C$3390,$A237,'United Data'!$B$3:$B$3390,"&lt;&gt;Off-street")&gt;0,1,0)</f>
        <v>0</v>
      </c>
      <c r="D237">
        <f>IF(COUNTIFS('United Data'!$A$3:$A$3390,D$1,'United Data'!$C$3:$C$3390,$A237,'United Data'!$B$3:$B$3390,"&lt;&gt;Off-street")&gt;0,1,0)</f>
        <v>0</v>
      </c>
      <c r="E237">
        <f>IF(COUNTIFS('United Data'!$A$3:$A$3390,E$1,'United Data'!$C$3:$C$3390,$A237,'United Data'!$B$3:$B$3390,"&lt;&gt;Off-street")&gt;0,1,0)</f>
        <v>1</v>
      </c>
      <c r="F237">
        <f>IF(COUNTIFS('United Data'!$A$3:$A$3390,F$1,'United Data'!$C$3:$C$3390,$A237,'United Data'!$B$3:$B$3390,"&lt;&gt;Off-street")&gt;0,1,0)</f>
        <v>1</v>
      </c>
      <c r="G237">
        <f>IF(COUNTIFS('United Data'!$A$3:$A$3390,G$1,'United Data'!$C$3:$C$3390,$A237,'United Data'!$B$3:$B$3390,"&lt;&gt;Off-street")&gt;0,1,0)</f>
        <v>1</v>
      </c>
      <c r="H237">
        <f>IF(COUNTIFS('United Data'!$A$3:$A$3390,H$1,'United Data'!$C$3:$C$3390,$A237,'United Data'!$B$3:$B$3390,"&lt;&gt;Off-street")&gt;0,1,0)</f>
        <v>1</v>
      </c>
      <c r="I237">
        <f>IF(COUNTIFS('United Data'!$A$3:$A$3390,I$1,'United Data'!$C$3:$C$3390,$A237,'United Data'!$B$3:$B$3390,"&lt;&gt;Off-street")&gt;0,1,0)</f>
        <v>0</v>
      </c>
      <c r="J237">
        <f>IF(COUNTIFS('United Data'!$A$3:$A$3390,J$1,'United Data'!$C$3:$C$3390,$A237,'United Data'!$B$3:$B$3390,"&lt;&gt;Off-street")&gt;0,1,0)</f>
        <v>0</v>
      </c>
      <c r="K237">
        <f>IF(COUNTIFS('United Data'!$A$3:$A$3390,K$1,'United Data'!$C$3:$C$3390,$A237,'United Data'!$B$3:$B$3390,"&lt;&gt;Off-street")&gt;0,1,0)</f>
        <v>0</v>
      </c>
      <c r="L237">
        <f>IF(COUNTIFS('United Data'!$A$3:$A$3390,L$1,'United Data'!$C$3:$C$3390,$A237,'United Data'!$B$3:$B$3390,"&lt;&gt;Off-street")&gt;0,1,0)</f>
        <v>0</v>
      </c>
      <c r="M237">
        <f>IF(COUNTIFS('United Data'!$A$3:$A$3390,M$1,'United Data'!$C$3:$C$3390,$A237,'United Data'!$B$3:$B$3390,"&lt;&gt;Off-street")&gt;0,1,0)</f>
        <v>1</v>
      </c>
      <c r="N237">
        <f>IF(COUNTIFS('United Data'!$A$3:$A$3390,N$1,'United Data'!$C$3:$C$3390,$A237,'United Data'!$B$3:$B$3390,"&lt;&gt;Off-street")&gt;0,1,0)</f>
        <v>1</v>
      </c>
      <c r="O237">
        <f>IF(COUNTIFS('United Data'!$A$3:$A$3390,O$1,'United Data'!$C$3:$C$3390,$A237,'United Data'!$B$3:$B$3390,"&lt;&gt;Off-street")&gt;0,1,0)</f>
        <v>1</v>
      </c>
      <c r="P237">
        <f>IF(COUNTIFS('United Data'!$A$3:$A$3390,P$1,'United Data'!$C$3:$C$3390,$A237,'United Data'!$B$3:$B$3390,"&lt;&gt;Off-street")&gt;0,1,0)</f>
        <v>0</v>
      </c>
      <c r="Q237">
        <f>IF(COUNTIFS('United Data'!$A$3:$A$3390,Q$1,'United Data'!$C$3:$C$3390,$A237,'United Data'!$B$3:$B$3390,"&lt;&gt;Off-street")&gt;0,1,0)</f>
        <v>0</v>
      </c>
      <c r="R237">
        <f>IF(COUNTIFS('United Data'!$A$3:$A$3390,R$1,'United Data'!$C$3:$C$3390,$A237,'United Data'!$B$3:$B$3390,"&lt;&gt;Off-street")&gt;0,1,0)</f>
        <v>0</v>
      </c>
      <c r="S237">
        <f t="shared" si="6"/>
        <v>7</v>
      </c>
      <c r="T237">
        <f t="shared" si="7"/>
        <v>2</v>
      </c>
    </row>
    <row r="238" spans="1:20" x14ac:dyDescent="0.2">
      <c r="A238" t="s">
        <v>310</v>
      </c>
      <c r="B238">
        <f>IF(COUNTIFS('United Data'!$A$3:$A$3390,B$1,'United Data'!$C$3:$C$3390,$A238,'United Data'!$B$3:$B$3390,"&lt;&gt;Off-street")&gt;0,1,0)</f>
        <v>0</v>
      </c>
      <c r="C238">
        <f>IF(COUNTIFS('United Data'!$A$3:$A$3390,C$1,'United Data'!$C$3:$C$3390,$A238,'United Data'!$B$3:$B$3390,"&lt;&gt;Off-street")&gt;0,1,0)</f>
        <v>0</v>
      </c>
      <c r="D238">
        <f>IF(COUNTIFS('United Data'!$A$3:$A$3390,D$1,'United Data'!$C$3:$C$3390,$A238,'United Data'!$B$3:$B$3390,"&lt;&gt;Off-street")&gt;0,1,0)</f>
        <v>0</v>
      </c>
      <c r="E238">
        <f>IF(COUNTIFS('United Data'!$A$3:$A$3390,E$1,'United Data'!$C$3:$C$3390,$A238,'United Data'!$B$3:$B$3390,"&lt;&gt;Off-street")&gt;0,1,0)</f>
        <v>0</v>
      </c>
      <c r="F238">
        <f>IF(COUNTIFS('United Data'!$A$3:$A$3390,F$1,'United Data'!$C$3:$C$3390,$A238,'United Data'!$B$3:$B$3390,"&lt;&gt;Off-street")&gt;0,1,0)</f>
        <v>0</v>
      </c>
      <c r="G238">
        <f>IF(COUNTIFS('United Data'!$A$3:$A$3390,G$1,'United Data'!$C$3:$C$3390,$A238,'United Data'!$B$3:$B$3390,"&lt;&gt;Off-street")&gt;0,1,0)</f>
        <v>0</v>
      </c>
      <c r="H238">
        <f>IF(COUNTIFS('United Data'!$A$3:$A$3390,H$1,'United Data'!$C$3:$C$3390,$A238,'United Data'!$B$3:$B$3390,"&lt;&gt;Off-street")&gt;0,1,0)</f>
        <v>0</v>
      </c>
      <c r="I238">
        <f>IF(COUNTIFS('United Data'!$A$3:$A$3390,I$1,'United Data'!$C$3:$C$3390,$A238,'United Data'!$B$3:$B$3390,"&lt;&gt;Off-street")&gt;0,1,0)</f>
        <v>0</v>
      </c>
      <c r="J238">
        <f>IF(COUNTIFS('United Data'!$A$3:$A$3390,J$1,'United Data'!$C$3:$C$3390,$A238,'United Data'!$B$3:$B$3390,"&lt;&gt;Off-street")&gt;0,1,0)</f>
        <v>0</v>
      </c>
      <c r="K238">
        <f>IF(COUNTIFS('United Data'!$A$3:$A$3390,K$1,'United Data'!$C$3:$C$3390,$A238,'United Data'!$B$3:$B$3390,"&lt;&gt;Off-street")&gt;0,1,0)</f>
        <v>0</v>
      </c>
      <c r="L238">
        <f>IF(COUNTIFS('United Data'!$A$3:$A$3390,L$1,'United Data'!$C$3:$C$3390,$A238,'United Data'!$B$3:$B$3390,"&lt;&gt;Off-street")&gt;0,1,0)</f>
        <v>0</v>
      </c>
      <c r="M238">
        <f>IF(COUNTIFS('United Data'!$A$3:$A$3390,M$1,'United Data'!$C$3:$C$3390,$A238,'United Data'!$B$3:$B$3390,"&lt;&gt;Off-street")&gt;0,1,0)</f>
        <v>0</v>
      </c>
      <c r="N238">
        <f>IF(COUNTIFS('United Data'!$A$3:$A$3390,N$1,'United Data'!$C$3:$C$3390,$A238,'United Data'!$B$3:$B$3390,"&lt;&gt;Off-street")&gt;0,1,0)</f>
        <v>0</v>
      </c>
      <c r="O238">
        <f>IF(COUNTIFS('United Data'!$A$3:$A$3390,O$1,'United Data'!$C$3:$C$3390,$A238,'United Data'!$B$3:$B$3390,"&lt;&gt;Off-street")&gt;0,1,0)</f>
        <v>1</v>
      </c>
      <c r="P238">
        <f>IF(COUNTIFS('United Data'!$A$3:$A$3390,P$1,'United Data'!$C$3:$C$3390,$A238,'United Data'!$B$3:$B$3390,"&lt;&gt;Off-street")&gt;0,1,0)</f>
        <v>0</v>
      </c>
      <c r="Q238">
        <f>IF(COUNTIFS('United Data'!$A$3:$A$3390,Q$1,'United Data'!$C$3:$C$3390,$A238,'United Data'!$B$3:$B$3390,"&lt;&gt;Off-street")&gt;0,1,0)</f>
        <v>0</v>
      </c>
      <c r="R238">
        <f>IF(COUNTIFS('United Data'!$A$3:$A$3390,R$1,'United Data'!$C$3:$C$3390,$A238,'United Data'!$B$3:$B$3390,"&lt;&gt;Off-street")&gt;0,1,0)</f>
        <v>0</v>
      </c>
      <c r="S238">
        <f t="shared" si="6"/>
        <v>1</v>
      </c>
      <c r="T238">
        <f t="shared" si="7"/>
        <v>1</v>
      </c>
    </row>
    <row r="239" spans="1:20" x14ac:dyDescent="0.2">
      <c r="A239" t="s">
        <v>311</v>
      </c>
      <c r="B239">
        <f>IF(COUNTIFS('United Data'!$A$3:$A$3390,B$1,'United Data'!$C$3:$C$3390,$A239,'United Data'!$B$3:$B$3390,"&lt;&gt;Off-street")&gt;0,1,0)</f>
        <v>0</v>
      </c>
      <c r="C239">
        <f>IF(COUNTIFS('United Data'!$A$3:$A$3390,C$1,'United Data'!$C$3:$C$3390,$A239,'United Data'!$B$3:$B$3390,"&lt;&gt;Off-street")&gt;0,1,0)</f>
        <v>0</v>
      </c>
      <c r="D239">
        <f>IF(COUNTIFS('United Data'!$A$3:$A$3390,D$1,'United Data'!$C$3:$C$3390,$A239,'United Data'!$B$3:$B$3390,"&lt;&gt;Off-street")&gt;0,1,0)</f>
        <v>0</v>
      </c>
      <c r="E239">
        <f>IF(COUNTIFS('United Data'!$A$3:$A$3390,E$1,'United Data'!$C$3:$C$3390,$A239,'United Data'!$B$3:$B$3390,"&lt;&gt;Off-street")&gt;0,1,0)</f>
        <v>0</v>
      </c>
      <c r="F239">
        <f>IF(COUNTIFS('United Data'!$A$3:$A$3390,F$1,'United Data'!$C$3:$C$3390,$A239,'United Data'!$B$3:$B$3390,"&lt;&gt;Off-street")&gt;0,1,0)</f>
        <v>0</v>
      </c>
      <c r="G239">
        <f>IF(COUNTIFS('United Data'!$A$3:$A$3390,G$1,'United Data'!$C$3:$C$3390,$A239,'United Data'!$B$3:$B$3390,"&lt;&gt;Off-street")&gt;0,1,0)</f>
        <v>0</v>
      </c>
      <c r="H239">
        <f>IF(COUNTIFS('United Data'!$A$3:$A$3390,H$1,'United Data'!$C$3:$C$3390,$A239,'United Data'!$B$3:$B$3390,"&lt;&gt;Off-street")&gt;0,1,0)</f>
        <v>0</v>
      </c>
      <c r="I239">
        <f>IF(COUNTIFS('United Data'!$A$3:$A$3390,I$1,'United Data'!$C$3:$C$3390,$A239,'United Data'!$B$3:$B$3390,"&lt;&gt;Off-street")&gt;0,1,0)</f>
        <v>0</v>
      </c>
      <c r="J239">
        <f>IF(COUNTIFS('United Data'!$A$3:$A$3390,J$1,'United Data'!$C$3:$C$3390,$A239,'United Data'!$B$3:$B$3390,"&lt;&gt;Off-street")&gt;0,1,0)</f>
        <v>0</v>
      </c>
      <c r="K239">
        <f>IF(COUNTIFS('United Data'!$A$3:$A$3390,K$1,'United Data'!$C$3:$C$3390,$A239,'United Data'!$B$3:$B$3390,"&lt;&gt;Off-street")&gt;0,1,0)</f>
        <v>0</v>
      </c>
      <c r="L239">
        <f>IF(COUNTIFS('United Data'!$A$3:$A$3390,L$1,'United Data'!$C$3:$C$3390,$A239,'United Data'!$B$3:$B$3390,"&lt;&gt;Off-street")&gt;0,1,0)</f>
        <v>0</v>
      </c>
      <c r="M239">
        <f>IF(COUNTIFS('United Data'!$A$3:$A$3390,M$1,'United Data'!$C$3:$C$3390,$A239,'United Data'!$B$3:$B$3390,"&lt;&gt;Off-street")&gt;0,1,0)</f>
        <v>0</v>
      </c>
      <c r="N239">
        <f>IF(COUNTIFS('United Data'!$A$3:$A$3390,N$1,'United Data'!$C$3:$C$3390,$A239,'United Data'!$B$3:$B$3390,"&lt;&gt;Off-street")&gt;0,1,0)</f>
        <v>0</v>
      </c>
      <c r="O239">
        <f>IF(COUNTIFS('United Data'!$A$3:$A$3390,O$1,'United Data'!$C$3:$C$3390,$A239,'United Data'!$B$3:$B$3390,"&lt;&gt;Off-street")&gt;0,1,0)</f>
        <v>1</v>
      </c>
      <c r="P239">
        <f>IF(COUNTIFS('United Data'!$A$3:$A$3390,P$1,'United Data'!$C$3:$C$3390,$A239,'United Data'!$B$3:$B$3390,"&lt;&gt;Off-street")&gt;0,1,0)</f>
        <v>0</v>
      </c>
      <c r="Q239">
        <f>IF(COUNTIFS('United Data'!$A$3:$A$3390,Q$1,'United Data'!$C$3:$C$3390,$A239,'United Data'!$B$3:$B$3390,"&lt;&gt;Off-street")&gt;0,1,0)</f>
        <v>0</v>
      </c>
      <c r="R239">
        <f>IF(COUNTIFS('United Data'!$A$3:$A$3390,R$1,'United Data'!$C$3:$C$3390,$A239,'United Data'!$B$3:$B$3390,"&lt;&gt;Off-street")&gt;0,1,0)</f>
        <v>0</v>
      </c>
      <c r="S239">
        <f t="shared" si="6"/>
        <v>1</v>
      </c>
      <c r="T239">
        <f t="shared" si="7"/>
        <v>1</v>
      </c>
    </row>
    <row r="240" spans="1:20" x14ac:dyDescent="0.2">
      <c r="A240" t="s">
        <v>312</v>
      </c>
      <c r="B240">
        <f>IF(COUNTIFS('United Data'!$A$3:$A$3390,B$1,'United Data'!$C$3:$C$3390,$A240,'United Data'!$B$3:$B$3390,"&lt;&gt;Off-street")&gt;0,1,0)</f>
        <v>0</v>
      </c>
      <c r="C240">
        <f>IF(COUNTIFS('United Data'!$A$3:$A$3390,C$1,'United Data'!$C$3:$C$3390,$A240,'United Data'!$B$3:$B$3390,"&lt;&gt;Off-street")&gt;0,1,0)</f>
        <v>0</v>
      </c>
      <c r="D240">
        <f>IF(COUNTIFS('United Data'!$A$3:$A$3390,D$1,'United Data'!$C$3:$C$3390,$A240,'United Data'!$B$3:$B$3390,"&lt;&gt;Off-street")&gt;0,1,0)</f>
        <v>0</v>
      </c>
      <c r="E240">
        <f>IF(COUNTIFS('United Data'!$A$3:$A$3390,E$1,'United Data'!$C$3:$C$3390,$A240,'United Data'!$B$3:$B$3390,"&lt;&gt;Off-street")&gt;0,1,0)</f>
        <v>0</v>
      </c>
      <c r="F240">
        <f>IF(COUNTIFS('United Data'!$A$3:$A$3390,F$1,'United Data'!$C$3:$C$3390,$A240,'United Data'!$B$3:$B$3390,"&lt;&gt;Off-street")&gt;0,1,0)</f>
        <v>0</v>
      </c>
      <c r="G240">
        <f>IF(COUNTIFS('United Data'!$A$3:$A$3390,G$1,'United Data'!$C$3:$C$3390,$A240,'United Data'!$B$3:$B$3390,"&lt;&gt;Off-street")&gt;0,1,0)</f>
        <v>0</v>
      </c>
      <c r="H240">
        <f>IF(COUNTIFS('United Data'!$A$3:$A$3390,H$1,'United Data'!$C$3:$C$3390,$A240,'United Data'!$B$3:$B$3390,"&lt;&gt;Off-street")&gt;0,1,0)</f>
        <v>0</v>
      </c>
      <c r="I240">
        <f>IF(COUNTIFS('United Data'!$A$3:$A$3390,I$1,'United Data'!$C$3:$C$3390,$A240,'United Data'!$B$3:$B$3390,"&lt;&gt;Off-street")&gt;0,1,0)</f>
        <v>0</v>
      </c>
      <c r="J240">
        <f>IF(COUNTIFS('United Data'!$A$3:$A$3390,J$1,'United Data'!$C$3:$C$3390,$A240,'United Data'!$B$3:$B$3390,"&lt;&gt;Off-street")&gt;0,1,0)</f>
        <v>0</v>
      </c>
      <c r="K240">
        <f>IF(COUNTIFS('United Data'!$A$3:$A$3390,K$1,'United Data'!$C$3:$C$3390,$A240,'United Data'!$B$3:$B$3390,"&lt;&gt;Off-street")&gt;0,1,0)</f>
        <v>0</v>
      </c>
      <c r="L240">
        <f>IF(COUNTIFS('United Data'!$A$3:$A$3390,L$1,'United Data'!$C$3:$C$3390,$A240,'United Data'!$B$3:$B$3390,"&lt;&gt;Off-street")&gt;0,1,0)</f>
        <v>0</v>
      </c>
      <c r="M240">
        <f>IF(COUNTIFS('United Data'!$A$3:$A$3390,M$1,'United Data'!$C$3:$C$3390,$A240,'United Data'!$B$3:$B$3390,"&lt;&gt;Off-street")&gt;0,1,0)</f>
        <v>0</v>
      </c>
      <c r="N240">
        <f>IF(COUNTIFS('United Data'!$A$3:$A$3390,N$1,'United Data'!$C$3:$C$3390,$A240,'United Data'!$B$3:$B$3390,"&lt;&gt;Off-street")&gt;0,1,0)</f>
        <v>0</v>
      </c>
      <c r="O240">
        <f>IF(COUNTIFS('United Data'!$A$3:$A$3390,O$1,'United Data'!$C$3:$C$3390,$A240,'United Data'!$B$3:$B$3390,"&lt;&gt;Off-street")&gt;0,1,0)</f>
        <v>1</v>
      </c>
      <c r="P240">
        <f>IF(COUNTIFS('United Data'!$A$3:$A$3390,P$1,'United Data'!$C$3:$C$3390,$A240,'United Data'!$B$3:$B$3390,"&lt;&gt;Off-street")&gt;0,1,0)</f>
        <v>0</v>
      </c>
      <c r="Q240">
        <f>IF(COUNTIFS('United Data'!$A$3:$A$3390,Q$1,'United Data'!$C$3:$C$3390,$A240,'United Data'!$B$3:$B$3390,"&lt;&gt;Off-street")&gt;0,1,0)</f>
        <v>0</v>
      </c>
      <c r="R240">
        <f>IF(COUNTIFS('United Data'!$A$3:$A$3390,R$1,'United Data'!$C$3:$C$3390,$A240,'United Data'!$B$3:$B$3390,"&lt;&gt;Off-street")&gt;0,1,0)</f>
        <v>0</v>
      </c>
      <c r="S240">
        <f t="shared" si="6"/>
        <v>1</v>
      </c>
      <c r="T240">
        <f t="shared" si="7"/>
        <v>1</v>
      </c>
    </row>
    <row r="241" spans="1:20" x14ac:dyDescent="0.2">
      <c r="A241" t="s">
        <v>313</v>
      </c>
      <c r="B241">
        <f>IF(COUNTIFS('United Data'!$A$3:$A$3390,B$1,'United Data'!$C$3:$C$3390,$A241,'United Data'!$B$3:$B$3390,"&lt;&gt;Off-street")&gt;0,1,0)</f>
        <v>0</v>
      </c>
      <c r="C241">
        <f>IF(COUNTIFS('United Data'!$A$3:$A$3390,C$1,'United Data'!$C$3:$C$3390,$A241,'United Data'!$B$3:$B$3390,"&lt;&gt;Off-street")&gt;0,1,0)</f>
        <v>0</v>
      </c>
      <c r="D241">
        <f>IF(COUNTIFS('United Data'!$A$3:$A$3390,D$1,'United Data'!$C$3:$C$3390,$A241,'United Data'!$B$3:$B$3390,"&lt;&gt;Off-street")&gt;0,1,0)</f>
        <v>0</v>
      </c>
      <c r="E241">
        <f>IF(COUNTIFS('United Data'!$A$3:$A$3390,E$1,'United Data'!$C$3:$C$3390,$A241,'United Data'!$B$3:$B$3390,"&lt;&gt;Off-street")&gt;0,1,0)</f>
        <v>0</v>
      </c>
      <c r="F241">
        <f>IF(COUNTIFS('United Data'!$A$3:$A$3390,F$1,'United Data'!$C$3:$C$3390,$A241,'United Data'!$B$3:$B$3390,"&lt;&gt;Off-street")&gt;0,1,0)</f>
        <v>0</v>
      </c>
      <c r="G241">
        <f>IF(COUNTIFS('United Data'!$A$3:$A$3390,G$1,'United Data'!$C$3:$C$3390,$A241,'United Data'!$B$3:$B$3390,"&lt;&gt;Off-street")&gt;0,1,0)</f>
        <v>0</v>
      </c>
      <c r="H241">
        <f>IF(COUNTIFS('United Data'!$A$3:$A$3390,H$1,'United Data'!$C$3:$C$3390,$A241,'United Data'!$B$3:$B$3390,"&lt;&gt;Off-street")&gt;0,1,0)</f>
        <v>0</v>
      </c>
      <c r="I241">
        <f>IF(COUNTIFS('United Data'!$A$3:$A$3390,I$1,'United Data'!$C$3:$C$3390,$A241,'United Data'!$B$3:$B$3390,"&lt;&gt;Off-street")&gt;0,1,0)</f>
        <v>0</v>
      </c>
      <c r="J241">
        <f>IF(COUNTIFS('United Data'!$A$3:$A$3390,J$1,'United Data'!$C$3:$C$3390,$A241,'United Data'!$B$3:$B$3390,"&lt;&gt;Off-street")&gt;0,1,0)</f>
        <v>0</v>
      </c>
      <c r="K241">
        <f>IF(COUNTIFS('United Data'!$A$3:$A$3390,K$1,'United Data'!$C$3:$C$3390,$A241,'United Data'!$B$3:$B$3390,"&lt;&gt;Off-street")&gt;0,1,0)</f>
        <v>0</v>
      </c>
      <c r="L241">
        <f>IF(COUNTIFS('United Data'!$A$3:$A$3390,L$1,'United Data'!$C$3:$C$3390,$A241,'United Data'!$B$3:$B$3390,"&lt;&gt;Off-street")&gt;0,1,0)</f>
        <v>0</v>
      </c>
      <c r="M241">
        <f>IF(COUNTIFS('United Data'!$A$3:$A$3390,M$1,'United Data'!$C$3:$C$3390,$A241,'United Data'!$B$3:$B$3390,"&lt;&gt;Off-street")&gt;0,1,0)</f>
        <v>0</v>
      </c>
      <c r="N241">
        <f>IF(COUNTIFS('United Data'!$A$3:$A$3390,N$1,'United Data'!$C$3:$C$3390,$A241,'United Data'!$B$3:$B$3390,"&lt;&gt;Off-street")&gt;0,1,0)</f>
        <v>0</v>
      </c>
      <c r="O241">
        <f>IF(COUNTIFS('United Data'!$A$3:$A$3390,O$1,'United Data'!$C$3:$C$3390,$A241,'United Data'!$B$3:$B$3390,"&lt;&gt;Off-street")&gt;0,1,0)</f>
        <v>0</v>
      </c>
      <c r="P241">
        <f>IF(COUNTIFS('United Data'!$A$3:$A$3390,P$1,'United Data'!$C$3:$C$3390,$A241,'United Data'!$B$3:$B$3390,"&lt;&gt;Off-street")&gt;0,1,0)</f>
        <v>1</v>
      </c>
      <c r="Q241">
        <f>IF(COUNTIFS('United Data'!$A$3:$A$3390,Q$1,'United Data'!$C$3:$C$3390,$A241,'United Data'!$B$3:$B$3390,"&lt;&gt;Off-street")&gt;0,1,0)</f>
        <v>0</v>
      </c>
      <c r="R241">
        <f>IF(COUNTIFS('United Data'!$A$3:$A$3390,R$1,'United Data'!$C$3:$C$3390,$A241,'United Data'!$B$3:$B$3390,"&lt;&gt;Off-street")&gt;0,1,0)</f>
        <v>0</v>
      </c>
      <c r="S241">
        <f t="shared" si="6"/>
        <v>1</v>
      </c>
      <c r="T241">
        <f t="shared" si="7"/>
        <v>1</v>
      </c>
    </row>
    <row r="242" spans="1:20" x14ac:dyDescent="0.2">
      <c r="A242" t="s">
        <v>314</v>
      </c>
      <c r="B242">
        <f>IF(COUNTIFS('United Data'!$A$3:$A$3390,B$1,'United Data'!$C$3:$C$3390,$A242,'United Data'!$B$3:$B$3390,"&lt;&gt;Off-street")&gt;0,1,0)</f>
        <v>1</v>
      </c>
      <c r="C242">
        <f>IF(COUNTIFS('United Data'!$A$3:$A$3390,C$1,'United Data'!$C$3:$C$3390,$A242,'United Data'!$B$3:$B$3390,"&lt;&gt;Off-street")&gt;0,1,0)</f>
        <v>1</v>
      </c>
      <c r="D242">
        <f>IF(COUNTIFS('United Data'!$A$3:$A$3390,D$1,'United Data'!$C$3:$C$3390,$A242,'United Data'!$B$3:$B$3390,"&lt;&gt;Off-street")&gt;0,1,0)</f>
        <v>1</v>
      </c>
      <c r="E242">
        <f>IF(COUNTIFS('United Data'!$A$3:$A$3390,E$1,'United Data'!$C$3:$C$3390,$A242,'United Data'!$B$3:$B$3390,"&lt;&gt;Off-street")&gt;0,1,0)</f>
        <v>1</v>
      </c>
      <c r="F242">
        <f>IF(COUNTIFS('United Data'!$A$3:$A$3390,F$1,'United Data'!$C$3:$C$3390,$A242,'United Data'!$B$3:$B$3390,"&lt;&gt;Off-street")&gt;0,1,0)</f>
        <v>1</v>
      </c>
      <c r="G242">
        <f>IF(COUNTIFS('United Data'!$A$3:$A$3390,G$1,'United Data'!$C$3:$C$3390,$A242,'United Data'!$B$3:$B$3390,"&lt;&gt;Off-street")&gt;0,1,0)</f>
        <v>1</v>
      </c>
      <c r="H242">
        <f>IF(COUNTIFS('United Data'!$A$3:$A$3390,H$1,'United Data'!$C$3:$C$3390,$A242,'United Data'!$B$3:$B$3390,"&lt;&gt;Off-street")&gt;0,1,0)</f>
        <v>0</v>
      </c>
      <c r="I242">
        <f>IF(COUNTIFS('United Data'!$A$3:$A$3390,I$1,'United Data'!$C$3:$C$3390,$A242,'United Data'!$B$3:$B$3390,"&lt;&gt;Off-street")&gt;0,1,0)</f>
        <v>0</v>
      </c>
      <c r="J242">
        <f>IF(COUNTIFS('United Data'!$A$3:$A$3390,J$1,'United Data'!$C$3:$C$3390,$A242,'United Data'!$B$3:$B$3390,"&lt;&gt;Off-street")&gt;0,1,0)</f>
        <v>1</v>
      </c>
      <c r="K242">
        <f>IF(COUNTIFS('United Data'!$A$3:$A$3390,K$1,'United Data'!$C$3:$C$3390,$A242,'United Data'!$B$3:$B$3390,"&lt;&gt;Off-street")&gt;0,1,0)</f>
        <v>0</v>
      </c>
      <c r="L242">
        <f>IF(COUNTIFS('United Data'!$A$3:$A$3390,L$1,'United Data'!$C$3:$C$3390,$A242,'United Data'!$B$3:$B$3390,"&lt;&gt;Off-street")&gt;0,1,0)</f>
        <v>0</v>
      </c>
      <c r="M242">
        <f>IF(COUNTIFS('United Data'!$A$3:$A$3390,M$1,'United Data'!$C$3:$C$3390,$A242,'United Data'!$B$3:$B$3390,"&lt;&gt;Off-street")&gt;0,1,0)</f>
        <v>1</v>
      </c>
      <c r="N242">
        <f>IF(COUNTIFS('United Data'!$A$3:$A$3390,N$1,'United Data'!$C$3:$C$3390,$A242,'United Data'!$B$3:$B$3390,"&lt;&gt;Off-street")&gt;0,1,0)</f>
        <v>1</v>
      </c>
      <c r="O242">
        <f>IF(COUNTIFS('United Data'!$A$3:$A$3390,O$1,'United Data'!$C$3:$C$3390,$A242,'United Data'!$B$3:$B$3390,"&lt;&gt;Off-street")&gt;0,1,0)</f>
        <v>1</v>
      </c>
      <c r="P242">
        <f>IF(COUNTIFS('United Data'!$A$3:$A$3390,P$1,'United Data'!$C$3:$C$3390,$A242,'United Data'!$B$3:$B$3390,"&lt;&gt;Off-street")&gt;0,1,0)</f>
        <v>1</v>
      </c>
      <c r="Q242">
        <f>IF(COUNTIFS('United Data'!$A$3:$A$3390,Q$1,'United Data'!$C$3:$C$3390,$A242,'United Data'!$B$3:$B$3390,"&lt;&gt;Off-street")&gt;0,1,0)</f>
        <v>1</v>
      </c>
      <c r="R242">
        <f>IF(COUNTIFS('United Data'!$A$3:$A$3390,R$1,'United Data'!$C$3:$C$3390,$A242,'United Data'!$B$3:$B$3390,"&lt;&gt;Off-street")&gt;0,1,0)</f>
        <v>1</v>
      </c>
      <c r="S242">
        <f t="shared" si="6"/>
        <v>13</v>
      </c>
      <c r="T242">
        <f t="shared" si="7"/>
        <v>3</v>
      </c>
    </row>
    <row r="243" spans="1:20" x14ac:dyDescent="0.2">
      <c r="A243" t="s">
        <v>315</v>
      </c>
      <c r="B243">
        <f>IF(COUNTIFS('United Data'!$A$3:$A$3390,B$1,'United Data'!$C$3:$C$3390,$A243,'United Data'!$B$3:$B$3390,"&lt;&gt;Off-street")&gt;0,1,0)</f>
        <v>0</v>
      </c>
      <c r="C243">
        <f>IF(COUNTIFS('United Data'!$A$3:$A$3390,C$1,'United Data'!$C$3:$C$3390,$A243,'United Data'!$B$3:$B$3390,"&lt;&gt;Off-street")&gt;0,1,0)</f>
        <v>0</v>
      </c>
      <c r="D243">
        <f>IF(COUNTIFS('United Data'!$A$3:$A$3390,D$1,'United Data'!$C$3:$C$3390,$A243,'United Data'!$B$3:$B$3390,"&lt;&gt;Off-street")&gt;0,1,0)</f>
        <v>0</v>
      </c>
      <c r="E243">
        <f>IF(COUNTIFS('United Data'!$A$3:$A$3390,E$1,'United Data'!$C$3:$C$3390,$A243,'United Data'!$B$3:$B$3390,"&lt;&gt;Off-street")&gt;0,1,0)</f>
        <v>0</v>
      </c>
      <c r="F243">
        <f>IF(COUNTIFS('United Data'!$A$3:$A$3390,F$1,'United Data'!$C$3:$C$3390,$A243,'United Data'!$B$3:$B$3390,"&lt;&gt;Off-street")&gt;0,1,0)</f>
        <v>0</v>
      </c>
      <c r="G243">
        <f>IF(COUNTIFS('United Data'!$A$3:$A$3390,G$1,'United Data'!$C$3:$C$3390,$A243,'United Data'!$B$3:$B$3390,"&lt;&gt;Off-street")&gt;0,1,0)</f>
        <v>0</v>
      </c>
      <c r="H243">
        <f>IF(COUNTIFS('United Data'!$A$3:$A$3390,H$1,'United Data'!$C$3:$C$3390,$A243,'United Data'!$B$3:$B$3390,"&lt;&gt;Off-street")&gt;0,1,0)</f>
        <v>0</v>
      </c>
      <c r="I243">
        <f>IF(COUNTIFS('United Data'!$A$3:$A$3390,I$1,'United Data'!$C$3:$C$3390,$A243,'United Data'!$B$3:$B$3390,"&lt;&gt;Off-street")&gt;0,1,0)</f>
        <v>0</v>
      </c>
      <c r="J243">
        <f>IF(COUNTIFS('United Data'!$A$3:$A$3390,J$1,'United Data'!$C$3:$C$3390,$A243,'United Data'!$B$3:$B$3390,"&lt;&gt;Off-street")&gt;0,1,0)</f>
        <v>0</v>
      </c>
      <c r="K243">
        <f>IF(COUNTIFS('United Data'!$A$3:$A$3390,K$1,'United Data'!$C$3:$C$3390,$A243,'United Data'!$B$3:$B$3390,"&lt;&gt;Off-street")&gt;0,1,0)</f>
        <v>0</v>
      </c>
      <c r="L243">
        <f>IF(COUNTIFS('United Data'!$A$3:$A$3390,L$1,'United Data'!$C$3:$C$3390,$A243,'United Data'!$B$3:$B$3390,"&lt;&gt;Off-street")&gt;0,1,0)</f>
        <v>0</v>
      </c>
      <c r="M243">
        <f>IF(COUNTIFS('United Data'!$A$3:$A$3390,M$1,'United Data'!$C$3:$C$3390,$A243,'United Data'!$B$3:$B$3390,"&lt;&gt;Off-street")&gt;0,1,0)</f>
        <v>0</v>
      </c>
      <c r="N243">
        <f>IF(COUNTIFS('United Data'!$A$3:$A$3390,N$1,'United Data'!$C$3:$C$3390,$A243,'United Data'!$B$3:$B$3390,"&lt;&gt;Off-street")&gt;0,1,0)</f>
        <v>0</v>
      </c>
      <c r="O243">
        <f>IF(COUNTIFS('United Data'!$A$3:$A$3390,O$1,'United Data'!$C$3:$C$3390,$A243,'United Data'!$B$3:$B$3390,"&lt;&gt;Off-street")&gt;0,1,0)</f>
        <v>0</v>
      </c>
      <c r="P243">
        <f>IF(COUNTIFS('United Data'!$A$3:$A$3390,P$1,'United Data'!$C$3:$C$3390,$A243,'United Data'!$B$3:$B$3390,"&lt;&gt;Off-street")&gt;0,1,0)</f>
        <v>1</v>
      </c>
      <c r="Q243">
        <f>IF(COUNTIFS('United Data'!$A$3:$A$3390,Q$1,'United Data'!$C$3:$C$3390,$A243,'United Data'!$B$3:$B$3390,"&lt;&gt;Off-street")&gt;0,1,0)</f>
        <v>1</v>
      </c>
      <c r="R243">
        <f>IF(COUNTIFS('United Data'!$A$3:$A$3390,R$1,'United Data'!$C$3:$C$3390,$A243,'United Data'!$B$3:$B$3390,"&lt;&gt;Off-street")&gt;0,1,0)</f>
        <v>1</v>
      </c>
      <c r="S243">
        <f t="shared" si="6"/>
        <v>3</v>
      </c>
      <c r="T243">
        <f t="shared" si="7"/>
        <v>1</v>
      </c>
    </row>
    <row r="244" spans="1:20" x14ac:dyDescent="0.2">
      <c r="A244" t="s">
        <v>316</v>
      </c>
      <c r="B244">
        <f>IF(COUNTIFS('United Data'!$A$3:$A$3390,B$1,'United Data'!$C$3:$C$3390,$A244,'United Data'!$B$3:$B$3390,"&lt;&gt;Off-street")&gt;0,1,0)</f>
        <v>1</v>
      </c>
      <c r="C244">
        <f>IF(COUNTIFS('United Data'!$A$3:$A$3390,C$1,'United Data'!$C$3:$C$3390,$A244,'United Data'!$B$3:$B$3390,"&lt;&gt;Off-street")&gt;0,1,0)</f>
        <v>1</v>
      </c>
      <c r="D244">
        <f>IF(COUNTIFS('United Data'!$A$3:$A$3390,D$1,'United Data'!$C$3:$C$3390,$A244,'United Data'!$B$3:$B$3390,"&lt;&gt;Off-street")&gt;0,1,0)</f>
        <v>1</v>
      </c>
      <c r="E244">
        <f>IF(COUNTIFS('United Data'!$A$3:$A$3390,E$1,'United Data'!$C$3:$C$3390,$A244,'United Data'!$B$3:$B$3390,"&lt;&gt;Off-street")&gt;0,1,0)</f>
        <v>0</v>
      </c>
      <c r="F244">
        <f>IF(COUNTIFS('United Data'!$A$3:$A$3390,F$1,'United Data'!$C$3:$C$3390,$A244,'United Data'!$B$3:$B$3390,"&lt;&gt;Off-street")&gt;0,1,0)</f>
        <v>0</v>
      </c>
      <c r="G244">
        <f>IF(COUNTIFS('United Data'!$A$3:$A$3390,G$1,'United Data'!$C$3:$C$3390,$A244,'United Data'!$B$3:$B$3390,"&lt;&gt;Off-street")&gt;0,1,0)</f>
        <v>0</v>
      </c>
      <c r="H244">
        <f>IF(COUNTIFS('United Data'!$A$3:$A$3390,H$1,'United Data'!$C$3:$C$3390,$A244,'United Data'!$B$3:$B$3390,"&lt;&gt;Off-street")&gt;0,1,0)</f>
        <v>0</v>
      </c>
      <c r="I244">
        <f>IF(COUNTIFS('United Data'!$A$3:$A$3390,I$1,'United Data'!$C$3:$C$3390,$A244,'United Data'!$B$3:$B$3390,"&lt;&gt;Off-street")&gt;0,1,0)</f>
        <v>0</v>
      </c>
      <c r="J244">
        <f>IF(COUNTIFS('United Data'!$A$3:$A$3390,J$1,'United Data'!$C$3:$C$3390,$A244,'United Data'!$B$3:$B$3390,"&lt;&gt;Off-street")&gt;0,1,0)</f>
        <v>0</v>
      </c>
      <c r="K244">
        <f>IF(COUNTIFS('United Data'!$A$3:$A$3390,K$1,'United Data'!$C$3:$C$3390,$A244,'United Data'!$B$3:$B$3390,"&lt;&gt;Off-street")&gt;0,1,0)</f>
        <v>0</v>
      </c>
      <c r="L244">
        <f>IF(COUNTIFS('United Data'!$A$3:$A$3390,L$1,'United Data'!$C$3:$C$3390,$A244,'United Data'!$B$3:$B$3390,"&lt;&gt;Off-street")&gt;0,1,0)</f>
        <v>0</v>
      </c>
      <c r="M244">
        <f>IF(COUNTIFS('United Data'!$A$3:$A$3390,M$1,'United Data'!$C$3:$C$3390,$A244,'United Data'!$B$3:$B$3390,"&lt;&gt;Off-street")&gt;0,1,0)</f>
        <v>0</v>
      </c>
      <c r="N244">
        <f>IF(COUNTIFS('United Data'!$A$3:$A$3390,N$1,'United Data'!$C$3:$C$3390,$A244,'United Data'!$B$3:$B$3390,"&lt;&gt;Off-street")&gt;0,1,0)</f>
        <v>0</v>
      </c>
      <c r="O244">
        <f>IF(COUNTIFS('United Data'!$A$3:$A$3390,O$1,'United Data'!$C$3:$C$3390,$A244,'United Data'!$B$3:$B$3390,"&lt;&gt;Off-street")&gt;0,1,0)</f>
        <v>0</v>
      </c>
      <c r="P244">
        <f>IF(COUNTIFS('United Data'!$A$3:$A$3390,P$1,'United Data'!$C$3:$C$3390,$A244,'United Data'!$B$3:$B$3390,"&lt;&gt;Off-street")&gt;0,1,0)</f>
        <v>0</v>
      </c>
      <c r="Q244">
        <f>IF(COUNTIFS('United Data'!$A$3:$A$3390,Q$1,'United Data'!$C$3:$C$3390,$A244,'United Data'!$B$3:$B$3390,"&lt;&gt;Off-street")&gt;0,1,0)</f>
        <v>1</v>
      </c>
      <c r="R244">
        <f>IF(COUNTIFS('United Data'!$A$3:$A$3390,R$1,'United Data'!$C$3:$C$3390,$A244,'United Data'!$B$3:$B$3390,"&lt;&gt;Off-street")&gt;0,1,0)</f>
        <v>1</v>
      </c>
      <c r="S244">
        <f t="shared" si="6"/>
        <v>5</v>
      </c>
      <c r="T244">
        <f t="shared" si="7"/>
        <v>2</v>
      </c>
    </row>
    <row r="245" spans="1:20" x14ac:dyDescent="0.2">
      <c r="A245" t="s">
        <v>317</v>
      </c>
      <c r="B245">
        <f>IF(COUNTIFS('United Data'!$A$3:$A$3390,B$1,'United Data'!$C$3:$C$3390,$A245,'United Data'!$B$3:$B$3390,"&lt;&gt;Off-street")&gt;0,1,0)</f>
        <v>1</v>
      </c>
      <c r="C245">
        <f>IF(COUNTIFS('United Data'!$A$3:$A$3390,C$1,'United Data'!$C$3:$C$3390,$A245,'United Data'!$B$3:$B$3390,"&lt;&gt;Off-street")&gt;0,1,0)</f>
        <v>0</v>
      </c>
      <c r="D245">
        <f>IF(COUNTIFS('United Data'!$A$3:$A$3390,D$1,'United Data'!$C$3:$C$3390,$A245,'United Data'!$B$3:$B$3390,"&lt;&gt;Off-street")&gt;0,1,0)</f>
        <v>0</v>
      </c>
      <c r="E245">
        <f>IF(COUNTIFS('United Data'!$A$3:$A$3390,E$1,'United Data'!$C$3:$C$3390,$A245,'United Data'!$B$3:$B$3390,"&lt;&gt;Off-street")&gt;0,1,0)</f>
        <v>0</v>
      </c>
      <c r="F245">
        <f>IF(COUNTIFS('United Data'!$A$3:$A$3390,F$1,'United Data'!$C$3:$C$3390,$A245,'United Data'!$B$3:$B$3390,"&lt;&gt;Off-street")&gt;0,1,0)</f>
        <v>0</v>
      </c>
      <c r="G245">
        <f>IF(COUNTIFS('United Data'!$A$3:$A$3390,G$1,'United Data'!$C$3:$C$3390,$A245,'United Data'!$B$3:$B$3390,"&lt;&gt;Off-street")&gt;0,1,0)</f>
        <v>0</v>
      </c>
      <c r="H245">
        <f>IF(COUNTIFS('United Data'!$A$3:$A$3390,H$1,'United Data'!$C$3:$C$3390,$A245,'United Data'!$B$3:$B$3390,"&lt;&gt;Off-street")&gt;0,1,0)</f>
        <v>0</v>
      </c>
      <c r="I245">
        <f>IF(COUNTIFS('United Data'!$A$3:$A$3390,I$1,'United Data'!$C$3:$C$3390,$A245,'United Data'!$B$3:$B$3390,"&lt;&gt;Off-street")&gt;0,1,0)</f>
        <v>0</v>
      </c>
      <c r="J245">
        <f>IF(COUNTIFS('United Data'!$A$3:$A$3390,J$1,'United Data'!$C$3:$C$3390,$A245,'United Data'!$B$3:$B$3390,"&lt;&gt;Off-street")&gt;0,1,0)</f>
        <v>0</v>
      </c>
      <c r="K245">
        <f>IF(COUNTIFS('United Data'!$A$3:$A$3390,K$1,'United Data'!$C$3:$C$3390,$A245,'United Data'!$B$3:$B$3390,"&lt;&gt;Off-street")&gt;0,1,0)</f>
        <v>0</v>
      </c>
      <c r="L245">
        <f>IF(COUNTIFS('United Data'!$A$3:$A$3390,L$1,'United Data'!$C$3:$C$3390,$A245,'United Data'!$B$3:$B$3390,"&lt;&gt;Off-street")&gt;0,1,0)</f>
        <v>0</v>
      </c>
      <c r="M245">
        <f>IF(COUNTIFS('United Data'!$A$3:$A$3390,M$1,'United Data'!$C$3:$C$3390,$A245,'United Data'!$B$3:$B$3390,"&lt;&gt;Off-street")&gt;0,1,0)</f>
        <v>0</v>
      </c>
      <c r="N245">
        <f>IF(COUNTIFS('United Data'!$A$3:$A$3390,N$1,'United Data'!$C$3:$C$3390,$A245,'United Data'!$B$3:$B$3390,"&lt;&gt;Off-street")&gt;0,1,0)</f>
        <v>0</v>
      </c>
      <c r="O245">
        <f>IF(COUNTIFS('United Data'!$A$3:$A$3390,O$1,'United Data'!$C$3:$C$3390,$A245,'United Data'!$B$3:$B$3390,"&lt;&gt;Off-street")&gt;0,1,0)</f>
        <v>0</v>
      </c>
      <c r="P245">
        <f>IF(COUNTIFS('United Data'!$A$3:$A$3390,P$1,'United Data'!$C$3:$C$3390,$A245,'United Data'!$B$3:$B$3390,"&lt;&gt;Off-street")&gt;0,1,0)</f>
        <v>0</v>
      </c>
      <c r="Q245">
        <f>IF(COUNTIFS('United Data'!$A$3:$A$3390,Q$1,'United Data'!$C$3:$C$3390,$A245,'United Data'!$B$3:$B$3390,"&lt;&gt;Off-street")&gt;0,1,0)</f>
        <v>0</v>
      </c>
      <c r="R245">
        <f>IF(COUNTIFS('United Data'!$A$3:$A$3390,R$1,'United Data'!$C$3:$C$3390,$A245,'United Data'!$B$3:$B$3390,"&lt;&gt;Off-street")&gt;0,1,0)</f>
        <v>0</v>
      </c>
      <c r="S245">
        <f t="shared" si="6"/>
        <v>1</v>
      </c>
      <c r="T245">
        <f t="shared" si="7"/>
        <v>1</v>
      </c>
    </row>
    <row r="246" spans="1:20" x14ac:dyDescent="0.2">
      <c r="A246" t="s">
        <v>318</v>
      </c>
      <c r="B246">
        <f>IF(COUNTIFS('United Data'!$A$3:$A$3390,B$1,'United Data'!$C$3:$C$3390,$A246,'United Data'!$B$3:$B$3390,"&lt;&gt;Off-street")&gt;0,1,0)</f>
        <v>1</v>
      </c>
      <c r="C246">
        <f>IF(COUNTIFS('United Data'!$A$3:$A$3390,C$1,'United Data'!$C$3:$C$3390,$A246,'United Data'!$B$3:$B$3390,"&lt;&gt;Off-street")&gt;0,1,0)</f>
        <v>0</v>
      </c>
      <c r="D246">
        <f>IF(COUNTIFS('United Data'!$A$3:$A$3390,D$1,'United Data'!$C$3:$C$3390,$A246,'United Data'!$B$3:$B$3390,"&lt;&gt;Off-street")&gt;0,1,0)</f>
        <v>0</v>
      </c>
      <c r="E246">
        <f>IF(COUNTIFS('United Data'!$A$3:$A$3390,E$1,'United Data'!$C$3:$C$3390,$A246,'United Data'!$B$3:$B$3390,"&lt;&gt;Off-street")&gt;0,1,0)</f>
        <v>0</v>
      </c>
      <c r="F246">
        <f>IF(COUNTIFS('United Data'!$A$3:$A$3390,F$1,'United Data'!$C$3:$C$3390,$A246,'United Data'!$B$3:$B$3390,"&lt;&gt;Off-street")&gt;0,1,0)</f>
        <v>0</v>
      </c>
      <c r="G246">
        <f>IF(COUNTIFS('United Data'!$A$3:$A$3390,G$1,'United Data'!$C$3:$C$3390,$A246,'United Data'!$B$3:$B$3390,"&lt;&gt;Off-street")&gt;0,1,0)</f>
        <v>0</v>
      </c>
      <c r="H246">
        <f>IF(COUNTIFS('United Data'!$A$3:$A$3390,H$1,'United Data'!$C$3:$C$3390,$A246,'United Data'!$B$3:$B$3390,"&lt;&gt;Off-street")&gt;0,1,0)</f>
        <v>0</v>
      </c>
      <c r="I246">
        <f>IF(COUNTIFS('United Data'!$A$3:$A$3390,I$1,'United Data'!$C$3:$C$3390,$A246,'United Data'!$B$3:$B$3390,"&lt;&gt;Off-street")&gt;0,1,0)</f>
        <v>0</v>
      </c>
      <c r="J246">
        <f>IF(COUNTIFS('United Data'!$A$3:$A$3390,J$1,'United Data'!$C$3:$C$3390,$A246,'United Data'!$B$3:$B$3390,"&lt;&gt;Off-street")&gt;0,1,0)</f>
        <v>0</v>
      </c>
      <c r="K246">
        <f>IF(COUNTIFS('United Data'!$A$3:$A$3390,K$1,'United Data'!$C$3:$C$3390,$A246,'United Data'!$B$3:$B$3390,"&lt;&gt;Off-street")&gt;0,1,0)</f>
        <v>0</v>
      </c>
      <c r="L246">
        <f>IF(COUNTIFS('United Data'!$A$3:$A$3390,L$1,'United Data'!$C$3:$C$3390,$A246,'United Data'!$B$3:$B$3390,"&lt;&gt;Off-street")&gt;0,1,0)</f>
        <v>0</v>
      </c>
      <c r="M246">
        <f>IF(COUNTIFS('United Data'!$A$3:$A$3390,M$1,'United Data'!$C$3:$C$3390,$A246,'United Data'!$B$3:$B$3390,"&lt;&gt;Off-street")&gt;0,1,0)</f>
        <v>0</v>
      </c>
      <c r="N246">
        <f>IF(COUNTIFS('United Data'!$A$3:$A$3390,N$1,'United Data'!$C$3:$C$3390,$A246,'United Data'!$B$3:$B$3390,"&lt;&gt;Off-street")&gt;0,1,0)</f>
        <v>0</v>
      </c>
      <c r="O246">
        <f>IF(COUNTIFS('United Data'!$A$3:$A$3390,O$1,'United Data'!$C$3:$C$3390,$A246,'United Data'!$B$3:$B$3390,"&lt;&gt;Off-street")&gt;0,1,0)</f>
        <v>0</v>
      </c>
      <c r="P246">
        <f>IF(COUNTIFS('United Data'!$A$3:$A$3390,P$1,'United Data'!$C$3:$C$3390,$A246,'United Data'!$B$3:$B$3390,"&lt;&gt;Off-street")&gt;0,1,0)</f>
        <v>0</v>
      </c>
      <c r="Q246">
        <f>IF(COUNTIFS('United Data'!$A$3:$A$3390,Q$1,'United Data'!$C$3:$C$3390,$A246,'United Data'!$B$3:$B$3390,"&lt;&gt;Off-street")&gt;0,1,0)</f>
        <v>0</v>
      </c>
      <c r="R246">
        <f>IF(COUNTIFS('United Data'!$A$3:$A$3390,R$1,'United Data'!$C$3:$C$3390,$A246,'United Data'!$B$3:$B$3390,"&lt;&gt;Off-street")&gt;0,1,0)</f>
        <v>0</v>
      </c>
      <c r="S246">
        <f t="shared" si="6"/>
        <v>1</v>
      </c>
      <c r="T246">
        <f t="shared" si="7"/>
        <v>1</v>
      </c>
    </row>
    <row r="247" spans="1:20" x14ac:dyDescent="0.2">
      <c r="A247" t="s">
        <v>319</v>
      </c>
      <c r="B247">
        <f>IF(COUNTIFS('United Data'!$A$3:$A$3390,B$1,'United Data'!$C$3:$C$3390,$A247,'United Data'!$B$3:$B$3390,"&lt;&gt;Off-street")&gt;0,1,0)</f>
        <v>0</v>
      </c>
      <c r="C247">
        <f>IF(COUNTIFS('United Data'!$A$3:$A$3390,C$1,'United Data'!$C$3:$C$3390,$A247,'United Data'!$B$3:$B$3390,"&lt;&gt;Off-street")&gt;0,1,0)</f>
        <v>1</v>
      </c>
      <c r="D247">
        <f>IF(COUNTIFS('United Data'!$A$3:$A$3390,D$1,'United Data'!$C$3:$C$3390,$A247,'United Data'!$B$3:$B$3390,"&lt;&gt;Off-street")&gt;0,1,0)</f>
        <v>0</v>
      </c>
      <c r="E247">
        <f>IF(COUNTIFS('United Data'!$A$3:$A$3390,E$1,'United Data'!$C$3:$C$3390,$A247,'United Data'!$B$3:$B$3390,"&lt;&gt;Off-street")&gt;0,1,0)</f>
        <v>0</v>
      </c>
      <c r="F247">
        <f>IF(COUNTIFS('United Data'!$A$3:$A$3390,F$1,'United Data'!$C$3:$C$3390,$A247,'United Data'!$B$3:$B$3390,"&lt;&gt;Off-street")&gt;0,1,0)</f>
        <v>0</v>
      </c>
      <c r="G247">
        <f>IF(COUNTIFS('United Data'!$A$3:$A$3390,G$1,'United Data'!$C$3:$C$3390,$A247,'United Data'!$B$3:$B$3390,"&lt;&gt;Off-street")&gt;0,1,0)</f>
        <v>0</v>
      </c>
      <c r="H247">
        <f>IF(COUNTIFS('United Data'!$A$3:$A$3390,H$1,'United Data'!$C$3:$C$3390,$A247,'United Data'!$B$3:$B$3390,"&lt;&gt;Off-street")&gt;0,1,0)</f>
        <v>0</v>
      </c>
      <c r="I247">
        <f>IF(COUNTIFS('United Data'!$A$3:$A$3390,I$1,'United Data'!$C$3:$C$3390,$A247,'United Data'!$B$3:$B$3390,"&lt;&gt;Off-street")&gt;0,1,0)</f>
        <v>0</v>
      </c>
      <c r="J247">
        <f>IF(COUNTIFS('United Data'!$A$3:$A$3390,J$1,'United Data'!$C$3:$C$3390,$A247,'United Data'!$B$3:$B$3390,"&lt;&gt;Off-street")&gt;0,1,0)</f>
        <v>0</v>
      </c>
      <c r="K247">
        <f>IF(COUNTIFS('United Data'!$A$3:$A$3390,K$1,'United Data'!$C$3:$C$3390,$A247,'United Data'!$B$3:$B$3390,"&lt;&gt;Off-street")&gt;0,1,0)</f>
        <v>0</v>
      </c>
      <c r="L247">
        <f>IF(COUNTIFS('United Data'!$A$3:$A$3390,L$1,'United Data'!$C$3:$C$3390,$A247,'United Data'!$B$3:$B$3390,"&lt;&gt;Off-street")&gt;0,1,0)</f>
        <v>0</v>
      </c>
      <c r="M247">
        <f>IF(COUNTIFS('United Data'!$A$3:$A$3390,M$1,'United Data'!$C$3:$C$3390,$A247,'United Data'!$B$3:$B$3390,"&lt;&gt;Off-street")&gt;0,1,0)</f>
        <v>0</v>
      </c>
      <c r="N247">
        <f>IF(COUNTIFS('United Data'!$A$3:$A$3390,N$1,'United Data'!$C$3:$C$3390,$A247,'United Data'!$B$3:$B$3390,"&lt;&gt;Off-street")&gt;0,1,0)</f>
        <v>1</v>
      </c>
      <c r="O247">
        <f>IF(COUNTIFS('United Data'!$A$3:$A$3390,O$1,'United Data'!$C$3:$C$3390,$A247,'United Data'!$B$3:$B$3390,"&lt;&gt;Off-street")&gt;0,1,0)</f>
        <v>1</v>
      </c>
      <c r="P247">
        <f>IF(COUNTIFS('United Data'!$A$3:$A$3390,P$1,'United Data'!$C$3:$C$3390,$A247,'United Data'!$B$3:$B$3390,"&lt;&gt;Off-street")&gt;0,1,0)</f>
        <v>1</v>
      </c>
      <c r="Q247">
        <f>IF(COUNTIFS('United Data'!$A$3:$A$3390,Q$1,'United Data'!$C$3:$C$3390,$A247,'United Data'!$B$3:$B$3390,"&lt;&gt;Off-street")&gt;0,1,0)</f>
        <v>1</v>
      </c>
      <c r="R247">
        <f>IF(COUNTIFS('United Data'!$A$3:$A$3390,R$1,'United Data'!$C$3:$C$3390,$A247,'United Data'!$B$3:$B$3390,"&lt;&gt;Off-street")&gt;0,1,0)</f>
        <v>0</v>
      </c>
      <c r="S247">
        <f t="shared" si="6"/>
        <v>5</v>
      </c>
      <c r="T247">
        <f t="shared" si="7"/>
        <v>2</v>
      </c>
    </row>
    <row r="248" spans="1:20" x14ac:dyDescent="0.2">
      <c r="A248" t="s">
        <v>320</v>
      </c>
      <c r="B248">
        <f>IF(COUNTIFS('United Data'!$A$3:$A$3390,B$1,'United Data'!$C$3:$C$3390,$A248,'United Data'!$B$3:$B$3390,"&lt;&gt;Off-street")&gt;0,1,0)</f>
        <v>0</v>
      </c>
      <c r="C248">
        <f>IF(COUNTIFS('United Data'!$A$3:$A$3390,C$1,'United Data'!$C$3:$C$3390,$A248,'United Data'!$B$3:$B$3390,"&lt;&gt;Off-street")&gt;0,1,0)</f>
        <v>0</v>
      </c>
      <c r="D248">
        <f>IF(COUNTIFS('United Data'!$A$3:$A$3390,D$1,'United Data'!$C$3:$C$3390,$A248,'United Data'!$B$3:$B$3390,"&lt;&gt;Off-street")&gt;0,1,0)</f>
        <v>1</v>
      </c>
      <c r="E248">
        <f>IF(COUNTIFS('United Data'!$A$3:$A$3390,E$1,'United Data'!$C$3:$C$3390,$A248,'United Data'!$B$3:$B$3390,"&lt;&gt;Off-street")&gt;0,1,0)</f>
        <v>1</v>
      </c>
      <c r="F248">
        <f>IF(COUNTIFS('United Data'!$A$3:$A$3390,F$1,'United Data'!$C$3:$C$3390,$A248,'United Data'!$B$3:$B$3390,"&lt;&gt;Off-street")&gt;0,1,0)</f>
        <v>0</v>
      </c>
      <c r="G248">
        <f>IF(COUNTIFS('United Data'!$A$3:$A$3390,G$1,'United Data'!$C$3:$C$3390,$A248,'United Data'!$B$3:$B$3390,"&lt;&gt;Off-street")&gt;0,1,0)</f>
        <v>0</v>
      </c>
      <c r="H248">
        <f>IF(COUNTIFS('United Data'!$A$3:$A$3390,H$1,'United Data'!$C$3:$C$3390,$A248,'United Data'!$B$3:$B$3390,"&lt;&gt;Off-street")&gt;0,1,0)</f>
        <v>0</v>
      </c>
      <c r="I248">
        <f>IF(COUNTIFS('United Data'!$A$3:$A$3390,I$1,'United Data'!$C$3:$C$3390,$A248,'United Data'!$B$3:$B$3390,"&lt;&gt;Off-street")&gt;0,1,0)</f>
        <v>0</v>
      </c>
      <c r="J248">
        <f>IF(COUNTIFS('United Data'!$A$3:$A$3390,J$1,'United Data'!$C$3:$C$3390,$A248,'United Data'!$B$3:$B$3390,"&lt;&gt;Off-street")&gt;0,1,0)</f>
        <v>0</v>
      </c>
      <c r="K248">
        <f>IF(COUNTIFS('United Data'!$A$3:$A$3390,K$1,'United Data'!$C$3:$C$3390,$A248,'United Data'!$B$3:$B$3390,"&lt;&gt;Off-street")&gt;0,1,0)</f>
        <v>0</v>
      </c>
      <c r="L248">
        <f>IF(COUNTIFS('United Data'!$A$3:$A$3390,L$1,'United Data'!$C$3:$C$3390,$A248,'United Data'!$B$3:$B$3390,"&lt;&gt;Off-street")&gt;0,1,0)</f>
        <v>0</v>
      </c>
      <c r="M248">
        <f>IF(COUNTIFS('United Data'!$A$3:$A$3390,M$1,'United Data'!$C$3:$C$3390,$A248,'United Data'!$B$3:$B$3390,"&lt;&gt;Off-street")&gt;0,1,0)</f>
        <v>0</v>
      </c>
      <c r="N248">
        <f>IF(COUNTIFS('United Data'!$A$3:$A$3390,N$1,'United Data'!$C$3:$C$3390,$A248,'United Data'!$B$3:$B$3390,"&lt;&gt;Off-street")&gt;0,1,0)</f>
        <v>0</v>
      </c>
      <c r="O248">
        <f>IF(COUNTIFS('United Data'!$A$3:$A$3390,O$1,'United Data'!$C$3:$C$3390,$A248,'United Data'!$B$3:$B$3390,"&lt;&gt;Off-street")&gt;0,1,0)</f>
        <v>0</v>
      </c>
      <c r="P248">
        <f>IF(COUNTIFS('United Data'!$A$3:$A$3390,P$1,'United Data'!$C$3:$C$3390,$A248,'United Data'!$B$3:$B$3390,"&lt;&gt;Off-street")&gt;0,1,0)</f>
        <v>0</v>
      </c>
      <c r="Q248">
        <f>IF(COUNTIFS('United Data'!$A$3:$A$3390,Q$1,'United Data'!$C$3:$C$3390,$A248,'United Data'!$B$3:$B$3390,"&lt;&gt;Off-street")&gt;0,1,0)</f>
        <v>0</v>
      </c>
      <c r="R248">
        <f>IF(COUNTIFS('United Data'!$A$3:$A$3390,R$1,'United Data'!$C$3:$C$3390,$A248,'United Data'!$B$3:$B$3390,"&lt;&gt;Off-street")&gt;0,1,0)</f>
        <v>0</v>
      </c>
      <c r="S248">
        <f t="shared" si="6"/>
        <v>2</v>
      </c>
      <c r="T248">
        <f t="shared" si="7"/>
        <v>1</v>
      </c>
    </row>
    <row r="249" spans="1:20" x14ac:dyDescent="0.2">
      <c r="A249" t="s">
        <v>322</v>
      </c>
      <c r="B249">
        <f>IF(COUNTIFS('United Data'!$A$3:$A$3390,B$1,'United Data'!$C$3:$C$3390,$A249,'United Data'!$B$3:$B$3390,"&lt;&gt;Off-street")&gt;0,1,0)</f>
        <v>0</v>
      </c>
      <c r="C249">
        <f>IF(COUNTIFS('United Data'!$A$3:$A$3390,C$1,'United Data'!$C$3:$C$3390,$A249,'United Data'!$B$3:$B$3390,"&lt;&gt;Off-street")&gt;0,1,0)</f>
        <v>0</v>
      </c>
      <c r="D249">
        <f>IF(COUNTIFS('United Data'!$A$3:$A$3390,D$1,'United Data'!$C$3:$C$3390,$A249,'United Data'!$B$3:$B$3390,"&lt;&gt;Off-street")&gt;0,1,0)</f>
        <v>0</v>
      </c>
      <c r="E249">
        <f>IF(COUNTIFS('United Data'!$A$3:$A$3390,E$1,'United Data'!$C$3:$C$3390,$A249,'United Data'!$B$3:$B$3390,"&lt;&gt;Off-street")&gt;0,1,0)</f>
        <v>1</v>
      </c>
      <c r="F249">
        <f>IF(COUNTIFS('United Data'!$A$3:$A$3390,F$1,'United Data'!$C$3:$C$3390,$A249,'United Data'!$B$3:$B$3390,"&lt;&gt;Off-street")&gt;0,1,0)</f>
        <v>0</v>
      </c>
      <c r="G249">
        <f>IF(COUNTIFS('United Data'!$A$3:$A$3390,G$1,'United Data'!$C$3:$C$3390,$A249,'United Data'!$B$3:$B$3390,"&lt;&gt;Off-street")&gt;0,1,0)</f>
        <v>0</v>
      </c>
      <c r="H249">
        <f>IF(COUNTIFS('United Data'!$A$3:$A$3390,H$1,'United Data'!$C$3:$C$3390,$A249,'United Data'!$B$3:$B$3390,"&lt;&gt;Off-street")&gt;0,1,0)</f>
        <v>0</v>
      </c>
      <c r="I249">
        <f>IF(COUNTIFS('United Data'!$A$3:$A$3390,I$1,'United Data'!$C$3:$C$3390,$A249,'United Data'!$B$3:$B$3390,"&lt;&gt;Off-street")&gt;0,1,0)</f>
        <v>0</v>
      </c>
      <c r="J249">
        <f>IF(COUNTIFS('United Data'!$A$3:$A$3390,J$1,'United Data'!$C$3:$C$3390,$A249,'United Data'!$B$3:$B$3390,"&lt;&gt;Off-street")&gt;0,1,0)</f>
        <v>0</v>
      </c>
      <c r="K249">
        <f>IF(COUNTIFS('United Data'!$A$3:$A$3390,K$1,'United Data'!$C$3:$C$3390,$A249,'United Data'!$B$3:$B$3390,"&lt;&gt;Off-street")&gt;0,1,0)</f>
        <v>0</v>
      </c>
      <c r="L249">
        <f>IF(COUNTIFS('United Data'!$A$3:$A$3390,L$1,'United Data'!$C$3:$C$3390,$A249,'United Data'!$B$3:$B$3390,"&lt;&gt;Off-street")&gt;0,1,0)</f>
        <v>0</v>
      </c>
      <c r="M249">
        <f>IF(COUNTIFS('United Data'!$A$3:$A$3390,M$1,'United Data'!$C$3:$C$3390,$A249,'United Data'!$B$3:$B$3390,"&lt;&gt;Off-street")&gt;0,1,0)</f>
        <v>0</v>
      </c>
      <c r="N249">
        <f>IF(COUNTIFS('United Data'!$A$3:$A$3390,N$1,'United Data'!$C$3:$C$3390,$A249,'United Data'!$B$3:$B$3390,"&lt;&gt;Off-street")&gt;0,1,0)</f>
        <v>0</v>
      </c>
      <c r="O249">
        <f>IF(COUNTIFS('United Data'!$A$3:$A$3390,O$1,'United Data'!$C$3:$C$3390,$A249,'United Data'!$B$3:$B$3390,"&lt;&gt;Off-street")&gt;0,1,0)</f>
        <v>0</v>
      </c>
      <c r="P249">
        <f>IF(COUNTIFS('United Data'!$A$3:$A$3390,P$1,'United Data'!$C$3:$C$3390,$A249,'United Data'!$B$3:$B$3390,"&lt;&gt;Off-street")&gt;0,1,0)</f>
        <v>0</v>
      </c>
      <c r="Q249">
        <f>IF(COUNTIFS('United Data'!$A$3:$A$3390,Q$1,'United Data'!$C$3:$C$3390,$A249,'United Data'!$B$3:$B$3390,"&lt;&gt;Off-street")&gt;0,1,0)</f>
        <v>0</v>
      </c>
      <c r="R249">
        <f>IF(COUNTIFS('United Data'!$A$3:$A$3390,R$1,'United Data'!$C$3:$C$3390,$A249,'United Data'!$B$3:$B$3390,"&lt;&gt;Off-street")&gt;0,1,0)</f>
        <v>0</v>
      </c>
      <c r="S249">
        <f t="shared" si="6"/>
        <v>1</v>
      </c>
      <c r="T249">
        <f t="shared" si="7"/>
        <v>1</v>
      </c>
    </row>
    <row r="250" spans="1:20" x14ac:dyDescent="0.2">
      <c r="A250" t="s">
        <v>323</v>
      </c>
      <c r="B250">
        <f>IF(COUNTIFS('United Data'!$A$3:$A$3390,B$1,'United Data'!$C$3:$C$3390,$A250,'United Data'!$B$3:$B$3390,"&lt;&gt;Off-street")&gt;0,1,0)</f>
        <v>0</v>
      </c>
      <c r="C250">
        <f>IF(COUNTIFS('United Data'!$A$3:$A$3390,C$1,'United Data'!$C$3:$C$3390,$A250,'United Data'!$B$3:$B$3390,"&lt;&gt;Off-street")&gt;0,1,0)</f>
        <v>0</v>
      </c>
      <c r="D250">
        <f>IF(COUNTIFS('United Data'!$A$3:$A$3390,D$1,'United Data'!$C$3:$C$3390,$A250,'United Data'!$B$3:$B$3390,"&lt;&gt;Off-street")&gt;0,1,0)</f>
        <v>0</v>
      </c>
      <c r="E250">
        <f>IF(COUNTIFS('United Data'!$A$3:$A$3390,E$1,'United Data'!$C$3:$C$3390,$A250,'United Data'!$B$3:$B$3390,"&lt;&gt;Off-street")&gt;0,1,0)</f>
        <v>1</v>
      </c>
      <c r="F250">
        <f>IF(COUNTIFS('United Data'!$A$3:$A$3390,F$1,'United Data'!$C$3:$C$3390,$A250,'United Data'!$B$3:$B$3390,"&lt;&gt;Off-street")&gt;0,1,0)</f>
        <v>0</v>
      </c>
      <c r="G250">
        <f>IF(COUNTIFS('United Data'!$A$3:$A$3390,G$1,'United Data'!$C$3:$C$3390,$A250,'United Data'!$B$3:$B$3390,"&lt;&gt;Off-street")&gt;0,1,0)</f>
        <v>0</v>
      </c>
      <c r="H250">
        <f>IF(COUNTIFS('United Data'!$A$3:$A$3390,H$1,'United Data'!$C$3:$C$3390,$A250,'United Data'!$B$3:$B$3390,"&lt;&gt;Off-street")&gt;0,1,0)</f>
        <v>0</v>
      </c>
      <c r="I250">
        <f>IF(COUNTIFS('United Data'!$A$3:$A$3390,I$1,'United Data'!$C$3:$C$3390,$A250,'United Data'!$B$3:$B$3390,"&lt;&gt;Off-street")&gt;0,1,0)</f>
        <v>0</v>
      </c>
      <c r="J250">
        <f>IF(COUNTIFS('United Data'!$A$3:$A$3390,J$1,'United Data'!$C$3:$C$3390,$A250,'United Data'!$B$3:$B$3390,"&lt;&gt;Off-street")&gt;0,1,0)</f>
        <v>0</v>
      </c>
      <c r="K250">
        <f>IF(COUNTIFS('United Data'!$A$3:$A$3390,K$1,'United Data'!$C$3:$C$3390,$A250,'United Data'!$B$3:$B$3390,"&lt;&gt;Off-street")&gt;0,1,0)</f>
        <v>0</v>
      </c>
      <c r="L250">
        <f>IF(COUNTIFS('United Data'!$A$3:$A$3390,L$1,'United Data'!$C$3:$C$3390,$A250,'United Data'!$B$3:$B$3390,"&lt;&gt;Off-street")&gt;0,1,0)</f>
        <v>0</v>
      </c>
      <c r="M250">
        <f>IF(COUNTIFS('United Data'!$A$3:$A$3390,M$1,'United Data'!$C$3:$C$3390,$A250,'United Data'!$B$3:$B$3390,"&lt;&gt;Off-street")&gt;0,1,0)</f>
        <v>0</v>
      </c>
      <c r="N250">
        <f>IF(COUNTIFS('United Data'!$A$3:$A$3390,N$1,'United Data'!$C$3:$C$3390,$A250,'United Data'!$B$3:$B$3390,"&lt;&gt;Off-street")&gt;0,1,0)</f>
        <v>0</v>
      </c>
      <c r="O250">
        <f>IF(COUNTIFS('United Data'!$A$3:$A$3390,O$1,'United Data'!$C$3:$C$3390,$A250,'United Data'!$B$3:$B$3390,"&lt;&gt;Off-street")&gt;0,1,0)</f>
        <v>0</v>
      </c>
      <c r="P250">
        <f>IF(COUNTIFS('United Data'!$A$3:$A$3390,P$1,'United Data'!$C$3:$C$3390,$A250,'United Data'!$B$3:$B$3390,"&lt;&gt;Off-street")&gt;0,1,0)</f>
        <v>0</v>
      </c>
      <c r="Q250">
        <f>IF(COUNTIFS('United Data'!$A$3:$A$3390,Q$1,'United Data'!$C$3:$C$3390,$A250,'United Data'!$B$3:$B$3390,"&lt;&gt;Off-street")&gt;0,1,0)</f>
        <v>0</v>
      </c>
      <c r="R250">
        <f>IF(COUNTIFS('United Data'!$A$3:$A$3390,R$1,'United Data'!$C$3:$C$3390,$A250,'United Data'!$B$3:$B$3390,"&lt;&gt;Off-street")&gt;0,1,0)</f>
        <v>0</v>
      </c>
      <c r="S250">
        <f t="shared" si="6"/>
        <v>1</v>
      </c>
      <c r="T250">
        <f t="shared" si="7"/>
        <v>1</v>
      </c>
    </row>
    <row r="251" spans="1:20" x14ac:dyDescent="0.2">
      <c r="A251" t="s">
        <v>324</v>
      </c>
      <c r="B251">
        <f>IF(COUNTIFS('United Data'!$A$3:$A$3390,B$1,'United Data'!$C$3:$C$3390,$A251,'United Data'!$B$3:$B$3390,"&lt;&gt;Off-street")&gt;0,1,0)</f>
        <v>0</v>
      </c>
      <c r="C251">
        <f>IF(COUNTIFS('United Data'!$A$3:$A$3390,C$1,'United Data'!$C$3:$C$3390,$A251,'United Data'!$B$3:$B$3390,"&lt;&gt;Off-street")&gt;0,1,0)</f>
        <v>0</v>
      </c>
      <c r="D251">
        <f>IF(COUNTIFS('United Data'!$A$3:$A$3390,D$1,'United Data'!$C$3:$C$3390,$A251,'United Data'!$B$3:$B$3390,"&lt;&gt;Off-street")&gt;0,1,0)</f>
        <v>0</v>
      </c>
      <c r="E251">
        <f>IF(COUNTIFS('United Data'!$A$3:$A$3390,E$1,'United Data'!$C$3:$C$3390,$A251,'United Data'!$B$3:$B$3390,"&lt;&gt;Off-street")&gt;0,1,0)</f>
        <v>1</v>
      </c>
      <c r="F251">
        <f>IF(COUNTIFS('United Data'!$A$3:$A$3390,F$1,'United Data'!$C$3:$C$3390,$A251,'United Data'!$B$3:$B$3390,"&lt;&gt;Off-street")&gt;0,1,0)</f>
        <v>0</v>
      </c>
      <c r="G251">
        <f>IF(COUNTIFS('United Data'!$A$3:$A$3390,G$1,'United Data'!$C$3:$C$3390,$A251,'United Data'!$B$3:$B$3390,"&lt;&gt;Off-street")&gt;0,1,0)</f>
        <v>0</v>
      </c>
      <c r="H251">
        <f>IF(COUNTIFS('United Data'!$A$3:$A$3390,H$1,'United Data'!$C$3:$C$3390,$A251,'United Data'!$B$3:$B$3390,"&lt;&gt;Off-street")&gt;0,1,0)</f>
        <v>0</v>
      </c>
      <c r="I251">
        <f>IF(COUNTIFS('United Data'!$A$3:$A$3390,I$1,'United Data'!$C$3:$C$3390,$A251,'United Data'!$B$3:$B$3390,"&lt;&gt;Off-street")&gt;0,1,0)</f>
        <v>0</v>
      </c>
      <c r="J251">
        <f>IF(COUNTIFS('United Data'!$A$3:$A$3390,J$1,'United Data'!$C$3:$C$3390,$A251,'United Data'!$B$3:$B$3390,"&lt;&gt;Off-street")&gt;0,1,0)</f>
        <v>0</v>
      </c>
      <c r="K251">
        <f>IF(COUNTIFS('United Data'!$A$3:$A$3390,K$1,'United Data'!$C$3:$C$3390,$A251,'United Data'!$B$3:$B$3390,"&lt;&gt;Off-street")&gt;0,1,0)</f>
        <v>0</v>
      </c>
      <c r="L251">
        <f>IF(COUNTIFS('United Data'!$A$3:$A$3390,L$1,'United Data'!$C$3:$C$3390,$A251,'United Data'!$B$3:$B$3390,"&lt;&gt;Off-street")&gt;0,1,0)</f>
        <v>0</v>
      </c>
      <c r="M251">
        <f>IF(COUNTIFS('United Data'!$A$3:$A$3390,M$1,'United Data'!$C$3:$C$3390,$A251,'United Data'!$B$3:$B$3390,"&lt;&gt;Off-street")&gt;0,1,0)</f>
        <v>0</v>
      </c>
      <c r="N251">
        <f>IF(COUNTIFS('United Data'!$A$3:$A$3390,N$1,'United Data'!$C$3:$C$3390,$A251,'United Data'!$B$3:$B$3390,"&lt;&gt;Off-street")&gt;0,1,0)</f>
        <v>0</v>
      </c>
      <c r="O251">
        <f>IF(COUNTIFS('United Data'!$A$3:$A$3390,O$1,'United Data'!$C$3:$C$3390,$A251,'United Data'!$B$3:$B$3390,"&lt;&gt;Off-street")&gt;0,1,0)</f>
        <v>0</v>
      </c>
      <c r="P251">
        <f>IF(COUNTIFS('United Data'!$A$3:$A$3390,P$1,'United Data'!$C$3:$C$3390,$A251,'United Data'!$B$3:$B$3390,"&lt;&gt;Off-street")&gt;0,1,0)</f>
        <v>0</v>
      </c>
      <c r="Q251">
        <f>IF(COUNTIFS('United Data'!$A$3:$A$3390,Q$1,'United Data'!$C$3:$C$3390,$A251,'United Data'!$B$3:$B$3390,"&lt;&gt;Off-street")&gt;0,1,0)</f>
        <v>0</v>
      </c>
      <c r="R251">
        <f>IF(COUNTIFS('United Data'!$A$3:$A$3390,R$1,'United Data'!$C$3:$C$3390,$A251,'United Data'!$B$3:$B$3390,"&lt;&gt;Off-street")&gt;0,1,0)</f>
        <v>0</v>
      </c>
      <c r="S251">
        <f t="shared" si="6"/>
        <v>1</v>
      </c>
      <c r="T251">
        <f t="shared" si="7"/>
        <v>1</v>
      </c>
    </row>
    <row r="252" spans="1:20" x14ac:dyDescent="0.2">
      <c r="A252" t="s">
        <v>325</v>
      </c>
      <c r="B252">
        <f>IF(COUNTIFS('United Data'!$A$3:$A$3390,B$1,'United Data'!$C$3:$C$3390,$A252,'United Data'!$B$3:$B$3390,"&lt;&gt;Off-street")&gt;0,1,0)</f>
        <v>0</v>
      </c>
      <c r="C252">
        <f>IF(COUNTIFS('United Data'!$A$3:$A$3390,C$1,'United Data'!$C$3:$C$3390,$A252,'United Data'!$B$3:$B$3390,"&lt;&gt;Off-street")&gt;0,1,0)</f>
        <v>0</v>
      </c>
      <c r="D252">
        <f>IF(COUNTIFS('United Data'!$A$3:$A$3390,D$1,'United Data'!$C$3:$C$3390,$A252,'United Data'!$B$3:$B$3390,"&lt;&gt;Off-street")&gt;0,1,0)</f>
        <v>0</v>
      </c>
      <c r="E252">
        <f>IF(COUNTIFS('United Data'!$A$3:$A$3390,E$1,'United Data'!$C$3:$C$3390,$A252,'United Data'!$B$3:$B$3390,"&lt;&gt;Off-street")&gt;0,1,0)</f>
        <v>1</v>
      </c>
      <c r="F252">
        <f>IF(COUNTIFS('United Data'!$A$3:$A$3390,F$1,'United Data'!$C$3:$C$3390,$A252,'United Data'!$B$3:$B$3390,"&lt;&gt;Off-street")&gt;0,1,0)</f>
        <v>0</v>
      </c>
      <c r="G252">
        <f>IF(COUNTIFS('United Data'!$A$3:$A$3390,G$1,'United Data'!$C$3:$C$3390,$A252,'United Data'!$B$3:$B$3390,"&lt;&gt;Off-street")&gt;0,1,0)</f>
        <v>0</v>
      </c>
      <c r="H252">
        <f>IF(COUNTIFS('United Data'!$A$3:$A$3390,H$1,'United Data'!$C$3:$C$3390,$A252,'United Data'!$B$3:$B$3390,"&lt;&gt;Off-street")&gt;0,1,0)</f>
        <v>0</v>
      </c>
      <c r="I252">
        <f>IF(COUNTIFS('United Data'!$A$3:$A$3390,I$1,'United Data'!$C$3:$C$3390,$A252,'United Data'!$B$3:$B$3390,"&lt;&gt;Off-street")&gt;0,1,0)</f>
        <v>0</v>
      </c>
      <c r="J252">
        <f>IF(COUNTIFS('United Data'!$A$3:$A$3390,J$1,'United Data'!$C$3:$C$3390,$A252,'United Data'!$B$3:$B$3390,"&lt;&gt;Off-street")&gt;0,1,0)</f>
        <v>0</v>
      </c>
      <c r="K252">
        <f>IF(COUNTIFS('United Data'!$A$3:$A$3390,K$1,'United Data'!$C$3:$C$3390,$A252,'United Data'!$B$3:$B$3390,"&lt;&gt;Off-street")&gt;0,1,0)</f>
        <v>0</v>
      </c>
      <c r="L252">
        <f>IF(COUNTIFS('United Data'!$A$3:$A$3390,L$1,'United Data'!$C$3:$C$3390,$A252,'United Data'!$B$3:$B$3390,"&lt;&gt;Off-street")&gt;0,1,0)</f>
        <v>0</v>
      </c>
      <c r="M252">
        <f>IF(COUNTIFS('United Data'!$A$3:$A$3390,M$1,'United Data'!$C$3:$C$3390,$A252,'United Data'!$B$3:$B$3390,"&lt;&gt;Off-street")&gt;0,1,0)</f>
        <v>0</v>
      </c>
      <c r="N252">
        <f>IF(COUNTIFS('United Data'!$A$3:$A$3390,N$1,'United Data'!$C$3:$C$3390,$A252,'United Data'!$B$3:$B$3390,"&lt;&gt;Off-street")&gt;0,1,0)</f>
        <v>0</v>
      </c>
      <c r="O252">
        <f>IF(COUNTIFS('United Data'!$A$3:$A$3390,O$1,'United Data'!$C$3:$C$3390,$A252,'United Data'!$B$3:$B$3390,"&lt;&gt;Off-street")&gt;0,1,0)</f>
        <v>0</v>
      </c>
      <c r="P252">
        <f>IF(COUNTIFS('United Data'!$A$3:$A$3390,P$1,'United Data'!$C$3:$C$3390,$A252,'United Data'!$B$3:$B$3390,"&lt;&gt;Off-street")&gt;0,1,0)</f>
        <v>0</v>
      </c>
      <c r="Q252">
        <f>IF(COUNTIFS('United Data'!$A$3:$A$3390,Q$1,'United Data'!$C$3:$C$3390,$A252,'United Data'!$B$3:$B$3390,"&lt;&gt;Off-street")&gt;0,1,0)</f>
        <v>0</v>
      </c>
      <c r="R252">
        <f>IF(COUNTIFS('United Data'!$A$3:$A$3390,R$1,'United Data'!$C$3:$C$3390,$A252,'United Data'!$B$3:$B$3390,"&lt;&gt;Off-street")&gt;0,1,0)</f>
        <v>0</v>
      </c>
      <c r="S252">
        <f t="shared" si="6"/>
        <v>1</v>
      </c>
      <c r="T252">
        <f t="shared" si="7"/>
        <v>1</v>
      </c>
    </row>
    <row r="253" spans="1:20" x14ac:dyDescent="0.2">
      <c r="A253" t="s">
        <v>326</v>
      </c>
      <c r="B253">
        <f>IF(COUNTIFS('United Data'!$A$3:$A$3390,B$1,'United Data'!$C$3:$C$3390,$A253,'United Data'!$B$3:$B$3390,"&lt;&gt;Off-street")&gt;0,1,0)</f>
        <v>0</v>
      </c>
      <c r="C253">
        <f>IF(COUNTIFS('United Data'!$A$3:$A$3390,C$1,'United Data'!$C$3:$C$3390,$A253,'United Data'!$B$3:$B$3390,"&lt;&gt;Off-street")&gt;0,1,0)</f>
        <v>1</v>
      </c>
      <c r="D253">
        <f>IF(COUNTIFS('United Data'!$A$3:$A$3390,D$1,'United Data'!$C$3:$C$3390,$A253,'United Data'!$B$3:$B$3390,"&lt;&gt;Off-street")&gt;0,1,0)</f>
        <v>1</v>
      </c>
      <c r="E253">
        <f>IF(COUNTIFS('United Data'!$A$3:$A$3390,E$1,'United Data'!$C$3:$C$3390,$A253,'United Data'!$B$3:$B$3390,"&lt;&gt;Off-street")&gt;0,1,0)</f>
        <v>1</v>
      </c>
      <c r="F253">
        <f>IF(COUNTIFS('United Data'!$A$3:$A$3390,F$1,'United Data'!$C$3:$C$3390,$A253,'United Data'!$B$3:$B$3390,"&lt;&gt;Off-street")&gt;0,1,0)</f>
        <v>1</v>
      </c>
      <c r="G253">
        <f>IF(COUNTIFS('United Data'!$A$3:$A$3390,G$1,'United Data'!$C$3:$C$3390,$A253,'United Data'!$B$3:$B$3390,"&lt;&gt;Off-street")&gt;0,1,0)</f>
        <v>0</v>
      </c>
      <c r="H253">
        <f>IF(COUNTIFS('United Data'!$A$3:$A$3390,H$1,'United Data'!$C$3:$C$3390,$A253,'United Data'!$B$3:$B$3390,"&lt;&gt;Off-street")&gt;0,1,0)</f>
        <v>0</v>
      </c>
      <c r="I253">
        <f>IF(COUNTIFS('United Data'!$A$3:$A$3390,I$1,'United Data'!$C$3:$C$3390,$A253,'United Data'!$B$3:$B$3390,"&lt;&gt;Off-street")&gt;0,1,0)</f>
        <v>1</v>
      </c>
      <c r="J253">
        <f>IF(COUNTIFS('United Data'!$A$3:$A$3390,J$1,'United Data'!$C$3:$C$3390,$A253,'United Data'!$B$3:$B$3390,"&lt;&gt;Off-street")&gt;0,1,0)</f>
        <v>0</v>
      </c>
      <c r="K253">
        <f>IF(COUNTIFS('United Data'!$A$3:$A$3390,K$1,'United Data'!$C$3:$C$3390,$A253,'United Data'!$B$3:$B$3390,"&lt;&gt;Off-street")&gt;0,1,0)</f>
        <v>0</v>
      </c>
      <c r="L253">
        <f>IF(COUNTIFS('United Data'!$A$3:$A$3390,L$1,'United Data'!$C$3:$C$3390,$A253,'United Data'!$B$3:$B$3390,"&lt;&gt;Off-street")&gt;0,1,0)</f>
        <v>0</v>
      </c>
      <c r="M253">
        <f>IF(COUNTIFS('United Data'!$A$3:$A$3390,M$1,'United Data'!$C$3:$C$3390,$A253,'United Data'!$B$3:$B$3390,"&lt;&gt;Off-street")&gt;0,1,0)</f>
        <v>0</v>
      </c>
      <c r="N253">
        <f>IF(COUNTIFS('United Data'!$A$3:$A$3390,N$1,'United Data'!$C$3:$C$3390,$A253,'United Data'!$B$3:$B$3390,"&lt;&gt;Off-street")&gt;0,1,0)</f>
        <v>1</v>
      </c>
      <c r="O253">
        <f>IF(COUNTIFS('United Data'!$A$3:$A$3390,O$1,'United Data'!$C$3:$C$3390,$A253,'United Data'!$B$3:$B$3390,"&lt;&gt;Off-street")&gt;0,1,0)</f>
        <v>1</v>
      </c>
      <c r="P253">
        <f>IF(COUNTIFS('United Data'!$A$3:$A$3390,P$1,'United Data'!$C$3:$C$3390,$A253,'United Data'!$B$3:$B$3390,"&lt;&gt;Off-street")&gt;0,1,0)</f>
        <v>0</v>
      </c>
      <c r="Q253">
        <f>IF(COUNTIFS('United Data'!$A$3:$A$3390,Q$1,'United Data'!$C$3:$C$3390,$A253,'United Data'!$B$3:$B$3390,"&lt;&gt;Off-street")&gt;0,1,0)</f>
        <v>1</v>
      </c>
      <c r="R253">
        <f>IF(COUNTIFS('United Data'!$A$3:$A$3390,R$1,'United Data'!$C$3:$C$3390,$A253,'United Data'!$B$3:$B$3390,"&lt;&gt;Off-street")&gt;0,1,0)</f>
        <v>0</v>
      </c>
      <c r="S253">
        <f t="shared" si="6"/>
        <v>8</v>
      </c>
      <c r="T253">
        <f t="shared" si="7"/>
        <v>4</v>
      </c>
    </row>
    <row r="254" spans="1:20" x14ac:dyDescent="0.2">
      <c r="A254" t="s">
        <v>327</v>
      </c>
      <c r="B254">
        <f>IF(COUNTIFS('United Data'!$A$3:$A$3390,B$1,'United Data'!$C$3:$C$3390,$A254,'United Data'!$B$3:$B$3390,"&lt;&gt;Off-street")&gt;0,1,0)</f>
        <v>0</v>
      </c>
      <c r="C254">
        <f>IF(COUNTIFS('United Data'!$A$3:$A$3390,C$1,'United Data'!$C$3:$C$3390,$A254,'United Data'!$B$3:$B$3390,"&lt;&gt;Off-street")&gt;0,1,0)</f>
        <v>1</v>
      </c>
      <c r="D254">
        <f>IF(COUNTIFS('United Data'!$A$3:$A$3390,D$1,'United Data'!$C$3:$C$3390,$A254,'United Data'!$B$3:$B$3390,"&lt;&gt;Off-street")&gt;0,1,0)</f>
        <v>0</v>
      </c>
      <c r="E254">
        <f>IF(COUNTIFS('United Data'!$A$3:$A$3390,E$1,'United Data'!$C$3:$C$3390,$A254,'United Data'!$B$3:$B$3390,"&lt;&gt;Off-street")&gt;0,1,0)</f>
        <v>1</v>
      </c>
      <c r="F254">
        <f>IF(COUNTIFS('United Data'!$A$3:$A$3390,F$1,'United Data'!$C$3:$C$3390,$A254,'United Data'!$B$3:$B$3390,"&lt;&gt;Off-street")&gt;0,1,0)</f>
        <v>0</v>
      </c>
      <c r="G254">
        <f>IF(COUNTIFS('United Data'!$A$3:$A$3390,G$1,'United Data'!$C$3:$C$3390,$A254,'United Data'!$B$3:$B$3390,"&lt;&gt;Off-street")&gt;0,1,0)</f>
        <v>1</v>
      </c>
      <c r="H254">
        <f>IF(COUNTIFS('United Data'!$A$3:$A$3390,H$1,'United Data'!$C$3:$C$3390,$A254,'United Data'!$B$3:$B$3390,"&lt;&gt;Off-street")&gt;0,1,0)</f>
        <v>0</v>
      </c>
      <c r="I254">
        <f>IF(COUNTIFS('United Data'!$A$3:$A$3390,I$1,'United Data'!$C$3:$C$3390,$A254,'United Data'!$B$3:$B$3390,"&lt;&gt;Off-street")&gt;0,1,0)</f>
        <v>0</v>
      </c>
      <c r="J254">
        <f>IF(COUNTIFS('United Data'!$A$3:$A$3390,J$1,'United Data'!$C$3:$C$3390,$A254,'United Data'!$B$3:$B$3390,"&lt;&gt;Off-street")&gt;0,1,0)</f>
        <v>0</v>
      </c>
      <c r="K254">
        <f>IF(COUNTIFS('United Data'!$A$3:$A$3390,K$1,'United Data'!$C$3:$C$3390,$A254,'United Data'!$B$3:$B$3390,"&lt;&gt;Off-street")&gt;0,1,0)</f>
        <v>1</v>
      </c>
      <c r="L254">
        <f>IF(COUNTIFS('United Data'!$A$3:$A$3390,L$1,'United Data'!$C$3:$C$3390,$A254,'United Data'!$B$3:$B$3390,"&lt;&gt;Off-street")&gt;0,1,0)</f>
        <v>0</v>
      </c>
      <c r="M254">
        <f>IF(COUNTIFS('United Data'!$A$3:$A$3390,M$1,'United Data'!$C$3:$C$3390,$A254,'United Data'!$B$3:$B$3390,"&lt;&gt;Off-street")&gt;0,1,0)</f>
        <v>0</v>
      </c>
      <c r="N254">
        <f>IF(COUNTIFS('United Data'!$A$3:$A$3390,N$1,'United Data'!$C$3:$C$3390,$A254,'United Data'!$B$3:$B$3390,"&lt;&gt;Off-street")&gt;0,1,0)</f>
        <v>0</v>
      </c>
      <c r="O254">
        <f>IF(COUNTIFS('United Data'!$A$3:$A$3390,O$1,'United Data'!$C$3:$C$3390,$A254,'United Data'!$B$3:$B$3390,"&lt;&gt;Off-street")&gt;0,1,0)</f>
        <v>1</v>
      </c>
      <c r="P254">
        <f>IF(COUNTIFS('United Data'!$A$3:$A$3390,P$1,'United Data'!$C$3:$C$3390,$A254,'United Data'!$B$3:$B$3390,"&lt;&gt;Off-street")&gt;0,1,0)</f>
        <v>0</v>
      </c>
      <c r="Q254">
        <f>IF(COUNTIFS('United Data'!$A$3:$A$3390,Q$1,'United Data'!$C$3:$C$3390,$A254,'United Data'!$B$3:$B$3390,"&lt;&gt;Off-street")&gt;0,1,0)</f>
        <v>1</v>
      </c>
      <c r="R254">
        <f>IF(COUNTIFS('United Data'!$A$3:$A$3390,R$1,'United Data'!$C$3:$C$3390,$A254,'United Data'!$B$3:$B$3390,"&lt;&gt;Off-street")&gt;0,1,0)</f>
        <v>0</v>
      </c>
      <c r="S254">
        <f t="shared" si="6"/>
        <v>6</v>
      </c>
      <c r="T254">
        <f t="shared" si="7"/>
        <v>6</v>
      </c>
    </row>
    <row r="255" spans="1:20" x14ac:dyDescent="0.2">
      <c r="A255" t="s">
        <v>328</v>
      </c>
      <c r="B255">
        <f>IF(COUNTIFS('United Data'!$A$3:$A$3390,B$1,'United Data'!$C$3:$C$3390,$A255,'United Data'!$B$3:$B$3390,"&lt;&gt;Off-street")&gt;0,1,0)</f>
        <v>0</v>
      </c>
      <c r="C255">
        <f>IF(COUNTIFS('United Data'!$A$3:$A$3390,C$1,'United Data'!$C$3:$C$3390,$A255,'United Data'!$B$3:$B$3390,"&lt;&gt;Off-street")&gt;0,1,0)</f>
        <v>0</v>
      </c>
      <c r="D255">
        <f>IF(COUNTIFS('United Data'!$A$3:$A$3390,D$1,'United Data'!$C$3:$C$3390,$A255,'United Data'!$B$3:$B$3390,"&lt;&gt;Off-street")&gt;0,1,0)</f>
        <v>0</v>
      </c>
      <c r="E255">
        <f>IF(COUNTIFS('United Data'!$A$3:$A$3390,E$1,'United Data'!$C$3:$C$3390,$A255,'United Data'!$B$3:$B$3390,"&lt;&gt;Off-street")&gt;0,1,0)</f>
        <v>1</v>
      </c>
      <c r="F255">
        <f>IF(COUNTIFS('United Data'!$A$3:$A$3390,F$1,'United Data'!$C$3:$C$3390,$A255,'United Data'!$B$3:$B$3390,"&lt;&gt;Off-street")&gt;0,1,0)</f>
        <v>0</v>
      </c>
      <c r="G255">
        <f>IF(COUNTIFS('United Data'!$A$3:$A$3390,G$1,'United Data'!$C$3:$C$3390,$A255,'United Data'!$B$3:$B$3390,"&lt;&gt;Off-street")&gt;0,1,0)</f>
        <v>0</v>
      </c>
      <c r="H255">
        <f>IF(COUNTIFS('United Data'!$A$3:$A$3390,H$1,'United Data'!$C$3:$C$3390,$A255,'United Data'!$B$3:$B$3390,"&lt;&gt;Off-street")&gt;0,1,0)</f>
        <v>0</v>
      </c>
      <c r="I255">
        <f>IF(COUNTIFS('United Data'!$A$3:$A$3390,I$1,'United Data'!$C$3:$C$3390,$A255,'United Data'!$B$3:$B$3390,"&lt;&gt;Off-street")&gt;0,1,0)</f>
        <v>0</v>
      </c>
      <c r="J255">
        <f>IF(COUNTIFS('United Data'!$A$3:$A$3390,J$1,'United Data'!$C$3:$C$3390,$A255,'United Data'!$B$3:$B$3390,"&lt;&gt;Off-street")&gt;0,1,0)</f>
        <v>0</v>
      </c>
      <c r="K255">
        <f>IF(COUNTIFS('United Data'!$A$3:$A$3390,K$1,'United Data'!$C$3:$C$3390,$A255,'United Data'!$B$3:$B$3390,"&lt;&gt;Off-street")&gt;0,1,0)</f>
        <v>0</v>
      </c>
      <c r="L255">
        <f>IF(COUNTIFS('United Data'!$A$3:$A$3390,L$1,'United Data'!$C$3:$C$3390,$A255,'United Data'!$B$3:$B$3390,"&lt;&gt;Off-street")&gt;0,1,0)</f>
        <v>0</v>
      </c>
      <c r="M255">
        <f>IF(COUNTIFS('United Data'!$A$3:$A$3390,M$1,'United Data'!$C$3:$C$3390,$A255,'United Data'!$B$3:$B$3390,"&lt;&gt;Off-street")&gt;0,1,0)</f>
        <v>0</v>
      </c>
      <c r="N255">
        <f>IF(COUNTIFS('United Data'!$A$3:$A$3390,N$1,'United Data'!$C$3:$C$3390,$A255,'United Data'!$B$3:$B$3390,"&lt;&gt;Off-street")&gt;0,1,0)</f>
        <v>0</v>
      </c>
      <c r="O255">
        <f>IF(COUNTIFS('United Data'!$A$3:$A$3390,O$1,'United Data'!$C$3:$C$3390,$A255,'United Data'!$B$3:$B$3390,"&lt;&gt;Off-street")&gt;0,1,0)</f>
        <v>0</v>
      </c>
      <c r="P255">
        <f>IF(COUNTIFS('United Data'!$A$3:$A$3390,P$1,'United Data'!$C$3:$C$3390,$A255,'United Data'!$B$3:$B$3390,"&lt;&gt;Off-street")&gt;0,1,0)</f>
        <v>0</v>
      </c>
      <c r="Q255">
        <f>IF(COUNTIFS('United Data'!$A$3:$A$3390,Q$1,'United Data'!$C$3:$C$3390,$A255,'United Data'!$B$3:$B$3390,"&lt;&gt;Off-street")&gt;0,1,0)</f>
        <v>0</v>
      </c>
      <c r="R255">
        <f>IF(COUNTIFS('United Data'!$A$3:$A$3390,R$1,'United Data'!$C$3:$C$3390,$A255,'United Data'!$B$3:$B$3390,"&lt;&gt;Off-street")&gt;0,1,0)</f>
        <v>0</v>
      </c>
      <c r="S255">
        <f t="shared" si="6"/>
        <v>1</v>
      </c>
      <c r="T255">
        <f t="shared" si="7"/>
        <v>1</v>
      </c>
    </row>
    <row r="256" spans="1:20" x14ac:dyDescent="0.2">
      <c r="A256" t="s">
        <v>330</v>
      </c>
      <c r="B256">
        <f>IF(COUNTIFS('United Data'!$A$3:$A$3390,B$1,'United Data'!$C$3:$C$3390,$A256,'United Data'!$B$3:$B$3390,"&lt;&gt;Off-street")&gt;0,1,0)</f>
        <v>0</v>
      </c>
      <c r="C256">
        <f>IF(COUNTIFS('United Data'!$A$3:$A$3390,C$1,'United Data'!$C$3:$C$3390,$A256,'United Data'!$B$3:$B$3390,"&lt;&gt;Off-street")&gt;0,1,0)</f>
        <v>0</v>
      </c>
      <c r="D256">
        <f>IF(COUNTIFS('United Data'!$A$3:$A$3390,D$1,'United Data'!$C$3:$C$3390,$A256,'United Data'!$B$3:$B$3390,"&lt;&gt;Off-street")&gt;0,1,0)</f>
        <v>0</v>
      </c>
      <c r="E256">
        <f>IF(COUNTIFS('United Data'!$A$3:$A$3390,E$1,'United Data'!$C$3:$C$3390,$A256,'United Data'!$B$3:$B$3390,"&lt;&gt;Off-street")&gt;0,1,0)</f>
        <v>0</v>
      </c>
      <c r="F256">
        <f>IF(COUNTIFS('United Data'!$A$3:$A$3390,F$1,'United Data'!$C$3:$C$3390,$A256,'United Data'!$B$3:$B$3390,"&lt;&gt;Off-street")&gt;0,1,0)</f>
        <v>1</v>
      </c>
      <c r="G256">
        <f>IF(COUNTIFS('United Data'!$A$3:$A$3390,G$1,'United Data'!$C$3:$C$3390,$A256,'United Data'!$B$3:$B$3390,"&lt;&gt;Off-street")&gt;0,1,0)</f>
        <v>0</v>
      </c>
      <c r="H256">
        <f>IF(COUNTIFS('United Data'!$A$3:$A$3390,H$1,'United Data'!$C$3:$C$3390,$A256,'United Data'!$B$3:$B$3390,"&lt;&gt;Off-street")&gt;0,1,0)</f>
        <v>0</v>
      </c>
      <c r="I256">
        <f>IF(COUNTIFS('United Data'!$A$3:$A$3390,I$1,'United Data'!$C$3:$C$3390,$A256,'United Data'!$B$3:$B$3390,"&lt;&gt;Off-street")&gt;0,1,0)</f>
        <v>0</v>
      </c>
      <c r="J256">
        <f>IF(COUNTIFS('United Data'!$A$3:$A$3390,J$1,'United Data'!$C$3:$C$3390,$A256,'United Data'!$B$3:$B$3390,"&lt;&gt;Off-street")&gt;0,1,0)</f>
        <v>0</v>
      </c>
      <c r="K256">
        <f>IF(COUNTIFS('United Data'!$A$3:$A$3390,K$1,'United Data'!$C$3:$C$3390,$A256,'United Data'!$B$3:$B$3390,"&lt;&gt;Off-street")&gt;0,1,0)</f>
        <v>0</v>
      </c>
      <c r="L256">
        <f>IF(COUNTIFS('United Data'!$A$3:$A$3390,L$1,'United Data'!$C$3:$C$3390,$A256,'United Data'!$B$3:$B$3390,"&lt;&gt;Off-street")&gt;0,1,0)</f>
        <v>0</v>
      </c>
      <c r="M256">
        <f>IF(COUNTIFS('United Data'!$A$3:$A$3390,M$1,'United Data'!$C$3:$C$3390,$A256,'United Data'!$B$3:$B$3390,"&lt;&gt;Off-street")&gt;0,1,0)</f>
        <v>0</v>
      </c>
      <c r="N256">
        <f>IF(COUNTIFS('United Data'!$A$3:$A$3390,N$1,'United Data'!$C$3:$C$3390,$A256,'United Data'!$B$3:$B$3390,"&lt;&gt;Off-street")&gt;0,1,0)</f>
        <v>0</v>
      </c>
      <c r="O256">
        <f>IF(COUNTIFS('United Data'!$A$3:$A$3390,O$1,'United Data'!$C$3:$C$3390,$A256,'United Data'!$B$3:$B$3390,"&lt;&gt;Off-street")&gt;0,1,0)</f>
        <v>0</v>
      </c>
      <c r="P256">
        <f>IF(COUNTIFS('United Data'!$A$3:$A$3390,P$1,'United Data'!$C$3:$C$3390,$A256,'United Data'!$B$3:$B$3390,"&lt;&gt;Off-street")&gt;0,1,0)</f>
        <v>0</v>
      </c>
      <c r="Q256">
        <f>IF(COUNTIFS('United Data'!$A$3:$A$3390,Q$1,'United Data'!$C$3:$C$3390,$A256,'United Data'!$B$3:$B$3390,"&lt;&gt;Off-street")&gt;0,1,0)</f>
        <v>0</v>
      </c>
      <c r="R256">
        <f>IF(COUNTIFS('United Data'!$A$3:$A$3390,R$1,'United Data'!$C$3:$C$3390,$A256,'United Data'!$B$3:$B$3390,"&lt;&gt;Off-street")&gt;0,1,0)</f>
        <v>0</v>
      </c>
      <c r="S256">
        <f t="shared" si="6"/>
        <v>1</v>
      </c>
      <c r="T256">
        <f t="shared" si="7"/>
        <v>1</v>
      </c>
    </row>
    <row r="257" spans="1:20" x14ac:dyDescent="0.2">
      <c r="A257" t="s">
        <v>331</v>
      </c>
      <c r="B257">
        <f>IF(COUNTIFS('United Data'!$A$3:$A$3390,B$1,'United Data'!$C$3:$C$3390,$A257,'United Data'!$B$3:$B$3390,"&lt;&gt;Off-street")&gt;0,1,0)</f>
        <v>0</v>
      </c>
      <c r="C257">
        <f>IF(COUNTIFS('United Data'!$A$3:$A$3390,C$1,'United Data'!$C$3:$C$3390,$A257,'United Data'!$B$3:$B$3390,"&lt;&gt;Off-street")&gt;0,1,0)</f>
        <v>1</v>
      </c>
      <c r="D257">
        <f>IF(COUNTIFS('United Data'!$A$3:$A$3390,D$1,'United Data'!$C$3:$C$3390,$A257,'United Data'!$B$3:$B$3390,"&lt;&gt;Off-street")&gt;0,1,0)</f>
        <v>1</v>
      </c>
      <c r="E257">
        <f>IF(COUNTIFS('United Data'!$A$3:$A$3390,E$1,'United Data'!$C$3:$C$3390,$A257,'United Data'!$B$3:$B$3390,"&lt;&gt;Off-street")&gt;0,1,0)</f>
        <v>0</v>
      </c>
      <c r="F257">
        <f>IF(COUNTIFS('United Data'!$A$3:$A$3390,F$1,'United Data'!$C$3:$C$3390,$A257,'United Data'!$B$3:$B$3390,"&lt;&gt;Off-street")&gt;0,1,0)</f>
        <v>1</v>
      </c>
      <c r="G257">
        <f>IF(COUNTIFS('United Data'!$A$3:$A$3390,G$1,'United Data'!$C$3:$C$3390,$A257,'United Data'!$B$3:$B$3390,"&lt;&gt;Off-street")&gt;0,1,0)</f>
        <v>0</v>
      </c>
      <c r="H257">
        <f>IF(COUNTIFS('United Data'!$A$3:$A$3390,H$1,'United Data'!$C$3:$C$3390,$A257,'United Data'!$B$3:$B$3390,"&lt;&gt;Off-street")&gt;0,1,0)</f>
        <v>0</v>
      </c>
      <c r="I257">
        <f>IF(COUNTIFS('United Data'!$A$3:$A$3390,I$1,'United Data'!$C$3:$C$3390,$A257,'United Data'!$B$3:$B$3390,"&lt;&gt;Off-street")&gt;0,1,0)</f>
        <v>0</v>
      </c>
      <c r="J257">
        <f>IF(COUNTIFS('United Data'!$A$3:$A$3390,J$1,'United Data'!$C$3:$C$3390,$A257,'United Data'!$B$3:$B$3390,"&lt;&gt;Off-street")&gt;0,1,0)</f>
        <v>0</v>
      </c>
      <c r="K257">
        <f>IF(COUNTIFS('United Data'!$A$3:$A$3390,K$1,'United Data'!$C$3:$C$3390,$A257,'United Data'!$B$3:$B$3390,"&lt;&gt;Off-street")&gt;0,1,0)</f>
        <v>0</v>
      </c>
      <c r="L257">
        <f>IF(COUNTIFS('United Data'!$A$3:$A$3390,L$1,'United Data'!$C$3:$C$3390,$A257,'United Data'!$B$3:$B$3390,"&lt;&gt;Off-street")&gt;0,1,0)</f>
        <v>0</v>
      </c>
      <c r="M257">
        <f>IF(COUNTIFS('United Data'!$A$3:$A$3390,M$1,'United Data'!$C$3:$C$3390,$A257,'United Data'!$B$3:$B$3390,"&lt;&gt;Off-street")&gt;0,1,0)</f>
        <v>1</v>
      </c>
      <c r="N257">
        <f>IF(COUNTIFS('United Data'!$A$3:$A$3390,N$1,'United Data'!$C$3:$C$3390,$A257,'United Data'!$B$3:$B$3390,"&lt;&gt;Off-street")&gt;0,1,0)</f>
        <v>1</v>
      </c>
      <c r="O257">
        <f>IF(COUNTIFS('United Data'!$A$3:$A$3390,O$1,'United Data'!$C$3:$C$3390,$A257,'United Data'!$B$3:$B$3390,"&lt;&gt;Off-street")&gt;0,1,0)</f>
        <v>1</v>
      </c>
      <c r="P257">
        <f>IF(COUNTIFS('United Data'!$A$3:$A$3390,P$1,'United Data'!$C$3:$C$3390,$A257,'United Data'!$B$3:$B$3390,"&lt;&gt;Off-street")&gt;0,1,0)</f>
        <v>1</v>
      </c>
      <c r="Q257">
        <f>IF(COUNTIFS('United Data'!$A$3:$A$3390,Q$1,'United Data'!$C$3:$C$3390,$A257,'United Data'!$B$3:$B$3390,"&lt;&gt;Off-street")&gt;0,1,0)</f>
        <v>0</v>
      </c>
      <c r="R257">
        <f>IF(COUNTIFS('United Data'!$A$3:$A$3390,R$1,'United Data'!$C$3:$C$3390,$A257,'United Data'!$B$3:$B$3390,"&lt;&gt;Off-street")&gt;0,1,0)</f>
        <v>0</v>
      </c>
      <c r="S257">
        <f t="shared" si="6"/>
        <v>7</v>
      </c>
      <c r="T257">
        <f t="shared" si="7"/>
        <v>3</v>
      </c>
    </row>
    <row r="258" spans="1:20" x14ac:dyDescent="0.2">
      <c r="A258" t="s">
        <v>334</v>
      </c>
      <c r="B258">
        <f>IF(COUNTIFS('United Data'!$A$3:$A$3390,B$1,'United Data'!$C$3:$C$3390,$A258,'United Data'!$B$3:$B$3390,"&lt;&gt;Off-street")&gt;0,1,0)</f>
        <v>0</v>
      </c>
      <c r="C258">
        <f>IF(COUNTIFS('United Data'!$A$3:$A$3390,C$1,'United Data'!$C$3:$C$3390,$A258,'United Data'!$B$3:$B$3390,"&lt;&gt;Off-street")&gt;0,1,0)</f>
        <v>0</v>
      </c>
      <c r="D258">
        <f>IF(COUNTIFS('United Data'!$A$3:$A$3390,D$1,'United Data'!$C$3:$C$3390,$A258,'United Data'!$B$3:$B$3390,"&lt;&gt;Off-street")&gt;0,1,0)</f>
        <v>0</v>
      </c>
      <c r="E258">
        <f>IF(COUNTIFS('United Data'!$A$3:$A$3390,E$1,'United Data'!$C$3:$C$3390,$A258,'United Data'!$B$3:$B$3390,"&lt;&gt;Off-street")&gt;0,1,0)</f>
        <v>0</v>
      </c>
      <c r="F258">
        <f>IF(COUNTIFS('United Data'!$A$3:$A$3390,F$1,'United Data'!$C$3:$C$3390,$A258,'United Data'!$B$3:$B$3390,"&lt;&gt;Off-street")&gt;0,1,0)</f>
        <v>1</v>
      </c>
      <c r="G258">
        <f>IF(COUNTIFS('United Data'!$A$3:$A$3390,G$1,'United Data'!$C$3:$C$3390,$A258,'United Data'!$B$3:$B$3390,"&lt;&gt;Off-street")&gt;0,1,0)</f>
        <v>0</v>
      </c>
      <c r="H258">
        <f>IF(COUNTIFS('United Data'!$A$3:$A$3390,H$1,'United Data'!$C$3:$C$3390,$A258,'United Data'!$B$3:$B$3390,"&lt;&gt;Off-street")&gt;0,1,0)</f>
        <v>0</v>
      </c>
      <c r="I258">
        <f>IF(COUNTIFS('United Data'!$A$3:$A$3390,I$1,'United Data'!$C$3:$C$3390,$A258,'United Data'!$B$3:$B$3390,"&lt;&gt;Off-street")&gt;0,1,0)</f>
        <v>0</v>
      </c>
      <c r="J258">
        <f>IF(COUNTIFS('United Data'!$A$3:$A$3390,J$1,'United Data'!$C$3:$C$3390,$A258,'United Data'!$B$3:$B$3390,"&lt;&gt;Off-street")&gt;0,1,0)</f>
        <v>0</v>
      </c>
      <c r="K258">
        <f>IF(COUNTIFS('United Data'!$A$3:$A$3390,K$1,'United Data'!$C$3:$C$3390,$A258,'United Data'!$B$3:$B$3390,"&lt;&gt;Off-street")&gt;0,1,0)</f>
        <v>0</v>
      </c>
      <c r="L258">
        <f>IF(COUNTIFS('United Data'!$A$3:$A$3390,L$1,'United Data'!$C$3:$C$3390,$A258,'United Data'!$B$3:$B$3390,"&lt;&gt;Off-street")&gt;0,1,0)</f>
        <v>0</v>
      </c>
      <c r="M258">
        <f>IF(COUNTIFS('United Data'!$A$3:$A$3390,M$1,'United Data'!$C$3:$C$3390,$A258,'United Data'!$B$3:$B$3390,"&lt;&gt;Off-street")&gt;0,1,0)</f>
        <v>0</v>
      </c>
      <c r="N258">
        <f>IF(COUNTIFS('United Data'!$A$3:$A$3390,N$1,'United Data'!$C$3:$C$3390,$A258,'United Data'!$B$3:$B$3390,"&lt;&gt;Off-street")&gt;0,1,0)</f>
        <v>0</v>
      </c>
      <c r="O258">
        <f>IF(COUNTIFS('United Data'!$A$3:$A$3390,O$1,'United Data'!$C$3:$C$3390,$A258,'United Data'!$B$3:$B$3390,"&lt;&gt;Off-street")&gt;0,1,0)</f>
        <v>0</v>
      </c>
      <c r="P258">
        <f>IF(COUNTIFS('United Data'!$A$3:$A$3390,P$1,'United Data'!$C$3:$C$3390,$A258,'United Data'!$B$3:$B$3390,"&lt;&gt;Off-street")&gt;0,1,0)</f>
        <v>0</v>
      </c>
      <c r="Q258">
        <f>IF(COUNTIFS('United Data'!$A$3:$A$3390,Q$1,'United Data'!$C$3:$C$3390,$A258,'United Data'!$B$3:$B$3390,"&lt;&gt;Off-street")&gt;0,1,0)</f>
        <v>0</v>
      </c>
      <c r="R258">
        <f>IF(COUNTIFS('United Data'!$A$3:$A$3390,R$1,'United Data'!$C$3:$C$3390,$A258,'United Data'!$B$3:$B$3390,"&lt;&gt;Off-street")&gt;0,1,0)</f>
        <v>0</v>
      </c>
      <c r="S258">
        <f t="shared" ref="S258:S321" si="8">SUM(B258:R258)</f>
        <v>1</v>
      </c>
      <c r="T258">
        <f t="shared" ref="T258:T321" si="9">B258+SUMPRODUCT(--(C258:R258&gt;B258:Q258))</f>
        <v>1</v>
      </c>
    </row>
    <row r="259" spans="1:20" x14ac:dyDescent="0.2">
      <c r="A259" t="s">
        <v>335</v>
      </c>
      <c r="B259">
        <f>IF(COUNTIFS('United Data'!$A$3:$A$3390,B$1,'United Data'!$C$3:$C$3390,$A259,'United Data'!$B$3:$B$3390,"&lt;&gt;Off-street")&gt;0,1,0)</f>
        <v>0</v>
      </c>
      <c r="C259">
        <f>IF(COUNTIFS('United Data'!$A$3:$A$3390,C$1,'United Data'!$C$3:$C$3390,$A259,'United Data'!$B$3:$B$3390,"&lt;&gt;Off-street")&gt;0,1,0)</f>
        <v>0</v>
      </c>
      <c r="D259">
        <f>IF(COUNTIFS('United Data'!$A$3:$A$3390,D$1,'United Data'!$C$3:$C$3390,$A259,'United Data'!$B$3:$B$3390,"&lt;&gt;Off-street")&gt;0,1,0)</f>
        <v>0</v>
      </c>
      <c r="E259">
        <f>IF(COUNTIFS('United Data'!$A$3:$A$3390,E$1,'United Data'!$C$3:$C$3390,$A259,'United Data'!$B$3:$B$3390,"&lt;&gt;Off-street")&gt;0,1,0)</f>
        <v>0</v>
      </c>
      <c r="F259">
        <f>IF(COUNTIFS('United Data'!$A$3:$A$3390,F$1,'United Data'!$C$3:$C$3390,$A259,'United Data'!$B$3:$B$3390,"&lt;&gt;Off-street")&gt;0,1,0)</f>
        <v>0</v>
      </c>
      <c r="G259">
        <f>IF(COUNTIFS('United Data'!$A$3:$A$3390,G$1,'United Data'!$C$3:$C$3390,$A259,'United Data'!$B$3:$B$3390,"&lt;&gt;Off-street")&gt;0,1,0)</f>
        <v>1</v>
      </c>
      <c r="H259">
        <f>IF(COUNTIFS('United Data'!$A$3:$A$3390,H$1,'United Data'!$C$3:$C$3390,$A259,'United Data'!$B$3:$B$3390,"&lt;&gt;Off-street")&gt;0,1,0)</f>
        <v>0</v>
      </c>
      <c r="I259">
        <f>IF(COUNTIFS('United Data'!$A$3:$A$3390,I$1,'United Data'!$C$3:$C$3390,$A259,'United Data'!$B$3:$B$3390,"&lt;&gt;Off-street")&gt;0,1,0)</f>
        <v>0</v>
      </c>
      <c r="J259">
        <f>IF(COUNTIFS('United Data'!$A$3:$A$3390,J$1,'United Data'!$C$3:$C$3390,$A259,'United Data'!$B$3:$B$3390,"&lt;&gt;Off-street")&gt;0,1,0)</f>
        <v>0</v>
      </c>
      <c r="K259">
        <f>IF(COUNTIFS('United Data'!$A$3:$A$3390,K$1,'United Data'!$C$3:$C$3390,$A259,'United Data'!$B$3:$B$3390,"&lt;&gt;Off-street")&gt;0,1,0)</f>
        <v>0</v>
      </c>
      <c r="L259">
        <f>IF(COUNTIFS('United Data'!$A$3:$A$3390,L$1,'United Data'!$C$3:$C$3390,$A259,'United Data'!$B$3:$B$3390,"&lt;&gt;Off-street")&gt;0,1,0)</f>
        <v>0</v>
      </c>
      <c r="M259">
        <f>IF(COUNTIFS('United Data'!$A$3:$A$3390,M$1,'United Data'!$C$3:$C$3390,$A259,'United Data'!$B$3:$B$3390,"&lt;&gt;Off-street")&gt;0,1,0)</f>
        <v>0</v>
      </c>
      <c r="N259">
        <f>IF(COUNTIFS('United Data'!$A$3:$A$3390,N$1,'United Data'!$C$3:$C$3390,$A259,'United Data'!$B$3:$B$3390,"&lt;&gt;Off-street")&gt;0,1,0)</f>
        <v>0</v>
      </c>
      <c r="O259">
        <f>IF(COUNTIFS('United Data'!$A$3:$A$3390,O$1,'United Data'!$C$3:$C$3390,$A259,'United Data'!$B$3:$B$3390,"&lt;&gt;Off-street")&gt;0,1,0)</f>
        <v>0</v>
      </c>
      <c r="P259">
        <f>IF(COUNTIFS('United Data'!$A$3:$A$3390,P$1,'United Data'!$C$3:$C$3390,$A259,'United Data'!$B$3:$B$3390,"&lt;&gt;Off-street")&gt;0,1,0)</f>
        <v>0</v>
      </c>
      <c r="Q259">
        <f>IF(COUNTIFS('United Data'!$A$3:$A$3390,Q$1,'United Data'!$C$3:$C$3390,$A259,'United Data'!$B$3:$B$3390,"&lt;&gt;Off-street")&gt;0,1,0)</f>
        <v>0</v>
      </c>
      <c r="R259">
        <f>IF(COUNTIFS('United Data'!$A$3:$A$3390,R$1,'United Data'!$C$3:$C$3390,$A259,'United Data'!$B$3:$B$3390,"&lt;&gt;Off-street")&gt;0,1,0)</f>
        <v>0</v>
      </c>
      <c r="S259">
        <f t="shared" si="8"/>
        <v>1</v>
      </c>
      <c r="T259">
        <f t="shared" si="9"/>
        <v>1</v>
      </c>
    </row>
    <row r="260" spans="1:20" x14ac:dyDescent="0.2">
      <c r="A260" t="s">
        <v>337</v>
      </c>
      <c r="B260">
        <f>IF(COUNTIFS('United Data'!$A$3:$A$3390,B$1,'United Data'!$C$3:$C$3390,$A260,'United Data'!$B$3:$B$3390,"&lt;&gt;Off-street")&gt;0,1,0)</f>
        <v>0</v>
      </c>
      <c r="C260">
        <f>IF(COUNTIFS('United Data'!$A$3:$A$3390,C$1,'United Data'!$C$3:$C$3390,$A260,'United Data'!$B$3:$B$3390,"&lt;&gt;Off-street")&gt;0,1,0)</f>
        <v>0</v>
      </c>
      <c r="D260">
        <f>IF(COUNTIFS('United Data'!$A$3:$A$3390,D$1,'United Data'!$C$3:$C$3390,$A260,'United Data'!$B$3:$B$3390,"&lt;&gt;Off-street")&gt;0,1,0)</f>
        <v>0</v>
      </c>
      <c r="E260">
        <f>IF(COUNTIFS('United Data'!$A$3:$A$3390,E$1,'United Data'!$C$3:$C$3390,$A260,'United Data'!$B$3:$B$3390,"&lt;&gt;Off-street")&gt;0,1,0)</f>
        <v>0</v>
      </c>
      <c r="F260">
        <f>IF(COUNTIFS('United Data'!$A$3:$A$3390,F$1,'United Data'!$C$3:$C$3390,$A260,'United Data'!$B$3:$B$3390,"&lt;&gt;Off-street")&gt;0,1,0)</f>
        <v>0</v>
      </c>
      <c r="G260">
        <f>IF(COUNTIFS('United Data'!$A$3:$A$3390,G$1,'United Data'!$C$3:$C$3390,$A260,'United Data'!$B$3:$B$3390,"&lt;&gt;Off-street")&gt;0,1,0)</f>
        <v>0</v>
      </c>
      <c r="H260">
        <f>IF(COUNTIFS('United Data'!$A$3:$A$3390,H$1,'United Data'!$C$3:$C$3390,$A260,'United Data'!$B$3:$B$3390,"&lt;&gt;Off-street")&gt;0,1,0)</f>
        <v>0</v>
      </c>
      <c r="I260">
        <f>IF(COUNTIFS('United Data'!$A$3:$A$3390,I$1,'United Data'!$C$3:$C$3390,$A260,'United Data'!$B$3:$B$3390,"&lt;&gt;Off-street")&gt;0,1,0)</f>
        <v>1</v>
      </c>
      <c r="J260">
        <f>IF(COUNTIFS('United Data'!$A$3:$A$3390,J$1,'United Data'!$C$3:$C$3390,$A260,'United Data'!$B$3:$B$3390,"&lt;&gt;Off-street")&gt;0,1,0)</f>
        <v>1</v>
      </c>
      <c r="K260">
        <f>IF(COUNTIFS('United Data'!$A$3:$A$3390,K$1,'United Data'!$C$3:$C$3390,$A260,'United Data'!$B$3:$B$3390,"&lt;&gt;Off-street")&gt;0,1,0)</f>
        <v>0</v>
      </c>
      <c r="L260">
        <f>IF(COUNTIFS('United Data'!$A$3:$A$3390,L$1,'United Data'!$C$3:$C$3390,$A260,'United Data'!$B$3:$B$3390,"&lt;&gt;Off-street")&gt;0,1,0)</f>
        <v>0</v>
      </c>
      <c r="M260">
        <f>IF(COUNTIFS('United Data'!$A$3:$A$3390,M$1,'United Data'!$C$3:$C$3390,$A260,'United Data'!$B$3:$B$3390,"&lt;&gt;Off-street")&gt;0,1,0)</f>
        <v>0</v>
      </c>
      <c r="N260">
        <f>IF(COUNTIFS('United Data'!$A$3:$A$3390,N$1,'United Data'!$C$3:$C$3390,$A260,'United Data'!$B$3:$B$3390,"&lt;&gt;Off-street")&gt;0,1,0)</f>
        <v>0</v>
      </c>
      <c r="O260">
        <f>IF(COUNTIFS('United Data'!$A$3:$A$3390,O$1,'United Data'!$C$3:$C$3390,$A260,'United Data'!$B$3:$B$3390,"&lt;&gt;Off-street")&gt;0,1,0)</f>
        <v>0</v>
      </c>
      <c r="P260">
        <f>IF(COUNTIFS('United Data'!$A$3:$A$3390,P$1,'United Data'!$C$3:$C$3390,$A260,'United Data'!$B$3:$B$3390,"&lt;&gt;Off-street")&gt;0,1,0)</f>
        <v>0</v>
      </c>
      <c r="Q260">
        <f>IF(COUNTIFS('United Data'!$A$3:$A$3390,Q$1,'United Data'!$C$3:$C$3390,$A260,'United Data'!$B$3:$B$3390,"&lt;&gt;Off-street")&gt;0,1,0)</f>
        <v>0</v>
      </c>
      <c r="R260">
        <f>IF(COUNTIFS('United Data'!$A$3:$A$3390,R$1,'United Data'!$C$3:$C$3390,$A260,'United Data'!$B$3:$B$3390,"&lt;&gt;Off-street")&gt;0,1,0)</f>
        <v>0</v>
      </c>
      <c r="S260">
        <f t="shared" si="8"/>
        <v>2</v>
      </c>
      <c r="T260">
        <f t="shared" si="9"/>
        <v>1</v>
      </c>
    </row>
    <row r="261" spans="1:20" x14ac:dyDescent="0.2">
      <c r="A261" t="s">
        <v>338</v>
      </c>
      <c r="B261">
        <f>IF(COUNTIFS('United Data'!$A$3:$A$3390,B$1,'United Data'!$C$3:$C$3390,$A261,'United Data'!$B$3:$B$3390,"&lt;&gt;Off-street")&gt;0,1,0)</f>
        <v>0</v>
      </c>
      <c r="C261">
        <f>IF(COUNTIFS('United Data'!$A$3:$A$3390,C$1,'United Data'!$C$3:$C$3390,$A261,'United Data'!$B$3:$B$3390,"&lt;&gt;Off-street")&gt;0,1,0)</f>
        <v>0</v>
      </c>
      <c r="D261">
        <f>IF(COUNTIFS('United Data'!$A$3:$A$3390,D$1,'United Data'!$C$3:$C$3390,$A261,'United Data'!$B$3:$B$3390,"&lt;&gt;Off-street")&gt;0,1,0)</f>
        <v>0</v>
      </c>
      <c r="E261">
        <f>IF(COUNTIFS('United Data'!$A$3:$A$3390,E$1,'United Data'!$C$3:$C$3390,$A261,'United Data'!$B$3:$B$3390,"&lt;&gt;Off-street")&gt;0,1,0)</f>
        <v>0</v>
      </c>
      <c r="F261">
        <f>IF(COUNTIFS('United Data'!$A$3:$A$3390,F$1,'United Data'!$C$3:$C$3390,$A261,'United Data'!$B$3:$B$3390,"&lt;&gt;Off-street")&gt;0,1,0)</f>
        <v>0</v>
      </c>
      <c r="G261">
        <f>IF(COUNTIFS('United Data'!$A$3:$A$3390,G$1,'United Data'!$C$3:$C$3390,$A261,'United Data'!$B$3:$B$3390,"&lt;&gt;Off-street")&gt;0,1,0)</f>
        <v>0</v>
      </c>
      <c r="H261">
        <f>IF(COUNTIFS('United Data'!$A$3:$A$3390,H$1,'United Data'!$C$3:$C$3390,$A261,'United Data'!$B$3:$B$3390,"&lt;&gt;Off-street")&gt;0,1,0)</f>
        <v>0</v>
      </c>
      <c r="I261">
        <f>IF(COUNTIFS('United Data'!$A$3:$A$3390,I$1,'United Data'!$C$3:$C$3390,$A261,'United Data'!$B$3:$B$3390,"&lt;&gt;Off-street")&gt;0,1,0)</f>
        <v>1</v>
      </c>
      <c r="J261">
        <f>IF(COUNTIFS('United Data'!$A$3:$A$3390,J$1,'United Data'!$C$3:$C$3390,$A261,'United Data'!$B$3:$B$3390,"&lt;&gt;Off-street")&gt;0,1,0)</f>
        <v>0</v>
      </c>
      <c r="K261">
        <f>IF(COUNTIFS('United Data'!$A$3:$A$3390,K$1,'United Data'!$C$3:$C$3390,$A261,'United Data'!$B$3:$B$3390,"&lt;&gt;Off-street")&gt;0,1,0)</f>
        <v>0</v>
      </c>
      <c r="L261">
        <f>IF(COUNTIFS('United Data'!$A$3:$A$3390,L$1,'United Data'!$C$3:$C$3390,$A261,'United Data'!$B$3:$B$3390,"&lt;&gt;Off-street")&gt;0,1,0)</f>
        <v>0</v>
      </c>
      <c r="M261">
        <f>IF(COUNTIFS('United Data'!$A$3:$A$3390,M$1,'United Data'!$C$3:$C$3390,$A261,'United Data'!$B$3:$B$3390,"&lt;&gt;Off-street")&gt;0,1,0)</f>
        <v>0</v>
      </c>
      <c r="N261">
        <f>IF(COUNTIFS('United Data'!$A$3:$A$3390,N$1,'United Data'!$C$3:$C$3390,$A261,'United Data'!$B$3:$B$3390,"&lt;&gt;Off-street")&gt;0,1,0)</f>
        <v>0</v>
      </c>
      <c r="O261">
        <f>IF(COUNTIFS('United Data'!$A$3:$A$3390,O$1,'United Data'!$C$3:$C$3390,$A261,'United Data'!$B$3:$B$3390,"&lt;&gt;Off-street")&gt;0,1,0)</f>
        <v>0</v>
      </c>
      <c r="P261">
        <f>IF(COUNTIFS('United Data'!$A$3:$A$3390,P$1,'United Data'!$C$3:$C$3390,$A261,'United Data'!$B$3:$B$3390,"&lt;&gt;Off-street")&gt;0,1,0)</f>
        <v>0</v>
      </c>
      <c r="Q261">
        <f>IF(COUNTIFS('United Data'!$A$3:$A$3390,Q$1,'United Data'!$C$3:$C$3390,$A261,'United Data'!$B$3:$B$3390,"&lt;&gt;Off-street")&gt;0,1,0)</f>
        <v>0</v>
      </c>
      <c r="R261">
        <f>IF(COUNTIFS('United Data'!$A$3:$A$3390,R$1,'United Data'!$C$3:$C$3390,$A261,'United Data'!$B$3:$B$3390,"&lt;&gt;Off-street")&gt;0,1,0)</f>
        <v>0</v>
      </c>
      <c r="S261">
        <f t="shared" si="8"/>
        <v>1</v>
      </c>
      <c r="T261">
        <f t="shared" si="9"/>
        <v>1</v>
      </c>
    </row>
    <row r="262" spans="1:20" x14ac:dyDescent="0.2">
      <c r="A262" t="s">
        <v>339</v>
      </c>
      <c r="B262">
        <f>IF(COUNTIFS('United Data'!$A$3:$A$3390,B$1,'United Data'!$C$3:$C$3390,$A262,'United Data'!$B$3:$B$3390,"&lt;&gt;Off-street")&gt;0,1,0)</f>
        <v>0</v>
      </c>
      <c r="C262">
        <f>IF(COUNTIFS('United Data'!$A$3:$A$3390,C$1,'United Data'!$C$3:$C$3390,$A262,'United Data'!$B$3:$B$3390,"&lt;&gt;Off-street")&gt;0,1,0)</f>
        <v>0</v>
      </c>
      <c r="D262">
        <f>IF(COUNTIFS('United Data'!$A$3:$A$3390,D$1,'United Data'!$C$3:$C$3390,$A262,'United Data'!$B$3:$B$3390,"&lt;&gt;Off-street")&gt;0,1,0)</f>
        <v>0</v>
      </c>
      <c r="E262">
        <f>IF(COUNTIFS('United Data'!$A$3:$A$3390,E$1,'United Data'!$C$3:$C$3390,$A262,'United Data'!$B$3:$B$3390,"&lt;&gt;Off-street")&gt;0,1,0)</f>
        <v>0</v>
      </c>
      <c r="F262">
        <f>IF(COUNTIFS('United Data'!$A$3:$A$3390,F$1,'United Data'!$C$3:$C$3390,$A262,'United Data'!$B$3:$B$3390,"&lt;&gt;Off-street")&gt;0,1,0)</f>
        <v>0</v>
      </c>
      <c r="G262">
        <f>IF(COUNTIFS('United Data'!$A$3:$A$3390,G$1,'United Data'!$C$3:$C$3390,$A262,'United Data'!$B$3:$B$3390,"&lt;&gt;Off-street")&gt;0,1,0)</f>
        <v>0</v>
      </c>
      <c r="H262">
        <f>IF(COUNTIFS('United Data'!$A$3:$A$3390,H$1,'United Data'!$C$3:$C$3390,$A262,'United Data'!$B$3:$B$3390,"&lt;&gt;Off-street")&gt;0,1,0)</f>
        <v>0</v>
      </c>
      <c r="I262">
        <f>IF(COUNTIFS('United Data'!$A$3:$A$3390,I$1,'United Data'!$C$3:$C$3390,$A262,'United Data'!$B$3:$B$3390,"&lt;&gt;Off-street")&gt;0,1,0)</f>
        <v>0</v>
      </c>
      <c r="J262">
        <f>IF(COUNTIFS('United Data'!$A$3:$A$3390,J$1,'United Data'!$C$3:$C$3390,$A262,'United Data'!$B$3:$B$3390,"&lt;&gt;Off-street")&gt;0,1,0)</f>
        <v>0</v>
      </c>
      <c r="K262">
        <f>IF(COUNTIFS('United Data'!$A$3:$A$3390,K$1,'United Data'!$C$3:$C$3390,$A262,'United Data'!$B$3:$B$3390,"&lt;&gt;Off-street")&gt;0,1,0)</f>
        <v>1</v>
      </c>
      <c r="L262">
        <f>IF(COUNTIFS('United Data'!$A$3:$A$3390,L$1,'United Data'!$C$3:$C$3390,$A262,'United Data'!$B$3:$B$3390,"&lt;&gt;Off-street")&gt;0,1,0)</f>
        <v>0</v>
      </c>
      <c r="M262">
        <f>IF(COUNTIFS('United Data'!$A$3:$A$3390,M$1,'United Data'!$C$3:$C$3390,$A262,'United Data'!$B$3:$B$3390,"&lt;&gt;Off-street")&gt;0,1,0)</f>
        <v>0</v>
      </c>
      <c r="N262">
        <f>IF(COUNTIFS('United Data'!$A$3:$A$3390,N$1,'United Data'!$C$3:$C$3390,$A262,'United Data'!$B$3:$B$3390,"&lt;&gt;Off-street")&gt;0,1,0)</f>
        <v>0</v>
      </c>
      <c r="O262">
        <f>IF(COUNTIFS('United Data'!$A$3:$A$3390,O$1,'United Data'!$C$3:$C$3390,$A262,'United Data'!$B$3:$B$3390,"&lt;&gt;Off-street")&gt;0,1,0)</f>
        <v>0</v>
      </c>
      <c r="P262">
        <f>IF(COUNTIFS('United Data'!$A$3:$A$3390,P$1,'United Data'!$C$3:$C$3390,$A262,'United Data'!$B$3:$B$3390,"&lt;&gt;Off-street")&gt;0,1,0)</f>
        <v>0</v>
      </c>
      <c r="Q262">
        <f>IF(COUNTIFS('United Data'!$A$3:$A$3390,Q$1,'United Data'!$C$3:$C$3390,$A262,'United Data'!$B$3:$B$3390,"&lt;&gt;Off-street")&gt;0,1,0)</f>
        <v>0</v>
      </c>
      <c r="R262">
        <f>IF(COUNTIFS('United Data'!$A$3:$A$3390,R$1,'United Data'!$C$3:$C$3390,$A262,'United Data'!$B$3:$B$3390,"&lt;&gt;Off-street")&gt;0,1,0)</f>
        <v>0</v>
      </c>
      <c r="S262">
        <f t="shared" si="8"/>
        <v>1</v>
      </c>
      <c r="T262">
        <f t="shared" si="9"/>
        <v>1</v>
      </c>
    </row>
    <row r="263" spans="1:20" x14ac:dyDescent="0.2">
      <c r="A263" t="s">
        <v>340</v>
      </c>
      <c r="B263">
        <f>IF(COUNTIFS('United Data'!$A$3:$A$3390,B$1,'United Data'!$C$3:$C$3390,$A263,'United Data'!$B$3:$B$3390,"&lt;&gt;Off-street")&gt;0,1,0)</f>
        <v>0</v>
      </c>
      <c r="C263">
        <f>IF(COUNTIFS('United Data'!$A$3:$A$3390,C$1,'United Data'!$C$3:$C$3390,$A263,'United Data'!$B$3:$B$3390,"&lt;&gt;Off-street")&gt;0,1,0)</f>
        <v>0</v>
      </c>
      <c r="D263">
        <f>IF(COUNTIFS('United Data'!$A$3:$A$3390,D$1,'United Data'!$C$3:$C$3390,$A263,'United Data'!$B$3:$B$3390,"&lt;&gt;Off-street")&gt;0,1,0)</f>
        <v>0</v>
      </c>
      <c r="E263">
        <f>IF(COUNTIFS('United Data'!$A$3:$A$3390,E$1,'United Data'!$C$3:$C$3390,$A263,'United Data'!$B$3:$B$3390,"&lt;&gt;Off-street")&gt;0,1,0)</f>
        <v>0</v>
      </c>
      <c r="F263">
        <f>IF(COUNTIFS('United Data'!$A$3:$A$3390,F$1,'United Data'!$C$3:$C$3390,$A263,'United Data'!$B$3:$B$3390,"&lt;&gt;Off-street")&gt;0,1,0)</f>
        <v>0</v>
      </c>
      <c r="G263">
        <f>IF(COUNTIFS('United Data'!$A$3:$A$3390,G$1,'United Data'!$C$3:$C$3390,$A263,'United Data'!$B$3:$B$3390,"&lt;&gt;Off-street")&gt;0,1,0)</f>
        <v>0</v>
      </c>
      <c r="H263">
        <f>IF(COUNTIFS('United Data'!$A$3:$A$3390,H$1,'United Data'!$C$3:$C$3390,$A263,'United Data'!$B$3:$B$3390,"&lt;&gt;Off-street")&gt;0,1,0)</f>
        <v>0</v>
      </c>
      <c r="I263">
        <f>IF(COUNTIFS('United Data'!$A$3:$A$3390,I$1,'United Data'!$C$3:$C$3390,$A263,'United Data'!$B$3:$B$3390,"&lt;&gt;Off-street")&gt;0,1,0)</f>
        <v>0</v>
      </c>
      <c r="J263">
        <f>IF(COUNTIFS('United Data'!$A$3:$A$3390,J$1,'United Data'!$C$3:$C$3390,$A263,'United Data'!$B$3:$B$3390,"&lt;&gt;Off-street")&gt;0,1,0)</f>
        <v>0</v>
      </c>
      <c r="K263">
        <f>IF(COUNTIFS('United Data'!$A$3:$A$3390,K$1,'United Data'!$C$3:$C$3390,$A263,'United Data'!$B$3:$B$3390,"&lt;&gt;Off-street")&gt;0,1,0)</f>
        <v>0</v>
      </c>
      <c r="L263">
        <f>IF(COUNTIFS('United Data'!$A$3:$A$3390,L$1,'United Data'!$C$3:$C$3390,$A263,'United Data'!$B$3:$B$3390,"&lt;&gt;Off-street")&gt;0,1,0)</f>
        <v>0</v>
      </c>
      <c r="M263">
        <f>IF(COUNTIFS('United Data'!$A$3:$A$3390,M$1,'United Data'!$C$3:$C$3390,$A263,'United Data'!$B$3:$B$3390,"&lt;&gt;Off-street")&gt;0,1,0)</f>
        <v>1</v>
      </c>
      <c r="N263">
        <f>IF(COUNTIFS('United Data'!$A$3:$A$3390,N$1,'United Data'!$C$3:$C$3390,$A263,'United Data'!$B$3:$B$3390,"&lt;&gt;Off-street")&gt;0,1,0)</f>
        <v>0</v>
      </c>
      <c r="O263">
        <f>IF(COUNTIFS('United Data'!$A$3:$A$3390,O$1,'United Data'!$C$3:$C$3390,$A263,'United Data'!$B$3:$B$3390,"&lt;&gt;Off-street")&gt;0,1,0)</f>
        <v>0</v>
      </c>
      <c r="P263">
        <f>IF(COUNTIFS('United Data'!$A$3:$A$3390,P$1,'United Data'!$C$3:$C$3390,$A263,'United Data'!$B$3:$B$3390,"&lt;&gt;Off-street")&gt;0,1,0)</f>
        <v>0</v>
      </c>
      <c r="Q263">
        <f>IF(COUNTIFS('United Data'!$A$3:$A$3390,Q$1,'United Data'!$C$3:$C$3390,$A263,'United Data'!$B$3:$B$3390,"&lt;&gt;Off-street")&gt;0,1,0)</f>
        <v>0</v>
      </c>
      <c r="R263">
        <f>IF(COUNTIFS('United Data'!$A$3:$A$3390,R$1,'United Data'!$C$3:$C$3390,$A263,'United Data'!$B$3:$B$3390,"&lt;&gt;Off-street")&gt;0,1,0)</f>
        <v>0</v>
      </c>
      <c r="S263">
        <f t="shared" si="8"/>
        <v>1</v>
      </c>
      <c r="T263">
        <f t="shared" si="9"/>
        <v>1</v>
      </c>
    </row>
    <row r="264" spans="1:20" x14ac:dyDescent="0.2">
      <c r="A264" t="s">
        <v>342</v>
      </c>
      <c r="B264">
        <f>IF(COUNTIFS('United Data'!$A$3:$A$3390,B$1,'United Data'!$C$3:$C$3390,$A264,'United Data'!$B$3:$B$3390,"&lt;&gt;Off-street")&gt;0,1,0)</f>
        <v>0</v>
      </c>
      <c r="C264">
        <f>IF(COUNTIFS('United Data'!$A$3:$A$3390,C$1,'United Data'!$C$3:$C$3390,$A264,'United Data'!$B$3:$B$3390,"&lt;&gt;Off-street")&gt;0,1,0)</f>
        <v>0</v>
      </c>
      <c r="D264">
        <f>IF(COUNTIFS('United Data'!$A$3:$A$3390,D$1,'United Data'!$C$3:$C$3390,$A264,'United Data'!$B$3:$B$3390,"&lt;&gt;Off-street")&gt;0,1,0)</f>
        <v>0</v>
      </c>
      <c r="E264">
        <f>IF(COUNTIFS('United Data'!$A$3:$A$3390,E$1,'United Data'!$C$3:$C$3390,$A264,'United Data'!$B$3:$B$3390,"&lt;&gt;Off-street")&gt;0,1,0)</f>
        <v>0</v>
      </c>
      <c r="F264">
        <f>IF(COUNTIFS('United Data'!$A$3:$A$3390,F$1,'United Data'!$C$3:$C$3390,$A264,'United Data'!$B$3:$B$3390,"&lt;&gt;Off-street")&gt;0,1,0)</f>
        <v>0</v>
      </c>
      <c r="G264">
        <f>IF(COUNTIFS('United Data'!$A$3:$A$3390,G$1,'United Data'!$C$3:$C$3390,$A264,'United Data'!$B$3:$B$3390,"&lt;&gt;Off-street")&gt;0,1,0)</f>
        <v>0</v>
      </c>
      <c r="H264">
        <f>IF(COUNTIFS('United Data'!$A$3:$A$3390,H$1,'United Data'!$C$3:$C$3390,$A264,'United Data'!$B$3:$B$3390,"&lt;&gt;Off-street")&gt;0,1,0)</f>
        <v>0</v>
      </c>
      <c r="I264">
        <f>IF(COUNTIFS('United Data'!$A$3:$A$3390,I$1,'United Data'!$C$3:$C$3390,$A264,'United Data'!$B$3:$B$3390,"&lt;&gt;Off-street")&gt;0,1,0)</f>
        <v>0</v>
      </c>
      <c r="J264">
        <f>IF(COUNTIFS('United Data'!$A$3:$A$3390,J$1,'United Data'!$C$3:$C$3390,$A264,'United Data'!$B$3:$B$3390,"&lt;&gt;Off-street")&gt;0,1,0)</f>
        <v>0</v>
      </c>
      <c r="K264">
        <f>IF(COUNTIFS('United Data'!$A$3:$A$3390,K$1,'United Data'!$C$3:$C$3390,$A264,'United Data'!$B$3:$B$3390,"&lt;&gt;Off-street")&gt;0,1,0)</f>
        <v>0</v>
      </c>
      <c r="L264">
        <f>IF(COUNTIFS('United Data'!$A$3:$A$3390,L$1,'United Data'!$C$3:$C$3390,$A264,'United Data'!$B$3:$B$3390,"&lt;&gt;Off-street")&gt;0,1,0)</f>
        <v>1</v>
      </c>
      <c r="M264">
        <f>IF(COUNTIFS('United Data'!$A$3:$A$3390,M$1,'United Data'!$C$3:$C$3390,$A264,'United Data'!$B$3:$B$3390,"&lt;&gt;Off-street")&gt;0,1,0)</f>
        <v>0</v>
      </c>
      <c r="N264">
        <f>IF(COUNTIFS('United Data'!$A$3:$A$3390,N$1,'United Data'!$C$3:$C$3390,$A264,'United Data'!$B$3:$B$3390,"&lt;&gt;Off-street")&gt;0,1,0)</f>
        <v>1</v>
      </c>
      <c r="O264">
        <f>IF(COUNTIFS('United Data'!$A$3:$A$3390,O$1,'United Data'!$C$3:$C$3390,$A264,'United Data'!$B$3:$B$3390,"&lt;&gt;Off-street")&gt;0,1,0)</f>
        <v>0</v>
      </c>
      <c r="P264">
        <f>IF(COUNTIFS('United Data'!$A$3:$A$3390,P$1,'United Data'!$C$3:$C$3390,$A264,'United Data'!$B$3:$B$3390,"&lt;&gt;Off-street")&gt;0,1,0)</f>
        <v>0</v>
      </c>
      <c r="Q264">
        <f>IF(COUNTIFS('United Data'!$A$3:$A$3390,Q$1,'United Data'!$C$3:$C$3390,$A264,'United Data'!$B$3:$B$3390,"&lt;&gt;Off-street")&gt;0,1,0)</f>
        <v>0</v>
      </c>
      <c r="R264">
        <f>IF(COUNTIFS('United Data'!$A$3:$A$3390,R$1,'United Data'!$C$3:$C$3390,$A264,'United Data'!$B$3:$B$3390,"&lt;&gt;Off-street")&gt;0,1,0)</f>
        <v>0</v>
      </c>
      <c r="S264">
        <f t="shared" si="8"/>
        <v>2</v>
      </c>
      <c r="T264">
        <f t="shared" si="9"/>
        <v>2</v>
      </c>
    </row>
    <row r="265" spans="1:20" x14ac:dyDescent="0.2">
      <c r="A265" t="s">
        <v>343</v>
      </c>
      <c r="B265">
        <f>IF(COUNTIFS('United Data'!$A$3:$A$3390,B$1,'United Data'!$C$3:$C$3390,$A265,'United Data'!$B$3:$B$3390,"&lt;&gt;Off-street")&gt;0,1,0)</f>
        <v>0</v>
      </c>
      <c r="C265">
        <f>IF(COUNTIFS('United Data'!$A$3:$A$3390,C$1,'United Data'!$C$3:$C$3390,$A265,'United Data'!$B$3:$B$3390,"&lt;&gt;Off-street")&gt;0,1,0)</f>
        <v>0</v>
      </c>
      <c r="D265">
        <f>IF(COUNTIFS('United Data'!$A$3:$A$3390,D$1,'United Data'!$C$3:$C$3390,$A265,'United Data'!$B$3:$B$3390,"&lt;&gt;Off-street")&gt;0,1,0)</f>
        <v>0</v>
      </c>
      <c r="E265">
        <f>IF(COUNTIFS('United Data'!$A$3:$A$3390,E$1,'United Data'!$C$3:$C$3390,$A265,'United Data'!$B$3:$B$3390,"&lt;&gt;Off-street")&gt;0,1,0)</f>
        <v>0</v>
      </c>
      <c r="F265">
        <f>IF(COUNTIFS('United Data'!$A$3:$A$3390,F$1,'United Data'!$C$3:$C$3390,$A265,'United Data'!$B$3:$B$3390,"&lt;&gt;Off-street")&gt;0,1,0)</f>
        <v>0</v>
      </c>
      <c r="G265">
        <f>IF(COUNTIFS('United Data'!$A$3:$A$3390,G$1,'United Data'!$C$3:$C$3390,$A265,'United Data'!$B$3:$B$3390,"&lt;&gt;Off-street")&gt;0,1,0)</f>
        <v>0</v>
      </c>
      <c r="H265">
        <f>IF(COUNTIFS('United Data'!$A$3:$A$3390,H$1,'United Data'!$C$3:$C$3390,$A265,'United Data'!$B$3:$B$3390,"&lt;&gt;Off-street")&gt;0,1,0)</f>
        <v>0</v>
      </c>
      <c r="I265">
        <f>IF(COUNTIFS('United Data'!$A$3:$A$3390,I$1,'United Data'!$C$3:$C$3390,$A265,'United Data'!$B$3:$B$3390,"&lt;&gt;Off-street")&gt;0,1,0)</f>
        <v>0</v>
      </c>
      <c r="J265">
        <f>IF(COUNTIFS('United Data'!$A$3:$A$3390,J$1,'United Data'!$C$3:$C$3390,$A265,'United Data'!$B$3:$B$3390,"&lt;&gt;Off-street")&gt;0,1,0)</f>
        <v>0</v>
      </c>
      <c r="K265">
        <f>IF(COUNTIFS('United Data'!$A$3:$A$3390,K$1,'United Data'!$C$3:$C$3390,$A265,'United Data'!$B$3:$B$3390,"&lt;&gt;Off-street")&gt;0,1,0)</f>
        <v>0</v>
      </c>
      <c r="L265">
        <f>IF(COUNTIFS('United Data'!$A$3:$A$3390,L$1,'United Data'!$C$3:$C$3390,$A265,'United Data'!$B$3:$B$3390,"&lt;&gt;Off-street")&gt;0,1,0)</f>
        <v>0</v>
      </c>
      <c r="M265">
        <f>IF(COUNTIFS('United Data'!$A$3:$A$3390,M$1,'United Data'!$C$3:$C$3390,$A265,'United Data'!$B$3:$B$3390,"&lt;&gt;Off-street")&gt;0,1,0)</f>
        <v>0</v>
      </c>
      <c r="N265">
        <f>IF(COUNTIFS('United Data'!$A$3:$A$3390,N$1,'United Data'!$C$3:$C$3390,$A265,'United Data'!$B$3:$B$3390,"&lt;&gt;Off-street")&gt;0,1,0)</f>
        <v>1</v>
      </c>
      <c r="O265">
        <f>IF(COUNTIFS('United Data'!$A$3:$A$3390,O$1,'United Data'!$C$3:$C$3390,$A265,'United Data'!$B$3:$B$3390,"&lt;&gt;Off-street")&gt;0,1,0)</f>
        <v>0</v>
      </c>
      <c r="P265">
        <f>IF(COUNTIFS('United Data'!$A$3:$A$3390,P$1,'United Data'!$C$3:$C$3390,$A265,'United Data'!$B$3:$B$3390,"&lt;&gt;Off-street")&gt;0,1,0)</f>
        <v>0</v>
      </c>
      <c r="Q265">
        <f>IF(COUNTIFS('United Data'!$A$3:$A$3390,Q$1,'United Data'!$C$3:$C$3390,$A265,'United Data'!$B$3:$B$3390,"&lt;&gt;Off-street")&gt;0,1,0)</f>
        <v>0</v>
      </c>
      <c r="R265">
        <f>IF(COUNTIFS('United Data'!$A$3:$A$3390,R$1,'United Data'!$C$3:$C$3390,$A265,'United Data'!$B$3:$B$3390,"&lt;&gt;Off-street")&gt;0,1,0)</f>
        <v>0</v>
      </c>
      <c r="S265">
        <f t="shared" si="8"/>
        <v>1</v>
      </c>
      <c r="T265">
        <f t="shared" si="9"/>
        <v>1</v>
      </c>
    </row>
    <row r="266" spans="1:20" x14ac:dyDescent="0.2">
      <c r="A266" t="s">
        <v>344</v>
      </c>
      <c r="B266">
        <f>IF(COUNTIFS('United Data'!$A$3:$A$3390,B$1,'United Data'!$C$3:$C$3390,$A266,'United Data'!$B$3:$B$3390,"&lt;&gt;Off-street")&gt;0,1,0)</f>
        <v>0</v>
      </c>
      <c r="C266">
        <f>IF(COUNTIFS('United Data'!$A$3:$A$3390,C$1,'United Data'!$C$3:$C$3390,$A266,'United Data'!$B$3:$B$3390,"&lt;&gt;Off-street")&gt;0,1,0)</f>
        <v>0</v>
      </c>
      <c r="D266">
        <f>IF(COUNTIFS('United Data'!$A$3:$A$3390,D$1,'United Data'!$C$3:$C$3390,$A266,'United Data'!$B$3:$B$3390,"&lt;&gt;Off-street")&gt;0,1,0)</f>
        <v>0</v>
      </c>
      <c r="E266">
        <f>IF(COUNTIFS('United Data'!$A$3:$A$3390,E$1,'United Data'!$C$3:$C$3390,$A266,'United Data'!$B$3:$B$3390,"&lt;&gt;Off-street")&gt;0,1,0)</f>
        <v>1</v>
      </c>
      <c r="F266">
        <f>IF(COUNTIFS('United Data'!$A$3:$A$3390,F$1,'United Data'!$C$3:$C$3390,$A266,'United Data'!$B$3:$B$3390,"&lt;&gt;Off-street")&gt;0,1,0)</f>
        <v>0</v>
      </c>
      <c r="G266">
        <f>IF(COUNTIFS('United Data'!$A$3:$A$3390,G$1,'United Data'!$C$3:$C$3390,$A266,'United Data'!$B$3:$B$3390,"&lt;&gt;Off-street")&gt;0,1,0)</f>
        <v>0</v>
      </c>
      <c r="H266">
        <f>IF(COUNTIFS('United Data'!$A$3:$A$3390,H$1,'United Data'!$C$3:$C$3390,$A266,'United Data'!$B$3:$B$3390,"&lt;&gt;Off-street")&gt;0,1,0)</f>
        <v>0</v>
      </c>
      <c r="I266">
        <f>IF(COUNTIFS('United Data'!$A$3:$A$3390,I$1,'United Data'!$C$3:$C$3390,$A266,'United Data'!$B$3:$B$3390,"&lt;&gt;Off-street")&gt;0,1,0)</f>
        <v>0</v>
      </c>
      <c r="J266">
        <f>IF(COUNTIFS('United Data'!$A$3:$A$3390,J$1,'United Data'!$C$3:$C$3390,$A266,'United Data'!$B$3:$B$3390,"&lt;&gt;Off-street")&gt;0,1,0)</f>
        <v>0</v>
      </c>
      <c r="K266">
        <f>IF(COUNTIFS('United Data'!$A$3:$A$3390,K$1,'United Data'!$C$3:$C$3390,$A266,'United Data'!$B$3:$B$3390,"&lt;&gt;Off-street")&gt;0,1,0)</f>
        <v>0</v>
      </c>
      <c r="L266">
        <f>IF(COUNTIFS('United Data'!$A$3:$A$3390,L$1,'United Data'!$C$3:$C$3390,$A266,'United Data'!$B$3:$B$3390,"&lt;&gt;Off-street")&gt;0,1,0)</f>
        <v>0</v>
      </c>
      <c r="M266">
        <f>IF(COUNTIFS('United Data'!$A$3:$A$3390,M$1,'United Data'!$C$3:$C$3390,$A266,'United Data'!$B$3:$B$3390,"&lt;&gt;Off-street")&gt;0,1,0)</f>
        <v>0</v>
      </c>
      <c r="N266">
        <f>IF(COUNTIFS('United Data'!$A$3:$A$3390,N$1,'United Data'!$C$3:$C$3390,$A266,'United Data'!$B$3:$B$3390,"&lt;&gt;Off-street")&gt;0,1,0)</f>
        <v>0</v>
      </c>
      <c r="O266">
        <f>IF(COUNTIFS('United Data'!$A$3:$A$3390,O$1,'United Data'!$C$3:$C$3390,$A266,'United Data'!$B$3:$B$3390,"&lt;&gt;Off-street")&gt;0,1,0)</f>
        <v>1</v>
      </c>
      <c r="P266">
        <f>IF(COUNTIFS('United Data'!$A$3:$A$3390,P$1,'United Data'!$C$3:$C$3390,$A266,'United Data'!$B$3:$B$3390,"&lt;&gt;Off-street")&gt;0,1,0)</f>
        <v>0</v>
      </c>
      <c r="Q266">
        <f>IF(COUNTIFS('United Data'!$A$3:$A$3390,Q$1,'United Data'!$C$3:$C$3390,$A266,'United Data'!$B$3:$B$3390,"&lt;&gt;Off-street")&gt;0,1,0)</f>
        <v>0</v>
      </c>
      <c r="R266">
        <f>IF(COUNTIFS('United Data'!$A$3:$A$3390,R$1,'United Data'!$C$3:$C$3390,$A266,'United Data'!$B$3:$B$3390,"&lt;&gt;Off-street")&gt;0,1,0)</f>
        <v>0</v>
      </c>
      <c r="S266">
        <f t="shared" si="8"/>
        <v>2</v>
      </c>
      <c r="T266">
        <f t="shared" si="9"/>
        <v>2</v>
      </c>
    </row>
    <row r="267" spans="1:20" x14ac:dyDescent="0.2">
      <c r="A267" t="s">
        <v>345</v>
      </c>
      <c r="B267">
        <f>IF(COUNTIFS('United Data'!$A$3:$A$3390,B$1,'United Data'!$C$3:$C$3390,$A267,'United Data'!$B$3:$B$3390,"&lt;&gt;Off-street")&gt;0,1,0)</f>
        <v>0</v>
      </c>
      <c r="C267">
        <f>IF(COUNTIFS('United Data'!$A$3:$A$3390,C$1,'United Data'!$C$3:$C$3390,$A267,'United Data'!$B$3:$B$3390,"&lt;&gt;Off-street")&gt;0,1,0)</f>
        <v>0</v>
      </c>
      <c r="D267">
        <f>IF(COUNTIFS('United Data'!$A$3:$A$3390,D$1,'United Data'!$C$3:$C$3390,$A267,'United Data'!$B$3:$B$3390,"&lt;&gt;Off-street")&gt;0,1,0)</f>
        <v>0</v>
      </c>
      <c r="E267">
        <f>IF(COUNTIFS('United Data'!$A$3:$A$3390,E$1,'United Data'!$C$3:$C$3390,$A267,'United Data'!$B$3:$B$3390,"&lt;&gt;Off-street")&gt;0,1,0)</f>
        <v>0</v>
      </c>
      <c r="F267">
        <f>IF(COUNTIFS('United Data'!$A$3:$A$3390,F$1,'United Data'!$C$3:$C$3390,$A267,'United Data'!$B$3:$B$3390,"&lt;&gt;Off-street")&gt;0,1,0)</f>
        <v>0</v>
      </c>
      <c r="G267">
        <f>IF(COUNTIFS('United Data'!$A$3:$A$3390,G$1,'United Data'!$C$3:$C$3390,$A267,'United Data'!$B$3:$B$3390,"&lt;&gt;Off-street")&gt;0,1,0)</f>
        <v>0</v>
      </c>
      <c r="H267">
        <f>IF(COUNTIFS('United Data'!$A$3:$A$3390,H$1,'United Data'!$C$3:$C$3390,$A267,'United Data'!$B$3:$B$3390,"&lt;&gt;Off-street")&gt;0,1,0)</f>
        <v>0</v>
      </c>
      <c r="I267">
        <f>IF(COUNTIFS('United Data'!$A$3:$A$3390,I$1,'United Data'!$C$3:$C$3390,$A267,'United Data'!$B$3:$B$3390,"&lt;&gt;Off-street")&gt;0,1,0)</f>
        <v>0</v>
      </c>
      <c r="J267">
        <f>IF(COUNTIFS('United Data'!$A$3:$A$3390,J$1,'United Data'!$C$3:$C$3390,$A267,'United Data'!$B$3:$B$3390,"&lt;&gt;Off-street")&gt;0,1,0)</f>
        <v>0</v>
      </c>
      <c r="K267">
        <f>IF(COUNTIFS('United Data'!$A$3:$A$3390,K$1,'United Data'!$C$3:$C$3390,$A267,'United Data'!$B$3:$B$3390,"&lt;&gt;Off-street")&gt;0,1,0)</f>
        <v>0</v>
      </c>
      <c r="L267">
        <f>IF(COUNTIFS('United Data'!$A$3:$A$3390,L$1,'United Data'!$C$3:$C$3390,$A267,'United Data'!$B$3:$B$3390,"&lt;&gt;Off-street")&gt;0,1,0)</f>
        <v>0</v>
      </c>
      <c r="M267">
        <f>IF(COUNTIFS('United Data'!$A$3:$A$3390,M$1,'United Data'!$C$3:$C$3390,$A267,'United Data'!$B$3:$B$3390,"&lt;&gt;Off-street")&gt;0,1,0)</f>
        <v>0</v>
      </c>
      <c r="N267">
        <f>IF(COUNTIFS('United Data'!$A$3:$A$3390,N$1,'United Data'!$C$3:$C$3390,$A267,'United Data'!$B$3:$B$3390,"&lt;&gt;Off-street")&gt;0,1,0)</f>
        <v>0</v>
      </c>
      <c r="O267">
        <f>IF(COUNTIFS('United Data'!$A$3:$A$3390,O$1,'United Data'!$C$3:$C$3390,$A267,'United Data'!$B$3:$B$3390,"&lt;&gt;Off-street")&gt;0,1,0)</f>
        <v>1</v>
      </c>
      <c r="P267">
        <f>IF(COUNTIFS('United Data'!$A$3:$A$3390,P$1,'United Data'!$C$3:$C$3390,$A267,'United Data'!$B$3:$B$3390,"&lt;&gt;Off-street")&gt;0,1,0)</f>
        <v>0</v>
      </c>
      <c r="Q267">
        <f>IF(COUNTIFS('United Data'!$A$3:$A$3390,Q$1,'United Data'!$C$3:$C$3390,$A267,'United Data'!$B$3:$B$3390,"&lt;&gt;Off-street")&gt;0,1,0)</f>
        <v>0</v>
      </c>
      <c r="R267">
        <f>IF(COUNTIFS('United Data'!$A$3:$A$3390,R$1,'United Data'!$C$3:$C$3390,$A267,'United Data'!$B$3:$B$3390,"&lt;&gt;Off-street")&gt;0,1,0)</f>
        <v>0</v>
      </c>
      <c r="S267">
        <f t="shared" si="8"/>
        <v>1</v>
      </c>
      <c r="T267">
        <f t="shared" si="9"/>
        <v>1</v>
      </c>
    </row>
    <row r="268" spans="1:20" x14ac:dyDescent="0.2">
      <c r="A268" t="s">
        <v>346</v>
      </c>
      <c r="B268">
        <f>IF(COUNTIFS('United Data'!$A$3:$A$3390,B$1,'United Data'!$C$3:$C$3390,$A268,'United Data'!$B$3:$B$3390,"&lt;&gt;Off-street")&gt;0,1,0)</f>
        <v>0</v>
      </c>
      <c r="C268">
        <f>IF(COUNTIFS('United Data'!$A$3:$A$3390,C$1,'United Data'!$C$3:$C$3390,$A268,'United Data'!$B$3:$B$3390,"&lt;&gt;Off-street")&gt;0,1,0)</f>
        <v>0</v>
      </c>
      <c r="D268">
        <f>IF(COUNTIFS('United Data'!$A$3:$A$3390,D$1,'United Data'!$C$3:$C$3390,$A268,'United Data'!$B$3:$B$3390,"&lt;&gt;Off-street")&gt;0,1,0)</f>
        <v>0</v>
      </c>
      <c r="E268">
        <f>IF(COUNTIFS('United Data'!$A$3:$A$3390,E$1,'United Data'!$C$3:$C$3390,$A268,'United Data'!$B$3:$B$3390,"&lt;&gt;Off-street")&gt;0,1,0)</f>
        <v>0</v>
      </c>
      <c r="F268">
        <f>IF(COUNTIFS('United Data'!$A$3:$A$3390,F$1,'United Data'!$C$3:$C$3390,$A268,'United Data'!$B$3:$B$3390,"&lt;&gt;Off-street")&gt;0,1,0)</f>
        <v>0</v>
      </c>
      <c r="G268">
        <f>IF(COUNTIFS('United Data'!$A$3:$A$3390,G$1,'United Data'!$C$3:$C$3390,$A268,'United Data'!$B$3:$B$3390,"&lt;&gt;Off-street")&gt;0,1,0)</f>
        <v>0</v>
      </c>
      <c r="H268">
        <f>IF(COUNTIFS('United Data'!$A$3:$A$3390,H$1,'United Data'!$C$3:$C$3390,$A268,'United Data'!$B$3:$B$3390,"&lt;&gt;Off-street")&gt;0,1,0)</f>
        <v>0</v>
      </c>
      <c r="I268">
        <f>IF(COUNTIFS('United Data'!$A$3:$A$3390,I$1,'United Data'!$C$3:$C$3390,$A268,'United Data'!$B$3:$B$3390,"&lt;&gt;Off-street")&gt;0,1,0)</f>
        <v>0</v>
      </c>
      <c r="J268">
        <f>IF(COUNTIFS('United Data'!$A$3:$A$3390,J$1,'United Data'!$C$3:$C$3390,$A268,'United Data'!$B$3:$B$3390,"&lt;&gt;Off-street")&gt;0,1,0)</f>
        <v>0</v>
      </c>
      <c r="K268">
        <f>IF(COUNTIFS('United Data'!$A$3:$A$3390,K$1,'United Data'!$C$3:$C$3390,$A268,'United Data'!$B$3:$B$3390,"&lt;&gt;Off-street")&gt;0,1,0)</f>
        <v>0</v>
      </c>
      <c r="L268">
        <f>IF(COUNTIFS('United Data'!$A$3:$A$3390,L$1,'United Data'!$C$3:$C$3390,$A268,'United Data'!$B$3:$B$3390,"&lt;&gt;Off-street")&gt;0,1,0)</f>
        <v>0</v>
      </c>
      <c r="M268">
        <f>IF(COUNTIFS('United Data'!$A$3:$A$3390,M$1,'United Data'!$C$3:$C$3390,$A268,'United Data'!$B$3:$B$3390,"&lt;&gt;Off-street")&gt;0,1,0)</f>
        <v>0</v>
      </c>
      <c r="N268">
        <f>IF(COUNTIFS('United Data'!$A$3:$A$3390,N$1,'United Data'!$C$3:$C$3390,$A268,'United Data'!$B$3:$B$3390,"&lt;&gt;Off-street")&gt;0,1,0)</f>
        <v>0</v>
      </c>
      <c r="O268">
        <f>IF(COUNTIFS('United Data'!$A$3:$A$3390,O$1,'United Data'!$C$3:$C$3390,$A268,'United Data'!$B$3:$B$3390,"&lt;&gt;Off-street")&gt;0,1,0)</f>
        <v>1</v>
      </c>
      <c r="P268">
        <f>IF(COUNTIFS('United Data'!$A$3:$A$3390,P$1,'United Data'!$C$3:$C$3390,$A268,'United Data'!$B$3:$B$3390,"&lt;&gt;Off-street")&gt;0,1,0)</f>
        <v>0</v>
      </c>
      <c r="Q268">
        <f>IF(COUNTIFS('United Data'!$A$3:$A$3390,Q$1,'United Data'!$C$3:$C$3390,$A268,'United Data'!$B$3:$B$3390,"&lt;&gt;Off-street")&gt;0,1,0)</f>
        <v>0</v>
      </c>
      <c r="R268">
        <f>IF(COUNTIFS('United Data'!$A$3:$A$3390,R$1,'United Data'!$C$3:$C$3390,$A268,'United Data'!$B$3:$B$3390,"&lt;&gt;Off-street")&gt;0,1,0)</f>
        <v>0</v>
      </c>
      <c r="S268">
        <f t="shared" si="8"/>
        <v>1</v>
      </c>
      <c r="T268">
        <f t="shared" si="9"/>
        <v>1</v>
      </c>
    </row>
    <row r="269" spans="1:20" x14ac:dyDescent="0.2">
      <c r="A269" t="s">
        <v>347</v>
      </c>
      <c r="B269">
        <f>IF(COUNTIFS('United Data'!$A$3:$A$3390,B$1,'United Data'!$C$3:$C$3390,$A269,'United Data'!$B$3:$B$3390,"&lt;&gt;Off-street")&gt;0,1,0)</f>
        <v>0</v>
      </c>
      <c r="C269">
        <f>IF(COUNTIFS('United Data'!$A$3:$A$3390,C$1,'United Data'!$C$3:$C$3390,$A269,'United Data'!$B$3:$B$3390,"&lt;&gt;Off-street")&gt;0,1,0)</f>
        <v>0</v>
      </c>
      <c r="D269">
        <f>IF(COUNTIFS('United Data'!$A$3:$A$3390,D$1,'United Data'!$C$3:$C$3390,$A269,'United Data'!$B$3:$B$3390,"&lt;&gt;Off-street")&gt;0,1,0)</f>
        <v>0</v>
      </c>
      <c r="E269">
        <f>IF(COUNTIFS('United Data'!$A$3:$A$3390,E$1,'United Data'!$C$3:$C$3390,$A269,'United Data'!$B$3:$B$3390,"&lt;&gt;Off-street")&gt;0,1,0)</f>
        <v>0</v>
      </c>
      <c r="F269">
        <f>IF(COUNTIFS('United Data'!$A$3:$A$3390,F$1,'United Data'!$C$3:$C$3390,$A269,'United Data'!$B$3:$B$3390,"&lt;&gt;Off-street")&gt;0,1,0)</f>
        <v>0</v>
      </c>
      <c r="G269">
        <f>IF(COUNTIFS('United Data'!$A$3:$A$3390,G$1,'United Data'!$C$3:$C$3390,$A269,'United Data'!$B$3:$B$3390,"&lt;&gt;Off-street")&gt;0,1,0)</f>
        <v>0</v>
      </c>
      <c r="H269">
        <f>IF(COUNTIFS('United Data'!$A$3:$A$3390,H$1,'United Data'!$C$3:$C$3390,$A269,'United Data'!$B$3:$B$3390,"&lt;&gt;Off-street")&gt;0,1,0)</f>
        <v>0</v>
      </c>
      <c r="I269">
        <f>IF(COUNTIFS('United Data'!$A$3:$A$3390,I$1,'United Data'!$C$3:$C$3390,$A269,'United Data'!$B$3:$B$3390,"&lt;&gt;Off-street")&gt;0,1,0)</f>
        <v>0</v>
      </c>
      <c r="J269">
        <f>IF(COUNTIFS('United Data'!$A$3:$A$3390,J$1,'United Data'!$C$3:$C$3390,$A269,'United Data'!$B$3:$B$3390,"&lt;&gt;Off-street")&gt;0,1,0)</f>
        <v>0</v>
      </c>
      <c r="K269">
        <f>IF(COUNTIFS('United Data'!$A$3:$A$3390,K$1,'United Data'!$C$3:$C$3390,$A269,'United Data'!$B$3:$B$3390,"&lt;&gt;Off-street")&gt;0,1,0)</f>
        <v>0</v>
      </c>
      <c r="L269">
        <f>IF(COUNTIFS('United Data'!$A$3:$A$3390,L$1,'United Data'!$C$3:$C$3390,$A269,'United Data'!$B$3:$B$3390,"&lt;&gt;Off-street")&gt;0,1,0)</f>
        <v>0</v>
      </c>
      <c r="M269">
        <f>IF(COUNTIFS('United Data'!$A$3:$A$3390,M$1,'United Data'!$C$3:$C$3390,$A269,'United Data'!$B$3:$B$3390,"&lt;&gt;Off-street")&gt;0,1,0)</f>
        <v>0</v>
      </c>
      <c r="N269">
        <f>IF(COUNTIFS('United Data'!$A$3:$A$3390,N$1,'United Data'!$C$3:$C$3390,$A269,'United Data'!$B$3:$B$3390,"&lt;&gt;Off-street")&gt;0,1,0)</f>
        <v>0</v>
      </c>
      <c r="O269">
        <f>IF(COUNTIFS('United Data'!$A$3:$A$3390,O$1,'United Data'!$C$3:$C$3390,$A269,'United Data'!$B$3:$B$3390,"&lt;&gt;Off-street")&gt;0,1,0)</f>
        <v>1</v>
      </c>
      <c r="P269">
        <f>IF(COUNTIFS('United Data'!$A$3:$A$3390,P$1,'United Data'!$C$3:$C$3390,$A269,'United Data'!$B$3:$B$3390,"&lt;&gt;Off-street")&gt;0,1,0)</f>
        <v>0</v>
      </c>
      <c r="Q269">
        <f>IF(COUNTIFS('United Data'!$A$3:$A$3390,Q$1,'United Data'!$C$3:$C$3390,$A269,'United Data'!$B$3:$B$3390,"&lt;&gt;Off-street")&gt;0,1,0)</f>
        <v>0</v>
      </c>
      <c r="R269">
        <f>IF(COUNTIFS('United Data'!$A$3:$A$3390,R$1,'United Data'!$C$3:$C$3390,$A269,'United Data'!$B$3:$B$3390,"&lt;&gt;Off-street")&gt;0,1,0)</f>
        <v>0</v>
      </c>
      <c r="S269">
        <f t="shared" si="8"/>
        <v>1</v>
      </c>
      <c r="T269">
        <f t="shared" si="9"/>
        <v>1</v>
      </c>
    </row>
    <row r="270" spans="1:20" x14ac:dyDescent="0.2">
      <c r="A270" t="s">
        <v>348</v>
      </c>
      <c r="B270">
        <f>IF(COUNTIFS('United Data'!$A$3:$A$3390,B$1,'United Data'!$C$3:$C$3390,$A270,'United Data'!$B$3:$B$3390,"&lt;&gt;Off-street")&gt;0,1,0)</f>
        <v>0</v>
      </c>
      <c r="C270">
        <f>IF(COUNTIFS('United Data'!$A$3:$A$3390,C$1,'United Data'!$C$3:$C$3390,$A270,'United Data'!$B$3:$B$3390,"&lt;&gt;Off-street")&gt;0,1,0)</f>
        <v>0</v>
      </c>
      <c r="D270">
        <f>IF(COUNTIFS('United Data'!$A$3:$A$3390,D$1,'United Data'!$C$3:$C$3390,$A270,'United Data'!$B$3:$B$3390,"&lt;&gt;Off-street")&gt;0,1,0)</f>
        <v>0</v>
      </c>
      <c r="E270">
        <f>IF(COUNTIFS('United Data'!$A$3:$A$3390,E$1,'United Data'!$C$3:$C$3390,$A270,'United Data'!$B$3:$B$3390,"&lt;&gt;Off-street")&gt;0,1,0)</f>
        <v>0</v>
      </c>
      <c r="F270">
        <f>IF(COUNTIFS('United Data'!$A$3:$A$3390,F$1,'United Data'!$C$3:$C$3390,$A270,'United Data'!$B$3:$B$3390,"&lt;&gt;Off-street")&gt;0,1,0)</f>
        <v>0</v>
      </c>
      <c r="G270">
        <f>IF(COUNTIFS('United Data'!$A$3:$A$3390,G$1,'United Data'!$C$3:$C$3390,$A270,'United Data'!$B$3:$B$3390,"&lt;&gt;Off-street")&gt;0,1,0)</f>
        <v>0</v>
      </c>
      <c r="H270">
        <f>IF(COUNTIFS('United Data'!$A$3:$A$3390,H$1,'United Data'!$C$3:$C$3390,$A270,'United Data'!$B$3:$B$3390,"&lt;&gt;Off-street")&gt;0,1,0)</f>
        <v>0</v>
      </c>
      <c r="I270">
        <f>IF(COUNTIFS('United Data'!$A$3:$A$3390,I$1,'United Data'!$C$3:$C$3390,$A270,'United Data'!$B$3:$B$3390,"&lt;&gt;Off-street")&gt;0,1,0)</f>
        <v>0</v>
      </c>
      <c r="J270">
        <f>IF(COUNTIFS('United Data'!$A$3:$A$3390,J$1,'United Data'!$C$3:$C$3390,$A270,'United Data'!$B$3:$B$3390,"&lt;&gt;Off-street")&gt;0,1,0)</f>
        <v>0</v>
      </c>
      <c r="K270">
        <f>IF(COUNTIFS('United Data'!$A$3:$A$3390,K$1,'United Data'!$C$3:$C$3390,$A270,'United Data'!$B$3:$B$3390,"&lt;&gt;Off-street")&gt;0,1,0)</f>
        <v>0</v>
      </c>
      <c r="L270">
        <f>IF(COUNTIFS('United Data'!$A$3:$A$3390,L$1,'United Data'!$C$3:$C$3390,$A270,'United Data'!$B$3:$B$3390,"&lt;&gt;Off-street")&gt;0,1,0)</f>
        <v>0</v>
      </c>
      <c r="M270">
        <f>IF(COUNTIFS('United Data'!$A$3:$A$3390,M$1,'United Data'!$C$3:$C$3390,$A270,'United Data'!$B$3:$B$3390,"&lt;&gt;Off-street")&gt;0,1,0)</f>
        <v>0</v>
      </c>
      <c r="N270">
        <f>IF(COUNTIFS('United Data'!$A$3:$A$3390,N$1,'United Data'!$C$3:$C$3390,$A270,'United Data'!$B$3:$B$3390,"&lt;&gt;Off-street")&gt;0,1,0)</f>
        <v>0</v>
      </c>
      <c r="O270">
        <f>IF(COUNTIFS('United Data'!$A$3:$A$3390,O$1,'United Data'!$C$3:$C$3390,$A270,'United Data'!$B$3:$B$3390,"&lt;&gt;Off-street")&gt;0,1,0)</f>
        <v>0</v>
      </c>
      <c r="P270">
        <f>IF(COUNTIFS('United Data'!$A$3:$A$3390,P$1,'United Data'!$C$3:$C$3390,$A270,'United Data'!$B$3:$B$3390,"&lt;&gt;Off-street")&gt;0,1,0)</f>
        <v>1</v>
      </c>
      <c r="Q270">
        <f>IF(COUNTIFS('United Data'!$A$3:$A$3390,Q$1,'United Data'!$C$3:$C$3390,$A270,'United Data'!$B$3:$B$3390,"&lt;&gt;Off-street")&gt;0,1,0)</f>
        <v>0</v>
      </c>
      <c r="R270">
        <f>IF(COUNTIFS('United Data'!$A$3:$A$3390,R$1,'United Data'!$C$3:$C$3390,$A270,'United Data'!$B$3:$B$3390,"&lt;&gt;Off-street")&gt;0,1,0)</f>
        <v>0</v>
      </c>
      <c r="S270">
        <f t="shared" si="8"/>
        <v>1</v>
      </c>
      <c r="T270">
        <f t="shared" si="9"/>
        <v>1</v>
      </c>
    </row>
    <row r="271" spans="1:20" x14ac:dyDescent="0.2">
      <c r="A271" t="s">
        <v>350</v>
      </c>
      <c r="B271">
        <f>IF(COUNTIFS('United Data'!$A$3:$A$3390,B$1,'United Data'!$C$3:$C$3390,$A271,'United Data'!$B$3:$B$3390,"&lt;&gt;Off-street")&gt;0,1,0)</f>
        <v>0</v>
      </c>
      <c r="C271">
        <f>IF(COUNTIFS('United Data'!$A$3:$A$3390,C$1,'United Data'!$C$3:$C$3390,$A271,'United Data'!$B$3:$B$3390,"&lt;&gt;Off-street")&gt;0,1,0)</f>
        <v>0</v>
      </c>
      <c r="D271">
        <f>IF(COUNTIFS('United Data'!$A$3:$A$3390,D$1,'United Data'!$C$3:$C$3390,$A271,'United Data'!$B$3:$B$3390,"&lt;&gt;Off-street")&gt;0,1,0)</f>
        <v>0</v>
      </c>
      <c r="E271">
        <f>IF(COUNTIFS('United Data'!$A$3:$A$3390,E$1,'United Data'!$C$3:$C$3390,$A271,'United Data'!$B$3:$B$3390,"&lt;&gt;Off-street")&gt;0,1,0)</f>
        <v>0</v>
      </c>
      <c r="F271">
        <f>IF(COUNTIFS('United Data'!$A$3:$A$3390,F$1,'United Data'!$C$3:$C$3390,$A271,'United Data'!$B$3:$B$3390,"&lt;&gt;Off-street")&gt;0,1,0)</f>
        <v>0</v>
      </c>
      <c r="G271">
        <f>IF(COUNTIFS('United Data'!$A$3:$A$3390,G$1,'United Data'!$C$3:$C$3390,$A271,'United Data'!$B$3:$B$3390,"&lt;&gt;Off-street")&gt;0,1,0)</f>
        <v>0</v>
      </c>
      <c r="H271">
        <f>IF(COUNTIFS('United Data'!$A$3:$A$3390,H$1,'United Data'!$C$3:$C$3390,$A271,'United Data'!$B$3:$B$3390,"&lt;&gt;Off-street")&gt;0,1,0)</f>
        <v>0</v>
      </c>
      <c r="I271">
        <f>IF(COUNTIFS('United Data'!$A$3:$A$3390,I$1,'United Data'!$C$3:$C$3390,$A271,'United Data'!$B$3:$B$3390,"&lt;&gt;Off-street")&gt;0,1,0)</f>
        <v>0</v>
      </c>
      <c r="J271">
        <f>IF(COUNTIFS('United Data'!$A$3:$A$3390,J$1,'United Data'!$C$3:$C$3390,$A271,'United Data'!$B$3:$B$3390,"&lt;&gt;Off-street")&gt;0,1,0)</f>
        <v>0</v>
      </c>
      <c r="K271">
        <f>IF(COUNTIFS('United Data'!$A$3:$A$3390,K$1,'United Data'!$C$3:$C$3390,$A271,'United Data'!$B$3:$B$3390,"&lt;&gt;Off-street")&gt;0,1,0)</f>
        <v>0</v>
      </c>
      <c r="L271">
        <f>IF(COUNTIFS('United Data'!$A$3:$A$3390,L$1,'United Data'!$C$3:$C$3390,$A271,'United Data'!$B$3:$B$3390,"&lt;&gt;Off-street")&gt;0,1,0)</f>
        <v>0</v>
      </c>
      <c r="M271">
        <f>IF(COUNTIFS('United Data'!$A$3:$A$3390,M$1,'United Data'!$C$3:$C$3390,$A271,'United Data'!$B$3:$B$3390,"&lt;&gt;Off-street")&gt;0,1,0)</f>
        <v>0</v>
      </c>
      <c r="N271">
        <f>IF(COUNTIFS('United Data'!$A$3:$A$3390,N$1,'United Data'!$C$3:$C$3390,$A271,'United Data'!$B$3:$B$3390,"&lt;&gt;Off-street")&gt;0,1,0)</f>
        <v>0</v>
      </c>
      <c r="O271">
        <f>IF(COUNTIFS('United Data'!$A$3:$A$3390,O$1,'United Data'!$C$3:$C$3390,$A271,'United Data'!$B$3:$B$3390,"&lt;&gt;Off-street")&gt;0,1,0)</f>
        <v>0</v>
      </c>
      <c r="P271">
        <f>IF(COUNTIFS('United Data'!$A$3:$A$3390,P$1,'United Data'!$C$3:$C$3390,$A271,'United Data'!$B$3:$B$3390,"&lt;&gt;Off-street")&gt;0,1,0)</f>
        <v>0</v>
      </c>
      <c r="Q271">
        <f>IF(COUNTIFS('United Data'!$A$3:$A$3390,Q$1,'United Data'!$C$3:$C$3390,$A271,'United Data'!$B$3:$B$3390,"&lt;&gt;Off-street")&gt;0,1,0)</f>
        <v>1</v>
      </c>
      <c r="R271">
        <f>IF(COUNTIFS('United Data'!$A$3:$A$3390,R$1,'United Data'!$C$3:$C$3390,$A271,'United Data'!$B$3:$B$3390,"&lt;&gt;Off-street")&gt;0,1,0)</f>
        <v>0</v>
      </c>
      <c r="S271">
        <f t="shared" si="8"/>
        <v>1</v>
      </c>
      <c r="T271">
        <f t="shared" si="9"/>
        <v>1</v>
      </c>
    </row>
    <row r="272" spans="1:20" x14ac:dyDescent="0.2">
      <c r="A272" t="s">
        <v>351</v>
      </c>
      <c r="B272">
        <f>IF(COUNTIFS('United Data'!$A$3:$A$3390,B$1,'United Data'!$C$3:$C$3390,$A272,'United Data'!$B$3:$B$3390,"&lt;&gt;Off-street")&gt;0,1,0)</f>
        <v>0</v>
      </c>
      <c r="C272">
        <f>IF(COUNTIFS('United Data'!$A$3:$A$3390,C$1,'United Data'!$C$3:$C$3390,$A272,'United Data'!$B$3:$B$3390,"&lt;&gt;Off-street")&gt;0,1,0)</f>
        <v>0</v>
      </c>
      <c r="D272">
        <f>IF(COUNTIFS('United Data'!$A$3:$A$3390,D$1,'United Data'!$C$3:$C$3390,$A272,'United Data'!$B$3:$B$3390,"&lt;&gt;Off-street")&gt;0,1,0)</f>
        <v>0</v>
      </c>
      <c r="E272">
        <f>IF(COUNTIFS('United Data'!$A$3:$A$3390,E$1,'United Data'!$C$3:$C$3390,$A272,'United Data'!$B$3:$B$3390,"&lt;&gt;Off-street")&gt;0,1,0)</f>
        <v>0</v>
      </c>
      <c r="F272">
        <f>IF(COUNTIFS('United Data'!$A$3:$A$3390,F$1,'United Data'!$C$3:$C$3390,$A272,'United Data'!$B$3:$B$3390,"&lt;&gt;Off-street")&gt;0,1,0)</f>
        <v>0</v>
      </c>
      <c r="G272">
        <f>IF(COUNTIFS('United Data'!$A$3:$A$3390,G$1,'United Data'!$C$3:$C$3390,$A272,'United Data'!$B$3:$B$3390,"&lt;&gt;Off-street")&gt;0,1,0)</f>
        <v>0</v>
      </c>
      <c r="H272">
        <f>IF(COUNTIFS('United Data'!$A$3:$A$3390,H$1,'United Data'!$C$3:$C$3390,$A272,'United Data'!$B$3:$B$3390,"&lt;&gt;Off-street")&gt;0,1,0)</f>
        <v>0</v>
      </c>
      <c r="I272">
        <f>IF(COUNTIFS('United Data'!$A$3:$A$3390,I$1,'United Data'!$C$3:$C$3390,$A272,'United Data'!$B$3:$B$3390,"&lt;&gt;Off-street")&gt;0,1,0)</f>
        <v>0</v>
      </c>
      <c r="J272">
        <f>IF(COUNTIFS('United Data'!$A$3:$A$3390,J$1,'United Data'!$C$3:$C$3390,$A272,'United Data'!$B$3:$B$3390,"&lt;&gt;Off-street")&gt;0,1,0)</f>
        <v>0</v>
      </c>
      <c r="K272">
        <f>IF(COUNTIFS('United Data'!$A$3:$A$3390,K$1,'United Data'!$C$3:$C$3390,$A272,'United Data'!$B$3:$B$3390,"&lt;&gt;Off-street")&gt;0,1,0)</f>
        <v>0</v>
      </c>
      <c r="L272">
        <f>IF(COUNTIFS('United Data'!$A$3:$A$3390,L$1,'United Data'!$C$3:$C$3390,$A272,'United Data'!$B$3:$B$3390,"&lt;&gt;Off-street")&gt;0,1,0)</f>
        <v>0</v>
      </c>
      <c r="M272">
        <f>IF(COUNTIFS('United Data'!$A$3:$A$3390,M$1,'United Data'!$C$3:$C$3390,$A272,'United Data'!$B$3:$B$3390,"&lt;&gt;Off-street")&gt;0,1,0)</f>
        <v>0</v>
      </c>
      <c r="N272">
        <f>IF(COUNTIFS('United Data'!$A$3:$A$3390,N$1,'United Data'!$C$3:$C$3390,$A272,'United Data'!$B$3:$B$3390,"&lt;&gt;Off-street")&gt;0,1,0)</f>
        <v>0</v>
      </c>
      <c r="O272">
        <f>IF(COUNTIFS('United Data'!$A$3:$A$3390,O$1,'United Data'!$C$3:$C$3390,$A272,'United Data'!$B$3:$B$3390,"&lt;&gt;Off-street")&gt;0,1,0)</f>
        <v>0</v>
      </c>
      <c r="P272">
        <f>IF(COUNTIFS('United Data'!$A$3:$A$3390,P$1,'United Data'!$C$3:$C$3390,$A272,'United Data'!$B$3:$B$3390,"&lt;&gt;Off-street")&gt;0,1,0)</f>
        <v>0</v>
      </c>
      <c r="Q272">
        <f>IF(COUNTIFS('United Data'!$A$3:$A$3390,Q$1,'United Data'!$C$3:$C$3390,$A272,'United Data'!$B$3:$B$3390,"&lt;&gt;Off-street")&gt;0,1,0)</f>
        <v>0</v>
      </c>
      <c r="R272">
        <f>IF(COUNTIFS('United Data'!$A$3:$A$3390,R$1,'United Data'!$C$3:$C$3390,$A272,'United Data'!$B$3:$B$3390,"&lt;&gt;Off-street")&gt;0,1,0)</f>
        <v>1</v>
      </c>
      <c r="S272">
        <f t="shared" si="8"/>
        <v>1</v>
      </c>
      <c r="T272">
        <f t="shared" si="9"/>
        <v>1</v>
      </c>
    </row>
    <row r="273" spans="1:20" x14ac:dyDescent="0.2">
      <c r="A273" t="s">
        <v>352</v>
      </c>
      <c r="B273">
        <f>IF(COUNTIFS('United Data'!$A$3:$A$3390,B$1,'United Data'!$C$3:$C$3390,$A273,'United Data'!$B$3:$B$3390,"&lt;&gt;Off-street")&gt;0,1,0)</f>
        <v>0</v>
      </c>
      <c r="C273">
        <f>IF(COUNTIFS('United Data'!$A$3:$A$3390,C$1,'United Data'!$C$3:$C$3390,$A273,'United Data'!$B$3:$B$3390,"&lt;&gt;Off-street")&gt;0,1,0)</f>
        <v>0</v>
      </c>
      <c r="D273">
        <f>IF(COUNTIFS('United Data'!$A$3:$A$3390,D$1,'United Data'!$C$3:$C$3390,$A273,'United Data'!$B$3:$B$3390,"&lt;&gt;Off-street")&gt;0,1,0)</f>
        <v>0</v>
      </c>
      <c r="E273">
        <f>IF(COUNTIFS('United Data'!$A$3:$A$3390,E$1,'United Data'!$C$3:$C$3390,$A273,'United Data'!$B$3:$B$3390,"&lt;&gt;Off-street")&gt;0,1,0)</f>
        <v>0</v>
      </c>
      <c r="F273">
        <f>IF(COUNTIFS('United Data'!$A$3:$A$3390,F$1,'United Data'!$C$3:$C$3390,$A273,'United Data'!$B$3:$B$3390,"&lt;&gt;Off-street")&gt;0,1,0)</f>
        <v>0</v>
      </c>
      <c r="G273">
        <f>IF(COUNTIFS('United Data'!$A$3:$A$3390,G$1,'United Data'!$C$3:$C$3390,$A273,'United Data'!$B$3:$B$3390,"&lt;&gt;Off-street")&gt;0,1,0)</f>
        <v>0</v>
      </c>
      <c r="H273">
        <f>IF(COUNTIFS('United Data'!$A$3:$A$3390,H$1,'United Data'!$C$3:$C$3390,$A273,'United Data'!$B$3:$B$3390,"&lt;&gt;Off-street")&gt;0,1,0)</f>
        <v>0</v>
      </c>
      <c r="I273">
        <f>IF(COUNTIFS('United Data'!$A$3:$A$3390,I$1,'United Data'!$C$3:$C$3390,$A273,'United Data'!$B$3:$B$3390,"&lt;&gt;Off-street")&gt;0,1,0)</f>
        <v>0</v>
      </c>
      <c r="J273">
        <f>IF(COUNTIFS('United Data'!$A$3:$A$3390,J$1,'United Data'!$C$3:$C$3390,$A273,'United Data'!$B$3:$B$3390,"&lt;&gt;Off-street")&gt;0,1,0)</f>
        <v>0</v>
      </c>
      <c r="K273">
        <f>IF(COUNTIFS('United Data'!$A$3:$A$3390,K$1,'United Data'!$C$3:$C$3390,$A273,'United Data'!$B$3:$B$3390,"&lt;&gt;Off-street")&gt;0,1,0)</f>
        <v>0</v>
      </c>
      <c r="L273">
        <f>IF(COUNTIFS('United Data'!$A$3:$A$3390,L$1,'United Data'!$C$3:$C$3390,$A273,'United Data'!$B$3:$B$3390,"&lt;&gt;Off-street")&gt;0,1,0)</f>
        <v>0</v>
      </c>
      <c r="M273">
        <f>IF(COUNTIFS('United Data'!$A$3:$A$3390,M$1,'United Data'!$C$3:$C$3390,$A273,'United Data'!$B$3:$B$3390,"&lt;&gt;Off-street")&gt;0,1,0)</f>
        <v>0</v>
      </c>
      <c r="N273">
        <f>IF(COUNTIFS('United Data'!$A$3:$A$3390,N$1,'United Data'!$C$3:$C$3390,$A273,'United Data'!$B$3:$B$3390,"&lt;&gt;Off-street")&gt;0,1,0)</f>
        <v>0</v>
      </c>
      <c r="O273">
        <f>IF(COUNTIFS('United Data'!$A$3:$A$3390,O$1,'United Data'!$C$3:$C$3390,$A273,'United Data'!$B$3:$B$3390,"&lt;&gt;Off-street")&gt;0,1,0)</f>
        <v>1</v>
      </c>
      <c r="P273">
        <f>IF(COUNTIFS('United Data'!$A$3:$A$3390,P$1,'United Data'!$C$3:$C$3390,$A273,'United Data'!$B$3:$B$3390,"&lt;&gt;Off-street")&gt;0,1,0)</f>
        <v>1</v>
      </c>
      <c r="Q273">
        <f>IF(COUNTIFS('United Data'!$A$3:$A$3390,Q$1,'United Data'!$C$3:$C$3390,$A273,'United Data'!$B$3:$B$3390,"&lt;&gt;Off-street")&gt;0,1,0)</f>
        <v>1</v>
      </c>
      <c r="R273">
        <f>IF(COUNTIFS('United Data'!$A$3:$A$3390,R$1,'United Data'!$C$3:$C$3390,$A273,'United Data'!$B$3:$B$3390,"&lt;&gt;Off-street")&gt;0,1,0)</f>
        <v>1</v>
      </c>
      <c r="S273">
        <f t="shared" si="8"/>
        <v>4</v>
      </c>
      <c r="T273">
        <f t="shared" si="9"/>
        <v>1</v>
      </c>
    </row>
    <row r="274" spans="1:20" x14ac:dyDescent="0.2">
      <c r="A274" t="s">
        <v>353</v>
      </c>
      <c r="B274">
        <f>IF(COUNTIFS('United Data'!$A$3:$A$3390,B$1,'United Data'!$C$3:$C$3390,$A274,'United Data'!$B$3:$B$3390,"&lt;&gt;Off-street")&gt;0,1,0)</f>
        <v>0</v>
      </c>
      <c r="C274">
        <f>IF(COUNTIFS('United Data'!$A$3:$A$3390,C$1,'United Data'!$C$3:$C$3390,$A274,'United Data'!$B$3:$B$3390,"&lt;&gt;Off-street")&gt;0,1,0)</f>
        <v>0</v>
      </c>
      <c r="D274">
        <f>IF(COUNTIFS('United Data'!$A$3:$A$3390,D$1,'United Data'!$C$3:$C$3390,$A274,'United Data'!$B$3:$B$3390,"&lt;&gt;Off-street")&gt;0,1,0)</f>
        <v>0</v>
      </c>
      <c r="E274">
        <f>IF(COUNTIFS('United Data'!$A$3:$A$3390,E$1,'United Data'!$C$3:$C$3390,$A274,'United Data'!$B$3:$B$3390,"&lt;&gt;Off-street")&gt;0,1,0)</f>
        <v>0</v>
      </c>
      <c r="F274">
        <f>IF(COUNTIFS('United Data'!$A$3:$A$3390,F$1,'United Data'!$C$3:$C$3390,$A274,'United Data'!$B$3:$B$3390,"&lt;&gt;Off-street")&gt;0,1,0)</f>
        <v>0</v>
      </c>
      <c r="G274">
        <f>IF(COUNTIFS('United Data'!$A$3:$A$3390,G$1,'United Data'!$C$3:$C$3390,$A274,'United Data'!$B$3:$B$3390,"&lt;&gt;Off-street")&gt;0,1,0)</f>
        <v>0</v>
      </c>
      <c r="H274">
        <f>IF(COUNTIFS('United Data'!$A$3:$A$3390,H$1,'United Data'!$C$3:$C$3390,$A274,'United Data'!$B$3:$B$3390,"&lt;&gt;Off-street")&gt;0,1,0)</f>
        <v>0</v>
      </c>
      <c r="I274">
        <f>IF(COUNTIFS('United Data'!$A$3:$A$3390,I$1,'United Data'!$C$3:$C$3390,$A274,'United Data'!$B$3:$B$3390,"&lt;&gt;Off-street")&gt;0,1,0)</f>
        <v>0</v>
      </c>
      <c r="J274">
        <f>IF(COUNTIFS('United Data'!$A$3:$A$3390,J$1,'United Data'!$C$3:$C$3390,$A274,'United Data'!$B$3:$B$3390,"&lt;&gt;Off-street")&gt;0,1,0)</f>
        <v>0</v>
      </c>
      <c r="K274">
        <f>IF(COUNTIFS('United Data'!$A$3:$A$3390,K$1,'United Data'!$C$3:$C$3390,$A274,'United Data'!$B$3:$B$3390,"&lt;&gt;Off-street")&gt;0,1,0)</f>
        <v>0</v>
      </c>
      <c r="L274">
        <f>IF(COUNTIFS('United Data'!$A$3:$A$3390,L$1,'United Data'!$C$3:$C$3390,$A274,'United Data'!$B$3:$B$3390,"&lt;&gt;Off-street")&gt;0,1,0)</f>
        <v>0</v>
      </c>
      <c r="M274">
        <f>IF(COUNTIFS('United Data'!$A$3:$A$3390,M$1,'United Data'!$C$3:$C$3390,$A274,'United Data'!$B$3:$B$3390,"&lt;&gt;Off-street")&gt;0,1,0)</f>
        <v>0</v>
      </c>
      <c r="N274">
        <f>IF(COUNTIFS('United Data'!$A$3:$A$3390,N$1,'United Data'!$C$3:$C$3390,$A274,'United Data'!$B$3:$B$3390,"&lt;&gt;Off-street")&gt;0,1,0)</f>
        <v>0</v>
      </c>
      <c r="O274">
        <f>IF(COUNTIFS('United Data'!$A$3:$A$3390,O$1,'United Data'!$C$3:$C$3390,$A274,'United Data'!$B$3:$B$3390,"&lt;&gt;Off-street")&gt;0,1,0)</f>
        <v>0</v>
      </c>
      <c r="P274">
        <f>IF(COUNTIFS('United Data'!$A$3:$A$3390,P$1,'United Data'!$C$3:$C$3390,$A274,'United Data'!$B$3:$B$3390,"&lt;&gt;Off-street")&gt;0,1,0)</f>
        <v>0</v>
      </c>
      <c r="Q274">
        <f>IF(COUNTIFS('United Data'!$A$3:$A$3390,Q$1,'United Data'!$C$3:$C$3390,$A274,'United Data'!$B$3:$B$3390,"&lt;&gt;Off-street")&gt;0,1,0)</f>
        <v>0</v>
      </c>
      <c r="R274">
        <f>IF(COUNTIFS('United Data'!$A$3:$A$3390,R$1,'United Data'!$C$3:$C$3390,$A274,'United Data'!$B$3:$B$3390,"&lt;&gt;Off-street")&gt;0,1,0)</f>
        <v>1</v>
      </c>
      <c r="S274">
        <f t="shared" si="8"/>
        <v>1</v>
      </c>
      <c r="T274">
        <f t="shared" si="9"/>
        <v>1</v>
      </c>
    </row>
    <row r="275" spans="1:20" x14ac:dyDescent="0.2">
      <c r="A275" t="s">
        <v>354</v>
      </c>
      <c r="B275">
        <f>IF(COUNTIFS('United Data'!$A$3:$A$3390,B$1,'United Data'!$C$3:$C$3390,$A275,'United Data'!$B$3:$B$3390,"&lt;&gt;Off-street")&gt;0,1,0)</f>
        <v>1</v>
      </c>
      <c r="C275">
        <f>IF(COUNTIFS('United Data'!$A$3:$A$3390,C$1,'United Data'!$C$3:$C$3390,$A275,'United Data'!$B$3:$B$3390,"&lt;&gt;Off-street")&gt;0,1,0)</f>
        <v>0</v>
      </c>
      <c r="D275">
        <f>IF(COUNTIFS('United Data'!$A$3:$A$3390,D$1,'United Data'!$C$3:$C$3390,$A275,'United Data'!$B$3:$B$3390,"&lt;&gt;Off-street")&gt;0,1,0)</f>
        <v>0</v>
      </c>
      <c r="E275">
        <f>IF(COUNTIFS('United Data'!$A$3:$A$3390,E$1,'United Data'!$C$3:$C$3390,$A275,'United Data'!$B$3:$B$3390,"&lt;&gt;Off-street")&gt;0,1,0)</f>
        <v>1</v>
      </c>
      <c r="F275">
        <f>IF(COUNTIFS('United Data'!$A$3:$A$3390,F$1,'United Data'!$C$3:$C$3390,$A275,'United Data'!$B$3:$B$3390,"&lt;&gt;Off-street")&gt;0,1,0)</f>
        <v>1</v>
      </c>
      <c r="G275">
        <f>IF(COUNTIFS('United Data'!$A$3:$A$3390,G$1,'United Data'!$C$3:$C$3390,$A275,'United Data'!$B$3:$B$3390,"&lt;&gt;Off-street")&gt;0,1,0)</f>
        <v>1</v>
      </c>
      <c r="H275">
        <f>IF(COUNTIFS('United Data'!$A$3:$A$3390,H$1,'United Data'!$C$3:$C$3390,$A275,'United Data'!$B$3:$B$3390,"&lt;&gt;Off-street")&gt;0,1,0)</f>
        <v>0</v>
      </c>
      <c r="I275">
        <f>IF(COUNTIFS('United Data'!$A$3:$A$3390,I$1,'United Data'!$C$3:$C$3390,$A275,'United Data'!$B$3:$B$3390,"&lt;&gt;Off-street")&gt;0,1,0)</f>
        <v>1</v>
      </c>
      <c r="J275">
        <f>IF(COUNTIFS('United Data'!$A$3:$A$3390,J$1,'United Data'!$C$3:$C$3390,$A275,'United Data'!$B$3:$B$3390,"&lt;&gt;Off-street")&gt;0,1,0)</f>
        <v>0</v>
      </c>
      <c r="K275">
        <f>IF(COUNTIFS('United Data'!$A$3:$A$3390,K$1,'United Data'!$C$3:$C$3390,$A275,'United Data'!$B$3:$B$3390,"&lt;&gt;Off-street")&gt;0,1,0)</f>
        <v>0</v>
      </c>
      <c r="L275">
        <f>IF(COUNTIFS('United Data'!$A$3:$A$3390,L$1,'United Data'!$C$3:$C$3390,$A275,'United Data'!$B$3:$B$3390,"&lt;&gt;Off-street")&gt;0,1,0)</f>
        <v>1</v>
      </c>
      <c r="M275">
        <f>IF(COUNTIFS('United Data'!$A$3:$A$3390,M$1,'United Data'!$C$3:$C$3390,$A275,'United Data'!$B$3:$B$3390,"&lt;&gt;Off-street")&gt;0,1,0)</f>
        <v>1</v>
      </c>
      <c r="N275">
        <f>IF(COUNTIFS('United Data'!$A$3:$A$3390,N$1,'United Data'!$C$3:$C$3390,$A275,'United Data'!$B$3:$B$3390,"&lt;&gt;Off-street")&gt;0,1,0)</f>
        <v>1</v>
      </c>
      <c r="O275">
        <f>IF(COUNTIFS('United Data'!$A$3:$A$3390,O$1,'United Data'!$C$3:$C$3390,$A275,'United Data'!$B$3:$B$3390,"&lt;&gt;Off-street")&gt;0,1,0)</f>
        <v>1</v>
      </c>
      <c r="P275">
        <f>IF(COUNTIFS('United Data'!$A$3:$A$3390,P$1,'United Data'!$C$3:$C$3390,$A275,'United Data'!$B$3:$B$3390,"&lt;&gt;Off-street")&gt;0,1,0)</f>
        <v>1</v>
      </c>
      <c r="Q275">
        <f>IF(COUNTIFS('United Data'!$A$3:$A$3390,Q$1,'United Data'!$C$3:$C$3390,$A275,'United Data'!$B$3:$B$3390,"&lt;&gt;Off-street")&gt;0,1,0)</f>
        <v>1</v>
      </c>
      <c r="R275">
        <f>IF(COUNTIFS('United Data'!$A$3:$A$3390,R$1,'United Data'!$C$3:$C$3390,$A275,'United Data'!$B$3:$B$3390,"&lt;&gt;Off-street")&gt;0,1,0)</f>
        <v>1</v>
      </c>
      <c r="S275">
        <f t="shared" si="8"/>
        <v>12</v>
      </c>
      <c r="T275">
        <f t="shared" si="9"/>
        <v>4</v>
      </c>
    </row>
    <row r="276" spans="1:20" x14ac:dyDescent="0.2">
      <c r="A276" t="s">
        <v>355</v>
      </c>
      <c r="B276">
        <f>IF(COUNTIFS('United Data'!$A$3:$A$3390,B$1,'United Data'!$C$3:$C$3390,$A276,'United Data'!$B$3:$B$3390,"&lt;&gt;Off-street")&gt;0,1,0)</f>
        <v>1</v>
      </c>
      <c r="C276">
        <f>IF(COUNTIFS('United Data'!$A$3:$A$3390,C$1,'United Data'!$C$3:$C$3390,$A276,'United Data'!$B$3:$B$3390,"&lt;&gt;Off-street")&gt;0,1,0)</f>
        <v>0</v>
      </c>
      <c r="D276">
        <f>IF(COUNTIFS('United Data'!$A$3:$A$3390,D$1,'United Data'!$C$3:$C$3390,$A276,'United Data'!$B$3:$B$3390,"&lt;&gt;Off-street")&gt;0,1,0)</f>
        <v>0</v>
      </c>
      <c r="E276">
        <f>IF(COUNTIFS('United Data'!$A$3:$A$3390,E$1,'United Data'!$C$3:$C$3390,$A276,'United Data'!$B$3:$B$3390,"&lt;&gt;Off-street")&gt;0,1,0)</f>
        <v>0</v>
      </c>
      <c r="F276">
        <f>IF(COUNTIFS('United Data'!$A$3:$A$3390,F$1,'United Data'!$C$3:$C$3390,$A276,'United Data'!$B$3:$B$3390,"&lt;&gt;Off-street")&gt;0,1,0)</f>
        <v>0</v>
      </c>
      <c r="G276">
        <f>IF(COUNTIFS('United Data'!$A$3:$A$3390,G$1,'United Data'!$C$3:$C$3390,$A276,'United Data'!$B$3:$B$3390,"&lt;&gt;Off-street")&gt;0,1,0)</f>
        <v>0</v>
      </c>
      <c r="H276">
        <f>IF(COUNTIFS('United Data'!$A$3:$A$3390,H$1,'United Data'!$C$3:$C$3390,$A276,'United Data'!$B$3:$B$3390,"&lt;&gt;Off-street")&gt;0,1,0)</f>
        <v>0</v>
      </c>
      <c r="I276">
        <f>IF(COUNTIFS('United Data'!$A$3:$A$3390,I$1,'United Data'!$C$3:$C$3390,$A276,'United Data'!$B$3:$B$3390,"&lt;&gt;Off-street")&gt;0,1,0)</f>
        <v>0</v>
      </c>
      <c r="J276">
        <f>IF(COUNTIFS('United Data'!$A$3:$A$3390,J$1,'United Data'!$C$3:$C$3390,$A276,'United Data'!$B$3:$B$3390,"&lt;&gt;Off-street")&gt;0,1,0)</f>
        <v>0</v>
      </c>
      <c r="K276">
        <f>IF(COUNTIFS('United Data'!$A$3:$A$3390,K$1,'United Data'!$C$3:$C$3390,$A276,'United Data'!$B$3:$B$3390,"&lt;&gt;Off-street")&gt;0,1,0)</f>
        <v>0</v>
      </c>
      <c r="L276">
        <f>IF(COUNTIFS('United Data'!$A$3:$A$3390,L$1,'United Data'!$C$3:$C$3390,$A276,'United Data'!$B$3:$B$3390,"&lt;&gt;Off-street")&gt;0,1,0)</f>
        <v>0</v>
      </c>
      <c r="M276">
        <f>IF(COUNTIFS('United Data'!$A$3:$A$3390,M$1,'United Data'!$C$3:$C$3390,$A276,'United Data'!$B$3:$B$3390,"&lt;&gt;Off-street")&gt;0,1,0)</f>
        <v>0</v>
      </c>
      <c r="N276">
        <f>IF(COUNTIFS('United Data'!$A$3:$A$3390,N$1,'United Data'!$C$3:$C$3390,$A276,'United Data'!$B$3:$B$3390,"&lt;&gt;Off-street")&gt;0,1,0)</f>
        <v>0</v>
      </c>
      <c r="O276">
        <f>IF(COUNTIFS('United Data'!$A$3:$A$3390,O$1,'United Data'!$C$3:$C$3390,$A276,'United Data'!$B$3:$B$3390,"&lt;&gt;Off-street")&gt;0,1,0)</f>
        <v>0</v>
      </c>
      <c r="P276">
        <f>IF(COUNTIFS('United Data'!$A$3:$A$3390,P$1,'United Data'!$C$3:$C$3390,$A276,'United Data'!$B$3:$B$3390,"&lt;&gt;Off-street")&gt;0,1,0)</f>
        <v>0</v>
      </c>
      <c r="Q276">
        <f>IF(COUNTIFS('United Data'!$A$3:$A$3390,Q$1,'United Data'!$C$3:$C$3390,$A276,'United Data'!$B$3:$B$3390,"&lt;&gt;Off-street")&gt;0,1,0)</f>
        <v>0</v>
      </c>
      <c r="R276">
        <f>IF(COUNTIFS('United Data'!$A$3:$A$3390,R$1,'United Data'!$C$3:$C$3390,$A276,'United Data'!$B$3:$B$3390,"&lt;&gt;Off-street")&gt;0,1,0)</f>
        <v>0</v>
      </c>
      <c r="S276">
        <f t="shared" si="8"/>
        <v>1</v>
      </c>
      <c r="T276">
        <f t="shared" si="9"/>
        <v>1</v>
      </c>
    </row>
    <row r="277" spans="1:20" x14ac:dyDescent="0.2">
      <c r="A277" t="s">
        <v>356</v>
      </c>
      <c r="B277">
        <f>IF(COUNTIFS('United Data'!$A$3:$A$3390,B$1,'United Data'!$C$3:$C$3390,$A277,'United Data'!$B$3:$B$3390,"&lt;&gt;Off-street")&gt;0,1,0)</f>
        <v>1</v>
      </c>
      <c r="C277">
        <f>IF(COUNTIFS('United Data'!$A$3:$A$3390,C$1,'United Data'!$C$3:$C$3390,$A277,'United Data'!$B$3:$B$3390,"&lt;&gt;Off-street")&gt;0,1,0)</f>
        <v>0</v>
      </c>
      <c r="D277">
        <f>IF(COUNTIFS('United Data'!$A$3:$A$3390,D$1,'United Data'!$C$3:$C$3390,$A277,'United Data'!$B$3:$B$3390,"&lt;&gt;Off-street")&gt;0,1,0)</f>
        <v>0</v>
      </c>
      <c r="E277">
        <f>IF(COUNTIFS('United Data'!$A$3:$A$3390,E$1,'United Data'!$C$3:$C$3390,$A277,'United Data'!$B$3:$B$3390,"&lt;&gt;Off-street")&gt;0,1,0)</f>
        <v>0</v>
      </c>
      <c r="F277">
        <f>IF(COUNTIFS('United Data'!$A$3:$A$3390,F$1,'United Data'!$C$3:$C$3390,$A277,'United Data'!$B$3:$B$3390,"&lt;&gt;Off-street")&gt;0,1,0)</f>
        <v>0</v>
      </c>
      <c r="G277">
        <f>IF(COUNTIFS('United Data'!$A$3:$A$3390,G$1,'United Data'!$C$3:$C$3390,$A277,'United Data'!$B$3:$B$3390,"&lt;&gt;Off-street")&gt;0,1,0)</f>
        <v>0</v>
      </c>
      <c r="H277">
        <f>IF(COUNTIFS('United Data'!$A$3:$A$3390,H$1,'United Data'!$C$3:$C$3390,$A277,'United Data'!$B$3:$B$3390,"&lt;&gt;Off-street")&gt;0,1,0)</f>
        <v>0</v>
      </c>
      <c r="I277">
        <f>IF(COUNTIFS('United Data'!$A$3:$A$3390,I$1,'United Data'!$C$3:$C$3390,$A277,'United Data'!$B$3:$B$3390,"&lt;&gt;Off-street")&gt;0,1,0)</f>
        <v>0</v>
      </c>
      <c r="J277">
        <f>IF(COUNTIFS('United Data'!$A$3:$A$3390,J$1,'United Data'!$C$3:$C$3390,$A277,'United Data'!$B$3:$B$3390,"&lt;&gt;Off-street")&gt;0,1,0)</f>
        <v>0</v>
      </c>
      <c r="K277">
        <f>IF(COUNTIFS('United Data'!$A$3:$A$3390,K$1,'United Data'!$C$3:$C$3390,$A277,'United Data'!$B$3:$B$3390,"&lt;&gt;Off-street")&gt;0,1,0)</f>
        <v>0</v>
      </c>
      <c r="L277">
        <f>IF(COUNTIFS('United Data'!$A$3:$A$3390,L$1,'United Data'!$C$3:$C$3390,$A277,'United Data'!$B$3:$B$3390,"&lt;&gt;Off-street")&gt;0,1,0)</f>
        <v>0</v>
      </c>
      <c r="M277">
        <f>IF(COUNTIFS('United Data'!$A$3:$A$3390,M$1,'United Data'!$C$3:$C$3390,$A277,'United Data'!$B$3:$B$3390,"&lt;&gt;Off-street")&gt;0,1,0)</f>
        <v>0</v>
      </c>
      <c r="N277">
        <f>IF(COUNTIFS('United Data'!$A$3:$A$3390,N$1,'United Data'!$C$3:$C$3390,$A277,'United Data'!$B$3:$B$3390,"&lt;&gt;Off-street")&gt;0,1,0)</f>
        <v>0</v>
      </c>
      <c r="O277">
        <f>IF(COUNTIFS('United Data'!$A$3:$A$3390,O$1,'United Data'!$C$3:$C$3390,$A277,'United Data'!$B$3:$B$3390,"&lt;&gt;Off-street")&gt;0,1,0)</f>
        <v>0</v>
      </c>
      <c r="P277">
        <f>IF(COUNTIFS('United Data'!$A$3:$A$3390,P$1,'United Data'!$C$3:$C$3390,$A277,'United Data'!$B$3:$B$3390,"&lt;&gt;Off-street")&gt;0,1,0)</f>
        <v>0</v>
      </c>
      <c r="Q277">
        <f>IF(COUNTIFS('United Data'!$A$3:$A$3390,Q$1,'United Data'!$C$3:$C$3390,$A277,'United Data'!$B$3:$B$3390,"&lt;&gt;Off-street")&gt;0,1,0)</f>
        <v>0</v>
      </c>
      <c r="R277">
        <f>IF(COUNTIFS('United Data'!$A$3:$A$3390,R$1,'United Data'!$C$3:$C$3390,$A277,'United Data'!$B$3:$B$3390,"&lt;&gt;Off-street")&gt;0,1,0)</f>
        <v>0</v>
      </c>
      <c r="S277">
        <f t="shared" si="8"/>
        <v>1</v>
      </c>
      <c r="T277">
        <f t="shared" si="9"/>
        <v>1</v>
      </c>
    </row>
    <row r="278" spans="1:20" x14ac:dyDescent="0.2">
      <c r="A278" t="s">
        <v>357</v>
      </c>
      <c r="B278">
        <f>IF(COUNTIFS('United Data'!$A$3:$A$3390,B$1,'United Data'!$C$3:$C$3390,$A278,'United Data'!$B$3:$B$3390,"&lt;&gt;Off-street")&gt;0,1,0)</f>
        <v>1</v>
      </c>
      <c r="C278">
        <f>IF(COUNTIFS('United Data'!$A$3:$A$3390,C$1,'United Data'!$C$3:$C$3390,$A278,'United Data'!$B$3:$B$3390,"&lt;&gt;Off-street")&gt;0,1,0)</f>
        <v>0</v>
      </c>
      <c r="D278">
        <f>IF(COUNTIFS('United Data'!$A$3:$A$3390,D$1,'United Data'!$C$3:$C$3390,$A278,'United Data'!$B$3:$B$3390,"&lt;&gt;Off-street")&gt;0,1,0)</f>
        <v>0</v>
      </c>
      <c r="E278">
        <f>IF(COUNTIFS('United Data'!$A$3:$A$3390,E$1,'United Data'!$C$3:$C$3390,$A278,'United Data'!$B$3:$B$3390,"&lt;&gt;Off-street")&gt;0,1,0)</f>
        <v>0</v>
      </c>
      <c r="F278">
        <f>IF(COUNTIFS('United Data'!$A$3:$A$3390,F$1,'United Data'!$C$3:$C$3390,$A278,'United Data'!$B$3:$B$3390,"&lt;&gt;Off-street")&gt;0,1,0)</f>
        <v>0</v>
      </c>
      <c r="G278">
        <f>IF(COUNTIFS('United Data'!$A$3:$A$3390,G$1,'United Data'!$C$3:$C$3390,$A278,'United Data'!$B$3:$B$3390,"&lt;&gt;Off-street")&gt;0,1,0)</f>
        <v>0</v>
      </c>
      <c r="H278">
        <f>IF(COUNTIFS('United Data'!$A$3:$A$3390,H$1,'United Data'!$C$3:$C$3390,$A278,'United Data'!$B$3:$B$3390,"&lt;&gt;Off-street")&gt;0,1,0)</f>
        <v>0</v>
      </c>
      <c r="I278">
        <f>IF(COUNTIFS('United Data'!$A$3:$A$3390,I$1,'United Data'!$C$3:$C$3390,$A278,'United Data'!$B$3:$B$3390,"&lt;&gt;Off-street")&gt;0,1,0)</f>
        <v>0</v>
      </c>
      <c r="J278">
        <f>IF(COUNTIFS('United Data'!$A$3:$A$3390,J$1,'United Data'!$C$3:$C$3390,$A278,'United Data'!$B$3:$B$3390,"&lt;&gt;Off-street")&gt;0,1,0)</f>
        <v>0</v>
      </c>
      <c r="K278">
        <f>IF(COUNTIFS('United Data'!$A$3:$A$3390,K$1,'United Data'!$C$3:$C$3390,$A278,'United Data'!$B$3:$B$3390,"&lt;&gt;Off-street")&gt;0,1,0)</f>
        <v>0</v>
      </c>
      <c r="L278">
        <f>IF(COUNTIFS('United Data'!$A$3:$A$3390,L$1,'United Data'!$C$3:$C$3390,$A278,'United Data'!$B$3:$B$3390,"&lt;&gt;Off-street")&gt;0,1,0)</f>
        <v>0</v>
      </c>
      <c r="M278">
        <f>IF(COUNTIFS('United Data'!$A$3:$A$3390,M$1,'United Data'!$C$3:$C$3390,$A278,'United Data'!$B$3:$B$3390,"&lt;&gt;Off-street")&gt;0,1,0)</f>
        <v>0</v>
      </c>
      <c r="N278">
        <f>IF(COUNTIFS('United Data'!$A$3:$A$3390,N$1,'United Data'!$C$3:$C$3390,$A278,'United Data'!$B$3:$B$3390,"&lt;&gt;Off-street")&gt;0,1,0)</f>
        <v>0</v>
      </c>
      <c r="O278">
        <f>IF(COUNTIFS('United Data'!$A$3:$A$3390,O$1,'United Data'!$C$3:$C$3390,$A278,'United Data'!$B$3:$B$3390,"&lt;&gt;Off-street")&gt;0,1,0)</f>
        <v>0</v>
      </c>
      <c r="P278">
        <f>IF(COUNTIFS('United Data'!$A$3:$A$3390,P$1,'United Data'!$C$3:$C$3390,$A278,'United Data'!$B$3:$B$3390,"&lt;&gt;Off-street")&gt;0,1,0)</f>
        <v>0</v>
      </c>
      <c r="Q278">
        <f>IF(COUNTIFS('United Data'!$A$3:$A$3390,Q$1,'United Data'!$C$3:$C$3390,$A278,'United Data'!$B$3:$B$3390,"&lt;&gt;Off-street")&gt;0,1,0)</f>
        <v>0</v>
      </c>
      <c r="R278">
        <f>IF(COUNTIFS('United Data'!$A$3:$A$3390,R$1,'United Data'!$C$3:$C$3390,$A278,'United Data'!$B$3:$B$3390,"&lt;&gt;Off-street")&gt;0,1,0)</f>
        <v>0</v>
      </c>
      <c r="S278">
        <f t="shared" si="8"/>
        <v>1</v>
      </c>
      <c r="T278">
        <f t="shared" si="9"/>
        <v>1</v>
      </c>
    </row>
    <row r="279" spans="1:20" x14ac:dyDescent="0.2">
      <c r="A279" t="s">
        <v>358</v>
      </c>
      <c r="B279">
        <f>IF(COUNTIFS('United Data'!$A$3:$A$3390,B$1,'United Data'!$C$3:$C$3390,$A279,'United Data'!$B$3:$B$3390,"&lt;&gt;Off-street")&gt;0,1,0)</f>
        <v>1</v>
      </c>
      <c r="C279">
        <f>IF(COUNTIFS('United Data'!$A$3:$A$3390,C$1,'United Data'!$C$3:$C$3390,$A279,'United Data'!$B$3:$B$3390,"&lt;&gt;Off-street")&gt;0,1,0)</f>
        <v>0</v>
      </c>
      <c r="D279">
        <f>IF(COUNTIFS('United Data'!$A$3:$A$3390,D$1,'United Data'!$C$3:$C$3390,$A279,'United Data'!$B$3:$B$3390,"&lt;&gt;Off-street")&gt;0,1,0)</f>
        <v>0</v>
      </c>
      <c r="E279">
        <f>IF(COUNTIFS('United Data'!$A$3:$A$3390,E$1,'United Data'!$C$3:$C$3390,$A279,'United Data'!$B$3:$B$3390,"&lt;&gt;Off-street")&gt;0,1,0)</f>
        <v>0</v>
      </c>
      <c r="F279">
        <f>IF(COUNTIFS('United Data'!$A$3:$A$3390,F$1,'United Data'!$C$3:$C$3390,$A279,'United Data'!$B$3:$B$3390,"&lt;&gt;Off-street")&gt;0,1,0)</f>
        <v>0</v>
      </c>
      <c r="G279">
        <f>IF(COUNTIFS('United Data'!$A$3:$A$3390,G$1,'United Data'!$C$3:$C$3390,$A279,'United Data'!$B$3:$B$3390,"&lt;&gt;Off-street")&gt;0,1,0)</f>
        <v>0</v>
      </c>
      <c r="H279">
        <f>IF(COUNTIFS('United Data'!$A$3:$A$3390,H$1,'United Data'!$C$3:$C$3390,$A279,'United Data'!$B$3:$B$3390,"&lt;&gt;Off-street")&gt;0,1,0)</f>
        <v>0</v>
      </c>
      <c r="I279">
        <f>IF(COUNTIFS('United Data'!$A$3:$A$3390,I$1,'United Data'!$C$3:$C$3390,$A279,'United Data'!$B$3:$B$3390,"&lt;&gt;Off-street")&gt;0,1,0)</f>
        <v>0</v>
      </c>
      <c r="J279">
        <f>IF(COUNTIFS('United Data'!$A$3:$A$3390,J$1,'United Data'!$C$3:$C$3390,$A279,'United Data'!$B$3:$B$3390,"&lt;&gt;Off-street")&gt;0,1,0)</f>
        <v>0</v>
      </c>
      <c r="K279">
        <f>IF(COUNTIFS('United Data'!$A$3:$A$3390,K$1,'United Data'!$C$3:$C$3390,$A279,'United Data'!$B$3:$B$3390,"&lt;&gt;Off-street")&gt;0,1,0)</f>
        <v>0</v>
      </c>
      <c r="L279">
        <f>IF(COUNTIFS('United Data'!$A$3:$A$3390,L$1,'United Data'!$C$3:$C$3390,$A279,'United Data'!$B$3:$B$3390,"&lt;&gt;Off-street")&gt;0,1,0)</f>
        <v>0</v>
      </c>
      <c r="M279">
        <f>IF(COUNTIFS('United Data'!$A$3:$A$3390,M$1,'United Data'!$C$3:$C$3390,$A279,'United Data'!$B$3:$B$3390,"&lt;&gt;Off-street")&gt;0,1,0)</f>
        <v>0</v>
      </c>
      <c r="N279">
        <f>IF(COUNTIFS('United Data'!$A$3:$A$3390,N$1,'United Data'!$C$3:$C$3390,$A279,'United Data'!$B$3:$B$3390,"&lt;&gt;Off-street")&gt;0,1,0)</f>
        <v>0</v>
      </c>
      <c r="O279">
        <f>IF(COUNTIFS('United Data'!$A$3:$A$3390,O$1,'United Data'!$C$3:$C$3390,$A279,'United Data'!$B$3:$B$3390,"&lt;&gt;Off-street")&gt;0,1,0)</f>
        <v>0</v>
      </c>
      <c r="P279">
        <f>IF(COUNTIFS('United Data'!$A$3:$A$3390,P$1,'United Data'!$C$3:$C$3390,$A279,'United Data'!$B$3:$B$3390,"&lt;&gt;Off-street")&gt;0,1,0)</f>
        <v>0</v>
      </c>
      <c r="Q279">
        <f>IF(COUNTIFS('United Data'!$A$3:$A$3390,Q$1,'United Data'!$C$3:$C$3390,$A279,'United Data'!$B$3:$B$3390,"&lt;&gt;Off-street")&gt;0,1,0)</f>
        <v>0</v>
      </c>
      <c r="R279">
        <f>IF(COUNTIFS('United Data'!$A$3:$A$3390,R$1,'United Data'!$C$3:$C$3390,$A279,'United Data'!$B$3:$B$3390,"&lt;&gt;Off-street")&gt;0,1,0)</f>
        <v>0</v>
      </c>
      <c r="S279">
        <f t="shared" si="8"/>
        <v>1</v>
      </c>
      <c r="T279">
        <f t="shared" si="9"/>
        <v>1</v>
      </c>
    </row>
    <row r="280" spans="1:20" x14ac:dyDescent="0.2">
      <c r="A280" t="s">
        <v>359</v>
      </c>
      <c r="B280">
        <f>IF(COUNTIFS('United Data'!$A$3:$A$3390,B$1,'United Data'!$C$3:$C$3390,$A280,'United Data'!$B$3:$B$3390,"&lt;&gt;Off-street")&gt;0,1,0)</f>
        <v>0</v>
      </c>
      <c r="C280">
        <f>IF(COUNTIFS('United Data'!$A$3:$A$3390,C$1,'United Data'!$C$3:$C$3390,$A280,'United Data'!$B$3:$B$3390,"&lt;&gt;Off-street")&gt;0,1,0)</f>
        <v>1</v>
      </c>
      <c r="D280">
        <f>IF(COUNTIFS('United Data'!$A$3:$A$3390,D$1,'United Data'!$C$3:$C$3390,$A280,'United Data'!$B$3:$B$3390,"&lt;&gt;Off-street")&gt;0,1,0)</f>
        <v>1</v>
      </c>
      <c r="E280">
        <f>IF(COUNTIFS('United Data'!$A$3:$A$3390,E$1,'United Data'!$C$3:$C$3390,$A280,'United Data'!$B$3:$B$3390,"&lt;&gt;Off-street")&gt;0,1,0)</f>
        <v>1</v>
      </c>
      <c r="F280">
        <f>IF(COUNTIFS('United Data'!$A$3:$A$3390,F$1,'United Data'!$C$3:$C$3390,$A280,'United Data'!$B$3:$B$3390,"&lt;&gt;Off-street")&gt;0,1,0)</f>
        <v>1</v>
      </c>
      <c r="G280">
        <f>IF(COUNTIFS('United Data'!$A$3:$A$3390,G$1,'United Data'!$C$3:$C$3390,$A280,'United Data'!$B$3:$B$3390,"&lt;&gt;Off-street")&gt;0,1,0)</f>
        <v>1</v>
      </c>
      <c r="H280">
        <f>IF(COUNTIFS('United Data'!$A$3:$A$3390,H$1,'United Data'!$C$3:$C$3390,$A280,'United Data'!$B$3:$B$3390,"&lt;&gt;Off-street")&gt;0,1,0)</f>
        <v>1</v>
      </c>
      <c r="I280">
        <f>IF(COUNTIFS('United Data'!$A$3:$A$3390,I$1,'United Data'!$C$3:$C$3390,$A280,'United Data'!$B$3:$B$3390,"&lt;&gt;Off-street")&gt;0,1,0)</f>
        <v>0</v>
      </c>
      <c r="J280">
        <f>IF(COUNTIFS('United Data'!$A$3:$A$3390,J$1,'United Data'!$C$3:$C$3390,$A280,'United Data'!$B$3:$B$3390,"&lt;&gt;Off-street")&gt;0,1,0)</f>
        <v>0</v>
      </c>
      <c r="K280">
        <f>IF(COUNTIFS('United Data'!$A$3:$A$3390,K$1,'United Data'!$C$3:$C$3390,$A280,'United Data'!$B$3:$B$3390,"&lt;&gt;Off-street")&gt;0,1,0)</f>
        <v>1</v>
      </c>
      <c r="L280">
        <f>IF(COUNTIFS('United Data'!$A$3:$A$3390,L$1,'United Data'!$C$3:$C$3390,$A280,'United Data'!$B$3:$B$3390,"&lt;&gt;Off-street")&gt;0,1,0)</f>
        <v>0</v>
      </c>
      <c r="M280">
        <f>IF(COUNTIFS('United Data'!$A$3:$A$3390,M$1,'United Data'!$C$3:$C$3390,$A280,'United Data'!$B$3:$B$3390,"&lt;&gt;Off-street")&gt;0,1,0)</f>
        <v>0</v>
      </c>
      <c r="N280">
        <f>IF(COUNTIFS('United Data'!$A$3:$A$3390,N$1,'United Data'!$C$3:$C$3390,$A280,'United Data'!$B$3:$B$3390,"&lt;&gt;Off-street")&gt;0,1,0)</f>
        <v>0</v>
      </c>
      <c r="O280">
        <f>IF(COUNTIFS('United Data'!$A$3:$A$3390,O$1,'United Data'!$C$3:$C$3390,$A280,'United Data'!$B$3:$B$3390,"&lt;&gt;Off-street")&gt;0,1,0)</f>
        <v>1</v>
      </c>
      <c r="P280">
        <f>IF(COUNTIFS('United Data'!$A$3:$A$3390,P$1,'United Data'!$C$3:$C$3390,$A280,'United Data'!$B$3:$B$3390,"&lt;&gt;Off-street")&gt;0,1,0)</f>
        <v>0</v>
      </c>
      <c r="Q280">
        <f>IF(COUNTIFS('United Data'!$A$3:$A$3390,Q$1,'United Data'!$C$3:$C$3390,$A280,'United Data'!$B$3:$B$3390,"&lt;&gt;Off-street")&gt;0,1,0)</f>
        <v>0</v>
      </c>
      <c r="R280">
        <f>IF(COUNTIFS('United Data'!$A$3:$A$3390,R$1,'United Data'!$C$3:$C$3390,$A280,'United Data'!$B$3:$B$3390,"&lt;&gt;Off-street")&gt;0,1,0)</f>
        <v>0</v>
      </c>
      <c r="S280">
        <f t="shared" si="8"/>
        <v>8</v>
      </c>
      <c r="T280">
        <f t="shared" si="9"/>
        <v>3</v>
      </c>
    </row>
    <row r="281" spans="1:20" x14ac:dyDescent="0.2">
      <c r="A281" t="s">
        <v>360</v>
      </c>
      <c r="B281">
        <f>IF(COUNTIFS('United Data'!$A$3:$A$3390,B$1,'United Data'!$C$3:$C$3390,$A281,'United Data'!$B$3:$B$3390,"&lt;&gt;Off-street")&gt;0,1,0)</f>
        <v>0</v>
      </c>
      <c r="C281">
        <f>IF(COUNTIFS('United Data'!$A$3:$A$3390,C$1,'United Data'!$C$3:$C$3390,$A281,'United Data'!$B$3:$B$3390,"&lt;&gt;Off-street")&gt;0,1,0)</f>
        <v>1</v>
      </c>
      <c r="D281">
        <f>IF(COUNTIFS('United Data'!$A$3:$A$3390,D$1,'United Data'!$C$3:$C$3390,$A281,'United Data'!$B$3:$B$3390,"&lt;&gt;Off-street")&gt;0,1,0)</f>
        <v>0</v>
      </c>
      <c r="E281">
        <f>IF(COUNTIFS('United Data'!$A$3:$A$3390,E$1,'United Data'!$C$3:$C$3390,$A281,'United Data'!$B$3:$B$3390,"&lt;&gt;Off-street")&gt;0,1,0)</f>
        <v>0</v>
      </c>
      <c r="F281">
        <f>IF(COUNTIFS('United Data'!$A$3:$A$3390,F$1,'United Data'!$C$3:$C$3390,$A281,'United Data'!$B$3:$B$3390,"&lt;&gt;Off-street")&gt;0,1,0)</f>
        <v>0</v>
      </c>
      <c r="G281">
        <f>IF(COUNTIFS('United Data'!$A$3:$A$3390,G$1,'United Data'!$C$3:$C$3390,$A281,'United Data'!$B$3:$B$3390,"&lt;&gt;Off-street")&gt;0,1,0)</f>
        <v>0</v>
      </c>
      <c r="H281">
        <f>IF(COUNTIFS('United Data'!$A$3:$A$3390,H$1,'United Data'!$C$3:$C$3390,$A281,'United Data'!$B$3:$B$3390,"&lt;&gt;Off-street")&gt;0,1,0)</f>
        <v>0</v>
      </c>
      <c r="I281">
        <f>IF(COUNTIFS('United Data'!$A$3:$A$3390,I$1,'United Data'!$C$3:$C$3390,$A281,'United Data'!$B$3:$B$3390,"&lt;&gt;Off-street")&gt;0,1,0)</f>
        <v>0</v>
      </c>
      <c r="J281">
        <f>IF(COUNTIFS('United Data'!$A$3:$A$3390,J$1,'United Data'!$C$3:$C$3390,$A281,'United Data'!$B$3:$B$3390,"&lt;&gt;Off-street")&gt;0,1,0)</f>
        <v>0</v>
      </c>
      <c r="K281">
        <f>IF(COUNTIFS('United Data'!$A$3:$A$3390,K$1,'United Data'!$C$3:$C$3390,$A281,'United Data'!$B$3:$B$3390,"&lt;&gt;Off-street")&gt;0,1,0)</f>
        <v>0</v>
      </c>
      <c r="L281">
        <f>IF(COUNTIFS('United Data'!$A$3:$A$3390,L$1,'United Data'!$C$3:$C$3390,$A281,'United Data'!$B$3:$B$3390,"&lt;&gt;Off-street")&gt;0,1,0)</f>
        <v>0</v>
      </c>
      <c r="M281">
        <f>IF(COUNTIFS('United Data'!$A$3:$A$3390,M$1,'United Data'!$C$3:$C$3390,$A281,'United Data'!$B$3:$B$3390,"&lt;&gt;Off-street")&gt;0,1,0)</f>
        <v>0</v>
      </c>
      <c r="N281">
        <f>IF(COUNTIFS('United Data'!$A$3:$A$3390,N$1,'United Data'!$C$3:$C$3390,$A281,'United Data'!$B$3:$B$3390,"&lt;&gt;Off-street")&gt;0,1,0)</f>
        <v>0</v>
      </c>
      <c r="O281">
        <f>IF(COUNTIFS('United Data'!$A$3:$A$3390,O$1,'United Data'!$C$3:$C$3390,$A281,'United Data'!$B$3:$B$3390,"&lt;&gt;Off-street")&gt;0,1,0)</f>
        <v>0</v>
      </c>
      <c r="P281">
        <f>IF(COUNTIFS('United Data'!$A$3:$A$3390,P$1,'United Data'!$C$3:$C$3390,$A281,'United Data'!$B$3:$B$3390,"&lt;&gt;Off-street")&gt;0,1,0)</f>
        <v>0</v>
      </c>
      <c r="Q281">
        <f>IF(COUNTIFS('United Data'!$A$3:$A$3390,Q$1,'United Data'!$C$3:$C$3390,$A281,'United Data'!$B$3:$B$3390,"&lt;&gt;Off-street")&gt;0,1,0)</f>
        <v>0</v>
      </c>
      <c r="R281">
        <f>IF(COUNTIFS('United Data'!$A$3:$A$3390,R$1,'United Data'!$C$3:$C$3390,$A281,'United Data'!$B$3:$B$3390,"&lt;&gt;Off-street")&gt;0,1,0)</f>
        <v>0</v>
      </c>
      <c r="S281">
        <f t="shared" si="8"/>
        <v>1</v>
      </c>
      <c r="T281">
        <f t="shared" si="9"/>
        <v>1</v>
      </c>
    </row>
    <row r="282" spans="1:20" x14ac:dyDescent="0.2">
      <c r="A282" t="s">
        <v>361</v>
      </c>
      <c r="B282">
        <f>IF(COUNTIFS('United Data'!$A$3:$A$3390,B$1,'United Data'!$C$3:$C$3390,$A282,'United Data'!$B$3:$B$3390,"&lt;&gt;Off-street")&gt;0,1,0)</f>
        <v>0</v>
      </c>
      <c r="C282">
        <f>IF(COUNTIFS('United Data'!$A$3:$A$3390,C$1,'United Data'!$C$3:$C$3390,$A282,'United Data'!$B$3:$B$3390,"&lt;&gt;Off-street")&gt;0,1,0)</f>
        <v>1</v>
      </c>
      <c r="D282">
        <f>IF(COUNTIFS('United Data'!$A$3:$A$3390,D$1,'United Data'!$C$3:$C$3390,$A282,'United Data'!$B$3:$B$3390,"&lt;&gt;Off-street")&gt;0,1,0)</f>
        <v>1</v>
      </c>
      <c r="E282">
        <f>IF(COUNTIFS('United Data'!$A$3:$A$3390,E$1,'United Data'!$C$3:$C$3390,$A282,'United Data'!$B$3:$B$3390,"&lt;&gt;Off-street")&gt;0,1,0)</f>
        <v>1</v>
      </c>
      <c r="F282">
        <f>IF(COUNTIFS('United Data'!$A$3:$A$3390,F$1,'United Data'!$C$3:$C$3390,$A282,'United Data'!$B$3:$B$3390,"&lt;&gt;Off-street")&gt;0,1,0)</f>
        <v>1</v>
      </c>
      <c r="G282">
        <f>IF(COUNTIFS('United Data'!$A$3:$A$3390,G$1,'United Data'!$C$3:$C$3390,$A282,'United Data'!$B$3:$B$3390,"&lt;&gt;Off-street")&gt;0,1,0)</f>
        <v>0</v>
      </c>
      <c r="H282">
        <f>IF(COUNTIFS('United Data'!$A$3:$A$3390,H$1,'United Data'!$C$3:$C$3390,$A282,'United Data'!$B$3:$B$3390,"&lt;&gt;Off-street")&gt;0,1,0)</f>
        <v>1</v>
      </c>
      <c r="I282">
        <f>IF(COUNTIFS('United Data'!$A$3:$A$3390,I$1,'United Data'!$C$3:$C$3390,$A282,'United Data'!$B$3:$B$3390,"&lt;&gt;Off-street")&gt;0,1,0)</f>
        <v>1</v>
      </c>
      <c r="J282">
        <f>IF(COUNTIFS('United Data'!$A$3:$A$3390,J$1,'United Data'!$C$3:$C$3390,$A282,'United Data'!$B$3:$B$3390,"&lt;&gt;Off-street")&gt;0,1,0)</f>
        <v>1</v>
      </c>
      <c r="K282">
        <f>IF(COUNTIFS('United Data'!$A$3:$A$3390,K$1,'United Data'!$C$3:$C$3390,$A282,'United Data'!$B$3:$B$3390,"&lt;&gt;Off-street")&gt;0,1,0)</f>
        <v>0</v>
      </c>
      <c r="L282">
        <f>IF(COUNTIFS('United Data'!$A$3:$A$3390,L$1,'United Data'!$C$3:$C$3390,$A282,'United Data'!$B$3:$B$3390,"&lt;&gt;Off-street")&gt;0,1,0)</f>
        <v>1</v>
      </c>
      <c r="M282">
        <f>IF(COUNTIFS('United Data'!$A$3:$A$3390,M$1,'United Data'!$C$3:$C$3390,$A282,'United Data'!$B$3:$B$3390,"&lt;&gt;Off-street")&gt;0,1,0)</f>
        <v>1</v>
      </c>
      <c r="N282">
        <f>IF(COUNTIFS('United Data'!$A$3:$A$3390,N$1,'United Data'!$C$3:$C$3390,$A282,'United Data'!$B$3:$B$3390,"&lt;&gt;Off-street")&gt;0,1,0)</f>
        <v>1</v>
      </c>
      <c r="O282">
        <f>IF(COUNTIFS('United Data'!$A$3:$A$3390,O$1,'United Data'!$C$3:$C$3390,$A282,'United Data'!$B$3:$B$3390,"&lt;&gt;Off-street")&gt;0,1,0)</f>
        <v>1</v>
      </c>
      <c r="P282">
        <f>IF(COUNTIFS('United Data'!$A$3:$A$3390,P$1,'United Data'!$C$3:$C$3390,$A282,'United Data'!$B$3:$B$3390,"&lt;&gt;Off-street")&gt;0,1,0)</f>
        <v>1</v>
      </c>
      <c r="Q282">
        <f>IF(COUNTIFS('United Data'!$A$3:$A$3390,Q$1,'United Data'!$C$3:$C$3390,$A282,'United Data'!$B$3:$B$3390,"&lt;&gt;Off-street")&gt;0,1,0)</f>
        <v>1</v>
      </c>
      <c r="R282">
        <f>IF(COUNTIFS('United Data'!$A$3:$A$3390,R$1,'United Data'!$C$3:$C$3390,$A282,'United Data'!$B$3:$B$3390,"&lt;&gt;Off-street")&gt;0,1,0)</f>
        <v>0</v>
      </c>
      <c r="S282">
        <f t="shared" si="8"/>
        <v>13</v>
      </c>
      <c r="T282">
        <f t="shared" si="9"/>
        <v>3</v>
      </c>
    </row>
    <row r="283" spans="1:20" x14ac:dyDescent="0.2">
      <c r="A283" t="s">
        <v>362</v>
      </c>
      <c r="B283">
        <f>IF(COUNTIFS('United Data'!$A$3:$A$3390,B$1,'United Data'!$C$3:$C$3390,$A283,'United Data'!$B$3:$B$3390,"&lt;&gt;Off-street")&gt;0,1,0)</f>
        <v>0</v>
      </c>
      <c r="C283">
        <f>IF(COUNTIFS('United Data'!$A$3:$A$3390,C$1,'United Data'!$C$3:$C$3390,$A283,'United Data'!$B$3:$B$3390,"&lt;&gt;Off-street")&gt;0,1,0)</f>
        <v>1</v>
      </c>
      <c r="D283">
        <f>IF(COUNTIFS('United Data'!$A$3:$A$3390,D$1,'United Data'!$C$3:$C$3390,$A283,'United Data'!$B$3:$B$3390,"&lt;&gt;Off-street")&gt;0,1,0)</f>
        <v>1</v>
      </c>
      <c r="E283">
        <f>IF(COUNTIFS('United Data'!$A$3:$A$3390,E$1,'United Data'!$C$3:$C$3390,$A283,'United Data'!$B$3:$B$3390,"&lt;&gt;Off-street")&gt;0,1,0)</f>
        <v>1</v>
      </c>
      <c r="F283">
        <f>IF(COUNTIFS('United Data'!$A$3:$A$3390,F$1,'United Data'!$C$3:$C$3390,$A283,'United Data'!$B$3:$B$3390,"&lt;&gt;Off-street")&gt;0,1,0)</f>
        <v>1</v>
      </c>
      <c r="G283">
        <f>IF(COUNTIFS('United Data'!$A$3:$A$3390,G$1,'United Data'!$C$3:$C$3390,$A283,'United Data'!$B$3:$B$3390,"&lt;&gt;Off-street")&gt;0,1,0)</f>
        <v>0</v>
      </c>
      <c r="H283">
        <f>IF(COUNTIFS('United Data'!$A$3:$A$3390,H$1,'United Data'!$C$3:$C$3390,$A283,'United Data'!$B$3:$B$3390,"&lt;&gt;Off-street")&gt;0,1,0)</f>
        <v>0</v>
      </c>
      <c r="I283">
        <f>IF(COUNTIFS('United Data'!$A$3:$A$3390,I$1,'United Data'!$C$3:$C$3390,$A283,'United Data'!$B$3:$B$3390,"&lt;&gt;Off-street")&gt;0,1,0)</f>
        <v>0</v>
      </c>
      <c r="J283">
        <f>IF(COUNTIFS('United Data'!$A$3:$A$3390,J$1,'United Data'!$C$3:$C$3390,$A283,'United Data'!$B$3:$B$3390,"&lt;&gt;Off-street")&gt;0,1,0)</f>
        <v>0</v>
      </c>
      <c r="K283">
        <f>IF(COUNTIFS('United Data'!$A$3:$A$3390,K$1,'United Data'!$C$3:$C$3390,$A283,'United Data'!$B$3:$B$3390,"&lt;&gt;Off-street")&gt;0,1,0)</f>
        <v>0</v>
      </c>
      <c r="L283">
        <f>IF(COUNTIFS('United Data'!$A$3:$A$3390,L$1,'United Data'!$C$3:$C$3390,$A283,'United Data'!$B$3:$B$3390,"&lt;&gt;Off-street")&gt;0,1,0)</f>
        <v>0</v>
      </c>
      <c r="M283">
        <f>IF(COUNTIFS('United Data'!$A$3:$A$3390,M$1,'United Data'!$C$3:$C$3390,$A283,'United Data'!$B$3:$B$3390,"&lt;&gt;Off-street")&gt;0,1,0)</f>
        <v>0</v>
      </c>
      <c r="N283">
        <f>IF(COUNTIFS('United Data'!$A$3:$A$3390,N$1,'United Data'!$C$3:$C$3390,$A283,'United Data'!$B$3:$B$3390,"&lt;&gt;Off-street")&gt;0,1,0)</f>
        <v>0</v>
      </c>
      <c r="O283">
        <f>IF(COUNTIFS('United Data'!$A$3:$A$3390,O$1,'United Data'!$C$3:$C$3390,$A283,'United Data'!$B$3:$B$3390,"&lt;&gt;Off-street")&gt;0,1,0)</f>
        <v>0</v>
      </c>
      <c r="P283">
        <f>IF(COUNTIFS('United Data'!$A$3:$A$3390,P$1,'United Data'!$C$3:$C$3390,$A283,'United Data'!$B$3:$B$3390,"&lt;&gt;Off-street")&gt;0,1,0)</f>
        <v>0</v>
      </c>
      <c r="Q283">
        <f>IF(COUNTIFS('United Data'!$A$3:$A$3390,Q$1,'United Data'!$C$3:$C$3390,$A283,'United Data'!$B$3:$B$3390,"&lt;&gt;Off-street")&gt;0,1,0)</f>
        <v>0</v>
      </c>
      <c r="R283">
        <f>IF(COUNTIFS('United Data'!$A$3:$A$3390,R$1,'United Data'!$C$3:$C$3390,$A283,'United Data'!$B$3:$B$3390,"&lt;&gt;Off-street")&gt;0,1,0)</f>
        <v>0</v>
      </c>
      <c r="S283">
        <f t="shared" si="8"/>
        <v>4</v>
      </c>
      <c r="T283">
        <f t="shared" si="9"/>
        <v>1</v>
      </c>
    </row>
    <row r="284" spans="1:20" x14ac:dyDescent="0.2">
      <c r="A284" t="s">
        <v>363</v>
      </c>
      <c r="B284">
        <f>IF(COUNTIFS('United Data'!$A$3:$A$3390,B$1,'United Data'!$C$3:$C$3390,$A284,'United Data'!$B$3:$B$3390,"&lt;&gt;Off-street")&gt;0,1,0)</f>
        <v>0</v>
      </c>
      <c r="C284">
        <f>IF(COUNTIFS('United Data'!$A$3:$A$3390,C$1,'United Data'!$C$3:$C$3390,$A284,'United Data'!$B$3:$B$3390,"&lt;&gt;Off-street")&gt;0,1,0)</f>
        <v>1</v>
      </c>
      <c r="D284">
        <f>IF(COUNTIFS('United Data'!$A$3:$A$3390,D$1,'United Data'!$C$3:$C$3390,$A284,'United Data'!$B$3:$B$3390,"&lt;&gt;Off-street")&gt;0,1,0)</f>
        <v>1</v>
      </c>
      <c r="E284">
        <f>IF(COUNTIFS('United Data'!$A$3:$A$3390,E$1,'United Data'!$C$3:$C$3390,$A284,'United Data'!$B$3:$B$3390,"&lt;&gt;Off-street")&gt;0,1,0)</f>
        <v>1</v>
      </c>
      <c r="F284">
        <f>IF(COUNTIFS('United Data'!$A$3:$A$3390,F$1,'United Data'!$C$3:$C$3390,$A284,'United Data'!$B$3:$B$3390,"&lt;&gt;Off-street")&gt;0,1,0)</f>
        <v>1</v>
      </c>
      <c r="G284">
        <f>IF(COUNTIFS('United Data'!$A$3:$A$3390,G$1,'United Data'!$C$3:$C$3390,$A284,'United Data'!$B$3:$B$3390,"&lt;&gt;Off-street")&gt;0,1,0)</f>
        <v>0</v>
      </c>
      <c r="H284">
        <f>IF(COUNTIFS('United Data'!$A$3:$A$3390,H$1,'United Data'!$C$3:$C$3390,$A284,'United Data'!$B$3:$B$3390,"&lt;&gt;Off-street")&gt;0,1,0)</f>
        <v>0</v>
      </c>
      <c r="I284">
        <f>IF(COUNTIFS('United Data'!$A$3:$A$3390,I$1,'United Data'!$C$3:$C$3390,$A284,'United Data'!$B$3:$B$3390,"&lt;&gt;Off-street")&gt;0,1,0)</f>
        <v>1</v>
      </c>
      <c r="J284">
        <f>IF(COUNTIFS('United Data'!$A$3:$A$3390,J$1,'United Data'!$C$3:$C$3390,$A284,'United Data'!$B$3:$B$3390,"&lt;&gt;Off-street")&gt;0,1,0)</f>
        <v>1</v>
      </c>
      <c r="K284">
        <f>IF(COUNTIFS('United Data'!$A$3:$A$3390,K$1,'United Data'!$C$3:$C$3390,$A284,'United Data'!$B$3:$B$3390,"&lt;&gt;Off-street")&gt;0,1,0)</f>
        <v>0</v>
      </c>
      <c r="L284">
        <f>IF(COUNTIFS('United Data'!$A$3:$A$3390,L$1,'United Data'!$C$3:$C$3390,$A284,'United Data'!$B$3:$B$3390,"&lt;&gt;Off-street")&gt;0,1,0)</f>
        <v>1</v>
      </c>
      <c r="M284">
        <f>IF(COUNTIFS('United Data'!$A$3:$A$3390,M$1,'United Data'!$C$3:$C$3390,$A284,'United Data'!$B$3:$B$3390,"&lt;&gt;Off-street")&gt;0,1,0)</f>
        <v>1</v>
      </c>
      <c r="N284">
        <f>IF(COUNTIFS('United Data'!$A$3:$A$3390,N$1,'United Data'!$C$3:$C$3390,$A284,'United Data'!$B$3:$B$3390,"&lt;&gt;Off-street")&gt;0,1,0)</f>
        <v>0</v>
      </c>
      <c r="O284">
        <f>IF(COUNTIFS('United Data'!$A$3:$A$3390,O$1,'United Data'!$C$3:$C$3390,$A284,'United Data'!$B$3:$B$3390,"&lt;&gt;Off-street")&gt;0,1,0)</f>
        <v>1</v>
      </c>
      <c r="P284">
        <f>IF(COUNTIFS('United Data'!$A$3:$A$3390,P$1,'United Data'!$C$3:$C$3390,$A284,'United Data'!$B$3:$B$3390,"&lt;&gt;Off-street")&gt;0,1,0)</f>
        <v>1</v>
      </c>
      <c r="Q284">
        <f>IF(COUNTIFS('United Data'!$A$3:$A$3390,Q$1,'United Data'!$C$3:$C$3390,$A284,'United Data'!$B$3:$B$3390,"&lt;&gt;Off-street")&gt;0,1,0)</f>
        <v>0</v>
      </c>
      <c r="R284">
        <f>IF(COUNTIFS('United Data'!$A$3:$A$3390,R$1,'United Data'!$C$3:$C$3390,$A284,'United Data'!$B$3:$B$3390,"&lt;&gt;Off-street")&gt;0,1,0)</f>
        <v>0</v>
      </c>
      <c r="S284">
        <f t="shared" si="8"/>
        <v>10</v>
      </c>
      <c r="T284">
        <f t="shared" si="9"/>
        <v>4</v>
      </c>
    </row>
    <row r="285" spans="1:20" x14ac:dyDescent="0.2">
      <c r="A285" t="s">
        <v>364</v>
      </c>
      <c r="B285">
        <f>IF(COUNTIFS('United Data'!$A$3:$A$3390,B$1,'United Data'!$C$3:$C$3390,$A285,'United Data'!$B$3:$B$3390,"&lt;&gt;Off-street")&gt;0,1,0)</f>
        <v>0</v>
      </c>
      <c r="C285">
        <f>IF(COUNTIFS('United Data'!$A$3:$A$3390,C$1,'United Data'!$C$3:$C$3390,$A285,'United Data'!$B$3:$B$3390,"&lt;&gt;Off-street")&gt;0,1,0)</f>
        <v>1</v>
      </c>
      <c r="D285">
        <f>IF(COUNTIFS('United Data'!$A$3:$A$3390,D$1,'United Data'!$C$3:$C$3390,$A285,'United Data'!$B$3:$B$3390,"&lt;&gt;Off-street")&gt;0,1,0)</f>
        <v>0</v>
      </c>
      <c r="E285">
        <f>IF(COUNTIFS('United Data'!$A$3:$A$3390,E$1,'United Data'!$C$3:$C$3390,$A285,'United Data'!$B$3:$B$3390,"&lt;&gt;Off-street")&gt;0,1,0)</f>
        <v>0</v>
      </c>
      <c r="F285">
        <f>IF(COUNTIFS('United Data'!$A$3:$A$3390,F$1,'United Data'!$C$3:$C$3390,$A285,'United Data'!$B$3:$B$3390,"&lt;&gt;Off-street")&gt;0,1,0)</f>
        <v>0</v>
      </c>
      <c r="G285">
        <f>IF(COUNTIFS('United Data'!$A$3:$A$3390,G$1,'United Data'!$C$3:$C$3390,$A285,'United Data'!$B$3:$B$3390,"&lt;&gt;Off-street")&gt;0,1,0)</f>
        <v>0</v>
      </c>
      <c r="H285">
        <f>IF(COUNTIFS('United Data'!$A$3:$A$3390,H$1,'United Data'!$C$3:$C$3390,$A285,'United Data'!$B$3:$B$3390,"&lt;&gt;Off-street")&gt;0,1,0)</f>
        <v>0</v>
      </c>
      <c r="I285">
        <f>IF(COUNTIFS('United Data'!$A$3:$A$3390,I$1,'United Data'!$C$3:$C$3390,$A285,'United Data'!$B$3:$B$3390,"&lt;&gt;Off-street")&gt;0,1,0)</f>
        <v>0</v>
      </c>
      <c r="J285">
        <f>IF(COUNTIFS('United Data'!$A$3:$A$3390,J$1,'United Data'!$C$3:$C$3390,$A285,'United Data'!$B$3:$B$3390,"&lt;&gt;Off-street")&gt;0,1,0)</f>
        <v>0</v>
      </c>
      <c r="K285">
        <f>IF(COUNTIFS('United Data'!$A$3:$A$3390,K$1,'United Data'!$C$3:$C$3390,$A285,'United Data'!$B$3:$B$3390,"&lt;&gt;Off-street")&gt;0,1,0)</f>
        <v>0</v>
      </c>
      <c r="L285">
        <f>IF(COUNTIFS('United Data'!$A$3:$A$3390,L$1,'United Data'!$C$3:$C$3390,$A285,'United Data'!$B$3:$B$3390,"&lt;&gt;Off-street")&gt;0,1,0)</f>
        <v>0</v>
      </c>
      <c r="M285">
        <f>IF(COUNTIFS('United Data'!$A$3:$A$3390,M$1,'United Data'!$C$3:$C$3390,$A285,'United Data'!$B$3:$B$3390,"&lt;&gt;Off-street")&gt;0,1,0)</f>
        <v>0</v>
      </c>
      <c r="N285">
        <f>IF(COUNTIFS('United Data'!$A$3:$A$3390,N$1,'United Data'!$C$3:$C$3390,$A285,'United Data'!$B$3:$B$3390,"&lt;&gt;Off-street")&gt;0,1,0)</f>
        <v>0</v>
      </c>
      <c r="O285">
        <f>IF(COUNTIFS('United Data'!$A$3:$A$3390,O$1,'United Data'!$C$3:$C$3390,$A285,'United Data'!$B$3:$B$3390,"&lt;&gt;Off-street")&gt;0,1,0)</f>
        <v>0</v>
      </c>
      <c r="P285">
        <f>IF(COUNTIFS('United Data'!$A$3:$A$3390,P$1,'United Data'!$C$3:$C$3390,$A285,'United Data'!$B$3:$B$3390,"&lt;&gt;Off-street")&gt;0,1,0)</f>
        <v>0</v>
      </c>
      <c r="Q285">
        <f>IF(COUNTIFS('United Data'!$A$3:$A$3390,Q$1,'United Data'!$C$3:$C$3390,$A285,'United Data'!$B$3:$B$3390,"&lt;&gt;Off-street")&gt;0,1,0)</f>
        <v>0</v>
      </c>
      <c r="R285">
        <f>IF(COUNTIFS('United Data'!$A$3:$A$3390,R$1,'United Data'!$C$3:$C$3390,$A285,'United Data'!$B$3:$B$3390,"&lt;&gt;Off-street")&gt;0,1,0)</f>
        <v>0</v>
      </c>
      <c r="S285">
        <f t="shared" si="8"/>
        <v>1</v>
      </c>
      <c r="T285">
        <f t="shared" si="9"/>
        <v>1</v>
      </c>
    </row>
    <row r="286" spans="1:20" x14ac:dyDescent="0.2">
      <c r="A286" t="s">
        <v>366</v>
      </c>
      <c r="B286">
        <f>IF(COUNTIFS('United Data'!$A$3:$A$3390,B$1,'United Data'!$C$3:$C$3390,$A286,'United Data'!$B$3:$B$3390,"&lt;&gt;Off-street")&gt;0,1,0)</f>
        <v>0</v>
      </c>
      <c r="C286">
        <f>IF(COUNTIFS('United Data'!$A$3:$A$3390,C$1,'United Data'!$C$3:$C$3390,$A286,'United Data'!$B$3:$B$3390,"&lt;&gt;Off-street")&gt;0,1,0)</f>
        <v>1</v>
      </c>
      <c r="D286">
        <f>IF(COUNTIFS('United Data'!$A$3:$A$3390,D$1,'United Data'!$C$3:$C$3390,$A286,'United Data'!$B$3:$B$3390,"&lt;&gt;Off-street")&gt;0,1,0)</f>
        <v>0</v>
      </c>
      <c r="E286">
        <f>IF(COUNTIFS('United Data'!$A$3:$A$3390,E$1,'United Data'!$C$3:$C$3390,$A286,'United Data'!$B$3:$B$3390,"&lt;&gt;Off-street")&gt;0,1,0)</f>
        <v>0</v>
      </c>
      <c r="F286">
        <f>IF(COUNTIFS('United Data'!$A$3:$A$3390,F$1,'United Data'!$C$3:$C$3390,$A286,'United Data'!$B$3:$B$3390,"&lt;&gt;Off-street")&gt;0,1,0)</f>
        <v>0</v>
      </c>
      <c r="G286">
        <f>IF(COUNTIFS('United Data'!$A$3:$A$3390,G$1,'United Data'!$C$3:$C$3390,$A286,'United Data'!$B$3:$B$3390,"&lt;&gt;Off-street")&gt;0,1,0)</f>
        <v>0</v>
      </c>
      <c r="H286">
        <f>IF(COUNTIFS('United Data'!$A$3:$A$3390,H$1,'United Data'!$C$3:$C$3390,$A286,'United Data'!$B$3:$B$3390,"&lt;&gt;Off-street")&gt;0,1,0)</f>
        <v>0</v>
      </c>
      <c r="I286">
        <f>IF(COUNTIFS('United Data'!$A$3:$A$3390,I$1,'United Data'!$C$3:$C$3390,$A286,'United Data'!$B$3:$B$3390,"&lt;&gt;Off-street")&gt;0,1,0)</f>
        <v>0</v>
      </c>
      <c r="J286">
        <f>IF(COUNTIFS('United Data'!$A$3:$A$3390,J$1,'United Data'!$C$3:$C$3390,$A286,'United Data'!$B$3:$B$3390,"&lt;&gt;Off-street")&gt;0,1,0)</f>
        <v>0</v>
      </c>
      <c r="K286">
        <f>IF(COUNTIFS('United Data'!$A$3:$A$3390,K$1,'United Data'!$C$3:$C$3390,$A286,'United Data'!$B$3:$B$3390,"&lt;&gt;Off-street")&gt;0,1,0)</f>
        <v>0</v>
      </c>
      <c r="L286">
        <f>IF(COUNTIFS('United Data'!$A$3:$A$3390,L$1,'United Data'!$C$3:$C$3390,$A286,'United Data'!$B$3:$B$3390,"&lt;&gt;Off-street")&gt;0,1,0)</f>
        <v>0</v>
      </c>
      <c r="M286">
        <f>IF(COUNTIFS('United Data'!$A$3:$A$3390,M$1,'United Data'!$C$3:$C$3390,$A286,'United Data'!$B$3:$B$3390,"&lt;&gt;Off-street")&gt;0,1,0)</f>
        <v>0</v>
      </c>
      <c r="N286">
        <f>IF(COUNTIFS('United Data'!$A$3:$A$3390,N$1,'United Data'!$C$3:$C$3390,$A286,'United Data'!$B$3:$B$3390,"&lt;&gt;Off-street")&gt;0,1,0)</f>
        <v>0</v>
      </c>
      <c r="O286">
        <f>IF(COUNTIFS('United Data'!$A$3:$A$3390,O$1,'United Data'!$C$3:$C$3390,$A286,'United Data'!$B$3:$B$3390,"&lt;&gt;Off-street")&gt;0,1,0)</f>
        <v>0</v>
      </c>
      <c r="P286">
        <f>IF(COUNTIFS('United Data'!$A$3:$A$3390,P$1,'United Data'!$C$3:$C$3390,$A286,'United Data'!$B$3:$B$3390,"&lt;&gt;Off-street")&gt;0,1,0)</f>
        <v>0</v>
      </c>
      <c r="Q286">
        <f>IF(COUNTIFS('United Data'!$A$3:$A$3390,Q$1,'United Data'!$C$3:$C$3390,$A286,'United Data'!$B$3:$B$3390,"&lt;&gt;Off-street")&gt;0,1,0)</f>
        <v>0</v>
      </c>
      <c r="R286">
        <f>IF(COUNTIFS('United Data'!$A$3:$A$3390,R$1,'United Data'!$C$3:$C$3390,$A286,'United Data'!$B$3:$B$3390,"&lt;&gt;Off-street")&gt;0,1,0)</f>
        <v>0</v>
      </c>
      <c r="S286">
        <f t="shared" si="8"/>
        <v>1</v>
      </c>
      <c r="T286">
        <f t="shared" si="9"/>
        <v>1</v>
      </c>
    </row>
    <row r="287" spans="1:20" x14ac:dyDescent="0.2">
      <c r="A287" t="s">
        <v>367</v>
      </c>
      <c r="B287">
        <f>IF(COUNTIFS('United Data'!$A$3:$A$3390,B$1,'United Data'!$C$3:$C$3390,$A287,'United Data'!$B$3:$B$3390,"&lt;&gt;Off-street")&gt;0,1,0)</f>
        <v>0</v>
      </c>
      <c r="C287">
        <f>IF(COUNTIFS('United Data'!$A$3:$A$3390,C$1,'United Data'!$C$3:$C$3390,$A287,'United Data'!$B$3:$B$3390,"&lt;&gt;Off-street")&gt;0,1,0)</f>
        <v>0</v>
      </c>
      <c r="D287">
        <f>IF(COUNTIFS('United Data'!$A$3:$A$3390,D$1,'United Data'!$C$3:$C$3390,$A287,'United Data'!$B$3:$B$3390,"&lt;&gt;Off-street")&gt;0,1,0)</f>
        <v>1</v>
      </c>
      <c r="E287">
        <f>IF(COUNTIFS('United Data'!$A$3:$A$3390,E$1,'United Data'!$C$3:$C$3390,$A287,'United Data'!$B$3:$B$3390,"&lt;&gt;Off-street")&gt;0,1,0)</f>
        <v>0</v>
      </c>
      <c r="F287">
        <f>IF(COUNTIFS('United Data'!$A$3:$A$3390,F$1,'United Data'!$C$3:$C$3390,$A287,'United Data'!$B$3:$B$3390,"&lt;&gt;Off-street")&gt;0,1,0)</f>
        <v>1</v>
      </c>
      <c r="G287">
        <f>IF(COUNTIFS('United Data'!$A$3:$A$3390,G$1,'United Data'!$C$3:$C$3390,$A287,'United Data'!$B$3:$B$3390,"&lt;&gt;Off-street")&gt;0,1,0)</f>
        <v>1</v>
      </c>
      <c r="H287">
        <f>IF(COUNTIFS('United Data'!$A$3:$A$3390,H$1,'United Data'!$C$3:$C$3390,$A287,'United Data'!$B$3:$B$3390,"&lt;&gt;Off-street")&gt;0,1,0)</f>
        <v>0</v>
      </c>
      <c r="I287">
        <f>IF(COUNTIFS('United Data'!$A$3:$A$3390,I$1,'United Data'!$C$3:$C$3390,$A287,'United Data'!$B$3:$B$3390,"&lt;&gt;Off-street")&gt;0,1,0)</f>
        <v>0</v>
      </c>
      <c r="J287">
        <f>IF(COUNTIFS('United Data'!$A$3:$A$3390,J$1,'United Data'!$C$3:$C$3390,$A287,'United Data'!$B$3:$B$3390,"&lt;&gt;Off-street")&gt;0,1,0)</f>
        <v>0</v>
      </c>
      <c r="K287">
        <f>IF(COUNTIFS('United Data'!$A$3:$A$3390,K$1,'United Data'!$C$3:$C$3390,$A287,'United Data'!$B$3:$B$3390,"&lt;&gt;Off-street")&gt;0,1,0)</f>
        <v>0</v>
      </c>
      <c r="L287">
        <f>IF(COUNTIFS('United Data'!$A$3:$A$3390,L$1,'United Data'!$C$3:$C$3390,$A287,'United Data'!$B$3:$B$3390,"&lt;&gt;Off-street")&gt;0,1,0)</f>
        <v>0</v>
      </c>
      <c r="M287">
        <f>IF(COUNTIFS('United Data'!$A$3:$A$3390,M$1,'United Data'!$C$3:$C$3390,$A287,'United Data'!$B$3:$B$3390,"&lt;&gt;Off-street")&gt;0,1,0)</f>
        <v>0</v>
      </c>
      <c r="N287">
        <f>IF(COUNTIFS('United Data'!$A$3:$A$3390,N$1,'United Data'!$C$3:$C$3390,$A287,'United Data'!$B$3:$B$3390,"&lt;&gt;Off-street")&gt;0,1,0)</f>
        <v>0</v>
      </c>
      <c r="O287">
        <f>IF(COUNTIFS('United Data'!$A$3:$A$3390,O$1,'United Data'!$C$3:$C$3390,$A287,'United Data'!$B$3:$B$3390,"&lt;&gt;Off-street")&gt;0,1,0)</f>
        <v>0</v>
      </c>
      <c r="P287">
        <f>IF(COUNTIFS('United Data'!$A$3:$A$3390,P$1,'United Data'!$C$3:$C$3390,$A287,'United Data'!$B$3:$B$3390,"&lt;&gt;Off-street")&gt;0,1,0)</f>
        <v>0</v>
      </c>
      <c r="Q287">
        <f>IF(COUNTIFS('United Data'!$A$3:$A$3390,Q$1,'United Data'!$C$3:$C$3390,$A287,'United Data'!$B$3:$B$3390,"&lt;&gt;Off-street")&gt;0,1,0)</f>
        <v>0</v>
      </c>
      <c r="R287">
        <f>IF(COUNTIFS('United Data'!$A$3:$A$3390,R$1,'United Data'!$C$3:$C$3390,$A287,'United Data'!$B$3:$B$3390,"&lt;&gt;Off-street")&gt;0,1,0)</f>
        <v>0</v>
      </c>
      <c r="S287">
        <f t="shared" si="8"/>
        <v>3</v>
      </c>
      <c r="T287">
        <f t="shared" si="9"/>
        <v>2</v>
      </c>
    </row>
    <row r="288" spans="1:20" x14ac:dyDescent="0.2">
      <c r="A288" t="s">
        <v>368</v>
      </c>
      <c r="B288">
        <f>IF(COUNTIFS('United Data'!$A$3:$A$3390,B$1,'United Data'!$C$3:$C$3390,$A288,'United Data'!$B$3:$B$3390,"&lt;&gt;Off-street")&gt;0,1,0)</f>
        <v>0</v>
      </c>
      <c r="C288">
        <f>IF(COUNTIFS('United Data'!$A$3:$A$3390,C$1,'United Data'!$C$3:$C$3390,$A288,'United Data'!$B$3:$B$3390,"&lt;&gt;Off-street")&gt;0,1,0)</f>
        <v>0</v>
      </c>
      <c r="D288">
        <f>IF(COUNTIFS('United Data'!$A$3:$A$3390,D$1,'United Data'!$C$3:$C$3390,$A288,'United Data'!$B$3:$B$3390,"&lt;&gt;Off-street")&gt;0,1,0)</f>
        <v>1</v>
      </c>
      <c r="E288">
        <f>IF(COUNTIFS('United Data'!$A$3:$A$3390,E$1,'United Data'!$C$3:$C$3390,$A288,'United Data'!$B$3:$B$3390,"&lt;&gt;Off-street")&gt;0,1,0)</f>
        <v>1</v>
      </c>
      <c r="F288">
        <f>IF(COUNTIFS('United Data'!$A$3:$A$3390,F$1,'United Data'!$C$3:$C$3390,$A288,'United Data'!$B$3:$B$3390,"&lt;&gt;Off-street")&gt;0,1,0)</f>
        <v>0</v>
      </c>
      <c r="G288">
        <f>IF(COUNTIFS('United Data'!$A$3:$A$3390,G$1,'United Data'!$C$3:$C$3390,$A288,'United Data'!$B$3:$B$3390,"&lt;&gt;Off-street")&gt;0,1,0)</f>
        <v>0</v>
      </c>
      <c r="H288">
        <f>IF(COUNTIFS('United Data'!$A$3:$A$3390,H$1,'United Data'!$C$3:$C$3390,$A288,'United Data'!$B$3:$B$3390,"&lt;&gt;Off-street")&gt;0,1,0)</f>
        <v>0</v>
      </c>
      <c r="I288">
        <f>IF(COUNTIFS('United Data'!$A$3:$A$3390,I$1,'United Data'!$C$3:$C$3390,$A288,'United Data'!$B$3:$B$3390,"&lt;&gt;Off-street")&gt;0,1,0)</f>
        <v>0</v>
      </c>
      <c r="J288">
        <f>IF(COUNTIFS('United Data'!$A$3:$A$3390,J$1,'United Data'!$C$3:$C$3390,$A288,'United Data'!$B$3:$B$3390,"&lt;&gt;Off-street")&gt;0,1,0)</f>
        <v>0</v>
      </c>
      <c r="K288">
        <f>IF(COUNTIFS('United Data'!$A$3:$A$3390,K$1,'United Data'!$C$3:$C$3390,$A288,'United Data'!$B$3:$B$3390,"&lt;&gt;Off-street")&gt;0,1,0)</f>
        <v>0</v>
      </c>
      <c r="L288">
        <f>IF(COUNTIFS('United Data'!$A$3:$A$3390,L$1,'United Data'!$C$3:$C$3390,$A288,'United Data'!$B$3:$B$3390,"&lt;&gt;Off-street")&gt;0,1,0)</f>
        <v>0</v>
      </c>
      <c r="M288">
        <f>IF(COUNTIFS('United Data'!$A$3:$A$3390,M$1,'United Data'!$C$3:$C$3390,$A288,'United Data'!$B$3:$B$3390,"&lt;&gt;Off-street")&gt;0,1,0)</f>
        <v>0</v>
      </c>
      <c r="N288">
        <f>IF(COUNTIFS('United Data'!$A$3:$A$3390,N$1,'United Data'!$C$3:$C$3390,$A288,'United Data'!$B$3:$B$3390,"&lt;&gt;Off-street")&gt;0,1,0)</f>
        <v>0</v>
      </c>
      <c r="O288">
        <f>IF(COUNTIFS('United Data'!$A$3:$A$3390,O$1,'United Data'!$C$3:$C$3390,$A288,'United Data'!$B$3:$B$3390,"&lt;&gt;Off-street")&gt;0,1,0)</f>
        <v>0</v>
      </c>
      <c r="P288">
        <f>IF(COUNTIFS('United Data'!$A$3:$A$3390,P$1,'United Data'!$C$3:$C$3390,$A288,'United Data'!$B$3:$B$3390,"&lt;&gt;Off-street")&gt;0,1,0)</f>
        <v>0</v>
      </c>
      <c r="Q288">
        <f>IF(COUNTIFS('United Data'!$A$3:$A$3390,Q$1,'United Data'!$C$3:$C$3390,$A288,'United Data'!$B$3:$B$3390,"&lt;&gt;Off-street")&gt;0,1,0)</f>
        <v>0</v>
      </c>
      <c r="R288">
        <f>IF(COUNTIFS('United Data'!$A$3:$A$3390,R$1,'United Data'!$C$3:$C$3390,$A288,'United Data'!$B$3:$B$3390,"&lt;&gt;Off-street")&gt;0,1,0)</f>
        <v>0</v>
      </c>
      <c r="S288">
        <f t="shared" si="8"/>
        <v>2</v>
      </c>
      <c r="T288">
        <f t="shared" si="9"/>
        <v>1</v>
      </c>
    </row>
    <row r="289" spans="1:20" x14ac:dyDescent="0.2">
      <c r="A289" t="s">
        <v>371</v>
      </c>
      <c r="B289">
        <f>IF(COUNTIFS('United Data'!$A$3:$A$3390,B$1,'United Data'!$C$3:$C$3390,$A289,'United Data'!$B$3:$B$3390,"&lt;&gt;Off-street")&gt;0,1,0)</f>
        <v>0</v>
      </c>
      <c r="C289">
        <f>IF(COUNTIFS('United Data'!$A$3:$A$3390,C$1,'United Data'!$C$3:$C$3390,$A289,'United Data'!$B$3:$B$3390,"&lt;&gt;Off-street")&gt;0,1,0)</f>
        <v>0</v>
      </c>
      <c r="D289">
        <f>IF(COUNTIFS('United Data'!$A$3:$A$3390,D$1,'United Data'!$C$3:$C$3390,$A289,'United Data'!$B$3:$B$3390,"&lt;&gt;Off-street")&gt;0,1,0)</f>
        <v>1</v>
      </c>
      <c r="E289">
        <f>IF(COUNTIFS('United Data'!$A$3:$A$3390,E$1,'United Data'!$C$3:$C$3390,$A289,'United Data'!$B$3:$B$3390,"&lt;&gt;Off-street")&gt;0,1,0)</f>
        <v>1</v>
      </c>
      <c r="F289">
        <f>IF(COUNTIFS('United Data'!$A$3:$A$3390,F$1,'United Data'!$C$3:$C$3390,$A289,'United Data'!$B$3:$B$3390,"&lt;&gt;Off-street")&gt;0,1,0)</f>
        <v>1</v>
      </c>
      <c r="G289">
        <f>IF(COUNTIFS('United Data'!$A$3:$A$3390,G$1,'United Data'!$C$3:$C$3390,$A289,'United Data'!$B$3:$B$3390,"&lt;&gt;Off-street")&gt;0,1,0)</f>
        <v>0</v>
      </c>
      <c r="H289">
        <f>IF(COUNTIFS('United Data'!$A$3:$A$3390,H$1,'United Data'!$C$3:$C$3390,$A289,'United Data'!$B$3:$B$3390,"&lt;&gt;Off-street")&gt;0,1,0)</f>
        <v>1</v>
      </c>
      <c r="I289">
        <f>IF(COUNTIFS('United Data'!$A$3:$A$3390,I$1,'United Data'!$C$3:$C$3390,$A289,'United Data'!$B$3:$B$3390,"&lt;&gt;Off-street")&gt;0,1,0)</f>
        <v>0</v>
      </c>
      <c r="J289">
        <f>IF(COUNTIFS('United Data'!$A$3:$A$3390,J$1,'United Data'!$C$3:$C$3390,$A289,'United Data'!$B$3:$B$3390,"&lt;&gt;Off-street")&gt;0,1,0)</f>
        <v>0</v>
      </c>
      <c r="K289">
        <f>IF(COUNTIFS('United Data'!$A$3:$A$3390,K$1,'United Data'!$C$3:$C$3390,$A289,'United Data'!$B$3:$B$3390,"&lt;&gt;Off-street")&gt;0,1,0)</f>
        <v>0</v>
      </c>
      <c r="L289">
        <f>IF(COUNTIFS('United Data'!$A$3:$A$3390,L$1,'United Data'!$C$3:$C$3390,$A289,'United Data'!$B$3:$B$3390,"&lt;&gt;Off-street")&gt;0,1,0)</f>
        <v>0</v>
      </c>
      <c r="M289">
        <f>IF(COUNTIFS('United Data'!$A$3:$A$3390,M$1,'United Data'!$C$3:$C$3390,$A289,'United Data'!$B$3:$B$3390,"&lt;&gt;Off-street")&gt;0,1,0)</f>
        <v>0</v>
      </c>
      <c r="N289">
        <f>IF(COUNTIFS('United Data'!$A$3:$A$3390,N$1,'United Data'!$C$3:$C$3390,$A289,'United Data'!$B$3:$B$3390,"&lt;&gt;Off-street")&gt;0,1,0)</f>
        <v>0</v>
      </c>
      <c r="O289">
        <f>IF(COUNTIFS('United Data'!$A$3:$A$3390,O$1,'United Data'!$C$3:$C$3390,$A289,'United Data'!$B$3:$B$3390,"&lt;&gt;Off-street")&gt;0,1,0)</f>
        <v>0</v>
      </c>
      <c r="P289">
        <f>IF(COUNTIFS('United Data'!$A$3:$A$3390,P$1,'United Data'!$C$3:$C$3390,$A289,'United Data'!$B$3:$B$3390,"&lt;&gt;Off-street")&gt;0,1,0)</f>
        <v>0</v>
      </c>
      <c r="Q289">
        <f>IF(COUNTIFS('United Data'!$A$3:$A$3390,Q$1,'United Data'!$C$3:$C$3390,$A289,'United Data'!$B$3:$B$3390,"&lt;&gt;Off-street")&gt;0,1,0)</f>
        <v>0</v>
      </c>
      <c r="R289">
        <f>IF(COUNTIFS('United Data'!$A$3:$A$3390,R$1,'United Data'!$C$3:$C$3390,$A289,'United Data'!$B$3:$B$3390,"&lt;&gt;Off-street")&gt;0,1,0)</f>
        <v>0</v>
      </c>
      <c r="S289">
        <f t="shared" si="8"/>
        <v>4</v>
      </c>
      <c r="T289">
        <f t="shared" si="9"/>
        <v>2</v>
      </c>
    </row>
    <row r="290" spans="1:20" x14ac:dyDescent="0.2">
      <c r="A290" t="s">
        <v>374</v>
      </c>
      <c r="B290">
        <f>IF(COUNTIFS('United Data'!$A$3:$A$3390,B$1,'United Data'!$C$3:$C$3390,$A290,'United Data'!$B$3:$B$3390,"&lt;&gt;Off-street")&gt;0,1,0)</f>
        <v>0</v>
      </c>
      <c r="C290">
        <f>IF(COUNTIFS('United Data'!$A$3:$A$3390,C$1,'United Data'!$C$3:$C$3390,$A290,'United Data'!$B$3:$B$3390,"&lt;&gt;Off-street")&gt;0,1,0)</f>
        <v>0</v>
      </c>
      <c r="D290">
        <f>IF(COUNTIFS('United Data'!$A$3:$A$3390,D$1,'United Data'!$C$3:$C$3390,$A290,'United Data'!$B$3:$B$3390,"&lt;&gt;Off-street")&gt;0,1,0)</f>
        <v>1</v>
      </c>
      <c r="E290">
        <f>IF(COUNTIFS('United Data'!$A$3:$A$3390,E$1,'United Data'!$C$3:$C$3390,$A290,'United Data'!$B$3:$B$3390,"&lt;&gt;Off-street")&gt;0,1,0)</f>
        <v>0</v>
      </c>
      <c r="F290">
        <f>IF(COUNTIFS('United Data'!$A$3:$A$3390,F$1,'United Data'!$C$3:$C$3390,$A290,'United Data'!$B$3:$B$3390,"&lt;&gt;Off-street")&gt;0,1,0)</f>
        <v>0</v>
      </c>
      <c r="G290">
        <f>IF(COUNTIFS('United Data'!$A$3:$A$3390,G$1,'United Data'!$C$3:$C$3390,$A290,'United Data'!$B$3:$B$3390,"&lt;&gt;Off-street")&gt;0,1,0)</f>
        <v>0</v>
      </c>
      <c r="H290">
        <f>IF(COUNTIFS('United Data'!$A$3:$A$3390,H$1,'United Data'!$C$3:$C$3390,$A290,'United Data'!$B$3:$B$3390,"&lt;&gt;Off-street")&gt;0,1,0)</f>
        <v>0</v>
      </c>
      <c r="I290">
        <f>IF(COUNTIFS('United Data'!$A$3:$A$3390,I$1,'United Data'!$C$3:$C$3390,$A290,'United Data'!$B$3:$B$3390,"&lt;&gt;Off-street")&gt;0,1,0)</f>
        <v>0</v>
      </c>
      <c r="J290">
        <f>IF(COUNTIFS('United Data'!$A$3:$A$3390,J$1,'United Data'!$C$3:$C$3390,$A290,'United Data'!$B$3:$B$3390,"&lt;&gt;Off-street")&gt;0,1,0)</f>
        <v>0</v>
      </c>
      <c r="K290">
        <f>IF(COUNTIFS('United Data'!$A$3:$A$3390,K$1,'United Data'!$C$3:$C$3390,$A290,'United Data'!$B$3:$B$3390,"&lt;&gt;Off-street")&gt;0,1,0)</f>
        <v>0</v>
      </c>
      <c r="L290">
        <f>IF(COUNTIFS('United Data'!$A$3:$A$3390,L$1,'United Data'!$C$3:$C$3390,$A290,'United Data'!$B$3:$B$3390,"&lt;&gt;Off-street")&gt;0,1,0)</f>
        <v>0</v>
      </c>
      <c r="M290">
        <f>IF(COUNTIFS('United Data'!$A$3:$A$3390,M$1,'United Data'!$C$3:$C$3390,$A290,'United Data'!$B$3:$B$3390,"&lt;&gt;Off-street")&gt;0,1,0)</f>
        <v>0</v>
      </c>
      <c r="N290">
        <f>IF(COUNTIFS('United Data'!$A$3:$A$3390,N$1,'United Data'!$C$3:$C$3390,$A290,'United Data'!$B$3:$B$3390,"&lt;&gt;Off-street")&gt;0,1,0)</f>
        <v>0</v>
      </c>
      <c r="O290">
        <f>IF(COUNTIFS('United Data'!$A$3:$A$3390,O$1,'United Data'!$C$3:$C$3390,$A290,'United Data'!$B$3:$B$3390,"&lt;&gt;Off-street")&gt;0,1,0)</f>
        <v>0</v>
      </c>
      <c r="P290">
        <f>IF(COUNTIFS('United Data'!$A$3:$A$3390,P$1,'United Data'!$C$3:$C$3390,$A290,'United Data'!$B$3:$B$3390,"&lt;&gt;Off-street")&gt;0,1,0)</f>
        <v>0</v>
      </c>
      <c r="Q290">
        <f>IF(COUNTIFS('United Data'!$A$3:$A$3390,Q$1,'United Data'!$C$3:$C$3390,$A290,'United Data'!$B$3:$B$3390,"&lt;&gt;Off-street")&gt;0,1,0)</f>
        <v>0</v>
      </c>
      <c r="R290">
        <f>IF(COUNTIFS('United Data'!$A$3:$A$3390,R$1,'United Data'!$C$3:$C$3390,$A290,'United Data'!$B$3:$B$3390,"&lt;&gt;Off-street")&gt;0,1,0)</f>
        <v>0</v>
      </c>
      <c r="S290">
        <f t="shared" si="8"/>
        <v>1</v>
      </c>
      <c r="T290">
        <f t="shared" si="9"/>
        <v>1</v>
      </c>
    </row>
    <row r="291" spans="1:20" x14ac:dyDescent="0.2">
      <c r="A291" t="s">
        <v>376</v>
      </c>
      <c r="B291">
        <f>IF(COUNTIFS('United Data'!$A$3:$A$3390,B$1,'United Data'!$C$3:$C$3390,$A291,'United Data'!$B$3:$B$3390,"&lt;&gt;Off-street")&gt;0,1,0)</f>
        <v>0</v>
      </c>
      <c r="C291">
        <f>IF(COUNTIFS('United Data'!$A$3:$A$3390,C$1,'United Data'!$C$3:$C$3390,$A291,'United Data'!$B$3:$B$3390,"&lt;&gt;Off-street")&gt;0,1,0)</f>
        <v>0</v>
      </c>
      <c r="D291">
        <f>IF(COUNTIFS('United Data'!$A$3:$A$3390,D$1,'United Data'!$C$3:$C$3390,$A291,'United Data'!$B$3:$B$3390,"&lt;&gt;Off-street")&gt;0,1,0)</f>
        <v>1</v>
      </c>
      <c r="E291">
        <f>IF(COUNTIFS('United Data'!$A$3:$A$3390,E$1,'United Data'!$C$3:$C$3390,$A291,'United Data'!$B$3:$B$3390,"&lt;&gt;Off-street")&gt;0,1,0)</f>
        <v>0</v>
      </c>
      <c r="F291">
        <f>IF(COUNTIFS('United Data'!$A$3:$A$3390,F$1,'United Data'!$C$3:$C$3390,$A291,'United Data'!$B$3:$B$3390,"&lt;&gt;Off-street")&gt;0,1,0)</f>
        <v>0</v>
      </c>
      <c r="G291">
        <f>IF(COUNTIFS('United Data'!$A$3:$A$3390,G$1,'United Data'!$C$3:$C$3390,$A291,'United Data'!$B$3:$B$3390,"&lt;&gt;Off-street")&gt;0,1,0)</f>
        <v>0</v>
      </c>
      <c r="H291">
        <f>IF(COUNTIFS('United Data'!$A$3:$A$3390,H$1,'United Data'!$C$3:$C$3390,$A291,'United Data'!$B$3:$B$3390,"&lt;&gt;Off-street")&gt;0,1,0)</f>
        <v>0</v>
      </c>
      <c r="I291">
        <f>IF(COUNTIFS('United Data'!$A$3:$A$3390,I$1,'United Data'!$C$3:$C$3390,$A291,'United Data'!$B$3:$B$3390,"&lt;&gt;Off-street")&gt;0,1,0)</f>
        <v>0</v>
      </c>
      <c r="J291">
        <f>IF(COUNTIFS('United Data'!$A$3:$A$3390,J$1,'United Data'!$C$3:$C$3390,$A291,'United Data'!$B$3:$B$3390,"&lt;&gt;Off-street")&gt;0,1,0)</f>
        <v>0</v>
      </c>
      <c r="K291">
        <f>IF(COUNTIFS('United Data'!$A$3:$A$3390,K$1,'United Data'!$C$3:$C$3390,$A291,'United Data'!$B$3:$B$3390,"&lt;&gt;Off-street")&gt;0,1,0)</f>
        <v>0</v>
      </c>
      <c r="L291">
        <f>IF(COUNTIFS('United Data'!$A$3:$A$3390,L$1,'United Data'!$C$3:$C$3390,$A291,'United Data'!$B$3:$B$3390,"&lt;&gt;Off-street")&gt;0,1,0)</f>
        <v>0</v>
      </c>
      <c r="M291">
        <f>IF(COUNTIFS('United Data'!$A$3:$A$3390,M$1,'United Data'!$C$3:$C$3390,$A291,'United Data'!$B$3:$B$3390,"&lt;&gt;Off-street")&gt;0,1,0)</f>
        <v>0</v>
      </c>
      <c r="N291">
        <f>IF(COUNTIFS('United Data'!$A$3:$A$3390,N$1,'United Data'!$C$3:$C$3390,$A291,'United Data'!$B$3:$B$3390,"&lt;&gt;Off-street")&gt;0,1,0)</f>
        <v>0</v>
      </c>
      <c r="O291">
        <f>IF(COUNTIFS('United Data'!$A$3:$A$3390,O$1,'United Data'!$C$3:$C$3390,$A291,'United Data'!$B$3:$B$3390,"&lt;&gt;Off-street")&gt;0,1,0)</f>
        <v>0</v>
      </c>
      <c r="P291">
        <f>IF(COUNTIFS('United Data'!$A$3:$A$3390,P$1,'United Data'!$C$3:$C$3390,$A291,'United Data'!$B$3:$B$3390,"&lt;&gt;Off-street")&gt;0,1,0)</f>
        <v>0</v>
      </c>
      <c r="Q291">
        <f>IF(COUNTIFS('United Data'!$A$3:$A$3390,Q$1,'United Data'!$C$3:$C$3390,$A291,'United Data'!$B$3:$B$3390,"&lt;&gt;Off-street")&gt;0,1,0)</f>
        <v>0</v>
      </c>
      <c r="R291">
        <f>IF(COUNTIFS('United Data'!$A$3:$A$3390,R$1,'United Data'!$C$3:$C$3390,$A291,'United Data'!$B$3:$B$3390,"&lt;&gt;Off-street")&gt;0,1,0)</f>
        <v>0</v>
      </c>
      <c r="S291">
        <f t="shared" si="8"/>
        <v>1</v>
      </c>
      <c r="T291">
        <f t="shared" si="9"/>
        <v>1</v>
      </c>
    </row>
    <row r="292" spans="1:20" x14ac:dyDescent="0.2">
      <c r="A292" t="s">
        <v>377</v>
      </c>
      <c r="B292">
        <f>IF(COUNTIFS('United Data'!$A$3:$A$3390,B$1,'United Data'!$C$3:$C$3390,$A292,'United Data'!$B$3:$B$3390,"&lt;&gt;Off-street")&gt;0,1,0)</f>
        <v>0</v>
      </c>
      <c r="C292">
        <f>IF(COUNTIFS('United Data'!$A$3:$A$3390,C$1,'United Data'!$C$3:$C$3390,$A292,'United Data'!$B$3:$B$3390,"&lt;&gt;Off-street")&gt;0,1,0)</f>
        <v>0</v>
      </c>
      <c r="D292">
        <f>IF(COUNTIFS('United Data'!$A$3:$A$3390,D$1,'United Data'!$C$3:$C$3390,$A292,'United Data'!$B$3:$B$3390,"&lt;&gt;Off-street")&gt;0,1,0)</f>
        <v>1</v>
      </c>
      <c r="E292">
        <f>IF(COUNTIFS('United Data'!$A$3:$A$3390,E$1,'United Data'!$C$3:$C$3390,$A292,'United Data'!$B$3:$B$3390,"&lt;&gt;Off-street")&gt;0,1,0)</f>
        <v>0</v>
      </c>
      <c r="F292">
        <f>IF(COUNTIFS('United Data'!$A$3:$A$3390,F$1,'United Data'!$C$3:$C$3390,$A292,'United Data'!$B$3:$B$3390,"&lt;&gt;Off-street")&gt;0,1,0)</f>
        <v>0</v>
      </c>
      <c r="G292">
        <f>IF(COUNTIFS('United Data'!$A$3:$A$3390,G$1,'United Data'!$C$3:$C$3390,$A292,'United Data'!$B$3:$B$3390,"&lt;&gt;Off-street")&gt;0,1,0)</f>
        <v>0</v>
      </c>
      <c r="H292">
        <f>IF(COUNTIFS('United Data'!$A$3:$A$3390,H$1,'United Data'!$C$3:$C$3390,$A292,'United Data'!$B$3:$B$3390,"&lt;&gt;Off-street")&gt;0,1,0)</f>
        <v>0</v>
      </c>
      <c r="I292">
        <f>IF(COUNTIFS('United Data'!$A$3:$A$3390,I$1,'United Data'!$C$3:$C$3390,$A292,'United Data'!$B$3:$B$3390,"&lt;&gt;Off-street")&gt;0,1,0)</f>
        <v>0</v>
      </c>
      <c r="J292">
        <f>IF(COUNTIFS('United Data'!$A$3:$A$3390,J$1,'United Data'!$C$3:$C$3390,$A292,'United Data'!$B$3:$B$3390,"&lt;&gt;Off-street")&gt;0,1,0)</f>
        <v>0</v>
      </c>
      <c r="K292">
        <f>IF(COUNTIFS('United Data'!$A$3:$A$3390,K$1,'United Data'!$C$3:$C$3390,$A292,'United Data'!$B$3:$B$3390,"&lt;&gt;Off-street")&gt;0,1,0)</f>
        <v>0</v>
      </c>
      <c r="L292">
        <f>IF(COUNTIFS('United Data'!$A$3:$A$3390,L$1,'United Data'!$C$3:$C$3390,$A292,'United Data'!$B$3:$B$3390,"&lt;&gt;Off-street")&gt;0,1,0)</f>
        <v>0</v>
      </c>
      <c r="M292">
        <f>IF(COUNTIFS('United Data'!$A$3:$A$3390,M$1,'United Data'!$C$3:$C$3390,$A292,'United Data'!$B$3:$B$3390,"&lt;&gt;Off-street")&gt;0,1,0)</f>
        <v>0</v>
      </c>
      <c r="N292">
        <f>IF(COUNTIFS('United Data'!$A$3:$A$3390,N$1,'United Data'!$C$3:$C$3390,$A292,'United Data'!$B$3:$B$3390,"&lt;&gt;Off-street")&gt;0,1,0)</f>
        <v>0</v>
      </c>
      <c r="O292">
        <f>IF(COUNTIFS('United Data'!$A$3:$A$3390,O$1,'United Data'!$C$3:$C$3390,$A292,'United Data'!$B$3:$B$3390,"&lt;&gt;Off-street")&gt;0,1,0)</f>
        <v>1</v>
      </c>
      <c r="P292">
        <f>IF(COUNTIFS('United Data'!$A$3:$A$3390,P$1,'United Data'!$C$3:$C$3390,$A292,'United Data'!$B$3:$B$3390,"&lt;&gt;Off-street")&gt;0,1,0)</f>
        <v>1</v>
      </c>
      <c r="Q292">
        <f>IF(COUNTIFS('United Data'!$A$3:$A$3390,Q$1,'United Data'!$C$3:$C$3390,$A292,'United Data'!$B$3:$B$3390,"&lt;&gt;Off-street")&gt;0,1,0)</f>
        <v>0</v>
      </c>
      <c r="R292">
        <f>IF(COUNTIFS('United Data'!$A$3:$A$3390,R$1,'United Data'!$C$3:$C$3390,$A292,'United Data'!$B$3:$B$3390,"&lt;&gt;Off-street")&gt;0,1,0)</f>
        <v>0</v>
      </c>
      <c r="S292">
        <f t="shared" si="8"/>
        <v>3</v>
      </c>
      <c r="T292">
        <f t="shared" si="9"/>
        <v>2</v>
      </c>
    </row>
    <row r="293" spans="1:20" x14ac:dyDescent="0.2">
      <c r="A293" t="s">
        <v>378</v>
      </c>
      <c r="B293">
        <f>IF(COUNTIFS('United Data'!$A$3:$A$3390,B$1,'United Data'!$C$3:$C$3390,$A293,'United Data'!$B$3:$B$3390,"&lt;&gt;Off-street")&gt;0,1,0)</f>
        <v>0</v>
      </c>
      <c r="C293">
        <f>IF(COUNTIFS('United Data'!$A$3:$A$3390,C$1,'United Data'!$C$3:$C$3390,$A293,'United Data'!$B$3:$B$3390,"&lt;&gt;Off-street")&gt;0,1,0)</f>
        <v>0</v>
      </c>
      <c r="D293">
        <f>IF(COUNTIFS('United Data'!$A$3:$A$3390,D$1,'United Data'!$C$3:$C$3390,$A293,'United Data'!$B$3:$B$3390,"&lt;&gt;Off-street")&gt;0,1,0)</f>
        <v>0</v>
      </c>
      <c r="E293">
        <f>IF(COUNTIFS('United Data'!$A$3:$A$3390,E$1,'United Data'!$C$3:$C$3390,$A293,'United Data'!$B$3:$B$3390,"&lt;&gt;Off-street")&gt;0,1,0)</f>
        <v>1</v>
      </c>
      <c r="F293">
        <f>IF(COUNTIFS('United Data'!$A$3:$A$3390,F$1,'United Data'!$C$3:$C$3390,$A293,'United Data'!$B$3:$B$3390,"&lt;&gt;Off-street")&gt;0,1,0)</f>
        <v>0</v>
      </c>
      <c r="G293">
        <f>IF(COUNTIFS('United Data'!$A$3:$A$3390,G$1,'United Data'!$C$3:$C$3390,$A293,'United Data'!$B$3:$B$3390,"&lt;&gt;Off-street")&gt;0,1,0)</f>
        <v>0</v>
      </c>
      <c r="H293">
        <f>IF(COUNTIFS('United Data'!$A$3:$A$3390,H$1,'United Data'!$C$3:$C$3390,$A293,'United Data'!$B$3:$B$3390,"&lt;&gt;Off-street")&gt;0,1,0)</f>
        <v>0</v>
      </c>
      <c r="I293">
        <f>IF(COUNTIFS('United Data'!$A$3:$A$3390,I$1,'United Data'!$C$3:$C$3390,$A293,'United Data'!$B$3:$B$3390,"&lt;&gt;Off-street")&gt;0,1,0)</f>
        <v>0</v>
      </c>
      <c r="J293">
        <f>IF(COUNTIFS('United Data'!$A$3:$A$3390,J$1,'United Data'!$C$3:$C$3390,$A293,'United Data'!$B$3:$B$3390,"&lt;&gt;Off-street")&gt;0,1,0)</f>
        <v>0</v>
      </c>
      <c r="K293">
        <f>IF(COUNTIFS('United Data'!$A$3:$A$3390,K$1,'United Data'!$C$3:$C$3390,$A293,'United Data'!$B$3:$B$3390,"&lt;&gt;Off-street")&gt;0,1,0)</f>
        <v>0</v>
      </c>
      <c r="L293">
        <f>IF(COUNTIFS('United Data'!$A$3:$A$3390,L$1,'United Data'!$C$3:$C$3390,$A293,'United Data'!$B$3:$B$3390,"&lt;&gt;Off-street")&gt;0,1,0)</f>
        <v>0</v>
      </c>
      <c r="M293">
        <f>IF(COUNTIFS('United Data'!$A$3:$A$3390,M$1,'United Data'!$C$3:$C$3390,$A293,'United Data'!$B$3:$B$3390,"&lt;&gt;Off-street")&gt;0,1,0)</f>
        <v>0</v>
      </c>
      <c r="N293">
        <f>IF(COUNTIFS('United Data'!$A$3:$A$3390,N$1,'United Data'!$C$3:$C$3390,$A293,'United Data'!$B$3:$B$3390,"&lt;&gt;Off-street")&gt;0,1,0)</f>
        <v>0</v>
      </c>
      <c r="O293">
        <f>IF(COUNTIFS('United Data'!$A$3:$A$3390,O$1,'United Data'!$C$3:$C$3390,$A293,'United Data'!$B$3:$B$3390,"&lt;&gt;Off-street")&gt;0,1,0)</f>
        <v>0</v>
      </c>
      <c r="P293">
        <f>IF(COUNTIFS('United Data'!$A$3:$A$3390,P$1,'United Data'!$C$3:$C$3390,$A293,'United Data'!$B$3:$B$3390,"&lt;&gt;Off-street")&gt;0,1,0)</f>
        <v>0</v>
      </c>
      <c r="Q293">
        <f>IF(COUNTIFS('United Data'!$A$3:$A$3390,Q$1,'United Data'!$C$3:$C$3390,$A293,'United Data'!$B$3:$B$3390,"&lt;&gt;Off-street")&gt;0,1,0)</f>
        <v>0</v>
      </c>
      <c r="R293">
        <f>IF(COUNTIFS('United Data'!$A$3:$A$3390,R$1,'United Data'!$C$3:$C$3390,$A293,'United Data'!$B$3:$B$3390,"&lt;&gt;Off-street")&gt;0,1,0)</f>
        <v>0</v>
      </c>
      <c r="S293">
        <f t="shared" si="8"/>
        <v>1</v>
      </c>
      <c r="T293">
        <f t="shared" si="9"/>
        <v>1</v>
      </c>
    </row>
    <row r="294" spans="1:20" x14ac:dyDescent="0.2">
      <c r="A294" t="s">
        <v>379</v>
      </c>
      <c r="B294">
        <f>IF(COUNTIFS('United Data'!$A$3:$A$3390,B$1,'United Data'!$C$3:$C$3390,$A294,'United Data'!$B$3:$B$3390,"&lt;&gt;Off-street")&gt;0,1,0)</f>
        <v>0</v>
      </c>
      <c r="C294">
        <f>IF(COUNTIFS('United Data'!$A$3:$A$3390,C$1,'United Data'!$C$3:$C$3390,$A294,'United Data'!$B$3:$B$3390,"&lt;&gt;Off-street")&gt;0,1,0)</f>
        <v>0</v>
      </c>
      <c r="D294">
        <f>IF(COUNTIFS('United Data'!$A$3:$A$3390,D$1,'United Data'!$C$3:$C$3390,$A294,'United Data'!$B$3:$B$3390,"&lt;&gt;Off-street")&gt;0,1,0)</f>
        <v>0</v>
      </c>
      <c r="E294">
        <f>IF(COUNTIFS('United Data'!$A$3:$A$3390,E$1,'United Data'!$C$3:$C$3390,$A294,'United Data'!$B$3:$B$3390,"&lt;&gt;Off-street")&gt;0,1,0)</f>
        <v>0</v>
      </c>
      <c r="F294">
        <f>IF(COUNTIFS('United Data'!$A$3:$A$3390,F$1,'United Data'!$C$3:$C$3390,$A294,'United Data'!$B$3:$B$3390,"&lt;&gt;Off-street")&gt;0,1,0)</f>
        <v>0</v>
      </c>
      <c r="G294">
        <f>IF(COUNTIFS('United Data'!$A$3:$A$3390,G$1,'United Data'!$C$3:$C$3390,$A294,'United Data'!$B$3:$B$3390,"&lt;&gt;Off-street")&gt;0,1,0)</f>
        <v>0</v>
      </c>
      <c r="H294">
        <f>IF(COUNTIFS('United Data'!$A$3:$A$3390,H$1,'United Data'!$C$3:$C$3390,$A294,'United Data'!$B$3:$B$3390,"&lt;&gt;Off-street")&gt;0,1,0)</f>
        <v>0</v>
      </c>
      <c r="I294">
        <f>IF(COUNTIFS('United Data'!$A$3:$A$3390,I$1,'United Data'!$C$3:$C$3390,$A294,'United Data'!$B$3:$B$3390,"&lt;&gt;Off-street")&gt;0,1,0)</f>
        <v>0</v>
      </c>
      <c r="J294">
        <f>IF(COUNTIFS('United Data'!$A$3:$A$3390,J$1,'United Data'!$C$3:$C$3390,$A294,'United Data'!$B$3:$B$3390,"&lt;&gt;Off-street")&gt;0,1,0)</f>
        <v>0</v>
      </c>
      <c r="K294">
        <f>IF(COUNTIFS('United Data'!$A$3:$A$3390,K$1,'United Data'!$C$3:$C$3390,$A294,'United Data'!$B$3:$B$3390,"&lt;&gt;Off-street")&gt;0,1,0)</f>
        <v>0</v>
      </c>
      <c r="L294">
        <f>IF(COUNTIFS('United Data'!$A$3:$A$3390,L$1,'United Data'!$C$3:$C$3390,$A294,'United Data'!$B$3:$B$3390,"&lt;&gt;Off-street")&gt;0,1,0)</f>
        <v>0</v>
      </c>
      <c r="M294">
        <f>IF(COUNTIFS('United Data'!$A$3:$A$3390,M$1,'United Data'!$C$3:$C$3390,$A294,'United Data'!$B$3:$B$3390,"&lt;&gt;Off-street")&gt;0,1,0)</f>
        <v>0</v>
      </c>
      <c r="N294">
        <f>IF(COUNTIFS('United Data'!$A$3:$A$3390,N$1,'United Data'!$C$3:$C$3390,$A294,'United Data'!$B$3:$B$3390,"&lt;&gt;Off-street")&gt;0,1,0)</f>
        <v>0</v>
      </c>
      <c r="O294">
        <f>IF(COUNTIFS('United Data'!$A$3:$A$3390,O$1,'United Data'!$C$3:$C$3390,$A294,'United Data'!$B$3:$B$3390,"&lt;&gt;Off-street")&gt;0,1,0)</f>
        <v>0</v>
      </c>
      <c r="P294">
        <f>IF(COUNTIFS('United Data'!$A$3:$A$3390,P$1,'United Data'!$C$3:$C$3390,$A294,'United Data'!$B$3:$B$3390,"&lt;&gt;Off-street")&gt;0,1,0)</f>
        <v>0</v>
      </c>
      <c r="Q294">
        <f>IF(COUNTIFS('United Data'!$A$3:$A$3390,Q$1,'United Data'!$C$3:$C$3390,$A294,'United Data'!$B$3:$B$3390,"&lt;&gt;Off-street")&gt;0,1,0)</f>
        <v>0</v>
      </c>
      <c r="R294">
        <f>IF(COUNTIFS('United Data'!$A$3:$A$3390,R$1,'United Data'!$C$3:$C$3390,$A294,'United Data'!$B$3:$B$3390,"&lt;&gt;Off-street")&gt;0,1,0)</f>
        <v>0</v>
      </c>
      <c r="S294">
        <f t="shared" si="8"/>
        <v>0</v>
      </c>
      <c r="T294">
        <f t="shared" si="9"/>
        <v>0</v>
      </c>
    </row>
    <row r="295" spans="1:20" x14ac:dyDescent="0.2">
      <c r="A295" t="s">
        <v>380</v>
      </c>
      <c r="B295">
        <f>IF(COUNTIFS('United Data'!$A$3:$A$3390,B$1,'United Data'!$C$3:$C$3390,$A295,'United Data'!$B$3:$B$3390,"&lt;&gt;Off-street")&gt;0,1,0)</f>
        <v>0</v>
      </c>
      <c r="C295">
        <f>IF(COUNTIFS('United Data'!$A$3:$A$3390,C$1,'United Data'!$C$3:$C$3390,$A295,'United Data'!$B$3:$B$3390,"&lt;&gt;Off-street")&gt;0,1,0)</f>
        <v>0</v>
      </c>
      <c r="D295">
        <f>IF(COUNTIFS('United Data'!$A$3:$A$3390,D$1,'United Data'!$C$3:$C$3390,$A295,'United Data'!$B$3:$B$3390,"&lt;&gt;Off-street")&gt;0,1,0)</f>
        <v>0</v>
      </c>
      <c r="E295">
        <f>IF(COUNTIFS('United Data'!$A$3:$A$3390,E$1,'United Data'!$C$3:$C$3390,$A295,'United Data'!$B$3:$B$3390,"&lt;&gt;Off-street")&gt;0,1,0)</f>
        <v>1</v>
      </c>
      <c r="F295">
        <f>IF(COUNTIFS('United Data'!$A$3:$A$3390,F$1,'United Data'!$C$3:$C$3390,$A295,'United Data'!$B$3:$B$3390,"&lt;&gt;Off-street")&gt;0,1,0)</f>
        <v>1</v>
      </c>
      <c r="G295">
        <f>IF(COUNTIFS('United Data'!$A$3:$A$3390,G$1,'United Data'!$C$3:$C$3390,$A295,'United Data'!$B$3:$B$3390,"&lt;&gt;Off-street")&gt;0,1,0)</f>
        <v>0</v>
      </c>
      <c r="H295">
        <f>IF(COUNTIFS('United Data'!$A$3:$A$3390,H$1,'United Data'!$C$3:$C$3390,$A295,'United Data'!$B$3:$B$3390,"&lt;&gt;Off-street")&gt;0,1,0)</f>
        <v>0</v>
      </c>
      <c r="I295">
        <f>IF(COUNTIFS('United Data'!$A$3:$A$3390,I$1,'United Data'!$C$3:$C$3390,$A295,'United Data'!$B$3:$B$3390,"&lt;&gt;Off-street")&gt;0,1,0)</f>
        <v>0</v>
      </c>
      <c r="J295">
        <f>IF(COUNTIFS('United Data'!$A$3:$A$3390,J$1,'United Data'!$C$3:$C$3390,$A295,'United Data'!$B$3:$B$3390,"&lt;&gt;Off-street")&gt;0,1,0)</f>
        <v>0</v>
      </c>
      <c r="K295">
        <f>IF(COUNTIFS('United Data'!$A$3:$A$3390,K$1,'United Data'!$C$3:$C$3390,$A295,'United Data'!$B$3:$B$3390,"&lt;&gt;Off-street")&gt;0,1,0)</f>
        <v>0</v>
      </c>
      <c r="L295">
        <f>IF(COUNTIFS('United Data'!$A$3:$A$3390,L$1,'United Data'!$C$3:$C$3390,$A295,'United Data'!$B$3:$B$3390,"&lt;&gt;Off-street")&gt;0,1,0)</f>
        <v>0</v>
      </c>
      <c r="M295">
        <f>IF(COUNTIFS('United Data'!$A$3:$A$3390,M$1,'United Data'!$C$3:$C$3390,$A295,'United Data'!$B$3:$B$3390,"&lt;&gt;Off-street")&gt;0,1,0)</f>
        <v>0</v>
      </c>
      <c r="N295">
        <f>IF(COUNTIFS('United Data'!$A$3:$A$3390,N$1,'United Data'!$C$3:$C$3390,$A295,'United Data'!$B$3:$B$3390,"&lt;&gt;Off-street")&gt;0,1,0)</f>
        <v>0</v>
      </c>
      <c r="O295">
        <f>IF(COUNTIFS('United Data'!$A$3:$A$3390,O$1,'United Data'!$C$3:$C$3390,$A295,'United Data'!$B$3:$B$3390,"&lt;&gt;Off-street")&gt;0,1,0)</f>
        <v>0</v>
      </c>
      <c r="P295">
        <f>IF(COUNTIFS('United Data'!$A$3:$A$3390,P$1,'United Data'!$C$3:$C$3390,$A295,'United Data'!$B$3:$B$3390,"&lt;&gt;Off-street")&gt;0,1,0)</f>
        <v>0</v>
      </c>
      <c r="Q295">
        <f>IF(COUNTIFS('United Data'!$A$3:$A$3390,Q$1,'United Data'!$C$3:$C$3390,$A295,'United Data'!$B$3:$B$3390,"&lt;&gt;Off-street")&gt;0,1,0)</f>
        <v>0</v>
      </c>
      <c r="R295">
        <f>IF(COUNTIFS('United Data'!$A$3:$A$3390,R$1,'United Data'!$C$3:$C$3390,$A295,'United Data'!$B$3:$B$3390,"&lt;&gt;Off-street")&gt;0,1,0)</f>
        <v>0</v>
      </c>
      <c r="S295">
        <f t="shared" si="8"/>
        <v>2</v>
      </c>
      <c r="T295">
        <f t="shared" si="9"/>
        <v>1</v>
      </c>
    </row>
    <row r="296" spans="1:20" x14ac:dyDescent="0.2">
      <c r="A296" t="s">
        <v>381</v>
      </c>
      <c r="B296">
        <f>IF(COUNTIFS('United Data'!$A$3:$A$3390,B$1,'United Data'!$C$3:$C$3390,$A296,'United Data'!$B$3:$B$3390,"&lt;&gt;Off-street")&gt;0,1,0)</f>
        <v>0</v>
      </c>
      <c r="C296">
        <f>IF(COUNTIFS('United Data'!$A$3:$A$3390,C$1,'United Data'!$C$3:$C$3390,$A296,'United Data'!$B$3:$B$3390,"&lt;&gt;Off-street")&gt;0,1,0)</f>
        <v>0</v>
      </c>
      <c r="D296">
        <f>IF(COUNTIFS('United Data'!$A$3:$A$3390,D$1,'United Data'!$C$3:$C$3390,$A296,'United Data'!$B$3:$B$3390,"&lt;&gt;Off-street")&gt;0,1,0)</f>
        <v>0</v>
      </c>
      <c r="E296">
        <f>IF(COUNTIFS('United Data'!$A$3:$A$3390,E$1,'United Data'!$C$3:$C$3390,$A296,'United Data'!$B$3:$B$3390,"&lt;&gt;Off-street")&gt;0,1,0)</f>
        <v>1</v>
      </c>
      <c r="F296">
        <f>IF(COUNTIFS('United Data'!$A$3:$A$3390,F$1,'United Data'!$C$3:$C$3390,$A296,'United Data'!$B$3:$B$3390,"&lt;&gt;Off-street")&gt;0,1,0)</f>
        <v>0</v>
      </c>
      <c r="G296">
        <f>IF(COUNTIFS('United Data'!$A$3:$A$3390,G$1,'United Data'!$C$3:$C$3390,$A296,'United Data'!$B$3:$B$3390,"&lt;&gt;Off-street")&gt;0,1,0)</f>
        <v>0</v>
      </c>
      <c r="H296">
        <f>IF(COUNTIFS('United Data'!$A$3:$A$3390,H$1,'United Data'!$C$3:$C$3390,$A296,'United Data'!$B$3:$B$3390,"&lt;&gt;Off-street")&gt;0,1,0)</f>
        <v>0</v>
      </c>
      <c r="I296">
        <f>IF(COUNTIFS('United Data'!$A$3:$A$3390,I$1,'United Data'!$C$3:$C$3390,$A296,'United Data'!$B$3:$B$3390,"&lt;&gt;Off-street")&gt;0,1,0)</f>
        <v>0</v>
      </c>
      <c r="J296">
        <f>IF(COUNTIFS('United Data'!$A$3:$A$3390,J$1,'United Data'!$C$3:$C$3390,$A296,'United Data'!$B$3:$B$3390,"&lt;&gt;Off-street")&gt;0,1,0)</f>
        <v>0</v>
      </c>
      <c r="K296">
        <f>IF(COUNTIFS('United Data'!$A$3:$A$3390,K$1,'United Data'!$C$3:$C$3390,$A296,'United Data'!$B$3:$B$3390,"&lt;&gt;Off-street")&gt;0,1,0)</f>
        <v>0</v>
      </c>
      <c r="L296">
        <f>IF(COUNTIFS('United Data'!$A$3:$A$3390,L$1,'United Data'!$C$3:$C$3390,$A296,'United Data'!$B$3:$B$3390,"&lt;&gt;Off-street")&gt;0,1,0)</f>
        <v>0</v>
      </c>
      <c r="M296">
        <f>IF(COUNTIFS('United Data'!$A$3:$A$3390,M$1,'United Data'!$C$3:$C$3390,$A296,'United Data'!$B$3:$B$3390,"&lt;&gt;Off-street")&gt;0,1,0)</f>
        <v>0</v>
      </c>
      <c r="N296">
        <f>IF(COUNTIFS('United Data'!$A$3:$A$3390,N$1,'United Data'!$C$3:$C$3390,$A296,'United Data'!$B$3:$B$3390,"&lt;&gt;Off-street")&gt;0,1,0)</f>
        <v>0</v>
      </c>
      <c r="O296">
        <f>IF(COUNTIFS('United Data'!$A$3:$A$3390,O$1,'United Data'!$C$3:$C$3390,$A296,'United Data'!$B$3:$B$3390,"&lt;&gt;Off-street")&gt;0,1,0)</f>
        <v>0</v>
      </c>
      <c r="P296">
        <f>IF(COUNTIFS('United Data'!$A$3:$A$3390,P$1,'United Data'!$C$3:$C$3390,$A296,'United Data'!$B$3:$B$3390,"&lt;&gt;Off-street")&gt;0,1,0)</f>
        <v>0</v>
      </c>
      <c r="Q296">
        <f>IF(COUNTIFS('United Data'!$A$3:$A$3390,Q$1,'United Data'!$C$3:$C$3390,$A296,'United Data'!$B$3:$B$3390,"&lt;&gt;Off-street")&gt;0,1,0)</f>
        <v>0</v>
      </c>
      <c r="R296">
        <f>IF(COUNTIFS('United Data'!$A$3:$A$3390,R$1,'United Data'!$C$3:$C$3390,$A296,'United Data'!$B$3:$B$3390,"&lt;&gt;Off-street")&gt;0,1,0)</f>
        <v>0</v>
      </c>
      <c r="S296">
        <f t="shared" si="8"/>
        <v>1</v>
      </c>
      <c r="T296">
        <f t="shared" si="9"/>
        <v>1</v>
      </c>
    </row>
    <row r="297" spans="1:20" x14ac:dyDescent="0.2">
      <c r="A297" t="s">
        <v>384</v>
      </c>
      <c r="B297">
        <f>IF(COUNTIFS('United Data'!$A$3:$A$3390,B$1,'United Data'!$C$3:$C$3390,$A297,'United Data'!$B$3:$B$3390,"&lt;&gt;Off-street")&gt;0,1,0)</f>
        <v>0</v>
      </c>
      <c r="C297">
        <f>IF(COUNTIFS('United Data'!$A$3:$A$3390,C$1,'United Data'!$C$3:$C$3390,$A297,'United Data'!$B$3:$B$3390,"&lt;&gt;Off-street")&gt;0,1,0)</f>
        <v>0</v>
      </c>
      <c r="D297">
        <f>IF(COUNTIFS('United Data'!$A$3:$A$3390,D$1,'United Data'!$C$3:$C$3390,$A297,'United Data'!$B$3:$B$3390,"&lt;&gt;Off-street")&gt;0,1,0)</f>
        <v>0</v>
      </c>
      <c r="E297">
        <f>IF(COUNTIFS('United Data'!$A$3:$A$3390,E$1,'United Data'!$C$3:$C$3390,$A297,'United Data'!$B$3:$B$3390,"&lt;&gt;Off-street")&gt;0,1,0)</f>
        <v>0</v>
      </c>
      <c r="F297">
        <f>IF(COUNTIFS('United Data'!$A$3:$A$3390,F$1,'United Data'!$C$3:$C$3390,$A297,'United Data'!$B$3:$B$3390,"&lt;&gt;Off-street")&gt;0,1,0)</f>
        <v>1</v>
      </c>
      <c r="G297">
        <f>IF(COUNTIFS('United Data'!$A$3:$A$3390,G$1,'United Data'!$C$3:$C$3390,$A297,'United Data'!$B$3:$B$3390,"&lt;&gt;Off-street")&gt;0,1,0)</f>
        <v>0</v>
      </c>
      <c r="H297">
        <f>IF(COUNTIFS('United Data'!$A$3:$A$3390,H$1,'United Data'!$C$3:$C$3390,$A297,'United Data'!$B$3:$B$3390,"&lt;&gt;Off-street")&gt;0,1,0)</f>
        <v>0</v>
      </c>
      <c r="I297">
        <f>IF(COUNTIFS('United Data'!$A$3:$A$3390,I$1,'United Data'!$C$3:$C$3390,$A297,'United Data'!$B$3:$B$3390,"&lt;&gt;Off-street")&gt;0,1,0)</f>
        <v>0</v>
      </c>
      <c r="J297">
        <f>IF(COUNTIFS('United Data'!$A$3:$A$3390,J$1,'United Data'!$C$3:$C$3390,$A297,'United Data'!$B$3:$B$3390,"&lt;&gt;Off-street")&gt;0,1,0)</f>
        <v>0</v>
      </c>
      <c r="K297">
        <f>IF(COUNTIFS('United Data'!$A$3:$A$3390,K$1,'United Data'!$C$3:$C$3390,$A297,'United Data'!$B$3:$B$3390,"&lt;&gt;Off-street")&gt;0,1,0)</f>
        <v>0</v>
      </c>
      <c r="L297">
        <f>IF(COUNTIFS('United Data'!$A$3:$A$3390,L$1,'United Data'!$C$3:$C$3390,$A297,'United Data'!$B$3:$B$3390,"&lt;&gt;Off-street")&gt;0,1,0)</f>
        <v>0</v>
      </c>
      <c r="M297">
        <f>IF(COUNTIFS('United Data'!$A$3:$A$3390,M$1,'United Data'!$C$3:$C$3390,$A297,'United Data'!$B$3:$B$3390,"&lt;&gt;Off-street")&gt;0,1,0)</f>
        <v>0</v>
      </c>
      <c r="N297">
        <f>IF(COUNTIFS('United Data'!$A$3:$A$3390,N$1,'United Data'!$C$3:$C$3390,$A297,'United Data'!$B$3:$B$3390,"&lt;&gt;Off-street")&gt;0,1,0)</f>
        <v>0</v>
      </c>
      <c r="O297">
        <f>IF(COUNTIFS('United Data'!$A$3:$A$3390,O$1,'United Data'!$C$3:$C$3390,$A297,'United Data'!$B$3:$B$3390,"&lt;&gt;Off-street")&gt;0,1,0)</f>
        <v>0</v>
      </c>
      <c r="P297">
        <f>IF(COUNTIFS('United Data'!$A$3:$A$3390,P$1,'United Data'!$C$3:$C$3390,$A297,'United Data'!$B$3:$B$3390,"&lt;&gt;Off-street")&gt;0,1,0)</f>
        <v>0</v>
      </c>
      <c r="Q297">
        <f>IF(COUNTIFS('United Data'!$A$3:$A$3390,Q$1,'United Data'!$C$3:$C$3390,$A297,'United Data'!$B$3:$B$3390,"&lt;&gt;Off-street")&gt;0,1,0)</f>
        <v>0</v>
      </c>
      <c r="R297">
        <f>IF(COUNTIFS('United Data'!$A$3:$A$3390,R$1,'United Data'!$C$3:$C$3390,$A297,'United Data'!$B$3:$B$3390,"&lt;&gt;Off-street")&gt;0,1,0)</f>
        <v>1</v>
      </c>
      <c r="S297">
        <f t="shared" si="8"/>
        <v>2</v>
      </c>
      <c r="T297">
        <f t="shared" si="9"/>
        <v>2</v>
      </c>
    </row>
    <row r="298" spans="1:20" x14ac:dyDescent="0.2">
      <c r="A298" t="s">
        <v>386</v>
      </c>
      <c r="B298">
        <f>IF(COUNTIFS('United Data'!$A$3:$A$3390,B$1,'United Data'!$C$3:$C$3390,$A298,'United Data'!$B$3:$B$3390,"&lt;&gt;Off-street")&gt;0,1,0)</f>
        <v>0</v>
      </c>
      <c r="C298">
        <f>IF(COUNTIFS('United Data'!$A$3:$A$3390,C$1,'United Data'!$C$3:$C$3390,$A298,'United Data'!$B$3:$B$3390,"&lt;&gt;Off-street")&gt;0,1,0)</f>
        <v>0</v>
      </c>
      <c r="D298">
        <f>IF(COUNTIFS('United Data'!$A$3:$A$3390,D$1,'United Data'!$C$3:$C$3390,$A298,'United Data'!$B$3:$B$3390,"&lt;&gt;Off-street")&gt;0,1,0)</f>
        <v>0</v>
      </c>
      <c r="E298">
        <f>IF(COUNTIFS('United Data'!$A$3:$A$3390,E$1,'United Data'!$C$3:$C$3390,$A298,'United Data'!$B$3:$B$3390,"&lt;&gt;Off-street")&gt;0,1,0)</f>
        <v>0</v>
      </c>
      <c r="F298">
        <f>IF(COUNTIFS('United Data'!$A$3:$A$3390,F$1,'United Data'!$C$3:$C$3390,$A298,'United Data'!$B$3:$B$3390,"&lt;&gt;Off-street")&gt;0,1,0)</f>
        <v>0</v>
      </c>
      <c r="G298">
        <f>IF(COUNTIFS('United Data'!$A$3:$A$3390,G$1,'United Data'!$C$3:$C$3390,$A298,'United Data'!$B$3:$B$3390,"&lt;&gt;Off-street")&gt;0,1,0)</f>
        <v>1</v>
      </c>
      <c r="H298">
        <f>IF(COUNTIFS('United Data'!$A$3:$A$3390,H$1,'United Data'!$C$3:$C$3390,$A298,'United Data'!$B$3:$B$3390,"&lt;&gt;Off-street")&gt;0,1,0)</f>
        <v>0</v>
      </c>
      <c r="I298">
        <f>IF(COUNTIFS('United Data'!$A$3:$A$3390,I$1,'United Data'!$C$3:$C$3390,$A298,'United Data'!$B$3:$B$3390,"&lt;&gt;Off-street")&gt;0,1,0)</f>
        <v>0</v>
      </c>
      <c r="J298">
        <f>IF(COUNTIFS('United Data'!$A$3:$A$3390,J$1,'United Data'!$C$3:$C$3390,$A298,'United Data'!$B$3:$B$3390,"&lt;&gt;Off-street")&gt;0,1,0)</f>
        <v>0</v>
      </c>
      <c r="K298">
        <f>IF(COUNTIFS('United Data'!$A$3:$A$3390,K$1,'United Data'!$C$3:$C$3390,$A298,'United Data'!$B$3:$B$3390,"&lt;&gt;Off-street")&gt;0,1,0)</f>
        <v>0</v>
      </c>
      <c r="L298">
        <f>IF(COUNTIFS('United Data'!$A$3:$A$3390,L$1,'United Data'!$C$3:$C$3390,$A298,'United Data'!$B$3:$B$3390,"&lt;&gt;Off-street")&gt;0,1,0)</f>
        <v>0</v>
      </c>
      <c r="M298">
        <f>IF(COUNTIFS('United Data'!$A$3:$A$3390,M$1,'United Data'!$C$3:$C$3390,$A298,'United Data'!$B$3:$B$3390,"&lt;&gt;Off-street")&gt;0,1,0)</f>
        <v>0</v>
      </c>
      <c r="N298">
        <f>IF(COUNTIFS('United Data'!$A$3:$A$3390,N$1,'United Data'!$C$3:$C$3390,$A298,'United Data'!$B$3:$B$3390,"&lt;&gt;Off-street")&gt;0,1,0)</f>
        <v>0</v>
      </c>
      <c r="O298">
        <f>IF(COUNTIFS('United Data'!$A$3:$A$3390,O$1,'United Data'!$C$3:$C$3390,$A298,'United Data'!$B$3:$B$3390,"&lt;&gt;Off-street")&gt;0,1,0)</f>
        <v>0</v>
      </c>
      <c r="P298">
        <f>IF(COUNTIFS('United Data'!$A$3:$A$3390,P$1,'United Data'!$C$3:$C$3390,$A298,'United Data'!$B$3:$B$3390,"&lt;&gt;Off-street")&gt;0,1,0)</f>
        <v>0</v>
      </c>
      <c r="Q298">
        <f>IF(COUNTIFS('United Data'!$A$3:$A$3390,Q$1,'United Data'!$C$3:$C$3390,$A298,'United Data'!$B$3:$B$3390,"&lt;&gt;Off-street")&gt;0,1,0)</f>
        <v>0</v>
      </c>
      <c r="R298">
        <f>IF(COUNTIFS('United Data'!$A$3:$A$3390,R$1,'United Data'!$C$3:$C$3390,$A298,'United Data'!$B$3:$B$3390,"&lt;&gt;Off-street")&gt;0,1,0)</f>
        <v>0</v>
      </c>
      <c r="S298">
        <f t="shared" si="8"/>
        <v>1</v>
      </c>
      <c r="T298">
        <f t="shared" si="9"/>
        <v>1</v>
      </c>
    </row>
    <row r="299" spans="1:20" x14ac:dyDescent="0.2">
      <c r="A299" t="s">
        <v>387</v>
      </c>
      <c r="B299">
        <f>IF(COUNTIFS('United Data'!$A$3:$A$3390,B$1,'United Data'!$C$3:$C$3390,$A299,'United Data'!$B$3:$B$3390,"&lt;&gt;Off-street")&gt;0,1,0)</f>
        <v>0</v>
      </c>
      <c r="C299">
        <f>IF(COUNTIFS('United Data'!$A$3:$A$3390,C$1,'United Data'!$C$3:$C$3390,$A299,'United Data'!$B$3:$B$3390,"&lt;&gt;Off-street")&gt;0,1,0)</f>
        <v>0</v>
      </c>
      <c r="D299">
        <f>IF(COUNTIFS('United Data'!$A$3:$A$3390,D$1,'United Data'!$C$3:$C$3390,$A299,'United Data'!$B$3:$B$3390,"&lt;&gt;Off-street")&gt;0,1,0)</f>
        <v>0</v>
      </c>
      <c r="E299">
        <f>IF(COUNTIFS('United Data'!$A$3:$A$3390,E$1,'United Data'!$C$3:$C$3390,$A299,'United Data'!$B$3:$B$3390,"&lt;&gt;Off-street")&gt;0,1,0)</f>
        <v>0</v>
      </c>
      <c r="F299">
        <f>IF(COUNTIFS('United Data'!$A$3:$A$3390,F$1,'United Data'!$C$3:$C$3390,$A299,'United Data'!$B$3:$B$3390,"&lt;&gt;Off-street")&gt;0,1,0)</f>
        <v>0</v>
      </c>
      <c r="G299">
        <f>IF(COUNTIFS('United Data'!$A$3:$A$3390,G$1,'United Data'!$C$3:$C$3390,$A299,'United Data'!$B$3:$B$3390,"&lt;&gt;Off-street")&gt;0,1,0)</f>
        <v>0</v>
      </c>
      <c r="H299">
        <f>IF(COUNTIFS('United Data'!$A$3:$A$3390,H$1,'United Data'!$C$3:$C$3390,$A299,'United Data'!$B$3:$B$3390,"&lt;&gt;Off-street")&gt;0,1,0)</f>
        <v>1</v>
      </c>
      <c r="I299">
        <f>IF(COUNTIFS('United Data'!$A$3:$A$3390,I$1,'United Data'!$C$3:$C$3390,$A299,'United Data'!$B$3:$B$3390,"&lt;&gt;Off-street")&gt;0,1,0)</f>
        <v>0</v>
      </c>
      <c r="J299">
        <f>IF(COUNTIFS('United Data'!$A$3:$A$3390,J$1,'United Data'!$C$3:$C$3390,$A299,'United Data'!$B$3:$B$3390,"&lt;&gt;Off-street")&gt;0,1,0)</f>
        <v>0</v>
      </c>
      <c r="K299">
        <f>IF(COUNTIFS('United Data'!$A$3:$A$3390,K$1,'United Data'!$C$3:$C$3390,$A299,'United Data'!$B$3:$B$3390,"&lt;&gt;Off-street")&gt;0,1,0)</f>
        <v>0</v>
      </c>
      <c r="L299">
        <f>IF(COUNTIFS('United Data'!$A$3:$A$3390,L$1,'United Data'!$C$3:$C$3390,$A299,'United Data'!$B$3:$B$3390,"&lt;&gt;Off-street")&gt;0,1,0)</f>
        <v>0</v>
      </c>
      <c r="M299">
        <f>IF(COUNTIFS('United Data'!$A$3:$A$3390,M$1,'United Data'!$C$3:$C$3390,$A299,'United Data'!$B$3:$B$3390,"&lt;&gt;Off-street")&gt;0,1,0)</f>
        <v>0</v>
      </c>
      <c r="N299">
        <f>IF(COUNTIFS('United Data'!$A$3:$A$3390,N$1,'United Data'!$C$3:$C$3390,$A299,'United Data'!$B$3:$B$3390,"&lt;&gt;Off-street")&gt;0,1,0)</f>
        <v>0</v>
      </c>
      <c r="O299">
        <f>IF(COUNTIFS('United Data'!$A$3:$A$3390,O$1,'United Data'!$C$3:$C$3390,$A299,'United Data'!$B$3:$B$3390,"&lt;&gt;Off-street")&gt;0,1,0)</f>
        <v>0</v>
      </c>
      <c r="P299">
        <f>IF(COUNTIFS('United Data'!$A$3:$A$3390,P$1,'United Data'!$C$3:$C$3390,$A299,'United Data'!$B$3:$B$3390,"&lt;&gt;Off-street")&gt;0,1,0)</f>
        <v>0</v>
      </c>
      <c r="Q299">
        <f>IF(COUNTIFS('United Data'!$A$3:$A$3390,Q$1,'United Data'!$C$3:$C$3390,$A299,'United Data'!$B$3:$B$3390,"&lt;&gt;Off-street")&gt;0,1,0)</f>
        <v>0</v>
      </c>
      <c r="R299">
        <f>IF(COUNTIFS('United Data'!$A$3:$A$3390,R$1,'United Data'!$C$3:$C$3390,$A299,'United Data'!$B$3:$B$3390,"&lt;&gt;Off-street")&gt;0,1,0)</f>
        <v>0</v>
      </c>
      <c r="S299">
        <f t="shared" si="8"/>
        <v>1</v>
      </c>
      <c r="T299">
        <f t="shared" si="9"/>
        <v>1</v>
      </c>
    </row>
    <row r="300" spans="1:20" x14ac:dyDescent="0.2">
      <c r="A300" t="s">
        <v>388</v>
      </c>
      <c r="B300">
        <f>IF(COUNTIFS('United Data'!$A$3:$A$3390,B$1,'United Data'!$C$3:$C$3390,$A300,'United Data'!$B$3:$B$3390,"&lt;&gt;Off-street")&gt;0,1,0)</f>
        <v>0</v>
      </c>
      <c r="C300">
        <f>IF(COUNTIFS('United Data'!$A$3:$A$3390,C$1,'United Data'!$C$3:$C$3390,$A300,'United Data'!$B$3:$B$3390,"&lt;&gt;Off-street")&gt;0,1,0)</f>
        <v>0</v>
      </c>
      <c r="D300">
        <f>IF(COUNTIFS('United Data'!$A$3:$A$3390,D$1,'United Data'!$C$3:$C$3390,$A300,'United Data'!$B$3:$B$3390,"&lt;&gt;Off-street")&gt;0,1,0)</f>
        <v>0</v>
      </c>
      <c r="E300">
        <f>IF(COUNTIFS('United Data'!$A$3:$A$3390,E$1,'United Data'!$C$3:$C$3390,$A300,'United Data'!$B$3:$B$3390,"&lt;&gt;Off-street")&gt;0,1,0)</f>
        <v>0</v>
      </c>
      <c r="F300">
        <f>IF(COUNTIFS('United Data'!$A$3:$A$3390,F$1,'United Data'!$C$3:$C$3390,$A300,'United Data'!$B$3:$B$3390,"&lt;&gt;Off-street")&gt;0,1,0)</f>
        <v>0</v>
      </c>
      <c r="G300">
        <f>IF(COUNTIFS('United Data'!$A$3:$A$3390,G$1,'United Data'!$C$3:$C$3390,$A300,'United Data'!$B$3:$B$3390,"&lt;&gt;Off-street")&gt;0,1,0)</f>
        <v>0</v>
      </c>
      <c r="H300">
        <f>IF(COUNTIFS('United Data'!$A$3:$A$3390,H$1,'United Data'!$C$3:$C$3390,$A300,'United Data'!$B$3:$B$3390,"&lt;&gt;Off-street")&gt;0,1,0)</f>
        <v>1</v>
      </c>
      <c r="I300">
        <f>IF(COUNTIFS('United Data'!$A$3:$A$3390,I$1,'United Data'!$C$3:$C$3390,$A300,'United Data'!$B$3:$B$3390,"&lt;&gt;Off-street")&gt;0,1,0)</f>
        <v>0</v>
      </c>
      <c r="J300">
        <f>IF(COUNTIFS('United Data'!$A$3:$A$3390,J$1,'United Data'!$C$3:$C$3390,$A300,'United Data'!$B$3:$B$3390,"&lt;&gt;Off-street")&gt;0,1,0)</f>
        <v>0</v>
      </c>
      <c r="K300">
        <f>IF(COUNTIFS('United Data'!$A$3:$A$3390,K$1,'United Data'!$C$3:$C$3390,$A300,'United Data'!$B$3:$B$3390,"&lt;&gt;Off-street")&gt;0,1,0)</f>
        <v>0</v>
      </c>
      <c r="L300">
        <f>IF(COUNTIFS('United Data'!$A$3:$A$3390,L$1,'United Data'!$C$3:$C$3390,$A300,'United Data'!$B$3:$B$3390,"&lt;&gt;Off-street")&gt;0,1,0)</f>
        <v>0</v>
      </c>
      <c r="M300">
        <f>IF(COUNTIFS('United Data'!$A$3:$A$3390,M$1,'United Data'!$C$3:$C$3390,$A300,'United Data'!$B$3:$B$3390,"&lt;&gt;Off-street")&gt;0,1,0)</f>
        <v>0</v>
      </c>
      <c r="N300">
        <f>IF(COUNTIFS('United Data'!$A$3:$A$3390,N$1,'United Data'!$C$3:$C$3390,$A300,'United Data'!$B$3:$B$3390,"&lt;&gt;Off-street")&gt;0,1,0)</f>
        <v>0</v>
      </c>
      <c r="O300">
        <f>IF(COUNTIFS('United Data'!$A$3:$A$3390,O$1,'United Data'!$C$3:$C$3390,$A300,'United Data'!$B$3:$B$3390,"&lt;&gt;Off-street")&gt;0,1,0)</f>
        <v>0</v>
      </c>
      <c r="P300">
        <f>IF(COUNTIFS('United Data'!$A$3:$A$3390,P$1,'United Data'!$C$3:$C$3390,$A300,'United Data'!$B$3:$B$3390,"&lt;&gt;Off-street")&gt;0,1,0)</f>
        <v>0</v>
      </c>
      <c r="Q300">
        <f>IF(COUNTIFS('United Data'!$A$3:$A$3390,Q$1,'United Data'!$C$3:$C$3390,$A300,'United Data'!$B$3:$B$3390,"&lt;&gt;Off-street")&gt;0,1,0)</f>
        <v>0</v>
      </c>
      <c r="R300">
        <f>IF(COUNTIFS('United Data'!$A$3:$A$3390,R$1,'United Data'!$C$3:$C$3390,$A300,'United Data'!$B$3:$B$3390,"&lt;&gt;Off-street")&gt;0,1,0)</f>
        <v>0</v>
      </c>
      <c r="S300">
        <f t="shared" si="8"/>
        <v>1</v>
      </c>
      <c r="T300">
        <f t="shared" si="9"/>
        <v>1</v>
      </c>
    </row>
    <row r="301" spans="1:20" x14ac:dyDescent="0.2">
      <c r="A301" t="s">
        <v>389</v>
      </c>
      <c r="B301">
        <f>IF(COUNTIFS('United Data'!$A$3:$A$3390,B$1,'United Data'!$C$3:$C$3390,$A301,'United Data'!$B$3:$B$3390,"&lt;&gt;Off-street")&gt;0,1,0)</f>
        <v>0</v>
      </c>
      <c r="C301">
        <f>IF(COUNTIFS('United Data'!$A$3:$A$3390,C$1,'United Data'!$C$3:$C$3390,$A301,'United Data'!$B$3:$B$3390,"&lt;&gt;Off-street")&gt;0,1,0)</f>
        <v>0</v>
      </c>
      <c r="D301">
        <f>IF(COUNTIFS('United Data'!$A$3:$A$3390,D$1,'United Data'!$C$3:$C$3390,$A301,'United Data'!$B$3:$B$3390,"&lt;&gt;Off-street")&gt;0,1,0)</f>
        <v>0</v>
      </c>
      <c r="E301">
        <f>IF(COUNTIFS('United Data'!$A$3:$A$3390,E$1,'United Data'!$C$3:$C$3390,$A301,'United Data'!$B$3:$B$3390,"&lt;&gt;Off-street")&gt;0,1,0)</f>
        <v>0</v>
      </c>
      <c r="F301">
        <f>IF(COUNTIFS('United Data'!$A$3:$A$3390,F$1,'United Data'!$C$3:$C$3390,$A301,'United Data'!$B$3:$B$3390,"&lt;&gt;Off-street")&gt;0,1,0)</f>
        <v>0</v>
      </c>
      <c r="G301">
        <f>IF(COUNTIFS('United Data'!$A$3:$A$3390,G$1,'United Data'!$C$3:$C$3390,$A301,'United Data'!$B$3:$B$3390,"&lt;&gt;Off-street")&gt;0,1,0)</f>
        <v>0</v>
      </c>
      <c r="H301">
        <f>IF(COUNTIFS('United Data'!$A$3:$A$3390,H$1,'United Data'!$C$3:$C$3390,$A301,'United Data'!$B$3:$B$3390,"&lt;&gt;Off-street")&gt;0,1,0)</f>
        <v>0</v>
      </c>
      <c r="I301">
        <f>IF(COUNTIFS('United Data'!$A$3:$A$3390,I$1,'United Data'!$C$3:$C$3390,$A301,'United Data'!$B$3:$B$3390,"&lt;&gt;Off-street")&gt;0,1,0)</f>
        <v>1</v>
      </c>
      <c r="J301">
        <f>IF(COUNTIFS('United Data'!$A$3:$A$3390,J$1,'United Data'!$C$3:$C$3390,$A301,'United Data'!$B$3:$B$3390,"&lt;&gt;Off-street")&gt;0,1,0)</f>
        <v>0</v>
      </c>
      <c r="K301">
        <f>IF(COUNTIFS('United Data'!$A$3:$A$3390,K$1,'United Data'!$C$3:$C$3390,$A301,'United Data'!$B$3:$B$3390,"&lt;&gt;Off-street")&gt;0,1,0)</f>
        <v>0</v>
      </c>
      <c r="L301">
        <f>IF(COUNTIFS('United Data'!$A$3:$A$3390,L$1,'United Data'!$C$3:$C$3390,$A301,'United Data'!$B$3:$B$3390,"&lt;&gt;Off-street")&gt;0,1,0)</f>
        <v>0</v>
      </c>
      <c r="M301">
        <f>IF(COUNTIFS('United Data'!$A$3:$A$3390,M$1,'United Data'!$C$3:$C$3390,$A301,'United Data'!$B$3:$B$3390,"&lt;&gt;Off-street")&gt;0,1,0)</f>
        <v>0</v>
      </c>
      <c r="N301">
        <f>IF(COUNTIFS('United Data'!$A$3:$A$3390,N$1,'United Data'!$C$3:$C$3390,$A301,'United Data'!$B$3:$B$3390,"&lt;&gt;Off-street")&gt;0,1,0)</f>
        <v>0</v>
      </c>
      <c r="O301">
        <f>IF(COUNTIFS('United Data'!$A$3:$A$3390,O$1,'United Data'!$C$3:$C$3390,$A301,'United Data'!$B$3:$B$3390,"&lt;&gt;Off-street")&gt;0,1,0)</f>
        <v>0</v>
      </c>
      <c r="P301">
        <f>IF(COUNTIFS('United Data'!$A$3:$A$3390,P$1,'United Data'!$C$3:$C$3390,$A301,'United Data'!$B$3:$B$3390,"&lt;&gt;Off-street")&gt;0,1,0)</f>
        <v>0</v>
      </c>
      <c r="Q301">
        <f>IF(COUNTIFS('United Data'!$A$3:$A$3390,Q$1,'United Data'!$C$3:$C$3390,$A301,'United Data'!$B$3:$B$3390,"&lt;&gt;Off-street")&gt;0,1,0)</f>
        <v>0</v>
      </c>
      <c r="R301">
        <f>IF(COUNTIFS('United Data'!$A$3:$A$3390,R$1,'United Data'!$C$3:$C$3390,$A301,'United Data'!$B$3:$B$3390,"&lt;&gt;Off-street")&gt;0,1,0)</f>
        <v>0</v>
      </c>
      <c r="S301">
        <f t="shared" si="8"/>
        <v>1</v>
      </c>
      <c r="T301">
        <f t="shared" si="9"/>
        <v>1</v>
      </c>
    </row>
    <row r="302" spans="1:20" x14ac:dyDescent="0.2">
      <c r="A302" t="s">
        <v>390</v>
      </c>
      <c r="B302">
        <f>IF(COUNTIFS('United Data'!$A$3:$A$3390,B$1,'United Data'!$C$3:$C$3390,$A302,'United Data'!$B$3:$B$3390,"&lt;&gt;Off-street")&gt;0,1,0)</f>
        <v>0</v>
      </c>
      <c r="C302">
        <f>IF(COUNTIFS('United Data'!$A$3:$A$3390,C$1,'United Data'!$C$3:$C$3390,$A302,'United Data'!$B$3:$B$3390,"&lt;&gt;Off-street")&gt;0,1,0)</f>
        <v>0</v>
      </c>
      <c r="D302">
        <f>IF(COUNTIFS('United Data'!$A$3:$A$3390,D$1,'United Data'!$C$3:$C$3390,$A302,'United Data'!$B$3:$B$3390,"&lt;&gt;Off-street")&gt;0,1,0)</f>
        <v>0</v>
      </c>
      <c r="E302">
        <f>IF(COUNTIFS('United Data'!$A$3:$A$3390,E$1,'United Data'!$C$3:$C$3390,$A302,'United Data'!$B$3:$B$3390,"&lt;&gt;Off-street")&gt;0,1,0)</f>
        <v>0</v>
      </c>
      <c r="F302">
        <f>IF(COUNTIFS('United Data'!$A$3:$A$3390,F$1,'United Data'!$C$3:$C$3390,$A302,'United Data'!$B$3:$B$3390,"&lt;&gt;Off-street")&gt;0,1,0)</f>
        <v>0</v>
      </c>
      <c r="G302">
        <f>IF(COUNTIFS('United Data'!$A$3:$A$3390,G$1,'United Data'!$C$3:$C$3390,$A302,'United Data'!$B$3:$B$3390,"&lt;&gt;Off-street")&gt;0,1,0)</f>
        <v>0</v>
      </c>
      <c r="H302">
        <f>IF(COUNTIFS('United Data'!$A$3:$A$3390,H$1,'United Data'!$C$3:$C$3390,$A302,'United Data'!$B$3:$B$3390,"&lt;&gt;Off-street")&gt;0,1,0)</f>
        <v>0</v>
      </c>
      <c r="I302">
        <f>IF(COUNTIFS('United Data'!$A$3:$A$3390,I$1,'United Data'!$C$3:$C$3390,$A302,'United Data'!$B$3:$B$3390,"&lt;&gt;Off-street")&gt;0,1,0)</f>
        <v>1</v>
      </c>
      <c r="J302">
        <f>IF(COUNTIFS('United Data'!$A$3:$A$3390,J$1,'United Data'!$C$3:$C$3390,$A302,'United Data'!$B$3:$B$3390,"&lt;&gt;Off-street")&gt;0,1,0)</f>
        <v>0</v>
      </c>
      <c r="K302">
        <f>IF(COUNTIFS('United Data'!$A$3:$A$3390,K$1,'United Data'!$C$3:$C$3390,$A302,'United Data'!$B$3:$B$3390,"&lt;&gt;Off-street")&gt;0,1,0)</f>
        <v>0</v>
      </c>
      <c r="L302">
        <f>IF(COUNTIFS('United Data'!$A$3:$A$3390,L$1,'United Data'!$C$3:$C$3390,$A302,'United Data'!$B$3:$B$3390,"&lt;&gt;Off-street")&gt;0,1,0)</f>
        <v>0</v>
      </c>
      <c r="M302">
        <f>IF(COUNTIFS('United Data'!$A$3:$A$3390,M$1,'United Data'!$C$3:$C$3390,$A302,'United Data'!$B$3:$B$3390,"&lt;&gt;Off-street")&gt;0,1,0)</f>
        <v>0</v>
      </c>
      <c r="N302">
        <f>IF(COUNTIFS('United Data'!$A$3:$A$3390,N$1,'United Data'!$C$3:$C$3390,$A302,'United Data'!$B$3:$B$3390,"&lt;&gt;Off-street")&gt;0,1,0)</f>
        <v>0</v>
      </c>
      <c r="O302">
        <f>IF(COUNTIFS('United Data'!$A$3:$A$3390,O$1,'United Data'!$C$3:$C$3390,$A302,'United Data'!$B$3:$B$3390,"&lt;&gt;Off-street")&gt;0,1,0)</f>
        <v>0</v>
      </c>
      <c r="P302">
        <f>IF(COUNTIFS('United Data'!$A$3:$A$3390,P$1,'United Data'!$C$3:$C$3390,$A302,'United Data'!$B$3:$B$3390,"&lt;&gt;Off-street")&gt;0,1,0)</f>
        <v>0</v>
      </c>
      <c r="Q302">
        <f>IF(COUNTIFS('United Data'!$A$3:$A$3390,Q$1,'United Data'!$C$3:$C$3390,$A302,'United Data'!$B$3:$B$3390,"&lt;&gt;Off-street")&gt;0,1,0)</f>
        <v>0</v>
      </c>
      <c r="R302">
        <f>IF(COUNTIFS('United Data'!$A$3:$A$3390,R$1,'United Data'!$C$3:$C$3390,$A302,'United Data'!$B$3:$B$3390,"&lt;&gt;Off-street")&gt;0,1,0)</f>
        <v>0</v>
      </c>
      <c r="S302">
        <f t="shared" si="8"/>
        <v>1</v>
      </c>
      <c r="T302">
        <f t="shared" si="9"/>
        <v>1</v>
      </c>
    </row>
    <row r="303" spans="1:20" x14ac:dyDescent="0.2">
      <c r="A303" t="s">
        <v>391</v>
      </c>
      <c r="B303">
        <f>IF(COUNTIFS('United Data'!$A$3:$A$3390,B$1,'United Data'!$C$3:$C$3390,$A303,'United Data'!$B$3:$B$3390,"&lt;&gt;Off-street")&gt;0,1,0)</f>
        <v>0</v>
      </c>
      <c r="C303">
        <f>IF(COUNTIFS('United Data'!$A$3:$A$3390,C$1,'United Data'!$C$3:$C$3390,$A303,'United Data'!$B$3:$B$3390,"&lt;&gt;Off-street")&gt;0,1,0)</f>
        <v>0</v>
      </c>
      <c r="D303">
        <f>IF(COUNTIFS('United Data'!$A$3:$A$3390,D$1,'United Data'!$C$3:$C$3390,$A303,'United Data'!$B$3:$B$3390,"&lt;&gt;Off-street")&gt;0,1,0)</f>
        <v>0</v>
      </c>
      <c r="E303">
        <f>IF(COUNTIFS('United Data'!$A$3:$A$3390,E$1,'United Data'!$C$3:$C$3390,$A303,'United Data'!$B$3:$B$3390,"&lt;&gt;Off-street")&gt;0,1,0)</f>
        <v>0</v>
      </c>
      <c r="F303">
        <f>IF(COUNTIFS('United Data'!$A$3:$A$3390,F$1,'United Data'!$C$3:$C$3390,$A303,'United Data'!$B$3:$B$3390,"&lt;&gt;Off-street")&gt;0,1,0)</f>
        <v>0</v>
      </c>
      <c r="G303">
        <f>IF(COUNTIFS('United Data'!$A$3:$A$3390,G$1,'United Data'!$C$3:$C$3390,$A303,'United Data'!$B$3:$B$3390,"&lt;&gt;Off-street")&gt;0,1,0)</f>
        <v>0</v>
      </c>
      <c r="H303">
        <f>IF(COUNTIFS('United Data'!$A$3:$A$3390,H$1,'United Data'!$C$3:$C$3390,$A303,'United Data'!$B$3:$B$3390,"&lt;&gt;Off-street")&gt;0,1,0)</f>
        <v>0</v>
      </c>
      <c r="I303">
        <f>IF(COUNTIFS('United Data'!$A$3:$A$3390,I$1,'United Data'!$C$3:$C$3390,$A303,'United Data'!$B$3:$B$3390,"&lt;&gt;Off-street")&gt;0,1,0)</f>
        <v>1</v>
      </c>
      <c r="J303">
        <f>IF(COUNTIFS('United Data'!$A$3:$A$3390,J$1,'United Data'!$C$3:$C$3390,$A303,'United Data'!$B$3:$B$3390,"&lt;&gt;Off-street")&gt;0,1,0)</f>
        <v>0</v>
      </c>
      <c r="K303">
        <f>IF(COUNTIFS('United Data'!$A$3:$A$3390,K$1,'United Data'!$C$3:$C$3390,$A303,'United Data'!$B$3:$B$3390,"&lt;&gt;Off-street")&gt;0,1,0)</f>
        <v>0</v>
      </c>
      <c r="L303">
        <f>IF(COUNTIFS('United Data'!$A$3:$A$3390,L$1,'United Data'!$C$3:$C$3390,$A303,'United Data'!$B$3:$B$3390,"&lt;&gt;Off-street")&gt;0,1,0)</f>
        <v>0</v>
      </c>
      <c r="M303">
        <f>IF(COUNTIFS('United Data'!$A$3:$A$3390,M$1,'United Data'!$C$3:$C$3390,$A303,'United Data'!$B$3:$B$3390,"&lt;&gt;Off-street")&gt;0,1,0)</f>
        <v>0</v>
      </c>
      <c r="N303">
        <f>IF(COUNTIFS('United Data'!$A$3:$A$3390,N$1,'United Data'!$C$3:$C$3390,$A303,'United Data'!$B$3:$B$3390,"&lt;&gt;Off-street")&gt;0,1,0)</f>
        <v>0</v>
      </c>
      <c r="O303">
        <f>IF(COUNTIFS('United Data'!$A$3:$A$3390,O$1,'United Data'!$C$3:$C$3390,$A303,'United Data'!$B$3:$B$3390,"&lt;&gt;Off-street")&gt;0,1,0)</f>
        <v>0</v>
      </c>
      <c r="P303">
        <f>IF(COUNTIFS('United Data'!$A$3:$A$3390,P$1,'United Data'!$C$3:$C$3390,$A303,'United Data'!$B$3:$B$3390,"&lt;&gt;Off-street")&gt;0,1,0)</f>
        <v>0</v>
      </c>
      <c r="Q303">
        <f>IF(COUNTIFS('United Data'!$A$3:$A$3390,Q$1,'United Data'!$C$3:$C$3390,$A303,'United Data'!$B$3:$B$3390,"&lt;&gt;Off-street")&gt;0,1,0)</f>
        <v>0</v>
      </c>
      <c r="R303">
        <f>IF(COUNTIFS('United Data'!$A$3:$A$3390,R$1,'United Data'!$C$3:$C$3390,$A303,'United Data'!$B$3:$B$3390,"&lt;&gt;Off-street")&gt;0,1,0)</f>
        <v>0</v>
      </c>
      <c r="S303">
        <f t="shared" si="8"/>
        <v>1</v>
      </c>
      <c r="T303">
        <f t="shared" si="9"/>
        <v>1</v>
      </c>
    </row>
    <row r="304" spans="1:20" x14ac:dyDescent="0.2">
      <c r="A304" t="s">
        <v>392</v>
      </c>
      <c r="B304">
        <f>IF(COUNTIFS('United Data'!$A$3:$A$3390,B$1,'United Data'!$C$3:$C$3390,$A304,'United Data'!$B$3:$B$3390,"&lt;&gt;Off-street")&gt;0,1,0)</f>
        <v>0</v>
      </c>
      <c r="C304">
        <f>IF(COUNTIFS('United Data'!$A$3:$A$3390,C$1,'United Data'!$C$3:$C$3390,$A304,'United Data'!$B$3:$B$3390,"&lt;&gt;Off-street")&gt;0,1,0)</f>
        <v>0</v>
      </c>
      <c r="D304">
        <f>IF(COUNTIFS('United Data'!$A$3:$A$3390,D$1,'United Data'!$C$3:$C$3390,$A304,'United Data'!$B$3:$B$3390,"&lt;&gt;Off-street")&gt;0,1,0)</f>
        <v>0</v>
      </c>
      <c r="E304">
        <f>IF(COUNTIFS('United Data'!$A$3:$A$3390,E$1,'United Data'!$C$3:$C$3390,$A304,'United Data'!$B$3:$B$3390,"&lt;&gt;Off-street")&gt;0,1,0)</f>
        <v>0</v>
      </c>
      <c r="F304">
        <f>IF(COUNTIFS('United Data'!$A$3:$A$3390,F$1,'United Data'!$C$3:$C$3390,$A304,'United Data'!$B$3:$B$3390,"&lt;&gt;Off-street")&gt;0,1,0)</f>
        <v>0</v>
      </c>
      <c r="G304">
        <f>IF(COUNTIFS('United Data'!$A$3:$A$3390,G$1,'United Data'!$C$3:$C$3390,$A304,'United Data'!$B$3:$B$3390,"&lt;&gt;Off-street")&gt;0,1,0)</f>
        <v>1</v>
      </c>
      <c r="H304">
        <f>IF(COUNTIFS('United Data'!$A$3:$A$3390,H$1,'United Data'!$C$3:$C$3390,$A304,'United Data'!$B$3:$B$3390,"&lt;&gt;Off-street")&gt;0,1,0)</f>
        <v>1</v>
      </c>
      <c r="I304">
        <f>IF(COUNTIFS('United Data'!$A$3:$A$3390,I$1,'United Data'!$C$3:$C$3390,$A304,'United Data'!$B$3:$B$3390,"&lt;&gt;Off-street")&gt;0,1,0)</f>
        <v>1</v>
      </c>
      <c r="J304">
        <f>IF(COUNTIFS('United Data'!$A$3:$A$3390,J$1,'United Data'!$C$3:$C$3390,$A304,'United Data'!$B$3:$B$3390,"&lt;&gt;Off-street")&gt;0,1,0)</f>
        <v>1</v>
      </c>
      <c r="K304">
        <f>IF(COUNTIFS('United Data'!$A$3:$A$3390,K$1,'United Data'!$C$3:$C$3390,$A304,'United Data'!$B$3:$B$3390,"&lt;&gt;Off-street")&gt;0,1,0)</f>
        <v>0</v>
      </c>
      <c r="L304">
        <f>IF(COUNTIFS('United Data'!$A$3:$A$3390,L$1,'United Data'!$C$3:$C$3390,$A304,'United Data'!$B$3:$B$3390,"&lt;&gt;Off-street")&gt;0,1,0)</f>
        <v>0</v>
      </c>
      <c r="M304">
        <f>IF(COUNTIFS('United Data'!$A$3:$A$3390,M$1,'United Data'!$C$3:$C$3390,$A304,'United Data'!$B$3:$B$3390,"&lt;&gt;Off-street")&gt;0,1,0)</f>
        <v>0</v>
      </c>
      <c r="N304">
        <f>IF(COUNTIFS('United Data'!$A$3:$A$3390,N$1,'United Data'!$C$3:$C$3390,$A304,'United Data'!$B$3:$B$3390,"&lt;&gt;Off-street")&gt;0,1,0)</f>
        <v>0</v>
      </c>
      <c r="O304">
        <f>IF(COUNTIFS('United Data'!$A$3:$A$3390,O$1,'United Data'!$C$3:$C$3390,$A304,'United Data'!$B$3:$B$3390,"&lt;&gt;Off-street")&gt;0,1,0)</f>
        <v>1</v>
      </c>
      <c r="P304">
        <f>IF(COUNTIFS('United Data'!$A$3:$A$3390,P$1,'United Data'!$C$3:$C$3390,$A304,'United Data'!$B$3:$B$3390,"&lt;&gt;Off-street")&gt;0,1,0)</f>
        <v>1</v>
      </c>
      <c r="Q304">
        <f>IF(COUNTIFS('United Data'!$A$3:$A$3390,Q$1,'United Data'!$C$3:$C$3390,$A304,'United Data'!$B$3:$B$3390,"&lt;&gt;Off-street")&gt;0,1,0)</f>
        <v>0</v>
      </c>
      <c r="R304">
        <f>IF(COUNTIFS('United Data'!$A$3:$A$3390,R$1,'United Data'!$C$3:$C$3390,$A304,'United Data'!$B$3:$B$3390,"&lt;&gt;Off-street")&gt;0,1,0)</f>
        <v>0</v>
      </c>
      <c r="S304">
        <f t="shared" si="8"/>
        <v>6</v>
      </c>
      <c r="T304">
        <f t="shared" si="9"/>
        <v>2</v>
      </c>
    </row>
    <row r="305" spans="1:20" x14ac:dyDescent="0.2">
      <c r="A305" t="s">
        <v>393</v>
      </c>
      <c r="B305">
        <f>IF(COUNTIFS('United Data'!$A$3:$A$3390,B$1,'United Data'!$C$3:$C$3390,$A305,'United Data'!$B$3:$B$3390,"&lt;&gt;Off-street")&gt;0,1,0)</f>
        <v>0</v>
      </c>
      <c r="C305">
        <f>IF(COUNTIFS('United Data'!$A$3:$A$3390,C$1,'United Data'!$C$3:$C$3390,$A305,'United Data'!$B$3:$B$3390,"&lt;&gt;Off-street")&gt;0,1,0)</f>
        <v>0</v>
      </c>
      <c r="D305">
        <f>IF(COUNTIFS('United Data'!$A$3:$A$3390,D$1,'United Data'!$C$3:$C$3390,$A305,'United Data'!$B$3:$B$3390,"&lt;&gt;Off-street")&gt;0,1,0)</f>
        <v>0</v>
      </c>
      <c r="E305">
        <f>IF(COUNTIFS('United Data'!$A$3:$A$3390,E$1,'United Data'!$C$3:$C$3390,$A305,'United Data'!$B$3:$B$3390,"&lt;&gt;Off-street")&gt;0,1,0)</f>
        <v>0</v>
      </c>
      <c r="F305">
        <f>IF(COUNTIFS('United Data'!$A$3:$A$3390,F$1,'United Data'!$C$3:$C$3390,$A305,'United Data'!$B$3:$B$3390,"&lt;&gt;Off-street")&gt;0,1,0)</f>
        <v>0</v>
      </c>
      <c r="G305">
        <f>IF(COUNTIFS('United Data'!$A$3:$A$3390,G$1,'United Data'!$C$3:$C$3390,$A305,'United Data'!$B$3:$B$3390,"&lt;&gt;Off-street")&gt;0,1,0)</f>
        <v>0</v>
      </c>
      <c r="H305">
        <f>IF(COUNTIFS('United Data'!$A$3:$A$3390,H$1,'United Data'!$C$3:$C$3390,$A305,'United Data'!$B$3:$B$3390,"&lt;&gt;Off-street")&gt;0,1,0)</f>
        <v>0</v>
      </c>
      <c r="I305">
        <f>IF(COUNTIFS('United Data'!$A$3:$A$3390,I$1,'United Data'!$C$3:$C$3390,$A305,'United Data'!$B$3:$B$3390,"&lt;&gt;Off-street")&gt;0,1,0)</f>
        <v>1</v>
      </c>
      <c r="J305">
        <f>IF(COUNTIFS('United Data'!$A$3:$A$3390,J$1,'United Data'!$C$3:$C$3390,$A305,'United Data'!$B$3:$B$3390,"&lt;&gt;Off-street")&gt;0,1,0)</f>
        <v>0</v>
      </c>
      <c r="K305">
        <f>IF(COUNTIFS('United Data'!$A$3:$A$3390,K$1,'United Data'!$C$3:$C$3390,$A305,'United Data'!$B$3:$B$3390,"&lt;&gt;Off-street")&gt;0,1,0)</f>
        <v>0</v>
      </c>
      <c r="L305">
        <f>IF(COUNTIFS('United Data'!$A$3:$A$3390,L$1,'United Data'!$C$3:$C$3390,$A305,'United Data'!$B$3:$B$3390,"&lt;&gt;Off-street")&gt;0,1,0)</f>
        <v>0</v>
      </c>
      <c r="M305">
        <f>IF(COUNTIFS('United Data'!$A$3:$A$3390,M$1,'United Data'!$C$3:$C$3390,$A305,'United Data'!$B$3:$B$3390,"&lt;&gt;Off-street")&gt;0,1,0)</f>
        <v>0</v>
      </c>
      <c r="N305">
        <f>IF(COUNTIFS('United Data'!$A$3:$A$3390,N$1,'United Data'!$C$3:$C$3390,$A305,'United Data'!$B$3:$B$3390,"&lt;&gt;Off-street")&gt;0,1,0)</f>
        <v>0</v>
      </c>
      <c r="O305">
        <f>IF(COUNTIFS('United Data'!$A$3:$A$3390,O$1,'United Data'!$C$3:$C$3390,$A305,'United Data'!$B$3:$B$3390,"&lt;&gt;Off-street")&gt;0,1,0)</f>
        <v>0</v>
      </c>
      <c r="P305">
        <f>IF(COUNTIFS('United Data'!$A$3:$A$3390,P$1,'United Data'!$C$3:$C$3390,$A305,'United Data'!$B$3:$B$3390,"&lt;&gt;Off-street")&gt;0,1,0)</f>
        <v>0</v>
      </c>
      <c r="Q305">
        <f>IF(COUNTIFS('United Data'!$A$3:$A$3390,Q$1,'United Data'!$C$3:$C$3390,$A305,'United Data'!$B$3:$B$3390,"&lt;&gt;Off-street")&gt;0,1,0)</f>
        <v>0</v>
      </c>
      <c r="R305">
        <f>IF(COUNTIFS('United Data'!$A$3:$A$3390,R$1,'United Data'!$C$3:$C$3390,$A305,'United Data'!$B$3:$B$3390,"&lt;&gt;Off-street")&gt;0,1,0)</f>
        <v>0</v>
      </c>
      <c r="S305">
        <f t="shared" si="8"/>
        <v>1</v>
      </c>
      <c r="T305">
        <f t="shared" si="9"/>
        <v>1</v>
      </c>
    </row>
    <row r="306" spans="1:20" x14ac:dyDescent="0.2">
      <c r="A306" t="s">
        <v>395</v>
      </c>
      <c r="B306">
        <f>IF(COUNTIFS('United Data'!$A$3:$A$3390,B$1,'United Data'!$C$3:$C$3390,$A306,'United Data'!$B$3:$B$3390,"&lt;&gt;Off-street")&gt;0,1,0)</f>
        <v>0</v>
      </c>
      <c r="C306">
        <f>IF(COUNTIFS('United Data'!$A$3:$A$3390,C$1,'United Data'!$C$3:$C$3390,$A306,'United Data'!$B$3:$B$3390,"&lt;&gt;Off-street")&gt;0,1,0)</f>
        <v>0</v>
      </c>
      <c r="D306">
        <f>IF(COUNTIFS('United Data'!$A$3:$A$3390,D$1,'United Data'!$C$3:$C$3390,$A306,'United Data'!$B$3:$B$3390,"&lt;&gt;Off-street")&gt;0,1,0)</f>
        <v>0</v>
      </c>
      <c r="E306">
        <f>IF(COUNTIFS('United Data'!$A$3:$A$3390,E$1,'United Data'!$C$3:$C$3390,$A306,'United Data'!$B$3:$B$3390,"&lt;&gt;Off-street")&gt;0,1,0)</f>
        <v>0</v>
      </c>
      <c r="F306">
        <f>IF(COUNTIFS('United Data'!$A$3:$A$3390,F$1,'United Data'!$C$3:$C$3390,$A306,'United Data'!$B$3:$B$3390,"&lt;&gt;Off-street")&gt;0,1,0)</f>
        <v>0</v>
      </c>
      <c r="G306">
        <f>IF(COUNTIFS('United Data'!$A$3:$A$3390,G$1,'United Data'!$C$3:$C$3390,$A306,'United Data'!$B$3:$B$3390,"&lt;&gt;Off-street")&gt;0,1,0)</f>
        <v>0</v>
      </c>
      <c r="H306">
        <f>IF(COUNTIFS('United Data'!$A$3:$A$3390,H$1,'United Data'!$C$3:$C$3390,$A306,'United Data'!$B$3:$B$3390,"&lt;&gt;Off-street")&gt;0,1,0)</f>
        <v>0</v>
      </c>
      <c r="I306">
        <f>IF(COUNTIFS('United Data'!$A$3:$A$3390,I$1,'United Data'!$C$3:$C$3390,$A306,'United Data'!$B$3:$B$3390,"&lt;&gt;Off-street")&gt;0,1,0)</f>
        <v>0</v>
      </c>
      <c r="J306">
        <f>IF(COUNTIFS('United Data'!$A$3:$A$3390,J$1,'United Data'!$C$3:$C$3390,$A306,'United Data'!$B$3:$B$3390,"&lt;&gt;Off-street")&gt;0,1,0)</f>
        <v>1</v>
      </c>
      <c r="K306">
        <f>IF(COUNTIFS('United Data'!$A$3:$A$3390,K$1,'United Data'!$C$3:$C$3390,$A306,'United Data'!$B$3:$B$3390,"&lt;&gt;Off-street")&gt;0,1,0)</f>
        <v>0</v>
      </c>
      <c r="L306">
        <f>IF(COUNTIFS('United Data'!$A$3:$A$3390,L$1,'United Data'!$C$3:$C$3390,$A306,'United Data'!$B$3:$B$3390,"&lt;&gt;Off-street")&gt;0,1,0)</f>
        <v>0</v>
      </c>
      <c r="M306">
        <f>IF(COUNTIFS('United Data'!$A$3:$A$3390,M$1,'United Data'!$C$3:$C$3390,$A306,'United Data'!$B$3:$B$3390,"&lt;&gt;Off-street")&gt;0,1,0)</f>
        <v>0</v>
      </c>
      <c r="N306">
        <f>IF(COUNTIFS('United Data'!$A$3:$A$3390,N$1,'United Data'!$C$3:$C$3390,$A306,'United Data'!$B$3:$B$3390,"&lt;&gt;Off-street")&gt;0,1,0)</f>
        <v>0</v>
      </c>
      <c r="O306">
        <f>IF(COUNTIFS('United Data'!$A$3:$A$3390,O$1,'United Data'!$C$3:$C$3390,$A306,'United Data'!$B$3:$B$3390,"&lt;&gt;Off-street")&gt;0,1,0)</f>
        <v>0</v>
      </c>
      <c r="P306">
        <f>IF(COUNTIFS('United Data'!$A$3:$A$3390,P$1,'United Data'!$C$3:$C$3390,$A306,'United Data'!$B$3:$B$3390,"&lt;&gt;Off-street")&gt;0,1,0)</f>
        <v>0</v>
      </c>
      <c r="Q306">
        <f>IF(COUNTIFS('United Data'!$A$3:$A$3390,Q$1,'United Data'!$C$3:$C$3390,$A306,'United Data'!$B$3:$B$3390,"&lt;&gt;Off-street")&gt;0,1,0)</f>
        <v>0</v>
      </c>
      <c r="R306">
        <f>IF(COUNTIFS('United Data'!$A$3:$A$3390,R$1,'United Data'!$C$3:$C$3390,$A306,'United Data'!$B$3:$B$3390,"&lt;&gt;Off-street")&gt;0,1,0)</f>
        <v>0</v>
      </c>
      <c r="S306">
        <f t="shared" si="8"/>
        <v>1</v>
      </c>
      <c r="T306">
        <f t="shared" si="9"/>
        <v>1</v>
      </c>
    </row>
    <row r="307" spans="1:20" x14ac:dyDescent="0.2">
      <c r="A307" t="s">
        <v>396</v>
      </c>
      <c r="B307">
        <f>IF(COUNTIFS('United Data'!$A$3:$A$3390,B$1,'United Data'!$C$3:$C$3390,$A307,'United Data'!$B$3:$B$3390,"&lt;&gt;Off-street")&gt;0,1,0)</f>
        <v>0</v>
      </c>
      <c r="C307">
        <f>IF(COUNTIFS('United Data'!$A$3:$A$3390,C$1,'United Data'!$C$3:$C$3390,$A307,'United Data'!$B$3:$B$3390,"&lt;&gt;Off-street")&gt;0,1,0)</f>
        <v>0</v>
      </c>
      <c r="D307">
        <f>IF(COUNTIFS('United Data'!$A$3:$A$3390,D$1,'United Data'!$C$3:$C$3390,$A307,'United Data'!$B$3:$B$3390,"&lt;&gt;Off-street")&gt;0,1,0)</f>
        <v>0</v>
      </c>
      <c r="E307">
        <f>IF(COUNTIFS('United Data'!$A$3:$A$3390,E$1,'United Data'!$C$3:$C$3390,$A307,'United Data'!$B$3:$B$3390,"&lt;&gt;Off-street")&gt;0,1,0)</f>
        <v>0</v>
      </c>
      <c r="F307">
        <f>IF(COUNTIFS('United Data'!$A$3:$A$3390,F$1,'United Data'!$C$3:$C$3390,$A307,'United Data'!$B$3:$B$3390,"&lt;&gt;Off-street")&gt;0,1,0)</f>
        <v>0</v>
      </c>
      <c r="G307">
        <f>IF(COUNTIFS('United Data'!$A$3:$A$3390,G$1,'United Data'!$C$3:$C$3390,$A307,'United Data'!$B$3:$B$3390,"&lt;&gt;Off-street")&gt;0,1,0)</f>
        <v>0</v>
      </c>
      <c r="H307">
        <f>IF(COUNTIFS('United Data'!$A$3:$A$3390,H$1,'United Data'!$C$3:$C$3390,$A307,'United Data'!$B$3:$B$3390,"&lt;&gt;Off-street")&gt;0,1,0)</f>
        <v>0</v>
      </c>
      <c r="I307">
        <f>IF(COUNTIFS('United Data'!$A$3:$A$3390,I$1,'United Data'!$C$3:$C$3390,$A307,'United Data'!$B$3:$B$3390,"&lt;&gt;Off-street")&gt;0,1,0)</f>
        <v>0</v>
      </c>
      <c r="J307">
        <f>IF(COUNTIFS('United Data'!$A$3:$A$3390,J$1,'United Data'!$C$3:$C$3390,$A307,'United Data'!$B$3:$B$3390,"&lt;&gt;Off-street")&gt;0,1,0)</f>
        <v>0</v>
      </c>
      <c r="K307">
        <f>IF(COUNTIFS('United Data'!$A$3:$A$3390,K$1,'United Data'!$C$3:$C$3390,$A307,'United Data'!$B$3:$B$3390,"&lt;&gt;Off-street")&gt;0,1,0)</f>
        <v>1</v>
      </c>
      <c r="L307">
        <f>IF(COUNTIFS('United Data'!$A$3:$A$3390,L$1,'United Data'!$C$3:$C$3390,$A307,'United Data'!$B$3:$B$3390,"&lt;&gt;Off-street")&gt;0,1,0)</f>
        <v>0</v>
      </c>
      <c r="M307">
        <f>IF(COUNTIFS('United Data'!$A$3:$A$3390,M$1,'United Data'!$C$3:$C$3390,$A307,'United Data'!$B$3:$B$3390,"&lt;&gt;Off-street")&gt;0,1,0)</f>
        <v>0</v>
      </c>
      <c r="N307">
        <f>IF(COUNTIFS('United Data'!$A$3:$A$3390,N$1,'United Data'!$C$3:$C$3390,$A307,'United Data'!$B$3:$B$3390,"&lt;&gt;Off-street")&gt;0,1,0)</f>
        <v>0</v>
      </c>
      <c r="O307">
        <f>IF(COUNTIFS('United Data'!$A$3:$A$3390,O$1,'United Data'!$C$3:$C$3390,$A307,'United Data'!$B$3:$B$3390,"&lt;&gt;Off-street")&gt;0,1,0)</f>
        <v>0</v>
      </c>
      <c r="P307">
        <f>IF(COUNTIFS('United Data'!$A$3:$A$3390,P$1,'United Data'!$C$3:$C$3390,$A307,'United Data'!$B$3:$B$3390,"&lt;&gt;Off-street")&gt;0,1,0)</f>
        <v>0</v>
      </c>
      <c r="Q307">
        <f>IF(COUNTIFS('United Data'!$A$3:$A$3390,Q$1,'United Data'!$C$3:$C$3390,$A307,'United Data'!$B$3:$B$3390,"&lt;&gt;Off-street")&gt;0,1,0)</f>
        <v>0</v>
      </c>
      <c r="R307">
        <f>IF(COUNTIFS('United Data'!$A$3:$A$3390,R$1,'United Data'!$C$3:$C$3390,$A307,'United Data'!$B$3:$B$3390,"&lt;&gt;Off-street")&gt;0,1,0)</f>
        <v>0</v>
      </c>
      <c r="S307">
        <f t="shared" si="8"/>
        <v>1</v>
      </c>
      <c r="T307">
        <f t="shared" si="9"/>
        <v>1</v>
      </c>
    </row>
    <row r="308" spans="1:20" x14ac:dyDescent="0.2">
      <c r="A308" t="s">
        <v>397</v>
      </c>
      <c r="B308">
        <f>IF(COUNTIFS('United Data'!$A$3:$A$3390,B$1,'United Data'!$C$3:$C$3390,$A308,'United Data'!$B$3:$B$3390,"&lt;&gt;Off-street")&gt;0,1,0)</f>
        <v>0</v>
      </c>
      <c r="C308">
        <f>IF(COUNTIFS('United Data'!$A$3:$A$3390,C$1,'United Data'!$C$3:$C$3390,$A308,'United Data'!$B$3:$B$3390,"&lt;&gt;Off-street")&gt;0,1,0)</f>
        <v>0</v>
      </c>
      <c r="D308">
        <f>IF(COUNTIFS('United Data'!$A$3:$A$3390,D$1,'United Data'!$C$3:$C$3390,$A308,'United Data'!$B$3:$B$3390,"&lt;&gt;Off-street")&gt;0,1,0)</f>
        <v>0</v>
      </c>
      <c r="E308">
        <f>IF(COUNTIFS('United Data'!$A$3:$A$3390,E$1,'United Data'!$C$3:$C$3390,$A308,'United Data'!$B$3:$B$3390,"&lt;&gt;Off-street")&gt;0,1,0)</f>
        <v>0</v>
      </c>
      <c r="F308">
        <f>IF(COUNTIFS('United Data'!$A$3:$A$3390,F$1,'United Data'!$C$3:$C$3390,$A308,'United Data'!$B$3:$B$3390,"&lt;&gt;Off-street")&gt;0,1,0)</f>
        <v>0</v>
      </c>
      <c r="G308">
        <f>IF(COUNTIFS('United Data'!$A$3:$A$3390,G$1,'United Data'!$C$3:$C$3390,$A308,'United Data'!$B$3:$B$3390,"&lt;&gt;Off-street")&gt;0,1,0)</f>
        <v>0</v>
      </c>
      <c r="H308">
        <f>IF(COUNTIFS('United Data'!$A$3:$A$3390,H$1,'United Data'!$C$3:$C$3390,$A308,'United Data'!$B$3:$B$3390,"&lt;&gt;Off-street")&gt;0,1,0)</f>
        <v>0</v>
      </c>
      <c r="I308">
        <f>IF(COUNTIFS('United Data'!$A$3:$A$3390,I$1,'United Data'!$C$3:$C$3390,$A308,'United Data'!$B$3:$B$3390,"&lt;&gt;Off-street")&gt;0,1,0)</f>
        <v>0</v>
      </c>
      <c r="J308">
        <f>IF(COUNTIFS('United Data'!$A$3:$A$3390,J$1,'United Data'!$C$3:$C$3390,$A308,'United Data'!$B$3:$B$3390,"&lt;&gt;Off-street")&gt;0,1,0)</f>
        <v>0</v>
      </c>
      <c r="K308">
        <f>IF(COUNTIFS('United Data'!$A$3:$A$3390,K$1,'United Data'!$C$3:$C$3390,$A308,'United Data'!$B$3:$B$3390,"&lt;&gt;Off-street")&gt;0,1,0)</f>
        <v>1</v>
      </c>
      <c r="L308">
        <f>IF(COUNTIFS('United Data'!$A$3:$A$3390,L$1,'United Data'!$C$3:$C$3390,$A308,'United Data'!$B$3:$B$3390,"&lt;&gt;Off-street")&gt;0,1,0)</f>
        <v>0</v>
      </c>
      <c r="M308">
        <f>IF(COUNTIFS('United Data'!$A$3:$A$3390,M$1,'United Data'!$C$3:$C$3390,$A308,'United Data'!$B$3:$B$3390,"&lt;&gt;Off-street")&gt;0,1,0)</f>
        <v>0</v>
      </c>
      <c r="N308">
        <f>IF(COUNTIFS('United Data'!$A$3:$A$3390,N$1,'United Data'!$C$3:$C$3390,$A308,'United Data'!$B$3:$B$3390,"&lt;&gt;Off-street")&gt;0,1,0)</f>
        <v>0</v>
      </c>
      <c r="O308">
        <f>IF(COUNTIFS('United Data'!$A$3:$A$3390,O$1,'United Data'!$C$3:$C$3390,$A308,'United Data'!$B$3:$B$3390,"&lt;&gt;Off-street")&gt;0,1,0)</f>
        <v>0</v>
      </c>
      <c r="P308">
        <f>IF(COUNTIFS('United Data'!$A$3:$A$3390,P$1,'United Data'!$C$3:$C$3390,$A308,'United Data'!$B$3:$B$3390,"&lt;&gt;Off-street")&gt;0,1,0)</f>
        <v>0</v>
      </c>
      <c r="Q308">
        <f>IF(COUNTIFS('United Data'!$A$3:$A$3390,Q$1,'United Data'!$C$3:$C$3390,$A308,'United Data'!$B$3:$B$3390,"&lt;&gt;Off-street")&gt;0,1,0)</f>
        <v>0</v>
      </c>
      <c r="R308">
        <f>IF(COUNTIFS('United Data'!$A$3:$A$3390,R$1,'United Data'!$C$3:$C$3390,$A308,'United Data'!$B$3:$B$3390,"&lt;&gt;Off-street")&gt;0,1,0)</f>
        <v>0</v>
      </c>
      <c r="S308">
        <f t="shared" si="8"/>
        <v>1</v>
      </c>
      <c r="T308">
        <f t="shared" si="9"/>
        <v>1</v>
      </c>
    </row>
    <row r="309" spans="1:20" x14ac:dyDescent="0.2">
      <c r="A309" t="s">
        <v>398</v>
      </c>
      <c r="B309">
        <f>IF(COUNTIFS('United Data'!$A$3:$A$3390,B$1,'United Data'!$C$3:$C$3390,$A309,'United Data'!$B$3:$B$3390,"&lt;&gt;Off-street")&gt;0,1,0)</f>
        <v>0</v>
      </c>
      <c r="C309">
        <f>IF(COUNTIFS('United Data'!$A$3:$A$3390,C$1,'United Data'!$C$3:$C$3390,$A309,'United Data'!$B$3:$B$3390,"&lt;&gt;Off-street")&gt;0,1,0)</f>
        <v>0</v>
      </c>
      <c r="D309">
        <f>IF(COUNTIFS('United Data'!$A$3:$A$3390,D$1,'United Data'!$C$3:$C$3390,$A309,'United Data'!$B$3:$B$3390,"&lt;&gt;Off-street")&gt;0,1,0)</f>
        <v>0</v>
      </c>
      <c r="E309">
        <f>IF(COUNTIFS('United Data'!$A$3:$A$3390,E$1,'United Data'!$C$3:$C$3390,$A309,'United Data'!$B$3:$B$3390,"&lt;&gt;Off-street")&gt;0,1,0)</f>
        <v>0</v>
      </c>
      <c r="F309">
        <f>IF(COUNTIFS('United Data'!$A$3:$A$3390,F$1,'United Data'!$C$3:$C$3390,$A309,'United Data'!$B$3:$B$3390,"&lt;&gt;Off-street")&gt;0,1,0)</f>
        <v>0</v>
      </c>
      <c r="G309">
        <f>IF(COUNTIFS('United Data'!$A$3:$A$3390,G$1,'United Data'!$C$3:$C$3390,$A309,'United Data'!$B$3:$B$3390,"&lt;&gt;Off-street")&gt;0,1,0)</f>
        <v>1</v>
      </c>
      <c r="H309">
        <f>IF(COUNTIFS('United Data'!$A$3:$A$3390,H$1,'United Data'!$C$3:$C$3390,$A309,'United Data'!$B$3:$B$3390,"&lt;&gt;Off-street")&gt;0,1,0)</f>
        <v>0</v>
      </c>
      <c r="I309">
        <f>IF(COUNTIFS('United Data'!$A$3:$A$3390,I$1,'United Data'!$C$3:$C$3390,$A309,'United Data'!$B$3:$B$3390,"&lt;&gt;Off-street")&gt;0,1,0)</f>
        <v>0</v>
      </c>
      <c r="J309">
        <f>IF(COUNTIFS('United Data'!$A$3:$A$3390,J$1,'United Data'!$C$3:$C$3390,$A309,'United Data'!$B$3:$B$3390,"&lt;&gt;Off-street")&gt;0,1,0)</f>
        <v>0</v>
      </c>
      <c r="K309">
        <f>IF(COUNTIFS('United Data'!$A$3:$A$3390,K$1,'United Data'!$C$3:$C$3390,$A309,'United Data'!$B$3:$B$3390,"&lt;&gt;Off-street")&gt;0,1,0)</f>
        <v>1</v>
      </c>
      <c r="L309">
        <f>IF(COUNTIFS('United Data'!$A$3:$A$3390,L$1,'United Data'!$C$3:$C$3390,$A309,'United Data'!$B$3:$B$3390,"&lt;&gt;Off-street")&gt;0,1,0)</f>
        <v>0</v>
      </c>
      <c r="M309">
        <f>IF(COUNTIFS('United Data'!$A$3:$A$3390,M$1,'United Data'!$C$3:$C$3390,$A309,'United Data'!$B$3:$B$3390,"&lt;&gt;Off-street")&gt;0,1,0)</f>
        <v>0</v>
      </c>
      <c r="N309">
        <f>IF(COUNTIFS('United Data'!$A$3:$A$3390,N$1,'United Data'!$C$3:$C$3390,$A309,'United Data'!$B$3:$B$3390,"&lt;&gt;Off-street")&gt;0,1,0)</f>
        <v>0</v>
      </c>
      <c r="O309">
        <f>IF(COUNTIFS('United Data'!$A$3:$A$3390,O$1,'United Data'!$C$3:$C$3390,$A309,'United Data'!$B$3:$B$3390,"&lt;&gt;Off-street")&gt;0,1,0)</f>
        <v>0</v>
      </c>
      <c r="P309">
        <f>IF(COUNTIFS('United Data'!$A$3:$A$3390,P$1,'United Data'!$C$3:$C$3390,$A309,'United Data'!$B$3:$B$3390,"&lt;&gt;Off-street")&gt;0,1,0)</f>
        <v>0</v>
      </c>
      <c r="Q309">
        <f>IF(COUNTIFS('United Data'!$A$3:$A$3390,Q$1,'United Data'!$C$3:$C$3390,$A309,'United Data'!$B$3:$B$3390,"&lt;&gt;Off-street")&gt;0,1,0)</f>
        <v>0</v>
      </c>
      <c r="R309">
        <f>IF(COUNTIFS('United Data'!$A$3:$A$3390,R$1,'United Data'!$C$3:$C$3390,$A309,'United Data'!$B$3:$B$3390,"&lt;&gt;Off-street")&gt;0,1,0)</f>
        <v>0</v>
      </c>
      <c r="S309">
        <f t="shared" si="8"/>
        <v>2</v>
      </c>
      <c r="T309">
        <f t="shared" si="9"/>
        <v>2</v>
      </c>
    </row>
    <row r="310" spans="1:20" x14ac:dyDescent="0.2">
      <c r="A310" t="s">
        <v>399</v>
      </c>
      <c r="B310">
        <f>IF(COUNTIFS('United Data'!$A$3:$A$3390,B$1,'United Data'!$C$3:$C$3390,$A310,'United Data'!$B$3:$B$3390,"&lt;&gt;Off-street")&gt;0,1,0)</f>
        <v>0</v>
      </c>
      <c r="C310">
        <f>IF(COUNTIFS('United Data'!$A$3:$A$3390,C$1,'United Data'!$C$3:$C$3390,$A310,'United Data'!$B$3:$B$3390,"&lt;&gt;Off-street")&gt;0,1,0)</f>
        <v>0</v>
      </c>
      <c r="D310">
        <f>IF(COUNTIFS('United Data'!$A$3:$A$3390,D$1,'United Data'!$C$3:$C$3390,$A310,'United Data'!$B$3:$B$3390,"&lt;&gt;Off-street")&gt;0,1,0)</f>
        <v>0</v>
      </c>
      <c r="E310">
        <f>IF(COUNTIFS('United Data'!$A$3:$A$3390,E$1,'United Data'!$C$3:$C$3390,$A310,'United Data'!$B$3:$B$3390,"&lt;&gt;Off-street")&gt;0,1,0)</f>
        <v>0</v>
      </c>
      <c r="F310">
        <f>IF(COUNTIFS('United Data'!$A$3:$A$3390,F$1,'United Data'!$C$3:$C$3390,$A310,'United Data'!$B$3:$B$3390,"&lt;&gt;Off-street")&gt;0,1,0)</f>
        <v>0</v>
      </c>
      <c r="G310">
        <f>IF(COUNTIFS('United Data'!$A$3:$A$3390,G$1,'United Data'!$C$3:$C$3390,$A310,'United Data'!$B$3:$B$3390,"&lt;&gt;Off-street")&gt;0,1,0)</f>
        <v>0</v>
      </c>
      <c r="H310">
        <f>IF(COUNTIFS('United Data'!$A$3:$A$3390,H$1,'United Data'!$C$3:$C$3390,$A310,'United Data'!$B$3:$B$3390,"&lt;&gt;Off-street")&gt;0,1,0)</f>
        <v>0</v>
      </c>
      <c r="I310">
        <f>IF(COUNTIFS('United Data'!$A$3:$A$3390,I$1,'United Data'!$C$3:$C$3390,$A310,'United Data'!$B$3:$B$3390,"&lt;&gt;Off-street")&gt;0,1,0)</f>
        <v>0</v>
      </c>
      <c r="J310">
        <f>IF(COUNTIFS('United Data'!$A$3:$A$3390,J$1,'United Data'!$C$3:$C$3390,$A310,'United Data'!$B$3:$B$3390,"&lt;&gt;Off-street")&gt;0,1,0)</f>
        <v>0</v>
      </c>
      <c r="K310">
        <f>IF(COUNTIFS('United Data'!$A$3:$A$3390,K$1,'United Data'!$C$3:$C$3390,$A310,'United Data'!$B$3:$B$3390,"&lt;&gt;Off-street")&gt;0,1,0)</f>
        <v>1</v>
      </c>
      <c r="L310">
        <f>IF(COUNTIFS('United Data'!$A$3:$A$3390,L$1,'United Data'!$C$3:$C$3390,$A310,'United Data'!$B$3:$B$3390,"&lt;&gt;Off-street")&gt;0,1,0)</f>
        <v>0</v>
      </c>
      <c r="M310">
        <f>IF(COUNTIFS('United Data'!$A$3:$A$3390,M$1,'United Data'!$C$3:$C$3390,$A310,'United Data'!$B$3:$B$3390,"&lt;&gt;Off-street")&gt;0,1,0)</f>
        <v>0</v>
      </c>
      <c r="N310">
        <f>IF(COUNTIFS('United Data'!$A$3:$A$3390,N$1,'United Data'!$C$3:$C$3390,$A310,'United Data'!$B$3:$B$3390,"&lt;&gt;Off-street")&gt;0,1,0)</f>
        <v>0</v>
      </c>
      <c r="O310">
        <f>IF(COUNTIFS('United Data'!$A$3:$A$3390,O$1,'United Data'!$C$3:$C$3390,$A310,'United Data'!$B$3:$B$3390,"&lt;&gt;Off-street")&gt;0,1,0)</f>
        <v>0</v>
      </c>
      <c r="P310">
        <f>IF(COUNTIFS('United Data'!$A$3:$A$3390,P$1,'United Data'!$C$3:$C$3390,$A310,'United Data'!$B$3:$B$3390,"&lt;&gt;Off-street")&gt;0,1,0)</f>
        <v>0</v>
      </c>
      <c r="Q310">
        <f>IF(COUNTIFS('United Data'!$A$3:$A$3390,Q$1,'United Data'!$C$3:$C$3390,$A310,'United Data'!$B$3:$B$3390,"&lt;&gt;Off-street")&gt;0,1,0)</f>
        <v>0</v>
      </c>
      <c r="R310">
        <f>IF(COUNTIFS('United Data'!$A$3:$A$3390,R$1,'United Data'!$C$3:$C$3390,$A310,'United Data'!$B$3:$B$3390,"&lt;&gt;Off-street")&gt;0,1,0)</f>
        <v>0</v>
      </c>
      <c r="S310">
        <f t="shared" si="8"/>
        <v>1</v>
      </c>
      <c r="T310">
        <f t="shared" si="9"/>
        <v>1</v>
      </c>
    </row>
    <row r="311" spans="1:20" x14ac:dyDescent="0.2">
      <c r="A311" t="s">
        <v>400</v>
      </c>
      <c r="B311">
        <f>IF(COUNTIFS('United Data'!$A$3:$A$3390,B$1,'United Data'!$C$3:$C$3390,$A311,'United Data'!$B$3:$B$3390,"&lt;&gt;Off-street")&gt;0,1,0)</f>
        <v>0</v>
      </c>
      <c r="C311">
        <f>IF(COUNTIFS('United Data'!$A$3:$A$3390,C$1,'United Data'!$C$3:$C$3390,$A311,'United Data'!$B$3:$B$3390,"&lt;&gt;Off-street")&gt;0,1,0)</f>
        <v>0</v>
      </c>
      <c r="D311">
        <f>IF(COUNTIFS('United Data'!$A$3:$A$3390,D$1,'United Data'!$C$3:$C$3390,$A311,'United Data'!$B$3:$B$3390,"&lt;&gt;Off-street")&gt;0,1,0)</f>
        <v>0</v>
      </c>
      <c r="E311">
        <f>IF(COUNTIFS('United Data'!$A$3:$A$3390,E$1,'United Data'!$C$3:$C$3390,$A311,'United Data'!$B$3:$B$3390,"&lt;&gt;Off-street")&gt;0,1,0)</f>
        <v>0</v>
      </c>
      <c r="F311">
        <f>IF(COUNTIFS('United Data'!$A$3:$A$3390,F$1,'United Data'!$C$3:$C$3390,$A311,'United Data'!$B$3:$B$3390,"&lt;&gt;Off-street")&gt;0,1,0)</f>
        <v>0</v>
      </c>
      <c r="G311">
        <f>IF(COUNTIFS('United Data'!$A$3:$A$3390,G$1,'United Data'!$C$3:$C$3390,$A311,'United Data'!$B$3:$B$3390,"&lt;&gt;Off-street")&gt;0,1,0)</f>
        <v>0</v>
      </c>
      <c r="H311">
        <f>IF(COUNTIFS('United Data'!$A$3:$A$3390,H$1,'United Data'!$C$3:$C$3390,$A311,'United Data'!$B$3:$B$3390,"&lt;&gt;Off-street")&gt;0,1,0)</f>
        <v>0</v>
      </c>
      <c r="I311">
        <f>IF(COUNTIFS('United Data'!$A$3:$A$3390,I$1,'United Data'!$C$3:$C$3390,$A311,'United Data'!$B$3:$B$3390,"&lt;&gt;Off-street")&gt;0,1,0)</f>
        <v>0</v>
      </c>
      <c r="J311">
        <f>IF(COUNTIFS('United Data'!$A$3:$A$3390,J$1,'United Data'!$C$3:$C$3390,$A311,'United Data'!$B$3:$B$3390,"&lt;&gt;Off-street")&gt;0,1,0)</f>
        <v>0</v>
      </c>
      <c r="K311">
        <f>IF(COUNTIFS('United Data'!$A$3:$A$3390,K$1,'United Data'!$C$3:$C$3390,$A311,'United Data'!$B$3:$B$3390,"&lt;&gt;Off-street")&gt;0,1,0)</f>
        <v>0</v>
      </c>
      <c r="L311">
        <f>IF(COUNTIFS('United Data'!$A$3:$A$3390,L$1,'United Data'!$C$3:$C$3390,$A311,'United Data'!$B$3:$B$3390,"&lt;&gt;Off-street")&gt;0,1,0)</f>
        <v>1</v>
      </c>
      <c r="M311">
        <f>IF(COUNTIFS('United Data'!$A$3:$A$3390,M$1,'United Data'!$C$3:$C$3390,$A311,'United Data'!$B$3:$B$3390,"&lt;&gt;Off-street")&gt;0,1,0)</f>
        <v>0</v>
      </c>
      <c r="N311">
        <f>IF(COUNTIFS('United Data'!$A$3:$A$3390,N$1,'United Data'!$C$3:$C$3390,$A311,'United Data'!$B$3:$B$3390,"&lt;&gt;Off-street")&gt;0,1,0)</f>
        <v>0</v>
      </c>
      <c r="O311">
        <f>IF(COUNTIFS('United Data'!$A$3:$A$3390,O$1,'United Data'!$C$3:$C$3390,$A311,'United Data'!$B$3:$B$3390,"&lt;&gt;Off-street")&gt;0,1,0)</f>
        <v>0</v>
      </c>
      <c r="P311">
        <f>IF(COUNTIFS('United Data'!$A$3:$A$3390,P$1,'United Data'!$C$3:$C$3390,$A311,'United Data'!$B$3:$B$3390,"&lt;&gt;Off-street")&gt;0,1,0)</f>
        <v>0</v>
      </c>
      <c r="Q311">
        <f>IF(COUNTIFS('United Data'!$A$3:$A$3390,Q$1,'United Data'!$C$3:$C$3390,$A311,'United Data'!$B$3:$B$3390,"&lt;&gt;Off-street")&gt;0,1,0)</f>
        <v>0</v>
      </c>
      <c r="R311">
        <f>IF(COUNTIFS('United Data'!$A$3:$A$3390,R$1,'United Data'!$C$3:$C$3390,$A311,'United Data'!$B$3:$B$3390,"&lt;&gt;Off-street")&gt;0,1,0)</f>
        <v>0</v>
      </c>
      <c r="S311">
        <f t="shared" si="8"/>
        <v>1</v>
      </c>
      <c r="T311">
        <f t="shared" si="9"/>
        <v>1</v>
      </c>
    </row>
    <row r="312" spans="1:20" x14ac:dyDescent="0.2">
      <c r="A312" t="s">
        <v>401</v>
      </c>
      <c r="B312">
        <f>IF(COUNTIFS('United Data'!$A$3:$A$3390,B$1,'United Data'!$C$3:$C$3390,$A312,'United Data'!$B$3:$B$3390,"&lt;&gt;Off-street")&gt;0,1,0)</f>
        <v>0</v>
      </c>
      <c r="C312">
        <f>IF(COUNTIFS('United Data'!$A$3:$A$3390,C$1,'United Data'!$C$3:$C$3390,$A312,'United Data'!$B$3:$B$3390,"&lt;&gt;Off-street")&gt;0,1,0)</f>
        <v>0</v>
      </c>
      <c r="D312">
        <f>IF(COUNTIFS('United Data'!$A$3:$A$3390,D$1,'United Data'!$C$3:$C$3390,$A312,'United Data'!$B$3:$B$3390,"&lt;&gt;Off-street")&gt;0,1,0)</f>
        <v>0</v>
      </c>
      <c r="E312">
        <f>IF(COUNTIFS('United Data'!$A$3:$A$3390,E$1,'United Data'!$C$3:$C$3390,$A312,'United Data'!$B$3:$B$3390,"&lt;&gt;Off-street")&gt;0,1,0)</f>
        <v>0</v>
      </c>
      <c r="F312">
        <f>IF(COUNTIFS('United Data'!$A$3:$A$3390,F$1,'United Data'!$C$3:$C$3390,$A312,'United Data'!$B$3:$B$3390,"&lt;&gt;Off-street")&gt;0,1,0)</f>
        <v>0</v>
      </c>
      <c r="G312">
        <f>IF(COUNTIFS('United Data'!$A$3:$A$3390,G$1,'United Data'!$C$3:$C$3390,$A312,'United Data'!$B$3:$B$3390,"&lt;&gt;Off-street")&gt;0,1,0)</f>
        <v>0</v>
      </c>
      <c r="H312">
        <f>IF(COUNTIFS('United Data'!$A$3:$A$3390,H$1,'United Data'!$C$3:$C$3390,$A312,'United Data'!$B$3:$B$3390,"&lt;&gt;Off-street")&gt;0,1,0)</f>
        <v>0</v>
      </c>
      <c r="I312">
        <f>IF(COUNTIFS('United Data'!$A$3:$A$3390,I$1,'United Data'!$C$3:$C$3390,$A312,'United Data'!$B$3:$B$3390,"&lt;&gt;Off-street")&gt;0,1,0)</f>
        <v>0</v>
      </c>
      <c r="J312">
        <f>IF(COUNTIFS('United Data'!$A$3:$A$3390,J$1,'United Data'!$C$3:$C$3390,$A312,'United Data'!$B$3:$B$3390,"&lt;&gt;Off-street")&gt;0,1,0)</f>
        <v>0</v>
      </c>
      <c r="K312">
        <f>IF(COUNTIFS('United Data'!$A$3:$A$3390,K$1,'United Data'!$C$3:$C$3390,$A312,'United Data'!$B$3:$B$3390,"&lt;&gt;Off-street")&gt;0,1,0)</f>
        <v>0</v>
      </c>
      <c r="L312">
        <f>IF(COUNTIFS('United Data'!$A$3:$A$3390,L$1,'United Data'!$C$3:$C$3390,$A312,'United Data'!$B$3:$B$3390,"&lt;&gt;Off-street")&gt;0,1,0)</f>
        <v>1</v>
      </c>
      <c r="M312">
        <f>IF(COUNTIFS('United Data'!$A$3:$A$3390,M$1,'United Data'!$C$3:$C$3390,$A312,'United Data'!$B$3:$B$3390,"&lt;&gt;Off-street")&gt;0,1,0)</f>
        <v>0</v>
      </c>
      <c r="N312">
        <f>IF(COUNTIFS('United Data'!$A$3:$A$3390,N$1,'United Data'!$C$3:$C$3390,$A312,'United Data'!$B$3:$B$3390,"&lt;&gt;Off-street")&gt;0,1,0)</f>
        <v>0</v>
      </c>
      <c r="O312">
        <f>IF(COUNTIFS('United Data'!$A$3:$A$3390,O$1,'United Data'!$C$3:$C$3390,$A312,'United Data'!$B$3:$B$3390,"&lt;&gt;Off-street")&gt;0,1,0)</f>
        <v>0</v>
      </c>
      <c r="P312">
        <f>IF(COUNTIFS('United Data'!$A$3:$A$3390,P$1,'United Data'!$C$3:$C$3390,$A312,'United Data'!$B$3:$B$3390,"&lt;&gt;Off-street")&gt;0,1,0)</f>
        <v>0</v>
      </c>
      <c r="Q312">
        <f>IF(COUNTIFS('United Data'!$A$3:$A$3390,Q$1,'United Data'!$C$3:$C$3390,$A312,'United Data'!$B$3:$B$3390,"&lt;&gt;Off-street")&gt;0,1,0)</f>
        <v>0</v>
      </c>
      <c r="R312">
        <f>IF(COUNTIFS('United Data'!$A$3:$A$3390,R$1,'United Data'!$C$3:$C$3390,$A312,'United Data'!$B$3:$B$3390,"&lt;&gt;Off-street")&gt;0,1,0)</f>
        <v>0</v>
      </c>
      <c r="S312">
        <f t="shared" si="8"/>
        <v>1</v>
      </c>
      <c r="T312">
        <f t="shared" si="9"/>
        <v>1</v>
      </c>
    </row>
    <row r="313" spans="1:20" x14ac:dyDescent="0.2">
      <c r="A313" t="s">
        <v>402</v>
      </c>
      <c r="B313">
        <f>IF(COUNTIFS('United Data'!$A$3:$A$3390,B$1,'United Data'!$C$3:$C$3390,$A313,'United Data'!$B$3:$B$3390,"&lt;&gt;Off-street")&gt;0,1,0)</f>
        <v>0</v>
      </c>
      <c r="C313">
        <f>IF(COUNTIFS('United Data'!$A$3:$A$3390,C$1,'United Data'!$C$3:$C$3390,$A313,'United Data'!$B$3:$B$3390,"&lt;&gt;Off-street")&gt;0,1,0)</f>
        <v>0</v>
      </c>
      <c r="D313">
        <f>IF(COUNTIFS('United Data'!$A$3:$A$3390,D$1,'United Data'!$C$3:$C$3390,$A313,'United Data'!$B$3:$B$3390,"&lt;&gt;Off-street")&gt;0,1,0)</f>
        <v>1</v>
      </c>
      <c r="E313">
        <f>IF(COUNTIFS('United Data'!$A$3:$A$3390,E$1,'United Data'!$C$3:$C$3390,$A313,'United Data'!$B$3:$B$3390,"&lt;&gt;Off-street")&gt;0,1,0)</f>
        <v>0</v>
      </c>
      <c r="F313">
        <f>IF(COUNTIFS('United Data'!$A$3:$A$3390,F$1,'United Data'!$C$3:$C$3390,$A313,'United Data'!$B$3:$B$3390,"&lt;&gt;Off-street")&gt;0,1,0)</f>
        <v>0</v>
      </c>
      <c r="G313">
        <f>IF(COUNTIFS('United Data'!$A$3:$A$3390,G$1,'United Data'!$C$3:$C$3390,$A313,'United Data'!$B$3:$B$3390,"&lt;&gt;Off-street")&gt;0,1,0)</f>
        <v>0</v>
      </c>
      <c r="H313">
        <f>IF(COUNTIFS('United Data'!$A$3:$A$3390,H$1,'United Data'!$C$3:$C$3390,$A313,'United Data'!$B$3:$B$3390,"&lt;&gt;Off-street")&gt;0,1,0)</f>
        <v>0</v>
      </c>
      <c r="I313">
        <f>IF(COUNTIFS('United Data'!$A$3:$A$3390,I$1,'United Data'!$C$3:$C$3390,$A313,'United Data'!$B$3:$B$3390,"&lt;&gt;Off-street")&gt;0,1,0)</f>
        <v>0</v>
      </c>
      <c r="J313">
        <f>IF(COUNTIFS('United Data'!$A$3:$A$3390,J$1,'United Data'!$C$3:$C$3390,$A313,'United Data'!$B$3:$B$3390,"&lt;&gt;Off-street")&gt;0,1,0)</f>
        <v>0</v>
      </c>
      <c r="K313">
        <f>IF(COUNTIFS('United Data'!$A$3:$A$3390,K$1,'United Data'!$C$3:$C$3390,$A313,'United Data'!$B$3:$B$3390,"&lt;&gt;Off-street")&gt;0,1,0)</f>
        <v>1</v>
      </c>
      <c r="L313">
        <f>IF(COUNTIFS('United Data'!$A$3:$A$3390,L$1,'United Data'!$C$3:$C$3390,$A313,'United Data'!$B$3:$B$3390,"&lt;&gt;Off-street")&gt;0,1,0)</f>
        <v>1</v>
      </c>
      <c r="M313">
        <f>IF(COUNTIFS('United Data'!$A$3:$A$3390,M$1,'United Data'!$C$3:$C$3390,$A313,'United Data'!$B$3:$B$3390,"&lt;&gt;Off-street")&gt;0,1,0)</f>
        <v>0</v>
      </c>
      <c r="N313">
        <f>IF(COUNTIFS('United Data'!$A$3:$A$3390,N$1,'United Data'!$C$3:$C$3390,$A313,'United Data'!$B$3:$B$3390,"&lt;&gt;Off-street")&gt;0,1,0)</f>
        <v>0</v>
      </c>
      <c r="O313">
        <f>IF(COUNTIFS('United Data'!$A$3:$A$3390,O$1,'United Data'!$C$3:$C$3390,$A313,'United Data'!$B$3:$B$3390,"&lt;&gt;Off-street")&gt;0,1,0)</f>
        <v>0</v>
      </c>
      <c r="P313">
        <f>IF(COUNTIFS('United Data'!$A$3:$A$3390,P$1,'United Data'!$C$3:$C$3390,$A313,'United Data'!$B$3:$B$3390,"&lt;&gt;Off-street")&gt;0,1,0)</f>
        <v>0</v>
      </c>
      <c r="Q313">
        <f>IF(COUNTIFS('United Data'!$A$3:$A$3390,Q$1,'United Data'!$C$3:$C$3390,$A313,'United Data'!$B$3:$B$3390,"&lt;&gt;Off-street")&gt;0,1,0)</f>
        <v>0</v>
      </c>
      <c r="R313">
        <f>IF(COUNTIFS('United Data'!$A$3:$A$3390,R$1,'United Data'!$C$3:$C$3390,$A313,'United Data'!$B$3:$B$3390,"&lt;&gt;Off-street")&gt;0,1,0)</f>
        <v>0</v>
      </c>
      <c r="S313">
        <f t="shared" si="8"/>
        <v>3</v>
      </c>
      <c r="T313">
        <f t="shared" si="9"/>
        <v>2</v>
      </c>
    </row>
    <row r="314" spans="1:20" x14ac:dyDescent="0.2">
      <c r="A314" t="s">
        <v>403</v>
      </c>
      <c r="B314">
        <f>IF(COUNTIFS('United Data'!$A$3:$A$3390,B$1,'United Data'!$C$3:$C$3390,$A314,'United Data'!$B$3:$B$3390,"&lt;&gt;Off-street")&gt;0,1,0)</f>
        <v>0</v>
      </c>
      <c r="C314">
        <f>IF(COUNTIFS('United Data'!$A$3:$A$3390,C$1,'United Data'!$C$3:$C$3390,$A314,'United Data'!$B$3:$B$3390,"&lt;&gt;Off-street")&gt;0,1,0)</f>
        <v>0</v>
      </c>
      <c r="D314">
        <f>IF(COUNTIFS('United Data'!$A$3:$A$3390,D$1,'United Data'!$C$3:$C$3390,$A314,'United Data'!$B$3:$B$3390,"&lt;&gt;Off-street")&gt;0,1,0)</f>
        <v>0</v>
      </c>
      <c r="E314">
        <f>IF(COUNTIFS('United Data'!$A$3:$A$3390,E$1,'United Data'!$C$3:$C$3390,$A314,'United Data'!$B$3:$B$3390,"&lt;&gt;Off-street")&gt;0,1,0)</f>
        <v>0</v>
      </c>
      <c r="F314">
        <f>IF(COUNTIFS('United Data'!$A$3:$A$3390,F$1,'United Data'!$C$3:$C$3390,$A314,'United Data'!$B$3:$B$3390,"&lt;&gt;Off-street")&gt;0,1,0)</f>
        <v>0</v>
      </c>
      <c r="G314">
        <f>IF(COUNTIFS('United Data'!$A$3:$A$3390,G$1,'United Data'!$C$3:$C$3390,$A314,'United Data'!$B$3:$B$3390,"&lt;&gt;Off-street")&gt;0,1,0)</f>
        <v>0</v>
      </c>
      <c r="H314">
        <f>IF(COUNTIFS('United Data'!$A$3:$A$3390,H$1,'United Data'!$C$3:$C$3390,$A314,'United Data'!$B$3:$B$3390,"&lt;&gt;Off-street")&gt;0,1,0)</f>
        <v>0</v>
      </c>
      <c r="I314">
        <f>IF(COUNTIFS('United Data'!$A$3:$A$3390,I$1,'United Data'!$C$3:$C$3390,$A314,'United Data'!$B$3:$B$3390,"&lt;&gt;Off-street")&gt;0,1,0)</f>
        <v>0</v>
      </c>
      <c r="J314">
        <f>IF(COUNTIFS('United Data'!$A$3:$A$3390,J$1,'United Data'!$C$3:$C$3390,$A314,'United Data'!$B$3:$B$3390,"&lt;&gt;Off-street")&gt;0,1,0)</f>
        <v>0</v>
      </c>
      <c r="K314">
        <f>IF(COUNTIFS('United Data'!$A$3:$A$3390,K$1,'United Data'!$C$3:$C$3390,$A314,'United Data'!$B$3:$B$3390,"&lt;&gt;Off-street")&gt;0,1,0)</f>
        <v>0</v>
      </c>
      <c r="L314">
        <f>IF(COUNTIFS('United Data'!$A$3:$A$3390,L$1,'United Data'!$C$3:$C$3390,$A314,'United Data'!$B$3:$B$3390,"&lt;&gt;Off-street")&gt;0,1,0)</f>
        <v>1</v>
      </c>
      <c r="M314">
        <f>IF(COUNTIFS('United Data'!$A$3:$A$3390,M$1,'United Data'!$C$3:$C$3390,$A314,'United Data'!$B$3:$B$3390,"&lt;&gt;Off-street")&gt;0,1,0)</f>
        <v>0</v>
      </c>
      <c r="N314">
        <f>IF(COUNTIFS('United Data'!$A$3:$A$3390,N$1,'United Data'!$C$3:$C$3390,$A314,'United Data'!$B$3:$B$3390,"&lt;&gt;Off-street")&gt;0,1,0)</f>
        <v>0</v>
      </c>
      <c r="O314">
        <f>IF(COUNTIFS('United Data'!$A$3:$A$3390,O$1,'United Data'!$C$3:$C$3390,$A314,'United Data'!$B$3:$B$3390,"&lt;&gt;Off-street")&gt;0,1,0)</f>
        <v>0</v>
      </c>
      <c r="P314">
        <f>IF(COUNTIFS('United Data'!$A$3:$A$3390,P$1,'United Data'!$C$3:$C$3390,$A314,'United Data'!$B$3:$B$3390,"&lt;&gt;Off-street")&gt;0,1,0)</f>
        <v>0</v>
      </c>
      <c r="Q314">
        <f>IF(COUNTIFS('United Data'!$A$3:$A$3390,Q$1,'United Data'!$C$3:$C$3390,$A314,'United Data'!$B$3:$B$3390,"&lt;&gt;Off-street")&gt;0,1,0)</f>
        <v>0</v>
      </c>
      <c r="R314">
        <f>IF(COUNTIFS('United Data'!$A$3:$A$3390,R$1,'United Data'!$C$3:$C$3390,$A314,'United Data'!$B$3:$B$3390,"&lt;&gt;Off-street")&gt;0,1,0)</f>
        <v>0</v>
      </c>
      <c r="S314">
        <f t="shared" si="8"/>
        <v>1</v>
      </c>
      <c r="T314">
        <f t="shared" si="9"/>
        <v>1</v>
      </c>
    </row>
    <row r="315" spans="1:20" x14ac:dyDescent="0.2">
      <c r="A315" t="s">
        <v>404</v>
      </c>
      <c r="B315">
        <f>IF(COUNTIFS('United Data'!$A$3:$A$3390,B$1,'United Data'!$C$3:$C$3390,$A315,'United Data'!$B$3:$B$3390,"&lt;&gt;Off-street")&gt;0,1,0)</f>
        <v>0</v>
      </c>
      <c r="C315">
        <f>IF(COUNTIFS('United Data'!$A$3:$A$3390,C$1,'United Data'!$C$3:$C$3390,$A315,'United Data'!$B$3:$B$3390,"&lt;&gt;Off-street")&gt;0,1,0)</f>
        <v>0</v>
      </c>
      <c r="D315">
        <f>IF(COUNTIFS('United Data'!$A$3:$A$3390,D$1,'United Data'!$C$3:$C$3390,$A315,'United Data'!$B$3:$B$3390,"&lt;&gt;Off-street")&gt;0,1,0)</f>
        <v>0</v>
      </c>
      <c r="E315">
        <f>IF(COUNTIFS('United Data'!$A$3:$A$3390,E$1,'United Data'!$C$3:$C$3390,$A315,'United Data'!$B$3:$B$3390,"&lt;&gt;Off-street")&gt;0,1,0)</f>
        <v>0</v>
      </c>
      <c r="F315">
        <f>IF(COUNTIFS('United Data'!$A$3:$A$3390,F$1,'United Data'!$C$3:$C$3390,$A315,'United Data'!$B$3:$B$3390,"&lt;&gt;Off-street")&gt;0,1,0)</f>
        <v>0</v>
      </c>
      <c r="G315">
        <f>IF(COUNTIFS('United Data'!$A$3:$A$3390,G$1,'United Data'!$C$3:$C$3390,$A315,'United Data'!$B$3:$B$3390,"&lt;&gt;Off-street")&gt;0,1,0)</f>
        <v>0</v>
      </c>
      <c r="H315">
        <f>IF(COUNTIFS('United Data'!$A$3:$A$3390,H$1,'United Data'!$C$3:$C$3390,$A315,'United Data'!$B$3:$B$3390,"&lt;&gt;Off-street")&gt;0,1,0)</f>
        <v>0</v>
      </c>
      <c r="I315">
        <f>IF(COUNTIFS('United Data'!$A$3:$A$3390,I$1,'United Data'!$C$3:$C$3390,$A315,'United Data'!$B$3:$B$3390,"&lt;&gt;Off-street")&gt;0,1,0)</f>
        <v>0</v>
      </c>
      <c r="J315">
        <f>IF(COUNTIFS('United Data'!$A$3:$A$3390,J$1,'United Data'!$C$3:$C$3390,$A315,'United Data'!$B$3:$B$3390,"&lt;&gt;Off-street")&gt;0,1,0)</f>
        <v>0</v>
      </c>
      <c r="K315">
        <f>IF(COUNTIFS('United Data'!$A$3:$A$3390,K$1,'United Data'!$C$3:$C$3390,$A315,'United Data'!$B$3:$B$3390,"&lt;&gt;Off-street")&gt;0,1,0)</f>
        <v>0</v>
      </c>
      <c r="L315">
        <f>IF(COUNTIFS('United Data'!$A$3:$A$3390,L$1,'United Data'!$C$3:$C$3390,$A315,'United Data'!$B$3:$B$3390,"&lt;&gt;Off-street")&gt;0,1,0)</f>
        <v>1</v>
      </c>
      <c r="M315">
        <f>IF(COUNTIFS('United Data'!$A$3:$A$3390,M$1,'United Data'!$C$3:$C$3390,$A315,'United Data'!$B$3:$B$3390,"&lt;&gt;Off-street")&gt;0,1,0)</f>
        <v>0</v>
      </c>
      <c r="N315">
        <f>IF(COUNTIFS('United Data'!$A$3:$A$3390,N$1,'United Data'!$C$3:$C$3390,$A315,'United Data'!$B$3:$B$3390,"&lt;&gt;Off-street")&gt;0,1,0)</f>
        <v>0</v>
      </c>
      <c r="O315">
        <f>IF(COUNTIFS('United Data'!$A$3:$A$3390,O$1,'United Data'!$C$3:$C$3390,$A315,'United Data'!$B$3:$B$3390,"&lt;&gt;Off-street")&gt;0,1,0)</f>
        <v>0</v>
      </c>
      <c r="P315">
        <f>IF(COUNTIFS('United Data'!$A$3:$A$3390,P$1,'United Data'!$C$3:$C$3390,$A315,'United Data'!$B$3:$B$3390,"&lt;&gt;Off-street")&gt;0,1,0)</f>
        <v>0</v>
      </c>
      <c r="Q315">
        <f>IF(COUNTIFS('United Data'!$A$3:$A$3390,Q$1,'United Data'!$C$3:$C$3390,$A315,'United Data'!$B$3:$B$3390,"&lt;&gt;Off-street")&gt;0,1,0)</f>
        <v>0</v>
      </c>
      <c r="R315">
        <f>IF(COUNTIFS('United Data'!$A$3:$A$3390,R$1,'United Data'!$C$3:$C$3390,$A315,'United Data'!$B$3:$B$3390,"&lt;&gt;Off-street")&gt;0,1,0)</f>
        <v>0</v>
      </c>
      <c r="S315">
        <f t="shared" si="8"/>
        <v>1</v>
      </c>
      <c r="T315">
        <f t="shared" si="9"/>
        <v>1</v>
      </c>
    </row>
    <row r="316" spans="1:20" x14ac:dyDescent="0.2">
      <c r="A316" t="s">
        <v>405</v>
      </c>
      <c r="B316">
        <f>IF(COUNTIFS('United Data'!$A$3:$A$3390,B$1,'United Data'!$C$3:$C$3390,$A316,'United Data'!$B$3:$B$3390,"&lt;&gt;Off-street")&gt;0,1,0)</f>
        <v>0</v>
      </c>
      <c r="C316">
        <f>IF(COUNTIFS('United Data'!$A$3:$A$3390,C$1,'United Data'!$C$3:$C$3390,$A316,'United Data'!$B$3:$B$3390,"&lt;&gt;Off-street")&gt;0,1,0)</f>
        <v>0</v>
      </c>
      <c r="D316">
        <f>IF(COUNTIFS('United Data'!$A$3:$A$3390,D$1,'United Data'!$C$3:$C$3390,$A316,'United Data'!$B$3:$B$3390,"&lt;&gt;Off-street")&gt;0,1,0)</f>
        <v>0</v>
      </c>
      <c r="E316">
        <f>IF(COUNTIFS('United Data'!$A$3:$A$3390,E$1,'United Data'!$C$3:$C$3390,$A316,'United Data'!$B$3:$B$3390,"&lt;&gt;Off-street")&gt;0,1,0)</f>
        <v>0</v>
      </c>
      <c r="F316">
        <f>IF(COUNTIFS('United Data'!$A$3:$A$3390,F$1,'United Data'!$C$3:$C$3390,$A316,'United Data'!$B$3:$B$3390,"&lt;&gt;Off-street")&gt;0,1,0)</f>
        <v>0</v>
      </c>
      <c r="G316">
        <f>IF(COUNTIFS('United Data'!$A$3:$A$3390,G$1,'United Data'!$C$3:$C$3390,$A316,'United Data'!$B$3:$B$3390,"&lt;&gt;Off-street")&gt;0,1,0)</f>
        <v>0</v>
      </c>
      <c r="H316">
        <f>IF(COUNTIFS('United Data'!$A$3:$A$3390,H$1,'United Data'!$C$3:$C$3390,$A316,'United Data'!$B$3:$B$3390,"&lt;&gt;Off-street")&gt;0,1,0)</f>
        <v>0</v>
      </c>
      <c r="I316">
        <f>IF(COUNTIFS('United Data'!$A$3:$A$3390,I$1,'United Data'!$C$3:$C$3390,$A316,'United Data'!$B$3:$B$3390,"&lt;&gt;Off-street")&gt;0,1,0)</f>
        <v>0</v>
      </c>
      <c r="J316">
        <f>IF(COUNTIFS('United Data'!$A$3:$A$3390,J$1,'United Data'!$C$3:$C$3390,$A316,'United Data'!$B$3:$B$3390,"&lt;&gt;Off-street")&gt;0,1,0)</f>
        <v>0</v>
      </c>
      <c r="K316">
        <f>IF(COUNTIFS('United Data'!$A$3:$A$3390,K$1,'United Data'!$C$3:$C$3390,$A316,'United Data'!$B$3:$B$3390,"&lt;&gt;Off-street")&gt;0,1,0)</f>
        <v>0</v>
      </c>
      <c r="L316">
        <f>IF(COUNTIFS('United Data'!$A$3:$A$3390,L$1,'United Data'!$C$3:$C$3390,$A316,'United Data'!$B$3:$B$3390,"&lt;&gt;Off-street")&gt;0,1,0)</f>
        <v>1</v>
      </c>
      <c r="M316">
        <f>IF(COUNTIFS('United Data'!$A$3:$A$3390,M$1,'United Data'!$C$3:$C$3390,$A316,'United Data'!$B$3:$B$3390,"&lt;&gt;Off-street")&gt;0,1,0)</f>
        <v>0</v>
      </c>
      <c r="N316">
        <f>IF(COUNTIFS('United Data'!$A$3:$A$3390,N$1,'United Data'!$C$3:$C$3390,$A316,'United Data'!$B$3:$B$3390,"&lt;&gt;Off-street")&gt;0,1,0)</f>
        <v>0</v>
      </c>
      <c r="O316">
        <f>IF(COUNTIFS('United Data'!$A$3:$A$3390,O$1,'United Data'!$C$3:$C$3390,$A316,'United Data'!$B$3:$B$3390,"&lt;&gt;Off-street")&gt;0,1,0)</f>
        <v>0</v>
      </c>
      <c r="P316">
        <f>IF(COUNTIFS('United Data'!$A$3:$A$3390,P$1,'United Data'!$C$3:$C$3390,$A316,'United Data'!$B$3:$B$3390,"&lt;&gt;Off-street")&gt;0,1,0)</f>
        <v>0</v>
      </c>
      <c r="Q316">
        <f>IF(COUNTIFS('United Data'!$A$3:$A$3390,Q$1,'United Data'!$C$3:$C$3390,$A316,'United Data'!$B$3:$B$3390,"&lt;&gt;Off-street")&gt;0,1,0)</f>
        <v>0</v>
      </c>
      <c r="R316">
        <f>IF(COUNTIFS('United Data'!$A$3:$A$3390,R$1,'United Data'!$C$3:$C$3390,$A316,'United Data'!$B$3:$B$3390,"&lt;&gt;Off-street")&gt;0,1,0)</f>
        <v>0</v>
      </c>
      <c r="S316">
        <f t="shared" si="8"/>
        <v>1</v>
      </c>
      <c r="T316">
        <f t="shared" si="9"/>
        <v>1</v>
      </c>
    </row>
    <row r="317" spans="1:20" x14ac:dyDescent="0.2">
      <c r="A317" t="s">
        <v>406</v>
      </c>
      <c r="B317">
        <f>IF(COUNTIFS('United Data'!$A$3:$A$3390,B$1,'United Data'!$C$3:$C$3390,$A317,'United Data'!$B$3:$B$3390,"&lt;&gt;Off-street")&gt;0,1,0)</f>
        <v>0</v>
      </c>
      <c r="C317">
        <f>IF(COUNTIFS('United Data'!$A$3:$A$3390,C$1,'United Data'!$C$3:$C$3390,$A317,'United Data'!$B$3:$B$3390,"&lt;&gt;Off-street")&gt;0,1,0)</f>
        <v>0</v>
      </c>
      <c r="D317">
        <f>IF(COUNTIFS('United Data'!$A$3:$A$3390,D$1,'United Data'!$C$3:$C$3390,$A317,'United Data'!$B$3:$B$3390,"&lt;&gt;Off-street")&gt;0,1,0)</f>
        <v>0</v>
      </c>
      <c r="E317">
        <f>IF(COUNTIFS('United Data'!$A$3:$A$3390,E$1,'United Data'!$C$3:$C$3390,$A317,'United Data'!$B$3:$B$3390,"&lt;&gt;Off-street")&gt;0,1,0)</f>
        <v>0</v>
      </c>
      <c r="F317">
        <f>IF(COUNTIFS('United Data'!$A$3:$A$3390,F$1,'United Data'!$C$3:$C$3390,$A317,'United Data'!$B$3:$B$3390,"&lt;&gt;Off-street")&gt;0,1,0)</f>
        <v>0</v>
      </c>
      <c r="G317">
        <f>IF(COUNTIFS('United Data'!$A$3:$A$3390,G$1,'United Data'!$C$3:$C$3390,$A317,'United Data'!$B$3:$B$3390,"&lt;&gt;Off-street")&gt;0,1,0)</f>
        <v>0</v>
      </c>
      <c r="H317">
        <f>IF(COUNTIFS('United Data'!$A$3:$A$3390,H$1,'United Data'!$C$3:$C$3390,$A317,'United Data'!$B$3:$B$3390,"&lt;&gt;Off-street")&gt;0,1,0)</f>
        <v>0</v>
      </c>
      <c r="I317">
        <f>IF(COUNTIFS('United Data'!$A$3:$A$3390,I$1,'United Data'!$C$3:$C$3390,$A317,'United Data'!$B$3:$B$3390,"&lt;&gt;Off-street")&gt;0,1,0)</f>
        <v>0</v>
      </c>
      <c r="J317">
        <f>IF(COUNTIFS('United Data'!$A$3:$A$3390,J$1,'United Data'!$C$3:$C$3390,$A317,'United Data'!$B$3:$B$3390,"&lt;&gt;Off-street")&gt;0,1,0)</f>
        <v>0</v>
      </c>
      <c r="K317">
        <f>IF(COUNTIFS('United Data'!$A$3:$A$3390,K$1,'United Data'!$C$3:$C$3390,$A317,'United Data'!$B$3:$B$3390,"&lt;&gt;Off-street")&gt;0,1,0)</f>
        <v>0</v>
      </c>
      <c r="L317">
        <f>IF(COUNTIFS('United Data'!$A$3:$A$3390,L$1,'United Data'!$C$3:$C$3390,$A317,'United Data'!$B$3:$B$3390,"&lt;&gt;Off-street")&gt;0,1,0)</f>
        <v>1</v>
      </c>
      <c r="M317">
        <f>IF(COUNTIFS('United Data'!$A$3:$A$3390,M$1,'United Data'!$C$3:$C$3390,$A317,'United Data'!$B$3:$B$3390,"&lt;&gt;Off-street")&gt;0,1,0)</f>
        <v>0</v>
      </c>
      <c r="N317">
        <f>IF(COUNTIFS('United Data'!$A$3:$A$3390,N$1,'United Data'!$C$3:$C$3390,$A317,'United Data'!$B$3:$B$3390,"&lt;&gt;Off-street")&gt;0,1,0)</f>
        <v>0</v>
      </c>
      <c r="O317">
        <f>IF(COUNTIFS('United Data'!$A$3:$A$3390,O$1,'United Data'!$C$3:$C$3390,$A317,'United Data'!$B$3:$B$3390,"&lt;&gt;Off-street")&gt;0,1,0)</f>
        <v>0</v>
      </c>
      <c r="P317">
        <f>IF(COUNTIFS('United Data'!$A$3:$A$3390,P$1,'United Data'!$C$3:$C$3390,$A317,'United Data'!$B$3:$B$3390,"&lt;&gt;Off-street")&gt;0,1,0)</f>
        <v>0</v>
      </c>
      <c r="Q317">
        <f>IF(COUNTIFS('United Data'!$A$3:$A$3390,Q$1,'United Data'!$C$3:$C$3390,$A317,'United Data'!$B$3:$B$3390,"&lt;&gt;Off-street")&gt;0,1,0)</f>
        <v>0</v>
      </c>
      <c r="R317">
        <f>IF(COUNTIFS('United Data'!$A$3:$A$3390,R$1,'United Data'!$C$3:$C$3390,$A317,'United Data'!$B$3:$B$3390,"&lt;&gt;Off-street")&gt;0,1,0)</f>
        <v>0</v>
      </c>
      <c r="S317">
        <f t="shared" si="8"/>
        <v>1</v>
      </c>
      <c r="T317">
        <f t="shared" si="9"/>
        <v>1</v>
      </c>
    </row>
    <row r="318" spans="1:20" x14ac:dyDescent="0.2">
      <c r="A318" t="s">
        <v>407</v>
      </c>
      <c r="B318">
        <f>IF(COUNTIFS('United Data'!$A$3:$A$3390,B$1,'United Data'!$C$3:$C$3390,$A318,'United Data'!$B$3:$B$3390,"&lt;&gt;Off-street")&gt;0,1,0)</f>
        <v>0</v>
      </c>
      <c r="C318">
        <f>IF(COUNTIFS('United Data'!$A$3:$A$3390,C$1,'United Data'!$C$3:$C$3390,$A318,'United Data'!$B$3:$B$3390,"&lt;&gt;Off-street")&gt;0,1,0)</f>
        <v>0</v>
      </c>
      <c r="D318">
        <f>IF(COUNTIFS('United Data'!$A$3:$A$3390,D$1,'United Data'!$C$3:$C$3390,$A318,'United Data'!$B$3:$B$3390,"&lt;&gt;Off-street")&gt;0,1,0)</f>
        <v>0</v>
      </c>
      <c r="E318">
        <f>IF(COUNTIFS('United Data'!$A$3:$A$3390,E$1,'United Data'!$C$3:$C$3390,$A318,'United Data'!$B$3:$B$3390,"&lt;&gt;Off-street")&gt;0,1,0)</f>
        <v>0</v>
      </c>
      <c r="F318">
        <f>IF(COUNTIFS('United Data'!$A$3:$A$3390,F$1,'United Data'!$C$3:$C$3390,$A318,'United Data'!$B$3:$B$3390,"&lt;&gt;Off-street")&gt;0,1,0)</f>
        <v>0</v>
      </c>
      <c r="G318">
        <f>IF(COUNTIFS('United Data'!$A$3:$A$3390,G$1,'United Data'!$C$3:$C$3390,$A318,'United Data'!$B$3:$B$3390,"&lt;&gt;Off-street")&gt;0,1,0)</f>
        <v>0</v>
      </c>
      <c r="H318">
        <f>IF(COUNTIFS('United Data'!$A$3:$A$3390,H$1,'United Data'!$C$3:$C$3390,$A318,'United Data'!$B$3:$B$3390,"&lt;&gt;Off-street")&gt;0,1,0)</f>
        <v>0</v>
      </c>
      <c r="I318">
        <f>IF(COUNTIFS('United Data'!$A$3:$A$3390,I$1,'United Data'!$C$3:$C$3390,$A318,'United Data'!$B$3:$B$3390,"&lt;&gt;Off-street")&gt;0,1,0)</f>
        <v>0</v>
      </c>
      <c r="J318">
        <f>IF(COUNTIFS('United Data'!$A$3:$A$3390,J$1,'United Data'!$C$3:$C$3390,$A318,'United Data'!$B$3:$B$3390,"&lt;&gt;Off-street")&gt;0,1,0)</f>
        <v>0</v>
      </c>
      <c r="K318">
        <f>IF(COUNTIFS('United Data'!$A$3:$A$3390,K$1,'United Data'!$C$3:$C$3390,$A318,'United Data'!$B$3:$B$3390,"&lt;&gt;Off-street")&gt;0,1,0)</f>
        <v>0</v>
      </c>
      <c r="L318">
        <f>IF(COUNTIFS('United Data'!$A$3:$A$3390,L$1,'United Data'!$C$3:$C$3390,$A318,'United Data'!$B$3:$B$3390,"&lt;&gt;Off-street")&gt;0,1,0)</f>
        <v>1</v>
      </c>
      <c r="M318">
        <f>IF(COUNTIFS('United Data'!$A$3:$A$3390,M$1,'United Data'!$C$3:$C$3390,$A318,'United Data'!$B$3:$B$3390,"&lt;&gt;Off-street")&gt;0,1,0)</f>
        <v>0</v>
      </c>
      <c r="N318">
        <f>IF(COUNTIFS('United Data'!$A$3:$A$3390,N$1,'United Data'!$C$3:$C$3390,$A318,'United Data'!$B$3:$B$3390,"&lt;&gt;Off-street")&gt;0,1,0)</f>
        <v>0</v>
      </c>
      <c r="O318">
        <f>IF(COUNTIFS('United Data'!$A$3:$A$3390,O$1,'United Data'!$C$3:$C$3390,$A318,'United Data'!$B$3:$B$3390,"&lt;&gt;Off-street")&gt;0,1,0)</f>
        <v>0</v>
      </c>
      <c r="P318">
        <f>IF(COUNTIFS('United Data'!$A$3:$A$3390,P$1,'United Data'!$C$3:$C$3390,$A318,'United Data'!$B$3:$B$3390,"&lt;&gt;Off-street")&gt;0,1,0)</f>
        <v>0</v>
      </c>
      <c r="Q318">
        <f>IF(COUNTIFS('United Data'!$A$3:$A$3390,Q$1,'United Data'!$C$3:$C$3390,$A318,'United Data'!$B$3:$B$3390,"&lt;&gt;Off-street")&gt;0,1,0)</f>
        <v>0</v>
      </c>
      <c r="R318">
        <f>IF(COUNTIFS('United Data'!$A$3:$A$3390,R$1,'United Data'!$C$3:$C$3390,$A318,'United Data'!$B$3:$B$3390,"&lt;&gt;Off-street")&gt;0,1,0)</f>
        <v>0</v>
      </c>
      <c r="S318">
        <f t="shared" si="8"/>
        <v>1</v>
      </c>
      <c r="T318">
        <f t="shared" si="9"/>
        <v>1</v>
      </c>
    </row>
    <row r="319" spans="1:20" x14ac:dyDescent="0.2">
      <c r="A319" t="s">
        <v>408</v>
      </c>
      <c r="B319">
        <f>IF(COUNTIFS('United Data'!$A$3:$A$3390,B$1,'United Data'!$C$3:$C$3390,$A319,'United Data'!$B$3:$B$3390,"&lt;&gt;Off-street")&gt;0,1,0)</f>
        <v>0</v>
      </c>
      <c r="C319">
        <f>IF(COUNTIFS('United Data'!$A$3:$A$3390,C$1,'United Data'!$C$3:$C$3390,$A319,'United Data'!$B$3:$B$3390,"&lt;&gt;Off-street")&gt;0,1,0)</f>
        <v>0</v>
      </c>
      <c r="D319">
        <f>IF(COUNTIFS('United Data'!$A$3:$A$3390,D$1,'United Data'!$C$3:$C$3390,$A319,'United Data'!$B$3:$B$3390,"&lt;&gt;Off-street")&gt;0,1,0)</f>
        <v>0</v>
      </c>
      <c r="E319">
        <f>IF(COUNTIFS('United Data'!$A$3:$A$3390,E$1,'United Data'!$C$3:$C$3390,$A319,'United Data'!$B$3:$B$3390,"&lt;&gt;Off-street")&gt;0,1,0)</f>
        <v>0</v>
      </c>
      <c r="F319">
        <f>IF(COUNTIFS('United Data'!$A$3:$A$3390,F$1,'United Data'!$C$3:$C$3390,$A319,'United Data'!$B$3:$B$3390,"&lt;&gt;Off-street")&gt;0,1,0)</f>
        <v>0</v>
      </c>
      <c r="G319">
        <f>IF(COUNTIFS('United Data'!$A$3:$A$3390,G$1,'United Data'!$C$3:$C$3390,$A319,'United Data'!$B$3:$B$3390,"&lt;&gt;Off-street")&gt;0,1,0)</f>
        <v>0</v>
      </c>
      <c r="H319">
        <f>IF(COUNTIFS('United Data'!$A$3:$A$3390,H$1,'United Data'!$C$3:$C$3390,$A319,'United Data'!$B$3:$B$3390,"&lt;&gt;Off-street")&gt;0,1,0)</f>
        <v>0</v>
      </c>
      <c r="I319">
        <f>IF(COUNTIFS('United Data'!$A$3:$A$3390,I$1,'United Data'!$C$3:$C$3390,$A319,'United Data'!$B$3:$B$3390,"&lt;&gt;Off-street")&gt;0,1,0)</f>
        <v>0</v>
      </c>
      <c r="J319">
        <f>IF(COUNTIFS('United Data'!$A$3:$A$3390,J$1,'United Data'!$C$3:$C$3390,$A319,'United Data'!$B$3:$B$3390,"&lt;&gt;Off-street")&gt;0,1,0)</f>
        <v>0</v>
      </c>
      <c r="K319">
        <f>IF(COUNTIFS('United Data'!$A$3:$A$3390,K$1,'United Data'!$C$3:$C$3390,$A319,'United Data'!$B$3:$B$3390,"&lt;&gt;Off-street")&gt;0,1,0)</f>
        <v>0</v>
      </c>
      <c r="L319">
        <f>IF(COUNTIFS('United Data'!$A$3:$A$3390,L$1,'United Data'!$C$3:$C$3390,$A319,'United Data'!$B$3:$B$3390,"&lt;&gt;Off-street")&gt;0,1,0)</f>
        <v>0</v>
      </c>
      <c r="M319">
        <f>IF(COUNTIFS('United Data'!$A$3:$A$3390,M$1,'United Data'!$C$3:$C$3390,$A319,'United Data'!$B$3:$B$3390,"&lt;&gt;Off-street")&gt;0,1,0)</f>
        <v>1</v>
      </c>
      <c r="N319">
        <f>IF(COUNTIFS('United Data'!$A$3:$A$3390,N$1,'United Data'!$C$3:$C$3390,$A319,'United Data'!$B$3:$B$3390,"&lt;&gt;Off-street")&gt;0,1,0)</f>
        <v>0</v>
      </c>
      <c r="O319">
        <f>IF(COUNTIFS('United Data'!$A$3:$A$3390,O$1,'United Data'!$C$3:$C$3390,$A319,'United Data'!$B$3:$B$3390,"&lt;&gt;Off-street")&gt;0,1,0)</f>
        <v>1</v>
      </c>
      <c r="P319">
        <f>IF(COUNTIFS('United Data'!$A$3:$A$3390,P$1,'United Data'!$C$3:$C$3390,$A319,'United Data'!$B$3:$B$3390,"&lt;&gt;Off-street")&gt;0,1,0)</f>
        <v>0</v>
      </c>
      <c r="Q319">
        <f>IF(COUNTIFS('United Data'!$A$3:$A$3390,Q$1,'United Data'!$C$3:$C$3390,$A319,'United Data'!$B$3:$B$3390,"&lt;&gt;Off-street")&gt;0,1,0)</f>
        <v>0</v>
      </c>
      <c r="R319">
        <f>IF(COUNTIFS('United Data'!$A$3:$A$3390,R$1,'United Data'!$C$3:$C$3390,$A319,'United Data'!$B$3:$B$3390,"&lt;&gt;Off-street")&gt;0,1,0)</f>
        <v>0</v>
      </c>
      <c r="S319">
        <f t="shared" si="8"/>
        <v>2</v>
      </c>
      <c r="T319">
        <f t="shared" si="9"/>
        <v>2</v>
      </c>
    </row>
    <row r="320" spans="1:20" x14ac:dyDescent="0.2">
      <c r="A320" t="s">
        <v>409</v>
      </c>
      <c r="B320">
        <f>IF(COUNTIFS('United Data'!$A$3:$A$3390,B$1,'United Data'!$C$3:$C$3390,$A320,'United Data'!$B$3:$B$3390,"&lt;&gt;Off-street")&gt;0,1,0)</f>
        <v>0</v>
      </c>
      <c r="C320">
        <f>IF(COUNTIFS('United Data'!$A$3:$A$3390,C$1,'United Data'!$C$3:$C$3390,$A320,'United Data'!$B$3:$B$3390,"&lt;&gt;Off-street")&gt;0,1,0)</f>
        <v>0</v>
      </c>
      <c r="D320">
        <f>IF(COUNTIFS('United Data'!$A$3:$A$3390,D$1,'United Data'!$C$3:$C$3390,$A320,'United Data'!$B$3:$B$3390,"&lt;&gt;Off-street")&gt;0,1,0)</f>
        <v>0</v>
      </c>
      <c r="E320">
        <f>IF(COUNTIFS('United Data'!$A$3:$A$3390,E$1,'United Data'!$C$3:$C$3390,$A320,'United Data'!$B$3:$B$3390,"&lt;&gt;Off-street")&gt;0,1,0)</f>
        <v>0</v>
      </c>
      <c r="F320">
        <f>IF(COUNTIFS('United Data'!$A$3:$A$3390,F$1,'United Data'!$C$3:$C$3390,$A320,'United Data'!$B$3:$B$3390,"&lt;&gt;Off-street")&gt;0,1,0)</f>
        <v>0</v>
      </c>
      <c r="G320">
        <f>IF(COUNTIFS('United Data'!$A$3:$A$3390,G$1,'United Data'!$C$3:$C$3390,$A320,'United Data'!$B$3:$B$3390,"&lt;&gt;Off-street")&gt;0,1,0)</f>
        <v>0</v>
      </c>
      <c r="H320">
        <f>IF(COUNTIFS('United Data'!$A$3:$A$3390,H$1,'United Data'!$C$3:$C$3390,$A320,'United Data'!$B$3:$B$3390,"&lt;&gt;Off-street")&gt;0,1,0)</f>
        <v>0</v>
      </c>
      <c r="I320">
        <f>IF(COUNTIFS('United Data'!$A$3:$A$3390,I$1,'United Data'!$C$3:$C$3390,$A320,'United Data'!$B$3:$B$3390,"&lt;&gt;Off-street")&gt;0,1,0)</f>
        <v>0</v>
      </c>
      <c r="J320">
        <f>IF(COUNTIFS('United Data'!$A$3:$A$3390,J$1,'United Data'!$C$3:$C$3390,$A320,'United Data'!$B$3:$B$3390,"&lt;&gt;Off-street")&gt;0,1,0)</f>
        <v>0</v>
      </c>
      <c r="K320">
        <f>IF(COUNTIFS('United Data'!$A$3:$A$3390,K$1,'United Data'!$C$3:$C$3390,$A320,'United Data'!$B$3:$B$3390,"&lt;&gt;Off-street")&gt;0,1,0)</f>
        <v>0</v>
      </c>
      <c r="L320">
        <f>IF(COUNTIFS('United Data'!$A$3:$A$3390,L$1,'United Data'!$C$3:$C$3390,$A320,'United Data'!$B$3:$B$3390,"&lt;&gt;Off-street")&gt;0,1,0)</f>
        <v>0</v>
      </c>
      <c r="M320">
        <f>IF(COUNTIFS('United Data'!$A$3:$A$3390,M$1,'United Data'!$C$3:$C$3390,$A320,'United Data'!$B$3:$B$3390,"&lt;&gt;Off-street")&gt;0,1,0)</f>
        <v>1</v>
      </c>
      <c r="N320">
        <f>IF(COUNTIFS('United Data'!$A$3:$A$3390,N$1,'United Data'!$C$3:$C$3390,$A320,'United Data'!$B$3:$B$3390,"&lt;&gt;Off-street")&gt;0,1,0)</f>
        <v>0</v>
      </c>
      <c r="O320">
        <f>IF(COUNTIFS('United Data'!$A$3:$A$3390,O$1,'United Data'!$C$3:$C$3390,$A320,'United Data'!$B$3:$B$3390,"&lt;&gt;Off-street")&gt;0,1,0)</f>
        <v>0</v>
      </c>
      <c r="P320">
        <f>IF(COUNTIFS('United Data'!$A$3:$A$3390,P$1,'United Data'!$C$3:$C$3390,$A320,'United Data'!$B$3:$B$3390,"&lt;&gt;Off-street")&gt;0,1,0)</f>
        <v>0</v>
      </c>
      <c r="Q320">
        <f>IF(COUNTIFS('United Data'!$A$3:$A$3390,Q$1,'United Data'!$C$3:$C$3390,$A320,'United Data'!$B$3:$B$3390,"&lt;&gt;Off-street")&gt;0,1,0)</f>
        <v>0</v>
      </c>
      <c r="R320">
        <f>IF(COUNTIFS('United Data'!$A$3:$A$3390,R$1,'United Data'!$C$3:$C$3390,$A320,'United Data'!$B$3:$B$3390,"&lt;&gt;Off-street")&gt;0,1,0)</f>
        <v>0</v>
      </c>
      <c r="S320">
        <f t="shared" si="8"/>
        <v>1</v>
      </c>
      <c r="T320">
        <f t="shared" si="9"/>
        <v>1</v>
      </c>
    </row>
    <row r="321" spans="1:20" x14ac:dyDescent="0.2">
      <c r="A321" t="s">
        <v>410</v>
      </c>
      <c r="B321">
        <f>IF(COUNTIFS('United Data'!$A$3:$A$3390,B$1,'United Data'!$C$3:$C$3390,$A321,'United Data'!$B$3:$B$3390,"&lt;&gt;Off-street")&gt;0,1,0)</f>
        <v>0</v>
      </c>
      <c r="C321">
        <f>IF(COUNTIFS('United Data'!$A$3:$A$3390,C$1,'United Data'!$C$3:$C$3390,$A321,'United Data'!$B$3:$B$3390,"&lt;&gt;Off-street")&gt;0,1,0)</f>
        <v>0</v>
      </c>
      <c r="D321">
        <f>IF(COUNTIFS('United Data'!$A$3:$A$3390,D$1,'United Data'!$C$3:$C$3390,$A321,'United Data'!$B$3:$B$3390,"&lt;&gt;Off-street")&gt;0,1,0)</f>
        <v>0</v>
      </c>
      <c r="E321">
        <f>IF(COUNTIFS('United Data'!$A$3:$A$3390,E$1,'United Data'!$C$3:$C$3390,$A321,'United Data'!$B$3:$B$3390,"&lt;&gt;Off-street")&gt;0,1,0)</f>
        <v>0</v>
      </c>
      <c r="F321">
        <f>IF(COUNTIFS('United Data'!$A$3:$A$3390,F$1,'United Data'!$C$3:$C$3390,$A321,'United Data'!$B$3:$B$3390,"&lt;&gt;Off-street")&gt;0,1,0)</f>
        <v>0</v>
      </c>
      <c r="G321">
        <f>IF(COUNTIFS('United Data'!$A$3:$A$3390,G$1,'United Data'!$C$3:$C$3390,$A321,'United Data'!$B$3:$B$3390,"&lt;&gt;Off-street")&gt;0,1,0)</f>
        <v>0</v>
      </c>
      <c r="H321">
        <f>IF(COUNTIFS('United Data'!$A$3:$A$3390,H$1,'United Data'!$C$3:$C$3390,$A321,'United Data'!$B$3:$B$3390,"&lt;&gt;Off-street")&gt;0,1,0)</f>
        <v>0</v>
      </c>
      <c r="I321">
        <f>IF(COUNTIFS('United Data'!$A$3:$A$3390,I$1,'United Data'!$C$3:$C$3390,$A321,'United Data'!$B$3:$B$3390,"&lt;&gt;Off-street")&gt;0,1,0)</f>
        <v>0</v>
      </c>
      <c r="J321">
        <f>IF(COUNTIFS('United Data'!$A$3:$A$3390,J$1,'United Data'!$C$3:$C$3390,$A321,'United Data'!$B$3:$B$3390,"&lt;&gt;Off-street")&gt;0,1,0)</f>
        <v>0</v>
      </c>
      <c r="K321">
        <f>IF(COUNTIFS('United Data'!$A$3:$A$3390,K$1,'United Data'!$C$3:$C$3390,$A321,'United Data'!$B$3:$B$3390,"&lt;&gt;Off-street")&gt;0,1,0)</f>
        <v>0</v>
      </c>
      <c r="L321">
        <f>IF(COUNTIFS('United Data'!$A$3:$A$3390,L$1,'United Data'!$C$3:$C$3390,$A321,'United Data'!$B$3:$B$3390,"&lt;&gt;Off-street")&gt;0,1,0)</f>
        <v>0</v>
      </c>
      <c r="M321">
        <f>IF(COUNTIFS('United Data'!$A$3:$A$3390,M$1,'United Data'!$C$3:$C$3390,$A321,'United Data'!$B$3:$B$3390,"&lt;&gt;Off-street")&gt;0,1,0)</f>
        <v>1</v>
      </c>
      <c r="N321">
        <f>IF(COUNTIFS('United Data'!$A$3:$A$3390,N$1,'United Data'!$C$3:$C$3390,$A321,'United Data'!$B$3:$B$3390,"&lt;&gt;Off-street")&gt;0,1,0)</f>
        <v>0</v>
      </c>
      <c r="O321">
        <f>IF(COUNTIFS('United Data'!$A$3:$A$3390,O$1,'United Data'!$C$3:$C$3390,$A321,'United Data'!$B$3:$B$3390,"&lt;&gt;Off-street")&gt;0,1,0)</f>
        <v>0</v>
      </c>
      <c r="P321">
        <f>IF(COUNTIFS('United Data'!$A$3:$A$3390,P$1,'United Data'!$C$3:$C$3390,$A321,'United Data'!$B$3:$B$3390,"&lt;&gt;Off-street")&gt;0,1,0)</f>
        <v>0</v>
      </c>
      <c r="Q321">
        <f>IF(COUNTIFS('United Data'!$A$3:$A$3390,Q$1,'United Data'!$C$3:$C$3390,$A321,'United Data'!$B$3:$B$3390,"&lt;&gt;Off-street")&gt;0,1,0)</f>
        <v>0</v>
      </c>
      <c r="R321">
        <f>IF(COUNTIFS('United Data'!$A$3:$A$3390,R$1,'United Data'!$C$3:$C$3390,$A321,'United Data'!$B$3:$B$3390,"&lt;&gt;Off-street")&gt;0,1,0)</f>
        <v>0</v>
      </c>
      <c r="S321">
        <f t="shared" si="8"/>
        <v>1</v>
      </c>
      <c r="T321">
        <f t="shared" si="9"/>
        <v>1</v>
      </c>
    </row>
    <row r="322" spans="1:20" x14ac:dyDescent="0.2">
      <c r="A322" t="s">
        <v>411</v>
      </c>
      <c r="B322">
        <f>IF(COUNTIFS('United Data'!$A$3:$A$3390,B$1,'United Data'!$C$3:$C$3390,$A322,'United Data'!$B$3:$B$3390,"&lt;&gt;Off-street")&gt;0,1,0)</f>
        <v>0</v>
      </c>
      <c r="C322">
        <f>IF(COUNTIFS('United Data'!$A$3:$A$3390,C$1,'United Data'!$C$3:$C$3390,$A322,'United Data'!$B$3:$B$3390,"&lt;&gt;Off-street")&gt;0,1,0)</f>
        <v>0</v>
      </c>
      <c r="D322">
        <f>IF(COUNTIFS('United Data'!$A$3:$A$3390,D$1,'United Data'!$C$3:$C$3390,$A322,'United Data'!$B$3:$B$3390,"&lt;&gt;Off-street")&gt;0,1,0)</f>
        <v>0</v>
      </c>
      <c r="E322">
        <f>IF(COUNTIFS('United Data'!$A$3:$A$3390,E$1,'United Data'!$C$3:$C$3390,$A322,'United Data'!$B$3:$B$3390,"&lt;&gt;Off-street")&gt;0,1,0)</f>
        <v>0</v>
      </c>
      <c r="F322">
        <f>IF(COUNTIFS('United Data'!$A$3:$A$3390,F$1,'United Data'!$C$3:$C$3390,$A322,'United Data'!$B$3:$B$3390,"&lt;&gt;Off-street")&gt;0,1,0)</f>
        <v>0</v>
      </c>
      <c r="G322">
        <f>IF(COUNTIFS('United Data'!$A$3:$A$3390,G$1,'United Data'!$C$3:$C$3390,$A322,'United Data'!$B$3:$B$3390,"&lt;&gt;Off-street")&gt;0,1,0)</f>
        <v>0</v>
      </c>
      <c r="H322">
        <f>IF(COUNTIFS('United Data'!$A$3:$A$3390,H$1,'United Data'!$C$3:$C$3390,$A322,'United Data'!$B$3:$B$3390,"&lt;&gt;Off-street")&gt;0,1,0)</f>
        <v>0</v>
      </c>
      <c r="I322">
        <f>IF(COUNTIFS('United Data'!$A$3:$A$3390,I$1,'United Data'!$C$3:$C$3390,$A322,'United Data'!$B$3:$B$3390,"&lt;&gt;Off-street")&gt;0,1,0)</f>
        <v>0</v>
      </c>
      <c r="J322">
        <f>IF(COUNTIFS('United Data'!$A$3:$A$3390,J$1,'United Data'!$C$3:$C$3390,$A322,'United Data'!$B$3:$B$3390,"&lt;&gt;Off-street")&gt;0,1,0)</f>
        <v>0</v>
      </c>
      <c r="K322">
        <f>IF(COUNTIFS('United Data'!$A$3:$A$3390,K$1,'United Data'!$C$3:$C$3390,$A322,'United Data'!$B$3:$B$3390,"&lt;&gt;Off-street")&gt;0,1,0)</f>
        <v>0</v>
      </c>
      <c r="L322">
        <f>IF(COUNTIFS('United Data'!$A$3:$A$3390,L$1,'United Data'!$C$3:$C$3390,$A322,'United Data'!$B$3:$B$3390,"&lt;&gt;Off-street")&gt;0,1,0)</f>
        <v>0</v>
      </c>
      <c r="M322">
        <f>IF(COUNTIFS('United Data'!$A$3:$A$3390,M$1,'United Data'!$C$3:$C$3390,$A322,'United Data'!$B$3:$B$3390,"&lt;&gt;Off-street")&gt;0,1,0)</f>
        <v>1</v>
      </c>
      <c r="N322">
        <f>IF(COUNTIFS('United Data'!$A$3:$A$3390,N$1,'United Data'!$C$3:$C$3390,$A322,'United Data'!$B$3:$B$3390,"&lt;&gt;Off-street")&gt;0,1,0)</f>
        <v>0</v>
      </c>
      <c r="O322">
        <f>IF(COUNTIFS('United Data'!$A$3:$A$3390,O$1,'United Data'!$C$3:$C$3390,$A322,'United Data'!$B$3:$B$3390,"&lt;&gt;Off-street")&gt;0,1,0)</f>
        <v>0</v>
      </c>
      <c r="P322">
        <f>IF(COUNTIFS('United Data'!$A$3:$A$3390,P$1,'United Data'!$C$3:$C$3390,$A322,'United Data'!$B$3:$B$3390,"&lt;&gt;Off-street")&gt;0,1,0)</f>
        <v>0</v>
      </c>
      <c r="Q322">
        <f>IF(COUNTIFS('United Data'!$A$3:$A$3390,Q$1,'United Data'!$C$3:$C$3390,$A322,'United Data'!$B$3:$B$3390,"&lt;&gt;Off-street")&gt;0,1,0)</f>
        <v>0</v>
      </c>
      <c r="R322">
        <f>IF(COUNTIFS('United Data'!$A$3:$A$3390,R$1,'United Data'!$C$3:$C$3390,$A322,'United Data'!$B$3:$B$3390,"&lt;&gt;Off-street")&gt;0,1,0)</f>
        <v>0</v>
      </c>
      <c r="S322">
        <f t="shared" ref="S322:S385" si="10">SUM(B322:R322)</f>
        <v>1</v>
      </c>
      <c r="T322">
        <f t="shared" ref="T322:T385" si="11">B322+SUMPRODUCT(--(C322:R322&gt;B322:Q322))</f>
        <v>1</v>
      </c>
    </row>
    <row r="323" spans="1:20" x14ac:dyDescent="0.2">
      <c r="A323" t="s">
        <v>412</v>
      </c>
      <c r="B323">
        <f>IF(COUNTIFS('United Data'!$A$3:$A$3390,B$1,'United Data'!$C$3:$C$3390,$A323,'United Data'!$B$3:$B$3390,"&lt;&gt;Off-street")&gt;0,1,0)</f>
        <v>0</v>
      </c>
      <c r="C323">
        <f>IF(COUNTIFS('United Data'!$A$3:$A$3390,C$1,'United Data'!$C$3:$C$3390,$A323,'United Data'!$B$3:$B$3390,"&lt;&gt;Off-street")&gt;0,1,0)</f>
        <v>0</v>
      </c>
      <c r="D323">
        <f>IF(COUNTIFS('United Data'!$A$3:$A$3390,D$1,'United Data'!$C$3:$C$3390,$A323,'United Data'!$B$3:$B$3390,"&lt;&gt;Off-street")&gt;0,1,0)</f>
        <v>0</v>
      </c>
      <c r="E323">
        <f>IF(COUNTIFS('United Data'!$A$3:$A$3390,E$1,'United Data'!$C$3:$C$3390,$A323,'United Data'!$B$3:$B$3390,"&lt;&gt;Off-street")&gt;0,1,0)</f>
        <v>0</v>
      </c>
      <c r="F323">
        <f>IF(COUNTIFS('United Data'!$A$3:$A$3390,F$1,'United Data'!$C$3:$C$3390,$A323,'United Data'!$B$3:$B$3390,"&lt;&gt;Off-street")&gt;0,1,0)</f>
        <v>0</v>
      </c>
      <c r="G323">
        <f>IF(COUNTIFS('United Data'!$A$3:$A$3390,G$1,'United Data'!$C$3:$C$3390,$A323,'United Data'!$B$3:$B$3390,"&lt;&gt;Off-street")&gt;0,1,0)</f>
        <v>0</v>
      </c>
      <c r="H323">
        <f>IF(COUNTIFS('United Data'!$A$3:$A$3390,H$1,'United Data'!$C$3:$C$3390,$A323,'United Data'!$B$3:$B$3390,"&lt;&gt;Off-street")&gt;0,1,0)</f>
        <v>0</v>
      </c>
      <c r="I323">
        <f>IF(COUNTIFS('United Data'!$A$3:$A$3390,I$1,'United Data'!$C$3:$C$3390,$A323,'United Data'!$B$3:$B$3390,"&lt;&gt;Off-street")&gt;0,1,0)</f>
        <v>0</v>
      </c>
      <c r="J323">
        <f>IF(COUNTIFS('United Data'!$A$3:$A$3390,J$1,'United Data'!$C$3:$C$3390,$A323,'United Data'!$B$3:$B$3390,"&lt;&gt;Off-street")&gt;0,1,0)</f>
        <v>0</v>
      </c>
      <c r="K323">
        <f>IF(COUNTIFS('United Data'!$A$3:$A$3390,K$1,'United Data'!$C$3:$C$3390,$A323,'United Data'!$B$3:$B$3390,"&lt;&gt;Off-street")&gt;0,1,0)</f>
        <v>0</v>
      </c>
      <c r="L323">
        <f>IF(COUNTIFS('United Data'!$A$3:$A$3390,L$1,'United Data'!$C$3:$C$3390,$A323,'United Data'!$B$3:$B$3390,"&lt;&gt;Off-street")&gt;0,1,0)</f>
        <v>0</v>
      </c>
      <c r="M323">
        <f>IF(COUNTIFS('United Data'!$A$3:$A$3390,M$1,'United Data'!$C$3:$C$3390,$A323,'United Data'!$B$3:$B$3390,"&lt;&gt;Off-street")&gt;0,1,0)</f>
        <v>0</v>
      </c>
      <c r="N323">
        <f>IF(COUNTIFS('United Data'!$A$3:$A$3390,N$1,'United Data'!$C$3:$C$3390,$A323,'United Data'!$B$3:$B$3390,"&lt;&gt;Off-street")&gt;0,1,0)</f>
        <v>1</v>
      </c>
      <c r="O323">
        <f>IF(COUNTIFS('United Data'!$A$3:$A$3390,O$1,'United Data'!$C$3:$C$3390,$A323,'United Data'!$B$3:$B$3390,"&lt;&gt;Off-street")&gt;0,1,0)</f>
        <v>0</v>
      </c>
      <c r="P323">
        <f>IF(COUNTIFS('United Data'!$A$3:$A$3390,P$1,'United Data'!$C$3:$C$3390,$A323,'United Data'!$B$3:$B$3390,"&lt;&gt;Off-street")&gt;0,1,0)</f>
        <v>0</v>
      </c>
      <c r="Q323">
        <f>IF(COUNTIFS('United Data'!$A$3:$A$3390,Q$1,'United Data'!$C$3:$C$3390,$A323,'United Data'!$B$3:$B$3390,"&lt;&gt;Off-street")&gt;0,1,0)</f>
        <v>0</v>
      </c>
      <c r="R323">
        <f>IF(COUNTIFS('United Data'!$A$3:$A$3390,R$1,'United Data'!$C$3:$C$3390,$A323,'United Data'!$B$3:$B$3390,"&lt;&gt;Off-street")&gt;0,1,0)</f>
        <v>0</v>
      </c>
      <c r="S323">
        <f t="shared" si="10"/>
        <v>1</v>
      </c>
      <c r="T323">
        <f t="shared" si="11"/>
        <v>1</v>
      </c>
    </row>
    <row r="324" spans="1:20" x14ac:dyDescent="0.2">
      <c r="A324" t="s">
        <v>413</v>
      </c>
      <c r="B324">
        <f>IF(COUNTIFS('United Data'!$A$3:$A$3390,B$1,'United Data'!$C$3:$C$3390,$A324,'United Data'!$B$3:$B$3390,"&lt;&gt;Off-street")&gt;0,1,0)</f>
        <v>0</v>
      </c>
      <c r="C324">
        <f>IF(COUNTIFS('United Data'!$A$3:$A$3390,C$1,'United Data'!$C$3:$C$3390,$A324,'United Data'!$B$3:$B$3390,"&lt;&gt;Off-street")&gt;0,1,0)</f>
        <v>0</v>
      </c>
      <c r="D324">
        <f>IF(COUNTIFS('United Data'!$A$3:$A$3390,D$1,'United Data'!$C$3:$C$3390,$A324,'United Data'!$B$3:$B$3390,"&lt;&gt;Off-street")&gt;0,1,0)</f>
        <v>0</v>
      </c>
      <c r="E324">
        <f>IF(COUNTIFS('United Data'!$A$3:$A$3390,E$1,'United Data'!$C$3:$C$3390,$A324,'United Data'!$B$3:$B$3390,"&lt;&gt;Off-street")&gt;0,1,0)</f>
        <v>0</v>
      </c>
      <c r="F324">
        <f>IF(COUNTIFS('United Data'!$A$3:$A$3390,F$1,'United Data'!$C$3:$C$3390,$A324,'United Data'!$B$3:$B$3390,"&lt;&gt;Off-street")&gt;0,1,0)</f>
        <v>0</v>
      </c>
      <c r="G324">
        <f>IF(COUNTIFS('United Data'!$A$3:$A$3390,G$1,'United Data'!$C$3:$C$3390,$A324,'United Data'!$B$3:$B$3390,"&lt;&gt;Off-street")&gt;0,1,0)</f>
        <v>0</v>
      </c>
      <c r="H324">
        <f>IF(COUNTIFS('United Data'!$A$3:$A$3390,H$1,'United Data'!$C$3:$C$3390,$A324,'United Data'!$B$3:$B$3390,"&lt;&gt;Off-street")&gt;0,1,0)</f>
        <v>0</v>
      </c>
      <c r="I324">
        <f>IF(COUNTIFS('United Data'!$A$3:$A$3390,I$1,'United Data'!$C$3:$C$3390,$A324,'United Data'!$B$3:$B$3390,"&lt;&gt;Off-street")&gt;0,1,0)</f>
        <v>0</v>
      </c>
      <c r="J324">
        <f>IF(COUNTIFS('United Data'!$A$3:$A$3390,J$1,'United Data'!$C$3:$C$3390,$A324,'United Data'!$B$3:$B$3390,"&lt;&gt;Off-street")&gt;0,1,0)</f>
        <v>0</v>
      </c>
      <c r="K324">
        <f>IF(COUNTIFS('United Data'!$A$3:$A$3390,K$1,'United Data'!$C$3:$C$3390,$A324,'United Data'!$B$3:$B$3390,"&lt;&gt;Off-street")&gt;0,1,0)</f>
        <v>0</v>
      </c>
      <c r="L324">
        <f>IF(COUNTIFS('United Data'!$A$3:$A$3390,L$1,'United Data'!$C$3:$C$3390,$A324,'United Data'!$B$3:$B$3390,"&lt;&gt;Off-street")&gt;0,1,0)</f>
        <v>0</v>
      </c>
      <c r="M324">
        <f>IF(COUNTIFS('United Data'!$A$3:$A$3390,M$1,'United Data'!$C$3:$C$3390,$A324,'United Data'!$B$3:$B$3390,"&lt;&gt;Off-street")&gt;0,1,0)</f>
        <v>0</v>
      </c>
      <c r="N324">
        <f>IF(COUNTIFS('United Data'!$A$3:$A$3390,N$1,'United Data'!$C$3:$C$3390,$A324,'United Data'!$B$3:$B$3390,"&lt;&gt;Off-street")&gt;0,1,0)</f>
        <v>1</v>
      </c>
      <c r="O324">
        <f>IF(COUNTIFS('United Data'!$A$3:$A$3390,O$1,'United Data'!$C$3:$C$3390,$A324,'United Data'!$B$3:$B$3390,"&lt;&gt;Off-street")&gt;0,1,0)</f>
        <v>0</v>
      </c>
      <c r="P324">
        <f>IF(COUNTIFS('United Data'!$A$3:$A$3390,P$1,'United Data'!$C$3:$C$3390,$A324,'United Data'!$B$3:$B$3390,"&lt;&gt;Off-street")&gt;0,1,0)</f>
        <v>0</v>
      </c>
      <c r="Q324">
        <f>IF(COUNTIFS('United Data'!$A$3:$A$3390,Q$1,'United Data'!$C$3:$C$3390,$A324,'United Data'!$B$3:$B$3390,"&lt;&gt;Off-street")&gt;0,1,0)</f>
        <v>0</v>
      </c>
      <c r="R324">
        <f>IF(COUNTIFS('United Data'!$A$3:$A$3390,R$1,'United Data'!$C$3:$C$3390,$A324,'United Data'!$B$3:$B$3390,"&lt;&gt;Off-street")&gt;0,1,0)</f>
        <v>0</v>
      </c>
      <c r="S324">
        <f t="shared" si="10"/>
        <v>1</v>
      </c>
      <c r="T324">
        <f t="shared" si="11"/>
        <v>1</v>
      </c>
    </row>
    <row r="325" spans="1:20" x14ac:dyDescent="0.2">
      <c r="A325" t="s">
        <v>414</v>
      </c>
      <c r="B325">
        <f>IF(COUNTIFS('United Data'!$A$3:$A$3390,B$1,'United Data'!$C$3:$C$3390,$A325,'United Data'!$B$3:$B$3390,"&lt;&gt;Off-street")&gt;0,1,0)</f>
        <v>0</v>
      </c>
      <c r="C325">
        <f>IF(COUNTIFS('United Data'!$A$3:$A$3390,C$1,'United Data'!$C$3:$C$3390,$A325,'United Data'!$B$3:$B$3390,"&lt;&gt;Off-street")&gt;0,1,0)</f>
        <v>0</v>
      </c>
      <c r="D325">
        <f>IF(COUNTIFS('United Data'!$A$3:$A$3390,D$1,'United Data'!$C$3:$C$3390,$A325,'United Data'!$B$3:$B$3390,"&lt;&gt;Off-street")&gt;0,1,0)</f>
        <v>0</v>
      </c>
      <c r="E325">
        <f>IF(COUNTIFS('United Data'!$A$3:$A$3390,E$1,'United Data'!$C$3:$C$3390,$A325,'United Data'!$B$3:$B$3390,"&lt;&gt;Off-street")&gt;0,1,0)</f>
        <v>0</v>
      </c>
      <c r="F325">
        <f>IF(COUNTIFS('United Data'!$A$3:$A$3390,F$1,'United Data'!$C$3:$C$3390,$A325,'United Data'!$B$3:$B$3390,"&lt;&gt;Off-street")&gt;0,1,0)</f>
        <v>0</v>
      </c>
      <c r="G325">
        <f>IF(COUNTIFS('United Data'!$A$3:$A$3390,G$1,'United Data'!$C$3:$C$3390,$A325,'United Data'!$B$3:$B$3390,"&lt;&gt;Off-street")&gt;0,1,0)</f>
        <v>0</v>
      </c>
      <c r="H325">
        <f>IF(COUNTIFS('United Data'!$A$3:$A$3390,H$1,'United Data'!$C$3:$C$3390,$A325,'United Data'!$B$3:$B$3390,"&lt;&gt;Off-street")&gt;0,1,0)</f>
        <v>0</v>
      </c>
      <c r="I325">
        <f>IF(COUNTIFS('United Data'!$A$3:$A$3390,I$1,'United Data'!$C$3:$C$3390,$A325,'United Data'!$B$3:$B$3390,"&lt;&gt;Off-street")&gt;0,1,0)</f>
        <v>0</v>
      </c>
      <c r="J325">
        <f>IF(COUNTIFS('United Data'!$A$3:$A$3390,J$1,'United Data'!$C$3:$C$3390,$A325,'United Data'!$B$3:$B$3390,"&lt;&gt;Off-street")&gt;0,1,0)</f>
        <v>0</v>
      </c>
      <c r="K325">
        <f>IF(COUNTIFS('United Data'!$A$3:$A$3390,K$1,'United Data'!$C$3:$C$3390,$A325,'United Data'!$B$3:$B$3390,"&lt;&gt;Off-street")&gt;0,1,0)</f>
        <v>0</v>
      </c>
      <c r="L325">
        <f>IF(COUNTIFS('United Data'!$A$3:$A$3390,L$1,'United Data'!$C$3:$C$3390,$A325,'United Data'!$B$3:$B$3390,"&lt;&gt;Off-street")&gt;0,1,0)</f>
        <v>0</v>
      </c>
      <c r="M325">
        <f>IF(COUNTIFS('United Data'!$A$3:$A$3390,M$1,'United Data'!$C$3:$C$3390,$A325,'United Data'!$B$3:$B$3390,"&lt;&gt;Off-street")&gt;0,1,0)</f>
        <v>0</v>
      </c>
      <c r="N325">
        <f>IF(COUNTIFS('United Data'!$A$3:$A$3390,N$1,'United Data'!$C$3:$C$3390,$A325,'United Data'!$B$3:$B$3390,"&lt;&gt;Off-street")&gt;0,1,0)</f>
        <v>1</v>
      </c>
      <c r="O325">
        <f>IF(COUNTIFS('United Data'!$A$3:$A$3390,O$1,'United Data'!$C$3:$C$3390,$A325,'United Data'!$B$3:$B$3390,"&lt;&gt;Off-street")&gt;0,1,0)</f>
        <v>0</v>
      </c>
      <c r="P325">
        <f>IF(COUNTIFS('United Data'!$A$3:$A$3390,P$1,'United Data'!$C$3:$C$3390,$A325,'United Data'!$B$3:$B$3390,"&lt;&gt;Off-street")&gt;0,1,0)</f>
        <v>0</v>
      </c>
      <c r="Q325">
        <f>IF(COUNTIFS('United Data'!$A$3:$A$3390,Q$1,'United Data'!$C$3:$C$3390,$A325,'United Data'!$B$3:$B$3390,"&lt;&gt;Off-street")&gt;0,1,0)</f>
        <v>0</v>
      </c>
      <c r="R325">
        <f>IF(COUNTIFS('United Data'!$A$3:$A$3390,R$1,'United Data'!$C$3:$C$3390,$A325,'United Data'!$B$3:$B$3390,"&lt;&gt;Off-street")&gt;0,1,0)</f>
        <v>0</v>
      </c>
      <c r="S325">
        <f t="shared" si="10"/>
        <v>1</v>
      </c>
      <c r="T325">
        <f t="shared" si="11"/>
        <v>1</v>
      </c>
    </row>
    <row r="326" spans="1:20" x14ac:dyDescent="0.2">
      <c r="A326" t="s">
        <v>415</v>
      </c>
      <c r="B326">
        <f>IF(COUNTIFS('United Data'!$A$3:$A$3390,B$1,'United Data'!$C$3:$C$3390,$A326,'United Data'!$B$3:$B$3390,"&lt;&gt;Off-street")&gt;0,1,0)</f>
        <v>0</v>
      </c>
      <c r="C326">
        <f>IF(COUNTIFS('United Data'!$A$3:$A$3390,C$1,'United Data'!$C$3:$C$3390,$A326,'United Data'!$B$3:$B$3390,"&lt;&gt;Off-street")&gt;0,1,0)</f>
        <v>0</v>
      </c>
      <c r="D326">
        <f>IF(COUNTIFS('United Data'!$A$3:$A$3390,D$1,'United Data'!$C$3:$C$3390,$A326,'United Data'!$B$3:$B$3390,"&lt;&gt;Off-street")&gt;0,1,0)</f>
        <v>0</v>
      </c>
      <c r="E326">
        <f>IF(COUNTIFS('United Data'!$A$3:$A$3390,E$1,'United Data'!$C$3:$C$3390,$A326,'United Data'!$B$3:$B$3390,"&lt;&gt;Off-street")&gt;0,1,0)</f>
        <v>0</v>
      </c>
      <c r="F326">
        <f>IF(COUNTIFS('United Data'!$A$3:$A$3390,F$1,'United Data'!$C$3:$C$3390,$A326,'United Data'!$B$3:$B$3390,"&lt;&gt;Off-street")&gt;0,1,0)</f>
        <v>0</v>
      </c>
      <c r="G326">
        <f>IF(COUNTIFS('United Data'!$A$3:$A$3390,G$1,'United Data'!$C$3:$C$3390,$A326,'United Data'!$B$3:$B$3390,"&lt;&gt;Off-street")&gt;0,1,0)</f>
        <v>0</v>
      </c>
      <c r="H326">
        <f>IF(COUNTIFS('United Data'!$A$3:$A$3390,H$1,'United Data'!$C$3:$C$3390,$A326,'United Data'!$B$3:$B$3390,"&lt;&gt;Off-street")&gt;0,1,0)</f>
        <v>0</v>
      </c>
      <c r="I326">
        <f>IF(COUNTIFS('United Data'!$A$3:$A$3390,I$1,'United Data'!$C$3:$C$3390,$A326,'United Data'!$B$3:$B$3390,"&lt;&gt;Off-street")&gt;0,1,0)</f>
        <v>0</v>
      </c>
      <c r="J326">
        <f>IF(COUNTIFS('United Data'!$A$3:$A$3390,J$1,'United Data'!$C$3:$C$3390,$A326,'United Data'!$B$3:$B$3390,"&lt;&gt;Off-street")&gt;0,1,0)</f>
        <v>0</v>
      </c>
      <c r="K326">
        <f>IF(COUNTIFS('United Data'!$A$3:$A$3390,K$1,'United Data'!$C$3:$C$3390,$A326,'United Data'!$B$3:$B$3390,"&lt;&gt;Off-street")&gt;0,1,0)</f>
        <v>0</v>
      </c>
      <c r="L326">
        <f>IF(COUNTIFS('United Data'!$A$3:$A$3390,L$1,'United Data'!$C$3:$C$3390,$A326,'United Data'!$B$3:$B$3390,"&lt;&gt;Off-street")&gt;0,1,0)</f>
        <v>0</v>
      </c>
      <c r="M326">
        <f>IF(COUNTIFS('United Data'!$A$3:$A$3390,M$1,'United Data'!$C$3:$C$3390,$A326,'United Data'!$B$3:$B$3390,"&lt;&gt;Off-street")&gt;0,1,0)</f>
        <v>0</v>
      </c>
      <c r="N326">
        <f>IF(COUNTIFS('United Data'!$A$3:$A$3390,N$1,'United Data'!$C$3:$C$3390,$A326,'United Data'!$B$3:$B$3390,"&lt;&gt;Off-street")&gt;0,1,0)</f>
        <v>1</v>
      </c>
      <c r="O326">
        <f>IF(COUNTIFS('United Data'!$A$3:$A$3390,O$1,'United Data'!$C$3:$C$3390,$A326,'United Data'!$B$3:$B$3390,"&lt;&gt;Off-street")&gt;0,1,0)</f>
        <v>0</v>
      </c>
      <c r="P326">
        <f>IF(COUNTIFS('United Data'!$A$3:$A$3390,P$1,'United Data'!$C$3:$C$3390,$A326,'United Data'!$B$3:$B$3390,"&lt;&gt;Off-street")&gt;0,1,0)</f>
        <v>0</v>
      </c>
      <c r="Q326">
        <f>IF(COUNTIFS('United Data'!$A$3:$A$3390,Q$1,'United Data'!$C$3:$C$3390,$A326,'United Data'!$B$3:$B$3390,"&lt;&gt;Off-street")&gt;0,1,0)</f>
        <v>0</v>
      </c>
      <c r="R326">
        <f>IF(COUNTIFS('United Data'!$A$3:$A$3390,R$1,'United Data'!$C$3:$C$3390,$A326,'United Data'!$B$3:$B$3390,"&lt;&gt;Off-street")&gt;0,1,0)</f>
        <v>0</v>
      </c>
      <c r="S326">
        <f t="shared" si="10"/>
        <v>1</v>
      </c>
      <c r="T326">
        <f t="shared" si="11"/>
        <v>1</v>
      </c>
    </row>
    <row r="327" spans="1:20" x14ac:dyDescent="0.2">
      <c r="A327" t="s">
        <v>416</v>
      </c>
      <c r="B327">
        <f>IF(COUNTIFS('United Data'!$A$3:$A$3390,B$1,'United Data'!$C$3:$C$3390,$A327,'United Data'!$B$3:$B$3390,"&lt;&gt;Off-street")&gt;0,1,0)</f>
        <v>0</v>
      </c>
      <c r="C327">
        <f>IF(COUNTIFS('United Data'!$A$3:$A$3390,C$1,'United Data'!$C$3:$C$3390,$A327,'United Data'!$B$3:$B$3390,"&lt;&gt;Off-street")&gt;0,1,0)</f>
        <v>0</v>
      </c>
      <c r="D327">
        <f>IF(COUNTIFS('United Data'!$A$3:$A$3390,D$1,'United Data'!$C$3:$C$3390,$A327,'United Data'!$B$3:$B$3390,"&lt;&gt;Off-street")&gt;0,1,0)</f>
        <v>0</v>
      </c>
      <c r="E327">
        <f>IF(COUNTIFS('United Data'!$A$3:$A$3390,E$1,'United Data'!$C$3:$C$3390,$A327,'United Data'!$B$3:$B$3390,"&lt;&gt;Off-street")&gt;0,1,0)</f>
        <v>0</v>
      </c>
      <c r="F327">
        <f>IF(COUNTIFS('United Data'!$A$3:$A$3390,F$1,'United Data'!$C$3:$C$3390,$A327,'United Data'!$B$3:$B$3390,"&lt;&gt;Off-street")&gt;0,1,0)</f>
        <v>0</v>
      </c>
      <c r="G327">
        <f>IF(COUNTIFS('United Data'!$A$3:$A$3390,G$1,'United Data'!$C$3:$C$3390,$A327,'United Data'!$B$3:$B$3390,"&lt;&gt;Off-street")&gt;0,1,0)</f>
        <v>0</v>
      </c>
      <c r="H327">
        <f>IF(COUNTIFS('United Data'!$A$3:$A$3390,H$1,'United Data'!$C$3:$C$3390,$A327,'United Data'!$B$3:$B$3390,"&lt;&gt;Off-street")&gt;0,1,0)</f>
        <v>0</v>
      </c>
      <c r="I327">
        <f>IF(COUNTIFS('United Data'!$A$3:$A$3390,I$1,'United Data'!$C$3:$C$3390,$A327,'United Data'!$B$3:$B$3390,"&lt;&gt;Off-street")&gt;0,1,0)</f>
        <v>0</v>
      </c>
      <c r="J327">
        <f>IF(COUNTIFS('United Data'!$A$3:$A$3390,J$1,'United Data'!$C$3:$C$3390,$A327,'United Data'!$B$3:$B$3390,"&lt;&gt;Off-street")&gt;0,1,0)</f>
        <v>0</v>
      </c>
      <c r="K327">
        <f>IF(COUNTIFS('United Data'!$A$3:$A$3390,K$1,'United Data'!$C$3:$C$3390,$A327,'United Data'!$B$3:$B$3390,"&lt;&gt;Off-street")&gt;0,1,0)</f>
        <v>0</v>
      </c>
      <c r="L327">
        <f>IF(COUNTIFS('United Data'!$A$3:$A$3390,L$1,'United Data'!$C$3:$C$3390,$A327,'United Data'!$B$3:$B$3390,"&lt;&gt;Off-street")&gt;0,1,0)</f>
        <v>0</v>
      </c>
      <c r="M327">
        <f>IF(COUNTIFS('United Data'!$A$3:$A$3390,M$1,'United Data'!$C$3:$C$3390,$A327,'United Data'!$B$3:$B$3390,"&lt;&gt;Off-street")&gt;0,1,0)</f>
        <v>0</v>
      </c>
      <c r="N327">
        <f>IF(COUNTIFS('United Data'!$A$3:$A$3390,N$1,'United Data'!$C$3:$C$3390,$A327,'United Data'!$B$3:$B$3390,"&lt;&gt;Off-street")&gt;0,1,0)</f>
        <v>0</v>
      </c>
      <c r="O327">
        <f>IF(COUNTIFS('United Data'!$A$3:$A$3390,O$1,'United Data'!$C$3:$C$3390,$A327,'United Data'!$B$3:$B$3390,"&lt;&gt;Off-street")&gt;0,1,0)</f>
        <v>1</v>
      </c>
      <c r="P327">
        <f>IF(COUNTIFS('United Data'!$A$3:$A$3390,P$1,'United Data'!$C$3:$C$3390,$A327,'United Data'!$B$3:$B$3390,"&lt;&gt;Off-street")&gt;0,1,0)</f>
        <v>1</v>
      </c>
      <c r="Q327">
        <f>IF(COUNTIFS('United Data'!$A$3:$A$3390,Q$1,'United Data'!$C$3:$C$3390,$A327,'United Data'!$B$3:$B$3390,"&lt;&gt;Off-street")&gt;0,1,0)</f>
        <v>1</v>
      </c>
      <c r="R327">
        <f>IF(COUNTIFS('United Data'!$A$3:$A$3390,R$1,'United Data'!$C$3:$C$3390,$A327,'United Data'!$B$3:$B$3390,"&lt;&gt;Off-street")&gt;0,1,0)</f>
        <v>0</v>
      </c>
      <c r="S327">
        <f t="shared" si="10"/>
        <v>3</v>
      </c>
      <c r="T327">
        <f t="shared" si="11"/>
        <v>1</v>
      </c>
    </row>
    <row r="328" spans="1:20" x14ac:dyDescent="0.2">
      <c r="A328" t="s">
        <v>417</v>
      </c>
      <c r="B328">
        <f>IF(COUNTIFS('United Data'!$A$3:$A$3390,B$1,'United Data'!$C$3:$C$3390,$A328,'United Data'!$B$3:$B$3390,"&lt;&gt;Off-street")&gt;0,1,0)</f>
        <v>0</v>
      </c>
      <c r="C328">
        <f>IF(COUNTIFS('United Data'!$A$3:$A$3390,C$1,'United Data'!$C$3:$C$3390,$A328,'United Data'!$B$3:$B$3390,"&lt;&gt;Off-street")&gt;0,1,0)</f>
        <v>0</v>
      </c>
      <c r="D328">
        <f>IF(COUNTIFS('United Data'!$A$3:$A$3390,D$1,'United Data'!$C$3:$C$3390,$A328,'United Data'!$B$3:$B$3390,"&lt;&gt;Off-street")&gt;0,1,0)</f>
        <v>0</v>
      </c>
      <c r="E328">
        <f>IF(COUNTIFS('United Data'!$A$3:$A$3390,E$1,'United Data'!$C$3:$C$3390,$A328,'United Data'!$B$3:$B$3390,"&lt;&gt;Off-street")&gt;0,1,0)</f>
        <v>0</v>
      </c>
      <c r="F328">
        <f>IF(COUNTIFS('United Data'!$A$3:$A$3390,F$1,'United Data'!$C$3:$C$3390,$A328,'United Data'!$B$3:$B$3390,"&lt;&gt;Off-street")&gt;0,1,0)</f>
        <v>0</v>
      </c>
      <c r="G328">
        <f>IF(COUNTIFS('United Data'!$A$3:$A$3390,G$1,'United Data'!$C$3:$C$3390,$A328,'United Data'!$B$3:$B$3390,"&lt;&gt;Off-street")&gt;0,1,0)</f>
        <v>0</v>
      </c>
      <c r="H328">
        <f>IF(COUNTIFS('United Data'!$A$3:$A$3390,H$1,'United Data'!$C$3:$C$3390,$A328,'United Data'!$B$3:$B$3390,"&lt;&gt;Off-street")&gt;0,1,0)</f>
        <v>0</v>
      </c>
      <c r="I328">
        <f>IF(COUNTIFS('United Data'!$A$3:$A$3390,I$1,'United Data'!$C$3:$C$3390,$A328,'United Data'!$B$3:$B$3390,"&lt;&gt;Off-street")&gt;0,1,0)</f>
        <v>0</v>
      </c>
      <c r="J328">
        <f>IF(COUNTIFS('United Data'!$A$3:$A$3390,J$1,'United Data'!$C$3:$C$3390,$A328,'United Data'!$B$3:$B$3390,"&lt;&gt;Off-street")&gt;0,1,0)</f>
        <v>0</v>
      </c>
      <c r="K328">
        <f>IF(COUNTIFS('United Data'!$A$3:$A$3390,K$1,'United Data'!$C$3:$C$3390,$A328,'United Data'!$B$3:$B$3390,"&lt;&gt;Off-street")&gt;0,1,0)</f>
        <v>0</v>
      </c>
      <c r="L328">
        <f>IF(COUNTIFS('United Data'!$A$3:$A$3390,L$1,'United Data'!$C$3:$C$3390,$A328,'United Data'!$B$3:$B$3390,"&lt;&gt;Off-street")&gt;0,1,0)</f>
        <v>0</v>
      </c>
      <c r="M328">
        <f>IF(COUNTIFS('United Data'!$A$3:$A$3390,M$1,'United Data'!$C$3:$C$3390,$A328,'United Data'!$B$3:$B$3390,"&lt;&gt;Off-street")&gt;0,1,0)</f>
        <v>0</v>
      </c>
      <c r="N328">
        <f>IF(COUNTIFS('United Data'!$A$3:$A$3390,N$1,'United Data'!$C$3:$C$3390,$A328,'United Data'!$B$3:$B$3390,"&lt;&gt;Off-street")&gt;0,1,0)</f>
        <v>0</v>
      </c>
      <c r="O328">
        <f>IF(COUNTIFS('United Data'!$A$3:$A$3390,O$1,'United Data'!$C$3:$C$3390,$A328,'United Data'!$B$3:$B$3390,"&lt;&gt;Off-street")&gt;0,1,0)</f>
        <v>1</v>
      </c>
      <c r="P328">
        <f>IF(COUNTIFS('United Data'!$A$3:$A$3390,P$1,'United Data'!$C$3:$C$3390,$A328,'United Data'!$B$3:$B$3390,"&lt;&gt;Off-street")&gt;0,1,0)</f>
        <v>0</v>
      </c>
      <c r="Q328">
        <f>IF(COUNTIFS('United Data'!$A$3:$A$3390,Q$1,'United Data'!$C$3:$C$3390,$A328,'United Data'!$B$3:$B$3390,"&lt;&gt;Off-street")&gt;0,1,0)</f>
        <v>0</v>
      </c>
      <c r="R328">
        <f>IF(COUNTIFS('United Data'!$A$3:$A$3390,R$1,'United Data'!$C$3:$C$3390,$A328,'United Data'!$B$3:$B$3390,"&lt;&gt;Off-street")&gt;0,1,0)</f>
        <v>0</v>
      </c>
      <c r="S328">
        <f t="shared" si="10"/>
        <v>1</v>
      </c>
      <c r="T328">
        <f t="shared" si="11"/>
        <v>1</v>
      </c>
    </row>
    <row r="329" spans="1:20" x14ac:dyDescent="0.2">
      <c r="A329" t="s">
        <v>418</v>
      </c>
      <c r="B329">
        <f>IF(COUNTIFS('United Data'!$A$3:$A$3390,B$1,'United Data'!$C$3:$C$3390,$A329,'United Data'!$B$3:$B$3390,"&lt;&gt;Off-street")&gt;0,1,0)</f>
        <v>0</v>
      </c>
      <c r="C329">
        <f>IF(COUNTIFS('United Data'!$A$3:$A$3390,C$1,'United Data'!$C$3:$C$3390,$A329,'United Data'!$B$3:$B$3390,"&lt;&gt;Off-street")&gt;0,1,0)</f>
        <v>0</v>
      </c>
      <c r="D329">
        <f>IF(COUNTIFS('United Data'!$A$3:$A$3390,D$1,'United Data'!$C$3:$C$3390,$A329,'United Data'!$B$3:$B$3390,"&lt;&gt;Off-street")&gt;0,1,0)</f>
        <v>0</v>
      </c>
      <c r="E329">
        <f>IF(COUNTIFS('United Data'!$A$3:$A$3390,E$1,'United Data'!$C$3:$C$3390,$A329,'United Data'!$B$3:$B$3390,"&lt;&gt;Off-street")&gt;0,1,0)</f>
        <v>0</v>
      </c>
      <c r="F329">
        <f>IF(COUNTIFS('United Data'!$A$3:$A$3390,F$1,'United Data'!$C$3:$C$3390,$A329,'United Data'!$B$3:$B$3390,"&lt;&gt;Off-street")&gt;0,1,0)</f>
        <v>0</v>
      </c>
      <c r="G329">
        <f>IF(COUNTIFS('United Data'!$A$3:$A$3390,G$1,'United Data'!$C$3:$C$3390,$A329,'United Data'!$B$3:$B$3390,"&lt;&gt;Off-street")&gt;0,1,0)</f>
        <v>0</v>
      </c>
      <c r="H329">
        <f>IF(COUNTIFS('United Data'!$A$3:$A$3390,H$1,'United Data'!$C$3:$C$3390,$A329,'United Data'!$B$3:$B$3390,"&lt;&gt;Off-street")&gt;0,1,0)</f>
        <v>0</v>
      </c>
      <c r="I329">
        <f>IF(COUNTIFS('United Data'!$A$3:$A$3390,I$1,'United Data'!$C$3:$C$3390,$A329,'United Data'!$B$3:$B$3390,"&lt;&gt;Off-street")&gt;0,1,0)</f>
        <v>0</v>
      </c>
      <c r="J329">
        <f>IF(COUNTIFS('United Data'!$A$3:$A$3390,J$1,'United Data'!$C$3:$C$3390,$A329,'United Data'!$B$3:$B$3390,"&lt;&gt;Off-street")&gt;0,1,0)</f>
        <v>0</v>
      </c>
      <c r="K329">
        <f>IF(COUNTIFS('United Data'!$A$3:$A$3390,K$1,'United Data'!$C$3:$C$3390,$A329,'United Data'!$B$3:$B$3390,"&lt;&gt;Off-street")&gt;0,1,0)</f>
        <v>0</v>
      </c>
      <c r="L329">
        <f>IF(COUNTIFS('United Data'!$A$3:$A$3390,L$1,'United Data'!$C$3:$C$3390,$A329,'United Data'!$B$3:$B$3390,"&lt;&gt;Off-street")&gt;0,1,0)</f>
        <v>0</v>
      </c>
      <c r="M329">
        <f>IF(COUNTIFS('United Data'!$A$3:$A$3390,M$1,'United Data'!$C$3:$C$3390,$A329,'United Data'!$B$3:$B$3390,"&lt;&gt;Off-street")&gt;0,1,0)</f>
        <v>0</v>
      </c>
      <c r="N329">
        <f>IF(COUNTIFS('United Data'!$A$3:$A$3390,N$1,'United Data'!$C$3:$C$3390,$A329,'United Data'!$B$3:$B$3390,"&lt;&gt;Off-street")&gt;0,1,0)</f>
        <v>0</v>
      </c>
      <c r="O329">
        <f>IF(COUNTIFS('United Data'!$A$3:$A$3390,O$1,'United Data'!$C$3:$C$3390,$A329,'United Data'!$B$3:$B$3390,"&lt;&gt;Off-street")&gt;0,1,0)</f>
        <v>1</v>
      </c>
      <c r="P329">
        <f>IF(COUNTIFS('United Data'!$A$3:$A$3390,P$1,'United Data'!$C$3:$C$3390,$A329,'United Data'!$B$3:$B$3390,"&lt;&gt;Off-street")&gt;0,1,0)</f>
        <v>0</v>
      </c>
      <c r="Q329">
        <f>IF(COUNTIFS('United Data'!$A$3:$A$3390,Q$1,'United Data'!$C$3:$C$3390,$A329,'United Data'!$B$3:$B$3390,"&lt;&gt;Off-street")&gt;0,1,0)</f>
        <v>0</v>
      </c>
      <c r="R329">
        <f>IF(COUNTIFS('United Data'!$A$3:$A$3390,R$1,'United Data'!$C$3:$C$3390,$A329,'United Data'!$B$3:$B$3390,"&lt;&gt;Off-street")&gt;0,1,0)</f>
        <v>0</v>
      </c>
      <c r="S329">
        <f t="shared" si="10"/>
        <v>1</v>
      </c>
      <c r="T329">
        <f t="shared" si="11"/>
        <v>1</v>
      </c>
    </row>
    <row r="330" spans="1:20" x14ac:dyDescent="0.2">
      <c r="A330" t="s">
        <v>419</v>
      </c>
      <c r="B330">
        <f>IF(COUNTIFS('United Data'!$A$3:$A$3390,B$1,'United Data'!$C$3:$C$3390,$A330,'United Data'!$B$3:$B$3390,"&lt;&gt;Off-street")&gt;0,1,0)</f>
        <v>0</v>
      </c>
      <c r="C330">
        <f>IF(COUNTIFS('United Data'!$A$3:$A$3390,C$1,'United Data'!$C$3:$C$3390,$A330,'United Data'!$B$3:$B$3390,"&lt;&gt;Off-street")&gt;0,1,0)</f>
        <v>0</v>
      </c>
      <c r="D330">
        <f>IF(COUNTIFS('United Data'!$A$3:$A$3390,D$1,'United Data'!$C$3:$C$3390,$A330,'United Data'!$B$3:$B$3390,"&lt;&gt;Off-street")&gt;0,1,0)</f>
        <v>0</v>
      </c>
      <c r="E330">
        <f>IF(COUNTIFS('United Data'!$A$3:$A$3390,E$1,'United Data'!$C$3:$C$3390,$A330,'United Data'!$B$3:$B$3390,"&lt;&gt;Off-street")&gt;0,1,0)</f>
        <v>0</v>
      </c>
      <c r="F330">
        <f>IF(COUNTIFS('United Data'!$A$3:$A$3390,F$1,'United Data'!$C$3:$C$3390,$A330,'United Data'!$B$3:$B$3390,"&lt;&gt;Off-street")&gt;0,1,0)</f>
        <v>0</v>
      </c>
      <c r="G330">
        <f>IF(COUNTIFS('United Data'!$A$3:$A$3390,G$1,'United Data'!$C$3:$C$3390,$A330,'United Data'!$B$3:$B$3390,"&lt;&gt;Off-street")&gt;0,1,0)</f>
        <v>0</v>
      </c>
      <c r="H330">
        <f>IF(COUNTIFS('United Data'!$A$3:$A$3390,H$1,'United Data'!$C$3:$C$3390,$A330,'United Data'!$B$3:$B$3390,"&lt;&gt;Off-street")&gt;0,1,0)</f>
        <v>0</v>
      </c>
      <c r="I330">
        <f>IF(COUNTIFS('United Data'!$A$3:$A$3390,I$1,'United Data'!$C$3:$C$3390,$A330,'United Data'!$B$3:$B$3390,"&lt;&gt;Off-street")&gt;0,1,0)</f>
        <v>0</v>
      </c>
      <c r="J330">
        <f>IF(COUNTIFS('United Data'!$A$3:$A$3390,J$1,'United Data'!$C$3:$C$3390,$A330,'United Data'!$B$3:$B$3390,"&lt;&gt;Off-street")&gt;0,1,0)</f>
        <v>0</v>
      </c>
      <c r="K330">
        <f>IF(COUNTIFS('United Data'!$A$3:$A$3390,K$1,'United Data'!$C$3:$C$3390,$A330,'United Data'!$B$3:$B$3390,"&lt;&gt;Off-street")&gt;0,1,0)</f>
        <v>0</v>
      </c>
      <c r="L330">
        <f>IF(COUNTIFS('United Data'!$A$3:$A$3390,L$1,'United Data'!$C$3:$C$3390,$A330,'United Data'!$B$3:$B$3390,"&lt;&gt;Off-street")&gt;0,1,0)</f>
        <v>0</v>
      </c>
      <c r="M330">
        <f>IF(COUNTIFS('United Data'!$A$3:$A$3390,M$1,'United Data'!$C$3:$C$3390,$A330,'United Data'!$B$3:$B$3390,"&lt;&gt;Off-street")&gt;0,1,0)</f>
        <v>0</v>
      </c>
      <c r="N330">
        <f>IF(COUNTIFS('United Data'!$A$3:$A$3390,N$1,'United Data'!$C$3:$C$3390,$A330,'United Data'!$B$3:$B$3390,"&lt;&gt;Off-street")&gt;0,1,0)</f>
        <v>0</v>
      </c>
      <c r="O330">
        <f>IF(COUNTIFS('United Data'!$A$3:$A$3390,O$1,'United Data'!$C$3:$C$3390,$A330,'United Data'!$B$3:$B$3390,"&lt;&gt;Off-street")&gt;0,1,0)</f>
        <v>1</v>
      </c>
      <c r="P330">
        <f>IF(COUNTIFS('United Data'!$A$3:$A$3390,P$1,'United Data'!$C$3:$C$3390,$A330,'United Data'!$B$3:$B$3390,"&lt;&gt;Off-street")&gt;0,1,0)</f>
        <v>0</v>
      </c>
      <c r="Q330">
        <f>IF(COUNTIFS('United Data'!$A$3:$A$3390,Q$1,'United Data'!$C$3:$C$3390,$A330,'United Data'!$B$3:$B$3390,"&lt;&gt;Off-street")&gt;0,1,0)</f>
        <v>0</v>
      </c>
      <c r="R330">
        <f>IF(COUNTIFS('United Data'!$A$3:$A$3390,R$1,'United Data'!$C$3:$C$3390,$A330,'United Data'!$B$3:$B$3390,"&lt;&gt;Off-street")&gt;0,1,0)</f>
        <v>0</v>
      </c>
      <c r="S330">
        <f t="shared" si="10"/>
        <v>1</v>
      </c>
      <c r="T330">
        <f t="shared" si="11"/>
        <v>1</v>
      </c>
    </row>
    <row r="331" spans="1:20" x14ac:dyDescent="0.2">
      <c r="A331" t="s">
        <v>420</v>
      </c>
      <c r="B331">
        <f>IF(COUNTIFS('United Data'!$A$3:$A$3390,B$1,'United Data'!$C$3:$C$3390,$A331,'United Data'!$B$3:$B$3390,"&lt;&gt;Off-street")&gt;0,1,0)</f>
        <v>0</v>
      </c>
      <c r="C331">
        <f>IF(COUNTIFS('United Data'!$A$3:$A$3390,C$1,'United Data'!$C$3:$C$3390,$A331,'United Data'!$B$3:$B$3390,"&lt;&gt;Off-street")&gt;0,1,0)</f>
        <v>0</v>
      </c>
      <c r="D331">
        <f>IF(COUNTIFS('United Data'!$A$3:$A$3390,D$1,'United Data'!$C$3:$C$3390,$A331,'United Data'!$B$3:$B$3390,"&lt;&gt;Off-street")&gt;0,1,0)</f>
        <v>0</v>
      </c>
      <c r="E331">
        <f>IF(COUNTIFS('United Data'!$A$3:$A$3390,E$1,'United Data'!$C$3:$C$3390,$A331,'United Data'!$B$3:$B$3390,"&lt;&gt;Off-street")&gt;0,1,0)</f>
        <v>0</v>
      </c>
      <c r="F331">
        <f>IF(COUNTIFS('United Data'!$A$3:$A$3390,F$1,'United Data'!$C$3:$C$3390,$A331,'United Data'!$B$3:$B$3390,"&lt;&gt;Off-street")&gt;0,1,0)</f>
        <v>0</v>
      </c>
      <c r="G331">
        <f>IF(COUNTIFS('United Data'!$A$3:$A$3390,G$1,'United Data'!$C$3:$C$3390,$A331,'United Data'!$B$3:$B$3390,"&lt;&gt;Off-street")&gt;0,1,0)</f>
        <v>0</v>
      </c>
      <c r="H331">
        <f>IF(COUNTIFS('United Data'!$A$3:$A$3390,H$1,'United Data'!$C$3:$C$3390,$A331,'United Data'!$B$3:$B$3390,"&lt;&gt;Off-street")&gt;0,1,0)</f>
        <v>0</v>
      </c>
      <c r="I331">
        <f>IF(COUNTIFS('United Data'!$A$3:$A$3390,I$1,'United Data'!$C$3:$C$3390,$A331,'United Data'!$B$3:$B$3390,"&lt;&gt;Off-street")&gt;0,1,0)</f>
        <v>0</v>
      </c>
      <c r="J331">
        <f>IF(COUNTIFS('United Data'!$A$3:$A$3390,J$1,'United Data'!$C$3:$C$3390,$A331,'United Data'!$B$3:$B$3390,"&lt;&gt;Off-street")&gt;0,1,0)</f>
        <v>0</v>
      </c>
      <c r="K331">
        <f>IF(COUNTIFS('United Data'!$A$3:$A$3390,K$1,'United Data'!$C$3:$C$3390,$A331,'United Data'!$B$3:$B$3390,"&lt;&gt;Off-street")&gt;0,1,0)</f>
        <v>0</v>
      </c>
      <c r="L331">
        <f>IF(COUNTIFS('United Data'!$A$3:$A$3390,L$1,'United Data'!$C$3:$C$3390,$A331,'United Data'!$B$3:$B$3390,"&lt;&gt;Off-street")&gt;0,1,0)</f>
        <v>0</v>
      </c>
      <c r="M331">
        <f>IF(COUNTIFS('United Data'!$A$3:$A$3390,M$1,'United Data'!$C$3:$C$3390,$A331,'United Data'!$B$3:$B$3390,"&lt;&gt;Off-street")&gt;0,1,0)</f>
        <v>0</v>
      </c>
      <c r="N331">
        <f>IF(COUNTIFS('United Data'!$A$3:$A$3390,N$1,'United Data'!$C$3:$C$3390,$A331,'United Data'!$B$3:$B$3390,"&lt;&gt;Off-street")&gt;0,1,0)</f>
        <v>0</v>
      </c>
      <c r="O331">
        <f>IF(COUNTIFS('United Data'!$A$3:$A$3390,O$1,'United Data'!$C$3:$C$3390,$A331,'United Data'!$B$3:$B$3390,"&lt;&gt;Off-street")&gt;0,1,0)</f>
        <v>1</v>
      </c>
      <c r="P331">
        <f>IF(COUNTIFS('United Data'!$A$3:$A$3390,P$1,'United Data'!$C$3:$C$3390,$A331,'United Data'!$B$3:$B$3390,"&lt;&gt;Off-street")&gt;0,1,0)</f>
        <v>0</v>
      </c>
      <c r="Q331">
        <f>IF(COUNTIFS('United Data'!$A$3:$A$3390,Q$1,'United Data'!$C$3:$C$3390,$A331,'United Data'!$B$3:$B$3390,"&lt;&gt;Off-street")&gt;0,1,0)</f>
        <v>0</v>
      </c>
      <c r="R331">
        <f>IF(COUNTIFS('United Data'!$A$3:$A$3390,R$1,'United Data'!$C$3:$C$3390,$A331,'United Data'!$B$3:$B$3390,"&lt;&gt;Off-street")&gt;0,1,0)</f>
        <v>0</v>
      </c>
      <c r="S331">
        <f t="shared" si="10"/>
        <v>1</v>
      </c>
      <c r="T331">
        <f t="shared" si="11"/>
        <v>1</v>
      </c>
    </row>
    <row r="332" spans="1:20" x14ac:dyDescent="0.2">
      <c r="A332" t="s">
        <v>421</v>
      </c>
      <c r="B332">
        <f>IF(COUNTIFS('United Data'!$A$3:$A$3390,B$1,'United Data'!$C$3:$C$3390,$A332,'United Data'!$B$3:$B$3390,"&lt;&gt;Off-street")&gt;0,1,0)</f>
        <v>0</v>
      </c>
      <c r="C332">
        <f>IF(COUNTIFS('United Data'!$A$3:$A$3390,C$1,'United Data'!$C$3:$C$3390,$A332,'United Data'!$B$3:$B$3390,"&lt;&gt;Off-street")&gt;0,1,0)</f>
        <v>0</v>
      </c>
      <c r="D332">
        <f>IF(COUNTIFS('United Data'!$A$3:$A$3390,D$1,'United Data'!$C$3:$C$3390,$A332,'United Data'!$B$3:$B$3390,"&lt;&gt;Off-street")&gt;0,1,0)</f>
        <v>0</v>
      </c>
      <c r="E332">
        <f>IF(COUNTIFS('United Data'!$A$3:$A$3390,E$1,'United Data'!$C$3:$C$3390,$A332,'United Data'!$B$3:$B$3390,"&lt;&gt;Off-street")&gt;0,1,0)</f>
        <v>0</v>
      </c>
      <c r="F332">
        <f>IF(COUNTIFS('United Data'!$A$3:$A$3390,F$1,'United Data'!$C$3:$C$3390,$A332,'United Data'!$B$3:$B$3390,"&lt;&gt;Off-street")&gt;0,1,0)</f>
        <v>0</v>
      </c>
      <c r="G332">
        <f>IF(COUNTIFS('United Data'!$A$3:$A$3390,G$1,'United Data'!$C$3:$C$3390,$A332,'United Data'!$B$3:$B$3390,"&lt;&gt;Off-street")&gt;0,1,0)</f>
        <v>0</v>
      </c>
      <c r="H332">
        <f>IF(COUNTIFS('United Data'!$A$3:$A$3390,H$1,'United Data'!$C$3:$C$3390,$A332,'United Data'!$B$3:$B$3390,"&lt;&gt;Off-street")&gt;0,1,0)</f>
        <v>0</v>
      </c>
      <c r="I332">
        <f>IF(COUNTIFS('United Data'!$A$3:$A$3390,I$1,'United Data'!$C$3:$C$3390,$A332,'United Data'!$B$3:$B$3390,"&lt;&gt;Off-street")&gt;0,1,0)</f>
        <v>0</v>
      </c>
      <c r="J332">
        <f>IF(COUNTIFS('United Data'!$A$3:$A$3390,J$1,'United Data'!$C$3:$C$3390,$A332,'United Data'!$B$3:$B$3390,"&lt;&gt;Off-street")&gt;0,1,0)</f>
        <v>0</v>
      </c>
      <c r="K332">
        <f>IF(COUNTIFS('United Data'!$A$3:$A$3390,K$1,'United Data'!$C$3:$C$3390,$A332,'United Data'!$B$3:$B$3390,"&lt;&gt;Off-street")&gt;0,1,0)</f>
        <v>0</v>
      </c>
      <c r="L332">
        <f>IF(COUNTIFS('United Data'!$A$3:$A$3390,L$1,'United Data'!$C$3:$C$3390,$A332,'United Data'!$B$3:$B$3390,"&lt;&gt;Off-street")&gt;0,1,0)</f>
        <v>0</v>
      </c>
      <c r="M332">
        <f>IF(COUNTIFS('United Data'!$A$3:$A$3390,M$1,'United Data'!$C$3:$C$3390,$A332,'United Data'!$B$3:$B$3390,"&lt;&gt;Off-street")&gt;0,1,0)</f>
        <v>0</v>
      </c>
      <c r="N332">
        <f>IF(COUNTIFS('United Data'!$A$3:$A$3390,N$1,'United Data'!$C$3:$C$3390,$A332,'United Data'!$B$3:$B$3390,"&lt;&gt;Off-street")&gt;0,1,0)</f>
        <v>0</v>
      </c>
      <c r="O332">
        <f>IF(COUNTIFS('United Data'!$A$3:$A$3390,O$1,'United Data'!$C$3:$C$3390,$A332,'United Data'!$B$3:$B$3390,"&lt;&gt;Off-street")&gt;0,1,0)</f>
        <v>1</v>
      </c>
      <c r="P332">
        <f>IF(COUNTIFS('United Data'!$A$3:$A$3390,P$1,'United Data'!$C$3:$C$3390,$A332,'United Data'!$B$3:$B$3390,"&lt;&gt;Off-street")&gt;0,1,0)</f>
        <v>0</v>
      </c>
      <c r="Q332">
        <f>IF(COUNTIFS('United Data'!$A$3:$A$3390,Q$1,'United Data'!$C$3:$C$3390,$A332,'United Data'!$B$3:$B$3390,"&lt;&gt;Off-street")&gt;0,1,0)</f>
        <v>0</v>
      </c>
      <c r="R332">
        <f>IF(COUNTIFS('United Data'!$A$3:$A$3390,R$1,'United Data'!$C$3:$C$3390,$A332,'United Data'!$B$3:$B$3390,"&lt;&gt;Off-street")&gt;0,1,0)</f>
        <v>0</v>
      </c>
      <c r="S332">
        <f t="shared" si="10"/>
        <v>1</v>
      </c>
      <c r="T332">
        <f t="shared" si="11"/>
        <v>1</v>
      </c>
    </row>
    <row r="333" spans="1:20" x14ac:dyDescent="0.2">
      <c r="A333" t="s">
        <v>422</v>
      </c>
      <c r="B333">
        <f>IF(COUNTIFS('United Data'!$A$3:$A$3390,B$1,'United Data'!$C$3:$C$3390,$A333,'United Data'!$B$3:$B$3390,"&lt;&gt;Off-street")&gt;0,1,0)</f>
        <v>0</v>
      </c>
      <c r="C333">
        <f>IF(COUNTIFS('United Data'!$A$3:$A$3390,C$1,'United Data'!$C$3:$C$3390,$A333,'United Data'!$B$3:$B$3390,"&lt;&gt;Off-street")&gt;0,1,0)</f>
        <v>0</v>
      </c>
      <c r="D333">
        <f>IF(COUNTIFS('United Data'!$A$3:$A$3390,D$1,'United Data'!$C$3:$C$3390,$A333,'United Data'!$B$3:$B$3390,"&lt;&gt;Off-street")&gt;0,1,0)</f>
        <v>0</v>
      </c>
      <c r="E333">
        <f>IF(COUNTIFS('United Data'!$A$3:$A$3390,E$1,'United Data'!$C$3:$C$3390,$A333,'United Data'!$B$3:$B$3390,"&lt;&gt;Off-street")&gt;0,1,0)</f>
        <v>0</v>
      </c>
      <c r="F333">
        <f>IF(COUNTIFS('United Data'!$A$3:$A$3390,F$1,'United Data'!$C$3:$C$3390,$A333,'United Data'!$B$3:$B$3390,"&lt;&gt;Off-street")&gt;0,1,0)</f>
        <v>0</v>
      </c>
      <c r="G333">
        <f>IF(COUNTIFS('United Data'!$A$3:$A$3390,G$1,'United Data'!$C$3:$C$3390,$A333,'United Data'!$B$3:$B$3390,"&lt;&gt;Off-street")&gt;0,1,0)</f>
        <v>0</v>
      </c>
      <c r="H333">
        <f>IF(COUNTIFS('United Data'!$A$3:$A$3390,H$1,'United Data'!$C$3:$C$3390,$A333,'United Data'!$B$3:$B$3390,"&lt;&gt;Off-street")&gt;0,1,0)</f>
        <v>0</v>
      </c>
      <c r="I333">
        <f>IF(COUNTIFS('United Data'!$A$3:$A$3390,I$1,'United Data'!$C$3:$C$3390,$A333,'United Data'!$B$3:$B$3390,"&lt;&gt;Off-street")&gt;0,1,0)</f>
        <v>0</v>
      </c>
      <c r="J333">
        <f>IF(COUNTIFS('United Data'!$A$3:$A$3390,J$1,'United Data'!$C$3:$C$3390,$A333,'United Data'!$B$3:$B$3390,"&lt;&gt;Off-street")&gt;0,1,0)</f>
        <v>0</v>
      </c>
      <c r="K333">
        <f>IF(COUNTIFS('United Data'!$A$3:$A$3390,K$1,'United Data'!$C$3:$C$3390,$A333,'United Data'!$B$3:$B$3390,"&lt;&gt;Off-street")&gt;0,1,0)</f>
        <v>0</v>
      </c>
      <c r="L333">
        <f>IF(COUNTIFS('United Data'!$A$3:$A$3390,L$1,'United Data'!$C$3:$C$3390,$A333,'United Data'!$B$3:$B$3390,"&lt;&gt;Off-street")&gt;0,1,0)</f>
        <v>0</v>
      </c>
      <c r="M333">
        <f>IF(COUNTIFS('United Data'!$A$3:$A$3390,M$1,'United Data'!$C$3:$C$3390,$A333,'United Data'!$B$3:$B$3390,"&lt;&gt;Off-street")&gt;0,1,0)</f>
        <v>0</v>
      </c>
      <c r="N333">
        <f>IF(COUNTIFS('United Data'!$A$3:$A$3390,N$1,'United Data'!$C$3:$C$3390,$A333,'United Data'!$B$3:$B$3390,"&lt;&gt;Off-street")&gt;0,1,0)</f>
        <v>0</v>
      </c>
      <c r="O333">
        <f>IF(COUNTIFS('United Data'!$A$3:$A$3390,O$1,'United Data'!$C$3:$C$3390,$A333,'United Data'!$B$3:$B$3390,"&lt;&gt;Off-street")&gt;0,1,0)</f>
        <v>1</v>
      </c>
      <c r="P333">
        <f>IF(COUNTIFS('United Data'!$A$3:$A$3390,P$1,'United Data'!$C$3:$C$3390,$A333,'United Data'!$B$3:$B$3390,"&lt;&gt;Off-street")&gt;0,1,0)</f>
        <v>0</v>
      </c>
      <c r="Q333">
        <f>IF(COUNTIFS('United Data'!$A$3:$A$3390,Q$1,'United Data'!$C$3:$C$3390,$A333,'United Data'!$B$3:$B$3390,"&lt;&gt;Off-street")&gt;0,1,0)</f>
        <v>0</v>
      </c>
      <c r="R333">
        <f>IF(COUNTIFS('United Data'!$A$3:$A$3390,R$1,'United Data'!$C$3:$C$3390,$A333,'United Data'!$B$3:$B$3390,"&lt;&gt;Off-street")&gt;0,1,0)</f>
        <v>0</v>
      </c>
      <c r="S333">
        <f t="shared" si="10"/>
        <v>1</v>
      </c>
      <c r="T333">
        <f t="shared" si="11"/>
        <v>1</v>
      </c>
    </row>
    <row r="334" spans="1:20" x14ac:dyDescent="0.2">
      <c r="A334" t="s">
        <v>423</v>
      </c>
      <c r="B334">
        <f>IF(COUNTIFS('United Data'!$A$3:$A$3390,B$1,'United Data'!$C$3:$C$3390,$A334,'United Data'!$B$3:$B$3390,"&lt;&gt;Off-street")&gt;0,1,0)</f>
        <v>0</v>
      </c>
      <c r="C334">
        <f>IF(COUNTIFS('United Data'!$A$3:$A$3390,C$1,'United Data'!$C$3:$C$3390,$A334,'United Data'!$B$3:$B$3390,"&lt;&gt;Off-street")&gt;0,1,0)</f>
        <v>0</v>
      </c>
      <c r="D334">
        <f>IF(COUNTIFS('United Data'!$A$3:$A$3390,D$1,'United Data'!$C$3:$C$3390,$A334,'United Data'!$B$3:$B$3390,"&lt;&gt;Off-street")&gt;0,1,0)</f>
        <v>0</v>
      </c>
      <c r="E334">
        <f>IF(COUNTIFS('United Data'!$A$3:$A$3390,E$1,'United Data'!$C$3:$C$3390,$A334,'United Data'!$B$3:$B$3390,"&lt;&gt;Off-street")&gt;0,1,0)</f>
        <v>0</v>
      </c>
      <c r="F334">
        <f>IF(COUNTIFS('United Data'!$A$3:$A$3390,F$1,'United Data'!$C$3:$C$3390,$A334,'United Data'!$B$3:$B$3390,"&lt;&gt;Off-street")&gt;0,1,0)</f>
        <v>0</v>
      </c>
      <c r="G334">
        <f>IF(COUNTIFS('United Data'!$A$3:$A$3390,G$1,'United Data'!$C$3:$C$3390,$A334,'United Data'!$B$3:$B$3390,"&lt;&gt;Off-street")&gt;0,1,0)</f>
        <v>0</v>
      </c>
      <c r="H334">
        <f>IF(COUNTIFS('United Data'!$A$3:$A$3390,H$1,'United Data'!$C$3:$C$3390,$A334,'United Data'!$B$3:$B$3390,"&lt;&gt;Off-street")&gt;0,1,0)</f>
        <v>0</v>
      </c>
      <c r="I334">
        <f>IF(COUNTIFS('United Data'!$A$3:$A$3390,I$1,'United Data'!$C$3:$C$3390,$A334,'United Data'!$B$3:$B$3390,"&lt;&gt;Off-street")&gt;0,1,0)</f>
        <v>0</v>
      </c>
      <c r="J334">
        <f>IF(COUNTIFS('United Data'!$A$3:$A$3390,J$1,'United Data'!$C$3:$C$3390,$A334,'United Data'!$B$3:$B$3390,"&lt;&gt;Off-street")&gt;0,1,0)</f>
        <v>0</v>
      </c>
      <c r="K334">
        <f>IF(COUNTIFS('United Data'!$A$3:$A$3390,K$1,'United Data'!$C$3:$C$3390,$A334,'United Data'!$B$3:$B$3390,"&lt;&gt;Off-street")&gt;0,1,0)</f>
        <v>0</v>
      </c>
      <c r="L334">
        <f>IF(COUNTIFS('United Data'!$A$3:$A$3390,L$1,'United Data'!$C$3:$C$3390,$A334,'United Data'!$B$3:$B$3390,"&lt;&gt;Off-street")&gt;0,1,0)</f>
        <v>0</v>
      </c>
      <c r="M334">
        <f>IF(COUNTIFS('United Data'!$A$3:$A$3390,M$1,'United Data'!$C$3:$C$3390,$A334,'United Data'!$B$3:$B$3390,"&lt;&gt;Off-street")&gt;0,1,0)</f>
        <v>0</v>
      </c>
      <c r="N334">
        <f>IF(COUNTIFS('United Data'!$A$3:$A$3390,N$1,'United Data'!$C$3:$C$3390,$A334,'United Data'!$B$3:$B$3390,"&lt;&gt;Off-street")&gt;0,1,0)</f>
        <v>0</v>
      </c>
      <c r="O334">
        <f>IF(COUNTIFS('United Data'!$A$3:$A$3390,O$1,'United Data'!$C$3:$C$3390,$A334,'United Data'!$B$3:$B$3390,"&lt;&gt;Off-street")&gt;0,1,0)</f>
        <v>1</v>
      </c>
      <c r="P334">
        <f>IF(COUNTIFS('United Data'!$A$3:$A$3390,P$1,'United Data'!$C$3:$C$3390,$A334,'United Data'!$B$3:$B$3390,"&lt;&gt;Off-street")&gt;0,1,0)</f>
        <v>0</v>
      </c>
      <c r="Q334">
        <f>IF(COUNTIFS('United Data'!$A$3:$A$3390,Q$1,'United Data'!$C$3:$C$3390,$A334,'United Data'!$B$3:$B$3390,"&lt;&gt;Off-street")&gt;0,1,0)</f>
        <v>0</v>
      </c>
      <c r="R334">
        <f>IF(COUNTIFS('United Data'!$A$3:$A$3390,R$1,'United Data'!$C$3:$C$3390,$A334,'United Data'!$B$3:$B$3390,"&lt;&gt;Off-street")&gt;0,1,0)</f>
        <v>0</v>
      </c>
      <c r="S334">
        <f t="shared" si="10"/>
        <v>1</v>
      </c>
      <c r="T334">
        <f t="shared" si="11"/>
        <v>1</v>
      </c>
    </row>
    <row r="335" spans="1:20" x14ac:dyDescent="0.2">
      <c r="A335" t="s">
        <v>424</v>
      </c>
      <c r="B335">
        <f>IF(COUNTIFS('United Data'!$A$3:$A$3390,B$1,'United Data'!$C$3:$C$3390,$A335,'United Data'!$B$3:$B$3390,"&lt;&gt;Off-street")&gt;0,1,0)</f>
        <v>0</v>
      </c>
      <c r="C335">
        <f>IF(COUNTIFS('United Data'!$A$3:$A$3390,C$1,'United Data'!$C$3:$C$3390,$A335,'United Data'!$B$3:$B$3390,"&lt;&gt;Off-street")&gt;0,1,0)</f>
        <v>0</v>
      </c>
      <c r="D335">
        <f>IF(COUNTIFS('United Data'!$A$3:$A$3390,D$1,'United Data'!$C$3:$C$3390,$A335,'United Data'!$B$3:$B$3390,"&lt;&gt;Off-street")&gt;0,1,0)</f>
        <v>0</v>
      </c>
      <c r="E335">
        <f>IF(COUNTIFS('United Data'!$A$3:$A$3390,E$1,'United Data'!$C$3:$C$3390,$A335,'United Data'!$B$3:$B$3390,"&lt;&gt;Off-street")&gt;0,1,0)</f>
        <v>0</v>
      </c>
      <c r="F335">
        <f>IF(COUNTIFS('United Data'!$A$3:$A$3390,F$1,'United Data'!$C$3:$C$3390,$A335,'United Data'!$B$3:$B$3390,"&lt;&gt;Off-street")&gt;0,1,0)</f>
        <v>0</v>
      </c>
      <c r="G335">
        <f>IF(COUNTIFS('United Data'!$A$3:$A$3390,G$1,'United Data'!$C$3:$C$3390,$A335,'United Data'!$B$3:$B$3390,"&lt;&gt;Off-street")&gt;0,1,0)</f>
        <v>0</v>
      </c>
      <c r="H335">
        <f>IF(COUNTIFS('United Data'!$A$3:$A$3390,H$1,'United Data'!$C$3:$C$3390,$A335,'United Data'!$B$3:$B$3390,"&lt;&gt;Off-street")&gt;0,1,0)</f>
        <v>0</v>
      </c>
      <c r="I335">
        <f>IF(COUNTIFS('United Data'!$A$3:$A$3390,I$1,'United Data'!$C$3:$C$3390,$A335,'United Data'!$B$3:$B$3390,"&lt;&gt;Off-street")&gt;0,1,0)</f>
        <v>0</v>
      </c>
      <c r="J335">
        <f>IF(COUNTIFS('United Data'!$A$3:$A$3390,J$1,'United Data'!$C$3:$C$3390,$A335,'United Data'!$B$3:$B$3390,"&lt;&gt;Off-street")&gt;0,1,0)</f>
        <v>0</v>
      </c>
      <c r="K335">
        <f>IF(COUNTIFS('United Data'!$A$3:$A$3390,K$1,'United Data'!$C$3:$C$3390,$A335,'United Data'!$B$3:$B$3390,"&lt;&gt;Off-street")&gt;0,1,0)</f>
        <v>0</v>
      </c>
      <c r="L335">
        <f>IF(COUNTIFS('United Data'!$A$3:$A$3390,L$1,'United Data'!$C$3:$C$3390,$A335,'United Data'!$B$3:$B$3390,"&lt;&gt;Off-street")&gt;0,1,0)</f>
        <v>0</v>
      </c>
      <c r="M335">
        <f>IF(COUNTIFS('United Data'!$A$3:$A$3390,M$1,'United Data'!$C$3:$C$3390,$A335,'United Data'!$B$3:$B$3390,"&lt;&gt;Off-street")&gt;0,1,0)</f>
        <v>0</v>
      </c>
      <c r="N335">
        <f>IF(COUNTIFS('United Data'!$A$3:$A$3390,N$1,'United Data'!$C$3:$C$3390,$A335,'United Data'!$B$3:$B$3390,"&lt;&gt;Off-street")&gt;0,1,0)</f>
        <v>0</v>
      </c>
      <c r="O335">
        <f>IF(COUNTIFS('United Data'!$A$3:$A$3390,O$1,'United Data'!$C$3:$C$3390,$A335,'United Data'!$B$3:$B$3390,"&lt;&gt;Off-street")&gt;0,1,0)</f>
        <v>1</v>
      </c>
      <c r="P335">
        <f>IF(COUNTIFS('United Data'!$A$3:$A$3390,P$1,'United Data'!$C$3:$C$3390,$A335,'United Data'!$B$3:$B$3390,"&lt;&gt;Off-street")&gt;0,1,0)</f>
        <v>0</v>
      </c>
      <c r="Q335">
        <f>IF(COUNTIFS('United Data'!$A$3:$A$3390,Q$1,'United Data'!$C$3:$C$3390,$A335,'United Data'!$B$3:$B$3390,"&lt;&gt;Off-street")&gt;0,1,0)</f>
        <v>0</v>
      </c>
      <c r="R335">
        <f>IF(COUNTIFS('United Data'!$A$3:$A$3390,R$1,'United Data'!$C$3:$C$3390,$A335,'United Data'!$B$3:$B$3390,"&lt;&gt;Off-street")&gt;0,1,0)</f>
        <v>0</v>
      </c>
      <c r="S335">
        <f t="shared" si="10"/>
        <v>1</v>
      </c>
      <c r="T335">
        <f t="shared" si="11"/>
        <v>1</v>
      </c>
    </row>
    <row r="336" spans="1:20" x14ac:dyDescent="0.2">
      <c r="A336" t="s">
        <v>425</v>
      </c>
      <c r="B336">
        <f>IF(COUNTIFS('United Data'!$A$3:$A$3390,B$1,'United Data'!$C$3:$C$3390,$A336,'United Data'!$B$3:$B$3390,"&lt;&gt;Off-street")&gt;0,1,0)</f>
        <v>0</v>
      </c>
      <c r="C336">
        <f>IF(COUNTIFS('United Data'!$A$3:$A$3390,C$1,'United Data'!$C$3:$C$3390,$A336,'United Data'!$B$3:$B$3390,"&lt;&gt;Off-street")&gt;0,1,0)</f>
        <v>0</v>
      </c>
      <c r="D336">
        <f>IF(COUNTIFS('United Data'!$A$3:$A$3390,D$1,'United Data'!$C$3:$C$3390,$A336,'United Data'!$B$3:$B$3390,"&lt;&gt;Off-street")&gt;0,1,0)</f>
        <v>0</v>
      </c>
      <c r="E336">
        <f>IF(COUNTIFS('United Data'!$A$3:$A$3390,E$1,'United Data'!$C$3:$C$3390,$A336,'United Data'!$B$3:$B$3390,"&lt;&gt;Off-street")&gt;0,1,0)</f>
        <v>0</v>
      </c>
      <c r="F336">
        <f>IF(COUNTIFS('United Data'!$A$3:$A$3390,F$1,'United Data'!$C$3:$C$3390,$A336,'United Data'!$B$3:$B$3390,"&lt;&gt;Off-street")&gt;0,1,0)</f>
        <v>0</v>
      </c>
      <c r="G336">
        <f>IF(COUNTIFS('United Data'!$A$3:$A$3390,G$1,'United Data'!$C$3:$C$3390,$A336,'United Data'!$B$3:$B$3390,"&lt;&gt;Off-street")&gt;0,1,0)</f>
        <v>0</v>
      </c>
      <c r="H336">
        <f>IF(COUNTIFS('United Data'!$A$3:$A$3390,H$1,'United Data'!$C$3:$C$3390,$A336,'United Data'!$B$3:$B$3390,"&lt;&gt;Off-street")&gt;0,1,0)</f>
        <v>0</v>
      </c>
      <c r="I336">
        <f>IF(COUNTIFS('United Data'!$A$3:$A$3390,I$1,'United Data'!$C$3:$C$3390,$A336,'United Data'!$B$3:$B$3390,"&lt;&gt;Off-street")&gt;0,1,0)</f>
        <v>0</v>
      </c>
      <c r="J336">
        <f>IF(COUNTIFS('United Data'!$A$3:$A$3390,J$1,'United Data'!$C$3:$C$3390,$A336,'United Data'!$B$3:$B$3390,"&lt;&gt;Off-street")&gt;0,1,0)</f>
        <v>0</v>
      </c>
      <c r="K336">
        <f>IF(COUNTIFS('United Data'!$A$3:$A$3390,K$1,'United Data'!$C$3:$C$3390,$A336,'United Data'!$B$3:$B$3390,"&lt;&gt;Off-street")&gt;0,1,0)</f>
        <v>0</v>
      </c>
      <c r="L336">
        <f>IF(COUNTIFS('United Data'!$A$3:$A$3390,L$1,'United Data'!$C$3:$C$3390,$A336,'United Data'!$B$3:$B$3390,"&lt;&gt;Off-street")&gt;0,1,0)</f>
        <v>0</v>
      </c>
      <c r="M336">
        <f>IF(COUNTIFS('United Data'!$A$3:$A$3390,M$1,'United Data'!$C$3:$C$3390,$A336,'United Data'!$B$3:$B$3390,"&lt;&gt;Off-street")&gt;0,1,0)</f>
        <v>0</v>
      </c>
      <c r="N336">
        <f>IF(COUNTIFS('United Data'!$A$3:$A$3390,N$1,'United Data'!$C$3:$C$3390,$A336,'United Data'!$B$3:$B$3390,"&lt;&gt;Off-street")&gt;0,1,0)</f>
        <v>0</v>
      </c>
      <c r="O336">
        <f>IF(COUNTIFS('United Data'!$A$3:$A$3390,O$1,'United Data'!$C$3:$C$3390,$A336,'United Data'!$B$3:$B$3390,"&lt;&gt;Off-street")&gt;0,1,0)</f>
        <v>1</v>
      </c>
      <c r="P336">
        <f>IF(COUNTIFS('United Data'!$A$3:$A$3390,P$1,'United Data'!$C$3:$C$3390,$A336,'United Data'!$B$3:$B$3390,"&lt;&gt;Off-street")&gt;0,1,0)</f>
        <v>0</v>
      </c>
      <c r="Q336">
        <f>IF(COUNTIFS('United Data'!$A$3:$A$3390,Q$1,'United Data'!$C$3:$C$3390,$A336,'United Data'!$B$3:$B$3390,"&lt;&gt;Off-street")&gt;0,1,0)</f>
        <v>0</v>
      </c>
      <c r="R336">
        <f>IF(COUNTIFS('United Data'!$A$3:$A$3390,R$1,'United Data'!$C$3:$C$3390,$A336,'United Data'!$B$3:$B$3390,"&lt;&gt;Off-street")&gt;0,1,0)</f>
        <v>0</v>
      </c>
      <c r="S336">
        <f t="shared" si="10"/>
        <v>1</v>
      </c>
      <c r="T336">
        <f t="shared" si="11"/>
        <v>1</v>
      </c>
    </row>
    <row r="337" spans="1:20" x14ac:dyDescent="0.2">
      <c r="A337" t="s">
        <v>426</v>
      </c>
      <c r="B337">
        <f>IF(COUNTIFS('United Data'!$A$3:$A$3390,B$1,'United Data'!$C$3:$C$3390,$A337,'United Data'!$B$3:$B$3390,"&lt;&gt;Off-street")&gt;0,1,0)</f>
        <v>0</v>
      </c>
      <c r="C337">
        <f>IF(COUNTIFS('United Data'!$A$3:$A$3390,C$1,'United Data'!$C$3:$C$3390,$A337,'United Data'!$B$3:$B$3390,"&lt;&gt;Off-street")&gt;0,1,0)</f>
        <v>0</v>
      </c>
      <c r="D337">
        <f>IF(COUNTIFS('United Data'!$A$3:$A$3390,D$1,'United Data'!$C$3:$C$3390,$A337,'United Data'!$B$3:$B$3390,"&lt;&gt;Off-street")&gt;0,1,0)</f>
        <v>0</v>
      </c>
      <c r="E337">
        <f>IF(COUNTIFS('United Data'!$A$3:$A$3390,E$1,'United Data'!$C$3:$C$3390,$A337,'United Data'!$B$3:$B$3390,"&lt;&gt;Off-street")&gt;0,1,0)</f>
        <v>0</v>
      </c>
      <c r="F337">
        <f>IF(COUNTIFS('United Data'!$A$3:$A$3390,F$1,'United Data'!$C$3:$C$3390,$A337,'United Data'!$B$3:$B$3390,"&lt;&gt;Off-street")&gt;0,1,0)</f>
        <v>0</v>
      </c>
      <c r="G337">
        <f>IF(COUNTIFS('United Data'!$A$3:$A$3390,G$1,'United Data'!$C$3:$C$3390,$A337,'United Data'!$B$3:$B$3390,"&lt;&gt;Off-street")&gt;0,1,0)</f>
        <v>0</v>
      </c>
      <c r="H337">
        <f>IF(COUNTIFS('United Data'!$A$3:$A$3390,H$1,'United Data'!$C$3:$C$3390,$A337,'United Data'!$B$3:$B$3390,"&lt;&gt;Off-street")&gt;0,1,0)</f>
        <v>0</v>
      </c>
      <c r="I337">
        <f>IF(COUNTIFS('United Data'!$A$3:$A$3390,I$1,'United Data'!$C$3:$C$3390,$A337,'United Data'!$B$3:$B$3390,"&lt;&gt;Off-street")&gt;0,1,0)</f>
        <v>0</v>
      </c>
      <c r="J337">
        <f>IF(COUNTIFS('United Data'!$A$3:$A$3390,J$1,'United Data'!$C$3:$C$3390,$A337,'United Data'!$B$3:$B$3390,"&lt;&gt;Off-street")&gt;0,1,0)</f>
        <v>0</v>
      </c>
      <c r="K337">
        <f>IF(COUNTIFS('United Data'!$A$3:$A$3390,K$1,'United Data'!$C$3:$C$3390,$A337,'United Data'!$B$3:$B$3390,"&lt;&gt;Off-street")&gt;0,1,0)</f>
        <v>0</v>
      </c>
      <c r="L337">
        <f>IF(COUNTIFS('United Data'!$A$3:$A$3390,L$1,'United Data'!$C$3:$C$3390,$A337,'United Data'!$B$3:$B$3390,"&lt;&gt;Off-street")&gt;0,1,0)</f>
        <v>0</v>
      </c>
      <c r="M337">
        <f>IF(COUNTIFS('United Data'!$A$3:$A$3390,M$1,'United Data'!$C$3:$C$3390,$A337,'United Data'!$B$3:$B$3390,"&lt;&gt;Off-street")&gt;0,1,0)</f>
        <v>0</v>
      </c>
      <c r="N337">
        <f>IF(COUNTIFS('United Data'!$A$3:$A$3390,N$1,'United Data'!$C$3:$C$3390,$A337,'United Data'!$B$3:$B$3390,"&lt;&gt;Off-street")&gt;0,1,0)</f>
        <v>0</v>
      </c>
      <c r="O337">
        <f>IF(COUNTIFS('United Data'!$A$3:$A$3390,O$1,'United Data'!$C$3:$C$3390,$A337,'United Data'!$B$3:$B$3390,"&lt;&gt;Off-street")&gt;0,1,0)</f>
        <v>1</v>
      </c>
      <c r="P337">
        <f>IF(COUNTIFS('United Data'!$A$3:$A$3390,P$1,'United Data'!$C$3:$C$3390,$A337,'United Data'!$B$3:$B$3390,"&lt;&gt;Off-street")&gt;0,1,0)</f>
        <v>0</v>
      </c>
      <c r="Q337">
        <f>IF(COUNTIFS('United Data'!$A$3:$A$3390,Q$1,'United Data'!$C$3:$C$3390,$A337,'United Data'!$B$3:$B$3390,"&lt;&gt;Off-street")&gt;0,1,0)</f>
        <v>0</v>
      </c>
      <c r="R337">
        <f>IF(COUNTIFS('United Data'!$A$3:$A$3390,R$1,'United Data'!$C$3:$C$3390,$A337,'United Data'!$B$3:$B$3390,"&lt;&gt;Off-street")&gt;0,1,0)</f>
        <v>0</v>
      </c>
      <c r="S337">
        <f t="shared" si="10"/>
        <v>1</v>
      </c>
      <c r="T337">
        <f t="shared" si="11"/>
        <v>1</v>
      </c>
    </row>
    <row r="338" spans="1:20" x14ac:dyDescent="0.2">
      <c r="A338" t="s">
        <v>427</v>
      </c>
      <c r="B338">
        <f>IF(COUNTIFS('United Data'!$A$3:$A$3390,B$1,'United Data'!$C$3:$C$3390,$A338,'United Data'!$B$3:$B$3390,"&lt;&gt;Off-street")&gt;0,1,0)</f>
        <v>0</v>
      </c>
      <c r="C338">
        <f>IF(COUNTIFS('United Data'!$A$3:$A$3390,C$1,'United Data'!$C$3:$C$3390,$A338,'United Data'!$B$3:$B$3390,"&lt;&gt;Off-street")&gt;0,1,0)</f>
        <v>0</v>
      </c>
      <c r="D338">
        <f>IF(COUNTIFS('United Data'!$A$3:$A$3390,D$1,'United Data'!$C$3:$C$3390,$A338,'United Data'!$B$3:$B$3390,"&lt;&gt;Off-street")&gt;0,1,0)</f>
        <v>0</v>
      </c>
      <c r="E338">
        <f>IF(COUNTIFS('United Data'!$A$3:$A$3390,E$1,'United Data'!$C$3:$C$3390,$A338,'United Data'!$B$3:$B$3390,"&lt;&gt;Off-street")&gt;0,1,0)</f>
        <v>0</v>
      </c>
      <c r="F338">
        <f>IF(COUNTIFS('United Data'!$A$3:$A$3390,F$1,'United Data'!$C$3:$C$3390,$A338,'United Data'!$B$3:$B$3390,"&lt;&gt;Off-street")&gt;0,1,0)</f>
        <v>0</v>
      </c>
      <c r="G338">
        <f>IF(COUNTIFS('United Data'!$A$3:$A$3390,G$1,'United Data'!$C$3:$C$3390,$A338,'United Data'!$B$3:$B$3390,"&lt;&gt;Off-street")&gt;0,1,0)</f>
        <v>0</v>
      </c>
      <c r="H338">
        <f>IF(COUNTIFS('United Data'!$A$3:$A$3390,H$1,'United Data'!$C$3:$C$3390,$A338,'United Data'!$B$3:$B$3390,"&lt;&gt;Off-street")&gt;0,1,0)</f>
        <v>0</v>
      </c>
      <c r="I338">
        <f>IF(COUNTIFS('United Data'!$A$3:$A$3390,I$1,'United Data'!$C$3:$C$3390,$A338,'United Data'!$B$3:$B$3390,"&lt;&gt;Off-street")&gt;0,1,0)</f>
        <v>0</v>
      </c>
      <c r="J338">
        <f>IF(COUNTIFS('United Data'!$A$3:$A$3390,J$1,'United Data'!$C$3:$C$3390,$A338,'United Data'!$B$3:$B$3390,"&lt;&gt;Off-street")&gt;0,1,0)</f>
        <v>0</v>
      </c>
      <c r="K338">
        <f>IF(COUNTIFS('United Data'!$A$3:$A$3390,K$1,'United Data'!$C$3:$C$3390,$A338,'United Data'!$B$3:$B$3390,"&lt;&gt;Off-street")&gt;0,1,0)</f>
        <v>0</v>
      </c>
      <c r="L338">
        <f>IF(COUNTIFS('United Data'!$A$3:$A$3390,L$1,'United Data'!$C$3:$C$3390,$A338,'United Data'!$B$3:$B$3390,"&lt;&gt;Off-street")&gt;0,1,0)</f>
        <v>0</v>
      </c>
      <c r="M338">
        <f>IF(COUNTIFS('United Data'!$A$3:$A$3390,M$1,'United Data'!$C$3:$C$3390,$A338,'United Data'!$B$3:$B$3390,"&lt;&gt;Off-street")&gt;0,1,0)</f>
        <v>0</v>
      </c>
      <c r="N338">
        <f>IF(COUNTIFS('United Data'!$A$3:$A$3390,N$1,'United Data'!$C$3:$C$3390,$A338,'United Data'!$B$3:$B$3390,"&lt;&gt;Off-street")&gt;0,1,0)</f>
        <v>0</v>
      </c>
      <c r="O338">
        <f>IF(COUNTIFS('United Data'!$A$3:$A$3390,O$1,'United Data'!$C$3:$C$3390,$A338,'United Data'!$B$3:$B$3390,"&lt;&gt;Off-street")&gt;0,1,0)</f>
        <v>0</v>
      </c>
      <c r="P338">
        <f>IF(COUNTIFS('United Data'!$A$3:$A$3390,P$1,'United Data'!$C$3:$C$3390,$A338,'United Data'!$B$3:$B$3390,"&lt;&gt;Off-street")&gt;0,1,0)</f>
        <v>0</v>
      </c>
      <c r="Q338">
        <f>IF(COUNTIFS('United Data'!$A$3:$A$3390,Q$1,'United Data'!$C$3:$C$3390,$A338,'United Data'!$B$3:$B$3390,"&lt;&gt;Off-street")&gt;0,1,0)</f>
        <v>1</v>
      </c>
      <c r="R338">
        <f>IF(COUNTIFS('United Data'!$A$3:$A$3390,R$1,'United Data'!$C$3:$C$3390,$A338,'United Data'!$B$3:$B$3390,"&lt;&gt;Off-street")&gt;0,1,0)</f>
        <v>0</v>
      </c>
      <c r="S338">
        <f t="shared" si="10"/>
        <v>1</v>
      </c>
      <c r="T338">
        <f t="shared" si="11"/>
        <v>1</v>
      </c>
    </row>
    <row r="339" spans="1:20" x14ac:dyDescent="0.2">
      <c r="A339" t="s">
        <v>428</v>
      </c>
      <c r="B339">
        <f>IF(COUNTIFS('United Data'!$A$3:$A$3390,B$1,'United Data'!$C$3:$C$3390,$A339,'United Data'!$B$3:$B$3390,"&lt;&gt;Off-street")&gt;0,1,0)</f>
        <v>0</v>
      </c>
      <c r="C339">
        <f>IF(COUNTIFS('United Data'!$A$3:$A$3390,C$1,'United Data'!$C$3:$C$3390,$A339,'United Data'!$B$3:$B$3390,"&lt;&gt;Off-street")&gt;0,1,0)</f>
        <v>0</v>
      </c>
      <c r="D339">
        <f>IF(COUNTIFS('United Data'!$A$3:$A$3390,D$1,'United Data'!$C$3:$C$3390,$A339,'United Data'!$B$3:$B$3390,"&lt;&gt;Off-street")&gt;0,1,0)</f>
        <v>0</v>
      </c>
      <c r="E339">
        <f>IF(COUNTIFS('United Data'!$A$3:$A$3390,E$1,'United Data'!$C$3:$C$3390,$A339,'United Data'!$B$3:$B$3390,"&lt;&gt;Off-street")&gt;0,1,0)</f>
        <v>0</v>
      </c>
      <c r="F339">
        <f>IF(COUNTIFS('United Data'!$A$3:$A$3390,F$1,'United Data'!$C$3:$C$3390,$A339,'United Data'!$B$3:$B$3390,"&lt;&gt;Off-street")&gt;0,1,0)</f>
        <v>0</v>
      </c>
      <c r="G339">
        <f>IF(COUNTIFS('United Data'!$A$3:$A$3390,G$1,'United Data'!$C$3:$C$3390,$A339,'United Data'!$B$3:$B$3390,"&lt;&gt;Off-street")&gt;0,1,0)</f>
        <v>0</v>
      </c>
      <c r="H339">
        <f>IF(COUNTIFS('United Data'!$A$3:$A$3390,H$1,'United Data'!$C$3:$C$3390,$A339,'United Data'!$B$3:$B$3390,"&lt;&gt;Off-street")&gt;0,1,0)</f>
        <v>0</v>
      </c>
      <c r="I339">
        <f>IF(COUNTIFS('United Data'!$A$3:$A$3390,I$1,'United Data'!$C$3:$C$3390,$A339,'United Data'!$B$3:$B$3390,"&lt;&gt;Off-street")&gt;0,1,0)</f>
        <v>0</v>
      </c>
      <c r="J339">
        <f>IF(COUNTIFS('United Data'!$A$3:$A$3390,J$1,'United Data'!$C$3:$C$3390,$A339,'United Data'!$B$3:$B$3390,"&lt;&gt;Off-street")&gt;0,1,0)</f>
        <v>0</v>
      </c>
      <c r="K339">
        <f>IF(COUNTIFS('United Data'!$A$3:$A$3390,K$1,'United Data'!$C$3:$C$3390,$A339,'United Data'!$B$3:$B$3390,"&lt;&gt;Off-street")&gt;0,1,0)</f>
        <v>0</v>
      </c>
      <c r="L339">
        <f>IF(COUNTIFS('United Data'!$A$3:$A$3390,L$1,'United Data'!$C$3:$C$3390,$A339,'United Data'!$B$3:$B$3390,"&lt;&gt;Off-street")&gt;0,1,0)</f>
        <v>0</v>
      </c>
      <c r="M339">
        <f>IF(COUNTIFS('United Data'!$A$3:$A$3390,M$1,'United Data'!$C$3:$C$3390,$A339,'United Data'!$B$3:$B$3390,"&lt;&gt;Off-street")&gt;0,1,0)</f>
        <v>0</v>
      </c>
      <c r="N339">
        <f>IF(COUNTIFS('United Data'!$A$3:$A$3390,N$1,'United Data'!$C$3:$C$3390,$A339,'United Data'!$B$3:$B$3390,"&lt;&gt;Off-street")&gt;0,1,0)</f>
        <v>0</v>
      </c>
      <c r="O339">
        <f>IF(COUNTIFS('United Data'!$A$3:$A$3390,O$1,'United Data'!$C$3:$C$3390,$A339,'United Data'!$B$3:$B$3390,"&lt;&gt;Off-street")&gt;0,1,0)</f>
        <v>0</v>
      </c>
      <c r="P339">
        <f>IF(COUNTIFS('United Data'!$A$3:$A$3390,P$1,'United Data'!$C$3:$C$3390,$A339,'United Data'!$B$3:$B$3390,"&lt;&gt;Off-street")&gt;0,1,0)</f>
        <v>0</v>
      </c>
      <c r="Q339">
        <f>IF(COUNTIFS('United Data'!$A$3:$A$3390,Q$1,'United Data'!$C$3:$C$3390,$A339,'United Data'!$B$3:$B$3390,"&lt;&gt;Off-street")&gt;0,1,0)</f>
        <v>1</v>
      </c>
      <c r="R339">
        <f>IF(COUNTIFS('United Data'!$A$3:$A$3390,R$1,'United Data'!$C$3:$C$3390,$A339,'United Data'!$B$3:$B$3390,"&lt;&gt;Off-street")&gt;0,1,0)</f>
        <v>0</v>
      </c>
      <c r="S339">
        <f t="shared" si="10"/>
        <v>1</v>
      </c>
      <c r="T339">
        <f t="shared" si="11"/>
        <v>1</v>
      </c>
    </row>
    <row r="340" spans="1:20" x14ac:dyDescent="0.2">
      <c r="A340" t="s">
        <v>429</v>
      </c>
      <c r="B340">
        <f>IF(COUNTIFS('United Data'!$A$3:$A$3390,B$1,'United Data'!$C$3:$C$3390,$A340,'United Data'!$B$3:$B$3390,"&lt;&gt;Off-street")&gt;0,1,0)</f>
        <v>0</v>
      </c>
      <c r="C340">
        <f>IF(COUNTIFS('United Data'!$A$3:$A$3390,C$1,'United Data'!$C$3:$C$3390,$A340,'United Data'!$B$3:$B$3390,"&lt;&gt;Off-street")&gt;0,1,0)</f>
        <v>0</v>
      </c>
      <c r="D340">
        <f>IF(COUNTIFS('United Data'!$A$3:$A$3390,D$1,'United Data'!$C$3:$C$3390,$A340,'United Data'!$B$3:$B$3390,"&lt;&gt;Off-street")&gt;0,1,0)</f>
        <v>0</v>
      </c>
      <c r="E340">
        <f>IF(COUNTIFS('United Data'!$A$3:$A$3390,E$1,'United Data'!$C$3:$C$3390,$A340,'United Data'!$B$3:$B$3390,"&lt;&gt;Off-street")&gt;0,1,0)</f>
        <v>0</v>
      </c>
      <c r="F340">
        <f>IF(COUNTIFS('United Data'!$A$3:$A$3390,F$1,'United Data'!$C$3:$C$3390,$A340,'United Data'!$B$3:$B$3390,"&lt;&gt;Off-street")&gt;0,1,0)</f>
        <v>0</v>
      </c>
      <c r="G340">
        <f>IF(COUNTIFS('United Data'!$A$3:$A$3390,G$1,'United Data'!$C$3:$C$3390,$A340,'United Data'!$B$3:$B$3390,"&lt;&gt;Off-street")&gt;0,1,0)</f>
        <v>0</v>
      </c>
      <c r="H340">
        <f>IF(COUNTIFS('United Data'!$A$3:$A$3390,H$1,'United Data'!$C$3:$C$3390,$A340,'United Data'!$B$3:$B$3390,"&lt;&gt;Off-street")&gt;0,1,0)</f>
        <v>0</v>
      </c>
      <c r="I340">
        <f>IF(COUNTIFS('United Data'!$A$3:$A$3390,I$1,'United Data'!$C$3:$C$3390,$A340,'United Data'!$B$3:$B$3390,"&lt;&gt;Off-street")&gt;0,1,0)</f>
        <v>0</v>
      </c>
      <c r="J340">
        <f>IF(COUNTIFS('United Data'!$A$3:$A$3390,J$1,'United Data'!$C$3:$C$3390,$A340,'United Data'!$B$3:$B$3390,"&lt;&gt;Off-street")&gt;0,1,0)</f>
        <v>0</v>
      </c>
      <c r="K340">
        <f>IF(COUNTIFS('United Data'!$A$3:$A$3390,K$1,'United Data'!$C$3:$C$3390,$A340,'United Data'!$B$3:$B$3390,"&lt;&gt;Off-street")&gt;0,1,0)</f>
        <v>0</v>
      </c>
      <c r="L340">
        <f>IF(COUNTIFS('United Data'!$A$3:$A$3390,L$1,'United Data'!$C$3:$C$3390,$A340,'United Data'!$B$3:$B$3390,"&lt;&gt;Off-street")&gt;0,1,0)</f>
        <v>0</v>
      </c>
      <c r="M340">
        <f>IF(COUNTIFS('United Data'!$A$3:$A$3390,M$1,'United Data'!$C$3:$C$3390,$A340,'United Data'!$B$3:$B$3390,"&lt;&gt;Off-street")&gt;0,1,0)</f>
        <v>0</v>
      </c>
      <c r="N340">
        <f>IF(COUNTIFS('United Data'!$A$3:$A$3390,N$1,'United Data'!$C$3:$C$3390,$A340,'United Data'!$B$3:$B$3390,"&lt;&gt;Off-street")&gt;0,1,0)</f>
        <v>0</v>
      </c>
      <c r="O340">
        <f>IF(COUNTIFS('United Data'!$A$3:$A$3390,O$1,'United Data'!$C$3:$C$3390,$A340,'United Data'!$B$3:$B$3390,"&lt;&gt;Off-street")&gt;0,1,0)</f>
        <v>0</v>
      </c>
      <c r="P340">
        <f>IF(COUNTIFS('United Data'!$A$3:$A$3390,P$1,'United Data'!$C$3:$C$3390,$A340,'United Data'!$B$3:$B$3390,"&lt;&gt;Off-street")&gt;0,1,0)</f>
        <v>0</v>
      </c>
      <c r="Q340">
        <f>IF(COUNTIFS('United Data'!$A$3:$A$3390,Q$1,'United Data'!$C$3:$C$3390,$A340,'United Data'!$B$3:$B$3390,"&lt;&gt;Off-street")&gt;0,1,0)</f>
        <v>1</v>
      </c>
      <c r="R340">
        <f>IF(COUNTIFS('United Data'!$A$3:$A$3390,R$1,'United Data'!$C$3:$C$3390,$A340,'United Data'!$B$3:$B$3390,"&lt;&gt;Off-street")&gt;0,1,0)</f>
        <v>0</v>
      </c>
      <c r="S340">
        <f t="shared" si="10"/>
        <v>1</v>
      </c>
      <c r="T340">
        <f t="shared" si="11"/>
        <v>1</v>
      </c>
    </row>
    <row r="341" spans="1:20" x14ac:dyDescent="0.2">
      <c r="A341" t="s">
        <v>430</v>
      </c>
      <c r="B341">
        <f>IF(COUNTIFS('United Data'!$A$3:$A$3390,B$1,'United Data'!$C$3:$C$3390,$A341,'United Data'!$B$3:$B$3390,"&lt;&gt;Off-street")&gt;0,1,0)</f>
        <v>0</v>
      </c>
      <c r="C341">
        <f>IF(COUNTIFS('United Data'!$A$3:$A$3390,C$1,'United Data'!$C$3:$C$3390,$A341,'United Data'!$B$3:$B$3390,"&lt;&gt;Off-street")&gt;0,1,0)</f>
        <v>0</v>
      </c>
      <c r="D341">
        <f>IF(COUNTIFS('United Data'!$A$3:$A$3390,D$1,'United Data'!$C$3:$C$3390,$A341,'United Data'!$B$3:$B$3390,"&lt;&gt;Off-street")&gt;0,1,0)</f>
        <v>0</v>
      </c>
      <c r="E341">
        <f>IF(COUNTIFS('United Data'!$A$3:$A$3390,E$1,'United Data'!$C$3:$C$3390,$A341,'United Data'!$B$3:$B$3390,"&lt;&gt;Off-street")&gt;0,1,0)</f>
        <v>0</v>
      </c>
      <c r="F341">
        <f>IF(COUNTIFS('United Data'!$A$3:$A$3390,F$1,'United Data'!$C$3:$C$3390,$A341,'United Data'!$B$3:$B$3390,"&lt;&gt;Off-street")&gt;0,1,0)</f>
        <v>0</v>
      </c>
      <c r="G341">
        <f>IF(COUNTIFS('United Data'!$A$3:$A$3390,G$1,'United Data'!$C$3:$C$3390,$A341,'United Data'!$B$3:$B$3390,"&lt;&gt;Off-street")&gt;0,1,0)</f>
        <v>0</v>
      </c>
      <c r="H341">
        <f>IF(COUNTIFS('United Data'!$A$3:$A$3390,H$1,'United Data'!$C$3:$C$3390,$A341,'United Data'!$B$3:$B$3390,"&lt;&gt;Off-street")&gt;0,1,0)</f>
        <v>0</v>
      </c>
      <c r="I341">
        <f>IF(COUNTIFS('United Data'!$A$3:$A$3390,I$1,'United Data'!$C$3:$C$3390,$A341,'United Data'!$B$3:$B$3390,"&lt;&gt;Off-street")&gt;0,1,0)</f>
        <v>0</v>
      </c>
      <c r="J341">
        <f>IF(COUNTIFS('United Data'!$A$3:$A$3390,J$1,'United Data'!$C$3:$C$3390,$A341,'United Data'!$B$3:$B$3390,"&lt;&gt;Off-street")&gt;0,1,0)</f>
        <v>0</v>
      </c>
      <c r="K341">
        <f>IF(COUNTIFS('United Data'!$A$3:$A$3390,K$1,'United Data'!$C$3:$C$3390,$A341,'United Data'!$B$3:$B$3390,"&lt;&gt;Off-street")&gt;0,1,0)</f>
        <v>0</v>
      </c>
      <c r="L341">
        <f>IF(COUNTIFS('United Data'!$A$3:$A$3390,L$1,'United Data'!$C$3:$C$3390,$A341,'United Data'!$B$3:$B$3390,"&lt;&gt;Off-street")&gt;0,1,0)</f>
        <v>0</v>
      </c>
      <c r="M341">
        <f>IF(COUNTIFS('United Data'!$A$3:$A$3390,M$1,'United Data'!$C$3:$C$3390,$A341,'United Data'!$B$3:$B$3390,"&lt;&gt;Off-street")&gt;0,1,0)</f>
        <v>0</v>
      </c>
      <c r="N341">
        <f>IF(COUNTIFS('United Data'!$A$3:$A$3390,N$1,'United Data'!$C$3:$C$3390,$A341,'United Data'!$B$3:$B$3390,"&lt;&gt;Off-street")&gt;0,1,0)</f>
        <v>0</v>
      </c>
      <c r="O341">
        <f>IF(COUNTIFS('United Data'!$A$3:$A$3390,O$1,'United Data'!$C$3:$C$3390,$A341,'United Data'!$B$3:$B$3390,"&lt;&gt;Off-street")&gt;0,1,0)</f>
        <v>0</v>
      </c>
      <c r="P341">
        <f>IF(COUNTIFS('United Data'!$A$3:$A$3390,P$1,'United Data'!$C$3:$C$3390,$A341,'United Data'!$B$3:$B$3390,"&lt;&gt;Off-street")&gt;0,1,0)</f>
        <v>0</v>
      </c>
      <c r="Q341">
        <f>IF(COUNTIFS('United Data'!$A$3:$A$3390,Q$1,'United Data'!$C$3:$C$3390,$A341,'United Data'!$B$3:$B$3390,"&lt;&gt;Off-street")&gt;0,1,0)</f>
        <v>0</v>
      </c>
      <c r="R341">
        <f>IF(COUNTIFS('United Data'!$A$3:$A$3390,R$1,'United Data'!$C$3:$C$3390,$A341,'United Data'!$B$3:$B$3390,"&lt;&gt;Off-street")&gt;0,1,0)</f>
        <v>1</v>
      </c>
      <c r="S341">
        <f t="shared" si="10"/>
        <v>1</v>
      </c>
      <c r="T341">
        <f t="shared" si="11"/>
        <v>1</v>
      </c>
    </row>
    <row r="342" spans="1:20" x14ac:dyDescent="0.2">
      <c r="A342" t="s">
        <v>431</v>
      </c>
      <c r="B342">
        <f>IF(COUNTIFS('United Data'!$A$3:$A$3390,B$1,'United Data'!$C$3:$C$3390,$A342,'United Data'!$B$3:$B$3390,"&lt;&gt;Off-street")&gt;0,1,0)</f>
        <v>0</v>
      </c>
      <c r="C342">
        <f>IF(COUNTIFS('United Data'!$A$3:$A$3390,C$1,'United Data'!$C$3:$C$3390,$A342,'United Data'!$B$3:$B$3390,"&lt;&gt;Off-street")&gt;0,1,0)</f>
        <v>0</v>
      </c>
      <c r="D342">
        <f>IF(COUNTIFS('United Data'!$A$3:$A$3390,D$1,'United Data'!$C$3:$C$3390,$A342,'United Data'!$B$3:$B$3390,"&lt;&gt;Off-street")&gt;0,1,0)</f>
        <v>0</v>
      </c>
      <c r="E342">
        <f>IF(COUNTIFS('United Data'!$A$3:$A$3390,E$1,'United Data'!$C$3:$C$3390,$A342,'United Data'!$B$3:$B$3390,"&lt;&gt;Off-street")&gt;0,1,0)</f>
        <v>0</v>
      </c>
      <c r="F342">
        <f>IF(COUNTIFS('United Data'!$A$3:$A$3390,F$1,'United Data'!$C$3:$C$3390,$A342,'United Data'!$B$3:$B$3390,"&lt;&gt;Off-street")&gt;0,1,0)</f>
        <v>1</v>
      </c>
      <c r="G342">
        <f>IF(COUNTIFS('United Data'!$A$3:$A$3390,G$1,'United Data'!$C$3:$C$3390,$A342,'United Data'!$B$3:$B$3390,"&lt;&gt;Off-street")&gt;0,1,0)</f>
        <v>0</v>
      </c>
      <c r="H342">
        <f>IF(COUNTIFS('United Data'!$A$3:$A$3390,H$1,'United Data'!$C$3:$C$3390,$A342,'United Data'!$B$3:$B$3390,"&lt;&gt;Off-street")&gt;0,1,0)</f>
        <v>0</v>
      </c>
      <c r="I342">
        <f>IF(COUNTIFS('United Data'!$A$3:$A$3390,I$1,'United Data'!$C$3:$C$3390,$A342,'United Data'!$B$3:$B$3390,"&lt;&gt;Off-street")&gt;0,1,0)</f>
        <v>0</v>
      </c>
      <c r="J342">
        <f>IF(COUNTIFS('United Data'!$A$3:$A$3390,J$1,'United Data'!$C$3:$C$3390,$A342,'United Data'!$B$3:$B$3390,"&lt;&gt;Off-street")&gt;0,1,0)</f>
        <v>0</v>
      </c>
      <c r="K342">
        <f>IF(COUNTIFS('United Data'!$A$3:$A$3390,K$1,'United Data'!$C$3:$C$3390,$A342,'United Data'!$B$3:$B$3390,"&lt;&gt;Off-street")&gt;0,1,0)</f>
        <v>0</v>
      </c>
      <c r="L342">
        <f>IF(COUNTIFS('United Data'!$A$3:$A$3390,L$1,'United Data'!$C$3:$C$3390,$A342,'United Data'!$B$3:$B$3390,"&lt;&gt;Off-street")&gt;0,1,0)</f>
        <v>0</v>
      </c>
      <c r="M342">
        <f>IF(COUNTIFS('United Data'!$A$3:$A$3390,M$1,'United Data'!$C$3:$C$3390,$A342,'United Data'!$B$3:$B$3390,"&lt;&gt;Off-street")&gt;0,1,0)</f>
        <v>0</v>
      </c>
      <c r="N342">
        <f>IF(COUNTIFS('United Data'!$A$3:$A$3390,N$1,'United Data'!$C$3:$C$3390,$A342,'United Data'!$B$3:$B$3390,"&lt;&gt;Off-street")&gt;0,1,0)</f>
        <v>0</v>
      </c>
      <c r="O342">
        <f>IF(COUNTIFS('United Data'!$A$3:$A$3390,O$1,'United Data'!$C$3:$C$3390,$A342,'United Data'!$B$3:$B$3390,"&lt;&gt;Off-street")&gt;0,1,0)</f>
        <v>0</v>
      </c>
      <c r="P342">
        <f>IF(COUNTIFS('United Data'!$A$3:$A$3390,P$1,'United Data'!$C$3:$C$3390,$A342,'United Data'!$B$3:$B$3390,"&lt;&gt;Off-street")&gt;0,1,0)</f>
        <v>0</v>
      </c>
      <c r="Q342">
        <f>IF(COUNTIFS('United Data'!$A$3:$A$3390,Q$1,'United Data'!$C$3:$C$3390,$A342,'United Data'!$B$3:$B$3390,"&lt;&gt;Off-street")&gt;0,1,0)</f>
        <v>0</v>
      </c>
      <c r="R342">
        <f>IF(COUNTIFS('United Data'!$A$3:$A$3390,R$1,'United Data'!$C$3:$C$3390,$A342,'United Data'!$B$3:$B$3390,"&lt;&gt;Off-street")&gt;0,1,0)</f>
        <v>1</v>
      </c>
      <c r="S342">
        <f t="shared" si="10"/>
        <v>2</v>
      </c>
      <c r="T342">
        <f t="shared" si="11"/>
        <v>2</v>
      </c>
    </row>
    <row r="343" spans="1:20" x14ac:dyDescent="0.2">
      <c r="A343" t="s">
        <v>432</v>
      </c>
      <c r="B343">
        <f>IF(COUNTIFS('United Data'!$A$3:$A$3390,B$1,'United Data'!$C$3:$C$3390,$A343,'United Data'!$B$3:$B$3390,"&lt;&gt;Off-street")&gt;0,1,0)</f>
        <v>0</v>
      </c>
      <c r="C343">
        <f>IF(COUNTIFS('United Data'!$A$3:$A$3390,C$1,'United Data'!$C$3:$C$3390,$A343,'United Data'!$B$3:$B$3390,"&lt;&gt;Off-street")&gt;0,1,0)</f>
        <v>0</v>
      </c>
      <c r="D343">
        <f>IF(COUNTIFS('United Data'!$A$3:$A$3390,D$1,'United Data'!$C$3:$C$3390,$A343,'United Data'!$B$3:$B$3390,"&lt;&gt;Off-street")&gt;0,1,0)</f>
        <v>0</v>
      </c>
      <c r="E343">
        <f>IF(COUNTIFS('United Data'!$A$3:$A$3390,E$1,'United Data'!$C$3:$C$3390,$A343,'United Data'!$B$3:$B$3390,"&lt;&gt;Off-street")&gt;0,1,0)</f>
        <v>0</v>
      </c>
      <c r="F343">
        <f>IF(COUNTIFS('United Data'!$A$3:$A$3390,F$1,'United Data'!$C$3:$C$3390,$A343,'United Data'!$B$3:$B$3390,"&lt;&gt;Off-street")&gt;0,1,0)</f>
        <v>0</v>
      </c>
      <c r="G343">
        <f>IF(COUNTIFS('United Data'!$A$3:$A$3390,G$1,'United Data'!$C$3:$C$3390,$A343,'United Data'!$B$3:$B$3390,"&lt;&gt;Off-street")&gt;0,1,0)</f>
        <v>0</v>
      </c>
      <c r="H343">
        <f>IF(COUNTIFS('United Data'!$A$3:$A$3390,H$1,'United Data'!$C$3:$C$3390,$A343,'United Data'!$B$3:$B$3390,"&lt;&gt;Off-street")&gt;0,1,0)</f>
        <v>0</v>
      </c>
      <c r="I343">
        <f>IF(COUNTIFS('United Data'!$A$3:$A$3390,I$1,'United Data'!$C$3:$C$3390,$A343,'United Data'!$B$3:$B$3390,"&lt;&gt;Off-street")&gt;0,1,0)</f>
        <v>0</v>
      </c>
      <c r="J343">
        <f>IF(COUNTIFS('United Data'!$A$3:$A$3390,J$1,'United Data'!$C$3:$C$3390,$A343,'United Data'!$B$3:$B$3390,"&lt;&gt;Off-street")&gt;0,1,0)</f>
        <v>0</v>
      </c>
      <c r="K343">
        <f>IF(COUNTIFS('United Data'!$A$3:$A$3390,K$1,'United Data'!$C$3:$C$3390,$A343,'United Data'!$B$3:$B$3390,"&lt;&gt;Off-street")&gt;0,1,0)</f>
        <v>0</v>
      </c>
      <c r="L343">
        <f>IF(COUNTIFS('United Data'!$A$3:$A$3390,L$1,'United Data'!$C$3:$C$3390,$A343,'United Data'!$B$3:$B$3390,"&lt;&gt;Off-street")&gt;0,1,0)</f>
        <v>0</v>
      </c>
      <c r="M343">
        <f>IF(COUNTIFS('United Data'!$A$3:$A$3390,M$1,'United Data'!$C$3:$C$3390,$A343,'United Data'!$B$3:$B$3390,"&lt;&gt;Off-street")&gt;0,1,0)</f>
        <v>0</v>
      </c>
      <c r="N343">
        <f>IF(COUNTIFS('United Data'!$A$3:$A$3390,N$1,'United Data'!$C$3:$C$3390,$A343,'United Data'!$B$3:$B$3390,"&lt;&gt;Off-street")&gt;0,1,0)</f>
        <v>0</v>
      </c>
      <c r="O343">
        <f>IF(COUNTIFS('United Data'!$A$3:$A$3390,O$1,'United Data'!$C$3:$C$3390,$A343,'United Data'!$B$3:$B$3390,"&lt;&gt;Off-street")&gt;0,1,0)</f>
        <v>0</v>
      </c>
      <c r="P343">
        <f>IF(COUNTIFS('United Data'!$A$3:$A$3390,P$1,'United Data'!$C$3:$C$3390,$A343,'United Data'!$B$3:$B$3390,"&lt;&gt;Off-street")&gt;0,1,0)</f>
        <v>0</v>
      </c>
      <c r="Q343">
        <f>IF(COUNTIFS('United Data'!$A$3:$A$3390,Q$1,'United Data'!$C$3:$C$3390,$A343,'United Data'!$B$3:$B$3390,"&lt;&gt;Off-street")&gt;0,1,0)</f>
        <v>0</v>
      </c>
      <c r="R343">
        <f>IF(COUNTIFS('United Data'!$A$3:$A$3390,R$1,'United Data'!$C$3:$C$3390,$A343,'United Data'!$B$3:$B$3390,"&lt;&gt;Off-street")&gt;0,1,0)</f>
        <v>1</v>
      </c>
      <c r="S343">
        <f t="shared" si="10"/>
        <v>1</v>
      </c>
      <c r="T343">
        <f t="shared" si="11"/>
        <v>1</v>
      </c>
    </row>
    <row r="344" spans="1:20" x14ac:dyDescent="0.2">
      <c r="A344" t="s">
        <v>433</v>
      </c>
      <c r="B344">
        <f>IF(COUNTIFS('United Data'!$A$3:$A$3390,B$1,'United Data'!$C$3:$C$3390,$A344,'United Data'!$B$3:$B$3390,"&lt;&gt;Off-street")&gt;0,1,0)</f>
        <v>0</v>
      </c>
      <c r="C344">
        <f>IF(COUNTIFS('United Data'!$A$3:$A$3390,C$1,'United Data'!$C$3:$C$3390,$A344,'United Data'!$B$3:$B$3390,"&lt;&gt;Off-street")&gt;0,1,0)</f>
        <v>0</v>
      </c>
      <c r="D344">
        <f>IF(COUNTIFS('United Data'!$A$3:$A$3390,D$1,'United Data'!$C$3:$C$3390,$A344,'United Data'!$B$3:$B$3390,"&lt;&gt;Off-street")&gt;0,1,0)</f>
        <v>0</v>
      </c>
      <c r="E344">
        <f>IF(COUNTIFS('United Data'!$A$3:$A$3390,E$1,'United Data'!$C$3:$C$3390,$A344,'United Data'!$B$3:$B$3390,"&lt;&gt;Off-street")&gt;0,1,0)</f>
        <v>0</v>
      </c>
      <c r="F344">
        <f>IF(COUNTIFS('United Data'!$A$3:$A$3390,F$1,'United Data'!$C$3:$C$3390,$A344,'United Data'!$B$3:$B$3390,"&lt;&gt;Off-street")&gt;0,1,0)</f>
        <v>0</v>
      </c>
      <c r="G344">
        <f>IF(COUNTIFS('United Data'!$A$3:$A$3390,G$1,'United Data'!$C$3:$C$3390,$A344,'United Data'!$B$3:$B$3390,"&lt;&gt;Off-street")&gt;0,1,0)</f>
        <v>0</v>
      </c>
      <c r="H344">
        <f>IF(COUNTIFS('United Data'!$A$3:$A$3390,H$1,'United Data'!$C$3:$C$3390,$A344,'United Data'!$B$3:$B$3390,"&lt;&gt;Off-street")&gt;0,1,0)</f>
        <v>0</v>
      </c>
      <c r="I344">
        <f>IF(COUNTIFS('United Data'!$A$3:$A$3390,I$1,'United Data'!$C$3:$C$3390,$A344,'United Data'!$B$3:$B$3390,"&lt;&gt;Off-street")&gt;0,1,0)</f>
        <v>0</v>
      </c>
      <c r="J344">
        <f>IF(COUNTIFS('United Data'!$A$3:$A$3390,J$1,'United Data'!$C$3:$C$3390,$A344,'United Data'!$B$3:$B$3390,"&lt;&gt;Off-street")&gt;0,1,0)</f>
        <v>0</v>
      </c>
      <c r="K344">
        <f>IF(COUNTIFS('United Data'!$A$3:$A$3390,K$1,'United Data'!$C$3:$C$3390,$A344,'United Data'!$B$3:$B$3390,"&lt;&gt;Off-street")&gt;0,1,0)</f>
        <v>0</v>
      </c>
      <c r="L344">
        <f>IF(COUNTIFS('United Data'!$A$3:$A$3390,L$1,'United Data'!$C$3:$C$3390,$A344,'United Data'!$B$3:$B$3390,"&lt;&gt;Off-street")&gt;0,1,0)</f>
        <v>0</v>
      </c>
      <c r="M344">
        <f>IF(COUNTIFS('United Data'!$A$3:$A$3390,M$1,'United Data'!$C$3:$C$3390,$A344,'United Data'!$B$3:$B$3390,"&lt;&gt;Off-street")&gt;0,1,0)</f>
        <v>0</v>
      </c>
      <c r="N344">
        <f>IF(COUNTIFS('United Data'!$A$3:$A$3390,N$1,'United Data'!$C$3:$C$3390,$A344,'United Data'!$B$3:$B$3390,"&lt;&gt;Off-street")&gt;0,1,0)</f>
        <v>0</v>
      </c>
      <c r="O344">
        <f>IF(COUNTIFS('United Data'!$A$3:$A$3390,O$1,'United Data'!$C$3:$C$3390,$A344,'United Data'!$B$3:$B$3390,"&lt;&gt;Off-street")&gt;0,1,0)</f>
        <v>0</v>
      </c>
      <c r="P344">
        <f>IF(COUNTIFS('United Data'!$A$3:$A$3390,P$1,'United Data'!$C$3:$C$3390,$A344,'United Data'!$B$3:$B$3390,"&lt;&gt;Off-street")&gt;0,1,0)</f>
        <v>0</v>
      </c>
      <c r="Q344">
        <f>IF(COUNTIFS('United Data'!$A$3:$A$3390,Q$1,'United Data'!$C$3:$C$3390,$A344,'United Data'!$B$3:$B$3390,"&lt;&gt;Off-street")&gt;0,1,0)</f>
        <v>0</v>
      </c>
      <c r="R344">
        <f>IF(COUNTIFS('United Data'!$A$3:$A$3390,R$1,'United Data'!$C$3:$C$3390,$A344,'United Data'!$B$3:$B$3390,"&lt;&gt;Off-street")&gt;0,1,0)</f>
        <v>1</v>
      </c>
      <c r="S344">
        <f t="shared" si="10"/>
        <v>1</v>
      </c>
      <c r="T344">
        <f t="shared" si="11"/>
        <v>1</v>
      </c>
    </row>
    <row r="345" spans="1:20" x14ac:dyDescent="0.2">
      <c r="A345" t="s">
        <v>434</v>
      </c>
      <c r="B345">
        <f>IF(COUNTIFS('United Data'!$A$3:$A$3390,B$1,'United Data'!$C$3:$C$3390,$A345,'United Data'!$B$3:$B$3390,"&lt;&gt;Off-street")&gt;0,1,0)</f>
        <v>1</v>
      </c>
      <c r="C345">
        <f>IF(COUNTIFS('United Data'!$A$3:$A$3390,C$1,'United Data'!$C$3:$C$3390,$A345,'United Data'!$B$3:$B$3390,"&lt;&gt;Off-street")&gt;0,1,0)</f>
        <v>0</v>
      </c>
      <c r="D345">
        <f>IF(COUNTIFS('United Data'!$A$3:$A$3390,D$1,'United Data'!$C$3:$C$3390,$A345,'United Data'!$B$3:$B$3390,"&lt;&gt;Off-street")&gt;0,1,0)</f>
        <v>0</v>
      </c>
      <c r="E345">
        <f>IF(COUNTIFS('United Data'!$A$3:$A$3390,E$1,'United Data'!$C$3:$C$3390,$A345,'United Data'!$B$3:$B$3390,"&lt;&gt;Off-street")&gt;0,1,0)</f>
        <v>0</v>
      </c>
      <c r="F345">
        <f>IF(COUNTIFS('United Data'!$A$3:$A$3390,F$1,'United Data'!$C$3:$C$3390,$A345,'United Data'!$B$3:$B$3390,"&lt;&gt;Off-street")&gt;0,1,0)</f>
        <v>0</v>
      </c>
      <c r="G345">
        <f>IF(COUNTIFS('United Data'!$A$3:$A$3390,G$1,'United Data'!$C$3:$C$3390,$A345,'United Data'!$B$3:$B$3390,"&lt;&gt;Off-street")&gt;0,1,0)</f>
        <v>0</v>
      </c>
      <c r="H345">
        <f>IF(COUNTIFS('United Data'!$A$3:$A$3390,H$1,'United Data'!$C$3:$C$3390,$A345,'United Data'!$B$3:$B$3390,"&lt;&gt;Off-street")&gt;0,1,0)</f>
        <v>0</v>
      </c>
      <c r="I345">
        <f>IF(COUNTIFS('United Data'!$A$3:$A$3390,I$1,'United Data'!$C$3:$C$3390,$A345,'United Data'!$B$3:$B$3390,"&lt;&gt;Off-street")&gt;0,1,0)</f>
        <v>0</v>
      </c>
      <c r="J345">
        <f>IF(COUNTIFS('United Data'!$A$3:$A$3390,J$1,'United Data'!$C$3:$C$3390,$A345,'United Data'!$B$3:$B$3390,"&lt;&gt;Off-street")&gt;0,1,0)</f>
        <v>0</v>
      </c>
      <c r="K345">
        <f>IF(COUNTIFS('United Data'!$A$3:$A$3390,K$1,'United Data'!$C$3:$C$3390,$A345,'United Data'!$B$3:$B$3390,"&lt;&gt;Off-street")&gt;0,1,0)</f>
        <v>0</v>
      </c>
      <c r="L345">
        <f>IF(COUNTIFS('United Data'!$A$3:$A$3390,L$1,'United Data'!$C$3:$C$3390,$A345,'United Data'!$B$3:$B$3390,"&lt;&gt;Off-street")&gt;0,1,0)</f>
        <v>0</v>
      </c>
      <c r="M345">
        <f>IF(COUNTIFS('United Data'!$A$3:$A$3390,M$1,'United Data'!$C$3:$C$3390,$A345,'United Data'!$B$3:$B$3390,"&lt;&gt;Off-street")&gt;0,1,0)</f>
        <v>0</v>
      </c>
      <c r="N345">
        <f>IF(COUNTIFS('United Data'!$A$3:$A$3390,N$1,'United Data'!$C$3:$C$3390,$A345,'United Data'!$B$3:$B$3390,"&lt;&gt;Off-street")&gt;0,1,0)</f>
        <v>0</v>
      </c>
      <c r="O345">
        <f>IF(COUNTIFS('United Data'!$A$3:$A$3390,O$1,'United Data'!$C$3:$C$3390,$A345,'United Data'!$B$3:$B$3390,"&lt;&gt;Off-street")&gt;0,1,0)</f>
        <v>0</v>
      </c>
      <c r="P345">
        <f>IF(COUNTIFS('United Data'!$A$3:$A$3390,P$1,'United Data'!$C$3:$C$3390,$A345,'United Data'!$B$3:$B$3390,"&lt;&gt;Off-street")&gt;0,1,0)</f>
        <v>0</v>
      </c>
      <c r="Q345">
        <f>IF(COUNTIFS('United Data'!$A$3:$A$3390,Q$1,'United Data'!$C$3:$C$3390,$A345,'United Data'!$B$3:$B$3390,"&lt;&gt;Off-street")&gt;0,1,0)</f>
        <v>0</v>
      </c>
      <c r="R345">
        <f>IF(COUNTIFS('United Data'!$A$3:$A$3390,R$1,'United Data'!$C$3:$C$3390,$A345,'United Data'!$B$3:$B$3390,"&lt;&gt;Off-street")&gt;0,1,0)</f>
        <v>0</v>
      </c>
      <c r="S345">
        <f t="shared" si="10"/>
        <v>1</v>
      </c>
      <c r="T345">
        <f t="shared" si="11"/>
        <v>1</v>
      </c>
    </row>
    <row r="346" spans="1:20" x14ac:dyDescent="0.2">
      <c r="A346" t="s">
        <v>435</v>
      </c>
      <c r="B346">
        <f>IF(COUNTIFS('United Data'!$A$3:$A$3390,B$1,'United Data'!$C$3:$C$3390,$A346,'United Data'!$B$3:$B$3390,"&lt;&gt;Off-street")&gt;0,1,0)</f>
        <v>1</v>
      </c>
      <c r="C346">
        <f>IF(COUNTIFS('United Data'!$A$3:$A$3390,C$1,'United Data'!$C$3:$C$3390,$A346,'United Data'!$B$3:$B$3390,"&lt;&gt;Off-street")&gt;0,1,0)</f>
        <v>0</v>
      </c>
      <c r="D346">
        <f>IF(COUNTIFS('United Data'!$A$3:$A$3390,D$1,'United Data'!$C$3:$C$3390,$A346,'United Data'!$B$3:$B$3390,"&lt;&gt;Off-street")&gt;0,1,0)</f>
        <v>0</v>
      </c>
      <c r="E346">
        <f>IF(COUNTIFS('United Data'!$A$3:$A$3390,E$1,'United Data'!$C$3:$C$3390,$A346,'United Data'!$B$3:$B$3390,"&lt;&gt;Off-street")&gt;0,1,0)</f>
        <v>0</v>
      </c>
      <c r="F346">
        <f>IF(COUNTIFS('United Data'!$A$3:$A$3390,F$1,'United Data'!$C$3:$C$3390,$A346,'United Data'!$B$3:$B$3390,"&lt;&gt;Off-street")&gt;0,1,0)</f>
        <v>0</v>
      </c>
      <c r="G346">
        <f>IF(COUNTIFS('United Data'!$A$3:$A$3390,G$1,'United Data'!$C$3:$C$3390,$A346,'United Data'!$B$3:$B$3390,"&lt;&gt;Off-street")&gt;0,1,0)</f>
        <v>0</v>
      </c>
      <c r="H346">
        <f>IF(COUNTIFS('United Data'!$A$3:$A$3390,H$1,'United Data'!$C$3:$C$3390,$A346,'United Data'!$B$3:$B$3390,"&lt;&gt;Off-street")&gt;0,1,0)</f>
        <v>0</v>
      </c>
      <c r="I346">
        <f>IF(COUNTIFS('United Data'!$A$3:$A$3390,I$1,'United Data'!$C$3:$C$3390,$A346,'United Data'!$B$3:$B$3390,"&lt;&gt;Off-street")&gt;0,1,0)</f>
        <v>0</v>
      </c>
      <c r="J346">
        <f>IF(COUNTIFS('United Data'!$A$3:$A$3390,J$1,'United Data'!$C$3:$C$3390,$A346,'United Data'!$B$3:$B$3390,"&lt;&gt;Off-street")&gt;0,1,0)</f>
        <v>0</v>
      </c>
      <c r="K346">
        <f>IF(COUNTIFS('United Data'!$A$3:$A$3390,K$1,'United Data'!$C$3:$C$3390,$A346,'United Data'!$B$3:$B$3390,"&lt;&gt;Off-street")&gt;0,1,0)</f>
        <v>0</v>
      </c>
      <c r="L346">
        <f>IF(COUNTIFS('United Data'!$A$3:$A$3390,L$1,'United Data'!$C$3:$C$3390,$A346,'United Data'!$B$3:$B$3390,"&lt;&gt;Off-street")&gt;0,1,0)</f>
        <v>0</v>
      </c>
      <c r="M346">
        <f>IF(COUNTIFS('United Data'!$A$3:$A$3390,M$1,'United Data'!$C$3:$C$3390,$A346,'United Data'!$B$3:$B$3390,"&lt;&gt;Off-street")&gt;0,1,0)</f>
        <v>0</v>
      </c>
      <c r="N346">
        <f>IF(COUNTIFS('United Data'!$A$3:$A$3390,N$1,'United Data'!$C$3:$C$3390,$A346,'United Data'!$B$3:$B$3390,"&lt;&gt;Off-street")&gt;0,1,0)</f>
        <v>0</v>
      </c>
      <c r="O346">
        <f>IF(COUNTIFS('United Data'!$A$3:$A$3390,O$1,'United Data'!$C$3:$C$3390,$A346,'United Data'!$B$3:$B$3390,"&lt;&gt;Off-street")&gt;0,1,0)</f>
        <v>0</v>
      </c>
      <c r="P346">
        <f>IF(COUNTIFS('United Data'!$A$3:$A$3390,P$1,'United Data'!$C$3:$C$3390,$A346,'United Data'!$B$3:$B$3390,"&lt;&gt;Off-street")&gt;0,1,0)</f>
        <v>0</v>
      </c>
      <c r="Q346">
        <f>IF(COUNTIFS('United Data'!$A$3:$A$3390,Q$1,'United Data'!$C$3:$C$3390,$A346,'United Data'!$B$3:$B$3390,"&lt;&gt;Off-street")&gt;0,1,0)</f>
        <v>0</v>
      </c>
      <c r="R346">
        <f>IF(COUNTIFS('United Data'!$A$3:$A$3390,R$1,'United Data'!$C$3:$C$3390,$A346,'United Data'!$B$3:$B$3390,"&lt;&gt;Off-street")&gt;0,1,0)</f>
        <v>0</v>
      </c>
      <c r="S346">
        <f t="shared" si="10"/>
        <v>1</v>
      </c>
      <c r="T346">
        <f t="shared" si="11"/>
        <v>1</v>
      </c>
    </row>
    <row r="347" spans="1:20" x14ac:dyDescent="0.2">
      <c r="A347" t="s">
        <v>436</v>
      </c>
      <c r="B347">
        <f>IF(COUNTIFS('United Data'!$A$3:$A$3390,B$1,'United Data'!$C$3:$C$3390,$A347,'United Data'!$B$3:$B$3390,"&lt;&gt;Off-street")&gt;0,1,0)</f>
        <v>1</v>
      </c>
      <c r="C347">
        <f>IF(COUNTIFS('United Data'!$A$3:$A$3390,C$1,'United Data'!$C$3:$C$3390,$A347,'United Data'!$B$3:$B$3390,"&lt;&gt;Off-street")&gt;0,1,0)</f>
        <v>0</v>
      </c>
      <c r="D347">
        <f>IF(COUNTIFS('United Data'!$A$3:$A$3390,D$1,'United Data'!$C$3:$C$3390,$A347,'United Data'!$B$3:$B$3390,"&lt;&gt;Off-street")&gt;0,1,0)</f>
        <v>0</v>
      </c>
      <c r="E347">
        <f>IF(COUNTIFS('United Data'!$A$3:$A$3390,E$1,'United Data'!$C$3:$C$3390,$A347,'United Data'!$B$3:$B$3390,"&lt;&gt;Off-street")&gt;0,1,0)</f>
        <v>0</v>
      </c>
      <c r="F347">
        <f>IF(COUNTIFS('United Data'!$A$3:$A$3390,F$1,'United Data'!$C$3:$C$3390,$A347,'United Data'!$B$3:$B$3390,"&lt;&gt;Off-street")&gt;0,1,0)</f>
        <v>0</v>
      </c>
      <c r="G347">
        <f>IF(COUNTIFS('United Data'!$A$3:$A$3390,G$1,'United Data'!$C$3:$C$3390,$A347,'United Data'!$B$3:$B$3390,"&lt;&gt;Off-street")&gt;0,1,0)</f>
        <v>0</v>
      </c>
      <c r="H347">
        <f>IF(COUNTIFS('United Data'!$A$3:$A$3390,H$1,'United Data'!$C$3:$C$3390,$A347,'United Data'!$B$3:$B$3390,"&lt;&gt;Off-street")&gt;0,1,0)</f>
        <v>0</v>
      </c>
      <c r="I347">
        <f>IF(COUNTIFS('United Data'!$A$3:$A$3390,I$1,'United Data'!$C$3:$C$3390,$A347,'United Data'!$B$3:$B$3390,"&lt;&gt;Off-street")&gt;0,1,0)</f>
        <v>0</v>
      </c>
      <c r="J347">
        <f>IF(COUNTIFS('United Data'!$A$3:$A$3390,J$1,'United Data'!$C$3:$C$3390,$A347,'United Data'!$B$3:$B$3390,"&lt;&gt;Off-street")&gt;0,1,0)</f>
        <v>0</v>
      </c>
      <c r="K347">
        <f>IF(COUNTIFS('United Data'!$A$3:$A$3390,K$1,'United Data'!$C$3:$C$3390,$A347,'United Data'!$B$3:$B$3390,"&lt;&gt;Off-street")&gt;0,1,0)</f>
        <v>0</v>
      </c>
      <c r="L347">
        <f>IF(COUNTIFS('United Data'!$A$3:$A$3390,L$1,'United Data'!$C$3:$C$3390,$A347,'United Data'!$B$3:$B$3390,"&lt;&gt;Off-street")&gt;0,1,0)</f>
        <v>0</v>
      </c>
      <c r="M347">
        <f>IF(COUNTIFS('United Data'!$A$3:$A$3390,M$1,'United Data'!$C$3:$C$3390,$A347,'United Data'!$B$3:$B$3390,"&lt;&gt;Off-street")&gt;0,1,0)</f>
        <v>0</v>
      </c>
      <c r="N347">
        <f>IF(COUNTIFS('United Data'!$A$3:$A$3390,N$1,'United Data'!$C$3:$C$3390,$A347,'United Data'!$B$3:$B$3390,"&lt;&gt;Off-street")&gt;0,1,0)</f>
        <v>0</v>
      </c>
      <c r="O347">
        <f>IF(COUNTIFS('United Data'!$A$3:$A$3390,O$1,'United Data'!$C$3:$C$3390,$A347,'United Data'!$B$3:$B$3390,"&lt;&gt;Off-street")&gt;0,1,0)</f>
        <v>0</v>
      </c>
      <c r="P347">
        <f>IF(COUNTIFS('United Data'!$A$3:$A$3390,P$1,'United Data'!$C$3:$C$3390,$A347,'United Data'!$B$3:$B$3390,"&lt;&gt;Off-street")&gt;0,1,0)</f>
        <v>0</v>
      </c>
      <c r="Q347">
        <f>IF(COUNTIFS('United Data'!$A$3:$A$3390,Q$1,'United Data'!$C$3:$C$3390,$A347,'United Data'!$B$3:$B$3390,"&lt;&gt;Off-street")&gt;0,1,0)</f>
        <v>0</v>
      </c>
      <c r="R347">
        <f>IF(COUNTIFS('United Data'!$A$3:$A$3390,R$1,'United Data'!$C$3:$C$3390,$A347,'United Data'!$B$3:$B$3390,"&lt;&gt;Off-street")&gt;0,1,0)</f>
        <v>0</v>
      </c>
      <c r="S347">
        <f t="shared" si="10"/>
        <v>1</v>
      </c>
      <c r="T347">
        <f t="shared" si="11"/>
        <v>1</v>
      </c>
    </row>
    <row r="348" spans="1:20" x14ac:dyDescent="0.2">
      <c r="A348" t="s">
        <v>437</v>
      </c>
      <c r="B348">
        <f>IF(COUNTIFS('United Data'!$A$3:$A$3390,B$1,'United Data'!$C$3:$C$3390,$A348,'United Data'!$B$3:$B$3390,"&lt;&gt;Off-street")&gt;0,1,0)</f>
        <v>0</v>
      </c>
      <c r="C348">
        <f>IF(COUNTIFS('United Data'!$A$3:$A$3390,C$1,'United Data'!$C$3:$C$3390,$A348,'United Data'!$B$3:$B$3390,"&lt;&gt;Off-street")&gt;0,1,0)</f>
        <v>1</v>
      </c>
      <c r="D348">
        <f>IF(COUNTIFS('United Data'!$A$3:$A$3390,D$1,'United Data'!$C$3:$C$3390,$A348,'United Data'!$B$3:$B$3390,"&lt;&gt;Off-street")&gt;0,1,0)</f>
        <v>0</v>
      </c>
      <c r="E348">
        <f>IF(COUNTIFS('United Data'!$A$3:$A$3390,E$1,'United Data'!$C$3:$C$3390,$A348,'United Data'!$B$3:$B$3390,"&lt;&gt;Off-street")&gt;0,1,0)</f>
        <v>0</v>
      </c>
      <c r="F348">
        <f>IF(COUNTIFS('United Data'!$A$3:$A$3390,F$1,'United Data'!$C$3:$C$3390,$A348,'United Data'!$B$3:$B$3390,"&lt;&gt;Off-street")&gt;0,1,0)</f>
        <v>1</v>
      </c>
      <c r="G348">
        <f>IF(COUNTIFS('United Data'!$A$3:$A$3390,G$1,'United Data'!$C$3:$C$3390,$A348,'United Data'!$B$3:$B$3390,"&lt;&gt;Off-street")&gt;0,1,0)</f>
        <v>1</v>
      </c>
      <c r="H348">
        <f>IF(COUNTIFS('United Data'!$A$3:$A$3390,H$1,'United Data'!$C$3:$C$3390,$A348,'United Data'!$B$3:$B$3390,"&lt;&gt;Off-street")&gt;0,1,0)</f>
        <v>0</v>
      </c>
      <c r="I348">
        <f>IF(COUNTIFS('United Data'!$A$3:$A$3390,I$1,'United Data'!$C$3:$C$3390,$A348,'United Data'!$B$3:$B$3390,"&lt;&gt;Off-street")&gt;0,1,0)</f>
        <v>0</v>
      </c>
      <c r="J348">
        <f>IF(COUNTIFS('United Data'!$A$3:$A$3390,J$1,'United Data'!$C$3:$C$3390,$A348,'United Data'!$B$3:$B$3390,"&lt;&gt;Off-street")&gt;0,1,0)</f>
        <v>0</v>
      </c>
      <c r="K348">
        <f>IF(COUNTIFS('United Data'!$A$3:$A$3390,K$1,'United Data'!$C$3:$C$3390,$A348,'United Data'!$B$3:$B$3390,"&lt;&gt;Off-street")&gt;0,1,0)</f>
        <v>1</v>
      </c>
      <c r="L348">
        <f>IF(COUNTIFS('United Data'!$A$3:$A$3390,L$1,'United Data'!$C$3:$C$3390,$A348,'United Data'!$B$3:$B$3390,"&lt;&gt;Off-street")&gt;0,1,0)</f>
        <v>0</v>
      </c>
      <c r="M348">
        <f>IF(COUNTIFS('United Data'!$A$3:$A$3390,M$1,'United Data'!$C$3:$C$3390,$A348,'United Data'!$B$3:$B$3390,"&lt;&gt;Off-street")&gt;0,1,0)</f>
        <v>1</v>
      </c>
      <c r="N348">
        <f>IF(COUNTIFS('United Data'!$A$3:$A$3390,N$1,'United Data'!$C$3:$C$3390,$A348,'United Data'!$B$3:$B$3390,"&lt;&gt;Off-street")&gt;0,1,0)</f>
        <v>0</v>
      </c>
      <c r="O348">
        <f>IF(COUNTIFS('United Data'!$A$3:$A$3390,O$1,'United Data'!$C$3:$C$3390,$A348,'United Data'!$B$3:$B$3390,"&lt;&gt;Off-street")&gt;0,1,0)</f>
        <v>0</v>
      </c>
      <c r="P348">
        <f>IF(COUNTIFS('United Data'!$A$3:$A$3390,P$1,'United Data'!$C$3:$C$3390,$A348,'United Data'!$B$3:$B$3390,"&lt;&gt;Off-street")&gt;0,1,0)</f>
        <v>0</v>
      </c>
      <c r="Q348">
        <f>IF(COUNTIFS('United Data'!$A$3:$A$3390,Q$1,'United Data'!$C$3:$C$3390,$A348,'United Data'!$B$3:$B$3390,"&lt;&gt;Off-street")&gt;0,1,0)</f>
        <v>1</v>
      </c>
      <c r="R348">
        <f>IF(COUNTIFS('United Data'!$A$3:$A$3390,R$1,'United Data'!$C$3:$C$3390,$A348,'United Data'!$B$3:$B$3390,"&lt;&gt;Off-street")&gt;0,1,0)</f>
        <v>0</v>
      </c>
      <c r="S348">
        <f t="shared" si="10"/>
        <v>6</v>
      </c>
      <c r="T348">
        <f t="shared" si="11"/>
        <v>5</v>
      </c>
    </row>
    <row r="349" spans="1:20" x14ac:dyDescent="0.2">
      <c r="A349" t="s">
        <v>438</v>
      </c>
      <c r="B349">
        <f>IF(COUNTIFS('United Data'!$A$3:$A$3390,B$1,'United Data'!$C$3:$C$3390,$A349,'United Data'!$B$3:$B$3390,"&lt;&gt;Off-street")&gt;0,1,0)</f>
        <v>0</v>
      </c>
      <c r="C349">
        <f>IF(COUNTIFS('United Data'!$A$3:$A$3390,C$1,'United Data'!$C$3:$C$3390,$A349,'United Data'!$B$3:$B$3390,"&lt;&gt;Off-street")&gt;0,1,0)</f>
        <v>1</v>
      </c>
      <c r="D349">
        <f>IF(COUNTIFS('United Data'!$A$3:$A$3390,D$1,'United Data'!$C$3:$C$3390,$A349,'United Data'!$B$3:$B$3390,"&lt;&gt;Off-street")&gt;0,1,0)</f>
        <v>1</v>
      </c>
      <c r="E349">
        <f>IF(COUNTIFS('United Data'!$A$3:$A$3390,E$1,'United Data'!$C$3:$C$3390,$A349,'United Data'!$B$3:$B$3390,"&lt;&gt;Off-street")&gt;0,1,0)</f>
        <v>0</v>
      </c>
      <c r="F349">
        <f>IF(COUNTIFS('United Data'!$A$3:$A$3390,F$1,'United Data'!$C$3:$C$3390,$A349,'United Data'!$B$3:$B$3390,"&lt;&gt;Off-street")&gt;0,1,0)</f>
        <v>0</v>
      </c>
      <c r="G349">
        <f>IF(COUNTIFS('United Data'!$A$3:$A$3390,G$1,'United Data'!$C$3:$C$3390,$A349,'United Data'!$B$3:$B$3390,"&lt;&gt;Off-street")&gt;0,1,0)</f>
        <v>0</v>
      </c>
      <c r="H349">
        <f>IF(COUNTIFS('United Data'!$A$3:$A$3390,H$1,'United Data'!$C$3:$C$3390,$A349,'United Data'!$B$3:$B$3390,"&lt;&gt;Off-street")&gt;0,1,0)</f>
        <v>0</v>
      </c>
      <c r="I349">
        <f>IF(COUNTIFS('United Data'!$A$3:$A$3390,I$1,'United Data'!$C$3:$C$3390,$A349,'United Data'!$B$3:$B$3390,"&lt;&gt;Off-street")&gt;0,1,0)</f>
        <v>0</v>
      </c>
      <c r="J349">
        <f>IF(COUNTIFS('United Data'!$A$3:$A$3390,J$1,'United Data'!$C$3:$C$3390,$A349,'United Data'!$B$3:$B$3390,"&lt;&gt;Off-street")&gt;0,1,0)</f>
        <v>0</v>
      </c>
      <c r="K349">
        <f>IF(COUNTIFS('United Data'!$A$3:$A$3390,K$1,'United Data'!$C$3:$C$3390,$A349,'United Data'!$B$3:$B$3390,"&lt;&gt;Off-street")&gt;0,1,0)</f>
        <v>0</v>
      </c>
      <c r="L349">
        <f>IF(COUNTIFS('United Data'!$A$3:$A$3390,L$1,'United Data'!$C$3:$C$3390,$A349,'United Data'!$B$3:$B$3390,"&lt;&gt;Off-street")&gt;0,1,0)</f>
        <v>0</v>
      </c>
      <c r="M349">
        <f>IF(COUNTIFS('United Data'!$A$3:$A$3390,M$1,'United Data'!$C$3:$C$3390,$A349,'United Data'!$B$3:$B$3390,"&lt;&gt;Off-street")&gt;0,1,0)</f>
        <v>0</v>
      </c>
      <c r="N349">
        <f>IF(COUNTIFS('United Data'!$A$3:$A$3390,N$1,'United Data'!$C$3:$C$3390,$A349,'United Data'!$B$3:$B$3390,"&lt;&gt;Off-street")&gt;0,1,0)</f>
        <v>1</v>
      </c>
      <c r="O349">
        <f>IF(COUNTIFS('United Data'!$A$3:$A$3390,O$1,'United Data'!$C$3:$C$3390,$A349,'United Data'!$B$3:$B$3390,"&lt;&gt;Off-street")&gt;0,1,0)</f>
        <v>1</v>
      </c>
      <c r="P349">
        <f>IF(COUNTIFS('United Data'!$A$3:$A$3390,P$1,'United Data'!$C$3:$C$3390,$A349,'United Data'!$B$3:$B$3390,"&lt;&gt;Off-street")&gt;0,1,0)</f>
        <v>0</v>
      </c>
      <c r="Q349">
        <f>IF(COUNTIFS('United Data'!$A$3:$A$3390,Q$1,'United Data'!$C$3:$C$3390,$A349,'United Data'!$B$3:$B$3390,"&lt;&gt;Off-street")&gt;0,1,0)</f>
        <v>1</v>
      </c>
      <c r="R349">
        <f>IF(COUNTIFS('United Data'!$A$3:$A$3390,R$1,'United Data'!$C$3:$C$3390,$A349,'United Data'!$B$3:$B$3390,"&lt;&gt;Off-street")&gt;0,1,0)</f>
        <v>0</v>
      </c>
      <c r="S349">
        <f t="shared" si="10"/>
        <v>5</v>
      </c>
      <c r="T349">
        <f t="shared" si="11"/>
        <v>3</v>
      </c>
    </row>
    <row r="350" spans="1:20" x14ac:dyDescent="0.2">
      <c r="A350" t="s">
        <v>439</v>
      </c>
      <c r="B350">
        <f>IF(COUNTIFS('United Data'!$A$3:$A$3390,B$1,'United Data'!$C$3:$C$3390,$A350,'United Data'!$B$3:$B$3390,"&lt;&gt;Off-street")&gt;0,1,0)</f>
        <v>0</v>
      </c>
      <c r="C350">
        <f>IF(COUNTIFS('United Data'!$A$3:$A$3390,C$1,'United Data'!$C$3:$C$3390,$A350,'United Data'!$B$3:$B$3390,"&lt;&gt;Off-street")&gt;0,1,0)</f>
        <v>1</v>
      </c>
      <c r="D350">
        <f>IF(COUNTIFS('United Data'!$A$3:$A$3390,D$1,'United Data'!$C$3:$C$3390,$A350,'United Data'!$B$3:$B$3390,"&lt;&gt;Off-street")&gt;0,1,0)</f>
        <v>1</v>
      </c>
      <c r="E350">
        <f>IF(COUNTIFS('United Data'!$A$3:$A$3390,E$1,'United Data'!$C$3:$C$3390,$A350,'United Data'!$B$3:$B$3390,"&lt;&gt;Off-street")&gt;0,1,0)</f>
        <v>1</v>
      </c>
      <c r="F350">
        <f>IF(COUNTIFS('United Data'!$A$3:$A$3390,F$1,'United Data'!$C$3:$C$3390,$A350,'United Data'!$B$3:$B$3390,"&lt;&gt;Off-street")&gt;0,1,0)</f>
        <v>0</v>
      </c>
      <c r="G350">
        <f>IF(COUNTIFS('United Data'!$A$3:$A$3390,G$1,'United Data'!$C$3:$C$3390,$A350,'United Data'!$B$3:$B$3390,"&lt;&gt;Off-street")&gt;0,1,0)</f>
        <v>0</v>
      </c>
      <c r="H350">
        <f>IF(COUNTIFS('United Data'!$A$3:$A$3390,H$1,'United Data'!$C$3:$C$3390,$A350,'United Data'!$B$3:$B$3390,"&lt;&gt;Off-street")&gt;0,1,0)</f>
        <v>0</v>
      </c>
      <c r="I350">
        <f>IF(COUNTIFS('United Data'!$A$3:$A$3390,I$1,'United Data'!$C$3:$C$3390,$A350,'United Data'!$B$3:$B$3390,"&lt;&gt;Off-street")&gt;0,1,0)</f>
        <v>0</v>
      </c>
      <c r="J350">
        <f>IF(COUNTIFS('United Data'!$A$3:$A$3390,J$1,'United Data'!$C$3:$C$3390,$A350,'United Data'!$B$3:$B$3390,"&lt;&gt;Off-street")&gt;0,1,0)</f>
        <v>0</v>
      </c>
      <c r="K350">
        <f>IF(COUNTIFS('United Data'!$A$3:$A$3390,K$1,'United Data'!$C$3:$C$3390,$A350,'United Data'!$B$3:$B$3390,"&lt;&gt;Off-street")&gt;0,1,0)</f>
        <v>0</v>
      </c>
      <c r="L350">
        <f>IF(COUNTIFS('United Data'!$A$3:$A$3390,L$1,'United Data'!$C$3:$C$3390,$A350,'United Data'!$B$3:$B$3390,"&lt;&gt;Off-street")&gt;0,1,0)</f>
        <v>0</v>
      </c>
      <c r="M350">
        <f>IF(COUNTIFS('United Data'!$A$3:$A$3390,M$1,'United Data'!$C$3:$C$3390,$A350,'United Data'!$B$3:$B$3390,"&lt;&gt;Off-street")&gt;0,1,0)</f>
        <v>0</v>
      </c>
      <c r="N350">
        <f>IF(COUNTIFS('United Data'!$A$3:$A$3390,N$1,'United Data'!$C$3:$C$3390,$A350,'United Data'!$B$3:$B$3390,"&lt;&gt;Off-street")&gt;0,1,0)</f>
        <v>0</v>
      </c>
      <c r="O350">
        <f>IF(COUNTIFS('United Data'!$A$3:$A$3390,O$1,'United Data'!$C$3:$C$3390,$A350,'United Data'!$B$3:$B$3390,"&lt;&gt;Off-street")&gt;0,1,0)</f>
        <v>0</v>
      </c>
      <c r="P350">
        <f>IF(COUNTIFS('United Data'!$A$3:$A$3390,P$1,'United Data'!$C$3:$C$3390,$A350,'United Data'!$B$3:$B$3390,"&lt;&gt;Off-street")&gt;0,1,0)</f>
        <v>0</v>
      </c>
      <c r="Q350">
        <f>IF(COUNTIFS('United Data'!$A$3:$A$3390,Q$1,'United Data'!$C$3:$C$3390,$A350,'United Data'!$B$3:$B$3390,"&lt;&gt;Off-street")&gt;0,1,0)</f>
        <v>0</v>
      </c>
      <c r="R350">
        <f>IF(COUNTIFS('United Data'!$A$3:$A$3390,R$1,'United Data'!$C$3:$C$3390,$A350,'United Data'!$B$3:$B$3390,"&lt;&gt;Off-street")&gt;0,1,0)</f>
        <v>0</v>
      </c>
      <c r="S350">
        <f t="shared" si="10"/>
        <v>3</v>
      </c>
      <c r="T350">
        <f t="shared" si="11"/>
        <v>1</v>
      </c>
    </row>
    <row r="351" spans="1:20" x14ac:dyDescent="0.2">
      <c r="A351" t="s">
        <v>440</v>
      </c>
      <c r="B351">
        <f>IF(COUNTIFS('United Data'!$A$3:$A$3390,B$1,'United Data'!$C$3:$C$3390,$A351,'United Data'!$B$3:$B$3390,"&lt;&gt;Off-street")&gt;0,1,0)</f>
        <v>0</v>
      </c>
      <c r="C351">
        <f>IF(COUNTIFS('United Data'!$A$3:$A$3390,C$1,'United Data'!$C$3:$C$3390,$A351,'United Data'!$B$3:$B$3390,"&lt;&gt;Off-street")&gt;0,1,0)</f>
        <v>1</v>
      </c>
      <c r="D351">
        <f>IF(COUNTIFS('United Data'!$A$3:$A$3390,D$1,'United Data'!$C$3:$C$3390,$A351,'United Data'!$B$3:$B$3390,"&lt;&gt;Off-street")&gt;0,1,0)</f>
        <v>1</v>
      </c>
      <c r="E351">
        <f>IF(COUNTIFS('United Data'!$A$3:$A$3390,E$1,'United Data'!$C$3:$C$3390,$A351,'United Data'!$B$3:$B$3390,"&lt;&gt;Off-street")&gt;0,1,0)</f>
        <v>1</v>
      </c>
      <c r="F351">
        <f>IF(COUNTIFS('United Data'!$A$3:$A$3390,F$1,'United Data'!$C$3:$C$3390,$A351,'United Data'!$B$3:$B$3390,"&lt;&gt;Off-street")&gt;0,1,0)</f>
        <v>1</v>
      </c>
      <c r="G351">
        <f>IF(COUNTIFS('United Data'!$A$3:$A$3390,G$1,'United Data'!$C$3:$C$3390,$A351,'United Data'!$B$3:$B$3390,"&lt;&gt;Off-street")&gt;0,1,0)</f>
        <v>0</v>
      </c>
      <c r="H351">
        <f>IF(COUNTIFS('United Data'!$A$3:$A$3390,H$1,'United Data'!$C$3:$C$3390,$A351,'United Data'!$B$3:$B$3390,"&lt;&gt;Off-street")&gt;0,1,0)</f>
        <v>0</v>
      </c>
      <c r="I351">
        <f>IF(COUNTIFS('United Data'!$A$3:$A$3390,I$1,'United Data'!$C$3:$C$3390,$A351,'United Data'!$B$3:$B$3390,"&lt;&gt;Off-street")&gt;0,1,0)</f>
        <v>0</v>
      </c>
      <c r="J351">
        <f>IF(COUNTIFS('United Data'!$A$3:$A$3390,J$1,'United Data'!$C$3:$C$3390,$A351,'United Data'!$B$3:$B$3390,"&lt;&gt;Off-street")&gt;0,1,0)</f>
        <v>0</v>
      </c>
      <c r="K351">
        <f>IF(COUNTIFS('United Data'!$A$3:$A$3390,K$1,'United Data'!$C$3:$C$3390,$A351,'United Data'!$B$3:$B$3390,"&lt;&gt;Off-street")&gt;0,1,0)</f>
        <v>0</v>
      </c>
      <c r="L351">
        <f>IF(COUNTIFS('United Data'!$A$3:$A$3390,L$1,'United Data'!$C$3:$C$3390,$A351,'United Data'!$B$3:$B$3390,"&lt;&gt;Off-street")&gt;0,1,0)</f>
        <v>0</v>
      </c>
      <c r="M351">
        <f>IF(COUNTIFS('United Data'!$A$3:$A$3390,M$1,'United Data'!$C$3:$C$3390,$A351,'United Data'!$B$3:$B$3390,"&lt;&gt;Off-street")&gt;0,1,0)</f>
        <v>0</v>
      </c>
      <c r="N351">
        <f>IF(COUNTIFS('United Data'!$A$3:$A$3390,N$1,'United Data'!$C$3:$C$3390,$A351,'United Data'!$B$3:$B$3390,"&lt;&gt;Off-street")&gt;0,1,0)</f>
        <v>0</v>
      </c>
      <c r="O351">
        <f>IF(COUNTIFS('United Data'!$A$3:$A$3390,O$1,'United Data'!$C$3:$C$3390,$A351,'United Data'!$B$3:$B$3390,"&lt;&gt;Off-street")&gt;0,1,0)</f>
        <v>0</v>
      </c>
      <c r="P351">
        <f>IF(COUNTIFS('United Data'!$A$3:$A$3390,P$1,'United Data'!$C$3:$C$3390,$A351,'United Data'!$B$3:$B$3390,"&lt;&gt;Off-street")&gt;0,1,0)</f>
        <v>0</v>
      </c>
      <c r="Q351">
        <f>IF(COUNTIFS('United Data'!$A$3:$A$3390,Q$1,'United Data'!$C$3:$C$3390,$A351,'United Data'!$B$3:$B$3390,"&lt;&gt;Off-street")&gt;0,1,0)</f>
        <v>0</v>
      </c>
      <c r="R351">
        <f>IF(COUNTIFS('United Data'!$A$3:$A$3390,R$1,'United Data'!$C$3:$C$3390,$A351,'United Data'!$B$3:$B$3390,"&lt;&gt;Off-street")&gt;0,1,0)</f>
        <v>0</v>
      </c>
      <c r="S351">
        <f t="shared" si="10"/>
        <v>4</v>
      </c>
      <c r="T351">
        <f t="shared" si="11"/>
        <v>1</v>
      </c>
    </row>
    <row r="352" spans="1:20" x14ac:dyDescent="0.2">
      <c r="A352" t="s">
        <v>441</v>
      </c>
      <c r="B352">
        <f>IF(COUNTIFS('United Data'!$A$3:$A$3390,B$1,'United Data'!$C$3:$C$3390,$A352,'United Data'!$B$3:$B$3390,"&lt;&gt;Off-street")&gt;0,1,0)</f>
        <v>0</v>
      </c>
      <c r="C352">
        <f>IF(COUNTIFS('United Data'!$A$3:$A$3390,C$1,'United Data'!$C$3:$C$3390,$A352,'United Data'!$B$3:$B$3390,"&lt;&gt;Off-street")&gt;0,1,0)</f>
        <v>1</v>
      </c>
      <c r="D352">
        <f>IF(COUNTIFS('United Data'!$A$3:$A$3390,D$1,'United Data'!$C$3:$C$3390,$A352,'United Data'!$B$3:$B$3390,"&lt;&gt;Off-street")&gt;0,1,0)</f>
        <v>1</v>
      </c>
      <c r="E352">
        <f>IF(COUNTIFS('United Data'!$A$3:$A$3390,E$1,'United Data'!$C$3:$C$3390,$A352,'United Data'!$B$3:$B$3390,"&lt;&gt;Off-street")&gt;0,1,0)</f>
        <v>1</v>
      </c>
      <c r="F352">
        <f>IF(COUNTIFS('United Data'!$A$3:$A$3390,F$1,'United Data'!$C$3:$C$3390,$A352,'United Data'!$B$3:$B$3390,"&lt;&gt;Off-street")&gt;0,1,0)</f>
        <v>1</v>
      </c>
      <c r="G352">
        <f>IF(COUNTIFS('United Data'!$A$3:$A$3390,G$1,'United Data'!$C$3:$C$3390,$A352,'United Data'!$B$3:$B$3390,"&lt;&gt;Off-street")&gt;0,1,0)</f>
        <v>0</v>
      </c>
      <c r="H352">
        <f>IF(COUNTIFS('United Data'!$A$3:$A$3390,H$1,'United Data'!$C$3:$C$3390,$A352,'United Data'!$B$3:$B$3390,"&lt;&gt;Off-street")&gt;0,1,0)</f>
        <v>0</v>
      </c>
      <c r="I352">
        <f>IF(COUNTIFS('United Data'!$A$3:$A$3390,I$1,'United Data'!$C$3:$C$3390,$A352,'United Data'!$B$3:$B$3390,"&lt;&gt;Off-street")&gt;0,1,0)</f>
        <v>0</v>
      </c>
      <c r="J352">
        <f>IF(COUNTIFS('United Data'!$A$3:$A$3390,J$1,'United Data'!$C$3:$C$3390,$A352,'United Data'!$B$3:$B$3390,"&lt;&gt;Off-street")&gt;0,1,0)</f>
        <v>1</v>
      </c>
      <c r="K352">
        <f>IF(COUNTIFS('United Data'!$A$3:$A$3390,K$1,'United Data'!$C$3:$C$3390,$A352,'United Data'!$B$3:$B$3390,"&lt;&gt;Off-street")&gt;0,1,0)</f>
        <v>0</v>
      </c>
      <c r="L352">
        <f>IF(COUNTIFS('United Data'!$A$3:$A$3390,L$1,'United Data'!$C$3:$C$3390,$A352,'United Data'!$B$3:$B$3390,"&lt;&gt;Off-street")&gt;0,1,0)</f>
        <v>0</v>
      </c>
      <c r="M352">
        <f>IF(COUNTIFS('United Data'!$A$3:$A$3390,M$1,'United Data'!$C$3:$C$3390,$A352,'United Data'!$B$3:$B$3390,"&lt;&gt;Off-street")&gt;0,1,0)</f>
        <v>0</v>
      </c>
      <c r="N352">
        <f>IF(COUNTIFS('United Data'!$A$3:$A$3390,N$1,'United Data'!$C$3:$C$3390,$A352,'United Data'!$B$3:$B$3390,"&lt;&gt;Off-street")&gt;0,1,0)</f>
        <v>0</v>
      </c>
      <c r="O352">
        <f>IF(COUNTIFS('United Data'!$A$3:$A$3390,O$1,'United Data'!$C$3:$C$3390,$A352,'United Data'!$B$3:$B$3390,"&lt;&gt;Off-street")&gt;0,1,0)</f>
        <v>0</v>
      </c>
      <c r="P352">
        <f>IF(COUNTIFS('United Data'!$A$3:$A$3390,P$1,'United Data'!$C$3:$C$3390,$A352,'United Data'!$B$3:$B$3390,"&lt;&gt;Off-street")&gt;0,1,0)</f>
        <v>0</v>
      </c>
      <c r="Q352">
        <f>IF(COUNTIFS('United Data'!$A$3:$A$3390,Q$1,'United Data'!$C$3:$C$3390,$A352,'United Data'!$B$3:$B$3390,"&lt;&gt;Off-street")&gt;0,1,0)</f>
        <v>0</v>
      </c>
      <c r="R352">
        <f>IF(COUNTIFS('United Data'!$A$3:$A$3390,R$1,'United Data'!$C$3:$C$3390,$A352,'United Data'!$B$3:$B$3390,"&lt;&gt;Off-street")&gt;0,1,0)</f>
        <v>0</v>
      </c>
      <c r="S352">
        <f t="shared" si="10"/>
        <v>5</v>
      </c>
      <c r="T352">
        <f t="shared" si="11"/>
        <v>2</v>
      </c>
    </row>
    <row r="353" spans="1:20" x14ac:dyDescent="0.2">
      <c r="A353" t="s">
        <v>444</v>
      </c>
      <c r="B353">
        <f>IF(COUNTIFS('United Data'!$A$3:$A$3390,B$1,'United Data'!$C$3:$C$3390,$A353,'United Data'!$B$3:$B$3390,"&lt;&gt;Off-street")&gt;0,1,0)</f>
        <v>0</v>
      </c>
      <c r="C353">
        <f>IF(COUNTIFS('United Data'!$A$3:$A$3390,C$1,'United Data'!$C$3:$C$3390,$A353,'United Data'!$B$3:$B$3390,"&lt;&gt;Off-street")&gt;0,1,0)</f>
        <v>0</v>
      </c>
      <c r="D353">
        <f>IF(COUNTIFS('United Data'!$A$3:$A$3390,D$1,'United Data'!$C$3:$C$3390,$A353,'United Data'!$B$3:$B$3390,"&lt;&gt;Off-street")&gt;0,1,0)</f>
        <v>1</v>
      </c>
      <c r="E353">
        <f>IF(COUNTIFS('United Data'!$A$3:$A$3390,E$1,'United Data'!$C$3:$C$3390,$A353,'United Data'!$B$3:$B$3390,"&lt;&gt;Off-street")&gt;0,1,0)</f>
        <v>0</v>
      </c>
      <c r="F353">
        <f>IF(COUNTIFS('United Data'!$A$3:$A$3390,F$1,'United Data'!$C$3:$C$3390,$A353,'United Data'!$B$3:$B$3390,"&lt;&gt;Off-street")&gt;0,1,0)</f>
        <v>0</v>
      </c>
      <c r="G353">
        <f>IF(COUNTIFS('United Data'!$A$3:$A$3390,G$1,'United Data'!$C$3:$C$3390,$A353,'United Data'!$B$3:$B$3390,"&lt;&gt;Off-street")&gt;0,1,0)</f>
        <v>0</v>
      </c>
      <c r="H353">
        <f>IF(COUNTIFS('United Data'!$A$3:$A$3390,H$1,'United Data'!$C$3:$C$3390,$A353,'United Data'!$B$3:$B$3390,"&lt;&gt;Off-street")&gt;0,1,0)</f>
        <v>0</v>
      </c>
      <c r="I353">
        <f>IF(COUNTIFS('United Data'!$A$3:$A$3390,I$1,'United Data'!$C$3:$C$3390,$A353,'United Data'!$B$3:$B$3390,"&lt;&gt;Off-street")&gt;0,1,0)</f>
        <v>0</v>
      </c>
      <c r="J353">
        <f>IF(COUNTIFS('United Data'!$A$3:$A$3390,J$1,'United Data'!$C$3:$C$3390,$A353,'United Data'!$B$3:$B$3390,"&lt;&gt;Off-street")&gt;0,1,0)</f>
        <v>0</v>
      </c>
      <c r="K353">
        <f>IF(COUNTIFS('United Data'!$A$3:$A$3390,K$1,'United Data'!$C$3:$C$3390,$A353,'United Data'!$B$3:$B$3390,"&lt;&gt;Off-street")&gt;0,1,0)</f>
        <v>0</v>
      </c>
      <c r="L353">
        <f>IF(COUNTIFS('United Data'!$A$3:$A$3390,L$1,'United Data'!$C$3:$C$3390,$A353,'United Data'!$B$3:$B$3390,"&lt;&gt;Off-street")&gt;0,1,0)</f>
        <v>0</v>
      </c>
      <c r="M353">
        <f>IF(COUNTIFS('United Data'!$A$3:$A$3390,M$1,'United Data'!$C$3:$C$3390,$A353,'United Data'!$B$3:$B$3390,"&lt;&gt;Off-street")&gt;0,1,0)</f>
        <v>0</v>
      </c>
      <c r="N353">
        <f>IF(COUNTIFS('United Data'!$A$3:$A$3390,N$1,'United Data'!$C$3:$C$3390,$A353,'United Data'!$B$3:$B$3390,"&lt;&gt;Off-street")&gt;0,1,0)</f>
        <v>0</v>
      </c>
      <c r="O353">
        <f>IF(COUNTIFS('United Data'!$A$3:$A$3390,O$1,'United Data'!$C$3:$C$3390,$A353,'United Data'!$B$3:$B$3390,"&lt;&gt;Off-street")&gt;0,1,0)</f>
        <v>0</v>
      </c>
      <c r="P353">
        <f>IF(COUNTIFS('United Data'!$A$3:$A$3390,P$1,'United Data'!$C$3:$C$3390,$A353,'United Data'!$B$3:$B$3390,"&lt;&gt;Off-street")&gt;0,1,0)</f>
        <v>0</v>
      </c>
      <c r="Q353">
        <f>IF(COUNTIFS('United Data'!$A$3:$A$3390,Q$1,'United Data'!$C$3:$C$3390,$A353,'United Data'!$B$3:$B$3390,"&lt;&gt;Off-street")&gt;0,1,0)</f>
        <v>0</v>
      </c>
      <c r="R353">
        <f>IF(COUNTIFS('United Data'!$A$3:$A$3390,R$1,'United Data'!$C$3:$C$3390,$A353,'United Data'!$B$3:$B$3390,"&lt;&gt;Off-street")&gt;0,1,0)</f>
        <v>0</v>
      </c>
      <c r="S353">
        <f t="shared" si="10"/>
        <v>1</v>
      </c>
      <c r="T353">
        <f t="shared" si="11"/>
        <v>1</v>
      </c>
    </row>
    <row r="354" spans="1:20" x14ac:dyDescent="0.2">
      <c r="A354" t="s">
        <v>445</v>
      </c>
      <c r="B354">
        <f>IF(COUNTIFS('United Data'!$A$3:$A$3390,B$1,'United Data'!$C$3:$C$3390,$A354,'United Data'!$B$3:$B$3390,"&lt;&gt;Off-street")&gt;0,1,0)</f>
        <v>0</v>
      </c>
      <c r="C354">
        <f>IF(COUNTIFS('United Data'!$A$3:$A$3390,C$1,'United Data'!$C$3:$C$3390,$A354,'United Data'!$B$3:$B$3390,"&lt;&gt;Off-street")&gt;0,1,0)</f>
        <v>0</v>
      </c>
      <c r="D354">
        <f>IF(COUNTIFS('United Data'!$A$3:$A$3390,D$1,'United Data'!$C$3:$C$3390,$A354,'United Data'!$B$3:$B$3390,"&lt;&gt;Off-street")&gt;0,1,0)</f>
        <v>1</v>
      </c>
      <c r="E354">
        <f>IF(COUNTIFS('United Data'!$A$3:$A$3390,E$1,'United Data'!$C$3:$C$3390,$A354,'United Data'!$B$3:$B$3390,"&lt;&gt;Off-street")&gt;0,1,0)</f>
        <v>1</v>
      </c>
      <c r="F354">
        <f>IF(COUNTIFS('United Data'!$A$3:$A$3390,F$1,'United Data'!$C$3:$C$3390,$A354,'United Data'!$B$3:$B$3390,"&lt;&gt;Off-street")&gt;0,1,0)</f>
        <v>1</v>
      </c>
      <c r="G354">
        <f>IF(COUNTIFS('United Data'!$A$3:$A$3390,G$1,'United Data'!$C$3:$C$3390,$A354,'United Data'!$B$3:$B$3390,"&lt;&gt;Off-street")&gt;0,1,0)</f>
        <v>1</v>
      </c>
      <c r="H354">
        <f>IF(COUNTIFS('United Data'!$A$3:$A$3390,H$1,'United Data'!$C$3:$C$3390,$A354,'United Data'!$B$3:$B$3390,"&lt;&gt;Off-street")&gt;0,1,0)</f>
        <v>0</v>
      </c>
      <c r="I354">
        <f>IF(COUNTIFS('United Data'!$A$3:$A$3390,I$1,'United Data'!$C$3:$C$3390,$A354,'United Data'!$B$3:$B$3390,"&lt;&gt;Off-street")&gt;0,1,0)</f>
        <v>0</v>
      </c>
      <c r="J354">
        <f>IF(COUNTIFS('United Data'!$A$3:$A$3390,J$1,'United Data'!$C$3:$C$3390,$A354,'United Data'!$B$3:$B$3390,"&lt;&gt;Off-street")&gt;0,1,0)</f>
        <v>0</v>
      </c>
      <c r="K354">
        <f>IF(COUNTIFS('United Data'!$A$3:$A$3390,K$1,'United Data'!$C$3:$C$3390,$A354,'United Data'!$B$3:$B$3390,"&lt;&gt;Off-street")&gt;0,1,0)</f>
        <v>0</v>
      </c>
      <c r="L354">
        <f>IF(COUNTIFS('United Data'!$A$3:$A$3390,L$1,'United Data'!$C$3:$C$3390,$A354,'United Data'!$B$3:$B$3390,"&lt;&gt;Off-street")&gt;0,1,0)</f>
        <v>0</v>
      </c>
      <c r="M354">
        <f>IF(COUNTIFS('United Data'!$A$3:$A$3390,M$1,'United Data'!$C$3:$C$3390,$A354,'United Data'!$B$3:$B$3390,"&lt;&gt;Off-street")&gt;0,1,0)</f>
        <v>0</v>
      </c>
      <c r="N354">
        <f>IF(COUNTIFS('United Data'!$A$3:$A$3390,N$1,'United Data'!$C$3:$C$3390,$A354,'United Data'!$B$3:$B$3390,"&lt;&gt;Off-street")&gt;0,1,0)</f>
        <v>1</v>
      </c>
      <c r="O354">
        <f>IF(COUNTIFS('United Data'!$A$3:$A$3390,O$1,'United Data'!$C$3:$C$3390,$A354,'United Data'!$B$3:$B$3390,"&lt;&gt;Off-street")&gt;0,1,0)</f>
        <v>1</v>
      </c>
      <c r="P354">
        <f>IF(COUNTIFS('United Data'!$A$3:$A$3390,P$1,'United Data'!$C$3:$C$3390,$A354,'United Data'!$B$3:$B$3390,"&lt;&gt;Off-street")&gt;0,1,0)</f>
        <v>0</v>
      </c>
      <c r="Q354">
        <f>IF(COUNTIFS('United Data'!$A$3:$A$3390,Q$1,'United Data'!$C$3:$C$3390,$A354,'United Data'!$B$3:$B$3390,"&lt;&gt;Off-street")&gt;0,1,0)</f>
        <v>1</v>
      </c>
      <c r="R354">
        <f>IF(COUNTIFS('United Data'!$A$3:$A$3390,R$1,'United Data'!$C$3:$C$3390,$A354,'United Data'!$B$3:$B$3390,"&lt;&gt;Off-street")&gt;0,1,0)</f>
        <v>0</v>
      </c>
      <c r="S354">
        <f t="shared" si="10"/>
        <v>7</v>
      </c>
      <c r="T354">
        <f t="shared" si="11"/>
        <v>3</v>
      </c>
    </row>
    <row r="355" spans="1:20" x14ac:dyDescent="0.2">
      <c r="A355" t="s">
        <v>448</v>
      </c>
      <c r="B355">
        <f>IF(COUNTIFS('United Data'!$A$3:$A$3390,B$1,'United Data'!$C$3:$C$3390,$A355,'United Data'!$B$3:$B$3390,"&lt;&gt;Off-street")&gt;0,1,0)</f>
        <v>0</v>
      </c>
      <c r="C355">
        <f>IF(COUNTIFS('United Data'!$A$3:$A$3390,C$1,'United Data'!$C$3:$C$3390,$A355,'United Data'!$B$3:$B$3390,"&lt;&gt;Off-street")&gt;0,1,0)</f>
        <v>0</v>
      </c>
      <c r="D355">
        <f>IF(COUNTIFS('United Data'!$A$3:$A$3390,D$1,'United Data'!$C$3:$C$3390,$A355,'United Data'!$B$3:$B$3390,"&lt;&gt;Off-street")&gt;0,1,0)</f>
        <v>0</v>
      </c>
      <c r="E355">
        <f>IF(COUNTIFS('United Data'!$A$3:$A$3390,E$1,'United Data'!$C$3:$C$3390,$A355,'United Data'!$B$3:$B$3390,"&lt;&gt;Off-street")&gt;0,1,0)</f>
        <v>1</v>
      </c>
      <c r="F355">
        <f>IF(COUNTIFS('United Data'!$A$3:$A$3390,F$1,'United Data'!$C$3:$C$3390,$A355,'United Data'!$B$3:$B$3390,"&lt;&gt;Off-street")&gt;0,1,0)</f>
        <v>1</v>
      </c>
      <c r="G355">
        <f>IF(COUNTIFS('United Data'!$A$3:$A$3390,G$1,'United Data'!$C$3:$C$3390,$A355,'United Data'!$B$3:$B$3390,"&lt;&gt;Off-street")&gt;0,1,0)</f>
        <v>0</v>
      </c>
      <c r="H355">
        <f>IF(COUNTIFS('United Data'!$A$3:$A$3390,H$1,'United Data'!$C$3:$C$3390,$A355,'United Data'!$B$3:$B$3390,"&lt;&gt;Off-street")&gt;0,1,0)</f>
        <v>0</v>
      </c>
      <c r="I355">
        <f>IF(COUNTIFS('United Data'!$A$3:$A$3390,I$1,'United Data'!$C$3:$C$3390,$A355,'United Data'!$B$3:$B$3390,"&lt;&gt;Off-street")&gt;0,1,0)</f>
        <v>0</v>
      </c>
      <c r="J355">
        <f>IF(COUNTIFS('United Data'!$A$3:$A$3390,J$1,'United Data'!$C$3:$C$3390,$A355,'United Data'!$B$3:$B$3390,"&lt;&gt;Off-street")&gt;0,1,0)</f>
        <v>1</v>
      </c>
      <c r="K355">
        <f>IF(COUNTIFS('United Data'!$A$3:$A$3390,K$1,'United Data'!$C$3:$C$3390,$A355,'United Data'!$B$3:$B$3390,"&lt;&gt;Off-street")&gt;0,1,0)</f>
        <v>0</v>
      </c>
      <c r="L355">
        <f>IF(COUNTIFS('United Data'!$A$3:$A$3390,L$1,'United Data'!$C$3:$C$3390,$A355,'United Data'!$B$3:$B$3390,"&lt;&gt;Off-street")&gt;0,1,0)</f>
        <v>0</v>
      </c>
      <c r="M355">
        <f>IF(COUNTIFS('United Data'!$A$3:$A$3390,M$1,'United Data'!$C$3:$C$3390,$A355,'United Data'!$B$3:$B$3390,"&lt;&gt;Off-street")&gt;0,1,0)</f>
        <v>0</v>
      </c>
      <c r="N355">
        <f>IF(COUNTIFS('United Data'!$A$3:$A$3390,N$1,'United Data'!$C$3:$C$3390,$A355,'United Data'!$B$3:$B$3390,"&lt;&gt;Off-street")&gt;0,1,0)</f>
        <v>0</v>
      </c>
      <c r="O355">
        <f>IF(COUNTIFS('United Data'!$A$3:$A$3390,O$1,'United Data'!$C$3:$C$3390,$A355,'United Data'!$B$3:$B$3390,"&lt;&gt;Off-street")&gt;0,1,0)</f>
        <v>1</v>
      </c>
      <c r="P355">
        <f>IF(COUNTIFS('United Data'!$A$3:$A$3390,P$1,'United Data'!$C$3:$C$3390,$A355,'United Data'!$B$3:$B$3390,"&lt;&gt;Off-street")&gt;0,1,0)</f>
        <v>0</v>
      </c>
      <c r="Q355">
        <f>IF(COUNTIFS('United Data'!$A$3:$A$3390,Q$1,'United Data'!$C$3:$C$3390,$A355,'United Data'!$B$3:$B$3390,"&lt;&gt;Off-street")&gt;0,1,0)</f>
        <v>0</v>
      </c>
      <c r="R355">
        <f>IF(COUNTIFS('United Data'!$A$3:$A$3390,R$1,'United Data'!$C$3:$C$3390,$A355,'United Data'!$B$3:$B$3390,"&lt;&gt;Off-street")&gt;0,1,0)</f>
        <v>0</v>
      </c>
      <c r="S355">
        <f t="shared" si="10"/>
        <v>4</v>
      </c>
      <c r="T355">
        <f t="shared" si="11"/>
        <v>3</v>
      </c>
    </row>
    <row r="356" spans="1:20" x14ac:dyDescent="0.2">
      <c r="A356" t="s">
        <v>449</v>
      </c>
      <c r="B356">
        <f>IF(COUNTIFS('United Data'!$A$3:$A$3390,B$1,'United Data'!$C$3:$C$3390,$A356,'United Data'!$B$3:$B$3390,"&lt;&gt;Off-street")&gt;0,1,0)</f>
        <v>0</v>
      </c>
      <c r="C356">
        <f>IF(COUNTIFS('United Data'!$A$3:$A$3390,C$1,'United Data'!$C$3:$C$3390,$A356,'United Data'!$B$3:$B$3390,"&lt;&gt;Off-street")&gt;0,1,0)</f>
        <v>0</v>
      </c>
      <c r="D356">
        <f>IF(COUNTIFS('United Data'!$A$3:$A$3390,D$1,'United Data'!$C$3:$C$3390,$A356,'United Data'!$B$3:$B$3390,"&lt;&gt;Off-street")&gt;0,1,0)</f>
        <v>0</v>
      </c>
      <c r="E356">
        <f>IF(COUNTIFS('United Data'!$A$3:$A$3390,E$1,'United Data'!$C$3:$C$3390,$A356,'United Data'!$B$3:$B$3390,"&lt;&gt;Off-street")&gt;0,1,0)</f>
        <v>1</v>
      </c>
      <c r="F356">
        <f>IF(COUNTIFS('United Data'!$A$3:$A$3390,F$1,'United Data'!$C$3:$C$3390,$A356,'United Data'!$B$3:$B$3390,"&lt;&gt;Off-street")&gt;0,1,0)</f>
        <v>0</v>
      </c>
      <c r="G356">
        <f>IF(COUNTIFS('United Data'!$A$3:$A$3390,G$1,'United Data'!$C$3:$C$3390,$A356,'United Data'!$B$3:$B$3390,"&lt;&gt;Off-street")&gt;0,1,0)</f>
        <v>0</v>
      </c>
      <c r="H356">
        <f>IF(COUNTIFS('United Data'!$A$3:$A$3390,H$1,'United Data'!$C$3:$C$3390,$A356,'United Data'!$B$3:$B$3390,"&lt;&gt;Off-street")&gt;0,1,0)</f>
        <v>0</v>
      </c>
      <c r="I356">
        <f>IF(COUNTIFS('United Data'!$A$3:$A$3390,I$1,'United Data'!$C$3:$C$3390,$A356,'United Data'!$B$3:$B$3390,"&lt;&gt;Off-street")&gt;0,1,0)</f>
        <v>0</v>
      </c>
      <c r="J356">
        <f>IF(COUNTIFS('United Data'!$A$3:$A$3390,J$1,'United Data'!$C$3:$C$3390,$A356,'United Data'!$B$3:$B$3390,"&lt;&gt;Off-street")&gt;0,1,0)</f>
        <v>0</v>
      </c>
      <c r="K356">
        <f>IF(COUNTIFS('United Data'!$A$3:$A$3390,K$1,'United Data'!$C$3:$C$3390,$A356,'United Data'!$B$3:$B$3390,"&lt;&gt;Off-street")&gt;0,1,0)</f>
        <v>0</v>
      </c>
      <c r="L356">
        <f>IF(COUNTIFS('United Data'!$A$3:$A$3390,L$1,'United Data'!$C$3:$C$3390,$A356,'United Data'!$B$3:$B$3390,"&lt;&gt;Off-street")&gt;0,1,0)</f>
        <v>0</v>
      </c>
      <c r="M356">
        <f>IF(COUNTIFS('United Data'!$A$3:$A$3390,M$1,'United Data'!$C$3:$C$3390,$A356,'United Data'!$B$3:$B$3390,"&lt;&gt;Off-street")&gt;0,1,0)</f>
        <v>0</v>
      </c>
      <c r="N356">
        <f>IF(COUNTIFS('United Data'!$A$3:$A$3390,N$1,'United Data'!$C$3:$C$3390,$A356,'United Data'!$B$3:$B$3390,"&lt;&gt;Off-street")&gt;0,1,0)</f>
        <v>0</v>
      </c>
      <c r="O356">
        <f>IF(COUNTIFS('United Data'!$A$3:$A$3390,O$1,'United Data'!$C$3:$C$3390,$A356,'United Data'!$B$3:$B$3390,"&lt;&gt;Off-street")&gt;0,1,0)</f>
        <v>0</v>
      </c>
      <c r="P356">
        <f>IF(COUNTIFS('United Data'!$A$3:$A$3390,P$1,'United Data'!$C$3:$C$3390,$A356,'United Data'!$B$3:$B$3390,"&lt;&gt;Off-street")&gt;0,1,0)</f>
        <v>0</v>
      </c>
      <c r="Q356">
        <f>IF(COUNTIFS('United Data'!$A$3:$A$3390,Q$1,'United Data'!$C$3:$C$3390,$A356,'United Data'!$B$3:$B$3390,"&lt;&gt;Off-street")&gt;0,1,0)</f>
        <v>0</v>
      </c>
      <c r="R356">
        <f>IF(COUNTIFS('United Data'!$A$3:$A$3390,R$1,'United Data'!$C$3:$C$3390,$A356,'United Data'!$B$3:$B$3390,"&lt;&gt;Off-street")&gt;0,1,0)</f>
        <v>0</v>
      </c>
      <c r="S356">
        <f t="shared" si="10"/>
        <v>1</v>
      </c>
      <c r="T356">
        <f t="shared" si="11"/>
        <v>1</v>
      </c>
    </row>
    <row r="357" spans="1:20" x14ac:dyDescent="0.2">
      <c r="A357" t="s">
        <v>450</v>
      </c>
      <c r="B357">
        <f>IF(COUNTIFS('United Data'!$A$3:$A$3390,B$1,'United Data'!$C$3:$C$3390,$A357,'United Data'!$B$3:$B$3390,"&lt;&gt;Off-street")&gt;0,1,0)</f>
        <v>0</v>
      </c>
      <c r="C357">
        <f>IF(COUNTIFS('United Data'!$A$3:$A$3390,C$1,'United Data'!$C$3:$C$3390,$A357,'United Data'!$B$3:$B$3390,"&lt;&gt;Off-street")&gt;0,1,0)</f>
        <v>0</v>
      </c>
      <c r="D357">
        <f>IF(COUNTIFS('United Data'!$A$3:$A$3390,D$1,'United Data'!$C$3:$C$3390,$A357,'United Data'!$B$3:$B$3390,"&lt;&gt;Off-street")&gt;0,1,0)</f>
        <v>0</v>
      </c>
      <c r="E357">
        <f>IF(COUNTIFS('United Data'!$A$3:$A$3390,E$1,'United Data'!$C$3:$C$3390,$A357,'United Data'!$B$3:$B$3390,"&lt;&gt;Off-street")&gt;0,1,0)</f>
        <v>1</v>
      </c>
      <c r="F357">
        <f>IF(COUNTIFS('United Data'!$A$3:$A$3390,F$1,'United Data'!$C$3:$C$3390,$A357,'United Data'!$B$3:$B$3390,"&lt;&gt;Off-street")&gt;0,1,0)</f>
        <v>0</v>
      </c>
      <c r="G357">
        <f>IF(COUNTIFS('United Data'!$A$3:$A$3390,G$1,'United Data'!$C$3:$C$3390,$A357,'United Data'!$B$3:$B$3390,"&lt;&gt;Off-street")&gt;0,1,0)</f>
        <v>0</v>
      </c>
      <c r="H357">
        <f>IF(COUNTIFS('United Data'!$A$3:$A$3390,H$1,'United Data'!$C$3:$C$3390,$A357,'United Data'!$B$3:$B$3390,"&lt;&gt;Off-street")&gt;0,1,0)</f>
        <v>0</v>
      </c>
      <c r="I357">
        <f>IF(COUNTIFS('United Data'!$A$3:$A$3390,I$1,'United Data'!$C$3:$C$3390,$A357,'United Data'!$B$3:$B$3390,"&lt;&gt;Off-street")&gt;0,1,0)</f>
        <v>0</v>
      </c>
      <c r="J357">
        <f>IF(COUNTIFS('United Data'!$A$3:$A$3390,J$1,'United Data'!$C$3:$C$3390,$A357,'United Data'!$B$3:$B$3390,"&lt;&gt;Off-street")&gt;0,1,0)</f>
        <v>0</v>
      </c>
      <c r="K357">
        <f>IF(COUNTIFS('United Data'!$A$3:$A$3390,K$1,'United Data'!$C$3:$C$3390,$A357,'United Data'!$B$3:$B$3390,"&lt;&gt;Off-street")&gt;0,1,0)</f>
        <v>0</v>
      </c>
      <c r="L357">
        <f>IF(COUNTIFS('United Data'!$A$3:$A$3390,L$1,'United Data'!$C$3:$C$3390,$A357,'United Data'!$B$3:$B$3390,"&lt;&gt;Off-street")&gt;0,1,0)</f>
        <v>0</v>
      </c>
      <c r="M357">
        <f>IF(COUNTIFS('United Data'!$A$3:$A$3390,M$1,'United Data'!$C$3:$C$3390,$A357,'United Data'!$B$3:$B$3390,"&lt;&gt;Off-street")&gt;0,1,0)</f>
        <v>0</v>
      </c>
      <c r="N357">
        <f>IF(COUNTIFS('United Data'!$A$3:$A$3390,N$1,'United Data'!$C$3:$C$3390,$A357,'United Data'!$B$3:$B$3390,"&lt;&gt;Off-street")&gt;0,1,0)</f>
        <v>0</v>
      </c>
      <c r="O357">
        <f>IF(COUNTIFS('United Data'!$A$3:$A$3390,O$1,'United Data'!$C$3:$C$3390,$A357,'United Data'!$B$3:$B$3390,"&lt;&gt;Off-street")&gt;0,1,0)</f>
        <v>0</v>
      </c>
      <c r="P357">
        <f>IF(COUNTIFS('United Data'!$A$3:$A$3390,P$1,'United Data'!$C$3:$C$3390,$A357,'United Data'!$B$3:$B$3390,"&lt;&gt;Off-street")&gt;0,1,0)</f>
        <v>0</v>
      </c>
      <c r="Q357">
        <f>IF(COUNTIFS('United Data'!$A$3:$A$3390,Q$1,'United Data'!$C$3:$C$3390,$A357,'United Data'!$B$3:$B$3390,"&lt;&gt;Off-street")&gt;0,1,0)</f>
        <v>0</v>
      </c>
      <c r="R357">
        <f>IF(COUNTIFS('United Data'!$A$3:$A$3390,R$1,'United Data'!$C$3:$C$3390,$A357,'United Data'!$B$3:$B$3390,"&lt;&gt;Off-street")&gt;0,1,0)</f>
        <v>0</v>
      </c>
      <c r="S357">
        <f t="shared" si="10"/>
        <v>1</v>
      </c>
      <c r="T357">
        <f t="shared" si="11"/>
        <v>1</v>
      </c>
    </row>
    <row r="358" spans="1:20" x14ac:dyDescent="0.2">
      <c r="A358" t="s">
        <v>451</v>
      </c>
      <c r="B358">
        <f>IF(COUNTIFS('United Data'!$A$3:$A$3390,B$1,'United Data'!$C$3:$C$3390,$A358,'United Data'!$B$3:$B$3390,"&lt;&gt;Off-street")&gt;0,1,0)</f>
        <v>0</v>
      </c>
      <c r="C358">
        <f>IF(COUNTIFS('United Data'!$A$3:$A$3390,C$1,'United Data'!$C$3:$C$3390,$A358,'United Data'!$B$3:$B$3390,"&lt;&gt;Off-street")&gt;0,1,0)</f>
        <v>0</v>
      </c>
      <c r="D358">
        <f>IF(COUNTIFS('United Data'!$A$3:$A$3390,D$1,'United Data'!$C$3:$C$3390,$A358,'United Data'!$B$3:$B$3390,"&lt;&gt;Off-street")&gt;0,1,0)</f>
        <v>0</v>
      </c>
      <c r="E358">
        <f>IF(COUNTIFS('United Data'!$A$3:$A$3390,E$1,'United Data'!$C$3:$C$3390,$A358,'United Data'!$B$3:$B$3390,"&lt;&gt;Off-street")&gt;0,1,0)</f>
        <v>1</v>
      </c>
      <c r="F358">
        <f>IF(COUNTIFS('United Data'!$A$3:$A$3390,F$1,'United Data'!$C$3:$C$3390,$A358,'United Data'!$B$3:$B$3390,"&lt;&gt;Off-street")&gt;0,1,0)</f>
        <v>0</v>
      </c>
      <c r="G358">
        <f>IF(COUNTIFS('United Data'!$A$3:$A$3390,G$1,'United Data'!$C$3:$C$3390,$A358,'United Data'!$B$3:$B$3390,"&lt;&gt;Off-street")&gt;0,1,0)</f>
        <v>0</v>
      </c>
      <c r="H358">
        <f>IF(COUNTIFS('United Data'!$A$3:$A$3390,H$1,'United Data'!$C$3:$C$3390,$A358,'United Data'!$B$3:$B$3390,"&lt;&gt;Off-street")&gt;0,1,0)</f>
        <v>0</v>
      </c>
      <c r="I358">
        <f>IF(COUNTIFS('United Data'!$A$3:$A$3390,I$1,'United Data'!$C$3:$C$3390,$A358,'United Data'!$B$3:$B$3390,"&lt;&gt;Off-street")&gt;0,1,0)</f>
        <v>0</v>
      </c>
      <c r="J358">
        <f>IF(COUNTIFS('United Data'!$A$3:$A$3390,J$1,'United Data'!$C$3:$C$3390,$A358,'United Data'!$B$3:$B$3390,"&lt;&gt;Off-street")&gt;0,1,0)</f>
        <v>0</v>
      </c>
      <c r="K358">
        <f>IF(COUNTIFS('United Data'!$A$3:$A$3390,K$1,'United Data'!$C$3:$C$3390,$A358,'United Data'!$B$3:$B$3390,"&lt;&gt;Off-street")&gt;0,1,0)</f>
        <v>0</v>
      </c>
      <c r="L358">
        <f>IF(COUNTIFS('United Data'!$A$3:$A$3390,L$1,'United Data'!$C$3:$C$3390,$A358,'United Data'!$B$3:$B$3390,"&lt;&gt;Off-street")&gt;0,1,0)</f>
        <v>0</v>
      </c>
      <c r="M358">
        <f>IF(COUNTIFS('United Data'!$A$3:$A$3390,M$1,'United Data'!$C$3:$C$3390,$A358,'United Data'!$B$3:$B$3390,"&lt;&gt;Off-street")&gt;0,1,0)</f>
        <v>0</v>
      </c>
      <c r="N358">
        <f>IF(COUNTIFS('United Data'!$A$3:$A$3390,N$1,'United Data'!$C$3:$C$3390,$A358,'United Data'!$B$3:$B$3390,"&lt;&gt;Off-street")&gt;0,1,0)</f>
        <v>0</v>
      </c>
      <c r="O358">
        <f>IF(COUNTIFS('United Data'!$A$3:$A$3390,O$1,'United Data'!$C$3:$C$3390,$A358,'United Data'!$B$3:$B$3390,"&lt;&gt;Off-street")&gt;0,1,0)</f>
        <v>1</v>
      </c>
      <c r="P358">
        <f>IF(COUNTIFS('United Data'!$A$3:$A$3390,P$1,'United Data'!$C$3:$C$3390,$A358,'United Data'!$B$3:$B$3390,"&lt;&gt;Off-street")&gt;0,1,0)</f>
        <v>0</v>
      </c>
      <c r="Q358">
        <f>IF(COUNTIFS('United Data'!$A$3:$A$3390,Q$1,'United Data'!$C$3:$C$3390,$A358,'United Data'!$B$3:$B$3390,"&lt;&gt;Off-street")&gt;0,1,0)</f>
        <v>0</v>
      </c>
      <c r="R358">
        <f>IF(COUNTIFS('United Data'!$A$3:$A$3390,R$1,'United Data'!$C$3:$C$3390,$A358,'United Data'!$B$3:$B$3390,"&lt;&gt;Off-street")&gt;0,1,0)</f>
        <v>0</v>
      </c>
      <c r="S358">
        <f t="shared" si="10"/>
        <v>2</v>
      </c>
      <c r="T358">
        <f t="shared" si="11"/>
        <v>2</v>
      </c>
    </row>
    <row r="359" spans="1:20" x14ac:dyDescent="0.2">
      <c r="A359" t="s">
        <v>452</v>
      </c>
      <c r="B359">
        <f>IF(COUNTIFS('United Data'!$A$3:$A$3390,B$1,'United Data'!$C$3:$C$3390,$A359,'United Data'!$B$3:$B$3390,"&lt;&gt;Off-street")&gt;0,1,0)</f>
        <v>0</v>
      </c>
      <c r="C359">
        <f>IF(COUNTIFS('United Data'!$A$3:$A$3390,C$1,'United Data'!$C$3:$C$3390,$A359,'United Data'!$B$3:$B$3390,"&lt;&gt;Off-street")&gt;0,1,0)</f>
        <v>0</v>
      </c>
      <c r="D359">
        <f>IF(COUNTIFS('United Data'!$A$3:$A$3390,D$1,'United Data'!$C$3:$C$3390,$A359,'United Data'!$B$3:$B$3390,"&lt;&gt;Off-street")&gt;0,1,0)</f>
        <v>0</v>
      </c>
      <c r="E359">
        <f>IF(COUNTIFS('United Data'!$A$3:$A$3390,E$1,'United Data'!$C$3:$C$3390,$A359,'United Data'!$B$3:$B$3390,"&lt;&gt;Off-street")&gt;0,1,0)</f>
        <v>1</v>
      </c>
      <c r="F359">
        <f>IF(COUNTIFS('United Data'!$A$3:$A$3390,F$1,'United Data'!$C$3:$C$3390,$A359,'United Data'!$B$3:$B$3390,"&lt;&gt;Off-street")&gt;0,1,0)</f>
        <v>0</v>
      </c>
      <c r="G359">
        <f>IF(COUNTIFS('United Data'!$A$3:$A$3390,G$1,'United Data'!$C$3:$C$3390,$A359,'United Data'!$B$3:$B$3390,"&lt;&gt;Off-street")&gt;0,1,0)</f>
        <v>0</v>
      </c>
      <c r="H359">
        <f>IF(COUNTIFS('United Data'!$A$3:$A$3390,H$1,'United Data'!$C$3:$C$3390,$A359,'United Data'!$B$3:$B$3390,"&lt;&gt;Off-street")&gt;0,1,0)</f>
        <v>0</v>
      </c>
      <c r="I359">
        <f>IF(COUNTIFS('United Data'!$A$3:$A$3390,I$1,'United Data'!$C$3:$C$3390,$A359,'United Data'!$B$3:$B$3390,"&lt;&gt;Off-street")&gt;0,1,0)</f>
        <v>0</v>
      </c>
      <c r="J359">
        <f>IF(COUNTIFS('United Data'!$A$3:$A$3390,J$1,'United Data'!$C$3:$C$3390,$A359,'United Data'!$B$3:$B$3390,"&lt;&gt;Off-street")&gt;0,1,0)</f>
        <v>0</v>
      </c>
      <c r="K359">
        <f>IF(COUNTIFS('United Data'!$A$3:$A$3390,K$1,'United Data'!$C$3:$C$3390,$A359,'United Data'!$B$3:$B$3390,"&lt;&gt;Off-street")&gt;0,1,0)</f>
        <v>0</v>
      </c>
      <c r="L359">
        <f>IF(COUNTIFS('United Data'!$A$3:$A$3390,L$1,'United Data'!$C$3:$C$3390,$A359,'United Data'!$B$3:$B$3390,"&lt;&gt;Off-street")&gt;0,1,0)</f>
        <v>0</v>
      </c>
      <c r="M359">
        <f>IF(COUNTIFS('United Data'!$A$3:$A$3390,M$1,'United Data'!$C$3:$C$3390,$A359,'United Data'!$B$3:$B$3390,"&lt;&gt;Off-street")&gt;0,1,0)</f>
        <v>0</v>
      </c>
      <c r="N359">
        <f>IF(COUNTIFS('United Data'!$A$3:$A$3390,N$1,'United Data'!$C$3:$C$3390,$A359,'United Data'!$B$3:$B$3390,"&lt;&gt;Off-street")&gt;0,1,0)</f>
        <v>0</v>
      </c>
      <c r="O359">
        <f>IF(COUNTIFS('United Data'!$A$3:$A$3390,O$1,'United Data'!$C$3:$C$3390,$A359,'United Data'!$B$3:$B$3390,"&lt;&gt;Off-street")&gt;0,1,0)</f>
        <v>0</v>
      </c>
      <c r="P359">
        <f>IF(COUNTIFS('United Data'!$A$3:$A$3390,P$1,'United Data'!$C$3:$C$3390,$A359,'United Data'!$B$3:$B$3390,"&lt;&gt;Off-street")&gt;0,1,0)</f>
        <v>0</v>
      </c>
      <c r="Q359">
        <f>IF(COUNTIFS('United Data'!$A$3:$A$3390,Q$1,'United Data'!$C$3:$C$3390,$A359,'United Data'!$B$3:$B$3390,"&lt;&gt;Off-street")&gt;0,1,0)</f>
        <v>0</v>
      </c>
      <c r="R359">
        <f>IF(COUNTIFS('United Data'!$A$3:$A$3390,R$1,'United Data'!$C$3:$C$3390,$A359,'United Data'!$B$3:$B$3390,"&lt;&gt;Off-street")&gt;0,1,0)</f>
        <v>0</v>
      </c>
      <c r="S359">
        <f t="shared" si="10"/>
        <v>1</v>
      </c>
      <c r="T359">
        <f t="shared" si="11"/>
        <v>1</v>
      </c>
    </row>
    <row r="360" spans="1:20" x14ac:dyDescent="0.2">
      <c r="A360" t="s">
        <v>453</v>
      </c>
      <c r="B360">
        <f>IF(COUNTIFS('United Data'!$A$3:$A$3390,B$1,'United Data'!$C$3:$C$3390,$A360,'United Data'!$B$3:$B$3390,"&lt;&gt;Off-street")&gt;0,1,0)</f>
        <v>0</v>
      </c>
      <c r="C360">
        <f>IF(COUNTIFS('United Data'!$A$3:$A$3390,C$1,'United Data'!$C$3:$C$3390,$A360,'United Data'!$B$3:$B$3390,"&lt;&gt;Off-street")&gt;0,1,0)</f>
        <v>0</v>
      </c>
      <c r="D360">
        <f>IF(COUNTIFS('United Data'!$A$3:$A$3390,D$1,'United Data'!$C$3:$C$3390,$A360,'United Data'!$B$3:$B$3390,"&lt;&gt;Off-street")&gt;0,1,0)</f>
        <v>0</v>
      </c>
      <c r="E360">
        <f>IF(COUNTIFS('United Data'!$A$3:$A$3390,E$1,'United Data'!$C$3:$C$3390,$A360,'United Data'!$B$3:$B$3390,"&lt;&gt;Off-street")&gt;0,1,0)</f>
        <v>0</v>
      </c>
      <c r="F360">
        <f>IF(COUNTIFS('United Data'!$A$3:$A$3390,F$1,'United Data'!$C$3:$C$3390,$A360,'United Data'!$B$3:$B$3390,"&lt;&gt;Off-street")&gt;0,1,0)</f>
        <v>1</v>
      </c>
      <c r="G360">
        <f>IF(COUNTIFS('United Data'!$A$3:$A$3390,G$1,'United Data'!$C$3:$C$3390,$A360,'United Data'!$B$3:$B$3390,"&lt;&gt;Off-street")&gt;0,1,0)</f>
        <v>0</v>
      </c>
      <c r="H360">
        <f>IF(COUNTIFS('United Data'!$A$3:$A$3390,H$1,'United Data'!$C$3:$C$3390,$A360,'United Data'!$B$3:$B$3390,"&lt;&gt;Off-street")&gt;0,1,0)</f>
        <v>0</v>
      </c>
      <c r="I360">
        <f>IF(COUNTIFS('United Data'!$A$3:$A$3390,I$1,'United Data'!$C$3:$C$3390,$A360,'United Data'!$B$3:$B$3390,"&lt;&gt;Off-street")&gt;0,1,0)</f>
        <v>0</v>
      </c>
      <c r="J360">
        <f>IF(COUNTIFS('United Data'!$A$3:$A$3390,J$1,'United Data'!$C$3:$C$3390,$A360,'United Data'!$B$3:$B$3390,"&lt;&gt;Off-street")&gt;0,1,0)</f>
        <v>0</v>
      </c>
      <c r="K360">
        <f>IF(COUNTIFS('United Data'!$A$3:$A$3390,K$1,'United Data'!$C$3:$C$3390,$A360,'United Data'!$B$3:$B$3390,"&lt;&gt;Off-street")&gt;0,1,0)</f>
        <v>0</v>
      </c>
      <c r="L360">
        <f>IF(COUNTIFS('United Data'!$A$3:$A$3390,L$1,'United Data'!$C$3:$C$3390,$A360,'United Data'!$B$3:$B$3390,"&lt;&gt;Off-street")&gt;0,1,0)</f>
        <v>0</v>
      </c>
      <c r="M360">
        <f>IF(COUNTIFS('United Data'!$A$3:$A$3390,M$1,'United Data'!$C$3:$C$3390,$A360,'United Data'!$B$3:$B$3390,"&lt;&gt;Off-street")&gt;0,1,0)</f>
        <v>1</v>
      </c>
      <c r="N360">
        <f>IF(COUNTIFS('United Data'!$A$3:$A$3390,N$1,'United Data'!$C$3:$C$3390,$A360,'United Data'!$B$3:$B$3390,"&lt;&gt;Off-street")&gt;0,1,0)</f>
        <v>1</v>
      </c>
      <c r="O360">
        <f>IF(COUNTIFS('United Data'!$A$3:$A$3390,O$1,'United Data'!$C$3:$C$3390,$A360,'United Data'!$B$3:$B$3390,"&lt;&gt;Off-street")&gt;0,1,0)</f>
        <v>0</v>
      </c>
      <c r="P360">
        <f>IF(COUNTIFS('United Data'!$A$3:$A$3390,P$1,'United Data'!$C$3:$C$3390,$A360,'United Data'!$B$3:$B$3390,"&lt;&gt;Off-street")&gt;0,1,0)</f>
        <v>0</v>
      </c>
      <c r="Q360">
        <f>IF(COUNTIFS('United Data'!$A$3:$A$3390,Q$1,'United Data'!$C$3:$C$3390,$A360,'United Data'!$B$3:$B$3390,"&lt;&gt;Off-street")&gt;0,1,0)</f>
        <v>1</v>
      </c>
      <c r="R360">
        <f>IF(COUNTIFS('United Data'!$A$3:$A$3390,R$1,'United Data'!$C$3:$C$3390,$A360,'United Data'!$B$3:$B$3390,"&lt;&gt;Off-street")&gt;0,1,0)</f>
        <v>0</v>
      </c>
      <c r="S360">
        <f t="shared" si="10"/>
        <v>4</v>
      </c>
      <c r="T360">
        <f t="shared" si="11"/>
        <v>3</v>
      </c>
    </row>
    <row r="361" spans="1:20" x14ac:dyDescent="0.2">
      <c r="A361" t="s">
        <v>454</v>
      </c>
      <c r="B361">
        <f>IF(COUNTIFS('United Data'!$A$3:$A$3390,B$1,'United Data'!$C$3:$C$3390,$A361,'United Data'!$B$3:$B$3390,"&lt;&gt;Off-street")&gt;0,1,0)</f>
        <v>0</v>
      </c>
      <c r="C361">
        <f>IF(COUNTIFS('United Data'!$A$3:$A$3390,C$1,'United Data'!$C$3:$C$3390,$A361,'United Data'!$B$3:$B$3390,"&lt;&gt;Off-street")&gt;0,1,0)</f>
        <v>0</v>
      </c>
      <c r="D361">
        <f>IF(COUNTIFS('United Data'!$A$3:$A$3390,D$1,'United Data'!$C$3:$C$3390,$A361,'United Data'!$B$3:$B$3390,"&lt;&gt;Off-street")&gt;0,1,0)</f>
        <v>0</v>
      </c>
      <c r="E361">
        <f>IF(COUNTIFS('United Data'!$A$3:$A$3390,E$1,'United Data'!$C$3:$C$3390,$A361,'United Data'!$B$3:$B$3390,"&lt;&gt;Off-street")&gt;0,1,0)</f>
        <v>0</v>
      </c>
      <c r="F361">
        <f>IF(COUNTIFS('United Data'!$A$3:$A$3390,F$1,'United Data'!$C$3:$C$3390,$A361,'United Data'!$B$3:$B$3390,"&lt;&gt;Off-street")&gt;0,1,0)</f>
        <v>1</v>
      </c>
      <c r="G361">
        <f>IF(COUNTIFS('United Data'!$A$3:$A$3390,G$1,'United Data'!$C$3:$C$3390,$A361,'United Data'!$B$3:$B$3390,"&lt;&gt;Off-street")&gt;0,1,0)</f>
        <v>0</v>
      </c>
      <c r="H361">
        <f>IF(COUNTIFS('United Data'!$A$3:$A$3390,H$1,'United Data'!$C$3:$C$3390,$A361,'United Data'!$B$3:$B$3390,"&lt;&gt;Off-street")&gt;0,1,0)</f>
        <v>0</v>
      </c>
      <c r="I361">
        <f>IF(COUNTIFS('United Data'!$A$3:$A$3390,I$1,'United Data'!$C$3:$C$3390,$A361,'United Data'!$B$3:$B$3390,"&lt;&gt;Off-street")&gt;0,1,0)</f>
        <v>0</v>
      </c>
      <c r="J361">
        <f>IF(COUNTIFS('United Data'!$A$3:$A$3390,J$1,'United Data'!$C$3:$C$3390,$A361,'United Data'!$B$3:$B$3390,"&lt;&gt;Off-street")&gt;0,1,0)</f>
        <v>0</v>
      </c>
      <c r="K361">
        <f>IF(COUNTIFS('United Data'!$A$3:$A$3390,K$1,'United Data'!$C$3:$C$3390,$A361,'United Data'!$B$3:$B$3390,"&lt;&gt;Off-street")&gt;0,1,0)</f>
        <v>0</v>
      </c>
      <c r="L361">
        <f>IF(COUNTIFS('United Data'!$A$3:$A$3390,L$1,'United Data'!$C$3:$C$3390,$A361,'United Data'!$B$3:$B$3390,"&lt;&gt;Off-street")&gt;0,1,0)</f>
        <v>0</v>
      </c>
      <c r="M361">
        <f>IF(COUNTIFS('United Data'!$A$3:$A$3390,M$1,'United Data'!$C$3:$C$3390,$A361,'United Data'!$B$3:$B$3390,"&lt;&gt;Off-street")&gt;0,1,0)</f>
        <v>0</v>
      </c>
      <c r="N361">
        <f>IF(COUNTIFS('United Data'!$A$3:$A$3390,N$1,'United Data'!$C$3:$C$3390,$A361,'United Data'!$B$3:$B$3390,"&lt;&gt;Off-street")&gt;0,1,0)</f>
        <v>0</v>
      </c>
      <c r="O361">
        <f>IF(COUNTIFS('United Data'!$A$3:$A$3390,O$1,'United Data'!$C$3:$C$3390,$A361,'United Data'!$B$3:$B$3390,"&lt;&gt;Off-street")&gt;0,1,0)</f>
        <v>0</v>
      </c>
      <c r="P361">
        <f>IF(COUNTIFS('United Data'!$A$3:$A$3390,P$1,'United Data'!$C$3:$C$3390,$A361,'United Data'!$B$3:$B$3390,"&lt;&gt;Off-street")&gt;0,1,0)</f>
        <v>0</v>
      </c>
      <c r="Q361">
        <f>IF(COUNTIFS('United Data'!$A$3:$A$3390,Q$1,'United Data'!$C$3:$C$3390,$A361,'United Data'!$B$3:$B$3390,"&lt;&gt;Off-street")&gt;0,1,0)</f>
        <v>0</v>
      </c>
      <c r="R361">
        <f>IF(COUNTIFS('United Data'!$A$3:$A$3390,R$1,'United Data'!$C$3:$C$3390,$A361,'United Data'!$B$3:$B$3390,"&lt;&gt;Off-street")&gt;0,1,0)</f>
        <v>0</v>
      </c>
      <c r="S361">
        <f t="shared" si="10"/>
        <v>1</v>
      </c>
      <c r="T361">
        <f t="shared" si="11"/>
        <v>1</v>
      </c>
    </row>
    <row r="362" spans="1:20" x14ac:dyDescent="0.2">
      <c r="A362" t="s">
        <v>455</v>
      </c>
      <c r="B362">
        <f>IF(COUNTIFS('United Data'!$A$3:$A$3390,B$1,'United Data'!$C$3:$C$3390,$A362,'United Data'!$B$3:$B$3390,"&lt;&gt;Off-street")&gt;0,1,0)</f>
        <v>0</v>
      </c>
      <c r="C362">
        <f>IF(COUNTIFS('United Data'!$A$3:$A$3390,C$1,'United Data'!$C$3:$C$3390,$A362,'United Data'!$B$3:$B$3390,"&lt;&gt;Off-street")&gt;0,1,0)</f>
        <v>0</v>
      </c>
      <c r="D362">
        <f>IF(COUNTIFS('United Data'!$A$3:$A$3390,D$1,'United Data'!$C$3:$C$3390,$A362,'United Data'!$B$3:$B$3390,"&lt;&gt;Off-street")&gt;0,1,0)</f>
        <v>0</v>
      </c>
      <c r="E362">
        <f>IF(COUNTIFS('United Data'!$A$3:$A$3390,E$1,'United Data'!$C$3:$C$3390,$A362,'United Data'!$B$3:$B$3390,"&lt;&gt;Off-street")&gt;0,1,0)</f>
        <v>0</v>
      </c>
      <c r="F362">
        <f>IF(COUNTIFS('United Data'!$A$3:$A$3390,F$1,'United Data'!$C$3:$C$3390,$A362,'United Data'!$B$3:$B$3390,"&lt;&gt;Off-street")&gt;0,1,0)</f>
        <v>1</v>
      </c>
      <c r="G362">
        <f>IF(COUNTIFS('United Data'!$A$3:$A$3390,G$1,'United Data'!$C$3:$C$3390,$A362,'United Data'!$B$3:$B$3390,"&lt;&gt;Off-street")&gt;0,1,0)</f>
        <v>1</v>
      </c>
      <c r="H362">
        <f>IF(COUNTIFS('United Data'!$A$3:$A$3390,H$1,'United Data'!$C$3:$C$3390,$A362,'United Data'!$B$3:$B$3390,"&lt;&gt;Off-street")&gt;0,1,0)</f>
        <v>0</v>
      </c>
      <c r="I362">
        <f>IF(COUNTIFS('United Data'!$A$3:$A$3390,I$1,'United Data'!$C$3:$C$3390,$A362,'United Data'!$B$3:$B$3390,"&lt;&gt;Off-street")&gt;0,1,0)</f>
        <v>0</v>
      </c>
      <c r="J362">
        <f>IF(COUNTIFS('United Data'!$A$3:$A$3390,J$1,'United Data'!$C$3:$C$3390,$A362,'United Data'!$B$3:$B$3390,"&lt;&gt;Off-street")&gt;0,1,0)</f>
        <v>0</v>
      </c>
      <c r="K362">
        <f>IF(COUNTIFS('United Data'!$A$3:$A$3390,K$1,'United Data'!$C$3:$C$3390,$A362,'United Data'!$B$3:$B$3390,"&lt;&gt;Off-street")&gt;0,1,0)</f>
        <v>0</v>
      </c>
      <c r="L362">
        <f>IF(COUNTIFS('United Data'!$A$3:$A$3390,L$1,'United Data'!$C$3:$C$3390,$A362,'United Data'!$B$3:$B$3390,"&lt;&gt;Off-street")&gt;0,1,0)</f>
        <v>0</v>
      </c>
      <c r="M362">
        <f>IF(COUNTIFS('United Data'!$A$3:$A$3390,M$1,'United Data'!$C$3:$C$3390,$A362,'United Data'!$B$3:$B$3390,"&lt;&gt;Off-street")&gt;0,1,0)</f>
        <v>0</v>
      </c>
      <c r="N362">
        <f>IF(COUNTIFS('United Data'!$A$3:$A$3390,N$1,'United Data'!$C$3:$C$3390,$A362,'United Data'!$B$3:$B$3390,"&lt;&gt;Off-street")&gt;0,1,0)</f>
        <v>0</v>
      </c>
      <c r="O362">
        <f>IF(COUNTIFS('United Data'!$A$3:$A$3390,O$1,'United Data'!$C$3:$C$3390,$A362,'United Data'!$B$3:$B$3390,"&lt;&gt;Off-street")&gt;0,1,0)</f>
        <v>0</v>
      </c>
      <c r="P362">
        <f>IF(COUNTIFS('United Data'!$A$3:$A$3390,P$1,'United Data'!$C$3:$C$3390,$A362,'United Data'!$B$3:$B$3390,"&lt;&gt;Off-street")&gt;0,1,0)</f>
        <v>0</v>
      </c>
      <c r="Q362">
        <f>IF(COUNTIFS('United Data'!$A$3:$A$3390,Q$1,'United Data'!$C$3:$C$3390,$A362,'United Data'!$B$3:$B$3390,"&lt;&gt;Off-street")&gt;0,1,0)</f>
        <v>0</v>
      </c>
      <c r="R362">
        <f>IF(COUNTIFS('United Data'!$A$3:$A$3390,R$1,'United Data'!$C$3:$C$3390,$A362,'United Data'!$B$3:$B$3390,"&lt;&gt;Off-street")&gt;0,1,0)</f>
        <v>0</v>
      </c>
      <c r="S362">
        <f t="shared" si="10"/>
        <v>2</v>
      </c>
      <c r="T362">
        <f t="shared" si="11"/>
        <v>1</v>
      </c>
    </row>
    <row r="363" spans="1:20" x14ac:dyDescent="0.2">
      <c r="A363" t="s">
        <v>456</v>
      </c>
      <c r="B363">
        <f>IF(COUNTIFS('United Data'!$A$3:$A$3390,B$1,'United Data'!$C$3:$C$3390,$A363,'United Data'!$B$3:$B$3390,"&lt;&gt;Off-street")&gt;0,1,0)</f>
        <v>0</v>
      </c>
      <c r="C363">
        <f>IF(COUNTIFS('United Data'!$A$3:$A$3390,C$1,'United Data'!$C$3:$C$3390,$A363,'United Data'!$B$3:$B$3390,"&lt;&gt;Off-street")&gt;0,1,0)</f>
        <v>0</v>
      </c>
      <c r="D363">
        <f>IF(COUNTIFS('United Data'!$A$3:$A$3390,D$1,'United Data'!$C$3:$C$3390,$A363,'United Data'!$B$3:$B$3390,"&lt;&gt;Off-street")&gt;0,1,0)</f>
        <v>0</v>
      </c>
      <c r="E363">
        <f>IF(COUNTIFS('United Data'!$A$3:$A$3390,E$1,'United Data'!$C$3:$C$3390,$A363,'United Data'!$B$3:$B$3390,"&lt;&gt;Off-street")&gt;0,1,0)</f>
        <v>0</v>
      </c>
      <c r="F363">
        <f>IF(COUNTIFS('United Data'!$A$3:$A$3390,F$1,'United Data'!$C$3:$C$3390,$A363,'United Data'!$B$3:$B$3390,"&lt;&gt;Off-street")&gt;0,1,0)</f>
        <v>1</v>
      </c>
      <c r="G363">
        <f>IF(COUNTIFS('United Data'!$A$3:$A$3390,G$1,'United Data'!$C$3:$C$3390,$A363,'United Data'!$B$3:$B$3390,"&lt;&gt;Off-street")&gt;0,1,0)</f>
        <v>1</v>
      </c>
      <c r="H363">
        <f>IF(COUNTIFS('United Data'!$A$3:$A$3390,H$1,'United Data'!$C$3:$C$3390,$A363,'United Data'!$B$3:$B$3390,"&lt;&gt;Off-street")&gt;0,1,0)</f>
        <v>0</v>
      </c>
      <c r="I363">
        <f>IF(COUNTIFS('United Data'!$A$3:$A$3390,I$1,'United Data'!$C$3:$C$3390,$A363,'United Data'!$B$3:$B$3390,"&lt;&gt;Off-street")&gt;0,1,0)</f>
        <v>0</v>
      </c>
      <c r="J363">
        <f>IF(COUNTIFS('United Data'!$A$3:$A$3390,J$1,'United Data'!$C$3:$C$3390,$A363,'United Data'!$B$3:$B$3390,"&lt;&gt;Off-street")&gt;0,1,0)</f>
        <v>0</v>
      </c>
      <c r="K363">
        <f>IF(COUNTIFS('United Data'!$A$3:$A$3390,K$1,'United Data'!$C$3:$C$3390,$A363,'United Data'!$B$3:$B$3390,"&lt;&gt;Off-street")&gt;0,1,0)</f>
        <v>1</v>
      </c>
      <c r="L363">
        <f>IF(COUNTIFS('United Data'!$A$3:$A$3390,L$1,'United Data'!$C$3:$C$3390,$A363,'United Data'!$B$3:$B$3390,"&lt;&gt;Off-street")&gt;0,1,0)</f>
        <v>0</v>
      </c>
      <c r="M363">
        <f>IF(COUNTIFS('United Data'!$A$3:$A$3390,M$1,'United Data'!$C$3:$C$3390,$A363,'United Data'!$B$3:$B$3390,"&lt;&gt;Off-street")&gt;0,1,0)</f>
        <v>0</v>
      </c>
      <c r="N363">
        <f>IF(COUNTIFS('United Data'!$A$3:$A$3390,N$1,'United Data'!$C$3:$C$3390,$A363,'United Data'!$B$3:$B$3390,"&lt;&gt;Off-street")&gt;0,1,0)</f>
        <v>0</v>
      </c>
      <c r="O363">
        <f>IF(COUNTIFS('United Data'!$A$3:$A$3390,O$1,'United Data'!$C$3:$C$3390,$A363,'United Data'!$B$3:$B$3390,"&lt;&gt;Off-street")&gt;0,1,0)</f>
        <v>0</v>
      </c>
      <c r="P363">
        <f>IF(COUNTIFS('United Data'!$A$3:$A$3390,P$1,'United Data'!$C$3:$C$3390,$A363,'United Data'!$B$3:$B$3390,"&lt;&gt;Off-street")&gt;0,1,0)</f>
        <v>0</v>
      </c>
      <c r="Q363">
        <f>IF(COUNTIFS('United Data'!$A$3:$A$3390,Q$1,'United Data'!$C$3:$C$3390,$A363,'United Data'!$B$3:$B$3390,"&lt;&gt;Off-street")&gt;0,1,0)</f>
        <v>1</v>
      </c>
      <c r="R363">
        <f>IF(COUNTIFS('United Data'!$A$3:$A$3390,R$1,'United Data'!$C$3:$C$3390,$A363,'United Data'!$B$3:$B$3390,"&lt;&gt;Off-street")&gt;0,1,0)</f>
        <v>0</v>
      </c>
      <c r="S363">
        <f t="shared" si="10"/>
        <v>4</v>
      </c>
      <c r="T363">
        <f t="shared" si="11"/>
        <v>3</v>
      </c>
    </row>
    <row r="364" spans="1:20" x14ac:dyDescent="0.2">
      <c r="A364" t="s">
        <v>457</v>
      </c>
      <c r="B364">
        <f>IF(COUNTIFS('United Data'!$A$3:$A$3390,B$1,'United Data'!$C$3:$C$3390,$A364,'United Data'!$B$3:$B$3390,"&lt;&gt;Off-street")&gt;0,1,0)</f>
        <v>0</v>
      </c>
      <c r="C364">
        <f>IF(COUNTIFS('United Data'!$A$3:$A$3390,C$1,'United Data'!$C$3:$C$3390,$A364,'United Data'!$B$3:$B$3390,"&lt;&gt;Off-street")&gt;0,1,0)</f>
        <v>0</v>
      </c>
      <c r="D364">
        <f>IF(COUNTIFS('United Data'!$A$3:$A$3390,D$1,'United Data'!$C$3:$C$3390,$A364,'United Data'!$B$3:$B$3390,"&lt;&gt;Off-street")&gt;0,1,0)</f>
        <v>0</v>
      </c>
      <c r="E364">
        <f>IF(COUNTIFS('United Data'!$A$3:$A$3390,E$1,'United Data'!$C$3:$C$3390,$A364,'United Data'!$B$3:$B$3390,"&lt;&gt;Off-street")&gt;0,1,0)</f>
        <v>0</v>
      </c>
      <c r="F364">
        <f>IF(COUNTIFS('United Data'!$A$3:$A$3390,F$1,'United Data'!$C$3:$C$3390,$A364,'United Data'!$B$3:$B$3390,"&lt;&gt;Off-street")&gt;0,1,0)</f>
        <v>1</v>
      </c>
      <c r="G364">
        <f>IF(COUNTIFS('United Data'!$A$3:$A$3390,G$1,'United Data'!$C$3:$C$3390,$A364,'United Data'!$B$3:$B$3390,"&lt;&gt;Off-street")&gt;0,1,0)</f>
        <v>0</v>
      </c>
      <c r="H364">
        <f>IF(COUNTIFS('United Data'!$A$3:$A$3390,H$1,'United Data'!$C$3:$C$3390,$A364,'United Data'!$B$3:$B$3390,"&lt;&gt;Off-street")&gt;0,1,0)</f>
        <v>1</v>
      </c>
      <c r="I364">
        <f>IF(COUNTIFS('United Data'!$A$3:$A$3390,I$1,'United Data'!$C$3:$C$3390,$A364,'United Data'!$B$3:$B$3390,"&lt;&gt;Off-street")&gt;0,1,0)</f>
        <v>0</v>
      </c>
      <c r="J364">
        <f>IF(COUNTIFS('United Data'!$A$3:$A$3390,J$1,'United Data'!$C$3:$C$3390,$A364,'United Data'!$B$3:$B$3390,"&lt;&gt;Off-street")&gt;0,1,0)</f>
        <v>0</v>
      </c>
      <c r="K364">
        <f>IF(COUNTIFS('United Data'!$A$3:$A$3390,K$1,'United Data'!$C$3:$C$3390,$A364,'United Data'!$B$3:$B$3390,"&lt;&gt;Off-street")&gt;0,1,0)</f>
        <v>0</v>
      </c>
      <c r="L364">
        <f>IF(COUNTIFS('United Data'!$A$3:$A$3390,L$1,'United Data'!$C$3:$C$3390,$A364,'United Data'!$B$3:$B$3390,"&lt;&gt;Off-street")&gt;0,1,0)</f>
        <v>0</v>
      </c>
      <c r="M364">
        <f>IF(COUNTIFS('United Data'!$A$3:$A$3390,M$1,'United Data'!$C$3:$C$3390,$A364,'United Data'!$B$3:$B$3390,"&lt;&gt;Off-street")&gt;0,1,0)</f>
        <v>0</v>
      </c>
      <c r="N364">
        <f>IF(COUNTIFS('United Data'!$A$3:$A$3390,N$1,'United Data'!$C$3:$C$3390,$A364,'United Data'!$B$3:$B$3390,"&lt;&gt;Off-street")&gt;0,1,0)</f>
        <v>0</v>
      </c>
      <c r="O364">
        <f>IF(COUNTIFS('United Data'!$A$3:$A$3390,O$1,'United Data'!$C$3:$C$3390,$A364,'United Data'!$B$3:$B$3390,"&lt;&gt;Off-street")&gt;0,1,0)</f>
        <v>0</v>
      </c>
      <c r="P364">
        <f>IF(COUNTIFS('United Data'!$A$3:$A$3390,P$1,'United Data'!$C$3:$C$3390,$A364,'United Data'!$B$3:$B$3390,"&lt;&gt;Off-street")&gt;0,1,0)</f>
        <v>0</v>
      </c>
      <c r="Q364">
        <f>IF(COUNTIFS('United Data'!$A$3:$A$3390,Q$1,'United Data'!$C$3:$C$3390,$A364,'United Data'!$B$3:$B$3390,"&lt;&gt;Off-street")&gt;0,1,0)</f>
        <v>0</v>
      </c>
      <c r="R364">
        <f>IF(COUNTIFS('United Data'!$A$3:$A$3390,R$1,'United Data'!$C$3:$C$3390,$A364,'United Data'!$B$3:$B$3390,"&lt;&gt;Off-street")&gt;0,1,0)</f>
        <v>0</v>
      </c>
      <c r="S364">
        <f t="shared" si="10"/>
        <v>2</v>
      </c>
      <c r="T364">
        <f t="shared" si="11"/>
        <v>2</v>
      </c>
    </row>
    <row r="365" spans="1:20" x14ac:dyDescent="0.2">
      <c r="A365" t="s">
        <v>459</v>
      </c>
      <c r="B365">
        <f>IF(COUNTIFS('United Data'!$A$3:$A$3390,B$1,'United Data'!$C$3:$C$3390,$A365,'United Data'!$B$3:$B$3390,"&lt;&gt;Off-street")&gt;0,1,0)</f>
        <v>0</v>
      </c>
      <c r="C365">
        <f>IF(COUNTIFS('United Data'!$A$3:$A$3390,C$1,'United Data'!$C$3:$C$3390,$A365,'United Data'!$B$3:$B$3390,"&lt;&gt;Off-street")&gt;0,1,0)</f>
        <v>0</v>
      </c>
      <c r="D365">
        <f>IF(COUNTIFS('United Data'!$A$3:$A$3390,D$1,'United Data'!$C$3:$C$3390,$A365,'United Data'!$B$3:$B$3390,"&lt;&gt;Off-street")&gt;0,1,0)</f>
        <v>0</v>
      </c>
      <c r="E365">
        <f>IF(COUNTIFS('United Data'!$A$3:$A$3390,E$1,'United Data'!$C$3:$C$3390,$A365,'United Data'!$B$3:$B$3390,"&lt;&gt;Off-street")&gt;0,1,0)</f>
        <v>0</v>
      </c>
      <c r="F365">
        <f>IF(COUNTIFS('United Data'!$A$3:$A$3390,F$1,'United Data'!$C$3:$C$3390,$A365,'United Data'!$B$3:$B$3390,"&lt;&gt;Off-street")&gt;0,1,0)</f>
        <v>1</v>
      </c>
      <c r="G365">
        <f>IF(COUNTIFS('United Data'!$A$3:$A$3390,G$1,'United Data'!$C$3:$C$3390,$A365,'United Data'!$B$3:$B$3390,"&lt;&gt;Off-street")&gt;0,1,0)</f>
        <v>0</v>
      </c>
      <c r="H365">
        <f>IF(COUNTIFS('United Data'!$A$3:$A$3390,H$1,'United Data'!$C$3:$C$3390,$A365,'United Data'!$B$3:$B$3390,"&lt;&gt;Off-street")&gt;0,1,0)</f>
        <v>0</v>
      </c>
      <c r="I365">
        <f>IF(COUNTIFS('United Data'!$A$3:$A$3390,I$1,'United Data'!$C$3:$C$3390,$A365,'United Data'!$B$3:$B$3390,"&lt;&gt;Off-street")&gt;0,1,0)</f>
        <v>0</v>
      </c>
      <c r="J365">
        <f>IF(COUNTIFS('United Data'!$A$3:$A$3390,J$1,'United Data'!$C$3:$C$3390,$A365,'United Data'!$B$3:$B$3390,"&lt;&gt;Off-street")&gt;0,1,0)</f>
        <v>0</v>
      </c>
      <c r="K365">
        <f>IF(COUNTIFS('United Data'!$A$3:$A$3390,K$1,'United Data'!$C$3:$C$3390,$A365,'United Data'!$B$3:$B$3390,"&lt;&gt;Off-street")&gt;0,1,0)</f>
        <v>1</v>
      </c>
      <c r="L365">
        <f>IF(COUNTIFS('United Data'!$A$3:$A$3390,L$1,'United Data'!$C$3:$C$3390,$A365,'United Data'!$B$3:$B$3390,"&lt;&gt;Off-street")&gt;0,1,0)</f>
        <v>0</v>
      </c>
      <c r="M365">
        <f>IF(COUNTIFS('United Data'!$A$3:$A$3390,M$1,'United Data'!$C$3:$C$3390,$A365,'United Data'!$B$3:$B$3390,"&lt;&gt;Off-street")&gt;0,1,0)</f>
        <v>0</v>
      </c>
      <c r="N365">
        <f>IF(COUNTIFS('United Data'!$A$3:$A$3390,N$1,'United Data'!$C$3:$C$3390,$A365,'United Data'!$B$3:$B$3390,"&lt;&gt;Off-street")&gt;0,1,0)</f>
        <v>0</v>
      </c>
      <c r="O365">
        <f>IF(COUNTIFS('United Data'!$A$3:$A$3390,O$1,'United Data'!$C$3:$C$3390,$A365,'United Data'!$B$3:$B$3390,"&lt;&gt;Off-street")&gt;0,1,0)</f>
        <v>0</v>
      </c>
      <c r="P365">
        <f>IF(COUNTIFS('United Data'!$A$3:$A$3390,P$1,'United Data'!$C$3:$C$3390,$A365,'United Data'!$B$3:$B$3390,"&lt;&gt;Off-street")&gt;0,1,0)</f>
        <v>0</v>
      </c>
      <c r="Q365">
        <f>IF(COUNTIFS('United Data'!$A$3:$A$3390,Q$1,'United Data'!$C$3:$C$3390,$A365,'United Data'!$B$3:$B$3390,"&lt;&gt;Off-street")&gt;0,1,0)</f>
        <v>0</v>
      </c>
      <c r="R365">
        <f>IF(COUNTIFS('United Data'!$A$3:$A$3390,R$1,'United Data'!$C$3:$C$3390,$A365,'United Data'!$B$3:$B$3390,"&lt;&gt;Off-street")&gt;0,1,0)</f>
        <v>0</v>
      </c>
      <c r="S365">
        <f t="shared" si="10"/>
        <v>2</v>
      </c>
      <c r="T365">
        <f t="shared" si="11"/>
        <v>2</v>
      </c>
    </row>
    <row r="366" spans="1:20" x14ac:dyDescent="0.2">
      <c r="A366" t="s">
        <v>460</v>
      </c>
      <c r="B366">
        <f>IF(COUNTIFS('United Data'!$A$3:$A$3390,B$1,'United Data'!$C$3:$C$3390,$A366,'United Data'!$B$3:$B$3390,"&lt;&gt;Off-street")&gt;0,1,0)</f>
        <v>0</v>
      </c>
      <c r="C366">
        <f>IF(COUNTIFS('United Data'!$A$3:$A$3390,C$1,'United Data'!$C$3:$C$3390,$A366,'United Data'!$B$3:$B$3390,"&lt;&gt;Off-street")&gt;0,1,0)</f>
        <v>0</v>
      </c>
      <c r="D366">
        <f>IF(COUNTIFS('United Data'!$A$3:$A$3390,D$1,'United Data'!$C$3:$C$3390,$A366,'United Data'!$B$3:$B$3390,"&lt;&gt;Off-street")&gt;0,1,0)</f>
        <v>0</v>
      </c>
      <c r="E366">
        <f>IF(COUNTIFS('United Data'!$A$3:$A$3390,E$1,'United Data'!$C$3:$C$3390,$A366,'United Data'!$B$3:$B$3390,"&lt;&gt;Off-street")&gt;0,1,0)</f>
        <v>0</v>
      </c>
      <c r="F366">
        <f>IF(COUNTIFS('United Data'!$A$3:$A$3390,F$1,'United Data'!$C$3:$C$3390,$A366,'United Data'!$B$3:$B$3390,"&lt;&gt;Off-street")&gt;0,1,0)</f>
        <v>1</v>
      </c>
      <c r="G366">
        <f>IF(COUNTIFS('United Data'!$A$3:$A$3390,G$1,'United Data'!$C$3:$C$3390,$A366,'United Data'!$B$3:$B$3390,"&lt;&gt;Off-street")&gt;0,1,0)</f>
        <v>0</v>
      </c>
      <c r="H366">
        <f>IF(COUNTIFS('United Data'!$A$3:$A$3390,H$1,'United Data'!$C$3:$C$3390,$A366,'United Data'!$B$3:$B$3390,"&lt;&gt;Off-street")&gt;0,1,0)</f>
        <v>0</v>
      </c>
      <c r="I366">
        <f>IF(COUNTIFS('United Data'!$A$3:$A$3390,I$1,'United Data'!$C$3:$C$3390,$A366,'United Data'!$B$3:$B$3390,"&lt;&gt;Off-street")&gt;0,1,0)</f>
        <v>0</v>
      </c>
      <c r="J366">
        <f>IF(COUNTIFS('United Data'!$A$3:$A$3390,J$1,'United Data'!$C$3:$C$3390,$A366,'United Data'!$B$3:$B$3390,"&lt;&gt;Off-street")&gt;0,1,0)</f>
        <v>0</v>
      </c>
      <c r="K366">
        <f>IF(COUNTIFS('United Data'!$A$3:$A$3390,K$1,'United Data'!$C$3:$C$3390,$A366,'United Data'!$B$3:$B$3390,"&lt;&gt;Off-street")&gt;0,1,0)</f>
        <v>0</v>
      </c>
      <c r="L366">
        <f>IF(COUNTIFS('United Data'!$A$3:$A$3390,L$1,'United Data'!$C$3:$C$3390,$A366,'United Data'!$B$3:$B$3390,"&lt;&gt;Off-street")&gt;0,1,0)</f>
        <v>0</v>
      </c>
      <c r="M366">
        <f>IF(COUNTIFS('United Data'!$A$3:$A$3390,M$1,'United Data'!$C$3:$C$3390,$A366,'United Data'!$B$3:$B$3390,"&lt;&gt;Off-street")&gt;0,1,0)</f>
        <v>0</v>
      </c>
      <c r="N366">
        <f>IF(COUNTIFS('United Data'!$A$3:$A$3390,N$1,'United Data'!$C$3:$C$3390,$A366,'United Data'!$B$3:$B$3390,"&lt;&gt;Off-street")&gt;0,1,0)</f>
        <v>0</v>
      </c>
      <c r="O366">
        <f>IF(COUNTIFS('United Data'!$A$3:$A$3390,O$1,'United Data'!$C$3:$C$3390,$A366,'United Data'!$B$3:$B$3390,"&lt;&gt;Off-street")&gt;0,1,0)</f>
        <v>0</v>
      </c>
      <c r="P366">
        <f>IF(COUNTIFS('United Data'!$A$3:$A$3390,P$1,'United Data'!$C$3:$C$3390,$A366,'United Data'!$B$3:$B$3390,"&lt;&gt;Off-street")&gt;0,1,0)</f>
        <v>0</v>
      </c>
      <c r="Q366">
        <f>IF(COUNTIFS('United Data'!$A$3:$A$3390,Q$1,'United Data'!$C$3:$C$3390,$A366,'United Data'!$B$3:$B$3390,"&lt;&gt;Off-street")&gt;0,1,0)</f>
        <v>0</v>
      </c>
      <c r="R366">
        <f>IF(COUNTIFS('United Data'!$A$3:$A$3390,R$1,'United Data'!$C$3:$C$3390,$A366,'United Data'!$B$3:$B$3390,"&lt;&gt;Off-street")&gt;0,1,0)</f>
        <v>0</v>
      </c>
      <c r="S366">
        <f t="shared" si="10"/>
        <v>1</v>
      </c>
      <c r="T366">
        <f t="shared" si="11"/>
        <v>1</v>
      </c>
    </row>
    <row r="367" spans="1:20" x14ac:dyDescent="0.2">
      <c r="A367" t="s">
        <v>461</v>
      </c>
      <c r="B367">
        <f>IF(COUNTIFS('United Data'!$A$3:$A$3390,B$1,'United Data'!$C$3:$C$3390,$A367,'United Data'!$B$3:$B$3390,"&lt;&gt;Off-street")&gt;0,1,0)</f>
        <v>0</v>
      </c>
      <c r="C367">
        <f>IF(COUNTIFS('United Data'!$A$3:$A$3390,C$1,'United Data'!$C$3:$C$3390,$A367,'United Data'!$B$3:$B$3390,"&lt;&gt;Off-street")&gt;0,1,0)</f>
        <v>0</v>
      </c>
      <c r="D367">
        <f>IF(COUNTIFS('United Data'!$A$3:$A$3390,D$1,'United Data'!$C$3:$C$3390,$A367,'United Data'!$B$3:$B$3390,"&lt;&gt;Off-street")&gt;0,1,0)</f>
        <v>0</v>
      </c>
      <c r="E367">
        <f>IF(COUNTIFS('United Data'!$A$3:$A$3390,E$1,'United Data'!$C$3:$C$3390,$A367,'United Data'!$B$3:$B$3390,"&lt;&gt;Off-street")&gt;0,1,0)</f>
        <v>1</v>
      </c>
      <c r="F367">
        <f>IF(COUNTIFS('United Data'!$A$3:$A$3390,F$1,'United Data'!$C$3:$C$3390,$A367,'United Data'!$B$3:$B$3390,"&lt;&gt;Off-street")&gt;0,1,0)</f>
        <v>1</v>
      </c>
      <c r="G367">
        <f>IF(COUNTIFS('United Data'!$A$3:$A$3390,G$1,'United Data'!$C$3:$C$3390,$A367,'United Data'!$B$3:$B$3390,"&lt;&gt;Off-street")&gt;0,1,0)</f>
        <v>0</v>
      </c>
      <c r="H367">
        <f>IF(COUNTIFS('United Data'!$A$3:$A$3390,H$1,'United Data'!$C$3:$C$3390,$A367,'United Data'!$B$3:$B$3390,"&lt;&gt;Off-street")&gt;0,1,0)</f>
        <v>0</v>
      </c>
      <c r="I367">
        <f>IF(COUNTIFS('United Data'!$A$3:$A$3390,I$1,'United Data'!$C$3:$C$3390,$A367,'United Data'!$B$3:$B$3390,"&lt;&gt;Off-street")&gt;0,1,0)</f>
        <v>0</v>
      </c>
      <c r="J367">
        <f>IF(COUNTIFS('United Data'!$A$3:$A$3390,J$1,'United Data'!$C$3:$C$3390,$A367,'United Data'!$B$3:$B$3390,"&lt;&gt;Off-street")&gt;0,1,0)</f>
        <v>0</v>
      </c>
      <c r="K367">
        <f>IF(COUNTIFS('United Data'!$A$3:$A$3390,K$1,'United Data'!$C$3:$C$3390,$A367,'United Data'!$B$3:$B$3390,"&lt;&gt;Off-street")&gt;0,1,0)</f>
        <v>1</v>
      </c>
      <c r="L367">
        <f>IF(COUNTIFS('United Data'!$A$3:$A$3390,L$1,'United Data'!$C$3:$C$3390,$A367,'United Data'!$B$3:$B$3390,"&lt;&gt;Off-street")&gt;0,1,0)</f>
        <v>0</v>
      </c>
      <c r="M367">
        <f>IF(COUNTIFS('United Data'!$A$3:$A$3390,M$1,'United Data'!$C$3:$C$3390,$A367,'United Data'!$B$3:$B$3390,"&lt;&gt;Off-street")&gt;0,1,0)</f>
        <v>0</v>
      </c>
      <c r="N367">
        <f>IF(COUNTIFS('United Data'!$A$3:$A$3390,N$1,'United Data'!$C$3:$C$3390,$A367,'United Data'!$B$3:$B$3390,"&lt;&gt;Off-street")&gt;0,1,0)</f>
        <v>0</v>
      </c>
      <c r="O367">
        <f>IF(COUNTIFS('United Data'!$A$3:$A$3390,O$1,'United Data'!$C$3:$C$3390,$A367,'United Data'!$B$3:$B$3390,"&lt;&gt;Off-street")&gt;0,1,0)</f>
        <v>0</v>
      </c>
      <c r="P367">
        <f>IF(COUNTIFS('United Data'!$A$3:$A$3390,P$1,'United Data'!$C$3:$C$3390,$A367,'United Data'!$B$3:$B$3390,"&lt;&gt;Off-street")&gt;0,1,0)</f>
        <v>0</v>
      </c>
      <c r="Q367">
        <f>IF(COUNTIFS('United Data'!$A$3:$A$3390,Q$1,'United Data'!$C$3:$C$3390,$A367,'United Data'!$B$3:$B$3390,"&lt;&gt;Off-street")&gt;0,1,0)</f>
        <v>0</v>
      </c>
      <c r="R367">
        <f>IF(COUNTIFS('United Data'!$A$3:$A$3390,R$1,'United Data'!$C$3:$C$3390,$A367,'United Data'!$B$3:$B$3390,"&lt;&gt;Off-street")&gt;0,1,0)</f>
        <v>0</v>
      </c>
      <c r="S367">
        <f t="shared" si="10"/>
        <v>3</v>
      </c>
      <c r="T367">
        <f t="shared" si="11"/>
        <v>2</v>
      </c>
    </row>
    <row r="368" spans="1:20" x14ac:dyDescent="0.2">
      <c r="A368" t="s">
        <v>462</v>
      </c>
      <c r="B368">
        <f>IF(COUNTIFS('United Data'!$A$3:$A$3390,B$1,'United Data'!$C$3:$C$3390,$A368,'United Data'!$B$3:$B$3390,"&lt;&gt;Off-street")&gt;0,1,0)</f>
        <v>0</v>
      </c>
      <c r="C368">
        <f>IF(COUNTIFS('United Data'!$A$3:$A$3390,C$1,'United Data'!$C$3:$C$3390,$A368,'United Data'!$B$3:$B$3390,"&lt;&gt;Off-street")&gt;0,1,0)</f>
        <v>0</v>
      </c>
      <c r="D368">
        <f>IF(COUNTIFS('United Data'!$A$3:$A$3390,D$1,'United Data'!$C$3:$C$3390,$A368,'United Data'!$B$3:$B$3390,"&lt;&gt;Off-street")&gt;0,1,0)</f>
        <v>0</v>
      </c>
      <c r="E368">
        <f>IF(COUNTIFS('United Data'!$A$3:$A$3390,E$1,'United Data'!$C$3:$C$3390,$A368,'United Data'!$B$3:$B$3390,"&lt;&gt;Off-street")&gt;0,1,0)</f>
        <v>0</v>
      </c>
      <c r="F368">
        <f>IF(COUNTIFS('United Data'!$A$3:$A$3390,F$1,'United Data'!$C$3:$C$3390,$A368,'United Data'!$B$3:$B$3390,"&lt;&gt;Off-street")&gt;0,1,0)</f>
        <v>1</v>
      </c>
      <c r="G368">
        <f>IF(COUNTIFS('United Data'!$A$3:$A$3390,G$1,'United Data'!$C$3:$C$3390,$A368,'United Data'!$B$3:$B$3390,"&lt;&gt;Off-street")&gt;0,1,0)</f>
        <v>0</v>
      </c>
      <c r="H368">
        <f>IF(COUNTIFS('United Data'!$A$3:$A$3390,H$1,'United Data'!$C$3:$C$3390,$A368,'United Data'!$B$3:$B$3390,"&lt;&gt;Off-street")&gt;0,1,0)</f>
        <v>0</v>
      </c>
      <c r="I368">
        <f>IF(COUNTIFS('United Data'!$A$3:$A$3390,I$1,'United Data'!$C$3:$C$3390,$A368,'United Data'!$B$3:$B$3390,"&lt;&gt;Off-street")&gt;0,1,0)</f>
        <v>0</v>
      </c>
      <c r="J368">
        <f>IF(COUNTIFS('United Data'!$A$3:$A$3390,J$1,'United Data'!$C$3:$C$3390,$A368,'United Data'!$B$3:$B$3390,"&lt;&gt;Off-street")&gt;0,1,0)</f>
        <v>0</v>
      </c>
      <c r="K368">
        <f>IF(COUNTIFS('United Data'!$A$3:$A$3390,K$1,'United Data'!$C$3:$C$3390,$A368,'United Data'!$B$3:$B$3390,"&lt;&gt;Off-street")&gt;0,1,0)</f>
        <v>0</v>
      </c>
      <c r="L368">
        <f>IF(COUNTIFS('United Data'!$A$3:$A$3390,L$1,'United Data'!$C$3:$C$3390,$A368,'United Data'!$B$3:$B$3390,"&lt;&gt;Off-street")&gt;0,1,0)</f>
        <v>0</v>
      </c>
      <c r="M368">
        <f>IF(COUNTIFS('United Data'!$A$3:$A$3390,M$1,'United Data'!$C$3:$C$3390,$A368,'United Data'!$B$3:$B$3390,"&lt;&gt;Off-street")&gt;0,1,0)</f>
        <v>0</v>
      </c>
      <c r="N368">
        <f>IF(COUNTIFS('United Data'!$A$3:$A$3390,N$1,'United Data'!$C$3:$C$3390,$A368,'United Data'!$B$3:$B$3390,"&lt;&gt;Off-street")&gt;0,1,0)</f>
        <v>0</v>
      </c>
      <c r="O368">
        <f>IF(COUNTIFS('United Data'!$A$3:$A$3390,O$1,'United Data'!$C$3:$C$3390,$A368,'United Data'!$B$3:$B$3390,"&lt;&gt;Off-street")&gt;0,1,0)</f>
        <v>0</v>
      </c>
      <c r="P368">
        <f>IF(COUNTIFS('United Data'!$A$3:$A$3390,P$1,'United Data'!$C$3:$C$3390,$A368,'United Data'!$B$3:$B$3390,"&lt;&gt;Off-street")&gt;0,1,0)</f>
        <v>0</v>
      </c>
      <c r="Q368">
        <f>IF(COUNTIFS('United Data'!$A$3:$A$3390,Q$1,'United Data'!$C$3:$C$3390,$A368,'United Data'!$B$3:$B$3390,"&lt;&gt;Off-street")&gt;0,1,0)</f>
        <v>0</v>
      </c>
      <c r="R368">
        <f>IF(COUNTIFS('United Data'!$A$3:$A$3390,R$1,'United Data'!$C$3:$C$3390,$A368,'United Data'!$B$3:$B$3390,"&lt;&gt;Off-street")&gt;0,1,0)</f>
        <v>0</v>
      </c>
      <c r="S368">
        <f t="shared" si="10"/>
        <v>1</v>
      </c>
      <c r="T368">
        <f t="shared" si="11"/>
        <v>1</v>
      </c>
    </row>
    <row r="369" spans="1:20" x14ac:dyDescent="0.2">
      <c r="A369" t="s">
        <v>464</v>
      </c>
      <c r="B369">
        <f>IF(COUNTIFS('United Data'!$A$3:$A$3390,B$1,'United Data'!$C$3:$C$3390,$A369,'United Data'!$B$3:$B$3390,"&lt;&gt;Off-street")&gt;0,1,0)</f>
        <v>0</v>
      </c>
      <c r="C369">
        <f>IF(COUNTIFS('United Data'!$A$3:$A$3390,C$1,'United Data'!$C$3:$C$3390,$A369,'United Data'!$B$3:$B$3390,"&lt;&gt;Off-street")&gt;0,1,0)</f>
        <v>0</v>
      </c>
      <c r="D369">
        <f>IF(COUNTIFS('United Data'!$A$3:$A$3390,D$1,'United Data'!$C$3:$C$3390,$A369,'United Data'!$B$3:$B$3390,"&lt;&gt;Off-street")&gt;0,1,0)</f>
        <v>0</v>
      </c>
      <c r="E369">
        <f>IF(COUNTIFS('United Data'!$A$3:$A$3390,E$1,'United Data'!$C$3:$C$3390,$A369,'United Data'!$B$3:$B$3390,"&lt;&gt;Off-street")&gt;0,1,0)</f>
        <v>0</v>
      </c>
      <c r="F369">
        <f>IF(COUNTIFS('United Data'!$A$3:$A$3390,F$1,'United Data'!$C$3:$C$3390,$A369,'United Data'!$B$3:$B$3390,"&lt;&gt;Off-street")&gt;0,1,0)</f>
        <v>0</v>
      </c>
      <c r="G369">
        <f>IF(COUNTIFS('United Data'!$A$3:$A$3390,G$1,'United Data'!$C$3:$C$3390,$A369,'United Data'!$B$3:$B$3390,"&lt;&gt;Off-street")&gt;0,1,0)</f>
        <v>1</v>
      </c>
      <c r="H369">
        <f>IF(COUNTIFS('United Data'!$A$3:$A$3390,H$1,'United Data'!$C$3:$C$3390,$A369,'United Data'!$B$3:$B$3390,"&lt;&gt;Off-street")&gt;0,1,0)</f>
        <v>0</v>
      </c>
      <c r="I369">
        <f>IF(COUNTIFS('United Data'!$A$3:$A$3390,I$1,'United Data'!$C$3:$C$3390,$A369,'United Data'!$B$3:$B$3390,"&lt;&gt;Off-street")&gt;0,1,0)</f>
        <v>0</v>
      </c>
      <c r="J369">
        <f>IF(COUNTIFS('United Data'!$A$3:$A$3390,J$1,'United Data'!$C$3:$C$3390,$A369,'United Data'!$B$3:$B$3390,"&lt;&gt;Off-street")&gt;0,1,0)</f>
        <v>0</v>
      </c>
      <c r="K369">
        <f>IF(COUNTIFS('United Data'!$A$3:$A$3390,K$1,'United Data'!$C$3:$C$3390,$A369,'United Data'!$B$3:$B$3390,"&lt;&gt;Off-street")&gt;0,1,0)</f>
        <v>0</v>
      </c>
      <c r="L369">
        <f>IF(COUNTIFS('United Data'!$A$3:$A$3390,L$1,'United Data'!$C$3:$C$3390,$A369,'United Data'!$B$3:$B$3390,"&lt;&gt;Off-street")&gt;0,1,0)</f>
        <v>0</v>
      </c>
      <c r="M369">
        <f>IF(COUNTIFS('United Data'!$A$3:$A$3390,M$1,'United Data'!$C$3:$C$3390,$A369,'United Data'!$B$3:$B$3390,"&lt;&gt;Off-street")&gt;0,1,0)</f>
        <v>0</v>
      </c>
      <c r="N369">
        <f>IF(COUNTIFS('United Data'!$A$3:$A$3390,N$1,'United Data'!$C$3:$C$3390,$A369,'United Data'!$B$3:$B$3390,"&lt;&gt;Off-street")&gt;0,1,0)</f>
        <v>0</v>
      </c>
      <c r="O369">
        <f>IF(COUNTIFS('United Data'!$A$3:$A$3390,O$1,'United Data'!$C$3:$C$3390,$A369,'United Data'!$B$3:$B$3390,"&lt;&gt;Off-street")&gt;0,1,0)</f>
        <v>0</v>
      </c>
      <c r="P369">
        <f>IF(COUNTIFS('United Data'!$A$3:$A$3390,P$1,'United Data'!$C$3:$C$3390,$A369,'United Data'!$B$3:$B$3390,"&lt;&gt;Off-street")&gt;0,1,0)</f>
        <v>0</v>
      </c>
      <c r="Q369">
        <f>IF(COUNTIFS('United Data'!$A$3:$A$3390,Q$1,'United Data'!$C$3:$C$3390,$A369,'United Data'!$B$3:$B$3390,"&lt;&gt;Off-street")&gt;0,1,0)</f>
        <v>0</v>
      </c>
      <c r="R369">
        <f>IF(COUNTIFS('United Data'!$A$3:$A$3390,R$1,'United Data'!$C$3:$C$3390,$A369,'United Data'!$B$3:$B$3390,"&lt;&gt;Off-street")&gt;0,1,0)</f>
        <v>0</v>
      </c>
      <c r="S369">
        <f t="shared" si="10"/>
        <v>1</v>
      </c>
      <c r="T369">
        <f t="shared" si="11"/>
        <v>1</v>
      </c>
    </row>
    <row r="370" spans="1:20" x14ac:dyDescent="0.2">
      <c r="A370" t="s">
        <v>467</v>
      </c>
      <c r="B370">
        <f>IF(COUNTIFS('United Data'!$A$3:$A$3390,B$1,'United Data'!$C$3:$C$3390,$A370,'United Data'!$B$3:$B$3390,"&lt;&gt;Off-street")&gt;0,1,0)</f>
        <v>0</v>
      </c>
      <c r="C370">
        <f>IF(COUNTIFS('United Data'!$A$3:$A$3390,C$1,'United Data'!$C$3:$C$3390,$A370,'United Data'!$B$3:$B$3390,"&lt;&gt;Off-street")&gt;0,1,0)</f>
        <v>0</v>
      </c>
      <c r="D370">
        <f>IF(COUNTIFS('United Data'!$A$3:$A$3390,D$1,'United Data'!$C$3:$C$3390,$A370,'United Data'!$B$3:$B$3390,"&lt;&gt;Off-street")&gt;0,1,0)</f>
        <v>0</v>
      </c>
      <c r="E370">
        <f>IF(COUNTIFS('United Data'!$A$3:$A$3390,E$1,'United Data'!$C$3:$C$3390,$A370,'United Data'!$B$3:$B$3390,"&lt;&gt;Off-street")&gt;0,1,0)</f>
        <v>0</v>
      </c>
      <c r="F370">
        <f>IF(COUNTIFS('United Data'!$A$3:$A$3390,F$1,'United Data'!$C$3:$C$3390,$A370,'United Data'!$B$3:$B$3390,"&lt;&gt;Off-street")&gt;0,1,0)</f>
        <v>0</v>
      </c>
      <c r="G370">
        <f>IF(COUNTIFS('United Data'!$A$3:$A$3390,G$1,'United Data'!$C$3:$C$3390,$A370,'United Data'!$B$3:$B$3390,"&lt;&gt;Off-street")&gt;0,1,0)</f>
        <v>1</v>
      </c>
      <c r="H370">
        <f>IF(COUNTIFS('United Data'!$A$3:$A$3390,H$1,'United Data'!$C$3:$C$3390,$A370,'United Data'!$B$3:$B$3390,"&lt;&gt;Off-street")&gt;0,1,0)</f>
        <v>0</v>
      </c>
      <c r="I370">
        <f>IF(COUNTIFS('United Data'!$A$3:$A$3390,I$1,'United Data'!$C$3:$C$3390,$A370,'United Data'!$B$3:$B$3390,"&lt;&gt;Off-street")&gt;0,1,0)</f>
        <v>0</v>
      </c>
      <c r="J370">
        <f>IF(COUNTIFS('United Data'!$A$3:$A$3390,J$1,'United Data'!$C$3:$C$3390,$A370,'United Data'!$B$3:$B$3390,"&lt;&gt;Off-street")&gt;0,1,0)</f>
        <v>0</v>
      </c>
      <c r="K370">
        <f>IF(COUNTIFS('United Data'!$A$3:$A$3390,K$1,'United Data'!$C$3:$C$3390,$A370,'United Data'!$B$3:$B$3390,"&lt;&gt;Off-street")&gt;0,1,0)</f>
        <v>0</v>
      </c>
      <c r="L370">
        <f>IF(COUNTIFS('United Data'!$A$3:$A$3390,L$1,'United Data'!$C$3:$C$3390,$A370,'United Data'!$B$3:$B$3390,"&lt;&gt;Off-street")&gt;0,1,0)</f>
        <v>0</v>
      </c>
      <c r="M370">
        <f>IF(COUNTIFS('United Data'!$A$3:$A$3390,M$1,'United Data'!$C$3:$C$3390,$A370,'United Data'!$B$3:$B$3390,"&lt;&gt;Off-street")&gt;0,1,0)</f>
        <v>0</v>
      </c>
      <c r="N370">
        <f>IF(COUNTIFS('United Data'!$A$3:$A$3390,N$1,'United Data'!$C$3:$C$3390,$A370,'United Data'!$B$3:$B$3390,"&lt;&gt;Off-street")&gt;0,1,0)</f>
        <v>1</v>
      </c>
      <c r="O370">
        <f>IF(COUNTIFS('United Data'!$A$3:$A$3390,O$1,'United Data'!$C$3:$C$3390,$A370,'United Data'!$B$3:$B$3390,"&lt;&gt;Off-street")&gt;0,1,0)</f>
        <v>0</v>
      </c>
      <c r="P370">
        <f>IF(COUNTIFS('United Data'!$A$3:$A$3390,P$1,'United Data'!$C$3:$C$3390,$A370,'United Data'!$B$3:$B$3390,"&lt;&gt;Off-street")&gt;0,1,0)</f>
        <v>0</v>
      </c>
      <c r="Q370">
        <f>IF(COUNTIFS('United Data'!$A$3:$A$3390,Q$1,'United Data'!$C$3:$C$3390,$A370,'United Data'!$B$3:$B$3390,"&lt;&gt;Off-street")&gt;0,1,0)</f>
        <v>0</v>
      </c>
      <c r="R370">
        <f>IF(COUNTIFS('United Data'!$A$3:$A$3390,R$1,'United Data'!$C$3:$C$3390,$A370,'United Data'!$B$3:$B$3390,"&lt;&gt;Off-street")&gt;0,1,0)</f>
        <v>0</v>
      </c>
      <c r="S370">
        <f t="shared" si="10"/>
        <v>2</v>
      </c>
      <c r="T370">
        <f t="shared" si="11"/>
        <v>2</v>
      </c>
    </row>
    <row r="371" spans="1:20" x14ac:dyDescent="0.2">
      <c r="A371" t="s">
        <v>469</v>
      </c>
      <c r="B371">
        <f>IF(COUNTIFS('United Data'!$A$3:$A$3390,B$1,'United Data'!$C$3:$C$3390,$A371,'United Data'!$B$3:$B$3390,"&lt;&gt;Off-street")&gt;0,1,0)</f>
        <v>0</v>
      </c>
      <c r="C371">
        <f>IF(COUNTIFS('United Data'!$A$3:$A$3390,C$1,'United Data'!$C$3:$C$3390,$A371,'United Data'!$B$3:$B$3390,"&lt;&gt;Off-street")&gt;0,1,0)</f>
        <v>0</v>
      </c>
      <c r="D371">
        <f>IF(COUNTIFS('United Data'!$A$3:$A$3390,D$1,'United Data'!$C$3:$C$3390,$A371,'United Data'!$B$3:$B$3390,"&lt;&gt;Off-street")&gt;0,1,0)</f>
        <v>0</v>
      </c>
      <c r="E371">
        <f>IF(COUNTIFS('United Data'!$A$3:$A$3390,E$1,'United Data'!$C$3:$C$3390,$A371,'United Data'!$B$3:$B$3390,"&lt;&gt;Off-street")&gt;0,1,0)</f>
        <v>0</v>
      </c>
      <c r="F371">
        <f>IF(COUNTIFS('United Data'!$A$3:$A$3390,F$1,'United Data'!$C$3:$C$3390,$A371,'United Data'!$B$3:$B$3390,"&lt;&gt;Off-street")&gt;0,1,0)</f>
        <v>0</v>
      </c>
      <c r="G371">
        <f>IF(COUNTIFS('United Data'!$A$3:$A$3390,G$1,'United Data'!$C$3:$C$3390,$A371,'United Data'!$B$3:$B$3390,"&lt;&gt;Off-street")&gt;0,1,0)</f>
        <v>1</v>
      </c>
      <c r="H371">
        <f>IF(COUNTIFS('United Data'!$A$3:$A$3390,H$1,'United Data'!$C$3:$C$3390,$A371,'United Data'!$B$3:$B$3390,"&lt;&gt;Off-street")&gt;0,1,0)</f>
        <v>0</v>
      </c>
      <c r="I371">
        <f>IF(COUNTIFS('United Data'!$A$3:$A$3390,I$1,'United Data'!$C$3:$C$3390,$A371,'United Data'!$B$3:$B$3390,"&lt;&gt;Off-street")&gt;0,1,0)</f>
        <v>0</v>
      </c>
      <c r="J371">
        <f>IF(COUNTIFS('United Data'!$A$3:$A$3390,J$1,'United Data'!$C$3:$C$3390,$A371,'United Data'!$B$3:$B$3390,"&lt;&gt;Off-street")&gt;0,1,0)</f>
        <v>0</v>
      </c>
      <c r="K371">
        <f>IF(COUNTIFS('United Data'!$A$3:$A$3390,K$1,'United Data'!$C$3:$C$3390,$A371,'United Data'!$B$3:$B$3390,"&lt;&gt;Off-street")&gt;0,1,0)</f>
        <v>0</v>
      </c>
      <c r="L371">
        <f>IF(COUNTIFS('United Data'!$A$3:$A$3390,L$1,'United Data'!$C$3:$C$3390,$A371,'United Data'!$B$3:$B$3390,"&lt;&gt;Off-street")&gt;0,1,0)</f>
        <v>0</v>
      </c>
      <c r="M371">
        <f>IF(COUNTIFS('United Data'!$A$3:$A$3390,M$1,'United Data'!$C$3:$C$3390,$A371,'United Data'!$B$3:$B$3390,"&lt;&gt;Off-street")&gt;0,1,0)</f>
        <v>0</v>
      </c>
      <c r="N371">
        <f>IF(COUNTIFS('United Data'!$A$3:$A$3390,N$1,'United Data'!$C$3:$C$3390,$A371,'United Data'!$B$3:$B$3390,"&lt;&gt;Off-street")&gt;0,1,0)</f>
        <v>0</v>
      </c>
      <c r="O371">
        <f>IF(COUNTIFS('United Data'!$A$3:$A$3390,O$1,'United Data'!$C$3:$C$3390,$A371,'United Data'!$B$3:$B$3390,"&lt;&gt;Off-street")&gt;0,1,0)</f>
        <v>0</v>
      </c>
      <c r="P371">
        <f>IF(COUNTIFS('United Data'!$A$3:$A$3390,P$1,'United Data'!$C$3:$C$3390,$A371,'United Data'!$B$3:$B$3390,"&lt;&gt;Off-street")&gt;0,1,0)</f>
        <v>0</v>
      </c>
      <c r="Q371">
        <f>IF(COUNTIFS('United Data'!$A$3:$A$3390,Q$1,'United Data'!$C$3:$C$3390,$A371,'United Data'!$B$3:$B$3390,"&lt;&gt;Off-street")&gt;0,1,0)</f>
        <v>0</v>
      </c>
      <c r="R371">
        <f>IF(COUNTIFS('United Data'!$A$3:$A$3390,R$1,'United Data'!$C$3:$C$3390,$A371,'United Data'!$B$3:$B$3390,"&lt;&gt;Off-street")&gt;0,1,0)</f>
        <v>0</v>
      </c>
      <c r="S371">
        <f t="shared" si="10"/>
        <v>1</v>
      </c>
      <c r="T371">
        <f t="shared" si="11"/>
        <v>1</v>
      </c>
    </row>
    <row r="372" spans="1:20" x14ac:dyDescent="0.2">
      <c r="A372" t="s">
        <v>2050</v>
      </c>
      <c r="B372">
        <f>IF(COUNTIFS('United Data'!$A$3:$A$3390,B$1,'United Data'!$C$3:$C$3390,$A372,'United Data'!$B$3:$B$3390,"&lt;&gt;Off-street")&gt;0,1,0)</f>
        <v>0</v>
      </c>
      <c r="C372">
        <f>IF(COUNTIFS('United Data'!$A$3:$A$3390,C$1,'United Data'!$C$3:$C$3390,$A372,'United Data'!$B$3:$B$3390,"&lt;&gt;Off-street")&gt;0,1,0)</f>
        <v>0</v>
      </c>
      <c r="D372">
        <f>IF(COUNTIFS('United Data'!$A$3:$A$3390,D$1,'United Data'!$C$3:$C$3390,$A372,'United Data'!$B$3:$B$3390,"&lt;&gt;Off-street")&gt;0,1,0)</f>
        <v>0</v>
      </c>
      <c r="E372">
        <f>IF(COUNTIFS('United Data'!$A$3:$A$3390,E$1,'United Data'!$C$3:$C$3390,$A372,'United Data'!$B$3:$B$3390,"&lt;&gt;Off-street")&gt;0,1,0)</f>
        <v>0</v>
      </c>
      <c r="F372">
        <f>IF(COUNTIFS('United Data'!$A$3:$A$3390,F$1,'United Data'!$C$3:$C$3390,$A372,'United Data'!$B$3:$B$3390,"&lt;&gt;Off-street")&gt;0,1,0)</f>
        <v>0</v>
      </c>
      <c r="G372">
        <f>IF(COUNTIFS('United Data'!$A$3:$A$3390,G$1,'United Data'!$C$3:$C$3390,$A372,'United Data'!$B$3:$B$3390,"&lt;&gt;Off-street")&gt;0,1,0)</f>
        <v>0</v>
      </c>
      <c r="H372">
        <f>IF(COUNTIFS('United Data'!$A$3:$A$3390,H$1,'United Data'!$C$3:$C$3390,$A372,'United Data'!$B$3:$B$3390,"&lt;&gt;Off-street")&gt;0,1,0)</f>
        <v>1</v>
      </c>
      <c r="I372">
        <f>IF(COUNTIFS('United Data'!$A$3:$A$3390,I$1,'United Data'!$C$3:$C$3390,$A372,'United Data'!$B$3:$B$3390,"&lt;&gt;Off-street")&gt;0,1,0)</f>
        <v>0</v>
      </c>
      <c r="J372">
        <f>IF(COUNTIFS('United Data'!$A$3:$A$3390,J$1,'United Data'!$C$3:$C$3390,$A372,'United Data'!$B$3:$B$3390,"&lt;&gt;Off-street")&gt;0,1,0)</f>
        <v>0</v>
      </c>
      <c r="K372">
        <f>IF(COUNTIFS('United Data'!$A$3:$A$3390,K$1,'United Data'!$C$3:$C$3390,$A372,'United Data'!$B$3:$B$3390,"&lt;&gt;Off-street")&gt;0,1,0)</f>
        <v>0</v>
      </c>
      <c r="L372">
        <f>IF(COUNTIFS('United Data'!$A$3:$A$3390,L$1,'United Data'!$C$3:$C$3390,$A372,'United Data'!$B$3:$B$3390,"&lt;&gt;Off-street")&gt;0,1,0)</f>
        <v>0</v>
      </c>
      <c r="M372">
        <f>IF(COUNTIFS('United Data'!$A$3:$A$3390,M$1,'United Data'!$C$3:$C$3390,$A372,'United Data'!$B$3:$B$3390,"&lt;&gt;Off-street")&gt;0,1,0)</f>
        <v>0</v>
      </c>
      <c r="N372">
        <f>IF(COUNTIFS('United Data'!$A$3:$A$3390,N$1,'United Data'!$C$3:$C$3390,$A372,'United Data'!$B$3:$B$3390,"&lt;&gt;Off-street")&gt;0,1,0)</f>
        <v>0</v>
      </c>
      <c r="O372">
        <f>IF(COUNTIFS('United Data'!$A$3:$A$3390,O$1,'United Data'!$C$3:$C$3390,$A372,'United Data'!$B$3:$B$3390,"&lt;&gt;Off-street")&gt;0,1,0)</f>
        <v>0</v>
      </c>
      <c r="P372">
        <f>IF(COUNTIFS('United Data'!$A$3:$A$3390,P$1,'United Data'!$C$3:$C$3390,$A372,'United Data'!$B$3:$B$3390,"&lt;&gt;Off-street")&gt;0,1,0)</f>
        <v>0</v>
      </c>
      <c r="Q372">
        <f>IF(COUNTIFS('United Data'!$A$3:$A$3390,Q$1,'United Data'!$C$3:$C$3390,$A372,'United Data'!$B$3:$B$3390,"&lt;&gt;Off-street")&gt;0,1,0)</f>
        <v>0</v>
      </c>
      <c r="R372">
        <f>IF(COUNTIFS('United Data'!$A$3:$A$3390,R$1,'United Data'!$C$3:$C$3390,$A372,'United Data'!$B$3:$B$3390,"&lt;&gt;Off-street")&gt;0,1,0)</f>
        <v>0</v>
      </c>
      <c r="S372">
        <f t="shared" si="10"/>
        <v>1</v>
      </c>
      <c r="T372">
        <f t="shared" si="11"/>
        <v>1</v>
      </c>
    </row>
    <row r="373" spans="1:20" x14ac:dyDescent="0.2">
      <c r="A373" t="s">
        <v>472</v>
      </c>
      <c r="B373">
        <f>IF(COUNTIFS('United Data'!$A$3:$A$3390,B$1,'United Data'!$C$3:$C$3390,$A373,'United Data'!$B$3:$B$3390,"&lt;&gt;Off-street")&gt;0,1,0)</f>
        <v>0</v>
      </c>
      <c r="C373">
        <f>IF(COUNTIFS('United Data'!$A$3:$A$3390,C$1,'United Data'!$C$3:$C$3390,$A373,'United Data'!$B$3:$B$3390,"&lt;&gt;Off-street")&gt;0,1,0)</f>
        <v>0</v>
      </c>
      <c r="D373">
        <f>IF(COUNTIFS('United Data'!$A$3:$A$3390,D$1,'United Data'!$C$3:$C$3390,$A373,'United Data'!$B$3:$B$3390,"&lt;&gt;Off-street")&gt;0,1,0)</f>
        <v>0</v>
      </c>
      <c r="E373">
        <f>IF(COUNTIFS('United Data'!$A$3:$A$3390,E$1,'United Data'!$C$3:$C$3390,$A373,'United Data'!$B$3:$B$3390,"&lt;&gt;Off-street")&gt;0,1,0)</f>
        <v>1</v>
      </c>
      <c r="F373">
        <f>IF(COUNTIFS('United Data'!$A$3:$A$3390,F$1,'United Data'!$C$3:$C$3390,$A373,'United Data'!$B$3:$B$3390,"&lt;&gt;Off-street")&gt;0,1,0)</f>
        <v>0</v>
      </c>
      <c r="G373">
        <f>IF(COUNTIFS('United Data'!$A$3:$A$3390,G$1,'United Data'!$C$3:$C$3390,$A373,'United Data'!$B$3:$B$3390,"&lt;&gt;Off-street")&gt;0,1,0)</f>
        <v>1</v>
      </c>
      <c r="H373">
        <f>IF(COUNTIFS('United Data'!$A$3:$A$3390,H$1,'United Data'!$C$3:$C$3390,$A373,'United Data'!$B$3:$B$3390,"&lt;&gt;Off-street")&gt;0,1,0)</f>
        <v>0</v>
      </c>
      <c r="I373">
        <f>IF(COUNTIFS('United Data'!$A$3:$A$3390,I$1,'United Data'!$C$3:$C$3390,$A373,'United Data'!$B$3:$B$3390,"&lt;&gt;Off-street")&gt;0,1,0)</f>
        <v>1</v>
      </c>
      <c r="J373">
        <f>IF(COUNTIFS('United Data'!$A$3:$A$3390,J$1,'United Data'!$C$3:$C$3390,$A373,'United Data'!$B$3:$B$3390,"&lt;&gt;Off-street")&gt;0,1,0)</f>
        <v>0</v>
      </c>
      <c r="K373">
        <f>IF(COUNTIFS('United Data'!$A$3:$A$3390,K$1,'United Data'!$C$3:$C$3390,$A373,'United Data'!$B$3:$B$3390,"&lt;&gt;Off-street")&gt;0,1,0)</f>
        <v>0</v>
      </c>
      <c r="L373">
        <f>IF(COUNTIFS('United Data'!$A$3:$A$3390,L$1,'United Data'!$C$3:$C$3390,$A373,'United Data'!$B$3:$B$3390,"&lt;&gt;Off-street")&gt;0,1,0)</f>
        <v>0</v>
      </c>
      <c r="M373">
        <f>IF(COUNTIFS('United Data'!$A$3:$A$3390,M$1,'United Data'!$C$3:$C$3390,$A373,'United Data'!$B$3:$B$3390,"&lt;&gt;Off-street")&gt;0,1,0)</f>
        <v>1</v>
      </c>
      <c r="N373">
        <f>IF(COUNTIFS('United Data'!$A$3:$A$3390,N$1,'United Data'!$C$3:$C$3390,$A373,'United Data'!$B$3:$B$3390,"&lt;&gt;Off-street")&gt;0,1,0)</f>
        <v>1</v>
      </c>
      <c r="O373">
        <f>IF(COUNTIFS('United Data'!$A$3:$A$3390,O$1,'United Data'!$C$3:$C$3390,$A373,'United Data'!$B$3:$B$3390,"&lt;&gt;Off-street")&gt;0,1,0)</f>
        <v>0</v>
      </c>
      <c r="P373">
        <f>IF(COUNTIFS('United Data'!$A$3:$A$3390,P$1,'United Data'!$C$3:$C$3390,$A373,'United Data'!$B$3:$B$3390,"&lt;&gt;Off-street")&gt;0,1,0)</f>
        <v>0</v>
      </c>
      <c r="Q373">
        <f>IF(COUNTIFS('United Data'!$A$3:$A$3390,Q$1,'United Data'!$C$3:$C$3390,$A373,'United Data'!$B$3:$B$3390,"&lt;&gt;Off-street")&gt;0,1,0)</f>
        <v>0</v>
      </c>
      <c r="R373">
        <f>IF(COUNTIFS('United Data'!$A$3:$A$3390,R$1,'United Data'!$C$3:$C$3390,$A373,'United Data'!$B$3:$B$3390,"&lt;&gt;Off-street")&gt;0,1,0)</f>
        <v>0</v>
      </c>
      <c r="S373">
        <f t="shared" si="10"/>
        <v>5</v>
      </c>
      <c r="T373">
        <f t="shared" si="11"/>
        <v>4</v>
      </c>
    </row>
    <row r="374" spans="1:20" x14ac:dyDescent="0.2">
      <c r="A374" t="s">
        <v>473</v>
      </c>
      <c r="B374">
        <f>IF(COUNTIFS('United Data'!$A$3:$A$3390,B$1,'United Data'!$C$3:$C$3390,$A374,'United Data'!$B$3:$B$3390,"&lt;&gt;Off-street")&gt;0,1,0)</f>
        <v>0</v>
      </c>
      <c r="C374">
        <f>IF(COUNTIFS('United Data'!$A$3:$A$3390,C$1,'United Data'!$C$3:$C$3390,$A374,'United Data'!$B$3:$B$3390,"&lt;&gt;Off-street")&gt;0,1,0)</f>
        <v>0</v>
      </c>
      <c r="D374">
        <f>IF(COUNTIFS('United Data'!$A$3:$A$3390,D$1,'United Data'!$C$3:$C$3390,$A374,'United Data'!$B$3:$B$3390,"&lt;&gt;Off-street")&gt;0,1,0)</f>
        <v>1</v>
      </c>
      <c r="E374">
        <f>IF(COUNTIFS('United Data'!$A$3:$A$3390,E$1,'United Data'!$C$3:$C$3390,$A374,'United Data'!$B$3:$B$3390,"&lt;&gt;Off-street")&gt;0,1,0)</f>
        <v>0</v>
      </c>
      <c r="F374">
        <f>IF(COUNTIFS('United Data'!$A$3:$A$3390,F$1,'United Data'!$C$3:$C$3390,$A374,'United Data'!$B$3:$B$3390,"&lt;&gt;Off-street")&gt;0,1,0)</f>
        <v>1</v>
      </c>
      <c r="G374">
        <f>IF(COUNTIFS('United Data'!$A$3:$A$3390,G$1,'United Data'!$C$3:$C$3390,$A374,'United Data'!$B$3:$B$3390,"&lt;&gt;Off-street")&gt;0,1,0)</f>
        <v>1</v>
      </c>
      <c r="H374">
        <f>IF(COUNTIFS('United Data'!$A$3:$A$3390,H$1,'United Data'!$C$3:$C$3390,$A374,'United Data'!$B$3:$B$3390,"&lt;&gt;Off-street")&gt;0,1,0)</f>
        <v>0</v>
      </c>
      <c r="I374">
        <f>IF(COUNTIFS('United Data'!$A$3:$A$3390,I$1,'United Data'!$C$3:$C$3390,$A374,'United Data'!$B$3:$B$3390,"&lt;&gt;Off-street")&gt;0,1,0)</f>
        <v>1</v>
      </c>
      <c r="J374">
        <f>IF(COUNTIFS('United Data'!$A$3:$A$3390,J$1,'United Data'!$C$3:$C$3390,$A374,'United Data'!$B$3:$B$3390,"&lt;&gt;Off-street")&gt;0,1,0)</f>
        <v>1</v>
      </c>
      <c r="K374">
        <f>IF(COUNTIFS('United Data'!$A$3:$A$3390,K$1,'United Data'!$C$3:$C$3390,$A374,'United Data'!$B$3:$B$3390,"&lt;&gt;Off-street")&gt;0,1,0)</f>
        <v>0</v>
      </c>
      <c r="L374">
        <f>IF(COUNTIFS('United Data'!$A$3:$A$3390,L$1,'United Data'!$C$3:$C$3390,$A374,'United Data'!$B$3:$B$3390,"&lt;&gt;Off-street")&gt;0,1,0)</f>
        <v>1</v>
      </c>
      <c r="M374">
        <f>IF(COUNTIFS('United Data'!$A$3:$A$3390,M$1,'United Data'!$C$3:$C$3390,$A374,'United Data'!$B$3:$B$3390,"&lt;&gt;Off-street")&gt;0,1,0)</f>
        <v>0</v>
      </c>
      <c r="N374">
        <f>IF(COUNTIFS('United Data'!$A$3:$A$3390,N$1,'United Data'!$C$3:$C$3390,$A374,'United Data'!$B$3:$B$3390,"&lt;&gt;Off-street")&gt;0,1,0)</f>
        <v>0</v>
      </c>
      <c r="O374">
        <f>IF(COUNTIFS('United Data'!$A$3:$A$3390,O$1,'United Data'!$C$3:$C$3390,$A374,'United Data'!$B$3:$B$3390,"&lt;&gt;Off-street")&gt;0,1,0)</f>
        <v>0</v>
      </c>
      <c r="P374">
        <f>IF(COUNTIFS('United Data'!$A$3:$A$3390,P$1,'United Data'!$C$3:$C$3390,$A374,'United Data'!$B$3:$B$3390,"&lt;&gt;Off-street")&gt;0,1,0)</f>
        <v>0</v>
      </c>
      <c r="Q374">
        <f>IF(COUNTIFS('United Data'!$A$3:$A$3390,Q$1,'United Data'!$C$3:$C$3390,$A374,'United Data'!$B$3:$B$3390,"&lt;&gt;Off-street")&gt;0,1,0)</f>
        <v>0</v>
      </c>
      <c r="R374">
        <f>IF(COUNTIFS('United Data'!$A$3:$A$3390,R$1,'United Data'!$C$3:$C$3390,$A374,'United Data'!$B$3:$B$3390,"&lt;&gt;Off-street")&gt;0,1,0)</f>
        <v>0</v>
      </c>
      <c r="S374">
        <f t="shared" si="10"/>
        <v>6</v>
      </c>
      <c r="T374">
        <f t="shared" si="11"/>
        <v>4</v>
      </c>
    </row>
    <row r="375" spans="1:20" x14ac:dyDescent="0.2">
      <c r="A375" t="s">
        <v>474</v>
      </c>
      <c r="B375">
        <f>IF(COUNTIFS('United Data'!$A$3:$A$3390,B$1,'United Data'!$C$3:$C$3390,$A375,'United Data'!$B$3:$B$3390,"&lt;&gt;Off-street")&gt;0,1,0)</f>
        <v>0</v>
      </c>
      <c r="C375">
        <f>IF(COUNTIFS('United Data'!$A$3:$A$3390,C$1,'United Data'!$C$3:$C$3390,$A375,'United Data'!$B$3:$B$3390,"&lt;&gt;Off-street")&gt;0,1,0)</f>
        <v>0</v>
      </c>
      <c r="D375">
        <f>IF(COUNTIFS('United Data'!$A$3:$A$3390,D$1,'United Data'!$C$3:$C$3390,$A375,'United Data'!$B$3:$B$3390,"&lt;&gt;Off-street")&gt;0,1,0)</f>
        <v>0</v>
      </c>
      <c r="E375">
        <f>IF(COUNTIFS('United Data'!$A$3:$A$3390,E$1,'United Data'!$C$3:$C$3390,$A375,'United Data'!$B$3:$B$3390,"&lt;&gt;Off-street")&gt;0,1,0)</f>
        <v>0</v>
      </c>
      <c r="F375">
        <f>IF(COUNTIFS('United Data'!$A$3:$A$3390,F$1,'United Data'!$C$3:$C$3390,$A375,'United Data'!$B$3:$B$3390,"&lt;&gt;Off-street")&gt;0,1,0)</f>
        <v>0</v>
      </c>
      <c r="G375">
        <f>IF(COUNTIFS('United Data'!$A$3:$A$3390,G$1,'United Data'!$C$3:$C$3390,$A375,'United Data'!$B$3:$B$3390,"&lt;&gt;Off-street")&gt;0,1,0)</f>
        <v>1</v>
      </c>
      <c r="H375">
        <f>IF(COUNTIFS('United Data'!$A$3:$A$3390,H$1,'United Data'!$C$3:$C$3390,$A375,'United Data'!$B$3:$B$3390,"&lt;&gt;Off-street")&gt;0,1,0)</f>
        <v>1</v>
      </c>
      <c r="I375">
        <f>IF(COUNTIFS('United Data'!$A$3:$A$3390,I$1,'United Data'!$C$3:$C$3390,$A375,'United Data'!$B$3:$B$3390,"&lt;&gt;Off-street")&gt;0,1,0)</f>
        <v>1</v>
      </c>
      <c r="J375">
        <f>IF(COUNTIFS('United Data'!$A$3:$A$3390,J$1,'United Data'!$C$3:$C$3390,$A375,'United Data'!$B$3:$B$3390,"&lt;&gt;Off-street")&gt;0,1,0)</f>
        <v>0</v>
      </c>
      <c r="K375">
        <f>IF(COUNTIFS('United Data'!$A$3:$A$3390,K$1,'United Data'!$C$3:$C$3390,$A375,'United Data'!$B$3:$B$3390,"&lt;&gt;Off-street")&gt;0,1,0)</f>
        <v>0</v>
      </c>
      <c r="L375">
        <f>IF(COUNTIFS('United Data'!$A$3:$A$3390,L$1,'United Data'!$C$3:$C$3390,$A375,'United Data'!$B$3:$B$3390,"&lt;&gt;Off-street")&gt;0,1,0)</f>
        <v>0</v>
      </c>
      <c r="M375">
        <f>IF(COUNTIFS('United Data'!$A$3:$A$3390,M$1,'United Data'!$C$3:$C$3390,$A375,'United Data'!$B$3:$B$3390,"&lt;&gt;Off-street")&gt;0,1,0)</f>
        <v>1</v>
      </c>
      <c r="N375">
        <f>IF(COUNTIFS('United Data'!$A$3:$A$3390,N$1,'United Data'!$C$3:$C$3390,$A375,'United Data'!$B$3:$B$3390,"&lt;&gt;Off-street")&gt;0,1,0)</f>
        <v>1</v>
      </c>
      <c r="O375">
        <f>IF(COUNTIFS('United Data'!$A$3:$A$3390,O$1,'United Data'!$C$3:$C$3390,$A375,'United Data'!$B$3:$B$3390,"&lt;&gt;Off-street")&gt;0,1,0)</f>
        <v>0</v>
      </c>
      <c r="P375">
        <f>IF(COUNTIFS('United Data'!$A$3:$A$3390,P$1,'United Data'!$C$3:$C$3390,$A375,'United Data'!$B$3:$B$3390,"&lt;&gt;Off-street")&gt;0,1,0)</f>
        <v>0</v>
      </c>
      <c r="Q375">
        <f>IF(COUNTIFS('United Data'!$A$3:$A$3390,Q$1,'United Data'!$C$3:$C$3390,$A375,'United Data'!$B$3:$B$3390,"&lt;&gt;Off-street")&gt;0,1,0)</f>
        <v>1</v>
      </c>
      <c r="R375">
        <f>IF(COUNTIFS('United Data'!$A$3:$A$3390,R$1,'United Data'!$C$3:$C$3390,$A375,'United Data'!$B$3:$B$3390,"&lt;&gt;Off-street")&gt;0,1,0)</f>
        <v>1</v>
      </c>
      <c r="S375">
        <f t="shared" si="10"/>
        <v>7</v>
      </c>
      <c r="T375">
        <f t="shared" si="11"/>
        <v>3</v>
      </c>
    </row>
    <row r="376" spans="1:20" x14ac:dyDescent="0.2">
      <c r="A376" t="s">
        <v>475</v>
      </c>
      <c r="B376">
        <f>IF(COUNTIFS('United Data'!$A$3:$A$3390,B$1,'United Data'!$C$3:$C$3390,$A376,'United Data'!$B$3:$B$3390,"&lt;&gt;Off-street")&gt;0,1,0)</f>
        <v>0</v>
      </c>
      <c r="C376">
        <f>IF(COUNTIFS('United Data'!$A$3:$A$3390,C$1,'United Data'!$C$3:$C$3390,$A376,'United Data'!$B$3:$B$3390,"&lt;&gt;Off-street")&gt;0,1,0)</f>
        <v>0</v>
      </c>
      <c r="D376">
        <f>IF(COUNTIFS('United Data'!$A$3:$A$3390,D$1,'United Data'!$C$3:$C$3390,$A376,'United Data'!$B$3:$B$3390,"&lt;&gt;Off-street")&gt;0,1,0)</f>
        <v>1</v>
      </c>
      <c r="E376">
        <f>IF(COUNTIFS('United Data'!$A$3:$A$3390,E$1,'United Data'!$C$3:$C$3390,$A376,'United Data'!$B$3:$B$3390,"&lt;&gt;Off-street")&gt;0,1,0)</f>
        <v>1</v>
      </c>
      <c r="F376">
        <f>IF(COUNTIFS('United Data'!$A$3:$A$3390,F$1,'United Data'!$C$3:$C$3390,$A376,'United Data'!$B$3:$B$3390,"&lt;&gt;Off-street")&gt;0,1,0)</f>
        <v>0</v>
      </c>
      <c r="G376">
        <f>IF(COUNTIFS('United Data'!$A$3:$A$3390,G$1,'United Data'!$C$3:$C$3390,$A376,'United Data'!$B$3:$B$3390,"&lt;&gt;Off-street")&gt;0,1,0)</f>
        <v>0</v>
      </c>
      <c r="H376">
        <f>IF(COUNTIFS('United Data'!$A$3:$A$3390,H$1,'United Data'!$C$3:$C$3390,$A376,'United Data'!$B$3:$B$3390,"&lt;&gt;Off-street")&gt;0,1,0)</f>
        <v>1</v>
      </c>
      <c r="I376">
        <f>IF(COUNTIFS('United Data'!$A$3:$A$3390,I$1,'United Data'!$C$3:$C$3390,$A376,'United Data'!$B$3:$B$3390,"&lt;&gt;Off-street")&gt;0,1,0)</f>
        <v>1</v>
      </c>
      <c r="J376">
        <f>IF(COUNTIFS('United Data'!$A$3:$A$3390,J$1,'United Data'!$C$3:$C$3390,$A376,'United Data'!$B$3:$B$3390,"&lt;&gt;Off-street")&gt;0,1,0)</f>
        <v>0</v>
      </c>
      <c r="K376">
        <f>IF(COUNTIFS('United Data'!$A$3:$A$3390,K$1,'United Data'!$C$3:$C$3390,$A376,'United Data'!$B$3:$B$3390,"&lt;&gt;Off-street")&gt;0,1,0)</f>
        <v>0</v>
      </c>
      <c r="L376">
        <f>IF(COUNTIFS('United Data'!$A$3:$A$3390,L$1,'United Data'!$C$3:$C$3390,$A376,'United Data'!$B$3:$B$3390,"&lt;&gt;Off-street")&gt;0,1,0)</f>
        <v>0</v>
      </c>
      <c r="M376">
        <f>IF(COUNTIFS('United Data'!$A$3:$A$3390,M$1,'United Data'!$C$3:$C$3390,$A376,'United Data'!$B$3:$B$3390,"&lt;&gt;Off-street")&gt;0,1,0)</f>
        <v>0</v>
      </c>
      <c r="N376">
        <f>IF(COUNTIFS('United Data'!$A$3:$A$3390,N$1,'United Data'!$C$3:$C$3390,$A376,'United Data'!$B$3:$B$3390,"&lt;&gt;Off-street")&gt;0,1,0)</f>
        <v>0</v>
      </c>
      <c r="O376">
        <f>IF(COUNTIFS('United Data'!$A$3:$A$3390,O$1,'United Data'!$C$3:$C$3390,$A376,'United Data'!$B$3:$B$3390,"&lt;&gt;Off-street")&gt;0,1,0)</f>
        <v>0</v>
      </c>
      <c r="P376">
        <f>IF(COUNTIFS('United Data'!$A$3:$A$3390,P$1,'United Data'!$C$3:$C$3390,$A376,'United Data'!$B$3:$B$3390,"&lt;&gt;Off-street")&gt;0,1,0)</f>
        <v>0</v>
      </c>
      <c r="Q376">
        <f>IF(COUNTIFS('United Data'!$A$3:$A$3390,Q$1,'United Data'!$C$3:$C$3390,$A376,'United Data'!$B$3:$B$3390,"&lt;&gt;Off-street")&gt;0,1,0)</f>
        <v>0</v>
      </c>
      <c r="R376">
        <f>IF(COUNTIFS('United Data'!$A$3:$A$3390,R$1,'United Data'!$C$3:$C$3390,$A376,'United Data'!$B$3:$B$3390,"&lt;&gt;Off-street")&gt;0,1,0)</f>
        <v>0</v>
      </c>
      <c r="S376">
        <f t="shared" si="10"/>
        <v>4</v>
      </c>
      <c r="T376">
        <f t="shared" si="11"/>
        <v>2</v>
      </c>
    </row>
    <row r="377" spans="1:20" x14ac:dyDescent="0.2">
      <c r="A377" t="s">
        <v>476</v>
      </c>
      <c r="B377">
        <f>IF(COUNTIFS('United Data'!$A$3:$A$3390,B$1,'United Data'!$C$3:$C$3390,$A377,'United Data'!$B$3:$B$3390,"&lt;&gt;Off-street")&gt;0,1,0)</f>
        <v>0</v>
      </c>
      <c r="C377">
        <f>IF(COUNTIFS('United Data'!$A$3:$A$3390,C$1,'United Data'!$C$3:$C$3390,$A377,'United Data'!$B$3:$B$3390,"&lt;&gt;Off-street")&gt;0,1,0)</f>
        <v>0</v>
      </c>
      <c r="D377">
        <f>IF(COUNTIFS('United Data'!$A$3:$A$3390,D$1,'United Data'!$C$3:$C$3390,$A377,'United Data'!$B$3:$B$3390,"&lt;&gt;Off-street")&gt;0,1,0)</f>
        <v>0</v>
      </c>
      <c r="E377">
        <f>IF(COUNTIFS('United Data'!$A$3:$A$3390,E$1,'United Data'!$C$3:$C$3390,$A377,'United Data'!$B$3:$B$3390,"&lt;&gt;Off-street")&gt;0,1,0)</f>
        <v>0</v>
      </c>
      <c r="F377">
        <f>IF(COUNTIFS('United Data'!$A$3:$A$3390,F$1,'United Data'!$C$3:$C$3390,$A377,'United Data'!$B$3:$B$3390,"&lt;&gt;Off-street")&gt;0,1,0)</f>
        <v>0</v>
      </c>
      <c r="G377">
        <f>IF(COUNTIFS('United Data'!$A$3:$A$3390,G$1,'United Data'!$C$3:$C$3390,$A377,'United Data'!$B$3:$B$3390,"&lt;&gt;Off-street")&gt;0,1,0)</f>
        <v>0</v>
      </c>
      <c r="H377">
        <f>IF(COUNTIFS('United Data'!$A$3:$A$3390,H$1,'United Data'!$C$3:$C$3390,$A377,'United Data'!$B$3:$B$3390,"&lt;&gt;Off-street")&gt;0,1,0)</f>
        <v>0</v>
      </c>
      <c r="I377">
        <f>IF(COUNTIFS('United Data'!$A$3:$A$3390,I$1,'United Data'!$C$3:$C$3390,$A377,'United Data'!$B$3:$B$3390,"&lt;&gt;Off-street")&gt;0,1,0)</f>
        <v>1</v>
      </c>
      <c r="J377">
        <f>IF(COUNTIFS('United Data'!$A$3:$A$3390,J$1,'United Data'!$C$3:$C$3390,$A377,'United Data'!$B$3:$B$3390,"&lt;&gt;Off-street")&gt;0,1,0)</f>
        <v>0</v>
      </c>
      <c r="K377">
        <f>IF(COUNTIFS('United Data'!$A$3:$A$3390,K$1,'United Data'!$C$3:$C$3390,$A377,'United Data'!$B$3:$B$3390,"&lt;&gt;Off-street")&gt;0,1,0)</f>
        <v>0</v>
      </c>
      <c r="L377">
        <f>IF(COUNTIFS('United Data'!$A$3:$A$3390,L$1,'United Data'!$C$3:$C$3390,$A377,'United Data'!$B$3:$B$3390,"&lt;&gt;Off-street")&gt;0,1,0)</f>
        <v>0</v>
      </c>
      <c r="M377">
        <f>IF(COUNTIFS('United Data'!$A$3:$A$3390,M$1,'United Data'!$C$3:$C$3390,$A377,'United Data'!$B$3:$B$3390,"&lt;&gt;Off-street")&gt;0,1,0)</f>
        <v>0</v>
      </c>
      <c r="N377">
        <f>IF(COUNTIFS('United Data'!$A$3:$A$3390,N$1,'United Data'!$C$3:$C$3390,$A377,'United Data'!$B$3:$B$3390,"&lt;&gt;Off-street")&gt;0,1,0)</f>
        <v>0</v>
      </c>
      <c r="O377">
        <f>IF(COUNTIFS('United Data'!$A$3:$A$3390,O$1,'United Data'!$C$3:$C$3390,$A377,'United Data'!$B$3:$B$3390,"&lt;&gt;Off-street")&gt;0,1,0)</f>
        <v>0</v>
      </c>
      <c r="P377">
        <f>IF(COUNTIFS('United Data'!$A$3:$A$3390,P$1,'United Data'!$C$3:$C$3390,$A377,'United Data'!$B$3:$B$3390,"&lt;&gt;Off-street")&gt;0,1,0)</f>
        <v>0</v>
      </c>
      <c r="Q377">
        <f>IF(COUNTIFS('United Data'!$A$3:$A$3390,Q$1,'United Data'!$C$3:$C$3390,$A377,'United Data'!$B$3:$B$3390,"&lt;&gt;Off-street")&gt;0,1,0)</f>
        <v>0</v>
      </c>
      <c r="R377">
        <f>IF(COUNTIFS('United Data'!$A$3:$A$3390,R$1,'United Data'!$C$3:$C$3390,$A377,'United Data'!$B$3:$B$3390,"&lt;&gt;Off-street")&gt;0,1,0)</f>
        <v>0</v>
      </c>
      <c r="S377">
        <f t="shared" si="10"/>
        <v>1</v>
      </c>
      <c r="T377">
        <f t="shared" si="11"/>
        <v>1</v>
      </c>
    </row>
    <row r="378" spans="1:20" x14ac:dyDescent="0.2">
      <c r="A378" t="s">
        <v>477</v>
      </c>
      <c r="B378">
        <f>IF(COUNTIFS('United Data'!$A$3:$A$3390,B$1,'United Data'!$C$3:$C$3390,$A378,'United Data'!$B$3:$B$3390,"&lt;&gt;Off-street")&gt;0,1,0)</f>
        <v>0</v>
      </c>
      <c r="C378">
        <f>IF(COUNTIFS('United Data'!$A$3:$A$3390,C$1,'United Data'!$C$3:$C$3390,$A378,'United Data'!$B$3:$B$3390,"&lt;&gt;Off-street")&gt;0,1,0)</f>
        <v>0</v>
      </c>
      <c r="D378">
        <f>IF(COUNTIFS('United Data'!$A$3:$A$3390,D$1,'United Data'!$C$3:$C$3390,$A378,'United Data'!$B$3:$B$3390,"&lt;&gt;Off-street")&gt;0,1,0)</f>
        <v>1</v>
      </c>
      <c r="E378">
        <f>IF(COUNTIFS('United Data'!$A$3:$A$3390,E$1,'United Data'!$C$3:$C$3390,$A378,'United Data'!$B$3:$B$3390,"&lt;&gt;Off-street")&gt;0,1,0)</f>
        <v>0</v>
      </c>
      <c r="F378">
        <f>IF(COUNTIFS('United Data'!$A$3:$A$3390,F$1,'United Data'!$C$3:$C$3390,$A378,'United Data'!$B$3:$B$3390,"&lt;&gt;Off-street")&gt;0,1,0)</f>
        <v>0</v>
      </c>
      <c r="G378">
        <f>IF(COUNTIFS('United Data'!$A$3:$A$3390,G$1,'United Data'!$C$3:$C$3390,$A378,'United Data'!$B$3:$B$3390,"&lt;&gt;Off-street")&gt;0,1,0)</f>
        <v>1</v>
      </c>
      <c r="H378">
        <f>IF(COUNTIFS('United Data'!$A$3:$A$3390,H$1,'United Data'!$C$3:$C$3390,$A378,'United Data'!$B$3:$B$3390,"&lt;&gt;Off-street")&gt;0,1,0)</f>
        <v>0</v>
      </c>
      <c r="I378">
        <f>IF(COUNTIFS('United Data'!$A$3:$A$3390,I$1,'United Data'!$C$3:$C$3390,$A378,'United Data'!$B$3:$B$3390,"&lt;&gt;Off-street")&gt;0,1,0)</f>
        <v>1</v>
      </c>
      <c r="J378">
        <f>IF(COUNTIFS('United Data'!$A$3:$A$3390,J$1,'United Data'!$C$3:$C$3390,$A378,'United Data'!$B$3:$B$3390,"&lt;&gt;Off-street")&gt;0,1,0)</f>
        <v>0</v>
      </c>
      <c r="K378">
        <f>IF(COUNTIFS('United Data'!$A$3:$A$3390,K$1,'United Data'!$C$3:$C$3390,$A378,'United Data'!$B$3:$B$3390,"&lt;&gt;Off-street")&gt;0,1,0)</f>
        <v>0</v>
      </c>
      <c r="L378">
        <f>IF(COUNTIFS('United Data'!$A$3:$A$3390,L$1,'United Data'!$C$3:$C$3390,$A378,'United Data'!$B$3:$B$3390,"&lt;&gt;Off-street")&gt;0,1,0)</f>
        <v>0</v>
      </c>
      <c r="M378">
        <f>IF(COUNTIFS('United Data'!$A$3:$A$3390,M$1,'United Data'!$C$3:$C$3390,$A378,'United Data'!$B$3:$B$3390,"&lt;&gt;Off-street")&gt;0,1,0)</f>
        <v>0</v>
      </c>
      <c r="N378">
        <f>IF(COUNTIFS('United Data'!$A$3:$A$3390,N$1,'United Data'!$C$3:$C$3390,$A378,'United Data'!$B$3:$B$3390,"&lt;&gt;Off-street")&gt;0,1,0)</f>
        <v>0</v>
      </c>
      <c r="O378">
        <f>IF(COUNTIFS('United Data'!$A$3:$A$3390,O$1,'United Data'!$C$3:$C$3390,$A378,'United Data'!$B$3:$B$3390,"&lt;&gt;Off-street")&gt;0,1,0)</f>
        <v>0</v>
      </c>
      <c r="P378">
        <f>IF(COUNTIFS('United Data'!$A$3:$A$3390,P$1,'United Data'!$C$3:$C$3390,$A378,'United Data'!$B$3:$B$3390,"&lt;&gt;Off-street")&gt;0,1,0)</f>
        <v>0</v>
      </c>
      <c r="Q378">
        <f>IF(COUNTIFS('United Data'!$A$3:$A$3390,Q$1,'United Data'!$C$3:$C$3390,$A378,'United Data'!$B$3:$B$3390,"&lt;&gt;Off-street")&gt;0,1,0)</f>
        <v>0</v>
      </c>
      <c r="R378">
        <f>IF(COUNTIFS('United Data'!$A$3:$A$3390,R$1,'United Data'!$C$3:$C$3390,$A378,'United Data'!$B$3:$B$3390,"&lt;&gt;Off-street")&gt;0,1,0)</f>
        <v>0</v>
      </c>
      <c r="S378">
        <f t="shared" si="10"/>
        <v>3</v>
      </c>
      <c r="T378">
        <f t="shared" si="11"/>
        <v>3</v>
      </c>
    </row>
    <row r="379" spans="1:20" x14ac:dyDescent="0.2">
      <c r="A379" t="s">
        <v>478</v>
      </c>
      <c r="B379">
        <f>IF(COUNTIFS('United Data'!$A$3:$A$3390,B$1,'United Data'!$C$3:$C$3390,$A379,'United Data'!$B$3:$B$3390,"&lt;&gt;Off-street")&gt;0,1,0)</f>
        <v>0</v>
      </c>
      <c r="C379">
        <f>IF(COUNTIFS('United Data'!$A$3:$A$3390,C$1,'United Data'!$C$3:$C$3390,$A379,'United Data'!$B$3:$B$3390,"&lt;&gt;Off-street")&gt;0,1,0)</f>
        <v>0</v>
      </c>
      <c r="D379">
        <f>IF(COUNTIFS('United Data'!$A$3:$A$3390,D$1,'United Data'!$C$3:$C$3390,$A379,'United Data'!$B$3:$B$3390,"&lt;&gt;Off-street")&gt;0,1,0)</f>
        <v>0</v>
      </c>
      <c r="E379">
        <f>IF(COUNTIFS('United Data'!$A$3:$A$3390,E$1,'United Data'!$C$3:$C$3390,$A379,'United Data'!$B$3:$B$3390,"&lt;&gt;Off-street")&gt;0,1,0)</f>
        <v>0</v>
      </c>
      <c r="F379">
        <f>IF(COUNTIFS('United Data'!$A$3:$A$3390,F$1,'United Data'!$C$3:$C$3390,$A379,'United Data'!$B$3:$B$3390,"&lt;&gt;Off-street")&gt;0,1,0)</f>
        <v>0</v>
      </c>
      <c r="G379">
        <f>IF(COUNTIFS('United Data'!$A$3:$A$3390,G$1,'United Data'!$C$3:$C$3390,$A379,'United Data'!$B$3:$B$3390,"&lt;&gt;Off-street")&gt;0,1,0)</f>
        <v>0</v>
      </c>
      <c r="H379">
        <f>IF(COUNTIFS('United Data'!$A$3:$A$3390,H$1,'United Data'!$C$3:$C$3390,$A379,'United Data'!$B$3:$B$3390,"&lt;&gt;Off-street")&gt;0,1,0)</f>
        <v>0</v>
      </c>
      <c r="I379">
        <f>IF(COUNTIFS('United Data'!$A$3:$A$3390,I$1,'United Data'!$C$3:$C$3390,$A379,'United Data'!$B$3:$B$3390,"&lt;&gt;Off-street")&gt;0,1,0)</f>
        <v>1</v>
      </c>
      <c r="J379">
        <f>IF(COUNTIFS('United Data'!$A$3:$A$3390,J$1,'United Data'!$C$3:$C$3390,$A379,'United Data'!$B$3:$B$3390,"&lt;&gt;Off-street")&gt;0,1,0)</f>
        <v>0</v>
      </c>
      <c r="K379">
        <f>IF(COUNTIFS('United Data'!$A$3:$A$3390,K$1,'United Data'!$C$3:$C$3390,$A379,'United Data'!$B$3:$B$3390,"&lt;&gt;Off-street")&gt;0,1,0)</f>
        <v>0</v>
      </c>
      <c r="L379">
        <f>IF(COUNTIFS('United Data'!$A$3:$A$3390,L$1,'United Data'!$C$3:$C$3390,$A379,'United Data'!$B$3:$B$3390,"&lt;&gt;Off-street")&gt;0,1,0)</f>
        <v>1</v>
      </c>
      <c r="M379">
        <f>IF(COUNTIFS('United Data'!$A$3:$A$3390,M$1,'United Data'!$C$3:$C$3390,$A379,'United Data'!$B$3:$B$3390,"&lt;&gt;Off-street")&gt;0,1,0)</f>
        <v>0</v>
      </c>
      <c r="N379">
        <f>IF(COUNTIFS('United Data'!$A$3:$A$3390,N$1,'United Data'!$C$3:$C$3390,$A379,'United Data'!$B$3:$B$3390,"&lt;&gt;Off-street")&gt;0,1,0)</f>
        <v>0</v>
      </c>
      <c r="O379">
        <f>IF(COUNTIFS('United Data'!$A$3:$A$3390,O$1,'United Data'!$C$3:$C$3390,$A379,'United Data'!$B$3:$B$3390,"&lt;&gt;Off-street")&gt;0,1,0)</f>
        <v>0</v>
      </c>
      <c r="P379">
        <f>IF(COUNTIFS('United Data'!$A$3:$A$3390,P$1,'United Data'!$C$3:$C$3390,$A379,'United Data'!$B$3:$B$3390,"&lt;&gt;Off-street")&gt;0,1,0)</f>
        <v>0</v>
      </c>
      <c r="Q379">
        <f>IF(COUNTIFS('United Data'!$A$3:$A$3390,Q$1,'United Data'!$C$3:$C$3390,$A379,'United Data'!$B$3:$B$3390,"&lt;&gt;Off-street")&gt;0,1,0)</f>
        <v>0</v>
      </c>
      <c r="R379">
        <f>IF(COUNTIFS('United Data'!$A$3:$A$3390,R$1,'United Data'!$C$3:$C$3390,$A379,'United Data'!$B$3:$B$3390,"&lt;&gt;Off-street")&gt;0,1,0)</f>
        <v>0</v>
      </c>
      <c r="S379">
        <f t="shared" si="10"/>
        <v>2</v>
      </c>
      <c r="T379">
        <f t="shared" si="11"/>
        <v>2</v>
      </c>
    </row>
    <row r="380" spans="1:20" x14ac:dyDescent="0.2">
      <c r="A380" t="s">
        <v>479</v>
      </c>
      <c r="B380">
        <f>IF(COUNTIFS('United Data'!$A$3:$A$3390,B$1,'United Data'!$C$3:$C$3390,$A380,'United Data'!$B$3:$B$3390,"&lt;&gt;Off-street")&gt;0,1,0)</f>
        <v>0</v>
      </c>
      <c r="C380">
        <f>IF(COUNTIFS('United Data'!$A$3:$A$3390,C$1,'United Data'!$C$3:$C$3390,$A380,'United Data'!$B$3:$B$3390,"&lt;&gt;Off-street")&gt;0,1,0)</f>
        <v>0</v>
      </c>
      <c r="D380">
        <f>IF(COUNTIFS('United Data'!$A$3:$A$3390,D$1,'United Data'!$C$3:$C$3390,$A380,'United Data'!$B$3:$B$3390,"&lt;&gt;Off-street")&gt;0,1,0)</f>
        <v>0</v>
      </c>
      <c r="E380">
        <f>IF(COUNTIFS('United Data'!$A$3:$A$3390,E$1,'United Data'!$C$3:$C$3390,$A380,'United Data'!$B$3:$B$3390,"&lt;&gt;Off-street")&gt;0,1,0)</f>
        <v>0</v>
      </c>
      <c r="F380">
        <f>IF(COUNTIFS('United Data'!$A$3:$A$3390,F$1,'United Data'!$C$3:$C$3390,$A380,'United Data'!$B$3:$B$3390,"&lt;&gt;Off-street")&gt;0,1,0)</f>
        <v>0</v>
      </c>
      <c r="G380">
        <f>IF(COUNTIFS('United Data'!$A$3:$A$3390,G$1,'United Data'!$C$3:$C$3390,$A380,'United Data'!$B$3:$B$3390,"&lt;&gt;Off-street")&gt;0,1,0)</f>
        <v>0</v>
      </c>
      <c r="H380">
        <f>IF(COUNTIFS('United Data'!$A$3:$A$3390,H$1,'United Data'!$C$3:$C$3390,$A380,'United Data'!$B$3:$B$3390,"&lt;&gt;Off-street")&gt;0,1,0)</f>
        <v>0</v>
      </c>
      <c r="I380">
        <f>IF(COUNTIFS('United Data'!$A$3:$A$3390,I$1,'United Data'!$C$3:$C$3390,$A380,'United Data'!$B$3:$B$3390,"&lt;&gt;Off-street")&gt;0,1,0)</f>
        <v>0</v>
      </c>
      <c r="J380">
        <f>IF(COUNTIFS('United Data'!$A$3:$A$3390,J$1,'United Data'!$C$3:$C$3390,$A380,'United Data'!$B$3:$B$3390,"&lt;&gt;Off-street")&gt;0,1,0)</f>
        <v>1</v>
      </c>
      <c r="K380">
        <f>IF(COUNTIFS('United Data'!$A$3:$A$3390,K$1,'United Data'!$C$3:$C$3390,$A380,'United Data'!$B$3:$B$3390,"&lt;&gt;Off-street")&gt;0,1,0)</f>
        <v>0</v>
      </c>
      <c r="L380">
        <f>IF(COUNTIFS('United Data'!$A$3:$A$3390,L$1,'United Data'!$C$3:$C$3390,$A380,'United Data'!$B$3:$B$3390,"&lt;&gt;Off-street")&gt;0,1,0)</f>
        <v>0</v>
      </c>
      <c r="M380">
        <f>IF(COUNTIFS('United Data'!$A$3:$A$3390,M$1,'United Data'!$C$3:$C$3390,$A380,'United Data'!$B$3:$B$3390,"&lt;&gt;Off-street")&gt;0,1,0)</f>
        <v>0</v>
      </c>
      <c r="N380">
        <f>IF(COUNTIFS('United Data'!$A$3:$A$3390,N$1,'United Data'!$C$3:$C$3390,$A380,'United Data'!$B$3:$B$3390,"&lt;&gt;Off-street")&gt;0,1,0)</f>
        <v>0</v>
      </c>
      <c r="O380">
        <f>IF(COUNTIFS('United Data'!$A$3:$A$3390,O$1,'United Data'!$C$3:$C$3390,$A380,'United Data'!$B$3:$B$3390,"&lt;&gt;Off-street")&gt;0,1,0)</f>
        <v>0</v>
      </c>
      <c r="P380">
        <f>IF(COUNTIFS('United Data'!$A$3:$A$3390,P$1,'United Data'!$C$3:$C$3390,$A380,'United Data'!$B$3:$B$3390,"&lt;&gt;Off-street")&gt;0,1,0)</f>
        <v>0</v>
      </c>
      <c r="Q380">
        <f>IF(COUNTIFS('United Data'!$A$3:$A$3390,Q$1,'United Data'!$C$3:$C$3390,$A380,'United Data'!$B$3:$B$3390,"&lt;&gt;Off-street")&gt;0,1,0)</f>
        <v>0</v>
      </c>
      <c r="R380">
        <f>IF(COUNTIFS('United Data'!$A$3:$A$3390,R$1,'United Data'!$C$3:$C$3390,$A380,'United Data'!$B$3:$B$3390,"&lt;&gt;Off-street")&gt;0,1,0)</f>
        <v>0</v>
      </c>
      <c r="S380">
        <f t="shared" si="10"/>
        <v>1</v>
      </c>
      <c r="T380">
        <f t="shared" si="11"/>
        <v>1</v>
      </c>
    </row>
    <row r="381" spans="1:20" x14ac:dyDescent="0.2">
      <c r="A381" t="s">
        <v>480</v>
      </c>
      <c r="B381">
        <f>IF(COUNTIFS('United Data'!$A$3:$A$3390,B$1,'United Data'!$C$3:$C$3390,$A381,'United Data'!$B$3:$B$3390,"&lt;&gt;Off-street")&gt;0,1,0)</f>
        <v>0</v>
      </c>
      <c r="C381">
        <f>IF(COUNTIFS('United Data'!$A$3:$A$3390,C$1,'United Data'!$C$3:$C$3390,$A381,'United Data'!$B$3:$B$3390,"&lt;&gt;Off-street")&gt;0,1,0)</f>
        <v>0</v>
      </c>
      <c r="D381">
        <f>IF(COUNTIFS('United Data'!$A$3:$A$3390,D$1,'United Data'!$C$3:$C$3390,$A381,'United Data'!$B$3:$B$3390,"&lt;&gt;Off-street")&gt;0,1,0)</f>
        <v>0</v>
      </c>
      <c r="E381">
        <f>IF(COUNTIFS('United Data'!$A$3:$A$3390,E$1,'United Data'!$C$3:$C$3390,$A381,'United Data'!$B$3:$B$3390,"&lt;&gt;Off-street")&gt;0,1,0)</f>
        <v>0</v>
      </c>
      <c r="F381">
        <f>IF(COUNTIFS('United Data'!$A$3:$A$3390,F$1,'United Data'!$C$3:$C$3390,$A381,'United Data'!$B$3:$B$3390,"&lt;&gt;Off-street")&gt;0,1,0)</f>
        <v>0</v>
      </c>
      <c r="G381">
        <f>IF(COUNTIFS('United Data'!$A$3:$A$3390,G$1,'United Data'!$C$3:$C$3390,$A381,'United Data'!$B$3:$B$3390,"&lt;&gt;Off-street")&gt;0,1,0)</f>
        <v>0</v>
      </c>
      <c r="H381">
        <f>IF(COUNTIFS('United Data'!$A$3:$A$3390,H$1,'United Data'!$C$3:$C$3390,$A381,'United Data'!$B$3:$B$3390,"&lt;&gt;Off-street")&gt;0,1,0)</f>
        <v>0</v>
      </c>
      <c r="I381">
        <f>IF(COUNTIFS('United Data'!$A$3:$A$3390,I$1,'United Data'!$C$3:$C$3390,$A381,'United Data'!$B$3:$B$3390,"&lt;&gt;Off-street")&gt;0,1,0)</f>
        <v>0</v>
      </c>
      <c r="J381">
        <f>IF(COUNTIFS('United Data'!$A$3:$A$3390,J$1,'United Data'!$C$3:$C$3390,$A381,'United Data'!$B$3:$B$3390,"&lt;&gt;Off-street")&gt;0,1,0)</f>
        <v>1</v>
      </c>
      <c r="K381">
        <f>IF(COUNTIFS('United Data'!$A$3:$A$3390,K$1,'United Data'!$C$3:$C$3390,$A381,'United Data'!$B$3:$B$3390,"&lt;&gt;Off-street")&gt;0,1,0)</f>
        <v>0</v>
      </c>
      <c r="L381">
        <f>IF(COUNTIFS('United Data'!$A$3:$A$3390,L$1,'United Data'!$C$3:$C$3390,$A381,'United Data'!$B$3:$B$3390,"&lt;&gt;Off-street")&gt;0,1,0)</f>
        <v>0</v>
      </c>
      <c r="M381">
        <f>IF(COUNTIFS('United Data'!$A$3:$A$3390,M$1,'United Data'!$C$3:$C$3390,$A381,'United Data'!$B$3:$B$3390,"&lt;&gt;Off-street")&gt;0,1,0)</f>
        <v>0</v>
      </c>
      <c r="N381">
        <f>IF(COUNTIFS('United Data'!$A$3:$A$3390,N$1,'United Data'!$C$3:$C$3390,$A381,'United Data'!$B$3:$B$3390,"&lt;&gt;Off-street")&gt;0,1,0)</f>
        <v>0</v>
      </c>
      <c r="O381">
        <f>IF(COUNTIFS('United Data'!$A$3:$A$3390,O$1,'United Data'!$C$3:$C$3390,$A381,'United Data'!$B$3:$B$3390,"&lt;&gt;Off-street")&gt;0,1,0)</f>
        <v>0</v>
      </c>
      <c r="P381">
        <f>IF(COUNTIFS('United Data'!$A$3:$A$3390,P$1,'United Data'!$C$3:$C$3390,$A381,'United Data'!$B$3:$B$3390,"&lt;&gt;Off-street")&gt;0,1,0)</f>
        <v>0</v>
      </c>
      <c r="Q381">
        <f>IF(COUNTIFS('United Data'!$A$3:$A$3390,Q$1,'United Data'!$C$3:$C$3390,$A381,'United Data'!$B$3:$B$3390,"&lt;&gt;Off-street")&gt;0,1,0)</f>
        <v>0</v>
      </c>
      <c r="R381">
        <f>IF(COUNTIFS('United Data'!$A$3:$A$3390,R$1,'United Data'!$C$3:$C$3390,$A381,'United Data'!$B$3:$B$3390,"&lt;&gt;Off-street")&gt;0,1,0)</f>
        <v>0</v>
      </c>
      <c r="S381">
        <f t="shared" si="10"/>
        <v>1</v>
      </c>
      <c r="T381">
        <f t="shared" si="11"/>
        <v>1</v>
      </c>
    </row>
    <row r="382" spans="1:20" x14ac:dyDescent="0.2">
      <c r="A382" t="s">
        <v>483</v>
      </c>
      <c r="B382">
        <f>IF(COUNTIFS('United Data'!$A$3:$A$3390,B$1,'United Data'!$C$3:$C$3390,$A382,'United Data'!$B$3:$B$3390,"&lt;&gt;Off-street")&gt;0,1,0)</f>
        <v>0</v>
      </c>
      <c r="C382">
        <f>IF(COUNTIFS('United Data'!$A$3:$A$3390,C$1,'United Data'!$C$3:$C$3390,$A382,'United Data'!$B$3:$B$3390,"&lt;&gt;Off-street")&gt;0,1,0)</f>
        <v>0</v>
      </c>
      <c r="D382">
        <f>IF(COUNTIFS('United Data'!$A$3:$A$3390,D$1,'United Data'!$C$3:$C$3390,$A382,'United Data'!$B$3:$B$3390,"&lt;&gt;Off-street")&gt;0,1,0)</f>
        <v>0</v>
      </c>
      <c r="E382">
        <f>IF(COUNTIFS('United Data'!$A$3:$A$3390,E$1,'United Data'!$C$3:$C$3390,$A382,'United Data'!$B$3:$B$3390,"&lt;&gt;Off-street")&gt;0,1,0)</f>
        <v>0</v>
      </c>
      <c r="F382">
        <f>IF(COUNTIFS('United Data'!$A$3:$A$3390,F$1,'United Data'!$C$3:$C$3390,$A382,'United Data'!$B$3:$B$3390,"&lt;&gt;Off-street")&gt;0,1,0)</f>
        <v>0</v>
      </c>
      <c r="G382">
        <f>IF(COUNTIFS('United Data'!$A$3:$A$3390,G$1,'United Data'!$C$3:$C$3390,$A382,'United Data'!$B$3:$B$3390,"&lt;&gt;Off-street")&gt;0,1,0)</f>
        <v>0</v>
      </c>
      <c r="H382">
        <f>IF(COUNTIFS('United Data'!$A$3:$A$3390,H$1,'United Data'!$C$3:$C$3390,$A382,'United Data'!$B$3:$B$3390,"&lt;&gt;Off-street")&gt;0,1,0)</f>
        <v>0</v>
      </c>
      <c r="I382">
        <f>IF(COUNTIFS('United Data'!$A$3:$A$3390,I$1,'United Data'!$C$3:$C$3390,$A382,'United Data'!$B$3:$B$3390,"&lt;&gt;Off-street")&gt;0,1,0)</f>
        <v>0</v>
      </c>
      <c r="J382">
        <f>IF(COUNTIFS('United Data'!$A$3:$A$3390,J$1,'United Data'!$C$3:$C$3390,$A382,'United Data'!$B$3:$B$3390,"&lt;&gt;Off-street")&gt;0,1,0)</f>
        <v>0</v>
      </c>
      <c r="K382">
        <f>IF(COUNTIFS('United Data'!$A$3:$A$3390,K$1,'United Data'!$C$3:$C$3390,$A382,'United Data'!$B$3:$B$3390,"&lt;&gt;Off-street")&gt;0,1,0)</f>
        <v>0</v>
      </c>
      <c r="L382">
        <f>IF(COUNTIFS('United Data'!$A$3:$A$3390,L$1,'United Data'!$C$3:$C$3390,$A382,'United Data'!$B$3:$B$3390,"&lt;&gt;Off-street")&gt;0,1,0)</f>
        <v>1</v>
      </c>
      <c r="M382">
        <f>IF(COUNTIFS('United Data'!$A$3:$A$3390,M$1,'United Data'!$C$3:$C$3390,$A382,'United Data'!$B$3:$B$3390,"&lt;&gt;Off-street")&gt;0,1,0)</f>
        <v>0</v>
      </c>
      <c r="N382">
        <f>IF(COUNTIFS('United Data'!$A$3:$A$3390,N$1,'United Data'!$C$3:$C$3390,$A382,'United Data'!$B$3:$B$3390,"&lt;&gt;Off-street")&gt;0,1,0)</f>
        <v>0</v>
      </c>
      <c r="O382">
        <f>IF(COUNTIFS('United Data'!$A$3:$A$3390,O$1,'United Data'!$C$3:$C$3390,$A382,'United Data'!$B$3:$B$3390,"&lt;&gt;Off-street")&gt;0,1,0)</f>
        <v>0</v>
      </c>
      <c r="P382">
        <f>IF(COUNTIFS('United Data'!$A$3:$A$3390,P$1,'United Data'!$C$3:$C$3390,$A382,'United Data'!$B$3:$B$3390,"&lt;&gt;Off-street")&gt;0,1,0)</f>
        <v>0</v>
      </c>
      <c r="Q382">
        <f>IF(COUNTIFS('United Data'!$A$3:$A$3390,Q$1,'United Data'!$C$3:$C$3390,$A382,'United Data'!$B$3:$B$3390,"&lt;&gt;Off-street")&gt;0,1,0)</f>
        <v>0</v>
      </c>
      <c r="R382">
        <f>IF(COUNTIFS('United Data'!$A$3:$A$3390,R$1,'United Data'!$C$3:$C$3390,$A382,'United Data'!$B$3:$B$3390,"&lt;&gt;Off-street")&gt;0,1,0)</f>
        <v>0</v>
      </c>
      <c r="S382">
        <f t="shared" si="10"/>
        <v>1</v>
      </c>
      <c r="T382">
        <f t="shared" si="11"/>
        <v>1</v>
      </c>
    </row>
    <row r="383" spans="1:20" x14ac:dyDescent="0.2">
      <c r="A383" t="s">
        <v>484</v>
      </c>
      <c r="B383">
        <f>IF(COUNTIFS('United Data'!$A$3:$A$3390,B$1,'United Data'!$C$3:$C$3390,$A383,'United Data'!$B$3:$B$3390,"&lt;&gt;Off-street")&gt;0,1,0)</f>
        <v>0</v>
      </c>
      <c r="C383">
        <f>IF(COUNTIFS('United Data'!$A$3:$A$3390,C$1,'United Data'!$C$3:$C$3390,$A383,'United Data'!$B$3:$B$3390,"&lt;&gt;Off-street")&gt;0,1,0)</f>
        <v>0</v>
      </c>
      <c r="D383">
        <f>IF(COUNTIFS('United Data'!$A$3:$A$3390,D$1,'United Data'!$C$3:$C$3390,$A383,'United Data'!$B$3:$B$3390,"&lt;&gt;Off-street")&gt;0,1,0)</f>
        <v>0</v>
      </c>
      <c r="E383">
        <f>IF(COUNTIFS('United Data'!$A$3:$A$3390,E$1,'United Data'!$C$3:$C$3390,$A383,'United Data'!$B$3:$B$3390,"&lt;&gt;Off-street")&gt;0,1,0)</f>
        <v>0</v>
      </c>
      <c r="F383">
        <f>IF(COUNTIFS('United Data'!$A$3:$A$3390,F$1,'United Data'!$C$3:$C$3390,$A383,'United Data'!$B$3:$B$3390,"&lt;&gt;Off-street")&gt;0,1,0)</f>
        <v>0</v>
      </c>
      <c r="G383">
        <f>IF(COUNTIFS('United Data'!$A$3:$A$3390,G$1,'United Data'!$C$3:$C$3390,$A383,'United Data'!$B$3:$B$3390,"&lt;&gt;Off-street")&gt;0,1,0)</f>
        <v>0</v>
      </c>
      <c r="H383">
        <f>IF(COUNTIFS('United Data'!$A$3:$A$3390,H$1,'United Data'!$C$3:$C$3390,$A383,'United Data'!$B$3:$B$3390,"&lt;&gt;Off-street")&gt;0,1,0)</f>
        <v>0</v>
      </c>
      <c r="I383">
        <f>IF(COUNTIFS('United Data'!$A$3:$A$3390,I$1,'United Data'!$C$3:$C$3390,$A383,'United Data'!$B$3:$B$3390,"&lt;&gt;Off-street")&gt;0,1,0)</f>
        <v>0</v>
      </c>
      <c r="J383">
        <f>IF(COUNTIFS('United Data'!$A$3:$A$3390,J$1,'United Data'!$C$3:$C$3390,$A383,'United Data'!$B$3:$B$3390,"&lt;&gt;Off-street")&gt;0,1,0)</f>
        <v>0</v>
      </c>
      <c r="K383">
        <f>IF(COUNTIFS('United Data'!$A$3:$A$3390,K$1,'United Data'!$C$3:$C$3390,$A383,'United Data'!$B$3:$B$3390,"&lt;&gt;Off-street")&gt;0,1,0)</f>
        <v>0</v>
      </c>
      <c r="L383">
        <f>IF(COUNTIFS('United Data'!$A$3:$A$3390,L$1,'United Data'!$C$3:$C$3390,$A383,'United Data'!$B$3:$B$3390,"&lt;&gt;Off-street")&gt;0,1,0)</f>
        <v>1</v>
      </c>
      <c r="M383">
        <f>IF(COUNTIFS('United Data'!$A$3:$A$3390,M$1,'United Data'!$C$3:$C$3390,$A383,'United Data'!$B$3:$B$3390,"&lt;&gt;Off-street")&gt;0,1,0)</f>
        <v>0</v>
      </c>
      <c r="N383">
        <f>IF(COUNTIFS('United Data'!$A$3:$A$3390,N$1,'United Data'!$C$3:$C$3390,$A383,'United Data'!$B$3:$B$3390,"&lt;&gt;Off-street")&gt;0,1,0)</f>
        <v>0</v>
      </c>
      <c r="O383">
        <f>IF(COUNTIFS('United Data'!$A$3:$A$3390,O$1,'United Data'!$C$3:$C$3390,$A383,'United Data'!$B$3:$B$3390,"&lt;&gt;Off-street")&gt;0,1,0)</f>
        <v>0</v>
      </c>
      <c r="P383">
        <f>IF(COUNTIFS('United Data'!$A$3:$A$3390,P$1,'United Data'!$C$3:$C$3390,$A383,'United Data'!$B$3:$B$3390,"&lt;&gt;Off-street")&gt;0,1,0)</f>
        <v>0</v>
      </c>
      <c r="Q383">
        <f>IF(COUNTIFS('United Data'!$A$3:$A$3390,Q$1,'United Data'!$C$3:$C$3390,$A383,'United Data'!$B$3:$B$3390,"&lt;&gt;Off-street")&gt;0,1,0)</f>
        <v>0</v>
      </c>
      <c r="R383">
        <f>IF(COUNTIFS('United Data'!$A$3:$A$3390,R$1,'United Data'!$C$3:$C$3390,$A383,'United Data'!$B$3:$B$3390,"&lt;&gt;Off-street")&gt;0,1,0)</f>
        <v>0</v>
      </c>
      <c r="S383">
        <f t="shared" si="10"/>
        <v>1</v>
      </c>
      <c r="T383">
        <f t="shared" si="11"/>
        <v>1</v>
      </c>
    </row>
    <row r="384" spans="1:20" x14ac:dyDescent="0.2">
      <c r="A384" t="s">
        <v>485</v>
      </c>
      <c r="B384">
        <f>IF(COUNTIFS('United Data'!$A$3:$A$3390,B$1,'United Data'!$C$3:$C$3390,$A384,'United Data'!$B$3:$B$3390,"&lt;&gt;Off-street")&gt;0,1,0)</f>
        <v>0</v>
      </c>
      <c r="C384">
        <f>IF(COUNTIFS('United Data'!$A$3:$A$3390,C$1,'United Data'!$C$3:$C$3390,$A384,'United Data'!$B$3:$B$3390,"&lt;&gt;Off-street")&gt;0,1,0)</f>
        <v>0</v>
      </c>
      <c r="D384">
        <f>IF(COUNTIFS('United Data'!$A$3:$A$3390,D$1,'United Data'!$C$3:$C$3390,$A384,'United Data'!$B$3:$B$3390,"&lt;&gt;Off-street")&gt;0,1,0)</f>
        <v>0</v>
      </c>
      <c r="E384">
        <f>IF(COUNTIFS('United Data'!$A$3:$A$3390,E$1,'United Data'!$C$3:$C$3390,$A384,'United Data'!$B$3:$B$3390,"&lt;&gt;Off-street")&gt;0,1,0)</f>
        <v>0</v>
      </c>
      <c r="F384">
        <f>IF(COUNTIFS('United Data'!$A$3:$A$3390,F$1,'United Data'!$C$3:$C$3390,$A384,'United Data'!$B$3:$B$3390,"&lt;&gt;Off-street")&gt;0,1,0)</f>
        <v>0</v>
      </c>
      <c r="G384">
        <f>IF(COUNTIFS('United Data'!$A$3:$A$3390,G$1,'United Data'!$C$3:$C$3390,$A384,'United Data'!$B$3:$B$3390,"&lt;&gt;Off-street")&gt;0,1,0)</f>
        <v>0</v>
      </c>
      <c r="H384">
        <f>IF(COUNTIFS('United Data'!$A$3:$A$3390,H$1,'United Data'!$C$3:$C$3390,$A384,'United Data'!$B$3:$B$3390,"&lt;&gt;Off-street")&gt;0,1,0)</f>
        <v>0</v>
      </c>
      <c r="I384">
        <f>IF(COUNTIFS('United Data'!$A$3:$A$3390,I$1,'United Data'!$C$3:$C$3390,$A384,'United Data'!$B$3:$B$3390,"&lt;&gt;Off-street")&gt;0,1,0)</f>
        <v>0</v>
      </c>
      <c r="J384">
        <f>IF(COUNTIFS('United Data'!$A$3:$A$3390,J$1,'United Data'!$C$3:$C$3390,$A384,'United Data'!$B$3:$B$3390,"&lt;&gt;Off-street")&gt;0,1,0)</f>
        <v>0</v>
      </c>
      <c r="K384">
        <f>IF(COUNTIFS('United Data'!$A$3:$A$3390,K$1,'United Data'!$C$3:$C$3390,$A384,'United Data'!$B$3:$B$3390,"&lt;&gt;Off-street")&gt;0,1,0)</f>
        <v>0</v>
      </c>
      <c r="L384">
        <f>IF(COUNTIFS('United Data'!$A$3:$A$3390,L$1,'United Data'!$C$3:$C$3390,$A384,'United Data'!$B$3:$B$3390,"&lt;&gt;Off-street")&gt;0,1,0)</f>
        <v>1</v>
      </c>
      <c r="M384">
        <f>IF(COUNTIFS('United Data'!$A$3:$A$3390,M$1,'United Data'!$C$3:$C$3390,$A384,'United Data'!$B$3:$B$3390,"&lt;&gt;Off-street")&gt;0,1,0)</f>
        <v>0</v>
      </c>
      <c r="N384">
        <f>IF(COUNTIFS('United Data'!$A$3:$A$3390,N$1,'United Data'!$C$3:$C$3390,$A384,'United Data'!$B$3:$B$3390,"&lt;&gt;Off-street")&gt;0,1,0)</f>
        <v>0</v>
      </c>
      <c r="O384">
        <f>IF(COUNTIFS('United Data'!$A$3:$A$3390,O$1,'United Data'!$C$3:$C$3390,$A384,'United Data'!$B$3:$B$3390,"&lt;&gt;Off-street")&gt;0,1,0)</f>
        <v>0</v>
      </c>
      <c r="P384">
        <f>IF(COUNTIFS('United Data'!$A$3:$A$3390,P$1,'United Data'!$C$3:$C$3390,$A384,'United Data'!$B$3:$B$3390,"&lt;&gt;Off-street")&gt;0,1,0)</f>
        <v>0</v>
      </c>
      <c r="Q384">
        <f>IF(COUNTIFS('United Data'!$A$3:$A$3390,Q$1,'United Data'!$C$3:$C$3390,$A384,'United Data'!$B$3:$B$3390,"&lt;&gt;Off-street")&gt;0,1,0)</f>
        <v>0</v>
      </c>
      <c r="R384">
        <f>IF(COUNTIFS('United Data'!$A$3:$A$3390,R$1,'United Data'!$C$3:$C$3390,$A384,'United Data'!$B$3:$B$3390,"&lt;&gt;Off-street")&gt;0,1,0)</f>
        <v>0</v>
      </c>
      <c r="S384">
        <f t="shared" si="10"/>
        <v>1</v>
      </c>
      <c r="T384">
        <f t="shared" si="11"/>
        <v>1</v>
      </c>
    </row>
    <row r="385" spans="1:20" x14ac:dyDescent="0.2">
      <c r="A385" t="s">
        <v>487</v>
      </c>
      <c r="B385">
        <f>IF(COUNTIFS('United Data'!$A$3:$A$3390,B$1,'United Data'!$C$3:$C$3390,$A385,'United Data'!$B$3:$B$3390,"&lt;&gt;Off-street")&gt;0,1,0)</f>
        <v>0</v>
      </c>
      <c r="C385">
        <f>IF(COUNTIFS('United Data'!$A$3:$A$3390,C$1,'United Data'!$C$3:$C$3390,$A385,'United Data'!$B$3:$B$3390,"&lt;&gt;Off-street")&gt;0,1,0)</f>
        <v>0</v>
      </c>
      <c r="D385">
        <f>IF(COUNTIFS('United Data'!$A$3:$A$3390,D$1,'United Data'!$C$3:$C$3390,$A385,'United Data'!$B$3:$B$3390,"&lt;&gt;Off-street")&gt;0,1,0)</f>
        <v>0</v>
      </c>
      <c r="E385">
        <f>IF(COUNTIFS('United Data'!$A$3:$A$3390,E$1,'United Data'!$C$3:$C$3390,$A385,'United Data'!$B$3:$B$3390,"&lt;&gt;Off-street")&gt;0,1,0)</f>
        <v>0</v>
      </c>
      <c r="F385">
        <f>IF(COUNTIFS('United Data'!$A$3:$A$3390,F$1,'United Data'!$C$3:$C$3390,$A385,'United Data'!$B$3:$B$3390,"&lt;&gt;Off-street")&gt;0,1,0)</f>
        <v>0</v>
      </c>
      <c r="G385">
        <f>IF(COUNTIFS('United Data'!$A$3:$A$3390,G$1,'United Data'!$C$3:$C$3390,$A385,'United Data'!$B$3:$B$3390,"&lt;&gt;Off-street")&gt;0,1,0)</f>
        <v>0</v>
      </c>
      <c r="H385">
        <f>IF(COUNTIFS('United Data'!$A$3:$A$3390,H$1,'United Data'!$C$3:$C$3390,$A385,'United Data'!$B$3:$B$3390,"&lt;&gt;Off-street")&gt;0,1,0)</f>
        <v>0</v>
      </c>
      <c r="I385">
        <f>IF(COUNTIFS('United Data'!$A$3:$A$3390,I$1,'United Data'!$C$3:$C$3390,$A385,'United Data'!$B$3:$B$3390,"&lt;&gt;Off-street")&gt;0,1,0)</f>
        <v>0</v>
      </c>
      <c r="J385">
        <f>IF(COUNTIFS('United Data'!$A$3:$A$3390,J$1,'United Data'!$C$3:$C$3390,$A385,'United Data'!$B$3:$B$3390,"&lt;&gt;Off-street")&gt;0,1,0)</f>
        <v>0</v>
      </c>
      <c r="K385">
        <f>IF(COUNTIFS('United Data'!$A$3:$A$3390,K$1,'United Data'!$C$3:$C$3390,$A385,'United Data'!$B$3:$B$3390,"&lt;&gt;Off-street")&gt;0,1,0)</f>
        <v>0</v>
      </c>
      <c r="L385">
        <f>IF(COUNTIFS('United Data'!$A$3:$A$3390,L$1,'United Data'!$C$3:$C$3390,$A385,'United Data'!$B$3:$B$3390,"&lt;&gt;Off-street")&gt;0,1,0)</f>
        <v>1</v>
      </c>
      <c r="M385">
        <f>IF(COUNTIFS('United Data'!$A$3:$A$3390,M$1,'United Data'!$C$3:$C$3390,$A385,'United Data'!$B$3:$B$3390,"&lt;&gt;Off-street")&gt;0,1,0)</f>
        <v>0</v>
      </c>
      <c r="N385">
        <f>IF(COUNTIFS('United Data'!$A$3:$A$3390,N$1,'United Data'!$C$3:$C$3390,$A385,'United Data'!$B$3:$B$3390,"&lt;&gt;Off-street")&gt;0,1,0)</f>
        <v>0</v>
      </c>
      <c r="O385">
        <f>IF(COUNTIFS('United Data'!$A$3:$A$3390,O$1,'United Data'!$C$3:$C$3390,$A385,'United Data'!$B$3:$B$3390,"&lt;&gt;Off-street")&gt;0,1,0)</f>
        <v>0</v>
      </c>
      <c r="P385">
        <f>IF(COUNTIFS('United Data'!$A$3:$A$3390,P$1,'United Data'!$C$3:$C$3390,$A385,'United Data'!$B$3:$B$3390,"&lt;&gt;Off-street")&gt;0,1,0)</f>
        <v>0</v>
      </c>
      <c r="Q385">
        <f>IF(COUNTIFS('United Data'!$A$3:$A$3390,Q$1,'United Data'!$C$3:$C$3390,$A385,'United Data'!$B$3:$B$3390,"&lt;&gt;Off-street")&gt;0,1,0)</f>
        <v>0</v>
      </c>
      <c r="R385">
        <f>IF(COUNTIFS('United Data'!$A$3:$A$3390,R$1,'United Data'!$C$3:$C$3390,$A385,'United Data'!$B$3:$B$3390,"&lt;&gt;Off-street")&gt;0,1,0)</f>
        <v>0</v>
      </c>
      <c r="S385">
        <f t="shared" si="10"/>
        <v>1</v>
      </c>
      <c r="T385">
        <f t="shared" si="11"/>
        <v>1</v>
      </c>
    </row>
    <row r="386" spans="1:20" x14ac:dyDescent="0.2">
      <c r="A386" t="s">
        <v>488</v>
      </c>
      <c r="B386">
        <f>IF(COUNTIFS('United Data'!$A$3:$A$3390,B$1,'United Data'!$C$3:$C$3390,$A386,'United Data'!$B$3:$B$3390,"&lt;&gt;Off-street")&gt;0,1,0)</f>
        <v>0</v>
      </c>
      <c r="C386">
        <f>IF(COUNTIFS('United Data'!$A$3:$A$3390,C$1,'United Data'!$C$3:$C$3390,$A386,'United Data'!$B$3:$B$3390,"&lt;&gt;Off-street")&gt;0,1,0)</f>
        <v>0</v>
      </c>
      <c r="D386">
        <f>IF(COUNTIFS('United Data'!$A$3:$A$3390,D$1,'United Data'!$C$3:$C$3390,$A386,'United Data'!$B$3:$B$3390,"&lt;&gt;Off-street")&gt;0,1,0)</f>
        <v>0</v>
      </c>
      <c r="E386">
        <f>IF(COUNTIFS('United Data'!$A$3:$A$3390,E$1,'United Data'!$C$3:$C$3390,$A386,'United Data'!$B$3:$B$3390,"&lt;&gt;Off-street")&gt;0,1,0)</f>
        <v>0</v>
      </c>
      <c r="F386">
        <f>IF(COUNTIFS('United Data'!$A$3:$A$3390,F$1,'United Data'!$C$3:$C$3390,$A386,'United Data'!$B$3:$B$3390,"&lt;&gt;Off-street")&gt;0,1,0)</f>
        <v>0</v>
      </c>
      <c r="G386">
        <f>IF(COUNTIFS('United Data'!$A$3:$A$3390,G$1,'United Data'!$C$3:$C$3390,$A386,'United Data'!$B$3:$B$3390,"&lt;&gt;Off-street")&gt;0,1,0)</f>
        <v>0</v>
      </c>
      <c r="H386">
        <f>IF(COUNTIFS('United Data'!$A$3:$A$3390,H$1,'United Data'!$C$3:$C$3390,$A386,'United Data'!$B$3:$B$3390,"&lt;&gt;Off-street")&gt;0,1,0)</f>
        <v>0</v>
      </c>
      <c r="I386">
        <f>IF(COUNTIFS('United Data'!$A$3:$A$3390,I$1,'United Data'!$C$3:$C$3390,$A386,'United Data'!$B$3:$B$3390,"&lt;&gt;Off-street")&gt;0,1,0)</f>
        <v>0</v>
      </c>
      <c r="J386">
        <f>IF(COUNTIFS('United Data'!$A$3:$A$3390,J$1,'United Data'!$C$3:$C$3390,$A386,'United Data'!$B$3:$B$3390,"&lt;&gt;Off-street")&gt;0,1,0)</f>
        <v>0</v>
      </c>
      <c r="K386">
        <f>IF(COUNTIFS('United Data'!$A$3:$A$3390,K$1,'United Data'!$C$3:$C$3390,$A386,'United Data'!$B$3:$B$3390,"&lt;&gt;Off-street")&gt;0,1,0)</f>
        <v>0</v>
      </c>
      <c r="L386">
        <f>IF(COUNTIFS('United Data'!$A$3:$A$3390,L$1,'United Data'!$C$3:$C$3390,$A386,'United Data'!$B$3:$B$3390,"&lt;&gt;Off-street")&gt;0,1,0)</f>
        <v>0</v>
      </c>
      <c r="M386">
        <f>IF(COUNTIFS('United Data'!$A$3:$A$3390,M$1,'United Data'!$C$3:$C$3390,$A386,'United Data'!$B$3:$B$3390,"&lt;&gt;Off-street")&gt;0,1,0)</f>
        <v>1</v>
      </c>
      <c r="N386">
        <f>IF(COUNTIFS('United Data'!$A$3:$A$3390,N$1,'United Data'!$C$3:$C$3390,$A386,'United Data'!$B$3:$B$3390,"&lt;&gt;Off-street")&gt;0,1,0)</f>
        <v>0</v>
      </c>
      <c r="O386">
        <f>IF(COUNTIFS('United Data'!$A$3:$A$3390,O$1,'United Data'!$C$3:$C$3390,$A386,'United Data'!$B$3:$B$3390,"&lt;&gt;Off-street")&gt;0,1,0)</f>
        <v>0</v>
      </c>
      <c r="P386">
        <f>IF(COUNTIFS('United Data'!$A$3:$A$3390,P$1,'United Data'!$C$3:$C$3390,$A386,'United Data'!$B$3:$B$3390,"&lt;&gt;Off-street")&gt;0,1,0)</f>
        <v>1</v>
      </c>
      <c r="Q386">
        <f>IF(COUNTIFS('United Data'!$A$3:$A$3390,Q$1,'United Data'!$C$3:$C$3390,$A386,'United Data'!$B$3:$B$3390,"&lt;&gt;Off-street")&gt;0,1,0)</f>
        <v>0</v>
      </c>
      <c r="R386">
        <f>IF(COUNTIFS('United Data'!$A$3:$A$3390,R$1,'United Data'!$C$3:$C$3390,$A386,'United Data'!$B$3:$B$3390,"&lt;&gt;Off-street")&gt;0,1,0)</f>
        <v>0</v>
      </c>
      <c r="S386">
        <f t="shared" ref="S386:S449" si="12">SUM(B386:R386)</f>
        <v>2</v>
      </c>
      <c r="T386">
        <f t="shared" ref="T386:T449" si="13">B386+SUMPRODUCT(--(C386:R386&gt;B386:Q386))</f>
        <v>2</v>
      </c>
    </row>
    <row r="387" spans="1:20" x14ac:dyDescent="0.2">
      <c r="A387" t="s">
        <v>489</v>
      </c>
      <c r="B387">
        <f>IF(COUNTIFS('United Data'!$A$3:$A$3390,B$1,'United Data'!$C$3:$C$3390,$A387,'United Data'!$B$3:$B$3390,"&lt;&gt;Off-street")&gt;0,1,0)</f>
        <v>0</v>
      </c>
      <c r="C387">
        <f>IF(COUNTIFS('United Data'!$A$3:$A$3390,C$1,'United Data'!$C$3:$C$3390,$A387,'United Data'!$B$3:$B$3390,"&lt;&gt;Off-street")&gt;0,1,0)</f>
        <v>0</v>
      </c>
      <c r="D387">
        <f>IF(COUNTIFS('United Data'!$A$3:$A$3390,D$1,'United Data'!$C$3:$C$3390,$A387,'United Data'!$B$3:$B$3390,"&lt;&gt;Off-street")&gt;0,1,0)</f>
        <v>0</v>
      </c>
      <c r="E387">
        <f>IF(COUNTIFS('United Data'!$A$3:$A$3390,E$1,'United Data'!$C$3:$C$3390,$A387,'United Data'!$B$3:$B$3390,"&lt;&gt;Off-street")&gt;0,1,0)</f>
        <v>0</v>
      </c>
      <c r="F387">
        <f>IF(COUNTIFS('United Data'!$A$3:$A$3390,F$1,'United Data'!$C$3:$C$3390,$A387,'United Data'!$B$3:$B$3390,"&lt;&gt;Off-street")&gt;0,1,0)</f>
        <v>0</v>
      </c>
      <c r="G387">
        <f>IF(COUNTIFS('United Data'!$A$3:$A$3390,G$1,'United Data'!$C$3:$C$3390,$A387,'United Data'!$B$3:$B$3390,"&lt;&gt;Off-street")&gt;0,1,0)</f>
        <v>0</v>
      </c>
      <c r="H387">
        <f>IF(COUNTIFS('United Data'!$A$3:$A$3390,H$1,'United Data'!$C$3:$C$3390,$A387,'United Data'!$B$3:$B$3390,"&lt;&gt;Off-street")&gt;0,1,0)</f>
        <v>0</v>
      </c>
      <c r="I387">
        <f>IF(COUNTIFS('United Data'!$A$3:$A$3390,I$1,'United Data'!$C$3:$C$3390,$A387,'United Data'!$B$3:$B$3390,"&lt;&gt;Off-street")&gt;0,1,0)</f>
        <v>0</v>
      </c>
      <c r="J387">
        <f>IF(COUNTIFS('United Data'!$A$3:$A$3390,J$1,'United Data'!$C$3:$C$3390,$A387,'United Data'!$B$3:$B$3390,"&lt;&gt;Off-street")&gt;0,1,0)</f>
        <v>0</v>
      </c>
      <c r="K387">
        <f>IF(COUNTIFS('United Data'!$A$3:$A$3390,K$1,'United Data'!$C$3:$C$3390,$A387,'United Data'!$B$3:$B$3390,"&lt;&gt;Off-street")&gt;0,1,0)</f>
        <v>0</v>
      </c>
      <c r="L387">
        <f>IF(COUNTIFS('United Data'!$A$3:$A$3390,L$1,'United Data'!$C$3:$C$3390,$A387,'United Data'!$B$3:$B$3390,"&lt;&gt;Off-street")&gt;0,1,0)</f>
        <v>0</v>
      </c>
      <c r="M387">
        <f>IF(COUNTIFS('United Data'!$A$3:$A$3390,M$1,'United Data'!$C$3:$C$3390,$A387,'United Data'!$B$3:$B$3390,"&lt;&gt;Off-street")&gt;0,1,0)</f>
        <v>1</v>
      </c>
      <c r="N387">
        <f>IF(COUNTIFS('United Data'!$A$3:$A$3390,N$1,'United Data'!$C$3:$C$3390,$A387,'United Data'!$B$3:$B$3390,"&lt;&gt;Off-street")&gt;0,1,0)</f>
        <v>0</v>
      </c>
      <c r="O387">
        <f>IF(COUNTIFS('United Data'!$A$3:$A$3390,O$1,'United Data'!$C$3:$C$3390,$A387,'United Data'!$B$3:$B$3390,"&lt;&gt;Off-street")&gt;0,1,0)</f>
        <v>0</v>
      </c>
      <c r="P387">
        <f>IF(COUNTIFS('United Data'!$A$3:$A$3390,P$1,'United Data'!$C$3:$C$3390,$A387,'United Data'!$B$3:$B$3390,"&lt;&gt;Off-street")&gt;0,1,0)</f>
        <v>1</v>
      </c>
      <c r="Q387">
        <f>IF(COUNTIFS('United Data'!$A$3:$A$3390,Q$1,'United Data'!$C$3:$C$3390,$A387,'United Data'!$B$3:$B$3390,"&lt;&gt;Off-street")&gt;0,1,0)</f>
        <v>0</v>
      </c>
      <c r="R387">
        <f>IF(COUNTIFS('United Data'!$A$3:$A$3390,R$1,'United Data'!$C$3:$C$3390,$A387,'United Data'!$B$3:$B$3390,"&lt;&gt;Off-street")&gt;0,1,0)</f>
        <v>0</v>
      </c>
      <c r="S387">
        <f t="shared" si="12"/>
        <v>2</v>
      </c>
      <c r="T387">
        <f t="shared" si="13"/>
        <v>2</v>
      </c>
    </row>
    <row r="388" spans="1:20" x14ac:dyDescent="0.2">
      <c r="A388" t="s">
        <v>490</v>
      </c>
      <c r="B388">
        <f>IF(COUNTIFS('United Data'!$A$3:$A$3390,B$1,'United Data'!$C$3:$C$3390,$A388,'United Data'!$B$3:$B$3390,"&lt;&gt;Off-street")&gt;0,1,0)</f>
        <v>0</v>
      </c>
      <c r="C388">
        <f>IF(COUNTIFS('United Data'!$A$3:$A$3390,C$1,'United Data'!$C$3:$C$3390,$A388,'United Data'!$B$3:$B$3390,"&lt;&gt;Off-street")&gt;0,1,0)</f>
        <v>0</v>
      </c>
      <c r="D388">
        <f>IF(COUNTIFS('United Data'!$A$3:$A$3390,D$1,'United Data'!$C$3:$C$3390,$A388,'United Data'!$B$3:$B$3390,"&lt;&gt;Off-street")&gt;0,1,0)</f>
        <v>0</v>
      </c>
      <c r="E388">
        <f>IF(COUNTIFS('United Data'!$A$3:$A$3390,E$1,'United Data'!$C$3:$C$3390,$A388,'United Data'!$B$3:$B$3390,"&lt;&gt;Off-street")&gt;0,1,0)</f>
        <v>0</v>
      </c>
      <c r="F388">
        <f>IF(COUNTIFS('United Data'!$A$3:$A$3390,F$1,'United Data'!$C$3:$C$3390,$A388,'United Data'!$B$3:$B$3390,"&lt;&gt;Off-street")&gt;0,1,0)</f>
        <v>0</v>
      </c>
      <c r="G388">
        <f>IF(COUNTIFS('United Data'!$A$3:$A$3390,G$1,'United Data'!$C$3:$C$3390,$A388,'United Data'!$B$3:$B$3390,"&lt;&gt;Off-street")&gt;0,1,0)</f>
        <v>0</v>
      </c>
      <c r="H388">
        <f>IF(COUNTIFS('United Data'!$A$3:$A$3390,H$1,'United Data'!$C$3:$C$3390,$A388,'United Data'!$B$3:$B$3390,"&lt;&gt;Off-street")&gt;0,1,0)</f>
        <v>0</v>
      </c>
      <c r="I388">
        <f>IF(COUNTIFS('United Data'!$A$3:$A$3390,I$1,'United Data'!$C$3:$C$3390,$A388,'United Data'!$B$3:$B$3390,"&lt;&gt;Off-street")&gt;0,1,0)</f>
        <v>0</v>
      </c>
      <c r="J388">
        <f>IF(COUNTIFS('United Data'!$A$3:$A$3390,J$1,'United Data'!$C$3:$C$3390,$A388,'United Data'!$B$3:$B$3390,"&lt;&gt;Off-street")&gt;0,1,0)</f>
        <v>0</v>
      </c>
      <c r="K388">
        <f>IF(COUNTIFS('United Data'!$A$3:$A$3390,K$1,'United Data'!$C$3:$C$3390,$A388,'United Data'!$B$3:$B$3390,"&lt;&gt;Off-street")&gt;0,1,0)</f>
        <v>0</v>
      </c>
      <c r="L388">
        <f>IF(COUNTIFS('United Data'!$A$3:$A$3390,L$1,'United Data'!$C$3:$C$3390,$A388,'United Data'!$B$3:$B$3390,"&lt;&gt;Off-street")&gt;0,1,0)</f>
        <v>0</v>
      </c>
      <c r="M388">
        <f>IF(COUNTIFS('United Data'!$A$3:$A$3390,M$1,'United Data'!$C$3:$C$3390,$A388,'United Data'!$B$3:$B$3390,"&lt;&gt;Off-street")&gt;0,1,0)</f>
        <v>1</v>
      </c>
      <c r="N388">
        <f>IF(COUNTIFS('United Data'!$A$3:$A$3390,N$1,'United Data'!$C$3:$C$3390,$A388,'United Data'!$B$3:$B$3390,"&lt;&gt;Off-street")&gt;0,1,0)</f>
        <v>0</v>
      </c>
      <c r="O388">
        <f>IF(COUNTIFS('United Data'!$A$3:$A$3390,O$1,'United Data'!$C$3:$C$3390,$A388,'United Data'!$B$3:$B$3390,"&lt;&gt;Off-street")&gt;0,1,0)</f>
        <v>0</v>
      </c>
      <c r="P388">
        <f>IF(COUNTIFS('United Data'!$A$3:$A$3390,P$1,'United Data'!$C$3:$C$3390,$A388,'United Data'!$B$3:$B$3390,"&lt;&gt;Off-street")&gt;0,1,0)</f>
        <v>0</v>
      </c>
      <c r="Q388">
        <f>IF(COUNTIFS('United Data'!$A$3:$A$3390,Q$1,'United Data'!$C$3:$C$3390,$A388,'United Data'!$B$3:$B$3390,"&lt;&gt;Off-street")&gt;0,1,0)</f>
        <v>0</v>
      </c>
      <c r="R388">
        <f>IF(COUNTIFS('United Data'!$A$3:$A$3390,R$1,'United Data'!$C$3:$C$3390,$A388,'United Data'!$B$3:$B$3390,"&lt;&gt;Off-street")&gt;0,1,0)</f>
        <v>0</v>
      </c>
      <c r="S388">
        <f t="shared" si="12"/>
        <v>1</v>
      </c>
      <c r="T388">
        <f t="shared" si="13"/>
        <v>1</v>
      </c>
    </row>
    <row r="389" spans="1:20" x14ac:dyDescent="0.2">
      <c r="A389" t="s">
        <v>491</v>
      </c>
      <c r="B389">
        <f>IF(COUNTIFS('United Data'!$A$3:$A$3390,B$1,'United Data'!$C$3:$C$3390,$A389,'United Data'!$B$3:$B$3390,"&lt;&gt;Off-street")&gt;0,1,0)</f>
        <v>0</v>
      </c>
      <c r="C389">
        <f>IF(COUNTIFS('United Data'!$A$3:$A$3390,C$1,'United Data'!$C$3:$C$3390,$A389,'United Data'!$B$3:$B$3390,"&lt;&gt;Off-street")&gt;0,1,0)</f>
        <v>0</v>
      </c>
      <c r="D389">
        <f>IF(COUNTIFS('United Data'!$A$3:$A$3390,D$1,'United Data'!$C$3:$C$3390,$A389,'United Data'!$B$3:$B$3390,"&lt;&gt;Off-street")&gt;0,1,0)</f>
        <v>0</v>
      </c>
      <c r="E389">
        <f>IF(COUNTIFS('United Data'!$A$3:$A$3390,E$1,'United Data'!$C$3:$C$3390,$A389,'United Data'!$B$3:$B$3390,"&lt;&gt;Off-street")&gt;0,1,0)</f>
        <v>0</v>
      </c>
      <c r="F389">
        <f>IF(COUNTIFS('United Data'!$A$3:$A$3390,F$1,'United Data'!$C$3:$C$3390,$A389,'United Data'!$B$3:$B$3390,"&lt;&gt;Off-street")&gt;0,1,0)</f>
        <v>0</v>
      </c>
      <c r="G389">
        <f>IF(COUNTIFS('United Data'!$A$3:$A$3390,G$1,'United Data'!$C$3:$C$3390,$A389,'United Data'!$B$3:$B$3390,"&lt;&gt;Off-street")&gt;0,1,0)</f>
        <v>0</v>
      </c>
      <c r="H389">
        <f>IF(COUNTIFS('United Data'!$A$3:$A$3390,H$1,'United Data'!$C$3:$C$3390,$A389,'United Data'!$B$3:$B$3390,"&lt;&gt;Off-street")&gt;0,1,0)</f>
        <v>0</v>
      </c>
      <c r="I389">
        <f>IF(COUNTIFS('United Data'!$A$3:$A$3390,I$1,'United Data'!$C$3:$C$3390,$A389,'United Data'!$B$3:$B$3390,"&lt;&gt;Off-street")&gt;0,1,0)</f>
        <v>0</v>
      </c>
      <c r="J389">
        <f>IF(COUNTIFS('United Data'!$A$3:$A$3390,J$1,'United Data'!$C$3:$C$3390,$A389,'United Data'!$B$3:$B$3390,"&lt;&gt;Off-street")&gt;0,1,0)</f>
        <v>0</v>
      </c>
      <c r="K389">
        <f>IF(COUNTIFS('United Data'!$A$3:$A$3390,K$1,'United Data'!$C$3:$C$3390,$A389,'United Data'!$B$3:$B$3390,"&lt;&gt;Off-street")&gt;0,1,0)</f>
        <v>0</v>
      </c>
      <c r="L389">
        <f>IF(COUNTIFS('United Data'!$A$3:$A$3390,L$1,'United Data'!$C$3:$C$3390,$A389,'United Data'!$B$3:$B$3390,"&lt;&gt;Off-street")&gt;0,1,0)</f>
        <v>0</v>
      </c>
      <c r="M389">
        <f>IF(COUNTIFS('United Data'!$A$3:$A$3390,M$1,'United Data'!$C$3:$C$3390,$A389,'United Data'!$B$3:$B$3390,"&lt;&gt;Off-street")&gt;0,1,0)</f>
        <v>1</v>
      </c>
      <c r="N389">
        <f>IF(COUNTIFS('United Data'!$A$3:$A$3390,N$1,'United Data'!$C$3:$C$3390,$A389,'United Data'!$B$3:$B$3390,"&lt;&gt;Off-street")&gt;0,1,0)</f>
        <v>0</v>
      </c>
      <c r="O389">
        <f>IF(COUNTIFS('United Data'!$A$3:$A$3390,O$1,'United Data'!$C$3:$C$3390,$A389,'United Data'!$B$3:$B$3390,"&lt;&gt;Off-street")&gt;0,1,0)</f>
        <v>0</v>
      </c>
      <c r="P389">
        <f>IF(COUNTIFS('United Data'!$A$3:$A$3390,P$1,'United Data'!$C$3:$C$3390,$A389,'United Data'!$B$3:$B$3390,"&lt;&gt;Off-street")&gt;0,1,0)</f>
        <v>0</v>
      </c>
      <c r="Q389">
        <f>IF(COUNTIFS('United Data'!$A$3:$A$3390,Q$1,'United Data'!$C$3:$C$3390,$A389,'United Data'!$B$3:$B$3390,"&lt;&gt;Off-street")&gt;0,1,0)</f>
        <v>0</v>
      </c>
      <c r="R389">
        <f>IF(COUNTIFS('United Data'!$A$3:$A$3390,R$1,'United Data'!$C$3:$C$3390,$A389,'United Data'!$B$3:$B$3390,"&lt;&gt;Off-street")&gt;0,1,0)</f>
        <v>0</v>
      </c>
      <c r="S389">
        <f t="shared" si="12"/>
        <v>1</v>
      </c>
      <c r="T389">
        <f t="shared" si="13"/>
        <v>1</v>
      </c>
    </row>
    <row r="390" spans="1:20" x14ac:dyDescent="0.2">
      <c r="A390" t="s">
        <v>492</v>
      </c>
      <c r="B390">
        <f>IF(COUNTIFS('United Data'!$A$3:$A$3390,B$1,'United Data'!$C$3:$C$3390,$A390,'United Data'!$B$3:$B$3390,"&lt;&gt;Off-street")&gt;0,1,0)</f>
        <v>0</v>
      </c>
      <c r="C390">
        <f>IF(COUNTIFS('United Data'!$A$3:$A$3390,C$1,'United Data'!$C$3:$C$3390,$A390,'United Data'!$B$3:$B$3390,"&lt;&gt;Off-street")&gt;0,1,0)</f>
        <v>0</v>
      </c>
      <c r="D390">
        <f>IF(COUNTIFS('United Data'!$A$3:$A$3390,D$1,'United Data'!$C$3:$C$3390,$A390,'United Data'!$B$3:$B$3390,"&lt;&gt;Off-street")&gt;0,1,0)</f>
        <v>0</v>
      </c>
      <c r="E390">
        <f>IF(COUNTIFS('United Data'!$A$3:$A$3390,E$1,'United Data'!$C$3:$C$3390,$A390,'United Data'!$B$3:$B$3390,"&lt;&gt;Off-street")&gt;0,1,0)</f>
        <v>0</v>
      </c>
      <c r="F390">
        <f>IF(COUNTIFS('United Data'!$A$3:$A$3390,F$1,'United Data'!$C$3:$C$3390,$A390,'United Data'!$B$3:$B$3390,"&lt;&gt;Off-street")&gt;0,1,0)</f>
        <v>0</v>
      </c>
      <c r="G390">
        <f>IF(COUNTIFS('United Data'!$A$3:$A$3390,G$1,'United Data'!$C$3:$C$3390,$A390,'United Data'!$B$3:$B$3390,"&lt;&gt;Off-street")&gt;0,1,0)</f>
        <v>0</v>
      </c>
      <c r="H390">
        <f>IF(COUNTIFS('United Data'!$A$3:$A$3390,H$1,'United Data'!$C$3:$C$3390,$A390,'United Data'!$B$3:$B$3390,"&lt;&gt;Off-street")&gt;0,1,0)</f>
        <v>0</v>
      </c>
      <c r="I390">
        <f>IF(COUNTIFS('United Data'!$A$3:$A$3390,I$1,'United Data'!$C$3:$C$3390,$A390,'United Data'!$B$3:$B$3390,"&lt;&gt;Off-street")&gt;0,1,0)</f>
        <v>0</v>
      </c>
      <c r="J390">
        <f>IF(COUNTIFS('United Data'!$A$3:$A$3390,J$1,'United Data'!$C$3:$C$3390,$A390,'United Data'!$B$3:$B$3390,"&lt;&gt;Off-street")&gt;0,1,0)</f>
        <v>0</v>
      </c>
      <c r="K390">
        <f>IF(COUNTIFS('United Data'!$A$3:$A$3390,K$1,'United Data'!$C$3:$C$3390,$A390,'United Data'!$B$3:$B$3390,"&lt;&gt;Off-street")&gt;0,1,0)</f>
        <v>0</v>
      </c>
      <c r="L390">
        <f>IF(COUNTIFS('United Data'!$A$3:$A$3390,L$1,'United Data'!$C$3:$C$3390,$A390,'United Data'!$B$3:$B$3390,"&lt;&gt;Off-street")&gt;0,1,0)</f>
        <v>0</v>
      </c>
      <c r="M390">
        <f>IF(COUNTIFS('United Data'!$A$3:$A$3390,M$1,'United Data'!$C$3:$C$3390,$A390,'United Data'!$B$3:$B$3390,"&lt;&gt;Off-street")&gt;0,1,0)</f>
        <v>1</v>
      </c>
      <c r="N390">
        <f>IF(COUNTIFS('United Data'!$A$3:$A$3390,N$1,'United Data'!$C$3:$C$3390,$A390,'United Data'!$B$3:$B$3390,"&lt;&gt;Off-street")&gt;0,1,0)</f>
        <v>0</v>
      </c>
      <c r="O390">
        <f>IF(COUNTIFS('United Data'!$A$3:$A$3390,O$1,'United Data'!$C$3:$C$3390,$A390,'United Data'!$B$3:$B$3390,"&lt;&gt;Off-street")&gt;0,1,0)</f>
        <v>0</v>
      </c>
      <c r="P390">
        <f>IF(COUNTIFS('United Data'!$A$3:$A$3390,P$1,'United Data'!$C$3:$C$3390,$A390,'United Data'!$B$3:$B$3390,"&lt;&gt;Off-street")&gt;0,1,0)</f>
        <v>0</v>
      </c>
      <c r="Q390">
        <f>IF(COUNTIFS('United Data'!$A$3:$A$3390,Q$1,'United Data'!$C$3:$C$3390,$A390,'United Data'!$B$3:$B$3390,"&lt;&gt;Off-street")&gt;0,1,0)</f>
        <v>0</v>
      </c>
      <c r="R390">
        <f>IF(COUNTIFS('United Data'!$A$3:$A$3390,R$1,'United Data'!$C$3:$C$3390,$A390,'United Data'!$B$3:$B$3390,"&lt;&gt;Off-street")&gt;0,1,0)</f>
        <v>0</v>
      </c>
      <c r="S390">
        <f t="shared" si="12"/>
        <v>1</v>
      </c>
      <c r="T390">
        <f t="shared" si="13"/>
        <v>1</v>
      </c>
    </row>
    <row r="391" spans="1:20" x14ac:dyDescent="0.2">
      <c r="A391" t="s">
        <v>494</v>
      </c>
      <c r="B391">
        <f>IF(COUNTIFS('United Data'!$A$3:$A$3390,B$1,'United Data'!$C$3:$C$3390,$A391,'United Data'!$B$3:$B$3390,"&lt;&gt;Off-street")&gt;0,1,0)</f>
        <v>0</v>
      </c>
      <c r="C391">
        <f>IF(COUNTIFS('United Data'!$A$3:$A$3390,C$1,'United Data'!$C$3:$C$3390,$A391,'United Data'!$B$3:$B$3390,"&lt;&gt;Off-street")&gt;0,1,0)</f>
        <v>0</v>
      </c>
      <c r="D391">
        <f>IF(COUNTIFS('United Data'!$A$3:$A$3390,D$1,'United Data'!$C$3:$C$3390,$A391,'United Data'!$B$3:$B$3390,"&lt;&gt;Off-street")&gt;0,1,0)</f>
        <v>0</v>
      </c>
      <c r="E391">
        <f>IF(COUNTIFS('United Data'!$A$3:$A$3390,E$1,'United Data'!$C$3:$C$3390,$A391,'United Data'!$B$3:$B$3390,"&lt;&gt;Off-street")&gt;0,1,0)</f>
        <v>0</v>
      </c>
      <c r="F391">
        <f>IF(COUNTIFS('United Data'!$A$3:$A$3390,F$1,'United Data'!$C$3:$C$3390,$A391,'United Data'!$B$3:$B$3390,"&lt;&gt;Off-street")&gt;0,1,0)</f>
        <v>0</v>
      </c>
      <c r="G391">
        <f>IF(COUNTIFS('United Data'!$A$3:$A$3390,G$1,'United Data'!$C$3:$C$3390,$A391,'United Data'!$B$3:$B$3390,"&lt;&gt;Off-street")&gt;0,1,0)</f>
        <v>1</v>
      </c>
      <c r="H391">
        <f>IF(COUNTIFS('United Data'!$A$3:$A$3390,H$1,'United Data'!$C$3:$C$3390,$A391,'United Data'!$B$3:$B$3390,"&lt;&gt;Off-street")&gt;0,1,0)</f>
        <v>0</v>
      </c>
      <c r="I391">
        <f>IF(COUNTIFS('United Data'!$A$3:$A$3390,I$1,'United Data'!$C$3:$C$3390,$A391,'United Data'!$B$3:$B$3390,"&lt;&gt;Off-street")&gt;0,1,0)</f>
        <v>0</v>
      </c>
      <c r="J391">
        <f>IF(COUNTIFS('United Data'!$A$3:$A$3390,J$1,'United Data'!$C$3:$C$3390,$A391,'United Data'!$B$3:$B$3390,"&lt;&gt;Off-street")&gt;0,1,0)</f>
        <v>0</v>
      </c>
      <c r="K391">
        <f>IF(COUNTIFS('United Data'!$A$3:$A$3390,K$1,'United Data'!$C$3:$C$3390,$A391,'United Data'!$B$3:$B$3390,"&lt;&gt;Off-street")&gt;0,1,0)</f>
        <v>1</v>
      </c>
      <c r="L391">
        <f>IF(COUNTIFS('United Data'!$A$3:$A$3390,L$1,'United Data'!$C$3:$C$3390,$A391,'United Data'!$B$3:$B$3390,"&lt;&gt;Off-street")&gt;0,1,0)</f>
        <v>0</v>
      </c>
      <c r="M391">
        <f>IF(COUNTIFS('United Data'!$A$3:$A$3390,M$1,'United Data'!$C$3:$C$3390,$A391,'United Data'!$B$3:$B$3390,"&lt;&gt;Off-street")&gt;0,1,0)</f>
        <v>1</v>
      </c>
      <c r="N391">
        <f>IF(COUNTIFS('United Data'!$A$3:$A$3390,N$1,'United Data'!$C$3:$C$3390,$A391,'United Data'!$B$3:$B$3390,"&lt;&gt;Off-street")&gt;0,1,0)</f>
        <v>1</v>
      </c>
      <c r="O391">
        <f>IF(COUNTIFS('United Data'!$A$3:$A$3390,O$1,'United Data'!$C$3:$C$3390,$A391,'United Data'!$B$3:$B$3390,"&lt;&gt;Off-street")&gt;0,1,0)</f>
        <v>1</v>
      </c>
      <c r="P391">
        <f>IF(COUNTIFS('United Data'!$A$3:$A$3390,P$1,'United Data'!$C$3:$C$3390,$A391,'United Data'!$B$3:$B$3390,"&lt;&gt;Off-street")&gt;0,1,0)</f>
        <v>1</v>
      </c>
      <c r="Q391">
        <f>IF(COUNTIFS('United Data'!$A$3:$A$3390,Q$1,'United Data'!$C$3:$C$3390,$A391,'United Data'!$B$3:$B$3390,"&lt;&gt;Off-street")&gt;0,1,0)</f>
        <v>0</v>
      </c>
      <c r="R391">
        <f>IF(COUNTIFS('United Data'!$A$3:$A$3390,R$1,'United Data'!$C$3:$C$3390,$A391,'United Data'!$B$3:$B$3390,"&lt;&gt;Off-street")&gt;0,1,0)</f>
        <v>0</v>
      </c>
      <c r="S391">
        <f t="shared" si="12"/>
        <v>6</v>
      </c>
      <c r="T391">
        <f t="shared" si="13"/>
        <v>3</v>
      </c>
    </row>
    <row r="392" spans="1:20" x14ac:dyDescent="0.2">
      <c r="A392" t="s">
        <v>495</v>
      </c>
      <c r="B392">
        <f>IF(COUNTIFS('United Data'!$A$3:$A$3390,B$1,'United Data'!$C$3:$C$3390,$A392,'United Data'!$B$3:$B$3390,"&lt;&gt;Off-street")&gt;0,1,0)</f>
        <v>0</v>
      </c>
      <c r="C392">
        <f>IF(COUNTIFS('United Data'!$A$3:$A$3390,C$1,'United Data'!$C$3:$C$3390,$A392,'United Data'!$B$3:$B$3390,"&lt;&gt;Off-street")&gt;0,1,0)</f>
        <v>0</v>
      </c>
      <c r="D392">
        <f>IF(COUNTIFS('United Data'!$A$3:$A$3390,D$1,'United Data'!$C$3:$C$3390,$A392,'United Data'!$B$3:$B$3390,"&lt;&gt;Off-street")&gt;0,1,0)</f>
        <v>0</v>
      </c>
      <c r="E392">
        <f>IF(COUNTIFS('United Data'!$A$3:$A$3390,E$1,'United Data'!$C$3:$C$3390,$A392,'United Data'!$B$3:$B$3390,"&lt;&gt;Off-street")&gt;0,1,0)</f>
        <v>0</v>
      </c>
      <c r="F392">
        <f>IF(COUNTIFS('United Data'!$A$3:$A$3390,F$1,'United Data'!$C$3:$C$3390,$A392,'United Data'!$B$3:$B$3390,"&lt;&gt;Off-street")&gt;0,1,0)</f>
        <v>0</v>
      </c>
      <c r="G392">
        <f>IF(COUNTIFS('United Data'!$A$3:$A$3390,G$1,'United Data'!$C$3:$C$3390,$A392,'United Data'!$B$3:$B$3390,"&lt;&gt;Off-street")&gt;0,1,0)</f>
        <v>0</v>
      </c>
      <c r="H392">
        <f>IF(COUNTIFS('United Data'!$A$3:$A$3390,H$1,'United Data'!$C$3:$C$3390,$A392,'United Data'!$B$3:$B$3390,"&lt;&gt;Off-street")&gt;0,1,0)</f>
        <v>0</v>
      </c>
      <c r="I392">
        <f>IF(COUNTIFS('United Data'!$A$3:$A$3390,I$1,'United Data'!$C$3:$C$3390,$A392,'United Data'!$B$3:$B$3390,"&lt;&gt;Off-street")&gt;0,1,0)</f>
        <v>0</v>
      </c>
      <c r="J392">
        <f>IF(COUNTIFS('United Data'!$A$3:$A$3390,J$1,'United Data'!$C$3:$C$3390,$A392,'United Data'!$B$3:$B$3390,"&lt;&gt;Off-street")&gt;0,1,0)</f>
        <v>0</v>
      </c>
      <c r="K392">
        <f>IF(COUNTIFS('United Data'!$A$3:$A$3390,K$1,'United Data'!$C$3:$C$3390,$A392,'United Data'!$B$3:$B$3390,"&lt;&gt;Off-street")&gt;0,1,0)</f>
        <v>0</v>
      </c>
      <c r="L392">
        <f>IF(COUNTIFS('United Data'!$A$3:$A$3390,L$1,'United Data'!$C$3:$C$3390,$A392,'United Data'!$B$3:$B$3390,"&lt;&gt;Off-street")&gt;0,1,0)</f>
        <v>0</v>
      </c>
      <c r="M392">
        <f>IF(COUNTIFS('United Data'!$A$3:$A$3390,M$1,'United Data'!$C$3:$C$3390,$A392,'United Data'!$B$3:$B$3390,"&lt;&gt;Off-street")&gt;0,1,0)</f>
        <v>0</v>
      </c>
      <c r="N392">
        <f>IF(COUNTIFS('United Data'!$A$3:$A$3390,N$1,'United Data'!$C$3:$C$3390,$A392,'United Data'!$B$3:$B$3390,"&lt;&gt;Off-street")&gt;0,1,0)</f>
        <v>1</v>
      </c>
      <c r="O392">
        <f>IF(COUNTIFS('United Data'!$A$3:$A$3390,O$1,'United Data'!$C$3:$C$3390,$A392,'United Data'!$B$3:$B$3390,"&lt;&gt;Off-street")&gt;0,1,0)</f>
        <v>0</v>
      </c>
      <c r="P392">
        <f>IF(COUNTIFS('United Data'!$A$3:$A$3390,P$1,'United Data'!$C$3:$C$3390,$A392,'United Data'!$B$3:$B$3390,"&lt;&gt;Off-street")&gt;0,1,0)</f>
        <v>0</v>
      </c>
      <c r="Q392">
        <f>IF(COUNTIFS('United Data'!$A$3:$A$3390,Q$1,'United Data'!$C$3:$C$3390,$A392,'United Data'!$B$3:$B$3390,"&lt;&gt;Off-street")&gt;0,1,0)</f>
        <v>0</v>
      </c>
      <c r="R392">
        <f>IF(COUNTIFS('United Data'!$A$3:$A$3390,R$1,'United Data'!$C$3:$C$3390,$A392,'United Data'!$B$3:$B$3390,"&lt;&gt;Off-street")&gt;0,1,0)</f>
        <v>0</v>
      </c>
      <c r="S392">
        <f t="shared" si="12"/>
        <v>1</v>
      </c>
      <c r="T392">
        <f t="shared" si="13"/>
        <v>1</v>
      </c>
    </row>
    <row r="393" spans="1:20" x14ac:dyDescent="0.2">
      <c r="A393" t="s">
        <v>496</v>
      </c>
      <c r="B393">
        <f>IF(COUNTIFS('United Data'!$A$3:$A$3390,B$1,'United Data'!$C$3:$C$3390,$A393,'United Data'!$B$3:$B$3390,"&lt;&gt;Off-street")&gt;0,1,0)</f>
        <v>0</v>
      </c>
      <c r="C393">
        <f>IF(COUNTIFS('United Data'!$A$3:$A$3390,C$1,'United Data'!$C$3:$C$3390,$A393,'United Data'!$B$3:$B$3390,"&lt;&gt;Off-street")&gt;0,1,0)</f>
        <v>0</v>
      </c>
      <c r="D393">
        <f>IF(COUNTIFS('United Data'!$A$3:$A$3390,D$1,'United Data'!$C$3:$C$3390,$A393,'United Data'!$B$3:$B$3390,"&lt;&gt;Off-street")&gt;0,1,0)</f>
        <v>0</v>
      </c>
      <c r="E393">
        <f>IF(COUNTIFS('United Data'!$A$3:$A$3390,E$1,'United Data'!$C$3:$C$3390,$A393,'United Data'!$B$3:$B$3390,"&lt;&gt;Off-street")&gt;0,1,0)</f>
        <v>0</v>
      </c>
      <c r="F393">
        <f>IF(COUNTIFS('United Data'!$A$3:$A$3390,F$1,'United Data'!$C$3:$C$3390,$A393,'United Data'!$B$3:$B$3390,"&lt;&gt;Off-street")&gt;0,1,0)</f>
        <v>0</v>
      </c>
      <c r="G393">
        <f>IF(COUNTIFS('United Data'!$A$3:$A$3390,G$1,'United Data'!$C$3:$C$3390,$A393,'United Data'!$B$3:$B$3390,"&lt;&gt;Off-street")&gt;0,1,0)</f>
        <v>0</v>
      </c>
      <c r="H393">
        <f>IF(COUNTIFS('United Data'!$A$3:$A$3390,H$1,'United Data'!$C$3:$C$3390,$A393,'United Data'!$B$3:$B$3390,"&lt;&gt;Off-street")&gt;0,1,0)</f>
        <v>0</v>
      </c>
      <c r="I393">
        <f>IF(COUNTIFS('United Data'!$A$3:$A$3390,I$1,'United Data'!$C$3:$C$3390,$A393,'United Data'!$B$3:$B$3390,"&lt;&gt;Off-street")&gt;0,1,0)</f>
        <v>0</v>
      </c>
      <c r="J393">
        <f>IF(COUNTIFS('United Data'!$A$3:$A$3390,J$1,'United Data'!$C$3:$C$3390,$A393,'United Data'!$B$3:$B$3390,"&lt;&gt;Off-street")&gt;0,1,0)</f>
        <v>0</v>
      </c>
      <c r="K393">
        <f>IF(COUNTIFS('United Data'!$A$3:$A$3390,K$1,'United Data'!$C$3:$C$3390,$A393,'United Data'!$B$3:$B$3390,"&lt;&gt;Off-street")&gt;0,1,0)</f>
        <v>0</v>
      </c>
      <c r="L393">
        <f>IF(COUNTIFS('United Data'!$A$3:$A$3390,L$1,'United Data'!$C$3:$C$3390,$A393,'United Data'!$B$3:$B$3390,"&lt;&gt;Off-street")&gt;0,1,0)</f>
        <v>0</v>
      </c>
      <c r="M393">
        <f>IF(COUNTIFS('United Data'!$A$3:$A$3390,M$1,'United Data'!$C$3:$C$3390,$A393,'United Data'!$B$3:$B$3390,"&lt;&gt;Off-street")&gt;0,1,0)</f>
        <v>0</v>
      </c>
      <c r="N393">
        <f>IF(COUNTIFS('United Data'!$A$3:$A$3390,N$1,'United Data'!$C$3:$C$3390,$A393,'United Data'!$B$3:$B$3390,"&lt;&gt;Off-street")&gt;0,1,0)</f>
        <v>1</v>
      </c>
      <c r="O393">
        <f>IF(COUNTIFS('United Data'!$A$3:$A$3390,O$1,'United Data'!$C$3:$C$3390,$A393,'United Data'!$B$3:$B$3390,"&lt;&gt;Off-street")&gt;0,1,0)</f>
        <v>0</v>
      </c>
      <c r="P393">
        <f>IF(COUNTIFS('United Data'!$A$3:$A$3390,P$1,'United Data'!$C$3:$C$3390,$A393,'United Data'!$B$3:$B$3390,"&lt;&gt;Off-street")&gt;0,1,0)</f>
        <v>0</v>
      </c>
      <c r="Q393">
        <f>IF(COUNTIFS('United Data'!$A$3:$A$3390,Q$1,'United Data'!$C$3:$C$3390,$A393,'United Data'!$B$3:$B$3390,"&lt;&gt;Off-street")&gt;0,1,0)</f>
        <v>0</v>
      </c>
      <c r="R393">
        <f>IF(COUNTIFS('United Data'!$A$3:$A$3390,R$1,'United Data'!$C$3:$C$3390,$A393,'United Data'!$B$3:$B$3390,"&lt;&gt;Off-street")&gt;0,1,0)</f>
        <v>0</v>
      </c>
      <c r="S393">
        <f t="shared" si="12"/>
        <v>1</v>
      </c>
      <c r="T393">
        <f t="shared" si="13"/>
        <v>1</v>
      </c>
    </row>
    <row r="394" spans="1:20" x14ac:dyDescent="0.2">
      <c r="A394" t="s">
        <v>497</v>
      </c>
      <c r="B394">
        <f>IF(COUNTIFS('United Data'!$A$3:$A$3390,B$1,'United Data'!$C$3:$C$3390,$A394,'United Data'!$B$3:$B$3390,"&lt;&gt;Off-street")&gt;0,1,0)</f>
        <v>0</v>
      </c>
      <c r="C394">
        <f>IF(COUNTIFS('United Data'!$A$3:$A$3390,C$1,'United Data'!$C$3:$C$3390,$A394,'United Data'!$B$3:$B$3390,"&lt;&gt;Off-street")&gt;0,1,0)</f>
        <v>0</v>
      </c>
      <c r="D394">
        <f>IF(COUNTIFS('United Data'!$A$3:$A$3390,D$1,'United Data'!$C$3:$C$3390,$A394,'United Data'!$B$3:$B$3390,"&lt;&gt;Off-street")&gt;0,1,0)</f>
        <v>0</v>
      </c>
      <c r="E394">
        <f>IF(COUNTIFS('United Data'!$A$3:$A$3390,E$1,'United Data'!$C$3:$C$3390,$A394,'United Data'!$B$3:$B$3390,"&lt;&gt;Off-street")&gt;0,1,0)</f>
        <v>0</v>
      </c>
      <c r="F394">
        <f>IF(COUNTIFS('United Data'!$A$3:$A$3390,F$1,'United Data'!$C$3:$C$3390,$A394,'United Data'!$B$3:$B$3390,"&lt;&gt;Off-street")&gt;0,1,0)</f>
        <v>0</v>
      </c>
      <c r="G394">
        <f>IF(COUNTIFS('United Data'!$A$3:$A$3390,G$1,'United Data'!$C$3:$C$3390,$A394,'United Data'!$B$3:$B$3390,"&lt;&gt;Off-street")&gt;0,1,0)</f>
        <v>0</v>
      </c>
      <c r="H394">
        <f>IF(COUNTIFS('United Data'!$A$3:$A$3390,H$1,'United Data'!$C$3:$C$3390,$A394,'United Data'!$B$3:$B$3390,"&lt;&gt;Off-street")&gt;0,1,0)</f>
        <v>0</v>
      </c>
      <c r="I394">
        <f>IF(COUNTIFS('United Data'!$A$3:$A$3390,I$1,'United Data'!$C$3:$C$3390,$A394,'United Data'!$B$3:$B$3390,"&lt;&gt;Off-street")&gt;0,1,0)</f>
        <v>0</v>
      </c>
      <c r="J394">
        <f>IF(COUNTIFS('United Data'!$A$3:$A$3390,J$1,'United Data'!$C$3:$C$3390,$A394,'United Data'!$B$3:$B$3390,"&lt;&gt;Off-street")&gt;0,1,0)</f>
        <v>0</v>
      </c>
      <c r="K394">
        <f>IF(COUNTIFS('United Data'!$A$3:$A$3390,K$1,'United Data'!$C$3:$C$3390,$A394,'United Data'!$B$3:$B$3390,"&lt;&gt;Off-street")&gt;0,1,0)</f>
        <v>0</v>
      </c>
      <c r="L394">
        <f>IF(COUNTIFS('United Data'!$A$3:$A$3390,L$1,'United Data'!$C$3:$C$3390,$A394,'United Data'!$B$3:$B$3390,"&lt;&gt;Off-street")&gt;0,1,0)</f>
        <v>0</v>
      </c>
      <c r="M394">
        <f>IF(COUNTIFS('United Data'!$A$3:$A$3390,M$1,'United Data'!$C$3:$C$3390,$A394,'United Data'!$B$3:$B$3390,"&lt;&gt;Off-street")&gt;0,1,0)</f>
        <v>0</v>
      </c>
      <c r="N394">
        <f>IF(COUNTIFS('United Data'!$A$3:$A$3390,N$1,'United Data'!$C$3:$C$3390,$A394,'United Data'!$B$3:$B$3390,"&lt;&gt;Off-street")&gt;0,1,0)</f>
        <v>0</v>
      </c>
      <c r="O394">
        <f>IF(COUNTIFS('United Data'!$A$3:$A$3390,O$1,'United Data'!$C$3:$C$3390,$A394,'United Data'!$B$3:$B$3390,"&lt;&gt;Off-street")&gt;0,1,0)</f>
        <v>1</v>
      </c>
      <c r="P394">
        <f>IF(COUNTIFS('United Data'!$A$3:$A$3390,P$1,'United Data'!$C$3:$C$3390,$A394,'United Data'!$B$3:$B$3390,"&lt;&gt;Off-street")&gt;0,1,0)</f>
        <v>0</v>
      </c>
      <c r="Q394">
        <f>IF(COUNTIFS('United Data'!$A$3:$A$3390,Q$1,'United Data'!$C$3:$C$3390,$A394,'United Data'!$B$3:$B$3390,"&lt;&gt;Off-street")&gt;0,1,0)</f>
        <v>0</v>
      </c>
      <c r="R394">
        <f>IF(COUNTIFS('United Data'!$A$3:$A$3390,R$1,'United Data'!$C$3:$C$3390,$A394,'United Data'!$B$3:$B$3390,"&lt;&gt;Off-street")&gt;0,1,0)</f>
        <v>0</v>
      </c>
      <c r="S394">
        <f t="shared" si="12"/>
        <v>1</v>
      </c>
      <c r="T394">
        <f t="shared" si="13"/>
        <v>1</v>
      </c>
    </row>
    <row r="395" spans="1:20" x14ac:dyDescent="0.2">
      <c r="A395" t="s">
        <v>498</v>
      </c>
      <c r="B395">
        <f>IF(COUNTIFS('United Data'!$A$3:$A$3390,B$1,'United Data'!$C$3:$C$3390,$A395,'United Data'!$B$3:$B$3390,"&lt;&gt;Off-street")&gt;0,1,0)</f>
        <v>0</v>
      </c>
      <c r="C395">
        <f>IF(COUNTIFS('United Data'!$A$3:$A$3390,C$1,'United Data'!$C$3:$C$3390,$A395,'United Data'!$B$3:$B$3390,"&lt;&gt;Off-street")&gt;0,1,0)</f>
        <v>0</v>
      </c>
      <c r="D395">
        <f>IF(COUNTIFS('United Data'!$A$3:$A$3390,D$1,'United Data'!$C$3:$C$3390,$A395,'United Data'!$B$3:$B$3390,"&lt;&gt;Off-street")&gt;0,1,0)</f>
        <v>0</v>
      </c>
      <c r="E395">
        <f>IF(COUNTIFS('United Data'!$A$3:$A$3390,E$1,'United Data'!$C$3:$C$3390,$A395,'United Data'!$B$3:$B$3390,"&lt;&gt;Off-street")&gt;0,1,0)</f>
        <v>0</v>
      </c>
      <c r="F395">
        <f>IF(COUNTIFS('United Data'!$A$3:$A$3390,F$1,'United Data'!$C$3:$C$3390,$A395,'United Data'!$B$3:$B$3390,"&lt;&gt;Off-street")&gt;0,1,0)</f>
        <v>0</v>
      </c>
      <c r="G395">
        <f>IF(COUNTIFS('United Data'!$A$3:$A$3390,G$1,'United Data'!$C$3:$C$3390,$A395,'United Data'!$B$3:$B$3390,"&lt;&gt;Off-street")&gt;0,1,0)</f>
        <v>0</v>
      </c>
      <c r="H395">
        <f>IF(COUNTIFS('United Data'!$A$3:$A$3390,H$1,'United Data'!$C$3:$C$3390,$A395,'United Data'!$B$3:$B$3390,"&lt;&gt;Off-street")&gt;0,1,0)</f>
        <v>0</v>
      </c>
      <c r="I395">
        <f>IF(COUNTIFS('United Data'!$A$3:$A$3390,I$1,'United Data'!$C$3:$C$3390,$A395,'United Data'!$B$3:$B$3390,"&lt;&gt;Off-street")&gt;0,1,0)</f>
        <v>0</v>
      </c>
      <c r="J395">
        <f>IF(COUNTIFS('United Data'!$A$3:$A$3390,J$1,'United Data'!$C$3:$C$3390,$A395,'United Data'!$B$3:$B$3390,"&lt;&gt;Off-street")&gt;0,1,0)</f>
        <v>0</v>
      </c>
      <c r="K395">
        <f>IF(COUNTIFS('United Data'!$A$3:$A$3390,K$1,'United Data'!$C$3:$C$3390,$A395,'United Data'!$B$3:$B$3390,"&lt;&gt;Off-street")&gt;0,1,0)</f>
        <v>0</v>
      </c>
      <c r="L395">
        <f>IF(COUNTIFS('United Data'!$A$3:$A$3390,L$1,'United Data'!$C$3:$C$3390,$A395,'United Data'!$B$3:$B$3390,"&lt;&gt;Off-street")&gt;0,1,0)</f>
        <v>0</v>
      </c>
      <c r="M395">
        <f>IF(COUNTIFS('United Data'!$A$3:$A$3390,M$1,'United Data'!$C$3:$C$3390,$A395,'United Data'!$B$3:$B$3390,"&lt;&gt;Off-street")&gt;0,1,0)</f>
        <v>0</v>
      </c>
      <c r="N395">
        <f>IF(COUNTIFS('United Data'!$A$3:$A$3390,N$1,'United Data'!$C$3:$C$3390,$A395,'United Data'!$B$3:$B$3390,"&lt;&gt;Off-street")&gt;0,1,0)</f>
        <v>0</v>
      </c>
      <c r="O395">
        <f>IF(COUNTIFS('United Data'!$A$3:$A$3390,O$1,'United Data'!$C$3:$C$3390,$A395,'United Data'!$B$3:$B$3390,"&lt;&gt;Off-street")&gt;0,1,0)</f>
        <v>1</v>
      </c>
      <c r="P395">
        <f>IF(COUNTIFS('United Data'!$A$3:$A$3390,P$1,'United Data'!$C$3:$C$3390,$A395,'United Data'!$B$3:$B$3390,"&lt;&gt;Off-street")&gt;0,1,0)</f>
        <v>0</v>
      </c>
      <c r="Q395">
        <f>IF(COUNTIFS('United Data'!$A$3:$A$3390,Q$1,'United Data'!$C$3:$C$3390,$A395,'United Data'!$B$3:$B$3390,"&lt;&gt;Off-street")&gt;0,1,0)</f>
        <v>0</v>
      </c>
      <c r="R395">
        <f>IF(COUNTIFS('United Data'!$A$3:$A$3390,R$1,'United Data'!$C$3:$C$3390,$A395,'United Data'!$B$3:$B$3390,"&lt;&gt;Off-street")&gt;0,1,0)</f>
        <v>0</v>
      </c>
      <c r="S395">
        <f t="shared" si="12"/>
        <v>1</v>
      </c>
      <c r="T395">
        <f t="shared" si="13"/>
        <v>1</v>
      </c>
    </row>
    <row r="396" spans="1:20" x14ac:dyDescent="0.2">
      <c r="A396" t="s">
        <v>499</v>
      </c>
      <c r="B396">
        <f>IF(COUNTIFS('United Data'!$A$3:$A$3390,B$1,'United Data'!$C$3:$C$3390,$A396,'United Data'!$B$3:$B$3390,"&lt;&gt;Off-street")&gt;0,1,0)</f>
        <v>0</v>
      </c>
      <c r="C396">
        <f>IF(COUNTIFS('United Data'!$A$3:$A$3390,C$1,'United Data'!$C$3:$C$3390,$A396,'United Data'!$B$3:$B$3390,"&lt;&gt;Off-street")&gt;0,1,0)</f>
        <v>0</v>
      </c>
      <c r="D396">
        <f>IF(COUNTIFS('United Data'!$A$3:$A$3390,D$1,'United Data'!$C$3:$C$3390,$A396,'United Data'!$B$3:$B$3390,"&lt;&gt;Off-street")&gt;0,1,0)</f>
        <v>0</v>
      </c>
      <c r="E396">
        <f>IF(COUNTIFS('United Data'!$A$3:$A$3390,E$1,'United Data'!$C$3:$C$3390,$A396,'United Data'!$B$3:$B$3390,"&lt;&gt;Off-street")&gt;0,1,0)</f>
        <v>0</v>
      </c>
      <c r="F396">
        <f>IF(COUNTIFS('United Data'!$A$3:$A$3390,F$1,'United Data'!$C$3:$C$3390,$A396,'United Data'!$B$3:$B$3390,"&lt;&gt;Off-street")&gt;0,1,0)</f>
        <v>0</v>
      </c>
      <c r="G396">
        <f>IF(COUNTIFS('United Data'!$A$3:$A$3390,G$1,'United Data'!$C$3:$C$3390,$A396,'United Data'!$B$3:$B$3390,"&lt;&gt;Off-street")&gt;0,1,0)</f>
        <v>0</v>
      </c>
      <c r="H396">
        <f>IF(COUNTIFS('United Data'!$A$3:$A$3390,H$1,'United Data'!$C$3:$C$3390,$A396,'United Data'!$B$3:$B$3390,"&lt;&gt;Off-street")&gt;0,1,0)</f>
        <v>0</v>
      </c>
      <c r="I396">
        <f>IF(COUNTIFS('United Data'!$A$3:$A$3390,I$1,'United Data'!$C$3:$C$3390,$A396,'United Data'!$B$3:$B$3390,"&lt;&gt;Off-street")&gt;0,1,0)</f>
        <v>0</v>
      </c>
      <c r="J396">
        <f>IF(COUNTIFS('United Data'!$A$3:$A$3390,J$1,'United Data'!$C$3:$C$3390,$A396,'United Data'!$B$3:$B$3390,"&lt;&gt;Off-street")&gt;0,1,0)</f>
        <v>0</v>
      </c>
      <c r="K396">
        <f>IF(COUNTIFS('United Data'!$A$3:$A$3390,K$1,'United Data'!$C$3:$C$3390,$A396,'United Data'!$B$3:$B$3390,"&lt;&gt;Off-street")&gt;0,1,0)</f>
        <v>0</v>
      </c>
      <c r="L396">
        <f>IF(COUNTIFS('United Data'!$A$3:$A$3390,L$1,'United Data'!$C$3:$C$3390,$A396,'United Data'!$B$3:$B$3390,"&lt;&gt;Off-street")&gt;0,1,0)</f>
        <v>0</v>
      </c>
      <c r="M396">
        <f>IF(COUNTIFS('United Data'!$A$3:$A$3390,M$1,'United Data'!$C$3:$C$3390,$A396,'United Data'!$B$3:$B$3390,"&lt;&gt;Off-street")&gt;0,1,0)</f>
        <v>0</v>
      </c>
      <c r="N396">
        <f>IF(COUNTIFS('United Data'!$A$3:$A$3390,N$1,'United Data'!$C$3:$C$3390,$A396,'United Data'!$B$3:$B$3390,"&lt;&gt;Off-street")&gt;0,1,0)</f>
        <v>0</v>
      </c>
      <c r="O396">
        <f>IF(COUNTIFS('United Data'!$A$3:$A$3390,O$1,'United Data'!$C$3:$C$3390,$A396,'United Data'!$B$3:$B$3390,"&lt;&gt;Off-street")&gt;0,1,0)</f>
        <v>1</v>
      </c>
      <c r="P396">
        <f>IF(COUNTIFS('United Data'!$A$3:$A$3390,P$1,'United Data'!$C$3:$C$3390,$A396,'United Data'!$B$3:$B$3390,"&lt;&gt;Off-street")&gt;0,1,0)</f>
        <v>0</v>
      </c>
      <c r="Q396">
        <f>IF(COUNTIFS('United Data'!$A$3:$A$3390,Q$1,'United Data'!$C$3:$C$3390,$A396,'United Data'!$B$3:$B$3390,"&lt;&gt;Off-street")&gt;0,1,0)</f>
        <v>0</v>
      </c>
      <c r="R396">
        <f>IF(COUNTIFS('United Data'!$A$3:$A$3390,R$1,'United Data'!$C$3:$C$3390,$A396,'United Data'!$B$3:$B$3390,"&lt;&gt;Off-street")&gt;0,1,0)</f>
        <v>0</v>
      </c>
      <c r="S396">
        <f t="shared" si="12"/>
        <v>1</v>
      </c>
      <c r="T396">
        <f t="shared" si="13"/>
        <v>1</v>
      </c>
    </row>
    <row r="397" spans="1:20" x14ac:dyDescent="0.2">
      <c r="A397" t="s">
        <v>500</v>
      </c>
      <c r="B397">
        <f>IF(COUNTIFS('United Data'!$A$3:$A$3390,B$1,'United Data'!$C$3:$C$3390,$A397,'United Data'!$B$3:$B$3390,"&lt;&gt;Off-street")&gt;0,1,0)</f>
        <v>0</v>
      </c>
      <c r="C397">
        <f>IF(COUNTIFS('United Data'!$A$3:$A$3390,C$1,'United Data'!$C$3:$C$3390,$A397,'United Data'!$B$3:$B$3390,"&lt;&gt;Off-street")&gt;0,1,0)</f>
        <v>0</v>
      </c>
      <c r="D397">
        <f>IF(COUNTIFS('United Data'!$A$3:$A$3390,D$1,'United Data'!$C$3:$C$3390,$A397,'United Data'!$B$3:$B$3390,"&lt;&gt;Off-street")&gt;0,1,0)</f>
        <v>0</v>
      </c>
      <c r="E397">
        <f>IF(COUNTIFS('United Data'!$A$3:$A$3390,E$1,'United Data'!$C$3:$C$3390,$A397,'United Data'!$B$3:$B$3390,"&lt;&gt;Off-street")&gt;0,1,0)</f>
        <v>0</v>
      </c>
      <c r="F397">
        <f>IF(COUNTIFS('United Data'!$A$3:$A$3390,F$1,'United Data'!$C$3:$C$3390,$A397,'United Data'!$B$3:$B$3390,"&lt;&gt;Off-street")&gt;0,1,0)</f>
        <v>0</v>
      </c>
      <c r="G397">
        <f>IF(COUNTIFS('United Data'!$A$3:$A$3390,G$1,'United Data'!$C$3:$C$3390,$A397,'United Data'!$B$3:$B$3390,"&lt;&gt;Off-street")&gt;0,1,0)</f>
        <v>0</v>
      </c>
      <c r="H397">
        <f>IF(COUNTIFS('United Data'!$A$3:$A$3390,H$1,'United Data'!$C$3:$C$3390,$A397,'United Data'!$B$3:$B$3390,"&lt;&gt;Off-street")&gt;0,1,0)</f>
        <v>0</v>
      </c>
      <c r="I397">
        <f>IF(COUNTIFS('United Data'!$A$3:$A$3390,I$1,'United Data'!$C$3:$C$3390,$A397,'United Data'!$B$3:$B$3390,"&lt;&gt;Off-street")&gt;0,1,0)</f>
        <v>0</v>
      </c>
      <c r="J397">
        <f>IF(COUNTIFS('United Data'!$A$3:$A$3390,J$1,'United Data'!$C$3:$C$3390,$A397,'United Data'!$B$3:$B$3390,"&lt;&gt;Off-street")&gt;0,1,0)</f>
        <v>0</v>
      </c>
      <c r="K397">
        <f>IF(COUNTIFS('United Data'!$A$3:$A$3390,K$1,'United Data'!$C$3:$C$3390,$A397,'United Data'!$B$3:$B$3390,"&lt;&gt;Off-street")&gt;0,1,0)</f>
        <v>0</v>
      </c>
      <c r="L397">
        <f>IF(COUNTIFS('United Data'!$A$3:$A$3390,L$1,'United Data'!$C$3:$C$3390,$A397,'United Data'!$B$3:$B$3390,"&lt;&gt;Off-street")&gt;0,1,0)</f>
        <v>0</v>
      </c>
      <c r="M397">
        <f>IF(COUNTIFS('United Data'!$A$3:$A$3390,M$1,'United Data'!$C$3:$C$3390,$A397,'United Data'!$B$3:$B$3390,"&lt;&gt;Off-street")&gt;0,1,0)</f>
        <v>0</v>
      </c>
      <c r="N397">
        <f>IF(COUNTIFS('United Data'!$A$3:$A$3390,N$1,'United Data'!$C$3:$C$3390,$A397,'United Data'!$B$3:$B$3390,"&lt;&gt;Off-street")&gt;0,1,0)</f>
        <v>0</v>
      </c>
      <c r="O397">
        <f>IF(COUNTIFS('United Data'!$A$3:$A$3390,O$1,'United Data'!$C$3:$C$3390,$A397,'United Data'!$B$3:$B$3390,"&lt;&gt;Off-street")&gt;0,1,0)</f>
        <v>0</v>
      </c>
      <c r="P397">
        <f>IF(COUNTIFS('United Data'!$A$3:$A$3390,P$1,'United Data'!$C$3:$C$3390,$A397,'United Data'!$B$3:$B$3390,"&lt;&gt;Off-street")&gt;0,1,0)</f>
        <v>1</v>
      </c>
      <c r="Q397">
        <f>IF(COUNTIFS('United Data'!$A$3:$A$3390,Q$1,'United Data'!$C$3:$C$3390,$A397,'United Data'!$B$3:$B$3390,"&lt;&gt;Off-street")&gt;0,1,0)</f>
        <v>0</v>
      </c>
      <c r="R397">
        <f>IF(COUNTIFS('United Data'!$A$3:$A$3390,R$1,'United Data'!$C$3:$C$3390,$A397,'United Data'!$B$3:$B$3390,"&lt;&gt;Off-street")&gt;0,1,0)</f>
        <v>0</v>
      </c>
      <c r="S397">
        <f t="shared" si="12"/>
        <v>1</v>
      </c>
      <c r="T397">
        <f t="shared" si="13"/>
        <v>1</v>
      </c>
    </row>
    <row r="398" spans="1:20" x14ac:dyDescent="0.2">
      <c r="A398" t="s">
        <v>501</v>
      </c>
      <c r="B398">
        <f>IF(COUNTIFS('United Data'!$A$3:$A$3390,B$1,'United Data'!$C$3:$C$3390,$A398,'United Data'!$B$3:$B$3390,"&lt;&gt;Off-street")&gt;0,1,0)</f>
        <v>0</v>
      </c>
      <c r="C398">
        <f>IF(COUNTIFS('United Data'!$A$3:$A$3390,C$1,'United Data'!$C$3:$C$3390,$A398,'United Data'!$B$3:$B$3390,"&lt;&gt;Off-street")&gt;0,1,0)</f>
        <v>0</v>
      </c>
      <c r="D398">
        <f>IF(COUNTIFS('United Data'!$A$3:$A$3390,D$1,'United Data'!$C$3:$C$3390,$A398,'United Data'!$B$3:$B$3390,"&lt;&gt;Off-street")&gt;0,1,0)</f>
        <v>0</v>
      </c>
      <c r="E398">
        <f>IF(COUNTIFS('United Data'!$A$3:$A$3390,E$1,'United Data'!$C$3:$C$3390,$A398,'United Data'!$B$3:$B$3390,"&lt;&gt;Off-street")&gt;0,1,0)</f>
        <v>0</v>
      </c>
      <c r="F398">
        <f>IF(COUNTIFS('United Data'!$A$3:$A$3390,F$1,'United Data'!$C$3:$C$3390,$A398,'United Data'!$B$3:$B$3390,"&lt;&gt;Off-street")&gt;0,1,0)</f>
        <v>0</v>
      </c>
      <c r="G398">
        <f>IF(COUNTIFS('United Data'!$A$3:$A$3390,G$1,'United Data'!$C$3:$C$3390,$A398,'United Data'!$B$3:$B$3390,"&lt;&gt;Off-street")&gt;0,1,0)</f>
        <v>0</v>
      </c>
      <c r="H398">
        <f>IF(COUNTIFS('United Data'!$A$3:$A$3390,H$1,'United Data'!$C$3:$C$3390,$A398,'United Data'!$B$3:$B$3390,"&lt;&gt;Off-street")&gt;0,1,0)</f>
        <v>0</v>
      </c>
      <c r="I398">
        <f>IF(COUNTIFS('United Data'!$A$3:$A$3390,I$1,'United Data'!$C$3:$C$3390,$A398,'United Data'!$B$3:$B$3390,"&lt;&gt;Off-street")&gt;0,1,0)</f>
        <v>0</v>
      </c>
      <c r="J398">
        <f>IF(COUNTIFS('United Data'!$A$3:$A$3390,J$1,'United Data'!$C$3:$C$3390,$A398,'United Data'!$B$3:$B$3390,"&lt;&gt;Off-street")&gt;0,1,0)</f>
        <v>0</v>
      </c>
      <c r="K398">
        <f>IF(COUNTIFS('United Data'!$A$3:$A$3390,K$1,'United Data'!$C$3:$C$3390,$A398,'United Data'!$B$3:$B$3390,"&lt;&gt;Off-street")&gt;0,1,0)</f>
        <v>0</v>
      </c>
      <c r="L398">
        <f>IF(COUNTIFS('United Data'!$A$3:$A$3390,L$1,'United Data'!$C$3:$C$3390,$A398,'United Data'!$B$3:$B$3390,"&lt;&gt;Off-street")&gt;0,1,0)</f>
        <v>0</v>
      </c>
      <c r="M398">
        <f>IF(COUNTIFS('United Data'!$A$3:$A$3390,M$1,'United Data'!$C$3:$C$3390,$A398,'United Data'!$B$3:$B$3390,"&lt;&gt;Off-street")&gt;0,1,0)</f>
        <v>0</v>
      </c>
      <c r="N398">
        <f>IF(COUNTIFS('United Data'!$A$3:$A$3390,N$1,'United Data'!$C$3:$C$3390,$A398,'United Data'!$B$3:$B$3390,"&lt;&gt;Off-street")&gt;0,1,0)</f>
        <v>0</v>
      </c>
      <c r="O398">
        <f>IF(COUNTIFS('United Data'!$A$3:$A$3390,O$1,'United Data'!$C$3:$C$3390,$A398,'United Data'!$B$3:$B$3390,"&lt;&gt;Off-street")&gt;0,1,0)</f>
        <v>0</v>
      </c>
      <c r="P398">
        <f>IF(COUNTIFS('United Data'!$A$3:$A$3390,P$1,'United Data'!$C$3:$C$3390,$A398,'United Data'!$B$3:$B$3390,"&lt;&gt;Off-street")&gt;0,1,0)</f>
        <v>1</v>
      </c>
      <c r="Q398">
        <f>IF(COUNTIFS('United Data'!$A$3:$A$3390,Q$1,'United Data'!$C$3:$C$3390,$A398,'United Data'!$B$3:$B$3390,"&lt;&gt;Off-street")&gt;0,1,0)</f>
        <v>0</v>
      </c>
      <c r="R398">
        <f>IF(COUNTIFS('United Data'!$A$3:$A$3390,R$1,'United Data'!$C$3:$C$3390,$A398,'United Data'!$B$3:$B$3390,"&lt;&gt;Off-street")&gt;0,1,0)</f>
        <v>0</v>
      </c>
      <c r="S398">
        <f t="shared" si="12"/>
        <v>1</v>
      </c>
      <c r="T398">
        <f t="shared" si="13"/>
        <v>1</v>
      </c>
    </row>
    <row r="399" spans="1:20" x14ac:dyDescent="0.2">
      <c r="A399" t="s">
        <v>502</v>
      </c>
      <c r="B399">
        <f>IF(COUNTIFS('United Data'!$A$3:$A$3390,B$1,'United Data'!$C$3:$C$3390,$A399,'United Data'!$B$3:$B$3390,"&lt;&gt;Off-street")&gt;0,1,0)</f>
        <v>0</v>
      </c>
      <c r="C399">
        <f>IF(COUNTIFS('United Data'!$A$3:$A$3390,C$1,'United Data'!$C$3:$C$3390,$A399,'United Data'!$B$3:$B$3390,"&lt;&gt;Off-street")&gt;0,1,0)</f>
        <v>0</v>
      </c>
      <c r="D399">
        <f>IF(COUNTIFS('United Data'!$A$3:$A$3390,D$1,'United Data'!$C$3:$C$3390,$A399,'United Data'!$B$3:$B$3390,"&lt;&gt;Off-street")&gt;0,1,0)</f>
        <v>0</v>
      </c>
      <c r="E399">
        <f>IF(COUNTIFS('United Data'!$A$3:$A$3390,E$1,'United Data'!$C$3:$C$3390,$A399,'United Data'!$B$3:$B$3390,"&lt;&gt;Off-street")&gt;0,1,0)</f>
        <v>0</v>
      </c>
      <c r="F399">
        <f>IF(COUNTIFS('United Data'!$A$3:$A$3390,F$1,'United Data'!$C$3:$C$3390,$A399,'United Data'!$B$3:$B$3390,"&lt;&gt;Off-street")&gt;0,1,0)</f>
        <v>0</v>
      </c>
      <c r="G399">
        <f>IF(COUNTIFS('United Data'!$A$3:$A$3390,G$1,'United Data'!$C$3:$C$3390,$A399,'United Data'!$B$3:$B$3390,"&lt;&gt;Off-street")&gt;0,1,0)</f>
        <v>0</v>
      </c>
      <c r="H399">
        <f>IF(COUNTIFS('United Data'!$A$3:$A$3390,H$1,'United Data'!$C$3:$C$3390,$A399,'United Data'!$B$3:$B$3390,"&lt;&gt;Off-street")&gt;0,1,0)</f>
        <v>0</v>
      </c>
      <c r="I399">
        <f>IF(COUNTIFS('United Data'!$A$3:$A$3390,I$1,'United Data'!$C$3:$C$3390,$A399,'United Data'!$B$3:$B$3390,"&lt;&gt;Off-street")&gt;0,1,0)</f>
        <v>0</v>
      </c>
      <c r="J399">
        <f>IF(COUNTIFS('United Data'!$A$3:$A$3390,J$1,'United Data'!$C$3:$C$3390,$A399,'United Data'!$B$3:$B$3390,"&lt;&gt;Off-street")&gt;0,1,0)</f>
        <v>0</v>
      </c>
      <c r="K399">
        <f>IF(COUNTIFS('United Data'!$A$3:$A$3390,K$1,'United Data'!$C$3:$C$3390,$A399,'United Data'!$B$3:$B$3390,"&lt;&gt;Off-street")&gt;0,1,0)</f>
        <v>0</v>
      </c>
      <c r="L399">
        <f>IF(COUNTIFS('United Data'!$A$3:$A$3390,L$1,'United Data'!$C$3:$C$3390,$A399,'United Data'!$B$3:$B$3390,"&lt;&gt;Off-street")&gt;0,1,0)</f>
        <v>0</v>
      </c>
      <c r="M399">
        <f>IF(COUNTIFS('United Data'!$A$3:$A$3390,M$1,'United Data'!$C$3:$C$3390,$A399,'United Data'!$B$3:$B$3390,"&lt;&gt;Off-street")&gt;0,1,0)</f>
        <v>0</v>
      </c>
      <c r="N399">
        <f>IF(COUNTIFS('United Data'!$A$3:$A$3390,N$1,'United Data'!$C$3:$C$3390,$A399,'United Data'!$B$3:$B$3390,"&lt;&gt;Off-street")&gt;0,1,0)</f>
        <v>0</v>
      </c>
      <c r="O399">
        <f>IF(COUNTIFS('United Data'!$A$3:$A$3390,O$1,'United Data'!$C$3:$C$3390,$A399,'United Data'!$B$3:$B$3390,"&lt;&gt;Off-street")&gt;0,1,0)</f>
        <v>0</v>
      </c>
      <c r="P399">
        <f>IF(COUNTIFS('United Data'!$A$3:$A$3390,P$1,'United Data'!$C$3:$C$3390,$A399,'United Data'!$B$3:$B$3390,"&lt;&gt;Off-street")&gt;0,1,0)</f>
        <v>1</v>
      </c>
      <c r="Q399">
        <f>IF(COUNTIFS('United Data'!$A$3:$A$3390,Q$1,'United Data'!$C$3:$C$3390,$A399,'United Data'!$B$3:$B$3390,"&lt;&gt;Off-street")&gt;0,1,0)</f>
        <v>0</v>
      </c>
      <c r="R399">
        <f>IF(COUNTIFS('United Data'!$A$3:$A$3390,R$1,'United Data'!$C$3:$C$3390,$A399,'United Data'!$B$3:$B$3390,"&lt;&gt;Off-street")&gt;0,1,0)</f>
        <v>0</v>
      </c>
      <c r="S399">
        <f t="shared" si="12"/>
        <v>1</v>
      </c>
      <c r="T399">
        <f t="shared" si="13"/>
        <v>1</v>
      </c>
    </row>
    <row r="400" spans="1:20" x14ac:dyDescent="0.2">
      <c r="A400" t="s">
        <v>503</v>
      </c>
      <c r="B400">
        <f>IF(COUNTIFS('United Data'!$A$3:$A$3390,B$1,'United Data'!$C$3:$C$3390,$A400,'United Data'!$B$3:$B$3390,"&lt;&gt;Off-street")&gt;0,1,0)</f>
        <v>0</v>
      </c>
      <c r="C400">
        <f>IF(COUNTIFS('United Data'!$A$3:$A$3390,C$1,'United Data'!$C$3:$C$3390,$A400,'United Data'!$B$3:$B$3390,"&lt;&gt;Off-street")&gt;0,1,0)</f>
        <v>0</v>
      </c>
      <c r="D400">
        <f>IF(COUNTIFS('United Data'!$A$3:$A$3390,D$1,'United Data'!$C$3:$C$3390,$A400,'United Data'!$B$3:$B$3390,"&lt;&gt;Off-street")&gt;0,1,0)</f>
        <v>0</v>
      </c>
      <c r="E400">
        <f>IF(COUNTIFS('United Data'!$A$3:$A$3390,E$1,'United Data'!$C$3:$C$3390,$A400,'United Data'!$B$3:$B$3390,"&lt;&gt;Off-street")&gt;0,1,0)</f>
        <v>0</v>
      </c>
      <c r="F400">
        <f>IF(COUNTIFS('United Data'!$A$3:$A$3390,F$1,'United Data'!$C$3:$C$3390,$A400,'United Data'!$B$3:$B$3390,"&lt;&gt;Off-street")&gt;0,1,0)</f>
        <v>0</v>
      </c>
      <c r="G400">
        <f>IF(COUNTIFS('United Data'!$A$3:$A$3390,G$1,'United Data'!$C$3:$C$3390,$A400,'United Data'!$B$3:$B$3390,"&lt;&gt;Off-street")&gt;0,1,0)</f>
        <v>0</v>
      </c>
      <c r="H400">
        <f>IF(COUNTIFS('United Data'!$A$3:$A$3390,H$1,'United Data'!$C$3:$C$3390,$A400,'United Data'!$B$3:$B$3390,"&lt;&gt;Off-street")&gt;0,1,0)</f>
        <v>0</v>
      </c>
      <c r="I400">
        <f>IF(COUNTIFS('United Data'!$A$3:$A$3390,I$1,'United Data'!$C$3:$C$3390,$A400,'United Data'!$B$3:$B$3390,"&lt;&gt;Off-street")&gt;0,1,0)</f>
        <v>0</v>
      </c>
      <c r="J400">
        <f>IF(COUNTIFS('United Data'!$A$3:$A$3390,J$1,'United Data'!$C$3:$C$3390,$A400,'United Data'!$B$3:$B$3390,"&lt;&gt;Off-street")&gt;0,1,0)</f>
        <v>0</v>
      </c>
      <c r="K400">
        <f>IF(COUNTIFS('United Data'!$A$3:$A$3390,K$1,'United Data'!$C$3:$C$3390,$A400,'United Data'!$B$3:$B$3390,"&lt;&gt;Off-street")&gt;0,1,0)</f>
        <v>0</v>
      </c>
      <c r="L400">
        <f>IF(COUNTIFS('United Data'!$A$3:$A$3390,L$1,'United Data'!$C$3:$C$3390,$A400,'United Data'!$B$3:$B$3390,"&lt;&gt;Off-street")&gt;0,1,0)</f>
        <v>0</v>
      </c>
      <c r="M400">
        <f>IF(COUNTIFS('United Data'!$A$3:$A$3390,M$1,'United Data'!$C$3:$C$3390,$A400,'United Data'!$B$3:$B$3390,"&lt;&gt;Off-street")&gt;0,1,0)</f>
        <v>0</v>
      </c>
      <c r="N400">
        <f>IF(COUNTIFS('United Data'!$A$3:$A$3390,N$1,'United Data'!$C$3:$C$3390,$A400,'United Data'!$B$3:$B$3390,"&lt;&gt;Off-street")&gt;0,1,0)</f>
        <v>0</v>
      </c>
      <c r="O400">
        <f>IF(COUNTIFS('United Data'!$A$3:$A$3390,O$1,'United Data'!$C$3:$C$3390,$A400,'United Data'!$B$3:$B$3390,"&lt;&gt;Off-street")&gt;0,1,0)</f>
        <v>0</v>
      </c>
      <c r="P400">
        <f>IF(COUNTIFS('United Data'!$A$3:$A$3390,P$1,'United Data'!$C$3:$C$3390,$A400,'United Data'!$B$3:$B$3390,"&lt;&gt;Off-street")&gt;0,1,0)</f>
        <v>1</v>
      </c>
      <c r="Q400">
        <f>IF(COUNTIFS('United Data'!$A$3:$A$3390,Q$1,'United Data'!$C$3:$C$3390,$A400,'United Data'!$B$3:$B$3390,"&lt;&gt;Off-street")&gt;0,1,0)</f>
        <v>0</v>
      </c>
      <c r="R400">
        <f>IF(COUNTIFS('United Data'!$A$3:$A$3390,R$1,'United Data'!$C$3:$C$3390,$A400,'United Data'!$B$3:$B$3390,"&lt;&gt;Off-street")&gt;0,1,0)</f>
        <v>0</v>
      </c>
      <c r="S400">
        <f t="shared" si="12"/>
        <v>1</v>
      </c>
      <c r="T400">
        <f t="shared" si="13"/>
        <v>1</v>
      </c>
    </row>
    <row r="401" spans="1:20" x14ac:dyDescent="0.2">
      <c r="A401" t="s">
        <v>504</v>
      </c>
      <c r="B401">
        <f>IF(COUNTIFS('United Data'!$A$3:$A$3390,B$1,'United Data'!$C$3:$C$3390,$A401,'United Data'!$B$3:$B$3390,"&lt;&gt;Off-street")&gt;0,1,0)</f>
        <v>0</v>
      </c>
      <c r="C401">
        <f>IF(COUNTIFS('United Data'!$A$3:$A$3390,C$1,'United Data'!$C$3:$C$3390,$A401,'United Data'!$B$3:$B$3390,"&lt;&gt;Off-street")&gt;0,1,0)</f>
        <v>0</v>
      </c>
      <c r="D401">
        <f>IF(COUNTIFS('United Data'!$A$3:$A$3390,D$1,'United Data'!$C$3:$C$3390,$A401,'United Data'!$B$3:$B$3390,"&lt;&gt;Off-street")&gt;0,1,0)</f>
        <v>0</v>
      </c>
      <c r="E401">
        <f>IF(COUNTIFS('United Data'!$A$3:$A$3390,E$1,'United Data'!$C$3:$C$3390,$A401,'United Data'!$B$3:$B$3390,"&lt;&gt;Off-street")&gt;0,1,0)</f>
        <v>0</v>
      </c>
      <c r="F401">
        <f>IF(COUNTIFS('United Data'!$A$3:$A$3390,F$1,'United Data'!$C$3:$C$3390,$A401,'United Data'!$B$3:$B$3390,"&lt;&gt;Off-street")&gt;0,1,0)</f>
        <v>0</v>
      </c>
      <c r="G401">
        <f>IF(COUNTIFS('United Data'!$A$3:$A$3390,G$1,'United Data'!$C$3:$C$3390,$A401,'United Data'!$B$3:$B$3390,"&lt;&gt;Off-street")&gt;0,1,0)</f>
        <v>0</v>
      </c>
      <c r="H401">
        <f>IF(COUNTIFS('United Data'!$A$3:$A$3390,H$1,'United Data'!$C$3:$C$3390,$A401,'United Data'!$B$3:$B$3390,"&lt;&gt;Off-street")&gt;0,1,0)</f>
        <v>0</v>
      </c>
      <c r="I401">
        <f>IF(COUNTIFS('United Data'!$A$3:$A$3390,I$1,'United Data'!$C$3:$C$3390,$A401,'United Data'!$B$3:$B$3390,"&lt;&gt;Off-street")&gt;0,1,0)</f>
        <v>0</v>
      </c>
      <c r="J401">
        <f>IF(COUNTIFS('United Data'!$A$3:$A$3390,J$1,'United Data'!$C$3:$C$3390,$A401,'United Data'!$B$3:$B$3390,"&lt;&gt;Off-street")&gt;0,1,0)</f>
        <v>0</v>
      </c>
      <c r="K401">
        <f>IF(COUNTIFS('United Data'!$A$3:$A$3390,K$1,'United Data'!$C$3:$C$3390,$A401,'United Data'!$B$3:$B$3390,"&lt;&gt;Off-street")&gt;0,1,0)</f>
        <v>0</v>
      </c>
      <c r="L401">
        <f>IF(COUNTIFS('United Data'!$A$3:$A$3390,L$1,'United Data'!$C$3:$C$3390,$A401,'United Data'!$B$3:$B$3390,"&lt;&gt;Off-street")&gt;0,1,0)</f>
        <v>0</v>
      </c>
      <c r="M401">
        <f>IF(COUNTIFS('United Data'!$A$3:$A$3390,M$1,'United Data'!$C$3:$C$3390,$A401,'United Data'!$B$3:$B$3390,"&lt;&gt;Off-street")&gt;0,1,0)</f>
        <v>0</v>
      </c>
      <c r="N401">
        <f>IF(COUNTIFS('United Data'!$A$3:$A$3390,N$1,'United Data'!$C$3:$C$3390,$A401,'United Data'!$B$3:$B$3390,"&lt;&gt;Off-street")&gt;0,1,0)</f>
        <v>0</v>
      </c>
      <c r="O401">
        <f>IF(COUNTIFS('United Data'!$A$3:$A$3390,O$1,'United Data'!$C$3:$C$3390,$A401,'United Data'!$B$3:$B$3390,"&lt;&gt;Off-street")&gt;0,1,0)</f>
        <v>0</v>
      </c>
      <c r="P401">
        <f>IF(COUNTIFS('United Data'!$A$3:$A$3390,P$1,'United Data'!$C$3:$C$3390,$A401,'United Data'!$B$3:$B$3390,"&lt;&gt;Off-street")&gt;0,1,0)</f>
        <v>1</v>
      </c>
      <c r="Q401">
        <f>IF(COUNTIFS('United Data'!$A$3:$A$3390,Q$1,'United Data'!$C$3:$C$3390,$A401,'United Data'!$B$3:$B$3390,"&lt;&gt;Off-street")&gt;0,1,0)</f>
        <v>0</v>
      </c>
      <c r="R401">
        <f>IF(COUNTIFS('United Data'!$A$3:$A$3390,R$1,'United Data'!$C$3:$C$3390,$A401,'United Data'!$B$3:$B$3390,"&lt;&gt;Off-street")&gt;0,1,0)</f>
        <v>0</v>
      </c>
      <c r="S401">
        <f t="shared" si="12"/>
        <v>1</v>
      </c>
      <c r="T401">
        <f t="shared" si="13"/>
        <v>1</v>
      </c>
    </row>
    <row r="402" spans="1:20" x14ac:dyDescent="0.2">
      <c r="A402" t="s">
        <v>505</v>
      </c>
      <c r="B402">
        <f>IF(COUNTIFS('United Data'!$A$3:$A$3390,B$1,'United Data'!$C$3:$C$3390,$A402,'United Data'!$B$3:$B$3390,"&lt;&gt;Off-street")&gt;0,1,0)</f>
        <v>0</v>
      </c>
      <c r="C402">
        <f>IF(COUNTIFS('United Data'!$A$3:$A$3390,C$1,'United Data'!$C$3:$C$3390,$A402,'United Data'!$B$3:$B$3390,"&lt;&gt;Off-street")&gt;0,1,0)</f>
        <v>0</v>
      </c>
      <c r="D402">
        <f>IF(COUNTIFS('United Data'!$A$3:$A$3390,D$1,'United Data'!$C$3:$C$3390,$A402,'United Data'!$B$3:$B$3390,"&lt;&gt;Off-street")&gt;0,1,0)</f>
        <v>0</v>
      </c>
      <c r="E402">
        <f>IF(COUNTIFS('United Data'!$A$3:$A$3390,E$1,'United Data'!$C$3:$C$3390,$A402,'United Data'!$B$3:$B$3390,"&lt;&gt;Off-street")&gt;0,1,0)</f>
        <v>0</v>
      </c>
      <c r="F402">
        <f>IF(COUNTIFS('United Data'!$A$3:$A$3390,F$1,'United Data'!$C$3:$C$3390,$A402,'United Data'!$B$3:$B$3390,"&lt;&gt;Off-street")&gt;0,1,0)</f>
        <v>0</v>
      </c>
      <c r="G402">
        <f>IF(COUNTIFS('United Data'!$A$3:$A$3390,G$1,'United Data'!$C$3:$C$3390,$A402,'United Data'!$B$3:$B$3390,"&lt;&gt;Off-street")&gt;0,1,0)</f>
        <v>0</v>
      </c>
      <c r="H402">
        <f>IF(COUNTIFS('United Data'!$A$3:$A$3390,H$1,'United Data'!$C$3:$C$3390,$A402,'United Data'!$B$3:$B$3390,"&lt;&gt;Off-street")&gt;0,1,0)</f>
        <v>0</v>
      </c>
      <c r="I402">
        <f>IF(COUNTIFS('United Data'!$A$3:$A$3390,I$1,'United Data'!$C$3:$C$3390,$A402,'United Data'!$B$3:$B$3390,"&lt;&gt;Off-street")&gt;0,1,0)</f>
        <v>0</v>
      </c>
      <c r="J402">
        <f>IF(COUNTIFS('United Data'!$A$3:$A$3390,J$1,'United Data'!$C$3:$C$3390,$A402,'United Data'!$B$3:$B$3390,"&lt;&gt;Off-street")&gt;0,1,0)</f>
        <v>0</v>
      </c>
      <c r="K402">
        <f>IF(COUNTIFS('United Data'!$A$3:$A$3390,K$1,'United Data'!$C$3:$C$3390,$A402,'United Data'!$B$3:$B$3390,"&lt;&gt;Off-street")&gt;0,1,0)</f>
        <v>0</v>
      </c>
      <c r="L402">
        <f>IF(COUNTIFS('United Data'!$A$3:$A$3390,L$1,'United Data'!$C$3:$C$3390,$A402,'United Data'!$B$3:$B$3390,"&lt;&gt;Off-street")&gt;0,1,0)</f>
        <v>0</v>
      </c>
      <c r="M402">
        <f>IF(COUNTIFS('United Data'!$A$3:$A$3390,M$1,'United Data'!$C$3:$C$3390,$A402,'United Data'!$B$3:$B$3390,"&lt;&gt;Off-street")&gt;0,1,0)</f>
        <v>0</v>
      </c>
      <c r="N402">
        <f>IF(COUNTIFS('United Data'!$A$3:$A$3390,N$1,'United Data'!$C$3:$C$3390,$A402,'United Data'!$B$3:$B$3390,"&lt;&gt;Off-street")&gt;0,1,0)</f>
        <v>0</v>
      </c>
      <c r="O402">
        <f>IF(COUNTIFS('United Data'!$A$3:$A$3390,O$1,'United Data'!$C$3:$C$3390,$A402,'United Data'!$B$3:$B$3390,"&lt;&gt;Off-street")&gt;0,1,0)</f>
        <v>0</v>
      </c>
      <c r="P402">
        <f>IF(COUNTIFS('United Data'!$A$3:$A$3390,P$1,'United Data'!$C$3:$C$3390,$A402,'United Data'!$B$3:$B$3390,"&lt;&gt;Off-street")&gt;0,1,0)</f>
        <v>1</v>
      </c>
      <c r="Q402">
        <f>IF(COUNTIFS('United Data'!$A$3:$A$3390,Q$1,'United Data'!$C$3:$C$3390,$A402,'United Data'!$B$3:$B$3390,"&lt;&gt;Off-street")&gt;0,1,0)</f>
        <v>1</v>
      </c>
      <c r="R402">
        <f>IF(COUNTIFS('United Data'!$A$3:$A$3390,R$1,'United Data'!$C$3:$C$3390,$A402,'United Data'!$B$3:$B$3390,"&lt;&gt;Off-street")&gt;0,1,0)</f>
        <v>0</v>
      </c>
      <c r="S402">
        <f t="shared" si="12"/>
        <v>2</v>
      </c>
      <c r="T402">
        <f t="shared" si="13"/>
        <v>1</v>
      </c>
    </row>
    <row r="403" spans="1:20" x14ac:dyDescent="0.2">
      <c r="A403" t="s">
        <v>506</v>
      </c>
      <c r="B403">
        <f>IF(COUNTIFS('United Data'!$A$3:$A$3390,B$1,'United Data'!$C$3:$C$3390,$A403,'United Data'!$B$3:$B$3390,"&lt;&gt;Off-street")&gt;0,1,0)</f>
        <v>0</v>
      </c>
      <c r="C403">
        <f>IF(COUNTIFS('United Data'!$A$3:$A$3390,C$1,'United Data'!$C$3:$C$3390,$A403,'United Data'!$B$3:$B$3390,"&lt;&gt;Off-street")&gt;0,1,0)</f>
        <v>0</v>
      </c>
      <c r="D403">
        <f>IF(COUNTIFS('United Data'!$A$3:$A$3390,D$1,'United Data'!$C$3:$C$3390,$A403,'United Data'!$B$3:$B$3390,"&lt;&gt;Off-street")&gt;0,1,0)</f>
        <v>0</v>
      </c>
      <c r="E403">
        <f>IF(COUNTIFS('United Data'!$A$3:$A$3390,E$1,'United Data'!$C$3:$C$3390,$A403,'United Data'!$B$3:$B$3390,"&lt;&gt;Off-street")&gt;0,1,0)</f>
        <v>0</v>
      </c>
      <c r="F403">
        <f>IF(COUNTIFS('United Data'!$A$3:$A$3390,F$1,'United Data'!$C$3:$C$3390,$A403,'United Data'!$B$3:$B$3390,"&lt;&gt;Off-street")&gt;0,1,0)</f>
        <v>0</v>
      </c>
      <c r="G403">
        <f>IF(COUNTIFS('United Data'!$A$3:$A$3390,G$1,'United Data'!$C$3:$C$3390,$A403,'United Data'!$B$3:$B$3390,"&lt;&gt;Off-street")&gt;0,1,0)</f>
        <v>0</v>
      </c>
      <c r="H403">
        <f>IF(COUNTIFS('United Data'!$A$3:$A$3390,H$1,'United Data'!$C$3:$C$3390,$A403,'United Data'!$B$3:$B$3390,"&lt;&gt;Off-street")&gt;0,1,0)</f>
        <v>0</v>
      </c>
      <c r="I403">
        <f>IF(COUNTIFS('United Data'!$A$3:$A$3390,I$1,'United Data'!$C$3:$C$3390,$A403,'United Data'!$B$3:$B$3390,"&lt;&gt;Off-street")&gt;0,1,0)</f>
        <v>0</v>
      </c>
      <c r="J403">
        <f>IF(COUNTIFS('United Data'!$A$3:$A$3390,J$1,'United Data'!$C$3:$C$3390,$A403,'United Data'!$B$3:$B$3390,"&lt;&gt;Off-street")&gt;0,1,0)</f>
        <v>0</v>
      </c>
      <c r="K403">
        <f>IF(COUNTIFS('United Data'!$A$3:$A$3390,K$1,'United Data'!$C$3:$C$3390,$A403,'United Data'!$B$3:$B$3390,"&lt;&gt;Off-street")&gt;0,1,0)</f>
        <v>0</v>
      </c>
      <c r="L403">
        <f>IF(COUNTIFS('United Data'!$A$3:$A$3390,L$1,'United Data'!$C$3:$C$3390,$A403,'United Data'!$B$3:$B$3390,"&lt;&gt;Off-street")&gt;0,1,0)</f>
        <v>0</v>
      </c>
      <c r="M403">
        <f>IF(COUNTIFS('United Data'!$A$3:$A$3390,M$1,'United Data'!$C$3:$C$3390,$A403,'United Data'!$B$3:$B$3390,"&lt;&gt;Off-street")&gt;0,1,0)</f>
        <v>0</v>
      </c>
      <c r="N403">
        <f>IF(COUNTIFS('United Data'!$A$3:$A$3390,N$1,'United Data'!$C$3:$C$3390,$A403,'United Data'!$B$3:$B$3390,"&lt;&gt;Off-street")&gt;0,1,0)</f>
        <v>0</v>
      </c>
      <c r="O403">
        <f>IF(COUNTIFS('United Data'!$A$3:$A$3390,O$1,'United Data'!$C$3:$C$3390,$A403,'United Data'!$B$3:$B$3390,"&lt;&gt;Off-street")&gt;0,1,0)</f>
        <v>0</v>
      </c>
      <c r="P403">
        <f>IF(COUNTIFS('United Data'!$A$3:$A$3390,P$1,'United Data'!$C$3:$C$3390,$A403,'United Data'!$B$3:$B$3390,"&lt;&gt;Off-street")&gt;0,1,0)</f>
        <v>0</v>
      </c>
      <c r="Q403">
        <f>IF(COUNTIFS('United Data'!$A$3:$A$3390,Q$1,'United Data'!$C$3:$C$3390,$A403,'United Data'!$B$3:$B$3390,"&lt;&gt;Off-street")&gt;0,1,0)</f>
        <v>1</v>
      </c>
      <c r="R403">
        <f>IF(COUNTIFS('United Data'!$A$3:$A$3390,R$1,'United Data'!$C$3:$C$3390,$A403,'United Data'!$B$3:$B$3390,"&lt;&gt;Off-street")&gt;0,1,0)</f>
        <v>0</v>
      </c>
      <c r="S403">
        <f t="shared" si="12"/>
        <v>1</v>
      </c>
      <c r="T403">
        <f t="shared" si="13"/>
        <v>1</v>
      </c>
    </row>
    <row r="404" spans="1:20" x14ac:dyDescent="0.2">
      <c r="A404" t="s">
        <v>507</v>
      </c>
      <c r="B404">
        <f>IF(COUNTIFS('United Data'!$A$3:$A$3390,B$1,'United Data'!$C$3:$C$3390,$A404,'United Data'!$B$3:$B$3390,"&lt;&gt;Off-street")&gt;0,1,0)</f>
        <v>0</v>
      </c>
      <c r="C404">
        <f>IF(COUNTIFS('United Data'!$A$3:$A$3390,C$1,'United Data'!$C$3:$C$3390,$A404,'United Data'!$B$3:$B$3390,"&lt;&gt;Off-street")&gt;0,1,0)</f>
        <v>0</v>
      </c>
      <c r="D404">
        <f>IF(COUNTIFS('United Data'!$A$3:$A$3390,D$1,'United Data'!$C$3:$C$3390,$A404,'United Data'!$B$3:$B$3390,"&lt;&gt;Off-street")&gt;0,1,0)</f>
        <v>0</v>
      </c>
      <c r="E404">
        <f>IF(COUNTIFS('United Data'!$A$3:$A$3390,E$1,'United Data'!$C$3:$C$3390,$A404,'United Data'!$B$3:$B$3390,"&lt;&gt;Off-street")&gt;0,1,0)</f>
        <v>0</v>
      </c>
      <c r="F404">
        <f>IF(COUNTIFS('United Data'!$A$3:$A$3390,F$1,'United Data'!$C$3:$C$3390,$A404,'United Data'!$B$3:$B$3390,"&lt;&gt;Off-street")&gt;0,1,0)</f>
        <v>0</v>
      </c>
      <c r="G404">
        <f>IF(COUNTIFS('United Data'!$A$3:$A$3390,G$1,'United Data'!$C$3:$C$3390,$A404,'United Data'!$B$3:$B$3390,"&lt;&gt;Off-street")&gt;0,1,0)</f>
        <v>0</v>
      </c>
      <c r="H404">
        <f>IF(COUNTIFS('United Data'!$A$3:$A$3390,H$1,'United Data'!$C$3:$C$3390,$A404,'United Data'!$B$3:$B$3390,"&lt;&gt;Off-street")&gt;0,1,0)</f>
        <v>0</v>
      </c>
      <c r="I404">
        <f>IF(COUNTIFS('United Data'!$A$3:$A$3390,I$1,'United Data'!$C$3:$C$3390,$A404,'United Data'!$B$3:$B$3390,"&lt;&gt;Off-street")&gt;0,1,0)</f>
        <v>0</v>
      </c>
      <c r="J404">
        <f>IF(COUNTIFS('United Data'!$A$3:$A$3390,J$1,'United Data'!$C$3:$C$3390,$A404,'United Data'!$B$3:$B$3390,"&lt;&gt;Off-street")&gt;0,1,0)</f>
        <v>0</v>
      </c>
      <c r="K404">
        <f>IF(COUNTIFS('United Data'!$A$3:$A$3390,K$1,'United Data'!$C$3:$C$3390,$A404,'United Data'!$B$3:$B$3390,"&lt;&gt;Off-street")&gt;0,1,0)</f>
        <v>0</v>
      </c>
      <c r="L404">
        <f>IF(COUNTIFS('United Data'!$A$3:$A$3390,L$1,'United Data'!$C$3:$C$3390,$A404,'United Data'!$B$3:$B$3390,"&lt;&gt;Off-street")&gt;0,1,0)</f>
        <v>0</v>
      </c>
      <c r="M404">
        <f>IF(COUNTIFS('United Data'!$A$3:$A$3390,M$1,'United Data'!$C$3:$C$3390,$A404,'United Data'!$B$3:$B$3390,"&lt;&gt;Off-street")&gt;0,1,0)</f>
        <v>0</v>
      </c>
      <c r="N404">
        <f>IF(COUNTIFS('United Data'!$A$3:$A$3390,N$1,'United Data'!$C$3:$C$3390,$A404,'United Data'!$B$3:$B$3390,"&lt;&gt;Off-street")&gt;0,1,0)</f>
        <v>0</v>
      </c>
      <c r="O404">
        <f>IF(COUNTIFS('United Data'!$A$3:$A$3390,O$1,'United Data'!$C$3:$C$3390,$A404,'United Data'!$B$3:$B$3390,"&lt;&gt;Off-street")&gt;0,1,0)</f>
        <v>0</v>
      </c>
      <c r="P404">
        <f>IF(COUNTIFS('United Data'!$A$3:$A$3390,P$1,'United Data'!$C$3:$C$3390,$A404,'United Data'!$B$3:$B$3390,"&lt;&gt;Off-street")&gt;0,1,0)</f>
        <v>0</v>
      </c>
      <c r="Q404">
        <f>IF(COUNTIFS('United Data'!$A$3:$A$3390,Q$1,'United Data'!$C$3:$C$3390,$A404,'United Data'!$B$3:$B$3390,"&lt;&gt;Off-street")&gt;0,1,0)</f>
        <v>1</v>
      </c>
      <c r="R404">
        <f>IF(COUNTIFS('United Data'!$A$3:$A$3390,R$1,'United Data'!$C$3:$C$3390,$A404,'United Data'!$B$3:$B$3390,"&lt;&gt;Off-street")&gt;0,1,0)</f>
        <v>0</v>
      </c>
      <c r="S404">
        <f t="shared" si="12"/>
        <v>1</v>
      </c>
      <c r="T404">
        <f t="shared" si="13"/>
        <v>1</v>
      </c>
    </row>
    <row r="405" spans="1:20" x14ac:dyDescent="0.2">
      <c r="A405" t="s">
        <v>508</v>
      </c>
      <c r="B405">
        <f>IF(COUNTIFS('United Data'!$A$3:$A$3390,B$1,'United Data'!$C$3:$C$3390,$A405,'United Data'!$B$3:$B$3390,"&lt;&gt;Off-street")&gt;0,1,0)</f>
        <v>1</v>
      </c>
      <c r="C405">
        <f>IF(COUNTIFS('United Data'!$A$3:$A$3390,C$1,'United Data'!$C$3:$C$3390,$A405,'United Data'!$B$3:$B$3390,"&lt;&gt;Off-street")&gt;0,1,0)</f>
        <v>1</v>
      </c>
      <c r="D405">
        <f>IF(COUNTIFS('United Data'!$A$3:$A$3390,D$1,'United Data'!$C$3:$C$3390,$A405,'United Data'!$B$3:$B$3390,"&lt;&gt;Off-street")&gt;0,1,0)</f>
        <v>1</v>
      </c>
      <c r="E405">
        <f>IF(COUNTIFS('United Data'!$A$3:$A$3390,E$1,'United Data'!$C$3:$C$3390,$A405,'United Data'!$B$3:$B$3390,"&lt;&gt;Off-street")&gt;0,1,0)</f>
        <v>1</v>
      </c>
      <c r="F405">
        <f>IF(COUNTIFS('United Data'!$A$3:$A$3390,F$1,'United Data'!$C$3:$C$3390,$A405,'United Data'!$B$3:$B$3390,"&lt;&gt;Off-street")&gt;0,1,0)</f>
        <v>1</v>
      </c>
      <c r="G405">
        <f>IF(COUNTIFS('United Data'!$A$3:$A$3390,G$1,'United Data'!$C$3:$C$3390,$A405,'United Data'!$B$3:$B$3390,"&lt;&gt;Off-street")&gt;0,1,0)</f>
        <v>1</v>
      </c>
      <c r="H405">
        <f>IF(COUNTIFS('United Data'!$A$3:$A$3390,H$1,'United Data'!$C$3:$C$3390,$A405,'United Data'!$B$3:$B$3390,"&lt;&gt;Off-street")&gt;0,1,0)</f>
        <v>0</v>
      </c>
      <c r="I405">
        <f>IF(COUNTIFS('United Data'!$A$3:$A$3390,I$1,'United Data'!$C$3:$C$3390,$A405,'United Data'!$B$3:$B$3390,"&lt;&gt;Off-street")&gt;0,1,0)</f>
        <v>1</v>
      </c>
      <c r="J405">
        <f>IF(COUNTIFS('United Data'!$A$3:$A$3390,J$1,'United Data'!$C$3:$C$3390,$A405,'United Data'!$B$3:$B$3390,"&lt;&gt;Off-street")&gt;0,1,0)</f>
        <v>0</v>
      </c>
      <c r="K405">
        <f>IF(COUNTIFS('United Data'!$A$3:$A$3390,K$1,'United Data'!$C$3:$C$3390,$A405,'United Data'!$B$3:$B$3390,"&lt;&gt;Off-street")&gt;0,1,0)</f>
        <v>0</v>
      </c>
      <c r="L405">
        <f>IF(COUNTIFS('United Data'!$A$3:$A$3390,L$1,'United Data'!$C$3:$C$3390,$A405,'United Data'!$B$3:$B$3390,"&lt;&gt;Off-street")&gt;0,1,0)</f>
        <v>1</v>
      </c>
      <c r="M405">
        <f>IF(COUNTIFS('United Data'!$A$3:$A$3390,M$1,'United Data'!$C$3:$C$3390,$A405,'United Data'!$B$3:$B$3390,"&lt;&gt;Off-street")&gt;0,1,0)</f>
        <v>0</v>
      </c>
      <c r="N405">
        <f>IF(COUNTIFS('United Data'!$A$3:$A$3390,N$1,'United Data'!$C$3:$C$3390,$A405,'United Data'!$B$3:$B$3390,"&lt;&gt;Off-street")&gt;0,1,0)</f>
        <v>1</v>
      </c>
      <c r="O405">
        <f>IF(COUNTIFS('United Data'!$A$3:$A$3390,O$1,'United Data'!$C$3:$C$3390,$A405,'United Data'!$B$3:$B$3390,"&lt;&gt;Off-street")&gt;0,1,0)</f>
        <v>1</v>
      </c>
      <c r="P405">
        <f>IF(COUNTIFS('United Data'!$A$3:$A$3390,P$1,'United Data'!$C$3:$C$3390,$A405,'United Data'!$B$3:$B$3390,"&lt;&gt;Off-street")&gt;0,1,0)</f>
        <v>1</v>
      </c>
      <c r="Q405">
        <f>IF(COUNTIFS('United Data'!$A$3:$A$3390,Q$1,'United Data'!$C$3:$C$3390,$A405,'United Data'!$B$3:$B$3390,"&lt;&gt;Off-street")&gt;0,1,0)</f>
        <v>1</v>
      </c>
      <c r="R405">
        <f>IF(COUNTIFS('United Data'!$A$3:$A$3390,R$1,'United Data'!$C$3:$C$3390,$A405,'United Data'!$B$3:$B$3390,"&lt;&gt;Off-street")&gt;0,1,0)</f>
        <v>1</v>
      </c>
      <c r="S405">
        <f t="shared" si="12"/>
        <v>13</v>
      </c>
      <c r="T405">
        <f t="shared" si="13"/>
        <v>4</v>
      </c>
    </row>
    <row r="406" spans="1:20" x14ac:dyDescent="0.2">
      <c r="A406" t="s">
        <v>509</v>
      </c>
      <c r="B406">
        <f>IF(COUNTIFS('United Data'!$A$3:$A$3390,B$1,'United Data'!$C$3:$C$3390,$A406,'United Data'!$B$3:$B$3390,"&lt;&gt;Off-street")&gt;0,1,0)</f>
        <v>1</v>
      </c>
      <c r="C406">
        <f>IF(COUNTIFS('United Data'!$A$3:$A$3390,C$1,'United Data'!$C$3:$C$3390,$A406,'United Data'!$B$3:$B$3390,"&lt;&gt;Off-street")&gt;0,1,0)</f>
        <v>0</v>
      </c>
      <c r="D406">
        <f>IF(COUNTIFS('United Data'!$A$3:$A$3390,D$1,'United Data'!$C$3:$C$3390,$A406,'United Data'!$B$3:$B$3390,"&lt;&gt;Off-street")&gt;0,1,0)</f>
        <v>1</v>
      </c>
      <c r="E406">
        <f>IF(COUNTIFS('United Data'!$A$3:$A$3390,E$1,'United Data'!$C$3:$C$3390,$A406,'United Data'!$B$3:$B$3390,"&lt;&gt;Off-street")&gt;0,1,0)</f>
        <v>0</v>
      </c>
      <c r="F406">
        <f>IF(COUNTIFS('United Data'!$A$3:$A$3390,F$1,'United Data'!$C$3:$C$3390,$A406,'United Data'!$B$3:$B$3390,"&lt;&gt;Off-street")&gt;0,1,0)</f>
        <v>1</v>
      </c>
      <c r="G406">
        <f>IF(COUNTIFS('United Data'!$A$3:$A$3390,G$1,'United Data'!$C$3:$C$3390,$A406,'United Data'!$B$3:$B$3390,"&lt;&gt;Off-street")&gt;0,1,0)</f>
        <v>1</v>
      </c>
      <c r="H406">
        <f>IF(COUNTIFS('United Data'!$A$3:$A$3390,H$1,'United Data'!$C$3:$C$3390,$A406,'United Data'!$B$3:$B$3390,"&lt;&gt;Off-street")&gt;0,1,0)</f>
        <v>0</v>
      </c>
      <c r="I406">
        <f>IF(COUNTIFS('United Data'!$A$3:$A$3390,I$1,'United Data'!$C$3:$C$3390,$A406,'United Data'!$B$3:$B$3390,"&lt;&gt;Off-street")&gt;0,1,0)</f>
        <v>1</v>
      </c>
      <c r="J406">
        <f>IF(COUNTIFS('United Data'!$A$3:$A$3390,J$1,'United Data'!$C$3:$C$3390,$A406,'United Data'!$B$3:$B$3390,"&lt;&gt;Off-street")&gt;0,1,0)</f>
        <v>0</v>
      </c>
      <c r="K406">
        <f>IF(COUNTIFS('United Data'!$A$3:$A$3390,K$1,'United Data'!$C$3:$C$3390,$A406,'United Data'!$B$3:$B$3390,"&lt;&gt;Off-street")&gt;0,1,0)</f>
        <v>0</v>
      </c>
      <c r="L406">
        <f>IF(COUNTIFS('United Data'!$A$3:$A$3390,L$1,'United Data'!$C$3:$C$3390,$A406,'United Data'!$B$3:$B$3390,"&lt;&gt;Off-street")&gt;0,1,0)</f>
        <v>1</v>
      </c>
      <c r="M406">
        <f>IF(COUNTIFS('United Data'!$A$3:$A$3390,M$1,'United Data'!$C$3:$C$3390,$A406,'United Data'!$B$3:$B$3390,"&lt;&gt;Off-street")&gt;0,1,0)</f>
        <v>0</v>
      </c>
      <c r="N406">
        <f>IF(COUNTIFS('United Data'!$A$3:$A$3390,N$1,'United Data'!$C$3:$C$3390,$A406,'United Data'!$B$3:$B$3390,"&lt;&gt;Off-street")&gt;0,1,0)</f>
        <v>0</v>
      </c>
      <c r="O406">
        <f>IF(COUNTIFS('United Data'!$A$3:$A$3390,O$1,'United Data'!$C$3:$C$3390,$A406,'United Data'!$B$3:$B$3390,"&lt;&gt;Off-street")&gt;0,1,0)</f>
        <v>1</v>
      </c>
      <c r="P406">
        <f>IF(COUNTIFS('United Data'!$A$3:$A$3390,P$1,'United Data'!$C$3:$C$3390,$A406,'United Data'!$B$3:$B$3390,"&lt;&gt;Off-street")&gt;0,1,0)</f>
        <v>0</v>
      </c>
      <c r="Q406">
        <f>IF(COUNTIFS('United Data'!$A$3:$A$3390,Q$1,'United Data'!$C$3:$C$3390,$A406,'United Data'!$B$3:$B$3390,"&lt;&gt;Off-street")&gt;0,1,0)</f>
        <v>1</v>
      </c>
      <c r="R406">
        <f>IF(COUNTIFS('United Data'!$A$3:$A$3390,R$1,'United Data'!$C$3:$C$3390,$A406,'United Data'!$B$3:$B$3390,"&lt;&gt;Off-street")&gt;0,1,0)</f>
        <v>1</v>
      </c>
      <c r="S406">
        <f t="shared" si="12"/>
        <v>9</v>
      </c>
      <c r="T406">
        <f t="shared" si="13"/>
        <v>7</v>
      </c>
    </row>
    <row r="407" spans="1:20" x14ac:dyDescent="0.2">
      <c r="A407" t="s">
        <v>510</v>
      </c>
      <c r="B407">
        <f>IF(COUNTIFS('United Data'!$A$3:$A$3390,B$1,'United Data'!$C$3:$C$3390,$A407,'United Data'!$B$3:$B$3390,"&lt;&gt;Off-street")&gt;0,1,0)</f>
        <v>0</v>
      </c>
      <c r="C407">
        <f>IF(COUNTIFS('United Data'!$A$3:$A$3390,C$1,'United Data'!$C$3:$C$3390,$A407,'United Data'!$B$3:$B$3390,"&lt;&gt;Off-street")&gt;0,1,0)</f>
        <v>0</v>
      </c>
      <c r="D407">
        <f>IF(COUNTIFS('United Data'!$A$3:$A$3390,D$1,'United Data'!$C$3:$C$3390,$A407,'United Data'!$B$3:$B$3390,"&lt;&gt;Off-street")&gt;0,1,0)</f>
        <v>0</v>
      </c>
      <c r="E407">
        <f>IF(COUNTIFS('United Data'!$A$3:$A$3390,E$1,'United Data'!$C$3:$C$3390,$A407,'United Data'!$B$3:$B$3390,"&lt;&gt;Off-street")&gt;0,1,0)</f>
        <v>0</v>
      </c>
      <c r="F407">
        <f>IF(COUNTIFS('United Data'!$A$3:$A$3390,F$1,'United Data'!$C$3:$C$3390,$A407,'United Data'!$B$3:$B$3390,"&lt;&gt;Off-street")&gt;0,1,0)</f>
        <v>0</v>
      </c>
      <c r="G407">
        <f>IF(COUNTIFS('United Data'!$A$3:$A$3390,G$1,'United Data'!$C$3:$C$3390,$A407,'United Data'!$B$3:$B$3390,"&lt;&gt;Off-street")&gt;0,1,0)</f>
        <v>0</v>
      </c>
      <c r="H407">
        <f>IF(COUNTIFS('United Data'!$A$3:$A$3390,H$1,'United Data'!$C$3:$C$3390,$A407,'United Data'!$B$3:$B$3390,"&lt;&gt;Off-street")&gt;0,1,0)</f>
        <v>0</v>
      </c>
      <c r="I407">
        <f>IF(COUNTIFS('United Data'!$A$3:$A$3390,I$1,'United Data'!$C$3:$C$3390,$A407,'United Data'!$B$3:$B$3390,"&lt;&gt;Off-street")&gt;0,1,0)</f>
        <v>0</v>
      </c>
      <c r="J407">
        <f>IF(COUNTIFS('United Data'!$A$3:$A$3390,J$1,'United Data'!$C$3:$C$3390,$A407,'United Data'!$B$3:$B$3390,"&lt;&gt;Off-street")&gt;0,1,0)</f>
        <v>0</v>
      </c>
      <c r="K407">
        <f>IF(COUNTIFS('United Data'!$A$3:$A$3390,K$1,'United Data'!$C$3:$C$3390,$A407,'United Data'!$B$3:$B$3390,"&lt;&gt;Off-street")&gt;0,1,0)</f>
        <v>0</v>
      </c>
      <c r="L407">
        <f>IF(COUNTIFS('United Data'!$A$3:$A$3390,L$1,'United Data'!$C$3:$C$3390,$A407,'United Data'!$B$3:$B$3390,"&lt;&gt;Off-street")&gt;0,1,0)</f>
        <v>0</v>
      </c>
      <c r="M407">
        <f>IF(COUNTIFS('United Data'!$A$3:$A$3390,M$1,'United Data'!$C$3:$C$3390,$A407,'United Data'!$B$3:$B$3390,"&lt;&gt;Off-street")&gt;0,1,0)</f>
        <v>0</v>
      </c>
      <c r="N407">
        <f>IF(COUNTIFS('United Data'!$A$3:$A$3390,N$1,'United Data'!$C$3:$C$3390,$A407,'United Data'!$B$3:$B$3390,"&lt;&gt;Off-street")&gt;0,1,0)</f>
        <v>0</v>
      </c>
      <c r="O407">
        <f>IF(COUNTIFS('United Data'!$A$3:$A$3390,O$1,'United Data'!$C$3:$C$3390,$A407,'United Data'!$B$3:$B$3390,"&lt;&gt;Off-street")&gt;0,1,0)</f>
        <v>0</v>
      </c>
      <c r="P407">
        <f>IF(COUNTIFS('United Data'!$A$3:$A$3390,P$1,'United Data'!$C$3:$C$3390,$A407,'United Data'!$B$3:$B$3390,"&lt;&gt;Off-street")&gt;0,1,0)</f>
        <v>0</v>
      </c>
      <c r="Q407">
        <f>IF(COUNTIFS('United Data'!$A$3:$A$3390,Q$1,'United Data'!$C$3:$C$3390,$A407,'United Data'!$B$3:$B$3390,"&lt;&gt;Off-street")&gt;0,1,0)</f>
        <v>0</v>
      </c>
      <c r="R407">
        <f>IF(COUNTIFS('United Data'!$A$3:$A$3390,R$1,'United Data'!$C$3:$C$3390,$A407,'United Data'!$B$3:$B$3390,"&lt;&gt;Off-street")&gt;0,1,0)</f>
        <v>1</v>
      </c>
      <c r="S407">
        <f t="shared" si="12"/>
        <v>1</v>
      </c>
      <c r="T407">
        <f t="shared" si="13"/>
        <v>1</v>
      </c>
    </row>
    <row r="408" spans="1:20" x14ac:dyDescent="0.2">
      <c r="A408" t="s">
        <v>511</v>
      </c>
      <c r="B408">
        <f>IF(COUNTIFS('United Data'!$A$3:$A$3390,B$1,'United Data'!$C$3:$C$3390,$A408,'United Data'!$B$3:$B$3390,"&lt;&gt;Off-street")&gt;0,1,0)</f>
        <v>0</v>
      </c>
      <c r="C408">
        <f>IF(COUNTIFS('United Data'!$A$3:$A$3390,C$1,'United Data'!$C$3:$C$3390,$A408,'United Data'!$B$3:$B$3390,"&lt;&gt;Off-street")&gt;0,1,0)</f>
        <v>0</v>
      </c>
      <c r="D408">
        <f>IF(COUNTIFS('United Data'!$A$3:$A$3390,D$1,'United Data'!$C$3:$C$3390,$A408,'United Data'!$B$3:$B$3390,"&lt;&gt;Off-street")&gt;0,1,0)</f>
        <v>0</v>
      </c>
      <c r="E408">
        <f>IF(COUNTIFS('United Data'!$A$3:$A$3390,E$1,'United Data'!$C$3:$C$3390,$A408,'United Data'!$B$3:$B$3390,"&lt;&gt;Off-street")&gt;0,1,0)</f>
        <v>0</v>
      </c>
      <c r="F408">
        <f>IF(COUNTIFS('United Data'!$A$3:$A$3390,F$1,'United Data'!$C$3:$C$3390,$A408,'United Data'!$B$3:$B$3390,"&lt;&gt;Off-street")&gt;0,1,0)</f>
        <v>0</v>
      </c>
      <c r="G408">
        <f>IF(COUNTIFS('United Data'!$A$3:$A$3390,G$1,'United Data'!$C$3:$C$3390,$A408,'United Data'!$B$3:$B$3390,"&lt;&gt;Off-street")&gt;0,1,0)</f>
        <v>0</v>
      </c>
      <c r="H408">
        <f>IF(COUNTIFS('United Data'!$A$3:$A$3390,H$1,'United Data'!$C$3:$C$3390,$A408,'United Data'!$B$3:$B$3390,"&lt;&gt;Off-street")&gt;0,1,0)</f>
        <v>0</v>
      </c>
      <c r="I408">
        <f>IF(COUNTIFS('United Data'!$A$3:$A$3390,I$1,'United Data'!$C$3:$C$3390,$A408,'United Data'!$B$3:$B$3390,"&lt;&gt;Off-street")&gt;0,1,0)</f>
        <v>0</v>
      </c>
      <c r="J408">
        <f>IF(COUNTIFS('United Data'!$A$3:$A$3390,J$1,'United Data'!$C$3:$C$3390,$A408,'United Data'!$B$3:$B$3390,"&lt;&gt;Off-street")&gt;0,1,0)</f>
        <v>0</v>
      </c>
      <c r="K408">
        <f>IF(COUNTIFS('United Data'!$A$3:$A$3390,K$1,'United Data'!$C$3:$C$3390,$A408,'United Data'!$B$3:$B$3390,"&lt;&gt;Off-street")&gt;0,1,0)</f>
        <v>0</v>
      </c>
      <c r="L408">
        <f>IF(COUNTIFS('United Data'!$A$3:$A$3390,L$1,'United Data'!$C$3:$C$3390,$A408,'United Data'!$B$3:$B$3390,"&lt;&gt;Off-street")&gt;0,1,0)</f>
        <v>0</v>
      </c>
      <c r="M408">
        <f>IF(COUNTIFS('United Data'!$A$3:$A$3390,M$1,'United Data'!$C$3:$C$3390,$A408,'United Data'!$B$3:$B$3390,"&lt;&gt;Off-street")&gt;0,1,0)</f>
        <v>0</v>
      </c>
      <c r="N408">
        <f>IF(COUNTIFS('United Data'!$A$3:$A$3390,N$1,'United Data'!$C$3:$C$3390,$A408,'United Data'!$B$3:$B$3390,"&lt;&gt;Off-street")&gt;0,1,0)</f>
        <v>0</v>
      </c>
      <c r="O408">
        <f>IF(COUNTIFS('United Data'!$A$3:$A$3390,O$1,'United Data'!$C$3:$C$3390,$A408,'United Data'!$B$3:$B$3390,"&lt;&gt;Off-street")&gt;0,1,0)</f>
        <v>0</v>
      </c>
      <c r="P408">
        <f>IF(COUNTIFS('United Data'!$A$3:$A$3390,P$1,'United Data'!$C$3:$C$3390,$A408,'United Data'!$B$3:$B$3390,"&lt;&gt;Off-street")&gt;0,1,0)</f>
        <v>0</v>
      </c>
      <c r="Q408">
        <f>IF(COUNTIFS('United Data'!$A$3:$A$3390,Q$1,'United Data'!$C$3:$C$3390,$A408,'United Data'!$B$3:$B$3390,"&lt;&gt;Off-street")&gt;0,1,0)</f>
        <v>0</v>
      </c>
      <c r="R408">
        <f>IF(COUNTIFS('United Data'!$A$3:$A$3390,R$1,'United Data'!$C$3:$C$3390,$A408,'United Data'!$B$3:$B$3390,"&lt;&gt;Off-street")&gt;0,1,0)</f>
        <v>1</v>
      </c>
      <c r="S408">
        <f t="shared" si="12"/>
        <v>1</v>
      </c>
      <c r="T408">
        <f t="shared" si="13"/>
        <v>1</v>
      </c>
    </row>
    <row r="409" spans="1:20" x14ac:dyDescent="0.2">
      <c r="A409" t="s">
        <v>512</v>
      </c>
      <c r="B409">
        <f>IF(COUNTIFS('United Data'!$A$3:$A$3390,B$1,'United Data'!$C$3:$C$3390,$A409,'United Data'!$B$3:$B$3390,"&lt;&gt;Off-street")&gt;0,1,0)</f>
        <v>1</v>
      </c>
      <c r="C409">
        <f>IF(COUNTIFS('United Data'!$A$3:$A$3390,C$1,'United Data'!$C$3:$C$3390,$A409,'United Data'!$B$3:$B$3390,"&lt;&gt;Off-street")&gt;0,1,0)</f>
        <v>0</v>
      </c>
      <c r="D409">
        <f>IF(COUNTIFS('United Data'!$A$3:$A$3390,D$1,'United Data'!$C$3:$C$3390,$A409,'United Data'!$B$3:$B$3390,"&lt;&gt;Off-street")&gt;0,1,0)</f>
        <v>0</v>
      </c>
      <c r="E409">
        <f>IF(COUNTIFS('United Data'!$A$3:$A$3390,E$1,'United Data'!$C$3:$C$3390,$A409,'United Data'!$B$3:$B$3390,"&lt;&gt;Off-street")&gt;0,1,0)</f>
        <v>0</v>
      </c>
      <c r="F409">
        <f>IF(COUNTIFS('United Data'!$A$3:$A$3390,F$1,'United Data'!$C$3:$C$3390,$A409,'United Data'!$B$3:$B$3390,"&lt;&gt;Off-street")&gt;0,1,0)</f>
        <v>0</v>
      </c>
      <c r="G409">
        <f>IF(COUNTIFS('United Data'!$A$3:$A$3390,G$1,'United Data'!$C$3:$C$3390,$A409,'United Data'!$B$3:$B$3390,"&lt;&gt;Off-street")&gt;0,1,0)</f>
        <v>0</v>
      </c>
      <c r="H409">
        <f>IF(COUNTIFS('United Data'!$A$3:$A$3390,H$1,'United Data'!$C$3:$C$3390,$A409,'United Data'!$B$3:$B$3390,"&lt;&gt;Off-street")&gt;0,1,0)</f>
        <v>0</v>
      </c>
      <c r="I409">
        <f>IF(COUNTIFS('United Data'!$A$3:$A$3390,I$1,'United Data'!$C$3:$C$3390,$A409,'United Data'!$B$3:$B$3390,"&lt;&gt;Off-street")&gt;0,1,0)</f>
        <v>0</v>
      </c>
      <c r="J409">
        <f>IF(COUNTIFS('United Data'!$A$3:$A$3390,J$1,'United Data'!$C$3:$C$3390,$A409,'United Data'!$B$3:$B$3390,"&lt;&gt;Off-street")&gt;0,1,0)</f>
        <v>0</v>
      </c>
      <c r="K409">
        <f>IF(COUNTIFS('United Data'!$A$3:$A$3390,K$1,'United Data'!$C$3:$C$3390,$A409,'United Data'!$B$3:$B$3390,"&lt;&gt;Off-street")&gt;0,1,0)</f>
        <v>0</v>
      </c>
      <c r="L409">
        <f>IF(COUNTIFS('United Data'!$A$3:$A$3390,L$1,'United Data'!$C$3:$C$3390,$A409,'United Data'!$B$3:$B$3390,"&lt;&gt;Off-street")&gt;0,1,0)</f>
        <v>0</v>
      </c>
      <c r="M409">
        <f>IF(COUNTIFS('United Data'!$A$3:$A$3390,M$1,'United Data'!$C$3:$C$3390,$A409,'United Data'!$B$3:$B$3390,"&lt;&gt;Off-street")&gt;0,1,0)</f>
        <v>0</v>
      </c>
      <c r="N409">
        <f>IF(COUNTIFS('United Data'!$A$3:$A$3390,N$1,'United Data'!$C$3:$C$3390,$A409,'United Data'!$B$3:$B$3390,"&lt;&gt;Off-street")&gt;0,1,0)</f>
        <v>0</v>
      </c>
      <c r="O409">
        <f>IF(COUNTIFS('United Data'!$A$3:$A$3390,O$1,'United Data'!$C$3:$C$3390,$A409,'United Data'!$B$3:$B$3390,"&lt;&gt;Off-street")&gt;0,1,0)</f>
        <v>0</v>
      </c>
      <c r="P409">
        <f>IF(COUNTIFS('United Data'!$A$3:$A$3390,P$1,'United Data'!$C$3:$C$3390,$A409,'United Data'!$B$3:$B$3390,"&lt;&gt;Off-street")&gt;0,1,0)</f>
        <v>0</v>
      </c>
      <c r="Q409">
        <f>IF(COUNTIFS('United Data'!$A$3:$A$3390,Q$1,'United Data'!$C$3:$C$3390,$A409,'United Data'!$B$3:$B$3390,"&lt;&gt;Off-street")&gt;0,1,0)</f>
        <v>0</v>
      </c>
      <c r="R409">
        <f>IF(COUNTIFS('United Data'!$A$3:$A$3390,R$1,'United Data'!$C$3:$C$3390,$A409,'United Data'!$B$3:$B$3390,"&lt;&gt;Off-street")&gt;0,1,0)</f>
        <v>0</v>
      </c>
      <c r="S409">
        <f t="shared" si="12"/>
        <v>1</v>
      </c>
      <c r="T409">
        <f t="shared" si="13"/>
        <v>1</v>
      </c>
    </row>
    <row r="410" spans="1:20" x14ac:dyDescent="0.2">
      <c r="A410" t="s">
        <v>513</v>
      </c>
      <c r="B410">
        <f>IF(COUNTIFS('United Data'!$A$3:$A$3390,B$1,'United Data'!$C$3:$C$3390,$A410,'United Data'!$B$3:$B$3390,"&lt;&gt;Off-street")&gt;0,1,0)</f>
        <v>1</v>
      </c>
      <c r="C410">
        <f>IF(COUNTIFS('United Data'!$A$3:$A$3390,C$1,'United Data'!$C$3:$C$3390,$A410,'United Data'!$B$3:$B$3390,"&lt;&gt;Off-street")&gt;0,1,0)</f>
        <v>0</v>
      </c>
      <c r="D410">
        <f>IF(COUNTIFS('United Data'!$A$3:$A$3390,D$1,'United Data'!$C$3:$C$3390,$A410,'United Data'!$B$3:$B$3390,"&lt;&gt;Off-street")&gt;0,1,0)</f>
        <v>0</v>
      </c>
      <c r="E410">
        <f>IF(COUNTIFS('United Data'!$A$3:$A$3390,E$1,'United Data'!$C$3:$C$3390,$A410,'United Data'!$B$3:$B$3390,"&lt;&gt;Off-street")&gt;0,1,0)</f>
        <v>0</v>
      </c>
      <c r="F410">
        <f>IF(COUNTIFS('United Data'!$A$3:$A$3390,F$1,'United Data'!$C$3:$C$3390,$A410,'United Data'!$B$3:$B$3390,"&lt;&gt;Off-street")&gt;0,1,0)</f>
        <v>0</v>
      </c>
      <c r="G410">
        <f>IF(COUNTIFS('United Data'!$A$3:$A$3390,G$1,'United Data'!$C$3:$C$3390,$A410,'United Data'!$B$3:$B$3390,"&lt;&gt;Off-street")&gt;0,1,0)</f>
        <v>0</v>
      </c>
      <c r="H410">
        <f>IF(COUNTIFS('United Data'!$A$3:$A$3390,H$1,'United Data'!$C$3:$C$3390,$A410,'United Data'!$B$3:$B$3390,"&lt;&gt;Off-street")&gt;0,1,0)</f>
        <v>0</v>
      </c>
      <c r="I410">
        <f>IF(COUNTIFS('United Data'!$A$3:$A$3390,I$1,'United Data'!$C$3:$C$3390,$A410,'United Data'!$B$3:$B$3390,"&lt;&gt;Off-street")&gt;0,1,0)</f>
        <v>0</v>
      </c>
      <c r="J410">
        <f>IF(COUNTIFS('United Data'!$A$3:$A$3390,J$1,'United Data'!$C$3:$C$3390,$A410,'United Data'!$B$3:$B$3390,"&lt;&gt;Off-street")&gt;0,1,0)</f>
        <v>0</v>
      </c>
      <c r="K410">
        <f>IF(COUNTIFS('United Data'!$A$3:$A$3390,K$1,'United Data'!$C$3:$C$3390,$A410,'United Data'!$B$3:$B$3390,"&lt;&gt;Off-street")&gt;0,1,0)</f>
        <v>0</v>
      </c>
      <c r="L410">
        <f>IF(COUNTIFS('United Data'!$A$3:$A$3390,L$1,'United Data'!$C$3:$C$3390,$A410,'United Data'!$B$3:$B$3390,"&lt;&gt;Off-street")&gt;0,1,0)</f>
        <v>0</v>
      </c>
      <c r="M410">
        <f>IF(COUNTIFS('United Data'!$A$3:$A$3390,M$1,'United Data'!$C$3:$C$3390,$A410,'United Data'!$B$3:$B$3390,"&lt;&gt;Off-street")&gt;0,1,0)</f>
        <v>0</v>
      </c>
      <c r="N410">
        <f>IF(COUNTIFS('United Data'!$A$3:$A$3390,N$1,'United Data'!$C$3:$C$3390,$A410,'United Data'!$B$3:$B$3390,"&lt;&gt;Off-street")&gt;0,1,0)</f>
        <v>0</v>
      </c>
      <c r="O410">
        <f>IF(COUNTIFS('United Data'!$A$3:$A$3390,O$1,'United Data'!$C$3:$C$3390,$A410,'United Data'!$B$3:$B$3390,"&lt;&gt;Off-street")&gt;0,1,0)</f>
        <v>0</v>
      </c>
      <c r="P410">
        <f>IF(COUNTIFS('United Data'!$A$3:$A$3390,P$1,'United Data'!$C$3:$C$3390,$A410,'United Data'!$B$3:$B$3390,"&lt;&gt;Off-street")&gt;0,1,0)</f>
        <v>0</v>
      </c>
      <c r="Q410">
        <f>IF(COUNTIFS('United Data'!$A$3:$A$3390,Q$1,'United Data'!$C$3:$C$3390,$A410,'United Data'!$B$3:$B$3390,"&lt;&gt;Off-street")&gt;0,1,0)</f>
        <v>0</v>
      </c>
      <c r="R410">
        <f>IF(COUNTIFS('United Data'!$A$3:$A$3390,R$1,'United Data'!$C$3:$C$3390,$A410,'United Data'!$B$3:$B$3390,"&lt;&gt;Off-street")&gt;0,1,0)</f>
        <v>0</v>
      </c>
      <c r="S410">
        <f t="shared" si="12"/>
        <v>1</v>
      </c>
      <c r="T410">
        <f t="shared" si="13"/>
        <v>1</v>
      </c>
    </row>
    <row r="411" spans="1:20" x14ac:dyDescent="0.2">
      <c r="A411" t="s">
        <v>514</v>
      </c>
      <c r="B411">
        <f>IF(COUNTIFS('United Data'!$A$3:$A$3390,B$1,'United Data'!$C$3:$C$3390,$A411,'United Data'!$B$3:$B$3390,"&lt;&gt;Off-street")&gt;0,1,0)</f>
        <v>1</v>
      </c>
      <c r="C411">
        <f>IF(COUNTIFS('United Data'!$A$3:$A$3390,C$1,'United Data'!$C$3:$C$3390,$A411,'United Data'!$B$3:$B$3390,"&lt;&gt;Off-street")&gt;0,1,0)</f>
        <v>0</v>
      </c>
      <c r="D411">
        <f>IF(COUNTIFS('United Data'!$A$3:$A$3390,D$1,'United Data'!$C$3:$C$3390,$A411,'United Data'!$B$3:$B$3390,"&lt;&gt;Off-street")&gt;0,1,0)</f>
        <v>0</v>
      </c>
      <c r="E411">
        <f>IF(COUNTIFS('United Data'!$A$3:$A$3390,E$1,'United Data'!$C$3:$C$3390,$A411,'United Data'!$B$3:$B$3390,"&lt;&gt;Off-street")&gt;0,1,0)</f>
        <v>0</v>
      </c>
      <c r="F411">
        <f>IF(COUNTIFS('United Data'!$A$3:$A$3390,F$1,'United Data'!$C$3:$C$3390,$A411,'United Data'!$B$3:$B$3390,"&lt;&gt;Off-street")&gt;0,1,0)</f>
        <v>0</v>
      </c>
      <c r="G411">
        <f>IF(COUNTIFS('United Data'!$A$3:$A$3390,G$1,'United Data'!$C$3:$C$3390,$A411,'United Data'!$B$3:$B$3390,"&lt;&gt;Off-street")&gt;0,1,0)</f>
        <v>0</v>
      </c>
      <c r="H411">
        <f>IF(COUNTIFS('United Data'!$A$3:$A$3390,H$1,'United Data'!$C$3:$C$3390,$A411,'United Data'!$B$3:$B$3390,"&lt;&gt;Off-street")&gt;0,1,0)</f>
        <v>0</v>
      </c>
      <c r="I411">
        <f>IF(COUNTIFS('United Data'!$A$3:$A$3390,I$1,'United Data'!$C$3:$C$3390,$A411,'United Data'!$B$3:$B$3390,"&lt;&gt;Off-street")&gt;0,1,0)</f>
        <v>0</v>
      </c>
      <c r="J411">
        <f>IF(COUNTIFS('United Data'!$A$3:$A$3390,J$1,'United Data'!$C$3:$C$3390,$A411,'United Data'!$B$3:$B$3390,"&lt;&gt;Off-street")&gt;0,1,0)</f>
        <v>0</v>
      </c>
      <c r="K411">
        <f>IF(COUNTIFS('United Data'!$A$3:$A$3390,K$1,'United Data'!$C$3:$C$3390,$A411,'United Data'!$B$3:$B$3390,"&lt;&gt;Off-street")&gt;0,1,0)</f>
        <v>0</v>
      </c>
      <c r="L411">
        <f>IF(COUNTIFS('United Data'!$A$3:$A$3390,L$1,'United Data'!$C$3:$C$3390,$A411,'United Data'!$B$3:$B$3390,"&lt;&gt;Off-street")&gt;0,1,0)</f>
        <v>0</v>
      </c>
      <c r="M411">
        <f>IF(COUNTIFS('United Data'!$A$3:$A$3390,M$1,'United Data'!$C$3:$C$3390,$A411,'United Data'!$B$3:$B$3390,"&lt;&gt;Off-street")&gt;0,1,0)</f>
        <v>0</v>
      </c>
      <c r="N411">
        <f>IF(COUNTIFS('United Data'!$A$3:$A$3390,N$1,'United Data'!$C$3:$C$3390,$A411,'United Data'!$B$3:$B$3390,"&lt;&gt;Off-street")&gt;0,1,0)</f>
        <v>0</v>
      </c>
      <c r="O411">
        <f>IF(COUNTIFS('United Data'!$A$3:$A$3390,O$1,'United Data'!$C$3:$C$3390,$A411,'United Data'!$B$3:$B$3390,"&lt;&gt;Off-street")&gt;0,1,0)</f>
        <v>0</v>
      </c>
      <c r="P411">
        <f>IF(COUNTIFS('United Data'!$A$3:$A$3390,P$1,'United Data'!$C$3:$C$3390,$A411,'United Data'!$B$3:$B$3390,"&lt;&gt;Off-street")&gt;0,1,0)</f>
        <v>0</v>
      </c>
      <c r="Q411">
        <f>IF(COUNTIFS('United Data'!$A$3:$A$3390,Q$1,'United Data'!$C$3:$C$3390,$A411,'United Data'!$B$3:$B$3390,"&lt;&gt;Off-street")&gt;0,1,0)</f>
        <v>0</v>
      </c>
      <c r="R411">
        <f>IF(COUNTIFS('United Data'!$A$3:$A$3390,R$1,'United Data'!$C$3:$C$3390,$A411,'United Data'!$B$3:$B$3390,"&lt;&gt;Off-street")&gt;0,1,0)</f>
        <v>0</v>
      </c>
      <c r="S411">
        <f t="shared" si="12"/>
        <v>1</v>
      </c>
      <c r="T411">
        <f t="shared" si="13"/>
        <v>1</v>
      </c>
    </row>
    <row r="412" spans="1:20" x14ac:dyDescent="0.2">
      <c r="A412" t="s">
        <v>515</v>
      </c>
      <c r="B412">
        <f>IF(COUNTIFS('United Data'!$A$3:$A$3390,B$1,'United Data'!$C$3:$C$3390,$A412,'United Data'!$B$3:$B$3390,"&lt;&gt;Off-street")&gt;0,1,0)</f>
        <v>1</v>
      </c>
      <c r="C412">
        <f>IF(COUNTIFS('United Data'!$A$3:$A$3390,C$1,'United Data'!$C$3:$C$3390,$A412,'United Data'!$B$3:$B$3390,"&lt;&gt;Off-street")&gt;0,1,0)</f>
        <v>0</v>
      </c>
      <c r="D412">
        <f>IF(COUNTIFS('United Data'!$A$3:$A$3390,D$1,'United Data'!$C$3:$C$3390,$A412,'United Data'!$B$3:$B$3390,"&lt;&gt;Off-street")&gt;0,1,0)</f>
        <v>0</v>
      </c>
      <c r="E412">
        <f>IF(COUNTIFS('United Data'!$A$3:$A$3390,E$1,'United Data'!$C$3:$C$3390,$A412,'United Data'!$B$3:$B$3390,"&lt;&gt;Off-street")&gt;0,1,0)</f>
        <v>0</v>
      </c>
      <c r="F412">
        <f>IF(COUNTIFS('United Data'!$A$3:$A$3390,F$1,'United Data'!$C$3:$C$3390,$A412,'United Data'!$B$3:$B$3390,"&lt;&gt;Off-street")&gt;0,1,0)</f>
        <v>0</v>
      </c>
      <c r="G412">
        <f>IF(COUNTIFS('United Data'!$A$3:$A$3390,G$1,'United Data'!$C$3:$C$3390,$A412,'United Data'!$B$3:$B$3390,"&lt;&gt;Off-street")&gt;0,1,0)</f>
        <v>0</v>
      </c>
      <c r="H412">
        <f>IF(COUNTIFS('United Data'!$A$3:$A$3390,H$1,'United Data'!$C$3:$C$3390,$A412,'United Data'!$B$3:$B$3390,"&lt;&gt;Off-street")&gt;0,1,0)</f>
        <v>0</v>
      </c>
      <c r="I412">
        <f>IF(COUNTIFS('United Data'!$A$3:$A$3390,I$1,'United Data'!$C$3:$C$3390,$A412,'United Data'!$B$3:$B$3390,"&lt;&gt;Off-street")&gt;0,1,0)</f>
        <v>0</v>
      </c>
      <c r="J412">
        <f>IF(COUNTIFS('United Data'!$A$3:$A$3390,J$1,'United Data'!$C$3:$C$3390,$A412,'United Data'!$B$3:$B$3390,"&lt;&gt;Off-street")&gt;0,1,0)</f>
        <v>0</v>
      </c>
      <c r="K412">
        <f>IF(COUNTIFS('United Data'!$A$3:$A$3390,K$1,'United Data'!$C$3:$C$3390,$A412,'United Data'!$B$3:$B$3390,"&lt;&gt;Off-street")&gt;0,1,0)</f>
        <v>0</v>
      </c>
      <c r="L412">
        <f>IF(COUNTIFS('United Data'!$A$3:$A$3390,L$1,'United Data'!$C$3:$C$3390,$A412,'United Data'!$B$3:$B$3390,"&lt;&gt;Off-street")&gt;0,1,0)</f>
        <v>0</v>
      </c>
      <c r="M412">
        <f>IF(COUNTIFS('United Data'!$A$3:$A$3390,M$1,'United Data'!$C$3:$C$3390,$A412,'United Data'!$B$3:$B$3390,"&lt;&gt;Off-street")&gt;0,1,0)</f>
        <v>0</v>
      </c>
      <c r="N412">
        <f>IF(COUNTIFS('United Data'!$A$3:$A$3390,N$1,'United Data'!$C$3:$C$3390,$A412,'United Data'!$B$3:$B$3390,"&lt;&gt;Off-street")&gt;0,1,0)</f>
        <v>0</v>
      </c>
      <c r="O412">
        <f>IF(COUNTIFS('United Data'!$A$3:$A$3390,O$1,'United Data'!$C$3:$C$3390,$A412,'United Data'!$B$3:$B$3390,"&lt;&gt;Off-street")&gt;0,1,0)</f>
        <v>0</v>
      </c>
      <c r="P412">
        <f>IF(COUNTIFS('United Data'!$A$3:$A$3390,P$1,'United Data'!$C$3:$C$3390,$A412,'United Data'!$B$3:$B$3390,"&lt;&gt;Off-street")&gt;0,1,0)</f>
        <v>0</v>
      </c>
      <c r="Q412">
        <f>IF(COUNTIFS('United Data'!$A$3:$A$3390,Q$1,'United Data'!$C$3:$C$3390,$A412,'United Data'!$B$3:$B$3390,"&lt;&gt;Off-street")&gt;0,1,0)</f>
        <v>0</v>
      </c>
      <c r="R412">
        <f>IF(COUNTIFS('United Data'!$A$3:$A$3390,R$1,'United Data'!$C$3:$C$3390,$A412,'United Data'!$B$3:$B$3390,"&lt;&gt;Off-street")&gt;0,1,0)</f>
        <v>0</v>
      </c>
      <c r="S412">
        <f t="shared" si="12"/>
        <v>1</v>
      </c>
      <c r="T412">
        <f t="shared" si="13"/>
        <v>1</v>
      </c>
    </row>
    <row r="413" spans="1:20" x14ac:dyDescent="0.2">
      <c r="A413" t="s">
        <v>516</v>
      </c>
      <c r="B413">
        <f>IF(COUNTIFS('United Data'!$A$3:$A$3390,B$1,'United Data'!$C$3:$C$3390,$A413,'United Data'!$B$3:$B$3390,"&lt;&gt;Off-street")&gt;0,1,0)</f>
        <v>1</v>
      </c>
      <c r="C413">
        <f>IF(COUNTIFS('United Data'!$A$3:$A$3390,C$1,'United Data'!$C$3:$C$3390,$A413,'United Data'!$B$3:$B$3390,"&lt;&gt;Off-street")&gt;0,1,0)</f>
        <v>0</v>
      </c>
      <c r="D413">
        <f>IF(COUNTIFS('United Data'!$A$3:$A$3390,D$1,'United Data'!$C$3:$C$3390,$A413,'United Data'!$B$3:$B$3390,"&lt;&gt;Off-street")&gt;0,1,0)</f>
        <v>0</v>
      </c>
      <c r="E413">
        <f>IF(COUNTIFS('United Data'!$A$3:$A$3390,E$1,'United Data'!$C$3:$C$3390,$A413,'United Data'!$B$3:$B$3390,"&lt;&gt;Off-street")&gt;0,1,0)</f>
        <v>0</v>
      </c>
      <c r="F413">
        <f>IF(COUNTIFS('United Data'!$A$3:$A$3390,F$1,'United Data'!$C$3:$C$3390,$A413,'United Data'!$B$3:$B$3390,"&lt;&gt;Off-street")&gt;0,1,0)</f>
        <v>0</v>
      </c>
      <c r="G413">
        <f>IF(COUNTIFS('United Data'!$A$3:$A$3390,G$1,'United Data'!$C$3:$C$3390,$A413,'United Data'!$B$3:$B$3390,"&lt;&gt;Off-street")&gt;0,1,0)</f>
        <v>0</v>
      </c>
      <c r="H413">
        <f>IF(COUNTIFS('United Data'!$A$3:$A$3390,H$1,'United Data'!$C$3:$C$3390,$A413,'United Data'!$B$3:$B$3390,"&lt;&gt;Off-street")&gt;0,1,0)</f>
        <v>0</v>
      </c>
      <c r="I413">
        <f>IF(COUNTIFS('United Data'!$A$3:$A$3390,I$1,'United Data'!$C$3:$C$3390,$A413,'United Data'!$B$3:$B$3390,"&lt;&gt;Off-street")&gt;0,1,0)</f>
        <v>0</v>
      </c>
      <c r="J413">
        <f>IF(COUNTIFS('United Data'!$A$3:$A$3390,J$1,'United Data'!$C$3:$C$3390,$A413,'United Data'!$B$3:$B$3390,"&lt;&gt;Off-street")&gt;0,1,0)</f>
        <v>0</v>
      </c>
      <c r="K413">
        <f>IF(COUNTIFS('United Data'!$A$3:$A$3390,K$1,'United Data'!$C$3:$C$3390,$A413,'United Data'!$B$3:$B$3390,"&lt;&gt;Off-street")&gt;0,1,0)</f>
        <v>0</v>
      </c>
      <c r="L413">
        <f>IF(COUNTIFS('United Data'!$A$3:$A$3390,L$1,'United Data'!$C$3:$C$3390,$A413,'United Data'!$B$3:$B$3390,"&lt;&gt;Off-street")&gt;0,1,0)</f>
        <v>0</v>
      </c>
      <c r="M413">
        <f>IF(COUNTIFS('United Data'!$A$3:$A$3390,M$1,'United Data'!$C$3:$C$3390,$A413,'United Data'!$B$3:$B$3390,"&lt;&gt;Off-street")&gt;0,1,0)</f>
        <v>0</v>
      </c>
      <c r="N413">
        <f>IF(COUNTIFS('United Data'!$A$3:$A$3390,N$1,'United Data'!$C$3:$C$3390,$A413,'United Data'!$B$3:$B$3390,"&lt;&gt;Off-street")&gt;0,1,0)</f>
        <v>0</v>
      </c>
      <c r="O413">
        <f>IF(COUNTIFS('United Data'!$A$3:$A$3390,O$1,'United Data'!$C$3:$C$3390,$A413,'United Data'!$B$3:$B$3390,"&lt;&gt;Off-street")&gt;0,1,0)</f>
        <v>0</v>
      </c>
      <c r="P413">
        <f>IF(COUNTIFS('United Data'!$A$3:$A$3390,P$1,'United Data'!$C$3:$C$3390,$A413,'United Data'!$B$3:$B$3390,"&lt;&gt;Off-street")&gt;0,1,0)</f>
        <v>0</v>
      </c>
      <c r="Q413">
        <f>IF(COUNTIFS('United Data'!$A$3:$A$3390,Q$1,'United Data'!$C$3:$C$3390,$A413,'United Data'!$B$3:$B$3390,"&lt;&gt;Off-street")&gt;0,1,0)</f>
        <v>0</v>
      </c>
      <c r="R413">
        <f>IF(COUNTIFS('United Data'!$A$3:$A$3390,R$1,'United Data'!$C$3:$C$3390,$A413,'United Data'!$B$3:$B$3390,"&lt;&gt;Off-street")&gt;0,1,0)</f>
        <v>0</v>
      </c>
      <c r="S413">
        <f t="shared" si="12"/>
        <v>1</v>
      </c>
      <c r="T413">
        <f t="shared" si="13"/>
        <v>1</v>
      </c>
    </row>
    <row r="414" spans="1:20" x14ac:dyDescent="0.2">
      <c r="A414" t="s">
        <v>517</v>
      </c>
      <c r="B414">
        <f>IF(COUNTIFS('United Data'!$A$3:$A$3390,B$1,'United Data'!$C$3:$C$3390,$A414,'United Data'!$B$3:$B$3390,"&lt;&gt;Off-street")&gt;0,1,0)</f>
        <v>1</v>
      </c>
      <c r="C414">
        <f>IF(COUNTIFS('United Data'!$A$3:$A$3390,C$1,'United Data'!$C$3:$C$3390,$A414,'United Data'!$B$3:$B$3390,"&lt;&gt;Off-street")&gt;0,1,0)</f>
        <v>0</v>
      </c>
      <c r="D414">
        <f>IF(COUNTIFS('United Data'!$A$3:$A$3390,D$1,'United Data'!$C$3:$C$3390,$A414,'United Data'!$B$3:$B$3390,"&lt;&gt;Off-street")&gt;0,1,0)</f>
        <v>0</v>
      </c>
      <c r="E414">
        <f>IF(COUNTIFS('United Data'!$A$3:$A$3390,E$1,'United Data'!$C$3:$C$3390,$A414,'United Data'!$B$3:$B$3390,"&lt;&gt;Off-street")&gt;0,1,0)</f>
        <v>0</v>
      </c>
      <c r="F414">
        <f>IF(COUNTIFS('United Data'!$A$3:$A$3390,F$1,'United Data'!$C$3:$C$3390,$A414,'United Data'!$B$3:$B$3390,"&lt;&gt;Off-street")&gt;0,1,0)</f>
        <v>0</v>
      </c>
      <c r="G414">
        <f>IF(COUNTIFS('United Data'!$A$3:$A$3390,G$1,'United Data'!$C$3:$C$3390,$A414,'United Data'!$B$3:$B$3390,"&lt;&gt;Off-street")&gt;0,1,0)</f>
        <v>0</v>
      </c>
      <c r="H414">
        <f>IF(COUNTIFS('United Data'!$A$3:$A$3390,H$1,'United Data'!$C$3:$C$3390,$A414,'United Data'!$B$3:$B$3390,"&lt;&gt;Off-street")&gt;0,1,0)</f>
        <v>0</v>
      </c>
      <c r="I414">
        <f>IF(COUNTIFS('United Data'!$A$3:$A$3390,I$1,'United Data'!$C$3:$C$3390,$A414,'United Data'!$B$3:$B$3390,"&lt;&gt;Off-street")&gt;0,1,0)</f>
        <v>0</v>
      </c>
      <c r="J414">
        <f>IF(COUNTIFS('United Data'!$A$3:$A$3390,J$1,'United Data'!$C$3:$C$3390,$A414,'United Data'!$B$3:$B$3390,"&lt;&gt;Off-street")&gt;0,1,0)</f>
        <v>0</v>
      </c>
      <c r="K414">
        <f>IF(COUNTIFS('United Data'!$A$3:$A$3390,K$1,'United Data'!$C$3:$C$3390,$A414,'United Data'!$B$3:$B$3390,"&lt;&gt;Off-street")&gt;0,1,0)</f>
        <v>0</v>
      </c>
      <c r="L414">
        <f>IF(COUNTIFS('United Data'!$A$3:$A$3390,L$1,'United Data'!$C$3:$C$3390,$A414,'United Data'!$B$3:$B$3390,"&lt;&gt;Off-street")&gt;0,1,0)</f>
        <v>0</v>
      </c>
      <c r="M414">
        <f>IF(COUNTIFS('United Data'!$A$3:$A$3390,M$1,'United Data'!$C$3:$C$3390,$A414,'United Data'!$B$3:$B$3390,"&lt;&gt;Off-street")&gt;0,1,0)</f>
        <v>0</v>
      </c>
      <c r="N414">
        <f>IF(COUNTIFS('United Data'!$A$3:$A$3390,N$1,'United Data'!$C$3:$C$3390,$A414,'United Data'!$B$3:$B$3390,"&lt;&gt;Off-street")&gt;0,1,0)</f>
        <v>0</v>
      </c>
      <c r="O414">
        <f>IF(COUNTIFS('United Data'!$A$3:$A$3390,O$1,'United Data'!$C$3:$C$3390,$A414,'United Data'!$B$3:$B$3390,"&lt;&gt;Off-street")&gt;0,1,0)</f>
        <v>0</v>
      </c>
      <c r="P414">
        <f>IF(COUNTIFS('United Data'!$A$3:$A$3390,P$1,'United Data'!$C$3:$C$3390,$A414,'United Data'!$B$3:$B$3390,"&lt;&gt;Off-street")&gt;0,1,0)</f>
        <v>0</v>
      </c>
      <c r="Q414">
        <f>IF(COUNTIFS('United Data'!$A$3:$A$3390,Q$1,'United Data'!$C$3:$C$3390,$A414,'United Data'!$B$3:$B$3390,"&lt;&gt;Off-street")&gt;0,1,0)</f>
        <v>0</v>
      </c>
      <c r="R414">
        <f>IF(COUNTIFS('United Data'!$A$3:$A$3390,R$1,'United Data'!$C$3:$C$3390,$A414,'United Data'!$B$3:$B$3390,"&lt;&gt;Off-street")&gt;0,1,0)</f>
        <v>0</v>
      </c>
      <c r="S414">
        <f t="shared" si="12"/>
        <v>1</v>
      </c>
      <c r="T414">
        <f t="shared" si="13"/>
        <v>1</v>
      </c>
    </row>
    <row r="415" spans="1:20" x14ac:dyDescent="0.2">
      <c r="A415" t="s">
        <v>518</v>
      </c>
      <c r="B415">
        <f>IF(COUNTIFS('United Data'!$A$3:$A$3390,B$1,'United Data'!$C$3:$C$3390,$A415,'United Data'!$B$3:$B$3390,"&lt;&gt;Off-street")&gt;0,1,0)</f>
        <v>0</v>
      </c>
      <c r="C415">
        <f>IF(COUNTIFS('United Data'!$A$3:$A$3390,C$1,'United Data'!$C$3:$C$3390,$A415,'United Data'!$B$3:$B$3390,"&lt;&gt;Off-street")&gt;0,1,0)</f>
        <v>1</v>
      </c>
      <c r="D415">
        <f>IF(COUNTIFS('United Data'!$A$3:$A$3390,D$1,'United Data'!$C$3:$C$3390,$A415,'United Data'!$B$3:$B$3390,"&lt;&gt;Off-street")&gt;0,1,0)</f>
        <v>0</v>
      </c>
      <c r="E415">
        <f>IF(COUNTIFS('United Data'!$A$3:$A$3390,E$1,'United Data'!$C$3:$C$3390,$A415,'United Data'!$B$3:$B$3390,"&lt;&gt;Off-street")&gt;0,1,0)</f>
        <v>1</v>
      </c>
      <c r="F415">
        <f>IF(COUNTIFS('United Data'!$A$3:$A$3390,F$1,'United Data'!$C$3:$C$3390,$A415,'United Data'!$B$3:$B$3390,"&lt;&gt;Off-street")&gt;0,1,0)</f>
        <v>1</v>
      </c>
      <c r="G415">
        <f>IF(COUNTIFS('United Data'!$A$3:$A$3390,G$1,'United Data'!$C$3:$C$3390,$A415,'United Data'!$B$3:$B$3390,"&lt;&gt;Off-street")&gt;0,1,0)</f>
        <v>1</v>
      </c>
      <c r="H415">
        <f>IF(COUNTIFS('United Data'!$A$3:$A$3390,H$1,'United Data'!$C$3:$C$3390,$A415,'United Data'!$B$3:$B$3390,"&lt;&gt;Off-street")&gt;0,1,0)</f>
        <v>0</v>
      </c>
      <c r="I415">
        <f>IF(COUNTIFS('United Data'!$A$3:$A$3390,I$1,'United Data'!$C$3:$C$3390,$A415,'United Data'!$B$3:$B$3390,"&lt;&gt;Off-street")&gt;0,1,0)</f>
        <v>0</v>
      </c>
      <c r="J415">
        <f>IF(COUNTIFS('United Data'!$A$3:$A$3390,J$1,'United Data'!$C$3:$C$3390,$A415,'United Data'!$B$3:$B$3390,"&lt;&gt;Off-street")&gt;0,1,0)</f>
        <v>0</v>
      </c>
      <c r="K415">
        <f>IF(COUNTIFS('United Data'!$A$3:$A$3390,K$1,'United Data'!$C$3:$C$3390,$A415,'United Data'!$B$3:$B$3390,"&lt;&gt;Off-street")&gt;0,1,0)</f>
        <v>0</v>
      </c>
      <c r="L415">
        <f>IF(COUNTIFS('United Data'!$A$3:$A$3390,L$1,'United Data'!$C$3:$C$3390,$A415,'United Data'!$B$3:$B$3390,"&lt;&gt;Off-street")&gt;0,1,0)</f>
        <v>0</v>
      </c>
      <c r="M415">
        <f>IF(COUNTIFS('United Data'!$A$3:$A$3390,M$1,'United Data'!$C$3:$C$3390,$A415,'United Data'!$B$3:$B$3390,"&lt;&gt;Off-street")&gt;0,1,0)</f>
        <v>0</v>
      </c>
      <c r="N415">
        <f>IF(COUNTIFS('United Data'!$A$3:$A$3390,N$1,'United Data'!$C$3:$C$3390,$A415,'United Data'!$B$3:$B$3390,"&lt;&gt;Off-street")&gt;0,1,0)</f>
        <v>0</v>
      </c>
      <c r="O415">
        <f>IF(COUNTIFS('United Data'!$A$3:$A$3390,O$1,'United Data'!$C$3:$C$3390,$A415,'United Data'!$B$3:$B$3390,"&lt;&gt;Off-street")&gt;0,1,0)</f>
        <v>0</v>
      </c>
      <c r="P415">
        <f>IF(COUNTIFS('United Data'!$A$3:$A$3390,P$1,'United Data'!$C$3:$C$3390,$A415,'United Data'!$B$3:$B$3390,"&lt;&gt;Off-street")&gt;0,1,0)</f>
        <v>0</v>
      </c>
      <c r="Q415">
        <f>IF(COUNTIFS('United Data'!$A$3:$A$3390,Q$1,'United Data'!$C$3:$C$3390,$A415,'United Data'!$B$3:$B$3390,"&lt;&gt;Off-street")&gt;0,1,0)</f>
        <v>0</v>
      </c>
      <c r="R415">
        <f>IF(COUNTIFS('United Data'!$A$3:$A$3390,R$1,'United Data'!$C$3:$C$3390,$A415,'United Data'!$B$3:$B$3390,"&lt;&gt;Off-street")&gt;0,1,0)</f>
        <v>0</v>
      </c>
      <c r="S415">
        <f t="shared" si="12"/>
        <v>4</v>
      </c>
      <c r="T415">
        <f t="shared" si="13"/>
        <v>2</v>
      </c>
    </row>
    <row r="416" spans="1:20" x14ac:dyDescent="0.2">
      <c r="A416" t="s">
        <v>519</v>
      </c>
      <c r="B416">
        <f>IF(COUNTIFS('United Data'!$A$3:$A$3390,B$1,'United Data'!$C$3:$C$3390,$A416,'United Data'!$B$3:$B$3390,"&lt;&gt;Off-street")&gt;0,1,0)</f>
        <v>0</v>
      </c>
      <c r="C416">
        <f>IF(COUNTIFS('United Data'!$A$3:$A$3390,C$1,'United Data'!$C$3:$C$3390,$A416,'United Data'!$B$3:$B$3390,"&lt;&gt;Off-street")&gt;0,1,0)</f>
        <v>1</v>
      </c>
      <c r="D416">
        <f>IF(COUNTIFS('United Data'!$A$3:$A$3390,D$1,'United Data'!$C$3:$C$3390,$A416,'United Data'!$B$3:$B$3390,"&lt;&gt;Off-street")&gt;0,1,0)</f>
        <v>0</v>
      </c>
      <c r="E416">
        <f>IF(COUNTIFS('United Data'!$A$3:$A$3390,E$1,'United Data'!$C$3:$C$3390,$A416,'United Data'!$B$3:$B$3390,"&lt;&gt;Off-street")&gt;0,1,0)</f>
        <v>0</v>
      </c>
      <c r="F416">
        <f>IF(COUNTIFS('United Data'!$A$3:$A$3390,F$1,'United Data'!$C$3:$C$3390,$A416,'United Data'!$B$3:$B$3390,"&lt;&gt;Off-street")&gt;0,1,0)</f>
        <v>0</v>
      </c>
      <c r="G416">
        <f>IF(COUNTIFS('United Data'!$A$3:$A$3390,G$1,'United Data'!$C$3:$C$3390,$A416,'United Data'!$B$3:$B$3390,"&lt;&gt;Off-street")&gt;0,1,0)</f>
        <v>0</v>
      </c>
      <c r="H416">
        <f>IF(COUNTIFS('United Data'!$A$3:$A$3390,H$1,'United Data'!$C$3:$C$3390,$A416,'United Data'!$B$3:$B$3390,"&lt;&gt;Off-street")&gt;0,1,0)</f>
        <v>0</v>
      </c>
      <c r="I416">
        <f>IF(COUNTIFS('United Data'!$A$3:$A$3390,I$1,'United Data'!$C$3:$C$3390,$A416,'United Data'!$B$3:$B$3390,"&lt;&gt;Off-street")&gt;0,1,0)</f>
        <v>0</v>
      </c>
      <c r="J416">
        <f>IF(COUNTIFS('United Data'!$A$3:$A$3390,J$1,'United Data'!$C$3:$C$3390,$A416,'United Data'!$B$3:$B$3390,"&lt;&gt;Off-street")&gt;0,1,0)</f>
        <v>0</v>
      </c>
      <c r="K416">
        <f>IF(COUNTIFS('United Data'!$A$3:$A$3390,K$1,'United Data'!$C$3:$C$3390,$A416,'United Data'!$B$3:$B$3390,"&lt;&gt;Off-street")&gt;0,1,0)</f>
        <v>0</v>
      </c>
      <c r="L416">
        <f>IF(COUNTIFS('United Data'!$A$3:$A$3390,L$1,'United Data'!$C$3:$C$3390,$A416,'United Data'!$B$3:$B$3390,"&lt;&gt;Off-street")&gt;0,1,0)</f>
        <v>0</v>
      </c>
      <c r="M416">
        <f>IF(COUNTIFS('United Data'!$A$3:$A$3390,M$1,'United Data'!$C$3:$C$3390,$A416,'United Data'!$B$3:$B$3390,"&lt;&gt;Off-street")&gt;0,1,0)</f>
        <v>0</v>
      </c>
      <c r="N416">
        <f>IF(COUNTIFS('United Data'!$A$3:$A$3390,N$1,'United Data'!$C$3:$C$3390,$A416,'United Data'!$B$3:$B$3390,"&lt;&gt;Off-street")&gt;0,1,0)</f>
        <v>0</v>
      </c>
      <c r="O416">
        <f>IF(COUNTIFS('United Data'!$A$3:$A$3390,O$1,'United Data'!$C$3:$C$3390,$A416,'United Data'!$B$3:$B$3390,"&lt;&gt;Off-street")&gt;0,1,0)</f>
        <v>0</v>
      </c>
      <c r="P416">
        <f>IF(COUNTIFS('United Data'!$A$3:$A$3390,P$1,'United Data'!$C$3:$C$3390,$A416,'United Data'!$B$3:$B$3390,"&lt;&gt;Off-street")&gt;0,1,0)</f>
        <v>0</v>
      </c>
      <c r="Q416">
        <f>IF(COUNTIFS('United Data'!$A$3:$A$3390,Q$1,'United Data'!$C$3:$C$3390,$A416,'United Data'!$B$3:$B$3390,"&lt;&gt;Off-street")&gt;0,1,0)</f>
        <v>0</v>
      </c>
      <c r="R416">
        <f>IF(COUNTIFS('United Data'!$A$3:$A$3390,R$1,'United Data'!$C$3:$C$3390,$A416,'United Data'!$B$3:$B$3390,"&lt;&gt;Off-street")&gt;0,1,0)</f>
        <v>0</v>
      </c>
      <c r="S416">
        <f t="shared" si="12"/>
        <v>1</v>
      </c>
      <c r="T416">
        <f t="shared" si="13"/>
        <v>1</v>
      </c>
    </row>
    <row r="417" spans="1:20" x14ac:dyDescent="0.2">
      <c r="A417" t="s">
        <v>520</v>
      </c>
      <c r="B417">
        <f>IF(COUNTIFS('United Data'!$A$3:$A$3390,B$1,'United Data'!$C$3:$C$3390,$A417,'United Data'!$B$3:$B$3390,"&lt;&gt;Off-street")&gt;0,1,0)</f>
        <v>0</v>
      </c>
      <c r="C417">
        <f>IF(COUNTIFS('United Data'!$A$3:$A$3390,C$1,'United Data'!$C$3:$C$3390,$A417,'United Data'!$B$3:$B$3390,"&lt;&gt;Off-street")&gt;0,1,0)</f>
        <v>1</v>
      </c>
      <c r="D417">
        <f>IF(COUNTIFS('United Data'!$A$3:$A$3390,D$1,'United Data'!$C$3:$C$3390,$A417,'United Data'!$B$3:$B$3390,"&lt;&gt;Off-street")&gt;0,1,0)</f>
        <v>0</v>
      </c>
      <c r="E417">
        <f>IF(COUNTIFS('United Data'!$A$3:$A$3390,E$1,'United Data'!$C$3:$C$3390,$A417,'United Data'!$B$3:$B$3390,"&lt;&gt;Off-street")&gt;0,1,0)</f>
        <v>0</v>
      </c>
      <c r="F417">
        <f>IF(COUNTIFS('United Data'!$A$3:$A$3390,F$1,'United Data'!$C$3:$C$3390,$A417,'United Data'!$B$3:$B$3390,"&lt;&gt;Off-street")&gt;0,1,0)</f>
        <v>0</v>
      </c>
      <c r="G417">
        <f>IF(COUNTIFS('United Data'!$A$3:$A$3390,G$1,'United Data'!$C$3:$C$3390,$A417,'United Data'!$B$3:$B$3390,"&lt;&gt;Off-street")&gt;0,1,0)</f>
        <v>0</v>
      </c>
      <c r="H417">
        <f>IF(COUNTIFS('United Data'!$A$3:$A$3390,H$1,'United Data'!$C$3:$C$3390,$A417,'United Data'!$B$3:$B$3390,"&lt;&gt;Off-street")&gt;0,1,0)</f>
        <v>0</v>
      </c>
      <c r="I417">
        <f>IF(COUNTIFS('United Data'!$A$3:$A$3390,I$1,'United Data'!$C$3:$C$3390,$A417,'United Data'!$B$3:$B$3390,"&lt;&gt;Off-street")&gt;0,1,0)</f>
        <v>0</v>
      </c>
      <c r="J417">
        <f>IF(COUNTIFS('United Data'!$A$3:$A$3390,J$1,'United Data'!$C$3:$C$3390,$A417,'United Data'!$B$3:$B$3390,"&lt;&gt;Off-street")&gt;0,1,0)</f>
        <v>0</v>
      </c>
      <c r="K417">
        <f>IF(COUNTIFS('United Data'!$A$3:$A$3390,K$1,'United Data'!$C$3:$C$3390,$A417,'United Data'!$B$3:$B$3390,"&lt;&gt;Off-street")&gt;0,1,0)</f>
        <v>0</v>
      </c>
      <c r="L417">
        <f>IF(COUNTIFS('United Data'!$A$3:$A$3390,L$1,'United Data'!$C$3:$C$3390,$A417,'United Data'!$B$3:$B$3390,"&lt;&gt;Off-street")&gt;0,1,0)</f>
        <v>0</v>
      </c>
      <c r="M417">
        <f>IF(COUNTIFS('United Data'!$A$3:$A$3390,M$1,'United Data'!$C$3:$C$3390,$A417,'United Data'!$B$3:$B$3390,"&lt;&gt;Off-street")&gt;0,1,0)</f>
        <v>0</v>
      </c>
      <c r="N417">
        <f>IF(COUNTIFS('United Data'!$A$3:$A$3390,N$1,'United Data'!$C$3:$C$3390,$A417,'United Data'!$B$3:$B$3390,"&lt;&gt;Off-street")&gt;0,1,0)</f>
        <v>0</v>
      </c>
      <c r="O417">
        <f>IF(COUNTIFS('United Data'!$A$3:$A$3390,O$1,'United Data'!$C$3:$C$3390,$A417,'United Data'!$B$3:$B$3390,"&lt;&gt;Off-street")&gt;0,1,0)</f>
        <v>0</v>
      </c>
      <c r="P417">
        <f>IF(COUNTIFS('United Data'!$A$3:$A$3390,P$1,'United Data'!$C$3:$C$3390,$A417,'United Data'!$B$3:$B$3390,"&lt;&gt;Off-street")&gt;0,1,0)</f>
        <v>0</v>
      </c>
      <c r="Q417">
        <f>IF(COUNTIFS('United Data'!$A$3:$A$3390,Q$1,'United Data'!$C$3:$C$3390,$A417,'United Data'!$B$3:$B$3390,"&lt;&gt;Off-street")&gt;0,1,0)</f>
        <v>0</v>
      </c>
      <c r="R417">
        <f>IF(COUNTIFS('United Data'!$A$3:$A$3390,R$1,'United Data'!$C$3:$C$3390,$A417,'United Data'!$B$3:$B$3390,"&lt;&gt;Off-street")&gt;0,1,0)</f>
        <v>0</v>
      </c>
      <c r="S417">
        <f t="shared" si="12"/>
        <v>1</v>
      </c>
      <c r="T417">
        <f t="shared" si="13"/>
        <v>1</v>
      </c>
    </row>
    <row r="418" spans="1:20" x14ac:dyDescent="0.2">
      <c r="A418" t="s">
        <v>521</v>
      </c>
      <c r="B418">
        <f>IF(COUNTIFS('United Data'!$A$3:$A$3390,B$1,'United Data'!$C$3:$C$3390,$A418,'United Data'!$B$3:$B$3390,"&lt;&gt;Off-street")&gt;0,1,0)</f>
        <v>0</v>
      </c>
      <c r="C418">
        <f>IF(COUNTIFS('United Data'!$A$3:$A$3390,C$1,'United Data'!$C$3:$C$3390,$A418,'United Data'!$B$3:$B$3390,"&lt;&gt;Off-street")&gt;0,1,0)</f>
        <v>1</v>
      </c>
      <c r="D418">
        <f>IF(COUNTIFS('United Data'!$A$3:$A$3390,D$1,'United Data'!$C$3:$C$3390,$A418,'United Data'!$B$3:$B$3390,"&lt;&gt;Off-street")&gt;0,1,0)</f>
        <v>0</v>
      </c>
      <c r="E418">
        <f>IF(COUNTIFS('United Data'!$A$3:$A$3390,E$1,'United Data'!$C$3:$C$3390,$A418,'United Data'!$B$3:$B$3390,"&lt;&gt;Off-street")&gt;0,1,0)</f>
        <v>0</v>
      </c>
      <c r="F418">
        <f>IF(COUNTIFS('United Data'!$A$3:$A$3390,F$1,'United Data'!$C$3:$C$3390,$A418,'United Data'!$B$3:$B$3390,"&lt;&gt;Off-street")&gt;0,1,0)</f>
        <v>0</v>
      </c>
      <c r="G418">
        <f>IF(COUNTIFS('United Data'!$A$3:$A$3390,G$1,'United Data'!$C$3:$C$3390,$A418,'United Data'!$B$3:$B$3390,"&lt;&gt;Off-street")&gt;0,1,0)</f>
        <v>0</v>
      </c>
      <c r="H418">
        <f>IF(COUNTIFS('United Data'!$A$3:$A$3390,H$1,'United Data'!$C$3:$C$3390,$A418,'United Data'!$B$3:$B$3390,"&lt;&gt;Off-street")&gt;0,1,0)</f>
        <v>0</v>
      </c>
      <c r="I418">
        <f>IF(COUNTIFS('United Data'!$A$3:$A$3390,I$1,'United Data'!$C$3:$C$3390,$A418,'United Data'!$B$3:$B$3390,"&lt;&gt;Off-street")&gt;0,1,0)</f>
        <v>0</v>
      </c>
      <c r="J418">
        <f>IF(COUNTIFS('United Data'!$A$3:$A$3390,J$1,'United Data'!$C$3:$C$3390,$A418,'United Data'!$B$3:$B$3390,"&lt;&gt;Off-street")&gt;0,1,0)</f>
        <v>0</v>
      </c>
      <c r="K418">
        <f>IF(COUNTIFS('United Data'!$A$3:$A$3390,K$1,'United Data'!$C$3:$C$3390,$A418,'United Data'!$B$3:$B$3390,"&lt;&gt;Off-street")&gt;0,1,0)</f>
        <v>0</v>
      </c>
      <c r="L418">
        <f>IF(COUNTIFS('United Data'!$A$3:$A$3390,L$1,'United Data'!$C$3:$C$3390,$A418,'United Data'!$B$3:$B$3390,"&lt;&gt;Off-street")&gt;0,1,0)</f>
        <v>0</v>
      </c>
      <c r="M418">
        <f>IF(COUNTIFS('United Data'!$A$3:$A$3390,M$1,'United Data'!$C$3:$C$3390,$A418,'United Data'!$B$3:$B$3390,"&lt;&gt;Off-street")&gt;0,1,0)</f>
        <v>0</v>
      </c>
      <c r="N418">
        <f>IF(COUNTIFS('United Data'!$A$3:$A$3390,N$1,'United Data'!$C$3:$C$3390,$A418,'United Data'!$B$3:$B$3390,"&lt;&gt;Off-street")&gt;0,1,0)</f>
        <v>0</v>
      </c>
      <c r="O418">
        <f>IF(COUNTIFS('United Data'!$A$3:$A$3390,O$1,'United Data'!$C$3:$C$3390,$A418,'United Data'!$B$3:$B$3390,"&lt;&gt;Off-street")&gt;0,1,0)</f>
        <v>0</v>
      </c>
      <c r="P418">
        <f>IF(COUNTIFS('United Data'!$A$3:$A$3390,P$1,'United Data'!$C$3:$C$3390,$A418,'United Data'!$B$3:$B$3390,"&lt;&gt;Off-street")&gt;0,1,0)</f>
        <v>0</v>
      </c>
      <c r="Q418">
        <f>IF(COUNTIFS('United Data'!$A$3:$A$3390,Q$1,'United Data'!$C$3:$C$3390,$A418,'United Data'!$B$3:$B$3390,"&lt;&gt;Off-street")&gt;0,1,0)</f>
        <v>0</v>
      </c>
      <c r="R418">
        <f>IF(COUNTIFS('United Data'!$A$3:$A$3390,R$1,'United Data'!$C$3:$C$3390,$A418,'United Data'!$B$3:$B$3390,"&lt;&gt;Off-street")&gt;0,1,0)</f>
        <v>0</v>
      </c>
      <c r="S418">
        <f t="shared" si="12"/>
        <v>1</v>
      </c>
      <c r="T418">
        <f t="shared" si="13"/>
        <v>1</v>
      </c>
    </row>
    <row r="419" spans="1:20" x14ac:dyDescent="0.2">
      <c r="A419" t="s">
        <v>522</v>
      </c>
      <c r="B419">
        <f>IF(COUNTIFS('United Data'!$A$3:$A$3390,B$1,'United Data'!$C$3:$C$3390,$A419,'United Data'!$B$3:$B$3390,"&lt;&gt;Off-street")&gt;0,1,0)</f>
        <v>0</v>
      </c>
      <c r="C419">
        <f>IF(COUNTIFS('United Data'!$A$3:$A$3390,C$1,'United Data'!$C$3:$C$3390,$A419,'United Data'!$B$3:$B$3390,"&lt;&gt;Off-street")&gt;0,1,0)</f>
        <v>0</v>
      </c>
      <c r="D419">
        <f>IF(COUNTIFS('United Data'!$A$3:$A$3390,D$1,'United Data'!$C$3:$C$3390,$A419,'United Data'!$B$3:$B$3390,"&lt;&gt;Off-street")&gt;0,1,0)</f>
        <v>1</v>
      </c>
      <c r="E419">
        <f>IF(COUNTIFS('United Data'!$A$3:$A$3390,E$1,'United Data'!$C$3:$C$3390,$A419,'United Data'!$B$3:$B$3390,"&lt;&gt;Off-street")&gt;0,1,0)</f>
        <v>0</v>
      </c>
      <c r="F419">
        <f>IF(COUNTIFS('United Data'!$A$3:$A$3390,F$1,'United Data'!$C$3:$C$3390,$A419,'United Data'!$B$3:$B$3390,"&lt;&gt;Off-street")&gt;0,1,0)</f>
        <v>0</v>
      </c>
      <c r="G419">
        <f>IF(COUNTIFS('United Data'!$A$3:$A$3390,G$1,'United Data'!$C$3:$C$3390,$A419,'United Data'!$B$3:$B$3390,"&lt;&gt;Off-street")&gt;0,1,0)</f>
        <v>0</v>
      </c>
      <c r="H419">
        <f>IF(COUNTIFS('United Data'!$A$3:$A$3390,H$1,'United Data'!$C$3:$C$3390,$A419,'United Data'!$B$3:$B$3390,"&lt;&gt;Off-street")&gt;0,1,0)</f>
        <v>0</v>
      </c>
      <c r="I419">
        <f>IF(COUNTIFS('United Data'!$A$3:$A$3390,I$1,'United Data'!$C$3:$C$3390,$A419,'United Data'!$B$3:$B$3390,"&lt;&gt;Off-street")&gt;0,1,0)</f>
        <v>0</v>
      </c>
      <c r="J419">
        <f>IF(COUNTIFS('United Data'!$A$3:$A$3390,J$1,'United Data'!$C$3:$C$3390,$A419,'United Data'!$B$3:$B$3390,"&lt;&gt;Off-street")&gt;0,1,0)</f>
        <v>0</v>
      </c>
      <c r="K419">
        <f>IF(COUNTIFS('United Data'!$A$3:$A$3390,K$1,'United Data'!$C$3:$C$3390,$A419,'United Data'!$B$3:$B$3390,"&lt;&gt;Off-street")&gt;0,1,0)</f>
        <v>0</v>
      </c>
      <c r="L419">
        <f>IF(COUNTIFS('United Data'!$A$3:$A$3390,L$1,'United Data'!$C$3:$C$3390,$A419,'United Data'!$B$3:$B$3390,"&lt;&gt;Off-street")&gt;0,1,0)</f>
        <v>0</v>
      </c>
      <c r="M419">
        <f>IF(COUNTIFS('United Data'!$A$3:$A$3390,M$1,'United Data'!$C$3:$C$3390,$A419,'United Data'!$B$3:$B$3390,"&lt;&gt;Off-street")&gt;0,1,0)</f>
        <v>0</v>
      </c>
      <c r="N419">
        <f>IF(COUNTIFS('United Data'!$A$3:$A$3390,N$1,'United Data'!$C$3:$C$3390,$A419,'United Data'!$B$3:$B$3390,"&lt;&gt;Off-street")&gt;0,1,0)</f>
        <v>0</v>
      </c>
      <c r="O419">
        <f>IF(COUNTIFS('United Data'!$A$3:$A$3390,O$1,'United Data'!$C$3:$C$3390,$A419,'United Data'!$B$3:$B$3390,"&lt;&gt;Off-street")&gt;0,1,0)</f>
        <v>0</v>
      </c>
      <c r="P419">
        <f>IF(COUNTIFS('United Data'!$A$3:$A$3390,P$1,'United Data'!$C$3:$C$3390,$A419,'United Data'!$B$3:$B$3390,"&lt;&gt;Off-street")&gt;0,1,0)</f>
        <v>0</v>
      </c>
      <c r="Q419">
        <f>IF(COUNTIFS('United Data'!$A$3:$A$3390,Q$1,'United Data'!$C$3:$C$3390,$A419,'United Data'!$B$3:$B$3390,"&lt;&gt;Off-street")&gt;0,1,0)</f>
        <v>0</v>
      </c>
      <c r="R419">
        <f>IF(COUNTIFS('United Data'!$A$3:$A$3390,R$1,'United Data'!$C$3:$C$3390,$A419,'United Data'!$B$3:$B$3390,"&lt;&gt;Off-street")&gt;0,1,0)</f>
        <v>0</v>
      </c>
      <c r="S419">
        <f t="shared" si="12"/>
        <v>1</v>
      </c>
      <c r="T419">
        <f t="shared" si="13"/>
        <v>1</v>
      </c>
    </row>
    <row r="420" spans="1:20" x14ac:dyDescent="0.2">
      <c r="A420" t="s">
        <v>523</v>
      </c>
      <c r="B420">
        <f>IF(COUNTIFS('United Data'!$A$3:$A$3390,B$1,'United Data'!$C$3:$C$3390,$A420,'United Data'!$B$3:$B$3390,"&lt;&gt;Off-street")&gt;0,1,0)</f>
        <v>0</v>
      </c>
      <c r="C420">
        <f>IF(COUNTIFS('United Data'!$A$3:$A$3390,C$1,'United Data'!$C$3:$C$3390,$A420,'United Data'!$B$3:$B$3390,"&lt;&gt;Off-street")&gt;0,1,0)</f>
        <v>0</v>
      </c>
      <c r="D420">
        <f>IF(COUNTIFS('United Data'!$A$3:$A$3390,D$1,'United Data'!$C$3:$C$3390,$A420,'United Data'!$B$3:$B$3390,"&lt;&gt;Off-street")&gt;0,1,0)</f>
        <v>1</v>
      </c>
      <c r="E420">
        <f>IF(COUNTIFS('United Data'!$A$3:$A$3390,E$1,'United Data'!$C$3:$C$3390,$A420,'United Data'!$B$3:$B$3390,"&lt;&gt;Off-street")&gt;0,1,0)</f>
        <v>1</v>
      </c>
      <c r="F420">
        <f>IF(COUNTIFS('United Data'!$A$3:$A$3390,F$1,'United Data'!$C$3:$C$3390,$A420,'United Data'!$B$3:$B$3390,"&lt;&gt;Off-street")&gt;0,1,0)</f>
        <v>0</v>
      </c>
      <c r="G420">
        <f>IF(COUNTIFS('United Data'!$A$3:$A$3390,G$1,'United Data'!$C$3:$C$3390,$A420,'United Data'!$B$3:$B$3390,"&lt;&gt;Off-street")&gt;0,1,0)</f>
        <v>0</v>
      </c>
      <c r="H420">
        <f>IF(COUNTIFS('United Data'!$A$3:$A$3390,H$1,'United Data'!$C$3:$C$3390,$A420,'United Data'!$B$3:$B$3390,"&lt;&gt;Off-street")&gt;0,1,0)</f>
        <v>0</v>
      </c>
      <c r="I420">
        <f>IF(COUNTIFS('United Data'!$A$3:$A$3390,I$1,'United Data'!$C$3:$C$3390,$A420,'United Data'!$B$3:$B$3390,"&lt;&gt;Off-street")&gt;0,1,0)</f>
        <v>0</v>
      </c>
      <c r="J420">
        <f>IF(COUNTIFS('United Data'!$A$3:$A$3390,J$1,'United Data'!$C$3:$C$3390,$A420,'United Data'!$B$3:$B$3390,"&lt;&gt;Off-street")&gt;0,1,0)</f>
        <v>0</v>
      </c>
      <c r="K420">
        <f>IF(COUNTIFS('United Data'!$A$3:$A$3390,K$1,'United Data'!$C$3:$C$3390,$A420,'United Data'!$B$3:$B$3390,"&lt;&gt;Off-street")&gt;0,1,0)</f>
        <v>0</v>
      </c>
      <c r="L420">
        <f>IF(COUNTIFS('United Data'!$A$3:$A$3390,L$1,'United Data'!$C$3:$C$3390,$A420,'United Data'!$B$3:$B$3390,"&lt;&gt;Off-street")&gt;0,1,0)</f>
        <v>0</v>
      </c>
      <c r="M420">
        <f>IF(COUNTIFS('United Data'!$A$3:$A$3390,M$1,'United Data'!$C$3:$C$3390,$A420,'United Data'!$B$3:$B$3390,"&lt;&gt;Off-street")&gt;0,1,0)</f>
        <v>0</v>
      </c>
      <c r="N420">
        <f>IF(COUNTIFS('United Data'!$A$3:$A$3390,N$1,'United Data'!$C$3:$C$3390,$A420,'United Data'!$B$3:$B$3390,"&lt;&gt;Off-street")&gt;0,1,0)</f>
        <v>0</v>
      </c>
      <c r="O420">
        <f>IF(COUNTIFS('United Data'!$A$3:$A$3390,O$1,'United Data'!$C$3:$C$3390,$A420,'United Data'!$B$3:$B$3390,"&lt;&gt;Off-street")&gt;0,1,0)</f>
        <v>0</v>
      </c>
      <c r="P420">
        <f>IF(COUNTIFS('United Data'!$A$3:$A$3390,P$1,'United Data'!$C$3:$C$3390,$A420,'United Data'!$B$3:$B$3390,"&lt;&gt;Off-street")&gt;0,1,0)</f>
        <v>0</v>
      </c>
      <c r="Q420">
        <f>IF(COUNTIFS('United Data'!$A$3:$A$3390,Q$1,'United Data'!$C$3:$C$3390,$A420,'United Data'!$B$3:$B$3390,"&lt;&gt;Off-street")&gt;0,1,0)</f>
        <v>0</v>
      </c>
      <c r="R420">
        <f>IF(COUNTIFS('United Data'!$A$3:$A$3390,R$1,'United Data'!$C$3:$C$3390,$A420,'United Data'!$B$3:$B$3390,"&lt;&gt;Off-street")&gt;0,1,0)</f>
        <v>0</v>
      </c>
      <c r="S420">
        <f t="shared" si="12"/>
        <v>2</v>
      </c>
      <c r="T420">
        <f t="shared" si="13"/>
        <v>1</v>
      </c>
    </row>
    <row r="421" spans="1:20" x14ac:dyDescent="0.2">
      <c r="A421" t="s">
        <v>524</v>
      </c>
      <c r="B421">
        <f>IF(COUNTIFS('United Data'!$A$3:$A$3390,B$1,'United Data'!$C$3:$C$3390,$A421,'United Data'!$B$3:$B$3390,"&lt;&gt;Off-street")&gt;0,1,0)</f>
        <v>0</v>
      </c>
      <c r="C421">
        <f>IF(COUNTIFS('United Data'!$A$3:$A$3390,C$1,'United Data'!$C$3:$C$3390,$A421,'United Data'!$B$3:$B$3390,"&lt;&gt;Off-street")&gt;0,1,0)</f>
        <v>0</v>
      </c>
      <c r="D421">
        <f>IF(COUNTIFS('United Data'!$A$3:$A$3390,D$1,'United Data'!$C$3:$C$3390,$A421,'United Data'!$B$3:$B$3390,"&lt;&gt;Off-street")&gt;0,1,0)</f>
        <v>1</v>
      </c>
      <c r="E421">
        <f>IF(COUNTIFS('United Data'!$A$3:$A$3390,E$1,'United Data'!$C$3:$C$3390,$A421,'United Data'!$B$3:$B$3390,"&lt;&gt;Off-street")&gt;0,1,0)</f>
        <v>0</v>
      </c>
      <c r="F421">
        <f>IF(COUNTIFS('United Data'!$A$3:$A$3390,F$1,'United Data'!$C$3:$C$3390,$A421,'United Data'!$B$3:$B$3390,"&lt;&gt;Off-street")&gt;0,1,0)</f>
        <v>0</v>
      </c>
      <c r="G421">
        <f>IF(COUNTIFS('United Data'!$A$3:$A$3390,G$1,'United Data'!$C$3:$C$3390,$A421,'United Data'!$B$3:$B$3390,"&lt;&gt;Off-street")&gt;0,1,0)</f>
        <v>0</v>
      </c>
      <c r="H421">
        <f>IF(COUNTIFS('United Data'!$A$3:$A$3390,H$1,'United Data'!$C$3:$C$3390,$A421,'United Data'!$B$3:$B$3390,"&lt;&gt;Off-street")&gt;0,1,0)</f>
        <v>0</v>
      </c>
      <c r="I421">
        <f>IF(COUNTIFS('United Data'!$A$3:$A$3390,I$1,'United Data'!$C$3:$C$3390,$A421,'United Data'!$B$3:$B$3390,"&lt;&gt;Off-street")&gt;0,1,0)</f>
        <v>0</v>
      </c>
      <c r="J421">
        <f>IF(COUNTIFS('United Data'!$A$3:$A$3390,J$1,'United Data'!$C$3:$C$3390,$A421,'United Data'!$B$3:$B$3390,"&lt;&gt;Off-street")&gt;0,1,0)</f>
        <v>0</v>
      </c>
      <c r="K421">
        <f>IF(COUNTIFS('United Data'!$A$3:$A$3390,K$1,'United Data'!$C$3:$C$3390,$A421,'United Data'!$B$3:$B$3390,"&lt;&gt;Off-street")&gt;0,1,0)</f>
        <v>0</v>
      </c>
      <c r="L421">
        <f>IF(COUNTIFS('United Data'!$A$3:$A$3390,L$1,'United Data'!$C$3:$C$3390,$A421,'United Data'!$B$3:$B$3390,"&lt;&gt;Off-street")&gt;0,1,0)</f>
        <v>0</v>
      </c>
      <c r="M421">
        <f>IF(COUNTIFS('United Data'!$A$3:$A$3390,M$1,'United Data'!$C$3:$C$3390,$A421,'United Data'!$B$3:$B$3390,"&lt;&gt;Off-street")&gt;0,1,0)</f>
        <v>0</v>
      </c>
      <c r="N421">
        <f>IF(COUNTIFS('United Data'!$A$3:$A$3390,N$1,'United Data'!$C$3:$C$3390,$A421,'United Data'!$B$3:$B$3390,"&lt;&gt;Off-street")&gt;0,1,0)</f>
        <v>0</v>
      </c>
      <c r="O421">
        <f>IF(COUNTIFS('United Data'!$A$3:$A$3390,O$1,'United Data'!$C$3:$C$3390,$A421,'United Data'!$B$3:$B$3390,"&lt;&gt;Off-street")&gt;0,1,0)</f>
        <v>0</v>
      </c>
      <c r="P421">
        <f>IF(COUNTIFS('United Data'!$A$3:$A$3390,P$1,'United Data'!$C$3:$C$3390,$A421,'United Data'!$B$3:$B$3390,"&lt;&gt;Off-street")&gt;0,1,0)</f>
        <v>0</v>
      </c>
      <c r="Q421">
        <f>IF(COUNTIFS('United Data'!$A$3:$A$3390,Q$1,'United Data'!$C$3:$C$3390,$A421,'United Data'!$B$3:$B$3390,"&lt;&gt;Off-street")&gt;0,1,0)</f>
        <v>0</v>
      </c>
      <c r="R421">
        <f>IF(COUNTIFS('United Data'!$A$3:$A$3390,R$1,'United Data'!$C$3:$C$3390,$A421,'United Data'!$B$3:$B$3390,"&lt;&gt;Off-street")&gt;0,1,0)</f>
        <v>0</v>
      </c>
      <c r="S421">
        <f t="shared" si="12"/>
        <v>1</v>
      </c>
      <c r="T421">
        <f t="shared" si="13"/>
        <v>1</v>
      </c>
    </row>
    <row r="422" spans="1:20" x14ac:dyDescent="0.2">
      <c r="A422" t="s">
        <v>525</v>
      </c>
      <c r="B422">
        <f>IF(COUNTIFS('United Data'!$A$3:$A$3390,B$1,'United Data'!$C$3:$C$3390,$A422,'United Data'!$B$3:$B$3390,"&lt;&gt;Off-street")&gt;0,1,0)</f>
        <v>0</v>
      </c>
      <c r="C422">
        <f>IF(COUNTIFS('United Data'!$A$3:$A$3390,C$1,'United Data'!$C$3:$C$3390,$A422,'United Data'!$B$3:$B$3390,"&lt;&gt;Off-street")&gt;0,1,0)</f>
        <v>0</v>
      </c>
      <c r="D422">
        <f>IF(COUNTIFS('United Data'!$A$3:$A$3390,D$1,'United Data'!$C$3:$C$3390,$A422,'United Data'!$B$3:$B$3390,"&lt;&gt;Off-street")&gt;0,1,0)</f>
        <v>1</v>
      </c>
      <c r="E422">
        <f>IF(COUNTIFS('United Data'!$A$3:$A$3390,E$1,'United Data'!$C$3:$C$3390,$A422,'United Data'!$B$3:$B$3390,"&lt;&gt;Off-street")&gt;0,1,0)</f>
        <v>0</v>
      </c>
      <c r="F422">
        <f>IF(COUNTIFS('United Data'!$A$3:$A$3390,F$1,'United Data'!$C$3:$C$3390,$A422,'United Data'!$B$3:$B$3390,"&lt;&gt;Off-street")&gt;0,1,0)</f>
        <v>0</v>
      </c>
      <c r="G422">
        <f>IF(COUNTIFS('United Data'!$A$3:$A$3390,G$1,'United Data'!$C$3:$C$3390,$A422,'United Data'!$B$3:$B$3390,"&lt;&gt;Off-street")&gt;0,1,0)</f>
        <v>0</v>
      </c>
      <c r="H422">
        <f>IF(COUNTIFS('United Data'!$A$3:$A$3390,H$1,'United Data'!$C$3:$C$3390,$A422,'United Data'!$B$3:$B$3390,"&lt;&gt;Off-street")&gt;0,1,0)</f>
        <v>0</v>
      </c>
      <c r="I422">
        <f>IF(COUNTIFS('United Data'!$A$3:$A$3390,I$1,'United Data'!$C$3:$C$3390,$A422,'United Data'!$B$3:$B$3390,"&lt;&gt;Off-street")&gt;0,1,0)</f>
        <v>0</v>
      </c>
      <c r="J422">
        <f>IF(COUNTIFS('United Data'!$A$3:$A$3390,J$1,'United Data'!$C$3:$C$3390,$A422,'United Data'!$B$3:$B$3390,"&lt;&gt;Off-street")&gt;0,1,0)</f>
        <v>0</v>
      </c>
      <c r="K422">
        <f>IF(COUNTIFS('United Data'!$A$3:$A$3390,K$1,'United Data'!$C$3:$C$3390,$A422,'United Data'!$B$3:$B$3390,"&lt;&gt;Off-street")&gt;0,1,0)</f>
        <v>0</v>
      </c>
      <c r="L422">
        <f>IF(COUNTIFS('United Data'!$A$3:$A$3390,L$1,'United Data'!$C$3:$C$3390,$A422,'United Data'!$B$3:$B$3390,"&lt;&gt;Off-street")&gt;0,1,0)</f>
        <v>0</v>
      </c>
      <c r="M422">
        <f>IF(COUNTIFS('United Data'!$A$3:$A$3390,M$1,'United Data'!$C$3:$C$3390,$A422,'United Data'!$B$3:$B$3390,"&lt;&gt;Off-street")&gt;0,1,0)</f>
        <v>0</v>
      </c>
      <c r="N422">
        <f>IF(COUNTIFS('United Data'!$A$3:$A$3390,N$1,'United Data'!$C$3:$C$3390,$A422,'United Data'!$B$3:$B$3390,"&lt;&gt;Off-street")&gt;0,1,0)</f>
        <v>0</v>
      </c>
      <c r="O422">
        <f>IF(COUNTIFS('United Data'!$A$3:$A$3390,O$1,'United Data'!$C$3:$C$3390,$A422,'United Data'!$B$3:$B$3390,"&lt;&gt;Off-street")&gt;0,1,0)</f>
        <v>0</v>
      </c>
      <c r="P422">
        <f>IF(COUNTIFS('United Data'!$A$3:$A$3390,P$1,'United Data'!$C$3:$C$3390,$A422,'United Data'!$B$3:$B$3390,"&lt;&gt;Off-street")&gt;0,1,0)</f>
        <v>0</v>
      </c>
      <c r="Q422">
        <f>IF(COUNTIFS('United Data'!$A$3:$A$3390,Q$1,'United Data'!$C$3:$C$3390,$A422,'United Data'!$B$3:$B$3390,"&lt;&gt;Off-street")&gt;0,1,0)</f>
        <v>0</v>
      </c>
      <c r="R422">
        <f>IF(COUNTIFS('United Data'!$A$3:$A$3390,R$1,'United Data'!$C$3:$C$3390,$A422,'United Data'!$B$3:$B$3390,"&lt;&gt;Off-street")&gt;0,1,0)</f>
        <v>0</v>
      </c>
      <c r="S422">
        <f t="shared" si="12"/>
        <v>1</v>
      </c>
      <c r="T422">
        <f t="shared" si="13"/>
        <v>1</v>
      </c>
    </row>
    <row r="423" spans="1:20" x14ac:dyDescent="0.2">
      <c r="A423" t="s">
        <v>526</v>
      </c>
      <c r="B423">
        <f>IF(COUNTIFS('United Data'!$A$3:$A$3390,B$1,'United Data'!$C$3:$C$3390,$A423,'United Data'!$B$3:$B$3390,"&lt;&gt;Off-street")&gt;0,1,0)</f>
        <v>0</v>
      </c>
      <c r="C423">
        <f>IF(COUNTIFS('United Data'!$A$3:$A$3390,C$1,'United Data'!$C$3:$C$3390,$A423,'United Data'!$B$3:$B$3390,"&lt;&gt;Off-street")&gt;0,1,0)</f>
        <v>0</v>
      </c>
      <c r="D423">
        <f>IF(COUNTIFS('United Data'!$A$3:$A$3390,D$1,'United Data'!$C$3:$C$3390,$A423,'United Data'!$B$3:$B$3390,"&lt;&gt;Off-street")&gt;0,1,0)</f>
        <v>1</v>
      </c>
      <c r="E423">
        <f>IF(COUNTIFS('United Data'!$A$3:$A$3390,E$1,'United Data'!$C$3:$C$3390,$A423,'United Data'!$B$3:$B$3390,"&lt;&gt;Off-street")&gt;0,1,0)</f>
        <v>0</v>
      </c>
      <c r="F423">
        <f>IF(COUNTIFS('United Data'!$A$3:$A$3390,F$1,'United Data'!$C$3:$C$3390,$A423,'United Data'!$B$3:$B$3390,"&lt;&gt;Off-street")&gt;0,1,0)</f>
        <v>0</v>
      </c>
      <c r="G423">
        <f>IF(COUNTIFS('United Data'!$A$3:$A$3390,G$1,'United Data'!$C$3:$C$3390,$A423,'United Data'!$B$3:$B$3390,"&lt;&gt;Off-street")&gt;0,1,0)</f>
        <v>0</v>
      </c>
      <c r="H423">
        <f>IF(COUNTIFS('United Data'!$A$3:$A$3390,H$1,'United Data'!$C$3:$C$3390,$A423,'United Data'!$B$3:$B$3390,"&lt;&gt;Off-street")&gt;0,1,0)</f>
        <v>0</v>
      </c>
      <c r="I423">
        <f>IF(COUNTIFS('United Data'!$A$3:$A$3390,I$1,'United Data'!$C$3:$C$3390,$A423,'United Data'!$B$3:$B$3390,"&lt;&gt;Off-street")&gt;0,1,0)</f>
        <v>0</v>
      </c>
      <c r="J423">
        <f>IF(COUNTIFS('United Data'!$A$3:$A$3390,J$1,'United Data'!$C$3:$C$3390,$A423,'United Data'!$B$3:$B$3390,"&lt;&gt;Off-street")&gt;0,1,0)</f>
        <v>0</v>
      </c>
      <c r="K423">
        <f>IF(COUNTIFS('United Data'!$A$3:$A$3390,K$1,'United Data'!$C$3:$C$3390,$A423,'United Data'!$B$3:$B$3390,"&lt;&gt;Off-street")&gt;0,1,0)</f>
        <v>0</v>
      </c>
      <c r="L423">
        <f>IF(COUNTIFS('United Data'!$A$3:$A$3390,L$1,'United Data'!$C$3:$C$3390,$A423,'United Data'!$B$3:$B$3390,"&lt;&gt;Off-street")&gt;0,1,0)</f>
        <v>0</v>
      </c>
      <c r="M423">
        <f>IF(COUNTIFS('United Data'!$A$3:$A$3390,M$1,'United Data'!$C$3:$C$3390,$A423,'United Data'!$B$3:$B$3390,"&lt;&gt;Off-street")&gt;0,1,0)</f>
        <v>0</v>
      </c>
      <c r="N423">
        <f>IF(COUNTIFS('United Data'!$A$3:$A$3390,N$1,'United Data'!$C$3:$C$3390,$A423,'United Data'!$B$3:$B$3390,"&lt;&gt;Off-street")&gt;0,1,0)</f>
        <v>0</v>
      </c>
      <c r="O423">
        <f>IF(COUNTIFS('United Data'!$A$3:$A$3390,O$1,'United Data'!$C$3:$C$3390,$A423,'United Data'!$B$3:$B$3390,"&lt;&gt;Off-street")&gt;0,1,0)</f>
        <v>0</v>
      </c>
      <c r="P423">
        <f>IF(COUNTIFS('United Data'!$A$3:$A$3390,P$1,'United Data'!$C$3:$C$3390,$A423,'United Data'!$B$3:$B$3390,"&lt;&gt;Off-street")&gt;0,1,0)</f>
        <v>0</v>
      </c>
      <c r="Q423">
        <f>IF(COUNTIFS('United Data'!$A$3:$A$3390,Q$1,'United Data'!$C$3:$C$3390,$A423,'United Data'!$B$3:$B$3390,"&lt;&gt;Off-street")&gt;0,1,0)</f>
        <v>0</v>
      </c>
      <c r="R423">
        <f>IF(COUNTIFS('United Data'!$A$3:$A$3390,R$1,'United Data'!$C$3:$C$3390,$A423,'United Data'!$B$3:$B$3390,"&lt;&gt;Off-street")&gt;0,1,0)</f>
        <v>0</v>
      </c>
      <c r="S423">
        <f t="shared" si="12"/>
        <v>1</v>
      </c>
      <c r="T423">
        <f t="shared" si="13"/>
        <v>1</v>
      </c>
    </row>
    <row r="424" spans="1:20" x14ac:dyDescent="0.2">
      <c r="A424" t="s">
        <v>527</v>
      </c>
      <c r="B424">
        <f>IF(COUNTIFS('United Data'!$A$3:$A$3390,B$1,'United Data'!$C$3:$C$3390,$A424,'United Data'!$B$3:$B$3390,"&lt;&gt;Off-street")&gt;0,1,0)</f>
        <v>0</v>
      </c>
      <c r="C424">
        <f>IF(COUNTIFS('United Data'!$A$3:$A$3390,C$1,'United Data'!$C$3:$C$3390,$A424,'United Data'!$B$3:$B$3390,"&lt;&gt;Off-street")&gt;0,1,0)</f>
        <v>0</v>
      </c>
      <c r="D424">
        <f>IF(COUNTIFS('United Data'!$A$3:$A$3390,D$1,'United Data'!$C$3:$C$3390,$A424,'United Data'!$B$3:$B$3390,"&lt;&gt;Off-street")&gt;0,1,0)</f>
        <v>0</v>
      </c>
      <c r="E424">
        <f>IF(COUNTIFS('United Data'!$A$3:$A$3390,E$1,'United Data'!$C$3:$C$3390,$A424,'United Data'!$B$3:$B$3390,"&lt;&gt;Off-street")&gt;0,1,0)</f>
        <v>1</v>
      </c>
      <c r="F424">
        <f>IF(COUNTIFS('United Data'!$A$3:$A$3390,F$1,'United Data'!$C$3:$C$3390,$A424,'United Data'!$B$3:$B$3390,"&lt;&gt;Off-street")&gt;0,1,0)</f>
        <v>0</v>
      </c>
      <c r="G424">
        <f>IF(COUNTIFS('United Data'!$A$3:$A$3390,G$1,'United Data'!$C$3:$C$3390,$A424,'United Data'!$B$3:$B$3390,"&lt;&gt;Off-street")&gt;0,1,0)</f>
        <v>0</v>
      </c>
      <c r="H424">
        <f>IF(COUNTIFS('United Data'!$A$3:$A$3390,H$1,'United Data'!$C$3:$C$3390,$A424,'United Data'!$B$3:$B$3390,"&lt;&gt;Off-street")&gt;0,1,0)</f>
        <v>0</v>
      </c>
      <c r="I424">
        <f>IF(COUNTIFS('United Data'!$A$3:$A$3390,I$1,'United Data'!$C$3:$C$3390,$A424,'United Data'!$B$3:$B$3390,"&lt;&gt;Off-street")&gt;0,1,0)</f>
        <v>0</v>
      </c>
      <c r="J424">
        <f>IF(COUNTIFS('United Data'!$A$3:$A$3390,J$1,'United Data'!$C$3:$C$3390,$A424,'United Data'!$B$3:$B$3390,"&lt;&gt;Off-street")&gt;0,1,0)</f>
        <v>0</v>
      </c>
      <c r="K424">
        <f>IF(COUNTIFS('United Data'!$A$3:$A$3390,K$1,'United Data'!$C$3:$C$3390,$A424,'United Data'!$B$3:$B$3390,"&lt;&gt;Off-street")&gt;0,1,0)</f>
        <v>0</v>
      </c>
      <c r="L424">
        <f>IF(COUNTIFS('United Data'!$A$3:$A$3390,L$1,'United Data'!$C$3:$C$3390,$A424,'United Data'!$B$3:$B$3390,"&lt;&gt;Off-street")&gt;0,1,0)</f>
        <v>0</v>
      </c>
      <c r="M424">
        <f>IF(COUNTIFS('United Data'!$A$3:$A$3390,M$1,'United Data'!$C$3:$C$3390,$A424,'United Data'!$B$3:$B$3390,"&lt;&gt;Off-street")&gt;0,1,0)</f>
        <v>0</v>
      </c>
      <c r="N424">
        <f>IF(COUNTIFS('United Data'!$A$3:$A$3390,N$1,'United Data'!$C$3:$C$3390,$A424,'United Data'!$B$3:$B$3390,"&lt;&gt;Off-street")&gt;0,1,0)</f>
        <v>0</v>
      </c>
      <c r="O424">
        <f>IF(COUNTIFS('United Data'!$A$3:$A$3390,O$1,'United Data'!$C$3:$C$3390,$A424,'United Data'!$B$3:$B$3390,"&lt;&gt;Off-street")&gt;0,1,0)</f>
        <v>0</v>
      </c>
      <c r="P424">
        <f>IF(COUNTIFS('United Data'!$A$3:$A$3390,P$1,'United Data'!$C$3:$C$3390,$A424,'United Data'!$B$3:$B$3390,"&lt;&gt;Off-street")&gt;0,1,0)</f>
        <v>0</v>
      </c>
      <c r="Q424">
        <f>IF(COUNTIFS('United Data'!$A$3:$A$3390,Q$1,'United Data'!$C$3:$C$3390,$A424,'United Data'!$B$3:$B$3390,"&lt;&gt;Off-street")&gt;0,1,0)</f>
        <v>0</v>
      </c>
      <c r="R424">
        <f>IF(COUNTIFS('United Data'!$A$3:$A$3390,R$1,'United Data'!$C$3:$C$3390,$A424,'United Data'!$B$3:$B$3390,"&lt;&gt;Off-street")&gt;0,1,0)</f>
        <v>0</v>
      </c>
      <c r="S424">
        <f t="shared" si="12"/>
        <v>1</v>
      </c>
      <c r="T424">
        <f t="shared" si="13"/>
        <v>1</v>
      </c>
    </row>
    <row r="425" spans="1:20" x14ac:dyDescent="0.2">
      <c r="A425" t="s">
        <v>528</v>
      </c>
      <c r="B425">
        <f>IF(COUNTIFS('United Data'!$A$3:$A$3390,B$1,'United Data'!$C$3:$C$3390,$A425,'United Data'!$B$3:$B$3390,"&lt;&gt;Off-street")&gt;0,1,0)</f>
        <v>0</v>
      </c>
      <c r="C425">
        <f>IF(COUNTIFS('United Data'!$A$3:$A$3390,C$1,'United Data'!$C$3:$C$3390,$A425,'United Data'!$B$3:$B$3390,"&lt;&gt;Off-street")&gt;0,1,0)</f>
        <v>0</v>
      </c>
      <c r="D425">
        <f>IF(COUNTIFS('United Data'!$A$3:$A$3390,D$1,'United Data'!$C$3:$C$3390,$A425,'United Data'!$B$3:$B$3390,"&lt;&gt;Off-street")&gt;0,1,0)</f>
        <v>0</v>
      </c>
      <c r="E425">
        <f>IF(COUNTIFS('United Data'!$A$3:$A$3390,E$1,'United Data'!$C$3:$C$3390,$A425,'United Data'!$B$3:$B$3390,"&lt;&gt;Off-street")&gt;0,1,0)</f>
        <v>1</v>
      </c>
      <c r="F425">
        <f>IF(COUNTIFS('United Data'!$A$3:$A$3390,F$1,'United Data'!$C$3:$C$3390,$A425,'United Data'!$B$3:$B$3390,"&lt;&gt;Off-street")&gt;0,1,0)</f>
        <v>0</v>
      </c>
      <c r="G425">
        <f>IF(COUNTIFS('United Data'!$A$3:$A$3390,G$1,'United Data'!$C$3:$C$3390,$A425,'United Data'!$B$3:$B$3390,"&lt;&gt;Off-street")&gt;0,1,0)</f>
        <v>0</v>
      </c>
      <c r="H425">
        <f>IF(COUNTIFS('United Data'!$A$3:$A$3390,H$1,'United Data'!$C$3:$C$3390,$A425,'United Data'!$B$3:$B$3390,"&lt;&gt;Off-street")&gt;0,1,0)</f>
        <v>0</v>
      </c>
      <c r="I425">
        <f>IF(COUNTIFS('United Data'!$A$3:$A$3390,I$1,'United Data'!$C$3:$C$3390,$A425,'United Data'!$B$3:$B$3390,"&lt;&gt;Off-street")&gt;0,1,0)</f>
        <v>0</v>
      </c>
      <c r="J425">
        <f>IF(COUNTIFS('United Data'!$A$3:$A$3390,J$1,'United Data'!$C$3:$C$3390,$A425,'United Data'!$B$3:$B$3390,"&lt;&gt;Off-street")&gt;0,1,0)</f>
        <v>0</v>
      </c>
      <c r="K425">
        <f>IF(COUNTIFS('United Data'!$A$3:$A$3390,K$1,'United Data'!$C$3:$C$3390,$A425,'United Data'!$B$3:$B$3390,"&lt;&gt;Off-street")&gt;0,1,0)</f>
        <v>0</v>
      </c>
      <c r="L425">
        <f>IF(COUNTIFS('United Data'!$A$3:$A$3390,L$1,'United Data'!$C$3:$C$3390,$A425,'United Data'!$B$3:$B$3390,"&lt;&gt;Off-street")&gt;0,1,0)</f>
        <v>0</v>
      </c>
      <c r="M425">
        <f>IF(COUNTIFS('United Data'!$A$3:$A$3390,M$1,'United Data'!$C$3:$C$3390,$A425,'United Data'!$B$3:$B$3390,"&lt;&gt;Off-street")&gt;0,1,0)</f>
        <v>0</v>
      </c>
      <c r="N425">
        <f>IF(COUNTIFS('United Data'!$A$3:$A$3390,N$1,'United Data'!$C$3:$C$3390,$A425,'United Data'!$B$3:$B$3390,"&lt;&gt;Off-street")&gt;0,1,0)</f>
        <v>0</v>
      </c>
      <c r="O425">
        <f>IF(COUNTIFS('United Data'!$A$3:$A$3390,O$1,'United Data'!$C$3:$C$3390,$A425,'United Data'!$B$3:$B$3390,"&lt;&gt;Off-street")&gt;0,1,0)</f>
        <v>0</v>
      </c>
      <c r="P425">
        <f>IF(COUNTIFS('United Data'!$A$3:$A$3390,P$1,'United Data'!$C$3:$C$3390,$A425,'United Data'!$B$3:$B$3390,"&lt;&gt;Off-street")&gt;0,1,0)</f>
        <v>0</v>
      </c>
      <c r="Q425">
        <f>IF(COUNTIFS('United Data'!$A$3:$A$3390,Q$1,'United Data'!$C$3:$C$3390,$A425,'United Data'!$B$3:$B$3390,"&lt;&gt;Off-street")&gt;0,1,0)</f>
        <v>0</v>
      </c>
      <c r="R425">
        <f>IF(COUNTIFS('United Data'!$A$3:$A$3390,R$1,'United Data'!$C$3:$C$3390,$A425,'United Data'!$B$3:$B$3390,"&lt;&gt;Off-street")&gt;0,1,0)</f>
        <v>0</v>
      </c>
      <c r="S425">
        <f t="shared" si="12"/>
        <v>1</v>
      </c>
      <c r="T425">
        <f t="shared" si="13"/>
        <v>1</v>
      </c>
    </row>
    <row r="426" spans="1:20" x14ac:dyDescent="0.2">
      <c r="A426" t="s">
        <v>529</v>
      </c>
      <c r="B426">
        <f>IF(COUNTIFS('United Data'!$A$3:$A$3390,B$1,'United Data'!$C$3:$C$3390,$A426,'United Data'!$B$3:$B$3390,"&lt;&gt;Off-street")&gt;0,1,0)</f>
        <v>0</v>
      </c>
      <c r="C426">
        <f>IF(COUNTIFS('United Data'!$A$3:$A$3390,C$1,'United Data'!$C$3:$C$3390,$A426,'United Data'!$B$3:$B$3390,"&lt;&gt;Off-street")&gt;0,1,0)</f>
        <v>0</v>
      </c>
      <c r="D426">
        <f>IF(COUNTIFS('United Data'!$A$3:$A$3390,D$1,'United Data'!$C$3:$C$3390,$A426,'United Data'!$B$3:$B$3390,"&lt;&gt;Off-street")&gt;0,1,0)</f>
        <v>0</v>
      </c>
      <c r="E426">
        <f>IF(COUNTIFS('United Data'!$A$3:$A$3390,E$1,'United Data'!$C$3:$C$3390,$A426,'United Data'!$B$3:$B$3390,"&lt;&gt;Off-street")&gt;0,1,0)</f>
        <v>1</v>
      </c>
      <c r="F426">
        <f>IF(COUNTIFS('United Data'!$A$3:$A$3390,F$1,'United Data'!$C$3:$C$3390,$A426,'United Data'!$B$3:$B$3390,"&lt;&gt;Off-street")&gt;0,1,0)</f>
        <v>0</v>
      </c>
      <c r="G426">
        <f>IF(COUNTIFS('United Data'!$A$3:$A$3390,G$1,'United Data'!$C$3:$C$3390,$A426,'United Data'!$B$3:$B$3390,"&lt;&gt;Off-street")&gt;0,1,0)</f>
        <v>0</v>
      </c>
      <c r="H426">
        <f>IF(COUNTIFS('United Data'!$A$3:$A$3390,H$1,'United Data'!$C$3:$C$3390,$A426,'United Data'!$B$3:$B$3390,"&lt;&gt;Off-street")&gt;0,1,0)</f>
        <v>0</v>
      </c>
      <c r="I426">
        <f>IF(COUNTIFS('United Data'!$A$3:$A$3390,I$1,'United Data'!$C$3:$C$3390,$A426,'United Data'!$B$3:$B$3390,"&lt;&gt;Off-street")&gt;0,1,0)</f>
        <v>0</v>
      </c>
      <c r="J426">
        <f>IF(COUNTIFS('United Data'!$A$3:$A$3390,J$1,'United Data'!$C$3:$C$3390,$A426,'United Data'!$B$3:$B$3390,"&lt;&gt;Off-street")&gt;0,1,0)</f>
        <v>0</v>
      </c>
      <c r="K426">
        <f>IF(COUNTIFS('United Data'!$A$3:$A$3390,K$1,'United Data'!$C$3:$C$3390,$A426,'United Data'!$B$3:$B$3390,"&lt;&gt;Off-street")&gt;0,1,0)</f>
        <v>0</v>
      </c>
      <c r="L426">
        <f>IF(COUNTIFS('United Data'!$A$3:$A$3390,L$1,'United Data'!$C$3:$C$3390,$A426,'United Data'!$B$3:$B$3390,"&lt;&gt;Off-street")&gt;0,1,0)</f>
        <v>0</v>
      </c>
      <c r="M426">
        <f>IF(COUNTIFS('United Data'!$A$3:$A$3390,M$1,'United Data'!$C$3:$C$3390,$A426,'United Data'!$B$3:$B$3390,"&lt;&gt;Off-street")&gt;0,1,0)</f>
        <v>0</v>
      </c>
      <c r="N426">
        <f>IF(COUNTIFS('United Data'!$A$3:$A$3390,N$1,'United Data'!$C$3:$C$3390,$A426,'United Data'!$B$3:$B$3390,"&lt;&gt;Off-street")&gt;0,1,0)</f>
        <v>0</v>
      </c>
      <c r="O426">
        <f>IF(COUNTIFS('United Data'!$A$3:$A$3390,O$1,'United Data'!$C$3:$C$3390,$A426,'United Data'!$B$3:$B$3390,"&lt;&gt;Off-street")&gt;0,1,0)</f>
        <v>0</v>
      </c>
      <c r="P426">
        <f>IF(COUNTIFS('United Data'!$A$3:$A$3390,P$1,'United Data'!$C$3:$C$3390,$A426,'United Data'!$B$3:$B$3390,"&lt;&gt;Off-street")&gt;0,1,0)</f>
        <v>0</v>
      </c>
      <c r="Q426">
        <f>IF(COUNTIFS('United Data'!$A$3:$A$3390,Q$1,'United Data'!$C$3:$C$3390,$A426,'United Data'!$B$3:$B$3390,"&lt;&gt;Off-street")&gt;0,1,0)</f>
        <v>1</v>
      </c>
      <c r="R426">
        <f>IF(COUNTIFS('United Data'!$A$3:$A$3390,R$1,'United Data'!$C$3:$C$3390,$A426,'United Data'!$B$3:$B$3390,"&lt;&gt;Off-street")&gt;0,1,0)</f>
        <v>0</v>
      </c>
      <c r="S426">
        <f t="shared" si="12"/>
        <v>2</v>
      </c>
      <c r="T426">
        <f t="shared" si="13"/>
        <v>2</v>
      </c>
    </row>
    <row r="427" spans="1:20" x14ac:dyDescent="0.2">
      <c r="A427" t="s">
        <v>530</v>
      </c>
      <c r="B427">
        <f>IF(COUNTIFS('United Data'!$A$3:$A$3390,B$1,'United Data'!$C$3:$C$3390,$A427,'United Data'!$B$3:$B$3390,"&lt;&gt;Off-street")&gt;0,1,0)</f>
        <v>0</v>
      </c>
      <c r="C427">
        <f>IF(COUNTIFS('United Data'!$A$3:$A$3390,C$1,'United Data'!$C$3:$C$3390,$A427,'United Data'!$B$3:$B$3390,"&lt;&gt;Off-street")&gt;0,1,0)</f>
        <v>0</v>
      </c>
      <c r="D427">
        <f>IF(COUNTIFS('United Data'!$A$3:$A$3390,D$1,'United Data'!$C$3:$C$3390,$A427,'United Data'!$B$3:$B$3390,"&lt;&gt;Off-street")&gt;0,1,0)</f>
        <v>0</v>
      </c>
      <c r="E427">
        <f>IF(COUNTIFS('United Data'!$A$3:$A$3390,E$1,'United Data'!$C$3:$C$3390,$A427,'United Data'!$B$3:$B$3390,"&lt;&gt;Off-street")&gt;0,1,0)</f>
        <v>1</v>
      </c>
      <c r="F427">
        <f>IF(COUNTIFS('United Data'!$A$3:$A$3390,F$1,'United Data'!$C$3:$C$3390,$A427,'United Data'!$B$3:$B$3390,"&lt;&gt;Off-street")&gt;0,1,0)</f>
        <v>1</v>
      </c>
      <c r="G427">
        <f>IF(COUNTIFS('United Data'!$A$3:$A$3390,G$1,'United Data'!$C$3:$C$3390,$A427,'United Data'!$B$3:$B$3390,"&lt;&gt;Off-street")&gt;0,1,0)</f>
        <v>1</v>
      </c>
      <c r="H427">
        <f>IF(COUNTIFS('United Data'!$A$3:$A$3390,H$1,'United Data'!$C$3:$C$3390,$A427,'United Data'!$B$3:$B$3390,"&lt;&gt;Off-street")&gt;0,1,0)</f>
        <v>0</v>
      </c>
      <c r="I427">
        <f>IF(COUNTIFS('United Data'!$A$3:$A$3390,I$1,'United Data'!$C$3:$C$3390,$A427,'United Data'!$B$3:$B$3390,"&lt;&gt;Off-street")&gt;0,1,0)</f>
        <v>0</v>
      </c>
      <c r="J427">
        <f>IF(COUNTIFS('United Data'!$A$3:$A$3390,J$1,'United Data'!$C$3:$C$3390,$A427,'United Data'!$B$3:$B$3390,"&lt;&gt;Off-street")&gt;0,1,0)</f>
        <v>0</v>
      </c>
      <c r="K427">
        <f>IF(COUNTIFS('United Data'!$A$3:$A$3390,K$1,'United Data'!$C$3:$C$3390,$A427,'United Data'!$B$3:$B$3390,"&lt;&gt;Off-street")&gt;0,1,0)</f>
        <v>1</v>
      </c>
      <c r="L427">
        <f>IF(COUNTIFS('United Data'!$A$3:$A$3390,L$1,'United Data'!$C$3:$C$3390,$A427,'United Data'!$B$3:$B$3390,"&lt;&gt;Off-street")&gt;0,1,0)</f>
        <v>0</v>
      </c>
      <c r="M427">
        <f>IF(COUNTIFS('United Data'!$A$3:$A$3390,M$1,'United Data'!$C$3:$C$3390,$A427,'United Data'!$B$3:$B$3390,"&lt;&gt;Off-street")&gt;0,1,0)</f>
        <v>0</v>
      </c>
      <c r="N427">
        <f>IF(COUNTIFS('United Data'!$A$3:$A$3390,N$1,'United Data'!$C$3:$C$3390,$A427,'United Data'!$B$3:$B$3390,"&lt;&gt;Off-street")&gt;0,1,0)</f>
        <v>1</v>
      </c>
      <c r="O427">
        <f>IF(COUNTIFS('United Data'!$A$3:$A$3390,O$1,'United Data'!$C$3:$C$3390,$A427,'United Data'!$B$3:$B$3390,"&lt;&gt;Off-street")&gt;0,1,0)</f>
        <v>1</v>
      </c>
      <c r="P427">
        <f>IF(COUNTIFS('United Data'!$A$3:$A$3390,P$1,'United Data'!$C$3:$C$3390,$A427,'United Data'!$B$3:$B$3390,"&lt;&gt;Off-street")&gt;0,1,0)</f>
        <v>1</v>
      </c>
      <c r="Q427">
        <f>IF(COUNTIFS('United Data'!$A$3:$A$3390,Q$1,'United Data'!$C$3:$C$3390,$A427,'United Data'!$B$3:$B$3390,"&lt;&gt;Off-street")&gt;0,1,0)</f>
        <v>0</v>
      </c>
      <c r="R427">
        <f>IF(COUNTIFS('United Data'!$A$3:$A$3390,R$1,'United Data'!$C$3:$C$3390,$A427,'United Data'!$B$3:$B$3390,"&lt;&gt;Off-street")&gt;0,1,0)</f>
        <v>0</v>
      </c>
      <c r="S427">
        <f t="shared" si="12"/>
        <v>7</v>
      </c>
      <c r="T427">
        <f t="shared" si="13"/>
        <v>3</v>
      </c>
    </row>
    <row r="428" spans="1:20" x14ac:dyDescent="0.2">
      <c r="A428" t="s">
        <v>531</v>
      </c>
      <c r="B428">
        <f>IF(COUNTIFS('United Data'!$A$3:$A$3390,B$1,'United Data'!$C$3:$C$3390,$A428,'United Data'!$B$3:$B$3390,"&lt;&gt;Off-street")&gt;0,1,0)</f>
        <v>0</v>
      </c>
      <c r="C428">
        <f>IF(COUNTIFS('United Data'!$A$3:$A$3390,C$1,'United Data'!$C$3:$C$3390,$A428,'United Data'!$B$3:$B$3390,"&lt;&gt;Off-street")&gt;0,1,0)</f>
        <v>0</v>
      </c>
      <c r="D428">
        <f>IF(COUNTIFS('United Data'!$A$3:$A$3390,D$1,'United Data'!$C$3:$C$3390,$A428,'United Data'!$B$3:$B$3390,"&lt;&gt;Off-street")&gt;0,1,0)</f>
        <v>0</v>
      </c>
      <c r="E428">
        <f>IF(COUNTIFS('United Data'!$A$3:$A$3390,E$1,'United Data'!$C$3:$C$3390,$A428,'United Data'!$B$3:$B$3390,"&lt;&gt;Off-street")&gt;0,1,0)</f>
        <v>1</v>
      </c>
      <c r="F428">
        <f>IF(COUNTIFS('United Data'!$A$3:$A$3390,F$1,'United Data'!$C$3:$C$3390,$A428,'United Data'!$B$3:$B$3390,"&lt;&gt;Off-street")&gt;0,1,0)</f>
        <v>0</v>
      </c>
      <c r="G428">
        <f>IF(COUNTIFS('United Data'!$A$3:$A$3390,G$1,'United Data'!$C$3:$C$3390,$A428,'United Data'!$B$3:$B$3390,"&lt;&gt;Off-street")&gt;0,1,0)</f>
        <v>0</v>
      </c>
      <c r="H428">
        <f>IF(COUNTIFS('United Data'!$A$3:$A$3390,H$1,'United Data'!$C$3:$C$3390,$A428,'United Data'!$B$3:$B$3390,"&lt;&gt;Off-street")&gt;0,1,0)</f>
        <v>0</v>
      </c>
      <c r="I428">
        <f>IF(COUNTIFS('United Data'!$A$3:$A$3390,I$1,'United Data'!$C$3:$C$3390,$A428,'United Data'!$B$3:$B$3390,"&lt;&gt;Off-street")&gt;0,1,0)</f>
        <v>0</v>
      </c>
      <c r="J428">
        <f>IF(COUNTIFS('United Data'!$A$3:$A$3390,J$1,'United Data'!$C$3:$C$3390,$A428,'United Data'!$B$3:$B$3390,"&lt;&gt;Off-street")&gt;0,1,0)</f>
        <v>0</v>
      </c>
      <c r="K428">
        <f>IF(COUNTIFS('United Data'!$A$3:$A$3390,K$1,'United Data'!$C$3:$C$3390,$A428,'United Data'!$B$3:$B$3390,"&lt;&gt;Off-street")&gt;0,1,0)</f>
        <v>0</v>
      </c>
      <c r="L428">
        <f>IF(COUNTIFS('United Data'!$A$3:$A$3390,L$1,'United Data'!$C$3:$C$3390,$A428,'United Data'!$B$3:$B$3390,"&lt;&gt;Off-street")&gt;0,1,0)</f>
        <v>0</v>
      </c>
      <c r="M428">
        <f>IF(COUNTIFS('United Data'!$A$3:$A$3390,M$1,'United Data'!$C$3:$C$3390,$A428,'United Data'!$B$3:$B$3390,"&lt;&gt;Off-street")&gt;0,1,0)</f>
        <v>0</v>
      </c>
      <c r="N428">
        <f>IF(COUNTIFS('United Data'!$A$3:$A$3390,N$1,'United Data'!$C$3:$C$3390,$A428,'United Data'!$B$3:$B$3390,"&lt;&gt;Off-street")&gt;0,1,0)</f>
        <v>0</v>
      </c>
      <c r="O428">
        <f>IF(COUNTIFS('United Data'!$A$3:$A$3390,O$1,'United Data'!$C$3:$C$3390,$A428,'United Data'!$B$3:$B$3390,"&lt;&gt;Off-street")&gt;0,1,0)</f>
        <v>0</v>
      </c>
      <c r="P428">
        <f>IF(COUNTIFS('United Data'!$A$3:$A$3390,P$1,'United Data'!$C$3:$C$3390,$A428,'United Data'!$B$3:$B$3390,"&lt;&gt;Off-street")&gt;0,1,0)</f>
        <v>0</v>
      </c>
      <c r="Q428">
        <f>IF(COUNTIFS('United Data'!$A$3:$A$3390,Q$1,'United Data'!$C$3:$C$3390,$A428,'United Data'!$B$3:$B$3390,"&lt;&gt;Off-street")&gt;0,1,0)</f>
        <v>0</v>
      </c>
      <c r="R428">
        <f>IF(COUNTIFS('United Data'!$A$3:$A$3390,R$1,'United Data'!$C$3:$C$3390,$A428,'United Data'!$B$3:$B$3390,"&lt;&gt;Off-street")&gt;0,1,0)</f>
        <v>0</v>
      </c>
      <c r="S428">
        <f t="shared" si="12"/>
        <v>1</v>
      </c>
      <c r="T428">
        <f t="shared" si="13"/>
        <v>1</v>
      </c>
    </row>
    <row r="429" spans="1:20" x14ac:dyDescent="0.2">
      <c r="A429" t="s">
        <v>533</v>
      </c>
      <c r="B429">
        <f>IF(COUNTIFS('United Data'!$A$3:$A$3390,B$1,'United Data'!$C$3:$C$3390,$A429,'United Data'!$B$3:$B$3390,"&lt;&gt;Off-street")&gt;0,1,0)</f>
        <v>0</v>
      </c>
      <c r="C429">
        <f>IF(COUNTIFS('United Data'!$A$3:$A$3390,C$1,'United Data'!$C$3:$C$3390,$A429,'United Data'!$B$3:$B$3390,"&lt;&gt;Off-street")&gt;0,1,0)</f>
        <v>0</v>
      </c>
      <c r="D429">
        <f>IF(COUNTIFS('United Data'!$A$3:$A$3390,D$1,'United Data'!$C$3:$C$3390,$A429,'United Data'!$B$3:$B$3390,"&lt;&gt;Off-street")&gt;0,1,0)</f>
        <v>0</v>
      </c>
      <c r="E429">
        <f>IF(COUNTIFS('United Data'!$A$3:$A$3390,E$1,'United Data'!$C$3:$C$3390,$A429,'United Data'!$B$3:$B$3390,"&lt;&gt;Off-street")&gt;0,1,0)</f>
        <v>1</v>
      </c>
      <c r="F429">
        <f>IF(COUNTIFS('United Data'!$A$3:$A$3390,F$1,'United Data'!$C$3:$C$3390,$A429,'United Data'!$B$3:$B$3390,"&lt;&gt;Off-street")&gt;0,1,0)</f>
        <v>0</v>
      </c>
      <c r="G429">
        <f>IF(COUNTIFS('United Data'!$A$3:$A$3390,G$1,'United Data'!$C$3:$C$3390,$A429,'United Data'!$B$3:$B$3390,"&lt;&gt;Off-street")&gt;0,1,0)</f>
        <v>0</v>
      </c>
      <c r="H429">
        <f>IF(COUNTIFS('United Data'!$A$3:$A$3390,H$1,'United Data'!$C$3:$C$3390,$A429,'United Data'!$B$3:$B$3390,"&lt;&gt;Off-street")&gt;0,1,0)</f>
        <v>0</v>
      </c>
      <c r="I429">
        <f>IF(COUNTIFS('United Data'!$A$3:$A$3390,I$1,'United Data'!$C$3:$C$3390,$A429,'United Data'!$B$3:$B$3390,"&lt;&gt;Off-street")&gt;0,1,0)</f>
        <v>0</v>
      </c>
      <c r="J429">
        <f>IF(COUNTIFS('United Data'!$A$3:$A$3390,J$1,'United Data'!$C$3:$C$3390,$A429,'United Data'!$B$3:$B$3390,"&lt;&gt;Off-street")&gt;0,1,0)</f>
        <v>0</v>
      </c>
      <c r="K429">
        <f>IF(COUNTIFS('United Data'!$A$3:$A$3390,K$1,'United Data'!$C$3:$C$3390,$A429,'United Data'!$B$3:$B$3390,"&lt;&gt;Off-street")&gt;0,1,0)</f>
        <v>0</v>
      </c>
      <c r="L429">
        <f>IF(COUNTIFS('United Data'!$A$3:$A$3390,L$1,'United Data'!$C$3:$C$3390,$A429,'United Data'!$B$3:$B$3390,"&lt;&gt;Off-street")&gt;0,1,0)</f>
        <v>0</v>
      </c>
      <c r="M429">
        <f>IF(COUNTIFS('United Data'!$A$3:$A$3390,M$1,'United Data'!$C$3:$C$3390,$A429,'United Data'!$B$3:$B$3390,"&lt;&gt;Off-street")&gt;0,1,0)</f>
        <v>0</v>
      </c>
      <c r="N429">
        <f>IF(COUNTIFS('United Data'!$A$3:$A$3390,N$1,'United Data'!$C$3:$C$3390,$A429,'United Data'!$B$3:$B$3390,"&lt;&gt;Off-street")&gt;0,1,0)</f>
        <v>0</v>
      </c>
      <c r="O429">
        <f>IF(COUNTIFS('United Data'!$A$3:$A$3390,O$1,'United Data'!$C$3:$C$3390,$A429,'United Data'!$B$3:$B$3390,"&lt;&gt;Off-street")&gt;0,1,0)</f>
        <v>0</v>
      </c>
      <c r="P429">
        <f>IF(COUNTIFS('United Data'!$A$3:$A$3390,P$1,'United Data'!$C$3:$C$3390,$A429,'United Data'!$B$3:$B$3390,"&lt;&gt;Off-street")&gt;0,1,0)</f>
        <v>0</v>
      </c>
      <c r="Q429">
        <f>IF(COUNTIFS('United Data'!$A$3:$A$3390,Q$1,'United Data'!$C$3:$C$3390,$A429,'United Data'!$B$3:$B$3390,"&lt;&gt;Off-street")&gt;0,1,0)</f>
        <v>0</v>
      </c>
      <c r="R429">
        <f>IF(COUNTIFS('United Data'!$A$3:$A$3390,R$1,'United Data'!$C$3:$C$3390,$A429,'United Data'!$B$3:$B$3390,"&lt;&gt;Off-street")&gt;0,1,0)</f>
        <v>0</v>
      </c>
      <c r="S429">
        <f t="shared" si="12"/>
        <v>1</v>
      </c>
      <c r="T429">
        <f t="shared" si="13"/>
        <v>1</v>
      </c>
    </row>
    <row r="430" spans="1:20" x14ac:dyDescent="0.2">
      <c r="A430" t="s">
        <v>535</v>
      </c>
      <c r="B430">
        <f>IF(COUNTIFS('United Data'!$A$3:$A$3390,B$1,'United Data'!$C$3:$C$3390,$A430,'United Data'!$B$3:$B$3390,"&lt;&gt;Off-street")&gt;0,1,0)</f>
        <v>0</v>
      </c>
      <c r="C430">
        <f>IF(COUNTIFS('United Data'!$A$3:$A$3390,C$1,'United Data'!$C$3:$C$3390,$A430,'United Data'!$B$3:$B$3390,"&lt;&gt;Off-street")&gt;0,1,0)</f>
        <v>0</v>
      </c>
      <c r="D430">
        <f>IF(COUNTIFS('United Data'!$A$3:$A$3390,D$1,'United Data'!$C$3:$C$3390,$A430,'United Data'!$B$3:$B$3390,"&lt;&gt;Off-street")&gt;0,1,0)</f>
        <v>0</v>
      </c>
      <c r="E430">
        <f>IF(COUNTIFS('United Data'!$A$3:$A$3390,E$1,'United Data'!$C$3:$C$3390,$A430,'United Data'!$B$3:$B$3390,"&lt;&gt;Off-street")&gt;0,1,0)</f>
        <v>0</v>
      </c>
      <c r="F430">
        <f>IF(COUNTIFS('United Data'!$A$3:$A$3390,F$1,'United Data'!$C$3:$C$3390,$A430,'United Data'!$B$3:$B$3390,"&lt;&gt;Off-street")&gt;0,1,0)</f>
        <v>1</v>
      </c>
      <c r="G430">
        <f>IF(COUNTIFS('United Data'!$A$3:$A$3390,G$1,'United Data'!$C$3:$C$3390,$A430,'United Data'!$B$3:$B$3390,"&lt;&gt;Off-street")&gt;0,1,0)</f>
        <v>0</v>
      </c>
      <c r="H430">
        <f>IF(COUNTIFS('United Data'!$A$3:$A$3390,H$1,'United Data'!$C$3:$C$3390,$A430,'United Data'!$B$3:$B$3390,"&lt;&gt;Off-street")&gt;0,1,0)</f>
        <v>0</v>
      </c>
      <c r="I430">
        <f>IF(COUNTIFS('United Data'!$A$3:$A$3390,I$1,'United Data'!$C$3:$C$3390,$A430,'United Data'!$B$3:$B$3390,"&lt;&gt;Off-street")&gt;0,1,0)</f>
        <v>0</v>
      </c>
      <c r="J430">
        <f>IF(COUNTIFS('United Data'!$A$3:$A$3390,J$1,'United Data'!$C$3:$C$3390,$A430,'United Data'!$B$3:$B$3390,"&lt;&gt;Off-street")&gt;0,1,0)</f>
        <v>0</v>
      </c>
      <c r="K430">
        <f>IF(COUNTIFS('United Data'!$A$3:$A$3390,K$1,'United Data'!$C$3:$C$3390,$A430,'United Data'!$B$3:$B$3390,"&lt;&gt;Off-street")&gt;0,1,0)</f>
        <v>0</v>
      </c>
      <c r="L430">
        <f>IF(COUNTIFS('United Data'!$A$3:$A$3390,L$1,'United Data'!$C$3:$C$3390,$A430,'United Data'!$B$3:$B$3390,"&lt;&gt;Off-street")&gt;0,1,0)</f>
        <v>0</v>
      </c>
      <c r="M430">
        <f>IF(COUNTIFS('United Data'!$A$3:$A$3390,M$1,'United Data'!$C$3:$C$3390,$A430,'United Data'!$B$3:$B$3390,"&lt;&gt;Off-street")&gt;0,1,0)</f>
        <v>0</v>
      </c>
      <c r="N430">
        <f>IF(COUNTIFS('United Data'!$A$3:$A$3390,N$1,'United Data'!$C$3:$C$3390,$A430,'United Data'!$B$3:$B$3390,"&lt;&gt;Off-street")&gt;0,1,0)</f>
        <v>0</v>
      </c>
      <c r="O430">
        <f>IF(COUNTIFS('United Data'!$A$3:$A$3390,O$1,'United Data'!$C$3:$C$3390,$A430,'United Data'!$B$3:$B$3390,"&lt;&gt;Off-street")&gt;0,1,0)</f>
        <v>0</v>
      </c>
      <c r="P430">
        <f>IF(COUNTIFS('United Data'!$A$3:$A$3390,P$1,'United Data'!$C$3:$C$3390,$A430,'United Data'!$B$3:$B$3390,"&lt;&gt;Off-street")&gt;0,1,0)</f>
        <v>0</v>
      </c>
      <c r="Q430">
        <f>IF(COUNTIFS('United Data'!$A$3:$A$3390,Q$1,'United Data'!$C$3:$C$3390,$A430,'United Data'!$B$3:$B$3390,"&lt;&gt;Off-street")&gt;0,1,0)</f>
        <v>0</v>
      </c>
      <c r="R430">
        <f>IF(COUNTIFS('United Data'!$A$3:$A$3390,R$1,'United Data'!$C$3:$C$3390,$A430,'United Data'!$B$3:$B$3390,"&lt;&gt;Off-street")&gt;0,1,0)</f>
        <v>0</v>
      </c>
      <c r="S430">
        <f t="shared" si="12"/>
        <v>1</v>
      </c>
      <c r="T430">
        <f t="shared" si="13"/>
        <v>1</v>
      </c>
    </row>
    <row r="431" spans="1:20" x14ac:dyDescent="0.2">
      <c r="A431" t="s">
        <v>536</v>
      </c>
      <c r="B431">
        <f>IF(COUNTIFS('United Data'!$A$3:$A$3390,B$1,'United Data'!$C$3:$C$3390,$A431,'United Data'!$B$3:$B$3390,"&lt;&gt;Off-street")&gt;0,1,0)</f>
        <v>0</v>
      </c>
      <c r="C431">
        <f>IF(COUNTIFS('United Data'!$A$3:$A$3390,C$1,'United Data'!$C$3:$C$3390,$A431,'United Data'!$B$3:$B$3390,"&lt;&gt;Off-street")&gt;0,1,0)</f>
        <v>0</v>
      </c>
      <c r="D431">
        <f>IF(COUNTIFS('United Data'!$A$3:$A$3390,D$1,'United Data'!$C$3:$C$3390,$A431,'United Data'!$B$3:$B$3390,"&lt;&gt;Off-street")&gt;0,1,0)</f>
        <v>0</v>
      </c>
      <c r="E431">
        <f>IF(COUNTIFS('United Data'!$A$3:$A$3390,E$1,'United Data'!$C$3:$C$3390,$A431,'United Data'!$B$3:$B$3390,"&lt;&gt;Off-street")&gt;0,1,0)</f>
        <v>0</v>
      </c>
      <c r="F431">
        <f>IF(COUNTIFS('United Data'!$A$3:$A$3390,F$1,'United Data'!$C$3:$C$3390,$A431,'United Data'!$B$3:$B$3390,"&lt;&gt;Off-street")&gt;0,1,0)</f>
        <v>1</v>
      </c>
      <c r="G431">
        <f>IF(COUNTIFS('United Data'!$A$3:$A$3390,G$1,'United Data'!$C$3:$C$3390,$A431,'United Data'!$B$3:$B$3390,"&lt;&gt;Off-street")&gt;0,1,0)</f>
        <v>0</v>
      </c>
      <c r="H431">
        <f>IF(COUNTIFS('United Data'!$A$3:$A$3390,H$1,'United Data'!$C$3:$C$3390,$A431,'United Data'!$B$3:$B$3390,"&lt;&gt;Off-street")&gt;0,1,0)</f>
        <v>0</v>
      </c>
      <c r="I431">
        <f>IF(COUNTIFS('United Data'!$A$3:$A$3390,I$1,'United Data'!$C$3:$C$3390,$A431,'United Data'!$B$3:$B$3390,"&lt;&gt;Off-street")&gt;0,1,0)</f>
        <v>0</v>
      </c>
      <c r="J431">
        <f>IF(COUNTIFS('United Data'!$A$3:$A$3390,J$1,'United Data'!$C$3:$C$3390,$A431,'United Data'!$B$3:$B$3390,"&lt;&gt;Off-street")&gt;0,1,0)</f>
        <v>0</v>
      </c>
      <c r="K431">
        <f>IF(COUNTIFS('United Data'!$A$3:$A$3390,K$1,'United Data'!$C$3:$C$3390,$A431,'United Data'!$B$3:$B$3390,"&lt;&gt;Off-street")&gt;0,1,0)</f>
        <v>0</v>
      </c>
      <c r="L431">
        <f>IF(COUNTIFS('United Data'!$A$3:$A$3390,L$1,'United Data'!$C$3:$C$3390,$A431,'United Data'!$B$3:$B$3390,"&lt;&gt;Off-street")&gt;0,1,0)</f>
        <v>0</v>
      </c>
      <c r="M431">
        <f>IF(COUNTIFS('United Data'!$A$3:$A$3390,M$1,'United Data'!$C$3:$C$3390,$A431,'United Data'!$B$3:$B$3390,"&lt;&gt;Off-street")&gt;0,1,0)</f>
        <v>0</v>
      </c>
      <c r="N431">
        <f>IF(COUNTIFS('United Data'!$A$3:$A$3390,N$1,'United Data'!$C$3:$C$3390,$A431,'United Data'!$B$3:$B$3390,"&lt;&gt;Off-street")&gt;0,1,0)</f>
        <v>0</v>
      </c>
      <c r="O431">
        <f>IF(COUNTIFS('United Data'!$A$3:$A$3390,O$1,'United Data'!$C$3:$C$3390,$A431,'United Data'!$B$3:$B$3390,"&lt;&gt;Off-street")&gt;0,1,0)</f>
        <v>0</v>
      </c>
      <c r="P431">
        <f>IF(COUNTIFS('United Data'!$A$3:$A$3390,P$1,'United Data'!$C$3:$C$3390,$A431,'United Data'!$B$3:$B$3390,"&lt;&gt;Off-street")&gt;0,1,0)</f>
        <v>0</v>
      </c>
      <c r="Q431">
        <f>IF(COUNTIFS('United Data'!$A$3:$A$3390,Q$1,'United Data'!$C$3:$C$3390,$A431,'United Data'!$B$3:$B$3390,"&lt;&gt;Off-street")&gt;0,1,0)</f>
        <v>0</v>
      </c>
      <c r="R431">
        <f>IF(COUNTIFS('United Data'!$A$3:$A$3390,R$1,'United Data'!$C$3:$C$3390,$A431,'United Data'!$B$3:$B$3390,"&lt;&gt;Off-street")&gt;0,1,0)</f>
        <v>0</v>
      </c>
      <c r="S431">
        <f t="shared" si="12"/>
        <v>1</v>
      </c>
      <c r="T431">
        <f t="shared" si="13"/>
        <v>1</v>
      </c>
    </row>
    <row r="432" spans="1:20" x14ac:dyDescent="0.2">
      <c r="A432" t="s">
        <v>537</v>
      </c>
      <c r="B432">
        <f>IF(COUNTIFS('United Data'!$A$3:$A$3390,B$1,'United Data'!$C$3:$C$3390,$A432,'United Data'!$B$3:$B$3390,"&lt;&gt;Off-street")&gt;0,1,0)</f>
        <v>0</v>
      </c>
      <c r="C432">
        <f>IF(COUNTIFS('United Data'!$A$3:$A$3390,C$1,'United Data'!$C$3:$C$3390,$A432,'United Data'!$B$3:$B$3390,"&lt;&gt;Off-street")&gt;0,1,0)</f>
        <v>0</v>
      </c>
      <c r="D432">
        <f>IF(COUNTIFS('United Data'!$A$3:$A$3390,D$1,'United Data'!$C$3:$C$3390,$A432,'United Data'!$B$3:$B$3390,"&lt;&gt;Off-street")&gt;0,1,0)</f>
        <v>0</v>
      </c>
      <c r="E432">
        <f>IF(COUNTIFS('United Data'!$A$3:$A$3390,E$1,'United Data'!$C$3:$C$3390,$A432,'United Data'!$B$3:$B$3390,"&lt;&gt;Off-street")&gt;0,1,0)</f>
        <v>0</v>
      </c>
      <c r="F432">
        <f>IF(COUNTIFS('United Data'!$A$3:$A$3390,F$1,'United Data'!$C$3:$C$3390,$A432,'United Data'!$B$3:$B$3390,"&lt;&gt;Off-street")&gt;0,1,0)</f>
        <v>1</v>
      </c>
      <c r="G432">
        <f>IF(COUNTIFS('United Data'!$A$3:$A$3390,G$1,'United Data'!$C$3:$C$3390,$A432,'United Data'!$B$3:$B$3390,"&lt;&gt;Off-street")&gt;0,1,0)</f>
        <v>0</v>
      </c>
      <c r="H432">
        <f>IF(COUNTIFS('United Data'!$A$3:$A$3390,H$1,'United Data'!$C$3:$C$3390,$A432,'United Data'!$B$3:$B$3390,"&lt;&gt;Off-street")&gt;0,1,0)</f>
        <v>0</v>
      </c>
      <c r="I432">
        <f>IF(COUNTIFS('United Data'!$A$3:$A$3390,I$1,'United Data'!$C$3:$C$3390,$A432,'United Data'!$B$3:$B$3390,"&lt;&gt;Off-street")&gt;0,1,0)</f>
        <v>0</v>
      </c>
      <c r="J432">
        <f>IF(COUNTIFS('United Data'!$A$3:$A$3390,J$1,'United Data'!$C$3:$C$3390,$A432,'United Data'!$B$3:$B$3390,"&lt;&gt;Off-street")&gt;0,1,0)</f>
        <v>0</v>
      </c>
      <c r="K432">
        <f>IF(COUNTIFS('United Data'!$A$3:$A$3390,K$1,'United Data'!$C$3:$C$3390,$A432,'United Data'!$B$3:$B$3390,"&lt;&gt;Off-street")&gt;0,1,0)</f>
        <v>0</v>
      </c>
      <c r="L432">
        <f>IF(COUNTIFS('United Data'!$A$3:$A$3390,L$1,'United Data'!$C$3:$C$3390,$A432,'United Data'!$B$3:$B$3390,"&lt;&gt;Off-street")&gt;0,1,0)</f>
        <v>0</v>
      </c>
      <c r="M432">
        <f>IF(COUNTIFS('United Data'!$A$3:$A$3390,M$1,'United Data'!$C$3:$C$3390,$A432,'United Data'!$B$3:$B$3390,"&lt;&gt;Off-street")&gt;0,1,0)</f>
        <v>0</v>
      </c>
      <c r="N432">
        <f>IF(COUNTIFS('United Data'!$A$3:$A$3390,N$1,'United Data'!$C$3:$C$3390,$A432,'United Data'!$B$3:$B$3390,"&lt;&gt;Off-street")&gt;0,1,0)</f>
        <v>0</v>
      </c>
      <c r="O432">
        <f>IF(COUNTIFS('United Data'!$A$3:$A$3390,O$1,'United Data'!$C$3:$C$3390,$A432,'United Data'!$B$3:$B$3390,"&lt;&gt;Off-street")&gt;0,1,0)</f>
        <v>0</v>
      </c>
      <c r="P432">
        <f>IF(COUNTIFS('United Data'!$A$3:$A$3390,P$1,'United Data'!$C$3:$C$3390,$A432,'United Data'!$B$3:$B$3390,"&lt;&gt;Off-street")&gt;0,1,0)</f>
        <v>0</v>
      </c>
      <c r="Q432">
        <f>IF(COUNTIFS('United Data'!$A$3:$A$3390,Q$1,'United Data'!$C$3:$C$3390,$A432,'United Data'!$B$3:$B$3390,"&lt;&gt;Off-street")&gt;0,1,0)</f>
        <v>0</v>
      </c>
      <c r="R432">
        <f>IF(COUNTIFS('United Data'!$A$3:$A$3390,R$1,'United Data'!$C$3:$C$3390,$A432,'United Data'!$B$3:$B$3390,"&lt;&gt;Off-street")&gt;0,1,0)</f>
        <v>0</v>
      </c>
      <c r="S432">
        <f t="shared" si="12"/>
        <v>1</v>
      </c>
      <c r="T432">
        <f t="shared" si="13"/>
        <v>1</v>
      </c>
    </row>
    <row r="433" spans="1:20" x14ac:dyDescent="0.2">
      <c r="A433" t="s">
        <v>538</v>
      </c>
      <c r="B433">
        <f>IF(COUNTIFS('United Data'!$A$3:$A$3390,B$1,'United Data'!$C$3:$C$3390,$A433,'United Data'!$B$3:$B$3390,"&lt;&gt;Off-street")&gt;0,1,0)</f>
        <v>0</v>
      </c>
      <c r="C433">
        <f>IF(COUNTIFS('United Data'!$A$3:$A$3390,C$1,'United Data'!$C$3:$C$3390,$A433,'United Data'!$B$3:$B$3390,"&lt;&gt;Off-street")&gt;0,1,0)</f>
        <v>0</v>
      </c>
      <c r="D433">
        <f>IF(COUNTIFS('United Data'!$A$3:$A$3390,D$1,'United Data'!$C$3:$C$3390,$A433,'United Data'!$B$3:$B$3390,"&lt;&gt;Off-street")&gt;0,1,0)</f>
        <v>0</v>
      </c>
      <c r="E433">
        <f>IF(COUNTIFS('United Data'!$A$3:$A$3390,E$1,'United Data'!$C$3:$C$3390,$A433,'United Data'!$B$3:$B$3390,"&lt;&gt;Off-street")&gt;0,1,0)</f>
        <v>0</v>
      </c>
      <c r="F433">
        <f>IF(COUNTIFS('United Data'!$A$3:$A$3390,F$1,'United Data'!$C$3:$C$3390,$A433,'United Data'!$B$3:$B$3390,"&lt;&gt;Off-street")&gt;0,1,0)</f>
        <v>1</v>
      </c>
      <c r="G433">
        <f>IF(COUNTIFS('United Data'!$A$3:$A$3390,G$1,'United Data'!$C$3:$C$3390,$A433,'United Data'!$B$3:$B$3390,"&lt;&gt;Off-street")&gt;0,1,0)</f>
        <v>0</v>
      </c>
      <c r="H433">
        <f>IF(COUNTIFS('United Data'!$A$3:$A$3390,H$1,'United Data'!$C$3:$C$3390,$A433,'United Data'!$B$3:$B$3390,"&lt;&gt;Off-street")&gt;0,1,0)</f>
        <v>0</v>
      </c>
      <c r="I433">
        <f>IF(COUNTIFS('United Data'!$A$3:$A$3390,I$1,'United Data'!$C$3:$C$3390,$A433,'United Data'!$B$3:$B$3390,"&lt;&gt;Off-street")&gt;0,1,0)</f>
        <v>0</v>
      </c>
      <c r="J433">
        <f>IF(COUNTIFS('United Data'!$A$3:$A$3390,J$1,'United Data'!$C$3:$C$3390,$A433,'United Data'!$B$3:$B$3390,"&lt;&gt;Off-street")&gt;0,1,0)</f>
        <v>0</v>
      </c>
      <c r="K433">
        <f>IF(COUNTIFS('United Data'!$A$3:$A$3390,K$1,'United Data'!$C$3:$C$3390,$A433,'United Data'!$B$3:$B$3390,"&lt;&gt;Off-street")&gt;0,1,0)</f>
        <v>1</v>
      </c>
      <c r="L433">
        <f>IF(COUNTIFS('United Data'!$A$3:$A$3390,L$1,'United Data'!$C$3:$C$3390,$A433,'United Data'!$B$3:$B$3390,"&lt;&gt;Off-street")&gt;0,1,0)</f>
        <v>0</v>
      </c>
      <c r="M433">
        <f>IF(COUNTIFS('United Data'!$A$3:$A$3390,M$1,'United Data'!$C$3:$C$3390,$A433,'United Data'!$B$3:$B$3390,"&lt;&gt;Off-street")&gt;0,1,0)</f>
        <v>0</v>
      </c>
      <c r="N433">
        <f>IF(COUNTIFS('United Data'!$A$3:$A$3390,N$1,'United Data'!$C$3:$C$3390,$A433,'United Data'!$B$3:$B$3390,"&lt;&gt;Off-street")&gt;0,1,0)</f>
        <v>0</v>
      </c>
      <c r="O433">
        <f>IF(COUNTIFS('United Data'!$A$3:$A$3390,O$1,'United Data'!$C$3:$C$3390,$A433,'United Data'!$B$3:$B$3390,"&lt;&gt;Off-street")&gt;0,1,0)</f>
        <v>0</v>
      </c>
      <c r="P433">
        <f>IF(COUNTIFS('United Data'!$A$3:$A$3390,P$1,'United Data'!$C$3:$C$3390,$A433,'United Data'!$B$3:$B$3390,"&lt;&gt;Off-street")&gt;0,1,0)</f>
        <v>0</v>
      </c>
      <c r="Q433">
        <f>IF(COUNTIFS('United Data'!$A$3:$A$3390,Q$1,'United Data'!$C$3:$C$3390,$A433,'United Data'!$B$3:$B$3390,"&lt;&gt;Off-street")&gt;0,1,0)</f>
        <v>0</v>
      </c>
      <c r="R433">
        <f>IF(COUNTIFS('United Data'!$A$3:$A$3390,R$1,'United Data'!$C$3:$C$3390,$A433,'United Data'!$B$3:$B$3390,"&lt;&gt;Off-street")&gt;0,1,0)</f>
        <v>0</v>
      </c>
      <c r="S433">
        <f t="shared" si="12"/>
        <v>2</v>
      </c>
      <c r="T433">
        <f t="shared" si="13"/>
        <v>2</v>
      </c>
    </row>
    <row r="434" spans="1:20" x14ac:dyDescent="0.2">
      <c r="A434" t="s">
        <v>539</v>
      </c>
      <c r="B434">
        <f>IF(COUNTIFS('United Data'!$A$3:$A$3390,B$1,'United Data'!$C$3:$C$3390,$A434,'United Data'!$B$3:$B$3390,"&lt;&gt;Off-street")&gt;0,1,0)</f>
        <v>0</v>
      </c>
      <c r="C434">
        <f>IF(COUNTIFS('United Data'!$A$3:$A$3390,C$1,'United Data'!$C$3:$C$3390,$A434,'United Data'!$B$3:$B$3390,"&lt;&gt;Off-street")&gt;0,1,0)</f>
        <v>0</v>
      </c>
      <c r="D434">
        <f>IF(COUNTIFS('United Data'!$A$3:$A$3390,D$1,'United Data'!$C$3:$C$3390,$A434,'United Data'!$B$3:$B$3390,"&lt;&gt;Off-street")&gt;0,1,0)</f>
        <v>0</v>
      </c>
      <c r="E434">
        <f>IF(COUNTIFS('United Data'!$A$3:$A$3390,E$1,'United Data'!$C$3:$C$3390,$A434,'United Data'!$B$3:$B$3390,"&lt;&gt;Off-street")&gt;0,1,0)</f>
        <v>0</v>
      </c>
      <c r="F434">
        <f>IF(COUNTIFS('United Data'!$A$3:$A$3390,F$1,'United Data'!$C$3:$C$3390,$A434,'United Data'!$B$3:$B$3390,"&lt;&gt;Off-street")&gt;0,1,0)</f>
        <v>1</v>
      </c>
      <c r="G434">
        <f>IF(COUNTIFS('United Data'!$A$3:$A$3390,G$1,'United Data'!$C$3:$C$3390,$A434,'United Data'!$B$3:$B$3390,"&lt;&gt;Off-street")&gt;0,1,0)</f>
        <v>0</v>
      </c>
      <c r="H434">
        <f>IF(COUNTIFS('United Data'!$A$3:$A$3390,H$1,'United Data'!$C$3:$C$3390,$A434,'United Data'!$B$3:$B$3390,"&lt;&gt;Off-street")&gt;0,1,0)</f>
        <v>0</v>
      </c>
      <c r="I434">
        <f>IF(COUNTIFS('United Data'!$A$3:$A$3390,I$1,'United Data'!$C$3:$C$3390,$A434,'United Data'!$B$3:$B$3390,"&lt;&gt;Off-street")&gt;0,1,0)</f>
        <v>0</v>
      </c>
      <c r="J434">
        <f>IF(COUNTIFS('United Data'!$A$3:$A$3390,J$1,'United Data'!$C$3:$C$3390,$A434,'United Data'!$B$3:$B$3390,"&lt;&gt;Off-street")&gt;0,1,0)</f>
        <v>0</v>
      </c>
      <c r="K434">
        <f>IF(COUNTIFS('United Data'!$A$3:$A$3390,K$1,'United Data'!$C$3:$C$3390,$A434,'United Data'!$B$3:$B$3390,"&lt;&gt;Off-street")&gt;0,1,0)</f>
        <v>0</v>
      </c>
      <c r="L434">
        <f>IF(COUNTIFS('United Data'!$A$3:$A$3390,L$1,'United Data'!$C$3:$C$3390,$A434,'United Data'!$B$3:$B$3390,"&lt;&gt;Off-street")&gt;0,1,0)</f>
        <v>0</v>
      </c>
      <c r="M434">
        <f>IF(COUNTIFS('United Data'!$A$3:$A$3390,M$1,'United Data'!$C$3:$C$3390,$A434,'United Data'!$B$3:$B$3390,"&lt;&gt;Off-street")&gt;0,1,0)</f>
        <v>1</v>
      </c>
      <c r="N434">
        <f>IF(COUNTIFS('United Data'!$A$3:$A$3390,N$1,'United Data'!$C$3:$C$3390,$A434,'United Data'!$B$3:$B$3390,"&lt;&gt;Off-street")&gt;0,1,0)</f>
        <v>1</v>
      </c>
      <c r="O434">
        <f>IF(COUNTIFS('United Data'!$A$3:$A$3390,O$1,'United Data'!$C$3:$C$3390,$A434,'United Data'!$B$3:$B$3390,"&lt;&gt;Off-street")&gt;0,1,0)</f>
        <v>0</v>
      </c>
      <c r="P434">
        <f>IF(COUNTIFS('United Data'!$A$3:$A$3390,P$1,'United Data'!$C$3:$C$3390,$A434,'United Data'!$B$3:$B$3390,"&lt;&gt;Off-street")&gt;0,1,0)</f>
        <v>0</v>
      </c>
      <c r="Q434">
        <f>IF(COUNTIFS('United Data'!$A$3:$A$3390,Q$1,'United Data'!$C$3:$C$3390,$A434,'United Data'!$B$3:$B$3390,"&lt;&gt;Off-street")&gt;0,1,0)</f>
        <v>0</v>
      </c>
      <c r="R434">
        <f>IF(COUNTIFS('United Data'!$A$3:$A$3390,R$1,'United Data'!$C$3:$C$3390,$A434,'United Data'!$B$3:$B$3390,"&lt;&gt;Off-street")&gt;0,1,0)</f>
        <v>0</v>
      </c>
      <c r="S434">
        <f t="shared" si="12"/>
        <v>3</v>
      </c>
      <c r="T434">
        <f t="shared" si="13"/>
        <v>2</v>
      </c>
    </row>
    <row r="435" spans="1:20" x14ac:dyDescent="0.2">
      <c r="A435" t="s">
        <v>540</v>
      </c>
      <c r="B435">
        <f>IF(COUNTIFS('United Data'!$A$3:$A$3390,B$1,'United Data'!$C$3:$C$3390,$A435,'United Data'!$B$3:$B$3390,"&lt;&gt;Off-street")&gt;0,1,0)</f>
        <v>0</v>
      </c>
      <c r="C435">
        <f>IF(COUNTIFS('United Data'!$A$3:$A$3390,C$1,'United Data'!$C$3:$C$3390,$A435,'United Data'!$B$3:$B$3390,"&lt;&gt;Off-street")&gt;0,1,0)</f>
        <v>0</v>
      </c>
      <c r="D435">
        <f>IF(COUNTIFS('United Data'!$A$3:$A$3390,D$1,'United Data'!$C$3:$C$3390,$A435,'United Data'!$B$3:$B$3390,"&lt;&gt;Off-street")&gt;0,1,0)</f>
        <v>0</v>
      </c>
      <c r="E435">
        <f>IF(COUNTIFS('United Data'!$A$3:$A$3390,E$1,'United Data'!$C$3:$C$3390,$A435,'United Data'!$B$3:$B$3390,"&lt;&gt;Off-street")&gt;0,1,0)</f>
        <v>0</v>
      </c>
      <c r="F435">
        <f>IF(COUNTIFS('United Data'!$A$3:$A$3390,F$1,'United Data'!$C$3:$C$3390,$A435,'United Data'!$B$3:$B$3390,"&lt;&gt;Off-street")&gt;0,1,0)</f>
        <v>1</v>
      </c>
      <c r="G435">
        <f>IF(COUNTIFS('United Data'!$A$3:$A$3390,G$1,'United Data'!$C$3:$C$3390,$A435,'United Data'!$B$3:$B$3390,"&lt;&gt;Off-street")&gt;0,1,0)</f>
        <v>0</v>
      </c>
      <c r="H435">
        <f>IF(COUNTIFS('United Data'!$A$3:$A$3390,H$1,'United Data'!$C$3:$C$3390,$A435,'United Data'!$B$3:$B$3390,"&lt;&gt;Off-street")&gt;0,1,0)</f>
        <v>0</v>
      </c>
      <c r="I435">
        <f>IF(COUNTIFS('United Data'!$A$3:$A$3390,I$1,'United Data'!$C$3:$C$3390,$A435,'United Data'!$B$3:$B$3390,"&lt;&gt;Off-street")&gt;0,1,0)</f>
        <v>0</v>
      </c>
      <c r="J435">
        <f>IF(COUNTIFS('United Data'!$A$3:$A$3390,J$1,'United Data'!$C$3:$C$3390,$A435,'United Data'!$B$3:$B$3390,"&lt;&gt;Off-street")&gt;0,1,0)</f>
        <v>0</v>
      </c>
      <c r="K435">
        <f>IF(COUNTIFS('United Data'!$A$3:$A$3390,K$1,'United Data'!$C$3:$C$3390,$A435,'United Data'!$B$3:$B$3390,"&lt;&gt;Off-street")&gt;0,1,0)</f>
        <v>0</v>
      </c>
      <c r="L435">
        <f>IF(COUNTIFS('United Data'!$A$3:$A$3390,L$1,'United Data'!$C$3:$C$3390,$A435,'United Data'!$B$3:$B$3390,"&lt;&gt;Off-street")&gt;0,1,0)</f>
        <v>0</v>
      </c>
      <c r="M435">
        <f>IF(COUNTIFS('United Data'!$A$3:$A$3390,M$1,'United Data'!$C$3:$C$3390,$A435,'United Data'!$B$3:$B$3390,"&lt;&gt;Off-street")&gt;0,1,0)</f>
        <v>0</v>
      </c>
      <c r="N435">
        <f>IF(COUNTIFS('United Data'!$A$3:$A$3390,N$1,'United Data'!$C$3:$C$3390,$A435,'United Data'!$B$3:$B$3390,"&lt;&gt;Off-street")&gt;0,1,0)</f>
        <v>0</v>
      </c>
      <c r="O435">
        <f>IF(COUNTIFS('United Data'!$A$3:$A$3390,O$1,'United Data'!$C$3:$C$3390,$A435,'United Data'!$B$3:$B$3390,"&lt;&gt;Off-street")&gt;0,1,0)</f>
        <v>0</v>
      </c>
      <c r="P435">
        <f>IF(COUNTIFS('United Data'!$A$3:$A$3390,P$1,'United Data'!$C$3:$C$3390,$A435,'United Data'!$B$3:$B$3390,"&lt;&gt;Off-street")&gt;0,1,0)</f>
        <v>0</v>
      </c>
      <c r="Q435">
        <f>IF(COUNTIFS('United Data'!$A$3:$A$3390,Q$1,'United Data'!$C$3:$C$3390,$A435,'United Data'!$B$3:$B$3390,"&lt;&gt;Off-street")&gt;0,1,0)</f>
        <v>0</v>
      </c>
      <c r="R435">
        <f>IF(COUNTIFS('United Data'!$A$3:$A$3390,R$1,'United Data'!$C$3:$C$3390,$A435,'United Data'!$B$3:$B$3390,"&lt;&gt;Off-street")&gt;0,1,0)</f>
        <v>0</v>
      </c>
      <c r="S435">
        <f t="shared" si="12"/>
        <v>1</v>
      </c>
      <c r="T435">
        <f t="shared" si="13"/>
        <v>1</v>
      </c>
    </row>
    <row r="436" spans="1:20" x14ac:dyDescent="0.2">
      <c r="A436" t="s">
        <v>541</v>
      </c>
      <c r="B436">
        <f>IF(COUNTIFS('United Data'!$A$3:$A$3390,B$1,'United Data'!$C$3:$C$3390,$A436,'United Data'!$B$3:$B$3390,"&lt;&gt;Off-street")&gt;0,1,0)</f>
        <v>0</v>
      </c>
      <c r="C436">
        <f>IF(COUNTIFS('United Data'!$A$3:$A$3390,C$1,'United Data'!$C$3:$C$3390,$A436,'United Data'!$B$3:$B$3390,"&lt;&gt;Off-street")&gt;0,1,0)</f>
        <v>0</v>
      </c>
      <c r="D436">
        <f>IF(COUNTIFS('United Data'!$A$3:$A$3390,D$1,'United Data'!$C$3:$C$3390,$A436,'United Data'!$B$3:$B$3390,"&lt;&gt;Off-street")&gt;0,1,0)</f>
        <v>0</v>
      </c>
      <c r="E436">
        <f>IF(COUNTIFS('United Data'!$A$3:$A$3390,E$1,'United Data'!$C$3:$C$3390,$A436,'United Data'!$B$3:$B$3390,"&lt;&gt;Off-street")&gt;0,1,0)</f>
        <v>0</v>
      </c>
      <c r="F436">
        <f>IF(COUNTIFS('United Data'!$A$3:$A$3390,F$1,'United Data'!$C$3:$C$3390,$A436,'United Data'!$B$3:$B$3390,"&lt;&gt;Off-street")&gt;0,1,0)</f>
        <v>1</v>
      </c>
      <c r="G436">
        <f>IF(COUNTIFS('United Data'!$A$3:$A$3390,G$1,'United Data'!$C$3:$C$3390,$A436,'United Data'!$B$3:$B$3390,"&lt;&gt;Off-street")&gt;0,1,0)</f>
        <v>0</v>
      </c>
      <c r="H436">
        <f>IF(COUNTIFS('United Data'!$A$3:$A$3390,H$1,'United Data'!$C$3:$C$3390,$A436,'United Data'!$B$3:$B$3390,"&lt;&gt;Off-street")&gt;0,1,0)</f>
        <v>0</v>
      </c>
      <c r="I436">
        <f>IF(COUNTIFS('United Data'!$A$3:$A$3390,I$1,'United Data'!$C$3:$C$3390,$A436,'United Data'!$B$3:$B$3390,"&lt;&gt;Off-street")&gt;0,1,0)</f>
        <v>0</v>
      </c>
      <c r="J436">
        <f>IF(COUNTIFS('United Data'!$A$3:$A$3390,J$1,'United Data'!$C$3:$C$3390,$A436,'United Data'!$B$3:$B$3390,"&lt;&gt;Off-street")&gt;0,1,0)</f>
        <v>0</v>
      </c>
      <c r="K436">
        <f>IF(COUNTIFS('United Data'!$A$3:$A$3390,K$1,'United Data'!$C$3:$C$3390,$A436,'United Data'!$B$3:$B$3390,"&lt;&gt;Off-street")&gt;0,1,0)</f>
        <v>0</v>
      </c>
      <c r="L436">
        <f>IF(COUNTIFS('United Data'!$A$3:$A$3390,L$1,'United Data'!$C$3:$C$3390,$A436,'United Data'!$B$3:$B$3390,"&lt;&gt;Off-street")&gt;0,1,0)</f>
        <v>0</v>
      </c>
      <c r="M436">
        <f>IF(COUNTIFS('United Data'!$A$3:$A$3390,M$1,'United Data'!$C$3:$C$3390,$A436,'United Data'!$B$3:$B$3390,"&lt;&gt;Off-street")&gt;0,1,0)</f>
        <v>0</v>
      </c>
      <c r="N436">
        <f>IF(COUNTIFS('United Data'!$A$3:$A$3390,N$1,'United Data'!$C$3:$C$3390,$A436,'United Data'!$B$3:$B$3390,"&lt;&gt;Off-street")&gt;0,1,0)</f>
        <v>0</v>
      </c>
      <c r="O436">
        <f>IF(COUNTIFS('United Data'!$A$3:$A$3390,O$1,'United Data'!$C$3:$C$3390,$A436,'United Data'!$B$3:$B$3390,"&lt;&gt;Off-street")&gt;0,1,0)</f>
        <v>0</v>
      </c>
      <c r="P436">
        <f>IF(COUNTIFS('United Data'!$A$3:$A$3390,P$1,'United Data'!$C$3:$C$3390,$A436,'United Data'!$B$3:$B$3390,"&lt;&gt;Off-street")&gt;0,1,0)</f>
        <v>0</v>
      </c>
      <c r="Q436">
        <f>IF(COUNTIFS('United Data'!$A$3:$A$3390,Q$1,'United Data'!$C$3:$C$3390,$A436,'United Data'!$B$3:$B$3390,"&lt;&gt;Off-street")&gt;0,1,0)</f>
        <v>0</v>
      </c>
      <c r="R436">
        <f>IF(COUNTIFS('United Data'!$A$3:$A$3390,R$1,'United Data'!$C$3:$C$3390,$A436,'United Data'!$B$3:$B$3390,"&lt;&gt;Off-street")&gt;0,1,0)</f>
        <v>0</v>
      </c>
      <c r="S436">
        <f t="shared" si="12"/>
        <v>1</v>
      </c>
      <c r="T436">
        <f t="shared" si="13"/>
        <v>1</v>
      </c>
    </row>
    <row r="437" spans="1:20" x14ac:dyDescent="0.2">
      <c r="A437" t="s">
        <v>542</v>
      </c>
      <c r="B437">
        <f>IF(COUNTIFS('United Data'!$A$3:$A$3390,B$1,'United Data'!$C$3:$C$3390,$A437,'United Data'!$B$3:$B$3390,"&lt;&gt;Off-street")&gt;0,1,0)</f>
        <v>0</v>
      </c>
      <c r="C437">
        <f>IF(COUNTIFS('United Data'!$A$3:$A$3390,C$1,'United Data'!$C$3:$C$3390,$A437,'United Data'!$B$3:$B$3390,"&lt;&gt;Off-street")&gt;0,1,0)</f>
        <v>0</v>
      </c>
      <c r="D437">
        <f>IF(COUNTIFS('United Data'!$A$3:$A$3390,D$1,'United Data'!$C$3:$C$3390,$A437,'United Data'!$B$3:$B$3390,"&lt;&gt;Off-street")&gt;0,1,0)</f>
        <v>0</v>
      </c>
      <c r="E437">
        <f>IF(COUNTIFS('United Data'!$A$3:$A$3390,E$1,'United Data'!$C$3:$C$3390,$A437,'United Data'!$B$3:$B$3390,"&lt;&gt;Off-street")&gt;0,1,0)</f>
        <v>0</v>
      </c>
      <c r="F437">
        <f>IF(COUNTIFS('United Data'!$A$3:$A$3390,F$1,'United Data'!$C$3:$C$3390,$A437,'United Data'!$B$3:$B$3390,"&lt;&gt;Off-street")&gt;0,1,0)</f>
        <v>1</v>
      </c>
      <c r="G437">
        <f>IF(COUNTIFS('United Data'!$A$3:$A$3390,G$1,'United Data'!$C$3:$C$3390,$A437,'United Data'!$B$3:$B$3390,"&lt;&gt;Off-street")&gt;0,1,0)</f>
        <v>0</v>
      </c>
      <c r="H437">
        <f>IF(COUNTIFS('United Data'!$A$3:$A$3390,H$1,'United Data'!$C$3:$C$3390,$A437,'United Data'!$B$3:$B$3390,"&lt;&gt;Off-street")&gt;0,1,0)</f>
        <v>0</v>
      </c>
      <c r="I437">
        <f>IF(COUNTIFS('United Data'!$A$3:$A$3390,I$1,'United Data'!$C$3:$C$3390,$A437,'United Data'!$B$3:$B$3390,"&lt;&gt;Off-street")&gt;0,1,0)</f>
        <v>0</v>
      </c>
      <c r="J437">
        <f>IF(COUNTIFS('United Data'!$A$3:$A$3390,J$1,'United Data'!$C$3:$C$3390,$A437,'United Data'!$B$3:$B$3390,"&lt;&gt;Off-street")&gt;0,1,0)</f>
        <v>0</v>
      </c>
      <c r="K437">
        <f>IF(COUNTIFS('United Data'!$A$3:$A$3390,K$1,'United Data'!$C$3:$C$3390,$A437,'United Data'!$B$3:$B$3390,"&lt;&gt;Off-street")&gt;0,1,0)</f>
        <v>0</v>
      </c>
      <c r="L437">
        <f>IF(COUNTIFS('United Data'!$A$3:$A$3390,L$1,'United Data'!$C$3:$C$3390,$A437,'United Data'!$B$3:$B$3390,"&lt;&gt;Off-street")&gt;0,1,0)</f>
        <v>0</v>
      </c>
      <c r="M437">
        <f>IF(COUNTIFS('United Data'!$A$3:$A$3390,M$1,'United Data'!$C$3:$C$3390,$A437,'United Data'!$B$3:$B$3390,"&lt;&gt;Off-street")&gt;0,1,0)</f>
        <v>0</v>
      </c>
      <c r="N437">
        <f>IF(COUNTIFS('United Data'!$A$3:$A$3390,N$1,'United Data'!$C$3:$C$3390,$A437,'United Data'!$B$3:$B$3390,"&lt;&gt;Off-street")&gt;0,1,0)</f>
        <v>0</v>
      </c>
      <c r="O437">
        <f>IF(COUNTIFS('United Data'!$A$3:$A$3390,O$1,'United Data'!$C$3:$C$3390,$A437,'United Data'!$B$3:$B$3390,"&lt;&gt;Off-street")&gt;0,1,0)</f>
        <v>0</v>
      </c>
      <c r="P437">
        <f>IF(COUNTIFS('United Data'!$A$3:$A$3390,P$1,'United Data'!$C$3:$C$3390,$A437,'United Data'!$B$3:$B$3390,"&lt;&gt;Off-street")&gt;0,1,0)</f>
        <v>0</v>
      </c>
      <c r="Q437">
        <f>IF(COUNTIFS('United Data'!$A$3:$A$3390,Q$1,'United Data'!$C$3:$C$3390,$A437,'United Data'!$B$3:$B$3390,"&lt;&gt;Off-street")&gt;0,1,0)</f>
        <v>0</v>
      </c>
      <c r="R437">
        <f>IF(COUNTIFS('United Data'!$A$3:$A$3390,R$1,'United Data'!$C$3:$C$3390,$A437,'United Data'!$B$3:$B$3390,"&lt;&gt;Off-street")&gt;0,1,0)</f>
        <v>0</v>
      </c>
      <c r="S437">
        <f t="shared" si="12"/>
        <v>1</v>
      </c>
      <c r="T437">
        <f t="shared" si="13"/>
        <v>1</v>
      </c>
    </row>
    <row r="438" spans="1:20" x14ac:dyDescent="0.2">
      <c r="A438" t="s">
        <v>543</v>
      </c>
      <c r="B438">
        <f>IF(COUNTIFS('United Data'!$A$3:$A$3390,B$1,'United Data'!$C$3:$C$3390,$A438,'United Data'!$B$3:$B$3390,"&lt;&gt;Off-street")&gt;0,1,0)</f>
        <v>0</v>
      </c>
      <c r="C438">
        <f>IF(COUNTIFS('United Data'!$A$3:$A$3390,C$1,'United Data'!$C$3:$C$3390,$A438,'United Data'!$B$3:$B$3390,"&lt;&gt;Off-street")&gt;0,1,0)</f>
        <v>0</v>
      </c>
      <c r="D438">
        <f>IF(COUNTIFS('United Data'!$A$3:$A$3390,D$1,'United Data'!$C$3:$C$3390,$A438,'United Data'!$B$3:$B$3390,"&lt;&gt;Off-street")&gt;0,1,0)</f>
        <v>0</v>
      </c>
      <c r="E438">
        <f>IF(COUNTIFS('United Data'!$A$3:$A$3390,E$1,'United Data'!$C$3:$C$3390,$A438,'United Data'!$B$3:$B$3390,"&lt;&gt;Off-street")&gt;0,1,0)</f>
        <v>0</v>
      </c>
      <c r="F438">
        <f>IF(COUNTIFS('United Data'!$A$3:$A$3390,F$1,'United Data'!$C$3:$C$3390,$A438,'United Data'!$B$3:$B$3390,"&lt;&gt;Off-street")&gt;0,1,0)</f>
        <v>0</v>
      </c>
      <c r="G438">
        <f>IF(COUNTIFS('United Data'!$A$3:$A$3390,G$1,'United Data'!$C$3:$C$3390,$A438,'United Data'!$B$3:$B$3390,"&lt;&gt;Off-street")&gt;0,1,0)</f>
        <v>1</v>
      </c>
      <c r="H438">
        <f>IF(COUNTIFS('United Data'!$A$3:$A$3390,H$1,'United Data'!$C$3:$C$3390,$A438,'United Data'!$B$3:$B$3390,"&lt;&gt;Off-street")&gt;0,1,0)</f>
        <v>0</v>
      </c>
      <c r="I438">
        <f>IF(COUNTIFS('United Data'!$A$3:$A$3390,I$1,'United Data'!$C$3:$C$3390,$A438,'United Data'!$B$3:$B$3390,"&lt;&gt;Off-street")&gt;0,1,0)</f>
        <v>0</v>
      </c>
      <c r="J438">
        <f>IF(COUNTIFS('United Data'!$A$3:$A$3390,J$1,'United Data'!$C$3:$C$3390,$A438,'United Data'!$B$3:$B$3390,"&lt;&gt;Off-street")&gt;0,1,0)</f>
        <v>0</v>
      </c>
      <c r="K438">
        <f>IF(COUNTIFS('United Data'!$A$3:$A$3390,K$1,'United Data'!$C$3:$C$3390,$A438,'United Data'!$B$3:$B$3390,"&lt;&gt;Off-street")&gt;0,1,0)</f>
        <v>0</v>
      </c>
      <c r="L438">
        <f>IF(COUNTIFS('United Data'!$A$3:$A$3390,L$1,'United Data'!$C$3:$C$3390,$A438,'United Data'!$B$3:$B$3390,"&lt;&gt;Off-street")&gt;0,1,0)</f>
        <v>0</v>
      </c>
      <c r="M438">
        <f>IF(COUNTIFS('United Data'!$A$3:$A$3390,M$1,'United Data'!$C$3:$C$3390,$A438,'United Data'!$B$3:$B$3390,"&lt;&gt;Off-street")&gt;0,1,0)</f>
        <v>0</v>
      </c>
      <c r="N438">
        <f>IF(COUNTIFS('United Data'!$A$3:$A$3390,N$1,'United Data'!$C$3:$C$3390,$A438,'United Data'!$B$3:$B$3390,"&lt;&gt;Off-street")&gt;0,1,0)</f>
        <v>0</v>
      </c>
      <c r="O438">
        <f>IF(COUNTIFS('United Data'!$A$3:$A$3390,O$1,'United Data'!$C$3:$C$3390,$A438,'United Data'!$B$3:$B$3390,"&lt;&gt;Off-street")&gt;0,1,0)</f>
        <v>0</v>
      </c>
      <c r="P438">
        <f>IF(COUNTIFS('United Data'!$A$3:$A$3390,P$1,'United Data'!$C$3:$C$3390,$A438,'United Data'!$B$3:$B$3390,"&lt;&gt;Off-street")&gt;0,1,0)</f>
        <v>0</v>
      </c>
      <c r="Q438">
        <f>IF(COUNTIFS('United Data'!$A$3:$A$3390,Q$1,'United Data'!$C$3:$C$3390,$A438,'United Data'!$B$3:$B$3390,"&lt;&gt;Off-street")&gt;0,1,0)</f>
        <v>0</v>
      </c>
      <c r="R438">
        <f>IF(COUNTIFS('United Data'!$A$3:$A$3390,R$1,'United Data'!$C$3:$C$3390,$A438,'United Data'!$B$3:$B$3390,"&lt;&gt;Off-street")&gt;0,1,0)</f>
        <v>0</v>
      </c>
      <c r="S438">
        <f t="shared" si="12"/>
        <v>1</v>
      </c>
      <c r="T438">
        <f t="shared" si="13"/>
        <v>1</v>
      </c>
    </row>
    <row r="439" spans="1:20" x14ac:dyDescent="0.2">
      <c r="A439" t="s">
        <v>544</v>
      </c>
      <c r="B439">
        <f>IF(COUNTIFS('United Data'!$A$3:$A$3390,B$1,'United Data'!$C$3:$C$3390,$A439,'United Data'!$B$3:$B$3390,"&lt;&gt;Off-street")&gt;0,1,0)</f>
        <v>0</v>
      </c>
      <c r="C439">
        <f>IF(COUNTIFS('United Data'!$A$3:$A$3390,C$1,'United Data'!$C$3:$C$3390,$A439,'United Data'!$B$3:$B$3390,"&lt;&gt;Off-street")&gt;0,1,0)</f>
        <v>0</v>
      </c>
      <c r="D439">
        <f>IF(COUNTIFS('United Data'!$A$3:$A$3390,D$1,'United Data'!$C$3:$C$3390,$A439,'United Data'!$B$3:$B$3390,"&lt;&gt;Off-street")&gt;0,1,0)</f>
        <v>0</v>
      </c>
      <c r="E439">
        <f>IF(COUNTIFS('United Data'!$A$3:$A$3390,E$1,'United Data'!$C$3:$C$3390,$A439,'United Data'!$B$3:$B$3390,"&lt;&gt;Off-street")&gt;0,1,0)</f>
        <v>0</v>
      </c>
      <c r="F439">
        <f>IF(COUNTIFS('United Data'!$A$3:$A$3390,F$1,'United Data'!$C$3:$C$3390,$A439,'United Data'!$B$3:$B$3390,"&lt;&gt;Off-street")&gt;0,1,0)</f>
        <v>0</v>
      </c>
      <c r="G439">
        <f>IF(COUNTIFS('United Data'!$A$3:$A$3390,G$1,'United Data'!$C$3:$C$3390,$A439,'United Data'!$B$3:$B$3390,"&lt;&gt;Off-street")&gt;0,1,0)</f>
        <v>1</v>
      </c>
      <c r="H439">
        <f>IF(COUNTIFS('United Data'!$A$3:$A$3390,H$1,'United Data'!$C$3:$C$3390,$A439,'United Data'!$B$3:$B$3390,"&lt;&gt;Off-street")&gt;0,1,0)</f>
        <v>0</v>
      </c>
      <c r="I439">
        <f>IF(COUNTIFS('United Data'!$A$3:$A$3390,I$1,'United Data'!$C$3:$C$3390,$A439,'United Data'!$B$3:$B$3390,"&lt;&gt;Off-street")&gt;0,1,0)</f>
        <v>0</v>
      </c>
      <c r="J439">
        <f>IF(COUNTIFS('United Data'!$A$3:$A$3390,J$1,'United Data'!$C$3:$C$3390,$A439,'United Data'!$B$3:$B$3390,"&lt;&gt;Off-street")&gt;0,1,0)</f>
        <v>0</v>
      </c>
      <c r="K439">
        <f>IF(COUNTIFS('United Data'!$A$3:$A$3390,K$1,'United Data'!$C$3:$C$3390,$A439,'United Data'!$B$3:$B$3390,"&lt;&gt;Off-street")&gt;0,1,0)</f>
        <v>0</v>
      </c>
      <c r="L439">
        <f>IF(COUNTIFS('United Data'!$A$3:$A$3390,L$1,'United Data'!$C$3:$C$3390,$A439,'United Data'!$B$3:$B$3390,"&lt;&gt;Off-street")&gt;0,1,0)</f>
        <v>0</v>
      </c>
      <c r="M439">
        <f>IF(COUNTIFS('United Data'!$A$3:$A$3390,M$1,'United Data'!$C$3:$C$3390,$A439,'United Data'!$B$3:$B$3390,"&lt;&gt;Off-street")&gt;0,1,0)</f>
        <v>0</v>
      </c>
      <c r="N439">
        <f>IF(COUNTIFS('United Data'!$A$3:$A$3390,N$1,'United Data'!$C$3:$C$3390,$A439,'United Data'!$B$3:$B$3390,"&lt;&gt;Off-street")&gt;0,1,0)</f>
        <v>0</v>
      </c>
      <c r="O439">
        <f>IF(COUNTIFS('United Data'!$A$3:$A$3390,O$1,'United Data'!$C$3:$C$3390,$A439,'United Data'!$B$3:$B$3390,"&lt;&gt;Off-street")&gt;0,1,0)</f>
        <v>0</v>
      </c>
      <c r="P439">
        <f>IF(COUNTIFS('United Data'!$A$3:$A$3390,P$1,'United Data'!$C$3:$C$3390,$A439,'United Data'!$B$3:$B$3390,"&lt;&gt;Off-street")&gt;0,1,0)</f>
        <v>0</v>
      </c>
      <c r="Q439">
        <f>IF(COUNTIFS('United Data'!$A$3:$A$3390,Q$1,'United Data'!$C$3:$C$3390,$A439,'United Data'!$B$3:$B$3390,"&lt;&gt;Off-street")&gt;0,1,0)</f>
        <v>0</v>
      </c>
      <c r="R439">
        <f>IF(COUNTIFS('United Data'!$A$3:$A$3390,R$1,'United Data'!$C$3:$C$3390,$A439,'United Data'!$B$3:$B$3390,"&lt;&gt;Off-street")&gt;0,1,0)</f>
        <v>0</v>
      </c>
      <c r="S439">
        <f t="shared" si="12"/>
        <v>1</v>
      </c>
      <c r="T439">
        <f t="shared" si="13"/>
        <v>1</v>
      </c>
    </row>
    <row r="440" spans="1:20" x14ac:dyDescent="0.2">
      <c r="A440" t="s">
        <v>545</v>
      </c>
      <c r="B440">
        <f>IF(COUNTIFS('United Data'!$A$3:$A$3390,B$1,'United Data'!$C$3:$C$3390,$A440,'United Data'!$B$3:$B$3390,"&lt;&gt;Off-street")&gt;0,1,0)</f>
        <v>0</v>
      </c>
      <c r="C440">
        <f>IF(COUNTIFS('United Data'!$A$3:$A$3390,C$1,'United Data'!$C$3:$C$3390,$A440,'United Data'!$B$3:$B$3390,"&lt;&gt;Off-street")&gt;0,1,0)</f>
        <v>0</v>
      </c>
      <c r="D440">
        <f>IF(COUNTIFS('United Data'!$A$3:$A$3390,D$1,'United Data'!$C$3:$C$3390,$A440,'United Data'!$B$3:$B$3390,"&lt;&gt;Off-street")&gt;0,1,0)</f>
        <v>0</v>
      </c>
      <c r="E440">
        <f>IF(COUNTIFS('United Data'!$A$3:$A$3390,E$1,'United Data'!$C$3:$C$3390,$A440,'United Data'!$B$3:$B$3390,"&lt;&gt;Off-street")&gt;0,1,0)</f>
        <v>0</v>
      </c>
      <c r="F440">
        <f>IF(COUNTIFS('United Data'!$A$3:$A$3390,F$1,'United Data'!$C$3:$C$3390,$A440,'United Data'!$B$3:$B$3390,"&lt;&gt;Off-street")&gt;0,1,0)</f>
        <v>0</v>
      </c>
      <c r="G440">
        <f>IF(COUNTIFS('United Data'!$A$3:$A$3390,G$1,'United Data'!$C$3:$C$3390,$A440,'United Data'!$B$3:$B$3390,"&lt;&gt;Off-street")&gt;0,1,0)</f>
        <v>0</v>
      </c>
      <c r="H440">
        <f>IF(COUNTIFS('United Data'!$A$3:$A$3390,H$1,'United Data'!$C$3:$C$3390,$A440,'United Data'!$B$3:$B$3390,"&lt;&gt;Off-street")&gt;0,1,0)</f>
        <v>1</v>
      </c>
      <c r="I440">
        <f>IF(COUNTIFS('United Data'!$A$3:$A$3390,I$1,'United Data'!$C$3:$C$3390,$A440,'United Data'!$B$3:$B$3390,"&lt;&gt;Off-street")&gt;0,1,0)</f>
        <v>0</v>
      </c>
      <c r="J440">
        <f>IF(COUNTIFS('United Data'!$A$3:$A$3390,J$1,'United Data'!$C$3:$C$3390,$A440,'United Data'!$B$3:$B$3390,"&lt;&gt;Off-street")&gt;0,1,0)</f>
        <v>0</v>
      </c>
      <c r="K440">
        <f>IF(COUNTIFS('United Data'!$A$3:$A$3390,K$1,'United Data'!$C$3:$C$3390,$A440,'United Data'!$B$3:$B$3390,"&lt;&gt;Off-street")&gt;0,1,0)</f>
        <v>0</v>
      </c>
      <c r="L440">
        <f>IF(COUNTIFS('United Data'!$A$3:$A$3390,L$1,'United Data'!$C$3:$C$3390,$A440,'United Data'!$B$3:$B$3390,"&lt;&gt;Off-street")&gt;0,1,0)</f>
        <v>0</v>
      </c>
      <c r="M440">
        <f>IF(COUNTIFS('United Data'!$A$3:$A$3390,M$1,'United Data'!$C$3:$C$3390,$A440,'United Data'!$B$3:$B$3390,"&lt;&gt;Off-street")&gt;0,1,0)</f>
        <v>0</v>
      </c>
      <c r="N440">
        <f>IF(COUNTIFS('United Data'!$A$3:$A$3390,N$1,'United Data'!$C$3:$C$3390,$A440,'United Data'!$B$3:$B$3390,"&lt;&gt;Off-street")&gt;0,1,0)</f>
        <v>0</v>
      </c>
      <c r="O440">
        <f>IF(COUNTIFS('United Data'!$A$3:$A$3390,O$1,'United Data'!$C$3:$C$3390,$A440,'United Data'!$B$3:$B$3390,"&lt;&gt;Off-street")&gt;0,1,0)</f>
        <v>0</v>
      </c>
      <c r="P440">
        <f>IF(COUNTIFS('United Data'!$A$3:$A$3390,P$1,'United Data'!$C$3:$C$3390,$A440,'United Data'!$B$3:$B$3390,"&lt;&gt;Off-street")&gt;0,1,0)</f>
        <v>0</v>
      </c>
      <c r="Q440">
        <f>IF(COUNTIFS('United Data'!$A$3:$A$3390,Q$1,'United Data'!$C$3:$C$3390,$A440,'United Data'!$B$3:$B$3390,"&lt;&gt;Off-street")&gt;0,1,0)</f>
        <v>0</v>
      </c>
      <c r="R440">
        <f>IF(COUNTIFS('United Data'!$A$3:$A$3390,R$1,'United Data'!$C$3:$C$3390,$A440,'United Data'!$B$3:$B$3390,"&lt;&gt;Off-street")&gt;0,1,0)</f>
        <v>0</v>
      </c>
      <c r="S440">
        <f t="shared" si="12"/>
        <v>1</v>
      </c>
      <c r="T440">
        <f t="shared" si="13"/>
        <v>1</v>
      </c>
    </row>
    <row r="441" spans="1:20" x14ac:dyDescent="0.2">
      <c r="A441" t="s">
        <v>546</v>
      </c>
      <c r="B441">
        <f>IF(COUNTIFS('United Data'!$A$3:$A$3390,B$1,'United Data'!$C$3:$C$3390,$A441,'United Data'!$B$3:$B$3390,"&lt;&gt;Off-street")&gt;0,1,0)</f>
        <v>0</v>
      </c>
      <c r="C441">
        <f>IF(COUNTIFS('United Data'!$A$3:$A$3390,C$1,'United Data'!$C$3:$C$3390,$A441,'United Data'!$B$3:$B$3390,"&lt;&gt;Off-street")&gt;0,1,0)</f>
        <v>0</v>
      </c>
      <c r="D441">
        <f>IF(COUNTIFS('United Data'!$A$3:$A$3390,D$1,'United Data'!$C$3:$C$3390,$A441,'United Data'!$B$3:$B$3390,"&lt;&gt;Off-street")&gt;0,1,0)</f>
        <v>0</v>
      </c>
      <c r="E441">
        <f>IF(COUNTIFS('United Data'!$A$3:$A$3390,E$1,'United Data'!$C$3:$C$3390,$A441,'United Data'!$B$3:$B$3390,"&lt;&gt;Off-street")&gt;0,1,0)</f>
        <v>0</v>
      </c>
      <c r="F441">
        <f>IF(COUNTIFS('United Data'!$A$3:$A$3390,F$1,'United Data'!$C$3:$C$3390,$A441,'United Data'!$B$3:$B$3390,"&lt;&gt;Off-street")&gt;0,1,0)</f>
        <v>0</v>
      </c>
      <c r="G441">
        <f>IF(COUNTIFS('United Data'!$A$3:$A$3390,G$1,'United Data'!$C$3:$C$3390,$A441,'United Data'!$B$3:$B$3390,"&lt;&gt;Off-street")&gt;0,1,0)</f>
        <v>0</v>
      </c>
      <c r="H441">
        <f>IF(COUNTIFS('United Data'!$A$3:$A$3390,H$1,'United Data'!$C$3:$C$3390,$A441,'United Data'!$B$3:$B$3390,"&lt;&gt;Off-street")&gt;0,1,0)</f>
        <v>1</v>
      </c>
      <c r="I441">
        <f>IF(COUNTIFS('United Data'!$A$3:$A$3390,I$1,'United Data'!$C$3:$C$3390,$A441,'United Data'!$B$3:$B$3390,"&lt;&gt;Off-street")&gt;0,1,0)</f>
        <v>0</v>
      </c>
      <c r="J441">
        <f>IF(COUNTIFS('United Data'!$A$3:$A$3390,J$1,'United Data'!$C$3:$C$3390,$A441,'United Data'!$B$3:$B$3390,"&lt;&gt;Off-street")&gt;0,1,0)</f>
        <v>0</v>
      </c>
      <c r="K441">
        <f>IF(COUNTIFS('United Data'!$A$3:$A$3390,K$1,'United Data'!$C$3:$C$3390,$A441,'United Data'!$B$3:$B$3390,"&lt;&gt;Off-street")&gt;0,1,0)</f>
        <v>0</v>
      </c>
      <c r="L441">
        <f>IF(COUNTIFS('United Data'!$A$3:$A$3390,L$1,'United Data'!$C$3:$C$3390,$A441,'United Data'!$B$3:$B$3390,"&lt;&gt;Off-street")&gt;0,1,0)</f>
        <v>0</v>
      </c>
      <c r="M441">
        <f>IF(COUNTIFS('United Data'!$A$3:$A$3390,M$1,'United Data'!$C$3:$C$3390,$A441,'United Data'!$B$3:$B$3390,"&lt;&gt;Off-street")&gt;0,1,0)</f>
        <v>0</v>
      </c>
      <c r="N441">
        <f>IF(COUNTIFS('United Data'!$A$3:$A$3390,N$1,'United Data'!$C$3:$C$3390,$A441,'United Data'!$B$3:$B$3390,"&lt;&gt;Off-street")&gt;0,1,0)</f>
        <v>0</v>
      </c>
      <c r="O441">
        <f>IF(COUNTIFS('United Data'!$A$3:$A$3390,O$1,'United Data'!$C$3:$C$3390,$A441,'United Data'!$B$3:$B$3390,"&lt;&gt;Off-street")&gt;0,1,0)</f>
        <v>0</v>
      </c>
      <c r="P441">
        <f>IF(COUNTIFS('United Data'!$A$3:$A$3390,P$1,'United Data'!$C$3:$C$3390,$A441,'United Data'!$B$3:$B$3390,"&lt;&gt;Off-street")&gt;0,1,0)</f>
        <v>0</v>
      </c>
      <c r="Q441">
        <f>IF(COUNTIFS('United Data'!$A$3:$A$3390,Q$1,'United Data'!$C$3:$C$3390,$A441,'United Data'!$B$3:$B$3390,"&lt;&gt;Off-street")&gt;0,1,0)</f>
        <v>0</v>
      </c>
      <c r="R441">
        <f>IF(COUNTIFS('United Data'!$A$3:$A$3390,R$1,'United Data'!$C$3:$C$3390,$A441,'United Data'!$B$3:$B$3390,"&lt;&gt;Off-street")&gt;0,1,0)</f>
        <v>0</v>
      </c>
      <c r="S441">
        <f t="shared" si="12"/>
        <v>1</v>
      </c>
      <c r="T441">
        <f t="shared" si="13"/>
        <v>1</v>
      </c>
    </row>
    <row r="442" spans="1:20" x14ac:dyDescent="0.2">
      <c r="A442" t="s">
        <v>547</v>
      </c>
      <c r="B442">
        <f>IF(COUNTIFS('United Data'!$A$3:$A$3390,B$1,'United Data'!$C$3:$C$3390,$A442,'United Data'!$B$3:$B$3390,"&lt;&gt;Off-street")&gt;0,1,0)</f>
        <v>0</v>
      </c>
      <c r="C442">
        <f>IF(COUNTIFS('United Data'!$A$3:$A$3390,C$1,'United Data'!$C$3:$C$3390,$A442,'United Data'!$B$3:$B$3390,"&lt;&gt;Off-street")&gt;0,1,0)</f>
        <v>0</v>
      </c>
      <c r="D442">
        <f>IF(COUNTIFS('United Data'!$A$3:$A$3390,D$1,'United Data'!$C$3:$C$3390,$A442,'United Data'!$B$3:$B$3390,"&lt;&gt;Off-street")&gt;0,1,0)</f>
        <v>0</v>
      </c>
      <c r="E442">
        <f>IF(COUNTIFS('United Data'!$A$3:$A$3390,E$1,'United Data'!$C$3:$C$3390,$A442,'United Data'!$B$3:$B$3390,"&lt;&gt;Off-street")&gt;0,1,0)</f>
        <v>0</v>
      </c>
      <c r="F442">
        <f>IF(COUNTIFS('United Data'!$A$3:$A$3390,F$1,'United Data'!$C$3:$C$3390,$A442,'United Data'!$B$3:$B$3390,"&lt;&gt;Off-street")&gt;0,1,0)</f>
        <v>0</v>
      </c>
      <c r="G442">
        <f>IF(COUNTIFS('United Data'!$A$3:$A$3390,G$1,'United Data'!$C$3:$C$3390,$A442,'United Data'!$B$3:$B$3390,"&lt;&gt;Off-street")&gt;0,1,0)</f>
        <v>0</v>
      </c>
      <c r="H442">
        <f>IF(COUNTIFS('United Data'!$A$3:$A$3390,H$1,'United Data'!$C$3:$C$3390,$A442,'United Data'!$B$3:$B$3390,"&lt;&gt;Off-street")&gt;0,1,0)</f>
        <v>1</v>
      </c>
      <c r="I442">
        <f>IF(COUNTIFS('United Data'!$A$3:$A$3390,I$1,'United Data'!$C$3:$C$3390,$A442,'United Data'!$B$3:$B$3390,"&lt;&gt;Off-street")&gt;0,1,0)</f>
        <v>0</v>
      </c>
      <c r="J442">
        <f>IF(COUNTIFS('United Data'!$A$3:$A$3390,J$1,'United Data'!$C$3:$C$3390,$A442,'United Data'!$B$3:$B$3390,"&lt;&gt;Off-street")&gt;0,1,0)</f>
        <v>0</v>
      </c>
      <c r="K442">
        <f>IF(COUNTIFS('United Data'!$A$3:$A$3390,K$1,'United Data'!$C$3:$C$3390,$A442,'United Data'!$B$3:$B$3390,"&lt;&gt;Off-street")&gt;0,1,0)</f>
        <v>0</v>
      </c>
      <c r="L442">
        <f>IF(COUNTIFS('United Data'!$A$3:$A$3390,L$1,'United Data'!$C$3:$C$3390,$A442,'United Data'!$B$3:$B$3390,"&lt;&gt;Off-street")&gt;0,1,0)</f>
        <v>0</v>
      </c>
      <c r="M442">
        <f>IF(COUNTIFS('United Data'!$A$3:$A$3390,M$1,'United Data'!$C$3:$C$3390,$A442,'United Data'!$B$3:$B$3390,"&lt;&gt;Off-street")&gt;0,1,0)</f>
        <v>0</v>
      </c>
      <c r="N442">
        <f>IF(COUNTIFS('United Data'!$A$3:$A$3390,N$1,'United Data'!$C$3:$C$3390,$A442,'United Data'!$B$3:$B$3390,"&lt;&gt;Off-street")&gt;0,1,0)</f>
        <v>0</v>
      </c>
      <c r="O442">
        <f>IF(COUNTIFS('United Data'!$A$3:$A$3390,O$1,'United Data'!$C$3:$C$3390,$A442,'United Data'!$B$3:$B$3390,"&lt;&gt;Off-street")&gt;0,1,0)</f>
        <v>0</v>
      </c>
      <c r="P442">
        <f>IF(COUNTIFS('United Data'!$A$3:$A$3390,P$1,'United Data'!$C$3:$C$3390,$A442,'United Data'!$B$3:$B$3390,"&lt;&gt;Off-street")&gt;0,1,0)</f>
        <v>0</v>
      </c>
      <c r="Q442">
        <f>IF(COUNTIFS('United Data'!$A$3:$A$3390,Q$1,'United Data'!$C$3:$C$3390,$A442,'United Data'!$B$3:$B$3390,"&lt;&gt;Off-street")&gt;0,1,0)</f>
        <v>0</v>
      </c>
      <c r="R442">
        <f>IF(COUNTIFS('United Data'!$A$3:$A$3390,R$1,'United Data'!$C$3:$C$3390,$A442,'United Data'!$B$3:$B$3390,"&lt;&gt;Off-street")&gt;0,1,0)</f>
        <v>0</v>
      </c>
      <c r="S442">
        <f t="shared" si="12"/>
        <v>1</v>
      </c>
      <c r="T442">
        <f t="shared" si="13"/>
        <v>1</v>
      </c>
    </row>
    <row r="443" spans="1:20" x14ac:dyDescent="0.2">
      <c r="A443" t="s">
        <v>548</v>
      </c>
      <c r="B443">
        <f>IF(COUNTIFS('United Data'!$A$3:$A$3390,B$1,'United Data'!$C$3:$C$3390,$A443,'United Data'!$B$3:$B$3390,"&lt;&gt;Off-street")&gt;0,1,0)</f>
        <v>0</v>
      </c>
      <c r="C443">
        <f>IF(COUNTIFS('United Data'!$A$3:$A$3390,C$1,'United Data'!$C$3:$C$3390,$A443,'United Data'!$B$3:$B$3390,"&lt;&gt;Off-street")&gt;0,1,0)</f>
        <v>0</v>
      </c>
      <c r="D443">
        <f>IF(COUNTIFS('United Data'!$A$3:$A$3390,D$1,'United Data'!$C$3:$C$3390,$A443,'United Data'!$B$3:$B$3390,"&lt;&gt;Off-street")&gt;0,1,0)</f>
        <v>0</v>
      </c>
      <c r="E443">
        <f>IF(COUNTIFS('United Data'!$A$3:$A$3390,E$1,'United Data'!$C$3:$C$3390,$A443,'United Data'!$B$3:$B$3390,"&lt;&gt;Off-street")&gt;0,1,0)</f>
        <v>0</v>
      </c>
      <c r="F443">
        <f>IF(COUNTIFS('United Data'!$A$3:$A$3390,F$1,'United Data'!$C$3:$C$3390,$A443,'United Data'!$B$3:$B$3390,"&lt;&gt;Off-street")&gt;0,1,0)</f>
        <v>0</v>
      </c>
      <c r="G443">
        <f>IF(COUNTIFS('United Data'!$A$3:$A$3390,G$1,'United Data'!$C$3:$C$3390,$A443,'United Data'!$B$3:$B$3390,"&lt;&gt;Off-street")&gt;0,1,0)</f>
        <v>1</v>
      </c>
      <c r="H443">
        <f>IF(COUNTIFS('United Data'!$A$3:$A$3390,H$1,'United Data'!$C$3:$C$3390,$A443,'United Data'!$B$3:$B$3390,"&lt;&gt;Off-street")&gt;0,1,0)</f>
        <v>0</v>
      </c>
      <c r="I443">
        <f>IF(COUNTIFS('United Data'!$A$3:$A$3390,I$1,'United Data'!$C$3:$C$3390,$A443,'United Data'!$B$3:$B$3390,"&lt;&gt;Off-street")&gt;0,1,0)</f>
        <v>1</v>
      </c>
      <c r="J443">
        <f>IF(COUNTIFS('United Data'!$A$3:$A$3390,J$1,'United Data'!$C$3:$C$3390,$A443,'United Data'!$B$3:$B$3390,"&lt;&gt;Off-street")&gt;0,1,0)</f>
        <v>0</v>
      </c>
      <c r="K443">
        <f>IF(COUNTIFS('United Data'!$A$3:$A$3390,K$1,'United Data'!$C$3:$C$3390,$A443,'United Data'!$B$3:$B$3390,"&lt;&gt;Off-street")&gt;0,1,0)</f>
        <v>0</v>
      </c>
      <c r="L443">
        <f>IF(COUNTIFS('United Data'!$A$3:$A$3390,L$1,'United Data'!$C$3:$C$3390,$A443,'United Data'!$B$3:$B$3390,"&lt;&gt;Off-street")&gt;0,1,0)</f>
        <v>1</v>
      </c>
      <c r="M443">
        <f>IF(COUNTIFS('United Data'!$A$3:$A$3390,M$1,'United Data'!$C$3:$C$3390,$A443,'United Data'!$B$3:$B$3390,"&lt;&gt;Off-street")&gt;0,1,0)</f>
        <v>0</v>
      </c>
      <c r="N443">
        <f>IF(COUNTIFS('United Data'!$A$3:$A$3390,N$1,'United Data'!$C$3:$C$3390,$A443,'United Data'!$B$3:$B$3390,"&lt;&gt;Off-street")&gt;0,1,0)</f>
        <v>0</v>
      </c>
      <c r="O443">
        <f>IF(COUNTIFS('United Data'!$A$3:$A$3390,O$1,'United Data'!$C$3:$C$3390,$A443,'United Data'!$B$3:$B$3390,"&lt;&gt;Off-street")&gt;0,1,0)</f>
        <v>0</v>
      </c>
      <c r="P443">
        <f>IF(COUNTIFS('United Data'!$A$3:$A$3390,P$1,'United Data'!$C$3:$C$3390,$A443,'United Data'!$B$3:$B$3390,"&lt;&gt;Off-street")&gt;0,1,0)</f>
        <v>0</v>
      </c>
      <c r="Q443">
        <f>IF(COUNTIFS('United Data'!$A$3:$A$3390,Q$1,'United Data'!$C$3:$C$3390,$A443,'United Data'!$B$3:$B$3390,"&lt;&gt;Off-street")&gt;0,1,0)</f>
        <v>1</v>
      </c>
      <c r="R443">
        <f>IF(COUNTIFS('United Data'!$A$3:$A$3390,R$1,'United Data'!$C$3:$C$3390,$A443,'United Data'!$B$3:$B$3390,"&lt;&gt;Off-street")&gt;0,1,0)</f>
        <v>0</v>
      </c>
      <c r="S443">
        <f t="shared" si="12"/>
        <v>4</v>
      </c>
      <c r="T443">
        <f t="shared" si="13"/>
        <v>4</v>
      </c>
    </row>
    <row r="444" spans="1:20" x14ac:dyDescent="0.2">
      <c r="A444" t="s">
        <v>549</v>
      </c>
      <c r="B444">
        <f>IF(COUNTIFS('United Data'!$A$3:$A$3390,B$1,'United Data'!$C$3:$C$3390,$A444,'United Data'!$B$3:$B$3390,"&lt;&gt;Off-street")&gt;0,1,0)</f>
        <v>0</v>
      </c>
      <c r="C444">
        <f>IF(COUNTIFS('United Data'!$A$3:$A$3390,C$1,'United Data'!$C$3:$C$3390,$A444,'United Data'!$B$3:$B$3390,"&lt;&gt;Off-street")&gt;0,1,0)</f>
        <v>0</v>
      </c>
      <c r="D444">
        <f>IF(COUNTIFS('United Data'!$A$3:$A$3390,D$1,'United Data'!$C$3:$C$3390,$A444,'United Data'!$B$3:$B$3390,"&lt;&gt;Off-street")&gt;0,1,0)</f>
        <v>0</v>
      </c>
      <c r="E444">
        <f>IF(COUNTIFS('United Data'!$A$3:$A$3390,E$1,'United Data'!$C$3:$C$3390,$A444,'United Data'!$B$3:$B$3390,"&lt;&gt;Off-street")&gt;0,1,0)</f>
        <v>0</v>
      </c>
      <c r="F444">
        <f>IF(COUNTIFS('United Data'!$A$3:$A$3390,F$1,'United Data'!$C$3:$C$3390,$A444,'United Data'!$B$3:$B$3390,"&lt;&gt;Off-street")&gt;0,1,0)</f>
        <v>0</v>
      </c>
      <c r="G444">
        <f>IF(COUNTIFS('United Data'!$A$3:$A$3390,G$1,'United Data'!$C$3:$C$3390,$A444,'United Data'!$B$3:$B$3390,"&lt;&gt;Off-street")&gt;0,1,0)</f>
        <v>1</v>
      </c>
      <c r="H444">
        <f>IF(COUNTIFS('United Data'!$A$3:$A$3390,H$1,'United Data'!$C$3:$C$3390,$A444,'United Data'!$B$3:$B$3390,"&lt;&gt;Off-street")&gt;0,1,0)</f>
        <v>0</v>
      </c>
      <c r="I444">
        <f>IF(COUNTIFS('United Data'!$A$3:$A$3390,I$1,'United Data'!$C$3:$C$3390,$A444,'United Data'!$B$3:$B$3390,"&lt;&gt;Off-street")&gt;0,1,0)</f>
        <v>1</v>
      </c>
      <c r="J444">
        <f>IF(COUNTIFS('United Data'!$A$3:$A$3390,J$1,'United Data'!$C$3:$C$3390,$A444,'United Data'!$B$3:$B$3390,"&lt;&gt;Off-street")&gt;0,1,0)</f>
        <v>0</v>
      </c>
      <c r="K444">
        <f>IF(COUNTIFS('United Data'!$A$3:$A$3390,K$1,'United Data'!$C$3:$C$3390,$A444,'United Data'!$B$3:$B$3390,"&lt;&gt;Off-street")&gt;0,1,0)</f>
        <v>0</v>
      </c>
      <c r="L444">
        <f>IF(COUNTIFS('United Data'!$A$3:$A$3390,L$1,'United Data'!$C$3:$C$3390,$A444,'United Data'!$B$3:$B$3390,"&lt;&gt;Off-street")&gt;0,1,0)</f>
        <v>1</v>
      </c>
      <c r="M444">
        <f>IF(COUNTIFS('United Data'!$A$3:$A$3390,M$1,'United Data'!$C$3:$C$3390,$A444,'United Data'!$B$3:$B$3390,"&lt;&gt;Off-street")&gt;0,1,0)</f>
        <v>0</v>
      </c>
      <c r="N444">
        <f>IF(COUNTIFS('United Data'!$A$3:$A$3390,N$1,'United Data'!$C$3:$C$3390,$A444,'United Data'!$B$3:$B$3390,"&lt;&gt;Off-street")&gt;0,1,0)</f>
        <v>0</v>
      </c>
      <c r="O444">
        <f>IF(COUNTIFS('United Data'!$A$3:$A$3390,O$1,'United Data'!$C$3:$C$3390,$A444,'United Data'!$B$3:$B$3390,"&lt;&gt;Off-street")&gt;0,1,0)</f>
        <v>0</v>
      </c>
      <c r="P444">
        <f>IF(COUNTIFS('United Data'!$A$3:$A$3390,P$1,'United Data'!$C$3:$C$3390,$A444,'United Data'!$B$3:$B$3390,"&lt;&gt;Off-street")&gt;0,1,0)</f>
        <v>0</v>
      </c>
      <c r="Q444">
        <f>IF(COUNTIFS('United Data'!$A$3:$A$3390,Q$1,'United Data'!$C$3:$C$3390,$A444,'United Data'!$B$3:$B$3390,"&lt;&gt;Off-street")&gt;0,1,0)</f>
        <v>0</v>
      </c>
      <c r="R444">
        <f>IF(COUNTIFS('United Data'!$A$3:$A$3390,R$1,'United Data'!$C$3:$C$3390,$A444,'United Data'!$B$3:$B$3390,"&lt;&gt;Off-street")&gt;0,1,0)</f>
        <v>0</v>
      </c>
      <c r="S444">
        <f t="shared" si="12"/>
        <v>3</v>
      </c>
      <c r="T444">
        <f t="shared" si="13"/>
        <v>3</v>
      </c>
    </row>
    <row r="445" spans="1:20" x14ac:dyDescent="0.2">
      <c r="A445" t="s">
        <v>551</v>
      </c>
      <c r="B445">
        <f>IF(COUNTIFS('United Data'!$A$3:$A$3390,B$1,'United Data'!$C$3:$C$3390,$A445,'United Data'!$B$3:$B$3390,"&lt;&gt;Off-street")&gt;0,1,0)</f>
        <v>0</v>
      </c>
      <c r="C445">
        <f>IF(COUNTIFS('United Data'!$A$3:$A$3390,C$1,'United Data'!$C$3:$C$3390,$A445,'United Data'!$B$3:$B$3390,"&lt;&gt;Off-street")&gt;0,1,0)</f>
        <v>0</v>
      </c>
      <c r="D445">
        <f>IF(COUNTIFS('United Data'!$A$3:$A$3390,D$1,'United Data'!$C$3:$C$3390,$A445,'United Data'!$B$3:$B$3390,"&lt;&gt;Off-street")&gt;0,1,0)</f>
        <v>0</v>
      </c>
      <c r="E445">
        <f>IF(COUNTIFS('United Data'!$A$3:$A$3390,E$1,'United Data'!$C$3:$C$3390,$A445,'United Data'!$B$3:$B$3390,"&lt;&gt;Off-street")&gt;0,1,0)</f>
        <v>0</v>
      </c>
      <c r="F445">
        <f>IF(COUNTIFS('United Data'!$A$3:$A$3390,F$1,'United Data'!$C$3:$C$3390,$A445,'United Data'!$B$3:$B$3390,"&lt;&gt;Off-street")&gt;0,1,0)</f>
        <v>0</v>
      </c>
      <c r="G445">
        <f>IF(COUNTIFS('United Data'!$A$3:$A$3390,G$1,'United Data'!$C$3:$C$3390,$A445,'United Data'!$B$3:$B$3390,"&lt;&gt;Off-street")&gt;0,1,0)</f>
        <v>0</v>
      </c>
      <c r="H445">
        <f>IF(COUNTIFS('United Data'!$A$3:$A$3390,H$1,'United Data'!$C$3:$C$3390,$A445,'United Data'!$B$3:$B$3390,"&lt;&gt;Off-street")&gt;0,1,0)</f>
        <v>0</v>
      </c>
      <c r="I445">
        <f>IF(COUNTIFS('United Data'!$A$3:$A$3390,I$1,'United Data'!$C$3:$C$3390,$A445,'United Data'!$B$3:$B$3390,"&lt;&gt;Off-street")&gt;0,1,0)</f>
        <v>0</v>
      </c>
      <c r="J445">
        <f>IF(COUNTIFS('United Data'!$A$3:$A$3390,J$1,'United Data'!$C$3:$C$3390,$A445,'United Data'!$B$3:$B$3390,"&lt;&gt;Off-street")&gt;0,1,0)</f>
        <v>1</v>
      </c>
      <c r="K445">
        <f>IF(COUNTIFS('United Data'!$A$3:$A$3390,K$1,'United Data'!$C$3:$C$3390,$A445,'United Data'!$B$3:$B$3390,"&lt;&gt;Off-street")&gt;0,1,0)</f>
        <v>0</v>
      </c>
      <c r="L445">
        <f>IF(COUNTIFS('United Data'!$A$3:$A$3390,L$1,'United Data'!$C$3:$C$3390,$A445,'United Data'!$B$3:$B$3390,"&lt;&gt;Off-street")&gt;0,1,0)</f>
        <v>0</v>
      </c>
      <c r="M445">
        <f>IF(COUNTIFS('United Data'!$A$3:$A$3390,M$1,'United Data'!$C$3:$C$3390,$A445,'United Data'!$B$3:$B$3390,"&lt;&gt;Off-street")&gt;0,1,0)</f>
        <v>0</v>
      </c>
      <c r="N445">
        <f>IF(COUNTIFS('United Data'!$A$3:$A$3390,N$1,'United Data'!$C$3:$C$3390,$A445,'United Data'!$B$3:$B$3390,"&lt;&gt;Off-street")&gt;0,1,0)</f>
        <v>0</v>
      </c>
      <c r="O445">
        <f>IF(COUNTIFS('United Data'!$A$3:$A$3390,O$1,'United Data'!$C$3:$C$3390,$A445,'United Data'!$B$3:$B$3390,"&lt;&gt;Off-street")&gt;0,1,0)</f>
        <v>0</v>
      </c>
      <c r="P445">
        <f>IF(COUNTIFS('United Data'!$A$3:$A$3390,P$1,'United Data'!$C$3:$C$3390,$A445,'United Data'!$B$3:$B$3390,"&lt;&gt;Off-street")&gt;0,1,0)</f>
        <v>0</v>
      </c>
      <c r="Q445">
        <f>IF(COUNTIFS('United Data'!$A$3:$A$3390,Q$1,'United Data'!$C$3:$C$3390,$A445,'United Data'!$B$3:$B$3390,"&lt;&gt;Off-street")&gt;0,1,0)</f>
        <v>0</v>
      </c>
      <c r="R445">
        <f>IF(COUNTIFS('United Data'!$A$3:$A$3390,R$1,'United Data'!$C$3:$C$3390,$A445,'United Data'!$B$3:$B$3390,"&lt;&gt;Off-street")&gt;0,1,0)</f>
        <v>0</v>
      </c>
      <c r="S445">
        <f t="shared" si="12"/>
        <v>1</v>
      </c>
      <c r="T445">
        <f t="shared" si="13"/>
        <v>1</v>
      </c>
    </row>
    <row r="446" spans="1:20" x14ac:dyDescent="0.2">
      <c r="A446" t="s">
        <v>552</v>
      </c>
      <c r="B446">
        <f>IF(COUNTIFS('United Data'!$A$3:$A$3390,B$1,'United Data'!$C$3:$C$3390,$A446,'United Data'!$B$3:$B$3390,"&lt;&gt;Off-street")&gt;0,1,0)</f>
        <v>0</v>
      </c>
      <c r="C446">
        <f>IF(COUNTIFS('United Data'!$A$3:$A$3390,C$1,'United Data'!$C$3:$C$3390,$A446,'United Data'!$B$3:$B$3390,"&lt;&gt;Off-street")&gt;0,1,0)</f>
        <v>0</v>
      </c>
      <c r="D446">
        <f>IF(COUNTIFS('United Data'!$A$3:$A$3390,D$1,'United Data'!$C$3:$C$3390,$A446,'United Data'!$B$3:$B$3390,"&lt;&gt;Off-street")&gt;0,1,0)</f>
        <v>0</v>
      </c>
      <c r="E446">
        <f>IF(COUNTIFS('United Data'!$A$3:$A$3390,E$1,'United Data'!$C$3:$C$3390,$A446,'United Data'!$B$3:$B$3390,"&lt;&gt;Off-street")&gt;0,1,0)</f>
        <v>0</v>
      </c>
      <c r="F446">
        <f>IF(COUNTIFS('United Data'!$A$3:$A$3390,F$1,'United Data'!$C$3:$C$3390,$A446,'United Data'!$B$3:$B$3390,"&lt;&gt;Off-street")&gt;0,1,0)</f>
        <v>0</v>
      </c>
      <c r="G446">
        <f>IF(COUNTIFS('United Data'!$A$3:$A$3390,G$1,'United Data'!$C$3:$C$3390,$A446,'United Data'!$B$3:$B$3390,"&lt;&gt;Off-street")&gt;0,1,0)</f>
        <v>0</v>
      </c>
      <c r="H446">
        <f>IF(COUNTIFS('United Data'!$A$3:$A$3390,H$1,'United Data'!$C$3:$C$3390,$A446,'United Data'!$B$3:$B$3390,"&lt;&gt;Off-street")&gt;0,1,0)</f>
        <v>0</v>
      </c>
      <c r="I446">
        <f>IF(COUNTIFS('United Data'!$A$3:$A$3390,I$1,'United Data'!$C$3:$C$3390,$A446,'United Data'!$B$3:$B$3390,"&lt;&gt;Off-street")&gt;0,1,0)</f>
        <v>0</v>
      </c>
      <c r="J446">
        <f>IF(COUNTIFS('United Data'!$A$3:$A$3390,J$1,'United Data'!$C$3:$C$3390,$A446,'United Data'!$B$3:$B$3390,"&lt;&gt;Off-street")&gt;0,1,0)</f>
        <v>1</v>
      </c>
      <c r="K446">
        <f>IF(COUNTIFS('United Data'!$A$3:$A$3390,K$1,'United Data'!$C$3:$C$3390,$A446,'United Data'!$B$3:$B$3390,"&lt;&gt;Off-street")&gt;0,1,0)</f>
        <v>1</v>
      </c>
      <c r="L446">
        <f>IF(COUNTIFS('United Data'!$A$3:$A$3390,L$1,'United Data'!$C$3:$C$3390,$A446,'United Data'!$B$3:$B$3390,"&lt;&gt;Off-street")&gt;0,1,0)</f>
        <v>0</v>
      </c>
      <c r="M446">
        <f>IF(COUNTIFS('United Data'!$A$3:$A$3390,M$1,'United Data'!$C$3:$C$3390,$A446,'United Data'!$B$3:$B$3390,"&lt;&gt;Off-street")&gt;0,1,0)</f>
        <v>0</v>
      </c>
      <c r="N446">
        <f>IF(COUNTIFS('United Data'!$A$3:$A$3390,N$1,'United Data'!$C$3:$C$3390,$A446,'United Data'!$B$3:$B$3390,"&lt;&gt;Off-street")&gt;0,1,0)</f>
        <v>0</v>
      </c>
      <c r="O446">
        <f>IF(COUNTIFS('United Data'!$A$3:$A$3390,O$1,'United Data'!$C$3:$C$3390,$A446,'United Data'!$B$3:$B$3390,"&lt;&gt;Off-street")&gt;0,1,0)</f>
        <v>0</v>
      </c>
      <c r="P446">
        <f>IF(COUNTIFS('United Data'!$A$3:$A$3390,P$1,'United Data'!$C$3:$C$3390,$A446,'United Data'!$B$3:$B$3390,"&lt;&gt;Off-street")&gt;0,1,0)</f>
        <v>0</v>
      </c>
      <c r="Q446">
        <f>IF(COUNTIFS('United Data'!$A$3:$A$3390,Q$1,'United Data'!$C$3:$C$3390,$A446,'United Data'!$B$3:$B$3390,"&lt;&gt;Off-street")&gt;0,1,0)</f>
        <v>0</v>
      </c>
      <c r="R446">
        <f>IF(COUNTIFS('United Data'!$A$3:$A$3390,R$1,'United Data'!$C$3:$C$3390,$A446,'United Data'!$B$3:$B$3390,"&lt;&gt;Off-street")&gt;0,1,0)</f>
        <v>0</v>
      </c>
      <c r="S446">
        <f t="shared" si="12"/>
        <v>2</v>
      </c>
      <c r="T446">
        <f t="shared" si="13"/>
        <v>1</v>
      </c>
    </row>
    <row r="447" spans="1:20" x14ac:dyDescent="0.2">
      <c r="A447" t="s">
        <v>553</v>
      </c>
      <c r="B447">
        <f>IF(COUNTIFS('United Data'!$A$3:$A$3390,B$1,'United Data'!$C$3:$C$3390,$A447,'United Data'!$B$3:$B$3390,"&lt;&gt;Off-street")&gt;0,1,0)</f>
        <v>0</v>
      </c>
      <c r="C447">
        <f>IF(COUNTIFS('United Data'!$A$3:$A$3390,C$1,'United Data'!$C$3:$C$3390,$A447,'United Data'!$B$3:$B$3390,"&lt;&gt;Off-street")&gt;0,1,0)</f>
        <v>0</v>
      </c>
      <c r="D447">
        <f>IF(COUNTIFS('United Data'!$A$3:$A$3390,D$1,'United Data'!$C$3:$C$3390,$A447,'United Data'!$B$3:$B$3390,"&lt;&gt;Off-street")&gt;0,1,0)</f>
        <v>0</v>
      </c>
      <c r="E447">
        <f>IF(COUNTIFS('United Data'!$A$3:$A$3390,E$1,'United Data'!$C$3:$C$3390,$A447,'United Data'!$B$3:$B$3390,"&lt;&gt;Off-street")&gt;0,1,0)</f>
        <v>0</v>
      </c>
      <c r="F447">
        <f>IF(COUNTIFS('United Data'!$A$3:$A$3390,F$1,'United Data'!$C$3:$C$3390,$A447,'United Data'!$B$3:$B$3390,"&lt;&gt;Off-street")&gt;0,1,0)</f>
        <v>0</v>
      </c>
      <c r="G447">
        <f>IF(COUNTIFS('United Data'!$A$3:$A$3390,G$1,'United Data'!$C$3:$C$3390,$A447,'United Data'!$B$3:$B$3390,"&lt;&gt;Off-street")&gt;0,1,0)</f>
        <v>0</v>
      </c>
      <c r="H447">
        <f>IF(COUNTIFS('United Data'!$A$3:$A$3390,H$1,'United Data'!$C$3:$C$3390,$A447,'United Data'!$B$3:$B$3390,"&lt;&gt;Off-street")&gt;0,1,0)</f>
        <v>0</v>
      </c>
      <c r="I447">
        <f>IF(COUNTIFS('United Data'!$A$3:$A$3390,I$1,'United Data'!$C$3:$C$3390,$A447,'United Data'!$B$3:$B$3390,"&lt;&gt;Off-street")&gt;0,1,0)</f>
        <v>0</v>
      </c>
      <c r="J447">
        <f>IF(COUNTIFS('United Data'!$A$3:$A$3390,J$1,'United Data'!$C$3:$C$3390,$A447,'United Data'!$B$3:$B$3390,"&lt;&gt;Off-street")&gt;0,1,0)</f>
        <v>0</v>
      </c>
      <c r="K447">
        <f>IF(COUNTIFS('United Data'!$A$3:$A$3390,K$1,'United Data'!$C$3:$C$3390,$A447,'United Data'!$B$3:$B$3390,"&lt;&gt;Off-street")&gt;0,1,0)</f>
        <v>1</v>
      </c>
      <c r="L447">
        <f>IF(COUNTIFS('United Data'!$A$3:$A$3390,L$1,'United Data'!$C$3:$C$3390,$A447,'United Data'!$B$3:$B$3390,"&lt;&gt;Off-street")&gt;0,1,0)</f>
        <v>0</v>
      </c>
      <c r="M447">
        <f>IF(COUNTIFS('United Data'!$A$3:$A$3390,M$1,'United Data'!$C$3:$C$3390,$A447,'United Data'!$B$3:$B$3390,"&lt;&gt;Off-street")&gt;0,1,0)</f>
        <v>0</v>
      </c>
      <c r="N447">
        <f>IF(COUNTIFS('United Data'!$A$3:$A$3390,N$1,'United Data'!$C$3:$C$3390,$A447,'United Data'!$B$3:$B$3390,"&lt;&gt;Off-street")&gt;0,1,0)</f>
        <v>0</v>
      </c>
      <c r="O447">
        <f>IF(COUNTIFS('United Data'!$A$3:$A$3390,O$1,'United Data'!$C$3:$C$3390,$A447,'United Data'!$B$3:$B$3390,"&lt;&gt;Off-street")&gt;0,1,0)</f>
        <v>0</v>
      </c>
      <c r="P447">
        <f>IF(COUNTIFS('United Data'!$A$3:$A$3390,P$1,'United Data'!$C$3:$C$3390,$A447,'United Data'!$B$3:$B$3390,"&lt;&gt;Off-street")&gt;0,1,0)</f>
        <v>0</v>
      </c>
      <c r="Q447">
        <f>IF(COUNTIFS('United Data'!$A$3:$A$3390,Q$1,'United Data'!$C$3:$C$3390,$A447,'United Data'!$B$3:$B$3390,"&lt;&gt;Off-street")&gt;0,1,0)</f>
        <v>0</v>
      </c>
      <c r="R447">
        <f>IF(COUNTIFS('United Data'!$A$3:$A$3390,R$1,'United Data'!$C$3:$C$3390,$A447,'United Data'!$B$3:$B$3390,"&lt;&gt;Off-street")&gt;0,1,0)</f>
        <v>0</v>
      </c>
      <c r="S447">
        <f t="shared" si="12"/>
        <v>1</v>
      </c>
      <c r="T447">
        <f t="shared" si="13"/>
        <v>1</v>
      </c>
    </row>
    <row r="448" spans="1:20" x14ac:dyDescent="0.2">
      <c r="A448" t="s">
        <v>554</v>
      </c>
      <c r="B448">
        <f>IF(COUNTIFS('United Data'!$A$3:$A$3390,B$1,'United Data'!$C$3:$C$3390,$A448,'United Data'!$B$3:$B$3390,"&lt;&gt;Off-street")&gt;0,1,0)</f>
        <v>0</v>
      </c>
      <c r="C448">
        <f>IF(COUNTIFS('United Data'!$A$3:$A$3390,C$1,'United Data'!$C$3:$C$3390,$A448,'United Data'!$B$3:$B$3390,"&lt;&gt;Off-street")&gt;0,1,0)</f>
        <v>0</v>
      </c>
      <c r="D448">
        <f>IF(COUNTIFS('United Data'!$A$3:$A$3390,D$1,'United Data'!$C$3:$C$3390,$A448,'United Data'!$B$3:$B$3390,"&lt;&gt;Off-street")&gt;0,1,0)</f>
        <v>0</v>
      </c>
      <c r="E448">
        <f>IF(COUNTIFS('United Data'!$A$3:$A$3390,E$1,'United Data'!$C$3:$C$3390,$A448,'United Data'!$B$3:$B$3390,"&lt;&gt;Off-street")&gt;0,1,0)</f>
        <v>0</v>
      </c>
      <c r="F448">
        <f>IF(COUNTIFS('United Data'!$A$3:$A$3390,F$1,'United Data'!$C$3:$C$3390,$A448,'United Data'!$B$3:$B$3390,"&lt;&gt;Off-street")&gt;0,1,0)</f>
        <v>0</v>
      </c>
      <c r="G448">
        <f>IF(COUNTIFS('United Data'!$A$3:$A$3390,G$1,'United Data'!$C$3:$C$3390,$A448,'United Data'!$B$3:$B$3390,"&lt;&gt;Off-street")&gt;0,1,0)</f>
        <v>0</v>
      </c>
      <c r="H448">
        <f>IF(COUNTIFS('United Data'!$A$3:$A$3390,H$1,'United Data'!$C$3:$C$3390,$A448,'United Data'!$B$3:$B$3390,"&lt;&gt;Off-street")&gt;0,1,0)</f>
        <v>0</v>
      </c>
      <c r="I448">
        <f>IF(COUNTIFS('United Data'!$A$3:$A$3390,I$1,'United Data'!$C$3:$C$3390,$A448,'United Data'!$B$3:$B$3390,"&lt;&gt;Off-street")&gt;0,1,0)</f>
        <v>0</v>
      </c>
      <c r="J448">
        <f>IF(COUNTIFS('United Data'!$A$3:$A$3390,J$1,'United Data'!$C$3:$C$3390,$A448,'United Data'!$B$3:$B$3390,"&lt;&gt;Off-street")&gt;0,1,0)</f>
        <v>0</v>
      </c>
      <c r="K448">
        <f>IF(COUNTIFS('United Data'!$A$3:$A$3390,K$1,'United Data'!$C$3:$C$3390,$A448,'United Data'!$B$3:$B$3390,"&lt;&gt;Off-street")&gt;0,1,0)</f>
        <v>1</v>
      </c>
      <c r="L448">
        <f>IF(COUNTIFS('United Data'!$A$3:$A$3390,L$1,'United Data'!$C$3:$C$3390,$A448,'United Data'!$B$3:$B$3390,"&lt;&gt;Off-street")&gt;0,1,0)</f>
        <v>0</v>
      </c>
      <c r="M448">
        <f>IF(COUNTIFS('United Data'!$A$3:$A$3390,M$1,'United Data'!$C$3:$C$3390,$A448,'United Data'!$B$3:$B$3390,"&lt;&gt;Off-street")&gt;0,1,0)</f>
        <v>0</v>
      </c>
      <c r="N448">
        <f>IF(COUNTIFS('United Data'!$A$3:$A$3390,N$1,'United Data'!$C$3:$C$3390,$A448,'United Data'!$B$3:$B$3390,"&lt;&gt;Off-street")&gt;0,1,0)</f>
        <v>0</v>
      </c>
      <c r="O448">
        <f>IF(COUNTIFS('United Data'!$A$3:$A$3390,O$1,'United Data'!$C$3:$C$3390,$A448,'United Data'!$B$3:$B$3390,"&lt;&gt;Off-street")&gt;0,1,0)</f>
        <v>0</v>
      </c>
      <c r="P448">
        <f>IF(COUNTIFS('United Data'!$A$3:$A$3390,P$1,'United Data'!$C$3:$C$3390,$A448,'United Data'!$B$3:$B$3390,"&lt;&gt;Off-street")&gt;0,1,0)</f>
        <v>0</v>
      </c>
      <c r="Q448">
        <f>IF(COUNTIFS('United Data'!$A$3:$A$3390,Q$1,'United Data'!$C$3:$C$3390,$A448,'United Data'!$B$3:$B$3390,"&lt;&gt;Off-street")&gt;0,1,0)</f>
        <v>0</v>
      </c>
      <c r="R448">
        <f>IF(COUNTIFS('United Data'!$A$3:$A$3390,R$1,'United Data'!$C$3:$C$3390,$A448,'United Data'!$B$3:$B$3390,"&lt;&gt;Off-street")&gt;0,1,0)</f>
        <v>0</v>
      </c>
      <c r="S448">
        <f t="shared" si="12"/>
        <v>1</v>
      </c>
      <c r="T448">
        <f t="shared" si="13"/>
        <v>1</v>
      </c>
    </row>
    <row r="449" spans="1:20" x14ac:dyDescent="0.2">
      <c r="A449" t="s">
        <v>556</v>
      </c>
      <c r="B449">
        <f>IF(COUNTIFS('United Data'!$A$3:$A$3390,B$1,'United Data'!$C$3:$C$3390,$A449,'United Data'!$B$3:$B$3390,"&lt;&gt;Off-street")&gt;0,1,0)</f>
        <v>0</v>
      </c>
      <c r="C449">
        <f>IF(COUNTIFS('United Data'!$A$3:$A$3390,C$1,'United Data'!$C$3:$C$3390,$A449,'United Data'!$B$3:$B$3390,"&lt;&gt;Off-street")&gt;0,1,0)</f>
        <v>1</v>
      </c>
      <c r="D449">
        <f>IF(COUNTIFS('United Data'!$A$3:$A$3390,D$1,'United Data'!$C$3:$C$3390,$A449,'United Data'!$B$3:$B$3390,"&lt;&gt;Off-street")&gt;0,1,0)</f>
        <v>1</v>
      </c>
      <c r="E449">
        <f>IF(COUNTIFS('United Data'!$A$3:$A$3390,E$1,'United Data'!$C$3:$C$3390,$A449,'United Data'!$B$3:$B$3390,"&lt;&gt;Off-street")&gt;0,1,0)</f>
        <v>1</v>
      </c>
      <c r="F449">
        <f>IF(COUNTIFS('United Data'!$A$3:$A$3390,F$1,'United Data'!$C$3:$C$3390,$A449,'United Data'!$B$3:$B$3390,"&lt;&gt;Off-street")&gt;0,1,0)</f>
        <v>1</v>
      </c>
      <c r="G449">
        <f>IF(COUNTIFS('United Data'!$A$3:$A$3390,G$1,'United Data'!$C$3:$C$3390,$A449,'United Data'!$B$3:$B$3390,"&lt;&gt;Off-street")&gt;0,1,0)</f>
        <v>1</v>
      </c>
      <c r="H449">
        <f>IF(COUNTIFS('United Data'!$A$3:$A$3390,H$1,'United Data'!$C$3:$C$3390,$A449,'United Data'!$B$3:$B$3390,"&lt;&gt;Off-street")&gt;0,1,0)</f>
        <v>1</v>
      </c>
      <c r="I449">
        <f>IF(COUNTIFS('United Data'!$A$3:$A$3390,I$1,'United Data'!$C$3:$C$3390,$A449,'United Data'!$B$3:$B$3390,"&lt;&gt;Off-street")&gt;0,1,0)</f>
        <v>1</v>
      </c>
      <c r="J449">
        <f>IF(COUNTIFS('United Data'!$A$3:$A$3390,J$1,'United Data'!$C$3:$C$3390,$A449,'United Data'!$B$3:$B$3390,"&lt;&gt;Off-street")&gt;0,1,0)</f>
        <v>0</v>
      </c>
      <c r="K449">
        <f>IF(COUNTIFS('United Data'!$A$3:$A$3390,K$1,'United Data'!$C$3:$C$3390,$A449,'United Data'!$B$3:$B$3390,"&lt;&gt;Off-street")&gt;0,1,0)</f>
        <v>0</v>
      </c>
      <c r="L449">
        <f>IF(COUNTIFS('United Data'!$A$3:$A$3390,L$1,'United Data'!$C$3:$C$3390,$A449,'United Data'!$B$3:$B$3390,"&lt;&gt;Off-street")&gt;0,1,0)</f>
        <v>1</v>
      </c>
      <c r="M449">
        <f>IF(COUNTIFS('United Data'!$A$3:$A$3390,M$1,'United Data'!$C$3:$C$3390,$A449,'United Data'!$B$3:$B$3390,"&lt;&gt;Off-street")&gt;0,1,0)</f>
        <v>0</v>
      </c>
      <c r="N449">
        <f>IF(COUNTIFS('United Data'!$A$3:$A$3390,N$1,'United Data'!$C$3:$C$3390,$A449,'United Data'!$B$3:$B$3390,"&lt;&gt;Off-street")&gt;0,1,0)</f>
        <v>0</v>
      </c>
      <c r="O449">
        <f>IF(COUNTIFS('United Data'!$A$3:$A$3390,O$1,'United Data'!$C$3:$C$3390,$A449,'United Data'!$B$3:$B$3390,"&lt;&gt;Off-street")&gt;0,1,0)</f>
        <v>0</v>
      </c>
      <c r="P449">
        <f>IF(COUNTIFS('United Data'!$A$3:$A$3390,P$1,'United Data'!$C$3:$C$3390,$A449,'United Data'!$B$3:$B$3390,"&lt;&gt;Off-street")&gt;0,1,0)</f>
        <v>0</v>
      </c>
      <c r="Q449">
        <f>IF(COUNTIFS('United Data'!$A$3:$A$3390,Q$1,'United Data'!$C$3:$C$3390,$A449,'United Data'!$B$3:$B$3390,"&lt;&gt;Off-street")&gt;0,1,0)</f>
        <v>0</v>
      </c>
      <c r="R449">
        <f>IF(COUNTIFS('United Data'!$A$3:$A$3390,R$1,'United Data'!$C$3:$C$3390,$A449,'United Data'!$B$3:$B$3390,"&lt;&gt;Off-street")&gt;0,1,0)</f>
        <v>0</v>
      </c>
      <c r="S449">
        <f t="shared" si="12"/>
        <v>8</v>
      </c>
      <c r="T449">
        <f t="shared" si="13"/>
        <v>2</v>
      </c>
    </row>
    <row r="450" spans="1:20" x14ac:dyDescent="0.2">
      <c r="A450" t="s">
        <v>557</v>
      </c>
      <c r="B450">
        <f>IF(COUNTIFS('United Data'!$A$3:$A$3390,B$1,'United Data'!$C$3:$C$3390,$A450,'United Data'!$B$3:$B$3390,"&lt;&gt;Off-street")&gt;0,1,0)</f>
        <v>0</v>
      </c>
      <c r="C450">
        <f>IF(COUNTIFS('United Data'!$A$3:$A$3390,C$1,'United Data'!$C$3:$C$3390,$A450,'United Data'!$B$3:$B$3390,"&lt;&gt;Off-street")&gt;0,1,0)</f>
        <v>0</v>
      </c>
      <c r="D450">
        <f>IF(COUNTIFS('United Data'!$A$3:$A$3390,D$1,'United Data'!$C$3:$C$3390,$A450,'United Data'!$B$3:$B$3390,"&lt;&gt;Off-street")&gt;0,1,0)</f>
        <v>0</v>
      </c>
      <c r="E450">
        <f>IF(COUNTIFS('United Data'!$A$3:$A$3390,E$1,'United Data'!$C$3:$C$3390,$A450,'United Data'!$B$3:$B$3390,"&lt;&gt;Off-street")&gt;0,1,0)</f>
        <v>0</v>
      </c>
      <c r="F450">
        <f>IF(COUNTIFS('United Data'!$A$3:$A$3390,F$1,'United Data'!$C$3:$C$3390,$A450,'United Data'!$B$3:$B$3390,"&lt;&gt;Off-street")&gt;0,1,0)</f>
        <v>0</v>
      </c>
      <c r="G450">
        <f>IF(COUNTIFS('United Data'!$A$3:$A$3390,G$1,'United Data'!$C$3:$C$3390,$A450,'United Data'!$B$3:$B$3390,"&lt;&gt;Off-street")&gt;0,1,0)</f>
        <v>0</v>
      </c>
      <c r="H450">
        <f>IF(COUNTIFS('United Data'!$A$3:$A$3390,H$1,'United Data'!$C$3:$C$3390,$A450,'United Data'!$B$3:$B$3390,"&lt;&gt;Off-street")&gt;0,1,0)</f>
        <v>0</v>
      </c>
      <c r="I450">
        <f>IF(COUNTIFS('United Data'!$A$3:$A$3390,I$1,'United Data'!$C$3:$C$3390,$A450,'United Data'!$B$3:$B$3390,"&lt;&gt;Off-street")&gt;0,1,0)</f>
        <v>0</v>
      </c>
      <c r="J450">
        <f>IF(COUNTIFS('United Data'!$A$3:$A$3390,J$1,'United Data'!$C$3:$C$3390,$A450,'United Data'!$B$3:$B$3390,"&lt;&gt;Off-street")&gt;0,1,0)</f>
        <v>0</v>
      </c>
      <c r="K450">
        <f>IF(COUNTIFS('United Data'!$A$3:$A$3390,K$1,'United Data'!$C$3:$C$3390,$A450,'United Data'!$B$3:$B$3390,"&lt;&gt;Off-street")&gt;0,1,0)</f>
        <v>0</v>
      </c>
      <c r="L450">
        <f>IF(COUNTIFS('United Data'!$A$3:$A$3390,L$1,'United Data'!$C$3:$C$3390,$A450,'United Data'!$B$3:$B$3390,"&lt;&gt;Off-street")&gt;0,1,0)</f>
        <v>1</v>
      </c>
      <c r="M450">
        <f>IF(COUNTIFS('United Data'!$A$3:$A$3390,M$1,'United Data'!$C$3:$C$3390,$A450,'United Data'!$B$3:$B$3390,"&lt;&gt;Off-street")&gt;0,1,0)</f>
        <v>0</v>
      </c>
      <c r="N450">
        <f>IF(COUNTIFS('United Data'!$A$3:$A$3390,N$1,'United Data'!$C$3:$C$3390,$A450,'United Data'!$B$3:$B$3390,"&lt;&gt;Off-street")&gt;0,1,0)</f>
        <v>1</v>
      </c>
      <c r="O450">
        <f>IF(COUNTIFS('United Data'!$A$3:$A$3390,O$1,'United Data'!$C$3:$C$3390,$A450,'United Data'!$B$3:$B$3390,"&lt;&gt;Off-street")&gt;0,1,0)</f>
        <v>0</v>
      </c>
      <c r="P450">
        <f>IF(COUNTIFS('United Data'!$A$3:$A$3390,P$1,'United Data'!$C$3:$C$3390,$A450,'United Data'!$B$3:$B$3390,"&lt;&gt;Off-street")&gt;0,1,0)</f>
        <v>0</v>
      </c>
      <c r="Q450">
        <f>IF(COUNTIFS('United Data'!$A$3:$A$3390,Q$1,'United Data'!$C$3:$C$3390,$A450,'United Data'!$B$3:$B$3390,"&lt;&gt;Off-street")&gt;0,1,0)</f>
        <v>0</v>
      </c>
      <c r="R450">
        <f>IF(COUNTIFS('United Data'!$A$3:$A$3390,R$1,'United Data'!$C$3:$C$3390,$A450,'United Data'!$B$3:$B$3390,"&lt;&gt;Off-street")&gt;0,1,0)</f>
        <v>0</v>
      </c>
      <c r="S450">
        <f t="shared" ref="S450:S513" si="14">SUM(B450:R450)</f>
        <v>2</v>
      </c>
      <c r="T450">
        <f t="shared" ref="T450:T513" si="15">B450+SUMPRODUCT(--(C450:R450&gt;B450:Q450))</f>
        <v>2</v>
      </c>
    </row>
    <row r="451" spans="1:20" x14ac:dyDescent="0.2">
      <c r="A451" t="s">
        <v>558</v>
      </c>
      <c r="B451">
        <f>IF(COUNTIFS('United Data'!$A$3:$A$3390,B$1,'United Data'!$C$3:$C$3390,$A451,'United Data'!$B$3:$B$3390,"&lt;&gt;Off-street")&gt;0,1,0)</f>
        <v>0</v>
      </c>
      <c r="C451">
        <f>IF(COUNTIFS('United Data'!$A$3:$A$3390,C$1,'United Data'!$C$3:$C$3390,$A451,'United Data'!$B$3:$B$3390,"&lt;&gt;Off-street")&gt;0,1,0)</f>
        <v>0</v>
      </c>
      <c r="D451">
        <f>IF(COUNTIFS('United Data'!$A$3:$A$3390,D$1,'United Data'!$C$3:$C$3390,$A451,'United Data'!$B$3:$B$3390,"&lt;&gt;Off-street")&gt;0,1,0)</f>
        <v>0</v>
      </c>
      <c r="E451">
        <f>IF(COUNTIFS('United Data'!$A$3:$A$3390,E$1,'United Data'!$C$3:$C$3390,$A451,'United Data'!$B$3:$B$3390,"&lt;&gt;Off-street")&gt;0,1,0)</f>
        <v>0</v>
      </c>
      <c r="F451">
        <f>IF(COUNTIFS('United Data'!$A$3:$A$3390,F$1,'United Data'!$C$3:$C$3390,$A451,'United Data'!$B$3:$B$3390,"&lt;&gt;Off-street")&gt;0,1,0)</f>
        <v>0</v>
      </c>
      <c r="G451">
        <f>IF(COUNTIFS('United Data'!$A$3:$A$3390,G$1,'United Data'!$C$3:$C$3390,$A451,'United Data'!$B$3:$B$3390,"&lt;&gt;Off-street")&gt;0,1,0)</f>
        <v>0</v>
      </c>
      <c r="H451">
        <f>IF(COUNTIFS('United Data'!$A$3:$A$3390,H$1,'United Data'!$C$3:$C$3390,$A451,'United Data'!$B$3:$B$3390,"&lt;&gt;Off-street")&gt;0,1,0)</f>
        <v>0</v>
      </c>
      <c r="I451">
        <f>IF(COUNTIFS('United Data'!$A$3:$A$3390,I$1,'United Data'!$C$3:$C$3390,$A451,'United Data'!$B$3:$B$3390,"&lt;&gt;Off-street")&gt;0,1,0)</f>
        <v>0</v>
      </c>
      <c r="J451">
        <f>IF(COUNTIFS('United Data'!$A$3:$A$3390,J$1,'United Data'!$C$3:$C$3390,$A451,'United Data'!$B$3:$B$3390,"&lt;&gt;Off-street")&gt;0,1,0)</f>
        <v>0</v>
      </c>
      <c r="K451">
        <f>IF(COUNTIFS('United Data'!$A$3:$A$3390,K$1,'United Data'!$C$3:$C$3390,$A451,'United Data'!$B$3:$B$3390,"&lt;&gt;Off-street")&gt;0,1,0)</f>
        <v>0</v>
      </c>
      <c r="L451">
        <f>IF(COUNTIFS('United Data'!$A$3:$A$3390,L$1,'United Data'!$C$3:$C$3390,$A451,'United Data'!$B$3:$B$3390,"&lt;&gt;Off-street")&gt;0,1,0)</f>
        <v>0</v>
      </c>
      <c r="M451">
        <f>IF(COUNTIFS('United Data'!$A$3:$A$3390,M$1,'United Data'!$C$3:$C$3390,$A451,'United Data'!$B$3:$B$3390,"&lt;&gt;Off-street")&gt;0,1,0)</f>
        <v>1</v>
      </c>
      <c r="N451">
        <f>IF(COUNTIFS('United Data'!$A$3:$A$3390,N$1,'United Data'!$C$3:$C$3390,$A451,'United Data'!$B$3:$B$3390,"&lt;&gt;Off-street")&gt;0,1,0)</f>
        <v>1</v>
      </c>
      <c r="O451">
        <f>IF(COUNTIFS('United Data'!$A$3:$A$3390,O$1,'United Data'!$C$3:$C$3390,$A451,'United Data'!$B$3:$B$3390,"&lt;&gt;Off-street")&gt;0,1,0)</f>
        <v>0</v>
      </c>
      <c r="P451">
        <f>IF(COUNTIFS('United Data'!$A$3:$A$3390,P$1,'United Data'!$C$3:$C$3390,$A451,'United Data'!$B$3:$B$3390,"&lt;&gt;Off-street")&gt;0,1,0)</f>
        <v>0</v>
      </c>
      <c r="Q451">
        <f>IF(COUNTIFS('United Data'!$A$3:$A$3390,Q$1,'United Data'!$C$3:$C$3390,$A451,'United Data'!$B$3:$B$3390,"&lt;&gt;Off-street")&gt;0,1,0)</f>
        <v>0</v>
      </c>
      <c r="R451">
        <f>IF(COUNTIFS('United Data'!$A$3:$A$3390,R$1,'United Data'!$C$3:$C$3390,$A451,'United Data'!$B$3:$B$3390,"&lt;&gt;Off-street")&gt;0,1,0)</f>
        <v>0</v>
      </c>
      <c r="S451">
        <f t="shared" si="14"/>
        <v>2</v>
      </c>
      <c r="T451">
        <f t="shared" si="15"/>
        <v>1</v>
      </c>
    </row>
    <row r="452" spans="1:20" x14ac:dyDescent="0.2">
      <c r="A452" t="s">
        <v>559</v>
      </c>
      <c r="B452">
        <f>IF(COUNTIFS('United Data'!$A$3:$A$3390,B$1,'United Data'!$C$3:$C$3390,$A452,'United Data'!$B$3:$B$3390,"&lt;&gt;Off-street")&gt;0,1,0)</f>
        <v>0</v>
      </c>
      <c r="C452">
        <f>IF(COUNTIFS('United Data'!$A$3:$A$3390,C$1,'United Data'!$C$3:$C$3390,$A452,'United Data'!$B$3:$B$3390,"&lt;&gt;Off-street")&gt;0,1,0)</f>
        <v>0</v>
      </c>
      <c r="D452">
        <f>IF(COUNTIFS('United Data'!$A$3:$A$3390,D$1,'United Data'!$C$3:$C$3390,$A452,'United Data'!$B$3:$B$3390,"&lt;&gt;Off-street")&gt;0,1,0)</f>
        <v>0</v>
      </c>
      <c r="E452">
        <f>IF(COUNTIFS('United Data'!$A$3:$A$3390,E$1,'United Data'!$C$3:$C$3390,$A452,'United Data'!$B$3:$B$3390,"&lt;&gt;Off-street")&gt;0,1,0)</f>
        <v>0</v>
      </c>
      <c r="F452">
        <f>IF(COUNTIFS('United Data'!$A$3:$A$3390,F$1,'United Data'!$C$3:$C$3390,$A452,'United Data'!$B$3:$B$3390,"&lt;&gt;Off-street")&gt;0,1,0)</f>
        <v>0</v>
      </c>
      <c r="G452">
        <f>IF(COUNTIFS('United Data'!$A$3:$A$3390,G$1,'United Data'!$C$3:$C$3390,$A452,'United Data'!$B$3:$B$3390,"&lt;&gt;Off-street")&gt;0,1,0)</f>
        <v>0</v>
      </c>
      <c r="H452">
        <f>IF(COUNTIFS('United Data'!$A$3:$A$3390,H$1,'United Data'!$C$3:$C$3390,$A452,'United Data'!$B$3:$B$3390,"&lt;&gt;Off-street")&gt;0,1,0)</f>
        <v>0</v>
      </c>
      <c r="I452">
        <f>IF(COUNTIFS('United Data'!$A$3:$A$3390,I$1,'United Data'!$C$3:$C$3390,$A452,'United Data'!$B$3:$B$3390,"&lt;&gt;Off-street")&gt;0,1,0)</f>
        <v>0</v>
      </c>
      <c r="J452">
        <f>IF(COUNTIFS('United Data'!$A$3:$A$3390,J$1,'United Data'!$C$3:$C$3390,$A452,'United Data'!$B$3:$B$3390,"&lt;&gt;Off-street")&gt;0,1,0)</f>
        <v>0</v>
      </c>
      <c r="K452">
        <f>IF(COUNTIFS('United Data'!$A$3:$A$3390,K$1,'United Data'!$C$3:$C$3390,$A452,'United Data'!$B$3:$B$3390,"&lt;&gt;Off-street")&gt;0,1,0)</f>
        <v>0</v>
      </c>
      <c r="L452">
        <f>IF(COUNTIFS('United Data'!$A$3:$A$3390,L$1,'United Data'!$C$3:$C$3390,$A452,'United Data'!$B$3:$B$3390,"&lt;&gt;Off-street")&gt;0,1,0)</f>
        <v>0</v>
      </c>
      <c r="M452">
        <f>IF(COUNTIFS('United Data'!$A$3:$A$3390,M$1,'United Data'!$C$3:$C$3390,$A452,'United Data'!$B$3:$B$3390,"&lt;&gt;Off-street")&gt;0,1,0)</f>
        <v>1</v>
      </c>
      <c r="N452">
        <f>IF(COUNTIFS('United Data'!$A$3:$A$3390,N$1,'United Data'!$C$3:$C$3390,$A452,'United Data'!$B$3:$B$3390,"&lt;&gt;Off-street")&gt;0,1,0)</f>
        <v>0</v>
      </c>
      <c r="O452">
        <f>IF(COUNTIFS('United Data'!$A$3:$A$3390,O$1,'United Data'!$C$3:$C$3390,$A452,'United Data'!$B$3:$B$3390,"&lt;&gt;Off-street")&gt;0,1,0)</f>
        <v>0</v>
      </c>
      <c r="P452">
        <f>IF(COUNTIFS('United Data'!$A$3:$A$3390,P$1,'United Data'!$C$3:$C$3390,$A452,'United Data'!$B$3:$B$3390,"&lt;&gt;Off-street")&gt;0,1,0)</f>
        <v>0</v>
      </c>
      <c r="Q452">
        <f>IF(COUNTIFS('United Data'!$A$3:$A$3390,Q$1,'United Data'!$C$3:$C$3390,$A452,'United Data'!$B$3:$B$3390,"&lt;&gt;Off-street")&gt;0,1,0)</f>
        <v>0</v>
      </c>
      <c r="R452">
        <f>IF(COUNTIFS('United Data'!$A$3:$A$3390,R$1,'United Data'!$C$3:$C$3390,$A452,'United Data'!$B$3:$B$3390,"&lt;&gt;Off-street")&gt;0,1,0)</f>
        <v>0</v>
      </c>
      <c r="S452">
        <f t="shared" si="14"/>
        <v>1</v>
      </c>
      <c r="T452">
        <f t="shared" si="15"/>
        <v>1</v>
      </c>
    </row>
    <row r="453" spans="1:20" x14ac:dyDescent="0.2">
      <c r="A453" t="s">
        <v>561</v>
      </c>
      <c r="B453">
        <f>IF(COUNTIFS('United Data'!$A$3:$A$3390,B$1,'United Data'!$C$3:$C$3390,$A453,'United Data'!$B$3:$B$3390,"&lt;&gt;Off-street")&gt;0,1,0)</f>
        <v>0</v>
      </c>
      <c r="C453">
        <f>IF(COUNTIFS('United Data'!$A$3:$A$3390,C$1,'United Data'!$C$3:$C$3390,$A453,'United Data'!$B$3:$B$3390,"&lt;&gt;Off-street")&gt;0,1,0)</f>
        <v>0</v>
      </c>
      <c r="D453">
        <f>IF(COUNTIFS('United Data'!$A$3:$A$3390,D$1,'United Data'!$C$3:$C$3390,$A453,'United Data'!$B$3:$B$3390,"&lt;&gt;Off-street")&gt;0,1,0)</f>
        <v>0</v>
      </c>
      <c r="E453">
        <f>IF(COUNTIFS('United Data'!$A$3:$A$3390,E$1,'United Data'!$C$3:$C$3390,$A453,'United Data'!$B$3:$B$3390,"&lt;&gt;Off-street")&gt;0,1,0)</f>
        <v>0</v>
      </c>
      <c r="F453">
        <f>IF(COUNTIFS('United Data'!$A$3:$A$3390,F$1,'United Data'!$C$3:$C$3390,$A453,'United Data'!$B$3:$B$3390,"&lt;&gt;Off-street")&gt;0,1,0)</f>
        <v>0</v>
      </c>
      <c r="G453">
        <f>IF(COUNTIFS('United Data'!$A$3:$A$3390,G$1,'United Data'!$C$3:$C$3390,$A453,'United Data'!$B$3:$B$3390,"&lt;&gt;Off-street")&gt;0,1,0)</f>
        <v>0</v>
      </c>
      <c r="H453">
        <f>IF(COUNTIFS('United Data'!$A$3:$A$3390,H$1,'United Data'!$C$3:$C$3390,$A453,'United Data'!$B$3:$B$3390,"&lt;&gt;Off-street")&gt;0,1,0)</f>
        <v>0</v>
      </c>
      <c r="I453">
        <f>IF(COUNTIFS('United Data'!$A$3:$A$3390,I$1,'United Data'!$C$3:$C$3390,$A453,'United Data'!$B$3:$B$3390,"&lt;&gt;Off-street")&gt;0,1,0)</f>
        <v>0</v>
      </c>
      <c r="J453">
        <f>IF(COUNTIFS('United Data'!$A$3:$A$3390,J$1,'United Data'!$C$3:$C$3390,$A453,'United Data'!$B$3:$B$3390,"&lt;&gt;Off-street")&gt;0,1,0)</f>
        <v>0</v>
      </c>
      <c r="K453">
        <f>IF(COUNTIFS('United Data'!$A$3:$A$3390,K$1,'United Data'!$C$3:$C$3390,$A453,'United Data'!$B$3:$B$3390,"&lt;&gt;Off-street")&gt;0,1,0)</f>
        <v>0</v>
      </c>
      <c r="L453">
        <f>IF(COUNTIFS('United Data'!$A$3:$A$3390,L$1,'United Data'!$C$3:$C$3390,$A453,'United Data'!$B$3:$B$3390,"&lt;&gt;Off-street")&gt;0,1,0)</f>
        <v>0</v>
      </c>
      <c r="M453">
        <f>IF(COUNTIFS('United Data'!$A$3:$A$3390,M$1,'United Data'!$C$3:$C$3390,$A453,'United Data'!$B$3:$B$3390,"&lt;&gt;Off-street")&gt;0,1,0)</f>
        <v>1</v>
      </c>
      <c r="N453">
        <f>IF(COUNTIFS('United Data'!$A$3:$A$3390,N$1,'United Data'!$C$3:$C$3390,$A453,'United Data'!$B$3:$B$3390,"&lt;&gt;Off-street")&gt;0,1,0)</f>
        <v>0</v>
      </c>
      <c r="O453">
        <f>IF(COUNTIFS('United Data'!$A$3:$A$3390,O$1,'United Data'!$C$3:$C$3390,$A453,'United Data'!$B$3:$B$3390,"&lt;&gt;Off-street")&gt;0,1,0)</f>
        <v>0</v>
      </c>
      <c r="P453">
        <f>IF(COUNTIFS('United Data'!$A$3:$A$3390,P$1,'United Data'!$C$3:$C$3390,$A453,'United Data'!$B$3:$B$3390,"&lt;&gt;Off-street")&gt;0,1,0)</f>
        <v>0</v>
      </c>
      <c r="Q453">
        <f>IF(COUNTIFS('United Data'!$A$3:$A$3390,Q$1,'United Data'!$C$3:$C$3390,$A453,'United Data'!$B$3:$B$3390,"&lt;&gt;Off-street")&gt;0,1,0)</f>
        <v>0</v>
      </c>
      <c r="R453">
        <f>IF(COUNTIFS('United Data'!$A$3:$A$3390,R$1,'United Data'!$C$3:$C$3390,$A453,'United Data'!$B$3:$B$3390,"&lt;&gt;Off-street")&gt;0,1,0)</f>
        <v>0</v>
      </c>
      <c r="S453">
        <f t="shared" si="14"/>
        <v>1</v>
      </c>
      <c r="T453">
        <f t="shared" si="15"/>
        <v>1</v>
      </c>
    </row>
    <row r="454" spans="1:20" x14ac:dyDescent="0.2">
      <c r="A454" t="s">
        <v>562</v>
      </c>
      <c r="B454">
        <f>IF(COUNTIFS('United Data'!$A$3:$A$3390,B$1,'United Data'!$C$3:$C$3390,$A454,'United Data'!$B$3:$B$3390,"&lt;&gt;Off-street")&gt;0,1,0)</f>
        <v>0</v>
      </c>
      <c r="C454">
        <f>IF(COUNTIFS('United Data'!$A$3:$A$3390,C$1,'United Data'!$C$3:$C$3390,$A454,'United Data'!$B$3:$B$3390,"&lt;&gt;Off-street")&gt;0,1,0)</f>
        <v>0</v>
      </c>
      <c r="D454">
        <f>IF(COUNTIFS('United Data'!$A$3:$A$3390,D$1,'United Data'!$C$3:$C$3390,$A454,'United Data'!$B$3:$B$3390,"&lt;&gt;Off-street")&gt;0,1,0)</f>
        <v>0</v>
      </c>
      <c r="E454">
        <f>IF(COUNTIFS('United Data'!$A$3:$A$3390,E$1,'United Data'!$C$3:$C$3390,$A454,'United Data'!$B$3:$B$3390,"&lt;&gt;Off-street")&gt;0,1,0)</f>
        <v>0</v>
      </c>
      <c r="F454">
        <f>IF(COUNTIFS('United Data'!$A$3:$A$3390,F$1,'United Data'!$C$3:$C$3390,$A454,'United Data'!$B$3:$B$3390,"&lt;&gt;Off-street")&gt;0,1,0)</f>
        <v>0</v>
      </c>
      <c r="G454">
        <f>IF(COUNTIFS('United Data'!$A$3:$A$3390,G$1,'United Data'!$C$3:$C$3390,$A454,'United Data'!$B$3:$B$3390,"&lt;&gt;Off-street")&gt;0,1,0)</f>
        <v>0</v>
      </c>
      <c r="H454">
        <f>IF(COUNTIFS('United Data'!$A$3:$A$3390,H$1,'United Data'!$C$3:$C$3390,$A454,'United Data'!$B$3:$B$3390,"&lt;&gt;Off-street")&gt;0,1,0)</f>
        <v>0</v>
      </c>
      <c r="I454">
        <f>IF(COUNTIFS('United Data'!$A$3:$A$3390,I$1,'United Data'!$C$3:$C$3390,$A454,'United Data'!$B$3:$B$3390,"&lt;&gt;Off-street")&gt;0,1,0)</f>
        <v>0</v>
      </c>
      <c r="J454">
        <f>IF(COUNTIFS('United Data'!$A$3:$A$3390,J$1,'United Data'!$C$3:$C$3390,$A454,'United Data'!$B$3:$B$3390,"&lt;&gt;Off-street")&gt;0,1,0)</f>
        <v>0</v>
      </c>
      <c r="K454">
        <f>IF(COUNTIFS('United Data'!$A$3:$A$3390,K$1,'United Data'!$C$3:$C$3390,$A454,'United Data'!$B$3:$B$3390,"&lt;&gt;Off-street")&gt;0,1,0)</f>
        <v>0</v>
      </c>
      <c r="L454">
        <f>IF(COUNTIFS('United Data'!$A$3:$A$3390,L$1,'United Data'!$C$3:$C$3390,$A454,'United Data'!$B$3:$B$3390,"&lt;&gt;Off-street")&gt;0,1,0)</f>
        <v>0</v>
      </c>
      <c r="M454">
        <f>IF(COUNTIFS('United Data'!$A$3:$A$3390,M$1,'United Data'!$C$3:$C$3390,$A454,'United Data'!$B$3:$B$3390,"&lt;&gt;Off-street")&gt;0,1,0)</f>
        <v>1</v>
      </c>
      <c r="N454">
        <f>IF(COUNTIFS('United Data'!$A$3:$A$3390,N$1,'United Data'!$C$3:$C$3390,$A454,'United Data'!$B$3:$B$3390,"&lt;&gt;Off-street")&gt;0,1,0)</f>
        <v>0</v>
      </c>
      <c r="O454">
        <f>IF(COUNTIFS('United Data'!$A$3:$A$3390,O$1,'United Data'!$C$3:$C$3390,$A454,'United Data'!$B$3:$B$3390,"&lt;&gt;Off-street")&gt;0,1,0)</f>
        <v>0</v>
      </c>
      <c r="P454">
        <f>IF(COUNTIFS('United Data'!$A$3:$A$3390,P$1,'United Data'!$C$3:$C$3390,$A454,'United Data'!$B$3:$B$3390,"&lt;&gt;Off-street")&gt;0,1,0)</f>
        <v>0</v>
      </c>
      <c r="Q454">
        <f>IF(COUNTIFS('United Data'!$A$3:$A$3390,Q$1,'United Data'!$C$3:$C$3390,$A454,'United Data'!$B$3:$B$3390,"&lt;&gt;Off-street")&gt;0,1,0)</f>
        <v>0</v>
      </c>
      <c r="R454">
        <f>IF(COUNTIFS('United Data'!$A$3:$A$3390,R$1,'United Data'!$C$3:$C$3390,$A454,'United Data'!$B$3:$B$3390,"&lt;&gt;Off-street")&gt;0,1,0)</f>
        <v>0</v>
      </c>
      <c r="S454">
        <f t="shared" si="14"/>
        <v>1</v>
      </c>
      <c r="T454">
        <f t="shared" si="15"/>
        <v>1</v>
      </c>
    </row>
    <row r="455" spans="1:20" x14ac:dyDescent="0.2">
      <c r="A455" t="s">
        <v>563</v>
      </c>
      <c r="B455">
        <f>IF(COUNTIFS('United Data'!$A$3:$A$3390,B$1,'United Data'!$C$3:$C$3390,$A455,'United Data'!$B$3:$B$3390,"&lt;&gt;Off-street")&gt;0,1,0)</f>
        <v>0</v>
      </c>
      <c r="C455">
        <f>IF(COUNTIFS('United Data'!$A$3:$A$3390,C$1,'United Data'!$C$3:$C$3390,$A455,'United Data'!$B$3:$B$3390,"&lt;&gt;Off-street")&gt;0,1,0)</f>
        <v>0</v>
      </c>
      <c r="D455">
        <f>IF(COUNTIFS('United Data'!$A$3:$A$3390,D$1,'United Data'!$C$3:$C$3390,$A455,'United Data'!$B$3:$B$3390,"&lt;&gt;Off-street")&gt;0,1,0)</f>
        <v>0</v>
      </c>
      <c r="E455">
        <f>IF(COUNTIFS('United Data'!$A$3:$A$3390,E$1,'United Data'!$C$3:$C$3390,$A455,'United Data'!$B$3:$B$3390,"&lt;&gt;Off-street")&gt;0,1,0)</f>
        <v>0</v>
      </c>
      <c r="F455">
        <f>IF(COUNTIFS('United Data'!$A$3:$A$3390,F$1,'United Data'!$C$3:$C$3390,$A455,'United Data'!$B$3:$B$3390,"&lt;&gt;Off-street")&gt;0,1,0)</f>
        <v>0</v>
      </c>
      <c r="G455">
        <f>IF(COUNTIFS('United Data'!$A$3:$A$3390,G$1,'United Data'!$C$3:$C$3390,$A455,'United Data'!$B$3:$B$3390,"&lt;&gt;Off-street")&gt;0,1,0)</f>
        <v>0</v>
      </c>
      <c r="H455">
        <f>IF(COUNTIFS('United Data'!$A$3:$A$3390,H$1,'United Data'!$C$3:$C$3390,$A455,'United Data'!$B$3:$B$3390,"&lt;&gt;Off-street")&gt;0,1,0)</f>
        <v>0</v>
      </c>
      <c r="I455">
        <f>IF(COUNTIFS('United Data'!$A$3:$A$3390,I$1,'United Data'!$C$3:$C$3390,$A455,'United Data'!$B$3:$B$3390,"&lt;&gt;Off-street")&gt;0,1,0)</f>
        <v>0</v>
      </c>
      <c r="J455">
        <f>IF(COUNTIFS('United Data'!$A$3:$A$3390,J$1,'United Data'!$C$3:$C$3390,$A455,'United Data'!$B$3:$B$3390,"&lt;&gt;Off-street")&gt;0,1,0)</f>
        <v>0</v>
      </c>
      <c r="K455">
        <f>IF(COUNTIFS('United Data'!$A$3:$A$3390,K$1,'United Data'!$C$3:$C$3390,$A455,'United Data'!$B$3:$B$3390,"&lt;&gt;Off-street")&gt;0,1,0)</f>
        <v>0</v>
      </c>
      <c r="L455">
        <f>IF(COUNTIFS('United Data'!$A$3:$A$3390,L$1,'United Data'!$C$3:$C$3390,$A455,'United Data'!$B$3:$B$3390,"&lt;&gt;Off-street")&gt;0,1,0)</f>
        <v>0</v>
      </c>
      <c r="M455">
        <f>IF(COUNTIFS('United Data'!$A$3:$A$3390,M$1,'United Data'!$C$3:$C$3390,$A455,'United Data'!$B$3:$B$3390,"&lt;&gt;Off-street")&gt;0,1,0)</f>
        <v>1</v>
      </c>
      <c r="N455">
        <f>IF(COUNTIFS('United Data'!$A$3:$A$3390,N$1,'United Data'!$C$3:$C$3390,$A455,'United Data'!$B$3:$B$3390,"&lt;&gt;Off-street")&gt;0,1,0)</f>
        <v>0</v>
      </c>
      <c r="O455">
        <f>IF(COUNTIFS('United Data'!$A$3:$A$3390,O$1,'United Data'!$C$3:$C$3390,$A455,'United Data'!$B$3:$B$3390,"&lt;&gt;Off-street")&gt;0,1,0)</f>
        <v>0</v>
      </c>
      <c r="P455">
        <f>IF(COUNTIFS('United Data'!$A$3:$A$3390,P$1,'United Data'!$C$3:$C$3390,$A455,'United Data'!$B$3:$B$3390,"&lt;&gt;Off-street")&gt;0,1,0)</f>
        <v>1</v>
      </c>
      <c r="Q455">
        <f>IF(COUNTIFS('United Data'!$A$3:$A$3390,Q$1,'United Data'!$C$3:$C$3390,$A455,'United Data'!$B$3:$B$3390,"&lt;&gt;Off-street")&gt;0,1,0)</f>
        <v>0</v>
      </c>
      <c r="R455">
        <f>IF(COUNTIFS('United Data'!$A$3:$A$3390,R$1,'United Data'!$C$3:$C$3390,$A455,'United Data'!$B$3:$B$3390,"&lt;&gt;Off-street")&gt;0,1,0)</f>
        <v>0</v>
      </c>
      <c r="S455">
        <f t="shared" si="14"/>
        <v>2</v>
      </c>
      <c r="T455">
        <f t="shared" si="15"/>
        <v>2</v>
      </c>
    </row>
    <row r="456" spans="1:20" x14ac:dyDescent="0.2">
      <c r="A456" t="s">
        <v>564</v>
      </c>
      <c r="B456">
        <f>IF(COUNTIFS('United Data'!$A$3:$A$3390,B$1,'United Data'!$C$3:$C$3390,$A456,'United Data'!$B$3:$B$3390,"&lt;&gt;Off-street")&gt;0,1,0)</f>
        <v>0</v>
      </c>
      <c r="C456">
        <f>IF(COUNTIFS('United Data'!$A$3:$A$3390,C$1,'United Data'!$C$3:$C$3390,$A456,'United Data'!$B$3:$B$3390,"&lt;&gt;Off-street")&gt;0,1,0)</f>
        <v>0</v>
      </c>
      <c r="D456">
        <f>IF(COUNTIFS('United Data'!$A$3:$A$3390,D$1,'United Data'!$C$3:$C$3390,$A456,'United Data'!$B$3:$B$3390,"&lt;&gt;Off-street")&gt;0,1,0)</f>
        <v>0</v>
      </c>
      <c r="E456">
        <f>IF(COUNTIFS('United Data'!$A$3:$A$3390,E$1,'United Data'!$C$3:$C$3390,$A456,'United Data'!$B$3:$B$3390,"&lt;&gt;Off-street")&gt;0,1,0)</f>
        <v>0</v>
      </c>
      <c r="F456">
        <f>IF(COUNTIFS('United Data'!$A$3:$A$3390,F$1,'United Data'!$C$3:$C$3390,$A456,'United Data'!$B$3:$B$3390,"&lt;&gt;Off-street")&gt;0,1,0)</f>
        <v>0</v>
      </c>
      <c r="G456">
        <f>IF(COUNTIFS('United Data'!$A$3:$A$3390,G$1,'United Data'!$C$3:$C$3390,$A456,'United Data'!$B$3:$B$3390,"&lt;&gt;Off-street")&gt;0,1,0)</f>
        <v>0</v>
      </c>
      <c r="H456">
        <f>IF(COUNTIFS('United Data'!$A$3:$A$3390,H$1,'United Data'!$C$3:$C$3390,$A456,'United Data'!$B$3:$B$3390,"&lt;&gt;Off-street")&gt;0,1,0)</f>
        <v>0</v>
      </c>
      <c r="I456">
        <f>IF(COUNTIFS('United Data'!$A$3:$A$3390,I$1,'United Data'!$C$3:$C$3390,$A456,'United Data'!$B$3:$B$3390,"&lt;&gt;Off-street")&gt;0,1,0)</f>
        <v>0</v>
      </c>
      <c r="J456">
        <f>IF(COUNTIFS('United Data'!$A$3:$A$3390,J$1,'United Data'!$C$3:$C$3390,$A456,'United Data'!$B$3:$B$3390,"&lt;&gt;Off-street")&gt;0,1,0)</f>
        <v>0</v>
      </c>
      <c r="K456">
        <f>IF(COUNTIFS('United Data'!$A$3:$A$3390,K$1,'United Data'!$C$3:$C$3390,$A456,'United Data'!$B$3:$B$3390,"&lt;&gt;Off-street")&gt;0,1,0)</f>
        <v>0</v>
      </c>
      <c r="L456">
        <f>IF(COUNTIFS('United Data'!$A$3:$A$3390,L$1,'United Data'!$C$3:$C$3390,$A456,'United Data'!$B$3:$B$3390,"&lt;&gt;Off-street")&gt;0,1,0)</f>
        <v>0</v>
      </c>
      <c r="M456">
        <f>IF(COUNTIFS('United Data'!$A$3:$A$3390,M$1,'United Data'!$C$3:$C$3390,$A456,'United Data'!$B$3:$B$3390,"&lt;&gt;Off-street")&gt;0,1,0)</f>
        <v>1</v>
      </c>
      <c r="N456">
        <f>IF(COUNTIFS('United Data'!$A$3:$A$3390,N$1,'United Data'!$C$3:$C$3390,$A456,'United Data'!$B$3:$B$3390,"&lt;&gt;Off-street")&gt;0,1,0)</f>
        <v>0</v>
      </c>
      <c r="O456">
        <f>IF(COUNTIFS('United Data'!$A$3:$A$3390,O$1,'United Data'!$C$3:$C$3390,$A456,'United Data'!$B$3:$B$3390,"&lt;&gt;Off-street")&gt;0,1,0)</f>
        <v>0</v>
      </c>
      <c r="P456">
        <f>IF(COUNTIFS('United Data'!$A$3:$A$3390,P$1,'United Data'!$C$3:$C$3390,$A456,'United Data'!$B$3:$B$3390,"&lt;&gt;Off-street")&gt;0,1,0)</f>
        <v>0</v>
      </c>
      <c r="Q456">
        <f>IF(COUNTIFS('United Data'!$A$3:$A$3390,Q$1,'United Data'!$C$3:$C$3390,$A456,'United Data'!$B$3:$B$3390,"&lt;&gt;Off-street")&gt;0,1,0)</f>
        <v>0</v>
      </c>
      <c r="R456">
        <f>IF(COUNTIFS('United Data'!$A$3:$A$3390,R$1,'United Data'!$C$3:$C$3390,$A456,'United Data'!$B$3:$B$3390,"&lt;&gt;Off-street")&gt;0,1,0)</f>
        <v>0</v>
      </c>
      <c r="S456">
        <f t="shared" si="14"/>
        <v>1</v>
      </c>
      <c r="T456">
        <f t="shared" si="15"/>
        <v>1</v>
      </c>
    </row>
    <row r="457" spans="1:20" x14ac:dyDescent="0.2">
      <c r="A457" t="s">
        <v>565</v>
      </c>
      <c r="B457">
        <f>IF(COUNTIFS('United Data'!$A$3:$A$3390,B$1,'United Data'!$C$3:$C$3390,$A457,'United Data'!$B$3:$B$3390,"&lt;&gt;Off-street")&gt;0,1,0)</f>
        <v>0</v>
      </c>
      <c r="C457">
        <f>IF(COUNTIFS('United Data'!$A$3:$A$3390,C$1,'United Data'!$C$3:$C$3390,$A457,'United Data'!$B$3:$B$3390,"&lt;&gt;Off-street")&gt;0,1,0)</f>
        <v>0</v>
      </c>
      <c r="D457">
        <f>IF(COUNTIFS('United Data'!$A$3:$A$3390,D$1,'United Data'!$C$3:$C$3390,$A457,'United Data'!$B$3:$B$3390,"&lt;&gt;Off-street")&gt;0,1,0)</f>
        <v>0</v>
      </c>
      <c r="E457">
        <f>IF(COUNTIFS('United Data'!$A$3:$A$3390,E$1,'United Data'!$C$3:$C$3390,$A457,'United Data'!$B$3:$B$3390,"&lt;&gt;Off-street")&gt;0,1,0)</f>
        <v>0</v>
      </c>
      <c r="F457">
        <f>IF(COUNTIFS('United Data'!$A$3:$A$3390,F$1,'United Data'!$C$3:$C$3390,$A457,'United Data'!$B$3:$B$3390,"&lt;&gt;Off-street")&gt;0,1,0)</f>
        <v>0</v>
      </c>
      <c r="G457">
        <f>IF(COUNTIFS('United Data'!$A$3:$A$3390,G$1,'United Data'!$C$3:$C$3390,$A457,'United Data'!$B$3:$B$3390,"&lt;&gt;Off-street")&gt;0,1,0)</f>
        <v>0</v>
      </c>
      <c r="H457">
        <f>IF(COUNTIFS('United Data'!$A$3:$A$3390,H$1,'United Data'!$C$3:$C$3390,$A457,'United Data'!$B$3:$B$3390,"&lt;&gt;Off-street")&gt;0,1,0)</f>
        <v>0</v>
      </c>
      <c r="I457">
        <f>IF(COUNTIFS('United Data'!$A$3:$A$3390,I$1,'United Data'!$C$3:$C$3390,$A457,'United Data'!$B$3:$B$3390,"&lt;&gt;Off-street")&gt;0,1,0)</f>
        <v>0</v>
      </c>
      <c r="J457">
        <f>IF(COUNTIFS('United Data'!$A$3:$A$3390,J$1,'United Data'!$C$3:$C$3390,$A457,'United Data'!$B$3:$B$3390,"&lt;&gt;Off-street")&gt;0,1,0)</f>
        <v>0</v>
      </c>
      <c r="K457">
        <f>IF(COUNTIFS('United Data'!$A$3:$A$3390,K$1,'United Data'!$C$3:$C$3390,$A457,'United Data'!$B$3:$B$3390,"&lt;&gt;Off-street")&gt;0,1,0)</f>
        <v>0</v>
      </c>
      <c r="L457">
        <f>IF(COUNTIFS('United Data'!$A$3:$A$3390,L$1,'United Data'!$C$3:$C$3390,$A457,'United Data'!$B$3:$B$3390,"&lt;&gt;Off-street")&gt;0,1,0)</f>
        <v>0</v>
      </c>
      <c r="M457">
        <f>IF(COUNTIFS('United Data'!$A$3:$A$3390,M$1,'United Data'!$C$3:$C$3390,$A457,'United Data'!$B$3:$B$3390,"&lt;&gt;Off-street")&gt;0,1,0)</f>
        <v>0</v>
      </c>
      <c r="N457">
        <f>IF(COUNTIFS('United Data'!$A$3:$A$3390,N$1,'United Data'!$C$3:$C$3390,$A457,'United Data'!$B$3:$B$3390,"&lt;&gt;Off-street")&gt;0,1,0)</f>
        <v>1</v>
      </c>
      <c r="O457">
        <f>IF(COUNTIFS('United Data'!$A$3:$A$3390,O$1,'United Data'!$C$3:$C$3390,$A457,'United Data'!$B$3:$B$3390,"&lt;&gt;Off-street")&gt;0,1,0)</f>
        <v>0</v>
      </c>
      <c r="P457">
        <f>IF(COUNTIFS('United Data'!$A$3:$A$3390,P$1,'United Data'!$C$3:$C$3390,$A457,'United Data'!$B$3:$B$3390,"&lt;&gt;Off-street")&gt;0,1,0)</f>
        <v>0</v>
      </c>
      <c r="Q457">
        <f>IF(COUNTIFS('United Data'!$A$3:$A$3390,Q$1,'United Data'!$C$3:$C$3390,$A457,'United Data'!$B$3:$B$3390,"&lt;&gt;Off-street")&gt;0,1,0)</f>
        <v>0</v>
      </c>
      <c r="R457">
        <f>IF(COUNTIFS('United Data'!$A$3:$A$3390,R$1,'United Data'!$C$3:$C$3390,$A457,'United Data'!$B$3:$B$3390,"&lt;&gt;Off-street")&gt;0,1,0)</f>
        <v>0</v>
      </c>
      <c r="S457">
        <f t="shared" si="14"/>
        <v>1</v>
      </c>
      <c r="T457">
        <f t="shared" si="15"/>
        <v>1</v>
      </c>
    </row>
    <row r="458" spans="1:20" x14ac:dyDescent="0.2">
      <c r="A458" t="s">
        <v>566</v>
      </c>
      <c r="B458">
        <f>IF(COUNTIFS('United Data'!$A$3:$A$3390,B$1,'United Data'!$C$3:$C$3390,$A458,'United Data'!$B$3:$B$3390,"&lt;&gt;Off-street")&gt;0,1,0)</f>
        <v>0</v>
      </c>
      <c r="C458">
        <f>IF(COUNTIFS('United Data'!$A$3:$A$3390,C$1,'United Data'!$C$3:$C$3390,$A458,'United Data'!$B$3:$B$3390,"&lt;&gt;Off-street")&gt;0,1,0)</f>
        <v>0</v>
      </c>
      <c r="D458">
        <f>IF(COUNTIFS('United Data'!$A$3:$A$3390,D$1,'United Data'!$C$3:$C$3390,$A458,'United Data'!$B$3:$B$3390,"&lt;&gt;Off-street")&gt;0,1,0)</f>
        <v>0</v>
      </c>
      <c r="E458">
        <f>IF(COUNTIFS('United Data'!$A$3:$A$3390,E$1,'United Data'!$C$3:$C$3390,$A458,'United Data'!$B$3:$B$3390,"&lt;&gt;Off-street")&gt;0,1,0)</f>
        <v>0</v>
      </c>
      <c r="F458">
        <f>IF(COUNTIFS('United Data'!$A$3:$A$3390,F$1,'United Data'!$C$3:$C$3390,$A458,'United Data'!$B$3:$B$3390,"&lt;&gt;Off-street")&gt;0,1,0)</f>
        <v>0</v>
      </c>
      <c r="G458">
        <f>IF(COUNTIFS('United Data'!$A$3:$A$3390,G$1,'United Data'!$C$3:$C$3390,$A458,'United Data'!$B$3:$B$3390,"&lt;&gt;Off-street")&gt;0,1,0)</f>
        <v>0</v>
      </c>
      <c r="H458">
        <f>IF(COUNTIFS('United Data'!$A$3:$A$3390,H$1,'United Data'!$C$3:$C$3390,$A458,'United Data'!$B$3:$B$3390,"&lt;&gt;Off-street")&gt;0,1,0)</f>
        <v>0</v>
      </c>
      <c r="I458">
        <f>IF(COUNTIFS('United Data'!$A$3:$A$3390,I$1,'United Data'!$C$3:$C$3390,$A458,'United Data'!$B$3:$B$3390,"&lt;&gt;Off-street")&gt;0,1,0)</f>
        <v>0</v>
      </c>
      <c r="J458">
        <f>IF(COUNTIFS('United Data'!$A$3:$A$3390,J$1,'United Data'!$C$3:$C$3390,$A458,'United Data'!$B$3:$B$3390,"&lt;&gt;Off-street")&gt;0,1,0)</f>
        <v>0</v>
      </c>
      <c r="K458">
        <f>IF(COUNTIFS('United Data'!$A$3:$A$3390,K$1,'United Data'!$C$3:$C$3390,$A458,'United Data'!$B$3:$B$3390,"&lt;&gt;Off-street")&gt;0,1,0)</f>
        <v>0</v>
      </c>
      <c r="L458">
        <f>IF(COUNTIFS('United Data'!$A$3:$A$3390,L$1,'United Data'!$C$3:$C$3390,$A458,'United Data'!$B$3:$B$3390,"&lt;&gt;Off-street")&gt;0,1,0)</f>
        <v>0</v>
      </c>
      <c r="M458">
        <f>IF(COUNTIFS('United Data'!$A$3:$A$3390,M$1,'United Data'!$C$3:$C$3390,$A458,'United Data'!$B$3:$B$3390,"&lt;&gt;Off-street")&gt;0,1,0)</f>
        <v>0</v>
      </c>
      <c r="N458">
        <f>IF(COUNTIFS('United Data'!$A$3:$A$3390,N$1,'United Data'!$C$3:$C$3390,$A458,'United Data'!$B$3:$B$3390,"&lt;&gt;Off-street")&gt;0,1,0)</f>
        <v>1</v>
      </c>
      <c r="O458">
        <f>IF(COUNTIFS('United Data'!$A$3:$A$3390,O$1,'United Data'!$C$3:$C$3390,$A458,'United Data'!$B$3:$B$3390,"&lt;&gt;Off-street")&gt;0,1,0)</f>
        <v>0</v>
      </c>
      <c r="P458">
        <f>IF(COUNTIFS('United Data'!$A$3:$A$3390,P$1,'United Data'!$C$3:$C$3390,$A458,'United Data'!$B$3:$B$3390,"&lt;&gt;Off-street")&gt;0,1,0)</f>
        <v>0</v>
      </c>
      <c r="Q458">
        <f>IF(COUNTIFS('United Data'!$A$3:$A$3390,Q$1,'United Data'!$C$3:$C$3390,$A458,'United Data'!$B$3:$B$3390,"&lt;&gt;Off-street")&gt;0,1,0)</f>
        <v>0</v>
      </c>
      <c r="R458">
        <f>IF(COUNTIFS('United Data'!$A$3:$A$3390,R$1,'United Data'!$C$3:$C$3390,$A458,'United Data'!$B$3:$B$3390,"&lt;&gt;Off-street")&gt;0,1,0)</f>
        <v>0</v>
      </c>
      <c r="S458">
        <f t="shared" si="14"/>
        <v>1</v>
      </c>
      <c r="T458">
        <f t="shared" si="15"/>
        <v>1</v>
      </c>
    </row>
    <row r="459" spans="1:20" x14ac:dyDescent="0.2">
      <c r="A459" t="s">
        <v>567</v>
      </c>
      <c r="B459">
        <f>IF(COUNTIFS('United Data'!$A$3:$A$3390,B$1,'United Data'!$C$3:$C$3390,$A459,'United Data'!$B$3:$B$3390,"&lt;&gt;Off-street")&gt;0,1,0)</f>
        <v>0</v>
      </c>
      <c r="C459">
        <f>IF(COUNTIFS('United Data'!$A$3:$A$3390,C$1,'United Data'!$C$3:$C$3390,$A459,'United Data'!$B$3:$B$3390,"&lt;&gt;Off-street")&gt;0,1,0)</f>
        <v>0</v>
      </c>
      <c r="D459">
        <f>IF(COUNTIFS('United Data'!$A$3:$A$3390,D$1,'United Data'!$C$3:$C$3390,$A459,'United Data'!$B$3:$B$3390,"&lt;&gt;Off-street")&gt;0,1,0)</f>
        <v>0</v>
      </c>
      <c r="E459">
        <f>IF(COUNTIFS('United Data'!$A$3:$A$3390,E$1,'United Data'!$C$3:$C$3390,$A459,'United Data'!$B$3:$B$3390,"&lt;&gt;Off-street")&gt;0,1,0)</f>
        <v>0</v>
      </c>
      <c r="F459">
        <f>IF(COUNTIFS('United Data'!$A$3:$A$3390,F$1,'United Data'!$C$3:$C$3390,$A459,'United Data'!$B$3:$B$3390,"&lt;&gt;Off-street")&gt;0,1,0)</f>
        <v>0</v>
      </c>
      <c r="G459">
        <f>IF(COUNTIFS('United Data'!$A$3:$A$3390,G$1,'United Data'!$C$3:$C$3390,$A459,'United Data'!$B$3:$B$3390,"&lt;&gt;Off-street")&gt;0,1,0)</f>
        <v>0</v>
      </c>
      <c r="H459">
        <f>IF(COUNTIFS('United Data'!$A$3:$A$3390,H$1,'United Data'!$C$3:$C$3390,$A459,'United Data'!$B$3:$B$3390,"&lt;&gt;Off-street")&gt;0,1,0)</f>
        <v>0</v>
      </c>
      <c r="I459">
        <f>IF(COUNTIFS('United Data'!$A$3:$A$3390,I$1,'United Data'!$C$3:$C$3390,$A459,'United Data'!$B$3:$B$3390,"&lt;&gt;Off-street")&gt;0,1,0)</f>
        <v>0</v>
      </c>
      <c r="J459">
        <f>IF(COUNTIFS('United Data'!$A$3:$A$3390,J$1,'United Data'!$C$3:$C$3390,$A459,'United Data'!$B$3:$B$3390,"&lt;&gt;Off-street")&gt;0,1,0)</f>
        <v>0</v>
      </c>
      <c r="K459">
        <f>IF(COUNTIFS('United Data'!$A$3:$A$3390,K$1,'United Data'!$C$3:$C$3390,$A459,'United Data'!$B$3:$B$3390,"&lt;&gt;Off-street")&gt;0,1,0)</f>
        <v>0</v>
      </c>
      <c r="L459">
        <f>IF(COUNTIFS('United Data'!$A$3:$A$3390,L$1,'United Data'!$C$3:$C$3390,$A459,'United Data'!$B$3:$B$3390,"&lt;&gt;Off-street")&gt;0,1,0)</f>
        <v>0</v>
      </c>
      <c r="M459">
        <f>IF(COUNTIFS('United Data'!$A$3:$A$3390,M$1,'United Data'!$C$3:$C$3390,$A459,'United Data'!$B$3:$B$3390,"&lt;&gt;Off-street")&gt;0,1,0)</f>
        <v>0</v>
      </c>
      <c r="N459">
        <f>IF(COUNTIFS('United Data'!$A$3:$A$3390,N$1,'United Data'!$C$3:$C$3390,$A459,'United Data'!$B$3:$B$3390,"&lt;&gt;Off-street")&gt;0,1,0)</f>
        <v>1</v>
      </c>
      <c r="O459">
        <f>IF(COUNTIFS('United Data'!$A$3:$A$3390,O$1,'United Data'!$C$3:$C$3390,$A459,'United Data'!$B$3:$B$3390,"&lt;&gt;Off-street")&gt;0,1,0)</f>
        <v>0</v>
      </c>
      <c r="P459">
        <f>IF(COUNTIFS('United Data'!$A$3:$A$3390,P$1,'United Data'!$C$3:$C$3390,$A459,'United Data'!$B$3:$B$3390,"&lt;&gt;Off-street")&gt;0,1,0)</f>
        <v>0</v>
      </c>
      <c r="Q459">
        <f>IF(COUNTIFS('United Data'!$A$3:$A$3390,Q$1,'United Data'!$C$3:$C$3390,$A459,'United Data'!$B$3:$B$3390,"&lt;&gt;Off-street")&gt;0,1,0)</f>
        <v>0</v>
      </c>
      <c r="R459">
        <f>IF(COUNTIFS('United Data'!$A$3:$A$3390,R$1,'United Data'!$C$3:$C$3390,$A459,'United Data'!$B$3:$B$3390,"&lt;&gt;Off-street")&gt;0,1,0)</f>
        <v>0</v>
      </c>
      <c r="S459">
        <f t="shared" si="14"/>
        <v>1</v>
      </c>
      <c r="T459">
        <f t="shared" si="15"/>
        <v>1</v>
      </c>
    </row>
    <row r="460" spans="1:20" x14ac:dyDescent="0.2">
      <c r="A460" t="s">
        <v>568</v>
      </c>
      <c r="B460">
        <f>IF(COUNTIFS('United Data'!$A$3:$A$3390,B$1,'United Data'!$C$3:$C$3390,$A460,'United Data'!$B$3:$B$3390,"&lt;&gt;Off-street")&gt;0,1,0)</f>
        <v>0</v>
      </c>
      <c r="C460">
        <f>IF(COUNTIFS('United Data'!$A$3:$A$3390,C$1,'United Data'!$C$3:$C$3390,$A460,'United Data'!$B$3:$B$3390,"&lt;&gt;Off-street")&gt;0,1,0)</f>
        <v>0</v>
      </c>
      <c r="D460">
        <f>IF(COUNTIFS('United Data'!$A$3:$A$3390,D$1,'United Data'!$C$3:$C$3390,$A460,'United Data'!$B$3:$B$3390,"&lt;&gt;Off-street")&gt;0,1,0)</f>
        <v>0</v>
      </c>
      <c r="E460">
        <f>IF(COUNTIFS('United Data'!$A$3:$A$3390,E$1,'United Data'!$C$3:$C$3390,$A460,'United Data'!$B$3:$B$3390,"&lt;&gt;Off-street")&gt;0,1,0)</f>
        <v>0</v>
      </c>
      <c r="F460">
        <f>IF(COUNTIFS('United Data'!$A$3:$A$3390,F$1,'United Data'!$C$3:$C$3390,$A460,'United Data'!$B$3:$B$3390,"&lt;&gt;Off-street")&gt;0,1,0)</f>
        <v>0</v>
      </c>
      <c r="G460">
        <f>IF(COUNTIFS('United Data'!$A$3:$A$3390,G$1,'United Data'!$C$3:$C$3390,$A460,'United Data'!$B$3:$B$3390,"&lt;&gt;Off-street")&gt;0,1,0)</f>
        <v>0</v>
      </c>
      <c r="H460">
        <f>IF(COUNTIFS('United Data'!$A$3:$A$3390,H$1,'United Data'!$C$3:$C$3390,$A460,'United Data'!$B$3:$B$3390,"&lt;&gt;Off-street")&gt;0,1,0)</f>
        <v>0</v>
      </c>
      <c r="I460">
        <f>IF(COUNTIFS('United Data'!$A$3:$A$3390,I$1,'United Data'!$C$3:$C$3390,$A460,'United Data'!$B$3:$B$3390,"&lt;&gt;Off-street")&gt;0,1,0)</f>
        <v>0</v>
      </c>
      <c r="J460">
        <f>IF(COUNTIFS('United Data'!$A$3:$A$3390,J$1,'United Data'!$C$3:$C$3390,$A460,'United Data'!$B$3:$B$3390,"&lt;&gt;Off-street")&gt;0,1,0)</f>
        <v>0</v>
      </c>
      <c r="K460">
        <f>IF(COUNTIFS('United Data'!$A$3:$A$3390,K$1,'United Data'!$C$3:$C$3390,$A460,'United Data'!$B$3:$B$3390,"&lt;&gt;Off-street")&gt;0,1,0)</f>
        <v>0</v>
      </c>
      <c r="L460">
        <f>IF(COUNTIFS('United Data'!$A$3:$A$3390,L$1,'United Data'!$C$3:$C$3390,$A460,'United Data'!$B$3:$B$3390,"&lt;&gt;Off-street")&gt;0,1,0)</f>
        <v>0</v>
      </c>
      <c r="M460">
        <f>IF(COUNTIFS('United Data'!$A$3:$A$3390,M$1,'United Data'!$C$3:$C$3390,$A460,'United Data'!$B$3:$B$3390,"&lt;&gt;Off-street")&gt;0,1,0)</f>
        <v>0</v>
      </c>
      <c r="N460">
        <f>IF(COUNTIFS('United Data'!$A$3:$A$3390,N$1,'United Data'!$C$3:$C$3390,$A460,'United Data'!$B$3:$B$3390,"&lt;&gt;Off-street")&gt;0,1,0)</f>
        <v>1</v>
      </c>
      <c r="O460">
        <f>IF(COUNTIFS('United Data'!$A$3:$A$3390,O$1,'United Data'!$C$3:$C$3390,$A460,'United Data'!$B$3:$B$3390,"&lt;&gt;Off-street")&gt;0,1,0)</f>
        <v>0</v>
      </c>
      <c r="P460">
        <f>IF(COUNTIFS('United Data'!$A$3:$A$3390,P$1,'United Data'!$C$3:$C$3390,$A460,'United Data'!$B$3:$B$3390,"&lt;&gt;Off-street")&gt;0,1,0)</f>
        <v>0</v>
      </c>
      <c r="Q460">
        <f>IF(COUNTIFS('United Data'!$A$3:$A$3390,Q$1,'United Data'!$C$3:$C$3390,$A460,'United Data'!$B$3:$B$3390,"&lt;&gt;Off-street")&gt;0,1,0)</f>
        <v>0</v>
      </c>
      <c r="R460">
        <f>IF(COUNTIFS('United Data'!$A$3:$A$3390,R$1,'United Data'!$C$3:$C$3390,$A460,'United Data'!$B$3:$B$3390,"&lt;&gt;Off-street")&gt;0,1,0)</f>
        <v>0</v>
      </c>
      <c r="S460">
        <f t="shared" si="14"/>
        <v>1</v>
      </c>
      <c r="T460">
        <f t="shared" si="15"/>
        <v>1</v>
      </c>
    </row>
    <row r="461" spans="1:20" x14ac:dyDescent="0.2">
      <c r="A461" t="s">
        <v>569</v>
      </c>
      <c r="B461">
        <f>IF(COUNTIFS('United Data'!$A$3:$A$3390,B$1,'United Data'!$C$3:$C$3390,$A461,'United Data'!$B$3:$B$3390,"&lt;&gt;Off-street")&gt;0,1,0)</f>
        <v>0</v>
      </c>
      <c r="C461">
        <f>IF(COUNTIFS('United Data'!$A$3:$A$3390,C$1,'United Data'!$C$3:$C$3390,$A461,'United Data'!$B$3:$B$3390,"&lt;&gt;Off-street")&gt;0,1,0)</f>
        <v>0</v>
      </c>
      <c r="D461">
        <f>IF(COUNTIFS('United Data'!$A$3:$A$3390,D$1,'United Data'!$C$3:$C$3390,$A461,'United Data'!$B$3:$B$3390,"&lt;&gt;Off-street")&gt;0,1,0)</f>
        <v>0</v>
      </c>
      <c r="E461">
        <f>IF(COUNTIFS('United Data'!$A$3:$A$3390,E$1,'United Data'!$C$3:$C$3390,$A461,'United Data'!$B$3:$B$3390,"&lt;&gt;Off-street")&gt;0,1,0)</f>
        <v>0</v>
      </c>
      <c r="F461">
        <f>IF(COUNTIFS('United Data'!$A$3:$A$3390,F$1,'United Data'!$C$3:$C$3390,$A461,'United Data'!$B$3:$B$3390,"&lt;&gt;Off-street")&gt;0,1,0)</f>
        <v>0</v>
      </c>
      <c r="G461">
        <f>IF(COUNTIFS('United Data'!$A$3:$A$3390,G$1,'United Data'!$C$3:$C$3390,$A461,'United Data'!$B$3:$B$3390,"&lt;&gt;Off-street")&gt;0,1,0)</f>
        <v>0</v>
      </c>
      <c r="H461">
        <f>IF(COUNTIFS('United Data'!$A$3:$A$3390,H$1,'United Data'!$C$3:$C$3390,$A461,'United Data'!$B$3:$B$3390,"&lt;&gt;Off-street")&gt;0,1,0)</f>
        <v>0</v>
      </c>
      <c r="I461">
        <f>IF(COUNTIFS('United Data'!$A$3:$A$3390,I$1,'United Data'!$C$3:$C$3390,$A461,'United Data'!$B$3:$B$3390,"&lt;&gt;Off-street")&gt;0,1,0)</f>
        <v>0</v>
      </c>
      <c r="J461">
        <f>IF(COUNTIFS('United Data'!$A$3:$A$3390,J$1,'United Data'!$C$3:$C$3390,$A461,'United Data'!$B$3:$B$3390,"&lt;&gt;Off-street")&gt;0,1,0)</f>
        <v>0</v>
      </c>
      <c r="K461">
        <f>IF(COUNTIFS('United Data'!$A$3:$A$3390,K$1,'United Data'!$C$3:$C$3390,$A461,'United Data'!$B$3:$B$3390,"&lt;&gt;Off-street")&gt;0,1,0)</f>
        <v>0</v>
      </c>
      <c r="L461">
        <f>IF(COUNTIFS('United Data'!$A$3:$A$3390,L$1,'United Data'!$C$3:$C$3390,$A461,'United Data'!$B$3:$B$3390,"&lt;&gt;Off-street")&gt;0,1,0)</f>
        <v>0</v>
      </c>
      <c r="M461">
        <f>IF(COUNTIFS('United Data'!$A$3:$A$3390,M$1,'United Data'!$C$3:$C$3390,$A461,'United Data'!$B$3:$B$3390,"&lt;&gt;Off-street")&gt;0,1,0)</f>
        <v>0</v>
      </c>
      <c r="N461">
        <f>IF(COUNTIFS('United Data'!$A$3:$A$3390,N$1,'United Data'!$C$3:$C$3390,$A461,'United Data'!$B$3:$B$3390,"&lt;&gt;Off-street")&gt;0,1,0)</f>
        <v>1</v>
      </c>
      <c r="O461">
        <f>IF(COUNTIFS('United Data'!$A$3:$A$3390,O$1,'United Data'!$C$3:$C$3390,$A461,'United Data'!$B$3:$B$3390,"&lt;&gt;Off-street")&gt;0,1,0)</f>
        <v>0</v>
      </c>
      <c r="P461">
        <f>IF(COUNTIFS('United Data'!$A$3:$A$3390,P$1,'United Data'!$C$3:$C$3390,$A461,'United Data'!$B$3:$B$3390,"&lt;&gt;Off-street")&gt;0,1,0)</f>
        <v>0</v>
      </c>
      <c r="Q461">
        <f>IF(COUNTIFS('United Data'!$A$3:$A$3390,Q$1,'United Data'!$C$3:$C$3390,$A461,'United Data'!$B$3:$B$3390,"&lt;&gt;Off-street")&gt;0,1,0)</f>
        <v>0</v>
      </c>
      <c r="R461">
        <f>IF(COUNTIFS('United Data'!$A$3:$A$3390,R$1,'United Data'!$C$3:$C$3390,$A461,'United Data'!$B$3:$B$3390,"&lt;&gt;Off-street")&gt;0,1,0)</f>
        <v>0</v>
      </c>
      <c r="S461">
        <f t="shared" si="14"/>
        <v>1</v>
      </c>
      <c r="T461">
        <f t="shared" si="15"/>
        <v>1</v>
      </c>
    </row>
    <row r="462" spans="1:20" x14ac:dyDescent="0.2">
      <c r="A462" t="s">
        <v>570</v>
      </c>
      <c r="B462">
        <f>IF(COUNTIFS('United Data'!$A$3:$A$3390,B$1,'United Data'!$C$3:$C$3390,$A462,'United Data'!$B$3:$B$3390,"&lt;&gt;Off-street")&gt;0,1,0)</f>
        <v>0</v>
      </c>
      <c r="C462">
        <f>IF(COUNTIFS('United Data'!$A$3:$A$3390,C$1,'United Data'!$C$3:$C$3390,$A462,'United Data'!$B$3:$B$3390,"&lt;&gt;Off-street")&gt;0,1,0)</f>
        <v>0</v>
      </c>
      <c r="D462">
        <f>IF(COUNTIFS('United Data'!$A$3:$A$3390,D$1,'United Data'!$C$3:$C$3390,$A462,'United Data'!$B$3:$B$3390,"&lt;&gt;Off-street")&gt;0,1,0)</f>
        <v>0</v>
      </c>
      <c r="E462">
        <f>IF(COUNTIFS('United Data'!$A$3:$A$3390,E$1,'United Data'!$C$3:$C$3390,$A462,'United Data'!$B$3:$B$3390,"&lt;&gt;Off-street")&gt;0,1,0)</f>
        <v>0</v>
      </c>
      <c r="F462">
        <f>IF(COUNTIFS('United Data'!$A$3:$A$3390,F$1,'United Data'!$C$3:$C$3390,$A462,'United Data'!$B$3:$B$3390,"&lt;&gt;Off-street")&gt;0,1,0)</f>
        <v>0</v>
      </c>
      <c r="G462">
        <f>IF(COUNTIFS('United Data'!$A$3:$A$3390,G$1,'United Data'!$C$3:$C$3390,$A462,'United Data'!$B$3:$B$3390,"&lt;&gt;Off-street")&gt;0,1,0)</f>
        <v>0</v>
      </c>
      <c r="H462">
        <f>IF(COUNTIFS('United Data'!$A$3:$A$3390,H$1,'United Data'!$C$3:$C$3390,$A462,'United Data'!$B$3:$B$3390,"&lt;&gt;Off-street")&gt;0,1,0)</f>
        <v>0</v>
      </c>
      <c r="I462">
        <f>IF(COUNTIFS('United Data'!$A$3:$A$3390,I$1,'United Data'!$C$3:$C$3390,$A462,'United Data'!$B$3:$B$3390,"&lt;&gt;Off-street")&gt;0,1,0)</f>
        <v>0</v>
      </c>
      <c r="J462">
        <f>IF(COUNTIFS('United Data'!$A$3:$A$3390,J$1,'United Data'!$C$3:$C$3390,$A462,'United Data'!$B$3:$B$3390,"&lt;&gt;Off-street")&gt;0,1,0)</f>
        <v>0</v>
      </c>
      <c r="K462">
        <f>IF(COUNTIFS('United Data'!$A$3:$A$3390,K$1,'United Data'!$C$3:$C$3390,$A462,'United Data'!$B$3:$B$3390,"&lt;&gt;Off-street")&gt;0,1,0)</f>
        <v>0</v>
      </c>
      <c r="L462">
        <f>IF(COUNTIFS('United Data'!$A$3:$A$3390,L$1,'United Data'!$C$3:$C$3390,$A462,'United Data'!$B$3:$B$3390,"&lt;&gt;Off-street")&gt;0,1,0)</f>
        <v>0</v>
      </c>
      <c r="M462">
        <f>IF(COUNTIFS('United Data'!$A$3:$A$3390,M$1,'United Data'!$C$3:$C$3390,$A462,'United Data'!$B$3:$B$3390,"&lt;&gt;Off-street")&gt;0,1,0)</f>
        <v>0</v>
      </c>
      <c r="N462">
        <f>IF(COUNTIFS('United Data'!$A$3:$A$3390,N$1,'United Data'!$C$3:$C$3390,$A462,'United Data'!$B$3:$B$3390,"&lt;&gt;Off-street")&gt;0,1,0)</f>
        <v>1</v>
      </c>
      <c r="O462">
        <f>IF(COUNTIFS('United Data'!$A$3:$A$3390,O$1,'United Data'!$C$3:$C$3390,$A462,'United Data'!$B$3:$B$3390,"&lt;&gt;Off-street")&gt;0,1,0)</f>
        <v>1</v>
      </c>
      <c r="P462">
        <f>IF(COUNTIFS('United Data'!$A$3:$A$3390,P$1,'United Data'!$C$3:$C$3390,$A462,'United Data'!$B$3:$B$3390,"&lt;&gt;Off-street")&gt;0,1,0)</f>
        <v>0</v>
      </c>
      <c r="Q462">
        <f>IF(COUNTIFS('United Data'!$A$3:$A$3390,Q$1,'United Data'!$C$3:$C$3390,$A462,'United Data'!$B$3:$B$3390,"&lt;&gt;Off-street")&gt;0,1,0)</f>
        <v>1</v>
      </c>
      <c r="R462">
        <f>IF(COUNTIFS('United Data'!$A$3:$A$3390,R$1,'United Data'!$C$3:$C$3390,$A462,'United Data'!$B$3:$B$3390,"&lt;&gt;Off-street")&gt;0,1,0)</f>
        <v>0</v>
      </c>
      <c r="S462">
        <f t="shared" si="14"/>
        <v>3</v>
      </c>
      <c r="T462">
        <f t="shared" si="15"/>
        <v>2</v>
      </c>
    </row>
    <row r="463" spans="1:20" x14ac:dyDescent="0.2">
      <c r="A463" t="s">
        <v>571</v>
      </c>
      <c r="B463">
        <f>IF(COUNTIFS('United Data'!$A$3:$A$3390,B$1,'United Data'!$C$3:$C$3390,$A463,'United Data'!$B$3:$B$3390,"&lt;&gt;Off-street")&gt;0,1,0)</f>
        <v>0</v>
      </c>
      <c r="C463">
        <f>IF(COUNTIFS('United Data'!$A$3:$A$3390,C$1,'United Data'!$C$3:$C$3390,$A463,'United Data'!$B$3:$B$3390,"&lt;&gt;Off-street")&gt;0,1,0)</f>
        <v>0</v>
      </c>
      <c r="D463">
        <f>IF(COUNTIFS('United Data'!$A$3:$A$3390,D$1,'United Data'!$C$3:$C$3390,$A463,'United Data'!$B$3:$B$3390,"&lt;&gt;Off-street")&gt;0,1,0)</f>
        <v>0</v>
      </c>
      <c r="E463">
        <f>IF(COUNTIFS('United Data'!$A$3:$A$3390,E$1,'United Data'!$C$3:$C$3390,$A463,'United Data'!$B$3:$B$3390,"&lt;&gt;Off-street")&gt;0,1,0)</f>
        <v>0</v>
      </c>
      <c r="F463">
        <f>IF(COUNTIFS('United Data'!$A$3:$A$3390,F$1,'United Data'!$C$3:$C$3390,$A463,'United Data'!$B$3:$B$3390,"&lt;&gt;Off-street")&gt;0,1,0)</f>
        <v>0</v>
      </c>
      <c r="G463">
        <f>IF(COUNTIFS('United Data'!$A$3:$A$3390,G$1,'United Data'!$C$3:$C$3390,$A463,'United Data'!$B$3:$B$3390,"&lt;&gt;Off-street")&gt;0,1,0)</f>
        <v>0</v>
      </c>
      <c r="H463">
        <f>IF(COUNTIFS('United Data'!$A$3:$A$3390,H$1,'United Data'!$C$3:$C$3390,$A463,'United Data'!$B$3:$B$3390,"&lt;&gt;Off-street")&gt;0,1,0)</f>
        <v>0</v>
      </c>
      <c r="I463">
        <f>IF(COUNTIFS('United Data'!$A$3:$A$3390,I$1,'United Data'!$C$3:$C$3390,$A463,'United Data'!$B$3:$B$3390,"&lt;&gt;Off-street")&gt;0,1,0)</f>
        <v>0</v>
      </c>
      <c r="J463">
        <f>IF(COUNTIFS('United Data'!$A$3:$A$3390,J$1,'United Data'!$C$3:$C$3390,$A463,'United Data'!$B$3:$B$3390,"&lt;&gt;Off-street")&gt;0,1,0)</f>
        <v>0</v>
      </c>
      <c r="K463">
        <f>IF(COUNTIFS('United Data'!$A$3:$A$3390,K$1,'United Data'!$C$3:$C$3390,$A463,'United Data'!$B$3:$B$3390,"&lt;&gt;Off-street")&gt;0,1,0)</f>
        <v>0</v>
      </c>
      <c r="L463">
        <f>IF(COUNTIFS('United Data'!$A$3:$A$3390,L$1,'United Data'!$C$3:$C$3390,$A463,'United Data'!$B$3:$B$3390,"&lt;&gt;Off-street")&gt;0,1,0)</f>
        <v>0</v>
      </c>
      <c r="M463">
        <f>IF(COUNTIFS('United Data'!$A$3:$A$3390,M$1,'United Data'!$C$3:$C$3390,$A463,'United Data'!$B$3:$B$3390,"&lt;&gt;Off-street")&gt;0,1,0)</f>
        <v>0</v>
      </c>
      <c r="N463">
        <f>IF(COUNTIFS('United Data'!$A$3:$A$3390,N$1,'United Data'!$C$3:$C$3390,$A463,'United Data'!$B$3:$B$3390,"&lt;&gt;Off-street")&gt;0,1,0)</f>
        <v>1</v>
      </c>
      <c r="O463">
        <f>IF(COUNTIFS('United Data'!$A$3:$A$3390,O$1,'United Data'!$C$3:$C$3390,$A463,'United Data'!$B$3:$B$3390,"&lt;&gt;Off-street")&gt;0,1,0)</f>
        <v>0</v>
      </c>
      <c r="P463">
        <f>IF(COUNTIFS('United Data'!$A$3:$A$3390,P$1,'United Data'!$C$3:$C$3390,$A463,'United Data'!$B$3:$B$3390,"&lt;&gt;Off-street")&gt;0,1,0)</f>
        <v>0</v>
      </c>
      <c r="Q463">
        <f>IF(COUNTIFS('United Data'!$A$3:$A$3390,Q$1,'United Data'!$C$3:$C$3390,$A463,'United Data'!$B$3:$B$3390,"&lt;&gt;Off-street")&gt;0,1,0)</f>
        <v>0</v>
      </c>
      <c r="R463">
        <f>IF(COUNTIFS('United Data'!$A$3:$A$3390,R$1,'United Data'!$C$3:$C$3390,$A463,'United Data'!$B$3:$B$3390,"&lt;&gt;Off-street")&gt;0,1,0)</f>
        <v>0</v>
      </c>
      <c r="S463">
        <f t="shared" si="14"/>
        <v>1</v>
      </c>
      <c r="T463">
        <f t="shared" si="15"/>
        <v>1</v>
      </c>
    </row>
    <row r="464" spans="1:20" x14ac:dyDescent="0.2">
      <c r="A464" t="s">
        <v>572</v>
      </c>
      <c r="B464">
        <f>IF(COUNTIFS('United Data'!$A$3:$A$3390,B$1,'United Data'!$C$3:$C$3390,$A464,'United Data'!$B$3:$B$3390,"&lt;&gt;Off-street")&gt;0,1,0)</f>
        <v>0</v>
      </c>
      <c r="C464">
        <f>IF(COUNTIFS('United Data'!$A$3:$A$3390,C$1,'United Data'!$C$3:$C$3390,$A464,'United Data'!$B$3:$B$3390,"&lt;&gt;Off-street")&gt;0,1,0)</f>
        <v>0</v>
      </c>
      <c r="D464">
        <f>IF(COUNTIFS('United Data'!$A$3:$A$3390,D$1,'United Data'!$C$3:$C$3390,$A464,'United Data'!$B$3:$B$3390,"&lt;&gt;Off-street")&gt;0,1,0)</f>
        <v>0</v>
      </c>
      <c r="E464">
        <f>IF(COUNTIFS('United Data'!$A$3:$A$3390,E$1,'United Data'!$C$3:$C$3390,$A464,'United Data'!$B$3:$B$3390,"&lt;&gt;Off-street")&gt;0,1,0)</f>
        <v>0</v>
      </c>
      <c r="F464">
        <f>IF(COUNTIFS('United Data'!$A$3:$A$3390,F$1,'United Data'!$C$3:$C$3390,$A464,'United Data'!$B$3:$B$3390,"&lt;&gt;Off-street")&gt;0,1,0)</f>
        <v>0</v>
      </c>
      <c r="G464">
        <f>IF(COUNTIFS('United Data'!$A$3:$A$3390,G$1,'United Data'!$C$3:$C$3390,$A464,'United Data'!$B$3:$B$3390,"&lt;&gt;Off-street")&gt;0,1,0)</f>
        <v>0</v>
      </c>
      <c r="H464">
        <f>IF(COUNTIFS('United Data'!$A$3:$A$3390,H$1,'United Data'!$C$3:$C$3390,$A464,'United Data'!$B$3:$B$3390,"&lt;&gt;Off-street")&gt;0,1,0)</f>
        <v>0</v>
      </c>
      <c r="I464">
        <f>IF(COUNTIFS('United Data'!$A$3:$A$3390,I$1,'United Data'!$C$3:$C$3390,$A464,'United Data'!$B$3:$B$3390,"&lt;&gt;Off-street")&gt;0,1,0)</f>
        <v>0</v>
      </c>
      <c r="J464">
        <f>IF(COUNTIFS('United Data'!$A$3:$A$3390,J$1,'United Data'!$C$3:$C$3390,$A464,'United Data'!$B$3:$B$3390,"&lt;&gt;Off-street")&gt;0,1,0)</f>
        <v>0</v>
      </c>
      <c r="K464">
        <f>IF(COUNTIFS('United Data'!$A$3:$A$3390,K$1,'United Data'!$C$3:$C$3390,$A464,'United Data'!$B$3:$B$3390,"&lt;&gt;Off-street")&gt;0,1,0)</f>
        <v>0</v>
      </c>
      <c r="L464">
        <f>IF(COUNTIFS('United Data'!$A$3:$A$3390,L$1,'United Data'!$C$3:$C$3390,$A464,'United Data'!$B$3:$B$3390,"&lt;&gt;Off-street")&gt;0,1,0)</f>
        <v>0</v>
      </c>
      <c r="M464">
        <f>IF(COUNTIFS('United Data'!$A$3:$A$3390,M$1,'United Data'!$C$3:$C$3390,$A464,'United Data'!$B$3:$B$3390,"&lt;&gt;Off-street")&gt;0,1,0)</f>
        <v>0</v>
      </c>
      <c r="N464">
        <f>IF(COUNTIFS('United Data'!$A$3:$A$3390,N$1,'United Data'!$C$3:$C$3390,$A464,'United Data'!$B$3:$B$3390,"&lt;&gt;Off-street")&gt;0,1,0)</f>
        <v>1</v>
      </c>
      <c r="O464">
        <f>IF(COUNTIFS('United Data'!$A$3:$A$3390,O$1,'United Data'!$C$3:$C$3390,$A464,'United Data'!$B$3:$B$3390,"&lt;&gt;Off-street")&gt;0,1,0)</f>
        <v>0</v>
      </c>
      <c r="P464">
        <f>IF(COUNTIFS('United Data'!$A$3:$A$3390,P$1,'United Data'!$C$3:$C$3390,$A464,'United Data'!$B$3:$B$3390,"&lt;&gt;Off-street")&gt;0,1,0)</f>
        <v>0</v>
      </c>
      <c r="Q464">
        <f>IF(COUNTIFS('United Data'!$A$3:$A$3390,Q$1,'United Data'!$C$3:$C$3390,$A464,'United Data'!$B$3:$B$3390,"&lt;&gt;Off-street")&gt;0,1,0)</f>
        <v>0</v>
      </c>
      <c r="R464">
        <f>IF(COUNTIFS('United Data'!$A$3:$A$3390,R$1,'United Data'!$C$3:$C$3390,$A464,'United Data'!$B$3:$B$3390,"&lt;&gt;Off-street")&gt;0,1,0)</f>
        <v>0</v>
      </c>
      <c r="S464">
        <f t="shared" si="14"/>
        <v>1</v>
      </c>
      <c r="T464">
        <f t="shared" si="15"/>
        <v>1</v>
      </c>
    </row>
    <row r="465" spans="1:20" x14ac:dyDescent="0.2">
      <c r="A465" t="s">
        <v>573</v>
      </c>
      <c r="B465">
        <f>IF(COUNTIFS('United Data'!$A$3:$A$3390,B$1,'United Data'!$C$3:$C$3390,$A465,'United Data'!$B$3:$B$3390,"&lt;&gt;Off-street")&gt;0,1,0)</f>
        <v>0</v>
      </c>
      <c r="C465">
        <f>IF(COUNTIFS('United Data'!$A$3:$A$3390,C$1,'United Data'!$C$3:$C$3390,$A465,'United Data'!$B$3:$B$3390,"&lt;&gt;Off-street")&gt;0,1,0)</f>
        <v>0</v>
      </c>
      <c r="D465">
        <f>IF(COUNTIFS('United Data'!$A$3:$A$3390,D$1,'United Data'!$C$3:$C$3390,$A465,'United Data'!$B$3:$B$3390,"&lt;&gt;Off-street")&gt;0,1,0)</f>
        <v>0</v>
      </c>
      <c r="E465">
        <f>IF(COUNTIFS('United Data'!$A$3:$A$3390,E$1,'United Data'!$C$3:$C$3390,$A465,'United Data'!$B$3:$B$3390,"&lt;&gt;Off-street")&gt;0,1,0)</f>
        <v>0</v>
      </c>
      <c r="F465">
        <f>IF(COUNTIFS('United Data'!$A$3:$A$3390,F$1,'United Data'!$C$3:$C$3390,$A465,'United Data'!$B$3:$B$3390,"&lt;&gt;Off-street")&gt;0,1,0)</f>
        <v>0</v>
      </c>
      <c r="G465">
        <f>IF(COUNTIFS('United Data'!$A$3:$A$3390,G$1,'United Data'!$C$3:$C$3390,$A465,'United Data'!$B$3:$B$3390,"&lt;&gt;Off-street")&gt;0,1,0)</f>
        <v>0</v>
      </c>
      <c r="H465">
        <f>IF(COUNTIFS('United Data'!$A$3:$A$3390,H$1,'United Data'!$C$3:$C$3390,$A465,'United Data'!$B$3:$B$3390,"&lt;&gt;Off-street")&gt;0,1,0)</f>
        <v>0</v>
      </c>
      <c r="I465">
        <f>IF(COUNTIFS('United Data'!$A$3:$A$3390,I$1,'United Data'!$C$3:$C$3390,$A465,'United Data'!$B$3:$B$3390,"&lt;&gt;Off-street")&gt;0,1,0)</f>
        <v>0</v>
      </c>
      <c r="J465">
        <f>IF(COUNTIFS('United Data'!$A$3:$A$3390,J$1,'United Data'!$C$3:$C$3390,$A465,'United Data'!$B$3:$B$3390,"&lt;&gt;Off-street")&gt;0,1,0)</f>
        <v>0</v>
      </c>
      <c r="K465">
        <f>IF(COUNTIFS('United Data'!$A$3:$A$3390,K$1,'United Data'!$C$3:$C$3390,$A465,'United Data'!$B$3:$B$3390,"&lt;&gt;Off-street")&gt;0,1,0)</f>
        <v>0</v>
      </c>
      <c r="L465">
        <f>IF(COUNTIFS('United Data'!$A$3:$A$3390,L$1,'United Data'!$C$3:$C$3390,$A465,'United Data'!$B$3:$B$3390,"&lt;&gt;Off-street")&gt;0,1,0)</f>
        <v>0</v>
      </c>
      <c r="M465">
        <f>IF(COUNTIFS('United Data'!$A$3:$A$3390,M$1,'United Data'!$C$3:$C$3390,$A465,'United Data'!$B$3:$B$3390,"&lt;&gt;Off-street")&gt;0,1,0)</f>
        <v>0</v>
      </c>
      <c r="N465">
        <f>IF(COUNTIFS('United Data'!$A$3:$A$3390,N$1,'United Data'!$C$3:$C$3390,$A465,'United Data'!$B$3:$B$3390,"&lt;&gt;Off-street")&gt;0,1,0)</f>
        <v>1</v>
      </c>
      <c r="O465">
        <f>IF(COUNTIFS('United Data'!$A$3:$A$3390,O$1,'United Data'!$C$3:$C$3390,$A465,'United Data'!$B$3:$B$3390,"&lt;&gt;Off-street")&gt;0,1,0)</f>
        <v>0</v>
      </c>
      <c r="P465">
        <f>IF(COUNTIFS('United Data'!$A$3:$A$3390,P$1,'United Data'!$C$3:$C$3390,$A465,'United Data'!$B$3:$B$3390,"&lt;&gt;Off-street")&gt;0,1,0)</f>
        <v>0</v>
      </c>
      <c r="Q465">
        <f>IF(COUNTIFS('United Data'!$A$3:$A$3390,Q$1,'United Data'!$C$3:$C$3390,$A465,'United Data'!$B$3:$B$3390,"&lt;&gt;Off-street")&gt;0,1,0)</f>
        <v>0</v>
      </c>
      <c r="R465">
        <f>IF(COUNTIFS('United Data'!$A$3:$A$3390,R$1,'United Data'!$C$3:$C$3390,$A465,'United Data'!$B$3:$B$3390,"&lt;&gt;Off-street")&gt;0,1,0)</f>
        <v>0</v>
      </c>
      <c r="S465">
        <f t="shared" si="14"/>
        <v>1</v>
      </c>
      <c r="T465">
        <f t="shared" si="15"/>
        <v>1</v>
      </c>
    </row>
    <row r="466" spans="1:20" x14ac:dyDescent="0.2">
      <c r="A466" t="s">
        <v>574</v>
      </c>
      <c r="B466">
        <f>IF(COUNTIFS('United Data'!$A$3:$A$3390,B$1,'United Data'!$C$3:$C$3390,$A466,'United Data'!$B$3:$B$3390,"&lt;&gt;Off-street")&gt;0,1,0)</f>
        <v>0</v>
      </c>
      <c r="C466">
        <f>IF(COUNTIFS('United Data'!$A$3:$A$3390,C$1,'United Data'!$C$3:$C$3390,$A466,'United Data'!$B$3:$B$3390,"&lt;&gt;Off-street")&gt;0,1,0)</f>
        <v>0</v>
      </c>
      <c r="D466">
        <f>IF(COUNTIFS('United Data'!$A$3:$A$3390,D$1,'United Data'!$C$3:$C$3390,$A466,'United Data'!$B$3:$B$3390,"&lt;&gt;Off-street")&gt;0,1,0)</f>
        <v>0</v>
      </c>
      <c r="E466">
        <f>IF(COUNTIFS('United Data'!$A$3:$A$3390,E$1,'United Data'!$C$3:$C$3390,$A466,'United Data'!$B$3:$B$3390,"&lt;&gt;Off-street")&gt;0,1,0)</f>
        <v>0</v>
      </c>
      <c r="F466">
        <f>IF(COUNTIFS('United Data'!$A$3:$A$3390,F$1,'United Data'!$C$3:$C$3390,$A466,'United Data'!$B$3:$B$3390,"&lt;&gt;Off-street")&gt;0,1,0)</f>
        <v>0</v>
      </c>
      <c r="G466">
        <f>IF(COUNTIFS('United Data'!$A$3:$A$3390,G$1,'United Data'!$C$3:$C$3390,$A466,'United Data'!$B$3:$B$3390,"&lt;&gt;Off-street")&gt;0,1,0)</f>
        <v>0</v>
      </c>
      <c r="H466">
        <f>IF(COUNTIFS('United Data'!$A$3:$A$3390,H$1,'United Data'!$C$3:$C$3390,$A466,'United Data'!$B$3:$B$3390,"&lt;&gt;Off-street")&gt;0,1,0)</f>
        <v>0</v>
      </c>
      <c r="I466">
        <f>IF(COUNTIFS('United Data'!$A$3:$A$3390,I$1,'United Data'!$C$3:$C$3390,$A466,'United Data'!$B$3:$B$3390,"&lt;&gt;Off-street")&gt;0,1,0)</f>
        <v>0</v>
      </c>
      <c r="J466">
        <f>IF(COUNTIFS('United Data'!$A$3:$A$3390,J$1,'United Data'!$C$3:$C$3390,$A466,'United Data'!$B$3:$B$3390,"&lt;&gt;Off-street")&gt;0,1,0)</f>
        <v>0</v>
      </c>
      <c r="K466">
        <f>IF(COUNTIFS('United Data'!$A$3:$A$3390,K$1,'United Data'!$C$3:$C$3390,$A466,'United Data'!$B$3:$B$3390,"&lt;&gt;Off-street")&gt;0,1,0)</f>
        <v>0</v>
      </c>
      <c r="L466">
        <f>IF(COUNTIFS('United Data'!$A$3:$A$3390,L$1,'United Data'!$C$3:$C$3390,$A466,'United Data'!$B$3:$B$3390,"&lt;&gt;Off-street")&gt;0,1,0)</f>
        <v>0</v>
      </c>
      <c r="M466">
        <f>IF(COUNTIFS('United Data'!$A$3:$A$3390,M$1,'United Data'!$C$3:$C$3390,$A466,'United Data'!$B$3:$B$3390,"&lt;&gt;Off-street")&gt;0,1,0)</f>
        <v>0</v>
      </c>
      <c r="N466">
        <f>IF(COUNTIFS('United Data'!$A$3:$A$3390,N$1,'United Data'!$C$3:$C$3390,$A466,'United Data'!$B$3:$B$3390,"&lt;&gt;Off-street")&gt;0,1,0)</f>
        <v>0</v>
      </c>
      <c r="O466">
        <f>IF(COUNTIFS('United Data'!$A$3:$A$3390,O$1,'United Data'!$C$3:$C$3390,$A466,'United Data'!$B$3:$B$3390,"&lt;&gt;Off-street")&gt;0,1,0)</f>
        <v>1</v>
      </c>
      <c r="P466">
        <f>IF(COUNTIFS('United Data'!$A$3:$A$3390,P$1,'United Data'!$C$3:$C$3390,$A466,'United Data'!$B$3:$B$3390,"&lt;&gt;Off-street")&gt;0,1,0)</f>
        <v>0</v>
      </c>
      <c r="Q466">
        <f>IF(COUNTIFS('United Data'!$A$3:$A$3390,Q$1,'United Data'!$C$3:$C$3390,$A466,'United Data'!$B$3:$B$3390,"&lt;&gt;Off-street")&gt;0,1,0)</f>
        <v>1</v>
      </c>
      <c r="R466">
        <f>IF(COUNTIFS('United Data'!$A$3:$A$3390,R$1,'United Data'!$C$3:$C$3390,$A466,'United Data'!$B$3:$B$3390,"&lt;&gt;Off-street")&gt;0,1,0)</f>
        <v>0</v>
      </c>
      <c r="S466">
        <f t="shared" si="14"/>
        <v>2</v>
      </c>
      <c r="T466">
        <f t="shared" si="15"/>
        <v>2</v>
      </c>
    </row>
    <row r="467" spans="1:20" x14ac:dyDescent="0.2">
      <c r="A467" t="s">
        <v>575</v>
      </c>
      <c r="B467">
        <f>IF(COUNTIFS('United Data'!$A$3:$A$3390,B$1,'United Data'!$C$3:$C$3390,$A467,'United Data'!$B$3:$B$3390,"&lt;&gt;Off-street")&gt;0,1,0)</f>
        <v>0</v>
      </c>
      <c r="C467">
        <f>IF(COUNTIFS('United Data'!$A$3:$A$3390,C$1,'United Data'!$C$3:$C$3390,$A467,'United Data'!$B$3:$B$3390,"&lt;&gt;Off-street")&gt;0,1,0)</f>
        <v>1</v>
      </c>
      <c r="D467">
        <f>IF(COUNTIFS('United Data'!$A$3:$A$3390,D$1,'United Data'!$C$3:$C$3390,$A467,'United Data'!$B$3:$B$3390,"&lt;&gt;Off-street")&gt;0,1,0)</f>
        <v>0</v>
      </c>
      <c r="E467">
        <f>IF(COUNTIFS('United Data'!$A$3:$A$3390,E$1,'United Data'!$C$3:$C$3390,$A467,'United Data'!$B$3:$B$3390,"&lt;&gt;Off-street")&gt;0,1,0)</f>
        <v>0</v>
      </c>
      <c r="F467">
        <f>IF(COUNTIFS('United Data'!$A$3:$A$3390,F$1,'United Data'!$C$3:$C$3390,$A467,'United Data'!$B$3:$B$3390,"&lt;&gt;Off-street")&gt;0,1,0)</f>
        <v>0</v>
      </c>
      <c r="G467">
        <f>IF(COUNTIFS('United Data'!$A$3:$A$3390,G$1,'United Data'!$C$3:$C$3390,$A467,'United Data'!$B$3:$B$3390,"&lt;&gt;Off-street")&gt;0,1,0)</f>
        <v>0</v>
      </c>
      <c r="H467">
        <f>IF(COUNTIFS('United Data'!$A$3:$A$3390,H$1,'United Data'!$C$3:$C$3390,$A467,'United Data'!$B$3:$B$3390,"&lt;&gt;Off-street")&gt;0,1,0)</f>
        <v>0</v>
      </c>
      <c r="I467">
        <f>IF(COUNTIFS('United Data'!$A$3:$A$3390,I$1,'United Data'!$C$3:$C$3390,$A467,'United Data'!$B$3:$B$3390,"&lt;&gt;Off-street")&gt;0,1,0)</f>
        <v>0</v>
      </c>
      <c r="J467">
        <f>IF(COUNTIFS('United Data'!$A$3:$A$3390,J$1,'United Data'!$C$3:$C$3390,$A467,'United Data'!$B$3:$B$3390,"&lt;&gt;Off-street")&gt;0,1,0)</f>
        <v>0</v>
      </c>
      <c r="K467">
        <f>IF(COUNTIFS('United Data'!$A$3:$A$3390,K$1,'United Data'!$C$3:$C$3390,$A467,'United Data'!$B$3:$B$3390,"&lt;&gt;Off-street")&gt;0,1,0)</f>
        <v>0</v>
      </c>
      <c r="L467">
        <f>IF(COUNTIFS('United Data'!$A$3:$A$3390,L$1,'United Data'!$C$3:$C$3390,$A467,'United Data'!$B$3:$B$3390,"&lt;&gt;Off-street")&gt;0,1,0)</f>
        <v>0</v>
      </c>
      <c r="M467">
        <f>IF(COUNTIFS('United Data'!$A$3:$A$3390,M$1,'United Data'!$C$3:$C$3390,$A467,'United Data'!$B$3:$B$3390,"&lt;&gt;Off-street")&gt;0,1,0)</f>
        <v>0</v>
      </c>
      <c r="N467">
        <f>IF(COUNTIFS('United Data'!$A$3:$A$3390,N$1,'United Data'!$C$3:$C$3390,$A467,'United Data'!$B$3:$B$3390,"&lt;&gt;Off-street")&gt;0,1,0)</f>
        <v>0</v>
      </c>
      <c r="O467">
        <f>IF(COUNTIFS('United Data'!$A$3:$A$3390,O$1,'United Data'!$C$3:$C$3390,$A467,'United Data'!$B$3:$B$3390,"&lt;&gt;Off-street")&gt;0,1,0)</f>
        <v>1</v>
      </c>
      <c r="P467">
        <f>IF(COUNTIFS('United Data'!$A$3:$A$3390,P$1,'United Data'!$C$3:$C$3390,$A467,'United Data'!$B$3:$B$3390,"&lt;&gt;Off-street")&gt;0,1,0)</f>
        <v>1</v>
      </c>
      <c r="Q467">
        <f>IF(COUNTIFS('United Data'!$A$3:$A$3390,Q$1,'United Data'!$C$3:$C$3390,$A467,'United Data'!$B$3:$B$3390,"&lt;&gt;Off-street")&gt;0,1,0)</f>
        <v>1</v>
      </c>
      <c r="R467">
        <f>IF(COUNTIFS('United Data'!$A$3:$A$3390,R$1,'United Data'!$C$3:$C$3390,$A467,'United Data'!$B$3:$B$3390,"&lt;&gt;Off-street")&gt;0,1,0)</f>
        <v>0</v>
      </c>
      <c r="S467">
        <f t="shared" si="14"/>
        <v>4</v>
      </c>
      <c r="T467">
        <f t="shared" si="15"/>
        <v>2</v>
      </c>
    </row>
    <row r="468" spans="1:20" x14ac:dyDescent="0.2">
      <c r="A468" t="s">
        <v>576</v>
      </c>
      <c r="B468">
        <f>IF(COUNTIFS('United Data'!$A$3:$A$3390,B$1,'United Data'!$C$3:$C$3390,$A468,'United Data'!$B$3:$B$3390,"&lt;&gt;Off-street")&gt;0,1,0)</f>
        <v>0</v>
      </c>
      <c r="C468">
        <f>IF(COUNTIFS('United Data'!$A$3:$A$3390,C$1,'United Data'!$C$3:$C$3390,$A468,'United Data'!$B$3:$B$3390,"&lt;&gt;Off-street")&gt;0,1,0)</f>
        <v>0</v>
      </c>
      <c r="D468">
        <f>IF(COUNTIFS('United Data'!$A$3:$A$3390,D$1,'United Data'!$C$3:$C$3390,$A468,'United Data'!$B$3:$B$3390,"&lt;&gt;Off-street")&gt;0,1,0)</f>
        <v>0</v>
      </c>
      <c r="E468">
        <f>IF(COUNTIFS('United Data'!$A$3:$A$3390,E$1,'United Data'!$C$3:$C$3390,$A468,'United Data'!$B$3:$B$3390,"&lt;&gt;Off-street")&gt;0,1,0)</f>
        <v>0</v>
      </c>
      <c r="F468">
        <f>IF(COUNTIFS('United Data'!$A$3:$A$3390,F$1,'United Data'!$C$3:$C$3390,$A468,'United Data'!$B$3:$B$3390,"&lt;&gt;Off-street")&gt;0,1,0)</f>
        <v>0</v>
      </c>
      <c r="G468">
        <f>IF(COUNTIFS('United Data'!$A$3:$A$3390,G$1,'United Data'!$C$3:$C$3390,$A468,'United Data'!$B$3:$B$3390,"&lt;&gt;Off-street")&gt;0,1,0)</f>
        <v>0</v>
      </c>
      <c r="H468">
        <f>IF(COUNTIFS('United Data'!$A$3:$A$3390,H$1,'United Data'!$C$3:$C$3390,$A468,'United Data'!$B$3:$B$3390,"&lt;&gt;Off-street")&gt;0,1,0)</f>
        <v>0</v>
      </c>
      <c r="I468">
        <f>IF(COUNTIFS('United Data'!$A$3:$A$3390,I$1,'United Data'!$C$3:$C$3390,$A468,'United Data'!$B$3:$B$3390,"&lt;&gt;Off-street")&gt;0,1,0)</f>
        <v>0</v>
      </c>
      <c r="J468">
        <f>IF(COUNTIFS('United Data'!$A$3:$A$3390,J$1,'United Data'!$C$3:$C$3390,$A468,'United Data'!$B$3:$B$3390,"&lt;&gt;Off-street")&gt;0,1,0)</f>
        <v>0</v>
      </c>
      <c r="K468">
        <f>IF(COUNTIFS('United Data'!$A$3:$A$3390,K$1,'United Data'!$C$3:$C$3390,$A468,'United Data'!$B$3:$B$3390,"&lt;&gt;Off-street")&gt;0,1,0)</f>
        <v>0</v>
      </c>
      <c r="L468">
        <f>IF(COUNTIFS('United Data'!$A$3:$A$3390,L$1,'United Data'!$C$3:$C$3390,$A468,'United Data'!$B$3:$B$3390,"&lt;&gt;Off-street")&gt;0,1,0)</f>
        <v>0</v>
      </c>
      <c r="M468">
        <f>IF(COUNTIFS('United Data'!$A$3:$A$3390,M$1,'United Data'!$C$3:$C$3390,$A468,'United Data'!$B$3:$B$3390,"&lt;&gt;Off-street")&gt;0,1,0)</f>
        <v>0</v>
      </c>
      <c r="N468">
        <f>IF(COUNTIFS('United Data'!$A$3:$A$3390,N$1,'United Data'!$C$3:$C$3390,$A468,'United Data'!$B$3:$B$3390,"&lt;&gt;Off-street")&gt;0,1,0)</f>
        <v>0</v>
      </c>
      <c r="O468">
        <f>IF(COUNTIFS('United Data'!$A$3:$A$3390,O$1,'United Data'!$C$3:$C$3390,$A468,'United Data'!$B$3:$B$3390,"&lt;&gt;Off-street")&gt;0,1,0)</f>
        <v>1</v>
      </c>
      <c r="P468">
        <f>IF(COUNTIFS('United Data'!$A$3:$A$3390,P$1,'United Data'!$C$3:$C$3390,$A468,'United Data'!$B$3:$B$3390,"&lt;&gt;Off-street")&gt;0,1,0)</f>
        <v>1</v>
      </c>
      <c r="Q468">
        <f>IF(COUNTIFS('United Data'!$A$3:$A$3390,Q$1,'United Data'!$C$3:$C$3390,$A468,'United Data'!$B$3:$B$3390,"&lt;&gt;Off-street")&gt;0,1,0)</f>
        <v>1</v>
      </c>
      <c r="R468">
        <f>IF(COUNTIFS('United Data'!$A$3:$A$3390,R$1,'United Data'!$C$3:$C$3390,$A468,'United Data'!$B$3:$B$3390,"&lt;&gt;Off-street")&gt;0,1,0)</f>
        <v>0</v>
      </c>
      <c r="S468">
        <f t="shared" si="14"/>
        <v>3</v>
      </c>
      <c r="T468">
        <f t="shared" si="15"/>
        <v>1</v>
      </c>
    </row>
    <row r="469" spans="1:20" x14ac:dyDescent="0.2">
      <c r="A469" t="s">
        <v>577</v>
      </c>
      <c r="B469">
        <f>IF(COUNTIFS('United Data'!$A$3:$A$3390,B$1,'United Data'!$C$3:$C$3390,$A469,'United Data'!$B$3:$B$3390,"&lt;&gt;Off-street")&gt;0,1,0)</f>
        <v>0</v>
      </c>
      <c r="C469">
        <f>IF(COUNTIFS('United Data'!$A$3:$A$3390,C$1,'United Data'!$C$3:$C$3390,$A469,'United Data'!$B$3:$B$3390,"&lt;&gt;Off-street")&gt;0,1,0)</f>
        <v>0</v>
      </c>
      <c r="D469">
        <f>IF(COUNTIFS('United Data'!$A$3:$A$3390,D$1,'United Data'!$C$3:$C$3390,$A469,'United Data'!$B$3:$B$3390,"&lt;&gt;Off-street")&gt;0,1,0)</f>
        <v>0</v>
      </c>
      <c r="E469">
        <f>IF(COUNTIFS('United Data'!$A$3:$A$3390,E$1,'United Data'!$C$3:$C$3390,$A469,'United Data'!$B$3:$B$3390,"&lt;&gt;Off-street")&gt;0,1,0)</f>
        <v>0</v>
      </c>
      <c r="F469">
        <f>IF(COUNTIFS('United Data'!$A$3:$A$3390,F$1,'United Data'!$C$3:$C$3390,$A469,'United Data'!$B$3:$B$3390,"&lt;&gt;Off-street")&gt;0,1,0)</f>
        <v>0</v>
      </c>
      <c r="G469">
        <f>IF(COUNTIFS('United Data'!$A$3:$A$3390,G$1,'United Data'!$C$3:$C$3390,$A469,'United Data'!$B$3:$B$3390,"&lt;&gt;Off-street")&gt;0,1,0)</f>
        <v>0</v>
      </c>
      <c r="H469">
        <f>IF(COUNTIFS('United Data'!$A$3:$A$3390,H$1,'United Data'!$C$3:$C$3390,$A469,'United Data'!$B$3:$B$3390,"&lt;&gt;Off-street")&gt;0,1,0)</f>
        <v>0</v>
      </c>
      <c r="I469">
        <f>IF(COUNTIFS('United Data'!$A$3:$A$3390,I$1,'United Data'!$C$3:$C$3390,$A469,'United Data'!$B$3:$B$3390,"&lt;&gt;Off-street")&gt;0,1,0)</f>
        <v>0</v>
      </c>
      <c r="J469">
        <f>IF(COUNTIFS('United Data'!$A$3:$A$3390,J$1,'United Data'!$C$3:$C$3390,$A469,'United Data'!$B$3:$B$3390,"&lt;&gt;Off-street")&gt;0,1,0)</f>
        <v>0</v>
      </c>
      <c r="K469">
        <f>IF(COUNTIFS('United Data'!$A$3:$A$3390,K$1,'United Data'!$C$3:$C$3390,$A469,'United Data'!$B$3:$B$3390,"&lt;&gt;Off-street")&gt;0,1,0)</f>
        <v>0</v>
      </c>
      <c r="L469">
        <f>IF(COUNTIFS('United Data'!$A$3:$A$3390,L$1,'United Data'!$C$3:$C$3390,$A469,'United Data'!$B$3:$B$3390,"&lt;&gt;Off-street")&gt;0,1,0)</f>
        <v>0</v>
      </c>
      <c r="M469">
        <f>IF(COUNTIFS('United Data'!$A$3:$A$3390,M$1,'United Data'!$C$3:$C$3390,$A469,'United Data'!$B$3:$B$3390,"&lt;&gt;Off-street")&gt;0,1,0)</f>
        <v>0</v>
      </c>
      <c r="N469">
        <f>IF(COUNTIFS('United Data'!$A$3:$A$3390,N$1,'United Data'!$C$3:$C$3390,$A469,'United Data'!$B$3:$B$3390,"&lt;&gt;Off-street")&gt;0,1,0)</f>
        <v>0</v>
      </c>
      <c r="O469">
        <f>IF(COUNTIFS('United Data'!$A$3:$A$3390,O$1,'United Data'!$C$3:$C$3390,$A469,'United Data'!$B$3:$B$3390,"&lt;&gt;Off-street")&gt;0,1,0)</f>
        <v>1</v>
      </c>
      <c r="P469">
        <f>IF(COUNTIFS('United Data'!$A$3:$A$3390,P$1,'United Data'!$C$3:$C$3390,$A469,'United Data'!$B$3:$B$3390,"&lt;&gt;Off-street")&gt;0,1,0)</f>
        <v>0</v>
      </c>
      <c r="Q469">
        <f>IF(COUNTIFS('United Data'!$A$3:$A$3390,Q$1,'United Data'!$C$3:$C$3390,$A469,'United Data'!$B$3:$B$3390,"&lt;&gt;Off-street")&gt;0,1,0)</f>
        <v>0</v>
      </c>
      <c r="R469">
        <f>IF(COUNTIFS('United Data'!$A$3:$A$3390,R$1,'United Data'!$C$3:$C$3390,$A469,'United Data'!$B$3:$B$3390,"&lt;&gt;Off-street")&gt;0,1,0)</f>
        <v>0</v>
      </c>
      <c r="S469">
        <f t="shared" si="14"/>
        <v>1</v>
      </c>
      <c r="T469">
        <f t="shared" si="15"/>
        <v>1</v>
      </c>
    </row>
    <row r="470" spans="1:20" x14ac:dyDescent="0.2">
      <c r="A470" t="s">
        <v>578</v>
      </c>
      <c r="B470">
        <f>IF(COUNTIFS('United Data'!$A$3:$A$3390,B$1,'United Data'!$C$3:$C$3390,$A470,'United Data'!$B$3:$B$3390,"&lt;&gt;Off-street")&gt;0,1,0)</f>
        <v>0</v>
      </c>
      <c r="C470">
        <f>IF(COUNTIFS('United Data'!$A$3:$A$3390,C$1,'United Data'!$C$3:$C$3390,$A470,'United Data'!$B$3:$B$3390,"&lt;&gt;Off-street")&gt;0,1,0)</f>
        <v>0</v>
      </c>
      <c r="D470">
        <f>IF(COUNTIFS('United Data'!$A$3:$A$3390,D$1,'United Data'!$C$3:$C$3390,$A470,'United Data'!$B$3:$B$3390,"&lt;&gt;Off-street")&gt;0,1,0)</f>
        <v>0</v>
      </c>
      <c r="E470">
        <f>IF(COUNTIFS('United Data'!$A$3:$A$3390,E$1,'United Data'!$C$3:$C$3390,$A470,'United Data'!$B$3:$B$3390,"&lt;&gt;Off-street")&gt;0,1,0)</f>
        <v>0</v>
      </c>
      <c r="F470">
        <f>IF(COUNTIFS('United Data'!$A$3:$A$3390,F$1,'United Data'!$C$3:$C$3390,$A470,'United Data'!$B$3:$B$3390,"&lt;&gt;Off-street")&gt;0,1,0)</f>
        <v>0</v>
      </c>
      <c r="G470">
        <f>IF(COUNTIFS('United Data'!$A$3:$A$3390,G$1,'United Data'!$C$3:$C$3390,$A470,'United Data'!$B$3:$B$3390,"&lt;&gt;Off-street")&gt;0,1,0)</f>
        <v>0</v>
      </c>
      <c r="H470">
        <f>IF(COUNTIFS('United Data'!$A$3:$A$3390,H$1,'United Data'!$C$3:$C$3390,$A470,'United Data'!$B$3:$B$3390,"&lt;&gt;Off-street")&gt;0,1,0)</f>
        <v>0</v>
      </c>
      <c r="I470">
        <f>IF(COUNTIFS('United Data'!$A$3:$A$3390,I$1,'United Data'!$C$3:$C$3390,$A470,'United Data'!$B$3:$B$3390,"&lt;&gt;Off-street")&gt;0,1,0)</f>
        <v>0</v>
      </c>
      <c r="J470">
        <f>IF(COUNTIFS('United Data'!$A$3:$A$3390,J$1,'United Data'!$C$3:$C$3390,$A470,'United Data'!$B$3:$B$3390,"&lt;&gt;Off-street")&gt;0,1,0)</f>
        <v>0</v>
      </c>
      <c r="K470">
        <f>IF(COUNTIFS('United Data'!$A$3:$A$3390,K$1,'United Data'!$C$3:$C$3390,$A470,'United Data'!$B$3:$B$3390,"&lt;&gt;Off-street")&gt;0,1,0)</f>
        <v>0</v>
      </c>
      <c r="L470">
        <f>IF(COUNTIFS('United Data'!$A$3:$A$3390,L$1,'United Data'!$C$3:$C$3390,$A470,'United Data'!$B$3:$B$3390,"&lt;&gt;Off-street")&gt;0,1,0)</f>
        <v>0</v>
      </c>
      <c r="M470">
        <f>IF(COUNTIFS('United Data'!$A$3:$A$3390,M$1,'United Data'!$C$3:$C$3390,$A470,'United Data'!$B$3:$B$3390,"&lt;&gt;Off-street")&gt;0,1,0)</f>
        <v>0</v>
      </c>
      <c r="N470">
        <f>IF(COUNTIFS('United Data'!$A$3:$A$3390,N$1,'United Data'!$C$3:$C$3390,$A470,'United Data'!$B$3:$B$3390,"&lt;&gt;Off-street")&gt;0,1,0)</f>
        <v>0</v>
      </c>
      <c r="O470">
        <f>IF(COUNTIFS('United Data'!$A$3:$A$3390,O$1,'United Data'!$C$3:$C$3390,$A470,'United Data'!$B$3:$B$3390,"&lt;&gt;Off-street")&gt;0,1,0)</f>
        <v>1</v>
      </c>
      <c r="P470">
        <f>IF(COUNTIFS('United Data'!$A$3:$A$3390,P$1,'United Data'!$C$3:$C$3390,$A470,'United Data'!$B$3:$B$3390,"&lt;&gt;Off-street")&gt;0,1,0)</f>
        <v>0</v>
      </c>
      <c r="Q470">
        <f>IF(COUNTIFS('United Data'!$A$3:$A$3390,Q$1,'United Data'!$C$3:$C$3390,$A470,'United Data'!$B$3:$B$3390,"&lt;&gt;Off-street")&gt;0,1,0)</f>
        <v>0</v>
      </c>
      <c r="R470">
        <f>IF(COUNTIFS('United Data'!$A$3:$A$3390,R$1,'United Data'!$C$3:$C$3390,$A470,'United Data'!$B$3:$B$3390,"&lt;&gt;Off-street")&gt;0,1,0)</f>
        <v>0</v>
      </c>
      <c r="S470">
        <f t="shared" si="14"/>
        <v>1</v>
      </c>
      <c r="T470">
        <f t="shared" si="15"/>
        <v>1</v>
      </c>
    </row>
    <row r="471" spans="1:20" x14ac:dyDescent="0.2">
      <c r="A471" t="s">
        <v>579</v>
      </c>
      <c r="B471">
        <f>IF(COUNTIFS('United Data'!$A$3:$A$3390,B$1,'United Data'!$C$3:$C$3390,$A471,'United Data'!$B$3:$B$3390,"&lt;&gt;Off-street")&gt;0,1,0)</f>
        <v>0</v>
      </c>
      <c r="C471">
        <f>IF(COUNTIFS('United Data'!$A$3:$A$3390,C$1,'United Data'!$C$3:$C$3390,$A471,'United Data'!$B$3:$B$3390,"&lt;&gt;Off-street")&gt;0,1,0)</f>
        <v>0</v>
      </c>
      <c r="D471">
        <f>IF(COUNTIFS('United Data'!$A$3:$A$3390,D$1,'United Data'!$C$3:$C$3390,$A471,'United Data'!$B$3:$B$3390,"&lt;&gt;Off-street")&gt;0,1,0)</f>
        <v>0</v>
      </c>
      <c r="E471">
        <f>IF(COUNTIFS('United Data'!$A$3:$A$3390,E$1,'United Data'!$C$3:$C$3390,$A471,'United Data'!$B$3:$B$3390,"&lt;&gt;Off-street")&gt;0,1,0)</f>
        <v>0</v>
      </c>
      <c r="F471">
        <f>IF(COUNTIFS('United Data'!$A$3:$A$3390,F$1,'United Data'!$C$3:$C$3390,$A471,'United Data'!$B$3:$B$3390,"&lt;&gt;Off-street")&gt;0,1,0)</f>
        <v>0</v>
      </c>
      <c r="G471">
        <f>IF(COUNTIFS('United Data'!$A$3:$A$3390,G$1,'United Data'!$C$3:$C$3390,$A471,'United Data'!$B$3:$B$3390,"&lt;&gt;Off-street")&gt;0,1,0)</f>
        <v>0</v>
      </c>
      <c r="H471">
        <f>IF(COUNTIFS('United Data'!$A$3:$A$3390,H$1,'United Data'!$C$3:$C$3390,$A471,'United Data'!$B$3:$B$3390,"&lt;&gt;Off-street")&gt;0,1,0)</f>
        <v>0</v>
      </c>
      <c r="I471">
        <f>IF(COUNTIFS('United Data'!$A$3:$A$3390,I$1,'United Data'!$C$3:$C$3390,$A471,'United Data'!$B$3:$B$3390,"&lt;&gt;Off-street")&gt;0,1,0)</f>
        <v>0</v>
      </c>
      <c r="J471">
        <f>IF(COUNTIFS('United Data'!$A$3:$A$3390,J$1,'United Data'!$C$3:$C$3390,$A471,'United Data'!$B$3:$B$3390,"&lt;&gt;Off-street")&gt;0,1,0)</f>
        <v>0</v>
      </c>
      <c r="K471">
        <f>IF(COUNTIFS('United Data'!$A$3:$A$3390,K$1,'United Data'!$C$3:$C$3390,$A471,'United Data'!$B$3:$B$3390,"&lt;&gt;Off-street")&gt;0,1,0)</f>
        <v>0</v>
      </c>
      <c r="L471">
        <f>IF(COUNTIFS('United Data'!$A$3:$A$3390,L$1,'United Data'!$C$3:$C$3390,$A471,'United Data'!$B$3:$B$3390,"&lt;&gt;Off-street")&gt;0,1,0)</f>
        <v>0</v>
      </c>
      <c r="M471">
        <f>IF(COUNTIFS('United Data'!$A$3:$A$3390,M$1,'United Data'!$C$3:$C$3390,$A471,'United Data'!$B$3:$B$3390,"&lt;&gt;Off-street")&gt;0,1,0)</f>
        <v>0</v>
      </c>
      <c r="N471">
        <f>IF(COUNTIFS('United Data'!$A$3:$A$3390,N$1,'United Data'!$C$3:$C$3390,$A471,'United Data'!$B$3:$B$3390,"&lt;&gt;Off-street")&gt;0,1,0)</f>
        <v>0</v>
      </c>
      <c r="O471">
        <f>IF(COUNTIFS('United Data'!$A$3:$A$3390,O$1,'United Data'!$C$3:$C$3390,$A471,'United Data'!$B$3:$B$3390,"&lt;&gt;Off-street")&gt;0,1,0)</f>
        <v>1</v>
      </c>
      <c r="P471">
        <f>IF(COUNTIFS('United Data'!$A$3:$A$3390,P$1,'United Data'!$C$3:$C$3390,$A471,'United Data'!$B$3:$B$3390,"&lt;&gt;Off-street")&gt;0,1,0)</f>
        <v>0</v>
      </c>
      <c r="Q471">
        <f>IF(COUNTIFS('United Data'!$A$3:$A$3390,Q$1,'United Data'!$C$3:$C$3390,$A471,'United Data'!$B$3:$B$3390,"&lt;&gt;Off-street")&gt;0,1,0)</f>
        <v>0</v>
      </c>
      <c r="R471">
        <f>IF(COUNTIFS('United Data'!$A$3:$A$3390,R$1,'United Data'!$C$3:$C$3390,$A471,'United Data'!$B$3:$B$3390,"&lt;&gt;Off-street")&gt;0,1,0)</f>
        <v>0</v>
      </c>
      <c r="S471">
        <f t="shared" si="14"/>
        <v>1</v>
      </c>
      <c r="T471">
        <f t="shared" si="15"/>
        <v>1</v>
      </c>
    </row>
    <row r="472" spans="1:20" x14ac:dyDescent="0.2">
      <c r="A472" t="s">
        <v>580</v>
      </c>
      <c r="B472">
        <f>IF(COUNTIFS('United Data'!$A$3:$A$3390,B$1,'United Data'!$C$3:$C$3390,$A472,'United Data'!$B$3:$B$3390,"&lt;&gt;Off-street")&gt;0,1,0)</f>
        <v>0</v>
      </c>
      <c r="C472">
        <f>IF(COUNTIFS('United Data'!$A$3:$A$3390,C$1,'United Data'!$C$3:$C$3390,$A472,'United Data'!$B$3:$B$3390,"&lt;&gt;Off-street")&gt;0,1,0)</f>
        <v>0</v>
      </c>
      <c r="D472">
        <f>IF(COUNTIFS('United Data'!$A$3:$A$3390,D$1,'United Data'!$C$3:$C$3390,$A472,'United Data'!$B$3:$B$3390,"&lt;&gt;Off-street")&gt;0,1,0)</f>
        <v>0</v>
      </c>
      <c r="E472">
        <f>IF(COUNTIFS('United Data'!$A$3:$A$3390,E$1,'United Data'!$C$3:$C$3390,$A472,'United Data'!$B$3:$B$3390,"&lt;&gt;Off-street")&gt;0,1,0)</f>
        <v>0</v>
      </c>
      <c r="F472">
        <f>IF(COUNTIFS('United Data'!$A$3:$A$3390,F$1,'United Data'!$C$3:$C$3390,$A472,'United Data'!$B$3:$B$3390,"&lt;&gt;Off-street")&gt;0,1,0)</f>
        <v>0</v>
      </c>
      <c r="G472">
        <f>IF(COUNTIFS('United Data'!$A$3:$A$3390,G$1,'United Data'!$C$3:$C$3390,$A472,'United Data'!$B$3:$B$3390,"&lt;&gt;Off-street")&gt;0,1,0)</f>
        <v>0</v>
      </c>
      <c r="H472">
        <f>IF(COUNTIFS('United Data'!$A$3:$A$3390,H$1,'United Data'!$C$3:$C$3390,$A472,'United Data'!$B$3:$B$3390,"&lt;&gt;Off-street")&gt;0,1,0)</f>
        <v>0</v>
      </c>
      <c r="I472">
        <f>IF(COUNTIFS('United Data'!$A$3:$A$3390,I$1,'United Data'!$C$3:$C$3390,$A472,'United Data'!$B$3:$B$3390,"&lt;&gt;Off-street")&gt;0,1,0)</f>
        <v>0</v>
      </c>
      <c r="J472">
        <f>IF(COUNTIFS('United Data'!$A$3:$A$3390,J$1,'United Data'!$C$3:$C$3390,$A472,'United Data'!$B$3:$B$3390,"&lt;&gt;Off-street")&gt;0,1,0)</f>
        <v>0</v>
      </c>
      <c r="K472">
        <f>IF(COUNTIFS('United Data'!$A$3:$A$3390,K$1,'United Data'!$C$3:$C$3390,$A472,'United Data'!$B$3:$B$3390,"&lt;&gt;Off-street")&gt;0,1,0)</f>
        <v>0</v>
      </c>
      <c r="L472">
        <f>IF(COUNTIFS('United Data'!$A$3:$A$3390,L$1,'United Data'!$C$3:$C$3390,$A472,'United Data'!$B$3:$B$3390,"&lt;&gt;Off-street")&gt;0,1,0)</f>
        <v>0</v>
      </c>
      <c r="M472">
        <f>IF(COUNTIFS('United Data'!$A$3:$A$3390,M$1,'United Data'!$C$3:$C$3390,$A472,'United Data'!$B$3:$B$3390,"&lt;&gt;Off-street")&gt;0,1,0)</f>
        <v>0</v>
      </c>
      <c r="N472">
        <f>IF(COUNTIFS('United Data'!$A$3:$A$3390,N$1,'United Data'!$C$3:$C$3390,$A472,'United Data'!$B$3:$B$3390,"&lt;&gt;Off-street")&gt;0,1,0)</f>
        <v>0</v>
      </c>
      <c r="O472">
        <f>IF(COUNTIFS('United Data'!$A$3:$A$3390,O$1,'United Data'!$C$3:$C$3390,$A472,'United Data'!$B$3:$B$3390,"&lt;&gt;Off-street")&gt;0,1,0)</f>
        <v>1</v>
      </c>
      <c r="P472">
        <f>IF(COUNTIFS('United Data'!$A$3:$A$3390,P$1,'United Data'!$C$3:$C$3390,$A472,'United Data'!$B$3:$B$3390,"&lt;&gt;Off-street")&gt;0,1,0)</f>
        <v>0</v>
      </c>
      <c r="Q472">
        <f>IF(COUNTIFS('United Data'!$A$3:$A$3390,Q$1,'United Data'!$C$3:$C$3390,$A472,'United Data'!$B$3:$B$3390,"&lt;&gt;Off-street")&gt;0,1,0)</f>
        <v>0</v>
      </c>
      <c r="R472">
        <f>IF(COUNTIFS('United Data'!$A$3:$A$3390,R$1,'United Data'!$C$3:$C$3390,$A472,'United Data'!$B$3:$B$3390,"&lt;&gt;Off-street")&gt;0,1,0)</f>
        <v>0</v>
      </c>
      <c r="S472">
        <f t="shared" si="14"/>
        <v>1</v>
      </c>
      <c r="T472">
        <f t="shared" si="15"/>
        <v>1</v>
      </c>
    </row>
    <row r="473" spans="1:20" x14ac:dyDescent="0.2">
      <c r="A473" t="s">
        <v>581</v>
      </c>
      <c r="B473">
        <f>IF(COUNTIFS('United Data'!$A$3:$A$3390,B$1,'United Data'!$C$3:$C$3390,$A473,'United Data'!$B$3:$B$3390,"&lt;&gt;Off-street")&gt;0,1,0)</f>
        <v>0</v>
      </c>
      <c r="C473">
        <f>IF(COUNTIFS('United Data'!$A$3:$A$3390,C$1,'United Data'!$C$3:$C$3390,$A473,'United Data'!$B$3:$B$3390,"&lt;&gt;Off-street")&gt;0,1,0)</f>
        <v>0</v>
      </c>
      <c r="D473">
        <f>IF(COUNTIFS('United Data'!$A$3:$A$3390,D$1,'United Data'!$C$3:$C$3390,$A473,'United Data'!$B$3:$B$3390,"&lt;&gt;Off-street")&gt;0,1,0)</f>
        <v>0</v>
      </c>
      <c r="E473">
        <f>IF(COUNTIFS('United Data'!$A$3:$A$3390,E$1,'United Data'!$C$3:$C$3390,$A473,'United Data'!$B$3:$B$3390,"&lt;&gt;Off-street")&gt;0,1,0)</f>
        <v>0</v>
      </c>
      <c r="F473">
        <f>IF(COUNTIFS('United Data'!$A$3:$A$3390,F$1,'United Data'!$C$3:$C$3390,$A473,'United Data'!$B$3:$B$3390,"&lt;&gt;Off-street")&gt;0,1,0)</f>
        <v>0</v>
      </c>
      <c r="G473">
        <f>IF(COUNTIFS('United Data'!$A$3:$A$3390,G$1,'United Data'!$C$3:$C$3390,$A473,'United Data'!$B$3:$B$3390,"&lt;&gt;Off-street")&gt;0,1,0)</f>
        <v>0</v>
      </c>
      <c r="H473">
        <f>IF(COUNTIFS('United Data'!$A$3:$A$3390,H$1,'United Data'!$C$3:$C$3390,$A473,'United Data'!$B$3:$B$3390,"&lt;&gt;Off-street")&gt;0,1,0)</f>
        <v>0</v>
      </c>
      <c r="I473">
        <f>IF(COUNTIFS('United Data'!$A$3:$A$3390,I$1,'United Data'!$C$3:$C$3390,$A473,'United Data'!$B$3:$B$3390,"&lt;&gt;Off-street")&gt;0,1,0)</f>
        <v>0</v>
      </c>
      <c r="J473">
        <f>IF(COUNTIFS('United Data'!$A$3:$A$3390,J$1,'United Data'!$C$3:$C$3390,$A473,'United Data'!$B$3:$B$3390,"&lt;&gt;Off-street")&gt;0,1,0)</f>
        <v>0</v>
      </c>
      <c r="K473">
        <f>IF(COUNTIFS('United Data'!$A$3:$A$3390,K$1,'United Data'!$C$3:$C$3390,$A473,'United Data'!$B$3:$B$3390,"&lt;&gt;Off-street")&gt;0,1,0)</f>
        <v>0</v>
      </c>
      <c r="L473">
        <f>IF(COUNTIFS('United Data'!$A$3:$A$3390,L$1,'United Data'!$C$3:$C$3390,$A473,'United Data'!$B$3:$B$3390,"&lt;&gt;Off-street")&gt;0,1,0)</f>
        <v>0</v>
      </c>
      <c r="M473">
        <f>IF(COUNTIFS('United Data'!$A$3:$A$3390,M$1,'United Data'!$C$3:$C$3390,$A473,'United Data'!$B$3:$B$3390,"&lt;&gt;Off-street")&gt;0,1,0)</f>
        <v>0</v>
      </c>
      <c r="N473">
        <f>IF(COUNTIFS('United Data'!$A$3:$A$3390,N$1,'United Data'!$C$3:$C$3390,$A473,'United Data'!$B$3:$B$3390,"&lt;&gt;Off-street")&gt;0,1,0)</f>
        <v>0</v>
      </c>
      <c r="O473">
        <f>IF(COUNTIFS('United Data'!$A$3:$A$3390,O$1,'United Data'!$C$3:$C$3390,$A473,'United Data'!$B$3:$B$3390,"&lt;&gt;Off-street")&gt;0,1,0)</f>
        <v>0</v>
      </c>
      <c r="P473">
        <f>IF(COUNTIFS('United Data'!$A$3:$A$3390,P$1,'United Data'!$C$3:$C$3390,$A473,'United Data'!$B$3:$B$3390,"&lt;&gt;Off-street")&gt;0,1,0)</f>
        <v>1</v>
      </c>
      <c r="Q473">
        <f>IF(COUNTIFS('United Data'!$A$3:$A$3390,Q$1,'United Data'!$C$3:$C$3390,$A473,'United Data'!$B$3:$B$3390,"&lt;&gt;Off-street")&gt;0,1,0)</f>
        <v>0</v>
      </c>
      <c r="R473">
        <f>IF(COUNTIFS('United Data'!$A$3:$A$3390,R$1,'United Data'!$C$3:$C$3390,$A473,'United Data'!$B$3:$B$3390,"&lt;&gt;Off-street")&gt;0,1,0)</f>
        <v>0</v>
      </c>
      <c r="S473">
        <f t="shared" si="14"/>
        <v>1</v>
      </c>
      <c r="T473">
        <f t="shared" si="15"/>
        <v>1</v>
      </c>
    </row>
    <row r="474" spans="1:20" x14ac:dyDescent="0.2">
      <c r="A474" t="s">
        <v>582</v>
      </c>
      <c r="B474">
        <f>IF(COUNTIFS('United Data'!$A$3:$A$3390,B$1,'United Data'!$C$3:$C$3390,$A474,'United Data'!$B$3:$B$3390,"&lt;&gt;Off-street")&gt;0,1,0)</f>
        <v>0</v>
      </c>
      <c r="C474">
        <f>IF(COUNTIFS('United Data'!$A$3:$A$3390,C$1,'United Data'!$C$3:$C$3390,$A474,'United Data'!$B$3:$B$3390,"&lt;&gt;Off-street")&gt;0,1,0)</f>
        <v>0</v>
      </c>
      <c r="D474">
        <f>IF(COUNTIFS('United Data'!$A$3:$A$3390,D$1,'United Data'!$C$3:$C$3390,$A474,'United Data'!$B$3:$B$3390,"&lt;&gt;Off-street")&gt;0,1,0)</f>
        <v>0</v>
      </c>
      <c r="E474">
        <f>IF(COUNTIFS('United Data'!$A$3:$A$3390,E$1,'United Data'!$C$3:$C$3390,$A474,'United Data'!$B$3:$B$3390,"&lt;&gt;Off-street")&gt;0,1,0)</f>
        <v>0</v>
      </c>
      <c r="F474">
        <f>IF(COUNTIFS('United Data'!$A$3:$A$3390,F$1,'United Data'!$C$3:$C$3390,$A474,'United Data'!$B$3:$B$3390,"&lt;&gt;Off-street")&gt;0,1,0)</f>
        <v>0</v>
      </c>
      <c r="G474">
        <f>IF(COUNTIFS('United Data'!$A$3:$A$3390,G$1,'United Data'!$C$3:$C$3390,$A474,'United Data'!$B$3:$B$3390,"&lt;&gt;Off-street")&gt;0,1,0)</f>
        <v>0</v>
      </c>
      <c r="H474">
        <f>IF(COUNTIFS('United Data'!$A$3:$A$3390,H$1,'United Data'!$C$3:$C$3390,$A474,'United Data'!$B$3:$B$3390,"&lt;&gt;Off-street")&gt;0,1,0)</f>
        <v>0</v>
      </c>
      <c r="I474">
        <f>IF(COUNTIFS('United Data'!$A$3:$A$3390,I$1,'United Data'!$C$3:$C$3390,$A474,'United Data'!$B$3:$B$3390,"&lt;&gt;Off-street")&gt;0,1,0)</f>
        <v>0</v>
      </c>
      <c r="J474">
        <f>IF(COUNTIFS('United Data'!$A$3:$A$3390,J$1,'United Data'!$C$3:$C$3390,$A474,'United Data'!$B$3:$B$3390,"&lt;&gt;Off-street")&gt;0,1,0)</f>
        <v>0</v>
      </c>
      <c r="K474">
        <f>IF(COUNTIFS('United Data'!$A$3:$A$3390,K$1,'United Data'!$C$3:$C$3390,$A474,'United Data'!$B$3:$B$3390,"&lt;&gt;Off-street")&gt;0,1,0)</f>
        <v>0</v>
      </c>
      <c r="L474">
        <f>IF(COUNTIFS('United Data'!$A$3:$A$3390,L$1,'United Data'!$C$3:$C$3390,$A474,'United Data'!$B$3:$B$3390,"&lt;&gt;Off-street")&gt;0,1,0)</f>
        <v>0</v>
      </c>
      <c r="M474">
        <f>IF(COUNTIFS('United Data'!$A$3:$A$3390,M$1,'United Data'!$C$3:$C$3390,$A474,'United Data'!$B$3:$B$3390,"&lt;&gt;Off-street")&gt;0,1,0)</f>
        <v>0</v>
      </c>
      <c r="N474">
        <f>IF(COUNTIFS('United Data'!$A$3:$A$3390,N$1,'United Data'!$C$3:$C$3390,$A474,'United Data'!$B$3:$B$3390,"&lt;&gt;Off-street")&gt;0,1,0)</f>
        <v>0</v>
      </c>
      <c r="O474">
        <f>IF(COUNTIFS('United Data'!$A$3:$A$3390,O$1,'United Data'!$C$3:$C$3390,$A474,'United Data'!$B$3:$B$3390,"&lt;&gt;Off-street")&gt;0,1,0)</f>
        <v>0</v>
      </c>
      <c r="P474">
        <f>IF(COUNTIFS('United Data'!$A$3:$A$3390,P$1,'United Data'!$C$3:$C$3390,$A474,'United Data'!$B$3:$B$3390,"&lt;&gt;Off-street")&gt;0,1,0)</f>
        <v>1</v>
      </c>
      <c r="Q474">
        <f>IF(COUNTIFS('United Data'!$A$3:$A$3390,Q$1,'United Data'!$C$3:$C$3390,$A474,'United Data'!$B$3:$B$3390,"&lt;&gt;Off-street")&gt;0,1,0)</f>
        <v>0</v>
      </c>
      <c r="R474">
        <f>IF(COUNTIFS('United Data'!$A$3:$A$3390,R$1,'United Data'!$C$3:$C$3390,$A474,'United Data'!$B$3:$B$3390,"&lt;&gt;Off-street")&gt;0,1,0)</f>
        <v>0</v>
      </c>
      <c r="S474">
        <f t="shared" si="14"/>
        <v>1</v>
      </c>
      <c r="T474">
        <f t="shared" si="15"/>
        <v>1</v>
      </c>
    </row>
    <row r="475" spans="1:20" x14ac:dyDescent="0.2">
      <c r="A475" t="s">
        <v>583</v>
      </c>
      <c r="B475">
        <f>IF(COUNTIFS('United Data'!$A$3:$A$3390,B$1,'United Data'!$C$3:$C$3390,$A475,'United Data'!$B$3:$B$3390,"&lt;&gt;Off-street")&gt;0,1,0)</f>
        <v>0</v>
      </c>
      <c r="C475">
        <f>IF(COUNTIFS('United Data'!$A$3:$A$3390,C$1,'United Data'!$C$3:$C$3390,$A475,'United Data'!$B$3:$B$3390,"&lt;&gt;Off-street")&gt;0,1,0)</f>
        <v>0</v>
      </c>
      <c r="D475">
        <f>IF(COUNTIFS('United Data'!$A$3:$A$3390,D$1,'United Data'!$C$3:$C$3390,$A475,'United Data'!$B$3:$B$3390,"&lt;&gt;Off-street")&gt;0,1,0)</f>
        <v>0</v>
      </c>
      <c r="E475">
        <f>IF(COUNTIFS('United Data'!$A$3:$A$3390,E$1,'United Data'!$C$3:$C$3390,$A475,'United Data'!$B$3:$B$3390,"&lt;&gt;Off-street")&gt;0,1,0)</f>
        <v>0</v>
      </c>
      <c r="F475">
        <f>IF(COUNTIFS('United Data'!$A$3:$A$3390,F$1,'United Data'!$C$3:$C$3390,$A475,'United Data'!$B$3:$B$3390,"&lt;&gt;Off-street")&gt;0,1,0)</f>
        <v>0</v>
      </c>
      <c r="G475">
        <f>IF(COUNTIFS('United Data'!$A$3:$A$3390,G$1,'United Data'!$C$3:$C$3390,$A475,'United Data'!$B$3:$B$3390,"&lt;&gt;Off-street")&gt;0,1,0)</f>
        <v>0</v>
      </c>
      <c r="H475">
        <f>IF(COUNTIFS('United Data'!$A$3:$A$3390,H$1,'United Data'!$C$3:$C$3390,$A475,'United Data'!$B$3:$B$3390,"&lt;&gt;Off-street")&gt;0,1,0)</f>
        <v>0</v>
      </c>
      <c r="I475">
        <f>IF(COUNTIFS('United Data'!$A$3:$A$3390,I$1,'United Data'!$C$3:$C$3390,$A475,'United Data'!$B$3:$B$3390,"&lt;&gt;Off-street")&gt;0,1,0)</f>
        <v>0</v>
      </c>
      <c r="J475">
        <f>IF(COUNTIFS('United Data'!$A$3:$A$3390,J$1,'United Data'!$C$3:$C$3390,$A475,'United Data'!$B$3:$B$3390,"&lt;&gt;Off-street")&gt;0,1,0)</f>
        <v>0</v>
      </c>
      <c r="K475">
        <f>IF(COUNTIFS('United Data'!$A$3:$A$3390,K$1,'United Data'!$C$3:$C$3390,$A475,'United Data'!$B$3:$B$3390,"&lt;&gt;Off-street")&gt;0,1,0)</f>
        <v>0</v>
      </c>
      <c r="L475">
        <f>IF(COUNTIFS('United Data'!$A$3:$A$3390,L$1,'United Data'!$C$3:$C$3390,$A475,'United Data'!$B$3:$B$3390,"&lt;&gt;Off-street")&gt;0,1,0)</f>
        <v>0</v>
      </c>
      <c r="M475">
        <f>IF(COUNTIFS('United Data'!$A$3:$A$3390,M$1,'United Data'!$C$3:$C$3390,$A475,'United Data'!$B$3:$B$3390,"&lt;&gt;Off-street")&gt;0,1,0)</f>
        <v>0</v>
      </c>
      <c r="N475">
        <f>IF(COUNTIFS('United Data'!$A$3:$A$3390,N$1,'United Data'!$C$3:$C$3390,$A475,'United Data'!$B$3:$B$3390,"&lt;&gt;Off-street")&gt;0,1,0)</f>
        <v>0</v>
      </c>
      <c r="O475">
        <f>IF(COUNTIFS('United Data'!$A$3:$A$3390,O$1,'United Data'!$C$3:$C$3390,$A475,'United Data'!$B$3:$B$3390,"&lt;&gt;Off-street")&gt;0,1,0)</f>
        <v>0</v>
      </c>
      <c r="P475">
        <f>IF(COUNTIFS('United Data'!$A$3:$A$3390,P$1,'United Data'!$C$3:$C$3390,$A475,'United Data'!$B$3:$B$3390,"&lt;&gt;Off-street")&gt;0,1,0)</f>
        <v>1</v>
      </c>
      <c r="Q475">
        <f>IF(COUNTIFS('United Data'!$A$3:$A$3390,Q$1,'United Data'!$C$3:$C$3390,$A475,'United Data'!$B$3:$B$3390,"&lt;&gt;Off-street")&gt;0,1,0)</f>
        <v>0</v>
      </c>
      <c r="R475">
        <f>IF(COUNTIFS('United Data'!$A$3:$A$3390,R$1,'United Data'!$C$3:$C$3390,$A475,'United Data'!$B$3:$B$3390,"&lt;&gt;Off-street")&gt;0,1,0)</f>
        <v>0</v>
      </c>
      <c r="S475">
        <f t="shared" si="14"/>
        <v>1</v>
      </c>
      <c r="T475">
        <f t="shared" si="15"/>
        <v>1</v>
      </c>
    </row>
    <row r="476" spans="1:20" x14ac:dyDescent="0.2">
      <c r="A476" t="s">
        <v>584</v>
      </c>
      <c r="B476">
        <f>IF(COUNTIFS('United Data'!$A$3:$A$3390,B$1,'United Data'!$C$3:$C$3390,$A476,'United Data'!$B$3:$B$3390,"&lt;&gt;Off-street")&gt;0,1,0)</f>
        <v>0</v>
      </c>
      <c r="C476">
        <f>IF(COUNTIFS('United Data'!$A$3:$A$3390,C$1,'United Data'!$C$3:$C$3390,$A476,'United Data'!$B$3:$B$3390,"&lt;&gt;Off-street")&gt;0,1,0)</f>
        <v>0</v>
      </c>
      <c r="D476">
        <f>IF(COUNTIFS('United Data'!$A$3:$A$3390,D$1,'United Data'!$C$3:$C$3390,$A476,'United Data'!$B$3:$B$3390,"&lt;&gt;Off-street")&gt;0,1,0)</f>
        <v>0</v>
      </c>
      <c r="E476">
        <f>IF(COUNTIFS('United Data'!$A$3:$A$3390,E$1,'United Data'!$C$3:$C$3390,$A476,'United Data'!$B$3:$B$3390,"&lt;&gt;Off-street")&gt;0,1,0)</f>
        <v>0</v>
      </c>
      <c r="F476">
        <f>IF(COUNTIFS('United Data'!$A$3:$A$3390,F$1,'United Data'!$C$3:$C$3390,$A476,'United Data'!$B$3:$B$3390,"&lt;&gt;Off-street")&gt;0,1,0)</f>
        <v>0</v>
      </c>
      <c r="G476">
        <f>IF(COUNTIFS('United Data'!$A$3:$A$3390,G$1,'United Data'!$C$3:$C$3390,$A476,'United Data'!$B$3:$B$3390,"&lt;&gt;Off-street")&gt;0,1,0)</f>
        <v>0</v>
      </c>
      <c r="H476">
        <f>IF(COUNTIFS('United Data'!$A$3:$A$3390,H$1,'United Data'!$C$3:$C$3390,$A476,'United Data'!$B$3:$B$3390,"&lt;&gt;Off-street")&gt;0,1,0)</f>
        <v>0</v>
      </c>
      <c r="I476">
        <f>IF(COUNTIFS('United Data'!$A$3:$A$3390,I$1,'United Data'!$C$3:$C$3390,$A476,'United Data'!$B$3:$B$3390,"&lt;&gt;Off-street")&gt;0,1,0)</f>
        <v>0</v>
      </c>
      <c r="J476">
        <f>IF(COUNTIFS('United Data'!$A$3:$A$3390,J$1,'United Data'!$C$3:$C$3390,$A476,'United Data'!$B$3:$B$3390,"&lt;&gt;Off-street")&gt;0,1,0)</f>
        <v>0</v>
      </c>
      <c r="K476">
        <f>IF(COUNTIFS('United Data'!$A$3:$A$3390,K$1,'United Data'!$C$3:$C$3390,$A476,'United Data'!$B$3:$B$3390,"&lt;&gt;Off-street")&gt;0,1,0)</f>
        <v>0</v>
      </c>
      <c r="L476">
        <f>IF(COUNTIFS('United Data'!$A$3:$A$3390,L$1,'United Data'!$C$3:$C$3390,$A476,'United Data'!$B$3:$B$3390,"&lt;&gt;Off-street")&gt;0,1,0)</f>
        <v>0</v>
      </c>
      <c r="M476">
        <f>IF(COUNTIFS('United Data'!$A$3:$A$3390,M$1,'United Data'!$C$3:$C$3390,$A476,'United Data'!$B$3:$B$3390,"&lt;&gt;Off-street")&gt;0,1,0)</f>
        <v>0</v>
      </c>
      <c r="N476">
        <f>IF(COUNTIFS('United Data'!$A$3:$A$3390,N$1,'United Data'!$C$3:$C$3390,$A476,'United Data'!$B$3:$B$3390,"&lt;&gt;Off-street")&gt;0,1,0)</f>
        <v>0</v>
      </c>
      <c r="O476">
        <f>IF(COUNTIFS('United Data'!$A$3:$A$3390,O$1,'United Data'!$C$3:$C$3390,$A476,'United Data'!$B$3:$B$3390,"&lt;&gt;Off-street")&gt;0,1,0)</f>
        <v>0</v>
      </c>
      <c r="P476">
        <f>IF(COUNTIFS('United Data'!$A$3:$A$3390,P$1,'United Data'!$C$3:$C$3390,$A476,'United Data'!$B$3:$B$3390,"&lt;&gt;Off-street")&gt;0,1,0)</f>
        <v>1</v>
      </c>
      <c r="Q476">
        <f>IF(COUNTIFS('United Data'!$A$3:$A$3390,Q$1,'United Data'!$C$3:$C$3390,$A476,'United Data'!$B$3:$B$3390,"&lt;&gt;Off-street")&gt;0,1,0)</f>
        <v>0</v>
      </c>
      <c r="R476">
        <f>IF(COUNTIFS('United Data'!$A$3:$A$3390,R$1,'United Data'!$C$3:$C$3390,$A476,'United Data'!$B$3:$B$3390,"&lt;&gt;Off-street")&gt;0,1,0)</f>
        <v>0</v>
      </c>
      <c r="S476">
        <f t="shared" si="14"/>
        <v>1</v>
      </c>
      <c r="T476">
        <f t="shared" si="15"/>
        <v>1</v>
      </c>
    </row>
    <row r="477" spans="1:20" x14ac:dyDescent="0.2">
      <c r="A477" t="s">
        <v>585</v>
      </c>
      <c r="B477">
        <f>IF(COUNTIFS('United Data'!$A$3:$A$3390,B$1,'United Data'!$C$3:$C$3390,$A477,'United Data'!$B$3:$B$3390,"&lt;&gt;Off-street")&gt;0,1,0)</f>
        <v>0</v>
      </c>
      <c r="C477">
        <f>IF(COUNTIFS('United Data'!$A$3:$A$3390,C$1,'United Data'!$C$3:$C$3390,$A477,'United Data'!$B$3:$B$3390,"&lt;&gt;Off-street")&gt;0,1,0)</f>
        <v>0</v>
      </c>
      <c r="D477">
        <f>IF(COUNTIFS('United Data'!$A$3:$A$3390,D$1,'United Data'!$C$3:$C$3390,$A477,'United Data'!$B$3:$B$3390,"&lt;&gt;Off-street")&gt;0,1,0)</f>
        <v>0</v>
      </c>
      <c r="E477">
        <f>IF(COUNTIFS('United Data'!$A$3:$A$3390,E$1,'United Data'!$C$3:$C$3390,$A477,'United Data'!$B$3:$B$3390,"&lt;&gt;Off-street")&gt;0,1,0)</f>
        <v>0</v>
      </c>
      <c r="F477">
        <f>IF(COUNTIFS('United Data'!$A$3:$A$3390,F$1,'United Data'!$C$3:$C$3390,$A477,'United Data'!$B$3:$B$3390,"&lt;&gt;Off-street")&gt;0,1,0)</f>
        <v>0</v>
      </c>
      <c r="G477">
        <f>IF(COUNTIFS('United Data'!$A$3:$A$3390,G$1,'United Data'!$C$3:$C$3390,$A477,'United Data'!$B$3:$B$3390,"&lt;&gt;Off-street")&gt;0,1,0)</f>
        <v>0</v>
      </c>
      <c r="H477">
        <f>IF(COUNTIFS('United Data'!$A$3:$A$3390,H$1,'United Data'!$C$3:$C$3390,$A477,'United Data'!$B$3:$B$3390,"&lt;&gt;Off-street")&gt;0,1,0)</f>
        <v>0</v>
      </c>
      <c r="I477">
        <f>IF(COUNTIFS('United Data'!$A$3:$A$3390,I$1,'United Data'!$C$3:$C$3390,$A477,'United Data'!$B$3:$B$3390,"&lt;&gt;Off-street")&gt;0,1,0)</f>
        <v>0</v>
      </c>
      <c r="J477">
        <f>IF(COUNTIFS('United Data'!$A$3:$A$3390,J$1,'United Data'!$C$3:$C$3390,$A477,'United Data'!$B$3:$B$3390,"&lt;&gt;Off-street")&gt;0,1,0)</f>
        <v>0</v>
      </c>
      <c r="K477">
        <f>IF(COUNTIFS('United Data'!$A$3:$A$3390,K$1,'United Data'!$C$3:$C$3390,$A477,'United Data'!$B$3:$B$3390,"&lt;&gt;Off-street")&gt;0,1,0)</f>
        <v>0</v>
      </c>
      <c r="L477">
        <f>IF(COUNTIFS('United Data'!$A$3:$A$3390,L$1,'United Data'!$C$3:$C$3390,$A477,'United Data'!$B$3:$B$3390,"&lt;&gt;Off-street")&gt;0,1,0)</f>
        <v>0</v>
      </c>
      <c r="M477">
        <f>IF(COUNTIFS('United Data'!$A$3:$A$3390,M$1,'United Data'!$C$3:$C$3390,$A477,'United Data'!$B$3:$B$3390,"&lt;&gt;Off-street")&gt;0,1,0)</f>
        <v>0</v>
      </c>
      <c r="N477">
        <f>IF(COUNTIFS('United Data'!$A$3:$A$3390,N$1,'United Data'!$C$3:$C$3390,$A477,'United Data'!$B$3:$B$3390,"&lt;&gt;Off-street")&gt;0,1,0)</f>
        <v>0</v>
      </c>
      <c r="O477">
        <f>IF(COUNTIFS('United Data'!$A$3:$A$3390,O$1,'United Data'!$C$3:$C$3390,$A477,'United Data'!$B$3:$B$3390,"&lt;&gt;Off-street")&gt;0,1,0)</f>
        <v>0</v>
      </c>
      <c r="P477">
        <f>IF(COUNTIFS('United Data'!$A$3:$A$3390,P$1,'United Data'!$C$3:$C$3390,$A477,'United Data'!$B$3:$B$3390,"&lt;&gt;Off-street")&gt;0,1,0)</f>
        <v>1</v>
      </c>
      <c r="Q477">
        <f>IF(COUNTIFS('United Data'!$A$3:$A$3390,Q$1,'United Data'!$C$3:$C$3390,$A477,'United Data'!$B$3:$B$3390,"&lt;&gt;Off-street")&gt;0,1,0)</f>
        <v>0</v>
      </c>
      <c r="R477">
        <f>IF(COUNTIFS('United Data'!$A$3:$A$3390,R$1,'United Data'!$C$3:$C$3390,$A477,'United Data'!$B$3:$B$3390,"&lt;&gt;Off-street")&gt;0,1,0)</f>
        <v>0</v>
      </c>
      <c r="S477">
        <f t="shared" si="14"/>
        <v>1</v>
      </c>
      <c r="T477">
        <f t="shared" si="15"/>
        <v>1</v>
      </c>
    </row>
    <row r="478" spans="1:20" x14ac:dyDescent="0.2">
      <c r="A478" t="s">
        <v>586</v>
      </c>
      <c r="B478">
        <f>IF(COUNTIFS('United Data'!$A$3:$A$3390,B$1,'United Data'!$C$3:$C$3390,$A478,'United Data'!$B$3:$B$3390,"&lt;&gt;Off-street")&gt;0,1,0)</f>
        <v>0</v>
      </c>
      <c r="C478">
        <f>IF(COUNTIFS('United Data'!$A$3:$A$3390,C$1,'United Data'!$C$3:$C$3390,$A478,'United Data'!$B$3:$B$3390,"&lt;&gt;Off-street")&gt;0,1,0)</f>
        <v>0</v>
      </c>
      <c r="D478">
        <f>IF(COUNTIFS('United Data'!$A$3:$A$3390,D$1,'United Data'!$C$3:$C$3390,$A478,'United Data'!$B$3:$B$3390,"&lt;&gt;Off-street")&gt;0,1,0)</f>
        <v>0</v>
      </c>
      <c r="E478">
        <f>IF(COUNTIFS('United Data'!$A$3:$A$3390,E$1,'United Data'!$C$3:$C$3390,$A478,'United Data'!$B$3:$B$3390,"&lt;&gt;Off-street")&gt;0,1,0)</f>
        <v>0</v>
      </c>
      <c r="F478">
        <f>IF(COUNTIFS('United Data'!$A$3:$A$3390,F$1,'United Data'!$C$3:$C$3390,$A478,'United Data'!$B$3:$B$3390,"&lt;&gt;Off-street")&gt;0,1,0)</f>
        <v>0</v>
      </c>
      <c r="G478">
        <f>IF(COUNTIFS('United Data'!$A$3:$A$3390,G$1,'United Data'!$C$3:$C$3390,$A478,'United Data'!$B$3:$B$3390,"&lt;&gt;Off-street")&gt;0,1,0)</f>
        <v>0</v>
      </c>
      <c r="H478">
        <f>IF(COUNTIFS('United Data'!$A$3:$A$3390,H$1,'United Data'!$C$3:$C$3390,$A478,'United Data'!$B$3:$B$3390,"&lt;&gt;Off-street")&gt;0,1,0)</f>
        <v>0</v>
      </c>
      <c r="I478">
        <f>IF(COUNTIFS('United Data'!$A$3:$A$3390,I$1,'United Data'!$C$3:$C$3390,$A478,'United Data'!$B$3:$B$3390,"&lt;&gt;Off-street")&gt;0,1,0)</f>
        <v>0</v>
      </c>
      <c r="J478">
        <f>IF(COUNTIFS('United Data'!$A$3:$A$3390,J$1,'United Data'!$C$3:$C$3390,$A478,'United Data'!$B$3:$B$3390,"&lt;&gt;Off-street")&gt;0,1,0)</f>
        <v>0</v>
      </c>
      <c r="K478">
        <f>IF(COUNTIFS('United Data'!$A$3:$A$3390,K$1,'United Data'!$C$3:$C$3390,$A478,'United Data'!$B$3:$B$3390,"&lt;&gt;Off-street")&gt;0,1,0)</f>
        <v>0</v>
      </c>
      <c r="L478">
        <f>IF(COUNTIFS('United Data'!$A$3:$A$3390,L$1,'United Data'!$C$3:$C$3390,$A478,'United Data'!$B$3:$B$3390,"&lt;&gt;Off-street")&gt;0,1,0)</f>
        <v>0</v>
      </c>
      <c r="M478">
        <f>IF(COUNTIFS('United Data'!$A$3:$A$3390,M$1,'United Data'!$C$3:$C$3390,$A478,'United Data'!$B$3:$B$3390,"&lt;&gt;Off-street")&gt;0,1,0)</f>
        <v>0</v>
      </c>
      <c r="N478">
        <f>IF(COUNTIFS('United Data'!$A$3:$A$3390,N$1,'United Data'!$C$3:$C$3390,$A478,'United Data'!$B$3:$B$3390,"&lt;&gt;Off-street")&gt;0,1,0)</f>
        <v>0</v>
      </c>
      <c r="O478">
        <f>IF(COUNTIFS('United Data'!$A$3:$A$3390,O$1,'United Data'!$C$3:$C$3390,$A478,'United Data'!$B$3:$B$3390,"&lt;&gt;Off-street")&gt;0,1,0)</f>
        <v>0</v>
      </c>
      <c r="P478">
        <f>IF(COUNTIFS('United Data'!$A$3:$A$3390,P$1,'United Data'!$C$3:$C$3390,$A478,'United Data'!$B$3:$B$3390,"&lt;&gt;Off-street")&gt;0,1,0)</f>
        <v>0</v>
      </c>
      <c r="Q478">
        <f>IF(COUNTIFS('United Data'!$A$3:$A$3390,Q$1,'United Data'!$C$3:$C$3390,$A478,'United Data'!$B$3:$B$3390,"&lt;&gt;Off-street")&gt;0,1,0)</f>
        <v>1</v>
      </c>
      <c r="R478">
        <f>IF(COUNTIFS('United Data'!$A$3:$A$3390,R$1,'United Data'!$C$3:$C$3390,$A478,'United Data'!$B$3:$B$3390,"&lt;&gt;Off-street")&gt;0,1,0)</f>
        <v>0</v>
      </c>
      <c r="S478">
        <f t="shared" si="14"/>
        <v>1</v>
      </c>
      <c r="T478">
        <f t="shared" si="15"/>
        <v>1</v>
      </c>
    </row>
    <row r="479" spans="1:20" x14ac:dyDescent="0.2">
      <c r="A479" t="s">
        <v>587</v>
      </c>
      <c r="B479">
        <f>IF(COUNTIFS('United Data'!$A$3:$A$3390,B$1,'United Data'!$C$3:$C$3390,$A479,'United Data'!$B$3:$B$3390,"&lt;&gt;Off-street")&gt;0,1,0)</f>
        <v>0</v>
      </c>
      <c r="C479">
        <f>IF(COUNTIFS('United Data'!$A$3:$A$3390,C$1,'United Data'!$C$3:$C$3390,$A479,'United Data'!$B$3:$B$3390,"&lt;&gt;Off-street")&gt;0,1,0)</f>
        <v>0</v>
      </c>
      <c r="D479">
        <f>IF(COUNTIFS('United Data'!$A$3:$A$3390,D$1,'United Data'!$C$3:$C$3390,$A479,'United Data'!$B$3:$B$3390,"&lt;&gt;Off-street")&gt;0,1,0)</f>
        <v>0</v>
      </c>
      <c r="E479">
        <f>IF(COUNTIFS('United Data'!$A$3:$A$3390,E$1,'United Data'!$C$3:$C$3390,$A479,'United Data'!$B$3:$B$3390,"&lt;&gt;Off-street")&gt;0,1,0)</f>
        <v>0</v>
      </c>
      <c r="F479">
        <f>IF(COUNTIFS('United Data'!$A$3:$A$3390,F$1,'United Data'!$C$3:$C$3390,$A479,'United Data'!$B$3:$B$3390,"&lt;&gt;Off-street")&gt;0,1,0)</f>
        <v>0</v>
      </c>
      <c r="G479">
        <f>IF(COUNTIFS('United Data'!$A$3:$A$3390,G$1,'United Data'!$C$3:$C$3390,$A479,'United Data'!$B$3:$B$3390,"&lt;&gt;Off-street")&gt;0,1,0)</f>
        <v>0</v>
      </c>
      <c r="H479">
        <f>IF(COUNTIFS('United Data'!$A$3:$A$3390,H$1,'United Data'!$C$3:$C$3390,$A479,'United Data'!$B$3:$B$3390,"&lt;&gt;Off-street")&gt;0,1,0)</f>
        <v>0</v>
      </c>
      <c r="I479">
        <f>IF(COUNTIFS('United Data'!$A$3:$A$3390,I$1,'United Data'!$C$3:$C$3390,$A479,'United Data'!$B$3:$B$3390,"&lt;&gt;Off-street")&gt;0,1,0)</f>
        <v>0</v>
      </c>
      <c r="J479">
        <f>IF(COUNTIFS('United Data'!$A$3:$A$3390,J$1,'United Data'!$C$3:$C$3390,$A479,'United Data'!$B$3:$B$3390,"&lt;&gt;Off-street")&gt;0,1,0)</f>
        <v>0</v>
      </c>
      <c r="K479">
        <f>IF(COUNTIFS('United Data'!$A$3:$A$3390,K$1,'United Data'!$C$3:$C$3390,$A479,'United Data'!$B$3:$B$3390,"&lt;&gt;Off-street")&gt;0,1,0)</f>
        <v>0</v>
      </c>
      <c r="L479">
        <f>IF(COUNTIFS('United Data'!$A$3:$A$3390,L$1,'United Data'!$C$3:$C$3390,$A479,'United Data'!$B$3:$B$3390,"&lt;&gt;Off-street")&gt;0,1,0)</f>
        <v>0</v>
      </c>
      <c r="M479">
        <f>IF(COUNTIFS('United Data'!$A$3:$A$3390,M$1,'United Data'!$C$3:$C$3390,$A479,'United Data'!$B$3:$B$3390,"&lt;&gt;Off-street")&gt;0,1,0)</f>
        <v>0</v>
      </c>
      <c r="N479">
        <f>IF(COUNTIFS('United Data'!$A$3:$A$3390,N$1,'United Data'!$C$3:$C$3390,$A479,'United Data'!$B$3:$B$3390,"&lt;&gt;Off-street")&gt;0,1,0)</f>
        <v>0</v>
      </c>
      <c r="O479">
        <f>IF(COUNTIFS('United Data'!$A$3:$A$3390,O$1,'United Data'!$C$3:$C$3390,$A479,'United Data'!$B$3:$B$3390,"&lt;&gt;Off-street")&gt;0,1,0)</f>
        <v>0</v>
      </c>
      <c r="P479">
        <f>IF(COUNTIFS('United Data'!$A$3:$A$3390,P$1,'United Data'!$C$3:$C$3390,$A479,'United Data'!$B$3:$B$3390,"&lt;&gt;Off-street")&gt;0,1,0)</f>
        <v>0</v>
      </c>
      <c r="Q479">
        <f>IF(COUNTIFS('United Data'!$A$3:$A$3390,Q$1,'United Data'!$C$3:$C$3390,$A479,'United Data'!$B$3:$B$3390,"&lt;&gt;Off-street")&gt;0,1,0)</f>
        <v>1</v>
      </c>
      <c r="R479">
        <f>IF(COUNTIFS('United Data'!$A$3:$A$3390,R$1,'United Data'!$C$3:$C$3390,$A479,'United Data'!$B$3:$B$3390,"&lt;&gt;Off-street")&gt;0,1,0)</f>
        <v>0</v>
      </c>
      <c r="S479">
        <f t="shared" si="14"/>
        <v>1</v>
      </c>
      <c r="T479">
        <f t="shared" si="15"/>
        <v>1</v>
      </c>
    </row>
    <row r="480" spans="1:20" x14ac:dyDescent="0.2">
      <c r="A480" t="s">
        <v>588</v>
      </c>
      <c r="B480">
        <f>IF(COUNTIFS('United Data'!$A$3:$A$3390,B$1,'United Data'!$C$3:$C$3390,$A480,'United Data'!$B$3:$B$3390,"&lt;&gt;Off-street")&gt;0,1,0)</f>
        <v>0</v>
      </c>
      <c r="C480">
        <f>IF(COUNTIFS('United Data'!$A$3:$A$3390,C$1,'United Data'!$C$3:$C$3390,$A480,'United Data'!$B$3:$B$3390,"&lt;&gt;Off-street")&gt;0,1,0)</f>
        <v>0</v>
      </c>
      <c r="D480">
        <f>IF(COUNTIFS('United Data'!$A$3:$A$3390,D$1,'United Data'!$C$3:$C$3390,$A480,'United Data'!$B$3:$B$3390,"&lt;&gt;Off-street")&gt;0,1,0)</f>
        <v>0</v>
      </c>
      <c r="E480">
        <f>IF(COUNTIFS('United Data'!$A$3:$A$3390,E$1,'United Data'!$C$3:$C$3390,$A480,'United Data'!$B$3:$B$3390,"&lt;&gt;Off-street")&gt;0,1,0)</f>
        <v>0</v>
      </c>
      <c r="F480">
        <f>IF(COUNTIFS('United Data'!$A$3:$A$3390,F$1,'United Data'!$C$3:$C$3390,$A480,'United Data'!$B$3:$B$3390,"&lt;&gt;Off-street")&gt;0,1,0)</f>
        <v>0</v>
      </c>
      <c r="G480">
        <f>IF(COUNTIFS('United Data'!$A$3:$A$3390,G$1,'United Data'!$C$3:$C$3390,$A480,'United Data'!$B$3:$B$3390,"&lt;&gt;Off-street")&gt;0,1,0)</f>
        <v>1</v>
      </c>
      <c r="H480">
        <f>IF(COUNTIFS('United Data'!$A$3:$A$3390,H$1,'United Data'!$C$3:$C$3390,$A480,'United Data'!$B$3:$B$3390,"&lt;&gt;Off-street")&gt;0,1,0)</f>
        <v>0</v>
      </c>
      <c r="I480">
        <f>IF(COUNTIFS('United Data'!$A$3:$A$3390,I$1,'United Data'!$C$3:$C$3390,$A480,'United Data'!$B$3:$B$3390,"&lt;&gt;Off-street")&gt;0,1,0)</f>
        <v>0</v>
      </c>
      <c r="J480">
        <f>IF(COUNTIFS('United Data'!$A$3:$A$3390,J$1,'United Data'!$C$3:$C$3390,$A480,'United Data'!$B$3:$B$3390,"&lt;&gt;Off-street")&gt;0,1,0)</f>
        <v>0</v>
      </c>
      <c r="K480">
        <f>IF(COUNTIFS('United Data'!$A$3:$A$3390,K$1,'United Data'!$C$3:$C$3390,$A480,'United Data'!$B$3:$B$3390,"&lt;&gt;Off-street")&gt;0,1,0)</f>
        <v>1</v>
      </c>
      <c r="L480">
        <f>IF(COUNTIFS('United Data'!$A$3:$A$3390,L$1,'United Data'!$C$3:$C$3390,$A480,'United Data'!$B$3:$B$3390,"&lt;&gt;Off-street")&gt;0,1,0)</f>
        <v>0</v>
      </c>
      <c r="M480">
        <f>IF(COUNTIFS('United Data'!$A$3:$A$3390,M$1,'United Data'!$C$3:$C$3390,$A480,'United Data'!$B$3:$B$3390,"&lt;&gt;Off-street")&gt;0,1,0)</f>
        <v>0</v>
      </c>
      <c r="N480">
        <f>IF(COUNTIFS('United Data'!$A$3:$A$3390,N$1,'United Data'!$C$3:$C$3390,$A480,'United Data'!$B$3:$B$3390,"&lt;&gt;Off-street")&gt;0,1,0)</f>
        <v>0</v>
      </c>
      <c r="O480">
        <f>IF(COUNTIFS('United Data'!$A$3:$A$3390,O$1,'United Data'!$C$3:$C$3390,$A480,'United Data'!$B$3:$B$3390,"&lt;&gt;Off-street")&gt;0,1,0)</f>
        <v>0</v>
      </c>
      <c r="P480">
        <f>IF(COUNTIFS('United Data'!$A$3:$A$3390,P$1,'United Data'!$C$3:$C$3390,$A480,'United Data'!$B$3:$B$3390,"&lt;&gt;Off-street")&gt;0,1,0)</f>
        <v>0</v>
      </c>
      <c r="Q480">
        <f>IF(COUNTIFS('United Data'!$A$3:$A$3390,Q$1,'United Data'!$C$3:$C$3390,$A480,'United Data'!$B$3:$B$3390,"&lt;&gt;Off-street")&gt;0,1,0)</f>
        <v>1</v>
      </c>
      <c r="R480">
        <f>IF(COUNTIFS('United Data'!$A$3:$A$3390,R$1,'United Data'!$C$3:$C$3390,$A480,'United Data'!$B$3:$B$3390,"&lt;&gt;Off-street")&gt;0,1,0)</f>
        <v>0</v>
      </c>
      <c r="S480">
        <f t="shared" si="14"/>
        <v>3</v>
      </c>
      <c r="T480">
        <f t="shared" si="15"/>
        <v>3</v>
      </c>
    </row>
    <row r="481" spans="1:20" x14ac:dyDescent="0.2">
      <c r="A481" t="s">
        <v>589</v>
      </c>
      <c r="B481">
        <f>IF(COUNTIFS('United Data'!$A$3:$A$3390,B$1,'United Data'!$C$3:$C$3390,$A481,'United Data'!$B$3:$B$3390,"&lt;&gt;Off-street")&gt;0,1,0)</f>
        <v>0</v>
      </c>
      <c r="C481">
        <f>IF(COUNTIFS('United Data'!$A$3:$A$3390,C$1,'United Data'!$C$3:$C$3390,$A481,'United Data'!$B$3:$B$3390,"&lt;&gt;Off-street")&gt;0,1,0)</f>
        <v>0</v>
      </c>
      <c r="D481">
        <f>IF(COUNTIFS('United Data'!$A$3:$A$3390,D$1,'United Data'!$C$3:$C$3390,$A481,'United Data'!$B$3:$B$3390,"&lt;&gt;Off-street")&gt;0,1,0)</f>
        <v>0</v>
      </c>
      <c r="E481">
        <f>IF(COUNTIFS('United Data'!$A$3:$A$3390,E$1,'United Data'!$C$3:$C$3390,$A481,'United Data'!$B$3:$B$3390,"&lt;&gt;Off-street")&gt;0,1,0)</f>
        <v>0</v>
      </c>
      <c r="F481">
        <f>IF(COUNTIFS('United Data'!$A$3:$A$3390,F$1,'United Data'!$C$3:$C$3390,$A481,'United Data'!$B$3:$B$3390,"&lt;&gt;Off-street")&gt;0,1,0)</f>
        <v>0</v>
      </c>
      <c r="G481">
        <f>IF(COUNTIFS('United Data'!$A$3:$A$3390,G$1,'United Data'!$C$3:$C$3390,$A481,'United Data'!$B$3:$B$3390,"&lt;&gt;Off-street")&gt;0,1,0)</f>
        <v>0</v>
      </c>
      <c r="H481">
        <f>IF(COUNTIFS('United Data'!$A$3:$A$3390,H$1,'United Data'!$C$3:$C$3390,$A481,'United Data'!$B$3:$B$3390,"&lt;&gt;Off-street")&gt;0,1,0)</f>
        <v>0</v>
      </c>
      <c r="I481">
        <f>IF(COUNTIFS('United Data'!$A$3:$A$3390,I$1,'United Data'!$C$3:$C$3390,$A481,'United Data'!$B$3:$B$3390,"&lt;&gt;Off-street")&gt;0,1,0)</f>
        <v>0</v>
      </c>
      <c r="J481">
        <f>IF(COUNTIFS('United Data'!$A$3:$A$3390,J$1,'United Data'!$C$3:$C$3390,$A481,'United Data'!$B$3:$B$3390,"&lt;&gt;Off-street")&gt;0,1,0)</f>
        <v>0</v>
      </c>
      <c r="K481">
        <f>IF(COUNTIFS('United Data'!$A$3:$A$3390,K$1,'United Data'!$C$3:$C$3390,$A481,'United Data'!$B$3:$B$3390,"&lt;&gt;Off-street")&gt;0,1,0)</f>
        <v>0</v>
      </c>
      <c r="L481">
        <f>IF(COUNTIFS('United Data'!$A$3:$A$3390,L$1,'United Data'!$C$3:$C$3390,$A481,'United Data'!$B$3:$B$3390,"&lt;&gt;Off-street")&gt;0,1,0)</f>
        <v>0</v>
      </c>
      <c r="M481">
        <f>IF(COUNTIFS('United Data'!$A$3:$A$3390,M$1,'United Data'!$C$3:$C$3390,$A481,'United Data'!$B$3:$B$3390,"&lt;&gt;Off-street")&gt;0,1,0)</f>
        <v>0</v>
      </c>
      <c r="N481">
        <f>IF(COUNTIFS('United Data'!$A$3:$A$3390,N$1,'United Data'!$C$3:$C$3390,$A481,'United Data'!$B$3:$B$3390,"&lt;&gt;Off-street")&gt;0,1,0)</f>
        <v>0</v>
      </c>
      <c r="O481">
        <f>IF(COUNTIFS('United Data'!$A$3:$A$3390,O$1,'United Data'!$C$3:$C$3390,$A481,'United Data'!$B$3:$B$3390,"&lt;&gt;Off-street")&gt;0,1,0)</f>
        <v>0</v>
      </c>
      <c r="P481">
        <f>IF(COUNTIFS('United Data'!$A$3:$A$3390,P$1,'United Data'!$C$3:$C$3390,$A481,'United Data'!$B$3:$B$3390,"&lt;&gt;Off-street")&gt;0,1,0)</f>
        <v>0</v>
      </c>
      <c r="Q481">
        <f>IF(COUNTIFS('United Data'!$A$3:$A$3390,Q$1,'United Data'!$C$3:$C$3390,$A481,'United Data'!$B$3:$B$3390,"&lt;&gt;Off-street")&gt;0,1,0)</f>
        <v>1</v>
      </c>
      <c r="R481">
        <f>IF(COUNTIFS('United Data'!$A$3:$A$3390,R$1,'United Data'!$C$3:$C$3390,$A481,'United Data'!$B$3:$B$3390,"&lt;&gt;Off-street")&gt;0,1,0)</f>
        <v>0</v>
      </c>
      <c r="S481">
        <f t="shared" si="14"/>
        <v>1</v>
      </c>
      <c r="T481">
        <f t="shared" si="15"/>
        <v>1</v>
      </c>
    </row>
    <row r="482" spans="1:20" x14ac:dyDescent="0.2">
      <c r="A482" t="s">
        <v>590</v>
      </c>
      <c r="B482">
        <f>IF(COUNTIFS('United Data'!$A$3:$A$3390,B$1,'United Data'!$C$3:$C$3390,$A482,'United Data'!$B$3:$B$3390,"&lt;&gt;Off-street")&gt;0,1,0)</f>
        <v>0</v>
      </c>
      <c r="C482">
        <f>IF(COUNTIFS('United Data'!$A$3:$A$3390,C$1,'United Data'!$C$3:$C$3390,$A482,'United Data'!$B$3:$B$3390,"&lt;&gt;Off-street")&gt;0,1,0)</f>
        <v>0</v>
      </c>
      <c r="D482">
        <f>IF(COUNTIFS('United Data'!$A$3:$A$3390,D$1,'United Data'!$C$3:$C$3390,$A482,'United Data'!$B$3:$B$3390,"&lt;&gt;Off-street")&gt;0,1,0)</f>
        <v>0</v>
      </c>
      <c r="E482">
        <f>IF(COUNTIFS('United Data'!$A$3:$A$3390,E$1,'United Data'!$C$3:$C$3390,$A482,'United Data'!$B$3:$B$3390,"&lt;&gt;Off-street")&gt;0,1,0)</f>
        <v>0</v>
      </c>
      <c r="F482">
        <f>IF(COUNTIFS('United Data'!$A$3:$A$3390,F$1,'United Data'!$C$3:$C$3390,$A482,'United Data'!$B$3:$B$3390,"&lt;&gt;Off-street")&gt;0,1,0)</f>
        <v>0</v>
      </c>
      <c r="G482">
        <f>IF(COUNTIFS('United Data'!$A$3:$A$3390,G$1,'United Data'!$C$3:$C$3390,$A482,'United Data'!$B$3:$B$3390,"&lt;&gt;Off-street")&gt;0,1,0)</f>
        <v>0</v>
      </c>
      <c r="H482">
        <f>IF(COUNTIFS('United Data'!$A$3:$A$3390,H$1,'United Data'!$C$3:$C$3390,$A482,'United Data'!$B$3:$B$3390,"&lt;&gt;Off-street")&gt;0,1,0)</f>
        <v>0</v>
      </c>
      <c r="I482">
        <f>IF(COUNTIFS('United Data'!$A$3:$A$3390,I$1,'United Data'!$C$3:$C$3390,$A482,'United Data'!$B$3:$B$3390,"&lt;&gt;Off-street")&gt;0,1,0)</f>
        <v>0</v>
      </c>
      <c r="J482">
        <f>IF(COUNTIFS('United Data'!$A$3:$A$3390,J$1,'United Data'!$C$3:$C$3390,$A482,'United Data'!$B$3:$B$3390,"&lt;&gt;Off-street")&gt;0,1,0)</f>
        <v>0</v>
      </c>
      <c r="K482">
        <f>IF(COUNTIFS('United Data'!$A$3:$A$3390,K$1,'United Data'!$C$3:$C$3390,$A482,'United Data'!$B$3:$B$3390,"&lt;&gt;Off-street")&gt;0,1,0)</f>
        <v>0</v>
      </c>
      <c r="L482">
        <f>IF(COUNTIFS('United Data'!$A$3:$A$3390,L$1,'United Data'!$C$3:$C$3390,$A482,'United Data'!$B$3:$B$3390,"&lt;&gt;Off-street")&gt;0,1,0)</f>
        <v>0</v>
      </c>
      <c r="M482">
        <f>IF(COUNTIFS('United Data'!$A$3:$A$3390,M$1,'United Data'!$C$3:$C$3390,$A482,'United Data'!$B$3:$B$3390,"&lt;&gt;Off-street")&gt;0,1,0)</f>
        <v>0</v>
      </c>
      <c r="N482">
        <f>IF(COUNTIFS('United Data'!$A$3:$A$3390,N$1,'United Data'!$C$3:$C$3390,$A482,'United Data'!$B$3:$B$3390,"&lt;&gt;Off-street")&gt;0,1,0)</f>
        <v>0</v>
      </c>
      <c r="O482">
        <f>IF(COUNTIFS('United Data'!$A$3:$A$3390,O$1,'United Data'!$C$3:$C$3390,$A482,'United Data'!$B$3:$B$3390,"&lt;&gt;Off-street")&gt;0,1,0)</f>
        <v>0</v>
      </c>
      <c r="P482">
        <f>IF(COUNTIFS('United Data'!$A$3:$A$3390,P$1,'United Data'!$C$3:$C$3390,$A482,'United Data'!$B$3:$B$3390,"&lt;&gt;Off-street")&gt;0,1,0)</f>
        <v>0</v>
      </c>
      <c r="Q482">
        <f>IF(COUNTIFS('United Data'!$A$3:$A$3390,Q$1,'United Data'!$C$3:$C$3390,$A482,'United Data'!$B$3:$B$3390,"&lt;&gt;Off-street")&gt;0,1,0)</f>
        <v>1</v>
      </c>
      <c r="R482">
        <f>IF(COUNTIFS('United Data'!$A$3:$A$3390,R$1,'United Data'!$C$3:$C$3390,$A482,'United Data'!$B$3:$B$3390,"&lt;&gt;Off-street")&gt;0,1,0)</f>
        <v>0</v>
      </c>
      <c r="S482">
        <f t="shared" si="14"/>
        <v>1</v>
      </c>
      <c r="T482">
        <f t="shared" si="15"/>
        <v>1</v>
      </c>
    </row>
    <row r="483" spans="1:20" x14ac:dyDescent="0.2">
      <c r="A483" t="s">
        <v>591</v>
      </c>
      <c r="B483">
        <f>IF(COUNTIFS('United Data'!$A$3:$A$3390,B$1,'United Data'!$C$3:$C$3390,$A483,'United Data'!$B$3:$B$3390,"&lt;&gt;Off-street")&gt;0,1,0)</f>
        <v>0</v>
      </c>
      <c r="C483">
        <f>IF(COUNTIFS('United Data'!$A$3:$A$3390,C$1,'United Data'!$C$3:$C$3390,$A483,'United Data'!$B$3:$B$3390,"&lt;&gt;Off-street")&gt;0,1,0)</f>
        <v>0</v>
      </c>
      <c r="D483">
        <f>IF(COUNTIFS('United Data'!$A$3:$A$3390,D$1,'United Data'!$C$3:$C$3390,$A483,'United Data'!$B$3:$B$3390,"&lt;&gt;Off-street")&gt;0,1,0)</f>
        <v>1</v>
      </c>
      <c r="E483">
        <f>IF(COUNTIFS('United Data'!$A$3:$A$3390,E$1,'United Data'!$C$3:$C$3390,$A483,'United Data'!$B$3:$B$3390,"&lt;&gt;Off-street")&gt;0,1,0)</f>
        <v>1</v>
      </c>
      <c r="F483">
        <f>IF(COUNTIFS('United Data'!$A$3:$A$3390,F$1,'United Data'!$C$3:$C$3390,$A483,'United Data'!$B$3:$B$3390,"&lt;&gt;Off-street")&gt;0,1,0)</f>
        <v>0</v>
      </c>
      <c r="G483">
        <f>IF(COUNTIFS('United Data'!$A$3:$A$3390,G$1,'United Data'!$C$3:$C$3390,$A483,'United Data'!$B$3:$B$3390,"&lt;&gt;Off-street")&gt;0,1,0)</f>
        <v>0</v>
      </c>
      <c r="H483">
        <f>IF(COUNTIFS('United Data'!$A$3:$A$3390,H$1,'United Data'!$C$3:$C$3390,$A483,'United Data'!$B$3:$B$3390,"&lt;&gt;Off-street")&gt;0,1,0)</f>
        <v>0</v>
      </c>
      <c r="I483">
        <f>IF(COUNTIFS('United Data'!$A$3:$A$3390,I$1,'United Data'!$C$3:$C$3390,$A483,'United Data'!$B$3:$B$3390,"&lt;&gt;Off-street")&gt;0,1,0)</f>
        <v>0</v>
      </c>
      <c r="J483">
        <f>IF(COUNTIFS('United Data'!$A$3:$A$3390,J$1,'United Data'!$C$3:$C$3390,$A483,'United Data'!$B$3:$B$3390,"&lt;&gt;Off-street")&gt;0,1,0)</f>
        <v>0</v>
      </c>
      <c r="K483">
        <f>IF(COUNTIFS('United Data'!$A$3:$A$3390,K$1,'United Data'!$C$3:$C$3390,$A483,'United Data'!$B$3:$B$3390,"&lt;&gt;Off-street")&gt;0,1,0)</f>
        <v>0</v>
      </c>
      <c r="L483">
        <f>IF(COUNTIFS('United Data'!$A$3:$A$3390,L$1,'United Data'!$C$3:$C$3390,$A483,'United Data'!$B$3:$B$3390,"&lt;&gt;Off-street")&gt;0,1,0)</f>
        <v>0</v>
      </c>
      <c r="M483">
        <f>IF(COUNTIFS('United Data'!$A$3:$A$3390,M$1,'United Data'!$C$3:$C$3390,$A483,'United Data'!$B$3:$B$3390,"&lt;&gt;Off-street")&gt;0,1,0)</f>
        <v>0</v>
      </c>
      <c r="N483">
        <f>IF(COUNTIFS('United Data'!$A$3:$A$3390,N$1,'United Data'!$C$3:$C$3390,$A483,'United Data'!$B$3:$B$3390,"&lt;&gt;Off-street")&gt;0,1,0)</f>
        <v>0</v>
      </c>
      <c r="O483">
        <f>IF(COUNTIFS('United Data'!$A$3:$A$3390,O$1,'United Data'!$C$3:$C$3390,$A483,'United Data'!$B$3:$B$3390,"&lt;&gt;Off-street")&gt;0,1,0)</f>
        <v>0</v>
      </c>
      <c r="P483">
        <f>IF(COUNTIFS('United Data'!$A$3:$A$3390,P$1,'United Data'!$C$3:$C$3390,$A483,'United Data'!$B$3:$B$3390,"&lt;&gt;Off-street")&gt;0,1,0)</f>
        <v>0</v>
      </c>
      <c r="Q483">
        <f>IF(COUNTIFS('United Data'!$A$3:$A$3390,Q$1,'United Data'!$C$3:$C$3390,$A483,'United Data'!$B$3:$B$3390,"&lt;&gt;Off-street")&gt;0,1,0)</f>
        <v>1</v>
      </c>
      <c r="R483">
        <f>IF(COUNTIFS('United Data'!$A$3:$A$3390,R$1,'United Data'!$C$3:$C$3390,$A483,'United Data'!$B$3:$B$3390,"&lt;&gt;Off-street")&gt;0,1,0)</f>
        <v>1</v>
      </c>
      <c r="S483">
        <f t="shared" si="14"/>
        <v>4</v>
      </c>
      <c r="T483">
        <f t="shared" si="15"/>
        <v>2</v>
      </c>
    </row>
    <row r="484" spans="1:20" x14ac:dyDescent="0.2">
      <c r="A484" t="s">
        <v>592</v>
      </c>
      <c r="B484">
        <f>IF(COUNTIFS('United Data'!$A$3:$A$3390,B$1,'United Data'!$C$3:$C$3390,$A484,'United Data'!$B$3:$B$3390,"&lt;&gt;Off-street")&gt;0,1,0)</f>
        <v>0</v>
      </c>
      <c r="C484">
        <f>IF(COUNTIFS('United Data'!$A$3:$A$3390,C$1,'United Data'!$C$3:$C$3390,$A484,'United Data'!$B$3:$B$3390,"&lt;&gt;Off-street")&gt;0,1,0)</f>
        <v>0</v>
      </c>
      <c r="D484">
        <f>IF(COUNTIFS('United Data'!$A$3:$A$3390,D$1,'United Data'!$C$3:$C$3390,$A484,'United Data'!$B$3:$B$3390,"&lt;&gt;Off-street")&gt;0,1,0)</f>
        <v>0</v>
      </c>
      <c r="E484">
        <f>IF(COUNTIFS('United Data'!$A$3:$A$3390,E$1,'United Data'!$C$3:$C$3390,$A484,'United Data'!$B$3:$B$3390,"&lt;&gt;Off-street")&gt;0,1,0)</f>
        <v>0</v>
      </c>
      <c r="F484">
        <f>IF(COUNTIFS('United Data'!$A$3:$A$3390,F$1,'United Data'!$C$3:$C$3390,$A484,'United Data'!$B$3:$B$3390,"&lt;&gt;Off-street")&gt;0,1,0)</f>
        <v>0</v>
      </c>
      <c r="G484">
        <f>IF(COUNTIFS('United Data'!$A$3:$A$3390,G$1,'United Data'!$C$3:$C$3390,$A484,'United Data'!$B$3:$B$3390,"&lt;&gt;Off-street")&gt;0,1,0)</f>
        <v>0</v>
      </c>
      <c r="H484">
        <f>IF(COUNTIFS('United Data'!$A$3:$A$3390,H$1,'United Data'!$C$3:$C$3390,$A484,'United Data'!$B$3:$B$3390,"&lt;&gt;Off-street")&gt;0,1,0)</f>
        <v>0</v>
      </c>
      <c r="I484">
        <f>IF(COUNTIFS('United Data'!$A$3:$A$3390,I$1,'United Data'!$C$3:$C$3390,$A484,'United Data'!$B$3:$B$3390,"&lt;&gt;Off-street")&gt;0,1,0)</f>
        <v>0</v>
      </c>
      <c r="J484">
        <f>IF(COUNTIFS('United Data'!$A$3:$A$3390,J$1,'United Data'!$C$3:$C$3390,$A484,'United Data'!$B$3:$B$3390,"&lt;&gt;Off-street")&gt;0,1,0)</f>
        <v>0</v>
      </c>
      <c r="K484">
        <f>IF(COUNTIFS('United Data'!$A$3:$A$3390,K$1,'United Data'!$C$3:$C$3390,$A484,'United Data'!$B$3:$B$3390,"&lt;&gt;Off-street")&gt;0,1,0)</f>
        <v>0</v>
      </c>
      <c r="L484">
        <f>IF(COUNTIFS('United Data'!$A$3:$A$3390,L$1,'United Data'!$C$3:$C$3390,$A484,'United Data'!$B$3:$B$3390,"&lt;&gt;Off-street")&gt;0,1,0)</f>
        <v>0</v>
      </c>
      <c r="M484">
        <f>IF(COUNTIFS('United Data'!$A$3:$A$3390,M$1,'United Data'!$C$3:$C$3390,$A484,'United Data'!$B$3:$B$3390,"&lt;&gt;Off-street")&gt;0,1,0)</f>
        <v>0</v>
      </c>
      <c r="N484">
        <f>IF(COUNTIFS('United Data'!$A$3:$A$3390,N$1,'United Data'!$C$3:$C$3390,$A484,'United Data'!$B$3:$B$3390,"&lt;&gt;Off-street")&gt;0,1,0)</f>
        <v>0</v>
      </c>
      <c r="O484">
        <f>IF(COUNTIFS('United Data'!$A$3:$A$3390,O$1,'United Data'!$C$3:$C$3390,$A484,'United Data'!$B$3:$B$3390,"&lt;&gt;Off-street")&gt;0,1,0)</f>
        <v>0</v>
      </c>
      <c r="P484">
        <f>IF(COUNTIFS('United Data'!$A$3:$A$3390,P$1,'United Data'!$C$3:$C$3390,$A484,'United Data'!$B$3:$B$3390,"&lt;&gt;Off-street")&gt;0,1,0)</f>
        <v>1</v>
      </c>
      <c r="Q484">
        <f>IF(COUNTIFS('United Data'!$A$3:$A$3390,Q$1,'United Data'!$C$3:$C$3390,$A484,'United Data'!$B$3:$B$3390,"&lt;&gt;Off-street")&gt;0,1,0)</f>
        <v>1</v>
      </c>
      <c r="R484">
        <f>IF(COUNTIFS('United Data'!$A$3:$A$3390,R$1,'United Data'!$C$3:$C$3390,$A484,'United Data'!$B$3:$B$3390,"&lt;&gt;Off-street")&gt;0,1,0)</f>
        <v>1</v>
      </c>
      <c r="S484">
        <f t="shared" si="14"/>
        <v>3</v>
      </c>
      <c r="T484">
        <f t="shared" si="15"/>
        <v>1</v>
      </c>
    </row>
    <row r="485" spans="1:20" x14ac:dyDescent="0.2">
      <c r="A485" t="s">
        <v>593</v>
      </c>
      <c r="B485">
        <f>IF(COUNTIFS('United Data'!$A$3:$A$3390,B$1,'United Data'!$C$3:$C$3390,$A485,'United Data'!$B$3:$B$3390,"&lt;&gt;Off-street")&gt;0,1,0)</f>
        <v>1</v>
      </c>
      <c r="C485">
        <f>IF(COUNTIFS('United Data'!$A$3:$A$3390,C$1,'United Data'!$C$3:$C$3390,$A485,'United Data'!$B$3:$B$3390,"&lt;&gt;Off-street")&gt;0,1,0)</f>
        <v>1</v>
      </c>
      <c r="D485">
        <f>IF(COUNTIFS('United Data'!$A$3:$A$3390,D$1,'United Data'!$C$3:$C$3390,$A485,'United Data'!$B$3:$B$3390,"&lt;&gt;Off-street")&gt;0,1,0)</f>
        <v>0</v>
      </c>
      <c r="E485">
        <f>IF(COUNTIFS('United Data'!$A$3:$A$3390,E$1,'United Data'!$C$3:$C$3390,$A485,'United Data'!$B$3:$B$3390,"&lt;&gt;Off-street")&gt;0,1,0)</f>
        <v>1</v>
      </c>
      <c r="F485">
        <f>IF(COUNTIFS('United Data'!$A$3:$A$3390,F$1,'United Data'!$C$3:$C$3390,$A485,'United Data'!$B$3:$B$3390,"&lt;&gt;Off-street")&gt;0,1,0)</f>
        <v>1</v>
      </c>
      <c r="G485">
        <f>IF(COUNTIFS('United Data'!$A$3:$A$3390,G$1,'United Data'!$C$3:$C$3390,$A485,'United Data'!$B$3:$B$3390,"&lt;&gt;Off-street")&gt;0,1,0)</f>
        <v>1</v>
      </c>
      <c r="H485">
        <f>IF(COUNTIFS('United Data'!$A$3:$A$3390,H$1,'United Data'!$C$3:$C$3390,$A485,'United Data'!$B$3:$B$3390,"&lt;&gt;Off-street")&gt;0,1,0)</f>
        <v>1</v>
      </c>
      <c r="I485">
        <f>IF(COUNTIFS('United Data'!$A$3:$A$3390,I$1,'United Data'!$C$3:$C$3390,$A485,'United Data'!$B$3:$B$3390,"&lt;&gt;Off-street")&gt;0,1,0)</f>
        <v>1</v>
      </c>
      <c r="J485">
        <f>IF(COUNTIFS('United Data'!$A$3:$A$3390,J$1,'United Data'!$C$3:$C$3390,$A485,'United Data'!$B$3:$B$3390,"&lt;&gt;Off-street")&gt;0,1,0)</f>
        <v>0</v>
      </c>
      <c r="K485">
        <f>IF(COUNTIFS('United Data'!$A$3:$A$3390,K$1,'United Data'!$C$3:$C$3390,$A485,'United Data'!$B$3:$B$3390,"&lt;&gt;Off-street")&gt;0,1,0)</f>
        <v>0</v>
      </c>
      <c r="L485">
        <f>IF(COUNTIFS('United Data'!$A$3:$A$3390,L$1,'United Data'!$C$3:$C$3390,$A485,'United Data'!$B$3:$B$3390,"&lt;&gt;Off-street")&gt;0,1,0)</f>
        <v>0</v>
      </c>
      <c r="M485">
        <f>IF(COUNTIFS('United Data'!$A$3:$A$3390,M$1,'United Data'!$C$3:$C$3390,$A485,'United Data'!$B$3:$B$3390,"&lt;&gt;Off-street")&gt;0,1,0)</f>
        <v>0</v>
      </c>
      <c r="N485">
        <f>IF(COUNTIFS('United Data'!$A$3:$A$3390,N$1,'United Data'!$C$3:$C$3390,$A485,'United Data'!$B$3:$B$3390,"&lt;&gt;Off-street")&gt;0,1,0)</f>
        <v>0</v>
      </c>
      <c r="O485">
        <f>IF(COUNTIFS('United Data'!$A$3:$A$3390,O$1,'United Data'!$C$3:$C$3390,$A485,'United Data'!$B$3:$B$3390,"&lt;&gt;Off-street")&gt;0,1,0)</f>
        <v>0</v>
      </c>
      <c r="P485">
        <f>IF(COUNTIFS('United Data'!$A$3:$A$3390,P$1,'United Data'!$C$3:$C$3390,$A485,'United Data'!$B$3:$B$3390,"&lt;&gt;Off-street")&gt;0,1,0)</f>
        <v>0</v>
      </c>
      <c r="Q485">
        <f>IF(COUNTIFS('United Data'!$A$3:$A$3390,Q$1,'United Data'!$C$3:$C$3390,$A485,'United Data'!$B$3:$B$3390,"&lt;&gt;Off-street")&gt;0,1,0)</f>
        <v>1</v>
      </c>
      <c r="R485">
        <f>IF(COUNTIFS('United Data'!$A$3:$A$3390,R$1,'United Data'!$C$3:$C$3390,$A485,'United Data'!$B$3:$B$3390,"&lt;&gt;Off-street")&gt;0,1,0)</f>
        <v>1</v>
      </c>
      <c r="S485">
        <f t="shared" si="14"/>
        <v>9</v>
      </c>
      <c r="T485">
        <f t="shared" si="15"/>
        <v>3</v>
      </c>
    </row>
    <row r="486" spans="1:20" x14ac:dyDescent="0.2">
      <c r="A486" t="s">
        <v>594</v>
      </c>
      <c r="B486">
        <f>IF(COUNTIFS('United Data'!$A$3:$A$3390,B$1,'United Data'!$C$3:$C$3390,$A486,'United Data'!$B$3:$B$3390,"&lt;&gt;Off-street")&gt;0,1,0)</f>
        <v>0</v>
      </c>
      <c r="C486">
        <f>IF(COUNTIFS('United Data'!$A$3:$A$3390,C$1,'United Data'!$C$3:$C$3390,$A486,'United Data'!$B$3:$B$3390,"&lt;&gt;Off-street")&gt;0,1,0)</f>
        <v>0</v>
      </c>
      <c r="D486">
        <f>IF(COUNTIFS('United Data'!$A$3:$A$3390,D$1,'United Data'!$C$3:$C$3390,$A486,'United Data'!$B$3:$B$3390,"&lt;&gt;Off-street")&gt;0,1,0)</f>
        <v>0</v>
      </c>
      <c r="E486">
        <f>IF(COUNTIFS('United Data'!$A$3:$A$3390,E$1,'United Data'!$C$3:$C$3390,$A486,'United Data'!$B$3:$B$3390,"&lt;&gt;Off-street")&gt;0,1,0)</f>
        <v>0</v>
      </c>
      <c r="F486">
        <f>IF(COUNTIFS('United Data'!$A$3:$A$3390,F$1,'United Data'!$C$3:$C$3390,$A486,'United Data'!$B$3:$B$3390,"&lt;&gt;Off-street")&gt;0,1,0)</f>
        <v>0</v>
      </c>
      <c r="G486">
        <f>IF(COUNTIFS('United Data'!$A$3:$A$3390,G$1,'United Data'!$C$3:$C$3390,$A486,'United Data'!$B$3:$B$3390,"&lt;&gt;Off-street")&gt;0,1,0)</f>
        <v>0</v>
      </c>
      <c r="H486">
        <f>IF(COUNTIFS('United Data'!$A$3:$A$3390,H$1,'United Data'!$C$3:$C$3390,$A486,'United Data'!$B$3:$B$3390,"&lt;&gt;Off-street")&gt;0,1,0)</f>
        <v>0</v>
      </c>
      <c r="I486">
        <f>IF(COUNTIFS('United Data'!$A$3:$A$3390,I$1,'United Data'!$C$3:$C$3390,$A486,'United Data'!$B$3:$B$3390,"&lt;&gt;Off-street")&gt;0,1,0)</f>
        <v>0</v>
      </c>
      <c r="J486">
        <f>IF(COUNTIFS('United Data'!$A$3:$A$3390,J$1,'United Data'!$C$3:$C$3390,$A486,'United Data'!$B$3:$B$3390,"&lt;&gt;Off-street")&gt;0,1,0)</f>
        <v>0</v>
      </c>
      <c r="K486">
        <f>IF(COUNTIFS('United Data'!$A$3:$A$3390,K$1,'United Data'!$C$3:$C$3390,$A486,'United Data'!$B$3:$B$3390,"&lt;&gt;Off-street")&gt;0,1,0)</f>
        <v>0</v>
      </c>
      <c r="L486">
        <f>IF(COUNTIFS('United Data'!$A$3:$A$3390,L$1,'United Data'!$C$3:$C$3390,$A486,'United Data'!$B$3:$B$3390,"&lt;&gt;Off-street")&gt;0,1,0)</f>
        <v>0</v>
      </c>
      <c r="M486">
        <f>IF(COUNTIFS('United Data'!$A$3:$A$3390,M$1,'United Data'!$C$3:$C$3390,$A486,'United Data'!$B$3:$B$3390,"&lt;&gt;Off-street")&gt;0,1,0)</f>
        <v>0</v>
      </c>
      <c r="N486">
        <f>IF(COUNTIFS('United Data'!$A$3:$A$3390,N$1,'United Data'!$C$3:$C$3390,$A486,'United Data'!$B$3:$B$3390,"&lt;&gt;Off-street")&gt;0,1,0)</f>
        <v>0</v>
      </c>
      <c r="O486">
        <f>IF(COUNTIFS('United Data'!$A$3:$A$3390,O$1,'United Data'!$C$3:$C$3390,$A486,'United Data'!$B$3:$B$3390,"&lt;&gt;Off-street")&gt;0,1,0)</f>
        <v>1</v>
      </c>
      <c r="P486">
        <f>IF(COUNTIFS('United Data'!$A$3:$A$3390,P$1,'United Data'!$C$3:$C$3390,$A486,'United Data'!$B$3:$B$3390,"&lt;&gt;Off-street")&gt;0,1,0)</f>
        <v>1</v>
      </c>
      <c r="Q486">
        <f>IF(COUNTIFS('United Data'!$A$3:$A$3390,Q$1,'United Data'!$C$3:$C$3390,$A486,'United Data'!$B$3:$B$3390,"&lt;&gt;Off-street")&gt;0,1,0)</f>
        <v>0</v>
      </c>
      <c r="R486">
        <f>IF(COUNTIFS('United Data'!$A$3:$A$3390,R$1,'United Data'!$C$3:$C$3390,$A486,'United Data'!$B$3:$B$3390,"&lt;&gt;Off-street")&gt;0,1,0)</f>
        <v>1</v>
      </c>
      <c r="S486">
        <f t="shared" si="14"/>
        <v>3</v>
      </c>
      <c r="T486">
        <f t="shared" si="15"/>
        <v>2</v>
      </c>
    </row>
    <row r="487" spans="1:20" x14ac:dyDescent="0.2">
      <c r="A487" t="s">
        <v>595</v>
      </c>
      <c r="B487">
        <f>IF(COUNTIFS('United Data'!$A$3:$A$3390,B$1,'United Data'!$C$3:$C$3390,$A487,'United Data'!$B$3:$B$3390,"&lt;&gt;Off-street")&gt;0,1,0)</f>
        <v>0</v>
      </c>
      <c r="C487">
        <f>IF(COUNTIFS('United Data'!$A$3:$A$3390,C$1,'United Data'!$C$3:$C$3390,$A487,'United Data'!$B$3:$B$3390,"&lt;&gt;Off-street")&gt;0,1,0)</f>
        <v>0</v>
      </c>
      <c r="D487">
        <f>IF(COUNTIFS('United Data'!$A$3:$A$3390,D$1,'United Data'!$C$3:$C$3390,$A487,'United Data'!$B$3:$B$3390,"&lt;&gt;Off-street")&gt;0,1,0)</f>
        <v>0</v>
      </c>
      <c r="E487">
        <f>IF(COUNTIFS('United Data'!$A$3:$A$3390,E$1,'United Data'!$C$3:$C$3390,$A487,'United Data'!$B$3:$B$3390,"&lt;&gt;Off-street")&gt;0,1,0)</f>
        <v>0</v>
      </c>
      <c r="F487">
        <f>IF(COUNTIFS('United Data'!$A$3:$A$3390,F$1,'United Data'!$C$3:$C$3390,$A487,'United Data'!$B$3:$B$3390,"&lt;&gt;Off-street")&gt;0,1,0)</f>
        <v>0</v>
      </c>
      <c r="G487">
        <f>IF(COUNTIFS('United Data'!$A$3:$A$3390,G$1,'United Data'!$C$3:$C$3390,$A487,'United Data'!$B$3:$B$3390,"&lt;&gt;Off-street")&gt;0,1,0)</f>
        <v>0</v>
      </c>
      <c r="H487">
        <f>IF(COUNTIFS('United Data'!$A$3:$A$3390,H$1,'United Data'!$C$3:$C$3390,$A487,'United Data'!$B$3:$B$3390,"&lt;&gt;Off-street")&gt;0,1,0)</f>
        <v>0</v>
      </c>
      <c r="I487">
        <f>IF(COUNTIFS('United Data'!$A$3:$A$3390,I$1,'United Data'!$C$3:$C$3390,$A487,'United Data'!$B$3:$B$3390,"&lt;&gt;Off-street")&gt;0,1,0)</f>
        <v>0</v>
      </c>
      <c r="J487">
        <f>IF(COUNTIFS('United Data'!$A$3:$A$3390,J$1,'United Data'!$C$3:$C$3390,$A487,'United Data'!$B$3:$B$3390,"&lt;&gt;Off-street")&gt;0,1,0)</f>
        <v>0</v>
      </c>
      <c r="K487">
        <f>IF(COUNTIFS('United Data'!$A$3:$A$3390,K$1,'United Data'!$C$3:$C$3390,$A487,'United Data'!$B$3:$B$3390,"&lt;&gt;Off-street")&gt;0,1,0)</f>
        <v>0</v>
      </c>
      <c r="L487">
        <f>IF(COUNTIFS('United Data'!$A$3:$A$3390,L$1,'United Data'!$C$3:$C$3390,$A487,'United Data'!$B$3:$B$3390,"&lt;&gt;Off-street")&gt;0,1,0)</f>
        <v>0</v>
      </c>
      <c r="M487">
        <f>IF(COUNTIFS('United Data'!$A$3:$A$3390,M$1,'United Data'!$C$3:$C$3390,$A487,'United Data'!$B$3:$B$3390,"&lt;&gt;Off-street")&gt;0,1,0)</f>
        <v>0</v>
      </c>
      <c r="N487">
        <f>IF(COUNTIFS('United Data'!$A$3:$A$3390,N$1,'United Data'!$C$3:$C$3390,$A487,'United Data'!$B$3:$B$3390,"&lt;&gt;Off-street")&gt;0,1,0)</f>
        <v>0</v>
      </c>
      <c r="O487">
        <f>IF(COUNTIFS('United Data'!$A$3:$A$3390,O$1,'United Data'!$C$3:$C$3390,$A487,'United Data'!$B$3:$B$3390,"&lt;&gt;Off-street")&gt;0,1,0)</f>
        <v>0</v>
      </c>
      <c r="P487">
        <f>IF(COUNTIFS('United Data'!$A$3:$A$3390,P$1,'United Data'!$C$3:$C$3390,$A487,'United Data'!$B$3:$B$3390,"&lt;&gt;Off-street")&gt;0,1,0)</f>
        <v>1</v>
      </c>
      <c r="Q487">
        <f>IF(COUNTIFS('United Data'!$A$3:$A$3390,Q$1,'United Data'!$C$3:$C$3390,$A487,'United Data'!$B$3:$B$3390,"&lt;&gt;Off-street")&gt;0,1,0)</f>
        <v>1</v>
      </c>
      <c r="R487">
        <f>IF(COUNTIFS('United Data'!$A$3:$A$3390,R$1,'United Data'!$C$3:$C$3390,$A487,'United Data'!$B$3:$B$3390,"&lt;&gt;Off-street")&gt;0,1,0)</f>
        <v>1</v>
      </c>
      <c r="S487">
        <f t="shared" si="14"/>
        <v>3</v>
      </c>
      <c r="T487">
        <f t="shared" si="15"/>
        <v>1</v>
      </c>
    </row>
    <row r="488" spans="1:20" x14ac:dyDescent="0.2">
      <c r="A488" t="s">
        <v>596</v>
      </c>
      <c r="B488">
        <f>IF(COUNTIFS('United Data'!$A$3:$A$3390,B$1,'United Data'!$C$3:$C$3390,$A488,'United Data'!$B$3:$B$3390,"&lt;&gt;Off-street")&gt;0,1,0)</f>
        <v>1</v>
      </c>
      <c r="C488">
        <f>IF(COUNTIFS('United Data'!$A$3:$A$3390,C$1,'United Data'!$C$3:$C$3390,$A488,'United Data'!$B$3:$B$3390,"&lt;&gt;Off-street")&gt;0,1,0)</f>
        <v>0</v>
      </c>
      <c r="D488">
        <f>IF(COUNTIFS('United Data'!$A$3:$A$3390,D$1,'United Data'!$C$3:$C$3390,$A488,'United Data'!$B$3:$B$3390,"&lt;&gt;Off-street")&gt;0,1,0)</f>
        <v>0</v>
      </c>
      <c r="E488">
        <f>IF(COUNTIFS('United Data'!$A$3:$A$3390,E$1,'United Data'!$C$3:$C$3390,$A488,'United Data'!$B$3:$B$3390,"&lt;&gt;Off-street")&gt;0,1,0)</f>
        <v>0</v>
      </c>
      <c r="F488">
        <f>IF(COUNTIFS('United Data'!$A$3:$A$3390,F$1,'United Data'!$C$3:$C$3390,$A488,'United Data'!$B$3:$B$3390,"&lt;&gt;Off-street")&gt;0,1,0)</f>
        <v>0</v>
      </c>
      <c r="G488">
        <f>IF(COUNTIFS('United Data'!$A$3:$A$3390,G$1,'United Data'!$C$3:$C$3390,$A488,'United Data'!$B$3:$B$3390,"&lt;&gt;Off-street")&gt;0,1,0)</f>
        <v>0</v>
      </c>
      <c r="H488">
        <f>IF(COUNTIFS('United Data'!$A$3:$A$3390,H$1,'United Data'!$C$3:$C$3390,$A488,'United Data'!$B$3:$B$3390,"&lt;&gt;Off-street")&gt;0,1,0)</f>
        <v>0</v>
      </c>
      <c r="I488">
        <f>IF(COUNTIFS('United Data'!$A$3:$A$3390,I$1,'United Data'!$C$3:$C$3390,$A488,'United Data'!$B$3:$B$3390,"&lt;&gt;Off-street")&gt;0,1,0)</f>
        <v>0</v>
      </c>
      <c r="J488">
        <f>IF(COUNTIFS('United Data'!$A$3:$A$3390,J$1,'United Data'!$C$3:$C$3390,$A488,'United Data'!$B$3:$B$3390,"&lt;&gt;Off-street")&gt;0,1,0)</f>
        <v>0</v>
      </c>
      <c r="K488">
        <f>IF(COUNTIFS('United Data'!$A$3:$A$3390,K$1,'United Data'!$C$3:$C$3390,$A488,'United Data'!$B$3:$B$3390,"&lt;&gt;Off-street")&gt;0,1,0)</f>
        <v>0</v>
      </c>
      <c r="L488">
        <f>IF(COUNTIFS('United Data'!$A$3:$A$3390,L$1,'United Data'!$C$3:$C$3390,$A488,'United Data'!$B$3:$B$3390,"&lt;&gt;Off-street")&gt;0,1,0)</f>
        <v>0</v>
      </c>
      <c r="M488">
        <f>IF(COUNTIFS('United Data'!$A$3:$A$3390,M$1,'United Data'!$C$3:$C$3390,$A488,'United Data'!$B$3:$B$3390,"&lt;&gt;Off-street")&gt;0,1,0)</f>
        <v>0</v>
      </c>
      <c r="N488">
        <f>IF(COUNTIFS('United Data'!$A$3:$A$3390,N$1,'United Data'!$C$3:$C$3390,$A488,'United Data'!$B$3:$B$3390,"&lt;&gt;Off-street")&gt;0,1,0)</f>
        <v>0</v>
      </c>
      <c r="O488">
        <f>IF(COUNTIFS('United Data'!$A$3:$A$3390,O$1,'United Data'!$C$3:$C$3390,$A488,'United Data'!$B$3:$B$3390,"&lt;&gt;Off-street")&gt;0,1,0)</f>
        <v>0</v>
      </c>
      <c r="P488">
        <f>IF(COUNTIFS('United Data'!$A$3:$A$3390,P$1,'United Data'!$C$3:$C$3390,$A488,'United Data'!$B$3:$B$3390,"&lt;&gt;Off-street")&gt;0,1,0)</f>
        <v>0</v>
      </c>
      <c r="Q488">
        <f>IF(COUNTIFS('United Data'!$A$3:$A$3390,Q$1,'United Data'!$C$3:$C$3390,$A488,'United Data'!$B$3:$B$3390,"&lt;&gt;Off-street")&gt;0,1,0)</f>
        <v>0</v>
      </c>
      <c r="R488">
        <f>IF(COUNTIFS('United Data'!$A$3:$A$3390,R$1,'United Data'!$C$3:$C$3390,$A488,'United Data'!$B$3:$B$3390,"&lt;&gt;Off-street")&gt;0,1,0)</f>
        <v>0</v>
      </c>
      <c r="S488">
        <f t="shared" si="14"/>
        <v>1</v>
      </c>
      <c r="T488">
        <f t="shared" si="15"/>
        <v>1</v>
      </c>
    </row>
    <row r="489" spans="1:20" x14ac:dyDescent="0.2">
      <c r="A489" t="s">
        <v>597</v>
      </c>
      <c r="B489">
        <f>IF(COUNTIFS('United Data'!$A$3:$A$3390,B$1,'United Data'!$C$3:$C$3390,$A489,'United Data'!$B$3:$B$3390,"&lt;&gt;Off-street")&gt;0,1,0)</f>
        <v>1</v>
      </c>
      <c r="C489">
        <f>IF(COUNTIFS('United Data'!$A$3:$A$3390,C$1,'United Data'!$C$3:$C$3390,$A489,'United Data'!$B$3:$B$3390,"&lt;&gt;Off-street")&gt;0,1,0)</f>
        <v>0</v>
      </c>
      <c r="D489">
        <f>IF(COUNTIFS('United Data'!$A$3:$A$3390,D$1,'United Data'!$C$3:$C$3390,$A489,'United Data'!$B$3:$B$3390,"&lt;&gt;Off-street")&gt;0,1,0)</f>
        <v>0</v>
      </c>
      <c r="E489">
        <f>IF(COUNTIFS('United Data'!$A$3:$A$3390,E$1,'United Data'!$C$3:$C$3390,$A489,'United Data'!$B$3:$B$3390,"&lt;&gt;Off-street")&gt;0,1,0)</f>
        <v>0</v>
      </c>
      <c r="F489">
        <f>IF(COUNTIFS('United Data'!$A$3:$A$3390,F$1,'United Data'!$C$3:$C$3390,$A489,'United Data'!$B$3:$B$3390,"&lt;&gt;Off-street")&gt;0,1,0)</f>
        <v>0</v>
      </c>
      <c r="G489">
        <f>IF(COUNTIFS('United Data'!$A$3:$A$3390,G$1,'United Data'!$C$3:$C$3390,$A489,'United Data'!$B$3:$B$3390,"&lt;&gt;Off-street")&gt;0,1,0)</f>
        <v>0</v>
      </c>
      <c r="H489">
        <f>IF(COUNTIFS('United Data'!$A$3:$A$3390,H$1,'United Data'!$C$3:$C$3390,$A489,'United Data'!$B$3:$B$3390,"&lt;&gt;Off-street")&gt;0,1,0)</f>
        <v>0</v>
      </c>
      <c r="I489">
        <f>IF(COUNTIFS('United Data'!$A$3:$A$3390,I$1,'United Data'!$C$3:$C$3390,$A489,'United Data'!$B$3:$B$3390,"&lt;&gt;Off-street")&gt;0,1,0)</f>
        <v>0</v>
      </c>
      <c r="J489">
        <f>IF(COUNTIFS('United Data'!$A$3:$A$3390,J$1,'United Data'!$C$3:$C$3390,$A489,'United Data'!$B$3:$B$3390,"&lt;&gt;Off-street")&gt;0,1,0)</f>
        <v>0</v>
      </c>
      <c r="K489">
        <f>IF(COUNTIFS('United Data'!$A$3:$A$3390,K$1,'United Data'!$C$3:$C$3390,$A489,'United Data'!$B$3:$B$3390,"&lt;&gt;Off-street")&gt;0,1,0)</f>
        <v>0</v>
      </c>
      <c r="L489">
        <f>IF(COUNTIFS('United Data'!$A$3:$A$3390,L$1,'United Data'!$C$3:$C$3390,$A489,'United Data'!$B$3:$B$3390,"&lt;&gt;Off-street")&gt;0,1,0)</f>
        <v>0</v>
      </c>
      <c r="M489">
        <f>IF(COUNTIFS('United Data'!$A$3:$A$3390,M$1,'United Data'!$C$3:$C$3390,$A489,'United Data'!$B$3:$B$3390,"&lt;&gt;Off-street")&gt;0,1,0)</f>
        <v>0</v>
      </c>
      <c r="N489">
        <f>IF(COUNTIFS('United Data'!$A$3:$A$3390,N$1,'United Data'!$C$3:$C$3390,$A489,'United Data'!$B$3:$B$3390,"&lt;&gt;Off-street")&gt;0,1,0)</f>
        <v>0</v>
      </c>
      <c r="O489">
        <f>IF(COUNTIFS('United Data'!$A$3:$A$3390,O$1,'United Data'!$C$3:$C$3390,$A489,'United Data'!$B$3:$B$3390,"&lt;&gt;Off-street")&gt;0,1,0)</f>
        <v>0</v>
      </c>
      <c r="P489">
        <f>IF(COUNTIFS('United Data'!$A$3:$A$3390,P$1,'United Data'!$C$3:$C$3390,$A489,'United Data'!$B$3:$B$3390,"&lt;&gt;Off-street")&gt;0,1,0)</f>
        <v>0</v>
      </c>
      <c r="Q489">
        <f>IF(COUNTIFS('United Data'!$A$3:$A$3390,Q$1,'United Data'!$C$3:$C$3390,$A489,'United Data'!$B$3:$B$3390,"&lt;&gt;Off-street")&gt;0,1,0)</f>
        <v>0</v>
      </c>
      <c r="R489">
        <f>IF(COUNTIFS('United Data'!$A$3:$A$3390,R$1,'United Data'!$C$3:$C$3390,$A489,'United Data'!$B$3:$B$3390,"&lt;&gt;Off-street")&gt;0,1,0)</f>
        <v>0</v>
      </c>
      <c r="S489">
        <f t="shared" si="14"/>
        <v>1</v>
      </c>
      <c r="T489">
        <f t="shared" si="15"/>
        <v>1</v>
      </c>
    </row>
    <row r="490" spans="1:20" x14ac:dyDescent="0.2">
      <c r="A490" t="s">
        <v>598</v>
      </c>
      <c r="B490">
        <f>IF(COUNTIFS('United Data'!$A$3:$A$3390,B$1,'United Data'!$C$3:$C$3390,$A490,'United Data'!$B$3:$B$3390,"&lt;&gt;Off-street")&gt;0,1,0)</f>
        <v>1</v>
      </c>
      <c r="C490">
        <f>IF(COUNTIFS('United Data'!$A$3:$A$3390,C$1,'United Data'!$C$3:$C$3390,$A490,'United Data'!$B$3:$B$3390,"&lt;&gt;Off-street")&gt;0,1,0)</f>
        <v>0</v>
      </c>
      <c r="D490">
        <f>IF(COUNTIFS('United Data'!$A$3:$A$3390,D$1,'United Data'!$C$3:$C$3390,$A490,'United Data'!$B$3:$B$3390,"&lt;&gt;Off-street")&gt;0,1,0)</f>
        <v>0</v>
      </c>
      <c r="E490">
        <f>IF(COUNTIFS('United Data'!$A$3:$A$3390,E$1,'United Data'!$C$3:$C$3390,$A490,'United Data'!$B$3:$B$3390,"&lt;&gt;Off-street")&gt;0,1,0)</f>
        <v>0</v>
      </c>
      <c r="F490">
        <f>IF(COUNTIFS('United Data'!$A$3:$A$3390,F$1,'United Data'!$C$3:$C$3390,$A490,'United Data'!$B$3:$B$3390,"&lt;&gt;Off-street")&gt;0,1,0)</f>
        <v>0</v>
      </c>
      <c r="G490">
        <f>IF(COUNTIFS('United Data'!$A$3:$A$3390,G$1,'United Data'!$C$3:$C$3390,$A490,'United Data'!$B$3:$B$3390,"&lt;&gt;Off-street")&gt;0,1,0)</f>
        <v>0</v>
      </c>
      <c r="H490">
        <f>IF(COUNTIFS('United Data'!$A$3:$A$3390,H$1,'United Data'!$C$3:$C$3390,$A490,'United Data'!$B$3:$B$3390,"&lt;&gt;Off-street")&gt;0,1,0)</f>
        <v>0</v>
      </c>
      <c r="I490">
        <f>IF(COUNTIFS('United Data'!$A$3:$A$3390,I$1,'United Data'!$C$3:$C$3390,$A490,'United Data'!$B$3:$B$3390,"&lt;&gt;Off-street")&gt;0,1,0)</f>
        <v>0</v>
      </c>
      <c r="J490">
        <f>IF(COUNTIFS('United Data'!$A$3:$A$3390,J$1,'United Data'!$C$3:$C$3390,$A490,'United Data'!$B$3:$B$3390,"&lt;&gt;Off-street")&gt;0,1,0)</f>
        <v>0</v>
      </c>
      <c r="K490">
        <f>IF(COUNTIFS('United Data'!$A$3:$A$3390,K$1,'United Data'!$C$3:$C$3390,$A490,'United Data'!$B$3:$B$3390,"&lt;&gt;Off-street")&gt;0,1,0)</f>
        <v>0</v>
      </c>
      <c r="L490">
        <f>IF(COUNTIFS('United Data'!$A$3:$A$3390,L$1,'United Data'!$C$3:$C$3390,$A490,'United Data'!$B$3:$B$3390,"&lt;&gt;Off-street")&gt;0,1,0)</f>
        <v>0</v>
      </c>
      <c r="M490">
        <f>IF(COUNTIFS('United Data'!$A$3:$A$3390,M$1,'United Data'!$C$3:$C$3390,$A490,'United Data'!$B$3:$B$3390,"&lt;&gt;Off-street")&gt;0,1,0)</f>
        <v>0</v>
      </c>
      <c r="N490">
        <f>IF(COUNTIFS('United Data'!$A$3:$A$3390,N$1,'United Data'!$C$3:$C$3390,$A490,'United Data'!$B$3:$B$3390,"&lt;&gt;Off-street")&gt;0,1,0)</f>
        <v>0</v>
      </c>
      <c r="O490">
        <f>IF(COUNTIFS('United Data'!$A$3:$A$3390,O$1,'United Data'!$C$3:$C$3390,$A490,'United Data'!$B$3:$B$3390,"&lt;&gt;Off-street")&gt;0,1,0)</f>
        <v>0</v>
      </c>
      <c r="P490">
        <f>IF(COUNTIFS('United Data'!$A$3:$A$3390,P$1,'United Data'!$C$3:$C$3390,$A490,'United Data'!$B$3:$B$3390,"&lt;&gt;Off-street")&gt;0,1,0)</f>
        <v>0</v>
      </c>
      <c r="Q490">
        <f>IF(COUNTIFS('United Data'!$A$3:$A$3390,Q$1,'United Data'!$C$3:$C$3390,$A490,'United Data'!$B$3:$B$3390,"&lt;&gt;Off-street")&gt;0,1,0)</f>
        <v>0</v>
      </c>
      <c r="R490">
        <f>IF(COUNTIFS('United Data'!$A$3:$A$3390,R$1,'United Data'!$C$3:$C$3390,$A490,'United Data'!$B$3:$B$3390,"&lt;&gt;Off-street")&gt;0,1,0)</f>
        <v>0</v>
      </c>
      <c r="S490">
        <f t="shared" si="14"/>
        <v>1</v>
      </c>
      <c r="T490">
        <f t="shared" si="15"/>
        <v>1</v>
      </c>
    </row>
    <row r="491" spans="1:20" x14ac:dyDescent="0.2">
      <c r="A491" t="s">
        <v>599</v>
      </c>
      <c r="B491">
        <f>IF(COUNTIFS('United Data'!$A$3:$A$3390,B$1,'United Data'!$C$3:$C$3390,$A491,'United Data'!$B$3:$B$3390,"&lt;&gt;Off-street")&gt;0,1,0)</f>
        <v>1</v>
      </c>
      <c r="C491">
        <f>IF(COUNTIFS('United Data'!$A$3:$A$3390,C$1,'United Data'!$C$3:$C$3390,$A491,'United Data'!$B$3:$B$3390,"&lt;&gt;Off-street")&gt;0,1,0)</f>
        <v>0</v>
      </c>
      <c r="D491">
        <f>IF(COUNTIFS('United Data'!$A$3:$A$3390,D$1,'United Data'!$C$3:$C$3390,$A491,'United Data'!$B$3:$B$3390,"&lt;&gt;Off-street")&gt;0,1,0)</f>
        <v>0</v>
      </c>
      <c r="E491">
        <f>IF(COUNTIFS('United Data'!$A$3:$A$3390,E$1,'United Data'!$C$3:$C$3390,$A491,'United Data'!$B$3:$B$3390,"&lt;&gt;Off-street")&gt;0,1,0)</f>
        <v>0</v>
      </c>
      <c r="F491">
        <f>IF(COUNTIFS('United Data'!$A$3:$A$3390,F$1,'United Data'!$C$3:$C$3390,$A491,'United Data'!$B$3:$B$3390,"&lt;&gt;Off-street")&gt;0,1,0)</f>
        <v>0</v>
      </c>
      <c r="G491">
        <f>IF(COUNTIFS('United Data'!$A$3:$A$3390,G$1,'United Data'!$C$3:$C$3390,$A491,'United Data'!$B$3:$B$3390,"&lt;&gt;Off-street")&gt;0,1,0)</f>
        <v>0</v>
      </c>
      <c r="H491">
        <f>IF(COUNTIFS('United Data'!$A$3:$A$3390,H$1,'United Data'!$C$3:$C$3390,$A491,'United Data'!$B$3:$B$3390,"&lt;&gt;Off-street")&gt;0,1,0)</f>
        <v>0</v>
      </c>
      <c r="I491">
        <f>IF(COUNTIFS('United Data'!$A$3:$A$3390,I$1,'United Data'!$C$3:$C$3390,$A491,'United Data'!$B$3:$B$3390,"&lt;&gt;Off-street")&gt;0,1,0)</f>
        <v>0</v>
      </c>
      <c r="J491">
        <f>IF(COUNTIFS('United Data'!$A$3:$A$3390,J$1,'United Data'!$C$3:$C$3390,$A491,'United Data'!$B$3:$B$3390,"&lt;&gt;Off-street")&gt;0,1,0)</f>
        <v>0</v>
      </c>
      <c r="K491">
        <f>IF(COUNTIFS('United Data'!$A$3:$A$3390,K$1,'United Data'!$C$3:$C$3390,$A491,'United Data'!$B$3:$B$3390,"&lt;&gt;Off-street")&gt;0,1,0)</f>
        <v>0</v>
      </c>
      <c r="L491">
        <f>IF(COUNTIFS('United Data'!$A$3:$A$3390,L$1,'United Data'!$C$3:$C$3390,$A491,'United Data'!$B$3:$B$3390,"&lt;&gt;Off-street")&gt;0,1,0)</f>
        <v>0</v>
      </c>
      <c r="M491">
        <f>IF(COUNTIFS('United Data'!$A$3:$A$3390,M$1,'United Data'!$C$3:$C$3390,$A491,'United Data'!$B$3:$B$3390,"&lt;&gt;Off-street")&gt;0,1,0)</f>
        <v>0</v>
      </c>
      <c r="N491">
        <f>IF(COUNTIFS('United Data'!$A$3:$A$3390,N$1,'United Data'!$C$3:$C$3390,$A491,'United Data'!$B$3:$B$3390,"&lt;&gt;Off-street")&gt;0,1,0)</f>
        <v>0</v>
      </c>
      <c r="O491">
        <f>IF(COUNTIFS('United Data'!$A$3:$A$3390,O$1,'United Data'!$C$3:$C$3390,$A491,'United Data'!$B$3:$B$3390,"&lt;&gt;Off-street")&gt;0,1,0)</f>
        <v>0</v>
      </c>
      <c r="P491">
        <f>IF(COUNTIFS('United Data'!$A$3:$A$3390,P$1,'United Data'!$C$3:$C$3390,$A491,'United Data'!$B$3:$B$3390,"&lt;&gt;Off-street")&gt;0,1,0)</f>
        <v>0</v>
      </c>
      <c r="Q491">
        <f>IF(COUNTIFS('United Data'!$A$3:$A$3390,Q$1,'United Data'!$C$3:$C$3390,$A491,'United Data'!$B$3:$B$3390,"&lt;&gt;Off-street")&gt;0,1,0)</f>
        <v>0</v>
      </c>
      <c r="R491">
        <f>IF(COUNTIFS('United Data'!$A$3:$A$3390,R$1,'United Data'!$C$3:$C$3390,$A491,'United Data'!$B$3:$B$3390,"&lt;&gt;Off-street")&gt;0,1,0)</f>
        <v>0</v>
      </c>
      <c r="S491">
        <f t="shared" si="14"/>
        <v>1</v>
      </c>
      <c r="T491">
        <f t="shared" si="15"/>
        <v>1</v>
      </c>
    </row>
    <row r="492" spans="1:20" x14ac:dyDescent="0.2">
      <c r="A492" t="s">
        <v>600</v>
      </c>
      <c r="B492">
        <f>IF(COUNTIFS('United Data'!$A$3:$A$3390,B$1,'United Data'!$C$3:$C$3390,$A492,'United Data'!$B$3:$B$3390,"&lt;&gt;Off-street")&gt;0,1,0)</f>
        <v>1</v>
      </c>
      <c r="C492">
        <f>IF(COUNTIFS('United Data'!$A$3:$A$3390,C$1,'United Data'!$C$3:$C$3390,$A492,'United Data'!$B$3:$B$3390,"&lt;&gt;Off-street")&gt;0,1,0)</f>
        <v>0</v>
      </c>
      <c r="D492">
        <f>IF(COUNTIFS('United Data'!$A$3:$A$3390,D$1,'United Data'!$C$3:$C$3390,$A492,'United Data'!$B$3:$B$3390,"&lt;&gt;Off-street")&gt;0,1,0)</f>
        <v>0</v>
      </c>
      <c r="E492">
        <f>IF(COUNTIFS('United Data'!$A$3:$A$3390,E$1,'United Data'!$C$3:$C$3390,$A492,'United Data'!$B$3:$B$3390,"&lt;&gt;Off-street")&gt;0,1,0)</f>
        <v>0</v>
      </c>
      <c r="F492">
        <f>IF(COUNTIFS('United Data'!$A$3:$A$3390,F$1,'United Data'!$C$3:$C$3390,$A492,'United Data'!$B$3:$B$3390,"&lt;&gt;Off-street")&gt;0,1,0)</f>
        <v>0</v>
      </c>
      <c r="G492">
        <f>IF(COUNTIFS('United Data'!$A$3:$A$3390,G$1,'United Data'!$C$3:$C$3390,$A492,'United Data'!$B$3:$B$3390,"&lt;&gt;Off-street")&gt;0,1,0)</f>
        <v>0</v>
      </c>
      <c r="H492">
        <f>IF(COUNTIFS('United Data'!$A$3:$A$3390,H$1,'United Data'!$C$3:$C$3390,$A492,'United Data'!$B$3:$B$3390,"&lt;&gt;Off-street")&gt;0,1,0)</f>
        <v>0</v>
      </c>
      <c r="I492">
        <f>IF(COUNTIFS('United Data'!$A$3:$A$3390,I$1,'United Data'!$C$3:$C$3390,$A492,'United Data'!$B$3:$B$3390,"&lt;&gt;Off-street")&gt;0,1,0)</f>
        <v>0</v>
      </c>
      <c r="J492">
        <f>IF(COUNTIFS('United Data'!$A$3:$A$3390,J$1,'United Data'!$C$3:$C$3390,$A492,'United Data'!$B$3:$B$3390,"&lt;&gt;Off-street")&gt;0,1,0)</f>
        <v>0</v>
      </c>
      <c r="K492">
        <f>IF(COUNTIFS('United Data'!$A$3:$A$3390,K$1,'United Data'!$C$3:$C$3390,$A492,'United Data'!$B$3:$B$3390,"&lt;&gt;Off-street")&gt;0,1,0)</f>
        <v>0</v>
      </c>
      <c r="L492">
        <f>IF(COUNTIFS('United Data'!$A$3:$A$3390,L$1,'United Data'!$C$3:$C$3390,$A492,'United Data'!$B$3:$B$3390,"&lt;&gt;Off-street")&gt;0,1,0)</f>
        <v>0</v>
      </c>
      <c r="M492">
        <f>IF(COUNTIFS('United Data'!$A$3:$A$3390,M$1,'United Data'!$C$3:$C$3390,$A492,'United Data'!$B$3:$B$3390,"&lt;&gt;Off-street")&gt;0,1,0)</f>
        <v>0</v>
      </c>
      <c r="N492">
        <f>IF(COUNTIFS('United Data'!$A$3:$A$3390,N$1,'United Data'!$C$3:$C$3390,$A492,'United Data'!$B$3:$B$3390,"&lt;&gt;Off-street")&gt;0,1,0)</f>
        <v>0</v>
      </c>
      <c r="O492">
        <f>IF(COUNTIFS('United Data'!$A$3:$A$3390,O$1,'United Data'!$C$3:$C$3390,$A492,'United Data'!$B$3:$B$3390,"&lt;&gt;Off-street")&gt;0,1,0)</f>
        <v>0</v>
      </c>
      <c r="P492">
        <f>IF(COUNTIFS('United Data'!$A$3:$A$3390,P$1,'United Data'!$C$3:$C$3390,$A492,'United Data'!$B$3:$B$3390,"&lt;&gt;Off-street")&gt;0,1,0)</f>
        <v>0</v>
      </c>
      <c r="Q492">
        <f>IF(COUNTIFS('United Data'!$A$3:$A$3390,Q$1,'United Data'!$C$3:$C$3390,$A492,'United Data'!$B$3:$B$3390,"&lt;&gt;Off-street")&gt;0,1,0)</f>
        <v>0</v>
      </c>
      <c r="R492">
        <f>IF(COUNTIFS('United Data'!$A$3:$A$3390,R$1,'United Data'!$C$3:$C$3390,$A492,'United Data'!$B$3:$B$3390,"&lt;&gt;Off-street")&gt;0,1,0)</f>
        <v>0</v>
      </c>
      <c r="S492">
        <f t="shared" si="14"/>
        <v>1</v>
      </c>
      <c r="T492">
        <f t="shared" si="15"/>
        <v>1</v>
      </c>
    </row>
    <row r="493" spans="1:20" x14ac:dyDescent="0.2">
      <c r="A493" t="s">
        <v>601</v>
      </c>
      <c r="B493">
        <f>IF(COUNTIFS('United Data'!$A$3:$A$3390,B$1,'United Data'!$C$3:$C$3390,$A493,'United Data'!$B$3:$B$3390,"&lt;&gt;Off-street")&gt;0,1,0)</f>
        <v>1</v>
      </c>
      <c r="C493">
        <f>IF(COUNTIFS('United Data'!$A$3:$A$3390,C$1,'United Data'!$C$3:$C$3390,$A493,'United Data'!$B$3:$B$3390,"&lt;&gt;Off-street")&gt;0,1,0)</f>
        <v>0</v>
      </c>
      <c r="D493">
        <f>IF(COUNTIFS('United Data'!$A$3:$A$3390,D$1,'United Data'!$C$3:$C$3390,$A493,'United Data'!$B$3:$B$3390,"&lt;&gt;Off-street")&gt;0,1,0)</f>
        <v>0</v>
      </c>
      <c r="E493">
        <f>IF(COUNTIFS('United Data'!$A$3:$A$3390,E$1,'United Data'!$C$3:$C$3390,$A493,'United Data'!$B$3:$B$3390,"&lt;&gt;Off-street")&gt;0,1,0)</f>
        <v>0</v>
      </c>
      <c r="F493">
        <f>IF(COUNTIFS('United Data'!$A$3:$A$3390,F$1,'United Data'!$C$3:$C$3390,$A493,'United Data'!$B$3:$B$3390,"&lt;&gt;Off-street")&gt;0,1,0)</f>
        <v>0</v>
      </c>
      <c r="G493">
        <f>IF(COUNTIFS('United Data'!$A$3:$A$3390,G$1,'United Data'!$C$3:$C$3390,$A493,'United Data'!$B$3:$B$3390,"&lt;&gt;Off-street")&gt;0,1,0)</f>
        <v>0</v>
      </c>
      <c r="H493">
        <f>IF(COUNTIFS('United Data'!$A$3:$A$3390,H$1,'United Data'!$C$3:$C$3390,$A493,'United Data'!$B$3:$B$3390,"&lt;&gt;Off-street")&gt;0,1,0)</f>
        <v>0</v>
      </c>
      <c r="I493">
        <f>IF(COUNTIFS('United Data'!$A$3:$A$3390,I$1,'United Data'!$C$3:$C$3390,$A493,'United Data'!$B$3:$B$3390,"&lt;&gt;Off-street")&gt;0,1,0)</f>
        <v>0</v>
      </c>
      <c r="J493">
        <f>IF(COUNTIFS('United Data'!$A$3:$A$3390,J$1,'United Data'!$C$3:$C$3390,$A493,'United Data'!$B$3:$B$3390,"&lt;&gt;Off-street")&gt;0,1,0)</f>
        <v>0</v>
      </c>
      <c r="K493">
        <f>IF(COUNTIFS('United Data'!$A$3:$A$3390,K$1,'United Data'!$C$3:$C$3390,$A493,'United Data'!$B$3:$B$3390,"&lt;&gt;Off-street")&gt;0,1,0)</f>
        <v>0</v>
      </c>
      <c r="L493">
        <f>IF(COUNTIFS('United Data'!$A$3:$A$3390,L$1,'United Data'!$C$3:$C$3390,$A493,'United Data'!$B$3:$B$3390,"&lt;&gt;Off-street")&gt;0,1,0)</f>
        <v>0</v>
      </c>
      <c r="M493">
        <f>IF(COUNTIFS('United Data'!$A$3:$A$3390,M$1,'United Data'!$C$3:$C$3390,$A493,'United Data'!$B$3:$B$3390,"&lt;&gt;Off-street")&gt;0,1,0)</f>
        <v>0</v>
      </c>
      <c r="N493">
        <f>IF(COUNTIFS('United Data'!$A$3:$A$3390,N$1,'United Data'!$C$3:$C$3390,$A493,'United Data'!$B$3:$B$3390,"&lt;&gt;Off-street")&gt;0,1,0)</f>
        <v>0</v>
      </c>
      <c r="O493">
        <f>IF(COUNTIFS('United Data'!$A$3:$A$3390,O$1,'United Data'!$C$3:$C$3390,$A493,'United Data'!$B$3:$B$3390,"&lt;&gt;Off-street")&gt;0,1,0)</f>
        <v>0</v>
      </c>
      <c r="P493">
        <f>IF(COUNTIFS('United Data'!$A$3:$A$3390,P$1,'United Data'!$C$3:$C$3390,$A493,'United Data'!$B$3:$B$3390,"&lt;&gt;Off-street")&gt;0,1,0)</f>
        <v>0</v>
      </c>
      <c r="Q493">
        <f>IF(COUNTIFS('United Data'!$A$3:$A$3390,Q$1,'United Data'!$C$3:$C$3390,$A493,'United Data'!$B$3:$B$3390,"&lt;&gt;Off-street")&gt;0,1,0)</f>
        <v>0</v>
      </c>
      <c r="R493">
        <f>IF(COUNTIFS('United Data'!$A$3:$A$3390,R$1,'United Data'!$C$3:$C$3390,$A493,'United Data'!$B$3:$B$3390,"&lt;&gt;Off-street")&gt;0,1,0)</f>
        <v>0</v>
      </c>
      <c r="S493">
        <f t="shared" si="14"/>
        <v>1</v>
      </c>
      <c r="T493">
        <f t="shared" si="15"/>
        <v>1</v>
      </c>
    </row>
    <row r="494" spans="1:20" x14ac:dyDescent="0.2">
      <c r="A494" t="s">
        <v>602</v>
      </c>
      <c r="B494">
        <f>IF(COUNTIFS('United Data'!$A$3:$A$3390,B$1,'United Data'!$C$3:$C$3390,$A494,'United Data'!$B$3:$B$3390,"&lt;&gt;Off-street")&gt;0,1,0)</f>
        <v>1</v>
      </c>
      <c r="C494">
        <f>IF(COUNTIFS('United Data'!$A$3:$A$3390,C$1,'United Data'!$C$3:$C$3390,$A494,'United Data'!$B$3:$B$3390,"&lt;&gt;Off-street")&gt;0,1,0)</f>
        <v>0</v>
      </c>
      <c r="D494">
        <f>IF(COUNTIFS('United Data'!$A$3:$A$3390,D$1,'United Data'!$C$3:$C$3390,$A494,'United Data'!$B$3:$B$3390,"&lt;&gt;Off-street")&gt;0,1,0)</f>
        <v>0</v>
      </c>
      <c r="E494">
        <f>IF(COUNTIFS('United Data'!$A$3:$A$3390,E$1,'United Data'!$C$3:$C$3390,$A494,'United Data'!$B$3:$B$3390,"&lt;&gt;Off-street")&gt;0,1,0)</f>
        <v>0</v>
      </c>
      <c r="F494">
        <f>IF(COUNTIFS('United Data'!$A$3:$A$3390,F$1,'United Data'!$C$3:$C$3390,$A494,'United Data'!$B$3:$B$3390,"&lt;&gt;Off-street")&gt;0,1,0)</f>
        <v>0</v>
      </c>
      <c r="G494">
        <f>IF(COUNTIFS('United Data'!$A$3:$A$3390,G$1,'United Data'!$C$3:$C$3390,$A494,'United Data'!$B$3:$B$3390,"&lt;&gt;Off-street")&gt;0,1,0)</f>
        <v>0</v>
      </c>
      <c r="H494">
        <f>IF(COUNTIFS('United Data'!$A$3:$A$3390,H$1,'United Data'!$C$3:$C$3390,$A494,'United Data'!$B$3:$B$3390,"&lt;&gt;Off-street")&gt;0,1,0)</f>
        <v>0</v>
      </c>
      <c r="I494">
        <f>IF(COUNTIFS('United Data'!$A$3:$A$3390,I$1,'United Data'!$C$3:$C$3390,$A494,'United Data'!$B$3:$B$3390,"&lt;&gt;Off-street")&gt;0,1,0)</f>
        <v>0</v>
      </c>
      <c r="J494">
        <f>IF(COUNTIFS('United Data'!$A$3:$A$3390,J$1,'United Data'!$C$3:$C$3390,$A494,'United Data'!$B$3:$B$3390,"&lt;&gt;Off-street")&gt;0,1,0)</f>
        <v>0</v>
      </c>
      <c r="K494">
        <f>IF(COUNTIFS('United Data'!$A$3:$A$3390,K$1,'United Data'!$C$3:$C$3390,$A494,'United Data'!$B$3:$B$3390,"&lt;&gt;Off-street")&gt;0,1,0)</f>
        <v>0</v>
      </c>
      <c r="L494">
        <f>IF(COUNTIFS('United Data'!$A$3:$A$3390,L$1,'United Data'!$C$3:$C$3390,$A494,'United Data'!$B$3:$B$3390,"&lt;&gt;Off-street")&gt;0,1,0)</f>
        <v>0</v>
      </c>
      <c r="M494">
        <f>IF(COUNTIFS('United Data'!$A$3:$A$3390,M$1,'United Data'!$C$3:$C$3390,$A494,'United Data'!$B$3:$B$3390,"&lt;&gt;Off-street")&gt;0,1,0)</f>
        <v>0</v>
      </c>
      <c r="N494">
        <f>IF(COUNTIFS('United Data'!$A$3:$A$3390,N$1,'United Data'!$C$3:$C$3390,$A494,'United Data'!$B$3:$B$3390,"&lt;&gt;Off-street")&gt;0,1,0)</f>
        <v>0</v>
      </c>
      <c r="O494">
        <f>IF(COUNTIFS('United Data'!$A$3:$A$3390,O$1,'United Data'!$C$3:$C$3390,$A494,'United Data'!$B$3:$B$3390,"&lt;&gt;Off-street")&gt;0,1,0)</f>
        <v>0</v>
      </c>
      <c r="P494">
        <f>IF(COUNTIFS('United Data'!$A$3:$A$3390,P$1,'United Data'!$C$3:$C$3390,$A494,'United Data'!$B$3:$B$3390,"&lt;&gt;Off-street")&gt;0,1,0)</f>
        <v>0</v>
      </c>
      <c r="Q494">
        <f>IF(COUNTIFS('United Data'!$A$3:$A$3390,Q$1,'United Data'!$C$3:$C$3390,$A494,'United Data'!$B$3:$B$3390,"&lt;&gt;Off-street")&gt;0,1,0)</f>
        <v>0</v>
      </c>
      <c r="R494">
        <f>IF(COUNTIFS('United Data'!$A$3:$A$3390,R$1,'United Data'!$C$3:$C$3390,$A494,'United Data'!$B$3:$B$3390,"&lt;&gt;Off-street")&gt;0,1,0)</f>
        <v>0</v>
      </c>
      <c r="S494">
        <f t="shared" si="14"/>
        <v>1</v>
      </c>
      <c r="T494">
        <f t="shared" si="15"/>
        <v>1</v>
      </c>
    </row>
    <row r="495" spans="1:20" x14ac:dyDescent="0.2">
      <c r="A495" t="s">
        <v>603</v>
      </c>
      <c r="B495">
        <f>IF(COUNTIFS('United Data'!$A$3:$A$3390,B$1,'United Data'!$C$3:$C$3390,$A495,'United Data'!$B$3:$B$3390,"&lt;&gt;Off-street")&gt;0,1,0)</f>
        <v>0</v>
      </c>
      <c r="C495">
        <f>IF(COUNTIFS('United Data'!$A$3:$A$3390,C$1,'United Data'!$C$3:$C$3390,$A495,'United Data'!$B$3:$B$3390,"&lt;&gt;Off-street")&gt;0,1,0)</f>
        <v>1</v>
      </c>
      <c r="D495">
        <f>IF(COUNTIFS('United Data'!$A$3:$A$3390,D$1,'United Data'!$C$3:$C$3390,$A495,'United Data'!$B$3:$B$3390,"&lt;&gt;Off-street")&gt;0,1,0)</f>
        <v>0</v>
      </c>
      <c r="E495">
        <f>IF(COUNTIFS('United Data'!$A$3:$A$3390,E$1,'United Data'!$C$3:$C$3390,$A495,'United Data'!$B$3:$B$3390,"&lt;&gt;Off-street")&gt;0,1,0)</f>
        <v>0</v>
      </c>
      <c r="F495">
        <f>IF(COUNTIFS('United Data'!$A$3:$A$3390,F$1,'United Data'!$C$3:$C$3390,$A495,'United Data'!$B$3:$B$3390,"&lt;&gt;Off-street")&gt;0,1,0)</f>
        <v>0</v>
      </c>
      <c r="G495">
        <f>IF(COUNTIFS('United Data'!$A$3:$A$3390,G$1,'United Data'!$C$3:$C$3390,$A495,'United Data'!$B$3:$B$3390,"&lt;&gt;Off-street")&gt;0,1,0)</f>
        <v>0</v>
      </c>
      <c r="H495">
        <f>IF(COUNTIFS('United Data'!$A$3:$A$3390,H$1,'United Data'!$C$3:$C$3390,$A495,'United Data'!$B$3:$B$3390,"&lt;&gt;Off-street")&gt;0,1,0)</f>
        <v>0</v>
      </c>
      <c r="I495">
        <f>IF(COUNTIFS('United Data'!$A$3:$A$3390,I$1,'United Data'!$C$3:$C$3390,$A495,'United Data'!$B$3:$B$3390,"&lt;&gt;Off-street")&gt;0,1,0)</f>
        <v>0</v>
      </c>
      <c r="J495">
        <f>IF(COUNTIFS('United Data'!$A$3:$A$3390,J$1,'United Data'!$C$3:$C$3390,$A495,'United Data'!$B$3:$B$3390,"&lt;&gt;Off-street")&gt;0,1,0)</f>
        <v>0</v>
      </c>
      <c r="K495">
        <f>IF(COUNTIFS('United Data'!$A$3:$A$3390,K$1,'United Data'!$C$3:$C$3390,$A495,'United Data'!$B$3:$B$3390,"&lt;&gt;Off-street")&gt;0,1,0)</f>
        <v>0</v>
      </c>
      <c r="L495">
        <f>IF(COUNTIFS('United Data'!$A$3:$A$3390,L$1,'United Data'!$C$3:$C$3390,$A495,'United Data'!$B$3:$B$3390,"&lt;&gt;Off-street")&gt;0,1,0)</f>
        <v>0</v>
      </c>
      <c r="M495">
        <f>IF(COUNTIFS('United Data'!$A$3:$A$3390,M$1,'United Data'!$C$3:$C$3390,$A495,'United Data'!$B$3:$B$3390,"&lt;&gt;Off-street")&gt;0,1,0)</f>
        <v>0</v>
      </c>
      <c r="N495">
        <f>IF(COUNTIFS('United Data'!$A$3:$A$3390,N$1,'United Data'!$C$3:$C$3390,$A495,'United Data'!$B$3:$B$3390,"&lt;&gt;Off-street")&gt;0,1,0)</f>
        <v>0</v>
      </c>
      <c r="O495">
        <f>IF(COUNTIFS('United Data'!$A$3:$A$3390,O$1,'United Data'!$C$3:$C$3390,$A495,'United Data'!$B$3:$B$3390,"&lt;&gt;Off-street")&gt;0,1,0)</f>
        <v>0</v>
      </c>
      <c r="P495">
        <f>IF(COUNTIFS('United Data'!$A$3:$A$3390,P$1,'United Data'!$C$3:$C$3390,$A495,'United Data'!$B$3:$B$3390,"&lt;&gt;Off-street")&gt;0,1,0)</f>
        <v>0</v>
      </c>
      <c r="Q495">
        <f>IF(COUNTIFS('United Data'!$A$3:$A$3390,Q$1,'United Data'!$C$3:$C$3390,$A495,'United Data'!$B$3:$B$3390,"&lt;&gt;Off-street")&gt;0,1,0)</f>
        <v>0</v>
      </c>
      <c r="R495">
        <f>IF(COUNTIFS('United Data'!$A$3:$A$3390,R$1,'United Data'!$C$3:$C$3390,$A495,'United Data'!$B$3:$B$3390,"&lt;&gt;Off-street")&gt;0,1,0)</f>
        <v>0</v>
      </c>
      <c r="S495">
        <f t="shared" si="14"/>
        <v>1</v>
      </c>
      <c r="T495">
        <f t="shared" si="15"/>
        <v>1</v>
      </c>
    </row>
    <row r="496" spans="1:20" x14ac:dyDescent="0.2">
      <c r="A496" t="s">
        <v>604</v>
      </c>
      <c r="B496">
        <f>IF(COUNTIFS('United Data'!$A$3:$A$3390,B$1,'United Data'!$C$3:$C$3390,$A496,'United Data'!$B$3:$B$3390,"&lt;&gt;Off-street")&gt;0,1,0)</f>
        <v>0</v>
      </c>
      <c r="C496">
        <f>IF(COUNTIFS('United Data'!$A$3:$A$3390,C$1,'United Data'!$C$3:$C$3390,$A496,'United Data'!$B$3:$B$3390,"&lt;&gt;Off-street")&gt;0,1,0)</f>
        <v>1</v>
      </c>
      <c r="D496">
        <f>IF(COUNTIFS('United Data'!$A$3:$A$3390,D$1,'United Data'!$C$3:$C$3390,$A496,'United Data'!$B$3:$B$3390,"&lt;&gt;Off-street")&gt;0,1,0)</f>
        <v>0</v>
      </c>
      <c r="E496">
        <f>IF(COUNTIFS('United Data'!$A$3:$A$3390,E$1,'United Data'!$C$3:$C$3390,$A496,'United Data'!$B$3:$B$3390,"&lt;&gt;Off-street")&gt;0,1,0)</f>
        <v>0</v>
      </c>
      <c r="F496">
        <f>IF(COUNTIFS('United Data'!$A$3:$A$3390,F$1,'United Data'!$C$3:$C$3390,$A496,'United Data'!$B$3:$B$3390,"&lt;&gt;Off-street")&gt;0,1,0)</f>
        <v>0</v>
      </c>
      <c r="G496">
        <f>IF(COUNTIFS('United Data'!$A$3:$A$3390,G$1,'United Data'!$C$3:$C$3390,$A496,'United Data'!$B$3:$B$3390,"&lt;&gt;Off-street")&gt;0,1,0)</f>
        <v>0</v>
      </c>
      <c r="H496">
        <f>IF(COUNTIFS('United Data'!$A$3:$A$3390,H$1,'United Data'!$C$3:$C$3390,$A496,'United Data'!$B$3:$B$3390,"&lt;&gt;Off-street")&gt;0,1,0)</f>
        <v>0</v>
      </c>
      <c r="I496">
        <f>IF(COUNTIFS('United Data'!$A$3:$A$3390,I$1,'United Data'!$C$3:$C$3390,$A496,'United Data'!$B$3:$B$3390,"&lt;&gt;Off-street")&gt;0,1,0)</f>
        <v>0</v>
      </c>
      <c r="J496">
        <f>IF(COUNTIFS('United Data'!$A$3:$A$3390,J$1,'United Data'!$C$3:$C$3390,$A496,'United Data'!$B$3:$B$3390,"&lt;&gt;Off-street")&gt;0,1,0)</f>
        <v>0</v>
      </c>
      <c r="K496">
        <f>IF(COUNTIFS('United Data'!$A$3:$A$3390,K$1,'United Data'!$C$3:$C$3390,$A496,'United Data'!$B$3:$B$3390,"&lt;&gt;Off-street")&gt;0,1,0)</f>
        <v>0</v>
      </c>
      <c r="L496">
        <f>IF(COUNTIFS('United Data'!$A$3:$A$3390,L$1,'United Data'!$C$3:$C$3390,$A496,'United Data'!$B$3:$B$3390,"&lt;&gt;Off-street")&gt;0,1,0)</f>
        <v>0</v>
      </c>
      <c r="M496">
        <f>IF(COUNTIFS('United Data'!$A$3:$A$3390,M$1,'United Data'!$C$3:$C$3390,$A496,'United Data'!$B$3:$B$3390,"&lt;&gt;Off-street")&gt;0,1,0)</f>
        <v>0</v>
      </c>
      <c r="N496">
        <f>IF(COUNTIFS('United Data'!$A$3:$A$3390,N$1,'United Data'!$C$3:$C$3390,$A496,'United Data'!$B$3:$B$3390,"&lt;&gt;Off-street")&gt;0,1,0)</f>
        <v>0</v>
      </c>
      <c r="O496">
        <f>IF(COUNTIFS('United Data'!$A$3:$A$3390,O$1,'United Data'!$C$3:$C$3390,$A496,'United Data'!$B$3:$B$3390,"&lt;&gt;Off-street")&gt;0,1,0)</f>
        <v>0</v>
      </c>
      <c r="P496">
        <f>IF(COUNTIFS('United Data'!$A$3:$A$3390,P$1,'United Data'!$C$3:$C$3390,$A496,'United Data'!$B$3:$B$3390,"&lt;&gt;Off-street")&gt;0,1,0)</f>
        <v>0</v>
      </c>
      <c r="Q496">
        <f>IF(COUNTIFS('United Data'!$A$3:$A$3390,Q$1,'United Data'!$C$3:$C$3390,$A496,'United Data'!$B$3:$B$3390,"&lt;&gt;Off-street")&gt;0,1,0)</f>
        <v>0</v>
      </c>
      <c r="R496">
        <f>IF(COUNTIFS('United Data'!$A$3:$A$3390,R$1,'United Data'!$C$3:$C$3390,$A496,'United Data'!$B$3:$B$3390,"&lt;&gt;Off-street")&gt;0,1,0)</f>
        <v>0</v>
      </c>
      <c r="S496">
        <f t="shared" si="14"/>
        <v>1</v>
      </c>
      <c r="T496">
        <f t="shared" si="15"/>
        <v>1</v>
      </c>
    </row>
    <row r="497" spans="1:20" x14ac:dyDescent="0.2">
      <c r="A497" t="s">
        <v>605</v>
      </c>
      <c r="B497">
        <f>IF(COUNTIFS('United Data'!$A$3:$A$3390,B$1,'United Data'!$C$3:$C$3390,$A497,'United Data'!$B$3:$B$3390,"&lt;&gt;Off-street")&gt;0,1,0)</f>
        <v>0</v>
      </c>
      <c r="C497">
        <f>IF(COUNTIFS('United Data'!$A$3:$A$3390,C$1,'United Data'!$C$3:$C$3390,$A497,'United Data'!$B$3:$B$3390,"&lt;&gt;Off-street")&gt;0,1,0)</f>
        <v>1</v>
      </c>
      <c r="D497">
        <f>IF(COUNTIFS('United Data'!$A$3:$A$3390,D$1,'United Data'!$C$3:$C$3390,$A497,'United Data'!$B$3:$B$3390,"&lt;&gt;Off-street")&gt;0,1,0)</f>
        <v>0</v>
      </c>
      <c r="E497">
        <f>IF(COUNTIFS('United Data'!$A$3:$A$3390,E$1,'United Data'!$C$3:$C$3390,$A497,'United Data'!$B$3:$B$3390,"&lt;&gt;Off-street")&gt;0,1,0)</f>
        <v>0</v>
      </c>
      <c r="F497">
        <f>IF(COUNTIFS('United Data'!$A$3:$A$3390,F$1,'United Data'!$C$3:$C$3390,$A497,'United Data'!$B$3:$B$3390,"&lt;&gt;Off-street")&gt;0,1,0)</f>
        <v>0</v>
      </c>
      <c r="G497">
        <f>IF(COUNTIFS('United Data'!$A$3:$A$3390,G$1,'United Data'!$C$3:$C$3390,$A497,'United Data'!$B$3:$B$3390,"&lt;&gt;Off-street")&gt;0,1,0)</f>
        <v>0</v>
      </c>
      <c r="H497">
        <f>IF(COUNTIFS('United Data'!$A$3:$A$3390,H$1,'United Data'!$C$3:$C$3390,$A497,'United Data'!$B$3:$B$3390,"&lt;&gt;Off-street")&gt;0,1,0)</f>
        <v>0</v>
      </c>
      <c r="I497">
        <f>IF(COUNTIFS('United Data'!$A$3:$A$3390,I$1,'United Data'!$C$3:$C$3390,$A497,'United Data'!$B$3:$B$3390,"&lt;&gt;Off-street")&gt;0,1,0)</f>
        <v>0</v>
      </c>
      <c r="J497">
        <f>IF(COUNTIFS('United Data'!$A$3:$A$3390,J$1,'United Data'!$C$3:$C$3390,$A497,'United Data'!$B$3:$B$3390,"&lt;&gt;Off-street")&gt;0,1,0)</f>
        <v>0</v>
      </c>
      <c r="K497">
        <f>IF(COUNTIFS('United Data'!$A$3:$A$3390,K$1,'United Data'!$C$3:$C$3390,$A497,'United Data'!$B$3:$B$3390,"&lt;&gt;Off-street")&gt;0,1,0)</f>
        <v>0</v>
      </c>
      <c r="L497">
        <f>IF(COUNTIFS('United Data'!$A$3:$A$3390,L$1,'United Data'!$C$3:$C$3390,$A497,'United Data'!$B$3:$B$3390,"&lt;&gt;Off-street")&gt;0,1,0)</f>
        <v>0</v>
      </c>
      <c r="M497">
        <f>IF(COUNTIFS('United Data'!$A$3:$A$3390,M$1,'United Data'!$C$3:$C$3390,$A497,'United Data'!$B$3:$B$3390,"&lt;&gt;Off-street")&gt;0,1,0)</f>
        <v>0</v>
      </c>
      <c r="N497">
        <f>IF(COUNTIFS('United Data'!$A$3:$A$3390,N$1,'United Data'!$C$3:$C$3390,$A497,'United Data'!$B$3:$B$3390,"&lt;&gt;Off-street")&gt;0,1,0)</f>
        <v>0</v>
      </c>
      <c r="O497">
        <f>IF(COUNTIFS('United Data'!$A$3:$A$3390,O$1,'United Data'!$C$3:$C$3390,$A497,'United Data'!$B$3:$B$3390,"&lt;&gt;Off-street")&gt;0,1,0)</f>
        <v>0</v>
      </c>
      <c r="P497">
        <f>IF(COUNTIFS('United Data'!$A$3:$A$3390,P$1,'United Data'!$C$3:$C$3390,$A497,'United Data'!$B$3:$B$3390,"&lt;&gt;Off-street")&gt;0,1,0)</f>
        <v>0</v>
      </c>
      <c r="Q497">
        <f>IF(COUNTIFS('United Data'!$A$3:$A$3390,Q$1,'United Data'!$C$3:$C$3390,$A497,'United Data'!$B$3:$B$3390,"&lt;&gt;Off-street")&gt;0,1,0)</f>
        <v>0</v>
      </c>
      <c r="R497">
        <f>IF(COUNTIFS('United Data'!$A$3:$A$3390,R$1,'United Data'!$C$3:$C$3390,$A497,'United Data'!$B$3:$B$3390,"&lt;&gt;Off-street")&gt;0,1,0)</f>
        <v>0</v>
      </c>
      <c r="S497">
        <f t="shared" si="14"/>
        <v>1</v>
      </c>
      <c r="T497">
        <f t="shared" si="15"/>
        <v>1</v>
      </c>
    </row>
    <row r="498" spans="1:20" x14ac:dyDescent="0.2">
      <c r="A498" t="s">
        <v>606</v>
      </c>
      <c r="B498">
        <f>IF(COUNTIFS('United Data'!$A$3:$A$3390,B$1,'United Data'!$C$3:$C$3390,$A498,'United Data'!$B$3:$B$3390,"&lt;&gt;Off-street")&gt;0,1,0)</f>
        <v>0</v>
      </c>
      <c r="C498">
        <f>IF(COUNTIFS('United Data'!$A$3:$A$3390,C$1,'United Data'!$C$3:$C$3390,$A498,'United Data'!$B$3:$B$3390,"&lt;&gt;Off-street")&gt;0,1,0)</f>
        <v>1</v>
      </c>
      <c r="D498">
        <f>IF(COUNTIFS('United Data'!$A$3:$A$3390,D$1,'United Data'!$C$3:$C$3390,$A498,'United Data'!$B$3:$B$3390,"&lt;&gt;Off-street")&gt;0,1,0)</f>
        <v>1</v>
      </c>
      <c r="E498">
        <f>IF(COUNTIFS('United Data'!$A$3:$A$3390,E$1,'United Data'!$C$3:$C$3390,$A498,'United Data'!$B$3:$B$3390,"&lt;&gt;Off-street")&gt;0,1,0)</f>
        <v>1</v>
      </c>
      <c r="F498">
        <f>IF(COUNTIFS('United Data'!$A$3:$A$3390,F$1,'United Data'!$C$3:$C$3390,$A498,'United Data'!$B$3:$B$3390,"&lt;&gt;Off-street")&gt;0,1,0)</f>
        <v>1</v>
      </c>
      <c r="G498">
        <f>IF(COUNTIFS('United Data'!$A$3:$A$3390,G$1,'United Data'!$C$3:$C$3390,$A498,'United Data'!$B$3:$B$3390,"&lt;&gt;Off-street")&gt;0,1,0)</f>
        <v>0</v>
      </c>
      <c r="H498">
        <f>IF(COUNTIFS('United Data'!$A$3:$A$3390,H$1,'United Data'!$C$3:$C$3390,$A498,'United Data'!$B$3:$B$3390,"&lt;&gt;Off-street")&gt;0,1,0)</f>
        <v>0</v>
      </c>
      <c r="I498">
        <f>IF(COUNTIFS('United Data'!$A$3:$A$3390,I$1,'United Data'!$C$3:$C$3390,$A498,'United Data'!$B$3:$B$3390,"&lt;&gt;Off-street")&gt;0,1,0)</f>
        <v>0</v>
      </c>
      <c r="J498">
        <f>IF(COUNTIFS('United Data'!$A$3:$A$3390,J$1,'United Data'!$C$3:$C$3390,$A498,'United Data'!$B$3:$B$3390,"&lt;&gt;Off-street")&gt;0,1,0)</f>
        <v>0</v>
      </c>
      <c r="K498">
        <f>IF(COUNTIFS('United Data'!$A$3:$A$3390,K$1,'United Data'!$C$3:$C$3390,$A498,'United Data'!$B$3:$B$3390,"&lt;&gt;Off-street")&gt;0,1,0)</f>
        <v>0</v>
      </c>
      <c r="L498">
        <f>IF(COUNTIFS('United Data'!$A$3:$A$3390,L$1,'United Data'!$C$3:$C$3390,$A498,'United Data'!$B$3:$B$3390,"&lt;&gt;Off-street")&gt;0,1,0)</f>
        <v>0</v>
      </c>
      <c r="M498">
        <f>IF(COUNTIFS('United Data'!$A$3:$A$3390,M$1,'United Data'!$C$3:$C$3390,$A498,'United Data'!$B$3:$B$3390,"&lt;&gt;Off-street")&gt;0,1,0)</f>
        <v>0</v>
      </c>
      <c r="N498">
        <f>IF(COUNTIFS('United Data'!$A$3:$A$3390,N$1,'United Data'!$C$3:$C$3390,$A498,'United Data'!$B$3:$B$3390,"&lt;&gt;Off-street")&gt;0,1,0)</f>
        <v>0</v>
      </c>
      <c r="O498">
        <f>IF(COUNTIFS('United Data'!$A$3:$A$3390,O$1,'United Data'!$C$3:$C$3390,$A498,'United Data'!$B$3:$B$3390,"&lt;&gt;Off-street")&gt;0,1,0)</f>
        <v>0</v>
      </c>
      <c r="P498">
        <f>IF(COUNTIFS('United Data'!$A$3:$A$3390,P$1,'United Data'!$C$3:$C$3390,$A498,'United Data'!$B$3:$B$3390,"&lt;&gt;Off-street")&gt;0,1,0)</f>
        <v>0</v>
      </c>
      <c r="Q498">
        <f>IF(COUNTIFS('United Data'!$A$3:$A$3390,Q$1,'United Data'!$C$3:$C$3390,$A498,'United Data'!$B$3:$B$3390,"&lt;&gt;Off-street")&gt;0,1,0)</f>
        <v>0</v>
      </c>
      <c r="R498">
        <f>IF(COUNTIFS('United Data'!$A$3:$A$3390,R$1,'United Data'!$C$3:$C$3390,$A498,'United Data'!$B$3:$B$3390,"&lt;&gt;Off-street")&gt;0,1,0)</f>
        <v>0</v>
      </c>
      <c r="S498">
        <f t="shared" si="14"/>
        <v>4</v>
      </c>
      <c r="T498">
        <f t="shared" si="15"/>
        <v>1</v>
      </c>
    </row>
    <row r="499" spans="1:20" x14ac:dyDescent="0.2">
      <c r="A499" t="s">
        <v>607</v>
      </c>
      <c r="B499">
        <f>IF(COUNTIFS('United Data'!$A$3:$A$3390,B$1,'United Data'!$C$3:$C$3390,$A499,'United Data'!$B$3:$B$3390,"&lt;&gt;Off-street")&gt;0,1,0)</f>
        <v>0</v>
      </c>
      <c r="C499">
        <f>IF(COUNTIFS('United Data'!$A$3:$A$3390,C$1,'United Data'!$C$3:$C$3390,$A499,'United Data'!$B$3:$B$3390,"&lt;&gt;Off-street")&gt;0,1,0)</f>
        <v>1</v>
      </c>
      <c r="D499">
        <f>IF(COUNTIFS('United Data'!$A$3:$A$3390,D$1,'United Data'!$C$3:$C$3390,$A499,'United Data'!$B$3:$B$3390,"&lt;&gt;Off-street")&gt;0,1,0)</f>
        <v>0</v>
      </c>
      <c r="E499">
        <f>IF(COUNTIFS('United Data'!$A$3:$A$3390,E$1,'United Data'!$C$3:$C$3390,$A499,'United Data'!$B$3:$B$3390,"&lt;&gt;Off-street")&gt;0,1,0)</f>
        <v>0</v>
      </c>
      <c r="F499">
        <f>IF(COUNTIFS('United Data'!$A$3:$A$3390,F$1,'United Data'!$C$3:$C$3390,$A499,'United Data'!$B$3:$B$3390,"&lt;&gt;Off-street")&gt;0,1,0)</f>
        <v>0</v>
      </c>
      <c r="G499">
        <f>IF(COUNTIFS('United Data'!$A$3:$A$3390,G$1,'United Data'!$C$3:$C$3390,$A499,'United Data'!$B$3:$B$3390,"&lt;&gt;Off-street")&gt;0,1,0)</f>
        <v>0</v>
      </c>
      <c r="H499">
        <f>IF(COUNTIFS('United Data'!$A$3:$A$3390,H$1,'United Data'!$C$3:$C$3390,$A499,'United Data'!$B$3:$B$3390,"&lt;&gt;Off-street")&gt;0,1,0)</f>
        <v>0</v>
      </c>
      <c r="I499">
        <f>IF(COUNTIFS('United Data'!$A$3:$A$3390,I$1,'United Data'!$C$3:$C$3390,$A499,'United Data'!$B$3:$B$3390,"&lt;&gt;Off-street")&gt;0,1,0)</f>
        <v>0</v>
      </c>
      <c r="J499">
        <f>IF(COUNTIFS('United Data'!$A$3:$A$3390,J$1,'United Data'!$C$3:$C$3390,$A499,'United Data'!$B$3:$B$3390,"&lt;&gt;Off-street")&gt;0,1,0)</f>
        <v>0</v>
      </c>
      <c r="K499">
        <f>IF(COUNTIFS('United Data'!$A$3:$A$3390,K$1,'United Data'!$C$3:$C$3390,$A499,'United Data'!$B$3:$B$3390,"&lt;&gt;Off-street")&gt;0,1,0)</f>
        <v>0</v>
      </c>
      <c r="L499">
        <f>IF(COUNTIFS('United Data'!$A$3:$A$3390,L$1,'United Data'!$C$3:$C$3390,$A499,'United Data'!$B$3:$B$3390,"&lt;&gt;Off-street")&gt;0,1,0)</f>
        <v>0</v>
      </c>
      <c r="M499">
        <f>IF(COUNTIFS('United Data'!$A$3:$A$3390,M$1,'United Data'!$C$3:$C$3390,$A499,'United Data'!$B$3:$B$3390,"&lt;&gt;Off-street")&gt;0,1,0)</f>
        <v>0</v>
      </c>
      <c r="N499">
        <f>IF(COUNTIFS('United Data'!$A$3:$A$3390,N$1,'United Data'!$C$3:$C$3390,$A499,'United Data'!$B$3:$B$3390,"&lt;&gt;Off-street")&gt;0,1,0)</f>
        <v>0</v>
      </c>
      <c r="O499">
        <f>IF(COUNTIFS('United Data'!$A$3:$A$3390,O$1,'United Data'!$C$3:$C$3390,$A499,'United Data'!$B$3:$B$3390,"&lt;&gt;Off-street")&gt;0,1,0)</f>
        <v>0</v>
      </c>
      <c r="P499">
        <f>IF(COUNTIFS('United Data'!$A$3:$A$3390,P$1,'United Data'!$C$3:$C$3390,$A499,'United Data'!$B$3:$B$3390,"&lt;&gt;Off-street")&gt;0,1,0)</f>
        <v>0</v>
      </c>
      <c r="Q499">
        <f>IF(COUNTIFS('United Data'!$A$3:$A$3390,Q$1,'United Data'!$C$3:$C$3390,$A499,'United Data'!$B$3:$B$3390,"&lt;&gt;Off-street")&gt;0,1,0)</f>
        <v>0</v>
      </c>
      <c r="R499">
        <f>IF(COUNTIFS('United Data'!$A$3:$A$3390,R$1,'United Data'!$C$3:$C$3390,$A499,'United Data'!$B$3:$B$3390,"&lt;&gt;Off-street")&gt;0,1,0)</f>
        <v>0</v>
      </c>
      <c r="S499">
        <f t="shared" si="14"/>
        <v>1</v>
      </c>
      <c r="T499">
        <f t="shared" si="15"/>
        <v>1</v>
      </c>
    </row>
    <row r="500" spans="1:20" x14ac:dyDescent="0.2">
      <c r="A500" t="s">
        <v>608</v>
      </c>
      <c r="B500">
        <f>IF(COUNTIFS('United Data'!$A$3:$A$3390,B$1,'United Data'!$C$3:$C$3390,$A500,'United Data'!$B$3:$B$3390,"&lt;&gt;Off-street")&gt;0,1,0)</f>
        <v>0</v>
      </c>
      <c r="C500">
        <f>IF(COUNTIFS('United Data'!$A$3:$A$3390,C$1,'United Data'!$C$3:$C$3390,$A500,'United Data'!$B$3:$B$3390,"&lt;&gt;Off-street")&gt;0,1,0)</f>
        <v>1</v>
      </c>
      <c r="D500">
        <f>IF(COUNTIFS('United Data'!$A$3:$A$3390,D$1,'United Data'!$C$3:$C$3390,$A500,'United Data'!$B$3:$B$3390,"&lt;&gt;Off-street")&gt;0,1,0)</f>
        <v>1</v>
      </c>
      <c r="E500">
        <f>IF(COUNTIFS('United Data'!$A$3:$A$3390,E$1,'United Data'!$C$3:$C$3390,$A500,'United Data'!$B$3:$B$3390,"&lt;&gt;Off-street")&gt;0,1,0)</f>
        <v>0</v>
      </c>
      <c r="F500">
        <f>IF(COUNTIFS('United Data'!$A$3:$A$3390,F$1,'United Data'!$C$3:$C$3390,$A500,'United Data'!$B$3:$B$3390,"&lt;&gt;Off-street")&gt;0,1,0)</f>
        <v>0</v>
      </c>
      <c r="G500">
        <f>IF(COUNTIFS('United Data'!$A$3:$A$3390,G$1,'United Data'!$C$3:$C$3390,$A500,'United Data'!$B$3:$B$3390,"&lt;&gt;Off-street")&gt;0,1,0)</f>
        <v>1</v>
      </c>
      <c r="H500">
        <f>IF(COUNTIFS('United Data'!$A$3:$A$3390,H$1,'United Data'!$C$3:$C$3390,$A500,'United Data'!$B$3:$B$3390,"&lt;&gt;Off-street")&gt;0,1,0)</f>
        <v>0</v>
      </c>
      <c r="I500">
        <f>IF(COUNTIFS('United Data'!$A$3:$A$3390,I$1,'United Data'!$C$3:$C$3390,$A500,'United Data'!$B$3:$B$3390,"&lt;&gt;Off-street")&gt;0,1,0)</f>
        <v>0</v>
      </c>
      <c r="J500">
        <f>IF(COUNTIFS('United Data'!$A$3:$A$3390,J$1,'United Data'!$C$3:$C$3390,$A500,'United Data'!$B$3:$B$3390,"&lt;&gt;Off-street")&gt;0,1,0)</f>
        <v>0</v>
      </c>
      <c r="K500">
        <f>IF(COUNTIFS('United Data'!$A$3:$A$3390,K$1,'United Data'!$C$3:$C$3390,$A500,'United Data'!$B$3:$B$3390,"&lt;&gt;Off-street")&gt;0,1,0)</f>
        <v>0</v>
      </c>
      <c r="L500">
        <f>IF(COUNTIFS('United Data'!$A$3:$A$3390,L$1,'United Data'!$C$3:$C$3390,$A500,'United Data'!$B$3:$B$3390,"&lt;&gt;Off-street")&gt;0,1,0)</f>
        <v>0</v>
      </c>
      <c r="M500">
        <f>IF(COUNTIFS('United Data'!$A$3:$A$3390,M$1,'United Data'!$C$3:$C$3390,$A500,'United Data'!$B$3:$B$3390,"&lt;&gt;Off-street")&gt;0,1,0)</f>
        <v>0</v>
      </c>
      <c r="N500">
        <f>IF(COUNTIFS('United Data'!$A$3:$A$3390,N$1,'United Data'!$C$3:$C$3390,$A500,'United Data'!$B$3:$B$3390,"&lt;&gt;Off-street")&gt;0,1,0)</f>
        <v>0</v>
      </c>
      <c r="O500">
        <f>IF(COUNTIFS('United Data'!$A$3:$A$3390,O$1,'United Data'!$C$3:$C$3390,$A500,'United Data'!$B$3:$B$3390,"&lt;&gt;Off-street")&gt;0,1,0)</f>
        <v>1</v>
      </c>
      <c r="P500">
        <f>IF(COUNTIFS('United Data'!$A$3:$A$3390,P$1,'United Data'!$C$3:$C$3390,$A500,'United Data'!$B$3:$B$3390,"&lt;&gt;Off-street")&gt;0,1,0)</f>
        <v>1</v>
      </c>
      <c r="Q500">
        <f>IF(COUNTIFS('United Data'!$A$3:$A$3390,Q$1,'United Data'!$C$3:$C$3390,$A500,'United Data'!$B$3:$B$3390,"&lt;&gt;Off-street")&gt;0,1,0)</f>
        <v>1</v>
      </c>
      <c r="R500">
        <f>IF(COUNTIFS('United Data'!$A$3:$A$3390,R$1,'United Data'!$C$3:$C$3390,$A500,'United Data'!$B$3:$B$3390,"&lt;&gt;Off-street")&gt;0,1,0)</f>
        <v>0</v>
      </c>
      <c r="S500">
        <f t="shared" si="14"/>
        <v>6</v>
      </c>
      <c r="T500">
        <f t="shared" si="15"/>
        <v>3</v>
      </c>
    </row>
    <row r="501" spans="1:20" x14ac:dyDescent="0.2">
      <c r="A501" t="s">
        <v>609</v>
      </c>
      <c r="B501">
        <f>IF(COUNTIFS('United Data'!$A$3:$A$3390,B$1,'United Data'!$C$3:$C$3390,$A501,'United Data'!$B$3:$B$3390,"&lt;&gt;Off-street")&gt;0,1,0)</f>
        <v>0</v>
      </c>
      <c r="C501">
        <f>IF(COUNTIFS('United Data'!$A$3:$A$3390,C$1,'United Data'!$C$3:$C$3390,$A501,'United Data'!$B$3:$B$3390,"&lt;&gt;Off-street")&gt;0,1,0)</f>
        <v>1</v>
      </c>
      <c r="D501">
        <f>IF(COUNTIFS('United Data'!$A$3:$A$3390,D$1,'United Data'!$C$3:$C$3390,$A501,'United Data'!$B$3:$B$3390,"&lt;&gt;Off-street")&gt;0,1,0)</f>
        <v>0</v>
      </c>
      <c r="E501">
        <f>IF(COUNTIFS('United Data'!$A$3:$A$3390,E$1,'United Data'!$C$3:$C$3390,$A501,'United Data'!$B$3:$B$3390,"&lt;&gt;Off-street")&gt;0,1,0)</f>
        <v>0</v>
      </c>
      <c r="F501">
        <f>IF(COUNTIFS('United Data'!$A$3:$A$3390,F$1,'United Data'!$C$3:$C$3390,$A501,'United Data'!$B$3:$B$3390,"&lt;&gt;Off-street")&gt;0,1,0)</f>
        <v>0</v>
      </c>
      <c r="G501">
        <f>IF(COUNTIFS('United Data'!$A$3:$A$3390,G$1,'United Data'!$C$3:$C$3390,$A501,'United Data'!$B$3:$B$3390,"&lt;&gt;Off-street")&gt;0,1,0)</f>
        <v>0</v>
      </c>
      <c r="H501">
        <f>IF(COUNTIFS('United Data'!$A$3:$A$3390,H$1,'United Data'!$C$3:$C$3390,$A501,'United Data'!$B$3:$B$3390,"&lt;&gt;Off-street")&gt;0,1,0)</f>
        <v>0</v>
      </c>
      <c r="I501">
        <f>IF(COUNTIFS('United Data'!$A$3:$A$3390,I$1,'United Data'!$C$3:$C$3390,$A501,'United Data'!$B$3:$B$3390,"&lt;&gt;Off-street")&gt;0,1,0)</f>
        <v>0</v>
      </c>
      <c r="J501">
        <f>IF(COUNTIFS('United Data'!$A$3:$A$3390,J$1,'United Data'!$C$3:$C$3390,$A501,'United Data'!$B$3:$B$3390,"&lt;&gt;Off-street")&gt;0,1,0)</f>
        <v>0</v>
      </c>
      <c r="K501">
        <f>IF(COUNTIFS('United Data'!$A$3:$A$3390,K$1,'United Data'!$C$3:$C$3390,$A501,'United Data'!$B$3:$B$3390,"&lt;&gt;Off-street")&gt;0,1,0)</f>
        <v>0</v>
      </c>
      <c r="L501">
        <f>IF(COUNTIFS('United Data'!$A$3:$A$3390,L$1,'United Data'!$C$3:$C$3390,$A501,'United Data'!$B$3:$B$3390,"&lt;&gt;Off-street")&gt;0,1,0)</f>
        <v>0</v>
      </c>
      <c r="M501">
        <f>IF(COUNTIFS('United Data'!$A$3:$A$3390,M$1,'United Data'!$C$3:$C$3390,$A501,'United Data'!$B$3:$B$3390,"&lt;&gt;Off-street")&gt;0,1,0)</f>
        <v>0</v>
      </c>
      <c r="N501">
        <f>IF(COUNTIFS('United Data'!$A$3:$A$3390,N$1,'United Data'!$C$3:$C$3390,$A501,'United Data'!$B$3:$B$3390,"&lt;&gt;Off-street")&gt;0,1,0)</f>
        <v>0</v>
      </c>
      <c r="O501">
        <f>IF(COUNTIFS('United Data'!$A$3:$A$3390,O$1,'United Data'!$C$3:$C$3390,$A501,'United Data'!$B$3:$B$3390,"&lt;&gt;Off-street")&gt;0,1,0)</f>
        <v>0</v>
      </c>
      <c r="P501">
        <f>IF(COUNTIFS('United Data'!$A$3:$A$3390,P$1,'United Data'!$C$3:$C$3390,$A501,'United Data'!$B$3:$B$3390,"&lt;&gt;Off-street")&gt;0,1,0)</f>
        <v>0</v>
      </c>
      <c r="Q501">
        <f>IF(COUNTIFS('United Data'!$A$3:$A$3390,Q$1,'United Data'!$C$3:$C$3390,$A501,'United Data'!$B$3:$B$3390,"&lt;&gt;Off-street")&gt;0,1,0)</f>
        <v>0</v>
      </c>
      <c r="R501">
        <f>IF(COUNTIFS('United Data'!$A$3:$A$3390,R$1,'United Data'!$C$3:$C$3390,$A501,'United Data'!$B$3:$B$3390,"&lt;&gt;Off-street")&gt;0,1,0)</f>
        <v>0</v>
      </c>
      <c r="S501">
        <f t="shared" si="14"/>
        <v>1</v>
      </c>
      <c r="T501">
        <f t="shared" si="15"/>
        <v>1</v>
      </c>
    </row>
    <row r="502" spans="1:20" x14ac:dyDescent="0.2">
      <c r="A502" t="s">
        <v>610</v>
      </c>
      <c r="B502">
        <f>IF(COUNTIFS('United Data'!$A$3:$A$3390,B$1,'United Data'!$C$3:$C$3390,$A502,'United Data'!$B$3:$B$3390,"&lt;&gt;Off-street")&gt;0,1,0)</f>
        <v>0</v>
      </c>
      <c r="C502">
        <f>IF(COUNTIFS('United Data'!$A$3:$A$3390,C$1,'United Data'!$C$3:$C$3390,$A502,'United Data'!$B$3:$B$3390,"&lt;&gt;Off-street")&gt;0,1,0)</f>
        <v>1</v>
      </c>
      <c r="D502">
        <f>IF(COUNTIFS('United Data'!$A$3:$A$3390,D$1,'United Data'!$C$3:$C$3390,$A502,'United Data'!$B$3:$B$3390,"&lt;&gt;Off-street")&gt;0,1,0)</f>
        <v>1</v>
      </c>
      <c r="E502">
        <f>IF(COUNTIFS('United Data'!$A$3:$A$3390,E$1,'United Data'!$C$3:$C$3390,$A502,'United Data'!$B$3:$B$3390,"&lt;&gt;Off-street")&gt;0,1,0)</f>
        <v>0</v>
      </c>
      <c r="F502">
        <f>IF(COUNTIFS('United Data'!$A$3:$A$3390,F$1,'United Data'!$C$3:$C$3390,$A502,'United Data'!$B$3:$B$3390,"&lt;&gt;Off-street")&gt;0,1,0)</f>
        <v>1</v>
      </c>
      <c r="G502">
        <f>IF(COUNTIFS('United Data'!$A$3:$A$3390,G$1,'United Data'!$C$3:$C$3390,$A502,'United Data'!$B$3:$B$3390,"&lt;&gt;Off-street")&gt;0,1,0)</f>
        <v>0</v>
      </c>
      <c r="H502">
        <f>IF(COUNTIFS('United Data'!$A$3:$A$3390,H$1,'United Data'!$C$3:$C$3390,$A502,'United Data'!$B$3:$B$3390,"&lt;&gt;Off-street")&gt;0,1,0)</f>
        <v>0</v>
      </c>
      <c r="I502">
        <f>IF(COUNTIFS('United Data'!$A$3:$A$3390,I$1,'United Data'!$C$3:$C$3390,$A502,'United Data'!$B$3:$B$3390,"&lt;&gt;Off-street")&gt;0,1,0)</f>
        <v>0</v>
      </c>
      <c r="J502">
        <f>IF(COUNTIFS('United Data'!$A$3:$A$3390,J$1,'United Data'!$C$3:$C$3390,$A502,'United Data'!$B$3:$B$3390,"&lt;&gt;Off-street")&gt;0,1,0)</f>
        <v>0</v>
      </c>
      <c r="K502">
        <f>IF(COUNTIFS('United Data'!$A$3:$A$3390,K$1,'United Data'!$C$3:$C$3390,$A502,'United Data'!$B$3:$B$3390,"&lt;&gt;Off-street")&gt;0,1,0)</f>
        <v>0</v>
      </c>
      <c r="L502">
        <f>IF(COUNTIFS('United Data'!$A$3:$A$3390,L$1,'United Data'!$C$3:$C$3390,$A502,'United Data'!$B$3:$B$3390,"&lt;&gt;Off-street")&gt;0,1,0)</f>
        <v>0</v>
      </c>
      <c r="M502">
        <f>IF(COUNTIFS('United Data'!$A$3:$A$3390,M$1,'United Data'!$C$3:$C$3390,$A502,'United Data'!$B$3:$B$3390,"&lt;&gt;Off-street")&gt;0,1,0)</f>
        <v>0</v>
      </c>
      <c r="N502">
        <f>IF(COUNTIFS('United Data'!$A$3:$A$3390,N$1,'United Data'!$C$3:$C$3390,$A502,'United Data'!$B$3:$B$3390,"&lt;&gt;Off-street")&gt;0,1,0)</f>
        <v>0</v>
      </c>
      <c r="O502">
        <f>IF(COUNTIFS('United Data'!$A$3:$A$3390,O$1,'United Data'!$C$3:$C$3390,$A502,'United Data'!$B$3:$B$3390,"&lt;&gt;Off-street")&gt;0,1,0)</f>
        <v>1</v>
      </c>
      <c r="P502">
        <f>IF(COUNTIFS('United Data'!$A$3:$A$3390,P$1,'United Data'!$C$3:$C$3390,$A502,'United Data'!$B$3:$B$3390,"&lt;&gt;Off-street")&gt;0,1,0)</f>
        <v>0</v>
      </c>
      <c r="Q502">
        <f>IF(COUNTIFS('United Data'!$A$3:$A$3390,Q$1,'United Data'!$C$3:$C$3390,$A502,'United Data'!$B$3:$B$3390,"&lt;&gt;Off-street")&gt;0,1,0)</f>
        <v>0</v>
      </c>
      <c r="R502">
        <f>IF(COUNTIFS('United Data'!$A$3:$A$3390,R$1,'United Data'!$C$3:$C$3390,$A502,'United Data'!$B$3:$B$3390,"&lt;&gt;Off-street")&gt;0,1,0)</f>
        <v>0</v>
      </c>
      <c r="S502">
        <f t="shared" si="14"/>
        <v>4</v>
      </c>
      <c r="T502">
        <f t="shared" si="15"/>
        <v>3</v>
      </c>
    </row>
    <row r="503" spans="1:20" x14ac:dyDescent="0.2">
      <c r="A503" t="s">
        <v>611</v>
      </c>
      <c r="B503">
        <f>IF(COUNTIFS('United Data'!$A$3:$A$3390,B$1,'United Data'!$C$3:$C$3390,$A503,'United Data'!$B$3:$B$3390,"&lt;&gt;Off-street")&gt;0,1,0)</f>
        <v>0</v>
      </c>
      <c r="C503">
        <f>IF(COUNTIFS('United Data'!$A$3:$A$3390,C$1,'United Data'!$C$3:$C$3390,$A503,'United Data'!$B$3:$B$3390,"&lt;&gt;Off-street")&gt;0,1,0)</f>
        <v>1</v>
      </c>
      <c r="D503">
        <f>IF(COUNTIFS('United Data'!$A$3:$A$3390,D$1,'United Data'!$C$3:$C$3390,$A503,'United Data'!$B$3:$B$3390,"&lt;&gt;Off-street")&gt;0,1,0)</f>
        <v>0</v>
      </c>
      <c r="E503">
        <f>IF(COUNTIFS('United Data'!$A$3:$A$3390,E$1,'United Data'!$C$3:$C$3390,$A503,'United Data'!$B$3:$B$3390,"&lt;&gt;Off-street")&gt;0,1,0)</f>
        <v>0</v>
      </c>
      <c r="F503">
        <f>IF(COUNTIFS('United Data'!$A$3:$A$3390,F$1,'United Data'!$C$3:$C$3390,$A503,'United Data'!$B$3:$B$3390,"&lt;&gt;Off-street")&gt;0,1,0)</f>
        <v>0</v>
      </c>
      <c r="G503">
        <f>IF(COUNTIFS('United Data'!$A$3:$A$3390,G$1,'United Data'!$C$3:$C$3390,$A503,'United Data'!$B$3:$B$3390,"&lt;&gt;Off-street")&gt;0,1,0)</f>
        <v>0</v>
      </c>
      <c r="H503">
        <f>IF(COUNTIFS('United Data'!$A$3:$A$3390,H$1,'United Data'!$C$3:$C$3390,$A503,'United Data'!$B$3:$B$3390,"&lt;&gt;Off-street")&gt;0,1,0)</f>
        <v>0</v>
      </c>
      <c r="I503">
        <f>IF(COUNTIFS('United Data'!$A$3:$A$3390,I$1,'United Data'!$C$3:$C$3390,$A503,'United Data'!$B$3:$B$3390,"&lt;&gt;Off-street")&gt;0,1,0)</f>
        <v>0</v>
      </c>
      <c r="J503">
        <f>IF(COUNTIFS('United Data'!$A$3:$A$3390,J$1,'United Data'!$C$3:$C$3390,$A503,'United Data'!$B$3:$B$3390,"&lt;&gt;Off-street")&gt;0,1,0)</f>
        <v>0</v>
      </c>
      <c r="K503">
        <f>IF(COUNTIFS('United Data'!$A$3:$A$3390,K$1,'United Data'!$C$3:$C$3390,$A503,'United Data'!$B$3:$B$3390,"&lt;&gt;Off-street")&gt;0,1,0)</f>
        <v>0</v>
      </c>
      <c r="L503">
        <f>IF(COUNTIFS('United Data'!$A$3:$A$3390,L$1,'United Data'!$C$3:$C$3390,$A503,'United Data'!$B$3:$B$3390,"&lt;&gt;Off-street")&gt;0,1,0)</f>
        <v>0</v>
      </c>
      <c r="M503">
        <f>IF(COUNTIFS('United Data'!$A$3:$A$3390,M$1,'United Data'!$C$3:$C$3390,$A503,'United Data'!$B$3:$B$3390,"&lt;&gt;Off-street")&gt;0,1,0)</f>
        <v>0</v>
      </c>
      <c r="N503">
        <f>IF(COUNTIFS('United Data'!$A$3:$A$3390,N$1,'United Data'!$C$3:$C$3390,$A503,'United Data'!$B$3:$B$3390,"&lt;&gt;Off-street")&gt;0,1,0)</f>
        <v>0</v>
      </c>
      <c r="O503">
        <f>IF(COUNTIFS('United Data'!$A$3:$A$3390,O$1,'United Data'!$C$3:$C$3390,$A503,'United Data'!$B$3:$B$3390,"&lt;&gt;Off-street")&gt;0,1,0)</f>
        <v>0</v>
      </c>
      <c r="P503">
        <f>IF(COUNTIFS('United Data'!$A$3:$A$3390,P$1,'United Data'!$C$3:$C$3390,$A503,'United Data'!$B$3:$B$3390,"&lt;&gt;Off-street")&gt;0,1,0)</f>
        <v>0</v>
      </c>
      <c r="Q503">
        <f>IF(COUNTIFS('United Data'!$A$3:$A$3390,Q$1,'United Data'!$C$3:$C$3390,$A503,'United Data'!$B$3:$B$3390,"&lt;&gt;Off-street")&gt;0,1,0)</f>
        <v>0</v>
      </c>
      <c r="R503">
        <f>IF(COUNTIFS('United Data'!$A$3:$A$3390,R$1,'United Data'!$C$3:$C$3390,$A503,'United Data'!$B$3:$B$3390,"&lt;&gt;Off-street")&gt;0,1,0)</f>
        <v>0</v>
      </c>
      <c r="S503">
        <f t="shared" si="14"/>
        <v>1</v>
      </c>
      <c r="T503">
        <f t="shared" si="15"/>
        <v>1</v>
      </c>
    </row>
    <row r="504" spans="1:20" x14ac:dyDescent="0.2">
      <c r="A504" t="s">
        <v>613</v>
      </c>
      <c r="B504">
        <f>IF(COUNTIFS('United Data'!$A$3:$A$3390,B$1,'United Data'!$C$3:$C$3390,$A504,'United Data'!$B$3:$B$3390,"&lt;&gt;Off-street")&gt;0,1,0)</f>
        <v>0</v>
      </c>
      <c r="C504">
        <f>IF(COUNTIFS('United Data'!$A$3:$A$3390,C$1,'United Data'!$C$3:$C$3390,$A504,'United Data'!$B$3:$B$3390,"&lt;&gt;Off-street")&gt;0,1,0)</f>
        <v>0</v>
      </c>
      <c r="D504">
        <f>IF(COUNTIFS('United Data'!$A$3:$A$3390,D$1,'United Data'!$C$3:$C$3390,$A504,'United Data'!$B$3:$B$3390,"&lt;&gt;Off-street")&gt;0,1,0)</f>
        <v>1</v>
      </c>
      <c r="E504">
        <f>IF(COUNTIFS('United Data'!$A$3:$A$3390,E$1,'United Data'!$C$3:$C$3390,$A504,'United Data'!$B$3:$B$3390,"&lt;&gt;Off-street")&gt;0,1,0)</f>
        <v>1</v>
      </c>
      <c r="F504">
        <f>IF(COUNTIFS('United Data'!$A$3:$A$3390,F$1,'United Data'!$C$3:$C$3390,$A504,'United Data'!$B$3:$B$3390,"&lt;&gt;Off-street")&gt;0,1,0)</f>
        <v>1</v>
      </c>
      <c r="G504">
        <f>IF(COUNTIFS('United Data'!$A$3:$A$3390,G$1,'United Data'!$C$3:$C$3390,$A504,'United Data'!$B$3:$B$3390,"&lt;&gt;Off-street")&gt;0,1,0)</f>
        <v>0</v>
      </c>
      <c r="H504">
        <f>IF(COUNTIFS('United Data'!$A$3:$A$3390,H$1,'United Data'!$C$3:$C$3390,$A504,'United Data'!$B$3:$B$3390,"&lt;&gt;Off-street")&gt;0,1,0)</f>
        <v>0</v>
      </c>
      <c r="I504">
        <f>IF(COUNTIFS('United Data'!$A$3:$A$3390,I$1,'United Data'!$C$3:$C$3390,$A504,'United Data'!$B$3:$B$3390,"&lt;&gt;Off-street")&gt;0,1,0)</f>
        <v>0</v>
      </c>
      <c r="J504">
        <f>IF(COUNTIFS('United Data'!$A$3:$A$3390,J$1,'United Data'!$C$3:$C$3390,$A504,'United Data'!$B$3:$B$3390,"&lt;&gt;Off-street")&gt;0,1,0)</f>
        <v>0</v>
      </c>
      <c r="K504">
        <f>IF(COUNTIFS('United Data'!$A$3:$A$3390,K$1,'United Data'!$C$3:$C$3390,$A504,'United Data'!$B$3:$B$3390,"&lt;&gt;Off-street")&gt;0,1,0)</f>
        <v>0</v>
      </c>
      <c r="L504">
        <f>IF(COUNTIFS('United Data'!$A$3:$A$3390,L$1,'United Data'!$C$3:$C$3390,$A504,'United Data'!$B$3:$B$3390,"&lt;&gt;Off-street")&gt;0,1,0)</f>
        <v>0</v>
      </c>
      <c r="M504">
        <f>IF(COUNTIFS('United Data'!$A$3:$A$3390,M$1,'United Data'!$C$3:$C$3390,$A504,'United Data'!$B$3:$B$3390,"&lt;&gt;Off-street")&gt;0,1,0)</f>
        <v>1</v>
      </c>
      <c r="N504">
        <f>IF(COUNTIFS('United Data'!$A$3:$A$3390,N$1,'United Data'!$C$3:$C$3390,$A504,'United Data'!$B$3:$B$3390,"&lt;&gt;Off-street")&gt;0,1,0)</f>
        <v>0</v>
      </c>
      <c r="O504">
        <f>IF(COUNTIFS('United Data'!$A$3:$A$3390,O$1,'United Data'!$C$3:$C$3390,$A504,'United Data'!$B$3:$B$3390,"&lt;&gt;Off-street")&gt;0,1,0)</f>
        <v>0</v>
      </c>
      <c r="P504">
        <f>IF(COUNTIFS('United Data'!$A$3:$A$3390,P$1,'United Data'!$C$3:$C$3390,$A504,'United Data'!$B$3:$B$3390,"&lt;&gt;Off-street")&gt;0,1,0)</f>
        <v>0</v>
      </c>
      <c r="Q504">
        <f>IF(COUNTIFS('United Data'!$A$3:$A$3390,Q$1,'United Data'!$C$3:$C$3390,$A504,'United Data'!$B$3:$B$3390,"&lt;&gt;Off-street")&gt;0,1,0)</f>
        <v>0</v>
      </c>
      <c r="R504">
        <f>IF(COUNTIFS('United Data'!$A$3:$A$3390,R$1,'United Data'!$C$3:$C$3390,$A504,'United Data'!$B$3:$B$3390,"&lt;&gt;Off-street")&gt;0,1,0)</f>
        <v>0</v>
      </c>
      <c r="S504">
        <f t="shared" si="14"/>
        <v>4</v>
      </c>
      <c r="T504">
        <f t="shared" si="15"/>
        <v>2</v>
      </c>
    </row>
    <row r="505" spans="1:20" x14ac:dyDescent="0.2">
      <c r="A505" t="s">
        <v>614</v>
      </c>
      <c r="B505">
        <f>IF(COUNTIFS('United Data'!$A$3:$A$3390,B$1,'United Data'!$C$3:$C$3390,$A505,'United Data'!$B$3:$B$3390,"&lt;&gt;Off-street")&gt;0,1,0)</f>
        <v>0</v>
      </c>
      <c r="C505">
        <f>IF(COUNTIFS('United Data'!$A$3:$A$3390,C$1,'United Data'!$C$3:$C$3390,$A505,'United Data'!$B$3:$B$3390,"&lt;&gt;Off-street")&gt;0,1,0)</f>
        <v>0</v>
      </c>
      <c r="D505">
        <f>IF(COUNTIFS('United Data'!$A$3:$A$3390,D$1,'United Data'!$C$3:$C$3390,$A505,'United Data'!$B$3:$B$3390,"&lt;&gt;Off-street")&gt;0,1,0)</f>
        <v>1</v>
      </c>
      <c r="E505">
        <f>IF(COUNTIFS('United Data'!$A$3:$A$3390,E$1,'United Data'!$C$3:$C$3390,$A505,'United Data'!$B$3:$B$3390,"&lt;&gt;Off-street")&gt;0,1,0)</f>
        <v>0</v>
      </c>
      <c r="F505">
        <f>IF(COUNTIFS('United Data'!$A$3:$A$3390,F$1,'United Data'!$C$3:$C$3390,$A505,'United Data'!$B$3:$B$3390,"&lt;&gt;Off-street")&gt;0,1,0)</f>
        <v>0</v>
      </c>
      <c r="G505">
        <f>IF(COUNTIFS('United Data'!$A$3:$A$3390,G$1,'United Data'!$C$3:$C$3390,$A505,'United Data'!$B$3:$B$3390,"&lt;&gt;Off-street")&gt;0,1,0)</f>
        <v>0</v>
      </c>
      <c r="H505">
        <f>IF(COUNTIFS('United Data'!$A$3:$A$3390,H$1,'United Data'!$C$3:$C$3390,$A505,'United Data'!$B$3:$B$3390,"&lt;&gt;Off-street")&gt;0,1,0)</f>
        <v>0</v>
      </c>
      <c r="I505">
        <f>IF(COUNTIFS('United Data'!$A$3:$A$3390,I$1,'United Data'!$C$3:$C$3390,$A505,'United Data'!$B$3:$B$3390,"&lt;&gt;Off-street")&gt;0,1,0)</f>
        <v>0</v>
      </c>
      <c r="J505">
        <f>IF(COUNTIFS('United Data'!$A$3:$A$3390,J$1,'United Data'!$C$3:$C$3390,$A505,'United Data'!$B$3:$B$3390,"&lt;&gt;Off-street")&gt;0,1,0)</f>
        <v>0</v>
      </c>
      <c r="K505">
        <f>IF(COUNTIFS('United Data'!$A$3:$A$3390,K$1,'United Data'!$C$3:$C$3390,$A505,'United Data'!$B$3:$B$3390,"&lt;&gt;Off-street")&gt;0,1,0)</f>
        <v>0</v>
      </c>
      <c r="L505">
        <f>IF(COUNTIFS('United Data'!$A$3:$A$3390,L$1,'United Data'!$C$3:$C$3390,$A505,'United Data'!$B$3:$B$3390,"&lt;&gt;Off-street")&gt;0,1,0)</f>
        <v>0</v>
      </c>
      <c r="M505">
        <f>IF(COUNTIFS('United Data'!$A$3:$A$3390,M$1,'United Data'!$C$3:$C$3390,$A505,'United Data'!$B$3:$B$3390,"&lt;&gt;Off-street")&gt;0,1,0)</f>
        <v>0</v>
      </c>
      <c r="N505">
        <f>IF(COUNTIFS('United Data'!$A$3:$A$3390,N$1,'United Data'!$C$3:$C$3390,$A505,'United Data'!$B$3:$B$3390,"&lt;&gt;Off-street")&gt;0,1,0)</f>
        <v>0</v>
      </c>
      <c r="O505">
        <f>IF(COUNTIFS('United Data'!$A$3:$A$3390,O$1,'United Data'!$C$3:$C$3390,$A505,'United Data'!$B$3:$B$3390,"&lt;&gt;Off-street")&gt;0,1,0)</f>
        <v>0</v>
      </c>
      <c r="P505">
        <f>IF(COUNTIFS('United Data'!$A$3:$A$3390,P$1,'United Data'!$C$3:$C$3390,$A505,'United Data'!$B$3:$B$3390,"&lt;&gt;Off-street")&gt;0,1,0)</f>
        <v>0</v>
      </c>
      <c r="Q505">
        <f>IF(COUNTIFS('United Data'!$A$3:$A$3390,Q$1,'United Data'!$C$3:$C$3390,$A505,'United Data'!$B$3:$B$3390,"&lt;&gt;Off-street")&gt;0,1,0)</f>
        <v>0</v>
      </c>
      <c r="R505">
        <f>IF(COUNTIFS('United Data'!$A$3:$A$3390,R$1,'United Data'!$C$3:$C$3390,$A505,'United Data'!$B$3:$B$3390,"&lt;&gt;Off-street")&gt;0,1,0)</f>
        <v>0</v>
      </c>
      <c r="S505">
        <f t="shared" si="14"/>
        <v>1</v>
      </c>
      <c r="T505">
        <f t="shared" si="15"/>
        <v>1</v>
      </c>
    </row>
    <row r="506" spans="1:20" x14ac:dyDescent="0.2">
      <c r="A506" t="s">
        <v>616</v>
      </c>
      <c r="B506">
        <f>IF(COUNTIFS('United Data'!$A$3:$A$3390,B$1,'United Data'!$C$3:$C$3390,$A506,'United Data'!$B$3:$B$3390,"&lt;&gt;Off-street")&gt;0,1,0)</f>
        <v>0</v>
      </c>
      <c r="C506">
        <f>IF(COUNTIFS('United Data'!$A$3:$A$3390,C$1,'United Data'!$C$3:$C$3390,$A506,'United Data'!$B$3:$B$3390,"&lt;&gt;Off-street")&gt;0,1,0)</f>
        <v>0</v>
      </c>
      <c r="D506">
        <f>IF(COUNTIFS('United Data'!$A$3:$A$3390,D$1,'United Data'!$C$3:$C$3390,$A506,'United Data'!$B$3:$B$3390,"&lt;&gt;Off-street")&gt;0,1,0)</f>
        <v>1</v>
      </c>
      <c r="E506">
        <f>IF(COUNTIFS('United Data'!$A$3:$A$3390,E$1,'United Data'!$C$3:$C$3390,$A506,'United Data'!$B$3:$B$3390,"&lt;&gt;Off-street")&gt;0,1,0)</f>
        <v>1</v>
      </c>
      <c r="F506">
        <f>IF(COUNTIFS('United Data'!$A$3:$A$3390,F$1,'United Data'!$C$3:$C$3390,$A506,'United Data'!$B$3:$B$3390,"&lt;&gt;Off-street")&gt;0,1,0)</f>
        <v>1</v>
      </c>
      <c r="G506">
        <f>IF(COUNTIFS('United Data'!$A$3:$A$3390,G$1,'United Data'!$C$3:$C$3390,$A506,'United Data'!$B$3:$B$3390,"&lt;&gt;Off-street")&gt;0,1,0)</f>
        <v>0</v>
      </c>
      <c r="H506">
        <f>IF(COUNTIFS('United Data'!$A$3:$A$3390,H$1,'United Data'!$C$3:$C$3390,$A506,'United Data'!$B$3:$B$3390,"&lt;&gt;Off-street")&gt;0,1,0)</f>
        <v>0</v>
      </c>
      <c r="I506">
        <f>IF(COUNTIFS('United Data'!$A$3:$A$3390,I$1,'United Data'!$C$3:$C$3390,$A506,'United Data'!$B$3:$B$3390,"&lt;&gt;Off-street")&gt;0,1,0)</f>
        <v>0</v>
      </c>
      <c r="J506">
        <f>IF(COUNTIFS('United Data'!$A$3:$A$3390,J$1,'United Data'!$C$3:$C$3390,$A506,'United Data'!$B$3:$B$3390,"&lt;&gt;Off-street")&gt;0,1,0)</f>
        <v>1</v>
      </c>
      <c r="K506">
        <f>IF(COUNTIFS('United Data'!$A$3:$A$3390,K$1,'United Data'!$C$3:$C$3390,$A506,'United Data'!$B$3:$B$3390,"&lt;&gt;Off-street")&gt;0,1,0)</f>
        <v>1</v>
      </c>
      <c r="L506">
        <f>IF(COUNTIFS('United Data'!$A$3:$A$3390,L$1,'United Data'!$C$3:$C$3390,$A506,'United Data'!$B$3:$B$3390,"&lt;&gt;Off-street")&gt;0,1,0)</f>
        <v>0</v>
      </c>
      <c r="M506">
        <f>IF(COUNTIFS('United Data'!$A$3:$A$3390,M$1,'United Data'!$C$3:$C$3390,$A506,'United Data'!$B$3:$B$3390,"&lt;&gt;Off-street")&gt;0,1,0)</f>
        <v>0</v>
      </c>
      <c r="N506">
        <f>IF(COUNTIFS('United Data'!$A$3:$A$3390,N$1,'United Data'!$C$3:$C$3390,$A506,'United Data'!$B$3:$B$3390,"&lt;&gt;Off-street")&gt;0,1,0)</f>
        <v>0</v>
      </c>
      <c r="O506">
        <f>IF(COUNTIFS('United Data'!$A$3:$A$3390,O$1,'United Data'!$C$3:$C$3390,$A506,'United Data'!$B$3:$B$3390,"&lt;&gt;Off-street")&gt;0,1,0)</f>
        <v>0</v>
      </c>
      <c r="P506">
        <f>IF(COUNTIFS('United Data'!$A$3:$A$3390,P$1,'United Data'!$C$3:$C$3390,$A506,'United Data'!$B$3:$B$3390,"&lt;&gt;Off-street")&gt;0,1,0)</f>
        <v>0</v>
      </c>
      <c r="Q506">
        <f>IF(COUNTIFS('United Data'!$A$3:$A$3390,Q$1,'United Data'!$C$3:$C$3390,$A506,'United Data'!$B$3:$B$3390,"&lt;&gt;Off-street")&gt;0,1,0)</f>
        <v>0</v>
      </c>
      <c r="R506">
        <f>IF(COUNTIFS('United Data'!$A$3:$A$3390,R$1,'United Data'!$C$3:$C$3390,$A506,'United Data'!$B$3:$B$3390,"&lt;&gt;Off-street")&gt;0,1,0)</f>
        <v>0</v>
      </c>
      <c r="S506">
        <f t="shared" si="14"/>
        <v>5</v>
      </c>
      <c r="T506">
        <f t="shared" si="15"/>
        <v>2</v>
      </c>
    </row>
    <row r="507" spans="1:20" x14ac:dyDescent="0.2">
      <c r="A507" t="s">
        <v>617</v>
      </c>
      <c r="B507">
        <f>IF(COUNTIFS('United Data'!$A$3:$A$3390,B$1,'United Data'!$C$3:$C$3390,$A507,'United Data'!$B$3:$B$3390,"&lt;&gt;Off-street")&gt;0,1,0)</f>
        <v>0</v>
      </c>
      <c r="C507">
        <f>IF(COUNTIFS('United Data'!$A$3:$A$3390,C$1,'United Data'!$C$3:$C$3390,$A507,'United Data'!$B$3:$B$3390,"&lt;&gt;Off-street")&gt;0,1,0)</f>
        <v>0</v>
      </c>
      <c r="D507">
        <f>IF(COUNTIFS('United Data'!$A$3:$A$3390,D$1,'United Data'!$C$3:$C$3390,$A507,'United Data'!$B$3:$B$3390,"&lt;&gt;Off-street")&gt;0,1,0)</f>
        <v>1</v>
      </c>
      <c r="E507">
        <f>IF(COUNTIFS('United Data'!$A$3:$A$3390,E$1,'United Data'!$C$3:$C$3390,$A507,'United Data'!$B$3:$B$3390,"&lt;&gt;Off-street")&gt;0,1,0)</f>
        <v>0</v>
      </c>
      <c r="F507">
        <f>IF(COUNTIFS('United Data'!$A$3:$A$3390,F$1,'United Data'!$C$3:$C$3390,$A507,'United Data'!$B$3:$B$3390,"&lt;&gt;Off-street")&gt;0,1,0)</f>
        <v>0</v>
      </c>
      <c r="G507">
        <f>IF(COUNTIFS('United Data'!$A$3:$A$3390,G$1,'United Data'!$C$3:$C$3390,$A507,'United Data'!$B$3:$B$3390,"&lt;&gt;Off-street")&gt;0,1,0)</f>
        <v>0</v>
      </c>
      <c r="H507">
        <f>IF(COUNTIFS('United Data'!$A$3:$A$3390,H$1,'United Data'!$C$3:$C$3390,$A507,'United Data'!$B$3:$B$3390,"&lt;&gt;Off-street")&gt;0,1,0)</f>
        <v>0</v>
      </c>
      <c r="I507">
        <f>IF(COUNTIFS('United Data'!$A$3:$A$3390,I$1,'United Data'!$C$3:$C$3390,$A507,'United Data'!$B$3:$B$3390,"&lt;&gt;Off-street")&gt;0,1,0)</f>
        <v>0</v>
      </c>
      <c r="J507">
        <f>IF(COUNTIFS('United Data'!$A$3:$A$3390,J$1,'United Data'!$C$3:$C$3390,$A507,'United Data'!$B$3:$B$3390,"&lt;&gt;Off-street")&gt;0,1,0)</f>
        <v>0</v>
      </c>
      <c r="K507">
        <f>IF(COUNTIFS('United Data'!$A$3:$A$3390,K$1,'United Data'!$C$3:$C$3390,$A507,'United Data'!$B$3:$B$3390,"&lt;&gt;Off-street")&gt;0,1,0)</f>
        <v>0</v>
      </c>
      <c r="L507">
        <f>IF(COUNTIFS('United Data'!$A$3:$A$3390,L$1,'United Data'!$C$3:$C$3390,$A507,'United Data'!$B$3:$B$3390,"&lt;&gt;Off-street")&gt;0,1,0)</f>
        <v>0</v>
      </c>
      <c r="M507">
        <f>IF(COUNTIFS('United Data'!$A$3:$A$3390,M$1,'United Data'!$C$3:$C$3390,$A507,'United Data'!$B$3:$B$3390,"&lt;&gt;Off-street")&gt;0,1,0)</f>
        <v>0</v>
      </c>
      <c r="N507">
        <f>IF(COUNTIFS('United Data'!$A$3:$A$3390,N$1,'United Data'!$C$3:$C$3390,$A507,'United Data'!$B$3:$B$3390,"&lt;&gt;Off-street")&gt;0,1,0)</f>
        <v>0</v>
      </c>
      <c r="O507">
        <f>IF(COUNTIFS('United Data'!$A$3:$A$3390,O$1,'United Data'!$C$3:$C$3390,$A507,'United Data'!$B$3:$B$3390,"&lt;&gt;Off-street")&gt;0,1,0)</f>
        <v>0</v>
      </c>
      <c r="P507">
        <f>IF(COUNTIFS('United Data'!$A$3:$A$3390,P$1,'United Data'!$C$3:$C$3390,$A507,'United Data'!$B$3:$B$3390,"&lt;&gt;Off-street")&gt;0,1,0)</f>
        <v>0</v>
      </c>
      <c r="Q507">
        <f>IF(COUNTIFS('United Data'!$A$3:$A$3390,Q$1,'United Data'!$C$3:$C$3390,$A507,'United Data'!$B$3:$B$3390,"&lt;&gt;Off-street")&gt;0,1,0)</f>
        <v>0</v>
      </c>
      <c r="R507">
        <f>IF(COUNTIFS('United Data'!$A$3:$A$3390,R$1,'United Data'!$C$3:$C$3390,$A507,'United Data'!$B$3:$B$3390,"&lt;&gt;Off-street")&gt;0,1,0)</f>
        <v>0</v>
      </c>
      <c r="S507">
        <f t="shared" si="14"/>
        <v>1</v>
      </c>
      <c r="T507">
        <f t="shared" si="15"/>
        <v>1</v>
      </c>
    </row>
    <row r="508" spans="1:20" x14ac:dyDescent="0.2">
      <c r="A508" t="s">
        <v>620</v>
      </c>
      <c r="B508">
        <f>IF(COUNTIFS('United Data'!$A$3:$A$3390,B$1,'United Data'!$C$3:$C$3390,$A508,'United Data'!$B$3:$B$3390,"&lt;&gt;Off-street")&gt;0,1,0)</f>
        <v>0</v>
      </c>
      <c r="C508">
        <f>IF(COUNTIFS('United Data'!$A$3:$A$3390,C$1,'United Data'!$C$3:$C$3390,$A508,'United Data'!$B$3:$B$3390,"&lt;&gt;Off-street")&gt;0,1,0)</f>
        <v>0</v>
      </c>
      <c r="D508">
        <f>IF(COUNTIFS('United Data'!$A$3:$A$3390,D$1,'United Data'!$C$3:$C$3390,$A508,'United Data'!$B$3:$B$3390,"&lt;&gt;Off-street")&gt;0,1,0)</f>
        <v>0</v>
      </c>
      <c r="E508">
        <f>IF(COUNTIFS('United Data'!$A$3:$A$3390,E$1,'United Data'!$C$3:$C$3390,$A508,'United Data'!$B$3:$B$3390,"&lt;&gt;Off-street")&gt;0,1,0)</f>
        <v>1</v>
      </c>
      <c r="F508">
        <f>IF(COUNTIFS('United Data'!$A$3:$A$3390,F$1,'United Data'!$C$3:$C$3390,$A508,'United Data'!$B$3:$B$3390,"&lt;&gt;Off-street")&gt;0,1,0)</f>
        <v>0</v>
      </c>
      <c r="G508">
        <f>IF(COUNTIFS('United Data'!$A$3:$A$3390,G$1,'United Data'!$C$3:$C$3390,$A508,'United Data'!$B$3:$B$3390,"&lt;&gt;Off-street")&gt;0,1,0)</f>
        <v>1</v>
      </c>
      <c r="H508">
        <f>IF(COUNTIFS('United Data'!$A$3:$A$3390,H$1,'United Data'!$C$3:$C$3390,$A508,'United Data'!$B$3:$B$3390,"&lt;&gt;Off-street")&gt;0,1,0)</f>
        <v>0</v>
      </c>
      <c r="I508">
        <f>IF(COUNTIFS('United Data'!$A$3:$A$3390,I$1,'United Data'!$C$3:$C$3390,$A508,'United Data'!$B$3:$B$3390,"&lt;&gt;Off-street")&gt;0,1,0)</f>
        <v>0</v>
      </c>
      <c r="J508">
        <f>IF(COUNTIFS('United Data'!$A$3:$A$3390,J$1,'United Data'!$C$3:$C$3390,$A508,'United Data'!$B$3:$B$3390,"&lt;&gt;Off-street")&gt;0,1,0)</f>
        <v>0</v>
      </c>
      <c r="K508">
        <f>IF(COUNTIFS('United Data'!$A$3:$A$3390,K$1,'United Data'!$C$3:$C$3390,$A508,'United Data'!$B$3:$B$3390,"&lt;&gt;Off-street")&gt;0,1,0)</f>
        <v>0</v>
      </c>
      <c r="L508">
        <f>IF(COUNTIFS('United Data'!$A$3:$A$3390,L$1,'United Data'!$C$3:$C$3390,$A508,'United Data'!$B$3:$B$3390,"&lt;&gt;Off-street")&gt;0,1,0)</f>
        <v>0</v>
      </c>
      <c r="M508">
        <f>IF(COUNTIFS('United Data'!$A$3:$A$3390,M$1,'United Data'!$C$3:$C$3390,$A508,'United Data'!$B$3:$B$3390,"&lt;&gt;Off-street")&gt;0,1,0)</f>
        <v>0</v>
      </c>
      <c r="N508">
        <f>IF(COUNTIFS('United Data'!$A$3:$A$3390,N$1,'United Data'!$C$3:$C$3390,$A508,'United Data'!$B$3:$B$3390,"&lt;&gt;Off-street")&gt;0,1,0)</f>
        <v>0</v>
      </c>
      <c r="O508">
        <f>IF(COUNTIFS('United Data'!$A$3:$A$3390,O$1,'United Data'!$C$3:$C$3390,$A508,'United Data'!$B$3:$B$3390,"&lt;&gt;Off-street")&gt;0,1,0)</f>
        <v>0</v>
      </c>
      <c r="P508">
        <f>IF(COUNTIFS('United Data'!$A$3:$A$3390,P$1,'United Data'!$C$3:$C$3390,$A508,'United Data'!$B$3:$B$3390,"&lt;&gt;Off-street")&gt;0,1,0)</f>
        <v>0</v>
      </c>
      <c r="Q508">
        <f>IF(COUNTIFS('United Data'!$A$3:$A$3390,Q$1,'United Data'!$C$3:$C$3390,$A508,'United Data'!$B$3:$B$3390,"&lt;&gt;Off-street")&gt;0,1,0)</f>
        <v>0</v>
      </c>
      <c r="R508">
        <f>IF(COUNTIFS('United Data'!$A$3:$A$3390,R$1,'United Data'!$C$3:$C$3390,$A508,'United Data'!$B$3:$B$3390,"&lt;&gt;Off-street")&gt;0,1,0)</f>
        <v>0</v>
      </c>
      <c r="S508">
        <f t="shared" si="14"/>
        <v>2</v>
      </c>
      <c r="T508">
        <f t="shared" si="15"/>
        <v>2</v>
      </c>
    </row>
    <row r="509" spans="1:20" x14ac:dyDescent="0.2">
      <c r="A509" t="s">
        <v>621</v>
      </c>
      <c r="B509">
        <f>IF(COUNTIFS('United Data'!$A$3:$A$3390,B$1,'United Data'!$C$3:$C$3390,$A509,'United Data'!$B$3:$B$3390,"&lt;&gt;Off-street")&gt;0,1,0)</f>
        <v>0</v>
      </c>
      <c r="C509">
        <f>IF(COUNTIFS('United Data'!$A$3:$A$3390,C$1,'United Data'!$C$3:$C$3390,$A509,'United Data'!$B$3:$B$3390,"&lt;&gt;Off-street")&gt;0,1,0)</f>
        <v>0</v>
      </c>
      <c r="D509">
        <f>IF(COUNTIFS('United Data'!$A$3:$A$3390,D$1,'United Data'!$C$3:$C$3390,$A509,'United Data'!$B$3:$B$3390,"&lt;&gt;Off-street")&gt;0,1,0)</f>
        <v>0</v>
      </c>
      <c r="E509">
        <f>IF(COUNTIFS('United Data'!$A$3:$A$3390,E$1,'United Data'!$C$3:$C$3390,$A509,'United Data'!$B$3:$B$3390,"&lt;&gt;Off-street")&gt;0,1,0)</f>
        <v>1</v>
      </c>
      <c r="F509">
        <f>IF(COUNTIFS('United Data'!$A$3:$A$3390,F$1,'United Data'!$C$3:$C$3390,$A509,'United Data'!$B$3:$B$3390,"&lt;&gt;Off-street")&gt;0,1,0)</f>
        <v>1</v>
      </c>
      <c r="G509">
        <f>IF(COUNTIFS('United Data'!$A$3:$A$3390,G$1,'United Data'!$C$3:$C$3390,$A509,'United Data'!$B$3:$B$3390,"&lt;&gt;Off-street")&gt;0,1,0)</f>
        <v>0</v>
      </c>
      <c r="H509">
        <f>IF(COUNTIFS('United Data'!$A$3:$A$3390,H$1,'United Data'!$C$3:$C$3390,$A509,'United Data'!$B$3:$B$3390,"&lt;&gt;Off-street")&gt;0,1,0)</f>
        <v>0</v>
      </c>
      <c r="I509">
        <f>IF(COUNTIFS('United Data'!$A$3:$A$3390,I$1,'United Data'!$C$3:$C$3390,$A509,'United Data'!$B$3:$B$3390,"&lt;&gt;Off-street")&gt;0,1,0)</f>
        <v>0</v>
      </c>
      <c r="J509">
        <f>IF(COUNTIFS('United Data'!$A$3:$A$3390,J$1,'United Data'!$C$3:$C$3390,$A509,'United Data'!$B$3:$B$3390,"&lt;&gt;Off-street")&gt;0,1,0)</f>
        <v>0</v>
      </c>
      <c r="K509">
        <f>IF(COUNTIFS('United Data'!$A$3:$A$3390,K$1,'United Data'!$C$3:$C$3390,$A509,'United Data'!$B$3:$B$3390,"&lt;&gt;Off-street")&gt;0,1,0)</f>
        <v>0</v>
      </c>
      <c r="L509">
        <f>IF(COUNTIFS('United Data'!$A$3:$A$3390,L$1,'United Data'!$C$3:$C$3390,$A509,'United Data'!$B$3:$B$3390,"&lt;&gt;Off-street")&gt;0,1,0)</f>
        <v>0</v>
      </c>
      <c r="M509">
        <f>IF(COUNTIFS('United Data'!$A$3:$A$3390,M$1,'United Data'!$C$3:$C$3390,$A509,'United Data'!$B$3:$B$3390,"&lt;&gt;Off-street")&gt;0,1,0)</f>
        <v>0</v>
      </c>
      <c r="N509">
        <f>IF(COUNTIFS('United Data'!$A$3:$A$3390,N$1,'United Data'!$C$3:$C$3390,$A509,'United Data'!$B$3:$B$3390,"&lt;&gt;Off-street")&gt;0,1,0)</f>
        <v>0</v>
      </c>
      <c r="O509">
        <f>IF(COUNTIFS('United Data'!$A$3:$A$3390,O$1,'United Data'!$C$3:$C$3390,$A509,'United Data'!$B$3:$B$3390,"&lt;&gt;Off-street")&gt;0,1,0)</f>
        <v>1</v>
      </c>
      <c r="P509">
        <f>IF(COUNTIFS('United Data'!$A$3:$A$3390,P$1,'United Data'!$C$3:$C$3390,$A509,'United Data'!$B$3:$B$3390,"&lt;&gt;Off-street")&gt;0,1,0)</f>
        <v>0</v>
      </c>
      <c r="Q509">
        <f>IF(COUNTIFS('United Data'!$A$3:$A$3390,Q$1,'United Data'!$C$3:$C$3390,$A509,'United Data'!$B$3:$B$3390,"&lt;&gt;Off-street")&gt;0,1,0)</f>
        <v>0</v>
      </c>
      <c r="R509">
        <f>IF(COUNTIFS('United Data'!$A$3:$A$3390,R$1,'United Data'!$C$3:$C$3390,$A509,'United Data'!$B$3:$B$3390,"&lt;&gt;Off-street")&gt;0,1,0)</f>
        <v>0</v>
      </c>
      <c r="S509">
        <f t="shared" si="14"/>
        <v>3</v>
      </c>
      <c r="T509">
        <f t="shared" si="15"/>
        <v>2</v>
      </c>
    </row>
    <row r="510" spans="1:20" x14ac:dyDescent="0.2">
      <c r="A510" t="s">
        <v>622</v>
      </c>
      <c r="B510">
        <f>IF(COUNTIFS('United Data'!$A$3:$A$3390,B$1,'United Data'!$C$3:$C$3390,$A510,'United Data'!$B$3:$B$3390,"&lt;&gt;Off-street")&gt;0,1,0)</f>
        <v>0</v>
      </c>
      <c r="C510">
        <f>IF(COUNTIFS('United Data'!$A$3:$A$3390,C$1,'United Data'!$C$3:$C$3390,$A510,'United Data'!$B$3:$B$3390,"&lt;&gt;Off-street")&gt;0,1,0)</f>
        <v>0</v>
      </c>
      <c r="D510">
        <f>IF(COUNTIFS('United Data'!$A$3:$A$3390,D$1,'United Data'!$C$3:$C$3390,$A510,'United Data'!$B$3:$B$3390,"&lt;&gt;Off-street")&gt;0,1,0)</f>
        <v>0</v>
      </c>
      <c r="E510">
        <f>IF(COUNTIFS('United Data'!$A$3:$A$3390,E$1,'United Data'!$C$3:$C$3390,$A510,'United Data'!$B$3:$B$3390,"&lt;&gt;Off-street")&gt;0,1,0)</f>
        <v>1</v>
      </c>
      <c r="F510">
        <f>IF(COUNTIFS('United Data'!$A$3:$A$3390,F$1,'United Data'!$C$3:$C$3390,$A510,'United Data'!$B$3:$B$3390,"&lt;&gt;Off-street")&gt;0,1,0)</f>
        <v>0</v>
      </c>
      <c r="G510">
        <f>IF(COUNTIFS('United Data'!$A$3:$A$3390,G$1,'United Data'!$C$3:$C$3390,$A510,'United Data'!$B$3:$B$3390,"&lt;&gt;Off-street")&gt;0,1,0)</f>
        <v>0</v>
      </c>
      <c r="H510">
        <f>IF(COUNTIFS('United Data'!$A$3:$A$3390,H$1,'United Data'!$C$3:$C$3390,$A510,'United Data'!$B$3:$B$3390,"&lt;&gt;Off-street")&gt;0,1,0)</f>
        <v>0</v>
      </c>
      <c r="I510">
        <f>IF(COUNTIFS('United Data'!$A$3:$A$3390,I$1,'United Data'!$C$3:$C$3390,$A510,'United Data'!$B$3:$B$3390,"&lt;&gt;Off-street")&gt;0,1,0)</f>
        <v>0</v>
      </c>
      <c r="J510">
        <f>IF(COUNTIFS('United Data'!$A$3:$A$3390,J$1,'United Data'!$C$3:$C$3390,$A510,'United Data'!$B$3:$B$3390,"&lt;&gt;Off-street")&gt;0,1,0)</f>
        <v>0</v>
      </c>
      <c r="K510">
        <f>IF(COUNTIFS('United Data'!$A$3:$A$3390,K$1,'United Data'!$C$3:$C$3390,$A510,'United Data'!$B$3:$B$3390,"&lt;&gt;Off-street")&gt;0,1,0)</f>
        <v>0</v>
      </c>
      <c r="L510">
        <f>IF(COUNTIFS('United Data'!$A$3:$A$3390,L$1,'United Data'!$C$3:$C$3390,$A510,'United Data'!$B$3:$B$3390,"&lt;&gt;Off-street")&gt;0,1,0)</f>
        <v>0</v>
      </c>
      <c r="M510">
        <f>IF(COUNTIFS('United Data'!$A$3:$A$3390,M$1,'United Data'!$C$3:$C$3390,$A510,'United Data'!$B$3:$B$3390,"&lt;&gt;Off-street")&gt;0,1,0)</f>
        <v>0</v>
      </c>
      <c r="N510">
        <f>IF(COUNTIFS('United Data'!$A$3:$A$3390,N$1,'United Data'!$C$3:$C$3390,$A510,'United Data'!$B$3:$B$3390,"&lt;&gt;Off-street")&gt;0,1,0)</f>
        <v>0</v>
      </c>
      <c r="O510">
        <f>IF(COUNTIFS('United Data'!$A$3:$A$3390,O$1,'United Data'!$C$3:$C$3390,$A510,'United Data'!$B$3:$B$3390,"&lt;&gt;Off-street")&gt;0,1,0)</f>
        <v>0</v>
      </c>
      <c r="P510">
        <f>IF(COUNTIFS('United Data'!$A$3:$A$3390,P$1,'United Data'!$C$3:$C$3390,$A510,'United Data'!$B$3:$B$3390,"&lt;&gt;Off-street")&gt;0,1,0)</f>
        <v>0</v>
      </c>
      <c r="Q510">
        <f>IF(COUNTIFS('United Data'!$A$3:$A$3390,Q$1,'United Data'!$C$3:$C$3390,$A510,'United Data'!$B$3:$B$3390,"&lt;&gt;Off-street")&gt;0,1,0)</f>
        <v>0</v>
      </c>
      <c r="R510">
        <f>IF(COUNTIFS('United Data'!$A$3:$A$3390,R$1,'United Data'!$C$3:$C$3390,$A510,'United Data'!$B$3:$B$3390,"&lt;&gt;Off-street")&gt;0,1,0)</f>
        <v>0</v>
      </c>
      <c r="S510">
        <f t="shared" si="14"/>
        <v>1</v>
      </c>
      <c r="T510">
        <f t="shared" si="15"/>
        <v>1</v>
      </c>
    </row>
    <row r="511" spans="1:20" x14ac:dyDescent="0.2">
      <c r="A511" t="s">
        <v>623</v>
      </c>
      <c r="B511">
        <f>IF(COUNTIFS('United Data'!$A$3:$A$3390,B$1,'United Data'!$C$3:$C$3390,$A511,'United Data'!$B$3:$B$3390,"&lt;&gt;Off-street")&gt;0,1,0)</f>
        <v>0</v>
      </c>
      <c r="C511">
        <f>IF(COUNTIFS('United Data'!$A$3:$A$3390,C$1,'United Data'!$C$3:$C$3390,$A511,'United Data'!$B$3:$B$3390,"&lt;&gt;Off-street")&gt;0,1,0)</f>
        <v>0</v>
      </c>
      <c r="D511">
        <f>IF(COUNTIFS('United Data'!$A$3:$A$3390,D$1,'United Data'!$C$3:$C$3390,$A511,'United Data'!$B$3:$B$3390,"&lt;&gt;Off-street")&gt;0,1,0)</f>
        <v>0</v>
      </c>
      <c r="E511">
        <f>IF(COUNTIFS('United Data'!$A$3:$A$3390,E$1,'United Data'!$C$3:$C$3390,$A511,'United Data'!$B$3:$B$3390,"&lt;&gt;Off-street")&gt;0,1,0)</f>
        <v>1</v>
      </c>
      <c r="F511">
        <f>IF(COUNTIFS('United Data'!$A$3:$A$3390,F$1,'United Data'!$C$3:$C$3390,$A511,'United Data'!$B$3:$B$3390,"&lt;&gt;Off-street")&gt;0,1,0)</f>
        <v>0</v>
      </c>
      <c r="G511">
        <f>IF(COUNTIFS('United Data'!$A$3:$A$3390,G$1,'United Data'!$C$3:$C$3390,$A511,'United Data'!$B$3:$B$3390,"&lt;&gt;Off-street")&gt;0,1,0)</f>
        <v>0</v>
      </c>
      <c r="H511">
        <f>IF(COUNTIFS('United Data'!$A$3:$A$3390,H$1,'United Data'!$C$3:$C$3390,$A511,'United Data'!$B$3:$B$3390,"&lt;&gt;Off-street")&gt;0,1,0)</f>
        <v>0</v>
      </c>
      <c r="I511">
        <f>IF(COUNTIFS('United Data'!$A$3:$A$3390,I$1,'United Data'!$C$3:$C$3390,$A511,'United Data'!$B$3:$B$3390,"&lt;&gt;Off-street")&gt;0,1,0)</f>
        <v>0</v>
      </c>
      <c r="J511">
        <f>IF(COUNTIFS('United Data'!$A$3:$A$3390,J$1,'United Data'!$C$3:$C$3390,$A511,'United Data'!$B$3:$B$3390,"&lt;&gt;Off-street")&gt;0,1,0)</f>
        <v>0</v>
      </c>
      <c r="K511">
        <f>IF(COUNTIFS('United Data'!$A$3:$A$3390,K$1,'United Data'!$C$3:$C$3390,$A511,'United Data'!$B$3:$B$3390,"&lt;&gt;Off-street")&gt;0,1,0)</f>
        <v>0</v>
      </c>
      <c r="L511">
        <f>IF(COUNTIFS('United Data'!$A$3:$A$3390,L$1,'United Data'!$C$3:$C$3390,$A511,'United Data'!$B$3:$B$3390,"&lt;&gt;Off-street")&gt;0,1,0)</f>
        <v>0</v>
      </c>
      <c r="M511">
        <f>IF(COUNTIFS('United Data'!$A$3:$A$3390,M$1,'United Data'!$C$3:$C$3390,$A511,'United Data'!$B$3:$B$3390,"&lt;&gt;Off-street")&gt;0,1,0)</f>
        <v>0</v>
      </c>
      <c r="N511">
        <f>IF(COUNTIFS('United Data'!$A$3:$A$3390,N$1,'United Data'!$C$3:$C$3390,$A511,'United Data'!$B$3:$B$3390,"&lt;&gt;Off-street")&gt;0,1,0)</f>
        <v>0</v>
      </c>
      <c r="O511">
        <f>IF(COUNTIFS('United Data'!$A$3:$A$3390,O$1,'United Data'!$C$3:$C$3390,$A511,'United Data'!$B$3:$B$3390,"&lt;&gt;Off-street")&gt;0,1,0)</f>
        <v>0</v>
      </c>
      <c r="P511">
        <f>IF(COUNTIFS('United Data'!$A$3:$A$3390,P$1,'United Data'!$C$3:$C$3390,$A511,'United Data'!$B$3:$B$3390,"&lt;&gt;Off-street")&gt;0,1,0)</f>
        <v>0</v>
      </c>
      <c r="Q511">
        <f>IF(COUNTIFS('United Data'!$A$3:$A$3390,Q$1,'United Data'!$C$3:$C$3390,$A511,'United Data'!$B$3:$B$3390,"&lt;&gt;Off-street")&gt;0,1,0)</f>
        <v>0</v>
      </c>
      <c r="R511">
        <f>IF(COUNTIFS('United Data'!$A$3:$A$3390,R$1,'United Data'!$C$3:$C$3390,$A511,'United Data'!$B$3:$B$3390,"&lt;&gt;Off-street")&gt;0,1,0)</f>
        <v>0</v>
      </c>
      <c r="S511">
        <f t="shared" si="14"/>
        <v>1</v>
      </c>
      <c r="T511">
        <f t="shared" si="15"/>
        <v>1</v>
      </c>
    </row>
    <row r="512" spans="1:20" x14ac:dyDescent="0.2">
      <c r="A512" t="s">
        <v>624</v>
      </c>
      <c r="B512">
        <f>IF(COUNTIFS('United Data'!$A$3:$A$3390,B$1,'United Data'!$C$3:$C$3390,$A512,'United Data'!$B$3:$B$3390,"&lt;&gt;Off-street")&gt;0,1,0)</f>
        <v>0</v>
      </c>
      <c r="C512">
        <f>IF(COUNTIFS('United Data'!$A$3:$A$3390,C$1,'United Data'!$C$3:$C$3390,$A512,'United Data'!$B$3:$B$3390,"&lt;&gt;Off-street")&gt;0,1,0)</f>
        <v>0</v>
      </c>
      <c r="D512">
        <f>IF(COUNTIFS('United Data'!$A$3:$A$3390,D$1,'United Data'!$C$3:$C$3390,$A512,'United Data'!$B$3:$B$3390,"&lt;&gt;Off-street")&gt;0,1,0)</f>
        <v>0</v>
      </c>
      <c r="E512">
        <f>IF(COUNTIFS('United Data'!$A$3:$A$3390,E$1,'United Data'!$C$3:$C$3390,$A512,'United Data'!$B$3:$B$3390,"&lt;&gt;Off-street")&gt;0,1,0)</f>
        <v>1</v>
      </c>
      <c r="F512">
        <f>IF(COUNTIFS('United Data'!$A$3:$A$3390,F$1,'United Data'!$C$3:$C$3390,$A512,'United Data'!$B$3:$B$3390,"&lt;&gt;Off-street")&gt;0,1,0)</f>
        <v>0</v>
      </c>
      <c r="G512">
        <f>IF(COUNTIFS('United Data'!$A$3:$A$3390,G$1,'United Data'!$C$3:$C$3390,$A512,'United Data'!$B$3:$B$3390,"&lt;&gt;Off-street")&gt;0,1,0)</f>
        <v>1</v>
      </c>
      <c r="H512">
        <f>IF(COUNTIFS('United Data'!$A$3:$A$3390,H$1,'United Data'!$C$3:$C$3390,$A512,'United Data'!$B$3:$B$3390,"&lt;&gt;Off-street")&gt;0,1,0)</f>
        <v>0</v>
      </c>
      <c r="I512">
        <f>IF(COUNTIFS('United Data'!$A$3:$A$3390,I$1,'United Data'!$C$3:$C$3390,$A512,'United Data'!$B$3:$B$3390,"&lt;&gt;Off-street")&gt;0,1,0)</f>
        <v>0</v>
      </c>
      <c r="J512">
        <f>IF(COUNTIFS('United Data'!$A$3:$A$3390,J$1,'United Data'!$C$3:$C$3390,$A512,'United Data'!$B$3:$B$3390,"&lt;&gt;Off-street")&gt;0,1,0)</f>
        <v>1</v>
      </c>
      <c r="K512">
        <f>IF(COUNTIFS('United Data'!$A$3:$A$3390,K$1,'United Data'!$C$3:$C$3390,$A512,'United Data'!$B$3:$B$3390,"&lt;&gt;Off-street")&gt;0,1,0)</f>
        <v>0</v>
      </c>
      <c r="L512">
        <f>IF(COUNTIFS('United Data'!$A$3:$A$3390,L$1,'United Data'!$C$3:$C$3390,$A512,'United Data'!$B$3:$B$3390,"&lt;&gt;Off-street")&gt;0,1,0)</f>
        <v>0</v>
      </c>
      <c r="M512">
        <f>IF(COUNTIFS('United Data'!$A$3:$A$3390,M$1,'United Data'!$C$3:$C$3390,$A512,'United Data'!$B$3:$B$3390,"&lt;&gt;Off-street")&gt;0,1,0)</f>
        <v>0</v>
      </c>
      <c r="N512">
        <f>IF(COUNTIFS('United Data'!$A$3:$A$3390,N$1,'United Data'!$C$3:$C$3390,$A512,'United Data'!$B$3:$B$3390,"&lt;&gt;Off-street")&gt;0,1,0)</f>
        <v>0</v>
      </c>
      <c r="O512">
        <f>IF(COUNTIFS('United Data'!$A$3:$A$3390,O$1,'United Data'!$C$3:$C$3390,$A512,'United Data'!$B$3:$B$3390,"&lt;&gt;Off-street")&gt;0,1,0)</f>
        <v>0</v>
      </c>
      <c r="P512">
        <f>IF(COUNTIFS('United Data'!$A$3:$A$3390,P$1,'United Data'!$C$3:$C$3390,$A512,'United Data'!$B$3:$B$3390,"&lt;&gt;Off-street")&gt;0,1,0)</f>
        <v>0</v>
      </c>
      <c r="Q512">
        <f>IF(COUNTIFS('United Data'!$A$3:$A$3390,Q$1,'United Data'!$C$3:$C$3390,$A512,'United Data'!$B$3:$B$3390,"&lt;&gt;Off-street")&gt;0,1,0)</f>
        <v>0</v>
      </c>
      <c r="R512">
        <f>IF(COUNTIFS('United Data'!$A$3:$A$3390,R$1,'United Data'!$C$3:$C$3390,$A512,'United Data'!$B$3:$B$3390,"&lt;&gt;Off-street")&gt;0,1,0)</f>
        <v>0</v>
      </c>
      <c r="S512">
        <f t="shared" si="14"/>
        <v>3</v>
      </c>
      <c r="T512">
        <f t="shared" si="15"/>
        <v>3</v>
      </c>
    </row>
    <row r="513" spans="1:20" x14ac:dyDescent="0.2">
      <c r="A513" t="s">
        <v>625</v>
      </c>
      <c r="B513">
        <f>IF(COUNTIFS('United Data'!$A$3:$A$3390,B$1,'United Data'!$C$3:$C$3390,$A513,'United Data'!$B$3:$B$3390,"&lt;&gt;Off-street")&gt;0,1,0)</f>
        <v>0</v>
      </c>
      <c r="C513">
        <f>IF(COUNTIFS('United Data'!$A$3:$A$3390,C$1,'United Data'!$C$3:$C$3390,$A513,'United Data'!$B$3:$B$3390,"&lt;&gt;Off-street")&gt;0,1,0)</f>
        <v>0</v>
      </c>
      <c r="D513">
        <f>IF(COUNTIFS('United Data'!$A$3:$A$3390,D$1,'United Data'!$C$3:$C$3390,$A513,'United Data'!$B$3:$B$3390,"&lt;&gt;Off-street")&gt;0,1,0)</f>
        <v>0</v>
      </c>
      <c r="E513">
        <f>IF(COUNTIFS('United Data'!$A$3:$A$3390,E$1,'United Data'!$C$3:$C$3390,$A513,'United Data'!$B$3:$B$3390,"&lt;&gt;Off-street")&gt;0,1,0)</f>
        <v>1</v>
      </c>
      <c r="F513">
        <f>IF(COUNTIFS('United Data'!$A$3:$A$3390,F$1,'United Data'!$C$3:$C$3390,$A513,'United Data'!$B$3:$B$3390,"&lt;&gt;Off-street")&gt;0,1,0)</f>
        <v>0</v>
      </c>
      <c r="G513">
        <f>IF(COUNTIFS('United Data'!$A$3:$A$3390,G$1,'United Data'!$C$3:$C$3390,$A513,'United Data'!$B$3:$B$3390,"&lt;&gt;Off-street")&gt;0,1,0)</f>
        <v>1</v>
      </c>
      <c r="H513">
        <f>IF(COUNTIFS('United Data'!$A$3:$A$3390,H$1,'United Data'!$C$3:$C$3390,$A513,'United Data'!$B$3:$B$3390,"&lt;&gt;Off-street")&gt;0,1,0)</f>
        <v>0</v>
      </c>
      <c r="I513">
        <f>IF(COUNTIFS('United Data'!$A$3:$A$3390,I$1,'United Data'!$C$3:$C$3390,$A513,'United Data'!$B$3:$B$3390,"&lt;&gt;Off-street")&gt;0,1,0)</f>
        <v>0</v>
      </c>
      <c r="J513">
        <f>IF(COUNTIFS('United Data'!$A$3:$A$3390,J$1,'United Data'!$C$3:$C$3390,$A513,'United Data'!$B$3:$B$3390,"&lt;&gt;Off-street")&gt;0,1,0)</f>
        <v>0</v>
      </c>
      <c r="K513">
        <f>IF(COUNTIFS('United Data'!$A$3:$A$3390,K$1,'United Data'!$C$3:$C$3390,$A513,'United Data'!$B$3:$B$3390,"&lt;&gt;Off-street")&gt;0,1,0)</f>
        <v>0</v>
      </c>
      <c r="L513">
        <f>IF(COUNTIFS('United Data'!$A$3:$A$3390,L$1,'United Data'!$C$3:$C$3390,$A513,'United Data'!$B$3:$B$3390,"&lt;&gt;Off-street")&gt;0,1,0)</f>
        <v>0</v>
      </c>
      <c r="M513">
        <f>IF(COUNTIFS('United Data'!$A$3:$A$3390,M$1,'United Data'!$C$3:$C$3390,$A513,'United Data'!$B$3:$B$3390,"&lt;&gt;Off-street")&gt;0,1,0)</f>
        <v>0</v>
      </c>
      <c r="N513">
        <f>IF(COUNTIFS('United Data'!$A$3:$A$3390,N$1,'United Data'!$C$3:$C$3390,$A513,'United Data'!$B$3:$B$3390,"&lt;&gt;Off-street")&gt;0,1,0)</f>
        <v>0</v>
      </c>
      <c r="O513">
        <f>IF(COUNTIFS('United Data'!$A$3:$A$3390,O$1,'United Data'!$C$3:$C$3390,$A513,'United Data'!$B$3:$B$3390,"&lt;&gt;Off-street")&gt;0,1,0)</f>
        <v>0</v>
      </c>
      <c r="P513">
        <f>IF(COUNTIFS('United Data'!$A$3:$A$3390,P$1,'United Data'!$C$3:$C$3390,$A513,'United Data'!$B$3:$B$3390,"&lt;&gt;Off-street")&gt;0,1,0)</f>
        <v>0</v>
      </c>
      <c r="Q513">
        <f>IF(COUNTIFS('United Data'!$A$3:$A$3390,Q$1,'United Data'!$C$3:$C$3390,$A513,'United Data'!$B$3:$B$3390,"&lt;&gt;Off-street")&gt;0,1,0)</f>
        <v>0</v>
      </c>
      <c r="R513">
        <f>IF(COUNTIFS('United Data'!$A$3:$A$3390,R$1,'United Data'!$C$3:$C$3390,$A513,'United Data'!$B$3:$B$3390,"&lt;&gt;Off-street")&gt;0,1,0)</f>
        <v>0</v>
      </c>
      <c r="S513">
        <f t="shared" si="14"/>
        <v>2</v>
      </c>
      <c r="T513">
        <f t="shared" si="15"/>
        <v>2</v>
      </c>
    </row>
    <row r="514" spans="1:20" x14ac:dyDescent="0.2">
      <c r="A514" t="s">
        <v>626</v>
      </c>
      <c r="B514">
        <f>IF(COUNTIFS('United Data'!$A$3:$A$3390,B$1,'United Data'!$C$3:$C$3390,$A514,'United Data'!$B$3:$B$3390,"&lt;&gt;Off-street")&gt;0,1,0)</f>
        <v>0</v>
      </c>
      <c r="C514">
        <f>IF(COUNTIFS('United Data'!$A$3:$A$3390,C$1,'United Data'!$C$3:$C$3390,$A514,'United Data'!$B$3:$B$3390,"&lt;&gt;Off-street")&gt;0,1,0)</f>
        <v>0</v>
      </c>
      <c r="D514">
        <f>IF(COUNTIFS('United Data'!$A$3:$A$3390,D$1,'United Data'!$C$3:$C$3390,$A514,'United Data'!$B$3:$B$3390,"&lt;&gt;Off-street")&gt;0,1,0)</f>
        <v>0</v>
      </c>
      <c r="E514">
        <f>IF(COUNTIFS('United Data'!$A$3:$A$3390,E$1,'United Data'!$C$3:$C$3390,$A514,'United Data'!$B$3:$B$3390,"&lt;&gt;Off-street")&gt;0,1,0)</f>
        <v>1</v>
      </c>
      <c r="F514">
        <f>IF(COUNTIFS('United Data'!$A$3:$A$3390,F$1,'United Data'!$C$3:$C$3390,$A514,'United Data'!$B$3:$B$3390,"&lt;&gt;Off-street")&gt;0,1,0)</f>
        <v>0</v>
      </c>
      <c r="G514">
        <f>IF(COUNTIFS('United Data'!$A$3:$A$3390,G$1,'United Data'!$C$3:$C$3390,$A514,'United Data'!$B$3:$B$3390,"&lt;&gt;Off-street")&gt;0,1,0)</f>
        <v>0</v>
      </c>
      <c r="H514">
        <f>IF(COUNTIFS('United Data'!$A$3:$A$3390,H$1,'United Data'!$C$3:$C$3390,$A514,'United Data'!$B$3:$B$3390,"&lt;&gt;Off-street")&gt;0,1,0)</f>
        <v>0</v>
      </c>
      <c r="I514">
        <f>IF(COUNTIFS('United Data'!$A$3:$A$3390,I$1,'United Data'!$C$3:$C$3390,$A514,'United Data'!$B$3:$B$3390,"&lt;&gt;Off-street")&gt;0,1,0)</f>
        <v>0</v>
      </c>
      <c r="J514">
        <f>IF(COUNTIFS('United Data'!$A$3:$A$3390,J$1,'United Data'!$C$3:$C$3390,$A514,'United Data'!$B$3:$B$3390,"&lt;&gt;Off-street")&gt;0,1,0)</f>
        <v>0</v>
      </c>
      <c r="K514">
        <f>IF(COUNTIFS('United Data'!$A$3:$A$3390,K$1,'United Data'!$C$3:$C$3390,$A514,'United Data'!$B$3:$B$3390,"&lt;&gt;Off-street")&gt;0,1,0)</f>
        <v>0</v>
      </c>
      <c r="L514">
        <f>IF(COUNTIFS('United Data'!$A$3:$A$3390,L$1,'United Data'!$C$3:$C$3390,$A514,'United Data'!$B$3:$B$3390,"&lt;&gt;Off-street")&gt;0,1,0)</f>
        <v>0</v>
      </c>
      <c r="M514">
        <f>IF(COUNTIFS('United Data'!$A$3:$A$3390,M$1,'United Data'!$C$3:$C$3390,$A514,'United Data'!$B$3:$B$3390,"&lt;&gt;Off-street")&gt;0,1,0)</f>
        <v>0</v>
      </c>
      <c r="N514">
        <f>IF(COUNTIFS('United Data'!$A$3:$A$3390,N$1,'United Data'!$C$3:$C$3390,$A514,'United Data'!$B$3:$B$3390,"&lt;&gt;Off-street")&gt;0,1,0)</f>
        <v>0</v>
      </c>
      <c r="O514">
        <f>IF(COUNTIFS('United Data'!$A$3:$A$3390,O$1,'United Data'!$C$3:$C$3390,$A514,'United Data'!$B$3:$B$3390,"&lt;&gt;Off-street")&gt;0,1,0)</f>
        <v>0</v>
      </c>
      <c r="P514">
        <f>IF(COUNTIFS('United Data'!$A$3:$A$3390,P$1,'United Data'!$C$3:$C$3390,$A514,'United Data'!$B$3:$B$3390,"&lt;&gt;Off-street")&gt;0,1,0)</f>
        <v>0</v>
      </c>
      <c r="Q514">
        <f>IF(COUNTIFS('United Data'!$A$3:$A$3390,Q$1,'United Data'!$C$3:$C$3390,$A514,'United Data'!$B$3:$B$3390,"&lt;&gt;Off-street")&gt;0,1,0)</f>
        <v>0</v>
      </c>
      <c r="R514">
        <f>IF(COUNTIFS('United Data'!$A$3:$A$3390,R$1,'United Data'!$C$3:$C$3390,$A514,'United Data'!$B$3:$B$3390,"&lt;&gt;Off-street")&gt;0,1,0)</f>
        <v>0</v>
      </c>
      <c r="S514">
        <f t="shared" ref="S514:S577" si="16">SUM(B514:R514)</f>
        <v>1</v>
      </c>
      <c r="T514">
        <f t="shared" ref="T514:T577" si="17">B514+SUMPRODUCT(--(C514:R514&gt;B514:Q514))</f>
        <v>1</v>
      </c>
    </row>
    <row r="515" spans="1:20" x14ac:dyDescent="0.2">
      <c r="A515" t="s">
        <v>627</v>
      </c>
      <c r="B515">
        <f>IF(COUNTIFS('United Data'!$A$3:$A$3390,B$1,'United Data'!$C$3:$C$3390,$A515,'United Data'!$B$3:$B$3390,"&lt;&gt;Off-street")&gt;0,1,0)</f>
        <v>0</v>
      </c>
      <c r="C515">
        <f>IF(COUNTIFS('United Data'!$A$3:$A$3390,C$1,'United Data'!$C$3:$C$3390,$A515,'United Data'!$B$3:$B$3390,"&lt;&gt;Off-street")&gt;0,1,0)</f>
        <v>0</v>
      </c>
      <c r="D515">
        <f>IF(COUNTIFS('United Data'!$A$3:$A$3390,D$1,'United Data'!$C$3:$C$3390,$A515,'United Data'!$B$3:$B$3390,"&lt;&gt;Off-street")&gt;0,1,0)</f>
        <v>0</v>
      </c>
      <c r="E515">
        <f>IF(COUNTIFS('United Data'!$A$3:$A$3390,E$1,'United Data'!$C$3:$C$3390,$A515,'United Data'!$B$3:$B$3390,"&lt;&gt;Off-street")&gt;0,1,0)</f>
        <v>1</v>
      </c>
      <c r="F515">
        <f>IF(COUNTIFS('United Data'!$A$3:$A$3390,F$1,'United Data'!$C$3:$C$3390,$A515,'United Data'!$B$3:$B$3390,"&lt;&gt;Off-street")&gt;0,1,0)</f>
        <v>1</v>
      </c>
      <c r="G515">
        <f>IF(COUNTIFS('United Data'!$A$3:$A$3390,G$1,'United Data'!$C$3:$C$3390,$A515,'United Data'!$B$3:$B$3390,"&lt;&gt;Off-street")&gt;0,1,0)</f>
        <v>0</v>
      </c>
      <c r="H515">
        <f>IF(COUNTIFS('United Data'!$A$3:$A$3390,H$1,'United Data'!$C$3:$C$3390,$A515,'United Data'!$B$3:$B$3390,"&lt;&gt;Off-street")&gt;0,1,0)</f>
        <v>0</v>
      </c>
      <c r="I515">
        <f>IF(COUNTIFS('United Data'!$A$3:$A$3390,I$1,'United Data'!$C$3:$C$3390,$A515,'United Data'!$B$3:$B$3390,"&lt;&gt;Off-street")&gt;0,1,0)</f>
        <v>0</v>
      </c>
      <c r="J515">
        <f>IF(COUNTIFS('United Data'!$A$3:$A$3390,J$1,'United Data'!$C$3:$C$3390,$A515,'United Data'!$B$3:$B$3390,"&lt;&gt;Off-street")&gt;0,1,0)</f>
        <v>0</v>
      </c>
      <c r="K515">
        <f>IF(COUNTIFS('United Data'!$A$3:$A$3390,K$1,'United Data'!$C$3:$C$3390,$A515,'United Data'!$B$3:$B$3390,"&lt;&gt;Off-street")&gt;0,1,0)</f>
        <v>1</v>
      </c>
      <c r="L515">
        <f>IF(COUNTIFS('United Data'!$A$3:$A$3390,L$1,'United Data'!$C$3:$C$3390,$A515,'United Data'!$B$3:$B$3390,"&lt;&gt;Off-street")&gt;0,1,0)</f>
        <v>0</v>
      </c>
      <c r="M515">
        <f>IF(COUNTIFS('United Data'!$A$3:$A$3390,M$1,'United Data'!$C$3:$C$3390,$A515,'United Data'!$B$3:$B$3390,"&lt;&gt;Off-street")&gt;0,1,0)</f>
        <v>0</v>
      </c>
      <c r="N515">
        <f>IF(COUNTIFS('United Data'!$A$3:$A$3390,N$1,'United Data'!$C$3:$C$3390,$A515,'United Data'!$B$3:$B$3390,"&lt;&gt;Off-street")&gt;0,1,0)</f>
        <v>0</v>
      </c>
      <c r="O515">
        <f>IF(COUNTIFS('United Data'!$A$3:$A$3390,O$1,'United Data'!$C$3:$C$3390,$A515,'United Data'!$B$3:$B$3390,"&lt;&gt;Off-street")&gt;0,1,0)</f>
        <v>0</v>
      </c>
      <c r="P515">
        <f>IF(COUNTIFS('United Data'!$A$3:$A$3390,P$1,'United Data'!$C$3:$C$3390,$A515,'United Data'!$B$3:$B$3390,"&lt;&gt;Off-street")&gt;0,1,0)</f>
        <v>1</v>
      </c>
      <c r="Q515">
        <f>IF(COUNTIFS('United Data'!$A$3:$A$3390,Q$1,'United Data'!$C$3:$C$3390,$A515,'United Data'!$B$3:$B$3390,"&lt;&gt;Off-street")&gt;0,1,0)</f>
        <v>0</v>
      </c>
      <c r="R515">
        <f>IF(COUNTIFS('United Data'!$A$3:$A$3390,R$1,'United Data'!$C$3:$C$3390,$A515,'United Data'!$B$3:$B$3390,"&lt;&gt;Off-street")&gt;0,1,0)</f>
        <v>0</v>
      </c>
      <c r="S515">
        <f t="shared" si="16"/>
        <v>4</v>
      </c>
      <c r="T515">
        <f t="shared" si="17"/>
        <v>3</v>
      </c>
    </row>
    <row r="516" spans="1:20" x14ac:dyDescent="0.2">
      <c r="A516" t="s">
        <v>628</v>
      </c>
      <c r="B516">
        <f>IF(COUNTIFS('United Data'!$A$3:$A$3390,B$1,'United Data'!$C$3:$C$3390,$A516,'United Data'!$B$3:$B$3390,"&lt;&gt;Off-street")&gt;0,1,0)</f>
        <v>0</v>
      </c>
      <c r="C516">
        <f>IF(COUNTIFS('United Data'!$A$3:$A$3390,C$1,'United Data'!$C$3:$C$3390,$A516,'United Data'!$B$3:$B$3390,"&lt;&gt;Off-street")&gt;0,1,0)</f>
        <v>0</v>
      </c>
      <c r="D516">
        <f>IF(COUNTIFS('United Data'!$A$3:$A$3390,D$1,'United Data'!$C$3:$C$3390,$A516,'United Data'!$B$3:$B$3390,"&lt;&gt;Off-street")&gt;0,1,0)</f>
        <v>0</v>
      </c>
      <c r="E516">
        <f>IF(COUNTIFS('United Data'!$A$3:$A$3390,E$1,'United Data'!$C$3:$C$3390,$A516,'United Data'!$B$3:$B$3390,"&lt;&gt;Off-street")&gt;0,1,0)</f>
        <v>1</v>
      </c>
      <c r="F516">
        <f>IF(COUNTIFS('United Data'!$A$3:$A$3390,F$1,'United Data'!$C$3:$C$3390,$A516,'United Data'!$B$3:$B$3390,"&lt;&gt;Off-street")&gt;0,1,0)</f>
        <v>0</v>
      </c>
      <c r="G516">
        <f>IF(COUNTIFS('United Data'!$A$3:$A$3390,G$1,'United Data'!$C$3:$C$3390,$A516,'United Data'!$B$3:$B$3390,"&lt;&gt;Off-street")&gt;0,1,0)</f>
        <v>0</v>
      </c>
      <c r="H516">
        <f>IF(COUNTIFS('United Data'!$A$3:$A$3390,H$1,'United Data'!$C$3:$C$3390,$A516,'United Data'!$B$3:$B$3390,"&lt;&gt;Off-street")&gt;0,1,0)</f>
        <v>0</v>
      </c>
      <c r="I516">
        <f>IF(COUNTIFS('United Data'!$A$3:$A$3390,I$1,'United Data'!$C$3:$C$3390,$A516,'United Data'!$B$3:$B$3390,"&lt;&gt;Off-street")&gt;0,1,0)</f>
        <v>0</v>
      </c>
      <c r="J516">
        <f>IF(COUNTIFS('United Data'!$A$3:$A$3390,J$1,'United Data'!$C$3:$C$3390,$A516,'United Data'!$B$3:$B$3390,"&lt;&gt;Off-street")&gt;0,1,0)</f>
        <v>0</v>
      </c>
      <c r="K516">
        <f>IF(COUNTIFS('United Data'!$A$3:$A$3390,K$1,'United Data'!$C$3:$C$3390,$A516,'United Data'!$B$3:$B$3390,"&lt;&gt;Off-street")&gt;0,1,0)</f>
        <v>0</v>
      </c>
      <c r="L516">
        <f>IF(COUNTIFS('United Data'!$A$3:$A$3390,L$1,'United Data'!$C$3:$C$3390,$A516,'United Data'!$B$3:$B$3390,"&lt;&gt;Off-street")&gt;0,1,0)</f>
        <v>0</v>
      </c>
      <c r="M516">
        <f>IF(COUNTIFS('United Data'!$A$3:$A$3390,M$1,'United Data'!$C$3:$C$3390,$A516,'United Data'!$B$3:$B$3390,"&lt;&gt;Off-street")&gt;0,1,0)</f>
        <v>0</v>
      </c>
      <c r="N516">
        <f>IF(COUNTIFS('United Data'!$A$3:$A$3390,N$1,'United Data'!$C$3:$C$3390,$A516,'United Data'!$B$3:$B$3390,"&lt;&gt;Off-street")&gt;0,1,0)</f>
        <v>0</v>
      </c>
      <c r="O516">
        <f>IF(COUNTIFS('United Data'!$A$3:$A$3390,O$1,'United Data'!$C$3:$C$3390,$A516,'United Data'!$B$3:$B$3390,"&lt;&gt;Off-street")&gt;0,1,0)</f>
        <v>0</v>
      </c>
      <c r="P516">
        <f>IF(COUNTIFS('United Data'!$A$3:$A$3390,P$1,'United Data'!$C$3:$C$3390,$A516,'United Data'!$B$3:$B$3390,"&lt;&gt;Off-street")&gt;0,1,0)</f>
        <v>0</v>
      </c>
      <c r="Q516">
        <f>IF(COUNTIFS('United Data'!$A$3:$A$3390,Q$1,'United Data'!$C$3:$C$3390,$A516,'United Data'!$B$3:$B$3390,"&lt;&gt;Off-street")&gt;0,1,0)</f>
        <v>0</v>
      </c>
      <c r="R516">
        <f>IF(COUNTIFS('United Data'!$A$3:$A$3390,R$1,'United Data'!$C$3:$C$3390,$A516,'United Data'!$B$3:$B$3390,"&lt;&gt;Off-street")&gt;0,1,0)</f>
        <v>0</v>
      </c>
      <c r="S516">
        <f t="shared" si="16"/>
        <v>1</v>
      </c>
      <c r="T516">
        <f t="shared" si="17"/>
        <v>1</v>
      </c>
    </row>
    <row r="517" spans="1:20" x14ac:dyDescent="0.2">
      <c r="A517" t="s">
        <v>629</v>
      </c>
      <c r="B517">
        <f>IF(COUNTIFS('United Data'!$A$3:$A$3390,B$1,'United Data'!$C$3:$C$3390,$A517,'United Data'!$B$3:$B$3390,"&lt;&gt;Off-street")&gt;0,1,0)</f>
        <v>0</v>
      </c>
      <c r="C517">
        <f>IF(COUNTIFS('United Data'!$A$3:$A$3390,C$1,'United Data'!$C$3:$C$3390,$A517,'United Data'!$B$3:$B$3390,"&lt;&gt;Off-street")&gt;0,1,0)</f>
        <v>0</v>
      </c>
      <c r="D517">
        <f>IF(COUNTIFS('United Data'!$A$3:$A$3390,D$1,'United Data'!$C$3:$C$3390,$A517,'United Data'!$B$3:$B$3390,"&lt;&gt;Off-street")&gt;0,1,0)</f>
        <v>0</v>
      </c>
      <c r="E517">
        <f>IF(COUNTIFS('United Data'!$A$3:$A$3390,E$1,'United Data'!$C$3:$C$3390,$A517,'United Data'!$B$3:$B$3390,"&lt;&gt;Off-street")&gt;0,1,0)</f>
        <v>1</v>
      </c>
      <c r="F517">
        <f>IF(COUNTIFS('United Data'!$A$3:$A$3390,F$1,'United Data'!$C$3:$C$3390,$A517,'United Data'!$B$3:$B$3390,"&lt;&gt;Off-street")&gt;0,1,0)</f>
        <v>0</v>
      </c>
      <c r="G517">
        <f>IF(COUNTIFS('United Data'!$A$3:$A$3390,G$1,'United Data'!$C$3:$C$3390,$A517,'United Data'!$B$3:$B$3390,"&lt;&gt;Off-street")&gt;0,1,0)</f>
        <v>0</v>
      </c>
      <c r="H517">
        <f>IF(COUNTIFS('United Data'!$A$3:$A$3390,H$1,'United Data'!$C$3:$C$3390,$A517,'United Data'!$B$3:$B$3390,"&lt;&gt;Off-street")&gt;0,1,0)</f>
        <v>0</v>
      </c>
      <c r="I517">
        <f>IF(COUNTIFS('United Data'!$A$3:$A$3390,I$1,'United Data'!$C$3:$C$3390,$A517,'United Data'!$B$3:$B$3390,"&lt;&gt;Off-street")&gt;0,1,0)</f>
        <v>0</v>
      </c>
      <c r="J517">
        <f>IF(COUNTIFS('United Data'!$A$3:$A$3390,J$1,'United Data'!$C$3:$C$3390,$A517,'United Data'!$B$3:$B$3390,"&lt;&gt;Off-street")&gt;0,1,0)</f>
        <v>0</v>
      </c>
      <c r="K517">
        <f>IF(COUNTIFS('United Data'!$A$3:$A$3390,K$1,'United Data'!$C$3:$C$3390,$A517,'United Data'!$B$3:$B$3390,"&lt;&gt;Off-street")&gt;0,1,0)</f>
        <v>0</v>
      </c>
      <c r="L517">
        <f>IF(COUNTIFS('United Data'!$A$3:$A$3390,L$1,'United Data'!$C$3:$C$3390,$A517,'United Data'!$B$3:$B$3390,"&lt;&gt;Off-street")&gt;0,1,0)</f>
        <v>0</v>
      </c>
      <c r="M517">
        <f>IF(COUNTIFS('United Data'!$A$3:$A$3390,M$1,'United Data'!$C$3:$C$3390,$A517,'United Data'!$B$3:$B$3390,"&lt;&gt;Off-street")&gt;0,1,0)</f>
        <v>0</v>
      </c>
      <c r="N517">
        <f>IF(COUNTIFS('United Data'!$A$3:$A$3390,N$1,'United Data'!$C$3:$C$3390,$A517,'United Data'!$B$3:$B$3390,"&lt;&gt;Off-street")&gt;0,1,0)</f>
        <v>0</v>
      </c>
      <c r="O517">
        <f>IF(COUNTIFS('United Data'!$A$3:$A$3390,O$1,'United Data'!$C$3:$C$3390,$A517,'United Data'!$B$3:$B$3390,"&lt;&gt;Off-street")&gt;0,1,0)</f>
        <v>0</v>
      </c>
      <c r="P517">
        <f>IF(COUNTIFS('United Data'!$A$3:$A$3390,P$1,'United Data'!$C$3:$C$3390,$A517,'United Data'!$B$3:$B$3390,"&lt;&gt;Off-street")&gt;0,1,0)</f>
        <v>0</v>
      </c>
      <c r="Q517">
        <f>IF(COUNTIFS('United Data'!$A$3:$A$3390,Q$1,'United Data'!$C$3:$C$3390,$A517,'United Data'!$B$3:$B$3390,"&lt;&gt;Off-street")&gt;0,1,0)</f>
        <v>0</v>
      </c>
      <c r="R517">
        <f>IF(COUNTIFS('United Data'!$A$3:$A$3390,R$1,'United Data'!$C$3:$C$3390,$A517,'United Data'!$B$3:$B$3390,"&lt;&gt;Off-street")&gt;0,1,0)</f>
        <v>0</v>
      </c>
      <c r="S517">
        <f t="shared" si="16"/>
        <v>1</v>
      </c>
      <c r="T517">
        <f t="shared" si="17"/>
        <v>1</v>
      </c>
    </row>
    <row r="518" spans="1:20" x14ac:dyDescent="0.2">
      <c r="A518" t="s">
        <v>630</v>
      </c>
      <c r="B518">
        <f>IF(COUNTIFS('United Data'!$A$3:$A$3390,B$1,'United Data'!$C$3:$C$3390,$A518,'United Data'!$B$3:$B$3390,"&lt;&gt;Off-street")&gt;0,1,0)</f>
        <v>0</v>
      </c>
      <c r="C518">
        <f>IF(COUNTIFS('United Data'!$A$3:$A$3390,C$1,'United Data'!$C$3:$C$3390,$A518,'United Data'!$B$3:$B$3390,"&lt;&gt;Off-street")&gt;0,1,0)</f>
        <v>0</v>
      </c>
      <c r="D518">
        <f>IF(COUNTIFS('United Data'!$A$3:$A$3390,D$1,'United Data'!$C$3:$C$3390,$A518,'United Data'!$B$3:$B$3390,"&lt;&gt;Off-street")&gt;0,1,0)</f>
        <v>0</v>
      </c>
      <c r="E518">
        <f>IF(COUNTIFS('United Data'!$A$3:$A$3390,E$1,'United Data'!$C$3:$C$3390,$A518,'United Data'!$B$3:$B$3390,"&lt;&gt;Off-street")&gt;0,1,0)</f>
        <v>1</v>
      </c>
      <c r="F518">
        <f>IF(COUNTIFS('United Data'!$A$3:$A$3390,F$1,'United Data'!$C$3:$C$3390,$A518,'United Data'!$B$3:$B$3390,"&lt;&gt;Off-street")&gt;0,1,0)</f>
        <v>0</v>
      </c>
      <c r="G518">
        <f>IF(COUNTIFS('United Data'!$A$3:$A$3390,G$1,'United Data'!$C$3:$C$3390,$A518,'United Data'!$B$3:$B$3390,"&lt;&gt;Off-street")&gt;0,1,0)</f>
        <v>0</v>
      </c>
      <c r="H518">
        <f>IF(COUNTIFS('United Data'!$A$3:$A$3390,H$1,'United Data'!$C$3:$C$3390,$A518,'United Data'!$B$3:$B$3390,"&lt;&gt;Off-street")&gt;0,1,0)</f>
        <v>0</v>
      </c>
      <c r="I518">
        <f>IF(COUNTIFS('United Data'!$A$3:$A$3390,I$1,'United Data'!$C$3:$C$3390,$A518,'United Data'!$B$3:$B$3390,"&lt;&gt;Off-street")&gt;0,1,0)</f>
        <v>0</v>
      </c>
      <c r="J518">
        <f>IF(COUNTIFS('United Data'!$A$3:$A$3390,J$1,'United Data'!$C$3:$C$3390,$A518,'United Data'!$B$3:$B$3390,"&lt;&gt;Off-street")&gt;0,1,0)</f>
        <v>0</v>
      </c>
      <c r="K518">
        <f>IF(COUNTIFS('United Data'!$A$3:$A$3390,K$1,'United Data'!$C$3:$C$3390,$A518,'United Data'!$B$3:$B$3390,"&lt;&gt;Off-street")&gt;0,1,0)</f>
        <v>0</v>
      </c>
      <c r="L518">
        <f>IF(COUNTIFS('United Data'!$A$3:$A$3390,L$1,'United Data'!$C$3:$C$3390,$A518,'United Data'!$B$3:$B$3390,"&lt;&gt;Off-street")&gt;0,1,0)</f>
        <v>0</v>
      </c>
      <c r="M518">
        <f>IF(COUNTIFS('United Data'!$A$3:$A$3390,M$1,'United Data'!$C$3:$C$3390,$A518,'United Data'!$B$3:$B$3390,"&lt;&gt;Off-street")&gt;0,1,0)</f>
        <v>0</v>
      </c>
      <c r="N518">
        <f>IF(COUNTIFS('United Data'!$A$3:$A$3390,N$1,'United Data'!$C$3:$C$3390,$A518,'United Data'!$B$3:$B$3390,"&lt;&gt;Off-street")&gt;0,1,0)</f>
        <v>0</v>
      </c>
      <c r="O518">
        <f>IF(COUNTIFS('United Data'!$A$3:$A$3390,O$1,'United Data'!$C$3:$C$3390,$A518,'United Data'!$B$3:$B$3390,"&lt;&gt;Off-street")&gt;0,1,0)</f>
        <v>0</v>
      </c>
      <c r="P518">
        <f>IF(COUNTIFS('United Data'!$A$3:$A$3390,P$1,'United Data'!$C$3:$C$3390,$A518,'United Data'!$B$3:$B$3390,"&lt;&gt;Off-street")&gt;0,1,0)</f>
        <v>0</v>
      </c>
      <c r="Q518">
        <f>IF(COUNTIFS('United Data'!$A$3:$A$3390,Q$1,'United Data'!$C$3:$C$3390,$A518,'United Data'!$B$3:$B$3390,"&lt;&gt;Off-street")&gt;0,1,0)</f>
        <v>0</v>
      </c>
      <c r="R518">
        <f>IF(COUNTIFS('United Data'!$A$3:$A$3390,R$1,'United Data'!$C$3:$C$3390,$A518,'United Data'!$B$3:$B$3390,"&lt;&gt;Off-street")&gt;0,1,0)</f>
        <v>0</v>
      </c>
      <c r="S518">
        <f t="shared" si="16"/>
        <v>1</v>
      </c>
      <c r="T518">
        <f t="shared" si="17"/>
        <v>1</v>
      </c>
    </row>
    <row r="519" spans="1:20" x14ac:dyDescent="0.2">
      <c r="A519" t="s">
        <v>631</v>
      </c>
      <c r="B519">
        <f>IF(COUNTIFS('United Data'!$A$3:$A$3390,B$1,'United Data'!$C$3:$C$3390,$A519,'United Data'!$B$3:$B$3390,"&lt;&gt;Off-street")&gt;0,1,0)</f>
        <v>0</v>
      </c>
      <c r="C519">
        <f>IF(COUNTIFS('United Data'!$A$3:$A$3390,C$1,'United Data'!$C$3:$C$3390,$A519,'United Data'!$B$3:$B$3390,"&lt;&gt;Off-street")&gt;0,1,0)</f>
        <v>0</v>
      </c>
      <c r="D519">
        <f>IF(COUNTIFS('United Data'!$A$3:$A$3390,D$1,'United Data'!$C$3:$C$3390,$A519,'United Data'!$B$3:$B$3390,"&lt;&gt;Off-street")&gt;0,1,0)</f>
        <v>0</v>
      </c>
      <c r="E519">
        <f>IF(COUNTIFS('United Data'!$A$3:$A$3390,E$1,'United Data'!$C$3:$C$3390,$A519,'United Data'!$B$3:$B$3390,"&lt;&gt;Off-street")&gt;0,1,0)</f>
        <v>1</v>
      </c>
      <c r="F519">
        <f>IF(COUNTIFS('United Data'!$A$3:$A$3390,F$1,'United Data'!$C$3:$C$3390,$A519,'United Data'!$B$3:$B$3390,"&lt;&gt;Off-street")&gt;0,1,0)</f>
        <v>0</v>
      </c>
      <c r="G519">
        <f>IF(COUNTIFS('United Data'!$A$3:$A$3390,G$1,'United Data'!$C$3:$C$3390,$A519,'United Data'!$B$3:$B$3390,"&lt;&gt;Off-street")&gt;0,1,0)</f>
        <v>0</v>
      </c>
      <c r="H519">
        <f>IF(COUNTIFS('United Data'!$A$3:$A$3390,H$1,'United Data'!$C$3:$C$3390,$A519,'United Data'!$B$3:$B$3390,"&lt;&gt;Off-street")&gt;0,1,0)</f>
        <v>0</v>
      </c>
      <c r="I519">
        <f>IF(COUNTIFS('United Data'!$A$3:$A$3390,I$1,'United Data'!$C$3:$C$3390,$A519,'United Data'!$B$3:$B$3390,"&lt;&gt;Off-street")&gt;0,1,0)</f>
        <v>0</v>
      </c>
      <c r="J519">
        <f>IF(COUNTIFS('United Data'!$A$3:$A$3390,J$1,'United Data'!$C$3:$C$3390,$A519,'United Data'!$B$3:$B$3390,"&lt;&gt;Off-street")&gt;0,1,0)</f>
        <v>1</v>
      </c>
      <c r="K519">
        <f>IF(COUNTIFS('United Data'!$A$3:$A$3390,K$1,'United Data'!$C$3:$C$3390,$A519,'United Data'!$B$3:$B$3390,"&lt;&gt;Off-street")&gt;0,1,0)</f>
        <v>0</v>
      </c>
      <c r="L519">
        <f>IF(COUNTIFS('United Data'!$A$3:$A$3390,L$1,'United Data'!$C$3:$C$3390,$A519,'United Data'!$B$3:$B$3390,"&lt;&gt;Off-street")&gt;0,1,0)</f>
        <v>0</v>
      </c>
      <c r="M519">
        <f>IF(COUNTIFS('United Data'!$A$3:$A$3390,M$1,'United Data'!$C$3:$C$3390,$A519,'United Data'!$B$3:$B$3390,"&lt;&gt;Off-street")&gt;0,1,0)</f>
        <v>0</v>
      </c>
      <c r="N519">
        <f>IF(COUNTIFS('United Data'!$A$3:$A$3390,N$1,'United Data'!$C$3:$C$3390,$A519,'United Data'!$B$3:$B$3390,"&lt;&gt;Off-street")&gt;0,1,0)</f>
        <v>0</v>
      </c>
      <c r="O519">
        <f>IF(COUNTIFS('United Data'!$A$3:$A$3390,O$1,'United Data'!$C$3:$C$3390,$A519,'United Data'!$B$3:$B$3390,"&lt;&gt;Off-street")&gt;0,1,0)</f>
        <v>0</v>
      </c>
      <c r="P519">
        <f>IF(COUNTIFS('United Data'!$A$3:$A$3390,P$1,'United Data'!$C$3:$C$3390,$A519,'United Data'!$B$3:$B$3390,"&lt;&gt;Off-street")&gt;0,1,0)</f>
        <v>0</v>
      </c>
      <c r="Q519">
        <f>IF(COUNTIFS('United Data'!$A$3:$A$3390,Q$1,'United Data'!$C$3:$C$3390,$A519,'United Data'!$B$3:$B$3390,"&lt;&gt;Off-street")&gt;0,1,0)</f>
        <v>0</v>
      </c>
      <c r="R519">
        <f>IF(COUNTIFS('United Data'!$A$3:$A$3390,R$1,'United Data'!$C$3:$C$3390,$A519,'United Data'!$B$3:$B$3390,"&lt;&gt;Off-street")&gt;0,1,0)</f>
        <v>0</v>
      </c>
      <c r="S519">
        <f t="shared" si="16"/>
        <v>2</v>
      </c>
      <c r="T519">
        <f t="shared" si="17"/>
        <v>2</v>
      </c>
    </row>
    <row r="520" spans="1:20" x14ac:dyDescent="0.2">
      <c r="A520" t="s">
        <v>632</v>
      </c>
      <c r="B520">
        <f>IF(COUNTIFS('United Data'!$A$3:$A$3390,B$1,'United Data'!$C$3:$C$3390,$A520,'United Data'!$B$3:$B$3390,"&lt;&gt;Off-street")&gt;0,1,0)</f>
        <v>0</v>
      </c>
      <c r="C520">
        <f>IF(COUNTIFS('United Data'!$A$3:$A$3390,C$1,'United Data'!$C$3:$C$3390,$A520,'United Data'!$B$3:$B$3390,"&lt;&gt;Off-street")&gt;0,1,0)</f>
        <v>0</v>
      </c>
      <c r="D520">
        <f>IF(COUNTIFS('United Data'!$A$3:$A$3390,D$1,'United Data'!$C$3:$C$3390,$A520,'United Data'!$B$3:$B$3390,"&lt;&gt;Off-street")&gt;0,1,0)</f>
        <v>0</v>
      </c>
      <c r="E520">
        <f>IF(COUNTIFS('United Data'!$A$3:$A$3390,E$1,'United Data'!$C$3:$C$3390,$A520,'United Data'!$B$3:$B$3390,"&lt;&gt;Off-street")&gt;0,1,0)</f>
        <v>1</v>
      </c>
      <c r="F520">
        <f>IF(COUNTIFS('United Data'!$A$3:$A$3390,F$1,'United Data'!$C$3:$C$3390,$A520,'United Data'!$B$3:$B$3390,"&lt;&gt;Off-street")&gt;0,1,0)</f>
        <v>0</v>
      </c>
      <c r="G520">
        <f>IF(COUNTIFS('United Data'!$A$3:$A$3390,G$1,'United Data'!$C$3:$C$3390,$A520,'United Data'!$B$3:$B$3390,"&lt;&gt;Off-street")&gt;0,1,0)</f>
        <v>0</v>
      </c>
      <c r="H520">
        <f>IF(COUNTIFS('United Data'!$A$3:$A$3390,H$1,'United Data'!$C$3:$C$3390,$A520,'United Data'!$B$3:$B$3390,"&lt;&gt;Off-street")&gt;0,1,0)</f>
        <v>0</v>
      </c>
      <c r="I520">
        <f>IF(COUNTIFS('United Data'!$A$3:$A$3390,I$1,'United Data'!$C$3:$C$3390,$A520,'United Data'!$B$3:$B$3390,"&lt;&gt;Off-street")&gt;0,1,0)</f>
        <v>0</v>
      </c>
      <c r="J520">
        <f>IF(COUNTIFS('United Data'!$A$3:$A$3390,J$1,'United Data'!$C$3:$C$3390,$A520,'United Data'!$B$3:$B$3390,"&lt;&gt;Off-street")&gt;0,1,0)</f>
        <v>0</v>
      </c>
      <c r="K520">
        <f>IF(COUNTIFS('United Data'!$A$3:$A$3390,K$1,'United Data'!$C$3:$C$3390,$A520,'United Data'!$B$3:$B$3390,"&lt;&gt;Off-street")&gt;0,1,0)</f>
        <v>0</v>
      </c>
      <c r="L520">
        <f>IF(COUNTIFS('United Data'!$A$3:$A$3390,L$1,'United Data'!$C$3:$C$3390,$A520,'United Data'!$B$3:$B$3390,"&lt;&gt;Off-street")&gt;0,1,0)</f>
        <v>0</v>
      </c>
      <c r="M520">
        <f>IF(COUNTIFS('United Data'!$A$3:$A$3390,M$1,'United Data'!$C$3:$C$3390,$A520,'United Data'!$B$3:$B$3390,"&lt;&gt;Off-street")&gt;0,1,0)</f>
        <v>0</v>
      </c>
      <c r="N520">
        <f>IF(COUNTIFS('United Data'!$A$3:$A$3390,N$1,'United Data'!$C$3:$C$3390,$A520,'United Data'!$B$3:$B$3390,"&lt;&gt;Off-street")&gt;0,1,0)</f>
        <v>0</v>
      </c>
      <c r="O520">
        <f>IF(COUNTIFS('United Data'!$A$3:$A$3390,O$1,'United Data'!$C$3:$C$3390,$A520,'United Data'!$B$3:$B$3390,"&lt;&gt;Off-street")&gt;0,1,0)</f>
        <v>0</v>
      </c>
      <c r="P520">
        <f>IF(COUNTIFS('United Data'!$A$3:$A$3390,P$1,'United Data'!$C$3:$C$3390,$A520,'United Data'!$B$3:$B$3390,"&lt;&gt;Off-street")&gt;0,1,0)</f>
        <v>0</v>
      </c>
      <c r="Q520">
        <f>IF(COUNTIFS('United Data'!$A$3:$A$3390,Q$1,'United Data'!$C$3:$C$3390,$A520,'United Data'!$B$3:$B$3390,"&lt;&gt;Off-street")&gt;0,1,0)</f>
        <v>0</v>
      </c>
      <c r="R520">
        <f>IF(COUNTIFS('United Data'!$A$3:$A$3390,R$1,'United Data'!$C$3:$C$3390,$A520,'United Data'!$B$3:$B$3390,"&lt;&gt;Off-street")&gt;0,1,0)</f>
        <v>0</v>
      </c>
      <c r="S520">
        <f t="shared" si="16"/>
        <v>1</v>
      </c>
      <c r="T520">
        <f t="shared" si="17"/>
        <v>1</v>
      </c>
    </row>
    <row r="521" spans="1:20" x14ac:dyDescent="0.2">
      <c r="A521" t="s">
        <v>633</v>
      </c>
      <c r="B521">
        <f>IF(COUNTIFS('United Data'!$A$3:$A$3390,B$1,'United Data'!$C$3:$C$3390,$A521,'United Data'!$B$3:$B$3390,"&lt;&gt;Off-street")&gt;0,1,0)</f>
        <v>0</v>
      </c>
      <c r="C521">
        <f>IF(COUNTIFS('United Data'!$A$3:$A$3390,C$1,'United Data'!$C$3:$C$3390,$A521,'United Data'!$B$3:$B$3390,"&lt;&gt;Off-street")&gt;0,1,0)</f>
        <v>0</v>
      </c>
      <c r="D521">
        <f>IF(COUNTIFS('United Data'!$A$3:$A$3390,D$1,'United Data'!$C$3:$C$3390,$A521,'United Data'!$B$3:$B$3390,"&lt;&gt;Off-street")&gt;0,1,0)</f>
        <v>0</v>
      </c>
      <c r="E521">
        <f>IF(COUNTIFS('United Data'!$A$3:$A$3390,E$1,'United Data'!$C$3:$C$3390,$A521,'United Data'!$B$3:$B$3390,"&lt;&gt;Off-street")&gt;0,1,0)</f>
        <v>1</v>
      </c>
      <c r="F521">
        <f>IF(COUNTIFS('United Data'!$A$3:$A$3390,F$1,'United Data'!$C$3:$C$3390,$A521,'United Data'!$B$3:$B$3390,"&lt;&gt;Off-street")&gt;0,1,0)</f>
        <v>0</v>
      </c>
      <c r="G521">
        <f>IF(COUNTIFS('United Data'!$A$3:$A$3390,G$1,'United Data'!$C$3:$C$3390,$A521,'United Data'!$B$3:$B$3390,"&lt;&gt;Off-street")&gt;0,1,0)</f>
        <v>0</v>
      </c>
      <c r="H521">
        <f>IF(COUNTIFS('United Data'!$A$3:$A$3390,H$1,'United Data'!$C$3:$C$3390,$A521,'United Data'!$B$3:$B$3390,"&lt;&gt;Off-street")&gt;0,1,0)</f>
        <v>0</v>
      </c>
      <c r="I521">
        <f>IF(COUNTIFS('United Data'!$A$3:$A$3390,I$1,'United Data'!$C$3:$C$3390,$A521,'United Data'!$B$3:$B$3390,"&lt;&gt;Off-street")&gt;0,1,0)</f>
        <v>0</v>
      </c>
      <c r="J521">
        <f>IF(COUNTIFS('United Data'!$A$3:$A$3390,J$1,'United Data'!$C$3:$C$3390,$A521,'United Data'!$B$3:$B$3390,"&lt;&gt;Off-street")&gt;0,1,0)</f>
        <v>0</v>
      </c>
      <c r="K521">
        <f>IF(COUNTIFS('United Data'!$A$3:$A$3390,K$1,'United Data'!$C$3:$C$3390,$A521,'United Data'!$B$3:$B$3390,"&lt;&gt;Off-street")&gt;0,1,0)</f>
        <v>0</v>
      </c>
      <c r="L521">
        <f>IF(COUNTIFS('United Data'!$A$3:$A$3390,L$1,'United Data'!$C$3:$C$3390,$A521,'United Data'!$B$3:$B$3390,"&lt;&gt;Off-street")&gt;0,1,0)</f>
        <v>0</v>
      </c>
      <c r="M521">
        <f>IF(COUNTIFS('United Data'!$A$3:$A$3390,M$1,'United Data'!$C$3:$C$3390,$A521,'United Data'!$B$3:$B$3390,"&lt;&gt;Off-street")&gt;0,1,0)</f>
        <v>0</v>
      </c>
      <c r="N521">
        <f>IF(COUNTIFS('United Data'!$A$3:$A$3390,N$1,'United Data'!$C$3:$C$3390,$A521,'United Data'!$B$3:$B$3390,"&lt;&gt;Off-street")&gt;0,1,0)</f>
        <v>0</v>
      </c>
      <c r="O521">
        <f>IF(COUNTIFS('United Data'!$A$3:$A$3390,O$1,'United Data'!$C$3:$C$3390,$A521,'United Data'!$B$3:$B$3390,"&lt;&gt;Off-street")&gt;0,1,0)</f>
        <v>0</v>
      </c>
      <c r="P521">
        <f>IF(COUNTIFS('United Data'!$A$3:$A$3390,P$1,'United Data'!$C$3:$C$3390,$A521,'United Data'!$B$3:$B$3390,"&lt;&gt;Off-street")&gt;0,1,0)</f>
        <v>0</v>
      </c>
      <c r="Q521">
        <f>IF(COUNTIFS('United Data'!$A$3:$A$3390,Q$1,'United Data'!$C$3:$C$3390,$A521,'United Data'!$B$3:$B$3390,"&lt;&gt;Off-street")&gt;0,1,0)</f>
        <v>0</v>
      </c>
      <c r="R521">
        <f>IF(COUNTIFS('United Data'!$A$3:$A$3390,R$1,'United Data'!$C$3:$C$3390,$A521,'United Data'!$B$3:$B$3390,"&lt;&gt;Off-street")&gt;0,1,0)</f>
        <v>0</v>
      </c>
      <c r="S521">
        <f t="shared" si="16"/>
        <v>1</v>
      </c>
      <c r="T521">
        <f t="shared" si="17"/>
        <v>1</v>
      </c>
    </row>
    <row r="522" spans="1:20" x14ac:dyDescent="0.2">
      <c r="A522" t="s">
        <v>634</v>
      </c>
      <c r="B522">
        <f>IF(COUNTIFS('United Data'!$A$3:$A$3390,B$1,'United Data'!$C$3:$C$3390,$A522,'United Data'!$B$3:$B$3390,"&lt;&gt;Off-street")&gt;0,1,0)</f>
        <v>0</v>
      </c>
      <c r="C522">
        <f>IF(COUNTIFS('United Data'!$A$3:$A$3390,C$1,'United Data'!$C$3:$C$3390,$A522,'United Data'!$B$3:$B$3390,"&lt;&gt;Off-street")&gt;0,1,0)</f>
        <v>0</v>
      </c>
      <c r="D522">
        <f>IF(COUNTIFS('United Data'!$A$3:$A$3390,D$1,'United Data'!$C$3:$C$3390,$A522,'United Data'!$B$3:$B$3390,"&lt;&gt;Off-street")&gt;0,1,0)</f>
        <v>0</v>
      </c>
      <c r="E522">
        <f>IF(COUNTIFS('United Data'!$A$3:$A$3390,E$1,'United Data'!$C$3:$C$3390,$A522,'United Data'!$B$3:$B$3390,"&lt;&gt;Off-street")&gt;0,1,0)</f>
        <v>1</v>
      </c>
      <c r="F522">
        <f>IF(COUNTIFS('United Data'!$A$3:$A$3390,F$1,'United Data'!$C$3:$C$3390,$A522,'United Data'!$B$3:$B$3390,"&lt;&gt;Off-street")&gt;0,1,0)</f>
        <v>0</v>
      </c>
      <c r="G522">
        <f>IF(COUNTIFS('United Data'!$A$3:$A$3390,G$1,'United Data'!$C$3:$C$3390,$A522,'United Data'!$B$3:$B$3390,"&lt;&gt;Off-street")&gt;0,1,0)</f>
        <v>0</v>
      </c>
      <c r="H522">
        <f>IF(COUNTIFS('United Data'!$A$3:$A$3390,H$1,'United Data'!$C$3:$C$3390,$A522,'United Data'!$B$3:$B$3390,"&lt;&gt;Off-street")&gt;0,1,0)</f>
        <v>0</v>
      </c>
      <c r="I522">
        <f>IF(COUNTIFS('United Data'!$A$3:$A$3390,I$1,'United Data'!$C$3:$C$3390,$A522,'United Data'!$B$3:$B$3390,"&lt;&gt;Off-street")&gt;0,1,0)</f>
        <v>0</v>
      </c>
      <c r="J522">
        <f>IF(COUNTIFS('United Data'!$A$3:$A$3390,J$1,'United Data'!$C$3:$C$3390,$A522,'United Data'!$B$3:$B$3390,"&lt;&gt;Off-street")&gt;0,1,0)</f>
        <v>0</v>
      </c>
      <c r="K522">
        <f>IF(COUNTIFS('United Data'!$A$3:$A$3390,K$1,'United Data'!$C$3:$C$3390,$A522,'United Data'!$B$3:$B$3390,"&lt;&gt;Off-street")&gt;0,1,0)</f>
        <v>0</v>
      </c>
      <c r="L522">
        <f>IF(COUNTIFS('United Data'!$A$3:$A$3390,L$1,'United Data'!$C$3:$C$3390,$A522,'United Data'!$B$3:$B$3390,"&lt;&gt;Off-street")&gt;0,1,0)</f>
        <v>0</v>
      </c>
      <c r="M522">
        <f>IF(COUNTIFS('United Data'!$A$3:$A$3390,M$1,'United Data'!$C$3:$C$3390,$A522,'United Data'!$B$3:$B$3390,"&lt;&gt;Off-street")&gt;0,1,0)</f>
        <v>0</v>
      </c>
      <c r="N522">
        <f>IF(COUNTIFS('United Data'!$A$3:$A$3390,N$1,'United Data'!$C$3:$C$3390,$A522,'United Data'!$B$3:$B$3390,"&lt;&gt;Off-street")&gt;0,1,0)</f>
        <v>0</v>
      </c>
      <c r="O522">
        <f>IF(COUNTIFS('United Data'!$A$3:$A$3390,O$1,'United Data'!$C$3:$C$3390,$A522,'United Data'!$B$3:$B$3390,"&lt;&gt;Off-street")&gt;0,1,0)</f>
        <v>0</v>
      </c>
      <c r="P522">
        <f>IF(COUNTIFS('United Data'!$A$3:$A$3390,P$1,'United Data'!$C$3:$C$3390,$A522,'United Data'!$B$3:$B$3390,"&lt;&gt;Off-street")&gt;0,1,0)</f>
        <v>0</v>
      </c>
      <c r="Q522">
        <f>IF(COUNTIFS('United Data'!$A$3:$A$3390,Q$1,'United Data'!$C$3:$C$3390,$A522,'United Data'!$B$3:$B$3390,"&lt;&gt;Off-street")&gt;0,1,0)</f>
        <v>0</v>
      </c>
      <c r="R522">
        <f>IF(COUNTIFS('United Data'!$A$3:$A$3390,R$1,'United Data'!$C$3:$C$3390,$A522,'United Data'!$B$3:$B$3390,"&lt;&gt;Off-street")&gt;0,1,0)</f>
        <v>0</v>
      </c>
      <c r="S522">
        <f t="shared" si="16"/>
        <v>1</v>
      </c>
      <c r="T522">
        <f t="shared" si="17"/>
        <v>1</v>
      </c>
    </row>
    <row r="523" spans="1:20" x14ac:dyDescent="0.2">
      <c r="A523" t="s">
        <v>635</v>
      </c>
      <c r="B523">
        <f>IF(COUNTIFS('United Data'!$A$3:$A$3390,B$1,'United Data'!$C$3:$C$3390,$A523,'United Data'!$B$3:$B$3390,"&lt;&gt;Off-street")&gt;0,1,0)</f>
        <v>0</v>
      </c>
      <c r="C523">
        <f>IF(COUNTIFS('United Data'!$A$3:$A$3390,C$1,'United Data'!$C$3:$C$3390,$A523,'United Data'!$B$3:$B$3390,"&lt;&gt;Off-street")&gt;0,1,0)</f>
        <v>0</v>
      </c>
      <c r="D523">
        <f>IF(COUNTIFS('United Data'!$A$3:$A$3390,D$1,'United Data'!$C$3:$C$3390,$A523,'United Data'!$B$3:$B$3390,"&lt;&gt;Off-street")&gt;0,1,0)</f>
        <v>0</v>
      </c>
      <c r="E523">
        <f>IF(COUNTIFS('United Data'!$A$3:$A$3390,E$1,'United Data'!$C$3:$C$3390,$A523,'United Data'!$B$3:$B$3390,"&lt;&gt;Off-street")&gt;0,1,0)</f>
        <v>1</v>
      </c>
      <c r="F523">
        <f>IF(COUNTIFS('United Data'!$A$3:$A$3390,F$1,'United Data'!$C$3:$C$3390,$A523,'United Data'!$B$3:$B$3390,"&lt;&gt;Off-street")&gt;0,1,0)</f>
        <v>0</v>
      </c>
      <c r="G523">
        <f>IF(COUNTIFS('United Data'!$A$3:$A$3390,G$1,'United Data'!$C$3:$C$3390,$A523,'United Data'!$B$3:$B$3390,"&lt;&gt;Off-street")&gt;0,1,0)</f>
        <v>0</v>
      </c>
      <c r="H523">
        <f>IF(COUNTIFS('United Data'!$A$3:$A$3390,H$1,'United Data'!$C$3:$C$3390,$A523,'United Data'!$B$3:$B$3390,"&lt;&gt;Off-street")&gt;0,1,0)</f>
        <v>0</v>
      </c>
      <c r="I523">
        <f>IF(COUNTIFS('United Data'!$A$3:$A$3390,I$1,'United Data'!$C$3:$C$3390,$A523,'United Data'!$B$3:$B$3390,"&lt;&gt;Off-street")&gt;0,1,0)</f>
        <v>0</v>
      </c>
      <c r="J523">
        <f>IF(COUNTIFS('United Data'!$A$3:$A$3390,J$1,'United Data'!$C$3:$C$3390,$A523,'United Data'!$B$3:$B$3390,"&lt;&gt;Off-street")&gt;0,1,0)</f>
        <v>0</v>
      </c>
      <c r="K523">
        <f>IF(COUNTIFS('United Data'!$A$3:$A$3390,K$1,'United Data'!$C$3:$C$3390,$A523,'United Data'!$B$3:$B$3390,"&lt;&gt;Off-street")&gt;0,1,0)</f>
        <v>0</v>
      </c>
      <c r="L523">
        <f>IF(COUNTIFS('United Data'!$A$3:$A$3390,L$1,'United Data'!$C$3:$C$3390,$A523,'United Data'!$B$3:$B$3390,"&lt;&gt;Off-street")&gt;0,1,0)</f>
        <v>0</v>
      </c>
      <c r="M523">
        <f>IF(COUNTIFS('United Data'!$A$3:$A$3390,M$1,'United Data'!$C$3:$C$3390,$A523,'United Data'!$B$3:$B$3390,"&lt;&gt;Off-street")&gt;0,1,0)</f>
        <v>0</v>
      </c>
      <c r="N523">
        <f>IF(COUNTIFS('United Data'!$A$3:$A$3390,N$1,'United Data'!$C$3:$C$3390,$A523,'United Data'!$B$3:$B$3390,"&lt;&gt;Off-street")&gt;0,1,0)</f>
        <v>0</v>
      </c>
      <c r="O523">
        <f>IF(COUNTIFS('United Data'!$A$3:$A$3390,O$1,'United Data'!$C$3:$C$3390,$A523,'United Data'!$B$3:$B$3390,"&lt;&gt;Off-street")&gt;0,1,0)</f>
        <v>0</v>
      </c>
      <c r="P523">
        <f>IF(COUNTIFS('United Data'!$A$3:$A$3390,P$1,'United Data'!$C$3:$C$3390,$A523,'United Data'!$B$3:$B$3390,"&lt;&gt;Off-street")&gt;0,1,0)</f>
        <v>0</v>
      </c>
      <c r="Q523">
        <f>IF(COUNTIFS('United Data'!$A$3:$A$3390,Q$1,'United Data'!$C$3:$C$3390,$A523,'United Data'!$B$3:$B$3390,"&lt;&gt;Off-street")&gt;0,1,0)</f>
        <v>0</v>
      </c>
      <c r="R523">
        <f>IF(COUNTIFS('United Data'!$A$3:$A$3390,R$1,'United Data'!$C$3:$C$3390,$A523,'United Data'!$B$3:$B$3390,"&lt;&gt;Off-street")&gt;0,1,0)</f>
        <v>0</v>
      </c>
      <c r="S523">
        <f t="shared" si="16"/>
        <v>1</v>
      </c>
      <c r="T523">
        <f t="shared" si="17"/>
        <v>1</v>
      </c>
    </row>
    <row r="524" spans="1:20" x14ac:dyDescent="0.2">
      <c r="A524" t="s">
        <v>636</v>
      </c>
      <c r="B524">
        <f>IF(COUNTIFS('United Data'!$A$3:$A$3390,B$1,'United Data'!$C$3:$C$3390,$A524,'United Data'!$B$3:$B$3390,"&lt;&gt;Off-street")&gt;0,1,0)</f>
        <v>0</v>
      </c>
      <c r="C524">
        <f>IF(COUNTIFS('United Data'!$A$3:$A$3390,C$1,'United Data'!$C$3:$C$3390,$A524,'United Data'!$B$3:$B$3390,"&lt;&gt;Off-street")&gt;0,1,0)</f>
        <v>0</v>
      </c>
      <c r="D524">
        <f>IF(COUNTIFS('United Data'!$A$3:$A$3390,D$1,'United Data'!$C$3:$C$3390,$A524,'United Data'!$B$3:$B$3390,"&lt;&gt;Off-street")&gt;0,1,0)</f>
        <v>0</v>
      </c>
      <c r="E524">
        <f>IF(COUNTIFS('United Data'!$A$3:$A$3390,E$1,'United Data'!$C$3:$C$3390,$A524,'United Data'!$B$3:$B$3390,"&lt;&gt;Off-street")&gt;0,1,0)</f>
        <v>0</v>
      </c>
      <c r="F524">
        <f>IF(COUNTIFS('United Data'!$A$3:$A$3390,F$1,'United Data'!$C$3:$C$3390,$A524,'United Data'!$B$3:$B$3390,"&lt;&gt;Off-street")&gt;0,1,0)</f>
        <v>1</v>
      </c>
      <c r="G524">
        <f>IF(COUNTIFS('United Data'!$A$3:$A$3390,G$1,'United Data'!$C$3:$C$3390,$A524,'United Data'!$B$3:$B$3390,"&lt;&gt;Off-street")&gt;0,1,0)</f>
        <v>0</v>
      </c>
      <c r="H524">
        <f>IF(COUNTIFS('United Data'!$A$3:$A$3390,H$1,'United Data'!$C$3:$C$3390,$A524,'United Data'!$B$3:$B$3390,"&lt;&gt;Off-street")&gt;0,1,0)</f>
        <v>0</v>
      </c>
      <c r="I524">
        <f>IF(COUNTIFS('United Data'!$A$3:$A$3390,I$1,'United Data'!$C$3:$C$3390,$A524,'United Data'!$B$3:$B$3390,"&lt;&gt;Off-street")&gt;0,1,0)</f>
        <v>0</v>
      </c>
      <c r="J524">
        <f>IF(COUNTIFS('United Data'!$A$3:$A$3390,J$1,'United Data'!$C$3:$C$3390,$A524,'United Data'!$B$3:$B$3390,"&lt;&gt;Off-street")&gt;0,1,0)</f>
        <v>0</v>
      </c>
      <c r="K524">
        <f>IF(COUNTIFS('United Data'!$A$3:$A$3390,K$1,'United Data'!$C$3:$C$3390,$A524,'United Data'!$B$3:$B$3390,"&lt;&gt;Off-street")&gt;0,1,0)</f>
        <v>0</v>
      </c>
      <c r="L524">
        <f>IF(COUNTIFS('United Data'!$A$3:$A$3390,L$1,'United Data'!$C$3:$C$3390,$A524,'United Data'!$B$3:$B$3390,"&lt;&gt;Off-street")&gt;0,1,0)</f>
        <v>0</v>
      </c>
      <c r="M524">
        <f>IF(COUNTIFS('United Data'!$A$3:$A$3390,M$1,'United Data'!$C$3:$C$3390,$A524,'United Data'!$B$3:$B$3390,"&lt;&gt;Off-street")&gt;0,1,0)</f>
        <v>0</v>
      </c>
      <c r="N524">
        <f>IF(COUNTIFS('United Data'!$A$3:$A$3390,N$1,'United Data'!$C$3:$C$3390,$A524,'United Data'!$B$3:$B$3390,"&lt;&gt;Off-street")&gt;0,1,0)</f>
        <v>0</v>
      </c>
      <c r="O524">
        <f>IF(COUNTIFS('United Data'!$A$3:$A$3390,O$1,'United Data'!$C$3:$C$3390,$A524,'United Data'!$B$3:$B$3390,"&lt;&gt;Off-street")&gt;0,1,0)</f>
        <v>0</v>
      </c>
      <c r="P524">
        <f>IF(COUNTIFS('United Data'!$A$3:$A$3390,P$1,'United Data'!$C$3:$C$3390,$A524,'United Data'!$B$3:$B$3390,"&lt;&gt;Off-street")&gt;0,1,0)</f>
        <v>0</v>
      </c>
      <c r="Q524">
        <f>IF(COUNTIFS('United Data'!$A$3:$A$3390,Q$1,'United Data'!$C$3:$C$3390,$A524,'United Data'!$B$3:$B$3390,"&lt;&gt;Off-street")&gt;0,1,0)</f>
        <v>0</v>
      </c>
      <c r="R524">
        <f>IF(COUNTIFS('United Data'!$A$3:$A$3390,R$1,'United Data'!$C$3:$C$3390,$A524,'United Data'!$B$3:$B$3390,"&lt;&gt;Off-street")&gt;0,1,0)</f>
        <v>0</v>
      </c>
      <c r="S524">
        <f t="shared" si="16"/>
        <v>1</v>
      </c>
      <c r="T524">
        <f t="shared" si="17"/>
        <v>1</v>
      </c>
    </row>
    <row r="525" spans="1:20" x14ac:dyDescent="0.2">
      <c r="A525" t="s">
        <v>639</v>
      </c>
      <c r="B525">
        <f>IF(COUNTIFS('United Data'!$A$3:$A$3390,B$1,'United Data'!$C$3:$C$3390,$A525,'United Data'!$B$3:$B$3390,"&lt;&gt;Off-street")&gt;0,1,0)</f>
        <v>0</v>
      </c>
      <c r="C525">
        <f>IF(COUNTIFS('United Data'!$A$3:$A$3390,C$1,'United Data'!$C$3:$C$3390,$A525,'United Data'!$B$3:$B$3390,"&lt;&gt;Off-street")&gt;0,1,0)</f>
        <v>0</v>
      </c>
      <c r="D525">
        <f>IF(COUNTIFS('United Data'!$A$3:$A$3390,D$1,'United Data'!$C$3:$C$3390,$A525,'United Data'!$B$3:$B$3390,"&lt;&gt;Off-street")&gt;0,1,0)</f>
        <v>0</v>
      </c>
      <c r="E525">
        <f>IF(COUNTIFS('United Data'!$A$3:$A$3390,E$1,'United Data'!$C$3:$C$3390,$A525,'United Data'!$B$3:$B$3390,"&lt;&gt;Off-street")&gt;0,1,0)</f>
        <v>0</v>
      </c>
      <c r="F525">
        <f>IF(COUNTIFS('United Data'!$A$3:$A$3390,F$1,'United Data'!$C$3:$C$3390,$A525,'United Data'!$B$3:$B$3390,"&lt;&gt;Off-street")&gt;0,1,0)</f>
        <v>1</v>
      </c>
      <c r="G525">
        <f>IF(COUNTIFS('United Data'!$A$3:$A$3390,G$1,'United Data'!$C$3:$C$3390,$A525,'United Data'!$B$3:$B$3390,"&lt;&gt;Off-street")&gt;0,1,0)</f>
        <v>0</v>
      </c>
      <c r="H525">
        <f>IF(COUNTIFS('United Data'!$A$3:$A$3390,H$1,'United Data'!$C$3:$C$3390,$A525,'United Data'!$B$3:$B$3390,"&lt;&gt;Off-street")&gt;0,1,0)</f>
        <v>0</v>
      </c>
      <c r="I525">
        <f>IF(COUNTIFS('United Data'!$A$3:$A$3390,I$1,'United Data'!$C$3:$C$3390,$A525,'United Data'!$B$3:$B$3390,"&lt;&gt;Off-street")&gt;0,1,0)</f>
        <v>0</v>
      </c>
      <c r="J525">
        <f>IF(COUNTIFS('United Data'!$A$3:$A$3390,J$1,'United Data'!$C$3:$C$3390,$A525,'United Data'!$B$3:$B$3390,"&lt;&gt;Off-street")&gt;0,1,0)</f>
        <v>0</v>
      </c>
      <c r="K525">
        <f>IF(COUNTIFS('United Data'!$A$3:$A$3390,K$1,'United Data'!$C$3:$C$3390,$A525,'United Data'!$B$3:$B$3390,"&lt;&gt;Off-street")&gt;0,1,0)</f>
        <v>0</v>
      </c>
      <c r="L525">
        <f>IF(COUNTIFS('United Data'!$A$3:$A$3390,L$1,'United Data'!$C$3:$C$3390,$A525,'United Data'!$B$3:$B$3390,"&lt;&gt;Off-street")&gt;0,1,0)</f>
        <v>0</v>
      </c>
      <c r="M525">
        <f>IF(COUNTIFS('United Data'!$A$3:$A$3390,M$1,'United Data'!$C$3:$C$3390,$A525,'United Data'!$B$3:$B$3390,"&lt;&gt;Off-street")&gt;0,1,0)</f>
        <v>0</v>
      </c>
      <c r="N525">
        <f>IF(COUNTIFS('United Data'!$A$3:$A$3390,N$1,'United Data'!$C$3:$C$3390,$A525,'United Data'!$B$3:$B$3390,"&lt;&gt;Off-street")&gt;0,1,0)</f>
        <v>0</v>
      </c>
      <c r="O525">
        <f>IF(COUNTIFS('United Data'!$A$3:$A$3390,O$1,'United Data'!$C$3:$C$3390,$A525,'United Data'!$B$3:$B$3390,"&lt;&gt;Off-street")&gt;0,1,0)</f>
        <v>0</v>
      </c>
      <c r="P525">
        <f>IF(COUNTIFS('United Data'!$A$3:$A$3390,P$1,'United Data'!$C$3:$C$3390,$A525,'United Data'!$B$3:$B$3390,"&lt;&gt;Off-street")&gt;0,1,0)</f>
        <v>0</v>
      </c>
      <c r="Q525">
        <f>IF(COUNTIFS('United Data'!$A$3:$A$3390,Q$1,'United Data'!$C$3:$C$3390,$A525,'United Data'!$B$3:$B$3390,"&lt;&gt;Off-street")&gt;0,1,0)</f>
        <v>0</v>
      </c>
      <c r="R525">
        <f>IF(COUNTIFS('United Data'!$A$3:$A$3390,R$1,'United Data'!$C$3:$C$3390,$A525,'United Data'!$B$3:$B$3390,"&lt;&gt;Off-street")&gt;0,1,0)</f>
        <v>0</v>
      </c>
      <c r="S525">
        <f t="shared" si="16"/>
        <v>1</v>
      </c>
      <c r="T525">
        <f t="shared" si="17"/>
        <v>1</v>
      </c>
    </row>
    <row r="526" spans="1:20" x14ac:dyDescent="0.2">
      <c r="A526" t="s">
        <v>640</v>
      </c>
      <c r="B526">
        <f>IF(COUNTIFS('United Data'!$A$3:$A$3390,B$1,'United Data'!$C$3:$C$3390,$A526,'United Data'!$B$3:$B$3390,"&lt;&gt;Off-street")&gt;0,1,0)</f>
        <v>0</v>
      </c>
      <c r="C526">
        <f>IF(COUNTIFS('United Data'!$A$3:$A$3390,C$1,'United Data'!$C$3:$C$3390,$A526,'United Data'!$B$3:$B$3390,"&lt;&gt;Off-street")&gt;0,1,0)</f>
        <v>0</v>
      </c>
      <c r="D526">
        <f>IF(COUNTIFS('United Data'!$A$3:$A$3390,D$1,'United Data'!$C$3:$C$3390,$A526,'United Data'!$B$3:$B$3390,"&lt;&gt;Off-street")&gt;0,1,0)</f>
        <v>0</v>
      </c>
      <c r="E526">
        <f>IF(COUNTIFS('United Data'!$A$3:$A$3390,E$1,'United Data'!$C$3:$C$3390,$A526,'United Data'!$B$3:$B$3390,"&lt;&gt;Off-street")&gt;0,1,0)</f>
        <v>0</v>
      </c>
      <c r="F526">
        <f>IF(COUNTIFS('United Data'!$A$3:$A$3390,F$1,'United Data'!$C$3:$C$3390,$A526,'United Data'!$B$3:$B$3390,"&lt;&gt;Off-street")&gt;0,1,0)</f>
        <v>1</v>
      </c>
      <c r="G526">
        <f>IF(COUNTIFS('United Data'!$A$3:$A$3390,G$1,'United Data'!$C$3:$C$3390,$A526,'United Data'!$B$3:$B$3390,"&lt;&gt;Off-street")&gt;0,1,0)</f>
        <v>0</v>
      </c>
      <c r="H526">
        <f>IF(COUNTIFS('United Data'!$A$3:$A$3390,H$1,'United Data'!$C$3:$C$3390,$A526,'United Data'!$B$3:$B$3390,"&lt;&gt;Off-street")&gt;0,1,0)</f>
        <v>0</v>
      </c>
      <c r="I526">
        <f>IF(COUNTIFS('United Data'!$A$3:$A$3390,I$1,'United Data'!$C$3:$C$3390,$A526,'United Data'!$B$3:$B$3390,"&lt;&gt;Off-street")&gt;0,1,0)</f>
        <v>0</v>
      </c>
      <c r="J526">
        <f>IF(COUNTIFS('United Data'!$A$3:$A$3390,J$1,'United Data'!$C$3:$C$3390,$A526,'United Data'!$B$3:$B$3390,"&lt;&gt;Off-street")&gt;0,1,0)</f>
        <v>0</v>
      </c>
      <c r="K526">
        <f>IF(COUNTIFS('United Data'!$A$3:$A$3390,K$1,'United Data'!$C$3:$C$3390,$A526,'United Data'!$B$3:$B$3390,"&lt;&gt;Off-street")&gt;0,1,0)</f>
        <v>1</v>
      </c>
      <c r="L526">
        <f>IF(COUNTIFS('United Data'!$A$3:$A$3390,L$1,'United Data'!$C$3:$C$3390,$A526,'United Data'!$B$3:$B$3390,"&lt;&gt;Off-street")&gt;0,1,0)</f>
        <v>0</v>
      </c>
      <c r="M526">
        <f>IF(COUNTIFS('United Data'!$A$3:$A$3390,M$1,'United Data'!$C$3:$C$3390,$A526,'United Data'!$B$3:$B$3390,"&lt;&gt;Off-street")&gt;0,1,0)</f>
        <v>0</v>
      </c>
      <c r="N526">
        <f>IF(COUNTIFS('United Data'!$A$3:$A$3390,N$1,'United Data'!$C$3:$C$3390,$A526,'United Data'!$B$3:$B$3390,"&lt;&gt;Off-street")&gt;0,1,0)</f>
        <v>0</v>
      </c>
      <c r="O526">
        <f>IF(COUNTIFS('United Data'!$A$3:$A$3390,O$1,'United Data'!$C$3:$C$3390,$A526,'United Data'!$B$3:$B$3390,"&lt;&gt;Off-street")&gt;0,1,0)</f>
        <v>0</v>
      </c>
      <c r="P526">
        <f>IF(COUNTIFS('United Data'!$A$3:$A$3390,P$1,'United Data'!$C$3:$C$3390,$A526,'United Data'!$B$3:$B$3390,"&lt;&gt;Off-street")&gt;0,1,0)</f>
        <v>0</v>
      </c>
      <c r="Q526">
        <f>IF(COUNTIFS('United Data'!$A$3:$A$3390,Q$1,'United Data'!$C$3:$C$3390,$A526,'United Data'!$B$3:$B$3390,"&lt;&gt;Off-street")&gt;0,1,0)</f>
        <v>0</v>
      </c>
      <c r="R526">
        <f>IF(COUNTIFS('United Data'!$A$3:$A$3390,R$1,'United Data'!$C$3:$C$3390,$A526,'United Data'!$B$3:$B$3390,"&lt;&gt;Off-street")&gt;0,1,0)</f>
        <v>0</v>
      </c>
      <c r="S526">
        <f t="shared" si="16"/>
        <v>2</v>
      </c>
      <c r="T526">
        <f t="shared" si="17"/>
        <v>2</v>
      </c>
    </row>
    <row r="527" spans="1:20" x14ac:dyDescent="0.2">
      <c r="A527" t="s">
        <v>642</v>
      </c>
      <c r="B527">
        <f>IF(COUNTIFS('United Data'!$A$3:$A$3390,B$1,'United Data'!$C$3:$C$3390,$A527,'United Data'!$B$3:$B$3390,"&lt;&gt;Off-street")&gt;0,1,0)</f>
        <v>0</v>
      </c>
      <c r="C527">
        <f>IF(COUNTIFS('United Data'!$A$3:$A$3390,C$1,'United Data'!$C$3:$C$3390,$A527,'United Data'!$B$3:$B$3390,"&lt;&gt;Off-street")&gt;0,1,0)</f>
        <v>0</v>
      </c>
      <c r="D527">
        <f>IF(COUNTIFS('United Data'!$A$3:$A$3390,D$1,'United Data'!$C$3:$C$3390,$A527,'United Data'!$B$3:$B$3390,"&lt;&gt;Off-street")&gt;0,1,0)</f>
        <v>0</v>
      </c>
      <c r="E527">
        <f>IF(COUNTIFS('United Data'!$A$3:$A$3390,E$1,'United Data'!$C$3:$C$3390,$A527,'United Data'!$B$3:$B$3390,"&lt;&gt;Off-street")&gt;0,1,0)</f>
        <v>0</v>
      </c>
      <c r="F527">
        <f>IF(COUNTIFS('United Data'!$A$3:$A$3390,F$1,'United Data'!$C$3:$C$3390,$A527,'United Data'!$B$3:$B$3390,"&lt;&gt;Off-street")&gt;0,1,0)</f>
        <v>1</v>
      </c>
      <c r="G527">
        <f>IF(COUNTIFS('United Data'!$A$3:$A$3390,G$1,'United Data'!$C$3:$C$3390,$A527,'United Data'!$B$3:$B$3390,"&lt;&gt;Off-street")&gt;0,1,0)</f>
        <v>0</v>
      </c>
      <c r="H527">
        <f>IF(COUNTIFS('United Data'!$A$3:$A$3390,H$1,'United Data'!$C$3:$C$3390,$A527,'United Data'!$B$3:$B$3390,"&lt;&gt;Off-street")&gt;0,1,0)</f>
        <v>0</v>
      </c>
      <c r="I527">
        <f>IF(COUNTIFS('United Data'!$A$3:$A$3390,I$1,'United Data'!$C$3:$C$3390,$A527,'United Data'!$B$3:$B$3390,"&lt;&gt;Off-street")&gt;0,1,0)</f>
        <v>0</v>
      </c>
      <c r="J527">
        <f>IF(COUNTIFS('United Data'!$A$3:$A$3390,J$1,'United Data'!$C$3:$C$3390,$A527,'United Data'!$B$3:$B$3390,"&lt;&gt;Off-street")&gt;0,1,0)</f>
        <v>0</v>
      </c>
      <c r="K527">
        <f>IF(COUNTIFS('United Data'!$A$3:$A$3390,K$1,'United Data'!$C$3:$C$3390,$A527,'United Data'!$B$3:$B$3390,"&lt;&gt;Off-street")&gt;0,1,0)</f>
        <v>0</v>
      </c>
      <c r="L527">
        <f>IF(COUNTIFS('United Data'!$A$3:$A$3390,L$1,'United Data'!$C$3:$C$3390,$A527,'United Data'!$B$3:$B$3390,"&lt;&gt;Off-street")&gt;0,1,0)</f>
        <v>0</v>
      </c>
      <c r="M527">
        <f>IF(COUNTIFS('United Data'!$A$3:$A$3390,M$1,'United Data'!$C$3:$C$3390,$A527,'United Data'!$B$3:$B$3390,"&lt;&gt;Off-street")&gt;0,1,0)</f>
        <v>0</v>
      </c>
      <c r="N527">
        <f>IF(COUNTIFS('United Data'!$A$3:$A$3390,N$1,'United Data'!$C$3:$C$3390,$A527,'United Data'!$B$3:$B$3390,"&lt;&gt;Off-street")&gt;0,1,0)</f>
        <v>0</v>
      </c>
      <c r="O527">
        <f>IF(COUNTIFS('United Data'!$A$3:$A$3390,O$1,'United Data'!$C$3:$C$3390,$A527,'United Data'!$B$3:$B$3390,"&lt;&gt;Off-street")&gt;0,1,0)</f>
        <v>0</v>
      </c>
      <c r="P527">
        <f>IF(COUNTIFS('United Data'!$A$3:$A$3390,P$1,'United Data'!$C$3:$C$3390,$A527,'United Data'!$B$3:$B$3390,"&lt;&gt;Off-street")&gt;0,1,0)</f>
        <v>0</v>
      </c>
      <c r="Q527">
        <f>IF(COUNTIFS('United Data'!$A$3:$A$3390,Q$1,'United Data'!$C$3:$C$3390,$A527,'United Data'!$B$3:$B$3390,"&lt;&gt;Off-street")&gt;0,1,0)</f>
        <v>0</v>
      </c>
      <c r="R527">
        <f>IF(COUNTIFS('United Data'!$A$3:$A$3390,R$1,'United Data'!$C$3:$C$3390,$A527,'United Data'!$B$3:$B$3390,"&lt;&gt;Off-street")&gt;0,1,0)</f>
        <v>0</v>
      </c>
      <c r="S527">
        <f t="shared" si="16"/>
        <v>1</v>
      </c>
      <c r="T527">
        <f t="shared" si="17"/>
        <v>1</v>
      </c>
    </row>
    <row r="528" spans="1:20" x14ac:dyDescent="0.2">
      <c r="A528" t="s">
        <v>643</v>
      </c>
      <c r="B528">
        <f>IF(COUNTIFS('United Data'!$A$3:$A$3390,B$1,'United Data'!$C$3:$C$3390,$A528,'United Data'!$B$3:$B$3390,"&lt;&gt;Off-street")&gt;0,1,0)</f>
        <v>0</v>
      </c>
      <c r="C528">
        <f>IF(COUNTIFS('United Data'!$A$3:$A$3390,C$1,'United Data'!$C$3:$C$3390,$A528,'United Data'!$B$3:$B$3390,"&lt;&gt;Off-street")&gt;0,1,0)</f>
        <v>0</v>
      </c>
      <c r="D528">
        <f>IF(COUNTIFS('United Data'!$A$3:$A$3390,D$1,'United Data'!$C$3:$C$3390,$A528,'United Data'!$B$3:$B$3390,"&lt;&gt;Off-street")&gt;0,1,0)</f>
        <v>0</v>
      </c>
      <c r="E528">
        <f>IF(COUNTIFS('United Data'!$A$3:$A$3390,E$1,'United Data'!$C$3:$C$3390,$A528,'United Data'!$B$3:$B$3390,"&lt;&gt;Off-street")&gt;0,1,0)</f>
        <v>0</v>
      </c>
      <c r="F528">
        <f>IF(COUNTIFS('United Data'!$A$3:$A$3390,F$1,'United Data'!$C$3:$C$3390,$A528,'United Data'!$B$3:$B$3390,"&lt;&gt;Off-street")&gt;0,1,0)</f>
        <v>1</v>
      </c>
      <c r="G528">
        <f>IF(COUNTIFS('United Data'!$A$3:$A$3390,G$1,'United Data'!$C$3:$C$3390,$A528,'United Data'!$B$3:$B$3390,"&lt;&gt;Off-street")&gt;0,1,0)</f>
        <v>0</v>
      </c>
      <c r="H528">
        <f>IF(COUNTIFS('United Data'!$A$3:$A$3390,H$1,'United Data'!$C$3:$C$3390,$A528,'United Data'!$B$3:$B$3390,"&lt;&gt;Off-street")&gt;0,1,0)</f>
        <v>0</v>
      </c>
      <c r="I528">
        <f>IF(COUNTIFS('United Data'!$A$3:$A$3390,I$1,'United Data'!$C$3:$C$3390,$A528,'United Data'!$B$3:$B$3390,"&lt;&gt;Off-street")&gt;0,1,0)</f>
        <v>0</v>
      </c>
      <c r="J528">
        <f>IF(COUNTIFS('United Data'!$A$3:$A$3390,J$1,'United Data'!$C$3:$C$3390,$A528,'United Data'!$B$3:$B$3390,"&lt;&gt;Off-street")&gt;0,1,0)</f>
        <v>0</v>
      </c>
      <c r="K528">
        <f>IF(COUNTIFS('United Data'!$A$3:$A$3390,K$1,'United Data'!$C$3:$C$3390,$A528,'United Data'!$B$3:$B$3390,"&lt;&gt;Off-street")&gt;0,1,0)</f>
        <v>0</v>
      </c>
      <c r="L528">
        <f>IF(COUNTIFS('United Data'!$A$3:$A$3390,L$1,'United Data'!$C$3:$C$3390,$A528,'United Data'!$B$3:$B$3390,"&lt;&gt;Off-street")&gt;0,1,0)</f>
        <v>0</v>
      </c>
      <c r="M528">
        <f>IF(COUNTIFS('United Data'!$A$3:$A$3390,M$1,'United Data'!$C$3:$C$3390,$A528,'United Data'!$B$3:$B$3390,"&lt;&gt;Off-street")&gt;0,1,0)</f>
        <v>0</v>
      </c>
      <c r="N528">
        <f>IF(COUNTIFS('United Data'!$A$3:$A$3390,N$1,'United Data'!$C$3:$C$3390,$A528,'United Data'!$B$3:$B$3390,"&lt;&gt;Off-street")&gt;0,1,0)</f>
        <v>0</v>
      </c>
      <c r="O528">
        <f>IF(COUNTIFS('United Data'!$A$3:$A$3390,O$1,'United Data'!$C$3:$C$3390,$A528,'United Data'!$B$3:$B$3390,"&lt;&gt;Off-street")&gt;0,1,0)</f>
        <v>0</v>
      </c>
      <c r="P528">
        <f>IF(COUNTIFS('United Data'!$A$3:$A$3390,P$1,'United Data'!$C$3:$C$3390,$A528,'United Data'!$B$3:$B$3390,"&lt;&gt;Off-street")&gt;0,1,0)</f>
        <v>0</v>
      </c>
      <c r="Q528">
        <f>IF(COUNTIFS('United Data'!$A$3:$A$3390,Q$1,'United Data'!$C$3:$C$3390,$A528,'United Data'!$B$3:$B$3390,"&lt;&gt;Off-street")&gt;0,1,0)</f>
        <v>0</v>
      </c>
      <c r="R528">
        <f>IF(COUNTIFS('United Data'!$A$3:$A$3390,R$1,'United Data'!$C$3:$C$3390,$A528,'United Data'!$B$3:$B$3390,"&lt;&gt;Off-street")&gt;0,1,0)</f>
        <v>0</v>
      </c>
      <c r="S528">
        <f t="shared" si="16"/>
        <v>1</v>
      </c>
      <c r="T528">
        <f t="shared" si="17"/>
        <v>1</v>
      </c>
    </row>
    <row r="529" spans="1:20" x14ac:dyDescent="0.2">
      <c r="A529" t="s">
        <v>644</v>
      </c>
      <c r="B529">
        <f>IF(COUNTIFS('United Data'!$A$3:$A$3390,B$1,'United Data'!$C$3:$C$3390,$A529,'United Data'!$B$3:$B$3390,"&lt;&gt;Off-street")&gt;0,1,0)</f>
        <v>0</v>
      </c>
      <c r="C529">
        <f>IF(COUNTIFS('United Data'!$A$3:$A$3390,C$1,'United Data'!$C$3:$C$3390,$A529,'United Data'!$B$3:$B$3390,"&lt;&gt;Off-street")&gt;0,1,0)</f>
        <v>0</v>
      </c>
      <c r="D529">
        <f>IF(COUNTIFS('United Data'!$A$3:$A$3390,D$1,'United Data'!$C$3:$C$3390,$A529,'United Data'!$B$3:$B$3390,"&lt;&gt;Off-street")&gt;0,1,0)</f>
        <v>0</v>
      </c>
      <c r="E529">
        <f>IF(COUNTIFS('United Data'!$A$3:$A$3390,E$1,'United Data'!$C$3:$C$3390,$A529,'United Data'!$B$3:$B$3390,"&lt;&gt;Off-street")&gt;0,1,0)</f>
        <v>0</v>
      </c>
      <c r="F529">
        <f>IF(COUNTIFS('United Data'!$A$3:$A$3390,F$1,'United Data'!$C$3:$C$3390,$A529,'United Data'!$B$3:$B$3390,"&lt;&gt;Off-street")&gt;0,1,0)</f>
        <v>1</v>
      </c>
      <c r="G529">
        <f>IF(COUNTIFS('United Data'!$A$3:$A$3390,G$1,'United Data'!$C$3:$C$3390,$A529,'United Data'!$B$3:$B$3390,"&lt;&gt;Off-street")&gt;0,1,0)</f>
        <v>0</v>
      </c>
      <c r="H529">
        <f>IF(COUNTIFS('United Data'!$A$3:$A$3390,H$1,'United Data'!$C$3:$C$3390,$A529,'United Data'!$B$3:$B$3390,"&lt;&gt;Off-street")&gt;0,1,0)</f>
        <v>0</v>
      </c>
      <c r="I529">
        <f>IF(COUNTIFS('United Data'!$A$3:$A$3390,I$1,'United Data'!$C$3:$C$3390,$A529,'United Data'!$B$3:$B$3390,"&lt;&gt;Off-street")&gt;0,1,0)</f>
        <v>0</v>
      </c>
      <c r="J529">
        <f>IF(COUNTIFS('United Data'!$A$3:$A$3390,J$1,'United Data'!$C$3:$C$3390,$A529,'United Data'!$B$3:$B$3390,"&lt;&gt;Off-street")&gt;0,1,0)</f>
        <v>0</v>
      </c>
      <c r="K529">
        <f>IF(COUNTIFS('United Data'!$A$3:$A$3390,K$1,'United Data'!$C$3:$C$3390,$A529,'United Data'!$B$3:$B$3390,"&lt;&gt;Off-street")&gt;0,1,0)</f>
        <v>0</v>
      </c>
      <c r="L529">
        <f>IF(COUNTIFS('United Data'!$A$3:$A$3390,L$1,'United Data'!$C$3:$C$3390,$A529,'United Data'!$B$3:$B$3390,"&lt;&gt;Off-street")&gt;0,1,0)</f>
        <v>0</v>
      </c>
      <c r="M529">
        <f>IF(COUNTIFS('United Data'!$A$3:$A$3390,M$1,'United Data'!$C$3:$C$3390,$A529,'United Data'!$B$3:$B$3390,"&lt;&gt;Off-street")&gt;0,1,0)</f>
        <v>0</v>
      </c>
      <c r="N529">
        <f>IF(COUNTIFS('United Data'!$A$3:$A$3390,N$1,'United Data'!$C$3:$C$3390,$A529,'United Data'!$B$3:$B$3390,"&lt;&gt;Off-street")&gt;0,1,0)</f>
        <v>0</v>
      </c>
      <c r="O529">
        <f>IF(COUNTIFS('United Data'!$A$3:$A$3390,O$1,'United Data'!$C$3:$C$3390,$A529,'United Data'!$B$3:$B$3390,"&lt;&gt;Off-street")&gt;0,1,0)</f>
        <v>0</v>
      </c>
      <c r="P529">
        <f>IF(COUNTIFS('United Data'!$A$3:$A$3390,P$1,'United Data'!$C$3:$C$3390,$A529,'United Data'!$B$3:$B$3390,"&lt;&gt;Off-street")&gt;0,1,0)</f>
        <v>0</v>
      </c>
      <c r="Q529">
        <f>IF(COUNTIFS('United Data'!$A$3:$A$3390,Q$1,'United Data'!$C$3:$C$3390,$A529,'United Data'!$B$3:$B$3390,"&lt;&gt;Off-street")&gt;0,1,0)</f>
        <v>0</v>
      </c>
      <c r="R529">
        <f>IF(COUNTIFS('United Data'!$A$3:$A$3390,R$1,'United Data'!$C$3:$C$3390,$A529,'United Data'!$B$3:$B$3390,"&lt;&gt;Off-street")&gt;0,1,0)</f>
        <v>0</v>
      </c>
      <c r="S529">
        <f t="shared" si="16"/>
        <v>1</v>
      </c>
      <c r="T529">
        <f t="shared" si="17"/>
        <v>1</v>
      </c>
    </row>
    <row r="530" spans="1:20" x14ac:dyDescent="0.2">
      <c r="A530" t="s">
        <v>646</v>
      </c>
      <c r="B530">
        <f>IF(COUNTIFS('United Data'!$A$3:$A$3390,B$1,'United Data'!$C$3:$C$3390,$A530,'United Data'!$B$3:$B$3390,"&lt;&gt;Off-street")&gt;0,1,0)</f>
        <v>0</v>
      </c>
      <c r="C530">
        <f>IF(COUNTIFS('United Data'!$A$3:$A$3390,C$1,'United Data'!$C$3:$C$3390,$A530,'United Data'!$B$3:$B$3390,"&lt;&gt;Off-street")&gt;0,1,0)</f>
        <v>0</v>
      </c>
      <c r="D530">
        <f>IF(COUNTIFS('United Data'!$A$3:$A$3390,D$1,'United Data'!$C$3:$C$3390,$A530,'United Data'!$B$3:$B$3390,"&lt;&gt;Off-street")&gt;0,1,0)</f>
        <v>0</v>
      </c>
      <c r="E530">
        <f>IF(COUNTIFS('United Data'!$A$3:$A$3390,E$1,'United Data'!$C$3:$C$3390,$A530,'United Data'!$B$3:$B$3390,"&lt;&gt;Off-street")&gt;0,1,0)</f>
        <v>0</v>
      </c>
      <c r="F530">
        <f>IF(COUNTIFS('United Data'!$A$3:$A$3390,F$1,'United Data'!$C$3:$C$3390,$A530,'United Data'!$B$3:$B$3390,"&lt;&gt;Off-street")&gt;0,1,0)</f>
        <v>1</v>
      </c>
      <c r="G530">
        <f>IF(COUNTIFS('United Data'!$A$3:$A$3390,G$1,'United Data'!$C$3:$C$3390,$A530,'United Data'!$B$3:$B$3390,"&lt;&gt;Off-street")&gt;0,1,0)</f>
        <v>0</v>
      </c>
      <c r="H530">
        <f>IF(COUNTIFS('United Data'!$A$3:$A$3390,H$1,'United Data'!$C$3:$C$3390,$A530,'United Data'!$B$3:$B$3390,"&lt;&gt;Off-street")&gt;0,1,0)</f>
        <v>0</v>
      </c>
      <c r="I530">
        <f>IF(COUNTIFS('United Data'!$A$3:$A$3390,I$1,'United Data'!$C$3:$C$3390,$A530,'United Data'!$B$3:$B$3390,"&lt;&gt;Off-street")&gt;0,1,0)</f>
        <v>0</v>
      </c>
      <c r="J530">
        <f>IF(COUNTIFS('United Data'!$A$3:$A$3390,J$1,'United Data'!$C$3:$C$3390,$A530,'United Data'!$B$3:$B$3390,"&lt;&gt;Off-street")&gt;0,1,0)</f>
        <v>0</v>
      </c>
      <c r="K530">
        <f>IF(COUNTIFS('United Data'!$A$3:$A$3390,K$1,'United Data'!$C$3:$C$3390,$A530,'United Data'!$B$3:$B$3390,"&lt;&gt;Off-street")&gt;0,1,0)</f>
        <v>0</v>
      </c>
      <c r="L530">
        <f>IF(COUNTIFS('United Data'!$A$3:$A$3390,L$1,'United Data'!$C$3:$C$3390,$A530,'United Data'!$B$3:$B$3390,"&lt;&gt;Off-street")&gt;0,1,0)</f>
        <v>0</v>
      </c>
      <c r="M530">
        <f>IF(COUNTIFS('United Data'!$A$3:$A$3390,M$1,'United Data'!$C$3:$C$3390,$A530,'United Data'!$B$3:$B$3390,"&lt;&gt;Off-street")&gt;0,1,0)</f>
        <v>0</v>
      </c>
      <c r="N530">
        <f>IF(COUNTIFS('United Data'!$A$3:$A$3390,N$1,'United Data'!$C$3:$C$3390,$A530,'United Data'!$B$3:$B$3390,"&lt;&gt;Off-street")&gt;0,1,0)</f>
        <v>0</v>
      </c>
      <c r="O530">
        <f>IF(COUNTIFS('United Data'!$A$3:$A$3390,O$1,'United Data'!$C$3:$C$3390,$A530,'United Data'!$B$3:$B$3390,"&lt;&gt;Off-street")&gt;0,1,0)</f>
        <v>0</v>
      </c>
      <c r="P530">
        <f>IF(COUNTIFS('United Data'!$A$3:$A$3390,P$1,'United Data'!$C$3:$C$3390,$A530,'United Data'!$B$3:$B$3390,"&lt;&gt;Off-street")&gt;0,1,0)</f>
        <v>0</v>
      </c>
      <c r="Q530">
        <f>IF(COUNTIFS('United Data'!$A$3:$A$3390,Q$1,'United Data'!$C$3:$C$3390,$A530,'United Data'!$B$3:$B$3390,"&lt;&gt;Off-street")&gt;0,1,0)</f>
        <v>0</v>
      </c>
      <c r="R530">
        <f>IF(COUNTIFS('United Data'!$A$3:$A$3390,R$1,'United Data'!$C$3:$C$3390,$A530,'United Data'!$B$3:$B$3390,"&lt;&gt;Off-street")&gt;0,1,0)</f>
        <v>0</v>
      </c>
      <c r="S530">
        <f t="shared" si="16"/>
        <v>1</v>
      </c>
      <c r="T530">
        <f t="shared" si="17"/>
        <v>1</v>
      </c>
    </row>
    <row r="531" spans="1:20" x14ac:dyDescent="0.2">
      <c r="A531" t="s">
        <v>647</v>
      </c>
      <c r="B531">
        <f>IF(COUNTIFS('United Data'!$A$3:$A$3390,B$1,'United Data'!$C$3:$C$3390,$A531,'United Data'!$B$3:$B$3390,"&lt;&gt;Off-street")&gt;0,1,0)</f>
        <v>0</v>
      </c>
      <c r="C531">
        <f>IF(COUNTIFS('United Data'!$A$3:$A$3390,C$1,'United Data'!$C$3:$C$3390,$A531,'United Data'!$B$3:$B$3390,"&lt;&gt;Off-street")&gt;0,1,0)</f>
        <v>0</v>
      </c>
      <c r="D531">
        <f>IF(COUNTIFS('United Data'!$A$3:$A$3390,D$1,'United Data'!$C$3:$C$3390,$A531,'United Data'!$B$3:$B$3390,"&lt;&gt;Off-street")&gt;0,1,0)</f>
        <v>0</v>
      </c>
      <c r="E531">
        <f>IF(COUNTIFS('United Data'!$A$3:$A$3390,E$1,'United Data'!$C$3:$C$3390,$A531,'United Data'!$B$3:$B$3390,"&lt;&gt;Off-street")&gt;0,1,0)</f>
        <v>0</v>
      </c>
      <c r="F531">
        <f>IF(COUNTIFS('United Data'!$A$3:$A$3390,F$1,'United Data'!$C$3:$C$3390,$A531,'United Data'!$B$3:$B$3390,"&lt;&gt;Off-street")&gt;0,1,0)</f>
        <v>0</v>
      </c>
      <c r="G531">
        <f>IF(COUNTIFS('United Data'!$A$3:$A$3390,G$1,'United Data'!$C$3:$C$3390,$A531,'United Data'!$B$3:$B$3390,"&lt;&gt;Off-street")&gt;0,1,0)</f>
        <v>1</v>
      </c>
      <c r="H531">
        <f>IF(COUNTIFS('United Data'!$A$3:$A$3390,H$1,'United Data'!$C$3:$C$3390,$A531,'United Data'!$B$3:$B$3390,"&lt;&gt;Off-street")&gt;0,1,0)</f>
        <v>0</v>
      </c>
      <c r="I531">
        <f>IF(COUNTIFS('United Data'!$A$3:$A$3390,I$1,'United Data'!$C$3:$C$3390,$A531,'United Data'!$B$3:$B$3390,"&lt;&gt;Off-street")&gt;0,1,0)</f>
        <v>0</v>
      </c>
      <c r="J531">
        <f>IF(COUNTIFS('United Data'!$A$3:$A$3390,J$1,'United Data'!$C$3:$C$3390,$A531,'United Data'!$B$3:$B$3390,"&lt;&gt;Off-street")&gt;0,1,0)</f>
        <v>1</v>
      </c>
      <c r="K531">
        <f>IF(COUNTIFS('United Data'!$A$3:$A$3390,K$1,'United Data'!$C$3:$C$3390,$A531,'United Data'!$B$3:$B$3390,"&lt;&gt;Off-street")&gt;0,1,0)</f>
        <v>1</v>
      </c>
      <c r="L531">
        <f>IF(COUNTIFS('United Data'!$A$3:$A$3390,L$1,'United Data'!$C$3:$C$3390,$A531,'United Data'!$B$3:$B$3390,"&lt;&gt;Off-street")&gt;0,1,0)</f>
        <v>0</v>
      </c>
      <c r="M531">
        <f>IF(COUNTIFS('United Data'!$A$3:$A$3390,M$1,'United Data'!$C$3:$C$3390,$A531,'United Data'!$B$3:$B$3390,"&lt;&gt;Off-street")&gt;0,1,0)</f>
        <v>0</v>
      </c>
      <c r="N531">
        <f>IF(COUNTIFS('United Data'!$A$3:$A$3390,N$1,'United Data'!$C$3:$C$3390,$A531,'United Data'!$B$3:$B$3390,"&lt;&gt;Off-street")&gt;0,1,0)</f>
        <v>0</v>
      </c>
      <c r="O531">
        <f>IF(COUNTIFS('United Data'!$A$3:$A$3390,O$1,'United Data'!$C$3:$C$3390,$A531,'United Data'!$B$3:$B$3390,"&lt;&gt;Off-street")&gt;0,1,0)</f>
        <v>0</v>
      </c>
      <c r="P531">
        <f>IF(COUNTIFS('United Data'!$A$3:$A$3390,P$1,'United Data'!$C$3:$C$3390,$A531,'United Data'!$B$3:$B$3390,"&lt;&gt;Off-street")&gt;0,1,0)</f>
        <v>0</v>
      </c>
      <c r="Q531">
        <f>IF(COUNTIFS('United Data'!$A$3:$A$3390,Q$1,'United Data'!$C$3:$C$3390,$A531,'United Data'!$B$3:$B$3390,"&lt;&gt;Off-street")&gt;0,1,0)</f>
        <v>0</v>
      </c>
      <c r="R531">
        <f>IF(COUNTIFS('United Data'!$A$3:$A$3390,R$1,'United Data'!$C$3:$C$3390,$A531,'United Data'!$B$3:$B$3390,"&lt;&gt;Off-street")&gt;0,1,0)</f>
        <v>0</v>
      </c>
      <c r="S531">
        <f t="shared" si="16"/>
        <v>3</v>
      </c>
      <c r="T531">
        <f t="shared" si="17"/>
        <v>2</v>
      </c>
    </row>
    <row r="532" spans="1:20" x14ac:dyDescent="0.2">
      <c r="A532" t="s">
        <v>648</v>
      </c>
      <c r="B532">
        <f>IF(COUNTIFS('United Data'!$A$3:$A$3390,B$1,'United Data'!$C$3:$C$3390,$A532,'United Data'!$B$3:$B$3390,"&lt;&gt;Off-street")&gt;0,1,0)</f>
        <v>0</v>
      </c>
      <c r="C532">
        <f>IF(COUNTIFS('United Data'!$A$3:$A$3390,C$1,'United Data'!$C$3:$C$3390,$A532,'United Data'!$B$3:$B$3390,"&lt;&gt;Off-street")&gt;0,1,0)</f>
        <v>0</v>
      </c>
      <c r="D532">
        <f>IF(COUNTIFS('United Data'!$A$3:$A$3390,D$1,'United Data'!$C$3:$C$3390,$A532,'United Data'!$B$3:$B$3390,"&lt;&gt;Off-street")&gt;0,1,0)</f>
        <v>0</v>
      </c>
      <c r="E532">
        <f>IF(COUNTIFS('United Data'!$A$3:$A$3390,E$1,'United Data'!$C$3:$C$3390,$A532,'United Data'!$B$3:$B$3390,"&lt;&gt;Off-street")&gt;0,1,0)</f>
        <v>0</v>
      </c>
      <c r="F532">
        <f>IF(COUNTIFS('United Data'!$A$3:$A$3390,F$1,'United Data'!$C$3:$C$3390,$A532,'United Data'!$B$3:$B$3390,"&lt;&gt;Off-street")&gt;0,1,0)</f>
        <v>0</v>
      </c>
      <c r="G532">
        <f>IF(COUNTIFS('United Data'!$A$3:$A$3390,G$1,'United Data'!$C$3:$C$3390,$A532,'United Data'!$B$3:$B$3390,"&lt;&gt;Off-street")&gt;0,1,0)</f>
        <v>1</v>
      </c>
      <c r="H532">
        <f>IF(COUNTIFS('United Data'!$A$3:$A$3390,H$1,'United Data'!$C$3:$C$3390,$A532,'United Data'!$B$3:$B$3390,"&lt;&gt;Off-street")&gt;0,1,0)</f>
        <v>0</v>
      </c>
      <c r="I532">
        <f>IF(COUNTIFS('United Data'!$A$3:$A$3390,I$1,'United Data'!$C$3:$C$3390,$A532,'United Data'!$B$3:$B$3390,"&lt;&gt;Off-street")&gt;0,1,0)</f>
        <v>0</v>
      </c>
      <c r="J532">
        <f>IF(COUNTIFS('United Data'!$A$3:$A$3390,J$1,'United Data'!$C$3:$C$3390,$A532,'United Data'!$B$3:$B$3390,"&lt;&gt;Off-street")&gt;0,1,0)</f>
        <v>0</v>
      </c>
      <c r="K532">
        <f>IF(COUNTIFS('United Data'!$A$3:$A$3390,K$1,'United Data'!$C$3:$C$3390,$A532,'United Data'!$B$3:$B$3390,"&lt;&gt;Off-street")&gt;0,1,0)</f>
        <v>1</v>
      </c>
      <c r="L532">
        <f>IF(COUNTIFS('United Data'!$A$3:$A$3390,L$1,'United Data'!$C$3:$C$3390,$A532,'United Data'!$B$3:$B$3390,"&lt;&gt;Off-street")&gt;0,1,0)</f>
        <v>0</v>
      </c>
      <c r="M532">
        <f>IF(COUNTIFS('United Data'!$A$3:$A$3390,M$1,'United Data'!$C$3:$C$3390,$A532,'United Data'!$B$3:$B$3390,"&lt;&gt;Off-street")&gt;0,1,0)</f>
        <v>0</v>
      </c>
      <c r="N532">
        <f>IF(COUNTIFS('United Data'!$A$3:$A$3390,N$1,'United Data'!$C$3:$C$3390,$A532,'United Data'!$B$3:$B$3390,"&lt;&gt;Off-street")&gt;0,1,0)</f>
        <v>0</v>
      </c>
      <c r="O532">
        <f>IF(COUNTIFS('United Data'!$A$3:$A$3390,O$1,'United Data'!$C$3:$C$3390,$A532,'United Data'!$B$3:$B$3390,"&lt;&gt;Off-street")&gt;0,1,0)</f>
        <v>0</v>
      </c>
      <c r="P532">
        <f>IF(COUNTIFS('United Data'!$A$3:$A$3390,P$1,'United Data'!$C$3:$C$3390,$A532,'United Data'!$B$3:$B$3390,"&lt;&gt;Off-street")&gt;0,1,0)</f>
        <v>0</v>
      </c>
      <c r="Q532">
        <f>IF(COUNTIFS('United Data'!$A$3:$A$3390,Q$1,'United Data'!$C$3:$C$3390,$A532,'United Data'!$B$3:$B$3390,"&lt;&gt;Off-street")&gt;0,1,0)</f>
        <v>0</v>
      </c>
      <c r="R532">
        <f>IF(COUNTIFS('United Data'!$A$3:$A$3390,R$1,'United Data'!$C$3:$C$3390,$A532,'United Data'!$B$3:$B$3390,"&lt;&gt;Off-street")&gt;0,1,0)</f>
        <v>0</v>
      </c>
      <c r="S532">
        <f t="shared" si="16"/>
        <v>2</v>
      </c>
      <c r="T532">
        <f t="shared" si="17"/>
        <v>2</v>
      </c>
    </row>
    <row r="533" spans="1:20" x14ac:dyDescent="0.2">
      <c r="A533" t="s">
        <v>649</v>
      </c>
      <c r="B533">
        <f>IF(COUNTIFS('United Data'!$A$3:$A$3390,B$1,'United Data'!$C$3:$C$3390,$A533,'United Data'!$B$3:$B$3390,"&lt;&gt;Off-street")&gt;0,1,0)</f>
        <v>0</v>
      </c>
      <c r="C533">
        <f>IF(COUNTIFS('United Data'!$A$3:$A$3390,C$1,'United Data'!$C$3:$C$3390,$A533,'United Data'!$B$3:$B$3390,"&lt;&gt;Off-street")&gt;0,1,0)</f>
        <v>0</v>
      </c>
      <c r="D533">
        <f>IF(COUNTIFS('United Data'!$A$3:$A$3390,D$1,'United Data'!$C$3:$C$3390,$A533,'United Data'!$B$3:$B$3390,"&lt;&gt;Off-street")&gt;0,1,0)</f>
        <v>0</v>
      </c>
      <c r="E533">
        <f>IF(COUNTIFS('United Data'!$A$3:$A$3390,E$1,'United Data'!$C$3:$C$3390,$A533,'United Data'!$B$3:$B$3390,"&lt;&gt;Off-street")&gt;0,1,0)</f>
        <v>0</v>
      </c>
      <c r="F533">
        <f>IF(COUNTIFS('United Data'!$A$3:$A$3390,F$1,'United Data'!$C$3:$C$3390,$A533,'United Data'!$B$3:$B$3390,"&lt;&gt;Off-street")&gt;0,1,0)</f>
        <v>0</v>
      </c>
      <c r="G533">
        <f>IF(COUNTIFS('United Data'!$A$3:$A$3390,G$1,'United Data'!$C$3:$C$3390,$A533,'United Data'!$B$3:$B$3390,"&lt;&gt;Off-street")&gt;0,1,0)</f>
        <v>1</v>
      </c>
      <c r="H533">
        <f>IF(COUNTIFS('United Data'!$A$3:$A$3390,H$1,'United Data'!$C$3:$C$3390,$A533,'United Data'!$B$3:$B$3390,"&lt;&gt;Off-street")&gt;0,1,0)</f>
        <v>0</v>
      </c>
      <c r="I533">
        <f>IF(COUNTIFS('United Data'!$A$3:$A$3390,I$1,'United Data'!$C$3:$C$3390,$A533,'United Data'!$B$3:$B$3390,"&lt;&gt;Off-street")&gt;0,1,0)</f>
        <v>0</v>
      </c>
      <c r="J533">
        <f>IF(COUNTIFS('United Data'!$A$3:$A$3390,J$1,'United Data'!$C$3:$C$3390,$A533,'United Data'!$B$3:$B$3390,"&lt;&gt;Off-street")&gt;0,1,0)</f>
        <v>0</v>
      </c>
      <c r="K533">
        <f>IF(COUNTIFS('United Data'!$A$3:$A$3390,K$1,'United Data'!$C$3:$C$3390,$A533,'United Data'!$B$3:$B$3390,"&lt;&gt;Off-street")&gt;0,1,0)</f>
        <v>0</v>
      </c>
      <c r="L533">
        <f>IF(COUNTIFS('United Data'!$A$3:$A$3390,L$1,'United Data'!$C$3:$C$3390,$A533,'United Data'!$B$3:$B$3390,"&lt;&gt;Off-street")&gt;0,1,0)</f>
        <v>0</v>
      </c>
      <c r="M533">
        <f>IF(COUNTIFS('United Data'!$A$3:$A$3390,M$1,'United Data'!$C$3:$C$3390,$A533,'United Data'!$B$3:$B$3390,"&lt;&gt;Off-street")&gt;0,1,0)</f>
        <v>0</v>
      </c>
      <c r="N533">
        <f>IF(COUNTIFS('United Data'!$A$3:$A$3390,N$1,'United Data'!$C$3:$C$3390,$A533,'United Data'!$B$3:$B$3390,"&lt;&gt;Off-street")&gt;0,1,0)</f>
        <v>0</v>
      </c>
      <c r="O533">
        <f>IF(COUNTIFS('United Data'!$A$3:$A$3390,O$1,'United Data'!$C$3:$C$3390,$A533,'United Data'!$B$3:$B$3390,"&lt;&gt;Off-street")&gt;0,1,0)</f>
        <v>0</v>
      </c>
      <c r="P533">
        <f>IF(COUNTIFS('United Data'!$A$3:$A$3390,P$1,'United Data'!$C$3:$C$3390,$A533,'United Data'!$B$3:$B$3390,"&lt;&gt;Off-street")&gt;0,1,0)</f>
        <v>0</v>
      </c>
      <c r="Q533">
        <f>IF(COUNTIFS('United Data'!$A$3:$A$3390,Q$1,'United Data'!$C$3:$C$3390,$A533,'United Data'!$B$3:$B$3390,"&lt;&gt;Off-street")&gt;0,1,0)</f>
        <v>0</v>
      </c>
      <c r="R533">
        <f>IF(COUNTIFS('United Data'!$A$3:$A$3390,R$1,'United Data'!$C$3:$C$3390,$A533,'United Data'!$B$3:$B$3390,"&lt;&gt;Off-street")&gt;0,1,0)</f>
        <v>0</v>
      </c>
      <c r="S533">
        <f t="shared" si="16"/>
        <v>1</v>
      </c>
      <c r="T533">
        <f t="shared" si="17"/>
        <v>1</v>
      </c>
    </row>
    <row r="534" spans="1:20" x14ac:dyDescent="0.2">
      <c r="A534" t="s">
        <v>650</v>
      </c>
      <c r="B534">
        <f>IF(COUNTIFS('United Data'!$A$3:$A$3390,B$1,'United Data'!$C$3:$C$3390,$A534,'United Data'!$B$3:$B$3390,"&lt;&gt;Off-street")&gt;0,1,0)</f>
        <v>0</v>
      </c>
      <c r="C534">
        <f>IF(COUNTIFS('United Data'!$A$3:$A$3390,C$1,'United Data'!$C$3:$C$3390,$A534,'United Data'!$B$3:$B$3390,"&lt;&gt;Off-street")&gt;0,1,0)</f>
        <v>0</v>
      </c>
      <c r="D534">
        <f>IF(COUNTIFS('United Data'!$A$3:$A$3390,D$1,'United Data'!$C$3:$C$3390,$A534,'United Data'!$B$3:$B$3390,"&lt;&gt;Off-street")&gt;0,1,0)</f>
        <v>0</v>
      </c>
      <c r="E534">
        <f>IF(COUNTIFS('United Data'!$A$3:$A$3390,E$1,'United Data'!$C$3:$C$3390,$A534,'United Data'!$B$3:$B$3390,"&lt;&gt;Off-street")&gt;0,1,0)</f>
        <v>0</v>
      </c>
      <c r="F534">
        <f>IF(COUNTIFS('United Data'!$A$3:$A$3390,F$1,'United Data'!$C$3:$C$3390,$A534,'United Data'!$B$3:$B$3390,"&lt;&gt;Off-street")&gt;0,1,0)</f>
        <v>0</v>
      </c>
      <c r="G534">
        <f>IF(COUNTIFS('United Data'!$A$3:$A$3390,G$1,'United Data'!$C$3:$C$3390,$A534,'United Data'!$B$3:$B$3390,"&lt;&gt;Off-street")&gt;0,1,0)</f>
        <v>1</v>
      </c>
      <c r="H534">
        <f>IF(COUNTIFS('United Data'!$A$3:$A$3390,H$1,'United Data'!$C$3:$C$3390,$A534,'United Data'!$B$3:$B$3390,"&lt;&gt;Off-street")&gt;0,1,0)</f>
        <v>0</v>
      </c>
      <c r="I534">
        <f>IF(COUNTIFS('United Data'!$A$3:$A$3390,I$1,'United Data'!$C$3:$C$3390,$A534,'United Data'!$B$3:$B$3390,"&lt;&gt;Off-street")&gt;0,1,0)</f>
        <v>0</v>
      </c>
      <c r="J534">
        <f>IF(COUNTIFS('United Data'!$A$3:$A$3390,J$1,'United Data'!$C$3:$C$3390,$A534,'United Data'!$B$3:$B$3390,"&lt;&gt;Off-street")&gt;0,1,0)</f>
        <v>1</v>
      </c>
      <c r="K534">
        <f>IF(COUNTIFS('United Data'!$A$3:$A$3390,K$1,'United Data'!$C$3:$C$3390,$A534,'United Data'!$B$3:$B$3390,"&lt;&gt;Off-street")&gt;0,1,0)</f>
        <v>0</v>
      </c>
      <c r="L534">
        <f>IF(COUNTIFS('United Data'!$A$3:$A$3390,L$1,'United Data'!$C$3:$C$3390,$A534,'United Data'!$B$3:$B$3390,"&lt;&gt;Off-street")&gt;0,1,0)</f>
        <v>0</v>
      </c>
      <c r="M534">
        <f>IF(COUNTIFS('United Data'!$A$3:$A$3390,M$1,'United Data'!$C$3:$C$3390,$A534,'United Data'!$B$3:$B$3390,"&lt;&gt;Off-street")&gt;0,1,0)</f>
        <v>0</v>
      </c>
      <c r="N534">
        <f>IF(COUNTIFS('United Data'!$A$3:$A$3390,N$1,'United Data'!$C$3:$C$3390,$A534,'United Data'!$B$3:$B$3390,"&lt;&gt;Off-street")&gt;0,1,0)</f>
        <v>0</v>
      </c>
      <c r="O534">
        <f>IF(COUNTIFS('United Data'!$A$3:$A$3390,O$1,'United Data'!$C$3:$C$3390,$A534,'United Data'!$B$3:$B$3390,"&lt;&gt;Off-street")&gt;0,1,0)</f>
        <v>0</v>
      </c>
      <c r="P534">
        <f>IF(COUNTIFS('United Data'!$A$3:$A$3390,P$1,'United Data'!$C$3:$C$3390,$A534,'United Data'!$B$3:$B$3390,"&lt;&gt;Off-street")&gt;0,1,0)</f>
        <v>0</v>
      </c>
      <c r="Q534">
        <f>IF(COUNTIFS('United Data'!$A$3:$A$3390,Q$1,'United Data'!$C$3:$C$3390,$A534,'United Data'!$B$3:$B$3390,"&lt;&gt;Off-street")&gt;0,1,0)</f>
        <v>0</v>
      </c>
      <c r="R534">
        <f>IF(COUNTIFS('United Data'!$A$3:$A$3390,R$1,'United Data'!$C$3:$C$3390,$A534,'United Data'!$B$3:$B$3390,"&lt;&gt;Off-street")&gt;0,1,0)</f>
        <v>0</v>
      </c>
      <c r="S534">
        <f t="shared" si="16"/>
        <v>2</v>
      </c>
      <c r="T534">
        <f t="shared" si="17"/>
        <v>2</v>
      </c>
    </row>
    <row r="535" spans="1:20" x14ac:dyDescent="0.2">
      <c r="A535" t="s">
        <v>651</v>
      </c>
      <c r="B535">
        <f>IF(COUNTIFS('United Data'!$A$3:$A$3390,B$1,'United Data'!$C$3:$C$3390,$A535,'United Data'!$B$3:$B$3390,"&lt;&gt;Off-street")&gt;0,1,0)</f>
        <v>0</v>
      </c>
      <c r="C535">
        <f>IF(COUNTIFS('United Data'!$A$3:$A$3390,C$1,'United Data'!$C$3:$C$3390,$A535,'United Data'!$B$3:$B$3390,"&lt;&gt;Off-street")&gt;0,1,0)</f>
        <v>0</v>
      </c>
      <c r="D535">
        <f>IF(COUNTIFS('United Data'!$A$3:$A$3390,D$1,'United Data'!$C$3:$C$3390,$A535,'United Data'!$B$3:$B$3390,"&lt;&gt;Off-street")&gt;0,1,0)</f>
        <v>0</v>
      </c>
      <c r="E535">
        <f>IF(COUNTIFS('United Data'!$A$3:$A$3390,E$1,'United Data'!$C$3:$C$3390,$A535,'United Data'!$B$3:$B$3390,"&lt;&gt;Off-street")&gt;0,1,0)</f>
        <v>0</v>
      </c>
      <c r="F535">
        <f>IF(COUNTIFS('United Data'!$A$3:$A$3390,F$1,'United Data'!$C$3:$C$3390,$A535,'United Data'!$B$3:$B$3390,"&lt;&gt;Off-street")&gt;0,1,0)</f>
        <v>0</v>
      </c>
      <c r="G535">
        <f>IF(COUNTIFS('United Data'!$A$3:$A$3390,G$1,'United Data'!$C$3:$C$3390,$A535,'United Data'!$B$3:$B$3390,"&lt;&gt;Off-street")&gt;0,1,0)</f>
        <v>0</v>
      </c>
      <c r="H535">
        <f>IF(COUNTIFS('United Data'!$A$3:$A$3390,H$1,'United Data'!$C$3:$C$3390,$A535,'United Data'!$B$3:$B$3390,"&lt;&gt;Off-street")&gt;0,1,0)</f>
        <v>1</v>
      </c>
      <c r="I535">
        <f>IF(COUNTIFS('United Data'!$A$3:$A$3390,I$1,'United Data'!$C$3:$C$3390,$A535,'United Data'!$B$3:$B$3390,"&lt;&gt;Off-street")&gt;0,1,0)</f>
        <v>0</v>
      </c>
      <c r="J535">
        <f>IF(COUNTIFS('United Data'!$A$3:$A$3390,J$1,'United Data'!$C$3:$C$3390,$A535,'United Data'!$B$3:$B$3390,"&lt;&gt;Off-street")&gt;0,1,0)</f>
        <v>0</v>
      </c>
      <c r="K535">
        <f>IF(COUNTIFS('United Data'!$A$3:$A$3390,K$1,'United Data'!$C$3:$C$3390,$A535,'United Data'!$B$3:$B$3390,"&lt;&gt;Off-street")&gt;0,1,0)</f>
        <v>0</v>
      </c>
      <c r="L535">
        <f>IF(COUNTIFS('United Data'!$A$3:$A$3390,L$1,'United Data'!$C$3:$C$3390,$A535,'United Data'!$B$3:$B$3390,"&lt;&gt;Off-street")&gt;0,1,0)</f>
        <v>0</v>
      </c>
      <c r="M535">
        <f>IF(COUNTIFS('United Data'!$A$3:$A$3390,M$1,'United Data'!$C$3:$C$3390,$A535,'United Data'!$B$3:$B$3390,"&lt;&gt;Off-street")&gt;0,1,0)</f>
        <v>0</v>
      </c>
      <c r="N535">
        <f>IF(COUNTIFS('United Data'!$A$3:$A$3390,N$1,'United Data'!$C$3:$C$3390,$A535,'United Data'!$B$3:$B$3390,"&lt;&gt;Off-street")&gt;0,1,0)</f>
        <v>0</v>
      </c>
      <c r="O535">
        <f>IF(COUNTIFS('United Data'!$A$3:$A$3390,O$1,'United Data'!$C$3:$C$3390,$A535,'United Data'!$B$3:$B$3390,"&lt;&gt;Off-street")&gt;0,1,0)</f>
        <v>0</v>
      </c>
      <c r="P535">
        <f>IF(COUNTIFS('United Data'!$A$3:$A$3390,P$1,'United Data'!$C$3:$C$3390,$A535,'United Data'!$B$3:$B$3390,"&lt;&gt;Off-street")&gt;0,1,0)</f>
        <v>0</v>
      </c>
      <c r="Q535">
        <f>IF(COUNTIFS('United Data'!$A$3:$A$3390,Q$1,'United Data'!$C$3:$C$3390,$A535,'United Data'!$B$3:$B$3390,"&lt;&gt;Off-street")&gt;0,1,0)</f>
        <v>0</v>
      </c>
      <c r="R535">
        <f>IF(COUNTIFS('United Data'!$A$3:$A$3390,R$1,'United Data'!$C$3:$C$3390,$A535,'United Data'!$B$3:$B$3390,"&lt;&gt;Off-street")&gt;0,1,0)</f>
        <v>0</v>
      </c>
      <c r="S535">
        <f t="shared" si="16"/>
        <v>1</v>
      </c>
      <c r="T535">
        <f t="shared" si="17"/>
        <v>1</v>
      </c>
    </row>
    <row r="536" spans="1:20" x14ac:dyDescent="0.2">
      <c r="A536" t="s">
        <v>652</v>
      </c>
      <c r="B536">
        <f>IF(COUNTIFS('United Data'!$A$3:$A$3390,B$1,'United Data'!$C$3:$C$3390,$A536,'United Data'!$B$3:$B$3390,"&lt;&gt;Off-street")&gt;0,1,0)</f>
        <v>0</v>
      </c>
      <c r="C536">
        <f>IF(COUNTIFS('United Data'!$A$3:$A$3390,C$1,'United Data'!$C$3:$C$3390,$A536,'United Data'!$B$3:$B$3390,"&lt;&gt;Off-street")&gt;0,1,0)</f>
        <v>0</v>
      </c>
      <c r="D536">
        <f>IF(COUNTIFS('United Data'!$A$3:$A$3390,D$1,'United Data'!$C$3:$C$3390,$A536,'United Data'!$B$3:$B$3390,"&lt;&gt;Off-street")&gt;0,1,0)</f>
        <v>1</v>
      </c>
      <c r="E536">
        <f>IF(COUNTIFS('United Data'!$A$3:$A$3390,E$1,'United Data'!$C$3:$C$3390,$A536,'United Data'!$B$3:$B$3390,"&lt;&gt;Off-street")&gt;0,1,0)</f>
        <v>0</v>
      </c>
      <c r="F536">
        <f>IF(COUNTIFS('United Data'!$A$3:$A$3390,F$1,'United Data'!$C$3:$C$3390,$A536,'United Data'!$B$3:$B$3390,"&lt;&gt;Off-street")&gt;0,1,0)</f>
        <v>0</v>
      </c>
      <c r="G536">
        <f>IF(COUNTIFS('United Data'!$A$3:$A$3390,G$1,'United Data'!$C$3:$C$3390,$A536,'United Data'!$B$3:$B$3390,"&lt;&gt;Off-street")&gt;0,1,0)</f>
        <v>0</v>
      </c>
      <c r="H536">
        <f>IF(COUNTIFS('United Data'!$A$3:$A$3390,H$1,'United Data'!$C$3:$C$3390,$A536,'United Data'!$B$3:$B$3390,"&lt;&gt;Off-street")&gt;0,1,0)</f>
        <v>1</v>
      </c>
      <c r="I536">
        <f>IF(COUNTIFS('United Data'!$A$3:$A$3390,I$1,'United Data'!$C$3:$C$3390,$A536,'United Data'!$B$3:$B$3390,"&lt;&gt;Off-street")&gt;0,1,0)</f>
        <v>0</v>
      </c>
      <c r="J536">
        <f>IF(COUNTIFS('United Data'!$A$3:$A$3390,J$1,'United Data'!$C$3:$C$3390,$A536,'United Data'!$B$3:$B$3390,"&lt;&gt;Off-street")&gt;0,1,0)</f>
        <v>0</v>
      </c>
      <c r="K536">
        <f>IF(COUNTIFS('United Data'!$A$3:$A$3390,K$1,'United Data'!$C$3:$C$3390,$A536,'United Data'!$B$3:$B$3390,"&lt;&gt;Off-street")&gt;0,1,0)</f>
        <v>0</v>
      </c>
      <c r="L536">
        <f>IF(COUNTIFS('United Data'!$A$3:$A$3390,L$1,'United Data'!$C$3:$C$3390,$A536,'United Data'!$B$3:$B$3390,"&lt;&gt;Off-street")&gt;0,1,0)</f>
        <v>0</v>
      </c>
      <c r="M536">
        <f>IF(COUNTIFS('United Data'!$A$3:$A$3390,M$1,'United Data'!$C$3:$C$3390,$A536,'United Data'!$B$3:$B$3390,"&lt;&gt;Off-street")&gt;0,1,0)</f>
        <v>0</v>
      </c>
      <c r="N536">
        <f>IF(COUNTIFS('United Data'!$A$3:$A$3390,N$1,'United Data'!$C$3:$C$3390,$A536,'United Data'!$B$3:$B$3390,"&lt;&gt;Off-street")&gt;0,1,0)</f>
        <v>0</v>
      </c>
      <c r="O536">
        <f>IF(COUNTIFS('United Data'!$A$3:$A$3390,O$1,'United Data'!$C$3:$C$3390,$A536,'United Data'!$B$3:$B$3390,"&lt;&gt;Off-street")&gt;0,1,0)</f>
        <v>0</v>
      </c>
      <c r="P536">
        <f>IF(COUNTIFS('United Data'!$A$3:$A$3390,P$1,'United Data'!$C$3:$C$3390,$A536,'United Data'!$B$3:$B$3390,"&lt;&gt;Off-street")&gt;0,1,0)</f>
        <v>0</v>
      </c>
      <c r="Q536">
        <f>IF(COUNTIFS('United Data'!$A$3:$A$3390,Q$1,'United Data'!$C$3:$C$3390,$A536,'United Data'!$B$3:$B$3390,"&lt;&gt;Off-street")&gt;0,1,0)</f>
        <v>0</v>
      </c>
      <c r="R536">
        <f>IF(COUNTIFS('United Data'!$A$3:$A$3390,R$1,'United Data'!$C$3:$C$3390,$A536,'United Data'!$B$3:$B$3390,"&lt;&gt;Off-street")&gt;0,1,0)</f>
        <v>0</v>
      </c>
      <c r="S536">
        <f t="shared" si="16"/>
        <v>2</v>
      </c>
      <c r="T536">
        <f t="shared" si="17"/>
        <v>2</v>
      </c>
    </row>
    <row r="537" spans="1:20" x14ac:dyDescent="0.2">
      <c r="A537" t="s">
        <v>653</v>
      </c>
      <c r="B537">
        <f>IF(COUNTIFS('United Data'!$A$3:$A$3390,B$1,'United Data'!$C$3:$C$3390,$A537,'United Data'!$B$3:$B$3390,"&lt;&gt;Off-street")&gt;0,1,0)</f>
        <v>1</v>
      </c>
      <c r="C537">
        <f>IF(COUNTIFS('United Data'!$A$3:$A$3390,C$1,'United Data'!$C$3:$C$3390,$A537,'United Data'!$B$3:$B$3390,"&lt;&gt;Off-street")&gt;0,1,0)</f>
        <v>1</v>
      </c>
      <c r="D537">
        <f>IF(COUNTIFS('United Data'!$A$3:$A$3390,D$1,'United Data'!$C$3:$C$3390,$A537,'United Data'!$B$3:$B$3390,"&lt;&gt;Off-street")&gt;0,1,0)</f>
        <v>1</v>
      </c>
      <c r="E537">
        <f>IF(COUNTIFS('United Data'!$A$3:$A$3390,E$1,'United Data'!$C$3:$C$3390,$A537,'United Data'!$B$3:$B$3390,"&lt;&gt;Off-street")&gt;0,1,0)</f>
        <v>0</v>
      </c>
      <c r="F537">
        <f>IF(COUNTIFS('United Data'!$A$3:$A$3390,F$1,'United Data'!$C$3:$C$3390,$A537,'United Data'!$B$3:$B$3390,"&lt;&gt;Off-street")&gt;0,1,0)</f>
        <v>1</v>
      </c>
      <c r="G537">
        <f>IF(COUNTIFS('United Data'!$A$3:$A$3390,G$1,'United Data'!$C$3:$C$3390,$A537,'United Data'!$B$3:$B$3390,"&lt;&gt;Off-street")&gt;0,1,0)</f>
        <v>0</v>
      </c>
      <c r="H537">
        <f>IF(COUNTIFS('United Data'!$A$3:$A$3390,H$1,'United Data'!$C$3:$C$3390,$A537,'United Data'!$B$3:$B$3390,"&lt;&gt;Off-street")&gt;0,1,0)</f>
        <v>1</v>
      </c>
      <c r="I537">
        <f>IF(COUNTIFS('United Data'!$A$3:$A$3390,I$1,'United Data'!$C$3:$C$3390,$A537,'United Data'!$B$3:$B$3390,"&lt;&gt;Off-street")&gt;0,1,0)</f>
        <v>0</v>
      </c>
      <c r="J537">
        <f>IF(COUNTIFS('United Data'!$A$3:$A$3390,J$1,'United Data'!$C$3:$C$3390,$A537,'United Data'!$B$3:$B$3390,"&lt;&gt;Off-street")&gt;0,1,0)</f>
        <v>0</v>
      </c>
      <c r="K537">
        <f>IF(COUNTIFS('United Data'!$A$3:$A$3390,K$1,'United Data'!$C$3:$C$3390,$A537,'United Data'!$B$3:$B$3390,"&lt;&gt;Off-street")&gt;0,1,0)</f>
        <v>0</v>
      </c>
      <c r="L537">
        <f>IF(COUNTIFS('United Data'!$A$3:$A$3390,L$1,'United Data'!$C$3:$C$3390,$A537,'United Data'!$B$3:$B$3390,"&lt;&gt;Off-street")&gt;0,1,0)</f>
        <v>0</v>
      </c>
      <c r="M537">
        <f>IF(COUNTIFS('United Data'!$A$3:$A$3390,M$1,'United Data'!$C$3:$C$3390,$A537,'United Data'!$B$3:$B$3390,"&lt;&gt;Off-street")&gt;0,1,0)</f>
        <v>0</v>
      </c>
      <c r="N537">
        <f>IF(COUNTIFS('United Data'!$A$3:$A$3390,N$1,'United Data'!$C$3:$C$3390,$A537,'United Data'!$B$3:$B$3390,"&lt;&gt;Off-street")&gt;0,1,0)</f>
        <v>0</v>
      </c>
      <c r="O537">
        <f>IF(COUNTIFS('United Data'!$A$3:$A$3390,O$1,'United Data'!$C$3:$C$3390,$A537,'United Data'!$B$3:$B$3390,"&lt;&gt;Off-street")&gt;0,1,0)</f>
        <v>0</v>
      </c>
      <c r="P537">
        <f>IF(COUNTIFS('United Data'!$A$3:$A$3390,P$1,'United Data'!$C$3:$C$3390,$A537,'United Data'!$B$3:$B$3390,"&lt;&gt;Off-street")&gt;0,1,0)</f>
        <v>0</v>
      </c>
      <c r="Q537">
        <f>IF(COUNTIFS('United Data'!$A$3:$A$3390,Q$1,'United Data'!$C$3:$C$3390,$A537,'United Data'!$B$3:$B$3390,"&lt;&gt;Off-street")&gt;0,1,0)</f>
        <v>1</v>
      </c>
      <c r="R537">
        <f>IF(COUNTIFS('United Data'!$A$3:$A$3390,R$1,'United Data'!$C$3:$C$3390,$A537,'United Data'!$B$3:$B$3390,"&lt;&gt;Off-street")&gt;0,1,0)</f>
        <v>1</v>
      </c>
      <c r="S537">
        <f t="shared" si="16"/>
        <v>7</v>
      </c>
      <c r="T537">
        <f t="shared" si="17"/>
        <v>4</v>
      </c>
    </row>
    <row r="538" spans="1:20" x14ac:dyDescent="0.2">
      <c r="A538" t="s">
        <v>654</v>
      </c>
      <c r="B538">
        <f>IF(COUNTIFS('United Data'!$A$3:$A$3390,B$1,'United Data'!$C$3:$C$3390,$A538,'United Data'!$B$3:$B$3390,"&lt;&gt;Off-street")&gt;0,1,0)</f>
        <v>0</v>
      </c>
      <c r="C538">
        <f>IF(COUNTIFS('United Data'!$A$3:$A$3390,C$1,'United Data'!$C$3:$C$3390,$A538,'United Data'!$B$3:$B$3390,"&lt;&gt;Off-street")&gt;0,1,0)</f>
        <v>0</v>
      </c>
      <c r="D538">
        <f>IF(COUNTIFS('United Data'!$A$3:$A$3390,D$1,'United Data'!$C$3:$C$3390,$A538,'United Data'!$B$3:$B$3390,"&lt;&gt;Off-street")&gt;0,1,0)</f>
        <v>1</v>
      </c>
      <c r="E538">
        <f>IF(COUNTIFS('United Data'!$A$3:$A$3390,E$1,'United Data'!$C$3:$C$3390,$A538,'United Data'!$B$3:$B$3390,"&lt;&gt;Off-street")&gt;0,1,0)</f>
        <v>1</v>
      </c>
      <c r="F538">
        <f>IF(COUNTIFS('United Data'!$A$3:$A$3390,F$1,'United Data'!$C$3:$C$3390,$A538,'United Data'!$B$3:$B$3390,"&lt;&gt;Off-street")&gt;0,1,0)</f>
        <v>1</v>
      </c>
      <c r="G538">
        <f>IF(COUNTIFS('United Data'!$A$3:$A$3390,G$1,'United Data'!$C$3:$C$3390,$A538,'United Data'!$B$3:$B$3390,"&lt;&gt;Off-street")&gt;0,1,0)</f>
        <v>1</v>
      </c>
      <c r="H538">
        <f>IF(COUNTIFS('United Data'!$A$3:$A$3390,H$1,'United Data'!$C$3:$C$3390,$A538,'United Data'!$B$3:$B$3390,"&lt;&gt;Off-street")&gt;0,1,0)</f>
        <v>1</v>
      </c>
      <c r="I538">
        <f>IF(COUNTIFS('United Data'!$A$3:$A$3390,I$1,'United Data'!$C$3:$C$3390,$A538,'United Data'!$B$3:$B$3390,"&lt;&gt;Off-street")&gt;0,1,0)</f>
        <v>0</v>
      </c>
      <c r="J538">
        <f>IF(COUNTIFS('United Data'!$A$3:$A$3390,J$1,'United Data'!$C$3:$C$3390,$A538,'United Data'!$B$3:$B$3390,"&lt;&gt;Off-street")&gt;0,1,0)</f>
        <v>0</v>
      </c>
      <c r="K538">
        <f>IF(COUNTIFS('United Data'!$A$3:$A$3390,K$1,'United Data'!$C$3:$C$3390,$A538,'United Data'!$B$3:$B$3390,"&lt;&gt;Off-street")&gt;0,1,0)</f>
        <v>0</v>
      </c>
      <c r="L538">
        <f>IF(COUNTIFS('United Data'!$A$3:$A$3390,L$1,'United Data'!$C$3:$C$3390,$A538,'United Data'!$B$3:$B$3390,"&lt;&gt;Off-street")&gt;0,1,0)</f>
        <v>1</v>
      </c>
      <c r="M538">
        <f>IF(COUNTIFS('United Data'!$A$3:$A$3390,M$1,'United Data'!$C$3:$C$3390,$A538,'United Data'!$B$3:$B$3390,"&lt;&gt;Off-street")&gt;0,1,0)</f>
        <v>0</v>
      </c>
      <c r="N538">
        <f>IF(COUNTIFS('United Data'!$A$3:$A$3390,N$1,'United Data'!$C$3:$C$3390,$A538,'United Data'!$B$3:$B$3390,"&lt;&gt;Off-street")&gt;0,1,0)</f>
        <v>0</v>
      </c>
      <c r="O538">
        <f>IF(COUNTIFS('United Data'!$A$3:$A$3390,O$1,'United Data'!$C$3:$C$3390,$A538,'United Data'!$B$3:$B$3390,"&lt;&gt;Off-street")&gt;0,1,0)</f>
        <v>0</v>
      </c>
      <c r="P538">
        <f>IF(COUNTIFS('United Data'!$A$3:$A$3390,P$1,'United Data'!$C$3:$C$3390,$A538,'United Data'!$B$3:$B$3390,"&lt;&gt;Off-street")&gt;0,1,0)</f>
        <v>0</v>
      </c>
      <c r="Q538">
        <f>IF(COUNTIFS('United Data'!$A$3:$A$3390,Q$1,'United Data'!$C$3:$C$3390,$A538,'United Data'!$B$3:$B$3390,"&lt;&gt;Off-street")&gt;0,1,0)</f>
        <v>0</v>
      </c>
      <c r="R538">
        <f>IF(COUNTIFS('United Data'!$A$3:$A$3390,R$1,'United Data'!$C$3:$C$3390,$A538,'United Data'!$B$3:$B$3390,"&lt;&gt;Off-street")&gt;0,1,0)</f>
        <v>0</v>
      </c>
      <c r="S538">
        <f t="shared" si="16"/>
        <v>6</v>
      </c>
      <c r="T538">
        <f t="shared" si="17"/>
        <v>2</v>
      </c>
    </row>
    <row r="539" spans="1:20" x14ac:dyDescent="0.2">
      <c r="A539" t="s">
        <v>655</v>
      </c>
      <c r="B539">
        <f>IF(COUNTIFS('United Data'!$A$3:$A$3390,B$1,'United Data'!$C$3:$C$3390,$A539,'United Data'!$B$3:$B$3390,"&lt;&gt;Off-street")&gt;0,1,0)</f>
        <v>0</v>
      </c>
      <c r="C539">
        <f>IF(COUNTIFS('United Data'!$A$3:$A$3390,C$1,'United Data'!$C$3:$C$3390,$A539,'United Data'!$B$3:$B$3390,"&lt;&gt;Off-street")&gt;0,1,0)</f>
        <v>0</v>
      </c>
      <c r="D539">
        <f>IF(COUNTIFS('United Data'!$A$3:$A$3390,D$1,'United Data'!$C$3:$C$3390,$A539,'United Data'!$B$3:$B$3390,"&lt;&gt;Off-street")&gt;0,1,0)</f>
        <v>0</v>
      </c>
      <c r="E539">
        <f>IF(COUNTIFS('United Data'!$A$3:$A$3390,E$1,'United Data'!$C$3:$C$3390,$A539,'United Data'!$B$3:$B$3390,"&lt;&gt;Off-street")&gt;0,1,0)</f>
        <v>0</v>
      </c>
      <c r="F539">
        <f>IF(COUNTIFS('United Data'!$A$3:$A$3390,F$1,'United Data'!$C$3:$C$3390,$A539,'United Data'!$B$3:$B$3390,"&lt;&gt;Off-street")&gt;0,1,0)</f>
        <v>0</v>
      </c>
      <c r="G539">
        <f>IF(COUNTIFS('United Data'!$A$3:$A$3390,G$1,'United Data'!$C$3:$C$3390,$A539,'United Data'!$B$3:$B$3390,"&lt;&gt;Off-street")&gt;0,1,0)</f>
        <v>0</v>
      </c>
      <c r="H539">
        <f>IF(COUNTIFS('United Data'!$A$3:$A$3390,H$1,'United Data'!$C$3:$C$3390,$A539,'United Data'!$B$3:$B$3390,"&lt;&gt;Off-street")&gt;0,1,0)</f>
        <v>0</v>
      </c>
      <c r="I539">
        <f>IF(COUNTIFS('United Data'!$A$3:$A$3390,I$1,'United Data'!$C$3:$C$3390,$A539,'United Data'!$B$3:$B$3390,"&lt;&gt;Off-street")&gt;0,1,0)</f>
        <v>1</v>
      </c>
      <c r="J539">
        <f>IF(COUNTIFS('United Data'!$A$3:$A$3390,J$1,'United Data'!$C$3:$C$3390,$A539,'United Data'!$B$3:$B$3390,"&lt;&gt;Off-street")&gt;0,1,0)</f>
        <v>1</v>
      </c>
      <c r="K539">
        <f>IF(COUNTIFS('United Data'!$A$3:$A$3390,K$1,'United Data'!$C$3:$C$3390,$A539,'United Data'!$B$3:$B$3390,"&lt;&gt;Off-street")&gt;0,1,0)</f>
        <v>0</v>
      </c>
      <c r="L539">
        <f>IF(COUNTIFS('United Data'!$A$3:$A$3390,L$1,'United Data'!$C$3:$C$3390,$A539,'United Data'!$B$3:$B$3390,"&lt;&gt;Off-street")&gt;0,1,0)</f>
        <v>0</v>
      </c>
      <c r="M539">
        <f>IF(COUNTIFS('United Data'!$A$3:$A$3390,M$1,'United Data'!$C$3:$C$3390,$A539,'United Data'!$B$3:$B$3390,"&lt;&gt;Off-street")&gt;0,1,0)</f>
        <v>0</v>
      </c>
      <c r="N539">
        <f>IF(COUNTIFS('United Data'!$A$3:$A$3390,N$1,'United Data'!$C$3:$C$3390,$A539,'United Data'!$B$3:$B$3390,"&lt;&gt;Off-street")&gt;0,1,0)</f>
        <v>0</v>
      </c>
      <c r="O539">
        <f>IF(COUNTIFS('United Data'!$A$3:$A$3390,O$1,'United Data'!$C$3:$C$3390,$A539,'United Data'!$B$3:$B$3390,"&lt;&gt;Off-street")&gt;0,1,0)</f>
        <v>0</v>
      </c>
      <c r="P539">
        <f>IF(COUNTIFS('United Data'!$A$3:$A$3390,P$1,'United Data'!$C$3:$C$3390,$A539,'United Data'!$B$3:$B$3390,"&lt;&gt;Off-street")&gt;0,1,0)</f>
        <v>0</v>
      </c>
      <c r="Q539">
        <f>IF(COUNTIFS('United Data'!$A$3:$A$3390,Q$1,'United Data'!$C$3:$C$3390,$A539,'United Data'!$B$3:$B$3390,"&lt;&gt;Off-street")&gt;0,1,0)</f>
        <v>0</v>
      </c>
      <c r="R539">
        <f>IF(COUNTIFS('United Data'!$A$3:$A$3390,R$1,'United Data'!$C$3:$C$3390,$A539,'United Data'!$B$3:$B$3390,"&lt;&gt;Off-street")&gt;0,1,0)</f>
        <v>0</v>
      </c>
      <c r="S539">
        <f t="shared" si="16"/>
        <v>2</v>
      </c>
      <c r="T539">
        <f t="shared" si="17"/>
        <v>1</v>
      </c>
    </row>
    <row r="540" spans="1:20" x14ac:dyDescent="0.2">
      <c r="A540" t="s">
        <v>656</v>
      </c>
      <c r="B540">
        <f>IF(COUNTIFS('United Data'!$A$3:$A$3390,B$1,'United Data'!$C$3:$C$3390,$A540,'United Data'!$B$3:$B$3390,"&lt;&gt;Off-street")&gt;0,1,0)</f>
        <v>0</v>
      </c>
      <c r="C540">
        <f>IF(COUNTIFS('United Data'!$A$3:$A$3390,C$1,'United Data'!$C$3:$C$3390,$A540,'United Data'!$B$3:$B$3390,"&lt;&gt;Off-street")&gt;0,1,0)</f>
        <v>0</v>
      </c>
      <c r="D540">
        <f>IF(COUNTIFS('United Data'!$A$3:$A$3390,D$1,'United Data'!$C$3:$C$3390,$A540,'United Data'!$B$3:$B$3390,"&lt;&gt;Off-street")&gt;0,1,0)</f>
        <v>1</v>
      </c>
      <c r="E540">
        <f>IF(COUNTIFS('United Data'!$A$3:$A$3390,E$1,'United Data'!$C$3:$C$3390,$A540,'United Data'!$B$3:$B$3390,"&lt;&gt;Off-street")&gt;0,1,0)</f>
        <v>1</v>
      </c>
      <c r="F540">
        <f>IF(COUNTIFS('United Data'!$A$3:$A$3390,F$1,'United Data'!$C$3:$C$3390,$A540,'United Data'!$B$3:$B$3390,"&lt;&gt;Off-street")&gt;0,1,0)</f>
        <v>0</v>
      </c>
      <c r="G540">
        <f>IF(COUNTIFS('United Data'!$A$3:$A$3390,G$1,'United Data'!$C$3:$C$3390,$A540,'United Data'!$B$3:$B$3390,"&lt;&gt;Off-street")&gt;0,1,0)</f>
        <v>0</v>
      </c>
      <c r="H540">
        <f>IF(COUNTIFS('United Data'!$A$3:$A$3390,H$1,'United Data'!$C$3:$C$3390,$A540,'United Data'!$B$3:$B$3390,"&lt;&gt;Off-street")&gt;0,1,0)</f>
        <v>0</v>
      </c>
      <c r="I540">
        <f>IF(COUNTIFS('United Data'!$A$3:$A$3390,I$1,'United Data'!$C$3:$C$3390,$A540,'United Data'!$B$3:$B$3390,"&lt;&gt;Off-street")&gt;0,1,0)</f>
        <v>1</v>
      </c>
      <c r="J540">
        <f>IF(COUNTIFS('United Data'!$A$3:$A$3390,J$1,'United Data'!$C$3:$C$3390,$A540,'United Data'!$B$3:$B$3390,"&lt;&gt;Off-street")&gt;0,1,0)</f>
        <v>0</v>
      </c>
      <c r="K540">
        <f>IF(COUNTIFS('United Data'!$A$3:$A$3390,K$1,'United Data'!$C$3:$C$3390,$A540,'United Data'!$B$3:$B$3390,"&lt;&gt;Off-street")&gt;0,1,0)</f>
        <v>0</v>
      </c>
      <c r="L540">
        <f>IF(COUNTIFS('United Data'!$A$3:$A$3390,L$1,'United Data'!$C$3:$C$3390,$A540,'United Data'!$B$3:$B$3390,"&lt;&gt;Off-street")&gt;0,1,0)</f>
        <v>0</v>
      </c>
      <c r="M540">
        <f>IF(COUNTIFS('United Data'!$A$3:$A$3390,M$1,'United Data'!$C$3:$C$3390,$A540,'United Data'!$B$3:$B$3390,"&lt;&gt;Off-street")&gt;0,1,0)</f>
        <v>0</v>
      </c>
      <c r="N540">
        <f>IF(COUNTIFS('United Data'!$A$3:$A$3390,N$1,'United Data'!$C$3:$C$3390,$A540,'United Data'!$B$3:$B$3390,"&lt;&gt;Off-street")&gt;0,1,0)</f>
        <v>0</v>
      </c>
      <c r="O540">
        <f>IF(COUNTIFS('United Data'!$A$3:$A$3390,O$1,'United Data'!$C$3:$C$3390,$A540,'United Data'!$B$3:$B$3390,"&lt;&gt;Off-street")&gt;0,1,0)</f>
        <v>0</v>
      </c>
      <c r="P540">
        <f>IF(COUNTIFS('United Data'!$A$3:$A$3390,P$1,'United Data'!$C$3:$C$3390,$A540,'United Data'!$B$3:$B$3390,"&lt;&gt;Off-street")&gt;0,1,0)</f>
        <v>0</v>
      </c>
      <c r="Q540">
        <f>IF(COUNTIFS('United Data'!$A$3:$A$3390,Q$1,'United Data'!$C$3:$C$3390,$A540,'United Data'!$B$3:$B$3390,"&lt;&gt;Off-street")&gt;0,1,0)</f>
        <v>0</v>
      </c>
      <c r="R540">
        <f>IF(COUNTIFS('United Data'!$A$3:$A$3390,R$1,'United Data'!$C$3:$C$3390,$A540,'United Data'!$B$3:$B$3390,"&lt;&gt;Off-street")&gt;0,1,0)</f>
        <v>0</v>
      </c>
      <c r="S540">
        <f t="shared" si="16"/>
        <v>3</v>
      </c>
      <c r="T540">
        <f t="shared" si="17"/>
        <v>2</v>
      </c>
    </row>
    <row r="541" spans="1:20" x14ac:dyDescent="0.2">
      <c r="A541" t="s">
        <v>657</v>
      </c>
      <c r="B541">
        <f>IF(COUNTIFS('United Data'!$A$3:$A$3390,B$1,'United Data'!$C$3:$C$3390,$A541,'United Data'!$B$3:$B$3390,"&lt;&gt;Off-street")&gt;0,1,0)</f>
        <v>0</v>
      </c>
      <c r="C541">
        <f>IF(COUNTIFS('United Data'!$A$3:$A$3390,C$1,'United Data'!$C$3:$C$3390,$A541,'United Data'!$B$3:$B$3390,"&lt;&gt;Off-street")&gt;0,1,0)</f>
        <v>0</v>
      </c>
      <c r="D541">
        <f>IF(COUNTIFS('United Data'!$A$3:$A$3390,D$1,'United Data'!$C$3:$C$3390,$A541,'United Data'!$B$3:$B$3390,"&lt;&gt;Off-street")&gt;0,1,0)</f>
        <v>1</v>
      </c>
      <c r="E541">
        <f>IF(COUNTIFS('United Data'!$A$3:$A$3390,E$1,'United Data'!$C$3:$C$3390,$A541,'United Data'!$B$3:$B$3390,"&lt;&gt;Off-street")&gt;0,1,0)</f>
        <v>1</v>
      </c>
      <c r="F541">
        <f>IF(COUNTIFS('United Data'!$A$3:$A$3390,F$1,'United Data'!$C$3:$C$3390,$A541,'United Data'!$B$3:$B$3390,"&lt;&gt;Off-street")&gt;0,1,0)</f>
        <v>0</v>
      </c>
      <c r="G541">
        <f>IF(COUNTIFS('United Data'!$A$3:$A$3390,G$1,'United Data'!$C$3:$C$3390,$A541,'United Data'!$B$3:$B$3390,"&lt;&gt;Off-street")&gt;0,1,0)</f>
        <v>0</v>
      </c>
      <c r="H541">
        <f>IF(COUNTIFS('United Data'!$A$3:$A$3390,H$1,'United Data'!$C$3:$C$3390,$A541,'United Data'!$B$3:$B$3390,"&lt;&gt;Off-street")&gt;0,1,0)</f>
        <v>0</v>
      </c>
      <c r="I541">
        <f>IF(COUNTIFS('United Data'!$A$3:$A$3390,I$1,'United Data'!$C$3:$C$3390,$A541,'United Data'!$B$3:$B$3390,"&lt;&gt;Off-street")&gt;0,1,0)</f>
        <v>1</v>
      </c>
      <c r="J541">
        <f>IF(COUNTIFS('United Data'!$A$3:$A$3390,J$1,'United Data'!$C$3:$C$3390,$A541,'United Data'!$B$3:$B$3390,"&lt;&gt;Off-street")&gt;0,1,0)</f>
        <v>0</v>
      </c>
      <c r="K541">
        <f>IF(COUNTIFS('United Data'!$A$3:$A$3390,K$1,'United Data'!$C$3:$C$3390,$A541,'United Data'!$B$3:$B$3390,"&lt;&gt;Off-street")&gt;0,1,0)</f>
        <v>0</v>
      </c>
      <c r="L541">
        <f>IF(COUNTIFS('United Data'!$A$3:$A$3390,L$1,'United Data'!$C$3:$C$3390,$A541,'United Data'!$B$3:$B$3390,"&lt;&gt;Off-street")&gt;0,1,0)</f>
        <v>0</v>
      </c>
      <c r="M541">
        <f>IF(COUNTIFS('United Data'!$A$3:$A$3390,M$1,'United Data'!$C$3:$C$3390,$A541,'United Data'!$B$3:$B$3390,"&lt;&gt;Off-street")&gt;0,1,0)</f>
        <v>0</v>
      </c>
      <c r="N541">
        <f>IF(COUNTIFS('United Data'!$A$3:$A$3390,N$1,'United Data'!$C$3:$C$3390,$A541,'United Data'!$B$3:$B$3390,"&lt;&gt;Off-street")&gt;0,1,0)</f>
        <v>0</v>
      </c>
      <c r="O541">
        <f>IF(COUNTIFS('United Data'!$A$3:$A$3390,O$1,'United Data'!$C$3:$C$3390,$A541,'United Data'!$B$3:$B$3390,"&lt;&gt;Off-street")&gt;0,1,0)</f>
        <v>0</v>
      </c>
      <c r="P541">
        <f>IF(COUNTIFS('United Data'!$A$3:$A$3390,P$1,'United Data'!$C$3:$C$3390,$A541,'United Data'!$B$3:$B$3390,"&lt;&gt;Off-street")&gt;0,1,0)</f>
        <v>0</v>
      </c>
      <c r="Q541">
        <f>IF(COUNTIFS('United Data'!$A$3:$A$3390,Q$1,'United Data'!$C$3:$C$3390,$A541,'United Data'!$B$3:$B$3390,"&lt;&gt;Off-street")&gt;0,1,0)</f>
        <v>0</v>
      </c>
      <c r="R541">
        <f>IF(COUNTIFS('United Data'!$A$3:$A$3390,R$1,'United Data'!$C$3:$C$3390,$A541,'United Data'!$B$3:$B$3390,"&lt;&gt;Off-street")&gt;0,1,0)</f>
        <v>0</v>
      </c>
      <c r="S541">
        <f t="shared" si="16"/>
        <v>3</v>
      </c>
      <c r="T541">
        <f t="shared" si="17"/>
        <v>2</v>
      </c>
    </row>
    <row r="542" spans="1:20" x14ac:dyDescent="0.2">
      <c r="A542" t="s">
        <v>658</v>
      </c>
      <c r="B542">
        <f>IF(COUNTIFS('United Data'!$A$3:$A$3390,B$1,'United Data'!$C$3:$C$3390,$A542,'United Data'!$B$3:$B$3390,"&lt;&gt;Off-street")&gt;0,1,0)</f>
        <v>0</v>
      </c>
      <c r="C542">
        <f>IF(COUNTIFS('United Data'!$A$3:$A$3390,C$1,'United Data'!$C$3:$C$3390,$A542,'United Data'!$B$3:$B$3390,"&lt;&gt;Off-street")&gt;0,1,0)</f>
        <v>0</v>
      </c>
      <c r="D542">
        <f>IF(COUNTIFS('United Data'!$A$3:$A$3390,D$1,'United Data'!$C$3:$C$3390,$A542,'United Data'!$B$3:$B$3390,"&lt;&gt;Off-street")&gt;0,1,0)</f>
        <v>0</v>
      </c>
      <c r="E542">
        <f>IF(COUNTIFS('United Data'!$A$3:$A$3390,E$1,'United Data'!$C$3:$C$3390,$A542,'United Data'!$B$3:$B$3390,"&lt;&gt;Off-street")&gt;0,1,0)</f>
        <v>0</v>
      </c>
      <c r="F542">
        <f>IF(COUNTIFS('United Data'!$A$3:$A$3390,F$1,'United Data'!$C$3:$C$3390,$A542,'United Data'!$B$3:$B$3390,"&lt;&gt;Off-street")&gt;0,1,0)</f>
        <v>0</v>
      </c>
      <c r="G542">
        <f>IF(COUNTIFS('United Data'!$A$3:$A$3390,G$1,'United Data'!$C$3:$C$3390,$A542,'United Data'!$B$3:$B$3390,"&lt;&gt;Off-street")&gt;0,1,0)</f>
        <v>0</v>
      </c>
      <c r="H542">
        <f>IF(COUNTIFS('United Data'!$A$3:$A$3390,H$1,'United Data'!$C$3:$C$3390,$A542,'United Data'!$B$3:$B$3390,"&lt;&gt;Off-street")&gt;0,1,0)</f>
        <v>0</v>
      </c>
      <c r="I542">
        <f>IF(COUNTIFS('United Data'!$A$3:$A$3390,I$1,'United Data'!$C$3:$C$3390,$A542,'United Data'!$B$3:$B$3390,"&lt;&gt;Off-street")&gt;0,1,0)</f>
        <v>1</v>
      </c>
      <c r="J542">
        <f>IF(COUNTIFS('United Data'!$A$3:$A$3390,J$1,'United Data'!$C$3:$C$3390,$A542,'United Data'!$B$3:$B$3390,"&lt;&gt;Off-street")&gt;0,1,0)</f>
        <v>0</v>
      </c>
      <c r="K542">
        <f>IF(COUNTIFS('United Data'!$A$3:$A$3390,K$1,'United Data'!$C$3:$C$3390,$A542,'United Data'!$B$3:$B$3390,"&lt;&gt;Off-street")&gt;0,1,0)</f>
        <v>0</v>
      </c>
      <c r="L542">
        <f>IF(COUNTIFS('United Data'!$A$3:$A$3390,L$1,'United Data'!$C$3:$C$3390,$A542,'United Data'!$B$3:$B$3390,"&lt;&gt;Off-street")&gt;0,1,0)</f>
        <v>0</v>
      </c>
      <c r="M542">
        <f>IF(COUNTIFS('United Data'!$A$3:$A$3390,M$1,'United Data'!$C$3:$C$3390,$A542,'United Data'!$B$3:$B$3390,"&lt;&gt;Off-street")&gt;0,1,0)</f>
        <v>0</v>
      </c>
      <c r="N542">
        <f>IF(COUNTIFS('United Data'!$A$3:$A$3390,N$1,'United Data'!$C$3:$C$3390,$A542,'United Data'!$B$3:$B$3390,"&lt;&gt;Off-street")&gt;0,1,0)</f>
        <v>0</v>
      </c>
      <c r="O542">
        <f>IF(COUNTIFS('United Data'!$A$3:$A$3390,O$1,'United Data'!$C$3:$C$3390,$A542,'United Data'!$B$3:$B$3390,"&lt;&gt;Off-street")&gt;0,1,0)</f>
        <v>0</v>
      </c>
      <c r="P542">
        <f>IF(COUNTIFS('United Data'!$A$3:$A$3390,P$1,'United Data'!$C$3:$C$3390,$A542,'United Data'!$B$3:$B$3390,"&lt;&gt;Off-street")&gt;0,1,0)</f>
        <v>0</v>
      </c>
      <c r="Q542">
        <f>IF(COUNTIFS('United Data'!$A$3:$A$3390,Q$1,'United Data'!$C$3:$C$3390,$A542,'United Data'!$B$3:$B$3390,"&lt;&gt;Off-street")&gt;0,1,0)</f>
        <v>0</v>
      </c>
      <c r="R542">
        <f>IF(COUNTIFS('United Data'!$A$3:$A$3390,R$1,'United Data'!$C$3:$C$3390,$A542,'United Data'!$B$3:$B$3390,"&lt;&gt;Off-street")&gt;0,1,0)</f>
        <v>0</v>
      </c>
      <c r="S542">
        <f t="shared" si="16"/>
        <v>1</v>
      </c>
      <c r="T542">
        <f t="shared" si="17"/>
        <v>1</v>
      </c>
    </row>
    <row r="543" spans="1:20" x14ac:dyDescent="0.2">
      <c r="A543" t="s">
        <v>659</v>
      </c>
      <c r="B543">
        <f>IF(COUNTIFS('United Data'!$A$3:$A$3390,B$1,'United Data'!$C$3:$C$3390,$A543,'United Data'!$B$3:$B$3390,"&lt;&gt;Off-street")&gt;0,1,0)</f>
        <v>0</v>
      </c>
      <c r="C543">
        <f>IF(COUNTIFS('United Data'!$A$3:$A$3390,C$1,'United Data'!$C$3:$C$3390,$A543,'United Data'!$B$3:$B$3390,"&lt;&gt;Off-street")&gt;0,1,0)</f>
        <v>0</v>
      </c>
      <c r="D543">
        <f>IF(COUNTIFS('United Data'!$A$3:$A$3390,D$1,'United Data'!$C$3:$C$3390,$A543,'United Data'!$B$3:$B$3390,"&lt;&gt;Off-street")&gt;0,1,0)</f>
        <v>0</v>
      </c>
      <c r="E543">
        <f>IF(COUNTIFS('United Data'!$A$3:$A$3390,E$1,'United Data'!$C$3:$C$3390,$A543,'United Data'!$B$3:$B$3390,"&lt;&gt;Off-street")&gt;0,1,0)</f>
        <v>0</v>
      </c>
      <c r="F543">
        <f>IF(COUNTIFS('United Data'!$A$3:$A$3390,F$1,'United Data'!$C$3:$C$3390,$A543,'United Data'!$B$3:$B$3390,"&lt;&gt;Off-street")&gt;0,1,0)</f>
        <v>0</v>
      </c>
      <c r="G543">
        <f>IF(COUNTIFS('United Data'!$A$3:$A$3390,G$1,'United Data'!$C$3:$C$3390,$A543,'United Data'!$B$3:$B$3390,"&lt;&gt;Off-street")&gt;0,1,0)</f>
        <v>0</v>
      </c>
      <c r="H543">
        <f>IF(COUNTIFS('United Data'!$A$3:$A$3390,H$1,'United Data'!$C$3:$C$3390,$A543,'United Data'!$B$3:$B$3390,"&lt;&gt;Off-street")&gt;0,1,0)</f>
        <v>0</v>
      </c>
      <c r="I543">
        <f>IF(COUNTIFS('United Data'!$A$3:$A$3390,I$1,'United Data'!$C$3:$C$3390,$A543,'United Data'!$B$3:$B$3390,"&lt;&gt;Off-street")&gt;0,1,0)</f>
        <v>1</v>
      </c>
      <c r="J543">
        <f>IF(COUNTIFS('United Data'!$A$3:$A$3390,J$1,'United Data'!$C$3:$C$3390,$A543,'United Data'!$B$3:$B$3390,"&lt;&gt;Off-street")&gt;0,1,0)</f>
        <v>0</v>
      </c>
      <c r="K543">
        <f>IF(COUNTIFS('United Data'!$A$3:$A$3390,K$1,'United Data'!$C$3:$C$3390,$A543,'United Data'!$B$3:$B$3390,"&lt;&gt;Off-street")&gt;0,1,0)</f>
        <v>0</v>
      </c>
      <c r="L543">
        <f>IF(COUNTIFS('United Data'!$A$3:$A$3390,L$1,'United Data'!$C$3:$C$3390,$A543,'United Data'!$B$3:$B$3390,"&lt;&gt;Off-street")&gt;0,1,0)</f>
        <v>0</v>
      </c>
      <c r="M543">
        <f>IF(COUNTIFS('United Data'!$A$3:$A$3390,M$1,'United Data'!$C$3:$C$3390,$A543,'United Data'!$B$3:$B$3390,"&lt;&gt;Off-street")&gt;0,1,0)</f>
        <v>0</v>
      </c>
      <c r="N543">
        <f>IF(COUNTIFS('United Data'!$A$3:$A$3390,N$1,'United Data'!$C$3:$C$3390,$A543,'United Data'!$B$3:$B$3390,"&lt;&gt;Off-street")&gt;0,1,0)</f>
        <v>0</v>
      </c>
      <c r="O543">
        <f>IF(COUNTIFS('United Data'!$A$3:$A$3390,O$1,'United Data'!$C$3:$C$3390,$A543,'United Data'!$B$3:$B$3390,"&lt;&gt;Off-street")&gt;0,1,0)</f>
        <v>0</v>
      </c>
      <c r="P543">
        <f>IF(COUNTIFS('United Data'!$A$3:$A$3390,P$1,'United Data'!$C$3:$C$3390,$A543,'United Data'!$B$3:$B$3390,"&lt;&gt;Off-street")&gt;0,1,0)</f>
        <v>0</v>
      </c>
      <c r="Q543">
        <f>IF(COUNTIFS('United Data'!$A$3:$A$3390,Q$1,'United Data'!$C$3:$C$3390,$A543,'United Data'!$B$3:$B$3390,"&lt;&gt;Off-street")&gt;0,1,0)</f>
        <v>0</v>
      </c>
      <c r="R543">
        <f>IF(COUNTIFS('United Data'!$A$3:$A$3390,R$1,'United Data'!$C$3:$C$3390,$A543,'United Data'!$B$3:$B$3390,"&lt;&gt;Off-street")&gt;0,1,0)</f>
        <v>0</v>
      </c>
      <c r="S543">
        <f t="shared" si="16"/>
        <v>1</v>
      </c>
      <c r="T543">
        <f t="shared" si="17"/>
        <v>1</v>
      </c>
    </row>
    <row r="544" spans="1:20" x14ac:dyDescent="0.2">
      <c r="A544" t="s">
        <v>660</v>
      </c>
      <c r="B544">
        <f>IF(COUNTIFS('United Data'!$A$3:$A$3390,B$1,'United Data'!$C$3:$C$3390,$A544,'United Data'!$B$3:$B$3390,"&lt;&gt;Off-street")&gt;0,1,0)</f>
        <v>0</v>
      </c>
      <c r="C544">
        <f>IF(COUNTIFS('United Data'!$A$3:$A$3390,C$1,'United Data'!$C$3:$C$3390,$A544,'United Data'!$B$3:$B$3390,"&lt;&gt;Off-street")&gt;0,1,0)</f>
        <v>0</v>
      </c>
      <c r="D544">
        <f>IF(COUNTIFS('United Data'!$A$3:$A$3390,D$1,'United Data'!$C$3:$C$3390,$A544,'United Data'!$B$3:$B$3390,"&lt;&gt;Off-street")&gt;0,1,0)</f>
        <v>0</v>
      </c>
      <c r="E544">
        <f>IF(COUNTIFS('United Data'!$A$3:$A$3390,E$1,'United Data'!$C$3:$C$3390,$A544,'United Data'!$B$3:$B$3390,"&lt;&gt;Off-street")&gt;0,1,0)</f>
        <v>0</v>
      </c>
      <c r="F544">
        <f>IF(COUNTIFS('United Data'!$A$3:$A$3390,F$1,'United Data'!$C$3:$C$3390,$A544,'United Data'!$B$3:$B$3390,"&lt;&gt;Off-street")&gt;0,1,0)</f>
        <v>0</v>
      </c>
      <c r="G544">
        <f>IF(COUNTIFS('United Data'!$A$3:$A$3390,G$1,'United Data'!$C$3:$C$3390,$A544,'United Data'!$B$3:$B$3390,"&lt;&gt;Off-street")&gt;0,1,0)</f>
        <v>0</v>
      </c>
      <c r="H544">
        <f>IF(COUNTIFS('United Data'!$A$3:$A$3390,H$1,'United Data'!$C$3:$C$3390,$A544,'United Data'!$B$3:$B$3390,"&lt;&gt;Off-street")&gt;0,1,0)</f>
        <v>0</v>
      </c>
      <c r="I544">
        <f>IF(COUNTIFS('United Data'!$A$3:$A$3390,I$1,'United Data'!$C$3:$C$3390,$A544,'United Data'!$B$3:$B$3390,"&lt;&gt;Off-street")&gt;0,1,0)</f>
        <v>1</v>
      </c>
      <c r="J544">
        <f>IF(COUNTIFS('United Data'!$A$3:$A$3390,J$1,'United Data'!$C$3:$C$3390,$A544,'United Data'!$B$3:$B$3390,"&lt;&gt;Off-street")&gt;0,1,0)</f>
        <v>0</v>
      </c>
      <c r="K544">
        <f>IF(COUNTIFS('United Data'!$A$3:$A$3390,K$1,'United Data'!$C$3:$C$3390,$A544,'United Data'!$B$3:$B$3390,"&lt;&gt;Off-street")&gt;0,1,0)</f>
        <v>0</v>
      </c>
      <c r="L544">
        <f>IF(COUNTIFS('United Data'!$A$3:$A$3390,L$1,'United Data'!$C$3:$C$3390,$A544,'United Data'!$B$3:$B$3390,"&lt;&gt;Off-street")&gt;0,1,0)</f>
        <v>0</v>
      </c>
      <c r="M544">
        <f>IF(COUNTIFS('United Data'!$A$3:$A$3390,M$1,'United Data'!$C$3:$C$3390,$A544,'United Data'!$B$3:$B$3390,"&lt;&gt;Off-street")&gt;0,1,0)</f>
        <v>0</v>
      </c>
      <c r="N544">
        <f>IF(COUNTIFS('United Data'!$A$3:$A$3390,N$1,'United Data'!$C$3:$C$3390,$A544,'United Data'!$B$3:$B$3390,"&lt;&gt;Off-street")&gt;0,1,0)</f>
        <v>0</v>
      </c>
      <c r="O544">
        <f>IF(COUNTIFS('United Data'!$A$3:$A$3390,O$1,'United Data'!$C$3:$C$3390,$A544,'United Data'!$B$3:$B$3390,"&lt;&gt;Off-street")&gt;0,1,0)</f>
        <v>0</v>
      </c>
      <c r="P544">
        <f>IF(COUNTIFS('United Data'!$A$3:$A$3390,P$1,'United Data'!$C$3:$C$3390,$A544,'United Data'!$B$3:$B$3390,"&lt;&gt;Off-street")&gt;0,1,0)</f>
        <v>0</v>
      </c>
      <c r="Q544">
        <f>IF(COUNTIFS('United Data'!$A$3:$A$3390,Q$1,'United Data'!$C$3:$C$3390,$A544,'United Data'!$B$3:$B$3390,"&lt;&gt;Off-street")&gt;0,1,0)</f>
        <v>0</v>
      </c>
      <c r="R544">
        <f>IF(COUNTIFS('United Data'!$A$3:$A$3390,R$1,'United Data'!$C$3:$C$3390,$A544,'United Data'!$B$3:$B$3390,"&lt;&gt;Off-street")&gt;0,1,0)</f>
        <v>0</v>
      </c>
      <c r="S544">
        <f t="shared" si="16"/>
        <v>1</v>
      </c>
      <c r="T544">
        <f t="shared" si="17"/>
        <v>1</v>
      </c>
    </row>
    <row r="545" spans="1:20" x14ac:dyDescent="0.2">
      <c r="A545" t="s">
        <v>661</v>
      </c>
      <c r="B545">
        <f>IF(COUNTIFS('United Data'!$A$3:$A$3390,B$1,'United Data'!$C$3:$C$3390,$A545,'United Data'!$B$3:$B$3390,"&lt;&gt;Off-street")&gt;0,1,0)</f>
        <v>0</v>
      </c>
      <c r="C545">
        <f>IF(COUNTIFS('United Data'!$A$3:$A$3390,C$1,'United Data'!$C$3:$C$3390,$A545,'United Data'!$B$3:$B$3390,"&lt;&gt;Off-street")&gt;0,1,0)</f>
        <v>0</v>
      </c>
      <c r="D545">
        <f>IF(COUNTIFS('United Data'!$A$3:$A$3390,D$1,'United Data'!$C$3:$C$3390,$A545,'United Data'!$B$3:$B$3390,"&lt;&gt;Off-street")&gt;0,1,0)</f>
        <v>0</v>
      </c>
      <c r="E545">
        <f>IF(COUNTIFS('United Data'!$A$3:$A$3390,E$1,'United Data'!$C$3:$C$3390,$A545,'United Data'!$B$3:$B$3390,"&lt;&gt;Off-street")&gt;0,1,0)</f>
        <v>0</v>
      </c>
      <c r="F545">
        <f>IF(COUNTIFS('United Data'!$A$3:$A$3390,F$1,'United Data'!$C$3:$C$3390,$A545,'United Data'!$B$3:$B$3390,"&lt;&gt;Off-street")&gt;0,1,0)</f>
        <v>0</v>
      </c>
      <c r="G545">
        <f>IF(COUNTIFS('United Data'!$A$3:$A$3390,G$1,'United Data'!$C$3:$C$3390,$A545,'United Data'!$B$3:$B$3390,"&lt;&gt;Off-street")&gt;0,1,0)</f>
        <v>0</v>
      </c>
      <c r="H545">
        <f>IF(COUNTIFS('United Data'!$A$3:$A$3390,H$1,'United Data'!$C$3:$C$3390,$A545,'United Data'!$B$3:$B$3390,"&lt;&gt;Off-street")&gt;0,1,0)</f>
        <v>0</v>
      </c>
      <c r="I545">
        <f>IF(COUNTIFS('United Data'!$A$3:$A$3390,I$1,'United Data'!$C$3:$C$3390,$A545,'United Data'!$B$3:$B$3390,"&lt;&gt;Off-street")&gt;0,1,0)</f>
        <v>1</v>
      </c>
      <c r="J545">
        <f>IF(COUNTIFS('United Data'!$A$3:$A$3390,J$1,'United Data'!$C$3:$C$3390,$A545,'United Data'!$B$3:$B$3390,"&lt;&gt;Off-street")&gt;0,1,0)</f>
        <v>0</v>
      </c>
      <c r="K545">
        <f>IF(COUNTIFS('United Data'!$A$3:$A$3390,K$1,'United Data'!$C$3:$C$3390,$A545,'United Data'!$B$3:$B$3390,"&lt;&gt;Off-street")&gt;0,1,0)</f>
        <v>0</v>
      </c>
      <c r="L545">
        <f>IF(COUNTIFS('United Data'!$A$3:$A$3390,L$1,'United Data'!$C$3:$C$3390,$A545,'United Data'!$B$3:$B$3390,"&lt;&gt;Off-street")&gt;0,1,0)</f>
        <v>0</v>
      </c>
      <c r="M545">
        <f>IF(COUNTIFS('United Data'!$A$3:$A$3390,M$1,'United Data'!$C$3:$C$3390,$A545,'United Data'!$B$3:$B$3390,"&lt;&gt;Off-street")&gt;0,1,0)</f>
        <v>0</v>
      </c>
      <c r="N545">
        <f>IF(COUNTIFS('United Data'!$A$3:$A$3390,N$1,'United Data'!$C$3:$C$3390,$A545,'United Data'!$B$3:$B$3390,"&lt;&gt;Off-street")&gt;0,1,0)</f>
        <v>0</v>
      </c>
      <c r="O545">
        <f>IF(COUNTIFS('United Data'!$A$3:$A$3390,O$1,'United Data'!$C$3:$C$3390,$A545,'United Data'!$B$3:$B$3390,"&lt;&gt;Off-street")&gt;0,1,0)</f>
        <v>0</v>
      </c>
      <c r="P545">
        <f>IF(COUNTIFS('United Data'!$A$3:$A$3390,P$1,'United Data'!$C$3:$C$3390,$A545,'United Data'!$B$3:$B$3390,"&lt;&gt;Off-street")&gt;0,1,0)</f>
        <v>0</v>
      </c>
      <c r="Q545">
        <f>IF(COUNTIFS('United Data'!$A$3:$A$3390,Q$1,'United Data'!$C$3:$C$3390,$A545,'United Data'!$B$3:$B$3390,"&lt;&gt;Off-street")&gt;0,1,0)</f>
        <v>0</v>
      </c>
      <c r="R545">
        <f>IF(COUNTIFS('United Data'!$A$3:$A$3390,R$1,'United Data'!$C$3:$C$3390,$A545,'United Data'!$B$3:$B$3390,"&lt;&gt;Off-street")&gt;0,1,0)</f>
        <v>0</v>
      </c>
      <c r="S545">
        <f t="shared" si="16"/>
        <v>1</v>
      </c>
      <c r="T545">
        <f t="shared" si="17"/>
        <v>1</v>
      </c>
    </row>
    <row r="546" spans="1:20" x14ac:dyDescent="0.2">
      <c r="A546" t="s">
        <v>662</v>
      </c>
      <c r="B546">
        <f>IF(COUNTIFS('United Data'!$A$3:$A$3390,B$1,'United Data'!$C$3:$C$3390,$A546,'United Data'!$B$3:$B$3390,"&lt;&gt;Off-street")&gt;0,1,0)</f>
        <v>0</v>
      </c>
      <c r="C546">
        <f>IF(COUNTIFS('United Data'!$A$3:$A$3390,C$1,'United Data'!$C$3:$C$3390,$A546,'United Data'!$B$3:$B$3390,"&lt;&gt;Off-street")&gt;0,1,0)</f>
        <v>0</v>
      </c>
      <c r="D546">
        <f>IF(COUNTIFS('United Data'!$A$3:$A$3390,D$1,'United Data'!$C$3:$C$3390,$A546,'United Data'!$B$3:$B$3390,"&lt;&gt;Off-street")&gt;0,1,0)</f>
        <v>0</v>
      </c>
      <c r="E546">
        <f>IF(COUNTIFS('United Data'!$A$3:$A$3390,E$1,'United Data'!$C$3:$C$3390,$A546,'United Data'!$B$3:$B$3390,"&lt;&gt;Off-street")&gt;0,1,0)</f>
        <v>0</v>
      </c>
      <c r="F546">
        <f>IF(COUNTIFS('United Data'!$A$3:$A$3390,F$1,'United Data'!$C$3:$C$3390,$A546,'United Data'!$B$3:$B$3390,"&lt;&gt;Off-street")&gt;0,1,0)</f>
        <v>0</v>
      </c>
      <c r="G546">
        <f>IF(COUNTIFS('United Data'!$A$3:$A$3390,G$1,'United Data'!$C$3:$C$3390,$A546,'United Data'!$B$3:$B$3390,"&lt;&gt;Off-street")&gt;0,1,0)</f>
        <v>0</v>
      </c>
      <c r="H546">
        <f>IF(COUNTIFS('United Data'!$A$3:$A$3390,H$1,'United Data'!$C$3:$C$3390,$A546,'United Data'!$B$3:$B$3390,"&lt;&gt;Off-street")&gt;0,1,0)</f>
        <v>0</v>
      </c>
      <c r="I546">
        <f>IF(COUNTIFS('United Data'!$A$3:$A$3390,I$1,'United Data'!$C$3:$C$3390,$A546,'United Data'!$B$3:$B$3390,"&lt;&gt;Off-street")&gt;0,1,0)</f>
        <v>1</v>
      </c>
      <c r="J546">
        <f>IF(COUNTIFS('United Data'!$A$3:$A$3390,J$1,'United Data'!$C$3:$C$3390,$A546,'United Data'!$B$3:$B$3390,"&lt;&gt;Off-street")&gt;0,1,0)</f>
        <v>0</v>
      </c>
      <c r="K546">
        <f>IF(COUNTIFS('United Data'!$A$3:$A$3390,K$1,'United Data'!$C$3:$C$3390,$A546,'United Data'!$B$3:$B$3390,"&lt;&gt;Off-street")&gt;0,1,0)</f>
        <v>0</v>
      </c>
      <c r="L546">
        <f>IF(COUNTIFS('United Data'!$A$3:$A$3390,L$1,'United Data'!$C$3:$C$3390,$A546,'United Data'!$B$3:$B$3390,"&lt;&gt;Off-street")&gt;0,1,0)</f>
        <v>0</v>
      </c>
      <c r="M546">
        <f>IF(COUNTIFS('United Data'!$A$3:$A$3390,M$1,'United Data'!$C$3:$C$3390,$A546,'United Data'!$B$3:$B$3390,"&lt;&gt;Off-street")&gt;0,1,0)</f>
        <v>0</v>
      </c>
      <c r="N546">
        <f>IF(COUNTIFS('United Data'!$A$3:$A$3390,N$1,'United Data'!$C$3:$C$3390,$A546,'United Data'!$B$3:$B$3390,"&lt;&gt;Off-street")&gt;0,1,0)</f>
        <v>0</v>
      </c>
      <c r="O546">
        <f>IF(COUNTIFS('United Data'!$A$3:$A$3390,O$1,'United Data'!$C$3:$C$3390,$A546,'United Data'!$B$3:$B$3390,"&lt;&gt;Off-street")&gt;0,1,0)</f>
        <v>0</v>
      </c>
      <c r="P546">
        <f>IF(COUNTIFS('United Data'!$A$3:$A$3390,P$1,'United Data'!$C$3:$C$3390,$A546,'United Data'!$B$3:$B$3390,"&lt;&gt;Off-street")&gt;0,1,0)</f>
        <v>0</v>
      </c>
      <c r="Q546">
        <f>IF(COUNTIFS('United Data'!$A$3:$A$3390,Q$1,'United Data'!$C$3:$C$3390,$A546,'United Data'!$B$3:$B$3390,"&lt;&gt;Off-street")&gt;0,1,0)</f>
        <v>0</v>
      </c>
      <c r="R546">
        <f>IF(COUNTIFS('United Data'!$A$3:$A$3390,R$1,'United Data'!$C$3:$C$3390,$A546,'United Data'!$B$3:$B$3390,"&lt;&gt;Off-street")&gt;0,1,0)</f>
        <v>0</v>
      </c>
      <c r="S546">
        <f t="shared" si="16"/>
        <v>1</v>
      </c>
      <c r="T546">
        <f t="shared" si="17"/>
        <v>1</v>
      </c>
    </row>
    <row r="547" spans="1:20" x14ac:dyDescent="0.2">
      <c r="A547" t="s">
        <v>663</v>
      </c>
      <c r="B547">
        <f>IF(COUNTIFS('United Data'!$A$3:$A$3390,B$1,'United Data'!$C$3:$C$3390,$A547,'United Data'!$B$3:$B$3390,"&lt;&gt;Off-street")&gt;0,1,0)</f>
        <v>0</v>
      </c>
      <c r="C547">
        <f>IF(COUNTIFS('United Data'!$A$3:$A$3390,C$1,'United Data'!$C$3:$C$3390,$A547,'United Data'!$B$3:$B$3390,"&lt;&gt;Off-street")&gt;0,1,0)</f>
        <v>0</v>
      </c>
      <c r="D547">
        <f>IF(COUNTIFS('United Data'!$A$3:$A$3390,D$1,'United Data'!$C$3:$C$3390,$A547,'United Data'!$B$3:$B$3390,"&lt;&gt;Off-street")&gt;0,1,0)</f>
        <v>0</v>
      </c>
      <c r="E547">
        <f>IF(COUNTIFS('United Data'!$A$3:$A$3390,E$1,'United Data'!$C$3:$C$3390,$A547,'United Data'!$B$3:$B$3390,"&lt;&gt;Off-street")&gt;0,1,0)</f>
        <v>0</v>
      </c>
      <c r="F547">
        <f>IF(COUNTIFS('United Data'!$A$3:$A$3390,F$1,'United Data'!$C$3:$C$3390,$A547,'United Data'!$B$3:$B$3390,"&lt;&gt;Off-street")&gt;0,1,0)</f>
        <v>0</v>
      </c>
      <c r="G547">
        <f>IF(COUNTIFS('United Data'!$A$3:$A$3390,G$1,'United Data'!$C$3:$C$3390,$A547,'United Data'!$B$3:$B$3390,"&lt;&gt;Off-street")&gt;0,1,0)</f>
        <v>0</v>
      </c>
      <c r="H547">
        <f>IF(COUNTIFS('United Data'!$A$3:$A$3390,H$1,'United Data'!$C$3:$C$3390,$A547,'United Data'!$B$3:$B$3390,"&lt;&gt;Off-street")&gt;0,1,0)</f>
        <v>0</v>
      </c>
      <c r="I547">
        <f>IF(COUNTIFS('United Data'!$A$3:$A$3390,I$1,'United Data'!$C$3:$C$3390,$A547,'United Data'!$B$3:$B$3390,"&lt;&gt;Off-street")&gt;0,1,0)</f>
        <v>1</v>
      </c>
      <c r="J547">
        <f>IF(COUNTIFS('United Data'!$A$3:$A$3390,J$1,'United Data'!$C$3:$C$3390,$A547,'United Data'!$B$3:$B$3390,"&lt;&gt;Off-street")&gt;0,1,0)</f>
        <v>0</v>
      </c>
      <c r="K547">
        <f>IF(COUNTIFS('United Data'!$A$3:$A$3390,K$1,'United Data'!$C$3:$C$3390,$A547,'United Data'!$B$3:$B$3390,"&lt;&gt;Off-street")&gt;0,1,0)</f>
        <v>0</v>
      </c>
      <c r="L547">
        <f>IF(COUNTIFS('United Data'!$A$3:$A$3390,L$1,'United Data'!$C$3:$C$3390,$A547,'United Data'!$B$3:$B$3390,"&lt;&gt;Off-street")&gt;0,1,0)</f>
        <v>0</v>
      </c>
      <c r="M547">
        <f>IF(COUNTIFS('United Data'!$A$3:$A$3390,M$1,'United Data'!$C$3:$C$3390,$A547,'United Data'!$B$3:$B$3390,"&lt;&gt;Off-street")&gt;0,1,0)</f>
        <v>0</v>
      </c>
      <c r="N547">
        <f>IF(COUNTIFS('United Data'!$A$3:$A$3390,N$1,'United Data'!$C$3:$C$3390,$A547,'United Data'!$B$3:$B$3390,"&lt;&gt;Off-street")&gt;0,1,0)</f>
        <v>0</v>
      </c>
      <c r="O547">
        <f>IF(COUNTIFS('United Data'!$A$3:$A$3390,O$1,'United Data'!$C$3:$C$3390,$A547,'United Data'!$B$3:$B$3390,"&lt;&gt;Off-street")&gt;0,1,0)</f>
        <v>0</v>
      </c>
      <c r="P547">
        <f>IF(COUNTIFS('United Data'!$A$3:$A$3390,P$1,'United Data'!$C$3:$C$3390,$A547,'United Data'!$B$3:$B$3390,"&lt;&gt;Off-street")&gt;0,1,0)</f>
        <v>0</v>
      </c>
      <c r="Q547">
        <f>IF(COUNTIFS('United Data'!$A$3:$A$3390,Q$1,'United Data'!$C$3:$C$3390,$A547,'United Data'!$B$3:$B$3390,"&lt;&gt;Off-street")&gt;0,1,0)</f>
        <v>0</v>
      </c>
      <c r="R547">
        <f>IF(COUNTIFS('United Data'!$A$3:$A$3390,R$1,'United Data'!$C$3:$C$3390,$A547,'United Data'!$B$3:$B$3390,"&lt;&gt;Off-street")&gt;0,1,0)</f>
        <v>0</v>
      </c>
      <c r="S547">
        <f t="shared" si="16"/>
        <v>1</v>
      </c>
      <c r="T547">
        <f t="shared" si="17"/>
        <v>1</v>
      </c>
    </row>
    <row r="548" spans="1:20" x14ac:dyDescent="0.2">
      <c r="A548" t="s">
        <v>664</v>
      </c>
      <c r="B548">
        <f>IF(COUNTIFS('United Data'!$A$3:$A$3390,B$1,'United Data'!$C$3:$C$3390,$A548,'United Data'!$B$3:$B$3390,"&lt;&gt;Off-street")&gt;0,1,0)</f>
        <v>0</v>
      </c>
      <c r="C548">
        <f>IF(COUNTIFS('United Data'!$A$3:$A$3390,C$1,'United Data'!$C$3:$C$3390,$A548,'United Data'!$B$3:$B$3390,"&lt;&gt;Off-street")&gt;0,1,0)</f>
        <v>0</v>
      </c>
      <c r="D548">
        <f>IF(COUNTIFS('United Data'!$A$3:$A$3390,D$1,'United Data'!$C$3:$C$3390,$A548,'United Data'!$B$3:$B$3390,"&lt;&gt;Off-street")&gt;0,1,0)</f>
        <v>0</v>
      </c>
      <c r="E548">
        <f>IF(COUNTIFS('United Data'!$A$3:$A$3390,E$1,'United Data'!$C$3:$C$3390,$A548,'United Data'!$B$3:$B$3390,"&lt;&gt;Off-street")&gt;0,1,0)</f>
        <v>1</v>
      </c>
      <c r="F548">
        <f>IF(COUNTIFS('United Data'!$A$3:$A$3390,F$1,'United Data'!$C$3:$C$3390,$A548,'United Data'!$B$3:$B$3390,"&lt;&gt;Off-street")&gt;0,1,0)</f>
        <v>1</v>
      </c>
      <c r="G548">
        <f>IF(COUNTIFS('United Data'!$A$3:$A$3390,G$1,'United Data'!$C$3:$C$3390,$A548,'United Data'!$B$3:$B$3390,"&lt;&gt;Off-street")&gt;0,1,0)</f>
        <v>1</v>
      </c>
      <c r="H548">
        <f>IF(COUNTIFS('United Data'!$A$3:$A$3390,H$1,'United Data'!$C$3:$C$3390,$A548,'United Data'!$B$3:$B$3390,"&lt;&gt;Off-street")&gt;0,1,0)</f>
        <v>0</v>
      </c>
      <c r="I548">
        <f>IF(COUNTIFS('United Data'!$A$3:$A$3390,I$1,'United Data'!$C$3:$C$3390,$A548,'United Data'!$B$3:$B$3390,"&lt;&gt;Off-street")&gt;0,1,0)</f>
        <v>1</v>
      </c>
      <c r="J548">
        <f>IF(COUNTIFS('United Data'!$A$3:$A$3390,J$1,'United Data'!$C$3:$C$3390,$A548,'United Data'!$B$3:$B$3390,"&lt;&gt;Off-street")&gt;0,1,0)</f>
        <v>0</v>
      </c>
      <c r="K548">
        <f>IF(COUNTIFS('United Data'!$A$3:$A$3390,K$1,'United Data'!$C$3:$C$3390,$A548,'United Data'!$B$3:$B$3390,"&lt;&gt;Off-street")&gt;0,1,0)</f>
        <v>0</v>
      </c>
      <c r="L548">
        <f>IF(COUNTIFS('United Data'!$A$3:$A$3390,L$1,'United Data'!$C$3:$C$3390,$A548,'United Data'!$B$3:$B$3390,"&lt;&gt;Off-street")&gt;0,1,0)</f>
        <v>1</v>
      </c>
      <c r="M548">
        <f>IF(COUNTIFS('United Data'!$A$3:$A$3390,M$1,'United Data'!$C$3:$C$3390,$A548,'United Data'!$B$3:$B$3390,"&lt;&gt;Off-street")&gt;0,1,0)</f>
        <v>0</v>
      </c>
      <c r="N548">
        <f>IF(COUNTIFS('United Data'!$A$3:$A$3390,N$1,'United Data'!$C$3:$C$3390,$A548,'United Data'!$B$3:$B$3390,"&lt;&gt;Off-street")&gt;0,1,0)</f>
        <v>0</v>
      </c>
      <c r="O548">
        <f>IF(COUNTIFS('United Data'!$A$3:$A$3390,O$1,'United Data'!$C$3:$C$3390,$A548,'United Data'!$B$3:$B$3390,"&lt;&gt;Off-street")&gt;0,1,0)</f>
        <v>0</v>
      </c>
      <c r="P548">
        <f>IF(COUNTIFS('United Data'!$A$3:$A$3390,P$1,'United Data'!$C$3:$C$3390,$A548,'United Data'!$B$3:$B$3390,"&lt;&gt;Off-street")&gt;0,1,0)</f>
        <v>0</v>
      </c>
      <c r="Q548">
        <f>IF(COUNTIFS('United Data'!$A$3:$A$3390,Q$1,'United Data'!$C$3:$C$3390,$A548,'United Data'!$B$3:$B$3390,"&lt;&gt;Off-street")&gt;0,1,0)</f>
        <v>0</v>
      </c>
      <c r="R548">
        <f>IF(COUNTIFS('United Data'!$A$3:$A$3390,R$1,'United Data'!$C$3:$C$3390,$A548,'United Data'!$B$3:$B$3390,"&lt;&gt;Off-street")&gt;0,1,0)</f>
        <v>0</v>
      </c>
      <c r="S548">
        <f t="shared" si="16"/>
        <v>5</v>
      </c>
      <c r="T548">
        <f t="shared" si="17"/>
        <v>3</v>
      </c>
    </row>
    <row r="549" spans="1:20" x14ac:dyDescent="0.2">
      <c r="A549" t="s">
        <v>665</v>
      </c>
      <c r="B549">
        <f>IF(COUNTIFS('United Data'!$A$3:$A$3390,B$1,'United Data'!$C$3:$C$3390,$A549,'United Data'!$B$3:$B$3390,"&lt;&gt;Off-street")&gt;0,1,0)</f>
        <v>0</v>
      </c>
      <c r="C549">
        <f>IF(COUNTIFS('United Data'!$A$3:$A$3390,C$1,'United Data'!$C$3:$C$3390,$A549,'United Data'!$B$3:$B$3390,"&lt;&gt;Off-street")&gt;0,1,0)</f>
        <v>0</v>
      </c>
      <c r="D549">
        <f>IF(COUNTIFS('United Data'!$A$3:$A$3390,D$1,'United Data'!$C$3:$C$3390,$A549,'United Data'!$B$3:$B$3390,"&lt;&gt;Off-street")&gt;0,1,0)</f>
        <v>0</v>
      </c>
      <c r="E549">
        <f>IF(COUNTIFS('United Data'!$A$3:$A$3390,E$1,'United Data'!$C$3:$C$3390,$A549,'United Data'!$B$3:$B$3390,"&lt;&gt;Off-street")&gt;0,1,0)</f>
        <v>0</v>
      </c>
      <c r="F549">
        <f>IF(COUNTIFS('United Data'!$A$3:$A$3390,F$1,'United Data'!$C$3:$C$3390,$A549,'United Data'!$B$3:$B$3390,"&lt;&gt;Off-street")&gt;0,1,0)</f>
        <v>0</v>
      </c>
      <c r="G549">
        <f>IF(COUNTIFS('United Data'!$A$3:$A$3390,G$1,'United Data'!$C$3:$C$3390,$A549,'United Data'!$B$3:$B$3390,"&lt;&gt;Off-street")&gt;0,1,0)</f>
        <v>0</v>
      </c>
      <c r="H549">
        <f>IF(COUNTIFS('United Data'!$A$3:$A$3390,H$1,'United Data'!$C$3:$C$3390,$A549,'United Data'!$B$3:$B$3390,"&lt;&gt;Off-street")&gt;0,1,0)</f>
        <v>0</v>
      </c>
      <c r="I549">
        <f>IF(COUNTIFS('United Data'!$A$3:$A$3390,I$1,'United Data'!$C$3:$C$3390,$A549,'United Data'!$B$3:$B$3390,"&lt;&gt;Off-street")&gt;0,1,0)</f>
        <v>1</v>
      </c>
      <c r="J549">
        <f>IF(COUNTIFS('United Data'!$A$3:$A$3390,J$1,'United Data'!$C$3:$C$3390,$A549,'United Data'!$B$3:$B$3390,"&lt;&gt;Off-street")&gt;0,1,0)</f>
        <v>0</v>
      </c>
      <c r="K549">
        <f>IF(COUNTIFS('United Data'!$A$3:$A$3390,K$1,'United Data'!$C$3:$C$3390,$A549,'United Data'!$B$3:$B$3390,"&lt;&gt;Off-street")&gt;0,1,0)</f>
        <v>0</v>
      </c>
      <c r="L549">
        <f>IF(COUNTIFS('United Data'!$A$3:$A$3390,L$1,'United Data'!$C$3:$C$3390,$A549,'United Data'!$B$3:$B$3390,"&lt;&gt;Off-street")&gt;0,1,0)</f>
        <v>0</v>
      </c>
      <c r="M549">
        <f>IF(COUNTIFS('United Data'!$A$3:$A$3390,M$1,'United Data'!$C$3:$C$3390,$A549,'United Data'!$B$3:$B$3390,"&lt;&gt;Off-street")&gt;0,1,0)</f>
        <v>0</v>
      </c>
      <c r="N549">
        <f>IF(COUNTIFS('United Data'!$A$3:$A$3390,N$1,'United Data'!$C$3:$C$3390,$A549,'United Data'!$B$3:$B$3390,"&lt;&gt;Off-street")&gt;0,1,0)</f>
        <v>0</v>
      </c>
      <c r="O549">
        <f>IF(COUNTIFS('United Data'!$A$3:$A$3390,O$1,'United Data'!$C$3:$C$3390,$A549,'United Data'!$B$3:$B$3390,"&lt;&gt;Off-street")&gt;0,1,0)</f>
        <v>0</v>
      </c>
      <c r="P549">
        <f>IF(COUNTIFS('United Data'!$A$3:$A$3390,P$1,'United Data'!$C$3:$C$3390,$A549,'United Data'!$B$3:$B$3390,"&lt;&gt;Off-street")&gt;0,1,0)</f>
        <v>0</v>
      </c>
      <c r="Q549">
        <f>IF(COUNTIFS('United Data'!$A$3:$A$3390,Q$1,'United Data'!$C$3:$C$3390,$A549,'United Data'!$B$3:$B$3390,"&lt;&gt;Off-street")&gt;0,1,0)</f>
        <v>0</v>
      </c>
      <c r="R549">
        <f>IF(COUNTIFS('United Data'!$A$3:$A$3390,R$1,'United Data'!$C$3:$C$3390,$A549,'United Data'!$B$3:$B$3390,"&lt;&gt;Off-street")&gt;0,1,0)</f>
        <v>0</v>
      </c>
      <c r="S549">
        <f t="shared" si="16"/>
        <v>1</v>
      </c>
      <c r="T549">
        <f t="shared" si="17"/>
        <v>1</v>
      </c>
    </row>
    <row r="550" spans="1:20" x14ac:dyDescent="0.2">
      <c r="A550" t="s">
        <v>667</v>
      </c>
      <c r="B550">
        <f>IF(COUNTIFS('United Data'!$A$3:$A$3390,B$1,'United Data'!$C$3:$C$3390,$A550,'United Data'!$B$3:$B$3390,"&lt;&gt;Off-street")&gt;0,1,0)</f>
        <v>0</v>
      </c>
      <c r="C550">
        <f>IF(COUNTIFS('United Data'!$A$3:$A$3390,C$1,'United Data'!$C$3:$C$3390,$A550,'United Data'!$B$3:$B$3390,"&lt;&gt;Off-street")&gt;0,1,0)</f>
        <v>0</v>
      </c>
      <c r="D550">
        <f>IF(COUNTIFS('United Data'!$A$3:$A$3390,D$1,'United Data'!$C$3:$C$3390,$A550,'United Data'!$B$3:$B$3390,"&lt;&gt;Off-street")&gt;0,1,0)</f>
        <v>0</v>
      </c>
      <c r="E550">
        <f>IF(COUNTIFS('United Data'!$A$3:$A$3390,E$1,'United Data'!$C$3:$C$3390,$A550,'United Data'!$B$3:$B$3390,"&lt;&gt;Off-street")&gt;0,1,0)</f>
        <v>0</v>
      </c>
      <c r="F550">
        <f>IF(COUNTIFS('United Data'!$A$3:$A$3390,F$1,'United Data'!$C$3:$C$3390,$A550,'United Data'!$B$3:$B$3390,"&lt;&gt;Off-street")&gt;0,1,0)</f>
        <v>0</v>
      </c>
      <c r="G550">
        <f>IF(COUNTIFS('United Data'!$A$3:$A$3390,G$1,'United Data'!$C$3:$C$3390,$A550,'United Data'!$B$3:$B$3390,"&lt;&gt;Off-street")&gt;0,1,0)</f>
        <v>0</v>
      </c>
      <c r="H550">
        <f>IF(COUNTIFS('United Data'!$A$3:$A$3390,H$1,'United Data'!$C$3:$C$3390,$A550,'United Data'!$B$3:$B$3390,"&lt;&gt;Off-street")&gt;0,1,0)</f>
        <v>0</v>
      </c>
      <c r="I550">
        <f>IF(COUNTIFS('United Data'!$A$3:$A$3390,I$1,'United Data'!$C$3:$C$3390,$A550,'United Data'!$B$3:$B$3390,"&lt;&gt;Off-street")&gt;0,1,0)</f>
        <v>0</v>
      </c>
      <c r="J550">
        <f>IF(COUNTIFS('United Data'!$A$3:$A$3390,J$1,'United Data'!$C$3:$C$3390,$A550,'United Data'!$B$3:$B$3390,"&lt;&gt;Off-street")&gt;0,1,0)</f>
        <v>1</v>
      </c>
      <c r="K550">
        <f>IF(COUNTIFS('United Data'!$A$3:$A$3390,K$1,'United Data'!$C$3:$C$3390,$A550,'United Data'!$B$3:$B$3390,"&lt;&gt;Off-street")&gt;0,1,0)</f>
        <v>0</v>
      </c>
      <c r="L550">
        <f>IF(COUNTIFS('United Data'!$A$3:$A$3390,L$1,'United Data'!$C$3:$C$3390,$A550,'United Data'!$B$3:$B$3390,"&lt;&gt;Off-street")&gt;0,1,0)</f>
        <v>0</v>
      </c>
      <c r="M550">
        <f>IF(COUNTIFS('United Data'!$A$3:$A$3390,M$1,'United Data'!$C$3:$C$3390,$A550,'United Data'!$B$3:$B$3390,"&lt;&gt;Off-street")&gt;0,1,0)</f>
        <v>0</v>
      </c>
      <c r="N550">
        <f>IF(COUNTIFS('United Data'!$A$3:$A$3390,N$1,'United Data'!$C$3:$C$3390,$A550,'United Data'!$B$3:$B$3390,"&lt;&gt;Off-street")&gt;0,1,0)</f>
        <v>0</v>
      </c>
      <c r="O550">
        <f>IF(COUNTIFS('United Data'!$A$3:$A$3390,O$1,'United Data'!$C$3:$C$3390,$A550,'United Data'!$B$3:$B$3390,"&lt;&gt;Off-street")&gt;0,1,0)</f>
        <v>0</v>
      </c>
      <c r="P550">
        <f>IF(COUNTIFS('United Data'!$A$3:$A$3390,P$1,'United Data'!$C$3:$C$3390,$A550,'United Data'!$B$3:$B$3390,"&lt;&gt;Off-street")&gt;0,1,0)</f>
        <v>0</v>
      </c>
      <c r="Q550">
        <f>IF(COUNTIFS('United Data'!$A$3:$A$3390,Q$1,'United Data'!$C$3:$C$3390,$A550,'United Data'!$B$3:$B$3390,"&lt;&gt;Off-street")&gt;0,1,0)</f>
        <v>0</v>
      </c>
      <c r="R550">
        <f>IF(COUNTIFS('United Data'!$A$3:$A$3390,R$1,'United Data'!$C$3:$C$3390,$A550,'United Data'!$B$3:$B$3390,"&lt;&gt;Off-street")&gt;0,1,0)</f>
        <v>0</v>
      </c>
      <c r="S550">
        <f t="shared" si="16"/>
        <v>1</v>
      </c>
      <c r="T550">
        <f t="shared" si="17"/>
        <v>1</v>
      </c>
    </row>
    <row r="551" spans="1:20" x14ac:dyDescent="0.2">
      <c r="A551" t="s">
        <v>668</v>
      </c>
      <c r="B551">
        <f>IF(COUNTIFS('United Data'!$A$3:$A$3390,B$1,'United Data'!$C$3:$C$3390,$A551,'United Data'!$B$3:$B$3390,"&lt;&gt;Off-street")&gt;0,1,0)</f>
        <v>0</v>
      </c>
      <c r="C551">
        <f>IF(COUNTIFS('United Data'!$A$3:$A$3390,C$1,'United Data'!$C$3:$C$3390,$A551,'United Data'!$B$3:$B$3390,"&lt;&gt;Off-street")&gt;0,1,0)</f>
        <v>0</v>
      </c>
      <c r="D551">
        <f>IF(COUNTIFS('United Data'!$A$3:$A$3390,D$1,'United Data'!$C$3:$C$3390,$A551,'United Data'!$B$3:$B$3390,"&lt;&gt;Off-street")&gt;0,1,0)</f>
        <v>0</v>
      </c>
      <c r="E551">
        <f>IF(COUNTIFS('United Data'!$A$3:$A$3390,E$1,'United Data'!$C$3:$C$3390,$A551,'United Data'!$B$3:$B$3390,"&lt;&gt;Off-street")&gt;0,1,0)</f>
        <v>0</v>
      </c>
      <c r="F551">
        <f>IF(COUNTIFS('United Data'!$A$3:$A$3390,F$1,'United Data'!$C$3:$C$3390,$A551,'United Data'!$B$3:$B$3390,"&lt;&gt;Off-street")&gt;0,1,0)</f>
        <v>0</v>
      </c>
      <c r="G551">
        <f>IF(COUNTIFS('United Data'!$A$3:$A$3390,G$1,'United Data'!$C$3:$C$3390,$A551,'United Data'!$B$3:$B$3390,"&lt;&gt;Off-street")&gt;0,1,0)</f>
        <v>0</v>
      </c>
      <c r="H551">
        <f>IF(COUNTIFS('United Data'!$A$3:$A$3390,H$1,'United Data'!$C$3:$C$3390,$A551,'United Data'!$B$3:$B$3390,"&lt;&gt;Off-street")&gt;0,1,0)</f>
        <v>0</v>
      </c>
      <c r="I551">
        <f>IF(COUNTIFS('United Data'!$A$3:$A$3390,I$1,'United Data'!$C$3:$C$3390,$A551,'United Data'!$B$3:$B$3390,"&lt;&gt;Off-street")&gt;0,1,0)</f>
        <v>0</v>
      </c>
      <c r="J551">
        <f>IF(COUNTIFS('United Data'!$A$3:$A$3390,J$1,'United Data'!$C$3:$C$3390,$A551,'United Data'!$B$3:$B$3390,"&lt;&gt;Off-street")&gt;0,1,0)</f>
        <v>0</v>
      </c>
      <c r="K551">
        <f>IF(COUNTIFS('United Data'!$A$3:$A$3390,K$1,'United Data'!$C$3:$C$3390,$A551,'United Data'!$B$3:$B$3390,"&lt;&gt;Off-street")&gt;0,1,0)</f>
        <v>1</v>
      </c>
      <c r="L551">
        <f>IF(COUNTIFS('United Data'!$A$3:$A$3390,L$1,'United Data'!$C$3:$C$3390,$A551,'United Data'!$B$3:$B$3390,"&lt;&gt;Off-street")&gt;0,1,0)</f>
        <v>0</v>
      </c>
      <c r="M551">
        <f>IF(COUNTIFS('United Data'!$A$3:$A$3390,M$1,'United Data'!$C$3:$C$3390,$A551,'United Data'!$B$3:$B$3390,"&lt;&gt;Off-street")&gt;0,1,0)</f>
        <v>0</v>
      </c>
      <c r="N551">
        <f>IF(COUNTIFS('United Data'!$A$3:$A$3390,N$1,'United Data'!$C$3:$C$3390,$A551,'United Data'!$B$3:$B$3390,"&lt;&gt;Off-street")&gt;0,1,0)</f>
        <v>0</v>
      </c>
      <c r="O551">
        <f>IF(COUNTIFS('United Data'!$A$3:$A$3390,O$1,'United Data'!$C$3:$C$3390,$A551,'United Data'!$B$3:$B$3390,"&lt;&gt;Off-street")&gt;0,1,0)</f>
        <v>0</v>
      </c>
      <c r="P551">
        <f>IF(COUNTIFS('United Data'!$A$3:$A$3390,P$1,'United Data'!$C$3:$C$3390,$A551,'United Data'!$B$3:$B$3390,"&lt;&gt;Off-street")&gt;0,1,0)</f>
        <v>0</v>
      </c>
      <c r="Q551">
        <f>IF(COUNTIFS('United Data'!$A$3:$A$3390,Q$1,'United Data'!$C$3:$C$3390,$A551,'United Data'!$B$3:$B$3390,"&lt;&gt;Off-street")&gt;0,1,0)</f>
        <v>0</v>
      </c>
      <c r="R551">
        <f>IF(COUNTIFS('United Data'!$A$3:$A$3390,R$1,'United Data'!$C$3:$C$3390,$A551,'United Data'!$B$3:$B$3390,"&lt;&gt;Off-street")&gt;0,1,0)</f>
        <v>0</v>
      </c>
      <c r="S551">
        <f t="shared" si="16"/>
        <v>1</v>
      </c>
      <c r="T551">
        <f t="shared" si="17"/>
        <v>1</v>
      </c>
    </row>
    <row r="552" spans="1:20" x14ac:dyDescent="0.2">
      <c r="A552" t="s">
        <v>670</v>
      </c>
      <c r="B552">
        <f>IF(COUNTIFS('United Data'!$A$3:$A$3390,B$1,'United Data'!$C$3:$C$3390,$A552,'United Data'!$B$3:$B$3390,"&lt;&gt;Off-street")&gt;0,1,0)</f>
        <v>0</v>
      </c>
      <c r="C552">
        <f>IF(COUNTIFS('United Data'!$A$3:$A$3390,C$1,'United Data'!$C$3:$C$3390,$A552,'United Data'!$B$3:$B$3390,"&lt;&gt;Off-street")&gt;0,1,0)</f>
        <v>0</v>
      </c>
      <c r="D552">
        <f>IF(COUNTIFS('United Data'!$A$3:$A$3390,D$1,'United Data'!$C$3:$C$3390,$A552,'United Data'!$B$3:$B$3390,"&lt;&gt;Off-street")&gt;0,1,0)</f>
        <v>0</v>
      </c>
      <c r="E552">
        <f>IF(COUNTIFS('United Data'!$A$3:$A$3390,E$1,'United Data'!$C$3:$C$3390,$A552,'United Data'!$B$3:$B$3390,"&lt;&gt;Off-street")&gt;0,1,0)</f>
        <v>0</v>
      </c>
      <c r="F552">
        <f>IF(COUNTIFS('United Data'!$A$3:$A$3390,F$1,'United Data'!$C$3:$C$3390,$A552,'United Data'!$B$3:$B$3390,"&lt;&gt;Off-street")&gt;0,1,0)</f>
        <v>0</v>
      </c>
      <c r="G552">
        <f>IF(COUNTIFS('United Data'!$A$3:$A$3390,G$1,'United Data'!$C$3:$C$3390,$A552,'United Data'!$B$3:$B$3390,"&lt;&gt;Off-street")&gt;0,1,0)</f>
        <v>0</v>
      </c>
      <c r="H552">
        <f>IF(COUNTIFS('United Data'!$A$3:$A$3390,H$1,'United Data'!$C$3:$C$3390,$A552,'United Data'!$B$3:$B$3390,"&lt;&gt;Off-street")&gt;0,1,0)</f>
        <v>0</v>
      </c>
      <c r="I552">
        <f>IF(COUNTIFS('United Data'!$A$3:$A$3390,I$1,'United Data'!$C$3:$C$3390,$A552,'United Data'!$B$3:$B$3390,"&lt;&gt;Off-street")&gt;0,1,0)</f>
        <v>0</v>
      </c>
      <c r="J552">
        <f>IF(COUNTIFS('United Data'!$A$3:$A$3390,J$1,'United Data'!$C$3:$C$3390,$A552,'United Data'!$B$3:$B$3390,"&lt;&gt;Off-street")&gt;0,1,0)</f>
        <v>0</v>
      </c>
      <c r="K552">
        <f>IF(COUNTIFS('United Data'!$A$3:$A$3390,K$1,'United Data'!$C$3:$C$3390,$A552,'United Data'!$B$3:$B$3390,"&lt;&gt;Off-street")&gt;0,1,0)</f>
        <v>1</v>
      </c>
      <c r="L552">
        <f>IF(COUNTIFS('United Data'!$A$3:$A$3390,L$1,'United Data'!$C$3:$C$3390,$A552,'United Data'!$B$3:$B$3390,"&lt;&gt;Off-street")&gt;0,1,0)</f>
        <v>0</v>
      </c>
      <c r="M552">
        <f>IF(COUNTIFS('United Data'!$A$3:$A$3390,M$1,'United Data'!$C$3:$C$3390,$A552,'United Data'!$B$3:$B$3390,"&lt;&gt;Off-street")&gt;0,1,0)</f>
        <v>0</v>
      </c>
      <c r="N552">
        <f>IF(COUNTIFS('United Data'!$A$3:$A$3390,N$1,'United Data'!$C$3:$C$3390,$A552,'United Data'!$B$3:$B$3390,"&lt;&gt;Off-street")&gt;0,1,0)</f>
        <v>0</v>
      </c>
      <c r="O552">
        <f>IF(COUNTIFS('United Data'!$A$3:$A$3390,O$1,'United Data'!$C$3:$C$3390,$A552,'United Data'!$B$3:$B$3390,"&lt;&gt;Off-street")&gt;0,1,0)</f>
        <v>0</v>
      </c>
      <c r="P552">
        <f>IF(COUNTIFS('United Data'!$A$3:$A$3390,P$1,'United Data'!$C$3:$C$3390,$A552,'United Data'!$B$3:$B$3390,"&lt;&gt;Off-street")&gt;0,1,0)</f>
        <v>0</v>
      </c>
      <c r="Q552">
        <f>IF(COUNTIFS('United Data'!$A$3:$A$3390,Q$1,'United Data'!$C$3:$C$3390,$A552,'United Data'!$B$3:$B$3390,"&lt;&gt;Off-street")&gt;0,1,0)</f>
        <v>0</v>
      </c>
      <c r="R552">
        <f>IF(COUNTIFS('United Data'!$A$3:$A$3390,R$1,'United Data'!$C$3:$C$3390,$A552,'United Data'!$B$3:$B$3390,"&lt;&gt;Off-street")&gt;0,1,0)</f>
        <v>0</v>
      </c>
      <c r="S552">
        <f t="shared" si="16"/>
        <v>1</v>
      </c>
      <c r="T552">
        <f t="shared" si="17"/>
        <v>1</v>
      </c>
    </row>
    <row r="553" spans="1:20" x14ac:dyDescent="0.2">
      <c r="A553" t="s">
        <v>671</v>
      </c>
      <c r="B553">
        <f>IF(COUNTIFS('United Data'!$A$3:$A$3390,B$1,'United Data'!$C$3:$C$3390,$A553,'United Data'!$B$3:$B$3390,"&lt;&gt;Off-street")&gt;0,1,0)</f>
        <v>0</v>
      </c>
      <c r="C553">
        <f>IF(COUNTIFS('United Data'!$A$3:$A$3390,C$1,'United Data'!$C$3:$C$3390,$A553,'United Data'!$B$3:$B$3390,"&lt;&gt;Off-street")&gt;0,1,0)</f>
        <v>0</v>
      </c>
      <c r="D553">
        <f>IF(COUNTIFS('United Data'!$A$3:$A$3390,D$1,'United Data'!$C$3:$C$3390,$A553,'United Data'!$B$3:$B$3390,"&lt;&gt;Off-street")&gt;0,1,0)</f>
        <v>0</v>
      </c>
      <c r="E553">
        <f>IF(COUNTIFS('United Data'!$A$3:$A$3390,E$1,'United Data'!$C$3:$C$3390,$A553,'United Data'!$B$3:$B$3390,"&lt;&gt;Off-street")&gt;0,1,0)</f>
        <v>0</v>
      </c>
      <c r="F553">
        <f>IF(COUNTIFS('United Data'!$A$3:$A$3390,F$1,'United Data'!$C$3:$C$3390,$A553,'United Data'!$B$3:$B$3390,"&lt;&gt;Off-street")&gt;0,1,0)</f>
        <v>0</v>
      </c>
      <c r="G553">
        <f>IF(COUNTIFS('United Data'!$A$3:$A$3390,G$1,'United Data'!$C$3:$C$3390,$A553,'United Data'!$B$3:$B$3390,"&lt;&gt;Off-street")&gt;0,1,0)</f>
        <v>0</v>
      </c>
      <c r="H553">
        <f>IF(COUNTIFS('United Data'!$A$3:$A$3390,H$1,'United Data'!$C$3:$C$3390,$A553,'United Data'!$B$3:$B$3390,"&lt;&gt;Off-street")&gt;0,1,0)</f>
        <v>0</v>
      </c>
      <c r="I553">
        <f>IF(COUNTIFS('United Data'!$A$3:$A$3390,I$1,'United Data'!$C$3:$C$3390,$A553,'United Data'!$B$3:$B$3390,"&lt;&gt;Off-street")&gt;0,1,0)</f>
        <v>0</v>
      </c>
      <c r="J553">
        <f>IF(COUNTIFS('United Data'!$A$3:$A$3390,J$1,'United Data'!$C$3:$C$3390,$A553,'United Data'!$B$3:$B$3390,"&lt;&gt;Off-street")&gt;0,1,0)</f>
        <v>0</v>
      </c>
      <c r="K553">
        <f>IF(COUNTIFS('United Data'!$A$3:$A$3390,K$1,'United Data'!$C$3:$C$3390,$A553,'United Data'!$B$3:$B$3390,"&lt;&gt;Off-street")&gt;0,1,0)</f>
        <v>1</v>
      </c>
      <c r="L553">
        <f>IF(COUNTIFS('United Data'!$A$3:$A$3390,L$1,'United Data'!$C$3:$C$3390,$A553,'United Data'!$B$3:$B$3390,"&lt;&gt;Off-street")&gt;0,1,0)</f>
        <v>0</v>
      </c>
      <c r="M553">
        <f>IF(COUNTIFS('United Data'!$A$3:$A$3390,M$1,'United Data'!$C$3:$C$3390,$A553,'United Data'!$B$3:$B$3390,"&lt;&gt;Off-street")&gt;0,1,0)</f>
        <v>0</v>
      </c>
      <c r="N553">
        <f>IF(COUNTIFS('United Data'!$A$3:$A$3390,N$1,'United Data'!$C$3:$C$3390,$A553,'United Data'!$B$3:$B$3390,"&lt;&gt;Off-street")&gt;0,1,0)</f>
        <v>0</v>
      </c>
      <c r="O553">
        <f>IF(COUNTIFS('United Data'!$A$3:$A$3390,O$1,'United Data'!$C$3:$C$3390,$A553,'United Data'!$B$3:$B$3390,"&lt;&gt;Off-street")&gt;0,1,0)</f>
        <v>0</v>
      </c>
      <c r="P553">
        <f>IF(COUNTIFS('United Data'!$A$3:$A$3390,P$1,'United Data'!$C$3:$C$3390,$A553,'United Data'!$B$3:$B$3390,"&lt;&gt;Off-street")&gt;0,1,0)</f>
        <v>0</v>
      </c>
      <c r="Q553">
        <f>IF(COUNTIFS('United Data'!$A$3:$A$3390,Q$1,'United Data'!$C$3:$C$3390,$A553,'United Data'!$B$3:$B$3390,"&lt;&gt;Off-street")&gt;0,1,0)</f>
        <v>0</v>
      </c>
      <c r="R553">
        <f>IF(COUNTIFS('United Data'!$A$3:$A$3390,R$1,'United Data'!$C$3:$C$3390,$A553,'United Data'!$B$3:$B$3390,"&lt;&gt;Off-street")&gt;0,1,0)</f>
        <v>0</v>
      </c>
      <c r="S553">
        <f t="shared" si="16"/>
        <v>1</v>
      </c>
      <c r="T553">
        <f t="shared" si="17"/>
        <v>1</v>
      </c>
    </row>
    <row r="554" spans="1:20" x14ac:dyDescent="0.2">
      <c r="A554" t="s">
        <v>672</v>
      </c>
      <c r="B554">
        <f>IF(COUNTIFS('United Data'!$A$3:$A$3390,B$1,'United Data'!$C$3:$C$3390,$A554,'United Data'!$B$3:$B$3390,"&lt;&gt;Off-street")&gt;0,1,0)</f>
        <v>0</v>
      </c>
      <c r="C554">
        <f>IF(COUNTIFS('United Data'!$A$3:$A$3390,C$1,'United Data'!$C$3:$C$3390,$A554,'United Data'!$B$3:$B$3390,"&lt;&gt;Off-street")&gt;0,1,0)</f>
        <v>0</v>
      </c>
      <c r="D554">
        <f>IF(COUNTIFS('United Data'!$A$3:$A$3390,D$1,'United Data'!$C$3:$C$3390,$A554,'United Data'!$B$3:$B$3390,"&lt;&gt;Off-street")&gt;0,1,0)</f>
        <v>1</v>
      </c>
      <c r="E554">
        <f>IF(COUNTIFS('United Data'!$A$3:$A$3390,E$1,'United Data'!$C$3:$C$3390,$A554,'United Data'!$B$3:$B$3390,"&lt;&gt;Off-street")&gt;0,1,0)</f>
        <v>0</v>
      </c>
      <c r="F554">
        <f>IF(COUNTIFS('United Data'!$A$3:$A$3390,F$1,'United Data'!$C$3:$C$3390,$A554,'United Data'!$B$3:$B$3390,"&lt;&gt;Off-street")&gt;0,1,0)</f>
        <v>0</v>
      </c>
      <c r="G554">
        <f>IF(COUNTIFS('United Data'!$A$3:$A$3390,G$1,'United Data'!$C$3:$C$3390,$A554,'United Data'!$B$3:$B$3390,"&lt;&gt;Off-street")&gt;0,1,0)</f>
        <v>0</v>
      </c>
      <c r="H554">
        <f>IF(COUNTIFS('United Data'!$A$3:$A$3390,H$1,'United Data'!$C$3:$C$3390,$A554,'United Data'!$B$3:$B$3390,"&lt;&gt;Off-street")&gt;0,1,0)</f>
        <v>0</v>
      </c>
      <c r="I554">
        <f>IF(COUNTIFS('United Data'!$A$3:$A$3390,I$1,'United Data'!$C$3:$C$3390,$A554,'United Data'!$B$3:$B$3390,"&lt;&gt;Off-street")&gt;0,1,0)</f>
        <v>0</v>
      </c>
      <c r="J554">
        <f>IF(COUNTIFS('United Data'!$A$3:$A$3390,J$1,'United Data'!$C$3:$C$3390,$A554,'United Data'!$B$3:$B$3390,"&lt;&gt;Off-street")&gt;0,1,0)</f>
        <v>0</v>
      </c>
      <c r="K554">
        <f>IF(COUNTIFS('United Data'!$A$3:$A$3390,K$1,'United Data'!$C$3:$C$3390,$A554,'United Data'!$B$3:$B$3390,"&lt;&gt;Off-street")&gt;0,1,0)</f>
        <v>0</v>
      </c>
      <c r="L554">
        <f>IF(COUNTIFS('United Data'!$A$3:$A$3390,L$1,'United Data'!$C$3:$C$3390,$A554,'United Data'!$B$3:$B$3390,"&lt;&gt;Off-street")&gt;0,1,0)</f>
        <v>1</v>
      </c>
      <c r="M554">
        <f>IF(COUNTIFS('United Data'!$A$3:$A$3390,M$1,'United Data'!$C$3:$C$3390,$A554,'United Data'!$B$3:$B$3390,"&lt;&gt;Off-street")&gt;0,1,0)</f>
        <v>0</v>
      </c>
      <c r="N554">
        <f>IF(COUNTIFS('United Data'!$A$3:$A$3390,N$1,'United Data'!$C$3:$C$3390,$A554,'United Data'!$B$3:$B$3390,"&lt;&gt;Off-street")&gt;0,1,0)</f>
        <v>0</v>
      </c>
      <c r="O554">
        <f>IF(COUNTIFS('United Data'!$A$3:$A$3390,O$1,'United Data'!$C$3:$C$3390,$A554,'United Data'!$B$3:$B$3390,"&lt;&gt;Off-street")&gt;0,1,0)</f>
        <v>0</v>
      </c>
      <c r="P554">
        <f>IF(COUNTIFS('United Data'!$A$3:$A$3390,P$1,'United Data'!$C$3:$C$3390,$A554,'United Data'!$B$3:$B$3390,"&lt;&gt;Off-street")&gt;0,1,0)</f>
        <v>0</v>
      </c>
      <c r="Q554">
        <f>IF(COUNTIFS('United Data'!$A$3:$A$3390,Q$1,'United Data'!$C$3:$C$3390,$A554,'United Data'!$B$3:$B$3390,"&lt;&gt;Off-street")&gt;0,1,0)</f>
        <v>0</v>
      </c>
      <c r="R554">
        <f>IF(COUNTIFS('United Data'!$A$3:$A$3390,R$1,'United Data'!$C$3:$C$3390,$A554,'United Data'!$B$3:$B$3390,"&lt;&gt;Off-street")&gt;0,1,0)</f>
        <v>0</v>
      </c>
      <c r="S554">
        <f t="shared" si="16"/>
        <v>2</v>
      </c>
      <c r="T554">
        <f t="shared" si="17"/>
        <v>2</v>
      </c>
    </row>
    <row r="555" spans="1:20" x14ac:dyDescent="0.2">
      <c r="A555" t="s">
        <v>673</v>
      </c>
      <c r="B555">
        <f>IF(COUNTIFS('United Data'!$A$3:$A$3390,B$1,'United Data'!$C$3:$C$3390,$A555,'United Data'!$B$3:$B$3390,"&lt;&gt;Off-street")&gt;0,1,0)</f>
        <v>0</v>
      </c>
      <c r="C555">
        <f>IF(COUNTIFS('United Data'!$A$3:$A$3390,C$1,'United Data'!$C$3:$C$3390,$A555,'United Data'!$B$3:$B$3390,"&lt;&gt;Off-street")&gt;0,1,0)</f>
        <v>0</v>
      </c>
      <c r="D555">
        <f>IF(COUNTIFS('United Data'!$A$3:$A$3390,D$1,'United Data'!$C$3:$C$3390,$A555,'United Data'!$B$3:$B$3390,"&lt;&gt;Off-street")&gt;0,1,0)</f>
        <v>0</v>
      </c>
      <c r="E555">
        <f>IF(COUNTIFS('United Data'!$A$3:$A$3390,E$1,'United Data'!$C$3:$C$3390,$A555,'United Data'!$B$3:$B$3390,"&lt;&gt;Off-street")&gt;0,1,0)</f>
        <v>0</v>
      </c>
      <c r="F555">
        <f>IF(COUNTIFS('United Data'!$A$3:$A$3390,F$1,'United Data'!$C$3:$C$3390,$A555,'United Data'!$B$3:$B$3390,"&lt;&gt;Off-street")&gt;0,1,0)</f>
        <v>1</v>
      </c>
      <c r="G555">
        <f>IF(COUNTIFS('United Data'!$A$3:$A$3390,G$1,'United Data'!$C$3:$C$3390,$A555,'United Data'!$B$3:$B$3390,"&lt;&gt;Off-street")&gt;0,1,0)</f>
        <v>0</v>
      </c>
      <c r="H555">
        <f>IF(COUNTIFS('United Data'!$A$3:$A$3390,H$1,'United Data'!$C$3:$C$3390,$A555,'United Data'!$B$3:$B$3390,"&lt;&gt;Off-street")&gt;0,1,0)</f>
        <v>0</v>
      </c>
      <c r="I555">
        <f>IF(COUNTIFS('United Data'!$A$3:$A$3390,I$1,'United Data'!$C$3:$C$3390,$A555,'United Data'!$B$3:$B$3390,"&lt;&gt;Off-street")&gt;0,1,0)</f>
        <v>0</v>
      </c>
      <c r="J555">
        <f>IF(COUNTIFS('United Data'!$A$3:$A$3390,J$1,'United Data'!$C$3:$C$3390,$A555,'United Data'!$B$3:$B$3390,"&lt;&gt;Off-street")&gt;0,1,0)</f>
        <v>0</v>
      </c>
      <c r="K555">
        <f>IF(COUNTIFS('United Data'!$A$3:$A$3390,K$1,'United Data'!$C$3:$C$3390,$A555,'United Data'!$B$3:$B$3390,"&lt;&gt;Off-street")&gt;0,1,0)</f>
        <v>0</v>
      </c>
      <c r="L555">
        <f>IF(COUNTIFS('United Data'!$A$3:$A$3390,L$1,'United Data'!$C$3:$C$3390,$A555,'United Data'!$B$3:$B$3390,"&lt;&gt;Off-street")&gt;0,1,0)</f>
        <v>1</v>
      </c>
      <c r="M555">
        <f>IF(COUNTIFS('United Data'!$A$3:$A$3390,M$1,'United Data'!$C$3:$C$3390,$A555,'United Data'!$B$3:$B$3390,"&lt;&gt;Off-street")&gt;0,1,0)</f>
        <v>1</v>
      </c>
      <c r="N555">
        <f>IF(COUNTIFS('United Data'!$A$3:$A$3390,N$1,'United Data'!$C$3:$C$3390,$A555,'United Data'!$B$3:$B$3390,"&lt;&gt;Off-street")&gt;0,1,0)</f>
        <v>1</v>
      </c>
      <c r="O555">
        <f>IF(COUNTIFS('United Data'!$A$3:$A$3390,O$1,'United Data'!$C$3:$C$3390,$A555,'United Data'!$B$3:$B$3390,"&lt;&gt;Off-street")&gt;0,1,0)</f>
        <v>1</v>
      </c>
      <c r="P555">
        <f>IF(COUNTIFS('United Data'!$A$3:$A$3390,P$1,'United Data'!$C$3:$C$3390,$A555,'United Data'!$B$3:$B$3390,"&lt;&gt;Off-street")&gt;0,1,0)</f>
        <v>0</v>
      </c>
      <c r="Q555">
        <f>IF(COUNTIFS('United Data'!$A$3:$A$3390,Q$1,'United Data'!$C$3:$C$3390,$A555,'United Data'!$B$3:$B$3390,"&lt;&gt;Off-street")&gt;0,1,0)</f>
        <v>0</v>
      </c>
      <c r="R555">
        <f>IF(COUNTIFS('United Data'!$A$3:$A$3390,R$1,'United Data'!$C$3:$C$3390,$A555,'United Data'!$B$3:$B$3390,"&lt;&gt;Off-street")&gt;0,1,0)</f>
        <v>0</v>
      </c>
      <c r="S555">
        <f t="shared" si="16"/>
        <v>5</v>
      </c>
      <c r="T555">
        <f t="shared" si="17"/>
        <v>2</v>
      </c>
    </row>
    <row r="556" spans="1:20" x14ac:dyDescent="0.2">
      <c r="A556" t="s">
        <v>674</v>
      </c>
      <c r="B556">
        <f>IF(COUNTIFS('United Data'!$A$3:$A$3390,B$1,'United Data'!$C$3:$C$3390,$A556,'United Data'!$B$3:$B$3390,"&lt;&gt;Off-street")&gt;0,1,0)</f>
        <v>0</v>
      </c>
      <c r="C556">
        <f>IF(COUNTIFS('United Data'!$A$3:$A$3390,C$1,'United Data'!$C$3:$C$3390,$A556,'United Data'!$B$3:$B$3390,"&lt;&gt;Off-street")&gt;0,1,0)</f>
        <v>0</v>
      </c>
      <c r="D556">
        <f>IF(COUNTIFS('United Data'!$A$3:$A$3390,D$1,'United Data'!$C$3:$C$3390,$A556,'United Data'!$B$3:$B$3390,"&lt;&gt;Off-street")&gt;0,1,0)</f>
        <v>0</v>
      </c>
      <c r="E556">
        <f>IF(COUNTIFS('United Data'!$A$3:$A$3390,E$1,'United Data'!$C$3:$C$3390,$A556,'United Data'!$B$3:$B$3390,"&lt;&gt;Off-street")&gt;0,1,0)</f>
        <v>0</v>
      </c>
      <c r="F556">
        <f>IF(COUNTIFS('United Data'!$A$3:$A$3390,F$1,'United Data'!$C$3:$C$3390,$A556,'United Data'!$B$3:$B$3390,"&lt;&gt;Off-street")&gt;0,1,0)</f>
        <v>0</v>
      </c>
      <c r="G556">
        <f>IF(COUNTIFS('United Data'!$A$3:$A$3390,G$1,'United Data'!$C$3:$C$3390,$A556,'United Data'!$B$3:$B$3390,"&lt;&gt;Off-street")&gt;0,1,0)</f>
        <v>0</v>
      </c>
      <c r="H556">
        <f>IF(COUNTIFS('United Data'!$A$3:$A$3390,H$1,'United Data'!$C$3:$C$3390,$A556,'United Data'!$B$3:$B$3390,"&lt;&gt;Off-street")&gt;0,1,0)</f>
        <v>0</v>
      </c>
      <c r="I556">
        <f>IF(COUNTIFS('United Data'!$A$3:$A$3390,I$1,'United Data'!$C$3:$C$3390,$A556,'United Data'!$B$3:$B$3390,"&lt;&gt;Off-street")&gt;0,1,0)</f>
        <v>0</v>
      </c>
      <c r="J556">
        <f>IF(COUNTIFS('United Data'!$A$3:$A$3390,J$1,'United Data'!$C$3:$C$3390,$A556,'United Data'!$B$3:$B$3390,"&lt;&gt;Off-street")&gt;0,1,0)</f>
        <v>0</v>
      </c>
      <c r="K556">
        <f>IF(COUNTIFS('United Data'!$A$3:$A$3390,K$1,'United Data'!$C$3:$C$3390,$A556,'United Data'!$B$3:$B$3390,"&lt;&gt;Off-street")&gt;0,1,0)</f>
        <v>0</v>
      </c>
      <c r="L556">
        <f>IF(COUNTIFS('United Data'!$A$3:$A$3390,L$1,'United Data'!$C$3:$C$3390,$A556,'United Data'!$B$3:$B$3390,"&lt;&gt;Off-street")&gt;0,1,0)</f>
        <v>1</v>
      </c>
      <c r="M556">
        <f>IF(COUNTIFS('United Data'!$A$3:$A$3390,M$1,'United Data'!$C$3:$C$3390,$A556,'United Data'!$B$3:$B$3390,"&lt;&gt;Off-street")&gt;0,1,0)</f>
        <v>0</v>
      </c>
      <c r="N556">
        <f>IF(COUNTIFS('United Data'!$A$3:$A$3390,N$1,'United Data'!$C$3:$C$3390,$A556,'United Data'!$B$3:$B$3390,"&lt;&gt;Off-street")&gt;0,1,0)</f>
        <v>1</v>
      </c>
      <c r="O556">
        <f>IF(COUNTIFS('United Data'!$A$3:$A$3390,O$1,'United Data'!$C$3:$C$3390,$A556,'United Data'!$B$3:$B$3390,"&lt;&gt;Off-street")&gt;0,1,0)</f>
        <v>0</v>
      </c>
      <c r="P556">
        <f>IF(COUNTIFS('United Data'!$A$3:$A$3390,P$1,'United Data'!$C$3:$C$3390,$A556,'United Data'!$B$3:$B$3390,"&lt;&gt;Off-street")&gt;0,1,0)</f>
        <v>0</v>
      </c>
      <c r="Q556">
        <f>IF(COUNTIFS('United Data'!$A$3:$A$3390,Q$1,'United Data'!$C$3:$C$3390,$A556,'United Data'!$B$3:$B$3390,"&lt;&gt;Off-street")&gt;0,1,0)</f>
        <v>0</v>
      </c>
      <c r="R556">
        <f>IF(COUNTIFS('United Data'!$A$3:$A$3390,R$1,'United Data'!$C$3:$C$3390,$A556,'United Data'!$B$3:$B$3390,"&lt;&gt;Off-street")&gt;0,1,0)</f>
        <v>0</v>
      </c>
      <c r="S556">
        <f t="shared" si="16"/>
        <v>2</v>
      </c>
      <c r="T556">
        <f t="shared" si="17"/>
        <v>2</v>
      </c>
    </row>
    <row r="557" spans="1:20" x14ac:dyDescent="0.2">
      <c r="A557" t="s">
        <v>675</v>
      </c>
      <c r="B557">
        <f>IF(COUNTIFS('United Data'!$A$3:$A$3390,B$1,'United Data'!$C$3:$C$3390,$A557,'United Data'!$B$3:$B$3390,"&lt;&gt;Off-street")&gt;0,1,0)</f>
        <v>0</v>
      </c>
      <c r="C557">
        <f>IF(COUNTIFS('United Data'!$A$3:$A$3390,C$1,'United Data'!$C$3:$C$3390,$A557,'United Data'!$B$3:$B$3390,"&lt;&gt;Off-street")&gt;0,1,0)</f>
        <v>0</v>
      </c>
      <c r="D557">
        <f>IF(COUNTIFS('United Data'!$A$3:$A$3390,D$1,'United Data'!$C$3:$C$3390,$A557,'United Data'!$B$3:$B$3390,"&lt;&gt;Off-street")&gt;0,1,0)</f>
        <v>0</v>
      </c>
      <c r="E557">
        <f>IF(COUNTIFS('United Data'!$A$3:$A$3390,E$1,'United Data'!$C$3:$C$3390,$A557,'United Data'!$B$3:$B$3390,"&lt;&gt;Off-street")&gt;0,1,0)</f>
        <v>0</v>
      </c>
      <c r="F557">
        <f>IF(COUNTIFS('United Data'!$A$3:$A$3390,F$1,'United Data'!$C$3:$C$3390,$A557,'United Data'!$B$3:$B$3390,"&lt;&gt;Off-street")&gt;0,1,0)</f>
        <v>0</v>
      </c>
      <c r="G557">
        <f>IF(COUNTIFS('United Data'!$A$3:$A$3390,G$1,'United Data'!$C$3:$C$3390,$A557,'United Data'!$B$3:$B$3390,"&lt;&gt;Off-street")&gt;0,1,0)</f>
        <v>0</v>
      </c>
      <c r="H557">
        <f>IF(COUNTIFS('United Data'!$A$3:$A$3390,H$1,'United Data'!$C$3:$C$3390,$A557,'United Data'!$B$3:$B$3390,"&lt;&gt;Off-street")&gt;0,1,0)</f>
        <v>0</v>
      </c>
      <c r="I557">
        <f>IF(COUNTIFS('United Data'!$A$3:$A$3390,I$1,'United Data'!$C$3:$C$3390,$A557,'United Data'!$B$3:$B$3390,"&lt;&gt;Off-street")&gt;0,1,0)</f>
        <v>0</v>
      </c>
      <c r="J557">
        <f>IF(COUNTIFS('United Data'!$A$3:$A$3390,J$1,'United Data'!$C$3:$C$3390,$A557,'United Data'!$B$3:$B$3390,"&lt;&gt;Off-street")&gt;0,1,0)</f>
        <v>0</v>
      </c>
      <c r="K557">
        <f>IF(COUNTIFS('United Data'!$A$3:$A$3390,K$1,'United Data'!$C$3:$C$3390,$A557,'United Data'!$B$3:$B$3390,"&lt;&gt;Off-street")&gt;0,1,0)</f>
        <v>0</v>
      </c>
      <c r="L557">
        <f>IF(COUNTIFS('United Data'!$A$3:$A$3390,L$1,'United Data'!$C$3:$C$3390,$A557,'United Data'!$B$3:$B$3390,"&lt;&gt;Off-street")&gt;0,1,0)</f>
        <v>1</v>
      </c>
      <c r="M557">
        <f>IF(COUNTIFS('United Data'!$A$3:$A$3390,M$1,'United Data'!$C$3:$C$3390,$A557,'United Data'!$B$3:$B$3390,"&lt;&gt;Off-street")&gt;0,1,0)</f>
        <v>0</v>
      </c>
      <c r="N557">
        <f>IF(COUNTIFS('United Data'!$A$3:$A$3390,N$1,'United Data'!$C$3:$C$3390,$A557,'United Data'!$B$3:$B$3390,"&lt;&gt;Off-street")&gt;0,1,0)</f>
        <v>0</v>
      </c>
      <c r="O557">
        <f>IF(COUNTIFS('United Data'!$A$3:$A$3390,O$1,'United Data'!$C$3:$C$3390,$A557,'United Data'!$B$3:$B$3390,"&lt;&gt;Off-street")&gt;0,1,0)</f>
        <v>0</v>
      </c>
      <c r="P557">
        <f>IF(COUNTIFS('United Data'!$A$3:$A$3390,P$1,'United Data'!$C$3:$C$3390,$A557,'United Data'!$B$3:$B$3390,"&lt;&gt;Off-street")&gt;0,1,0)</f>
        <v>0</v>
      </c>
      <c r="Q557">
        <f>IF(COUNTIFS('United Data'!$A$3:$A$3390,Q$1,'United Data'!$C$3:$C$3390,$A557,'United Data'!$B$3:$B$3390,"&lt;&gt;Off-street")&gt;0,1,0)</f>
        <v>0</v>
      </c>
      <c r="R557">
        <f>IF(COUNTIFS('United Data'!$A$3:$A$3390,R$1,'United Data'!$C$3:$C$3390,$A557,'United Data'!$B$3:$B$3390,"&lt;&gt;Off-street")&gt;0,1,0)</f>
        <v>0</v>
      </c>
      <c r="S557">
        <f t="shared" si="16"/>
        <v>1</v>
      </c>
      <c r="T557">
        <f t="shared" si="17"/>
        <v>1</v>
      </c>
    </row>
    <row r="558" spans="1:20" x14ac:dyDescent="0.2">
      <c r="A558" t="s">
        <v>676</v>
      </c>
      <c r="B558">
        <f>IF(COUNTIFS('United Data'!$A$3:$A$3390,B$1,'United Data'!$C$3:$C$3390,$A558,'United Data'!$B$3:$B$3390,"&lt;&gt;Off-street")&gt;0,1,0)</f>
        <v>0</v>
      </c>
      <c r="C558">
        <f>IF(COUNTIFS('United Data'!$A$3:$A$3390,C$1,'United Data'!$C$3:$C$3390,$A558,'United Data'!$B$3:$B$3390,"&lt;&gt;Off-street")&gt;0,1,0)</f>
        <v>0</v>
      </c>
      <c r="D558">
        <f>IF(COUNTIFS('United Data'!$A$3:$A$3390,D$1,'United Data'!$C$3:$C$3390,$A558,'United Data'!$B$3:$B$3390,"&lt;&gt;Off-street")&gt;0,1,0)</f>
        <v>0</v>
      </c>
      <c r="E558">
        <f>IF(COUNTIFS('United Data'!$A$3:$A$3390,E$1,'United Data'!$C$3:$C$3390,$A558,'United Data'!$B$3:$B$3390,"&lt;&gt;Off-street")&gt;0,1,0)</f>
        <v>0</v>
      </c>
      <c r="F558">
        <f>IF(COUNTIFS('United Data'!$A$3:$A$3390,F$1,'United Data'!$C$3:$C$3390,$A558,'United Data'!$B$3:$B$3390,"&lt;&gt;Off-street")&gt;0,1,0)</f>
        <v>0</v>
      </c>
      <c r="G558">
        <f>IF(COUNTIFS('United Data'!$A$3:$A$3390,G$1,'United Data'!$C$3:$C$3390,$A558,'United Data'!$B$3:$B$3390,"&lt;&gt;Off-street")&gt;0,1,0)</f>
        <v>0</v>
      </c>
      <c r="H558">
        <f>IF(COUNTIFS('United Data'!$A$3:$A$3390,H$1,'United Data'!$C$3:$C$3390,$A558,'United Data'!$B$3:$B$3390,"&lt;&gt;Off-street")&gt;0,1,0)</f>
        <v>0</v>
      </c>
      <c r="I558">
        <f>IF(COUNTIFS('United Data'!$A$3:$A$3390,I$1,'United Data'!$C$3:$C$3390,$A558,'United Data'!$B$3:$B$3390,"&lt;&gt;Off-street")&gt;0,1,0)</f>
        <v>0</v>
      </c>
      <c r="J558">
        <f>IF(COUNTIFS('United Data'!$A$3:$A$3390,J$1,'United Data'!$C$3:$C$3390,$A558,'United Data'!$B$3:$B$3390,"&lt;&gt;Off-street")&gt;0,1,0)</f>
        <v>0</v>
      </c>
      <c r="K558">
        <f>IF(COUNTIFS('United Data'!$A$3:$A$3390,K$1,'United Data'!$C$3:$C$3390,$A558,'United Data'!$B$3:$B$3390,"&lt;&gt;Off-street")&gt;0,1,0)</f>
        <v>0</v>
      </c>
      <c r="L558">
        <f>IF(COUNTIFS('United Data'!$A$3:$A$3390,L$1,'United Data'!$C$3:$C$3390,$A558,'United Data'!$B$3:$B$3390,"&lt;&gt;Off-street")&gt;0,1,0)</f>
        <v>1</v>
      </c>
      <c r="M558">
        <f>IF(COUNTIFS('United Data'!$A$3:$A$3390,M$1,'United Data'!$C$3:$C$3390,$A558,'United Data'!$B$3:$B$3390,"&lt;&gt;Off-street")&gt;0,1,0)</f>
        <v>0</v>
      </c>
      <c r="N558">
        <f>IF(COUNTIFS('United Data'!$A$3:$A$3390,N$1,'United Data'!$C$3:$C$3390,$A558,'United Data'!$B$3:$B$3390,"&lt;&gt;Off-street")&gt;0,1,0)</f>
        <v>0</v>
      </c>
      <c r="O558">
        <f>IF(COUNTIFS('United Data'!$A$3:$A$3390,O$1,'United Data'!$C$3:$C$3390,$A558,'United Data'!$B$3:$B$3390,"&lt;&gt;Off-street")&gt;0,1,0)</f>
        <v>0</v>
      </c>
      <c r="P558">
        <f>IF(COUNTIFS('United Data'!$A$3:$A$3390,P$1,'United Data'!$C$3:$C$3390,$A558,'United Data'!$B$3:$B$3390,"&lt;&gt;Off-street")&gt;0,1,0)</f>
        <v>0</v>
      </c>
      <c r="Q558">
        <f>IF(COUNTIFS('United Data'!$A$3:$A$3390,Q$1,'United Data'!$C$3:$C$3390,$A558,'United Data'!$B$3:$B$3390,"&lt;&gt;Off-street")&gt;0,1,0)</f>
        <v>0</v>
      </c>
      <c r="R558">
        <f>IF(COUNTIFS('United Data'!$A$3:$A$3390,R$1,'United Data'!$C$3:$C$3390,$A558,'United Data'!$B$3:$B$3390,"&lt;&gt;Off-street")&gt;0,1,0)</f>
        <v>0</v>
      </c>
      <c r="S558">
        <f t="shared" si="16"/>
        <v>1</v>
      </c>
      <c r="T558">
        <f t="shared" si="17"/>
        <v>1</v>
      </c>
    </row>
    <row r="559" spans="1:20" x14ac:dyDescent="0.2">
      <c r="A559" t="s">
        <v>677</v>
      </c>
      <c r="B559">
        <f>IF(COUNTIFS('United Data'!$A$3:$A$3390,B$1,'United Data'!$C$3:$C$3390,$A559,'United Data'!$B$3:$B$3390,"&lt;&gt;Off-street")&gt;0,1,0)</f>
        <v>0</v>
      </c>
      <c r="C559">
        <f>IF(COUNTIFS('United Data'!$A$3:$A$3390,C$1,'United Data'!$C$3:$C$3390,$A559,'United Data'!$B$3:$B$3390,"&lt;&gt;Off-street")&gt;0,1,0)</f>
        <v>0</v>
      </c>
      <c r="D559">
        <f>IF(COUNTIFS('United Data'!$A$3:$A$3390,D$1,'United Data'!$C$3:$C$3390,$A559,'United Data'!$B$3:$B$3390,"&lt;&gt;Off-street")&gt;0,1,0)</f>
        <v>0</v>
      </c>
      <c r="E559">
        <f>IF(COUNTIFS('United Data'!$A$3:$A$3390,E$1,'United Data'!$C$3:$C$3390,$A559,'United Data'!$B$3:$B$3390,"&lt;&gt;Off-street")&gt;0,1,0)</f>
        <v>0</v>
      </c>
      <c r="F559">
        <f>IF(COUNTIFS('United Data'!$A$3:$A$3390,F$1,'United Data'!$C$3:$C$3390,$A559,'United Data'!$B$3:$B$3390,"&lt;&gt;Off-street")&gt;0,1,0)</f>
        <v>0</v>
      </c>
      <c r="G559">
        <f>IF(COUNTIFS('United Data'!$A$3:$A$3390,G$1,'United Data'!$C$3:$C$3390,$A559,'United Data'!$B$3:$B$3390,"&lt;&gt;Off-street")&gt;0,1,0)</f>
        <v>0</v>
      </c>
      <c r="H559">
        <f>IF(COUNTIFS('United Data'!$A$3:$A$3390,H$1,'United Data'!$C$3:$C$3390,$A559,'United Data'!$B$3:$B$3390,"&lt;&gt;Off-street")&gt;0,1,0)</f>
        <v>0</v>
      </c>
      <c r="I559">
        <f>IF(COUNTIFS('United Data'!$A$3:$A$3390,I$1,'United Data'!$C$3:$C$3390,$A559,'United Data'!$B$3:$B$3390,"&lt;&gt;Off-street")&gt;0,1,0)</f>
        <v>0</v>
      </c>
      <c r="J559">
        <f>IF(COUNTIFS('United Data'!$A$3:$A$3390,J$1,'United Data'!$C$3:$C$3390,$A559,'United Data'!$B$3:$B$3390,"&lt;&gt;Off-street")&gt;0,1,0)</f>
        <v>0</v>
      </c>
      <c r="K559">
        <f>IF(COUNTIFS('United Data'!$A$3:$A$3390,K$1,'United Data'!$C$3:$C$3390,$A559,'United Data'!$B$3:$B$3390,"&lt;&gt;Off-street")&gt;0,1,0)</f>
        <v>0</v>
      </c>
      <c r="L559">
        <f>IF(COUNTIFS('United Data'!$A$3:$A$3390,L$1,'United Data'!$C$3:$C$3390,$A559,'United Data'!$B$3:$B$3390,"&lt;&gt;Off-street")&gt;0,1,0)</f>
        <v>1</v>
      </c>
      <c r="M559">
        <f>IF(COUNTIFS('United Data'!$A$3:$A$3390,M$1,'United Data'!$C$3:$C$3390,$A559,'United Data'!$B$3:$B$3390,"&lt;&gt;Off-street")&gt;0,1,0)</f>
        <v>0</v>
      </c>
      <c r="N559">
        <f>IF(COUNTIFS('United Data'!$A$3:$A$3390,N$1,'United Data'!$C$3:$C$3390,$A559,'United Data'!$B$3:$B$3390,"&lt;&gt;Off-street")&gt;0,1,0)</f>
        <v>0</v>
      </c>
      <c r="O559">
        <f>IF(COUNTIFS('United Data'!$A$3:$A$3390,O$1,'United Data'!$C$3:$C$3390,$A559,'United Data'!$B$3:$B$3390,"&lt;&gt;Off-street")&gt;0,1,0)</f>
        <v>0</v>
      </c>
      <c r="P559">
        <f>IF(COUNTIFS('United Data'!$A$3:$A$3390,P$1,'United Data'!$C$3:$C$3390,$A559,'United Data'!$B$3:$B$3390,"&lt;&gt;Off-street")&gt;0,1,0)</f>
        <v>0</v>
      </c>
      <c r="Q559">
        <f>IF(COUNTIFS('United Data'!$A$3:$A$3390,Q$1,'United Data'!$C$3:$C$3390,$A559,'United Data'!$B$3:$B$3390,"&lt;&gt;Off-street")&gt;0,1,0)</f>
        <v>0</v>
      </c>
      <c r="R559">
        <f>IF(COUNTIFS('United Data'!$A$3:$A$3390,R$1,'United Data'!$C$3:$C$3390,$A559,'United Data'!$B$3:$B$3390,"&lt;&gt;Off-street")&gt;0,1,0)</f>
        <v>0</v>
      </c>
      <c r="S559">
        <f t="shared" si="16"/>
        <v>1</v>
      </c>
      <c r="T559">
        <f t="shared" si="17"/>
        <v>1</v>
      </c>
    </row>
    <row r="560" spans="1:20" x14ac:dyDescent="0.2">
      <c r="A560" t="s">
        <v>678</v>
      </c>
      <c r="B560">
        <f>IF(COUNTIFS('United Data'!$A$3:$A$3390,B$1,'United Data'!$C$3:$C$3390,$A560,'United Data'!$B$3:$B$3390,"&lt;&gt;Off-street")&gt;0,1,0)</f>
        <v>0</v>
      </c>
      <c r="C560">
        <f>IF(COUNTIFS('United Data'!$A$3:$A$3390,C$1,'United Data'!$C$3:$C$3390,$A560,'United Data'!$B$3:$B$3390,"&lt;&gt;Off-street")&gt;0,1,0)</f>
        <v>0</v>
      </c>
      <c r="D560">
        <f>IF(COUNTIFS('United Data'!$A$3:$A$3390,D$1,'United Data'!$C$3:$C$3390,$A560,'United Data'!$B$3:$B$3390,"&lt;&gt;Off-street")&gt;0,1,0)</f>
        <v>0</v>
      </c>
      <c r="E560">
        <f>IF(COUNTIFS('United Data'!$A$3:$A$3390,E$1,'United Data'!$C$3:$C$3390,$A560,'United Data'!$B$3:$B$3390,"&lt;&gt;Off-street")&gt;0,1,0)</f>
        <v>0</v>
      </c>
      <c r="F560">
        <f>IF(COUNTIFS('United Data'!$A$3:$A$3390,F$1,'United Data'!$C$3:$C$3390,$A560,'United Data'!$B$3:$B$3390,"&lt;&gt;Off-street")&gt;0,1,0)</f>
        <v>0</v>
      </c>
      <c r="G560">
        <f>IF(COUNTIFS('United Data'!$A$3:$A$3390,G$1,'United Data'!$C$3:$C$3390,$A560,'United Data'!$B$3:$B$3390,"&lt;&gt;Off-street")&gt;0,1,0)</f>
        <v>0</v>
      </c>
      <c r="H560">
        <f>IF(COUNTIFS('United Data'!$A$3:$A$3390,H$1,'United Data'!$C$3:$C$3390,$A560,'United Data'!$B$3:$B$3390,"&lt;&gt;Off-street")&gt;0,1,0)</f>
        <v>0</v>
      </c>
      <c r="I560">
        <f>IF(COUNTIFS('United Data'!$A$3:$A$3390,I$1,'United Data'!$C$3:$C$3390,$A560,'United Data'!$B$3:$B$3390,"&lt;&gt;Off-street")&gt;0,1,0)</f>
        <v>0</v>
      </c>
      <c r="J560">
        <f>IF(COUNTIFS('United Data'!$A$3:$A$3390,J$1,'United Data'!$C$3:$C$3390,$A560,'United Data'!$B$3:$B$3390,"&lt;&gt;Off-street")&gt;0,1,0)</f>
        <v>0</v>
      </c>
      <c r="K560">
        <f>IF(COUNTIFS('United Data'!$A$3:$A$3390,K$1,'United Data'!$C$3:$C$3390,$A560,'United Data'!$B$3:$B$3390,"&lt;&gt;Off-street")&gt;0,1,0)</f>
        <v>0</v>
      </c>
      <c r="L560">
        <f>IF(COUNTIFS('United Data'!$A$3:$A$3390,L$1,'United Data'!$C$3:$C$3390,$A560,'United Data'!$B$3:$B$3390,"&lt;&gt;Off-street")&gt;0,1,0)</f>
        <v>0</v>
      </c>
      <c r="M560">
        <f>IF(COUNTIFS('United Data'!$A$3:$A$3390,M$1,'United Data'!$C$3:$C$3390,$A560,'United Data'!$B$3:$B$3390,"&lt;&gt;Off-street")&gt;0,1,0)</f>
        <v>1</v>
      </c>
      <c r="N560">
        <f>IF(COUNTIFS('United Data'!$A$3:$A$3390,N$1,'United Data'!$C$3:$C$3390,$A560,'United Data'!$B$3:$B$3390,"&lt;&gt;Off-street")&gt;0,1,0)</f>
        <v>0</v>
      </c>
      <c r="O560">
        <f>IF(COUNTIFS('United Data'!$A$3:$A$3390,O$1,'United Data'!$C$3:$C$3390,$A560,'United Data'!$B$3:$B$3390,"&lt;&gt;Off-street")&gt;0,1,0)</f>
        <v>0</v>
      </c>
      <c r="P560">
        <f>IF(COUNTIFS('United Data'!$A$3:$A$3390,P$1,'United Data'!$C$3:$C$3390,$A560,'United Data'!$B$3:$B$3390,"&lt;&gt;Off-street")&gt;0,1,0)</f>
        <v>0</v>
      </c>
      <c r="Q560">
        <f>IF(COUNTIFS('United Data'!$A$3:$A$3390,Q$1,'United Data'!$C$3:$C$3390,$A560,'United Data'!$B$3:$B$3390,"&lt;&gt;Off-street")&gt;0,1,0)</f>
        <v>0</v>
      </c>
      <c r="R560">
        <f>IF(COUNTIFS('United Data'!$A$3:$A$3390,R$1,'United Data'!$C$3:$C$3390,$A560,'United Data'!$B$3:$B$3390,"&lt;&gt;Off-street")&gt;0,1,0)</f>
        <v>0</v>
      </c>
      <c r="S560">
        <f t="shared" si="16"/>
        <v>1</v>
      </c>
      <c r="T560">
        <f t="shared" si="17"/>
        <v>1</v>
      </c>
    </row>
    <row r="561" spans="1:20" x14ac:dyDescent="0.2">
      <c r="A561" t="s">
        <v>679</v>
      </c>
      <c r="B561">
        <f>IF(COUNTIFS('United Data'!$A$3:$A$3390,B$1,'United Data'!$C$3:$C$3390,$A561,'United Data'!$B$3:$B$3390,"&lt;&gt;Off-street")&gt;0,1,0)</f>
        <v>0</v>
      </c>
      <c r="C561">
        <f>IF(COUNTIFS('United Data'!$A$3:$A$3390,C$1,'United Data'!$C$3:$C$3390,$A561,'United Data'!$B$3:$B$3390,"&lt;&gt;Off-street")&gt;0,1,0)</f>
        <v>0</v>
      </c>
      <c r="D561">
        <f>IF(COUNTIFS('United Data'!$A$3:$A$3390,D$1,'United Data'!$C$3:$C$3390,$A561,'United Data'!$B$3:$B$3390,"&lt;&gt;Off-street")&gt;0,1,0)</f>
        <v>0</v>
      </c>
      <c r="E561">
        <f>IF(COUNTIFS('United Data'!$A$3:$A$3390,E$1,'United Data'!$C$3:$C$3390,$A561,'United Data'!$B$3:$B$3390,"&lt;&gt;Off-street")&gt;0,1,0)</f>
        <v>0</v>
      </c>
      <c r="F561">
        <f>IF(COUNTIFS('United Data'!$A$3:$A$3390,F$1,'United Data'!$C$3:$C$3390,$A561,'United Data'!$B$3:$B$3390,"&lt;&gt;Off-street")&gt;0,1,0)</f>
        <v>0</v>
      </c>
      <c r="G561">
        <f>IF(COUNTIFS('United Data'!$A$3:$A$3390,G$1,'United Data'!$C$3:$C$3390,$A561,'United Data'!$B$3:$B$3390,"&lt;&gt;Off-street")&gt;0,1,0)</f>
        <v>0</v>
      </c>
      <c r="H561">
        <f>IF(COUNTIFS('United Data'!$A$3:$A$3390,H$1,'United Data'!$C$3:$C$3390,$A561,'United Data'!$B$3:$B$3390,"&lt;&gt;Off-street")&gt;0,1,0)</f>
        <v>0</v>
      </c>
      <c r="I561">
        <f>IF(COUNTIFS('United Data'!$A$3:$A$3390,I$1,'United Data'!$C$3:$C$3390,$A561,'United Data'!$B$3:$B$3390,"&lt;&gt;Off-street")&gt;0,1,0)</f>
        <v>0</v>
      </c>
      <c r="J561">
        <f>IF(COUNTIFS('United Data'!$A$3:$A$3390,J$1,'United Data'!$C$3:$C$3390,$A561,'United Data'!$B$3:$B$3390,"&lt;&gt;Off-street")&gt;0,1,0)</f>
        <v>0</v>
      </c>
      <c r="K561">
        <f>IF(COUNTIFS('United Data'!$A$3:$A$3390,K$1,'United Data'!$C$3:$C$3390,$A561,'United Data'!$B$3:$B$3390,"&lt;&gt;Off-street")&gt;0,1,0)</f>
        <v>0</v>
      </c>
      <c r="L561">
        <f>IF(COUNTIFS('United Data'!$A$3:$A$3390,L$1,'United Data'!$C$3:$C$3390,$A561,'United Data'!$B$3:$B$3390,"&lt;&gt;Off-street")&gt;0,1,0)</f>
        <v>0</v>
      </c>
      <c r="M561">
        <f>IF(COUNTIFS('United Data'!$A$3:$A$3390,M$1,'United Data'!$C$3:$C$3390,$A561,'United Data'!$B$3:$B$3390,"&lt;&gt;Off-street")&gt;0,1,0)</f>
        <v>1</v>
      </c>
      <c r="N561">
        <f>IF(COUNTIFS('United Data'!$A$3:$A$3390,N$1,'United Data'!$C$3:$C$3390,$A561,'United Data'!$B$3:$B$3390,"&lt;&gt;Off-street")&gt;0,1,0)</f>
        <v>1</v>
      </c>
      <c r="O561">
        <f>IF(COUNTIFS('United Data'!$A$3:$A$3390,O$1,'United Data'!$C$3:$C$3390,$A561,'United Data'!$B$3:$B$3390,"&lt;&gt;Off-street")&gt;0,1,0)</f>
        <v>0</v>
      </c>
      <c r="P561">
        <f>IF(COUNTIFS('United Data'!$A$3:$A$3390,P$1,'United Data'!$C$3:$C$3390,$A561,'United Data'!$B$3:$B$3390,"&lt;&gt;Off-street")&gt;0,1,0)</f>
        <v>0</v>
      </c>
      <c r="Q561">
        <f>IF(COUNTIFS('United Data'!$A$3:$A$3390,Q$1,'United Data'!$C$3:$C$3390,$A561,'United Data'!$B$3:$B$3390,"&lt;&gt;Off-street")&gt;0,1,0)</f>
        <v>0</v>
      </c>
      <c r="R561">
        <f>IF(COUNTIFS('United Data'!$A$3:$A$3390,R$1,'United Data'!$C$3:$C$3390,$A561,'United Data'!$B$3:$B$3390,"&lt;&gt;Off-street")&gt;0,1,0)</f>
        <v>0</v>
      </c>
      <c r="S561">
        <f t="shared" si="16"/>
        <v>2</v>
      </c>
      <c r="T561">
        <f t="shared" si="17"/>
        <v>1</v>
      </c>
    </row>
    <row r="562" spans="1:20" x14ac:dyDescent="0.2">
      <c r="A562" t="s">
        <v>680</v>
      </c>
      <c r="B562">
        <f>IF(COUNTIFS('United Data'!$A$3:$A$3390,B$1,'United Data'!$C$3:$C$3390,$A562,'United Data'!$B$3:$B$3390,"&lt;&gt;Off-street")&gt;0,1,0)</f>
        <v>0</v>
      </c>
      <c r="C562">
        <f>IF(COUNTIFS('United Data'!$A$3:$A$3390,C$1,'United Data'!$C$3:$C$3390,$A562,'United Data'!$B$3:$B$3390,"&lt;&gt;Off-street")&gt;0,1,0)</f>
        <v>0</v>
      </c>
      <c r="D562">
        <f>IF(COUNTIFS('United Data'!$A$3:$A$3390,D$1,'United Data'!$C$3:$C$3390,$A562,'United Data'!$B$3:$B$3390,"&lt;&gt;Off-street")&gt;0,1,0)</f>
        <v>0</v>
      </c>
      <c r="E562">
        <f>IF(COUNTIFS('United Data'!$A$3:$A$3390,E$1,'United Data'!$C$3:$C$3390,$A562,'United Data'!$B$3:$B$3390,"&lt;&gt;Off-street")&gt;0,1,0)</f>
        <v>0</v>
      </c>
      <c r="F562">
        <f>IF(COUNTIFS('United Data'!$A$3:$A$3390,F$1,'United Data'!$C$3:$C$3390,$A562,'United Data'!$B$3:$B$3390,"&lt;&gt;Off-street")&gt;0,1,0)</f>
        <v>0</v>
      </c>
      <c r="G562">
        <f>IF(COUNTIFS('United Data'!$A$3:$A$3390,G$1,'United Data'!$C$3:$C$3390,$A562,'United Data'!$B$3:$B$3390,"&lt;&gt;Off-street")&gt;0,1,0)</f>
        <v>0</v>
      </c>
      <c r="H562">
        <f>IF(COUNTIFS('United Data'!$A$3:$A$3390,H$1,'United Data'!$C$3:$C$3390,$A562,'United Data'!$B$3:$B$3390,"&lt;&gt;Off-street")&gt;0,1,0)</f>
        <v>0</v>
      </c>
      <c r="I562">
        <f>IF(COUNTIFS('United Data'!$A$3:$A$3390,I$1,'United Data'!$C$3:$C$3390,$A562,'United Data'!$B$3:$B$3390,"&lt;&gt;Off-street")&gt;0,1,0)</f>
        <v>0</v>
      </c>
      <c r="J562">
        <f>IF(COUNTIFS('United Data'!$A$3:$A$3390,J$1,'United Data'!$C$3:$C$3390,$A562,'United Data'!$B$3:$B$3390,"&lt;&gt;Off-street")&gt;0,1,0)</f>
        <v>0</v>
      </c>
      <c r="K562">
        <f>IF(COUNTIFS('United Data'!$A$3:$A$3390,K$1,'United Data'!$C$3:$C$3390,$A562,'United Data'!$B$3:$B$3390,"&lt;&gt;Off-street")&gt;0,1,0)</f>
        <v>0</v>
      </c>
      <c r="L562">
        <f>IF(COUNTIFS('United Data'!$A$3:$A$3390,L$1,'United Data'!$C$3:$C$3390,$A562,'United Data'!$B$3:$B$3390,"&lt;&gt;Off-street")&gt;0,1,0)</f>
        <v>0</v>
      </c>
      <c r="M562">
        <f>IF(COUNTIFS('United Data'!$A$3:$A$3390,M$1,'United Data'!$C$3:$C$3390,$A562,'United Data'!$B$3:$B$3390,"&lt;&gt;Off-street")&gt;0,1,0)</f>
        <v>1</v>
      </c>
      <c r="N562">
        <f>IF(COUNTIFS('United Data'!$A$3:$A$3390,N$1,'United Data'!$C$3:$C$3390,$A562,'United Data'!$B$3:$B$3390,"&lt;&gt;Off-street")&gt;0,1,0)</f>
        <v>0</v>
      </c>
      <c r="O562">
        <f>IF(COUNTIFS('United Data'!$A$3:$A$3390,O$1,'United Data'!$C$3:$C$3390,$A562,'United Data'!$B$3:$B$3390,"&lt;&gt;Off-street")&gt;0,1,0)</f>
        <v>0</v>
      </c>
      <c r="P562">
        <f>IF(COUNTIFS('United Data'!$A$3:$A$3390,P$1,'United Data'!$C$3:$C$3390,$A562,'United Data'!$B$3:$B$3390,"&lt;&gt;Off-street")&gt;0,1,0)</f>
        <v>0</v>
      </c>
      <c r="Q562">
        <f>IF(COUNTIFS('United Data'!$A$3:$A$3390,Q$1,'United Data'!$C$3:$C$3390,$A562,'United Data'!$B$3:$B$3390,"&lt;&gt;Off-street")&gt;0,1,0)</f>
        <v>0</v>
      </c>
      <c r="R562">
        <f>IF(COUNTIFS('United Data'!$A$3:$A$3390,R$1,'United Data'!$C$3:$C$3390,$A562,'United Data'!$B$3:$B$3390,"&lt;&gt;Off-street")&gt;0,1,0)</f>
        <v>0</v>
      </c>
      <c r="S562">
        <f t="shared" si="16"/>
        <v>1</v>
      </c>
      <c r="T562">
        <f t="shared" si="17"/>
        <v>1</v>
      </c>
    </row>
    <row r="563" spans="1:20" x14ac:dyDescent="0.2">
      <c r="A563" t="s">
        <v>681</v>
      </c>
      <c r="B563">
        <f>IF(COUNTIFS('United Data'!$A$3:$A$3390,B$1,'United Data'!$C$3:$C$3390,$A563,'United Data'!$B$3:$B$3390,"&lt;&gt;Off-street")&gt;0,1,0)</f>
        <v>0</v>
      </c>
      <c r="C563">
        <f>IF(COUNTIFS('United Data'!$A$3:$A$3390,C$1,'United Data'!$C$3:$C$3390,$A563,'United Data'!$B$3:$B$3390,"&lt;&gt;Off-street")&gt;0,1,0)</f>
        <v>0</v>
      </c>
      <c r="D563">
        <f>IF(COUNTIFS('United Data'!$A$3:$A$3390,D$1,'United Data'!$C$3:$C$3390,$A563,'United Data'!$B$3:$B$3390,"&lt;&gt;Off-street")&gt;0,1,0)</f>
        <v>0</v>
      </c>
      <c r="E563">
        <f>IF(COUNTIFS('United Data'!$A$3:$A$3390,E$1,'United Data'!$C$3:$C$3390,$A563,'United Data'!$B$3:$B$3390,"&lt;&gt;Off-street")&gt;0,1,0)</f>
        <v>0</v>
      </c>
      <c r="F563">
        <f>IF(COUNTIFS('United Data'!$A$3:$A$3390,F$1,'United Data'!$C$3:$C$3390,$A563,'United Data'!$B$3:$B$3390,"&lt;&gt;Off-street")&gt;0,1,0)</f>
        <v>0</v>
      </c>
      <c r="G563">
        <f>IF(COUNTIFS('United Data'!$A$3:$A$3390,G$1,'United Data'!$C$3:$C$3390,$A563,'United Data'!$B$3:$B$3390,"&lt;&gt;Off-street")&gt;0,1,0)</f>
        <v>0</v>
      </c>
      <c r="H563">
        <f>IF(COUNTIFS('United Data'!$A$3:$A$3390,H$1,'United Data'!$C$3:$C$3390,$A563,'United Data'!$B$3:$B$3390,"&lt;&gt;Off-street")&gt;0,1,0)</f>
        <v>0</v>
      </c>
      <c r="I563">
        <f>IF(COUNTIFS('United Data'!$A$3:$A$3390,I$1,'United Data'!$C$3:$C$3390,$A563,'United Data'!$B$3:$B$3390,"&lt;&gt;Off-street")&gt;0,1,0)</f>
        <v>0</v>
      </c>
      <c r="J563">
        <f>IF(COUNTIFS('United Data'!$A$3:$A$3390,J$1,'United Data'!$C$3:$C$3390,$A563,'United Data'!$B$3:$B$3390,"&lt;&gt;Off-street")&gt;0,1,0)</f>
        <v>0</v>
      </c>
      <c r="K563">
        <f>IF(COUNTIFS('United Data'!$A$3:$A$3390,K$1,'United Data'!$C$3:$C$3390,$A563,'United Data'!$B$3:$B$3390,"&lt;&gt;Off-street")&gt;0,1,0)</f>
        <v>0</v>
      </c>
      <c r="L563">
        <f>IF(COUNTIFS('United Data'!$A$3:$A$3390,L$1,'United Data'!$C$3:$C$3390,$A563,'United Data'!$B$3:$B$3390,"&lt;&gt;Off-street")&gt;0,1,0)</f>
        <v>0</v>
      </c>
      <c r="M563">
        <f>IF(COUNTIFS('United Data'!$A$3:$A$3390,M$1,'United Data'!$C$3:$C$3390,$A563,'United Data'!$B$3:$B$3390,"&lt;&gt;Off-street")&gt;0,1,0)</f>
        <v>1</v>
      </c>
      <c r="N563">
        <f>IF(COUNTIFS('United Data'!$A$3:$A$3390,N$1,'United Data'!$C$3:$C$3390,$A563,'United Data'!$B$3:$B$3390,"&lt;&gt;Off-street")&gt;0,1,0)</f>
        <v>1</v>
      </c>
      <c r="O563">
        <f>IF(COUNTIFS('United Data'!$A$3:$A$3390,O$1,'United Data'!$C$3:$C$3390,$A563,'United Data'!$B$3:$B$3390,"&lt;&gt;Off-street")&gt;0,1,0)</f>
        <v>0</v>
      </c>
      <c r="P563">
        <f>IF(COUNTIFS('United Data'!$A$3:$A$3390,P$1,'United Data'!$C$3:$C$3390,$A563,'United Data'!$B$3:$B$3390,"&lt;&gt;Off-street")&gt;0,1,0)</f>
        <v>0</v>
      </c>
      <c r="Q563">
        <f>IF(COUNTIFS('United Data'!$A$3:$A$3390,Q$1,'United Data'!$C$3:$C$3390,$A563,'United Data'!$B$3:$B$3390,"&lt;&gt;Off-street")&gt;0,1,0)</f>
        <v>0</v>
      </c>
      <c r="R563">
        <f>IF(COUNTIFS('United Data'!$A$3:$A$3390,R$1,'United Data'!$C$3:$C$3390,$A563,'United Data'!$B$3:$B$3390,"&lt;&gt;Off-street")&gt;0,1,0)</f>
        <v>0</v>
      </c>
      <c r="S563">
        <f t="shared" si="16"/>
        <v>2</v>
      </c>
      <c r="T563">
        <f t="shared" si="17"/>
        <v>1</v>
      </c>
    </row>
    <row r="564" spans="1:20" x14ac:dyDescent="0.2">
      <c r="A564" t="s">
        <v>682</v>
      </c>
      <c r="B564">
        <f>IF(COUNTIFS('United Data'!$A$3:$A$3390,B$1,'United Data'!$C$3:$C$3390,$A564,'United Data'!$B$3:$B$3390,"&lt;&gt;Off-street")&gt;0,1,0)</f>
        <v>0</v>
      </c>
      <c r="C564">
        <f>IF(COUNTIFS('United Data'!$A$3:$A$3390,C$1,'United Data'!$C$3:$C$3390,$A564,'United Data'!$B$3:$B$3390,"&lt;&gt;Off-street")&gt;0,1,0)</f>
        <v>0</v>
      </c>
      <c r="D564">
        <f>IF(COUNTIFS('United Data'!$A$3:$A$3390,D$1,'United Data'!$C$3:$C$3390,$A564,'United Data'!$B$3:$B$3390,"&lt;&gt;Off-street")&gt;0,1,0)</f>
        <v>0</v>
      </c>
      <c r="E564">
        <f>IF(COUNTIFS('United Data'!$A$3:$A$3390,E$1,'United Data'!$C$3:$C$3390,$A564,'United Data'!$B$3:$B$3390,"&lt;&gt;Off-street")&gt;0,1,0)</f>
        <v>0</v>
      </c>
      <c r="F564">
        <f>IF(COUNTIFS('United Data'!$A$3:$A$3390,F$1,'United Data'!$C$3:$C$3390,$A564,'United Data'!$B$3:$B$3390,"&lt;&gt;Off-street")&gt;0,1,0)</f>
        <v>0</v>
      </c>
      <c r="G564">
        <f>IF(COUNTIFS('United Data'!$A$3:$A$3390,G$1,'United Data'!$C$3:$C$3390,$A564,'United Data'!$B$3:$B$3390,"&lt;&gt;Off-street")&gt;0,1,0)</f>
        <v>0</v>
      </c>
      <c r="H564">
        <f>IF(COUNTIFS('United Data'!$A$3:$A$3390,H$1,'United Data'!$C$3:$C$3390,$A564,'United Data'!$B$3:$B$3390,"&lt;&gt;Off-street")&gt;0,1,0)</f>
        <v>0</v>
      </c>
      <c r="I564">
        <f>IF(COUNTIFS('United Data'!$A$3:$A$3390,I$1,'United Data'!$C$3:$C$3390,$A564,'United Data'!$B$3:$B$3390,"&lt;&gt;Off-street")&gt;0,1,0)</f>
        <v>0</v>
      </c>
      <c r="J564">
        <f>IF(COUNTIFS('United Data'!$A$3:$A$3390,J$1,'United Data'!$C$3:$C$3390,$A564,'United Data'!$B$3:$B$3390,"&lt;&gt;Off-street")&gt;0,1,0)</f>
        <v>0</v>
      </c>
      <c r="K564">
        <f>IF(COUNTIFS('United Data'!$A$3:$A$3390,K$1,'United Data'!$C$3:$C$3390,$A564,'United Data'!$B$3:$B$3390,"&lt;&gt;Off-street")&gt;0,1,0)</f>
        <v>0</v>
      </c>
      <c r="L564">
        <f>IF(COUNTIFS('United Data'!$A$3:$A$3390,L$1,'United Data'!$C$3:$C$3390,$A564,'United Data'!$B$3:$B$3390,"&lt;&gt;Off-street")&gt;0,1,0)</f>
        <v>0</v>
      </c>
      <c r="M564">
        <f>IF(COUNTIFS('United Data'!$A$3:$A$3390,M$1,'United Data'!$C$3:$C$3390,$A564,'United Data'!$B$3:$B$3390,"&lt;&gt;Off-street")&gt;0,1,0)</f>
        <v>1</v>
      </c>
      <c r="N564">
        <f>IF(COUNTIFS('United Data'!$A$3:$A$3390,N$1,'United Data'!$C$3:$C$3390,$A564,'United Data'!$B$3:$B$3390,"&lt;&gt;Off-street")&gt;0,1,0)</f>
        <v>0</v>
      </c>
      <c r="O564">
        <f>IF(COUNTIFS('United Data'!$A$3:$A$3390,O$1,'United Data'!$C$3:$C$3390,$A564,'United Data'!$B$3:$B$3390,"&lt;&gt;Off-street")&gt;0,1,0)</f>
        <v>0</v>
      </c>
      <c r="P564">
        <f>IF(COUNTIFS('United Data'!$A$3:$A$3390,P$1,'United Data'!$C$3:$C$3390,$A564,'United Data'!$B$3:$B$3390,"&lt;&gt;Off-street")&gt;0,1,0)</f>
        <v>0</v>
      </c>
      <c r="Q564">
        <f>IF(COUNTIFS('United Data'!$A$3:$A$3390,Q$1,'United Data'!$C$3:$C$3390,$A564,'United Data'!$B$3:$B$3390,"&lt;&gt;Off-street")&gt;0,1,0)</f>
        <v>0</v>
      </c>
      <c r="R564">
        <f>IF(COUNTIFS('United Data'!$A$3:$A$3390,R$1,'United Data'!$C$3:$C$3390,$A564,'United Data'!$B$3:$B$3390,"&lt;&gt;Off-street")&gt;0,1,0)</f>
        <v>0</v>
      </c>
      <c r="S564">
        <f t="shared" si="16"/>
        <v>1</v>
      </c>
      <c r="T564">
        <f t="shared" si="17"/>
        <v>1</v>
      </c>
    </row>
    <row r="565" spans="1:20" x14ac:dyDescent="0.2">
      <c r="A565" t="s">
        <v>683</v>
      </c>
      <c r="B565">
        <f>IF(COUNTIFS('United Data'!$A$3:$A$3390,B$1,'United Data'!$C$3:$C$3390,$A565,'United Data'!$B$3:$B$3390,"&lt;&gt;Off-street")&gt;0,1,0)</f>
        <v>0</v>
      </c>
      <c r="C565">
        <f>IF(COUNTIFS('United Data'!$A$3:$A$3390,C$1,'United Data'!$C$3:$C$3390,$A565,'United Data'!$B$3:$B$3390,"&lt;&gt;Off-street")&gt;0,1,0)</f>
        <v>0</v>
      </c>
      <c r="D565">
        <f>IF(COUNTIFS('United Data'!$A$3:$A$3390,D$1,'United Data'!$C$3:$C$3390,$A565,'United Data'!$B$3:$B$3390,"&lt;&gt;Off-street")&gt;0,1,0)</f>
        <v>0</v>
      </c>
      <c r="E565">
        <f>IF(COUNTIFS('United Data'!$A$3:$A$3390,E$1,'United Data'!$C$3:$C$3390,$A565,'United Data'!$B$3:$B$3390,"&lt;&gt;Off-street")&gt;0,1,0)</f>
        <v>0</v>
      </c>
      <c r="F565">
        <f>IF(COUNTIFS('United Data'!$A$3:$A$3390,F$1,'United Data'!$C$3:$C$3390,$A565,'United Data'!$B$3:$B$3390,"&lt;&gt;Off-street")&gt;0,1,0)</f>
        <v>0</v>
      </c>
      <c r="G565">
        <f>IF(COUNTIFS('United Data'!$A$3:$A$3390,G$1,'United Data'!$C$3:$C$3390,$A565,'United Data'!$B$3:$B$3390,"&lt;&gt;Off-street")&gt;0,1,0)</f>
        <v>0</v>
      </c>
      <c r="H565">
        <f>IF(COUNTIFS('United Data'!$A$3:$A$3390,H$1,'United Data'!$C$3:$C$3390,$A565,'United Data'!$B$3:$B$3390,"&lt;&gt;Off-street")&gt;0,1,0)</f>
        <v>0</v>
      </c>
      <c r="I565">
        <f>IF(COUNTIFS('United Data'!$A$3:$A$3390,I$1,'United Data'!$C$3:$C$3390,$A565,'United Data'!$B$3:$B$3390,"&lt;&gt;Off-street")&gt;0,1,0)</f>
        <v>0</v>
      </c>
      <c r="J565">
        <f>IF(COUNTIFS('United Data'!$A$3:$A$3390,J$1,'United Data'!$C$3:$C$3390,$A565,'United Data'!$B$3:$B$3390,"&lt;&gt;Off-street")&gt;0,1,0)</f>
        <v>0</v>
      </c>
      <c r="K565">
        <f>IF(COUNTIFS('United Data'!$A$3:$A$3390,K$1,'United Data'!$C$3:$C$3390,$A565,'United Data'!$B$3:$B$3390,"&lt;&gt;Off-street")&gt;0,1,0)</f>
        <v>0</v>
      </c>
      <c r="L565">
        <f>IF(COUNTIFS('United Data'!$A$3:$A$3390,L$1,'United Data'!$C$3:$C$3390,$A565,'United Data'!$B$3:$B$3390,"&lt;&gt;Off-street")&gt;0,1,0)</f>
        <v>0</v>
      </c>
      <c r="M565">
        <f>IF(COUNTIFS('United Data'!$A$3:$A$3390,M$1,'United Data'!$C$3:$C$3390,$A565,'United Data'!$B$3:$B$3390,"&lt;&gt;Off-street")&gt;0,1,0)</f>
        <v>0</v>
      </c>
      <c r="N565">
        <f>IF(COUNTIFS('United Data'!$A$3:$A$3390,N$1,'United Data'!$C$3:$C$3390,$A565,'United Data'!$B$3:$B$3390,"&lt;&gt;Off-street")&gt;0,1,0)</f>
        <v>1</v>
      </c>
      <c r="O565">
        <f>IF(COUNTIFS('United Data'!$A$3:$A$3390,O$1,'United Data'!$C$3:$C$3390,$A565,'United Data'!$B$3:$B$3390,"&lt;&gt;Off-street")&gt;0,1,0)</f>
        <v>0</v>
      </c>
      <c r="P565">
        <f>IF(COUNTIFS('United Data'!$A$3:$A$3390,P$1,'United Data'!$C$3:$C$3390,$A565,'United Data'!$B$3:$B$3390,"&lt;&gt;Off-street")&gt;0,1,0)</f>
        <v>0</v>
      </c>
      <c r="Q565">
        <f>IF(COUNTIFS('United Data'!$A$3:$A$3390,Q$1,'United Data'!$C$3:$C$3390,$A565,'United Data'!$B$3:$B$3390,"&lt;&gt;Off-street")&gt;0,1,0)</f>
        <v>0</v>
      </c>
      <c r="R565">
        <f>IF(COUNTIFS('United Data'!$A$3:$A$3390,R$1,'United Data'!$C$3:$C$3390,$A565,'United Data'!$B$3:$B$3390,"&lt;&gt;Off-street")&gt;0,1,0)</f>
        <v>0</v>
      </c>
      <c r="S565">
        <f t="shared" si="16"/>
        <v>1</v>
      </c>
      <c r="T565">
        <f t="shared" si="17"/>
        <v>1</v>
      </c>
    </row>
    <row r="566" spans="1:20" x14ac:dyDescent="0.2">
      <c r="A566" t="s">
        <v>684</v>
      </c>
      <c r="B566">
        <f>IF(COUNTIFS('United Data'!$A$3:$A$3390,B$1,'United Data'!$C$3:$C$3390,$A566,'United Data'!$B$3:$B$3390,"&lt;&gt;Off-street")&gt;0,1,0)</f>
        <v>0</v>
      </c>
      <c r="C566">
        <f>IF(COUNTIFS('United Data'!$A$3:$A$3390,C$1,'United Data'!$C$3:$C$3390,$A566,'United Data'!$B$3:$B$3390,"&lt;&gt;Off-street")&gt;0,1,0)</f>
        <v>0</v>
      </c>
      <c r="D566">
        <f>IF(COUNTIFS('United Data'!$A$3:$A$3390,D$1,'United Data'!$C$3:$C$3390,$A566,'United Data'!$B$3:$B$3390,"&lt;&gt;Off-street")&gt;0,1,0)</f>
        <v>0</v>
      </c>
      <c r="E566">
        <f>IF(COUNTIFS('United Data'!$A$3:$A$3390,E$1,'United Data'!$C$3:$C$3390,$A566,'United Data'!$B$3:$B$3390,"&lt;&gt;Off-street")&gt;0,1,0)</f>
        <v>0</v>
      </c>
      <c r="F566">
        <f>IF(COUNTIFS('United Data'!$A$3:$A$3390,F$1,'United Data'!$C$3:$C$3390,$A566,'United Data'!$B$3:$B$3390,"&lt;&gt;Off-street")&gt;0,1,0)</f>
        <v>0</v>
      </c>
      <c r="G566">
        <f>IF(COUNTIFS('United Data'!$A$3:$A$3390,G$1,'United Data'!$C$3:$C$3390,$A566,'United Data'!$B$3:$B$3390,"&lt;&gt;Off-street")&gt;0,1,0)</f>
        <v>0</v>
      </c>
      <c r="H566">
        <f>IF(COUNTIFS('United Data'!$A$3:$A$3390,H$1,'United Data'!$C$3:$C$3390,$A566,'United Data'!$B$3:$B$3390,"&lt;&gt;Off-street")&gt;0,1,0)</f>
        <v>0</v>
      </c>
      <c r="I566">
        <f>IF(COUNTIFS('United Data'!$A$3:$A$3390,I$1,'United Data'!$C$3:$C$3390,$A566,'United Data'!$B$3:$B$3390,"&lt;&gt;Off-street")&gt;0,1,0)</f>
        <v>0</v>
      </c>
      <c r="J566">
        <f>IF(COUNTIFS('United Data'!$A$3:$A$3390,J$1,'United Data'!$C$3:$C$3390,$A566,'United Data'!$B$3:$B$3390,"&lt;&gt;Off-street")&gt;0,1,0)</f>
        <v>0</v>
      </c>
      <c r="K566">
        <f>IF(COUNTIFS('United Data'!$A$3:$A$3390,K$1,'United Data'!$C$3:$C$3390,$A566,'United Data'!$B$3:$B$3390,"&lt;&gt;Off-street")&gt;0,1,0)</f>
        <v>0</v>
      </c>
      <c r="L566">
        <f>IF(COUNTIFS('United Data'!$A$3:$A$3390,L$1,'United Data'!$C$3:$C$3390,$A566,'United Data'!$B$3:$B$3390,"&lt;&gt;Off-street")&gt;0,1,0)</f>
        <v>0</v>
      </c>
      <c r="M566">
        <f>IF(COUNTIFS('United Data'!$A$3:$A$3390,M$1,'United Data'!$C$3:$C$3390,$A566,'United Data'!$B$3:$B$3390,"&lt;&gt;Off-street")&gt;0,1,0)</f>
        <v>0</v>
      </c>
      <c r="N566">
        <f>IF(COUNTIFS('United Data'!$A$3:$A$3390,N$1,'United Data'!$C$3:$C$3390,$A566,'United Data'!$B$3:$B$3390,"&lt;&gt;Off-street")&gt;0,1,0)</f>
        <v>1</v>
      </c>
      <c r="O566">
        <f>IF(COUNTIFS('United Data'!$A$3:$A$3390,O$1,'United Data'!$C$3:$C$3390,$A566,'United Data'!$B$3:$B$3390,"&lt;&gt;Off-street")&gt;0,1,0)</f>
        <v>0</v>
      </c>
      <c r="P566">
        <f>IF(COUNTIFS('United Data'!$A$3:$A$3390,P$1,'United Data'!$C$3:$C$3390,$A566,'United Data'!$B$3:$B$3390,"&lt;&gt;Off-street")&gt;0,1,0)</f>
        <v>0</v>
      </c>
      <c r="Q566">
        <f>IF(COUNTIFS('United Data'!$A$3:$A$3390,Q$1,'United Data'!$C$3:$C$3390,$A566,'United Data'!$B$3:$B$3390,"&lt;&gt;Off-street")&gt;0,1,0)</f>
        <v>0</v>
      </c>
      <c r="R566">
        <f>IF(COUNTIFS('United Data'!$A$3:$A$3390,R$1,'United Data'!$C$3:$C$3390,$A566,'United Data'!$B$3:$B$3390,"&lt;&gt;Off-street")&gt;0,1,0)</f>
        <v>0</v>
      </c>
      <c r="S566">
        <f t="shared" si="16"/>
        <v>1</v>
      </c>
      <c r="T566">
        <f t="shared" si="17"/>
        <v>1</v>
      </c>
    </row>
    <row r="567" spans="1:20" x14ac:dyDescent="0.2">
      <c r="A567" t="s">
        <v>685</v>
      </c>
      <c r="B567">
        <f>IF(COUNTIFS('United Data'!$A$3:$A$3390,B$1,'United Data'!$C$3:$C$3390,$A567,'United Data'!$B$3:$B$3390,"&lt;&gt;Off-street")&gt;0,1,0)</f>
        <v>0</v>
      </c>
      <c r="C567">
        <f>IF(COUNTIFS('United Data'!$A$3:$A$3390,C$1,'United Data'!$C$3:$C$3390,$A567,'United Data'!$B$3:$B$3390,"&lt;&gt;Off-street")&gt;0,1,0)</f>
        <v>0</v>
      </c>
      <c r="D567">
        <f>IF(COUNTIFS('United Data'!$A$3:$A$3390,D$1,'United Data'!$C$3:$C$3390,$A567,'United Data'!$B$3:$B$3390,"&lt;&gt;Off-street")&gt;0,1,0)</f>
        <v>0</v>
      </c>
      <c r="E567">
        <f>IF(COUNTIFS('United Data'!$A$3:$A$3390,E$1,'United Data'!$C$3:$C$3390,$A567,'United Data'!$B$3:$B$3390,"&lt;&gt;Off-street")&gt;0,1,0)</f>
        <v>0</v>
      </c>
      <c r="F567">
        <f>IF(COUNTIFS('United Data'!$A$3:$A$3390,F$1,'United Data'!$C$3:$C$3390,$A567,'United Data'!$B$3:$B$3390,"&lt;&gt;Off-street")&gt;0,1,0)</f>
        <v>0</v>
      </c>
      <c r="G567">
        <f>IF(COUNTIFS('United Data'!$A$3:$A$3390,G$1,'United Data'!$C$3:$C$3390,$A567,'United Data'!$B$3:$B$3390,"&lt;&gt;Off-street")&gt;0,1,0)</f>
        <v>0</v>
      </c>
      <c r="H567">
        <f>IF(COUNTIFS('United Data'!$A$3:$A$3390,H$1,'United Data'!$C$3:$C$3390,$A567,'United Data'!$B$3:$B$3390,"&lt;&gt;Off-street")&gt;0,1,0)</f>
        <v>0</v>
      </c>
      <c r="I567">
        <f>IF(COUNTIFS('United Data'!$A$3:$A$3390,I$1,'United Data'!$C$3:$C$3390,$A567,'United Data'!$B$3:$B$3390,"&lt;&gt;Off-street")&gt;0,1,0)</f>
        <v>0</v>
      </c>
      <c r="J567">
        <f>IF(COUNTIFS('United Data'!$A$3:$A$3390,J$1,'United Data'!$C$3:$C$3390,$A567,'United Data'!$B$3:$B$3390,"&lt;&gt;Off-street")&gt;0,1,0)</f>
        <v>0</v>
      </c>
      <c r="K567">
        <f>IF(COUNTIFS('United Data'!$A$3:$A$3390,K$1,'United Data'!$C$3:$C$3390,$A567,'United Data'!$B$3:$B$3390,"&lt;&gt;Off-street")&gt;0,1,0)</f>
        <v>0</v>
      </c>
      <c r="L567">
        <f>IF(COUNTIFS('United Data'!$A$3:$A$3390,L$1,'United Data'!$C$3:$C$3390,$A567,'United Data'!$B$3:$B$3390,"&lt;&gt;Off-street")&gt;0,1,0)</f>
        <v>0</v>
      </c>
      <c r="M567">
        <f>IF(COUNTIFS('United Data'!$A$3:$A$3390,M$1,'United Data'!$C$3:$C$3390,$A567,'United Data'!$B$3:$B$3390,"&lt;&gt;Off-street")&gt;0,1,0)</f>
        <v>1</v>
      </c>
      <c r="N567">
        <f>IF(COUNTIFS('United Data'!$A$3:$A$3390,N$1,'United Data'!$C$3:$C$3390,$A567,'United Data'!$B$3:$B$3390,"&lt;&gt;Off-street")&gt;0,1,0)</f>
        <v>1</v>
      </c>
      <c r="O567">
        <f>IF(COUNTIFS('United Data'!$A$3:$A$3390,O$1,'United Data'!$C$3:$C$3390,$A567,'United Data'!$B$3:$B$3390,"&lt;&gt;Off-street")&gt;0,1,0)</f>
        <v>1</v>
      </c>
      <c r="P567">
        <f>IF(COUNTIFS('United Data'!$A$3:$A$3390,P$1,'United Data'!$C$3:$C$3390,$A567,'United Data'!$B$3:$B$3390,"&lt;&gt;Off-street")&gt;0,1,0)</f>
        <v>0</v>
      </c>
      <c r="Q567">
        <f>IF(COUNTIFS('United Data'!$A$3:$A$3390,Q$1,'United Data'!$C$3:$C$3390,$A567,'United Data'!$B$3:$B$3390,"&lt;&gt;Off-street")&gt;0,1,0)</f>
        <v>0</v>
      </c>
      <c r="R567">
        <f>IF(COUNTIFS('United Data'!$A$3:$A$3390,R$1,'United Data'!$C$3:$C$3390,$A567,'United Data'!$B$3:$B$3390,"&lt;&gt;Off-street")&gt;0,1,0)</f>
        <v>0</v>
      </c>
      <c r="S567">
        <f t="shared" si="16"/>
        <v>3</v>
      </c>
      <c r="T567">
        <f t="shared" si="17"/>
        <v>1</v>
      </c>
    </row>
    <row r="568" spans="1:20" x14ac:dyDescent="0.2">
      <c r="A568" t="s">
        <v>686</v>
      </c>
      <c r="B568">
        <f>IF(COUNTIFS('United Data'!$A$3:$A$3390,B$1,'United Data'!$C$3:$C$3390,$A568,'United Data'!$B$3:$B$3390,"&lt;&gt;Off-street")&gt;0,1,0)</f>
        <v>0</v>
      </c>
      <c r="C568">
        <f>IF(COUNTIFS('United Data'!$A$3:$A$3390,C$1,'United Data'!$C$3:$C$3390,$A568,'United Data'!$B$3:$B$3390,"&lt;&gt;Off-street")&gt;0,1,0)</f>
        <v>0</v>
      </c>
      <c r="D568">
        <f>IF(COUNTIFS('United Data'!$A$3:$A$3390,D$1,'United Data'!$C$3:$C$3390,$A568,'United Data'!$B$3:$B$3390,"&lt;&gt;Off-street")&gt;0,1,0)</f>
        <v>0</v>
      </c>
      <c r="E568">
        <f>IF(COUNTIFS('United Data'!$A$3:$A$3390,E$1,'United Data'!$C$3:$C$3390,$A568,'United Data'!$B$3:$B$3390,"&lt;&gt;Off-street")&gt;0,1,0)</f>
        <v>0</v>
      </c>
      <c r="F568">
        <f>IF(COUNTIFS('United Data'!$A$3:$A$3390,F$1,'United Data'!$C$3:$C$3390,$A568,'United Data'!$B$3:$B$3390,"&lt;&gt;Off-street")&gt;0,1,0)</f>
        <v>0</v>
      </c>
      <c r="G568">
        <f>IF(COUNTIFS('United Data'!$A$3:$A$3390,G$1,'United Data'!$C$3:$C$3390,$A568,'United Data'!$B$3:$B$3390,"&lt;&gt;Off-street")&gt;0,1,0)</f>
        <v>0</v>
      </c>
      <c r="H568">
        <f>IF(COUNTIFS('United Data'!$A$3:$A$3390,H$1,'United Data'!$C$3:$C$3390,$A568,'United Data'!$B$3:$B$3390,"&lt;&gt;Off-street")&gt;0,1,0)</f>
        <v>0</v>
      </c>
      <c r="I568">
        <f>IF(COUNTIFS('United Data'!$A$3:$A$3390,I$1,'United Data'!$C$3:$C$3390,$A568,'United Data'!$B$3:$B$3390,"&lt;&gt;Off-street")&gt;0,1,0)</f>
        <v>1</v>
      </c>
      <c r="J568">
        <f>IF(COUNTIFS('United Data'!$A$3:$A$3390,J$1,'United Data'!$C$3:$C$3390,$A568,'United Data'!$B$3:$B$3390,"&lt;&gt;Off-street")&gt;0,1,0)</f>
        <v>1</v>
      </c>
      <c r="K568">
        <f>IF(COUNTIFS('United Data'!$A$3:$A$3390,K$1,'United Data'!$C$3:$C$3390,$A568,'United Data'!$B$3:$B$3390,"&lt;&gt;Off-street")&gt;0,1,0)</f>
        <v>0</v>
      </c>
      <c r="L568">
        <f>IF(COUNTIFS('United Data'!$A$3:$A$3390,L$1,'United Data'!$C$3:$C$3390,$A568,'United Data'!$B$3:$B$3390,"&lt;&gt;Off-street")&gt;0,1,0)</f>
        <v>0</v>
      </c>
      <c r="M568">
        <f>IF(COUNTIFS('United Data'!$A$3:$A$3390,M$1,'United Data'!$C$3:$C$3390,$A568,'United Data'!$B$3:$B$3390,"&lt;&gt;Off-street")&gt;0,1,0)</f>
        <v>0</v>
      </c>
      <c r="N568">
        <f>IF(COUNTIFS('United Data'!$A$3:$A$3390,N$1,'United Data'!$C$3:$C$3390,$A568,'United Data'!$B$3:$B$3390,"&lt;&gt;Off-street")&gt;0,1,0)</f>
        <v>1</v>
      </c>
      <c r="O568">
        <f>IF(COUNTIFS('United Data'!$A$3:$A$3390,O$1,'United Data'!$C$3:$C$3390,$A568,'United Data'!$B$3:$B$3390,"&lt;&gt;Off-street")&gt;0,1,0)</f>
        <v>0</v>
      </c>
      <c r="P568">
        <f>IF(COUNTIFS('United Data'!$A$3:$A$3390,P$1,'United Data'!$C$3:$C$3390,$A568,'United Data'!$B$3:$B$3390,"&lt;&gt;Off-street")&gt;0,1,0)</f>
        <v>0</v>
      </c>
      <c r="Q568">
        <f>IF(COUNTIFS('United Data'!$A$3:$A$3390,Q$1,'United Data'!$C$3:$C$3390,$A568,'United Data'!$B$3:$B$3390,"&lt;&gt;Off-street")&gt;0,1,0)</f>
        <v>0</v>
      </c>
      <c r="R568">
        <f>IF(COUNTIFS('United Data'!$A$3:$A$3390,R$1,'United Data'!$C$3:$C$3390,$A568,'United Data'!$B$3:$B$3390,"&lt;&gt;Off-street")&gt;0,1,0)</f>
        <v>0</v>
      </c>
      <c r="S568">
        <f t="shared" si="16"/>
        <v>3</v>
      </c>
      <c r="T568">
        <f t="shared" si="17"/>
        <v>2</v>
      </c>
    </row>
    <row r="569" spans="1:20" x14ac:dyDescent="0.2">
      <c r="A569" t="s">
        <v>687</v>
      </c>
      <c r="B569">
        <f>IF(COUNTIFS('United Data'!$A$3:$A$3390,B$1,'United Data'!$C$3:$C$3390,$A569,'United Data'!$B$3:$B$3390,"&lt;&gt;Off-street")&gt;0,1,0)</f>
        <v>0</v>
      </c>
      <c r="C569">
        <f>IF(COUNTIFS('United Data'!$A$3:$A$3390,C$1,'United Data'!$C$3:$C$3390,$A569,'United Data'!$B$3:$B$3390,"&lt;&gt;Off-street")&gt;0,1,0)</f>
        <v>0</v>
      </c>
      <c r="D569">
        <f>IF(COUNTIFS('United Data'!$A$3:$A$3390,D$1,'United Data'!$C$3:$C$3390,$A569,'United Data'!$B$3:$B$3390,"&lt;&gt;Off-street")&gt;0,1,0)</f>
        <v>0</v>
      </c>
      <c r="E569">
        <f>IF(COUNTIFS('United Data'!$A$3:$A$3390,E$1,'United Data'!$C$3:$C$3390,$A569,'United Data'!$B$3:$B$3390,"&lt;&gt;Off-street")&gt;0,1,0)</f>
        <v>0</v>
      </c>
      <c r="F569">
        <f>IF(COUNTIFS('United Data'!$A$3:$A$3390,F$1,'United Data'!$C$3:$C$3390,$A569,'United Data'!$B$3:$B$3390,"&lt;&gt;Off-street")&gt;0,1,0)</f>
        <v>0</v>
      </c>
      <c r="G569">
        <f>IF(COUNTIFS('United Data'!$A$3:$A$3390,G$1,'United Data'!$C$3:$C$3390,$A569,'United Data'!$B$3:$B$3390,"&lt;&gt;Off-street")&gt;0,1,0)</f>
        <v>0</v>
      </c>
      <c r="H569">
        <f>IF(COUNTIFS('United Data'!$A$3:$A$3390,H$1,'United Data'!$C$3:$C$3390,$A569,'United Data'!$B$3:$B$3390,"&lt;&gt;Off-street")&gt;0,1,0)</f>
        <v>0</v>
      </c>
      <c r="I569">
        <f>IF(COUNTIFS('United Data'!$A$3:$A$3390,I$1,'United Data'!$C$3:$C$3390,$A569,'United Data'!$B$3:$B$3390,"&lt;&gt;Off-street")&gt;0,1,0)</f>
        <v>0</v>
      </c>
      <c r="J569">
        <f>IF(COUNTIFS('United Data'!$A$3:$A$3390,J$1,'United Data'!$C$3:$C$3390,$A569,'United Data'!$B$3:$B$3390,"&lt;&gt;Off-street")&gt;0,1,0)</f>
        <v>0</v>
      </c>
      <c r="K569">
        <f>IF(COUNTIFS('United Data'!$A$3:$A$3390,K$1,'United Data'!$C$3:$C$3390,$A569,'United Data'!$B$3:$B$3390,"&lt;&gt;Off-street")&gt;0,1,0)</f>
        <v>0</v>
      </c>
      <c r="L569">
        <f>IF(COUNTIFS('United Data'!$A$3:$A$3390,L$1,'United Data'!$C$3:$C$3390,$A569,'United Data'!$B$3:$B$3390,"&lt;&gt;Off-street")&gt;0,1,0)</f>
        <v>0</v>
      </c>
      <c r="M569">
        <f>IF(COUNTIFS('United Data'!$A$3:$A$3390,M$1,'United Data'!$C$3:$C$3390,$A569,'United Data'!$B$3:$B$3390,"&lt;&gt;Off-street")&gt;0,1,0)</f>
        <v>0</v>
      </c>
      <c r="N569">
        <f>IF(COUNTIFS('United Data'!$A$3:$A$3390,N$1,'United Data'!$C$3:$C$3390,$A569,'United Data'!$B$3:$B$3390,"&lt;&gt;Off-street")&gt;0,1,0)</f>
        <v>1</v>
      </c>
      <c r="O569">
        <f>IF(COUNTIFS('United Data'!$A$3:$A$3390,O$1,'United Data'!$C$3:$C$3390,$A569,'United Data'!$B$3:$B$3390,"&lt;&gt;Off-street")&gt;0,1,0)</f>
        <v>0</v>
      </c>
      <c r="P569">
        <f>IF(COUNTIFS('United Data'!$A$3:$A$3390,P$1,'United Data'!$C$3:$C$3390,$A569,'United Data'!$B$3:$B$3390,"&lt;&gt;Off-street")&gt;0,1,0)</f>
        <v>0</v>
      </c>
      <c r="Q569">
        <f>IF(COUNTIFS('United Data'!$A$3:$A$3390,Q$1,'United Data'!$C$3:$C$3390,$A569,'United Data'!$B$3:$B$3390,"&lt;&gt;Off-street")&gt;0,1,0)</f>
        <v>0</v>
      </c>
      <c r="R569">
        <f>IF(COUNTIFS('United Data'!$A$3:$A$3390,R$1,'United Data'!$C$3:$C$3390,$A569,'United Data'!$B$3:$B$3390,"&lt;&gt;Off-street")&gt;0,1,0)</f>
        <v>0</v>
      </c>
      <c r="S569">
        <f t="shared" si="16"/>
        <v>1</v>
      </c>
      <c r="T569">
        <f t="shared" si="17"/>
        <v>1</v>
      </c>
    </row>
    <row r="570" spans="1:20" x14ac:dyDescent="0.2">
      <c r="A570" t="s">
        <v>688</v>
      </c>
      <c r="B570">
        <f>IF(COUNTIFS('United Data'!$A$3:$A$3390,B$1,'United Data'!$C$3:$C$3390,$A570,'United Data'!$B$3:$B$3390,"&lt;&gt;Off-street")&gt;0,1,0)</f>
        <v>0</v>
      </c>
      <c r="C570">
        <f>IF(COUNTIFS('United Data'!$A$3:$A$3390,C$1,'United Data'!$C$3:$C$3390,$A570,'United Data'!$B$3:$B$3390,"&lt;&gt;Off-street")&gt;0,1,0)</f>
        <v>0</v>
      </c>
      <c r="D570">
        <f>IF(COUNTIFS('United Data'!$A$3:$A$3390,D$1,'United Data'!$C$3:$C$3390,$A570,'United Data'!$B$3:$B$3390,"&lt;&gt;Off-street")&gt;0,1,0)</f>
        <v>0</v>
      </c>
      <c r="E570">
        <f>IF(COUNTIFS('United Data'!$A$3:$A$3390,E$1,'United Data'!$C$3:$C$3390,$A570,'United Data'!$B$3:$B$3390,"&lt;&gt;Off-street")&gt;0,1,0)</f>
        <v>0</v>
      </c>
      <c r="F570">
        <f>IF(COUNTIFS('United Data'!$A$3:$A$3390,F$1,'United Data'!$C$3:$C$3390,$A570,'United Data'!$B$3:$B$3390,"&lt;&gt;Off-street")&gt;0,1,0)</f>
        <v>0</v>
      </c>
      <c r="G570">
        <f>IF(COUNTIFS('United Data'!$A$3:$A$3390,G$1,'United Data'!$C$3:$C$3390,$A570,'United Data'!$B$3:$B$3390,"&lt;&gt;Off-street")&gt;0,1,0)</f>
        <v>0</v>
      </c>
      <c r="H570">
        <f>IF(COUNTIFS('United Data'!$A$3:$A$3390,H$1,'United Data'!$C$3:$C$3390,$A570,'United Data'!$B$3:$B$3390,"&lt;&gt;Off-street")&gt;0,1,0)</f>
        <v>0</v>
      </c>
      <c r="I570">
        <f>IF(COUNTIFS('United Data'!$A$3:$A$3390,I$1,'United Data'!$C$3:$C$3390,$A570,'United Data'!$B$3:$B$3390,"&lt;&gt;Off-street")&gt;0,1,0)</f>
        <v>0</v>
      </c>
      <c r="J570">
        <f>IF(COUNTIFS('United Data'!$A$3:$A$3390,J$1,'United Data'!$C$3:$C$3390,$A570,'United Data'!$B$3:$B$3390,"&lt;&gt;Off-street")&gt;0,1,0)</f>
        <v>0</v>
      </c>
      <c r="K570">
        <f>IF(COUNTIFS('United Data'!$A$3:$A$3390,K$1,'United Data'!$C$3:$C$3390,$A570,'United Data'!$B$3:$B$3390,"&lt;&gt;Off-street")&gt;0,1,0)</f>
        <v>0</v>
      </c>
      <c r="L570">
        <f>IF(COUNTIFS('United Data'!$A$3:$A$3390,L$1,'United Data'!$C$3:$C$3390,$A570,'United Data'!$B$3:$B$3390,"&lt;&gt;Off-street")&gt;0,1,0)</f>
        <v>0</v>
      </c>
      <c r="M570">
        <f>IF(COUNTIFS('United Data'!$A$3:$A$3390,M$1,'United Data'!$C$3:$C$3390,$A570,'United Data'!$B$3:$B$3390,"&lt;&gt;Off-street")&gt;0,1,0)</f>
        <v>0</v>
      </c>
      <c r="N570">
        <f>IF(COUNTIFS('United Data'!$A$3:$A$3390,N$1,'United Data'!$C$3:$C$3390,$A570,'United Data'!$B$3:$B$3390,"&lt;&gt;Off-street")&gt;0,1,0)</f>
        <v>1</v>
      </c>
      <c r="O570">
        <f>IF(COUNTIFS('United Data'!$A$3:$A$3390,O$1,'United Data'!$C$3:$C$3390,$A570,'United Data'!$B$3:$B$3390,"&lt;&gt;Off-street")&gt;0,1,0)</f>
        <v>0</v>
      </c>
      <c r="P570">
        <f>IF(COUNTIFS('United Data'!$A$3:$A$3390,P$1,'United Data'!$C$3:$C$3390,$A570,'United Data'!$B$3:$B$3390,"&lt;&gt;Off-street")&gt;0,1,0)</f>
        <v>0</v>
      </c>
      <c r="Q570">
        <f>IF(COUNTIFS('United Data'!$A$3:$A$3390,Q$1,'United Data'!$C$3:$C$3390,$A570,'United Data'!$B$3:$B$3390,"&lt;&gt;Off-street")&gt;0,1,0)</f>
        <v>0</v>
      </c>
      <c r="R570">
        <f>IF(COUNTIFS('United Data'!$A$3:$A$3390,R$1,'United Data'!$C$3:$C$3390,$A570,'United Data'!$B$3:$B$3390,"&lt;&gt;Off-street")&gt;0,1,0)</f>
        <v>0</v>
      </c>
      <c r="S570">
        <f t="shared" si="16"/>
        <v>1</v>
      </c>
      <c r="T570">
        <f t="shared" si="17"/>
        <v>1</v>
      </c>
    </row>
    <row r="571" spans="1:20" x14ac:dyDescent="0.2">
      <c r="A571" t="s">
        <v>689</v>
      </c>
      <c r="B571">
        <f>IF(COUNTIFS('United Data'!$A$3:$A$3390,B$1,'United Data'!$C$3:$C$3390,$A571,'United Data'!$B$3:$B$3390,"&lt;&gt;Off-street")&gt;0,1,0)</f>
        <v>0</v>
      </c>
      <c r="C571">
        <f>IF(COUNTIFS('United Data'!$A$3:$A$3390,C$1,'United Data'!$C$3:$C$3390,$A571,'United Data'!$B$3:$B$3390,"&lt;&gt;Off-street")&gt;0,1,0)</f>
        <v>0</v>
      </c>
      <c r="D571">
        <f>IF(COUNTIFS('United Data'!$A$3:$A$3390,D$1,'United Data'!$C$3:$C$3390,$A571,'United Data'!$B$3:$B$3390,"&lt;&gt;Off-street")&gt;0,1,0)</f>
        <v>0</v>
      </c>
      <c r="E571">
        <f>IF(COUNTIFS('United Data'!$A$3:$A$3390,E$1,'United Data'!$C$3:$C$3390,$A571,'United Data'!$B$3:$B$3390,"&lt;&gt;Off-street")&gt;0,1,0)</f>
        <v>0</v>
      </c>
      <c r="F571">
        <f>IF(COUNTIFS('United Data'!$A$3:$A$3390,F$1,'United Data'!$C$3:$C$3390,$A571,'United Data'!$B$3:$B$3390,"&lt;&gt;Off-street")&gt;0,1,0)</f>
        <v>0</v>
      </c>
      <c r="G571">
        <f>IF(COUNTIFS('United Data'!$A$3:$A$3390,G$1,'United Data'!$C$3:$C$3390,$A571,'United Data'!$B$3:$B$3390,"&lt;&gt;Off-street")&gt;0,1,0)</f>
        <v>0</v>
      </c>
      <c r="H571">
        <f>IF(COUNTIFS('United Data'!$A$3:$A$3390,H$1,'United Data'!$C$3:$C$3390,$A571,'United Data'!$B$3:$B$3390,"&lt;&gt;Off-street")&gt;0,1,0)</f>
        <v>0</v>
      </c>
      <c r="I571">
        <f>IF(COUNTIFS('United Data'!$A$3:$A$3390,I$1,'United Data'!$C$3:$C$3390,$A571,'United Data'!$B$3:$B$3390,"&lt;&gt;Off-street")&gt;0,1,0)</f>
        <v>0</v>
      </c>
      <c r="J571">
        <f>IF(COUNTIFS('United Data'!$A$3:$A$3390,J$1,'United Data'!$C$3:$C$3390,$A571,'United Data'!$B$3:$B$3390,"&lt;&gt;Off-street")&gt;0,1,0)</f>
        <v>0</v>
      </c>
      <c r="K571">
        <f>IF(COUNTIFS('United Data'!$A$3:$A$3390,K$1,'United Data'!$C$3:$C$3390,$A571,'United Data'!$B$3:$B$3390,"&lt;&gt;Off-street")&gt;0,1,0)</f>
        <v>0</v>
      </c>
      <c r="L571">
        <f>IF(COUNTIFS('United Data'!$A$3:$A$3390,L$1,'United Data'!$C$3:$C$3390,$A571,'United Data'!$B$3:$B$3390,"&lt;&gt;Off-street")&gt;0,1,0)</f>
        <v>0</v>
      </c>
      <c r="M571">
        <f>IF(COUNTIFS('United Data'!$A$3:$A$3390,M$1,'United Data'!$C$3:$C$3390,$A571,'United Data'!$B$3:$B$3390,"&lt;&gt;Off-street")&gt;0,1,0)</f>
        <v>0</v>
      </c>
      <c r="N571">
        <f>IF(COUNTIFS('United Data'!$A$3:$A$3390,N$1,'United Data'!$C$3:$C$3390,$A571,'United Data'!$B$3:$B$3390,"&lt;&gt;Off-street")&gt;0,1,0)</f>
        <v>0</v>
      </c>
      <c r="O571">
        <f>IF(COUNTIFS('United Data'!$A$3:$A$3390,O$1,'United Data'!$C$3:$C$3390,$A571,'United Data'!$B$3:$B$3390,"&lt;&gt;Off-street")&gt;0,1,0)</f>
        <v>1</v>
      </c>
      <c r="P571">
        <f>IF(COUNTIFS('United Data'!$A$3:$A$3390,P$1,'United Data'!$C$3:$C$3390,$A571,'United Data'!$B$3:$B$3390,"&lt;&gt;Off-street")&gt;0,1,0)</f>
        <v>0</v>
      </c>
      <c r="Q571">
        <f>IF(COUNTIFS('United Data'!$A$3:$A$3390,Q$1,'United Data'!$C$3:$C$3390,$A571,'United Data'!$B$3:$B$3390,"&lt;&gt;Off-street")&gt;0,1,0)</f>
        <v>0</v>
      </c>
      <c r="R571">
        <f>IF(COUNTIFS('United Data'!$A$3:$A$3390,R$1,'United Data'!$C$3:$C$3390,$A571,'United Data'!$B$3:$B$3390,"&lt;&gt;Off-street")&gt;0,1,0)</f>
        <v>0</v>
      </c>
      <c r="S571">
        <f t="shared" si="16"/>
        <v>1</v>
      </c>
      <c r="T571">
        <f t="shared" si="17"/>
        <v>1</v>
      </c>
    </row>
    <row r="572" spans="1:20" x14ac:dyDescent="0.2">
      <c r="A572" t="s">
        <v>690</v>
      </c>
      <c r="B572">
        <f>IF(COUNTIFS('United Data'!$A$3:$A$3390,B$1,'United Data'!$C$3:$C$3390,$A572,'United Data'!$B$3:$B$3390,"&lt;&gt;Off-street")&gt;0,1,0)</f>
        <v>0</v>
      </c>
      <c r="C572">
        <f>IF(COUNTIFS('United Data'!$A$3:$A$3390,C$1,'United Data'!$C$3:$C$3390,$A572,'United Data'!$B$3:$B$3390,"&lt;&gt;Off-street")&gt;0,1,0)</f>
        <v>0</v>
      </c>
      <c r="D572">
        <f>IF(COUNTIFS('United Data'!$A$3:$A$3390,D$1,'United Data'!$C$3:$C$3390,$A572,'United Data'!$B$3:$B$3390,"&lt;&gt;Off-street")&gt;0,1,0)</f>
        <v>0</v>
      </c>
      <c r="E572">
        <f>IF(COUNTIFS('United Data'!$A$3:$A$3390,E$1,'United Data'!$C$3:$C$3390,$A572,'United Data'!$B$3:$B$3390,"&lt;&gt;Off-street")&gt;0,1,0)</f>
        <v>0</v>
      </c>
      <c r="F572">
        <f>IF(COUNTIFS('United Data'!$A$3:$A$3390,F$1,'United Data'!$C$3:$C$3390,$A572,'United Data'!$B$3:$B$3390,"&lt;&gt;Off-street")&gt;0,1,0)</f>
        <v>0</v>
      </c>
      <c r="G572">
        <f>IF(COUNTIFS('United Data'!$A$3:$A$3390,G$1,'United Data'!$C$3:$C$3390,$A572,'United Data'!$B$3:$B$3390,"&lt;&gt;Off-street")&gt;0,1,0)</f>
        <v>0</v>
      </c>
      <c r="H572">
        <f>IF(COUNTIFS('United Data'!$A$3:$A$3390,H$1,'United Data'!$C$3:$C$3390,$A572,'United Data'!$B$3:$B$3390,"&lt;&gt;Off-street")&gt;0,1,0)</f>
        <v>0</v>
      </c>
      <c r="I572">
        <f>IF(COUNTIFS('United Data'!$A$3:$A$3390,I$1,'United Data'!$C$3:$C$3390,$A572,'United Data'!$B$3:$B$3390,"&lt;&gt;Off-street")&gt;0,1,0)</f>
        <v>0</v>
      </c>
      <c r="J572">
        <f>IF(COUNTIFS('United Data'!$A$3:$A$3390,J$1,'United Data'!$C$3:$C$3390,$A572,'United Data'!$B$3:$B$3390,"&lt;&gt;Off-street")&gt;0,1,0)</f>
        <v>0</v>
      </c>
      <c r="K572">
        <f>IF(COUNTIFS('United Data'!$A$3:$A$3390,K$1,'United Data'!$C$3:$C$3390,$A572,'United Data'!$B$3:$B$3390,"&lt;&gt;Off-street")&gt;0,1,0)</f>
        <v>0</v>
      </c>
      <c r="L572">
        <f>IF(COUNTIFS('United Data'!$A$3:$A$3390,L$1,'United Data'!$C$3:$C$3390,$A572,'United Data'!$B$3:$B$3390,"&lt;&gt;Off-street")&gt;0,1,0)</f>
        <v>0</v>
      </c>
      <c r="M572">
        <f>IF(COUNTIFS('United Data'!$A$3:$A$3390,M$1,'United Data'!$C$3:$C$3390,$A572,'United Data'!$B$3:$B$3390,"&lt;&gt;Off-street")&gt;0,1,0)</f>
        <v>0</v>
      </c>
      <c r="N572">
        <f>IF(COUNTIFS('United Data'!$A$3:$A$3390,N$1,'United Data'!$C$3:$C$3390,$A572,'United Data'!$B$3:$B$3390,"&lt;&gt;Off-street")&gt;0,1,0)</f>
        <v>0</v>
      </c>
      <c r="O572">
        <f>IF(COUNTIFS('United Data'!$A$3:$A$3390,O$1,'United Data'!$C$3:$C$3390,$A572,'United Data'!$B$3:$B$3390,"&lt;&gt;Off-street")&gt;0,1,0)</f>
        <v>1</v>
      </c>
      <c r="P572">
        <f>IF(COUNTIFS('United Data'!$A$3:$A$3390,P$1,'United Data'!$C$3:$C$3390,$A572,'United Data'!$B$3:$B$3390,"&lt;&gt;Off-street")&gt;0,1,0)</f>
        <v>1</v>
      </c>
      <c r="Q572">
        <f>IF(COUNTIFS('United Data'!$A$3:$A$3390,Q$1,'United Data'!$C$3:$C$3390,$A572,'United Data'!$B$3:$B$3390,"&lt;&gt;Off-street")&gt;0,1,0)</f>
        <v>0</v>
      </c>
      <c r="R572">
        <f>IF(COUNTIFS('United Data'!$A$3:$A$3390,R$1,'United Data'!$C$3:$C$3390,$A572,'United Data'!$B$3:$B$3390,"&lt;&gt;Off-street")&gt;0,1,0)</f>
        <v>0</v>
      </c>
      <c r="S572">
        <f t="shared" si="16"/>
        <v>2</v>
      </c>
      <c r="T572">
        <f t="shared" si="17"/>
        <v>1</v>
      </c>
    </row>
    <row r="573" spans="1:20" x14ac:dyDescent="0.2">
      <c r="A573" t="s">
        <v>691</v>
      </c>
      <c r="B573">
        <f>IF(COUNTIFS('United Data'!$A$3:$A$3390,B$1,'United Data'!$C$3:$C$3390,$A573,'United Data'!$B$3:$B$3390,"&lt;&gt;Off-street")&gt;0,1,0)</f>
        <v>0</v>
      </c>
      <c r="C573">
        <f>IF(COUNTIFS('United Data'!$A$3:$A$3390,C$1,'United Data'!$C$3:$C$3390,$A573,'United Data'!$B$3:$B$3390,"&lt;&gt;Off-street")&gt;0,1,0)</f>
        <v>0</v>
      </c>
      <c r="D573">
        <f>IF(COUNTIFS('United Data'!$A$3:$A$3390,D$1,'United Data'!$C$3:$C$3390,$A573,'United Data'!$B$3:$B$3390,"&lt;&gt;Off-street")&gt;0,1,0)</f>
        <v>0</v>
      </c>
      <c r="E573">
        <f>IF(COUNTIFS('United Data'!$A$3:$A$3390,E$1,'United Data'!$C$3:$C$3390,$A573,'United Data'!$B$3:$B$3390,"&lt;&gt;Off-street")&gt;0,1,0)</f>
        <v>0</v>
      </c>
      <c r="F573">
        <f>IF(COUNTIFS('United Data'!$A$3:$A$3390,F$1,'United Data'!$C$3:$C$3390,$A573,'United Data'!$B$3:$B$3390,"&lt;&gt;Off-street")&gt;0,1,0)</f>
        <v>0</v>
      </c>
      <c r="G573">
        <f>IF(COUNTIFS('United Data'!$A$3:$A$3390,G$1,'United Data'!$C$3:$C$3390,$A573,'United Data'!$B$3:$B$3390,"&lt;&gt;Off-street")&gt;0,1,0)</f>
        <v>0</v>
      </c>
      <c r="H573">
        <f>IF(COUNTIFS('United Data'!$A$3:$A$3390,H$1,'United Data'!$C$3:$C$3390,$A573,'United Data'!$B$3:$B$3390,"&lt;&gt;Off-street")&gt;0,1,0)</f>
        <v>0</v>
      </c>
      <c r="I573">
        <f>IF(COUNTIFS('United Data'!$A$3:$A$3390,I$1,'United Data'!$C$3:$C$3390,$A573,'United Data'!$B$3:$B$3390,"&lt;&gt;Off-street")&gt;0,1,0)</f>
        <v>0</v>
      </c>
      <c r="J573">
        <f>IF(COUNTIFS('United Data'!$A$3:$A$3390,J$1,'United Data'!$C$3:$C$3390,$A573,'United Data'!$B$3:$B$3390,"&lt;&gt;Off-street")&gt;0,1,0)</f>
        <v>0</v>
      </c>
      <c r="K573">
        <f>IF(COUNTIFS('United Data'!$A$3:$A$3390,K$1,'United Data'!$C$3:$C$3390,$A573,'United Data'!$B$3:$B$3390,"&lt;&gt;Off-street")&gt;0,1,0)</f>
        <v>0</v>
      </c>
      <c r="L573">
        <f>IF(COUNTIFS('United Data'!$A$3:$A$3390,L$1,'United Data'!$C$3:$C$3390,$A573,'United Data'!$B$3:$B$3390,"&lt;&gt;Off-street")&gt;0,1,0)</f>
        <v>0</v>
      </c>
      <c r="M573">
        <f>IF(COUNTIFS('United Data'!$A$3:$A$3390,M$1,'United Data'!$C$3:$C$3390,$A573,'United Data'!$B$3:$B$3390,"&lt;&gt;Off-street")&gt;0,1,0)</f>
        <v>0</v>
      </c>
      <c r="N573">
        <f>IF(COUNTIFS('United Data'!$A$3:$A$3390,N$1,'United Data'!$C$3:$C$3390,$A573,'United Data'!$B$3:$B$3390,"&lt;&gt;Off-street")&gt;0,1,0)</f>
        <v>0</v>
      </c>
      <c r="O573">
        <f>IF(COUNTIFS('United Data'!$A$3:$A$3390,O$1,'United Data'!$C$3:$C$3390,$A573,'United Data'!$B$3:$B$3390,"&lt;&gt;Off-street")&gt;0,1,0)</f>
        <v>1</v>
      </c>
      <c r="P573">
        <f>IF(COUNTIFS('United Data'!$A$3:$A$3390,P$1,'United Data'!$C$3:$C$3390,$A573,'United Data'!$B$3:$B$3390,"&lt;&gt;Off-street")&gt;0,1,0)</f>
        <v>0</v>
      </c>
      <c r="Q573">
        <f>IF(COUNTIFS('United Data'!$A$3:$A$3390,Q$1,'United Data'!$C$3:$C$3390,$A573,'United Data'!$B$3:$B$3390,"&lt;&gt;Off-street")&gt;0,1,0)</f>
        <v>0</v>
      </c>
      <c r="R573">
        <f>IF(COUNTIFS('United Data'!$A$3:$A$3390,R$1,'United Data'!$C$3:$C$3390,$A573,'United Data'!$B$3:$B$3390,"&lt;&gt;Off-street")&gt;0,1,0)</f>
        <v>0</v>
      </c>
      <c r="S573">
        <f t="shared" si="16"/>
        <v>1</v>
      </c>
      <c r="T573">
        <f t="shared" si="17"/>
        <v>1</v>
      </c>
    </row>
    <row r="574" spans="1:20" x14ac:dyDescent="0.2">
      <c r="A574" t="s">
        <v>692</v>
      </c>
      <c r="B574">
        <f>IF(COUNTIFS('United Data'!$A$3:$A$3390,B$1,'United Data'!$C$3:$C$3390,$A574,'United Data'!$B$3:$B$3390,"&lt;&gt;Off-street")&gt;0,1,0)</f>
        <v>0</v>
      </c>
      <c r="C574">
        <f>IF(COUNTIFS('United Data'!$A$3:$A$3390,C$1,'United Data'!$C$3:$C$3390,$A574,'United Data'!$B$3:$B$3390,"&lt;&gt;Off-street")&gt;0,1,0)</f>
        <v>0</v>
      </c>
      <c r="D574">
        <f>IF(COUNTIFS('United Data'!$A$3:$A$3390,D$1,'United Data'!$C$3:$C$3390,$A574,'United Data'!$B$3:$B$3390,"&lt;&gt;Off-street")&gt;0,1,0)</f>
        <v>0</v>
      </c>
      <c r="E574">
        <f>IF(COUNTIFS('United Data'!$A$3:$A$3390,E$1,'United Data'!$C$3:$C$3390,$A574,'United Data'!$B$3:$B$3390,"&lt;&gt;Off-street")&gt;0,1,0)</f>
        <v>0</v>
      </c>
      <c r="F574">
        <f>IF(COUNTIFS('United Data'!$A$3:$A$3390,F$1,'United Data'!$C$3:$C$3390,$A574,'United Data'!$B$3:$B$3390,"&lt;&gt;Off-street")&gt;0,1,0)</f>
        <v>0</v>
      </c>
      <c r="G574">
        <f>IF(COUNTIFS('United Data'!$A$3:$A$3390,G$1,'United Data'!$C$3:$C$3390,$A574,'United Data'!$B$3:$B$3390,"&lt;&gt;Off-street")&gt;0,1,0)</f>
        <v>0</v>
      </c>
      <c r="H574">
        <f>IF(COUNTIFS('United Data'!$A$3:$A$3390,H$1,'United Data'!$C$3:$C$3390,$A574,'United Data'!$B$3:$B$3390,"&lt;&gt;Off-street")&gt;0,1,0)</f>
        <v>0</v>
      </c>
      <c r="I574">
        <f>IF(COUNTIFS('United Data'!$A$3:$A$3390,I$1,'United Data'!$C$3:$C$3390,$A574,'United Data'!$B$3:$B$3390,"&lt;&gt;Off-street")&gt;0,1,0)</f>
        <v>0</v>
      </c>
      <c r="J574">
        <f>IF(COUNTIFS('United Data'!$A$3:$A$3390,J$1,'United Data'!$C$3:$C$3390,$A574,'United Data'!$B$3:$B$3390,"&lt;&gt;Off-street")&gt;0,1,0)</f>
        <v>0</v>
      </c>
      <c r="K574">
        <f>IF(COUNTIFS('United Data'!$A$3:$A$3390,K$1,'United Data'!$C$3:$C$3390,$A574,'United Data'!$B$3:$B$3390,"&lt;&gt;Off-street")&gt;0,1,0)</f>
        <v>0</v>
      </c>
      <c r="L574">
        <f>IF(COUNTIFS('United Data'!$A$3:$A$3390,L$1,'United Data'!$C$3:$C$3390,$A574,'United Data'!$B$3:$B$3390,"&lt;&gt;Off-street")&gt;0,1,0)</f>
        <v>0</v>
      </c>
      <c r="M574">
        <f>IF(COUNTIFS('United Data'!$A$3:$A$3390,M$1,'United Data'!$C$3:$C$3390,$A574,'United Data'!$B$3:$B$3390,"&lt;&gt;Off-street")&gt;0,1,0)</f>
        <v>0</v>
      </c>
      <c r="N574">
        <f>IF(COUNTIFS('United Data'!$A$3:$A$3390,N$1,'United Data'!$C$3:$C$3390,$A574,'United Data'!$B$3:$B$3390,"&lt;&gt;Off-street")&gt;0,1,0)</f>
        <v>0</v>
      </c>
      <c r="O574">
        <f>IF(COUNTIFS('United Data'!$A$3:$A$3390,O$1,'United Data'!$C$3:$C$3390,$A574,'United Data'!$B$3:$B$3390,"&lt;&gt;Off-street")&gt;0,1,0)</f>
        <v>1</v>
      </c>
      <c r="P574">
        <f>IF(COUNTIFS('United Data'!$A$3:$A$3390,P$1,'United Data'!$C$3:$C$3390,$A574,'United Data'!$B$3:$B$3390,"&lt;&gt;Off-street")&gt;0,1,0)</f>
        <v>0</v>
      </c>
      <c r="Q574">
        <f>IF(COUNTIFS('United Data'!$A$3:$A$3390,Q$1,'United Data'!$C$3:$C$3390,$A574,'United Data'!$B$3:$B$3390,"&lt;&gt;Off-street")&gt;0,1,0)</f>
        <v>0</v>
      </c>
      <c r="R574">
        <f>IF(COUNTIFS('United Data'!$A$3:$A$3390,R$1,'United Data'!$C$3:$C$3390,$A574,'United Data'!$B$3:$B$3390,"&lt;&gt;Off-street")&gt;0,1,0)</f>
        <v>0</v>
      </c>
      <c r="S574">
        <f t="shared" si="16"/>
        <v>1</v>
      </c>
      <c r="T574">
        <f t="shared" si="17"/>
        <v>1</v>
      </c>
    </row>
    <row r="575" spans="1:20" x14ac:dyDescent="0.2">
      <c r="A575" t="s">
        <v>693</v>
      </c>
      <c r="B575">
        <f>IF(COUNTIFS('United Data'!$A$3:$A$3390,B$1,'United Data'!$C$3:$C$3390,$A575,'United Data'!$B$3:$B$3390,"&lt;&gt;Off-street")&gt;0,1,0)</f>
        <v>0</v>
      </c>
      <c r="C575">
        <f>IF(COUNTIFS('United Data'!$A$3:$A$3390,C$1,'United Data'!$C$3:$C$3390,$A575,'United Data'!$B$3:$B$3390,"&lt;&gt;Off-street")&gt;0,1,0)</f>
        <v>0</v>
      </c>
      <c r="D575">
        <f>IF(COUNTIFS('United Data'!$A$3:$A$3390,D$1,'United Data'!$C$3:$C$3390,$A575,'United Data'!$B$3:$B$3390,"&lt;&gt;Off-street")&gt;0,1,0)</f>
        <v>0</v>
      </c>
      <c r="E575">
        <f>IF(COUNTIFS('United Data'!$A$3:$A$3390,E$1,'United Data'!$C$3:$C$3390,$A575,'United Data'!$B$3:$B$3390,"&lt;&gt;Off-street")&gt;0,1,0)</f>
        <v>0</v>
      </c>
      <c r="F575">
        <f>IF(COUNTIFS('United Data'!$A$3:$A$3390,F$1,'United Data'!$C$3:$C$3390,$A575,'United Data'!$B$3:$B$3390,"&lt;&gt;Off-street")&gt;0,1,0)</f>
        <v>0</v>
      </c>
      <c r="G575">
        <f>IF(COUNTIFS('United Data'!$A$3:$A$3390,G$1,'United Data'!$C$3:$C$3390,$A575,'United Data'!$B$3:$B$3390,"&lt;&gt;Off-street")&gt;0,1,0)</f>
        <v>0</v>
      </c>
      <c r="H575">
        <f>IF(COUNTIFS('United Data'!$A$3:$A$3390,H$1,'United Data'!$C$3:$C$3390,$A575,'United Data'!$B$3:$B$3390,"&lt;&gt;Off-street")&gt;0,1,0)</f>
        <v>0</v>
      </c>
      <c r="I575">
        <f>IF(COUNTIFS('United Data'!$A$3:$A$3390,I$1,'United Data'!$C$3:$C$3390,$A575,'United Data'!$B$3:$B$3390,"&lt;&gt;Off-street")&gt;0,1,0)</f>
        <v>0</v>
      </c>
      <c r="J575">
        <f>IF(COUNTIFS('United Data'!$A$3:$A$3390,J$1,'United Data'!$C$3:$C$3390,$A575,'United Data'!$B$3:$B$3390,"&lt;&gt;Off-street")&gt;0,1,0)</f>
        <v>0</v>
      </c>
      <c r="K575">
        <f>IF(COUNTIFS('United Data'!$A$3:$A$3390,K$1,'United Data'!$C$3:$C$3390,$A575,'United Data'!$B$3:$B$3390,"&lt;&gt;Off-street")&gt;0,1,0)</f>
        <v>0</v>
      </c>
      <c r="L575">
        <f>IF(COUNTIFS('United Data'!$A$3:$A$3390,L$1,'United Data'!$C$3:$C$3390,$A575,'United Data'!$B$3:$B$3390,"&lt;&gt;Off-street")&gt;0,1,0)</f>
        <v>0</v>
      </c>
      <c r="M575">
        <f>IF(COUNTIFS('United Data'!$A$3:$A$3390,M$1,'United Data'!$C$3:$C$3390,$A575,'United Data'!$B$3:$B$3390,"&lt;&gt;Off-street")&gt;0,1,0)</f>
        <v>0</v>
      </c>
      <c r="N575">
        <f>IF(COUNTIFS('United Data'!$A$3:$A$3390,N$1,'United Data'!$C$3:$C$3390,$A575,'United Data'!$B$3:$B$3390,"&lt;&gt;Off-street")&gt;0,1,0)</f>
        <v>0</v>
      </c>
      <c r="O575">
        <f>IF(COUNTIFS('United Data'!$A$3:$A$3390,O$1,'United Data'!$C$3:$C$3390,$A575,'United Data'!$B$3:$B$3390,"&lt;&gt;Off-street")&gt;0,1,0)</f>
        <v>1</v>
      </c>
      <c r="P575">
        <f>IF(COUNTIFS('United Data'!$A$3:$A$3390,P$1,'United Data'!$C$3:$C$3390,$A575,'United Data'!$B$3:$B$3390,"&lt;&gt;Off-street")&gt;0,1,0)</f>
        <v>0</v>
      </c>
      <c r="Q575">
        <f>IF(COUNTIFS('United Data'!$A$3:$A$3390,Q$1,'United Data'!$C$3:$C$3390,$A575,'United Data'!$B$3:$B$3390,"&lt;&gt;Off-street")&gt;0,1,0)</f>
        <v>0</v>
      </c>
      <c r="R575">
        <f>IF(COUNTIFS('United Data'!$A$3:$A$3390,R$1,'United Data'!$C$3:$C$3390,$A575,'United Data'!$B$3:$B$3390,"&lt;&gt;Off-street")&gt;0,1,0)</f>
        <v>0</v>
      </c>
      <c r="S575">
        <f t="shared" si="16"/>
        <v>1</v>
      </c>
      <c r="T575">
        <f t="shared" si="17"/>
        <v>1</v>
      </c>
    </row>
    <row r="576" spans="1:20" x14ac:dyDescent="0.2">
      <c r="A576" t="s">
        <v>694</v>
      </c>
      <c r="B576">
        <f>IF(COUNTIFS('United Data'!$A$3:$A$3390,B$1,'United Data'!$C$3:$C$3390,$A576,'United Data'!$B$3:$B$3390,"&lt;&gt;Off-street")&gt;0,1,0)</f>
        <v>0</v>
      </c>
      <c r="C576">
        <f>IF(COUNTIFS('United Data'!$A$3:$A$3390,C$1,'United Data'!$C$3:$C$3390,$A576,'United Data'!$B$3:$B$3390,"&lt;&gt;Off-street")&gt;0,1,0)</f>
        <v>0</v>
      </c>
      <c r="D576">
        <f>IF(COUNTIFS('United Data'!$A$3:$A$3390,D$1,'United Data'!$C$3:$C$3390,$A576,'United Data'!$B$3:$B$3390,"&lt;&gt;Off-street")&gt;0,1,0)</f>
        <v>0</v>
      </c>
      <c r="E576">
        <f>IF(COUNTIFS('United Data'!$A$3:$A$3390,E$1,'United Data'!$C$3:$C$3390,$A576,'United Data'!$B$3:$B$3390,"&lt;&gt;Off-street")&gt;0,1,0)</f>
        <v>0</v>
      </c>
      <c r="F576">
        <f>IF(COUNTIFS('United Data'!$A$3:$A$3390,F$1,'United Data'!$C$3:$C$3390,$A576,'United Data'!$B$3:$B$3390,"&lt;&gt;Off-street")&gt;0,1,0)</f>
        <v>0</v>
      </c>
      <c r="G576">
        <f>IF(COUNTIFS('United Data'!$A$3:$A$3390,G$1,'United Data'!$C$3:$C$3390,$A576,'United Data'!$B$3:$B$3390,"&lt;&gt;Off-street")&gt;0,1,0)</f>
        <v>0</v>
      </c>
      <c r="H576">
        <f>IF(COUNTIFS('United Data'!$A$3:$A$3390,H$1,'United Data'!$C$3:$C$3390,$A576,'United Data'!$B$3:$B$3390,"&lt;&gt;Off-street")&gt;0,1,0)</f>
        <v>0</v>
      </c>
      <c r="I576">
        <f>IF(COUNTIFS('United Data'!$A$3:$A$3390,I$1,'United Data'!$C$3:$C$3390,$A576,'United Data'!$B$3:$B$3390,"&lt;&gt;Off-street")&gt;0,1,0)</f>
        <v>0</v>
      </c>
      <c r="J576">
        <f>IF(COUNTIFS('United Data'!$A$3:$A$3390,J$1,'United Data'!$C$3:$C$3390,$A576,'United Data'!$B$3:$B$3390,"&lt;&gt;Off-street")&gt;0,1,0)</f>
        <v>0</v>
      </c>
      <c r="K576">
        <f>IF(COUNTIFS('United Data'!$A$3:$A$3390,K$1,'United Data'!$C$3:$C$3390,$A576,'United Data'!$B$3:$B$3390,"&lt;&gt;Off-street")&gt;0,1,0)</f>
        <v>0</v>
      </c>
      <c r="L576">
        <f>IF(COUNTIFS('United Data'!$A$3:$A$3390,L$1,'United Data'!$C$3:$C$3390,$A576,'United Data'!$B$3:$B$3390,"&lt;&gt;Off-street")&gt;0,1,0)</f>
        <v>0</v>
      </c>
      <c r="M576">
        <f>IF(COUNTIFS('United Data'!$A$3:$A$3390,M$1,'United Data'!$C$3:$C$3390,$A576,'United Data'!$B$3:$B$3390,"&lt;&gt;Off-street")&gt;0,1,0)</f>
        <v>0</v>
      </c>
      <c r="N576">
        <f>IF(COUNTIFS('United Data'!$A$3:$A$3390,N$1,'United Data'!$C$3:$C$3390,$A576,'United Data'!$B$3:$B$3390,"&lt;&gt;Off-street")&gt;0,1,0)</f>
        <v>0</v>
      </c>
      <c r="O576">
        <f>IF(COUNTIFS('United Data'!$A$3:$A$3390,O$1,'United Data'!$C$3:$C$3390,$A576,'United Data'!$B$3:$B$3390,"&lt;&gt;Off-street")&gt;0,1,0)</f>
        <v>1</v>
      </c>
      <c r="P576">
        <f>IF(COUNTIFS('United Data'!$A$3:$A$3390,P$1,'United Data'!$C$3:$C$3390,$A576,'United Data'!$B$3:$B$3390,"&lt;&gt;Off-street")&gt;0,1,0)</f>
        <v>0</v>
      </c>
      <c r="Q576">
        <f>IF(COUNTIFS('United Data'!$A$3:$A$3390,Q$1,'United Data'!$C$3:$C$3390,$A576,'United Data'!$B$3:$B$3390,"&lt;&gt;Off-street")&gt;0,1,0)</f>
        <v>0</v>
      </c>
      <c r="R576">
        <f>IF(COUNTIFS('United Data'!$A$3:$A$3390,R$1,'United Data'!$C$3:$C$3390,$A576,'United Data'!$B$3:$B$3390,"&lt;&gt;Off-street")&gt;0,1,0)</f>
        <v>0</v>
      </c>
      <c r="S576">
        <f t="shared" si="16"/>
        <v>1</v>
      </c>
      <c r="T576">
        <f t="shared" si="17"/>
        <v>1</v>
      </c>
    </row>
    <row r="577" spans="1:20" x14ac:dyDescent="0.2">
      <c r="A577" t="s">
        <v>695</v>
      </c>
      <c r="B577">
        <f>IF(COUNTIFS('United Data'!$A$3:$A$3390,B$1,'United Data'!$C$3:$C$3390,$A577,'United Data'!$B$3:$B$3390,"&lt;&gt;Off-street")&gt;0,1,0)</f>
        <v>0</v>
      </c>
      <c r="C577">
        <f>IF(COUNTIFS('United Data'!$A$3:$A$3390,C$1,'United Data'!$C$3:$C$3390,$A577,'United Data'!$B$3:$B$3390,"&lt;&gt;Off-street")&gt;0,1,0)</f>
        <v>0</v>
      </c>
      <c r="D577">
        <f>IF(COUNTIFS('United Data'!$A$3:$A$3390,D$1,'United Data'!$C$3:$C$3390,$A577,'United Data'!$B$3:$B$3390,"&lt;&gt;Off-street")&gt;0,1,0)</f>
        <v>0</v>
      </c>
      <c r="E577">
        <f>IF(COUNTIFS('United Data'!$A$3:$A$3390,E$1,'United Data'!$C$3:$C$3390,$A577,'United Data'!$B$3:$B$3390,"&lt;&gt;Off-street")&gt;0,1,0)</f>
        <v>0</v>
      </c>
      <c r="F577">
        <f>IF(COUNTIFS('United Data'!$A$3:$A$3390,F$1,'United Data'!$C$3:$C$3390,$A577,'United Data'!$B$3:$B$3390,"&lt;&gt;Off-street")&gt;0,1,0)</f>
        <v>0</v>
      </c>
      <c r="G577">
        <f>IF(COUNTIFS('United Data'!$A$3:$A$3390,G$1,'United Data'!$C$3:$C$3390,$A577,'United Data'!$B$3:$B$3390,"&lt;&gt;Off-street")&gt;0,1,0)</f>
        <v>0</v>
      </c>
      <c r="H577">
        <f>IF(COUNTIFS('United Data'!$A$3:$A$3390,H$1,'United Data'!$C$3:$C$3390,$A577,'United Data'!$B$3:$B$3390,"&lt;&gt;Off-street")&gt;0,1,0)</f>
        <v>0</v>
      </c>
      <c r="I577">
        <f>IF(COUNTIFS('United Data'!$A$3:$A$3390,I$1,'United Data'!$C$3:$C$3390,$A577,'United Data'!$B$3:$B$3390,"&lt;&gt;Off-street")&gt;0,1,0)</f>
        <v>0</v>
      </c>
      <c r="J577">
        <f>IF(COUNTIFS('United Data'!$A$3:$A$3390,J$1,'United Data'!$C$3:$C$3390,$A577,'United Data'!$B$3:$B$3390,"&lt;&gt;Off-street")&gt;0,1,0)</f>
        <v>0</v>
      </c>
      <c r="K577">
        <f>IF(COUNTIFS('United Data'!$A$3:$A$3390,K$1,'United Data'!$C$3:$C$3390,$A577,'United Data'!$B$3:$B$3390,"&lt;&gt;Off-street")&gt;0,1,0)</f>
        <v>0</v>
      </c>
      <c r="L577">
        <f>IF(COUNTIFS('United Data'!$A$3:$A$3390,L$1,'United Data'!$C$3:$C$3390,$A577,'United Data'!$B$3:$B$3390,"&lt;&gt;Off-street")&gt;0,1,0)</f>
        <v>0</v>
      </c>
      <c r="M577">
        <f>IF(COUNTIFS('United Data'!$A$3:$A$3390,M$1,'United Data'!$C$3:$C$3390,$A577,'United Data'!$B$3:$B$3390,"&lt;&gt;Off-street")&gt;0,1,0)</f>
        <v>0</v>
      </c>
      <c r="N577">
        <f>IF(COUNTIFS('United Data'!$A$3:$A$3390,N$1,'United Data'!$C$3:$C$3390,$A577,'United Data'!$B$3:$B$3390,"&lt;&gt;Off-street")&gt;0,1,0)</f>
        <v>0</v>
      </c>
      <c r="O577">
        <f>IF(COUNTIFS('United Data'!$A$3:$A$3390,O$1,'United Data'!$C$3:$C$3390,$A577,'United Data'!$B$3:$B$3390,"&lt;&gt;Off-street")&gt;0,1,0)</f>
        <v>1</v>
      </c>
      <c r="P577">
        <f>IF(COUNTIFS('United Data'!$A$3:$A$3390,P$1,'United Data'!$C$3:$C$3390,$A577,'United Data'!$B$3:$B$3390,"&lt;&gt;Off-street")&gt;0,1,0)</f>
        <v>0</v>
      </c>
      <c r="Q577">
        <f>IF(COUNTIFS('United Data'!$A$3:$A$3390,Q$1,'United Data'!$C$3:$C$3390,$A577,'United Data'!$B$3:$B$3390,"&lt;&gt;Off-street")&gt;0,1,0)</f>
        <v>0</v>
      </c>
      <c r="R577">
        <f>IF(COUNTIFS('United Data'!$A$3:$A$3390,R$1,'United Data'!$C$3:$C$3390,$A577,'United Data'!$B$3:$B$3390,"&lt;&gt;Off-street")&gt;0,1,0)</f>
        <v>0</v>
      </c>
      <c r="S577">
        <f t="shared" si="16"/>
        <v>1</v>
      </c>
      <c r="T577">
        <f t="shared" si="17"/>
        <v>1</v>
      </c>
    </row>
    <row r="578" spans="1:20" x14ac:dyDescent="0.2">
      <c r="A578" t="s">
        <v>696</v>
      </c>
      <c r="B578">
        <f>IF(COUNTIFS('United Data'!$A$3:$A$3390,B$1,'United Data'!$C$3:$C$3390,$A578,'United Data'!$B$3:$B$3390,"&lt;&gt;Off-street")&gt;0,1,0)</f>
        <v>0</v>
      </c>
      <c r="C578">
        <f>IF(COUNTIFS('United Data'!$A$3:$A$3390,C$1,'United Data'!$C$3:$C$3390,$A578,'United Data'!$B$3:$B$3390,"&lt;&gt;Off-street")&gt;0,1,0)</f>
        <v>0</v>
      </c>
      <c r="D578">
        <f>IF(COUNTIFS('United Data'!$A$3:$A$3390,D$1,'United Data'!$C$3:$C$3390,$A578,'United Data'!$B$3:$B$3390,"&lt;&gt;Off-street")&gt;0,1,0)</f>
        <v>0</v>
      </c>
      <c r="E578">
        <f>IF(COUNTIFS('United Data'!$A$3:$A$3390,E$1,'United Data'!$C$3:$C$3390,$A578,'United Data'!$B$3:$B$3390,"&lt;&gt;Off-street")&gt;0,1,0)</f>
        <v>0</v>
      </c>
      <c r="F578">
        <f>IF(COUNTIFS('United Data'!$A$3:$A$3390,F$1,'United Data'!$C$3:$C$3390,$A578,'United Data'!$B$3:$B$3390,"&lt;&gt;Off-street")&gt;0,1,0)</f>
        <v>0</v>
      </c>
      <c r="G578">
        <f>IF(COUNTIFS('United Data'!$A$3:$A$3390,G$1,'United Data'!$C$3:$C$3390,$A578,'United Data'!$B$3:$B$3390,"&lt;&gt;Off-street")&gt;0,1,0)</f>
        <v>0</v>
      </c>
      <c r="H578">
        <f>IF(COUNTIFS('United Data'!$A$3:$A$3390,H$1,'United Data'!$C$3:$C$3390,$A578,'United Data'!$B$3:$B$3390,"&lt;&gt;Off-street")&gt;0,1,0)</f>
        <v>0</v>
      </c>
      <c r="I578">
        <f>IF(COUNTIFS('United Data'!$A$3:$A$3390,I$1,'United Data'!$C$3:$C$3390,$A578,'United Data'!$B$3:$B$3390,"&lt;&gt;Off-street")&gt;0,1,0)</f>
        <v>0</v>
      </c>
      <c r="J578">
        <f>IF(COUNTIFS('United Data'!$A$3:$A$3390,J$1,'United Data'!$C$3:$C$3390,$A578,'United Data'!$B$3:$B$3390,"&lt;&gt;Off-street")&gt;0,1,0)</f>
        <v>0</v>
      </c>
      <c r="K578">
        <f>IF(COUNTIFS('United Data'!$A$3:$A$3390,K$1,'United Data'!$C$3:$C$3390,$A578,'United Data'!$B$3:$B$3390,"&lt;&gt;Off-street")&gt;0,1,0)</f>
        <v>0</v>
      </c>
      <c r="L578">
        <f>IF(COUNTIFS('United Data'!$A$3:$A$3390,L$1,'United Data'!$C$3:$C$3390,$A578,'United Data'!$B$3:$B$3390,"&lt;&gt;Off-street")&gt;0,1,0)</f>
        <v>0</v>
      </c>
      <c r="M578">
        <f>IF(COUNTIFS('United Data'!$A$3:$A$3390,M$1,'United Data'!$C$3:$C$3390,$A578,'United Data'!$B$3:$B$3390,"&lt;&gt;Off-street")&gt;0,1,0)</f>
        <v>0</v>
      </c>
      <c r="N578">
        <f>IF(COUNTIFS('United Data'!$A$3:$A$3390,N$1,'United Data'!$C$3:$C$3390,$A578,'United Data'!$B$3:$B$3390,"&lt;&gt;Off-street")&gt;0,1,0)</f>
        <v>0</v>
      </c>
      <c r="O578">
        <f>IF(COUNTIFS('United Data'!$A$3:$A$3390,O$1,'United Data'!$C$3:$C$3390,$A578,'United Data'!$B$3:$B$3390,"&lt;&gt;Off-street")&gt;0,1,0)</f>
        <v>1</v>
      </c>
      <c r="P578">
        <f>IF(COUNTIFS('United Data'!$A$3:$A$3390,P$1,'United Data'!$C$3:$C$3390,$A578,'United Data'!$B$3:$B$3390,"&lt;&gt;Off-street")&gt;0,1,0)</f>
        <v>0</v>
      </c>
      <c r="Q578">
        <f>IF(COUNTIFS('United Data'!$A$3:$A$3390,Q$1,'United Data'!$C$3:$C$3390,$A578,'United Data'!$B$3:$B$3390,"&lt;&gt;Off-street")&gt;0,1,0)</f>
        <v>0</v>
      </c>
      <c r="R578">
        <f>IF(COUNTIFS('United Data'!$A$3:$A$3390,R$1,'United Data'!$C$3:$C$3390,$A578,'United Data'!$B$3:$B$3390,"&lt;&gt;Off-street")&gt;0,1,0)</f>
        <v>0</v>
      </c>
      <c r="S578">
        <f t="shared" ref="S578:S641" si="18">SUM(B578:R578)</f>
        <v>1</v>
      </c>
      <c r="T578">
        <f t="shared" ref="T578:T641" si="19">B578+SUMPRODUCT(--(C578:R578&gt;B578:Q578))</f>
        <v>1</v>
      </c>
    </row>
    <row r="579" spans="1:20" x14ac:dyDescent="0.2">
      <c r="A579" t="s">
        <v>697</v>
      </c>
      <c r="B579">
        <f>IF(COUNTIFS('United Data'!$A$3:$A$3390,B$1,'United Data'!$C$3:$C$3390,$A579,'United Data'!$B$3:$B$3390,"&lt;&gt;Off-street")&gt;0,1,0)</f>
        <v>0</v>
      </c>
      <c r="C579">
        <f>IF(COUNTIFS('United Data'!$A$3:$A$3390,C$1,'United Data'!$C$3:$C$3390,$A579,'United Data'!$B$3:$B$3390,"&lt;&gt;Off-street")&gt;0,1,0)</f>
        <v>0</v>
      </c>
      <c r="D579">
        <f>IF(COUNTIFS('United Data'!$A$3:$A$3390,D$1,'United Data'!$C$3:$C$3390,$A579,'United Data'!$B$3:$B$3390,"&lt;&gt;Off-street")&gt;0,1,0)</f>
        <v>0</v>
      </c>
      <c r="E579">
        <f>IF(COUNTIFS('United Data'!$A$3:$A$3390,E$1,'United Data'!$C$3:$C$3390,$A579,'United Data'!$B$3:$B$3390,"&lt;&gt;Off-street")&gt;0,1,0)</f>
        <v>0</v>
      </c>
      <c r="F579">
        <f>IF(COUNTIFS('United Data'!$A$3:$A$3390,F$1,'United Data'!$C$3:$C$3390,$A579,'United Data'!$B$3:$B$3390,"&lt;&gt;Off-street")&gt;0,1,0)</f>
        <v>0</v>
      </c>
      <c r="G579">
        <f>IF(COUNTIFS('United Data'!$A$3:$A$3390,G$1,'United Data'!$C$3:$C$3390,$A579,'United Data'!$B$3:$B$3390,"&lt;&gt;Off-street")&gt;0,1,0)</f>
        <v>0</v>
      </c>
      <c r="H579">
        <f>IF(COUNTIFS('United Data'!$A$3:$A$3390,H$1,'United Data'!$C$3:$C$3390,$A579,'United Data'!$B$3:$B$3390,"&lt;&gt;Off-street")&gt;0,1,0)</f>
        <v>0</v>
      </c>
      <c r="I579">
        <f>IF(COUNTIFS('United Data'!$A$3:$A$3390,I$1,'United Data'!$C$3:$C$3390,$A579,'United Data'!$B$3:$B$3390,"&lt;&gt;Off-street")&gt;0,1,0)</f>
        <v>0</v>
      </c>
      <c r="J579">
        <f>IF(COUNTIFS('United Data'!$A$3:$A$3390,J$1,'United Data'!$C$3:$C$3390,$A579,'United Data'!$B$3:$B$3390,"&lt;&gt;Off-street")&gt;0,1,0)</f>
        <v>0</v>
      </c>
      <c r="K579">
        <f>IF(COUNTIFS('United Data'!$A$3:$A$3390,K$1,'United Data'!$C$3:$C$3390,$A579,'United Data'!$B$3:$B$3390,"&lt;&gt;Off-street")&gt;0,1,0)</f>
        <v>0</v>
      </c>
      <c r="L579">
        <f>IF(COUNTIFS('United Data'!$A$3:$A$3390,L$1,'United Data'!$C$3:$C$3390,$A579,'United Data'!$B$3:$B$3390,"&lt;&gt;Off-street")&gt;0,1,0)</f>
        <v>0</v>
      </c>
      <c r="M579">
        <f>IF(COUNTIFS('United Data'!$A$3:$A$3390,M$1,'United Data'!$C$3:$C$3390,$A579,'United Data'!$B$3:$B$3390,"&lt;&gt;Off-street")&gt;0,1,0)</f>
        <v>0</v>
      </c>
      <c r="N579">
        <f>IF(COUNTIFS('United Data'!$A$3:$A$3390,N$1,'United Data'!$C$3:$C$3390,$A579,'United Data'!$B$3:$B$3390,"&lt;&gt;Off-street")&gt;0,1,0)</f>
        <v>0</v>
      </c>
      <c r="O579">
        <f>IF(COUNTIFS('United Data'!$A$3:$A$3390,O$1,'United Data'!$C$3:$C$3390,$A579,'United Data'!$B$3:$B$3390,"&lt;&gt;Off-street")&gt;0,1,0)</f>
        <v>1</v>
      </c>
      <c r="P579">
        <f>IF(COUNTIFS('United Data'!$A$3:$A$3390,P$1,'United Data'!$C$3:$C$3390,$A579,'United Data'!$B$3:$B$3390,"&lt;&gt;Off-street")&gt;0,1,0)</f>
        <v>0</v>
      </c>
      <c r="Q579">
        <f>IF(COUNTIFS('United Data'!$A$3:$A$3390,Q$1,'United Data'!$C$3:$C$3390,$A579,'United Data'!$B$3:$B$3390,"&lt;&gt;Off-street")&gt;0,1,0)</f>
        <v>0</v>
      </c>
      <c r="R579">
        <f>IF(COUNTIFS('United Data'!$A$3:$A$3390,R$1,'United Data'!$C$3:$C$3390,$A579,'United Data'!$B$3:$B$3390,"&lt;&gt;Off-street")&gt;0,1,0)</f>
        <v>0</v>
      </c>
      <c r="S579">
        <f t="shared" si="18"/>
        <v>1</v>
      </c>
      <c r="T579">
        <f t="shared" si="19"/>
        <v>1</v>
      </c>
    </row>
    <row r="580" spans="1:20" x14ac:dyDescent="0.2">
      <c r="A580" t="s">
        <v>698</v>
      </c>
      <c r="B580">
        <f>IF(COUNTIFS('United Data'!$A$3:$A$3390,B$1,'United Data'!$C$3:$C$3390,$A580,'United Data'!$B$3:$B$3390,"&lt;&gt;Off-street")&gt;0,1,0)</f>
        <v>0</v>
      </c>
      <c r="C580">
        <f>IF(COUNTIFS('United Data'!$A$3:$A$3390,C$1,'United Data'!$C$3:$C$3390,$A580,'United Data'!$B$3:$B$3390,"&lt;&gt;Off-street")&gt;0,1,0)</f>
        <v>0</v>
      </c>
      <c r="D580">
        <f>IF(COUNTIFS('United Data'!$A$3:$A$3390,D$1,'United Data'!$C$3:$C$3390,$A580,'United Data'!$B$3:$B$3390,"&lt;&gt;Off-street")&gt;0,1,0)</f>
        <v>0</v>
      </c>
      <c r="E580">
        <f>IF(COUNTIFS('United Data'!$A$3:$A$3390,E$1,'United Data'!$C$3:$C$3390,$A580,'United Data'!$B$3:$B$3390,"&lt;&gt;Off-street")&gt;0,1,0)</f>
        <v>0</v>
      </c>
      <c r="F580">
        <f>IF(COUNTIFS('United Data'!$A$3:$A$3390,F$1,'United Data'!$C$3:$C$3390,$A580,'United Data'!$B$3:$B$3390,"&lt;&gt;Off-street")&gt;0,1,0)</f>
        <v>0</v>
      </c>
      <c r="G580">
        <f>IF(COUNTIFS('United Data'!$A$3:$A$3390,G$1,'United Data'!$C$3:$C$3390,$A580,'United Data'!$B$3:$B$3390,"&lt;&gt;Off-street")&gt;0,1,0)</f>
        <v>0</v>
      </c>
      <c r="H580">
        <f>IF(COUNTIFS('United Data'!$A$3:$A$3390,H$1,'United Data'!$C$3:$C$3390,$A580,'United Data'!$B$3:$B$3390,"&lt;&gt;Off-street")&gt;0,1,0)</f>
        <v>0</v>
      </c>
      <c r="I580">
        <f>IF(COUNTIFS('United Data'!$A$3:$A$3390,I$1,'United Data'!$C$3:$C$3390,$A580,'United Data'!$B$3:$B$3390,"&lt;&gt;Off-street")&gt;0,1,0)</f>
        <v>0</v>
      </c>
      <c r="J580">
        <f>IF(COUNTIFS('United Data'!$A$3:$A$3390,J$1,'United Data'!$C$3:$C$3390,$A580,'United Data'!$B$3:$B$3390,"&lt;&gt;Off-street")&gt;0,1,0)</f>
        <v>0</v>
      </c>
      <c r="K580">
        <f>IF(COUNTIFS('United Data'!$A$3:$A$3390,K$1,'United Data'!$C$3:$C$3390,$A580,'United Data'!$B$3:$B$3390,"&lt;&gt;Off-street")&gt;0,1,0)</f>
        <v>0</v>
      </c>
      <c r="L580">
        <f>IF(COUNTIFS('United Data'!$A$3:$A$3390,L$1,'United Data'!$C$3:$C$3390,$A580,'United Data'!$B$3:$B$3390,"&lt;&gt;Off-street")&gt;0,1,0)</f>
        <v>0</v>
      </c>
      <c r="M580">
        <f>IF(COUNTIFS('United Data'!$A$3:$A$3390,M$1,'United Data'!$C$3:$C$3390,$A580,'United Data'!$B$3:$B$3390,"&lt;&gt;Off-street")&gt;0,1,0)</f>
        <v>0</v>
      </c>
      <c r="N580">
        <f>IF(COUNTIFS('United Data'!$A$3:$A$3390,N$1,'United Data'!$C$3:$C$3390,$A580,'United Data'!$B$3:$B$3390,"&lt;&gt;Off-street")&gt;0,1,0)</f>
        <v>0</v>
      </c>
      <c r="O580">
        <f>IF(COUNTIFS('United Data'!$A$3:$A$3390,O$1,'United Data'!$C$3:$C$3390,$A580,'United Data'!$B$3:$B$3390,"&lt;&gt;Off-street")&gt;0,1,0)</f>
        <v>1</v>
      </c>
      <c r="P580">
        <f>IF(COUNTIFS('United Data'!$A$3:$A$3390,P$1,'United Data'!$C$3:$C$3390,$A580,'United Data'!$B$3:$B$3390,"&lt;&gt;Off-street")&gt;0,1,0)</f>
        <v>0</v>
      </c>
      <c r="Q580">
        <f>IF(COUNTIFS('United Data'!$A$3:$A$3390,Q$1,'United Data'!$C$3:$C$3390,$A580,'United Data'!$B$3:$B$3390,"&lt;&gt;Off-street")&gt;0,1,0)</f>
        <v>0</v>
      </c>
      <c r="R580">
        <f>IF(COUNTIFS('United Data'!$A$3:$A$3390,R$1,'United Data'!$C$3:$C$3390,$A580,'United Data'!$B$3:$B$3390,"&lt;&gt;Off-street")&gt;0,1,0)</f>
        <v>0</v>
      </c>
      <c r="S580">
        <f t="shared" si="18"/>
        <v>1</v>
      </c>
      <c r="T580">
        <f t="shared" si="19"/>
        <v>1</v>
      </c>
    </row>
    <row r="581" spans="1:20" x14ac:dyDescent="0.2">
      <c r="A581" t="s">
        <v>699</v>
      </c>
      <c r="B581">
        <f>IF(COUNTIFS('United Data'!$A$3:$A$3390,B$1,'United Data'!$C$3:$C$3390,$A581,'United Data'!$B$3:$B$3390,"&lt;&gt;Off-street")&gt;0,1,0)</f>
        <v>0</v>
      </c>
      <c r="C581">
        <f>IF(COUNTIFS('United Data'!$A$3:$A$3390,C$1,'United Data'!$C$3:$C$3390,$A581,'United Data'!$B$3:$B$3390,"&lt;&gt;Off-street")&gt;0,1,0)</f>
        <v>0</v>
      </c>
      <c r="D581">
        <f>IF(COUNTIFS('United Data'!$A$3:$A$3390,D$1,'United Data'!$C$3:$C$3390,$A581,'United Data'!$B$3:$B$3390,"&lt;&gt;Off-street")&gt;0,1,0)</f>
        <v>0</v>
      </c>
      <c r="E581">
        <f>IF(COUNTIFS('United Data'!$A$3:$A$3390,E$1,'United Data'!$C$3:$C$3390,$A581,'United Data'!$B$3:$B$3390,"&lt;&gt;Off-street")&gt;0,1,0)</f>
        <v>0</v>
      </c>
      <c r="F581">
        <f>IF(COUNTIFS('United Data'!$A$3:$A$3390,F$1,'United Data'!$C$3:$C$3390,$A581,'United Data'!$B$3:$B$3390,"&lt;&gt;Off-street")&gt;0,1,0)</f>
        <v>0</v>
      </c>
      <c r="G581">
        <f>IF(COUNTIFS('United Data'!$A$3:$A$3390,G$1,'United Data'!$C$3:$C$3390,$A581,'United Data'!$B$3:$B$3390,"&lt;&gt;Off-street")&gt;0,1,0)</f>
        <v>0</v>
      </c>
      <c r="H581">
        <f>IF(COUNTIFS('United Data'!$A$3:$A$3390,H$1,'United Data'!$C$3:$C$3390,$A581,'United Data'!$B$3:$B$3390,"&lt;&gt;Off-street")&gt;0,1,0)</f>
        <v>0</v>
      </c>
      <c r="I581">
        <f>IF(COUNTIFS('United Data'!$A$3:$A$3390,I$1,'United Data'!$C$3:$C$3390,$A581,'United Data'!$B$3:$B$3390,"&lt;&gt;Off-street")&gt;0,1,0)</f>
        <v>0</v>
      </c>
      <c r="J581">
        <f>IF(COUNTIFS('United Data'!$A$3:$A$3390,J$1,'United Data'!$C$3:$C$3390,$A581,'United Data'!$B$3:$B$3390,"&lt;&gt;Off-street")&gt;0,1,0)</f>
        <v>0</v>
      </c>
      <c r="K581">
        <f>IF(COUNTIFS('United Data'!$A$3:$A$3390,K$1,'United Data'!$C$3:$C$3390,$A581,'United Data'!$B$3:$B$3390,"&lt;&gt;Off-street")&gt;0,1,0)</f>
        <v>0</v>
      </c>
      <c r="L581">
        <f>IF(COUNTIFS('United Data'!$A$3:$A$3390,L$1,'United Data'!$C$3:$C$3390,$A581,'United Data'!$B$3:$B$3390,"&lt;&gt;Off-street")&gt;0,1,0)</f>
        <v>0</v>
      </c>
      <c r="M581">
        <f>IF(COUNTIFS('United Data'!$A$3:$A$3390,M$1,'United Data'!$C$3:$C$3390,$A581,'United Data'!$B$3:$B$3390,"&lt;&gt;Off-street")&gt;0,1,0)</f>
        <v>0</v>
      </c>
      <c r="N581">
        <f>IF(COUNTIFS('United Data'!$A$3:$A$3390,N$1,'United Data'!$C$3:$C$3390,$A581,'United Data'!$B$3:$B$3390,"&lt;&gt;Off-street")&gt;0,1,0)</f>
        <v>0</v>
      </c>
      <c r="O581">
        <f>IF(COUNTIFS('United Data'!$A$3:$A$3390,O$1,'United Data'!$C$3:$C$3390,$A581,'United Data'!$B$3:$B$3390,"&lt;&gt;Off-street")&gt;0,1,0)</f>
        <v>1</v>
      </c>
      <c r="P581">
        <f>IF(COUNTIFS('United Data'!$A$3:$A$3390,P$1,'United Data'!$C$3:$C$3390,$A581,'United Data'!$B$3:$B$3390,"&lt;&gt;Off-street")&gt;0,1,0)</f>
        <v>0</v>
      </c>
      <c r="Q581">
        <f>IF(COUNTIFS('United Data'!$A$3:$A$3390,Q$1,'United Data'!$C$3:$C$3390,$A581,'United Data'!$B$3:$B$3390,"&lt;&gt;Off-street")&gt;0,1,0)</f>
        <v>0</v>
      </c>
      <c r="R581">
        <f>IF(COUNTIFS('United Data'!$A$3:$A$3390,R$1,'United Data'!$C$3:$C$3390,$A581,'United Data'!$B$3:$B$3390,"&lt;&gt;Off-street")&gt;0,1,0)</f>
        <v>0</v>
      </c>
      <c r="S581">
        <f t="shared" si="18"/>
        <v>1</v>
      </c>
      <c r="T581">
        <f t="shared" si="19"/>
        <v>1</v>
      </c>
    </row>
    <row r="582" spans="1:20" x14ac:dyDescent="0.2">
      <c r="A582" t="s">
        <v>700</v>
      </c>
      <c r="B582">
        <f>IF(COUNTIFS('United Data'!$A$3:$A$3390,B$1,'United Data'!$C$3:$C$3390,$A582,'United Data'!$B$3:$B$3390,"&lt;&gt;Off-street")&gt;0,1,0)</f>
        <v>0</v>
      </c>
      <c r="C582">
        <f>IF(COUNTIFS('United Data'!$A$3:$A$3390,C$1,'United Data'!$C$3:$C$3390,$A582,'United Data'!$B$3:$B$3390,"&lt;&gt;Off-street")&gt;0,1,0)</f>
        <v>0</v>
      </c>
      <c r="D582">
        <f>IF(COUNTIFS('United Data'!$A$3:$A$3390,D$1,'United Data'!$C$3:$C$3390,$A582,'United Data'!$B$3:$B$3390,"&lt;&gt;Off-street")&gt;0,1,0)</f>
        <v>0</v>
      </c>
      <c r="E582">
        <f>IF(COUNTIFS('United Data'!$A$3:$A$3390,E$1,'United Data'!$C$3:$C$3390,$A582,'United Data'!$B$3:$B$3390,"&lt;&gt;Off-street")&gt;0,1,0)</f>
        <v>0</v>
      </c>
      <c r="F582">
        <f>IF(COUNTIFS('United Data'!$A$3:$A$3390,F$1,'United Data'!$C$3:$C$3390,$A582,'United Data'!$B$3:$B$3390,"&lt;&gt;Off-street")&gt;0,1,0)</f>
        <v>0</v>
      </c>
      <c r="G582">
        <f>IF(COUNTIFS('United Data'!$A$3:$A$3390,G$1,'United Data'!$C$3:$C$3390,$A582,'United Data'!$B$3:$B$3390,"&lt;&gt;Off-street")&gt;0,1,0)</f>
        <v>0</v>
      </c>
      <c r="H582">
        <f>IF(COUNTIFS('United Data'!$A$3:$A$3390,H$1,'United Data'!$C$3:$C$3390,$A582,'United Data'!$B$3:$B$3390,"&lt;&gt;Off-street")&gt;0,1,0)</f>
        <v>0</v>
      </c>
      <c r="I582">
        <f>IF(COUNTIFS('United Data'!$A$3:$A$3390,I$1,'United Data'!$C$3:$C$3390,$A582,'United Data'!$B$3:$B$3390,"&lt;&gt;Off-street")&gt;0,1,0)</f>
        <v>0</v>
      </c>
      <c r="J582">
        <f>IF(COUNTIFS('United Data'!$A$3:$A$3390,J$1,'United Data'!$C$3:$C$3390,$A582,'United Data'!$B$3:$B$3390,"&lt;&gt;Off-street")&gt;0,1,0)</f>
        <v>0</v>
      </c>
      <c r="K582">
        <f>IF(COUNTIFS('United Data'!$A$3:$A$3390,K$1,'United Data'!$C$3:$C$3390,$A582,'United Data'!$B$3:$B$3390,"&lt;&gt;Off-street")&gt;0,1,0)</f>
        <v>0</v>
      </c>
      <c r="L582">
        <f>IF(COUNTIFS('United Data'!$A$3:$A$3390,L$1,'United Data'!$C$3:$C$3390,$A582,'United Data'!$B$3:$B$3390,"&lt;&gt;Off-street")&gt;0,1,0)</f>
        <v>0</v>
      </c>
      <c r="M582">
        <f>IF(COUNTIFS('United Data'!$A$3:$A$3390,M$1,'United Data'!$C$3:$C$3390,$A582,'United Data'!$B$3:$B$3390,"&lt;&gt;Off-street")&gt;0,1,0)</f>
        <v>0</v>
      </c>
      <c r="N582">
        <f>IF(COUNTIFS('United Data'!$A$3:$A$3390,N$1,'United Data'!$C$3:$C$3390,$A582,'United Data'!$B$3:$B$3390,"&lt;&gt;Off-street")&gt;0,1,0)</f>
        <v>0</v>
      </c>
      <c r="O582">
        <f>IF(COUNTIFS('United Data'!$A$3:$A$3390,O$1,'United Data'!$C$3:$C$3390,$A582,'United Data'!$B$3:$B$3390,"&lt;&gt;Off-street")&gt;0,1,0)</f>
        <v>1</v>
      </c>
      <c r="P582">
        <f>IF(COUNTIFS('United Data'!$A$3:$A$3390,P$1,'United Data'!$C$3:$C$3390,$A582,'United Data'!$B$3:$B$3390,"&lt;&gt;Off-street")&gt;0,1,0)</f>
        <v>0</v>
      </c>
      <c r="Q582">
        <f>IF(COUNTIFS('United Data'!$A$3:$A$3390,Q$1,'United Data'!$C$3:$C$3390,$A582,'United Data'!$B$3:$B$3390,"&lt;&gt;Off-street")&gt;0,1,0)</f>
        <v>0</v>
      </c>
      <c r="R582">
        <f>IF(COUNTIFS('United Data'!$A$3:$A$3390,R$1,'United Data'!$C$3:$C$3390,$A582,'United Data'!$B$3:$B$3390,"&lt;&gt;Off-street")&gt;0,1,0)</f>
        <v>0</v>
      </c>
      <c r="S582">
        <f t="shared" si="18"/>
        <v>1</v>
      </c>
      <c r="T582">
        <f t="shared" si="19"/>
        <v>1</v>
      </c>
    </row>
    <row r="583" spans="1:20" x14ac:dyDescent="0.2">
      <c r="A583" t="s">
        <v>701</v>
      </c>
      <c r="B583">
        <f>IF(COUNTIFS('United Data'!$A$3:$A$3390,B$1,'United Data'!$C$3:$C$3390,$A583,'United Data'!$B$3:$B$3390,"&lt;&gt;Off-street")&gt;0,1,0)</f>
        <v>0</v>
      </c>
      <c r="C583">
        <f>IF(COUNTIFS('United Data'!$A$3:$A$3390,C$1,'United Data'!$C$3:$C$3390,$A583,'United Data'!$B$3:$B$3390,"&lt;&gt;Off-street")&gt;0,1,0)</f>
        <v>0</v>
      </c>
      <c r="D583">
        <f>IF(COUNTIFS('United Data'!$A$3:$A$3390,D$1,'United Data'!$C$3:$C$3390,$A583,'United Data'!$B$3:$B$3390,"&lt;&gt;Off-street")&gt;0,1,0)</f>
        <v>0</v>
      </c>
      <c r="E583">
        <f>IF(COUNTIFS('United Data'!$A$3:$A$3390,E$1,'United Data'!$C$3:$C$3390,$A583,'United Data'!$B$3:$B$3390,"&lt;&gt;Off-street")&gt;0,1,0)</f>
        <v>0</v>
      </c>
      <c r="F583">
        <f>IF(COUNTIFS('United Data'!$A$3:$A$3390,F$1,'United Data'!$C$3:$C$3390,$A583,'United Data'!$B$3:$B$3390,"&lt;&gt;Off-street")&gt;0,1,0)</f>
        <v>0</v>
      </c>
      <c r="G583">
        <f>IF(COUNTIFS('United Data'!$A$3:$A$3390,G$1,'United Data'!$C$3:$C$3390,$A583,'United Data'!$B$3:$B$3390,"&lt;&gt;Off-street")&gt;0,1,0)</f>
        <v>0</v>
      </c>
      <c r="H583">
        <f>IF(COUNTIFS('United Data'!$A$3:$A$3390,H$1,'United Data'!$C$3:$C$3390,$A583,'United Data'!$B$3:$B$3390,"&lt;&gt;Off-street")&gt;0,1,0)</f>
        <v>0</v>
      </c>
      <c r="I583">
        <f>IF(COUNTIFS('United Data'!$A$3:$A$3390,I$1,'United Data'!$C$3:$C$3390,$A583,'United Data'!$B$3:$B$3390,"&lt;&gt;Off-street")&gt;0,1,0)</f>
        <v>0</v>
      </c>
      <c r="J583">
        <f>IF(COUNTIFS('United Data'!$A$3:$A$3390,J$1,'United Data'!$C$3:$C$3390,$A583,'United Data'!$B$3:$B$3390,"&lt;&gt;Off-street")&gt;0,1,0)</f>
        <v>0</v>
      </c>
      <c r="K583">
        <f>IF(COUNTIFS('United Data'!$A$3:$A$3390,K$1,'United Data'!$C$3:$C$3390,$A583,'United Data'!$B$3:$B$3390,"&lt;&gt;Off-street")&gt;0,1,0)</f>
        <v>0</v>
      </c>
      <c r="L583">
        <f>IF(COUNTIFS('United Data'!$A$3:$A$3390,L$1,'United Data'!$C$3:$C$3390,$A583,'United Data'!$B$3:$B$3390,"&lt;&gt;Off-street")&gt;0,1,0)</f>
        <v>0</v>
      </c>
      <c r="M583">
        <f>IF(COUNTIFS('United Data'!$A$3:$A$3390,M$1,'United Data'!$C$3:$C$3390,$A583,'United Data'!$B$3:$B$3390,"&lt;&gt;Off-street")&gt;0,1,0)</f>
        <v>0</v>
      </c>
      <c r="N583">
        <f>IF(COUNTIFS('United Data'!$A$3:$A$3390,N$1,'United Data'!$C$3:$C$3390,$A583,'United Data'!$B$3:$B$3390,"&lt;&gt;Off-street")&gt;0,1,0)</f>
        <v>0</v>
      </c>
      <c r="O583">
        <f>IF(COUNTIFS('United Data'!$A$3:$A$3390,O$1,'United Data'!$C$3:$C$3390,$A583,'United Data'!$B$3:$B$3390,"&lt;&gt;Off-street")&gt;0,1,0)</f>
        <v>1</v>
      </c>
      <c r="P583">
        <f>IF(COUNTIFS('United Data'!$A$3:$A$3390,P$1,'United Data'!$C$3:$C$3390,$A583,'United Data'!$B$3:$B$3390,"&lt;&gt;Off-street")&gt;0,1,0)</f>
        <v>0</v>
      </c>
      <c r="Q583">
        <f>IF(COUNTIFS('United Data'!$A$3:$A$3390,Q$1,'United Data'!$C$3:$C$3390,$A583,'United Data'!$B$3:$B$3390,"&lt;&gt;Off-street")&gt;0,1,0)</f>
        <v>0</v>
      </c>
      <c r="R583">
        <f>IF(COUNTIFS('United Data'!$A$3:$A$3390,R$1,'United Data'!$C$3:$C$3390,$A583,'United Data'!$B$3:$B$3390,"&lt;&gt;Off-street")&gt;0,1,0)</f>
        <v>0</v>
      </c>
      <c r="S583">
        <f t="shared" si="18"/>
        <v>1</v>
      </c>
      <c r="T583">
        <f t="shared" si="19"/>
        <v>1</v>
      </c>
    </row>
    <row r="584" spans="1:20" x14ac:dyDescent="0.2">
      <c r="A584" t="s">
        <v>702</v>
      </c>
      <c r="B584">
        <f>IF(COUNTIFS('United Data'!$A$3:$A$3390,B$1,'United Data'!$C$3:$C$3390,$A584,'United Data'!$B$3:$B$3390,"&lt;&gt;Off-street")&gt;0,1,0)</f>
        <v>0</v>
      </c>
      <c r="C584">
        <f>IF(COUNTIFS('United Data'!$A$3:$A$3390,C$1,'United Data'!$C$3:$C$3390,$A584,'United Data'!$B$3:$B$3390,"&lt;&gt;Off-street")&gt;0,1,0)</f>
        <v>0</v>
      </c>
      <c r="D584">
        <f>IF(COUNTIFS('United Data'!$A$3:$A$3390,D$1,'United Data'!$C$3:$C$3390,$A584,'United Data'!$B$3:$B$3390,"&lt;&gt;Off-street")&gt;0,1,0)</f>
        <v>0</v>
      </c>
      <c r="E584">
        <f>IF(COUNTIFS('United Data'!$A$3:$A$3390,E$1,'United Data'!$C$3:$C$3390,$A584,'United Data'!$B$3:$B$3390,"&lt;&gt;Off-street")&gt;0,1,0)</f>
        <v>0</v>
      </c>
      <c r="F584">
        <f>IF(COUNTIFS('United Data'!$A$3:$A$3390,F$1,'United Data'!$C$3:$C$3390,$A584,'United Data'!$B$3:$B$3390,"&lt;&gt;Off-street")&gt;0,1,0)</f>
        <v>0</v>
      </c>
      <c r="G584">
        <f>IF(COUNTIFS('United Data'!$A$3:$A$3390,G$1,'United Data'!$C$3:$C$3390,$A584,'United Data'!$B$3:$B$3390,"&lt;&gt;Off-street")&gt;0,1,0)</f>
        <v>0</v>
      </c>
      <c r="H584">
        <f>IF(COUNTIFS('United Data'!$A$3:$A$3390,H$1,'United Data'!$C$3:$C$3390,$A584,'United Data'!$B$3:$B$3390,"&lt;&gt;Off-street")&gt;0,1,0)</f>
        <v>0</v>
      </c>
      <c r="I584">
        <f>IF(COUNTIFS('United Data'!$A$3:$A$3390,I$1,'United Data'!$C$3:$C$3390,$A584,'United Data'!$B$3:$B$3390,"&lt;&gt;Off-street")&gt;0,1,0)</f>
        <v>0</v>
      </c>
      <c r="J584">
        <f>IF(COUNTIFS('United Data'!$A$3:$A$3390,J$1,'United Data'!$C$3:$C$3390,$A584,'United Data'!$B$3:$B$3390,"&lt;&gt;Off-street")&gt;0,1,0)</f>
        <v>0</v>
      </c>
      <c r="K584">
        <f>IF(COUNTIFS('United Data'!$A$3:$A$3390,K$1,'United Data'!$C$3:$C$3390,$A584,'United Data'!$B$3:$B$3390,"&lt;&gt;Off-street")&gt;0,1,0)</f>
        <v>0</v>
      </c>
      <c r="L584">
        <f>IF(COUNTIFS('United Data'!$A$3:$A$3390,L$1,'United Data'!$C$3:$C$3390,$A584,'United Data'!$B$3:$B$3390,"&lt;&gt;Off-street")&gt;0,1,0)</f>
        <v>0</v>
      </c>
      <c r="M584">
        <f>IF(COUNTIFS('United Data'!$A$3:$A$3390,M$1,'United Data'!$C$3:$C$3390,$A584,'United Data'!$B$3:$B$3390,"&lt;&gt;Off-street")&gt;0,1,0)</f>
        <v>0</v>
      </c>
      <c r="N584">
        <f>IF(COUNTIFS('United Data'!$A$3:$A$3390,N$1,'United Data'!$C$3:$C$3390,$A584,'United Data'!$B$3:$B$3390,"&lt;&gt;Off-street")&gt;0,1,0)</f>
        <v>0</v>
      </c>
      <c r="O584">
        <f>IF(COUNTIFS('United Data'!$A$3:$A$3390,O$1,'United Data'!$C$3:$C$3390,$A584,'United Data'!$B$3:$B$3390,"&lt;&gt;Off-street")&gt;0,1,0)</f>
        <v>1</v>
      </c>
      <c r="P584">
        <f>IF(COUNTIFS('United Data'!$A$3:$A$3390,P$1,'United Data'!$C$3:$C$3390,$A584,'United Data'!$B$3:$B$3390,"&lt;&gt;Off-street")&gt;0,1,0)</f>
        <v>0</v>
      </c>
      <c r="Q584">
        <f>IF(COUNTIFS('United Data'!$A$3:$A$3390,Q$1,'United Data'!$C$3:$C$3390,$A584,'United Data'!$B$3:$B$3390,"&lt;&gt;Off-street")&gt;0,1,0)</f>
        <v>0</v>
      </c>
      <c r="R584">
        <f>IF(COUNTIFS('United Data'!$A$3:$A$3390,R$1,'United Data'!$C$3:$C$3390,$A584,'United Data'!$B$3:$B$3390,"&lt;&gt;Off-street")&gt;0,1,0)</f>
        <v>0</v>
      </c>
      <c r="S584">
        <f t="shared" si="18"/>
        <v>1</v>
      </c>
      <c r="T584">
        <f t="shared" si="19"/>
        <v>1</v>
      </c>
    </row>
    <row r="585" spans="1:20" x14ac:dyDescent="0.2">
      <c r="A585" t="s">
        <v>703</v>
      </c>
      <c r="B585">
        <f>IF(COUNTIFS('United Data'!$A$3:$A$3390,B$1,'United Data'!$C$3:$C$3390,$A585,'United Data'!$B$3:$B$3390,"&lt;&gt;Off-street")&gt;0,1,0)</f>
        <v>0</v>
      </c>
      <c r="C585">
        <f>IF(COUNTIFS('United Data'!$A$3:$A$3390,C$1,'United Data'!$C$3:$C$3390,$A585,'United Data'!$B$3:$B$3390,"&lt;&gt;Off-street")&gt;0,1,0)</f>
        <v>0</v>
      </c>
      <c r="D585">
        <f>IF(COUNTIFS('United Data'!$A$3:$A$3390,D$1,'United Data'!$C$3:$C$3390,$A585,'United Data'!$B$3:$B$3390,"&lt;&gt;Off-street")&gt;0,1,0)</f>
        <v>0</v>
      </c>
      <c r="E585">
        <f>IF(COUNTIFS('United Data'!$A$3:$A$3390,E$1,'United Data'!$C$3:$C$3390,$A585,'United Data'!$B$3:$B$3390,"&lt;&gt;Off-street")&gt;0,1,0)</f>
        <v>0</v>
      </c>
      <c r="F585">
        <f>IF(COUNTIFS('United Data'!$A$3:$A$3390,F$1,'United Data'!$C$3:$C$3390,$A585,'United Data'!$B$3:$B$3390,"&lt;&gt;Off-street")&gt;0,1,0)</f>
        <v>0</v>
      </c>
      <c r="G585">
        <f>IF(COUNTIFS('United Data'!$A$3:$A$3390,G$1,'United Data'!$C$3:$C$3390,$A585,'United Data'!$B$3:$B$3390,"&lt;&gt;Off-street")&gt;0,1,0)</f>
        <v>0</v>
      </c>
      <c r="H585">
        <f>IF(COUNTIFS('United Data'!$A$3:$A$3390,H$1,'United Data'!$C$3:$C$3390,$A585,'United Data'!$B$3:$B$3390,"&lt;&gt;Off-street")&gt;0,1,0)</f>
        <v>0</v>
      </c>
      <c r="I585">
        <f>IF(COUNTIFS('United Data'!$A$3:$A$3390,I$1,'United Data'!$C$3:$C$3390,$A585,'United Data'!$B$3:$B$3390,"&lt;&gt;Off-street")&gt;0,1,0)</f>
        <v>0</v>
      </c>
      <c r="J585">
        <f>IF(COUNTIFS('United Data'!$A$3:$A$3390,J$1,'United Data'!$C$3:$C$3390,$A585,'United Data'!$B$3:$B$3390,"&lt;&gt;Off-street")&gt;0,1,0)</f>
        <v>0</v>
      </c>
      <c r="K585">
        <f>IF(COUNTIFS('United Data'!$A$3:$A$3390,K$1,'United Data'!$C$3:$C$3390,$A585,'United Data'!$B$3:$B$3390,"&lt;&gt;Off-street")&gt;0,1,0)</f>
        <v>0</v>
      </c>
      <c r="L585">
        <f>IF(COUNTIFS('United Data'!$A$3:$A$3390,L$1,'United Data'!$C$3:$C$3390,$A585,'United Data'!$B$3:$B$3390,"&lt;&gt;Off-street")&gt;0,1,0)</f>
        <v>0</v>
      </c>
      <c r="M585">
        <f>IF(COUNTIFS('United Data'!$A$3:$A$3390,M$1,'United Data'!$C$3:$C$3390,$A585,'United Data'!$B$3:$B$3390,"&lt;&gt;Off-street")&gt;0,1,0)</f>
        <v>0</v>
      </c>
      <c r="N585">
        <f>IF(COUNTIFS('United Data'!$A$3:$A$3390,N$1,'United Data'!$C$3:$C$3390,$A585,'United Data'!$B$3:$B$3390,"&lt;&gt;Off-street")&gt;0,1,0)</f>
        <v>0</v>
      </c>
      <c r="O585">
        <f>IF(COUNTIFS('United Data'!$A$3:$A$3390,O$1,'United Data'!$C$3:$C$3390,$A585,'United Data'!$B$3:$B$3390,"&lt;&gt;Off-street")&gt;0,1,0)</f>
        <v>1</v>
      </c>
      <c r="P585">
        <f>IF(COUNTIFS('United Data'!$A$3:$A$3390,P$1,'United Data'!$C$3:$C$3390,$A585,'United Data'!$B$3:$B$3390,"&lt;&gt;Off-street")&gt;0,1,0)</f>
        <v>0</v>
      </c>
      <c r="Q585">
        <f>IF(COUNTIFS('United Data'!$A$3:$A$3390,Q$1,'United Data'!$C$3:$C$3390,$A585,'United Data'!$B$3:$B$3390,"&lt;&gt;Off-street")&gt;0,1,0)</f>
        <v>0</v>
      </c>
      <c r="R585">
        <f>IF(COUNTIFS('United Data'!$A$3:$A$3390,R$1,'United Data'!$C$3:$C$3390,$A585,'United Data'!$B$3:$B$3390,"&lt;&gt;Off-street")&gt;0,1,0)</f>
        <v>0</v>
      </c>
      <c r="S585">
        <f t="shared" si="18"/>
        <v>1</v>
      </c>
      <c r="T585">
        <f t="shared" si="19"/>
        <v>1</v>
      </c>
    </row>
    <row r="586" spans="1:20" x14ac:dyDescent="0.2">
      <c r="A586" t="s">
        <v>704</v>
      </c>
      <c r="B586">
        <f>IF(COUNTIFS('United Data'!$A$3:$A$3390,B$1,'United Data'!$C$3:$C$3390,$A586,'United Data'!$B$3:$B$3390,"&lt;&gt;Off-street")&gt;0,1,0)</f>
        <v>0</v>
      </c>
      <c r="C586">
        <f>IF(COUNTIFS('United Data'!$A$3:$A$3390,C$1,'United Data'!$C$3:$C$3390,$A586,'United Data'!$B$3:$B$3390,"&lt;&gt;Off-street")&gt;0,1,0)</f>
        <v>0</v>
      </c>
      <c r="D586">
        <f>IF(COUNTIFS('United Data'!$A$3:$A$3390,D$1,'United Data'!$C$3:$C$3390,$A586,'United Data'!$B$3:$B$3390,"&lt;&gt;Off-street")&gt;0,1,0)</f>
        <v>0</v>
      </c>
      <c r="E586">
        <f>IF(COUNTIFS('United Data'!$A$3:$A$3390,E$1,'United Data'!$C$3:$C$3390,$A586,'United Data'!$B$3:$B$3390,"&lt;&gt;Off-street")&gt;0,1,0)</f>
        <v>0</v>
      </c>
      <c r="F586">
        <f>IF(COUNTIFS('United Data'!$A$3:$A$3390,F$1,'United Data'!$C$3:$C$3390,$A586,'United Data'!$B$3:$B$3390,"&lt;&gt;Off-street")&gt;0,1,0)</f>
        <v>0</v>
      </c>
      <c r="G586">
        <f>IF(COUNTIFS('United Data'!$A$3:$A$3390,G$1,'United Data'!$C$3:$C$3390,$A586,'United Data'!$B$3:$B$3390,"&lt;&gt;Off-street")&gt;0,1,0)</f>
        <v>0</v>
      </c>
      <c r="H586">
        <f>IF(COUNTIFS('United Data'!$A$3:$A$3390,H$1,'United Data'!$C$3:$C$3390,$A586,'United Data'!$B$3:$B$3390,"&lt;&gt;Off-street")&gt;0,1,0)</f>
        <v>0</v>
      </c>
      <c r="I586">
        <f>IF(COUNTIFS('United Data'!$A$3:$A$3390,I$1,'United Data'!$C$3:$C$3390,$A586,'United Data'!$B$3:$B$3390,"&lt;&gt;Off-street")&gt;0,1,0)</f>
        <v>0</v>
      </c>
      <c r="J586">
        <f>IF(COUNTIFS('United Data'!$A$3:$A$3390,J$1,'United Data'!$C$3:$C$3390,$A586,'United Data'!$B$3:$B$3390,"&lt;&gt;Off-street")&gt;0,1,0)</f>
        <v>0</v>
      </c>
      <c r="K586">
        <f>IF(COUNTIFS('United Data'!$A$3:$A$3390,K$1,'United Data'!$C$3:$C$3390,$A586,'United Data'!$B$3:$B$3390,"&lt;&gt;Off-street")&gt;0,1,0)</f>
        <v>0</v>
      </c>
      <c r="L586">
        <f>IF(COUNTIFS('United Data'!$A$3:$A$3390,L$1,'United Data'!$C$3:$C$3390,$A586,'United Data'!$B$3:$B$3390,"&lt;&gt;Off-street")&gt;0,1,0)</f>
        <v>0</v>
      </c>
      <c r="M586">
        <f>IF(COUNTIFS('United Data'!$A$3:$A$3390,M$1,'United Data'!$C$3:$C$3390,$A586,'United Data'!$B$3:$B$3390,"&lt;&gt;Off-street")&gt;0,1,0)</f>
        <v>0</v>
      </c>
      <c r="N586">
        <f>IF(COUNTIFS('United Data'!$A$3:$A$3390,N$1,'United Data'!$C$3:$C$3390,$A586,'United Data'!$B$3:$B$3390,"&lt;&gt;Off-street")&gt;0,1,0)</f>
        <v>0</v>
      </c>
      <c r="O586">
        <f>IF(COUNTIFS('United Data'!$A$3:$A$3390,O$1,'United Data'!$C$3:$C$3390,$A586,'United Data'!$B$3:$B$3390,"&lt;&gt;Off-street")&gt;0,1,0)</f>
        <v>1</v>
      </c>
      <c r="P586">
        <f>IF(COUNTIFS('United Data'!$A$3:$A$3390,P$1,'United Data'!$C$3:$C$3390,$A586,'United Data'!$B$3:$B$3390,"&lt;&gt;Off-street")&gt;0,1,0)</f>
        <v>0</v>
      </c>
      <c r="Q586">
        <f>IF(COUNTIFS('United Data'!$A$3:$A$3390,Q$1,'United Data'!$C$3:$C$3390,$A586,'United Data'!$B$3:$B$3390,"&lt;&gt;Off-street")&gt;0,1,0)</f>
        <v>0</v>
      </c>
      <c r="R586">
        <f>IF(COUNTIFS('United Data'!$A$3:$A$3390,R$1,'United Data'!$C$3:$C$3390,$A586,'United Data'!$B$3:$B$3390,"&lt;&gt;Off-street")&gt;0,1,0)</f>
        <v>0</v>
      </c>
      <c r="S586">
        <f t="shared" si="18"/>
        <v>1</v>
      </c>
      <c r="T586">
        <f t="shared" si="19"/>
        <v>1</v>
      </c>
    </row>
    <row r="587" spans="1:20" x14ac:dyDescent="0.2">
      <c r="A587" t="s">
        <v>705</v>
      </c>
      <c r="B587">
        <f>IF(COUNTIFS('United Data'!$A$3:$A$3390,B$1,'United Data'!$C$3:$C$3390,$A587,'United Data'!$B$3:$B$3390,"&lt;&gt;Off-street")&gt;0,1,0)</f>
        <v>0</v>
      </c>
      <c r="C587">
        <f>IF(COUNTIFS('United Data'!$A$3:$A$3390,C$1,'United Data'!$C$3:$C$3390,$A587,'United Data'!$B$3:$B$3390,"&lt;&gt;Off-street")&gt;0,1,0)</f>
        <v>0</v>
      </c>
      <c r="D587">
        <f>IF(COUNTIFS('United Data'!$A$3:$A$3390,D$1,'United Data'!$C$3:$C$3390,$A587,'United Data'!$B$3:$B$3390,"&lt;&gt;Off-street")&gt;0,1,0)</f>
        <v>0</v>
      </c>
      <c r="E587">
        <f>IF(COUNTIFS('United Data'!$A$3:$A$3390,E$1,'United Data'!$C$3:$C$3390,$A587,'United Data'!$B$3:$B$3390,"&lt;&gt;Off-street")&gt;0,1,0)</f>
        <v>0</v>
      </c>
      <c r="F587">
        <f>IF(COUNTIFS('United Data'!$A$3:$A$3390,F$1,'United Data'!$C$3:$C$3390,$A587,'United Data'!$B$3:$B$3390,"&lt;&gt;Off-street")&gt;0,1,0)</f>
        <v>0</v>
      </c>
      <c r="G587">
        <f>IF(COUNTIFS('United Data'!$A$3:$A$3390,G$1,'United Data'!$C$3:$C$3390,$A587,'United Data'!$B$3:$B$3390,"&lt;&gt;Off-street")&gt;0,1,0)</f>
        <v>0</v>
      </c>
      <c r="H587">
        <f>IF(COUNTIFS('United Data'!$A$3:$A$3390,H$1,'United Data'!$C$3:$C$3390,$A587,'United Data'!$B$3:$B$3390,"&lt;&gt;Off-street")&gt;0,1,0)</f>
        <v>0</v>
      </c>
      <c r="I587">
        <f>IF(COUNTIFS('United Data'!$A$3:$A$3390,I$1,'United Data'!$C$3:$C$3390,$A587,'United Data'!$B$3:$B$3390,"&lt;&gt;Off-street")&gt;0,1,0)</f>
        <v>0</v>
      </c>
      <c r="J587">
        <f>IF(COUNTIFS('United Data'!$A$3:$A$3390,J$1,'United Data'!$C$3:$C$3390,$A587,'United Data'!$B$3:$B$3390,"&lt;&gt;Off-street")&gt;0,1,0)</f>
        <v>0</v>
      </c>
      <c r="K587">
        <f>IF(COUNTIFS('United Data'!$A$3:$A$3390,K$1,'United Data'!$C$3:$C$3390,$A587,'United Data'!$B$3:$B$3390,"&lt;&gt;Off-street")&gt;0,1,0)</f>
        <v>0</v>
      </c>
      <c r="L587">
        <f>IF(COUNTIFS('United Data'!$A$3:$A$3390,L$1,'United Data'!$C$3:$C$3390,$A587,'United Data'!$B$3:$B$3390,"&lt;&gt;Off-street")&gt;0,1,0)</f>
        <v>0</v>
      </c>
      <c r="M587">
        <f>IF(COUNTIFS('United Data'!$A$3:$A$3390,M$1,'United Data'!$C$3:$C$3390,$A587,'United Data'!$B$3:$B$3390,"&lt;&gt;Off-street")&gt;0,1,0)</f>
        <v>0</v>
      </c>
      <c r="N587">
        <f>IF(COUNTIFS('United Data'!$A$3:$A$3390,N$1,'United Data'!$C$3:$C$3390,$A587,'United Data'!$B$3:$B$3390,"&lt;&gt;Off-street")&gt;0,1,0)</f>
        <v>0</v>
      </c>
      <c r="O587">
        <f>IF(COUNTIFS('United Data'!$A$3:$A$3390,O$1,'United Data'!$C$3:$C$3390,$A587,'United Data'!$B$3:$B$3390,"&lt;&gt;Off-street")&gt;0,1,0)</f>
        <v>0</v>
      </c>
      <c r="P587">
        <f>IF(COUNTIFS('United Data'!$A$3:$A$3390,P$1,'United Data'!$C$3:$C$3390,$A587,'United Data'!$B$3:$B$3390,"&lt;&gt;Off-street")&gt;0,1,0)</f>
        <v>1</v>
      </c>
      <c r="Q587">
        <f>IF(COUNTIFS('United Data'!$A$3:$A$3390,Q$1,'United Data'!$C$3:$C$3390,$A587,'United Data'!$B$3:$B$3390,"&lt;&gt;Off-street")&gt;0,1,0)</f>
        <v>0</v>
      </c>
      <c r="R587">
        <f>IF(COUNTIFS('United Data'!$A$3:$A$3390,R$1,'United Data'!$C$3:$C$3390,$A587,'United Data'!$B$3:$B$3390,"&lt;&gt;Off-street")&gt;0,1,0)</f>
        <v>0</v>
      </c>
      <c r="S587">
        <f t="shared" si="18"/>
        <v>1</v>
      </c>
      <c r="T587">
        <f t="shared" si="19"/>
        <v>1</v>
      </c>
    </row>
    <row r="588" spans="1:20" x14ac:dyDescent="0.2">
      <c r="A588" t="s">
        <v>706</v>
      </c>
      <c r="B588">
        <f>IF(COUNTIFS('United Data'!$A$3:$A$3390,B$1,'United Data'!$C$3:$C$3390,$A588,'United Data'!$B$3:$B$3390,"&lt;&gt;Off-street")&gt;0,1,0)</f>
        <v>0</v>
      </c>
      <c r="C588">
        <f>IF(COUNTIFS('United Data'!$A$3:$A$3390,C$1,'United Data'!$C$3:$C$3390,$A588,'United Data'!$B$3:$B$3390,"&lt;&gt;Off-street")&gt;0,1,0)</f>
        <v>0</v>
      </c>
      <c r="D588">
        <f>IF(COUNTIFS('United Data'!$A$3:$A$3390,D$1,'United Data'!$C$3:$C$3390,$A588,'United Data'!$B$3:$B$3390,"&lt;&gt;Off-street")&gt;0,1,0)</f>
        <v>0</v>
      </c>
      <c r="E588">
        <f>IF(COUNTIFS('United Data'!$A$3:$A$3390,E$1,'United Data'!$C$3:$C$3390,$A588,'United Data'!$B$3:$B$3390,"&lt;&gt;Off-street")&gt;0,1,0)</f>
        <v>0</v>
      </c>
      <c r="F588">
        <f>IF(COUNTIFS('United Data'!$A$3:$A$3390,F$1,'United Data'!$C$3:$C$3390,$A588,'United Data'!$B$3:$B$3390,"&lt;&gt;Off-street")&gt;0,1,0)</f>
        <v>0</v>
      </c>
      <c r="G588">
        <f>IF(COUNTIFS('United Data'!$A$3:$A$3390,G$1,'United Data'!$C$3:$C$3390,$A588,'United Data'!$B$3:$B$3390,"&lt;&gt;Off-street")&gt;0,1,0)</f>
        <v>0</v>
      </c>
      <c r="H588">
        <f>IF(COUNTIFS('United Data'!$A$3:$A$3390,H$1,'United Data'!$C$3:$C$3390,$A588,'United Data'!$B$3:$B$3390,"&lt;&gt;Off-street")&gt;0,1,0)</f>
        <v>0</v>
      </c>
      <c r="I588">
        <f>IF(COUNTIFS('United Data'!$A$3:$A$3390,I$1,'United Data'!$C$3:$C$3390,$A588,'United Data'!$B$3:$B$3390,"&lt;&gt;Off-street")&gt;0,1,0)</f>
        <v>0</v>
      </c>
      <c r="J588">
        <f>IF(COUNTIFS('United Data'!$A$3:$A$3390,J$1,'United Data'!$C$3:$C$3390,$A588,'United Data'!$B$3:$B$3390,"&lt;&gt;Off-street")&gt;0,1,0)</f>
        <v>0</v>
      </c>
      <c r="K588">
        <f>IF(COUNTIFS('United Data'!$A$3:$A$3390,K$1,'United Data'!$C$3:$C$3390,$A588,'United Data'!$B$3:$B$3390,"&lt;&gt;Off-street")&gt;0,1,0)</f>
        <v>0</v>
      </c>
      <c r="L588">
        <f>IF(COUNTIFS('United Data'!$A$3:$A$3390,L$1,'United Data'!$C$3:$C$3390,$A588,'United Data'!$B$3:$B$3390,"&lt;&gt;Off-street")&gt;0,1,0)</f>
        <v>0</v>
      </c>
      <c r="M588">
        <f>IF(COUNTIFS('United Data'!$A$3:$A$3390,M$1,'United Data'!$C$3:$C$3390,$A588,'United Data'!$B$3:$B$3390,"&lt;&gt;Off-street")&gt;0,1,0)</f>
        <v>0</v>
      </c>
      <c r="N588">
        <f>IF(COUNTIFS('United Data'!$A$3:$A$3390,N$1,'United Data'!$C$3:$C$3390,$A588,'United Data'!$B$3:$B$3390,"&lt;&gt;Off-street")&gt;0,1,0)</f>
        <v>0</v>
      </c>
      <c r="O588">
        <f>IF(COUNTIFS('United Data'!$A$3:$A$3390,O$1,'United Data'!$C$3:$C$3390,$A588,'United Data'!$B$3:$B$3390,"&lt;&gt;Off-street")&gt;0,1,0)</f>
        <v>0</v>
      </c>
      <c r="P588">
        <f>IF(COUNTIFS('United Data'!$A$3:$A$3390,P$1,'United Data'!$C$3:$C$3390,$A588,'United Data'!$B$3:$B$3390,"&lt;&gt;Off-street")&gt;0,1,0)</f>
        <v>1</v>
      </c>
      <c r="Q588">
        <f>IF(COUNTIFS('United Data'!$A$3:$A$3390,Q$1,'United Data'!$C$3:$C$3390,$A588,'United Data'!$B$3:$B$3390,"&lt;&gt;Off-street")&gt;0,1,0)</f>
        <v>0</v>
      </c>
      <c r="R588">
        <f>IF(COUNTIFS('United Data'!$A$3:$A$3390,R$1,'United Data'!$C$3:$C$3390,$A588,'United Data'!$B$3:$B$3390,"&lt;&gt;Off-street")&gt;0,1,0)</f>
        <v>0</v>
      </c>
      <c r="S588">
        <f t="shared" si="18"/>
        <v>1</v>
      </c>
      <c r="T588">
        <f t="shared" si="19"/>
        <v>1</v>
      </c>
    </row>
    <row r="589" spans="1:20" x14ac:dyDescent="0.2">
      <c r="A589" t="s">
        <v>707</v>
      </c>
      <c r="B589">
        <f>IF(COUNTIFS('United Data'!$A$3:$A$3390,B$1,'United Data'!$C$3:$C$3390,$A589,'United Data'!$B$3:$B$3390,"&lt;&gt;Off-street")&gt;0,1,0)</f>
        <v>0</v>
      </c>
      <c r="C589">
        <f>IF(COUNTIFS('United Data'!$A$3:$A$3390,C$1,'United Data'!$C$3:$C$3390,$A589,'United Data'!$B$3:$B$3390,"&lt;&gt;Off-street")&gt;0,1,0)</f>
        <v>0</v>
      </c>
      <c r="D589">
        <f>IF(COUNTIFS('United Data'!$A$3:$A$3390,D$1,'United Data'!$C$3:$C$3390,$A589,'United Data'!$B$3:$B$3390,"&lt;&gt;Off-street")&gt;0,1,0)</f>
        <v>0</v>
      </c>
      <c r="E589">
        <f>IF(COUNTIFS('United Data'!$A$3:$A$3390,E$1,'United Data'!$C$3:$C$3390,$A589,'United Data'!$B$3:$B$3390,"&lt;&gt;Off-street")&gt;0,1,0)</f>
        <v>0</v>
      </c>
      <c r="F589">
        <f>IF(COUNTIFS('United Data'!$A$3:$A$3390,F$1,'United Data'!$C$3:$C$3390,$A589,'United Data'!$B$3:$B$3390,"&lt;&gt;Off-street")&gt;0,1,0)</f>
        <v>0</v>
      </c>
      <c r="G589">
        <f>IF(COUNTIFS('United Data'!$A$3:$A$3390,G$1,'United Data'!$C$3:$C$3390,$A589,'United Data'!$B$3:$B$3390,"&lt;&gt;Off-street")&gt;0,1,0)</f>
        <v>0</v>
      </c>
      <c r="H589">
        <f>IF(COUNTIFS('United Data'!$A$3:$A$3390,H$1,'United Data'!$C$3:$C$3390,$A589,'United Data'!$B$3:$B$3390,"&lt;&gt;Off-street")&gt;0,1,0)</f>
        <v>0</v>
      </c>
      <c r="I589">
        <f>IF(COUNTIFS('United Data'!$A$3:$A$3390,I$1,'United Data'!$C$3:$C$3390,$A589,'United Data'!$B$3:$B$3390,"&lt;&gt;Off-street")&gt;0,1,0)</f>
        <v>0</v>
      </c>
      <c r="J589">
        <f>IF(COUNTIFS('United Data'!$A$3:$A$3390,J$1,'United Data'!$C$3:$C$3390,$A589,'United Data'!$B$3:$B$3390,"&lt;&gt;Off-street")&gt;0,1,0)</f>
        <v>0</v>
      </c>
      <c r="K589">
        <f>IF(COUNTIFS('United Data'!$A$3:$A$3390,K$1,'United Data'!$C$3:$C$3390,$A589,'United Data'!$B$3:$B$3390,"&lt;&gt;Off-street")&gt;0,1,0)</f>
        <v>0</v>
      </c>
      <c r="L589">
        <f>IF(COUNTIFS('United Data'!$A$3:$A$3390,L$1,'United Data'!$C$3:$C$3390,$A589,'United Data'!$B$3:$B$3390,"&lt;&gt;Off-street")&gt;0,1,0)</f>
        <v>0</v>
      </c>
      <c r="M589">
        <f>IF(COUNTIFS('United Data'!$A$3:$A$3390,M$1,'United Data'!$C$3:$C$3390,$A589,'United Data'!$B$3:$B$3390,"&lt;&gt;Off-street")&gt;0,1,0)</f>
        <v>1</v>
      </c>
      <c r="N589">
        <f>IF(COUNTIFS('United Data'!$A$3:$A$3390,N$1,'United Data'!$C$3:$C$3390,$A589,'United Data'!$B$3:$B$3390,"&lt;&gt;Off-street")&gt;0,1,0)</f>
        <v>0</v>
      </c>
      <c r="O589">
        <f>IF(COUNTIFS('United Data'!$A$3:$A$3390,O$1,'United Data'!$C$3:$C$3390,$A589,'United Data'!$B$3:$B$3390,"&lt;&gt;Off-street")&gt;0,1,0)</f>
        <v>0</v>
      </c>
      <c r="P589">
        <f>IF(COUNTIFS('United Data'!$A$3:$A$3390,P$1,'United Data'!$C$3:$C$3390,$A589,'United Data'!$B$3:$B$3390,"&lt;&gt;Off-street")&gt;0,1,0)</f>
        <v>1</v>
      </c>
      <c r="Q589">
        <f>IF(COUNTIFS('United Data'!$A$3:$A$3390,Q$1,'United Data'!$C$3:$C$3390,$A589,'United Data'!$B$3:$B$3390,"&lt;&gt;Off-street")&gt;0,1,0)</f>
        <v>0</v>
      </c>
      <c r="R589">
        <f>IF(COUNTIFS('United Data'!$A$3:$A$3390,R$1,'United Data'!$C$3:$C$3390,$A589,'United Data'!$B$3:$B$3390,"&lt;&gt;Off-street")&gt;0,1,0)</f>
        <v>0</v>
      </c>
      <c r="S589">
        <f t="shared" si="18"/>
        <v>2</v>
      </c>
      <c r="T589">
        <f t="shared" si="19"/>
        <v>2</v>
      </c>
    </row>
    <row r="590" spans="1:20" x14ac:dyDescent="0.2">
      <c r="A590" t="s">
        <v>708</v>
      </c>
      <c r="B590">
        <f>IF(COUNTIFS('United Data'!$A$3:$A$3390,B$1,'United Data'!$C$3:$C$3390,$A590,'United Data'!$B$3:$B$3390,"&lt;&gt;Off-street")&gt;0,1,0)</f>
        <v>0</v>
      </c>
      <c r="C590">
        <f>IF(COUNTIFS('United Data'!$A$3:$A$3390,C$1,'United Data'!$C$3:$C$3390,$A590,'United Data'!$B$3:$B$3390,"&lt;&gt;Off-street")&gt;0,1,0)</f>
        <v>0</v>
      </c>
      <c r="D590">
        <f>IF(COUNTIFS('United Data'!$A$3:$A$3390,D$1,'United Data'!$C$3:$C$3390,$A590,'United Data'!$B$3:$B$3390,"&lt;&gt;Off-street")&gt;0,1,0)</f>
        <v>0</v>
      </c>
      <c r="E590">
        <f>IF(COUNTIFS('United Data'!$A$3:$A$3390,E$1,'United Data'!$C$3:$C$3390,$A590,'United Data'!$B$3:$B$3390,"&lt;&gt;Off-street")&gt;0,1,0)</f>
        <v>0</v>
      </c>
      <c r="F590">
        <f>IF(COUNTIFS('United Data'!$A$3:$A$3390,F$1,'United Data'!$C$3:$C$3390,$A590,'United Data'!$B$3:$B$3390,"&lt;&gt;Off-street")&gt;0,1,0)</f>
        <v>0</v>
      </c>
      <c r="G590">
        <f>IF(COUNTIFS('United Data'!$A$3:$A$3390,G$1,'United Data'!$C$3:$C$3390,$A590,'United Data'!$B$3:$B$3390,"&lt;&gt;Off-street")&gt;0,1,0)</f>
        <v>0</v>
      </c>
      <c r="H590">
        <f>IF(COUNTIFS('United Data'!$A$3:$A$3390,H$1,'United Data'!$C$3:$C$3390,$A590,'United Data'!$B$3:$B$3390,"&lt;&gt;Off-street")&gt;0,1,0)</f>
        <v>0</v>
      </c>
      <c r="I590">
        <f>IF(COUNTIFS('United Data'!$A$3:$A$3390,I$1,'United Data'!$C$3:$C$3390,$A590,'United Data'!$B$3:$B$3390,"&lt;&gt;Off-street")&gt;0,1,0)</f>
        <v>0</v>
      </c>
      <c r="J590">
        <f>IF(COUNTIFS('United Data'!$A$3:$A$3390,J$1,'United Data'!$C$3:$C$3390,$A590,'United Data'!$B$3:$B$3390,"&lt;&gt;Off-street")&gt;0,1,0)</f>
        <v>0</v>
      </c>
      <c r="K590">
        <f>IF(COUNTIFS('United Data'!$A$3:$A$3390,K$1,'United Data'!$C$3:$C$3390,$A590,'United Data'!$B$3:$B$3390,"&lt;&gt;Off-street")&gt;0,1,0)</f>
        <v>0</v>
      </c>
      <c r="L590">
        <f>IF(COUNTIFS('United Data'!$A$3:$A$3390,L$1,'United Data'!$C$3:$C$3390,$A590,'United Data'!$B$3:$B$3390,"&lt;&gt;Off-street")&gt;0,1,0)</f>
        <v>0</v>
      </c>
      <c r="M590">
        <f>IF(COUNTIFS('United Data'!$A$3:$A$3390,M$1,'United Data'!$C$3:$C$3390,$A590,'United Data'!$B$3:$B$3390,"&lt;&gt;Off-street")&gt;0,1,0)</f>
        <v>0</v>
      </c>
      <c r="N590">
        <f>IF(COUNTIFS('United Data'!$A$3:$A$3390,N$1,'United Data'!$C$3:$C$3390,$A590,'United Data'!$B$3:$B$3390,"&lt;&gt;Off-street")&gt;0,1,0)</f>
        <v>0</v>
      </c>
      <c r="O590">
        <f>IF(COUNTIFS('United Data'!$A$3:$A$3390,O$1,'United Data'!$C$3:$C$3390,$A590,'United Data'!$B$3:$B$3390,"&lt;&gt;Off-street")&gt;0,1,0)</f>
        <v>0</v>
      </c>
      <c r="P590">
        <f>IF(COUNTIFS('United Data'!$A$3:$A$3390,P$1,'United Data'!$C$3:$C$3390,$A590,'United Data'!$B$3:$B$3390,"&lt;&gt;Off-street")&gt;0,1,0)</f>
        <v>1</v>
      </c>
      <c r="Q590">
        <f>IF(COUNTIFS('United Data'!$A$3:$A$3390,Q$1,'United Data'!$C$3:$C$3390,$A590,'United Data'!$B$3:$B$3390,"&lt;&gt;Off-street")&gt;0,1,0)</f>
        <v>0</v>
      </c>
      <c r="R590">
        <f>IF(COUNTIFS('United Data'!$A$3:$A$3390,R$1,'United Data'!$C$3:$C$3390,$A590,'United Data'!$B$3:$B$3390,"&lt;&gt;Off-street")&gt;0,1,0)</f>
        <v>0</v>
      </c>
      <c r="S590">
        <f t="shared" si="18"/>
        <v>1</v>
      </c>
      <c r="T590">
        <f t="shared" si="19"/>
        <v>1</v>
      </c>
    </row>
    <row r="591" spans="1:20" x14ac:dyDescent="0.2">
      <c r="A591" t="s">
        <v>709</v>
      </c>
      <c r="B591">
        <f>IF(COUNTIFS('United Data'!$A$3:$A$3390,B$1,'United Data'!$C$3:$C$3390,$A591,'United Data'!$B$3:$B$3390,"&lt;&gt;Off-street")&gt;0,1,0)</f>
        <v>0</v>
      </c>
      <c r="C591">
        <f>IF(COUNTIFS('United Data'!$A$3:$A$3390,C$1,'United Data'!$C$3:$C$3390,$A591,'United Data'!$B$3:$B$3390,"&lt;&gt;Off-street")&gt;0,1,0)</f>
        <v>0</v>
      </c>
      <c r="D591">
        <f>IF(COUNTIFS('United Data'!$A$3:$A$3390,D$1,'United Data'!$C$3:$C$3390,$A591,'United Data'!$B$3:$B$3390,"&lt;&gt;Off-street")&gt;0,1,0)</f>
        <v>0</v>
      </c>
      <c r="E591">
        <f>IF(COUNTIFS('United Data'!$A$3:$A$3390,E$1,'United Data'!$C$3:$C$3390,$A591,'United Data'!$B$3:$B$3390,"&lt;&gt;Off-street")&gt;0,1,0)</f>
        <v>0</v>
      </c>
      <c r="F591">
        <f>IF(COUNTIFS('United Data'!$A$3:$A$3390,F$1,'United Data'!$C$3:$C$3390,$A591,'United Data'!$B$3:$B$3390,"&lt;&gt;Off-street")&gt;0,1,0)</f>
        <v>0</v>
      </c>
      <c r="G591">
        <f>IF(COUNTIFS('United Data'!$A$3:$A$3390,G$1,'United Data'!$C$3:$C$3390,$A591,'United Data'!$B$3:$B$3390,"&lt;&gt;Off-street")&gt;0,1,0)</f>
        <v>0</v>
      </c>
      <c r="H591">
        <f>IF(COUNTIFS('United Data'!$A$3:$A$3390,H$1,'United Data'!$C$3:$C$3390,$A591,'United Data'!$B$3:$B$3390,"&lt;&gt;Off-street")&gt;0,1,0)</f>
        <v>0</v>
      </c>
      <c r="I591">
        <f>IF(COUNTIFS('United Data'!$A$3:$A$3390,I$1,'United Data'!$C$3:$C$3390,$A591,'United Data'!$B$3:$B$3390,"&lt;&gt;Off-street")&gt;0,1,0)</f>
        <v>0</v>
      </c>
      <c r="J591">
        <f>IF(COUNTIFS('United Data'!$A$3:$A$3390,J$1,'United Data'!$C$3:$C$3390,$A591,'United Data'!$B$3:$B$3390,"&lt;&gt;Off-street")&gt;0,1,0)</f>
        <v>0</v>
      </c>
      <c r="K591">
        <f>IF(COUNTIFS('United Data'!$A$3:$A$3390,K$1,'United Data'!$C$3:$C$3390,$A591,'United Data'!$B$3:$B$3390,"&lt;&gt;Off-street")&gt;0,1,0)</f>
        <v>0</v>
      </c>
      <c r="L591">
        <f>IF(COUNTIFS('United Data'!$A$3:$A$3390,L$1,'United Data'!$C$3:$C$3390,$A591,'United Data'!$B$3:$B$3390,"&lt;&gt;Off-street")&gt;0,1,0)</f>
        <v>0</v>
      </c>
      <c r="M591">
        <f>IF(COUNTIFS('United Data'!$A$3:$A$3390,M$1,'United Data'!$C$3:$C$3390,$A591,'United Data'!$B$3:$B$3390,"&lt;&gt;Off-street")&gt;0,1,0)</f>
        <v>0</v>
      </c>
      <c r="N591">
        <f>IF(COUNTIFS('United Data'!$A$3:$A$3390,N$1,'United Data'!$C$3:$C$3390,$A591,'United Data'!$B$3:$B$3390,"&lt;&gt;Off-street")&gt;0,1,0)</f>
        <v>0</v>
      </c>
      <c r="O591">
        <f>IF(COUNTIFS('United Data'!$A$3:$A$3390,O$1,'United Data'!$C$3:$C$3390,$A591,'United Data'!$B$3:$B$3390,"&lt;&gt;Off-street")&gt;0,1,0)</f>
        <v>0</v>
      </c>
      <c r="P591">
        <f>IF(COUNTIFS('United Data'!$A$3:$A$3390,P$1,'United Data'!$C$3:$C$3390,$A591,'United Data'!$B$3:$B$3390,"&lt;&gt;Off-street")&gt;0,1,0)</f>
        <v>1</v>
      </c>
      <c r="Q591">
        <f>IF(COUNTIFS('United Data'!$A$3:$A$3390,Q$1,'United Data'!$C$3:$C$3390,$A591,'United Data'!$B$3:$B$3390,"&lt;&gt;Off-street")&gt;0,1,0)</f>
        <v>0</v>
      </c>
      <c r="R591">
        <f>IF(COUNTIFS('United Data'!$A$3:$A$3390,R$1,'United Data'!$C$3:$C$3390,$A591,'United Data'!$B$3:$B$3390,"&lt;&gt;Off-street")&gt;0,1,0)</f>
        <v>0</v>
      </c>
      <c r="S591">
        <f t="shared" si="18"/>
        <v>1</v>
      </c>
      <c r="T591">
        <f t="shared" si="19"/>
        <v>1</v>
      </c>
    </row>
    <row r="592" spans="1:20" x14ac:dyDescent="0.2">
      <c r="A592" t="s">
        <v>710</v>
      </c>
      <c r="B592">
        <f>IF(COUNTIFS('United Data'!$A$3:$A$3390,B$1,'United Data'!$C$3:$C$3390,$A592,'United Data'!$B$3:$B$3390,"&lt;&gt;Off-street")&gt;0,1,0)</f>
        <v>0</v>
      </c>
      <c r="C592">
        <f>IF(COUNTIFS('United Data'!$A$3:$A$3390,C$1,'United Data'!$C$3:$C$3390,$A592,'United Data'!$B$3:$B$3390,"&lt;&gt;Off-street")&gt;0,1,0)</f>
        <v>0</v>
      </c>
      <c r="D592">
        <f>IF(COUNTIFS('United Data'!$A$3:$A$3390,D$1,'United Data'!$C$3:$C$3390,$A592,'United Data'!$B$3:$B$3390,"&lt;&gt;Off-street")&gt;0,1,0)</f>
        <v>0</v>
      </c>
      <c r="E592">
        <f>IF(COUNTIFS('United Data'!$A$3:$A$3390,E$1,'United Data'!$C$3:$C$3390,$A592,'United Data'!$B$3:$B$3390,"&lt;&gt;Off-street")&gt;0,1,0)</f>
        <v>0</v>
      </c>
      <c r="F592">
        <f>IF(COUNTIFS('United Data'!$A$3:$A$3390,F$1,'United Data'!$C$3:$C$3390,$A592,'United Data'!$B$3:$B$3390,"&lt;&gt;Off-street")&gt;0,1,0)</f>
        <v>0</v>
      </c>
      <c r="G592">
        <f>IF(COUNTIFS('United Data'!$A$3:$A$3390,G$1,'United Data'!$C$3:$C$3390,$A592,'United Data'!$B$3:$B$3390,"&lt;&gt;Off-street")&gt;0,1,0)</f>
        <v>0</v>
      </c>
      <c r="H592">
        <f>IF(COUNTIFS('United Data'!$A$3:$A$3390,H$1,'United Data'!$C$3:$C$3390,$A592,'United Data'!$B$3:$B$3390,"&lt;&gt;Off-street")&gt;0,1,0)</f>
        <v>0</v>
      </c>
      <c r="I592">
        <f>IF(COUNTIFS('United Data'!$A$3:$A$3390,I$1,'United Data'!$C$3:$C$3390,$A592,'United Data'!$B$3:$B$3390,"&lt;&gt;Off-street")&gt;0,1,0)</f>
        <v>0</v>
      </c>
      <c r="J592">
        <f>IF(COUNTIFS('United Data'!$A$3:$A$3390,J$1,'United Data'!$C$3:$C$3390,$A592,'United Data'!$B$3:$B$3390,"&lt;&gt;Off-street")&gt;0,1,0)</f>
        <v>0</v>
      </c>
      <c r="K592">
        <f>IF(COUNTIFS('United Data'!$A$3:$A$3390,K$1,'United Data'!$C$3:$C$3390,$A592,'United Data'!$B$3:$B$3390,"&lt;&gt;Off-street")&gt;0,1,0)</f>
        <v>0</v>
      </c>
      <c r="L592">
        <f>IF(COUNTIFS('United Data'!$A$3:$A$3390,L$1,'United Data'!$C$3:$C$3390,$A592,'United Data'!$B$3:$B$3390,"&lt;&gt;Off-street")&gt;0,1,0)</f>
        <v>0</v>
      </c>
      <c r="M592">
        <f>IF(COUNTIFS('United Data'!$A$3:$A$3390,M$1,'United Data'!$C$3:$C$3390,$A592,'United Data'!$B$3:$B$3390,"&lt;&gt;Off-street")&gt;0,1,0)</f>
        <v>0</v>
      </c>
      <c r="N592">
        <f>IF(COUNTIFS('United Data'!$A$3:$A$3390,N$1,'United Data'!$C$3:$C$3390,$A592,'United Data'!$B$3:$B$3390,"&lt;&gt;Off-street")&gt;0,1,0)</f>
        <v>0</v>
      </c>
      <c r="O592">
        <f>IF(COUNTIFS('United Data'!$A$3:$A$3390,O$1,'United Data'!$C$3:$C$3390,$A592,'United Data'!$B$3:$B$3390,"&lt;&gt;Off-street")&gt;0,1,0)</f>
        <v>0</v>
      </c>
      <c r="P592">
        <f>IF(COUNTIFS('United Data'!$A$3:$A$3390,P$1,'United Data'!$C$3:$C$3390,$A592,'United Data'!$B$3:$B$3390,"&lt;&gt;Off-street")&gt;0,1,0)</f>
        <v>1</v>
      </c>
      <c r="Q592">
        <f>IF(COUNTIFS('United Data'!$A$3:$A$3390,Q$1,'United Data'!$C$3:$C$3390,$A592,'United Data'!$B$3:$B$3390,"&lt;&gt;Off-street")&gt;0,1,0)</f>
        <v>0</v>
      </c>
      <c r="R592">
        <f>IF(COUNTIFS('United Data'!$A$3:$A$3390,R$1,'United Data'!$C$3:$C$3390,$A592,'United Data'!$B$3:$B$3390,"&lt;&gt;Off-street")&gt;0,1,0)</f>
        <v>0</v>
      </c>
      <c r="S592">
        <f t="shared" si="18"/>
        <v>1</v>
      </c>
      <c r="T592">
        <f t="shared" si="19"/>
        <v>1</v>
      </c>
    </row>
    <row r="593" spans="1:20" x14ac:dyDescent="0.2">
      <c r="A593" t="s">
        <v>711</v>
      </c>
      <c r="B593">
        <f>IF(COUNTIFS('United Data'!$A$3:$A$3390,B$1,'United Data'!$C$3:$C$3390,$A593,'United Data'!$B$3:$B$3390,"&lt;&gt;Off-street")&gt;0,1,0)</f>
        <v>0</v>
      </c>
      <c r="C593">
        <f>IF(COUNTIFS('United Data'!$A$3:$A$3390,C$1,'United Data'!$C$3:$C$3390,$A593,'United Data'!$B$3:$B$3390,"&lt;&gt;Off-street")&gt;0,1,0)</f>
        <v>0</v>
      </c>
      <c r="D593">
        <f>IF(COUNTIFS('United Data'!$A$3:$A$3390,D$1,'United Data'!$C$3:$C$3390,$A593,'United Data'!$B$3:$B$3390,"&lt;&gt;Off-street")&gt;0,1,0)</f>
        <v>0</v>
      </c>
      <c r="E593">
        <f>IF(COUNTIFS('United Data'!$A$3:$A$3390,E$1,'United Data'!$C$3:$C$3390,$A593,'United Data'!$B$3:$B$3390,"&lt;&gt;Off-street")&gt;0,1,0)</f>
        <v>0</v>
      </c>
      <c r="F593">
        <f>IF(COUNTIFS('United Data'!$A$3:$A$3390,F$1,'United Data'!$C$3:$C$3390,$A593,'United Data'!$B$3:$B$3390,"&lt;&gt;Off-street")&gt;0,1,0)</f>
        <v>0</v>
      </c>
      <c r="G593">
        <f>IF(COUNTIFS('United Data'!$A$3:$A$3390,G$1,'United Data'!$C$3:$C$3390,$A593,'United Data'!$B$3:$B$3390,"&lt;&gt;Off-street")&gt;0,1,0)</f>
        <v>0</v>
      </c>
      <c r="H593">
        <f>IF(COUNTIFS('United Data'!$A$3:$A$3390,H$1,'United Data'!$C$3:$C$3390,$A593,'United Data'!$B$3:$B$3390,"&lt;&gt;Off-street")&gt;0,1,0)</f>
        <v>0</v>
      </c>
      <c r="I593">
        <f>IF(COUNTIFS('United Data'!$A$3:$A$3390,I$1,'United Data'!$C$3:$C$3390,$A593,'United Data'!$B$3:$B$3390,"&lt;&gt;Off-street")&gt;0,1,0)</f>
        <v>0</v>
      </c>
      <c r="J593">
        <f>IF(COUNTIFS('United Data'!$A$3:$A$3390,J$1,'United Data'!$C$3:$C$3390,$A593,'United Data'!$B$3:$B$3390,"&lt;&gt;Off-street")&gt;0,1,0)</f>
        <v>0</v>
      </c>
      <c r="K593">
        <f>IF(COUNTIFS('United Data'!$A$3:$A$3390,K$1,'United Data'!$C$3:$C$3390,$A593,'United Data'!$B$3:$B$3390,"&lt;&gt;Off-street")&gt;0,1,0)</f>
        <v>0</v>
      </c>
      <c r="L593">
        <f>IF(COUNTIFS('United Data'!$A$3:$A$3390,L$1,'United Data'!$C$3:$C$3390,$A593,'United Data'!$B$3:$B$3390,"&lt;&gt;Off-street")&gt;0,1,0)</f>
        <v>0</v>
      </c>
      <c r="M593">
        <f>IF(COUNTIFS('United Data'!$A$3:$A$3390,M$1,'United Data'!$C$3:$C$3390,$A593,'United Data'!$B$3:$B$3390,"&lt;&gt;Off-street")&gt;0,1,0)</f>
        <v>0</v>
      </c>
      <c r="N593">
        <f>IF(COUNTIFS('United Data'!$A$3:$A$3390,N$1,'United Data'!$C$3:$C$3390,$A593,'United Data'!$B$3:$B$3390,"&lt;&gt;Off-street")&gt;0,1,0)</f>
        <v>0</v>
      </c>
      <c r="O593">
        <f>IF(COUNTIFS('United Data'!$A$3:$A$3390,O$1,'United Data'!$C$3:$C$3390,$A593,'United Data'!$B$3:$B$3390,"&lt;&gt;Off-street")&gt;0,1,0)</f>
        <v>0</v>
      </c>
      <c r="P593">
        <f>IF(COUNTIFS('United Data'!$A$3:$A$3390,P$1,'United Data'!$C$3:$C$3390,$A593,'United Data'!$B$3:$B$3390,"&lt;&gt;Off-street")&gt;0,1,0)</f>
        <v>0</v>
      </c>
      <c r="Q593">
        <f>IF(COUNTIFS('United Data'!$A$3:$A$3390,Q$1,'United Data'!$C$3:$C$3390,$A593,'United Data'!$B$3:$B$3390,"&lt;&gt;Off-street")&gt;0,1,0)</f>
        <v>1</v>
      </c>
      <c r="R593">
        <f>IF(COUNTIFS('United Data'!$A$3:$A$3390,R$1,'United Data'!$C$3:$C$3390,$A593,'United Data'!$B$3:$B$3390,"&lt;&gt;Off-street")&gt;0,1,0)</f>
        <v>0</v>
      </c>
      <c r="S593">
        <f t="shared" si="18"/>
        <v>1</v>
      </c>
      <c r="T593">
        <f t="shared" si="19"/>
        <v>1</v>
      </c>
    </row>
    <row r="594" spans="1:20" x14ac:dyDescent="0.2">
      <c r="A594" t="s">
        <v>712</v>
      </c>
      <c r="B594">
        <f>IF(COUNTIFS('United Data'!$A$3:$A$3390,B$1,'United Data'!$C$3:$C$3390,$A594,'United Data'!$B$3:$B$3390,"&lt;&gt;Off-street")&gt;0,1,0)</f>
        <v>0</v>
      </c>
      <c r="C594">
        <f>IF(COUNTIFS('United Data'!$A$3:$A$3390,C$1,'United Data'!$C$3:$C$3390,$A594,'United Data'!$B$3:$B$3390,"&lt;&gt;Off-street")&gt;0,1,0)</f>
        <v>0</v>
      </c>
      <c r="D594">
        <f>IF(COUNTIFS('United Data'!$A$3:$A$3390,D$1,'United Data'!$C$3:$C$3390,$A594,'United Data'!$B$3:$B$3390,"&lt;&gt;Off-street")&gt;0,1,0)</f>
        <v>0</v>
      </c>
      <c r="E594">
        <f>IF(COUNTIFS('United Data'!$A$3:$A$3390,E$1,'United Data'!$C$3:$C$3390,$A594,'United Data'!$B$3:$B$3390,"&lt;&gt;Off-street")&gt;0,1,0)</f>
        <v>0</v>
      </c>
      <c r="F594">
        <f>IF(COUNTIFS('United Data'!$A$3:$A$3390,F$1,'United Data'!$C$3:$C$3390,$A594,'United Data'!$B$3:$B$3390,"&lt;&gt;Off-street")&gt;0,1,0)</f>
        <v>0</v>
      </c>
      <c r="G594">
        <f>IF(COUNTIFS('United Data'!$A$3:$A$3390,G$1,'United Data'!$C$3:$C$3390,$A594,'United Data'!$B$3:$B$3390,"&lt;&gt;Off-street")&gt;0,1,0)</f>
        <v>0</v>
      </c>
      <c r="H594">
        <f>IF(COUNTIFS('United Data'!$A$3:$A$3390,H$1,'United Data'!$C$3:$C$3390,$A594,'United Data'!$B$3:$B$3390,"&lt;&gt;Off-street")&gt;0,1,0)</f>
        <v>0</v>
      </c>
      <c r="I594">
        <f>IF(COUNTIFS('United Data'!$A$3:$A$3390,I$1,'United Data'!$C$3:$C$3390,$A594,'United Data'!$B$3:$B$3390,"&lt;&gt;Off-street")&gt;0,1,0)</f>
        <v>0</v>
      </c>
      <c r="J594">
        <f>IF(COUNTIFS('United Data'!$A$3:$A$3390,J$1,'United Data'!$C$3:$C$3390,$A594,'United Data'!$B$3:$B$3390,"&lt;&gt;Off-street")&gt;0,1,0)</f>
        <v>0</v>
      </c>
      <c r="K594">
        <f>IF(COUNTIFS('United Data'!$A$3:$A$3390,K$1,'United Data'!$C$3:$C$3390,$A594,'United Data'!$B$3:$B$3390,"&lt;&gt;Off-street")&gt;0,1,0)</f>
        <v>0</v>
      </c>
      <c r="L594">
        <f>IF(COUNTIFS('United Data'!$A$3:$A$3390,L$1,'United Data'!$C$3:$C$3390,$A594,'United Data'!$B$3:$B$3390,"&lt;&gt;Off-street")&gt;0,1,0)</f>
        <v>0</v>
      </c>
      <c r="M594">
        <f>IF(COUNTIFS('United Data'!$A$3:$A$3390,M$1,'United Data'!$C$3:$C$3390,$A594,'United Data'!$B$3:$B$3390,"&lt;&gt;Off-street")&gt;0,1,0)</f>
        <v>0</v>
      </c>
      <c r="N594">
        <f>IF(COUNTIFS('United Data'!$A$3:$A$3390,N$1,'United Data'!$C$3:$C$3390,$A594,'United Data'!$B$3:$B$3390,"&lt;&gt;Off-street")&gt;0,1,0)</f>
        <v>0</v>
      </c>
      <c r="O594">
        <f>IF(COUNTIFS('United Data'!$A$3:$A$3390,O$1,'United Data'!$C$3:$C$3390,$A594,'United Data'!$B$3:$B$3390,"&lt;&gt;Off-street")&gt;0,1,0)</f>
        <v>0</v>
      </c>
      <c r="P594">
        <f>IF(COUNTIFS('United Data'!$A$3:$A$3390,P$1,'United Data'!$C$3:$C$3390,$A594,'United Data'!$B$3:$B$3390,"&lt;&gt;Off-street")&gt;0,1,0)</f>
        <v>0</v>
      </c>
      <c r="Q594">
        <f>IF(COUNTIFS('United Data'!$A$3:$A$3390,Q$1,'United Data'!$C$3:$C$3390,$A594,'United Data'!$B$3:$B$3390,"&lt;&gt;Off-street")&gt;0,1,0)</f>
        <v>1</v>
      </c>
      <c r="R594">
        <f>IF(COUNTIFS('United Data'!$A$3:$A$3390,R$1,'United Data'!$C$3:$C$3390,$A594,'United Data'!$B$3:$B$3390,"&lt;&gt;Off-street")&gt;0,1,0)</f>
        <v>0</v>
      </c>
      <c r="S594">
        <f t="shared" si="18"/>
        <v>1</v>
      </c>
      <c r="T594">
        <f t="shared" si="19"/>
        <v>1</v>
      </c>
    </row>
    <row r="595" spans="1:20" x14ac:dyDescent="0.2">
      <c r="A595" t="s">
        <v>713</v>
      </c>
      <c r="B595">
        <f>IF(COUNTIFS('United Data'!$A$3:$A$3390,B$1,'United Data'!$C$3:$C$3390,$A595,'United Data'!$B$3:$B$3390,"&lt;&gt;Off-street")&gt;0,1,0)</f>
        <v>0</v>
      </c>
      <c r="C595">
        <f>IF(COUNTIFS('United Data'!$A$3:$A$3390,C$1,'United Data'!$C$3:$C$3390,$A595,'United Data'!$B$3:$B$3390,"&lt;&gt;Off-street")&gt;0,1,0)</f>
        <v>0</v>
      </c>
      <c r="D595">
        <f>IF(COUNTIFS('United Data'!$A$3:$A$3390,D$1,'United Data'!$C$3:$C$3390,$A595,'United Data'!$B$3:$B$3390,"&lt;&gt;Off-street")&gt;0,1,0)</f>
        <v>0</v>
      </c>
      <c r="E595">
        <f>IF(COUNTIFS('United Data'!$A$3:$A$3390,E$1,'United Data'!$C$3:$C$3390,$A595,'United Data'!$B$3:$B$3390,"&lt;&gt;Off-street")&gt;0,1,0)</f>
        <v>0</v>
      </c>
      <c r="F595">
        <f>IF(COUNTIFS('United Data'!$A$3:$A$3390,F$1,'United Data'!$C$3:$C$3390,$A595,'United Data'!$B$3:$B$3390,"&lt;&gt;Off-street")&gt;0,1,0)</f>
        <v>0</v>
      </c>
      <c r="G595">
        <f>IF(COUNTIFS('United Data'!$A$3:$A$3390,G$1,'United Data'!$C$3:$C$3390,$A595,'United Data'!$B$3:$B$3390,"&lt;&gt;Off-street")&gt;0,1,0)</f>
        <v>0</v>
      </c>
      <c r="H595">
        <f>IF(COUNTIFS('United Data'!$A$3:$A$3390,H$1,'United Data'!$C$3:$C$3390,$A595,'United Data'!$B$3:$B$3390,"&lt;&gt;Off-street")&gt;0,1,0)</f>
        <v>0</v>
      </c>
      <c r="I595">
        <f>IF(COUNTIFS('United Data'!$A$3:$A$3390,I$1,'United Data'!$C$3:$C$3390,$A595,'United Data'!$B$3:$B$3390,"&lt;&gt;Off-street")&gt;0,1,0)</f>
        <v>0</v>
      </c>
      <c r="J595">
        <f>IF(COUNTIFS('United Data'!$A$3:$A$3390,J$1,'United Data'!$C$3:$C$3390,$A595,'United Data'!$B$3:$B$3390,"&lt;&gt;Off-street")&gt;0,1,0)</f>
        <v>0</v>
      </c>
      <c r="K595">
        <f>IF(COUNTIFS('United Data'!$A$3:$A$3390,K$1,'United Data'!$C$3:$C$3390,$A595,'United Data'!$B$3:$B$3390,"&lt;&gt;Off-street")&gt;0,1,0)</f>
        <v>0</v>
      </c>
      <c r="L595">
        <f>IF(COUNTIFS('United Data'!$A$3:$A$3390,L$1,'United Data'!$C$3:$C$3390,$A595,'United Data'!$B$3:$B$3390,"&lt;&gt;Off-street")&gt;0,1,0)</f>
        <v>0</v>
      </c>
      <c r="M595">
        <f>IF(COUNTIFS('United Data'!$A$3:$A$3390,M$1,'United Data'!$C$3:$C$3390,$A595,'United Data'!$B$3:$B$3390,"&lt;&gt;Off-street")&gt;0,1,0)</f>
        <v>0</v>
      </c>
      <c r="N595">
        <f>IF(COUNTIFS('United Data'!$A$3:$A$3390,N$1,'United Data'!$C$3:$C$3390,$A595,'United Data'!$B$3:$B$3390,"&lt;&gt;Off-street")&gt;0,1,0)</f>
        <v>0</v>
      </c>
      <c r="O595">
        <f>IF(COUNTIFS('United Data'!$A$3:$A$3390,O$1,'United Data'!$C$3:$C$3390,$A595,'United Data'!$B$3:$B$3390,"&lt;&gt;Off-street")&gt;0,1,0)</f>
        <v>0</v>
      </c>
      <c r="P595">
        <f>IF(COUNTIFS('United Data'!$A$3:$A$3390,P$1,'United Data'!$C$3:$C$3390,$A595,'United Data'!$B$3:$B$3390,"&lt;&gt;Off-street")&gt;0,1,0)</f>
        <v>0</v>
      </c>
      <c r="Q595">
        <f>IF(COUNTIFS('United Data'!$A$3:$A$3390,Q$1,'United Data'!$C$3:$C$3390,$A595,'United Data'!$B$3:$B$3390,"&lt;&gt;Off-street")&gt;0,1,0)</f>
        <v>1</v>
      </c>
      <c r="R595">
        <f>IF(COUNTIFS('United Data'!$A$3:$A$3390,R$1,'United Data'!$C$3:$C$3390,$A595,'United Data'!$B$3:$B$3390,"&lt;&gt;Off-street")&gt;0,1,0)</f>
        <v>0</v>
      </c>
      <c r="S595">
        <f t="shared" si="18"/>
        <v>1</v>
      </c>
      <c r="T595">
        <f t="shared" si="19"/>
        <v>1</v>
      </c>
    </row>
    <row r="596" spans="1:20" x14ac:dyDescent="0.2">
      <c r="A596" t="s">
        <v>714</v>
      </c>
      <c r="B596">
        <f>IF(COUNTIFS('United Data'!$A$3:$A$3390,B$1,'United Data'!$C$3:$C$3390,$A596,'United Data'!$B$3:$B$3390,"&lt;&gt;Off-street")&gt;0,1,0)</f>
        <v>0</v>
      </c>
      <c r="C596">
        <f>IF(COUNTIFS('United Data'!$A$3:$A$3390,C$1,'United Data'!$C$3:$C$3390,$A596,'United Data'!$B$3:$B$3390,"&lt;&gt;Off-street")&gt;0,1,0)</f>
        <v>0</v>
      </c>
      <c r="D596">
        <f>IF(COUNTIFS('United Data'!$A$3:$A$3390,D$1,'United Data'!$C$3:$C$3390,$A596,'United Data'!$B$3:$B$3390,"&lt;&gt;Off-street")&gt;0,1,0)</f>
        <v>0</v>
      </c>
      <c r="E596">
        <f>IF(COUNTIFS('United Data'!$A$3:$A$3390,E$1,'United Data'!$C$3:$C$3390,$A596,'United Data'!$B$3:$B$3390,"&lt;&gt;Off-street")&gt;0,1,0)</f>
        <v>0</v>
      </c>
      <c r="F596">
        <f>IF(COUNTIFS('United Data'!$A$3:$A$3390,F$1,'United Data'!$C$3:$C$3390,$A596,'United Data'!$B$3:$B$3390,"&lt;&gt;Off-street")&gt;0,1,0)</f>
        <v>0</v>
      </c>
      <c r="G596">
        <f>IF(COUNTIFS('United Data'!$A$3:$A$3390,G$1,'United Data'!$C$3:$C$3390,$A596,'United Data'!$B$3:$B$3390,"&lt;&gt;Off-street")&gt;0,1,0)</f>
        <v>0</v>
      </c>
      <c r="H596">
        <f>IF(COUNTIFS('United Data'!$A$3:$A$3390,H$1,'United Data'!$C$3:$C$3390,$A596,'United Data'!$B$3:$B$3390,"&lt;&gt;Off-street")&gt;0,1,0)</f>
        <v>0</v>
      </c>
      <c r="I596">
        <f>IF(COUNTIFS('United Data'!$A$3:$A$3390,I$1,'United Data'!$C$3:$C$3390,$A596,'United Data'!$B$3:$B$3390,"&lt;&gt;Off-street")&gt;0,1,0)</f>
        <v>0</v>
      </c>
      <c r="J596">
        <f>IF(COUNTIFS('United Data'!$A$3:$A$3390,J$1,'United Data'!$C$3:$C$3390,$A596,'United Data'!$B$3:$B$3390,"&lt;&gt;Off-street")&gt;0,1,0)</f>
        <v>0</v>
      </c>
      <c r="K596">
        <f>IF(COUNTIFS('United Data'!$A$3:$A$3390,K$1,'United Data'!$C$3:$C$3390,$A596,'United Data'!$B$3:$B$3390,"&lt;&gt;Off-street")&gt;0,1,0)</f>
        <v>0</v>
      </c>
      <c r="L596">
        <f>IF(COUNTIFS('United Data'!$A$3:$A$3390,L$1,'United Data'!$C$3:$C$3390,$A596,'United Data'!$B$3:$B$3390,"&lt;&gt;Off-street")&gt;0,1,0)</f>
        <v>0</v>
      </c>
      <c r="M596">
        <f>IF(COUNTIFS('United Data'!$A$3:$A$3390,M$1,'United Data'!$C$3:$C$3390,$A596,'United Data'!$B$3:$B$3390,"&lt;&gt;Off-street")&gt;0,1,0)</f>
        <v>0</v>
      </c>
      <c r="N596">
        <f>IF(COUNTIFS('United Data'!$A$3:$A$3390,N$1,'United Data'!$C$3:$C$3390,$A596,'United Data'!$B$3:$B$3390,"&lt;&gt;Off-street")&gt;0,1,0)</f>
        <v>0</v>
      </c>
      <c r="O596">
        <f>IF(COUNTIFS('United Data'!$A$3:$A$3390,O$1,'United Data'!$C$3:$C$3390,$A596,'United Data'!$B$3:$B$3390,"&lt;&gt;Off-street")&gt;0,1,0)</f>
        <v>0</v>
      </c>
      <c r="P596">
        <f>IF(COUNTIFS('United Data'!$A$3:$A$3390,P$1,'United Data'!$C$3:$C$3390,$A596,'United Data'!$B$3:$B$3390,"&lt;&gt;Off-street")&gt;0,1,0)</f>
        <v>0</v>
      </c>
      <c r="Q596">
        <f>IF(COUNTIFS('United Data'!$A$3:$A$3390,Q$1,'United Data'!$C$3:$C$3390,$A596,'United Data'!$B$3:$B$3390,"&lt;&gt;Off-street")&gt;0,1,0)</f>
        <v>1</v>
      </c>
      <c r="R596">
        <f>IF(COUNTIFS('United Data'!$A$3:$A$3390,R$1,'United Data'!$C$3:$C$3390,$A596,'United Data'!$B$3:$B$3390,"&lt;&gt;Off-street")&gt;0,1,0)</f>
        <v>0</v>
      </c>
      <c r="S596">
        <f t="shared" si="18"/>
        <v>1</v>
      </c>
      <c r="T596">
        <f t="shared" si="19"/>
        <v>1</v>
      </c>
    </row>
    <row r="597" spans="1:20" x14ac:dyDescent="0.2">
      <c r="A597" t="s">
        <v>715</v>
      </c>
      <c r="B597">
        <f>IF(COUNTIFS('United Data'!$A$3:$A$3390,B$1,'United Data'!$C$3:$C$3390,$A597,'United Data'!$B$3:$B$3390,"&lt;&gt;Off-street")&gt;0,1,0)</f>
        <v>0</v>
      </c>
      <c r="C597">
        <f>IF(COUNTIFS('United Data'!$A$3:$A$3390,C$1,'United Data'!$C$3:$C$3390,$A597,'United Data'!$B$3:$B$3390,"&lt;&gt;Off-street")&gt;0,1,0)</f>
        <v>0</v>
      </c>
      <c r="D597">
        <f>IF(COUNTIFS('United Data'!$A$3:$A$3390,D$1,'United Data'!$C$3:$C$3390,$A597,'United Data'!$B$3:$B$3390,"&lt;&gt;Off-street")&gt;0,1,0)</f>
        <v>0</v>
      </c>
      <c r="E597">
        <f>IF(COUNTIFS('United Data'!$A$3:$A$3390,E$1,'United Data'!$C$3:$C$3390,$A597,'United Data'!$B$3:$B$3390,"&lt;&gt;Off-street")&gt;0,1,0)</f>
        <v>0</v>
      </c>
      <c r="F597">
        <f>IF(COUNTIFS('United Data'!$A$3:$A$3390,F$1,'United Data'!$C$3:$C$3390,$A597,'United Data'!$B$3:$B$3390,"&lt;&gt;Off-street")&gt;0,1,0)</f>
        <v>0</v>
      </c>
      <c r="G597">
        <f>IF(COUNTIFS('United Data'!$A$3:$A$3390,G$1,'United Data'!$C$3:$C$3390,$A597,'United Data'!$B$3:$B$3390,"&lt;&gt;Off-street")&gt;0,1,0)</f>
        <v>0</v>
      </c>
      <c r="H597">
        <f>IF(COUNTIFS('United Data'!$A$3:$A$3390,H$1,'United Data'!$C$3:$C$3390,$A597,'United Data'!$B$3:$B$3390,"&lt;&gt;Off-street")&gt;0,1,0)</f>
        <v>0</v>
      </c>
      <c r="I597">
        <f>IF(COUNTIFS('United Data'!$A$3:$A$3390,I$1,'United Data'!$C$3:$C$3390,$A597,'United Data'!$B$3:$B$3390,"&lt;&gt;Off-street")&gt;0,1,0)</f>
        <v>0</v>
      </c>
      <c r="J597">
        <f>IF(COUNTIFS('United Data'!$A$3:$A$3390,J$1,'United Data'!$C$3:$C$3390,$A597,'United Data'!$B$3:$B$3390,"&lt;&gt;Off-street")&gt;0,1,0)</f>
        <v>0</v>
      </c>
      <c r="K597">
        <f>IF(COUNTIFS('United Data'!$A$3:$A$3390,K$1,'United Data'!$C$3:$C$3390,$A597,'United Data'!$B$3:$B$3390,"&lt;&gt;Off-street")&gt;0,1,0)</f>
        <v>0</v>
      </c>
      <c r="L597">
        <f>IF(COUNTIFS('United Data'!$A$3:$A$3390,L$1,'United Data'!$C$3:$C$3390,$A597,'United Data'!$B$3:$B$3390,"&lt;&gt;Off-street")&gt;0,1,0)</f>
        <v>0</v>
      </c>
      <c r="M597">
        <f>IF(COUNTIFS('United Data'!$A$3:$A$3390,M$1,'United Data'!$C$3:$C$3390,$A597,'United Data'!$B$3:$B$3390,"&lt;&gt;Off-street")&gt;0,1,0)</f>
        <v>0</v>
      </c>
      <c r="N597">
        <f>IF(COUNTIFS('United Data'!$A$3:$A$3390,N$1,'United Data'!$C$3:$C$3390,$A597,'United Data'!$B$3:$B$3390,"&lt;&gt;Off-street")&gt;0,1,0)</f>
        <v>0</v>
      </c>
      <c r="O597">
        <f>IF(COUNTIFS('United Data'!$A$3:$A$3390,O$1,'United Data'!$C$3:$C$3390,$A597,'United Data'!$B$3:$B$3390,"&lt;&gt;Off-street")&gt;0,1,0)</f>
        <v>0</v>
      </c>
      <c r="P597">
        <f>IF(COUNTIFS('United Data'!$A$3:$A$3390,P$1,'United Data'!$C$3:$C$3390,$A597,'United Data'!$B$3:$B$3390,"&lt;&gt;Off-street")&gt;0,1,0)</f>
        <v>0</v>
      </c>
      <c r="Q597">
        <f>IF(COUNTIFS('United Data'!$A$3:$A$3390,Q$1,'United Data'!$C$3:$C$3390,$A597,'United Data'!$B$3:$B$3390,"&lt;&gt;Off-street")&gt;0,1,0)</f>
        <v>1</v>
      </c>
      <c r="R597">
        <f>IF(COUNTIFS('United Data'!$A$3:$A$3390,R$1,'United Data'!$C$3:$C$3390,$A597,'United Data'!$B$3:$B$3390,"&lt;&gt;Off-street")&gt;0,1,0)</f>
        <v>0</v>
      </c>
      <c r="S597">
        <f t="shared" si="18"/>
        <v>1</v>
      </c>
      <c r="T597">
        <f t="shared" si="19"/>
        <v>1</v>
      </c>
    </row>
    <row r="598" spans="1:20" x14ac:dyDescent="0.2">
      <c r="A598" t="s">
        <v>716</v>
      </c>
      <c r="B598">
        <f>IF(COUNTIFS('United Data'!$A$3:$A$3390,B$1,'United Data'!$C$3:$C$3390,$A598,'United Data'!$B$3:$B$3390,"&lt;&gt;Off-street")&gt;0,1,0)</f>
        <v>0</v>
      </c>
      <c r="C598">
        <f>IF(COUNTIFS('United Data'!$A$3:$A$3390,C$1,'United Data'!$C$3:$C$3390,$A598,'United Data'!$B$3:$B$3390,"&lt;&gt;Off-street")&gt;0,1,0)</f>
        <v>0</v>
      </c>
      <c r="D598">
        <f>IF(COUNTIFS('United Data'!$A$3:$A$3390,D$1,'United Data'!$C$3:$C$3390,$A598,'United Data'!$B$3:$B$3390,"&lt;&gt;Off-street")&gt;0,1,0)</f>
        <v>0</v>
      </c>
      <c r="E598">
        <f>IF(COUNTIFS('United Data'!$A$3:$A$3390,E$1,'United Data'!$C$3:$C$3390,$A598,'United Data'!$B$3:$B$3390,"&lt;&gt;Off-street")&gt;0,1,0)</f>
        <v>0</v>
      </c>
      <c r="F598">
        <f>IF(COUNTIFS('United Data'!$A$3:$A$3390,F$1,'United Data'!$C$3:$C$3390,$A598,'United Data'!$B$3:$B$3390,"&lt;&gt;Off-street")&gt;0,1,0)</f>
        <v>0</v>
      </c>
      <c r="G598">
        <f>IF(COUNTIFS('United Data'!$A$3:$A$3390,G$1,'United Data'!$C$3:$C$3390,$A598,'United Data'!$B$3:$B$3390,"&lt;&gt;Off-street")&gt;0,1,0)</f>
        <v>0</v>
      </c>
      <c r="H598">
        <f>IF(COUNTIFS('United Data'!$A$3:$A$3390,H$1,'United Data'!$C$3:$C$3390,$A598,'United Data'!$B$3:$B$3390,"&lt;&gt;Off-street")&gt;0,1,0)</f>
        <v>0</v>
      </c>
      <c r="I598">
        <f>IF(COUNTIFS('United Data'!$A$3:$A$3390,I$1,'United Data'!$C$3:$C$3390,$A598,'United Data'!$B$3:$B$3390,"&lt;&gt;Off-street")&gt;0,1,0)</f>
        <v>0</v>
      </c>
      <c r="J598">
        <f>IF(COUNTIFS('United Data'!$A$3:$A$3390,J$1,'United Data'!$C$3:$C$3390,$A598,'United Data'!$B$3:$B$3390,"&lt;&gt;Off-street")&gt;0,1,0)</f>
        <v>0</v>
      </c>
      <c r="K598">
        <f>IF(COUNTIFS('United Data'!$A$3:$A$3390,K$1,'United Data'!$C$3:$C$3390,$A598,'United Data'!$B$3:$B$3390,"&lt;&gt;Off-street")&gt;0,1,0)</f>
        <v>0</v>
      </c>
      <c r="L598">
        <f>IF(COUNTIFS('United Data'!$A$3:$A$3390,L$1,'United Data'!$C$3:$C$3390,$A598,'United Data'!$B$3:$B$3390,"&lt;&gt;Off-street")&gt;0,1,0)</f>
        <v>0</v>
      </c>
      <c r="M598">
        <f>IF(COUNTIFS('United Data'!$A$3:$A$3390,M$1,'United Data'!$C$3:$C$3390,$A598,'United Data'!$B$3:$B$3390,"&lt;&gt;Off-street")&gt;0,1,0)</f>
        <v>0</v>
      </c>
      <c r="N598">
        <f>IF(COUNTIFS('United Data'!$A$3:$A$3390,N$1,'United Data'!$C$3:$C$3390,$A598,'United Data'!$B$3:$B$3390,"&lt;&gt;Off-street")&gt;0,1,0)</f>
        <v>0</v>
      </c>
      <c r="O598">
        <f>IF(COUNTIFS('United Data'!$A$3:$A$3390,O$1,'United Data'!$C$3:$C$3390,$A598,'United Data'!$B$3:$B$3390,"&lt;&gt;Off-street")&gt;0,1,0)</f>
        <v>0</v>
      </c>
      <c r="P598">
        <f>IF(COUNTIFS('United Data'!$A$3:$A$3390,P$1,'United Data'!$C$3:$C$3390,$A598,'United Data'!$B$3:$B$3390,"&lt;&gt;Off-street")&gt;0,1,0)</f>
        <v>0</v>
      </c>
      <c r="Q598">
        <f>IF(COUNTIFS('United Data'!$A$3:$A$3390,Q$1,'United Data'!$C$3:$C$3390,$A598,'United Data'!$B$3:$B$3390,"&lt;&gt;Off-street")&gt;0,1,0)</f>
        <v>1</v>
      </c>
      <c r="R598">
        <f>IF(COUNTIFS('United Data'!$A$3:$A$3390,R$1,'United Data'!$C$3:$C$3390,$A598,'United Data'!$B$3:$B$3390,"&lt;&gt;Off-street")&gt;0,1,0)</f>
        <v>0</v>
      </c>
      <c r="S598">
        <f t="shared" si="18"/>
        <v>1</v>
      </c>
      <c r="T598">
        <f t="shared" si="19"/>
        <v>1</v>
      </c>
    </row>
    <row r="599" spans="1:20" x14ac:dyDescent="0.2">
      <c r="A599" t="s">
        <v>717</v>
      </c>
      <c r="B599">
        <f>IF(COUNTIFS('United Data'!$A$3:$A$3390,B$1,'United Data'!$C$3:$C$3390,$A599,'United Data'!$B$3:$B$3390,"&lt;&gt;Off-street")&gt;0,1,0)</f>
        <v>0</v>
      </c>
      <c r="C599">
        <f>IF(COUNTIFS('United Data'!$A$3:$A$3390,C$1,'United Data'!$C$3:$C$3390,$A599,'United Data'!$B$3:$B$3390,"&lt;&gt;Off-street")&gt;0,1,0)</f>
        <v>0</v>
      </c>
      <c r="D599">
        <f>IF(COUNTIFS('United Data'!$A$3:$A$3390,D$1,'United Data'!$C$3:$C$3390,$A599,'United Data'!$B$3:$B$3390,"&lt;&gt;Off-street")&gt;0,1,0)</f>
        <v>0</v>
      </c>
      <c r="E599">
        <f>IF(COUNTIFS('United Data'!$A$3:$A$3390,E$1,'United Data'!$C$3:$C$3390,$A599,'United Data'!$B$3:$B$3390,"&lt;&gt;Off-street")&gt;0,1,0)</f>
        <v>0</v>
      </c>
      <c r="F599">
        <f>IF(COUNTIFS('United Data'!$A$3:$A$3390,F$1,'United Data'!$C$3:$C$3390,$A599,'United Data'!$B$3:$B$3390,"&lt;&gt;Off-street")&gt;0,1,0)</f>
        <v>0</v>
      </c>
      <c r="G599">
        <f>IF(COUNTIFS('United Data'!$A$3:$A$3390,G$1,'United Data'!$C$3:$C$3390,$A599,'United Data'!$B$3:$B$3390,"&lt;&gt;Off-street")&gt;0,1,0)</f>
        <v>0</v>
      </c>
      <c r="H599">
        <f>IF(COUNTIFS('United Data'!$A$3:$A$3390,H$1,'United Data'!$C$3:$C$3390,$A599,'United Data'!$B$3:$B$3390,"&lt;&gt;Off-street")&gt;0,1,0)</f>
        <v>0</v>
      </c>
      <c r="I599">
        <f>IF(COUNTIFS('United Data'!$A$3:$A$3390,I$1,'United Data'!$C$3:$C$3390,$A599,'United Data'!$B$3:$B$3390,"&lt;&gt;Off-street")&gt;0,1,0)</f>
        <v>0</v>
      </c>
      <c r="J599">
        <f>IF(COUNTIFS('United Data'!$A$3:$A$3390,J$1,'United Data'!$C$3:$C$3390,$A599,'United Data'!$B$3:$B$3390,"&lt;&gt;Off-street")&gt;0,1,0)</f>
        <v>0</v>
      </c>
      <c r="K599">
        <f>IF(COUNTIFS('United Data'!$A$3:$A$3390,K$1,'United Data'!$C$3:$C$3390,$A599,'United Data'!$B$3:$B$3390,"&lt;&gt;Off-street")&gt;0,1,0)</f>
        <v>0</v>
      </c>
      <c r="L599">
        <f>IF(COUNTIFS('United Data'!$A$3:$A$3390,L$1,'United Data'!$C$3:$C$3390,$A599,'United Data'!$B$3:$B$3390,"&lt;&gt;Off-street")&gt;0,1,0)</f>
        <v>0</v>
      </c>
      <c r="M599">
        <f>IF(COUNTIFS('United Data'!$A$3:$A$3390,M$1,'United Data'!$C$3:$C$3390,$A599,'United Data'!$B$3:$B$3390,"&lt;&gt;Off-street")&gt;0,1,0)</f>
        <v>0</v>
      </c>
      <c r="N599">
        <f>IF(COUNTIFS('United Data'!$A$3:$A$3390,N$1,'United Data'!$C$3:$C$3390,$A599,'United Data'!$B$3:$B$3390,"&lt;&gt;Off-street")&gt;0,1,0)</f>
        <v>0</v>
      </c>
      <c r="O599">
        <f>IF(COUNTIFS('United Data'!$A$3:$A$3390,O$1,'United Data'!$C$3:$C$3390,$A599,'United Data'!$B$3:$B$3390,"&lt;&gt;Off-street")&gt;0,1,0)</f>
        <v>0</v>
      </c>
      <c r="P599">
        <f>IF(COUNTIFS('United Data'!$A$3:$A$3390,P$1,'United Data'!$C$3:$C$3390,$A599,'United Data'!$B$3:$B$3390,"&lt;&gt;Off-street")&gt;0,1,0)</f>
        <v>0</v>
      </c>
      <c r="Q599">
        <f>IF(COUNTIFS('United Data'!$A$3:$A$3390,Q$1,'United Data'!$C$3:$C$3390,$A599,'United Data'!$B$3:$B$3390,"&lt;&gt;Off-street")&gt;0,1,0)</f>
        <v>1</v>
      </c>
      <c r="R599">
        <f>IF(COUNTIFS('United Data'!$A$3:$A$3390,R$1,'United Data'!$C$3:$C$3390,$A599,'United Data'!$B$3:$B$3390,"&lt;&gt;Off-street")&gt;0,1,0)</f>
        <v>0</v>
      </c>
      <c r="S599">
        <f t="shared" si="18"/>
        <v>1</v>
      </c>
      <c r="T599">
        <f t="shared" si="19"/>
        <v>1</v>
      </c>
    </row>
    <row r="600" spans="1:20" x14ac:dyDescent="0.2">
      <c r="A600" t="s">
        <v>718</v>
      </c>
      <c r="B600">
        <f>IF(COUNTIFS('United Data'!$A$3:$A$3390,B$1,'United Data'!$C$3:$C$3390,$A600,'United Data'!$B$3:$B$3390,"&lt;&gt;Off-street")&gt;0,1,0)</f>
        <v>0</v>
      </c>
      <c r="C600">
        <f>IF(COUNTIFS('United Data'!$A$3:$A$3390,C$1,'United Data'!$C$3:$C$3390,$A600,'United Data'!$B$3:$B$3390,"&lt;&gt;Off-street")&gt;0,1,0)</f>
        <v>0</v>
      </c>
      <c r="D600">
        <f>IF(COUNTIFS('United Data'!$A$3:$A$3390,D$1,'United Data'!$C$3:$C$3390,$A600,'United Data'!$B$3:$B$3390,"&lt;&gt;Off-street")&gt;0,1,0)</f>
        <v>0</v>
      </c>
      <c r="E600">
        <f>IF(COUNTIFS('United Data'!$A$3:$A$3390,E$1,'United Data'!$C$3:$C$3390,$A600,'United Data'!$B$3:$B$3390,"&lt;&gt;Off-street")&gt;0,1,0)</f>
        <v>0</v>
      </c>
      <c r="F600">
        <f>IF(COUNTIFS('United Data'!$A$3:$A$3390,F$1,'United Data'!$C$3:$C$3390,$A600,'United Data'!$B$3:$B$3390,"&lt;&gt;Off-street")&gt;0,1,0)</f>
        <v>0</v>
      </c>
      <c r="G600">
        <f>IF(COUNTIFS('United Data'!$A$3:$A$3390,G$1,'United Data'!$C$3:$C$3390,$A600,'United Data'!$B$3:$B$3390,"&lt;&gt;Off-street")&gt;0,1,0)</f>
        <v>0</v>
      </c>
      <c r="H600">
        <f>IF(COUNTIFS('United Data'!$A$3:$A$3390,H$1,'United Data'!$C$3:$C$3390,$A600,'United Data'!$B$3:$B$3390,"&lt;&gt;Off-street")&gt;0,1,0)</f>
        <v>0</v>
      </c>
      <c r="I600">
        <f>IF(COUNTIFS('United Data'!$A$3:$A$3390,I$1,'United Data'!$C$3:$C$3390,$A600,'United Data'!$B$3:$B$3390,"&lt;&gt;Off-street")&gt;0,1,0)</f>
        <v>0</v>
      </c>
      <c r="J600">
        <f>IF(COUNTIFS('United Data'!$A$3:$A$3390,J$1,'United Data'!$C$3:$C$3390,$A600,'United Data'!$B$3:$B$3390,"&lt;&gt;Off-street")&gt;0,1,0)</f>
        <v>0</v>
      </c>
      <c r="K600">
        <f>IF(COUNTIFS('United Data'!$A$3:$A$3390,K$1,'United Data'!$C$3:$C$3390,$A600,'United Data'!$B$3:$B$3390,"&lt;&gt;Off-street")&gt;0,1,0)</f>
        <v>0</v>
      </c>
      <c r="L600">
        <f>IF(COUNTIFS('United Data'!$A$3:$A$3390,L$1,'United Data'!$C$3:$C$3390,$A600,'United Data'!$B$3:$B$3390,"&lt;&gt;Off-street")&gt;0,1,0)</f>
        <v>0</v>
      </c>
      <c r="M600">
        <f>IF(COUNTIFS('United Data'!$A$3:$A$3390,M$1,'United Data'!$C$3:$C$3390,$A600,'United Data'!$B$3:$B$3390,"&lt;&gt;Off-street")&gt;0,1,0)</f>
        <v>0</v>
      </c>
      <c r="N600">
        <f>IF(COUNTIFS('United Data'!$A$3:$A$3390,N$1,'United Data'!$C$3:$C$3390,$A600,'United Data'!$B$3:$B$3390,"&lt;&gt;Off-street")&gt;0,1,0)</f>
        <v>0</v>
      </c>
      <c r="O600">
        <f>IF(COUNTIFS('United Data'!$A$3:$A$3390,O$1,'United Data'!$C$3:$C$3390,$A600,'United Data'!$B$3:$B$3390,"&lt;&gt;Off-street")&gt;0,1,0)</f>
        <v>0</v>
      </c>
      <c r="P600">
        <f>IF(COUNTIFS('United Data'!$A$3:$A$3390,P$1,'United Data'!$C$3:$C$3390,$A600,'United Data'!$B$3:$B$3390,"&lt;&gt;Off-street")&gt;0,1,0)</f>
        <v>0</v>
      </c>
      <c r="Q600">
        <f>IF(COUNTIFS('United Data'!$A$3:$A$3390,Q$1,'United Data'!$C$3:$C$3390,$A600,'United Data'!$B$3:$B$3390,"&lt;&gt;Off-street")&gt;0,1,0)</f>
        <v>1</v>
      </c>
      <c r="R600">
        <f>IF(COUNTIFS('United Data'!$A$3:$A$3390,R$1,'United Data'!$C$3:$C$3390,$A600,'United Data'!$B$3:$B$3390,"&lt;&gt;Off-street")&gt;0,1,0)</f>
        <v>0</v>
      </c>
      <c r="S600">
        <f t="shared" si="18"/>
        <v>1</v>
      </c>
      <c r="T600">
        <f t="shared" si="19"/>
        <v>1</v>
      </c>
    </row>
    <row r="601" spans="1:20" x14ac:dyDescent="0.2">
      <c r="A601" t="s">
        <v>719</v>
      </c>
      <c r="B601">
        <f>IF(COUNTIFS('United Data'!$A$3:$A$3390,B$1,'United Data'!$C$3:$C$3390,$A601,'United Data'!$B$3:$B$3390,"&lt;&gt;Off-street")&gt;0,1,0)</f>
        <v>0</v>
      </c>
      <c r="C601">
        <f>IF(COUNTIFS('United Data'!$A$3:$A$3390,C$1,'United Data'!$C$3:$C$3390,$A601,'United Data'!$B$3:$B$3390,"&lt;&gt;Off-street")&gt;0,1,0)</f>
        <v>0</v>
      </c>
      <c r="D601">
        <f>IF(COUNTIFS('United Data'!$A$3:$A$3390,D$1,'United Data'!$C$3:$C$3390,$A601,'United Data'!$B$3:$B$3390,"&lt;&gt;Off-street")&gt;0,1,0)</f>
        <v>0</v>
      </c>
      <c r="E601">
        <f>IF(COUNTIFS('United Data'!$A$3:$A$3390,E$1,'United Data'!$C$3:$C$3390,$A601,'United Data'!$B$3:$B$3390,"&lt;&gt;Off-street")&gt;0,1,0)</f>
        <v>0</v>
      </c>
      <c r="F601">
        <f>IF(COUNTIFS('United Data'!$A$3:$A$3390,F$1,'United Data'!$C$3:$C$3390,$A601,'United Data'!$B$3:$B$3390,"&lt;&gt;Off-street")&gt;0,1,0)</f>
        <v>0</v>
      </c>
      <c r="G601">
        <f>IF(COUNTIFS('United Data'!$A$3:$A$3390,G$1,'United Data'!$C$3:$C$3390,$A601,'United Data'!$B$3:$B$3390,"&lt;&gt;Off-street")&gt;0,1,0)</f>
        <v>0</v>
      </c>
      <c r="H601">
        <f>IF(COUNTIFS('United Data'!$A$3:$A$3390,H$1,'United Data'!$C$3:$C$3390,$A601,'United Data'!$B$3:$B$3390,"&lt;&gt;Off-street")&gt;0,1,0)</f>
        <v>0</v>
      </c>
      <c r="I601">
        <f>IF(COUNTIFS('United Data'!$A$3:$A$3390,I$1,'United Data'!$C$3:$C$3390,$A601,'United Data'!$B$3:$B$3390,"&lt;&gt;Off-street")&gt;0,1,0)</f>
        <v>0</v>
      </c>
      <c r="J601">
        <f>IF(COUNTIFS('United Data'!$A$3:$A$3390,J$1,'United Data'!$C$3:$C$3390,$A601,'United Data'!$B$3:$B$3390,"&lt;&gt;Off-street")&gt;0,1,0)</f>
        <v>0</v>
      </c>
      <c r="K601">
        <f>IF(COUNTIFS('United Data'!$A$3:$A$3390,K$1,'United Data'!$C$3:$C$3390,$A601,'United Data'!$B$3:$B$3390,"&lt;&gt;Off-street")&gt;0,1,0)</f>
        <v>0</v>
      </c>
      <c r="L601">
        <f>IF(COUNTIFS('United Data'!$A$3:$A$3390,L$1,'United Data'!$C$3:$C$3390,$A601,'United Data'!$B$3:$B$3390,"&lt;&gt;Off-street")&gt;0,1,0)</f>
        <v>0</v>
      </c>
      <c r="M601">
        <f>IF(COUNTIFS('United Data'!$A$3:$A$3390,M$1,'United Data'!$C$3:$C$3390,$A601,'United Data'!$B$3:$B$3390,"&lt;&gt;Off-street")&gt;0,1,0)</f>
        <v>0</v>
      </c>
      <c r="N601">
        <f>IF(COUNTIFS('United Data'!$A$3:$A$3390,N$1,'United Data'!$C$3:$C$3390,$A601,'United Data'!$B$3:$B$3390,"&lt;&gt;Off-street")&gt;0,1,0)</f>
        <v>0</v>
      </c>
      <c r="O601">
        <f>IF(COUNTIFS('United Data'!$A$3:$A$3390,O$1,'United Data'!$C$3:$C$3390,$A601,'United Data'!$B$3:$B$3390,"&lt;&gt;Off-street")&gt;0,1,0)</f>
        <v>0</v>
      </c>
      <c r="P601">
        <f>IF(COUNTIFS('United Data'!$A$3:$A$3390,P$1,'United Data'!$C$3:$C$3390,$A601,'United Data'!$B$3:$B$3390,"&lt;&gt;Off-street")&gt;0,1,0)</f>
        <v>0</v>
      </c>
      <c r="Q601">
        <f>IF(COUNTIFS('United Data'!$A$3:$A$3390,Q$1,'United Data'!$C$3:$C$3390,$A601,'United Data'!$B$3:$B$3390,"&lt;&gt;Off-street")&gt;0,1,0)</f>
        <v>1</v>
      </c>
      <c r="R601">
        <f>IF(COUNTIFS('United Data'!$A$3:$A$3390,R$1,'United Data'!$C$3:$C$3390,$A601,'United Data'!$B$3:$B$3390,"&lt;&gt;Off-street")&gt;0,1,0)</f>
        <v>0</v>
      </c>
      <c r="S601">
        <f t="shared" si="18"/>
        <v>1</v>
      </c>
      <c r="T601">
        <f t="shared" si="19"/>
        <v>1</v>
      </c>
    </row>
    <row r="602" spans="1:20" x14ac:dyDescent="0.2">
      <c r="A602" t="s">
        <v>720</v>
      </c>
      <c r="B602">
        <f>IF(COUNTIFS('United Data'!$A$3:$A$3390,B$1,'United Data'!$C$3:$C$3390,$A602,'United Data'!$B$3:$B$3390,"&lt;&gt;Off-street")&gt;0,1,0)</f>
        <v>0</v>
      </c>
      <c r="C602">
        <f>IF(COUNTIFS('United Data'!$A$3:$A$3390,C$1,'United Data'!$C$3:$C$3390,$A602,'United Data'!$B$3:$B$3390,"&lt;&gt;Off-street")&gt;0,1,0)</f>
        <v>0</v>
      </c>
      <c r="D602">
        <f>IF(COUNTIFS('United Data'!$A$3:$A$3390,D$1,'United Data'!$C$3:$C$3390,$A602,'United Data'!$B$3:$B$3390,"&lt;&gt;Off-street")&gt;0,1,0)</f>
        <v>0</v>
      </c>
      <c r="E602">
        <f>IF(COUNTIFS('United Data'!$A$3:$A$3390,E$1,'United Data'!$C$3:$C$3390,$A602,'United Data'!$B$3:$B$3390,"&lt;&gt;Off-street")&gt;0,1,0)</f>
        <v>0</v>
      </c>
      <c r="F602">
        <f>IF(COUNTIFS('United Data'!$A$3:$A$3390,F$1,'United Data'!$C$3:$C$3390,$A602,'United Data'!$B$3:$B$3390,"&lt;&gt;Off-street")&gt;0,1,0)</f>
        <v>0</v>
      </c>
      <c r="G602">
        <f>IF(COUNTIFS('United Data'!$A$3:$A$3390,G$1,'United Data'!$C$3:$C$3390,$A602,'United Data'!$B$3:$B$3390,"&lt;&gt;Off-street")&gt;0,1,0)</f>
        <v>0</v>
      </c>
      <c r="H602">
        <f>IF(COUNTIFS('United Data'!$A$3:$A$3390,H$1,'United Data'!$C$3:$C$3390,$A602,'United Data'!$B$3:$B$3390,"&lt;&gt;Off-street")&gt;0,1,0)</f>
        <v>0</v>
      </c>
      <c r="I602">
        <f>IF(COUNTIFS('United Data'!$A$3:$A$3390,I$1,'United Data'!$C$3:$C$3390,$A602,'United Data'!$B$3:$B$3390,"&lt;&gt;Off-street")&gt;0,1,0)</f>
        <v>0</v>
      </c>
      <c r="J602">
        <f>IF(COUNTIFS('United Data'!$A$3:$A$3390,J$1,'United Data'!$C$3:$C$3390,$A602,'United Data'!$B$3:$B$3390,"&lt;&gt;Off-street")&gt;0,1,0)</f>
        <v>0</v>
      </c>
      <c r="K602">
        <f>IF(COUNTIFS('United Data'!$A$3:$A$3390,K$1,'United Data'!$C$3:$C$3390,$A602,'United Data'!$B$3:$B$3390,"&lt;&gt;Off-street")&gt;0,1,0)</f>
        <v>0</v>
      </c>
      <c r="L602">
        <f>IF(COUNTIFS('United Data'!$A$3:$A$3390,L$1,'United Data'!$C$3:$C$3390,$A602,'United Data'!$B$3:$B$3390,"&lt;&gt;Off-street")&gt;0,1,0)</f>
        <v>0</v>
      </c>
      <c r="M602">
        <f>IF(COUNTIFS('United Data'!$A$3:$A$3390,M$1,'United Data'!$C$3:$C$3390,$A602,'United Data'!$B$3:$B$3390,"&lt;&gt;Off-street")&gt;0,1,0)</f>
        <v>0</v>
      </c>
      <c r="N602">
        <f>IF(COUNTIFS('United Data'!$A$3:$A$3390,N$1,'United Data'!$C$3:$C$3390,$A602,'United Data'!$B$3:$B$3390,"&lt;&gt;Off-street")&gt;0,1,0)</f>
        <v>0</v>
      </c>
      <c r="O602">
        <f>IF(COUNTIFS('United Data'!$A$3:$A$3390,O$1,'United Data'!$C$3:$C$3390,$A602,'United Data'!$B$3:$B$3390,"&lt;&gt;Off-street")&gt;0,1,0)</f>
        <v>0</v>
      </c>
      <c r="P602">
        <f>IF(COUNTIFS('United Data'!$A$3:$A$3390,P$1,'United Data'!$C$3:$C$3390,$A602,'United Data'!$B$3:$B$3390,"&lt;&gt;Off-street")&gt;0,1,0)</f>
        <v>0</v>
      </c>
      <c r="Q602">
        <f>IF(COUNTIFS('United Data'!$A$3:$A$3390,Q$1,'United Data'!$C$3:$C$3390,$A602,'United Data'!$B$3:$B$3390,"&lt;&gt;Off-street")&gt;0,1,0)</f>
        <v>1</v>
      </c>
      <c r="R602">
        <f>IF(COUNTIFS('United Data'!$A$3:$A$3390,R$1,'United Data'!$C$3:$C$3390,$A602,'United Data'!$B$3:$B$3390,"&lt;&gt;Off-street")&gt;0,1,0)</f>
        <v>0</v>
      </c>
      <c r="S602">
        <f t="shared" si="18"/>
        <v>1</v>
      </c>
      <c r="T602">
        <f t="shared" si="19"/>
        <v>1</v>
      </c>
    </row>
    <row r="603" spans="1:20" x14ac:dyDescent="0.2">
      <c r="A603" t="s">
        <v>722</v>
      </c>
      <c r="B603">
        <f>IF(COUNTIFS('United Data'!$A$3:$A$3390,B$1,'United Data'!$C$3:$C$3390,$A603,'United Data'!$B$3:$B$3390,"&lt;&gt;Off-street")&gt;0,1,0)</f>
        <v>0</v>
      </c>
      <c r="C603">
        <f>IF(COUNTIFS('United Data'!$A$3:$A$3390,C$1,'United Data'!$C$3:$C$3390,$A603,'United Data'!$B$3:$B$3390,"&lt;&gt;Off-street")&gt;0,1,0)</f>
        <v>0</v>
      </c>
      <c r="D603">
        <f>IF(COUNTIFS('United Data'!$A$3:$A$3390,D$1,'United Data'!$C$3:$C$3390,$A603,'United Data'!$B$3:$B$3390,"&lt;&gt;Off-street")&gt;0,1,0)</f>
        <v>0</v>
      </c>
      <c r="E603">
        <f>IF(COUNTIFS('United Data'!$A$3:$A$3390,E$1,'United Data'!$C$3:$C$3390,$A603,'United Data'!$B$3:$B$3390,"&lt;&gt;Off-street")&gt;0,1,0)</f>
        <v>0</v>
      </c>
      <c r="F603">
        <f>IF(COUNTIFS('United Data'!$A$3:$A$3390,F$1,'United Data'!$C$3:$C$3390,$A603,'United Data'!$B$3:$B$3390,"&lt;&gt;Off-street")&gt;0,1,0)</f>
        <v>0</v>
      </c>
      <c r="G603">
        <f>IF(COUNTIFS('United Data'!$A$3:$A$3390,G$1,'United Data'!$C$3:$C$3390,$A603,'United Data'!$B$3:$B$3390,"&lt;&gt;Off-street")&gt;0,1,0)</f>
        <v>0</v>
      </c>
      <c r="H603">
        <f>IF(COUNTIFS('United Data'!$A$3:$A$3390,H$1,'United Data'!$C$3:$C$3390,$A603,'United Data'!$B$3:$B$3390,"&lt;&gt;Off-street")&gt;0,1,0)</f>
        <v>0</v>
      </c>
      <c r="I603">
        <f>IF(COUNTIFS('United Data'!$A$3:$A$3390,I$1,'United Data'!$C$3:$C$3390,$A603,'United Data'!$B$3:$B$3390,"&lt;&gt;Off-street")&gt;0,1,0)</f>
        <v>0</v>
      </c>
      <c r="J603">
        <f>IF(COUNTIFS('United Data'!$A$3:$A$3390,J$1,'United Data'!$C$3:$C$3390,$A603,'United Data'!$B$3:$B$3390,"&lt;&gt;Off-street")&gt;0,1,0)</f>
        <v>0</v>
      </c>
      <c r="K603">
        <f>IF(COUNTIFS('United Data'!$A$3:$A$3390,K$1,'United Data'!$C$3:$C$3390,$A603,'United Data'!$B$3:$B$3390,"&lt;&gt;Off-street")&gt;0,1,0)</f>
        <v>0</v>
      </c>
      <c r="L603">
        <f>IF(COUNTIFS('United Data'!$A$3:$A$3390,L$1,'United Data'!$C$3:$C$3390,$A603,'United Data'!$B$3:$B$3390,"&lt;&gt;Off-street")&gt;0,1,0)</f>
        <v>0</v>
      </c>
      <c r="M603">
        <f>IF(COUNTIFS('United Data'!$A$3:$A$3390,M$1,'United Data'!$C$3:$C$3390,$A603,'United Data'!$B$3:$B$3390,"&lt;&gt;Off-street")&gt;0,1,0)</f>
        <v>0</v>
      </c>
      <c r="N603">
        <f>IF(COUNTIFS('United Data'!$A$3:$A$3390,N$1,'United Data'!$C$3:$C$3390,$A603,'United Data'!$B$3:$B$3390,"&lt;&gt;Off-street")&gt;0,1,0)</f>
        <v>0</v>
      </c>
      <c r="O603">
        <f>IF(COUNTIFS('United Data'!$A$3:$A$3390,O$1,'United Data'!$C$3:$C$3390,$A603,'United Data'!$B$3:$B$3390,"&lt;&gt;Off-street")&gt;0,1,0)</f>
        <v>0</v>
      </c>
      <c r="P603">
        <f>IF(COUNTIFS('United Data'!$A$3:$A$3390,P$1,'United Data'!$C$3:$C$3390,$A603,'United Data'!$B$3:$B$3390,"&lt;&gt;Off-street")&gt;0,1,0)</f>
        <v>0</v>
      </c>
      <c r="Q603">
        <f>IF(COUNTIFS('United Data'!$A$3:$A$3390,Q$1,'United Data'!$C$3:$C$3390,$A603,'United Data'!$B$3:$B$3390,"&lt;&gt;Off-street")&gt;0,1,0)</f>
        <v>0</v>
      </c>
      <c r="R603">
        <f>IF(COUNTIFS('United Data'!$A$3:$A$3390,R$1,'United Data'!$C$3:$C$3390,$A603,'United Data'!$B$3:$B$3390,"&lt;&gt;Off-street")&gt;0,1,0)</f>
        <v>1</v>
      </c>
      <c r="S603">
        <f t="shared" si="18"/>
        <v>1</v>
      </c>
      <c r="T603">
        <f t="shared" si="19"/>
        <v>1</v>
      </c>
    </row>
    <row r="604" spans="1:20" x14ac:dyDescent="0.2">
      <c r="A604" t="s">
        <v>723</v>
      </c>
      <c r="B604">
        <f>IF(COUNTIFS('United Data'!$A$3:$A$3390,B$1,'United Data'!$C$3:$C$3390,$A604,'United Data'!$B$3:$B$3390,"&lt;&gt;Off-street")&gt;0,1,0)</f>
        <v>0</v>
      </c>
      <c r="C604">
        <f>IF(COUNTIFS('United Data'!$A$3:$A$3390,C$1,'United Data'!$C$3:$C$3390,$A604,'United Data'!$B$3:$B$3390,"&lt;&gt;Off-street")&gt;0,1,0)</f>
        <v>0</v>
      </c>
      <c r="D604">
        <f>IF(COUNTIFS('United Data'!$A$3:$A$3390,D$1,'United Data'!$C$3:$C$3390,$A604,'United Data'!$B$3:$B$3390,"&lt;&gt;Off-street")&gt;0,1,0)</f>
        <v>0</v>
      </c>
      <c r="E604">
        <f>IF(COUNTIFS('United Data'!$A$3:$A$3390,E$1,'United Data'!$C$3:$C$3390,$A604,'United Data'!$B$3:$B$3390,"&lt;&gt;Off-street")&gt;0,1,0)</f>
        <v>0</v>
      </c>
      <c r="F604">
        <f>IF(COUNTIFS('United Data'!$A$3:$A$3390,F$1,'United Data'!$C$3:$C$3390,$A604,'United Data'!$B$3:$B$3390,"&lt;&gt;Off-street")&gt;0,1,0)</f>
        <v>0</v>
      </c>
      <c r="G604">
        <f>IF(COUNTIFS('United Data'!$A$3:$A$3390,G$1,'United Data'!$C$3:$C$3390,$A604,'United Data'!$B$3:$B$3390,"&lt;&gt;Off-street")&gt;0,1,0)</f>
        <v>0</v>
      </c>
      <c r="H604">
        <f>IF(COUNTIFS('United Data'!$A$3:$A$3390,H$1,'United Data'!$C$3:$C$3390,$A604,'United Data'!$B$3:$B$3390,"&lt;&gt;Off-street")&gt;0,1,0)</f>
        <v>0</v>
      </c>
      <c r="I604">
        <f>IF(COUNTIFS('United Data'!$A$3:$A$3390,I$1,'United Data'!$C$3:$C$3390,$A604,'United Data'!$B$3:$B$3390,"&lt;&gt;Off-street")&gt;0,1,0)</f>
        <v>0</v>
      </c>
      <c r="J604">
        <f>IF(COUNTIFS('United Data'!$A$3:$A$3390,J$1,'United Data'!$C$3:$C$3390,$A604,'United Data'!$B$3:$B$3390,"&lt;&gt;Off-street")&gt;0,1,0)</f>
        <v>0</v>
      </c>
      <c r="K604">
        <f>IF(COUNTIFS('United Data'!$A$3:$A$3390,K$1,'United Data'!$C$3:$C$3390,$A604,'United Data'!$B$3:$B$3390,"&lt;&gt;Off-street")&gt;0,1,0)</f>
        <v>0</v>
      </c>
      <c r="L604">
        <f>IF(COUNTIFS('United Data'!$A$3:$A$3390,L$1,'United Data'!$C$3:$C$3390,$A604,'United Data'!$B$3:$B$3390,"&lt;&gt;Off-street")&gt;0,1,0)</f>
        <v>0</v>
      </c>
      <c r="M604">
        <f>IF(COUNTIFS('United Data'!$A$3:$A$3390,M$1,'United Data'!$C$3:$C$3390,$A604,'United Data'!$B$3:$B$3390,"&lt;&gt;Off-street")&gt;0,1,0)</f>
        <v>0</v>
      </c>
      <c r="N604">
        <f>IF(COUNTIFS('United Data'!$A$3:$A$3390,N$1,'United Data'!$C$3:$C$3390,$A604,'United Data'!$B$3:$B$3390,"&lt;&gt;Off-street")&gt;0,1,0)</f>
        <v>0</v>
      </c>
      <c r="O604">
        <f>IF(COUNTIFS('United Data'!$A$3:$A$3390,O$1,'United Data'!$C$3:$C$3390,$A604,'United Data'!$B$3:$B$3390,"&lt;&gt;Off-street")&gt;0,1,0)</f>
        <v>0</v>
      </c>
      <c r="P604">
        <f>IF(COUNTIFS('United Data'!$A$3:$A$3390,P$1,'United Data'!$C$3:$C$3390,$A604,'United Data'!$B$3:$B$3390,"&lt;&gt;Off-street")&gt;0,1,0)</f>
        <v>0</v>
      </c>
      <c r="Q604">
        <f>IF(COUNTIFS('United Data'!$A$3:$A$3390,Q$1,'United Data'!$C$3:$C$3390,$A604,'United Data'!$B$3:$B$3390,"&lt;&gt;Off-street")&gt;0,1,0)</f>
        <v>0</v>
      </c>
      <c r="R604">
        <f>IF(COUNTIFS('United Data'!$A$3:$A$3390,R$1,'United Data'!$C$3:$C$3390,$A604,'United Data'!$B$3:$B$3390,"&lt;&gt;Off-street")&gt;0,1,0)</f>
        <v>1</v>
      </c>
      <c r="S604">
        <f t="shared" si="18"/>
        <v>1</v>
      </c>
      <c r="T604">
        <f t="shared" si="19"/>
        <v>1</v>
      </c>
    </row>
    <row r="605" spans="1:20" x14ac:dyDescent="0.2">
      <c r="A605" t="s">
        <v>724</v>
      </c>
      <c r="B605">
        <f>IF(COUNTIFS('United Data'!$A$3:$A$3390,B$1,'United Data'!$C$3:$C$3390,$A605,'United Data'!$B$3:$B$3390,"&lt;&gt;Off-street")&gt;0,1,0)</f>
        <v>0</v>
      </c>
      <c r="C605">
        <f>IF(COUNTIFS('United Data'!$A$3:$A$3390,C$1,'United Data'!$C$3:$C$3390,$A605,'United Data'!$B$3:$B$3390,"&lt;&gt;Off-street")&gt;0,1,0)</f>
        <v>0</v>
      </c>
      <c r="D605">
        <f>IF(COUNTIFS('United Data'!$A$3:$A$3390,D$1,'United Data'!$C$3:$C$3390,$A605,'United Data'!$B$3:$B$3390,"&lt;&gt;Off-street")&gt;0,1,0)</f>
        <v>0</v>
      </c>
      <c r="E605">
        <f>IF(COUNTIFS('United Data'!$A$3:$A$3390,E$1,'United Data'!$C$3:$C$3390,$A605,'United Data'!$B$3:$B$3390,"&lt;&gt;Off-street")&gt;0,1,0)</f>
        <v>0</v>
      </c>
      <c r="F605">
        <f>IF(COUNTIFS('United Data'!$A$3:$A$3390,F$1,'United Data'!$C$3:$C$3390,$A605,'United Data'!$B$3:$B$3390,"&lt;&gt;Off-street")&gt;0,1,0)</f>
        <v>0</v>
      </c>
      <c r="G605">
        <f>IF(COUNTIFS('United Data'!$A$3:$A$3390,G$1,'United Data'!$C$3:$C$3390,$A605,'United Data'!$B$3:$B$3390,"&lt;&gt;Off-street")&gt;0,1,0)</f>
        <v>0</v>
      </c>
      <c r="H605">
        <f>IF(COUNTIFS('United Data'!$A$3:$A$3390,H$1,'United Data'!$C$3:$C$3390,$A605,'United Data'!$B$3:$B$3390,"&lt;&gt;Off-street")&gt;0,1,0)</f>
        <v>0</v>
      </c>
      <c r="I605">
        <f>IF(COUNTIFS('United Data'!$A$3:$A$3390,I$1,'United Data'!$C$3:$C$3390,$A605,'United Data'!$B$3:$B$3390,"&lt;&gt;Off-street")&gt;0,1,0)</f>
        <v>0</v>
      </c>
      <c r="J605">
        <f>IF(COUNTIFS('United Data'!$A$3:$A$3390,J$1,'United Data'!$C$3:$C$3390,$A605,'United Data'!$B$3:$B$3390,"&lt;&gt;Off-street")&gt;0,1,0)</f>
        <v>0</v>
      </c>
      <c r="K605">
        <f>IF(COUNTIFS('United Data'!$A$3:$A$3390,K$1,'United Data'!$C$3:$C$3390,$A605,'United Data'!$B$3:$B$3390,"&lt;&gt;Off-street")&gt;0,1,0)</f>
        <v>0</v>
      </c>
      <c r="L605">
        <f>IF(COUNTIFS('United Data'!$A$3:$A$3390,L$1,'United Data'!$C$3:$C$3390,$A605,'United Data'!$B$3:$B$3390,"&lt;&gt;Off-street")&gt;0,1,0)</f>
        <v>0</v>
      </c>
      <c r="M605">
        <f>IF(COUNTIFS('United Data'!$A$3:$A$3390,M$1,'United Data'!$C$3:$C$3390,$A605,'United Data'!$B$3:$B$3390,"&lt;&gt;Off-street")&gt;0,1,0)</f>
        <v>0</v>
      </c>
      <c r="N605">
        <f>IF(COUNTIFS('United Data'!$A$3:$A$3390,N$1,'United Data'!$C$3:$C$3390,$A605,'United Data'!$B$3:$B$3390,"&lt;&gt;Off-street")&gt;0,1,0)</f>
        <v>0</v>
      </c>
      <c r="O605">
        <f>IF(COUNTIFS('United Data'!$A$3:$A$3390,O$1,'United Data'!$C$3:$C$3390,$A605,'United Data'!$B$3:$B$3390,"&lt;&gt;Off-street")&gt;0,1,0)</f>
        <v>0</v>
      </c>
      <c r="P605">
        <f>IF(COUNTIFS('United Data'!$A$3:$A$3390,P$1,'United Data'!$C$3:$C$3390,$A605,'United Data'!$B$3:$B$3390,"&lt;&gt;Off-street")&gt;0,1,0)</f>
        <v>0</v>
      </c>
      <c r="Q605">
        <f>IF(COUNTIFS('United Data'!$A$3:$A$3390,Q$1,'United Data'!$C$3:$C$3390,$A605,'United Data'!$B$3:$B$3390,"&lt;&gt;Off-street")&gt;0,1,0)</f>
        <v>0</v>
      </c>
      <c r="R605">
        <f>IF(COUNTIFS('United Data'!$A$3:$A$3390,R$1,'United Data'!$C$3:$C$3390,$A605,'United Data'!$B$3:$B$3390,"&lt;&gt;Off-street")&gt;0,1,0)</f>
        <v>1</v>
      </c>
      <c r="S605">
        <f t="shared" si="18"/>
        <v>1</v>
      </c>
      <c r="T605">
        <f t="shared" si="19"/>
        <v>1</v>
      </c>
    </row>
    <row r="606" spans="1:20" x14ac:dyDescent="0.2">
      <c r="A606" t="s">
        <v>725</v>
      </c>
      <c r="B606">
        <f>IF(COUNTIFS('United Data'!$A$3:$A$3390,B$1,'United Data'!$C$3:$C$3390,$A606,'United Data'!$B$3:$B$3390,"&lt;&gt;Off-street")&gt;0,1,0)</f>
        <v>0</v>
      </c>
      <c r="C606">
        <f>IF(COUNTIFS('United Data'!$A$3:$A$3390,C$1,'United Data'!$C$3:$C$3390,$A606,'United Data'!$B$3:$B$3390,"&lt;&gt;Off-street")&gt;0,1,0)</f>
        <v>0</v>
      </c>
      <c r="D606">
        <f>IF(COUNTIFS('United Data'!$A$3:$A$3390,D$1,'United Data'!$C$3:$C$3390,$A606,'United Data'!$B$3:$B$3390,"&lt;&gt;Off-street")&gt;0,1,0)</f>
        <v>0</v>
      </c>
      <c r="E606">
        <f>IF(COUNTIFS('United Data'!$A$3:$A$3390,E$1,'United Data'!$C$3:$C$3390,$A606,'United Data'!$B$3:$B$3390,"&lt;&gt;Off-street")&gt;0,1,0)</f>
        <v>0</v>
      </c>
      <c r="F606">
        <f>IF(COUNTIFS('United Data'!$A$3:$A$3390,F$1,'United Data'!$C$3:$C$3390,$A606,'United Data'!$B$3:$B$3390,"&lt;&gt;Off-street")&gt;0,1,0)</f>
        <v>0</v>
      </c>
      <c r="G606">
        <f>IF(COUNTIFS('United Data'!$A$3:$A$3390,G$1,'United Data'!$C$3:$C$3390,$A606,'United Data'!$B$3:$B$3390,"&lt;&gt;Off-street")&gt;0,1,0)</f>
        <v>0</v>
      </c>
      <c r="H606">
        <f>IF(COUNTIFS('United Data'!$A$3:$A$3390,H$1,'United Data'!$C$3:$C$3390,$A606,'United Data'!$B$3:$B$3390,"&lt;&gt;Off-street")&gt;0,1,0)</f>
        <v>0</v>
      </c>
      <c r="I606">
        <f>IF(COUNTIFS('United Data'!$A$3:$A$3390,I$1,'United Data'!$C$3:$C$3390,$A606,'United Data'!$B$3:$B$3390,"&lt;&gt;Off-street")&gt;0,1,0)</f>
        <v>0</v>
      </c>
      <c r="J606">
        <f>IF(COUNTIFS('United Data'!$A$3:$A$3390,J$1,'United Data'!$C$3:$C$3390,$A606,'United Data'!$B$3:$B$3390,"&lt;&gt;Off-street")&gt;0,1,0)</f>
        <v>0</v>
      </c>
      <c r="K606">
        <f>IF(COUNTIFS('United Data'!$A$3:$A$3390,K$1,'United Data'!$C$3:$C$3390,$A606,'United Data'!$B$3:$B$3390,"&lt;&gt;Off-street")&gt;0,1,0)</f>
        <v>0</v>
      </c>
      <c r="L606">
        <f>IF(COUNTIFS('United Data'!$A$3:$A$3390,L$1,'United Data'!$C$3:$C$3390,$A606,'United Data'!$B$3:$B$3390,"&lt;&gt;Off-street")&gt;0,1,0)</f>
        <v>0</v>
      </c>
      <c r="M606">
        <f>IF(COUNTIFS('United Data'!$A$3:$A$3390,M$1,'United Data'!$C$3:$C$3390,$A606,'United Data'!$B$3:$B$3390,"&lt;&gt;Off-street")&gt;0,1,0)</f>
        <v>0</v>
      </c>
      <c r="N606">
        <f>IF(COUNTIFS('United Data'!$A$3:$A$3390,N$1,'United Data'!$C$3:$C$3390,$A606,'United Data'!$B$3:$B$3390,"&lt;&gt;Off-street")&gt;0,1,0)</f>
        <v>0</v>
      </c>
      <c r="O606">
        <f>IF(COUNTIFS('United Data'!$A$3:$A$3390,O$1,'United Data'!$C$3:$C$3390,$A606,'United Data'!$B$3:$B$3390,"&lt;&gt;Off-street")&gt;0,1,0)</f>
        <v>0</v>
      </c>
      <c r="P606">
        <f>IF(COUNTIFS('United Data'!$A$3:$A$3390,P$1,'United Data'!$C$3:$C$3390,$A606,'United Data'!$B$3:$B$3390,"&lt;&gt;Off-street")&gt;0,1,0)</f>
        <v>0</v>
      </c>
      <c r="Q606">
        <f>IF(COUNTIFS('United Data'!$A$3:$A$3390,Q$1,'United Data'!$C$3:$C$3390,$A606,'United Data'!$B$3:$B$3390,"&lt;&gt;Off-street")&gt;0,1,0)</f>
        <v>0</v>
      </c>
      <c r="R606">
        <f>IF(COUNTIFS('United Data'!$A$3:$A$3390,R$1,'United Data'!$C$3:$C$3390,$A606,'United Data'!$B$3:$B$3390,"&lt;&gt;Off-street")&gt;0,1,0)</f>
        <v>1</v>
      </c>
      <c r="S606">
        <f t="shared" si="18"/>
        <v>1</v>
      </c>
      <c r="T606">
        <f t="shared" si="19"/>
        <v>1</v>
      </c>
    </row>
    <row r="607" spans="1:20" x14ac:dyDescent="0.2">
      <c r="A607" t="s">
        <v>726</v>
      </c>
      <c r="B607">
        <f>IF(COUNTIFS('United Data'!$A$3:$A$3390,B$1,'United Data'!$C$3:$C$3390,$A607,'United Data'!$B$3:$B$3390,"&lt;&gt;Off-street")&gt;0,1,0)</f>
        <v>0</v>
      </c>
      <c r="C607">
        <f>IF(COUNTIFS('United Data'!$A$3:$A$3390,C$1,'United Data'!$C$3:$C$3390,$A607,'United Data'!$B$3:$B$3390,"&lt;&gt;Off-street")&gt;0,1,0)</f>
        <v>0</v>
      </c>
      <c r="D607">
        <f>IF(COUNTIFS('United Data'!$A$3:$A$3390,D$1,'United Data'!$C$3:$C$3390,$A607,'United Data'!$B$3:$B$3390,"&lt;&gt;Off-street")&gt;0,1,0)</f>
        <v>0</v>
      </c>
      <c r="E607">
        <f>IF(COUNTIFS('United Data'!$A$3:$A$3390,E$1,'United Data'!$C$3:$C$3390,$A607,'United Data'!$B$3:$B$3390,"&lt;&gt;Off-street")&gt;0,1,0)</f>
        <v>0</v>
      </c>
      <c r="F607">
        <f>IF(COUNTIFS('United Data'!$A$3:$A$3390,F$1,'United Data'!$C$3:$C$3390,$A607,'United Data'!$B$3:$B$3390,"&lt;&gt;Off-street")&gt;0,1,0)</f>
        <v>0</v>
      </c>
      <c r="G607">
        <f>IF(COUNTIFS('United Data'!$A$3:$A$3390,G$1,'United Data'!$C$3:$C$3390,$A607,'United Data'!$B$3:$B$3390,"&lt;&gt;Off-street")&gt;0,1,0)</f>
        <v>0</v>
      </c>
      <c r="H607">
        <f>IF(COUNTIFS('United Data'!$A$3:$A$3390,H$1,'United Data'!$C$3:$C$3390,$A607,'United Data'!$B$3:$B$3390,"&lt;&gt;Off-street")&gt;0,1,0)</f>
        <v>0</v>
      </c>
      <c r="I607">
        <f>IF(COUNTIFS('United Data'!$A$3:$A$3390,I$1,'United Data'!$C$3:$C$3390,$A607,'United Data'!$B$3:$B$3390,"&lt;&gt;Off-street")&gt;0,1,0)</f>
        <v>0</v>
      </c>
      <c r="J607">
        <f>IF(COUNTIFS('United Data'!$A$3:$A$3390,J$1,'United Data'!$C$3:$C$3390,$A607,'United Data'!$B$3:$B$3390,"&lt;&gt;Off-street")&gt;0,1,0)</f>
        <v>0</v>
      </c>
      <c r="K607">
        <f>IF(COUNTIFS('United Data'!$A$3:$A$3390,K$1,'United Data'!$C$3:$C$3390,$A607,'United Data'!$B$3:$B$3390,"&lt;&gt;Off-street")&gt;0,1,0)</f>
        <v>0</v>
      </c>
      <c r="L607">
        <f>IF(COUNTIFS('United Data'!$A$3:$A$3390,L$1,'United Data'!$C$3:$C$3390,$A607,'United Data'!$B$3:$B$3390,"&lt;&gt;Off-street")&gt;0,1,0)</f>
        <v>0</v>
      </c>
      <c r="M607">
        <f>IF(COUNTIFS('United Data'!$A$3:$A$3390,M$1,'United Data'!$C$3:$C$3390,$A607,'United Data'!$B$3:$B$3390,"&lt;&gt;Off-street")&gt;0,1,0)</f>
        <v>0</v>
      </c>
      <c r="N607">
        <f>IF(COUNTIFS('United Data'!$A$3:$A$3390,N$1,'United Data'!$C$3:$C$3390,$A607,'United Data'!$B$3:$B$3390,"&lt;&gt;Off-street")&gt;0,1,0)</f>
        <v>0</v>
      </c>
      <c r="O607">
        <f>IF(COUNTIFS('United Data'!$A$3:$A$3390,O$1,'United Data'!$C$3:$C$3390,$A607,'United Data'!$B$3:$B$3390,"&lt;&gt;Off-street")&gt;0,1,0)</f>
        <v>0</v>
      </c>
      <c r="P607">
        <f>IF(COUNTIFS('United Data'!$A$3:$A$3390,P$1,'United Data'!$C$3:$C$3390,$A607,'United Data'!$B$3:$B$3390,"&lt;&gt;Off-street")&gt;0,1,0)</f>
        <v>0</v>
      </c>
      <c r="Q607">
        <f>IF(COUNTIFS('United Data'!$A$3:$A$3390,Q$1,'United Data'!$C$3:$C$3390,$A607,'United Data'!$B$3:$B$3390,"&lt;&gt;Off-street")&gt;0,1,0)</f>
        <v>1</v>
      </c>
      <c r="R607">
        <f>IF(COUNTIFS('United Data'!$A$3:$A$3390,R$1,'United Data'!$C$3:$C$3390,$A607,'United Data'!$B$3:$B$3390,"&lt;&gt;Off-street")&gt;0,1,0)</f>
        <v>1</v>
      </c>
      <c r="S607">
        <f t="shared" si="18"/>
        <v>2</v>
      </c>
      <c r="T607">
        <f t="shared" si="19"/>
        <v>1</v>
      </c>
    </row>
    <row r="608" spans="1:20" x14ac:dyDescent="0.2">
      <c r="A608" t="s">
        <v>727</v>
      </c>
      <c r="B608">
        <f>IF(COUNTIFS('United Data'!$A$3:$A$3390,B$1,'United Data'!$C$3:$C$3390,$A608,'United Data'!$B$3:$B$3390,"&lt;&gt;Off-street")&gt;0,1,0)</f>
        <v>0</v>
      </c>
      <c r="C608">
        <f>IF(COUNTIFS('United Data'!$A$3:$A$3390,C$1,'United Data'!$C$3:$C$3390,$A608,'United Data'!$B$3:$B$3390,"&lt;&gt;Off-street")&gt;0,1,0)</f>
        <v>0</v>
      </c>
      <c r="D608">
        <f>IF(COUNTIFS('United Data'!$A$3:$A$3390,D$1,'United Data'!$C$3:$C$3390,$A608,'United Data'!$B$3:$B$3390,"&lt;&gt;Off-street")&gt;0,1,0)</f>
        <v>0</v>
      </c>
      <c r="E608">
        <f>IF(COUNTIFS('United Data'!$A$3:$A$3390,E$1,'United Data'!$C$3:$C$3390,$A608,'United Data'!$B$3:$B$3390,"&lt;&gt;Off-street")&gt;0,1,0)</f>
        <v>0</v>
      </c>
      <c r="F608">
        <f>IF(COUNTIFS('United Data'!$A$3:$A$3390,F$1,'United Data'!$C$3:$C$3390,$A608,'United Data'!$B$3:$B$3390,"&lt;&gt;Off-street")&gt;0,1,0)</f>
        <v>0</v>
      </c>
      <c r="G608">
        <f>IF(COUNTIFS('United Data'!$A$3:$A$3390,G$1,'United Data'!$C$3:$C$3390,$A608,'United Data'!$B$3:$B$3390,"&lt;&gt;Off-street")&gt;0,1,0)</f>
        <v>0</v>
      </c>
      <c r="H608">
        <f>IF(COUNTIFS('United Data'!$A$3:$A$3390,H$1,'United Data'!$C$3:$C$3390,$A608,'United Data'!$B$3:$B$3390,"&lt;&gt;Off-street")&gt;0,1,0)</f>
        <v>0</v>
      </c>
      <c r="I608">
        <f>IF(COUNTIFS('United Data'!$A$3:$A$3390,I$1,'United Data'!$C$3:$C$3390,$A608,'United Data'!$B$3:$B$3390,"&lt;&gt;Off-street")&gt;0,1,0)</f>
        <v>0</v>
      </c>
      <c r="J608">
        <f>IF(COUNTIFS('United Data'!$A$3:$A$3390,J$1,'United Data'!$C$3:$C$3390,$A608,'United Data'!$B$3:$B$3390,"&lt;&gt;Off-street")&gt;0,1,0)</f>
        <v>0</v>
      </c>
      <c r="K608">
        <f>IF(COUNTIFS('United Data'!$A$3:$A$3390,K$1,'United Data'!$C$3:$C$3390,$A608,'United Data'!$B$3:$B$3390,"&lt;&gt;Off-street")&gt;0,1,0)</f>
        <v>0</v>
      </c>
      <c r="L608">
        <f>IF(COUNTIFS('United Data'!$A$3:$A$3390,L$1,'United Data'!$C$3:$C$3390,$A608,'United Data'!$B$3:$B$3390,"&lt;&gt;Off-street")&gt;0,1,0)</f>
        <v>0</v>
      </c>
      <c r="M608">
        <f>IF(COUNTIFS('United Data'!$A$3:$A$3390,M$1,'United Data'!$C$3:$C$3390,$A608,'United Data'!$B$3:$B$3390,"&lt;&gt;Off-street")&gt;0,1,0)</f>
        <v>0</v>
      </c>
      <c r="N608">
        <f>IF(COUNTIFS('United Data'!$A$3:$A$3390,N$1,'United Data'!$C$3:$C$3390,$A608,'United Data'!$B$3:$B$3390,"&lt;&gt;Off-street")&gt;0,1,0)</f>
        <v>0</v>
      </c>
      <c r="O608">
        <f>IF(COUNTIFS('United Data'!$A$3:$A$3390,O$1,'United Data'!$C$3:$C$3390,$A608,'United Data'!$B$3:$B$3390,"&lt;&gt;Off-street")&gt;0,1,0)</f>
        <v>0</v>
      </c>
      <c r="P608">
        <f>IF(COUNTIFS('United Data'!$A$3:$A$3390,P$1,'United Data'!$C$3:$C$3390,$A608,'United Data'!$B$3:$B$3390,"&lt;&gt;Off-street")&gt;0,1,0)</f>
        <v>0</v>
      </c>
      <c r="Q608">
        <f>IF(COUNTIFS('United Data'!$A$3:$A$3390,Q$1,'United Data'!$C$3:$C$3390,$A608,'United Data'!$B$3:$B$3390,"&lt;&gt;Off-street")&gt;0,1,0)</f>
        <v>0</v>
      </c>
      <c r="R608">
        <f>IF(COUNTIFS('United Data'!$A$3:$A$3390,R$1,'United Data'!$C$3:$C$3390,$A608,'United Data'!$B$3:$B$3390,"&lt;&gt;Off-street")&gt;0,1,0)</f>
        <v>1</v>
      </c>
      <c r="S608">
        <f t="shared" si="18"/>
        <v>1</v>
      </c>
      <c r="T608">
        <f t="shared" si="19"/>
        <v>1</v>
      </c>
    </row>
    <row r="609" spans="1:20" x14ac:dyDescent="0.2">
      <c r="A609" t="s">
        <v>728</v>
      </c>
      <c r="B609">
        <f>IF(COUNTIFS('United Data'!$A$3:$A$3390,B$1,'United Data'!$C$3:$C$3390,$A609,'United Data'!$B$3:$B$3390,"&lt;&gt;Off-street")&gt;0,1,0)</f>
        <v>0</v>
      </c>
      <c r="C609">
        <f>IF(COUNTIFS('United Data'!$A$3:$A$3390,C$1,'United Data'!$C$3:$C$3390,$A609,'United Data'!$B$3:$B$3390,"&lt;&gt;Off-street")&gt;0,1,0)</f>
        <v>0</v>
      </c>
      <c r="D609">
        <f>IF(COUNTIFS('United Data'!$A$3:$A$3390,D$1,'United Data'!$C$3:$C$3390,$A609,'United Data'!$B$3:$B$3390,"&lt;&gt;Off-street")&gt;0,1,0)</f>
        <v>0</v>
      </c>
      <c r="E609">
        <f>IF(COUNTIFS('United Data'!$A$3:$A$3390,E$1,'United Data'!$C$3:$C$3390,$A609,'United Data'!$B$3:$B$3390,"&lt;&gt;Off-street")&gt;0,1,0)</f>
        <v>0</v>
      </c>
      <c r="F609">
        <f>IF(COUNTIFS('United Data'!$A$3:$A$3390,F$1,'United Data'!$C$3:$C$3390,$A609,'United Data'!$B$3:$B$3390,"&lt;&gt;Off-street")&gt;0,1,0)</f>
        <v>0</v>
      </c>
      <c r="G609">
        <f>IF(COUNTIFS('United Data'!$A$3:$A$3390,G$1,'United Data'!$C$3:$C$3390,$A609,'United Data'!$B$3:$B$3390,"&lt;&gt;Off-street")&gt;0,1,0)</f>
        <v>0</v>
      </c>
      <c r="H609">
        <f>IF(COUNTIFS('United Data'!$A$3:$A$3390,H$1,'United Data'!$C$3:$C$3390,$A609,'United Data'!$B$3:$B$3390,"&lt;&gt;Off-street")&gt;0,1,0)</f>
        <v>0</v>
      </c>
      <c r="I609">
        <f>IF(COUNTIFS('United Data'!$A$3:$A$3390,I$1,'United Data'!$C$3:$C$3390,$A609,'United Data'!$B$3:$B$3390,"&lt;&gt;Off-street")&gt;0,1,0)</f>
        <v>0</v>
      </c>
      <c r="J609">
        <f>IF(COUNTIFS('United Data'!$A$3:$A$3390,J$1,'United Data'!$C$3:$C$3390,$A609,'United Data'!$B$3:$B$3390,"&lt;&gt;Off-street")&gt;0,1,0)</f>
        <v>0</v>
      </c>
      <c r="K609">
        <f>IF(COUNTIFS('United Data'!$A$3:$A$3390,K$1,'United Data'!$C$3:$C$3390,$A609,'United Data'!$B$3:$B$3390,"&lt;&gt;Off-street")&gt;0,1,0)</f>
        <v>0</v>
      </c>
      <c r="L609">
        <f>IF(COUNTIFS('United Data'!$A$3:$A$3390,L$1,'United Data'!$C$3:$C$3390,$A609,'United Data'!$B$3:$B$3390,"&lt;&gt;Off-street")&gt;0,1,0)</f>
        <v>0</v>
      </c>
      <c r="M609">
        <f>IF(COUNTIFS('United Data'!$A$3:$A$3390,M$1,'United Data'!$C$3:$C$3390,$A609,'United Data'!$B$3:$B$3390,"&lt;&gt;Off-street")&gt;0,1,0)</f>
        <v>0</v>
      </c>
      <c r="N609">
        <f>IF(COUNTIFS('United Data'!$A$3:$A$3390,N$1,'United Data'!$C$3:$C$3390,$A609,'United Data'!$B$3:$B$3390,"&lt;&gt;Off-street")&gt;0,1,0)</f>
        <v>0</v>
      </c>
      <c r="O609">
        <f>IF(COUNTIFS('United Data'!$A$3:$A$3390,O$1,'United Data'!$C$3:$C$3390,$A609,'United Data'!$B$3:$B$3390,"&lt;&gt;Off-street")&gt;0,1,0)</f>
        <v>0</v>
      </c>
      <c r="P609">
        <f>IF(COUNTIFS('United Data'!$A$3:$A$3390,P$1,'United Data'!$C$3:$C$3390,$A609,'United Data'!$B$3:$B$3390,"&lt;&gt;Off-street")&gt;0,1,0)</f>
        <v>0</v>
      </c>
      <c r="Q609">
        <f>IF(COUNTIFS('United Data'!$A$3:$A$3390,Q$1,'United Data'!$C$3:$C$3390,$A609,'United Data'!$B$3:$B$3390,"&lt;&gt;Off-street")&gt;0,1,0)</f>
        <v>0</v>
      </c>
      <c r="R609">
        <f>IF(COUNTIFS('United Data'!$A$3:$A$3390,R$1,'United Data'!$C$3:$C$3390,$A609,'United Data'!$B$3:$B$3390,"&lt;&gt;Off-street")&gt;0,1,0)</f>
        <v>1</v>
      </c>
      <c r="S609">
        <f t="shared" si="18"/>
        <v>1</v>
      </c>
      <c r="T609">
        <f t="shared" si="19"/>
        <v>1</v>
      </c>
    </row>
    <row r="610" spans="1:20" x14ac:dyDescent="0.2">
      <c r="A610" t="s">
        <v>729</v>
      </c>
      <c r="B610">
        <f>IF(COUNTIFS('United Data'!$A$3:$A$3390,B$1,'United Data'!$C$3:$C$3390,$A610,'United Data'!$B$3:$B$3390,"&lt;&gt;Off-street")&gt;0,1,0)</f>
        <v>0</v>
      </c>
      <c r="C610">
        <f>IF(COUNTIFS('United Data'!$A$3:$A$3390,C$1,'United Data'!$C$3:$C$3390,$A610,'United Data'!$B$3:$B$3390,"&lt;&gt;Off-street")&gt;0,1,0)</f>
        <v>0</v>
      </c>
      <c r="D610">
        <f>IF(COUNTIFS('United Data'!$A$3:$A$3390,D$1,'United Data'!$C$3:$C$3390,$A610,'United Data'!$B$3:$B$3390,"&lt;&gt;Off-street")&gt;0,1,0)</f>
        <v>0</v>
      </c>
      <c r="E610">
        <f>IF(COUNTIFS('United Data'!$A$3:$A$3390,E$1,'United Data'!$C$3:$C$3390,$A610,'United Data'!$B$3:$B$3390,"&lt;&gt;Off-street")&gt;0,1,0)</f>
        <v>0</v>
      </c>
      <c r="F610">
        <f>IF(COUNTIFS('United Data'!$A$3:$A$3390,F$1,'United Data'!$C$3:$C$3390,$A610,'United Data'!$B$3:$B$3390,"&lt;&gt;Off-street")&gt;0,1,0)</f>
        <v>0</v>
      </c>
      <c r="G610">
        <f>IF(COUNTIFS('United Data'!$A$3:$A$3390,G$1,'United Data'!$C$3:$C$3390,$A610,'United Data'!$B$3:$B$3390,"&lt;&gt;Off-street")&gt;0,1,0)</f>
        <v>0</v>
      </c>
      <c r="H610">
        <f>IF(COUNTIFS('United Data'!$A$3:$A$3390,H$1,'United Data'!$C$3:$C$3390,$A610,'United Data'!$B$3:$B$3390,"&lt;&gt;Off-street")&gt;0,1,0)</f>
        <v>0</v>
      </c>
      <c r="I610">
        <f>IF(COUNTIFS('United Data'!$A$3:$A$3390,I$1,'United Data'!$C$3:$C$3390,$A610,'United Data'!$B$3:$B$3390,"&lt;&gt;Off-street")&gt;0,1,0)</f>
        <v>0</v>
      </c>
      <c r="J610">
        <f>IF(COUNTIFS('United Data'!$A$3:$A$3390,J$1,'United Data'!$C$3:$C$3390,$A610,'United Data'!$B$3:$B$3390,"&lt;&gt;Off-street")&gt;0,1,0)</f>
        <v>0</v>
      </c>
      <c r="K610">
        <f>IF(COUNTIFS('United Data'!$A$3:$A$3390,K$1,'United Data'!$C$3:$C$3390,$A610,'United Data'!$B$3:$B$3390,"&lt;&gt;Off-street")&gt;0,1,0)</f>
        <v>0</v>
      </c>
      <c r="L610">
        <f>IF(COUNTIFS('United Data'!$A$3:$A$3390,L$1,'United Data'!$C$3:$C$3390,$A610,'United Data'!$B$3:$B$3390,"&lt;&gt;Off-street")&gt;0,1,0)</f>
        <v>0</v>
      </c>
      <c r="M610">
        <f>IF(COUNTIFS('United Data'!$A$3:$A$3390,M$1,'United Data'!$C$3:$C$3390,$A610,'United Data'!$B$3:$B$3390,"&lt;&gt;Off-street")&gt;0,1,0)</f>
        <v>0</v>
      </c>
      <c r="N610">
        <f>IF(COUNTIFS('United Data'!$A$3:$A$3390,N$1,'United Data'!$C$3:$C$3390,$A610,'United Data'!$B$3:$B$3390,"&lt;&gt;Off-street")&gt;0,1,0)</f>
        <v>0</v>
      </c>
      <c r="O610">
        <f>IF(COUNTIFS('United Data'!$A$3:$A$3390,O$1,'United Data'!$C$3:$C$3390,$A610,'United Data'!$B$3:$B$3390,"&lt;&gt;Off-street")&gt;0,1,0)</f>
        <v>0</v>
      </c>
      <c r="P610">
        <f>IF(COUNTIFS('United Data'!$A$3:$A$3390,P$1,'United Data'!$C$3:$C$3390,$A610,'United Data'!$B$3:$B$3390,"&lt;&gt;Off-street")&gt;0,1,0)</f>
        <v>0</v>
      </c>
      <c r="Q610">
        <f>IF(COUNTIFS('United Data'!$A$3:$A$3390,Q$1,'United Data'!$C$3:$C$3390,$A610,'United Data'!$B$3:$B$3390,"&lt;&gt;Off-street")&gt;0,1,0)</f>
        <v>1</v>
      </c>
      <c r="R610">
        <f>IF(COUNTIFS('United Data'!$A$3:$A$3390,R$1,'United Data'!$C$3:$C$3390,$A610,'United Data'!$B$3:$B$3390,"&lt;&gt;Off-street")&gt;0,1,0)</f>
        <v>1</v>
      </c>
      <c r="S610">
        <f t="shared" si="18"/>
        <v>2</v>
      </c>
      <c r="T610">
        <f t="shared" si="19"/>
        <v>1</v>
      </c>
    </row>
    <row r="611" spans="1:20" x14ac:dyDescent="0.2">
      <c r="A611" t="s">
        <v>730</v>
      </c>
      <c r="B611">
        <f>IF(COUNTIFS('United Data'!$A$3:$A$3390,B$1,'United Data'!$C$3:$C$3390,$A611,'United Data'!$B$3:$B$3390,"&lt;&gt;Off-street")&gt;0,1,0)</f>
        <v>0</v>
      </c>
      <c r="C611">
        <f>IF(COUNTIFS('United Data'!$A$3:$A$3390,C$1,'United Data'!$C$3:$C$3390,$A611,'United Data'!$B$3:$B$3390,"&lt;&gt;Off-street")&gt;0,1,0)</f>
        <v>0</v>
      </c>
      <c r="D611">
        <f>IF(COUNTIFS('United Data'!$A$3:$A$3390,D$1,'United Data'!$C$3:$C$3390,$A611,'United Data'!$B$3:$B$3390,"&lt;&gt;Off-street")&gt;0,1,0)</f>
        <v>0</v>
      </c>
      <c r="E611">
        <f>IF(COUNTIFS('United Data'!$A$3:$A$3390,E$1,'United Data'!$C$3:$C$3390,$A611,'United Data'!$B$3:$B$3390,"&lt;&gt;Off-street")&gt;0,1,0)</f>
        <v>0</v>
      </c>
      <c r="F611">
        <f>IF(COUNTIFS('United Data'!$A$3:$A$3390,F$1,'United Data'!$C$3:$C$3390,$A611,'United Data'!$B$3:$B$3390,"&lt;&gt;Off-street")&gt;0,1,0)</f>
        <v>0</v>
      </c>
      <c r="G611">
        <f>IF(COUNTIFS('United Data'!$A$3:$A$3390,G$1,'United Data'!$C$3:$C$3390,$A611,'United Data'!$B$3:$B$3390,"&lt;&gt;Off-street")&gt;0,1,0)</f>
        <v>0</v>
      </c>
      <c r="H611">
        <f>IF(COUNTIFS('United Data'!$A$3:$A$3390,H$1,'United Data'!$C$3:$C$3390,$A611,'United Data'!$B$3:$B$3390,"&lt;&gt;Off-street")&gt;0,1,0)</f>
        <v>0</v>
      </c>
      <c r="I611">
        <f>IF(COUNTIFS('United Data'!$A$3:$A$3390,I$1,'United Data'!$C$3:$C$3390,$A611,'United Data'!$B$3:$B$3390,"&lt;&gt;Off-street")&gt;0,1,0)</f>
        <v>0</v>
      </c>
      <c r="J611">
        <f>IF(COUNTIFS('United Data'!$A$3:$A$3390,J$1,'United Data'!$C$3:$C$3390,$A611,'United Data'!$B$3:$B$3390,"&lt;&gt;Off-street")&gt;0,1,0)</f>
        <v>0</v>
      </c>
      <c r="K611">
        <f>IF(COUNTIFS('United Data'!$A$3:$A$3390,K$1,'United Data'!$C$3:$C$3390,$A611,'United Data'!$B$3:$B$3390,"&lt;&gt;Off-street")&gt;0,1,0)</f>
        <v>0</v>
      </c>
      <c r="L611">
        <f>IF(COUNTIFS('United Data'!$A$3:$A$3390,L$1,'United Data'!$C$3:$C$3390,$A611,'United Data'!$B$3:$B$3390,"&lt;&gt;Off-street")&gt;0,1,0)</f>
        <v>0</v>
      </c>
      <c r="M611">
        <f>IF(COUNTIFS('United Data'!$A$3:$A$3390,M$1,'United Data'!$C$3:$C$3390,$A611,'United Data'!$B$3:$B$3390,"&lt;&gt;Off-street")&gt;0,1,0)</f>
        <v>0</v>
      </c>
      <c r="N611">
        <f>IF(COUNTIFS('United Data'!$A$3:$A$3390,N$1,'United Data'!$C$3:$C$3390,$A611,'United Data'!$B$3:$B$3390,"&lt;&gt;Off-street")&gt;0,1,0)</f>
        <v>0</v>
      </c>
      <c r="O611">
        <f>IF(COUNTIFS('United Data'!$A$3:$A$3390,O$1,'United Data'!$C$3:$C$3390,$A611,'United Data'!$B$3:$B$3390,"&lt;&gt;Off-street")&gt;0,1,0)</f>
        <v>0</v>
      </c>
      <c r="P611">
        <f>IF(COUNTIFS('United Data'!$A$3:$A$3390,P$1,'United Data'!$C$3:$C$3390,$A611,'United Data'!$B$3:$B$3390,"&lt;&gt;Off-street")&gt;0,1,0)</f>
        <v>0</v>
      </c>
      <c r="Q611">
        <f>IF(COUNTIFS('United Data'!$A$3:$A$3390,Q$1,'United Data'!$C$3:$C$3390,$A611,'United Data'!$B$3:$B$3390,"&lt;&gt;Off-street")&gt;0,1,0)</f>
        <v>0</v>
      </c>
      <c r="R611">
        <f>IF(COUNTIFS('United Data'!$A$3:$A$3390,R$1,'United Data'!$C$3:$C$3390,$A611,'United Data'!$B$3:$B$3390,"&lt;&gt;Off-street")&gt;0,1,0)</f>
        <v>1</v>
      </c>
      <c r="S611">
        <f t="shared" si="18"/>
        <v>1</v>
      </c>
      <c r="T611">
        <f t="shared" si="19"/>
        <v>1</v>
      </c>
    </row>
    <row r="612" spans="1:20" x14ac:dyDescent="0.2">
      <c r="A612" t="s">
        <v>731</v>
      </c>
      <c r="B612">
        <f>IF(COUNTIFS('United Data'!$A$3:$A$3390,B$1,'United Data'!$C$3:$C$3390,$A612,'United Data'!$B$3:$B$3390,"&lt;&gt;Off-street")&gt;0,1,0)</f>
        <v>0</v>
      </c>
      <c r="C612">
        <f>IF(COUNTIFS('United Data'!$A$3:$A$3390,C$1,'United Data'!$C$3:$C$3390,$A612,'United Data'!$B$3:$B$3390,"&lt;&gt;Off-street")&gt;0,1,0)</f>
        <v>0</v>
      </c>
      <c r="D612">
        <f>IF(COUNTIFS('United Data'!$A$3:$A$3390,D$1,'United Data'!$C$3:$C$3390,$A612,'United Data'!$B$3:$B$3390,"&lt;&gt;Off-street")&gt;0,1,0)</f>
        <v>1</v>
      </c>
      <c r="E612">
        <f>IF(COUNTIFS('United Data'!$A$3:$A$3390,E$1,'United Data'!$C$3:$C$3390,$A612,'United Data'!$B$3:$B$3390,"&lt;&gt;Off-street")&gt;0,1,0)</f>
        <v>0</v>
      </c>
      <c r="F612">
        <f>IF(COUNTIFS('United Data'!$A$3:$A$3390,F$1,'United Data'!$C$3:$C$3390,$A612,'United Data'!$B$3:$B$3390,"&lt;&gt;Off-street")&gt;0,1,0)</f>
        <v>0</v>
      </c>
      <c r="G612">
        <f>IF(COUNTIFS('United Data'!$A$3:$A$3390,G$1,'United Data'!$C$3:$C$3390,$A612,'United Data'!$B$3:$B$3390,"&lt;&gt;Off-street")&gt;0,1,0)</f>
        <v>0</v>
      </c>
      <c r="H612">
        <f>IF(COUNTIFS('United Data'!$A$3:$A$3390,H$1,'United Data'!$C$3:$C$3390,$A612,'United Data'!$B$3:$B$3390,"&lt;&gt;Off-street")&gt;0,1,0)</f>
        <v>0</v>
      </c>
      <c r="I612">
        <f>IF(COUNTIFS('United Data'!$A$3:$A$3390,I$1,'United Data'!$C$3:$C$3390,$A612,'United Data'!$B$3:$B$3390,"&lt;&gt;Off-street")&gt;0,1,0)</f>
        <v>1</v>
      </c>
      <c r="J612">
        <f>IF(COUNTIFS('United Data'!$A$3:$A$3390,J$1,'United Data'!$C$3:$C$3390,$A612,'United Data'!$B$3:$B$3390,"&lt;&gt;Off-street")&gt;0,1,0)</f>
        <v>1</v>
      </c>
      <c r="K612">
        <f>IF(COUNTIFS('United Data'!$A$3:$A$3390,K$1,'United Data'!$C$3:$C$3390,$A612,'United Data'!$B$3:$B$3390,"&lt;&gt;Off-street")&gt;0,1,0)</f>
        <v>0</v>
      </c>
      <c r="L612">
        <f>IF(COUNTIFS('United Data'!$A$3:$A$3390,L$1,'United Data'!$C$3:$C$3390,$A612,'United Data'!$B$3:$B$3390,"&lt;&gt;Off-street")&gt;0,1,0)</f>
        <v>0</v>
      </c>
      <c r="M612">
        <f>IF(COUNTIFS('United Data'!$A$3:$A$3390,M$1,'United Data'!$C$3:$C$3390,$A612,'United Data'!$B$3:$B$3390,"&lt;&gt;Off-street")&gt;0,1,0)</f>
        <v>1</v>
      </c>
      <c r="N612">
        <f>IF(COUNTIFS('United Data'!$A$3:$A$3390,N$1,'United Data'!$C$3:$C$3390,$A612,'United Data'!$B$3:$B$3390,"&lt;&gt;Off-street")&gt;0,1,0)</f>
        <v>0</v>
      </c>
      <c r="O612">
        <f>IF(COUNTIFS('United Data'!$A$3:$A$3390,O$1,'United Data'!$C$3:$C$3390,$A612,'United Data'!$B$3:$B$3390,"&lt;&gt;Off-street")&gt;0,1,0)</f>
        <v>0</v>
      </c>
      <c r="P612">
        <f>IF(COUNTIFS('United Data'!$A$3:$A$3390,P$1,'United Data'!$C$3:$C$3390,$A612,'United Data'!$B$3:$B$3390,"&lt;&gt;Off-street")&gt;0,1,0)</f>
        <v>0</v>
      </c>
      <c r="Q612">
        <f>IF(COUNTIFS('United Data'!$A$3:$A$3390,Q$1,'United Data'!$C$3:$C$3390,$A612,'United Data'!$B$3:$B$3390,"&lt;&gt;Off-street")&gt;0,1,0)</f>
        <v>0</v>
      </c>
      <c r="R612">
        <f>IF(COUNTIFS('United Data'!$A$3:$A$3390,R$1,'United Data'!$C$3:$C$3390,$A612,'United Data'!$B$3:$B$3390,"&lt;&gt;Off-street")&gt;0,1,0)</f>
        <v>1</v>
      </c>
      <c r="S612">
        <f t="shared" si="18"/>
        <v>5</v>
      </c>
      <c r="T612">
        <f t="shared" si="19"/>
        <v>4</v>
      </c>
    </row>
    <row r="613" spans="1:20" x14ac:dyDescent="0.2">
      <c r="A613" t="s">
        <v>732</v>
      </c>
      <c r="B613">
        <f>IF(COUNTIFS('United Data'!$A$3:$A$3390,B$1,'United Data'!$C$3:$C$3390,$A613,'United Data'!$B$3:$B$3390,"&lt;&gt;Off-street")&gt;0,1,0)</f>
        <v>1</v>
      </c>
      <c r="C613">
        <f>IF(COUNTIFS('United Data'!$A$3:$A$3390,C$1,'United Data'!$C$3:$C$3390,$A613,'United Data'!$B$3:$B$3390,"&lt;&gt;Off-street")&gt;0,1,0)</f>
        <v>0</v>
      </c>
      <c r="D613">
        <f>IF(COUNTIFS('United Data'!$A$3:$A$3390,D$1,'United Data'!$C$3:$C$3390,$A613,'United Data'!$B$3:$B$3390,"&lt;&gt;Off-street")&gt;0,1,0)</f>
        <v>0</v>
      </c>
      <c r="E613">
        <f>IF(COUNTIFS('United Data'!$A$3:$A$3390,E$1,'United Data'!$C$3:$C$3390,$A613,'United Data'!$B$3:$B$3390,"&lt;&gt;Off-street")&gt;0,1,0)</f>
        <v>0</v>
      </c>
      <c r="F613">
        <f>IF(COUNTIFS('United Data'!$A$3:$A$3390,F$1,'United Data'!$C$3:$C$3390,$A613,'United Data'!$B$3:$B$3390,"&lt;&gt;Off-street")&gt;0,1,0)</f>
        <v>0</v>
      </c>
      <c r="G613">
        <f>IF(COUNTIFS('United Data'!$A$3:$A$3390,G$1,'United Data'!$C$3:$C$3390,$A613,'United Data'!$B$3:$B$3390,"&lt;&gt;Off-street")&gt;0,1,0)</f>
        <v>0</v>
      </c>
      <c r="H613">
        <f>IF(COUNTIFS('United Data'!$A$3:$A$3390,H$1,'United Data'!$C$3:$C$3390,$A613,'United Data'!$B$3:$B$3390,"&lt;&gt;Off-street")&gt;0,1,0)</f>
        <v>0</v>
      </c>
      <c r="I613">
        <f>IF(COUNTIFS('United Data'!$A$3:$A$3390,I$1,'United Data'!$C$3:$C$3390,$A613,'United Data'!$B$3:$B$3390,"&lt;&gt;Off-street")&gt;0,1,0)</f>
        <v>0</v>
      </c>
      <c r="J613">
        <f>IF(COUNTIFS('United Data'!$A$3:$A$3390,J$1,'United Data'!$C$3:$C$3390,$A613,'United Data'!$B$3:$B$3390,"&lt;&gt;Off-street")&gt;0,1,0)</f>
        <v>0</v>
      </c>
      <c r="K613">
        <f>IF(COUNTIFS('United Data'!$A$3:$A$3390,K$1,'United Data'!$C$3:$C$3390,$A613,'United Data'!$B$3:$B$3390,"&lt;&gt;Off-street")&gt;0,1,0)</f>
        <v>0</v>
      </c>
      <c r="L613">
        <f>IF(COUNTIFS('United Data'!$A$3:$A$3390,L$1,'United Data'!$C$3:$C$3390,$A613,'United Data'!$B$3:$B$3390,"&lt;&gt;Off-street")&gt;0,1,0)</f>
        <v>0</v>
      </c>
      <c r="M613">
        <f>IF(COUNTIFS('United Data'!$A$3:$A$3390,M$1,'United Data'!$C$3:$C$3390,$A613,'United Data'!$B$3:$B$3390,"&lt;&gt;Off-street")&gt;0,1,0)</f>
        <v>0</v>
      </c>
      <c r="N613">
        <f>IF(COUNTIFS('United Data'!$A$3:$A$3390,N$1,'United Data'!$C$3:$C$3390,$A613,'United Data'!$B$3:$B$3390,"&lt;&gt;Off-street")&gt;0,1,0)</f>
        <v>0</v>
      </c>
      <c r="O613">
        <f>IF(COUNTIFS('United Data'!$A$3:$A$3390,O$1,'United Data'!$C$3:$C$3390,$A613,'United Data'!$B$3:$B$3390,"&lt;&gt;Off-street")&gt;0,1,0)</f>
        <v>0</v>
      </c>
      <c r="P613">
        <f>IF(COUNTIFS('United Data'!$A$3:$A$3390,P$1,'United Data'!$C$3:$C$3390,$A613,'United Data'!$B$3:$B$3390,"&lt;&gt;Off-street")&gt;0,1,0)</f>
        <v>0</v>
      </c>
      <c r="Q613">
        <f>IF(COUNTIFS('United Data'!$A$3:$A$3390,Q$1,'United Data'!$C$3:$C$3390,$A613,'United Data'!$B$3:$B$3390,"&lt;&gt;Off-street")&gt;0,1,0)</f>
        <v>0</v>
      </c>
      <c r="R613">
        <f>IF(COUNTIFS('United Data'!$A$3:$A$3390,R$1,'United Data'!$C$3:$C$3390,$A613,'United Data'!$B$3:$B$3390,"&lt;&gt;Off-street")&gt;0,1,0)</f>
        <v>0</v>
      </c>
      <c r="S613">
        <f t="shared" si="18"/>
        <v>1</v>
      </c>
      <c r="T613">
        <f t="shared" si="19"/>
        <v>1</v>
      </c>
    </row>
    <row r="614" spans="1:20" x14ac:dyDescent="0.2">
      <c r="A614" t="s">
        <v>733</v>
      </c>
      <c r="B614">
        <f>IF(COUNTIFS('United Data'!$A$3:$A$3390,B$1,'United Data'!$C$3:$C$3390,$A614,'United Data'!$B$3:$B$3390,"&lt;&gt;Off-street")&gt;0,1,0)</f>
        <v>1</v>
      </c>
      <c r="C614">
        <f>IF(COUNTIFS('United Data'!$A$3:$A$3390,C$1,'United Data'!$C$3:$C$3390,$A614,'United Data'!$B$3:$B$3390,"&lt;&gt;Off-street")&gt;0,1,0)</f>
        <v>0</v>
      </c>
      <c r="D614">
        <f>IF(COUNTIFS('United Data'!$A$3:$A$3390,D$1,'United Data'!$C$3:$C$3390,$A614,'United Data'!$B$3:$B$3390,"&lt;&gt;Off-street")&gt;0,1,0)</f>
        <v>0</v>
      </c>
      <c r="E614">
        <f>IF(COUNTIFS('United Data'!$A$3:$A$3390,E$1,'United Data'!$C$3:$C$3390,$A614,'United Data'!$B$3:$B$3390,"&lt;&gt;Off-street")&gt;0,1,0)</f>
        <v>0</v>
      </c>
      <c r="F614">
        <f>IF(COUNTIFS('United Data'!$A$3:$A$3390,F$1,'United Data'!$C$3:$C$3390,$A614,'United Data'!$B$3:$B$3390,"&lt;&gt;Off-street")&gt;0,1,0)</f>
        <v>0</v>
      </c>
      <c r="G614">
        <f>IF(COUNTIFS('United Data'!$A$3:$A$3390,G$1,'United Data'!$C$3:$C$3390,$A614,'United Data'!$B$3:$B$3390,"&lt;&gt;Off-street")&gt;0,1,0)</f>
        <v>0</v>
      </c>
      <c r="H614">
        <f>IF(COUNTIFS('United Data'!$A$3:$A$3390,H$1,'United Data'!$C$3:$C$3390,$A614,'United Data'!$B$3:$B$3390,"&lt;&gt;Off-street")&gt;0,1,0)</f>
        <v>0</v>
      </c>
      <c r="I614">
        <f>IF(COUNTIFS('United Data'!$A$3:$A$3390,I$1,'United Data'!$C$3:$C$3390,$A614,'United Data'!$B$3:$B$3390,"&lt;&gt;Off-street")&gt;0,1,0)</f>
        <v>0</v>
      </c>
      <c r="J614">
        <f>IF(COUNTIFS('United Data'!$A$3:$A$3390,J$1,'United Data'!$C$3:$C$3390,$A614,'United Data'!$B$3:$B$3390,"&lt;&gt;Off-street")&gt;0,1,0)</f>
        <v>0</v>
      </c>
      <c r="K614">
        <f>IF(COUNTIFS('United Data'!$A$3:$A$3390,K$1,'United Data'!$C$3:$C$3390,$A614,'United Data'!$B$3:$B$3390,"&lt;&gt;Off-street")&gt;0,1,0)</f>
        <v>0</v>
      </c>
      <c r="L614">
        <f>IF(COUNTIFS('United Data'!$A$3:$A$3390,L$1,'United Data'!$C$3:$C$3390,$A614,'United Data'!$B$3:$B$3390,"&lt;&gt;Off-street")&gt;0,1,0)</f>
        <v>0</v>
      </c>
      <c r="M614">
        <f>IF(COUNTIFS('United Data'!$A$3:$A$3390,M$1,'United Data'!$C$3:$C$3390,$A614,'United Data'!$B$3:$B$3390,"&lt;&gt;Off-street")&gt;0,1,0)</f>
        <v>0</v>
      </c>
      <c r="N614">
        <f>IF(COUNTIFS('United Data'!$A$3:$A$3390,N$1,'United Data'!$C$3:$C$3390,$A614,'United Data'!$B$3:$B$3390,"&lt;&gt;Off-street")&gt;0,1,0)</f>
        <v>0</v>
      </c>
      <c r="O614">
        <f>IF(COUNTIFS('United Data'!$A$3:$A$3390,O$1,'United Data'!$C$3:$C$3390,$A614,'United Data'!$B$3:$B$3390,"&lt;&gt;Off-street")&gt;0,1,0)</f>
        <v>0</v>
      </c>
      <c r="P614">
        <f>IF(COUNTIFS('United Data'!$A$3:$A$3390,P$1,'United Data'!$C$3:$C$3390,$A614,'United Data'!$B$3:$B$3390,"&lt;&gt;Off-street")&gt;0,1,0)</f>
        <v>0</v>
      </c>
      <c r="Q614">
        <f>IF(COUNTIFS('United Data'!$A$3:$A$3390,Q$1,'United Data'!$C$3:$C$3390,$A614,'United Data'!$B$3:$B$3390,"&lt;&gt;Off-street")&gt;0,1,0)</f>
        <v>0</v>
      </c>
      <c r="R614">
        <f>IF(COUNTIFS('United Data'!$A$3:$A$3390,R$1,'United Data'!$C$3:$C$3390,$A614,'United Data'!$B$3:$B$3390,"&lt;&gt;Off-street")&gt;0,1,0)</f>
        <v>0</v>
      </c>
      <c r="S614">
        <f t="shared" si="18"/>
        <v>1</v>
      </c>
      <c r="T614">
        <f t="shared" si="19"/>
        <v>1</v>
      </c>
    </row>
    <row r="615" spans="1:20" x14ac:dyDescent="0.2">
      <c r="A615" t="s">
        <v>734</v>
      </c>
      <c r="B615">
        <f>IF(COUNTIFS('United Data'!$A$3:$A$3390,B$1,'United Data'!$C$3:$C$3390,$A615,'United Data'!$B$3:$B$3390,"&lt;&gt;Off-street")&gt;0,1,0)</f>
        <v>1</v>
      </c>
      <c r="C615">
        <f>IF(COUNTIFS('United Data'!$A$3:$A$3390,C$1,'United Data'!$C$3:$C$3390,$A615,'United Data'!$B$3:$B$3390,"&lt;&gt;Off-street")&gt;0,1,0)</f>
        <v>1</v>
      </c>
      <c r="D615">
        <f>IF(COUNTIFS('United Data'!$A$3:$A$3390,D$1,'United Data'!$C$3:$C$3390,$A615,'United Data'!$B$3:$B$3390,"&lt;&gt;Off-street")&gt;0,1,0)</f>
        <v>0</v>
      </c>
      <c r="E615">
        <f>IF(COUNTIFS('United Data'!$A$3:$A$3390,E$1,'United Data'!$C$3:$C$3390,$A615,'United Data'!$B$3:$B$3390,"&lt;&gt;Off-street")&gt;0,1,0)</f>
        <v>1</v>
      </c>
      <c r="F615">
        <f>IF(COUNTIFS('United Data'!$A$3:$A$3390,F$1,'United Data'!$C$3:$C$3390,$A615,'United Data'!$B$3:$B$3390,"&lt;&gt;Off-street")&gt;0,1,0)</f>
        <v>0</v>
      </c>
      <c r="G615">
        <f>IF(COUNTIFS('United Data'!$A$3:$A$3390,G$1,'United Data'!$C$3:$C$3390,$A615,'United Data'!$B$3:$B$3390,"&lt;&gt;Off-street")&gt;0,1,0)</f>
        <v>0</v>
      </c>
      <c r="H615">
        <f>IF(COUNTIFS('United Data'!$A$3:$A$3390,H$1,'United Data'!$C$3:$C$3390,$A615,'United Data'!$B$3:$B$3390,"&lt;&gt;Off-street")&gt;0,1,0)</f>
        <v>0</v>
      </c>
      <c r="I615">
        <f>IF(COUNTIFS('United Data'!$A$3:$A$3390,I$1,'United Data'!$C$3:$C$3390,$A615,'United Data'!$B$3:$B$3390,"&lt;&gt;Off-street")&gt;0,1,0)</f>
        <v>0</v>
      </c>
      <c r="J615">
        <f>IF(COUNTIFS('United Data'!$A$3:$A$3390,J$1,'United Data'!$C$3:$C$3390,$A615,'United Data'!$B$3:$B$3390,"&lt;&gt;Off-street")&gt;0,1,0)</f>
        <v>0</v>
      </c>
      <c r="K615">
        <f>IF(COUNTIFS('United Data'!$A$3:$A$3390,K$1,'United Data'!$C$3:$C$3390,$A615,'United Data'!$B$3:$B$3390,"&lt;&gt;Off-street")&gt;0,1,0)</f>
        <v>0</v>
      </c>
      <c r="L615">
        <f>IF(COUNTIFS('United Data'!$A$3:$A$3390,L$1,'United Data'!$C$3:$C$3390,$A615,'United Data'!$B$3:$B$3390,"&lt;&gt;Off-street")&gt;0,1,0)</f>
        <v>0</v>
      </c>
      <c r="M615">
        <f>IF(COUNTIFS('United Data'!$A$3:$A$3390,M$1,'United Data'!$C$3:$C$3390,$A615,'United Data'!$B$3:$B$3390,"&lt;&gt;Off-street")&gt;0,1,0)</f>
        <v>0</v>
      </c>
      <c r="N615">
        <f>IF(COUNTIFS('United Data'!$A$3:$A$3390,N$1,'United Data'!$C$3:$C$3390,$A615,'United Data'!$B$3:$B$3390,"&lt;&gt;Off-street")&gt;0,1,0)</f>
        <v>0</v>
      </c>
      <c r="O615">
        <f>IF(COUNTIFS('United Data'!$A$3:$A$3390,O$1,'United Data'!$C$3:$C$3390,$A615,'United Data'!$B$3:$B$3390,"&lt;&gt;Off-street")&gt;0,1,0)</f>
        <v>0</v>
      </c>
      <c r="P615">
        <f>IF(COUNTIFS('United Data'!$A$3:$A$3390,P$1,'United Data'!$C$3:$C$3390,$A615,'United Data'!$B$3:$B$3390,"&lt;&gt;Off-street")&gt;0,1,0)</f>
        <v>0</v>
      </c>
      <c r="Q615">
        <f>IF(COUNTIFS('United Data'!$A$3:$A$3390,Q$1,'United Data'!$C$3:$C$3390,$A615,'United Data'!$B$3:$B$3390,"&lt;&gt;Off-street")&gt;0,1,0)</f>
        <v>0</v>
      </c>
      <c r="R615">
        <f>IF(COUNTIFS('United Data'!$A$3:$A$3390,R$1,'United Data'!$C$3:$C$3390,$A615,'United Data'!$B$3:$B$3390,"&lt;&gt;Off-street")&gt;0,1,0)</f>
        <v>0</v>
      </c>
      <c r="S615">
        <f t="shared" si="18"/>
        <v>3</v>
      </c>
      <c r="T615">
        <f t="shared" si="19"/>
        <v>2</v>
      </c>
    </row>
    <row r="616" spans="1:20" x14ac:dyDescent="0.2">
      <c r="A616" t="s">
        <v>735</v>
      </c>
      <c r="B616">
        <f>IF(COUNTIFS('United Data'!$A$3:$A$3390,B$1,'United Data'!$C$3:$C$3390,$A616,'United Data'!$B$3:$B$3390,"&lt;&gt;Off-street")&gt;0,1,0)</f>
        <v>0</v>
      </c>
      <c r="C616">
        <f>IF(COUNTIFS('United Data'!$A$3:$A$3390,C$1,'United Data'!$C$3:$C$3390,$A616,'United Data'!$B$3:$B$3390,"&lt;&gt;Off-street")&gt;0,1,0)</f>
        <v>1</v>
      </c>
      <c r="D616">
        <f>IF(COUNTIFS('United Data'!$A$3:$A$3390,D$1,'United Data'!$C$3:$C$3390,$A616,'United Data'!$B$3:$B$3390,"&lt;&gt;Off-street")&gt;0,1,0)</f>
        <v>0</v>
      </c>
      <c r="E616">
        <f>IF(COUNTIFS('United Data'!$A$3:$A$3390,E$1,'United Data'!$C$3:$C$3390,$A616,'United Data'!$B$3:$B$3390,"&lt;&gt;Off-street")&gt;0,1,0)</f>
        <v>0</v>
      </c>
      <c r="F616">
        <f>IF(COUNTIFS('United Data'!$A$3:$A$3390,F$1,'United Data'!$C$3:$C$3390,$A616,'United Data'!$B$3:$B$3390,"&lt;&gt;Off-street")&gt;0,1,0)</f>
        <v>1</v>
      </c>
      <c r="G616">
        <f>IF(COUNTIFS('United Data'!$A$3:$A$3390,G$1,'United Data'!$C$3:$C$3390,$A616,'United Data'!$B$3:$B$3390,"&lt;&gt;Off-street")&gt;0,1,0)</f>
        <v>0</v>
      </c>
      <c r="H616">
        <f>IF(COUNTIFS('United Data'!$A$3:$A$3390,H$1,'United Data'!$C$3:$C$3390,$A616,'United Data'!$B$3:$B$3390,"&lt;&gt;Off-street")&gt;0,1,0)</f>
        <v>0</v>
      </c>
      <c r="I616">
        <f>IF(COUNTIFS('United Data'!$A$3:$A$3390,I$1,'United Data'!$C$3:$C$3390,$A616,'United Data'!$B$3:$B$3390,"&lt;&gt;Off-street")&gt;0,1,0)</f>
        <v>1</v>
      </c>
      <c r="J616">
        <f>IF(COUNTIFS('United Data'!$A$3:$A$3390,J$1,'United Data'!$C$3:$C$3390,$A616,'United Data'!$B$3:$B$3390,"&lt;&gt;Off-street")&gt;0,1,0)</f>
        <v>1</v>
      </c>
      <c r="K616">
        <f>IF(COUNTIFS('United Data'!$A$3:$A$3390,K$1,'United Data'!$C$3:$C$3390,$A616,'United Data'!$B$3:$B$3390,"&lt;&gt;Off-street")&gt;0,1,0)</f>
        <v>0</v>
      </c>
      <c r="L616">
        <f>IF(COUNTIFS('United Data'!$A$3:$A$3390,L$1,'United Data'!$C$3:$C$3390,$A616,'United Data'!$B$3:$B$3390,"&lt;&gt;Off-street")&gt;0,1,0)</f>
        <v>0</v>
      </c>
      <c r="M616">
        <f>IF(COUNTIFS('United Data'!$A$3:$A$3390,M$1,'United Data'!$C$3:$C$3390,$A616,'United Data'!$B$3:$B$3390,"&lt;&gt;Off-street")&gt;0,1,0)</f>
        <v>0</v>
      </c>
      <c r="N616">
        <f>IF(COUNTIFS('United Data'!$A$3:$A$3390,N$1,'United Data'!$C$3:$C$3390,$A616,'United Data'!$B$3:$B$3390,"&lt;&gt;Off-street")&gt;0,1,0)</f>
        <v>0</v>
      </c>
      <c r="O616">
        <f>IF(COUNTIFS('United Data'!$A$3:$A$3390,O$1,'United Data'!$C$3:$C$3390,$A616,'United Data'!$B$3:$B$3390,"&lt;&gt;Off-street")&gt;0,1,0)</f>
        <v>0</v>
      </c>
      <c r="P616">
        <f>IF(COUNTIFS('United Data'!$A$3:$A$3390,P$1,'United Data'!$C$3:$C$3390,$A616,'United Data'!$B$3:$B$3390,"&lt;&gt;Off-street")&gt;0,1,0)</f>
        <v>0</v>
      </c>
      <c r="Q616">
        <f>IF(COUNTIFS('United Data'!$A$3:$A$3390,Q$1,'United Data'!$C$3:$C$3390,$A616,'United Data'!$B$3:$B$3390,"&lt;&gt;Off-street")&gt;0,1,0)</f>
        <v>0</v>
      </c>
      <c r="R616">
        <f>IF(COUNTIFS('United Data'!$A$3:$A$3390,R$1,'United Data'!$C$3:$C$3390,$A616,'United Data'!$B$3:$B$3390,"&lt;&gt;Off-street")&gt;0,1,0)</f>
        <v>0</v>
      </c>
      <c r="S616">
        <f t="shared" si="18"/>
        <v>4</v>
      </c>
      <c r="T616">
        <f t="shared" si="19"/>
        <v>3</v>
      </c>
    </row>
    <row r="617" spans="1:20" x14ac:dyDescent="0.2">
      <c r="A617" t="s">
        <v>736</v>
      </c>
      <c r="B617">
        <f>IF(COUNTIFS('United Data'!$A$3:$A$3390,B$1,'United Data'!$C$3:$C$3390,$A617,'United Data'!$B$3:$B$3390,"&lt;&gt;Off-street")&gt;0,1,0)</f>
        <v>0</v>
      </c>
      <c r="C617">
        <f>IF(COUNTIFS('United Data'!$A$3:$A$3390,C$1,'United Data'!$C$3:$C$3390,$A617,'United Data'!$B$3:$B$3390,"&lt;&gt;Off-street")&gt;0,1,0)</f>
        <v>1</v>
      </c>
      <c r="D617">
        <f>IF(COUNTIFS('United Data'!$A$3:$A$3390,D$1,'United Data'!$C$3:$C$3390,$A617,'United Data'!$B$3:$B$3390,"&lt;&gt;Off-street")&gt;0,1,0)</f>
        <v>0</v>
      </c>
      <c r="E617">
        <f>IF(COUNTIFS('United Data'!$A$3:$A$3390,E$1,'United Data'!$C$3:$C$3390,$A617,'United Data'!$B$3:$B$3390,"&lt;&gt;Off-street")&gt;0,1,0)</f>
        <v>0</v>
      </c>
      <c r="F617">
        <f>IF(COUNTIFS('United Data'!$A$3:$A$3390,F$1,'United Data'!$C$3:$C$3390,$A617,'United Data'!$B$3:$B$3390,"&lt;&gt;Off-street")&gt;0,1,0)</f>
        <v>0</v>
      </c>
      <c r="G617">
        <f>IF(COUNTIFS('United Data'!$A$3:$A$3390,G$1,'United Data'!$C$3:$C$3390,$A617,'United Data'!$B$3:$B$3390,"&lt;&gt;Off-street")&gt;0,1,0)</f>
        <v>0</v>
      </c>
      <c r="H617">
        <f>IF(COUNTIFS('United Data'!$A$3:$A$3390,H$1,'United Data'!$C$3:$C$3390,$A617,'United Data'!$B$3:$B$3390,"&lt;&gt;Off-street")&gt;0,1,0)</f>
        <v>0</v>
      </c>
      <c r="I617">
        <f>IF(COUNTIFS('United Data'!$A$3:$A$3390,I$1,'United Data'!$C$3:$C$3390,$A617,'United Data'!$B$3:$B$3390,"&lt;&gt;Off-street")&gt;0,1,0)</f>
        <v>0</v>
      </c>
      <c r="J617">
        <f>IF(COUNTIFS('United Data'!$A$3:$A$3390,J$1,'United Data'!$C$3:$C$3390,$A617,'United Data'!$B$3:$B$3390,"&lt;&gt;Off-street")&gt;0,1,0)</f>
        <v>0</v>
      </c>
      <c r="K617">
        <f>IF(COUNTIFS('United Data'!$A$3:$A$3390,K$1,'United Data'!$C$3:$C$3390,$A617,'United Data'!$B$3:$B$3390,"&lt;&gt;Off-street")&gt;0,1,0)</f>
        <v>0</v>
      </c>
      <c r="L617">
        <f>IF(COUNTIFS('United Data'!$A$3:$A$3390,L$1,'United Data'!$C$3:$C$3390,$A617,'United Data'!$B$3:$B$3390,"&lt;&gt;Off-street")&gt;0,1,0)</f>
        <v>0</v>
      </c>
      <c r="M617">
        <f>IF(COUNTIFS('United Data'!$A$3:$A$3390,M$1,'United Data'!$C$3:$C$3390,$A617,'United Data'!$B$3:$B$3390,"&lt;&gt;Off-street")&gt;0,1,0)</f>
        <v>0</v>
      </c>
      <c r="N617">
        <f>IF(COUNTIFS('United Data'!$A$3:$A$3390,N$1,'United Data'!$C$3:$C$3390,$A617,'United Data'!$B$3:$B$3390,"&lt;&gt;Off-street")&gt;0,1,0)</f>
        <v>0</v>
      </c>
      <c r="O617">
        <f>IF(COUNTIFS('United Data'!$A$3:$A$3390,O$1,'United Data'!$C$3:$C$3390,$A617,'United Data'!$B$3:$B$3390,"&lt;&gt;Off-street")&gt;0,1,0)</f>
        <v>0</v>
      </c>
      <c r="P617">
        <f>IF(COUNTIFS('United Data'!$A$3:$A$3390,P$1,'United Data'!$C$3:$C$3390,$A617,'United Data'!$B$3:$B$3390,"&lt;&gt;Off-street")&gt;0,1,0)</f>
        <v>0</v>
      </c>
      <c r="Q617">
        <f>IF(COUNTIFS('United Data'!$A$3:$A$3390,Q$1,'United Data'!$C$3:$C$3390,$A617,'United Data'!$B$3:$B$3390,"&lt;&gt;Off-street")&gt;0,1,0)</f>
        <v>0</v>
      </c>
      <c r="R617">
        <f>IF(COUNTIFS('United Data'!$A$3:$A$3390,R$1,'United Data'!$C$3:$C$3390,$A617,'United Data'!$B$3:$B$3390,"&lt;&gt;Off-street")&gt;0,1,0)</f>
        <v>0</v>
      </c>
      <c r="S617">
        <f t="shared" si="18"/>
        <v>1</v>
      </c>
      <c r="T617">
        <f t="shared" si="19"/>
        <v>1</v>
      </c>
    </row>
    <row r="618" spans="1:20" x14ac:dyDescent="0.2">
      <c r="A618" t="s">
        <v>737</v>
      </c>
      <c r="B618">
        <f>IF(COUNTIFS('United Data'!$A$3:$A$3390,B$1,'United Data'!$C$3:$C$3390,$A618,'United Data'!$B$3:$B$3390,"&lt;&gt;Off-street")&gt;0,1,0)</f>
        <v>0</v>
      </c>
      <c r="C618">
        <f>IF(COUNTIFS('United Data'!$A$3:$A$3390,C$1,'United Data'!$C$3:$C$3390,$A618,'United Data'!$B$3:$B$3390,"&lt;&gt;Off-street")&gt;0,1,0)</f>
        <v>1</v>
      </c>
      <c r="D618">
        <f>IF(COUNTIFS('United Data'!$A$3:$A$3390,D$1,'United Data'!$C$3:$C$3390,$A618,'United Data'!$B$3:$B$3390,"&lt;&gt;Off-street")&gt;0,1,0)</f>
        <v>0</v>
      </c>
      <c r="E618">
        <f>IF(COUNTIFS('United Data'!$A$3:$A$3390,E$1,'United Data'!$C$3:$C$3390,$A618,'United Data'!$B$3:$B$3390,"&lt;&gt;Off-street")&gt;0,1,0)</f>
        <v>0</v>
      </c>
      <c r="F618">
        <f>IF(COUNTIFS('United Data'!$A$3:$A$3390,F$1,'United Data'!$C$3:$C$3390,$A618,'United Data'!$B$3:$B$3390,"&lt;&gt;Off-street")&gt;0,1,0)</f>
        <v>0</v>
      </c>
      <c r="G618">
        <f>IF(COUNTIFS('United Data'!$A$3:$A$3390,G$1,'United Data'!$C$3:$C$3390,$A618,'United Data'!$B$3:$B$3390,"&lt;&gt;Off-street")&gt;0,1,0)</f>
        <v>0</v>
      </c>
      <c r="H618">
        <f>IF(COUNTIFS('United Data'!$A$3:$A$3390,H$1,'United Data'!$C$3:$C$3390,$A618,'United Data'!$B$3:$B$3390,"&lt;&gt;Off-street")&gt;0,1,0)</f>
        <v>0</v>
      </c>
      <c r="I618">
        <f>IF(COUNTIFS('United Data'!$A$3:$A$3390,I$1,'United Data'!$C$3:$C$3390,$A618,'United Data'!$B$3:$B$3390,"&lt;&gt;Off-street")&gt;0,1,0)</f>
        <v>0</v>
      </c>
      <c r="J618">
        <f>IF(COUNTIFS('United Data'!$A$3:$A$3390,J$1,'United Data'!$C$3:$C$3390,$A618,'United Data'!$B$3:$B$3390,"&lt;&gt;Off-street")&gt;0,1,0)</f>
        <v>0</v>
      </c>
      <c r="K618">
        <f>IF(COUNTIFS('United Data'!$A$3:$A$3390,K$1,'United Data'!$C$3:$C$3390,$A618,'United Data'!$B$3:$B$3390,"&lt;&gt;Off-street")&gt;0,1,0)</f>
        <v>0</v>
      </c>
      <c r="L618">
        <f>IF(COUNTIFS('United Data'!$A$3:$A$3390,L$1,'United Data'!$C$3:$C$3390,$A618,'United Data'!$B$3:$B$3390,"&lt;&gt;Off-street")&gt;0,1,0)</f>
        <v>0</v>
      </c>
      <c r="M618">
        <f>IF(COUNTIFS('United Data'!$A$3:$A$3390,M$1,'United Data'!$C$3:$C$3390,$A618,'United Data'!$B$3:$B$3390,"&lt;&gt;Off-street")&gt;0,1,0)</f>
        <v>0</v>
      </c>
      <c r="N618">
        <f>IF(COUNTIFS('United Data'!$A$3:$A$3390,N$1,'United Data'!$C$3:$C$3390,$A618,'United Data'!$B$3:$B$3390,"&lt;&gt;Off-street")&gt;0,1,0)</f>
        <v>0</v>
      </c>
      <c r="O618">
        <f>IF(COUNTIFS('United Data'!$A$3:$A$3390,O$1,'United Data'!$C$3:$C$3390,$A618,'United Data'!$B$3:$B$3390,"&lt;&gt;Off-street")&gt;0,1,0)</f>
        <v>0</v>
      </c>
      <c r="P618">
        <f>IF(COUNTIFS('United Data'!$A$3:$A$3390,P$1,'United Data'!$C$3:$C$3390,$A618,'United Data'!$B$3:$B$3390,"&lt;&gt;Off-street")&gt;0,1,0)</f>
        <v>0</v>
      </c>
      <c r="Q618">
        <f>IF(COUNTIFS('United Data'!$A$3:$A$3390,Q$1,'United Data'!$C$3:$C$3390,$A618,'United Data'!$B$3:$B$3390,"&lt;&gt;Off-street")&gt;0,1,0)</f>
        <v>0</v>
      </c>
      <c r="R618">
        <f>IF(COUNTIFS('United Data'!$A$3:$A$3390,R$1,'United Data'!$C$3:$C$3390,$A618,'United Data'!$B$3:$B$3390,"&lt;&gt;Off-street")&gt;0,1,0)</f>
        <v>0</v>
      </c>
      <c r="S618">
        <f t="shared" si="18"/>
        <v>1</v>
      </c>
      <c r="T618">
        <f t="shared" si="19"/>
        <v>1</v>
      </c>
    </row>
    <row r="619" spans="1:20" x14ac:dyDescent="0.2">
      <c r="A619" t="s">
        <v>738</v>
      </c>
      <c r="B619">
        <f>IF(COUNTIFS('United Data'!$A$3:$A$3390,B$1,'United Data'!$C$3:$C$3390,$A619,'United Data'!$B$3:$B$3390,"&lt;&gt;Off-street")&gt;0,1,0)</f>
        <v>0</v>
      </c>
      <c r="C619">
        <f>IF(COUNTIFS('United Data'!$A$3:$A$3390,C$1,'United Data'!$C$3:$C$3390,$A619,'United Data'!$B$3:$B$3390,"&lt;&gt;Off-street")&gt;0,1,0)</f>
        <v>1</v>
      </c>
      <c r="D619">
        <f>IF(COUNTIFS('United Data'!$A$3:$A$3390,D$1,'United Data'!$C$3:$C$3390,$A619,'United Data'!$B$3:$B$3390,"&lt;&gt;Off-street")&gt;0,1,0)</f>
        <v>0</v>
      </c>
      <c r="E619">
        <f>IF(COUNTIFS('United Data'!$A$3:$A$3390,E$1,'United Data'!$C$3:$C$3390,$A619,'United Data'!$B$3:$B$3390,"&lt;&gt;Off-street")&gt;0,1,0)</f>
        <v>0</v>
      </c>
      <c r="F619">
        <f>IF(COUNTIFS('United Data'!$A$3:$A$3390,F$1,'United Data'!$C$3:$C$3390,$A619,'United Data'!$B$3:$B$3390,"&lt;&gt;Off-street")&gt;0,1,0)</f>
        <v>0</v>
      </c>
      <c r="G619">
        <f>IF(COUNTIFS('United Data'!$A$3:$A$3390,G$1,'United Data'!$C$3:$C$3390,$A619,'United Data'!$B$3:$B$3390,"&lt;&gt;Off-street")&gt;0,1,0)</f>
        <v>0</v>
      </c>
      <c r="H619">
        <f>IF(COUNTIFS('United Data'!$A$3:$A$3390,H$1,'United Data'!$C$3:$C$3390,$A619,'United Data'!$B$3:$B$3390,"&lt;&gt;Off-street")&gt;0,1,0)</f>
        <v>0</v>
      </c>
      <c r="I619">
        <f>IF(COUNTIFS('United Data'!$A$3:$A$3390,I$1,'United Data'!$C$3:$C$3390,$A619,'United Data'!$B$3:$B$3390,"&lt;&gt;Off-street")&gt;0,1,0)</f>
        <v>0</v>
      </c>
      <c r="J619">
        <f>IF(COUNTIFS('United Data'!$A$3:$A$3390,J$1,'United Data'!$C$3:$C$3390,$A619,'United Data'!$B$3:$B$3390,"&lt;&gt;Off-street")&gt;0,1,0)</f>
        <v>0</v>
      </c>
      <c r="K619">
        <f>IF(COUNTIFS('United Data'!$A$3:$A$3390,K$1,'United Data'!$C$3:$C$3390,$A619,'United Data'!$B$3:$B$3390,"&lt;&gt;Off-street")&gt;0,1,0)</f>
        <v>0</v>
      </c>
      <c r="L619">
        <f>IF(COUNTIFS('United Data'!$A$3:$A$3390,L$1,'United Data'!$C$3:$C$3390,$A619,'United Data'!$B$3:$B$3390,"&lt;&gt;Off-street")&gt;0,1,0)</f>
        <v>0</v>
      </c>
      <c r="M619">
        <f>IF(COUNTIFS('United Data'!$A$3:$A$3390,M$1,'United Data'!$C$3:$C$3390,$A619,'United Data'!$B$3:$B$3390,"&lt;&gt;Off-street")&gt;0,1,0)</f>
        <v>0</v>
      </c>
      <c r="N619">
        <f>IF(COUNTIFS('United Data'!$A$3:$A$3390,N$1,'United Data'!$C$3:$C$3390,$A619,'United Data'!$B$3:$B$3390,"&lt;&gt;Off-street")&gt;0,1,0)</f>
        <v>0</v>
      </c>
      <c r="O619">
        <f>IF(COUNTIFS('United Data'!$A$3:$A$3390,O$1,'United Data'!$C$3:$C$3390,$A619,'United Data'!$B$3:$B$3390,"&lt;&gt;Off-street")&gt;0,1,0)</f>
        <v>0</v>
      </c>
      <c r="P619">
        <f>IF(COUNTIFS('United Data'!$A$3:$A$3390,P$1,'United Data'!$C$3:$C$3390,$A619,'United Data'!$B$3:$B$3390,"&lt;&gt;Off-street")&gt;0,1,0)</f>
        <v>0</v>
      </c>
      <c r="Q619">
        <f>IF(COUNTIFS('United Data'!$A$3:$A$3390,Q$1,'United Data'!$C$3:$C$3390,$A619,'United Data'!$B$3:$B$3390,"&lt;&gt;Off-street")&gt;0,1,0)</f>
        <v>0</v>
      </c>
      <c r="R619">
        <f>IF(COUNTIFS('United Data'!$A$3:$A$3390,R$1,'United Data'!$C$3:$C$3390,$A619,'United Data'!$B$3:$B$3390,"&lt;&gt;Off-street")&gt;0,1,0)</f>
        <v>0</v>
      </c>
      <c r="S619">
        <f t="shared" si="18"/>
        <v>1</v>
      </c>
      <c r="T619">
        <f t="shared" si="19"/>
        <v>1</v>
      </c>
    </row>
    <row r="620" spans="1:20" x14ac:dyDescent="0.2">
      <c r="A620" t="s">
        <v>740</v>
      </c>
      <c r="B620">
        <f>IF(COUNTIFS('United Data'!$A$3:$A$3390,B$1,'United Data'!$C$3:$C$3390,$A620,'United Data'!$B$3:$B$3390,"&lt;&gt;Off-street")&gt;0,1,0)</f>
        <v>0</v>
      </c>
      <c r="C620">
        <f>IF(COUNTIFS('United Data'!$A$3:$A$3390,C$1,'United Data'!$C$3:$C$3390,$A620,'United Data'!$B$3:$B$3390,"&lt;&gt;Off-street")&gt;0,1,0)</f>
        <v>0</v>
      </c>
      <c r="D620">
        <f>IF(COUNTIFS('United Data'!$A$3:$A$3390,D$1,'United Data'!$C$3:$C$3390,$A620,'United Data'!$B$3:$B$3390,"&lt;&gt;Off-street")&gt;0,1,0)</f>
        <v>1</v>
      </c>
      <c r="E620">
        <f>IF(COUNTIFS('United Data'!$A$3:$A$3390,E$1,'United Data'!$C$3:$C$3390,$A620,'United Data'!$B$3:$B$3390,"&lt;&gt;Off-street")&gt;0,1,0)</f>
        <v>0</v>
      </c>
      <c r="F620">
        <f>IF(COUNTIFS('United Data'!$A$3:$A$3390,F$1,'United Data'!$C$3:$C$3390,$A620,'United Data'!$B$3:$B$3390,"&lt;&gt;Off-street")&gt;0,1,0)</f>
        <v>0</v>
      </c>
      <c r="G620">
        <f>IF(COUNTIFS('United Data'!$A$3:$A$3390,G$1,'United Data'!$C$3:$C$3390,$A620,'United Data'!$B$3:$B$3390,"&lt;&gt;Off-street")&gt;0,1,0)</f>
        <v>0</v>
      </c>
      <c r="H620">
        <f>IF(COUNTIFS('United Data'!$A$3:$A$3390,H$1,'United Data'!$C$3:$C$3390,$A620,'United Data'!$B$3:$B$3390,"&lt;&gt;Off-street")&gt;0,1,0)</f>
        <v>0</v>
      </c>
      <c r="I620">
        <f>IF(COUNTIFS('United Data'!$A$3:$A$3390,I$1,'United Data'!$C$3:$C$3390,$A620,'United Data'!$B$3:$B$3390,"&lt;&gt;Off-street")&gt;0,1,0)</f>
        <v>0</v>
      </c>
      <c r="J620">
        <f>IF(COUNTIFS('United Data'!$A$3:$A$3390,J$1,'United Data'!$C$3:$C$3390,$A620,'United Data'!$B$3:$B$3390,"&lt;&gt;Off-street")&gt;0,1,0)</f>
        <v>0</v>
      </c>
      <c r="K620">
        <f>IF(COUNTIFS('United Data'!$A$3:$A$3390,K$1,'United Data'!$C$3:$C$3390,$A620,'United Data'!$B$3:$B$3390,"&lt;&gt;Off-street")&gt;0,1,0)</f>
        <v>0</v>
      </c>
      <c r="L620">
        <f>IF(COUNTIFS('United Data'!$A$3:$A$3390,L$1,'United Data'!$C$3:$C$3390,$A620,'United Data'!$B$3:$B$3390,"&lt;&gt;Off-street")&gt;0,1,0)</f>
        <v>0</v>
      </c>
      <c r="M620">
        <f>IF(COUNTIFS('United Data'!$A$3:$A$3390,M$1,'United Data'!$C$3:$C$3390,$A620,'United Data'!$B$3:$B$3390,"&lt;&gt;Off-street")&gt;0,1,0)</f>
        <v>0</v>
      </c>
      <c r="N620">
        <f>IF(COUNTIFS('United Data'!$A$3:$A$3390,N$1,'United Data'!$C$3:$C$3390,$A620,'United Data'!$B$3:$B$3390,"&lt;&gt;Off-street")&gt;0,1,0)</f>
        <v>0</v>
      </c>
      <c r="O620">
        <f>IF(COUNTIFS('United Data'!$A$3:$A$3390,O$1,'United Data'!$C$3:$C$3390,$A620,'United Data'!$B$3:$B$3390,"&lt;&gt;Off-street")&gt;0,1,0)</f>
        <v>0</v>
      </c>
      <c r="P620">
        <f>IF(COUNTIFS('United Data'!$A$3:$A$3390,P$1,'United Data'!$C$3:$C$3390,$A620,'United Data'!$B$3:$B$3390,"&lt;&gt;Off-street")&gt;0,1,0)</f>
        <v>0</v>
      </c>
      <c r="Q620">
        <f>IF(COUNTIFS('United Data'!$A$3:$A$3390,Q$1,'United Data'!$C$3:$C$3390,$A620,'United Data'!$B$3:$B$3390,"&lt;&gt;Off-street")&gt;0,1,0)</f>
        <v>0</v>
      </c>
      <c r="R620">
        <f>IF(COUNTIFS('United Data'!$A$3:$A$3390,R$1,'United Data'!$C$3:$C$3390,$A620,'United Data'!$B$3:$B$3390,"&lt;&gt;Off-street")&gt;0,1,0)</f>
        <v>0</v>
      </c>
      <c r="S620">
        <f t="shared" si="18"/>
        <v>1</v>
      </c>
      <c r="T620">
        <f t="shared" si="19"/>
        <v>1</v>
      </c>
    </row>
    <row r="621" spans="1:20" x14ac:dyDescent="0.2">
      <c r="A621" t="s">
        <v>741</v>
      </c>
      <c r="B621">
        <f>IF(COUNTIFS('United Data'!$A$3:$A$3390,B$1,'United Data'!$C$3:$C$3390,$A621,'United Data'!$B$3:$B$3390,"&lt;&gt;Off-street")&gt;0,1,0)</f>
        <v>0</v>
      </c>
      <c r="C621">
        <f>IF(COUNTIFS('United Data'!$A$3:$A$3390,C$1,'United Data'!$C$3:$C$3390,$A621,'United Data'!$B$3:$B$3390,"&lt;&gt;Off-street")&gt;0,1,0)</f>
        <v>0</v>
      </c>
      <c r="D621">
        <f>IF(COUNTIFS('United Data'!$A$3:$A$3390,D$1,'United Data'!$C$3:$C$3390,$A621,'United Data'!$B$3:$B$3390,"&lt;&gt;Off-street")&gt;0,1,0)</f>
        <v>0</v>
      </c>
      <c r="E621">
        <f>IF(COUNTIFS('United Data'!$A$3:$A$3390,E$1,'United Data'!$C$3:$C$3390,$A621,'United Data'!$B$3:$B$3390,"&lt;&gt;Off-street")&gt;0,1,0)</f>
        <v>1</v>
      </c>
      <c r="F621">
        <f>IF(COUNTIFS('United Data'!$A$3:$A$3390,F$1,'United Data'!$C$3:$C$3390,$A621,'United Data'!$B$3:$B$3390,"&lt;&gt;Off-street")&gt;0,1,0)</f>
        <v>0</v>
      </c>
      <c r="G621">
        <f>IF(COUNTIFS('United Data'!$A$3:$A$3390,G$1,'United Data'!$C$3:$C$3390,$A621,'United Data'!$B$3:$B$3390,"&lt;&gt;Off-street")&gt;0,1,0)</f>
        <v>0</v>
      </c>
      <c r="H621">
        <f>IF(COUNTIFS('United Data'!$A$3:$A$3390,H$1,'United Data'!$C$3:$C$3390,$A621,'United Data'!$B$3:$B$3390,"&lt;&gt;Off-street")&gt;0,1,0)</f>
        <v>0</v>
      </c>
      <c r="I621">
        <f>IF(COUNTIFS('United Data'!$A$3:$A$3390,I$1,'United Data'!$C$3:$C$3390,$A621,'United Data'!$B$3:$B$3390,"&lt;&gt;Off-street")&gt;0,1,0)</f>
        <v>0</v>
      </c>
      <c r="J621">
        <f>IF(COUNTIFS('United Data'!$A$3:$A$3390,J$1,'United Data'!$C$3:$C$3390,$A621,'United Data'!$B$3:$B$3390,"&lt;&gt;Off-street")&gt;0,1,0)</f>
        <v>0</v>
      </c>
      <c r="K621">
        <f>IF(COUNTIFS('United Data'!$A$3:$A$3390,K$1,'United Data'!$C$3:$C$3390,$A621,'United Data'!$B$3:$B$3390,"&lt;&gt;Off-street")&gt;0,1,0)</f>
        <v>0</v>
      </c>
      <c r="L621">
        <f>IF(COUNTIFS('United Data'!$A$3:$A$3390,L$1,'United Data'!$C$3:$C$3390,$A621,'United Data'!$B$3:$B$3390,"&lt;&gt;Off-street")&gt;0,1,0)</f>
        <v>0</v>
      </c>
      <c r="M621">
        <f>IF(COUNTIFS('United Data'!$A$3:$A$3390,M$1,'United Data'!$C$3:$C$3390,$A621,'United Data'!$B$3:$B$3390,"&lt;&gt;Off-street")&gt;0,1,0)</f>
        <v>0</v>
      </c>
      <c r="N621">
        <f>IF(COUNTIFS('United Data'!$A$3:$A$3390,N$1,'United Data'!$C$3:$C$3390,$A621,'United Data'!$B$3:$B$3390,"&lt;&gt;Off-street")&gt;0,1,0)</f>
        <v>0</v>
      </c>
      <c r="O621">
        <f>IF(COUNTIFS('United Data'!$A$3:$A$3390,O$1,'United Data'!$C$3:$C$3390,$A621,'United Data'!$B$3:$B$3390,"&lt;&gt;Off-street")&gt;0,1,0)</f>
        <v>0</v>
      </c>
      <c r="P621">
        <f>IF(COUNTIFS('United Data'!$A$3:$A$3390,P$1,'United Data'!$C$3:$C$3390,$A621,'United Data'!$B$3:$B$3390,"&lt;&gt;Off-street")&gt;0,1,0)</f>
        <v>0</v>
      </c>
      <c r="Q621">
        <f>IF(COUNTIFS('United Data'!$A$3:$A$3390,Q$1,'United Data'!$C$3:$C$3390,$A621,'United Data'!$B$3:$B$3390,"&lt;&gt;Off-street")&gt;0,1,0)</f>
        <v>0</v>
      </c>
      <c r="R621">
        <f>IF(COUNTIFS('United Data'!$A$3:$A$3390,R$1,'United Data'!$C$3:$C$3390,$A621,'United Data'!$B$3:$B$3390,"&lt;&gt;Off-street")&gt;0,1,0)</f>
        <v>0</v>
      </c>
      <c r="S621">
        <f t="shared" si="18"/>
        <v>1</v>
      </c>
      <c r="T621">
        <f t="shared" si="19"/>
        <v>1</v>
      </c>
    </row>
    <row r="622" spans="1:20" x14ac:dyDescent="0.2">
      <c r="A622" t="s">
        <v>742</v>
      </c>
      <c r="B622">
        <f>IF(COUNTIFS('United Data'!$A$3:$A$3390,B$1,'United Data'!$C$3:$C$3390,$A622,'United Data'!$B$3:$B$3390,"&lt;&gt;Off-street")&gt;0,1,0)</f>
        <v>0</v>
      </c>
      <c r="C622">
        <f>IF(COUNTIFS('United Data'!$A$3:$A$3390,C$1,'United Data'!$C$3:$C$3390,$A622,'United Data'!$B$3:$B$3390,"&lt;&gt;Off-street")&gt;0,1,0)</f>
        <v>0</v>
      </c>
      <c r="D622">
        <f>IF(COUNTIFS('United Data'!$A$3:$A$3390,D$1,'United Data'!$C$3:$C$3390,$A622,'United Data'!$B$3:$B$3390,"&lt;&gt;Off-street")&gt;0,1,0)</f>
        <v>0</v>
      </c>
      <c r="E622">
        <f>IF(COUNTIFS('United Data'!$A$3:$A$3390,E$1,'United Data'!$C$3:$C$3390,$A622,'United Data'!$B$3:$B$3390,"&lt;&gt;Off-street")&gt;0,1,0)</f>
        <v>1</v>
      </c>
      <c r="F622">
        <f>IF(COUNTIFS('United Data'!$A$3:$A$3390,F$1,'United Data'!$C$3:$C$3390,$A622,'United Data'!$B$3:$B$3390,"&lt;&gt;Off-street")&gt;0,1,0)</f>
        <v>1</v>
      </c>
      <c r="G622">
        <f>IF(COUNTIFS('United Data'!$A$3:$A$3390,G$1,'United Data'!$C$3:$C$3390,$A622,'United Data'!$B$3:$B$3390,"&lt;&gt;Off-street")&gt;0,1,0)</f>
        <v>0</v>
      </c>
      <c r="H622">
        <f>IF(COUNTIFS('United Data'!$A$3:$A$3390,H$1,'United Data'!$C$3:$C$3390,$A622,'United Data'!$B$3:$B$3390,"&lt;&gt;Off-street")&gt;0,1,0)</f>
        <v>1</v>
      </c>
      <c r="I622">
        <f>IF(COUNTIFS('United Data'!$A$3:$A$3390,I$1,'United Data'!$C$3:$C$3390,$A622,'United Data'!$B$3:$B$3390,"&lt;&gt;Off-street")&gt;0,1,0)</f>
        <v>0</v>
      </c>
      <c r="J622">
        <f>IF(COUNTIFS('United Data'!$A$3:$A$3390,J$1,'United Data'!$C$3:$C$3390,$A622,'United Data'!$B$3:$B$3390,"&lt;&gt;Off-street")&gt;0,1,0)</f>
        <v>0</v>
      </c>
      <c r="K622">
        <f>IF(COUNTIFS('United Data'!$A$3:$A$3390,K$1,'United Data'!$C$3:$C$3390,$A622,'United Data'!$B$3:$B$3390,"&lt;&gt;Off-street")&gt;0,1,0)</f>
        <v>0</v>
      </c>
      <c r="L622">
        <f>IF(COUNTIFS('United Data'!$A$3:$A$3390,L$1,'United Data'!$C$3:$C$3390,$A622,'United Data'!$B$3:$B$3390,"&lt;&gt;Off-street")&gt;0,1,0)</f>
        <v>0</v>
      </c>
      <c r="M622">
        <f>IF(COUNTIFS('United Data'!$A$3:$A$3390,M$1,'United Data'!$C$3:$C$3390,$A622,'United Data'!$B$3:$B$3390,"&lt;&gt;Off-street")&gt;0,1,0)</f>
        <v>0</v>
      </c>
      <c r="N622">
        <f>IF(COUNTIFS('United Data'!$A$3:$A$3390,N$1,'United Data'!$C$3:$C$3390,$A622,'United Data'!$B$3:$B$3390,"&lt;&gt;Off-street")&gt;0,1,0)</f>
        <v>0</v>
      </c>
      <c r="O622">
        <f>IF(COUNTIFS('United Data'!$A$3:$A$3390,O$1,'United Data'!$C$3:$C$3390,$A622,'United Data'!$B$3:$B$3390,"&lt;&gt;Off-street")&gt;0,1,0)</f>
        <v>0</v>
      </c>
      <c r="P622">
        <f>IF(COUNTIFS('United Data'!$A$3:$A$3390,P$1,'United Data'!$C$3:$C$3390,$A622,'United Data'!$B$3:$B$3390,"&lt;&gt;Off-street")&gt;0,1,0)</f>
        <v>0</v>
      </c>
      <c r="Q622">
        <f>IF(COUNTIFS('United Data'!$A$3:$A$3390,Q$1,'United Data'!$C$3:$C$3390,$A622,'United Data'!$B$3:$B$3390,"&lt;&gt;Off-street")&gt;0,1,0)</f>
        <v>0</v>
      </c>
      <c r="R622">
        <f>IF(COUNTIFS('United Data'!$A$3:$A$3390,R$1,'United Data'!$C$3:$C$3390,$A622,'United Data'!$B$3:$B$3390,"&lt;&gt;Off-street")&gt;0,1,0)</f>
        <v>0</v>
      </c>
      <c r="S622">
        <f t="shared" si="18"/>
        <v>3</v>
      </c>
      <c r="T622">
        <f t="shared" si="19"/>
        <v>2</v>
      </c>
    </row>
    <row r="623" spans="1:20" x14ac:dyDescent="0.2">
      <c r="A623" t="s">
        <v>743</v>
      </c>
      <c r="B623">
        <f>IF(COUNTIFS('United Data'!$A$3:$A$3390,B$1,'United Data'!$C$3:$C$3390,$A623,'United Data'!$B$3:$B$3390,"&lt;&gt;Off-street")&gt;0,1,0)</f>
        <v>0</v>
      </c>
      <c r="C623">
        <f>IF(COUNTIFS('United Data'!$A$3:$A$3390,C$1,'United Data'!$C$3:$C$3390,$A623,'United Data'!$B$3:$B$3390,"&lt;&gt;Off-street")&gt;0,1,0)</f>
        <v>0</v>
      </c>
      <c r="D623">
        <f>IF(COUNTIFS('United Data'!$A$3:$A$3390,D$1,'United Data'!$C$3:$C$3390,$A623,'United Data'!$B$3:$B$3390,"&lt;&gt;Off-street")&gt;0,1,0)</f>
        <v>0</v>
      </c>
      <c r="E623">
        <f>IF(COUNTIFS('United Data'!$A$3:$A$3390,E$1,'United Data'!$C$3:$C$3390,$A623,'United Data'!$B$3:$B$3390,"&lt;&gt;Off-street")&gt;0,1,0)</f>
        <v>1</v>
      </c>
      <c r="F623">
        <f>IF(COUNTIFS('United Data'!$A$3:$A$3390,F$1,'United Data'!$C$3:$C$3390,$A623,'United Data'!$B$3:$B$3390,"&lt;&gt;Off-street")&gt;0,1,0)</f>
        <v>0</v>
      </c>
      <c r="G623">
        <f>IF(COUNTIFS('United Data'!$A$3:$A$3390,G$1,'United Data'!$C$3:$C$3390,$A623,'United Data'!$B$3:$B$3390,"&lt;&gt;Off-street")&gt;0,1,0)</f>
        <v>0</v>
      </c>
      <c r="H623">
        <f>IF(COUNTIFS('United Data'!$A$3:$A$3390,H$1,'United Data'!$C$3:$C$3390,$A623,'United Data'!$B$3:$B$3390,"&lt;&gt;Off-street")&gt;0,1,0)</f>
        <v>0</v>
      </c>
      <c r="I623">
        <f>IF(COUNTIFS('United Data'!$A$3:$A$3390,I$1,'United Data'!$C$3:$C$3390,$A623,'United Data'!$B$3:$B$3390,"&lt;&gt;Off-street")&gt;0,1,0)</f>
        <v>0</v>
      </c>
      <c r="J623">
        <f>IF(COUNTIFS('United Data'!$A$3:$A$3390,J$1,'United Data'!$C$3:$C$3390,$A623,'United Data'!$B$3:$B$3390,"&lt;&gt;Off-street")&gt;0,1,0)</f>
        <v>0</v>
      </c>
      <c r="K623">
        <f>IF(COUNTIFS('United Data'!$A$3:$A$3390,K$1,'United Data'!$C$3:$C$3390,$A623,'United Data'!$B$3:$B$3390,"&lt;&gt;Off-street")&gt;0,1,0)</f>
        <v>0</v>
      </c>
      <c r="L623">
        <f>IF(COUNTIFS('United Data'!$A$3:$A$3390,L$1,'United Data'!$C$3:$C$3390,$A623,'United Data'!$B$3:$B$3390,"&lt;&gt;Off-street")&gt;0,1,0)</f>
        <v>0</v>
      </c>
      <c r="M623">
        <f>IF(COUNTIFS('United Data'!$A$3:$A$3390,M$1,'United Data'!$C$3:$C$3390,$A623,'United Data'!$B$3:$B$3390,"&lt;&gt;Off-street")&gt;0,1,0)</f>
        <v>0</v>
      </c>
      <c r="N623">
        <f>IF(COUNTIFS('United Data'!$A$3:$A$3390,N$1,'United Data'!$C$3:$C$3390,$A623,'United Data'!$B$3:$B$3390,"&lt;&gt;Off-street")&gt;0,1,0)</f>
        <v>0</v>
      </c>
      <c r="O623">
        <f>IF(COUNTIFS('United Data'!$A$3:$A$3390,O$1,'United Data'!$C$3:$C$3390,$A623,'United Data'!$B$3:$B$3390,"&lt;&gt;Off-street")&gt;0,1,0)</f>
        <v>0</v>
      </c>
      <c r="P623">
        <f>IF(COUNTIFS('United Data'!$A$3:$A$3390,P$1,'United Data'!$C$3:$C$3390,$A623,'United Data'!$B$3:$B$3390,"&lt;&gt;Off-street")&gt;0,1,0)</f>
        <v>0</v>
      </c>
      <c r="Q623">
        <f>IF(COUNTIFS('United Data'!$A$3:$A$3390,Q$1,'United Data'!$C$3:$C$3390,$A623,'United Data'!$B$3:$B$3390,"&lt;&gt;Off-street")&gt;0,1,0)</f>
        <v>0</v>
      </c>
      <c r="R623">
        <f>IF(COUNTIFS('United Data'!$A$3:$A$3390,R$1,'United Data'!$C$3:$C$3390,$A623,'United Data'!$B$3:$B$3390,"&lt;&gt;Off-street")&gt;0,1,0)</f>
        <v>0</v>
      </c>
      <c r="S623">
        <f t="shared" si="18"/>
        <v>1</v>
      </c>
      <c r="T623">
        <f t="shared" si="19"/>
        <v>1</v>
      </c>
    </row>
    <row r="624" spans="1:20" x14ac:dyDescent="0.2">
      <c r="A624" t="s">
        <v>744</v>
      </c>
      <c r="B624">
        <f>IF(COUNTIFS('United Data'!$A$3:$A$3390,B$1,'United Data'!$C$3:$C$3390,$A624,'United Data'!$B$3:$B$3390,"&lt;&gt;Off-street")&gt;0,1,0)</f>
        <v>0</v>
      </c>
      <c r="C624">
        <f>IF(COUNTIFS('United Data'!$A$3:$A$3390,C$1,'United Data'!$C$3:$C$3390,$A624,'United Data'!$B$3:$B$3390,"&lt;&gt;Off-street")&gt;0,1,0)</f>
        <v>0</v>
      </c>
      <c r="D624">
        <f>IF(COUNTIFS('United Data'!$A$3:$A$3390,D$1,'United Data'!$C$3:$C$3390,$A624,'United Data'!$B$3:$B$3390,"&lt;&gt;Off-street")&gt;0,1,0)</f>
        <v>0</v>
      </c>
      <c r="E624">
        <f>IF(COUNTIFS('United Data'!$A$3:$A$3390,E$1,'United Data'!$C$3:$C$3390,$A624,'United Data'!$B$3:$B$3390,"&lt;&gt;Off-street")&gt;0,1,0)</f>
        <v>1</v>
      </c>
      <c r="F624">
        <f>IF(COUNTIFS('United Data'!$A$3:$A$3390,F$1,'United Data'!$C$3:$C$3390,$A624,'United Data'!$B$3:$B$3390,"&lt;&gt;Off-street")&gt;0,1,0)</f>
        <v>1</v>
      </c>
      <c r="G624">
        <f>IF(COUNTIFS('United Data'!$A$3:$A$3390,G$1,'United Data'!$C$3:$C$3390,$A624,'United Data'!$B$3:$B$3390,"&lt;&gt;Off-street")&gt;0,1,0)</f>
        <v>0</v>
      </c>
      <c r="H624">
        <f>IF(COUNTIFS('United Data'!$A$3:$A$3390,H$1,'United Data'!$C$3:$C$3390,$A624,'United Data'!$B$3:$B$3390,"&lt;&gt;Off-street")&gt;0,1,0)</f>
        <v>1</v>
      </c>
      <c r="I624">
        <f>IF(COUNTIFS('United Data'!$A$3:$A$3390,I$1,'United Data'!$C$3:$C$3390,$A624,'United Data'!$B$3:$B$3390,"&lt;&gt;Off-street")&gt;0,1,0)</f>
        <v>0</v>
      </c>
      <c r="J624">
        <f>IF(COUNTIFS('United Data'!$A$3:$A$3390,J$1,'United Data'!$C$3:$C$3390,$A624,'United Data'!$B$3:$B$3390,"&lt;&gt;Off-street")&gt;0,1,0)</f>
        <v>0</v>
      </c>
      <c r="K624">
        <f>IF(COUNTIFS('United Data'!$A$3:$A$3390,K$1,'United Data'!$C$3:$C$3390,$A624,'United Data'!$B$3:$B$3390,"&lt;&gt;Off-street")&gt;0,1,0)</f>
        <v>0</v>
      </c>
      <c r="L624">
        <f>IF(COUNTIFS('United Data'!$A$3:$A$3390,L$1,'United Data'!$C$3:$C$3390,$A624,'United Data'!$B$3:$B$3390,"&lt;&gt;Off-street")&gt;0,1,0)</f>
        <v>0</v>
      </c>
      <c r="M624">
        <f>IF(COUNTIFS('United Data'!$A$3:$A$3390,M$1,'United Data'!$C$3:$C$3390,$A624,'United Data'!$B$3:$B$3390,"&lt;&gt;Off-street")&gt;0,1,0)</f>
        <v>0</v>
      </c>
      <c r="N624">
        <f>IF(COUNTIFS('United Data'!$A$3:$A$3390,N$1,'United Data'!$C$3:$C$3390,$A624,'United Data'!$B$3:$B$3390,"&lt;&gt;Off-street")&gt;0,1,0)</f>
        <v>0</v>
      </c>
      <c r="O624">
        <f>IF(COUNTIFS('United Data'!$A$3:$A$3390,O$1,'United Data'!$C$3:$C$3390,$A624,'United Data'!$B$3:$B$3390,"&lt;&gt;Off-street")&gt;0,1,0)</f>
        <v>0</v>
      </c>
      <c r="P624">
        <f>IF(COUNTIFS('United Data'!$A$3:$A$3390,P$1,'United Data'!$C$3:$C$3390,$A624,'United Data'!$B$3:$B$3390,"&lt;&gt;Off-street")&gt;0,1,0)</f>
        <v>0</v>
      </c>
      <c r="Q624">
        <f>IF(COUNTIFS('United Data'!$A$3:$A$3390,Q$1,'United Data'!$C$3:$C$3390,$A624,'United Data'!$B$3:$B$3390,"&lt;&gt;Off-street")&gt;0,1,0)</f>
        <v>0</v>
      </c>
      <c r="R624">
        <f>IF(COUNTIFS('United Data'!$A$3:$A$3390,R$1,'United Data'!$C$3:$C$3390,$A624,'United Data'!$B$3:$B$3390,"&lt;&gt;Off-street")&gt;0,1,0)</f>
        <v>0</v>
      </c>
      <c r="S624">
        <f t="shared" si="18"/>
        <v>3</v>
      </c>
      <c r="T624">
        <f t="shared" si="19"/>
        <v>2</v>
      </c>
    </row>
    <row r="625" spans="1:20" x14ac:dyDescent="0.2">
      <c r="A625" t="s">
        <v>745</v>
      </c>
      <c r="B625">
        <f>IF(COUNTIFS('United Data'!$A$3:$A$3390,B$1,'United Data'!$C$3:$C$3390,$A625,'United Data'!$B$3:$B$3390,"&lt;&gt;Off-street")&gt;0,1,0)</f>
        <v>0</v>
      </c>
      <c r="C625">
        <f>IF(COUNTIFS('United Data'!$A$3:$A$3390,C$1,'United Data'!$C$3:$C$3390,$A625,'United Data'!$B$3:$B$3390,"&lt;&gt;Off-street")&gt;0,1,0)</f>
        <v>0</v>
      </c>
      <c r="D625">
        <f>IF(COUNTIFS('United Data'!$A$3:$A$3390,D$1,'United Data'!$C$3:$C$3390,$A625,'United Data'!$B$3:$B$3390,"&lt;&gt;Off-street")&gt;0,1,0)</f>
        <v>0</v>
      </c>
      <c r="E625">
        <f>IF(COUNTIFS('United Data'!$A$3:$A$3390,E$1,'United Data'!$C$3:$C$3390,$A625,'United Data'!$B$3:$B$3390,"&lt;&gt;Off-street")&gt;0,1,0)</f>
        <v>1</v>
      </c>
      <c r="F625">
        <f>IF(COUNTIFS('United Data'!$A$3:$A$3390,F$1,'United Data'!$C$3:$C$3390,$A625,'United Data'!$B$3:$B$3390,"&lt;&gt;Off-street")&gt;0,1,0)</f>
        <v>0</v>
      </c>
      <c r="G625">
        <f>IF(COUNTIFS('United Data'!$A$3:$A$3390,G$1,'United Data'!$C$3:$C$3390,$A625,'United Data'!$B$3:$B$3390,"&lt;&gt;Off-street")&gt;0,1,0)</f>
        <v>0</v>
      </c>
      <c r="H625">
        <f>IF(COUNTIFS('United Data'!$A$3:$A$3390,H$1,'United Data'!$C$3:$C$3390,$A625,'United Data'!$B$3:$B$3390,"&lt;&gt;Off-street")&gt;0,1,0)</f>
        <v>0</v>
      </c>
      <c r="I625">
        <f>IF(COUNTIFS('United Data'!$A$3:$A$3390,I$1,'United Data'!$C$3:$C$3390,$A625,'United Data'!$B$3:$B$3390,"&lt;&gt;Off-street")&gt;0,1,0)</f>
        <v>0</v>
      </c>
      <c r="J625">
        <f>IF(COUNTIFS('United Data'!$A$3:$A$3390,J$1,'United Data'!$C$3:$C$3390,$A625,'United Data'!$B$3:$B$3390,"&lt;&gt;Off-street")&gt;0,1,0)</f>
        <v>0</v>
      </c>
      <c r="K625">
        <f>IF(COUNTIFS('United Data'!$A$3:$A$3390,K$1,'United Data'!$C$3:$C$3390,$A625,'United Data'!$B$3:$B$3390,"&lt;&gt;Off-street")&gt;0,1,0)</f>
        <v>0</v>
      </c>
      <c r="L625">
        <f>IF(COUNTIFS('United Data'!$A$3:$A$3390,L$1,'United Data'!$C$3:$C$3390,$A625,'United Data'!$B$3:$B$3390,"&lt;&gt;Off-street")&gt;0,1,0)</f>
        <v>0</v>
      </c>
      <c r="M625">
        <f>IF(COUNTIFS('United Data'!$A$3:$A$3390,M$1,'United Data'!$C$3:$C$3390,$A625,'United Data'!$B$3:$B$3390,"&lt;&gt;Off-street")&gt;0,1,0)</f>
        <v>0</v>
      </c>
      <c r="N625">
        <f>IF(COUNTIFS('United Data'!$A$3:$A$3390,N$1,'United Data'!$C$3:$C$3390,$A625,'United Data'!$B$3:$B$3390,"&lt;&gt;Off-street")&gt;0,1,0)</f>
        <v>0</v>
      </c>
      <c r="O625">
        <f>IF(COUNTIFS('United Data'!$A$3:$A$3390,O$1,'United Data'!$C$3:$C$3390,$A625,'United Data'!$B$3:$B$3390,"&lt;&gt;Off-street")&gt;0,1,0)</f>
        <v>0</v>
      </c>
      <c r="P625">
        <f>IF(COUNTIFS('United Data'!$A$3:$A$3390,P$1,'United Data'!$C$3:$C$3390,$A625,'United Data'!$B$3:$B$3390,"&lt;&gt;Off-street")&gt;0,1,0)</f>
        <v>0</v>
      </c>
      <c r="Q625">
        <f>IF(COUNTIFS('United Data'!$A$3:$A$3390,Q$1,'United Data'!$C$3:$C$3390,$A625,'United Data'!$B$3:$B$3390,"&lt;&gt;Off-street")&gt;0,1,0)</f>
        <v>0</v>
      </c>
      <c r="R625">
        <f>IF(COUNTIFS('United Data'!$A$3:$A$3390,R$1,'United Data'!$C$3:$C$3390,$A625,'United Data'!$B$3:$B$3390,"&lt;&gt;Off-street")&gt;0,1,0)</f>
        <v>0</v>
      </c>
      <c r="S625">
        <f t="shared" si="18"/>
        <v>1</v>
      </c>
      <c r="T625">
        <f t="shared" si="19"/>
        <v>1</v>
      </c>
    </row>
    <row r="626" spans="1:20" x14ac:dyDescent="0.2">
      <c r="A626" t="s">
        <v>746</v>
      </c>
      <c r="B626">
        <f>IF(COUNTIFS('United Data'!$A$3:$A$3390,B$1,'United Data'!$C$3:$C$3390,$A626,'United Data'!$B$3:$B$3390,"&lt;&gt;Off-street")&gt;0,1,0)</f>
        <v>0</v>
      </c>
      <c r="C626">
        <f>IF(COUNTIFS('United Data'!$A$3:$A$3390,C$1,'United Data'!$C$3:$C$3390,$A626,'United Data'!$B$3:$B$3390,"&lt;&gt;Off-street")&gt;0,1,0)</f>
        <v>0</v>
      </c>
      <c r="D626">
        <f>IF(COUNTIFS('United Data'!$A$3:$A$3390,D$1,'United Data'!$C$3:$C$3390,$A626,'United Data'!$B$3:$B$3390,"&lt;&gt;Off-street")&gt;0,1,0)</f>
        <v>0</v>
      </c>
      <c r="E626">
        <f>IF(COUNTIFS('United Data'!$A$3:$A$3390,E$1,'United Data'!$C$3:$C$3390,$A626,'United Data'!$B$3:$B$3390,"&lt;&gt;Off-street")&gt;0,1,0)</f>
        <v>1</v>
      </c>
      <c r="F626">
        <f>IF(COUNTIFS('United Data'!$A$3:$A$3390,F$1,'United Data'!$C$3:$C$3390,$A626,'United Data'!$B$3:$B$3390,"&lt;&gt;Off-street")&gt;0,1,0)</f>
        <v>0</v>
      </c>
      <c r="G626">
        <f>IF(COUNTIFS('United Data'!$A$3:$A$3390,G$1,'United Data'!$C$3:$C$3390,$A626,'United Data'!$B$3:$B$3390,"&lt;&gt;Off-street")&gt;0,1,0)</f>
        <v>0</v>
      </c>
      <c r="H626">
        <f>IF(COUNTIFS('United Data'!$A$3:$A$3390,H$1,'United Data'!$C$3:$C$3390,$A626,'United Data'!$B$3:$B$3390,"&lt;&gt;Off-street")&gt;0,1,0)</f>
        <v>0</v>
      </c>
      <c r="I626">
        <f>IF(COUNTIFS('United Data'!$A$3:$A$3390,I$1,'United Data'!$C$3:$C$3390,$A626,'United Data'!$B$3:$B$3390,"&lt;&gt;Off-street")&gt;0,1,0)</f>
        <v>0</v>
      </c>
      <c r="J626">
        <f>IF(COUNTIFS('United Data'!$A$3:$A$3390,J$1,'United Data'!$C$3:$C$3390,$A626,'United Data'!$B$3:$B$3390,"&lt;&gt;Off-street")&gt;0,1,0)</f>
        <v>0</v>
      </c>
      <c r="K626">
        <f>IF(COUNTIFS('United Data'!$A$3:$A$3390,K$1,'United Data'!$C$3:$C$3390,$A626,'United Data'!$B$3:$B$3390,"&lt;&gt;Off-street")&gt;0,1,0)</f>
        <v>0</v>
      </c>
      <c r="L626">
        <f>IF(COUNTIFS('United Data'!$A$3:$A$3390,L$1,'United Data'!$C$3:$C$3390,$A626,'United Data'!$B$3:$B$3390,"&lt;&gt;Off-street")&gt;0,1,0)</f>
        <v>0</v>
      </c>
      <c r="M626">
        <f>IF(COUNTIFS('United Data'!$A$3:$A$3390,M$1,'United Data'!$C$3:$C$3390,$A626,'United Data'!$B$3:$B$3390,"&lt;&gt;Off-street")&gt;0,1,0)</f>
        <v>0</v>
      </c>
      <c r="N626">
        <f>IF(COUNTIFS('United Data'!$A$3:$A$3390,N$1,'United Data'!$C$3:$C$3390,$A626,'United Data'!$B$3:$B$3390,"&lt;&gt;Off-street")&gt;0,1,0)</f>
        <v>0</v>
      </c>
      <c r="O626">
        <f>IF(COUNTIFS('United Data'!$A$3:$A$3390,O$1,'United Data'!$C$3:$C$3390,$A626,'United Data'!$B$3:$B$3390,"&lt;&gt;Off-street")&gt;0,1,0)</f>
        <v>0</v>
      </c>
      <c r="P626">
        <f>IF(COUNTIFS('United Data'!$A$3:$A$3390,P$1,'United Data'!$C$3:$C$3390,$A626,'United Data'!$B$3:$B$3390,"&lt;&gt;Off-street")&gt;0,1,0)</f>
        <v>0</v>
      </c>
      <c r="Q626">
        <f>IF(COUNTIFS('United Data'!$A$3:$A$3390,Q$1,'United Data'!$C$3:$C$3390,$A626,'United Data'!$B$3:$B$3390,"&lt;&gt;Off-street")&gt;0,1,0)</f>
        <v>0</v>
      </c>
      <c r="R626">
        <f>IF(COUNTIFS('United Data'!$A$3:$A$3390,R$1,'United Data'!$C$3:$C$3390,$A626,'United Data'!$B$3:$B$3390,"&lt;&gt;Off-street")&gt;0,1,0)</f>
        <v>0</v>
      </c>
      <c r="S626">
        <f t="shared" si="18"/>
        <v>1</v>
      </c>
      <c r="T626">
        <f t="shared" si="19"/>
        <v>1</v>
      </c>
    </row>
    <row r="627" spans="1:20" x14ac:dyDescent="0.2">
      <c r="A627" t="s">
        <v>747</v>
      </c>
      <c r="B627">
        <f>IF(COUNTIFS('United Data'!$A$3:$A$3390,B$1,'United Data'!$C$3:$C$3390,$A627,'United Data'!$B$3:$B$3390,"&lt;&gt;Off-street")&gt;0,1,0)</f>
        <v>0</v>
      </c>
      <c r="C627">
        <f>IF(COUNTIFS('United Data'!$A$3:$A$3390,C$1,'United Data'!$C$3:$C$3390,$A627,'United Data'!$B$3:$B$3390,"&lt;&gt;Off-street")&gt;0,1,0)</f>
        <v>0</v>
      </c>
      <c r="D627">
        <f>IF(COUNTIFS('United Data'!$A$3:$A$3390,D$1,'United Data'!$C$3:$C$3390,$A627,'United Data'!$B$3:$B$3390,"&lt;&gt;Off-street")&gt;0,1,0)</f>
        <v>0</v>
      </c>
      <c r="E627">
        <f>IF(COUNTIFS('United Data'!$A$3:$A$3390,E$1,'United Data'!$C$3:$C$3390,$A627,'United Data'!$B$3:$B$3390,"&lt;&gt;Off-street")&gt;0,1,0)</f>
        <v>0</v>
      </c>
      <c r="F627">
        <f>IF(COUNTIFS('United Data'!$A$3:$A$3390,F$1,'United Data'!$C$3:$C$3390,$A627,'United Data'!$B$3:$B$3390,"&lt;&gt;Off-street")&gt;0,1,0)</f>
        <v>1</v>
      </c>
      <c r="G627">
        <f>IF(COUNTIFS('United Data'!$A$3:$A$3390,G$1,'United Data'!$C$3:$C$3390,$A627,'United Data'!$B$3:$B$3390,"&lt;&gt;Off-street")&gt;0,1,0)</f>
        <v>0</v>
      </c>
      <c r="H627">
        <f>IF(COUNTIFS('United Data'!$A$3:$A$3390,H$1,'United Data'!$C$3:$C$3390,$A627,'United Data'!$B$3:$B$3390,"&lt;&gt;Off-street")&gt;0,1,0)</f>
        <v>0</v>
      </c>
      <c r="I627">
        <f>IF(COUNTIFS('United Data'!$A$3:$A$3390,I$1,'United Data'!$C$3:$C$3390,$A627,'United Data'!$B$3:$B$3390,"&lt;&gt;Off-street")&gt;0,1,0)</f>
        <v>0</v>
      </c>
      <c r="J627">
        <f>IF(COUNTIFS('United Data'!$A$3:$A$3390,J$1,'United Data'!$C$3:$C$3390,$A627,'United Data'!$B$3:$B$3390,"&lt;&gt;Off-street")&gt;0,1,0)</f>
        <v>0</v>
      </c>
      <c r="K627">
        <f>IF(COUNTIFS('United Data'!$A$3:$A$3390,K$1,'United Data'!$C$3:$C$3390,$A627,'United Data'!$B$3:$B$3390,"&lt;&gt;Off-street")&gt;0,1,0)</f>
        <v>0</v>
      </c>
      <c r="L627">
        <f>IF(COUNTIFS('United Data'!$A$3:$A$3390,L$1,'United Data'!$C$3:$C$3390,$A627,'United Data'!$B$3:$B$3390,"&lt;&gt;Off-street")&gt;0,1,0)</f>
        <v>0</v>
      </c>
      <c r="M627">
        <f>IF(COUNTIFS('United Data'!$A$3:$A$3390,M$1,'United Data'!$C$3:$C$3390,$A627,'United Data'!$B$3:$B$3390,"&lt;&gt;Off-street")&gt;0,1,0)</f>
        <v>0</v>
      </c>
      <c r="N627">
        <f>IF(COUNTIFS('United Data'!$A$3:$A$3390,N$1,'United Data'!$C$3:$C$3390,$A627,'United Data'!$B$3:$B$3390,"&lt;&gt;Off-street")&gt;0,1,0)</f>
        <v>0</v>
      </c>
      <c r="O627">
        <f>IF(COUNTIFS('United Data'!$A$3:$A$3390,O$1,'United Data'!$C$3:$C$3390,$A627,'United Data'!$B$3:$B$3390,"&lt;&gt;Off-street")&gt;0,1,0)</f>
        <v>0</v>
      </c>
      <c r="P627">
        <f>IF(COUNTIFS('United Data'!$A$3:$A$3390,P$1,'United Data'!$C$3:$C$3390,$A627,'United Data'!$B$3:$B$3390,"&lt;&gt;Off-street")&gt;0,1,0)</f>
        <v>0</v>
      </c>
      <c r="Q627">
        <f>IF(COUNTIFS('United Data'!$A$3:$A$3390,Q$1,'United Data'!$C$3:$C$3390,$A627,'United Data'!$B$3:$B$3390,"&lt;&gt;Off-street")&gt;0,1,0)</f>
        <v>0</v>
      </c>
      <c r="R627">
        <f>IF(COUNTIFS('United Data'!$A$3:$A$3390,R$1,'United Data'!$C$3:$C$3390,$A627,'United Data'!$B$3:$B$3390,"&lt;&gt;Off-street")&gt;0,1,0)</f>
        <v>0</v>
      </c>
      <c r="S627">
        <f t="shared" si="18"/>
        <v>1</v>
      </c>
      <c r="T627">
        <f t="shared" si="19"/>
        <v>1</v>
      </c>
    </row>
    <row r="628" spans="1:20" x14ac:dyDescent="0.2">
      <c r="A628" t="s">
        <v>748</v>
      </c>
      <c r="B628">
        <f>IF(COUNTIFS('United Data'!$A$3:$A$3390,B$1,'United Data'!$C$3:$C$3390,$A628,'United Data'!$B$3:$B$3390,"&lt;&gt;Off-street")&gt;0,1,0)</f>
        <v>0</v>
      </c>
      <c r="C628">
        <f>IF(COUNTIFS('United Data'!$A$3:$A$3390,C$1,'United Data'!$C$3:$C$3390,$A628,'United Data'!$B$3:$B$3390,"&lt;&gt;Off-street")&gt;0,1,0)</f>
        <v>0</v>
      </c>
      <c r="D628">
        <f>IF(COUNTIFS('United Data'!$A$3:$A$3390,D$1,'United Data'!$C$3:$C$3390,$A628,'United Data'!$B$3:$B$3390,"&lt;&gt;Off-street")&gt;0,1,0)</f>
        <v>0</v>
      </c>
      <c r="E628">
        <f>IF(COUNTIFS('United Data'!$A$3:$A$3390,E$1,'United Data'!$C$3:$C$3390,$A628,'United Data'!$B$3:$B$3390,"&lt;&gt;Off-street")&gt;0,1,0)</f>
        <v>0</v>
      </c>
      <c r="F628">
        <f>IF(COUNTIFS('United Data'!$A$3:$A$3390,F$1,'United Data'!$C$3:$C$3390,$A628,'United Data'!$B$3:$B$3390,"&lt;&gt;Off-street")&gt;0,1,0)</f>
        <v>1</v>
      </c>
      <c r="G628">
        <f>IF(COUNTIFS('United Data'!$A$3:$A$3390,G$1,'United Data'!$C$3:$C$3390,$A628,'United Data'!$B$3:$B$3390,"&lt;&gt;Off-street")&gt;0,1,0)</f>
        <v>0</v>
      </c>
      <c r="H628">
        <f>IF(COUNTIFS('United Data'!$A$3:$A$3390,H$1,'United Data'!$C$3:$C$3390,$A628,'United Data'!$B$3:$B$3390,"&lt;&gt;Off-street")&gt;0,1,0)</f>
        <v>0</v>
      </c>
      <c r="I628">
        <f>IF(COUNTIFS('United Data'!$A$3:$A$3390,I$1,'United Data'!$C$3:$C$3390,$A628,'United Data'!$B$3:$B$3390,"&lt;&gt;Off-street")&gt;0,1,0)</f>
        <v>0</v>
      </c>
      <c r="J628">
        <f>IF(COUNTIFS('United Data'!$A$3:$A$3390,J$1,'United Data'!$C$3:$C$3390,$A628,'United Data'!$B$3:$B$3390,"&lt;&gt;Off-street")&gt;0,1,0)</f>
        <v>1</v>
      </c>
      <c r="K628">
        <f>IF(COUNTIFS('United Data'!$A$3:$A$3390,K$1,'United Data'!$C$3:$C$3390,$A628,'United Data'!$B$3:$B$3390,"&lt;&gt;Off-street")&gt;0,1,0)</f>
        <v>1</v>
      </c>
      <c r="L628">
        <f>IF(COUNTIFS('United Data'!$A$3:$A$3390,L$1,'United Data'!$C$3:$C$3390,$A628,'United Data'!$B$3:$B$3390,"&lt;&gt;Off-street")&gt;0,1,0)</f>
        <v>1</v>
      </c>
      <c r="M628">
        <f>IF(COUNTIFS('United Data'!$A$3:$A$3390,M$1,'United Data'!$C$3:$C$3390,$A628,'United Data'!$B$3:$B$3390,"&lt;&gt;Off-street")&gt;0,1,0)</f>
        <v>1</v>
      </c>
      <c r="N628">
        <f>IF(COUNTIFS('United Data'!$A$3:$A$3390,N$1,'United Data'!$C$3:$C$3390,$A628,'United Data'!$B$3:$B$3390,"&lt;&gt;Off-street")&gt;0,1,0)</f>
        <v>1</v>
      </c>
      <c r="O628">
        <f>IF(COUNTIFS('United Data'!$A$3:$A$3390,O$1,'United Data'!$C$3:$C$3390,$A628,'United Data'!$B$3:$B$3390,"&lt;&gt;Off-street")&gt;0,1,0)</f>
        <v>0</v>
      </c>
      <c r="P628">
        <f>IF(COUNTIFS('United Data'!$A$3:$A$3390,P$1,'United Data'!$C$3:$C$3390,$A628,'United Data'!$B$3:$B$3390,"&lt;&gt;Off-street")&gt;0,1,0)</f>
        <v>0</v>
      </c>
      <c r="Q628">
        <f>IF(COUNTIFS('United Data'!$A$3:$A$3390,Q$1,'United Data'!$C$3:$C$3390,$A628,'United Data'!$B$3:$B$3390,"&lt;&gt;Off-street")&gt;0,1,0)</f>
        <v>0</v>
      </c>
      <c r="R628">
        <f>IF(COUNTIFS('United Data'!$A$3:$A$3390,R$1,'United Data'!$C$3:$C$3390,$A628,'United Data'!$B$3:$B$3390,"&lt;&gt;Off-street")&gt;0,1,0)</f>
        <v>0</v>
      </c>
      <c r="S628">
        <f t="shared" si="18"/>
        <v>6</v>
      </c>
      <c r="T628">
        <f t="shared" si="19"/>
        <v>2</v>
      </c>
    </row>
    <row r="629" spans="1:20" x14ac:dyDescent="0.2">
      <c r="A629" t="s">
        <v>749</v>
      </c>
      <c r="B629">
        <f>IF(COUNTIFS('United Data'!$A$3:$A$3390,B$1,'United Data'!$C$3:$C$3390,$A629,'United Data'!$B$3:$B$3390,"&lt;&gt;Off-street")&gt;0,1,0)</f>
        <v>0</v>
      </c>
      <c r="C629">
        <f>IF(COUNTIFS('United Data'!$A$3:$A$3390,C$1,'United Data'!$C$3:$C$3390,$A629,'United Data'!$B$3:$B$3390,"&lt;&gt;Off-street")&gt;0,1,0)</f>
        <v>0</v>
      </c>
      <c r="D629">
        <f>IF(COUNTIFS('United Data'!$A$3:$A$3390,D$1,'United Data'!$C$3:$C$3390,$A629,'United Data'!$B$3:$B$3390,"&lt;&gt;Off-street")&gt;0,1,0)</f>
        <v>0</v>
      </c>
      <c r="E629">
        <f>IF(COUNTIFS('United Data'!$A$3:$A$3390,E$1,'United Data'!$C$3:$C$3390,$A629,'United Data'!$B$3:$B$3390,"&lt;&gt;Off-street")&gt;0,1,0)</f>
        <v>0</v>
      </c>
      <c r="F629">
        <f>IF(COUNTIFS('United Data'!$A$3:$A$3390,F$1,'United Data'!$C$3:$C$3390,$A629,'United Data'!$B$3:$B$3390,"&lt;&gt;Off-street")&gt;0,1,0)</f>
        <v>1</v>
      </c>
      <c r="G629">
        <f>IF(COUNTIFS('United Data'!$A$3:$A$3390,G$1,'United Data'!$C$3:$C$3390,$A629,'United Data'!$B$3:$B$3390,"&lt;&gt;Off-street")&gt;0,1,0)</f>
        <v>0</v>
      </c>
      <c r="H629">
        <f>IF(COUNTIFS('United Data'!$A$3:$A$3390,H$1,'United Data'!$C$3:$C$3390,$A629,'United Data'!$B$3:$B$3390,"&lt;&gt;Off-street")&gt;0,1,0)</f>
        <v>0</v>
      </c>
      <c r="I629">
        <f>IF(COUNTIFS('United Data'!$A$3:$A$3390,I$1,'United Data'!$C$3:$C$3390,$A629,'United Data'!$B$3:$B$3390,"&lt;&gt;Off-street")&gt;0,1,0)</f>
        <v>0</v>
      </c>
      <c r="J629">
        <f>IF(COUNTIFS('United Data'!$A$3:$A$3390,J$1,'United Data'!$C$3:$C$3390,$A629,'United Data'!$B$3:$B$3390,"&lt;&gt;Off-street")&gt;0,1,0)</f>
        <v>0</v>
      </c>
      <c r="K629">
        <f>IF(COUNTIFS('United Data'!$A$3:$A$3390,K$1,'United Data'!$C$3:$C$3390,$A629,'United Data'!$B$3:$B$3390,"&lt;&gt;Off-street")&gt;0,1,0)</f>
        <v>0</v>
      </c>
      <c r="L629">
        <f>IF(COUNTIFS('United Data'!$A$3:$A$3390,L$1,'United Data'!$C$3:$C$3390,$A629,'United Data'!$B$3:$B$3390,"&lt;&gt;Off-street")&gt;0,1,0)</f>
        <v>0</v>
      </c>
      <c r="M629">
        <f>IF(COUNTIFS('United Data'!$A$3:$A$3390,M$1,'United Data'!$C$3:$C$3390,$A629,'United Data'!$B$3:$B$3390,"&lt;&gt;Off-street")&gt;0,1,0)</f>
        <v>0</v>
      </c>
      <c r="N629">
        <f>IF(COUNTIFS('United Data'!$A$3:$A$3390,N$1,'United Data'!$C$3:$C$3390,$A629,'United Data'!$B$3:$B$3390,"&lt;&gt;Off-street")&gt;0,1,0)</f>
        <v>0</v>
      </c>
      <c r="O629">
        <f>IF(COUNTIFS('United Data'!$A$3:$A$3390,O$1,'United Data'!$C$3:$C$3390,$A629,'United Data'!$B$3:$B$3390,"&lt;&gt;Off-street")&gt;0,1,0)</f>
        <v>0</v>
      </c>
      <c r="P629">
        <f>IF(COUNTIFS('United Data'!$A$3:$A$3390,P$1,'United Data'!$C$3:$C$3390,$A629,'United Data'!$B$3:$B$3390,"&lt;&gt;Off-street")&gt;0,1,0)</f>
        <v>0</v>
      </c>
      <c r="Q629">
        <f>IF(COUNTIFS('United Data'!$A$3:$A$3390,Q$1,'United Data'!$C$3:$C$3390,$A629,'United Data'!$B$3:$B$3390,"&lt;&gt;Off-street")&gt;0,1,0)</f>
        <v>0</v>
      </c>
      <c r="R629">
        <f>IF(COUNTIFS('United Data'!$A$3:$A$3390,R$1,'United Data'!$C$3:$C$3390,$A629,'United Data'!$B$3:$B$3390,"&lt;&gt;Off-street")&gt;0,1,0)</f>
        <v>0</v>
      </c>
      <c r="S629">
        <f t="shared" si="18"/>
        <v>1</v>
      </c>
      <c r="T629">
        <f t="shared" si="19"/>
        <v>1</v>
      </c>
    </row>
    <row r="630" spans="1:20" x14ac:dyDescent="0.2">
      <c r="A630" t="s">
        <v>750</v>
      </c>
      <c r="B630">
        <f>IF(COUNTIFS('United Data'!$A$3:$A$3390,B$1,'United Data'!$C$3:$C$3390,$A630,'United Data'!$B$3:$B$3390,"&lt;&gt;Off-street")&gt;0,1,0)</f>
        <v>0</v>
      </c>
      <c r="C630">
        <f>IF(COUNTIFS('United Data'!$A$3:$A$3390,C$1,'United Data'!$C$3:$C$3390,$A630,'United Data'!$B$3:$B$3390,"&lt;&gt;Off-street")&gt;0,1,0)</f>
        <v>0</v>
      </c>
      <c r="D630">
        <f>IF(COUNTIFS('United Data'!$A$3:$A$3390,D$1,'United Data'!$C$3:$C$3390,$A630,'United Data'!$B$3:$B$3390,"&lt;&gt;Off-street")&gt;0,1,0)</f>
        <v>0</v>
      </c>
      <c r="E630">
        <f>IF(COUNTIFS('United Data'!$A$3:$A$3390,E$1,'United Data'!$C$3:$C$3390,$A630,'United Data'!$B$3:$B$3390,"&lt;&gt;Off-street")&gt;0,1,0)</f>
        <v>0</v>
      </c>
      <c r="F630">
        <f>IF(COUNTIFS('United Data'!$A$3:$A$3390,F$1,'United Data'!$C$3:$C$3390,$A630,'United Data'!$B$3:$B$3390,"&lt;&gt;Off-street")&gt;0,1,0)</f>
        <v>1</v>
      </c>
      <c r="G630">
        <f>IF(COUNTIFS('United Data'!$A$3:$A$3390,G$1,'United Data'!$C$3:$C$3390,$A630,'United Data'!$B$3:$B$3390,"&lt;&gt;Off-street")&gt;0,1,0)</f>
        <v>0</v>
      </c>
      <c r="H630">
        <f>IF(COUNTIFS('United Data'!$A$3:$A$3390,H$1,'United Data'!$C$3:$C$3390,$A630,'United Data'!$B$3:$B$3390,"&lt;&gt;Off-street")&gt;0,1,0)</f>
        <v>0</v>
      </c>
      <c r="I630">
        <f>IF(COUNTIFS('United Data'!$A$3:$A$3390,I$1,'United Data'!$C$3:$C$3390,$A630,'United Data'!$B$3:$B$3390,"&lt;&gt;Off-street")&gt;0,1,0)</f>
        <v>0</v>
      </c>
      <c r="J630">
        <f>IF(COUNTIFS('United Data'!$A$3:$A$3390,J$1,'United Data'!$C$3:$C$3390,$A630,'United Data'!$B$3:$B$3390,"&lt;&gt;Off-street")&gt;0,1,0)</f>
        <v>0</v>
      </c>
      <c r="K630">
        <f>IF(COUNTIFS('United Data'!$A$3:$A$3390,K$1,'United Data'!$C$3:$C$3390,$A630,'United Data'!$B$3:$B$3390,"&lt;&gt;Off-street")&gt;0,1,0)</f>
        <v>0</v>
      </c>
      <c r="L630">
        <f>IF(COUNTIFS('United Data'!$A$3:$A$3390,L$1,'United Data'!$C$3:$C$3390,$A630,'United Data'!$B$3:$B$3390,"&lt;&gt;Off-street")&gt;0,1,0)</f>
        <v>0</v>
      </c>
      <c r="M630">
        <f>IF(COUNTIFS('United Data'!$A$3:$A$3390,M$1,'United Data'!$C$3:$C$3390,$A630,'United Data'!$B$3:$B$3390,"&lt;&gt;Off-street")&gt;0,1,0)</f>
        <v>0</v>
      </c>
      <c r="N630">
        <f>IF(COUNTIFS('United Data'!$A$3:$A$3390,N$1,'United Data'!$C$3:$C$3390,$A630,'United Data'!$B$3:$B$3390,"&lt;&gt;Off-street")&gt;0,1,0)</f>
        <v>0</v>
      </c>
      <c r="O630">
        <f>IF(COUNTIFS('United Data'!$A$3:$A$3390,O$1,'United Data'!$C$3:$C$3390,$A630,'United Data'!$B$3:$B$3390,"&lt;&gt;Off-street")&gt;0,1,0)</f>
        <v>0</v>
      </c>
      <c r="P630">
        <f>IF(COUNTIFS('United Data'!$A$3:$A$3390,P$1,'United Data'!$C$3:$C$3390,$A630,'United Data'!$B$3:$B$3390,"&lt;&gt;Off-street")&gt;0,1,0)</f>
        <v>0</v>
      </c>
      <c r="Q630">
        <f>IF(COUNTIFS('United Data'!$A$3:$A$3390,Q$1,'United Data'!$C$3:$C$3390,$A630,'United Data'!$B$3:$B$3390,"&lt;&gt;Off-street")&gt;0,1,0)</f>
        <v>0</v>
      </c>
      <c r="R630">
        <f>IF(COUNTIFS('United Data'!$A$3:$A$3390,R$1,'United Data'!$C$3:$C$3390,$A630,'United Data'!$B$3:$B$3390,"&lt;&gt;Off-street")&gt;0,1,0)</f>
        <v>0</v>
      </c>
      <c r="S630">
        <f t="shared" si="18"/>
        <v>1</v>
      </c>
      <c r="T630">
        <f t="shared" si="19"/>
        <v>1</v>
      </c>
    </row>
    <row r="631" spans="1:20" x14ac:dyDescent="0.2">
      <c r="A631" t="s">
        <v>751</v>
      </c>
      <c r="B631">
        <f>IF(COUNTIFS('United Data'!$A$3:$A$3390,B$1,'United Data'!$C$3:$C$3390,$A631,'United Data'!$B$3:$B$3390,"&lt;&gt;Off-street")&gt;0,1,0)</f>
        <v>0</v>
      </c>
      <c r="C631">
        <f>IF(COUNTIFS('United Data'!$A$3:$A$3390,C$1,'United Data'!$C$3:$C$3390,$A631,'United Data'!$B$3:$B$3390,"&lt;&gt;Off-street")&gt;0,1,0)</f>
        <v>0</v>
      </c>
      <c r="D631">
        <f>IF(COUNTIFS('United Data'!$A$3:$A$3390,D$1,'United Data'!$C$3:$C$3390,$A631,'United Data'!$B$3:$B$3390,"&lt;&gt;Off-street")&gt;0,1,0)</f>
        <v>0</v>
      </c>
      <c r="E631">
        <f>IF(COUNTIFS('United Data'!$A$3:$A$3390,E$1,'United Data'!$C$3:$C$3390,$A631,'United Data'!$B$3:$B$3390,"&lt;&gt;Off-street")&gt;0,1,0)</f>
        <v>0</v>
      </c>
      <c r="F631">
        <f>IF(COUNTIFS('United Data'!$A$3:$A$3390,F$1,'United Data'!$C$3:$C$3390,$A631,'United Data'!$B$3:$B$3390,"&lt;&gt;Off-street")&gt;0,1,0)</f>
        <v>1</v>
      </c>
      <c r="G631">
        <f>IF(COUNTIFS('United Data'!$A$3:$A$3390,G$1,'United Data'!$C$3:$C$3390,$A631,'United Data'!$B$3:$B$3390,"&lt;&gt;Off-street")&gt;0,1,0)</f>
        <v>0</v>
      </c>
      <c r="H631">
        <f>IF(COUNTIFS('United Data'!$A$3:$A$3390,H$1,'United Data'!$C$3:$C$3390,$A631,'United Data'!$B$3:$B$3390,"&lt;&gt;Off-street")&gt;0,1,0)</f>
        <v>0</v>
      </c>
      <c r="I631">
        <f>IF(COUNTIFS('United Data'!$A$3:$A$3390,I$1,'United Data'!$C$3:$C$3390,$A631,'United Data'!$B$3:$B$3390,"&lt;&gt;Off-street")&gt;0,1,0)</f>
        <v>0</v>
      </c>
      <c r="J631">
        <f>IF(COUNTIFS('United Data'!$A$3:$A$3390,J$1,'United Data'!$C$3:$C$3390,$A631,'United Data'!$B$3:$B$3390,"&lt;&gt;Off-street")&gt;0,1,0)</f>
        <v>0</v>
      </c>
      <c r="K631">
        <f>IF(COUNTIFS('United Data'!$A$3:$A$3390,K$1,'United Data'!$C$3:$C$3390,$A631,'United Data'!$B$3:$B$3390,"&lt;&gt;Off-street")&gt;0,1,0)</f>
        <v>0</v>
      </c>
      <c r="L631">
        <f>IF(COUNTIFS('United Data'!$A$3:$A$3390,L$1,'United Data'!$C$3:$C$3390,$A631,'United Data'!$B$3:$B$3390,"&lt;&gt;Off-street")&gt;0,1,0)</f>
        <v>0</v>
      </c>
      <c r="M631">
        <f>IF(COUNTIFS('United Data'!$A$3:$A$3390,M$1,'United Data'!$C$3:$C$3390,$A631,'United Data'!$B$3:$B$3390,"&lt;&gt;Off-street")&gt;0,1,0)</f>
        <v>0</v>
      </c>
      <c r="N631">
        <f>IF(COUNTIFS('United Data'!$A$3:$A$3390,N$1,'United Data'!$C$3:$C$3390,$A631,'United Data'!$B$3:$B$3390,"&lt;&gt;Off-street")&gt;0,1,0)</f>
        <v>0</v>
      </c>
      <c r="O631">
        <f>IF(COUNTIFS('United Data'!$A$3:$A$3390,O$1,'United Data'!$C$3:$C$3390,$A631,'United Data'!$B$3:$B$3390,"&lt;&gt;Off-street")&gt;0,1,0)</f>
        <v>0</v>
      </c>
      <c r="P631">
        <f>IF(COUNTIFS('United Data'!$A$3:$A$3390,P$1,'United Data'!$C$3:$C$3390,$A631,'United Data'!$B$3:$B$3390,"&lt;&gt;Off-street")&gt;0,1,0)</f>
        <v>0</v>
      </c>
      <c r="Q631">
        <f>IF(COUNTIFS('United Data'!$A$3:$A$3390,Q$1,'United Data'!$C$3:$C$3390,$A631,'United Data'!$B$3:$B$3390,"&lt;&gt;Off-street")&gt;0,1,0)</f>
        <v>0</v>
      </c>
      <c r="R631">
        <f>IF(COUNTIFS('United Data'!$A$3:$A$3390,R$1,'United Data'!$C$3:$C$3390,$A631,'United Data'!$B$3:$B$3390,"&lt;&gt;Off-street")&gt;0,1,0)</f>
        <v>0</v>
      </c>
      <c r="S631">
        <f t="shared" si="18"/>
        <v>1</v>
      </c>
      <c r="T631">
        <f t="shared" si="19"/>
        <v>1</v>
      </c>
    </row>
    <row r="632" spans="1:20" x14ac:dyDescent="0.2">
      <c r="A632" t="s">
        <v>752</v>
      </c>
      <c r="B632">
        <f>IF(COUNTIFS('United Data'!$A$3:$A$3390,B$1,'United Data'!$C$3:$C$3390,$A632,'United Data'!$B$3:$B$3390,"&lt;&gt;Off-street")&gt;0,1,0)</f>
        <v>0</v>
      </c>
      <c r="C632">
        <f>IF(COUNTIFS('United Data'!$A$3:$A$3390,C$1,'United Data'!$C$3:$C$3390,$A632,'United Data'!$B$3:$B$3390,"&lt;&gt;Off-street")&gt;0,1,0)</f>
        <v>0</v>
      </c>
      <c r="D632">
        <f>IF(COUNTIFS('United Data'!$A$3:$A$3390,D$1,'United Data'!$C$3:$C$3390,$A632,'United Data'!$B$3:$B$3390,"&lt;&gt;Off-street")&gt;0,1,0)</f>
        <v>0</v>
      </c>
      <c r="E632">
        <f>IF(COUNTIFS('United Data'!$A$3:$A$3390,E$1,'United Data'!$C$3:$C$3390,$A632,'United Data'!$B$3:$B$3390,"&lt;&gt;Off-street")&gt;0,1,0)</f>
        <v>0</v>
      </c>
      <c r="F632">
        <f>IF(COUNTIFS('United Data'!$A$3:$A$3390,F$1,'United Data'!$C$3:$C$3390,$A632,'United Data'!$B$3:$B$3390,"&lt;&gt;Off-street")&gt;0,1,0)</f>
        <v>1</v>
      </c>
      <c r="G632">
        <f>IF(COUNTIFS('United Data'!$A$3:$A$3390,G$1,'United Data'!$C$3:$C$3390,$A632,'United Data'!$B$3:$B$3390,"&lt;&gt;Off-street")&gt;0,1,0)</f>
        <v>0</v>
      </c>
      <c r="H632">
        <f>IF(COUNTIFS('United Data'!$A$3:$A$3390,H$1,'United Data'!$C$3:$C$3390,$A632,'United Data'!$B$3:$B$3390,"&lt;&gt;Off-street")&gt;0,1,0)</f>
        <v>0</v>
      </c>
      <c r="I632">
        <f>IF(COUNTIFS('United Data'!$A$3:$A$3390,I$1,'United Data'!$C$3:$C$3390,$A632,'United Data'!$B$3:$B$3390,"&lt;&gt;Off-street")&gt;0,1,0)</f>
        <v>0</v>
      </c>
      <c r="J632">
        <f>IF(COUNTIFS('United Data'!$A$3:$A$3390,J$1,'United Data'!$C$3:$C$3390,$A632,'United Data'!$B$3:$B$3390,"&lt;&gt;Off-street")&gt;0,1,0)</f>
        <v>0</v>
      </c>
      <c r="K632">
        <f>IF(COUNTIFS('United Data'!$A$3:$A$3390,K$1,'United Data'!$C$3:$C$3390,$A632,'United Data'!$B$3:$B$3390,"&lt;&gt;Off-street")&gt;0,1,0)</f>
        <v>0</v>
      </c>
      <c r="L632">
        <f>IF(COUNTIFS('United Data'!$A$3:$A$3390,L$1,'United Data'!$C$3:$C$3390,$A632,'United Data'!$B$3:$B$3390,"&lt;&gt;Off-street")&gt;0,1,0)</f>
        <v>0</v>
      </c>
      <c r="M632">
        <f>IF(COUNTIFS('United Data'!$A$3:$A$3390,M$1,'United Data'!$C$3:$C$3390,$A632,'United Data'!$B$3:$B$3390,"&lt;&gt;Off-street")&gt;0,1,0)</f>
        <v>0</v>
      </c>
      <c r="N632">
        <f>IF(COUNTIFS('United Data'!$A$3:$A$3390,N$1,'United Data'!$C$3:$C$3390,$A632,'United Data'!$B$3:$B$3390,"&lt;&gt;Off-street")&gt;0,1,0)</f>
        <v>0</v>
      </c>
      <c r="O632">
        <f>IF(COUNTIFS('United Data'!$A$3:$A$3390,O$1,'United Data'!$C$3:$C$3390,$A632,'United Data'!$B$3:$B$3390,"&lt;&gt;Off-street")&gt;0,1,0)</f>
        <v>0</v>
      </c>
      <c r="P632">
        <f>IF(COUNTIFS('United Data'!$A$3:$A$3390,P$1,'United Data'!$C$3:$C$3390,$A632,'United Data'!$B$3:$B$3390,"&lt;&gt;Off-street")&gt;0,1,0)</f>
        <v>0</v>
      </c>
      <c r="Q632">
        <f>IF(COUNTIFS('United Data'!$A$3:$A$3390,Q$1,'United Data'!$C$3:$C$3390,$A632,'United Data'!$B$3:$B$3390,"&lt;&gt;Off-street")&gt;0,1,0)</f>
        <v>0</v>
      </c>
      <c r="R632">
        <f>IF(COUNTIFS('United Data'!$A$3:$A$3390,R$1,'United Data'!$C$3:$C$3390,$A632,'United Data'!$B$3:$B$3390,"&lt;&gt;Off-street")&gt;0,1,0)</f>
        <v>0</v>
      </c>
      <c r="S632">
        <f t="shared" si="18"/>
        <v>1</v>
      </c>
      <c r="T632">
        <f t="shared" si="19"/>
        <v>1</v>
      </c>
    </row>
    <row r="633" spans="1:20" x14ac:dyDescent="0.2">
      <c r="A633" t="s">
        <v>754</v>
      </c>
      <c r="B633">
        <f>IF(COUNTIFS('United Data'!$A$3:$A$3390,B$1,'United Data'!$C$3:$C$3390,$A633,'United Data'!$B$3:$B$3390,"&lt;&gt;Off-street")&gt;0,1,0)</f>
        <v>0</v>
      </c>
      <c r="C633">
        <f>IF(COUNTIFS('United Data'!$A$3:$A$3390,C$1,'United Data'!$C$3:$C$3390,$A633,'United Data'!$B$3:$B$3390,"&lt;&gt;Off-street")&gt;0,1,0)</f>
        <v>0</v>
      </c>
      <c r="D633">
        <f>IF(COUNTIFS('United Data'!$A$3:$A$3390,D$1,'United Data'!$C$3:$C$3390,$A633,'United Data'!$B$3:$B$3390,"&lt;&gt;Off-street")&gt;0,1,0)</f>
        <v>0</v>
      </c>
      <c r="E633">
        <f>IF(COUNTIFS('United Data'!$A$3:$A$3390,E$1,'United Data'!$C$3:$C$3390,$A633,'United Data'!$B$3:$B$3390,"&lt;&gt;Off-street")&gt;0,1,0)</f>
        <v>0</v>
      </c>
      <c r="F633">
        <f>IF(COUNTIFS('United Data'!$A$3:$A$3390,F$1,'United Data'!$C$3:$C$3390,$A633,'United Data'!$B$3:$B$3390,"&lt;&gt;Off-street")&gt;0,1,0)</f>
        <v>1</v>
      </c>
      <c r="G633">
        <f>IF(COUNTIFS('United Data'!$A$3:$A$3390,G$1,'United Data'!$C$3:$C$3390,$A633,'United Data'!$B$3:$B$3390,"&lt;&gt;Off-street")&gt;0,1,0)</f>
        <v>0</v>
      </c>
      <c r="H633">
        <f>IF(COUNTIFS('United Data'!$A$3:$A$3390,H$1,'United Data'!$C$3:$C$3390,$A633,'United Data'!$B$3:$B$3390,"&lt;&gt;Off-street")&gt;0,1,0)</f>
        <v>0</v>
      </c>
      <c r="I633">
        <f>IF(COUNTIFS('United Data'!$A$3:$A$3390,I$1,'United Data'!$C$3:$C$3390,$A633,'United Data'!$B$3:$B$3390,"&lt;&gt;Off-street")&gt;0,1,0)</f>
        <v>0</v>
      </c>
      <c r="J633">
        <f>IF(COUNTIFS('United Data'!$A$3:$A$3390,J$1,'United Data'!$C$3:$C$3390,$A633,'United Data'!$B$3:$B$3390,"&lt;&gt;Off-street")&gt;0,1,0)</f>
        <v>0</v>
      </c>
      <c r="K633">
        <f>IF(COUNTIFS('United Data'!$A$3:$A$3390,K$1,'United Data'!$C$3:$C$3390,$A633,'United Data'!$B$3:$B$3390,"&lt;&gt;Off-street")&gt;0,1,0)</f>
        <v>0</v>
      </c>
      <c r="L633">
        <f>IF(COUNTIFS('United Data'!$A$3:$A$3390,L$1,'United Data'!$C$3:$C$3390,$A633,'United Data'!$B$3:$B$3390,"&lt;&gt;Off-street")&gt;0,1,0)</f>
        <v>0</v>
      </c>
      <c r="M633">
        <f>IF(COUNTIFS('United Data'!$A$3:$A$3390,M$1,'United Data'!$C$3:$C$3390,$A633,'United Data'!$B$3:$B$3390,"&lt;&gt;Off-street")&gt;0,1,0)</f>
        <v>0</v>
      </c>
      <c r="N633">
        <f>IF(COUNTIFS('United Data'!$A$3:$A$3390,N$1,'United Data'!$C$3:$C$3390,$A633,'United Data'!$B$3:$B$3390,"&lt;&gt;Off-street")&gt;0,1,0)</f>
        <v>0</v>
      </c>
      <c r="O633">
        <f>IF(COUNTIFS('United Data'!$A$3:$A$3390,O$1,'United Data'!$C$3:$C$3390,$A633,'United Data'!$B$3:$B$3390,"&lt;&gt;Off-street")&gt;0,1,0)</f>
        <v>0</v>
      </c>
      <c r="P633">
        <f>IF(COUNTIFS('United Data'!$A$3:$A$3390,P$1,'United Data'!$C$3:$C$3390,$A633,'United Data'!$B$3:$B$3390,"&lt;&gt;Off-street")&gt;0,1,0)</f>
        <v>0</v>
      </c>
      <c r="Q633">
        <f>IF(COUNTIFS('United Data'!$A$3:$A$3390,Q$1,'United Data'!$C$3:$C$3390,$A633,'United Data'!$B$3:$B$3390,"&lt;&gt;Off-street")&gt;0,1,0)</f>
        <v>0</v>
      </c>
      <c r="R633">
        <f>IF(COUNTIFS('United Data'!$A$3:$A$3390,R$1,'United Data'!$C$3:$C$3390,$A633,'United Data'!$B$3:$B$3390,"&lt;&gt;Off-street")&gt;0,1,0)</f>
        <v>0</v>
      </c>
      <c r="S633">
        <f t="shared" si="18"/>
        <v>1</v>
      </c>
      <c r="T633">
        <f t="shared" si="19"/>
        <v>1</v>
      </c>
    </row>
    <row r="634" spans="1:20" x14ac:dyDescent="0.2">
      <c r="A634" t="s">
        <v>756</v>
      </c>
      <c r="B634">
        <f>IF(COUNTIFS('United Data'!$A$3:$A$3390,B$1,'United Data'!$C$3:$C$3390,$A634,'United Data'!$B$3:$B$3390,"&lt;&gt;Off-street")&gt;0,1,0)</f>
        <v>0</v>
      </c>
      <c r="C634">
        <f>IF(COUNTIFS('United Data'!$A$3:$A$3390,C$1,'United Data'!$C$3:$C$3390,$A634,'United Data'!$B$3:$B$3390,"&lt;&gt;Off-street")&gt;0,1,0)</f>
        <v>0</v>
      </c>
      <c r="D634">
        <f>IF(COUNTIFS('United Data'!$A$3:$A$3390,D$1,'United Data'!$C$3:$C$3390,$A634,'United Data'!$B$3:$B$3390,"&lt;&gt;Off-street")&gt;0,1,0)</f>
        <v>0</v>
      </c>
      <c r="E634">
        <f>IF(COUNTIFS('United Data'!$A$3:$A$3390,E$1,'United Data'!$C$3:$C$3390,$A634,'United Data'!$B$3:$B$3390,"&lt;&gt;Off-street")&gt;0,1,0)</f>
        <v>0</v>
      </c>
      <c r="F634">
        <f>IF(COUNTIFS('United Data'!$A$3:$A$3390,F$1,'United Data'!$C$3:$C$3390,$A634,'United Data'!$B$3:$B$3390,"&lt;&gt;Off-street")&gt;0,1,0)</f>
        <v>0</v>
      </c>
      <c r="G634">
        <f>IF(COUNTIFS('United Data'!$A$3:$A$3390,G$1,'United Data'!$C$3:$C$3390,$A634,'United Data'!$B$3:$B$3390,"&lt;&gt;Off-street")&gt;0,1,0)</f>
        <v>0</v>
      </c>
      <c r="H634">
        <f>IF(COUNTIFS('United Data'!$A$3:$A$3390,H$1,'United Data'!$C$3:$C$3390,$A634,'United Data'!$B$3:$B$3390,"&lt;&gt;Off-street")&gt;0,1,0)</f>
        <v>1</v>
      </c>
      <c r="I634">
        <f>IF(COUNTIFS('United Data'!$A$3:$A$3390,I$1,'United Data'!$C$3:$C$3390,$A634,'United Data'!$B$3:$B$3390,"&lt;&gt;Off-street")&gt;0,1,0)</f>
        <v>0</v>
      </c>
      <c r="J634">
        <f>IF(COUNTIFS('United Data'!$A$3:$A$3390,J$1,'United Data'!$C$3:$C$3390,$A634,'United Data'!$B$3:$B$3390,"&lt;&gt;Off-street")&gt;0,1,0)</f>
        <v>0</v>
      </c>
      <c r="K634">
        <f>IF(COUNTIFS('United Data'!$A$3:$A$3390,K$1,'United Data'!$C$3:$C$3390,$A634,'United Data'!$B$3:$B$3390,"&lt;&gt;Off-street")&gt;0,1,0)</f>
        <v>0</v>
      </c>
      <c r="L634">
        <f>IF(COUNTIFS('United Data'!$A$3:$A$3390,L$1,'United Data'!$C$3:$C$3390,$A634,'United Data'!$B$3:$B$3390,"&lt;&gt;Off-street")&gt;0,1,0)</f>
        <v>0</v>
      </c>
      <c r="M634">
        <f>IF(COUNTIFS('United Data'!$A$3:$A$3390,M$1,'United Data'!$C$3:$C$3390,$A634,'United Data'!$B$3:$B$3390,"&lt;&gt;Off-street")&gt;0,1,0)</f>
        <v>0</v>
      </c>
      <c r="N634">
        <f>IF(COUNTIFS('United Data'!$A$3:$A$3390,N$1,'United Data'!$C$3:$C$3390,$A634,'United Data'!$B$3:$B$3390,"&lt;&gt;Off-street")&gt;0,1,0)</f>
        <v>0</v>
      </c>
      <c r="O634">
        <f>IF(COUNTIFS('United Data'!$A$3:$A$3390,O$1,'United Data'!$C$3:$C$3390,$A634,'United Data'!$B$3:$B$3390,"&lt;&gt;Off-street")&gt;0,1,0)</f>
        <v>0</v>
      </c>
      <c r="P634">
        <f>IF(COUNTIFS('United Data'!$A$3:$A$3390,P$1,'United Data'!$C$3:$C$3390,$A634,'United Data'!$B$3:$B$3390,"&lt;&gt;Off-street")&gt;0,1,0)</f>
        <v>0</v>
      </c>
      <c r="Q634">
        <f>IF(COUNTIFS('United Data'!$A$3:$A$3390,Q$1,'United Data'!$C$3:$C$3390,$A634,'United Data'!$B$3:$B$3390,"&lt;&gt;Off-street")&gt;0,1,0)</f>
        <v>0</v>
      </c>
      <c r="R634">
        <f>IF(COUNTIFS('United Data'!$A$3:$A$3390,R$1,'United Data'!$C$3:$C$3390,$A634,'United Data'!$B$3:$B$3390,"&lt;&gt;Off-street")&gt;0,1,0)</f>
        <v>0</v>
      </c>
      <c r="S634">
        <f t="shared" si="18"/>
        <v>1</v>
      </c>
      <c r="T634">
        <f t="shared" si="19"/>
        <v>1</v>
      </c>
    </row>
    <row r="635" spans="1:20" x14ac:dyDescent="0.2">
      <c r="A635" t="s">
        <v>757</v>
      </c>
      <c r="B635">
        <f>IF(COUNTIFS('United Data'!$A$3:$A$3390,B$1,'United Data'!$C$3:$C$3390,$A635,'United Data'!$B$3:$B$3390,"&lt;&gt;Off-street")&gt;0,1,0)</f>
        <v>0</v>
      </c>
      <c r="C635">
        <f>IF(COUNTIFS('United Data'!$A$3:$A$3390,C$1,'United Data'!$C$3:$C$3390,$A635,'United Data'!$B$3:$B$3390,"&lt;&gt;Off-street")&gt;0,1,0)</f>
        <v>0</v>
      </c>
      <c r="D635">
        <f>IF(COUNTIFS('United Data'!$A$3:$A$3390,D$1,'United Data'!$C$3:$C$3390,$A635,'United Data'!$B$3:$B$3390,"&lt;&gt;Off-street")&gt;0,1,0)</f>
        <v>0</v>
      </c>
      <c r="E635">
        <f>IF(COUNTIFS('United Data'!$A$3:$A$3390,E$1,'United Data'!$C$3:$C$3390,$A635,'United Data'!$B$3:$B$3390,"&lt;&gt;Off-street")&gt;0,1,0)</f>
        <v>0</v>
      </c>
      <c r="F635">
        <f>IF(COUNTIFS('United Data'!$A$3:$A$3390,F$1,'United Data'!$C$3:$C$3390,$A635,'United Data'!$B$3:$B$3390,"&lt;&gt;Off-street")&gt;0,1,0)</f>
        <v>0</v>
      </c>
      <c r="G635">
        <f>IF(COUNTIFS('United Data'!$A$3:$A$3390,G$1,'United Data'!$C$3:$C$3390,$A635,'United Data'!$B$3:$B$3390,"&lt;&gt;Off-street")&gt;0,1,0)</f>
        <v>0</v>
      </c>
      <c r="H635">
        <f>IF(COUNTIFS('United Data'!$A$3:$A$3390,H$1,'United Data'!$C$3:$C$3390,$A635,'United Data'!$B$3:$B$3390,"&lt;&gt;Off-street")&gt;0,1,0)</f>
        <v>1</v>
      </c>
      <c r="I635">
        <f>IF(COUNTIFS('United Data'!$A$3:$A$3390,I$1,'United Data'!$C$3:$C$3390,$A635,'United Data'!$B$3:$B$3390,"&lt;&gt;Off-street")&gt;0,1,0)</f>
        <v>0</v>
      </c>
      <c r="J635">
        <f>IF(COUNTIFS('United Data'!$A$3:$A$3390,J$1,'United Data'!$C$3:$C$3390,$A635,'United Data'!$B$3:$B$3390,"&lt;&gt;Off-street")&gt;0,1,0)</f>
        <v>0</v>
      </c>
      <c r="K635">
        <f>IF(COUNTIFS('United Data'!$A$3:$A$3390,K$1,'United Data'!$C$3:$C$3390,$A635,'United Data'!$B$3:$B$3390,"&lt;&gt;Off-street")&gt;0,1,0)</f>
        <v>0</v>
      </c>
      <c r="L635">
        <f>IF(COUNTIFS('United Data'!$A$3:$A$3390,L$1,'United Data'!$C$3:$C$3390,$A635,'United Data'!$B$3:$B$3390,"&lt;&gt;Off-street")&gt;0,1,0)</f>
        <v>0</v>
      </c>
      <c r="M635">
        <f>IF(COUNTIFS('United Data'!$A$3:$A$3390,M$1,'United Data'!$C$3:$C$3390,$A635,'United Data'!$B$3:$B$3390,"&lt;&gt;Off-street")&gt;0,1,0)</f>
        <v>0</v>
      </c>
      <c r="N635">
        <f>IF(COUNTIFS('United Data'!$A$3:$A$3390,N$1,'United Data'!$C$3:$C$3390,$A635,'United Data'!$B$3:$B$3390,"&lt;&gt;Off-street")&gt;0,1,0)</f>
        <v>0</v>
      </c>
      <c r="O635">
        <f>IF(COUNTIFS('United Data'!$A$3:$A$3390,O$1,'United Data'!$C$3:$C$3390,$A635,'United Data'!$B$3:$B$3390,"&lt;&gt;Off-street")&gt;0,1,0)</f>
        <v>0</v>
      </c>
      <c r="P635">
        <f>IF(COUNTIFS('United Data'!$A$3:$A$3390,P$1,'United Data'!$C$3:$C$3390,$A635,'United Data'!$B$3:$B$3390,"&lt;&gt;Off-street")&gt;0,1,0)</f>
        <v>0</v>
      </c>
      <c r="Q635">
        <f>IF(COUNTIFS('United Data'!$A$3:$A$3390,Q$1,'United Data'!$C$3:$C$3390,$A635,'United Data'!$B$3:$B$3390,"&lt;&gt;Off-street")&gt;0,1,0)</f>
        <v>0</v>
      </c>
      <c r="R635">
        <f>IF(COUNTIFS('United Data'!$A$3:$A$3390,R$1,'United Data'!$C$3:$C$3390,$A635,'United Data'!$B$3:$B$3390,"&lt;&gt;Off-street")&gt;0,1,0)</f>
        <v>0</v>
      </c>
      <c r="S635">
        <f t="shared" si="18"/>
        <v>1</v>
      </c>
      <c r="T635">
        <f t="shared" si="19"/>
        <v>1</v>
      </c>
    </row>
    <row r="636" spans="1:20" x14ac:dyDescent="0.2">
      <c r="A636" t="s">
        <v>758</v>
      </c>
      <c r="B636">
        <f>IF(COUNTIFS('United Data'!$A$3:$A$3390,B$1,'United Data'!$C$3:$C$3390,$A636,'United Data'!$B$3:$B$3390,"&lt;&gt;Off-street")&gt;0,1,0)</f>
        <v>0</v>
      </c>
      <c r="C636">
        <f>IF(COUNTIFS('United Data'!$A$3:$A$3390,C$1,'United Data'!$C$3:$C$3390,$A636,'United Data'!$B$3:$B$3390,"&lt;&gt;Off-street")&gt;0,1,0)</f>
        <v>0</v>
      </c>
      <c r="D636">
        <f>IF(COUNTIFS('United Data'!$A$3:$A$3390,D$1,'United Data'!$C$3:$C$3390,$A636,'United Data'!$B$3:$B$3390,"&lt;&gt;Off-street")&gt;0,1,0)</f>
        <v>0</v>
      </c>
      <c r="E636">
        <f>IF(COUNTIFS('United Data'!$A$3:$A$3390,E$1,'United Data'!$C$3:$C$3390,$A636,'United Data'!$B$3:$B$3390,"&lt;&gt;Off-street")&gt;0,1,0)</f>
        <v>0</v>
      </c>
      <c r="F636">
        <f>IF(COUNTIFS('United Data'!$A$3:$A$3390,F$1,'United Data'!$C$3:$C$3390,$A636,'United Data'!$B$3:$B$3390,"&lt;&gt;Off-street")&gt;0,1,0)</f>
        <v>0</v>
      </c>
      <c r="G636">
        <f>IF(COUNTIFS('United Data'!$A$3:$A$3390,G$1,'United Data'!$C$3:$C$3390,$A636,'United Data'!$B$3:$B$3390,"&lt;&gt;Off-street")&gt;0,1,0)</f>
        <v>0</v>
      </c>
      <c r="H636">
        <f>IF(COUNTIFS('United Data'!$A$3:$A$3390,H$1,'United Data'!$C$3:$C$3390,$A636,'United Data'!$B$3:$B$3390,"&lt;&gt;Off-street")&gt;0,1,0)</f>
        <v>1</v>
      </c>
      <c r="I636">
        <f>IF(COUNTIFS('United Data'!$A$3:$A$3390,I$1,'United Data'!$C$3:$C$3390,$A636,'United Data'!$B$3:$B$3390,"&lt;&gt;Off-street")&gt;0,1,0)</f>
        <v>0</v>
      </c>
      <c r="J636">
        <f>IF(COUNTIFS('United Data'!$A$3:$A$3390,J$1,'United Data'!$C$3:$C$3390,$A636,'United Data'!$B$3:$B$3390,"&lt;&gt;Off-street")&gt;0,1,0)</f>
        <v>0</v>
      </c>
      <c r="K636">
        <f>IF(COUNTIFS('United Data'!$A$3:$A$3390,K$1,'United Data'!$C$3:$C$3390,$A636,'United Data'!$B$3:$B$3390,"&lt;&gt;Off-street")&gt;0,1,0)</f>
        <v>0</v>
      </c>
      <c r="L636">
        <f>IF(COUNTIFS('United Data'!$A$3:$A$3390,L$1,'United Data'!$C$3:$C$3390,$A636,'United Data'!$B$3:$B$3390,"&lt;&gt;Off-street")&gt;0,1,0)</f>
        <v>0</v>
      </c>
      <c r="M636">
        <f>IF(COUNTIFS('United Data'!$A$3:$A$3390,M$1,'United Data'!$C$3:$C$3390,$A636,'United Data'!$B$3:$B$3390,"&lt;&gt;Off-street")&gt;0,1,0)</f>
        <v>0</v>
      </c>
      <c r="N636">
        <f>IF(COUNTIFS('United Data'!$A$3:$A$3390,N$1,'United Data'!$C$3:$C$3390,$A636,'United Data'!$B$3:$B$3390,"&lt;&gt;Off-street")&gt;0,1,0)</f>
        <v>0</v>
      </c>
      <c r="O636">
        <f>IF(COUNTIFS('United Data'!$A$3:$A$3390,O$1,'United Data'!$C$3:$C$3390,$A636,'United Data'!$B$3:$B$3390,"&lt;&gt;Off-street")&gt;0,1,0)</f>
        <v>0</v>
      </c>
      <c r="P636">
        <f>IF(COUNTIFS('United Data'!$A$3:$A$3390,P$1,'United Data'!$C$3:$C$3390,$A636,'United Data'!$B$3:$B$3390,"&lt;&gt;Off-street")&gt;0,1,0)</f>
        <v>0</v>
      </c>
      <c r="Q636">
        <f>IF(COUNTIFS('United Data'!$A$3:$A$3390,Q$1,'United Data'!$C$3:$C$3390,$A636,'United Data'!$B$3:$B$3390,"&lt;&gt;Off-street")&gt;0,1,0)</f>
        <v>0</v>
      </c>
      <c r="R636">
        <f>IF(COUNTIFS('United Data'!$A$3:$A$3390,R$1,'United Data'!$C$3:$C$3390,$A636,'United Data'!$B$3:$B$3390,"&lt;&gt;Off-street")&gt;0,1,0)</f>
        <v>0</v>
      </c>
      <c r="S636">
        <f t="shared" si="18"/>
        <v>1</v>
      </c>
      <c r="T636">
        <f t="shared" si="19"/>
        <v>1</v>
      </c>
    </row>
    <row r="637" spans="1:20" x14ac:dyDescent="0.2">
      <c r="A637" t="s">
        <v>759</v>
      </c>
      <c r="B637">
        <f>IF(COUNTIFS('United Data'!$A$3:$A$3390,B$1,'United Data'!$C$3:$C$3390,$A637,'United Data'!$B$3:$B$3390,"&lt;&gt;Off-street")&gt;0,1,0)</f>
        <v>0</v>
      </c>
      <c r="C637">
        <f>IF(COUNTIFS('United Data'!$A$3:$A$3390,C$1,'United Data'!$C$3:$C$3390,$A637,'United Data'!$B$3:$B$3390,"&lt;&gt;Off-street")&gt;0,1,0)</f>
        <v>0</v>
      </c>
      <c r="D637">
        <f>IF(COUNTIFS('United Data'!$A$3:$A$3390,D$1,'United Data'!$C$3:$C$3390,$A637,'United Data'!$B$3:$B$3390,"&lt;&gt;Off-street")&gt;0,1,0)</f>
        <v>0</v>
      </c>
      <c r="E637">
        <f>IF(COUNTIFS('United Data'!$A$3:$A$3390,E$1,'United Data'!$C$3:$C$3390,$A637,'United Data'!$B$3:$B$3390,"&lt;&gt;Off-street")&gt;0,1,0)</f>
        <v>0</v>
      </c>
      <c r="F637">
        <f>IF(COUNTIFS('United Data'!$A$3:$A$3390,F$1,'United Data'!$C$3:$C$3390,$A637,'United Data'!$B$3:$B$3390,"&lt;&gt;Off-street")&gt;0,1,0)</f>
        <v>0</v>
      </c>
      <c r="G637">
        <f>IF(COUNTIFS('United Data'!$A$3:$A$3390,G$1,'United Data'!$C$3:$C$3390,$A637,'United Data'!$B$3:$B$3390,"&lt;&gt;Off-street")&gt;0,1,0)</f>
        <v>0</v>
      </c>
      <c r="H637">
        <f>IF(COUNTIFS('United Data'!$A$3:$A$3390,H$1,'United Data'!$C$3:$C$3390,$A637,'United Data'!$B$3:$B$3390,"&lt;&gt;Off-street")&gt;0,1,0)</f>
        <v>1</v>
      </c>
      <c r="I637">
        <f>IF(COUNTIFS('United Data'!$A$3:$A$3390,I$1,'United Data'!$C$3:$C$3390,$A637,'United Data'!$B$3:$B$3390,"&lt;&gt;Off-street")&gt;0,1,0)</f>
        <v>0</v>
      </c>
      <c r="J637">
        <f>IF(COUNTIFS('United Data'!$A$3:$A$3390,J$1,'United Data'!$C$3:$C$3390,$A637,'United Data'!$B$3:$B$3390,"&lt;&gt;Off-street")&gt;0,1,0)</f>
        <v>0</v>
      </c>
      <c r="K637">
        <f>IF(COUNTIFS('United Data'!$A$3:$A$3390,K$1,'United Data'!$C$3:$C$3390,$A637,'United Data'!$B$3:$B$3390,"&lt;&gt;Off-street")&gt;0,1,0)</f>
        <v>0</v>
      </c>
      <c r="L637">
        <f>IF(COUNTIFS('United Data'!$A$3:$A$3390,L$1,'United Data'!$C$3:$C$3390,$A637,'United Data'!$B$3:$B$3390,"&lt;&gt;Off-street")&gt;0,1,0)</f>
        <v>0</v>
      </c>
      <c r="M637">
        <f>IF(COUNTIFS('United Data'!$A$3:$A$3390,M$1,'United Data'!$C$3:$C$3390,$A637,'United Data'!$B$3:$B$3390,"&lt;&gt;Off-street")&gt;0,1,0)</f>
        <v>0</v>
      </c>
      <c r="N637">
        <f>IF(COUNTIFS('United Data'!$A$3:$A$3390,N$1,'United Data'!$C$3:$C$3390,$A637,'United Data'!$B$3:$B$3390,"&lt;&gt;Off-street")&gt;0,1,0)</f>
        <v>0</v>
      </c>
      <c r="O637">
        <f>IF(COUNTIFS('United Data'!$A$3:$A$3390,O$1,'United Data'!$C$3:$C$3390,$A637,'United Data'!$B$3:$B$3390,"&lt;&gt;Off-street")&gt;0,1,0)</f>
        <v>0</v>
      </c>
      <c r="P637">
        <f>IF(COUNTIFS('United Data'!$A$3:$A$3390,P$1,'United Data'!$C$3:$C$3390,$A637,'United Data'!$B$3:$B$3390,"&lt;&gt;Off-street")&gt;0,1,0)</f>
        <v>0</v>
      </c>
      <c r="Q637">
        <f>IF(COUNTIFS('United Data'!$A$3:$A$3390,Q$1,'United Data'!$C$3:$C$3390,$A637,'United Data'!$B$3:$B$3390,"&lt;&gt;Off-street")&gt;0,1,0)</f>
        <v>0</v>
      </c>
      <c r="R637">
        <f>IF(COUNTIFS('United Data'!$A$3:$A$3390,R$1,'United Data'!$C$3:$C$3390,$A637,'United Data'!$B$3:$B$3390,"&lt;&gt;Off-street")&gt;0,1,0)</f>
        <v>0</v>
      </c>
      <c r="S637">
        <f t="shared" si="18"/>
        <v>1</v>
      </c>
      <c r="T637">
        <f t="shared" si="19"/>
        <v>1</v>
      </c>
    </row>
    <row r="638" spans="1:20" x14ac:dyDescent="0.2">
      <c r="A638" t="s">
        <v>760</v>
      </c>
      <c r="B638">
        <f>IF(COUNTIFS('United Data'!$A$3:$A$3390,B$1,'United Data'!$C$3:$C$3390,$A638,'United Data'!$B$3:$B$3390,"&lt;&gt;Off-street")&gt;0,1,0)</f>
        <v>0</v>
      </c>
      <c r="C638">
        <f>IF(COUNTIFS('United Data'!$A$3:$A$3390,C$1,'United Data'!$C$3:$C$3390,$A638,'United Data'!$B$3:$B$3390,"&lt;&gt;Off-street")&gt;0,1,0)</f>
        <v>0</v>
      </c>
      <c r="D638">
        <f>IF(COUNTIFS('United Data'!$A$3:$A$3390,D$1,'United Data'!$C$3:$C$3390,$A638,'United Data'!$B$3:$B$3390,"&lt;&gt;Off-street")&gt;0,1,0)</f>
        <v>0</v>
      </c>
      <c r="E638">
        <f>IF(COUNTIFS('United Data'!$A$3:$A$3390,E$1,'United Data'!$C$3:$C$3390,$A638,'United Data'!$B$3:$B$3390,"&lt;&gt;Off-street")&gt;0,1,0)</f>
        <v>0</v>
      </c>
      <c r="F638">
        <f>IF(COUNTIFS('United Data'!$A$3:$A$3390,F$1,'United Data'!$C$3:$C$3390,$A638,'United Data'!$B$3:$B$3390,"&lt;&gt;Off-street")&gt;0,1,0)</f>
        <v>0</v>
      </c>
      <c r="G638">
        <f>IF(COUNTIFS('United Data'!$A$3:$A$3390,G$1,'United Data'!$C$3:$C$3390,$A638,'United Data'!$B$3:$B$3390,"&lt;&gt;Off-street")&gt;0,1,0)</f>
        <v>0</v>
      </c>
      <c r="H638">
        <f>IF(COUNTIFS('United Data'!$A$3:$A$3390,H$1,'United Data'!$C$3:$C$3390,$A638,'United Data'!$B$3:$B$3390,"&lt;&gt;Off-street")&gt;0,1,0)</f>
        <v>0</v>
      </c>
      <c r="I638">
        <f>IF(COUNTIFS('United Data'!$A$3:$A$3390,I$1,'United Data'!$C$3:$C$3390,$A638,'United Data'!$B$3:$B$3390,"&lt;&gt;Off-street")&gt;0,1,0)</f>
        <v>1</v>
      </c>
      <c r="J638">
        <f>IF(COUNTIFS('United Data'!$A$3:$A$3390,J$1,'United Data'!$C$3:$C$3390,$A638,'United Data'!$B$3:$B$3390,"&lt;&gt;Off-street")&gt;0,1,0)</f>
        <v>0</v>
      </c>
      <c r="K638">
        <f>IF(COUNTIFS('United Data'!$A$3:$A$3390,K$1,'United Data'!$C$3:$C$3390,$A638,'United Data'!$B$3:$B$3390,"&lt;&gt;Off-street")&gt;0,1,0)</f>
        <v>0</v>
      </c>
      <c r="L638">
        <f>IF(COUNTIFS('United Data'!$A$3:$A$3390,L$1,'United Data'!$C$3:$C$3390,$A638,'United Data'!$B$3:$B$3390,"&lt;&gt;Off-street")&gt;0,1,0)</f>
        <v>0</v>
      </c>
      <c r="M638">
        <f>IF(COUNTIFS('United Data'!$A$3:$A$3390,M$1,'United Data'!$C$3:$C$3390,$A638,'United Data'!$B$3:$B$3390,"&lt;&gt;Off-street")&gt;0,1,0)</f>
        <v>0</v>
      </c>
      <c r="N638">
        <f>IF(COUNTIFS('United Data'!$A$3:$A$3390,N$1,'United Data'!$C$3:$C$3390,$A638,'United Data'!$B$3:$B$3390,"&lt;&gt;Off-street")&gt;0,1,0)</f>
        <v>0</v>
      </c>
      <c r="O638">
        <f>IF(COUNTIFS('United Data'!$A$3:$A$3390,O$1,'United Data'!$C$3:$C$3390,$A638,'United Data'!$B$3:$B$3390,"&lt;&gt;Off-street")&gt;0,1,0)</f>
        <v>0</v>
      </c>
      <c r="P638">
        <f>IF(COUNTIFS('United Data'!$A$3:$A$3390,P$1,'United Data'!$C$3:$C$3390,$A638,'United Data'!$B$3:$B$3390,"&lt;&gt;Off-street")&gt;0,1,0)</f>
        <v>0</v>
      </c>
      <c r="Q638">
        <f>IF(COUNTIFS('United Data'!$A$3:$A$3390,Q$1,'United Data'!$C$3:$C$3390,$A638,'United Data'!$B$3:$B$3390,"&lt;&gt;Off-street")&gt;0,1,0)</f>
        <v>0</v>
      </c>
      <c r="R638">
        <f>IF(COUNTIFS('United Data'!$A$3:$A$3390,R$1,'United Data'!$C$3:$C$3390,$A638,'United Data'!$B$3:$B$3390,"&lt;&gt;Off-street")&gt;0,1,0)</f>
        <v>0</v>
      </c>
      <c r="S638">
        <f t="shared" si="18"/>
        <v>1</v>
      </c>
      <c r="T638">
        <f t="shared" si="19"/>
        <v>1</v>
      </c>
    </row>
    <row r="639" spans="1:20" x14ac:dyDescent="0.2">
      <c r="A639" t="s">
        <v>761</v>
      </c>
      <c r="B639">
        <f>IF(COUNTIFS('United Data'!$A$3:$A$3390,B$1,'United Data'!$C$3:$C$3390,$A639,'United Data'!$B$3:$B$3390,"&lt;&gt;Off-street")&gt;0,1,0)</f>
        <v>0</v>
      </c>
      <c r="C639">
        <f>IF(COUNTIFS('United Data'!$A$3:$A$3390,C$1,'United Data'!$C$3:$C$3390,$A639,'United Data'!$B$3:$B$3390,"&lt;&gt;Off-street")&gt;0,1,0)</f>
        <v>0</v>
      </c>
      <c r="D639">
        <f>IF(COUNTIFS('United Data'!$A$3:$A$3390,D$1,'United Data'!$C$3:$C$3390,$A639,'United Data'!$B$3:$B$3390,"&lt;&gt;Off-street")&gt;0,1,0)</f>
        <v>0</v>
      </c>
      <c r="E639">
        <f>IF(COUNTIFS('United Data'!$A$3:$A$3390,E$1,'United Data'!$C$3:$C$3390,$A639,'United Data'!$B$3:$B$3390,"&lt;&gt;Off-street")&gt;0,1,0)</f>
        <v>0</v>
      </c>
      <c r="F639">
        <f>IF(COUNTIFS('United Data'!$A$3:$A$3390,F$1,'United Data'!$C$3:$C$3390,$A639,'United Data'!$B$3:$B$3390,"&lt;&gt;Off-street")&gt;0,1,0)</f>
        <v>0</v>
      </c>
      <c r="G639">
        <f>IF(COUNTIFS('United Data'!$A$3:$A$3390,G$1,'United Data'!$C$3:$C$3390,$A639,'United Data'!$B$3:$B$3390,"&lt;&gt;Off-street")&gt;0,1,0)</f>
        <v>0</v>
      </c>
      <c r="H639">
        <f>IF(COUNTIFS('United Data'!$A$3:$A$3390,H$1,'United Data'!$C$3:$C$3390,$A639,'United Data'!$B$3:$B$3390,"&lt;&gt;Off-street")&gt;0,1,0)</f>
        <v>0</v>
      </c>
      <c r="I639">
        <f>IF(COUNTIFS('United Data'!$A$3:$A$3390,I$1,'United Data'!$C$3:$C$3390,$A639,'United Data'!$B$3:$B$3390,"&lt;&gt;Off-street")&gt;0,1,0)</f>
        <v>1</v>
      </c>
      <c r="J639">
        <f>IF(COUNTIFS('United Data'!$A$3:$A$3390,J$1,'United Data'!$C$3:$C$3390,$A639,'United Data'!$B$3:$B$3390,"&lt;&gt;Off-street")&gt;0,1,0)</f>
        <v>0</v>
      </c>
      <c r="K639">
        <f>IF(COUNTIFS('United Data'!$A$3:$A$3390,K$1,'United Data'!$C$3:$C$3390,$A639,'United Data'!$B$3:$B$3390,"&lt;&gt;Off-street")&gt;0,1,0)</f>
        <v>0</v>
      </c>
      <c r="L639">
        <f>IF(COUNTIFS('United Data'!$A$3:$A$3390,L$1,'United Data'!$C$3:$C$3390,$A639,'United Data'!$B$3:$B$3390,"&lt;&gt;Off-street")&gt;0,1,0)</f>
        <v>0</v>
      </c>
      <c r="M639">
        <f>IF(COUNTIFS('United Data'!$A$3:$A$3390,M$1,'United Data'!$C$3:$C$3390,$A639,'United Data'!$B$3:$B$3390,"&lt;&gt;Off-street")&gt;0,1,0)</f>
        <v>0</v>
      </c>
      <c r="N639">
        <f>IF(COUNTIFS('United Data'!$A$3:$A$3390,N$1,'United Data'!$C$3:$C$3390,$A639,'United Data'!$B$3:$B$3390,"&lt;&gt;Off-street")&gt;0,1,0)</f>
        <v>0</v>
      </c>
      <c r="O639">
        <f>IF(COUNTIFS('United Data'!$A$3:$A$3390,O$1,'United Data'!$C$3:$C$3390,$A639,'United Data'!$B$3:$B$3390,"&lt;&gt;Off-street")&gt;0,1,0)</f>
        <v>0</v>
      </c>
      <c r="P639">
        <f>IF(COUNTIFS('United Data'!$A$3:$A$3390,P$1,'United Data'!$C$3:$C$3390,$A639,'United Data'!$B$3:$B$3390,"&lt;&gt;Off-street")&gt;0,1,0)</f>
        <v>0</v>
      </c>
      <c r="Q639">
        <f>IF(COUNTIFS('United Data'!$A$3:$A$3390,Q$1,'United Data'!$C$3:$C$3390,$A639,'United Data'!$B$3:$B$3390,"&lt;&gt;Off-street")&gt;0,1,0)</f>
        <v>0</v>
      </c>
      <c r="R639">
        <f>IF(COUNTIFS('United Data'!$A$3:$A$3390,R$1,'United Data'!$C$3:$C$3390,$A639,'United Data'!$B$3:$B$3390,"&lt;&gt;Off-street")&gt;0,1,0)</f>
        <v>0</v>
      </c>
      <c r="S639">
        <f t="shared" si="18"/>
        <v>1</v>
      </c>
      <c r="T639">
        <f t="shared" si="19"/>
        <v>1</v>
      </c>
    </row>
    <row r="640" spans="1:20" x14ac:dyDescent="0.2">
      <c r="A640" t="s">
        <v>762</v>
      </c>
      <c r="B640">
        <f>IF(COUNTIFS('United Data'!$A$3:$A$3390,B$1,'United Data'!$C$3:$C$3390,$A640,'United Data'!$B$3:$B$3390,"&lt;&gt;Off-street")&gt;0,1,0)</f>
        <v>0</v>
      </c>
      <c r="C640">
        <f>IF(COUNTIFS('United Data'!$A$3:$A$3390,C$1,'United Data'!$C$3:$C$3390,$A640,'United Data'!$B$3:$B$3390,"&lt;&gt;Off-street")&gt;0,1,0)</f>
        <v>0</v>
      </c>
      <c r="D640">
        <f>IF(COUNTIFS('United Data'!$A$3:$A$3390,D$1,'United Data'!$C$3:$C$3390,$A640,'United Data'!$B$3:$B$3390,"&lt;&gt;Off-street")&gt;0,1,0)</f>
        <v>0</v>
      </c>
      <c r="E640">
        <f>IF(COUNTIFS('United Data'!$A$3:$A$3390,E$1,'United Data'!$C$3:$C$3390,$A640,'United Data'!$B$3:$B$3390,"&lt;&gt;Off-street")&gt;0,1,0)</f>
        <v>0</v>
      </c>
      <c r="F640">
        <f>IF(COUNTIFS('United Data'!$A$3:$A$3390,F$1,'United Data'!$C$3:$C$3390,$A640,'United Data'!$B$3:$B$3390,"&lt;&gt;Off-street")&gt;0,1,0)</f>
        <v>0</v>
      </c>
      <c r="G640">
        <f>IF(COUNTIFS('United Data'!$A$3:$A$3390,G$1,'United Data'!$C$3:$C$3390,$A640,'United Data'!$B$3:$B$3390,"&lt;&gt;Off-street")&gt;0,1,0)</f>
        <v>0</v>
      </c>
      <c r="H640">
        <f>IF(COUNTIFS('United Data'!$A$3:$A$3390,H$1,'United Data'!$C$3:$C$3390,$A640,'United Data'!$B$3:$B$3390,"&lt;&gt;Off-street")&gt;0,1,0)</f>
        <v>0</v>
      </c>
      <c r="I640">
        <f>IF(COUNTIFS('United Data'!$A$3:$A$3390,I$1,'United Data'!$C$3:$C$3390,$A640,'United Data'!$B$3:$B$3390,"&lt;&gt;Off-street")&gt;0,1,0)</f>
        <v>1</v>
      </c>
      <c r="J640">
        <f>IF(COUNTIFS('United Data'!$A$3:$A$3390,J$1,'United Data'!$C$3:$C$3390,$A640,'United Data'!$B$3:$B$3390,"&lt;&gt;Off-street")&gt;0,1,0)</f>
        <v>0</v>
      </c>
      <c r="K640">
        <f>IF(COUNTIFS('United Data'!$A$3:$A$3390,K$1,'United Data'!$C$3:$C$3390,$A640,'United Data'!$B$3:$B$3390,"&lt;&gt;Off-street")&gt;0,1,0)</f>
        <v>0</v>
      </c>
      <c r="L640">
        <f>IF(COUNTIFS('United Data'!$A$3:$A$3390,L$1,'United Data'!$C$3:$C$3390,$A640,'United Data'!$B$3:$B$3390,"&lt;&gt;Off-street")&gt;0,1,0)</f>
        <v>0</v>
      </c>
      <c r="M640">
        <f>IF(COUNTIFS('United Data'!$A$3:$A$3390,M$1,'United Data'!$C$3:$C$3390,$A640,'United Data'!$B$3:$B$3390,"&lt;&gt;Off-street")&gt;0,1,0)</f>
        <v>0</v>
      </c>
      <c r="N640">
        <f>IF(COUNTIFS('United Data'!$A$3:$A$3390,N$1,'United Data'!$C$3:$C$3390,$A640,'United Data'!$B$3:$B$3390,"&lt;&gt;Off-street")&gt;0,1,0)</f>
        <v>0</v>
      </c>
      <c r="O640">
        <f>IF(COUNTIFS('United Data'!$A$3:$A$3390,O$1,'United Data'!$C$3:$C$3390,$A640,'United Data'!$B$3:$B$3390,"&lt;&gt;Off-street")&gt;0,1,0)</f>
        <v>0</v>
      </c>
      <c r="P640">
        <f>IF(COUNTIFS('United Data'!$A$3:$A$3390,P$1,'United Data'!$C$3:$C$3390,$A640,'United Data'!$B$3:$B$3390,"&lt;&gt;Off-street")&gt;0,1,0)</f>
        <v>0</v>
      </c>
      <c r="Q640">
        <f>IF(COUNTIFS('United Data'!$A$3:$A$3390,Q$1,'United Data'!$C$3:$C$3390,$A640,'United Data'!$B$3:$B$3390,"&lt;&gt;Off-street")&gt;0,1,0)</f>
        <v>0</v>
      </c>
      <c r="R640">
        <f>IF(COUNTIFS('United Data'!$A$3:$A$3390,R$1,'United Data'!$C$3:$C$3390,$A640,'United Data'!$B$3:$B$3390,"&lt;&gt;Off-street")&gt;0,1,0)</f>
        <v>0</v>
      </c>
      <c r="S640">
        <f t="shared" si="18"/>
        <v>1</v>
      </c>
      <c r="T640">
        <f t="shared" si="19"/>
        <v>1</v>
      </c>
    </row>
    <row r="641" spans="1:20" x14ac:dyDescent="0.2">
      <c r="A641" t="s">
        <v>763</v>
      </c>
      <c r="B641">
        <f>IF(COUNTIFS('United Data'!$A$3:$A$3390,B$1,'United Data'!$C$3:$C$3390,$A641,'United Data'!$B$3:$B$3390,"&lt;&gt;Off-street")&gt;0,1,0)</f>
        <v>0</v>
      </c>
      <c r="C641">
        <f>IF(COUNTIFS('United Data'!$A$3:$A$3390,C$1,'United Data'!$C$3:$C$3390,$A641,'United Data'!$B$3:$B$3390,"&lt;&gt;Off-street")&gt;0,1,0)</f>
        <v>0</v>
      </c>
      <c r="D641">
        <f>IF(COUNTIFS('United Data'!$A$3:$A$3390,D$1,'United Data'!$C$3:$C$3390,$A641,'United Data'!$B$3:$B$3390,"&lt;&gt;Off-street")&gt;0,1,0)</f>
        <v>0</v>
      </c>
      <c r="E641">
        <f>IF(COUNTIFS('United Data'!$A$3:$A$3390,E$1,'United Data'!$C$3:$C$3390,$A641,'United Data'!$B$3:$B$3390,"&lt;&gt;Off-street")&gt;0,1,0)</f>
        <v>0</v>
      </c>
      <c r="F641">
        <f>IF(COUNTIFS('United Data'!$A$3:$A$3390,F$1,'United Data'!$C$3:$C$3390,$A641,'United Data'!$B$3:$B$3390,"&lt;&gt;Off-street")&gt;0,1,0)</f>
        <v>0</v>
      </c>
      <c r="G641">
        <f>IF(COUNTIFS('United Data'!$A$3:$A$3390,G$1,'United Data'!$C$3:$C$3390,$A641,'United Data'!$B$3:$B$3390,"&lt;&gt;Off-street")&gt;0,1,0)</f>
        <v>0</v>
      </c>
      <c r="H641">
        <f>IF(COUNTIFS('United Data'!$A$3:$A$3390,H$1,'United Data'!$C$3:$C$3390,$A641,'United Data'!$B$3:$B$3390,"&lt;&gt;Off-street")&gt;0,1,0)</f>
        <v>0</v>
      </c>
      <c r="I641">
        <f>IF(COUNTIFS('United Data'!$A$3:$A$3390,I$1,'United Data'!$C$3:$C$3390,$A641,'United Data'!$B$3:$B$3390,"&lt;&gt;Off-street")&gt;0,1,0)</f>
        <v>0</v>
      </c>
      <c r="J641">
        <f>IF(COUNTIFS('United Data'!$A$3:$A$3390,J$1,'United Data'!$C$3:$C$3390,$A641,'United Data'!$B$3:$B$3390,"&lt;&gt;Off-street")&gt;0,1,0)</f>
        <v>1</v>
      </c>
      <c r="K641">
        <f>IF(COUNTIFS('United Data'!$A$3:$A$3390,K$1,'United Data'!$C$3:$C$3390,$A641,'United Data'!$B$3:$B$3390,"&lt;&gt;Off-street")&gt;0,1,0)</f>
        <v>0</v>
      </c>
      <c r="L641">
        <f>IF(COUNTIFS('United Data'!$A$3:$A$3390,L$1,'United Data'!$C$3:$C$3390,$A641,'United Data'!$B$3:$B$3390,"&lt;&gt;Off-street")&gt;0,1,0)</f>
        <v>0</v>
      </c>
      <c r="M641">
        <f>IF(COUNTIFS('United Data'!$A$3:$A$3390,M$1,'United Data'!$C$3:$C$3390,$A641,'United Data'!$B$3:$B$3390,"&lt;&gt;Off-street")&gt;0,1,0)</f>
        <v>0</v>
      </c>
      <c r="N641">
        <f>IF(COUNTIFS('United Data'!$A$3:$A$3390,N$1,'United Data'!$C$3:$C$3390,$A641,'United Data'!$B$3:$B$3390,"&lt;&gt;Off-street")&gt;0,1,0)</f>
        <v>0</v>
      </c>
      <c r="O641">
        <f>IF(COUNTIFS('United Data'!$A$3:$A$3390,O$1,'United Data'!$C$3:$C$3390,$A641,'United Data'!$B$3:$B$3390,"&lt;&gt;Off-street")&gt;0,1,0)</f>
        <v>0</v>
      </c>
      <c r="P641">
        <f>IF(COUNTIFS('United Data'!$A$3:$A$3390,P$1,'United Data'!$C$3:$C$3390,$A641,'United Data'!$B$3:$B$3390,"&lt;&gt;Off-street")&gt;0,1,0)</f>
        <v>0</v>
      </c>
      <c r="Q641">
        <f>IF(COUNTIFS('United Data'!$A$3:$A$3390,Q$1,'United Data'!$C$3:$C$3390,$A641,'United Data'!$B$3:$B$3390,"&lt;&gt;Off-street")&gt;0,1,0)</f>
        <v>0</v>
      </c>
      <c r="R641">
        <f>IF(COUNTIFS('United Data'!$A$3:$A$3390,R$1,'United Data'!$C$3:$C$3390,$A641,'United Data'!$B$3:$B$3390,"&lt;&gt;Off-street")&gt;0,1,0)</f>
        <v>0</v>
      </c>
      <c r="S641">
        <f t="shared" si="18"/>
        <v>1</v>
      </c>
      <c r="T641">
        <f t="shared" si="19"/>
        <v>1</v>
      </c>
    </row>
    <row r="642" spans="1:20" x14ac:dyDescent="0.2">
      <c r="A642" t="s">
        <v>764</v>
      </c>
      <c r="B642">
        <f>IF(COUNTIFS('United Data'!$A$3:$A$3390,B$1,'United Data'!$C$3:$C$3390,$A642,'United Data'!$B$3:$B$3390,"&lt;&gt;Off-street")&gt;0,1,0)</f>
        <v>0</v>
      </c>
      <c r="C642">
        <f>IF(COUNTIFS('United Data'!$A$3:$A$3390,C$1,'United Data'!$C$3:$C$3390,$A642,'United Data'!$B$3:$B$3390,"&lt;&gt;Off-street")&gt;0,1,0)</f>
        <v>0</v>
      </c>
      <c r="D642">
        <f>IF(COUNTIFS('United Data'!$A$3:$A$3390,D$1,'United Data'!$C$3:$C$3390,$A642,'United Data'!$B$3:$B$3390,"&lt;&gt;Off-street")&gt;0,1,0)</f>
        <v>0</v>
      </c>
      <c r="E642">
        <f>IF(COUNTIFS('United Data'!$A$3:$A$3390,E$1,'United Data'!$C$3:$C$3390,$A642,'United Data'!$B$3:$B$3390,"&lt;&gt;Off-street")&gt;0,1,0)</f>
        <v>0</v>
      </c>
      <c r="F642">
        <f>IF(COUNTIFS('United Data'!$A$3:$A$3390,F$1,'United Data'!$C$3:$C$3390,$A642,'United Data'!$B$3:$B$3390,"&lt;&gt;Off-street")&gt;0,1,0)</f>
        <v>0</v>
      </c>
      <c r="G642">
        <f>IF(COUNTIFS('United Data'!$A$3:$A$3390,G$1,'United Data'!$C$3:$C$3390,$A642,'United Data'!$B$3:$B$3390,"&lt;&gt;Off-street")&gt;0,1,0)</f>
        <v>0</v>
      </c>
      <c r="H642">
        <f>IF(COUNTIFS('United Data'!$A$3:$A$3390,H$1,'United Data'!$C$3:$C$3390,$A642,'United Data'!$B$3:$B$3390,"&lt;&gt;Off-street")&gt;0,1,0)</f>
        <v>0</v>
      </c>
      <c r="I642">
        <f>IF(COUNTIFS('United Data'!$A$3:$A$3390,I$1,'United Data'!$C$3:$C$3390,$A642,'United Data'!$B$3:$B$3390,"&lt;&gt;Off-street")&gt;0,1,0)</f>
        <v>0</v>
      </c>
      <c r="J642">
        <f>IF(COUNTIFS('United Data'!$A$3:$A$3390,J$1,'United Data'!$C$3:$C$3390,$A642,'United Data'!$B$3:$B$3390,"&lt;&gt;Off-street")&gt;0,1,0)</f>
        <v>1</v>
      </c>
      <c r="K642">
        <f>IF(COUNTIFS('United Data'!$A$3:$A$3390,K$1,'United Data'!$C$3:$C$3390,$A642,'United Data'!$B$3:$B$3390,"&lt;&gt;Off-street")&gt;0,1,0)</f>
        <v>0</v>
      </c>
      <c r="L642">
        <f>IF(COUNTIFS('United Data'!$A$3:$A$3390,L$1,'United Data'!$C$3:$C$3390,$A642,'United Data'!$B$3:$B$3390,"&lt;&gt;Off-street")&gt;0,1,0)</f>
        <v>0</v>
      </c>
      <c r="M642">
        <f>IF(COUNTIFS('United Data'!$A$3:$A$3390,M$1,'United Data'!$C$3:$C$3390,$A642,'United Data'!$B$3:$B$3390,"&lt;&gt;Off-street")&gt;0,1,0)</f>
        <v>0</v>
      </c>
      <c r="N642">
        <f>IF(COUNTIFS('United Data'!$A$3:$A$3390,N$1,'United Data'!$C$3:$C$3390,$A642,'United Data'!$B$3:$B$3390,"&lt;&gt;Off-street")&gt;0,1,0)</f>
        <v>0</v>
      </c>
      <c r="O642">
        <f>IF(COUNTIFS('United Data'!$A$3:$A$3390,O$1,'United Data'!$C$3:$C$3390,$A642,'United Data'!$B$3:$B$3390,"&lt;&gt;Off-street")&gt;0,1,0)</f>
        <v>0</v>
      </c>
      <c r="P642">
        <f>IF(COUNTIFS('United Data'!$A$3:$A$3390,P$1,'United Data'!$C$3:$C$3390,$A642,'United Data'!$B$3:$B$3390,"&lt;&gt;Off-street")&gt;0,1,0)</f>
        <v>0</v>
      </c>
      <c r="Q642">
        <f>IF(COUNTIFS('United Data'!$A$3:$A$3390,Q$1,'United Data'!$C$3:$C$3390,$A642,'United Data'!$B$3:$B$3390,"&lt;&gt;Off-street")&gt;0,1,0)</f>
        <v>0</v>
      </c>
      <c r="R642">
        <f>IF(COUNTIFS('United Data'!$A$3:$A$3390,R$1,'United Data'!$C$3:$C$3390,$A642,'United Data'!$B$3:$B$3390,"&lt;&gt;Off-street")&gt;0,1,0)</f>
        <v>0</v>
      </c>
      <c r="S642">
        <f t="shared" ref="S642:S705" si="20">SUM(B642:R642)</f>
        <v>1</v>
      </c>
      <c r="T642">
        <f t="shared" ref="T642:T705" si="21">B642+SUMPRODUCT(--(C642:R642&gt;B642:Q642))</f>
        <v>1</v>
      </c>
    </row>
    <row r="643" spans="1:20" x14ac:dyDescent="0.2">
      <c r="A643" t="s">
        <v>765</v>
      </c>
      <c r="B643">
        <f>IF(COUNTIFS('United Data'!$A$3:$A$3390,B$1,'United Data'!$C$3:$C$3390,$A643,'United Data'!$B$3:$B$3390,"&lt;&gt;Off-street")&gt;0,1,0)</f>
        <v>0</v>
      </c>
      <c r="C643">
        <f>IF(COUNTIFS('United Data'!$A$3:$A$3390,C$1,'United Data'!$C$3:$C$3390,$A643,'United Data'!$B$3:$B$3390,"&lt;&gt;Off-street")&gt;0,1,0)</f>
        <v>0</v>
      </c>
      <c r="D643">
        <f>IF(COUNTIFS('United Data'!$A$3:$A$3390,D$1,'United Data'!$C$3:$C$3390,$A643,'United Data'!$B$3:$B$3390,"&lt;&gt;Off-street")&gt;0,1,0)</f>
        <v>0</v>
      </c>
      <c r="E643">
        <f>IF(COUNTIFS('United Data'!$A$3:$A$3390,E$1,'United Data'!$C$3:$C$3390,$A643,'United Data'!$B$3:$B$3390,"&lt;&gt;Off-street")&gt;0,1,0)</f>
        <v>0</v>
      </c>
      <c r="F643">
        <f>IF(COUNTIFS('United Data'!$A$3:$A$3390,F$1,'United Data'!$C$3:$C$3390,$A643,'United Data'!$B$3:$B$3390,"&lt;&gt;Off-street")&gt;0,1,0)</f>
        <v>0</v>
      </c>
      <c r="G643">
        <f>IF(COUNTIFS('United Data'!$A$3:$A$3390,G$1,'United Data'!$C$3:$C$3390,$A643,'United Data'!$B$3:$B$3390,"&lt;&gt;Off-street")&gt;0,1,0)</f>
        <v>0</v>
      </c>
      <c r="H643">
        <f>IF(COUNTIFS('United Data'!$A$3:$A$3390,H$1,'United Data'!$C$3:$C$3390,$A643,'United Data'!$B$3:$B$3390,"&lt;&gt;Off-street")&gt;0,1,0)</f>
        <v>0</v>
      </c>
      <c r="I643">
        <f>IF(COUNTIFS('United Data'!$A$3:$A$3390,I$1,'United Data'!$C$3:$C$3390,$A643,'United Data'!$B$3:$B$3390,"&lt;&gt;Off-street")&gt;0,1,0)</f>
        <v>0</v>
      </c>
      <c r="J643">
        <f>IF(COUNTIFS('United Data'!$A$3:$A$3390,J$1,'United Data'!$C$3:$C$3390,$A643,'United Data'!$B$3:$B$3390,"&lt;&gt;Off-street")&gt;0,1,0)</f>
        <v>0</v>
      </c>
      <c r="K643">
        <f>IF(COUNTIFS('United Data'!$A$3:$A$3390,K$1,'United Data'!$C$3:$C$3390,$A643,'United Data'!$B$3:$B$3390,"&lt;&gt;Off-street")&gt;0,1,0)</f>
        <v>1</v>
      </c>
      <c r="L643">
        <f>IF(COUNTIFS('United Data'!$A$3:$A$3390,L$1,'United Data'!$C$3:$C$3390,$A643,'United Data'!$B$3:$B$3390,"&lt;&gt;Off-street")&gt;0,1,0)</f>
        <v>1</v>
      </c>
      <c r="M643">
        <f>IF(COUNTIFS('United Data'!$A$3:$A$3390,M$1,'United Data'!$C$3:$C$3390,$A643,'United Data'!$B$3:$B$3390,"&lt;&gt;Off-street")&gt;0,1,0)</f>
        <v>0</v>
      </c>
      <c r="N643">
        <f>IF(COUNTIFS('United Data'!$A$3:$A$3390,N$1,'United Data'!$C$3:$C$3390,$A643,'United Data'!$B$3:$B$3390,"&lt;&gt;Off-street")&gt;0,1,0)</f>
        <v>0</v>
      </c>
      <c r="O643">
        <f>IF(COUNTIFS('United Data'!$A$3:$A$3390,O$1,'United Data'!$C$3:$C$3390,$A643,'United Data'!$B$3:$B$3390,"&lt;&gt;Off-street")&gt;0,1,0)</f>
        <v>0</v>
      </c>
      <c r="P643">
        <f>IF(COUNTIFS('United Data'!$A$3:$A$3390,P$1,'United Data'!$C$3:$C$3390,$A643,'United Data'!$B$3:$B$3390,"&lt;&gt;Off-street")&gt;0,1,0)</f>
        <v>0</v>
      </c>
      <c r="Q643">
        <f>IF(COUNTIFS('United Data'!$A$3:$A$3390,Q$1,'United Data'!$C$3:$C$3390,$A643,'United Data'!$B$3:$B$3390,"&lt;&gt;Off-street")&gt;0,1,0)</f>
        <v>0</v>
      </c>
      <c r="R643">
        <f>IF(COUNTIFS('United Data'!$A$3:$A$3390,R$1,'United Data'!$C$3:$C$3390,$A643,'United Data'!$B$3:$B$3390,"&lt;&gt;Off-street")&gt;0,1,0)</f>
        <v>0</v>
      </c>
      <c r="S643">
        <f t="shared" si="20"/>
        <v>2</v>
      </c>
      <c r="T643">
        <f t="shared" si="21"/>
        <v>1</v>
      </c>
    </row>
    <row r="644" spans="1:20" x14ac:dyDescent="0.2">
      <c r="A644" t="s">
        <v>766</v>
      </c>
      <c r="B644">
        <f>IF(COUNTIFS('United Data'!$A$3:$A$3390,B$1,'United Data'!$C$3:$C$3390,$A644,'United Data'!$B$3:$B$3390,"&lt;&gt;Off-street")&gt;0,1,0)</f>
        <v>0</v>
      </c>
      <c r="C644">
        <f>IF(COUNTIFS('United Data'!$A$3:$A$3390,C$1,'United Data'!$C$3:$C$3390,$A644,'United Data'!$B$3:$B$3390,"&lt;&gt;Off-street")&gt;0,1,0)</f>
        <v>0</v>
      </c>
      <c r="D644">
        <f>IF(COUNTIFS('United Data'!$A$3:$A$3390,D$1,'United Data'!$C$3:$C$3390,$A644,'United Data'!$B$3:$B$3390,"&lt;&gt;Off-street")&gt;0,1,0)</f>
        <v>0</v>
      </c>
      <c r="E644">
        <f>IF(COUNTIFS('United Data'!$A$3:$A$3390,E$1,'United Data'!$C$3:$C$3390,$A644,'United Data'!$B$3:$B$3390,"&lt;&gt;Off-street")&gt;0,1,0)</f>
        <v>0</v>
      </c>
      <c r="F644">
        <f>IF(COUNTIFS('United Data'!$A$3:$A$3390,F$1,'United Data'!$C$3:$C$3390,$A644,'United Data'!$B$3:$B$3390,"&lt;&gt;Off-street")&gt;0,1,0)</f>
        <v>0</v>
      </c>
      <c r="G644">
        <f>IF(COUNTIFS('United Data'!$A$3:$A$3390,G$1,'United Data'!$C$3:$C$3390,$A644,'United Data'!$B$3:$B$3390,"&lt;&gt;Off-street")&gt;0,1,0)</f>
        <v>0</v>
      </c>
      <c r="H644">
        <f>IF(COUNTIFS('United Data'!$A$3:$A$3390,H$1,'United Data'!$C$3:$C$3390,$A644,'United Data'!$B$3:$B$3390,"&lt;&gt;Off-street")&gt;0,1,0)</f>
        <v>0</v>
      </c>
      <c r="I644">
        <f>IF(COUNTIFS('United Data'!$A$3:$A$3390,I$1,'United Data'!$C$3:$C$3390,$A644,'United Data'!$B$3:$B$3390,"&lt;&gt;Off-street")&gt;0,1,0)</f>
        <v>0</v>
      </c>
      <c r="J644">
        <f>IF(COUNTIFS('United Data'!$A$3:$A$3390,J$1,'United Data'!$C$3:$C$3390,$A644,'United Data'!$B$3:$B$3390,"&lt;&gt;Off-street")&gt;0,1,0)</f>
        <v>0</v>
      </c>
      <c r="K644">
        <f>IF(COUNTIFS('United Data'!$A$3:$A$3390,K$1,'United Data'!$C$3:$C$3390,$A644,'United Data'!$B$3:$B$3390,"&lt;&gt;Off-street")&gt;0,1,0)</f>
        <v>0</v>
      </c>
      <c r="L644">
        <f>IF(COUNTIFS('United Data'!$A$3:$A$3390,L$1,'United Data'!$C$3:$C$3390,$A644,'United Data'!$B$3:$B$3390,"&lt;&gt;Off-street")&gt;0,1,0)</f>
        <v>1</v>
      </c>
      <c r="M644">
        <f>IF(COUNTIFS('United Data'!$A$3:$A$3390,M$1,'United Data'!$C$3:$C$3390,$A644,'United Data'!$B$3:$B$3390,"&lt;&gt;Off-street")&gt;0,1,0)</f>
        <v>0</v>
      </c>
      <c r="N644">
        <f>IF(COUNTIFS('United Data'!$A$3:$A$3390,N$1,'United Data'!$C$3:$C$3390,$A644,'United Data'!$B$3:$B$3390,"&lt;&gt;Off-street")&gt;0,1,0)</f>
        <v>0</v>
      </c>
      <c r="O644">
        <f>IF(COUNTIFS('United Data'!$A$3:$A$3390,O$1,'United Data'!$C$3:$C$3390,$A644,'United Data'!$B$3:$B$3390,"&lt;&gt;Off-street")&gt;0,1,0)</f>
        <v>0</v>
      </c>
      <c r="P644">
        <f>IF(COUNTIFS('United Data'!$A$3:$A$3390,P$1,'United Data'!$C$3:$C$3390,$A644,'United Data'!$B$3:$B$3390,"&lt;&gt;Off-street")&gt;0,1,0)</f>
        <v>0</v>
      </c>
      <c r="Q644">
        <f>IF(COUNTIFS('United Data'!$A$3:$A$3390,Q$1,'United Data'!$C$3:$C$3390,$A644,'United Data'!$B$3:$B$3390,"&lt;&gt;Off-street")&gt;0,1,0)</f>
        <v>0</v>
      </c>
      <c r="R644">
        <f>IF(COUNTIFS('United Data'!$A$3:$A$3390,R$1,'United Data'!$C$3:$C$3390,$A644,'United Data'!$B$3:$B$3390,"&lt;&gt;Off-street")&gt;0,1,0)</f>
        <v>0</v>
      </c>
      <c r="S644">
        <f t="shared" si="20"/>
        <v>1</v>
      </c>
      <c r="T644">
        <f t="shared" si="21"/>
        <v>1</v>
      </c>
    </row>
    <row r="645" spans="1:20" x14ac:dyDescent="0.2">
      <c r="A645" t="s">
        <v>767</v>
      </c>
      <c r="B645">
        <f>IF(COUNTIFS('United Data'!$A$3:$A$3390,B$1,'United Data'!$C$3:$C$3390,$A645,'United Data'!$B$3:$B$3390,"&lt;&gt;Off-street")&gt;0,1,0)</f>
        <v>0</v>
      </c>
      <c r="C645">
        <f>IF(COUNTIFS('United Data'!$A$3:$A$3390,C$1,'United Data'!$C$3:$C$3390,$A645,'United Data'!$B$3:$B$3390,"&lt;&gt;Off-street")&gt;0,1,0)</f>
        <v>0</v>
      </c>
      <c r="D645">
        <f>IF(COUNTIFS('United Data'!$A$3:$A$3390,D$1,'United Data'!$C$3:$C$3390,$A645,'United Data'!$B$3:$B$3390,"&lt;&gt;Off-street")&gt;0,1,0)</f>
        <v>0</v>
      </c>
      <c r="E645">
        <f>IF(COUNTIFS('United Data'!$A$3:$A$3390,E$1,'United Data'!$C$3:$C$3390,$A645,'United Data'!$B$3:$B$3390,"&lt;&gt;Off-street")&gt;0,1,0)</f>
        <v>0</v>
      </c>
      <c r="F645">
        <f>IF(COUNTIFS('United Data'!$A$3:$A$3390,F$1,'United Data'!$C$3:$C$3390,$A645,'United Data'!$B$3:$B$3390,"&lt;&gt;Off-street")&gt;0,1,0)</f>
        <v>0</v>
      </c>
      <c r="G645">
        <f>IF(COUNTIFS('United Data'!$A$3:$A$3390,G$1,'United Data'!$C$3:$C$3390,$A645,'United Data'!$B$3:$B$3390,"&lt;&gt;Off-street")&gt;0,1,0)</f>
        <v>0</v>
      </c>
      <c r="H645">
        <f>IF(COUNTIFS('United Data'!$A$3:$A$3390,H$1,'United Data'!$C$3:$C$3390,$A645,'United Data'!$B$3:$B$3390,"&lt;&gt;Off-street")&gt;0,1,0)</f>
        <v>0</v>
      </c>
      <c r="I645">
        <f>IF(COUNTIFS('United Data'!$A$3:$A$3390,I$1,'United Data'!$C$3:$C$3390,$A645,'United Data'!$B$3:$B$3390,"&lt;&gt;Off-street")&gt;0,1,0)</f>
        <v>0</v>
      </c>
      <c r="J645">
        <f>IF(COUNTIFS('United Data'!$A$3:$A$3390,J$1,'United Data'!$C$3:$C$3390,$A645,'United Data'!$B$3:$B$3390,"&lt;&gt;Off-street")&gt;0,1,0)</f>
        <v>0</v>
      </c>
      <c r="K645">
        <f>IF(COUNTIFS('United Data'!$A$3:$A$3390,K$1,'United Data'!$C$3:$C$3390,$A645,'United Data'!$B$3:$B$3390,"&lt;&gt;Off-street")&gt;0,1,0)</f>
        <v>0</v>
      </c>
      <c r="L645">
        <f>IF(COUNTIFS('United Data'!$A$3:$A$3390,L$1,'United Data'!$C$3:$C$3390,$A645,'United Data'!$B$3:$B$3390,"&lt;&gt;Off-street")&gt;0,1,0)</f>
        <v>0</v>
      </c>
      <c r="M645">
        <f>IF(COUNTIFS('United Data'!$A$3:$A$3390,M$1,'United Data'!$C$3:$C$3390,$A645,'United Data'!$B$3:$B$3390,"&lt;&gt;Off-street")&gt;0,1,0)</f>
        <v>1</v>
      </c>
      <c r="N645">
        <f>IF(COUNTIFS('United Data'!$A$3:$A$3390,N$1,'United Data'!$C$3:$C$3390,$A645,'United Data'!$B$3:$B$3390,"&lt;&gt;Off-street")&gt;0,1,0)</f>
        <v>0</v>
      </c>
      <c r="O645">
        <f>IF(COUNTIFS('United Data'!$A$3:$A$3390,O$1,'United Data'!$C$3:$C$3390,$A645,'United Data'!$B$3:$B$3390,"&lt;&gt;Off-street")&gt;0,1,0)</f>
        <v>0</v>
      </c>
      <c r="P645">
        <f>IF(COUNTIFS('United Data'!$A$3:$A$3390,P$1,'United Data'!$C$3:$C$3390,$A645,'United Data'!$B$3:$B$3390,"&lt;&gt;Off-street")&gt;0,1,0)</f>
        <v>0</v>
      </c>
      <c r="Q645">
        <f>IF(COUNTIFS('United Data'!$A$3:$A$3390,Q$1,'United Data'!$C$3:$C$3390,$A645,'United Data'!$B$3:$B$3390,"&lt;&gt;Off-street")&gt;0,1,0)</f>
        <v>0</v>
      </c>
      <c r="R645">
        <f>IF(COUNTIFS('United Data'!$A$3:$A$3390,R$1,'United Data'!$C$3:$C$3390,$A645,'United Data'!$B$3:$B$3390,"&lt;&gt;Off-street")&gt;0,1,0)</f>
        <v>0</v>
      </c>
      <c r="S645">
        <f t="shared" si="20"/>
        <v>1</v>
      </c>
      <c r="T645">
        <f t="shared" si="21"/>
        <v>1</v>
      </c>
    </row>
    <row r="646" spans="1:20" x14ac:dyDescent="0.2">
      <c r="A646" t="s">
        <v>768</v>
      </c>
      <c r="B646">
        <f>IF(COUNTIFS('United Data'!$A$3:$A$3390,B$1,'United Data'!$C$3:$C$3390,$A646,'United Data'!$B$3:$B$3390,"&lt;&gt;Off-street")&gt;0,1,0)</f>
        <v>0</v>
      </c>
      <c r="C646">
        <f>IF(COUNTIFS('United Data'!$A$3:$A$3390,C$1,'United Data'!$C$3:$C$3390,$A646,'United Data'!$B$3:$B$3390,"&lt;&gt;Off-street")&gt;0,1,0)</f>
        <v>0</v>
      </c>
      <c r="D646">
        <f>IF(COUNTIFS('United Data'!$A$3:$A$3390,D$1,'United Data'!$C$3:$C$3390,$A646,'United Data'!$B$3:$B$3390,"&lt;&gt;Off-street")&gt;0,1,0)</f>
        <v>0</v>
      </c>
      <c r="E646">
        <f>IF(COUNTIFS('United Data'!$A$3:$A$3390,E$1,'United Data'!$C$3:$C$3390,$A646,'United Data'!$B$3:$B$3390,"&lt;&gt;Off-street")&gt;0,1,0)</f>
        <v>0</v>
      </c>
      <c r="F646">
        <f>IF(COUNTIFS('United Data'!$A$3:$A$3390,F$1,'United Data'!$C$3:$C$3390,$A646,'United Data'!$B$3:$B$3390,"&lt;&gt;Off-street")&gt;0,1,0)</f>
        <v>0</v>
      </c>
      <c r="G646">
        <f>IF(COUNTIFS('United Data'!$A$3:$A$3390,G$1,'United Data'!$C$3:$C$3390,$A646,'United Data'!$B$3:$B$3390,"&lt;&gt;Off-street")&gt;0,1,0)</f>
        <v>0</v>
      </c>
      <c r="H646">
        <f>IF(COUNTIFS('United Data'!$A$3:$A$3390,H$1,'United Data'!$C$3:$C$3390,$A646,'United Data'!$B$3:$B$3390,"&lt;&gt;Off-street")&gt;0,1,0)</f>
        <v>0</v>
      </c>
      <c r="I646">
        <f>IF(COUNTIFS('United Data'!$A$3:$A$3390,I$1,'United Data'!$C$3:$C$3390,$A646,'United Data'!$B$3:$B$3390,"&lt;&gt;Off-street")&gt;0,1,0)</f>
        <v>0</v>
      </c>
      <c r="J646">
        <f>IF(COUNTIFS('United Data'!$A$3:$A$3390,J$1,'United Data'!$C$3:$C$3390,$A646,'United Data'!$B$3:$B$3390,"&lt;&gt;Off-street")&gt;0,1,0)</f>
        <v>0</v>
      </c>
      <c r="K646">
        <f>IF(COUNTIFS('United Data'!$A$3:$A$3390,K$1,'United Data'!$C$3:$C$3390,$A646,'United Data'!$B$3:$B$3390,"&lt;&gt;Off-street")&gt;0,1,0)</f>
        <v>0</v>
      </c>
      <c r="L646">
        <f>IF(COUNTIFS('United Data'!$A$3:$A$3390,L$1,'United Data'!$C$3:$C$3390,$A646,'United Data'!$B$3:$B$3390,"&lt;&gt;Off-street")&gt;0,1,0)</f>
        <v>0</v>
      </c>
      <c r="M646">
        <f>IF(COUNTIFS('United Data'!$A$3:$A$3390,M$1,'United Data'!$C$3:$C$3390,$A646,'United Data'!$B$3:$B$3390,"&lt;&gt;Off-street")&gt;0,1,0)</f>
        <v>0</v>
      </c>
      <c r="N646">
        <f>IF(COUNTIFS('United Data'!$A$3:$A$3390,N$1,'United Data'!$C$3:$C$3390,$A646,'United Data'!$B$3:$B$3390,"&lt;&gt;Off-street")&gt;0,1,0)</f>
        <v>1</v>
      </c>
      <c r="O646">
        <f>IF(COUNTIFS('United Data'!$A$3:$A$3390,O$1,'United Data'!$C$3:$C$3390,$A646,'United Data'!$B$3:$B$3390,"&lt;&gt;Off-street")&gt;0,1,0)</f>
        <v>0</v>
      </c>
      <c r="P646">
        <f>IF(COUNTIFS('United Data'!$A$3:$A$3390,P$1,'United Data'!$C$3:$C$3390,$A646,'United Data'!$B$3:$B$3390,"&lt;&gt;Off-street")&gt;0,1,0)</f>
        <v>0</v>
      </c>
      <c r="Q646">
        <f>IF(COUNTIFS('United Data'!$A$3:$A$3390,Q$1,'United Data'!$C$3:$C$3390,$A646,'United Data'!$B$3:$B$3390,"&lt;&gt;Off-street")&gt;0,1,0)</f>
        <v>0</v>
      </c>
      <c r="R646">
        <f>IF(COUNTIFS('United Data'!$A$3:$A$3390,R$1,'United Data'!$C$3:$C$3390,$A646,'United Data'!$B$3:$B$3390,"&lt;&gt;Off-street")&gt;0,1,0)</f>
        <v>0</v>
      </c>
      <c r="S646">
        <f t="shared" si="20"/>
        <v>1</v>
      </c>
      <c r="T646">
        <f t="shared" si="21"/>
        <v>1</v>
      </c>
    </row>
    <row r="647" spans="1:20" x14ac:dyDescent="0.2">
      <c r="A647" t="s">
        <v>769</v>
      </c>
      <c r="B647">
        <f>IF(COUNTIFS('United Data'!$A$3:$A$3390,B$1,'United Data'!$C$3:$C$3390,$A647,'United Data'!$B$3:$B$3390,"&lt;&gt;Off-street")&gt;0,1,0)</f>
        <v>0</v>
      </c>
      <c r="C647">
        <f>IF(COUNTIFS('United Data'!$A$3:$A$3390,C$1,'United Data'!$C$3:$C$3390,$A647,'United Data'!$B$3:$B$3390,"&lt;&gt;Off-street")&gt;0,1,0)</f>
        <v>0</v>
      </c>
      <c r="D647">
        <f>IF(COUNTIFS('United Data'!$A$3:$A$3390,D$1,'United Data'!$C$3:$C$3390,$A647,'United Data'!$B$3:$B$3390,"&lt;&gt;Off-street")&gt;0,1,0)</f>
        <v>0</v>
      </c>
      <c r="E647">
        <f>IF(COUNTIFS('United Data'!$A$3:$A$3390,E$1,'United Data'!$C$3:$C$3390,$A647,'United Data'!$B$3:$B$3390,"&lt;&gt;Off-street")&gt;0,1,0)</f>
        <v>0</v>
      </c>
      <c r="F647">
        <f>IF(COUNTIFS('United Data'!$A$3:$A$3390,F$1,'United Data'!$C$3:$C$3390,$A647,'United Data'!$B$3:$B$3390,"&lt;&gt;Off-street")&gt;0,1,0)</f>
        <v>0</v>
      </c>
      <c r="G647">
        <f>IF(COUNTIFS('United Data'!$A$3:$A$3390,G$1,'United Data'!$C$3:$C$3390,$A647,'United Data'!$B$3:$B$3390,"&lt;&gt;Off-street")&gt;0,1,0)</f>
        <v>0</v>
      </c>
      <c r="H647">
        <f>IF(COUNTIFS('United Data'!$A$3:$A$3390,H$1,'United Data'!$C$3:$C$3390,$A647,'United Data'!$B$3:$B$3390,"&lt;&gt;Off-street")&gt;0,1,0)</f>
        <v>0</v>
      </c>
      <c r="I647">
        <f>IF(COUNTIFS('United Data'!$A$3:$A$3390,I$1,'United Data'!$C$3:$C$3390,$A647,'United Data'!$B$3:$B$3390,"&lt;&gt;Off-street")&gt;0,1,0)</f>
        <v>0</v>
      </c>
      <c r="J647">
        <f>IF(COUNTIFS('United Data'!$A$3:$A$3390,J$1,'United Data'!$C$3:$C$3390,$A647,'United Data'!$B$3:$B$3390,"&lt;&gt;Off-street")&gt;0,1,0)</f>
        <v>0</v>
      </c>
      <c r="K647">
        <f>IF(COUNTIFS('United Data'!$A$3:$A$3390,K$1,'United Data'!$C$3:$C$3390,$A647,'United Data'!$B$3:$B$3390,"&lt;&gt;Off-street")&gt;0,1,0)</f>
        <v>0</v>
      </c>
      <c r="L647">
        <f>IF(COUNTIFS('United Data'!$A$3:$A$3390,L$1,'United Data'!$C$3:$C$3390,$A647,'United Data'!$B$3:$B$3390,"&lt;&gt;Off-street")&gt;0,1,0)</f>
        <v>0</v>
      </c>
      <c r="M647">
        <f>IF(COUNTIFS('United Data'!$A$3:$A$3390,M$1,'United Data'!$C$3:$C$3390,$A647,'United Data'!$B$3:$B$3390,"&lt;&gt;Off-street")&gt;0,1,0)</f>
        <v>0</v>
      </c>
      <c r="N647">
        <f>IF(COUNTIFS('United Data'!$A$3:$A$3390,N$1,'United Data'!$C$3:$C$3390,$A647,'United Data'!$B$3:$B$3390,"&lt;&gt;Off-street")&gt;0,1,0)</f>
        <v>1</v>
      </c>
      <c r="O647">
        <f>IF(COUNTIFS('United Data'!$A$3:$A$3390,O$1,'United Data'!$C$3:$C$3390,$A647,'United Data'!$B$3:$B$3390,"&lt;&gt;Off-street")&gt;0,1,0)</f>
        <v>0</v>
      </c>
      <c r="P647">
        <f>IF(COUNTIFS('United Data'!$A$3:$A$3390,P$1,'United Data'!$C$3:$C$3390,$A647,'United Data'!$B$3:$B$3390,"&lt;&gt;Off-street")&gt;0,1,0)</f>
        <v>0</v>
      </c>
      <c r="Q647">
        <f>IF(COUNTIFS('United Data'!$A$3:$A$3390,Q$1,'United Data'!$C$3:$C$3390,$A647,'United Data'!$B$3:$B$3390,"&lt;&gt;Off-street")&gt;0,1,0)</f>
        <v>0</v>
      </c>
      <c r="R647">
        <f>IF(COUNTIFS('United Data'!$A$3:$A$3390,R$1,'United Data'!$C$3:$C$3390,$A647,'United Data'!$B$3:$B$3390,"&lt;&gt;Off-street")&gt;0,1,0)</f>
        <v>0</v>
      </c>
      <c r="S647">
        <f t="shared" si="20"/>
        <v>1</v>
      </c>
      <c r="T647">
        <f t="shared" si="21"/>
        <v>1</v>
      </c>
    </row>
    <row r="648" spans="1:20" x14ac:dyDescent="0.2">
      <c r="A648" t="s">
        <v>770</v>
      </c>
      <c r="B648">
        <f>IF(COUNTIFS('United Data'!$A$3:$A$3390,B$1,'United Data'!$C$3:$C$3390,$A648,'United Data'!$B$3:$B$3390,"&lt;&gt;Off-street")&gt;0,1,0)</f>
        <v>0</v>
      </c>
      <c r="C648">
        <f>IF(COUNTIFS('United Data'!$A$3:$A$3390,C$1,'United Data'!$C$3:$C$3390,$A648,'United Data'!$B$3:$B$3390,"&lt;&gt;Off-street")&gt;0,1,0)</f>
        <v>0</v>
      </c>
      <c r="D648">
        <f>IF(COUNTIFS('United Data'!$A$3:$A$3390,D$1,'United Data'!$C$3:$C$3390,$A648,'United Data'!$B$3:$B$3390,"&lt;&gt;Off-street")&gt;0,1,0)</f>
        <v>0</v>
      </c>
      <c r="E648">
        <f>IF(COUNTIFS('United Data'!$A$3:$A$3390,E$1,'United Data'!$C$3:$C$3390,$A648,'United Data'!$B$3:$B$3390,"&lt;&gt;Off-street")&gt;0,1,0)</f>
        <v>0</v>
      </c>
      <c r="F648">
        <f>IF(COUNTIFS('United Data'!$A$3:$A$3390,F$1,'United Data'!$C$3:$C$3390,$A648,'United Data'!$B$3:$B$3390,"&lt;&gt;Off-street")&gt;0,1,0)</f>
        <v>0</v>
      </c>
      <c r="G648">
        <f>IF(COUNTIFS('United Data'!$A$3:$A$3390,G$1,'United Data'!$C$3:$C$3390,$A648,'United Data'!$B$3:$B$3390,"&lt;&gt;Off-street")&gt;0,1,0)</f>
        <v>0</v>
      </c>
      <c r="H648">
        <f>IF(COUNTIFS('United Data'!$A$3:$A$3390,H$1,'United Data'!$C$3:$C$3390,$A648,'United Data'!$B$3:$B$3390,"&lt;&gt;Off-street")&gt;0,1,0)</f>
        <v>0</v>
      </c>
      <c r="I648">
        <f>IF(COUNTIFS('United Data'!$A$3:$A$3390,I$1,'United Data'!$C$3:$C$3390,$A648,'United Data'!$B$3:$B$3390,"&lt;&gt;Off-street")&gt;0,1,0)</f>
        <v>0</v>
      </c>
      <c r="J648">
        <f>IF(COUNTIFS('United Data'!$A$3:$A$3390,J$1,'United Data'!$C$3:$C$3390,$A648,'United Data'!$B$3:$B$3390,"&lt;&gt;Off-street")&gt;0,1,0)</f>
        <v>0</v>
      </c>
      <c r="K648">
        <f>IF(COUNTIFS('United Data'!$A$3:$A$3390,K$1,'United Data'!$C$3:$C$3390,$A648,'United Data'!$B$3:$B$3390,"&lt;&gt;Off-street")&gt;0,1,0)</f>
        <v>0</v>
      </c>
      <c r="L648">
        <f>IF(COUNTIFS('United Data'!$A$3:$A$3390,L$1,'United Data'!$C$3:$C$3390,$A648,'United Data'!$B$3:$B$3390,"&lt;&gt;Off-street")&gt;0,1,0)</f>
        <v>0</v>
      </c>
      <c r="M648">
        <f>IF(COUNTIFS('United Data'!$A$3:$A$3390,M$1,'United Data'!$C$3:$C$3390,$A648,'United Data'!$B$3:$B$3390,"&lt;&gt;Off-street")&gt;0,1,0)</f>
        <v>0</v>
      </c>
      <c r="N648">
        <f>IF(COUNTIFS('United Data'!$A$3:$A$3390,N$1,'United Data'!$C$3:$C$3390,$A648,'United Data'!$B$3:$B$3390,"&lt;&gt;Off-street")&gt;0,1,0)</f>
        <v>1</v>
      </c>
      <c r="O648">
        <f>IF(COUNTIFS('United Data'!$A$3:$A$3390,O$1,'United Data'!$C$3:$C$3390,$A648,'United Data'!$B$3:$B$3390,"&lt;&gt;Off-street")&gt;0,1,0)</f>
        <v>0</v>
      </c>
      <c r="P648">
        <f>IF(COUNTIFS('United Data'!$A$3:$A$3390,P$1,'United Data'!$C$3:$C$3390,$A648,'United Data'!$B$3:$B$3390,"&lt;&gt;Off-street")&gt;0,1,0)</f>
        <v>0</v>
      </c>
      <c r="Q648">
        <f>IF(COUNTIFS('United Data'!$A$3:$A$3390,Q$1,'United Data'!$C$3:$C$3390,$A648,'United Data'!$B$3:$B$3390,"&lt;&gt;Off-street")&gt;0,1,0)</f>
        <v>0</v>
      </c>
      <c r="R648">
        <f>IF(COUNTIFS('United Data'!$A$3:$A$3390,R$1,'United Data'!$C$3:$C$3390,$A648,'United Data'!$B$3:$B$3390,"&lt;&gt;Off-street")&gt;0,1,0)</f>
        <v>0</v>
      </c>
      <c r="S648">
        <f t="shared" si="20"/>
        <v>1</v>
      </c>
      <c r="T648">
        <f t="shared" si="21"/>
        <v>1</v>
      </c>
    </row>
    <row r="649" spans="1:20" x14ac:dyDescent="0.2">
      <c r="A649" t="s">
        <v>771</v>
      </c>
      <c r="B649">
        <f>IF(COUNTIFS('United Data'!$A$3:$A$3390,B$1,'United Data'!$C$3:$C$3390,$A649,'United Data'!$B$3:$B$3390,"&lt;&gt;Off-street")&gt;0,1,0)</f>
        <v>0</v>
      </c>
      <c r="C649">
        <f>IF(COUNTIFS('United Data'!$A$3:$A$3390,C$1,'United Data'!$C$3:$C$3390,$A649,'United Data'!$B$3:$B$3390,"&lt;&gt;Off-street")&gt;0,1,0)</f>
        <v>0</v>
      </c>
      <c r="D649">
        <f>IF(COUNTIFS('United Data'!$A$3:$A$3390,D$1,'United Data'!$C$3:$C$3390,$A649,'United Data'!$B$3:$B$3390,"&lt;&gt;Off-street")&gt;0,1,0)</f>
        <v>0</v>
      </c>
      <c r="E649">
        <f>IF(COUNTIFS('United Data'!$A$3:$A$3390,E$1,'United Data'!$C$3:$C$3390,$A649,'United Data'!$B$3:$B$3390,"&lt;&gt;Off-street")&gt;0,1,0)</f>
        <v>0</v>
      </c>
      <c r="F649">
        <f>IF(COUNTIFS('United Data'!$A$3:$A$3390,F$1,'United Data'!$C$3:$C$3390,$A649,'United Data'!$B$3:$B$3390,"&lt;&gt;Off-street")&gt;0,1,0)</f>
        <v>0</v>
      </c>
      <c r="G649">
        <f>IF(COUNTIFS('United Data'!$A$3:$A$3390,G$1,'United Data'!$C$3:$C$3390,$A649,'United Data'!$B$3:$B$3390,"&lt;&gt;Off-street")&gt;0,1,0)</f>
        <v>0</v>
      </c>
      <c r="H649">
        <f>IF(COUNTIFS('United Data'!$A$3:$A$3390,H$1,'United Data'!$C$3:$C$3390,$A649,'United Data'!$B$3:$B$3390,"&lt;&gt;Off-street")&gt;0,1,0)</f>
        <v>0</v>
      </c>
      <c r="I649">
        <f>IF(COUNTIFS('United Data'!$A$3:$A$3390,I$1,'United Data'!$C$3:$C$3390,$A649,'United Data'!$B$3:$B$3390,"&lt;&gt;Off-street")&gt;0,1,0)</f>
        <v>0</v>
      </c>
      <c r="J649">
        <f>IF(COUNTIFS('United Data'!$A$3:$A$3390,J$1,'United Data'!$C$3:$C$3390,$A649,'United Data'!$B$3:$B$3390,"&lt;&gt;Off-street")&gt;0,1,0)</f>
        <v>0</v>
      </c>
      <c r="K649">
        <f>IF(COUNTIFS('United Data'!$A$3:$A$3390,K$1,'United Data'!$C$3:$C$3390,$A649,'United Data'!$B$3:$B$3390,"&lt;&gt;Off-street")&gt;0,1,0)</f>
        <v>0</v>
      </c>
      <c r="L649">
        <f>IF(COUNTIFS('United Data'!$A$3:$A$3390,L$1,'United Data'!$C$3:$C$3390,$A649,'United Data'!$B$3:$B$3390,"&lt;&gt;Off-street")&gt;0,1,0)</f>
        <v>0</v>
      </c>
      <c r="M649">
        <f>IF(COUNTIFS('United Data'!$A$3:$A$3390,M$1,'United Data'!$C$3:$C$3390,$A649,'United Data'!$B$3:$B$3390,"&lt;&gt;Off-street")&gt;0,1,0)</f>
        <v>0</v>
      </c>
      <c r="N649">
        <f>IF(COUNTIFS('United Data'!$A$3:$A$3390,N$1,'United Data'!$C$3:$C$3390,$A649,'United Data'!$B$3:$B$3390,"&lt;&gt;Off-street")&gt;0,1,0)</f>
        <v>0</v>
      </c>
      <c r="O649">
        <f>IF(COUNTIFS('United Data'!$A$3:$A$3390,O$1,'United Data'!$C$3:$C$3390,$A649,'United Data'!$B$3:$B$3390,"&lt;&gt;Off-street")&gt;0,1,0)</f>
        <v>1</v>
      </c>
      <c r="P649">
        <f>IF(COUNTIFS('United Data'!$A$3:$A$3390,P$1,'United Data'!$C$3:$C$3390,$A649,'United Data'!$B$3:$B$3390,"&lt;&gt;Off-street")&gt;0,1,0)</f>
        <v>0</v>
      </c>
      <c r="Q649">
        <f>IF(COUNTIFS('United Data'!$A$3:$A$3390,Q$1,'United Data'!$C$3:$C$3390,$A649,'United Data'!$B$3:$B$3390,"&lt;&gt;Off-street")&gt;0,1,0)</f>
        <v>1</v>
      </c>
      <c r="R649">
        <f>IF(COUNTIFS('United Data'!$A$3:$A$3390,R$1,'United Data'!$C$3:$C$3390,$A649,'United Data'!$B$3:$B$3390,"&lt;&gt;Off-street")&gt;0,1,0)</f>
        <v>1</v>
      </c>
      <c r="S649">
        <f t="shared" si="20"/>
        <v>3</v>
      </c>
      <c r="T649">
        <f t="shared" si="21"/>
        <v>2</v>
      </c>
    </row>
    <row r="650" spans="1:20" x14ac:dyDescent="0.2">
      <c r="A650" t="s">
        <v>772</v>
      </c>
      <c r="B650">
        <f>IF(COUNTIFS('United Data'!$A$3:$A$3390,B$1,'United Data'!$C$3:$C$3390,$A650,'United Data'!$B$3:$B$3390,"&lt;&gt;Off-street")&gt;0,1,0)</f>
        <v>0</v>
      </c>
      <c r="C650">
        <f>IF(COUNTIFS('United Data'!$A$3:$A$3390,C$1,'United Data'!$C$3:$C$3390,$A650,'United Data'!$B$3:$B$3390,"&lt;&gt;Off-street")&gt;0,1,0)</f>
        <v>0</v>
      </c>
      <c r="D650">
        <f>IF(COUNTIFS('United Data'!$A$3:$A$3390,D$1,'United Data'!$C$3:$C$3390,$A650,'United Data'!$B$3:$B$3390,"&lt;&gt;Off-street")&gt;0,1,0)</f>
        <v>0</v>
      </c>
      <c r="E650">
        <f>IF(COUNTIFS('United Data'!$A$3:$A$3390,E$1,'United Data'!$C$3:$C$3390,$A650,'United Data'!$B$3:$B$3390,"&lt;&gt;Off-street")&gt;0,1,0)</f>
        <v>0</v>
      </c>
      <c r="F650">
        <f>IF(COUNTIFS('United Data'!$A$3:$A$3390,F$1,'United Data'!$C$3:$C$3390,$A650,'United Data'!$B$3:$B$3390,"&lt;&gt;Off-street")&gt;0,1,0)</f>
        <v>0</v>
      </c>
      <c r="G650">
        <f>IF(COUNTIFS('United Data'!$A$3:$A$3390,G$1,'United Data'!$C$3:$C$3390,$A650,'United Data'!$B$3:$B$3390,"&lt;&gt;Off-street")&gt;0,1,0)</f>
        <v>0</v>
      </c>
      <c r="H650">
        <f>IF(COUNTIFS('United Data'!$A$3:$A$3390,H$1,'United Data'!$C$3:$C$3390,$A650,'United Data'!$B$3:$B$3390,"&lt;&gt;Off-street")&gt;0,1,0)</f>
        <v>0</v>
      </c>
      <c r="I650">
        <f>IF(COUNTIFS('United Data'!$A$3:$A$3390,I$1,'United Data'!$C$3:$C$3390,$A650,'United Data'!$B$3:$B$3390,"&lt;&gt;Off-street")&gt;0,1,0)</f>
        <v>0</v>
      </c>
      <c r="J650">
        <f>IF(COUNTIFS('United Data'!$A$3:$A$3390,J$1,'United Data'!$C$3:$C$3390,$A650,'United Data'!$B$3:$B$3390,"&lt;&gt;Off-street")&gt;0,1,0)</f>
        <v>0</v>
      </c>
      <c r="K650">
        <f>IF(COUNTIFS('United Data'!$A$3:$A$3390,K$1,'United Data'!$C$3:$C$3390,$A650,'United Data'!$B$3:$B$3390,"&lt;&gt;Off-street")&gt;0,1,0)</f>
        <v>0</v>
      </c>
      <c r="L650">
        <f>IF(COUNTIFS('United Data'!$A$3:$A$3390,L$1,'United Data'!$C$3:$C$3390,$A650,'United Data'!$B$3:$B$3390,"&lt;&gt;Off-street")&gt;0,1,0)</f>
        <v>0</v>
      </c>
      <c r="M650">
        <f>IF(COUNTIFS('United Data'!$A$3:$A$3390,M$1,'United Data'!$C$3:$C$3390,$A650,'United Data'!$B$3:$B$3390,"&lt;&gt;Off-street")&gt;0,1,0)</f>
        <v>0</v>
      </c>
      <c r="N650">
        <f>IF(COUNTIFS('United Data'!$A$3:$A$3390,N$1,'United Data'!$C$3:$C$3390,$A650,'United Data'!$B$3:$B$3390,"&lt;&gt;Off-street")&gt;0,1,0)</f>
        <v>0</v>
      </c>
      <c r="O650">
        <f>IF(COUNTIFS('United Data'!$A$3:$A$3390,O$1,'United Data'!$C$3:$C$3390,$A650,'United Data'!$B$3:$B$3390,"&lt;&gt;Off-street")&gt;0,1,0)</f>
        <v>1</v>
      </c>
      <c r="P650">
        <f>IF(COUNTIFS('United Data'!$A$3:$A$3390,P$1,'United Data'!$C$3:$C$3390,$A650,'United Data'!$B$3:$B$3390,"&lt;&gt;Off-street")&gt;0,1,0)</f>
        <v>0</v>
      </c>
      <c r="Q650">
        <f>IF(COUNTIFS('United Data'!$A$3:$A$3390,Q$1,'United Data'!$C$3:$C$3390,$A650,'United Data'!$B$3:$B$3390,"&lt;&gt;Off-street")&gt;0,1,0)</f>
        <v>0</v>
      </c>
      <c r="R650">
        <f>IF(COUNTIFS('United Data'!$A$3:$A$3390,R$1,'United Data'!$C$3:$C$3390,$A650,'United Data'!$B$3:$B$3390,"&lt;&gt;Off-street")&gt;0,1,0)</f>
        <v>0</v>
      </c>
      <c r="S650">
        <f t="shared" si="20"/>
        <v>1</v>
      </c>
      <c r="T650">
        <f t="shared" si="21"/>
        <v>1</v>
      </c>
    </row>
    <row r="651" spans="1:20" x14ac:dyDescent="0.2">
      <c r="A651" t="s">
        <v>773</v>
      </c>
      <c r="B651">
        <f>IF(COUNTIFS('United Data'!$A$3:$A$3390,B$1,'United Data'!$C$3:$C$3390,$A651,'United Data'!$B$3:$B$3390,"&lt;&gt;Off-street")&gt;0,1,0)</f>
        <v>0</v>
      </c>
      <c r="C651">
        <f>IF(COUNTIFS('United Data'!$A$3:$A$3390,C$1,'United Data'!$C$3:$C$3390,$A651,'United Data'!$B$3:$B$3390,"&lt;&gt;Off-street")&gt;0,1,0)</f>
        <v>0</v>
      </c>
      <c r="D651">
        <f>IF(COUNTIFS('United Data'!$A$3:$A$3390,D$1,'United Data'!$C$3:$C$3390,$A651,'United Data'!$B$3:$B$3390,"&lt;&gt;Off-street")&gt;0,1,0)</f>
        <v>0</v>
      </c>
      <c r="E651">
        <f>IF(COUNTIFS('United Data'!$A$3:$A$3390,E$1,'United Data'!$C$3:$C$3390,$A651,'United Data'!$B$3:$B$3390,"&lt;&gt;Off-street")&gt;0,1,0)</f>
        <v>0</v>
      </c>
      <c r="F651">
        <f>IF(COUNTIFS('United Data'!$A$3:$A$3390,F$1,'United Data'!$C$3:$C$3390,$A651,'United Data'!$B$3:$B$3390,"&lt;&gt;Off-street")&gt;0,1,0)</f>
        <v>0</v>
      </c>
      <c r="G651">
        <f>IF(COUNTIFS('United Data'!$A$3:$A$3390,G$1,'United Data'!$C$3:$C$3390,$A651,'United Data'!$B$3:$B$3390,"&lt;&gt;Off-street")&gt;0,1,0)</f>
        <v>0</v>
      </c>
      <c r="H651">
        <f>IF(COUNTIFS('United Data'!$A$3:$A$3390,H$1,'United Data'!$C$3:$C$3390,$A651,'United Data'!$B$3:$B$3390,"&lt;&gt;Off-street")&gt;0,1,0)</f>
        <v>0</v>
      </c>
      <c r="I651">
        <f>IF(COUNTIFS('United Data'!$A$3:$A$3390,I$1,'United Data'!$C$3:$C$3390,$A651,'United Data'!$B$3:$B$3390,"&lt;&gt;Off-street")&gt;0,1,0)</f>
        <v>0</v>
      </c>
      <c r="J651">
        <f>IF(COUNTIFS('United Data'!$A$3:$A$3390,J$1,'United Data'!$C$3:$C$3390,$A651,'United Data'!$B$3:$B$3390,"&lt;&gt;Off-street")&gt;0,1,0)</f>
        <v>0</v>
      </c>
      <c r="K651">
        <f>IF(COUNTIFS('United Data'!$A$3:$A$3390,K$1,'United Data'!$C$3:$C$3390,$A651,'United Data'!$B$3:$B$3390,"&lt;&gt;Off-street")&gt;0,1,0)</f>
        <v>0</v>
      </c>
      <c r="L651">
        <f>IF(COUNTIFS('United Data'!$A$3:$A$3390,L$1,'United Data'!$C$3:$C$3390,$A651,'United Data'!$B$3:$B$3390,"&lt;&gt;Off-street")&gt;0,1,0)</f>
        <v>0</v>
      </c>
      <c r="M651">
        <f>IF(COUNTIFS('United Data'!$A$3:$A$3390,M$1,'United Data'!$C$3:$C$3390,$A651,'United Data'!$B$3:$B$3390,"&lt;&gt;Off-street")&gt;0,1,0)</f>
        <v>0</v>
      </c>
      <c r="N651">
        <f>IF(COUNTIFS('United Data'!$A$3:$A$3390,N$1,'United Data'!$C$3:$C$3390,$A651,'United Data'!$B$3:$B$3390,"&lt;&gt;Off-street")&gt;0,1,0)</f>
        <v>0</v>
      </c>
      <c r="O651">
        <f>IF(COUNTIFS('United Data'!$A$3:$A$3390,O$1,'United Data'!$C$3:$C$3390,$A651,'United Data'!$B$3:$B$3390,"&lt;&gt;Off-street")&gt;0,1,0)</f>
        <v>1</v>
      </c>
      <c r="P651">
        <f>IF(COUNTIFS('United Data'!$A$3:$A$3390,P$1,'United Data'!$C$3:$C$3390,$A651,'United Data'!$B$3:$B$3390,"&lt;&gt;Off-street")&gt;0,1,0)</f>
        <v>1</v>
      </c>
      <c r="Q651">
        <f>IF(COUNTIFS('United Data'!$A$3:$A$3390,Q$1,'United Data'!$C$3:$C$3390,$A651,'United Data'!$B$3:$B$3390,"&lt;&gt;Off-street")&gt;0,1,0)</f>
        <v>0</v>
      </c>
      <c r="R651">
        <f>IF(COUNTIFS('United Data'!$A$3:$A$3390,R$1,'United Data'!$C$3:$C$3390,$A651,'United Data'!$B$3:$B$3390,"&lt;&gt;Off-street")&gt;0,1,0)</f>
        <v>0</v>
      </c>
      <c r="S651">
        <f t="shared" si="20"/>
        <v>2</v>
      </c>
      <c r="T651">
        <f t="shared" si="21"/>
        <v>1</v>
      </c>
    </row>
    <row r="652" spans="1:20" x14ac:dyDescent="0.2">
      <c r="A652" t="s">
        <v>774</v>
      </c>
      <c r="B652">
        <f>IF(COUNTIFS('United Data'!$A$3:$A$3390,B$1,'United Data'!$C$3:$C$3390,$A652,'United Data'!$B$3:$B$3390,"&lt;&gt;Off-street")&gt;0,1,0)</f>
        <v>0</v>
      </c>
      <c r="C652">
        <f>IF(COUNTIFS('United Data'!$A$3:$A$3390,C$1,'United Data'!$C$3:$C$3390,$A652,'United Data'!$B$3:$B$3390,"&lt;&gt;Off-street")&gt;0,1,0)</f>
        <v>0</v>
      </c>
      <c r="D652">
        <f>IF(COUNTIFS('United Data'!$A$3:$A$3390,D$1,'United Data'!$C$3:$C$3390,$A652,'United Data'!$B$3:$B$3390,"&lt;&gt;Off-street")&gt;0,1,0)</f>
        <v>0</v>
      </c>
      <c r="E652">
        <f>IF(COUNTIFS('United Data'!$A$3:$A$3390,E$1,'United Data'!$C$3:$C$3390,$A652,'United Data'!$B$3:$B$3390,"&lt;&gt;Off-street")&gt;0,1,0)</f>
        <v>0</v>
      </c>
      <c r="F652">
        <f>IF(COUNTIFS('United Data'!$A$3:$A$3390,F$1,'United Data'!$C$3:$C$3390,$A652,'United Data'!$B$3:$B$3390,"&lt;&gt;Off-street")&gt;0,1,0)</f>
        <v>0</v>
      </c>
      <c r="G652">
        <f>IF(COUNTIFS('United Data'!$A$3:$A$3390,G$1,'United Data'!$C$3:$C$3390,$A652,'United Data'!$B$3:$B$3390,"&lt;&gt;Off-street")&gt;0,1,0)</f>
        <v>0</v>
      </c>
      <c r="H652">
        <f>IF(COUNTIFS('United Data'!$A$3:$A$3390,H$1,'United Data'!$C$3:$C$3390,$A652,'United Data'!$B$3:$B$3390,"&lt;&gt;Off-street")&gt;0,1,0)</f>
        <v>0</v>
      </c>
      <c r="I652">
        <f>IF(COUNTIFS('United Data'!$A$3:$A$3390,I$1,'United Data'!$C$3:$C$3390,$A652,'United Data'!$B$3:$B$3390,"&lt;&gt;Off-street")&gt;0,1,0)</f>
        <v>0</v>
      </c>
      <c r="J652">
        <f>IF(COUNTIFS('United Data'!$A$3:$A$3390,J$1,'United Data'!$C$3:$C$3390,$A652,'United Data'!$B$3:$B$3390,"&lt;&gt;Off-street")&gt;0,1,0)</f>
        <v>0</v>
      </c>
      <c r="K652">
        <f>IF(COUNTIFS('United Data'!$A$3:$A$3390,K$1,'United Data'!$C$3:$C$3390,$A652,'United Data'!$B$3:$B$3390,"&lt;&gt;Off-street")&gt;0,1,0)</f>
        <v>0</v>
      </c>
      <c r="L652">
        <f>IF(COUNTIFS('United Data'!$A$3:$A$3390,L$1,'United Data'!$C$3:$C$3390,$A652,'United Data'!$B$3:$B$3390,"&lt;&gt;Off-street")&gt;0,1,0)</f>
        <v>0</v>
      </c>
      <c r="M652">
        <f>IF(COUNTIFS('United Data'!$A$3:$A$3390,M$1,'United Data'!$C$3:$C$3390,$A652,'United Data'!$B$3:$B$3390,"&lt;&gt;Off-street")&gt;0,1,0)</f>
        <v>0</v>
      </c>
      <c r="N652">
        <f>IF(COUNTIFS('United Data'!$A$3:$A$3390,N$1,'United Data'!$C$3:$C$3390,$A652,'United Data'!$B$3:$B$3390,"&lt;&gt;Off-street")&gt;0,1,0)</f>
        <v>0</v>
      </c>
      <c r="O652">
        <f>IF(COUNTIFS('United Data'!$A$3:$A$3390,O$1,'United Data'!$C$3:$C$3390,$A652,'United Data'!$B$3:$B$3390,"&lt;&gt;Off-street")&gt;0,1,0)</f>
        <v>1</v>
      </c>
      <c r="P652">
        <f>IF(COUNTIFS('United Data'!$A$3:$A$3390,P$1,'United Data'!$C$3:$C$3390,$A652,'United Data'!$B$3:$B$3390,"&lt;&gt;Off-street")&gt;0,1,0)</f>
        <v>1</v>
      </c>
      <c r="Q652">
        <f>IF(COUNTIFS('United Data'!$A$3:$A$3390,Q$1,'United Data'!$C$3:$C$3390,$A652,'United Data'!$B$3:$B$3390,"&lt;&gt;Off-street")&gt;0,1,0)</f>
        <v>1</v>
      </c>
      <c r="R652">
        <f>IF(COUNTIFS('United Data'!$A$3:$A$3390,R$1,'United Data'!$C$3:$C$3390,$A652,'United Data'!$B$3:$B$3390,"&lt;&gt;Off-street")&gt;0,1,0)</f>
        <v>0</v>
      </c>
      <c r="S652">
        <f t="shared" si="20"/>
        <v>3</v>
      </c>
      <c r="T652">
        <f t="shared" si="21"/>
        <v>1</v>
      </c>
    </row>
    <row r="653" spans="1:20" x14ac:dyDescent="0.2">
      <c r="A653" t="s">
        <v>775</v>
      </c>
      <c r="B653">
        <f>IF(COUNTIFS('United Data'!$A$3:$A$3390,B$1,'United Data'!$C$3:$C$3390,$A653,'United Data'!$B$3:$B$3390,"&lt;&gt;Off-street")&gt;0,1,0)</f>
        <v>0</v>
      </c>
      <c r="C653">
        <f>IF(COUNTIFS('United Data'!$A$3:$A$3390,C$1,'United Data'!$C$3:$C$3390,$A653,'United Data'!$B$3:$B$3390,"&lt;&gt;Off-street")&gt;0,1,0)</f>
        <v>0</v>
      </c>
      <c r="D653">
        <f>IF(COUNTIFS('United Data'!$A$3:$A$3390,D$1,'United Data'!$C$3:$C$3390,$A653,'United Data'!$B$3:$B$3390,"&lt;&gt;Off-street")&gt;0,1,0)</f>
        <v>0</v>
      </c>
      <c r="E653">
        <f>IF(COUNTIFS('United Data'!$A$3:$A$3390,E$1,'United Data'!$C$3:$C$3390,$A653,'United Data'!$B$3:$B$3390,"&lt;&gt;Off-street")&gt;0,1,0)</f>
        <v>0</v>
      </c>
      <c r="F653">
        <f>IF(COUNTIFS('United Data'!$A$3:$A$3390,F$1,'United Data'!$C$3:$C$3390,$A653,'United Data'!$B$3:$B$3390,"&lt;&gt;Off-street")&gt;0,1,0)</f>
        <v>0</v>
      </c>
      <c r="G653">
        <f>IF(COUNTIFS('United Data'!$A$3:$A$3390,G$1,'United Data'!$C$3:$C$3390,$A653,'United Data'!$B$3:$B$3390,"&lt;&gt;Off-street")&gt;0,1,0)</f>
        <v>0</v>
      </c>
      <c r="H653">
        <f>IF(COUNTIFS('United Data'!$A$3:$A$3390,H$1,'United Data'!$C$3:$C$3390,$A653,'United Data'!$B$3:$B$3390,"&lt;&gt;Off-street")&gt;0,1,0)</f>
        <v>0</v>
      </c>
      <c r="I653">
        <f>IF(COUNTIFS('United Data'!$A$3:$A$3390,I$1,'United Data'!$C$3:$C$3390,$A653,'United Data'!$B$3:$B$3390,"&lt;&gt;Off-street")&gt;0,1,0)</f>
        <v>0</v>
      </c>
      <c r="J653">
        <f>IF(COUNTIFS('United Data'!$A$3:$A$3390,J$1,'United Data'!$C$3:$C$3390,$A653,'United Data'!$B$3:$B$3390,"&lt;&gt;Off-street")&gt;0,1,0)</f>
        <v>0</v>
      </c>
      <c r="K653">
        <f>IF(COUNTIFS('United Data'!$A$3:$A$3390,K$1,'United Data'!$C$3:$C$3390,$A653,'United Data'!$B$3:$B$3390,"&lt;&gt;Off-street")&gt;0,1,0)</f>
        <v>0</v>
      </c>
      <c r="L653">
        <f>IF(COUNTIFS('United Data'!$A$3:$A$3390,L$1,'United Data'!$C$3:$C$3390,$A653,'United Data'!$B$3:$B$3390,"&lt;&gt;Off-street")&gt;0,1,0)</f>
        <v>0</v>
      </c>
      <c r="M653">
        <f>IF(COUNTIFS('United Data'!$A$3:$A$3390,M$1,'United Data'!$C$3:$C$3390,$A653,'United Data'!$B$3:$B$3390,"&lt;&gt;Off-street")&gt;0,1,0)</f>
        <v>0</v>
      </c>
      <c r="N653">
        <f>IF(COUNTIFS('United Data'!$A$3:$A$3390,N$1,'United Data'!$C$3:$C$3390,$A653,'United Data'!$B$3:$B$3390,"&lt;&gt;Off-street")&gt;0,1,0)</f>
        <v>0</v>
      </c>
      <c r="O653">
        <f>IF(COUNTIFS('United Data'!$A$3:$A$3390,O$1,'United Data'!$C$3:$C$3390,$A653,'United Data'!$B$3:$B$3390,"&lt;&gt;Off-street")&gt;0,1,0)</f>
        <v>0</v>
      </c>
      <c r="P653">
        <f>IF(COUNTIFS('United Data'!$A$3:$A$3390,P$1,'United Data'!$C$3:$C$3390,$A653,'United Data'!$B$3:$B$3390,"&lt;&gt;Off-street")&gt;0,1,0)</f>
        <v>1</v>
      </c>
      <c r="Q653">
        <f>IF(COUNTIFS('United Data'!$A$3:$A$3390,Q$1,'United Data'!$C$3:$C$3390,$A653,'United Data'!$B$3:$B$3390,"&lt;&gt;Off-street")&gt;0,1,0)</f>
        <v>0</v>
      </c>
      <c r="R653">
        <f>IF(COUNTIFS('United Data'!$A$3:$A$3390,R$1,'United Data'!$C$3:$C$3390,$A653,'United Data'!$B$3:$B$3390,"&lt;&gt;Off-street")&gt;0,1,0)</f>
        <v>0</v>
      </c>
      <c r="S653">
        <f t="shared" si="20"/>
        <v>1</v>
      </c>
      <c r="T653">
        <f t="shared" si="21"/>
        <v>1</v>
      </c>
    </row>
    <row r="654" spans="1:20" x14ac:dyDescent="0.2">
      <c r="A654" t="s">
        <v>776</v>
      </c>
      <c r="B654">
        <f>IF(COUNTIFS('United Data'!$A$3:$A$3390,B$1,'United Data'!$C$3:$C$3390,$A654,'United Data'!$B$3:$B$3390,"&lt;&gt;Off-street")&gt;0,1,0)</f>
        <v>0</v>
      </c>
      <c r="C654">
        <f>IF(COUNTIFS('United Data'!$A$3:$A$3390,C$1,'United Data'!$C$3:$C$3390,$A654,'United Data'!$B$3:$B$3390,"&lt;&gt;Off-street")&gt;0,1,0)</f>
        <v>0</v>
      </c>
      <c r="D654">
        <f>IF(COUNTIFS('United Data'!$A$3:$A$3390,D$1,'United Data'!$C$3:$C$3390,$A654,'United Data'!$B$3:$B$3390,"&lt;&gt;Off-street")&gt;0,1,0)</f>
        <v>0</v>
      </c>
      <c r="E654">
        <f>IF(COUNTIFS('United Data'!$A$3:$A$3390,E$1,'United Data'!$C$3:$C$3390,$A654,'United Data'!$B$3:$B$3390,"&lt;&gt;Off-street")&gt;0,1,0)</f>
        <v>0</v>
      </c>
      <c r="F654">
        <f>IF(COUNTIFS('United Data'!$A$3:$A$3390,F$1,'United Data'!$C$3:$C$3390,$A654,'United Data'!$B$3:$B$3390,"&lt;&gt;Off-street")&gt;0,1,0)</f>
        <v>0</v>
      </c>
      <c r="G654">
        <f>IF(COUNTIFS('United Data'!$A$3:$A$3390,G$1,'United Data'!$C$3:$C$3390,$A654,'United Data'!$B$3:$B$3390,"&lt;&gt;Off-street")&gt;0,1,0)</f>
        <v>0</v>
      </c>
      <c r="H654">
        <f>IF(COUNTIFS('United Data'!$A$3:$A$3390,H$1,'United Data'!$C$3:$C$3390,$A654,'United Data'!$B$3:$B$3390,"&lt;&gt;Off-street")&gt;0,1,0)</f>
        <v>0</v>
      </c>
      <c r="I654">
        <f>IF(COUNTIFS('United Data'!$A$3:$A$3390,I$1,'United Data'!$C$3:$C$3390,$A654,'United Data'!$B$3:$B$3390,"&lt;&gt;Off-street")&gt;0,1,0)</f>
        <v>0</v>
      </c>
      <c r="J654">
        <f>IF(COUNTIFS('United Data'!$A$3:$A$3390,J$1,'United Data'!$C$3:$C$3390,$A654,'United Data'!$B$3:$B$3390,"&lt;&gt;Off-street")&gt;0,1,0)</f>
        <v>0</v>
      </c>
      <c r="K654">
        <f>IF(COUNTIFS('United Data'!$A$3:$A$3390,K$1,'United Data'!$C$3:$C$3390,$A654,'United Data'!$B$3:$B$3390,"&lt;&gt;Off-street")&gt;0,1,0)</f>
        <v>0</v>
      </c>
      <c r="L654">
        <f>IF(COUNTIFS('United Data'!$A$3:$A$3390,L$1,'United Data'!$C$3:$C$3390,$A654,'United Data'!$B$3:$B$3390,"&lt;&gt;Off-street")&gt;0,1,0)</f>
        <v>0</v>
      </c>
      <c r="M654">
        <f>IF(COUNTIFS('United Data'!$A$3:$A$3390,M$1,'United Data'!$C$3:$C$3390,$A654,'United Data'!$B$3:$B$3390,"&lt;&gt;Off-street")&gt;0,1,0)</f>
        <v>0</v>
      </c>
      <c r="N654">
        <f>IF(COUNTIFS('United Data'!$A$3:$A$3390,N$1,'United Data'!$C$3:$C$3390,$A654,'United Data'!$B$3:$B$3390,"&lt;&gt;Off-street")&gt;0,1,0)</f>
        <v>0</v>
      </c>
      <c r="O654">
        <f>IF(COUNTIFS('United Data'!$A$3:$A$3390,O$1,'United Data'!$C$3:$C$3390,$A654,'United Data'!$B$3:$B$3390,"&lt;&gt;Off-street")&gt;0,1,0)</f>
        <v>0</v>
      </c>
      <c r="P654">
        <f>IF(COUNTIFS('United Data'!$A$3:$A$3390,P$1,'United Data'!$C$3:$C$3390,$A654,'United Data'!$B$3:$B$3390,"&lt;&gt;Off-street")&gt;0,1,0)</f>
        <v>0</v>
      </c>
      <c r="Q654">
        <f>IF(COUNTIFS('United Data'!$A$3:$A$3390,Q$1,'United Data'!$C$3:$C$3390,$A654,'United Data'!$B$3:$B$3390,"&lt;&gt;Off-street")&gt;0,1,0)</f>
        <v>0</v>
      </c>
      <c r="R654">
        <f>IF(COUNTIFS('United Data'!$A$3:$A$3390,R$1,'United Data'!$C$3:$C$3390,$A654,'United Data'!$B$3:$B$3390,"&lt;&gt;Off-street")&gt;0,1,0)</f>
        <v>1</v>
      </c>
      <c r="S654">
        <f t="shared" si="20"/>
        <v>1</v>
      </c>
      <c r="T654">
        <f t="shared" si="21"/>
        <v>1</v>
      </c>
    </row>
    <row r="655" spans="1:20" x14ac:dyDescent="0.2">
      <c r="A655" t="s">
        <v>777</v>
      </c>
      <c r="B655">
        <f>IF(COUNTIFS('United Data'!$A$3:$A$3390,B$1,'United Data'!$C$3:$C$3390,$A655,'United Data'!$B$3:$B$3390,"&lt;&gt;Off-street")&gt;0,1,0)</f>
        <v>1</v>
      </c>
      <c r="C655">
        <f>IF(COUNTIFS('United Data'!$A$3:$A$3390,C$1,'United Data'!$C$3:$C$3390,$A655,'United Data'!$B$3:$B$3390,"&lt;&gt;Off-street")&gt;0,1,0)</f>
        <v>0</v>
      </c>
      <c r="D655">
        <f>IF(COUNTIFS('United Data'!$A$3:$A$3390,D$1,'United Data'!$C$3:$C$3390,$A655,'United Data'!$B$3:$B$3390,"&lt;&gt;Off-street")&gt;0,1,0)</f>
        <v>0</v>
      </c>
      <c r="E655">
        <f>IF(COUNTIFS('United Data'!$A$3:$A$3390,E$1,'United Data'!$C$3:$C$3390,$A655,'United Data'!$B$3:$B$3390,"&lt;&gt;Off-street")&gt;0,1,0)</f>
        <v>0</v>
      </c>
      <c r="F655">
        <f>IF(COUNTIFS('United Data'!$A$3:$A$3390,F$1,'United Data'!$C$3:$C$3390,$A655,'United Data'!$B$3:$B$3390,"&lt;&gt;Off-street")&gt;0,1,0)</f>
        <v>0</v>
      </c>
      <c r="G655">
        <f>IF(COUNTIFS('United Data'!$A$3:$A$3390,G$1,'United Data'!$C$3:$C$3390,$A655,'United Data'!$B$3:$B$3390,"&lt;&gt;Off-street")&gt;0,1,0)</f>
        <v>0</v>
      </c>
      <c r="H655">
        <f>IF(COUNTIFS('United Data'!$A$3:$A$3390,H$1,'United Data'!$C$3:$C$3390,$A655,'United Data'!$B$3:$B$3390,"&lt;&gt;Off-street")&gt;0,1,0)</f>
        <v>0</v>
      </c>
      <c r="I655">
        <f>IF(COUNTIFS('United Data'!$A$3:$A$3390,I$1,'United Data'!$C$3:$C$3390,$A655,'United Data'!$B$3:$B$3390,"&lt;&gt;Off-street")&gt;0,1,0)</f>
        <v>0</v>
      </c>
      <c r="J655">
        <f>IF(COUNTIFS('United Data'!$A$3:$A$3390,J$1,'United Data'!$C$3:$C$3390,$A655,'United Data'!$B$3:$B$3390,"&lt;&gt;Off-street")&gt;0,1,0)</f>
        <v>0</v>
      </c>
      <c r="K655">
        <f>IF(COUNTIFS('United Data'!$A$3:$A$3390,K$1,'United Data'!$C$3:$C$3390,$A655,'United Data'!$B$3:$B$3390,"&lt;&gt;Off-street")&gt;0,1,0)</f>
        <v>0</v>
      </c>
      <c r="L655">
        <f>IF(COUNTIFS('United Data'!$A$3:$A$3390,L$1,'United Data'!$C$3:$C$3390,$A655,'United Data'!$B$3:$B$3390,"&lt;&gt;Off-street")&gt;0,1,0)</f>
        <v>0</v>
      </c>
      <c r="M655">
        <f>IF(COUNTIFS('United Data'!$A$3:$A$3390,M$1,'United Data'!$C$3:$C$3390,$A655,'United Data'!$B$3:$B$3390,"&lt;&gt;Off-street")&gt;0,1,0)</f>
        <v>0</v>
      </c>
      <c r="N655">
        <f>IF(COUNTIFS('United Data'!$A$3:$A$3390,N$1,'United Data'!$C$3:$C$3390,$A655,'United Data'!$B$3:$B$3390,"&lt;&gt;Off-street")&gt;0,1,0)</f>
        <v>0</v>
      </c>
      <c r="O655">
        <f>IF(COUNTIFS('United Data'!$A$3:$A$3390,O$1,'United Data'!$C$3:$C$3390,$A655,'United Data'!$B$3:$B$3390,"&lt;&gt;Off-street")&gt;0,1,0)</f>
        <v>1</v>
      </c>
      <c r="P655">
        <f>IF(COUNTIFS('United Data'!$A$3:$A$3390,P$1,'United Data'!$C$3:$C$3390,$A655,'United Data'!$B$3:$B$3390,"&lt;&gt;Off-street")&gt;0,1,0)</f>
        <v>0</v>
      </c>
      <c r="Q655">
        <f>IF(COUNTIFS('United Data'!$A$3:$A$3390,Q$1,'United Data'!$C$3:$C$3390,$A655,'United Data'!$B$3:$B$3390,"&lt;&gt;Off-street")&gt;0,1,0)</f>
        <v>1</v>
      </c>
      <c r="R655">
        <f>IF(COUNTIFS('United Data'!$A$3:$A$3390,R$1,'United Data'!$C$3:$C$3390,$A655,'United Data'!$B$3:$B$3390,"&lt;&gt;Off-street")&gt;0,1,0)</f>
        <v>1</v>
      </c>
      <c r="S655">
        <f t="shared" si="20"/>
        <v>4</v>
      </c>
      <c r="T655">
        <f t="shared" si="21"/>
        <v>3</v>
      </c>
    </row>
    <row r="656" spans="1:20" x14ac:dyDescent="0.2">
      <c r="A656" t="s">
        <v>778</v>
      </c>
      <c r="B656">
        <f>IF(COUNTIFS('United Data'!$A$3:$A$3390,B$1,'United Data'!$C$3:$C$3390,$A656,'United Data'!$B$3:$B$3390,"&lt;&gt;Off-street")&gt;0,1,0)</f>
        <v>1</v>
      </c>
      <c r="C656">
        <f>IF(COUNTIFS('United Data'!$A$3:$A$3390,C$1,'United Data'!$C$3:$C$3390,$A656,'United Data'!$B$3:$B$3390,"&lt;&gt;Off-street")&gt;0,1,0)</f>
        <v>0</v>
      </c>
      <c r="D656">
        <f>IF(COUNTIFS('United Data'!$A$3:$A$3390,D$1,'United Data'!$C$3:$C$3390,$A656,'United Data'!$B$3:$B$3390,"&lt;&gt;Off-street")&gt;0,1,0)</f>
        <v>0</v>
      </c>
      <c r="E656">
        <f>IF(COUNTIFS('United Data'!$A$3:$A$3390,E$1,'United Data'!$C$3:$C$3390,$A656,'United Data'!$B$3:$B$3390,"&lt;&gt;Off-street")&gt;0,1,0)</f>
        <v>0</v>
      </c>
      <c r="F656">
        <f>IF(COUNTIFS('United Data'!$A$3:$A$3390,F$1,'United Data'!$C$3:$C$3390,$A656,'United Data'!$B$3:$B$3390,"&lt;&gt;Off-street")&gt;0,1,0)</f>
        <v>0</v>
      </c>
      <c r="G656">
        <f>IF(COUNTIFS('United Data'!$A$3:$A$3390,G$1,'United Data'!$C$3:$C$3390,$A656,'United Data'!$B$3:$B$3390,"&lt;&gt;Off-street")&gt;0,1,0)</f>
        <v>0</v>
      </c>
      <c r="H656">
        <f>IF(COUNTIFS('United Data'!$A$3:$A$3390,H$1,'United Data'!$C$3:$C$3390,$A656,'United Data'!$B$3:$B$3390,"&lt;&gt;Off-street")&gt;0,1,0)</f>
        <v>0</v>
      </c>
      <c r="I656">
        <f>IF(COUNTIFS('United Data'!$A$3:$A$3390,I$1,'United Data'!$C$3:$C$3390,$A656,'United Data'!$B$3:$B$3390,"&lt;&gt;Off-street")&gt;0,1,0)</f>
        <v>0</v>
      </c>
      <c r="J656">
        <f>IF(COUNTIFS('United Data'!$A$3:$A$3390,J$1,'United Data'!$C$3:$C$3390,$A656,'United Data'!$B$3:$B$3390,"&lt;&gt;Off-street")&gt;0,1,0)</f>
        <v>0</v>
      </c>
      <c r="K656">
        <f>IF(COUNTIFS('United Data'!$A$3:$A$3390,K$1,'United Data'!$C$3:$C$3390,$A656,'United Data'!$B$3:$B$3390,"&lt;&gt;Off-street")&gt;0,1,0)</f>
        <v>0</v>
      </c>
      <c r="L656">
        <f>IF(COUNTIFS('United Data'!$A$3:$A$3390,L$1,'United Data'!$C$3:$C$3390,$A656,'United Data'!$B$3:$B$3390,"&lt;&gt;Off-street")&gt;0,1,0)</f>
        <v>0</v>
      </c>
      <c r="M656">
        <f>IF(COUNTIFS('United Data'!$A$3:$A$3390,M$1,'United Data'!$C$3:$C$3390,$A656,'United Data'!$B$3:$B$3390,"&lt;&gt;Off-street")&gt;0,1,0)</f>
        <v>0</v>
      </c>
      <c r="N656">
        <f>IF(COUNTIFS('United Data'!$A$3:$A$3390,N$1,'United Data'!$C$3:$C$3390,$A656,'United Data'!$B$3:$B$3390,"&lt;&gt;Off-street")&gt;0,1,0)</f>
        <v>0</v>
      </c>
      <c r="O656">
        <f>IF(COUNTIFS('United Data'!$A$3:$A$3390,O$1,'United Data'!$C$3:$C$3390,$A656,'United Data'!$B$3:$B$3390,"&lt;&gt;Off-street")&gt;0,1,0)</f>
        <v>0</v>
      </c>
      <c r="P656">
        <f>IF(COUNTIFS('United Data'!$A$3:$A$3390,P$1,'United Data'!$C$3:$C$3390,$A656,'United Data'!$B$3:$B$3390,"&lt;&gt;Off-street")&gt;0,1,0)</f>
        <v>1</v>
      </c>
      <c r="Q656">
        <f>IF(COUNTIFS('United Data'!$A$3:$A$3390,Q$1,'United Data'!$C$3:$C$3390,$A656,'United Data'!$B$3:$B$3390,"&lt;&gt;Off-street")&gt;0,1,0)</f>
        <v>0</v>
      </c>
      <c r="R656">
        <f>IF(COUNTIFS('United Data'!$A$3:$A$3390,R$1,'United Data'!$C$3:$C$3390,$A656,'United Data'!$B$3:$B$3390,"&lt;&gt;Off-street")&gt;0,1,0)</f>
        <v>0</v>
      </c>
      <c r="S656">
        <f t="shared" si="20"/>
        <v>2</v>
      </c>
      <c r="T656">
        <f t="shared" si="21"/>
        <v>2</v>
      </c>
    </row>
    <row r="657" spans="1:20" x14ac:dyDescent="0.2">
      <c r="A657" t="s">
        <v>779</v>
      </c>
      <c r="B657">
        <f>IF(COUNTIFS('United Data'!$A$3:$A$3390,B$1,'United Data'!$C$3:$C$3390,$A657,'United Data'!$B$3:$B$3390,"&lt;&gt;Off-street")&gt;0,1,0)</f>
        <v>0</v>
      </c>
      <c r="C657">
        <f>IF(COUNTIFS('United Data'!$A$3:$A$3390,C$1,'United Data'!$C$3:$C$3390,$A657,'United Data'!$B$3:$B$3390,"&lt;&gt;Off-street")&gt;0,1,0)</f>
        <v>1</v>
      </c>
      <c r="D657">
        <f>IF(COUNTIFS('United Data'!$A$3:$A$3390,D$1,'United Data'!$C$3:$C$3390,$A657,'United Data'!$B$3:$B$3390,"&lt;&gt;Off-street")&gt;0,1,0)</f>
        <v>0</v>
      </c>
      <c r="E657">
        <f>IF(COUNTIFS('United Data'!$A$3:$A$3390,E$1,'United Data'!$C$3:$C$3390,$A657,'United Data'!$B$3:$B$3390,"&lt;&gt;Off-street")&gt;0,1,0)</f>
        <v>0</v>
      </c>
      <c r="F657">
        <f>IF(COUNTIFS('United Data'!$A$3:$A$3390,F$1,'United Data'!$C$3:$C$3390,$A657,'United Data'!$B$3:$B$3390,"&lt;&gt;Off-street")&gt;0,1,0)</f>
        <v>0</v>
      </c>
      <c r="G657">
        <f>IF(COUNTIFS('United Data'!$A$3:$A$3390,G$1,'United Data'!$C$3:$C$3390,$A657,'United Data'!$B$3:$B$3390,"&lt;&gt;Off-street")&gt;0,1,0)</f>
        <v>0</v>
      </c>
      <c r="H657">
        <f>IF(COUNTIFS('United Data'!$A$3:$A$3390,H$1,'United Data'!$C$3:$C$3390,$A657,'United Data'!$B$3:$B$3390,"&lt;&gt;Off-street")&gt;0,1,0)</f>
        <v>0</v>
      </c>
      <c r="I657">
        <f>IF(COUNTIFS('United Data'!$A$3:$A$3390,I$1,'United Data'!$C$3:$C$3390,$A657,'United Data'!$B$3:$B$3390,"&lt;&gt;Off-street")&gt;0,1,0)</f>
        <v>1</v>
      </c>
      <c r="J657">
        <f>IF(COUNTIFS('United Data'!$A$3:$A$3390,J$1,'United Data'!$C$3:$C$3390,$A657,'United Data'!$B$3:$B$3390,"&lt;&gt;Off-street")&gt;0,1,0)</f>
        <v>1</v>
      </c>
      <c r="K657">
        <f>IF(COUNTIFS('United Data'!$A$3:$A$3390,K$1,'United Data'!$C$3:$C$3390,$A657,'United Data'!$B$3:$B$3390,"&lt;&gt;Off-street")&gt;0,1,0)</f>
        <v>1</v>
      </c>
      <c r="L657">
        <f>IF(COUNTIFS('United Data'!$A$3:$A$3390,L$1,'United Data'!$C$3:$C$3390,$A657,'United Data'!$B$3:$B$3390,"&lt;&gt;Off-street")&gt;0,1,0)</f>
        <v>0</v>
      </c>
      <c r="M657">
        <f>IF(COUNTIFS('United Data'!$A$3:$A$3390,M$1,'United Data'!$C$3:$C$3390,$A657,'United Data'!$B$3:$B$3390,"&lt;&gt;Off-street")&gt;0,1,0)</f>
        <v>0</v>
      </c>
      <c r="N657">
        <f>IF(COUNTIFS('United Data'!$A$3:$A$3390,N$1,'United Data'!$C$3:$C$3390,$A657,'United Data'!$B$3:$B$3390,"&lt;&gt;Off-street")&gt;0,1,0)</f>
        <v>0</v>
      </c>
      <c r="O657">
        <f>IF(COUNTIFS('United Data'!$A$3:$A$3390,O$1,'United Data'!$C$3:$C$3390,$A657,'United Data'!$B$3:$B$3390,"&lt;&gt;Off-street")&gt;0,1,0)</f>
        <v>1</v>
      </c>
      <c r="P657">
        <f>IF(COUNTIFS('United Data'!$A$3:$A$3390,P$1,'United Data'!$C$3:$C$3390,$A657,'United Data'!$B$3:$B$3390,"&lt;&gt;Off-street")&gt;0,1,0)</f>
        <v>1</v>
      </c>
      <c r="Q657">
        <f>IF(COUNTIFS('United Data'!$A$3:$A$3390,Q$1,'United Data'!$C$3:$C$3390,$A657,'United Data'!$B$3:$B$3390,"&lt;&gt;Off-street")&gt;0,1,0)</f>
        <v>1</v>
      </c>
      <c r="R657">
        <f>IF(COUNTIFS('United Data'!$A$3:$A$3390,R$1,'United Data'!$C$3:$C$3390,$A657,'United Data'!$B$3:$B$3390,"&lt;&gt;Off-street")&gt;0,1,0)</f>
        <v>1</v>
      </c>
      <c r="S657">
        <f t="shared" si="20"/>
        <v>8</v>
      </c>
      <c r="T657">
        <f t="shared" si="21"/>
        <v>3</v>
      </c>
    </row>
    <row r="658" spans="1:20" x14ac:dyDescent="0.2">
      <c r="A658" t="s">
        <v>780</v>
      </c>
      <c r="B658">
        <f>IF(COUNTIFS('United Data'!$A$3:$A$3390,B$1,'United Data'!$C$3:$C$3390,$A658,'United Data'!$B$3:$B$3390,"&lt;&gt;Off-street")&gt;0,1,0)</f>
        <v>1</v>
      </c>
      <c r="C658">
        <f>IF(COUNTIFS('United Data'!$A$3:$A$3390,C$1,'United Data'!$C$3:$C$3390,$A658,'United Data'!$B$3:$B$3390,"&lt;&gt;Off-street")&gt;0,1,0)</f>
        <v>1</v>
      </c>
      <c r="D658">
        <f>IF(COUNTIFS('United Data'!$A$3:$A$3390,D$1,'United Data'!$C$3:$C$3390,$A658,'United Data'!$B$3:$B$3390,"&lt;&gt;Off-street")&gt;0,1,0)</f>
        <v>1</v>
      </c>
      <c r="E658">
        <f>IF(COUNTIFS('United Data'!$A$3:$A$3390,E$1,'United Data'!$C$3:$C$3390,$A658,'United Data'!$B$3:$B$3390,"&lt;&gt;Off-street")&gt;0,1,0)</f>
        <v>1</v>
      </c>
      <c r="F658">
        <f>IF(COUNTIFS('United Data'!$A$3:$A$3390,F$1,'United Data'!$C$3:$C$3390,$A658,'United Data'!$B$3:$B$3390,"&lt;&gt;Off-street")&gt;0,1,0)</f>
        <v>1</v>
      </c>
      <c r="G658">
        <f>IF(COUNTIFS('United Data'!$A$3:$A$3390,G$1,'United Data'!$C$3:$C$3390,$A658,'United Data'!$B$3:$B$3390,"&lt;&gt;Off-street")&gt;0,1,0)</f>
        <v>1</v>
      </c>
      <c r="H658">
        <f>IF(COUNTIFS('United Data'!$A$3:$A$3390,H$1,'United Data'!$C$3:$C$3390,$A658,'United Data'!$B$3:$B$3390,"&lt;&gt;Off-street")&gt;0,1,0)</f>
        <v>1</v>
      </c>
      <c r="I658">
        <f>IF(COUNTIFS('United Data'!$A$3:$A$3390,I$1,'United Data'!$C$3:$C$3390,$A658,'United Data'!$B$3:$B$3390,"&lt;&gt;Off-street")&gt;0,1,0)</f>
        <v>0</v>
      </c>
      <c r="J658">
        <f>IF(COUNTIFS('United Data'!$A$3:$A$3390,J$1,'United Data'!$C$3:$C$3390,$A658,'United Data'!$B$3:$B$3390,"&lt;&gt;Off-street")&gt;0,1,0)</f>
        <v>1</v>
      </c>
      <c r="K658">
        <f>IF(COUNTIFS('United Data'!$A$3:$A$3390,K$1,'United Data'!$C$3:$C$3390,$A658,'United Data'!$B$3:$B$3390,"&lt;&gt;Off-street")&gt;0,1,0)</f>
        <v>0</v>
      </c>
      <c r="L658">
        <f>IF(COUNTIFS('United Data'!$A$3:$A$3390,L$1,'United Data'!$C$3:$C$3390,$A658,'United Data'!$B$3:$B$3390,"&lt;&gt;Off-street")&gt;0,1,0)</f>
        <v>0</v>
      </c>
      <c r="M658">
        <f>IF(COUNTIFS('United Data'!$A$3:$A$3390,M$1,'United Data'!$C$3:$C$3390,$A658,'United Data'!$B$3:$B$3390,"&lt;&gt;Off-street")&gt;0,1,0)</f>
        <v>1</v>
      </c>
      <c r="N658">
        <f>IF(COUNTIFS('United Data'!$A$3:$A$3390,N$1,'United Data'!$C$3:$C$3390,$A658,'United Data'!$B$3:$B$3390,"&lt;&gt;Off-street")&gt;0,1,0)</f>
        <v>1</v>
      </c>
      <c r="O658">
        <f>IF(COUNTIFS('United Data'!$A$3:$A$3390,O$1,'United Data'!$C$3:$C$3390,$A658,'United Data'!$B$3:$B$3390,"&lt;&gt;Off-street")&gt;0,1,0)</f>
        <v>0</v>
      </c>
      <c r="P658">
        <f>IF(COUNTIFS('United Data'!$A$3:$A$3390,P$1,'United Data'!$C$3:$C$3390,$A658,'United Data'!$B$3:$B$3390,"&lt;&gt;Off-street")&gt;0,1,0)</f>
        <v>1</v>
      </c>
      <c r="Q658">
        <f>IF(COUNTIFS('United Data'!$A$3:$A$3390,Q$1,'United Data'!$C$3:$C$3390,$A658,'United Data'!$B$3:$B$3390,"&lt;&gt;Off-street")&gt;0,1,0)</f>
        <v>1</v>
      </c>
      <c r="R658">
        <f>IF(COUNTIFS('United Data'!$A$3:$A$3390,R$1,'United Data'!$C$3:$C$3390,$A658,'United Data'!$B$3:$B$3390,"&lt;&gt;Off-street")&gt;0,1,0)</f>
        <v>1</v>
      </c>
      <c r="S658">
        <f t="shared" si="20"/>
        <v>13</v>
      </c>
      <c r="T658">
        <f t="shared" si="21"/>
        <v>4</v>
      </c>
    </row>
    <row r="659" spans="1:20" x14ac:dyDescent="0.2">
      <c r="A659" t="s">
        <v>781</v>
      </c>
      <c r="B659">
        <f>IF(COUNTIFS('United Data'!$A$3:$A$3390,B$1,'United Data'!$C$3:$C$3390,$A659,'United Data'!$B$3:$B$3390,"&lt;&gt;Off-street")&gt;0,1,0)</f>
        <v>0</v>
      </c>
      <c r="C659">
        <f>IF(COUNTIFS('United Data'!$A$3:$A$3390,C$1,'United Data'!$C$3:$C$3390,$A659,'United Data'!$B$3:$B$3390,"&lt;&gt;Off-street")&gt;0,1,0)</f>
        <v>1</v>
      </c>
      <c r="D659">
        <f>IF(COUNTIFS('United Data'!$A$3:$A$3390,D$1,'United Data'!$C$3:$C$3390,$A659,'United Data'!$B$3:$B$3390,"&lt;&gt;Off-street")&gt;0,1,0)</f>
        <v>0</v>
      </c>
      <c r="E659">
        <f>IF(COUNTIFS('United Data'!$A$3:$A$3390,E$1,'United Data'!$C$3:$C$3390,$A659,'United Data'!$B$3:$B$3390,"&lt;&gt;Off-street")&gt;0,1,0)</f>
        <v>0</v>
      </c>
      <c r="F659">
        <f>IF(COUNTIFS('United Data'!$A$3:$A$3390,F$1,'United Data'!$C$3:$C$3390,$A659,'United Data'!$B$3:$B$3390,"&lt;&gt;Off-street")&gt;0,1,0)</f>
        <v>0</v>
      </c>
      <c r="G659">
        <f>IF(COUNTIFS('United Data'!$A$3:$A$3390,G$1,'United Data'!$C$3:$C$3390,$A659,'United Data'!$B$3:$B$3390,"&lt;&gt;Off-street")&gt;0,1,0)</f>
        <v>0</v>
      </c>
      <c r="H659">
        <f>IF(COUNTIFS('United Data'!$A$3:$A$3390,H$1,'United Data'!$C$3:$C$3390,$A659,'United Data'!$B$3:$B$3390,"&lt;&gt;Off-street")&gt;0,1,0)</f>
        <v>0</v>
      </c>
      <c r="I659">
        <f>IF(COUNTIFS('United Data'!$A$3:$A$3390,I$1,'United Data'!$C$3:$C$3390,$A659,'United Data'!$B$3:$B$3390,"&lt;&gt;Off-street")&gt;0,1,0)</f>
        <v>0</v>
      </c>
      <c r="J659">
        <f>IF(COUNTIFS('United Data'!$A$3:$A$3390,J$1,'United Data'!$C$3:$C$3390,$A659,'United Data'!$B$3:$B$3390,"&lt;&gt;Off-street")&gt;0,1,0)</f>
        <v>0</v>
      </c>
      <c r="K659">
        <f>IF(COUNTIFS('United Data'!$A$3:$A$3390,K$1,'United Data'!$C$3:$C$3390,$A659,'United Data'!$B$3:$B$3390,"&lt;&gt;Off-street")&gt;0,1,0)</f>
        <v>0</v>
      </c>
      <c r="L659">
        <f>IF(COUNTIFS('United Data'!$A$3:$A$3390,L$1,'United Data'!$C$3:$C$3390,$A659,'United Data'!$B$3:$B$3390,"&lt;&gt;Off-street")&gt;0,1,0)</f>
        <v>0</v>
      </c>
      <c r="M659">
        <f>IF(COUNTIFS('United Data'!$A$3:$A$3390,M$1,'United Data'!$C$3:$C$3390,$A659,'United Data'!$B$3:$B$3390,"&lt;&gt;Off-street")&gt;0,1,0)</f>
        <v>0</v>
      </c>
      <c r="N659">
        <f>IF(COUNTIFS('United Data'!$A$3:$A$3390,N$1,'United Data'!$C$3:$C$3390,$A659,'United Data'!$B$3:$B$3390,"&lt;&gt;Off-street")&gt;0,1,0)</f>
        <v>0</v>
      </c>
      <c r="O659">
        <f>IF(COUNTIFS('United Data'!$A$3:$A$3390,O$1,'United Data'!$C$3:$C$3390,$A659,'United Data'!$B$3:$B$3390,"&lt;&gt;Off-street")&gt;0,1,0)</f>
        <v>0</v>
      </c>
      <c r="P659">
        <f>IF(COUNTIFS('United Data'!$A$3:$A$3390,P$1,'United Data'!$C$3:$C$3390,$A659,'United Data'!$B$3:$B$3390,"&lt;&gt;Off-street")&gt;0,1,0)</f>
        <v>0</v>
      </c>
      <c r="Q659">
        <f>IF(COUNTIFS('United Data'!$A$3:$A$3390,Q$1,'United Data'!$C$3:$C$3390,$A659,'United Data'!$B$3:$B$3390,"&lt;&gt;Off-street")&gt;0,1,0)</f>
        <v>0</v>
      </c>
      <c r="R659">
        <f>IF(COUNTIFS('United Data'!$A$3:$A$3390,R$1,'United Data'!$C$3:$C$3390,$A659,'United Data'!$B$3:$B$3390,"&lt;&gt;Off-street")&gt;0,1,0)</f>
        <v>0</v>
      </c>
      <c r="S659">
        <f t="shared" si="20"/>
        <v>1</v>
      </c>
      <c r="T659">
        <f t="shared" si="21"/>
        <v>1</v>
      </c>
    </row>
    <row r="660" spans="1:20" x14ac:dyDescent="0.2">
      <c r="A660" t="s">
        <v>782</v>
      </c>
      <c r="B660">
        <f>IF(COUNTIFS('United Data'!$A$3:$A$3390,B$1,'United Data'!$C$3:$C$3390,$A660,'United Data'!$B$3:$B$3390,"&lt;&gt;Off-street")&gt;0,1,0)</f>
        <v>0</v>
      </c>
      <c r="C660">
        <f>IF(COUNTIFS('United Data'!$A$3:$A$3390,C$1,'United Data'!$C$3:$C$3390,$A660,'United Data'!$B$3:$B$3390,"&lt;&gt;Off-street")&gt;0,1,0)</f>
        <v>1</v>
      </c>
      <c r="D660">
        <f>IF(COUNTIFS('United Data'!$A$3:$A$3390,D$1,'United Data'!$C$3:$C$3390,$A660,'United Data'!$B$3:$B$3390,"&lt;&gt;Off-street")&gt;0,1,0)</f>
        <v>0</v>
      </c>
      <c r="E660">
        <f>IF(COUNTIFS('United Data'!$A$3:$A$3390,E$1,'United Data'!$C$3:$C$3390,$A660,'United Data'!$B$3:$B$3390,"&lt;&gt;Off-street")&gt;0,1,0)</f>
        <v>0</v>
      </c>
      <c r="F660">
        <f>IF(COUNTIFS('United Data'!$A$3:$A$3390,F$1,'United Data'!$C$3:$C$3390,$A660,'United Data'!$B$3:$B$3390,"&lt;&gt;Off-street")&gt;0,1,0)</f>
        <v>1</v>
      </c>
      <c r="G660">
        <f>IF(COUNTIFS('United Data'!$A$3:$A$3390,G$1,'United Data'!$C$3:$C$3390,$A660,'United Data'!$B$3:$B$3390,"&lt;&gt;Off-street")&gt;0,1,0)</f>
        <v>0</v>
      </c>
      <c r="H660">
        <f>IF(COUNTIFS('United Data'!$A$3:$A$3390,H$1,'United Data'!$C$3:$C$3390,$A660,'United Data'!$B$3:$B$3390,"&lt;&gt;Off-street")&gt;0,1,0)</f>
        <v>0</v>
      </c>
      <c r="I660">
        <f>IF(COUNTIFS('United Data'!$A$3:$A$3390,I$1,'United Data'!$C$3:$C$3390,$A660,'United Data'!$B$3:$B$3390,"&lt;&gt;Off-street")&gt;0,1,0)</f>
        <v>0</v>
      </c>
      <c r="J660">
        <f>IF(COUNTIFS('United Data'!$A$3:$A$3390,J$1,'United Data'!$C$3:$C$3390,$A660,'United Data'!$B$3:$B$3390,"&lt;&gt;Off-street")&gt;0,1,0)</f>
        <v>1</v>
      </c>
      <c r="K660">
        <f>IF(COUNTIFS('United Data'!$A$3:$A$3390,K$1,'United Data'!$C$3:$C$3390,$A660,'United Data'!$B$3:$B$3390,"&lt;&gt;Off-street")&gt;0,1,0)</f>
        <v>0</v>
      </c>
      <c r="L660">
        <f>IF(COUNTIFS('United Data'!$A$3:$A$3390,L$1,'United Data'!$C$3:$C$3390,$A660,'United Data'!$B$3:$B$3390,"&lt;&gt;Off-street")&gt;0,1,0)</f>
        <v>0</v>
      </c>
      <c r="M660">
        <f>IF(COUNTIFS('United Data'!$A$3:$A$3390,M$1,'United Data'!$C$3:$C$3390,$A660,'United Data'!$B$3:$B$3390,"&lt;&gt;Off-street")&gt;0,1,0)</f>
        <v>0</v>
      </c>
      <c r="N660">
        <f>IF(COUNTIFS('United Data'!$A$3:$A$3390,N$1,'United Data'!$C$3:$C$3390,$A660,'United Data'!$B$3:$B$3390,"&lt;&gt;Off-street")&gt;0,1,0)</f>
        <v>0</v>
      </c>
      <c r="O660">
        <f>IF(COUNTIFS('United Data'!$A$3:$A$3390,O$1,'United Data'!$C$3:$C$3390,$A660,'United Data'!$B$3:$B$3390,"&lt;&gt;Off-street")&gt;0,1,0)</f>
        <v>0</v>
      </c>
      <c r="P660">
        <f>IF(COUNTIFS('United Data'!$A$3:$A$3390,P$1,'United Data'!$C$3:$C$3390,$A660,'United Data'!$B$3:$B$3390,"&lt;&gt;Off-street")&gt;0,1,0)</f>
        <v>0</v>
      </c>
      <c r="Q660">
        <f>IF(COUNTIFS('United Data'!$A$3:$A$3390,Q$1,'United Data'!$C$3:$C$3390,$A660,'United Data'!$B$3:$B$3390,"&lt;&gt;Off-street")&gt;0,1,0)</f>
        <v>0</v>
      </c>
      <c r="R660">
        <f>IF(COUNTIFS('United Data'!$A$3:$A$3390,R$1,'United Data'!$C$3:$C$3390,$A660,'United Data'!$B$3:$B$3390,"&lt;&gt;Off-street")&gt;0,1,0)</f>
        <v>0</v>
      </c>
      <c r="S660">
        <f t="shared" si="20"/>
        <v>3</v>
      </c>
      <c r="T660">
        <f t="shared" si="21"/>
        <v>3</v>
      </c>
    </row>
    <row r="661" spans="1:20" x14ac:dyDescent="0.2">
      <c r="A661" t="s">
        <v>783</v>
      </c>
      <c r="B661">
        <f>IF(COUNTIFS('United Data'!$A$3:$A$3390,B$1,'United Data'!$C$3:$C$3390,$A661,'United Data'!$B$3:$B$3390,"&lt;&gt;Off-street")&gt;0,1,0)</f>
        <v>0</v>
      </c>
      <c r="C661">
        <f>IF(COUNTIFS('United Data'!$A$3:$A$3390,C$1,'United Data'!$C$3:$C$3390,$A661,'United Data'!$B$3:$B$3390,"&lt;&gt;Off-street")&gt;0,1,0)</f>
        <v>1</v>
      </c>
      <c r="D661">
        <f>IF(COUNTIFS('United Data'!$A$3:$A$3390,D$1,'United Data'!$C$3:$C$3390,$A661,'United Data'!$B$3:$B$3390,"&lt;&gt;Off-street")&gt;0,1,0)</f>
        <v>1</v>
      </c>
      <c r="E661">
        <f>IF(COUNTIFS('United Data'!$A$3:$A$3390,E$1,'United Data'!$C$3:$C$3390,$A661,'United Data'!$B$3:$B$3390,"&lt;&gt;Off-street")&gt;0,1,0)</f>
        <v>0</v>
      </c>
      <c r="F661">
        <f>IF(COUNTIFS('United Data'!$A$3:$A$3390,F$1,'United Data'!$C$3:$C$3390,$A661,'United Data'!$B$3:$B$3390,"&lt;&gt;Off-street")&gt;0,1,0)</f>
        <v>0</v>
      </c>
      <c r="G661">
        <f>IF(COUNTIFS('United Data'!$A$3:$A$3390,G$1,'United Data'!$C$3:$C$3390,$A661,'United Data'!$B$3:$B$3390,"&lt;&gt;Off-street")&gt;0,1,0)</f>
        <v>0</v>
      </c>
      <c r="H661">
        <f>IF(COUNTIFS('United Data'!$A$3:$A$3390,H$1,'United Data'!$C$3:$C$3390,$A661,'United Data'!$B$3:$B$3390,"&lt;&gt;Off-street")&gt;0,1,0)</f>
        <v>0</v>
      </c>
      <c r="I661">
        <f>IF(COUNTIFS('United Data'!$A$3:$A$3390,I$1,'United Data'!$C$3:$C$3390,$A661,'United Data'!$B$3:$B$3390,"&lt;&gt;Off-street")&gt;0,1,0)</f>
        <v>0</v>
      </c>
      <c r="J661">
        <f>IF(COUNTIFS('United Data'!$A$3:$A$3390,J$1,'United Data'!$C$3:$C$3390,$A661,'United Data'!$B$3:$B$3390,"&lt;&gt;Off-street")&gt;0,1,0)</f>
        <v>0</v>
      </c>
      <c r="K661">
        <f>IF(COUNTIFS('United Data'!$A$3:$A$3390,K$1,'United Data'!$C$3:$C$3390,$A661,'United Data'!$B$3:$B$3390,"&lt;&gt;Off-street")&gt;0,1,0)</f>
        <v>0</v>
      </c>
      <c r="L661">
        <f>IF(COUNTIFS('United Data'!$A$3:$A$3390,L$1,'United Data'!$C$3:$C$3390,$A661,'United Data'!$B$3:$B$3390,"&lt;&gt;Off-street")&gt;0,1,0)</f>
        <v>0</v>
      </c>
      <c r="M661">
        <f>IF(COUNTIFS('United Data'!$A$3:$A$3390,M$1,'United Data'!$C$3:$C$3390,$A661,'United Data'!$B$3:$B$3390,"&lt;&gt;Off-street")&gt;0,1,0)</f>
        <v>0</v>
      </c>
      <c r="N661">
        <f>IF(COUNTIFS('United Data'!$A$3:$A$3390,N$1,'United Data'!$C$3:$C$3390,$A661,'United Data'!$B$3:$B$3390,"&lt;&gt;Off-street")&gt;0,1,0)</f>
        <v>0</v>
      </c>
      <c r="O661">
        <f>IF(COUNTIFS('United Data'!$A$3:$A$3390,O$1,'United Data'!$C$3:$C$3390,$A661,'United Data'!$B$3:$B$3390,"&lt;&gt;Off-street")&gt;0,1,0)</f>
        <v>0</v>
      </c>
      <c r="P661">
        <f>IF(COUNTIFS('United Data'!$A$3:$A$3390,P$1,'United Data'!$C$3:$C$3390,$A661,'United Data'!$B$3:$B$3390,"&lt;&gt;Off-street")&gt;0,1,0)</f>
        <v>0</v>
      </c>
      <c r="Q661">
        <f>IF(COUNTIFS('United Data'!$A$3:$A$3390,Q$1,'United Data'!$C$3:$C$3390,$A661,'United Data'!$B$3:$B$3390,"&lt;&gt;Off-street")&gt;0,1,0)</f>
        <v>0</v>
      </c>
      <c r="R661">
        <f>IF(COUNTIFS('United Data'!$A$3:$A$3390,R$1,'United Data'!$C$3:$C$3390,$A661,'United Data'!$B$3:$B$3390,"&lt;&gt;Off-street")&gt;0,1,0)</f>
        <v>0</v>
      </c>
      <c r="S661">
        <f t="shared" si="20"/>
        <v>2</v>
      </c>
      <c r="T661">
        <f t="shared" si="21"/>
        <v>1</v>
      </c>
    </row>
    <row r="662" spans="1:20" x14ac:dyDescent="0.2">
      <c r="A662" t="s">
        <v>784</v>
      </c>
      <c r="B662">
        <f>IF(COUNTIFS('United Data'!$A$3:$A$3390,B$1,'United Data'!$C$3:$C$3390,$A662,'United Data'!$B$3:$B$3390,"&lt;&gt;Off-street")&gt;0,1,0)</f>
        <v>0</v>
      </c>
      <c r="C662">
        <f>IF(COUNTIFS('United Data'!$A$3:$A$3390,C$1,'United Data'!$C$3:$C$3390,$A662,'United Data'!$B$3:$B$3390,"&lt;&gt;Off-street")&gt;0,1,0)</f>
        <v>0</v>
      </c>
      <c r="D662">
        <f>IF(COUNTIFS('United Data'!$A$3:$A$3390,D$1,'United Data'!$C$3:$C$3390,$A662,'United Data'!$B$3:$B$3390,"&lt;&gt;Off-street")&gt;0,1,0)</f>
        <v>1</v>
      </c>
      <c r="E662">
        <f>IF(COUNTIFS('United Data'!$A$3:$A$3390,E$1,'United Data'!$C$3:$C$3390,$A662,'United Data'!$B$3:$B$3390,"&lt;&gt;Off-street")&gt;0,1,0)</f>
        <v>0</v>
      </c>
      <c r="F662">
        <f>IF(COUNTIFS('United Data'!$A$3:$A$3390,F$1,'United Data'!$C$3:$C$3390,$A662,'United Data'!$B$3:$B$3390,"&lt;&gt;Off-street")&gt;0,1,0)</f>
        <v>0</v>
      </c>
      <c r="G662">
        <f>IF(COUNTIFS('United Data'!$A$3:$A$3390,G$1,'United Data'!$C$3:$C$3390,$A662,'United Data'!$B$3:$B$3390,"&lt;&gt;Off-street")&gt;0,1,0)</f>
        <v>0</v>
      </c>
      <c r="H662">
        <f>IF(COUNTIFS('United Data'!$A$3:$A$3390,H$1,'United Data'!$C$3:$C$3390,$A662,'United Data'!$B$3:$B$3390,"&lt;&gt;Off-street")&gt;0,1,0)</f>
        <v>0</v>
      </c>
      <c r="I662">
        <f>IF(COUNTIFS('United Data'!$A$3:$A$3390,I$1,'United Data'!$C$3:$C$3390,$A662,'United Data'!$B$3:$B$3390,"&lt;&gt;Off-street")&gt;0,1,0)</f>
        <v>0</v>
      </c>
      <c r="J662">
        <f>IF(COUNTIFS('United Data'!$A$3:$A$3390,J$1,'United Data'!$C$3:$C$3390,$A662,'United Data'!$B$3:$B$3390,"&lt;&gt;Off-street")&gt;0,1,0)</f>
        <v>0</v>
      </c>
      <c r="K662">
        <f>IF(COUNTIFS('United Data'!$A$3:$A$3390,K$1,'United Data'!$C$3:$C$3390,$A662,'United Data'!$B$3:$B$3390,"&lt;&gt;Off-street")&gt;0,1,0)</f>
        <v>0</v>
      </c>
      <c r="L662">
        <f>IF(COUNTIFS('United Data'!$A$3:$A$3390,L$1,'United Data'!$C$3:$C$3390,$A662,'United Data'!$B$3:$B$3390,"&lt;&gt;Off-street")&gt;0,1,0)</f>
        <v>0</v>
      </c>
      <c r="M662">
        <f>IF(COUNTIFS('United Data'!$A$3:$A$3390,M$1,'United Data'!$C$3:$C$3390,$A662,'United Data'!$B$3:$B$3390,"&lt;&gt;Off-street")&gt;0,1,0)</f>
        <v>0</v>
      </c>
      <c r="N662">
        <f>IF(COUNTIFS('United Data'!$A$3:$A$3390,N$1,'United Data'!$C$3:$C$3390,$A662,'United Data'!$B$3:$B$3390,"&lt;&gt;Off-street")&gt;0,1,0)</f>
        <v>1</v>
      </c>
      <c r="O662">
        <f>IF(COUNTIFS('United Data'!$A$3:$A$3390,O$1,'United Data'!$C$3:$C$3390,$A662,'United Data'!$B$3:$B$3390,"&lt;&gt;Off-street")&gt;0,1,0)</f>
        <v>1</v>
      </c>
      <c r="P662">
        <f>IF(COUNTIFS('United Data'!$A$3:$A$3390,P$1,'United Data'!$C$3:$C$3390,$A662,'United Data'!$B$3:$B$3390,"&lt;&gt;Off-street")&gt;0,1,0)</f>
        <v>0</v>
      </c>
      <c r="Q662">
        <f>IF(COUNTIFS('United Data'!$A$3:$A$3390,Q$1,'United Data'!$C$3:$C$3390,$A662,'United Data'!$B$3:$B$3390,"&lt;&gt;Off-street")&gt;0,1,0)</f>
        <v>0</v>
      </c>
      <c r="R662">
        <f>IF(COUNTIFS('United Data'!$A$3:$A$3390,R$1,'United Data'!$C$3:$C$3390,$A662,'United Data'!$B$3:$B$3390,"&lt;&gt;Off-street")&gt;0,1,0)</f>
        <v>0</v>
      </c>
      <c r="S662">
        <f t="shared" si="20"/>
        <v>3</v>
      </c>
      <c r="T662">
        <f t="shared" si="21"/>
        <v>2</v>
      </c>
    </row>
    <row r="663" spans="1:20" x14ac:dyDescent="0.2">
      <c r="A663" t="s">
        <v>785</v>
      </c>
      <c r="B663">
        <f>IF(COUNTIFS('United Data'!$A$3:$A$3390,B$1,'United Data'!$C$3:$C$3390,$A663,'United Data'!$B$3:$B$3390,"&lt;&gt;Off-street")&gt;0,1,0)</f>
        <v>0</v>
      </c>
      <c r="C663">
        <f>IF(COUNTIFS('United Data'!$A$3:$A$3390,C$1,'United Data'!$C$3:$C$3390,$A663,'United Data'!$B$3:$B$3390,"&lt;&gt;Off-street")&gt;0,1,0)</f>
        <v>0</v>
      </c>
      <c r="D663">
        <f>IF(COUNTIFS('United Data'!$A$3:$A$3390,D$1,'United Data'!$C$3:$C$3390,$A663,'United Data'!$B$3:$B$3390,"&lt;&gt;Off-street")&gt;0,1,0)</f>
        <v>1</v>
      </c>
      <c r="E663">
        <f>IF(COUNTIFS('United Data'!$A$3:$A$3390,E$1,'United Data'!$C$3:$C$3390,$A663,'United Data'!$B$3:$B$3390,"&lt;&gt;Off-street")&gt;0,1,0)</f>
        <v>1</v>
      </c>
      <c r="F663">
        <f>IF(COUNTIFS('United Data'!$A$3:$A$3390,F$1,'United Data'!$C$3:$C$3390,$A663,'United Data'!$B$3:$B$3390,"&lt;&gt;Off-street")&gt;0,1,0)</f>
        <v>1</v>
      </c>
      <c r="G663">
        <f>IF(COUNTIFS('United Data'!$A$3:$A$3390,G$1,'United Data'!$C$3:$C$3390,$A663,'United Data'!$B$3:$B$3390,"&lt;&gt;Off-street")&gt;0,1,0)</f>
        <v>0</v>
      </c>
      <c r="H663">
        <f>IF(COUNTIFS('United Data'!$A$3:$A$3390,H$1,'United Data'!$C$3:$C$3390,$A663,'United Data'!$B$3:$B$3390,"&lt;&gt;Off-street")&gt;0,1,0)</f>
        <v>0</v>
      </c>
      <c r="I663">
        <f>IF(COUNTIFS('United Data'!$A$3:$A$3390,I$1,'United Data'!$C$3:$C$3390,$A663,'United Data'!$B$3:$B$3390,"&lt;&gt;Off-street")&gt;0,1,0)</f>
        <v>0</v>
      </c>
      <c r="J663">
        <f>IF(COUNTIFS('United Data'!$A$3:$A$3390,J$1,'United Data'!$C$3:$C$3390,$A663,'United Data'!$B$3:$B$3390,"&lt;&gt;Off-street")&gt;0,1,0)</f>
        <v>0</v>
      </c>
      <c r="K663">
        <f>IF(COUNTIFS('United Data'!$A$3:$A$3390,K$1,'United Data'!$C$3:$C$3390,$A663,'United Data'!$B$3:$B$3390,"&lt;&gt;Off-street")&gt;0,1,0)</f>
        <v>0</v>
      </c>
      <c r="L663">
        <f>IF(COUNTIFS('United Data'!$A$3:$A$3390,L$1,'United Data'!$C$3:$C$3390,$A663,'United Data'!$B$3:$B$3390,"&lt;&gt;Off-street")&gt;0,1,0)</f>
        <v>0</v>
      </c>
      <c r="M663">
        <f>IF(COUNTIFS('United Data'!$A$3:$A$3390,M$1,'United Data'!$C$3:$C$3390,$A663,'United Data'!$B$3:$B$3390,"&lt;&gt;Off-street")&gt;0,1,0)</f>
        <v>0</v>
      </c>
      <c r="N663">
        <f>IF(COUNTIFS('United Data'!$A$3:$A$3390,N$1,'United Data'!$C$3:$C$3390,$A663,'United Data'!$B$3:$B$3390,"&lt;&gt;Off-street")&gt;0,1,0)</f>
        <v>0</v>
      </c>
      <c r="O663">
        <f>IF(COUNTIFS('United Data'!$A$3:$A$3390,O$1,'United Data'!$C$3:$C$3390,$A663,'United Data'!$B$3:$B$3390,"&lt;&gt;Off-street")&gt;0,1,0)</f>
        <v>1</v>
      </c>
      <c r="P663">
        <f>IF(COUNTIFS('United Data'!$A$3:$A$3390,P$1,'United Data'!$C$3:$C$3390,$A663,'United Data'!$B$3:$B$3390,"&lt;&gt;Off-street")&gt;0,1,0)</f>
        <v>0</v>
      </c>
      <c r="Q663">
        <f>IF(COUNTIFS('United Data'!$A$3:$A$3390,Q$1,'United Data'!$C$3:$C$3390,$A663,'United Data'!$B$3:$B$3390,"&lt;&gt;Off-street")&gt;0,1,0)</f>
        <v>0</v>
      </c>
      <c r="R663">
        <f>IF(COUNTIFS('United Data'!$A$3:$A$3390,R$1,'United Data'!$C$3:$C$3390,$A663,'United Data'!$B$3:$B$3390,"&lt;&gt;Off-street")&gt;0,1,0)</f>
        <v>0</v>
      </c>
      <c r="S663">
        <f t="shared" si="20"/>
        <v>4</v>
      </c>
      <c r="T663">
        <f t="shared" si="21"/>
        <v>2</v>
      </c>
    </row>
    <row r="664" spans="1:20" x14ac:dyDescent="0.2">
      <c r="A664" t="s">
        <v>787</v>
      </c>
      <c r="B664">
        <f>IF(COUNTIFS('United Data'!$A$3:$A$3390,B$1,'United Data'!$C$3:$C$3390,$A664,'United Data'!$B$3:$B$3390,"&lt;&gt;Off-street")&gt;0,1,0)</f>
        <v>0</v>
      </c>
      <c r="C664">
        <f>IF(COUNTIFS('United Data'!$A$3:$A$3390,C$1,'United Data'!$C$3:$C$3390,$A664,'United Data'!$B$3:$B$3390,"&lt;&gt;Off-street")&gt;0,1,0)</f>
        <v>0</v>
      </c>
      <c r="D664">
        <f>IF(COUNTIFS('United Data'!$A$3:$A$3390,D$1,'United Data'!$C$3:$C$3390,$A664,'United Data'!$B$3:$B$3390,"&lt;&gt;Off-street")&gt;0,1,0)</f>
        <v>0</v>
      </c>
      <c r="E664">
        <f>IF(COUNTIFS('United Data'!$A$3:$A$3390,E$1,'United Data'!$C$3:$C$3390,$A664,'United Data'!$B$3:$B$3390,"&lt;&gt;Off-street")&gt;0,1,0)</f>
        <v>1</v>
      </c>
      <c r="F664">
        <f>IF(COUNTIFS('United Data'!$A$3:$A$3390,F$1,'United Data'!$C$3:$C$3390,$A664,'United Data'!$B$3:$B$3390,"&lt;&gt;Off-street")&gt;0,1,0)</f>
        <v>0</v>
      </c>
      <c r="G664">
        <f>IF(COUNTIFS('United Data'!$A$3:$A$3390,G$1,'United Data'!$C$3:$C$3390,$A664,'United Data'!$B$3:$B$3390,"&lt;&gt;Off-street")&gt;0,1,0)</f>
        <v>0</v>
      </c>
      <c r="H664">
        <f>IF(COUNTIFS('United Data'!$A$3:$A$3390,H$1,'United Data'!$C$3:$C$3390,$A664,'United Data'!$B$3:$B$3390,"&lt;&gt;Off-street")&gt;0,1,0)</f>
        <v>0</v>
      </c>
      <c r="I664">
        <f>IF(COUNTIFS('United Data'!$A$3:$A$3390,I$1,'United Data'!$C$3:$C$3390,$A664,'United Data'!$B$3:$B$3390,"&lt;&gt;Off-street")&gt;0,1,0)</f>
        <v>0</v>
      </c>
      <c r="J664">
        <f>IF(COUNTIFS('United Data'!$A$3:$A$3390,J$1,'United Data'!$C$3:$C$3390,$A664,'United Data'!$B$3:$B$3390,"&lt;&gt;Off-street")&gt;0,1,0)</f>
        <v>0</v>
      </c>
      <c r="K664">
        <f>IF(COUNTIFS('United Data'!$A$3:$A$3390,K$1,'United Data'!$C$3:$C$3390,$A664,'United Data'!$B$3:$B$3390,"&lt;&gt;Off-street")&gt;0,1,0)</f>
        <v>0</v>
      </c>
      <c r="L664">
        <f>IF(COUNTIFS('United Data'!$A$3:$A$3390,L$1,'United Data'!$C$3:$C$3390,$A664,'United Data'!$B$3:$B$3390,"&lt;&gt;Off-street")&gt;0,1,0)</f>
        <v>0</v>
      </c>
      <c r="M664">
        <f>IF(COUNTIFS('United Data'!$A$3:$A$3390,M$1,'United Data'!$C$3:$C$3390,$A664,'United Data'!$B$3:$B$3390,"&lt;&gt;Off-street")&gt;0,1,0)</f>
        <v>0</v>
      </c>
      <c r="N664">
        <f>IF(COUNTIFS('United Data'!$A$3:$A$3390,N$1,'United Data'!$C$3:$C$3390,$A664,'United Data'!$B$3:$B$3390,"&lt;&gt;Off-street")&gt;0,1,0)</f>
        <v>0</v>
      </c>
      <c r="O664">
        <f>IF(COUNTIFS('United Data'!$A$3:$A$3390,O$1,'United Data'!$C$3:$C$3390,$A664,'United Data'!$B$3:$B$3390,"&lt;&gt;Off-street")&gt;0,1,0)</f>
        <v>0</v>
      </c>
      <c r="P664">
        <f>IF(COUNTIFS('United Data'!$A$3:$A$3390,P$1,'United Data'!$C$3:$C$3390,$A664,'United Data'!$B$3:$B$3390,"&lt;&gt;Off-street")&gt;0,1,0)</f>
        <v>0</v>
      </c>
      <c r="Q664">
        <f>IF(COUNTIFS('United Data'!$A$3:$A$3390,Q$1,'United Data'!$C$3:$C$3390,$A664,'United Data'!$B$3:$B$3390,"&lt;&gt;Off-street")&gt;0,1,0)</f>
        <v>0</v>
      </c>
      <c r="R664">
        <f>IF(COUNTIFS('United Data'!$A$3:$A$3390,R$1,'United Data'!$C$3:$C$3390,$A664,'United Data'!$B$3:$B$3390,"&lt;&gt;Off-street")&gt;0,1,0)</f>
        <v>0</v>
      </c>
      <c r="S664">
        <f t="shared" si="20"/>
        <v>1</v>
      </c>
      <c r="T664">
        <f t="shared" si="21"/>
        <v>1</v>
      </c>
    </row>
    <row r="665" spans="1:20" x14ac:dyDescent="0.2">
      <c r="A665" t="s">
        <v>788</v>
      </c>
      <c r="B665">
        <f>IF(COUNTIFS('United Data'!$A$3:$A$3390,B$1,'United Data'!$C$3:$C$3390,$A665,'United Data'!$B$3:$B$3390,"&lt;&gt;Off-street")&gt;0,1,0)</f>
        <v>0</v>
      </c>
      <c r="C665">
        <f>IF(COUNTIFS('United Data'!$A$3:$A$3390,C$1,'United Data'!$C$3:$C$3390,$A665,'United Data'!$B$3:$B$3390,"&lt;&gt;Off-street")&gt;0,1,0)</f>
        <v>0</v>
      </c>
      <c r="D665">
        <f>IF(COUNTIFS('United Data'!$A$3:$A$3390,D$1,'United Data'!$C$3:$C$3390,$A665,'United Data'!$B$3:$B$3390,"&lt;&gt;Off-street")&gt;0,1,0)</f>
        <v>0</v>
      </c>
      <c r="E665">
        <f>IF(COUNTIFS('United Data'!$A$3:$A$3390,E$1,'United Data'!$C$3:$C$3390,$A665,'United Data'!$B$3:$B$3390,"&lt;&gt;Off-street")&gt;0,1,0)</f>
        <v>1</v>
      </c>
      <c r="F665">
        <f>IF(COUNTIFS('United Data'!$A$3:$A$3390,F$1,'United Data'!$C$3:$C$3390,$A665,'United Data'!$B$3:$B$3390,"&lt;&gt;Off-street")&gt;0,1,0)</f>
        <v>0</v>
      </c>
      <c r="G665">
        <f>IF(COUNTIFS('United Data'!$A$3:$A$3390,G$1,'United Data'!$C$3:$C$3390,$A665,'United Data'!$B$3:$B$3390,"&lt;&gt;Off-street")&gt;0,1,0)</f>
        <v>0</v>
      </c>
      <c r="H665">
        <f>IF(COUNTIFS('United Data'!$A$3:$A$3390,H$1,'United Data'!$C$3:$C$3390,$A665,'United Data'!$B$3:$B$3390,"&lt;&gt;Off-street")&gt;0,1,0)</f>
        <v>0</v>
      </c>
      <c r="I665">
        <f>IF(COUNTIFS('United Data'!$A$3:$A$3390,I$1,'United Data'!$C$3:$C$3390,$A665,'United Data'!$B$3:$B$3390,"&lt;&gt;Off-street")&gt;0,1,0)</f>
        <v>0</v>
      </c>
      <c r="J665">
        <f>IF(COUNTIFS('United Data'!$A$3:$A$3390,J$1,'United Data'!$C$3:$C$3390,$A665,'United Data'!$B$3:$B$3390,"&lt;&gt;Off-street")&gt;0,1,0)</f>
        <v>0</v>
      </c>
      <c r="K665">
        <f>IF(COUNTIFS('United Data'!$A$3:$A$3390,K$1,'United Data'!$C$3:$C$3390,$A665,'United Data'!$B$3:$B$3390,"&lt;&gt;Off-street")&gt;0,1,0)</f>
        <v>0</v>
      </c>
      <c r="L665">
        <f>IF(COUNTIFS('United Data'!$A$3:$A$3390,L$1,'United Data'!$C$3:$C$3390,$A665,'United Data'!$B$3:$B$3390,"&lt;&gt;Off-street")&gt;0,1,0)</f>
        <v>0</v>
      </c>
      <c r="M665">
        <f>IF(COUNTIFS('United Data'!$A$3:$A$3390,M$1,'United Data'!$C$3:$C$3390,$A665,'United Data'!$B$3:$B$3390,"&lt;&gt;Off-street")&gt;0,1,0)</f>
        <v>0</v>
      </c>
      <c r="N665">
        <f>IF(COUNTIFS('United Data'!$A$3:$A$3390,N$1,'United Data'!$C$3:$C$3390,$A665,'United Data'!$B$3:$B$3390,"&lt;&gt;Off-street")&gt;0,1,0)</f>
        <v>0</v>
      </c>
      <c r="O665">
        <f>IF(COUNTIFS('United Data'!$A$3:$A$3390,O$1,'United Data'!$C$3:$C$3390,$A665,'United Data'!$B$3:$B$3390,"&lt;&gt;Off-street")&gt;0,1,0)</f>
        <v>0</v>
      </c>
      <c r="P665">
        <f>IF(COUNTIFS('United Data'!$A$3:$A$3390,P$1,'United Data'!$C$3:$C$3390,$A665,'United Data'!$B$3:$B$3390,"&lt;&gt;Off-street")&gt;0,1,0)</f>
        <v>0</v>
      </c>
      <c r="Q665">
        <f>IF(COUNTIFS('United Data'!$A$3:$A$3390,Q$1,'United Data'!$C$3:$C$3390,$A665,'United Data'!$B$3:$B$3390,"&lt;&gt;Off-street")&gt;0,1,0)</f>
        <v>0</v>
      </c>
      <c r="R665">
        <f>IF(COUNTIFS('United Data'!$A$3:$A$3390,R$1,'United Data'!$C$3:$C$3390,$A665,'United Data'!$B$3:$B$3390,"&lt;&gt;Off-street")&gt;0,1,0)</f>
        <v>0</v>
      </c>
      <c r="S665">
        <f t="shared" si="20"/>
        <v>1</v>
      </c>
      <c r="T665">
        <f t="shared" si="21"/>
        <v>1</v>
      </c>
    </row>
    <row r="666" spans="1:20" x14ac:dyDescent="0.2">
      <c r="A666" t="s">
        <v>789</v>
      </c>
      <c r="B666">
        <f>IF(COUNTIFS('United Data'!$A$3:$A$3390,B$1,'United Data'!$C$3:$C$3390,$A666,'United Data'!$B$3:$B$3390,"&lt;&gt;Off-street")&gt;0,1,0)</f>
        <v>0</v>
      </c>
      <c r="C666">
        <f>IF(COUNTIFS('United Data'!$A$3:$A$3390,C$1,'United Data'!$C$3:$C$3390,$A666,'United Data'!$B$3:$B$3390,"&lt;&gt;Off-street")&gt;0,1,0)</f>
        <v>0</v>
      </c>
      <c r="D666">
        <f>IF(COUNTIFS('United Data'!$A$3:$A$3390,D$1,'United Data'!$C$3:$C$3390,$A666,'United Data'!$B$3:$B$3390,"&lt;&gt;Off-street")&gt;0,1,0)</f>
        <v>0</v>
      </c>
      <c r="E666">
        <f>IF(COUNTIFS('United Data'!$A$3:$A$3390,E$1,'United Data'!$C$3:$C$3390,$A666,'United Data'!$B$3:$B$3390,"&lt;&gt;Off-street")&gt;0,1,0)</f>
        <v>1</v>
      </c>
      <c r="F666">
        <f>IF(COUNTIFS('United Data'!$A$3:$A$3390,F$1,'United Data'!$C$3:$C$3390,$A666,'United Data'!$B$3:$B$3390,"&lt;&gt;Off-street")&gt;0,1,0)</f>
        <v>1</v>
      </c>
      <c r="G666">
        <f>IF(COUNTIFS('United Data'!$A$3:$A$3390,G$1,'United Data'!$C$3:$C$3390,$A666,'United Data'!$B$3:$B$3390,"&lt;&gt;Off-street")&gt;0,1,0)</f>
        <v>1</v>
      </c>
      <c r="H666">
        <f>IF(COUNTIFS('United Data'!$A$3:$A$3390,H$1,'United Data'!$C$3:$C$3390,$A666,'United Data'!$B$3:$B$3390,"&lt;&gt;Off-street")&gt;0,1,0)</f>
        <v>1</v>
      </c>
      <c r="I666">
        <f>IF(COUNTIFS('United Data'!$A$3:$A$3390,I$1,'United Data'!$C$3:$C$3390,$A666,'United Data'!$B$3:$B$3390,"&lt;&gt;Off-street")&gt;0,1,0)</f>
        <v>1</v>
      </c>
      <c r="J666">
        <f>IF(COUNTIFS('United Data'!$A$3:$A$3390,J$1,'United Data'!$C$3:$C$3390,$A666,'United Data'!$B$3:$B$3390,"&lt;&gt;Off-street")&gt;0,1,0)</f>
        <v>0</v>
      </c>
      <c r="K666">
        <f>IF(COUNTIFS('United Data'!$A$3:$A$3390,K$1,'United Data'!$C$3:$C$3390,$A666,'United Data'!$B$3:$B$3390,"&lt;&gt;Off-street")&gt;0,1,0)</f>
        <v>1</v>
      </c>
      <c r="L666">
        <f>IF(COUNTIFS('United Data'!$A$3:$A$3390,L$1,'United Data'!$C$3:$C$3390,$A666,'United Data'!$B$3:$B$3390,"&lt;&gt;Off-street")&gt;0,1,0)</f>
        <v>1</v>
      </c>
      <c r="M666">
        <f>IF(COUNTIFS('United Data'!$A$3:$A$3390,M$1,'United Data'!$C$3:$C$3390,$A666,'United Data'!$B$3:$B$3390,"&lt;&gt;Off-street")&gt;0,1,0)</f>
        <v>1</v>
      </c>
      <c r="N666">
        <f>IF(COUNTIFS('United Data'!$A$3:$A$3390,N$1,'United Data'!$C$3:$C$3390,$A666,'United Data'!$B$3:$B$3390,"&lt;&gt;Off-street")&gt;0,1,0)</f>
        <v>0</v>
      </c>
      <c r="O666">
        <f>IF(COUNTIFS('United Data'!$A$3:$A$3390,O$1,'United Data'!$C$3:$C$3390,$A666,'United Data'!$B$3:$B$3390,"&lt;&gt;Off-street")&gt;0,1,0)</f>
        <v>0</v>
      </c>
      <c r="P666">
        <f>IF(COUNTIFS('United Data'!$A$3:$A$3390,P$1,'United Data'!$C$3:$C$3390,$A666,'United Data'!$B$3:$B$3390,"&lt;&gt;Off-street")&gt;0,1,0)</f>
        <v>1</v>
      </c>
      <c r="Q666">
        <f>IF(COUNTIFS('United Data'!$A$3:$A$3390,Q$1,'United Data'!$C$3:$C$3390,$A666,'United Data'!$B$3:$B$3390,"&lt;&gt;Off-street")&gt;0,1,0)</f>
        <v>0</v>
      </c>
      <c r="R666">
        <f>IF(COUNTIFS('United Data'!$A$3:$A$3390,R$1,'United Data'!$C$3:$C$3390,$A666,'United Data'!$B$3:$B$3390,"&lt;&gt;Off-street")&gt;0,1,0)</f>
        <v>0</v>
      </c>
      <c r="S666">
        <f t="shared" si="20"/>
        <v>9</v>
      </c>
      <c r="T666">
        <f t="shared" si="21"/>
        <v>3</v>
      </c>
    </row>
    <row r="667" spans="1:20" x14ac:dyDescent="0.2">
      <c r="A667" t="s">
        <v>791</v>
      </c>
      <c r="B667">
        <f>IF(COUNTIFS('United Data'!$A$3:$A$3390,B$1,'United Data'!$C$3:$C$3390,$A667,'United Data'!$B$3:$B$3390,"&lt;&gt;Off-street")&gt;0,1,0)</f>
        <v>0</v>
      </c>
      <c r="C667">
        <f>IF(COUNTIFS('United Data'!$A$3:$A$3390,C$1,'United Data'!$C$3:$C$3390,$A667,'United Data'!$B$3:$B$3390,"&lt;&gt;Off-street")&gt;0,1,0)</f>
        <v>0</v>
      </c>
      <c r="D667">
        <f>IF(COUNTIFS('United Data'!$A$3:$A$3390,D$1,'United Data'!$C$3:$C$3390,$A667,'United Data'!$B$3:$B$3390,"&lt;&gt;Off-street")&gt;0,1,0)</f>
        <v>0</v>
      </c>
      <c r="E667">
        <f>IF(COUNTIFS('United Data'!$A$3:$A$3390,E$1,'United Data'!$C$3:$C$3390,$A667,'United Data'!$B$3:$B$3390,"&lt;&gt;Off-street")&gt;0,1,0)</f>
        <v>1</v>
      </c>
      <c r="F667">
        <f>IF(COUNTIFS('United Data'!$A$3:$A$3390,F$1,'United Data'!$C$3:$C$3390,$A667,'United Data'!$B$3:$B$3390,"&lt;&gt;Off-street")&gt;0,1,0)</f>
        <v>1</v>
      </c>
      <c r="G667">
        <f>IF(COUNTIFS('United Data'!$A$3:$A$3390,G$1,'United Data'!$C$3:$C$3390,$A667,'United Data'!$B$3:$B$3390,"&lt;&gt;Off-street")&gt;0,1,0)</f>
        <v>0</v>
      </c>
      <c r="H667">
        <f>IF(COUNTIFS('United Data'!$A$3:$A$3390,H$1,'United Data'!$C$3:$C$3390,$A667,'United Data'!$B$3:$B$3390,"&lt;&gt;Off-street")&gt;0,1,0)</f>
        <v>0</v>
      </c>
      <c r="I667">
        <f>IF(COUNTIFS('United Data'!$A$3:$A$3390,I$1,'United Data'!$C$3:$C$3390,$A667,'United Data'!$B$3:$B$3390,"&lt;&gt;Off-street")&gt;0,1,0)</f>
        <v>0</v>
      </c>
      <c r="J667">
        <f>IF(COUNTIFS('United Data'!$A$3:$A$3390,J$1,'United Data'!$C$3:$C$3390,$A667,'United Data'!$B$3:$B$3390,"&lt;&gt;Off-street")&gt;0,1,0)</f>
        <v>0</v>
      </c>
      <c r="K667">
        <f>IF(COUNTIFS('United Data'!$A$3:$A$3390,K$1,'United Data'!$C$3:$C$3390,$A667,'United Data'!$B$3:$B$3390,"&lt;&gt;Off-street")&gt;0,1,0)</f>
        <v>0</v>
      </c>
      <c r="L667">
        <f>IF(COUNTIFS('United Data'!$A$3:$A$3390,L$1,'United Data'!$C$3:$C$3390,$A667,'United Data'!$B$3:$B$3390,"&lt;&gt;Off-street")&gt;0,1,0)</f>
        <v>0</v>
      </c>
      <c r="M667">
        <f>IF(COUNTIFS('United Data'!$A$3:$A$3390,M$1,'United Data'!$C$3:$C$3390,$A667,'United Data'!$B$3:$B$3390,"&lt;&gt;Off-street")&gt;0,1,0)</f>
        <v>0</v>
      </c>
      <c r="N667">
        <f>IF(COUNTIFS('United Data'!$A$3:$A$3390,N$1,'United Data'!$C$3:$C$3390,$A667,'United Data'!$B$3:$B$3390,"&lt;&gt;Off-street")&gt;0,1,0)</f>
        <v>0</v>
      </c>
      <c r="O667">
        <f>IF(COUNTIFS('United Data'!$A$3:$A$3390,O$1,'United Data'!$C$3:$C$3390,$A667,'United Data'!$B$3:$B$3390,"&lt;&gt;Off-street")&gt;0,1,0)</f>
        <v>0</v>
      </c>
      <c r="P667">
        <f>IF(COUNTIFS('United Data'!$A$3:$A$3390,P$1,'United Data'!$C$3:$C$3390,$A667,'United Data'!$B$3:$B$3390,"&lt;&gt;Off-street")&gt;0,1,0)</f>
        <v>0</v>
      </c>
      <c r="Q667">
        <f>IF(COUNTIFS('United Data'!$A$3:$A$3390,Q$1,'United Data'!$C$3:$C$3390,$A667,'United Data'!$B$3:$B$3390,"&lt;&gt;Off-street")&gt;0,1,0)</f>
        <v>0</v>
      </c>
      <c r="R667">
        <f>IF(COUNTIFS('United Data'!$A$3:$A$3390,R$1,'United Data'!$C$3:$C$3390,$A667,'United Data'!$B$3:$B$3390,"&lt;&gt;Off-street")&gt;0,1,0)</f>
        <v>0</v>
      </c>
      <c r="S667">
        <f t="shared" si="20"/>
        <v>2</v>
      </c>
      <c r="T667">
        <f t="shared" si="21"/>
        <v>1</v>
      </c>
    </row>
    <row r="668" spans="1:20" x14ac:dyDescent="0.2">
      <c r="A668" t="s">
        <v>792</v>
      </c>
      <c r="B668">
        <f>IF(COUNTIFS('United Data'!$A$3:$A$3390,B$1,'United Data'!$C$3:$C$3390,$A668,'United Data'!$B$3:$B$3390,"&lt;&gt;Off-street")&gt;0,1,0)</f>
        <v>0</v>
      </c>
      <c r="C668">
        <f>IF(COUNTIFS('United Data'!$A$3:$A$3390,C$1,'United Data'!$C$3:$C$3390,$A668,'United Data'!$B$3:$B$3390,"&lt;&gt;Off-street")&gt;0,1,0)</f>
        <v>0</v>
      </c>
      <c r="D668">
        <f>IF(COUNTIFS('United Data'!$A$3:$A$3390,D$1,'United Data'!$C$3:$C$3390,$A668,'United Data'!$B$3:$B$3390,"&lt;&gt;Off-street")&gt;0,1,0)</f>
        <v>0</v>
      </c>
      <c r="E668">
        <f>IF(COUNTIFS('United Data'!$A$3:$A$3390,E$1,'United Data'!$C$3:$C$3390,$A668,'United Data'!$B$3:$B$3390,"&lt;&gt;Off-street")&gt;0,1,0)</f>
        <v>1</v>
      </c>
      <c r="F668">
        <f>IF(COUNTIFS('United Data'!$A$3:$A$3390,F$1,'United Data'!$C$3:$C$3390,$A668,'United Data'!$B$3:$B$3390,"&lt;&gt;Off-street")&gt;0,1,0)</f>
        <v>0</v>
      </c>
      <c r="G668">
        <f>IF(COUNTIFS('United Data'!$A$3:$A$3390,G$1,'United Data'!$C$3:$C$3390,$A668,'United Data'!$B$3:$B$3390,"&lt;&gt;Off-street")&gt;0,1,0)</f>
        <v>0</v>
      </c>
      <c r="H668">
        <f>IF(COUNTIFS('United Data'!$A$3:$A$3390,H$1,'United Data'!$C$3:$C$3390,$A668,'United Data'!$B$3:$B$3390,"&lt;&gt;Off-street")&gt;0,1,0)</f>
        <v>0</v>
      </c>
      <c r="I668">
        <f>IF(COUNTIFS('United Data'!$A$3:$A$3390,I$1,'United Data'!$C$3:$C$3390,$A668,'United Data'!$B$3:$B$3390,"&lt;&gt;Off-street")&gt;0,1,0)</f>
        <v>0</v>
      </c>
      <c r="J668">
        <f>IF(COUNTIFS('United Data'!$A$3:$A$3390,J$1,'United Data'!$C$3:$C$3390,$A668,'United Data'!$B$3:$B$3390,"&lt;&gt;Off-street")&gt;0,1,0)</f>
        <v>0</v>
      </c>
      <c r="K668">
        <f>IF(COUNTIFS('United Data'!$A$3:$A$3390,K$1,'United Data'!$C$3:$C$3390,$A668,'United Data'!$B$3:$B$3390,"&lt;&gt;Off-street")&gt;0,1,0)</f>
        <v>0</v>
      </c>
      <c r="L668">
        <f>IF(COUNTIFS('United Data'!$A$3:$A$3390,L$1,'United Data'!$C$3:$C$3390,$A668,'United Data'!$B$3:$B$3390,"&lt;&gt;Off-street")&gt;0,1,0)</f>
        <v>0</v>
      </c>
      <c r="M668">
        <f>IF(COUNTIFS('United Data'!$A$3:$A$3390,M$1,'United Data'!$C$3:$C$3390,$A668,'United Data'!$B$3:$B$3390,"&lt;&gt;Off-street")&gt;0,1,0)</f>
        <v>0</v>
      </c>
      <c r="N668">
        <f>IF(COUNTIFS('United Data'!$A$3:$A$3390,N$1,'United Data'!$C$3:$C$3390,$A668,'United Data'!$B$3:$B$3390,"&lt;&gt;Off-street")&gt;0,1,0)</f>
        <v>0</v>
      </c>
      <c r="O668">
        <f>IF(COUNTIFS('United Data'!$A$3:$A$3390,O$1,'United Data'!$C$3:$C$3390,$A668,'United Data'!$B$3:$B$3390,"&lt;&gt;Off-street")&gt;0,1,0)</f>
        <v>0</v>
      </c>
      <c r="P668">
        <f>IF(COUNTIFS('United Data'!$A$3:$A$3390,P$1,'United Data'!$C$3:$C$3390,$A668,'United Data'!$B$3:$B$3390,"&lt;&gt;Off-street")&gt;0,1,0)</f>
        <v>0</v>
      </c>
      <c r="Q668">
        <f>IF(COUNTIFS('United Data'!$A$3:$A$3390,Q$1,'United Data'!$C$3:$C$3390,$A668,'United Data'!$B$3:$B$3390,"&lt;&gt;Off-street")&gt;0,1,0)</f>
        <v>0</v>
      </c>
      <c r="R668">
        <f>IF(COUNTIFS('United Data'!$A$3:$A$3390,R$1,'United Data'!$C$3:$C$3390,$A668,'United Data'!$B$3:$B$3390,"&lt;&gt;Off-street")&gt;0,1,0)</f>
        <v>0</v>
      </c>
      <c r="S668">
        <f t="shared" si="20"/>
        <v>1</v>
      </c>
      <c r="T668">
        <f t="shared" si="21"/>
        <v>1</v>
      </c>
    </row>
    <row r="669" spans="1:20" x14ac:dyDescent="0.2">
      <c r="A669" t="s">
        <v>794</v>
      </c>
      <c r="B669">
        <f>IF(COUNTIFS('United Data'!$A$3:$A$3390,B$1,'United Data'!$C$3:$C$3390,$A669,'United Data'!$B$3:$B$3390,"&lt;&gt;Off-street")&gt;0,1,0)</f>
        <v>0</v>
      </c>
      <c r="C669">
        <f>IF(COUNTIFS('United Data'!$A$3:$A$3390,C$1,'United Data'!$C$3:$C$3390,$A669,'United Data'!$B$3:$B$3390,"&lt;&gt;Off-street")&gt;0,1,0)</f>
        <v>0</v>
      </c>
      <c r="D669">
        <f>IF(COUNTIFS('United Data'!$A$3:$A$3390,D$1,'United Data'!$C$3:$C$3390,$A669,'United Data'!$B$3:$B$3390,"&lt;&gt;Off-street")&gt;0,1,0)</f>
        <v>0</v>
      </c>
      <c r="E669">
        <f>IF(COUNTIFS('United Data'!$A$3:$A$3390,E$1,'United Data'!$C$3:$C$3390,$A669,'United Data'!$B$3:$B$3390,"&lt;&gt;Off-street")&gt;0,1,0)</f>
        <v>1</v>
      </c>
      <c r="F669">
        <f>IF(COUNTIFS('United Data'!$A$3:$A$3390,F$1,'United Data'!$C$3:$C$3390,$A669,'United Data'!$B$3:$B$3390,"&lt;&gt;Off-street")&gt;0,1,0)</f>
        <v>0</v>
      </c>
      <c r="G669">
        <f>IF(COUNTIFS('United Data'!$A$3:$A$3390,G$1,'United Data'!$C$3:$C$3390,$A669,'United Data'!$B$3:$B$3390,"&lt;&gt;Off-street")&gt;0,1,0)</f>
        <v>0</v>
      </c>
      <c r="H669">
        <f>IF(COUNTIFS('United Data'!$A$3:$A$3390,H$1,'United Data'!$C$3:$C$3390,$A669,'United Data'!$B$3:$B$3390,"&lt;&gt;Off-street")&gt;0,1,0)</f>
        <v>0</v>
      </c>
      <c r="I669">
        <f>IF(COUNTIFS('United Data'!$A$3:$A$3390,I$1,'United Data'!$C$3:$C$3390,$A669,'United Data'!$B$3:$B$3390,"&lt;&gt;Off-street")&gt;0,1,0)</f>
        <v>0</v>
      </c>
      <c r="J669">
        <f>IF(COUNTIFS('United Data'!$A$3:$A$3390,J$1,'United Data'!$C$3:$C$3390,$A669,'United Data'!$B$3:$B$3390,"&lt;&gt;Off-street")&gt;0,1,0)</f>
        <v>0</v>
      </c>
      <c r="K669">
        <f>IF(COUNTIFS('United Data'!$A$3:$A$3390,K$1,'United Data'!$C$3:$C$3390,$A669,'United Data'!$B$3:$B$3390,"&lt;&gt;Off-street")&gt;0,1,0)</f>
        <v>0</v>
      </c>
      <c r="L669">
        <f>IF(COUNTIFS('United Data'!$A$3:$A$3390,L$1,'United Data'!$C$3:$C$3390,$A669,'United Data'!$B$3:$B$3390,"&lt;&gt;Off-street")&gt;0,1,0)</f>
        <v>0</v>
      </c>
      <c r="M669">
        <f>IF(COUNTIFS('United Data'!$A$3:$A$3390,M$1,'United Data'!$C$3:$C$3390,$A669,'United Data'!$B$3:$B$3390,"&lt;&gt;Off-street")&gt;0,1,0)</f>
        <v>0</v>
      </c>
      <c r="N669">
        <f>IF(COUNTIFS('United Data'!$A$3:$A$3390,N$1,'United Data'!$C$3:$C$3390,$A669,'United Data'!$B$3:$B$3390,"&lt;&gt;Off-street")&gt;0,1,0)</f>
        <v>0</v>
      </c>
      <c r="O669">
        <f>IF(COUNTIFS('United Data'!$A$3:$A$3390,O$1,'United Data'!$C$3:$C$3390,$A669,'United Data'!$B$3:$B$3390,"&lt;&gt;Off-street")&gt;0,1,0)</f>
        <v>0</v>
      </c>
      <c r="P669">
        <f>IF(COUNTIFS('United Data'!$A$3:$A$3390,P$1,'United Data'!$C$3:$C$3390,$A669,'United Data'!$B$3:$B$3390,"&lt;&gt;Off-street")&gt;0,1,0)</f>
        <v>0</v>
      </c>
      <c r="Q669">
        <f>IF(COUNTIFS('United Data'!$A$3:$A$3390,Q$1,'United Data'!$C$3:$C$3390,$A669,'United Data'!$B$3:$B$3390,"&lt;&gt;Off-street")&gt;0,1,0)</f>
        <v>0</v>
      </c>
      <c r="R669">
        <f>IF(COUNTIFS('United Data'!$A$3:$A$3390,R$1,'United Data'!$C$3:$C$3390,$A669,'United Data'!$B$3:$B$3390,"&lt;&gt;Off-street")&gt;0,1,0)</f>
        <v>0</v>
      </c>
      <c r="S669">
        <f t="shared" si="20"/>
        <v>1</v>
      </c>
      <c r="T669">
        <f t="shared" si="21"/>
        <v>1</v>
      </c>
    </row>
    <row r="670" spans="1:20" x14ac:dyDescent="0.2">
      <c r="A670" t="s">
        <v>795</v>
      </c>
      <c r="B670">
        <f>IF(COUNTIFS('United Data'!$A$3:$A$3390,B$1,'United Data'!$C$3:$C$3390,$A670,'United Data'!$B$3:$B$3390,"&lt;&gt;Off-street")&gt;0,1,0)</f>
        <v>0</v>
      </c>
      <c r="C670">
        <f>IF(COUNTIFS('United Data'!$A$3:$A$3390,C$1,'United Data'!$C$3:$C$3390,$A670,'United Data'!$B$3:$B$3390,"&lt;&gt;Off-street")&gt;0,1,0)</f>
        <v>0</v>
      </c>
      <c r="D670">
        <f>IF(COUNTIFS('United Data'!$A$3:$A$3390,D$1,'United Data'!$C$3:$C$3390,$A670,'United Data'!$B$3:$B$3390,"&lt;&gt;Off-street")&gt;0,1,0)</f>
        <v>0</v>
      </c>
      <c r="E670">
        <f>IF(COUNTIFS('United Data'!$A$3:$A$3390,E$1,'United Data'!$C$3:$C$3390,$A670,'United Data'!$B$3:$B$3390,"&lt;&gt;Off-street")&gt;0,1,0)</f>
        <v>1</v>
      </c>
      <c r="F670">
        <f>IF(COUNTIFS('United Data'!$A$3:$A$3390,F$1,'United Data'!$C$3:$C$3390,$A670,'United Data'!$B$3:$B$3390,"&lt;&gt;Off-street")&gt;0,1,0)</f>
        <v>0</v>
      </c>
      <c r="G670">
        <f>IF(COUNTIFS('United Data'!$A$3:$A$3390,G$1,'United Data'!$C$3:$C$3390,$A670,'United Data'!$B$3:$B$3390,"&lt;&gt;Off-street")&gt;0,1,0)</f>
        <v>0</v>
      </c>
      <c r="H670">
        <f>IF(COUNTIFS('United Data'!$A$3:$A$3390,H$1,'United Data'!$C$3:$C$3390,$A670,'United Data'!$B$3:$B$3390,"&lt;&gt;Off-street")&gt;0,1,0)</f>
        <v>0</v>
      </c>
      <c r="I670">
        <f>IF(COUNTIFS('United Data'!$A$3:$A$3390,I$1,'United Data'!$C$3:$C$3390,$A670,'United Data'!$B$3:$B$3390,"&lt;&gt;Off-street")&gt;0,1,0)</f>
        <v>0</v>
      </c>
      <c r="J670">
        <f>IF(COUNTIFS('United Data'!$A$3:$A$3390,J$1,'United Data'!$C$3:$C$3390,$A670,'United Data'!$B$3:$B$3390,"&lt;&gt;Off-street")&gt;0,1,0)</f>
        <v>0</v>
      </c>
      <c r="K670">
        <f>IF(COUNTIFS('United Data'!$A$3:$A$3390,K$1,'United Data'!$C$3:$C$3390,$A670,'United Data'!$B$3:$B$3390,"&lt;&gt;Off-street")&gt;0,1,0)</f>
        <v>0</v>
      </c>
      <c r="L670">
        <f>IF(COUNTIFS('United Data'!$A$3:$A$3390,L$1,'United Data'!$C$3:$C$3390,$A670,'United Data'!$B$3:$B$3390,"&lt;&gt;Off-street")&gt;0,1,0)</f>
        <v>0</v>
      </c>
      <c r="M670">
        <f>IF(COUNTIFS('United Data'!$A$3:$A$3390,M$1,'United Data'!$C$3:$C$3390,$A670,'United Data'!$B$3:$B$3390,"&lt;&gt;Off-street")&gt;0,1,0)</f>
        <v>0</v>
      </c>
      <c r="N670">
        <f>IF(COUNTIFS('United Data'!$A$3:$A$3390,N$1,'United Data'!$C$3:$C$3390,$A670,'United Data'!$B$3:$B$3390,"&lt;&gt;Off-street")&gt;0,1,0)</f>
        <v>0</v>
      </c>
      <c r="O670">
        <f>IF(COUNTIFS('United Data'!$A$3:$A$3390,O$1,'United Data'!$C$3:$C$3390,$A670,'United Data'!$B$3:$B$3390,"&lt;&gt;Off-street")&gt;0,1,0)</f>
        <v>0</v>
      </c>
      <c r="P670">
        <f>IF(COUNTIFS('United Data'!$A$3:$A$3390,P$1,'United Data'!$C$3:$C$3390,$A670,'United Data'!$B$3:$B$3390,"&lt;&gt;Off-street")&gt;0,1,0)</f>
        <v>0</v>
      </c>
      <c r="Q670">
        <f>IF(COUNTIFS('United Data'!$A$3:$A$3390,Q$1,'United Data'!$C$3:$C$3390,$A670,'United Data'!$B$3:$B$3390,"&lt;&gt;Off-street")&gt;0,1,0)</f>
        <v>0</v>
      </c>
      <c r="R670">
        <f>IF(COUNTIFS('United Data'!$A$3:$A$3390,R$1,'United Data'!$C$3:$C$3390,$A670,'United Data'!$B$3:$B$3390,"&lt;&gt;Off-street")&gt;0,1,0)</f>
        <v>0</v>
      </c>
      <c r="S670">
        <f t="shared" si="20"/>
        <v>1</v>
      </c>
      <c r="T670">
        <f t="shared" si="21"/>
        <v>1</v>
      </c>
    </row>
    <row r="671" spans="1:20" x14ac:dyDescent="0.2">
      <c r="A671" t="s">
        <v>796</v>
      </c>
      <c r="B671">
        <f>IF(COUNTIFS('United Data'!$A$3:$A$3390,B$1,'United Data'!$C$3:$C$3390,$A671,'United Data'!$B$3:$B$3390,"&lt;&gt;Off-street")&gt;0,1,0)</f>
        <v>0</v>
      </c>
      <c r="C671">
        <f>IF(COUNTIFS('United Data'!$A$3:$A$3390,C$1,'United Data'!$C$3:$C$3390,$A671,'United Data'!$B$3:$B$3390,"&lt;&gt;Off-street")&gt;0,1,0)</f>
        <v>0</v>
      </c>
      <c r="D671">
        <f>IF(COUNTIFS('United Data'!$A$3:$A$3390,D$1,'United Data'!$C$3:$C$3390,$A671,'United Data'!$B$3:$B$3390,"&lt;&gt;Off-street")&gt;0,1,0)</f>
        <v>0</v>
      </c>
      <c r="E671">
        <f>IF(COUNTIFS('United Data'!$A$3:$A$3390,E$1,'United Data'!$C$3:$C$3390,$A671,'United Data'!$B$3:$B$3390,"&lt;&gt;Off-street")&gt;0,1,0)</f>
        <v>0</v>
      </c>
      <c r="F671">
        <f>IF(COUNTIFS('United Data'!$A$3:$A$3390,F$1,'United Data'!$C$3:$C$3390,$A671,'United Data'!$B$3:$B$3390,"&lt;&gt;Off-street")&gt;0,1,0)</f>
        <v>1</v>
      </c>
      <c r="G671">
        <f>IF(COUNTIFS('United Data'!$A$3:$A$3390,G$1,'United Data'!$C$3:$C$3390,$A671,'United Data'!$B$3:$B$3390,"&lt;&gt;Off-street")&gt;0,1,0)</f>
        <v>0</v>
      </c>
      <c r="H671">
        <f>IF(COUNTIFS('United Data'!$A$3:$A$3390,H$1,'United Data'!$C$3:$C$3390,$A671,'United Data'!$B$3:$B$3390,"&lt;&gt;Off-street")&gt;0,1,0)</f>
        <v>0</v>
      </c>
      <c r="I671">
        <f>IF(COUNTIFS('United Data'!$A$3:$A$3390,I$1,'United Data'!$C$3:$C$3390,$A671,'United Data'!$B$3:$B$3390,"&lt;&gt;Off-street")&gt;0,1,0)</f>
        <v>0</v>
      </c>
      <c r="J671">
        <f>IF(COUNTIFS('United Data'!$A$3:$A$3390,J$1,'United Data'!$C$3:$C$3390,$A671,'United Data'!$B$3:$B$3390,"&lt;&gt;Off-street")&gt;0,1,0)</f>
        <v>0</v>
      </c>
      <c r="K671">
        <f>IF(COUNTIFS('United Data'!$A$3:$A$3390,K$1,'United Data'!$C$3:$C$3390,$A671,'United Data'!$B$3:$B$3390,"&lt;&gt;Off-street")&gt;0,1,0)</f>
        <v>0</v>
      </c>
      <c r="L671">
        <f>IF(COUNTIFS('United Data'!$A$3:$A$3390,L$1,'United Data'!$C$3:$C$3390,$A671,'United Data'!$B$3:$B$3390,"&lt;&gt;Off-street")&gt;0,1,0)</f>
        <v>0</v>
      </c>
      <c r="M671">
        <f>IF(COUNTIFS('United Data'!$A$3:$A$3390,M$1,'United Data'!$C$3:$C$3390,$A671,'United Data'!$B$3:$B$3390,"&lt;&gt;Off-street")&gt;0,1,0)</f>
        <v>0</v>
      </c>
      <c r="N671">
        <f>IF(COUNTIFS('United Data'!$A$3:$A$3390,N$1,'United Data'!$C$3:$C$3390,$A671,'United Data'!$B$3:$B$3390,"&lt;&gt;Off-street")&gt;0,1,0)</f>
        <v>0</v>
      </c>
      <c r="O671">
        <f>IF(COUNTIFS('United Data'!$A$3:$A$3390,O$1,'United Data'!$C$3:$C$3390,$A671,'United Data'!$B$3:$B$3390,"&lt;&gt;Off-street")&gt;0,1,0)</f>
        <v>0</v>
      </c>
      <c r="P671">
        <f>IF(COUNTIFS('United Data'!$A$3:$A$3390,P$1,'United Data'!$C$3:$C$3390,$A671,'United Data'!$B$3:$B$3390,"&lt;&gt;Off-street")&gt;0,1,0)</f>
        <v>0</v>
      </c>
      <c r="Q671">
        <f>IF(COUNTIFS('United Data'!$A$3:$A$3390,Q$1,'United Data'!$C$3:$C$3390,$A671,'United Data'!$B$3:$B$3390,"&lt;&gt;Off-street")&gt;0,1,0)</f>
        <v>0</v>
      </c>
      <c r="R671">
        <f>IF(COUNTIFS('United Data'!$A$3:$A$3390,R$1,'United Data'!$C$3:$C$3390,$A671,'United Data'!$B$3:$B$3390,"&lt;&gt;Off-street")&gt;0,1,0)</f>
        <v>0</v>
      </c>
      <c r="S671">
        <f t="shared" si="20"/>
        <v>1</v>
      </c>
      <c r="T671">
        <f t="shared" si="21"/>
        <v>1</v>
      </c>
    </row>
    <row r="672" spans="1:20" x14ac:dyDescent="0.2">
      <c r="A672" t="s">
        <v>799</v>
      </c>
      <c r="B672">
        <f>IF(COUNTIFS('United Data'!$A$3:$A$3390,B$1,'United Data'!$C$3:$C$3390,$A672,'United Data'!$B$3:$B$3390,"&lt;&gt;Off-street")&gt;0,1,0)</f>
        <v>0</v>
      </c>
      <c r="C672">
        <f>IF(COUNTIFS('United Data'!$A$3:$A$3390,C$1,'United Data'!$C$3:$C$3390,$A672,'United Data'!$B$3:$B$3390,"&lt;&gt;Off-street")&gt;0,1,0)</f>
        <v>0</v>
      </c>
      <c r="D672">
        <f>IF(COUNTIFS('United Data'!$A$3:$A$3390,D$1,'United Data'!$C$3:$C$3390,$A672,'United Data'!$B$3:$B$3390,"&lt;&gt;Off-street")&gt;0,1,0)</f>
        <v>0</v>
      </c>
      <c r="E672">
        <f>IF(COUNTIFS('United Data'!$A$3:$A$3390,E$1,'United Data'!$C$3:$C$3390,$A672,'United Data'!$B$3:$B$3390,"&lt;&gt;Off-street")&gt;0,1,0)</f>
        <v>0</v>
      </c>
      <c r="F672">
        <f>IF(COUNTIFS('United Data'!$A$3:$A$3390,F$1,'United Data'!$C$3:$C$3390,$A672,'United Data'!$B$3:$B$3390,"&lt;&gt;Off-street")&gt;0,1,0)</f>
        <v>0</v>
      </c>
      <c r="G672">
        <f>IF(COUNTIFS('United Data'!$A$3:$A$3390,G$1,'United Data'!$C$3:$C$3390,$A672,'United Data'!$B$3:$B$3390,"&lt;&gt;Off-street")&gt;0,1,0)</f>
        <v>1</v>
      </c>
      <c r="H672">
        <f>IF(COUNTIFS('United Data'!$A$3:$A$3390,H$1,'United Data'!$C$3:$C$3390,$A672,'United Data'!$B$3:$B$3390,"&lt;&gt;Off-street")&gt;0,1,0)</f>
        <v>0</v>
      </c>
      <c r="I672">
        <f>IF(COUNTIFS('United Data'!$A$3:$A$3390,I$1,'United Data'!$C$3:$C$3390,$A672,'United Data'!$B$3:$B$3390,"&lt;&gt;Off-street")&gt;0,1,0)</f>
        <v>0</v>
      </c>
      <c r="J672">
        <f>IF(COUNTIFS('United Data'!$A$3:$A$3390,J$1,'United Data'!$C$3:$C$3390,$A672,'United Data'!$B$3:$B$3390,"&lt;&gt;Off-street")&gt;0,1,0)</f>
        <v>0</v>
      </c>
      <c r="K672">
        <f>IF(COUNTIFS('United Data'!$A$3:$A$3390,K$1,'United Data'!$C$3:$C$3390,$A672,'United Data'!$B$3:$B$3390,"&lt;&gt;Off-street")&gt;0,1,0)</f>
        <v>0</v>
      </c>
      <c r="L672">
        <f>IF(COUNTIFS('United Data'!$A$3:$A$3390,L$1,'United Data'!$C$3:$C$3390,$A672,'United Data'!$B$3:$B$3390,"&lt;&gt;Off-street")&gt;0,1,0)</f>
        <v>0</v>
      </c>
      <c r="M672">
        <f>IF(COUNTIFS('United Data'!$A$3:$A$3390,M$1,'United Data'!$C$3:$C$3390,$A672,'United Data'!$B$3:$B$3390,"&lt;&gt;Off-street")&gt;0,1,0)</f>
        <v>0</v>
      </c>
      <c r="N672">
        <f>IF(COUNTIFS('United Data'!$A$3:$A$3390,N$1,'United Data'!$C$3:$C$3390,$A672,'United Data'!$B$3:$B$3390,"&lt;&gt;Off-street")&gt;0,1,0)</f>
        <v>0</v>
      </c>
      <c r="O672">
        <f>IF(COUNTIFS('United Data'!$A$3:$A$3390,O$1,'United Data'!$C$3:$C$3390,$A672,'United Data'!$B$3:$B$3390,"&lt;&gt;Off-street")&gt;0,1,0)</f>
        <v>0</v>
      </c>
      <c r="P672">
        <f>IF(COUNTIFS('United Data'!$A$3:$A$3390,P$1,'United Data'!$C$3:$C$3390,$A672,'United Data'!$B$3:$B$3390,"&lt;&gt;Off-street")&gt;0,1,0)</f>
        <v>0</v>
      </c>
      <c r="Q672">
        <f>IF(COUNTIFS('United Data'!$A$3:$A$3390,Q$1,'United Data'!$C$3:$C$3390,$A672,'United Data'!$B$3:$B$3390,"&lt;&gt;Off-street")&gt;0,1,0)</f>
        <v>0</v>
      </c>
      <c r="R672">
        <f>IF(COUNTIFS('United Data'!$A$3:$A$3390,R$1,'United Data'!$C$3:$C$3390,$A672,'United Data'!$B$3:$B$3390,"&lt;&gt;Off-street")&gt;0,1,0)</f>
        <v>0</v>
      </c>
      <c r="S672">
        <f t="shared" si="20"/>
        <v>1</v>
      </c>
      <c r="T672">
        <f t="shared" si="21"/>
        <v>1</v>
      </c>
    </row>
    <row r="673" spans="1:20" x14ac:dyDescent="0.2">
      <c r="A673" t="s">
        <v>800</v>
      </c>
      <c r="B673">
        <f>IF(COUNTIFS('United Data'!$A$3:$A$3390,B$1,'United Data'!$C$3:$C$3390,$A673,'United Data'!$B$3:$B$3390,"&lt;&gt;Off-street")&gt;0,1,0)</f>
        <v>0</v>
      </c>
      <c r="C673">
        <f>IF(COUNTIFS('United Data'!$A$3:$A$3390,C$1,'United Data'!$C$3:$C$3390,$A673,'United Data'!$B$3:$B$3390,"&lt;&gt;Off-street")&gt;0,1,0)</f>
        <v>0</v>
      </c>
      <c r="D673">
        <f>IF(COUNTIFS('United Data'!$A$3:$A$3390,D$1,'United Data'!$C$3:$C$3390,$A673,'United Data'!$B$3:$B$3390,"&lt;&gt;Off-street")&gt;0,1,0)</f>
        <v>0</v>
      </c>
      <c r="E673">
        <f>IF(COUNTIFS('United Data'!$A$3:$A$3390,E$1,'United Data'!$C$3:$C$3390,$A673,'United Data'!$B$3:$B$3390,"&lt;&gt;Off-street")&gt;0,1,0)</f>
        <v>0</v>
      </c>
      <c r="F673">
        <f>IF(COUNTIFS('United Data'!$A$3:$A$3390,F$1,'United Data'!$C$3:$C$3390,$A673,'United Data'!$B$3:$B$3390,"&lt;&gt;Off-street")&gt;0,1,0)</f>
        <v>0</v>
      </c>
      <c r="G673">
        <f>IF(COUNTIFS('United Data'!$A$3:$A$3390,G$1,'United Data'!$C$3:$C$3390,$A673,'United Data'!$B$3:$B$3390,"&lt;&gt;Off-street")&gt;0,1,0)</f>
        <v>0</v>
      </c>
      <c r="H673">
        <f>IF(COUNTIFS('United Data'!$A$3:$A$3390,H$1,'United Data'!$C$3:$C$3390,$A673,'United Data'!$B$3:$B$3390,"&lt;&gt;Off-street")&gt;0,1,0)</f>
        <v>1</v>
      </c>
      <c r="I673">
        <f>IF(COUNTIFS('United Data'!$A$3:$A$3390,I$1,'United Data'!$C$3:$C$3390,$A673,'United Data'!$B$3:$B$3390,"&lt;&gt;Off-street")&gt;0,1,0)</f>
        <v>0</v>
      </c>
      <c r="J673">
        <f>IF(COUNTIFS('United Data'!$A$3:$A$3390,J$1,'United Data'!$C$3:$C$3390,$A673,'United Data'!$B$3:$B$3390,"&lt;&gt;Off-street")&gt;0,1,0)</f>
        <v>0</v>
      </c>
      <c r="K673">
        <f>IF(COUNTIFS('United Data'!$A$3:$A$3390,K$1,'United Data'!$C$3:$C$3390,$A673,'United Data'!$B$3:$B$3390,"&lt;&gt;Off-street")&gt;0,1,0)</f>
        <v>0</v>
      </c>
      <c r="L673">
        <f>IF(COUNTIFS('United Data'!$A$3:$A$3390,L$1,'United Data'!$C$3:$C$3390,$A673,'United Data'!$B$3:$B$3390,"&lt;&gt;Off-street")&gt;0,1,0)</f>
        <v>0</v>
      </c>
      <c r="M673">
        <f>IF(COUNTIFS('United Data'!$A$3:$A$3390,M$1,'United Data'!$C$3:$C$3390,$A673,'United Data'!$B$3:$B$3390,"&lt;&gt;Off-street")&gt;0,1,0)</f>
        <v>0</v>
      </c>
      <c r="N673">
        <f>IF(COUNTIFS('United Data'!$A$3:$A$3390,N$1,'United Data'!$C$3:$C$3390,$A673,'United Data'!$B$3:$B$3390,"&lt;&gt;Off-street")&gt;0,1,0)</f>
        <v>0</v>
      </c>
      <c r="O673">
        <f>IF(COUNTIFS('United Data'!$A$3:$A$3390,O$1,'United Data'!$C$3:$C$3390,$A673,'United Data'!$B$3:$B$3390,"&lt;&gt;Off-street")&gt;0,1,0)</f>
        <v>0</v>
      </c>
      <c r="P673">
        <f>IF(COUNTIFS('United Data'!$A$3:$A$3390,P$1,'United Data'!$C$3:$C$3390,$A673,'United Data'!$B$3:$B$3390,"&lt;&gt;Off-street")&gt;0,1,0)</f>
        <v>0</v>
      </c>
      <c r="Q673">
        <f>IF(COUNTIFS('United Data'!$A$3:$A$3390,Q$1,'United Data'!$C$3:$C$3390,$A673,'United Data'!$B$3:$B$3390,"&lt;&gt;Off-street")&gt;0,1,0)</f>
        <v>0</v>
      </c>
      <c r="R673">
        <f>IF(COUNTIFS('United Data'!$A$3:$A$3390,R$1,'United Data'!$C$3:$C$3390,$A673,'United Data'!$B$3:$B$3390,"&lt;&gt;Off-street")&gt;0,1,0)</f>
        <v>0</v>
      </c>
      <c r="S673">
        <f t="shared" si="20"/>
        <v>1</v>
      </c>
      <c r="T673">
        <f t="shared" si="21"/>
        <v>1</v>
      </c>
    </row>
    <row r="674" spans="1:20" x14ac:dyDescent="0.2">
      <c r="A674" t="s">
        <v>801</v>
      </c>
      <c r="B674">
        <f>IF(COUNTIFS('United Data'!$A$3:$A$3390,B$1,'United Data'!$C$3:$C$3390,$A674,'United Data'!$B$3:$B$3390,"&lt;&gt;Off-street")&gt;0,1,0)</f>
        <v>0</v>
      </c>
      <c r="C674">
        <f>IF(COUNTIFS('United Data'!$A$3:$A$3390,C$1,'United Data'!$C$3:$C$3390,$A674,'United Data'!$B$3:$B$3390,"&lt;&gt;Off-street")&gt;0,1,0)</f>
        <v>0</v>
      </c>
      <c r="D674">
        <f>IF(COUNTIFS('United Data'!$A$3:$A$3390,D$1,'United Data'!$C$3:$C$3390,$A674,'United Data'!$B$3:$B$3390,"&lt;&gt;Off-street")&gt;0,1,0)</f>
        <v>0</v>
      </c>
      <c r="E674">
        <f>IF(COUNTIFS('United Data'!$A$3:$A$3390,E$1,'United Data'!$C$3:$C$3390,$A674,'United Data'!$B$3:$B$3390,"&lt;&gt;Off-street")&gt;0,1,0)</f>
        <v>0</v>
      </c>
      <c r="F674">
        <f>IF(COUNTIFS('United Data'!$A$3:$A$3390,F$1,'United Data'!$C$3:$C$3390,$A674,'United Data'!$B$3:$B$3390,"&lt;&gt;Off-street")&gt;0,1,0)</f>
        <v>0</v>
      </c>
      <c r="G674">
        <f>IF(COUNTIFS('United Data'!$A$3:$A$3390,G$1,'United Data'!$C$3:$C$3390,$A674,'United Data'!$B$3:$B$3390,"&lt;&gt;Off-street")&gt;0,1,0)</f>
        <v>0</v>
      </c>
      <c r="H674">
        <f>IF(COUNTIFS('United Data'!$A$3:$A$3390,H$1,'United Data'!$C$3:$C$3390,$A674,'United Data'!$B$3:$B$3390,"&lt;&gt;Off-street")&gt;0,1,0)</f>
        <v>1</v>
      </c>
      <c r="I674">
        <f>IF(COUNTIFS('United Data'!$A$3:$A$3390,I$1,'United Data'!$C$3:$C$3390,$A674,'United Data'!$B$3:$B$3390,"&lt;&gt;Off-street")&gt;0,1,0)</f>
        <v>0</v>
      </c>
      <c r="J674">
        <f>IF(COUNTIFS('United Data'!$A$3:$A$3390,J$1,'United Data'!$C$3:$C$3390,$A674,'United Data'!$B$3:$B$3390,"&lt;&gt;Off-street")&gt;0,1,0)</f>
        <v>0</v>
      </c>
      <c r="K674">
        <f>IF(COUNTIFS('United Data'!$A$3:$A$3390,K$1,'United Data'!$C$3:$C$3390,$A674,'United Data'!$B$3:$B$3390,"&lt;&gt;Off-street")&gt;0,1,0)</f>
        <v>0</v>
      </c>
      <c r="L674">
        <f>IF(COUNTIFS('United Data'!$A$3:$A$3390,L$1,'United Data'!$C$3:$C$3390,$A674,'United Data'!$B$3:$B$3390,"&lt;&gt;Off-street")&gt;0,1,0)</f>
        <v>0</v>
      </c>
      <c r="M674">
        <f>IF(COUNTIFS('United Data'!$A$3:$A$3390,M$1,'United Data'!$C$3:$C$3390,$A674,'United Data'!$B$3:$B$3390,"&lt;&gt;Off-street")&gt;0,1,0)</f>
        <v>0</v>
      </c>
      <c r="N674">
        <f>IF(COUNTIFS('United Data'!$A$3:$A$3390,N$1,'United Data'!$C$3:$C$3390,$A674,'United Data'!$B$3:$B$3390,"&lt;&gt;Off-street")&gt;0,1,0)</f>
        <v>0</v>
      </c>
      <c r="O674">
        <f>IF(COUNTIFS('United Data'!$A$3:$A$3390,O$1,'United Data'!$C$3:$C$3390,$A674,'United Data'!$B$3:$B$3390,"&lt;&gt;Off-street")&gt;0,1,0)</f>
        <v>0</v>
      </c>
      <c r="P674">
        <f>IF(COUNTIFS('United Data'!$A$3:$A$3390,P$1,'United Data'!$C$3:$C$3390,$A674,'United Data'!$B$3:$B$3390,"&lt;&gt;Off-street")&gt;0,1,0)</f>
        <v>0</v>
      </c>
      <c r="Q674">
        <f>IF(COUNTIFS('United Data'!$A$3:$A$3390,Q$1,'United Data'!$C$3:$C$3390,$A674,'United Data'!$B$3:$B$3390,"&lt;&gt;Off-street")&gt;0,1,0)</f>
        <v>0</v>
      </c>
      <c r="R674">
        <f>IF(COUNTIFS('United Data'!$A$3:$A$3390,R$1,'United Data'!$C$3:$C$3390,$A674,'United Data'!$B$3:$B$3390,"&lt;&gt;Off-street")&gt;0,1,0)</f>
        <v>0</v>
      </c>
      <c r="S674">
        <f t="shared" si="20"/>
        <v>1</v>
      </c>
      <c r="T674">
        <f t="shared" si="21"/>
        <v>1</v>
      </c>
    </row>
    <row r="675" spans="1:20" x14ac:dyDescent="0.2">
      <c r="A675" t="s">
        <v>802</v>
      </c>
      <c r="B675">
        <f>IF(COUNTIFS('United Data'!$A$3:$A$3390,B$1,'United Data'!$C$3:$C$3390,$A675,'United Data'!$B$3:$B$3390,"&lt;&gt;Off-street")&gt;0,1,0)</f>
        <v>0</v>
      </c>
      <c r="C675">
        <f>IF(COUNTIFS('United Data'!$A$3:$A$3390,C$1,'United Data'!$C$3:$C$3390,$A675,'United Data'!$B$3:$B$3390,"&lt;&gt;Off-street")&gt;0,1,0)</f>
        <v>0</v>
      </c>
      <c r="D675">
        <f>IF(COUNTIFS('United Data'!$A$3:$A$3390,D$1,'United Data'!$C$3:$C$3390,$A675,'United Data'!$B$3:$B$3390,"&lt;&gt;Off-street")&gt;0,1,0)</f>
        <v>0</v>
      </c>
      <c r="E675">
        <f>IF(COUNTIFS('United Data'!$A$3:$A$3390,E$1,'United Data'!$C$3:$C$3390,$A675,'United Data'!$B$3:$B$3390,"&lt;&gt;Off-street")&gt;0,1,0)</f>
        <v>0</v>
      </c>
      <c r="F675">
        <f>IF(COUNTIFS('United Data'!$A$3:$A$3390,F$1,'United Data'!$C$3:$C$3390,$A675,'United Data'!$B$3:$B$3390,"&lt;&gt;Off-street")&gt;0,1,0)</f>
        <v>0</v>
      </c>
      <c r="G675">
        <f>IF(COUNTIFS('United Data'!$A$3:$A$3390,G$1,'United Data'!$C$3:$C$3390,$A675,'United Data'!$B$3:$B$3390,"&lt;&gt;Off-street")&gt;0,1,0)</f>
        <v>0</v>
      </c>
      <c r="H675">
        <f>IF(COUNTIFS('United Data'!$A$3:$A$3390,H$1,'United Data'!$C$3:$C$3390,$A675,'United Data'!$B$3:$B$3390,"&lt;&gt;Off-street")&gt;0,1,0)</f>
        <v>1</v>
      </c>
      <c r="I675">
        <f>IF(COUNTIFS('United Data'!$A$3:$A$3390,I$1,'United Data'!$C$3:$C$3390,$A675,'United Data'!$B$3:$B$3390,"&lt;&gt;Off-street")&gt;0,1,0)</f>
        <v>0</v>
      </c>
      <c r="J675">
        <f>IF(COUNTIFS('United Data'!$A$3:$A$3390,J$1,'United Data'!$C$3:$C$3390,$A675,'United Data'!$B$3:$B$3390,"&lt;&gt;Off-street")&gt;0,1,0)</f>
        <v>1</v>
      </c>
      <c r="K675">
        <f>IF(COUNTIFS('United Data'!$A$3:$A$3390,K$1,'United Data'!$C$3:$C$3390,$A675,'United Data'!$B$3:$B$3390,"&lt;&gt;Off-street")&gt;0,1,0)</f>
        <v>0</v>
      </c>
      <c r="L675">
        <f>IF(COUNTIFS('United Data'!$A$3:$A$3390,L$1,'United Data'!$C$3:$C$3390,$A675,'United Data'!$B$3:$B$3390,"&lt;&gt;Off-street")&gt;0,1,0)</f>
        <v>0</v>
      </c>
      <c r="M675">
        <f>IF(COUNTIFS('United Data'!$A$3:$A$3390,M$1,'United Data'!$C$3:$C$3390,$A675,'United Data'!$B$3:$B$3390,"&lt;&gt;Off-street")&gt;0,1,0)</f>
        <v>0</v>
      </c>
      <c r="N675">
        <f>IF(COUNTIFS('United Data'!$A$3:$A$3390,N$1,'United Data'!$C$3:$C$3390,$A675,'United Data'!$B$3:$B$3390,"&lt;&gt;Off-street")&gt;0,1,0)</f>
        <v>1</v>
      </c>
      <c r="O675">
        <f>IF(COUNTIFS('United Data'!$A$3:$A$3390,O$1,'United Data'!$C$3:$C$3390,$A675,'United Data'!$B$3:$B$3390,"&lt;&gt;Off-street")&gt;0,1,0)</f>
        <v>0</v>
      </c>
      <c r="P675">
        <f>IF(COUNTIFS('United Data'!$A$3:$A$3390,P$1,'United Data'!$C$3:$C$3390,$A675,'United Data'!$B$3:$B$3390,"&lt;&gt;Off-street")&gt;0,1,0)</f>
        <v>1</v>
      </c>
      <c r="Q675">
        <f>IF(COUNTIFS('United Data'!$A$3:$A$3390,Q$1,'United Data'!$C$3:$C$3390,$A675,'United Data'!$B$3:$B$3390,"&lt;&gt;Off-street")&gt;0,1,0)</f>
        <v>1</v>
      </c>
      <c r="R675">
        <f>IF(COUNTIFS('United Data'!$A$3:$A$3390,R$1,'United Data'!$C$3:$C$3390,$A675,'United Data'!$B$3:$B$3390,"&lt;&gt;Off-street")&gt;0,1,0)</f>
        <v>0</v>
      </c>
      <c r="S675">
        <f t="shared" si="20"/>
        <v>5</v>
      </c>
      <c r="T675">
        <f t="shared" si="21"/>
        <v>4</v>
      </c>
    </row>
    <row r="676" spans="1:20" x14ac:dyDescent="0.2">
      <c r="A676" t="s">
        <v>803</v>
      </c>
      <c r="B676">
        <f>IF(COUNTIFS('United Data'!$A$3:$A$3390,B$1,'United Data'!$C$3:$C$3390,$A676,'United Data'!$B$3:$B$3390,"&lt;&gt;Off-street")&gt;0,1,0)</f>
        <v>0</v>
      </c>
      <c r="C676">
        <f>IF(COUNTIFS('United Data'!$A$3:$A$3390,C$1,'United Data'!$C$3:$C$3390,$A676,'United Data'!$B$3:$B$3390,"&lt;&gt;Off-street")&gt;0,1,0)</f>
        <v>0</v>
      </c>
      <c r="D676">
        <f>IF(COUNTIFS('United Data'!$A$3:$A$3390,D$1,'United Data'!$C$3:$C$3390,$A676,'United Data'!$B$3:$B$3390,"&lt;&gt;Off-street")&gt;0,1,0)</f>
        <v>0</v>
      </c>
      <c r="E676">
        <f>IF(COUNTIFS('United Data'!$A$3:$A$3390,E$1,'United Data'!$C$3:$C$3390,$A676,'United Data'!$B$3:$B$3390,"&lt;&gt;Off-street")&gt;0,1,0)</f>
        <v>0</v>
      </c>
      <c r="F676">
        <f>IF(COUNTIFS('United Data'!$A$3:$A$3390,F$1,'United Data'!$C$3:$C$3390,$A676,'United Data'!$B$3:$B$3390,"&lt;&gt;Off-street")&gt;0,1,0)</f>
        <v>0</v>
      </c>
      <c r="G676">
        <f>IF(COUNTIFS('United Data'!$A$3:$A$3390,G$1,'United Data'!$C$3:$C$3390,$A676,'United Data'!$B$3:$B$3390,"&lt;&gt;Off-street")&gt;0,1,0)</f>
        <v>0</v>
      </c>
      <c r="H676">
        <f>IF(COUNTIFS('United Data'!$A$3:$A$3390,H$1,'United Data'!$C$3:$C$3390,$A676,'United Data'!$B$3:$B$3390,"&lt;&gt;Off-street")&gt;0,1,0)</f>
        <v>1</v>
      </c>
      <c r="I676">
        <f>IF(COUNTIFS('United Data'!$A$3:$A$3390,I$1,'United Data'!$C$3:$C$3390,$A676,'United Data'!$B$3:$B$3390,"&lt;&gt;Off-street")&gt;0,1,0)</f>
        <v>0</v>
      </c>
      <c r="J676">
        <f>IF(COUNTIFS('United Data'!$A$3:$A$3390,J$1,'United Data'!$C$3:$C$3390,$A676,'United Data'!$B$3:$B$3390,"&lt;&gt;Off-street")&gt;0,1,0)</f>
        <v>0</v>
      </c>
      <c r="K676">
        <f>IF(COUNTIFS('United Data'!$A$3:$A$3390,K$1,'United Data'!$C$3:$C$3390,$A676,'United Data'!$B$3:$B$3390,"&lt;&gt;Off-street")&gt;0,1,0)</f>
        <v>0</v>
      </c>
      <c r="L676">
        <f>IF(COUNTIFS('United Data'!$A$3:$A$3390,L$1,'United Data'!$C$3:$C$3390,$A676,'United Data'!$B$3:$B$3390,"&lt;&gt;Off-street")&gt;0,1,0)</f>
        <v>1</v>
      </c>
      <c r="M676">
        <f>IF(COUNTIFS('United Data'!$A$3:$A$3390,M$1,'United Data'!$C$3:$C$3390,$A676,'United Data'!$B$3:$B$3390,"&lt;&gt;Off-street")&gt;0,1,0)</f>
        <v>0</v>
      </c>
      <c r="N676">
        <f>IF(COUNTIFS('United Data'!$A$3:$A$3390,N$1,'United Data'!$C$3:$C$3390,$A676,'United Data'!$B$3:$B$3390,"&lt;&gt;Off-street")&gt;0,1,0)</f>
        <v>0</v>
      </c>
      <c r="O676">
        <f>IF(COUNTIFS('United Data'!$A$3:$A$3390,O$1,'United Data'!$C$3:$C$3390,$A676,'United Data'!$B$3:$B$3390,"&lt;&gt;Off-street")&gt;0,1,0)</f>
        <v>0</v>
      </c>
      <c r="P676">
        <f>IF(COUNTIFS('United Data'!$A$3:$A$3390,P$1,'United Data'!$C$3:$C$3390,$A676,'United Data'!$B$3:$B$3390,"&lt;&gt;Off-street")&gt;0,1,0)</f>
        <v>0</v>
      </c>
      <c r="Q676">
        <f>IF(COUNTIFS('United Data'!$A$3:$A$3390,Q$1,'United Data'!$C$3:$C$3390,$A676,'United Data'!$B$3:$B$3390,"&lt;&gt;Off-street")&gt;0,1,0)</f>
        <v>0</v>
      </c>
      <c r="R676">
        <f>IF(COUNTIFS('United Data'!$A$3:$A$3390,R$1,'United Data'!$C$3:$C$3390,$A676,'United Data'!$B$3:$B$3390,"&lt;&gt;Off-street")&gt;0,1,0)</f>
        <v>0</v>
      </c>
      <c r="S676">
        <f t="shared" si="20"/>
        <v>2</v>
      </c>
      <c r="T676">
        <f t="shared" si="21"/>
        <v>2</v>
      </c>
    </row>
    <row r="677" spans="1:20" x14ac:dyDescent="0.2">
      <c r="A677" t="s">
        <v>804</v>
      </c>
      <c r="B677">
        <f>IF(COUNTIFS('United Data'!$A$3:$A$3390,B$1,'United Data'!$C$3:$C$3390,$A677,'United Data'!$B$3:$B$3390,"&lt;&gt;Off-street")&gt;0,1,0)</f>
        <v>0</v>
      </c>
      <c r="C677">
        <f>IF(COUNTIFS('United Data'!$A$3:$A$3390,C$1,'United Data'!$C$3:$C$3390,$A677,'United Data'!$B$3:$B$3390,"&lt;&gt;Off-street")&gt;0,1,0)</f>
        <v>0</v>
      </c>
      <c r="D677">
        <f>IF(COUNTIFS('United Data'!$A$3:$A$3390,D$1,'United Data'!$C$3:$C$3390,$A677,'United Data'!$B$3:$B$3390,"&lt;&gt;Off-street")&gt;0,1,0)</f>
        <v>0</v>
      </c>
      <c r="E677">
        <f>IF(COUNTIFS('United Data'!$A$3:$A$3390,E$1,'United Data'!$C$3:$C$3390,$A677,'United Data'!$B$3:$B$3390,"&lt;&gt;Off-street")&gt;0,1,0)</f>
        <v>0</v>
      </c>
      <c r="F677">
        <f>IF(COUNTIFS('United Data'!$A$3:$A$3390,F$1,'United Data'!$C$3:$C$3390,$A677,'United Data'!$B$3:$B$3390,"&lt;&gt;Off-street")&gt;0,1,0)</f>
        <v>0</v>
      </c>
      <c r="G677">
        <f>IF(COUNTIFS('United Data'!$A$3:$A$3390,G$1,'United Data'!$C$3:$C$3390,$A677,'United Data'!$B$3:$B$3390,"&lt;&gt;Off-street")&gt;0,1,0)</f>
        <v>0</v>
      </c>
      <c r="H677">
        <f>IF(COUNTIFS('United Data'!$A$3:$A$3390,H$1,'United Data'!$C$3:$C$3390,$A677,'United Data'!$B$3:$B$3390,"&lt;&gt;Off-street")&gt;0,1,0)</f>
        <v>1</v>
      </c>
      <c r="I677">
        <f>IF(COUNTIFS('United Data'!$A$3:$A$3390,I$1,'United Data'!$C$3:$C$3390,$A677,'United Data'!$B$3:$B$3390,"&lt;&gt;Off-street")&gt;0,1,0)</f>
        <v>0</v>
      </c>
      <c r="J677">
        <f>IF(COUNTIFS('United Data'!$A$3:$A$3390,J$1,'United Data'!$C$3:$C$3390,$A677,'United Data'!$B$3:$B$3390,"&lt;&gt;Off-street")&gt;0,1,0)</f>
        <v>0</v>
      </c>
      <c r="K677">
        <f>IF(COUNTIFS('United Data'!$A$3:$A$3390,K$1,'United Data'!$C$3:$C$3390,$A677,'United Data'!$B$3:$B$3390,"&lt;&gt;Off-street")&gt;0,1,0)</f>
        <v>0</v>
      </c>
      <c r="L677">
        <f>IF(COUNTIFS('United Data'!$A$3:$A$3390,L$1,'United Data'!$C$3:$C$3390,$A677,'United Data'!$B$3:$B$3390,"&lt;&gt;Off-street")&gt;0,1,0)</f>
        <v>0</v>
      </c>
      <c r="M677">
        <f>IF(COUNTIFS('United Data'!$A$3:$A$3390,M$1,'United Data'!$C$3:$C$3390,$A677,'United Data'!$B$3:$B$3390,"&lt;&gt;Off-street")&gt;0,1,0)</f>
        <v>0</v>
      </c>
      <c r="N677">
        <f>IF(COUNTIFS('United Data'!$A$3:$A$3390,N$1,'United Data'!$C$3:$C$3390,$A677,'United Data'!$B$3:$B$3390,"&lt;&gt;Off-street")&gt;0,1,0)</f>
        <v>0</v>
      </c>
      <c r="O677">
        <f>IF(COUNTIFS('United Data'!$A$3:$A$3390,O$1,'United Data'!$C$3:$C$3390,$A677,'United Data'!$B$3:$B$3390,"&lt;&gt;Off-street")&gt;0,1,0)</f>
        <v>0</v>
      </c>
      <c r="P677">
        <f>IF(COUNTIFS('United Data'!$A$3:$A$3390,P$1,'United Data'!$C$3:$C$3390,$A677,'United Data'!$B$3:$B$3390,"&lt;&gt;Off-street")&gt;0,1,0)</f>
        <v>0</v>
      </c>
      <c r="Q677">
        <f>IF(COUNTIFS('United Data'!$A$3:$A$3390,Q$1,'United Data'!$C$3:$C$3390,$A677,'United Data'!$B$3:$B$3390,"&lt;&gt;Off-street")&gt;0,1,0)</f>
        <v>0</v>
      </c>
      <c r="R677">
        <f>IF(COUNTIFS('United Data'!$A$3:$A$3390,R$1,'United Data'!$C$3:$C$3390,$A677,'United Data'!$B$3:$B$3390,"&lt;&gt;Off-street")&gt;0,1,0)</f>
        <v>0</v>
      </c>
      <c r="S677">
        <f t="shared" si="20"/>
        <v>1</v>
      </c>
      <c r="T677">
        <f t="shared" si="21"/>
        <v>1</v>
      </c>
    </row>
    <row r="678" spans="1:20" x14ac:dyDescent="0.2">
      <c r="A678" t="s">
        <v>805</v>
      </c>
      <c r="B678">
        <f>IF(COUNTIFS('United Data'!$A$3:$A$3390,B$1,'United Data'!$C$3:$C$3390,$A678,'United Data'!$B$3:$B$3390,"&lt;&gt;Off-street")&gt;0,1,0)</f>
        <v>0</v>
      </c>
      <c r="C678">
        <f>IF(COUNTIFS('United Data'!$A$3:$A$3390,C$1,'United Data'!$C$3:$C$3390,$A678,'United Data'!$B$3:$B$3390,"&lt;&gt;Off-street")&gt;0,1,0)</f>
        <v>0</v>
      </c>
      <c r="D678">
        <f>IF(COUNTIFS('United Data'!$A$3:$A$3390,D$1,'United Data'!$C$3:$C$3390,$A678,'United Data'!$B$3:$B$3390,"&lt;&gt;Off-street")&gt;0,1,0)</f>
        <v>0</v>
      </c>
      <c r="E678">
        <f>IF(COUNTIFS('United Data'!$A$3:$A$3390,E$1,'United Data'!$C$3:$C$3390,$A678,'United Data'!$B$3:$B$3390,"&lt;&gt;Off-street")&gt;0,1,0)</f>
        <v>0</v>
      </c>
      <c r="F678">
        <f>IF(COUNTIFS('United Data'!$A$3:$A$3390,F$1,'United Data'!$C$3:$C$3390,$A678,'United Data'!$B$3:$B$3390,"&lt;&gt;Off-street")&gt;0,1,0)</f>
        <v>0</v>
      </c>
      <c r="G678">
        <f>IF(COUNTIFS('United Data'!$A$3:$A$3390,G$1,'United Data'!$C$3:$C$3390,$A678,'United Data'!$B$3:$B$3390,"&lt;&gt;Off-street")&gt;0,1,0)</f>
        <v>0</v>
      </c>
      <c r="H678">
        <f>IF(COUNTIFS('United Data'!$A$3:$A$3390,H$1,'United Data'!$C$3:$C$3390,$A678,'United Data'!$B$3:$B$3390,"&lt;&gt;Off-street")&gt;0,1,0)</f>
        <v>0</v>
      </c>
      <c r="I678">
        <f>IF(COUNTIFS('United Data'!$A$3:$A$3390,I$1,'United Data'!$C$3:$C$3390,$A678,'United Data'!$B$3:$B$3390,"&lt;&gt;Off-street")&gt;0,1,0)</f>
        <v>1</v>
      </c>
      <c r="J678">
        <f>IF(COUNTIFS('United Data'!$A$3:$A$3390,J$1,'United Data'!$C$3:$C$3390,$A678,'United Data'!$B$3:$B$3390,"&lt;&gt;Off-street")&gt;0,1,0)</f>
        <v>0</v>
      </c>
      <c r="K678">
        <f>IF(COUNTIFS('United Data'!$A$3:$A$3390,K$1,'United Data'!$C$3:$C$3390,$A678,'United Data'!$B$3:$B$3390,"&lt;&gt;Off-street")&gt;0,1,0)</f>
        <v>0</v>
      </c>
      <c r="L678">
        <f>IF(COUNTIFS('United Data'!$A$3:$A$3390,L$1,'United Data'!$C$3:$C$3390,$A678,'United Data'!$B$3:$B$3390,"&lt;&gt;Off-street")&gt;0,1,0)</f>
        <v>0</v>
      </c>
      <c r="M678">
        <f>IF(COUNTIFS('United Data'!$A$3:$A$3390,M$1,'United Data'!$C$3:$C$3390,$A678,'United Data'!$B$3:$B$3390,"&lt;&gt;Off-street")&gt;0,1,0)</f>
        <v>0</v>
      </c>
      <c r="N678">
        <f>IF(COUNTIFS('United Data'!$A$3:$A$3390,N$1,'United Data'!$C$3:$C$3390,$A678,'United Data'!$B$3:$B$3390,"&lt;&gt;Off-street")&gt;0,1,0)</f>
        <v>0</v>
      </c>
      <c r="O678">
        <f>IF(COUNTIFS('United Data'!$A$3:$A$3390,O$1,'United Data'!$C$3:$C$3390,$A678,'United Data'!$B$3:$B$3390,"&lt;&gt;Off-street")&gt;0,1,0)</f>
        <v>0</v>
      </c>
      <c r="P678">
        <f>IF(COUNTIFS('United Data'!$A$3:$A$3390,P$1,'United Data'!$C$3:$C$3390,$A678,'United Data'!$B$3:$B$3390,"&lt;&gt;Off-street")&gt;0,1,0)</f>
        <v>0</v>
      </c>
      <c r="Q678">
        <f>IF(COUNTIFS('United Data'!$A$3:$A$3390,Q$1,'United Data'!$C$3:$C$3390,$A678,'United Data'!$B$3:$B$3390,"&lt;&gt;Off-street")&gt;0,1,0)</f>
        <v>0</v>
      </c>
      <c r="R678">
        <f>IF(COUNTIFS('United Data'!$A$3:$A$3390,R$1,'United Data'!$C$3:$C$3390,$A678,'United Data'!$B$3:$B$3390,"&lt;&gt;Off-street")&gt;0,1,0)</f>
        <v>0</v>
      </c>
      <c r="S678">
        <f t="shared" si="20"/>
        <v>1</v>
      </c>
      <c r="T678">
        <f t="shared" si="21"/>
        <v>1</v>
      </c>
    </row>
    <row r="679" spans="1:20" x14ac:dyDescent="0.2">
      <c r="A679" t="s">
        <v>806</v>
      </c>
      <c r="B679">
        <f>IF(COUNTIFS('United Data'!$A$3:$A$3390,B$1,'United Data'!$C$3:$C$3390,$A679,'United Data'!$B$3:$B$3390,"&lt;&gt;Off-street")&gt;0,1,0)</f>
        <v>0</v>
      </c>
      <c r="C679">
        <f>IF(COUNTIFS('United Data'!$A$3:$A$3390,C$1,'United Data'!$C$3:$C$3390,$A679,'United Data'!$B$3:$B$3390,"&lt;&gt;Off-street")&gt;0,1,0)</f>
        <v>0</v>
      </c>
      <c r="D679">
        <f>IF(COUNTIFS('United Data'!$A$3:$A$3390,D$1,'United Data'!$C$3:$C$3390,$A679,'United Data'!$B$3:$B$3390,"&lt;&gt;Off-street")&gt;0,1,0)</f>
        <v>0</v>
      </c>
      <c r="E679">
        <f>IF(COUNTIFS('United Data'!$A$3:$A$3390,E$1,'United Data'!$C$3:$C$3390,$A679,'United Data'!$B$3:$B$3390,"&lt;&gt;Off-street")&gt;0,1,0)</f>
        <v>0</v>
      </c>
      <c r="F679">
        <f>IF(COUNTIFS('United Data'!$A$3:$A$3390,F$1,'United Data'!$C$3:$C$3390,$A679,'United Data'!$B$3:$B$3390,"&lt;&gt;Off-street")&gt;0,1,0)</f>
        <v>0</v>
      </c>
      <c r="G679">
        <f>IF(COUNTIFS('United Data'!$A$3:$A$3390,G$1,'United Data'!$C$3:$C$3390,$A679,'United Data'!$B$3:$B$3390,"&lt;&gt;Off-street")&gt;0,1,0)</f>
        <v>0</v>
      </c>
      <c r="H679">
        <f>IF(COUNTIFS('United Data'!$A$3:$A$3390,H$1,'United Data'!$C$3:$C$3390,$A679,'United Data'!$B$3:$B$3390,"&lt;&gt;Off-street")&gt;0,1,0)</f>
        <v>0</v>
      </c>
      <c r="I679">
        <f>IF(COUNTIFS('United Data'!$A$3:$A$3390,I$1,'United Data'!$C$3:$C$3390,$A679,'United Data'!$B$3:$B$3390,"&lt;&gt;Off-street")&gt;0,1,0)</f>
        <v>0</v>
      </c>
      <c r="J679">
        <f>IF(COUNTIFS('United Data'!$A$3:$A$3390,J$1,'United Data'!$C$3:$C$3390,$A679,'United Data'!$B$3:$B$3390,"&lt;&gt;Off-street")&gt;0,1,0)</f>
        <v>1</v>
      </c>
      <c r="K679">
        <f>IF(COUNTIFS('United Data'!$A$3:$A$3390,K$1,'United Data'!$C$3:$C$3390,$A679,'United Data'!$B$3:$B$3390,"&lt;&gt;Off-street")&gt;0,1,0)</f>
        <v>0</v>
      </c>
      <c r="L679">
        <f>IF(COUNTIFS('United Data'!$A$3:$A$3390,L$1,'United Data'!$C$3:$C$3390,$A679,'United Data'!$B$3:$B$3390,"&lt;&gt;Off-street")&gt;0,1,0)</f>
        <v>0</v>
      </c>
      <c r="M679">
        <f>IF(COUNTIFS('United Data'!$A$3:$A$3390,M$1,'United Data'!$C$3:$C$3390,$A679,'United Data'!$B$3:$B$3390,"&lt;&gt;Off-street")&gt;0,1,0)</f>
        <v>1</v>
      </c>
      <c r="N679">
        <f>IF(COUNTIFS('United Data'!$A$3:$A$3390,N$1,'United Data'!$C$3:$C$3390,$A679,'United Data'!$B$3:$B$3390,"&lt;&gt;Off-street")&gt;0,1,0)</f>
        <v>0</v>
      </c>
      <c r="O679">
        <f>IF(COUNTIFS('United Data'!$A$3:$A$3390,O$1,'United Data'!$C$3:$C$3390,$A679,'United Data'!$B$3:$B$3390,"&lt;&gt;Off-street")&gt;0,1,0)</f>
        <v>0</v>
      </c>
      <c r="P679">
        <f>IF(COUNTIFS('United Data'!$A$3:$A$3390,P$1,'United Data'!$C$3:$C$3390,$A679,'United Data'!$B$3:$B$3390,"&lt;&gt;Off-street")&gt;0,1,0)</f>
        <v>0</v>
      </c>
      <c r="Q679">
        <f>IF(COUNTIFS('United Data'!$A$3:$A$3390,Q$1,'United Data'!$C$3:$C$3390,$A679,'United Data'!$B$3:$B$3390,"&lt;&gt;Off-street")&gt;0,1,0)</f>
        <v>0</v>
      </c>
      <c r="R679">
        <f>IF(COUNTIFS('United Data'!$A$3:$A$3390,R$1,'United Data'!$C$3:$C$3390,$A679,'United Data'!$B$3:$B$3390,"&lt;&gt;Off-street")&gt;0,1,0)</f>
        <v>0</v>
      </c>
      <c r="S679">
        <f t="shared" si="20"/>
        <v>2</v>
      </c>
      <c r="T679">
        <f t="shared" si="21"/>
        <v>2</v>
      </c>
    </row>
    <row r="680" spans="1:20" x14ac:dyDescent="0.2">
      <c r="A680" t="s">
        <v>807</v>
      </c>
      <c r="B680">
        <f>IF(COUNTIFS('United Data'!$A$3:$A$3390,B$1,'United Data'!$C$3:$C$3390,$A680,'United Data'!$B$3:$B$3390,"&lt;&gt;Off-street")&gt;0,1,0)</f>
        <v>0</v>
      </c>
      <c r="C680">
        <f>IF(COUNTIFS('United Data'!$A$3:$A$3390,C$1,'United Data'!$C$3:$C$3390,$A680,'United Data'!$B$3:$B$3390,"&lt;&gt;Off-street")&gt;0,1,0)</f>
        <v>0</v>
      </c>
      <c r="D680">
        <f>IF(COUNTIFS('United Data'!$A$3:$A$3390,D$1,'United Data'!$C$3:$C$3390,$A680,'United Data'!$B$3:$B$3390,"&lt;&gt;Off-street")&gt;0,1,0)</f>
        <v>0</v>
      </c>
      <c r="E680">
        <f>IF(COUNTIFS('United Data'!$A$3:$A$3390,E$1,'United Data'!$C$3:$C$3390,$A680,'United Data'!$B$3:$B$3390,"&lt;&gt;Off-street")&gt;0,1,0)</f>
        <v>0</v>
      </c>
      <c r="F680">
        <f>IF(COUNTIFS('United Data'!$A$3:$A$3390,F$1,'United Data'!$C$3:$C$3390,$A680,'United Data'!$B$3:$B$3390,"&lt;&gt;Off-street")&gt;0,1,0)</f>
        <v>0</v>
      </c>
      <c r="G680">
        <f>IF(COUNTIFS('United Data'!$A$3:$A$3390,G$1,'United Data'!$C$3:$C$3390,$A680,'United Data'!$B$3:$B$3390,"&lt;&gt;Off-street")&gt;0,1,0)</f>
        <v>0</v>
      </c>
      <c r="H680">
        <f>IF(COUNTIFS('United Data'!$A$3:$A$3390,H$1,'United Data'!$C$3:$C$3390,$A680,'United Data'!$B$3:$B$3390,"&lt;&gt;Off-street")&gt;0,1,0)</f>
        <v>0</v>
      </c>
      <c r="I680">
        <f>IF(COUNTIFS('United Data'!$A$3:$A$3390,I$1,'United Data'!$C$3:$C$3390,$A680,'United Data'!$B$3:$B$3390,"&lt;&gt;Off-street")&gt;0,1,0)</f>
        <v>0</v>
      </c>
      <c r="J680">
        <f>IF(COUNTIFS('United Data'!$A$3:$A$3390,J$1,'United Data'!$C$3:$C$3390,$A680,'United Data'!$B$3:$B$3390,"&lt;&gt;Off-street")&gt;0,1,0)</f>
        <v>1</v>
      </c>
      <c r="K680">
        <f>IF(COUNTIFS('United Data'!$A$3:$A$3390,K$1,'United Data'!$C$3:$C$3390,$A680,'United Data'!$B$3:$B$3390,"&lt;&gt;Off-street")&gt;0,1,0)</f>
        <v>0</v>
      </c>
      <c r="L680">
        <f>IF(COUNTIFS('United Data'!$A$3:$A$3390,L$1,'United Data'!$C$3:$C$3390,$A680,'United Data'!$B$3:$B$3390,"&lt;&gt;Off-street")&gt;0,1,0)</f>
        <v>0</v>
      </c>
      <c r="M680">
        <f>IF(COUNTIFS('United Data'!$A$3:$A$3390,M$1,'United Data'!$C$3:$C$3390,$A680,'United Data'!$B$3:$B$3390,"&lt;&gt;Off-street")&gt;0,1,0)</f>
        <v>1</v>
      </c>
      <c r="N680">
        <f>IF(COUNTIFS('United Data'!$A$3:$A$3390,N$1,'United Data'!$C$3:$C$3390,$A680,'United Data'!$B$3:$B$3390,"&lt;&gt;Off-street")&gt;0,1,0)</f>
        <v>0</v>
      </c>
      <c r="O680">
        <f>IF(COUNTIFS('United Data'!$A$3:$A$3390,O$1,'United Data'!$C$3:$C$3390,$A680,'United Data'!$B$3:$B$3390,"&lt;&gt;Off-street")&gt;0,1,0)</f>
        <v>0</v>
      </c>
      <c r="P680">
        <f>IF(COUNTIFS('United Data'!$A$3:$A$3390,P$1,'United Data'!$C$3:$C$3390,$A680,'United Data'!$B$3:$B$3390,"&lt;&gt;Off-street")&gt;0,1,0)</f>
        <v>0</v>
      </c>
      <c r="Q680">
        <f>IF(COUNTIFS('United Data'!$A$3:$A$3390,Q$1,'United Data'!$C$3:$C$3390,$A680,'United Data'!$B$3:$B$3390,"&lt;&gt;Off-street")&gt;0,1,0)</f>
        <v>0</v>
      </c>
      <c r="R680">
        <f>IF(COUNTIFS('United Data'!$A$3:$A$3390,R$1,'United Data'!$C$3:$C$3390,$A680,'United Data'!$B$3:$B$3390,"&lt;&gt;Off-street")&gt;0,1,0)</f>
        <v>0</v>
      </c>
      <c r="S680">
        <f t="shared" si="20"/>
        <v>2</v>
      </c>
      <c r="T680">
        <f t="shared" si="21"/>
        <v>2</v>
      </c>
    </row>
    <row r="681" spans="1:20" x14ac:dyDescent="0.2">
      <c r="A681" t="s">
        <v>808</v>
      </c>
      <c r="B681">
        <f>IF(COUNTIFS('United Data'!$A$3:$A$3390,B$1,'United Data'!$C$3:$C$3390,$A681,'United Data'!$B$3:$B$3390,"&lt;&gt;Off-street")&gt;0,1,0)</f>
        <v>0</v>
      </c>
      <c r="C681">
        <f>IF(COUNTIFS('United Data'!$A$3:$A$3390,C$1,'United Data'!$C$3:$C$3390,$A681,'United Data'!$B$3:$B$3390,"&lt;&gt;Off-street")&gt;0,1,0)</f>
        <v>0</v>
      </c>
      <c r="D681">
        <f>IF(COUNTIFS('United Data'!$A$3:$A$3390,D$1,'United Data'!$C$3:$C$3390,$A681,'United Data'!$B$3:$B$3390,"&lt;&gt;Off-street")&gt;0,1,0)</f>
        <v>0</v>
      </c>
      <c r="E681">
        <f>IF(COUNTIFS('United Data'!$A$3:$A$3390,E$1,'United Data'!$C$3:$C$3390,$A681,'United Data'!$B$3:$B$3390,"&lt;&gt;Off-street")&gt;0,1,0)</f>
        <v>0</v>
      </c>
      <c r="F681">
        <f>IF(COUNTIFS('United Data'!$A$3:$A$3390,F$1,'United Data'!$C$3:$C$3390,$A681,'United Data'!$B$3:$B$3390,"&lt;&gt;Off-street")&gt;0,1,0)</f>
        <v>0</v>
      </c>
      <c r="G681">
        <f>IF(COUNTIFS('United Data'!$A$3:$A$3390,G$1,'United Data'!$C$3:$C$3390,$A681,'United Data'!$B$3:$B$3390,"&lt;&gt;Off-street")&gt;0,1,0)</f>
        <v>0</v>
      </c>
      <c r="H681">
        <f>IF(COUNTIFS('United Data'!$A$3:$A$3390,H$1,'United Data'!$C$3:$C$3390,$A681,'United Data'!$B$3:$B$3390,"&lt;&gt;Off-street")&gt;0,1,0)</f>
        <v>0</v>
      </c>
      <c r="I681">
        <f>IF(COUNTIFS('United Data'!$A$3:$A$3390,I$1,'United Data'!$C$3:$C$3390,$A681,'United Data'!$B$3:$B$3390,"&lt;&gt;Off-street")&gt;0,1,0)</f>
        <v>0</v>
      </c>
      <c r="J681">
        <f>IF(COUNTIFS('United Data'!$A$3:$A$3390,J$1,'United Data'!$C$3:$C$3390,$A681,'United Data'!$B$3:$B$3390,"&lt;&gt;Off-street")&gt;0,1,0)</f>
        <v>0</v>
      </c>
      <c r="K681">
        <f>IF(COUNTIFS('United Data'!$A$3:$A$3390,K$1,'United Data'!$C$3:$C$3390,$A681,'United Data'!$B$3:$B$3390,"&lt;&gt;Off-street")&gt;0,1,0)</f>
        <v>1</v>
      </c>
      <c r="L681">
        <f>IF(COUNTIFS('United Data'!$A$3:$A$3390,L$1,'United Data'!$C$3:$C$3390,$A681,'United Data'!$B$3:$B$3390,"&lt;&gt;Off-street")&gt;0,1,0)</f>
        <v>1</v>
      </c>
      <c r="M681">
        <f>IF(COUNTIFS('United Data'!$A$3:$A$3390,M$1,'United Data'!$C$3:$C$3390,$A681,'United Data'!$B$3:$B$3390,"&lt;&gt;Off-street")&gt;0,1,0)</f>
        <v>0</v>
      </c>
      <c r="N681">
        <f>IF(COUNTIFS('United Data'!$A$3:$A$3390,N$1,'United Data'!$C$3:$C$3390,$A681,'United Data'!$B$3:$B$3390,"&lt;&gt;Off-street")&gt;0,1,0)</f>
        <v>0</v>
      </c>
      <c r="O681">
        <f>IF(COUNTIFS('United Data'!$A$3:$A$3390,O$1,'United Data'!$C$3:$C$3390,$A681,'United Data'!$B$3:$B$3390,"&lt;&gt;Off-street")&gt;0,1,0)</f>
        <v>0</v>
      </c>
      <c r="P681">
        <f>IF(COUNTIFS('United Data'!$A$3:$A$3390,P$1,'United Data'!$C$3:$C$3390,$A681,'United Data'!$B$3:$B$3390,"&lt;&gt;Off-street")&gt;0,1,0)</f>
        <v>0</v>
      </c>
      <c r="Q681">
        <f>IF(COUNTIFS('United Data'!$A$3:$A$3390,Q$1,'United Data'!$C$3:$C$3390,$A681,'United Data'!$B$3:$B$3390,"&lt;&gt;Off-street")&gt;0,1,0)</f>
        <v>0</v>
      </c>
      <c r="R681">
        <f>IF(COUNTIFS('United Data'!$A$3:$A$3390,R$1,'United Data'!$C$3:$C$3390,$A681,'United Data'!$B$3:$B$3390,"&lt;&gt;Off-street")&gt;0,1,0)</f>
        <v>0</v>
      </c>
      <c r="S681">
        <f t="shared" si="20"/>
        <v>2</v>
      </c>
      <c r="T681">
        <f t="shared" si="21"/>
        <v>1</v>
      </c>
    </row>
    <row r="682" spans="1:20" x14ac:dyDescent="0.2">
      <c r="A682" t="s">
        <v>809</v>
      </c>
      <c r="B682">
        <f>IF(COUNTIFS('United Data'!$A$3:$A$3390,B$1,'United Data'!$C$3:$C$3390,$A682,'United Data'!$B$3:$B$3390,"&lt;&gt;Off-street")&gt;0,1,0)</f>
        <v>0</v>
      </c>
      <c r="C682">
        <f>IF(COUNTIFS('United Data'!$A$3:$A$3390,C$1,'United Data'!$C$3:$C$3390,$A682,'United Data'!$B$3:$B$3390,"&lt;&gt;Off-street")&gt;0,1,0)</f>
        <v>0</v>
      </c>
      <c r="D682">
        <f>IF(COUNTIFS('United Data'!$A$3:$A$3390,D$1,'United Data'!$C$3:$C$3390,$A682,'United Data'!$B$3:$B$3390,"&lt;&gt;Off-street")&gt;0,1,0)</f>
        <v>0</v>
      </c>
      <c r="E682">
        <f>IF(COUNTIFS('United Data'!$A$3:$A$3390,E$1,'United Data'!$C$3:$C$3390,$A682,'United Data'!$B$3:$B$3390,"&lt;&gt;Off-street")&gt;0,1,0)</f>
        <v>0</v>
      </c>
      <c r="F682">
        <f>IF(COUNTIFS('United Data'!$A$3:$A$3390,F$1,'United Data'!$C$3:$C$3390,$A682,'United Data'!$B$3:$B$3390,"&lt;&gt;Off-street")&gt;0,1,0)</f>
        <v>0</v>
      </c>
      <c r="G682">
        <f>IF(COUNTIFS('United Data'!$A$3:$A$3390,G$1,'United Data'!$C$3:$C$3390,$A682,'United Data'!$B$3:$B$3390,"&lt;&gt;Off-street")&gt;0,1,0)</f>
        <v>0</v>
      </c>
      <c r="H682">
        <f>IF(COUNTIFS('United Data'!$A$3:$A$3390,H$1,'United Data'!$C$3:$C$3390,$A682,'United Data'!$B$3:$B$3390,"&lt;&gt;Off-street")&gt;0,1,0)</f>
        <v>0</v>
      </c>
      <c r="I682">
        <f>IF(COUNTIFS('United Data'!$A$3:$A$3390,I$1,'United Data'!$C$3:$C$3390,$A682,'United Data'!$B$3:$B$3390,"&lt;&gt;Off-street")&gt;0,1,0)</f>
        <v>0</v>
      </c>
      <c r="J682">
        <f>IF(COUNTIFS('United Data'!$A$3:$A$3390,J$1,'United Data'!$C$3:$C$3390,$A682,'United Data'!$B$3:$B$3390,"&lt;&gt;Off-street")&gt;0,1,0)</f>
        <v>0</v>
      </c>
      <c r="K682">
        <f>IF(COUNTIFS('United Data'!$A$3:$A$3390,K$1,'United Data'!$C$3:$C$3390,$A682,'United Data'!$B$3:$B$3390,"&lt;&gt;Off-street")&gt;0,1,0)</f>
        <v>0</v>
      </c>
      <c r="L682">
        <f>IF(COUNTIFS('United Data'!$A$3:$A$3390,L$1,'United Data'!$C$3:$C$3390,$A682,'United Data'!$B$3:$B$3390,"&lt;&gt;Off-street")&gt;0,1,0)</f>
        <v>1</v>
      </c>
      <c r="M682">
        <f>IF(COUNTIFS('United Data'!$A$3:$A$3390,M$1,'United Data'!$C$3:$C$3390,$A682,'United Data'!$B$3:$B$3390,"&lt;&gt;Off-street")&gt;0,1,0)</f>
        <v>0</v>
      </c>
      <c r="N682">
        <f>IF(COUNTIFS('United Data'!$A$3:$A$3390,N$1,'United Data'!$C$3:$C$3390,$A682,'United Data'!$B$3:$B$3390,"&lt;&gt;Off-street")&gt;0,1,0)</f>
        <v>0</v>
      </c>
      <c r="O682">
        <f>IF(COUNTIFS('United Data'!$A$3:$A$3390,O$1,'United Data'!$C$3:$C$3390,$A682,'United Data'!$B$3:$B$3390,"&lt;&gt;Off-street")&gt;0,1,0)</f>
        <v>0</v>
      </c>
      <c r="P682">
        <f>IF(COUNTIFS('United Data'!$A$3:$A$3390,P$1,'United Data'!$C$3:$C$3390,$A682,'United Data'!$B$3:$B$3390,"&lt;&gt;Off-street")&gt;0,1,0)</f>
        <v>0</v>
      </c>
      <c r="Q682">
        <f>IF(COUNTIFS('United Data'!$A$3:$A$3390,Q$1,'United Data'!$C$3:$C$3390,$A682,'United Data'!$B$3:$B$3390,"&lt;&gt;Off-street")&gt;0,1,0)</f>
        <v>0</v>
      </c>
      <c r="R682">
        <f>IF(COUNTIFS('United Data'!$A$3:$A$3390,R$1,'United Data'!$C$3:$C$3390,$A682,'United Data'!$B$3:$B$3390,"&lt;&gt;Off-street")&gt;0,1,0)</f>
        <v>0</v>
      </c>
      <c r="S682">
        <f t="shared" si="20"/>
        <v>1</v>
      </c>
      <c r="T682">
        <f t="shared" si="21"/>
        <v>1</v>
      </c>
    </row>
    <row r="683" spans="1:20" x14ac:dyDescent="0.2">
      <c r="A683" t="s">
        <v>810</v>
      </c>
      <c r="B683">
        <f>IF(COUNTIFS('United Data'!$A$3:$A$3390,B$1,'United Data'!$C$3:$C$3390,$A683,'United Data'!$B$3:$B$3390,"&lt;&gt;Off-street")&gt;0,1,0)</f>
        <v>0</v>
      </c>
      <c r="C683">
        <f>IF(COUNTIFS('United Data'!$A$3:$A$3390,C$1,'United Data'!$C$3:$C$3390,$A683,'United Data'!$B$3:$B$3390,"&lt;&gt;Off-street")&gt;0,1,0)</f>
        <v>0</v>
      </c>
      <c r="D683">
        <f>IF(COUNTIFS('United Data'!$A$3:$A$3390,D$1,'United Data'!$C$3:$C$3390,$A683,'United Data'!$B$3:$B$3390,"&lt;&gt;Off-street")&gt;0,1,0)</f>
        <v>0</v>
      </c>
      <c r="E683">
        <f>IF(COUNTIFS('United Data'!$A$3:$A$3390,E$1,'United Data'!$C$3:$C$3390,$A683,'United Data'!$B$3:$B$3390,"&lt;&gt;Off-street")&gt;0,1,0)</f>
        <v>0</v>
      </c>
      <c r="F683">
        <f>IF(COUNTIFS('United Data'!$A$3:$A$3390,F$1,'United Data'!$C$3:$C$3390,$A683,'United Data'!$B$3:$B$3390,"&lt;&gt;Off-street")&gt;0,1,0)</f>
        <v>0</v>
      </c>
      <c r="G683">
        <f>IF(COUNTIFS('United Data'!$A$3:$A$3390,G$1,'United Data'!$C$3:$C$3390,$A683,'United Data'!$B$3:$B$3390,"&lt;&gt;Off-street")&gt;0,1,0)</f>
        <v>0</v>
      </c>
      <c r="H683">
        <f>IF(COUNTIFS('United Data'!$A$3:$A$3390,H$1,'United Data'!$C$3:$C$3390,$A683,'United Data'!$B$3:$B$3390,"&lt;&gt;Off-street")&gt;0,1,0)</f>
        <v>0</v>
      </c>
      <c r="I683">
        <f>IF(COUNTIFS('United Data'!$A$3:$A$3390,I$1,'United Data'!$C$3:$C$3390,$A683,'United Data'!$B$3:$B$3390,"&lt;&gt;Off-street")&gt;0,1,0)</f>
        <v>0</v>
      </c>
      <c r="J683">
        <f>IF(COUNTIFS('United Data'!$A$3:$A$3390,J$1,'United Data'!$C$3:$C$3390,$A683,'United Data'!$B$3:$B$3390,"&lt;&gt;Off-street")&gt;0,1,0)</f>
        <v>0</v>
      </c>
      <c r="K683">
        <f>IF(COUNTIFS('United Data'!$A$3:$A$3390,K$1,'United Data'!$C$3:$C$3390,$A683,'United Data'!$B$3:$B$3390,"&lt;&gt;Off-street")&gt;0,1,0)</f>
        <v>0</v>
      </c>
      <c r="L683">
        <f>IF(COUNTIFS('United Data'!$A$3:$A$3390,L$1,'United Data'!$C$3:$C$3390,$A683,'United Data'!$B$3:$B$3390,"&lt;&gt;Off-street")&gt;0,1,0)</f>
        <v>1</v>
      </c>
      <c r="M683">
        <f>IF(COUNTIFS('United Data'!$A$3:$A$3390,M$1,'United Data'!$C$3:$C$3390,$A683,'United Data'!$B$3:$B$3390,"&lt;&gt;Off-street")&gt;0,1,0)</f>
        <v>0</v>
      </c>
      <c r="N683">
        <f>IF(COUNTIFS('United Data'!$A$3:$A$3390,N$1,'United Data'!$C$3:$C$3390,$A683,'United Data'!$B$3:$B$3390,"&lt;&gt;Off-street")&gt;0,1,0)</f>
        <v>1</v>
      </c>
      <c r="O683">
        <f>IF(COUNTIFS('United Data'!$A$3:$A$3390,O$1,'United Data'!$C$3:$C$3390,$A683,'United Data'!$B$3:$B$3390,"&lt;&gt;Off-street")&gt;0,1,0)</f>
        <v>0</v>
      </c>
      <c r="P683">
        <f>IF(COUNTIFS('United Data'!$A$3:$A$3390,P$1,'United Data'!$C$3:$C$3390,$A683,'United Data'!$B$3:$B$3390,"&lt;&gt;Off-street")&gt;0,1,0)</f>
        <v>0</v>
      </c>
      <c r="Q683">
        <f>IF(COUNTIFS('United Data'!$A$3:$A$3390,Q$1,'United Data'!$C$3:$C$3390,$A683,'United Data'!$B$3:$B$3390,"&lt;&gt;Off-street")&gt;0,1,0)</f>
        <v>0</v>
      </c>
      <c r="R683">
        <f>IF(COUNTIFS('United Data'!$A$3:$A$3390,R$1,'United Data'!$C$3:$C$3390,$A683,'United Data'!$B$3:$B$3390,"&lt;&gt;Off-street")&gt;0,1,0)</f>
        <v>0</v>
      </c>
      <c r="S683">
        <f t="shared" si="20"/>
        <v>2</v>
      </c>
      <c r="T683">
        <f t="shared" si="21"/>
        <v>2</v>
      </c>
    </row>
    <row r="684" spans="1:20" x14ac:dyDescent="0.2">
      <c r="A684" t="s">
        <v>811</v>
      </c>
      <c r="B684">
        <f>IF(COUNTIFS('United Data'!$A$3:$A$3390,B$1,'United Data'!$C$3:$C$3390,$A684,'United Data'!$B$3:$B$3390,"&lt;&gt;Off-street")&gt;0,1,0)</f>
        <v>0</v>
      </c>
      <c r="C684">
        <f>IF(COUNTIFS('United Data'!$A$3:$A$3390,C$1,'United Data'!$C$3:$C$3390,$A684,'United Data'!$B$3:$B$3390,"&lt;&gt;Off-street")&gt;0,1,0)</f>
        <v>0</v>
      </c>
      <c r="D684">
        <f>IF(COUNTIFS('United Data'!$A$3:$A$3390,D$1,'United Data'!$C$3:$C$3390,$A684,'United Data'!$B$3:$B$3390,"&lt;&gt;Off-street")&gt;0,1,0)</f>
        <v>0</v>
      </c>
      <c r="E684">
        <f>IF(COUNTIFS('United Data'!$A$3:$A$3390,E$1,'United Data'!$C$3:$C$3390,$A684,'United Data'!$B$3:$B$3390,"&lt;&gt;Off-street")&gt;0,1,0)</f>
        <v>0</v>
      </c>
      <c r="F684">
        <f>IF(COUNTIFS('United Data'!$A$3:$A$3390,F$1,'United Data'!$C$3:$C$3390,$A684,'United Data'!$B$3:$B$3390,"&lt;&gt;Off-street")&gt;0,1,0)</f>
        <v>0</v>
      </c>
      <c r="G684">
        <f>IF(COUNTIFS('United Data'!$A$3:$A$3390,G$1,'United Data'!$C$3:$C$3390,$A684,'United Data'!$B$3:$B$3390,"&lt;&gt;Off-street")&gt;0,1,0)</f>
        <v>0</v>
      </c>
      <c r="H684">
        <f>IF(COUNTIFS('United Data'!$A$3:$A$3390,H$1,'United Data'!$C$3:$C$3390,$A684,'United Data'!$B$3:$B$3390,"&lt;&gt;Off-street")&gt;0,1,0)</f>
        <v>0</v>
      </c>
      <c r="I684">
        <f>IF(COUNTIFS('United Data'!$A$3:$A$3390,I$1,'United Data'!$C$3:$C$3390,$A684,'United Data'!$B$3:$B$3390,"&lt;&gt;Off-street")&gt;0,1,0)</f>
        <v>0</v>
      </c>
      <c r="J684">
        <f>IF(COUNTIFS('United Data'!$A$3:$A$3390,J$1,'United Data'!$C$3:$C$3390,$A684,'United Data'!$B$3:$B$3390,"&lt;&gt;Off-street")&gt;0,1,0)</f>
        <v>0</v>
      </c>
      <c r="K684">
        <f>IF(COUNTIFS('United Data'!$A$3:$A$3390,K$1,'United Data'!$C$3:$C$3390,$A684,'United Data'!$B$3:$B$3390,"&lt;&gt;Off-street")&gt;0,1,0)</f>
        <v>0</v>
      </c>
      <c r="L684">
        <f>IF(COUNTIFS('United Data'!$A$3:$A$3390,L$1,'United Data'!$C$3:$C$3390,$A684,'United Data'!$B$3:$B$3390,"&lt;&gt;Off-street")&gt;0,1,0)</f>
        <v>1</v>
      </c>
      <c r="M684">
        <f>IF(COUNTIFS('United Data'!$A$3:$A$3390,M$1,'United Data'!$C$3:$C$3390,$A684,'United Data'!$B$3:$B$3390,"&lt;&gt;Off-street")&gt;0,1,0)</f>
        <v>0</v>
      </c>
      <c r="N684">
        <f>IF(COUNTIFS('United Data'!$A$3:$A$3390,N$1,'United Data'!$C$3:$C$3390,$A684,'United Data'!$B$3:$B$3390,"&lt;&gt;Off-street")&gt;0,1,0)</f>
        <v>0</v>
      </c>
      <c r="O684">
        <f>IF(COUNTIFS('United Data'!$A$3:$A$3390,O$1,'United Data'!$C$3:$C$3390,$A684,'United Data'!$B$3:$B$3390,"&lt;&gt;Off-street")&gt;0,1,0)</f>
        <v>0</v>
      </c>
      <c r="P684">
        <f>IF(COUNTIFS('United Data'!$A$3:$A$3390,P$1,'United Data'!$C$3:$C$3390,$A684,'United Data'!$B$3:$B$3390,"&lt;&gt;Off-street")&gt;0,1,0)</f>
        <v>0</v>
      </c>
      <c r="Q684">
        <f>IF(COUNTIFS('United Data'!$A$3:$A$3390,Q$1,'United Data'!$C$3:$C$3390,$A684,'United Data'!$B$3:$B$3390,"&lt;&gt;Off-street")&gt;0,1,0)</f>
        <v>0</v>
      </c>
      <c r="R684">
        <f>IF(COUNTIFS('United Data'!$A$3:$A$3390,R$1,'United Data'!$C$3:$C$3390,$A684,'United Data'!$B$3:$B$3390,"&lt;&gt;Off-street")&gt;0,1,0)</f>
        <v>0</v>
      </c>
      <c r="S684">
        <f t="shared" si="20"/>
        <v>1</v>
      </c>
      <c r="T684">
        <f t="shared" si="21"/>
        <v>1</v>
      </c>
    </row>
    <row r="685" spans="1:20" x14ac:dyDescent="0.2">
      <c r="A685" t="s">
        <v>812</v>
      </c>
      <c r="B685">
        <f>IF(COUNTIFS('United Data'!$A$3:$A$3390,B$1,'United Data'!$C$3:$C$3390,$A685,'United Data'!$B$3:$B$3390,"&lt;&gt;Off-street")&gt;0,1,0)</f>
        <v>0</v>
      </c>
      <c r="C685">
        <f>IF(COUNTIFS('United Data'!$A$3:$A$3390,C$1,'United Data'!$C$3:$C$3390,$A685,'United Data'!$B$3:$B$3390,"&lt;&gt;Off-street")&gt;0,1,0)</f>
        <v>0</v>
      </c>
      <c r="D685">
        <f>IF(COUNTIFS('United Data'!$A$3:$A$3390,D$1,'United Data'!$C$3:$C$3390,$A685,'United Data'!$B$3:$B$3390,"&lt;&gt;Off-street")&gt;0,1,0)</f>
        <v>0</v>
      </c>
      <c r="E685">
        <f>IF(COUNTIFS('United Data'!$A$3:$A$3390,E$1,'United Data'!$C$3:$C$3390,$A685,'United Data'!$B$3:$B$3390,"&lt;&gt;Off-street")&gt;0,1,0)</f>
        <v>0</v>
      </c>
      <c r="F685">
        <f>IF(COUNTIFS('United Data'!$A$3:$A$3390,F$1,'United Data'!$C$3:$C$3390,$A685,'United Data'!$B$3:$B$3390,"&lt;&gt;Off-street")&gt;0,1,0)</f>
        <v>0</v>
      </c>
      <c r="G685">
        <f>IF(COUNTIFS('United Data'!$A$3:$A$3390,G$1,'United Data'!$C$3:$C$3390,$A685,'United Data'!$B$3:$B$3390,"&lt;&gt;Off-street")&gt;0,1,0)</f>
        <v>0</v>
      </c>
      <c r="H685">
        <f>IF(COUNTIFS('United Data'!$A$3:$A$3390,H$1,'United Data'!$C$3:$C$3390,$A685,'United Data'!$B$3:$B$3390,"&lt;&gt;Off-street")&gt;0,1,0)</f>
        <v>0</v>
      </c>
      <c r="I685">
        <f>IF(COUNTIFS('United Data'!$A$3:$A$3390,I$1,'United Data'!$C$3:$C$3390,$A685,'United Data'!$B$3:$B$3390,"&lt;&gt;Off-street")&gt;0,1,0)</f>
        <v>0</v>
      </c>
      <c r="J685">
        <f>IF(COUNTIFS('United Data'!$A$3:$A$3390,J$1,'United Data'!$C$3:$C$3390,$A685,'United Data'!$B$3:$B$3390,"&lt;&gt;Off-street")&gt;0,1,0)</f>
        <v>0</v>
      </c>
      <c r="K685">
        <f>IF(COUNTIFS('United Data'!$A$3:$A$3390,K$1,'United Data'!$C$3:$C$3390,$A685,'United Data'!$B$3:$B$3390,"&lt;&gt;Off-street")&gt;0,1,0)</f>
        <v>0</v>
      </c>
      <c r="L685">
        <f>IF(COUNTIFS('United Data'!$A$3:$A$3390,L$1,'United Data'!$C$3:$C$3390,$A685,'United Data'!$B$3:$B$3390,"&lt;&gt;Off-street")&gt;0,1,0)</f>
        <v>0</v>
      </c>
      <c r="M685">
        <f>IF(COUNTIFS('United Data'!$A$3:$A$3390,M$1,'United Data'!$C$3:$C$3390,$A685,'United Data'!$B$3:$B$3390,"&lt;&gt;Off-street")&gt;0,1,0)</f>
        <v>0</v>
      </c>
      <c r="N685">
        <f>IF(COUNTIFS('United Data'!$A$3:$A$3390,N$1,'United Data'!$C$3:$C$3390,$A685,'United Data'!$B$3:$B$3390,"&lt;&gt;Off-street")&gt;0,1,0)</f>
        <v>1</v>
      </c>
      <c r="O685">
        <f>IF(COUNTIFS('United Data'!$A$3:$A$3390,O$1,'United Data'!$C$3:$C$3390,$A685,'United Data'!$B$3:$B$3390,"&lt;&gt;Off-street")&gt;0,1,0)</f>
        <v>0</v>
      </c>
      <c r="P685">
        <f>IF(COUNTIFS('United Data'!$A$3:$A$3390,P$1,'United Data'!$C$3:$C$3390,$A685,'United Data'!$B$3:$B$3390,"&lt;&gt;Off-street")&gt;0,1,0)</f>
        <v>0</v>
      </c>
      <c r="Q685">
        <f>IF(COUNTIFS('United Data'!$A$3:$A$3390,Q$1,'United Data'!$C$3:$C$3390,$A685,'United Data'!$B$3:$B$3390,"&lt;&gt;Off-street")&gt;0,1,0)</f>
        <v>0</v>
      </c>
      <c r="R685">
        <f>IF(COUNTIFS('United Data'!$A$3:$A$3390,R$1,'United Data'!$C$3:$C$3390,$A685,'United Data'!$B$3:$B$3390,"&lt;&gt;Off-street")&gt;0,1,0)</f>
        <v>0</v>
      </c>
      <c r="S685">
        <f t="shared" si="20"/>
        <v>1</v>
      </c>
      <c r="T685">
        <f t="shared" si="21"/>
        <v>1</v>
      </c>
    </row>
    <row r="686" spans="1:20" x14ac:dyDescent="0.2">
      <c r="A686" t="s">
        <v>813</v>
      </c>
      <c r="B686">
        <f>IF(COUNTIFS('United Data'!$A$3:$A$3390,B$1,'United Data'!$C$3:$C$3390,$A686,'United Data'!$B$3:$B$3390,"&lt;&gt;Off-street")&gt;0,1,0)</f>
        <v>0</v>
      </c>
      <c r="C686">
        <f>IF(COUNTIFS('United Data'!$A$3:$A$3390,C$1,'United Data'!$C$3:$C$3390,$A686,'United Data'!$B$3:$B$3390,"&lt;&gt;Off-street")&gt;0,1,0)</f>
        <v>0</v>
      </c>
      <c r="D686">
        <f>IF(COUNTIFS('United Data'!$A$3:$A$3390,D$1,'United Data'!$C$3:$C$3390,$A686,'United Data'!$B$3:$B$3390,"&lt;&gt;Off-street")&gt;0,1,0)</f>
        <v>0</v>
      </c>
      <c r="E686">
        <f>IF(COUNTIFS('United Data'!$A$3:$A$3390,E$1,'United Data'!$C$3:$C$3390,$A686,'United Data'!$B$3:$B$3390,"&lt;&gt;Off-street")&gt;0,1,0)</f>
        <v>0</v>
      </c>
      <c r="F686">
        <f>IF(COUNTIFS('United Data'!$A$3:$A$3390,F$1,'United Data'!$C$3:$C$3390,$A686,'United Data'!$B$3:$B$3390,"&lt;&gt;Off-street")&gt;0,1,0)</f>
        <v>0</v>
      </c>
      <c r="G686">
        <f>IF(COUNTIFS('United Data'!$A$3:$A$3390,G$1,'United Data'!$C$3:$C$3390,$A686,'United Data'!$B$3:$B$3390,"&lt;&gt;Off-street")&gt;0,1,0)</f>
        <v>0</v>
      </c>
      <c r="H686">
        <f>IF(COUNTIFS('United Data'!$A$3:$A$3390,H$1,'United Data'!$C$3:$C$3390,$A686,'United Data'!$B$3:$B$3390,"&lt;&gt;Off-street")&gt;0,1,0)</f>
        <v>0</v>
      </c>
      <c r="I686">
        <f>IF(COUNTIFS('United Data'!$A$3:$A$3390,I$1,'United Data'!$C$3:$C$3390,$A686,'United Data'!$B$3:$B$3390,"&lt;&gt;Off-street")&gt;0,1,0)</f>
        <v>0</v>
      </c>
      <c r="J686">
        <f>IF(COUNTIFS('United Data'!$A$3:$A$3390,J$1,'United Data'!$C$3:$C$3390,$A686,'United Data'!$B$3:$B$3390,"&lt;&gt;Off-street")&gt;0,1,0)</f>
        <v>0</v>
      </c>
      <c r="K686">
        <f>IF(COUNTIFS('United Data'!$A$3:$A$3390,K$1,'United Data'!$C$3:$C$3390,$A686,'United Data'!$B$3:$B$3390,"&lt;&gt;Off-street")&gt;0,1,0)</f>
        <v>0</v>
      </c>
      <c r="L686">
        <f>IF(COUNTIFS('United Data'!$A$3:$A$3390,L$1,'United Data'!$C$3:$C$3390,$A686,'United Data'!$B$3:$B$3390,"&lt;&gt;Off-street")&gt;0,1,0)</f>
        <v>0</v>
      </c>
      <c r="M686">
        <f>IF(COUNTIFS('United Data'!$A$3:$A$3390,M$1,'United Data'!$C$3:$C$3390,$A686,'United Data'!$B$3:$B$3390,"&lt;&gt;Off-street")&gt;0,1,0)</f>
        <v>0</v>
      </c>
      <c r="N686">
        <f>IF(COUNTIFS('United Data'!$A$3:$A$3390,N$1,'United Data'!$C$3:$C$3390,$A686,'United Data'!$B$3:$B$3390,"&lt;&gt;Off-street")&gt;0,1,0)</f>
        <v>1</v>
      </c>
      <c r="O686">
        <f>IF(COUNTIFS('United Data'!$A$3:$A$3390,O$1,'United Data'!$C$3:$C$3390,$A686,'United Data'!$B$3:$B$3390,"&lt;&gt;Off-street")&gt;0,1,0)</f>
        <v>0</v>
      </c>
      <c r="P686">
        <f>IF(COUNTIFS('United Data'!$A$3:$A$3390,P$1,'United Data'!$C$3:$C$3390,$A686,'United Data'!$B$3:$B$3390,"&lt;&gt;Off-street")&gt;0,1,0)</f>
        <v>0</v>
      </c>
      <c r="Q686">
        <f>IF(COUNTIFS('United Data'!$A$3:$A$3390,Q$1,'United Data'!$C$3:$C$3390,$A686,'United Data'!$B$3:$B$3390,"&lt;&gt;Off-street")&gt;0,1,0)</f>
        <v>0</v>
      </c>
      <c r="R686">
        <f>IF(COUNTIFS('United Data'!$A$3:$A$3390,R$1,'United Data'!$C$3:$C$3390,$A686,'United Data'!$B$3:$B$3390,"&lt;&gt;Off-street")&gt;0,1,0)</f>
        <v>0</v>
      </c>
      <c r="S686">
        <f t="shared" si="20"/>
        <v>1</v>
      </c>
      <c r="T686">
        <f t="shared" si="21"/>
        <v>1</v>
      </c>
    </row>
    <row r="687" spans="1:20" x14ac:dyDescent="0.2">
      <c r="A687" t="s">
        <v>814</v>
      </c>
      <c r="B687">
        <f>IF(COUNTIFS('United Data'!$A$3:$A$3390,B$1,'United Data'!$C$3:$C$3390,$A687,'United Data'!$B$3:$B$3390,"&lt;&gt;Off-street")&gt;0,1,0)</f>
        <v>0</v>
      </c>
      <c r="C687">
        <f>IF(COUNTIFS('United Data'!$A$3:$A$3390,C$1,'United Data'!$C$3:$C$3390,$A687,'United Data'!$B$3:$B$3390,"&lt;&gt;Off-street")&gt;0,1,0)</f>
        <v>0</v>
      </c>
      <c r="D687">
        <f>IF(COUNTIFS('United Data'!$A$3:$A$3390,D$1,'United Data'!$C$3:$C$3390,$A687,'United Data'!$B$3:$B$3390,"&lt;&gt;Off-street")&gt;0,1,0)</f>
        <v>0</v>
      </c>
      <c r="E687">
        <f>IF(COUNTIFS('United Data'!$A$3:$A$3390,E$1,'United Data'!$C$3:$C$3390,$A687,'United Data'!$B$3:$B$3390,"&lt;&gt;Off-street")&gt;0,1,0)</f>
        <v>0</v>
      </c>
      <c r="F687">
        <f>IF(COUNTIFS('United Data'!$A$3:$A$3390,F$1,'United Data'!$C$3:$C$3390,$A687,'United Data'!$B$3:$B$3390,"&lt;&gt;Off-street")&gt;0,1,0)</f>
        <v>0</v>
      </c>
      <c r="G687">
        <f>IF(COUNTIFS('United Data'!$A$3:$A$3390,G$1,'United Data'!$C$3:$C$3390,$A687,'United Data'!$B$3:$B$3390,"&lt;&gt;Off-street")&gt;0,1,0)</f>
        <v>0</v>
      </c>
      <c r="H687">
        <f>IF(COUNTIFS('United Data'!$A$3:$A$3390,H$1,'United Data'!$C$3:$C$3390,$A687,'United Data'!$B$3:$B$3390,"&lt;&gt;Off-street")&gt;0,1,0)</f>
        <v>0</v>
      </c>
      <c r="I687">
        <f>IF(COUNTIFS('United Data'!$A$3:$A$3390,I$1,'United Data'!$C$3:$C$3390,$A687,'United Data'!$B$3:$B$3390,"&lt;&gt;Off-street")&gt;0,1,0)</f>
        <v>0</v>
      </c>
      <c r="J687">
        <f>IF(COUNTIFS('United Data'!$A$3:$A$3390,J$1,'United Data'!$C$3:$C$3390,$A687,'United Data'!$B$3:$B$3390,"&lt;&gt;Off-street")&gt;0,1,0)</f>
        <v>0</v>
      </c>
      <c r="K687">
        <f>IF(COUNTIFS('United Data'!$A$3:$A$3390,K$1,'United Data'!$C$3:$C$3390,$A687,'United Data'!$B$3:$B$3390,"&lt;&gt;Off-street")&gt;0,1,0)</f>
        <v>0</v>
      </c>
      <c r="L687">
        <f>IF(COUNTIFS('United Data'!$A$3:$A$3390,L$1,'United Data'!$C$3:$C$3390,$A687,'United Data'!$B$3:$B$3390,"&lt;&gt;Off-street")&gt;0,1,0)</f>
        <v>0</v>
      </c>
      <c r="M687">
        <f>IF(COUNTIFS('United Data'!$A$3:$A$3390,M$1,'United Data'!$C$3:$C$3390,$A687,'United Data'!$B$3:$B$3390,"&lt;&gt;Off-street")&gt;0,1,0)</f>
        <v>0</v>
      </c>
      <c r="N687">
        <f>IF(COUNTIFS('United Data'!$A$3:$A$3390,N$1,'United Data'!$C$3:$C$3390,$A687,'United Data'!$B$3:$B$3390,"&lt;&gt;Off-street")&gt;0,1,0)</f>
        <v>1</v>
      </c>
      <c r="O687">
        <f>IF(COUNTIFS('United Data'!$A$3:$A$3390,O$1,'United Data'!$C$3:$C$3390,$A687,'United Data'!$B$3:$B$3390,"&lt;&gt;Off-street")&gt;0,1,0)</f>
        <v>0</v>
      </c>
      <c r="P687">
        <f>IF(COUNTIFS('United Data'!$A$3:$A$3390,P$1,'United Data'!$C$3:$C$3390,$A687,'United Data'!$B$3:$B$3390,"&lt;&gt;Off-street")&gt;0,1,0)</f>
        <v>0</v>
      </c>
      <c r="Q687">
        <f>IF(COUNTIFS('United Data'!$A$3:$A$3390,Q$1,'United Data'!$C$3:$C$3390,$A687,'United Data'!$B$3:$B$3390,"&lt;&gt;Off-street")&gt;0,1,0)</f>
        <v>0</v>
      </c>
      <c r="R687">
        <f>IF(COUNTIFS('United Data'!$A$3:$A$3390,R$1,'United Data'!$C$3:$C$3390,$A687,'United Data'!$B$3:$B$3390,"&lt;&gt;Off-street")&gt;0,1,0)</f>
        <v>0</v>
      </c>
      <c r="S687">
        <f t="shared" si="20"/>
        <v>1</v>
      </c>
      <c r="T687">
        <f t="shared" si="21"/>
        <v>1</v>
      </c>
    </row>
    <row r="688" spans="1:20" x14ac:dyDescent="0.2">
      <c r="A688" t="s">
        <v>815</v>
      </c>
      <c r="B688">
        <f>IF(COUNTIFS('United Data'!$A$3:$A$3390,B$1,'United Data'!$C$3:$C$3390,$A688,'United Data'!$B$3:$B$3390,"&lt;&gt;Off-street")&gt;0,1,0)</f>
        <v>0</v>
      </c>
      <c r="C688">
        <f>IF(COUNTIFS('United Data'!$A$3:$A$3390,C$1,'United Data'!$C$3:$C$3390,$A688,'United Data'!$B$3:$B$3390,"&lt;&gt;Off-street")&gt;0,1,0)</f>
        <v>0</v>
      </c>
      <c r="D688">
        <f>IF(COUNTIFS('United Data'!$A$3:$A$3390,D$1,'United Data'!$C$3:$C$3390,$A688,'United Data'!$B$3:$B$3390,"&lt;&gt;Off-street")&gt;0,1,0)</f>
        <v>0</v>
      </c>
      <c r="E688">
        <f>IF(COUNTIFS('United Data'!$A$3:$A$3390,E$1,'United Data'!$C$3:$C$3390,$A688,'United Data'!$B$3:$B$3390,"&lt;&gt;Off-street")&gt;0,1,0)</f>
        <v>0</v>
      </c>
      <c r="F688">
        <f>IF(COUNTIFS('United Data'!$A$3:$A$3390,F$1,'United Data'!$C$3:$C$3390,$A688,'United Data'!$B$3:$B$3390,"&lt;&gt;Off-street")&gt;0,1,0)</f>
        <v>0</v>
      </c>
      <c r="G688">
        <f>IF(COUNTIFS('United Data'!$A$3:$A$3390,G$1,'United Data'!$C$3:$C$3390,$A688,'United Data'!$B$3:$B$3390,"&lt;&gt;Off-street")&gt;0,1,0)</f>
        <v>0</v>
      </c>
      <c r="H688">
        <f>IF(COUNTIFS('United Data'!$A$3:$A$3390,H$1,'United Data'!$C$3:$C$3390,$A688,'United Data'!$B$3:$B$3390,"&lt;&gt;Off-street")&gt;0,1,0)</f>
        <v>0</v>
      </c>
      <c r="I688">
        <f>IF(COUNTIFS('United Data'!$A$3:$A$3390,I$1,'United Data'!$C$3:$C$3390,$A688,'United Data'!$B$3:$B$3390,"&lt;&gt;Off-street")&gt;0,1,0)</f>
        <v>0</v>
      </c>
      <c r="J688">
        <f>IF(COUNTIFS('United Data'!$A$3:$A$3390,J$1,'United Data'!$C$3:$C$3390,$A688,'United Data'!$B$3:$B$3390,"&lt;&gt;Off-street")&gt;0,1,0)</f>
        <v>0</v>
      </c>
      <c r="K688">
        <f>IF(COUNTIFS('United Data'!$A$3:$A$3390,K$1,'United Data'!$C$3:$C$3390,$A688,'United Data'!$B$3:$B$3390,"&lt;&gt;Off-street")&gt;0,1,0)</f>
        <v>0</v>
      </c>
      <c r="L688">
        <f>IF(COUNTIFS('United Data'!$A$3:$A$3390,L$1,'United Data'!$C$3:$C$3390,$A688,'United Data'!$B$3:$B$3390,"&lt;&gt;Off-street")&gt;0,1,0)</f>
        <v>0</v>
      </c>
      <c r="M688">
        <f>IF(COUNTIFS('United Data'!$A$3:$A$3390,M$1,'United Data'!$C$3:$C$3390,$A688,'United Data'!$B$3:$B$3390,"&lt;&gt;Off-street")&gt;0,1,0)</f>
        <v>0</v>
      </c>
      <c r="N688">
        <f>IF(COUNTIFS('United Data'!$A$3:$A$3390,N$1,'United Data'!$C$3:$C$3390,$A688,'United Data'!$B$3:$B$3390,"&lt;&gt;Off-street")&gt;0,1,0)</f>
        <v>0</v>
      </c>
      <c r="O688">
        <f>IF(COUNTIFS('United Data'!$A$3:$A$3390,O$1,'United Data'!$C$3:$C$3390,$A688,'United Data'!$B$3:$B$3390,"&lt;&gt;Off-street")&gt;0,1,0)</f>
        <v>1</v>
      </c>
      <c r="P688">
        <f>IF(COUNTIFS('United Data'!$A$3:$A$3390,P$1,'United Data'!$C$3:$C$3390,$A688,'United Data'!$B$3:$B$3390,"&lt;&gt;Off-street")&gt;0,1,0)</f>
        <v>0</v>
      </c>
      <c r="Q688">
        <f>IF(COUNTIFS('United Data'!$A$3:$A$3390,Q$1,'United Data'!$C$3:$C$3390,$A688,'United Data'!$B$3:$B$3390,"&lt;&gt;Off-street")&gt;0,1,0)</f>
        <v>0</v>
      </c>
      <c r="R688">
        <f>IF(COUNTIFS('United Data'!$A$3:$A$3390,R$1,'United Data'!$C$3:$C$3390,$A688,'United Data'!$B$3:$B$3390,"&lt;&gt;Off-street")&gt;0,1,0)</f>
        <v>0</v>
      </c>
      <c r="S688">
        <f t="shared" si="20"/>
        <v>1</v>
      </c>
      <c r="T688">
        <f t="shared" si="21"/>
        <v>1</v>
      </c>
    </row>
    <row r="689" spans="1:20" x14ac:dyDescent="0.2">
      <c r="A689" t="s">
        <v>816</v>
      </c>
      <c r="B689">
        <f>IF(COUNTIFS('United Data'!$A$3:$A$3390,B$1,'United Data'!$C$3:$C$3390,$A689,'United Data'!$B$3:$B$3390,"&lt;&gt;Off-street")&gt;0,1,0)</f>
        <v>0</v>
      </c>
      <c r="C689">
        <f>IF(COUNTIFS('United Data'!$A$3:$A$3390,C$1,'United Data'!$C$3:$C$3390,$A689,'United Data'!$B$3:$B$3390,"&lt;&gt;Off-street")&gt;0,1,0)</f>
        <v>0</v>
      </c>
      <c r="D689">
        <f>IF(COUNTIFS('United Data'!$A$3:$A$3390,D$1,'United Data'!$C$3:$C$3390,$A689,'United Data'!$B$3:$B$3390,"&lt;&gt;Off-street")&gt;0,1,0)</f>
        <v>0</v>
      </c>
      <c r="E689">
        <f>IF(COUNTIFS('United Data'!$A$3:$A$3390,E$1,'United Data'!$C$3:$C$3390,$A689,'United Data'!$B$3:$B$3390,"&lt;&gt;Off-street")&gt;0,1,0)</f>
        <v>0</v>
      </c>
      <c r="F689">
        <f>IF(COUNTIFS('United Data'!$A$3:$A$3390,F$1,'United Data'!$C$3:$C$3390,$A689,'United Data'!$B$3:$B$3390,"&lt;&gt;Off-street")&gt;0,1,0)</f>
        <v>0</v>
      </c>
      <c r="G689">
        <f>IF(COUNTIFS('United Data'!$A$3:$A$3390,G$1,'United Data'!$C$3:$C$3390,$A689,'United Data'!$B$3:$B$3390,"&lt;&gt;Off-street")&gt;0,1,0)</f>
        <v>0</v>
      </c>
      <c r="H689">
        <f>IF(COUNTIFS('United Data'!$A$3:$A$3390,H$1,'United Data'!$C$3:$C$3390,$A689,'United Data'!$B$3:$B$3390,"&lt;&gt;Off-street")&gt;0,1,0)</f>
        <v>0</v>
      </c>
      <c r="I689">
        <f>IF(COUNTIFS('United Data'!$A$3:$A$3390,I$1,'United Data'!$C$3:$C$3390,$A689,'United Data'!$B$3:$B$3390,"&lt;&gt;Off-street")&gt;0,1,0)</f>
        <v>0</v>
      </c>
      <c r="J689">
        <f>IF(COUNTIFS('United Data'!$A$3:$A$3390,J$1,'United Data'!$C$3:$C$3390,$A689,'United Data'!$B$3:$B$3390,"&lt;&gt;Off-street")&gt;0,1,0)</f>
        <v>0</v>
      </c>
      <c r="K689">
        <f>IF(COUNTIFS('United Data'!$A$3:$A$3390,K$1,'United Data'!$C$3:$C$3390,$A689,'United Data'!$B$3:$B$3390,"&lt;&gt;Off-street")&gt;0,1,0)</f>
        <v>0</v>
      </c>
      <c r="L689">
        <f>IF(COUNTIFS('United Data'!$A$3:$A$3390,L$1,'United Data'!$C$3:$C$3390,$A689,'United Data'!$B$3:$B$3390,"&lt;&gt;Off-street")&gt;0,1,0)</f>
        <v>0</v>
      </c>
      <c r="M689">
        <f>IF(COUNTIFS('United Data'!$A$3:$A$3390,M$1,'United Data'!$C$3:$C$3390,$A689,'United Data'!$B$3:$B$3390,"&lt;&gt;Off-street")&gt;0,1,0)</f>
        <v>0</v>
      </c>
      <c r="N689">
        <f>IF(COUNTIFS('United Data'!$A$3:$A$3390,N$1,'United Data'!$C$3:$C$3390,$A689,'United Data'!$B$3:$B$3390,"&lt;&gt;Off-street")&gt;0,1,0)</f>
        <v>0</v>
      </c>
      <c r="O689">
        <f>IF(COUNTIFS('United Data'!$A$3:$A$3390,O$1,'United Data'!$C$3:$C$3390,$A689,'United Data'!$B$3:$B$3390,"&lt;&gt;Off-street")&gt;0,1,0)</f>
        <v>1</v>
      </c>
      <c r="P689">
        <f>IF(COUNTIFS('United Data'!$A$3:$A$3390,P$1,'United Data'!$C$3:$C$3390,$A689,'United Data'!$B$3:$B$3390,"&lt;&gt;Off-street")&gt;0,1,0)</f>
        <v>0</v>
      </c>
      <c r="Q689">
        <f>IF(COUNTIFS('United Data'!$A$3:$A$3390,Q$1,'United Data'!$C$3:$C$3390,$A689,'United Data'!$B$3:$B$3390,"&lt;&gt;Off-street")&gt;0,1,0)</f>
        <v>0</v>
      </c>
      <c r="R689">
        <f>IF(COUNTIFS('United Data'!$A$3:$A$3390,R$1,'United Data'!$C$3:$C$3390,$A689,'United Data'!$B$3:$B$3390,"&lt;&gt;Off-street")&gt;0,1,0)</f>
        <v>0</v>
      </c>
      <c r="S689">
        <f t="shared" si="20"/>
        <v>1</v>
      </c>
      <c r="T689">
        <f t="shared" si="21"/>
        <v>1</v>
      </c>
    </row>
    <row r="690" spans="1:20" x14ac:dyDescent="0.2">
      <c r="A690" t="s">
        <v>818</v>
      </c>
      <c r="B690">
        <f>IF(COUNTIFS('United Data'!$A$3:$A$3390,B$1,'United Data'!$C$3:$C$3390,$A690,'United Data'!$B$3:$B$3390,"&lt;&gt;Off-street")&gt;0,1,0)</f>
        <v>0</v>
      </c>
      <c r="C690">
        <f>IF(COUNTIFS('United Data'!$A$3:$A$3390,C$1,'United Data'!$C$3:$C$3390,$A690,'United Data'!$B$3:$B$3390,"&lt;&gt;Off-street")&gt;0,1,0)</f>
        <v>0</v>
      </c>
      <c r="D690">
        <f>IF(COUNTIFS('United Data'!$A$3:$A$3390,D$1,'United Data'!$C$3:$C$3390,$A690,'United Data'!$B$3:$B$3390,"&lt;&gt;Off-street")&gt;0,1,0)</f>
        <v>0</v>
      </c>
      <c r="E690">
        <f>IF(COUNTIFS('United Data'!$A$3:$A$3390,E$1,'United Data'!$C$3:$C$3390,$A690,'United Data'!$B$3:$B$3390,"&lt;&gt;Off-street")&gt;0,1,0)</f>
        <v>0</v>
      </c>
      <c r="F690">
        <f>IF(COUNTIFS('United Data'!$A$3:$A$3390,F$1,'United Data'!$C$3:$C$3390,$A690,'United Data'!$B$3:$B$3390,"&lt;&gt;Off-street")&gt;0,1,0)</f>
        <v>0</v>
      </c>
      <c r="G690">
        <f>IF(COUNTIFS('United Data'!$A$3:$A$3390,G$1,'United Data'!$C$3:$C$3390,$A690,'United Data'!$B$3:$B$3390,"&lt;&gt;Off-street")&gt;0,1,0)</f>
        <v>0</v>
      </c>
      <c r="H690">
        <f>IF(COUNTIFS('United Data'!$A$3:$A$3390,H$1,'United Data'!$C$3:$C$3390,$A690,'United Data'!$B$3:$B$3390,"&lt;&gt;Off-street")&gt;0,1,0)</f>
        <v>0</v>
      </c>
      <c r="I690">
        <f>IF(COUNTIFS('United Data'!$A$3:$A$3390,I$1,'United Data'!$C$3:$C$3390,$A690,'United Data'!$B$3:$B$3390,"&lt;&gt;Off-street")&gt;0,1,0)</f>
        <v>0</v>
      </c>
      <c r="J690">
        <f>IF(COUNTIFS('United Data'!$A$3:$A$3390,J$1,'United Data'!$C$3:$C$3390,$A690,'United Data'!$B$3:$B$3390,"&lt;&gt;Off-street")&gt;0,1,0)</f>
        <v>0</v>
      </c>
      <c r="K690">
        <f>IF(COUNTIFS('United Data'!$A$3:$A$3390,K$1,'United Data'!$C$3:$C$3390,$A690,'United Data'!$B$3:$B$3390,"&lt;&gt;Off-street")&gt;0,1,0)</f>
        <v>0</v>
      </c>
      <c r="L690">
        <f>IF(COUNTIFS('United Data'!$A$3:$A$3390,L$1,'United Data'!$C$3:$C$3390,$A690,'United Data'!$B$3:$B$3390,"&lt;&gt;Off-street")&gt;0,1,0)</f>
        <v>0</v>
      </c>
      <c r="M690">
        <f>IF(COUNTIFS('United Data'!$A$3:$A$3390,M$1,'United Data'!$C$3:$C$3390,$A690,'United Data'!$B$3:$B$3390,"&lt;&gt;Off-street")&gt;0,1,0)</f>
        <v>0</v>
      </c>
      <c r="N690">
        <f>IF(COUNTIFS('United Data'!$A$3:$A$3390,N$1,'United Data'!$C$3:$C$3390,$A690,'United Data'!$B$3:$B$3390,"&lt;&gt;Off-street")&gt;0,1,0)</f>
        <v>0</v>
      </c>
      <c r="O690">
        <f>IF(COUNTIFS('United Data'!$A$3:$A$3390,O$1,'United Data'!$C$3:$C$3390,$A690,'United Data'!$B$3:$B$3390,"&lt;&gt;Off-street")&gt;0,1,0)</f>
        <v>0</v>
      </c>
      <c r="P690">
        <f>IF(COUNTIFS('United Data'!$A$3:$A$3390,P$1,'United Data'!$C$3:$C$3390,$A690,'United Data'!$B$3:$B$3390,"&lt;&gt;Off-street")&gt;0,1,0)</f>
        <v>1</v>
      </c>
      <c r="Q690">
        <f>IF(COUNTIFS('United Data'!$A$3:$A$3390,Q$1,'United Data'!$C$3:$C$3390,$A690,'United Data'!$B$3:$B$3390,"&lt;&gt;Off-street")&gt;0,1,0)</f>
        <v>0</v>
      </c>
      <c r="R690">
        <f>IF(COUNTIFS('United Data'!$A$3:$A$3390,R$1,'United Data'!$C$3:$C$3390,$A690,'United Data'!$B$3:$B$3390,"&lt;&gt;Off-street")&gt;0,1,0)</f>
        <v>0</v>
      </c>
      <c r="S690">
        <f t="shared" si="20"/>
        <v>1</v>
      </c>
      <c r="T690">
        <f t="shared" si="21"/>
        <v>1</v>
      </c>
    </row>
    <row r="691" spans="1:20" x14ac:dyDescent="0.2">
      <c r="A691" t="s">
        <v>819</v>
      </c>
      <c r="B691">
        <f>IF(COUNTIFS('United Data'!$A$3:$A$3390,B$1,'United Data'!$C$3:$C$3390,$A691,'United Data'!$B$3:$B$3390,"&lt;&gt;Off-street")&gt;0,1,0)</f>
        <v>0</v>
      </c>
      <c r="C691">
        <f>IF(COUNTIFS('United Data'!$A$3:$A$3390,C$1,'United Data'!$C$3:$C$3390,$A691,'United Data'!$B$3:$B$3390,"&lt;&gt;Off-street")&gt;0,1,0)</f>
        <v>0</v>
      </c>
      <c r="D691">
        <f>IF(COUNTIFS('United Data'!$A$3:$A$3390,D$1,'United Data'!$C$3:$C$3390,$A691,'United Data'!$B$3:$B$3390,"&lt;&gt;Off-street")&gt;0,1,0)</f>
        <v>0</v>
      </c>
      <c r="E691">
        <f>IF(COUNTIFS('United Data'!$A$3:$A$3390,E$1,'United Data'!$C$3:$C$3390,$A691,'United Data'!$B$3:$B$3390,"&lt;&gt;Off-street")&gt;0,1,0)</f>
        <v>0</v>
      </c>
      <c r="F691">
        <f>IF(COUNTIFS('United Data'!$A$3:$A$3390,F$1,'United Data'!$C$3:$C$3390,$A691,'United Data'!$B$3:$B$3390,"&lt;&gt;Off-street")&gt;0,1,0)</f>
        <v>0</v>
      </c>
      <c r="G691">
        <f>IF(COUNTIFS('United Data'!$A$3:$A$3390,G$1,'United Data'!$C$3:$C$3390,$A691,'United Data'!$B$3:$B$3390,"&lt;&gt;Off-street")&gt;0,1,0)</f>
        <v>0</v>
      </c>
      <c r="H691">
        <f>IF(COUNTIFS('United Data'!$A$3:$A$3390,H$1,'United Data'!$C$3:$C$3390,$A691,'United Data'!$B$3:$B$3390,"&lt;&gt;Off-street")&gt;0,1,0)</f>
        <v>0</v>
      </c>
      <c r="I691">
        <f>IF(COUNTIFS('United Data'!$A$3:$A$3390,I$1,'United Data'!$C$3:$C$3390,$A691,'United Data'!$B$3:$B$3390,"&lt;&gt;Off-street")&gt;0,1,0)</f>
        <v>0</v>
      </c>
      <c r="J691">
        <f>IF(COUNTIFS('United Data'!$A$3:$A$3390,J$1,'United Data'!$C$3:$C$3390,$A691,'United Data'!$B$3:$B$3390,"&lt;&gt;Off-street")&gt;0,1,0)</f>
        <v>0</v>
      </c>
      <c r="K691">
        <f>IF(COUNTIFS('United Data'!$A$3:$A$3390,K$1,'United Data'!$C$3:$C$3390,$A691,'United Data'!$B$3:$B$3390,"&lt;&gt;Off-street")&gt;0,1,0)</f>
        <v>0</v>
      </c>
      <c r="L691">
        <f>IF(COUNTIFS('United Data'!$A$3:$A$3390,L$1,'United Data'!$C$3:$C$3390,$A691,'United Data'!$B$3:$B$3390,"&lt;&gt;Off-street")&gt;0,1,0)</f>
        <v>0</v>
      </c>
      <c r="M691">
        <f>IF(COUNTIFS('United Data'!$A$3:$A$3390,M$1,'United Data'!$C$3:$C$3390,$A691,'United Data'!$B$3:$B$3390,"&lt;&gt;Off-street")&gt;0,1,0)</f>
        <v>0</v>
      </c>
      <c r="N691">
        <f>IF(COUNTIFS('United Data'!$A$3:$A$3390,N$1,'United Data'!$C$3:$C$3390,$A691,'United Data'!$B$3:$B$3390,"&lt;&gt;Off-street")&gt;0,1,0)</f>
        <v>0</v>
      </c>
      <c r="O691">
        <f>IF(COUNTIFS('United Data'!$A$3:$A$3390,O$1,'United Data'!$C$3:$C$3390,$A691,'United Data'!$B$3:$B$3390,"&lt;&gt;Off-street")&gt;0,1,0)</f>
        <v>0</v>
      </c>
      <c r="P691">
        <f>IF(COUNTIFS('United Data'!$A$3:$A$3390,P$1,'United Data'!$C$3:$C$3390,$A691,'United Data'!$B$3:$B$3390,"&lt;&gt;Off-street")&gt;0,1,0)</f>
        <v>1</v>
      </c>
      <c r="Q691">
        <f>IF(COUNTIFS('United Data'!$A$3:$A$3390,Q$1,'United Data'!$C$3:$C$3390,$A691,'United Data'!$B$3:$B$3390,"&lt;&gt;Off-street")&gt;0,1,0)</f>
        <v>0</v>
      </c>
      <c r="R691">
        <f>IF(COUNTIFS('United Data'!$A$3:$A$3390,R$1,'United Data'!$C$3:$C$3390,$A691,'United Data'!$B$3:$B$3390,"&lt;&gt;Off-street")&gt;0,1,0)</f>
        <v>0</v>
      </c>
      <c r="S691">
        <f t="shared" si="20"/>
        <v>1</v>
      </c>
      <c r="T691">
        <f t="shared" si="21"/>
        <v>1</v>
      </c>
    </row>
    <row r="692" spans="1:20" x14ac:dyDescent="0.2">
      <c r="A692" t="s">
        <v>821</v>
      </c>
      <c r="B692">
        <f>IF(COUNTIFS('United Data'!$A$3:$A$3390,B$1,'United Data'!$C$3:$C$3390,$A692,'United Data'!$B$3:$B$3390,"&lt;&gt;Off-street")&gt;0,1,0)</f>
        <v>0</v>
      </c>
      <c r="C692">
        <f>IF(COUNTIFS('United Data'!$A$3:$A$3390,C$1,'United Data'!$C$3:$C$3390,$A692,'United Data'!$B$3:$B$3390,"&lt;&gt;Off-street")&gt;0,1,0)</f>
        <v>0</v>
      </c>
      <c r="D692">
        <f>IF(COUNTIFS('United Data'!$A$3:$A$3390,D$1,'United Data'!$C$3:$C$3390,$A692,'United Data'!$B$3:$B$3390,"&lt;&gt;Off-street")&gt;0,1,0)</f>
        <v>0</v>
      </c>
      <c r="E692">
        <f>IF(COUNTIFS('United Data'!$A$3:$A$3390,E$1,'United Data'!$C$3:$C$3390,$A692,'United Data'!$B$3:$B$3390,"&lt;&gt;Off-street")&gt;0,1,0)</f>
        <v>0</v>
      </c>
      <c r="F692">
        <f>IF(COUNTIFS('United Data'!$A$3:$A$3390,F$1,'United Data'!$C$3:$C$3390,$A692,'United Data'!$B$3:$B$3390,"&lt;&gt;Off-street")&gt;0,1,0)</f>
        <v>0</v>
      </c>
      <c r="G692">
        <f>IF(COUNTIFS('United Data'!$A$3:$A$3390,G$1,'United Data'!$C$3:$C$3390,$A692,'United Data'!$B$3:$B$3390,"&lt;&gt;Off-street")&gt;0,1,0)</f>
        <v>0</v>
      </c>
      <c r="H692">
        <f>IF(COUNTIFS('United Data'!$A$3:$A$3390,H$1,'United Data'!$C$3:$C$3390,$A692,'United Data'!$B$3:$B$3390,"&lt;&gt;Off-street")&gt;0,1,0)</f>
        <v>0</v>
      </c>
      <c r="I692">
        <f>IF(COUNTIFS('United Data'!$A$3:$A$3390,I$1,'United Data'!$C$3:$C$3390,$A692,'United Data'!$B$3:$B$3390,"&lt;&gt;Off-street")&gt;0,1,0)</f>
        <v>0</v>
      </c>
      <c r="J692">
        <f>IF(COUNTIFS('United Data'!$A$3:$A$3390,J$1,'United Data'!$C$3:$C$3390,$A692,'United Data'!$B$3:$B$3390,"&lt;&gt;Off-street")&gt;0,1,0)</f>
        <v>0</v>
      </c>
      <c r="K692">
        <f>IF(COUNTIFS('United Data'!$A$3:$A$3390,K$1,'United Data'!$C$3:$C$3390,$A692,'United Data'!$B$3:$B$3390,"&lt;&gt;Off-street")&gt;0,1,0)</f>
        <v>0</v>
      </c>
      <c r="L692">
        <f>IF(COUNTIFS('United Data'!$A$3:$A$3390,L$1,'United Data'!$C$3:$C$3390,$A692,'United Data'!$B$3:$B$3390,"&lt;&gt;Off-street")&gt;0,1,0)</f>
        <v>0</v>
      </c>
      <c r="M692">
        <f>IF(COUNTIFS('United Data'!$A$3:$A$3390,M$1,'United Data'!$C$3:$C$3390,$A692,'United Data'!$B$3:$B$3390,"&lt;&gt;Off-street")&gt;0,1,0)</f>
        <v>0</v>
      </c>
      <c r="N692">
        <f>IF(COUNTIFS('United Data'!$A$3:$A$3390,N$1,'United Data'!$C$3:$C$3390,$A692,'United Data'!$B$3:$B$3390,"&lt;&gt;Off-street")&gt;0,1,0)</f>
        <v>0</v>
      </c>
      <c r="O692">
        <f>IF(COUNTIFS('United Data'!$A$3:$A$3390,O$1,'United Data'!$C$3:$C$3390,$A692,'United Data'!$B$3:$B$3390,"&lt;&gt;Off-street")&gt;0,1,0)</f>
        <v>0</v>
      </c>
      <c r="P692">
        <f>IF(COUNTIFS('United Data'!$A$3:$A$3390,P$1,'United Data'!$C$3:$C$3390,$A692,'United Data'!$B$3:$B$3390,"&lt;&gt;Off-street")&gt;0,1,0)</f>
        <v>0</v>
      </c>
      <c r="Q692">
        <f>IF(COUNTIFS('United Data'!$A$3:$A$3390,Q$1,'United Data'!$C$3:$C$3390,$A692,'United Data'!$B$3:$B$3390,"&lt;&gt;Off-street")&gt;0,1,0)</f>
        <v>1</v>
      </c>
      <c r="R692">
        <f>IF(COUNTIFS('United Data'!$A$3:$A$3390,R$1,'United Data'!$C$3:$C$3390,$A692,'United Data'!$B$3:$B$3390,"&lt;&gt;Off-street")&gt;0,1,0)</f>
        <v>0</v>
      </c>
      <c r="S692">
        <f t="shared" si="20"/>
        <v>1</v>
      </c>
      <c r="T692">
        <f t="shared" si="21"/>
        <v>1</v>
      </c>
    </row>
    <row r="693" spans="1:20" x14ac:dyDescent="0.2">
      <c r="A693" t="s">
        <v>823</v>
      </c>
      <c r="B693">
        <f>IF(COUNTIFS('United Data'!$A$3:$A$3390,B$1,'United Data'!$C$3:$C$3390,$A693,'United Data'!$B$3:$B$3390,"&lt;&gt;Off-street")&gt;0,1,0)</f>
        <v>1</v>
      </c>
      <c r="C693">
        <f>IF(COUNTIFS('United Data'!$A$3:$A$3390,C$1,'United Data'!$C$3:$C$3390,$A693,'United Data'!$B$3:$B$3390,"&lt;&gt;Off-street")&gt;0,1,0)</f>
        <v>0</v>
      </c>
      <c r="D693">
        <f>IF(COUNTIFS('United Data'!$A$3:$A$3390,D$1,'United Data'!$C$3:$C$3390,$A693,'United Data'!$B$3:$B$3390,"&lt;&gt;Off-street")&gt;0,1,0)</f>
        <v>1</v>
      </c>
      <c r="E693">
        <f>IF(COUNTIFS('United Data'!$A$3:$A$3390,E$1,'United Data'!$C$3:$C$3390,$A693,'United Data'!$B$3:$B$3390,"&lt;&gt;Off-street")&gt;0,1,0)</f>
        <v>1</v>
      </c>
      <c r="F693">
        <f>IF(COUNTIFS('United Data'!$A$3:$A$3390,F$1,'United Data'!$C$3:$C$3390,$A693,'United Data'!$B$3:$B$3390,"&lt;&gt;Off-street")&gt;0,1,0)</f>
        <v>1</v>
      </c>
      <c r="G693">
        <f>IF(COUNTIFS('United Data'!$A$3:$A$3390,G$1,'United Data'!$C$3:$C$3390,$A693,'United Data'!$B$3:$B$3390,"&lt;&gt;Off-street")&gt;0,1,0)</f>
        <v>0</v>
      </c>
      <c r="H693">
        <f>IF(COUNTIFS('United Data'!$A$3:$A$3390,H$1,'United Data'!$C$3:$C$3390,$A693,'United Data'!$B$3:$B$3390,"&lt;&gt;Off-street")&gt;0,1,0)</f>
        <v>1</v>
      </c>
      <c r="I693">
        <f>IF(COUNTIFS('United Data'!$A$3:$A$3390,I$1,'United Data'!$C$3:$C$3390,$A693,'United Data'!$B$3:$B$3390,"&lt;&gt;Off-street")&gt;0,1,0)</f>
        <v>1</v>
      </c>
      <c r="J693">
        <f>IF(COUNTIFS('United Data'!$A$3:$A$3390,J$1,'United Data'!$C$3:$C$3390,$A693,'United Data'!$B$3:$B$3390,"&lt;&gt;Off-street")&gt;0,1,0)</f>
        <v>1</v>
      </c>
      <c r="K693">
        <f>IF(COUNTIFS('United Data'!$A$3:$A$3390,K$1,'United Data'!$C$3:$C$3390,$A693,'United Data'!$B$3:$B$3390,"&lt;&gt;Off-street")&gt;0,1,0)</f>
        <v>0</v>
      </c>
      <c r="L693">
        <f>IF(COUNTIFS('United Data'!$A$3:$A$3390,L$1,'United Data'!$C$3:$C$3390,$A693,'United Data'!$B$3:$B$3390,"&lt;&gt;Off-street")&gt;0,1,0)</f>
        <v>0</v>
      </c>
      <c r="M693">
        <f>IF(COUNTIFS('United Data'!$A$3:$A$3390,M$1,'United Data'!$C$3:$C$3390,$A693,'United Data'!$B$3:$B$3390,"&lt;&gt;Off-street")&gt;0,1,0)</f>
        <v>1</v>
      </c>
      <c r="N693">
        <f>IF(COUNTIFS('United Data'!$A$3:$A$3390,N$1,'United Data'!$C$3:$C$3390,$A693,'United Data'!$B$3:$B$3390,"&lt;&gt;Off-street")&gt;0,1,0)</f>
        <v>0</v>
      </c>
      <c r="O693">
        <f>IF(COUNTIFS('United Data'!$A$3:$A$3390,O$1,'United Data'!$C$3:$C$3390,$A693,'United Data'!$B$3:$B$3390,"&lt;&gt;Off-street")&gt;0,1,0)</f>
        <v>0</v>
      </c>
      <c r="P693">
        <f>IF(COUNTIFS('United Data'!$A$3:$A$3390,P$1,'United Data'!$C$3:$C$3390,$A693,'United Data'!$B$3:$B$3390,"&lt;&gt;Off-street")&gt;0,1,0)</f>
        <v>0</v>
      </c>
      <c r="Q693">
        <f>IF(COUNTIFS('United Data'!$A$3:$A$3390,Q$1,'United Data'!$C$3:$C$3390,$A693,'United Data'!$B$3:$B$3390,"&lt;&gt;Off-street")&gt;0,1,0)</f>
        <v>0</v>
      </c>
      <c r="R693">
        <f>IF(COUNTIFS('United Data'!$A$3:$A$3390,R$1,'United Data'!$C$3:$C$3390,$A693,'United Data'!$B$3:$B$3390,"&lt;&gt;Off-street")&gt;0,1,0)</f>
        <v>0</v>
      </c>
      <c r="S693">
        <f t="shared" si="20"/>
        <v>8</v>
      </c>
      <c r="T693">
        <f t="shared" si="21"/>
        <v>4</v>
      </c>
    </row>
    <row r="694" spans="1:20" x14ac:dyDescent="0.2">
      <c r="A694" t="s">
        <v>824</v>
      </c>
      <c r="B694">
        <f>IF(COUNTIFS('United Data'!$A$3:$A$3390,B$1,'United Data'!$C$3:$C$3390,$A694,'United Data'!$B$3:$B$3390,"&lt;&gt;Off-street")&gt;0,1,0)</f>
        <v>1</v>
      </c>
      <c r="C694">
        <f>IF(COUNTIFS('United Data'!$A$3:$A$3390,C$1,'United Data'!$C$3:$C$3390,$A694,'United Data'!$B$3:$B$3390,"&lt;&gt;Off-street")&gt;0,1,0)</f>
        <v>1</v>
      </c>
      <c r="D694">
        <f>IF(COUNTIFS('United Data'!$A$3:$A$3390,D$1,'United Data'!$C$3:$C$3390,$A694,'United Data'!$B$3:$B$3390,"&lt;&gt;Off-street")&gt;0,1,0)</f>
        <v>1</v>
      </c>
      <c r="E694">
        <f>IF(COUNTIFS('United Data'!$A$3:$A$3390,E$1,'United Data'!$C$3:$C$3390,$A694,'United Data'!$B$3:$B$3390,"&lt;&gt;Off-street")&gt;0,1,0)</f>
        <v>0</v>
      </c>
      <c r="F694">
        <f>IF(COUNTIFS('United Data'!$A$3:$A$3390,F$1,'United Data'!$C$3:$C$3390,$A694,'United Data'!$B$3:$B$3390,"&lt;&gt;Off-street")&gt;0,1,0)</f>
        <v>0</v>
      </c>
      <c r="G694">
        <f>IF(COUNTIFS('United Data'!$A$3:$A$3390,G$1,'United Data'!$C$3:$C$3390,$A694,'United Data'!$B$3:$B$3390,"&lt;&gt;Off-street")&gt;0,1,0)</f>
        <v>0</v>
      </c>
      <c r="H694">
        <f>IF(COUNTIFS('United Data'!$A$3:$A$3390,H$1,'United Data'!$C$3:$C$3390,$A694,'United Data'!$B$3:$B$3390,"&lt;&gt;Off-street")&gt;0,1,0)</f>
        <v>0</v>
      </c>
      <c r="I694">
        <f>IF(COUNTIFS('United Data'!$A$3:$A$3390,I$1,'United Data'!$C$3:$C$3390,$A694,'United Data'!$B$3:$B$3390,"&lt;&gt;Off-street")&gt;0,1,0)</f>
        <v>0</v>
      </c>
      <c r="J694">
        <f>IF(COUNTIFS('United Data'!$A$3:$A$3390,J$1,'United Data'!$C$3:$C$3390,$A694,'United Data'!$B$3:$B$3390,"&lt;&gt;Off-street")&gt;0,1,0)</f>
        <v>0</v>
      </c>
      <c r="K694">
        <f>IF(COUNTIFS('United Data'!$A$3:$A$3390,K$1,'United Data'!$C$3:$C$3390,$A694,'United Data'!$B$3:$B$3390,"&lt;&gt;Off-street")&gt;0,1,0)</f>
        <v>0</v>
      </c>
      <c r="L694">
        <f>IF(COUNTIFS('United Data'!$A$3:$A$3390,L$1,'United Data'!$C$3:$C$3390,$A694,'United Data'!$B$3:$B$3390,"&lt;&gt;Off-street")&gt;0,1,0)</f>
        <v>0</v>
      </c>
      <c r="M694">
        <f>IF(COUNTIFS('United Data'!$A$3:$A$3390,M$1,'United Data'!$C$3:$C$3390,$A694,'United Data'!$B$3:$B$3390,"&lt;&gt;Off-street")&gt;0,1,0)</f>
        <v>0</v>
      </c>
      <c r="N694">
        <f>IF(COUNTIFS('United Data'!$A$3:$A$3390,N$1,'United Data'!$C$3:$C$3390,$A694,'United Data'!$B$3:$B$3390,"&lt;&gt;Off-street")&gt;0,1,0)</f>
        <v>0</v>
      </c>
      <c r="O694">
        <f>IF(COUNTIFS('United Data'!$A$3:$A$3390,O$1,'United Data'!$C$3:$C$3390,$A694,'United Data'!$B$3:$B$3390,"&lt;&gt;Off-street")&gt;0,1,0)</f>
        <v>0</v>
      </c>
      <c r="P694">
        <f>IF(COUNTIFS('United Data'!$A$3:$A$3390,P$1,'United Data'!$C$3:$C$3390,$A694,'United Data'!$B$3:$B$3390,"&lt;&gt;Off-street")&gt;0,1,0)</f>
        <v>0</v>
      </c>
      <c r="Q694">
        <f>IF(COUNTIFS('United Data'!$A$3:$A$3390,Q$1,'United Data'!$C$3:$C$3390,$A694,'United Data'!$B$3:$B$3390,"&lt;&gt;Off-street")&gt;0,1,0)</f>
        <v>0</v>
      </c>
      <c r="R694">
        <f>IF(COUNTIFS('United Data'!$A$3:$A$3390,R$1,'United Data'!$C$3:$C$3390,$A694,'United Data'!$B$3:$B$3390,"&lt;&gt;Off-street")&gt;0,1,0)</f>
        <v>0</v>
      </c>
      <c r="S694">
        <f t="shared" si="20"/>
        <v>3</v>
      </c>
      <c r="T694">
        <f t="shared" si="21"/>
        <v>1</v>
      </c>
    </row>
    <row r="695" spans="1:20" x14ac:dyDescent="0.2">
      <c r="A695" t="s">
        <v>825</v>
      </c>
      <c r="B695">
        <f>IF(COUNTIFS('United Data'!$A$3:$A$3390,B$1,'United Data'!$C$3:$C$3390,$A695,'United Data'!$B$3:$B$3390,"&lt;&gt;Off-street")&gt;0,1,0)</f>
        <v>1</v>
      </c>
      <c r="C695">
        <f>IF(COUNTIFS('United Data'!$A$3:$A$3390,C$1,'United Data'!$C$3:$C$3390,$A695,'United Data'!$B$3:$B$3390,"&lt;&gt;Off-street")&gt;0,1,0)</f>
        <v>0</v>
      </c>
      <c r="D695">
        <f>IF(COUNTIFS('United Data'!$A$3:$A$3390,D$1,'United Data'!$C$3:$C$3390,$A695,'United Data'!$B$3:$B$3390,"&lt;&gt;Off-street")&gt;0,1,0)</f>
        <v>0</v>
      </c>
      <c r="E695">
        <f>IF(COUNTIFS('United Data'!$A$3:$A$3390,E$1,'United Data'!$C$3:$C$3390,$A695,'United Data'!$B$3:$B$3390,"&lt;&gt;Off-street")&gt;0,1,0)</f>
        <v>0</v>
      </c>
      <c r="F695">
        <f>IF(COUNTIFS('United Data'!$A$3:$A$3390,F$1,'United Data'!$C$3:$C$3390,$A695,'United Data'!$B$3:$B$3390,"&lt;&gt;Off-street")&gt;0,1,0)</f>
        <v>0</v>
      </c>
      <c r="G695">
        <f>IF(COUNTIFS('United Data'!$A$3:$A$3390,G$1,'United Data'!$C$3:$C$3390,$A695,'United Data'!$B$3:$B$3390,"&lt;&gt;Off-street")&gt;0,1,0)</f>
        <v>0</v>
      </c>
      <c r="H695">
        <f>IF(COUNTIFS('United Data'!$A$3:$A$3390,H$1,'United Data'!$C$3:$C$3390,$A695,'United Data'!$B$3:$B$3390,"&lt;&gt;Off-street")&gt;0,1,0)</f>
        <v>0</v>
      </c>
      <c r="I695">
        <f>IF(COUNTIFS('United Data'!$A$3:$A$3390,I$1,'United Data'!$C$3:$C$3390,$A695,'United Data'!$B$3:$B$3390,"&lt;&gt;Off-street")&gt;0,1,0)</f>
        <v>0</v>
      </c>
      <c r="J695">
        <f>IF(COUNTIFS('United Data'!$A$3:$A$3390,J$1,'United Data'!$C$3:$C$3390,$A695,'United Data'!$B$3:$B$3390,"&lt;&gt;Off-street")&gt;0,1,0)</f>
        <v>0</v>
      </c>
      <c r="K695">
        <f>IF(COUNTIFS('United Data'!$A$3:$A$3390,K$1,'United Data'!$C$3:$C$3390,$A695,'United Data'!$B$3:$B$3390,"&lt;&gt;Off-street")&gt;0,1,0)</f>
        <v>0</v>
      </c>
      <c r="L695">
        <f>IF(COUNTIFS('United Data'!$A$3:$A$3390,L$1,'United Data'!$C$3:$C$3390,$A695,'United Data'!$B$3:$B$3390,"&lt;&gt;Off-street")&gt;0,1,0)</f>
        <v>0</v>
      </c>
      <c r="M695">
        <f>IF(COUNTIFS('United Data'!$A$3:$A$3390,M$1,'United Data'!$C$3:$C$3390,$A695,'United Data'!$B$3:$B$3390,"&lt;&gt;Off-street")&gt;0,1,0)</f>
        <v>0</v>
      </c>
      <c r="N695">
        <f>IF(COUNTIFS('United Data'!$A$3:$A$3390,N$1,'United Data'!$C$3:$C$3390,$A695,'United Data'!$B$3:$B$3390,"&lt;&gt;Off-street")&gt;0,1,0)</f>
        <v>0</v>
      </c>
      <c r="O695">
        <f>IF(COUNTIFS('United Data'!$A$3:$A$3390,O$1,'United Data'!$C$3:$C$3390,$A695,'United Data'!$B$3:$B$3390,"&lt;&gt;Off-street")&gt;0,1,0)</f>
        <v>0</v>
      </c>
      <c r="P695">
        <f>IF(COUNTIFS('United Data'!$A$3:$A$3390,P$1,'United Data'!$C$3:$C$3390,$A695,'United Data'!$B$3:$B$3390,"&lt;&gt;Off-street")&gt;0,1,0)</f>
        <v>0</v>
      </c>
      <c r="Q695">
        <f>IF(COUNTIFS('United Data'!$A$3:$A$3390,Q$1,'United Data'!$C$3:$C$3390,$A695,'United Data'!$B$3:$B$3390,"&lt;&gt;Off-street")&gt;0,1,0)</f>
        <v>0</v>
      </c>
      <c r="R695">
        <f>IF(COUNTIFS('United Data'!$A$3:$A$3390,R$1,'United Data'!$C$3:$C$3390,$A695,'United Data'!$B$3:$B$3390,"&lt;&gt;Off-street")&gt;0,1,0)</f>
        <v>0</v>
      </c>
      <c r="S695">
        <f t="shared" si="20"/>
        <v>1</v>
      </c>
      <c r="T695">
        <f t="shared" si="21"/>
        <v>1</v>
      </c>
    </row>
    <row r="696" spans="1:20" x14ac:dyDescent="0.2">
      <c r="A696" t="s">
        <v>826</v>
      </c>
      <c r="B696">
        <f>IF(COUNTIFS('United Data'!$A$3:$A$3390,B$1,'United Data'!$C$3:$C$3390,$A696,'United Data'!$B$3:$B$3390,"&lt;&gt;Off-street")&gt;0,1,0)</f>
        <v>1</v>
      </c>
      <c r="C696">
        <f>IF(COUNTIFS('United Data'!$A$3:$A$3390,C$1,'United Data'!$C$3:$C$3390,$A696,'United Data'!$B$3:$B$3390,"&lt;&gt;Off-street")&gt;0,1,0)</f>
        <v>1</v>
      </c>
      <c r="D696">
        <f>IF(COUNTIFS('United Data'!$A$3:$A$3390,D$1,'United Data'!$C$3:$C$3390,$A696,'United Data'!$B$3:$B$3390,"&lt;&gt;Off-street")&gt;0,1,0)</f>
        <v>1</v>
      </c>
      <c r="E696">
        <f>IF(COUNTIFS('United Data'!$A$3:$A$3390,E$1,'United Data'!$C$3:$C$3390,$A696,'United Data'!$B$3:$B$3390,"&lt;&gt;Off-street")&gt;0,1,0)</f>
        <v>1</v>
      </c>
      <c r="F696">
        <f>IF(COUNTIFS('United Data'!$A$3:$A$3390,F$1,'United Data'!$C$3:$C$3390,$A696,'United Data'!$B$3:$B$3390,"&lt;&gt;Off-street")&gt;0,1,0)</f>
        <v>1</v>
      </c>
      <c r="G696">
        <f>IF(COUNTIFS('United Data'!$A$3:$A$3390,G$1,'United Data'!$C$3:$C$3390,$A696,'United Data'!$B$3:$B$3390,"&lt;&gt;Off-street")&gt;0,1,0)</f>
        <v>1</v>
      </c>
      <c r="H696">
        <f>IF(COUNTIFS('United Data'!$A$3:$A$3390,H$1,'United Data'!$C$3:$C$3390,$A696,'United Data'!$B$3:$B$3390,"&lt;&gt;Off-street")&gt;0,1,0)</f>
        <v>1</v>
      </c>
      <c r="I696">
        <f>IF(COUNTIFS('United Data'!$A$3:$A$3390,I$1,'United Data'!$C$3:$C$3390,$A696,'United Data'!$B$3:$B$3390,"&lt;&gt;Off-street")&gt;0,1,0)</f>
        <v>1</v>
      </c>
      <c r="J696">
        <f>IF(COUNTIFS('United Data'!$A$3:$A$3390,J$1,'United Data'!$C$3:$C$3390,$A696,'United Data'!$B$3:$B$3390,"&lt;&gt;Off-street")&gt;0,1,0)</f>
        <v>0</v>
      </c>
      <c r="K696">
        <f>IF(COUNTIFS('United Data'!$A$3:$A$3390,K$1,'United Data'!$C$3:$C$3390,$A696,'United Data'!$B$3:$B$3390,"&lt;&gt;Off-street")&gt;0,1,0)</f>
        <v>1</v>
      </c>
      <c r="L696">
        <f>IF(COUNTIFS('United Data'!$A$3:$A$3390,L$1,'United Data'!$C$3:$C$3390,$A696,'United Data'!$B$3:$B$3390,"&lt;&gt;Off-street")&gt;0,1,0)</f>
        <v>1</v>
      </c>
      <c r="M696">
        <f>IF(COUNTIFS('United Data'!$A$3:$A$3390,M$1,'United Data'!$C$3:$C$3390,$A696,'United Data'!$B$3:$B$3390,"&lt;&gt;Off-street")&gt;0,1,0)</f>
        <v>0</v>
      </c>
      <c r="N696">
        <f>IF(COUNTIFS('United Data'!$A$3:$A$3390,N$1,'United Data'!$C$3:$C$3390,$A696,'United Data'!$B$3:$B$3390,"&lt;&gt;Off-street")&gt;0,1,0)</f>
        <v>1</v>
      </c>
      <c r="O696">
        <f>IF(COUNTIFS('United Data'!$A$3:$A$3390,O$1,'United Data'!$C$3:$C$3390,$A696,'United Data'!$B$3:$B$3390,"&lt;&gt;Off-street")&gt;0,1,0)</f>
        <v>1</v>
      </c>
      <c r="P696">
        <f>IF(COUNTIFS('United Data'!$A$3:$A$3390,P$1,'United Data'!$C$3:$C$3390,$A696,'United Data'!$B$3:$B$3390,"&lt;&gt;Off-street")&gt;0,1,0)</f>
        <v>1</v>
      </c>
      <c r="Q696">
        <f>IF(COUNTIFS('United Data'!$A$3:$A$3390,Q$1,'United Data'!$C$3:$C$3390,$A696,'United Data'!$B$3:$B$3390,"&lt;&gt;Off-street")&gt;0,1,0)</f>
        <v>1</v>
      </c>
      <c r="R696">
        <f>IF(COUNTIFS('United Data'!$A$3:$A$3390,R$1,'United Data'!$C$3:$C$3390,$A696,'United Data'!$B$3:$B$3390,"&lt;&gt;Off-street")&gt;0,1,0)</f>
        <v>1</v>
      </c>
      <c r="S696">
        <f t="shared" si="20"/>
        <v>15</v>
      </c>
      <c r="T696">
        <f t="shared" si="21"/>
        <v>3</v>
      </c>
    </row>
    <row r="697" spans="1:20" x14ac:dyDescent="0.2">
      <c r="A697" t="s">
        <v>827</v>
      </c>
      <c r="B697">
        <f>IF(COUNTIFS('United Data'!$A$3:$A$3390,B$1,'United Data'!$C$3:$C$3390,$A697,'United Data'!$B$3:$B$3390,"&lt;&gt;Off-street")&gt;0,1,0)</f>
        <v>1</v>
      </c>
      <c r="C697">
        <f>IF(COUNTIFS('United Data'!$A$3:$A$3390,C$1,'United Data'!$C$3:$C$3390,$A697,'United Data'!$B$3:$B$3390,"&lt;&gt;Off-street")&gt;0,1,0)</f>
        <v>0</v>
      </c>
      <c r="D697">
        <f>IF(COUNTIFS('United Data'!$A$3:$A$3390,D$1,'United Data'!$C$3:$C$3390,$A697,'United Data'!$B$3:$B$3390,"&lt;&gt;Off-street")&gt;0,1,0)</f>
        <v>0</v>
      </c>
      <c r="E697">
        <f>IF(COUNTIFS('United Data'!$A$3:$A$3390,E$1,'United Data'!$C$3:$C$3390,$A697,'United Data'!$B$3:$B$3390,"&lt;&gt;Off-street")&gt;0,1,0)</f>
        <v>0</v>
      </c>
      <c r="F697">
        <f>IF(COUNTIFS('United Data'!$A$3:$A$3390,F$1,'United Data'!$C$3:$C$3390,$A697,'United Data'!$B$3:$B$3390,"&lt;&gt;Off-street")&gt;0,1,0)</f>
        <v>0</v>
      </c>
      <c r="G697">
        <f>IF(COUNTIFS('United Data'!$A$3:$A$3390,G$1,'United Data'!$C$3:$C$3390,$A697,'United Data'!$B$3:$B$3390,"&lt;&gt;Off-street")&gt;0,1,0)</f>
        <v>0</v>
      </c>
      <c r="H697">
        <f>IF(COUNTIFS('United Data'!$A$3:$A$3390,H$1,'United Data'!$C$3:$C$3390,$A697,'United Data'!$B$3:$B$3390,"&lt;&gt;Off-street")&gt;0,1,0)</f>
        <v>0</v>
      </c>
      <c r="I697">
        <f>IF(COUNTIFS('United Data'!$A$3:$A$3390,I$1,'United Data'!$C$3:$C$3390,$A697,'United Data'!$B$3:$B$3390,"&lt;&gt;Off-street")&gt;0,1,0)</f>
        <v>0</v>
      </c>
      <c r="J697">
        <f>IF(COUNTIFS('United Data'!$A$3:$A$3390,J$1,'United Data'!$C$3:$C$3390,$A697,'United Data'!$B$3:$B$3390,"&lt;&gt;Off-street")&gt;0,1,0)</f>
        <v>0</v>
      </c>
      <c r="K697">
        <f>IF(COUNTIFS('United Data'!$A$3:$A$3390,K$1,'United Data'!$C$3:$C$3390,$A697,'United Data'!$B$3:$B$3390,"&lt;&gt;Off-street")&gt;0,1,0)</f>
        <v>0</v>
      </c>
      <c r="L697">
        <f>IF(COUNTIFS('United Data'!$A$3:$A$3390,L$1,'United Data'!$C$3:$C$3390,$A697,'United Data'!$B$3:$B$3390,"&lt;&gt;Off-street")&gt;0,1,0)</f>
        <v>0</v>
      </c>
      <c r="M697">
        <f>IF(COUNTIFS('United Data'!$A$3:$A$3390,M$1,'United Data'!$C$3:$C$3390,$A697,'United Data'!$B$3:$B$3390,"&lt;&gt;Off-street")&gt;0,1,0)</f>
        <v>0</v>
      </c>
      <c r="N697">
        <f>IF(COUNTIFS('United Data'!$A$3:$A$3390,N$1,'United Data'!$C$3:$C$3390,$A697,'United Data'!$B$3:$B$3390,"&lt;&gt;Off-street")&gt;0,1,0)</f>
        <v>0</v>
      </c>
      <c r="O697">
        <f>IF(COUNTIFS('United Data'!$A$3:$A$3390,O$1,'United Data'!$C$3:$C$3390,$A697,'United Data'!$B$3:$B$3390,"&lt;&gt;Off-street")&gt;0,1,0)</f>
        <v>0</v>
      </c>
      <c r="P697">
        <f>IF(COUNTIFS('United Data'!$A$3:$A$3390,P$1,'United Data'!$C$3:$C$3390,$A697,'United Data'!$B$3:$B$3390,"&lt;&gt;Off-street")&gt;0,1,0)</f>
        <v>0</v>
      </c>
      <c r="Q697">
        <f>IF(COUNTIFS('United Data'!$A$3:$A$3390,Q$1,'United Data'!$C$3:$C$3390,$A697,'United Data'!$B$3:$B$3390,"&lt;&gt;Off-street")&gt;0,1,0)</f>
        <v>0</v>
      </c>
      <c r="R697">
        <f>IF(COUNTIFS('United Data'!$A$3:$A$3390,R$1,'United Data'!$C$3:$C$3390,$A697,'United Data'!$B$3:$B$3390,"&lt;&gt;Off-street")&gt;0,1,0)</f>
        <v>0</v>
      </c>
      <c r="S697">
        <f t="shared" si="20"/>
        <v>1</v>
      </c>
      <c r="T697">
        <f t="shared" si="21"/>
        <v>1</v>
      </c>
    </row>
    <row r="698" spans="1:20" x14ac:dyDescent="0.2">
      <c r="A698" t="s">
        <v>828</v>
      </c>
      <c r="B698">
        <f>IF(COUNTIFS('United Data'!$A$3:$A$3390,B$1,'United Data'!$C$3:$C$3390,$A698,'United Data'!$B$3:$B$3390,"&lt;&gt;Off-street")&gt;0,1,0)</f>
        <v>0</v>
      </c>
      <c r="C698">
        <f>IF(COUNTIFS('United Data'!$A$3:$A$3390,C$1,'United Data'!$C$3:$C$3390,$A698,'United Data'!$B$3:$B$3390,"&lt;&gt;Off-street")&gt;0,1,0)</f>
        <v>1</v>
      </c>
      <c r="D698">
        <f>IF(COUNTIFS('United Data'!$A$3:$A$3390,D$1,'United Data'!$C$3:$C$3390,$A698,'United Data'!$B$3:$B$3390,"&lt;&gt;Off-street")&gt;0,1,0)</f>
        <v>0</v>
      </c>
      <c r="E698">
        <f>IF(COUNTIFS('United Data'!$A$3:$A$3390,E$1,'United Data'!$C$3:$C$3390,$A698,'United Data'!$B$3:$B$3390,"&lt;&gt;Off-street")&gt;0,1,0)</f>
        <v>0</v>
      </c>
      <c r="F698">
        <f>IF(COUNTIFS('United Data'!$A$3:$A$3390,F$1,'United Data'!$C$3:$C$3390,$A698,'United Data'!$B$3:$B$3390,"&lt;&gt;Off-street")&gt;0,1,0)</f>
        <v>0</v>
      </c>
      <c r="G698">
        <f>IF(COUNTIFS('United Data'!$A$3:$A$3390,G$1,'United Data'!$C$3:$C$3390,$A698,'United Data'!$B$3:$B$3390,"&lt;&gt;Off-street")&gt;0,1,0)</f>
        <v>0</v>
      </c>
      <c r="H698">
        <f>IF(COUNTIFS('United Data'!$A$3:$A$3390,H$1,'United Data'!$C$3:$C$3390,$A698,'United Data'!$B$3:$B$3390,"&lt;&gt;Off-street")&gt;0,1,0)</f>
        <v>0</v>
      </c>
      <c r="I698">
        <f>IF(COUNTIFS('United Data'!$A$3:$A$3390,I$1,'United Data'!$C$3:$C$3390,$A698,'United Data'!$B$3:$B$3390,"&lt;&gt;Off-street")&gt;0,1,0)</f>
        <v>0</v>
      </c>
      <c r="J698">
        <f>IF(COUNTIFS('United Data'!$A$3:$A$3390,J$1,'United Data'!$C$3:$C$3390,$A698,'United Data'!$B$3:$B$3390,"&lt;&gt;Off-street")&gt;0,1,0)</f>
        <v>0</v>
      </c>
      <c r="K698">
        <f>IF(COUNTIFS('United Data'!$A$3:$A$3390,K$1,'United Data'!$C$3:$C$3390,$A698,'United Data'!$B$3:$B$3390,"&lt;&gt;Off-street")&gt;0,1,0)</f>
        <v>0</v>
      </c>
      <c r="L698">
        <f>IF(COUNTIFS('United Data'!$A$3:$A$3390,L$1,'United Data'!$C$3:$C$3390,$A698,'United Data'!$B$3:$B$3390,"&lt;&gt;Off-street")&gt;0,1,0)</f>
        <v>0</v>
      </c>
      <c r="M698">
        <f>IF(COUNTIFS('United Data'!$A$3:$A$3390,M$1,'United Data'!$C$3:$C$3390,$A698,'United Data'!$B$3:$B$3390,"&lt;&gt;Off-street")&gt;0,1,0)</f>
        <v>0</v>
      </c>
      <c r="N698">
        <f>IF(COUNTIFS('United Data'!$A$3:$A$3390,N$1,'United Data'!$C$3:$C$3390,$A698,'United Data'!$B$3:$B$3390,"&lt;&gt;Off-street")&gt;0,1,0)</f>
        <v>0</v>
      </c>
      <c r="O698">
        <f>IF(COUNTIFS('United Data'!$A$3:$A$3390,O$1,'United Data'!$C$3:$C$3390,$A698,'United Data'!$B$3:$B$3390,"&lt;&gt;Off-street")&gt;0,1,0)</f>
        <v>0</v>
      </c>
      <c r="P698">
        <f>IF(COUNTIFS('United Data'!$A$3:$A$3390,P$1,'United Data'!$C$3:$C$3390,$A698,'United Data'!$B$3:$B$3390,"&lt;&gt;Off-street")&gt;0,1,0)</f>
        <v>0</v>
      </c>
      <c r="Q698">
        <f>IF(COUNTIFS('United Data'!$A$3:$A$3390,Q$1,'United Data'!$C$3:$C$3390,$A698,'United Data'!$B$3:$B$3390,"&lt;&gt;Off-street")&gt;0,1,0)</f>
        <v>0</v>
      </c>
      <c r="R698">
        <f>IF(COUNTIFS('United Data'!$A$3:$A$3390,R$1,'United Data'!$C$3:$C$3390,$A698,'United Data'!$B$3:$B$3390,"&lt;&gt;Off-street")&gt;0,1,0)</f>
        <v>0</v>
      </c>
      <c r="S698">
        <f t="shared" si="20"/>
        <v>1</v>
      </c>
      <c r="T698">
        <f t="shared" si="21"/>
        <v>1</v>
      </c>
    </row>
    <row r="699" spans="1:20" x14ac:dyDescent="0.2">
      <c r="A699" t="s">
        <v>829</v>
      </c>
      <c r="B699">
        <f>IF(COUNTIFS('United Data'!$A$3:$A$3390,B$1,'United Data'!$C$3:$C$3390,$A699,'United Data'!$B$3:$B$3390,"&lt;&gt;Off-street")&gt;0,1,0)</f>
        <v>0</v>
      </c>
      <c r="C699">
        <f>IF(COUNTIFS('United Data'!$A$3:$A$3390,C$1,'United Data'!$C$3:$C$3390,$A699,'United Data'!$B$3:$B$3390,"&lt;&gt;Off-street")&gt;0,1,0)</f>
        <v>1</v>
      </c>
      <c r="D699">
        <f>IF(COUNTIFS('United Data'!$A$3:$A$3390,D$1,'United Data'!$C$3:$C$3390,$A699,'United Data'!$B$3:$B$3390,"&lt;&gt;Off-street")&gt;0,1,0)</f>
        <v>1</v>
      </c>
      <c r="E699">
        <f>IF(COUNTIFS('United Data'!$A$3:$A$3390,E$1,'United Data'!$C$3:$C$3390,$A699,'United Data'!$B$3:$B$3390,"&lt;&gt;Off-street")&gt;0,1,0)</f>
        <v>1</v>
      </c>
      <c r="F699">
        <f>IF(COUNTIFS('United Data'!$A$3:$A$3390,F$1,'United Data'!$C$3:$C$3390,$A699,'United Data'!$B$3:$B$3390,"&lt;&gt;Off-street")&gt;0,1,0)</f>
        <v>1</v>
      </c>
      <c r="G699">
        <f>IF(COUNTIFS('United Data'!$A$3:$A$3390,G$1,'United Data'!$C$3:$C$3390,$A699,'United Data'!$B$3:$B$3390,"&lt;&gt;Off-street")&gt;0,1,0)</f>
        <v>0</v>
      </c>
      <c r="H699">
        <f>IF(COUNTIFS('United Data'!$A$3:$A$3390,H$1,'United Data'!$C$3:$C$3390,$A699,'United Data'!$B$3:$B$3390,"&lt;&gt;Off-street")&gt;0,1,0)</f>
        <v>1</v>
      </c>
      <c r="I699">
        <f>IF(COUNTIFS('United Data'!$A$3:$A$3390,I$1,'United Data'!$C$3:$C$3390,$A699,'United Data'!$B$3:$B$3390,"&lt;&gt;Off-street")&gt;0,1,0)</f>
        <v>1</v>
      </c>
      <c r="J699">
        <f>IF(COUNTIFS('United Data'!$A$3:$A$3390,J$1,'United Data'!$C$3:$C$3390,$A699,'United Data'!$B$3:$B$3390,"&lt;&gt;Off-street")&gt;0,1,0)</f>
        <v>0</v>
      </c>
      <c r="K699">
        <f>IF(COUNTIFS('United Data'!$A$3:$A$3390,K$1,'United Data'!$C$3:$C$3390,$A699,'United Data'!$B$3:$B$3390,"&lt;&gt;Off-street")&gt;0,1,0)</f>
        <v>0</v>
      </c>
      <c r="L699">
        <f>IF(COUNTIFS('United Data'!$A$3:$A$3390,L$1,'United Data'!$C$3:$C$3390,$A699,'United Data'!$B$3:$B$3390,"&lt;&gt;Off-street")&gt;0,1,0)</f>
        <v>1</v>
      </c>
      <c r="M699">
        <f>IF(COUNTIFS('United Data'!$A$3:$A$3390,M$1,'United Data'!$C$3:$C$3390,$A699,'United Data'!$B$3:$B$3390,"&lt;&gt;Off-street")&gt;0,1,0)</f>
        <v>0</v>
      </c>
      <c r="N699">
        <f>IF(COUNTIFS('United Data'!$A$3:$A$3390,N$1,'United Data'!$C$3:$C$3390,$A699,'United Data'!$B$3:$B$3390,"&lt;&gt;Off-street")&gt;0,1,0)</f>
        <v>0</v>
      </c>
      <c r="O699">
        <f>IF(COUNTIFS('United Data'!$A$3:$A$3390,O$1,'United Data'!$C$3:$C$3390,$A699,'United Data'!$B$3:$B$3390,"&lt;&gt;Off-street")&gt;0,1,0)</f>
        <v>1</v>
      </c>
      <c r="P699">
        <f>IF(COUNTIFS('United Data'!$A$3:$A$3390,P$1,'United Data'!$C$3:$C$3390,$A699,'United Data'!$B$3:$B$3390,"&lt;&gt;Off-street")&gt;0,1,0)</f>
        <v>1</v>
      </c>
      <c r="Q699">
        <f>IF(COUNTIFS('United Data'!$A$3:$A$3390,Q$1,'United Data'!$C$3:$C$3390,$A699,'United Data'!$B$3:$B$3390,"&lt;&gt;Off-street")&gt;0,1,0)</f>
        <v>0</v>
      </c>
      <c r="R699">
        <f>IF(COUNTIFS('United Data'!$A$3:$A$3390,R$1,'United Data'!$C$3:$C$3390,$A699,'United Data'!$B$3:$B$3390,"&lt;&gt;Off-street")&gt;0,1,0)</f>
        <v>0</v>
      </c>
      <c r="S699">
        <f t="shared" si="20"/>
        <v>9</v>
      </c>
      <c r="T699">
        <f t="shared" si="21"/>
        <v>4</v>
      </c>
    </row>
    <row r="700" spans="1:20" x14ac:dyDescent="0.2">
      <c r="A700" t="s">
        <v>832</v>
      </c>
      <c r="B700">
        <f>IF(COUNTIFS('United Data'!$A$3:$A$3390,B$1,'United Data'!$C$3:$C$3390,$A700,'United Data'!$B$3:$B$3390,"&lt;&gt;Off-street")&gt;0,1,0)</f>
        <v>0</v>
      </c>
      <c r="C700">
        <f>IF(COUNTIFS('United Data'!$A$3:$A$3390,C$1,'United Data'!$C$3:$C$3390,$A700,'United Data'!$B$3:$B$3390,"&lt;&gt;Off-street")&gt;0,1,0)</f>
        <v>1</v>
      </c>
      <c r="D700">
        <f>IF(COUNTIFS('United Data'!$A$3:$A$3390,D$1,'United Data'!$C$3:$C$3390,$A700,'United Data'!$B$3:$B$3390,"&lt;&gt;Off-street")&gt;0,1,0)</f>
        <v>0</v>
      </c>
      <c r="E700">
        <f>IF(COUNTIFS('United Data'!$A$3:$A$3390,E$1,'United Data'!$C$3:$C$3390,$A700,'United Data'!$B$3:$B$3390,"&lt;&gt;Off-street")&gt;0,1,0)</f>
        <v>1</v>
      </c>
      <c r="F700">
        <f>IF(COUNTIFS('United Data'!$A$3:$A$3390,F$1,'United Data'!$C$3:$C$3390,$A700,'United Data'!$B$3:$B$3390,"&lt;&gt;Off-street")&gt;0,1,0)</f>
        <v>0</v>
      </c>
      <c r="G700">
        <f>IF(COUNTIFS('United Data'!$A$3:$A$3390,G$1,'United Data'!$C$3:$C$3390,$A700,'United Data'!$B$3:$B$3390,"&lt;&gt;Off-street")&gt;0,1,0)</f>
        <v>0</v>
      </c>
      <c r="H700">
        <f>IF(COUNTIFS('United Data'!$A$3:$A$3390,H$1,'United Data'!$C$3:$C$3390,$A700,'United Data'!$B$3:$B$3390,"&lt;&gt;Off-street")&gt;0,1,0)</f>
        <v>1</v>
      </c>
      <c r="I700">
        <f>IF(COUNTIFS('United Data'!$A$3:$A$3390,I$1,'United Data'!$C$3:$C$3390,$A700,'United Data'!$B$3:$B$3390,"&lt;&gt;Off-street")&gt;0,1,0)</f>
        <v>0</v>
      </c>
      <c r="J700">
        <f>IF(COUNTIFS('United Data'!$A$3:$A$3390,J$1,'United Data'!$C$3:$C$3390,$A700,'United Data'!$B$3:$B$3390,"&lt;&gt;Off-street")&gt;0,1,0)</f>
        <v>0</v>
      </c>
      <c r="K700">
        <f>IF(COUNTIFS('United Data'!$A$3:$A$3390,K$1,'United Data'!$C$3:$C$3390,$A700,'United Data'!$B$3:$B$3390,"&lt;&gt;Off-street")&gt;0,1,0)</f>
        <v>0</v>
      </c>
      <c r="L700">
        <f>IF(COUNTIFS('United Data'!$A$3:$A$3390,L$1,'United Data'!$C$3:$C$3390,$A700,'United Data'!$B$3:$B$3390,"&lt;&gt;Off-street")&gt;0,1,0)</f>
        <v>0</v>
      </c>
      <c r="M700">
        <f>IF(COUNTIFS('United Data'!$A$3:$A$3390,M$1,'United Data'!$C$3:$C$3390,$A700,'United Data'!$B$3:$B$3390,"&lt;&gt;Off-street")&gt;0,1,0)</f>
        <v>0</v>
      </c>
      <c r="N700">
        <f>IF(COUNTIFS('United Data'!$A$3:$A$3390,N$1,'United Data'!$C$3:$C$3390,$A700,'United Data'!$B$3:$B$3390,"&lt;&gt;Off-street")&gt;0,1,0)</f>
        <v>1</v>
      </c>
      <c r="O700">
        <f>IF(COUNTIFS('United Data'!$A$3:$A$3390,O$1,'United Data'!$C$3:$C$3390,$A700,'United Data'!$B$3:$B$3390,"&lt;&gt;Off-street")&gt;0,1,0)</f>
        <v>0</v>
      </c>
      <c r="P700">
        <f>IF(COUNTIFS('United Data'!$A$3:$A$3390,P$1,'United Data'!$C$3:$C$3390,$A700,'United Data'!$B$3:$B$3390,"&lt;&gt;Off-street")&gt;0,1,0)</f>
        <v>0</v>
      </c>
      <c r="Q700">
        <f>IF(COUNTIFS('United Data'!$A$3:$A$3390,Q$1,'United Data'!$C$3:$C$3390,$A700,'United Data'!$B$3:$B$3390,"&lt;&gt;Off-street")&gt;0,1,0)</f>
        <v>0</v>
      </c>
      <c r="R700">
        <f>IF(COUNTIFS('United Data'!$A$3:$A$3390,R$1,'United Data'!$C$3:$C$3390,$A700,'United Data'!$B$3:$B$3390,"&lt;&gt;Off-street")&gt;0,1,0)</f>
        <v>0</v>
      </c>
      <c r="S700">
        <f t="shared" si="20"/>
        <v>4</v>
      </c>
      <c r="T700">
        <f t="shared" si="21"/>
        <v>4</v>
      </c>
    </row>
    <row r="701" spans="1:20" x14ac:dyDescent="0.2">
      <c r="A701" t="s">
        <v>833</v>
      </c>
      <c r="B701">
        <f>IF(COUNTIFS('United Data'!$A$3:$A$3390,B$1,'United Data'!$C$3:$C$3390,$A701,'United Data'!$B$3:$B$3390,"&lt;&gt;Off-street")&gt;0,1,0)</f>
        <v>0</v>
      </c>
      <c r="C701">
        <f>IF(COUNTIFS('United Data'!$A$3:$A$3390,C$1,'United Data'!$C$3:$C$3390,$A701,'United Data'!$B$3:$B$3390,"&lt;&gt;Off-street")&gt;0,1,0)</f>
        <v>1</v>
      </c>
      <c r="D701">
        <f>IF(COUNTIFS('United Data'!$A$3:$A$3390,D$1,'United Data'!$C$3:$C$3390,$A701,'United Data'!$B$3:$B$3390,"&lt;&gt;Off-street")&gt;0,1,0)</f>
        <v>0</v>
      </c>
      <c r="E701">
        <f>IF(COUNTIFS('United Data'!$A$3:$A$3390,E$1,'United Data'!$C$3:$C$3390,$A701,'United Data'!$B$3:$B$3390,"&lt;&gt;Off-street")&gt;0,1,0)</f>
        <v>0</v>
      </c>
      <c r="F701">
        <f>IF(COUNTIFS('United Data'!$A$3:$A$3390,F$1,'United Data'!$C$3:$C$3390,$A701,'United Data'!$B$3:$B$3390,"&lt;&gt;Off-street")&gt;0,1,0)</f>
        <v>0</v>
      </c>
      <c r="G701">
        <f>IF(COUNTIFS('United Data'!$A$3:$A$3390,G$1,'United Data'!$C$3:$C$3390,$A701,'United Data'!$B$3:$B$3390,"&lt;&gt;Off-street")&gt;0,1,0)</f>
        <v>0</v>
      </c>
      <c r="H701">
        <f>IF(COUNTIFS('United Data'!$A$3:$A$3390,H$1,'United Data'!$C$3:$C$3390,$A701,'United Data'!$B$3:$B$3390,"&lt;&gt;Off-street")&gt;0,1,0)</f>
        <v>0</v>
      </c>
      <c r="I701">
        <f>IF(COUNTIFS('United Data'!$A$3:$A$3390,I$1,'United Data'!$C$3:$C$3390,$A701,'United Data'!$B$3:$B$3390,"&lt;&gt;Off-street")&gt;0,1,0)</f>
        <v>0</v>
      </c>
      <c r="J701">
        <f>IF(COUNTIFS('United Data'!$A$3:$A$3390,J$1,'United Data'!$C$3:$C$3390,$A701,'United Data'!$B$3:$B$3390,"&lt;&gt;Off-street")&gt;0,1,0)</f>
        <v>0</v>
      </c>
      <c r="K701">
        <f>IF(COUNTIFS('United Data'!$A$3:$A$3390,K$1,'United Data'!$C$3:$C$3390,$A701,'United Data'!$B$3:$B$3390,"&lt;&gt;Off-street")&gt;0,1,0)</f>
        <v>0</v>
      </c>
      <c r="L701">
        <f>IF(COUNTIFS('United Data'!$A$3:$A$3390,L$1,'United Data'!$C$3:$C$3390,$A701,'United Data'!$B$3:$B$3390,"&lt;&gt;Off-street")&gt;0,1,0)</f>
        <v>0</v>
      </c>
      <c r="M701">
        <f>IF(COUNTIFS('United Data'!$A$3:$A$3390,M$1,'United Data'!$C$3:$C$3390,$A701,'United Data'!$B$3:$B$3390,"&lt;&gt;Off-street")&gt;0,1,0)</f>
        <v>0</v>
      </c>
      <c r="N701">
        <f>IF(COUNTIFS('United Data'!$A$3:$A$3390,N$1,'United Data'!$C$3:$C$3390,$A701,'United Data'!$B$3:$B$3390,"&lt;&gt;Off-street")&gt;0,1,0)</f>
        <v>0</v>
      </c>
      <c r="O701">
        <f>IF(COUNTIFS('United Data'!$A$3:$A$3390,O$1,'United Data'!$C$3:$C$3390,$A701,'United Data'!$B$3:$B$3390,"&lt;&gt;Off-street")&gt;0,1,0)</f>
        <v>0</v>
      </c>
      <c r="P701">
        <f>IF(COUNTIFS('United Data'!$A$3:$A$3390,P$1,'United Data'!$C$3:$C$3390,$A701,'United Data'!$B$3:$B$3390,"&lt;&gt;Off-street")&gt;0,1,0)</f>
        <v>0</v>
      </c>
      <c r="Q701">
        <f>IF(COUNTIFS('United Data'!$A$3:$A$3390,Q$1,'United Data'!$C$3:$C$3390,$A701,'United Data'!$B$3:$B$3390,"&lt;&gt;Off-street")&gt;0,1,0)</f>
        <v>0</v>
      </c>
      <c r="R701">
        <f>IF(COUNTIFS('United Data'!$A$3:$A$3390,R$1,'United Data'!$C$3:$C$3390,$A701,'United Data'!$B$3:$B$3390,"&lt;&gt;Off-street")&gt;0,1,0)</f>
        <v>0</v>
      </c>
      <c r="S701">
        <f t="shared" si="20"/>
        <v>1</v>
      </c>
      <c r="T701">
        <f t="shared" si="21"/>
        <v>1</v>
      </c>
    </row>
    <row r="702" spans="1:20" x14ac:dyDescent="0.2">
      <c r="A702" t="s">
        <v>834</v>
      </c>
      <c r="B702">
        <f>IF(COUNTIFS('United Data'!$A$3:$A$3390,B$1,'United Data'!$C$3:$C$3390,$A702,'United Data'!$B$3:$B$3390,"&lt;&gt;Off-street")&gt;0,1,0)</f>
        <v>0</v>
      </c>
      <c r="C702">
        <f>IF(COUNTIFS('United Data'!$A$3:$A$3390,C$1,'United Data'!$C$3:$C$3390,$A702,'United Data'!$B$3:$B$3390,"&lt;&gt;Off-street")&gt;0,1,0)</f>
        <v>1</v>
      </c>
      <c r="D702">
        <f>IF(COUNTIFS('United Data'!$A$3:$A$3390,D$1,'United Data'!$C$3:$C$3390,$A702,'United Data'!$B$3:$B$3390,"&lt;&gt;Off-street")&gt;0,1,0)</f>
        <v>0</v>
      </c>
      <c r="E702">
        <f>IF(COUNTIFS('United Data'!$A$3:$A$3390,E$1,'United Data'!$C$3:$C$3390,$A702,'United Data'!$B$3:$B$3390,"&lt;&gt;Off-street")&gt;0,1,0)</f>
        <v>0</v>
      </c>
      <c r="F702">
        <f>IF(COUNTIFS('United Data'!$A$3:$A$3390,F$1,'United Data'!$C$3:$C$3390,$A702,'United Data'!$B$3:$B$3390,"&lt;&gt;Off-street")&gt;0,1,0)</f>
        <v>0</v>
      </c>
      <c r="G702">
        <f>IF(COUNTIFS('United Data'!$A$3:$A$3390,G$1,'United Data'!$C$3:$C$3390,$A702,'United Data'!$B$3:$B$3390,"&lt;&gt;Off-street")&gt;0,1,0)</f>
        <v>0</v>
      </c>
      <c r="H702">
        <f>IF(COUNTIFS('United Data'!$A$3:$A$3390,H$1,'United Data'!$C$3:$C$3390,$A702,'United Data'!$B$3:$B$3390,"&lt;&gt;Off-street")&gt;0,1,0)</f>
        <v>0</v>
      </c>
      <c r="I702">
        <f>IF(COUNTIFS('United Data'!$A$3:$A$3390,I$1,'United Data'!$C$3:$C$3390,$A702,'United Data'!$B$3:$B$3390,"&lt;&gt;Off-street")&gt;0,1,0)</f>
        <v>0</v>
      </c>
      <c r="J702">
        <f>IF(COUNTIFS('United Data'!$A$3:$A$3390,J$1,'United Data'!$C$3:$C$3390,$A702,'United Data'!$B$3:$B$3390,"&lt;&gt;Off-street")&gt;0,1,0)</f>
        <v>0</v>
      </c>
      <c r="K702">
        <f>IF(COUNTIFS('United Data'!$A$3:$A$3390,K$1,'United Data'!$C$3:$C$3390,$A702,'United Data'!$B$3:$B$3390,"&lt;&gt;Off-street")&gt;0,1,0)</f>
        <v>0</v>
      </c>
      <c r="L702">
        <f>IF(COUNTIFS('United Data'!$A$3:$A$3390,L$1,'United Data'!$C$3:$C$3390,$A702,'United Data'!$B$3:$B$3390,"&lt;&gt;Off-street")&gt;0,1,0)</f>
        <v>0</v>
      </c>
      <c r="M702">
        <f>IF(COUNTIFS('United Data'!$A$3:$A$3390,M$1,'United Data'!$C$3:$C$3390,$A702,'United Data'!$B$3:$B$3390,"&lt;&gt;Off-street")&gt;0,1,0)</f>
        <v>0</v>
      </c>
      <c r="N702">
        <f>IF(COUNTIFS('United Data'!$A$3:$A$3390,N$1,'United Data'!$C$3:$C$3390,$A702,'United Data'!$B$3:$B$3390,"&lt;&gt;Off-street")&gt;0,1,0)</f>
        <v>0</v>
      </c>
      <c r="O702">
        <f>IF(COUNTIFS('United Data'!$A$3:$A$3390,O$1,'United Data'!$C$3:$C$3390,$A702,'United Data'!$B$3:$B$3390,"&lt;&gt;Off-street")&gt;0,1,0)</f>
        <v>0</v>
      </c>
      <c r="P702">
        <f>IF(COUNTIFS('United Data'!$A$3:$A$3390,P$1,'United Data'!$C$3:$C$3390,$A702,'United Data'!$B$3:$B$3390,"&lt;&gt;Off-street")&gt;0,1,0)</f>
        <v>0</v>
      </c>
      <c r="Q702">
        <f>IF(COUNTIFS('United Data'!$A$3:$A$3390,Q$1,'United Data'!$C$3:$C$3390,$A702,'United Data'!$B$3:$B$3390,"&lt;&gt;Off-street")&gt;0,1,0)</f>
        <v>0</v>
      </c>
      <c r="R702">
        <f>IF(COUNTIFS('United Data'!$A$3:$A$3390,R$1,'United Data'!$C$3:$C$3390,$A702,'United Data'!$B$3:$B$3390,"&lt;&gt;Off-street")&gt;0,1,0)</f>
        <v>0</v>
      </c>
      <c r="S702">
        <f t="shared" si="20"/>
        <v>1</v>
      </c>
      <c r="T702">
        <f t="shared" si="21"/>
        <v>1</v>
      </c>
    </row>
    <row r="703" spans="1:20" x14ac:dyDescent="0.2">
      <c r="A703" t="s">
        <v>835</v>
      </c>
      <c r="B703">
        <f>IF(COUNTIFS('United Data'!$A$3:$A$3390,B$1,'United Data'!$C$3:$C$3390,$A703,'United Data'!$B$3:$B$3390,"&lt;&gt;Off-street")&gt;0,1,0)</f>
        <v>0</v>
      </c>
      <c r="C703">
        <f>IF(COUNTIFS('United Data'!$A$3:$A$3390,C$1,'United Data'!$C$3:$C$3390,$A703,'United Data'!$B$3:$B$3390,"&lt;&gt;Off-street")&gt;0,1,0)</f>
        <v>1</v>
      </c>
      <c r="D703">
        <f>IF(COUNTIFS('United Data'!$A$3:$A$3390,D$1,'United Data'!$C$3:$C$3390,$A703,'United Data'!$B$3:$B$3390,"&lt;&gt;Off-street")&gt;0,1,0)</f>
        <v>0</v>
      </c>
      <c r="E703">
        <f>IF(COUNTIFS('United Data'!$A$3:$A$3390,E$1,'United Data'!$C$3:$C$3390,$A703,'United Data'!$B$3:$B$3390,"&lt;&gt;Off-street")&gt;0,1,0)</f>
        <v>1</v>
      </c>
      <c r="F703">
        <f>IF(COUNTIFS('United Data'!$A$3:$A$3390,F$1,'United Data'!$C$3:$C$3390,$A703,'United Data'!$B$3:$B$3390,"&lt;&gt;Off-street")&gt;0,1,0)</f>
        <v>0</v>
      </c>
      <c r="G703">
        <f>IF(COUNTIFS('United Data'!$A$3:$A$3390,G$1,'United Data'!$C$3:$C$3390,$A703,'United Data'!$B$3:$B$3390,"&lt;&gt;Off-street")&gt;0,1,0)</f>
        <v>0</v>
      </c>
      <c r="H703">
        <f>IF(COUNTIFS('United Data'!$A$3:$A$3390,H$1,'United Data'!$C$3:$C$3390,$A703,'United Data'!$B$3:$B$3390,"&lt;&gt;Off-street")&gt;0,1,0)</f>
        <v>0</v>
      </c>
      <c r="I703">
        <f>IF(COUNTIFS('United Data'!$A$3:$A$3390,I$1,'United Data'!$C$3:$C$3390,$A703,'United Data'!$B$3:$B$3390,"&lt;&gt;Off-street")&gt;0,1,0)</f>
        <v>0</v>
      </c>
      <c r="J703">
        <f>IF(COUNTIFS('United Data'!$A$3:$A$3390,J$1,'United Data'!$C$3:$C$3390,$A703,'United Data'!$B$3:$B$3390,"&lt;&gt;Off-street")&gt;0,1,0)</f>
        <v>1</v>
      </c>
      <c r="K703">
        <f>IF(COUNTIFS('United Data'!$A$3:$A$3390,K$1,'United Data'!$C$3:$C$3390,$A703,'United Data'!$B$3:$B$3390,"&lt;&gt;Off-street")&gt;0,1,0)</f>
        <v>0</v>
      </c>
      <c r="L703">
        <f>IF(COUNTIFS('United Data'!$A$3:$A$3390,L$1,'United Data'!$C$3:$C$3390,$A703,'United Data'!$B$3:$B$3390,"&lt;&gt;Off-street")&gt;0,1,0)</f>
        <v>1</v>
      </c>
      <c r="M703">
        <f>IF(COUNTIFS('United Data'!$A$3:$A$3390,M$1,'United Data'!$C$3:$C$3390,$A703,'United Data'!$B$3:$B$3390,"&lt;&gt;Off-street")&gt;0,1,0)</f>
        <v>0</v>
      </c>
      <c r="N703">
        <f>IF(COUNTIFS('United Data'!$A$3:$A$3390,N$1,'United Data'!$C$3:$C$3390,$A703,'United Data'!$B$3:$B$3390,"&lt;&gt;Off-street")&gt;0,1,0)</f>
        <v>1</v>
      </c>
      <c r="O703">
        <f>IF(COUNTIFS('United Data'!$A$3:$A$3390,O$1,'United Data'!$C$3:$C$3390,$A703,'United Data'!$B$3:$B$3390,"&lt;&gt;Off-street")&gt;0,1,0)</f>
        <v>1</v>
      </c>
      <c r="P703">
        <f>IF(COUNTIFS('United Data'!$A$3:$A$3390,P$1,'United Data'!$C$3:$C$3390,$A703,'United Data'!$B$3:$B$3390,"&lt;&gt;Off-street")&gt;0,1,0)</f>
        <v>1</v>
      </c>
      <c r="Q703">
        <f>IF(COUNTIFS('United Data'!$A$3:$A$3390,Q$1,'United Data'!$C$3:$C$3390,$A703,'United Data'!$B$3:$B$3390,"&lt;&gt;Off-street")&gt;0,1,0)</f>
        <v>0</v>
      </c>
      <c r="R703">
        <f>IF(COUNTIFS('United Data'!$A$3:$A$3390,R$1,'United Data'!$C$3:$C$3390,$A703,'United Data'!$B$3:$B$3390,"&lt;&gt;Off-street")&gt;0,1,0)</f>
        <v>0</v>
      </c>
      <c r="S703">
        <f t="shared" si="20"/>
        <v>7</v>
      </c>
      <c r="T703">
        <f t="shared" si="21"/>
        <v>5</v>
      </c>
    </row>
    <row r="704" spans="1:20" x14ac:dyDescent="0.2">
      <c r="A704" t="s">
        <v>836</v>
      </c>
      <c r="B704">
        <f>IF(COUNTIFS('United Data'!$A$3:$A$3390,B$1,'United Data'!$C$3:$C$3390,$A704,'United Data'!$B$3:$B$3390,"&lt;&gt;Off-street")&gt;0,1,0)</f>
        <v>0</v>
      </c>
      <c r="C704">
        <f>IF(COUNTIFS('United Data'!$A$3:$A$3390,C$1,'United Data'!$C$3:$C$3390,$A704,'United Data'!$B$3:$B$3390,"&lt;&gt;Off-street")&gt;0,1,0)</f>
        <v>0</v>
      </c>
      <c r="D704">
        <f>IF(COUNTIFS('United Data'!$A$3:$A$3390,D$1,'United Data'!$C$3:$C$3390,$A704,'United Data'!$B$3:$B$3390,"&lt;&gt;Off-street")&gt;0,1,0)</f>
        <v>1</v>
      </c>
      <c r="E704">
        <f>IF(COUNTIFS('United Data'!$A$3:$A$3390,E$1,'United Data'!$C$3:$C$3390,$A704,'United Data'!$B$3:$B$3390,"&lt;&gt;Off-street")&gt;0,1,0)</f>
        <v>0</v>
      </c>
      <c r="F704">
        <f>IF(COUNTIFS('United Data'!$A$3:$A$3390,F$1,'United Data'!$C$3:$C$3390,$A704,'United Data'!$B$3:$B$3390,"&lt;&gt;Off-street")&gt;0,1,0)</f>
        <v>0</v>
      </c>
      <c r="G704">
        <f>IF(COUNTIFS('United Data'!$A$3:$A$3390,G$1,'United Data'!$C$3:$C$3390,$A704,'United Data'!$B$3:$B$3390,"&lt;&gt;Off-street")&gt;0,1,0)</f>
        <v>0</v>
      </c>
      <c r="H704">
        <f>IF(COUNTIFS('United Data'!$A$3:$A$3390,H$1,'United Data'!$C$3:$C$3390,$A704,'United Data'!$B$3:$B$3390,"&lt;&gt;Off-street")&gt;0,1,0)</f>
        <v>0</v>
      </c>
      <c r="I704">
        <f>IF(COUNTIFS('United Data'!$A$3:$A$3390,I$1,'United Data'!$C$3:$C$3390,$A704,'United Data'!$B$3:$B$3390,"&lt;&gt;Off-street")&gt;0,1,0)</f>
        <v>0</v>
      </c>
      <c r="J704">
        <f>IF(COUNTIFS('United Data'!$A$3:$A$3390,J$1,'United Data'!$C$3:$C$3390,$A704,'United Data'!$B$3:$B$3390,"&lt;&gt;Off-street")&gt;0,1,0)</f>
        <v>0</v>
      </c>
      <c r="K704">
        <f>IF(COUNTIFS('United Data'!$A$3:$A$3390,K$1,'United Data'!$C$3:$C$3390,$A704,'United Data'!$B$3:$B$3390,"&lt;&gt;Off-street")&gt;0,1,0)</f>
        <v>0</v>
      </c>
      <c r="L704">
        <f>IF(COUNTIFS('United Data'!$A$3:$A$3390,L$1,'United Data'!$C$3:$C$3390,$A704,'United Data'!$B$3:$B$3390,"&lt;&gt;Off-street")&gt;0,1,0)</f>
        <v>0</v>
      </c>
      <c r="M704">
        <f>IF(COUNTIFS('United Data'!$A$3:$A$3390,M$1,'United Data'!$C$3:$C$3390,$A704,'United Data'!$B$3:$B$3390,"&lt;&gt;Off-street")&gt;0,1,0)</f>
        <v>0</v>
      </c>
      <c r="N704">
        <f>IF(COUNTIFS('United Data'!$A$3:$A$3390,N$1,'United Data'!$C$3:$C$3390,$A704,'United Data'!$B$3:$B$3390,"&lt;&gt;Off-street")&gt;0,1,0)</f>
        <v>0</v>
      </c>
      <c r="O704">
        <f>IF(COUNTIFS('United Data'!$A$3:$A$3390,O$1,'United Data'!$C$3:$C$3390,$A704,'United Data'!$B$3:$B$3390,"&lt;&gt;Off-street")&gt;0,1,0)</f>
        <v>0</v>
      </c>
      <c r="P704">
        <f>IF(COUNTIFS('United Data'!$A$3:$A$3390,P$1,'United Data'!$C$3:$C$3390,$A704,'United Data'!$B$3:$B$3390,"&lt;&gt;Off-street")&gt;0,1,0)</f>
        <v>0</v>
      </c>
      <c r="Q704">
        <f>IF(COUNTIFS('United Data'!$A$3:$A$3390,Q$1,'United Data'!$C$3:$C$3390,$A704,'United Data'!$B$3:$B$3390,"&lt;&gt;Off-street")&gt;0,1,0)</f>
        <v>0</v>
      </c>
      <c r="R704">
        <f>IF(COUNTIFS('United Data'!$A$3:$A$3390,R$1,'United Data'!$C$3:$C$3390,$A704,'United Data'!$B$3:$B$3390,"&lt;&gt;Off-street")&gt;0,1,0)</f>
        <v>0</v>
      </c>
      <c r="S704">
        <f t="shared" si="20"/>
        <v>1</v>
      </c>
      <c r="T704">
        <f t="shared" si="21"/>
        <v>1</v>
      </c>
    </row>
    <row r="705" spans="1:20" x14ac:dyDescent="0.2">
      <c r="A705" t="s">
        <v>837</v>
      </c>
      <c r="B705">
        <f>IF(COUNTIFS('United Data'!$A$3:$A$3390,B$1,'United Data'!$C$3:$C$3390,$A705,'United Data'!$B$3:$B$3390,"&lt;&gt;Off-street")&gt;0,1,0)</f>
        <v>0</v>
      </c>
      <c r="C705">
        <f>IF(COUNTIFS('United Data'!$A$3:$A$3390,C$1,'United Data'!$C$3:$C$3390,$A705,'United Data'!$B$3:$B$3390,"&lt;&gt;Off-street")&gt;0,1,0)</f>
        <v>0</v>
      </c>
      <c r="D705">
        <f>IF(COUNTIFS('United Data'!$A$3:$A$3390,D$1,'United Data'!$C$3:$C$3390,$A705,'United Data'!$B$3:$B$3390,"&lt;&gt;Off-street")&gt;0,1,0)</f>
        <v>1</v>
      </c>
      <c r="E705">
        <f>IF(COUNTIFS('United Data'!$A$3:$A$3390,E$1,'United Data'!$C$3:$C$3390,$A705,'United Data'!$B$3:$B$3390,"&lt;&gt;Off-street")&gt;0,1,0)</f>
        <v>0</v>
      </c>
      <c r="F705">
        <f>IF(COUNTIFS('United Data'!$A$3:$A$3390,F$1,'United Data'!$C$3:$C$3390,$A705,'United Data'!$B$3:$B$3390,"&lt;&gt;Off-street")&gt;0,1,0)</f>
        <v>0</v>
      </c>
      <c r="G705">
        <f>IF(COUNTIFS('United Data'!$A$3:$A$3390,G$1,'United Data'!$C$3:$C$3390,$A705,'United Data'!$B$3:$B$3390,"&lt;&gt;Off-street")&gt;0,1,0)</f>
        <v>0</v>
      </c>
      <c r="H705">
        <f>IF(COUNTIFS('United Data'!$A$3:$A$3390,H$1,'United Data'!$C$3:$C$3390,$A705,'United Data'!$B$3:$B$3390,"&lt;&gt;Off-street")&gt;0,1,0)</f>
        <v>0</v>
      </c>
      <c r="I705">
        <f>IF(COUNTIFS('United Data'!$A$3:$A$3390,I$1,'United Data'!$C$3:$C$3390,$A705,'United Data'!$B$3:$B$3390,"&lt;&gt;Off-street")&gt;0,1,0)</f>
        <v>0</v>
      </c>
      <c r="J705">
        <f>IF(COUNTIFS('United Data'!$A$3:$A$3390,J$1,'United Data'!$C$3:$C$3390,$A705,'United Data'!$B$3:$B$3390,"&lt;&gt;Off-street")&gt;0,1,0)</f>
        <v>0</v>
      </c>
      <c r="K705">
        <f>IF(COUNTIFS('United Data'!$A$3:$A$3390,K$1,'United Data'!$C$3:$C$3390,$A705,'United Data'!$B$3:$B$3390,"&lt;&gt;Off-street")&gt;0,1,0)</f>
        <v>0</v>
      </c>
      <c r="L705">
        <f>IF(COUNTIFS('United Data'!$A$3:$A$3390,L$1,'United Data'!$C$3:$C$3390,$A705,'United Data'!$B$3:$B$3390,"&lt;&gt;Off-street")&gt;0,1,0)</f>
        <v>0</v>
      </c>
      <c r="M705">
        <f>IF(COUNTIFS('United Data'!$A$3:$A$3390,M$1,'United Data'!$C$3:$C$3390,$A705,'United Data'!$B$3:$B$3390,"&lt;&gt;Off-street")&gt;0,1,0)</f>
        <v>0</v>
      </c>
      <c r="N705">
        <f>IF(COUNTIFS('United Data'!$A$3:$A$3390,N$1,'United Data'!$C$3:$C$3390,$A705,'United Data'!$B$3:$B$3390,"&lt;&gt;Off-street")&gt;0,1,0)</f>
        <v>0</v>
      </c>
      <c r="O705">
        <f>IF(COUNTIFS('United Data'!$A$3:$A$3390,O$1,'United Data'!$C$3:$C$3390,$A705,'United Data'!$B$3:$B$3390,"&lt;&gt;Off-street")&gt;0,1,0)</f>
        <v>0</v>
      </c>
      <c r="P705">
        <f>IF(COUNTIFS('United Data'!$A$3:$A$3390,P$1,'United Data'!$C$3:$C$3390,$A705,'United Data'!$B$3:$B$3390,"&lt;&gt;Off-street")&gt;0,1,0)</f>
        <v>0</v>
      </c>
      <c r="Q705">
        <f>IF(COUNTIFS('United Data'!$A$3:$A$3390,Q$1,'United Data'!$C$3:$C$3390,$A705,'United Data'!$B$3:$B$3390,"&lt;&gt;Off-street")&gt;0,1,0)</f>
        <v>0</v>
      </c>
      <c r="R705">
        <f>IF(COUNTIFS('United Data'!$A$3:$A$3390,R$1,'United Data'!$C$3:$C$3390,$A705,'United Data'!$B$3:$B$3390,"&lt;&gt;Off-street")&gt;0,1,0)</f>
        <v>0</v>
      </c>
      <c r="S705">
        <f t="shared" si="20"/>
        <v>1</v>
      </c>
      <c r="T705">
        <f t="shared" si="21"/>
        <v>1</v>
      </c>
    </row>
    <row r="706" spans="1:20" x14ac:dyDescent="0.2">
      <c r="A706" t="s">
        <v>838</v>
      </c>
      <c r="B706">
        <f>IF(COUNTIFS('United Data'!$A$3:$A$3390,B$1,'United Data'!$C$3:$C$3390,$A706,'United Data'!$B$3:$B$3390,"&lt;&gt;Off-street")&gt;0,1,0)</f>
        <v>0</v>
      </c>
      <c r="C706">
        <f>IF(COUNTIFS('United Data'!$A$3:$A$3390,C$1,'United Data'!$C$3:$C$3390,$A706,'United Data'!$B$3:$B$3390,"&lt;&gt;Off-street")&gt;0,1,0)</f>
        <v>0</v>
      </c>
      <c r="D706">
        <f>IF(COUNTIFS('United Data'!$A$3:$A$3390,D$1,'United Data'!$C$3:$C$3390,$A706,'United Data'!$B$3:$B$3390,"&lt;&gt;Off-street")&gt;0,1,0)</f>
        <v>1</v>
      </c>
      <c r="E706">
        <f>IF(COUNTIFS('United Data'!$A$3:$A$3390,E$1,'United Data'!$C$3:$C$3390,$A706,'United Data'!$B$3:$B$3390,"&lt;&gt;Off-street")&gt;0,1,0)</f>
        <v>0</v>
      </c>
      <c r="F706">
        <f>IF(COUNTIFS('United Data'!$A$3:$A$3390,F$1,'United Data'!$C$3:$C$3390,$A706,'United Data'!$B$3:$B$3390,"&lt;&gt;Off-street")&gt;0,1,0)</f>
        <v>0</v>
      </c>
      <c r="G706">
        <f>IF(COUNTIFS('United Data'!$A$3:$A$3390,G$1,'United Data'!$C$3:$C$3390,$A706,'United Data'!$B$3:$B$3390,"&lt;&gt;Off-street")&gt;0,1,0)</f>
        <v>0</v>
      </c>
      <c r="H706">
        <f>IF(COUNTIFS('United Data'!$A$3:$A$3390,H$1,'United Data'!$C$3:$C$3390,$A706,'United Data'!$B$3:$B$3390,"&lt;&gt;Off-street")&gt;0,1,0)</f>
        <v>0</v>
      </c>
      <c r="I706">
        <f>IF(COUNTIFS('United Data'!$A$3:$A$3390,I$1,'United Data'!$C$3:$C$3390,$A706,'United Data'!$B$3:$B$3390,"&lt;&gt;Off-street")&gt;0,1,0)</f>
        <v>0</v>
      </c>
      <c r="J706">
        <f>IF(COUNTIFS('United Data'!$A$3:$A$3390,J$1,'United Data'!$C$3:$C$3390,$A706,'United Data'!$B$3:$B$3390,"&lt;&gt;Off-street")&gt;0,1,0)</f>
        <v>0</v>
      </c>
      <c r="K706">
        <f>IF(COUNTIFS('United Data'!$A$3:$A$3390,K$1,'United Data'!$C$3:$C$3390,$A706,'United Data'!$B$3:$B$3390,"&lt;&gt;Off-street")&gt;0,1,0)</f>
        <v>0</v>
      </c>
      <c r="L706">
        <f>IF(COUNTIFS('United Data'!$A$3:$A$3390,L$1,'United Data'!$C$3:$C$3390,$A706,'United Data'!$B$3:$B$3390,"&lt;&gt;Off-street")&gt;0,1,0)</f>
        <v>0</v>
      </c>
      <c r="M706">
        <f>IF(COUNTIFS('United Data'!$A$3:$A$3390,M$1,'United Data'!$C$3:$C$3390,$A706,'United Data'!$B$3:$B$3390,"&lt;&gt;Off-street")&gt;0,1,0)</f>
        <v>0</v>
      </c>
      <c r="N706">
        <f>IF(COUNTIFS('United Data'!$A$3:$A$3390,N$1,'United Data'!$C$3:$C$3390,$A706,'United Data'!$B$3:$B$3390,"&lt;&gt;Off-street")&gt;0,1,0)</f>
        <v>0</v>
      </c>
      <c r="O706">
        <f>IF(COUNTIFS('United Data'!$A$3:$A$3390,O$1,'United Data'!$C$3:$C$3390,$A706,'United Data'!$B$3:$B$3390,"&lt;&gt;Off-street")&gt;0,1,0)</f>
        <v>0</v>
      </c>
      <c r="P706">
        <f>IF(COUNTIFS('United Data'!$A$3:$A$3390,P$1,'United Data'!$C$3:$C$3390,$A706,'United Data'!$B$3:$B$3390,"&lt;&gt;Off-street")&gt;0,1,0)</f>
        <v>0</v>
      </c>
      <c r="Q706">
        <f>IF(COUNTIFS('United Data'!$A$3:$A$3390,Q$1,'United Data'!$C$3:$C$3390,$A706,'United Data'!$B$3:$B$3390,"&lt;&gt;Off-street")&gt;0,1,0)</f>
        <v>0</v>
      </c>
      <c r="R706">
        <f>IF(COUNTIFS('United Data'!$A$3:$A$3390,R$1,'United Data'!$C$3:$C$3390,$A706,'United Data'!$B$3:$B$3390,"&lt;&gt;Off-street")&gt;0,1,0)</f>
        <v>0</v>
      </c>
      <c r="S706">
        <f t="shared" ref="S706:S769" si="22">SUM(B706:R706)</f>
        <v>1</v>
      </c>
      <c r="T706">
        <f t="shared" ref="T706:T769" si="23">B706+SUMPRODUCT(--(C706:R706&gt;B706:Q706))</f>
        <v>1</v>
      </c>
    </row>
    <row r="707" spans="1:20" x14ac:dyDescent="0.2">
      <c r="A707" t="s">
        <v>839</v>
      </c>
      <c r="B707">
        <f>IF(COUNTIFS('United Data'!$A$3:$A$3390,B$1,'United Data'!$C$3:$C$3390,$A707,'United Data'!$B$3:$B$3390,"&lt;&gt;Off-street")&gt;0,1,0)</f>
        <v>0</v>
      </c>
      <c r="C707">
        <f>IF(COUNTIFS('United Data'!$A$3:$A$3390,C$1,'United Data'!$C$3:$C$3390,$A707,'United Data'!$B$3:$B$3390,"&lt;&gt;Off-street")&gt;0,1,0)</f>
        <v>0</v>
      </c>
      <c r="D707">
        <f>IF(COUNTIFS('United Data'!$A$3:$A$3390,D$1,'United Data'!$C$3:$C$3390,$A707,'United Data'!$B$3:$B$3390,"&lt;&gt;Off-street")&gt;0,1,0)</f>
        <v>1</v>
      </c>
      <c r="E707">
        <f>IF(COUNTIFS('United Data'!$A$3:$A$3390,E$1,'United Data'!$C$3:$C$3390,$A707,'United Data'!$B$3:$B$3390,"&lt;&gt;Off-street")&gt;0,1,0)</f>
        <v>1</v>
      </c>
      <c r="F707">
        <f>IF(COUNTIFS('United Data'!$A$3:$A$3390,F$1,'United Data'!$C$3:$C$3390,$A707,'United Data'!$B$3:$B$3390,"&lt;&gt;Off-street")&gt;0,1,0)</f>
        <v>0</v>
      </c>
      <c r="G707">
        <f>IF(COUNTIFS('United Data'!$A$3:$A$3390,G$1,'United Data'!$C$3:$C$3390,$A707,'United Data'!$B$3:$B$3390,"&lt;&gt;Off-street")&gt;0,1,0)</f>
        <v>0</v>
      </c>
      <c r="H707">
        <f>IF(COUNTIFS('United Data'!$A$3:$A$3390,H$1,'United Data'!$C$3:$C$3390,$A707,'United Data'!$B$3:$B$3390,"&lt;&gt;Off-street")&gt;0,1,0)</f>
        <v>0</v>
      </c>
      <c r="I707">
        <f>IF(COUNTIFS('United Data'!$A$3:$A$3390,I$1,'United Data'!$C$3:$C$3390,$A707,'United Data'!$B$3:$B$3390,"&lt;&gt;Off-street")&gt;0,1,0)</f>
        <v>1</v>
      </c>
      <c r="J707">
        <f>IF(COUNTIFS('United Data'!$A$3:$A$3390,J$1,'United Data'!$C$3:$C$3390,$A707,'United Data'!$B$3:$B$3390,"&lt;&gt;Off-street")&gt;0,1,0)</f>
        <v>1</v>
      </c>
      <c r="K707">
        <f>IF(COUNTIFS('United Data'!$A$3:$A$3390,K$1,'United Data'!$C$3:$C$3390,$A707,'United Data'!$B$3:$B$3390,"&lt;&gt;Off-street")&gt;0,1,0)</f>
        <v>0</v>
      </c>
      <c r="L707">
        <f>IF(COUNTIFS('United Data'!$A$3:$A$3390,L$1,'United Data'!$C$3:$C$3390,$A707,'United Data'!$B$3:$B$3390,"&lt;&gt;Off-street")&gt;0,1,0)</f>
        <v>0</v>
      </c>
      <c r="M707">
        <f>IF(COUNTIFS('United Data'!$A$3:$A$3390,M$1,'United Data'!$C$3:$C$3390,$A707,'United Data'!$B$3:$B$3390,"&lt;&gt;Off-street")&gt;0,1,0)</f>
        <v>1</v>
      </c>
      <c r="N707">
        <f>IF(COUNTIFS('United Data'!$A$3:$A$3390,N$1,'United Data'!$C$3:$C$3390,$A707,'United Data'!$B$3:$B$3390,"&lt;&gt;Off-street")&gt;0,1,0)</f>
        <v>0</v>
      </c>
      <c r="O707">
        <f>IF(COUNTIFS('United Data'!$A$3:$A$3390,O$1,'United Data'!$C$3:$C$3390,$A707,'United Data'!$B$3:$B$3390,"&lt;&gt;Off-street")&gt;0,1,0)</f>
        <v>1</v>
      </c>
      <c r="P707">
        <f>IF(COUNTIFS('United Data'!$A$3:$A$3390,P$1,'United Data'!$C$3:$C$3390,$A707,'United Data'!$B$3:$B$3390,"&lt;&gt;Off-street")&gt;0,1,0)</f>
        <v>0</v>
      </c>
      <c r="Q707">
        <f>IF(COUNTIFS('United Data'!$A$3:$A$3390,Q$1,'United Data'!$C$3:$C$3390,$A707,'United Data'!$B$3:$B$3390,"&lt;&gt;Off-street")&gt;0,1,0)</f>
        <v>0</v>
      </c>
      <c r="R707">
        <f>IF(COUNTIFS('United Data'!$A$3:$A$3390,R$1,'United Data'!$C$3:$C$3390,$A707,'United Data'!$B$3:$B$3390,"&lt;&gt;Off-street")&gt;0,1,0)</f>
        <v>0</v>
      </c>
      <c r="S707">
        <f t="shared" si="22"/>
        <v>6</v>
      </c>
      <c r="T707">
        <f t="shared" si="23"/>
        <v>4</v>
      </c>
    </row>
    <row r="708" spans="1:20" x14ac:dyDescent="0.2">
      <c r="A708" t="s">
        <v>840</v>
      </c>
      <c r="B708">
        <f>IF(COUNTIFS('United Data'!$A$3:$A$3390,B$1,'United Data'!$C$3:$C$3390,$A708,'United Data'!$B$3:$B$3390,"&lt;&gt;Off-street")&gt;0,1,0)</f>
        <v>0</v>
      </c>
      <c r="C708">
        <f>IF(COUNTIFS('United Data'!$A$3:$A$3390,C$1,'United Data'!$C$3:$C$3390,$A708,'United Data'!$B$3:$B$3390,"&lt;&gt;Off-street")&gt;0,1,0)</f>
        <v>0</v>
      </c>
      <c r="D708">
        <f>IF(COUNTIFS('United Data'!$A$3:$A$3390,D$1,'United Data'!$C$3:$C$3390,$A708,'United Data'!$B$3:$B$3390,"&lt;&gt;Off-street")&gt;0,1,0)</f>
        <v>1</v>
      </c>
      <c r="E708">
        <f>IF(COUNTIFS('United Data'!$A$3:$A$3390,E$1,'United Data'!$C$3:$C$3390,$A708,'United Data'!$B$3:$B$3390,"&lt;&gt;Off-street")&gt;0,1,0)</f>
        <v>1</v>
      </c>
      <c r="F708">
        <f>IF(COUNTIFS('United Data'!$A$3:$A$3390,F$1,'United Data'!$C$3:$C$3390,$A708,'United Data'!$B$3:$B$3390,"&lt;&gt;Off-street")&gt;0,1,0)</f>
        <v>0</v>
      </c>
      <c r="G708">
        <f>IF(COUNTIFS('United Data'!$A$3:$A$3390,G$1,'United Data'!$C$3:$C$3390,$A708,'United Data'!$B$3:$B$3390,"&lt;&gt;Off-street")&gt;0,1,0)</f>
        <v>0</v>
      </c>
      <c r="H708">
        <f>IF(COUNTIFS('United Data'!$A$3:$A$3390,H$1,'United Data'!$C$3:$C$3390,$A708,'United Data'!$B$3:$B$3390,"&lt;&gt;Off-street")&gt;0,1,0)</f>
        <v>0</v>
      </c>
      <c r="I708">
        <f>IF(COUNTIFS('United Data'!$A$3:$A$3390,I$1,'United Data'!$C$3:$C$3390,$A708,'United Data'!$B$3:$B$3390,"&lt;&gt;Off-street")&gt;0,1,0)</f>
        <v>0</v>
      </c>
      <c r="J708">
        <f>IF(COUNTIFS('United Data'!$A$3:$A$3390,J$1,'United Data'!$C$3:$C$3390,$A708,'United Data'!$B$3:$B$3390,"&lt;&gt;Off-street")&gt;0,1,0)</f>
        <v>0</v>
      </c>
      <c r="K708">
        <f>IF(COUNTIFS('United Data'!$A$3:$A$3390,K$1,'United Data'!$C$3:$C$3390,$A708,'United Data'!$B$3:$B$3390,"&lt;&gt;Off-street")&gt;0,1,0)</f>
        <v>0</v>
      </c>
      <c r="L708">
        <f>IF(COUNTIFS('United Data'!$A$3:$A$3390,L$1,'United Data'!$C$3:$C$3390,$A708,'United Data'!$B$3:$B$3390,"&lt;&gt;Off-street")&gt;0,1,0)</f>
        <v>0</v>
      </c>
      <c r="M708">
        <f>IF(COUNTIFS('United Data'!$A$3:$A$3390,M$1,'United Data'!$C$3:$C$3390,$A708,'United Data'!$B$3:$B$3390,"&lt;&gt;Off-street")&gt;0,1,0)</f>
        <v>1</v>
      </c>
      <c r="N708">
        <f>IF(COUNTIFS('United Data'!$A$3:$A$3390,N$1,'United Data'!$C$3:$C$3390,$A708,'United Data'!$B$3:$B$3390,"&lt;&gt;Off-street")&gt;0,1,0)</f>
        <v>0</v>
      </c>
      <c r="O708">
        <f>IF(COUNTIFS('United Data'!$A$3:$A$3390,O$1,'United Data'!$C$3:$C$3390,$A708,'United Data'!$B$3:$B$3390,"&lt;&gt;Off-street")&gt;0,1,0)</f>
        <v>0</v>
      </c>
      <c r="P708">
        <f>IF(COUNTIFS('United Data'!$A$3:$A$3390,P$1,'United Data'!$C$3:$C$3390,$A708,'United Data'!$B$3:$B$3390,"&lt;&gt;Off-street")&gt;0,1,0)</f>
        <v>0</v>
      </c>
      <c r="Q708">
        <f>IF(COUNTIFS('United Data'!$A$3:$A$3390,Q$1,'United Data'!$C$3:$C$3390,$A708,'United Data'!$B$3:$B$3390,"&lt;&gt;Off-street")&gt;0,1,0)</f>
        <v>0</v>
      </c>
      <c r="R708">
        <f>IF(COUNTIFS('United Data'!$A$3:$A$3390,R$1,'United Data'!$C$3:$C$3390,$A708,'United Data'!$B$3:$B$3390,"&lt;&gt;Off-street")&gt;0,1,0)</f>
        <v>0</v>
      </c>
      <c r="S708">
        <f t="shared" si="22"/>
        <v>3</v>
      </c>
      <c r="T708">
        <f t="shared" si="23"/>
        <v>2</v>
      </c>
    </row>
    <row r="709" spans="1:20" x14ac:dyDescent="0.2">
      <c r="A709" t="s">
        <v>842</v>
      </c>
      <c r="B709">
        <f>IF(COUNTIFS('United Data'!$A$3:$A$3390,B$1,'United Data'!$C$3:$C$3390,$A709,'United Data'!$B$3:$B$3390,"&lt;&gt;Off-street")&gt;0,1,0)</f>
        <v>0</v>
      </c>
      <c r="C709">
        <f>IF(COUNTIFS('United Data'!$A$3:$A$3390,C$1,'United Data'!$C$3:$C$3390,$A709,'United Data'!$B$3:$B$3390,"&lt;&gt;Off-street")&gt;0,1,0)</f>
        <v>0</v>
      </c>
      <c r="D709">
        <f>IF(COUNTIFS('United Data'!$A$3:$A$3390,D$1,'United Data'!$C$3:$C$3390,$A709,'United Data'!$B$3:$B$3390,"&lt;&gt;Off-street")&gt;0,1,0)</f>
        <v>1</v>
      </c>
      <c r="E709">
        <f>IF(COUNTIFS('United Data'!$A$3:$A$3390,E$1,'United Data'!$C$3:$C$3390,$A709,'United Data'!$B$3:$B$3390,"&lt;&gt;Off-street")&gt;0,1,0)</f>
        <v>1</v>
      </c>
      <c r="F709">
        <f>IF(COUNTIFS('United Data'!$A$3:$A$3390,F$1,'United Data'!$C$3:$C$3390,$A709,'United Data'!$B$3:$B$3390,"&lt;&gt;Off-street")&gt;0,1,0)</f>
        <v>1</v>
      </c>
      <c r="G709">
        <f>IF(COUNTIFS('United Data'!$A$3:$A$3390,G$1,'United Data'!$C$3:$C$3390,$A709,'United Data'!$B$3:$B$3390,"&lt;&gt;Off-street")&gt;0,1,0)</f>
        <v>0</v>
      </c>
      <c r="H709">
        <f>IF(COUNTIFS('United Data'!$A$3:$A$3390,H$1,'United Data'!$C$3:$C$3390,$A709,'United Data'!$B$3:$B$3390,"&lt;&gt;Off-street")&gt;0,1,0)</f>
        <v>1</v>
      </c>
      <c r="I709">
        <f>IF(COUNTIFS('United Data'!$A$3:$A$3390,I$1,'United Data'!$C$3:$C$3390,$A709,'United Data'!$B$3:$B$3390,"&lt;&gt;Off-street")&gt;0,1,0)</f>
        <v>0</v>
      </c>
      <c r="J709">
        <f>IF(COUNTIFS('United Data'!$A$3:$A$3390,J$1,'United Data'!$C$3:$C$3390,$A709,'United Data'!$B$3:$B$3390,"&lt;&gt;Off-street")&gt;0,1,0)</f>
        <v>0</v>
      </c>
      <c r="K709">
        <f>IF(COUNTIFS('United Data'!$A$3:$A$3390,K$1,'United Data'!$C$3:$C$3390,$A709,'United Data'!$B$3:$B$3390,"&lt;&gt;Off-street")&gt;0,1,0)</f>
        <v>0</v>
      </c>
      <c r="L709">
        <f>IF(COUNTIFS('United Data'!$A$3:$A$3390,L$1,'United Data'!$C$3:$C$3390,$A709,'United Data'!$B$3:$B$3390,"&lt;&gt;Off-street")&gt;0,1,0)</f>
        <v>0</v>
      </c>
      <c r="M709">
        <f>IF(COUNTIFS('United Data'!$A$3:$A$3390,M$1,'United Data'!$C$3:$C$3390,$A709,'United Data'!$B$3:$B$3390,"&lt;&gt;Off-street")&gt;0,1,0)</f>
        <v>0</v>
      </c>
      <c r="N709">
        <f>IF(COUNTIFS('United Data'!$A$3:$A$3390,N$1,'United Data'!$C$3:$C$3390,$A709,'United Data'!$B$3:$B$3390,"&lt;&gt;Off-street")&gt;0,1,0)</f>
        <v>0</v>
      </c>
      <c r="O709">
        <f>IF(COUNTIFS('United Data'!$A$3:$A$3390,O$1,'United Data'!$C$3:$C$3390,$A709,'United Data'!$B$3:$B$3390,"&lt;&gt;Off-street")&gt;0,1,0)</f>
        <v>0</v>
      </c>
      <c r="P709">
        <f>IF(COUNTIFS('United Data'!$A$3:$A$3390,P$1,'United Data'!$C$3:$C$3390,$A709,'United Data'!$B$3:$B$3390,"&lt;&gt;Off-street")&gt;0,1,0)</f>
        <v>0</v>
      </c>
      <c r="Q709">
        <f>IF(COUNTIFS('United Data'!$A$3:$A$3390,Q$1,'United Data'!$C$3:$C$3390,$A709,'United Data'!$B$3:$B$3390,"&lt;&gt;Off-street")&gt;0,1,0)</f>
        <v>0</v>
      </c>
      <c r="R709">
        <f>IF(COUNTIFS('United Data'!$A$3:$A$3390,R$1,'United Data'!$C$3:$C$3390,$A709,'United Data'!$B$3:$B$3390,"&lt;&gt;Off-street")&gt;0,1,0)</f>
        <v>0</v>
      </c>
      <c r="S709">
        <f t="shared" si="22"/>
        <v>4</v>
      </c>
      <c r="T709">
        <f t="shared" si="23"/>
        <v>2</v>
      </c>
    </row>
    <row r="710" spans="1:20" x14ac:dyDescent="0.2">
      <c r="A710" t="s">
        <v>843</v>
      </c>
      <c r="B710">
        <f>IF(COUNTIFS('United Data'!$A$3:$A$3390,B$1,'United Data'!$C$3:$C$3390,$A710,'United Data'!$B$3:$B$3390,"&lt;&gt;Off-street")&gt;0,1,0)</f>
        <v>0</v>
      </c>
      <c r="C710">
        <f>IF(COUNTIFS('United Data'!$A$3:$A$3390,C$1,'United Data'!$C$3:$C$3390,$A710,'United Data'!$B$3:$B$3390,"&lt;&gt;Off-street")&gt;0,1,0)</f>
        <v>0</v>
      </c>
      <c r="D710">
        <f>IF(COUNTIFS('United Data'!$A$3:$A$3390,D$1,'United Data'!$C$3:$C$3390,$A710,'United Data'!$B$3:$B$3390,"&lt;&gt;Off-street")&gt;0,1,0)</f>
        <v>1</v>
      </c>
      <c r="E710">
        <f>IF(COUNTIFS('United Data'!$A$3:$A$3390,E$1,'United Data'!$C$3:$C$3390,$A710,'United Data'!$B$3:$B$3390,"&lt;&gt;Off-street")&gt;0,1,0)</f>
        <v>0</v>
      </c>
      <c r="F710">
        <f>IF(COUNTIFS('United Data'!$A$3:$A$3390,F$1,'United Data'!$C$3:$C$3390,$A710,'United Data'!$B$3:$B$3390,"&lt;&gt;Off-street")&gt;0,1,0)</f>
        <v>1</v>
      </c>
      <c r="G710">
        <f>IF(COUNTIFS('United Data'!$A$3:$A$3390,G$1,'United Data'!$C$3:$C$3390,$A710,'United Data'!$B$3:$B$3390,"&lt;&gt;Off-street")&gt;0,1,0)</f>
        <v>0</v>
      </c>
      <c r="H710">
        <f>IF(COUNTIFS('United Data'!$A$3:$A$3390,H$1,'United Data'!$C$3:$C$3390,$A710,'United Data'!$B$3:$B$3390,"&lt;&gt;Off-street")&gt;0,1,0)</f>
        <v>0</v>
      </c>
      <c r="I710">
        <f>IF(COUNTIFS('United Data'!$A$3:$A$3390,I$1,'United Data'!$C$3:$C$3390,$A710,'United Data'!$B$3:$B$3390,"&lt;&gt;Off-street")&gt;0,1,0)</f>
        <v>0</v>
      </c>
      <c r="J710">
        <f>IF(COUNTIFS('United Data'!$A$3:$A$3390,J$1,'United Data'!$C$3:$C$3390,$A710,'United Data'!$B$3:$B$3390,"&lt;&gt;Off-street")&gt;0,1,0)</f>
        <v>0</v>
      </c>
      <c r="K710">
        <f>IF(COUNTIFS('United Data'!$A$3:$A$3390,K$1,'United Data'!$C$3:$C$3390,$A710,'United Data'!$B$3:$B$3390,"&lt;&gt;Off-street")&gt;0,1,0)</f>
        <v>0</v>
      </c>
      <c r="L710">
        <f>IF(COUNTIFS('United Data'!$A$3:$A$3390,L$1,'United Data'!$C$3:$C$3390,$A710,'United Data'!$B$3:$B$3390,"&lt;&gt;Off-street")&gt;0,1,0)</f>
        <v>0</v>
      </c>
      <c r="M710">
        <f>IF(COUNTIFS('United Data'!$A$3:$A$3390,M$1,'United Data'!$C$3:$C$3390,$A710,'United Data'!$B$3:$B$3390,"&lt;&gt;Off-street")&gt;0,1,0)</f>
        <v>0</v>
      </c>
      <c r="N710">
        <f>IF(COUNTIFS('United Data'!$A$3:$A$3390,N$1,'United Data'!$C$3:$C$3390,$A710,'United Data'!$B$3:$B$3390,"&lt;&gt;Off-street")&gt;0,1,0)</f>
        <v>0</v>
      </c>
      <c r="O710">
        <f>IF(COUNTIFS('United Data'!$A$3:$A$3390,O$1,'United Data'!$C$3:$C$3390,$A710,'United Data'!$B$3:$B$3390,"&lt;&gt;Off-street")&gt;0,1,0)</f>
        <v>0</v>
      </c>
      <c r="P710">
        <f>IF(COUNTIFS('United Data'!$A$3:$A$3390,P$1,'United Data'!$C$3:$C$3390,$A710,'United Data'!$B$3:$B$3390,"&lt;&gt;Off-street")&gt;0,1,0)</f>
        <v>0</v>
      </c>
      <c r="Q710">
        <f>IF(COUNTIFS('United Data'!$A$3:$A$3390,Q$1,'United Data'!$C$3:$C$3390,$A710,'United Data'!$B$3:$B$3390,"&lt;&gt;Off-street")&gt;0,1,0)</f>
        <v>0</v>
      </c>
      <c r="R710">
        <f>IF(COUNTIFS('United Data'!$A$3:$A$3390,R$1,'United Data'!$C$3:$C$3390,$A710,'United Data'!$B$3:$B$3390,"&lt;&gt;Off-street")&gt;0,1,0)</f>
        <v>0</v>
      </c>
      <c r="S710">
        <f t="shared" si="22"/>
        <v>2</v>
      </c>
      <c r="T710">
        <f t="shared" si="23"/>
        <v>2</v>
      </c>
    </row>
    <row r="711" spans="1:20" x14ac:dyDescent="0.2">
      <c r="A711" t="s">
        <v>844</v>
      </c>
      <c r="B711">
        <f>IF(COUNTIFS('United Data'!$A$3:$A$3390,B$1,'United Data'!$C$3:$C$3390,$A711,'United Data'!$B$3:$B$3390,"&lt;&gt;Off-street")&gt;0,1,0)</f>
        <v>0</v>
      </c>
      <c r="C711">
        <f>IF(COUNTIFS('United Data'!$A$3:$A$3390,C$1,'United Data'!$C$3:$C$3390,$A711,'United Data'!$B$3:$B$3390,"&lt;&gt;Off-street")&gt;0,1,0)</f>
        <v>0</v>
      </c>
      <c r="D711">
        <f>IF(COUNTIFS('United Data'!$A$3:$A$3390,D$1,'United Data'!$C$3:$C$3390,$A711,'United Data'!$B$3:$B$3390,"&lt;&gt;Off-street")&gt;0,1,0)</f>
        <v>1</v>
      </c>
      <c r="E711">
        <f>IF(COUNTIFS('United Data'!$A$3:$A$3390,E$1,'United Data'!$C$3:$C$3390,$A711,'United Data'!$B$3:$B$3390,"&lt;&gt;Off-street")&gt;0,1,0)</f>
        <v>0</v>
      </c>
      <c r="F711">
        <f>IF(COUNTIFS('United Data'!$A$3:$A$3390,F$1,'United Data'!$C$3:$C$3390,$A711,'United Data'!$B$3:$B$3390,"&lt;&gt;Off-street")&gt;0,1,0)</f>
        <v>0</v>
      </c>
      <c r="G711">
        <f>IF(COUNTIFS('United Data'!$A$3:$A$3390,G$1,'United Data'!$C$3:$C$3390,$A711,'United Data'!$B$3:$B$3390,"&lt;&gt;Off-street")&gt;0,1,0)</f>
        <v>0</v>
      </c>
      <c r="H711">
        <f>IF(COUNTIFS('United Data'!$A$3:$A$3390,H$1,'United Data'!$C$3:$C$3390,$A711,'United Data'!$B$3:$B$3390,"&lt;&gt;Off-street")&gt;0,1,0)</f>
        <v>0</v>
      </c>
      <c r="I711">
        <f>IF(COUNTIFS('United Data'!$A$3:$A$3390,I$1,'United Data'!$C$3:$C$3390,$A711,'United Data'!$B$3:$B$3390,"&lt;&gt;Off-street")&gt;0,1,0)</f>
        <v>0</v>
      </c>
      <c r="J711">
        <f>IF(COUNTIFS('United Data'!$A$3:$A$3390,J$1,'United Data'!$C$3:$C$3390,$A711,'United Data'!$B$3:$B$3390,"&lt;&gt;Off-street")&gt;0,1,0)</f>
        <v>0</v>
      </c>
      <c r="K711">
        <f>IF(COUNTIFS('United Data'!$A$3:$A$3390,K$1,'United Data'!$C$3:$C$3390,$A711,'United Data'!$B$3:$B$3390,"&lt;&gt;Off-street")&gt;0,1,0)</f>
        <v>0</v>
      </c>
      <c r="L711">
        <f>IF(COUNTIFS('United Data'!$A$3:$A$3390,L$1,'United Data'!$C$3:$C$3390,$A711,'United Data'!$B$3:$B$3390,"&lt;&gt;Off-street")&gt;0,1,0)</f>
        <v>0</v>
      </c>
      <c r="M711">
        <f>IF(COUNTIFS('United Data'!$A$3:$A$3390,M$1,'United Data'!$C$3:$C$3390,$A711,'United Data'!$B$3:$B$3390,"&lt;&gt;Off-street")&gt;0,1,0)</f>
        <v>0</v>
      </c>
      <c r="N711">
        <f>IF(COUNTIFS('United Data'!$A$3:$A$3390,N$1,'United Data'!$C$3:$C$3390,$A711,'United Data'!$B$3:$B$3390,"&lt;&gt;Off-street")&gt;0,1,0)</f>
        <v>0</v>
      </c>
      <c r="O711">
        <f>IF(COUNTIFS('United Data'!$A$3:$A$3390,O$1,'United Data'!$C$3:$C$3390,$A711,'United Data'!$B$3:$B$3390,"&lt;&gt;Off-street")&gt;0,1,0)</f>
        <v>0</v>
      </c>
      <c r="P711">
        <f>IF(COUNTIFS('United Data'!$A$3:$A$3390,P$1,'United Data'!$C$3:$C$3390,$A711,'United Data'!$B$3:$B$3390,"&lt;&gt;Off-street")&gt;0,1,0)</f>
        <v>0</v>
      </c>
      <c r="Q711">
        <f>IF(COUNTIFS('United Data'!$A$3:$A$3390,Q$1,'United Data'!$C$3:$C$3390,$A711,'United Data'!$B$3:$B$3390,"&lt;&gt;Off-street")&gt;0,1,0)</f>
        <v>0</v>
      </c>
      <c r="R711">
        <f>IF(COUNTIFS('United Data'!$A$3:$A$3390,R$1,'United Data'!$C$3:$C$3390,$A711,'United Data'!$B$3:$B$3390,"&lt;&gt;Off-street")&gt;0,1,0)</f>
        <v>0</v>
      </c>
      <c r="S711">
        <f t="shared" si="22"/>
        <v>1</v>
      </c>
      <c r="T711">
        <f t="shared" si="23"/>
        <v>1</v>
      </c>
    </row>
    <row r="712" spans="1:20" x14ac:dyDescent="0.2">
      <c r="A712" t="s">
        <v>848</v>
      </c>
      <c r="B712">
        <f>IF(COUNTIFS('United Data'!$A$3:$A$3390,B$1,'United Data'!$C$3:$C$3390,$A712,'United Data'!$B$3:$B$3390,"&lt;&gt;Off-street")&gt;0,1,0)</f>
        <v>0</v>
      </c>
      <c r="C712">
        <f>IF(COUNTIFS('United Data'!$A$3:$A$3390,C$1,'United Data'!$C$3:$C$3390,$A712,'United Data'!$B$3:$B$3390,"&lt;&gt;Off-street")&gt;0,1,0)</f>
        <v>0</v>
      </c>
      <c r="D712">
        <f>IF(COUNTIFS('United Data'!$A$3:$A$3390,D$1,'United Data'!$C$3:$C$3390,$A712,'United Data'!$B$3:$B$3390,"&lt;&gt;Off-street")&gt;0,1,0)</f>
        <v>0</v>
      </c>
      <c r="E712">
        <f>IF(COUNTIFS('United Data'!$A$3:$A$3390,E$1,'United Data'!$C$3:$C$3390,$A712,'United Data'!$B$3:$B$3390,"&lt;&gt;Off-street")&gt;0,1,0)</f>
        <v>1</v>
      </c>
      <c r="F712">
        <f>IF(COUNTIFS('United Data'!$A$3:$A$3390,F$1,'United Data'!$C$3:$C$3390,$A712,'United Data'!$B$3:$B$3390,"&lt;&gt;Off-street")&gt;0,1,0)</f>
        <v>1</v>
      </c>
      <c r="G712">
        <f>IF(COUNTIFS('United Data'!$A$3:$A$3390,G$1,'United Data'!$C$3:$C$3390,$A712,'United Data'!$B$3:$B$3390,"&lt;&gt;Off-street")&gt;0,1,0)</f>
        <v>0</v>
      </c>
      <c r="H712">
        <f>IF(COUNTIFS('United Data'!$A$3:$A$3390,H$1,'United Data'!$C$3:$C$3390,$A712,'United Data'!$B$3:$B$3390,"&lt;&gt;Off-street")&gt;0,1,0)</f>
        <v>0</v>
      </c>
      <c r="I712">
        <f>IF(COUNTIFS('United Data'!$A$3:$A$3390,I$1,'United Data'!$C$3:$C$3390,$A712,'United Data'!$B$3:$B$3390,"&lt;&gt;Off-street")&gt;0,1,0)</f>
        <v>0</v>
      </c>
      <c r="J712">
        <f>IF(COUNTIFS('United Data'!$A$3:$A$3390,J$1,'United Data'!$C$3:$C$3390,$A712,'United Data'!$B$3:$B$3390,"&lt;&gt;Off-street")&gt;0,1,0)</f>
        <v>0</v>
      </c>
      <c r="K712">
        <f>IF(COUNTIFS('United Data'!$A$3:$A$3390,K$1,'United Data'!$C$3:$C$3390,$A712,'United Data'!$B$3:$B$3390,"&lt;&gt;Off-street")&gt;0,1,0)</f>
        <v>0</v>
      </c>
      <c r="L712">
        <f>IF(COUNTIFS('United Data'!$A$3:$A$3390,L$1,'United Data'!$C$3:$C$3390,$A712,'United Data'!$B$3:$B$3390,"&lt;&gt;Off-street")&gt;0,1,0)</f>
        <v>0</v>
      </c>
      <c r="M712">
        <f>IF(COUNTIFS('United Data'!$A$3:$A$3390,M$1,'United Data'!$C$3:$C$3390,$A712,'United Data'!$B$3:$B$3390,"&lt;&gt;Off-street")&gt;0,1,0)</f>
        <v>0</v>
      </c>
      <c r="N712">
        <f>IF(COUNTIFS('United Data'!$A$3:$A$3390,N$1,'United Data'!$C$3:$C$3390,$A712,'United Data'!$B$3:$B$3390,"&lt;&gt;Off-street")&gt;0,1,0)</f>
        <v>0</v>
      </c>
      <c r="O712">
        <f>IF(COUNTIFS('United Data'!$A$3:$A$3390,O$1,'United Data'!$C$3:$C$3390,$A712,'United Data'!$B$3:$B$3390,"&lt;&gt;Off-street")&gt;0,1,0)</f>
        <v>0</v>
      </c>
      <c r="P712">
        <f>IF(COUNTIFS('United Data'!$A$3:$A$3390,P$1,'United Data'!$C$3:$C$3390,$A712,'United Data'!$B$3:$B$3390,"&lt;&gt;Off-street")&gt;0,1,0)</f>
        <v>0</v>
      </c>
      <c r="Q712">
        <f>IF(COUNTIFS('United Data'!$A$3:$A$3390,Q$1,'United Data'!$C$3:$C$3390,$A712,'United Data'!$B$3:$B$3390,"&lt;&gt;Off-street")&gt;0,1,0)</f>
        <v>0</v>
      </c>
      <c r="R712">
        <f>IF(COUNTIFS('United Data'!$A$3:$A$3390,R$1,'United Data'!$C$3:$C$3390,$A712,'United Data'!$B$3:$B$3390,"&lt;&gt;Off-street")&gt;0,1,0)</f>
        <v>0</v>
      </c>
      <c r="S712">
        <f t="shared" si="22"/>
        <v>2</v>
      </c>
      <c r="T712">
        <f t="shared" si="23"/>
        <v>1</v>
      </c>
    </row>
    <row r="713" spans="1:20" x14ac:dyDescent="0.2">
      <c r="A713" t="s">
        <v>851</v>
      </c>
      <c r="B713">
        <f>IF(COUNTIFS('United Data'!$A$3:$A$3390,B$1,'United Data'!$C$3:$C$3390,$A713,'United Data'!$B$3:$B$3390,"&lt;&gt;Off-street")&gt;0,1,0)</f>
        <v>0</v>
      </c>
      <c r="C713">
        <f>IF(COUNTIFS('United Data'!$A$3:$A$3390,C$1,'United Data'!$C$3:$C$3390,$A713,'United Data'!$B$3:$B$3390,"&lt;&gt;Off-street")&gt;0,1,0)</f>
        <v>0</v>
      </c>
      <c r="D713">
        <f>IF(COUNTIFS('United Data'!$A$3:$A$3390,D$1,'United Data'!$C$3:$C$3390,$A713,'United Data'!$B$3:$B$3390,"&lt;&gt;Off-street")&gt;0,1,0)</f>
        <v>0</v>
      </c>
      <c r="E713">
        <f>IF(COUNTIFS('United Data'!$A$3:$A$3390,E$1,'United Data'!$C$3:$C$3390,$A713,'United Data'!$B$3:$B$3390,"&lt;&gt;Off-street")&gt;0,1,0)</f>
        <v>1</v>
      </c>
      <c r="F713">
        <f>IF(COUNTIFS('United Data'!$A$3:$A$3390,F$1,'United Data'!$C$3:$C$3390,$A713,'United Data'!$B$3:$B$3390,"&lt;&gt;Off-street")&gt;0,1,0)</f>
        <v>0</v>
      </c>
      <c r="G713">
        <f>IF(COUNTIFS('United Data'!$A$3:$A$3390,G$1,'United Data'!$C$3:$C$3390,$A713,'United Data'!$B$3:$B$3390,"&lt;&gt;Off-street")&gt;0,1,0)</f>
        <v>0</v>
      </c>
      <c r="H713">
        <f>IF(COUNTIFS('United Data'!$A$3:$A$3390,H$1,'United Data'!$C$3:$C$3390,$A713,'United Data'!$B$3:$B$3390,"&lt;&gt;Off-street")&gt;0,1,0)</f>
        <v>0</v>
      </c>
      <c r="I713">
        <f>IF(COUNTIFS('United Data'!$A$3:$A$3390,I$1,'United Data'!$C$3:$C$3390,$A713,'United Data'!$B$3:$B$3390,"&lt;&gt;Off-street")&gt;0,1,0)</f>
        <v>0</v>
      </c>
      <c r="J713">
        <f>IF(COUNTIFS('United Data'!$A$3:$A$3390,J$1,'United Data'!$C$3:$C$3390,$A713,'United Data'!$B$3:$B$3390,"&lt;&gt;Off-street")&gt;0,1,0)</f>
        <v>0</v>
      </c>
      <c r="K713">
        <f>IF(COUNTIFS('United Data'!$A$3:$A$3390,K$1,'United Data'!$C$3:$C$3390,$A713,'United Data'!$B$3:$B$3390,"&lt;&gt;Off-street")&gt;0,1,0)</f>
        <v>0</v>
      </c>
      <c r="L713">
        <f>IF(COUNTIFS('United Data'!$A$3:$A$3390,L$1,'United Data'!$C$3:$C$3390,$A713,'United Data'!$B$3:$B$3390,"&lt;&gt;Off-street")&gt;0,1,0)</f>
        <v>0</v>
      </c>
      <c r="M713">
        <f>IF(COUNTIFS('United Data'!$A$3:$A$3390,M$1,'United Data'!$C$3:$C$3390,$A713,'United Data'!$B$3:$B$3390,"&lt;&gt;Off-street")&gt;0,1,0)</f>
        <v>0</v>
      </c>
      <c r="N713">
        <f>IF(COUNTIFS('United Data'!$A$3:$A$3390,N$1,'United Data'!$C$3:$C$3390,$A713,'United Data'!$B$3:$B$3390,"&lt;&gt;Off-street")&gt;0,1,0)</f>
        <v>0</v>
      </c>
      <c r="O713">
        <f>IF(COUNTIFS('United Data'!$A$3:$A$3390,O$1,'United Data'!$C$3:$C$3390,$A713,'United Data'!$B$3:$B$3390,"&lt;&gt;Off-street")&gt;0,1,0)</f>
        <v>0</v>
      </c>
      <c r="P713">
        <f>IF(COUNTIFS('United Data'!$A$3:$A$3390,P$1,'United Data'!$C$3:$C$3390,$A713,'United Data'!$B$3:$B$3390,"&lt;&gt;Off-street")&gt;0,1,0)</f>
        <v>0</v>
      </c>
      <c r="Q713">
        <f>IF(COUNTIFS('United Data'!$A$3:$A$3390,Q$1,'United Data'!$C$3:$C$3390,$A713,'United Data'!$B$3:$B$3390,"&lt;&gt;Off-street")&gt;0,1,0)</f>
        <v>0</v>
      </c>
      <c r="R713">
        <f>IF(COUNTIFS('United Data'!$A$3:$A$3390,R$1,'United Data'!$C$3:$C$3390,$A713,'United Data'!$B$3:$B$3390,"&lt;&gt;Off-street")&gt;0,1,0)</f>
        <v>0</v>
      </c>
      <c r="S713">
        <f t="shared" si="22"/>
        <v>1</v>
      </c>
      <c r="T713">
        <f t="shared" si="23"/>
        <v>1</v>
      </c>
    </row>
    <row r="714" spans="1:20" x14ac:dyDescent="0.2">
      <c r="A714" t="s">
        <v>852</v>
      </c>
      <c r="B714">
        <f>IF(COUNTIFS('United Data'!$A$3:$A$3390,B$1,'United Data'!$C$3:$C$3390,$A714,'United Data'!$B$3:$B$3390,"&lt;&gt;Off-street")&gt;0,1,0)</f>
        <v>0</v>
      </c>
      <c r="C714">
        <f>IF(COUNTIFS('United Data'!$A$3:$A$3390,C$1,'United Data'!$C$3:$C$3390,$A714,'United Data'!$B$3:$B$3390,"&lt;&gt;Off-street")&gt;0,1,0)</f>
        <v>0</v>
      </c>
      <c r="D714">
        <f>IF(COUNTIFS('United Data'!$A$3:$A$3390,D$1,'United Data'!$C$3:$C$3390,$A714,'United Data'!$B$3:$B$3390,"&lt;&gt;Off-street")&gt;0,1,0)</f>
        <v>0</v>
      </c>
      <c r="E714">
        <f>IF(COUNTIFS('United Data'!$A$3:$A$3390,E$1,'United Data'!$C$3:$C$3390,$A714,'United Data'!$B$3:$B$3390,"&lt;&gt;Off-street")&gt;0,1,0)</f>
        <v>1</v>
      </c>
      <c r="F714">
        <f>IF(COUNTIFS('United Data'!$A$3:$A$3390,F$1,'United Data'!$C$3:$C$3390,$A714,'United Data'!$B$3:$B$3390,"&lt;&gt;Off-street")&gt;0,1,0)</f>
        <v>1</v>
      </c>
      <c r="G714">
        <f>IF(COUNTIFS('United Data'!$A$3:$A$3390,G$1,'United Data'!$C$3:$C$3390,$A714,'United Data'!$B$3:$B$3390,"&lt;&gt;Off-street")&gt;0,1,0)</f>
        <v>0</v>
      </c>
      <c r="H714">
        <f>IF(COUNTIFS('United Data'!$A$3:$A$3390,H$1,'United Data'!$C$3:$C$3390,$A714,'United Data'!$B$3:$B$3390,"&lt;&gt;Off-street")&gt;0,1,0)</f>
        <v>0</v>
      </c>
      <c r="I714">
        <f>IF(COUNTIFS('United Data'!$A$3:$A$3390,I$1,'United Data'!$C$3:$C$3390,$A714,'United Data'!$B$3:$B$3390,"&lt;&gt;Off-street")&gt;0,1,0)</f>
        <v>0</v>
      </c>
      <c r="J714">
        <f>IF(COUNTIFS('United Data'!$A$3:$A$3390,J$1,'United Data'!$C$3:$C$3390,$A714,'United Data'!$B$3:$B$3390,"&lt;&gt;Off-street")&gt;0,1,0)</f>
        <v>1</v>
      </c>
      <c r="K714">
        <f>IF(COUNTIFS('United Data'!$A$3:$A$3390,K$1,'United Data'!$C$3:$C$3390,$A714,'United Data'!$B$3:$B$3390,"&lt;&gt;Off-street")&gt;0,1,0)</f>
        <v>1</v>
      </c>
      <c r="L714">
        <f>IF(COUNTIFS('United Data'!$A$3:$A$3390,L$1,'United Data'!$C$3:$C$3390,$A714,'United Data'!$B$3:$B$3390,"&lt;&gt;Off-street")&gt;0,1,0)</f>
        <v>1</v>
      </c>
      <c r="M714">
        <f>IF(COUNTIFS('United Data'!$A$3:$A$3390,M$1,'United Data'!$C$3:$C$3390,$A714,'United Data'!$B$3:$B$3390,"&lt;&gt;Off-street")&gt;0,1,0)</f>
        <v>0</v>
      </c>
      <c r="N714">
        <f>IF(COUNTIFS('United Data'!$A$3:$A$3390,N$1,'United Data'!$C$3:$C$3390,$A714,'United Data'!$B$3:$B$3390,"&lt;&gt;Off-street")&gt;0,1,0)</f>
        <v>0</v>
      </c>
      <c r="O714">
        <f>IF(COUNTIFS('United Data'!$A$3:$A$3390,O$1,'United Data'!$C$3:$C$3390,$A714,'United Data'!$B$3:$B$3390,"&lt;&gt;Off-street")&gt;0,1,0)</f>
        <v>0</v>
      </c>
      <c r="P714">
        <f>IF(COUNTIFS('United Data'!$A$3:$A$3390,P$1,'United Data'!$C$3:$C$3390,$A714,'United Data'!$B$3:$B$3390,"&lt;&gt;Off-street")&gt;0,1,0)</f>
        <v>0</v>
      </c>
      <c r="Q714">
        <f>IF(COUNTIFS('United Data'!$A$3:$A$3390,Q$1,'United Data'!$C$3:$C$3390,$A714,'United Data'!$B$3:$B$3390,"&lt;&gt;Off-street")&gt;0,1,0)</f>
        <v>0</v>
      </c>
      <c r="R714">
        <f>IF(COUNTIFS('United Data'!$A$3:$A$3390,R$1,'United Data'!$C$3:$C$3390,$A714,'United Data'!$B$3:$B$3390,"&lt;&gt;Off-street")&gt;0,1,0)</f>
        <v>0</v>
      </c>
      <c r="S714">
        <f t="shared" si="22"/>
        <v>5</v>
      </c>
      <c r="T714">
        <f t="shared" si="23"/>
        <v>2</v>
      </c>
    </row>
    <row r="715" spans="1:20" x14ac:dyDescent="0.2">
      <c r="A715" t="s">
        <v>855</v>
      </c>
      <c r="B715">
        <f>IF(COUNTIFS('United Data'!$A$3:$A$3390,B$1,'United Data'!$C$3:$C$3390,$A715,'United Data'!$B$3:$B$3390,"&lt;&gt;Off-street")&gt;0,1,0)</f>
        <v>0</v>
      </c>
      <c r="C715">
        <f>IF(COUNTIFS('United Data'!$A$3:$A$3390,C$1,'United Data'!$C$3:$C$3390,$A715,'United Data'!$B$3:$B$3390,"&lt;&gt;Off-street")&gt;0,1,0)</f>
        <v>0</v>
      </c>
      <c r="D715">
        <f>IF(COUNTIFS('United Data'!$A$3:$A$3390,D$1,'United Data'!$C$3:$C$3390,$A715,'United Data'!$B$3:$B$3390,"&lt;&gt;Off-street")&gt;0,1,0)</f>
        <v>0</v>
      </c>
      <c r="E715">
        <f>IF(COUNTIFS('United Data'!$A$3:$A$3390,E$1,'United Data'!$C$3:$C$3390,$A715,'United Data'!$B$3:$B$3390,"&lt;&gt;Off-street")&gt;0,1,0)</f>
        <v>0</v>
      </c>
      <c r="F715">
        <f>IF(COUNTIFS('United Data'!$A$3:$A$3390,F$1,'United Data'!$C$3:$C$3390,$A715,'United Data'!$B$3:$B$3390,"&lt;&gt;Off-street")&gt;0,1,0)</f>
        <v>1</v>
      </c>
      <c r="G715">
        <f>IF(COUNTIFS('United Data'!$A$3:$A$3390,G$1,'United Data'!$C$3:$C$3390,$A715,'United Data'!$B$3:$B$3390,"&lt;&gt;Off-street")&gt;0,1,0)</f>
        <v>1</v>
      </c>
      <c r="H715">
        <f>IF(COUNTIFS('United Data'!$A$3:$A$3390,H$1,'United Data'!$C$3:$C$3390,$A715,'United Data'!$B$3:$B$3390,"&lt;&gt;Off-street")&gt;0,1,0)</f>
        <v>1</v>
      </c>
      <c r="I715">
        <f>IF(COUNTIFS('United Data'!$A$3:$A$3390,I$1,'United Data'!$C$3:$C$3390,$A715,'United Data'!$B$3:$B$3390,"&lt;&gt;Off-street")&gt;0,1,0)</f>
        <v>0</v>
      </c>
      <c r="J715">
        <f>IF(COUNTIFS('United Data'!$A$3:$A$3390,J$1,'United Data'!$C$3:$C$3390,$A715,'United Data'!$B$3:$B$3390,"&lt;&gt;Off-street")&gt;0,1,0)</f>
        <v>0</v>
      </c>
      <c r="K715">
        <f>IF(COUNTIFS('United Data'!$A$3:$A$3390,K$1,'United Data'!$C$3:$C$3390,$A715,'United Data'!$B$3:$B$3390,"&lt;&gt;Off-street")&gt;0,1,0)</f>
        <v>0</v>
      </c>
      <c r="L715">
        <f>IF(COUNTIFS('United Data'!$A$3:$A$3390,L$1,'United Data'!$C$3:$C$3390,$A715,'United Data'!$B$3:$B$3390,"&lt;&gt;Off-street")&gt;0,1,0)</f>
        <v>0</v>
      </c>
      <c r="M715">
        <f>IF(COUNTIFS('United Data'!$A$3:$A$3390,M$1,'United Data'!$C$3:$C$3390,$A715,'United Data'!$B$3:$B$3390,"&lt;&gt;Off-street")&gt;0,1,0)</f>
        <v>0</v>
      </c>
      <c r="N715">
        <f>IF(COUNTIFS('United Data'!$A$3:$A$3390,N$1,'United Data'!$C$3:$C$3390,$A715,'United Data'!$B$3:$B$3390,"&lt;&gt;Off-street")&gt;0,1,0)</f>
        <v>0</v>
      </c>
      <c r="O715">
        <f>IF(COUNTIFS('United Data'!$A$3:$A$3390,O$1,'United Data'!$C$3:$C$3390,$A715,'United Data'!$B$3:$B$3390,"&lt;&gt;Off-street")&gt;0,1,0)</f>
        <v>0</v>
      </c>
      <c r="P715">
        <f>IF(COUNTIFS('United Data'!$A$3:$A$3390,P$1,'United Data'!$C$3:$C$3390,$A715,'United Data'!$B$3:$B$3390,"&lt;&gt;Off-street")&gt;0,1,0)</f>
        <v>0</v>
      </c>
      <c r="Q715">
        <f>IF(COUNTIFS('United Data'!$A$3:$A$3390,Q$1,'United Data'!$C$3:$C$3390,$A715,'United Data'!$B$3:$B$3390,"&lt;&gt;Off-street")&gt;0,1,0)</f>
        <v>0</v>
      </c>
      <c r="R715">
        <f>IF(COUNTIFS('United Data'!$A$3:$A$3390,R$1,'United Data'!$C$3:$C$3390,$A715,'United Data'!$B$3:$B$3390,"&lt;&gt;Off-street")&gt;0,1,0)</f>
        <v>0</v>
      </c>
      <c r="S715">
        <f t="shared" si="22"/>
        <v>3</v>
      </c>
      <c r="T715">
        <f t="shared" si="23"/>
        <v>1</v>
      </c>
    </row>
    <row r="716" spans="1:20" x14ac:dyDescent="0.2">
      <c r="A716" t="s">
        <v>856</v>
      </c>
      <c r="B716">
        <f>IF(COUNTIFS('United Data'!$A$3:$A$3390,B$1,'United Data'!$C$3:$C$3390,$A716,'United Data'!$B$3:$B$3390,"&lt;&gt;Off-street")&gt;0,1,0)</f>
        <v>0</v>
      </c>
      <c r="C716">
        <f>IF(COUNTIFS('United Data'!$A$3:$A$3390,C$1,'United Data'!$C$3:$C$3390,$A716,'United Data'!$B$3:$B$3390,"&lt;&gt;Off-street")&gt;0,1,0)</f>
        <v>0</v>
      </c>
      <c r="D716">
        <f>IF(COUNTIFS('United Data'!$A$3:$A$3390,D$1,'United Data'!$C$3:$C$3390,$A716,'United Data'!$B$3:$B$3390,"&lt;&gt;Off-street")&gt;0,1,0)</f>
        <v>0</v>
      </c>
      <c r="E716">
        <f>IF(COUNTIFS('United Data'!$A$3:$A$3390,E$1,'United Data'!$C$3:$C$3390,$A716,'United Data'!$B$3:$B$3390,"&lt;&gt;Off-street")&gt;0,1,0)</f>
        <v>0</v>
      </c>
      <c r="F716">
        <f>IF(COUNTIFS('United Data'!$A$3:$A$3390,F$1,'United Data'!$C$3:$C$3390,$A716,'United Data'!$B$3:$B$3390,"&lt;&gt;Off-street")&gt;0,1,0)</f>
        <v>1</v>
      </c>
      <c r="G716">
        <f>IF(COUNTIFS('United Data'!$A$3:$A$3390,G$1,'United Data'!$C$3:$C$3390,$A716,'United Data'!$B$3:$B$3390,"&lt;&gt;Off-street")&gt;0,1,0)</f>
        <v>1</v>
      </c>
      <c r="H716">
        <f>IF(COUNTIFS('United Data'!$A$3:$A$3390,H$1,'United Data'!$C$3:$C$3390,$A716,'United Data'!$B$3:$B$3390,"&lt;&gt;Off-street")&gt;0,1,0)</f>
        <v>0</v>
      </c>
      <c r="I716">
        <f>IF(COUNTIFS('United Data'!$A$3:$A$3390,I$1,'United Data'!$C$3:$C$3390,$A716,'United Data'!$B$3:$B$3390,"&lt;&gt;Off-street")&gt;0,1,0)</f>
        <v>1</v>
      </c>
      <c r="J716">
        <f>IF(COUNTIFS('United Data'!$A$3:$A$3390,J$1,'United Data'!$C$3:$C$3390,$A716,'United Data'!$B$3:$B$3390,"&lt;&gt;Off-street")&gt;0,1,0)</f>
        <v>0</v>
      </c>
      <c r="K716">
        <f>IF(COUNTIFS('United Data'!$A$3:$A$3390,K$1,'United Data'!$C$3:$C$3390,$A716,'United Data'!$B$3:$B$3390,"&lt;&gt;Off-street")&gt;0,1,0)</f>
        <v>0</v>
      </c>
      <c r="L716">
        <f>IF(COUNTIFS('United Data'!$A$3:$A$3390,L$1,'United Data'!$C$3:$C$3390,$A716,'United Data'!$B$3:$B$3390,"&lt;&gt;Off-street")&gt;0,1,0)</f>
        <v>0</v>
      </c>
      <c r="M716">
        <f>IF(COUNTIFS('United Data'!$A$3:$A$3390,M$1,'United Data'!$C$3:$C$3390,$A716,'United Data'!$B$3:$B$3390,"&lt;&gt;Off-street")&gt;0,1,0)</f>
        <v>0</v>
      </c>
      <c r="N716">
        <f>IF(COUNTIFS('United Data'!$A$3:$A$3390,N$1,'United Data'!$C$3:$C$3390,$A716,'United Data'!$B$3:$B$3390,"&lt;&gt;Off-street")&gt;0,1,0)</f>
        <v>1</v>
      </c>
      <c r="O716">
        <f>IF(COUNTIFS('United Data'!$A$3:$A$3390,O$1,'United Data'!$C$3:$C$3390,$A716,'United Data'!$B$3:$B$3390,"&lt;&gt;Off-street")&gt;0,1,0)</f>
        <v>0</v>
      </c>
      <c r="P716">
        <f>IF(COUNTIFS('United Data'!$A$3:$A$3390,P$1,'United Data'!$C$3:$C$3390,$A716,'United Data'!$B$3:$B$3390,"&lt;&gt;Off-street")&gt;0,1,0)</f>
        <v>0</v>
      </c>
      <c r="Q716">
        <f>IF(COUNTIFS('United Data'!$A$3:$A$3390,Q$1,'United Data'!$C$3:$C$3390,$A716,'United Data'!$B$3:$B$3390,"&lt;&gt;Off-street")&gt;0,1,0)</f>
        <v>0</v>
      </c>
      <c r="R716">
        <f>IF(COUNTIFS('United Data'!$A$3:$A$3390,R$1,'United Data'!$C$3:$C$3390,$A716,'United Data'!$B$3:$B$3390,"&lt;&gt;Off-street")&gt;0,1,0)</f>
        <v>0</v>
      </c>
      <c r="S716">
        <f t="shared" si="22"/>
        <v>4</v>
      </c>
      <c r="T716">
        <f t="shared" si="23"/>
        <v>3</v>
      </c>
    </row>
    <row r="717" spans="1:20" x14ac:dyDescent="0.2">
      <c r="A717" t="s">
        <v>857</v>
      </c>
      <c r="B717">
        <f>IF(COUNTIFS('United Data'!$A$3:$A$3390,B$1,'United Data'!$C$3:$C$3390,$A717,'United Data'!$B$3:$B$3390,"&lt;&gt;Off-street")&gt;0,1,0)</f>
        <v>0</v>
      </c>
      <c r="C717">
        <f>IF(COUNTIFS('United Data'!$A$3:$A$3390,C$1,'United Data'!$C$3:$C$3390,$A717,'United Data'!$B$3:$B$3390,"&lt;&gt;Off-street")&gt;0,1,0)</f>
        <v>0</v>
      </c>
      <c r="D717">
        <f>IF(COUNTIFS('United Data'!$A$3:$A$3390,D$1,'United Data'!$C$3:$C$3390,$A717,'United Data'!$B$3:$B$3390,"&lt;&gt;Off-street")&gt;0,1,0)</f>
        <v>0</v>
      </c>
      <c r="E717">
        <f>IF(COUNTIFS('United Data'!$A$3:$A$3390,E$1,'United Data'!$C$3:$C$3390,$A717,'United Data'!$B$3:$B$3390,"&lt;&gt;Off-street")&gt;0,1,0)</f>
        <v>0</v>
      </c>
      <c r="F717">
        <f>IF(COUNTIFS('United Data'!$A$3:$A$3390,F$1,'United Data'!$C$3:$C$3390,$A717,'United Data'!$B$3:$B$3390,"&lt;&gt;Off-street")&gt;0,1,0)</f>
        <v>1</v>
      </c>
      <c r="G717">
        <f>IF(COUNTIFS('United Data'!$A$3:$A$3390,G$1,'United Data'!$C$3:$C$3390,$A717,'United Data'!$B$3:$B$3390,"&lt;&gt;Off-street")&gt;0,1,0)</f>
        <v>0</v>
      </c>
      <c r="H717">
        <f>IF(COUNTIFS('United Data'!$A$3:$A$3390,H$1,'United Data'!$C$3:$C$3390,$A717,'United Data'!$B$3:$B$3390,"&lt;&gt;Off-street")&gt;0,1,0)</f>
        <v>1</v>
      </c>
      <c r="I717">
        <f>IF(COUNTIFS('United Data'!$A$3:$A$3390,I$1,'United Data'!$C$3:$C$3390,$A717,'United Data'!$B$3:$B$3390,"&lt;&gt;Off-street")&gt;0,1,0)</f>
        <v>0</v>
      </c>
      <c r="J717">
        <f>IF(COUNTIFS('United Data'!$A$3:$A$3390,J$1,'United Data'!$C$3:$C$3390,$A717,'United Data'!$B$3:$B$3390,"&lt;&gt;Off-street")&gt;0,1,0)</f>
        <v>0</v>
      </c>
      <c r="K717">
        <f>IF(COUNTIFS('United Data'!$A$3:$A$3390,K$1,'United Data'!$C$3:$C$3390,$A717,'United Data'!$B$3:$B$3390,"&lt;&gt;Off-street")&gt;0,1,0)</f>
        <v>0</v>
      </c>
      <c r="L717">
        <f>IF(COUNTIFS('United Data'!$A$3:$A$3390,L$1,'United Data'!$C$3:$C$3390,$A717,'United Data'!$B$3:$B$3390,"&lt;&gt;Off-street")&gt;0,1,0)</f>
        <v>0</v>
      </c>
      <c r="M717">
        <f>IF(COUNTIFS('United Data'!$A$3:$A$3390,M$1,'United Data'!$C$3:$C$3390,$A717,'United Data'!$B$3:$B$3390,"&lt;&gt;Off-street")&gt;0,1,0)</f>
        <v>0</v>
      </c>
      <c r="N717">
        <f>IF(COUNTIFS('United Data'!$A$3:$A$3390,N$1,'United Data'!$C$3:$C$3390,$A717,'United Data'!$B$3:$B$3390,"&lt;&gt;Off-street")&gt;0,1,0)</f>
        <v>0</v>
      </c>
      <c r="O717">
        <f>IF(COUNTIFS('United Data'!$A$3:$A$3390,O$1,'United Data'!$C$3:$C$3390,$A717,'United Data'!$B$3:$B$3390,"&lt;&gt;Off-street")&gt;0,1,0)</f>
        <v>0</v>
      </c>
      <c r="P717">
        <f>IF(COUNTIFS('United Data'!$A$3:$A$3390,P$1,'United Data'!$C$3:$C$3390,$A717,'United Data'!$B$3:$B$3390,"&lt;&gt;Off-street")&gt;0,1,0)</f>
        <v>0</v>
      </c>
      <c r="Q717">
        <f>IF(COUNTIFS('United Data'!$A$3:$A$3390,Q$1,'United Data'!$C$3:$C$3390,$A717,'United Data'!$B$3:$B$3390,"&lt;&gt;Off-street")&gt;0,1,0)</f>
        <v>0</v>
      </c>
      <c r="R717">
        <f>IF(COUNTIFS('United Data'!$A$3:$A$3390,R$1,'United Data'!$C$3:$C$3390,$A717,'United Data'!$B$3:$B$3390,"&lt;&gt;Off-street")&gt;0,1,0)</f>
        <v>0</v>
      </c>
      <c r="S717">
        <f t="shared" si="22"/>
        <v>2</v>
      </c>
      <c r="T717">
        <f t="shared" si="23"/>
        <v>2</v>
      </c>
    </row>
    <row r="718" spans="1:20" x14ac:dyDescent="0.2">
      <c r="A718" t="s">
        <v>858</v>
      </c>
      <c r="B718">
        <f>IF(COUNTIFS('United Data'!$A$3:$A$3390,B$1,'United Data'!$C$3:$C$3390,$A718,'United Data'!$B$3:$B$3390,"&lt;&gt;Off-street")&gt;0,1,0)</f>
        <v>0</v>
      </c>
      <c r="C718">
        <f>IF(COUNTIFS('United Data'!$A$3:$A$3390,C$1,'United Data'!$C$3:$C$3390,$A718,'United Data'!$B$3:$B$3390,"&lt;&gt;Off-street")&gt;0,1,0)</f>
        <v>0</v>
      </c>
      <c r="D718">
        <f>IF(COUNTIFS('United Data'!$A$3:$A$3390,D$1,'United Data'!$C$3:$C$3390,$A718,'United Data'!$B$3:$B$3390,"&lt;&gt;Off-street")&gt;0,1,0)</f>
        <v>0</v>
      </c>
      <c r="E718">
        <f>IF(COUNTIFS('United Data'!$A$3:$A$3390,E$1,'United Data'!$C$3:$C$3390,$A718,'United Data'!$B$3:$B$3390,"&lt;&gt;Off-street")&gt;0,1,0)</f>
        <v>0</v>
      </c>
      <c r="F718">
        <f>IF(COUNTIFS('United Data'!$A$3:$A$3390,F$1,'United Data'!$C$3:$C$3390,$A718,'United Data'!$B$3:$B$3390,"&lt;&gt;Off-street")&gt;0,1,0)</f>
        <v>1</v>
      </c>
      <c r="G718">
        <f>IF(COUNTIFS('United Data'!$A$3:$A$3390,G$1,'United Data'!$C$3:$C$3390,$A718,'United Data'!$B$3:$B$3390,"&lt;&gt;Off-street")&gt;0,1,0)</f>
        <v>0</v>
      </c>
      <c r="H718">
        <f>IF(COUNTIFS('United Data'!$A$3:$A$3390,H$1,'United Data'!$C$3:$C$3390,$A718,'United Data'!$B$3:$B$3390,"&lt;&gt;Off-street")&gt;0,1,0)</f>
        <v>0</v>
      </c>
      <c r="I718">
        <f>IF(COUNTIFS('United Data'!$A$3:$A$3390,I$1,'United Data'!$C$3:$C$3390,$A718,'United Data'!$B$3:$B$3390,"&lt;&gt;Off-street")&gt;0,1,0)</f>
        <v>0</v>
      </c>
      <c r="J718">
        <f>IF(COUNTIFS('United Data'!$A$3:$A$3390,J$1,'United Data'!$C$3:$C$3390,$A718,'United Data'!$B$3:$B$3390,"&lt;&gt;Off-street")&gt;0,1,0)</f>
        <v>0</v>
      </c>
      <c r="K718">
        <f>IF(COUNTIFS('United Data'!$A$3:$A$3390,K$1,'United Data'!$C$3:$C$3390,$A718,'United Data'!$B$3:$B$3390,"&lt;&gt;Off-street")&gt;0,1,0)</f>
        <v>0</v>
      </c>
      <c r="L718">
        <f>IF(COUNTIFS('United Data'!$A$3:$A$3390,L$1,'United Data'!$C$3:$C$3390,$A718,'United Data'!$B$3:$B$3390,"&lt;&gt;Off-street")&gt;0,1,0)</f>
        <v>1</v>
      </c>
      <c r="M718">
        <f>IF(COUNTIFS('United Data'!$A$3:$A$3390,M$1,'United Data'!$C$3:$C$3390,$A718,'United Data'!$B$3:$B$3390,"&lt;&gt;Off-street")&gt;0,1,0)</f>
        <v>0</v>
      </c>
      <c r="N718">
        <f>IF(COUNTIFS('United Data'!$A$3:$A$3390,N$1,'United Data'!$C$3:$C$3390,$A718,'United Data'!$B$3:$B$3390,"&lt;&gt;Off-street")&gt;0,1,0)</f>
        <v>0</v>
      </c>
      <c r="O718">
        <f>IF(COUNTIFS('United Data'!$A$3:$A$3390,O$1,'United Data'!$C$3:$C$3390,$A718,'United Data'!$B$3:$B$3390,"&lt;&gt;Off-street")&gt;0,1,0)</f>
        <v>0</v>
      </c>
      <c r="P718">
        <f>IF(COUNTIFS('United Data'!$A$3:$A$3390,P$1,'United Data'!$C$3:$C$3390,$A718,'United Data'!$B$3:$B$3390,"&lt;&gt;Off-street")&gt;0,1,0)</f>
        <v>0</v>
      </c>
      <c r="Q718">
        <f>IF(COUNTIFS('United Data'!$A$3:$A$3390,Q$1,'United Data'!$C$3:$C$3390,$A718,'United Data'!$B$3:$B$3390,"&lt;&gt;Off-street")&gt;0,1,0)</f>
        <v>0</v>
      </c>
      <c r="R718">
        <f>IF(COUNTIFS('United Data'!$A$3:$A$3390,R$1,'United Data'!$C$3:$C$3390,$A718,'United Data'!$B$3:$B$3390,"&lt;&gt;Off-street")&gt;0,1,0)</f>
        <v>0</v>
      </c>
      <c r="S718">
        <f t="shared" si="22"/>
        <v>2</v>
      </c>
      <c r="T718">
        <f t="shared" si="23"/>
        <v>2</v>
      </c>
    </row>
    <row r="719" spans="1:20" x14ac:dyDescent="0.2">
      <c r="A719" t="s">
        <v>860</v>
      </c>
      <c r="B719">
        <f>IF(COUNTIFS('United Data'!$A$3:$A$3390,B$1,'United Data'!$C$3:$C$3390,$A719,'United Data'!$B$3:$B$3390,"&lt;&gt;Off-street")&gt;0,1,0)</f>
        <v>0</v>
      </c>
      <c r="C719">
        <f>IF(COUNTIFS('United Data'!$A$3:$A$3390,C$1,'United Data'!$C$3:$C$3390,$A719,'United Data'!$B$3:$B$3390,"&lt;&gt;Off-street")&gt;0,1,0)</f>
        <v>0</v>
      </c>
      <c r="D719">
        <f>IF(COUNTIFS('United Data'!$A$3:$A$3390,D$1,'United Data'!$C$3:$C$3390,$A719,'United Data'!$B$3:$B$3390,"&lt;&gt;Off-street")&gt;0,1,0)</f>
        <v>0</v>
      </c>
      <c r="E719">
        <f>IF(COUNTIFS('United Data'!$A$3:$A$3390,E$1,'United Data'!$C$3:$C$3390,$A719,'United Data'!$B$3:$B$3390,"&lt;&gt;Off-street")&gt;0,1,0)</f>
        <v>0</v>
      </c>
      <c r="F719">
        <f>IF(COUNTIFS('United Data'!$A$3:$A$3390,F$1,'United Data'!$C$3:$C$3390,$A719,'United Data'!$B$3:$B$3390,"&lt;&gt;Off-street")&gt;0,1,0)</f>
        <v>0</v>
      </c>
      <c r="G719">
        <f>IF(COUNTIFS('United Data'!$A$3:$A$3390,G$1,'United Data'!$C$3:$C$3390,$A719,'United Data'!$B$3:$B$3390,"&lt;&gt;Off-street")&gt;0,1,0)</f>
        <v>0</v>
      </c>
      <c r="H719">
        <f>IF(COUNTIFS('United Data'!$A$3:$A$3390,H$1,'United Data'!$C$3:$C$3390,$A719,'United Data'!$B$3:$B$3390,"&lt;&gt;Off-street")&gt;0,1,0)</f>
        <v>1</v>
      </c>
      <c r="I719">
        <f>IF(COUNTIFS('United Data'!$A$3:$A$3390,I$1,'United Data'!$C$3:$C$3390,$A719,'United Data'!$B$3:$B$3390,"&lt;&gt;Off-street")&gt;0,1,0)</f>
        <v>0</v>
      </c>
      <c r="J719">
        <f>IF(COUNTIFS('United Data'!$A$3:$A$3390,J$1,'United Data'!$C$3:$C$3390,$A719,'United Data'!$B$3:$B$3390,"&lt;&gt;Off-street")&gt;0,1,0)</f>
        <v>0</v>
      </c>
      <c r="K719">
        <f>IF(COUNTIFS('United Data'!$A$3:$A$3390,K$1,'United Data'!$C$3:$C$3390,$A719,'United Data'!$B$3:$B$3390,"&lt;&gt;Off-street")&gt;0,1,0)</f>
        <v>0</v>
      </c>
      <c r="L719">
        <f>IF(COUNTIFS('United Data'!$A$3:$A$3390,L$1,'United Data'!$C$3:$C$3390,$A719,'United Data'!$B$3:$B$3390,"&lt;&gt;Off-street")&gt;0,1,0)</f>
        <v>0</v>
      </c>
      <c r="M719">
        <f>IF(COUNTIFS('United Data'!$A$3:$A$3390,M$1,'United Data'!$C$3:$C$3390,$A719,'United Data'!$B$3:$B$3390,"&lt;&gt;Off-street")&gt;0,1,0)</f>
        <v>0</v>
      </c>
      <c r="N719">
        <f>IF(COUNTIFS('United Data'!$A$3:$A$3390,N$1,'United Data'!$C$3:$C$3390,$A719,'United Data'!$B$3:$B$3390,"&lt;&gt;Off-street")&gt;0,1,0)</f>
        <v>0</v>
      </c>
      <c r="O719">
        <f>IF(COUNTIFS('United Data'!$A$3:$A$3390,O$1,'United Data'!$C$3:$C$3390,$A719,'United Data'!$B$3:$B$3390,"&lt;&gt;Off-street")&gt;0,1,0)</f>
        <v>0</v>
      </c>
      <c r="P719">
        <f>IF(COUNTIFS('United Data'!$A$3:$A$3390,P$1,'United Data'!$C$3:$C$3390,$A719,'United Data'!$B$3:$B$3390,"&lt;&gt;Off-street")&gt;0,1,0)</f>
        <v>0</v>
      </c>
      <c r="Q719">
        <f>IF(COUNTIFS('United Data'!$A$3:$A$3390,Q$1,'United Data'!$C$3:$C$3390,$A719,'United Data'!$B$3:$B$3390,"&lt;&gt;Off-street")&gt;0,1,0)</f>
        <v>0</v>
      </c>
      <c r="R719">
        <f>IF(COUNTIFS('United Data'!$A$3:$A$3390,R$1,'United Data'!$C$3:$C$3390,$A719,'United Data'!$B$3:$B$3390,"&lt;&gt;Off-street")&gt;0,1,0)</f>
        <v>0</v>
      </c>
      <c r="S719">
        <f t="shared" si="22"/>
        <v>1</v>
      </c>
      <c r="T719">
        <f t="shared" si="23"/>
        <v>1</v>
      </c>
    </row>
    <row r="720" spans="1:20" x14ac:dyDescent="0.2">
      <c r="A720" t="s">
        <v>861</v>
      </c>
      <c r="B720">
        <f>IF(COUNTIFS('United Data'!$A$3:$A$3390,B$1,'United Data'!$C$3:$C$3390,$A720,'United Data'!$B$3:$B$3390,"&lt;&gt;Off-street")&gt;0,1,0)</f>
        <v>0</v>
      </c>
      <c r="C720">
        <f>IF(COUNTIFS('United Data'!$A$3:$A$3390,C$1,'United Data'!$C$3:$C$3390,$A720,'United Data'!$B$3:$B$3390,"&lt;&gt;Off-street")&gt;0,1,0)</f>
        <v>0</v>
      </c>
      <c r="D720">
        <f>IF(COUNTIFS('United Data'!$A$3:$A$3390,D$1,'United Data'!$C$3:$C$3390,$A720,'United Data'!$B$3:$B$3390,"&lt;&gt;Off-street")&gt;0,1,0)</f>
        <v>0</v>
      </c>
      <c r="E720">
        <f>IF(COUNTIFS('United Data'!$A$3:$A$3390,E$1,'United Data'!$C$3:$C$3390,$A720,'United Data'!$B$3:$B$3390,"&lt;&gt;Off-street")&gt;0,1,0)</f>
        <v>0</v>
      </c>
      <c r="F720">
        <f>IF(COUNTIFS('United Data'!$A$3:$A$3390,F$1,'United Data'!$C$3:$C$3390,$A720,'United Data'!$B$3:$B$3390,"&lt;&gt;Off-street")&gt;0,1,0)</f>
        <v>0</v>
      </c>
      <c r="G720">
        <f>IF(COUNTIFS('United Data'!$A$3:$A$3390,G$1,'United Data'!$C$3:$C$3390,$A720,'United Data'!$B$3:$B$3390,"&lt;&gt;Off-street")&gt;0,1,0)</f>
        <v>0</v>
      </c>
      <c r="H720">
        <f>IF(COUNTIFS('United Data'!$A$3:$A$3390,H$1,'United Data'!$C$3:$C$3390,$A720,'United Data'!$B$3:$B$3390,"&lt;&gt;Off-street")&gt;0,1,0)</f>
        <v>1</v>
      </c>
      <c r="I720">
        <f>IF(COUNTIFS('United Data'!$A$3:$A$3390,I$1,'United Data'!$C$3:$C$3390,$A720,'United Data'!$B$3:$B$3390,"&lt;&gt;Off-street")&gt;0,1,0)</f>
        <v>0</v>
      </c>
      <c r="J720">
        <f>IF(COUNTIFS('United Data'!$A$3:$A$3390,J$1,'United Data'!$C$3:$C$3390,$A720,'United Data'!$B$3:$B$3390,"&lt;&gt;Off-street")&gt;0,1,0)</f>
        <v>0</v>
      </c>
      <c r="K720">
        <f>IF(COUNTIFS('United Data'!$A$3:$A$3390,K$1,'United Data'!$C$3:$C$3390,$A720,'United Data'!$B$3:$B$3390,"&lt;&gt;Off-street")&gt;0,1,0)</f>
        <v>0</v>
      </c>
      <c r="L720">
        <f>IF(COUNTIFS('United Data'!$A$3:$A$3390,L$1,'United Data'!$C$3:$C$3390,$A720,'United Data'!$B$3:$B$3390,"&lt;&gt;Off-street")&gt;0,1,0)</f>
        <v>0</v>
      </c>
      <c r="M720">
        <f>IF(COUNTIFS('United Data'!$A$3:$A$3390,M$1,'United Data'!$C$3:$C$3390,$A720,'United Data'!$B$3:$B$3390,"&lt;&gt;Off-street")&gt;0,1,0)</f>
        <v>0</v>
      </c>
      <c r="N720">
        <f>IF(COUNTIFS('United Data'!$A$3:$A$3390,N$1,'United Data'!$C$3:$C$3390,$A720,'United Data'!$B$3:$B$3390,"&lt;&gt;Off-street")&gt;0,1,0)</f>
        <v>0</v>
      </c>
      <c r="O720">
        <f>IF(COUNTIFS('United Data'!$A$3:$A$3390,O$1,'United Data'!$C$3:$C$3390,$A720,'United Data'!$B$3:$B$3390,"&lt;&gt;Off-street")&gt;0,1,0)</f>
        <v>0</v>
      </c>
      <c r="P720">
        <f>IF(COUNTIFS('United Data'!$A$3:$A$3390,P$1,'United Data'!$C$3:$C$3390,$A720,'United Data'!$B$3:$B$3390,"&lt;&gt;Off-street")&gt;0,1,0)</f>
        <v>0</v>
      </c>
      <c r="Q720">
        <f>IF(COUNTIFS('United Data'!$A$3:$A$3390,Q$1,'United Data'!$C$3:$C$3390,$A720,'United Data'!$B$3:$B$3390,"&lt;&gt;Off-street")&gt;0,1,0)</f>
        <v>0</v>
      </c>
      <c r="R720">
        <f>IF(COUNTIFS('United Data'!$A$3:$A$3390,R$1,'United Data'!$C$3:$C$3390,$A720,'United Data'!$B$3:$B$3390,"&lt;&gt;Off-street")&gt;0,1,0)</f>
        <v>0</v>
      </c>
      <c r="S720">
        <f t="shared" si="22"/>
        <v>1</v>
      </c>
      <c r="T720">
        <f t="shared" si="23"/>
        <v>1</v>
      </c>
    </row>
    <row r="721" spans="1:20" x14ac:dyDescent="0.2">
      <c r="A721" t="s">
        <v>862</v>
      </c>
      <c r="B721">
        <f>IF(COUNTIFS('United Data'!$A$3:$A$3390,B$1,'United Data'!$C$3:$C$3390,$A721,'United Data'!$B$3:$B$3390,"&lt;&gt;Off-street")&gt;0,1,0)</f>
        <v>0</v>
      </c>
      <c r="C721">
        <f>IF(COUNTIFS('United Data'!$A$3:$A$3390,C$1,'United Data'!$C$3:$C$3390,$A721,'United Data'!$B$3:$B$3390,"&lt;&gt;Off-street")&gt;0,1,0)</f>
        <v>0</v>
      </c>
      <c r="D721">
        <f>IF(COUNTIFS('United Data'!$A$3:$A$3390,D$1,'United Data'!$C$3:$C$3390,$A721,'United Data'!$B$3:$B$3390,"&lt;&gt;Off-street")&gt;0,1,0)</f>
        <v>0</v>
      </c>
      <c r="E721">
        <f>IF(COUNTIFS('United Data'!$A$3:$A$3390,E$1,'United Data'!$C$3:$C$3390,$A721,'United Data'!$B$3:$B$3390,"&lt;&gt;Off-street")&gt;0,1,0)</f>
        <v>0</v>
      </c>
      <c r="F721">
        <f>IF(COUNTIFS('United Data'!$A$3:$A$3390,F$1,'United Data'!$C$3:$C$3390,$A721,'United Data'!$B$3:$B$3390,"&lt;&gt;Off-street")&gt;0,1,0)</f>
        <v>0</v>
      </c>
      <c r="G721">
        <f>IF(COUNTIFS('United Data'!$A$3:$A$3390,G$1,'United Data'!$C$3:$C$3390,$A721,'United Data'!$B$3:$B$3390,"&lt;&gt;Off-street")&gt;0,1,0)</f>
        <v>0</v>
      </c>
      <c r="H721">
        <f>IF(COUNTIFS('United Data'!$A$3:$A$3390,H$1,'United Data'!$C$3:$C$3390,$A721,'United Data'!$B$3:$B$3390,"&lt;&gt;Off-street")&gt;0,1,0)</f>
        <v>1</v>
      </c>
      <c r="I721">
        <f>IF(COUNTIFS('United Data'!$A$3:$A$3390,I$1,'United Data'!$C$3:$C$3390,$A721,'United Data'!$B$3:$B$3390,"&lt;&gt;Off-street")&gt;0,1,0)</f>
        <v>0</v>
      </c>
      <c r="J721">
        <f>IF(COUNTIFS('United Data'!$A$3:$A$3390,J$1,'United Data'!$C$3:$C$3390,$A721,'United Data'!$B$3:$B$3390,"&lt;&gt;Off-street")&gt;0,1,0)</f>
        <v>0</v>
      </c>
      <c r="K721">
        <f>IF(COUNTIFS('United Data'!$A$3:$A$3390,K$1,'United Data'!$C$3:$C$3390,$A721,'United Data'!$B$3:$B$3390,"&lt;&gt;Off-street")&gt;0,1,0)</f>
        <v>0</v>
      </c>
      <c r="L721">
        <f>IF(COUNTIFS('United Data'!$A$3:$A$3390,L$1,'United Data'!$C$3:$C$3390,$A721,'United Data'!$B$3:$B$3390,"&lt;&gt;Off-street")&gt;0,1,0)</f>
        <v>0</v>
      </c>
      <c r="M721">
        <f>IF(COUNTIFS('United Data'!$A$3:$A$3390,M$1,'United Data'!$C$3:$C$3390,$A721,'United Data'!$B$3:$B$3390,"&lt;&gt;Off-street")&gt;0,1,0)</f>
        <v>0</v>
      </c>
      <c r="N721">
        <f>IF(COUNTIFS('United Data'!$A$3:$A$3390,N$1,'United Data'!$C$3:$C$3390,$A721,'United Data'!$B$3:$B$3390,"&lt;&gt;Off-street")&gt;0,1,0)</f>
        <v>0</v>
      </c>
      <c r="O721">
        <f>IF(COUNTIFS('United Data'!$A$3:$A$3390,O$1,'United Data'!$C$3:$C$3390,$A721,'United Data'!$B$3:$B$3390,"&lt;&gt;Off-street")&gt;0,1,0)</f>
        <v>0</v>
      </c>
      <c r="P721">
        <f>IF(COUNTIFS('United Data'!$A$3:$A$3390,P$1,'United Data'!$C$3:$C$3390,$A721,'United Data'!$B$3:$B$3390,"&lt;&gt;Off-street")&gt;0,1,0)</f>
        <v>0</v>
      </c>
      <c r="Q721">
        <f>IF(COUNTIFS('United Data'!$A$3:$A$3390,Q$1,'United Data'!$C$3:$C$3390,$A721,'United Data'!$B$3:$B$3390,"&lt;&gt;Off-street")&gt;0,1,0)</f>
        <v>0</v>
      </c>
      <c r="R721">
        <f>IF(COUNTIFS('United Data'!$A$3:$A$3390,R$1,'United Data'!$C$3:$C$3390,$A721,'United Data'!$B$3:$B$3390,"&lt;&gt;Off-street")&gt;0,1,0)</f>
        <v>0</v>
      </c>
      <c r="S721">
        <f t="shared" si="22"/>
        <v>1</v>
      </c>
      <c r="T721">
        <f t="shared" si="23"/>
        <v>1</v>
      </c>
    </row>
    <row r="722" spans="1:20" x14ac:dyDescent="0.2">
      <c r="A722" t="s">
        <v>863</v>
      </c>
      <c r="B722">
        <f>IF(COUNTIFS('United Data'!$A$3:$A$3390,B$1,'United Data'!$C$3:$C$3390,$A722,'United Data'!$B$3:$B$3390,"&lt;&gt;Off-street")&gt;0,1,0)</f>
        <v>0</v>
      </c>
      <c r="C722">
        <f>IF(COUNTIFS('United Data'!$A$3:$A$3390,C$1,'United Data'!$C$3:$C$3390,$A722,'United Data'!$B$3:$B$3390,"&lt;&gt;Off-street")&gt;0,1,0)</f>
        <v>0</v>
      </c>
      <c r="D722">
        <f>IF(COUNTIFS('United Data'!$A$3:$A$3390,D$1,'United Data'!$C$3:$C$3390,$A722,'United Data'!$B$3:$B$3390,"&lt;&gt;Off-street")&gt;0,1,0)</f>
        <v>0</v>
      </c>
      <c r="E722">
        <f>IF(COUNTIFS('United Data'!$A$3:$A$3390,E$1,'United Data'!$C$3:$C$3390,$A722,'United Data'!$B$3:$B$3390,"&lt;&gt;Off-street")&gt;0,1,0)</f>
        <v>0</v>
      </c>
      <c r="F722">
        <f>IF(COUNTIFS('United Data'!$A$3:$A$3390,F$1,'United Data'!$C$3:$C$3390,$A722,'United Data'!$B$3:$B$3390,"&lt;&gt;Off-street")&gt;0,1,0)</f>
        <v>0</v>
      </c>
      <c r="G722">
        <f>IF(COUNTIFS('United Data'!$A$3:$A$3390,G$1,'United Data'!$C$3:$C$3390,$A722,'United Data'!$B$3:$B$3390,"&lt;&gt;Off-street")&gt;0,1,0)</f>
        <v>0</v>
      </c>
      <c r="H722">
        <f>IF(COUNTIFS('United Data'!$A$3:$A$3390,H$1,'United Data'!$C$3:$C$3390,$A722,'United Data'!$B$3:$B$3390,"&lt;&gt;Off-street")&gt;0,1,0)</f>
        <v>0</v>
      </c>
      <c r="I722">
        <f>IF(COUNTIFS('United Data'!$A$3:$A$3390,I$1,'United Data'!$C$3:$C$3390,$A722,'United Data'!$B$3:$B$3390,"&lt;&gt;Off-street")&gt;0,1,0)</f>
        <v>1</v>
      </c>
      <c r="J722">
        <f>IF(COUNTIFS('United Data'!$A$3:$A$3390,J$1,'United Data'!$C$3:$C$3390,$A722,'United Data'!$B$3:$B$3390,"&lt;&gt;Off-street")&gt;0,1,0)</f>
        <v>0</v>
      </c>
      <c r="K722">
        <f>IF(COUNTIFS('United Data'!$A$3:$A$3390,K$1,'United Data'!$C$3:$C$3390,$A722,'United Data'!$B$3:$B$3390,"&lt;&gt;Off-street")&gt;0,1,0)</f>
        <v>0</v>
      </c>
      <c r="L722">
        <f>IF(COUNTIFS('United Data'!$A$3:$A$3390,L$1,'United Data'!$C$3:$C$3390,$A722,'United Data'!$B$3:$B$3390,"&lt;&gt;Off-street")&gt;0,1,0)</f>
        <v>0</v>
      </c>
      <c r="M722">
        <f>IF(COUNTIFS('United Data'!$A$3:$A$3390,M$1,'United Data'!$C$3:$C$3390,$A722,'United Data'!$B$3:$B$3390,"&lt;&gt;Off-street")&gt;0,1,0)</f>
        <v>0</v>
      </c>
      <c r="N722">
        <f>IF(COUNTIFS('United Data'!$A$3:$A$3390,N$1,'United Data'!$C$3:$C$3390,$A722,'United Data'!$B$3:$B$3390,"&lt;&gt;Off-street")&gt;0,1,0)</f>
        <v>0</v>
      </c>
      <c r="O722">
        <f>IF(COUNTIFS('United Data'!$A$3:$A$3390,O$1,'United Data'!$C$3:$C$3390,$A722,'United Data'!$B$3:$B$3390,"&lt;&gt;Off-street")&gt;0,1,0)</f>
        <v>0</v>
      </c>
      <c r="P722">
        <f>IF(COUNTIFS('United Data'!$A$3:$A$3390,P$1,'United Data'!$C$3:$C$3390,$A722,'United Data'!$B$3:$B$3390,"&lt;&gt;Off-street")&gt;0,1,0)</f>
        <v>0</v>
      </c>
      <c r="Q722">
        <f>IF(COUNTIFS('United Data'!$A$3:$A$3390,Q$1,'United Data'!$C$3:$C$3390,$A722,'United Data'!$B$3:$B$3390,"&lt;&gt;Off-street")&gt;0,1,0)</f>
        <v>0</v>
      </c>
      <c r="R722">
        <f>IF(COUNTIFS('United Data'!$A$3:$A$3390,R$1,'United Data'!$C$3:$C$3390,$A722,'United Data'!$B$3:$B$3390,"&lt;&gt;Off-street")&gt;0,1,0)</f>
        <v>0</v>
      </c>
      <c r="S722">
        <f t="shared" si="22"/>
        <v>1</v>
      </c>
      <c r="T722">
        <f t="shared" si="23"/>
        <v>1</v>
      </c>
    </row>
    <row r="723" spans="1:20" x14ac:dyDescent="0.2">
      <c r="A723" t="s">
        <v>864</v>
      </c>
      <c r="B723">
        <f>IF(COUNTIFS('United Data'!$A$3:$A$3390,B$1,'United Data'!$C$3:$C$3390,$A723,'United Data'!$B$3:$B$3390,"&lt;&gt;Off-street")&gt;0,1,0)</f>
        <v>0</v>
      </c>
      <c r="C723">
        <f>IF(COUNTIFS('United Data'!$A$3:$A$3390,C$1,'United Data'!$C$3:$C$3390,$A723,'United Data'!$B$3:$B$3390,"&lt;&gt;Off-street")&gt;0,1,0)</f>
        <v>0</v>
      </c>
      <c r="D723">
        <f>IF(COUNTIFS('United Data'!$A$3:$A$3390,D$1,'United Data'!$C$3:$C$3390,$A723,'United Data'!$B$3:$B$3390,"&lt;&gt;Off-street")&gt;0,1,0)</f>
        <v>0</v>
      </c>
      <c r="E723">
        <f>IF(COUNTIFS('United Data'!$A$3:$A$3390,E$1,'United Data'!$C$3:$C$3390,$A723,'United Data'!$B$3:$B$3390,"&lt;&gt;Off-street")&gt;0,1,0)</f>
        <v>0</v>
      </c>
      <c r="F723">
        <f>IF(COUNTIFS('United Data'!$A$3:$A$3390,F$1,'United Data'!$C$3:$C$3390,$A723,'United Data'!$B$3:$B$3390,"&lt;&gt;Off-street")&gt;0,1,0)</f>
        <v>0</v>
      </c>
      <c r="G723">
        <f>IF(COUNTIFS('United Data'!$A$3:$A$3390,G$1,'United Data'!$C$3:$C$3390,$A723,'United Data'!$B$3:$B$3390,"&lt;&gt;Off-street")&gt;0,1,0)</f>
        <v>0</v>
      </c>
      <c r="H723">
        <f>IF(COUNTIFS('United Data'!$A$3:$A$3390,H$1,'United Data'!$C$3:$C$3390,$A723,'United Data'!$B$3:$B$3390,"&lt;&gt;Off-street")&gt;0,1,0)</f>
        <v>0</v>
      </c>
      <c r="I723">
        <f>IF(COUNTIFS('United Data'!$A$3:$A$3390,I$1,'United Data'!$C$3:$C$3390,$A723,'United Data'!$B$3:$B$3390,"&lt;&gt;Off-street")&gt;0,1,0)</f>
        <v>1</v>
      </c>
      <c r="J723">
        <f>IF(COUNTIFS('United Data'!$A$3:$A$3390,J$1,'United Data'!$C$3:$C$3390,$A723,'United Data'!$B$3:$B$3390,"&lt;&gt;Off-street")&gt;0,1,0)</f>
        <v>0</v>
      </c>
      <c r="K723">
        <f>IF(COUNTIFS('United Data'!$A$3:$A$3390,K$1,'United Data'!$C$3:$C$3390,$A723,'United Data'!$B$3:$B$3390,"&lt;&gt;Off-street")&gt;0,1,0)</f>
        <v>0</v>
      </c>
      <c r="L723">
        <f>IF(COUNTIFS('United Data'!$A$3:$A$3390,L$1,'United Data'!$C$3:$C$3390,$A723,'United Data'!$B$3:$B$3390,"&lt;&gt;Off-street")&gt;0,1,0)</f>
        <v>0</v>
      </c>
      <c r="M723">
        <f>IF(COUNTIFS('United Data'!$A$3:$A$3390,M$1,'United Data'!$C$3:$C$3390,$A723,'United Data'!$B$3:$B$3390,"&lt;&gt;Off-street")&gt;0,1,0)</f>
        <v>0</v>
      </c>
      <c r="N723">
        <f>IF(COUNTIFS('United Data'!$A$3:$A$3390,N$1,'United Data'!$C$3:$C$3390,$A723,'United Data'!$B$3:$B$3390,"&lt;&gt;Off-street")&gt;0,1,0)</f>
        <v>0</v>
      </c>
      <c r="O723">
        <f>IF(COUNTIFS('United Data'!$A$3:$A$3390,O$1,'United Data'!$C$3:$C$3390,$A723,'United Data'!$B$3:$B$3390,"&lt;&gt;Off-street")&gt;0,1,0)</f>
        <v>0</v>
      </c>
      <c r="P723">
        <f>IF(COUNTIFS('United Data'!$A$3:$A$3390,P$1,'United Data'!$C$3:$C$3390,$A723,'United Data'!$B$3:$B$3390,"&lt;&gt;Off-street")&gt;0,1,0)</f>
        <v>0</v>
      </c>
      <c r="Q723">
        <f>IF(COUNTIFS('United Data'!$A$3:$A$3390,Q$1,'United Data'!$C$3:$C$3390,$A723,'United Data'!$B$3:$B$3390,"&lt;&gt;Off-street")&gt;0,1,0)</f>
        <v>0</v>
      </c>
      <c r="R723">
        <f>IF(COUNTIFS('United Data'!$A$3:$A$3390,R$1,'United Data'!$C$3:$C$3390,$A723,'United Data'!$B$3:$B$3390,"&lt;&gt;Off-street")&gt;0,1,0)</f>
        <v>0</v>
      </c>
      <c r="S723">
        <f t="shared" si="22"/>
        <v>1</v>
      </c>
      <c r="T723">
        <f t="shared" si="23"/>
        <v>1</v>
      </c>
    </row>
    <row r="724" spans="1:20" x14ac:dyDescent="0.2">
      <c r="A724" t="s">
        <v>865</v>
      </c>
      <c r="B724">
        <f>IF(COUNTIFS('United Data'!$A$3:$A$3390,B$1,'United Data'!$C$3:$C$3390,$A724,'United Data'!$B$3:$B$3390,"&lt;&gt;Off-street")&gt;0,1,0)</f>
        <v>0</v>
      </c>
      <c r="C724">
        <f>IF(COUNTIFS('United Data'!$A$3:$A$3390,C$1,'United Data'!$C$3:$C$3390,$A724,'United Data'!$B$3:$B$3390,"&lt;&gt;Off-street")&gt;0,1,0)</f>
        <v>0</v>
      </c>
      <c r="D724">
        <f>IF(COUNTIFS('United Data'!$A$3:$A$3390,D$1,'United Data'!$C$3:$C$3390,$A724,'United Data'!$B$3:$B$3390,"&lt;&gt;Off-street")&gt;0,1,0)</f>
        <v>0</v>
      </c>
      <c r="E724">
        <f>IF(COUNTIFS('United Data'!$A$3:$A$3390,E$1,'United Data'!$C$3:$C$3390,$A724,'United Data'!$B$3:$B$3390,"&lt;&gt;Off-street")&gt;0,1,0)</f>
        <v>0</v>
      </c>
      <c r="F724">
        <f>IF(COUNTIFS('United Data'!$A$3:$A$3390,F$1,'United Data'!$C$3:$C$3390,$A724,'United Data'!$B$3:$B$3390,"&lt;&gt;Off-street")&gt;0,1,0)</f>
        <v>0</v>
      </c>
      <c r="G724">
        <f>IF(COUNTIFS('United Data'!$A$3:$A$3390,G$1,'United Data'!$C$3:$C$3390,$A724,'United Data'!$B$3:$B$3390,"&lt;&gt;Off-street")&gt;0,1,0)</f>
        <v>0</v>
      </c>
      <c r="H724">
        <f>IF(COUNTIFS('United Data'!$A$3:$A$3390,H$1,'United Data'!$C$3:$C$3390,$A724,'United Data'!$B$3:$B$3390,"&lt;&gt;Off-street")&gt;0,1,0)</f>
        <v>0</v>
      </c>
      <c r="I724">
        <f>IF(COUNTIFS('United Data'!$A$3:$A$3390,I$1,'United Data'!$C$3:$C$3390,$A724,'United Data'!$B$3:$B$3390,"&lt;&gt;Off-street")&gt;0,1,0)</f>
        <v>1</v>
      </c>
      <c r="J724">
        <f>IF(COUNTIFS('United Data'!$A$3:$A$3390,J$1,'United Data'!$C$3:$C$3390,$A724,'United Data'!$B$3:$B$3390,"&lt;&gt;Off-street")&gt;0,1,0)</f>
        <v>0</v>
      </c>
      <c r="K724">
        <f>IF(COUNTIFS('United Data'!$A$3:$A$3390,K$1,'United Data'!$C$3:$C$3390,$A724,'United Data'!$B$3:$B$3390,"&lt;&gt;Off-street")&gt;0,1,0)</f>
        <v>0</v>
      </c>
      <c r="L724">
        <f>IF(COUNTIFS('United Data'!$A$3:$A$3390,L$1,'United Data'!$C$3:$C$3390,$A724,'United Data'!$B$3:$B$3390,"&lt;&gt;Off-street")&gt;0,1,0)</f>
        <v>0</v>
      </c>
      <c r="M724">
        <f>IF(COUNTIFS('United Data'!$A$3:$A$3390,M$1,'United Data'!$C$3:$C$3390,$A724,'United Data'!$B$3:$B$3390,"&lt;&gt;Off-street")&gt;0,1,0)</f>
        <v>0</v>
      </c>
      <c r="N724">
        <f>IF(COUNTIFS('United Data'!$A$3:$A$3390,N$1,'United Data'!$C$3:$C$3390,$A724,'United Data'!$B$3:$B$3390,"&lt;&gt;Off-street")&gt;0,1,0)</f>
        <v>0</v>
      </c>
      <c r="O724">
        <f>IF(COUNTIFS('United Data'!$A$3:$A$3390,O$1,'United Data'!$C$3:$C$3390,$A724,'United Data'!$B$3:$B$3390,"&lt;&gt;Off-street")&gt;0,1,0)</f>
        <v>0</v>
      </c>
      <c r="P724">
        <f>IF(COUNTIFS('United Data'!$A$3:$A$3390,P$1,'United Data'!$C$3:$C$3390,$A724,'United Data'!$B$3:$B$3390,"&lt;&gt;Off-street")&gt;0,1,0)</f>
        <v>0</v>
      </c>
      <c r="Q724">
        <f>IF(COUNTIFS('United Data'!$A$3:$A$3390,Q$1,'United Data'!$C$3:$C$3390,$A724,'United Data'!$B$3:$B$3390,"&lt;&gt;Off-street")&gt;0,1,0)</f>
        <v>0</v>
      </c>
      <c r="R724">
        <f>IF(COUNTIFS('United Data'!$A$3:$A$3390,R$1,'United Data'!$C$3:$C$3390,$A724,'United Data'!$B$3:$B$3390,"&lt;&gt;Off-street")&gt;0,1,0)</f>
        <v>0</v>
      </c>
      <c r="S724">
        <f t="shared" si="22"/>
        <v>1</v>
      </c>
      <c r="T724">
        <f t="shared" si="23"/>
        <v>1</v>
      </c>
    </row>
    <row r="725" spans="1:20" x14ac:dyDescent="0.2">
      <c r="A725" t="s">
        <v>866</v>
      </c>
      <c r="B725">
        <f>IF(COUNTIFS('United Data'!$A$3:$A$3390,B$1,'United Data'!$C$3:$C$3390,$A725,'United Data'!$B$3:$B$3390,"&lt;&gt;Off-street")&gt;0,1,0)</f>
        <v>0</v>
      </c>
      <c r="C725">
        <f>IF(COUNTIFS('United Data'!$A$3:$A$3390,C$1,'United Data'!$C$3:$C$3390,$A725,'United Data'!$B$3:$B$3390,"&lt;&gt;Off-street")&gt;0,1,0)</f>
        <v>0</v>
      </c>
      <c r="D725">
        <f>IF(COUNTIFS('United Data'!$A$3:$A$3390,D$1,'United Data'!$C$3:$C$3390,$A725,'United Data'!$B$3:$B$3390,"&lt;&gt;Off-street")&gt;0,1,0)</f>
        <v>0</v>
      </c>
      <c r="E725">
        <f>IF(COUNTIFS('United Data'!$A$3:$A$3390,E$1,'United Data'!$C$3:$C$3390,$A725,'United Data'!$B$3:$B$3390,"&lt;&gt;Off-street")&gt;0,1,0)</f>
        <v>0</v>
      </c>
      <c r="F725">
        <f>IF(COUNTIFS('United Data'!$A$3:$A$3390,F$1,'United Data'!$C$3:$C$3390,$A725,'United Data'!$B$3:$B$3390,"&lt;&gt;Off-street")&gt;0,1,0)</f>
        <v>0</v>
      </c>
      <c r="G725">
        <f>IF(COUNTIFS('United Data'!$A$3:$A$3390,G$1,'United Data'!$C$3:$C$3390,$A725,'United Data'!$B$3:$B$3390,"&lt;&gt;Off-street")&gt;0,1,0)</f>
        <v>0</v>
      </c>
      <c r="H725">
        <f>IF(COUNTIFS('United Data'!$A$3:$A$3390,H$1,'United Data'!$C$3:$C$3390,$A725,'United Data'!$B$3:$B$3390,"&lt;&gt;Off-street")&gt;0,1,0)</f>
        <v>0</v>
      </c>
      <c r="I725">
        <f>IF(COUNTIFS('United Data'!$A$3:$A$3390,I$1,'United Data'!$C$3:$C$3390,$A725,'United Data'!$B$3:$B$3390,"&lt;&gt;Off-street")&gt;0,1,0)</f>
        <v>0</v>
      </c>
      <c r="J725">
        <f>IF(COUNTIFS('United Data'!$A$3:$A$3390,J$1,'United Data'!$C$3:$C$3390,$A725,'United Data'!$B$3:$B$3390,"&lt;&gt;Off-street")&gt;0,1,0)</f>
        <v>1</v>
      </c>
      <c r="K725">
        <f>IF(COUNTIFS('United Data'!$A$3:$A$3390,K$1,'United Data'!$C$3:$C$3390,$A725,'United Data'!$B$3:$B$3390,"&lt;&gt;Off-street")&gt;0,1,0)</f>
        <v>0</v>
      </c>
      <c r="L725">
        <f>IF(COUNTIFS('United Data'!$A$3:$A$3390,L$1,'United Data'!$C$3:$C$3390,$A725,'United Data'!$B$3:$B$3390,"&lt;&gt;Off-street")&gt;0,1,0)</f>
        <v>0</v>
      </c>
      <c r="M725">
        <f>IF(COUNTIFS('United Data'!$A$3:$A$3390,M$1,'United Data'!$C$3:$C$3390,$A725,'United Data'!$B$3:$B$3390,"&lt;&gt;Off-street")&gt;0,1,0)</f>
        <v>0</v>
      </c>
      <c r="N725">
        <f>IF(COUNTIFS('United Data'!$A$3:$A$3390,N$1,'United Data'!$C$3:$C$3390,$A725,'United Data'!$B$3:$B$3390,"&lt;&gt;Off-street")&gt;0,1,0)</f>
        <v>0</v>
      </c>
      <c r="O725">
        <f>IF(COUNTIFS('United Data'!$A$3:$A$3390,O$1,'United Data'!$C$3:$C$3390,$A725,'United Data'!$B$3:$B$3390,"&lt;&gt;Off-street")&gt;0,1,0)</f>
        <v>0</v>
      </c>
      <c r="P725">
        <f>IF(COUNTIFS('United Data'!$A$3:$A$3390,P$1,'United Data'!$C$3:$C$3390,$A725,'United Data'!$B$3:$B$3390,"&lt;&gt;Off-street")&gt;0,1,0)</f>
        <v>0</v>
      </c>
      <c r="Q725">
        <f>IF(COUNTIFS('United Data'!$A$3:$A$3390,Q$1,'United Data'!$C$3:$C$3390,$A725,'United Data'!$B$3:$B$3390,"&lt;&gt;Off-street")&gt;0,1,0)</f>
        <v>0</v>
      </c>
      <c r="R725">
        <f>IF(COUNTIFS('United Data'!$A$3:$A$3390,R$1,'United Data'!$C$3:$C$3390,$A725,'United Data'!$B$3:$B$3390,"&lt;&gt;Off-street")&gt;0,1,0)</f>
        <v>0</v>
      </c>
      <c r="S725">
        <f t="shared" si="22"/>
        <v>1</v>
      </c>
      <c r="T725">
        <f t="shared" si="23"/>
        <v>1</v>
      </c>
    </row>
    <row r="726" spans="1:20" x14ac:dyDescent="0.2">
      <c r="A726" t="s">
        <v>867</v>
      </c>
      <c r="B726">
        <f>IF(COUNTIFS('United Data'!$A$3:$A$3390,B$1,'United Data'!$C$3:$C$3390,$A726,'United Data'!$B$3:$B$3390,"&lt;&gt;Off-street")&gt;0,1,0)</f>
        <v>0</v>
      </c>
      <c r="C726">
        <f>IF(COUNTIFS('United Data'!$A$3:$A$3390,C$1,'United Data'!$C$3:$C$3390,$A726,'United Data'!$B$3:$B$3390,"&lt;&gt;Off-street")&gt;0,1,0)</f>
        <v>0</v>
      </c>
      <c r="D726">
        <f>IF(COUNTIFS('United Data'!$A$3:$A$3390,D$1,'United Data'!$C$3:$C$3390,$A726,'United Data'!$B$3:$B$3390,"&lt;&gt;Off-street")&gt;0,1,0)</f>
        <v>0</v>
      </c>
      <c r="E726">
        <f>IF(COUNTIFS('United Data'!$A$3:$A$3390,E$1,'United Data'!$C$3:$C$3390,$A726,'United Data'!$B$3:$B$3390,"&lt;&gt;Off-street")&gt;0,1,0)</f>
        <v>0</v>
      </c>
      <c r="F726">
        <f>IF(COUNTIFS('United Data'!$A$3:$A$3390,F$1,'United Data'!$C$3:$C$3390,$A726,'United Data'!$B$3:$B$3390,"&lt;&gt;Off-street")&gt;0,1,0)</f>
        <v>0</v>
      </c>
      <c r="G726">
        <f>IF(COUNTIFS('United Data'!$A$3:$A$3390,G$1,'United Data'!$C$3:$C$3390,$A726,'United Data'!$B$3:$B$3390,"&lt;&gt;Off-street")&gt;0,1,0)</f>
        <v>0</v>
      </c>
      <c r="H726">
        <f>IF(COUNTIFS('United Data'!$A$3:$A$3390,H$1,'United Data'!$C$3:$C$3390,$A726,'United Data'!$B$3:$B$3390,"&lt;&gt;Off-street")&gt;0,1,0)</f>
        <v>0</v>
      </c>
      <c r="I726">
        <f>IF(COUNTIFS('United Data'!$A$3:$A$3390,I$1,'United Data'!$C$3:$C$3390,$A726,'United Data'!$B$3:$B$3390,"&lt;&gt;Off-street")&gt;0,1,0)</f>
        <v>0</v>
      </c>
      <c r="J726">
        <f>IF(COUNTIFS('United Data'!$A$3:$A$3390,J$1,'United Data'!$C$3:$C$3390,$A726,'United Data'!$B$3:$B$3390,"&lt;&gt;Off-street")&gt;0,1,0)</f>
        <v>0</v>
      </c>
      <c r="K726">
        <f>IF(COUNTIFS('United Data'!$A$3:$A$3390,K$1,'United Data'!$C$3:$C$3390,$A726,'United Data'!$B$3:$B$3390,"&lt;&gt;Off-street")&gt;0,1,0)</f>
        <v>1</v>
      </c>
      <c r="L726">
        <f>IF(COUNTIFS('United Data'!$A$3:$A$3390,L$1,'United Data'!$C$3:$C$3390,$A726,'United Data'!$B$3:$B$3390,"&lt;&gt;Off-street")&gt;0,1,0)</f>
        <v>0</v>
      </c>
      <c r="M726">
        <f>IF(COUNTIFS('United Data'!$A$3:$A$3390,M$1,'United Data'!$C$3:$C$3390,$A726,'United Data'!$B$3:$B$3390,"&lt;&gt;Off-street")&gt;0,1,0)</f>
        <v>0</v>
      </c>
      <c r="N726">
        <f>IF(COUNTIFS('United Data'!$A$3:$A$3390,N$1,'United Data'!$C$3:$C$3390,$A726,'United Data'!$B$3:$B$3390,"&lt;&gt;Off-street")&gt;0,1,0)</f>
        <v>1</v>
      </c>
      <c r="O726">
        <f>IF(COUNTIFS('United Data'!$A$3:$A$3390,O$1,'United Data'!$C$3:$C$3390,$A726,'United Data'!$B$3:$B$3390,"&lt;&gt;Off-street")&gt;0,1,0)</f>
        <v>0</v>
      </c>
      <c r="P726">
        <f>IF(COUNTIFS('United Data'!$A$3:$A$3390,P$1,'United Data'!$C$3:$C$3390,$A726,'United Data'!$B$3:$B$3390,"&lt;&gt;Off-street")&gt;0,1,0)</f>
        <v>1</v>
      </c>
      <c r="Q726">
        <f>IF(COUNTIFS('United Data'!$A$3:$A$3390,Q$1,'United Data'!$C$3:$C$3390,$A726,'United Data'!$B$3:$B$3390,"&lt;&gt;Off-street")&gt;0,1,0)</f>
        <v>0</v>
      </c>
      <c r="R726">
        <f>IF(COUNTIFS('United Data'!$A$3:$A$3390,R$1,'United Data'!$C$3:$C$3390,$A726,'United Data'!$B$3:$B$3390,"&lt;&gt;Off-street")&gt;0,1,0)</f>
        <v>0</v>
      </c>
      <c r="S726">
        <f t="shared" si="22"/>
        <v>3</v>
      </c>
      <c r="T726">
        <f t="shared" si="23"/>
        <v>3</v>
      </c>
    </row>
    <row r="727" spans="1:20" x14ac:dyDescent="0.2">
      <c r="A727" t="s">
        <v>868</v>
      </c>
      <c r="B727">
        <f>IF(COUNTIFS('United Data'!$A$3:$A$3390,B$1,'United Data'!$C$3:$C$3390,$A727,'United Data'!$B$3:$B$3390,"&lt;&gt;Off-street")&gt;0,1,0)</f>
        <v>1</v>
      </c>
      <c r="C727">
        <f>IF(COUNTIFS('United Data'!$A$3:$A$3390,C$1,'United Data'!$C$3:$C$3390,$A727,'United Data'!$B$3:$B$3390,"&lt;&gt;Off-street")&gt;0,1,0)</f>
        <v>1</v>
      </c>
      <c r="D727">
        <f>IF(COUNTIFS('United Data'!$A$3:$A$3390,D$1,'United Data'!$C$3:$C$3390,$A727,'United Data'!$B$3:$B$3390,"&lt;&gt;Off-street")&gt;0,1,0)</f>
        <v>0</v>
      </c>
      <c r="E727">
        <f>IF(COUNTIFS('United Data'!$A$3:$A$3390,E$1,'United Data'!$C$3:$C$3390,$A727,'United Data'!$B$3:$B$3390,"&lt;&gt;Off-street")&gt;0,1,0)</f>
        <v>1</v>
      </c>
      <c r="F727">
        <f>IF(COUNTIFS('United Data'!$A$3:$A$3390,F$1,'United Data'!$C$3:$C$3390,$A727,'United Data'!$B$3:$B$3390,"&lt;&gt;Off-street")&gt;0,1,0)</f>
        <v>1</v>
      </c>
      <c r="G727">
        <f>IF(COUNTIFS('United Data'!$A$3:$A$3390,G$1,'United Data'!$C$3:$C$3390,$A727,'United Data'!$B$3:$B$3390,"&lt;&gt;Off-street")&gt;0,1,0)</f>
        <v>0</v>
      </c>
      <c r="H727">
        <f>IF(COUNTIFS('United Data'!$A$3:$A$3390,H$1,'United Data'!$C$3:$C$3390,$A727,'United Data'!$B$3:$B$3390,"&lt;&gt;Off-street")&gt;0,1,0)</f>
        <v>0</v>
      </c>
      <c r="I727">
        <f>IF(COUNTIFS('United Data'!$A$3:$A$3390,I$1,'United Data'!$C$3:$C$3390,$A727,'United Data'!$B$3:$B$3390,"&lt;&gt;Off-street")&gt;0,1,0)</f>
        <v>0</v>
      </c>
      <c r="J727">
        <f>IF(COUNTIFS('United Data'!$A$3:$A$3390,J$1,'United Data'!$C$3:$C$3390,$A727,'United Data'!$B$3:$B$3390,"&lt;&gt;Off-street")&gt;0,1,0)</f>
        <v>1</v>
      </c>
      <c r="K727">
        <f>IF(COUNTIFS('United Data'!$A$3:$A$3390,K$1,'United Data'!$C$3:$C$3390,$A727,'United Data'!$B$3:$B$3390,"&lt;&gt;Off-street")&gt;0,1,0)</f>
        <v>0</v>
      </c>
      <c r="L727">
        <f>IF(COUNTIFS('United Data'!$A$3:$A$3390,L$1,'United Data'!$C$3:$C$3390,$A727,'United Data'!$B$3:$B$3390,"&lt;&gt;Off-street")&gt;0,1,0)</f>
        <v>1</v>
      </c>
      <c r="M727">
        <f>IF(COUNTIFS('United Data'!$A$3:$A$3390,M$1,'United Data'!$C$3:$C$3390,$A727,'United Data'!$B$3:$B$3390,"&lt;&gt;Off-street")&gt;0,1,0)</f>
        <v>0</v>
      </c>
      <c r="N727">
        <f>IF(COUNTIFS('United Data'!$A$3:$A$3390,N$1,'United Data'!$C$3:$C$3390,$A727,'United Data'!$B$3:$B$3390,"&lt;&gt;Off-street")&gt;0,1,0)</f>
        <v>1</v>
      </c>
      <c r="O727">
        <f>IF(COUNTIFS('United Data'!$A$3:$A$3390,O$1,'United Data'!$C$3:$C$3390,$A727,'United Data'!$B$3:$B$3390,"&lt;&gt;Off-street")&gt;0,1,0)</f>
        <v>1</v>
      </c>
      <c r="P727">
        <f>IF(COUNTIFS('United Data'!$A$3:$A$3390,P$1,'United Data'!$C$3:$C$3390,$A727,'United Data'!$B$3:$B$3390,"&lt;&gt;Off-street")&gt;0,1,0)</f>
        <v>1</v>
      </c>
      <c r="Q727">
        <f>IF(COUNTIFS('United Data'!$A$3:$A$3390,Q$1,'United Data'!$C$3:$C$3390,$A727,'United Data'!$B$3:$B$3390,"&lt;&gt;Off-street")&gt;0,1,0)</f>
        <v>1</v>
      </c>
      <c r="R727">
        <f>IF(COUNTIFS('United Data'!$A$3:$A$3390,R$1,'United Data'!$C$3:$C$3390,$A727,'United Data'!$B$3:$B$3390,"&lt;&gt;Off-street")&gt;0,1,0)</f>
        <v>1</v>
      </c>
      <c r="S727">
        <f t="shared" si="22"/>
        <v>11</v>
      </c>
      <c r="T727">
        <f t="shared" si="23"/>
        <v>5</v>
      </c>
    </row>
    <row r="728" spans="1:20" x14ac:dyDescent="0.2">
      <c r="A728" t="s">
        <v>869</v>
      </c>
      <c r="B728">
        <f>IF(COUNTIFS('United Data'!$A$3:$A$3390,B$1,'United Data'!$C$3:$C$3390,$A728,'United Data'!$B$3:$B$3390,"&lt;&gt;Off-street")&gt;0,1,0)</f>
        <v>0</v>
      </c>
      <c r="C728">
        <f>IF(COUNTIFS('United Data'!$A$3:$A$3390,C$1,'United Data'!$C$3:$C$3390,$A728,'United Data'!$B$3:$B$3390,"&lt;&gt;Off-street")&gt;0,1,0)</f>
        <v>0</v>
      </c>
      <c r="D728">
        <f>IF(COUNTIFS('United Data'!$A$3:$A$3390,D$1,'United Data'!$C$3:$C$3390,$A728,'United Data'!$B$3:$B$3390,"&lt;&gt;Off-street")&gt;0,1,0)</f>
        <v>0</v>
      </c>
      <c r="E728">
        <f>IF(COUNTIFS('United Data'!$A$3:$A$3390,E$1,'United Data'!$C$3:$C$3390,$A728,'United Data'!$B$3:$B$3390,"&lt;&gt;Off-street")&gt;0,1,0)</f>
        <v>0</v>
      </c>
      <c r="F728">
        <f>IF(COUNTIFS('United Data'!$A$3:$A$3390,F$1,'United Data'!$C$3:$C$3390,$A728,'United Data'!$B$3:$B$3390,"&lt;&gt;Off-street")&gt;0,1,0)</f>
        <v>0</v>
      </c>
      <c r="G728">
        <f>IF(COUNTIFS('United Data'!$A$3:$A$3390,G$1,'United Data'!$C$3:$C$3390,$A728,'United Data'!$B$3:$B$3390,"&lt;&gt;Off-street")&gt;0,1,0)</f>
        <v>0</v>
      </c>
      <c r="H728">
        <f>IF(COUNTIFS('United Data'!$A$3:$A$3390,H$1,'United Data'!$C$3:$C$3390,$A728,'United Data'!$B$3:$B$3390,"&lt;&gt;Off-street")&gt;0,1,0)</f>
        <v>0</v>
      </c>
      <c r="I728">
        <f>IF(COUNTIFS('United Data'!$A$3:$A$3390,I$1,'United Data'!$C$3:$C$3390,$A728,'United Data'!$B$3:$B$3390,"&lt;&gt;Off-street")&gt;0,1,0)</f>
        <v>0</v>
      </c>
      <c r="J728">
        <f>IF(COUNTIFS('United Data'!$A$3:$A$3390,J$1,'United Data'!$C$3:$C$3390,$A728,'United Data'!$B$3:$B$3390,"&lt;&gt;Off-street")&gt;0,1,0)</f>
        <v>0</v>
      </c>
      <c r="K728">
        <f>IF(COUNTIFS('United Data'!$A$3:$A$3390,K$1,'United Data'!$C$3:$C$3390,$A728,'United Data'!$B$3:$B$3390,"&lt;&gt;Off-street")&gt;0,1,0)</f>
        <v>0</v>
      </c>
      <c r="L728">
        <f>IF(COUNTIFS('United Data'!$A$3:$A$3390,L$1,'United Data'!$C$3:$C$3390,$A728,'United Data'!$B$3:$B$3390,"&lt;&gt;Off-street")&gt;0,1,0)</f>
        <v>1</v>
      </c>
      <c r="M728">
        <f>IF(COUNTIFS('United Data'!$A$3:$A$3390,M$1,'United Data'!$C$3:$C$3390,$A728,'United Data'!$B$3:$B$3390,"&lt;&gt;Off-street")&gt;0,1,0)</f>
        <v>0</v>
      </c>
      <c r="N728">
        <f>IF(COUNTIFS('United Data'!$A$3:$A$3390,N$1,'United Data'!$C$3:$C$3390,$A728,'United Data'!$B$3:$B$3390,"&lt;&gt;Off-street")&gt;0,1,0)</f>
        <v>1</v>
      </c>
      <c r="O728">
        <f>IF(COUNTIFS('United Data'!$A$3:$A$3390,O$1,'United Data'!$C$3:$C$3390,$A728,'United Data'!$B$3:$B$3390,"&lt;&gt;Off-street")&gt;0,1,0)</f>
        <v>0</v>
      </c>
      <c r="P728">
        <f>IF(COUNTIFS('United Data'!$A$3:$A$3390,P$1,'United Data'!$C$3:$C$3390,$A728,'United Data'!$B$3:$B$3390,"&lt;&gt;Off-street")&gt;0,1,0)</f>
        <v>1</v>
      </c>
      <c r="Q728">
        <f>IF(COUNTIFS('United Data'!$A$3:$A$3390,Q$1,'United Data'!$C$3:$C$3390,$A728,'United Data'!$B$3:$B$3390,"&lt;&gt;Off-street")&gt;0,1,0)</f>
        <v>0</v>
      </c>
      <c r="R728">
        <f>IF(COUNTIFS('United Data'!$A$3:$A$3390,R$1,'United Data'!$C$3:$C$3390,$A728,'United Data'!$B$3:$B$3390,"&lt;&gt;Off-street")&gt;0,1,0)</f>
        <v>0</v>
      </c>
      <c r="S728">
        <f t="shared" si="22"/>
        <v>3</v>
      </c>
      <c r="T728">
        <f t="shared" si="23"/>
        <v>3</v>
      </c>
    </row>
    <row r="729" spans="1:20" x14ac:dyDescent="0.2">
      <c r="A729" t="s">
        <v>870</v>
      </c>
      <c r="B729">
        <f>IF(COUNTIFS('United Data'!$A$3:$A$3390,B$1,'United Data'!$C$3:$C$3390,$A729,'United Data'!$B$3:$B$3390,"&lt;&gt;Off-street")&gt;0,1,0)</f>
        <v>0</v>
      </c>
      <c r="C729">
        <f>IF(COUNTIFS('United Data'!$A$3:$A$3390,C$1,'United Data'!$C$3:$C$3390,$A729,'United Data'!$B$3:$B$3390,"&lt;&gt;Off-street")&gt;0,1,0)</f>
        <v>0</v>
      </c>
      <c r="D729">
        <f>IF(COUNTIFS('United Data'!$A$3:$A$3390,D$1,'United Data'!$C$3:$C$3390,$A729,'United Data'!$B$3:$B$3390,"&lt;&gt;Off-street")&gt;0,1,0)</f>
        <v>0</v>
      </c>
      <c r="E729">
        <f>IF(COUNTIFS('United Data'!$A$3:$A$3390,E$1,'United Data'!$C$3:$C$3390,$A729,'United Data'!$B$3:$B$3390,"&lt;&gt;Off-street")&gt;0,1,0)</f>
        <v>0</v>
      </c>
      <c r="F729">
        <f>IF(COUNTIFS('United Data'!$A$3:$A$3390,F$1,'United Data'!$C$3:$C$3390,$A729,'United Data'!$B$3:$B$3390,"&lt;&gt;Off-street")&gt;0,1,0)</f>
        <v>0</v>
      </c>
      <c r="G729">
        <f>IF(COUNTIFS('United Data'!$A$3:$A$3390,G$1,'United Data'!$C$3:$C$3390,$A729,'United Data'!$B$3:$B$3390,"&lt;&gt;Off-street")&gt;0,1,0)</f>
        <v>0</v>
      </c>
      <c r="H729">
        <f>IF(COUNTIFS('United Data'!$A$3:$A$3390,H$1,'United Data'!$C$3:$C$3390,$A729,'United Data'!$B$3:$B$3390,"&lt;&gt;Off-street")&gt;0,1,0)</f>
        <v>0</v>
      </c>
      <c r="I729">
        <f>IF(COUNTIFS('United Data'!$A$3:$A$3390,I$1,'United Data'!$C$3:$C$3390,$A729,'United Data'!$B$3:$B$3390,"&lt;&gt;Off-street")&gt;0,1,0)</f>
        <v>0</v>
      </c>
      <c r="J729">
        <f>IF(COUNTIFS('United Data'!$A$3:$A$3390,J$1,'United Data'!$C$3:$C$3390,$A729,'United Data'!$B$3:$B$3390,"&lt;&gt;Off-street")&gt;0,1,0)</f>
        <v>0</v>
      </c>
      <c r="K729">
        <f>IF(COUNTIFS('United Data'!$A$3:$A$3390,K$1,'United Data'!$C$3:$C$3390,$A729,'United Data'!$B$3:$B$3390,"&lt;&gt;Off-street")&gt;0,1,0)</f>
        <v>0</v>
      </c>
      <c r="L729">
        <f>IF(COUNTIFS('United Data'!$A$3:$A$3390,L$1,'United Data'!$C$3:$C$3390,$A729,'United Data'!$B$3:$B$3390,"&lt;&gt;Off-street")&gt;0,1,0)</f>
        <v>1</v>
      </c>
      <c r="M729">
        <f>IF(COUNTIFS('United Data'!$A$3:$A$3390,M$1,'United Data'!$C$3:$C$3390,$A729,'United Data'!$B$3:$B$3390,"&lt;&gt;Off-street")&gt;0,1,0)</f>
        <v>0</v>
      </c>
      <c r="N729">
        <f>IF(COUNTIFS('United Data'!$A$3:$A$3390,N$1,'United Data'!$C$3:$C$3390,$A729,'United Data'!$B$3:$B$3390,"&lt;&gt;Off-street")&gt;0,1,0)</f>
        <v>0</v>
      </c>
      <c r="O729">
        <f>IF(COUNTIFS('United Data'!$A$3:$A$3390,O$1,'United Data'!$C$3:$C$3390,$A729,'United Data'!$B$3:$B$3390,"&lt;&gt;Off-street")&gt;0,1,0)</f>
        <v>0</v>
      </c>
      <c r="P729">
        <f>IF(COUNTIFS('United Data'!$A$3:$A$3390,P$1,'United Data'!$C$3:$C$3390,$A729,'United Data'!$B$3:$B$3390,"&lt;&gt;Off-street")&gt;0,1,0)</f>
        <v>0</v>
      </c>
      <c r="Q729">
        <f>IF(COUNTIFS('United Data'!$A$3:$A$3390,Q$1,'United Data'!$C$3:$C$3390,$A729,'United Data'!$B$3:$B$3390,"&lt;&gt;Off-street")&gt;0,1,0)</f>
        <v>0</v>
      </c>
      <c r="R729">
        <f>IF(COUNTIFS('United Data'!$A$3:$A$3390,R$1,'United Data'!$C$3:$C$3390,$A729,'United Data'!$B$3:$B$3390,"&lt;&gt;Off-street")&gt;0,1,0)</f>
        <v>0</v>
      </c>
      <c r="S729">
        <f t="shared" si="22"/>
        <v>1</v>
      </c>
      <c r="T729">
        <f t="shared" si="23"/>
        <v>1</v>
      </c>
    </row>
    <row r="730" spans="1:20" x14ac:dyDescent="0.2">
      <c r="A730" t="s">
        <v>871</v>
      </c>
      <c r="B730">
        <f>IF(COUNTIFS('United Data'!$A$3:$A$3390,B$1,'United Data'!$C$3:$C$3390,$A730,'United Data'!$B$3:$B$3390,"&lt;&gt;Off-street")&gt;0,1,0)</f>
        <v>0</v>
      </c>
      <c r="C730">
        <f>IF(COUNTIFS('United Data'!$A$3:$A$3390,C$1,'United Data'!$C$3:$C$3390,$A730,'United Data'!$B$3:$B$3390,"&lt;&gt;Off-street")&gt;0,1,0)</f>
        <v>0</v>
      </c>
      <c r="D730">
        <f>IF(COUNTIFS('United Data'!$A$3:$A$3390,D$1,'United Data'!$C$3:$C$3390,$A730,'United Data'!$B$3:$B$3390,"&lt;&gt;Off-street")&gt;0,1,0)</f>
        <v>0</v>
      </c>
      <c r="E730">
        <f>IF(COUNTIFS('United Data'!$A$3:$A$3390,E$1,'United Data'!$C$3:$C$3390,$A730,'United Data'!$B$3:$B$3390,"&lt;&gt;Off-street")&gt;0,1,0)</f>
        <v>0</v>
      </c>
      <c r="F730">
        <f>IF(COUNTIFS('United Data'!$A$3:$A$3390,F$1,'United Data'!$C$3:$C$3390,$A730,'United Data'!$B$3:$B$3390,"&lt;&gt;Off-street")&gt;0,1,0)</f>
        <v>0</v>
      </c>
      <c r="G730">
        <f>IF(COUNTIFS('United Data'!$A$3:$A$3390,G$1,'United Data'!$C$3:$C$3390,$A730,'United Data'!$B$3:$B$3390,"&lt;&gt;Off-street")&gt;0,1,0)</f>
        <v>0</v>
      </c>
      <c r="H730">
        <f>IF(COUNTIFS('United Data'!$A$3:$A$3390,H$1,'United Data'!$C$3:$C$3390,$A730,'United Data'!$B$3:$B$3390,"&lt;&gt;Off-street")&gt;0,1,0)</f>
        <v>0</v>
      </c>
      <c r="I730">
        <f>IF(COUNTIFS('United Data'!$A$3:$A$3390,I$1,'United Data'!$C$3:$C$3390,$A730,'United Data'!$B$3:$B$3390,"&lt;&gt;Off-street")&gt;0,1,0)</f>
        <v>0</v>
      </c>
      <c r="J730">
        <f>IF(COUNTIFS('United Data'!$A$3:$A$3390,J$1,'United Data'!$C$3:$C$3390,$A730,'United Data'!$B$3:$B$3390,"&lt;&gt;Off-street")&gt;0,1,0)</f>
        <v>0</v>
      </c>
      <c r="K730">
        <f>IF(COUNTIFS('United Data'!$A$3:$A$3390,K$1,'United Data'!$C$3:$C$3390,$A730,'United Data'!$B$3:$B$3390,"&lt;&gt;Off-street")&gt;0,1,0)</f>
        <v>0</v>
      </c>
      <c r="L730">
        <f>IF(COUNTIFS('United Data'!$A$3:$A$3390,L$1,'United Data'!$C$3:$C$3390,$A730,'United Data'!$B$3:$B$3390,"&lt;&gt;Off-street")&gt;0,1,0)</f>
        <v>0</v>
      </c>
      <c r="M730">
        <f>IF(COUNTIFS('United Data'!$A$3:$A$3390,M$1,'United Data'!$C$3:$C$3390,$A730,'United Data'!$B$3:$B$3390,"&lt;&gt;Off-street")&gt;0,1,0)</f>
        <v>0</v>
      </c>
      <c r="N730">
        <f>IF(COUNTIFS('United Data'!$A$3:$A$3390,N$1,'United Data'!$C$3:$C$3390,$A730,'United Data'!$B$3:$B$3390,"&lt;&gt;Off-street")&gt;0,1,0)</f>
        <v>1</v>
      </c>
      <c r="O730">
        <f>IF(COUNTIFS('United Data'!$A$3:$A$3390,O$1,'United Data'!$C$3:$C$3390,$A730,'United Data'!$B$3:$B$3390,"&lt;&gt;Off-street")&gt;0,1,0)</f>
        <v>1</v>
      </c>
      <c r="P730">
        <f>IF(COUNTIFS('United Data'!$A$3:$A$3390,P$1,'United Data'!$C$3:$C$3390,$A730,'United Data'!$B$3:$B$3390,"&lt;&gt;Off-street")&gt;0,1,0)</f>
        <v>0</v>
      </c>
      <c r="Q730">
        <f>IF(COUNTIFS('United Data'!$A$3:$A$3390,Q$1,'United Data'!$C$3:$C$3390,$A730,'United Data'!$B$3:$B$3390,"&lt;&gt;Off-street")&gt;0,1,0)</f>
        <v>0</v>
      </c>
      <c r="R730">
        <f>IF(COUNTIFS('United Data'!$A$3:$A$3390,R$1,'United Data'!$C$3:$C$3390,$A730,'United Data'!$B$3:$B$3390,"&lt;&gt;Off-street")&gt;0,1,0)</f>
        <v>0</v>
      </c>
      <c r="S730">
        <f t="shared" si="22"/>
        <v>2</v>
      </c>
      <c r="T730">
        <f t="shared" si="23"/>
        <v>1</v>
      </c>
    </row>
    <row r="731" spans="1:20" x14ac:dyDescent="0.2">
      <c r="A731" t="s">
        <v>873</v>
      </c>
      <c r="B731">
        <f>IF(COUNTIFS('United Data'!$A$3:$A$3390,B$1,'United Data'!$C$3:$C$3390,$A731,'United Data'!$B$3:$B$3390,"&lt;&gt;Off-street")&gt;0,1,0)</f>
        <v>0</v>
      </c>
      <c r="C731">
        <f>IF(COUNTIFS('United Data'!$A$3:$A$3390,C$1,'United Data'!$C$3:$C$3390,$A731,'United Data'!$B$3:$B$3390,"&lt;&gt;Off-street")&gt;0,1,0)</f>
        <v>0</v>
      </c>
      <c r="D731">
        <f>IF(COUNTIFS('United Data'!$A$3:$A$3390,D$1,'United Data'!$C$3:$C$3390,$A731,'United Data'!$B$3:$B$3390,"&lt;&gt;Off-street")&gt;0,1,0)</f>
        <v>0</v>
      </c>
      <c r="E731">
        <f>IF(COUNTIFS('United Data'!$A$3:$A$3390,E$1,'United Data'!$C$3:$C$3390,$A731,'United Data'!$B$3:$B$3390,"&lt;&gt;Off-street")&gt;0,1,0)</f>
        <v>0</v>
      </c>
      <c r="F731">
        <f>IF(COUNTIFS('United Data'!$A$3:$A$3390,F$1,'United Data'!$C$3:$C$3390,$A731,'United Data'!$B$3:$B$3390,"&lt;&gt;Off-street")&gt;0,1,0)</f>
        <v>0</v>
      </c>
      <c r="G731">
        <f>IF(COUNTIFS('United Data'!$A$3:$A$3390,G$1,'United Data'!$C$3:$C$3390,$A731,'United Data'!$B$3:$B$3390,"&lt;&gt;Off-street")&gt;0,1,0)</f>
        <v>0</v>
      </c>
      <c r="H731">
        <f>IF(COUNTIFS('United Data'!$A$3:$A$3390,H$1,'United Data'!$C$3:$C$3390,$A731,'United Data'!$B$3:$B$3390,"&lt;&gt;Off-street")&gt;0,1,0)</f>
        <v>0</v>
      </c>
      <c r="I731">
        <f>IF(COUNTIFS('United Data'!$A$3:$A$3390,I$1,'United Data'!$C$3:$C$3390,$A731,'United Data'!$B$3:$B$3390,"&lt;&gt;Off-street")&gt;0,1,0)</f>
        <v>0</v>
      </c>
      <c r="J731">
        <f>IF(COUNTIFS('United Data'!$A$3:$A$3390,J$1,'United Data'!$C$3:$C$3390,$A731,'United Data'!$B$3:$B$3390,"&lt;&gt;Off-street")&gt;0,1,0)</f>
        <v>0</v>
      </c>
      <c r="K731">
        <f>IF(COUNTIFS('United Data'!$A$3:$A$3390,K$1,'United Data'!$C$3:$C$3390,$A731,'United Data'!$B$3:$B$3390,"&lt;&gt;Off-street")&gt;0,1,0)</f>
        <v>0</v>
      </c>
      <c r="L731">
        <f>IF(COUNTIFS('United Data'!$A$3:$A$3390,L$1,'United Data'!$C$3:$C$3390,$A731,'United Data'!$B$3:$B$3390,"&lt;&gt;Off-street")&gt;0,1,0)</f>
        <v>0</v>
      </c>
      <c r="M731">
        <f>IF(COUNTIFS('United Data'!$A$3:$A$3390,M$1,'United Data'!$C$3:$C$3390,$A731,'United Data'!$B$3:$B$3390,"&lt;&gt;Off-street")&gt;0,1,0)</f>
        <v>0</v>
      </c>
      <c r="N731">
        <f>IF(COUNTIFS('United Data'!$A$3:$A$3390,N$1,'United Data'!$C$3:$C$3390,$A731,'United Data'!$B$3:$B$3390,"&lt;&gt;Off-street")&gt;0,1,0)</f>
        <v>0</v>
      </c>
      <c r="O731">
        <f>IF(COUNTIFS('United Data'!$A$3:$A$3390,O$1,'United Data'!$C$3:$C$3390,$A731,'United Data'!$B$3:$B$3390,"&lt;&gt;Off-street")&gt;0,1,0)</f>
        <v>1</v>
      </c>
      <c r="P731">
        <f>IF(COUNTIFS('United Data'!$A$3:$A$3390,P$1,'United Data'!$C$3:$C$3390,$A731,'United Data'!$B$3:$B$3390,"&lt;&gt;Off-street")&gt;0,1,0)</f>
        <v>1</v>
      </c>
      <c r="Q731">
        <f>IF(COUNTIFS('United Data'!$A$3:$A$3390,Q$1,'United Data'!$C$3:$C$3390,$A731,'United Data'!$B$3:$B$3390,"&lt;&gt;Off-street")&gt;0,1,0)</f>
        <v>0</v>
      </c>
      <c r="R731">
        <f>IF(COUNTIFS('United Data'!$A$3:$A$3390,R$1,'United Data'!$C$3:$C$3390,$A731,'United Data'!$B$3:$B$3390,"&lt;&gt;Off-street")&gt;0,1,0)</f>
        <v>0</v>
      </c>
      <c r="S731">
        <f t="shared" si="22"/>
        <v>2</v>
      </c>
      <c r="T731">
        <f t="shared" si="23"/>
        <v>1</v>
      </c>
    </row>
    <row r="732" spans="1:20" x14ac:dyDescent="0.2">
      <c r="A732" t="s">
        <v>874</v>
      </c>
      <c r="B732">
        <f>IF(COUNTIFS('United Data'!$A$3:$A$3390,B$1,'United Data'!$C$3:$C$3390,$A732,'United Data'!$B$3:$B$3390,"&lt;&gt;Off-street")&gt;0,1,0)</f>
        <v>0</v>
      </c>
      <c r="C732">
        <f>IF(COUNTIFS('United Data'!$A$3:$A$3390,C$1,'United Data'!$C$3:$C$3390,$A732,'United Data'!$B$3:$B$3390,"&lt;&gt;Off-street")&gt;0,1,0)</f>
        <v>0</v>
      </c>
      <c r="D732">
        <f>IF(COUNTIFS('United Data'!$A$3:$A$3390,D$1,'United Data'!$C$3:$C$3390,$A732,'United Data'!$B$3:$B$3390,"&lt;&gt;Off-street")&gt;0,1,0)</f>
        <v>0</v>
      </c>
      <c r="E732">
        <f>IF(COUNTIFS('United Data'!$A$3:$A$3390,E$1,'United Data'!$C$3:$C$3390,$A732,'United Data'!$B$3:$B$3390,"&lt;&gt;Off-street")&gt;0,1,0)</f>
        <v>0</v>
      </c>
      <c r="F732">
        <f>IF(COUNTIFS('United Data'!$A$3:$A$3390,F$1,'United Data'!$C$3:$C$3390,$A732,'United Data'!$B$3:$B$3390,"&lt;&gt;Off-street")&gt;0,1,0)</f>
        <v>0</v>
      </c>
      <c r="G732">
        <f>IF(COUNTIFS('United Data'!$A$3:$A$3390,G$1,'United Data'!$C$3:$C$3390,$A732,'United Data'!$B$3:$B$3390,"&lt;&gt;Off-street")&gt;0,1,0)</f>
        <v>0</v>
      </c>
      <c r="H732">
        <f>IF(COUNTIFS('United Data'!$A$3:$A$3390,H$1,'United Data'!$C$3:$C$3390,$A732,'United Data'!$B$3:$B$3390,"&lt;&gt;Off-street")&gt;0,1,0)</f>
        <v>0</v>
      </c>
      <c r="I732">
        <f>IF(COUNTIFS('United Data'!$A$3:$A$3390,I$1,'United Data'!$C$3:$C$3390,$A732,'United Data'!$B$3:$B$3390,"&lt;&gt;Off-street")&gt;0,1,0)</f>
        <v>0</v>
      </c>
      <c r="J732">
        <f>IF(COUNTIFS('United Data'!$A$3:$A$3390,J$1,'United Data'!$C$3:$C$3390,$A732,'United Data'!$B$3:$B$3390,"&lt;&gt;Off-street")&gt;0,1,0)</f>
        <v>0</v>
      </c>
      <c r="K732">
        <f>IF(COUNTIFS('United Data'!$A$3:$A$3390,K$1,'United Data'!$C$3:$C$3390,$A732,'United Data'!$B$3:$B$3390,"&lt;&gt;Off-street")&gt;0,1,0)</f>
        <v>0</v>
      </c>
      <c r="L732">
        <f>IF(COUNTIFS('United Data'!$A$3:$A$3390,L$1,'United Data'!$C$3:$C$3390,$A732,'United Data'!$B$3:$B$3390,"&lt;&gt;Off-street")&gt;0,1,0)</f>
        <v>0</v>
      </c>
      <c r="M732">
        <f>IF(COUNTIFS('United Data'!$A$3:$A$3390,M$1,'United Data'!$C$3:$C$3390,$A732,'United Data'!$B$3:$B$3390,"&lt;&gt;Off-street")&gt;0,1,0)</f>
        <v>0</v>
      </c>
      <c r="N732">
        <f>IF(COUNTIFS('United Data'!$A$3:$A$3390,N$1,'United Data'!$C$3:$C$3390,$A732,'United Data'!$B$3:$B$3390,"&lt;&gt;Off-street")&gt;0,1,0)</f>
        <v>0</v>
      </c>
      <c r="O732">
        <f>IF(COUNTIFS('United Data'!$A$3:$A$3390,O$1,'United Data'!$C$3:$C$3390,$A732,'United Data'!$B$3:$B$3390,"&lt;&gt;Off-street")&gt;0,1,0)</f>
        <v>0</v>
      </c>
      <c r="P732">
        <f>IF(COUNTIFS('United Data'!$A$3:$A$3390,P$1,'United Data'!$C$3:$C$3390,$A732,'United Data'!$B$3:$B$3390,"&lt;&gt;Off-street")&gt;0,1,0)</f>
        <v>1</v>
      </c>
      <c r="Q732">
        <f>IF(COUNTIFS('United Data'!$A$3:$A$3390,Q$1,'United Data'!$C$3:$C$3390,$A732,'United Data'!$B$3:$B$3390,"&lt;&gt;Off-street")&gt;0,1,0)</f>
        <v>0</v>
      </c>
      <c r="R732">
        <f>IF(COUNTIFS('United Data'!$A$3:$A$3390,R$1,'United Data'!$C$3:$C$3390,$A732,'United Data'!$B$3:$B$3390,"&lt;&gt;Off-street")&gt;0,1,0)</f>
        <v>0</v>
      </c>
      <c r="S732">
        <f t="shared" si="22"/>
        <v>1</v>
      </c>
      <c r="T732">
        <f t="shared" si="23"/>
        <v>1</v>
      </c>
    </row>
    <row r="733" spans="1:20" x14ac:dyDescent="0.2">
      <c r="A733" t="s">
        <v>875</v>
      </c>
      <c r="B733">
        <f>IF(COUNTIFS('United Data'!$A$3:$A$3390,B$1,'United Data'!$C$3:$C$3390,$A733,'United Data'!$B$3:$B$3390,"&lt;&gt;Off-street")&gt;0,1,0)</f>
        <v>0</v>
      </c>
      <c r="C733">
        <f>IF(COUNTIFS('United Data'!$A$3:$A$3390,C$1,'United Data'!$C$3:$C$3390,$A733,'United Data'!$B$3:$B$3390,"&lt;&gt;Off-street")&gt;0,1,0)</f>
        <v>0</v>
      </c>
      <c r="D733">
        <f>IF(COUNTIFS('United Data'!$A$3:$A$3390,D$1,'United Data'!$C$3:$C$3390,$A733,'United Data'!$B$3:$B$3390,"&lt;&gt;Off-street")&gt;0,1,0)</f>
        <v>0</v>
      </c>
      <c r="E733">
        <f>IF(COUNTIFS('United Data'!$A$3:$A$3390,E$1,'United Data'!$C$3:$C$3390,$A733,'United Data'!$B$3:$B$3390,"&lt;&gt;Off-street")&gt;0,1,0)</f>
        <v>0</v>
      </c>
      <c r="F733">
        <f>IF(COUNTIFS('United Data'!$A$3:$A$3390,F$1,'United Data'!$C$3:$C$3390,$A733,'United Data'!$B$3:$B$3390,"&lt;&gt;Off-street")&gt;0,1,0)</f>
        <v>0</v>
      </c>
      <c r="G733">
        <f>IF(COUNTIFS('United Data'!$A$3:$A$3390,G$1,'United Data'!$C$3:$C$3390,$A733,'United Data'!$B$3:$B$3390,"&lt;&gt;Off-street")&gt;0,1,0)</f>
        <v>0</v>
      </c>
      <c r="H733">
        <f>IF(COUNTIFS('United Data'!$A$3:$A$3390,H$1,'United Data'!$C$3:$C$3390,$A733,'United Data'!$B$3:$B$3390,"&lt;&gt;Off-street")&gt;0,1,0)</f>
        <v>0</v>
      </c>
      <c r="I733">
        <f>IF(COUNTIFS('United Data'!$A$3:$A$3390,I$1,'United Data'!$C$3:$C$3390,$A733,'United Data'!$B$3:$B$3390,"&lt;&gt;Off-street")&gt;0,1,0)</f>
        <v>0</v>
      </c>
      <c r="J733">
        <f>IF(COUNTIFS('United Data'!$A$3:$A$3390,J$1,'United Data'!$C$3:$C$3390,$A733,'United Data'!$B$3:$B$3390,"&lt;&gt;Off-street")&gt;0,1,0)</f>
        <v>0</v>
      </c>
      <c r="K733">
        <f>IF(COUNTIFS('United Data'!$A$3:$A$3390,K$1,'United Data'!$C$3:$C$3390,$A733,'United Data'!$B$3:$B$3390,"&lt;&gt;Off-street")&gt;0,1,0)</f>
        <v>0</v>
      </c>
      <c r="L733">
        <f>IF(COUNTIFS('United Data'!$A$3:$A$3390,L$1,'United Data'!$C$3:$C$3390,$A733,'United Data'!$B$3:$B$3390,"&lt;&gt;Off-street")&gt;0,1,0)</f>
        <v>0</v>
      </c>
      <c r="M733">
        <f>IF(COUNTIFS('United Data'!$A$3:$A$3390,M$1,'United Data'!$C$3:$C$3390,$A733,'United Data'!$B$3:$B$3390,"&lt;&gt;Off-street")&gt;0,1,0)</f>
        <v>0</v>
      </c>
      <c r="N733">
        <f>IF(COUNTIFS('United Data'!$A$3:$A$3390,N$1,'United Data'!$C$3:$C$3390,$A733,'United Data'!$B$3:$B$3390,"&lt;&gt;Off-street")&gt;0,1,0)</f>
        <v>0</v>
      </c>
      <c r="O733">
        <f>IF(COUNTIFS('United Data'!$A$3:$A$3390,O$1,'United Data'!$C$3:$C$3390,$A733,'United Data'!$B$3:$B$3390,"&lt;&gt;Off-street")&gt;0,1,0)</f>
        <v>0</v>
      </c>
      <c r="P733">
        <f>IF(COUNTIFS('United Data'!$A$3:$A$3390,P$1,'United Data'!$C$3:$C$3390,$A733,'United Data'!$B$3:$B$3390,"&lt;&gt;Off-street")&gt;0,1,0)</f>
        <v>1</v>
      </c>
      <c r="Q733">
        <f>IF(COUNTIFS('United Data'!$A$3:$A$3390,Q$1,'United Data'!$C$3:$C$3390,$A733,'United Data'!$B$3:$B$3390,"&lt;&gt;Off-street")&gt;0,1,0)</f>
        <v>1</v>
      </c>
      <c r="R733">
        <f>IF(COUNTIFS('United Data'!$A$3:$A$3390,R$1,'United Data'!$C$3:$C$3390,$A733,'United Data'!$B$3:$B$3390,"&lt;&gt;Off-street")&gt;0,1,0)</f>
        <v>1</v>
      </c>
      <c r="S733">
        <f t="shared" si="22"/>
        <v>3</v>
      </c>
      <c r="T733">
        <f t="shared" si="23"/>
        <v>1</v>
      </c>
    </row>
    <row r="734" spans="1:20" x14ac:dyDescent="0.2">
      <c r="A734" t="s">
        <v>876</v>
      </c>
      <c r="B734">
        <f>IF(COUNTIFS('United Data'!$A$3:$A$3390,B$1,'United Data'!$C$3:$C$3390,$A734,'United Data'!$B$3:$B$3390,"&lt;&gt;Off-street")&gt;0,1,0)</f>
        <v>0</v>
      </c>
      <c r="C734">
        <f>IF(COUNTIFS('United Data'!$A$3:$A$3390,C$1,'United Data'!$C$3:$C$3390,$A734,'United Data'!$B$3:$B$3390,"&lt;&gt;Off-street")&gt;0,1,0)</f>
        <v>0</v>
      </c>
      <c r="D734">
        <f>IF(COUNTIFS('United Data'!$A$3:$A$3390,D$1,'United Data'!$C$3:$C$3390,$A734,'United Data'!$B$3:$B$3390,"&lt;&gt;Off-street")&gt;0,1,0)</f>
        <v>0</v>
      </c>
      <c r="E734">
        <f>IF(COUNTIFS('United Data'!$A$3:$A$3390,E$1,'United Data'!$C$3:$C$3390,$A734,'United Data'!$B$3:$B$3390,"&lt;&gt;Off-street")&gt;0,1,0)</f>
        <v>0</v>
      </c>
      <c r="F734">
        <f>IF(COUNTIFS('United Data'!$A$3:$A$3390,F$1,'United Data'!$C$3:$C$3390,$A734,'United Data'!$B$3:$B$3390,"&lt;&gt;Off-street")&gt;0,1,0)</f>
        <v>0</v>
      </c>
      <c r="G734">
        <f>IF(COUNTIFS('United Data'!$A$3:$A$3390,G$1,'United Data'!$C$3:$C$3390,$A734,'United Data'!$B$3:$B$3390,"&lt;&gt;Off-street")&gt;0,1,0)</f>
        <v>0</v>
      </c>
      <c r="H734">
        <f>IF(COUNTIFS('United Data'!$A$3:$A$3390,H$1,'United Data'!$C$3:$C$3390,$A734,'United Data'!$B$3:$B$3390,"&lt;&gt;Off-street")&gt;0,1,0)</f>
        <v>0</v>
      </c>
      <c r="I734">
        <f>IF(COUNTIFS('United Data'!$A$3:$A$3390,I$1,'United Data'!$C$3:$C$3390,$A734,'United Data'!$B$3:$B$3390,"&lt;&gt;Off-street")&gt;0,1,0)</f>
        <v>0</v>
      </c>
      <c r="J734">
        <f>IF(COUNTIFS('United Data'!$A$3:$A$3390,J$1,'United Data'!$C$3:$C$3390,$A734,'United Data'!$B$3:$B$3390,"&lt;&gt;Off-street")&gt;0,1,0)</f>
        <v>0</v>
      </c>
      <c r="K734">
        <f>IF(COUNTIFS('United Data'!$A$3:$A$3390,K$1,'United Data'!$C$3:$C$3390,$A734,'United Data'!$B$3:$B$3390,"&lt;&gt;Off-street")&gt;0,1,0)</f>
        <v>0</v>
      </c>
      <c r="L734">
        <f>IF(COUNTIFS('United Data'!$A$3:$A$3390,L$1,'United Data'!$C$3:$C$3390,$A734,'United Data'!$B$3:$B$3390,"&lt;&gt;Off-street")&gt;0,1,0)</f>
        <v>0</v>
      </c>
      <c r="M734">
        <f>IF(COUNTIFS('United Data'!$A$3:$A$3390,M$1,'United Data'!$C$3:$C$3390,$A734,'United Data'!$B$3:$B$3390,"&lt;&gt;Off-street")&gt;0,1,0)</f>
        <v>0</v>
      </c>
      <c r="N734">
        <f>IF(COUNTIFS('United Data'!$A$3:$A$3390,N$1,'United Data'!$C$3:$C$3390,$A734,'United Data'!$B$3:$B$3390,"&lt;&gt;Off-street")&gt;0,1,0)</f>
        <v>0</v>
      </c>
      <c r="O734">
        <f>IF(COUNTIFS('United Data'!$A$3:$A$3390,O$1,'United Data'!$C$3:$C$3390,$A734,'United Data'!$B$3:$B$3390,"&lt;&gt;Off-street")&gt;0,1,0)</f>
        <v>0</v>
      </c>
      <c r="P734">
        <f>IF(COUNTIFS('United Data'!$A$3:$A$3390,P$1,'United Data'!$C$3:$C$3390,$A734,'United Data'!$B$3:$B$3390,"&lt;&gt;Off-street")&gt;0,1,0)</f>
        <v>1</v>
      </c>
      <c r="Q734">
        <f>IF(COUNTIFS('United Data'!$A$3:$A$3390,Q$1,'United Data'!$C$3:$C$3390,$A734,'United Data'!$B$3:$B$3390,"&lt;&gt;Off-street")&gt;0,1,0)</f>
        <v>0</v>
      </c>
      <c r="R734">
        <f>IF(COUNTIFS('United Data'!$A$3:$A$3390,R$1,'United Data'!$C$3:$C$3390,$A734,'United Data'!$B$3:$B$3390,"&lt;&gt;Off-street")&gt;0,1,0)</f>
        <v>0</v>
      </c>
      <c r="S734">
        <f t="shared" si="22"/>
        <v>1</v>
      </c>
      <c r="T734">
        <f t="shared" si="23"/>
        <v>1</v>
      </c>
    </row>
    <row r="735" spans="1:20" x14ac:dyDescent="0.2">
      <c r="A735" t="s">
        <v>877</v>
      </c>
      <c r="B735">
        <f>IF(COUNTIFS('United Data'!$A$3:$A$3390,B$1,'United Data'!$C$3:$C$3390,$A735,'United Data'!$B$3:$B$3390,"&lt;&gt;Off-street")&gt;0,1,0)</f>
        <v>0</v>
      </c>
      <c r="C735">
        <f>IF(COUNTIFS('United Data'!$A$3:$A$3390,C$1,'United Data'!$C$3:$C$3390,$A735,'United Data'!$B$3:$B$3390,"&lt;&gt;Off-street")&gt;0,1,0)</f>
        <v>0</v>
      </c>
      <c r="D735">
        <f>IF(COUNTIFS('United Data'!$A$3:$A$3390,D$1,'United Data'!$C$3:$C$3390,$A735,'United Data'!$B$3:$B$3390,"&lt;&gt;Off-street")&gt;0,1,0)</f>
        <v>0</v>
      </c>
      <c r="E735">
        <f>IF(COUNTIFS('United Data'!$A$3:$A$3390,E$1,'United Data'!$C$3:$C$3390,$A735,'United Data'!$B$3:$B$3390,"&lt;&gt;Off-street")&gt;0,1,0)</f>
        <v>0</v>
      </c>
      <c r="F735">
        <f>IF(COUNTIFS('United Data'!$A$3:$A$3390,F$1,'United Data'!$C$3:$C$3390,$A735,'United Data'!$B$3:$B$3390,"&lt;&gt;Off-street")&gt;0,1,0)</f>
        <v>0</v>
      </c>
      <c r="G735">
        <f>IF(COUNTIFS('United Data'!$A$3:$A$3390,G$1,'United Data'!$C$3:$C$3390,$A735,'United Data'!$B$3:$B$3390,"&lt;&gt;Off-street")&gt;0,1,0)</f>
        <v>0</v>
      </c>
      <c r="H735">
        <f>IF(COUNTIFS('United Data'!$A$3:$A$3390,H$1,'United Data'!$C$3:$C$3390,$A735,'United Data'!$B$3:$B$3390,"&lt;&gt;Off-street")&gt;0,1,0)</f>
        <v>0</v>
      </c>
      <c r="I735">
        <f>IF(COUNTIFS('United Data'!$A$3:$A$3390,I$1,'United Data'!$C$3:$C$3390,$A735,'United Data'!$B$3:$B$3390,"&lt;&gt;Off-street")&gt;0,1,0)</f>
        <v>0</v>
      </c>
      <c r="J735">
        <f>IF(COUNTIFS('United Data'!$A$3:$A$3390,J$1,'United Data'!$C$3:$C$3390,$A735,'United Data'!$B$3:$B$3390,"&lt;&gt;Off-street")&gt;0,1,0)</f>
        <v>0</v>
      </c>
      <c r="K735">
        <f>IF(COUNTIFS('United Data'!$A$3:$A$3390,K$1,'United Data'!$C$3:$C$3390,$A735,'United Data'!$B$3:$B$3390,"&lt;&gt;Off-street")&gt;0,1,0)</f>
        <v>0</v>
      </c>
      <c r="L735">
        <f>IF(COUNTIFS('United Data'!$A$3:$A$3390,L$1,'United Data'!$C$3:$C$3390,$A735,'United Data'!$B$3:$B$3390,"&lt;&gt;Off-street")&gt;0,1,0)</f>
        <v>0</v>
      </c>
      <c r="M735">
        <f>IF(COUNTIFS('United Data'!$A$3:$A$3390,M$1,'United Data'!$C$3:$C$3390,$A735,'United Data'!$B$3:$B$3390,"&lt;&gt;Off-street")&gt;0,1,0)</f>
        <v>0</v>
      </c>
      <c r="N735">
        <f>IF(COUNTIFS('United Data'!$A$3:$A$3390,N$1,'United Data'!$C$3:$C$3390,$A735,'United Data'!$B$3:$B$3390,"&lt;&gt;Off-street")&gt;0,1,0)</f>
        <v>0</v>
      </c>
      <c r="O735">
        <f>IF(COUNTIFS('United Data'!$A$3:$A$3390,O$1,'United Data'!$C$3:$C$3390,$A735,'United Data'!$B$3:$B$3390,"&lt;&gt;Off-street")&gt;0,1,0)</f>
        <v>0</v>
      </c>
      <c r="P735">
        <f>IF(COUNTIFS('United Data'!$A$3:$A$3390,P$1,'United Data'!$C$3:$C$3390,$A735,'United Data'!$B$3:$B$3390,"&lt;&gt;Off-street")&gt;0,1,0)</f>
        <v>1</v>
      </c>
      <c r="Q735">
        <f>IF(COUNTIFS('United Data'!$A$3:$A$3390,Q$1,'United Data'!$C$3:$C$3390,$A735,'United Data'!$B$3:$B$3390,"&lt;&gt;Off-street")&gt;0,1,0)</f>
        <v>0</v>
      </c>
      <c r="R735">
        <f>IF(COUNTIFS('United Data'!$A$3:$A$3390,R$1,'United Data'!$C$3:$C$3390,$A735,'United Data'!$B$3:$B$3390,"&lt;&gt;Off-street")&gt;0,1,0)</f>
        <v>0</v>
      </c>
      <c r="S735">
        <f t="shared" si="22"/>
        <v>1</v>
      </c>
      <c r="T735">
        <f t="shared" si="23"/>
        <v>1</v>
      </c>
    </row>
    <row r="736" spans="1:20" x14ac:dyDescent="0.2">
      <c r="A736" t="s">
        <v>878</v>
      </c>
      <c r="B736">
        <f>IF(COUNTIFS('United Data'!$A$3:$A$3390,B$1,'United Data'!$C$3:$C$3390,$A736,'United Data'!$B$3:$B$3390,"&lt;&gt;Off-street")&gt;0,1,0)</f>
        <v>0</v>
      </c>
      <c r="C736">
        <f>IF(COUNTIFS('United Data'!$A$3:$A$3390,C$1,'United Data'!$C$3:$C$3390,$A736,'United Data'!$B$3:$B$3390,"&lt;&gt;Off-street")&gt;0,1,0)</f>
        <v>0</v>
      </c>
      <c r="D736">
        <f>IF(COUNTIFS('United Data'!$A$3:$A$3390,D$1,'United Data'!$C$3:$C$3390,$A736,'United Data'!$B$3:$B$3390,"&lt;&gt;Off-street")&gt;0,1,0)</f>
        <v>0</v>
      </c>
      <c r="E736">
        <f>IF(COUNTIFS('United Data'!$A$3:$A$3390,E$1,'United Data'!$C$3:$C$3390,$A736,'United Data'!$B$3:$B$3390,"&lt;&gt;Off-street")&gt;0,1,0)</f>
        <v>0</v>
      </c>
      <c r="F736">
        <f>IF(COUNTIFS('United Data'!$A$3:$A$3390,F$1,'United Data'!$C$3:$C$3390,$A736,'United Data'!$B$3:$B$3390,"&lt;&gt;Off-street")&gt;0,1,0)</f>
        <v>0</v>
      </c>
      <c r="G736">
        <f>IF(COUNTIFS('United Data'!$A$3:$A$3390,G$1,'United Data'!$C$3:$C$3390,$A736,'United Data'!$B$3:$B$3390,"&lt;&gt;Off-street")&gt;0,1,0)</f>
        <v>0</v>
      </c>
      <c r="H736">
        <f>IF(COUNTIFS('United Data'!$A$3:$A$3390,H$1,'United Data'!$C$3:$C$3390,$A736,'United Data'!$B$3:$B$3390,"&lt;&gt;Off-street")&gt;0,1,0)</f>
        <v>0</v>
      </c>
      <c r="I736">
        <f>IF(COUNTIFS('United Data'!$A$3:$A$3390,I$1,'United Data'!$C$3:$C$3390,$A736,'United Data'!$B$3:$B$3390,"&lt;&gt;Off-street")&gt;0,1,0)</f>
        <v>0</v>
      </c>
      <c r="J736">
        <f>IF(COUNTIFS('United Data'!$A$3:$A$3390,J$1,'United Data'!$C$3:$C$3390,$A736,'United Data'!$B$3:$B$3390,"&lt;&gt;Off-street")&gt;0,1,0)</f>
        <v>0</v>
      </c>
      <c r="K736">
        <f>IF(COUNTIFS('United Data'!$A$3:$A$3390,K$1,'United Data'!$C$3:$C$3390,$A736,'United Data'!$B$3:$B$3390,"&lt;&gt;Off-street")&gt;0,1,0)</f>
        <v>0</v>
      </c>
      <c r="L736">
        <f>IF(COUNTIFS('United Data'!$A$3:$A$3390,L$1,'United Data'!$C$3:$C$3390,$A736,'United Data'!$B$3:$B$3390,"&lt;&gt;Off-street")&gt;0,1,0)</f>
        <v>0</v>
      </c>
      <c r="M736">
        <f>IF(COUNTIFS('United Data'!$A$3:$A$3390,M$1,'United Data'!$C$3:$C$3390,$A736,'United Data'!$B$3:$B$3390,"&lt;&gt;Off-street")&gt;0,1,0)</f>
        <v>0</v>
      </c>
      <c r="N736">
        <f>IF(COUNTIFS('United Data'!$A$3:$A$3390,N$1,'United Data'!$C$3:$C$3390,$A736,'United Data'!$B$3:$B$3390,"&lt;&gt;Off-street")&gt;0,1,0)</f>
        <v>0</v>
      </c>
      <c r="O736">
        <f>IF(COUNTIFS('United Data'!$A$3:$A$3390,O$1,'United Data'!$C$3:$C$3390,$A736,'United Data'!$B$3:$B$3390,"&lt;&gt;Off-street")&gt;0,1,0)</f>
        <v>0</v>
      </c>
      <c r="P736">
        <f>IF(COUNTIFS('United Data'!$A$3:$A$3390,P$1,'United Data'!$C$3:$C$3390,$A736,'United Data'!$B$3:$B$3390,"&lt;&gt;Off-street")&gt;0,1,0)</f>
        <v>1</v>
      </c>
      <c r="Q736">
        <f>IF(COUNTIFS('United Data'!$A$3:$A$3390,Q$1,'United Data'!$C$3:$C$3390,$A736,'United Data'!$B$3:$B$3390,"&lt;&gt;Off-street")&gt;0,1,0)</f>
        <v>0</v>
      </c>
      <c r="R736">
        <f>IF(COUNTIFS('United Data'!$A$3:$A$3390,R$1,'United Data'!$C$3:$C$3390,$A736,'United Data'!$B$3:$B$3390,"&lt;&gt;Off-street")&gt;0,1,0)</f>
        <v>0</v>
      </c>
      <c r="S736">
        <f t="shared" si="22"/>
        <v>1</v>
      </c>
      <c r="T736">
        <f t="shared" si="23"/>
        <v>1</v>
      </c>
    </row>
    <row r="737" spans="1:20" x14ac:dyDescent="0.2">
      <c r="A737" t="s">
        <v>879</v>
      </c>
      <c r="B737">
        <f>IF(COUNTIFS('United Data'!$A$3:$A$3390,B$1,'United Data'!$C$3:$C$3390,$A737,'United Data'!$B$3:$B$3390,"&lt;&gt;Off-street")&gt;0,1,0)</f>
        <v>0</v>
      </c>
      <c r="C737">
        <f>IF(COUNTIFS('United Data'!$A$3:$A$3390,C$1,'United Data'!$C$3:$C$3390,$A737,'United Data'!$B$3:$B$3390,"&lt;&gt;Off-street")&gt;0,1,0)</f>
        <v>0</v>
      </c>
      <c r="D737">
        <f>IF(COUNTIFS('United Data'!$A$3:$A$3390,D$1,'United Data'!$C$3:$C$3390,$A737,'United Data'!$B$3:$B$3390,"&lt;&gt;Off-street")&gt;0,1,0)</f>
        <v>0</v>
      </c>
      <c r="E737">
        <f>IF(COUNTIFS('United Data'!$A$3:$A$3390,E$1,'United Data'!$C$3:$C$3390,$A737,'United Data'!$B$3:$B$3390,"&lt;&gt;Off-street")&gt;0,1,0)</f>
        <v>0</v>
      </c>
      <c r="F737">
        <f>IF(COUNTIFS('United Data'!$A$3:$A$3390,F$1,'United Data'!$C$3:$C$3390,$A737,'United Data'!$B$3:$B$3390,"&lt;&gt;Off-street")&gt;0,1,0)</f>
        <v>0</v>
      </c>
      <c r="G737">
        <f>IF(COUNTIFS('United Data'!$A$3:$A$3390,G$1,'United Data'!$C$3:$C$3390,$A737,'United Data'!$B$3:$B$3390,"&lt;&gt;Off-street")&gt;0,1,0)</f>
        <v>0</v>
      </c>
      <c r="H737">
        <f>IF(COUNTIFS('United Data'!$A$3:$A$3390,H$1,'United Data'!$C$3:$C$3390,$A737,'United Data'!$B$3:$B$3390,"&lt;&gt;Off-street")&gt;0,1,0)</f>
        <v>0</v>
      </c>
      <c r="I737">
        <f>IF(COUNTIFS('United Data'!$A$3:$A$3390,I$1,'United Data'!$C$3:$C$3390,$A737,'United Data'!$B$3:$B$3390,"&lt;&gt;Off-street")&gt;0,1,0)</f>
        <v>0</v>
      </c>
      <c r="J737">
        <f>IF(COUNTIFS('United Data'!$A$3:$A$3390,J$1,'United Data'!$C$3:$C$3390,$A737,'United Data'!$B$3:$B$3390,"&lt;&gt;Off-street")&gt;0,1,0)</f>
        <v>0</v>
      </c>
      <c r="K737">
        <f>IF(COUNTIFS('United Data'!$A$3:$A$3390,K$1,'United Data'!$C$3:$C$3390,$A737,'United Data'!$B$3:$B$3390,"&lt;&gt;Off-street")&gt;0,1,0)</f>
        <v>0</v>
      </c>
      <c r="L737">
        <f>IF(COUNTIFS('United Data'!$A$3:$A$3390,L$1,'United Data'!$C$3:$C$3390,$A737,'United Data'!$B$3:$B$3390,"&lt;&gt;Off-street")&gt;0,1,0)</f>
        <v>0</v>
      </c>
      <c r="M737">
        <f>IF(COUNTIFS('United Data'!$A$3:$A$3390,M$1,'United Data'!$C$3:$C$3390,$A737,'United Data'!$B$3:$B$3390,"&lt;&gt;Off-street")&gt;0,1,0)</f>
        <v>0</v>
      </c>
      <c r="N737">
        <f>IF(COUNTIFS('United Data'!$A$3:$A$3390,N$1,'United Data'!$C$3:$C$3390,$A737,'United Data'!$B$3:$B$3390,"&lt;&gt;Off-street")&gt;0,1,0)</f>
        <v>0</v>
      </c>
      <c r="O737">
        <f>IF(COUNTIFS('United Data'!$A$3:$A$3390,O$1,'United Data'!$C$3:$C$3390,$A737,'United Data'!$B$3:$B$3390,"&lt;&gt;Off-street")&gt;0,1,0)</f>
        <v>0</v>
      </c>
      <c r="P737">
        <f>IF(COUNTIFS('United Data'!$A$3:$A$3390,P$1,'United Data'!$C$3:$C$3390,$A737,'United Data'!$B$3:$B$3390,"&lt;&gt;Off-street")&gt;0,1,0)</f>
        <v>0</v>
      </c>
      <c r="Q737">
        <f>IF(COUNTIFS('United Data'!$A$3:$A$3390,Q$1,'United Data'!$C$3:$C$3390,$A737,'United Data'!$B$3:$B$3390,"&lt;&gt;Off-street")&gt;0,1,0)</f>
        <v>1</v>
      </c>
      <c r="R737">
        <f>IF(COUNTIFS('United Data'!$A$3:$A$3390,R$1,'United Data'!$C$3:$C$3390,$A737,'United Data'!$B$3:$B$3390,"&lt;&gt;Off-street")&gt;0,1,0)</f>
        <v>0</v>
      </c>
      <c r="S737">
        <f t="shared" si="22"/>
        <v>1</v>
      </c>
      <c r="T737">
        <f t="shared" si="23"/>
        <v>1</v>
      </c>
    </row>
    <row r="738" spans="1:20" x14ac:dyDescent="0.2">
      <c r="A738" t="s">
        <v>880</v>
      </c>
      <c r="B738">
        <f>IF(COUNTIFS('United Data'!$A$3:$A$3390,B$1,'United Data'!$C$3:$C$3390,$A738,'United Data'!$B$3:$B$3390,"&lt;&gt;Off-street")&gt;0,1,0)</f>
        <v>0</v>
      </c>
      <c r="C738">
        <f>IF(COUNTIFS('United Data'!$A$3:$A$3390,C$1,'United Data'!$C$3:$C$3390,$A738,'United Data'!$B$3:$B$3390,"&lt;&gt;Off-street")&gt;0,1,0)</f>
        <v>0</v>
      </c>
      <c r="D738">
        <f>IF(COUNTIFS('United Data'!$A$3:$A$3390,D$1,'United Data'!$C$3:$C$3390,$A738,'United Data'!$B$3:$B$3390,"&lt;&gt;Off-street")&gt;0,1,0)</f>
        <v>0</v>
      </c>
      <c r="E738">
        <f>IF(COUNTIFS('United Data'!$A$3:$A$3390,E$1,'United Data'!$C$3:$C$3390,$A738,'United Data'!$B$3:$B$3390,"&lt;&gt;Off-street")&gt;0,1,0)</f>
        <v>0</v>
      </c>
      <c r="F738">
        <f>IF(COUNTIFS('United Data'!$A$3:$A$3390,F$1,'United Data'!$C$3:$C$3390,$A738,'United Data'!$B$3:$B$3390,"&lt;&gt;Off-street")&gt;0,1,0)</f>
        <v>0</v>
      </c>
      <c r="G738">
        <f>IF(COUNTIFS('United Data'!$A$3:$A$3390,G$1,'United Data'!$C$3:$C$3390,$A738,'United Data'!$B$3:$B$3390,"&lt;&gt;Off-street")&gt;0,1,0)</f>
        <v>0</v>
      </c>
      <c r="H738">
        <f>IF(COUNTIFS('United Data'!$A$3:$A$3390,H$1,'United Data'!$C$3:$C$3390,$A738,'United Data'!$B$3:$B$3390,"&lt;&gt;Off-street")&gt;0,1,0)</f>
        <v>0</v>
      </c>
      <c r="I738">
        <f>IF(COUNTIFS('United Data'!$A$3:$A$3390,I$1,'United Data'!$C$3:$C$3390,$A738,'United Data'!$B$3:$B$3390,"&lt;&gt;Off-street")&gt;0,1,0)</f>
        <v>0</v>
      </c>
      <c r="J738">
        <f>IF(COUNTIFS('United Data'!$A$3:$A$3390,J$1,'United Data'!$C$3:$C$3390,$A738,'United Data'!$B$3:$B$3390,"&lt;&gt;Off-street")&gt;0,1,0)</f>
        <v>0</v>
      </c>
      <c r="K738">
        <f>IF(COUNTIFS('United Data'!$A$3:$A$3390,K$1,'United Data'!$C$3:$C$3390,$A738,'United Data'!$B$3:$B$3390,"&lt;&gt;Off-street")&gt;0,1,0)</f>
        <v>0</v>
      </c>
      <c r="L738">
        <f>IF(COUNTIFS('United Data'!$A$3:$A$3390,L$1,'United Data'!$C$3:$C$3390,$A738,'United Data'!$B$3:$B$3390,"&lt;&gt;Off-street")&gt;0,1,0)</f>
        <v>0</v>
      </c>
      <c r="M738">
        <f>IF(COUNTIFS('United Data'!$A$3:$A$3390,M$1,'United Data'!$C$3:$C$3390,$A738,'United Data'!$B$3:$B$3390,"&lt;&gt;Off-street")&gt;0,1,0)</f>
        <v>0</v>
      </c>
      <c r="N738">
        <f>IF(COUNTIFS('United Data'!$A$3:$A$3390,N$1,'United Data'!$C$3:$C$3390,$A738,'United Data'!$B$3:$B$3390,"&lt;&gt;Off-street")&gt;0,1,0)</f>
        <v>0</v>
      </c>
      <c r="O738">
        <f>IF(COUNTIFS('United Data'!$A$3:$A$3390,O$1,'United Data'!$C$3:$C$3390,$A738,'United Data'!$B$3:$B$3390,"&lt;&gt;Off-street")&gt;0,1,0)</f>
        <v>0</v>
      </c>
      <c r="P738">
        <f>IF(COUNTIFS('United Data'!$A$3:$A$3390,P$1,'United Data'!$C$3:$C$3390,$A738,'United Data'!$B$3:$B$3390,"&lt;&gt;Off-street")&gt;0,1,0)</f>
        <v>0</v>
      </c>
      <c r="Q738">
        <f>IF(COUNTIFS('United Data'!$A$3:$A$3390,Q$1,'United Data'!$C$3:$C$3390,$A738,'United Data'!$B$3:$B$3390,"&lt;&gt;Off-street")&gt;0,1,0)</f>
        <v>1</v>
      </c>
      <c r="R738">
        <f>IF(COUNTIFS('United Data'!$A$3:$A$3390,R$1,'United Data'!$C$3:$C$3390,$A738,'United Data'!$B$3:$B$3390,"&lt;&gt;Off-street")&gt;0,1,0)</f>
        <v>1</v>
      </c>
      <c r="S738">
        <f t="shared" si="22"/>
        <v>2</v>
      </c>
      <c r="T738">
        <f t="shared" si="23"/>
        <v>1</v>
      </c>
    </row>
    <row r="739" spans="1:20" x14ac:dyDescent="0.2">
      <c r="A739" t="s">
        <v>881</v>
      </c>
      <c r="B739">
        <f>IF(COUNTIFS('United Data'!$A$3:$A$3390,B$1,'United Data'!$C$3:$C$3390,$A739,'United Data'!$B$3:$B$3390,"&lt;&gt;Off-street")&gt;0,1,0)</f>
        <v>0</v>
      </c>
      <c r="C739">
        <f>IF(COUNTIFS('United Data'!$A$3:$A$3390,C$1,'United Data'!$C$3:$C$3390,$A739,'United Data'!$B$3:$B$3390,"&lt;&gt;Off-street")&gt;0,1,0)</f>
        <v>0</v>
      </c>
      <c r="D739">
        <f>IF(COUNTIFS('United Data'!$A$3:$A$3390,D$1,'United Data'!$C$3:$C$3390,$A739,'United Data'!$B$3:$B$3390,"&lt;&gt;Off-street")&gt;0,1,0)</f>
        <v>0</v>
      </c>
      <c r="E739">
        <f>IF(COUNTIFS('United Data'!$A$3:$A$3390,E$1,'United Data'!$C$3:$C$3390,$A739,'United Data'!$B$3:$B$3390,"&lt;&gt;Off-street")&gt;0,1,0)</f>
        <v>0</v>
      </c>
      <c r="F739">
        <f>IF(COUNTIFS('United Data'!$A$3:$A$3390,F$1,'United Data'!$C$3:$C$3390,$A739,'United Data'!$B$3:$B$3390,"&lt;&gt;Off-street")&gt;0,1,0)</f>
        <v>0</v>
      </c>
      <c r="G739">
        <f>IF(COUNTIFS('United Data'!$A$3:$A$3390,G$1,'United Data'!$C$3:$C$3390,$A739,'United Data'!$B$3:$B$3390,"&lt;&gt;Off-street")&gt;0,1,0)</f>
        <v>0</v>
      </c>
      <c r="H739">
        <f>IF(COUNTIFS('United Data'!$A$3:$A$3390,H$1,'United Data'!$C$3:$C$3390,$A739,'United Data'!$B$3:$B$3390,"&lt;&gt;Off-street")&gt;0,1,0)</f>
        <v>0</v>
      </c>
      <c r="I739">
        <f>IF(COUNTIFS('United Data'!$A$3:$A$3390,I$1,'United Data'!$C$3:$C$3390,$A739,'United Data'!$B$3:$B$3390,"&lt;&gt;Off-street")&gt;0,1,0)</f>
        <v>0</v>
      </c>
      <c r="J739">
        <f>IF(COUNTIFS('United Data'!$A$3:$A$3390,J$1,'United Data'!$C$3:$C$3390,$A739,'United Data'!$B$3:$B$3390,"&lt;&gt;Off-street")&gt;0,1,0)</f>
        <v>0</v>
      </c>
      <c r="K739">
        <f>IF(COUNTIFS('United Data'!$A$3:$A$3390,K$1,'United Data'!$C$3:$C$3390,$A739,'United Data'!$B$3:$B$3390,"&lt;&gt;Off-street")&gt;0,1,0)</f>
        <v>0</v>
      </c>
      <c r="L739">
        <f>IF(COUNTIFS('United Data'!$A$3:$A$3390,L$1,'United Data'!$C$3:$C$3390,$A739,'United Data'!$B$3:$B$3390,"&lt;&gt;Off-street")&gt;0,1,0)</f>
        <v>0</v>
      </c>
      <c r="M739">
        <f>IF(COUNTIFS('United Data'!$A$3:$A$3390,M$1,'United Data'!$C$3:$C$3390,$A739,'United Data'!$B$3:$B$3390,"&lt;&gt;Off-street")&gt;0,1,0)</f>
        <v>0</v>
      </c>
      <c r="N739">
        <f>IF(COUNTIFS('United Data'!$A$3:$A$3390,N$1,'United Data'!$C$3:$C$3390,$A739,'United Data'!$B$3:$B$3390,"&lt;&gt;Off-street")&gt;0,1,0)</f>
        <v>0</v>
      </c>
      <c r="O739">
        <f>IF(COUNTIFS('United Data'!$A$3:$A$3390,O$1,'United Data'!$C$3:$C$3390,$A739,'United Data'!$B$3:$B$3390,"&lt;&gt;Off-street")&gt;0,1,0)</f>
        <v>0</v>
      </c>
      <c r="P739">
        <f>IF(COUNTIFS('United Data'!$A$3:$A$3390,P$1,'United Data'!$C$3:$C$3390,$A739,'United Data'!$B$3:$B$3390,"&lt;&gt;Off-street")&gt;0,1,0)</f>
        <v>0</v>
      </c>
      <c r="Q739">
        <f>IF(COUNTIFS('United Data'!$A$3:$A$3390,Q$1,'United Data'!$C$3:$C$3390,$A739,'United Data'!$B$3:$B$3390,"&lt;&gt;Off-street")&gt;0,1,0)</f>
        <v>1</v>
      </c>
      <c r="R739">
        <f>IF(COUNTIFS('United Data'!$A$3:$A$3390,R$1,'United Data'!$C$3:$C$3390,$A739,'United Data'!$B$3:$B$3390,"&lt;&gt;Off-street")&gt;0,1,0)</f>
        <v>1</v>
      </c>
      <c r="S739">
        <f t="shared" si="22"/>
        <v>2</v>
      </c>
      <c r="T739">
        <f t="shared" si="23"/>
        <v>1</v>
      </c>
    </row>
    <row r="740" spans="1:20" x14ac:dyDescent="0.2">
      <c r="A740" t="s">
        <v>882</v>
      </c>
      <c r="B740">
        <f>IF(COUNTIFS('United Data'!$A$3:$A$3390,B$1,'United Data'!$C$3:$C$3390,$A740,'United Data'!$B$3:$B$3390,"&lt;&gt;Off-street")&gt;0,1,0)</f>
        <v>0</v>
      </c>
      <c r="C740">
        <f>IF(COUNTIFS('United Data'!$A$3:$A$3390,C$1,'United Data'!$C$3:$C$3390,$A740,'United Data'!$B$3:$B$3390,"&lt;&gt;Off-street")&gt;0,1,0)</f>
        <v>0</v>
      </c>
      <c r="D740">
        <f>IF(COUNTIFS('United Data'!$A$3:$A$3390,D$1,'United Data'!$C$3:$C$3390,$A740,'United Data'!$B$3:$B$3390,"&lt;&gt;Off-street")&gt;0,1,0)</f>
        <v>0</v>
      </c>
      <c r="E740">
        <f>IF(COUNTIFS('United Data'!$A$3:$A$3390,E$1,'United Data'!$C$3:$C$3390,$A740,'United Data'!$B$3:$B$3390,"&lt;&gt;Off-street")&gt;0,1,0)</f>
        <v>0</v>
      </c>
      <c r="F740">
        <f>IF(COUNTIFS('United Data'!$A$3:$A$3390,F$1,'United Data'!$C$3:$C$3390,$A740,'United Data'!$B$3:$B$3390,"&lt;&gt;Off-street")&gt;0,1,0)</f>
        <v>0</v>
      </c>
      <c r="G740">
        <f>IF(COUNTIFS('United Data'!$A$3:$A$3390,G$1,'United Data'!$C$3:$C$3390,$A740,'United Data'!$B$3:$B$3390,"&lt;&gt;Off-street")&gt;0,1,0)</f>
        <v>0</v>
      </c>
      <c r="H740">
        <f>IF(COUNTIFS('United Data'!$A$3:$A$3390,H$1,'United Data'!$C$3:$C$3390,$A740,'United Data'!$B$3:$B$3390,"&lt;&gt;Off-street")&gt;0,1,0)</f>
        <v>0</v>
      </c>
      <c r="I740">
        <f>IF(COUNTIFS('United Data'!$A$3:$A$3390,I$1,'United Data'!$C$3:$C$3390,$A740,'United Data'!$B$3:$B$3390,"&lt;&gt;Off-street")&gt;0,1,0)</f>
        <v>0</v>
      </c>
      <c r="J740">
        <f>IF(COUNTIFS('United Data'!$A$3:$A$3390,J$1,'United Data'!$C$3:$C$3390,$A740,'United Data'!$B$3:$B$3390,"&lt;&gt;Off-street")&gt;0,1,0)</f>
        <v>0</v>
      </c>
      <c r="K740">
        <f>IF(COUNTIFS('United Data'!$A$3:$A$3390,K$1,'United Data'!$C$3:$C$3390,$A740,'United Data'!$B$3:$B$3390,"&lt;&gt;Off-street")&gt;0,1,0)</f>
        <v>0</v>
      </c>
      <c r="L740">
        <f>IF(COUNTIFS('United Data'!$A$3:$A$3390,L$1,'United Data'!$C$3:$C$3390,$A740,'United Data'!$B$3:$B$3390,"&lt;&gt;Off-street")&gt;0,1,0)</f>
        <v>0</v>
      </c>
      <c r="M740">
        <f>IF(COUNTIFS('United Data'!$A$3:$A$3390,M$1,'United Data'!$C$3:$C$3390,$A740,'United Data'!$B$3:$B$3390,"&lt;&gt;Off-street")&gt;0,1,0)</f>
        <v>0</v>
      </c>
      <c r="N740">
        <f>IF(COUNTIFS('United Data'!$A$3:$A$3390,N$1,'United Data'!$C$3:$C$3390,$A740,'United Data'!$B$3:$B$3390,"&lt;&gt;Off-street")&gt;0,1,0)</f>
        <v>0</v>
      </c>
      <c r="O740">
        <f>IF(COUNTIFS('United Data'!$A$3:$A$3390,O$1,'United Data'!$C$3:$C$3390,$A740,'United Data'!$B$3:$B$3390,"&lt;&gt;Off-street")&gt;0,1,0)</f>
        <v>0</v>
      </c>
      <c r="P740">
        <f>IF(COUNTIFS('United Data'!$A$3:$A$3390,P$1,'United Data'!$C$3:$C$3390,$A740,'United Data'!$B$3:$B$3390,"&lt;&gt;Off-street")&gt;0,1,0)</f>
        <v>0</v>
      </c>
      <c r="Q740">
        <f>IF(COUNTIFS('United Data'!$A$3:$A$3390,Q$1,'United Data'!$C$3:$C$3390,$A740,'United Data'!$B$3:$B$3390,"&lt;&gt;Off-street")&gt;0,1,0)</f>
        <v>1</v>
      </c>
      <c r="R740">
        <f>IF(COUNTIFS('United Data'!$A$3:$A$3390,R$1,'United Data'!$C$3:$C$3390,$A740,'United Data'!$B$3:$B$3390,"&lt;&gt;Off-street")&gt;0,1,0)</f>
        <v>0</v>
      </c>
      <c r="S740">
        <f t="shared" si="22"/>
        <v>1</v>
      </c>
      <c r="T740">
        <f t="shared" si="23"/>
        <v>1</v>
      </c>
    </row>
    <row r="741" spans="1:20" x14ac:dyDescent="0.2">
      <c r="A741" t="s">
        <v>883</v>
      </c>
      <c r="B741">
        <f>IF(COUNTIFS('United Data'!$A$3:$A$3390,B$1,'United Data'!$C$3:$C$3390,$A741,'United Data'!$B$3:$B$3390,"&lt;&gt;Off-street")&gt;0,1,0)</f>
        <v>0</v>
      </c>
      <c r="C741">
        <f>IF(COUNTIFS('United Data'!$A$3:$A$3390,C$1,'United Data'!$C$3:$C$3390,$A741,'United Data'!$B$3:$B$3390,"&lt;&gt;Off-street")&gt;0,1,0)</f>
        <v>0</v>
      </c>
      <c r="D741">
        <f>IF(COUNTIFS('United Data'!$A$3:$A$3390,D$1,'United Data'!$C$3:$C$3390,$A741,'United Data'!$B$3:$B$3390,"&lt;&gt;Off-street")&gt;0,1,0)</f>
        <v>0</v>
      </c>
      <c r="E741">
        <f>IF(COUNTIFS('United Data'!$A$3:$A$3390,E$1,'United Data'!$C$3:$C$3390,$A741,'United Data'!$B$3:$B$3390,"&lt;&gt;Off-street")&gt;0,1,0)</f>
        <v>0</v>
      </c>
      <c r="F741">
        <f>IF(COUNTIFS('United Data'!$A$3:$A$3390,F$1,'United Data'!$C$3:$C$3390,$A741,'United Data'!$B$3:$B$3390,"&lt;&gt;Off-street")&gt;0,1,0)</f>
        <v>0</v>
      </c>
      <c r="G741">
        <f>IF(COUNTIFS('United Data'!$A$3:$A$3390,G$1,'United Data'!$C$3:$C$3390,$A741,'United Data'!$B$3:$B$3390,"&lt;&gt;Off-street")&gt;0,1,0)</f>
        <v>0</v>
      </c>
      <c r="H741">
        <f>IF(COUNTIFS('United Data'!$A$3:$A$3390,H$1,'United Data'!$C$3:$C$3390,$A741,'United Data'!$B$3:$B$3390,"&lt;&gt;Off-street")&gt;0,1,0)</f>
        <v>0</v>
      </c>
      <c r="I741">
        <f>IF(COUNTIFS('United Data'!$A$3:$A$3390,I$1,'United Data'!$C$3:$C$3390,$A741,'United Data'!$B$3:$B$3390,"&lt;&gt;Off-street")&gt;0,1,0)</f>
        <v>0</v>
      </c>
      <c r="J741">
        <f>IF(COUNTIFS('United Data'!$A$3:$A$3390,J$1,'United Data'!$C$3:$C$3390,$A741,'United Data'!$B$3:$B$3390,"&lt;&gt;Off-street")&gt;0,1,0)</f>
        <v>0</v>
      </c>
      <c r="K741">
        <f>IF(COUNTIFS('United Data'!$A$3:$A$3390,K$1,'United Data'!$C$3:$C$3390,$A741,'United Data'!$B$3:$B$3390,"&lt;&gt;Off-street")&gt;0,1,0)</f>
        <v>0</v>
      </c>
      <c r="L741">
        <f>IF(COUNTIFS('United Data'!$A$3:$A$3390,L$1,'United Data'!$C$3:$C$3390,$A741,'United Data'!$B$3:$B$3390,"&lt;&gt;Off-street")&gt;0,1,0)</f>
        <v>0</v>
      </c>
      <c r="M741">
        <f>IF(COUNTIFS('United Data'!$A$3:$A$3390,M$1,'United Data'!$C$3:$C$3390,$A741,'United Data'!$B$3:$B$3390,"&lt;&gt;Off-street")&gt;0,1,0)</f>
        <v>0</v>
      </c>
      <c r="N741">
        <f>IF(COUNTIFS('United Data'!$A$3:$A$3390,N$1,'United Data'!$C$3:$C$3390,$A741,'United Data'!$B$3:$B$3390,"&lt;&gt;Off-street")&gt;0,1,0)</f>
        <v>0</v>
      </c>
      <c r="O741">
        <f>IF(COUNTIFS('United Data'!$A$3:$A$3390,O$1,'United Data'!$C$3:$C$3390,$A741,'United Data'!$B$3:$B$3390,"&lt;&gt;Off-street")&gt;0,1,0)</f>
        <v>0</v>
      </c>
      <c r="P741">
        <f>IF(COUNTIFS('United Data'!$A$3:$A$3390,P$1,'United Data'!$C$3:$C$3390,$A741,'United Data'!$B$3:$B$3390,"&lt;&gt;Off-street")&gt;0,1,0)</f>
        <v>0</v>
      </c>
      <c r="Q741">
        <f>IF(COUNTIFS('United Data'!$A$3:$A$3390,Q$1,'United Data'!$C$3:$C$3390,$A741,'United Data'!$B$3:$B$3390,"&lt;&gt;Off-street")&gt;0,1,0)</f>
        <v>1</v>
      </c>
      <c r="R741">
        <f>IF(COUNTIFS('United Data'!$A$3:$A$3390,R$1,'United Data'!$C$3:$C$3390,$A741,'United Data'!$B$3:$B$3390,"&lt;&gt;Off-street")&gt;0,1,0)</f>
        <v>0</v>
      </c>
      <c r="S741">
        <f t="shared" si="22"/>
        <v>1</v>
      </c>
      <c r="T741">
        <f t="shared" si="23"/>
        <v>1</v>
      </c>
    </row>
    <row r="742" spans="1:20" x14ac:dyDescent="0.2">
      <c r="A742" t="s">
        <v>884</v>
      </c>
      <c r="B742">
        <f>IF(COUNTIFS('United Data'!$A$3:$A$3390,B$1,'United Data'!$C$3:$C$3390,$A742,'United Data'!$B$3:$B$3390,"&lt;&gt;Off-street")&gt;0,1,0)</f>
        <v>0</v>
      </c>
      <c r="C742">
        <f>IF(COUNTIFS('United Data'!$A$3:$A$3390,C$1,'United Data'!$C$3:$C$3390,$A742,'United Data'!$B$3:$B$3390,"&lt;&gt;Off-street")&gt;0,1,0)</f>
        <v>0</v>
      </c>
      <c r="D742">
        <f>IF(COUNTIFS('United Data'!$A$3:$A$3390,D$1,'United Data'!$C$3:$C$3390,$A742,'United Data'!$B$3:$B$3390,"&lt;&gt;Off-street")&gt;0,1,0)</f>
        <v>0</v>
      </c>
      <c r="E742">
        <f>IF(COUNTIFS('United Data'!$A$3:$A$3390,E$1,'United Data'!$C$3:$C$3390,$A742,'United Data'!$B$3:$B$3390,"&lt;&gt;Off-street")&gt;0,1,0)</f>
        <v>0</v>
      </c>
      <c r="F742">
        <f>IF(COUNTIFS('United Data'!$A$3:$A$3390,F$1,'United Data'!$C$3:$C$3390,$A742,'United Data'!$B$3:$B$3390,"&lt;&gt;Off-street")&gt;0,1,0)</f>
        <v>0</v>
      </c>
      <c r="G742">
        <f>IF(COUNTIFS('United Data'!$A$3:$A$3390,G$1,'United Data'!$C$3:$C$3390,$A742,'United Data'!$B$3:$B$3390,"&lt;&gt;Off-street")&gt;0,1,0)</f>
        <v>0</v>
      </c>
      <c r="H742">
        <f>IF(COUNTIFS('United Data'!$A$3:$A$3390,H$1,'United Data'!$C$3:$C$3390,$A742,'United Data'!$B$3:$B$3390,"&lt;&gt;Off-street")&gt;0,1,0)</f>
        <v>0</v>
      </c>
      <c r="I742">
        <f>IF(COUNTIFS('United Data'!$A$3:$A$3390,I$1,'United Data'!$C$3:$C$3390,$A742,'United Data'!$B$3:$B$3390,"&lt;&gt;Off-street")&gt;0,1,0)</f>
        <v>0</v>
      </c>
      <c r="J742">
        <f>IF(COUNTIFS('United Data'!$A$3:$A$3390,J$1,'United Data'!$C$3:$C$3390,$A742,'United Data'!$B$3:$B$3390,"&lt;&gt;Off-street")&gt;0,1,0)</f>
        <v>0</v>
      </c>
      <c r="K742">
        <f>IF(COUNTIFS('United Data'!$A$3:$A$3390,K$1,'United Data'!$C$3:$C$3390,$A742,'United Data'!$B$3:$B$3390,"&lt;&gt;Off-street")&gt;0,1,0)</f>
        <v>0</v>
      </c>
      <c r="L742">
        <f>IF(COUNTIFS('United Data'!$A$3:$A$3390,L$1,'United Data'!$C$3:$C$3390,$A742,'United Data'!$B$3:$B$3390,"&lt;&gt;Off-street")&gt;0,1,0)</f>
        <v>0</v>
      </c>
      <c r="M742">
        <f>IF(COUNTIFS('United Data'!$A$3:$A$3390,M$1,'United Data'!$C$3:$C$3390,$A742,'United Data'!$B$3:$B$3390,"&lt;&gt;Off-street")&gt;0,1,0)</f>
        <v>0</v>
      </c>
      <c r="N742">
        <f>IF(COUNTIFS('United Data'!$A$3:$A$3390,N$1,'United Data'!$C$3:$C$3390,$A742,'United Data'!$B$3:$B$3390,"&lt;&gt;Off-street")&gt;0,1,0)</f>
        <v>0</v>
      </c>
      <c r="O742">
        <f>IF(COUNTIFS('United Data'!$A$3:$A$3390,O$1,'United Data'!$C$3:$C$3390,$A742,'United Data'!$B$3:$B$3390,"&lt;&gt;Off-street")&gt;0,1,0)</f>
        <v>0</v>
      </c>
      <c r="P742">
        <f>IF(COUNTIFS('United Data'!$A$3:$A$3390,P$1,'United Data'!$C$3:$C$3390,$A742,'United Data'!$B$3:$B$3390,"&lt;&gt;Off-street")&gt;0,1,0)</f>
        <v>0</v>
      </c>
      <c r="Q742">
        <f>IF(COUNTIFS('United Data'!$A$3:$A$3390,Q$1,'United Data'!$C$3:$C$3390,$A742,'United Data'!$B$3:$B$3390,"&lt;&gt;Off-street")&gt;0,1,0)</f>
        <v>1</v>
      </c>
      <c r="R742">
        <f>IF(COUNTIFS('United Data'!$A$3:$A$3390,R$1,'United Data'!$C$3:$C$3390,$A742,'United Data'!$B$3:$B$3390,"&lt;&gt;Off-street")&gt;0,1,0)</f>
        <v>0</v>
      </c>
      <c r="S742">
        <f t="shared" si="22"/>
        <v>1</v>
      </c>
      <c r="T742">
        <f t="shared" si="23"/>
        <v>1</v>
      </c>
    </row>
    <row r="743" spans="1:20" x14ac:dyDescent="0.2">
      <c r="A743" t="s">
        <v>885</v>
      </c>
      <c r="B743">
        <f>IF(COUNTIFS('United Data'!$A$3:$A$3390,B$1,'United Data'!$C$3:$C$3390,$A743,'United Data'!$B$3:$B$3390,"&lt;&gt;Off-street")&gt;0,1,0)</f>
        <v>0</v>
      </c>
      <c r="C743">
        <f>IF(COUNTIFS('United Data'!$A$3:$A$3390,C$1,'United Data'!$C$3:$C$3390,$A743,'United Data'!$B$3:$B$3390,"&lt;&gt;Off-street")&gt;0,1,0)</f>
        <v>0</v>
      </c>
      <c r="D743">
        <f>IF(COUNTIFS('United Data'!$A$3:$A$3390,D$1,'United Data'!$C$3:$C$3390,$A743,'United Data'!$B$3:$B$3390,"&lt;&gt;Off-street")&gt;0,1,0)</f>
        <v>0</v>
      </c>
      <c r="E743">
        <f>IF(COUNTIFS('United Data'!$A$3:$A$3390,E$1,'United Data'!$C$3:$C$3390,$A743,'United Data'!$B$3:$B$3390,"&lt;&gt;Off-street")&gt;0,1,0)</f>
        <v>0</v>
      </c>
      <c r="F743">
        <f>IF(COUNTIFS('United Data'!$A$3:$A$3390,F$1,'United Data'!$C$3:$C$3390,$A743,'United Data'!$B$3:$B$3390,"&lt;&gt;Off-street")&gt;0,1,0)</f>
        <v>0</v>
      </c>
      <c r="G743">
        <f>IF(COUNTIFS('United Data'!$A$3:$A$3390,G$1,'United Data'!$C$3:$C$3390,$A743,'United Data'!$B$3:$B$3390,"&lt;&gt;Off-street")&gt;0,1,0)</f>
        <v>0</v>
      </c>
      <c r="H743">
        <f>IF(COUNTIFS('United Data'!$A$3:$A$3390,H$1,'United Data'!$C$3:$C$3390,$A743,'United Data'!$B$3:$B$3390,"&lt;&gt;Off-street")&gt;0,1,0)</f>
        <v>0</v>
      </c>
      <c r="I743">
        <f>IF(COUNTIFS('United Data'!$A$3:$A$3390,I$1,'United Data'!$C$3:$C$3390,$A743,'United Data'!$B$3:$B$3390,"&lt;&gt;Off-street")&gt;0,1,0)</f>
        <v>0</v>
      </c>
      <c r="J743">
        <f>IF(COUNTIFS('United Data'!$A$3:$A$3390,J$1,'United Data'!$C$3:$C$3390,$A743,'United Data'!$B$3:$B$3390,"&lt;&gt;Off-street")&gt;0,1,0)</f>
        <v>0</v>
      </c>
      <c r="K743">
        <f>IF(COUNTIFS('United Data'!$A$3:$A$3390,K$1,'United Data'!$C$3:$C$3390,$A743,'United Data'!$B$3:$B$3390,"&lt;&gt;Off-street")&gt;0,1,0)</f>
        <v>0</v>
      </c>
      <c r="L743">
        <f>IF(COUNTIFS('United Data'!$A$3:$A$3390,L$1,'United Data'!$C$3:$C$3390,$A743,'United Data'!$B$3:$B$3390,"&lt;&gt;Off-street")&gt;0,1,0)</f>
        <v>0</v>
      </c>
      <c r="M743">
        <f>IF(COUNTIFS('United Data'!$A$3:$A$3390,M$1,'United Data'!$C$3:$C$3390,$A743,'United Data'!$B$3:$B$3390,"&lt;&gt;Off-street")&gt;0,1,0)</f>
        <v>0</v>
      </c>
      <c r="N743">
        <f>IF(COUNTIFS('United Data'!$A$3:$A$3390,N$1,'United Data'!$C$3:$C$3390,$A743,'United Data'!$B$3:$B$3390,"&lt;&gt;Off-street")&gt;0,1,0)</f>
        <v>0</v>
      </c>
      <c r="O743">
        <f>IF(COUNTIFS('United Data'!$A$3:$A$3390,O$1,'United Data'!$C$3:$C$3390,$A743,'United Data'!$B$3:$B$3390,"&lt;&gt;Off-street")&gt;0,1,0)</f>
        <v>0</v>
      </c>
      <c r="P743">
        <f>IF(COUNTIFS('United Data'!$A$3:$A$3390,P$1,'United Data'!$C$3:$C$3390,$A743,'United Data'!$B$3:$B$3390,"&lt;&gt;Off-street")&gt;0,1,0)</f>
        <v>0</v>
      </c>
      <c r="Q743">
        <f>IF(COUNTIFS('United Data'!$A$3:$A$3390,Q$1,'United Data'!$C$3:$C$3390,$A743,'United Data'!$B$3:$B$3390,"&lt;&gt;Off-street")&gt;0,1,0)</f>
        <v>1</v>
      </c>
      <c r="R743">
        <f>IF(COUNTIFS('United Data'!$A$3:$A$3390,R$1,'United Data'!$C$3:$C$3390,$A743,'United Data'!$B$3:$B$3390,"&lt;&gt;Off-street")&gt;0,1,0)</f>
        <v>0</v>
      </c>
      <c r="S743">
        <f t="shared" si="22"/>
        <v>1</v>
      </c>
      <c r="T743">
        <f t="shared" si="23"/>
        <v>1</v>
      </c>
    </row>
    <row r="744" spans="1:20" x14ac:dyDescent="0.2">
      <c r="A744" t="s">
        <v>886</v>
      </c>
      <c r="B744">
        <f>IF(COUNTIFS('United Data'!$A$3:$A$3390,B$1,'United Data'!$C$3:$C$3390,$A744,'United Data'!$B$3:$B$3390,"&lt;&gt;Off-street")&gt;0,1,0)</f>
        <v>0</v>
      </c>
      <c r="C744">
        <f>IF(COUNTIFS('United Data'!$A$3:$A$3390,C$1,'United Data'!$C$3:$C$3390,$A744,'United Data'!$B$3:$B$3390,"&lt;&gt;Off-street")&gt;0,1,0)</f>
        <v>0</v>
      </c>
      <c r="D744">
        <f>IF(COUNTIFS('United Data'!$A$3:$A$3390,D$1,'United Data'!$C$3:$C$3390,$A744,'United Data'!$B$3:$B$3390,"&lt;&gt;Off-street")&gt;0,1,0)</f>
        <v>0</v>
      </c>
      <c r="E744">
        <f>IF(COUNTIFS('United Data'!$A$3:$A$3390,E$1,'United Data'!$C$3:$C$3390,$A744,'United Data'!$B$3:$B$3390,"&lt;&gt;Off-street")&gt;0,1,0)</f>
        <v>0</v>
      </c>
      <c r="F744">
        <f>IF(COUNTIFS('United Data'!$A$3:$A$3390,F$1,'United Data'!$C$3:$C$3390,$A744,'United Data'!$B$3:$B$3390,"&lt;&gt;Off-street")&gt;0,1,0)</f>
        <v>0</v>
      </c>
      <c r="G744">
        <f>IF(COUNTIFS('United Data'!$A$3:$A$3390,G$1,'United Data'!$C$3:$C$3390,$A744,'United Data'!$B$3:$B$3390,"&lt;&gt;Off-street")&gt;0,1,0)</f>
        <v>0</v>
      </c>
      <c r="H744">
        <f>IF(COUNTIFS('United Data'!$A$3:$A$3390,H$1,'United Data'!$C$3:$C$3390,$A744,'United Data'!$B$3:$B$3390,"&lt;&gt;Off-street")&gt;0,1,0)</f>
        <v>0</v>
      </c>
      <c r="I744">
        <f>IF(COUNTIFS('United Data'!$A$3:$A$3390,I$1,'United Data'!$C$3:$C$3390,$A744,'United Data'!$B$3:$B$3390,"&lt;&gt;Off-street")&gt;0,1,0)</f>
        <v>0</v>
      </c>
      <c r="J744">
        <f>IF(COUNTIFS('United Data'!$A$3:$A$3390,J$1,'United Data'!$C$3:$C$3390,$A744,'United Data'!$B$3:$B$3390,"&lt;&gt;Off-street")&gt;0,1,0)</f>
        <v>0</v>
      </c>
      <c r="K744">
        <f>IF(COUNTIFS('United Data'!$A$3:$A$3390,K$1,'United Data'!$C$3:$C$3390,$A744,'United Data'!$B$3:$B$3390,"&lt;&gt;Off-street")&gt;0,1,0)</f>
        <v>0</v>
      </c>
      <c r="L744">
        <f>IF(COUNTIFS('United Data'!$A$3:$A$3390,L$1,'United Data'!$C$3:$C$3390,$A744,'United Data'!$B$3:$B$3390,"&lt;&gt;Off-street")&gt;0,1,0)</f>
        <v>0</v>
      </c>
      <c r="M744">
        <f>IF(COUNTIFS('United Data'!$A$3:$A$3390,M$1,'United Data'!$C$3:$C$3390,$A744,'United Data'!$B$3:$B$3390,"&lt;&gt;Off-street")&gt;0,1,0)</f>
        <v>0</v>
      </c>
      <c r="N744">
        <f>IF(COUNTIFS('United Data'!$A$3:$A$3390,N$1,'United Data'!$C$3:$C$3390,$A744,'United Data'!$B$3:$B$3390,"&lt;&gt;Off-street")&gt;0,1,0)</f>
        <v>0</v>
      </c>
      <c r="O744">
        <f>IF(COUNTIFS('United Data'!$A$3:$A$3390,O$1,'United Data'!$C$3:$C$3390,$A744,'United Data'!$B$3:$B$3390,"&lt;&gt;Off-street")&gt;0,1,0)</f>
        <v>0</v>
      </c>
      <c r="P744">
        <f>IF(COUNTIFS('United Data'!$A$3:$A$3390,P$1,'United Data'!$C$3:$C$3390,$A744,'United Data'!$B$3:$B$3390,"&lt;&gt;Off-street")&gt;0,1,0)</f>
        <v>0</v>
      </c>
      <c r="Q744">
        <f>IF(COUNTIFS('United Data'!$A$3:$A$3390,Q$1,'United Data'!$C$3:$C$3390,$A744,'United Data'!$B$3:$B$3390,"&lt;&gt;Off-street")&gt;0,1,0)</f>
        <v>0</v>
      </c>
      <c r="R744">
        <f>IF(COUNTIFS('United Data'!$A$3:$A$3390,R$1,'United Data'!$C$3:$C$3390,$A744,'United Data'!$B$3:$B$3390,"&lt;&gt;Off-street")&gt;0,1,0)</f>
        <v>1</v>
      </c>
      <c r="S744">
        <f t="shared" si="22"/>
        <v>1</v>
      </c>
      <c r="T744">
        <f t="shared" si="23"/>
        <v>1</v>
      </c>
    </row>
    <row r="745" spans="1:20" x14ac:dyDescent="0.2">
      <c r="A745" t="s">
        <v>887</v>
      </c>
      <c r="B745">
        <f>IF(COUNTIFS('United Data'!$A$3:$A$3390,B$1,'United Data'!$C$3:$C$3390,$A745,'United Data'!$B$3:$B$3390,"&lt;&gt;Off-street")&gt;0,1,0)</f>
        <v>1</v>
      </c>
      <c r="C745">
        <f>IF(COUNTIFS('United Data'!$A$3:$A$3390,C$1,'United Data'!$C$3:$C$3390,$A745,'United Data'!$B$3:$B$3390,"&lt;&gt;Off-street")&gt;0,1,0)</f>
        <v>1</v>
      </c>
      <c r="D745">
        <f>IF(COUNTIFS('United Data'!$A$3:$A$3390,D$1,'United Data'!$C$3:$C$3390,$A745,'United Data'!$B$3:$B$3390,"&lt;&gt;Off-street")&gt;0,1,0)</f>
        <v>0</v>
      </c>
      <c r="E745">
        <f>IF(COUNTIFS('United Data'!$A$3:$A$3390,E$1,'United Data'!$C$3:$C$3390,$A745,'United Data'!$B$3:$B$3390,"&lt;&gt;Off-street")&gt;0,1,0)</f>
        <v>1</v>
      </c>
      <c r="F745">
        <f>IF(COUNTIFS('United Data'!$A$3:$A$3390,F$1,'United Data'!$C$3:$C$3390,$A745,'United Data'!$B$3:$B$3390,"&lt;&gt;Off-street")&gt;0,1,0)</f>
        <v>0</v>
      </c>
      <c r="G745">
        <f>IF(COUNTIFS('United Data'!$A$3:$A$3390,G$1,'United Data'!$C$3:$C$3390,$A745,'United Data'!$B$3:$B$3390,"&lt;&gt;Off-street")&gt;0,1,0)</f>
        <v>0</v>
      </c>
      <c r="H745">
        <f>IF(COUNTIFS('United Data'!$A$3:$A$3390,H$1,'United Data'!$C$3:$C$3390,$A745,'United Data'!$B$3:$B$3390,"&lt;&gt;Off-street")&gt;0,1,0)</f>
        <v>1</v>
      </c>
      <c r="I745">
        <f>IF(COUNTIFS('United Data'!$A$3:$A$3390,I$1,'United Data'!$C$3:$C$3390,$A745,'United Data'!$B$3:$B$3390,"&lt;&gt;Off-street")&gt;0,1,0)</f>
        <v>0</v>
      </c>
      <c r="J745">
        <f>IF(COUNTIFS('United Data'!$A$3:$A$3390,J$1,'United Data'!$C$3:$C$3390,$A745,'United Data'!$B$3:$B$3390,"&lt;&gt;Off-street")&gt;0,1,0)</f>
        <v>0</v>
      </c>
      <c r="K745">
        <f>IF(COUNTIFS('United Data'!$A$3:$A$3390,K$1,'United Data'!$C$3:$C$3390,$A745,'United Data'!$B$3:$B$3390,"&lt;&gt;Off-street")&gt;0,1,0)</f>
        <v>0</v>
      </c>
      <c r="L745">
        <f>IF(COUNTIFS('United Data'!$A$3:$A$3390,L$1,'United Data'!$C$3:$C$3390,$A745,'United Data'!$B$3:$B$3390,"&lt;&gt;Off-street")&gt;0,1,0)</f>
        <v>0</v>
      </c>
      <c r="M745">
        <f>IF(COUNTIFS('United Data'!$A$3:$A$3390,M$1,'United Data'!$C$3:$C$3390,$A745,'United Data'!$B$3:$B$3390,"&lt;&gt;Off-street")&gt;0,1,0)</f>
        <v>0</v>
      </c>
      <c r="N745">
        <f>IF(COUNTIFS('United Data'!$A$3:$A$3390,N$1,'United Data'!$C$3:$C$3390,$A745,'United Data'!$B$3:$B$3390,"&lt;&gt;Off-street")&gt;0,1,0)</f>
        <v>0</v>
      </c>
      <c r="O745">
        <f>IF(COUNTIFS('United Data'!$A$3:$A$3390,O$1,'United Data'!$C$3:$C$3390,$A745,'United Data'!$B$3:$B$3390,"&lt;&gt;Off-street")&gt;0,1,0)</f>
        <v>0</v>
      </c>
      <c r="P745">
        <f>IF(COUNTIFS('United Data'!$A$3:$A$3390,P$1,'United Data'!$C$3:$C$3390,$A745,'United Data'!$B$3:$B$3390,"&lt;&gt;Off-street")&gt;0,1,0)</f>
        <v>0</v>
      </c>
      <c r="Q745">
        <f>IF(COUNTIFS('United Data'!$A$3:$A$3390,Q$1,'United Data'!$C$3:$C$3390,$A745,'United Data'!$B$3:$B$3390,"&lt;&gt;Off-street")&gt;0,1,0)</f>
        <v>0</v>
      </c>
      <c r="R745">
        <f>IF(COUNTIFS('United Data'!$A$3:$A$3390,R$1,'United Data'!$C$3:$C$3390,$A745,'United Data'!$B$3:$B$3390,"&lt;&gt;Off-street")&gt;0,1,0)</f>
        <v>0</v>
      </c>
      <c r="S745">
        <f t="shared" si="22"/>
        <v>4</v>
      </c>
      <c r="T745">
        <f t="shared" si="23"/>
        <v>3</v>
      </c>
    </row>
    <row r="746" spans="1:20" x14ac:dyDescent="0.2">
      <c r="A746" t="s">
        <v>888</v>
      </c>
      <c r="B746">
        <f>IF(COUNTIFS('United Data'!$A$3:$A$3390,B$1,'United Data'!$C$3:$C$3390,$A746,'United Data'!$B$3:$B$3390,"&lt;&gt;Off-street")&gt;0,1,0)</f>
        <v>1</v>
      </c>
      <c r="C746">
        <f>IF(COUNTIFS('United Data'!$A$3:$A$3390,C$1,'United Data'!$C$3:$C$3390,$A746,'United Data'!$B$3:$B$3390,"&lt;&gt;Off-street")&gt;0,1,0)</f>
        <v>1</v>
      </c>
      <c r="D746">
        <f>IF(COUNTIFS('United Data'!$A$3:$A$3390,D$1,'United Data'!$C$3:$C$3390,$A746,'United Data'!$B$3:$B$3390,"&lt;&gt;Off-street")&gt;0,1,0)</f>
        <v>0</v>
      </c>
      <c r="E746">
        <f>IF(COUNTIFS('United Data'!$A$3:$A$3390,E$1,'United Data'!$C$3:$C$3390,$A746,'United Data'!$B$3:$B$3390,"&lt;&gt;Off-street")&gt;0,1,0)</f>
        <v>1</v>
      </c>
      <c r="F746">
        <f>IF(COUNTIFS('United Data'!$A$3:$A$3390,F$1,'United Data'!$C$3:$C$3390,$A746,'United Data'!$B$3:$B$3390,"&lt;&gt;Off-street")&gt;0,1,0)</f>
        <v>0</v>
      </c>
      <c r="G746">
        <f>IF(COUNTIFS('United Data'!$A$3:$A$3390,G$1,'United Data'!$C$3:$C$3390,$A746,'United Data'!$B$3:$B$3390,"&lt;&gt;Off-street")&gt;0,1,0)</f>
        <v>0</v>
      </c>
      <c r="H746">
        <f>IF(COUNTIFS('United Data'!$A$3:$A$3390,H$1,'United Data'!$C$3:$C$3390,$A746,'United Data'!$B$3:$B$3390,"&lt;&gt;Off-street")&gt;0,1,0)</f>
        <v>0</v>
      </c>
      <c r="I746">
        <f>IF(COUNTIFS('United Data'!$A$3:$A$3390,I$1,'United Data'!$C$3:$C$3390,$A746,'United Data'!$B$3:$B$3390,"&lt;&gt;Off-street")&gt;0,1,0)</f>
        <v>0</v>
      </c>
      <c r="J746">
        <f>IF(COUNTIFS('United Data'!$A$3:$A$3390,J$1,'United Data'!$C$3:$C$3390,$A746,'United Data'!$B$3:$B$3390,"&lt;&gt;Off-street")&gt;0,1,0)</f>
        <v>0</v>
      </c>
      <c r="K746">
        <f>IF(COUNTIFS('United Data'!$A$3:$A$3390,K$1,'United Data'!$C$3:$C$3390,$A746,'United Data'!$B$3:$B$3390,"&lt;&gt;Off-street")&gt;0,1,0)</f>
        <v>0</v>
      </c>
      <c r="L746">
        <f>IF(COUNTIFS('United Data'!$A$3:$A$3390,L$1,'United Data'!$C$3:$C$3390,$A746,'United Data'!$B$3:$B$3390,"&lt;&gt;Off-street")&gt;0,1,0)</f>
        <v>0</v>
      </c>
      <c r="M746">
        <f>IF(COUNTIFS('United Data'!$A$3:$A$3390,M$1,'United Data'!$C$3:$C$3390,$A746,'United Data'!$B$3:$B$3390,"&lt;&gt;Off-street")&gt;0,1,0)</f>
        <v>0</v>
      </c>
      <c r="N746">
        <f>IF(COUNTIFS('United Data'!$A$3:$A$3390,N$1,'United Data'!$C$3:$C$3390,$A746,'United Data'!$B$3:$B$3390,"&lt;&gt;Off-street")&gt;0,1,0)</f>
        <v>0</v>
      </c>
      <c r="O746">
        <f>IF(COUNTIFS('United Data'!$A$3:$A$3390,O$1,'United Data'!$C$3:$C$3390,$A746,'United Data'!$B$3:$B$3390,"&lt;&gt;Off-street")&gt;0,1,0)</f>
        <v>0</v>
      </c>
      <c r="P746">
        <f>IF(COUNTIFS('United Data'!$A$3:$A$3390,P$1,'United Data'!$C$3:$C$3390,$A746,'United Data'!$B$3:$B$3390,"&lt;&gt;Off-street")&gt;0,1,0)</f>
        <v>0</v>
      </c>
      <c r="Q746">
        <f>IF(COUNTIFS('United Data'!$A$3:$A$3390,Q$1,'United Data'!$C$3:$C$3390,$A746,'United Data'!$B$3:$B$3390,"&lt;&gt;Off-street")&gt;0,1,0)</f>
        <v>0</v>
      </c>
      <c r="R746">
        <f>IF(COUNTIFS('United Data'!$A$3:$A$3390,R$1,'United Data'!$C$3:$C$3390,$A746,'United Data'!$B$3:$B$3390,"&lt;&gt;Off-street")&gt;0,1,0)</f>
        <v>0</v>
      </c>
      <c r="S746">
        <f t="shared" si="22"/>
        <v>3</v>
      </c>
      <c r="T746">
        <f t="shared" si="23"/>
        <v>2</v>
      </c>
    </row>
    <row r="747" spans="1:20" x14ac:dyDescent="0.2">
      <c r="A747" t="s">
        <v>890</v>
      </c>
      <c r="B747">
        <f>IF(COUNTIFS('United Data'!$A$3:$A$3390,B$1,'United Data'!$C$3:$C$3390,$A747,'United Data'!$B$3:$B$3390,"&lt;&gt;Off-street")&gt;0,1,0)</f>
        <v>1</v>
      </c>
      <c r="C747">
        <f>IF(COUNTIFS('United Data'!$A$3:$A$3390,C$1,'United Data'!$C$3:$C$3390,$A747,'United Data'!$B$3:$B$3390,"&lt;&gt;Off-street")&gt;0,1,0)</f>
        <v>1</v>
      </c>
      <c r="D747">
        <f>IF(COUNTIFS('United Data'!$A$3:$A$3390,D$1,'United Data'!$C$3:$C$3390,$A747,'United Data'!$B$3:$B$3390,"&lt;&gt;Off-street")&gt;0,1,0)</f>
        <v>0</v>
      </c>
      <c r="E747">
        <f>IF(COUNTIFS('United Data'!$A$3:$A$3390,E$1,'United Data'!$C$3:$C$3390,$A747,'United Data'!$B$3:$B$3390,"&lt;&gt;Off-street")&gt;0,1,0)</f>
        <v>0</v>
      </c>
      <c r="F747">
        <f>IF(COUNTIFS('United Data'!$A$3:$A$3390,F$1,'United Data'!$C$3:$C$3390,$A747,'United Data'!$B$3:$B$3390,"&lt;&gt;Off-street")&gt;0,1,0)</f>
        <v>0</v>
      </c>
      <c r="G747">
        <f>IF(COUNTIFS('United Data'!$A$3:$A$3390,G$1,'United Data'!$C$3:$C$3390,$A747,'United Data'!$B$3:$B$3390,"&lt;&gt;Off-street")&gt;0,1,0)</f>
        <v>0</v>
      </c>
      <c r="H747">
        <f>IF(COUNTIFS('United Data'!$A$3:$A$3390,H$1,'United Data'!$C$3:$C$3390,$A747,'United Data'!$B$3:$B$3390,"&lt;&gt;Off-street")&gt;0,1,0)</f>
        <v>0</v>
      </c>
      <c r="I747">
        <f>IF(COUNTIFS('United Data'!$A$3:$A$3390,I$1,'United Data'!$C$3:$C$3390,$A747,'United Data'!$B$3:$B$3390,"&lt;&gt;Off-street")&gt;0,1,0)</f>
        <v>0</v>
      </c>
      <c r="J747">
        <f>IF(COUNTIFS('United Data'!$A$3:$A$3390,J$1,'United Data'!$C$3:$C$3390,$A747,'United Data'!$B$3:$B$3390,"&lt;&gt;Off-street")&gt;0,1,0)</f>
        <v>0</v>
      </c>
      <c r="K747">
        <f>IF(COUNTIFS('United Data'!$A$3:$A$3390,K$1,'United Data'!$C$3:$C$3390,$A747,'United Data'!$B$3:$B$3390,"&lt;&gt;Off-street")&gt;0,1,0)</f>
        <v>0</v>
      </c>
      <c r="L747">
        <f>IF(COUNTIFS('United Data'!$A$3:$A$3390,L$1,'United Data'!$C$3:$C$3390,$A747,'United Data'!$B$3:$B$3390,"&lt;&gt;Off-street")&gt;0,1,0)</f>
        <v>0</v>
      </c>
      <c r="M747">
        <f>IF(COUNTIFS('United Data'!$A$3:$A$3390,M$1,'United Data'!$C$3:$C$3390,$A747,'United Data'!$B$3:$B$3390,"&lt;&gt;Off-street")&gt;0,1,0)</f>
        <v>0</v>
      </c>
      <c r="N747">
        <f>IF(COUNTIFS('United Data'!$A$3:$A$3390,N$1,'United Data'!$C$3:$C$3390,$A747,'United Data'!$B$3:$B$3390,"&lt;&gt;Off-street")&gt;0,1,0)</f>
        <v>0</v>
      </c>
      <c r="O747">
        <f>IF(COUNTIFS('United Data'!$A$3:$A$3390,O$1,'United Data'!$C$3:$C$3390,$A747,'United Data'!$B$3:$B$3390,"&lt;&gt;Off-street")&gt;0,1,0)</f>
        <v>0</v>
      </c>
      <c r="P747">
        <f>IF(COUNTIFS('United Data'!$A$3:$A$3390,P$1,'United Data'!$C$3:$C$3390,$A747,'United Data'!$B$3:$B$3390,"&lt;&gt;Off-street")&gt;0,1,0)</f>
        <v>0</v>
      </c>
      <c r="Q747">
        <f>IF(COUNTIFS('United Data'!$A$3:$A$3390,Q$1,'United Data'!$C$3:$C$3390,$A747,'United Data'!$B$3:$B$3390,"&lt;&gt;Off-street")&gt;0,1,0)</f>
        <v>0</v>
      </c>
      <c r="R747">
        <f>IF(COUNTIFS('United Data'!$A$3:$A$3390,R$1,'United Data'!$C$3:$C$3390,$A747,'United Data'!$B$3:$B$3390,"&lt;&gt;Off-street")&gt;0,1,0)</f>
        <v>0</v>
      </c>
      <c r="S747">
        <f t="shared" si="22"/>
        <v>2</v>
      </c>
      <c r="T747">
        <f t="shared" si="23"/>
        <v>1</v>
      </c>
    </row>
    <row r="748" spans="1:20" x14ac:dyDescent="0.2">
      <c r="A748" t="s">
        <v>891</v>
      </c>
      <c r="B748">
        <f>IF(COUNTIFS('United Data'!$A$3:$A$3390,B$1,'United Data'!$C$3:$C$3390,$A748,'United Data'!$B$3:$B$3390,"&lt;&gt;Off-street")&gt;0,1,0)</f>
        <v>1</v>
      </c>
      <c r="C748">
        <f>IF(COUNTIFS('United Data'!$A$3:$A$3390,C$1,'United Data'!$C$3:$C$3390,$A748,'United Data'!$B$3:$B$3390,"&lt;&gt;Off-street")&gt;0,1,0)</f>
        <v>1</v>
      </c>
      <c r="D748">
        <f>IF(COUNTIFS('United Data'!$A$3:$A$3390,D$1,'United Data'!$C$3:$C$3390,$A748,'United Data'!$B$3:$B$3390,"&lt;&gt;Off-street")&gt;0,1,0)</f>
        <v>0</v>
      </c>
      <c r="E748">
        <f>IF(COUNTIFS('United Data'!$A$3:$A$3390,E$1,'United Data'!$C$3:$C$3390,$A748,'United Data'!$B$3:$B$3390,"&lt;&gt;Off-street")&gt;0,1,0)</f>
        <v>0</v>
      </c>
      <c r="F748">
        <f>IF(COUNTIFS('United Data'!$A$3:$A$3390,F$1,'United Data'!$C$3:$C$3390,$A748,'United Data'!$B$3:$B$3390,"&lt;&gt;Off-street")&gt;0,1,0)</f>
        <v>0</v>
      </c>
      <c r="G748">
        <f>IF(COUNTIFS('United Data'!$A$3:$A$3390,G$1,'United Data'!$C$3:$C$3390,$A748,'United Data'!$B$3:$B$3390,"&lt;&gt;Off-street")&gt;0,1,0)</f>
        <v>0</v>
      </c>
      <c r="H748">
        <f>IF(COUNTIFS('United Data'!$A$3:$A$3390,H$1,'United Data'!$C$3:$C$3390,$A748,'United Data'!$B$3:$B$3390,"&lt;&gt;Off-street")&gt;0,1,0)</f>
        <v>0</v>
      </c>
      <c r="I748">
        <f>IF(COUNTIFS('United Data'!$A$3:$A$3390,I$1,'United Data'!$C$3:$C$3390,$A748,'United Data'!$B$3:$B$3390,"&lt;&gt;Off-street")&gt;0,1,0)</f>
        <v>0</v>
      </c>
      <c r="J748">
        <f>IF(COUNTIFS('United Data'!$A$3:$A$3390,J$1,'United Data'!$C$3:$C$3390,$A748,'United Data'!$B$3:$B$3390,"&lt;&gt;Off-street")&gt;0,1,0)</f>
        <v>0</v>
      </c>
      <c r="K748">
        <f>IF(COUNTIFS('United Data'!$A$3:$A$3390,K$1,'United Data'!$C$3:$C$3390,$A748,'United Data'!$B$3:$B$3390,"&lt;&gt;Off-street")&gt;0,1,0)</f>
        <v>0</v>
      </c>
      <c r="L748">
        <f>IF(COUNTIFS('United Data'!$A$3:$A$3390,L$1,'United Data'!$C$3:$C$3390,$A748,'United Data'!$B$3:$B$3390,"&lt;&gt;Off-street")&gt;0,1,0)</f>
        <v>1</v>
      </c>
      <c r="M748">
        <f>IF(COUNTIFS('United Data'!$A$3:$A$3390,M$1,'United Data'!$C$3:$C$3390,$A748,'United Data'!$B$3:$B$3390,"&lt;&gt;Off-street")&gt;0,1,0)</f>
        <v>0</v>
      </c>
      <c r="N748">
        <f>IF(COUNTIFS('United Data'!$A$3:$A$3390,N$1,'United Data'!$C$3:$C$3390,$A748,'United Data'!$B$3:$B$3390,"&lt;&gt;Off-street")&gt;0,1,0)</f>
        <v>1</v>
      </c>
      <c r="O748">
        <f>IF(COUNTIFS('United Data'!$A$3:$A$3390,O$1,'United Data'!$C$3:$C$3390,$A748,'United Data'!$B$3:$B$3390,"&lt;&gt;Off-street")&gt;0,1,0)</f>
        <v>1</v>
      </c>
      <c r="P748">
        <f>IF(COUNTIFS('United Data'!$A$3:$A$3390,P$1,'United Data'!$C$3:$C$3390,$A748,'United Data'!$B$3:$B$3390,"&lt;&gt;Off-street")&gt;0,1,0)</f>
        <v>1</v>
      </c>
      <c r="Q748">
        <f>IF(COUNTIFS('United Data'!$A$3:$A$3390,Q$1,'United Data'!$C$3:$C$3390,$A748,'United Data'!$B$3:$B$3390,"&lt;&gt;Off-street")&gt;0,1,0)</f>
        <v>1</v>
      </c>
      <c r="R748">
        <f>IF(COUNTIFS('United Data'!$A$3:$A$3390,R$1,'United Data'!$C$3:$C$3390,$A748,'United Data'!$B$3:$B$3390,"&lt;&gt;Off-street")&gt;0,1,0)</f>
        <v>0</v>
      </c>
      <c r="S748">
        <f t="shared" si="22"/>
        <v>7</v>
      </c>
      <c r="T748">
        <f t="shared" si="23"/>
        <v>3</v>
      </c>
    </row>
    <row r="749" spans="1:20" x14ac:dyDescent="0.2">
      <c r="A749" t="s">
        <v>892</v>
      </c>
      <c r="B749">
        <f>IF(COUNTIFS('United Data'!$A$3:$A$3390,B$1,'United Data'!$C$3:$C$3390,$A749,'United Data'!$B$3:$B$3390,"&lt;&gt;Off-street")&gt;0,1,0)</f>
        <v>1</v>
      </c>
      <c r="C749">
        <f>IF(COUNTIFS('United Data'!$A$3:$A$3390,C$1,'United Data'!$C$3:$C$3390,$A749,'United Data'!$B$3:$B$3390,"&lt;&gt;Off-street")&gt;0,1,0)</f>
        <v>0</v>
      </c>
      <c r="D749">
        <f>IF(COUNTIFS('United Data'!$A$3:$A$3390,D$1,'United Data'!$C$3:$C$3390,$A749,'United Data'!$B$3:$B$3390,"&lt;&gt;Off-street")&gt;0,1,0)</f>
        <v>0</v>
      </c>
      <c r="E749">
        <f>IF(COUNTIFS('United Data'!$A$3:$A$3390,E$1,'United Data'!$C$3:$C$3390,$A749,'United Data'!$B$3:$B$3390,"&lt;&gt;Off-street")&gt;0,1,0)</f>
        <v>0</v>
      </c>
      <c r="F749">
        <f>IF(COUNTIFS('United Data'!$A$3:$A$3390,F$1,'United Data'!$C$3:$C$3390,$A749,'United Data'!$B$3:$B$3390,"&lt;&gt;Off-street")&gt;0,1,0)</f>
        <v>1</v>
      </c>
      <c r="G749">
        <f>IF(COUNTIFS('United Data'!$A$3:$A$3390,G$1,'United Data'!$C$3:$C$3390,$A749,'United Data'!$B$3:$B$3390,"&lt;&gt;Off-street")&gt;0,1,0)</f>
        <v>0</v>
      </c>
      <c r="H749">
        <f>IF(COUNTIFS('United Data'!$A$3:$A$3390,H$1,'United Data'!$C$3:$C$3390,$A749,'United Data'!$B$3:$B$3390,"&lt;&gt;Off-street")&gt;0,1,0)</f>
        <v>0</v>
      </c>
      <c r="I749">
        <f>IF(COUNTIFS('United Data'!$A$3:$A$3390,I$1,'United Data'!$C$3:$C$3390,$A749,'United Data'!$B$3:$B$3390,"&lt;&gt;Off-street")&gt;0,1,0)</f>
        <v>0</v>
      </c>
      <c r="J749">
        <f>IF(COUNTIFS('United Data'!$A$3:$A$3390,J$1,'United Data'!$C$3:$C$3390,$A749,'United Data'!$B$3:$B$3390,"&lt;&gt;Off-street")&gt;0,1,0)</f>
        <v>0</v>
      </c>
      <c r="K749">
        <f>IF(COUNTIFS('United Data'!$A$3:$A$3390,K$1,'United Data'!$C$3:$C$3390,$A749,'United Data'!$B$3:$B$3390,"&lt;&gt;Off-street")&gt;0,1,0)</f>
        <v>1</v>
      </c>
      <c r="L749">
        <f>IF(COUNTIFS('United Data'!$A$3:$A$3390,L$1,'United Data'!$C$3:$C$3390,$A749,'United Data'!$B$3:$B$3390,"&lt;&gt;Off-street")&gt;0,1,0)</f>
        <v>0</v>
      </c>
      <c r="M749">
        <f>IF(COUNTIFS('United Data'!$A$3:$A$3390,M$1,'United Data'!$C$3:$C$3390,$A749,'United Data'!$B$3:$B$3390,"&lt;&gt;Off-street")&gt;0,1,0)</f>
        <v>0</v>
      </c>
      <c r="N749">
        <f>IF(COUNTIFS('United Data'!$A$3:$A$3390,N$1,'United Data'!$C$3:$C$3390,$A749,'United Data'!$B$3:$B$3390,"&lt;&gt;Off-street")&gt;0,1,0)</f>
        <v>0</v>
      </c>
      <c r="O749">
        <f>IF(COUNTIFS('United Data'!$A$3:$A$3390,O$1,'United Data'!$C$3:$C$3390,$A749,'United Data'!$B$3:$B$3390,"&lt;&gt;Off-street")&gt;0,1,0)</f>
        <v>0</v>
      </c>
      <c r="P749">
        <f>IF(COUNTIFS('United Data'!$A$3:$A$3390,P$1,'United Data'!$C$3:$C$3390,$A749,'United Data'!$B$3:$B$3390,"&lt;&gt;Off-street")&gt;0,1,0)</f>
        <v>0</v>
      </c>
      <c r="Q749">
        <f>IF(COUNTIFS('United Data'!$A$3:$A$3390,Q$1,'United Data'!$C$3:$C$3390,$A749,'United Data'!$B$3:$B$3390,"&lt;&gt;Off-street")&gt;0,1,0)</f>
        <v>1</v>
      </c>
      <c r="R749">
        <f>IF(COUNTIFS('United Data'!$A$3:$A$3390,R$1,'United Data'!$C$3:$C$3390,$A749,'United Data'!$B$3:$B$3390,"&lt;&gt;Off-street")&gt;0,1,0)</f>
        <v>1</v>
      </c>
      <c r="S749">
        <f t="shared" si="22"/>
        <v>5</v>
      </c>
      <c r="T749">
        <f t="shared" si="23"/>
        <v>4</v>
      </c>
    </row>
    <row r="750" spans="1:20" x14ac:dyDescent="0.2">
      <c r="A750" t="s">
        <v>893</v>
      </c>
      <c r="B750">
        <f>IF(COUNTIFS('United Data'!$A$3:$A$3390,B$1,'United Data'!$C$3:$C$3390,$A750,'United Data'!$B$3:$B$3390,"&lt;&gt;Off-street")&gt;0,1,0)</f>
        <v>1</v>
      </c>
      <c r="C750">
        <f>IF(COUNTIFS('United Data'!$A$3:$A$3390,C$1,'United Data'!$C$3:$C$3390,$A750,'United Data'!$B$3:$B$3390,"&lt;&gt;Off-street")&gt;0,1,0)</f>
        <v>0</v>
      </c>
      <c r="D750">
        <f>IF(COUNTIFS('United Data'!$A$3:$A$3390,D$1,'United Data'!$C$3:$C$3390,$A750,'United Data'!$B$3:$B$3390,"&lt;&gt;Off-street")&gt;0,1,0)</f>
        <v>0</v>
      </c>
      <c r="E750">
        <f>IF(COUNTIFS('United Data'!$A$3:$A$3390,E$1,'United Data'!$C$3:$C$3390,$A750,'United Data'!$B$3:$B$3390,"&lt;&gt;Off-street")&gt;0,1,0)</f>
        <v>1</v>
      </c>
      <c r="F750">
        <f>IF(COUNTIFS('United Data'!$A$3:$A$3390,F$1,'United Data'!$C$3:$C$3390,$A750,'United Data'!$B$3:$B$3390,"&lt;&gt;Off-street")&gt;0,1,0)</f>
        <v>1</v>
      </c>
      <c r="G750">
        <f>IF(COUNTIFS('United Data'!$A$3:$A$3390,G$1,'United Data'!$C$3:$C$3390,$A750,'United Data'!$B$3:$B$3390,"&lt;&gt;Off-street")&gt;0,1,0)</f>
        <v>0</v>
      </c>
      <c r="H750">
        <f>IF(COUNTIFS('United Data'!$A$3:$A$3390,H$1,'United Data'!$C$3:$C$3390,$A750,'United Data'!$B$3:$B$3390,"&lt;&gt;Off-street")&gt;0,1,0)</f>
        <v>0</v>
      </c>
      <c r="I750">
        <f>IF(COUNTIFS('United Data'!$A$3:$A$3390,I$1,'United Data'!$C$3:$C$3390,$A750,'United Data'!$B$3:$B$3390,"&lt;&gt;Off-street")&gt;0,1,0)</f>
        <v>0</v>
      </c>
      <c r="J750">
        <f>IF(COUNTIFS('United Data'!$A$3:$A$3390,J$1,'United Data'!$C$3:$C$3390,$A750,'United Data'!$B$3:$B$3390,"&lt;&gt;Off-street")&gt;0,1,0)</f>
        <v>0</v>
      </c>
      <c r="K750">
        <f>IF(COUNTIFS('United Data'!$A$3:$A$3390,K$1,'United Data'!$C$3:$C$3390,$A750,'United Data'!$B$3:$B$3390,"&lt;&gt;Off-street")&gt;0,1,0)</f>
        <v>0</v>
      </c>
      <c r="L750">
        <f>IF(COUNTIFS('United Data'!$A$3:$A$3390,L$1,'United Data'!$C$3:$C$3390,$A750,'United Data'!$B$3:$B$3390,"&lt;&gt;Off-street")&gt;0,1,0)</f>
        <v>0</v>
      </c>
      <c r="M750">
        <f>IF(COUNTIFS('United Data'!$A$3:$A$3390,M$1,'United Data'!$C$3:$C$3390,$A750,'United Data'!$B$3:$B$3390,"&lt;&gt;Off-street")&gt;0,1,0)</f>
        <v>0</v>
      </c>
      <c r="N750">
        <f>IF(COUNTIFS('United Data'!$A$3:$A$3390,N$1,'United Data'!$C$3:$C$3390,$A750,'United Data'!$B$3:$B$3390,"&lt;&gt;Off-street")&gt;0,1,0)</f>
        <v>0</v>
      </c>
      <c r="O750">
        <f>IF(COUNTIFS('United Data'!$A$3:$A$3390,O$1,'United Data'!$C$3:$C$3390,$A750,'United Data'!$B$3:$B$3390,"&lt;&gt;Off-street")&gt;0,1,0)</f>
        <v>0</v>
      </c>
      <c r="P750">
        <f>IF(COUNTIFS('United Data'!$A$3:$A$3390,P$1,'United Data'!$C$3:$C$3390,$A750,'United Data'!$B$3:$B$3390,"&lt;&gt;Off-street")&gt;0,1,0)</f>
        <v>0</v>
      </c>
      <c r="Q750">
        <f>IF(COUNTIFS('United Data'!$A$3:$A$3390,Q$1,'United Data'!$C$3:$C$3390,$A750,'United Data'!$B$3:$B$3390,"&lt;&gt;Off-street")&gt;0,1,0)</f>
        <v>0</v>
      </c>
      <c r="R750">
        <f>IF(COUNTIFS('United Data'!$A$3:$A$3390,R$1,'United Data'!$C$3:$C$3390,$A750,'United Data'!$B$3:$B$3390,"&lt;&gt;Off-street")&gt;0,1,0)</f>
        <v>0</v>
      </c>
      <c r="S750">
        <f t="shared" si="22"/>
        <v>3</v>
      </c>
      <c r="T750">
        <f t="shared" si="23"/>
        <v>2</v>
      </c>
    </row>
    <row r="751" spans="1:20" x14ac:dyDescent="0.2">
      <c r="A751" t="s">
        <v>895</v>
      </c>
      <c r="B751">
        <f>IF(COUNTIFS('United Data'!$A$3:$A$3390,B$1,'United Data'!$C$3:$C$3390,$A751,'United Data'!$B$3:$B$3390,"&lt;&gt;Off-street")&gt;0,1,0)</f>
        <v>0</v>
      </c>
      <c r="C751">
        <f>IF(COUNTIFS('United Data'!$A$3:$A$3390,C$1,'United Data'!$C$3:$C$3390,$A751,'United Data'!$B$3:$B$3390,"&lt;&gt;Off-street")&gt;0,1,0)</f>
        <v>1</v>
      </c>
      <c r="D751">
        <f>IF(COUNTIFS('United Data'!$A$3:$A$3390,D$1,'United Data'!$C$3:$C$3390,$A751,'United Data'!$B$3:$B$3390,"&lt;&gt;Off-street")&gt;0,1,0)</f>
        <v>0</v>
      </c>
      <c r="E751">
        <f>IF(COUNTIFS('United Data'!$A$3:$A$3390,E$1,'United Data'!$C$3:$C$3390,$A751,'United Data'!$B$3:$B$3390,"&lt;&gt;Off-street")&gt;0,1,0)</f>
        <v>0</v>
      </c>
      <c r="F751">
        <f>IF(COUNTIFS('United Data'!$A$3:$A$3390,F$1,'United Data'!$C$3:$C$3390,$A751,'United Data'!$B$3:$B$3390,"&lt;&gt;Off-street")&gt;0,1,0)</f>
        <v>0</v>
      </c>
      <c r="G751">
        <f>IF(COUNTIFS('United Data'!$A$3:$A$3390,G$1,'United Data'!$C$3:$C$3390,$A751,'United Data'!$B$3:$B$3390,"&lt;&gt;Off-street")&gt;0,1,0)</f>
        <v>0</v>
      </c>
      <c r="H751">
        <f>IF(COUNTIFS('United Data'!$A$3:$A$3390,H$1,'United Data'!$C$3:$C$3390,$A751,'United Data'!$B$3:$B$3390,"&lt;&gt;Off-street")&gt;0,1,0)</f>
        <v>0</v>
      </c>
      <c r="I751">
        <f>IF(COUNTIFS('United Data'!$A$3:$A$3390,I$1,'United Data'!$C$3:$C$3390,$A751,'United Data'!$B$3:$B$3390,"&lt;&gt;Off-street")&gt;0,1,0)</f>
        <v>0</v>
      </c>
      <c r="J751">
        <f>IF(COUNTIFS('United Data'!$A$3:$A$3390,J$1,'United Data'!$C$3:$C$3390,$A751,'United Data'!$B$3:$B$3390,"&lt;&gt;Off-street")&gt;0,1,0)</f>
        <v>0</v>
      </c>
      <c r="K751">
        <f>IF(COUNTIFS('United Data'!$A$3:$A$3390,K$1,'United Data'!$C$3:$C$3390,$A751,'United Data'!$B$3:$B$3390,"&lt;&gt;Off-street")&gt;0,1,0)</f>
        <v>0</v>
      </c>
      <c r="L751">
        <f>IF(COUNTIFS('United Data'!$A$3:$A$3390,L$1,'United Data'!$C$3:$C$3390,$A751,'United Data'!$B$3:$B$3390,"&lt;&gt;Off-street")&gt;0,1,0)</f>
        <v>0</v>
      </c>
      <c r="M751">
        <f>IF(COUNTIFS('United Data'!$A$3:$A$3390,M$1,'United Data'!$C$3:$C$3390,$A751,'United Data'!$B$3:$B$3390,"&lt;&gt;Off-street")&gt;0,1,0)</f>
        <v>0</v>
      </c>
      <c r="N751">
        <f>IF(COUNTIFS('United Data'!$A$3:$A$3390,N$1,'United Data'!$C$3:$C$3390,$A751,'United Data'!$B$3:$B$3390,"&lt;&gt;Off-street")&gt;0,1,0)</f>
        <v>0</v>
      </c>
      <c r="O751">
        <f>IF(COUNTIFS('United Data'!$A$3:$A$3390,O$1,'United Data'!$C$3:$C$3390,$A751,'United Data'!$B$3:$B$3390,"&lt;&gt;Off-street")&gt;0,1,0)</f>
        <v>1</v>
      </c>
      <c r="P751">
        <f>IF(COUNTIFS('United Data'!$A$3:$A$3390,P$1,'United Data'!$C$3:$C$3390,$A751,'United Data'!$B$3:$B$3390,"&lt;&gt;Off-street")&gt;0,1,0)</f>
        <v>1</v>
      </c>
      <c r="Q751">
        <f>IF(COUNTIFS('United Data'!$A$3:$A$3390,Q$1,'United Data'!$C$3:$C$3390,$A751,'United Data'!$B$3:$B$3390,"&lt;&gt;Off-street")&gt;0,1,0)</f>
        <v>1</v>
      </c>
      <c r="R751">
        <f>IF(COUNTIFS('United Data'!$A$3:$A$3390,R$1,'United Data'!$C$3:$C$3390,$A751,'United Data'!$B$3:$B$3390,"&lt;&gt;Off-street")&gt;0,1,0)</f>
        <v>0</v>
      </c>
      <c r="S751">
        <f t="shared" si="22"/>
        <v>4</v>
      </c>
      <c r="T751">
        <f t="shared" si="23"/>
        <v>2</v>
      </c>
    </row>
    <row r="752" spans="1:20" x14ac:dyDescent="0.2">
      <c r="A752" t="s">
        <v>899</v>
      </c>
      <c r="B752">
        <f>IF(COUNTIFS('United Data'!$A$3:$A$3390,B$1,'United Data'!$C$3:$C$3390,$A752,'United Data'!$B$3:$B$3390,"&lt;&gt;Off-street")&gt;0,1,0)</f>
        <v>0</v>
      </c>
      <c r="C752">
        <f>IF(COUNTIFS('United Data'!$A$3:$A$3390,C$1,'United Data'!$C$3:$C$3390,$A752,'United Data'!$B$3:$B$3390,"&lt;&gt;Off-street")&gt;0,1,0)</f>
        <v>1</v>
      </c>
      <c r="D752">
        <f>IF(COUNTIFS('United Data'!$A$3:$A$3390,D$1,'United Data'!$C$3:$C$3390,$A752,'United Data'!$B$3:$B$3390,"&lt;&gt;Off-street")&gt;0,1,0)</f>
        <v>1</v>
      </c>
      <c r="E752">
        <f>IF(COUNTIFS('United Data'!$A$3:$A$3390,E$1,'United Data'!$C$3:$C$3390,$A752,'United Data'!$B$3:$B$3390,"&lt;&gt;Off-street")&gt;0,1,0)</f>
        <v>0</v>
      </c>
      <c r="F752">
        <f>IF(COUNTIFS('United Data'!$A$3:$A$3390,F$1,'United Data'!$C$3:$C$3390,$A752,'United Data'!$B$3:$B$3390,"&lt;&gt;Off-street")&gt;0,1,0)</f>
        <v>0</v>
      </c>
      <c r="G752">
        <f>IF(COUNTIFS('United Data'!$A$3:$A$3390,G$1,'United Data'!$C$3:$C$3390,$A752,'United Data'!$B$3:$B$3390,"&lt;&gt;Off-street")&gt;0,1,0)</f>
        <v>0</v>
      </c>
      <c r="H752">
        <f>IF(COUNTIFS('United Data'!$A$3:$A$3390,H$1,'United Data'!$C$3:$C$3390,$A752,'United Data'!$B$3:$B$3390,"&lt;&gt;Off-street")&gt;0,1,0)</f>
        <v>0</v>
      </c>
      <c r="I752">
        <f>IF(COUNTIFS('United Data'!$A$3:$A$3390,I$1,'United Data'!$C$3:$C$3390,$A752,'United Data'!$B$3:$B$3390,"&lt;&gt;Off-street")&gt;0,1,0)</f>
        <v>0</v>
      </c>
      <c r="J752">
        <f>IF(COUNTIFS('United Data'!$A$3:$A$3390,J$1,'United Data'!$C$3:$C$3390,$A752,'United Data'!$B$3:$B$3390,"&lt;&gt;Off-street")&gt;0,1,0)</f>
        <v>0</v>
      </c>
      <c r="K752">
        <f>IF(COUNTIFS('United Data'!$A$3:$A$3390,K$1,'United Data'!$C$3:$C$3390,$A752,'United Data'!$B$3:$B$3390,"&lt;&gt;Off-street")&gt;0,1,0)</f>
        <v>0</v>
      </c>
      <c r="L752">
        <f>IF(COUNTIFS('United Data'!$A$3:$A$3390,L$1,'United Data'!$C$3:$C$3390,$A752,'United Data'!$B$3:$B$3390,"&lt;&gt;Off-street")&gt;0,1,0)</f>
        <v>0</v>
      </c>
      <c r="M752">
        <f>IF(COUNTIFS('United Data'!$A$3:$A$3390,M$1,'United Data'!$C$3:$C$3390,$A752,'United Data'!$B$3:$B$3390,"&lt;&gt;Off-street")&gt;0,1,0)</f>
        <v>0</v>
      </c>
      <c r="N752">
        <f>IF(COUNTIFS('United Data'!$A$3:$A$3390,N$1,'United Data'!$C$3:$C$3390,$A752,'United Data'!$B$3:$B$3390,"&lt;&gt;Off-street")&gt;0,1,0)</f>
        <v>0</v>
      </c>
      <c r="O752">
        <f>IF(COUNTIFS('United Data'!$A$3:$A$3390,O$1,'United Data'!$C$3:$C$3390,$A752,'United Data'!$B$3:$B$3390,"&lt;&gt;Off-street")&gt;0,1,0)</f>
        <v>0</v>
      </c>
      <c r="P752">
        <f>IF(COUNTIFS('United Data'!$A$3:$A$3390,P$1,'United Data'!$C$3:$C$3390,$A752,'United Data'!$B$3:$B$3390,"&lt;&gt;Off-street")&gt;0,1,0)</f>
        <v>0</v>
      </c>
      <c r="Q752">
        <f>IF(COUNTIFS('United Data'!$A$3:$A$3390,Q$1,'United Data'!$C$3:$C$3390,$A752,'United Data'!$B$3:$B$3390,"&lt;&gt;Off-street")&gt;0,1,0)</f>
        <v>0</v>
      </c>
      <c r="R752">
        <f>IF(COUNTIFS('United Data'!$A$3:$A$3390,R$1,'United Data'!$C$3:$C$3390,$A752,'United Data'!$B$3:$B$3390,"&lt;&gt;Off-street")&gt;0,1,0)</f>
        <v>0</v>
      </c>
      <c r="S752">
        <f t="shared" si="22"/>
        <v>2</v>
      </c>
      <c r="T752">
        <f t="shared" si="23"/>
        <v>1</v>
      </c>
    </row>
    <row r="753" spans="1:20" x14ac:dyDescent="0.2">
      <c r="A753" t="s">
        <v>900</v>
      </c>
      <c r="B753">
        <f>IF(COUNTIFS('United Data'!$A$3:$A$3390,B$1,'United Data'!$C$3:$C$3390,$A753,'United Data'!$B$3:$B$3390,"&lt;&gt;Off-street")&gt;0,1,0)</f>
        <v>0</v>
      </c>
      <c r="C753">
        <f>IF(COUNTIFS('United Data'!$A$3:$A$3390,C$1,'United Data'!$C$3:$C$3390,$A753,'United Data'!$B$3:$B$3390,"&lt;&gt;Off-street")&gt;0,1,0)</f>
        <v>1</v>
      </c>
      <c r="D753">
        <f>IF(COUNTIFS('United Data'!$A$3:$A$3390,D$1,'United Data'!$C$3:$C$3390,$A753,'United Data'!$B$3:$B$3390,"&lt;&gt;Off-street")&gt;0,1,0)</f>
        <v>0</v>
      </c>
      <c r="E753">
        <f>IF(COUNTIFS('United Data'!$A$3:$A$3390,E$1,'United Data'!$C$3:$C$3390,$A753,'United Data'!$B$3:$B$3390,"&lt;&gt;Off-street")&gt;0,1,0)</f>
        <v>1</v>
      </c>
      <c r="F753">
        <f>IF(COUNTIFS('United Data'!$A$3:$A$3390,F$1,'United Data'!$C$3:$C$3390,$A753,'United Data'!$B$3:$B$3390,"&lt;&gt;Off-street")&gt;0,1,0)</f>
        <v>0</v>
      </c>
      <c r="G753">
        <f>IF(COUNTIFS('United Data'!$A$3:$A$3390,G$1,'United Data'!$C$3:$C$3390,$A753,'United Data'!$B$3:$B$3390,"&lt;&gt;Off-street")&gt;0,1,0)</f>
        <v>0</v>
      </c>
      <c r="H753">
        <f>IF(COUNTIFS('United Data'!$A$3:$A$3390,H$1,'United Data'!$C$3:$C$3390,$A753,'United Data'!$B$3:$B$3390,"&lt;&gt;Off-street")&gt;0,1,0)</f>
        <v>0</v>
      </c>
      <c r="I753">
        <f>IF(COUNTIFS('United Data'!$A$3:$A$3390,I$1,'United Data'!$C$3:$C$3390,$A753,'United Data'!$B$3:$B$3390,"&lt;&gt;Off-street")&gt;0,1,0)</f>
        <v>0</v>
      </c>
      <c r="J753">
        <f>IF(COUNTIFS('United Data'!$A$3:$A$3390,J$1,'United Data'!$C$3:$C$3390,$A753,'United Data'!$B$3:$B$3390,"&lt;&gt;Off-street")&gt;0,1,0)</f>
        <v>1</v>
      </c>
      <c r="K753">
        <f>IF(COUNTIFS('United Data'!$A$3:$A$3390,K$1,'United Data'!$C$3:$C$3390,$A753,'United Data'!$B$3:$B$3390,"&lt;&gt;Off-street")&gt;0,1,0)</f>
        <v>0</v>
      </c>
      <c r="L753">
        <f>IF(COUNTIFS('United Data'!$A$3:$A$3390,L$1,'United Data'!$C$3:$C$3390,$A753,'United Data'!$B$3:$B$3390,"&lt;&gt;Off-street")&gt;0,1,0)</f>
        <v>0</v>
      </c>
      <c r="M753">
        <f>IF(COUNTIFS('United Data'!$A$3:$A$3390,M$1,'United Data'!$C$3:$C$3390,$A753,'United Data'!$B$3:$B$3390,"&lt;&gt;Off-street")&gt;0,1,0)</f>
        <v>0</v>
      </c>
      <c r="N753">
        <f>IF(COUNTIFS('United Data'!$A$3:$A$3390,N$1,'United Data'!$C$3:$C$3390,$A753,'United Data'!$B$3:$B$3390,"&lt;&gt;Off-street")&gt;0,1,0)</f>
        <v>0</v>
      </c>
      <c r="O753">
        <f>IF(COUNTIFS('United Data'!$A$3:$A$3390,O$1,'United Data'!$C$3:$C$3390,$A753,'United Data'!$B$3:$B$3390,"&lt;&gt;Off-street")&gt;0,1,0)</f>
        <v>0</v>
      </c>
      <c r="P753">
        <f>IF(COUNTIFS('United Data'!$A$3:$A$3390,P$1,'United Data'!$C$3:$C$3390,$A753,'United Data'!$B$3:$B$3390,"&lt;&gt;Off-street")&gt;0,1,0)</f>
        <v>1</v>
      </c>
      <c r="Q753">
        <f>IF(COUNTIFS('United Data'!$A$3:$A$3390,Q$1,'United Data'!$C$3:$C$3390,$A753,'United Data'!$B$3:$B$3390,"&lt;&gt;Off-street")&gt;0,1,0)</f>
        <v>1</v>
      </c>
      <c r="R753">
        <f>IF(COUNTIFS('United Data'!$A$3:$A$3390,R$1,'United Data'!$C$3:$C$3390,$A753,'United Data'!$B$3:$B$3390,"&lt;&gt;Off-street")&gt;0,1,0)</f>
        <v>0</v>
      </c>
      <c r="S753">
        <f t="shared" si="22"/>
        <v>5</v>
      </c>
      <c r="T753">
        <f t="shared" si="23"/>
        <v>4</v>
      </c>
    </row>
    <row r="754" spans="1:20" x14ac:dyDescent="0.2">
      <c r="A754" t="s">
        <v>901</v>
      </c>
      <c r="B754">
        <f>IF(COUNTIFS('United Data'!$A$3:$A$3390,B$1,'United Data'!$C$3:$C$3390,$A754,'United Data'!$B$3:$B$3390,"&lt;&gt;Off-street")&gt;0,1,0)</f>
        <v>0</v>
      </c>
      <c r="C754">
        <f>IF(COUNTIFS('United Data'!$A$3:$A$3390,C$1,'United Data'!$C$3:$C$3390,$A754,'United Data'!$B$3:$B$3390,"&lt;&gt;Off-street")&gt;0,1,0)</f>
        <v>1</v>
      </c>
      <c r="D754">
        <f>IF(COUNTIFS('United Data'!$A$3:$A$3390,D$1,'United Data'!$C$3:$C$3390,$A754,'United Data'!$B$3:$B$3390,"&lt;&gt;Off-street")&gt;0,1,0)</f>
        <v>0</v>
      </c>
      <c r="E754">
        <f>IF(COUNTIFS('United Data'!$A$3:$A$3390,E$1,'United Data'!$C$3:$C$3390,$A754,'United Data'!$B$3:$B$3390,"&lt;&gt;Off-street")&gt;0,1,0)</f>
        <v>0</v>
      </c>
      <c r="F754">
        <f>IF(COUNTIFS('United Data'!$A$3:$A$3390,F$1,'United Data'!$C$3:$C$3390,$A754,'United Data'!$B$3:$B$3390,"&lt;&gt;Off-street")&gt;0,1,0)</f>
        <v>0</v>
      </c>
      <c r="G754">
        <f>IF(COUNTIFS('United Data'!$A$3:$A$3390,G$1,'United Data'!$C$3:$C$3390,$A754,'United Data'!$B$3:$B$3390,"&lt;&gt;Off-street")&gt;0,1,0)</f>
        <v>0</v>
      </c>
      <c r="H754">
        <f>IF(COUNTIFS('United Data'!$A$3:$A$3390,H$1,'United Data'!$C$3:$C$3390,$A754,'United Data'!$B$3:$B$3390,"&lt;&gt;Off-street")&gt;0,1,0)</f>
        <v>0</v>
      </c>
      <c r="I754">
        <f>IF(COUNTIFS('United Data'!$A$3:$A$3390,I$1,'United Data'!$C$3:$C$3390,$A754,'United Data'!$B$3:$B$3390,"&lt;&gt;Off-street")&gt;0,1,0)</f>
        <v>0</v>
      </c>
      <c r="J754">
        <f>IF(COUNTIFS('United Data'!$A$3:$A$3390,J$1,'United Data'!$C$3:$C$3390,$A754,'United Data'!$B$3:$B$3390,"&lt;&gt;Off-street")&gt;0,1,0)</f>
        <v>0</v>
      </c>
      <c r="K754">
        <f>IF(COUNTIFS('United Data'!$A$3:$A$3390,K$1,'United Data'!$C$3:$C$3390,$A754,'United Data'!$B$3:$B$3390,"&lt;&gt;Off-street")&gt;0,1,0)</f>
        <v>0</v>
      </c>
      <c r="L754">
        <f>IF(COUNTIFS('United Data'!$A$3:$A$3390,L$1,'United Data'!$C$3:$C$3390,$A754,'United Data'!$B$3:$B$3390,"&lt;&gt;Off-street")&gt;0,1,0)</f>
        <v>0</v>
      </c>
      <c r="M754">
        <f>IF(COUNTIFS('United Data'!$A$3:$A$3390,M$1,'United Data'!$C$3:$C$3390,$A754,'United Data'!$B$3:$B$3390,"&lt;&gt;Off-street")&gt;0,1,0)</f>
        <v>0</v>
      </c>
      <c r="N754">
        <f>IF(COUNTIFS('United Data'!$A$3:$A$3390,N$1,'United Data'!$C$3:$C$3390,$A754,'United Data'!$B$3:$B$3390,"&lt;&gt;Off-street")&gt;0,1,0)</f>
        <v>0</v>
      </c>
      <c r="O754">
        <f>IF(COUNTIFS('United Data'!$A$3:$A$3390,O$1,'United Data'!$C$3:$C$3390,$A754,'United Data'!$B$3:$B$3390,"&lt;&gt;Off-street")&gt;0,1,0)</f>
        <v>0</v>
      </c>
      <c r="P754">
        <f>IF(COUNTIFS('United Data'!$A$3:$A$3390,P$1,'United Data'!$C$3:$C$3390,$A754,'United Data'!$B$3:$B$3390,"&lt;&gt;Off-street")&gt;0,1,0)</f>
        <v>0</v>
      </c>
      <c r="Q754">
        <f>IF(COUNTIFS('United Data'!$A$3:$A$3390,Q$1,'United Data'!$C$3:$C$3390,$A754,'United Data'!$B$3:$B$3390,"&lt;&gt;Off-street")&gt;0,1,0)</f>
        <v>0</v>
      </c>
      <c r="R754">
        <f>IF(COUNTIFS('United Data'!$A$3:$A$3390,R$1,'United Data'!$C$3:$C$3390,$A754,'United Data'!$B$3:$B$3390,"&lt;&gt;Off-street")&gt;0,1,0)</f>
        <v>0</v>
      </c>
      <c r="S754">
        <f t="shared" si="22"/>
        <v>1</v>
      </c>
      <c r="T754">
        <f t="shared" si="23"/>
        <v>1</v>
      </c>
    </row>
    <row r="755" spans="1:20" x14ac:dyDescent="0.2">
      <c r="A755" t="s">
        <v>902</v>
      </c>
      <c r="B755">
        <f>IF(COUNTIFS('United Data'!$A$3:$A$3390,B$1,'United Data'!$C$3:$C$3390,$A755,'United Data'!$B$3:$B$3390,"&lt;&gt;Off-street")&gt;0,1,0)</f>
        <v>0</v>
      </c>
      <c r="C755">
        <f>IF(COUNTIFS('United Data'!$A$3:$A$3390,C$1,'United Data'!$C$3:$C$3390,$A755,'United Data'!$B$3:$B$3390,"&lt;&gt;Off-street")&gt;0,1,0)</f>
        <v>0</v>
      </c>
      <c r="D755">
        <f>IF(COUNTIFS('United Data'!$A$3:$A$3390,D$1,'United Data'!$C$3:$C$3390,$A755,'United Data'!$B$3:$B$3390,"&lt;&gt;Off-street")&gt;0,1,0)</f>
        <v>1</v>
      </c>
      <c r="E755">
        <f>IF(COUNTIFS('United Data'!$A$3:$A$3390,E$1,'United Data'!$C$3:$C$3390,$A755,'United Data'!$B$3:$B$3390,"&lt;&gt;Off-street")&gt;0,1,0)</f>
        <v>0</v>
      </c>
      <c r="F755">
        <f>IF(COUNTIFS('United Data'!$A$3:$A$3390,F$1,'United Data'!$C$3:$C$3390,$A755,'United Data'!$B$3:$B$3390,"&lt;&gt;Off-street")&gt;0,1,0)</f>
        <v>0</v>
      </c>
      <c r="G755">
        <f>IF(COUNTIFS('United Data'!$A$3:$A$3390,G$1,'United Data'!$C$3:$C$3390,$A755,'United Data'!$B$3:$B$3390,"&lt;&gt;Off-street")&gt;0,1,0)</f>
        <v>0</v>
      </c>
      <c r="H755">
        <f>IF(COUNTIFS('United Data'!$A$3:$A$3390,H$1,'United Data'!$C$3:$C$3390,$A755,'United Data'!$B$3:$B$3390,"&lt;&gt;Off-street")&gt;0,1,0)</f>
        <v>0</v>
      </c>
      <c r="I755">
        <f>IF(COUNTIFS('United Data'!$A$3:$A$3390,I$1,'United Data'!$C$3:$C$3390,$A755,'United Data'!$B$3:$B$3390,"&lt;&gt;Off-street")&gt;0,1,0)</f>
        <v>0</v>
      </c>
      <c r="J755">
        <f>IF(COUNTIFS('United Data'!$A$3:$A$3390,J$1,'United Data'!$C$3:$C$3390,$A755,'United Data'!$B$3:$B$3390,"&lt;&gt;Off-street")&gt;0,1,0)</f>
        <v>0</v>
      </c>
      <c r="K755">
        <f>IF(COUNTIFS('United Data'!$A$3:$A$3390,K$1,'United Data'!$C$3:$C$3390,$A755,'United Data'!$B$3:$B$3390,"&lt;&gt;Off-street")&gt;0,1,0)</f>
        <v>0</v>
      </c>
      <c r="L755">
        <f>IF(COUNTIFS('United Data'!$A$3:$A$3390,L$1,'United Data'!$C$3:$C$3390,$A755,'United Data'!$B$3:$B$3390,"&lt;&gt;Off-street")&gt;0,1,0)</f>
        <v>0</v>
      </c>
      <c r="M755">
        <f>IF(COUNTIFS('United Data'!$A$3:$A$3390,M$1,'United Data'!$C$3:$C$3390,$A755,'United Data'!$B$3:$B$3390,"&lt;&gt;Off-street")&gt;0,1,0)</f>
        <v>0</v>
      </c>
      <c r="N755">
        <f>IF(COUNTIFS('United Data'!$A$3:$A$3390,N$1,'United Data'!$C$3:$C$3390,$A755,'United Data'!$B$3:$B$3390,"&lt;&gt;Off-street")&gt;0,1,0)</f>
        <v>0</v>
      </c>
      <c r="O755">
        <f>IF(COUNTIFS('United Data'!$A$3:$A$3390,O$1,'United Data'!$C$3:$C$3390,$A755,'United Data'!$B$3:$B$3390,"&lt;&gt;Off-street")&gt;0,1,0)</f>
        <v>0</v>
      </c>
      <c r="P755">
        <f>IF(COUNTIFS('United Data'!$A$3:$A$3390,P$1,'United Data'!$C$3:$C$3390,$A755,'United Data'!$B$3:$B$3390,"&lt;&gt;Off-street")&gt;0,1,0)</f>
        <v>0</v>
      </c>
      <c r="Q755">
        <f>IF(COUNTIFS('United Data'!$A$3:$A$3390,Q$1,'United Data'!$C$3:$C$3390,$A755,'United Data'!$B$3:$B$3390,"&lt;&gt;Off-street")&gt;0,1,0)</f>
        <v>0</v>
      </c>
      <c r="R755">
        <f>IF(COUNTIFS('United Data'!$A$3:$A$3390,R$1,'United Data'!$C$3:$C$3390,$A755,'United Data'!$B$3:$B$3390,"&lt;&gt;Off-street")&gt;0,1,0)</f>
        <v>0</v>
      </c>
      <c r="S755">
        <f t="shared" si="22"/>
        <v>1</v>
      </c>
      <c r="T755">
        <f t="shared" si="23"/>
        <v>1</v>
      </c>
    </row>
    <row r="756" spans="1:20" x14ac:dyDescent="0.2">
      <c r="A756" t="s">
        <v>903</v>
      </c>
      <c r="B756">
        <f>IF(COUNTIFS('United Data'!$A$3:$A$3390,B$1,'United Data'!$C$3:$C$3390,$A756,'United Data'!$B$3:$B$3390,"&lt;&gt;Off-street")&gt;0,1,0)</f>
        <v>0</v>
      </c>
      <c r="C756">
        <f>IF(COUNTIFS('United Data'!$A$3:$A$3390,C$1,'United Data'!$C$3:$C$3390,$A756,'United Data'!$B$3:$B$3390,"&lt;&gt;Off-street")&gt;0,1,0)</f>
        <v>0</v>
      </c>
      <c r="D756">
        <f>IF(COUNTIFS('United Data'!$A$3:$A$3390,D$1,'United Data'!$C$3:$C$3390,$A756,'United Data'!$B$3:$B$3390,"&lt;&gt;Off-street")&gt;0,1,0)</f>
        <v>1</v>
      </c>
      <c r="E756">
        <f>IF(COUNTIFS('United Data'!$A$3:$A$3390,E$1,'United Data'!$C$3:$C$3390,$A756,'United Data'!$B$3:$B$3390,"&lt;&gt;Off-street")&gt;0,1,0)</f>
        <v>1</v>
      </c>
      <c r="F756">
        <f>IF(COUNTIFS('United Data'!$A$3:$A$3390,F$1,'United Data'!$C$3:$C$3390,$A756,'United Data'!$B$3:$B$3390,"&lt;&gt;Off-street")&gt;0,1,0)</f>
        <v>0</v>
      </c>
      <c r="G756">
        <f>IF(COUNTIFS('United Data'!$A$3:$A$3390,G$1,'United Data'!$C$3:$C$3390,$A756,'United Data'!$B$3:$B$3390,"&lt;&gt;Off-street")&gt;0,1,0)</f>
        <v>1</v>
      </c>
      <c r="H756">
        <f>IF(COUNTIFS('United Data'!$A$3:$A$3390,H$1,'United Data'!$C$3:$C$3390,$A756,'United Data'!$B$3:$B$3390,"&lt;&gt;Off-street")&gt;0,1,0)</f>
        <v>1</v>
      </c>
      <c r="I756">
        <f>IF(COUNTIFS('United Data'!$A$3:$A$3390,I$1,'United Data'!$C$3:$C$3390,$A756,'United Data'!$B$3:$B$3390,"&lt;&gt;Off-street")&gt;0,1,0)</f>
        <v>0</v>
      </c>
      <c r="J756">
        <f>IF(COUNTIFS('United Data'!$A$3:$A$3390,J$1,'United Data'!$C$3:$C$3390,$A756,'United Data'!$B$3:$B$3390,"&lt;&gt;Off-street")&gt;0,1,0)</f>
        <v>0</v>
      </c>
      <c r="K756">
        <f>IF(COUNTIFS('United Data'!$A$3:$A$3390,K$1,'United Data'!$C$3:$C$3390,$A756,'United Data'!$B$3:$B$3390,"&lt;&gt;Off-street")&gt;0,1,0)</f>
        <v>0</v>
      </c>
      <c r="L756">
        <f>IF(COUNTIFS('United Data'!$A$3:$A$3390,L$1,'United Data'!$C$3:$C$3390,$A756,'United Data'!$B$3:$B$3390,"&lt;&gt;Off-street")&gt;0,1,0)</f>
        <v>0</v>
      </c>
      <c r="M756">
        <f>IF(COUNTIFS('United Data'!$A$3:$A$3390,M$1,'United Data'!$C$3:$C$3390,$A756,'United Data'!$B$3:$B$3390,"&lt;&gt;Off-street")&gt;0,1,0)</f>
        <v>0</v>
      </c>
      <c r="N756">
        <f>IF(COUNTIFS('United Data'!$A$3:$A$3390,N$1,'United Data'!$C$3:$C$3390,$A756,'United Data'!$B$3:$B$3390,"&lt;&gt;Off-street")&gt;0,1,0)</f>
        <v>0</v>
      </c>
      <c r="O756">
        <f>IF(COUNTIFS('United Data'!$A$3:$A$3390,O$1,'United Data'!$C$3:$C$3390,$A756,'United Data'!$B$3:$B$3390,"&lt;&gt;Off-street")&gt;0,1,0)</f>
        <v>0</v>
      </c>
      <c r="P756">
        <f>IF(COUNTIFS('United Data'!$A$3:$A$3390,P$1,'United Data'!$C$3:$C$3390,$A756,'United Data'!$B$3:$B$3390,"&lt;&gt;Off-street")&gt;0,1,0)</f>
        <v>0</v>
      </c>
      <c r="Q756">
        <f>IF(COUNTIFS('United Data'!$A$3:$A$3390,Q$1,'United Data'!$C$3:$C$3390,$A756,'United Data'!$B$3:$B$3390,"&lt;&gt;Off-street")&gt;0,1,0)</f>
        <v>0</v>
      </c>
      <c r="R756">
        <f>IF(COUNTIFS('United Data'!$A$3:$A$3390,R$1,'United Data'!$C$3:$C$3390,$A756,'United Data'!$B$3:$B$3390,"&lt;&gt;Off-street")&gt;0,1,0)</f>
        <v>0</v>
      </c>
      <c r="S756">
        <f t="shared" si="22"/>
        <v>4</v>
      </c>
      <c r="T756">
        <f t="shared" si="23"/>
        <v>2</v>
      </c>
    </row>
    <row r="757" spans="1:20" x14ac:dyDescent="0.2">
      <c r="A757" t="s">
        <v>904</v>
      </c>
      <c r="B757">
        <f>IF(COUNTIFS('United Data'!$A$3:$A$3390,B$1,'United Data'!$C$3:$C$3390,$A757,'United Data'!$B$3:$B$3390,"&lt;&gt;Off-street")&gt;0,1,0)</f>
        <v>0</v>
      </c>
      <c r="C757">
        <f>IF(COUNTIFS('United Data'!$A$3:$A$3390,C$1,'United Data'!$C$3:$C$3390,$A757,'United Data'!$B$3:$B$3390,"&lt;&gt;Off-street")&gt;0,1,0)</f>
        <v>0</v>
      </c>
      <c r="D757">
        <f>IF(COUNTIFS('United Data'!$A$3:$A$3390,D$1,'United Data'!$C$3:$C$3390,$A757,'United Data'!$B$3:$B$3390,"&lt;&gt;Off-street")&gt;0,1,0)</f>
        <v>1</v>
      </c>
      <c r="E757">
        <f>IF(COUNTIFS('United Data'!$A$3:$A$3390,E$1,'United Data'!$C$3:$C$3390,$A757,'United Data'!$B$3:$B$3390,"&lt;&gt;Off-street")&gt;0,1,0)</f>
        <v>0</v>
      </c>
      <c r="F757">
        <f>IF(COUNTIFS('United Data'!$A$3:$A$3390,F$1,'United Data'!$C$3:$C$3390,$A757,'United Data'!$B$3:$B$3390,"&lt;&gt;Off-street")&gt;0,1,0)</f>
        <v>0</v>
      </c>
      <c r="G757">
        <f>IF(COUNTIFS('United Data'!$A$3:$A$3390,G$1,'United Data'!$C$3:$C$3390,$A757,'United Data'!$B$3:$B$3390,"&lt;&gt;Off-street")&gt;0,1,0)</f>
        <v>0</v>
      </c>
      <c r="H757">
        <f>IF(COUNTIFS('United Data'!$A$3:$A$3390,H$1,'United Data'!$C$3:$C$3390,$A757,'United Data'!$B$3:$B$3390,"&lt;&gt;Off-street")&gt;0,1,0)</f>
        <v>0</v>
      </c>
      <c r="I757">
        <f>IF(COUNTIFS('United Data'!$A$3:$A$3390,I$1,'United Data'!$C$3:$C$3390,$A757,'United Data'!$B$3:$B$3390,"&lt;&gt;Off-street")&gt;0,1,0)</f>
        <v>0</v>
      </c>
      <c r="J757">
        <f>IF(COUNTIFS('United Data'!$A$3:$A$3390,J$1,'United Data'!$C$3:$C$3390,$A757,'United Data'!$B$3:$B$3390,"&lt;&gt;Off-street")&gt;0,1,0)</f>
        <v>0</v>
      </c>
      <c r="K757">
        <f>IF(COUNTIFS('United Data'!$A$3:$A$3390,K$1,'United Data'!$C$3:$C$3390,$A757,'United Data'!$B$3:$B$3390,"&lt;&gt;Off-street")&gt;0,1,0)</f>
        <v>0</v>
      </c>
      <c r="L757">
        <f>IF(COUNTIFS('United Data'!$A$3:$A$3390,L$1,'United Data'!$C$3:$C$3390,$A757,'United Data'!$B$3:$B$3390,"&lt;&gt;Off-street")&gt;0,1,0)</f>
        <v>0</v>
      </c>
      <c r="M757">
        <f>IF(COUNTIFS('United Data'!$A$3:$A$3390,M$1,'United Data'!$C$3:$C$3390,$A757,'United Data'!$B$3:$B$3390,"&lt;&gt;Off-street")&gt;0,1,0)</f>
        <v>0</v>
      </c>
      <c r="N757">
        <f>IF(COUNTIFS('United Data'!$A$3:$A$3390,N$1,'United Data'!$C$3:$C$3390,$A757,'United Data'!$B$3:$B$3390,"&lt;&gt;Off-street")&gt;0,1,0)</f>
        <v>0</v>
      </c>
      <c r="O757">
        <f>IF(COUNTIFS('United Data'!$A$3:$A$3390,O$1,'United Data'!$C$3:$C$3390,$A757,'United Data'!$B$3:$B$3390,"&lt;&gt;Off-street")&gt;0,1,0)</f>
        <v>0</v>
      </c>
      <c r="P757">
        <f>IF(COUNTIFS('United Data'!$A$3:$A$3390,P$1,'United Data'!$C$3:$C$3390,$A757,'United Data'!$B$3:$B$3390,"&lt;&gt;Off-street")&gt;0,1,0)</f>
        <v>0</v>
      </c>
      <c r="Q757">
        <f>IF(COUNTIFS('United Data'!$A$3:$A$3390,Q$1,'United Data'!$C$3:$C$3390,$A757,'United Data'!$B$3:$B$3390,"&lt;&gt;Off-street")&gt;0,1,0)</f>
        <v>0</v>
      </c>
      <c r="R757">
        <f>IF(COUNTIFS('United Data'!$A$3:$A$3390,R$1,'United Data'!$C$3:$C$3390,$A757,'United Data'!$B$3:$B$3390,"&lt;&gt;Off-street")&gt;0,1,0)</f>
        <v>0</v>
      </c>
      <c r="S757">
        <f t="shared" si="22"/>
        <v>1</v>
      </c>
      <c r="T757">
        <f t="shared" si="23"/>
        <v>1</v>
      </c>
    </row>
    <row r="758" spans="1:20" x14ac:dyDescent="0.2">
      <c r="A758" t="s">
        <v>905</v>
      </c>
      <c r="B758">
        <f>IF(COUNTIFS('United Data'!$A$3:$A$3390,B$1,'United Data'!$C$3:$C$3390,$A758,'United Data'!$B$3:$B$3390,"&lt;&gt;Off-street")&gt;0,1,0)</f>
        <v>0</v>
      </c>
      <c r="C758">
        <f>IF(COUNTIFS('United Data'!$A$3:$A$3390,C$1,'United Data'!$C$3:$C$3390,$A758,'United Data'!$B$3:$B$3390,"&lt;&gt;Off-street")&gt;0,1,0)</f>
        <v>0</v>
      </c>
      <c r="D758">
        <f>IF(COUNTIFS('United Data'!$A$3:$A$3390,D$1,'United Data'!$C$3:$C$3390,$A758,'United Data'!$B$3:$B$3390,"&lt;&gt;Off-street")&gt;0,1,0)</f>
        <v>1</v>
      </c>
      <c r="E758">
        <f>IF(COUNTIFS('United Data'!$A$3:$A$3390,E$1,'United Data'!$C$3:$C$3390,$A758,'United Data'!$B$3:$B$3390,"&lt;&gt;Off-street")&gt;0,1,0)</f>
        <v>0</v>
      </c>
      <c r="F758">
        <f>IF(COUNTIFS('United Data'!$A$3:$A$3390,F$1,'United Data'!$C$3:$C$3390,$A758,'United Data'!$B$3:$B$3390,"&lt;&gt;Off-street")&gt;0,1,0)</f>
        <v>0</v>
      </c>
      <c r="G758">
        <f>IF(COUNTIFS('United Data'!$A$3:$A$3390,G$1,'United Data'!$C$3:$C$3390,$A758,'United Data'!$B$3:$B$3390,"&lt;&gt;Off-street")&gt;0,1,0)</f>
        <v>1</v>
      </c>
      <c r="H758">
        <f>IF(COUNTIFS('United Data'!$A$3:$A$3390,H$1,'United Data'!$C$3:$C$3390,$A758,'United Data'!$B$3:$B$3390,"&lt;&gt;Off-street")&gt;0,1,0)</f>
        <v>1</v>
      </c>
      <c r="I758">
        <f>IF(COUNTIFS('United Data'!$A$3:$A$3390,I$1,'United Data'!$C$3:$C$3390,$A758,'United Data'!$B$3:$B$3390,"&lt;&gt;Off-street")&gt;0,1,0)</f>
        <v>0</v>
      </c>
      <c r="J758">
        <f>IF(COUNTIFS('United Data'!$A$3:$A$3390,J$1,'United Data'!$C$3:$C$3390,$A758,'United Data'!$B$3:$B$3390,"&lt;&gt;Off-street")&gt;0,1,0)</f>
        <v>0</v>
      </c>
      <c r="K758">
        <f>IF(COUNTIFS('United Data'!$A$3:$A$3390,K$1,'United Data'!$C$3:$C$3390,$A758,'United Data'!$B$3:$B$3390,"&lt;&gt;Off-street")&gt;0,1,0)</f>
        <v>0</v>
      </c>
      <c r="L758">
        <f>IF(COUNTIFS('United Data'!$A$3:$A$3390,L$1,'United Data'!$C$3:$C$3390,$A758,'United Data'!$B$3:$B$3390,"&lt;&gt;Off-street")&gt;0,1,0)</f>
        <v>0</v>
      </c>
      <c r="M758">
        <f>IF(COUNTIFS('United Data'!$A$3:$A$3390,M$1,'United Data'!$C$3:$C$3390,$A758,'United Data'!$B$3:$B$3390,"&lt;&gt;Off-street")&gt;0,1,0)</f>
        <v>0</v>
      </c>
      <c r="N758">
        <f>IF(COUNTIFS('United Data'!$A$3:$A$3390,N$1,'United Data'!$C$3:$C$3390,$A758,'United Data'!$B$3:$B$3390,"&lt;&gt;Off-street")&gt;0,1,0)</f>
        <v>0</v>
      </c>
      <c r="O758">
        <f>IF(COUNTIFS('United Data'!$A$3:$A$3390,O$1,'United Data'!$C$3:$C$3390,$A758,'United Data'!$B$3:$B$3390,"&lt;&gt;Off-street")&gt;0,1,0)</f>
        <v>0</v>
      </c>
      <c r="P758">
        <f>IF(COUNTIFS('United Data'!$A$3:$A$3390,P$1,'United Data'!$C$3:$C$3390,$A758,'United Data'!$B$3:$B$3390,"&lt;&gt;Off-street")&gt;0,1,0)</f>
        <v>0</v>
      </c>
      <c r="Q758">
        <f>IF(COUNTIFS('United Data'!$A$3:$A$3390,Q$1,'United Data'!$C$3:$C$3390,$A758,'United Data'!$B$3:$B$3390,"&lt;&gt;Off-street")&gt;0,1,0)</f>
        <v>0</v>
      </c>
      <c r="R758">
        <f>IF(COUNTIFS('United Data'!$A$3:$A$3390,R$1,'United Data'!$C$3:$C$3390,$A758,'United Data'!$B$3:$B$3390,"&lt;&gt;Off-street")&gt;0,1,0)</f>
        <v>0</v>
      </c>
      <c r="S758">
        <f t="shared" si="22"/>
        <v>3</v>
      </c>
      <c r="T758">
        <f t="shared" si="23"/>
        <v>2</v>
      </c>
    </row>
    <row r="759" spans="1:20" x14ac:dyDescent="0.2">
      <c r="A759" t="s">
        <v>906</v>
      </c>
      <c r="B759">
        <f>IF(COUNTIFS('United Data'!$A$3:$A$3390,B$1,'United Data'!$C$3:$C$3390,$A759,'United Data'!$B$3:$B$3390,"&lt;&gt;Off-street")&gt;0,1,0)</f>
        <v>0</v>
      </c>
      <c r="C759">
        <f>IF(COUNTIFS('United Data'!$A$3:$A$3390,C$1,'United Data'!$C$3:$C$3390,$A759,'United Data'!$B$3:$B$3390,"&lt;&gt;Off-street")&gt;0,1,0)</f>
        <v>0</v>
      </c>
      <c r="D759">
        <f>IF(COUNTIFS('United Data'!$A$3:$A$3390,D$1,'United Data'!$C$3:$C$3390,$A759,'United Data'!$B$3:$B$3390,"&lt;&gt;Off-street")&gt;0,1,0)</f>
        <v>1</v>
      </c>
      <c r="E759">
        <f>IF(COUNTIFS('United Data'!$A$3:$A$3390,E$1,'United Data'!$C$3:$C$3390,$A759,'United Data'!$B$3:$B$3390,"&lt;&gt;Off-street")&gt;0,1,0)</f>
        <v>0</v>
      </c>
      <c r="F759">
        <f>IF(COUNTIFS('United Data'!$A$3:$A$3390,F$1,'United Data'!$C$3:$C$3390,$A759,'United Data'!$B$3:$B$3390,"&lt;&gt;Off-street")&gt;0,1,0)</f>
        <v>0</v>
      </c>
      <c r="G759">
        <f>IF(COUNTIFS('United Data'!$A$3:$A$3390,G$1,'United Data'!$C$3:$C$3390,$A759,'United Data'!$B$3:$B$3390,"&lt;&gt;Off-street")&gt;0,1,0)</f>
        <v>0</v>
      </c>
      <c r="H759">
        <f>IF(COUNTIFS('United Data'!$A$3:$A$3390,H$1,'United Data'!$C$3:$C$3390,$A759,'United Data'!$B$3:$B$3390,"&lt;&gt;Off-street")&gt;0,1,0)</f>
        <v>0</v>
      </c>
      <c r="I759">
        <f>IF(COUNTIFS('United Data'!$A$3:$A$3390,I$1,'United Data'!$C$3:$C$3390,$A759,'United Data'!$B$3:$B$3390,"&lt;&gt;Off-street")&gt;0,1,0)</f>
        <v>0</v>
      </c>
      <c r="J759">
        <f>IF(COUNTIFS('United Data'!$A$3:$A$3390,J$1,'United Data'!$C$3:$C$3390,$A759,'United Data'!$B$3:$B$3390,"&lt;&gt;Off-street")&gt;0,1,0)</f>
        <v>0</v>
      </c>
      <c r="K759">
        <f>IF(COUNTIFS('United Data'!$A$3:$A$3390,K$1,'United Data'!$C$3:$C$3390,$A759,'United Data'!$B$3:$B$3390,"&lt;&gt;Off-street")&gt;0,1,0)</f>
        <v>0</v>
      </c>
      <c r="L759">
        <f>IF(COUNTIFS('United Data'!$A$3:$A$3390,L$1,'United Data'!$C$3:$C$3390,$A759,'United Data'!$B$3:$B$3390,"&lt;&gt;Off-street")&gt;0,1,0)</f>
        <v>0</v>
      </c>
      <c r="M759">
        <f>IF(COUNTIFS('United Data'!$A$3:$A$3390,M$1,'United Data'!$C$3:$C$3390,$A759,'United Data'!$B$3:$B$3390,"&lt;&gt;Off-street")&gt;0,1,0)</f>
        <v>0</v>
      </c>
      <c r="N759">
        <f>IF(COUNTIFS('United Data'!$A$3:$A$3390,N$1,'United Data'!$C$3:$C$3390,$A759,'United Data'!$B$3:$B$3390,"&lt;&gt;Off-street")&gt;0,1,0)</f>
        <v>0</v>
      </c>
      <c r="O759">
        <f>IF(COUNTIFS('United Data'!$A$3:$A$3390,O$1,'United Data'!$C$3:$C$3390,$A759,'United Data'!$B$3:$B$3390,"&lt;&gt;Off-street")&gt;0,1,0)</f>
        <v>0</v>
      </c>
      <c r="P759">
        <f>IF(COUNTIFS('United Data'!$A$3:$A$3390,P$1,'United Data'!$C$3:$C$3390,$A759,'United Data'!$B$3:$B$3390,"&lt;&gt;Off-street")&gt;0,1,0)</f>
        <v>0</v>
      </c>
      <c r="Q759">
        <f>IF(COUNTIFS('United Data'!$A$3:$A$3390,Q$1,'United Data'!$C$3:$C$3390,$A759,'United Data'!$B$3:$B$3390,"&lt;&gt;Off-street")&gt;0,1,0)</f>
        <v>0</v>
      </c>
      <c r="R759">
        <f>IF(COUNTIFS('United Data'!$A$3:$A$3390,R$1,'United Data'!$C$3:$C$3390,$A759,'United Data'!$B$3:$B$3390,"&lt;&gt;Off-street")&gt;0,1,0)</f>
        <v>0</v>
      </c>
      <c r="S759">
        <f t="shared" si="22"/>
        <v>1</v>
      </c>
      <c r="T759">
        <f t="shared" si="23"/>
        <v>1</v>
      </c>
    </row>
    <row r="760" spans="1:20" x14ac:dyDescent="0.2">
      <c r="A760" t="s">
        <v>907</v>
      </c>
      <c r="B760">
        <f>IF(COUNTIFS('United Data'!$A$3:$A$3390,B$1,'United Data'!$C$3:$C$3390,$A760,'United Data'!$B$3:$B$3390,"&lt;&gt;Off-street")&gt;0,1,0)</f>
        <v>0</v>
      </c>
      <c r="C760">
        <f>IF(COUNTIFS('United Data'!$A$3:$A$3390,C$1,'United Data'!$C$3:$C$3390,$A760,'United Data'!$B$3:$B$3390,"&lt;&gt;Off-street")&gt;0,1,0)</f>
        <v>0</v>
      </c>
      <c r="D760">
        <f>IF(COUNTIFS('United Data'!$A$3:$A$3390,D$1,'United Data'!$C$3:$C$3390,$A760,'United Data'!$B$3:$B$3390,"&lt;&gt;Off-street")&gt;0,1,0)</f>
        <v>1</v>
      </c>
      <c r="E760">
        <f>IF(COUNTIFS('United Data'!$A$3:$A$3390,E$1,'United Data'!$C$3:$C$3390,$A760,'United Data'!$B$3:$B$3390,"&lt;&gt;Off-street")&gt;0,1,0)</f>
        <v>0</v>
      </c>
      <c r="F760">
        <f>IF(COUNTIFS('United Data'!$A$3:$A$3390,F$1,'United Data'!$C$3:$C$3390,$A760,'United Data'!$B$3:$B$3390,"&lt;&gt;Off-street")&gt;0,1,0)</f>
        <v>0</v>
      </c>
      <c r="G760">
        <f>IF(COUNTIFS('United Data'!$A$3:$A$3390,G$1,'United Data'!$C$3:$C$3390,$A760,'United Data'!$B$3:$B$3390,"&lt;&gt;Off-street")&gt;0,1,0)</f>
        <v>0</v>
      </c>
      <c r="H760">
        <f>IF(COUNTIFS('United Data'!$A$3:$A$3390,H$1,'United Data'!$C$3:$C$3390,$A760,'United Data'!$B$3:$B$3390,"&lt;&gt;Off-street")&gt;0,1,0)</f>
        <v>0</v>
      </c>
      <c r="I760">
        <f>IF(COUNTIFS('United Data'!$A$3:$A$3390,I$1,'United Data'!$C$3:$C$3390,$A760,'United Data'!$B$3:$B$3390,"&lt;&gt;Off-street")&gt;0,1,0)</f>
        <v>0</v>
      </c>
      <c r="J760">
        <f>IF(COUNTIFS('United Data'!$A$3:$A$3390,J$1,'United Data'!$C$3:$C$3390,$A760,'United Data'!$B$3:$B$3390,"&lt;&gt;Off-street")&gt;0,1,0)</f>
        <v>0</v>
      </c>
      <c r="K760">
        <f>IF(COUNTIFS('United Data'!$A$3:$A$3390,K$1,'United Data'!$C$3:$C$3390,$A760,'United Data'!$B$3:$B$3390,"&lt;&gt;Off-street")&gt;0,1,0)</f>
        <v>0</v>
      </c>
      <c r="L760">
        <f>IF(COUNTIFS('United Data'!$A$3:$A$3390,L$1,'United Data'!$C$3:$C$3390,$A760,'United Data'!$B$3:$B$3390,"&lt;&gt;Off-street")&gt;0,1,0)</f>
        <v>0</v>
      </c>
      <c r="M760">
        <f>IF(COUNTIFS('United Data'!$A$3:$A$3390,M$1,'United Data'!$C$3:$C$3390,$A760,'United Data'!$B$3:$B$3390,"&lt;&gt;Off-street")&gt;0,1,0)</f>
        <v>0</v>
      </c>
      <c r="N760">
        <f>IF(COUNTIFS('United Data'!$A$3:$A$3390,N$1,'United Data'!$C$3:$C$3390,$A760,'United Data'!$B$3:$B$3390,"&lt;&gt;Off-street")&gt;0,1,0)</f>
        <v>0</v>
      </c>
      <c r="O760">
        <f>IF(COUNTIFS('United Data'!$A$3:$A$3390,O$1,'United Data'!$C$3:$C$3390,$A760,'United Data'!$B$3:$B$3390,"&lt;&gt;Off-street")&gt;0,1,0)</f>
        <v>0</v>
      </c>
      <c r="P760">
        <f>IF(COUNTIFS('United Data'!$A$3:$A$3390,P$1,'United Data'!$C$3:$C$3390,$A760,'United Data'!$B$3:$B$3390,"&lt;&gt;Off-street")&gt;0,1,0)</f>
        <v>0</v>
      </c>
      <c r="Q760">
        <f>IF(COUNTIFS('United Data'!$A$3:$A$3390,Q$1,'United Data'!$C$3:$C$3390,$A760,'United Data'!$B$3:$B$3390,"&lt;&gt;Off-street")&gt;0,1,0)</f>
        <v>0</v>
      </c>
      <c r="R760">
        <f>IF(COUNTIFS('United Data'!$A$3:$A$3390,R$1,'United Data'!$C$3:$C$3390,$A760,'United Data'!$B$3:$B$3390,"&lt;&gt;Off-street")&gt;0,1,0)</f>
        <v>0</v>
      </c>
      <c r="S760">
        <f t="shared" si="22"/>
        <v>1</v>
      </c>
      <c r="T760">
        <f t="shared" si="23"/>
        <v>1</v>
      </c>
    </row>
    <row r="761" spans="1:20" x14ac:dyDescent="0.2">
      <c r="A761" t="s">
        <v>908</v>
      </c>
      <c r="B761">
        <f>IF(COUNTIFS('United Data'!$A$3:$A$3390,B$1,'United Data'!$C$3:$C$3390,$A761,'United Data'!$B$3:$B$3390,"&lt;&gt;Off-street")&gt;0,1,0)</f>
        <v>0</v>
      </c>
      <c r="C761">
        <f>IF(COUNTIFS('United Data'!$A$3:$A$3390,C$1,'United Data'!$C$3:$C$3390,$A761,'United Data'!$B$3:$B$3390,"&lt;&gt;Off-street")&gt;0,1,0)</f>
        <v>0</v>
      </c>
      <c r="D761">
        <f>IF(COUNTIFS('United Data'!$A$3:$A$3390,D$1,'United Data'!$C$3:$C$3390,$A761,'United Data'!$B$3:$B$3390,"&lt;&gt;Off-street")&gt;0,1,0)</f>
        <v>1</v>
      </c>
      <c r="E761">
        <f>IF(COUNTIFS('United Data'!$A$3:$A$3390,E$1,'United Data'!$C$3:$C$3390,$A761,'United Data'!$B$3:$B$3390,"&lt;&gt;Off-street")&gt;0,1,0)</f>
        <v>0</v>
      </c>
      <c r="F761">
        <f>IF(COUNTIFS('United Data'!$A$3:$A$3390,F$1,'United Data'!$C$3:$C$3390,$A761,'United Data'!$B$3:$B$3390,"&lt;&gt;Off-street")&gt;0,1,0)</f>
        <v>0</v>
      </c>
      <c r="G761">
        <f>IF(COUNTIFS('United Data'!$A$3:$A$3390,G$1,'United Data'!$C$3:$C$3390,$A761,'United Data'!$B$3:$B$3390,"&lt;&gt;Off-street")&gt;0,1,0)</f>
        <v>0</v>
      </c>
      <c r="H761">
        <f>IF(COUNTIFS('United Data'!$A$3:$A$3390,H$1,'United Data'!$C$3:$C$3390,$A761,'United Data'!$B$3:$B$3390,"&lt;&gt;Off-street")&gt;0,1,0)</f>
        <v>0</v>
      </c>
      <c r="I761">
        <f>IF(COUNTIFS('United Data'!$A$3:$A$3390,I$1,'United Data'!$C$3:$C$3390,$A761,'United Data'!$B$3:$B$3390,"&lt;&gt;Off-street")&gt;0,1,0)</f>
        <v>0</v>
      </c>
      <c r="J761">
        <f>IF(COUNTIFS('United Data'!$A$3:$A$3390,J$1,'United Data'!$C$3:$C$3390,$A761,'United Data'!$B$3:$B$3390,"&lt;&gt;Off-street")&gt;0,1,0)</f>
        <v>0</v>
      </c>
      <c r="K761">
        <f>IF(COUNTIFS('United Data'!$A$3:$A$3390,K$1,'United Data'!$C$3:$C$3390,$A761,'United Data'!$B$3:$B$3390,"&lt;&gt;Off-street")&gt;0,1,0)</f>
        <v>0</v>
      </c>
      <c r="L761">
        <f>IF(COUNTIFS('United Data'!$A$3:$A$3390,L$1,'United Data'!$C$3:$C$3390,$A761,'United Data'!$B$3:$B$3390,"&lt;&gt;Off-street")&gt;0,1,0)</f>
        <v>0</v>
      </c>
      <c r="M761">
        <f>IF(COUNTIFS('United Data'!$A$3:$A$3390,M$1,'United Data'!$C$3:$C$3390,$A761,'United Data'!$B$3:$B$3390,"&lt;&gt;Off-street")&gt;0,1,0)</f>
        <v>0</v>
      </c>
      <c r="N761">
        <f>IF(COUNTIFS('United Data'!$A$3:$A$3390,N$1,'United Data'!$C$3:$C$3390,$A761,'United Data'!$B$3:$B$3390,"&lt;&gt;Off-street")&gt;0,1,0)</f>
        <v>0</v>
      </c>
      <c r="O761">
        <f>IF(COUNTIFS('United Data'!$A$3:$A$3390,O$1,'United Data'!$C$3:$C$3390,$A761,'United Data'!$B$3:$B$3390,"&lt;&gt;Off-street")&gt;0,1,0)</f>
        <v>0</v>
      </c>
      <c r="P761">
        <f>IF(COUNTIFS('United Data'!$A$3:$A$3390,P$1,'United Data'!$C$3:$C$3390,$A761,'United Data'!$B$3:$B$3390,"&lt;&gt;Off-street")&gt;0,1,0)</f>
        <v>0</v>
      </c>
      <c r="Q761">
        <f>IF(COUNTIFS('United Data'!$A$3:$A$3390,Q$1,'United Data'!$C$3:$C$3390,$A761,'United Data'!$B$3:$B$3390,"&lt;&gt;Off-street")&gt;0,1,0)</f>
        <v>0</v>
      </c>
      <c r="R761">
        <f>IF(COUNTIFS('United Data'!$A$3:$A$3390,R$1,'United Data'!$C$3:$C$3390,$A761,'United Data'!$B$3:$B$3390,"&lt;&gt;Off-street")&gt;0,1,0)</f>
        <v>0</v>
      </c>
      <c r="S761">
        <f t="shared" si="22"/>
        <v>1</v>
      </c>
      <c r="T761">
        <f t="shared" si="23"/>
        <v>1</v>
      </c>
    </row>
    <row r="762" spans="1:20" x14ac:dyDescent="0.2">
      <c r="A762" t="s">
        <v>910</v>
      </c>
      <c r="B762">
        <f>IF(COUNTIFS('United Data'!$A$3:$A$3390,B$1,'United Data'!$C$3:$C$3390,$A762,'United Data'!$B$3:$B$3390,"&lt;&gt;Off-street")&gt;0,1,0)</f>
        <v>0</v>
      </c>
      <c r="C762">
        <f>IF(COUNTIFS('United Data'!$A$3:$A$3390,C$1,'United Data'!$C$3:$C$3390,$A762,'United Data'!$B$3:$B$3390,"&lt;&gt;Off-street")&gt;0,1,0)</f>
        <v>0</v>
      </c>
      <c r="D762">
        <f>IF(COUNTIFS('United Data'!$A$3:$A$3390,D$1,'United Data'!$C$3:$C$3390,$A762,'United Data'!$B$3:$B$3390,"&lt;&gt;Off-street")&gt;0,1,0)</f>
        <v>0</v>
      </c>
      <c r="E762">
        <f>IF(COUNTIFS('United Data'!$A$3:$A$3390,E$1,'United Data'!$C$3:$C$3390,$A762,'United Data'!$B$3:$B$3390,"&lt;&gt;Off-street")&gt;0,1,0)</f>
        <v>1</v>
      </c>
      <c r="F762">
        <f>IF(COUNTIFS('United Data'!$A$3:$A$3390,F$1,'United Data'!$C$3:$C$3390,$A762,'United Data'!$B$3:$B$3390,"&lt;&gt;Off-street")&gt;0,1,0)</f>
        <v>0</v>
      </c>
      <c r="G762">
        <f>IF(COUNTIFS('United Data'!$A$3:$A$3390,G$1,'United Data'!$C$3:$C$3390,$A762,'United Data'!$B$3:$B$3390,"&lt;&gt;Off-street")&gt;0,1,0)</f>
        <v>0</v>
      </c>
      <c r="H762">
        <f>IF(COUNTIFS('United Data'!$A$3:$A$3390,H$1,'United Data'!$C$3:$C$3390,$A762,'United Data'!$B$3:$B$3390,"&lt;&gt;Off-street")&gt;0,1,0)</f>
        <v>1</v>
      </c>
      <c r="I762">
        <f>IF(COUNTIFS('United Data'!$A$3:$A$3390,I$1,'United Data'!$C$3:$C$3390,$A762,'United Data'!$B$3:$B$3390,"&lt;&gt;Off-street")&gt;0,1,0)</f>
        <v>0</v>
      </c>
      <c r="J762">
        <f>IF(COUNTIFS('United Data'!$A$3:$A$3390,J$1,'United Data'!$C$3:$C$3390,$A762,'United Data'!$B$3:$B$3390,"&lt;&gt;Off-street")&gt;0,1,0)</f>
        <v>0</v>
      </c>
      <c r="K762">
        <f>IF(COUNTIFS('United Data'!$A$3:$A$3390,K$1,'United Data'!$C$3:$C$3390,$A762,'United Data'!$B$3:$B$3390,"&lt;&gt;Off-street")&gt;0,1,0)</f>
        <v>0</v>
      </c>
      <c r="L762">
        <f>IF(COUNTIFS('United Data'!$A$3:$A$3390,L$1,'United Data'!$C$3:$C$3390,$A762,'United Data'!$B$3:$B$3390,"&lt;&gt;Off-street")&gt;0,1,0)</f>
        <v>1</v>
      </c>
      <c r="M762">
        <f>IF(COUNTIFS('United Data'!$A$3:$A$3390,M$1,'United Data'!$C$3:$C$3390,$A762,'United Data'!$B$3:$B$3390,"&lt;&gt;Off-street")&gt;0,1,0)</f>
        <v>0</v>
      </c>
      <c r="N762">
        <f>IF(COUNTIFS('United Data'!$A$3:$A$3390,N$1,'United Data'!$C$3:$C$3390,$A762,'United Data'!$B$3:$B$3390,"&lt;&gt;Off-street")&gt;0,1,0)</f>
        <v>0</v>
      </c>
      <c r="O762">
        <f>IF(COUNTIFS('United Data'!$A$3:$A$3390,O$1,'United Data'!$C$3:$C$3390,$A762,'United Data'!$B$3:$B$3390,"&lt;&gt;Off-street")&gt;0,1,0)</f>
        <v>0</v>
      </c>
      <c r="P762">
        <f>IF(COUNTIFS('United Data'!$A$3:$A$3390,P$1,'United Data'!$C$3:$C$3390,$A762,'United Data'!$B$3:$B$3390,"&lt;&gt;Off-street")&gt;0,1,0)</f>
        <v>0</v>
      </c>
      <c r="Q762">
        <f>IF(COUNTIFS('United Data'!$A$3:$A$3390,Q$1,'United Data'!$C$3:$C$3390,$A762,'United Data'!$B$3:$B$3390,"&lt;&gt;Off-street")&gt;0,1,0)</f>
        <v>0</v>
      </c>
      <c r="R762">
        <f>IF(COUNTIFS('United Data'!$A$3:$A$3390,R$1,'United Data'!$C$3:$C$3390,$A762,'United Data'!$B$3:$B$3390,"&lt;&gt;Off-street")&gt;0,1,0)</f>
        <v>0</v>
      </c>
      <c r="S762">
        <f t="shared" si="22"/>
        <v>3</v>
      </c>
      <c r="T762">
        <f t="shared" si="23"/>
        <v>3</v>
      </c>
    </row>
    <row r="763" spans="1:20" x14ac:dyDescent="0.2">
      <c r="A763" t="s">
        <v>911</v>
      </c>
      <c r="B763">
        <f>IF(COUNTIFS('United Data'!$A$3:$A$3390,B$1,'United Data'!$C$3:$C$3390,$A763,'United Data'!$B$3:$B$3390,"&lt;&gt;Off-street")&gt;0,1,0)</f>
        <v>0</v>
      </c>
      <c r="C763">
        <f>IF(COUNTIFS('United Data'!$A$3:$A$3390,C$1,'United Data'!$C$3:$C$3390,$A763,'United Data'!$B$3:$B$3390,"&lt;&gt;Off-street")&gt;0,1,0)</f>
        <v>0</v>
      </c>
      <c r="D763">
        <f>IF(COUNTIFS('United Data'!$A$3:$A$3390,D$1,'United Data'!$C$3:$C$3390,$A763,'United Data'!$B$3:$B$3390,"&lt;&gt;Off-street")&gt;0,1,0)</f>
        <v>0</v>
      </c>
      <c r="E763">
        <f>IF(COUNTIFS('United Data'!$A$3:$A$3390,E$1,'United Data'!$C$3:$C$3390,$A763,'United Data'!$B$3:$B$3390,"&lt;&gt;Off-street")&gt;0,1,0)</f>
        <v>1</v>
      </c>
      <c r="F763">
        <f>IF(COUNTIFS('United Data'!$A$3:$A$3390,F$1,'United Data'!$C$3:$C$3390,$A763,'United Data'!$B$3:$B$3390,"&lt;&gt;Off-street")&gt;0,1,0)</f>
        <v>0</v>
      </c>
      <c r="G763">
        <f>IF(COUNTIFS('United Data'!$A$3:$A$3390,G$1,'United Data'!$C$3:$C$3390,$A763,'United Data'!$B$3:$B$3390,"&lt;&gt;Off-street")&gt;0,1,0)</f>
        <v>0</v>
      </c>
      <c r="H763">
        <f>IF(COUNTIFS('United Data'!$A$3:$A$3390,H$1,'United Data'!$C$3:$C$3390,$A763,'United Data'!$B$3:$B$3390,"&lt;&gt;Off-street")&gt;0,1,0)</f>
        <v>0</v>
      </c>
      <c r="I763">
        <f>IF(COUNTIFS('United Data'!$A$3:$A$3390,I$1,'United Data'!$C$3:$C$3390,$A763,'United Data'!$B$3:$B$3390,"&lt;&gt;Off-street")&gt;0,1,0)</f>
        <v>0</v>
      </c>
      <c r="J763">
        <f>IF(COUNTIFS('United Data'!$A$3:$A$3390,J$1,'United Data'!$C$3:$C$3390,$A763,'United Data'!$B$3:$B$3390,"&lt;&gt;Off-street")&gt;0,1,0)</f>
        <v>0</v>
      </c>
      <c r="K763">
        <f>IF(COUNTIFS('United Data'!$A$3:$A$3390,K$1,'United Data'!$C$3:$C$3390,$A763,'United Data'!$B$3:$B$3390,"&lt;&gt;Off-street")&gt;0,1,0)</f>
        <v>0</v>
      </c>
      <c r="L763">
        <f>IF(COUNTIFS('United Data'!$A$3:$A$3390,L$1,'United Data'!$C$3:$C$3390,$A763,'United Data'!$B$3:$B$3390,"&lt;&gt;Off-street")&gt;0,1,0)</f>
        <v>0</v>
      </c>
      <c r="M763">
        <f>IF(COUNTIFS('United Data'!$A$3:$A$3390,M$1,'United Data'!$C$3:$C$3390,$A763,'United Data'!$B$3:$B$3390,"&lt;&gt;Off-street")&gt;0,1,0)</f>
        <v>0</v>
      </c>
      <c r="N763">
        <f>IF(COUNTIFS('United Data'!$A$3:$A$3390,N$1,'United Data'!$C$3:$C$3390,$A763,'United Data'!$B$3:$B$3390,"&lt;&gt;Off-street")&gt;0,1,0)</f>
        <v>0</v>
      </c>
      <c r="O763">
        <f>IF(COUNTIFS('United Data'!$A$3:$A$3390,O$1,'United Data'!$C$3:$C$3390,$A763,'United Data'!$B$3:$B$3390,"&lt;&gt;Off-street")&gt;0,1,0)</f>
        <v>0</v>
      </c>
      <c r="P763">
        <f>IF(COUNTIFS('United Data'!$A$3:$A$3390,P$1,'United Data'!$C$3:$C$3390,$A763,'United Data'!$B$3:$B$3390,"&lt;&gt;Off-street")&gt;0,1,0)</f>
        <v>0</v>
      </c>
      <c r="Q763">
        <f>IF(COUNTIFS('United Data'!$A$3:$A$3390,Q$1,'United Data'!$C$3:$C$3390,$A763,'United Data'!$B$3:$B$3390,"&lt;&gt;Off-street")&gt;0,1,0)</f>
        <v>0</v>
      </c>
      <c r="R763">
        <f>IF(COUNTIFS('United Data'!$A$3:$A$3390,R$1,'United Data'!$C$3:$C$3390,$A763,'United Data'!$B$3:$B$3390,"&lt;&gt;Off-street")&gt;0,1,0)</f>
        <v>0</v>
      </c>
      <c r="S763">
        <f t="shared" si="22"/>
        <v>1</v>
      </c>
      <c r="T763">
        <f t="shared" si="23"/>
        <v>1</v>
      </c>
    </row>
    <row r="764" spans="1:20" x14ac:dyDescent="0.2">
      <c r="A764" t="s">
        <v>912</v>
      </c>
      <c r="B764">
        <f>IF(COUNTIFS('United Data'!$A$3:$A$3390,B$1,'United Data'!$C$3:$C$3390,$A764,'United Data'!$B$3:$B$3390,"&lt;&gt;Off-street")&gt;0,1,0)</f>
        <v>0</v>
      </c>
      <c r="C764">
        <f>IF(COUNTIFS('United Data'!$A$3:$A$3390,C$1,'United Data'!$C$3:$C$3390,$A764,'United Data'!$B$3:$B$3390,"&lt;&gt;Off-street")&gt;0,1,0)</f>
        <v>0</v>
      </c>
      <c r="D764">
        <f>IF(COUNTIFS('United Data'!$A$3:$A$3390,D$1,'United Data'!$C$3:$C$3390,$A764,'United Data'!$B$3:$B$3390,"&lt;&gt;Off-street")&gt;0,1,0)</f>
        <v>0</v>
      </c>
      <c r="E764">
        <f>IF(COUNTIFS('United Data'!$A$3:$A$3390,E$1,'United Data'!$C$3:$C$3390,$A764,'United Data'!$B$3:$B$3390,"&lt;&gt;Off-street")&gt;0,1,0)</f>
        <v>1</v>
      </c>
      <c r="F764">
        <f>IF(COUNTIFS('United Data'!$A$3:$A$3390,F$1,'United Data'!$C$3:$C$3390,$A764,'United Data'!$B$3:$B$3390,"&lt;&gt;Off-street")&gt;0,1,0)</f>
        <v>0</v>
      </c>
      <c r="G764">
        <f>IF(COUNTIFS('United Data'!$A$3:$A$3390,G$1,'United Data'!$C$3:$C$3390,$A764,'United Data'!$B$3:$B$3390,"&lt;&gt;Off-street")&gt;0,1,0)</f>
        <v>0</v>
      </c>
      <c r="H764">
        <f>IF(COUNTIFS('United Data'!$A$3:$A$3390,H$1,'United Data'!$C$3:$C$3390,$A764,'United Data'!$B$3:$B$3390,"&lt;&gt;Off-street")&gt;0,1,0)</f>
        <v>0</v>
      </c>
      <c r="I764">
        <f>IF(COUNTIFS('United Data'!$A$3:$A$3390,I$1,'United Data'!$C$3:$C$3390,$A764,'United Data'!$B$3:$B$3390,"&lt;&gt;Off-street")&gt;0,1,0)</f>
        <v>0</v>
      </c>
      <c r="J764">
        <f>IF(COUNTIFS('United Data'!$A$3:$A$3390,J$1,'United Data'!$C$3:$C$3390,$A764,'United Data'!$B$3:$B$3390,"&lt;&gt;Off-street")&gt;0,1,0)</f>
        <v>0</v>
      </c>
      <c r="K764">
        <f>IF(COUNTIFS('United Data'!$A$3:$A$3390,K$1,'United Data'!$C$3:$C$3390,$A764,'United Data'!$B$3:$B$3390,"&lt;&gt;Off-street")&gt;0,1,0)</f>
        <v>0</v>
      </c>
      <c r="L764">
        <f>IF(COUNTIFS('United Data'!$A$3:$A$3390,L$1,'United Data'!$C$3:$C$3390,$A764,'United Data'!$B$3:$B$3390,"&lt;&gt;Off-street")&gt;0,1,0)</f>
        <v>0</v>
      </c>
      <c r="M764">
        <f>IF(COUNTIFS('United Data'!$A$3:$A$3390,M$1,'United Data'!$C$3:$C$3390,$A764,'United Data'!$B$3:$B$3390,"&lt;&gt;Off-street")&gt;0,1,0)</f>
        <v>0</v>
      </c>
      <c r="N764">
        <f>IF(COUNTIFS('United Data'!$A$3:$A$3390,N$1,'United Data'!$C$3:$C$3390,$A764,'United Data'!$B$3:$B$3390,"&lt;&gt;Off-street")&gt;0,1,0)</f>
        <v>0</v>
      </c>
      <c r="O764">
        <f>IF(COUNTIFS('United Data'!$A$3:$A$3390,O$1,'United Data'!$C$3:$C$3390,$A764,'United Data'!$B$3:$B$3390,"&lt;&gt;Off-street")&gt;0,1,0)</f>
        <v>0</v>
      </c>
      <c r="P764">
        <f>IF(COUNTIFS('United Data'!$A$3:$A$3390,P$1,'United Data'!$C$3:$C$3390,$A764,'United Data'!$B$3:$B$3390,"&lt;&gt;Off-street")&gt;0,1,0)</f>
        <v>0</v>
      </c>
      <c r="Q764">
        <f>IF(COUNTIFS('United Data'!$A$3:$A$3390,Q$1,'United Data'!$C$3:$C$3390,$A764,'United Data'!$B$3:$B$3390,"&lt;&gt;Off-street")&gt;0,1,0)</f>
        <v>0</v>
      </c>
      <c r="R764">
        <f>IF(COUNTIFS('United Data'!$A$3:$A$3390,R$1,'United Data'!$C$3:$C$3390,$A764,'United Data'!$B$3:$B$3390,"&lt;&gt;Off-street")&gt;0,1,0)</f>
        <v>0</v>
      </c>
      <c r="S764">
        <f t="shared" si="22"/>
        <v>1</v>
      </c>
      <c r="T764">
        <f t="shared" si="23"/>
        <v>1</v>
      </c>
    </row>
    <row r="765" spans="1:20" x14ac:dyDescent="0.2">
      <c r="A765" t="s">
        <v>913</v>
      </c>
      <c r="B765">
        <f>IF(COUNTIFS('United Data'!$A$3:$A$3390,B$1,'United Data'!$C$3:$C$3390,$A765,'United Data'!$B$3:$B$3390,"&lt;&gt;Off-street")&gt;0,1,0)</f>
        <v>0</v>
      </c>
      <c r="C765">
        <f>IF(COUNTIFS('United Data'!$A$3:$A$3390,C$1,'United Data'!$C$3:$C$3390,$A765,'United Data'!$B$3:$B$3390,"&lt;&gt;Off-street")&gt;0,1,0)</f>
        <v>0</v>
      </c>
      <c r="D765">
        <f>IF(COUNTIFS('United Data'!$A$3:$A$3390,D$1,'United Data'!$C$3:$C$3390,$A765,'United Data'!$B$3:$B$3390,"&lt;&gt;Off-street")&gt;0,1,0)</f>
        <v>0</v>
      </c>
      <c r="E765">
        <f>IF(COUNTIFS('United Data'!$A$3:$A$3390,E$1,'United Data'!$C$3:$C$3390,$A765,'United Data'!$B$3:$B$3390,"&lt;&gt;Off-street")&gt;0,1,0)</f>
        <v>1</v>
      </c>
      <c r="F765">
        <f>IF(COUNTIFS('United Data'!$A$3:$A$3390,F$1,'United Data'!$C$3:$C$3390,$A765,'United Data'!$B$3:$B$3390,"&lt;&gt;Off-street")&gt;0,1,0)</f>
        <v>0</v>
      </c>
      <c r="G765">
        <f>IF(COUNTIFS('United Data'!$A$3:$A$3390,G$1,'United Data'!$C$3:$C$3390,$A765,'United Data'!$B$3:$B$3390,"&lt;&gt;Off-street")&gt;0,1,0)</f>
        <v>0</v>
      </c>
      <c r="H765">
        <f>IF(COUNTIFS('United Data'!$A$3:$A$3390,H$1,'United Data'!$C$3:$C$3390,$A765,'United Data'!$B$3:$B$3390,"&lt;&gt;Off-street")&gt;0,1,0)</f>
        <v>0</v>
      </c>
      <c r="I765">
        <f>IF(COUNTIFS('United Data'!$A$3:$A$3390,I$1,'United Data'!$C$3:$C$3390,$A765,'United Data'!$B$3:$B$3390,"&lt;&gt;Off-street")&gt;0,1,0)</f>
        <v>0</v>
      </c>
      <c r="J765">
        <f>IF(COUNTIFS('United Data'!$A$3:$A$3390,J$1,'United Data'!$C$3:$C$3390,$A765,'United Data'!$B$3:$B$3390,"&lt;&gt;Off-street")&gt;0,1,0)</f>
        <v>0</v>
      </c>
      <c r="K765">
        <f>IF(COUNTIFS('United Data'!$A$3:$A$3390,K$1,'United Data'!$C$3:$C$3390,$A765,'United Data'!$B$3:$B$3390,"&lt;&gt;Off-street")&gt;0,1,0)</f>
        <v>0</v>
      </c>
      <c r="L765">
        <f>IF(COUNTIFS('United Data'!$A$3:$A$3390,L$1,'United Data'!$C$3:$C$3390,$A765,'United Data'!$B$3:$B$3390,"&lt;&gt;Off-street")&gt;0,1,0)</f>
        <v>0</v>
      </c>
      <c r="M765">
        <f>IF(COUNTIFS('United Data'!$A$3:$A$3390,M$1,'United Data'!$C$3:$C$3390,$A765,'United Data'!$B$3:$B$3390,"&lt;&gt;Off-street")&gt;0,1,0)</f>
        <v>1</v>
      </c>
      <c r="N765">
        <f>IF(COUNTIFS('United Data'!$A$3:$A$3390,N$1,'United Data'!$C$3:$C$3390,$A765,'United Data'!$B$3:$B$3390,"&lt;&gt;Off-street")&gt;0,1,0)</f>
        <v>0</v>
      </c>
      <c r="O765">
        <f>IF(COUNTIFS('United Data'!$A$3:$A$3390,O$1,'United Data'!$C$3:$C$3390,$A765,'United Data'!$B$3:$B$3390,"&lt;&gt;Off-street")&gt;0,1,0)</f>
        <v>0</v>
      </c>
      <c r="P765">
        <f>IF(COUNTIFS('United Data'!$A$3:$A$3390,P$1,'United Data'!$C$3:$C$3390,$A765,'United Data'!$B$3:$B$3390,"&lt;&gt;Off-street")&gt;0,1,0)</f>
        <v>0</v>
      </c>
      <c r="Q765">
        <f>IF(COUNTIFS('United Data'!$A$3:$A$3390,Q$1,'United Data'!$C$3:$C$3390,$A765,'United Data'!$B$3:$B$3390,"&lt;&gt;Off-street")&gt;0,1,0)</f>
        <v>0</v>
      </c>
      <c r="R765">
        <f>IF(COUNTIFS('United Data'!$A$3:$A$3390,R$1,'United Data'!$C$3:$C$3390,$A765,'United Data'!$B$3:$B$3390,"&lt;&gt;Off-street")&gt;0,1,0)</f>
        <v>0</v>
      </c>
      <c r="S765">
        <f t="shared" si="22"/>
        <v>2</v>
      </c>
      <c r="T765">
        <f t="shared" si="23"/>
        <v>2</v>
      </c>
    </row>
    <row r="766" spans="1:20" x14ac:dyDescent="0.2">
      <c r="A766" t="s">
        <v>914</v>
      </c>
      <c r="B766">
        <f>IF(COUNTIFS('United Data'!$A$3:$A$3390,B$1,'United Data'!$C$3:$C$3390,$A766,'United Data'!$B$3:$B$3390,"&lt;&gt;Off-street")&gt;0,1,0)</f>
        <v>0</v>
      </c>
      <c r="C766">
        <f>IF(COUNTIFS('United Data'!$A$3:$A$3390,C$1,'United Data'!$C$3:$C$3390,$A766,'United Data'!$B$3:$B$3390,"&lt;&gt;Off-street")&gt;0,1,0)</f>
        <v>0</v>
      </c>
      <c r="D766">
        <f>IF(COUNTIFS('United Data'!$A$3:$A$3390,D$1,'United Data'!$C$3:$C$3390,$A766,'United Data'!$B$3:$B$3390,"&lt;&gt;Off-street")&gt;0,1,0)</f>
        <v>0</v>
      </c>
      <c r="E766">
        <f>IF(COUNTIFS('United Data'!$A$3:$A$3390,E$1,'United Data'!$C$3:$C$3390,$A766,'United Data'!$B$3:$B$3390,"&lt;&gt;Off-street")&gt;0,1,0)</f>
        <v>1</v>
      </c>
      <c r="F766">
        <f>IF(COUNTIFS('United Data'!$A$3:$A$3390,F$1,'United Data'!$C$3:$C$3390,$A766,'United Data'!$B$3:$B$3390,"&lt;&gt;Off-street")&gt;0,1,0)</f>
        <v>0</v>
      </c>
      <c r="G766">
        <f>IF(COUNTIFS('United Data'!$A$3:$A$3390,G$1,'United Data'!$C$3:$C$3390,$A766,'United Data'!$B$3:$B$3390,"&lt;&gt;Off-street")&gt;0,1,0)</f>
        <v>0</v>
      </c>
      <c r="H766">
        <f>IF(COUNTIFS('United Data'!$A$3:$A$3390,H$1,'United Data'!$C$3:$C$3390,$A766,'United Data'!$B$3:$B$3390,"&lt;&gt;Off-street")&gt;0,1,0)</f>
        <v>0</v>
      </c>
      <c r="I766">
        <f>IF(COUNTIFS('United Data'!$A$3:$A$3390,I$1,'United Data'!$C$3:$C$3390,$A766,'United Data'!$B$3:$B$3390,"&lt;&gt;Off-street")&gt;0,1,0)</f>
        <v>0</v>
      </c>
      <c r="J766">
        <f>IF(COUNTIFS('United Data'!$A$3:$A$3390,J$1,'United Data'!$C$3:$C$3390,$A766,'United Data'!$B$3:$B$3390,"&lt;&gt;Off-street")&gt;0,1,0)</f>
        <v>0</v>
      </c>
      <c r="K766">
        <f>IF(COUNTIFS('United Data'!$A$3:$A$3390,K$1,'United Data'!$C$3:$C$3390,$A766,'United Data'!$B$3:$B$3390,"&lt;&gt;Off-street")&gt;0,1,0)</f>
        <v>0</v>
      </c>
      <c r="L766">
        <f>IF(COUNTIFS('United Data'!$A$3:$A$3390,L$1,'United Data'!$C$3:$C$3390,$A766,'United Data'!$B$3:$B$3390,"&lt;&gt;Off-street")&gt;0,1,0)</f>
        <v>0</v>
      </c>
      <c r="M766">
        <f>IF(COUNTIFS('United Data'!$A$3:$A$3390,M$1,'United Data'!$C$3:$C$3390,$A766,'United Data'!$B$3:$B$3390,"&lt;&gt;Off-street")&gt;0,1,0)</f>
        <v>0</v>
      </c>
      <c r="N766">
        <f>IF(COUNTIFS('United Data'!$A$3:$A$3390,N$1,'United Data'!$C$3:$C$3390,$A766,'United Data'!$B$3:$B$3390,"&lt;&gt;Off-street")&gt;0,1,0)</f>
        <v>0</v>
      </c>
      <c r="O766">
        <f>IF(COUNTIFS('United Data'!$A$3:$A$3390,O$1,'United Data'!$C$3:$C$3390,$A766,'United Data'!$B$3:$B$3390,"&lt;&gt;Off-street")&gt;0,1,0)</f>
        <v>0</v>
      </c>
      <c r="P766">
        <f>IF(COUNTIFS('United Data'!$A$3:$A$3390,P$1,'United Data'!$C$3:$C$3390,$A766,'United Data'!$B$3:$B$3390,"&lt;&gt;Off-street")&gt;0,1,0)</f>
        <v>0</v>
      </c>
      <c r="Q766">
        <f>IF(COUNTIFS('United Data'!$A$3:$A$3390,Q$1,'United Data'!$C$3:$C$3390,$A766,'United Data'!$B$3:$B$3390,"&lt;&gt;Off-street")&gt;0,1,0)</f>
        <v>0</v>
      </c>
      <c r="R766">
        <f>IF(COUNTIFS('United Data'!$A$3:$A$3390,R$1,'United Data'!$C$3:$C$3390,$A766,'United Data'!$B$3:$B$3390,"&lt;&gt;Off-street")&gt;0,1,0)</f>
        <v>0</v>
      </c>
      <c r="S766">
        <f t="shared" si="22"/>
        <v>1</v>
      </c>
      <c r="T766">
        <f t="shared" si="23"/>
        <v>1</v>
      </c>
    </row>
    <row r="767" spans="1:20" x14ac:dyDescent="0.2">
      <c r="A767" t="s">
        <v>915</v>
      </c>
      <c r="B767">
        <f>IF(COUNTIFS('United Data'!$A$3:$A$3390,B$1,'United Data'!$C$3:$C$3390,$A767,'United Data'!$B$3:$B$3390,"&lt;&gt;Off-street")&gt;0,1,0)</f>
        <v>0</v>
      </c>
      <c r="C767">
        <f>IF(COUNTIFS('United Data'!$A$3:$A$3390,C$1,'United Data'!$C$3:$C$3390,$A767,'United Data'!$B$3:$B$3390,"&lt;&gt;Off-street")&gt;0,1,0)</f>
        <v>0</v>
      </c>
      <c r="D767">
        <f>IF(COUNTIFS('United Data'!$A$3:$A$3390,D$1,'United Data'!$C$3:$C$3390,$A767,'United Data'!$B$3:$B$3390,"&lt;&gt;Off-street")&gt;0,1,0)</f>
        <v>0</v>
      </c>
      <c r="E767">
        <f>IF(COUNTIFS('United Data'!$A$3:$A$3390,E$1,'United Data'!$C$3:$C$3390,$A767,'United Data'!$B$3:$B$3390,"&lt;&gt;Off-street")&gt;0,1,0)</f>
        <v>1</v>
      </c>
      <c r="F767">
        <f>IF(COUNTIFS('United Data'!$A$3:$A$3390,F$1,'United Data'!$C$3:$C$3390,$A767,'United Data'!$B$3:$B$3390,"&lt;&gt;Off-street")&gt;0,1,0)</f>
        <v>1</v>
      </c>
      <c r="G767">
        <f>IF(COUNTIFS('United Data'!$A$3:$A$3390,G$1,'United Data'!$C$3:$C$3390,$A767,'United Data'!$B$3:$B$3390,"&lt;&gt;Off-street")&gt;0,1,0)</f>
        <v>0</v>
      </c>
      <c r="H767">
        <f>IF(COUNTIFS('United Data'!$A$3:$A$3390,H$1,'United Data'!$C$3:$C$3390,$A767,'United Data'!$B$3:$B$3390,"&lt;&gt;Off-street")&gt;0,1,0)</f>
        <v>0</v>
      </c>
      <c r="I767">
        <f>IF(COUNTIFS('United Data'!$A$3:$A$3390,I$1,'United Data'!$C$3:$C$3390,$A767,'United Data'!$B$3:$B$3390,"&lt;&gt;Off-street")&gt;0,1,0)</f>
        <v>0</v>
      </c>
      <c r="J767">
        <f>IF(COUNTIFS('United Data'!$A$3:$A$3390,J$1,'United Data'!$C$3:$C$3390,$A767,'United Data'!$B$3:$B$3390,"&lt;&gt;Off-street")&gt;0,1,0)</f>
        <v>1</v>
      </c>
      <c r="K767">
        <f>IF(COUNTIFS('United Data'!$A$3:$A$3390,K$1,'United Data'!$C$3:$C$3390,$A767,'United Data'!$B$3:$B$3390,"&lt;&gt;Off-street")&gt;0,1,0)</f>
        <v>0</v>
      </c>
      <c r="L767">
        <f>IF(COUNTIFS('United Data'!$A$3:$A$3390,L$1,'United Data'!$C$3:$C$3390,$A767,'United Data'!$B$3:$B$3390,"&lt;&gt;Off-street")&gt;0,1,0)</f>
        <v>0</v>
      </c>
      <c r="M767">
        <f>IF(COUNTIFS('United Data'!$A$3:$A$3390,M$1,'United Data'!$C$3:$C$3390,$A767,'United Data'!$B$3:$B$3390,"&lt;&gt;Off-street")&gt;0,1,0)</f>
        <v>0</v>
      </c>
      <c r="N767">
        <f>IF(COUNTIFS('United Data'!$A$3:$A$3390,N$1,'United Data'!$C$3:$C$3390,$A767,'United Data'!$B$3:$B$3390,"&lt;&gt;Off-street")&gt;0,1,0)</f>
        <v>0</v>
      </c>
      <c r="O767">
        <f>IF(COUNTIFS('United Data'!$A$3:$A$3390,O$1,'United Data'!$C$3:$C$3390,$A767,'United Data'!$B$3:$B$3390,"&lt;&gt;Off-street")&gt;0,1,0)</f>
        <v>0</v>
      </c>
      <c r="P767">
        <f>IF(COUNTIFS('United Data'!$A$3:$A$3390,P$1,'United Data'!$C$3:$C$3390,$A767,'United Data'!$B$3:$B$3390,"&lt;&gt;Off-street")&gt;0,1,0)</f>
        <v>0</v>
      </c>
      <c r="Q767">
        <f>IF(COUNTIFS('United Data'!$A$3:$A$3390,Q$1,'United Data'!$C$3:$C$3390,$A767,'United Data'!$B$3:$B$3390,"&lt;&gt;Off-street")&gt;0,1,0)</f>
        <v>0</v>
      </c>
      <c r="R767">
        <f>IF(COUNTIFS('United Data'!$A$3:$A$3390,R$1,'United Data'!$C$3:$C$3390,$A767,'United Data'!$B$3:$B$3390,"&lt;&gt;Off-street")&gt;0,1,0)</f>
        <v>0</v>
      </c>
      <c r="S767">
        <f t="shared" si="22"/>
        <v>3</v>
      </c>
      <c r="T767">
        <f t="shared" si="23"/>
        <v>2</v>
      </c>
    </row>
    <row r="768" spans="1:20" x14ac:dyDescent="0.2">
      <c r="A768" t="s">
        <v>918</v>
      </c>
      <c r="B768">
        <f>IF(COUNTIFS('United Data'!$A$3:$A$3390,B$1,'United Data'!$C$3:$C$3390,$A768,'United Data'!$B$3:$B$3390,"&lt;&gt;Off-street")&gt;0,1,0)</f>
        <v>0</v>
      </c>
      <c r="C768">
        <f>IF(COUNTIFS('United Data'!$A$3:$A$3390,C$1,'United Data'!$C$3:$C$3390,$A768,'United Data'!$B$3:$B$3390,"&lt;&gt;Off-street")&gt;0,1,0)</f>
        <v>0</v>
      </c>
      <c r="D768">
        <f>IF(COUNTIFS('United Data'!$A$3:$A$3390,D$1,'United Data'!$C$3:$C$3390,$A768,'United Data'!$B$3:$B$3390,"&lt;&gt;Off-street")&gt;0,1,0)</f>
        <v>0</v>
      </c>
      <c r="E768">
        <f>IF(COUNTIFS('United Data'!$A$3:$A$3390,E$1,'United Data'!$C$3:$C$3390,$A768,'United Data'!$B$3:$B$3390,"&lt;&gt;Off-street")&gt;0,1,0)</f>
        <v>1</v>
      </c>
      <c r="F768">
        <f>IF(COUNTIFS('United Data'!$A$3:$A$3390,F$1,'United Data'!$C$3:$C$3390,$A768,'United Data'!$B$3:$B$3390,"&lt;&gt;Off-street")&gt;0,1,0)</f>
        <v>0</v>
      </c>
      <c r="G768">
        <f>IF(COUNTIFS('United Data'!$A$3:$A$3390,G$1,'United Data'!$C$3:$C$3390,$A768,'United Data'!$B$3:$B$3390,"&lt;&gt;Off-street")&gt;0,1,0)</f>
        <v>0</v>
      </c>
      <c r="H768">
        <f>IF(COUNTIFS('United Data'!$A$3:$A$3390,H$1,'United Data'!$C$3:$C$3390,$A768,'United Data'!$B$3:$B$3390,"&lt;&gt;Off-street")&gt;0,1,0)</f>
        <v>0</v>
      </c>
      <c r="I768">
        <f>IF(COUNTIFS('United Data'!$A$3:$A$3390,I$1,'United Data'!$C$3:$C$3390,$A768,'United Data'!$B$3:$B$3390,"&lt;&gt;Off-street")&gt;0,1,0)</f>
        <v>1</v>
      </c>
      <c r="J768">
        <f>IF(COUNTIFS('United Data'!$A$3:$A$3390,J$1,'United Data'!$C$3:$C$3390,$A768,'United Data'!$B$3:$B$3390,"&lt;&gt;Off-street")&gt;0,1,0)</f>
        <v>1</v>
      </c>
      <c r="K768">
        <f>IF(COUNTIFS('United Data'!$A$3:$A$3390,K$1,'United Data'!$C$3:$C$3390,$A768,'United Data'!$B$3:$B$3390,"&lt;&gt;Off-street")&gt;0,1,0)</f>
        <v>0</v>
      </c>
      <c r="L768">
        <f>IF(COUNTIFS('United Data'!$A$3:$A$3390,L$1,'United Data'!$C$3:$C$3390,$A768,'United Data'!$B$3:$B$3390,"&lt;&gt;Off-street")&gt;0,1,0)</f>
        <v>0</v>
      </c>
      <c r="M768">
        <f>IF(COUNTIFS('United Data'!$A$3:$A$3390,M$1,'United Data'!$C$3:$C$3390,$A768,'United Data'!$B$3:$B$3390,"&lt;&gt;Off-street")&gt;0,1,0)</f>
        <v>0</v>
      </c>
      <c r="N768">
        <f>IF(COUNTIFS('United Data'!$A$3:$A$3390,N$1,'United Data'!$C$3:$C$3390,$A768,'United Data'!$B$3:$B$3390,"&lt;&gt;Off-street")&gt;0,1,0)</f>
        <v>0</v>
      </c>
      <c r="O768">
        <f>IF(COUNTIFS('United Data'!$A$3:$A$3390,O$1,'United Data'!$C$3:$C$3390,$A768,'United Data'!$B$3:$B$3390,"&lt;&gt;Off-street")&gt;0,1,0)</f>
        <v>0</v>
      </c>
      <c r="P768">
        <f>IF(COUNTIFS('United Data'!$A$3:$A$3390,P$1,'United Data'!$C$3:$C$3390,$A768,'United Data'!$B$3:$B$3390,"&lt;&gt;Off-street")&gt;0,1,0)</f>
        <v>0</v>
      </c>
      <c r="Q768">
        <f>IF(COUNTIFS('United Data'!$A$3:$A$3390,Q$1,'United Data'!$C$3:$C$3390,$A768,'United Data'!$B$3:$B$3390,"&lt;&gt;Off-street")&gt;0,1,0)</f>
        <v>0</v>
      </c>
      <c r="R768">
        <f>IF(COUNTIFS('United Data'!$A$3:$A$3390,R$1,'United Data'!$C$3:$C$3390,$A768,'United Data'!$B$3:$B$3390,"&lt;&gt;Off-street")&gt;0,1,0)</f>
        <v>0</v>
      </c>
      <c r="S768">
        <f t="shared" si="22"/>
        <v>3</v>
      </c>
      <c r="T768">
        <f t="shared" si="23"/>
        <v>2</v>
      </c>
    </row>
    <row r="769" spans="1:20" x14ac:dyDescent="0.2">
      <c r="A769" t="s">
        <v>919</v>
      </c>
      <c r="B769">
        <f>IF(COUNTIFS('United Data'!$A$3:$A$3390,B$1,'United Data'!$C$3:$C$3390,$A769,'United Data'!$B$3:$B$3390,"&lt;&gt;Off-street")&gt;0,1,0)</f>
        <v>0</v>
      </c>
      <c r="C769">
        <f>IF(COUNTIFS('United Data'!$A$3:$A$3390,C$1,'United Data'!$C$3:$C$3390,$A769,'United Data'!$B$3:$B$3390,"&lt;&gt;Off-street")&gt;0,1,0)</f>
        <v>0</v>
      </c>
      <c r="D769">
        <f>IF(COUNTIFS('United Data'!$A$3:$A$3390,D$1,'United Data'!$C$3:$C$3390,$A769,'United Data'!$B$3:$B$3390,"&lt;&gt;Off-street")&gt;0,1,0)</f>
        <v>0</v>
      </c>
      <c r="E769">
        <f>IF(COUNTIFS('United Data'!$A$3:$A$3390,E$1,'United Data'!$C$3:$C$3390,$A769,'United Data'!$B$3:$B$3390,"&lt;&gt;Off-street")&gt;0,1,0)</f>
        <v>0</v>
      </c>
      <c r="F769">
        <f>IF(COUNTIFS('United Data'!$A$3:$A$3390,F$1,'United Data'!$C$3:$C$3390,$A769,'United Data'!$B$3:$B$3390,"&lt;&gt;Off-street")&gt;0,1,0)</f>
        <v>1</v>
      </c>
      <c r="G769">
        <f>IF(COUNTIFS('United Data'!$A$3:$A$3390,G$1,'United Data'!$C$3:$C$3390,$A769,'United Data'!$B$3:$B$3390,"&lt;&gt;Off-street")&gt;0,1,0)</f>
        <v>0</v>
      </c>
      <c r="H769">
        <f>IF(COUNTIFS('United Data'!$A$3:$A$3390,H$1,'United Data'!$C$3:$C$3390,$A769,'United Data'!$B$3:$B$3390,"&lt;&gt;Off-street")&gt;0,1,0)</f>
        <v>0</v>
      </c>
      <c r="I769">
        <f>IF(COUNTIFS('United Data'!$A$3:$A$3390,I$1,'United Data'!$C$3:$C$3390,$A769,'United Data'!$B$3:$B$3390,"&lt;&gt;Off-street")&gt;0,1,0)</f>
        <v>0</v>
      </c>
      <c r="J769">
        <f>IF(COUNTIFS('United Data'!$A$3:$A$3390,J$1,'United Data'!$C$3:$C$3390,$A769,'United Data'!$B$3:$B$3390,"&lt;&gt;Off-street")&gt;0,1,0)</f>
        <v>1</v>
      </c>
      <c r="K769">
        <f>IF(COUNTIFS('United Data'!$A$3:$A$3390,K$1,'United Data'!$C$3:$C$3390,$A769,'United Data'!$B$3:$B$3390,"&lt;&gt;Off-street")&gt;0,1,0)</f>
        <v>0</v>
      </c>
      <c r="L769">
        <f>IF(COUNTIFS('United Data'!$A$3:$A$3390,L$1,'United Data'!$C$3:$C$3390,$A769,'United Data'!$B$3:$B$3390,"&lt;&gt;Off-street")&gt;0,1,0)</f>
        <v>0</v>
      </c>
      <c r="M769">
        <f>IF(COUNTIFS('United Data'!$A$3:$A$3390,M$1,'United Data'!$C$3:$C$3390,$A769,'United Data'!$B$3:$B$3390,"&lt;&gt;Off-street")&gt;0,1,0)</f>
        <v>0</v>
      </c>
      <c r="N769">
        <f>IF(COUNTIFS('United Data'!$A$3:$A$3390,N$1,'United Data'!$C$3:$C$3390,$A769,'United Data'!$B$3:$B$3390,"&lt;&gt;Off-street")&gt;0,1,0)</f>
        <v>0</v>
      </c>
      <c r="O769">
        <f>IF(COUNTIFS('United Data'!$A$3:$A$3390,O$1,'United Data'!$C$3:$C$3390,$A769,'United Data'!$B$3:$B$3390,"&lt;&gt;Off-street")&gt;0,1,0)</f>
        <v>0</v>
      </c>
      <c r="P769">
        <f>IF(COUNTIFS('United Data'!$A$3:$A$3390,P$1,'United Data'!$C$3:$C$3390,$A769,'United Data'!$B$3:$B$3390,"&lt;&gt;Off-street")&gt;0,1,0)</f>
        <v>0</v>
      </c>
      <c r="Q769">
        <f>IF(COUNTIFS('United Data'!$A$3:$A$3390,Q$1,'United Data'!$C$3:$C$3390,$A769,'United Data'!$B$3:$B$3390,"&lt;&gt;Off-street")&gt;0,1,0)</f>
        <v>0</v>
      </c>
      <c r="R769">
        <f>IF(COUNTIFS('United Data'!$A$3:$A$3390,R$1,'United Data'!$C$3:$C$3390,$A769,'United Data'!$B$3:$B$3390,"&lt;&gt;Off-street")&gt;0,1,0)</f>
        <v>0</v>
      </c>
      <c r="S769">
        <f t="shared" si="22"/>
        <v>2</v>
      </c>
      <c r="T769">
        <f t="shared" si="23"/>
        <v>2</v>
      </c>
    </row>
    <row r="770" spans="1:20" x14ac:dyDescent="0.2">
      <c r="A770" t="s">
        <v>921</v>
      </c>
      <c r="B770">
        <f>IF(COUNTIFS('United Data'!$A$3:$A$3390,B$1,'United Data'!$C$3:$C$3390,$A770,'United Data'!$B$3:$B$3390,"&lt;&gt;Off-street")&gt;0,1,0)</f>
        <v>0</v>
      </c>
      <c r="C770">
        <f>IF(COUNTIFS('United Data'!$A$3:$A$3390,C$1,'United Data'!$C$3:$C$3390,$A770,'United Data'!$B$3:$B$3390,"&lt;&gt;Off-street")&gt;0,1,0)</f>
        <v>0</v>
      </c>
      <c r="D770">
        <f>IF(COUNTIFS('United Data'!$A$3:$A$3390,D$1,'United Data'!$C$3:$C$3390,$A770,'United Data'!$B$3:$B$3390,"&lt;&gt;Off-street")&gt;0,1,0)</f>
        <v>0</v>
      </c>
      <c r="E770">
        <f>IF(COUNTIFS('United Data'!$A$3:$A$3390,E$1,'United Data'!$C$3:$C$3390,$A770,'United Data'!$B$3:$B$3390,"&lt;&gt;Off-street")&gt;0,1,0)</f>
        <v>0</v>
      </c>
      <c r="F770">
        <f>IF(COUNTIFS('United Data'!$A$3:$A$3390,F$1,'United Data'!$C$3:$C$3390,$A770,'United Data'!$B$3:$B$3390,"&lt;&gt;Off-street")&gt;0,1,0)</f>
        <v>1</v>
      </c>
      <c r="G770">
        <f>IF(COUNTIFS('United Data'!$A$3:$A$3390,G$1,'United Data'!$C$3:$C$3390,$A770,'United Data'!$B$3:$B$3390,"&lt;&gt;Off-street")&gt;0,1,0)</f>
        <v>0</v>
      </c>
      <c r="H770">
        <f>IF(COUNTIFS('United Data'!$A$3:$A$3390,H$1,'United Data'!$C$3:$C$3390,$A770,'United Data'!$B$3:$B$3390,"&lt;&gt;Off-street")&gt;0,1,0)</f>
        <v>0</v>
      </c>
      <c r="I770">
        <f>IF(COUNTIFS('United Data'!$A$3:$A$3390,I$1,'United Data'!$C$3:$C$3390,$A770,'United Data'!$B$3:$B$3390,"&lt;&gt;Off-street")&gt;0,1,0)</f>
        <v>0</v>
      </c>
      <c r="J770">
        <f>IF(COUNTIFS('United Data'!$A$3:$A$3390,J$1,'United Data'!$C$3:$C$3390,$A770,'United Data'!$B$3:$B$3390,"&lt;&gt;Off-street")&gt;0,1,0)</f>
        <v>0</v>
      </c>
      <c r="K770">
        <f>IF(COUNTIFS('United Data'!$A$3:$A$3390,K$1,'United Data'!$C$3:$C$3390,$A770,'United Data'!$B$3:$B$3390,"&lt;&gt;Off-street")&gt;0,1,0)</f>
        <v>0</v>
      </c>
      <c r="L770">
        <f>IF(COUNTIFS('United Data'!$A$3:$A$3390,L$1,'United Data'!$C$3:$C$3390,$A770,'United Data'!$B$3:$B$3390,"&lt;&gt;Off-street")&gt;0,1,0)</f>
        <v>0</v>
      </c>
      <c r="M770">
        <f>IF(COUNTIFS('United Data'!$A$3:$A$3390,M$1,'United Data'!$C$3:$C$3390,$A770,'United Data'!$B$3:$B$3390,"&lt;&gt;Off-street")&gt;0,1,0)</f>
        <v>0</v>
      </c>
      <c r="N770">
        <f>IF(COUNTIFS('United Data'!$A$3:$A$3390,N$1,'United Data'!$C$3:$C$3390,$A770,'United Data'!$B$3:$B$3390,"&lt;&gt;Off-street")&gt;0,1,0)</f>
        <v>0</v>
      </c>
      <c r="O770">
        <f>IF(COUNTIFS('United Data'!$A$3:$A$3390,O$1,'United Data'!$C$3:$C$3390,$A770,'United Data'!$B$3:$B$3390,"&lt;&gt;Off-street")&gt;0,1,0)</f>
        <v>0</v>
      </c>
      <c r="P770">
        <f>IF(COUNTIFS('United Data'!$A$3:$A$3390,P$1,'United Data'!$C$3:$C$3390,$A770,'United Data'!$B$3:$B$3390,"&lt;&gt;Off-street")&gt;0,1,0)</f>
        <v>0</v>
      </c>
      <c r="Q770">
        <f>IF(COUNTIFS('United Data'!$A$3:$A$3390,Q$1,'United Data'!$C$3:$C$3390,$A770,'United Data'!$B$3:$B$3390,"&lt;&gt;Off-street")&gt;0,1,0)</f>
        <v>0</v>
      </c>
      <c r="R770">
        <f>IF(COUNTIFS('United Data'!$A$3:$A$3390,R$1,'United Data'!$C$3:$C$3390,$A770,'United Data'!$B$3:$B$3390,"&lt;&gt;Off-street")&gt;0,1,0)</f>
        <v>0</v>
      </c>
      <c r="S770">
        <f t="shared" ref="S770:S833" si="24">SUM(B770:R770)</f>
        <v>1</v>
      </c>
      <c r="T770">
        <f t="shared" ref="T770:T833" si="25">B770+SUMPRODUCT(--(C770:R770&gt;B770:Q770))</f>
        <v>1</v>
      </c>
    </row>
    <row r="771" spans="1:20" x14ac:dyDescent="0.2">
      <c r="A771" t="s">
        <v>924</v>
      </c>
      <c r="B771">
        <f>IF(COUNTIFS('United Data'!$A$3:$A$3390,B$1,'United Data'!$C$3:$C$3390,$A771,'United Data'!$B$3:$B$3390,"&lt;&gt;Off-street")&gt;0,1,0)</f>
        <v>0</v>
      </c>
      <c r="C771">
        <f>IF(COUNTIFS('United Data'!$A$3:$A$3390,C$1,'United Data'!$C$3:$C$3390,$A771,'United Data'!$B$3:$B$3390,"&lt;&gt;Off-street")&gt;0,1,0)</f>
        <v>0</v>
      </c>
      <c r="D771">
        <f>IF(COUNTIFS('United Data'!$A$3:$A$3390,D$1,'United Data'!$C$3:$C$3390,$A771,'United Data'!$B$3:$B$3390,"&lt;&gt;Off-street")&gt;0,1,0)</f>
        <v>0</v>
      </c>
      <c r="E771">
        <f>IF(COUNTIFS('United Data'!$A$3:$A$3390,E$1,'United Data'!$C$3:$C$3390,$A771,'United Data'!$B$3:$B$3390,"&lt;&gt;Off-street")&gt;0,1,0)</f>
        <v>0</v>
      </c>
      <c r="F771">
        <f>IF(COUNTIFS('United Data'!$A$3:$A$3390,F$1,'United Data'!$C$3:$C$3390,$A771,'United Data'!$B$3:$B$3390,"&lt;&gt;Off-street")&gt;0,1,0)</f>
        <v>1</v>
      </c>
      <c r="G771">
        <f>IF(COUNTIFS('United Data'!$A$3:$A$3390,G$1,'United Data'!$C$3:$C$3390,$A771,'United Data'!$B$3:$B$3390,"&lt;&gt;Off-street")&gt;0,1,0)</f>
        <v>0</v>
      </c>
      <c r="H771">
        <f>IF(COUNTIFS('United Data'!$A$3:$A$3390,H$1,'United Data'!$C$3:$C$3390,$A771,'United Data'!$B$3:$B$3390,"&lt;&gt;Off-street")&gt;0,1,0)</f>
        <v>0</v>
      </c>
      <c r="I771">
        <f>IF(COUNTIFS('United Data'!$A$3:$A$3390,I$1,'United Data'!$C$3:$C$3390,$A771,'United Data'!$B$3:$B$3390,"&lt;&gt;Off-street")&gt;0,1,0)</f>
        <v>0</v>
      </c>
      <c r="J771">
        <f>IF(COUNTIFS('United Data'!$A$3:$A$3390,J$1,'United Data'!$C$3:$C$3390,$A771,'United Data'!$B$3:$B$3390,"&lt;&gt;Off-street")&gt;0,1,0)</f>
        <v>0</v>
      </c>
      <c r="K771">
        <f>IF(COUNTIFS('United Data'!$A$3:$A$3390,K$1,'United Data'!$C$3:$C$3390,$A771,'United Data'!$B$3:$B$3390,"&lt;&gt;Off-street")&gt;0,1,0)</f>
        <v>0</v>
      </c>
      <c r="L771">
        <f>IF(COUNTIFS('United Data'!$A$3:$A$3390,L$1,'United Data'!$C$3:$C$3390,$A771,'United Data'!$B$3:$B$3390,"&lt;&gt;Off-street")&gt;0,1,0)</f>
        <v>0</v>
      </c>
      <c r="M771">
        <f>IF(COUNTIFS('United Data'!$A$3:$A$3390,M$1,'United Data'!$C$3:$C$3390,$A771,'United Data'!$B$3:$B$3390,"&lt;&gt;Off-street")&gt;0,1,0)</f>
        <v>0</v>
      </c>
      <c r="N771">
        <f>IF(COUNTIFS('United Data'!$A$3:$A$3390,N$1,'United Data'!$C$3:$C$3390,$A771,'United Data'!$B$3:$B$3390,"&lt;&gt;Off-street")&gt;0,1,0)</f>
        <v>0</v>
      </c>
      <c r="O771">
        <f>IF(COUNTIFS('United Data'!$A$3:$A$3390,O$1,'United Data'!$C$3:$C$3390,$A771,'United Data'!$B$3:$B$3390,"&lt;&gt;Off-street")&gt;0,1,0)</f>
        <v>0</v>
      </c>
      <c r="P771">
        <f>IF(COUNTIFS('United Data'!$A$3:$A$3390,P$1,'United Data'!$C$3:$C$3390,$A771,'United Data'!$B$3:$B$3390,"&lt;&gt;Off-street")&gt;0,1,0)</f>
        <v>0</v>
      </c>
      <c r="Q771">
        <f>IF(COUNTIFS('United Data'!$A$3:$A$3390,Q$1,'United Data'!$C$3:$C$3390,$A771,'United Data'!$B$3:$B$3390,"&lt;&gt;Off-street")&gt;0,1,0)</f>
        <v>0</v>
      </c>
      <c r="R771">
        <f>IF(COUNTIFS('United Data'!$A$3:$A$3390,R$1,'United Data'!$C$3:$C$3390,$A771,'United Data'!$B$3:$B$3390,"&lt;&gt;Off-street")&gt;0,1,0)</f>
        <v>0</v>
      </c>
      <c r="S771">
        <f t="shared" si="24"/>
        <v>1</v>
      </c>
      <c r="T771">
        <f t="shared" si="25"/>
        <v>1</v>
      </c>
    </row>
    <row r="772" spans="1:20" x14ac:dyDescent="0.2">
      <c r="A772" t="s">
        <v>925</v>
      </c>
      <c r="B772">
        <f>IF(COUNTIFS('United Data'!$A$3:$A$3390,B$1,'United Data'!$C$3:$C$3390,$A772,'United Data'!$B$3:$B$3390,"&lt;&gt;Off-street")&gt;0,1,0)</f>
        <v>0</v>
      </c>
      <c r="C772">
        <f>IF(COUNTIFS('United Data'!$A$3:$A$3390,C$1,'United Data'!$C$3:$C$3390,$A772,'United Data'!$B$3:$B$3390,"&lt;&gt;Off-street")&gt;0,1,0)</f>
        <v>0</v>
      </c>
      <c r="D772">
        <f>IF(COUNTIFS('United Data'!$A$3:$A$3390,D$1,'United Data'!$C$3:$C$3390,$A772,'United Data'!$B$3:$B$3390,"&lt;&gt;Off-street")&gt;0,1,0)</f>
        <v>0</v>
      </c>
      <c r="E772">
        <f>IF(COUNTIFS('United Data'!$A$3:$A$3390,E$1,'United Data'!$C$3:$C$3390,$A772,'United Data'!$B$3:$B$3390,"&lt;&gt;Off-street")&gt;0,1,0)</f>
        <v>0</v>
      </c>
      <c r="F772">
        <f>IF(COUNTIFS('United Data'!$A$3:$A$3390,F$1,'United Data'!$C$3:$C$3390,$A772,'United Data'!$B$3:$B$3390,"&lt;&gt;Off-street")&gt;0,1,0)</f>
        <v>1</v>
      </c>
      <c r="G772">
        <f>IF(COUNTIFS('United Data'!$A$3:$A$3390,G$1,'United Data'!$C$3:$C$3390,$A772,'United Data'!$B$3:$B$3390,"&lt;&gt;Off-street")&gt;0,1,0)</f>
        <v>0</v>
      </c>
      <c r="H772">
        <f>IF(COUNTIFS('United Data'!$A$3:$A$3390,H$1,'United Data'!$C$3:$C$3390,$A772,'United Data'!$B$3:$B$3390,"&lt;&gt;Off-street")&gt;0,1,0)</f>
        <v>0</v>
      </c>
      <c r="I772">
        <f>IF(COUNTIFS('United Data'!$A$3:$A$3390,I$1,'United Data'!$C$3:$C$3390,$A772,'United Data'!$B$3:$B$3390,"&lt;&gt;Off-street")&gt;0,1,0)</f>
        <v>0</v>
      </c>
      <c r="J772">
        <f>IF(COUNTIFS('United Data'!$A$3:$A$3390,J$1,'United Data'!$C$3:$C$3390,$A772,'United Data'!$B$3:$B$3390,"&lt;&gt;Off-street")&gt;0,1,0)</f>
        <v>0</v>
      </c>
      <c r="K772">
        <f>IF(COUNTIFS('United Data'!$A$3:$A$3390,K$1,'United Data'!$C$3:$C$3390,$A772,'United Data'!$B$3:$B$3390,"&lt;&gt;Off-street")&gt;0,1,0)</f>
        <v>0</v>
      </c>
      <c r="L772">
        <f>IF(COUNTIFS('United Data'!$A$3:$A$3390,L$1,'United Data'!$C$3:$C$3390,$A772,'United Data'!$B$3:$B$3390,"&lt;&gt;Off-street")&gt;0,1,0)</f>
        <v>0</v>
      </c>
      <c r="M772">
        <f>IF(COUNTIFS('United Data'!$A$3:$A$3390,M$1,'United Data'!$C$3:$C$3390,$A772,'United Data'!$B$3:$B$3390,"&lt;&gt;Off-street")&gt;0,1,0)</f>
        <v>0</v>
      </c>
      <c r="N772">
        <f>IF(COUNTIFS('United Data'!$A$3:$A$3390,N$1,'United Data'!$C$3:$C$3390,$A772,'United Data'!$B$3:$B$3390,"&lt;&gt;Off-street")&gt;0,1,0)</f>
        <v>0</v>
      </c>
      <c r="O772">
        <f>IF(COUNTIFS('United Data'!$A$3:$A$3390,O$1,'United Data'!$C$3:$C$3390,$A772,'United Data'!$B$3:$B$3390,"&lt;&gt;Off-street")&gt;0,1,0)</f>
        <v>0</v>
      </c>
      <c r="P772">
        <f>IF(COUNTIFS('United Data'!$A$3:$A$3390,P$1,'United Data'!$C$3:$C$3390,$A772,'United Data'!$B$3:$B$3390,"&lt;&gt;Off-street")&gt;0,1,0)</f>
        <v>0</v>
      </c>
      <c r="Q772">
        <f>IF(COUNTIFS('United Data'!$A$3:$A$3390,Q$1,'United Data'!$C$3:$C$3390,$A772,'United Data'!$B$3:$B$3390,"&lt;&gt;Off-street")&gt;0,1,0)</f>
        <v>0</v>
      </c>
      <c r="R772">
        <f>IF(COUNTIFS('United Data'!$A$3:$A$3390,R$1,'United Data'!$C$3:$C$3390,$A772,'United Data'!$B$3:$B$3390,"&lt;&gt;Off-street")&gt;0,1,0)</f>
        <v>0</v>
      </c>
      <c r="S772">
        <f t="shared" si="24"/>
        <v>1</v>
      </c>
      <c r="T772">
        <f t="shared" si="25"/>
        <v>1</v>
      </c>
    </row>
    <row r="773" spans="1:20" x14ac:dyDescent="0.2">
      <c r="A773" t="s">
        <v>926</v>
      </c>
      <c r="B773">
        <f>IF(COUNTIFS('United Data'!$A$3:$A$3390,B$1,'United Data'!$C$3:$C$3390,$A773,'United Data'!$B$3:$B$3390,"&lt;&gt;Off-street")&gt;0,1,0)</f>
        <v>0</v>
      </c>
      <c r="C773">
        <f>IF(COUNTIFS('United Data'!$A$3:$A$3390,C$1,'United Data'!$C$3:$C$3390,$A773,'United Data'!$B$3:$B$3390,"&lt;&gt;Off-street")&gt;0,1,0)</f>
        <v>0</v>
      </c>
      <c r="D773">
        <f>IF(COUNTIFS('United Data'!$A$3:$A$3390,D$1,'United Data'!$C$3:$C$3390,$A773,'United Data'!$B$3:$B$3390,"&lt;&gt;Off-street")&gt;0,1,0)</f>
        <v>0</v>
      </c>
      <c r="E773">
        <f>IF(COUNTIFS('United Data'!$A$3:$A$3390,E$1,'United Data'!$C$3:$C$3390,$A773,'United Data'!$B$3:$B$3390,"&lt;&gt;Off-street")&gt;0,1,0)</f>
        <v>0</v>
      </c>
      <c r="F773">
        <f>IF(COUNTIFS('United Data'!$A$3:$A$3390,F$1,'United Data'!$C$3:$C$3390,$A773,'United Data'!$B$3:$B$3390,"&lt;&gt;Off-street")&gt;0,1,0)</f>
        <v>1</v>
      </c>
      <c r="G773">
        <f>IF(COUNTIFS('United Data'!$A$3:$A$3390,G$1,'United Data'!$C$3:$C$3390,$A773,'United Data'!$B$3:$B$3390,"&lt;&gt;Off-street")&gt;0,1,0)</f>
        <v>0</v>
      </c>
      <c r="H773">
        <f>IF(COUNTIFS('United Data'!$A$3:$A$3390,H$1,'United Data'!$C$3:$C$3390,$A773,'United Data'!$B$3:$B$3390,"&lt;&gt;Off-street")&gt;0,1,0)</f>
        <v>1</v>
      </c>
      <c r="I773">
        <f>IF(COUNTIFS('United Data'!$A$3:$A$3390,I$1,'United Data'!$C$3:$C$3390,$A773,'United Data'!$B$3:$B$3390,"&lt;&gt;Off-street")&gt;0,1,0)</f>
        <v>0</v>
      </c>
      <c r="J773">
        <f>IF(COUNTIFS('United Data'!$A$3:$A$3390,J$1,'United Data'!$C$3:$C$3390,$A773,'United Data'!$B$3:$B$3390,"&lt;&gt;Off-street")&gt;0,1,0)</f>
        <v>0</v>
      </c>
      <c r="K773">
        <f>IF(COUNTIFS('United Data'!$A$3:$A$3390,K$1,'United Data'!$C$3:$C$3390,$A773,'United Data'!$B$3:$B$3390,"&lt;&gt;Off-street")&gt;0,1,0)</f>
        <v>0</v>
      </c>
      <c r="L773">
        <f>IF(COUNTIFS('United Data'!$A$3:$A$3390,L$1,'United Data'!$C$3:$C$3390,$A773,'United Data'!$B$3:$B$3390,"&lt;&gt;Off-street")&gt;0,1,0)</f>
        <v>0</v>
      </c>
      <c r="M773">
        <f>IF(COUNTIFS('United Data'!$A$3:$A$3390,M$1,'United Data'!$C$3:$C$3390,$A773,'United Data'!$B$3:$B$3390,"&lt;&gt;Off-street")&gt;0,1,0)</f>
        <v>0</v>
      </c>
      <c r="N773">
        <f>IF(COUNTIFS('United Data'!$A$3:$A$3390,N$1,'United Data'!$C$3:$C$3390,$A773,'United Data'!$B$3:$B$3390,"&lt;&gt;Off-street")&gt;0,1,0)</f>
        <v>0</v>
      </c>
      <c r="O773">
        <f>IF(COUNTIFS('United Data'!$A$3:$A$3390,O$1,'United Data'!$C$3:$C$3390,$A773,'United Data'!$B$3:$B$3390,"&lt;&gt;Off-street")&gt;0,1,0)</f>
        <v>0</v>
      </c>
      <c r="P773">
        <f>IF(COUNTIFS('United Data'!$A$3:$A$3390,P$1,'United Data'!$C$3:$C$3390,$A773,'United Data'!$B$3:$B$3390,"&lt;&gt;Off-street")&gt;0,1,0)</f>
        <v>0</v>
      </c>
      <c r="Q773">
        <f>IF(COUNTIFS('United Data'!$A$3:$A$3390,Q$1,'United Data'!$C$3:$C$3390,$A773,'United Data'!$B$3:$B$3390,"&lt;&gt;Off-street")&gt;0,1,0)</f>
        <v>0</v>
      </c>
      <c r="R773">
        <f>IF(COUNTIFS('United Data'!$A$3:$A$3390,R$1,'United Data'!$C$3:$C$3390,$A773,'United Data'!$B$3:$B$3390,"&lt;&gt;Off-street")&gt;0,1,0)</f>
        <v>0</v>
      </c>
      <c r="S773">
        <f t="shared" si="24"/>
        <v>2</v>
      </c>
      <c r="T773">
        <f t="shared" si="25"/>
        <v>2</v>
      </c>
    </row>
    <row r="774" spans="1:20" x14ac:dyDescent="0.2">
      <c r="A774" t="s">
        <v>927</v>
      </c>
      <c r="B774">
        <f>IF(COUNTIFS('United Data'!$A$3:$A$3390,B$1,'United Data'!$C$3:$C$3390,$A774,'United Data'!$B$3:$B$3390,"&lt;&gt;Off-street")&gt;0,1,0)</f>
        <v>0</v>
      </c>
      <c r="C774">
        <f>IF(COUNTIFS('United Data'!$A$3:$A$3390,C$1,'United Data'!$C$3:$C$3390,$A774,'United Data'!$B$3:$B$3390,"&lt;&gt;Off-street")&gt;0,1,0)</f>
        <v>0</v>
      </c>
      <c r="D774">
        <f>IF(COUNTIFS('United Data'!$A$3:$A$3390,D$1,'United Data'!$C$3:$C$3390,$A774,'United Data'!$B$3:$B$3390,"&lt;&gt;Off-street")&gt;0,1,0)</f>
        <v>0</v>
      </c>
      <c r="E774">
        <f>IF(COUNTIFS('United Data'!$A$3:$A$3390,E$1,'United Data'!$C$3:$C$3390,$A774,'United Data'!$B$3:$B$3390,"&lt;&gt;Off-street")&gt;0,1,0)</f>
        <v>0</v>
      </c>
      <c r="F774">
        <f>IF(COUNTIFS('United Data'!$A$3:$A$3390,F$1,'United Data'!$C$3:$C$3390,$A774,'United Data'!$B$3:$B$3390,"&lt;&gt;Off-street")&gt;0,1,0)</f>
        <v>0</v>
      </c>
      <c r="G774">
        <f>IF(COUNTIFS('United Data'!$A$3:$A$3390,G$1,'United Data'!$C$3:$C$3390,$A774,'United Data'!$B$3:$B$3390,"&lt;&gt;Off-street")&gt;0,1,0)</f>
        <v>1</v>
      </c>
      <c r="H774">
        <f>IF(COUNTIFS('United Data'!$A$3:$A$3390,H$1,'United Data'!$C$3:$C$3390,$A774,'United Data'!$B$3:$B$3390,"&lt;&gt;Off-street")&gt;0,1,0)</f>
        <v>0</v>
      </c>
      <c r="I774">
        <f>IF(COUNTIFS('United Data'!$A$3:$A$3390,I$1,'United Data'!$C$3:$C$3390,$A774,'United Data'!$B$3:$B$3390,"&lt;&gt;Off-street")&gt;0,1,0)</f>
        <v>0</v>
      </c>
      <c r="J774">
        <f>IF(COUNTIFS('United Data'!$A$3:$A$3390,J$1,'United Data'!$C$3:$C$3390,$A774,'United Data'!$B$3:$B$3390,"&lt;&gt;Off-street")&gt;0,1,0)</f>
        <v>0</v>
      </c>
      <c r="K774">
        <f>IF(COUNTIFS('United Data'!$A$3:$A$3390,K$1,'United Data'!$C$3:$C$3390,$A774,'United Data'!$B$3:$B$3390,"&lt;&gt;Off-street")&gt;0,1,0)</f>
        <v>0</v>
      </c>
      <c r="L774">
        <f>IF(COUNTIFS('United Data'!$A$3:$A$3390,L$1,'United Data'!$C$3:$C$3390,$A774,'United Data'!$B$3:$B$3390,"&lt;&gt;Off-street")&gt;0,1,0)</f>
        <v>0</v>
      </c>
      <c r="M774">
        <f>IF(COUNTIFS('United Data'!$A$3:$A$3390,M$1,'United Data'!$C$3:$C$3390,$A774,'United Data'!$B$3:$B$3390,"&lt;&gt;Off-street")&gt;0,1,0)</f>
        <v>0</v>
      </c>
      <c r="N774">
        <f>IF(COUNTIFS('United Data'!$A$3:$A$3390,N$1,'United Data'!$C$3:$C$3390,$A774,'United Data'!$B$3:$B$3390,"&lt;&gt;Off-street")&gt;0,1,0)</f>
        <v>0</v>
      </c>
      <c r="O774">
        <f>IF(COUNTIFS('United Data'!$A$3:$A$3390,O$1,'United Data'!$C$3:$C$3390,$A774,'United Data'!$B$3:$B$3390,"&lt;&gt;Off-street")&gt;0,1,0)</f>
        <v>0</v>
      </c>
      <c r="P774">
        <f>IF(COUNTIFS('United Data'!$A$3:$A$3390,P$1,'United Data'!$C$3:$C$3390,$A774,'United Data'!$B$3:$B$3390,"&lt;&gt;Off-street")&gt;0,1,0)</f>
        <v>0</v>
      </c>
      <c r="Q774">
        <f>IF(COUNTIFS('United Data'!$A$3:$A$3390,Q$1,'United Data'!$C$3:$C$3390,$A774,'United Data'!$B$3:$B$3390,"&lt;&gt;Off-street")&gt;0,1,0)</f>
        <v>0</v>
      </c>
      <c r="R774">
        <f>IF(COUNTIFS('United Data'!$A$3:$A$3390,R$1,'United Data'!$C$3:$C$3390,$A774,'United Data'!$B$3:$B$3390,"&lt;&gt;Off-street")&gt;0,1,0)</f>
        <v>0</v>
      </c>
      <c r="S774">
        <f t="shared" si="24"/>
        <v>1</v>
      </c>
      <c r="T774">
        <f t="shared" si="25"/>
        <v>1</v>
      </c>
    </row>
    <row r="775" spans="1:20" x14ac:dyDescent="0.2">
      <c r="A775" t="s">
        <v>928</v>
      </c>
      <c r="B775">
        <f>IF(COUNTIFS('United Data'!$A$3:$A$3390,B$1,'United Data'!$C$3:$C$3390,$A775,'United Data'!$B$3:$B$3390,"&lt;&gt;Off-street")&gt;0,1,0)</f>
        <v>0</v>
      </c>
      <c r="C775">
        <f>IF(COUNTIFS('United Data'!$A$3:$A$3390,C$1,'United Data'!$C$3:$C$3390,$A775,'United Data'!$B$3:$B$3390,"&lt;&gt;Off-street")&gt;0,1,0)</f>
        <v>0</v>
      </c>
      <c r="D775">
        <f>IF(COUNTIFS('United Data'!$A$3:$A$3390,D$1,'United Data'!$C$3:$C$3390,$A775,'United Data'!$B$3:$B$3390,"&lt;&gt;Off-street")&gt;0,1,0)</f>
        <v>0</v>
      </c>
      <c r="E775">
        <f>IF(COUNTIFS('United Data'!$A$3:$A$3390,E$1,'United Data'!$C$3:$C$3390,$A775,'United Data'!$B$3:$B$3390,"&lt;&gt;Off-street")&gt;0,1,0)</f>
        <v>0</v>
      </c>
      <c r="F775">
        <f>IF(COUNTIFS('United Data'!$A$3:$A$3390,F$1,'United Data'!$C$3:$C$3390,$A775,'United Data'!$B$3:$B$3390,"&lt;&gt;Off-street")&gt;0,1,0)</f>
        <v>0</v>
      </c>
      <c r="G775">
        <f>IF(COUNTIFS('United Data'!$A$3:$A$3390,G$1,'United Data'!$C$3:$C$3390,$A775,'United Data'!$B$3:$B$3390,"&lt;&gt;Off-street")&gt;0,1,0)</f>
        <v>1</v>
      </c>
      <c r="H775">
        <f>IF(COUNTIFS('United Data'!$A$3:$A$3390,H$1,'United Data'!$C$3:$C$3390,$A775,'United Data'!$B$3:$B$3390,"&lt;&gt;Off-street")&gt;0,1,0)</f>
        <v>0</v>
      </c>
      <c r="I775">
        <f>IF(COUNTIFS('United Data'!$A$3:$A$3390,I$1,'United Data'!$C$3:$C$3390,$A775,'United Data'!$B$3:$B$3390,"&lt;&gt;Off-street")&gt;0,1,0)</f>
        <v>0</v>
      </c>
      <c r="J775">
        <f>IF(COUNTIFS('United Data'!$A$3:$A$3390,J$1,'United Data'!$C$3:$C$3390,$A775,'United Data'!$B$3:$B$3390,"&lt;&gt;Off-street")&gt;0,1,0)</f>
        <v>0</v>
      </c>
      <c r="K775">
        <f>IF(COUNTIFS('United Data'!$A$3:$A$3390,K$1,'United Data'!$C$3:$C$3390,$A775,'United Data'!$B$3:$B$3390,"&lt;&gt;Off-street")&gt;0,1,0)</f>
        <v>0</v>
      </c>
      <c r="L775">
        <f>IF(COUNTIFS('United Data'!$A$3:$A$3390,L$1,'United Data'!$C$3:$C$3390,$A775,'United Data'!$B$3:$B$3390,"&lt;&gt;Off-street")&gt;0,1,0)</f>
        <v>0</v>
      </c>
      <c r="M775">
        <f>IF(COUNTIFS('United Data'!$A$3:$A$3390,M$1,'United Data'!$C$3:$C$3390,$A775,'United Data'!$B$3:$B$3390,"&lt;&gt;Off-street")&gt;0,1,0)</f>
        <v>0</v>
      </c>
      <c r="N775">
        <f>IF(COUNTIFS('United Data'!$A$3:$A$3390,N$1,'United Data'!$C$3:$C$3390,$A775,'United Data'!$B$3:$B$3390,"&lt;&gt;Off-street")&gt;0,1,0)</f>
        <v>0</v>
      </c>
      <c r="O775">
        <f>IF(COUNTIFS('United Data'!$A$3:$A$3390,O$1,'United Data'!$C$3:$C$3390,$A775,'United Data'!$B$3:$B$3390,"&lt;&gt;Off-street")&gt;0,1,0)</f>
        <v>0</v>
      </c>
      <c r="P775">
        <f>IF(COUNTIFS('United Data'!$A$3:$A$3390,P$1,'United Data'!$C$3:$C$3390,$A775,'United Data'!$B$3:$B$3390,"&lt;&gt;Off-street")&gt;0,1,0)</f>
        <v>0</v>
      </c>
      <c r="Q775">
        <f>IF(COUNTIFS('United Data'!$A$3:$A$3390,Q$1,'United Data'!$C$3:$C$3390,$A775,'United Data'!$B$3:$B$3390,"&lt;&gt;Off-street")&gt;0,1,0)</f>
        <v>0</v>
      </c>
      <c r="R775">
        <f>IF(COUNTIFS('United Data'!$A$3:$A$3390,R$1,'United Data'!$C$3:$C$3390,$A775,'United Data'!$B$3:$B$3390,"&lt;&gt;Off-street")&gt;0,1,0)</f>
        <v>0</v>
      </c>
      <c r="S775">
        <f t="shared" si="24"/>
        <v>1</v>
      </c>
      <c r="T775">
        <f t="shared" si="25"/>
        <v>1</v>
      </c>
    </row>
    <row r="776" spans="1:20" x14ac:dyDescent="0.2">
      <c r="A776" t="s">
        <v>929</v>
      </c>
      <c r="B776">
        <f>IF(COUNTIFS('United Data'!$A$3:$A$3390,B$1,'United Data'!$C$3:$C$3390,$A776,'United Data'!$B$3:$B$3390,"&lt;&gt;Off-street")&gt;0,1,0)</f>
        <v>0</v>
      </c>
      <c r="C776">
        <f>IF(COUNTIFS('United Data'!$A$3:$A$3390,C$1,'United Data'!$C$3:$C$3390,$A776,'United Data'!$B$3:$B$3390,"&lt;&gt;Off-street")&gt;0,1,0)</f>
        <v>0</v>
      </c>
      <c r="D776">
        <f>IF(COUNTIFS('United Data'!$A$3:$A$3390,D$1,'United Data'!$C$3:$C$3390,$A776,'United Data'!$B$3:$B$3390,"&lt;&gt;Off-street")&gt;0,1,0)</f>
        <v>0</v>
      </c>
      <c r="E776">
        <f>IF(COUNTIFS('United Data'!$A$3:$A$3390,E$1,'United Data'!$C$3:$C$3390,$A776,'United Data'!$B$3:$B$3390,"&lt;&gt;Off-street")&gt;0,1,0)</f>
        <v>0</v>
      </c>
      <c r="F776">
        <f>IF(COUNTIFS('United Data'!$A$3:$A$3390,F$1,'United Data'!$C$3:$C$3390,$A776,'United Data'!$B$3:$B$3390,"&lt;&gt;Off-street")&gt;0,1,0)</f>
        <v>0</v>
      </c>
      <c r="G776">
        <f>IF(COUNTIFS('United Data'!$A$3:$A$3390,G$1,'United Data'!$C$3:$C$3390,$A776,'United Data'!$B$3:$B$3390,"&lt;&gt;Off-street")&gt;0,1,0)</f>
        <v>0</v>
      </c>
      <c r="H776">
        <f>IF(COUNTIFS('United Data'!$A$3:$A$3390,H$1,'United Data'!$C$3:$C$3390,$A776,'United Data'!$B$3:$B$3390,"&lt;&gt;Off-street")&gt;0,1,0)</f>
        <v>1</v>
      </c>
      <c r="I776">
        <f>IF(COUNTIFS('United Data'!$A$3:$A$3390,I$1,'United Data'!$C$3:$C$3390,$A776,'United Data'!$B$3:$B$3390,"&lt;&gt;Off-street")&gt;0,1,0)</f>
        <v>0</v>
      </c>
      <c r="J776">
        <f>IF(COUNTIFS('United Data'!$A$3:$A$3390,J$1,'United Data'!$C$3:$C$3390,$A776,'United Data'!$B$3:$B$3390,"&lt;&gt;Off-street")&gt;0,1,0)</f>
        <v>0</v>
      </c>
      <c r="K776">
        <f>IF(COUNTIFS('United Data'!$A$3:$A$3390,K$1,'United Data'!$C$3:$C$3390,$A776,'United Data'!$B$3:$B$3390,"&lt;&gt;Off-street")&gt;0,1,0)</f>
        <v>0</v>
      </c>
      <c r="L776">
        <f>IF(COUNTIFS('United Data'!$A$3:$A$3390,L$1,'United Data'!$C$3:$C$3390,$A776,'United Data'!$B$3:$B$3390,"&lt;&gt;Off-street")&gt;0,1,0)</f>
        <v>0</v>
      </c>
      <c r="M776">
        <f>IF(COUNTIFS('United Data'!$A$3:$A$3390,M$1,'United Data'!$C$3:$C$3390,$A776,'United Data'!$B$3:$B$3390,"&lt;&gt;Off-street")&gt;0,1,0)</f>
        <v>0</v>
      </c>
      <c r="N776">
        <f>IF(COUNTIFS('United Data'!$A$3:$A$3390,N$1,'United Data'!$C$3:$C$3390,$A776,'United Data'!$B$3:$B$3390,"&lt;&gt;Off-street")&gt;0,1,0)</f>
        <v>0</v>
      </c>
      <c r="O776">
        <f>IF(COUNTIFS('United Data'!$A$3:$A$3390,O$1,'United Data'!$C$3:$C$3390,$A776,'United Data'!$B$3:$B$3390,"&lt;&gt;Off-street")&gt;0,1,0)</f>
        <v>0</v>
      </c>
      <c r="P776">
        <f>IF(COUNTIFS('United Data'!$A$3:$A$3390,P$1,'United Data'!$C$3:$C$3390,$A776,'United Data'!$B$3:$B$3390,"&lt;&gt;Off-street")&gt;0,1,0)</f>
        <v>0</v>
      </c>
      <c r="Q776">
        <f>IF(COUNTIFS('United Data'!$A$3:$A$3390,Q$1,'United Data'!$C$3:$C$3390,$A776,'United Data'!$B$3:$B$3390,"&lt;&gt;Off-street")&gt;0,1,0)</f>
        <v>0</v>
      </c>
      <c r="R776">
        <f>IF(COUNTIFS('United Data'!$A$3:$A$3390,R$1,'United Data'!$C$3:$C$3390,$A776,'United Data'!$B$3:$B$3390,"&lt;&gt;Off-street")&gt;0,1,0)</f>
        <v>0</v>
      </c>
      <c r="S776">
        <f t="shared" si="24"/>
        <v>1</v>
      </c>
      <c r="T776">
        <f t="shared" si="25"/>
        <v>1</v>
      </c>
    </row>
    <row r="777" spans="1:20" x14ac:dyDescent="0.2">
      <c r="A777" t="s">
        <v>931</v>
      </c>
      <c r="B777">
        <f>IF(COUNTIFS('United Data'!$A$3:$A$3390,B$1,'United Data'!$C$3:$C$3390,$A777,'United Data'!$B$3:$B$3390,"&lt;&gt;Off-street")&gt;0,1,0)</f>
        <v>0</v>
      </c>
      <c r="C777">
        <f>IF(COUNTIFS('United Data'!$A$3:$A$3390,C$1,'United Data'!$C$3:$C$3390,$A777,'United Data'!$B$3:$B$3390,"&lt;&gt;Off-street")&gt;0,1,0)</f>
        <v>0</v>
      </c>
      <c r="D777">
        <f>IF(COUNTIFS('United Data'!$A$3:$A$3390,D$1,'United Data'!$C$3:$C$3390,$A777,'United Data'!$B$3:$B$3390,"&lt;&gt;Off-street")&gt;0,1,0)</f>
        <v>0</v>
      </c>
      <c r="E777">
        <f>IF(COUNTIFS('United Data'!$A$3:$A$3390,E$1,'United Data'!$C$3:$C$3390,$A777,'United Data'!$B$3:$B$3390,"&lt;&gt;Off-street")&gt;0,1,0)</f>
        <v>0</v>
      </c>
      <c r="F777">
        <f>IF(COUNTIFS('United Data'!$A$3:$A$3390,F$1,'United Data'!$C$3:$C$3390,$A777,'United Data'!$B$3:$B$3390,"&lt;&gt;Off-street")&gt;0,1,0)</f>
        <v>0</v>
      </c>
      <c r="G777">
        <f>IF(COUNTIFS('United Data'!$A$3:$A$3390,G$1,'United Data'!$C$3:$C$3390,$A777,'United Data'!$B$3:$B$3390,"&lt;&gt;Off-street")&gt;0,1,0)</f>
        <v>0</v>
      </c>
      <c r="H777">
        <f>IF(COUNTIFS('United Data'!$A$3:$A$3390,H$1,'United Data'!$C$3:$C$3390,$A777,'United Data'!$B$3:$B$3390,"&lt;&gt;Off-street")&gt;0,1,0)</f>
        <v>1</v>
      </c>
      <c r="I777">
        <f>IF(COUNTIFS('United Data'!$A$3:$A$3390,I$1,'United Data'!$C$3:$C$3390,$A777,'United Data'!$B$3:$B$3390,"&lt;&gt;Off-street")&gt;0,1,0)</f>
        <v>0</v>
      </c>
      <c r="J777">
        <f>IF(COUNTIFS('United Data'!$A$3:$A$3390,J$1,'United Data'!$C$3:$C$3390,$A777,'United Data'!$B$3:$B$3390,"&lt;&gt;Off-street")&gt;0,1,0)</f>
        <v>0</v>
      </c>
      <c r="K777">
        <f>IF(COUNTIFS('United Data'!$A$3:$A$3390,K$1,'United Data'!$C$3:$C$3390,$A777,'United Data'!$B$3:$B$3390,"&lt;&gt;Off-street")&gt;0,1,0)</f>
        <v>0</v>
      </c>
      <c r="L777">
        <f>IF(COUNTIFS('United Data'!$A$3:$A$3390,L$1,'United Data'!$C$3:$C$3390,$A777,'United Data'!$B$3:$B$3390,"&lt;&gt;Off-street")&gt;0,1,0)</f>
        <v>0</v>
      </c>
      <c r="M777">
        <f>IF(COUNTIFS('United Data'!$A$3:$A$3390,M$1,'United Data'!$C$3:$C$3390,$A777,'United Data'!$B$3:$B$3390,"&lt;&gt;Off-street")&gt;0,1,0)</f>
        <v>0</v>
      </c>
      <c r="N777">
        <f>IF(COUNTIFS('United Data'!$A$3:$A$3390,N$1,'United Data'!$C$3:$C$3390,$A777,'United Data'!$B$3:$B$3390,"&lt;&gt;Off-street")&gt;0,1,0)</f>
        <v>0</v>
      </c>
      <c r="O777">
        <f>IF(COUNTIFS('United Data'!$A$3:$A$3390,O$1,'United Data'!$C$3:$C$3390,$A777,'United Data'!$B$3:$B$3390,"&lt;&gt;Off-street")&gt;0,1,0)</f>
        <v>0</v>
      </c>
      <c r="P777">
        <f>IF(COUNTIFS('United Data'!$A$3:$A$3390,P$1,'United Data'!$C$3:$C$3390,$A777,'United Data'!$B$3:$B$3390,"&lt;&gt;Off-street")&gt;0,1,0)</f>
        <v>0</v>
      </c>
      <c r="Q777">
        <f>IF(COUNTIFS('United Data'!$A$3:$A$3390,Q$1,'United Data'!$C$3:$C$3390,$A777,'United Data'!$B$3:$B$3390,"&lt;&gt;Off-street")&gt;0,1,0)</f>
        <v>0</v>
      </c>
      <c r="R777">
        <f>IF(COUNTIFS('United Data'!$A$3:$A$3390,R$1,'United Data'!$C$3:$C$3390,$A777,'United Data'!$B$3:$B$3390,"&lt;&gt;Off-street")&gt;0,1,0)</f>
        <v>0</v>
      </c>
      <c r="S777">
        <f t="shared" si="24"/>
        <v>1</v>
      </c>
      <c r="T777">
        <f t="shared" si="25"/>
        <v>1</v>
      </c>
    </row>
    <row r="778" spans="1:20" x14ac:dyDescent="0.2">
      <c r="A778" t="s">
        <v>932</v>
      </c>
      <c r="B778">
        <f>IF(COUNTIFS('United Data'!$A$3:$A$3390,B$1,'United Data'!$C$3:$C$3390,$A778,'United Data'!$B$3:$B$3390,"&lt;&gt;Off-street")&gt;0,1,0)</f>
        <v>0</v>
      </c>
      <c r="C778">
        <f>IF(COUNTIFS('United Data'!$A$3:$A$3390,C$1,'United Data'!$C$3:$C$3390,$A778,'United Data'!$B$3:$B$3390,"&lt;&gt;Off-street")&gt;0,1,0)</f>
        <v>0</v>
      </c>
      <c r="D778">
        <f>IF(COUNTIFS('United Data'!$A$3:$A$3390,D$1,'United Data'!$C$3:$C$3390,$A778,'United Data'!$B$3:$B$3390,"&lt;&gt;Off-street")&gt;0,1,0)</f>
        <v>0</v>
      </c>
      <c r="E778">
        <f>IF(COUNTIFS('United Data'!$A$3:$A$3390,E$1,'United Data'!$C$3:$C$3390,$A778,'United Data'!$B$3:$B$3390,"&lt;&gt;Off-street")&gt;0,1,0)</f>
        <v>0</v>
      </c>
      <c r="F778">
        <f>IF(COUNTIFS('United Data'!$A$3:$A$3390,F$1,'United Data'!$C$3:$C$3390,$A778,'United Data'!$B$3:$B$3390,"&lt;&gt;Off-street")&gt;0,1,0)</f>
        <v>0</v>
      </c>
      <c r="G778">
        <f>IF(COUNTIFS('United Data'!$A$3:$A$3390,G$1,'United Data'!$C$3:$C$3390,$A778,'United Data'!$B$3:$B$3390,"&lt;&gt;Off-street")&gt;0,1,0)</f>
        <v>0</v>
      </c>
      <c r="H778">
        <f>IF(COUNTIFS('United Data'!$A$3:$A$3390,H$1,'United Data'!$C$3:$C$3390,$A778,'United Data'!$B$3:$B$3390,"&lt;&gt;Off-street")&gt;0,1,0)</f>
        <v>1</v>
      </c>
      <c r="I778">
        <f>IF(COUNTIFS('United Data'!$A$3:$A$3390,I$1,'United Data'!$C$3:$C$3390,$A778,'United Data'!$B$3:$B$3390,"&lt;&gt;Off-street")&gt;0,1,0)</f>
        <v>0</v>
      </c>
      <c r="J778">
        <f>IF(COUNTIFS('United Data'!$A$3:$A$3390,J$1,'United Data'!$C$3:$C$3390,$A778,'United Data'!$B$3:$B$3390,"&lt;&gt;Off-street")&gt;0,1,0)</f>
        <v>0</v>
      </c>
      <c r="K778">
        <f>IF(COUNTIFS('United Data'!$A$3:$A$3390,K$1,'United Data'!$C$3:$C$3390,$A778,'United Data'!$B$3:$B$3390,"&lt;&gt;Off-street")&gt;0,1,0)</f>
        <v>0</v>
      </c>
      <c r="L778">
        <f>IF(COUNTIFS('United Data'!$A$3:$A$3390,L$1,'United Data'!$C$3:$C$3390,$A778,'United Data'!$B$3:$B$3390,"&lt;&gt;Off-street")&gt;0,1,0)</f>
        <v>0</v>
      </c>
      <c r="M778">
        <f>IF(COUNTIFS('United Data'!$A$3:$A$3390,M$1,'United Data'!$C$3:$C$3390,$A778,'United Data'!$B$3:$B$3390,"&lt;&gt;Off-street")&gt;0,1,0)</f>
        <v>0</v>
      </c>
      <c r="N778">
        <f>IF(COUNTIFS('United Data'!$A$3:$A$3390,N$1,'United Data'!$C$3:$C$3390,$A778,'United Data'!$B$3:$B$3390,"&lt;&gt;Off-street")&gt;0,1,0)</f>
        <v>0</v>
      </c>
      <c r="O778">
        <f>IF(COUNTIFS('United Data'!$A$3:$A$3390,O$1,'United Data'!$C$3:$C$3390,$A778,'United Data'!$B$3:$B$3390,"&lt;&gt;Off-street")&gt;0,1,0)</f>
        <v>0</v>
      </c>
      <c r="P778">
        <f>IF(COUNTIFS('United Data'!$A$3:$A$3390,P$1,'United Data'!$C$3:$C$3390,$A778,'United Data'!$B$3:$B$3390,"&lt;&gt;Off-street")&gt;0,1,0)</f>
        <v>0</v>
      </c>
      <c r="Q778">
        <f>IF(COUNTIFS('United Data'!$A$3:$A$3390,Q$1,'United Data'!$C$3:$C$3390,$A778,'United Data'!$B$3:$B$3390,"&lt;&gt;Off-street")&gt;0,1,0)</f>
        <v>0</v>
      </c>
      <c r="R778">
        <f>IF(COUNTIFS('United Data'!$A$3:$A$3390,R$1,'United Data'!$C$3:$C$3390,$A778,'United Data'!$B$3:$B$3390,"&lt;&gt;Off-street")&gt;0,1,0)</f>
        <v>0</v>
      </c>
      <c r="S778">
        <f t="shared" si="24"/>
        <v>1</v>
      </c>
      <c r="T778">
        <f t="shared" si="25"/>
        <v>1</v>
      </c>
    </row>
    <row r="779" spans="1:20" x14ac:dyDescent="0.2">
      <c r="A779" t="s">
        <v>933</v>
      </c>
      <c r="B779">
        <f>IF(COUNTIFS('United Data'!$A$3:$A$3390,B$1,'United Data'!$C$3:$C$3390,$A779,'United Data'!$B$3:$B$3390,"&lt;&gt;Off-street")&gt;0,1,0)</f>
        <v>0</v>
      </c>
      <c r="C779">
        <f>IF(COUNTIFS('United Data'!$A$3:$A$3390,C$1,'United Data'!$C$3:$C$3390,$A779,'United Data'!$B$3:$B$3390,"&lt;&gt;Off-street")&gt;0,1,0)</f>
        <v>0</v>
      </c>
      <c r="D779">
        <f>IF(COUNTIFS('United Data'!$A$3:$A$3390,D$1,'United Data'!$C$3:$C$3390,$A779,'United Data'!$B$3:$B$3390,"&lt;&gt;Off-street")&gt;0,1,0)</f>
        <v>0</v>
      </c>
      <c r="E779">
        <f>IF(COUNTIFS('United Data'!$A$3:$A$3390,E$1,'United Data'!$C$3:$C$3390,$A779,'United Data'!$B$3:$B$3390,"&lt;&gt;Off-street")&gt;0,1,0)</f>
        <v>0</v>
      </c>
      <c r="F779">
        <f>IF(COUNTIFS('United Data'!$A$3:$A$3390,F$1,'United Data'!$C$3:$C$3390,$A779,'United Data'!$B$3:$B$3390,"&lt;&gt;Off-street")&gt;0,1,0)</f>
        <v>0</v>
      </c>
      <c r="G779">
        <f>IF(COUNTIFS('United Data'!$A$3:$A$3390,G$1,'United Data'!$C$3:$C$3390,$A779,'United Data'!$B$3:$B$3390,"&lt;&gt;Off-street")&gt;0,1,0)</f>
        <v>0</v>
      </c>
      <c r="H779">
        <f>IF(COUNTIFS('United Data'!$A$3:$A$3390,H$1,'United Data'!$C$3:$C$3390,$A779,'United Data'!$B$3:$B$3390,"&lt;&gt;Off-street")&gt;0,1,0)</f>
        <v>0</v>
      </c>
      <c r="I779">
        <f>IF(COUNTIFS('United Data'!$A$3:$A$3390,I$1,'United Data'!$C$3:$C$3390,$A779,'United Data'!$B$3:$B$3390,"&lt;&gt;Off-street")&gt;0,1,0)</f>
        <v>1</v>
      </c>
      <c r="J779">
        <f>IF(COUNTIFS('United Data'!$A$3:$A$3390,J$1,'United Data'!$C$3:$C$3390,$A779,'United Data'!$B$3:$B$3390,"&lt;&gt;Off-street")&gt;0,1,0)</f>
        <v>0</v>
      </c>
      <c r="K779">
        <f>IF(COUNTIFS('United Data'!$A$3:$A$3390,K$1,'United Data'!$C$3:$C$3390,$A779,'United Data'!$B$3:$B$3390,"&lt;&gt;Off-street")&gt;0,1,0)</f>
        <v>0</v>
      </c>
      <c r="L779">
        <f>IF(COUNTIFS('United Data'!$A$3:$A$3390,L$1,'United Data'!$C$3:$C$3390,$A779,'United Data'!$B$3:$B$3390,"&lt;&gt;Off-street")&gt;0,1,0)</f>
        <v>0</v>
      </c>
      <c r="M779">
        <f>IF(COUNTIFS('United Data'!$A$3:$A$3390,M$1,'United Data'!$C$3:$C$3390,$A779,'United Data'!$B$3:$B$3390,"&lt;&gt;Off-street")&gt;0,1,0)</f>
        <v>0</v>
      </c>
      <c r="N779">
        <f>IF(COUNTIFS('United Data'!$A$3:$A$3390,N$1,'United Data'!$C$3:$C$3390,$A779,'United Data'!$B$3:$B$3390,"&lt;&gt;Off-street")&gt;0,1,0)</f>
        <v>0</v>
      </c>
      <c r="O779">
        <f>IF(COUNTIFS('United Data'!$A$3:$A$3390,O$1,'United Data'!$C$3:$C$3390,$A779,'United Data'!$B$3:$B$3390,"&lt;&gt;Off-street")&gt;0,1,0)</f>
        <v>0</v>
      </c>
      <c r="P779">
        <f>IF(COUNTIFS('United Data'!$A$3:$A$3390,P$1,'United Data'!$C$3:$C$3390,$A779,'United Data'!$B$3:$B$3390,"&lt;&gt;Off-street")&gt;0,1,0)</f>
        <v>0</v>
      </c>
      <c r="Q779">
        <f>IF(COUNTIFS('United Data'!$A$3:$A$3390,Q$1,'United Data'!$C$3:$C$3390,$A779,'United Data'!$B$3:$B$3390,"&lt;&gt;Off-street")&gt;0,1,0)</f>
        <v>0</v>
      </c>
      <c r="R779">
        <f>IF(COUNTIFS('United Data'!$A$3:$A$3390,R$1,'United Data'!$C$3:$C$3390,$A779,'United Data'!$B$3:$B$3390,"&lt;&gt;Off-street")&gt;0,1,0)</f>
        <v>0</v>
      </c>
      <c r="S779">
        <f t="shared" si="24"/>
        <v>1</v>
      </c>
      <c r="T779">
        <f t="shared" si="25"/>
        <v>1</v>
      </c>
    </row>
    <row r="780" spans="1:20" x14ac:dyDescent="0.2">
      <c r="A780" t="s">
        <v>934</v>
      </c>
      <c r="B780">
        <f>IF(COUNTIFS('United Data'!$A$3:$A$3390,B$1,'United Data'!$C$3:$C$3390,$A780,'United Data'!$B$3:$B$3390,"&lt;&gt;Off-street")&gt;0,1,0)</f>
        <v>0</v>
      </c>
      <c r="C780">
        <f>IF(COUNTIFS('United Data'!$A$3:$A$3390,C$1,'United Data'!$C$3:$C$3390,$A780,'United Data'!$B$3:$B$3390,"&lt;&gt;Off-street")&gt;0,1,0)</f>
        <v>0</v>
      </c>
      <c r="D780">
        <f>IF(COUNTIFS('United Data'!$A$3:$A$3390,D$1,'United Data'!$C$3:$C$3390,$A780,'United Data'!$B$3:$B$3390,"&lt;&gt;Off-street")&gt;0,1,0)</f>
        <v>0</v>
      </c>
      <c r="E780">
        <f>IF(COUNTIFS('United Data'!$A$3:$A$3390,E$1,'United Data'!$C$3:$C$3390,$A780,'United Data'!$B$3:$B$3390,"&lt;&gt;Off-street")&gt;0,1,0)</f>
        <v>0</v>
      </c>
      <c r="F780">
        <f>IF(COUNTIFS('United Data'!$A$3:$A$3390,F$1,'United Data'!$C$3:$C$3390,$A780,'United Data'!$B$3:$B$3390,"&lt;&gt;Off-street")&gt;0,1,0)</f>
        <v>0</v>
      </c>
      <c r="G780">
        <f>IF(COUNTIFS('United Data'!$A$3:$A$3390,G$1,'United Data'!$C$3:$C$3390,$A780,'United Data'!$B$3:$B$3390,"&lt;&gt;Off-street")&gt;0,1,0)</f>
        <v>0</v>
      </c>
      <c r="H780">
        <f>IF(COUNTIFS('United Data'!$A$3:$A$3390,H$1,'United Data'!$C$3:$C$3390,$A780,'United Data'!$B$3:$B$3390,"&lt;&gt;Off-street")&gt;0,1,0)</f>
        <v>0</v>
      </c>
      <c r="I780">
        <f>IF(COUNTIFS('United Data'!$A$3:$A$3390,I$1,'United Data'!$C$3:$C$3390,$A780,'United Data'!$B$3:$B$3390,"&lt;&gt;Off-street")&gt;0,1,0)</f>
        <v>1</v>
      </c>
      <c r="J780">
        <f>IF(COUNTIFS('United Data'!$A$3:$A$3390,J$1,'United Data'!$C$3:$C$3390,$A780,'United Data'!$B$3:$B$3390,"&lt;&gt;Off-street")&gt;0,1,0)</f>
        <v>0</v>
      </c>
      <c r="K780">
        <f>IF(COUNTIFS('United Data'!$A$3:$A$3390,K$1,'United Data'!$C$3:$C$3390,$A780,'United Data'!$B$3:$B$3390,"&lt;&gt;Off-street")&gt;0,1,0)</f>
        <v>0</v>
      </c>
      <c r="L780">
        <f>IF(COUNTIFS('United Data'!$A$3:$A$3390,L$1,'United Data'!$C$3:$C$3390,$A780,'United Data'!$B$3:$B$3390,"&lt;&gt;Off-street")&gt;0,1,0)</f>
        <v>0</v>
      </c>
      <c r="M780">
        <f>IF(COUNTIFS('United Data'!$A$3:$A$3390,M$1,'United Data'!$C$3:$C$3390,$A780,'United Data'!$B$3:$B$3390,"&lt;&gt;Off-street")&gt;0,1,0)</f>
        <v>1</v>
      </c>
      <c r="N780">
        <f>IF(COUNTIFS('United Data'!$A$3:$A$3390,N$1,'United Data'!$C$3:$C$3390,$A780,'United Data'!$B$3:$B$3390,"&lt;&gt;Off-street")&gt;0,1,0)</f>
        <v>0</v>
      </c>
      <c r="O780">
        <f>IF(COUNTIFS('United Data'!$A$3:$A$3390,O$1,'United Data'!$C$3:$C$3390,$A780,'United Data'!$B$3:$B$3390,"&lt;&gt;Off-street")&gt;0,1,0)</f>
        <v>0</v>
      </c>
      <c r="P780">
        <f>IF(COUNTIFS('United Data'!$A$3:$A$3390,P$1,'United Data'!$C$3:$C$3390,$A780,'United Data'!$B$3:$B$3390,"&lt;&gt;Off-street")&gt;0,1,0)</f>
        <v>0</v>
      </c>
      <c r="Q780">
        <f>IF(COUNTIFS('United Data'!$A$3:$A$3390,Q$1,'United Data'!$C$3:$C$3390,$A780,'United Data'!$B$3:$B$3390,"&lt;&gt;Off-street")&gt;0,1,0)</f>
        <v>0</v>
      </c>
      <c r="R780">
        <f>IF(COUNTIFS('United Data'!$A$3:$A$3390,R$1,'United Data'!$C$3:$C$3390,$A780,'United Data'!$B$3:$B$3390,"&lt;&gt;Off-street")&gt;0,1,0)</f>
        <v>0</v>
      </c>
      <c r="S780">
        <f t="shared" si="24"/>
        <v>2</v>
      </c>
      <c r="T780">
        <f t="shared" si="25"/>
        <v>2</v>
      </c>
    </row>
    <row r="781" spans="1:20" x14ac:dyDescent="0.2">
      <c r="A781" t="s">
        <v>935</v>
      </c>
      <c r="B781">
        <f>IF(COUNTIFS('United Data'!$A$3:$A$3390,B$1,'United Data'!$C$3:$C$3390,$A781,'United Data'!$B$3:$B$3390,"&lt;&gt;Off-street")&gt;0,1,0)</f>
        <v>0</v>
      </c>
      <c r="C781">
        <f>IF(COUNTIFS('United Data'!$A$3:$A$3390,C$1,'United Data'!$C$3:$C$3390,$A781,'United Data'!$B$3:$B$3390,"&lt;&gt;Off-street")&gt;0,1,0)</f>
        <v>0</v>
      </c>
      <c r="D781">
        <f>IF(COUNTIFS('United Data'!$A$3:$A$3390,D$1,'United Data'!$C$3:$C$3390,$A781,'United Data'!$B$3:$B$3390,"&lt;&gt;Off-street")&gt;0,1,0)</f>
        <v>0</v>
      </c>
      <c r="E781">
        <f>IF(COUNTIFS('United Data'!$A$3:$A$3390,E$1,'United Data'!$C$3:$C$3390,$A781,'United Data'!$B$3:$B$3390,"&lt;&gt;Off-street")&gt;0,1,0)</f>
        <v>0</v>
      </c>
      <c r="F781">
        <f>IF(COUNTIFS('United Data'!$A$3:$A$3390,F$1,'United Data'!$C$3:$C$3390,$A781,'United Data'!$B$3:$B$3390,"&lt;&gt;Off-street")&gt;0,1,0)</f>
        <v>0</v>
      </c>
      <c r="G781">
        <f>IF(COUNTIFS('United Data'!$A$3:$A$3390,G$1,'United Data'!$C$3:$C$3390,$A781,'United Data'!$B$3:$B$3390,"&lt;&gt;Off-street")&gt;0,1,0)</f>
        <v>0</v>
      </c>
      <c r="H781">
        <f>IF(COUNTIFS('United Data'!$A$3:$A$3390,H$1,'United Data'!$C$3:$C$3390,$A781,'United Data'!$B$3:$B$3390,"&lt;&gt;Off-street")&gt;0,1,0)</f>
        <v>0</v>
      </c>
      <c r="I781">
        <f>IF(COUNTIFS('United Data'!$A$3:$A$3390,I$1,'United Data'!$C$3:$C$3390,$A781,'United Data'!$B$3:$B$3390,"&lt;&gt;Off-street")&gt;0,1,0)</f>
        <v>1</v>
      </c>
      <c r="J781">
        <f>IF(COUNTIFS('United Data'!$A$3:$A$3390,J$1,'United Data'!$C$3:$C$3390,$A781,'United Data'!$B$3:$B$3390,"&lt;&gt;Off-street")&gt;0,1,0)</f>
        <v>1</v>
      </c>
      <c r="K781">
        <f>IF(COUNTIFS('United Data'!$A$3:$A$3390,K$1,'United Data'!$C$3:$C$3390,$A781,'United Data'!$B$3:$B$3390,"&lt;&gt;Off-street")&gt;0,1,0)</f>
        <v>0</v>
      </c>
      <c r="L781">
        <f>IF(COUNTIFS('United Data'!$A$3:$A$3390,L$1,'United Data'!$C$3:$C$3390,$A781,'United Data'!$B$3:$B$3390,"&lt;&gt;Off-street")&gt;0,1,0)</f>
        <v>0</v>
      </c>
      <c r="M781">
        <f>IF(COUNTIFS('United Data'!$A$3:$A$3390,M$1,'United Data'!$C$3:$C$3390,$A781,'United Data'!$B$3:$B$3390,"&lt;&gt;Off-street")&gt;0,1,0)</f>
        <v>0</v>
      </c>
      <c r="N781">
        <f>IF(COUNTIFS('United Data'!$A$3:$A$3390,N$1,'United Data'!$C$3:$C$3390,$A781,'United Data'!$B$3:$B$3390,"&lt;&gt;Off-street")&gt;0,1,0)</f>
        <v>0</v>
      </c>
      <c r="O781">
        <f>IF(COUNTIFS('United Data'!$A$3:$A$3390,O$1,'United Data'!$C$3:$C$3390,$A781,'United Data'!$B$3:$B$3390,"&lt;&gt;Off-street")&gt;0,1,0)</f>
        <v>0</v>
      </c>
      <c r="P781">
        <f>IF(COUNTIFS('United Data'!$A$3:$A$3390,P$1,'United Data'!$C$3:$C$3390,$A781,'United Data'!$B$3:$B$3390,"&lt;&gt;Off-street")&gt;0,1,0)</f>
        <v>0</v>
      </c>
      <c r="Q781">
        <f>IF(COUNTIFS('United Data'!$A$3:$A$3390,Q$1,'United Data'!$C$3:$C$3390,$A781,'United Data'!$B$3:$B$3390,"&lt;&gt;Off-street")&gt;0,1,0)</f>
        <v>0</v>
      </c>
      <c r="R781">
        <f>IF(COUNTIFS('United Data'!$A$3:$A$3390,R$1,'United Data'!$C$3:$C$3390,$A781,'United Data'!$B$3:$B$3390,"&lt;&gt;Off-street")&gt;0,1,0)</f>
        <v>0</v>
      </c>
      <c r="S781">
        <f t="shared" si="24"/>
        <v>2</v>
      </c>
      <c r="T781">
        <f t="shared" si="25"/>
        <v>1</v>
      </c>
    </row>
    <row r="782" spans="1:20" x14ac:dyDescent="0.2">
      <c r="A782" t="s">
        <v>936</v>
      </c>
      <c r="B782">
        <f>IF(COUNTIFS('United Data'!$A$3:$A$3390,B$1,'United Data'!$C$3:$C$3390,$A782,'United Data'!$B$3:$B$3390,"&lt;&gt;Off-street")&gt;0,1,0)</f>
        <v>0</v>
      </c>
      <c r="C782">
        <f>IF(COUNTIFS('United Data'!$A$3:$A$3390,C$1,'United Data'!$C$3:$C$3390,$A782,'United Data'!$B$3:$B$3390,"&lt;&gt;Off-street")&gt;0,1,0)</f>
        <v>0</v>
      </c>
      <c r="D782">
        <f>IF(COUNTIFS('United Data'!$A$3:$A$3390,D$1,'United Data'!$C$3:$C$3390,$A782,'United Data'!$B$3:$B$3390,"&lt;&gt;Off-street")&gt;0,1,0)</f>
        <v>0</v>
      </c>
      <c r="E782">
        <f>IF(COUNTIFS('United Data'!$A$3:$A$3390,E$1,'United Data'!$C$3:$C$3390,$A782,'United Data'!$B$3:$B$3390,"&lt;&gt;Off-street")&gt;0,1,0)</f>
        <v>0</v>
      </c>
      <c r="F782">
        <f>IF(COUNTIFS('United Data'!$A$3:$A$3390,F$1,'United Data'!$C$3:$C$3390,$A782,'United Data'!$B$3:$B$3390,"&lt;&gt;Off-street")&gt;0,1,0)</f>
        <v>0</v>
      </c>
      <c r="G782">
        <f>IF(COUNTIFS('United Data'!$A$3:$A$3390,G$1,'United Data'!$C$3:$C$3390,$A782,'United Data'!$B$3:$B$3390,"&lt;&gt;Off-street")&gt;0,1,0)</f>
        <v>0</v>
      </c>
      <c r="H782">
        <f>IF(COUNTIFS('United Data'!$A$3:$A$3390,H$1,'United Data'!$C$3:$C$3390,$A782,'United Data'!$B$3:$B$3390,"&lt;&gt;Off-street")&gt;0,1,0)</f>
        <v>0</v>
      </c>
      <c r="I782">
        <f>IF(COUNTIFS('United Data'!$A$3:$A$3390,I$1,'United Data'!$C$3:$C$3390,$A782,'United Data'!$B$3:$B$3390,"&lt;&gt;Off-street")&gt;0,1,0)</f>
        <v>0</v>
      </c>
      <c r="J782">
        <f>IF(COUNTIFS('United Data'!$A$3:$A$3390,J$1,'United Data'!$C$3:$C$3390,$A782,'United Data'!$B$3:$B$3390,"&lt;&gt;Off-street")&gt;0,1,0)</f>
        <v>1</v>
      </c>
      <c r="K782">
        <f>IF(COUNTIFS('United Data'!$A$3:$A$3390,K$1,'United Data'!$C$3:$C$3390,$A782,'United Data'!$B$3:$B$3390,"&lt;&gt;Off-street")&gt;0,1,0)</f>
        <v>0</v>
      </c>
      <c r="L782">
        <f>IF(COUNTIFS('United Data'!$A$3:$A$3390,L$1,'United Data'!$C$3:$C$3390,$A782,'United Data'!$B$3:$B$3390,"&lt;&gt;Off-street")&gt;0,1,0)</f>
        <v>0</v>
      </c>
      <c r="M782">
        <f>IF(COUNTIFS('United Data'!$A$3:$A$3390,M$1,'United Data'!$C$3:$C$3390,$A782,'United Data'!$B$3:$B$3390,"&lt;&gt;Off-street")&gt;0,1,0)</f>
        <v>1</v>
      </c>
      <c r="N782">
        <f>IF(COUNTIFS('United Data'!$A$3:$A$3390,N$1,'United Data'!$C$3:$C$3390,$A782,'United Data'!$B$3:$B$3390,"&lt;&gt;Off-street")&gt;0,1,0)</f>
        <v>0</v>
      </c>
      <c r="O782">
        <f>IF(COUNTIFS('United Data'!$A$3:$A$3390,O$1,'United Data'!$C$3:$C$3390,$A782,'United Data'!$B$3:$B$3390,"&lt;&gt;Off-street")&gt;0,1,0)</f>
        <v>0</v>
      </c>
      <c r="P782">
        <f>IF(COUNTIFS('United Data'!$A$3:$A$3390,P$1,'United Data'!$C$3:$C$3390,$A782,'United Data'!$B$3:$B$3390,"&lt;&gt;Off-street")&gt;0,1,0)</f>
        <v>0</v>
      </c>
      <c r="Q782">
        <f>IF(COUNTIFS('United Data'!$A$3:$A$3390,Q$1,'United Data'!$C$3:$C$3390,$A782,'United Data'!$B$3:$B$3390,"&lt;&gt;Off-street")&gt;0,1,0)</f>
        <v>0</v>
      </c>
      <c r="R782">
        <f>IF(COUNTIFS('United Data'!$A$3:$A$3390,R$1,'United Data'!$C$3:$C$3390,$A782,'United Data'!$B$3:$B$3390,"&lt;&gt;Off-street")&gt;0,1,0)</f>
        <v>0</v>
      </c>
      <c r="S782">
        <f t="shared" si="24"/>
        <v>2</v>
      </c>
      <c r="T782">
        <f t="shared" si="25"/>
        <v>2</v>
      </c>
    </row>
    <row r="783" spans="1:20" x14ac:dyDescent="0.2">
      <c r="A783" t="s">
        <v>937</v>
      </c>
      <c r="B783">
        <f>IF(COUNTIFS('United Data'!$A$3:$A$3390,B$1,'United Data'!$C$3:$C$3390,$A783,'United Data'!$B$3:$B$3390,"&lt;&gt;Off-street")&gt;0,1,0)</f>
        <v>0</v>
      </c>
      <c r="C783">
        <f>IF(COUNTIFS('United Data'!$A$3:$A$3390,C$1,'United Data'!$C$3:$C$3390,$A783,'United Data'!$B$3:$B$3390,"&lt;&gt;Off-street")&gt;0,1,0)</f>
        <v>0</v>
      </c>
      <c r="D783">
        <f>IF(COUNTIFS('United Data'!$A$3:$A$3390,D$1,'United Data'!$C$3:$C$3390,$A783,'United Data'!$B$3:$B$3390,"&lt;&gt;Off-street")&gt;0,1,0)</f>
        <v>0</v>
      </c>
      <c r="E783">
        <f>IF(COUNTIFS('United Data'!$A$3:$A$3390,E$1,'United Data'!$C$3:$C$3390,$A783,'United Data'!$B$3:$B$3390,"&lt;&gt;Off-street")&gt;0,1,0)</f>
        <v>0</v>
      </c>
      <c r="F783">
        <f>IF(COUNTIFS('United Data'!$A$3:$A$3390,F$1,'United Data'!$C$3:$C$3390,$A783,'United Data'!$B$3:$B$3390,"&lt;&gt;Off-street")&gt;0,1,0)</f>
        <v>0</v>
      </c>
      <c r="G783">
        <f>IF(COUNTIFS('United Data'!$A$3:$A$3390,G$1,'United Data'!$C$3:$C$3390,$A783,'United Data'!$B$3:$B$3390,"&lt;&gt;Off-street")&gt;0,1,0)</f>
        <v>0</v>
      </c>
      <c r="H783">
        <f>IF(COUNTIFS('United Data'!$A$3:$A$3390,H$1,'United Data'!$C$3:$C$3390,$A783,'United Data'!$B$3:$B$3390,"&lt;&gt;Off-street")&gt;0,1,0)</f>
        <v>0</v>
      </c>
      <c r="I783">
        <f>IF(COUNTIFS('United Data'!$A$3:$A$3390,I$1,'United Data'!$C$3:$C$3390,$A783,'United Data'!$B$3:$B$3390,"&lt;&gt;Off-street")&gt;0,1,0)</f>
        <v>0</v>
      </c>
      <c r="J783">
        <f>IF(COUNTIFS('United Data'!$A$3:$A$3390,J$1,'United Data'!$C$3:$C$3390,$A783,'United Data'!$B$3:$B$3390,"&lt;&gt;Off-street")&gt;0,1,0)</f>
        <v>1</v>
      </c>
      <c r="K783">
        <f>IF(COUNTIFS('United Data'!$A$3:$A$3390,K$1,'United Data'!$C$3:$C$3390,$A783,'United Data'!$B$3:$B$3390,"&lt;&gt;Off-street")&gt;0,1,0)</f>
        <v>0</v>
      </c>
      <c r="L783">
        <f>IF(COUNTIFS('United Data'!$A$3:$A$3390,L$1,'United Data'!$C$3:$C$3390,$A783,'United Data'!$B$3:$B$3390,"&lt;&gt;Off-street")&gt;0,1,0)</f>
        <v>0</v>
      </c>
      <c r="M783">
        <f>IF(COUNTIFS('United Data'!$A$3:$A$3390,M$1,'United Data'!$C$3:$C$3390,$A783,'United Data'!$B$3:$B$3390,"&lt;&gt;Off-street")&gt;0,1,0)</f>
        <v>0</v>
      </c>
      <c r="N783">
        <f>IF(COUNTIFS('United Data'!$A$3:$A$3390,N$1,'United Data'!$C$3:$C$3390,$A783,'United Data'!$B$3:$B$3390,"&lt;&gt;Off-street")&gt;0,1,0)</f>
        <v>0</v>
      </c>
      <c r="O783">
        <f>IF(COUNTIFS('United Data'!$A$3:$A$3390,O$1,'United Data'!$C$3:$C$3390,$A783,'United Data'!$B$3:$B$3390,"&lt;&gt;Off-street")&gt;0,1,0)</f>
        <v>0</v>
      </c>
      <c r="P783">
        <f>IF(COUNTIFS('United Data'!$A$3:$A$3390,P$1,'United Data'!$C$3:$C$3390,$A783,'United Data'!$B$3:$B$3390,"&lt;&gt;Off-street")&gt;0,1,0)</f>
        <v>0</v>
      </c>
      <c r="Q783">
        <f>IF(COUNTIFS('United Data'!$A$3:$A$3390,Q$1,'United Data'!$C$3:$C$3390,$A783,'United Data'!$B$3:$B$3390,"&lt;&gt;Off-street")&gt;0,1,0)</f>
        <v>0</v>
      </c>
      <c r="R783">
        <f>IF(COUNTIFS('United Data'!$A$3:$A$3390,R$1,'United Data'!$C$3:$C$3390,$A783,'United Data'!$B$3:$B$3390,"&lt;&gt;Off-street")&gt;0,1,0)</f>
        <v>0</v>
      </c>
      <c r="S783">
        <f t="shared" si="24"/>
        <v>1</v>
      </c>
      <c r="T783">
        <f t="shared" si="25"/>
        <v>1</v>
      </c>
    </row>
    <row r="784" spans="1:20" x14ac:dyDescent="0.2">
      <c r="A784" t="s">
        <v>938</v>
      </c>
      <c r="B784">
        <f>IF(COUNTIFS('United Data'!$A$3:$A$3390,B$1,'United Data'!$C$3:$C$3390,$A784,'United Data'!$B$3:$B$3390,"&lt;&gt;Off-street")&gt;0,1,0)</f>
        <v>0</v>
      </c>
      <c r="C784">
        <f>IF(COUNTIFS('United Data'!$A$3:$A$3390,C$1,'United Data'!$C$3:$C$3390,$A784,'United Data'!$B$3:$B$3390,"&lt;&gt;Off-street")&gt;0,1,0)</f>
        <v>0</v>
      </c>
      <c r="D784">
        <f>IF(COUNTIFS('United Data'!$A$3:$A$3390,D$1,'United Data'!$C$3:$C$3390,$A784,'United Data'!$B$3:$B$3390,"&lt;&gt;Off-street")&gt;0,1,0)</f>
        <v>0</v>
      </c>
      <c r="E784">
        <f>IF(COUNTIFS('United Data'!$A$3:$A$3390,E$1,'United Data'!$C$3:$C$3390,$A784,'United Data'!$B$3:$B$3390,"&lt;&gt;Off-street")&gt;0,1,0)</f>
        <v>0</v>
      </c>
      <c r="F784">
        <f>IF(COUNTIFS('United Data'!$A$3:$A$3390,F$1,'United Data'!$C$3:$C$3390,$A784,'United Data'!$B$3:$B$3390,"&lt;&gt;Off-street")&gt;0,1,0)</f>
        <v>0</v>
      </c>
      <c r="G784">
        <f>IF(COUNTIFS('United Data'!$A$3:$A$3390,G$1,'United Data'!$C$3:$C$3390,$A784,'United Data'!$B$3:$B$3390,"&lt;&gt;Off-street")&gt;0,1,0)</f>
        <v>0</v>
      </c>
      <c r="H784">
        <f>IF(COUNTIFS('United Data'!$A$3:$A$3390,H$1,'United Data'!$C$3:$C$3390,$A784,'United Data'!$B$3:$B$3390,"&lt;&gt;Off-street")&gt;0,1,0)</f>
        <v>0</v>
      </c>
      <c r="I784">
        <f>IF(COUNTIFS('United Data'!$A$3:$A$3390,I$1,'United Data'!$C$3:$C$3390,$A784,'United Data'!$B$3:$B$3390,"&lt;&gt;Off-street")&gt;0,1,0)</f>
        <v>0</v>
      </c>
      <c r="J784">
        <f>IF(COUNTIFS('United Data'!$A$3:$A$3390,J$1,'United Data'!$C$3:$C$3390,$A784,'United Data'!$B$3:$B$3390,"&lt;&gt;Off-street")&gt;0,1,0)</f>
        <v>0</v>
      </c>
      <c r="K784">
        <f>IF(COUNTIFS('United Data'!$A$3:$A$3390,K$1,'United Data'!$C$3:$C$3390,$A784,'United Data'!$B$3:$B$3390,"&lt;&gt;Off-street")&gt;0,1,0)</f>
        <v>1</v>
      </c>
      <c r="L784">
        <f>IF(COUNTIFS('United Data'!$A$3:$A$3390,L$1,'United Data'!$C$3:$C$3390,$A784,'United Data'!$B$3:$B$3390,"&lt;&gt;Off-street")&gt;0,1,0)</f>
        <v>0</v>
      </c>
      <c r="M784">
        <f>IF(COUNTIFS('United Data'!$A$3:$A$3390,M$1,'United Data'!$C$3:$C$3390,$A784,'United Data'!$B$3:$B$3390,"&lt;&gt;Off-street")&gt;0,1,0)</f>
        <v>0</v>
      </c>
      <c r="N784">
        <f>IF(COUNTIFS('United Data'!$A$3:$A$3390,N$1,'United Data'!$C$3:$C$3390,$A784,'United Data'!$B$3:$B$3390,"&lt;&gt;Off-street")&gt;0,1,0)</f>
        <v>0</v>
      </c>
      <c r="O784">
        <f>IF(COUNTIFS('United Data'!$A$3:$A$3390,O$1,'United Data'!$C$3:$C$3390,$A784,'United Data'!$B$3:$B$3390,"&lt;&gt;Off-street")&gt;0,1,0)</f>
        <v>0</v>
      </c>
      <c r="P784">
        <f>IF(COUNTIFS('United Data'!$A$3:$A$3390,P$1,'United Data'!$C$3:$C$3390,$A784,'United Data'!$B$3:$B$3390,"&lt;&gt;Off-street")&gt;0,1,0)</f>
        <v>0</v>
      </c>
      <c r="Q784">
        <f>IF(COUNTIFS('United Data'!$A$3:$A$3390,Q$1,'United Data'!$C$3:$C$3390,$A784,'United Data'!$B$3:$B$3390,"&lt;&gt;Off-street")&gt;0,1,0)</f>
        <v>0</v>
      </c>
      <c r="R784">
        <f>IF(COUNTIFS('United Data'!$A$3:$A$3390,R$1,'United Data'!$C$3:$C$3390,$A784,'United Data'!$B$3:$B$3390,"&lt;&gt;Off-street")&gt;0,1,0)</f>
        <v>0</v>
      </c>
      <c r="S784">
        <f t="shared" si="24"/>
        <v>1</v>
      </c>
      <c r="T784">
        <f t="shared" si="25"/>
        <v>1</v>
      </c>
    </row>
    <row r="785" spans="1:20" x14ac:dyDescent="0.2">
      <c r="A785" t="s">
        <v>939</v>
      </c>
      <c r="B785">
        <f>IF(COUNTIFS('United Data'!$A$3:$A$3390,B$1,'United Data'!$C$3:$C$3390,$A785,'United Data'!$B$3:$B$3390,"&lt;&gt;Off-street")&gt;0,1,0)</f>
        <v>0</v>
      </c>
      <c r="C785">
        <f>IF(COUNTIFS('United Data'!$A$3:$A$3390,C$1,'United Data'!$C$3:$C$3390,$A785,'United Data'!$B$3:$B$3390,"&lt;&gt;Off-street")&gt;0,1,0)</f>
        <v>0</v>
      </c>
      <c r="D785">
        <f>IF(COUNTIFS('United Data'!$A$3:$A$3390,D$1,'United Data'!$C$3:$C$3390,$A785,'United Data'!$B$3:$B$3390,"&lt;&gt;Off-street")&gt;0,1,0)</f>
        <v>0</v>
      </c>
      <c r="E785">
        <f>IF(COUNTIFS('United Data'!$A$3:$A$3390,E$1,'United Data'!$C$3:$C$3390,$A785,'United Data'!$B$3:$B$3390,"&lt;&gt;Off-street")&gt;0,1,0)</f>
        <v>0</v>
      </c>
      <c r="F785">
        <f>IF(COUNTIFS('United Data'!$A$3:$A$3390,F$1,'United Data'!$C$3:$C$3390,$A785,'United Data'!$B$3:$B$3390,"&lt;&gt;Off-street")&gt;0,1,0)</f>
        <v>0</v>
      </c>
      <c r="G785">
        <f>IF(COUNTIFS('United Data'!$A$3:$A$3390,G$1,'United Data'!$C$3:$C$3390,$A785,'United Data'!$B$3:$B$3390,"&lt;&gt;Off-street")&gt;0,1,0)</f>
        <v>0</v>
      </c>
      <c r="H785">
        <f>IF(COUNTIFS('United Data'!$A$3:$A$3390,H$1,'United Data'!$C$3:$C$3390,$A785,'United Data'!$B$3:$B$3390,"&lt;&gt;Off-street")&gt;0,1,0)</f>
        <v>0</v>
      </c>
      <c r="I785">
        <f>IF(COUNTIFS('United Data'!$A$3:$A$3390,I$1,'United Data'!$C$3:$C$3390,$A785,'United Data'!$B$3:$B$3390,"&lt;&gt;Off-street")&gt;0,1,0)</f>
        <v>0</v>
      </c>
      <c r="J785">
        <f>IF(COUNTIFS('United Data'!$A$3:$A$3390,J$1,'United Data'!$C$3:$C$3390,$A785,'United Data'!$B$3:$B$3390,"&lt;&gt;Off-street")&gt;0,1,0)</f>
        <v>0</v>
      </c>
      <c r="K785">
        <f>IF(COUNTIFS('United Data'!$A$3:$A$3390,K$1,'United Data'!$C$3:$C$3390,$A785,'United Data'!$B$3:$B$3390,"&lt;&gt;Off-street")&gt;0,1,0)</f>
        <v>1</v>
      </c>
      <c r="L785">
        <f>IF(COUNTIFS('United Data'!$A$3:$A$3390,L$1,'United Data'!$C$3:$C$3390,$A785,'United Data'!$B$3:$B$3390,"&lt;&gt;Off-street")&gt;0,1,0)</f>
        <v>0</v>
      </c>
      <c r="M785">
        <f>IF(COUNTIFS('United Data'!$A$3:$A$3390,M$1,'United Data'!$C$3:$C$3390,$A785,'United Data'!$B$3:$B$3390,"&lt;&gt;Off-street")&gt;0,1,0)</f>
        <v>0</v>
      </c>
      <c r="N785">
        <f>IF(COUNTIFS('United Data'!$A$3:$A$3390,N$1,'United Data'!$C$3:$C$3390,$A785,'United Data'!$B$3:$B$3390,"&lt;&gt;Off-street")&gt;0,1,0)</f>
        <v>0</v>
      </c>
      <c r="O785">
        <f>IF(COUNTIFS('United Data'!$A$3:$A$3390,O$1,'United Data'!$C$3:$C$3390,$A785,'United Data'!$B$3:$B$3390,"&lt;&gt;Off-street")&gt;0,1,0)</f>
        <v>1</v>
      </c>
      <c r="P785">
        <f>IF(COUNTIFS('United Data'!$A$3:$A$3390,P$1,'United Data'!$C$3:$C$3390,$A785,'United Data'!$B$3:$B$3390,"&lt;&gt;Off-street")&gt;0,1,0)</f>
        <v>0</v>
      </c>
      <c r="Q785">
        <f>IF(COUNTIFS('United Data'!$A$3:$A$3390,Q$1,'United Data'!$C$3:$C$3390,$A785,'United Data'!$B$3:$B$3390,"&lt;&gt;Off-street")&gt;0,1,0)</f>
        <v>0</v>
      </c>
      <c r="R785">
        <f>IF(COUNTIFS('United Data'!$A$3:$A$3390,R$1,'United Data'!$C$3:$C$3390,$A785,'United Data'!$B$3:$B$3390,"&lt;&gt;Off-street")&gt;0,1,0)</f>
        <v>0</v>
      </c>
      <c r="S785">
        <f t="shared" si="24"/>
        <v>2</v>
      </c>
      <c r="T785">
        <f t="shared" si="25"/>
        <v>2</v>
      </c>
    </row>
    <row r="786" spans="1:20" x14ac:dyDescent="0.2">
      <c r="A786" t="s">
        <v>940</v>
      </c>
      <c r="B786">
        <f>IF(COUNTIFS('United Data'!$A$3:$A$3390,B$1,'United Data'!$C$3:$C$3390,$A786,'United Data'!$B$3:$B$3390,"&lt;&gt;Off-street")&gt;0,1,0)</f>
        <v>0</v>
      </c>
      <c r="C786">
        <f>IF(COUNTIFS('United Data'!$A$3:$A$3390,C$1,'United Data'!$C$3:$C$3390,$A786,'United Data'!$B$3:$B$3390,"&lt;&gt;Off-street")&gt;0,1,0)</f>
        <v>0</v>
      </c>
      <c r="D786">
        <f>IF(COUNTIFS('United Data'!$A$3:$A$3390,D$1,'United Data'!$C$3:$C$3390,$A786,'United Data'!$B$3:$B$3390,"&lt;&gt;Off-street")&gt;0,1,0)</f>
        <v>0</v>
      </c>
      <c r="E786">
        <f>IF(COUNTIFS('United Data'!$A$3:$A$3390,E$1,'United Data'!$C$3:$C$3390,$A786,'United Data'!$B$3:$B$3390,"&lt;&gt;Off-street")&gt;0,1,0)</f>
        <v>0</v>
      </c>
      <c r="F786">
        <f>IF(COUNTIFS('United Data'!$A$3:$A$3390,F$1,'United Data'!$C$3:$C$3390,$A786,'United Data'!$B$3:$B$3390,"&lt;&gt;Off-street")&gt;0,1,0)</f>
        <v>0</v>
      </c>
      <c r="G786">
        <f>IF(COUNTIFS('United Data'!$A$3:$A$3390,G$1,'United Data'!$C$3:$C$3390,$A786,'United Data'!$B$3:$B$3390,"&lt;&gt;Off-street")&gt;0,1,0)</f>
        <v>0</v>
      </c>
      <c r="H786">
        <f>IF(COUNTIFS('United Data'!$A$3:$A$3390,H$1,'United Data'!$C$3:$C$3390,$A786,'United Data'!$B$3:$B$3390,"&lt;&gt;Off-street")&gt;0,1,0)</f>
        <v>0</v>
      </c>
      <c r="I786">
        <f>IF(COUNTIFS('United Data'!$A$3:$A$3390,I$1,'United Data'!$C$3:$C$3390,$A786,'United Data'!$B$3:$B$3390,"&lt;&gt;Off-street")&gt;0,1,0)</f>
        <v>0</v>
      </c>
      <c r="J786">
        <f>IF(COUNTIFS('United Data'!$A$3:$A$3390,J$1,'United Data'!$C$3:$C$3390,$A786,'United Data'!$B$3:$B$3390,"&lt;&gt;Off-street")&gt;0,1,0)</f>
        <v>0</v>
      </c>
      <c r="K786">
        <f>IF(COUNTIFS('United Data'!$A$3:$A$3390,K$1,'United Data'!$C$3:$C$3390,$A786,'United Data'!$B$3:$B$3390,"&lt;&gt;Off-street")&gt;0,1,0)</f>
        <v>0</v>
      </c>
      <c r="L786">
        <f>IF(COUNTIFS('United Data'!$A$3:$A$3390,L$1,'United Data'!$C$3:$C$3390,$A786,'United Data'!$B$3:$B$3390,"&lt;&gt;Off-street")&gt;0,1,0)</f>
        <v>1</v>
      </c>
      <c r="M786">
        <f>IF(COUNTIFS('United Data'!$A$3:$A$3390,M$1,'United Data'!$C$3:$C$3390,$A786,'United Data'!$B$3:$B$3390,"&lt;&gt;Off-street")&gt;0,1,0)</f>
        <v>0</v>
      </c>
      <c r="N786">
        <f>IF(COUNTIFS('United Data'!$A$3:$A$3390,N$1,'United Data'!$C$3:$C$3390,$A786,'United Data'!$B$3:$B$3390,"&lt;&gt;Off-street")&gt;0,1,0)</f>
        <v>0</v>
      </c>
      <c r="O786">
        <f>IF(COUNTIFS('United Data'!$A$3:$A$3390,O$1,'United Data'!$C$3:$C$3390,$A786,'United Data'!$B$3:$B$3390,"&lt;&gt;Off-street")&gt;0,1,0)</f>
        <v>0</v>
      </c>
      <c r="P786">
        <f>IF(COUNTIFS('United Data'!$A$3:$A$3390,P$1,'United Data'!$C$3:$C$3390,$A786,'United Data'!$B$3:$B$3390,"&lt;&gt;Off-street")&gt;0,1,0)</f>
        <v>0</v>
      </c>
      <c r="Q786">
        <f>IF(COUNTIFS('United Data'!$A$3:$A$3390,Q$1,'United Data'!$C$3:$C$3390,$A786,'United Data'!$B$3:$B$3390,"&lt;&gt;Off-street")&gt;0,1,0)</f>
        <v>1</v>
      </c>
      <c r="R786">
        <f>IF(COUNTIFS('United Data'!$A$3:$A$3390,R$1,'United Data'!$C$3:$C$3390,$A786,'United Data'!$B$3:$B$3390,"&lt;&gt;Off-street")&gt;0,1,0)</f>
        <v>1</v>
      </c>
      <c r="S786">
        <f t="shared" si="24"/>
        <v>3</v>
      </c>
      <c r="T786">
        <f t="shared" si="25"/>
        <v>2</v>
      </c>
    </row>
    <row r="787" spans="1:20" x14ac:dyDescent="0.2">
      <c r="A787" t="s">
        <v>941</v>
      </c>
      <c r="B787">
        <f>IF(COUNTIFS('United Data'!$A$3:$A$3390,B$1,'United Data'!$C$3:$C$3390,$A787,'United Data'!$B$3:$B$3390,"&lt;&gt;Off-street")&gt;0,1,0)</f>
        <v>0</v>
      </c>
      <c r="C787">
        <f>IF(COUNTIFS('United Data'!$A$3:$A$3390,C$1,'United Data'!$C$3:$C$3390,$A787,'United Data'!$B$3:$B$3390,"&lt;&gt;Off-street")&gt;0,1,0)</f>
        <v>0</v>
      </c>
      <c r="D787">
        <f>IF(COUNTIFS('United Data'!$A$3:$A$3390,D$1,'United Data'!$C$3:$C$3390,$A787,'United Data'!$B$3:$B$3390,"&lt;&gt;Off-street")&gt;0,1,0)</f>
        <v>0</v>
      </c>
      <c r="E787">
        <f>IF(COUNTIFS('United Data'!$A$3:$A$3390,E$1,'United Data'!$C$3:$C$3390,$A787,'United Data'!$B$3:$B$3390,"&lt;&gt;Off-street")&gt;0,1,0)</f>
        <v>0</v>
      </c>
      <c r="F787">
        <f>IF(COUNTIFS('United Data'!$A$3:$A$3390,F$1,'United Data'!$C$3:$C$3390,$A787,'United Data'!$B$3:$B$3390,"&lt;&gt;Off-street")&gt;0,1,0)</f>
        <v>0</v>
      </c>
      <c r="G787">
        <f>IF(COUNTIFS('United Data'!$A$3:$A$3390,G$1,'United Data'!$C$3:$C$3390,$A787,'United Data'!$B$3:$B$3390,"&lt;&gt;Off-street")&gt;0,1,0)</f>
        <v>0</v>
      </c>
      <c r="H787">
        <f>IF(COUNTIFS('United Data'!$A$3:$A$3390,H$1,'United Data'!$C$3:$C$3390,$A787,'United Data'!$B$3:$B$3390,"&lt;&gt;Off-street")&gt;0,1,0)</f>
        <v>0</v>
      </c>
      <c r="I787">
        <f>IF(COUNTIFS('United Data'!$A$3:$A$3390,I$1,'United Data'!$C$3:$C$3390,$A787,'United Data'!$B$3:$B$3390,"&lt;&gt;Off-street")&gt;0,1,0)</f>
        <v>0</v>
      </c>
      <c r="J787">
        <f>IF(COUNTIFS('United Data'!$A$3:$A$3390,J$1,'United Data'!$C$3:$C$3390,$A787,'United Data'!$B$3:$B$3390,"&lt;&gt;Off-street")&gt;0,1,0)</f>
        <v>0</v>
      </c>
      <c r="K787">
        <f>IF(COUNTIFS('United Data'!$A$3:$A$3390,K$1,'United Data'!$C$3:$C$3390,$A787,'United Data'!$B$3:$B$3390,"&lt;&gt;Off-street")&gt;0,1,0)</f>
        <v>0</v>
      </c>
      <c r="L787">
        <f>IF(COUNTIFS('United Data'!$A$3:$A$3390,L$1,'United Data'!$C$3:$C$3390,$A787,'United Data'!$B$3:$B$3390,"&lt;&gt;Off-street")&gt;0,1,0)</f>
        <v>1</v>
      </c>
      <c r="M787">
        <f>IF(COUNTIFS('United Data'!$A$3:$A$3390,M$1,'United Data'!$C$3:$C$3390,$A787,'United Data'!$B$3:$B$3390,"&lt;&gt;Off-street")&gt;0,1,0)</f>
        <v>0</v>
      </c>
      <c r="N787">
        <f>IF(COUNTIFS('United Data'!$A$3:$A$3390,N$1,'United Data'!$C$3:$C$3390,$A787,'United Data'!$B$3:$B$3390,"&lt;&gt;Off-street")&gt;0,1,0)</f>
        <v>0</v>
      </c>
      <c r="O787">
        <f>IF(COUNTIFS('United Data'!$A$3:$A$3390,O$1,'United Data'!$C$3:$C$3390,$A787,'United Data'!$B$3:$B$3390,"&lt;&gt;Off-street")&gt;0,1,0)</f>
        <v>0</v>
      </c>
      <c r="P787">
        <f>IF(COUNTIFS('United Data'!$A$3:$A$3390,P$1,'United Data'!$C$3:$C$3390,$A787,'United Data'!$B$3:$B$3390,"&lt;&gt;Off-street")&gt;0,1,0)</f>
        <v>0</v>
      </c>
      <c r="Q787">
        <f>IF(COUNTIFS('United Data'!$A$3:$A$3390,Q$1,'United Data'!$C$3:$C$3390,$A787,'United Data'!$B$3:$B$3390,"&lt;&gt;Off-street")&gt;0,1,0)</f>
        <v>0</v>
      </c>
      <c r="R787">
        <f>IF(COUNTIFS('United Data'!$A$3:$A$3390,R$1,'United Data'!$C$3:$C$3390,$A787,'United Data'!$B$3:$B$3390,"&lt;&gt;Off-street")&gt;0,1,0)</f>
        <v>0</v>
      </c>
      <c r="S787">
        <f t="shared" si="24"/>
        <v>1</v>
      </c>
      <c r="T787">
        <f t="shared" si="25"/>
        <v>1</v>
      </c>
    </row>
    <row r="788" spans="1:20" x14ac:dyDescent="0.2">
      <c r="A788" t="s">
        <v>942</v>
      </c>
      <c r="B788">
        <f>IF(COUNTIFS('United Data'!$A$3:$A$3390,B$1,'United Data'!$C$3:$C$3390,$A788,'United Data'!$B$3:$B$3390,"&lt;&gt;Off-street")&gt;0,1,0)</f>
        <v>0</v>
      </c>
      <c r="C788">
        <f>IF(COUNTIFS('United Data'!$A$3:$A$3390,C$1,'United Data'!$C$3:$C$3390,$A788,'United Data'!$B$3:$B$3390,"&lt;&gt;Off-street")&gt;0,1,0)</f>
        <v>0</v>
      </c>
      <c r="D788">
        <f>IF(COUNTIFS('United Data'!$A$3:$A$3390,D$1,'United Data'!$C$3:$C$3390,$A788,'United Data'!$B$3:$B$3390,"&lt;&gt;Off-street")&gt;0,1,0)</f>
        <v>0</v>
      </c>
      <c r="E788">
        <f>IF(COUNTIFS('United Data'!$A$3:$A$3390,E$1,'United Data'!$C$3:$C$3390,$A788,'United Data'!$B$3:$B$3390,"&lt;&gt;Off-street")&gt;0,1,0)</f>
        <v>0</v>
      </c>
      <c r="F788">
        <f>IF(COUNTIFS('United Data'!$A$3:$A$3390,F$1,'United Data'!$C$3:$C$3390,$A788,'United Data'!$B$3:$B$3390,"&lt;&gt;Off-street")&gt;0,1,0)</f>
        <v>0</v>
      </c>
      <c r="G788">
        <f>IF(COUNTIFS('United Data'!$A$3:$A$3390,G$1,'United Data'!$C$3:$C$3390,$A788,'United Data'!$B$3:$B$3390,"&lt;&gt;Off-street")&gt;0,1,0)</f>
        <v>0</v>
      </c>
      <c r="H788">
        <f>IF(COUNTIFS('United Data'!$A$3:$A$3390,H$1,'United Data'!$C$3:$C$3390,$A788,'United Data'!$B$3:$B$3390,"&lt;&gt;Off-street")&gt;0,1,0)</f>
        <v>0</v>
      </c>
      <c r="I788">
        <f>IF(COUNTIFS('United Data'!$A$3:$A$3390,I$1,'United Data'!$C$3:$C$3390,$A788,'United Data'!$B$3:$B$3390,"&lt;&gt;Off-street")&gt;0,1,0)</f>
        <v>1</v>
      </c>
      <c r="J788">
        <f>IF(COUNTIFS('United Data'!$A$3:$A$3390,J$1,'United Data'!$C$3:$C$3390,$A788,'United Data'!$B$3:$B$3390,"&lt;&gt;Off-street")&gt;0,1,0)</f>
        <v>1</v>
      </c>
      <c r="K788">
        <f>IF(COUNTIFS('United Data'!$A$3:$A$3390,K$1,'United Data'!$C$3:$C$3390,$A788,'United Data'!$B$3:$B$3390,"&lt;&gt;Off-street")&gt;0,1,0)</f>
        <v>0</v>
      </c>
      <c r="L788">
        <f>IF(COUNTIFS('United Data'!$A$3:$A$3390,L$1,'United Data'!$C$3:$C$3390,$A788,'United Data'!$B$3:$B$3390,"&lt;&gt;Off-street")&gt;0,1,0)</f>
        <v>1</v>
      </c>
      <c r="M788">
        <f>IF(COUNTIFS('United Data'!$A$3:$A$3390,M$1,'United Data'!$C$3:$C$3390,$A788,'United Data'!$B$3:$B$3390,"&lt;&gt;Off-street")&gt;0,1,0)</f>
        <v>1</v>
      </c>
      <c r="N788">
        <f>IF(COUNTIFS('United Data'!$A$3:$A$3390,N$1,'United Data'!$C$3:$C$3390,$A788,'United Data'!$B$3:$B$3390,"&lt;&gt;Off-street")&gt;0,1,0)</f>
        <v>0</v>
      </c>
      <c r="O788">
        <f>IF(COUNTIFS('United Data'!$A$3:$A$3390,O$1,'United Data'!$C$3:$C$3390,$A788,'United Data'!$B$3:$B$3390,"&lt;&gt;Off-street")&gt;0,1,0)</f>
        <v>0</v>
      </c>
      <c r="P788">
        <f>IF(COUNTIFS('United Data'!$A$3:$A$3390,P$1,'United Data'!$C$3:$C$3390,$A788,'United Data'!$B$3:$B$3390,"&lt;&gt;Off-street")&gt;0,1,0)</f>
        <v>0</v>
      </c>
      <c r="Q788">
        <f>IF(COUNTIFS('United Data'!$A$3:$A$3390,Q$1,'United Data'!$C$3:$C$3390,$A788,'United Data'!$B$3:$B$3390,"&lt;&gt;Off-street")&gt;0,1,0)</f>
        <v>0</v>
      </c>
      <c r="R788">
        <f>IF(COUNTIFS('United Data'!$A$3:$A$3390,R$1,'United Data'!$C$3:$C$3390,$A788,'United Data'!$B$3:$B$3390,"&lt;&gt;Off-street")&gt;0,1,0)</f>
        <v>0</v>
      </c>
      <c r="S788">
        <f t="shared" si="24"/>
        <v>4</v>
      </c>
      <c r="T788">
        <f t="shared" si="25"/>
        <v>2</v>
      </c>
    </row>
    <row r="789" spans="1:20" x14ac:dyDescent="0.2">
      <c r="A789" t="s">
        <v>943</v>
      </c>
      <c r="B789">
        <f>IF(COUNTIFS('United Data'!$A$3:$A$3390,B$1,'United Data'!$C$3:$C$3390,$A789,'United Data'!$B$3:$B$3390,"&lt;&gt;Off-street")&gt;0,1,0)</f>
        <v>0</v>
      </c>
      <c r="C789">
        <f>IF(COUNTIFS('United Data'!$A$3:$A$3390,C$1,'United Data'!$C$3:$C$3390,$A789,'United Data'!$B$3:$B$3390,"&lt;&gt;Off-street")&gt;0,1,0)</f>
        <v>0</v>
      </c>
      <c r="D789">
        <f>IF(COUNTIFS('United Data'!$A$3:$A$3390,D$1,'United Data'!$C$3:$C$3390,$A789,'United Data'!$B$3:$B$3390,"&lt;&gt;Off-street")&gt;0,1,0)</f>
        <v>0</v>
      </c>
      <c r="E789">
        <f>IF(COUNTIFS('United Data'!$A$3:$A$3390,E$1,'United Data'!$C$3:$C$3390,$A789,'United Data'!$B$3:$B$3390,"&lt;&gt;Off-street")&gt;0,1,0)</f>
        <v>0</v>
      </c>
      <c r="F789">
        <f>IF(COUNTIFS('United Data'!$A$3:$A$3390,F$1,'United Data'!$C$3:$C$3390,$A789,'United Data'!$B$3:$B$3390,"&lt;&gt;Off-street")&gt;0,1,0)</f>
        <v>0</v>
      </c>
      <c r="G789">
        <f>IF(COUNTIFS('United Data'!$A$3:$A$3390,G$1,'United Data'!$C$3:$C$3390,$A789,'United Data'!$B$3:$B$3390,"&lt;&gt;Off-street")&gt;0,1,0)</f>
        <v>0</v>
      </c>
      <c r="H789">
        <f>IF(COUNTIFS('United Data'!$A$3:$A$3390,H$1,'United Data'!$C$3:$C$3390,$A789,'United Data'!$B$3:$B$3390,"&lt;&gt;Off-street")&gt;0,1,0)</f>
        <v>0</v>
      </c>
      <c r="I789">
        <f>IF(COUNTIFS('United Data'!$A$3:$A$3390,I$1,'United Data'!$C$3:$C$3390,$A789,'United Data'!$B$3:$B$3390,"&lt;&gt;Off-street")&gt;0,1,0)</f>
        <v>0</v>
      </c>
      <c r="J789">
        <f>IF(COUNTIFS('United Data'!$A$3:$A$3390,J$1,'United Data'!$C$3:$C$3390,$A789,'United Data'!$B$3:$B$3390,"&lt;&gt;Off-street")&gt;0,1,0)</f>
        <v>0</v>
      </c>
      <c r="K789">
        <f>IF(COUNTIFS('United Data'!$A$3:$A$3390,K$1,'United Data'!$C$3:$C$3390,$A789,'United Data'!$B$3:$B$3390,"&lt;&gt;Off-street")&gt;0,1,0)</f>
        <v>0</v>
      </c>
      <c r="L789">
        <f>IF(COUNTIFS('United Data'!$A$3:$A$3390,L$1,'United Data'!$C$3:$C$3390,$A789,'United Data'!$B$3:$B$3390,"&lt;&gt;Off-street")&gt;0,1,0)</f>
        <v>1</v>
      </c>
      <c r="M789">
        <f>IF(COUNTIFS('United Data'!$A$3:$A$3390,M$1,'United Data'!$C$3:$C$3390,$A789,'United Data'!$B$3:$B$3390,"&lt;&gt;Off-street")&gt;0,1,0)</f>
        <v>0</v>
      </c>
      <c r="N789">
        <f>IF(COUNTIFS('United Data'!$A$3:$A$3390,N$1,'United Data'!$C$3:$C$3390,$A789,'United Data'!$B$3:$B$3390,"&lt;&gt;Off-street")&gt;0,1,0)</f>
        <v>0</v>
      </c>
      <c r="O789">
        <f>IF(COUNTIFS('United Data'!$A$3:$A$3390,O$1,'United Data'!$C$3:$C$3390,$A789,'United Data'!$B$3:$B$3390,"&lt;&gt;Off-street")&gt;0,1,0)</f>
        <v>0</v>
      </c>
      <c r="P789">
        <f>IF(COUNTIFS('United Data'!$A$3:$A$3390,P$1,'United Data'!$C$3:$C$3390,$A789,'United Data'!$B$3:$B$3390,"&lt;&gt;Off-street")&gt;0,1,0)</f>
        <v>0</v>
      </c>
      <c r="Q789">
        <f>IF(COUNTIFS('United Data'!$A$3:$A$3390,Q$1,'United Data'!$C$3:$C$3390,$A789,'United Data'!$B$3:$B$3390,"&lt;&gt;Off-street")&gt;0,1,0)</f>
        <v>0</v>
      </c>
      <c r="R789">
        <f>IF(COUNTIFS('United Data'!$A$3:$A$3390,R$1,'United Data'!$C$3:$C$3390,$A789,'United Data'!$B$3:$B$3390,"&lt;&gt;Off-street")&gt;0,1,0)</f>
        <v>0</v>
      </c>
      <c r="S789">
        <f t="shared" si="24"/>
        <v>1</v>
      </c>
      <c r="T789">
        <f t="shared" si="25"/>
        <v>1</v>
      </c>
    </row>
    <row r="790" spans="1:20" x14ac:dyDescent="0.2">
      <c r="A790" t="s">
        <v>944</v>
      </c>
      <c r="B790">
        <f>IF(COUNTIFS('United Data'!$A$3:$A$3390,B$1,'United Data'!$C$3:$C$3390,$A790,'United Data'!$B$3:$B$3390,"&lt;&gt;Off-street")&gt;0,1,0)</f>
        <v>0</v>
      </c>
      <c r="C790">
        <f>IF(COUNTIFS('United Data'!$A$3:$A$3390,C$1,'United Data'!$C$3:$C$3390,$A790,'United Data'!$B$3:$B$3390,"&lt;&gt;Off-street")&gt;0,1,0)</f>
        <v>0</v>
      </c>
      <c r="D790">
        <f>IF(COUNTIFS('United Data'!$A$3:$A$3390,D$1,'United Data'!$C$3:$C$3390,$A790,'United Data'!$B$3:$B$3390,"&lt;&gt;Off-street")&gt;0,1,0)</f>
        <v>0</v>
      </c>
      <c r="E790">
        <f>IF(COUNTIFS('United Data'!$A$3:$A$3390,E$1,'United Data'!$C$3:$C$3390,$A790,'United Data'!$B$3:$B$3390,"&lt;&gt;Off-street")&gt;0,1,0)</f>
        <v>0</v>
      </c>
      <c r="F790">
        <f>IF(COUNTIFS('United Data'!$A$3:$A$3390,F$1,'United Data'!$C$3:$C$3390,$A790,'United Data'!$B$3:$B$3390,"&lt;&gt;Off-street")&gt;0,1,0)</f>
        <v>0</v>
      </c>
      <c r="G790">
        <f>IF(COUNTIFS('United Data'!$A$3:$A$3390,G$1,'United Data'!$C$3:$C$3390,$A790,'United Data'!$B$3:$B$3390,"&lt;&gt;Off-street")&gt;0,1,0)</f>
        <v>0</v>
      </c>
      <c r="H790">
        <f>IF(COUNTIFS('United Data'!$A$3:$A$3390,H$1,'United Data'!$C$3:$C$3390,$A790,'United Data'!$B$3:$B$3390,"&lt;&gt;Off-street")&gt;0,1,0)</f>
        <v>0</v>
      </c>
      <c r="I790">
        <f>IF(COUNTIFS('United Data'!$A$3:$A$3390,I$1,'United Data'!$C$3:$C$3390,$A790,'United Data'!$B$3:$B$3390,"&lt;&gt;Off-street")&gt;0,1,0)</f>
        <v>0</v>
      </c>
      <c r="J790">
        <f>IF(COUNTIFS('United Data'!$A$3:$A$3390,J$1,'United Data'!$C$3:$C$3390,$A790,'United Data'!$B$3:$B$3390,"&lt;&gt;Off-street")&gt;0,1,0)</f>
        <v>0</v>
      </c>
      <c r="K790">
        <f>IF(COUNTIFS('United Data'!$A$3:$A$3390,K$1,'United Data'!$C$3:$C$3390,$A790,'United Data'!$B$3:$B$3390,"&lt;&gt;Off-street")&gt;0,1,0)</f>
        <v>0</v>
      </c>
      <c r="L790">
        <f>IF(COUNTIFS('United Data'!$A$3:$A$3390,L$1,'United Data'!$C$3:$C$3390,$A790,'United Data'!$B$3:$B$3390,"&lt;&gt;Off-street")&gt;0,1,0)</f>
        <v>1</v>
      </c>
      <c r="M790">
        <f>IF(COUNTIFS('United Data'!$A$3:$A$3390,M$1,'United Data'!$C$3:$C$3390,$A790,'United Data'!$B$3:$B$3390,"&lt;&gt;Off-street")&gt;0,1,0)</f>
        <v>0</v>
      </c>
      <c r="N790">
        <f>IF(COUNTIFS('United Data'!$A$3:$A$3390,N$1,'United Data'!$C$3:$C$3390,$A790,'United Data'!$B$3:$B$3390,"&lt;&gt;Off-street")&gt;0,1,0)</f>
        <v>0</v>
      </c>
      <c r="O790">
        <f>IF(COUNTIFS('United Data'!$A$3:$A$3390,O$1,'United Data'!$C$3:$C$3390,$A790,'United Data'!$B$3:$B$3390,"&lt;&gt;Off-street")&gt;0,1,0)</f>
        <v>0</v>
      </c>
      <c r="P790">
        <f>IF(COUNTIFS('United Data'!$A$3:$A$3390,P$1,'United Data'!$C$3:$C$3390,$A790,'United Data'!$B$3:$B$3390,"&lt;&gt;Off-street")&gt;0,1,0)</f>
        <v>0</v>
      </c>
      <c r="Q790">
        <f>IF(COUNTIFS('United Data'!$A$3:$A$3390,Q$1,'United Data'!$C$3:$C$3390,$A790,'United Data'!$B$3:$B$3390,"&lt;&gt;Off-street")&gt;0,1,0)</f>
        <v>0</v>
      </c>
      <c r="R790">
        <f>IF(COUNTIFS('United Data'!$A$3:$A$3390,R$1,'United Data'!$C$3:$C$3390,$A790,'United Data'!$B$3:$B$3390,"&lt;&gt;Off-street")&gt;0,1,0)</f>
        <v>0</v>
      </c>
      <c r="S790">
        <f t="shared" si="24"/>
        <v>1</v>
      </c>
      <c r="T790">
        <f t="shared" si="25"/>
        <v>1</v>
      </c>
    </row>
    <row r="791" spans="1:20" x14ac:dyDescent="0.2">
      <c r="A791" t="s">
        <v>946</v>
      </c>
      <c r="B791">
        <f>IF(COUNTIFS('United Data'!$A$3:$A$3390,B$1,'United Data'!$C$3:$C$3390,$A791,'United Data'!$B$3:$B$3390,"&lt;&gt;Off-street")&gt;0,1,0)</f>
        <v>0</v>
      </c>
      <c r="C791">
        <f>IF(COUNTIFS('United Data'!$A$3:$A$3390,C$1,'United Data'!$C$3:$C$3390,$A791,'United Data'!$B$3:$B$3390,"&lt;&gt;Off-street")&gt;0,1,0)</f>
        <v>0</v>
      </c>
      <c r="D791">
        <f>IF(COUNTIFS('United Data'!$A$3:$A$3390,D$1,'United Data'!$C$3:$C$3390,$A791,'United Data'!$B$3:$B$3390,"&lt;&gt;Off-street")&gt;0,1,0)</f>
        <v>0</v>
      </c>
      <c r="E791">
        <f>IF(COUNTIFS('United Data'!$A$3:$A$3390,E$1,'United Data'!$C$3:$C$3390,$A791,'United Data'!$B$3:$B$3390,"&lt;&gt;Off-street")&gt;0,1,0)</f>
        <v>0</v>
      </c>
      <c r="F791">
        <f>IF(COUNTIFS('United Data'!$A$3:$A$3390,F$1,'United Data'!$C$3:$C$3390,$A791,'United Data'!$B$3:$B$3390,"&lt;&gt;Off-street")&gt;0,1,0)</f>
        <v>0</v>
      </c>
      <c r="G791">
        <f>IF(COUNTIFS('United Data'!$A$3:$A$3390,G$1,'United Data'!$C$3:$C$3390,$A791,'United Data'!$B$3:$B$3390,"&lt;&gt;Off-street")&gt;0,1,0)</f>
        <v>0</v>
      </c>
      <c r="H791">
        <f>IF(COUNTIFS('United Data'!$A$3:$A$3390,H$1,'United Data'!$C$3:$C$3390,$A791,'United Data'!$B$3:$B$3390,"&lt;&gt;Off-street")&gt;0,1,0)</f>
        <v>0</v>
      </c>
      <c r="I791">
        <f>IF(COUNTIFS('United Data'!$A$3:$A$3390,I$1,'United Data'!$C$3:$C$3390,$A791,'United Data'!$B$3:$B$3390,"&lt;&gt;Off-street")&gt;0,1,0)</f>
        <v>0</v>
      </c>
      <c r="J791">
        <f>IF(COUNTIFS('United Data'!$A$3:$A$3390,J$1,'United Data'!$C$3:$C$3390,$A791,'United Data'!$B$3:$B$3390,"&lt;&gt;Off-street")&gt;0,1,0)</f>
        <v>0</v>
      </c>
      <c r="K791">
        <f>IF(COUNTIFS('United Data'!$A$3:$A$3390,K$1,'United Data'!$C$3:$C$3390,$A791,'United Data'!$B$3:$B$3390,"&lt;&gt;Off-street")&gt;0,1,0)</f>
        <v>0</v>
      </c>
      <c r="L791">
        <f>IF(COUNTIFS('United Data'!$A$3:$A$3390,L$1,'United Data'!$C$3:$C$3390,$A791,'United Data'!$B$3:$B$3390,"&lt;&gt;Off-street")&gt;0,1,0)</f>
        <v>0</v>
      </c>
      <c r="M791">
        <f>IF(COUNTIFS('United Data'!$A$3:$A$3390,M$1,'United Data'!$C$3:$C$3390,$A791,'United Data'!$B$3:$B$3390,"&lt;&gt;Off-street")&gt;0,1,0)</f>
        <v>1</v>
      </c>
      <c r="N791">
        <f>IF(COUNTIFS('United Data'!$A$3:$A$3390,N$1,'United Data'!$C$3:$C$3390,$A791,'United Data'!$B$3:$B$3390,"&lt;&gt;Off-street")&gt;0,1,0)</f>
        <v>0</v>
      </c>
      <c r="O791">
        <f>IF(COUNTIFS('United Data'!$A$3:$A$3390,O$1,'United Data'!$C$3:$C$3390,$A791,'United Data'!$B$3:$B$3390,"&lt;&gt;Off-street")&gt;0,1,0)</f>
        <v>0</v>
      </c>
      <c r="P791">
        <f>IF(COUNTIFS('United Data'!$A$3:$A$3390,P$1,'United Data'!$C$3:$C$3390,$A791,'United Data'!$B$3:$B$3390,"&lt;&gt;Off-street")&gt;0,1,0)</f>
        <v>0</v>
      </c>
      <c r="Q791">
        <f>IF(COUNTIFS('United Data'!$A$3:$A$3390,Q$1,'United Data'!$C$3:$C$3390,$A791,'United Data'!$B$3:$B$3390,"&lt;&gt;Off-street")&gt;0,1,0)</f>
        <v>0</v>
      </c>
      <c r="R791">
        <f>IF(COUNTIFS('United Data'!$A$3:$A$3390,R$1,'United Data'!$C$3:$C$3390,$A791,'United Data'!$B$3:$B$3390,"&lt;&gt;Off-street")&gt;0,1,0)</f>
        <v>0</v>
      </c>
      <c r="S791">
        <f t="shared" si="24"/>
        <v>1</v>
      </c>
      <c r="T791">
        <f t="shared" si="25"/>
        <v>1</v>
      </c>
    </row>
    <row r="792" spans="1:20" x14ac:dyDescent="0.2">
      <c r="A792" t="s">
        <v>947</v>
      </c>
      <c r="B792">
        <f>IF(COUNTIFS('United Data'!$A$3:$A$3390,B$1,'United Data'!$C$3:$C$3390,$A792,'United Data'!$B$3:$B$3390,"&lt;&gt;Off-street")&gt;0,1,0)</f>
        <v>0</v>
      </c>
      <c r="C792">
        <f>IF(COUNTIFS('United Data'!$A$3:$A$3390,C$1,'United Data'!$C$3:$C$3390,$A792,'United Data'!$B$3:$B$3390,"&lt;&gt;Off-street")&gt;0,1,0)</f>
        <v>0</v>
      </c>
      <c r="D792">
        <f>IF(COUNTIFS('United Data'!$A$3:$A$3390,D$1,'United Data'!$C$3:$C$3390,$A792,'United Data'!$B$3:$B$3390,"&lt;&gt;Off-street")&gt;0,1,0)</f>
        <v>0</v>
      </c>
      <c r="E792">
        <f>IF(COUNTIFS('United Data'!$A$3:$A$3390,E$1,'United Data'!$C$3:$C$3390,$A792,'United Data'!$B$3:$B$3390,"&lt;&gt;Off-street")&gt;0,1,0)</f>
        <v>0</v>
      </c>
      <c r="F792">
        <f>IF(COUNTIFS('United Data'!$A$3:$A$3390,F$1,'United Data'!$C$3:$C$3390,$A792,'United Data'!$B$3:$B$3390,"&lt;&gt;Off-street")&gt;0,1,0)</f>
        <v>0</v>
      </c>
      <c r="G792">
        <f>IF(COUNTIFS('United Data'!$A$3:$A$3390,G$1,'United Data'!$C$3:$C$3390,$A792,'United Data'!$B$3:$B$3390,"&lt;&gt;Off-street")&gt;0,1,0)</f>
        <v>0</v>
      </c>
      <c r="H792">
        <f>IF(COUNTIFS('United Data'!$A$3:$A$3390,H$1,'United Data'!$C$3:$C$3390,$A792,'United Data'!$B$3:$B$3390,"&lt;&gt;Off-street")&gt;0,1,0)</f>
        <v>0</v>
      </c>
      <c r="I792">
        <f>IF(COUNTIFS('United Data'!$A$3:$A$3390,I$1,'United Data'!$C$3:$C$3390,$A792,'United Data'!$B$3:$B$3390,"&lt;&gt;Off-street")&gt;0,1,0)</f>
        <v>0</v>
      </c>
      <c r="J792">
        <f>IF(COUNTIFS('United Data'!$A$3:$A$3390,J$1,'United Data'!$C$3:$C$3390,$A792,'United Data'!$B$3:$B$3390,"&lt;&gt;Off-street")&gt;0,1,0)</f>
        <v>0</v>
      </c>
      <c r="K792">
        <f>IF(COUNTIFS('United Data'!$A$3:$A$3390,K$1,'United Data'!$C$3:$C$3390,$A792,'United Data'!$B$3:$B$3390,"&lt;&gt;Off-street")&gt;0,1,0)</f>
        <v>0</v>
      </c>
      <c r="L792">
        <f>IF(COUNTIFS('United Data'!$A$3:$A$3390,L$1,'United Data'!$C$3:$C$3390,$A792,'United Data'!$B$3:$B$3390,"&lt;&gt;Off-street")&gt;0,1,0)</f>
        <v>0</v>
      </c>
      <c r="M792">
        <f>IF(COUNTIFS('United Data'!$A$3:$A$3390,M$1,'United Data'!$C$3:$C$3390,$A792,'United Data'!$B$3:$B$3390,"&lt;&gt;Off-street")&gt;0,1,0)</f>
        <v>0</v>
      </c>
      <c r="N792">
        <f>IF(COUNTIFS('United Data'!$A$3:$A$3390,N$1,'United Data'!$C$3:$C$3390,$A792,'United Data'!$B$3:$B$3390,"&lt;&gt;Off-street")&gt;0,1,0)</f>
        <v>1</v>
      </c>
      <c r="O792">
        <f>IF(COUNTIFS('United Data'!$A$3:$A$3390,O$1,'United Data'!$C$3:$C$3390,$A792,'United Data'!$B$3:$B$3390,"&lt;&gt;Off-street")&gt;0,1,0)</f>
        <v>0</v>
      </c>
      <c r="P792">
        <f>IF(COUNTIFS('United Data'!$A$3:$A$3390,P$1,'United Data'!$C$3:$C$3390,$A792,'United Data'!$B$3:$B$3390,"&lt;&gt;Off-street")&gt;0,1,0)</f>
        <v>1</v>
      </c>
      <c r="Q792">
        <f>IF(COUNTIFS('United Data'!$A$3:$A$3390,Q$1,'United Data'!$C$3:$C$3390,$A792,'United Data'!$B$3:$B$3390,"&lt;&gt;Off-street")&gt;0,1,0)</f>
        <v>1</v>
      </c>
      <c r="R792">
        <f>IF(COUNTIFS('United Data'!$A$3:$A$3390,R$1,'United Data'!$C$3:$C$3390,$A792,'United Data'!$B$3:$B$3390,"&lt;&gt;Off-street")&gt;0,1,0)</f>
        <v>0</v>
      </c>
      <c r="S792">
        <f t="shared" si="24"/>
        <v>3</v>
      </c>
      <c r="T792">
        <f t="shared" si="25"/>
        <v>2</v>
      </c>
    </row>
    <row r="793" spans="1:20" x14ac:dyDescent="0.2">
      <c r="A793" t="s">
        <v>948</v>
      </c>
      <c r="B793">
        <f>IF(COUNTIFS('United Data'!$A$3:$A$3390,B$1,'United Data'!$C$3:$C$3390,$A793,'United Data'!$B$3:$B$3390,"&lt;&gt;Off-street")&gt;0,1,0)</f>
        <v>0</v>
      </c>
      <c r="C793">
        <f>IF(COUNTIFS('United Data'!$A$3:$A$3390,C$1,'United Data'!$C$3:$C$3390,$A793,'United Data'!$B$3:$B$3390,"&lt;&gt;Off-street")&gt;0,1,0)</f>
        <v>0</v>
      </c>
      <c r="D793">
        <f>IF(COUNTIFS('United Data'!$A$3:$A$3390,D$1,'United Data'!$C$3:$C$3390,$A793,'United Data'!$B$3:$B$3390,"&lt;&gt;Off-street")&gt;0,1,0)</f>
        <v>0</v>
      </c>
      <c r="E793">
        <f>IF(COUNTIFS('United Data'!$A$3:$A$3390,E$1,'United Data'!$C$3:$C$3390,$A793,'United Data'!$B$3:$B$3390,"&lt;&gt;Off-street")&gt;0,1,0)</f>
        <v>0</v>
      </c>
      <c r="F793">
        <f>IF(COUNTIFS('United Data'!$A$3:$A$3390,F$1,'United Data'!$C$3:$C$3390,$A793,'United Data'!$B$3:$B$3390,"&lt;&gt;Off-street")&gt;0,1,0)</f>
        <v>0</v>
      </c>
      <c r="G793">
        <f>IF(COUNTIFS('United Data'!$A$3:$A$3390,G$1,'United Data'!$C$3:$C$3390,$A793,'United Data'!$B$3:$B$3390,"&lt;&gt;Off-street")&gt;0,1,0)</f>
        <v>0</v>
      </c>
      <c r="H793">
        <f>IF(COUNTIFS('United Data'!$A$3:$A$3390,H$1,'United Data'!$C$3:$C$3390,$A793,'United Data'!$B$3:$B$3390,"&lt;&gt;Off-street")&gt;0,1,0)</f>
        <v>0</v>
      </c>
      <c r="I793">
        <f>IF(COUNTIFS('United Data'!$A$3:$A$3390,I$1,'United Data'!$C$3:$C$3390,$A793,'United Data'!$B$3:$B$3390,"&lt;&gt;Off-street")&gt;0,1,0)</f>
        <v>0</v>
      </c>
      <c r="J793">
        <f>IF(COUNTIFS('United Data'!$A$3:$A$3390,J$1,'United Data'!$C$3:$C$3390,$A793,'United Data'!$B$3:$B$3390,"&lt;&gt;Off-street")&gt;0,1,0)</f>
        <v>0</v>
      </c>
      <c r="K793">
        <f>IF(COUNTIFS('United Data'!$A$3:$A$3390,K$1,'United Data'!$C$3:$C$3390,$A793,'United Data'!$B$3:$B$3390,"&lt;&gt;Off-street")&gt;0,1,0)</f>
        <v>0</v>
      </c>
      <c r="L793">
        <f>IF(COUNTIFS('United Data'!$A$3:$A$3390,L$1,'United Data'!$C$3:$C$3390,$A793,'United Data'!$B$3:$B$3390,"&lt;&gt;Off-street")&gt;0,1,0)</f>
        <v>0</v>
      </c>
      <c r="M793">
        <f>IF(COUNTIFS('United Data'!$A$3:$A$3390,M$1,'United Data'!$C$3:$C$3390,$A793,'United Data'!$B$3:$B$3390,"&lt;&gt;Off-street")&gt;0,1,0)</f>
        <v>0</v>
      </c>
      <c r="N793">
        <f>IF(COUNTIFS('United Data'!$A$3:$A$3390,N$1,'United Data'!$C$3:$C$3390,$A793,'United Data'!$B$3:$B$3390,"&lt;&gt;Off-street")&gt;0,1,0)</f>
        <v>1</v>
      </c>
      <c r="O793">
        <f>IF(COUNTIFS('United Data'!$A$3:$A$3390,O$1,'United Data'!$C$3:$C$3390,$A793,'United Data'!$B$3:$B$3390,"&lt;&gt;Off-street")&gt;0,1,0)</f>
        <v>0</v>
      </c>
      <c r="P793">
        <f>IF(COUNTIFS('United Data'!$A$3:$A$3390,P$1,'United Data'!$C$3:$C$3390,$A793,'United Data'!$B$3:$B$3390,"&lt;&gt;Off-street")&gt;0,1,0)</f>
        <v>0</v>
      </c>
      <c r="Q793">
        <f>IF(COUNTIFS('United Data'!$A$3:$A$3390,Q$1,'United Data'!$C$3:$C$3390,$A793,'United Data'!$B$3:$B$3390,"&lt;&gt;Off-street")&gt;0,1,0)</f>
        <v>0</v>
      </c>
      <c r="R793">
        <f>IF(COUNTIFS('United Data'!$A$3:$A$3390,R$1,'United Data'!$C$3:$C$3390,$A793,'United Data'!$B$3:$B$3390,"&lt;&gt;Off-street")&gt;0,1,0)</f>
        <v>0</v>
      </c>
      <c r="S793">
        <f t="shared" si="24"/>
        <v>1</v>
      </c>
      <c r="T793">
        <f t="shared" si="25"/>
        <v>1</v>
      </c>
    </row>
    <row r="794" spans="1:20" x14ac:dyDescent="0.2">
      <c r="A794" t="s">
        <v>949</v>
      </c>
      <c r="B794">
        <f>IF(COUNTIFS('United Data'!$A$3:$A$3390,B$1,'United Data'!$C$3:$C$3390,$A794,'United Data'!$B$3:$B$3390,"&lt;&gt;Off-street")&gt;0,1,0)</f>
        <v>0</v>
      </c>
      <c r="C794">
        <f>IF(COUNTIFS('United Data'!$A$3:$A$3390,C$1,'United Data'!$C$3:$C$3390,$A794,'United Data'!$B$3:$B$3390,"&lt;&gt;Off-street")&gt;0,1,0)</f>
        <v>0</v>
      </c>
      <c r="D794">
        <f>IF(COUNTIFS('United Data'!$A$3:$A$3390,D$1,'United Data'!$C$3:$C$3390,$A794,'United Data'!$B$3:$B$3390,"&lt;&gt;Off-street")&gt;0,1,0)</f>
        <v>0</v>
      </c>
      <c r="E794">
        <f>IF(COUNTIFS('United Data'!$A$3:$A$3390,E$1,'United Data'!$C$3:$C$3390,$A794,'United Data'!$B$3:$B$3390,"&lt;&gt;Off-street")&gt;0,1,0)</f>
        <v>0</v>
      </c>
      <c r="F794">
        <f>IF(COUNTIFS('United Data'!$A$3:$A$3390,F$1,'United Data'!$C$3:$C$3390,$A794,'United Data'!$B$3:$B$3390,"&lt;&gt;Off-street")&gt;0,1,0)</f>
        <v>0</v>
      </c>
      <c r="G794">
        <f>IF(COUNTIFS('United Data'!$A$3:$A$3390,G$1,'United Data'!$C$3:$C$3390,$A794,'United Data'!$B$3:$B$3390,"&lt;&gt;Off-street")&gt;0,1,0)</f>
        <v>0</v>
      </c>
      <c r="H794">
        <f>IF(COUNTIFS('United Data'!$A$3:$A$3390,H$1,'United Data'!$C$3:$C$3390,$A794,'United Data'!$B$3:$B$3390,"&lt;&gt;Off-street")&gt;0,1,0)</f>
        <v>0</v>
      </c>
      <c r="I794">
        <f>IF(COUNTIFS('United Data'!$A$3:$A$3390,I$1,'United Data'!$C$3:$C$3390,$A794,'United Data'!$B$3:$B$3390,"&lt;&gt;Off-street")&gt;0,1,0)</f>
        <v>0</v>
      </c>
      <c r="J794">
        <f>IF(COUNTIFS('United Data'!$A$3:$A$3390,J$1,'United Data'!$C$3:$C$3390,$A794,'United Data'!$B$3:$B$3390,"&lt;&gt;Off-street")&gt;0,1,0)</f>
        <v>0</v>
      </c>
      <c r="K794">
        <f>IF(COUNTIFS('United Data'!$A$3:$A$3390,K$1,'United Data'!$C$3:$C$3390,$A794,'United Data'!$B$3:$B$3390,"&lt;&gt;Off-street")&gt;0,1,0)</f>
        <v>0</v>
      </c>
      <c r="L794">
        <f>IF(COUNTIFS('United Data'!$A$3:$A$3390,L$1,'United Data'!$C$3:$C$3390,$A794,'United Data'!$B$3:$B$3390,"&lt;&gt;Off-street")&gt;0,1,0)</f>
        <v>0</v>
      </c>
      <c r="M794">
        <f>IF(COUNTIFS('United Data'!$A$3:$A$3390,M$1,'United Data'!$C$3:$C$3390,$A794,'United Data'!$B$3:$B$3390,"&lt;&gt;Off-street")&gt;0,1,0)</f>
        <v>0</v>
      </c>
      <c r="N794">
        <f>IF(COUNTIFS('United Data'!$A$3:$A$3390,N$1,'United Data'!$C$3:$C$3390,$A794,'United Data'!$B$3:$B$3390,"&lt;&gt;Off-street")&gt;0,1,0)</f>
        <v>0</v>
      </c>
      <c r="O794">
        <f>IF(COUNTIFS('United Data'!$A$3:$A$3390,O$1,'United Data'!$C$3:$C$3390,$A794,'United Data'!$B$3:$B$3390,"&lt;&gt;Off-street")&gt;0,1,0)</f>
        <v>1</v>
      </c>
      <c r="P794">
        <f>IF(COUNTIFS('United Data'!$A$3:$A$3390,P$1,'United Data'!$C$3:$C$3390,$A794,'United Data'!$B$3:$B$3390,"&lt;&gt;Off-street")&gt;0,1,0)</f>
        <v>0</v>
      </c>
      <c r="Q794">
        <f>IF(COUNTIFS('United Data'!$A$3:$A$3390,Q$1,'United Data'!$C$3:$C$3390,$A794,'United Data'!$B$3:$B$3390,"&lt;&gt;Off-street")&gt;0,1,0)</f>
        <v>0</v>
      </c>
      <c r="R794">
        <f>IF(COUNTIFS('United Data'!$A$3:$A$3390,R$1,'United Data'!$C$3:$C$3390,$A794,'United Data'!$B$3:$B$3390,"&lt;&gt;Off-street")&gt;0,1,0)</f>
        <v>0</v>
      </c>
      <c r="S794">
        <f t="shared" si="24"/>
        <v>1</v>
      </c>
      <c r="T794">
        <f t="shared" si="25"/>
        <v>1</v>
      </c>
    </row>
    <row r="795" spans="1:20" x14ac:dyDescent="0.2">
      <c r="A795" t="s">
        <v>950</v>
      </c>
      <c r="B795">
        <f>IF(COUNTIFS('United Data'!$A$3:$A$3390,B$1,'United Data'!$C$3:$C$3390,$A795,'United Data'!$B$3:$B$3390,"&lt;&gt;Off-street")&gt;0,1,0)</f>
        <v>0</v>
      </c>
      <c r="C795">
        <f>IF(COUNTIFS('United Data'!$A$3:$A$3390,C$1,'United Data'!$C$3:$C$3390,$A795,'United Data'!$B$3:$B$3390,"&lt;&gt;Off-street")&gt;0,1,0)</f>
        <v>0</v>
      </c>
      <c r="D795">
        <f>IF(COUNTIFS('United Data'!$A$3:$A$3390,D$1,'United Data'!$C$3:$C$3390,$A795,'United Data'!$B$3:$B$3390,"&lt;&gt;Off-street")&gt;0,1,0)</f>
        <v>0</v>
      </c>
      <c r="E795">
        <f>IF(COUNTIFS('United Data'!$A$3:$A$3390,E$1,'United Data'!$C$3:$C$3390,$A795,'United Data'!$B$3:$B$3390,"&lt;&gt;Off-street")&gt;0,1,0)</f>
        <v>0</v>
      </c>
      <c r="F795">
        <f>IF(COUNTIFS('United Data'!$A$3:$A$3390,F$1,'United Data'!$C$3:$C$3390,$A795,'United Data'!$B$3:$B$3390,"&lt;&gt;Off-street")&gt;0,1,0)</f>
        <v>0</v>
      </c>
      <c r="G795">
        <f>IF(COUNTIFS('United Data'!$A$3:$A$3390,G$1,'United Data'!$C$3:$C$3390,$A795,'United Data'!$B$3:$B$3390,"&lt;&gt;Off-street")&gt;0,1,0)</f>
        <v>0</v>
      </c>
      <c r="H795">
        <f>IF(COUNTIFS('United Data'!$A$3:$A$3390,H$1,'United Data'!$C$3:$C$3390,$A795,'United Data'!$B$3:$B$3390,"&lt;&gt;Off-street")&gt;0,1,0)</f>
        <v>0</v>
      </c>
      <c r="I795">
        <f>IF(COUNTIFS('United Data'!$A$3:$A$3390,I$1,'United Data'!$C$3:$C$3390,$A795,'United Data'!$B$3:$B$3390,"&lt;&gt;Off-street")&gt;0,1,0)</f>
        <v>0</v>
      </c>
      <c r="J795">
        <f>IF(COUNTIFS('United Data'!$A$3:$A$3390,J$1,'United Data'!$C$3:$C$3390,$A795,'United Data'!$B$3:$B$3390,"&lt;&gt;Off-street")&gt;0,1,0)</f>
        <v>0</v>
      </c>
      <c r="K795">
        <f>IF(COUNTIFS('United Data'!$A$3:$A$3390,K$1,'United Data'!$C$3:$C$3390,$A795,'United Data'!$B$3:$B$3390,"&lt;&gt;Off-street")&gt;0,1,0)</f>
        <v>0</v>
      </c>
      <c r="L795">
        <f>IF(COUNTIFS('United Data'!$A$3:$A$3390,L$1,'United Data'!$C$3:$C$3390,$A795,'United Data'!$B$3:$B$3390,"&lt;&gt;Off-street")&gt;0,1,0)</f>
        <v>0</v>
      </c>
      <c r="M795">
        <f>IF(COUNTIFS('United Data'!$A$3:$A$3390,M$1,'United Data'!$C$3:$C$3390,$A795,'United Data'!$B$3:$B$3390,"&lt;&gt;Off-street")&gt;0,1,0)</f>
        <v>0</v>
      </c>
      <c r="N795">
        <f>IF(COUNTIFS('United Data'!$A$3:$A$3390,N$1,'United Data'!$C$3:$C$3390,$A795,'United Data'!$B$3:$B$3390,"&lt;&gt;Off-street")&gt;0,1,0)</f>
        <v>0</v>
      </c>
      <c r="O795">
        <f>IF(COUNTIFS('United Data'!$A$3:$A$3390,O$1,'United Data'!$C$3:$C$3390,$A795,'United Data'!$B$3:$B$3390,"&lt;&gt;Off-street")&gt;0,1,0)</f>
        <v>1</v>
      </c>
      <c r="P795">
        <f>IF(COUNTIFS('United Data'!$A$3:$A$3390,P$1,'United Data'!$C$3:$C$3390,$A795,'United Data'!$B$3:$B$3390,"&lt;&gt;Off-street")&gt;0,1,0)</f>
        <v>0</v>
      </c>
      <c r="Q795">
        <f>IF(COUNTIFS('United Data'!$A$3:$A$3390,Q$1,'United Data'!$C$3:$C$3390,$A795,'United Data'!$B$3:$B$3390,"&lt;&gt;Off-street")&gt;0,1,0)</f>
        <v>1</v>
      </c>
      <c r="R795">
        <f>IF(COUNTIFS('United Data'!$A$3:$A$3390,R$1,'United Data'!$C$3:$C$3390,$A795,'United Data'!$B$3:$B$3390,"&lt;&gt;Off-street")&gt;0,1,0)</f>
        <v>1</v>
      </c>
      <c r="S795">
        <f t="shared" si="24"/>
        <v>3</v>
      </c>
      <c r="T795">
        <f t="shared" si="25"/>
        <v>2</v>
      </c>
    </row>
    <row r="796" spans="1:20" x14ac:dyDescent="0.2">
      <c r="A796" t="s">
        <v>951</v>
      </c>
      <c r="B796">
        <f>IF(COUNTIFS('United Data'!$A$3:$A$3390,B$1,'United Data'!$C$3:$C$3390,$A796,'United Data'!$B$3:$B$3390,"&lt;&gt;Off-street")&gt;0,1,0)</f>
        <v>0</v>
      </c>
      <c r="C796">
        <f>IF(COUNTIFS('United Data'!$A$3:$A$3390,C$1,'United Data'!$C$3:$C$3390,$A796,'United Data'!$B$3:$B$3390,"&lt;&gt;Off-street")&gt;0,1,0)</f>
        <v>0</v>
      </c>
      <c r="D796">
        <f>IF(COUNTIFS('United Data'!$A$3:$A$3390,D$1,'United Data'!$C$3:$C$3390,$A796,'United Data'!$B$3:$B$3390,"&lt;&gt;Off-street")&gt;0,1,0)</f>
        <v>0</v>
      </c>
      <c r="E796">
        <f>IF(COUNTIFS('United Data'!$A$3:$A$3390,E$1,'United Data'!$C$3:$C$3390,$A796,'United Data'!$B$3:$B$3390,"&lt;&gt;Off-street")&gt;0,1,0)</f>
        <v>0</v>
      </c>
      <c r="F796">
        <f>IF(COUNTIFS('United Data'!$A$3:$A$3390,F$1,'United Data'!$C$3:$C$3390,$A796,'United Data'!$B$3:$B$3390,"&lt;&gt;Off-street")&gt;0,1,0)</f>
        <v>0</v>
      </c>
      <c r="G796">
        <f>IF(COUNTIFS('United Data'!$A$3:$A$3390,G$1,'United Data'!$C$3:$C$3390,$A796,'United Data'!$B$3:$B$3390,"&lt;&gt;Off-street")&gt;0,1,0)</f>
        <v>0</v>
      </c>
      <c r="H796">
        <f>IF(COUNTIFS('United Data'!$A$3:$A$3390,H$1,'United Data'!$C$3:$C$3390,$A796,'United Data'!$B$3:$B$3390,"&lt;&gt;Off-street")&gt;0,1,0)</f>
        <v>0</v>
      </c>
      <c r="I796">
        <f>IF(COUNTIFS('United Data'!$A$3:$A$3390,I$1,'United Data'!$C$3:$C$3390,$A796,'United Data'!$B$3:$B$3390,"&lt;&gt;Off-street")&gt;0,1,0)</f>
        <v>0</v>
      </c>
      <c r="J796">
        <f>IF(COUNTIFS('United Data'!$A$3:$A$3390,J$1,'United Data'!$C$3:$C$3390,$A796,'United Data'!$B$3:$B$3390,"&lt;&gt;Off-street")&gt;0,1,0)</f>
        <v>0</v>
      </c>
      <c r="K796">
        <f>IF(COUNTIFS('United Data'!$A$3:$A$3390,K$1,'United Data'!$C$3:$C$3390,$A796,'United Data'!$B$3:$B$3390,"&lt;&gt;Off-street")&gt;0,1,0)</f>
        <v>0</v>
      </c>
      <c r="L796">
        <f>IF(COUNTIFS('United Data'!$A$3:$A$3390,L$1,'United Data'!$C$3:$C$3390,$A796,'United Data'!$B$3:$B$3390,"&lt;&gt;Off-street")&gt;0,1,0)</f>
        <v>0</v>
      </c>
      <c r="M796">
        <f>IF(COUNTIFS('United Data'!$A$3:$A$3390,M$1,'United Data'!$C$3:$C$3390,$A796,'United Data'!$B$3:$B$3390,"&lt;&gt;Off-street")&gt;0,1,0)</f>
        <v>0</v>
      </c>
      <c r="N796">
        <f>IF(COUNTIFS('United Data'!$A$3:$A$3390,N$1,'United Data'!$C$3:$C$3390,$A796,'United Data'!$B$3:$B$3390,"&lt;&gt;Off-street")&gt;0,1,0)</f>
        <v>0</v>
      </c>
      <c r="O796">
        <f>IF(COUNTIFS('United Data'!$A$3:$A$3390,O$1,'United Data'!$C$3:$C$3390,$A796,'United Data'!$B$3:$B$3390,"&lt;&gt;Off-street")&gt;0,1,0)</f>
        <v>1</v>
      </c>
      <c r="P796">
        <f>IF(COUNTIFS('United Data'!$A$3:$A$3390,P$1,'United Data'!$C$3:$C$3390,$A796,'United Data'!$B$3:$B$3390,"&lt;&gt;Off-street")&gt;0,1,0)</f>
        <v>0</v>
      </c>
      <c r="Q796">
        <f>IF(COUNTIFS('United Data'!$A$3:$A$3390,Q$1,'United Data'!$C$3:$C$3390,$A796,'United Data'!$B$3:$B$3390,"&lt;&gt;Off-street")&gt;0,1,0)</f>
        <v>0</v>
      </c>
      <c r="R796">
        <f>IF(COUNTIFS('United Data'!$A$3:$A$3390,R$1,'United Data'!$C$3:$C$3390,$A796,'United Data'!$B$3:$B$3390,"&lt;&gt;Off-street")&gt;0,1,0)</f>
        <v>0</v>
      </c>
      <c r="S796">
        <f t="shared" si="24"/>
        <v>1</v>
      </c>
      <c r="T796">
        <f t="shared" si="25"/>
        <v>1</v>
      </c>
    </row>
    <row r="797" spans="1:20" x14ac:dyDescent="0.2">
      <c r="A797" t="s">
        <v>952</v>
      </c>
      <c r="B797">
        <f>IF(COUNTIFS('United Data'!$A$3:$A$3390,B$1,'United Data'!$C$3:$C$3390,$A797,'United Data'!$B$3:$B$3390,"&lt;&gt;Off-street")&gt;0,1,0)</f>
        <v>0</v>
      </c>
      <c r="C797">
        <f>IF(COUNTIFS('United Data'!$A$3:$A$3390,C$1,'United Data'!$C$3:$C$3390,$A797,'United Data'!$B$3:$B$3390,"&lt;&gt;Off-street")&gt;0,1,0)</f>
        <v>0</v>
      </c>
      <c r="D797">
        <f>IF(COUNTIFS('United Data'!$A$3:$A$3390,D$1,'United Data'!$C$3:$C$3390,$A797,'United Data'!$B$3:$B$3390,"&lt;&gt;Off-street")&gt;0,1,0)</f>
        <v>0</v>
      </c>
      <c r="E797">
        <f>IF(COUNTIFS('United Data'!$A$3:$A$3390,E$1,'United Data'!$C$3:$C$3390,$A797,'United Data'!$B$3:$B$3390,"&lt;&gt;Off-street")&gt;0,1,0)</f>
        <v>0</v>
      </c>
      <c r="F797">
        <f>IF(COUNTIFS('United Data'!$A$3:$A$3390,F$1,'United Data'!$C$3:$C$3390,$A797,'United Data'!$B$3:$B$3390,"&lt;&gt;Off-street")&gt;0,1,0)</f>
        <v>0</v>
      </c>
      <c r="G797">
        <f>IF(COUNTIFS('United Data'!$A$3:$A$3390,G$1,'United Data'!$C$3:$C$3390,$A797,'United Data'!$B$3:$B$3390,"&lt;&gt;Off-street")&gt;0,1,0)</f>
        <v>0</v>
      </c>
      <c r="H797">
        <f>IF(COUNTIFS('United Data'!$A$3:$A$3390,H$1,'United Data'!$C$3:$C$3390,$A797,'United Data'!$B$3:$B$3390,"&lt;&gt;Off-street")&gt;0,1,0)</f>
        <v>0</v>
      </c>
      <c r="I797">
        <f>IF(COUNTIFS('United Data'!$A$3:$A$3390,I$1,'United Data'!$C$3:$C$3390,$A797,'United Data'!$B$3:$B$3390,"&lt;&gt;Off-street")&gt;0,1,0)</f>
        <v>0</v>
      </c>
      <c r="J797">
        <f>IF(COUNTIFS('United Data'!$A$3:$A$3390,J$1,'United Data'!$C$3:$C$3390,$A797,'United Data'!$B$3:$B$3390,"&lt;&gt;Off-street")&gt;0,1,0)</f>
        <v>0</v>
      </c>
      <c r="K797">
        <f>IF(COUNTIFS('United Data'!$A$3:$A$3390,K$1,'United Data'!$C$3:$C$3390,$A797,'United Data'!$B$3:$B$3390,"&lt;&gt;Off-street")&gt;0,1,0)</f>
        <v>0</v>
      </c>
      <c r="L797">
        <f>IF(COUNTIFS('United Data'!$A$3:$A$3390,L$1,'United Data'!$C$3:$C$3390,$A797,'United Data'!$B$3:$B$3390,"&lt;&gt;Off-street")&gt;0,1,0)</f>
        <v>0</v>
      </c>
      <c r="M797">
        <f>IF(COUNTIFS('United Data'!$A$3:$A$3390,M$1,'United Data'!$C$3:$C$3390,$A797,'United Data'!$B$3:$B$3390,"&lt;&gt;Off-street")&gt;0,1,0)</f>
        <v>0</v>
      </c>
      <c r="N797">
        <f>IF(COUNTIFS('United Data'!$A$3:$A$3390,N$1,'United Data'!$C$3:$C$3390,$A797,'United Data'!$B$3:$B$3390,"&lt;&gt;Off-street")&gt;0,1,0)</f>
        <v>0</v>
      </c>
      <c r="O797">
        <f>IF(COUNTIFS('United Data'!$A$3:$A$3390,O$1,'United Data'!$C$3:$C$3390,$A797,'United Data'!$B$3:$B$3390,"&lt;&gt;Off-street")&gt;0,1,0)</f>
        <v>0</v>
      </c>
      <c r="P797">
        <f>IF(COUNTIFS('United Data'!$A$3:$A$3390,P$1,'United Data'!$C$3:$C$3390,$A797,'United Data'!$B$3:$B$3390,"&lt;&gt;Off-street")&gt;0,1,0)</f>
        <v>1</v>
      </c>
      <c r="Q797">
        <f>IF(COUNTIFS('United Data'!$A$3:$A$3390,Q$1,'United Data'!$C$3:$C$3390,$A797,'United Data'!$B$3:$B$3390,"&lt;&gt;Off-street")&gt;0,1,0)</f>
        <v>1</v>
      </c>
      <c r="R797">
        <f>IF(COUNTIFS('United Data'!$A$3:$A$3390,R$1,'United Data'!$C$3:$C$3390,$A797,'United Data'!$B$3:$B$3390,"&lt;&gt;Off-street")&gt;0,1,0)</f>
        <v>1</v>
      </c>
      <c r="S797">
        <f t="shared" si="24"/>
        <v>3</v>
      </c>
      <c r="T797">
        <f t="shared" si="25"/>
        <v>1</v>
      </c>
    </row>
    <row r="798" spans="1:20" x14ac:dyDescent="0.2">
      <c r="A798" t="s">
        <v>953</v>
      </c>
      <c r="B798">
        <f>IF(COUNTIFS('United Data'!$A$3:$A$3390,B$1,'United Data'!$C$3:$C$3390,$A798,'United Data'!$B$3:$B$3390,"&lt;&gt;Off-street")&gt;0,1,0)</f>
        <v>0</v>
      </c>
      <c r="C798">
        <f>IF(COUNTIFS('United Data'!$A$3:$A$3390,C$1,'United Data'!$C$3:$C$3390,$A798,'United Data'!$B$3:$B$3390,"&lt;&gt;Off-street")&gt;0,1,0)</f>
        <v>0</v>
      </c>
      <c r="D798">
        <f>IF(COUNTIFS('United Data'!$A$3:$A$3390,D$1,'United Data'!$C$3:$C$3390,$A798,'United Data'!$B$3:$B$3390,"&lt;&gt;Off-street")&gt;0,1,0)</f>
        <v>0</v>
      </c>
      <c r="E798">
        <f>IF(COUNTIFS('United Data'!$A$3:$A$3390,E$1,'United Data'!$C$3:$C$3390,$A798,'United Data'!$B$3:$B$3390,"&lt;&gt;Off-street")&gt;0,1,0)</f>
        <v>0</v>
      </c>
      <c r="F798">
        <f>IF(COUNTIFS('United Data'!$A$3:$A$3390,F$1,'United Data'!$C$3:$C$3390,$A798,'United Data'!$B$3:$B$3390,"&lt;&gt;Off-street")&gt;0,1,0)</f>
        <v>0</v>
      </c>
      <c r="G798">
        <f>IF(COUNTIFS('United Data'!$A$3:$A$3390,G$1,'United Data'!$C$3:$C$3390,$A798,'United Data'!$B$3:$B$3390,"&lt;&gt;Off-street")&gt;0,1,0)</f>
        <v>0</v>
      </c>
      <c r="H798">
        <f>IF(COUNTIFS('United Data'!$A$3:$A$3390,H$1,'United Data'!$C$3:$C$3390,$A798,'United Data'!$B$3:$B$3390,"&lt;&gt;Off-street")&gt;0,1,0)</f>
        <v>0</v>
      </c>
      <c r="I798">
        <f>IF(COUNTIFS('United Data'!$A$3:$A$3390,I$1,'United Data'!$C$3:$C$3390,$A798,'United Data'!$B$3:$B$3390,"&lt;&gt;Off-street")&gt;0,1,0)</f>
        <v>0</v>
      </c>
      <c r="J798">
        <f>IF(COUNTIFS('United Data'!$A$3:$A$3390,J$1,'United Data'!$C$3:$C$3390,$A798,'United Data'!$B$3:$B$3390,"&lt;&gt;Off-street")&gt;0,1,0)</f>
        <v>0</v>
      </c>
      <c r="K798">
        <f>IF(COUNTIFS('United Data'!$A$3:$A$3390,K$1,'United Data'!$C$3:$C$3390,$A798,'United Data'!$B$3:$B$3390,"&lt;&gt;Off-street")&gt;0,1,0)</f>
        <v>0</v>
      </c>
      <c r="L798">
        <f>IF(COUNTIFS('United Data'!$A$3:$A$3390,L$1,'United Data'!$C$3:$C$3390,$A798,'United Data'!$B$3:$B$3390,"&lt;&gt;Off-street")&gt;0,1,0)</f>
        <v>0</v>
      </c>
      <c r="M798">
        <f>IF(COUNTIFS('United Data'!$A$3:$A$3390,M$1,'United Data'!$C$3:$C$3390,$A798,'United Data'!$B$3:$B$3390,"&lt;&gt;Off-street")&gt;0,1,0)</f>
        <v>0</v>
      </c>
      <c r="N798">
        <f>IF(COUNTIFS('United Data'!$A$3:$A$3390,N$1,'United Data'!$C$3:$C$3390,$A798,'United Data'!$B$3:$B$3390,"&lt;&gt;Off-street")&gt;0,1,0)</f>
        <v>0</v>
      </c>
      <c r="O798">
        <f>IF(COUNTIFS('United Data'!$A$3:$A$3390,O$1,'United Data'!$C$3:$C$3390,$A798,'United Data'!$B$3:$B$3390,"&lt;&gt;Off-street")&gt;0,1,0)</f>
        <v>0</v>
      </c>
      <c r="P798">
        <f>IF(COUNTIFS('United Data'!$A$3:$A$3390,P$1,'United Data'!$C$3:$C$3390,$A798,'United Data'!$B$3:$B$3390,"&lt;&gt;Off-street")&gt;0,1,0)</f>
        <v>1</v>
      </c>
      <c r="Q798">
        <f>IF(COUNTIFS('United Data'!$A$3:$A$3390,Q$1,'United Data'!$C$3:$C$3390,$A798,'United Data'!$B$3:$B$3390,"&lt;&gt;Off-street")&gt;0,1,0)</f>
        <v>1</v>
      </c>
      <c r="R798">
        <f>IF(COUNTIFS('United Data'!$A$3:$A$3390,R$1,'United Data'!$C$3:$C$3390,$A798,'United Data'!$B$3:$B$3390,"&lt;&gt;Off-street")&gt;0,1,0)</f>
        <v>0</v>
      </c>
      <c r="S798">
        <f t="shared" si="24"/>
        <v>2</v>
      </c>
      <c r="T798">
        <f t="shared" si="25"/>
        <v>1</v>
      </c>
    </row>
    <row r="799" spans="1:20" x14ac:dyDescent="0.2">
      <c r="A799" t="s">
        <v>954</v>
      </c>
      <c r="B799">
        <f>IF(COUNTIFS('United Data'!$A$3:$A$3390,B$1,'United Data'!$C$3:$C$3390,$A799,'United Data'!$B$3:$B$3390,"&lt;&gt;Off-street")&gt;0,1,0)</f>
        <v>0</v>
      </c>
      <c r="C799">
        <f>IF(COUNTIFS('United Data'!$A$3:$A$3390,C$1,'United Data'!$C$3:$C$3390,$A799,'United Data'!$B$3:$B$3390,"&lt;&gt;Off-street")&gt;0,1,0)</f>
        <v>0</v>
      </c>
      <c r="D799">
        <f>IF(COUNTIFS('United Data'!$A$3:$A$3390,D$1,'United Data'!$C$3:$C$3390,$A799,'United Data'!$B$3:$B$3390,"&lt;&gt;Off-street")&gt;0,1,0)</f>
        <v>0</v>
      </c>
      <c r="E799">
        <f>IF(COUNTIFS('United Data'!$A$3:$A$3390,E$1,'United Data'!$C$3:$C$3390,$A799,'United Data'!$B$3:$B$3390,"&lt;&gt;Off-street")&gt;0,1,0)</f>
        <v>0</v>
      </c>
      <c r="F799">
        <f>IF(COUNTIFS('United Data'!$A$3:$A$3390,F$1,'United Data'!$C$3:$C$3390,$A799,'United Data'!$B$3:$B$3390,"&lt;&gt;Off-street")&gt;0,1,0)</f>
        <v>0</v>
      </c>
      <c r="G799">
        <f>IF(COUNTIFS('United Data'!$A$3:$A$3390,G$1,'United Data'!$C$3:$C$3390,$A799,'United Data'!$B$3:$B$3390,"&lt;&gt;Off-street")&gt;0,1,0)</f>
        <v>0</v>
      </c>
      <c r="H799">
        <f>IF(COUNTIFS('United Data'!$A$3:$A$3390,H$1,'United Data'!$C$3:$C$3390,$A799,'United Data'!$B$3:$B$3390,"&lt;&gt;Off-street")&gt;0,1,0)</f>
        <v>0</v>
      </c>
      <c r="I799">
        <f>IF(COUNTIFS('United Data'!$A$3:$A$3390,I$1,'United Data'!$C$3:$C$3390,$A799,'United Data'!$B$3:$B$3390,"&lt;&gt;Off-street")&gt;0,1,0)</f>
        <v>0</v>
      </c>
      <c r="J799">
        <f>IF(COUNTIFS('United Data'!$A$3:$A$3390,J$1,'United Data'!$C$3:$C$3390,$A799,'United Data'!$B$3:$B$3390,"&lt;&gt;Off-street")&gt;0,1,0)</f>
        <v>0</v>
      </c>
      <c r="K799">
        <f>IF(COUNTIFS('United Data'!$A$3:$A$3390,K$1,'United Data'!$C$3:$C$3390,$A799,'United Data'!$B$3:$B$3390,"&lt;&gt;Off-street")&gt;0,1,0)</f>
        <v>0</v>
      </c>
      <c r="L799">
        <f>IF(COUNTIFS('United Data'!$A$3:$A$3390,L$1,'United Data'!$C$3:$C$3390,$A799,'United Data'!$B$3:$B$3390,"&lt;&gt;Off-street")&gt;0,1,0)</f>
        <v>0</v>
      </c>
      <c r="M799">
        <f>IF(COUNTIFS('United Data'!$A$3:$A$3390,M$1,'United Data'!$C$3:$C$3390,$A799,'United Data'!$B$3:$B$3390,"&lt;&gt;Off-street")&gt;0,1,0)</f>
        <v>0</v>
      </c>
      <c r="N799">
        <f>IF(COUNTIFS('United Data'!$A$3:$A$3390,N$1,'United Data'!$C$3:$C$3390,$A799,'United Data'!$B$3:$B$3390,"&lt;&gt;Off-street")&gt;0,1,0)</f>
        <v>0</v>
      </c>
      <c r="O799">
        <f>IF(COUNTIFS('United Data'!$A$3:$A$3390,O$1,'United Data'!$C$3:$C$3390,$A799,'United Data'!$B$3:$B$3390,"&lt;&gt;Off-street")&gt;0,1,0)</f>
        <v>0</v>
      </c>
      <c r="P799">
        <f>IF(COUNTIFS('United Data'!$A$3:$A$3390,P$1,'United Data'!$C$3:$C$3390,$A799,'United Data'!$B$3:$B$3390,"&lt;&gt;Off-street")&gt;0,1,0)</f>
        <v>1</v>
      </c>
      <c r="Q799">
        <f>IF(COUNTIFS('United Data'!$A$3:$A$3390,Q$1,'United Data'!$C$3:$C$3390,$A799,'United Data'!$B$3:$B$3390,"&lt;&gt;Off-street")&gt;0,1,0)</f>
        <v>1</v>
      </c>
      <c r="R799">
        <f>IF(COUNTIFS('United Data'!$A$3:$A$3390,R$1,'United Data'!$C$3:$C$3390,$A799,'United Data'!$B$3:$B$3390,"&lt;&gt;Off-street")&gt;0,1,0)</f>
        <v>0</v>
      </c>
      <c r="S799">
        <f t="shared" si="24"/>
        <v>2</v>
      </c>
      <c r="T799">
        <f t="shared" si="25"/>
        <v>1</v>
      </c>
    </row>
    <row r="800" spans="1:20" x14ac:dyDescent="0.2">
      <c r="A800" t="s">
        <v>955</v>
      </c>
      <c r="B800">
        <f>IF(COUNTIFS('United Data'!$A$3:$A$3390,B$1,'United Data'!$C$3:$C$3390,$A800,'United Data'!$B$3:$B$3390,"&lt;&gt;Off-street")&gt;0,1,0)</f>
        <v>0</v>
      </c>
      <c r="C800">
        <f>IF(COUNTIFS('United Data'!$A$3:$A$3390,C$1,'United Data'!$C$3:$C$3390,$A800,'United Data'!$B$3:$B$3390,"&lt;&gt;Off-street")&gt;0,1,0)</f>
        <v>0</v>
      </c>
      <c r="D800">
        <f>IF(COUNTIFS('United Data'!$A$3:$A$3390,D$1,'United Data'!$C$3:$C$3390,$A800,'United Data'!$B$3:$B$3390,"&lt;&gt;Off-street")&gt;0,1,0)</f>
        <v>0</v>
      </c>
      <c r="E800">
        <f>IF(COUNTIFS('United Data'!$A$3:$A$3390,E$1,'United Data'!$C$3:$C$3390,$A800,'United Data'!$B$3:$B$3390,"&lt;&gt;Off-street")&gt;0,1,0)</f>
        <v>0</v>
      </c>
      <c r="F800">
        <f>IF(COUNTIFS('United Data'!$A$3:$A$3390,F$1,'United Data'!$C$3:$C$3390,$A800,'United Data'!$B$3:$B$3390,"&lt;&gt;Off-street")&gt;0,1,0)</f>
        <v>0</v>
      </c>
      <c r="G800">
        <f>IF(COUNTIFS('United Data'!$A$3:$A$3390,G$1,'United Data'!$C$3:$C$3390,$A800,'United Data'!$B$3:$B$3390,"&lt;&gt;Off-street")&gt;0,1,0)</f>
        <v>0</v>
      </c>
      <c r="H800">
        <f>IF(COUNTIFS('United Data'!$A$3:$A$3390,H$1,'United Data'!$C$3:$C$3390,$A800,'United Data'!$B$3:$B$3390,"&lt;&gt;Off-street")&gt;0,1,0)</f>
        <v>0</v>
      </c>
      <c r="I800">
        <f>IF(COUNTIFS('United Data'!$A$3:$A$3390,I$1,'United Data'!$C$3:$C$3390,$A800,'United Data'!$B$3:$B$3390,"&lt;&gt;Off-street")&gt;0,1,0)</f>
        <v>0</v>
      </c>
      <c r="J800">
        <f>IF(COUNTIFS('United Data'!$A$3:$A$3390,J$1,'United Data'!$C$3:$C$3390,$A800,'United Data'!$B$3:$B$3390,"&lt;&gt;Off-street")&gt;0,1,0)</f>
        <v>0</v>
      </c>
      <c r="K800">
        <f>IF(COUNTIFS('United Data'!$A$3:$A$3390,K$1,'United Data'!$C$3:$C$3390,$A800,'United Data'!$B$3:$B$3390,"&lt;&gt;Off-street")&gt;0,1,0)</f>
        <v>0</v>
      </c>
      <c r="L800">
        <f>IF(COUNTIFS('United Data'!$A$3:$A$3390,L$1,'United Data'!$C$3:$C$3390,$A800,'United Data'!$B$3:$B$3390,"&lt;&gt;Off-street")&gt;0,1,0)</f>
        <v>0</v>
      </c>
      <c r="M800">
        <f>IF(COUNTIFS('United Data'!$A$3:$A$3390,M$1,'United Data'!$C$3:$C$3390,$A800,'United Data'!$B$3:$B$3390,"&lt;&gt;Off-street")&gt;0,1,0)</f>
        <v>0</v>
      </c>
      <c r="N800">
        <f>IF(COUNTIFS('United Data'!$A$3:$A$3390,N$1,'United Data'!$C$3:$C$3390,$A800,'United Data'!$B$3:$B$3390,"&lt;&gt;Off-street")&gt;0,1,0)</f>
        <v>0</v>
      </c>
      <c r="O800">
        <f>IF(COUNTIFS('United Data'!$A$3:$A$3390,O$1,'United Data'!$C$3:$C$3390,$A800,'United Data'!$B$3:$B$3390,"&lt;&gt;Off-street")&gt;0,1,0)</f>
        <v>0</v>
      </c>
      <c r="P800">
        <f>IF(COUNTIFS('United Data'!$A$3:$A$3390,P$1,'United Data'!$C$3:$C$3390,$A800,'United Data'!$B$3:$B$3390,"&lt;&gt;Off-street")&gt;0,1,0)</f>
        <v>1</v>
      </c>
      <c r="Q800">
        <f>IF(COUNTIFS('United Data'!$A$3:$A$3390,Q$1,'United Data'!$C$3:$C$3390,$A800,'United Data'!$B$3:$B$3390,"&lt;&gt;Off-street")&gt;0,1,0)</f>
        <v>0</v>
      </c>
      <c r="R800">
        <f>IF(COUNTIFS('United Data'!$A$3:$A$3390,R$1,'United Data'!$C$3:$C$3390,$A800,'United Data'!$B$3:$B$3390,"&lt;&gt;Off-street")&gt;0,1,0)</f>
        <v>0</v>
      </c>
      <c r="S800">
        <f t="shared" si="24"/>
        <v>1</v>
      </c>
      <c r="T800">
        <f t="shared" si="25"/>
        <v>1</v>
      </c>
    </row>
    <row r="801" spans="1:20" x14ac:dyDescent="0.2">
      <c r="A801" t="s">
        <v>956</v>
      </c>
      <c r="B801">
        <f>IF(COUNTIFS('United Data'!$A$3:$A$3390,B$1,'United Data'!$C$3:$C$3390,$A801,'United Data'!$B$3:$B$3390,"&lt;&gt;Off-street")&gt;0,1,0)</f>
        <v>0</v>
      </c>
      <c r="C801">
        <f>IF(COUNTIFS('United Data'!$A$3:$A$3390,C$1,'United Data'!$C$3:$C$3390,$A801,'United Data'!$B$3:$B$3390,"&lt;&gt;Off-street")&gt;0,1,0)</f>
        <v>0</v>
      </c>
      <c r="D801">
        <f>IF(COUNTIFS('United Data'!$A$3:$A$3390,D$1,'United Data'!$C$3:$C$3390,$A801,'United Data'!$B$3:$B$3390,"&lt;&gt;Off-street")&gt;0,1,0)</f>
        <v>0</v>
      </c>
      <c r="E801">
        <f>IF(COUNTIFS('United Data'!$A$3:$A$3390,E$1,'United Data'!$C$3:$C$3390,$A801,'United Data'!$B$3:$B$3390,"&lt;&gt;Off-street")&gt;0,1,0)</f>
        <v>0</v>
      </c>
      <c r="F801">
        <f>IF(COUNTIFS('United Data'!$A$3:$A$3390,F$1,'United Data'!$C$3:$C$3390,$A801,'United Data'!$B$3:$B$3390,"&lt;&gt;Off-street")&gt;0,1,0)</f>
        <v>0</v>
      </c>
      <c r="G801">
        <f>IF(COUNTIFS('United Data'!$A$3:$A$3390,G$1,'United Data'!$C$3:$C$3390,$A801,'United Data'!$B$3:$B$3390,"&lt;&gt;Off-street")&gt;0,1,0)</f>
        <v>0</v>
      </c>
      <c r="H801">
        <f>IF(COUNTIFS('United Data'!$A$3:$A$3390,H$1,'United Data'!$C$3:$C$3390,$A801,'United Data'!$B$3:$B$3390,"&lt;&gt;Off-street")&gt;0,1,0)</f>
        <v>0</v>
      </c>
      <c r="I801">
        <f>IF(COUNTIFS('United Data'!$A$3:$A$3390,I$1,'United Data'!$C$3:$C$3390,$A801,'United Data'!$B$3:$B$3390,"&lt;&gt;Off-street")&gt;0,1,0)</f>
        <v>0</v>
      </c>
      <c r="J801">
        <f>IF(COUNTIFS('United Data'!$A$3:$A$3390,J$1,'United Data'!$C$3:$C$3390,$A801,'United Data'!$B$3:$B$3390,"&lt;&gt;Off-street")&gt;0,1,0)</f>
        <v>0</v>
      </c>
      <c r="K801">
        <f>IF(COUNTIFS('United Data'!$A$3:$A$3390,K$1,'United Data'!$C$3:$C$3390,$A801,'United Data'!$B$3:$B$3390,"&lt;&gt;Off-street")&gt;0,1,0)</f>
        <v>0</v>
      </c>
      <c r="L801">
        <f>IF(COUNTIFS('United Data'!$A$3:$A$3390,L$1,'United Data'!$C$3:$C$3390,$A801,'United Data'!$B$3:$B$3390,"&lt;&gt;Off-street")&gt;0,1,0)</f>
        <v>0</v>
      </c>
      <c r="M801">
        <f>IF(COUNTIFS('United Data'!$A$3:$A$3390,M$1,'United Data'!$C$3:$C$3390,$A801,'United Data'!$B$3:$B$3390,"&lt;&gt;Off-street")&gt;0,1,0)</f>
        <v>0</v>
      </c>
      <c r="N801">
        <f>IF(COUNTIFS('United Data'!$A$3:$A$3390,N$1,'United Data'!$C$3:$C$3390,$A801,'United Data'!$B$3:$B$3390,"&lt;&gt;Off-street")&gt;0,1,0)</f>
        <v>0</v>
      </c>
      <c r="O801">
        <f>IF(COUNTIFS('United Data'!$A$3:$A$3390,O$1,'United Data'!$C$3:$C$3390,$A801,'United Data'!$B$3:$B$3390,"&lt;&gt;Off-street")&gt;0,1,0)</f>
        <v>0</v>
      </c>
      <c r="P801">
        <f>IF(COUNTIFS('United Data'!$A$3:$A$3390,P$1,'United Data'!$C$3:$C$3390,$A801,'United Data'!$B$3:$B$3390,"&lt;&gt;Off-street")&gt;0,1,0)</f>
        <v>0</v>
      </c>
      <c r="Q801">
        <f>IF(COUNTIFS('United Data'!$A$3:$A$3390,Q$1,'United Data'!$C$3:$C$3390,$A801,'United Data'!$B$3:$B$3390,"&lt;&gt;Off-street")&gt;0,1,0)</f>
        <v>1</v>
      </c>
      <c r="R801">
        <f>IF(COUNTIFS('United Data'!$A$3:$A$3390,R$1,'United Data'!$C$3:$C$3390,$A801,'United Data'!$B$3:$B$3390,"&lt;&gt;Off-street")&gt;0,1,0)</f>
        <v>0</v>
      </c>
      <c r="S801">
        <f t="shared" si="24"/>
        <v>1</v>
      </c>
      <c r="T801">
        <f t="shared" si="25"/>
        <v>1</v>
      </c>
    </row>
    <row r="802" spans="1:20" x14ac:dyDescent="0.2">
      <c r="A802" t="s">
        <v>957</v>
      </c>
      <c r="B802">
        <f>IF(COUNTIFS('United Data'!$A$3:$A$3390,B$1,'United Data'!$C$3:$C$3390,$A802,'United Data'!$B$3:$B$3390,"&lt;&gt;Off-street")&gt;0,1,0)</f>
        <v>0</v>
      </c>
      <c r="C802">
        <f>IF(COUNTIFS('United Data'!$A$3:$A$3390,C$1,'United Data'!$C$3:$C$3390,$A802,'United Data'!$B$3:$B$3390,"&lt;&gt;Off-street")&gt;0,1,0)</f>
        <v>0</v>
      </c>
      <c r="D802">
        <f>IF(COUNTIFS('United Data'!$A$3:$A$3390,D$1,'United Data'!$C$3:$C$3390,$A802,'United Data'!$B$3:$B$3390,"&lt;&gt;Off-street")&gt;0,1,0)</f>
        <v>0</v>
      </c>
      <c r="E802">
        <f>IF(COUNTIFS('United Data'!$A$3:$A$3390,E$1,'United Data'!$C$3:$C$3390,$A802,'United Data'!$B$3:$B$3390,"&lt;&gt;Off-street")&gt;0,1,0)</f>
        <v>0</v>
      </c>
      <c r="F802">
        <f>IF(COUNTIFS('United Data'!$A$3:$A$3390,F$1,'United Data'!$C$3:$C$3390,$A802,'United Data'!$B$3:$B$3390,"&lt;&gt;Off-street")&gt;0,1,0)</f>
        <v>0</v>
      </c>
      <c r="G802">
        <f>IF(COUNTIFS('United Data'!$A$3:$A$3390,G$1,'United Data'!$C$3:$C$3390,$A802,'United Data'!$B$3:$B$3390,"&lt;&gt;Off-street")&gt;0,1,0)</f>
        <v>0</v>
      </c>
      <c r="H802">
        <f>IF(COUNTIFS('United Data'!$A$3:$A$3390,H$1,'United Data'!$C$3:$C$3390,$A802,'United Data'!$B$3:$B$3390,"&lt;&gt;Off-street")&gt;0,1,0)</f>
        <v>0</v>
      </c>
      <c r="I802">
        <f>IF(COUNTIFS('United Data'!$A$3:$A$3390,I$1,'United Data'!$C$3:$C$3390,$A802,'United Data'!$B$3:$B$3390,"&lt;&gt;Off-street")&gt;0,1,0)</f>
        <v>0</v>
      </c>
      <c r="J802">
        <f>IF(COUNTIFS('United Data'!$A$3:$A$3390,J$1,'United Data'!$C$3:$C$3390,$A802,'United Data'!$B$3:$B$3390,"&lt;&gt;Off-street")&gt;0,1,0)</f>
        <v>0</v>
      </c>
      <c r="K802">
        <f>IF(COUNTIFS('United Data'!$A$3:$A$3390,K$1,'United Data'!$C$3:$C$3390,$A802,'United Data'!$B$3:$B$3390,"&lt;&gt;Off-street")&gt;0,1,0)</f>
        <v>0</v>
      </c>
      <c r="L802">
        <f>IF(COUNTIFS('United Data'!$A$3:$A$3390,L$1,'United Data'!$C$3:$C$3390,$A802,'United Data'!$B$3:$B$3390,"&lt;&gt;Off-street")&gt;0,1,0)</f>
        <v>0</v>
      </c>
      <c r="M802">
        <f>IF(COUNTIFS('United Data'!$A$3:$A$3390,M$1,'United Data'!$C$3:$C$3390,$A802,'United Data'!$B$3:$B$3390,"&lt;&gt;Off-street")&gt;0,1,0)</f>
        <v>0</v>
      </c>
      <c r="N802">
        <f>IF(COUNTIFS('United Data'!$A$3:$A$3390,N$1,'United Data'!$C$3:$C$3390,$A802,'United Data'!$B$3:$B$3390,"&lt;&gt;Off-street")&gt;0,1,0)</f>
        <v>0</v>
      </c>
      <c r="O802">
        <f>IF(COUNTIFS('United Data'!$A$3:$A$3390,O$1,'United Data'!$C$3:$C$3390,$A802,'United Data'!$B$3:$B$3390,"&lt;&gt;Off-street")&gt;0,1,0)</f>
        <v>0</v>
      </c>
      <c r="P802">
        <f>IF(COUNTIFS('United Data'!$A$3:$A$3390,P$1,'United Data'!$C$3:$C$3390,$A802,'United Data'!$B$3:$B$3390,"&lt;&gt;Off-street")&gt;0,1,0)</f>
        <v>0</v>
      </c>
      <c r="Q802">
        <f>IF(COUNTIFS('United Data'!$A$3:$A$3390,Q$1,'United Data'!$C$3:$C$3390,$A802,'United Data'!$B$3:$B$3390,"&lt;&gt;Off-street")&gt;0,1,0)</f>
        <v>1</v>
      </c>
      <c r="R802">
        <f>IF(COUNTIFS('United Data'!$A$3:$A$3390,R$1,'United Data'!$C$3:$C$3390,$A802,'United Data'!$B$3:$B$3390,"&lt;&gt;Off-street")&gt;0,1,0)</f>
        <v>1</v>
      </c>
      <c r="S802">
        <f t="shared" si="24"/>
        <v>2</v>
      </c>
      <c r="T802">
        <f t="shared" si="25"/>
        <v>1</v>
      </c>
    </row>
    <row r="803" spans="1:20" x14ac:dyDescent="0.2">
      <c r="A803" t="s">
        <v>958</v>
      </c>
      <c r="B803">
        <f>IF(COUNTIFS('United Data'!$A$3:$A$3390,B$1,'United Data'!$C$3:$C$3390,$A803,'United Data'!$B$3:$B$3390,"&lt;&gt;Off-street")&gt;0,1,0)</f>
        <v>0</v>
      </c>
      <c r="C803">
        <f>IF(COUNTIFS('United Data'!$A$3:$A$3390,C$1,'United Data'!$C$3:$C$3390,$A803,'United Data'!$B$3:$B$3390,"&lt;&gt;Off-street")&gt;0,1,0)</f>
        <v>0</v>
      </c>
      <c r="D803">
        <f>IF(COUNTIFS('United Data'!$A$3:$A$3390,D$1,'United Data'!$C$3:$C$3390,$A803,'United Data'!$B$3:$B$3390,"&lt;&gt;Off-street")&gt;0,1,0)</f>
        <v>0</v>
      </c>
      <c r="E803">
        <f>IF(COUNTIFS('United Data'!$A$3:$A$3390,E$1,'United Data'!$C$3:$C$3390,$A803,'United Data'!$B$3:$B$3390,"&lt;&gt;Off-street")&gt;0,1,0)</f>
        <v>0</v>
      </c>
      <c r="F803">
        <f>IF(COUNTIFS('United Data'!$A$3:$A$3390,F$1,'United Data'!$C$3:$C$3390,$A803,'United Data'!$B$3:$B$3390,"&lt;&gt;Off-street")&gt;0,1,0)</f>
        <v>0</v>
      </c>
      <c r="G803">
        <f>IF(COUNTIFS('United Data'!$A$3:$A$3390,G$1,'United Data'!$C$3:$C$3390,$A803,'United Data'!$B$3:$B$3390,"&lt;&gt;Off-street")&gt;0,1,0)</f>
        <v>0</v>
      </c>
      <c r="H803">
        <f>IF(COUNTIFS('United Data'!$A$3:$A$3390,H$1,'United Data'!$C$3:$C$3390,$A803,'United Data'!$B$3:$B$3390,"&lt;&gt;Off-street")&gt;0,1,0)</f>
        <v>0</v>
      </c>
      <c r="I803">
        <f>IF(COUNTIFS('United Data'!$A$3:$A$3390,I$1,'United Data'!$C$3:$C$3390,$A803,'United Data'!$B$3:$B$3390,"&lt;&gt;Off-street")&gt;0,1,0)</f>
        <v>0</v>
      </c>
      <c r="J803">
        <f>IF(COUNTIFS('United Data'!$A$3:$A$3390,J$1,'United Data'!$C$3:$C$3390,$A803,'United Data'!$B$3:$B$3390,"&lt;&gt;Off-street")&gt;0,1,0)</f>
        <v>0</v>
      </c>
      <c r="K803">
        <f>IF(COUNTIFS('United Data'!$A$3:$A$3390,K$1,'United Data'!$C$3:$C$3390,$A803,'United Data'!$B$3:$B$3390,"&lt;&gt;Off-street")&gt;0,1,0)</f>
        <v>0</v>
      </c>
      <c r="L803">
        <f>IF(COUNTIFS('United Data'!$A$3:$A$3390,L$1,'United Data'!$C$3:$C$3390,$A803,'United Data'!$B$3:$B$3390,"&lt;&gt;Off-street")&gt;0,1,0)</f>
        <v>0</v>
      </c>
      <c r="M803">
        <f>IF(COUNTIFS('United Data'!$A$3:$A$3390,M$1,'United Data'!$C$3:$C$3390,$A803,'United Data'!$B$3:$B$3390,"&lt;&gt;Off-street")&gt;0,1,0)</f>
        <v>0</v>
      </c>
      <c r="N803">
        <f>IF(COUNTIFS('United Data'!$A$3:$A$3390,N$1,'United Data'!$C$3:$C$3390,$A803,'United Data'!$B$3:$B$3390,"&lt;&gt;Off-street")&gt;0,1,0)</f>
        <v>0</v>
      </c>
      <c r="O803">
        <f>IF(COUNTIFS('United Data'!$A$3:$A$3390,O$1,'United Data'!$C$3:$C$3390,$A803,'United Data'!$B$3:$B$3390,"&lt;&gt;Off-street")&gt;0,1,0)</f>
        <v>0</v>
      </c>
      <c r="P803">
        <f>IF(COUNTIFS('United Data'!$A$3:$A$3390,P$1,'United Data'!$C$3:$C$3390,$A803,'United Data'!$B$3:$B$3390,"&lt;&gt;Off-street")&gt;0,1,0)</f>
        <v>0</v>
      </c>
      <c r="Q803">
        <f>IF(COUNTIFS('United Data'!$A$3:$A$3390,Q$1,'United Data'!$C$3:$C$3390,$A803,'United Data'!$B$3:$B$3390,"&lt;&gt;Off-street")&gt;0,1,0)</f>
        <v>1</v>
      </c>
      <c r="R803">
        <f>IF(COUNTIFS('United Data'!$A$3:$A$3390,R$1,'United Data'!$C$3:$C$3390,$A803,'United Data'!$B$3:$B$3390,"&lt;&gt;Off-street")&gt;0,1,0)</f>
        <v>0</v>
      </c>
      <c r="S803">
        <f t="shared" si="24"/>
        <v>1</v>
      </c>
      <c r="T803">
        <f t="shared" si="25"/>
        <v>1</v>
      </c>
    </row>
    <row r="804" spans="1:20" x14ac:dyDescent="0.2">
      <c r="A804" t="s">
        <v>959</v>
      </c>
      <c r="B804">
        <f>IF(COUNTIFS('United Data'!$A$3:$A$3390,B$1,'United Data'!$C$3:$C$3390,$A804,'United Data'!$B$3:$B$3390,"&lt;&gt;Off-street")&gt;0,1,0)</f>
        <v>0</v>
      </c>
      <c r="C804">
        <f>IF(COUNTIFS('United Data'!$A$3:$A$3390,C$1,'United Data'!$C$3:$C$3390,$A804,'United Data'!$B$3:$B$3390,"&lt;&gt;Off-street")&gt;0,1,0)</f>
        <v>0</v>
      </c>
      <c r="D804">
        <f>IF(COUNTIFS('United Data'!$A$3:$A$3390,D$1,'United Data'!$C$3:$C$3390,$A804,'United Data'!$B$3:$B$3390,"&lt;&gt;Off-street")&gt;0,1,0)</f>
        <v>0</v>
      </c>
      <c r="E804">
        <f>IF(COUNTIFS('United Data'!$A$3:$A$3390,E$1,'United Data'!$C$3:$C$3390,$A804,'United Data'!$B$3:$B$3390,"&lt;&gt;Off-street")&gt;0,1,0)</f>
        <v>0</v>
      </c>
      <c r="F804">
        <f>IF(COUNTIFS('United Data'!$A$3:$A$3390,F$1,'United Data'!$C$3:$C$3390,$A804,'United Data'!$B$3:$B$3390,"&lt;&gt;Off-street")&gt;0,1,0)</f>
        <v>0</v>
      </c>
      <c r="G804">
        <f>IF(COUNTIFS('United Data'!$A$3:$A$3390,G$1,'United Data'!$C$3:$C$3390,$A804,'United Data'!$B$3:$B$3390,"&lt;&gt;Off-street")&gt;0,1,0)</f>
        <v>0</v>
      </c>
      <c r="H804">
        <f>IF(COUNTIFS('United Data'!$A$3:$A$3390,H$1,'United Data'!$C$3:$C$3390,$A804,'United Data'!$B$3:$B$3390,"&lt;&gt;Off-street")&gt;0,1,0)</f>
        <v>0</v>
      </c>
      <c r="I804">
        <f>IF(COUNTIFS('United Data'!$A$3:$A$3390,I$1,'United Data'!$C$3:$C$3390,$A804,'United Data'!$B$3:$B$3390,"&lt;&gt;Off-street")&gt;0,1,0)</f>
        <v>0</v>
      </c>
      <c r="J804">
        <f>IF(COUNTIFS('United Data'!$A$3:$A$3390,J$1,'United Data'!$C$3:$C$3390,$A804,'United Data'!$B$3:$B$3390,"&lt;&gt;Off-street")&gt;0,1,0)</f>
        <v>0</v>
      </c>
      <c r="K804">
        <f>IF(COUNTIFS('United Data'!$A$3:$A$3390,K$1,'United Data'!$C$3:$C$3390,$A804,'United Data'!$B$3:$B$3390,"&lt;&gt;Off-street")&gt;0,1,0)</f>
        <v>0</v>
      </c>
      <c r="L804">
        <f>IF(COUNTIFS('United Data'!$A$3:$A$3390,L$1,'United Data'!$C$3:$C$3390,$A804,'United Data'!$B$3:$B$3390,"&lt;&gt;Off-street")&gt;0,1,0)</f>
        <v>0</v>
      </c>
      <c r="M804">
        <f>IF(COUNTIFS('United Data'!$A$3:$A$3390,M$1,'United Data'!$C$3:$C$3390,$A804,'United Data'!$B$3:$B$3390,"&lt;&gt;Off-street")&gt;0,1,0)</f>
        <v>0</v>
      </c>
      <c r="N804">
        <f>IF(COUNTIFS('United Data'!$A$3:$A$3390,N$1,'United Data'!$C$3:$C$3390,$A804,'United Data'!$B$3:$B$3390,"&lt;&gt;Off-street")&gt;0,1,0)</f>
        <v>0</v>
      </c>
      <c r="O804">
        <f>IF(COUNTIFS('United Data'!$A$3:$A$3390,O$1,'United Data'!$C$3:$C$3390,$A804,'United Data'!$B$3:$B$3390,"&lt;&gt;Off-street")&gt;0,1,0)</f>
        <v>0</v>
      </c>
      <c r="P804">
        <f>IF(COUNTIFS('United Data'!$A$3:$A$3390,P$1,'United Data'!$C$3:$C$3390,$A804,'United Data'!$B$3:$B$3390,"&lt;&gt;Off-street")&gt;0,1,0)</f>
        <v>0</v>
      </c>
      <c r="Q804">
        <f>IF(COUNTIFS('United Data'!$A$3:$A$3390,Q$1,'United Data'!$C$3:$C$3390,$A804,'United Data'!$B$3:$B$3390,"&lt;&gt;Off-street")&gt;0,1,0)</f>
        <v>0</v>
      </c>
      <c r="R804">
        <f>IF(COUNTIFS('United Data'!$A$3:$A$3390,R$1,'United Data'!$C$3:$C$3390,$A804,'United Data'!$B$3:$B$3390,"&lt;&gt;Off-street")&gt;0,1,0)</f>
        <v>1</v>
      </c>
      <c r="S804">
        <f t="shared" si="24"/>
        <v>1</v>
      </c>
      <c r="T804">
        <f t="shared" si="25"/>
        <v>1</v>
      </c>
    </row>
    <row r="805" spans="1:20" x14ac:dyDescent="0.2">
      <c r="A805" t="s">
        <v>960</v>
      </c>
      <c r="B805">
        <f>IF(COUNTIFS('United Data'!$A$3:$A$3390,B$1,'United Data'!$C$3:$C$3390,$A805,'United Data'!$B$3:$B$3390,"&lt;&gt;Off-street")&gt;0,1,0)</f>
        <v>1</v>
      </c>
      <c r="C805">
        <f>IF(COUNTIFS('United Data'!$A$3:$A$3390,C$1,'United Data'!$C$3:$C$3390,$A805,'United Data'!$B$3:$B$3390,"&lt;&gt;Off-street")&gt;0,1,0)</f>
        <v>0</v>
      </c>
      <c r="D805">
        <f>IF(COUNTIFS('United Data'!$A$3:$A$3390,D$1,'United Data'!$C$3:$C$3390,$A805,'United Data'!$B$3:$B$3390,"&lt;&gt;Off-street")&gt;0,1,0)</f>
        <v>0</v>
      </c>
      <c r="E805">
        <f>IF(COUNTIFS('United Data'!$A$3:$A$3390,E$1,'United Data'!$C$3:$C$3390,$A805,'United Data'!$B$3:$B$3390,"&lt;&gt;Off-street")&gt;0,1,0)</f>
        <v>0</v>
      </c>
      <c r="F805">
        <f>IF(COUNTIFS('United Data'!$A$3:$A$3390,F$1,'United Data'!$C$3:$C$3390,$A805,'United Data'!$B$3:$B$3390,"&lt;&gt;Off-street")&gt;0,1,0)</f>
        <v>0</v>
      </c>
      <c r="G805">
        <f>IF(COUNTIFS('United Data'!$A$3:$A$3390,G$1,'United Data'!$C$3:$C$3390,$A805,'United Data'!$B$3:$B$3390,"&lt;&gt;Off-street")&gt;0,1,0)</f>
        <v>0</v>
      </c>
      <c r="H805">
        <f>IF(COUNTIFS('United Data'!$A$3:$A$3390,H$1,'United Data'!$C$3:$C$3390,$A805,'United Data'!$B$3:$B$3390,"&lt;&gt;Off-street")&gt;0,1,0)</f>
        <v>0</v>
      </c>
      <c r="I805">
        <f>IF(COUNTIFS('United Data'!$A$3:$A$3390,I$1,'United Data'!$C$3:$C$3390,$A805,'United Data'!$B$3:$B$3390,"&lt;&gt;Off-street")&gt;0,1,0)</f>
        <v>0</v>
      </c>
      <c r="J805">
        <f>IF(COUNTIFS('United Data'!$A$3:$A$3390,J$1,'United Data'!$C$3:$C$3390,$A805,'United Data'!$B$3:$B$3390,"&lt;&gt;Off-street")&gt;0,1,0)</f>
        <v>0</v>
      </c>
      <c r="K805">
        <f>IF(COUNTIFS('United Data'!$A$3:$A$3390,K$1,'United Data'!$C$3:$C$3390,$A805,'United Data'!$B$3:$B$3390,"&lt;&gt;Off-street")&gt;0,1,0)</f>
        <v>0</v>
      </c>
      <c r="L805">
        <f>IF(COUNTIFS('United Data'!$A$3:$A$3390,L$1,'United Data'!$C$3:$C$3390,$A805,'United Data'!$B$3:$B$3390,"&lt;&gt;Off-street")&gt;0,1,0)</f>
        <v>0</v>
      </c>
      <c r="M805">
        <f>IF(COUNTIFS('United Data'!$A$3:$A$3390,M$1,'United Data'!$C$3:$C$3390,$A805,'United Data'!$B$3:$B$3390,"&lt;&gt;Off-street")&gt;0,1,0)</f>
        <v>0</v>
      </c>
      <c r="N805">
        <f>IF(COUNTIFS('United Data'!$A$3:$A$3390,N$1,'United Data'!$C$3:$C$3390,$A805,'United Data'!$B$3:$B$3390,"&lt;&gt;Off-street")&gt;0,1,0)</f>
        <v>0</v>
      </c>
      <c r="O805">
        <f>IF(COUNTIFS('United Data'!$A$3:$A$3390,O$1,'United Data'!$C$3:$C$3390,$A805,'United Data'!$B$3:$B$3390,"&lt;&gt;Off-street")&gt;0,1,0)</f>
        <v>0</v>
      </c>
      <c r="P805">
        <f>IF(COUNTIFS('United Data'!$A$3:$A$3390,P$1,'United Data'!$C$3:$C$3390,$A805,'United Data'!$B$3:$B$3390,"&lt;&gt;Off-street")&gt;0,1,0)</f>
        <v>0</v>
      </c>
      <c r="Q805">
        <f>IF(COUNTIFS('United Data'!$A$3:$A$3390,Q$1,'United Data'!$C$3:$C$3390,$A805,'United Data'!$B$3:$B$3390,"&lt;&gt;Off-street")&gt;0,1,0)</f>
        <v>0</v>
      </c>
      <c r="R805">
        <f>IF(COUNTIFS('United Data'!$A$3:$A$3390,R$1,'United Data'!$C$3:$C$3390,$A805,'United Data'!$B$3:$B$3390,"&lt;&gt;Off-street")&gt;0,1,0)</f>
        <v>0</v>
      </c>
      <c r="S805">
        <f t="shared" si="24"/>
        <v>1</v>
      </c>
      <c r="T805">
        <f t="shared" si="25"/>
        <v>1</v>
      </c>
    </row>
    <row r="806" spans="1:20" x14ac:dyDescent="0.2">
      <c r="A806" t="s">
        <v>961</v>
      </c>
      <c r="B806">
        <f>IF(COUNTIFS('United Data'!$A$3:$A$3390,B$1,'United Data'!$C$3:$C$3390,$A806,'United Data'!$B$3:$B$3390,"&lt;&gt;Off-street")&gt;0,1,0)</f>
        <v>1</v>
      </c>
      <c r="C806">
        <f>IF(COUNTIFS('United Data'!$A$3:$A$3390,C$1,'United Data'!$C$3:$C$3390,$A806,'United Data'!$B$3:$B$3390,"&lt;&gt;Off-street")&gt;0,1,0)</f>
        <v>0</v>
      </c>
      <c r="D806">
        <f>IF(COUNTIFS('United Data'!$A$3:$A$3390,D$1,'United Data'!$C$3:$C$3390,$A806,'United Data'!$B$3:$B$3390,"&lt;&gt;Off-street")&gt;0,1,0)</f>
        <v>0</v>
      </c>
      <c r="E806">
        <f>IF(COUNTIFS('United Data'!$A$3:$A$3390,E$1,'United Data'!$C$3:$C$3390,$A806,'United Data'!$B$3:$B$3390,"&lt;&gt;Off-street")&gt;0,1,0)</f>
        <v>0</v>
      </c>
      <c r="F806">
        <f>IF(COUNTIFS('United Data'!$A$3:$A$3390,F$1,'United Data'!$C$3:$C$3390,$A806,'United Data'!$B$3:$B$3390,"&lt;&gt;Off-street")&gt;0,1,0)</f>
        <v>0</v>
      </c>
      <c r="G806">
        <f>IF(COUNTIFS('United Data'!$A$3:$A$3390,G$1,'United Data'!$C$3:$C$3390,$A806,'United Data'!$B$3:$B$3390,"&lt;&gt;Off-street")&gt;0,1,0)</f>
        <v>0</v>
      </c>
      <c r="H806">
        <f>IF(COUNTIFS('United Data'!$A$3:$A$3390,H$1,'United Data'!$C$3:$C$3390,$A806,'United Data'!$B$3:$B$3390,"&lt;&gt;Off-street")&gt;0,1,0)</f>
        <v>0</v>
      </c>
      <c r="I806">
        <f>IF(COUNTIFS('United Data'!$A$3:$A$3390,I$1,'United Data'!$C$3:$C$3390,$A806,'United Data'!$B$3:$B$3390,"&lt;&gt;Off-street")&gt;0,1,0)</f>
        <v>0</v>
      </c>
      <c r="J806">
        <f>IF(COUNTIFS('United Data'!$A$3:$A$3390,J$1,'United Data'!$C$3:$C$3390,$A806,'United Data'!$B$3:$B$3390,"&lt;&gt;Off-street")&gt;0,1,0)</f>
        <v>0</v>
      </c>
      <c r="K806">
        <f>IF(COUNTIFS('United Data'!$A$3:$A$3390,K$1,'United Data'!$C$3:$C$3390,$A806,'United Data'!$B$3:$B$3390,"&lt;&gt;Off-street")&gt;0,1,0)</f>
        <v>0</v>
      </c>
      <c r="L806">
        <f>IF(COUNTIFS('United Data'!$A$3:$A$3390,L$1,'United Data'!$C$3:$C$3390,$A806,'United Data'!$B$3:$B$3390,"&lt;&gt;Off-street")&gt;0,1,0)</f>
        <v>0</v>
      </c>
      <c r="M806">
        <f>IF(COUNTIFS('United Data'!$A$3:$A$3390,M$1,'United Data'!$C$3:$C$3390,$A806,'United Data'!$B$3:$B$3390,"&lt;&gt;Off-street")&gt;0,1,0)</f>
        <v>0</v>
      </c>
      <c r="N806">
        <f>IF(COUNTIFS('United Data'!$A$3:$A$3390,N$1,'United Data'!$C$3:$C$3390,$A806,'United Data'!$B$3:$B$3390,"&lt;&gt;Off-street")&gt;0,1,0)</f>
        <v>0</v>
      </c>
      <c r="O806">
        <f>IF(COUNTIFS('United Data'!$A$3:$A$3390,O$1,'United Data'!$C$3:$C$3390,$A806,'United Data'!$B$3:$B$3390,"&lt;&gt;Off-street")&gt;0,1,0)</f>
        <v>0</v>
      </c>
      <c r="P806">
        <f>IF(COUNTIFS('United Data'!$A$3:$A$3390,P$1,'United Data'!$C$3:$C$3390,$A806,'United Data'!$B$3:$B$3390,"&lt;&gt;Off-street")&gt;0,1,0)</f>
        <v>0</v>
      </c>
      <c r="Q806">
        <f>IF(COUNTIFS('United Data'!$A$3:$A$3390,Q$1,'United Data'!$C$3:$C$3390,$A806,'United Data'!$B$3:$B$3390,"&lt;&gt;Off-street")&gt;0,1,0)</f>
        <v>0</v>
      </c>
      <c r="R806">
        <f>IF(COUNTIFS('United Data'!$A$3:$A$3390,R$1,'United Data'!$C$3:$C$3390,$A806,'United Data'!$B$3:$B$3390,"&lt;&gt;Off-street")&gt;0,1,0)</f>
        <v>0</v>
      </c>
      <c r="S806">
        <f t="shared" si="24"/>
        <v>1</v>
      </c>
      <c r="T806">
        <f t="shared" si="25"/>
        <v>1</v>
      </c>
    </row>
    <row r="807" spans="1:20" x14ac:dyDescent="0.2">
      <c r="A807" t="s">
        <v>962</v>
      </c>
      <c r="B807">
        <f>IF(COUNTIFS('United Data'!$A$3:$A$3390,B$1,'United Data'!$C$3:$C$3390,$A807,'United Data'!$B$3:$B$3390,"&lt;&gt;Off-street")&gt;0,1,0)</f>
        <v>1</v>
      </c>
      <c r="C807">
        <f>IF(COUNTIFS('United Data'!$A$3:$A$3390,C$1,'United Data'!$C$3:$C$3390,$A807,'United Data'!$B$3:$B$3390,"&lt;&gt;Off-street")&gt;0,1,0)</f>
        <v>0</v>
      </c>
      <c r="D807">
        <f>IF(COUNTIFS('United Data'!$A$3:$A$3390,D$1,'United Data'!$C$3:$C$3390,$A807,'United Data'!$B$3:$B$3390,"&lt;&gt;Off-street")&gt;0,1,0)</f>
        <v>0</v>
      </c>
      <c r="E807">
        <f>IF(COUNTIFS('United Data'!$A$3:$A$3390,E$1,'United Data'!$C$3:$C$3390,$A807,'United Data'!$B$3:$B$3390,"&lt;&gt;Off-street")&gt;0,1,0)</f>
        <v>0</v>
      </c>
      <c r="F807">
        <f>IF(COUNTIFS('United Data'!$A$3:$A$3390,F$1,'United Data'!$C$3:$C$3390,$A807,'United Data'!$B$3:$B$3390,"&lt;&gt;Off-street")&gt;0,1,0)</f>
        <v>0</v>
      </c>
      <c r="G807">
        <f>IF(COUNTIFS('United Data'!$A$3:$A$3390,G$1,'United Data'!$C$3:$C$3390,$A807,'United Data'!$B$3:$B$3390,"&lt;&gt;Off-street")&gt;0,1,0)</f>
        <v>0</v>
      </c>
      <c r="H807">
        <f>IF(COUNTIFS('United Data'!$A$3:$A$3390,H$1,'United Data'!$C$3:$C$3390,$A807,'United Data'!$B$3:$B$3390,"&lt;&gt;Off-street")&gt;0,1,0)</f>
        <v>0</v>
      </c>
      <c r="I807">
        <f>IF(COUNTIFS('United Data'!$A$3:$A$3390,I$1,'United Data'!$C$3:$C$3390,$A807,'United Data'!$B$3:$B$3390,"&lt;&gt;Off-street")&gt;0,1,0)</f>
        <v>0</v>
      </c>
      <c r="J807">
        <f>IF(COUNTIFS('United Data'!$A$3:$A$3390,J$1,'United Data'!$C$3:$C$3390,$A807,'United Data'!$B$3:$B$3390,"&lt;&gt;Off-street")&gt;0,1,0)</f>
        <v>0</v>
      </c>
      <c r="K807">
        <f>IF(COUNTIFS('United Data'!$A$3:$A$3390,K$1,'United Data'!$C$3:$C$3390,$A807,'United Data'!$B$3:$B$3390,"&lt;&gt;Off-street")&gt;0,1,0)</f>
        <v>0</v>
      </c>
      <c r="L807">
        <f>IF(COUNTIFS('United Data'!$A$3:$A$3390,L$1,'United Data'!$C$3:$C$3390,$A807,'United Data'!$B$3:$B$3390,"&lt;&gt;Off-street")&gt;0,1,0)</f>
        <v>0</v>
      </c>
      <c r="M807">
        <f>IF(COUNTIFS('United Data'!$A$3:$A$3390,M$1,'United Data'!$C$3:$C$3390,$A807,'United Data'!$B$3:$B$3390,"&lt;&gt;Off-street")&gt;0,1,0)</f>
        <v>0</v>
      </c>
      <c r="N807">
        <f>IF(COUNTIFS('United Data'!$A$3:$A$3390,N$1,'United Data'!$C$3:$C$3390,$A807,'United Data'!$B$3:$B$3390,"&lt;&gt;Off-street")&gt;0,1,0)</f>
        <v>0</v>
      </c>
      <c r="O807">
        <f>IF(COUNTIFS('United Data'!$A$3:$A$3390,O$1,'United Data'!$C$3:$C$3390,$A807,'United Data'!$B$3:$B$3390,"&lt;&gt;Off-street")&gt;0,1,0)</f>
        <v>0</v>
      </c>
      <c r="P807">
        <f>IF(COUNTIFS('United Data'!$A$3:$A$3390,P$1,'United Data'!$C$3:$C$3390,$A807,'United Data'!$B$3:$B$3390,"&lt;&gt;Off-street")&gt;0,1,0)</f>
        <v>0</v>
      </c>
      <c r="Q807">
        <f>IF(COUNTIFS('United Data'!$A$3:$A$3390,Q$1,'United Data'!$C$3:$C$3390,$A807,'United Data'!$B$3:$B$3390,"&lt;&gt;Off-street")&gt;0,1,0)</f>
        <v>0</v>
      </c>
      <c r="R807">
        <f>IF(COUNTIFS('United Data'!$A$3:$A$3390,R$1,'United Data'!$C$3:$C$3390,$A807,'United Data'!$B$3:$B$3390,"&lt;&gt;Off-street")&gt;0,1,0)</f>
        <v>0</v>
      </c>
      <c r="S807">
        <f t="shared" si="24"/>
        <v>1</v>
      </c>
      <c r="T807">
        <f t="shared" si="25"/>
        <v>1</v>
      </c>
    </row>
    <row r="808" spans="1:20" x14ac:dyDescent="0.2">
      <c r="A808" t="s">
        <v>963</v>
      </c>
      <c r="B808">
        <f>IF(COUNTIFS('United Data'!$A$3:$A$3390,B$1,'United Data'!$C$3:$C$3390,$A808,'United Data'!$B$3:$B$3390,"&lt;&gt;Off-street")&gt;0,1,0)</f>
        <v>0</v>
      </c>
      <c r="C808">
        <f>IF(COUNTIFS('United Data'!$A$3:$A$3390,C$1,'United Data'!$C$3:$C$3390,$A808,'United Data'!$B$3:$B$3390,"&lt;&gt;Off-street")&gt;0,1,0)</f>
        <v>1</v>
      </c>
      <c r="D808">
        <f>IF(COUNTIFS('United Data'!$A$3:$A$3390,D$1,'United Data'!$C$3:$C$3390,$A808,'United Data'!$B$3:$B$3390,"&lt;&gt;Off-street")&gt;0,1,0)</f>
        <v>0</v>
      </c>
      <c r="E808">
        <f>IF(COUNTIFS('United Data'!$A$3:$A$3390,E$1,'United Data'!$C$3:$C$3390,$A808,'United Data'!$B$3:$B$3390,"&lt;&gt;Off-street")&gt;0,1,0)</f>
        <v>0</v>
      </c>
      <c r="F808">
        <f>IF(COUNTIFS('United Data'!$A$3:$A$3390,F$1,'United Data'!$C$3:$C$3390,$A808,'United Data'!$B$3:$B$3390,"&lt;&gt;Off-street")&gt;0,1,0)</f>
        <v>0</v>
      </c>
      <c r="G808">
        <f>IF(COUNTIFS('United Data'!$A$3:$A$3390,G$1,'United Data'!$C$3:$C$3390,$A808,'United Data'!$B$3:$B$3390,"&lt;&gt;Off-street")&gt;0,1,0)</f>
        <v>0</v>
      </c>
      <c r="H808">
        <f>IF(COUNTIFS('United Data'!$A$3:$A$3390,H$1,'United Data'!$C$3:$C$3390,$A808,'United Data'!$B$3:$B$3390,"&lt;&gt;Off-street")&gt;0,1,0)</f>
        <v>0</v>
      </c>
      <c r="I808">
        <f>IF(COUNTIFS('United Data'!$A$3:$A$3390,I$1,'United Data'!$C$3:$C$3390,$A808,'United Data'!$B$3:$B$3390,"&lt;&gt;Off-street")&gt;0,1,0)</f>
        <v>0</v>
      </c>
      <c r="J808">
        <f>IF(COUNTIFS('United Data'!$A$3:$A$3390,J$1,'United Data'!$C$3:$C$3390,$A808,'United Data'!$B$3:$B$3390,"&lt;&gt;Off-street")&gt;0,1,0)</f>
        <v>0</v>
      </c>
      <c r="K808">
        <f>IF(COUNTIFS('United Data'!$A$3:$A$3390,K$1,'United Data'!$C$3:$C$3390,$A808,'United Data'!$B$3:$B$3390,"&lt;&gt;Off-street")&gt;0,1,0)</f>
        <v>0</v>
      </c>
      <c r="L808">
        <f>IF(COUNTIFS('United Data'!$A$3:$A$3390,L$1,'United Data'!$C$3:$C$3390,$A808,'United Data'!$B$3:$B$3390,"&lt;&gt;Off-street")&gt;0,1,0)</f>
        <v>0</v>
      </c>
      <c r="M808">
        <f>IF(COUNTIFS('United Data'!$A$3:$A$3390,M$1,'United Data'!$C$3:$C$3390,$A808,'United Data'!$B$3:$B$3390,"&lt;&gt;Off-street")&gt;0,1,0)</f>
        <v>0</v>
      </c>
      <c r="N808">
        <f>IF(COUNTIFS('United Data'!$A$3:$A$3390,N$1,'United Data'!$C$3:$C$3390,$A808,'United Data'!$B$3:$B$3390,"&lt;&gt;Off-street")&gt;0,1,0)</f>
        <v>0</v>
      </c>
      <c r="O808">
        <f>IF(COUNTIFS('United Data'!$A$3:$A$3390,O$1,'United Data'!$C$3:$C$3390,$A808,'United Data'!$B$3:$B$3390,"&lt;&gt;Off-street")&gt;0,1,0)</f>
        <v>0</v>
      </c>
      <c r="P808">
        <f>IF(COUNTIFS('United Data'!$A$3:$A$3390,P$1,'United Data'!$C$3:$C$3390,$A808,'United Data'!$B$3:$B$3390,"&lt;&gt;Off-street")&gt;0,1,0)</f>
        <v>0</v>
      </c>
      <c r="Q808">
        <f>IF(COUNTIFS('United Data'!$A$3:$A$3390,Q$1,'United Data'!$C$3:$C$3390,$A808,'United Data'!$B$3:$B$3390,"&lt;&gt;Off-street")&gt;0,1,0)</f>
        <v>0</v>
      </c>
      <c r="R808">
        <f>IF(COUNTIFS('United Data'!$A$3:$A$3390,R$1,'United Data'!$C$3:$C$3390,$A808,'United Data'!$B$3:$B$3390,"&lt;&gt;Off-street")&gt;0,1,0)</f>
        <v>0</v>
      </c>
      <c r="S808">
        <f t="shared" si="24"/>
        <v>1</v>
      </c>
      <c r="T808">
        <f t="shared" si="25"/>
        <v>1</v>
      </c>
    </row>
    <row r="809" spans="1:20" x14ac:dyDescent="0.2">
      <c r="A809" t="s">
        <v>964</v>
      </c>
      <c r="B809">
        <f>IF(COUNTIFS('United Data'!$A$3:$A$3390,B$1,'United Data'!$C$3:$C$3390,$A809,'United Data'!$B$3:$B$3390,"&lt;&gt;Off-street")&gt;0,1,0)</f>
        <v>0</v>
      </c>
      <c r="C809">
        <f>IF(COUNTIFS('United Data'!$A$3:$A$3390,C$1,'United Data'!$C$3:$C$3390,$A809,'United Data'!$B$3:$B$3390,"&lt;&gt;Off-street")&gt;0,1,0)</f>
        <v>1</v>
      </c>
      <c r="D809">
        <f>IF(COUNTIFS('United Data'!$A$3:$A$3390,D$1,'United Data'!$C$3:$C$3390,$A809,'United Data'!$B$3:$B$3390,"&lt;&gt;Off-street")&gt;0,1,0)</f>
        <v>0</v>
      </c>
      <c r="E809">
        <f>IF(COUNTIFS('United Data'!$A$3:$A$3390,E$1,'United Data'!$C$3:$C$3390,$A809,'United Data'!$B$3:$B$3390,"&lt;&gt;Off-street")&gt;0,1,0)</f>
        <v>0</v>
      </c>
      <c r="F809">
        <f>IF(COUNTIFS('United Data'!$A$3:$A$3390,F$1,'United Data'!$C$3:$C$3390,$A809,'United Data'!$B$3:$B$3390,"&lt;&gt;Off-street")&gt;0,1,0)</f>
        <v>0</v>
      </c>
      <c r="G809">
        <f>IF(COUNTIFS('United Data'!$A$3:$A$3390,G$1,'United Data'!$C$3:$C$3390,$A809,'United Data'!$B$3:$B$3390,"&lt;&gt;Off-street")&gt;0,1,0)</f>
        <v>0</v>
      </c>
      <c r="H809">
        <f>IF(COUNTIFS('United Data'!$A$3:$A$3390,H$1,'United Data'!$C$3:$C$3390,$A809,'United Data'!$B$3:$B$3390,"&lt;&gt;Off-street")&gt;0,1,0)</f>
        <v>0</v>
      </c>
      <c r="I809">
        <f>IF(COUNTIFS('United Data'!$A$3:$A$3390,I$1,'United Data'!$C$3:$C$3390,$A809,'United Data'!$B$3:$B$3390,"&lt;&gt;Off-street")&gt;0,1,0)</f>
        <v>0</v>
      </c>
      <c r="J809">
        <f>IF(COUNTIFS('United Data'!$A$3:$A$3390,J$1,'United Data'!$C$3:$C$3390,$A809,'United Data'!$B$3:$B$3390,"&lt;&gt;Off-street")&gt;0,1,0)</f>
        <v>0</v>
      </c>
      <c r="K809">
        <f>IF(COUNTIFS('United Data'!$A$3:$A$3390,K$1,'United Data'!$C$3:$C$3390,$A809,'United Data'!$B$3:$B$3390,"&lt;&gt;Off-street")&gt;0,1,0)</f>
        <v>0</v>
      </c>
      <c r="L809">
        <f>IF(COUNTIFS('United Data'!$A$3:$A$3390,L$1,'United Data'!$C$3:$C$3390,$A809,'United Data'!$B$3:$B$3390,"&lt;&gt;Off-street")&gt;0,1,0)</f>
        <v>0</v>
      </c>
      <c r="M809">
        <f>IF(COUNTIFS('United Data'!$A$3:$A$3390,M$1,'United Data'!$C$3:$C$3390,$A809,'United Data'!$B$3:$B$3390,"&lt;&gt;Off-street")&gt;0,1,0)</f>
        <v>0</v>
      </c>
      <c r="N809">
        <f>IF(COUNTIFS('United Data'!$A$3:$A$3390,N$1,'United Data'!$C$3:$C$3390,$A809,'United Data'!$B$3:$B$3390,"&lt;&gt;Off-street")&gt;0,1,0)</f>
        <v>0</v>
      </c>
      <c r="O809">
        <f>IF(COUNTIFS('United Data'!$A$3:$A$3390,O$1,'United Data'!$C$3:$C$3390,$A809,'United Data'!$B$3:$B$3390,"&lt;&gt;Off-street")&gt;0,1,0)</f>
        <v>0</v>
      </c>
      <c r="P809">
        <f>IF(COUNTIFS('United Data'!$A$3:$A$3390,P$1,'United Data'!$C$3:$C$3390,$A809,'United Data'!$B$3:$B$3390,"&lt;&gt;Off-street")&gt;0,1,0)</f>
        <v>0</v>
      </c>
      <c r="Q809">
        <f>IF(COUNTIFS('United Data'!$A$3:$A$3390,Q$1,'United Data'!$C$3:$C$3390,$A809,'United Data'!$B$3:$B$3390,"&lt;&gt;Off-street")&gt;0,1,0)</f>
        <v>0</v>
      </c>
      <c r="R809">
        <f>IF(COUNTIFS('United Data'!$A$3:$A$3390,R$1,'United Data'!$C$3:$C$3390,$A809,'United Data'!$B$3:$B$3390,"&lt;&gt;Off-street")&gt;0,1,0)</f>
        <v>0</v>
      </c>
      <c r="S809">
        <f t="shared" si="24"/>
        <v>1</v>
      </c>
      <c r="T809">
        <f t="shared" si="25"/>
        <v>1</v>
      </c>
    </row>
    <row r="810" spans="1:20" x14ac:dyDescent="0.2">
      <c r="A810" t="s">
        <v>965</v>
      </c>
      <c r="B810">
        <f>IF(COUNTIFS('United Data'!$A$3:$A$3390,B$1,'United Data'!$C$3:$C$3390,$A810,'United Data'!$B$3:$B$3390,"&lt;&gt;Off-street")&gt;0,1,0)</f>
        <v>0</v>
      </c>
      <c r="C810">
        <f>IF(COUNTIFS('United Data'!$A$3:$A$3390,C$1,'United Data'!$C$3:$C$3390,$A810,'United Data'!$B$3:$B$3390,"&lt;&gt;Off-street")&gt;0,1,0)</f>
        <v>1</v>
      </c>
      <c r="D810">
        <f>IF(COUNTIFS('United Data'!$A$3:$A$3390,D$1,'United Data'!$C$3:$C$3390,$A810,'United Data'!$B$3:$B$3390,"&lt;&gt;Off-street")&gt;0,1,0)</f>
        <v>0</v>
      </c>
      <c r="E810">
        <f>IF(COUNTIFS('United Data'!$A$3:$A$3390,E$1,'United Data'!$C$3:$C$3390,$A810,'United Data'!$B$3:$B$3390,"&lt;&gt;Off-street")&gt;0,1,0)</f>
        <v>0</v>
      </c>
      <c r="F810">
        <f>IF(COUNTIFS('United Data'!$A$3:$A$3390,F$1,'United Data'!$C$3:$C$3390,$A810,'United Data'!$B$3:$B$3390,"&lt;&gt;Off-street")&gt;0,1,0)</f>
        <v>0</v>
      </c>
      <c r="G810">
        <f>IF(COUNTIFS('United Data'!$A$3:$A$3390,G$1,'United Data'!$C$3:$C$3390,$A810,'United Data'!$B$3:$B$3390,"&lt;&gt;Off-street")&gt;0,1,0)</f>
        <v>0</v>
      </c>
      <c r="H810">
        <f>IF(COUNTIFS('United Data'!$A$3:$A$3390,H$1,'United Data'!$C$3:$C$3390,$A810,'United Data'!$B$3:$B$3390,"&lt;&gt;Off-street")&gt;0,1,0)</f>
        <v>0</v>
      </c>
      <c r="I810">
        <f>IF(COUNTIFS('United Data'!$A$3:$A$3390,I$1,'United Data'!$C$3:$C$3390,$A810,'United Data'!$B$3:$B$3390,"&lt;&gt;Off-street")&gt;0,1,0)</f>
        <v>0</v>
      </c>
      <c r="J810">
        <f>IF(COUNTIFS('United Data'!$A$3:$A$3390,J$1,'United Data'!$C$3:$C$3390,$A810,'United Data'!$B$3:$B$3390,"&lt;&gt;Off-street")&gt;0,1,0)</f>
        <v>0</v>
      </c>
      <c r="K810">
        <f>IF(COUNTIFS('United Data'!$A$3:$A$3390,K$1,'United Data'!$C$3:$C$3390,$A810,'United Data'!$B$3:$B$3390,"&lt;&gt;Off-street")&gt;0,1,0)</f>
        <v>0</v>
      </c>
      <c r="L810">
        <f>IF(COUNTIFS('United Data'!$A$3:$A$3390,L$1,'United Data'!$C$3:$C$3390,$A810,'United Data'!$B$3:$B$3390,"&lt;&gt;Off-street")&gt;0,1,0)</f>
        <v>0</v>
      </c>
      <c r="M810">
        <f>IF(COUNTIFS('United Data'!$A$3:$A$3390,M$1,'United Data'!$C$3:$C$3390,$A810,'United Data'!$B$3:$B$3390,"&lt;&gt;Off-street")&gt;0,1,0)</f>
        <v>0</v>
      </c>
      <c r="N810">
        <f>IF(COUNTIFS('United Data'!$A$3:$A$3390,N$1,'United Data'!$C$3:$C$3390,$A810,'United Data'!$B$3:$B$3390,"&lt;&gt;Off-street")&gt;0,1,0)</f>
        <v>0</v>
      </c>
      <c r="O810">
        <f>IF(COUNTIFS('United Data'!$A$3:$A$3390,O$1,'United Data'!$C$3:$C$3390,$A810,'United Data'!$B$3:$B$3390,"&lt;&gt;Off-street")&gt;0,1,0)</f>
        <v>0</v>
      </c>
      <c r="P810">
        <f>IF(COUNTIFS('United Data'!$A$3:$A$3390,P$1,'United Data'!$C$3:$C$3390,$A810,'United Data'!$B$3:$B$3390,"&lt;&gt;Off-street")&gt;0,1,0)</f>
        <v>0</v>
      </c>
      <c r="Q810">
        <f>IF(COUNTIFS('United Data'!$A$3:$A$3390,Q$1,'United Data'!$C$3:$C$3390,$A810,'United Data'!$B$3:$B$3390,"&lt;&gt;Off-street")&gt;0,1,0)</f>
        <v>0</v>
      </c>
      <c r="R810">
        <f>IF(COUNTIFS('United Data'!$A$3:$A$3390,R$1,'United Data'!$C$3:$C$3390,$A810,'United Data'!$B$3:$B$3390,"&lt;&gt;Off-street")&gt;0,1,0)</f>
        <v>0</v>
      </c>
      <c r="S810">
        <f t="shared" si="24"/>
        <v>1</v>
      </c>
      <c r="T810">
        <f t="shared" si="25"/>
        <v>1</v>
      </c>
    </row>
    <row r="811" spans="1:20" x14ac:dyDescent="0.2">
      <c r="A811" t="s">
        <v>966</v>
      </c>
      <c r="B811">
        <f>IF(COUNTIFS('United Data'!$A$3:$A$3390,B$1,'United Data'!$C$3:$C$3390,$A811,'United Data'!$B$3:$B$3390,"&lt;&gt;Off-street")&gt;0,1,0)</f>
        <v>0</v>
      </c>
      <c r="C811">
        <f>IF(COUNTIFS('United Data'!$A$3:$A$3390,C$1,'United Data'!$C$3:$C$3390,$A811,'United Data'!$B$3:$B$3390,"&lt;&gt;Off-street")&gt;0,1,0)</f>
        <v>1</v>
      </c>
      <c r="D811">
        <f>IF(COUNTIFS('United Data'!$A$3:$A$3390,D$1,'United Data'!$C$3:$C$3390,$A811,'United Data'!$B$3:$B$3390,"&lt;&gt;Off-street")&gt;0,1,0)</f>
        <v>0</v>
      </c>
      <c r="E811">
        <f>IF(COUNTIFS('United Data'!$A$3:$A$3390,E$1,'United Data'!$C$3:$C$3390,$A811,'United Data'!$B$3:$B$3390,"&lt;&gt;Off-street")&gt;0,1,0)</f>
        <v>0</v>
      </c>
      <c r="F811">
        <f>IF(COUNTIFS('United Data'!$A$3:$A$3390,F$1,'United Data'!$C$3:$C$3390,$A811,'United Data'!$B$3:$B$3390,"&lt;&gt;Off-street")&gt;0,1,0)</f>
        <v>0</v>
      </c>
      <c r="G811">
        <f>IF(COUNTIFS('United Data'!$A$3:$A$3390,G$1,'United Data'!$C$3:$C$3390,$A811,'United Data'!$B$3:$B$3390,"&lt;&gt;Off-street")&gt;0,1,0)</f>
        <v>0</v>
      </c>
      <c r="H811">
        <f>IF(COUNTIFS('United Data'!$A$3:$A$3390,H$1,'United Data'!$C$3:$C$3390,$A811,'United Data'!$B$3:$B$3390,"&lt;&gt;Off-street")&gt;0,1,0)</f>
        <v>0</v>
      </c>
      <c r="I811">
        <f>IF(COUNTIFS('United Data'!$A$3:$A$3390,I$1,'United Data'!$C$3:$C$3390,$A811,'United Data'!$B$3:$B$3390,"&lt;&gt;Off-street")&gt;0,1,0)</f>
        <v>0</v>
      </c>
      <c r="J811">
        <f>IF(COUNTIFS('United Data'!$A$3:$A$3390,J$1,'United Data'!$C$3:$C$3390,$A811,'United Data'!$B$3:$B$3390,"&lt;&gt;Off-street")&gt;0,1,0)</f>
        <v>0</v>
      </c>
      <c r="K811">
        <f>IF(COUNTIFS('United Data'!$A$3:$A$3390,K$1,'United Data'!$C$3:$C$3390,$A811,'United Data'!$B$3:$B$3390,"&lt;&gt;Off-street")&gt;0,1,0)</f>
        <v>0</v>
      </c>
      <c r="L811">
        <f>IF(COUNTIFS('United Data'!$A$3:$A$3390,L$1,'United Data'!$C$3:$C$3390,$A811,'United Data'!$B$3:$B$3390,"&lt;&gt;Off-street")&gt;0,1,0)</f>
        <v>0</v>
      </c>
      <c r="M811">
        <f>IF(COUNTIFS('United Data'!$A$3:$A$3390,M$1,'United Data'!$C$3:$C$3390,$A811,'United Data'!$B$3:$B$3390,"&lt;&gt;Off-street")&gt;0,1,0)</f>
        <v>0</v>
      </c>
      <c r="N811">
        <f>IF(COUNTIFS('United Data'!$A$3:$A$3390,N$1,'United Data'!$C$3:$C$3390,$A811,'United Data'!$B$3:$B$3390,"&lt;&gt;Off-street")&gt;0,1,0)</f>
        <v>0</v>
      </c>
      <c r="O811">
        <f>IF(COUNTIFS('United Data'!$A$3:$A$3390,O$1,'United Data'!$C$3:$C$3390,$A811,'United Data'!$B$3:$B$3390,"&lt;&gt;Off-street")&gt;0,1,0)</f>
        <v>0</v>
      </c>
      <c r="P811">
        <f>IF(COUNTIFS('United Data'!$A$3:$A$3390,P$1,'United Data'!$C$3:$C$3390,$A811,'United Data'!$B$3:$B$3390,"&lt;&gt;Off-street")&gt;0,1,0)</f>
        <v>0</v>
      </c>
      <c r="Q811">
        <f>IF(COUNTIFS('United Data'!$A$3:$A$3390,Q$1,'United Data'!$C$3:$C$3390,$A811,'United Data'!$B$3:$B$3390,"&lt;&gt;Off-street")&gt;0,1,0)</f>
        <v>0</v>
      </c>
      <c r="R811">
        <f>IF(COUNTIFS('United Data'!$A$3:$A$3390,R$1,'United Data'!$C$3:$C$3390,$A811,'United Data'!$B$3:$B$3390,"&lt;&gt;Off-street")&gt;0,1,0)</f>
        <v>0</v>
      </c>
      <c r="S811">
        <f t="shared" si="24"/>
        <v>1</v>
      </c>
      <c r="T811">
        <f t="shared" si="25"/>
        <v>1</v>
      </c>
    </row>
    <row r="812" spans="1:20" x14ac:dyDescent="0.2">
      <c r="A812" t="s">
        <v>969</v>
      </c>
      <c r="B812">
        <f>IF(COUNTIFS('United Data'!$A$3:$A$3390,B$1,'United Data'!$C$3:$C$3390,$A812,'United Data'!$B$3:$B$3390,"&lt;&gt;Off-street")&gt;0,1,0)</f>
        <v>0</v>
      </c>
      <c r="C812">
        <f>IF(COUNTIFS('United Data'!$A$3:$A$3390,C$1,'United Data'!$C$3:$C$3390,$A812,'United Data'!$B$3:$B$3390,"&lt;&gt;Off-street")&gt;0,1,0)</f>
        <v>0</v>
      </c>
      <c r="D812">
        <f>IF(COUNTIFS('United Data'!$A$3:$A$3390,D$1,'United Data'!$C$3:$C$3390,$A812,'United Data'!$B$3:$B$3390,"&lt;&gt;Off-street")&gt;0,1,0)</f>
        <v>1</v>
      </c>
      <c r="E812">
        <f>IF(COUNTIFS('United Data'!$A$3:$A$3390,E$1,'United Data'!$C$3:$C$3390,$A812,'United Data'!$B$3:$B$3390,"&lt;&gt;Off-street")&gt;0,1,0)</f>
        <v>0</v>
      </c>
      <c r="F812">
        <f>IF(COUNTIFS('United Data'!$A$3:$A$3390,F$1,'United Data'!$C$3:$C$3390,$A812,'United Data'!$B$3:$B$3390,"&lt;&gt;Off-street")&gt;0,1,0)</f>
        <v>0</v>
      </c>
      <c r="G812">
        <f>IF(COUNTIFS('United Data'!$A$3:$A$3390,G$1,'United Data'!$C$3:$C$3390,$A812,'United Data'!$B$3:$B$3390,"&lt;&gt;Off-street")&gt;0,1,0)</f>
        <v>0</v>
      </c>
      <c r="H812">
        <f>IF(COUNTIFS('United Data'!$A$3:$A$3390,H$1,'United Data'!$C$3:$C$3390,$A812,'United Data'!$B$3:$B$3390,"&lt;&gt;Off-street")&gt;0,1,0)</f>
        <v>0</v>
      </c>
      <c r="I812">
        <f>IF(COUNTIFS('United Data'!$A$3:$A$3390,I$1,'United Data'!$C$3:$C$3390,$A812,'United Data'!$B$3:$B$3390,"&lt;&gt;Off-street")&gt;0,1,0)</f>
        <v>0</v>
      </c>
      <c r="J812">
        <f>IF(COUNTIFS('United Data'!$A$3:$A$3390,J$1,'United Data'!$C$3:$C$3390,$A812,'United Data'!$B$3:$B$3390,"&lt;&gt;Off-street")&gt;0,1,0)</f>
        <v>0</v>
      </c>
      <c r="K812">
        <f>IF(COUNTIFS('United Data'!$A$3:$A$3390,K$1,'United Data'!$C$3:$C$3390,$A812,'United Data'!$B$3:$B$3390,"&lt;&gt;Off-street")&gt;0,1,0)</f>
        <v>0</v>
      </c>
      <c r="L812">
        <f>IF(COUNTIFS('United Data'!$A$3:$A$3390,L$1,'United Data'!$C$3:$C$3390,$A812,'United Data'!$B$3:$B$3390,"&lt;&gt;Off-street")&gt;0,1,0)</f>
        <v>0</v>
      </c>
      <c r="M812">
        <f>IF(COUNTIFS('United Data'!$A$3:$A$3390,M$1,'United Data'!$C$3:$C$3390,$A812,'United Data'!$B$3:$B$3390,"&lt;&gt;Off-street")&gt;0,1,0)</f>
        <v>0</v>
      </c>
      <c r="N812">
        <f>IF(COUNTIFS('United Data'!$A$3:$A$3390,N$1,'United Data'!$C$3:$C$3390,$A812,'United Data'!$B$3:$B$3390,"&lt;&gt;Off-street")&gt;0,1,0)</f>
        <v>0</v>
      </c>
      <c r="O812">
        <f>IF(COUNTIFS('United Data'!$A$3:$A$3390,O$1,'United Data'!$C$3:$C$3390,$A812,'United Data'!$B$3:$B$3390,"&lt;&gt;Off-street")&gt;0,1,0)</f>
        <v>0</v>
      </c>
      <c r="P812">
        <f>IF(COUNTIFS('United Data'!$A$3:$A$3390,P$1,'United Data'!$C$3:$C$3390,$A812,'United Data'!$B$3:$B$3390,"&lt;&gt;Off-street")&gt;0,1,0)</f>
        <v>0</v>
      </c>
      <c r="Q812">
        <f>IF(COUNTIFS('United Data'!$A$3:$A$3390,Q$1,'United Data'!$C$3:$C$3390,$A812,'United Data'!$B$3:$B$3390,"&lt;&gt;Off-street")&gt;0,1,0)</f>
        <v>0</v>
      </c>
      <c r="R812">
        <f>IF(COUNTIFS('United Data'!$A$3:$A$3390,R$1,'United Data'!$C$3:$C$3390,$A812,'United Data'!$B$3:$B$3390,"&lt;&gt;Off-street")&gt;0,1,0)</f>
        <v>0</v>
      </c>
      <c r="S812">
        <f t="shared" si="24"/>
        <v>1</v>
      </c>
      <c r="T812">
        <f t="shared" si="25"/>
        <v>1</v>
      </c>
    </row>
    <row r="813" spans="1:20" x14ac:dyDescent="0.2">
      <c r="A813" t="s">
        <v>970</v>
      </c>
      <c r="B813">
        <f>IF(COUNTIFS('United Data'!$A$3:$A$3390,B$1,'United Data'!$C$3:$C$3390,$A813,'United Data'!$B$3:$B$3390,"&lt;&gt;Off-street")&gt;0,1,0)</f>
        <v>0</v>
      </c>
      <c r="C813">
        <f>IF(COUNTIFS('United Data'!$A$3:$A$3390,C$1,'United Data'!$C$3:$C$3390,$A813,'United Data'!$B$3:$B$3390,"&lt;&gt;Off-street")&gt;0,1,0)</f>
        <v>0</v>
      </c>
      <c r="D813">
        <f>IF(COUNTIFS('United Data'!$A$3:$A$3390,D$1,'United Data'!$C$3:$C$3390,$A813,'United Data'!$B$3:$B$3390,"&lt;&gt;Off-street")&gt;0,1,0)</f>
        <v>1</v>
      </c>
      <c r="E813">
        <f>IF(COUNTIFS('United Data'!$A$3:$A$3390,E$1,'United Data'!$C$3:$C$3390,$A813,'United Data'!$B$3:$B$3390,"&lt;&gt;Off-street")&gt;0,1,0)</f>
        <v>1</v>
      </c>
      <c r="F813">
        <f>IF(COUNTIFS('United Data'!$A$3:$A$3390,F$1,'United Data'!$C$3:$C$3390,$A813,'United Data'!$B$3:$B$3390,"&lt;&gt;Off-street")&gt;0,1,0)</f>
        <v>0</v>
      </c>
      <c r="G813">
        <f>IF(COUNTIFS('United Data'!$A$3:$A$3390,G$1,'United Data'!$C$3:$C$3390,$A813,'United Data'!$B$3:$B$3390,"&lt;&gt;Off-street")&gt;0,1,0)</f>
        <v>0</v>
      </c>
      <c r="H813">
        <f>IF(COUNTIFS('United Data'!$A$3:$A$3390,H$1,'United Data'!$C$3:$C$3390,$A813,'United Data'!$B$3:$B$3390,"&lt;&gt;Off-street")&gt;0,1,0)</f>
        <v>0</v>
      </c>
      <c r="I813">
        <f>IF(COUNTIFS('United Data'!$A$3:$A$3390,I$1,'United Data'!$C$3:$C$3390,$A813,'United Data'!$B$3:$B$3390,"&lt;&gt;Off-street")&gt;0,1,0)</f>
        <v>0</v>
      </c>
      <c r="J813">
        <f>IF(COUNTIFS('United Data'!$A$3:$A$3390,J$1,'United Data'!$C$3:$C$3390,$A813,'United Data'!$B$3:$B$3390,"&lt;&gt;Off-street")&gt;0,1,0)</f>
        <v>0</v>
      </c>
      <c r="K813">
        <f>IF(COUNTIFS('United Data'!$A$3:$A$3390,K$1,'United Data'!$C$3:$C$3390,$A813,'United Data'!$B$3:$B$3390,"&lt;&gt;Off-street")&gt;0,1,0)</f>
        <v>0</v>
      </c>
      <c r="L813">
        <f>IF(COUNTIFS('United Data'!$A$3:$A$3390,L$1,'United Data'!$C$3:$C$3390,$A813,'United Data'!$B$3:$B$3390,"&lt;&gt;Off-street")&gt;0,1,0)</f>
        <v>0</v>
      </c>
      <c r="M813">
        <f>IF(COUNTIFS('United Data'!$A$3:$A$3390,M$1,'United Data'!$C$3:$C$3390,$A813,'United Data'!$B$3:$B$3390,"&lt;&gt;Off-street")&gt;0,1,0)</f>
        <v>0</v>
      </c>
      <c r="N813">
        <f>IF(COUNTIFS('United Data'!$A$3:$A$3390,N$1,'United Data'!$C$3:$C$3390,$A813,'United Data'!$B$3:$B$3390,"&lt;&gt;Off-street")&gt;0,1,0)</f>
        <v>0</v>
      </c>
      <c r="O813">
        <f>IF(COUNTIFS('United Data'!$A$3:$A$3390,O$1,'United Data'!$C$3:$C$3390,$A813,'United Data'!$B$3:$B$3390,"&lt;&gt;Off-street")&gt;0,1,0)</f>
        <v>0</v>
      </c>
      <c r="P813">
        <f>IF(COUNTIFS('United Data'!$A$3:$A$3390,P$1,'United Data'!$C$3:$C$3390,$A813,'United Data'!$B$3:$B$3390,"&lt;&gt;Off-street")&gt;0,1,0)</f>
        <v>0</v>
      </c>
      <c r="Q813">
        <f>IF(COUNTIFS('United Data'!$A$3:$A$3390,Q$1,'United Data'!$C$3:$C$3390,$A813,'United Data'!$B$3:$B$3390,"&lt;&gt;Off-street")&gt;0,1,0)</f>
        <v>0</v>
      </c>
      <c r="R813">
        <f>IF(COUNTIFS('United Data'!$A$3:$A$3390,R$1,'United Data'!$C$3:$C$3390,$A813,'United Data'!$B$3:$B$3390,"&lt;&gt;Off-street")&gt;0,1,0)</f>
        <v>0</v>
      </c>
      <c r="S813">
        <f t="shared" si="24"/>
        <v>2</v>
      </c>
      <c r="T813">
        <f t="shared" si="25"/>
        <v>1</v>
      </c>
    </row>
    <row r="814" spans="1:20" x14ac:dyDescent="0.2">
      <c r="A814" t="s">
        <v>971</v>
      </c>
      <c r="B814">
        <f>IF(COUNTIFS('United Data'!$A$3:$A$3390,B$1,'United Data'!$C$3:$C$3390,$A814,'United Data'!$B$3:$B$3390,"&lt;&gt;Off-street")&gt;0,1,0)</f>
        <v>0</v>
      </c>
      <c r="C814">
        <f>IF(COUNTIFS('United Data'!$A$3:$A$3390,C$1,'United Data'!$C$3:$C$3390,$A814,'United Data'!$B$3:$B$3390,"&lt;&gt;Off-street")&gt;0,1,0)</f>
        <v>0</v>
      </c>
      <c r="D814">
        <f>IF(COUNTIFS('United Data'!$A$3:$A$3390,D$1,'United Data'!$C$3:$C$3390,$A814,'United Data'!$B$3:$B$3390,"&lt;&gt;Off-street")&gt;0,1,0)</f>
        <v>1</v>
      </c>
      <c r="E814">
        <f>IF(COUNTIFS('United Data'!$A$3:$A$3390,E$1,'United Data'!$C$3:$C$3390,$A814,'United Data'!$B$3:$B$3390,"&lt;&gt;Off-street")&gt;0,1,0)</f>
        <v>0</v>
      </c>
      <c r="F814">
        <f>IF(COUNTIFS('United Data'!$A$3:$A$3390,F$1,'United Data'!$C$3:$C$3390,$A814,'United Data'!$B$3:$B$3390,"&lt;&gt;Off-street")&gt;0,1,0)</f>
        <v>1</v>
      </c>
      <c r="G814">
        <f>IF(COUNTIFS('United Data'!$A$3:$A$3390,G$1,'United Data'!$C$3:$C$3390,$A814,'United Data'!$B$3:$B$3390,"&lt;&gt;Off-street")&gt;0,1,0)</f>
        <v>0</v>
      </c>
      <c r="H814">
        <f>IF(COUNTIFS('United Data'!$A$3:$A$3390,H$1,'United Data'!$C$3:$C$3390,$A814,'United Data'!$B$3:$B$3390,"&lt;&gt;Off-street")&gt;0,1,0)</f>
        <v>0</v>
      </c>
      <c r="I814">
        <f>IF(COUNTIFS('United Data'!$A$3:$A$3390,I$1,'United Data'!$C$3:$C$3390,$A814,'United Data'!$B$3:$B$3390,"&lt;&gt;Off-street")&gt;0,1,0)</f>
        <v>0</v>
      </c>
      <c r="J814">
        <f>IF(COUNTIFS('United Data'!$A$3:$A$3390,J$1,'United Data'!$C$3:$C$3390,$A814,'United Data'!$B$3:$B$3390,"&lt;&gt;Off-street")&gt;0,1,0)</f>
        <v>0</v>
      </c>
      <c r="K814">
        <f>IF(COUNTIFS('United Data'!$A$3:$A$3390,K$1,'United Data'!$C$3:$C$3390,$A814,'United Data'!$B$3:$B$3390,"&lt;&gt;Off-street")&gt;0,1,0)</f>
        <v>0</v>
      </c>
      <c r="L814">
        <f>IF(COUNTIFS('United Data'!$A$3:$A$3390,L$1,'United Data'!$C$3:$C$3390,$A814,'United Data'!$B$3:$B$3390,"&lt;&gt;Off-street")&gt;0,1,0)</f>
        <v>0</v>
      </c>
      <c r="M814">
        <f>IF(COUNTIFS('United Data'!$A$3:$A$3390,M$1,'United Data'!$C$3:$C$3390,$A814,'United Data'!$B$3:$B$3390,"&lt;&gt;Off-street")&gt;0,1,0)</f>
        <v>0</v>
      </c>
      <c r="N814">
        <f>IF(COUNTIFS('United Data'!$A$3:$A$3390,N$1,'United Data'!$C$3:$C$3390,$A814,'United Data'!$B$3:$B$3390,"&lt;&gt;Off-street")&gt;0,1,0)</f>
        <v>0</v>
      </c>
      <c r="O814">
        <f>IF(COUNTIFS('United Data'!$A$3:$A$3390,O$1,'United Data'!$C$3:$C$3390,$A814,'United Data'!$B$3:$B$3390,"&lt;&gt;Off-street")&gt;0,1,0)</f>
        <v>0</v>
      </c>
      <c r="P814">
        <f>IF(COUNTIFS('United Data'!$A$3:$A$3390,P$1,'United Data'!$C$3:$C$3390,$A814,'United Data'!$B$3:$B$3390,"&lt;&gt;Off-street")&gt;0,1,0)</f>
        <v>0</v>
      </c>
      <c r="Q814">
        <f>IF(COUNTIFS('United Data'!$A$3:$A$3390,Q$1,'United Data'!$C$3:$C$3390,$A814,'United Data'!$B$3:$B$3390,"&lt;&gt;Off-street")&gt;0,1,0)</f>
        <v>0</v>
      </c>
      <c r="R814">
        <f>IF(COUNTIFS('United Data'!$A$3:$A$3390,R$1,'United Data'!$C$3:$C$3390,$A814,'United Data'!$B$3:$B$3390,"&lt;&gt;Off-street")&gt;0,1,0)</f>
        <v>0</v>
      </c>
      <c r="S814">
        <f t="shared" si="24"/>
        <v>2</v>
      </c>
      <c r="T814">
        <f t="shared" si="25"/>
        <v>2</v>
      </c>
    </row>
    <row r="815" spans="1:20" x14ac:dyDescent="0.2">
      <c r="A815" t="s">
        <v>972</v>
      </c>
      <c r="B815">
        <f>IF(COUNTIFS('United Data'!$A$3:$A$3390,B$1,'United Data'!$C$3:$C$3390,$A815,'United Data'!$B$3:$B$3390,"&lt;&gt;Off-street")&gt;0,1,0)</f>
        <v>0</v>
      </c>
      <c r="C815">
        <f>IF(COUNTIFS('United Data'!$A$3:$A$3390,C$1,'United Data'!$C$3:$C$3390,$A815,'United Data'!$B$3:$B$3390,"&lt;&gt;Off-street")&gt;0,1,0)</f>
        <v>0</v>
      </c>
      <c r="D815">
        <f>IF(COUNTIFS('United Data'!$A$3:$A$3390,D$1,'United Data'!$C$3:$C$3390,$A815,'United Data'!$B$3:$B$3390,"&lt;&gt;Off-street")&gt;0,1,0)</f>
        <v>1</v>
      </c>
      <c r="E815">
        <f>IF(COUNTIFS('United Data'!$A$3:$A$3390,E$1,'United Data'!$C$3:$C$3390,$A815,'United Data'!$B$3:$B$3390,"&lt;&gt;Off-street")&gt;0,1,0)</f>
        <v>1</v>
      </c>
      <c r="F815">
        <f>IF(COUNTIFS('United Data'!$A$3:$A$3390,F$1,'United Data'!$C$3:$C$3390,$A815,'United Data'!$B$3:$B$3390,"&lt;&gt;Off-street")&gt;0,1,0)</f>
        <v>1</v>
      </c>
      <c r="G815">
        <f>IF(COUNTIFS('United Data'!$A$3:$A$3390,G$1,'United Data'!$C$3:$C$3390,$A815,'United Data'!$B$3:$B$3390,"&lt;&gt;Off-street")&gt;0,1,0)</f>
        <v>0</v>
      </c>
      <c r="H815">
        <f>IF(COUNTIFS('United Data'!$A$3:$A$3390,H$1,'United Data'!$C$3:$C$3390,$A815,'United Data'!$B$3:$B$3390,"&lt;&gt;Off-street")&gt;0,1,0)</f>
        <v>0</v>
      </c>
      <c r="I815">
        <f>IF(COUNTIFS('United Data'!$A$3:$A$3390,I$1,'United Data'!$C$3:$C$3390,$A815,'United Data'!$B$3:$B$3390,"&lt;&gt;Off-street")&gt;0,1,0)</f>
        <v>0</v>
      </c>
      <c r="J815">
        <f>IF(COUNTIFS('United Data'!$A$3:$A$3390,J$1,'United Data'!$C$3:$C$3390,$A815,'United Data'!$B$3:$B$3390,"&lt;&gt;Off-street")&gt;0,1,0)</f>
        <v>0</v>
      </c>
      <c r="K815">
        <f>IF(COUNTIFS('United Data'!$A$3:$A$3390,K$1,'United Data'!$C$3:$C$3390,$A815,'United Data'!$B$3:$B$3390,"&lt;&gt;Off-street")&gt;0,1,0)</f>
        <v>0</v>
      </c>
      <c r="L815">
        <f>IF(COUNTIFS('United Data'!$A$3:$A$3390,L$1,'United Data'!$C$3:$C$3390,$A815,'United Data'!$B$3:$B$3390,"&lt;&gt;Off-street")&gt;0,1,0)</f>
        <v>0</v>
      </c>
      <c r="M815">
        <f>IF(COUNTIFS('United Data'!$A$3:$A$3390,M$1,'United Data'!$C$3:$C$3390,$A815,'United Data'!$B$3:$B$3390,"&lt;&gt;Off-street")&gt;0,1,0)</f>
        <v>0</v>
      </c>
      <c r="N815">
        <f>IF(COUNTIFS('United Data'!$A$3:$A$3390,N$1,'United Data'!$C$3:$C$3390,$A815,'United Data'!$B$3:$B$3390,"&lt;&gt;Off-street")&gt;0,1,0)</f>
        <v>0</v>
      </c>
      <c r="O815">
        <f>IF(COUNTIFS('United Data'!$A$3:$A$3390,O$1,'United Data'!$C$3:$C$3390,$A815,'United Data'!$B$3:$B$3390,"&lt;&gt;Off-street")&gt;0,1,0)</f>
        <v>0</v>
      </c>
      <c r="P815">
        <f>IF(COUNTIFS('United Data'!$A$3:$A$3390,P$1,'United Data'!$C$3:$C$3390,$A815,'United Data'!$B$3:$B$3390,"&lt;&gt;Off-street")&gt;0,1,0)</f>
        <v>0</v>
      </c>
      <c r="Q815">
        <f>IF(COUNTIFS('United Data'!$A$3:$A$3390,Q$1,'United Data'!$C$3:$C$3390,$A815,'United Data'!$B$3:$B$3390,"&lt;&gt;Off-street")&gt;0,1,0)</f>
        <v>0</v>
      </c>
      <c r="R815">
        <f>IF(COUNTIFS('United Data'!$A$3:$A$3390,R$1,'United Data'!$C$3:$C$3390,$A815,'United Data'!$B$3:$B$3390,"&lt;&gt;Off-street")&gt;0,1,0)</f>
        <v>0</v>
      </c>
      <c r="S815">
        <f t="shared" si="24"/>
        <v>3</v>
      </c>
      <c r="T815">
        <f t="shared" si="25"/>
        <v>1</v>
      </c>
    </row>
    <row r="816" spans="1:20" x14ac:dyDescent="0.2">
      <c r="A816" t="s">
        <v>973</v>
      </c>
      <c r="B816">
        <f>IF(COUNTIFS('United Data'!$A$3:$A$3390,B$1,'United Data'!$C$3:$C$3390,$A816,'United Data'!$B$3:$B$3390,"&lt;&gt;Off-street")&gt;0,1,0)</f>
        <v>0</v>
      </c>
      <c r="C816">
        <f>IF(COUNTIFS('United Data'!$A$3:$A$3390,C$1,'United Data'!$C$3:$C$3390,$A816,'United Data'!$B$3:$B$3390,"&lt;&gt;Off-street")&gt;0,1,0)</f>
        <v>0</v>
      </c>
      <c r="D816">
        <f>IF(COUNTIFS('United Data'!$A$3:$A$3390,D$1,'United Data'!$C$3:$C$3390,$A816,'United Data'!$B$3:$B$3390,"&lt;&gt;Off-street")&gt;0,1,0)</f>
        <v>1</v>
      </c>
      <c r="E816">
        <f>IF(COUNTIFS('United Data'!$A$3:$A$3390,E$1,'United Data'!$C$3:$C$3390,$A816,'United Data'!$B$3:$B$3390,"&lt;&gt;Off-street")&gt;0,1,0)</f>
        <v>1</v>
      </c>
      <c r="F816">
        <f>IF(COUNTIFS('United Data'!$A$3:$A$3390,F$1,'United Data'!$C$3:$C$3390,$A816,'United Data'!$B$3:$B$3390,"&lt;&gt;Off-street")&gt;0,1,0)</f>
        <v>1</v>
      </c>
      <c r="G816">
        <f>IF(COUNTIFS('United Data'!$A$3:$A$3390,G$1,'United Data'!$C$3:$C$3390,$A816,'United Data'!$B$3:$B$3390,"&lt;&gt;Off-street")&gt;0,1,0)</f>
        <v>0</v>
      </c>
      <c r="H816">
        <f>IF(COUNTIFS('United Data'!$A$3:$A$3390,H$1,'United Data'!$C$3:$C$3390,$A816,'United Data'!$B$3:$B$3390,"&lt;&gt;Off-street")&gt;0,1,0)</f>
        <v>0</v>
      </c>
      <c r="I816">
        <f>IF(COUNTIFS('United Data'!$A$3:$A$3390,I$1,'United Data'!$C$3:$C$3390,$A816,'United Data'!$B$3:$B$3390,"&lt;&gt;Off-street")&gt;0,1,0)</f>
        <v>0</v>
      </c>
      <c r="J816">
        <f>IF(COUNTIFS('United Data'!$A$3:$A$3390,J$1,'United Data'!$C$3:$C$3390,$A816,'United Data'!$B$3:$B$3390,"&lt;&gt;Off-street")&gt;0,1,0)</f>
        <v>0</v>
      </c>
      <c r="K816">
        <f>IF(COUNTIFS('United Data'!$A$3:$A$3390,K$1,'United Data'!$C$3:$C$3390,$A816,'United Data'!$B$3:$B$3390,"&lt;&gt;Off-street")&gt;0,1,0)</f>
        <v>0</v>
      </c>
      <c r="L816">
        <f>IF(COUNTIFS('United Data'!$A$3:$A$3390,L$1,'United Data'!$C$3:$C$3390,$A816,'United Data'!$B$3:$B$3390,"&lt;&gt;Off-street")&gt;0,1,0)</f>
        <v>0</v>
      </c>
      <c r="M816">
        <f>IF(COUNTIFS('United Data'!$A$3:$A$3390,M$1,'United Data'!$C$3:$C$3390,$A816,'United Data'!$B$3:$B$3390,"&lt;&gt;Off-street")&gt;0,1,0)</f>
        <v>0</v>
      </c>
      <c r="N816">
        <f>IF(COUNTIFS('United Data'!$A$3:$A$3390,N$1,'United Data'!$C$3:$C$3390,$A816,'United Data'!$B$3:$B$3390,"&lt;&gt;Off-street")&gt;0,1,0)</f>
        <v>0</v>
      </c>
      <c r="O816">
        <f>IF(COUNTIFS('United Data'!$A$3:$A$3390,O$1,'United Data'!$C$3:$C$3390,$A816,'United Data'!$B$3:$B$3390,"&lt;&gt;Off-street")&gt;0,1,0)</f>
        <v>0</v>
      </c>
      <c r="P816">
        <f>IF(COUNTIFS('United Data'!$A$3:$A$3390,P$1,'United Data'!$C$3:$C$3390,$A816,'United Data'!$B$3:$B$3390,"&lt;&gt;Off-street")&gt;0,1,0)</f>
        <v>0</v>
      </c>
      <c r="Q816">
        <f>IF(COUNTIFS('United Data'!$A$3:$A$3390,Q$1,'United Data'!$C$3:$C$3390,$A816,'United Data'!$B$3:$B$3390,"&lt;&gt;Off-street")&gt;0,1,0)</f>
        <v>0</v>
      </c>
      <c r="R816">
        <f>IF(COUNTIFS('United Data'!$A$3:$A$3390,R$1,'United Data'!$C$3:$C$3390,$A816,'United Data'!$B$3:$B$3390,"&lt;&gt;Off-street")&gt;0,1,0)</f>
        <v>0</v>
      </c>
      <c r="S816">
        <f t="shared" si="24"/>
        <v>3</v>
      </c>
      <c r="T816">
        <f t="shared" si="25"/>
        <v>1</v>
      </c>
    </row>
    <row r="817" spans="1:20" x14ac:dyDescent="0.2">
      <c r="A817" t="s">
        <v>974</v>
      </c>
      <c r="B817">
        <f>IF(COUNTIFS('United Data'!$A$3:$A$3390,B$1,'United Data'!$C$3:$C$3390,$A817,'United Data'!$B$3:$B$3390,"&lt;&gt;Off-street")&gt;0,1,0)</f>
        <v>0</v>
      </c>
      <c r="C817">
        <f>IF(COUNTIFS('United Data'!$A$3:$A$3390,C$1,'United Data'!$C$3:$C$3390,$A817,'United Data'!$B$3:$B$3390,"&lt;&gt;Off-street")&gt;0,1,0)</f>
        <v>0</v>
      </c>
      <c r="D817">
        <f>IF(COUNTIFS('United Data'!$A$3:$A$3390,D$1,'United Data'!$C$3:$C$3390,$A817,'United Data'!$B$3:$B$3390,"&lt;&gt;Off-street")&gt;0,1,0)</f>
        <v>1</v>
      </c>
      <c r="E817">
        <f>IF(COUNTIFS('United Data'!$A$3:$A$3390,E$1,'United Data'!$C$3:$C$3390,$A817,'United Data'!$B$3:$B$3390,"&lt;&gt;Off-street")&gt;0,1,0)</f>
        <v>0</v>
      </c>
      <c r="F817">
        <f>IF(COUNTIFS('United Data'!$A$3:$A$3390,F$1,'United Data'!$C$3:$C$3390,$A817,'United Data'!$B$3:$B$3390,"&lt;&gt;Off-street")&gt;0,1,0)</f>
        <v>0</v>
      </c>
      <c r="G817">
        <f>IF(COUNTIFS('United Data'!$A$3:$A$3390,G$1,'United Data'!$C$3:$C$3390,$A817,'United Data'!$B$3:$B$3390,"&lt;&gt;Off-street")&gt;0,1,0)</f>
        <v>0</v>
      </c>
      <c r="H817">
        <f>IF(COUNTIFS('United Data'!$A$3:$A$3390,H$1,'United Data'!$C$3:$C$3390,$A817,'United Data'!$B$3:$B$3390,"&lt;&gt;Off-street")&gt;0,1,0)</f>
        <v>0</v>
      </c>
      <c r="I817">
        <f>IF(COUNTIFS('United Data'!$A$3:$A$3390,I$1,'United Data'!$C$3:$C$3390,$A817,'United Data'!$B$3:$B$3390,"&lt;&gt;Off-street")&gt;0,1,0)</f>
        <v>0</v>
      </c>
      <c r="J817">
        <f>IF(COUNTIFS('United Data'!$A$3:$A$3390,J$1,'United Data'!$C$3:$C$3390,$A817,'United Data'!$B$3:$B$3390,"&lt;&gt;Off-street")&gt;0,1,0)</f>
        <v>0</v>
      </c>
      <c r="K817">
        <f>IF(COUNTIFS('United Data'!$A$3:$A$3390,K$1,'United Data'!$C$3:$C$3390,$A817,'United Data'!$B$3:$B$3390,"&lt;&gt;Off-street")&gt;0,1,0)</f>
        <v>0</v>
      </c>
      <c r="L817">
        <f>IF(COUNTIFS('United Data'!$A$3:$A$3390,L$1,'United Data'!$C$3:$C$3390,$A817,'United Data'!$B$3:$B$3390,"&lt;&gt;Off-street")&gt;0,1,0)</f>
        <v>0</v>
      </c>
      <c r="M817">
        <f>IF(COUNTIFS('United Data'!$A$3:$A$3390,M$1,'United Data'!$C$3:$C$3390,$A817,'United Data'!$B$3:$B$3390,"&lt;&gt;Off-street")&gt;0,1,0)</f>
        <v>0</v>
      </c>
      <c r="N817">
        <f>IF(COUNTIFS('United Data'!$A$3:$A$3390,N$1,'United Data'!$C$3:$C$3390,$A817,'United Data'!$B$3:$B$3390,"&lt;&gt;Off-street")&gt;0,1,0)</f>
        <v>0</v>
      </c>
      <c r="O817">
        <f>IF(COUNTIFS('United Data'!$A$3:$A$3390,O$1,'United Data'!$C$3:$C$3390,$A817,'United Data'!$B$3:$B$3390,"&lt;&gt;Off-street")&gt;0,1,0)</f>
        <v>0</v>
      </c>
      <c r="P817">
        <f>IF(COUNTIFS('United Data'!$A$3:$A$3390,P$1,'United Data'!$C$3:$C$3390,$A817,'United Data'!$B$3:$B$3390,"&lt;&gt;Off-street")&gt;0,1,0)</f>
        <v>0</v>
      </c>
      <c r="Q817">
        <f>IF(COUNTIFS('United Data'!$A$3:$A$3390,Q$1,'United Data'!$C$3:$C$3390,$A817,'United Data'!$B$3:$B$3390,"&lt;&gt;Off-street")&gt;0,1,0)</f>
        <v>0</v>
      </c>
      <c r="R817">
        <f>IF(COUNTIFS('United Data'!$A$3:$A$3390,R$1,'United Data'!$C$3:$C$3390,$A817,'United Data'!$B$3:$B$3390,"&lt;&gt;Off-street")&gt;0,1,0)</f>
        <v>0</v>
      </c>
      <c r="S817">
        <f t="shared" si="24"/>
        <v>1</v>
      </c>
      <c r="T817">
        <f t="shared" si="25"/>
        <v>1</v>
      </c>
    </row>
    <row r="818" spans="1:20" x14ac:dyDescent="0.2">
      <c r="A818" t="s">
        <v>975</v>
      </c>
      <c r="B818">
        <f>IF(COUNTIFS('United Data'!$A$3:$A$3390,B$1,'United Data'!$C$3:$C$3390,$A818,'United Data'!$B$3:$B$3390,"&lt;&gt;Off-street")&gt;0,1,0)</f>
        <v>0</v>
      </c>
      <c r="C818">
        <f>IF(COUNTIFS('United Data'!$A$3:$A$3390,C$1,'United Data'!$C$3:$C$3390,$A818,'United Data'!$B$3:$B$3390,"&lt;&gt;Off-street")&gt;0,1,0)</f>
        <v>0</v>
      </c>
      <c r="D818">
        <f>IF(COUNTIFS('United Data'!$A$3:$A$3390,D$1,'United Data'!$C$3:$C$3390,$A818,'United Data'!$B$3:$B$3390,"&lt;&gt;Off-street")&gt;0,1,0)</f>
        <v>1</v>
      </c>
      <c r="E818">
        <f>IF(COUNTIFS('United Data'!$A$3:$A$3390,E$1,'United Data'!$C$3:$C$3390,$A818,'United Data'!$B$3:$B$3390,"&lt;&gt;Off-street")&gt;0,1,0)</f>
        <v>1</v>
      </c>
      <c r="F818">
        <f>IF(COUNTIFS('United Data'!$A$3:$A$3390,F$1,'United Data'!$C$3:$C$3390,$A818,'United Data'!$B$3:$B$3390,"&lt;&gt;Off-street")&gt;0,1,0)</f>
        <v>0</v>
      </c>
      <c r="G818">
        <f>IF(COUNTIFS('United Data'!$A$3:$A$3390,G$1,'United Data'!$C$3:$C$3390,$A818,'United Data'!$B$3:$B$3390,"&lt;&gt;Off-street")&gt;0,1,0)</f>
        <v>0</v>
      </c>
      <c r="H818">
        <f>IF(COUNTIFS('United Data'!$A$3:$A$3390,H$1,'United Data'!$C$3:$C$3390,$A818,'United Data'!$B$3:$B$3390,"&lt;&gt;Off-street")&gt;0,1,0)</f>
        <v>0</v>
      </c>
      <c r="I818">
        <f>IF(COUNTIFS('United Data'!$A$3:$A$3390,I$1,'United Data'!$C$3:$C$3390,$A818,'United Data'!$B$3:$B$3390,"&lt;&gt;Off-street")&gt;0,1,0)</f>
        <v>0</v>
      </c>
      <c r="J818">
        <f>IF(COUNTIFS('United Data'!$A$3:$A$3390,J$1,'United Data'!$C$3:$C$3390,$A818,'United Data'!$B$3:$B$3390,"&lt;&gt;Off-street")&gt;0,1,0)</f>
        <v>0</v>
      </c>
      <c r="K818">
        <f>IF(COUNTIFS('United Data'!$A$3:$A$3390,K$1,'United Data'!$C$3:$C$3390,$A818,'United Data'!$B$3:$B$3390,"&lt;&gt;Off-street")&gt;0,1,0)</f>
        <v>0</v>
      </c>
      <c r="L818">
        <f>IF(COUNTIFS('United Data'!$A$3:$A$3390,L$1,'United Data'!$C$3:$C$3390,$A818,'United Data'!$B$3:$B$3390,"&lt;&gt;Off-street")&gt;0,1,0)</f>
        <v>0</v>
      </c>
      <c r="M818">
        <f>IF(COUNTIFS('United Data'!$A$3:$A$3390,M$1,'United Data'!$C$3:$C$3390,$A818,'United Data'!$B$3:$B$3390,"&lt;&gt;Off-street")&gt;0,1,0)</f>
        <v>0</v>
      </c>
      <c r="N818">
        <f>IF(COUNTIFS('United Data'!$A$3:$A$3390,N$1,'United Data'!$C$3:$C$3390,$A818,'United Data'!$B$3:$B$3390,"&lt;&gt;Off-street")&gt;0,1,0)</f>
        <v>0</v>
      </c>
      <c r="O818">
        <f>IF(COUNTIFS('United Data'!$A$3:$A$3390,O$1,'United Data'!$C$3:$C$3390,$A818,'United Data'!$B$3:$B$3390,"&lt;&gt;Off-street")&gt;0,1,0)</f>
        <v>0</v>
      </c>
      <c r="P818">
        <f>IF(COUNTIFS('United Data'!$A$3:$A$3390,P$1,'United Data'!$C$3:$C$3390,$A818,'United Data'!$B$3:$B$3390,"&lt;&gt;Off-street")&gt;0,1,0)</f>
        <v>0</v>
      </c>
      <c r="Q818">
        <f>IF(COUNTIFS('United Data'!$A$3:$A$3390,Q$1,'United Data'!$C$3:$C$3390,$A818,'United Data'!$B$3:$B$3390,"&lt;&gt;Off-street")&gt;0,1,0)</f>
        <v>0</v>
      </c>
      <c r="R818">
        <f>IF(COUNTIFS('United Data'!$A$3:$A$3390,R$1,'United Data'!$C$3:$C$3390,$A818,'United Data'!$B$3:$B$3390,"&lt;&gt;Off-street")&gt;0,1,0)</f>
        <v>0</v>
      </c>
      <c r="S818">
        <f t="shared" si="24"/>
        <v>2</v>
      </c>
      <c r="T818">
        <f t="shared" si="25"/>
        <v>1</v>
      </c>
    </row>
    <row r="819" spans="1:20" x14ac:dyDescent="0.2">
      <c r="A819" t="s">
        <v>976</v>
      </c>
      <c r="B819">
        <f>IF(COUNTIFS('United Data'!$A$3:$A$3390,B$1,'United Data'!$C$3:$C$3390,$A819,'United Data'!$B$3:$B$3390,"&lt;&gt;Off-street")&gt;0,1,0)</f>
        <v>0</v>
      </c>
      <c r="C819">
        <f>IF(COUNTIFS('United Data'!$A$3:$A$3390,C$1,'United Data'!$C$3:$C$3390,$A819,'United Data'!$B$3:$B$3390,"&lt;&gt;Off-street")&gt;0,1,0)</f>
        <v>0</v>
      </c>
      <c r="D819">
        <f>IF(COUNTIFS('United Data'!$A$3:$A$3390,D$1,'United Data'!$C$3:$C$3390,$A819,'United Data'!$B$3:$B$3390,"&lt;&gt;Off-street")&gt;0,1,0)</f>
        <v>1</v>
      </c>
      <c r="E819">
        <f>IF(COUNTIFS('United Data'!$A$3:$A$3390,E$1,'United Data'!$C$3:$C$3390,$A819,'United Data'!$B$3:$B$3390,"&lt;&gt;Off-street")&gt;0,1,0)</f>
        <v>0</v>
      </c>
      <c r="F819">
        <f>IF(COUNTIFS('United Data'!$A$3:$A$3390,F$1,'United Data'!$C$3:$C$3390,$A819,'United Data'!$B$3:$B$3390,"&lt;&gt;Off-street")&gt;0,1,0)</f>
        <v>0</v>
      </c>
      <c r="G819">
        <f>IF(COUNTIFS('United Data'!$A$3:$A$3390,G$1,'United Data'!$C$3:$C$3390,$A819,'United Data'!$B$3:$B$3390,"&lt;&gt;Off-street")&gt;0,1,0)</f>
        <v>0</v>
      </c>
      <c r="H819">
        <f>IF(COUNTIFS('United Data'!$A$3:$A$3390,H$1,'United Data'!$C$3:$C$3390,$A819,'United Data'!$B$3:$B$3390,"&lt;&gt;Off-street")&gt;0,1,0)</f>
        <v>0</v>
      </c>
      <c r="I819">
        <f>IF(COUNTIFS('United Data'!$A$3:$A$3390,I$1,'United Data'!$C$3:$C$3390,$A819,'United Data'!$B$3:$B$3390,"&lt;&gt;Off-street")&gt;0,1,0)</f>
        <v>0</v>
      </c>
      <c r="J819">
        <f>IF(COUNTIFS('United Data'!$A$3:$A$3390,J$1,'United Data'!$C$3:$C$3390,$A819,'United Data'!$B$3:$B$3390,"&lt;&gt;Off-street")&gt;0,1,0)</f>
        <v>0</v>
      </c>
      <c r="K819">
        <f>IF(COUNTIFS('United Data'!$A$3:$A$3390,K$1,'United Data'!$C$3:$C$3390,$A819,'United Data'!$B$3:$B$3390,"&lt;&gt;Off-street")&gt;0,1,0)</f>
        <v>0</v>
      </c>
      <c r="L819">
        <f>IF(COUNTIFS('United Data'!$A$3:$A$3390,L$1,'United Data'!$C$3:$C$3390,$A819,'United Data'!$B$3:$B$3390,"&lt;&gt;Off-street")&gt;0,1,0)</f>
        <v>0</v>
      </c>
      <c r="M819">
        <f>IF(COUNTIFS('United Data'!$A$3:$A$3390,M$1,'United Data'!$C$3:$C$3390,$A819,'United Data'!$B$3:$B$3390,"&lt;&gt;Off-street")&gt;0,1,0)</f>
        <v>0</v>
      </c>
      <c r="N819">
        <f>IF(COUNTIFS('United Data'!$A$3:$A$3390,N$1,'United Data'!$C$3:$C$3390,$A819,'United Data'!$B$3:$B$3390,"&lt;&gt;Off-street")&gt;0,1,0)</f>
        <v>0</v>
      </c>
      <c r="O819">
        <f>IF(COUNTIFS('United Data'!$A$3:$A$3390,O$1,'United Data'!$C$3:$C$3390,$A819,'United Data'!$B$3:$B$3390,"&lt;&gt;Off-street")&gt;0,1,0)</f>
        <v>0</v>
      </c>
      <c r="P819">
        <f>IF(COUNTIFS('United Data'!$A$3:$A$3390,P$1,'United Data'!$C$3:$C$3390,$A819,'United Data'!$B$3:$B$3390,"&lt;&gt;Off-street")&gt;0,1,0)</f>
        <v>0</v>
      </c>
      <c r="Q819">
        <f>IF(COUNTIFS('United Data'!$A$3:$A$3390,Q$1,'United Data'!$C$3:$C$3390,$A819,'United Data'!$B$3:$B$3390,"&lt;&gt;Off-street")&gt;0,1,0)</f>
        <v>0</v>
      </c>
      <c r="R819">
        <f>IF(COUNTIFS('United Data'!$A$3:$A$3390,R$1,'United Data'!$C$3:$C$3390,$A819,'United Data'!$B$3:$B$3390,"&lt;&gt;Off-street")&gt;0,1,0)</f>
        <v>0</v>
      </c>
      <c r="S819">
        <f t="shared" si="24"/>
        <v>1</v>
      </c>
      <c r="T819">
        <f t="shared" si="25"/>
        <v>1</v>
      </c>
    </row>
    <row r="820" spans="1:20" x14ac:dyDescent="0.2">
      <c r="A820" t="s">
        <v>977</v>
      </c>
      <c r="B820">
        <f>IF(COUNTIFS('United Data'!$A$3:$A$3390,B$1,'United Data'!$C$3:$C$3390,$A820,'United Data'!$B$3:$B$3390,"&lt;&gt;Off-street")&gt;0,1,0)</f>
        <v>0</v>
      </c>
      <c r="C820">
        <f>IF(COUNTIFS('United Data'!$A$3:$A$3390,C$1,'United Data'!$C$3:$C$3390,$A820,'United Data'!$B$3:$B$3390,"&lt;&gt;Off-street")&gt;0,1,0)</f>
        <v>0</v>
      </c>
      <c r="D820">
        <f>IF(COUNTIFS('United Data'!$A$3:$A$3390,D$1,'United Data'!$C$3:$C$3390,$A820,'United Data'!$B$3:$B$3390,"&lt;&gt;Off-street")&gt;0,1,0)</f>
        <v>1</v>
      </c>
      <c r="E820">
        <f>IF(COUNTIFS('United Data'!$A$3:$A$3390,E$1,'United Data'!$C$3:$C$3390,$A820,'United Data'!$B$3:$B$3390,"&lt;&gt;Off-street")&gt;0,1,0)</f>
        <v>0</v>
      </c>
      <c r="F820">
        <f>IF(COUNTIFS('United Data'!$A$3:$A$3390,F$1,'United Data'!$C$3:$C$3390,$A820,'United Data'!$B$3:$B$3390,"&lt;&gt;Off-street")&gt;0,1,0)</f>
        <v>0</v>
      </c>
      <c r="G820">
        <f>IF(COUNTIFS('United Data'!$A$3:$A$3390,G$1,'United Data'!$C$3:$C$3390,$A820,'United Data'!$B$3:$B$3390,"&lt;&gt;Off-street")&gt;0,1,0)</f>
        <v>0</v>
      </c>
      <c r="H820">
        <f>IF(COUNTIFS('United Data'!$A$3:$A$3390,H$1,'United Data'!$C$3:$C$3390,$A820,'United Data'!$B$3:$B$3390,"&lt;&gt;Off-street")&gt;0,1,0)</f>
        <v>1</v>
      </c>
      <c r="I820">
        <f>IF(COUNTIFS('United Data'!$A$3:$A$3390,I$1,'United Data'!$C$3:$C$3390,$A820,'United Data'!$B$3:$B$3390,"&lt;&gt;Off-street")&gt;0,1,0)</f>
        <v>1</v>
      </c>
      <c r="J820">
        <f>IF(COUNTIFS('United Data'!$A$3:$A$3390,J$1,'United Data'!$C$3:$C$3390,$A820,'United Data'!$B$3:$B$3390,"&lt;&gt;Off-street")&gt;0,1,0)</f>
        <v>0</v>
      </c>
      <c r="K820">
        <f>IF(COUNTIFS('United Data'!$A$3:$A$3390,K$1,'United Data'!$C$3:$C$3390,$A820,'United Data'!$B$3:$B$3390,"&lt;&gt;Off-street")&gt;0,1,0)</f>
        <v>0</v>
      </c>
      <c r="L820">
        <f>IF(COUNTIFS('United Data'!$A$3:$A$3390,L$1,'United Data'!$C$3:$C$3390,$A820,'United Data'!$B$3:$B$3390,"&lt;&gt;Off-street")&gt;0,1,0)</f>
        <v>0</v>
      </c>
      <c r="M820">
        <f>IF(COUNTIFS('United Data'!$A$3:$A$3390,M$1,'United Data'!$C$3:$C$3390,$A820,'United Data'!$B$3:$B$3390,"&lt;&gt;Off-street")&gt;0,1,0)</f>
        <v>0</v>
      </c>
      <c r="N820">
        <f>IF(COUNTIFS('United Data'!$A$3:$A$3390,N$1,'United Data'!$C$3:$C$3390,$A820,'United Data'!$B$3:$B$3390,"&lt;&gt;Off-street")&gt;0,1,0)</f>
        <v>0</v>
      </c>
      <c r="O820">
        <f>IF(COUNTIFS('United Data'!$A$3:$A$3390,O$1,'United Data'!$C$3:$C$3390,$A820,'United Data'!$B$3:$B$3390,"&lt;&gt;Off-street")&gt;0,1,0)</f>
        <v>0</v>
      </c>
      <c r="P820">
        <f>IF(COUNTIFS('United Data'!$A$3:$A$3390,P$1,'United Data'!$C$3:$C$3390,$A820,'United Data'!$B$3:$B$3390,"&lt;&gt;Off-street")&gt;0,1,0)</f>
        <v>0</v>
      </c>
      <c r="Q820">
        <f>IF(COUNTIFS('United Data'!$A$3:$A$3390,Q$1,'United Data'!$C$3:$C$3390,$A820,'United Data'!$B$3:$B$3390,"&lt;&gt;Off-street")&gt;0,1,0)</f>
        <v>0</v>
      </c>
      <c r="R820">
        <f>IF(COUNTIFS('United Data'!$A$3:$A$3390,R$1,'United Data'!$C$3:$C$3390,$A820,'United Data'!$B$3:$B$3390,"&lt;&gt;Off-street")&gt;0,1,0)</f>
        <v>0</v>
      </c>
      <c r="S820">
        <f t="shared" si="24"/>
        <v>3</v>
      </c>
      <c r="T820">
        <f t="shared" si="25"/>
        <v>2</v>
      </c>
    </row>
    <row r="821" spans="1:20" x14ac:dyDescent="0.2">
      <c r="A821" t="s">
        <v>978</v>
      </c>
      <c r="B821">
        <f>IF(COUNTIFS('United Data'!$A$3:$A$3390,B$1,'United Data'!$C$3:$C$3390,$A821,'United Data'!$B$3:$B$3390,"&lt;&gt;Off-street")&gt;0,1,0)</f>
        <v>0</v>
      </c>
      <c r="C821">
        <f>IF(COUNTIFS('United Data'!$A$3:$A$3390,C$1,'United Data'!$C$3:$C$3390,$A821,'United Data'!$B$3:$B$3390,"&lt;&gt;Off-street")&gt;0,1,0)</f>
        <v>0</v>
      </c>
      <c r="D821">
        <f>IF(COUNTIFS('United Data'!$A$3:$A$3390,D$1,'United Data'!$C$3:$C$3390,$A821,'United Data'!$B$3:$B$3390,"&lt;&gt;Off-street")&gt;0,1,0)</f>
        <v>1</v>
      </c>
      <c r="E821">
        <f>IF(COUNTIFS('United Data'!$A$3:$A$3390,E$1,'United Data'!$C$3:$C$3390,$A821,'United Data'!$B$3:$B$3390,"&lt;&gt;Off-street")&gt;0,1,0)</f>
        <v>0</v>
      </c>
      <c r="F821">
        <f>IF(COUNTIFS('United Data'!$A$3:$A$3390,F$1,'United Data'!$C$3:$C$3390,$A821,'United Data'!$B$3:$B$3390,"&lt;&gt;Off-street")&gt;0,1,0)</f>
        <v>0</v>
      </c>
      <c r="G821">
        <f>IF(COUNTIFS('United Data'!$A$3:$A$3390,G$1,'United Data'!$C$3:$C$3390,$A821,'United Data'!$B$3:$B$3390,"&lt;&gt;Off-street")&gt;0,1,0)</f>
        <v>0</v>
      </c>
      <c r="H821">
        <f>IF(COUNTIFS('United Data'!$A$3:$A$3390,H$1,'United Data'!$C$3:$C$3390,$A821,'United Data'!$B$3:$B$3390,"&lt;&gt;Off-street")&gt;0,1,0)</f>
        <v>0</v>
      </c>
      <c r="I821">
        <f>IF(COUNTIFS('United Data'!$A$3:$A$3390,I$1,'United Data'!$C$3:$C$3390,$A821,'United Data'!$B$3:$B$3390,"&lt;&gt;Off-street")&gt;0,1,0)</f>
        <v>0</v>
      </c>
      <c r="J821">
        <f>IF(COUNTIFS('United Data'!$A$3:$A$3390,J$1,'United Data'!$C$3:$C$3390,$A821,'United Data'!$B$3:$B$3390,"&lt;&gt;Off-street")&gt;0,1,0)</f>
        <v>0</v>
      </c>
      <c r="K821">
        <f>IF(COUNTIFS('United Data'!$A$3:$A$3390,K$1,'United Data'!$C$3:$C$3390,$A821,'United Data'!$B$3:$B$3390,"&lt;&gt;Off-street")&gt;0,1,0)</f>
        <v>0</v>
      </c>
      <c r="L821">
        <f>IF(COUNTIFS('United Data'!$A$3:$A$3390,L$1,'United Data'!$C$3:$C$3390,$A821,'United Data'!$B$3:$B$3390,"&lt;&gt;Off-street")&gt;0,1,0)</f>
        <v>0</v>
      </c>
      <c r="M821">
        <f>IF(COUNTIFS('United Data'!$A$3:$A$3390,M$1,'United Data'!$C$3:$C$3390,$A821,'United Data'!$B$3:$B$3390,"&lt;&gt;Off-street")&gt;0,1,0)</f>
        <v>0</v>
      </c>
      <c r="N821">
        <f>IF(COUNTIFS('United Data'!$A$3:$A$3390,N$1,'United Data'!$C$3:$C$3390,$A821,'United Data'!$B$3:$B$3390,"&lt;&gt;Off-street")&gt;0,1,0)</f>
        <v>0</v>
      </c>
      <c r="O821">
        <f>IF(COUNTIFS('United Data'!$A$3:$A$3390,O$1,'United Data'!$C$3:$C$3390,$A821,'United Data'!$B$3:$B$3390,"&lt;&gt;Off-street")&gt;0,1,0)</f>
        <v>0</v>
      </c>
      <c r="P821">
        <f>IF(COUNTIFS('United Data'!$A$3:$A$3390,P$1,'United Data'!$C$3:$C$3390,$A821,'United Data'!$B$3:$B$3390,"&lt;&gt;Off-street")&gt;0,1,0)</f>
        <v>0</v>
      </c>
      <c r="Q821">
        <f>IF(COUNTIFS('United Data'!$A$3:$A$3390,Q$1,'United Data'!$C$3:$C$3390,$A821,'United Data'!$B$3:$B$3390,"&lt;&gt;Off-street")&gt;0,1,0)</f>
        <v>0</v>
      </c>
      <c r="R821">
        <f>IF(COUNTIFS('United Data'!$A$3:$A$3390,R$1,'United Data'!$C$3:$C$3390,$A821,'United Data'!$B$3:$B$3390,"&lt;&gt;Off-street")&gt;0,1,0)</f>
        <v>0</v>
      </c>
      <c r="S821">
        <f t="shared" si="24"/>
        <v>1</v>
      </c>
      <c r="T821">
        <f t="shared" si="25"/>
        <v>1</v>
      </c>
    </row>
    <row r="822" spans="1:20" x14ac:dyDescent="0.2">
      <c r="A822" t="s">
        <v>979</v>
      </c>
      <c r="B822">
        <f>IF(COUNTIFS('United Data'!$A$3:$A$3390,B$1,'United Data'!$C$3:$C$3390,$A822,'United Data'!$B$3:$B$3390,"&lt;&gt;Off-street")&gt;0,1,0)</f>
        <v>0</v>
      </c>
      <c r="C822">
        <f>IF(COUNTIFS('United Data'!$A$3:$A$3390,C$1,'United Data'!$C$3:$C$3390,$A822,'United Data'!$B$3:$B$3390,"&lt;&gt;Off-street")&gt;0,1,0)</f>
        <v>0</v>
      </c>
      <c r="D822">
        <f>IF(COUNTIFS('United Data'!$A$3:$A$3390,D$1,'United Data'!$C$3:$C$3390,$A822,'United Data'!$B$3:$B$3390,"&lt;&gt;Off-street")&gt;0,1,0)</f>
        <v>1</v>
      </c>
      <c r="E822">
        <f>IF(COUNTIFS('United Data'!$A$3:$A$3390,E$1,'United Data'!$C$3:$C$3390,$A822,'United Data'!$B$3:$B$3390,"&lt;&gt;Off-street")&gt;0,1,0)</f>
        <v>1</v>
      </c>
      <c r="F822">
        <f>IF(COUNTIFS('United Data'!$A$3:$A$3390,F$1,'United Data'!$C$3:$C$3390,$A822,'United Data'!$B$3:$B$3390,"&lt;&gt;Off-street")&gt;0,1,0)</f>
        <v>0</v>
      </c>
      <c r="G822">
        <f>IF(COUNTIFS('United Data'!$A$3:$A$3390,G$1,'United Data'!$C$3:$C$3390,$A822,'United Data'!$B$3:$B$3390,"&lt;&gt;Off-street")&gt;0,1,0)</f>
        <v>0</v>
      </c>
      <c r="H822">
        <f>IF(COUNTIFS('United Data'!$A$3:$A$3390,H$1,'United Data'!$C$3:$C$3390,$A822,'United Data'!$B$3:$B$3390,"&lt;&gt;Off-street")&gt;0,1,0)</f>
        <v>0</v>
      </c>
      <c r="I822">
        <f>IF(COUNTIFS('United Data'!$A$3:$A$3390,I$1,'United Data'!$C$3:$C$3390,$A822,'United Data'!$B$3:$B$3390,"&lt;&gt;Off-street")&gt;0,1,0)</f>
        <v>0</v>
      </c>
      <c r="J822">
        <f>IF(COUNTIFS('United Data'!$A$3:$A$3390,J$1,'United Data'!$C$3:$C$3390,$A822,'United Data'!$B$3:$B$3390,"&lt;&gt;Off-street")&gt;0,1,0)</f>
        <v>0</v>
      </c>
      <c r="K822">
        <f>IF(COUNTIFS('United Data'!$A$3:$A$3390,K$1,'United Data'!$C$3:$C$3390,$A822,'United Data'!$B$3:$B$3390,"&lt;&gt;Off-street")&gt;0,1,0)</f>
        <v>0</v>
      </c>
      <c r="L822">
        <f>IF(COUNTIFS('United Data'!$A$3:$A$3390,L$1,'United Data'!$C$3:$C$3390,$A822,'United Data'!$B$3:$B$3390,"&lt;&gt;Off-street")&gt;0,1,0)</f>
        <v>0</v>
      </c>
      <c r="M822">
        <f>IF(COUNTIFS('United Data'!$A$3:$A$3390,M$1,'United Data'!$C$3:$C$3390,$A822,'United Data'!$B$3:$B$3390,"&lt;&gt;Off-street")&gt;0,1,0)</f>
        <v>0</v>
      </c>
      <c r="N822">
        <f>IF(COUNTIFS('United Data'!$A$3:$A$3390,N$1,'United Data'!$C$3:$C$3390,$A822,'United Data'!$B$3:$B$3390,"&lt;&gt;Off-street")&gt;0,1,0)</f>
        <v>0</v>
      </c>
      <c r="O822">
        <f>IF(COUNTIFS('United Data'!$A$3:$A$3390,O$1,'United Data'!$C$3:$C$3390,$A822,'United Data'!$B$3:$B$3390,"&lt;&gt;Off-street")&gt;0,1,0)</f>
        <v>0</v>
      </c>
      <c r="P822">
        <f>IF(COUNTIFS('United Data'!$A$3:$A$3390,P$1,'United Data'!$C$3:$C$3390,$A822,'United Data'!$B$3:$B$3390,"&lt;&gt;Off-street")&gt;0,1,0)</f>
        <v>0</v>
      </c>
      <c r="Q822">
        <f>IF(COUNTIFS('United Data'!$A$3:$A$3390,Q$1,'United Data'!$C$3:$C$3390,$A822,'United Data'!$B$3:$B$3390,"&lt;&gt;Off-street")&gt;0,1,0)</f>
        <v>0</v>
      </c>
      <c r="R822">
        <f>IF(COUNTIFS('United Data'!$A$3:$A$3390,R$1,'United Data'!$C$3:$C$3390,$A822,'United Data'!$B$3:$B$3390,"&lt;&gt;Off-street")&gt;0,1,0)</f>
        <v>0</v>
      </c>
      <c r="S822">
        <f t="shared" si="24"/>
        <v>2</v>
      </c>
      <c r="T822">
        <f t="shared" si="25"/>
        <v>1</v>
      </c>
    </row>
    <row r="823" spans="1:20" x14ac:dyDescent="0.2">
      <c r="A823" t="s">
        <v>980</v>
      </c>
      <c r="B823">
        <f>IF(COUNTIFS('United Data'!$A$3:$A$3390,B$1,'United Data'!$C$3:$C$3390,$A823,'United Data'!$B$3:$B$3390,"&lt;&gt;Off-street")&gt;0,1,0)</f>
        <v>0</v>
      </c>
      <c r="C823">
        <f>IF(COUNTIFS('United Data'!$A$3:$A$3390,C$1,'United Data'!$C$3:$C$3390,$A823,'United Data'!$B$3:$B$3390,"&lt;&gt;Off-street")&gt;0,1,0)</f>
        <v>0</v>
      </c>
      <c r="D823">
        <f>IF(COUNTIFS('United Data'!$A$3:$A$3390,D$1,'United Data'!$C$3:$C$3390,$A823,'United Data'!$B$3:$B$3390,"&lt;&gt;Off-street")&gt;0,1,0)</f>
        <v>1</v>
      </c>
      <c r="E823">
        <f>IF(COUNTIFS('United Data'!$A$3:$A$3390,E$1,'United Data'!$C$3:$C$3390,$A823,'United Data'!$B$3:$B$3390,"&lt;&gt;Off-street")&gt;0,1,0)</f>
        <v>1</v>
      </c>
      <c r="F823">
        <f>IF(COUNTIFS('United Data'!$A$3:$A$3390,F$1,'United Data'!$C$3:$C$3390,$A823,'United Data'!$B$3:$B$3390,"&lt;&gt;Off-street")&gt;0,1,0)</f>
        <v>0</v>
      </c>
      <c r="G823">
        <f>IF(COUNTIFS('United Data'!$A$3:$A$3390,G$1,'United Data'!$C$3:$C$3390,$A823,'United Data'!$B$3:$B$3390,"&lt;&gt;Off-street")&gt;0,1,0)</f>
        <v>0</v>
      </c>
      <c r="H823">
        <f>IF(COUNTIFS('United Data'!$A$3:$A$3390,H$1,'United Data'!$C$3:$C$3390,$A823,'United Data'!$B$3:$B$3390,"&lt;&gt;Off-street")&gt;0,1,0)</f>
        <v>0</v>
      </c>
      <c r="I823">
        <f>IF(COUNTIFS('United Data'!$A$3:$A$3390,I$1,'United Data'!$C$3:$C$3390,$A823,'United Data'!$B$3:$B$3390,"&lt;&gt;Off-street")&gt;0,1,0)</f>
        <v>0</v>
      </c>
      <c r="J823">
        <f>IF(COUNTIFS('United Data'!$A$3:$A$3390,J$1,'United Data'!$C$3:$C$3390,$A823,'United Data'!$B$3:$B$3390,"&lt;&gt;Off-street")&gt;0,1,0)</f>
        <v>0</v>
      </c>
      <c r="K823">
        <f>IF(COUNTIFS('United Data'!$A$3:$A$3390,K$1,'United Data'!$C$3:$C$3390,$A823,'United Data'!$B$3:$B$3390,"&lt;&gt;Off-street")&gt;0,1,0)</f>
        <v>0</v>
      </c>
      <c r="L823">
        <f>IF(COUNTIFS('United Data'!$A$3:$A$3390,L$1,'United Data'!$C$3:$C$3390,$A823,'United Data'!$B$3:$B$3390,"&lt;&gt;Off-street")&gt;0,1,0)</f>
        <v>0</v>
      </c>
      <c r="M823">
        <f>IF(COUNTIFS('United Data'!$A$3:$A$3390,M$1,'United Data'!$C$3:$C$3390,$A823,'United Data'!$B$3:$B$3390,"&lt;&gt;Off-street")&gt;0,1,0)</f>
        <v>0</v>
      </c>
      <c r="N823">
        <f>IF(COUNTIFS('United Data'!$A$3:$A$3390,N$1,'United Data'!$C$3:$C$3390,$A823,'United Data'!$B$3:$B$3390,"&lt;&gt;Off-street")&gt;0,1,0)</f>
        <v>0</v>
      </c>
      <c r="O823">
        <f>IF(COUNTIFS('United Data'!$A$3:$A$3390,O$1,'United Data'!$C$3:$C$3390,$A823,'United Data'!$B$3:$B$3390,"&lt;&gt;Off-street")&gt;0,1,0)</f>
        <v>0</v>
      </c>
      <c r="P823">
        <f>IF(COUNTIFS('United Data'!$A$3:$A$3390,P$1,'United Data'!$C$3:$C$3390,$A823,'United Data'!$B$3:$B$3390,"&lt;&gt;Off-street")&gt;0,1,0)</f>
        <v>0</v>
      </c>
      <c r="Q823">
        <f>IF(COUNTIFS('United Data'!$A$3:$A$3390,Q$1,'United Data'!$C$3:$C$3390,$A823,'United Data'!$B$3:$B$3390,"&lt;&gt;Off-street")&gt;0,1,0)</f>
        <v>0</v>
      </c>
      <c r="R823">
        <f>IF(COUNTIFS('United Data'!$A$3:$A$3390,R$1,'United Data'!$C$3:$C$3390,$A823,'United Data'!$B$3:$B$3390,"&lt;&gt;Off-street")&gt;0,1,0)</f>
        <v>0</v>
      </c>
      <c r="S823">
        <f t="shared" si="24"/>
        <v>2</v>
      </c>
      <c r="T823">
        <f t="shared" si="25"/>
        <v>1</v>
      </c>
    </row>
    <row r="824" spans="1:20" x14ac:dyDescent="0.2">
      <c r="A824" t="s">
        <v>981</v>
      </c>
      <c r="B824">
        <f>IF(COUNTIFS('United Data'!$A$3:$A$3390,B$1,'United Data'!$C$3:$C$3390,$A824,'United Data'!$B$3:$B$3390,"&lt;&gt;Off-street")&gt;0,1,0)</f>
        <v>0</v>
      </c>
      <c r="C824">
        <f>IF(COUNTIFS('United Data'!$A$3:$A$3390,C$1,'United Data'!$C$3:$C$3390,$A824,'United Data'!$B$3:$B$3390,"&lt;&gt;Off-street")&gt;0,1,0)</f>
        <v>0</v>
      </c>
      <c r="D824">
        <f>IF(COUNTIFS('United Data'!$A$3:$A$3390,D$1,'United Data'!$C$3:$C$3390,$A824,'United Data'!$B$3:$B$3390,"&lt;&gt;Off-street")&gt;0,1,0)</f>
        <v>1</v>
      </c>
      <c r="E824">
        <f>IF(COUNTIFS('United Data'!$A$3:$A$3390,E$1,'United Data'!$C$3:$C$3390,$A824,'United Data'!$B$3:$B$3390,"&lt;&gt;Off-street")&gt;0,1,0)</f>
        <v>1</v>
      </c>
      <c r="F824">
        <f>IF(COUNTIFS('United Data'!$A$3:$A$3390,F$1,'United Data'!$C$3:$C$3390,$A824,'United Data'!$B$3:$B$3390,"&lt;&gt;Off-street")&gt;0,1,0)</f>
        <v>1</v>
      </c>
      <c r="G824">
        <f>IF(COUNTIFS('United Data'!$A$3:$A$3390,G$1,'United Data'!$C$3:$C$3390,$A824,'United Data'!$B$3:$B$3390,"&lt;&gt;Off-street")&gt;0,1,0)</f>
        <v>1</v>
      </c>
      <c r="H824">
        <f>IF(COUNTIFS('United Data'!$A$3:$A$3390,H$1,'United Data'!$C$3:$C$3390,$A824,'United Data'!$B$3:$B$3390,"&lt;&gt;Off-street")&gt;0,1,0)</f>
        <v>0</v>
      </c>
      <c r="I824">
        <f>IF(COUNTIFS('United Data'!$A$3:$A$3390,I$1,'United Data'!$C$3:$C$3390,$A824,'United Data'!$B$3:$B$3390,"&lt;&gt;Off-street")&gt;0,1,0)</f>
        <v>1</v>
      </c>
      <c r="J824">
        <f>IF(COUNTIFS('United Data'!$A$3:$A$3390,J$1,'United Data'!$C$3:$C$3390,$A824,'United Data'!$B$3:$B$3390,"&lt;&gt;Off-street")&gt;0,1,0)</f>
        <v>1</v>
      </c>
      <c r="K824">
        <f>IF(COUNTIFS('United Data'!$A$3:$A$3390,K$1,'United Data'!$C$3:$C$3390,$A824,'United Data'!$B$3:$B$3390,"&lt;&gt;Off-street")&gt;0,1,0)</f>
        <v>0</v>
      </c>
      <c r="L824">
        <f>IF(COUNTIFS('United Data'!$A$3:$A$3390,L$1,'United Data'!$C$3:$C$3390,$A824,'United Data'!$B$3:$B$3390,"&lt;&gt;Off-street")&gt;0,1,0)</f>
        <v>0</v>
      </c>
      <c r="M824">
        <f>IF(COUNTIFS('United Data'!$A$3:$A$3390,M$1,'United Data'!$C$3:$C$3390,$A824,'United Data'!$B$3:$B$3390,"&lt;&gt;Off-street")&gt;0,1,0)</f>
        <v>0</v>
      </c>
      <c r="N824">
        <f>IF(COUNTIFS('United Data'!$A$3:$A$3390,N$1,'United Data'!$C$3:$C$3390,$A824,'United Data'!$B$3:$B$3390,"&lt;&gt;Off-street")&gt;0,1,0)</f>
        <v>0</v>
      </c>
      <c r="O824">
        <f>IF(COUNTIFS('United Data'!$A$3:$A$3390,O$1,'United Data'!$C$3:$C$3390,$A824,'United Data'!$B$3:$B$3390,"&lt;&gt;Off-street")&gt;0,1,0)</f>
        <v>0</v>
      </c>
      <c r="P824">
        <f>IF(COUNTIFS('United Data'!$A$3:$A$3390,P$1,'United Data'!$C$3:$C$3390,$A824,'United Data'!$B$3:$B$3390,"&lt;&gt;Off-street")&gt;0,1,0)</f>
        <v>0</v>
      </c>
      <c r="Q824">
        <f>IF(COUNTIFS('United Data'!$A$3:$A$3390,Q$1,'United Data'!$C$3:$C$3390,$A824,'United Data'!$B$3:$B$3390,"&lt;&gt;Off-street")&gt;0,1,0)</f>
        <v>0</v>
      </c>
      <c r="R824">
        <f>IF(COUNTIFS('United Data'!$A$3:$A$3390,R$1,'United Data'!$C$3:$C$3390,$A824,'United Data'!$B$3:$B$3390,"&lt;&gt;Off-street")&gt;0,1,0)</f>
        <v>0</v>
      </c>
      <c r="S824">
        <f t="shared" si="24"/>
        <v>6</v>
      </c>
      <c r="T824">
        <f t="shared" si="25"/>
        <v>2</v>
      </c>
    </row>
    <row r="825" spans="1:20" x14ac:dyDescent="0.2">
      <c r="A825" t="s">
        <v>983</v>
      </c>
      <c r="B825">
        <f>IF(COUNTIFS('United Data'!$A$3:$A$3390,B$1,'United Data'!$C$3:$C$3390,$A825,'United Data'!$B$3:$B$3390,"&lt;&gt;Off-street")&gt;0,1,0)</f>
        <v>0</v>
      </c>
      <c r="C825">
        <f>IF(COUNTIFS('United Data'!$A$3:$A$3390,C$1,'United Data'!$C$3:$C$3390,$A825,'United Data'!$B$3:$B$3390,"&lt;&gt;Off-street")&gt;0,1,0)</f>
        <v>0</v>
      </c>
      <c r="D825">
        <f>IF(COUNTIFS('United Data'!$A$3:$A$3390,D$1,'United Data'!$C$3:$C$3390,$A825,'United Data'!$B$3:$B$3390,"&lt;&gt;Off-street")&gt;0,1,0)</f>
        <v>0</v>
      </c>
      <c r="E825">
        <f>IF(COUNTIFS('United Data'!$A$3:$A$3390,E$1,'United Data'!$C$3:$C$3390,$A825,'United Data'!$B$3:$B$3390,"&lt;&gt;Off-street")&gt;0,1,0)</f>
        <v>1</v>
      </c>
      <c r="F825">
        <f>IF(COUNTIFS('United Data'!$A$3:$A$3390,F$1,'United Data'!$C$3:$C$3390,$A825,'United Data'!$B$3:$B$3390,"&lt;&gt;Off-street")&gt;0,1,0)</f>
        <v>0</v>
      </c>
      <c r="G825">
        <f>IF(COUNTIFS('United Data'!$A$3:$A$3390,G$1,'United Data'!$C$3:$C$3390,$A825,'United Data'!$B$3:$B$3390,"&lt;&gt;Off-street")&gt;0,1,0)</f>
        <v>0</v>
      </c>
      <c r="H825">
        <f>IF(COUNTIFS('United Data'!$A$3:$A$3390,H$1,'United Data'!$C$3:$C$3390,$A825,'United Data'!$B$3:$B$3390,"&lt;&gt;Off-street")&gt;0,1,0)</f>
        <v>0</v>
      </c>
      <c r="I825">
        <f>IF(COUNTIFS('United Data'!$A$3:$A$3390,I$1,'United Data'!$C$3:$C$3390,$A825,'United Data'!$B$3:$B$3390,"&lt;&gt;Off-street")&gt;0,1,0)</f>
        <v>0</v>
      </c>
      <c r="J825">
        <f>IF(COUNTIFS('United Data'!$A$3:$A$3390,J$1,'United Data'!$C$3:$C$3390,$A825,'United Data'!$B$3:$B$3390,"&lt;&gt;Off-street")&gt;0,1,0)</f>
        <v>0</v>
      </c>
      <c r="K825">
        <f>IF(COUNTIFS('United Data'!$A$3:$A$3390,K$1,'United Data'!$C$3:$C$3390,$A825,'United Data'!$B$3:$B$3390,"&lt;&gt;Off-street")&gt;0,1,0)</f>
        <v>0</v>
      </c>
      <c r="L825">
        <f>IF(COUNTIFS('United Data'!$A$3:$A$3390,L$1,'United Data'!$C$3:$C$3390,$A825,'United Data'!$B$3:$B$3390,"&lt;&gt;Off-street")&gt;0,1,0)</f>
        <v>0</v>
      </c>
      <c r="M825">
        <f>IF(COUNTIFS('United Data'!$A$3:$A$3390,M$1,'United Data'!$C$3:$C$3390,$A825,'United Data'!$B$3:$B$3390,"&lt;&gt;Off-street")&gt;0,1,0)</f>
        <v>0</v>
      </c>
      <c r="N825">
        <f>IF(COUNTIFS('United Data'!$A$3:$A$3390,N$1,'United Data'!$C$3:$C$3390,$A825,'United Data'!$B$3:$B$3390,"&lt;&gt;Off-street")&gt;0,1,0)</f>
        <v>0</v>
      </c>
      <c r="O825">
        <f>IF(COUNTIFS('United Data'!$A$3:$A$3390,O$1,'United Data'!$C$3:$C$3390,$A825,'United Data'!$B$3:$B$3390,"&lt;&gt;Off-street")&gt;0,1,0)</f>
        <v>0</v>
      </c>
      <c r="P825">
        <f>IF(COUNTIFS('United Data'!$A$3:$A$3390,P$1,'United Data'!$C$3:$C$3390,$A825,'United Data'!$B$3:$B$3390,"&lt;&gt;Off-street")&gt;0,1,0)</f>
        <v>0</v>
      </c>
      <c r="Q825">
        <f>IF(COUNTIFS('United Data'!$A$3:$A$3390,Q$1,'United Data'!$C$3:$C$3390,$A825,'United Data'!$B$3:$B$3390,"&lt;&gt;Off-street")&gt;0,1,0)</f>
        <v>0</v>
      </c>
      <c r="R825">
        <f>IF(COUNTIFS('United Data'!$A$3:$A$3390,R$1,'United Data'!$C$3:$C$3390,$A825,'United Data'!$B$3:$B$3390,"&lt;&gt;Off-street")&gt;0,1,0)</f>
        <v>0</v>
      </c>
      <c r="S825">
        <f t="shared" si="24"/>
        <v>1</v>
      </c>
      <c r="T825">
        <f t="shared" si="25"/>
        <v>1</v>
      </c>
    </row>
    <row r="826" spans="1:20" x14ac:dyDescent="0.2">
      <c r="A826" t="s">
        <v>993</v>
      </c>
      <c r="B826">
        <f>IF(COUNTIFS('United Data'!$A$3:$A$3390,B$1,'United Data'!$C$3:$C$3390,$A826,'United Data'!$B$3:$B$3390,"&lt;&gt;Off-street")&gt;0,1,0)</f>
        <v>0</v>
      </c>
      <c r="C826">
        <f>IF(COUNTIFS('United Data'!$A$3:$A$3390,C$1,'United Data'!$C$3:$C$3390,$A826,'United Data'!$B$3:$B$3390,"&lt;&gt;Off-street")&gt;0,1,0)</f>
        <v>0</v>
      </c>
      <c r="D826">
        <f>IF(COUNTIFS('United Data'!$A$3:$A$3390,D$1,'United Data'!$C$3:$C$3390,$A826,'United Data'!$B$3:$B$3390,"&lt;&gt;Off-street")&gt;0,1,0)</f>
        <v>0</v>
      </c>
      <c r="E826">
        <f>IF(COUNTIFS('United Data'!$A$3:$A$3390,E$1,'United Data'!$C$3:$C$3390,$A826,'United Data'!$B$3:$B$3390,"&lt;&gt;Off-street")&gt;0,1,0)</f>
        <v>0</v>
      </c>
      <c r="F826">
        <f>IF(COUNTIFS('United Data'!$A$3:$A$3390,F$1,'United Data'!$C$3:$C$3390,$A826,'United Data'!$B$3:$B$3390,"&lt;&gt;Off-street")&gt;0,1,0)</f>
        <v>1</v>
      </c>
      <c r="G826">
        <f>IF(COUNTIFS('United Data'!$A$3:$A$3390,G$1,'United Data'!$C$3:$C$3390,$A826,'United Data'!$B$3:$B$3390,"&lt;&gt;Off-street")&gt;0,1,0)</f>
        <v>0</v>
      </c>
      <c r="H826">
        <f>IF(COUNTIFS('United Data'!$A$3:$A$3390,H$1,'United Data'!$C$3:$C$3390,$A826,'United Data'!$B$3:$B$3390,"&lt;&gt;Off-street")&gt;0,1,0)</f>
        <v>0</v>
      </c>
      <c r="I826">
        <f>IF(COUNTIFS('United Data'!$A$3:$A$3390,I$1,'United Data'!$C$3:$C$3390,$A826,'United Data'!$B$3:$B$3390,"&lt;&gt;Off-street")&gt;0,1,0)</f>
        <v>0</v>
      </c>
      <c r="J826">
        <f>IF(COUNTIFS('United Data'!$A$3:$A$3390,J$1,'United Data'!$C$3:$C$3390,$A826,'United Data'!$B$3:$B$3390,"&lt;&gt;Off-street")&gt;0,1,0)</f>
        <v>0</v>
      </c>
      <c r="K826">
        <f>IF(COUNTIFS('United Data'!$A$3:$A$3390,K$1,'United Data'!$C$3:$C$3390,$A826,'United Data'!$B$3:$B$3390,"&lt;&gt;Off-street")&gt;0,1,0)</f>
        <v>0</v>
      </c>
      <c r="L826">
        <f>IF(COUNTIFS('United Data'!$A$3:$A$3390,L$1,'United Data'!$C$3:$C$3390,$A826,'United Data'!$B$3:$B$3390,"&lt;&gt;Off-street")&gt;0,1,0)</f>
        <v>0</v>
      </c>
      <c r="M826">
        <f>IF(COUNTIFS('United Data'!$A$3:$A$3390,M$1,'United Data'!$C$3:$C$3390,$A826,'United Data'!$B$3:$B$3390,"&lt;&gt;Off-street")&gt;0,1,0)</f>
        <v>0</v>
      </c>
      <c r="N826">
        <f>IF(COUNTIFS('United Data'!$A$3:$A$3390,N$1,'United Data'!$C$3:$C$3390,$A826,'United Data'!$B$3:$B$3390,"&lt;&gt;Off-street")&gt;0,1,0)</f>
        <v>0</v>
      </c>
      <c r="O826">
        <f>IF(COUNTIFS('United Data'!$A$3:$A$3390,O$1,'United Data'!$C$3:$C$3390,$A826,'United Data'!$B$3:$B$3390,"&lt;&gt;Off-street")&gt;0,1,0)</f>
        <v>0</v>
      </c>
      <c r="P826">
        <f>IF(COUNTIFS('United Data'!$A$3:$A$3390,P$1,'United Data'!$C$3:$C$3390,$A826,'United Data'!$B$3:$B$3390,"&lt;&gt;Off-street")&gt;0,1,0)</f>
        <v>0</v>
      </c>
      <c r="Q826">
        <f>IF(COUNTIFS('United Data'!$A$3:$A$3390,Q$1,'United Data'!$C$3:$C$3390,$A826,'United Data'!$B$3:$B$3390,"&lt;&gt;Off-street")&gt;0,1,0)</f>
        <v>0</v>
      </c>
      <c r="R826">
        <f>IF(COUNTIFS('United Data'!$A$3:$A$3390,R$1,'United Data'!$C$3:$C$3390,$A826,'United Data'!$B$3:$B$3390,"&lt;&gt;Off-street")&gt;0,1,0)</f>
        <v>0</v>
      </c>
      <c r="S826">
        <f t="shared" si="24"/>
        <v>1</v>
      </c>
      <c r="T826">
        <f t="shared" si="25"/>
        <v>1</v>
      </c>
    </row>
    <row r="827" spans="1:20" x14ac:dyDescent="0.2">
      <c r="A827" t="s">
        <v>994</v>
      </c>
      <c r="B827">
        <f>IF(COUNTIFS('United Data'!$A$3:$A$3390,B$1,'United Data'!$C$3:$C$3390,$A827,'United Data'!$B$3:$B$3390,"&lt;&gt;Off-street")&gt;0,1,0)</f>
        <v>0</v>
      </c>
      <c r="C827">
        <f>IF(COUNTIFS('United Data'!$A$3:$A$3390,C$1,'United Data'!$C$3:$C$3390,$A827,'United Data'!$B$3:$B$3390,"&lt;&gt;Off-street")&gt;0,1,0)</f>
        <v>0</v>
      </c>
      <c r="D827">
        <f>IF(COUNTIFS('United Data'!$A$3:$A$3390,D$1,'United Data'!$C$3:$C$3390,$A827,'United Data'!$B$3:$B$3390,"&lt;&gt;Off-street")&gt;0,1,0)</f>
        <v>0</v>
      </c>
      <c r="E827">
        <f>IF(COUNTIFS('United Data'!$A$3:$A$3390,E$1,'United Data'!$C$3:$C$3390,$A827,'United Data'!$B$3:$B$3390,"&lt;&gt;Off-street")&gt;0,1,0)</f>
        <v>0</v>
      </c>
      <c r="F827">
        <f>IF(COUNTIFS('United Data'!$A$3:$A$3390,F$1,'United Data'!$C$3:$C$3390,$A827,'United Data'!$B$3:$B$3390,"&lt;&gt;Off-street")&gt;0,1,0)</f>
        <v>1</v>
      </c>
      <c r="G827">
        <f>IF(COUNTIFS('United Data'!$A$3:$A$3390,G$1,'United Data'!$C$3:$C$3390,$A827,'United Data'!$B$3:$B$3390,"&lt;&gt;Off-street")&gt;0,1,0)</f>
        <v>0</v>
      </c>
      <c r="H827">
        <f>IF(COUNTIFS('United Data'!$A$3:$A$3390,H$1,'United Data'!$C$3:$C$3390,$A827,'United Data'!$B$3:$B$3390,"&lt;&gt;Off-street")&gt;0,1,0)</f>
        <v>0</v>
      </c>
      <c r="I827">
        <f>IF(COUNTIFS('United Data'!$A$3:$A$3390,I$1,'United Data'!$C$3:$C$3390,$A827,'United Data'!$B$3:$B$3390,"&lt;&gt;Off-street")&gt;0,1,0)</f>
        <v>0</v>
      </c>
      <c r="J827">
        <f>IF(COUNTIFS('United Data'!$A$3:$A$3390,J$1,'United Data'!$C$3:$C$3390,$A827,'United Data'!$B$3:$B$3390,"&lt;&gt;Off-street")&gt;0,1,0)</f>
        <v>0</v>
      </c>
      <c r="K827">
        <f>IF(COUNTIFS('United Data'!$A$3:$A$3390,K$1,'United Data'!$C$3:$C$3390,$A827,'United Data'!$B$3:$B$3390,"&lt;&gt;Off-street")&gt;0,1,0)</f>
        <v>0</v>
      </c>
      <c r="L827">
        <f>IF(COUNTIFS('United Data'!$A$3:$A$3390,L$1,'United Data'!$C$3:$C$3390,$A827,'United Data'!$B$3:$B$3390,"&lt;&gt;Off-street")&gt;0,1,0)</f>
        <v>0</v>
      </c>
      <c r="M827">
        <f>IF(COUNTIFS('United Data'!$A$3:$A$3390,M$1,'United Data'!$C$3:$C$3390,$A827,'United Data'!$B$3:$B$3390,"&lt;&gt;Off-street")&gt;0,1,0)</f>
        <v>0</v>
      </c>
      <c r="N827">
        <f>IF(COUNTIFS('United Data'!$A$3:$A$3390,N$1,'United Data'!$C$3:$C$3390,$A827,'United Data'!$B$3:$B$3390,"&lt;&gt;Off-street")&gt;0,1,0)</f>
        <v>0</v>
      </c>
      <c r="O827">
        <f>IF(COUNTIFS('United Data'!$A$3:$A$3390,O$1,'United Data'!$C$3:$C$3390,$A827,'United Data'!$B$3:$B$3390,"&lt;&gt;Off-street")&gt;0,1,0)</f>
        <v>0</v>
      </c>
      <c r="P827">
        <f>IF(COUNTIFS('United Data'!$A$3:$A$3390,P$1,'United Data'!$C$3:$C$3390,$A827,'United Data'!$B$3:$B$3390,"&lt;&gt;Off-street")&gt;0,1,0)</f>
        <v>0</v>
      </c>
      <c r="Q827">
        <f>IF(COUNTIFS('United Data'!$A$3:$A$3390,Q$1,'United Data'!$C$3:$C$3390,$A827,'United Data'!$B$3:$B$3390,"&lt;&gt;Off-street")&gt;0,1,0)</f>
        <v>0</v>
      </c>
      <c r="R827">
        <f>IF(COUNTIFS('United Data'!$A$3:$A$3390,R$1,'United Data'!$C$3:$C$3390,$A827,'United Data'!$B$3:$B$3390,"&lt;&gt;Off-street")&gt;0,1,0)</f>
        <v>0</v>
      </c>
      <c r="S827">
        <f t="shared" si="24"/>
        <v>1</v>
      </c>
      <c r="T827">
        <f t="shared" si="25"/>
        <v>1</v>
      </c>
    </row>
    <row r="828" spans="1:20" x14ac:dyDescent="0.2">
      <c r="A828" t="s">
        <v>995</v>
      </c>
      <c r="B828">
        <f>IF(COUNTIFS('United Data'!$A$3:$A$3390,B$1,'United Data'!$C$3:$C$3390,$A828,'United Data'!$B$3:$B$3390,"&lt;&gt;Off-street")&gt;0,1,0)</f>
        <v>0</v>
      </c>
      <c r="C828">
        <f>IF(COUNTIFS('United Data'!$A$3:$A$3390,C$1,'United Data'!$C$3:$C$3390,$A828,'United Data'!$B$3:$B$3390,"&lt;&gt;Off-street")&gt;0,1,0)</f>
        <v>0</v>
      </c>
      <c r="D828">
        <f>IF(COUNTIFS('United Data'!$A$3:$A$3390,D$1,'United Data'!$C$3:$C$3390,$A828,'United Data'!$B$3:$B$3390,"&lt;&gt;Off-street")&gt;0,1,0)</f>
        <v>0</v>
      </c>
      <c r="E828">
        <f>IF(COUNTIFS('United Data'!$A$3:$A$3390,E$1,'United Data'!$C$3:$C$3390,$A828,'United Data'!$B$3:$B$3390,"&lt;&gt;Off-street")&gt;0,1,0)</f>
        <v>0</v>
      </c>
      <c r="F828">
        <f>IF(COUNTIFS('United Data'!$A$3:$A$3390,F$1,'United Data'!$C$3:$C$3390,$A828,'United Data'!$B$3:$B$3390,"&lt;&gt;Off-street")&gt;0,1,0)</f>
        <v>1</v>
      </c>
      <c r="G828">
        <f>IF(COUNTIFS('United Data'!$A$3:$A$3390,G$1,'United Data'!$C$3:$C$3390,$A828,'United Data'!$B$3:$B$3390,"&lt;&gt;Off-street")&gt;0,1,0)</f>
        <v>0</v>
      </c>
      <c r="H828">
        <f>IF(COUNTIFS('United Data'!$A$3:$A$3390,H$1,'United Data'!$C$3:$C$3390,$A828,'United Data'!$B$3:$B$3390,"&lt;&gt;Off-street")&gt;0,1,0)</f>
        <v>0</v>
      </c>
      <c r="I828">
        <f>IF(COUNTIFS('United Data'!$A$3:$A$3390,I$1,'United Data'!$C$3:$C$3390,$A828,'United Data'!$B$3:$B$3390,"&lt;&gt;Off-street")&gt;0,1,0)</f>
        <v>0</v>
      </c>
      <c r="J828">
        <f>IF(COUNTIFS('United Data'!$A$3:$A$3390,J$1,'United Data'!$C$3:$C$3390,$A828,'United Data'!$B$3:$B$3390,"&lt;&gt;Off-street")&gt;0,1,0)</f>
        <v>0</v>
      </c>
      <c r="K828">
        <f>IF(COUNTIFS('United Data'!$A$3:$A$3390,K$1,'United Data'!$C$3:$C$3390,$A828,'United Data'!$B$3:$B$3390,"&lt;&gt;Off-street")&gt;0,1,0)</f>
        <v>0</v>
      </c>
      <c r="L828">
        <f>IF(COUNTIFS('United Data'!$A$3:$A$3390,L$1,'United Data'!$C$3:$C$3390,$A828,'United Data'!$B$3:$B$3390,"&lt;&gt;Off-street")&gt;0,1,0)</f>
        <v>0</v>
      </c>
      <c r="M828">
        <f>IF(COUNTIFS('United Data'!$A$3:$A$3390,M$1,'United Data'!$C$3:$C$3390,$A828,'United Data'!$B$3:$B$3390,"&lt;&gt;Off-street")&gt;0,1,0)</f>
        <v>0</v>
      </c>
      <c r="N828">
        <f>IF(COUNTIFS('United Data'!$A$3:$A$3390,N$1,'United Data'!$C$3:$C$3390,$A828,'United Data'!$B$3:$B$3390,"&lt;&gt;Off-street")&gt;0,1,0)</f>
        <v>0</v>
      </c>
      <c r="O828">
        <f>IF(COUNTIFS('United Data'!$A$3:$A$3390,O$1,'United Data'!$C$3:$C$3390,$A828,'United Data'!$B$3:$B$3390,"&lt;&gt;Off-street")&gt;0,1,0)</f>
        <v>0</v>
      </c>
      <c r="P828">
        <f>IF(COUNTIFS('United Data'!$A$3:$A$3390,P$1,'United Data'!$C$3:$C$3390,$A828,'United Data'!$B$3:$B$3390,"&lt;&gt;Off-street")&gt;0,1,0)</f>
        <v>0</v>
      </c>
      <c r="Q828">
        <f>IF(COUNTIFS('United Data'!$A$3:$A$3390,Q$1,'United Data'!$C$3:$C$3390,$A828,'United Data'!$B$3:$B$3390,"&lt;&gt;Off-street")&gt;0,1,0)</f>
        <v>0</v>
      </c>
      <c r="R828">
        <f>IF(COUNTIFS('United Data'!$A$3:$A$3390,R$1,'United Data'!$C$3:$C$3390,$A828,'United Data'!$B$3:$B$3390,"&lt;&gt;Off-street")&gt;0,1,0)</f>
        <v>0</v>
      </c>
      <c r="S828">
        <f t="shared" si="24"/>
        <v>1</v>
      </c>
      <c r="T828">
        <f t="shared" si="25"/>
        <v>1</v>
      </c>
    </row>
    <row r="829" spans="1:20" x14ac:dyDescent="0.2">
      <c r="A829" t="s">
        <v>996</v>
      </c>
      <c r="B829">
        <f>IF(COUNTIFS('United Data'!$A$3:$A$3390,B$1,'United Data'!$C$3:$C$3390,$A829,'United Data'!$B$3:$B$3390,"&lt;&gt;Off-street")&gt;0,1,0)</f>
        <v>0</v>
      </c>
      <c r="C829">
        <f>IF(COUNTIFS('United Data'!$A$3:$A$3390,C$1,'United Data'!$C$3:$C$3390,$A829,'United Data'!$B$3:$B$3390,"&lt;&gt;Off-street")&gt;0,1,0)</f>
        <v>0</v>
      </c>
      <c r="D829">
        <f>IF(COUNTIFS('United Data'!$A$3:$A$3390,D$1,'United Data'!$C$3:$C$3390,$A829,'United Data'!$B$3:$B$3390,"&lt;&gt;Off-street")&gt;0,1,0)</f>
        <v>0</v>
      </c>
      <c r="E829">
        <f>IF(COUNTIFS('United Data'!$A$3:$A$3390,E$1,'United Data'!$C$3:$C$3390,$A829,'United Data'!$B$3:$B$3390,"&lt;&gt;Off-street")&gt;0,1,0)</f>
        <v>0</v>
      </c>
      <c r="F829">
        <f>IF(COUNTIFS('United Data'!$A$3:$A$3390,F$1,'United Data'!$C$3:$C$3390,$A829,'United Data'!$B$3:$B$3390,"&lt;&gt;Off-street")&gt;0,1,0)</f>
        <v>1</v>
      </c>
      <c r="G829">
        <f>IF(COUNTIFS('United Data'!$A$3:$A$3390,G$1,'United Data'!$C$3:$C$3390,$A829,'United Data'!$B$3:$B$3390,"&lt;&gt;Off-street")&gt;0,1,0)</f>
        <v>0</v>
      </c>
      <c r="H829">
        <f>IF(COUNTIFS('United Data'!$A$3:$A$3390,H$1,'United Data'!$C$3:$C$3390,$A829,'United Data'!$B$3:$B$3390,"&lt;&gt;Off-street")&gt;0,1,0)</f>
        <v>0</v>
      </c>
      <c r="I829">
        <f>IF(COUNTIFS('United Data'!$A$3:$A$3390,I$1,'United Data'!$C$3:$C$3390,$A829,'United Data'!$B$3:$B$3390,"&lt;&gt;Off-street")&gt;0,1,0)</f>
        <v>0</v>
      </c>
      <c r="J829">
        <f>IF(COUNTIFS('United Data'!$A$3:$A$3390,J$1,'United Data'!$C$3:$C$3390,$A829,'United Data'!$B$3:$B$3390,"&lt;&gt;Off-street")&gt;0,1,0)</f>
        <v>0</v>
      </c>
      <c r="K829">
        <f>IF(COUNTIFS('United Data'!$A$3:$A$3390,K$1,'United Data'!$C$3:$C$3390,$A829,'United Data'!$B$3:$B$3390,"&lt;&gt;Off-street")&gt;0,1,0)</f>
        <v>0</v>
      </c>
      <c r="L829">
        <f>IF(COUNTIFS('United Data'!$A$3:$A$3390,L$1,'United Data'!$C$3:$C$3390,$A829,'United Data'!$B$3:$B$3390,"&lt;&gt;Off-street")&gt;0,1,0)</f>
        <v>0</v>
      </c>
      <c r="M829">
        <f>IF(COUNTIFS('United Data'!$A$3:$A$3390,M$1,'United Data'!$C$3:$C$3390,$A829,'United Data'!$B$3:$B$3390,"&lt;&gt;Off-street")&gt;0,1,0)</f>
        <v>0</v>
      </c>
      <c r="N829">
        <f>IF(COUNTIFS('United Data'!$A$3:$A$3390,N$1,'United Data'!$C$3:$C$3390,$A829,'United Data'!$B$3:$B$3390,"&lt;&gt;Off-street")&gt;0,1,0)</f>
        <v>0</v>
      </c>
      <c r="O829">
        <f>IF(COUNTIFS('United Data'!$A$3:$A$3390,O$1,'United Data'!$C$3:$C$3390,$A829,'United Data'!$B$3:$B$3390,"&lt;&gt;Off-street")&gt;0,1,0)</f>
        <v>0</v>
      </c>
      <c r="P829">
        <f>IF(COUNTIFS('United Data'!$A$3:$A$3390,P$1,'United Data'!$C$3:$C$3390,$A829,'United Data'!$B$3:$B$3390,"&lt;&gt;Off-street")&gt;0,1,0)</f>
        <v>0</v>
      </c>
      <c r="Q829">
        <f>IF(COUNTIFS('United Data'!$A$3:$A$3390,Q$1,'United Data'!$C$3:$C$3390,$A829,'United Data'!$B$3:$B$3390,"&lt;&gt;Off-street")&gt;0,1,0)</f>
        <v>0</v>
      </c>
      <c r="R829">
        <f>IF(COUNTIFS('United Data'!$A$3:$A$3390,R$1,'United Data'!$C$3:$C$3390,$A829,'United Data'!$B$3:$B$3390,"&lt;&gt;Off-street")&gt;0,1,0)</f>
        <v>0</v>
      </c>
      <c r="S829">
        <f t="shared" si="24"/>
        <v>1</v>
      </c>
      <c r="T829">
        <f t="shared" si="25"/>
        <v>1</v>
      </c>
    </row>
    <row r="830" spans="1:20" x14ac:dyDescent="0.2">
      <c r="A830" t="s">
        <v>997</v>
      </c>
      <c r="B830">
        <f>IF(COUNTIFS('United Data'!$A$3:$A$3390,B$1,'United Data'!$C$3:$C$3390,$A830,'United Data'!$B$3:$B$3390,"&lt;&gt;Off-street")&gt;0,1,0)</f>
        <v>0</v>
      </c>
      <c r="C830">
        <f>IF(COUNTIFS('United Data'!$A$3:$A$3390,C$1,'United Data'!$C$3:$C$3390,$A830,'United Data'!$B$3:$B$3390,"&lt;&gt;Off-street")&gt;0,1,0)</f>
        <v>0</v>
      </c>
      <c r="D830">
        <f>IF(COUNTIFS('United Data'!$A$3:$A$3390,D$1,'United Data'!$C$3:$C$3390,$A830,'United Data'!$B$3:$B$3390,"&lt;&gt;Off-street")&gt;0,1,0)</f>
        <v>0</v>
      </c>
      <c r="E830">
        <f>IF(COUNTIFS('United Data'!$A$3:$A$3390,E$1,'United Data'!$C$3:$C$3390,$A830,'United Data'!$B$3:$B$3390,"&lt;&gt;Off-street")&gt;0,1,0)</f>
        <v>0</v>
      </c>
      <c r="F830">
        <f>IF(COUNTIFS('United Data'!$A$3:$A$3390,F$1,'United Data'!$C$3:$C$3390,$A830,'United Data'!$B$3:$B$3390,"&lt;&gt;Off-street")&gt;0,1,0)</f>
        <v>1</v>
      </c>
      <c r="G830">
        <f>IF(COUNTIFS('United Data'!$A$3:$A$3390,G$1,'United Data'!$C$3:$C$3390,$A830,'United Data'!$B$3:$B$3390,"&lt;&gt;Off-street")&gt;0,1,0)</f>
        <v>0</v>
      </c>
      <c r="H830">
        <f>IF(COUNTIFS('United Data'!$A$3:$A$3390,H$1,'United Data'!$C$3:$C$3390,$A830,'United Data'!$B$3:$B$3390,"&lt;&gt;Off-street")&gt;0,1,0)</f>
        <v>0</v>
      </c>
      <c r="I830">
        <f>IF(COUNTIFS('United Data'!$A$3:$A$3390,I$1,'United Data'!$C$3:$C$3390,$A830,'United Data'!$B$3:$B$3390,"&lt;&gt;Off-street")&gt;0,1,0)</f>
        <v>0</v>
      </c>
      <c r="J830">
        <f>IF(COUNTIFS('United Data'!$A$3:$A$3390,J$1,'United Data'!$C$3:$C$3390,$A830,'United Data'!$B$3:$B$3390,"&lt;&gt;Off-street")&gt;0,1,0)</f>
        <v>0</v>
      </c>
      <c r="K830">
        <f>IF(COUNTIFS('United Data'!$A$3:$A$3390,K$1,'United Data'!$C$3:$C$3390,$A830,'United Data'!$B$3:$B$3390,"&lt;&gt;Off-street")&gt;0,1,0)</f>
        <v>0</v>
      </c>
      <c r="L830">
        <f>IF(COUNTIFS('United Data'!$A$3:$A$3390,L$1,'United Data'!$C$3:$C$3390,$A830,'United Data'!$B$3:$B$3390,"&lt;&gt;Off-street")&gt;0,1,0)</f>
        <v>0</v>
      </c>
      <c r="M830">
        <f>IF(COUNTIFS('United Data'!$A$3:$A$3390,M$1,'United Data'!$C$3:$C$3390,$A830,'United Data'!$B$3:$B$3390,"&lt;&gt;Off-street")&gt;0,1,0)</f>
        <v>0</v>
      </c>
      <c r="N830">
        <f>IF(COUNTIFS('United Data'!$A$3:$A$3390,N$1,'United Data'!$C$3:$C$3390,$A830,'United Data'!$B$3:$B$3390,"&lt;&gt;Off-street")&gt;0,1,0)</f>
        <v>0</v>
      </c>
      <c r="O830">
        <f>IF(COUNTIFS('United Data'!$A$3:$A$3390,O$1,'United Data'!$C$3:$C$3390,$A830,'United Data'!$B$3:$B$3390,"&lt;&gt;Off-street")&gt;0,1,0)</f>
        <v>0</v>
      </c>
      <c r="P830">
        <f>IF(COUNTIFS('United Data'!$A$3:$A$3390,P$1,'United Data'!$C$3:$C$3390,$A830,'United Data'!$B$3:$B$3390,"&lt;&gt;Off-street")&gt;0,1,0)</f>
        <v>0</v>
      </c>
      <c r="Q830">
        <f>IF(COUNTIFS('United Data'!$A$3:$A$3390,Q$1,'United Data'!$C$3:$C$3390,$A830,'United Data'!$B$3:$B$3390,"&lt;&gt;Off-street")&gt;0,1,0)</f>
        <v>0</v>
      </c>
      <c r="R830">
        <f>IF(COUNTIFS('United Data'!$A$3:$A$3390,R$1,'United Data'!$C$3:$C$3390,$A830,'United Data'!$B$3:$B$3390,"&lt;&gt;Off-street")&gt;0,1,0)</f>
        <v>0</v>
      </c>
      <c r="S830">
        <f t="shared" si="24"/>
        <v>1</v>
      </c>
      <c r="T830">
        <f t="shared" si="25"/>
        <v>1</v>
      </c>
    </row>
    <row r="831" spans="1:20" x14ac:dyDescent="0.2">
      <c r="A831" t="s">
        <v>998</v>
      </c>
      <c r="B831">
        <f>IF(COUNTIFS('United Data'!$A$3:$A$3390,B$1,'United Data'!$C$3:$C$3390,$A831,'United Data'!$B$3:$B$3390,"&lt;&gt;Off-street")&gt;0,1,0)</f>
        <v>0</v>
      </c>
      <c r="C831">
        <f>IF(COUNTIFS('United Data'!$A$3:$A$3390,C$1,'United Data'!$C$3:$C$3390,$A831,'United Data'!$B$3:$B$3390,"&lt;&gt;Off-street")&gt;0,1,0)</f>
        <v>0</v>
      </c>
      <c r="D831">
        <f>IF(COUNTIFS('United Data'!$A$3:$A$3390,D$1,'United Data'!$C$3:$C$3390,$A831,'United Data'!$B$3:$B$3390,"&lt;&gt;Off-street")&gt;0,1,0)</f>
        <v>0</v>
      </c>
      <c r="E831">
        <f>IF(COUNTIFS('United Data'!$A$3:$A$3390,E$1,'United Data'!$C$3:$C$3390,$A831,'United Data'!$B$3:$B$3390,"&lt;&gt;Off-street")&gt;0,1,0)</f>
        <v>0</v>
      </c>
      <c r="F831">
        <f>IF(COUNTIFS('United Data'!$A$3:$A$3390,F$1,'United Data'!$C$3:$C$3390,$A831,'United Data'!$B$3:$B$3390,"&lt;&gt;Off-street")&gt;0,1,0)</f>
        <v>0</v>
      </c>
      <c r="G831">
        <f>IF(COUNTIFS('United Data'!$A$3:$A$3390,G$1,'United Data'!$C$3:$C$3390,$A831,'United Data'!$B$3:$B$3390,"&lt;&gt;Off-street")&gt;0,1,0)</f>
        <v>1</v>
      </c>
      <c r="H831">
        <f>IF(COUNTIFS('United Data'!$A$3:$A$3390,H$1,'United Data'!$C$3:$C$3390,$A831,'United Data'!$B$3:$B$3390,"&lt;&gt;Off-street")&gt;0,1,0)</f>
        <v>1</v>
      </c>
      <c r="I831">
        <f>IF(COUNTIFS('United Data'!$A$3:$A$3390,I$1,'United Data'!$C$3:$C$3390,$A831,'United Data'!$B$3:$B$3390,"&lt;&gt;Off-street")&gt;0,1,0)</f>
        <v>1</v>
      </c>
      <c r="J831">
        <f>IF(COUNTIFS('United Data'!$A$3:$A$3390,J$1,'United Data'!$C$3:$C$3390,$A831,'United Data'!$B$3:$B$3390,"&lt;&gt;Off-street")&gt;0,1,0)</f>
        <v>0</v>
      </c>
      <c r="K831">
        <f>IF(COUNTIFS('United Data'!$A$3:$A$3390,K$1,'United Data'!$C$3:$C$3390,$A831,'United Data'!$B$3:$B$3390,"&lt;&gt;Off-street")&gt;0,1,0)</f>
        <v>0</v>
      </c>
      <c r="L831">
        <f>IF(COUNTIFS('United Data'!$A$3:$A$3390,L$1,'United Data'!$C$3:$C$3390,$A831,'United Data'!$B$3:$B$3390,"&lt;&gt;Off-street")&gt;0,1,0)</f>
        <v>0</v>
      </c>
      <c r="M831">
        <f>IF(COUNTIFS('United Data'!$A$3:$A$3390,M$1,'United Data'!$C$3:$C$3390,$A831,'United Data'!$B$3:$B$3390,"&lt;&gt;Off-street")&gt;0,1,0)</f>
        <v>0</v>
      </c>
      <c r="N831">
        <f>IF(COUNTIFS('United Data'!$A$3:$A$3390,N$1,'United Data'!$C$3:$C$3390,$A831,'United Data'!$B$3:$B$3390,"&lt;&gt;Off-street")&gt;0,1,0)</f>
        <v>0</v>
      </c>
      <c r="O831">
        <f>IF(COUNTIFS('United Data'!$A$3:$A$3390,O$1,'United Data'!$C$3:$C$3390,$A831,'United Data'!$B$3:$B$3390,"&lt;&gt;Off-street")&gt;0,1,0)</f>
        <v>0</v>
      </c>
      <c r="P831">
        <f>IF(COUNTIFS('United Data'!$A$3:$A$3390,P$1,'United Data'!$C$3:$C$3390,$A831,'United Data'!$B$3:$B$3390,"&lt;&gt;Off-street")&gt;0,1,0)</f>
        <v>1</v>
      </c>
      <c r="Q831">
        <f>IF(COUNTIFS('United Data'!$A$3:$A$3390,Q$1,'United Data'!$C$3:$C$3390,$A831,'United Data'!$B$3:$B$3390,"&lt;&gt;Off-street")&gt;0,1,0)</f>
        <v>0</v>
      </c>
      <c r="R831">
        <f>IF(COUNTIFS('United Data'!$A$3:$A$3390,R$1,'United Data'!$C$3:$C$3390,$A831,'United Data'!$B$3:$B$3390,"&lt;&gt;Off-street")&gt;0,1,0)</f>
        <v>0</v>
      </c>
      <c r="S831">
        <f t="shared" si="24"/>
        <v>4</v>
      </c>
      <c r="T831">
        <f t="shared" si="25"/>
        <v>2</v>
      </c>
    </row>
    <row r="832" spans="1:20" x14ac:dyDescent="0.2">
      <c r="A832" t="s">
        <v>999</v>
      </c>
      <c r="B832">
        <f>IF(COUNTIFS('United Data'!$A$3:$A$3390,B$1,'United Data'!$C$3:$C$3390,$A832,'United Data'!$B$3:$B$3390,"&lt;&gt;Off-street")&gt;0,1,0)</f>
        <v>0</v>
      </c>
      <c r="C832">
        <f>IF(COUNTIFS('United Data'!$A$3:$A$3390,C$1,'United Data'!$C$3:$C$3390,$A832,'United Data'!$B$3:$B$3390,"&lt;&gt;Off-street")&gt;0,1,0)</f>
        <v>0</v>
      </c>
      <c r="D832">
        <f>IF(COUNTIFS('United Data'!$A$3:$A$3390,D$1,'United Data'!$C$3:$C$3390,$A832,'United Data'!$B$3:$B$3390,"&lt;&gt;Off-street")&gt;0,1,0)</f>
        <v>0</v>
      </c>
      <c r="E832">
        <f>IF(COUNTIFS('United Data'!$A$3:$A$3390,E$1,'United Data'!$C$3:$C$3390,$A832,'United Data'!$B$3:$B$3390,"&lt;&gt;Off-street")&gt;0,1,0)</f>
        <v>0</v>
      </c>
      <c r="F832">
        <f>IF(COUNTIFS('United Data'!$A$3:$A$3390,F$1,'United Data'!$C$3:$C$3390,$A832,'United Data'!$B$3:$B$3390,"&lt;&gt;Off-street")&gt;0,1,0)</f>
        <v>0</v>
      </c>
      <c r="G832">
        <f>IF(COUNTIFS('United Data'!$A$3:$A$3390,G$1,'United Data'!$C$3:$C$3390,$A832,'United Data'!$B$3:$B$3390,"&lt;&gt;Off-street")&gt;0,1,0)</f>
        <v>1</v>
      </c>
      <c r="H832">
        <f>IF(COUNTIFS('United Data'!$A$3:$A$3390,H$1,'United Data'!$C$3:$C$3390,$A832,'United Data'!$B$3:$B$3390,"&lt;&gt;Off-street")&gt;0,1,0)</f>
        <v>0</v>
      </c>
      <c r="I832">
        <f>IF(COUNTIFS('United Data'!$A$3:$A$3390,I$1,'United Data'!$C$3:$C$3390,$A832,'United Data'!$B$3:$B$3390,"&lt;&gt;Off-street")&gt;0,1,0)</f>
        <v>0</v>
      </c>
      <c r="J832">
        <f>IF(COUNTIFS('United Data'!$A$3:$A$3390,J$1,'United Data'!$C$3:$C$3390,$A832,'United Data'!$B$3:$B$3390,"&lt;&gt;Off-street")&gt;0,1,0)</f>
        <v>0</v>
      </c>
      <c r="K832">
        <f>IF(COUNTIFS('United Data'!$A$3:$A$3390,K$1,'United Data'!$C$3:$C$3390,$A832,'United Data'!$B$3:$B$3390,"&lt;&gt;Off-street")&gt;0,1,0)</f>
        <v>0</v>
      </c>
      <c r="L832">
        <f>IF(COUNTIFS('United Data'!$A$3:$A$3390,L$1,'United Data'!$C$3:$C$3390,$A832,'United Data'!$B$3:$B$3390,"&lt;&gt;Off-street")&gt;0,1,0)</f>
        <v>0</v>
      </c>
      <c r="M832">
        <f>IF(COUNTIFS('United Data'!$A$3:$A$3390,M$1,'United Data'!$C$3:$C$3390,$A832,'United Data'!$B$3:$B$3390,"&lt;&gt;Off-street")&gt;0,1,0)</f>
        <v>0</v>
      </c>
      <c r="N832">
        <f>IF(COUNTIFS('United Data'!$A$3:$A$3390,N$1,'United Data'!$C$3:$C$3390,$A832,'United Data'!$B$3:$B$3390,"&lt;&gt;Off-street")&gt;0,1,0)</f>
        <v>0</v>
      </c>
      <c r="O832">
        <f>IF(COUNTIFS('United Data'!$A$3:$A$3390,O$1,'United Data'!$C$3:$C$3390,$A832,'United Data'!$B$3:$B$3390,"&lt;&gt;Off-street")&gt;0,1,0)</f>
        <v>0</v>
      </c>
      <c r="P832">
        <f>IF(COUNTIFS('United Data'!$A$3:$A$3390,P$1,'United Data'!$C$3:$C$3390,$A832,'United Data'!$B$3:$B$3390,"&lt;&gt;Off-street")&gt;0,1,0)</f>
        <v>0</v>
      </c>
      <c r="Q832">
        <f>IF(COUNTIFS('United Data'!$A$3:$A$3390,Q$1,'United Data'!$C$3:$C$3390,$A832,'United Data'!$B$3:$B$3390,"&lt;&gt;Off-street")&gt;0,1,0)</f>
        <v>0</v>
      </c>
      <c r="R832">
        <f>IF(COUNTIFS('United Data'!$A$3:$A$3390,R$1,'United Data'!$C$3:$C$3390,$A832,'United Data'!$B$3:$B$3390,"&lt;&gt;Off-street")&gt;0,1,0)</f>
        <v>0</v>
      </c>
      <c r="S832">
        <f t="shared" si="24"/>
        <v>1</v>
      </c>
      <c r="T832">
        <f t="shared" si="25"/>
        <v>1</v>
      </c>
    </row>
    <row r="833" spans="1:20" x14ac:dyDescent="0.2">
      <c r="A833" t="s">
        <v>1001</v>
      </c>
      <c r="B833">
        <f>IF(COUNTIFS('United Data'!$A$3:$A$3390,B$1,'United Data'!$C$3:$C$3390,$A833,'United Data'!$B$3:$B$3390,"&lt;&gt;Off-street")&gt;0,1,0)</f>
        <v>0</v>
      </c>
      <c r="C833">
        <f>IF(COUNTIFS('United Data'!$A$3:$A$3390,C$1,'United Data'!$C$3:$C$3390,$A833,'United Data'!$B$3:$B$3390,"&lt;&gt;Off-street")&gt;0,1,0)</f>
        <v>0</v>
      </c>
      <c r="D833">
        <f>IF(COUNTIFS('United Data'!$A$3:$A$3390,D$1,'United Data'!$C$3:$C$3390,$A833,'United Data'!$B$3:$B$3390,"&lt;&gt;Off-street")&gt;0,1,0)</f>
        <v>0</v>
      </c>
      <c r="E833">
        <f>IF(COUNTIFS('United Data'!$A$3:$A$3390,E$1,'United Data'!$C$3:$C$3390,$A833,'United Data'!$B$3:$B$3390,"&lt;&gt;Off-street")&gt;0,1,0)</f>
        <v>0</v>
      </c>
      <c r="F833">
        <f>IF(COUNTIFS('United Data'!$A$3:$A$3390,F$1,'United Data'!$C$3:$C$3390,$A833,'United Data'!$B$3:$B$3390,"&lt;&gt;Off-street")&gt;0,1,0)</f>
        <v>0</v>
      </c>
      <c r="G833">
        <f>IF(COUNTIFS('United Data'!$A$3:$A$3390,G$1,'United Data'!$C$3:$C$3390,$A833,'United Data'!$B$3:$B$3390,"&lt;&gt;Off-street")&gt;0,1,0)</f>
        <v>0</v>
      </c>
      <c r="H833">
        <f>IF(COUNTIFS('United Data'!$A$3:$A$3390,H$1,'United Data'!$C$3:$C$3390,$A833,'United Data'!$B$3:$B$3390,"&lt;&gt;Off-street")&gt;0,1,0)</f>
        <v>1</v>
      </c>
      <c r="I833">
        <f>IF(COUNTIFS('United Data'!$A$3:$A$3390,I$1,'United Data'!$C$3:$C$3390,$A833,'United Data'!$B$3:$B$3390,"&lt;&gt;Off-street")&gt;0,1,0)</f>
        <v>0</v>
      </c>
      <c r="J833">
        <f>IF(COUNTIFS('United Data'!$A$3:$A$3390,J$1,'United Data'!$C$3:$C$3390,$A833,'United Data'!$B$3:$B$3390,"&lt;&gt;Off-street")&gt;0,1,0)</f>
        <v>0</v>
      </c>
      <c r="K833">
        <f>IF(COUNTIFS('United Data'!$A$3:$A$3390,K$1,'United Data'!$C$3:$C$3390,$A833,'United Data'!$B$3:$B$3390,"&lt;&gt;Off-street")&gt;0,1,0)</f>
        <v>0</v>
      </c>
      <c r="L833">
        <f>IF(COUNTIFS('United Data'!$A$3:$A$3390,L$1,'United Data'!$C$3:$C$3390,$A833,'United Data'!$B$3:$B$3390,"&lt;&gt;Off-street")&gt;0,1,0)</f>
        <v>0</v>
      </c>
      <c r="M833">
        <f>IF(COUNTIFS('United Data'!$A$3:$A$3390,M$1,'United Data'!$C$3:$C$3390,$A833,'United Data'!$B$3:$B$3390,"&lt;&gt;Off-street")&gt;0,1,0)</f>
        <v>0</v>
      </c>
      <c r="N833">
        <f>IF(COUNTIFS('United Data'!$A$3:$A$3390,N$1,'United Data'!$C$3:$C$3390,$A833,'United Data'!$B$3:$B$3390,"&lt;&gt;Off-street")&gt;0,1,0)</f>
        <v>0</v>
      </c>
      <c r="O833">
        <f>IF(COUNTIFS('United Data'!$A$3:$A$3390,O$1,'United Data'!$C$3:$C$3390,$A833,'United Data'!$B$3:$B$3390,"&lt;&gt;Off-street")&gt;0,1,0)</f>
        <v>0</v>
      </c>
      <c r="P833">
        <f>IF(COUNTIFS('United Data'!$A$3:$A$3390,P$1,'United Data'!$C$3:$C$3390,$A833,'United Data'!$B$3:$B$3390,"&lt;&gt;Off-street")&gt;0,1,0)</f>
        <v>0</v>
      </c>
      <c r="Q833">
        <f>IF(COUNTIFS('United Data'!$A$3:$A$3390,Q$1,'United Data'!$C$3:$C$3390,$A833,'United Data'!$B$3:$B$3390,"&lt;&gt;Off-street")&gt;0,1,0)</f>
        <v>0</v>
      </c>
      <c r="R833">
        <f>IF(COUNTIFS('United Data'!$A$3:$A$3390,R$1,'United Data'!$C$3:$C$3390,$A833,'United Data'!$B$3:$B$3390,"&lt;&gt;Off-street")&gt;0,1,0)</f>
        <v>0</v>
      </c>
      <c r="S833">
        <f t="shared" si="24"/>
        <v>1</v>
      </c>
      <c r="T833">
        <f t="shared" si="25"/>
        <v>1</v>
      </c>
    </row>
    <row r="834" spans="1:20" x14ac:dyDescent="0.2">
      <c r="A834" t="s">
        <v>1002</v>
      </c>
      <c r="B834">
        <f>IF(COUNTIFS('United Data'!$A$3:$A$3390,B$1,'United Data'!$C$3:$C$3390,$A834,'United Data'!$B$3:$B$3390,"&lt;&gt;Off-street")&gt;0,1,0)</f>
        <v>0</v>
      </c>
      <c r="C834">
        <f>IF(COUNTIFS('United Data'!$A$3:$A$3390,C$1,'United Data'!$C$3:$C$3390,$A834,'United Data'!$B$3:$B$3390,"&lt;&gt;Off-street")&gt;0,1,0)</f>
        <v>0</v>
      </c>
      <c r="D834">
        <f>IF(COUNTIFS('United Data'!$A$3:$A$3390,D$1,'United Data'!$C$3:$C$3390,$A834,'United Data'!$B$3:$B$3390,"&lt;&gt;Off-street")&gt;0,1,0)</f>
        <v>0</v>
      </c>
      <c r="E834">
        <f>IF(COUNTIFS('United Data'!$A$3:$A$3390,E$1,'United Data'!$C$3:$C$3390,$A834,'United Data'!$B$3:$B$3390,"&lt;&gt;Off-street")&gt;0,1,0)</f>
        <v>0</v>
      </c>
      <c r="F834">
        <f>IF(COUNTIFS('United Data'!$A$3:$A$3390,F$1,'United Data'!$C$3:$C$3390,$A834,'United Data'!$B$3:$B$3390,"&lt;&gt;Off-street")&gt;0,1,0)</f>
        <v>0</v>
      </c>
      <c r="G834">
        <f>IF(COUNTIFS('United Data'!$A$3:$A$3390,G$1,'United Data'!$C$3:$C$3390,$A834,'United Data'!$B$3:$B$3390,"&lt;&gt;Off-street")&gt;0,1,0)</f>
        <v>0</v>
      </c>
      <c r="H834">
        <f>IF(COUNTIFS('United Data'!$A$3:$A$3390,H$1,'United Data'!$C$3:$C$3390,$A834,'United Data'!$B$3:$B$3390,"&lt;&gt;Off-street")&gt;0,1,0)</f>
        <v>1</v>
      </c>
      <c r="I834">
        <f>IF(COUNTIFS('United Data'!$A$3:$A$3390,I$1,'United Data'!$C$3:$C$3390,$A834,'United Data'!$B$3:$B$3390,"&lt;&gt;Off-street")&gt;0,1,0)</f>
        <v>0</v>
      </c>
      <c r="J834">
        <f>IF(COUNTIFS('United Data'!$A$3:$A$3390,J$1,'United Data'!$C$3:$C$3390,$A834,'United Data'!$B$3:$B$3390,"&lt;&gt;Off-street")&gt;0,1,0)</f>
        <v>0</v>
      </c>
      <c r="K834">
        <f>IF(COUNTIFS('United Data'!$A$3:$A$3390,K$1,'United Data'!$C$3:$C$3390,$A834,'United Data'!$B$3:$B$3390,"&lt;&gt;Off-street")&gt;0,1,0)</f>
        <v>0</v>
      </c>
      <c r="L834">
        <f>IF(COUNTIFS('United Data'!$A$3:$A$3390,L$1,'United Data'!$C$3:$C$3390,$A834,'United Data'!$B$3:$B$3390,"&lt;&gt;Off-street")&gt;0,1,0)</f>
        <v>0</v>
      </c>
      <c r="M834">
        <f>IF(COUNTIFS('United Data'!$A$3:$A$3390,M$1,'United Data'!$C$3:$C$3390,$A834,'United Data'!$B$3:$B$3390,"&lt;&gt;Off-street")&gt;0,1,0)</f>
        <v>0</v>
      </c>
      <c r="N834">
        <f>IF(COUNTIFS('United Data'!$A$3:$A$3390,N$1,'United Data'!$C$3:$C$3390,$A834,'United Data'!$B$3:$B$3390,"&lt;&gt;Off-street")&gt;0,1,0)</f>
        <v>0</v>
      </c>
      <c r="O834">
        <f>IF(COUNTIFS('United Data'!$A$3:$A$3390,O$1,'United Data'!$C$3:$C$3390,$A834,'United Data'!$B$3:$B$3390,"&lt;&gt;Off-street")&gt;0,1,0)</f>
        <v>0</v>
      </c>
      <c r="P834">
        <f>IF(COUNTIFS('United Data'!$A$3:$A$3390,P$1,'United Data'!$C$3:$C$3390,$A834,'United Data'!$B$3:$B$3390,"&lt;&gt;Off-street")&gt;0,1,0)</f>
        <v>0</v>
      </c>
      <c r="Q834">
        <f>IF(COUNTIFS('United Data'!$A$3:$A$3390,Q$1,'United Data'!$C$3:$C$3390,$A834,'United Data'!$B$3:$B$3390,"&lt;&gt;Off-street")&gt;0,1,0)</f>
        <v>0</v>
      </c>
      <c r="R834">
        <f>IF(COUNTIFS('United Data'!$A$3:$A$3390,R$1,'United Data'!$C$3:$C$3390,$A834,'United Data'!$B$3:$B$3390,"&lt;&gt;Off-street")&gt;0,1,0)</f>
        <v>0</v>
      </c>
      <c r="S834">
        <f t="shared" ref="S834:S897" si="26">SUM(B834:R834)</f>
        <v>1</v>
      </c>
      <c r="T834">
        <f t="shared" ref="T834:T897" si="27">B834+SUMPRODUCT(--(C834:R834&gt;B834:Q834))</f>
        <v>1</v>
      </c>
    </row>
    <row r="835" spans="1:20" x14ac:dyDescent="0.2">
      <c r="A835" t="s">
        <v>1003</v>
      </c>
      <c r="B835">
        <f>IF(COUNTIFS('United Data'!$A$3:$A$3390,B$1,'United Data'!$C$3:$C$3390,$A835,'United Data'!$B$3:$B$3390,"&lt;&gt;Off-street")&gt;0,1,0)</f>
        <v>0</v>
      </c>
      <c r="C835">
        <f>IF(COUNTIFS('United Data'!$A$3:$A$3390,C$1,'United Data'!$C$3:$C$3390,$A835,'United Data'!$B$3:$B$3390,"&lt;&gt;Off-street")&gt;0,1,0)</f>
        <v>0</v>
      </c>
      <c r="D835">
        <f>IF(COUNTIFS('United Data'!$A$3:$A$3390,D$1,'United Data'!$C$3:$C$3390,$A835,'United Data'!$B$3:$B$3390,"&lt;&gt;Off-street")&gt;0,1,0)</f>
        <v>0</v>
      </c>
      <c r="E835">
        <f>IF(COUNTIFS('United Data'!$A$3:$A$3390,E$1,'United Data'!$C$3:$C$3390,$A835,'United Data'!$B$3:$B$3390,"&lt;&gt;Off-street")&gt;0,1,0)</f>
        <v>0</v>
      </c>
      <c r="F835">
        <f>IF(COUNTIFS('United Data'!$A$3:$A$3390,F$1,'United Data'!$C$3:$C$3390,$A835,'United Data'!$B$3:$B$3390,"&lt;&gt;Off-street")&gt;0,1,0)</f>
        <v>0</v>
      </c>
      <c r="G835">
        <f>IF(COUNTIFS('United Data'!$A$3:$A$3390,G$1,'United Data'!$C$3:$C$3390,$A835,'United Data'!$B$3:$B$3390,"&lt;&gt;Off-street")&gt;0,1,0)</f>
        <v>0</v>
      </c>
      <c r="H835">
        <f>IF(COUNTIFS('United Data'!$A$3:$A$3390,H$1,'United Data'!$C$3:$C$3390,$A835,'United Data'!$B$3:$B$3390,"&lt;&gt;Off-street")&gt;0,1,0)</f>
        <v>1</v>
      </c>
      <c r="I835">
        <f>IF(COUNTIFS('United Data'!$A$3:$A$3390,I$1,'United Data'!$C$3:$C$3390,$A835,'United Data'!$B$3:$B$3390,"&lt;&gt;Off-street")&gt;0,1,0)</f>
        <v>0</v>
      </c>
      <c r="J835">
        <f>IF(COUNTIFS('United Data'!$A$3:$A$3390,J$1,'United Data'!$C$3:$C$3390,$A835,'United Data'!$B$3:$B$3390,"&lt;&gt;Off-street")&gt;0,1,0)</f>
        <v>0</v>
      </c>
      <c r="K835">
        <f>IF(COUNTIFS('United Data'!$A$3:$A$3390,K$1,'United Data'!$C$3:$C$3390,$A835,'United Data'!$B$3:$B$3390,"&lt;&gt;Off-street")&gt;0,1,0)</f>
        <v>0</v>
      </c>
      <c r="L835">
        <f>IF(COUNTIFS('United Data'!$A$3:$A$3390,L$1,'United Data'!$C$3:$C$3390,$A835,'United Data'!$B$3:$B$3390,"&lt;&gt;Off-street")&gt;0,1,0)</f>
        <v>0</v>
      </c>
      <c r="M835">
        <f>IF(COUNTIFS('United Data'!$A$3:$A$3390,M$1,'United Data'!$C$3:$C$3390,$A835,'United Data'!$B$3:$B$3390,"&lt;&gt;Off-street")&gt;0,1,0)</f>
        <v>0</v>
      </c>
      <c r="N835">
        <f>IF(COUNTIFS('United Data'!$A$3:$A$3390,N$1,'United Data'!$C$3:$C$3390,$A835,'United Data'!$B$3:$B$3390,"&lt;&gt;Off-street")&gt;0,1,0)</f>
        <v>0</v>
      </c>
      <c r="O835">
        <f>IF(COUNTIFS('United Data'!$A$3:$A$3390,O$1,'United Data'!$C$3:$C$3390,$A835,'United Data'!$B$3:$B$3390,"&lt;&gt;Off-street")&gt;0,1,0)</f>
        <v>0</v>
      </c>
      <c r="P835">
        <f>IF(COUNTIFS('United Data'!$A$3:$A$3390,P$1,'United Data'!$C$3:$C$3390,$A835,'United Data'!$B$3:$B$3390,"&lt;&gt;Off-street")&gt;0,1,0)</f>
        <v>0</v>
      </c>
      <c r="Q835">
        <f>IF(COUNTIFS('United Data'!$A$3:$A$3390,Q$1,'United Data'!$C$3:$C$3390,$A835,'United Data'!$B$3:$B$3390,"&lt;&gt;Off-street")&gt;0,1,0)</f>
        <v>0</v>
      </c>
      <c r="R835">
        <f>IF(COUNTIFS('United Data'!$A$3:$A$3390,R$1,'United Data'!$C$3:$C$3390,$A835,'United Data'!$B$3:$B$3390,"&lt;&gt;Off-street")&gt;0,1,0)</f>
        <v>0</v>
      </c>
      <c r="S835">
        <f t="shared" si="26"/>
        <v>1</v>
      </c>
      <c r="T835">
        <f t="shared" si="27"/>
        <v>1</v>
      </c>
    </row>
    <row r="836" spans="1:20" x14ac:dyDescent="0.2">
      <c r="A836" t="s">
        <v>1004</v>
      </c>
      <c r="B836">
        <f>IF(COUNTIFS('United Data'!$A$3:$A$3390,B$1,'United Data'!$C$3:$C$3390,$A836,'United Data'!$B$3:$B$3390,"&lt;&gt;Off-street")&gt;0,1,0)</f>
        <v>0</v>
      </c>
      <c r="C836">
        <f>IF(COUNTIFS('United Data'!$A$3:$A$3390,C$1,'United Data'!$C$3:$C$3390,$A836,'United Data'!$B$3:$B$3390,"&lt;&gt;Off-street")&gt;0,1,0)</f>
        <v>0</v>
      </c>
      <c r="D836">
        <f>IF(COUNTIFS('United Data'!$A$3:$A$3390,D$1,'United Data'!$C$3:$C$3390,$A836,'United Data'!$B$3:$B$3390,"&lt;&gt;Off-street")&gt;0,1,0)</f>
        <v>0</v>
      </c>
      <c r="E836">
        <f>IF(COUNTIFS('United Data'!$A$3:$A$3390,E$1,'United Data'!$C$3:$C$3390,$A836,'United Data'!$B$3:$B$3390,"&lt;&gt;Off-street")&gt;0,1,0)</f>
        <v>0</v>
      </c>
      <c r="F836">
        <f>IF(COUNTIFS('United Data'!$A$3:$A$3390,F$1,'United Data'!$C$3:$C$3390,$A836,'United Data'!$B$3:$B$3390,"&lt;&gt;Off-street")&gt;0,1,0)</f>
        <v>0</v>
      </c>
      <c r="G836">
        <f>IF(COUNTIFS('United Data'!$A$3:$A$3390,G$1,'United Data'!$C$3:$C$3390,$A836,'United Data'!$B$3:$B$3390,"&lt;&gt;Off-street")&gt;0,1,0)</f>
        <v>0</v>
      </c>
      <c r="H836">
        <f>IF(COUNTIFS('United Data'!$A$3:$A$3390,H$1,'United Data'!$C$3:$C$3390,$A836,'United Data'!$B$3:$B$3390,"&lt;&gt;Off-street")&gt;0,1,0)</f>
        <v>1</v>
      </c>
      <c r="I836">
        <f>IF(COUNTIFS('United Data'!$A$3:$A$3390,I$1,'United Data'!$C$3:$C$3390,$A836,'United Data'!$B$3:$B$3390,"&lt;&gt;Off-street")&gt;0,1,0)</f>
        <v>0</v>
      </c>
      <c r="J836">
        <f>IF(COUNTIFS('United Data'!$A$3:$A$3390,J$1,'United Data'!$C$3:$C$3390,$A836,'United Data'!$B$3:$B$3390,"&lt;&gt;Off-street")&gt;0,1,0)</f>
        <v>0</v>
      </c>
      <c r="K836">
        <f>IF(COUNTIFS('United Data'!$A$3:$A$3390,K$1,'United Data'!$C$3:$C$3390,$A836,'United Data'!$B$3:$B$3390,"&lt;&gt;Off-street")&gt;0,1,0)</f>
        <v>0</v>
      </c>
      <c r="L836">
        <f>IF(COUNTIFS('United Data'!$A$3:$A$3390,L$1,'United Data'!$C$3:$C$3390,$A836,'United Data'!$B$3:$B$3390,"&lt;&gt;Off-street")&gt;0,1,0)</f>
        <v>0</v>
      </c>
      <c r="M836">
        <f>IF(COUNTIFS('United Data'!$A$3:$A$3390,M$1,'United Data'!$C$3:$C$3390,$A836,'United Data'!$B$3:$B$3390,"&lt;&gt;Off-street")&gt;0,1,0)</f>
        <v>0</v>
      </c>
      <c r="N836">
        <f>IF(COUNTIFS('United Data'!$A$3:$A$3390,N$1,'United Data'!$C$3:$C$3390,$A836,'United Data'!$B$3:$B$3390,"&lt;&gt;Off-street")&gt;0,1,0)</f>
        <v>0</v>
      </c>
      <c r="O836">
        <f>IF(COUNTIFS('United Data'!$A$3:$A$3390,O$1,'United Data'!$C$3:$C$3390,$A836,'United Data'!$B$3:$B$3390,"&lt;&gt;Off-street")&gt;0,1,0)</f>
        <v>0</v>
      </c>
      <c r="P836">
        <f>IF(COUNTIFS('United Data'!$A$3:$A$3390,P$1,'United Data'!$C$3:$C$3390,$A836,'United Data'!$B$3:$B$3390,"&lt;&gt;Off-street")&gt;0,1,0)</f>
        <v>0</v>
      </c>
      <c r="Q836">
        <f>IF(COUNTIFS('United Data'!$A$3:$A$3390,Q$1,'United Data'!$C$3:$C$3390,$A836,'United Data'!$B$3:$B$3390,"&lt;&gt;Off-street")&gt;0,1,0)</f>
        <v>0</v>
      </c>
      <c r="R836">
        <f>IF(COUNTIFS('United Data'!$A$3:$A$3390,R$1,'United Data'!$C$3:$C$3390,$A836,'United Data'!$B$3:$B$3390,"&lt;&gt;Off-street")&gt;0,1,0)</f>
        <v>0</v>
      </c>
      <c r="S836">
        <f t="shared" si="26"/>
        <v>1</v>
      </c>
      <c r="T836">
        <f t="shared" si="27"/>
        <v>1</v>
      </c>
    </row>
    <row r="837" spans="1:20" x14ac:dyDescent="0.2">
      <c r="A837" t="s">
        <v>1006</v>
      </c>
      <c r="B837">
        <f>IF(COUNTIFS('United Data'!$A$3:$A$3390,B$1,'United Data'!$C$3:$C$3390,$A837,'United Data'!$B$3:$B$3390,"&lt;&gt;Off-street")&gt;0,1,0)</f>
        <v>0</v>
      </c>
      <c r="C837">
        <f>IF(COUNTIFS('United Data'!$A$3:$A$3390,C$1,'United Data'!$C$3:$C$3390,$A837,'United Data'!$B$3:$B$3390,"&lt;&gt;Off-street")&gt;0,1,0)</f>
        <v>0</v>
      </c>
      <c r="D837">
        <f>IF(COUNTIFS('United Data'!$A$3:$A$3390,D$1,'United Data'!$C$3:$C$3390,$A837,'United Data'!$B$3:$B$3390,"&lt;&gt;Off-street")&gt;0,1,0)</f>
        <v>0</v>
      </c>
      <c r="E837">
        <f>IF(COUNTIFS('United Data'!$A$3:$A$3390,E$1,'United Data'!$C$3:$C$3390,$A837,'United Data'!$B$3:$B$3390,"&lt;&gt;Off-street")&gt;0,1,0)</f>
        <v>0</v>
      </c>
      <c r="F837">
        <f>IF(COUNTIFS('United Data'!$A$3:$A$3390,F$1,'United Data'!$C$3:$C$3390,$A837,'United Data'!$B$3:$B$3390,"&lt;&gt;Off-street")&gt;0,1,0)</f>
        <v>0</v>
      </c>
      <c r="G837">
        <f>IF(COUNTIFS('United Data'!$A$3:$A$3390,G$1,'United Data'!$C$3:$C$3390,$A837,'United Data'!$B$3:$B$3390,"&lt;&gt;Off-street")&gt;0,1,0)</f>
        <v>0</v>
      </c>
      <c r="H837">
        <f>IF(COUNTIFS('United Data'!$A$3:$A$3390,H$1,'United Data'!$C$3:$C$3390,$A837,'United Data'!$B$3:$B$3390,"&lt;&gt;Off-street")&gt;0,1,0)</f>
        <v>0</v>
      </c>
      <c r="I837">
        <f>IF(COUNTIFS('United Data'!$A$3:$A$3390,I$1,'United Data'!$C$3:$C$3390,$A837,'United Data'!$B$3:$B$3390,"&lt;&gt;Off-street")&gt;0,1,0)</f>
        <v>1</v>
      </c>
      <c r="J837">
        <f>IF(COUNTIFS('United Data'!$A$3:$A$3390,J$1,'United Data'!$C$3:$C$3390,$A837,'United Data'!$B$3:$B$3390,"&lt;&gt;Off-street")&gt;0,1,0)</f>
        <v>0</v>
      </c>
      <c r="K837">
        <f>IF(COUNTIFS('United Data'!$A$3:$A$3390,K$1,'United Data'!$C$3:$C$3390,$A837,'United Data'!$B$3:$B$3390,"&lt;&gt;Off-street")&gt;0,1,0)</f>
        <v>0</v>
      </c>
      <c r="L837">
        <f>IF(COUNTIFS('United Data'!$A$3:$A$3390,L$1,'United Data'!$C$3:$C$3390,$A837,'United Data'!$B$3:$B$3390,"&lt;&gt;Off-street")&gt;0,1,0)</f>
        <v>0</v>
      </c>
      <c r="M837">
        <f>IF(COUNTIFS('United Data'!$A$3:$A$3390,M$1,'United Data'!$C$3:$C$3390,$A837,'United Data'!$B$3:$B$3390,"&lt;&gt;Off-street")&gt;0,1,0)</f>
        <v>0</v>
      </c>
      <c r="N837">
        <f>IF(COUNTIFS('United Data'!$A$3:$A$3390,N$1,'United Data'!$C$3:$C$3390,$A837,'United Data'!$B$3:$B$3390,"&lt;&gt;Off-street")&gt;0,1,0)</f>
        <v>0</v>
      </c>
      <c r="O837">
        <f>IF(COUNTIFS('United Data'!$A$3:$A$3390,O$1,'United Data'!$C$3:$C$3390,$A837,'United Data'!$B$3:$B$3390,"&lt;&gt;Off-street")&gt;0,1,0)</f>
        <v>0</v>
      </c>
      <c r="P837">
        <f>IF(COUNTIFS('United Data'!$A$3:$A$3390,P$1,'United Data'!$C$3:$C$3390,$A837,'United Data'!$B$3:$B$3390,"&lt;&gt;Off-street")&gt;0,1,0)</f>
        <v>0</v>
      </c>
      <c r="Q837">
        <f>IF(COUNTIFS('United Data'!$A$3:$A$3390,Q$1,'United Data'!$C$3:$C$3390,$A837,'United Data'!$B$3:$B$3390,"&lt;&gt;Off-street")&gt;0,1,0)</f>
        <v>0</v>
      </c>
      <c r="R837">
        <f>IF(COUNTIFS('United Data'!$A$3:$A$3390,R$1,'United Data'!$C$3:$C$3390,$A837,'United Data'!$B$3:$B$3390,"&lt;&gt;Off-street")&gt;0,1,0)</f>
        <v>0</v>
      </c>
      <c r="S837">
        <f t="shared" si="26"/>
        <v>1</v>
      </c>
      <c r="T837">
        <f t="shared" si="27"/>
        <v>1</v>
      </c>
    </row>
    <row r="838" spans="1:20" x14ac:dyDescent="0.2">
      <c r="A838" t="s">
        <v>1008</v>
      </c>
      <c r="B838">
        <f>IF(COUNTIFS('United Data'!$A$3:$A$3390,B$1,'United Data'!$C$3:$C$3390,$A838,'United Data'!$B$3:$B$3390,"&lt;&gt;Off-street")&gt;0,1,0)</f>
        <v>0</v>
      </c>
      <c r="C838">
        <f>IF(COUNTIFS('United Data'!$A$3:$A$3390,C$1,'United Data'!$C$3:$C$3390,$A838,'United Data'!$B$3:$B$3390,"&lt;&gt;Off-street")&gt;0,1,0)</f>
        <v>0</v>
      </c>
      <c r="D838">
        <f>IF(COUNTIFS('United Data'!$A$3:$A$3390,D$1,'United Data'!$C$3:$C$3390,$A838,'United Data'!$B$3:$B$3390,"&lt;&gt;Off-street")&gt;0,1,0)</f>
        <v>0</v>
      </c>
      <c r="E838">
        <f>IF(COUNTIFS('United Data'!$A$3:$A$3390,E$1,'United Data'!$C$3:$C$3390,$A838,'United Data'!$B$3:$B$3390,"&lt;&gt;Off-street")&gt;0,1,0)</f>
        <v>0</v>
      </c>
      <c r="F838">
        <f>IF(COUNTIFS('United Data'!$A$3:$A$3390,F$1,'United Data'!$C$3:$C$3390,$A838,'United Data'!$B$3:$B$3390,"&lt;&gt;Off-street")&gt;0,1,0)</f>
        <v>0</v>
      </c>
      <c r="G838">
        <f>IF(COUNTIFS('United Data'!$A$3:$A$3390,G$1,'United Data'!$C$3:$C$3390,$A838,'United Data'!$B$3:$B$3390,"&lt;&gt;Off-street")&gt;0,1,0)</f>
        <v>0</v>
      </c>
      <c r="H838">
        <f>IF(COUNTIFS('United Data'!$A$3:$A$3390,H$1,'United Data'!$C$3:$C$3390,$A838,'United Data'!$B$3:$B$3390,"&lt;&gt;Off-street")&gt;0,1,0)</f>
        <v>0</v>
      </c>
      <c r="I838">
        <f>IF(COUNTIFS('United Data'!$A$3:$A$3390,I$1,'United Data'!$C$3:$C$3390,$A838,'United Data'!$B$3:$B$3390,"&lt;&gt;Off-street")&gt;0,1,0)</f>
        <v>0</v>
      </c>
      <c r="J838">
        <f>IF(COUNTIFS('United Data'!$A$3:$A$3390,J$1,'United Data'!$C$3:$C$3390,$A838,'United Data'!$B$3:$B$3390,"&lt;&gt;Off-street")&gt;0,1,0)</f>
        <v>1</v>
      </c>
      <c r="K838">
        <f>IF(COUNTIFS('United Data'!$A$3:$A$3390,K$1,'United Data'!$C$3:$C$3390,$A838,'United Data'!$B$3:$B$3390,"&lt;&gt;Off-street")&gt;0,1,0)</f>
        <v>1</v>
      </c>
      <c r="L838">
        <f>IF(COUNTIFS('United Data'!$A$3:$A$3390,L$1,'United Data'!$C$3:$C$3390,$A838,'United Data'!$B$3:$B$3390,"&lt;&gt;Off-street")&gt;0,1,0)</f>
        <v>0</v>
      </c>
      <c r="M838">
        <f>IF(COUNTIFS('United Data'!$A$3:$A$3390,M$1,'United Data'!$C$3:$C$3390,$A838,'United Data'!$B$3:$B$3390,"&lt;&gt;Off-street")&gt;0,1,0)</f>
        <v>0</v>
      </c>
      <c r="N838">
        <f>IF(COUNTIFS('United Data'!$A$3:$A$3390,N$1,'United Data'!$C$3:$C$3390,$A838,'United Data'!$B$3:$B$3390,"&lt;&gt;Off-street")&gt;0,1,0)</f>
        <v>0</v>
      </c>
      <c r="O838">
        <f>IF(COUNTIFS('United Data'!$A$3:$A$3390,O$1,'United Data'!$C$3:$C$3390,$A838,'United Data'!$B$3:$B$3390,"&lt;&gt;Off-street")&gt;0,1,0)</f>
        <v>0</v>
      </c>
      <c r="P838">
        <f>IF(COUNTIFS('United Data'!$A$3:$A$3390,P$1,'United Data'!$C$3:$C$3390,$A838,'United Data'!$B$3:$B$3390,"&lt;&gt;Off-street")&gt;0,1,0)</f>
        <v>0</v>
      </c>
      <c r="Q838">
        <f>IF(COUNTIFS('United Data'!$A$3:$A$3390,Q$1,'United Data'!$C$3:$C$3390,$A838,'United Data'!$B$3:$B$3390,"&lt;&gt;Off-street")&gt;0,1,0)</f>
        <v>0</v>
      </c>
      <c r="R838">
        <f>IF(COUNTIFS('United Data'!$A$3:$A$3390,R$1,'United Data'!$C$3:$C$3390,$A838,'United Data'!$B$3:$B$3390,"&lt;&gt;Off-street")&gt;0,1,0)</f>
        <v>0</v>
      </c>
      <c r="S838">
        <f t="shared" si="26"/>
        <v>2</v>
      </c>
      <c r="T838">
        <f t="shared" si="27"/>
        <v>1</v>
      </c>
    </row>
    <row r="839" spans="1:20" x14ac:dyDescent="0.2">
      <c r="A839" t="s">
        <v>1009</v>
      </c>
      <c r="B839">
        <f>IF(COUNTIFS('United Data'!$A$3:$A$3390,B$1,'United Data'!$C$3:$C$3390,$A839,'United Data'!$B$3:$B$3390,"&lt;&gt;Off-street")&gt;0,1,0)</f>
        <v>0</v>
      </c>
      <c r="C839">
        <f>IF(COUNTIFS('United Data'!$A$3:$A$3390,C$1,'United Data'!$C$3:$C$3390,$A839,'United Data'!$B$3:$B$3390,"&lt;&gt;Off-street")&gt;0,1,0)</f>
        <v>0</v>
      </c>
      <c r="D839">
        <f>IF(COUNTIFS('United Data'!$A$3:$A$3390,D$1,'United Data'!$C$3:$C$3390,$A839,'United Data'!$B$3:$B$3390,"&lt;&gt;Off-street")&gt;0,1,0)</f>
        <v>0</v>
      </c>
      <c r="E839">
        <f>IF(COUNTIFS('United Data'!$A$3:$A$3390,E$1,'United Data'!$C$3:$C$3390,$A839,'United Data'!$B$3:$B$3390,"&lt;&gt;Off-street")&gt;0,1,0)</f>
        <v>0</v>
      </c>
      <c r="F839">
        <f>IF(COUNTIFS('United Data'!$A$3:$A$3390,F$1,'United Data'!$C$3:$C$3390,$A839,'United Data'!$B$3:$B$3390,"&lt;&gt;Off-street")&gt;0,1,0)</f>
        <v>0</v>
      </c>
      <c r="G839">
        <f>IF(COUNTIFS('United Data'!$A$3:$A$3390,G$1,'United Data'!$C$3:$C$3390,$A839,'United Data'!$B$3:$B$3390,"&lt;&gt;Off-street")&gt;0,1,0)</f>
        <v>0</v>
      </c>
      <c r="H839">
        <f>IF(COUNTIFS('United Data'!$A$3:$A$3390,H$1,'United Data'!$C$3:$C$3390,$A839,'United Data'!$B$3:$B$3390,"&lt;&gt;Off-street")&gt;0,1,0)</f>
        <v>0</v>
      </c>
      <c r="I839">
        <f>IF(COUNTIFS('United Data'!$A$3:$A$3390,I$1,'United Data'!$C$3:$C$3390,$A839,'United Data'!$B$3:$B$3390,"&lt;&gt;Off-street")&gt;0,1,0)</f>
        <v>0</v>
      </c>
      <c r="J839">
        <f>IF(COUNTIFS('United Data'!$A$3:$A$3390,J$1,'United Data'!$C$3:$C$3390,$A839,'United Data'!$B$3:$B$3390,"&lt;&gt;Off-street")&gt;0,1,0)</f>
        <v>0</v>
      </c>
      <c r="K839">
        <f>IF(COUNTIFS('United Data'!$A$3:$A$3390,K$1,'United Data'!$C$3:$C$3390,$A839,'United Data'!$B$3:$B$3390,"&lt;&gt;Off-street")&gt;0,1,0)</f>
        <v>1</v>
      </c>
      <c r="L839">
        <f>IF(COUNTIFS('United Data'!$A$3:$A$3390,L$1,'United Data'!$C$3:$C$3390,$A839,'United Data'!$B$3:$B$3390,"&lt;&gt;Off-street")&gt;0,1,0)</f>
        <v>1</v>
      </c>
      <c r="M839">
        <f>IF(COUNTIFS('United Data'!$A$3:$A$3390,M$1,'United Data'!$C$3:$C$3390,$A839,'United Data'!$B$3:$B$3390,"&lt;&gt;Off-street")&gt;0,1,0)</f>
        <v>1</v>
      </c>
      <c r="N839">
        <f>IF(COUNTIFS('United Data'!$A$3:$A$3390,N$1,'United Data'!$C$3:$C$3390,$A839,'United Data'!$B$3:$B$3390,"&lt;&gt;Off-street")&gt;0,1,0)</f>
        <v>1</v>
      </c>
      <c r="O839">
        <f>IF(COUNTIFS('United Data'!$A$3:$A$3390,O$1,'United Data'!$C$3:$C$3390,$A839,'United Data'!$B$3:$B$3390,"&lt;&gt;Off-street")&gt;0,1,0)</f>
        <v>1</v>
      </c>
      <c r="P839">
        <f>IF(COUNTIFS('United Data'!$A$3:$A$3390,P$1,'United Data'!$C$3:$C$3390,$A839,'United Data'!$B$3:$B$3390,"&lt;&gt;Off-street")&gt;0,1,0)</f>
        <v>0</v>
      </c>
      <c r="Q839">
        <f>IF(COUNTIFS('United Data'!$A$3:$A$3390,Q$1,'United Data'!$C$3:$C$3390,$A839,'United Data'!$B$3:$B$3390,"&lt;&gt;Off-street")&gt;0,1,0)</f>
        <v>0</v>
      </c>
      <c r="R839">
        <f>IF(COUNTIFS('United Data'!$A$3:$A$3390,R$1,'United Data'!$C$3:$C$3390,$A839,'United Data'!$B$3:$B$3390,"&lt;&gt;Off-street")&gt;0,1,0)</f>
        <v>0</v>
      </c>
      <c r="S839">
        <f t="shared" si="26"/>
        <v>5</v>
      </c>
      <c r="T839">
        <f t="shared" si="27"/>
        <v>1</v>
      </c>
    </row>
    <row r="840" spans="1:20" x14ac:dyDescent="0.2">
      <c r="A840" t="s">
        <v>1010</v>
      </c>
      <c r="B840">
        <f>IF(COUNTIFS('United Data'!$A$3:$A$3390,B$1,'United Data'!$C$3:$C$3390,$A840,'United Data'!$B$3:$B$3390,"&lt;&gt;Off-street")&gt;0,1,0)</f>
        <v>0</v>
      </c>
      <c r="C840">
        <f>IF(COUNTIFS('United Data'!$A$3:$A$3390,C$1,'United Data'!$C$3:$C$3390,$A840,'United Data'!$B$3:$B$3390,"&lt;&gt;Off-street")&gt;0,1,0)</f>
        <v>0</v>
      </c>
      <c r="D840">
        <f>IF(COUNTIFS('United Data'!$A$3:$A$3390,D$1,'United Data'!$C$3:$C$3390,$A840,'United Data'!$B$3:$B$3390,"&lt;&gt;Off-street")&gt;0,1,0)</f>
        <v>0</v>
      </c>
      <c r="E840">
        <f>IF(COUNTIFS('United Data'!$A$3:$A$3390,E$1,'United Data'!$C$3:$C$3390,$A840,'United Data'!$B$3:$B$3390,"&lt;&gt;Off-street")&gt;0,1,0)</f>
        <v>0</v>
      </c>
      <c r="F840">
        <f>IF(COUNTIFS('United Data'!$A$3:$A$3390,F$1,'United Data'!$C$3:$C$3390,$A840,'United Data'!$B$3:$B$3390,"&lt;&gt;Off-street")&gt;0,1,0)</f>
        <v>0</v>
      </c>
      <c r="G840">
        <f>IF(COUNTIFS('United Data'!$A$3:$A$3390,G$1,'United Data'!$C$3:$C$3390,$A840,'United Data'!$B$3:$B$3390,"&lt;&gt;Off-street")&gt;0,1,0)</f>
        <v>0</v>
      </c>
      <c r="H840">
        <f>IF(COUNTIFS('United Data'!$A$3:$A$3390,H$1,'United Data'!$C$3:$C$3390,$A840,'United Data'!$B$3:$B$3390,"&lt;&gt;Off-street")&gt;0,1,0)</f>
        <v>0</v>
      </c>
      <c r="I840">
        <f>IF(COUNTIFS('United Data'!$A$3:$A$3390,I$1,'United Data'!$C$3:$C$3390,$A840,'United Data'!$B$3:$B$3390,"&lt;&gt;Off-street")&gt;0,1,0)</f>
        <v>0</v>
      </c>
      <c r="J840">
        <f>IF(COUNTIFS('United Data'!$A$3:$A$3390,J$1,'United Data'!$C$3:$C$3390,$A840,'United Data'!$B$3:$B$3390,"&lt;&gt;Off-street")&gt;0,1,0)</f>
        <v>0</v>
      </c>
      <c r="K840">
        <f>IF(COUNTIFS('United Data'!$A$3:$A$3390,K$1,'United Data'!$C$3:$C$3390,$A840,'United Data'!$B$3:$B$3390,"&lt;&gt;Off-street")&gt;0,1,0)</f>
        <v>1</v>
      </c>
      <c r="L840">
        <f>IF(COUNTIFS('United Data'!$A$3:$A$3390,L$1,'United Data'!$C$3:$C$3390,$A840,'United Data'!$B$3:$B$3390,"&lt;&gt;Off-street")&gt;0,1,0)</f>
        <v>1</v>
      </c>
      <c r="M840">
        <f>IF(COUNTIFS('United Data'!$A$3:$A$3390,M$1,'United Data'!$C$3:$C$3390,$A840,'United Data'!$B$3:$B$3390,"&lt;&gt;Off-street")&gt;0,1,0)</f>
        <v>0</v>
      </c>
      <c r="N840">
        <f>IF(COUNTIFS('United Data'!$A$3:$A$3390,N$1,'United Data'!$C$3:$C$3390,$A840,'United Data'!$B$3:$B$3390,"&lt;&gt;Off-street")&gt;0,1,0)</f>
        <v>0</v>
      </c>
      <c r="O840">
        <f>IF(COUNTIFS('United Data'!$A$3:$A$3390,O$1,'United Data'!$C$3:$C$3390,$A840,'United Data'!$B$3:$B$3390,"&lt;&gt;Off-street")&gt;0,1,0)</f>
        <v>0</v>
      </c>
      <c r="P840">
        <f>IF(COUNTIFS('United Data'!$A$3:$A$3390,P$1,'United Data'!$C$3:$C$3390,$A840,'United Data'!$B$3:$B$3390,"&lt;&gt;Off-street")&gt;0,1,0)</f>
        <v>0</v>
      </c>
      <c r="Q840">
        <f>IF(COUNTIFS('United Data'!$A$3:$A$3390,Q$1,'United Data'!$C$3:$C$3390,$A840,'United Data'!$B$3:$B$3390,"&lt;&gt;Off-street")&gt;0,1,0)</f>
        <v>0</v>
      </c>
      <c r="R840">
        <f>IF(COUNTIFS('United Data'!$A$3:$A$3390,R$1,'United Data'!$C$3:$C$3390,$A840,'United Data'!$B$3:$B$3390,"&lt;&gt;Off-street")&gt;0,1,0)</f>
        <v>0</v>
      </c>
      <c r="S840">
        <f t="shared" si="26"/>
        <v>2</v>
      </c>
      <c r="T840">
        <f t="shared" si="27"/>
        <v>1</v>
      </c>
    </row>
    <row r="841" spans="1:20" x14ac:dyDescent="0.2">
      <c r="A841" t="s">
        <v>1011</v>
      </c>
      <c r="B841">
        <f>IF(COUNTIFS('United Data'!$A$3:$A$3390,B$1,'United Data'!$C$3:$C$3390,$A841,'United Data'!$B$3:$B$3390,"&lt;&gt;Off-street")&gt;0,1,0)</f>
        <v>0</v>
      </c>
      <c r="C841">
        <f>IF(COUNTIFS('United Data'!$A$3:$A$3390,C$1,'United Data'!$C$3:$C$3390,$A841,'United Data'!$B$3:$B$3390,"&lt;&gt;Off-street")&gt;0,1,0)</f>
        <v>0</v>
      </c>
      <c r="D841">
        <f>IF(COUNTIFS('United Data'!$A$3:$A$3390,D$1,'United Data'!$C$3:$C$3390,$A841,'United Data'!$B$3:$B$3390,"&lt;&gt;Off-street")&gt;0,1,0)</f>
        <v>0</v>
      </c>
      <c r="E841">
        <f>IF(COUNTIFS('United Data'!$A$3:$A$3390,E$1,'United Data'!$C$3:$C$3390,$A841,'United Data'!$B$3:$B$3390,"&lt;&gt;Off-street")&gt;0,1,0)</f>
        <v>0</v>
      </c>
      <c r="F841">
        <f>IF(COUNTIFS('United Data'!$A$3:$A$3390,F$1,'United Data'!$C$3:$C$3390,$A841,'United Data'!$B$3:$B$3390,"&lt;&gt;Off-street")&gt;0,1,0)</f>
        <v>0</v>
      </c>
      <c r="G841">
        <f>IF(COUNTIFS('United Data'!$A$3:$A$3390,G$1,'United Data'!$C$3:$C$3390,$A841,'United Data'!$B$3:$B$3390,"&lt;&gt;Off-street")&gt;0,1,0)</f>
        <v>0</v>
      </c>
      <c r="H841">
        <f>IF(COUNTIFS('United Data'!$A$3:$A$3390,H$1,'United Data'!$C$3:$C$3390,$A841,'United Data'!$B$3:$B$3390,"&lt;&gt;Off-street")&gt;0,1,0)</f>
        <v>0</v>
      </c>
      <c r="I841">
        <f>IF(COUNTIFS('United Data'!$A$3:$A$3390,I$1,'United Data'!$C$3:$C$3390,$A841,'United Data'!$B$3:$B$3390,"&lt;&gt;Off-street")&gt;0,1,0)</f>
        <v>0</v>
      </c>
      <c r="J841">
        <f>IF(COUNTIFS('United Data'!$A$3:$A$3390,J$1,'United Data'!$C$3:$C$3390,$A841,'United Data'!$B$3:$B$3390,"&lt;&gt;Off-street")&gt;0,1,0)</f>
        <v>0</v>
      </c>
      <c r="K841">
        <f>IF(COUNTIFS('United Data'!$A$3:$A$3390,K$1,'United Data'!$C$3:$C$3390,$A841,'United Data'!$B$3:$B$3390,"&lt;&gt;Off-street")&gt;0,1,0)</f>
        <v>0</v>
      </c>
      <c r="L841">
        <f>IF(COUNTIFS('United Data'!$A$3:$A$3390,L$1,'United Data'!$C$3:$C$3390,$A841,'United Data'!$B$3:$B$3390,"&lt;&gt;Off-street")&gt;0,1,0)</f>
        <v>1</v>
      </c>
      <c r="M841">
        <f>IF(COUNTIFS('United Data'!$A$3:$A$3390,M$1,'United Data'!$C$3:$C$3390,$A841,'United Data'!$B$3:$B$3390,"&lt;&gt;Off-street")&gt;0,1,0)</f>
        <v>0</v>
      </c>
      <c r="N841">
        <f>IF(COUNTIFS('United Data'!$A$3:$A$3390,N$1,'United Data'!$C$3:$C$3390,$A841,'United Data'!$B$3:$B$3390,"&lt;&gt;Off-street")&gt;0,1,0)</f>
        <v>0</v>
      </c>
      <c r="O841">
        <f>IF(COUNTIFS('United Data'!$A$3:$A$3390,O$1,'United Data'!$C$3:$C$3390,$A841,'United Data'!$B$3:$B$3390,"&lt;&gt;Off-street")&gt;0,1,0)</f>
        <v>0</v>
      </c>
      <c r="P841">
        <f>IF(COUNTIFS('United Data'!$A$3:$A$3390,P$1,'United Data'!$C$3:$C$3390,$A841,'United Data'!$B$3:$B$3390,"&lt;&gt;Off-street")&gt;0,1,0)</f>
        <v>0</v>
      </c>
      <c r="Q841">
        <f>IF(COUNTIFS('United Data'!$A$3:$A$3390,Q$1,'United Data'!$C$3:$C$3390,$A841,'United Data'!$B$3:$B$3390,"&lt;&gt;Off-street")&gt;0,1,0)</f>
        <v>0</v>
      </c>
      <c r="R841">
        <f>IF(COUNTIFS('United Data'!$A$3:$A$3390,R$1,'United Data'!$C$3:$C$3390,$A841,'United Data'!$B$3:$B$3390,"&lt;&gt;Off-street")&gt;0,1,0)</f>
        <v>0</v>
      </c>
      <c r="S841">
        <f t="shared" si="26"/>
        <v>1</v>
      </c>
      <c r="T841">
        <f t="shared" si="27"/>
        <v>1</v>
      </c>
    </row>
    <row r="842" spans="1:20" x14ac:dyDescent="0.2">
      <c r="A842" t="s">
        <v>1012</v>
      </c>
      <c r="B842">
        <f>IF(COUNTIFS('United Data'!$A$3:$A$3390,B$1,'United Data'!$C$3:$C$3390,$A842,'United Data'!$B$3:$B$3390,"&lt;&gt;Off-street")&gt;0,1,0)</f>
        <v>0</v>
      </c>
      <c r="C842">
        <f>IF(COUNTIFS('United Data'!$A$3:$A$3390,C$1,'United Data'!$C$3:$C$3390,$A842,'United Data'!$B$3:$B$3390,"&lt;&gt;Off-street")&gt;0,1,0)</f>
        <v>0</v>
      </c>
      <c r="D842">
        <f>IF(COUNTIFS('United Data'!$A$3:$A$3390,D$1,'United Data'!$C$3:$C$3390,$A842,'United Data'!$B$3:$B$3390,"&lt;&gt;Off-street")&gt;0,1,0)</f>
        <v>0</v>
      </c>
      <c r="E842">
        <f>IF(COUNTIFS('United Data'!$A$3:$A$3390,E$1,'United Data'!$C$3:$C$3390,$A842,'United Data'!$B$3:$B$3390,"&lt;&gt;Off-street")&gt;0,1,0)</f>
        <v>0</v>
      </c>
      <c r="F842">
        <f>IF(COUNTIFS('United Data'!$A$3:$A$3390,F$1,'United Data'!$C$3:$C$3390,$A842,'United Data'!$B$3:$B$3390,"&lt;&gt;Off-street")&gt;0,1,0)</f>
        <v>0</v>
      </c>
      <c r="G842">
        <f>IF(COUNTIFS('United Data'!$A$3:$A$3390,G$1,'United Data'!$C$3:$C$3390,$A842,'United Data'!$B$3:$B$3390,"&lt;&gt;Off-street")&gt;0,1,0)</f>
        <v>0</v>
      </c>
      <c r="H842">
        <f>IF(COUNTIFS('United Data'!$A$3:$A$3390,H$1,'United Data'!$C$3:$C$3390,$A842,'United Data'!$B$3:$B$3390,"&lt;&gt;Off-street")&gt;0,1,0)</f>
        <v>0</v>
      </c>
      <c r="I842">
        <f>IF(COUNTIFS('United Data'!$A$3:$A$3390,I$1,'United Data'!$C$3:$C$3390,$A842,'United Data'!$B$3:$B$3390,"&lt;&gt;Off-street")&gt;0,1,0)</f>
        <v>0</v>
      </c>
      <c r="J842">
        <f>IF(COUNTIFS('United Data'!$A$3:$A$3390,J$1,'United Data'!$C$3:$C$3390,$A842,'United Data'!$B$3:$B$3390,"&lt;&gt;Off-street")&gt;0,1,0)</f>
        <v>0</v>
      </c>
      <c r="K842">
        <f>IF(COUNTIFS('United Data'!$A$3:$A$3390,K$1,'United Data'!$C$3:$C$3390,$A842,'United Data'!$B$3:$B$3390,"&lt;&gt;Off-street")&gt;0,1,0)</f>
        <v>0</v>
      </c>
      <c r="L842">
        <f>IF(COUNTIFS('United Data'!$A$3:$A$3390,L$1,'United Data'!$C$3:$C$3390,$A842,'United Data'!$B$3:$B$3390,"&lt;&gt;Off-street")&gt;0,1,0)</f>
        <v>0</v>
      </c>
      <c r="M842">
        <f>IF(COUNTIFS('United Data'!$A$3:$A$3390,M$1,'United Data'!$C$3:$C$3390,$A842,'United Data'!$B$3:$B$3390,"&lt;&gt;Off-street")&gt;0,1,0)</f>
        <v>0</v>
      </c>
      <c r="N842">
        <f>IF(COUNTIFS('United Data'!$A$3:$A$3390,N$1,'United Data'!$C$3:$C$3390,$A842,'United Data'!$B$3:$B$3390,"&lt;&gt;Off-street")&gt;0,1,0)</f>
        <v>1</v>
      </c>
      <c r="O842">
        <f>IF(COUNTIFS('United Data'!$A$3:$A$3390,O$1,'United Data'!$C$3:$C$3390,$A842,'United Data'!$B$3:$B$3390,"&lt;&gt;Off-street")&gt;0,1,0)</f>
        <v>0</v>
      </c>
      <c r="P842">
        <f>IF(COUNTIFS('United Data'!$A$3:$A$3390,P$1,'United Data'!$C$3:$C$3390,$A842,'United Data'!$B$3:$B$3390,"&lt;&gt;Off-street")&gt;0,1,0)</f>
        <v>0</v>
      </c>
      <c r="Q842">
        <f>IF(COUNTIFS('United Data'!$A$3:$A$3390,Q$1,'United Data'!$C$3:$C$3390,$A842,'United Data'!$B$3:$B$3390,"&lt;&gt;Off-street")&gt;0,1,0)</f>
        <v>0</v>
      </c>
      <c r="R842">
        <f>IF(COUNTIFS('United Data'!$A$3:$A$3390,R$1,'United Data'!$C$3:$C$3390,$A842,'United Data'!$B$3:$B$3390,"&lt;&gt;Off-street")&gt;0,1,0)</f>
        <v>0</v>
      </c>
      <c r="S842">
        <f t="shared" si="26"/>
        <v>1</v>
      </c>
      <c r="T842">
        <f t="shared" si="27"/>
        <v>1</v>
      </c>
    </row>
    <row r="843" spans="1:20" x14ac:dyDescent="0.2">
      <c r="A843" t="s">
        <v>1013</v>
      </c>
      <c r="B843">
        <f>IF(COUNTIFS('United Data'!$A$3:$A$3390,B$1,'United Data'!$C$3:$C$3390,$A843,'United Data'!$B$3:$B$3390,"&lt;&gt;Off-street")&gt;0,1,0)</f>
        <v>0</v>
      </c>
      <c r="C843">
        <f>IF(COUNTIFS('United Data'!$A$3:$A$3390,C$1,'United Data'!$C$3:$C$3390,$A843,'United Data'!$B$3:$B$3390,"&lt;&gt;Off-street")&gt;0,1,0)</f>
        <v>0</v>
      </c>
      <c r="D843">
        <f>IF(COUNTIFS('United Data'!$A$3:$A$3390,D$1,'United Data'!$C$3:$C$3390,$A843,'United Data'!$B$3:$B$3390,"&lt;&gt;Off-street")&gt;0,1,0)</f>
        <v>0</v>
      </c>
      <c r="E843">
        <f>IF(COUNTIFS('United Data'!$A$3:$A$3390,E$1,'United Data'!$C$3:$C$3390,$A843,'United Data'!$B$3:$B$3390,"&lt;&gt;Off-street")&gt;0,1,0)</f>
        <v>0</v>
      </c>
      <c r="F843">
        <f>IF(COUNTIFS('United Data'!$A$3:$A$3390,F$1,'United Data'!$C$3:$C$3390,$A843,'United Data'!$B$3:$B$3390,"&lt;&gt;Off-street")&gt;0,1,0)</f>
        <v>0</v>
      </c>
      <c r="G843">
        <f>IF(COUNTIFS('United Data'!$A$3:$A$3390,G$1,'United Data'!$C$3:$C$3390,$A843,'United Data'!$B$3:$B$3390,"&lt;&gt;Off-street")&gt;0,1,0)</f>
        <v>0</v>
      </c>
      <c r="H843">
        <f>IF(COUNTIFS('United Data'!$A$3:$A$3390,H$1,'United Data'!$C$3:$C$3390,$A843,'United Data'!$B$3:$B$3390,"&lt;&gt;Off-street")&gt;0,1,0)</f>
        <v>0</v>
      </c>
      <c r="I843">
        <f>IF(COUNTIFS('United Data'!$A$3:$A$3390,I$1,'United Data'!$C$3:$C$3390,$A843,'United Data'!$B$3:$B$3390,"&lt;&gt;Off-street")&gt;0,1,0)</f>
        <v>0</v>
      </c>
      <c r="J843">
        <f>IF(COUNTIFS('United Data'!$A$3:$A$3390,J$1,'United Data'!$C$3:$C$3390,$A843,'United Data'!$B$3:$B$3390,"&lt;&gt;Off-street")&gt;0,1,0)</f>
        <v>0</v>
      </c>
      <c r="K843">
        <f>IF(COUNTIFS('United Data'!$A$3:$A$3390,K$1,'United Data'!$C$3:$C$3390,$A843,'United Data'!$B$3:$B$3390,"&lt;&gt;Off-street")&gt;0,1,0)</f>
        <v>0</v>
      </c>
      <c r="L843">
        <f>IF(COUNTIFS('United Data'!$A$3:$A$3390,L$1,'United Data'!$C$3:$C$3390,$A843,'United Data'!$B$3:$B$3390,"&lt;&gt;Off-street")&gt;0,1,0)</f>
        <v>0</v>
      </c>
      <c r="M843">
        <f>IF(COUNTIFS('United Data'!$A$3:$A$3390,M$1,'United Data'!$C$3:$C$3390,$A843,'United Data'!$B$3:$B$3390,"&lt;&gt;Off-street")&gt;0,1,0)</f>
        <v>0</v>
      </c>
      <c r="N843">
        <f>IF(COUNTIFS('United Data'!$A$3:$A$3390,N$1,'United Data'!$C$3:$C$3390,$A843,'United Data'!$B$3:$B$3390,"&lt;&gt;Off-street")&gt;0,1,0)</f>
        <v>1</v>
      </c>
      <c r="O843">
        <f>IF(COUNTIFS('United Data'!$A$3:$A$3390,O$1,'United Data'!$C$3:$C$3390,$A843,'United Data'!$B$3:$B$3390,"&lt;&gt;Off-street")&gt;0,1,0)</f>
        <v>0</v>
      </c>
      <c r="P843">
        <f>IF(COUNTIFS('United Data'!$A$3:$A$3390,P$1,'United Data'!$C$3:$C$3390,$A843,'United Data'!$B$3:$B$3390,"&lt;&gt;Off-street")&gt;0,1,0)</f>
        <v>0</v>
      </c>
      <c r="Q843">
        <f>IF(COUNTIFS('United Data'!$A$3:$A$3390,Q$1,'United Data'!$C$3:$C$3390,$A843,'United Data'!$B$3:$B$3390,"&lt;&gt;Off-street")&gt;0,1,0)</f>
        <v>0</v>
      </c>
      <c r="R843">
        <f>IF(COUNTIFS('United Data'!$A$3:$A$3390,R$1,'United Data'!$C$3:$C$3390,$A843,'United Data'!$B$3:$B$3390,"&lt;&gt;Off-street")&gt;0,1,0)</f>
        <v>0</v>
      </c>
      <c r="S843">
        <f t="shared" si="26"/>
        <v>1</v>
      </c>
      <c r="T843">
        <f t="shared" si="27"/>
        <v>1</v>
      </c>
    </row>
    <row r="844" spans="1:20" x14ac:dyDescent="0.2">
      <c r="A844" t="s">
        <v>1014</v>
      </c>
      <c r="B844">
        <f>IF(COUNTIFS('United Data'!$A$3:$A$3390,B$1,'United Data'!$C$3:$C$3390,$A844,'United Data'!$B$3:$B$3390,"&lt;&gt;Off-street")&gt;0,1,0)</f>
        <v>0</v>
      </c>
      <c r="C844">
        <f>IF(COUNTIFS('United Data'!$A$3:$A$3390,C$1,'United Data'!$C$3:$C$3390,$A844,'United Data'!$B$3:$B$3390,"&lt;&gt;Off-street")&gt;0,1,0)</f>
        <v>0</v>
      </c>
      <c r="D844">
        <f>IF(COUNTIFS('United Data'!$A$3:$A$3390,D$1,'United Data'!$C$3:$C$3390,$A844,'United Data'!$B$3:$B$3390,"&lt;&gt;Off-street")&gt;0,1,0)</f>
        <v>0</v>
      </c>
      <c r="E844">
        <f>IF(COUNTIFS('United Data'!$A$3:$A$3390,E$1,'United Data'!$C$3:$C$3390,$A844,'United Data'!$B$3:$B$3390,"&lt;&gt;Off-street")&gt;0,1,0)</f>
        <v>0</v>
      </c>
      <c r="F844">
        <f>IF(COUNTIFS('United Data'!$A$3:$A$3390,F$1,'United Data'!$C$3:$C$3390,$A844,'United Data'!$B$3:$B$3390,"&lt;&gt;Off-street")&gt;0,1,0)</f>
        <v>0</v>
      </c>
      <c r="G844">
        <f>IF(COUNTIFS('United Data'!$A$3:$A$3390,G$1,'United Data'!$C$3:$C$3390,$A844,'United Data'!$B$3:$B$3390,"&lt;&gt;Off-street")&gt;0,1,0)</f>
        <v>0</v>
      </c>
      <c r="H844">
        <f>IF(COUNTIFS('United Data'!$A$3:$A$3390,H$1,'United Data'!$C$3:$C$3390,$A844,'United Data'!$B$3:$B$3390,"&lt;&gt;Off-street")&gt;0,1,0)</f>
        <v>0</v>
      </c>
      <c r="I844">
        <f>IF(COUNTIFS('United Data'!$A$3:$A$3390,I$1,'United Data'!$C$3:$C$3390,$A844,'United Data'!$B$3:$B$3390,"&lt;&gt;Off-street")&gt;0,1,0)</f>
        <v>0</v>
      </c>
      <c r="J844">
        <f>IF(COUNTIFS('United Data'!$A$3:$A$3390,J$1,'United Data'!$C$3:$C$3390,$A844,'United Data'!$B$3:$B$3390,"&lt;&gt;Off-street")&gt;0,1,0)</f>
        <v>0</v>
      </c>
      <c r="K844">
        <f>IF(COUNTIFS('United Data'!$A$3:$A$3390,K$1,'United Data'!$C$3:$C$3390,$A844,'United Data'!$B$3:$B$3390,"&lt;&gt;Off-street")&gt;0,1,0)</f>
        <v>0</v>
      </c>
      <c r="L844">
        <f>IF(COUNTIFS('United Data'!$A$3:$A$3390,L$1,'United Data'!$C$3:$C$3390,$A844,'United Data'!$B$3:$B$3390,"&lt;&gt;Off-street")&gt;0,1,0)</f>
        <v>0</v>
      </c>
      <c r="M844">
        <f>IF(COUNTIFS('United Data'!$A$3:$A$3390,M$1,'United Data'!$C$3:$C$3390,$A844,'United Data'!$B$3:$B$3390,"&lt;&gt;Off-street")&gt;0,1,0)</f>
        <v>0</v>
      </c>
      <c r="N844">
        <f>IF(COUNTIFS('United Data'!$A$3:$A$3390,N$1,'United Data'!$C$3:$C$3390,$A844,'United Data'!$B$3:$B$3390,"&lt;&gt;Off-street")&gt;0,1,0)</f>
        <v>1</v>
      </c>
      <c r="O844">
        <f>IF(COUNTIFS('United Data'!$A$3:$A$3390,O$1,'United Data'!$C$3:$C$3390,$A844,'United Data'!$B$3:$B$3390,"&lt;&gt;Off-street")&gt;0,1,0)</f>
        <v>0</v>
      </c>
      <c r="P844">
        <f>IF(COUNTIFS('United Data'!$A$3:$A$3390,P$1,'United Data'!$C$3:$C$3390,$A844,'United Data'!$B$3:$B$3390,"&lt;&gt;Off-street")&gt;0,1,0)</f>
        <v>0</v>
      </c>
      <c r="Q844">
        <f>IF(COUNTIFS('United Data'!$A$3:$A$3390,Q$1,'United Data'!$C$3:$C$3390,$A844,'United Data'!$B$3:$B$3390,"&lt;&gt;Off-street")&gt;0,1,0)</f>
        <v>0</v>
      </c>
      <c r="R844">
        <f>IF(COUNTIFS('United Data'!$A$3:$A$3390,R$1,'United Data'!$C$3:$C$3390,$A844,'United Data'!$B$3:$B$3390,"&lt;&gt;Off-street")&gt;0,1,0)</f>
        <v>0</v>
      </c>
      <c r="S844">
        <f t="shared" si="26"/>
        <v>1</v>
      </c>
      <c r="T844">
        <f t="shared" si="27"/>
        <v>1</v>
      </c>
    </row>
    <row r="845" spans="1:20" x14ac:dyDescent="0.2">
      <c r="A845" t="s">
        <v>1015</v>
      </c>
      <c r="B845">
        <f>IF(COUNTIFS('United Data'!$A$3:$A$3390,B$1,'United Data'!$C$3:$C$3390,$A845,'United Data'!$B$3:$B$3390,"&lt;&gt;Off-street")&gt;0,1,0)</f>
        <v>0</v>
      </c>
      <c r="C845">
        <f>IF(COUNTIFS('United Data'!$A$3:$A$3390,C$1,'United Data'!$C$3:$C$3390,$A845,'United Data'!$B$3:$B$3390,"&lt;&gt;Off-street")&gt;0,1,0)</f>
        <v>0</v>
      </c>
      <c r="D845">
        <f>IF(COUNTIFS('United Data'!$A$3:$A$3390,D$1,'United Data'!$C$3:$C$3390,$A845,'United Data'!$B$3:$B$3390,"&lt;&gt;Off-street")&gt;0,1,0)</f>
        <v>0</v>
      </c>
      <c r="E845">
        <f>IF(COUNTIFS('United Data'!$A$3:$A$3390,E$1,'United Data'!$C$3:$C$3390,$A845,'United Data'!$B$3:$B$3390,"&lt;&gt;Off-street")&gt;0,1,0)</f>
        <v>0</v>
      </c>
      <c r="F845">
        <f>IF(COUNTIFS('United Data'!$A$3:$A$3390,F$1,'United Data'!$C$3:$C$3390,$A845,'United Data'!$B$3:$B$3390,"&lt;&gt;Off-street")&gt;0,1,0)</f>
        <v>0</v>
      </c>
      <c r="G845">
        <f>IF(COUNTIFS('United Data'!$A$3:$A$3390,G$1,'United Data'!$C$3:$C$3390,$A845,'United Data'!$B$3:$B$3390,"&lt;&gt;Off-street")&gt;0,1,0)</f>
        <v>0</v>
      </c>
      <c r="H845">
        <f>IF(COUNTIFS('United Data'!$A$3:$A$3390,H$1,'United Data'!$C$3:$C$3390,$A845,'United Data'!$B$3:$B$3390,"&lt;&gt;Off-street")&gt;0,1,0)</f>
        <v>0</v>
      </c>
      <c r="I845">
        <f>IF(COUNTIFS('United Data'!$A$3:$A$3390,I$1,'United Data'!$C$3:$C$3390,$A845,'United Data'!$B$3:$B$3390,"&lt;&gt;Off-street")&gt;0,1,0)</f>
        <v>0</v>
      </c>
      <c r="J845">
        <f>IF(COUNTIFS('United Data'!$A$3:$A$3390,J$1,'United Data'!$C$3:$C$3390,$A845,'United Data'!$B$3:$B$3390,"&lt;&gt;Off-street")&gt;0,1,0)</f>
        <v>0</v>
      </c>
      <c r="K845">
        <f>IF(COUNTIFS('United Data'!$A$3:$A$3390,K$1,'United Data'!$C$3:$C$3390,$A845,'United Data'!$B$3:$B$3390,"&lt;&gt;Off-street")&gt;0,1,0)</f>
        <v>0</v>
      </c>
      <c r="L845">
        <f>IF(COUNTIFS('United Data'!$A$3:$A$3390,L$1,'United Data'!$C$3:$C$3390,$A845,'United Data'!$B$3:$B$3390,"&lt;&gt;Off-street")&gt;0,1,0)</f>
        <v>0</v>
      </c>
      <c r="M845">
        <f>IF(COUNTIFS('United Data'!$A$3:$A$3390,M$1,'United Data'!$C$3:$C$3390,$A845,'United Data'!$B$3:$B$3390,"&lt;&gt;Off-street")&gt;0,1,0)</f>
        <v>0</v>
      </c>
      <c r="N845">
        <f>IF(COUNTIFS('United Data'!$A$3:$A$3390,N$1,'United Data'!$C$3:$C$3390,$A845,'United Data'!$B$3:$B$3390,"&lt;&gt;Off-street")&gt;0,1,0)</f>
        <v>1</v>
      </c>
      <c r="O845">
        <f>IF(COUNTIFS('United Data'!$A$3:$A$3390,O$1,'United Data'!$C$3:$C$3390,$A845,'United Data'!$B$3:$B$3390,"&lt;&gt;Off-street")&gt;0,1,0)</f>
        <v>0</v>
      </c>
      <c r="P845">
        <f>IF(COUNTIFS('United Data'!$A$3:$A$3390,P$1,'United Data'!$C$3:$C$3390,$A845,'United Data'!$B$3:$B$3390,"&lt;&gt;Off-street")&gt;0,1,0)</f>
        <v>0</v>
      </c>
      <c r="Q845">
        <f>IF(COUNTIFS('United Data'!$A$3:$A$3390,Q$1,'United Data'!$C$3:$C$3390,$A845,'United Data'!$B$3:$B$3390,"&lt;&gt;Off-street")&gt;0,1,0)</f>
        <v>1</v>
      </c>
      <c r="R845">
        <f>IF(COUNTIFS('United Data'!$A$3:$A$3390,R$1,'United Data'!$C$3:$C$3390,$A845,'United Data'!$B$3:$B$3390,"&lt;&gt;Off-street")&gt;0,1,0)</f>
        <v>0</v>
      </c>
      <c r="S845">
        <f t="shared" si="26"/>
        <v>2</v>
      </c>
      <c r="T845">
        <f t="shared" si="27"/>
        <v>2</v>
      </c>
    </row>
    <row r="846" spans="1:20" x14ac:dyDescent="0.2">
      <c r="A846" t="s">
        <v>1016</v>
      </c>
      <c r="B846">
        <f>IF(COUNTIFS('United Data'!$A$3:$A$3390,B$1,'United Data'!$C$3:$C$3390,$A846,'United Data'!$B$3:$B$3390,"&lt;&gt;Off-street")&gt;0,1,0)</f>
        <v>0</v>
      </c>
      <c r="C846">
        <f>IF(COUNTIFS('United Data'!$A$3:$A$3390,C$1,'United Data'!$C$3:$C$3390,$A846,'United Data'!$B$3:$B$3390,"&lt;&gt;Off-street")&gt;0,1,0)</f>
        <v>0</v>
      </c>
      <c r="D846">
        <f>IF(COUNTIFS('United Data'!$A$3:$A$3390,D$1,'United Data'!$C$3:$C$3390,$A846,'United Data'!$B$3:$B$3390,"&lt;&gt;Off-street")&gt;0,1,0)</f>
        <v>0</v>
      </c>
      <c r="E846">
        <f>IF(COUNTIFS('United Data'!$A$3:$A$3390,E$1,'United Data'!$C$3:$C$3390,$A846,'United Data'!$B$3:$B$3390,"&lt;&gt;Off-street")&gt;0,1,0)</f>
        <v>0</v>
      </c>
      <c r="F846">
        <f>IF(COUNTIFS('United Data'!$A$3:$A$3390,F$1,'United Data'!$C$3:$C$3390,$A846,'United Data'!$B$3:$B$3390,"&lt;&gt;Off-street")&gt;0,1,0)</f>
        <v>0</v>
      </c>
      <c r="G846">
        <f>IF(COUNTIFS('United Data'!$A$3:$A$3390,G$1,'United Data'!$C$3:$C$3390,$A846,'United Data'!$B$3:$B$3390,"&lt;&gt;Off-street")&gt;0,1,0)</f>
        <v>0</v>
      </c>
      <c r="H846">
        <f>IF(COUNTIFS('United Data'!$A$3:$A$3390,H$1,'United Data'!$C$3:$C$3390,$A846,'United Data'!$B$3:$B$3390,"&lt;&gt;Off-street")&gt;0,1,0)</f>
        <v>0</v>
      </c>
      <c r="I846">
        <f>IF(COUNTIFS('United Data'!$A$3:$A$3390,I$1,'United Data'!$C$3:$C$3390,$A846,'United Data'!$B$3:$B$3390,"&lt;&gt;Off-street")&gt;0,1,0)</f>
        <v>0</v>
      </c>
      <c r="J846">
        <f>IF(COUNTIFS('United Data'!$A$3:$A$3390,J$1,'United Data'!$C$3:$C$3390,$A846,'United Data'!$B$3:$B$3390,"&lt;&gt;Off-street")&gt;0,1,0)</f>
        <v>0</v>
      </c>
      <c r="K846">
        <f>IF(COUNTIFS('United Data'!$A$3:$A$3390,K$1,'United Data'!$C$3:$C$3390,$A846,'United Data'!$B$3:$B$3390,"&lt;&gt;Off-street")&gt;0,1,0)</f>
        <v>0</v>
      </c>
      <c r="L846">
        <f>IF(COUNTIFS('United Data'!$A$3:$A$3390,L$1,'United Data'!$C$3:$C$3390,$A846,'United Data'!$B$3:$B$3390,"&lt;&gt;Off-street")&gt;0,1,0)</f>
        <v>0</v>
      </c>
      <c r="M846">
        <f>IF(COUNTIFS('United Data'!$A$3:$A$3390,M$1,'United Data'!$C$3:$C$3390,$A846,'United Data'!$B$3:$B$3390,"&lt;&gt;Off-street")&gt;0,1,0)</f>
        <v>0</v>
      </c>
      <c r="N846">
        <f>IF(COUNTIFS('United Data'!$A$3:$A$3390,N$1,'United Data'!$C$3:$C$3390,$A846,'United Data'!$B$3:$B$3390,"&lt;&gt;Off-street")&gt;0,1,0)</f>
        <v>1</v>
      </c>
      <c r="O846">
        <f>IF(COUNTIFS('United Data'!$A$3:$A$3390,O$1,'United Data'!$C$3:$C$3390,$A846,'United Data'!$B$3:$B$3390,"&lt;&gt;Off-street")&gt;0,1,0)</f>
        <v>0</v>
      </c>
      <c r="P846">
        <f>IF(COUNTIFS('United Data'!$A$3:$A$3390,P$1,'United Data'!$C$3:$C$3390,$A846,'United Data'!$B$3:$B$3390,"&lt;&gt;Off-street")&gt;0,1,0)</f>
        <v>0</v>
      </c>
      <c r="Q846">
        <f>IF(COUNTIFS('United Data'!$A$3:$A$3390,Q$1,'United Data'!$C$3:$C$3390,$A846,'United Data'!$B$3:$B$3390,"&lt;&gt;Off-street")&gt;0,1,0)</f>
        <v>0</v>
      </c>
      <c r="R846">
        <f>IF(COUNTIFS('United Data'!$A$3:$A$3390,R$1,'United Data'!$C$3:$C$3390,$A846,'United Data'!$B$3:$B$3390,"&lt;&gt;Off-street")&gt;0,1,0)</f>
        <v>0</v>
      </c>
      <c r="S846">
        <f t="shared" si="26"/>
        <v>1</v>
      </c>
      <c r="T846">
        <f t="shared" si="27"/>
        <v>1</v>
      </c>
    </row>
    <row r="847" spans="1:20" x14ac:dyDescent="0.2">
      <c r="A847" t="s">
        <v>1017</v>
      </c>
      <c r="B847">
        <f>IF(COUNTIFS('United Data'!$A$3:$A$3390,B$1,'United Data'!$C$3:$C$3390,$A847,'United Data'!$B$3:$B$3390,"&lt;&gt;Off-street")&gt;0,1,0)</f>
        <v>0</v>
      </c>
      <c r="C847">
        <f>IF(COUNTIFS('United Data'!$A$3:$A$3390,C$1,'United Data'!$C$3:$C$3390,$A847,'United Data'!$B$3:$B$3390,"&lt;&gt;Off-street")&gt;0,1,0)</f>
        <v>0</v>
      </c>
      <c r="D847">
        <f>IF(COUNTIFS('United Data'!$A$3:$A$3390,D$1,'United Data'!$C$3:$C$3390,$A847,'United Data'!$B$3:$B$3390,"&lt;&gt;Off-street")&gt;0,1,0)</f>
        <v>0</v>
      </c>
      <c r="E847">
        <f>IF(COUNTIFS('United Data'!$A$3:$A$3390,E$1,'United Data'!$C$3:$C$3390,$A847,'United Data'!$B$3:$B$3390,"&lt;&gt;Off-street")&gt;0,1,0)</f>
        <v>0</v>
      </c>
      <c r="F847">
        <f>IF(COUNTIFS('United Data'!$A$3:$A$3390,F$1,'United Data'!$C$3:$C$3390,$A847,'United Data'!$B$3:$B$3390,"&lt;&gt;Off-street")&gt;0,1,0)</f>
        <v>0</v>
      </c>
      <c r="G847">
        <f>IF(COUNTIFS('United Data'!$A$3:$A$3390,G$1,'United Data'!$C$3:$C$3390,$A847,'United Data'!$B$3:$B$3390,"&lt;&gt;Off-street")&gt;0,1,0)</f>
        <v>0</v>
      </c>
      <c r="H847">
        <f>IF(COUNTIFS('United Data'!$A$3:$A$3390,H$1,'United Data'!$C$3:$C$3390,$A847,'United Data'!$B$3:$B$3390,"&lt;&gt;Off-street")&gt;0,1,0)</f>
        <v>0</v>
      </c>
      <c r="I847">
        <f>IF(COUNTIFS('United Data'!$A$3:$A$3390,I$1,'United Data'!$C$3:$C$3390,$A847,'United Data'!$B$3:$B$3390,"&lt;&gt;Off-street")&gt;0,1,0)</f>
        <v>0</v>
      </c>
      <c r="J847">
        <f>IF(COUNTIFS('United Data'!$A$3:$A$3390,J$1,'United Data'!$C$3:$C$3390,$A847,'United Data'!$B$3:$B$3390,"&lt;&gt;Off-street")&gt;0,1,0)</f>
        <v>0</v>
      </c>
      <c r="K847">
        <f>IF(COUNTIFS('United Data'!$A$3:$A$3390,K$1,'United Data'!$C$3:$C$3390,$A847,'United Data'!$B$3:$B$3390,"&lt;&gt;Off-street")&gt;0,1,0)</f>
        <v>0</v>
      </c>
      <c r="L847">
        <f>IF(COUNTIFS('United Data'!$A$3:$A$3390,L$1,'United Data'!$C$3:$C$3390,$A847,'United Data'!$B$3:$B$3390,"&lt;&gt;Off-street")&gt;0,1,0)</f>
        <v>0</v>
      </c>
      <c r="M847">
        <f>IF(COUNTIFS('United Data'!$A$3:$A$3390,M$1,'United Data'!$C$3:$C$3390,$A847,'United Data'!$B$3:$B$3390,"&lt;&gt;Off-street")&gt;0,1,0)</f>
        <v>0</v>
      </c>
      <c r="N847">
        <f>IF(COUNTIFS('United Data'!$A$3:$A$3390,N$1,'United Data'!$C$3:$C$3390,$A847,'United Data'!$B$3:$B$3390,"&lt;&gt;Off-street")&gt;0,1,0)</f>
        <v>1</v>
      </c>
      <c r="O847">
        <f>IF(COUNTIFS('United Data'!$A$3:$A$3390,O$1,'United Data'!$C$3:$C$3390,$A847,'United Data'!$B$3:$B$3390,"&lt;&gt;Off-street")&gt;0,1,0)</f>
        <v>0</v>
      </c>
      <c r="P847">
        <f>IF(COUNTIFS('United Data'!$A$3:$A$3390,P$1,'United Data'!$C$3:$C$3390,$A847,'United Data'!$B$3:$B$3390,"&lt;&gt;Off-street")&gt;0,1,0)</f>
        <v>0</v>
      </c>
      <c r="Q847">
        <f>IF(COUNTIFS('United Data'!$A$3:$A$3390,Q$1,'United Data'!$C$3:$C$3390,$A847,'United Data'!$B$3:$B$3390,"&lt;&gt;Off-street")&gt;0,1,0)</f>
        <v>0</v>
      </c>
      <c r="R847">
        <f>IF(COUNTIFS('United Data'!$A$3:$A$3390,R$1,'United Data'!$C$3:$C$3390,$A847,'United Data'!$B$3:$B$3390,"&lt;&gt;Off-street")&gt;0,1,0)</f>
        <v>0</v>
      </c>
      <c r="S847">
        <f t="shared" si="26"/>
        <v>1</v>
      </c>
      <c r="T847">
        <f t="shared" si="27"/>
        <v>1</v>
      </c>
    </row>
    <row r="848" spans="1:20" x14ac:dyDescent="0.2">
      <c r="A848" t="s">
        <v>1018</v>
      </c>
      <c r="B848">
        <f>IF(COUNTIFS('United Data'!$A$3:$A$3390,B$1,'United Data'!$C$3:$C$3390,$A848,'United Data'!$B$3:$B$3390,"&lt;&gt;Off-street")&gt;0,1,0)</f>
        <v>0</v>
      </c>
      <c r="C848">
        <f>IF(COUNTIFS('United Data'!$A$3:$A$3390,C$1,'United Data'!$C$3:$C$3390,$A848,'United Data'!$B$3:$B$3390,"&lt;&gt;Off-street")&gt;0,1,0)</f>
        <v>0</v>
      </c>
      <c r="D848">
        <f>IF(COUNTIFS('United Data'!$A$3:$A$3390,D$1,'United Data'!$C$3:$C$3390,$A848,'United Data'!$B$3:$B$3390,"&lt;&gt;Off-street")&gt;0,1,0)</f>
        <v>0</v>
      </c>
      <c r="E848">
        <f>IF(COUNTIFS('United Data'!$A$3:$A$3390,E$1,'United Data'!$C$3:$C$3390,$A848,'United Data'!$B$3:$B$3390,"&lt;&gt;Off-street")&gt;0,1,0)</f>
        <v>0</v>
      </c>
      <c r="F848">
        <f>IF(COUNTIFS('United Data'!$A$3:$A$3390,F$1,'United Data'!$C$3:$C$3390,$A848,'United Data'!$B$3:$B$3390,"&lt;&gt;Off-street")&gt;0,1,0)</f>
        <v>0</v>
      </c>
      <c r="G848">
        <f>IF(COUNTIFS('United Data'!$A$3:$A$3390,G$1,'United Data'!$C$3:$C$3390,$A848,'United Data'!$B$3:$B$3390,"&lt;&gt;Off-street")&gt;0,1,0)</f>
        <v>0</v>
      </c>
      <c r="H848">
        <f>IF(COUNTIFS('United Data'!$A$3:$A$3390,H$1,'United Data'!$C$3:$C$3390,$A848,'United Data'!$B$3:$B$3390,"&lt;&gt;Off-street")&gt;0,1,0)</f>
        <v>0</v>
      </c>
      <c r="I848">
        <f>IF(COUNTIFS('United Data'!$A$3:$A$3390,I$1,'United Data'!$C$3:$C$3390,$A848,'United Data'!$B$3:$B$3390,"&lt;&gt;Off-street")&gt;0,1,0)</f>
        <v>0</v>
      </c>
      <c r="J848">
        <f>IF(COUNTIFS('United Data'!$A$3:$A$3390,J$1,'United Data'!$C$3:$C$3390,$A848,'United Data'!$B$3:$B$3390,"&lt;&gt;Off-street")&gt;0,1,0)</f>
        <v>0</v>
      </c>
      <c r="K848">
        <f>IF(COUNTIFS('United Data'!$A$3:$A$3390,K$1,'United Data'!$C$3:$C$3390,$A848,'United Data'!$B$3:$B$3390,"&lt;&gt;Off-street")&gt;0,1,0)</f>
        <v>0</v>
      </c>
      <c r="L848">
        <f>IF(COUNTIFS('United Data'!$A$3:$A$3390,L$1,'United Data'!$C$3:$C$3390,$A848,'United Data'!$B$3:$B$3390,"&lt;&gt;Off-street")&gt;0,1,0)</f>
        <v>0</v>
      </c>
      <c r="M848">
        <f>IF(COUNTIFS('United Data'!$A$3:$A$3390,M$1,'United Data'!$C$3:$C$3390,$A848,'United Data'!$B$3:$B$3390,"&lt;&gt;Off-street")&gt;0,1,0)</f>
        <v>0</v>
      </c>
      <c r="N848">
        <f>IF(COUNTIFS('United Data'!$A$3:$A$3390,N$1,'United Data'!$C$3:$C$3390,$A848,'United Data'!$B$3:$B$3390,"&lt;&gt;Off-street")&gt;0,1,0)</f>
        <v>0</v>
      </c>
      <c r="O848">
        <f>IF(COUNTIFS('United Data'!$A$3:$A$3390,O$1,'United Data'!$C$3:$C$3390,$A848,'United Data'!$B$3:$B$3390,"&lt;&gt;Off-street")&gt;0,1,0)</f>
        <v>1</v>
      </c>
      <c r="P848">
        <f>IF(COUNTIFS('United Data'!$A$3:$A$3390,P$1,'United Data'!$C$3:$C$3390,$A848,'United Data'!$B$3:$B$3390,"&lt;&gt;Off-street")&gt;0,1,0)</f>
        <v>0</v>
      </c>
      <c r="Q848">
        <f>IF(COUNTIFS('United Data'!$A$3:$A$3390,Q$1,'United Data'!$C$3:$C$3390,$A848,'United Data'!$B$3:$B$3390,"&lt;&gt;Off-street")&gt;0,1,0)</f>
        <v>0</v>
      </c>
      <c r="R848">
        <f>IF(COUNTIFS('United Data'!$A$3:$A$3390,R$1,'United Data'!$C$3:$C$3390,$A848,'United Data'!$B$3:$B$3390,"&lt;&gt;Off-street")&gt;0,1,0)</f>
        <v>0</v>
      </c>
      <c r="S848">
        <f t="shared" si="26"/>
        <v>1</v>
      </c>
      <c r="T848">
        <f t="shared" si="27"/>
        <v>1</v>
      </c>
    </row>
    <row r="849" spans="1:20" x14ac:dyDescent="0.2">
      <c r="A849" t="s">
        <v>1020</v>
      </c>
      <c r="B849">
        <f>IF(COUNTIFS('United Data'!$A$3:$A$3390,B$1,'United Data'!$C$3:$C$3390,$A849,'United Data'!$B$3:$B$3390,"&lt;&gt;Off-street")&gt;0,1,0)</f>
        <v>0</v>
      </c>
      <c r="C849">
        <f>IF(COUNTIFS('United Data'!$A$3:$A$3390,C$1,'United Data'!$C$3:$C$3390,$A849,'United Data'!$B$3:$B$3390,"&lt;&gt;Off-street")&gt;0,1,0)</f>
        <v>0</v>
      </c>
      <c r="D849">
        <f>IF(COUNTIFS('United Data'!$A$3:$A$3390,D$1,'United Data'!$C$3:$C$3390,$A849,'United Data'!$B$3:$B$3390,"&lt;&gt;Off-street")&gt;0,1,0)</f>
        <v>0</v>
      </c>
      <c r="E849">
        <f>IF(COUNTIFS('United Data'!$A$3:$A$3390,E$1,'United Data'!$C$3:$C$3390,$A849,'United Data'!$B$3:$B$3390,"&lt;&gt;Off-street")&gt;0,1,0)</f>
        <v>0</v>
      </c>
      <c r="F849">
        <f>IF(COUNTIFS('United Data'!$A$3:$A$3390,F$1,'United Data'!$C$3:$C$3390,$A849,'United Data'!$B$3:$B$3390,"&lt;&gt;Off-street")&gt;0,1,0)</f>
        <v>0</v>
      </c>
      <c r="G849">
        <f>IF(COUNTIFS('United Data'!$A$3:$A$3390,G$1,'United Data'!$C$3:$C$3390,$A849,'United Data'!$B$3:$B$3390,"&lt;&gt;Off-street")&gt;0,1,0)</f>
        <v>0</v>
      </c>
      <c r="H849">
        <f>IF(COUNTIFS('United Data'!$A$3:$A$3390,H$1,'United Data'!$C$3:$C$3390,$A849,'United Data'!$B$3:$B$3390,"&lt;&gt;Off-street")&gt;0,1,0)</f>
        <v>0</v>
      </c>
      <c r="I849">
        <f>IF(COUNTIFS('United Data'!$A$3:$A$3390,I$1,'United Data'!$C$3:$C$3390,$A849,'United Data'!$B$3:$B$3390,"&lt;&gt;Off-street")&gt;0,1,0)</f>
        <v>0</v>
      </c>
      <c r="J849">
        <f>IF(COUNTIFS('United Data'!$A$3:$A$3390,J$1,'United Data'!$C$3:$C$3390,$A849,'United Data'!$B$3:$B$3390,"&lt;&gt;Off-street")&gt;0,1,0)</f>
        <v>0</v>
      </c>
      <c r="K849">
        <f>IF(COUNTIFS('United Data'!$A$3:$A$3390,K$1,'United Data'!$C$3:$C$3390,$A849,'United Data'!$B$3:$B$3390,"&lt;&gt;Off-street")&gt;0,1,0)</f>
        <v>0</v>
      </c>
      <c r="L849">
        <f>IF(COUNTIFS('United Data'!$A$3:$A$3390,L$1,'United Data'!$C$3:$C$3390,$A849,'United Data'!$B$3:$B$3390,"&lt;&gt;Off-street")&gt;0,1,0)</f>
        <v>0</v>
      </c>
      <c r="M849">
        <f>IF(COUNTIFS('United Data'!$A$3:$A$3390,M$1,'United Data'!$C$3:$C$3390,$A849,'United Data'!$B$3:$B$3390,"&lt;&gt;Off-street")&gt;0,1,0)</f>
        <v>0</v>
      </c>
      <c r="N849">
        <f>IF(COUNTIFS('United Data'!$A$3:$A$3390,N$1,'United Data'!$C$3:$C$3390,$A849,'United Data'!$B$3:$B$3390,"&lt;&gt;Off-street")&gt;0,1,0)</f>
        <v>0</v>
      </c>
      <c r="O849">
        <f>IF(COUNTIFS('United Data'!$A$3:$A$3390,O$1,'United Data'!$C$3:$C$3390,$A849,'United Data'!$B$3:$B$3390,"&lt;&gt;Off-street")&gt;0,1,0)</f>
        <v>0</v>
      </c>
      <c r="P849">
        <f>IF(COUNTIFS('United Data'!$A$3:$A$3390,P$1,'United Data'!$C$3:$C$3390,$A849,'United Data'!$B$3:$B$3390,"&lt;&gt;Off-street")&gt;0,1,0)</f>
        <v>1</v>
      </c>
      <c r="Q849">
        <f>IF(COUNTIFS('United Data'!$A$3:$A$3390,Q$1,'United Data'!$C$3:$C$3390,$A849,'United Data'!$B$3:$B$3390,"&lt;&gt;Off-street")&gt;0,1,0)</f>
        <v>0</v>
      </c>
      <c r="R849">
        <f>IF(COUNTIFS('United Data'!$A$3:$A$3390,R$1,'United Data'!$C$3:$C$3390,$A849,'United Data'!$B$3:$B$3390,"&lt;&gt;Off-street")&gt;0,1,0)</f>
        <v>0</v>
      </c>
      <c r="S849">
        <f t="shared" si="26"/>
        <v>1</v>
      </c>
      <c r="T849">
        <f t="shared" si="27"/>
        <v>1</v>
      </c>
    </row>
    <row r="850" spans="1:20" x14ac:dyDescent="0.2">
      <c r="A850" t="s">
        <v>1021</v>
      </c>
      <c r="B850">
        <f>IF(COUNTIFS('United Data'!$A$3:$A$3390,B$1,'United Data'!$C$3:$C$3390,$A850,'United Data'!$B$3:$B$3390,"&lt;&gt;Off-street")&gt;0,1,0)</f>
        <v>0</v>
      </c>
      <c r="C850">
        <f>IF(COUNTIFS('United Data'!$A$3:$A$3390,C$1,'United Data'!$C$3:$C$3390,$A850,'United Data'!$B$3:$B$3390,"&lt;&gt;Off-street")&gt;0,1,0)</f>
        <v>0</v>
      </c>
      <c r="D850">
        <f>IF(COUNTIFS('United Data'!$A$3:$A$3390,D$1,'United Data'!$C$3:$C$3390,$A850,'United Data'!$B$3:$B$3390,"&lt;&gt;Off-street")&gt;0,1,0)</f>
        <v>0</v>
      </c>
      <c r="E850">
        <f>IF(COUNTIFS('United Data'!$A$3:$A$3390,E$1,'United Data'!$C$3:$C$3390,$A850,'United Data'!$B$3:$B$3390,"&lt;&gt;Off-street")&gt;0,1,0)</f>
        <v>0</v>
      </c>
      <c r="F850">
        <f>IF(COUNTIFS('United Data'!$A$3:$A$3390,F$1,'United Data'!$C$3:$C$3390,$A850,'United Data'!$B$3:$B$3390,"&lt;&gt;Off-street")&gt;0,1,0)</f>
        <v>0</v>
      </c>
      <c r="G850">
        <f>IF(COUNTIFS('United Data'!$A$3:$A$3390,G$1,'United Data'!$C$3:$C$3390,$A850,'United Data'!$B$3:$B$3390,"&lt;&gt;Off-street")&gt;0,1,0)</f>
        <v>0</v>
      </c>
      <c r="H850">
        <f>IF(COUNTIFS('United Data'!$A$3:$A$3390,H$1,'United Data'!$C$3:$C$3390,$A850,'United Data'!$B$3:$B$3390,"&lt;&gt;Off-street")&gt;0,1,0)</f>
        <v>0</v>
      </c>
      <c r="I850">
        <f>IF(COUNTIFS('United Data'!$A$3:$A$3390,I$1,'United Data'!$C$3:$C$3390,$A850,'United Data'!$B$3:$B$3390,"&lt;&gt;Off-street")&gt;0,1,0)</f>
        <v>0</v>
      </c>
      <c r="J850">
        <f>IF(COUNTIFS('United Data'!$A$3:$A$3390,J$1,'United Data'!$C$3:$C$3390,$A850,'United Data'!$B$3:$B$3390,"&lt;&gt;Off-street")&gt;0,1,0)</f>
        <v>0</v>
      </c>
      <c r="K850">
        <f>IF(COUNTIFS('United Data'!$A$3:$A$3390,K$1,'United Data'!$C$3:$C$3390,$A850,'United Data'!$B$3:$B$3390,"&lt;&gt;Off-street")&gt;0,1,0)</f>
        <v>0</v>
      </c>
      <c r="L850">
        <f>IF(COUNTIFS('United Data'!$A$3:$A$3390,L$1,'United Data'!$C$3:$C$3390,$A850,'United Data'!$B$3:$B$3390,"&lt;&gt;Off-street")&gt;0,1,0)</f>
        <v>0</v>
      </c>
      <c r="M850">
        <f>IF(COUNTIFS('United Data'!$A$3:$A$3390,M$1,'United Data'!$C$3:$C$3390,$A850,'United Data'!$B$3:$B$3390,"&lt;&gt;Off-street")&gt;0,1,0)</f>
        <v>0</v>
      </c>
      <c r="N850">
        <f>IF(COUNTIFS('United Data'!$A$3:$A$3390,N$1,'United Data'!$C$3:$C$3390,$A850,'United Data'!$B$3:$B$3390,"&lt;&gt;Off-street")&gt;0,1,0)</f>
        <v>0</v>
      </c>
      <c r="O850">
        <f>IF(COUNTIFS('United Data'!$A$3:$A$3390,O$1,'United Data'!$C$3:$C$3390,$A850,'United Data'!$B$3:$B$3390,"&lt;&gt;Off-street")&gt;0,1,0)</f>
        <v>0</v>
      </c>
      <c r="P850">
        <f>IF(COUNTIFS('United Data'!$A$3:$A$3390,P$1,'United Data'!$C$3:$C$3390,$A850,'United Data'!$B$3:$B$3390,"&lt;&gt;Off-street")&gt;0,1,0)</f>
        <v>1</v>
      </c>
      <c r="Q850">
        <f>IF(COUNTIFS('United Data'!$A$3:$A$3390,Q$1,'United Data'!$C$3:$C$3390,$A850,'United Data'!$B$3:$B$3390,"&lt;&gt;Off-street")&gt;0,1,0)</f>
        <v>0</v>
      </c>
      <c r="R850">
        <f>IF(COUNTIFS('United Data'!$A$3:$A$3390,R$1,'United Data'!$C$3:$C$3390,$A850,'United Data'!$B$3:$B$3390,"&lt;&gt;Off-street")&gt;0,1,0)</f>
        <v>0</v>
      </c>
      <c r="S850">
        <f t="shared" si="26"/>
        <v>1</v>
      </c>
      <c r="T850">
        <f t="shared" si="27"/>
        <v>1</v>
      </c>
    </row>
    <row r="851" spans="1:20" x14ac:dyDescent="0.2">
      <c r="A851" t="s">
        <v>1022</v>
      </c>
      <c r="B851">
        <f>IF(COUNTIFS('United Data'!$A$3:$A$3390,B$1,'United Data'!$C$3:$C$3390,$A851,'United Data'!$B$3:$B$3390,"&lt;&gt;Off-street")&gt;0,1,0)</f>
        <v>0</v>
      </c>
      <c r="C851">
        <f>IF(COUNTIFS('United Data'!$A$3:$A$3390,C$1,'United Data'!$C$3:$C$3390,$A851,'United Data'!$B$3:$B$3390,"&lt;&gt;Off-street")&gt;0,1,0)</f>
        <v>0</v>
      </c>
      <c r="D851">
        <f>IF(COUNTIFS('United Data'!$A$3:$A$3390,D$1,'United Data'!$C$3:$C$3390,$A851,'United Data'!$B$3:$B$3390,"&lt;&gt;Off-street")&gt;0,1,0)</f>
        <v>0</v>
      </c>
      <c r="E851">
        <f>IF(COUNTIFS('United Data'!$A$3:$A$3390,E$1,'United Data'!$C$3:$C$3390,$A851,'United Data'!$B$3:$B$3390,"&lt;&gt;Off-street")&gt;0,1,0)</f>
        <v>0</v>
      </c>
      <c r="F851">
        <f>IF(COUNTIFS('United Data'!$A$3:$A$3390,F$1,'United Data'!$C$3:$C$3390,$A851,'United Data'!$B$3:$B$3390,"&lt;&gt;Off-street")&gt;0,1,0)</f>
        <v>0</v>
      </c>
      <c r="G851">
        <f>IF(COUNTIFS('United Data'!$A$3:$A$3390,G$1,'United Data'!$C$3:$C$3390,$A851,'United Data'!$B$3:$B$3390,"&lt;&gt;Off-street")&gt;0,1,0)</f>
        <v>0</v>
      </c>
      <c r="H851">
        <f>IF(COUNTIFS('United Data'!$A$3:$A$3390,H$1,'United Data'!$C$3:$C$3390,$A851,'United Data'!$B$3:$B$3390,"&lt;&gt;Off-street")&gt;0,1,0)</f>
        <v>0</v>
      </c>
      <c r="I851">
        <f>IF(COUNTIFS('United Data'!$A$3:$A$3390,I$1,'United Data'!$C$3:$C$3390,$A851,'United Data'!$B$3:$B$3390,"&lt;&gt;Off-street")&gt;0,1,0)</f>
        <v>0</v>
      </c>
      <c r="J851">
        <f>IF(COUNTIFS('United Data'!$A$3:$A$3390,J$1,'United Data'!$C$3:$C$3390,$A851,'United Data'!$B$3:$B$3390,"&lt;&gt;Off-street")&gt;0,1,0)</f>
        <v>0</v>
      </c>
      <c r="K851">
        <f>IF(COUNTIFS('United Data'!$A$3:$A$3390,K$1,'United Data'!$C$3:$C$3390,$A851,'United Data'!$B$3:$B$3390,"&lt;&gt;Off-street")&gt;0,1,0)</f>
        <v>0</v>
      </c>
      <c r="L851">
        <f>IF(COUNTIFS('United Data'!$A$3:$A$3390,L$1,'United Data'!$C$3:$C$3390,$A851,'United Data'!$B$3:$B$3390,"&lt;&gt;Off-street")&gt;0,1,0)</f>
        <v>0</v>
      </c>
      <c r="M851">
        <f>IF(COUNTIFS('United Data'!$A$3:$A$3390,M$1,'United Data'!$C$3:$C$3390,$A851,'United Data'!$B$3:$B$3390,"&lt;&gt;Off-street")&gt;0,1,0)</f>
        <v>0</v>
      </c>
      <c r="N851">
        <f>IF(COUNTIFS('United Data'!$A$3:$A$3390,N$1,'United Data'!$C$3:$C$3390,$A851,'United Data'!$B$3:$B$3390,"&lt;&gt;Off-street")&gt;0,1,0)</f>
        <v>0</v>
      </c>
      <c r="O851">
        <f>IF(COUNTIFS('United Data'!$A$3:$A$3390,O$1,'United Data'!$C$3:$C$3390,$A851,'United Data'!$B$3:$B$3390,"&lt;&gt;Off-street")&gt;0,1,0)</f>
        <v>0</v>
      </c>
      <c r="P851">
        <f>IF(COUNTIFS('United Data'!$A$3:$A$3390,P$1,'United Data'!$C$3:$C$3390,$A851,'United Data'!$B$3:$B$3390,"&lt;&gt;Off-street")&gt;0,1,0)</f>
        <v>1</v>
      </c>
      <c r="Q851">
        <f>IF(COUNTIFS('United Data'!$A$3:$A$3390,Q$1,'United Data'!$C$3:$C$3390,$A851,'United Data'!$B$3:$B$3390,"&lt;&gt;Off-street")&gt;0,1,0)</f>
        <v>0</v>
      </c>
      <c r="R851">
        <f>IF(COUNTIFS('United Data'!$A$3:$A$3390,R$1,'United Data'!$C$3:$C$3390,$A851,'United Data'!$B$3:$B$3390,"&lt;&gt;Off-street")&gt;0,1,0)</f>
        <v>0</v>
      </c>
      <c r="S851">
        <f t="shared" si="26"/>
        <v>1</v>
      </c>
      <c r="T851">
        <f t="shared" si="27"/>
        <v>1</v>
      </c>
    </row>
    <row r="852" spans="1:20" x14ac:dyDescent="0.2">
      <c r="A852" t="s">
        <v>1023</v>
      </c>
      <c r="B852">
        <f>IF(COUNTIFS('United Data'!$A$3:$A$3390,B$1,'United Data'!$C$3:$C$3390,$A852,'United Data'!$B$3:$B$3390,"&lt;&gt;Off-street")&gt;0,1,0)</f>
        <v>0</v>
      </c>
      <c r="C852">
        <f>IF(COUNTIFS('United Data'!$A$3:$A$3390,C$1,'United Data'!$C$3:$C$3390,$A852,'United Data'!$B$3:$B$3390,"&lt;&gt;Off-street")&gt;0,1,0)</f>
        <v>0</v>
      </c>
      <c r="D852">
        <f>IF(COUNTIFS('United Data'!$A$3:$A$3390,D$1,'United Data'!$C$3:$C$3390,$A852,'United Data'!$B$3:$B$3390,"&lt;&gt;Off-street")&gt;0,1,0)</f>
        <v>0</v>
      </c>
      <c r="E852">
        <f>IF(COUNTIFS('United Data'!$A$3:$A$3390,E$1,'United Data'!$C$3:$C$3390,$A852,'United Data'!$B$3:$B$3390,"&lt;&gt;Off-street")&gt;0,1,0)</f>
        <v>0</v>
      </c>
      <c r="F852">
        <f>IF(COUNTIFS('United Data'!$A$3:$A$3390,F$1,'United Data'!$C$3:$C$3390,$A852,'United Data'!$B$3:$B$3390,"&lt;&gt;Off-street")&gt;0,1,0)</f>
        <v>0</v>
      </c>
      <c r="G852">
        <f>IF(COUNTIFS('United Data'!$A$3:$A$3390,G$1,'United Data'!$C$3:$C$3390,$A852,'United Data'!$B$3:$B$3390,"&lt;&gt;Off-street")&gt;0,1,0)</f>
        <v>0</v>
      </c>
      <c r="H852">
        <f>IF(COUNTIFS('United Data'!$A$3:$A$3390,H$1,'United Data'!$C$3:$C$3390,$A852,'United Data'!$B$3:$B$3390,"&lt;&gt;Off-street")&gt;0,1,0)</f>
        <v>0</v>
      </c>
      <c r="I852">
        <f>IF(COUNTIFS('United Data'!$A$3:$A$3390,I$1,'United Data'!$C$3:$C$3390,$A852,'United Data'!$B$3:$B$3390,"&lt;&gt;Off-street")&gt;0,1,0)</f>
        <v>0</v>
      </c>
      <c r="J852">
        <f>IF(COUNTIFS('United Data'!$A$3:$A$3390,J$1,'United Data'!$C$3:$C$3390,$A852,'United Data'!$B$3:$B$3390,"&lt;&gt;Off-street")&gt;0,1,0)</f>
        <v>0</v>
      </c>
      <c r="K852">
        <f>IF(COUNTIFS('United Data'!$A$3:$A$3390,K$1,'United Data'!$C$3:$C$3390,$A852,'United Data'!$B$3:$B$3390,"&lt;&gt;Off-street")&gt;0,1,0)</f>
        <v>0</v>
      </c>
      <c r="L852">
        <f>IF(COUNTIFS('United Data'!$A$3:$A$3390,L$1,'United Data'!$C$3:$C$3390,$A852,'United Data'!$B$3:$B$3390,"&lt;&gt;Off-street")&gt;0,1,0)</f>
        <v>0</v>
      </c>
      <c r="M852">
        <f>IF(COUNTIFS('United Data'!$A$3:$A$3390,M$1,'United Data'!$C$3:$C$3390,$A852,'United Data'!$B$3:$B$3390,"&lt;&gt;Off-street")&gt;0,1,0)</f>
        <v>0</v>
      </c>
      <c r="N852">
        <f>IF(COUNTIFS('United Data'!$A$3:$A$3390,N$1,'United Data'!$C$3:$C$3390,$A852,'United Data'!$B$3:$B$3390,"&lt;&gt;Off-street")&gt;0,1,0)</f>
        <v>0</v>
      </c>
      <c r="O852">
        <f>IF(COUNTIFS('United Data'!$A$3:$A$3390,O$1,'United Data'!$C$3:$C$3390,$A852,'United Data'!$B$3:$B$3390,"&lt;&gt;Off-street")&gt;0,1,0)</f>
        <v>0</v>
      </c>
      <c r="P852">
        <f>IF(COUNTIFS('United Data'!$A$3:$A$3390,P$1,'United Data'!$C$3:$C$3390,$A852,'United Data'!$B$3:$B$3390,"&lt;&gt;Off-street")&gt;0,1,0)</f>
        <v>1</v>
      </c>
      <c r="Q852">
        <f>IF(COUNTIFS('United Data'!$A$3:$A$3390,Q$1,'United Data'!$C$3:$C$3390,$A852,'United Data'!$B$3:$B$3390,"&lt;&gt;Off-street")&gt;0,1,0)</f>
        <v>0</v>
      </c>
      <c r="R852">
        <f>IF(COUNTIFS('United Data'!$A$3:$A$3390,R$1,'United Data'!$C$3:$C$3390,$A852,'United Data'!$B$3:$B$3390,"&lt;&gt;Off-street")&gt;0,1,0)</f>
        <v>0</v>
      </c>
      <c r="S852">
        <f t="shared" si="26"/>
        <v>1</v>
      </c>
      <c r="T852">
        <f t="shared" si="27"/>
        <v>1</v>
      </c>
    </row>
    <row r="853" spans="1:20" x14ac:dyDescent="0.2">
      <c r="A853" t="s">
        <v>1024</v>
      </c>
      <c r="B853">
        <f>IF(COUNTIFS('United Data'!$A$3:$A$3390,B$1,'United Data'!$C$3:$C$3390,$A853,'United Data'!$B$3:$B$3390,"&lt;&gt;Off-street")&gt;0,1,0)</f>
        <v>0</v>
      </c>
      <c r="C853">
        <f>IF(COUNTIFS('United Data'!$A$3:$A$3390,C$1,'United Data'!$C$3:$C$3390,$A853,'United Data'!$B$3:$B$3390,"&lt;&gt;Off-street")&gt;0,1,0)</f>
        <v>0</v>
      </c>
      <c r="D853">
        <f>IF(COUNTIFS('United Data'!$A$3:$A$3390,D$1,'United Data'!$C$3:$C$3390,$A853,'United Data'!$B$3:$B$3390,"&lt;&gt;Off-street")&gt;0,1,0)</f>
        <v>0</v>
      </c>
      <c r="E853">
        <f>IF(COUNTIFS('United Data'!$A$3:$A$3390,E$1,'United Data'!$C$3:$C$3390,$A853,'United Data'!$B$3:$B$3390,"&lt;&gt;Off-street")&gt;0,1,0)</f>
        <v>0</v>
      </c>
      <c r="F853">
        <f>IF(COUNTIFS('United Data'!$A$3:$A$3390,F$1,'United Data'!$C$3:$C$3390,$A853,'United Data'!$B$3:$B$3390,"&lt;&gt;Off-street")&gt;0,1,0)</f>
        <v>0</v>
      </c>
      <c r="G853">
        <f>IF(COUNTIFS('United Data'!$A$3:$A$3390,G$1,'United Data'!$C$3:$C$3390,$A853,'United Data'!$B$3:$B$3390,"&lt;&gt;Off-street")&gt;0,1,0)</f>
        <v>0</v>
      </c>
      <c r="H853">
        <f>IF(COUNTIFS('United Data'!$A$3:$A$3390,H$1,'United Data'!$C$3:$C$3390,$A853,'United Data'!$B$3:$B$3390,"&lt;&gt;Off-street")&gt;0,1,0)</f>
        <v>0</v>
      </c>
      <c r="I853">
        <f>IF(COUNTIFS('United Data'!$A$3:$A$3390,I$1,'United Data'!$C$3:$C$3390,$A853,'United Data'!$B$3:$B$3390,"&lt;&gt;Off-street")&gt;0,1,0)</f>
        <v>0</v>
      </c>
      <c r="J853">
        <f>IF(COUNTIFS('United Data'!$A$3:$A$3390,J$1,'United Data'!$C$3:$C$3390,$A853,'United Data'!$B$3:$B$3390,"&lt;&gt;Off-street")&gt;0,1,0)</f>
        <v>0</v>
      </c>
      <c r="K853">
        <f>IF(COUNTIFS('United Data'!$A$3:$A$3390,K$1,'United Data'!$C$3:$C$3390,$A853,'United Data'!$B$3:$B$3390,"&lt;&gt;Off-street")&gt;0,1,0)</f>
        <v>0</v>
      </c>
      <c r="L853">
        <f>IF(COUNTIFS('United Data'!$A$3:$A$3390,L$1,'United Data'!$C$3:$C$3390,$A853,'United Data'!$B$3:$B$3390,"&lt;&gt;Off-street")&gt;0,1,0)</f>
        <v>0</v>
      </c>
      <c r="M853">
        <f>IF(COUNTIFS('United Data'!$A$3:$A$3390,M$1,'United Data'!$C$3:$C$3390,$A853,'United Data'!$B$3:$B$3390,"&lt;&gt;Off-street")&gt;0,1,0)</f>
        <v>0</v>
      </c>
      <c r="N853">
        <f>IF(COUNTIFS('United Data'!$A$3:$A$3390,N$1,'United Data'!$C$3:$C$3390,$A853,'United Data'!$B$3:$B$3390,"&lt;&gt;Off-street")&gt;0,1,0)</f>
        <v>0</v>
      </c>
      <c r="O853">
        <f>IF(COUNTIFS('United Data'!$A$3:$A$3390,O$1,'United Data'!$C$3:$C$3390,$A853,'United Data'!$B$3:$B$3390,"&lt;&gt;Off-street")&gt;0,1,0)</f>
        <v>0</v>
      </c>
      <c r="P853">
        <f>IF(COUNTIFS('United Data'!$A$3:$A$3390,P$1,'United Data'!$C$3:$C$3390,$A853,'United Data'!$B$3:$B$3390,"&lt;&gt;Off-street")&gt;0,1,0)</f>
        <v>1</v>
      </c>
      <c r="Q853">
        <f>IF(COUNTIFS('United Data'!$A$3:$A$3390,Q$1,'United Data'!$C$3:$C$3390,$A853,'United Data'!$B$3:$B$3390,"&lt;&gt;Off-street")&gt;0,1,0)</f>
        <v>0</v>
      </c>
      <c r="R853">
        <f>IF(COUNTIFS('United Data'!$A$3:$A$3390,R$1,'United Data'!$C$3:$C$3390,$A853,'United Data'!$B$3:$B$3390,"&lt;&gt;Off-street")&gt;0,1,0)</f>
        <v>0</v>
      </c>
      <c r="S853">
        <f t="shared" si="26"/>
        <v>1</v>
      </c>
      <c r="T853">
        <f t="shared" si="27"/>
        <v>1</v>
      </c>
    </row>
    <row r="854" spans="1:20" x14ac:dyDescent="0.2">
      <c r="A854" t="s">
        <v>1025</v>
      </c>
      <c r="B854">
        <f>IF(COUNTIFS('United Data'!$A$3:$A$3390,B$1,'United Data'!$C$3:$C$3390,$A854,'United Data'!$B$3:$B$3390,"&lt;&gt;Off-street")&gt;0,1,0)</f>
        <v>0</v>
      </c>
      <c r="C854">
        <f>IF(COUNTIFS('United Data'!$A$3:$A$3390,C$1,'United Data'!$C$3:$C$3390,$A854,'United Data'!$B$3:$B$3390,"&lt;&gt;Off-street")&gt;0,1,0)</f>
        <v>0</v>
      </c>
      <c r="D854">
        <f>IF(COUNTIFS('United Data'!$A$3:$A$3390,D$1,'United Data'!$C$3:$C$3390,$A854,'United Data'!$B$3:$B$3390,"&lt;&gt;Off-street")&gt;0,1,0)</f>
        <v>0</v>
      </c>
      <c r="E854">
        <f>IF(COUNTIFS('United Data'!$A$3:$A$3390,E$1,'United Data'!$C$3:$C$3390,$A854,'United Data'!$B$3:$B$3390,"&lt;&gt;Off-street")&gt;0,1,0)</f>
        <v>0</v>
      </c>
      <c r="F854">
        <f>IF(COUNTIFS('United Data'!$A$3:$A$3390,F$1,'United Data'!$C$3:$C$3390,$A854,'United Data'!$B$3:$B$3390,"&lt;&gt;Off-street")&gt;0,1,0)</f>
        <v>0</v>
      </c>
      <c r="G854">
        <f>IF(COUNTIFS('United Data'!$A$3:$A$3390,G$1,'United Data'!$C$3:$C$3390,$A854,'United Data'!$B$3:$B$3390,"&lt;&gt;Off-street")&gt;0,1,0)</f>
        <v>0</v>
      </c>
      <c r="H854">
        <f>IF(COUNTIFS('United Data'!$A$3:$A$3390,H$1,'United Data'!$C$3:$C$3390,$A854,'United Data'!$B$3:$B$3390,"&lt;&gt;Off-street")&gt;0,1,0)</f>
        <v>0</v>
      </c>
      <c r="I854">
        <f>IF(COUNTIFS('United Data'!$A$3:$A$3390,I$1,'United Data'!$C$3:$C$3390,$A854,'United Data'!$B$3:$B$3390,"&lt;&gt;Off-street")&gt;0,1,0)</f>
        <v>0</v>
      </c>
      <c r="J854">
        <f>IF(COUNTIFS('United Data'!$A$3:$A$3390,J$1,'United Data'!$C$3:$C$3390,$A854,'United Data'!$B$3:$B$3390,"&lt;&gt;Off-street")&gt;0,1,0)</f>
        <v>0</v>
      </c>
      <c r="K854">
        <f>IF(COUNTIFS('United Data'!$A$3:$A$3390,K$1,'United Data'!$C$3:$C$3390,$A854,'United Data'!$B$3:$B$3390,"&lt;&gt;Off-street")&gt;0,1,0)</f>
        <v>0</v>
      </c>
      <c r="L854">
        <f>IF(COUNTIFS('United Data'!$A$3:$A$3390,L$1,'United Data'!$C$3:$C$3390,$A854,'United Data'!$B$3:$B$3390,"&lt;&gt;Off-street")&gt;0,1,0)</f>
        <v>0</v>
      </c>
      <c r="M854">
        <f>IF(COUNTIFS('United Data'!$A$3:$A$3390,M$1,'United Data'!$C$3:$C$3390,$A854,'United Data'!$B$3:$B$3390,"&lt;&gt;Off-street")&gt;0,1,0)</f>
        <v>0</v>
      </c>
      <c r="N854">
        <f>IF(COUNTIFS('United Data'!$A$3:$A$3390,N$1,'United Data'!$C$3:$C$3390,$A854,'United Data'!$B$3:$B$3390,"&lt;&gt;Off-street")&gt;0,1,0)</f>
        <v>0</v>
      </c>
      <c r="O854">
        <f>IF(COUNTIFS('United Data'!$A$3:$A$3390,O$1,'United Data'!$C$3:$C$3390,$A854,'United Data'!$B$3:$B$3390,"&lt;&gt;Off-street")&gt;0,1,0)</f>
        <v>0</v>
      </c>
      <c r="P854">
        <f>IF(COUNTIFS('United Data'!$A$3:$A$3390,P$1,'United Data'!$C$3:$C$3390,$A854,'United Data'!$B$3:$B$3390,"&lt;&gt;Off-street")&gt;0,1,0)</f>
        <v>1</v>
      </c>
      <c r="Q854">
        <f>IF(COUNTIFS('United Data'!$A$3:$A$3390,Q$1,'United Data'!$C$3:$C$3390,$A854,'United Data'!$B$3:$B$3390,"&lt;&gt;Off-street")&gt;0,1,0)</f>
        <v>0</v>
      </c>
      <c r="R854">
        <f>IF(COUNTIFS('United Data'!$A$3:$A$3390,R$1,'United Data'!$C$3:$C$3390,$A854,'United Data'!$B$3:$B$3390,"&lt;&gt;Off-street")&gt;0,1,0)</f>
        <v>0</v>
      </c>
      <c r="S854">
        <f t="shared" si="26"/>
        <v>1</v>
      </c>
      <c r="T854">
        <f t="shared" si="27"/>
        <v>1</v>
      </c>
    </row>
    <row r="855" spans="1:20" x14ac:dyDescent="0.2">
      <c r="A855" t="s">
        <v>1026</v>
      </c>
      <c r="B855">
        <f>IF(COUNTIFS('United Data'!$A$3:$A$3390,B$1,'United Data'!$C$3:$C$3390,$A855,'United Data'!$B$3:$B$3390,"&lt;&gt;Off-street")&gt;0,1,0)</f>
        <v>0</v>
      </c>
      <c r="C855">
        <f>IF(COUNTIFS('United Data'!$A$3:$A$3390,C$1,'United Data'!$C$3:$C$3390,$A855,'United Data'!$B$3:$B$3390,"&lt;&gt;Off-street")&gt;0,1,0)</f>
        <v>0</v>
      </c>
      <c r="D855">
        <f>IF(COUNTIFS('United Data'!$A$3:$A$3390,D$1,'United Data'!$C$3:$C$3390,$A855,'United Data'!$B$3:$B$3390,"&lt;&gt;Off-street")&gt;0,1,0)</f>
        <v>0</v>
      </c>
      <c r="E855">
        <f>IF(COUNTIFS('United Data'!$A$3:$A$3390,E$1,'United Data'!$C$3:$C$3390,$A855,'United Data'!$B$3:$B$3390,"&lt;&gt;Off-street")&gt;0,1,0)</f>
        <v>0</v>
      </c>
      <c r="F855">
        <f>IF(COUNTIFS('United Data'!$A$3:$A$3390,F$1,'United Data'!$C$3:$C$3390,$A855,'United Data'!$B$3:$B$3390,"&lt;&gt;Off-street")&gt;0,1,0)</f>
        <v>0</v>
      </c>
      <c r="G855">
        <f>IF(COUNTIFS('United Data'!$A$3:$A$3390,G$1,'United Data'!$C$3:$C$3390,$A855,'United Data'!$B$3:$B$3390,"&lt;&gt;Off-street")&gt;0,1,0)</f>
        <v>0</v>
      </c>
      <c r="H855">
        <f>IF(COUNTIFS('United Data'!$A$3:$A$3390,H$1,'United Data'!$C$3:$C$3390,$A855,'United Data'!$B$3:$B$3390,"&lt;&gt;Off-street")&gt;0,1,0)</f>
        <v>0</v>
      </c>
      <c r="I855">
        <f>IF(COUNTIFS('United Data'!$A$3:$A$3390,I$1,'United Data'!$C$3:$C$3390,$A855,'United Data'!$B$3:$B$3390,"&lt;&gt;Off-street")&gt;0,1,0)</f>
        <v>0</v>
      </c>
      <c r="J855">
        <f>IF(COUNTIFS('United Data'!$A$3:$A$3390,J$1,'United Data'!$C$3:$C$3390,$A855,'United Data'!$B$3:$B$3390,"&lt;&gt;Off-street")&gt;0,1,0)</f>
        <v>0</v>
      </c>
      <c r="K855">
        <f>IF(COUNTIFS('United Data'!$A$3:$A$3390,K$1,'United Data'!$C$3:$C$3390,$A855,'United Data'!$B$3:$B$3390,"&lt;&gt;Off-street")&gt;0,1,0)</f>
        <v>0</v>
      </c>
      <c r="L855">
        <f>IF(COUNTIFS('United Data'!$A$3:$A$3390,L$1,'United Data'!$C$3:$C$3390,$A855,'United Data'!$B$3:$B$3390,"&lt;&gt;Off-street")&gt;0,1,0)</f>
        <v>0</v>
      </c>
      <c r="M855">
        <f>IF(COUNTIFS('United Data'!$A$3:$A$3390,M$1,'United Data'!$C$3:$C$3390,$A855,'United Data'!$B$3:$B$3390,"&lt;&gt;Off-street")&gt;0,1,0)</f>
        <v>0</v>
      </c>
      <c r="N855">
        <f>IF(COUNTIFS('United Data'!$A$3:$A$3390,N$1,'United Data'!$C$3:$C$3390,$A855,'United Data'!$B$3:$B$3390,"&lt;&gt;Off-street")&gt;0,1,0)</f>
        <v>0</v>
      </c>
      <c r="O855">
        <f>IF(COUNTIFS('United Data'!$A$3:$A$3390,O$1,'United Data'!$C$3:$C$3390,$A855,'United Data'!$B$3:$B$3390,"&lt;&gt;Off-street")&gt;0,1,0)</f>
        <v>0</v>
      </c>
      <c r="P855">
        <f>IF(COUNTIFS('United Data'!$A$3:$A$3390,P$1,'United Data'!$C$3:$C$3390,$A855,'United Data'!$B$3:$B$3390,"&lt;&gt;Off-street")&gt;0,1,0)</f>
        <v>1</v>
      </c>
      <c r="Q855">
        <f>IF(COUNTIFS('United Data'!$A$3:$A$3390,Q$1,'United Data'!$C$3:$C$3390,$A855,'United Data'!$B$3:$B$3390,"&lt;&gt;Off-street")&gt;0,1,0)</f>
        <v>0</v>
      </c>
      <c r="R855">
        <f>IF(COUNTIFS('United Data'!$A$3:$A$3390,R$1,'United Data'!$C$3:$C$3390,$A855,'United Data'!$B$3:$B$3390,"&lt;&gt;Off-street")&gt;0,1,0)</f>
        <v>0</v>
      </c>
      <c r="S855">
        <f t="shared" si="26"/>
        <v>1</v>
      </c>
      <c r="T855">
        <f t="shared" si="27"/>
        <v>1</v>
      </c>
    </row>
    <row r="856" spans="1:20" x14ac:dyDescent="0.2">
      <c r="A856" t="s">
        <v>1027</v>
      </c>
      <c r="B856">
        <f>IF(COUNTIFS('United Data'!$A$3:$A$3390,B$1,'United Data'!$C$3:$C$3390,$A856,'United Data'!$B$3:$B$3390,"&lt;&gt;Off-street")&gt;0,1,0)</f>
        <v>0</v>
      </c>
      <c r="C856">
        <f>IF(COUNTIFS('United Data'!$A$3:$A$3390,C$1,'United Data'!$C$3:$C$3390,$A856,'United Data'!$B$3:$B$3390,"&lt;&gt;Off-street")&gt;0,1,0)</f>
        <v>0</v>
      </c>
      <c r="D856">
        <f>IF(COUNTIFS('United Data'!$A$3:$A$3390,D$1,'United Data'!$C$3:$C$3390,$A856,'United Data'!$B$3:$B$3390,"&lt;&gt;Off-street")&gt;0,1,0)</f>
        <v>0</v>
      </c>
      <c r="E856">
        <f>IF(COUNTIFS('United Data'!$A$3:$A$3390,E$1,'United Data'!$C$3:$C$3390,$A856,'United Data'!$B$3:$B$3390,"&lt;&gt;Off-street")&gt;0,1,0)</f>
        <v>0</v>
      </c>
      <c r="F856">
        <f>IF(COUNTIFS('United Data'!$A$3:$A$3390,F$1,'United Data'!$C$3:$C$3390,$A856,'United Data'!$B$3:$B$3390,"&lt;&gt;Off-street")&gt;0,1,0)</f>
        <v>0</v>
      </c>
      <c r="G856">
        <f>IF(COUNTIFS('United Data'!$A$3:$A$3390,G$1,'United Data'!$C$3:$C$3390,$A856,'United Data'!$B$3:$B$3390,"&lt;&gt;Off-street")&gt;0,1,0)</f>
        <v>0</v>
      </c>
      <c r="H856">
        <f>IF(COUNTIFS('United Data'!$A$3:$A$3390,H$1,'United Data'!$C$3:$C$3390,$A856,'United Data'!$B$3:$B$3390,"&lt;&gt;Off-street")&gt;0,1,0)</f>
        <v>0</v>
      </c>
      <c r="I856">
        <f>IF(COUNTIFS('United Data'!$A$3:$A$3390,I$1,'United Data'!$C$3:$C$3390,$A856,'United Data'!$B$3:$B$3390,"&lt;&gt;Off-street")&gt;0,1,0)</f>
        <v>0</v>
      </c>
      <c r="J856">
        <f>IF(COUNTIFS('United Data'!$A$3:$A$3390,J$1,'United Data'!$C$3:$C$3390,$A856,'United Data'!$B$3:$B$3390,"&lt;&gt;Off-street")&gt;0,1,0)</f>
        <v>0</v>
      </c>
      <c r="K856">
        <f>IF(COUNTIFS('United Data'!$A$3:$A$3390,K$1,'United Data'!$C$3:$C$3390,$A856,'United Data'!$B$3:$B$3390,"&lt;&gt;Off-street")&gt;0,1,0)</f>
        <v>0</v>
      </c>
      <c r="L856">
        <f>IF(COUNTIFS('United Data'!$A$3:$A$3390,L$1,'United Data'!$C$3:$C$3390,$A856,'United Data'!$B$3:$B$3390,"&lt;&gt;Off-street")&gt;0,1,0)</f>
        <v>0</v>
      </c>
      <c r="M856">
        <f>IF(COUNTIFS('United Data'!$A$3:$A$3390,M$1,'United Data'!$C$3:$C$3390,$A856,'United Data'!$B$3:$B$3390,"&lt;&gt;Off-street")&gt;0,1,0)</f>
        <v>0</v>
      </c>
      <c r="N856">
        <f>IF(COUNTIFS('United Data'!$A$3:$A$3390,N$1,'United Data'!$C$3:$C$3390,$A856,'United Data'!$B$3:$B$3390,"&lt;&gt;Off-street")&gt;0,1,0)</f>
        <v>0</v>
      </c>
      <c r="O856">
        <f>IF(COUNTIFS('United Data'!$A$3:$A$3390,O$1,'United Data'!$C$3:$C$3390,$A856,'United Data'!$B$3:$B$3390,"&lt;&gt;Off-street")&gt;0,1,0)</f>
        <v>0</v>
      </c>
      <c r="P856">
        <f>IF(COUNTIFS('United Data'!$A$3:$A$3390,P$1,'United Data'!$C$3:$C$3390,$A856,'United Data'!$B$3:$B$3390,"&lt;&gt;Off-street")&gt;0,1,0)</f>
        <v>0</v>
      </c>
      <c r="Q856">
        <f>IF(COUNTIFS('United Data'!$A$3:$A$3390,Q$1,'United Data'!$C$3:$C$3390,$A856,'United Data'!$B$3:$B$3390,"&lt;&gt;Off-street")&gt;0,1,0)</f>
        <v>1</v>
      </c>
      <c r="R856">
        <f>IF(COUNTIFS('United Data'!$A$3:$A$3390,R$1,'United Data'!$C$3:$C$3390,$A856,'United Data'!$B$3:$B$3390,"&lt;&gt;Off-street")&gt;0,1,0)</f>
        <v>0</v>
      </c>
      <c r="S856">
        <f t="shared" si="26"/>
        <v>1</v>
      </c>
      <c r="T856">
        <f t="shared" si="27"/>
        <v>1</v>
      </c>
    </row>
    <row r="857" spans="1:20" x14ac:dyDescent="0.2">
      <c r="A857" t="s">
        <v>1028</v>
      </c>
      <c r="B857">
        <f>IF(COUNTIFS('United Data'!$A$3:$A$3390,B$1,'United Data'!$C$3:$C$3390,$A857,'United Data'!$B$3:$B$3390,"&lt;&gt;Off-street")&gt;0,1,0)</f>
        <v>0</v>
      </c>
      <c r="C857">
        <f>IF(COUNTIFS('United Data'!$A$3:$A$3390,C$1,'United Data'!$C$3:$C$3390,$A857,'United Data'!$B$3:$B$3390,"&lt;&gt;Off-street")&gt;0,1,0)</f>
        <v>0</v>
      </c>
      <c r="D857">
        <f>IF(COUNTIFS('United Data'!$A$3:$A$3390,D$1,'United Data'!$C$3:$C$3390,$A857,'United Data'!$B$3:$B$3390,"&lt;&gt;Off-street")&gt;0,1,0)</f>
        <v>0</v>
      </c>
      <c r="E857">
        <f>IF(COUNTIFS('United Data'!$A$3:$A$3390,E$1,'United Data'!$C$3:$C$3390,$A857,'United Data'!$B$3:$B$3390,"&lt;&gt;Off-street")&gt;0,1,0)</f>
        <v>0</v>
      </c>
      <c r="F857">
        <f>IF(COUNTIFS('United Data'!$A$3:$A$3390,F$1,'United Data'!$C$3:$C$3390,$A857,'United Data'!$B$3:$B$3390,"&lt;&gt;Off-street")&gt;0,1,0)</f>
        <v>0</v>
      </c>
      <c r="G857">
        <f>IF(COUNTIFS('United Data'!$A$3:$A$3390,G$1,'United Data'!$C$3:$C$3390,$A857,'United Data'!$B$3:$B$3390,"&lt;&gt;Off-street")&gt;0,1,0)</f>
        <v>0</v>
      </c>
      <c r="H857">
        <f>IF(COUNTIFS('United Data'!$A$3:$A$3390,H$1,'United Data'!$C$3:$C$3390,$A857,'United Data'!$B$3:$B$3390,"&lt;&gt;Off-street")&gt;0,1,0)</f>
        <v>0</v>
      </c>
      <c r="I857">
        <f>IF(COUNTIFS('United Data'!$A$3:$A$3390,I$1,'United Data'!$C$3:$C$3390,$A857,'United Data'!$B$3:$B$3390,"&lt;&gt;Off-street")&gt;0,1,0)</f>
        <v>0</v>
      </c>
      <c r="J857">
        <f>IF(COUNTIFS('United Data'!$A$3:$A$3390,J$1,'United Data'!$C$3:$C$3390,$A857,'United Data'!$B$3:$B$3390,"&lt;&gt;Off-street")&gt;0,1,0)</f>
        <v>0</v>
      </c>
      <c r="K857">
        <f>IF(COUNTIFS('United Data'!$A$3:$A$3390,K$1,'United Data'!$C$3:$C$3390,$A857,'United Data'!$B$3:$B$3390,"&lt;&gt;Off-street")&gt;0,1,0)</f>
        <v>0</v>
      </c>
      <c r="L857">
        <f>IF(COUNTIFS('United Data'!$A$3:$A$3390,L$1,'United Data'!$C$3:$C$3390,$A857,'United Data'!$B$3:$B$3390,"&lt;&gt;Off-street")&gt;0,1,0)</f>
        <v>0</v>
      </c>
      <c r="M857">
        <f>IF(COUNTIFS('United Data'!$A$3:$A$3390,M$1,'United Data'!$C$3:$C$3390,$A857,'United Data'!$B$3:$B$3390,"&lt;&gt;Off-street")&gt;0,1,0)</f>
        <v>0</v>
      </c>
      <c r="N857">
        <f>IF(COUNTIFS('United Data'!$A$3:$A$3390,N$1,'United Data'!$C$3:$C$3390,$A857,'United Data'!$B$3:$B$3390,"&lt;&gt;Off-street")&gt;0,1,0)</f>
        <v>0</v>
      </c>
      <c r="O857">
        <f>IF(COUNTIFS('United Data'!$A$3:$A$3390,O$1,'United Data'!$C$3:$C$3390,$A857,'United Data'!$B$3:$B$3390,"&lt;&gt;Off-street")&gt;0,1,0)</f>
        <v>0</v>
      </c>
      <c r="P857">
        <f>IF(COUNTIFS('United Data'!$A$3:$A$3390,P$1,'United Data'!$C$3:$C$3390,$A857,'United Data'!$B$3:$B$3390,"&lt;&gt;Off-street")&gt;0,1,0)</f>
        <v>0</v>
      </c>
      <c r="Q857">
        <f>IF(COUNTIFS('United Data'!$A$3:$A$3390,Q$1,'United Data'!$C$3:$C$3390,$A857,'United Data'!$B$3:$B$3390,"&lt;&gt;Off-street")&gt;0,1,0)</f>
        <v>1</v>
      </c>
      <c r="R857">
        <f>IF(COUNTIFS('United Data'!$A$3:$A$3390,R$1,'United Data'!$C$3:$C$3390,$A857,'United Data'!$B$3:$B$3390,"&lt;&gt;Off-street")&gt;0,1,0)</f>
        <v>0</v>
      </c>
      <c r="S857">
        <f t="shared" si="26"/>
        <v>1</v>
      </c>
      <c r="T857">
        <f t="shared" si="27"/>
        <v>1</v>
      </c>
    </row>
    <row r="858" spans="1:20" x14ac:dyDescent="0.2">
      <c r="A858" t="s">
        <v>1029</v>
      </c>
      <c r="B858">
        <f>IF(COUNTIFS('United Data'!$A$3:$A$3390,B$1,'United Data'!$C$3:$C$3390,$A858,'United Data'!$B$3:$B$3390,"&lt;&gt;Off-street")&gt;0,1,0)</f>
        <v>0</v>
      </c>
      <c r="C858">
        <f>IF(COUNTIFS('United Data'!$A$3:$A$3390,C$1,'United Data'!$C$3:$C$3390,$A858,'United Data'!$B$3:$B$3390,"&lt;&gt;Off-street")&gt;0,1,0)</f>
        <v>0</v>
      </c>
      <c r="D858">
        <f>IF(COUNTIFS('United Data'!$A$3:$A$3390,D$1,'United Data'!$C$3:$C$3390,$A858,'United Data'!$B$3:$B$3390,"&lt;&gt;Off-street")&gt;0,1,0)</f>
        <v>0</v>
      </c>
      <c r="E858">
        <f>IF(COUNTIFS('United Data'!$A$3:$A$3390,E$1,'United Data'!$C$3:$C$3390,$A858,'United Data'!$B$3:$B$3390,"&lt;&gt;Off-street")&gt;0,1,0)</f>
        <v>0</v>
      </c>
      <c r="F858">
        <f>IF(COUNTIFS('United Data'!$A$3:$A$3390,F$1,'United Data'!$C$3:$C$3390,$A858,'United Data'!$B$3:$B$3390,"&lt;&gt;Off-street")&gt;0,1,0)</f>
        <v>0</v>
      </c>
      <c r="G858">
        <f>IF(COUNTIFS('United Data'!$A$3:$A$3390,G$1,'United Data'!$C$3:$C$3390,$A858,'United Data'!$B$3:$B$3390,"&lt;&gt;Off-street")&gt;0,1,0)</f>
        <v>0</v>
      </c>
      <c r="H858">
        <f>IF(COUNTIFS('United Data'!$A$3:$A$3390,H$1,'United Data'!$C$3:$C$3390,$A858,'United Data'!$B$3:$B$3390,"&lt;&gt;Off-street")&gt;0,1,0)</f>
        <v>0</v>
      </c>
      <c r="I858">
        <f>IF(COUNTIFS('United Data'!$A$3:$A$3390,I$1,'United Data'!$C$3:$C$3390,$A858,'United Data'!$B$3:$B$3390,"&lt;&gt;Off-street")&gt;0,1,0)</f>
        <v>0</v>
      </c>
      <c r="J858">
        <f>IF(COUNTIFS('United Data'!$A$3:$A$3390,J$1,'United Data'!$C$3:$C$3390,$A858,'United Data'!$B$3:$B$3390,"&lt;&gt;Off-street")&gt;0,1,0)</f>
        <v>0</v>
      </c>
      <c r="K858">
        <f>IF(COUNTIFS('United Data'!$A$3:$A$3390,K$1,'United Data'!$C$3:$C$3390,$A858,'United Data'!$B$3:$B$3390,"&lt;&gt;Off-street")&gt;0,1,0)</f>
        <v>0</v>
      </c>
      <c r="L858">
        <f>IF(COUNTIFS('United Data'!$A$3:$A$3390,L$1,'United Data'!$C$3:$C$3390,$A858,'United Data'!$B$3:$B$3390,"&lt;&gt;Off-street")&gt;0,1,0)</f>
        <v>0</v>
      </c>
      <c r="M858">
        <f>IF(COUNTIFS('United Data'!$A$3:$A$3390,M$1,'United Data'!$C$3:$C$3390,$A858,'United Data'!$B$3:$B$3390,"&lt;&gt;Off-street")&gt;0,1,0)</f>
        <v>0</v>
      </c>
      <c r="N858">
        <f>IF(COUNTIFS('United Data'!$A$3:$A$3390,N$1,'United Data'!$C$3:$C$3390,$A858,'United Data'!$B$3:$B$3390,"&lt;&gt;Off-street")&gt;0,1,0)</f>
        <v>0</v>
      </c>
      <c r="O858">
        <f>IF(COUNTIFS('United Data'!$A$3:$A$3390,O$1,'United Data'!$C$3:$C$3390,$A858,'United Data'!$B$3:$B$3390,"&lt;&gt;Off-street")&gt;0,1,0)</f>
        <v>0</v>
      </c>
      <c r="P858">
        <f>IF(COUNTIFS('United Data'!$A$3:$A$3390,P$1,'United Data'!$C$3:$C$3390,$A858,'United Data'!$B$3:$B$3390,"&lt;&gt;Off-street")&gt;0,1,0)</f>
        <v>0</v>
      </c>
      <c r="Q858">
        <f>IF(COUNTIFS('United Data'!$A$3:$A$3390,Q$1,'United Data'!$C$3:$C$3390,$A858,'United Data'!$B$3:$B$3390,"&lt;&gt;Off-street")&gt;0,1,0)</f>
        <v>1</v>
      </c>
      <c r="R858">
        <f>IF(COUNTIFS('United Data'!$A$3:$A$3390,R$1,'United Data'!$C$3:$C$3390,$A858,'United Data'!$B$3:$B$3390,"&lt;&gt;Off-street")&gt;0,1,0)</f>
        <v>0</v>
      </c>
      <c r="S858">
        <f t="shared" si="26"/>
        <v>1</v>
      </c>
      <c r="T858">
        <f t="shared" si="27"/>
        <v>1</v>
      </c>
    </row>
    <row r="859" spans="1:20" x14ac:dyDescent="0.2">
      <c r="A859" t="s">
        <v>1030</v>
      </c>
      <c r="B859">
        <f>IF(COUNTIFS('United Data'!$A$3:$A$3390,B$1,'United Data'!$C$3:$C$3390,$A859,'United Data'!$B$3:$B$3390,"&lt;&gt;Off-street")&gt;0,1,0)</f>
        <v>0</v>
      </c>
      <c r="C859">
        <f>IF(COUNTIFS('United Data'!$A$3:$A$3390,C$1,'United Data'!$C$3:$C$3390,$A859,'United Data'!$B$3:$B$3390,"&lt;&gt;Off-street")&gt;0,1,0)</f>
        <v>0</v>
      </c>
      <c r="D859">
        <f>IF(COUNTIFS('United Data'!$A$3:$A$3390,D$1,'United Data'!$C$3:$C$3390,$A859,'United Data'!$B$3:$B$3390,"&lt;&gt;Off-street")&gt;0,1,0)</f>
        <v>0</v>
      </c>
      <c r="E859">
        <f>IF(COUNTIFS('United Data'!$A$3:$A$3390,E$1,'United Data'!$C$3:$C$3390,$A859,'United Data'!$B$3:$B$3390,"&lt;&gt;Off-street")&gt;0,1,0)</f>
        <v>0</v>
      </c>
      <c r="F859">
        <f>IF(COUNTIFS('United Data'!$A$3:$A$3390,F$1,'United Data'!$C$3:$C$3390,$A859,'United Data'!$B$3:$B$3390,"&lt;&gt;Off-street")&gt;0,1,0)</f>
        <v>0</v>
      </c>
      <c r="G859">
        <f>IF(COUNTIFS('United Data'!$A$3:$A$3390,G$1,'United Data'!$C$3:$C$3390,$A859,'United Data'!$B$3:$B$3390,"&lt;&gt;Off-street")&gt;0,1,0)</f>
        <v>0</v>
      </c>
      <c r="H859">
        <f>IF(COUNTIFS('United Data'!$A$3:$A$3390,H$1,'United Data'!$C$3:$C$3390,$A859,'United Data'!$B$3:$B$3390,"&lt;&gt;Off-street")&gt;0,1,0)</f>
        <v>0</v>
      </c>
      <c r="I859">
        <f>IF(COUNTIFS('United Data'!$A$3:$A$3390,I$1,'United Data'!$C$3:$C$3390,$A859,'United Data'!$B$3:$B$3390,"&lt;&gt;Off-street")&gt;0,1,0)</f>
        <v>0</v>
      </c>
      <c r="J859">
        <f>IF(COUNTIFS('United Data'!$A$3:$A$3390,J$1,'United Data'!$C$3:$C$3390,$A859,'United Data'!$B$3:$B$3390,"&lt;&gt;Off-street")&gt;0,1,0)</f>
        <v>0</v>
      </c>
      <c r="K859">
        <f>IF(COUNTIFS('United Data'!$A$3:$A$3390,K$1,'United Data'!$C$3:$C$3390,$A859,'United Data'!$B$3:$B$3390,"&lt;&gt;Off-street")&gt;0,1,0)</f>
        <v>0</v>
      </c>
      <c r="L859">
        <f>IF(COUNTIFS('United Data'!$A$3:$A$3390,L$1,'United Data'!$C$3:$C$3390,$A859,'United Data'!$B$3:$B$3390,"&lt;&gt;Off-street")&gt;0,1,0)</f>
        <v>0</v>
      </c>
      <c r="M859">
        <f>IF(COUNTIFS('United Data'!$A$3:$A$3390,M$1,'United Data'!$C$3:$C$3390,$A859,'United Data'!$B$3:$B$3390,"&lt;&gt;Off-street")&gt;0,1,0)</f>
        <v>0</v>
      </c>
      <c r="N859">
        <f>IF(COUNTIFS('United Data'!$A$3:$A$3390,N$1,'United Data'!$C$3:$C$3390,$A859,'United Data'!$B$3:$B$3390,"&lt;&gt;Off-street")&gt;0,1,0)</f>
        <v>0</v>
      </c>
      <c r="O859">
        <f>IF(COUNTIFS('United Data'!$A$3:$A$3390,O$1,'United Data'!$C$3:$C$3390,$A859,'United Data'!$B$3:$B$3390,"&lt;&gt;Off-street")&gt;0,1,0)</f>
        <v>0</v>
      </c>
      <c r="P859">
        <f>IF(COUNTIFS('United Data'!$A$3:$A$3390,P$1,'United Data'!$C$3:$C$3390,$A859,'United Data'!$B$3:$B$3390,"&lt;&gt;Off-street")&gt;0,1,0)</f>
        <v>0</v>
      </c>
      <c r="Q859">
        <f>IF(COUNTIFS('United Data'!$A$3:$A$3390,Q$1,'United Data'!$C$3:$C$3390,$A859,'United Data'!$B$3:$B$3390,"&lt;&gt;Off-street")&gt;0,1,0)</f>
        <v>1</v>
      </c>
      <c r="R859">
        <f>IF(COUNTIFS('United Data'!$A$3:$A$3390,R$1,'United Data'!$C$3:$C$3390,$A859,'United Data'!$B$3:$B$3390,"&lt;&gt;Off-street")&gt;0,1,0)</f>
        <v>0</v>
      </c>
      <c r="S859">
        <f t="shared" si="26"/>
        <v>1</v>
      </c>
      <c r="T859">
        <f t="shared" si="27"/>
        <v>1</v>
      </c>
    </row>
    <row r="860" spans="1:20" x14ac:dyDescent="0.2">
      <c r="A860" t="s">
        <v>1031</v>
      </c>
      <c r="B860">
        <f>IF(COUNTIFS('United Data'!$A$3:$A$3390,B$1,'United Data'!$C$3:$C$3390,$A860,'United Data'!$B$3:$B$3390,"&lt;&gt;Off-street")&gt;0,1,0)</f>
        <v>0</v>
      </c>
      <c r="C860">
        <f>IF(COUNTIFS('United Data'!$A$3:$A$3390,C$1,'United Data'!$C$3:$C$3390,$A860,'United Data'!$B$3:$B$3390,"&lt;&gt;Off-street")&gt;0,1,0)</f>
        <v>0</v>
      </c>
      <c r="D860">
        <f>IF(COUNTIFS('United Data'!$A$3:$A$3390,D$1,'United Data'!$C$3:$C$3390,$A860,'United Data'!$B$3:$B$3390,"&lt;&gt;Off-street")&gt;0,1,0)</f>
        <v>0</v>
      </c>
      <c r="E860">
        <f>IF(COUNTIFS('United Data'!$A$3:$A$3390,E$1,'United Data'!$C$3:$C$3390,$A860,'United Data'!$B$3:$B$3390,"&lt;&gt;Off-street")&gt;0,1,0)</f>
        <v>0</v>
      </c>
      <c r="F860">
        <f>IF(COUNTIFS('United Data'!$A$3:$A$3390,F$1,'United Data'!$C$3:$C$3390,$A860,'United Data'!$B$3:$B$3390,"&lt;&gt;Off-street")&gt;0,1,0)</f>
        <v>0</v>
      </c>
      <c r="G860">
        <f>IF(COUNTIFS('United Data'!$A$3:$A$3390,G$1,'United Data'!$C$3:$C$3390,$A860,'United Data'!$B$3:$B$3390,"&lt;&gt;Off-street")&gt;0,1,0)</f>
        <v>0</v>
      </c>
      <c r="H860">
        <f>IF(COUNTIFS('United Data'!$A$3:$A$3390,H$1,'United Data'!$C$3:$C$3390,$A860,'United Data'!$B$3:$B$3390,"&lt;&gt;Off-street")&gt;0,1,0)</f>
        <v>0</v>
      </c>
      <c r="I860">
        <f>IF(COUNTIFS('United Data'!$A$3:$A$3390,I$1,'United Data'!$C$3:$C$3390,$A860,'United Data'!$B$3:$B$3390,"&lt;&gt;Off-street")&gt;0,1,0)</f>
        <v>0</v>
      </c>
      <c r="J860">
        <f>IF(COUNTIFS('United Data'!$A$3:$A$3390,J$1,'United Data'!$C$3:$C$3390,$A860,'United Data'!$B$3:$B$3390,"&lt;&gt;Off-street")&gt;0,1,0)</f>
        <v>0</v>
      </c>
      <c r="K860">
        <f>IF(COUNTIFS('United Data'!$A$3:$A$3390,K$1,'United Data'!$C$3:$C$3390,$A860,'United Data'!$B$3:$B$3390,"&lt;&gt;Off-street")&gt;0,1,0)</f>
        <v>0</v>
      </c>
      <c r="L860">
        <f>IF(COUNTIFS('United Data'!$A$3:$A$3390,L$1,'United Data'!$C$3:$C$3390,$A860,'United Data'!$B$3:$B$3390,"&lt;&gt;Off-street")&gt;0,1,0)</f>
        <v>0</v>
      </c>
      <c r="M860">
        <f>IF(COUNTIFS('United Data'!$A$3:$A$3390,M$1,'United Data'!$C$3:$C$3390,$A860,'United Data'!$B$3:$B$3390,"&lt;&gt;Off-street")&gt;0,1,0)</f>
        <v>0</v>
      </c>
      <c r="N860">
        <f>IF(COUNTIFS('United Data'!$A$3:$A$3390,N$1,'United Data'!$C$3:$C$3390,$A860,'United Data'!$B$3:$B$3390,"&lt;&gt;Off-street")&gt;0,1,0)</f>
        <v>0</v>
      </c>
      <c r="O860">
        <f>IF(COUNTIFS('United Data'!$A$3:$A$3390,O$1,'United Data'!$C$3:$C$3390,$A860,'United Data'!$B$3:$B$3390,"&lt;&gt;Off-street")&gt;0,1,0)</f>
        <v>0</v>
      </c>
      <c r="P860">
        <f>IF(COUNTIFS('United Data'!$A$3:$A$3390,P$1,'United Data'!$C$3:$C$3390,$A860,'United Data'!$B$3:$B$3390,"&lt;&gt;Off-street")&gt;0,1,0)</f>
        <v>0</v>
      </c>
      <c r="Q860">
        <f>IF(COUNTIFS('United Data'!$A$3:$A$3390,Q$1,'United Data'!$C$3:$C$3390,$A860,'United Data'!$B$3:$B$3390,"&lt;&gt;Off-street")&gt;0,1,0)</f>
        <v>1</v>
      </c>
      <c r="R860">
        <f>IF(COUNTIFS('United Data'!$A$3:$A$3390,R$1,'United Data'!$C$3:$C$3390,$A860,'United Data'!$B$3:$B$3390,"&lt;&gt;Off-street")&gt;0,1,0)</f>
        <v>0</v>
      </c>
      <c r="S860">
        <f t="shared" si="26"/>
        <v>1</v>
      </c>
      <c r="T860">
        <f t="shared" si="27"/>
        <v>1</v>
      </c>
    </row>
    <row r="861" spans="1:20" x14ac:dyDescent="0.2">
      <c r="A861" t="s">
        <v>1033</v>
      </c>
      <c r="B861">
        <f>IF(COUNTIFS('United Data'!$A$3:$A$3390,B$1,'United Data'!$C$3:$C$3390,$A861,'United Data'!$B$3:$B$3390,"&lt;&gt;Off-street")&gt;0,1,0)</f>
        <v>0</v>
      </c>
      <c r="C861">
        <f>IF(COUNTIFS('United Data'!$A$3:$A$3390,C$1,'United Data'!$C$3:$C$3390,$A861,'United Data'!$B$3:$B$3390,"&lt;&gt;Off-street")&gt;0,1,0)</f>
        <v>0</v>
      </c>
      <c r="D861">
        <f>IF(COUNTIFS('United Data'!$A$3:$A$3390,D$1,'United Data'!$C$3:$C$3390,$A861,'United Data'!$B$3:$B$3390,"&lt;&gt;Off-street")&gt;0,1,0)</f>
        <v>0</v>
      </c>
      <c r="E861">
        <f>IF(COUNTIFS('United Data'!$A$3:$A$3390,E$1,'United Data'!$C$3:$C$3390,$A861,'United Data'!$B$3:$B$3390,"&lt;&gt;Off-street")&gt;0,1,0)</f>
        <v>0</v>
      </c>
      <c r="F861">
        <f>IF(COUNTIFS('United Data'!$A$3:$A$3390,F$1,'United Data'!$C$3:$C$3390,$A861,'United Data'!$B$3:$B$3390,"&lt;&gt;Off-street")&gt;0,1,0)</f>
        <v>0</v>
      </c>
      <c r="G861">
        <f>IF(COUNTIFS('United Data'!$A$3:$A$3390,G$1,'United Data'!$C$3:$C$3390,$A861,'United Data'!$B$3:$B$3390,"&lt;&gt;Off-street")&gt;0,1,0)</f>
        <v>0</v>
      </c>
      <c r="H861">
        <f>IF(COUNTIFS('United Data'!$A$3:$A$3390,H$1,'United Data'!$C$3:$C$3390,$A861,'United Data'!$B$3:$B$3390,"&lt;&gt;Off-street")&gt;0,1,0)</f>
        <v>0</v>
      </c>
      <c r="I861">
        <f>IF(COUNTIFS('United Data'!$A$3:$A$3390,I$1,'United Data'!$C$3:$C$3390,$A861,'United Data'!$B$3:$B$3390,"&lt;&gt;Off-street")&gt;0,1,0)</f>
        <v>0</v>
      </c>
      <c r="J861">
        <f>IF(COUNTIFS('United Data'!$A$3:$A$3390,J$1,'United Data'!$C$3:$C$3390,$A861,'United Data'!$B$3:$B$3390,"&lt;&gt;Off-street")&gt;0,1,0)</f>
        <v>0</v>
      </c>
      <c r="K861">
        <f>IF(COUNTIFS('United Data'!$A$3:$A$3390,K$1,'United Data'!$C$3:$C$3390,$A861,'United Data'!$B$3:$B$3390,"&lt;&gt;Off-street")&gt;0,1,0)</f>
        <v>0</v>
      </c>
      <c r="L861">
        <f>IF(COUNTIFS('United Data'!$A$3:$A$3390,L$1,'United Data'!$C$3:$C$3390,$A861,'United Data'!$B$3:$B$3390,"&lt;&gt;Off-street")&gt;0,1,0)</f>
        <v>0</v>
      </c>
      <c r="M861">
        <f>IF(COUNTIFS('United Data'!$A$3:$A$3390,M$1,'United Data'!$C$3:$C$3390,$A861,'United Data'!$B$3:$B$3390,"&lt;&gt;Off-street")&gt;0,1,0)</f>
        <v>0</v>
      </c>
      <c r="N861">
        <f>IF(COUNTIFS('United Data'!$A$3:$A$3390,N$1,'United Data'!$C$3:$C$3390,$A861,'United Data'!$B$3:$B$3390,"&lt;&gt;Off-street")&gt;0,1,0)</f>
        <v>0</v>
      </c>
      <c r="O861">
        <f>IF(COUNTIFS('United Data'!$A$3:$A$3390,O$1,'United Data'!$C$3:$C$3390,$A861,'United Data'!$B$3:$B$3390,"&lt;&gt;Off-street")&gt;0,1,0)</f>
        <v>0</v>
      </c>
      <c r="P861">
        <f>IF(COUNTIFS('United Data'!$A$3:$A$3390,P$1,'United Data'!$C$3:$C$3390,$A861,'United Data'!$B$3:$B$3390,"&lt;&gt;Off-street")&gt;0,1,0)</f>
        <v>0</v>
      </c>
      <c r="Q861">
        <f>IF(COUNTIFS('United Data'!$A$3:$A$3390,Q$1,'United Data'!$C$3:$C$3390,$A861,'United Data'!$B$3:$B$3390,"&lt;&gt;Off-street")&gt;0,1,0)</f>
        <v>1</v>
      </c>
      <c r="R861">
        <f>IF(COUNTIFS('United Data'!$A$3:$A$3390,R$1,'United Data'!$C$3:$C$3390,$A861,'United Data'!$B$3:$B$3390,"&lt;&gt;Off-street")&gt;0,1,0)</f>
        <v>0</v>
      </c>
      <c r="S861">
        <f t="shared" si="26"/>
        <v>1</v>
      </c>
      <c r="T861">
        <f t="shared" si="27"/>
        <v>1</v>
      </c>
    </row>
    <row r="862" spans="1:20" x14ac:dyDescent="0.2">
      <c r="A862" t="s">
        <v>1034</v>
      </c>
      <c r="B862">
        <f>IF(COUNTIFS('United Data'!$A$3:$A$3390,B$1,'United Data'!$C$3:$C$3390,$A862,'United Data'!$B$3:$B$3390,"&lt;&gt;Off-street")&gt;0,1,0)</f>
        <v>0</v>
      </c>
      <c r="C862">
        <f>IF(COUNTIFS('United Data'!$A$3:$A$3390,C$1,'United Data'!$C$3:$C$3390,$A862,'United Data'!$B$3:$B$3390,"&lt;&gt;Off-street")&gt;0,1,0)</f>
        <v>0</v>
      </c>
      <c r="D862">
        <f>IF(COUNTIFS('United Data'!$A$3:$A$3390,D$1,'United Data'!$C$3:$C$3390,$A862,'United Data'!$B$3:$B$3390,"&lt;&gt;Off-street")&gt;0,1,0)</f>
        <v>0</v>
      </c>
      <c r="E862">
        <f>IF(COUNTIFS('United Data'!$A$3:$A$3390,E$1,'United Data'!$C$3:$C$3390,$A862,'United Data'!$B$3:$B$3390,"&lt;&gt;Off-street")&gt;0,1,0)</f>
        <v>0</v>
      </c>
      <c r="F862">
        <f>IF(COUNTIFS('United Data'!$A$3:$A$3390,F$1,'United Data'!$C$3:$C$3390,$A862,'United Data'!$B$3:$B$3390,"&lt;&gt;Off-street")&gt;0,1,0)</f>
        <v>0</v>
      </c>
      <c r="G862">
        <f>IF(COUNTIFS('United Data'!$A$3:$A$3390,G$1,'United Data'!$C$3:$C$3390,$A862,'United Data'!$B$3:$B$3390,"&lt;&gt;Off-street")&gt;0,1,0)</f>
        <v>0</v>
      </c>
      <c r="H862">
        <f>IF(COUNTIFS('United Data'!$A$3:$A$3390,H$1,'United Data'!$C$3:$C$3390,$A862,'United Data'!$B$3:$B$3390,"&lt;&gt;Off-street")&gt;0,1,0)</f>
        <v>0</v>
      </c>
      <c r="I862">
        <f>IF(COUNTIFS('United Data'!$A$3:$A$3390,I$1,'United Data'!$C$3:$C$3390,$A862,'United Data'!$B$3:$B$3390,"&lt;&gt;Off-street")&gt;0,1,0)</f>
        <v>0</v>
      </c>
      <c r="J862">
        <f>IF(COUNTIFS('United Data'!$A$3:$A$3390,J$1,'United Data'!$C$3:$C$3390,$A862,'United Data'!$B$3:$B$3390,"&lt;&gt;Off-street")&gt;0,1,0)</f>
        <v>0</v>
      </c>
      <c r="K862">
        <f>IF(COUNTIFS('United Data'!$A$3:$A$3390,K$1,'United Data'!$C$3:$C$3390,$A862,'United Data'!$B$3:$B$3390,"&lt;&gt;Off-street")&gt;0,1,0)</f>
        <v>0</v>
      </c>
      <c r="L862">
        <f>IF(COUNTIFS('United Data'!$A$3:$A$3390,L$1,'United Data'!$C$3:$C$3390,$A862,'United Data'!$B$3:$B$3390,"&lt;&gt;Off-street")&gt;0,1,0)</f>
        <v>0</v>
      </c>
      <c r="M862">
        <f>IF(COUNTIFS('United Data'!$A$3:$A$3390,M$1,'United Data'!$C$3:$C$3390,$A862,'United Data'!$B$3:$B$3390,"&lt;&gt;Off-street")&gt;0,1,0)</f>
        <v>0</v>
      </c>
      <c r="N862">
        <f>IF(COUNTIFS('United Data'!$A$3:$A$3390,N$1,'United Data'!$C$3:$C$3390,$A862,'United Data'!$B$3:$B$3390,"&lt;&gt;Off-street")&gt;0,1,0)</f>
        <v>0</v>
      </c>
      <c r="O862">
        <f>IF(COUNTIFS('United Data'!$A$3:$A$3390,O$1,'United Data'!$C$3:$C$3390,$A862,'United Data'!$B$3:$B$3390,"&lt;&gt;Off-street")&gt;0,1,0)</f>
        <v>0</v>
      </c>
      <c r="P862">
        <f>IF(COUNTIFS('United Data'!$A$3:$A$3390,P$1,'United Data'!$C$3:$C$3390,$A862,'United Data'!$B$3:$B$3390,"&lt;&gt;Off-street")&gt;0,1,0)</f>
        <v>0</v>
      </c>
      <c r="Q862">
        <f>IF(COUNTIFS('United Data'!$A$3:$A$3390,Q$1,'United Data'!$C$3:$C$3390,$A862,'United Data'!$B$3:$B$3390,"&lt;&gt;Off-street")&gt;0,1,0)</f>
        <v>1</v>
      </c>
      <c r="R862">
        <f>IF(COUNTIFS('United Data'!$A$3:$A$3390,R$1,'United Data'!$C$3:$C$3390,$A862,'United Data'!$B$3:$B$3390,"&lt;&gt;Off-street")&gt;0,1,0)</f>
        <v>0</v>
      </c>
      <c r="S862">
        <f t="shared" si="26"/>
        <v>1</v>
      </c>
      <c r="T862">
        <f t="shared" si="27"/>
        <v>1</v>
      </c>
    </row>
    <row r="863" spans="1:20" x14ac:dyDescent="0.2">
      <c r="A863" t="s">
        <v>1036</v>
      </c>
      <c r="B863">
        <f>IF(COUNTIFS('United Data'!$A$3:$A$3390,B$1,'United Data'!$C$3:$C$3390,$A863,'United Data'!$B$3:$B$3390,"&lt;&gt;Off-street")&gt;0,1,0)</f>
        <v>0</v>
      </c>
      <c r="C863">
        <f>IF(COUNTIFS('United Data'!$A$3:$A$3390,C$1,'United Data'!$C$3:$C$3390,$A863,'United Data'!$B$3:$B$3390,"&lt;&gt;Off-street")&gt;0,1,0)</f>
        <v>0</v>
      </c>
      <c r="D863">
        <f>IF(COUNTIFS('United Data'!$A$3:$A$3390,D$1,'United Data'!$C$3:$C$3390,$A863,'United Data'!$B$3:$B$3390,"&lt;&gt;Off-street")&gt;0,1,0)</f>
        <v>0</v>
      </c>
      <c r="E863">
        <f>IF(COUNTIFS('United Data'!$A$3:$A$3390,E$1,'United Data'!$C$3:$C$3390,$A863,'United Data'!$B$3:$B$3390,"&lt;&gt;Off-street")&gt;0,1,0)</f>
        <v>0</v>
      </c>
      <c r="F863">
        <f>IF(COUNTIFS('United Data'!$A$3:$A$3390,F$1,'United Data'!$C$3:$C$3390,$A863,'United Data'!$B$3:$B$3390,"&lt;&gt;Off-street")&gt;0,1,0)</f>
        <v>0</v>
      </c>
      <c r="G863">
        <f>IF(COUNTIFS('United Data'!$A$3:$A$3390,G$1,'United Data'!$C$3:$C$3390,$A863,'United Data'!$B$3:$B$3390,"&lt;&gt;Off-street")&gt;0,1,0)</f>
        <v>0</v>
      </c>
      <c r="H863">
        <f>IF(COUNTIFS('United Data'!$A$3:$A$3390,H$1,'United Data'!$C$3:$C$3390,$A863,'United Data'!$B$3:$B$3390,"&lt;&gt;Off-street")&gt;0,1,0)</f>
        <v>0</v>
      </c>
      <c r="I863">
        <f>IF(COUNTIFS('United Data'!$A$3:$A$3390,I$1,'United Data'!$C$3:$C$3390,$A863,'United Data'!$B$3:$B$3390,"&lt;&gt;Off-street")&gt;0,1,0)</f>
        <v>0</v>
      </c>
      <c r="J863">
        <f>IF(COUNTIFS('United Data'!$A$3:$A$3390,J$1,'United Data'!$C$3:$C$3390,$A863,'United Data'!$B$3:$B$3390,"&lt;&gt;Off-street")&gt;0,1,0)</f>
        <v>0</v>
      </c>
      <c r="K863">
        <f>IF(COUNTIFS('United Data'!$A$3:$A$3390,K$1,'United Data'!$C$3:$C$3390,$A863,'United Data'!$B$3:$B$3390,"&lt;&gt;Off-street")&gt;0,1,0)</f>
        <v>0</v>
      </c>
      <c r="L863">
        <f>IF(COUNTIFS('United Data'!$A$3:$A$3390,L$1,'United Data'!$C$3:$C$3390,$A863,'United Data'!$B$3:$B$3390,"&lt;&gt;Off-street")&gt;0,1,0)</f>
        <v>0</v>
      </c>
      <c r="M863">
        <f>IF(COUNTIFS('United Data'!$A$3:$A$3390,M$1,'United Data'!$C$3:$C$3390,$A863,'United Data'!$B$3:$B$3390,"&lt;&gt;Off-street")&gt;0,1,0)</f>
        <v>0</v>
      </c>
      <c r="N863">
        <f>IF(COUNTIFS('United Data'!$A$3:$A$3390,N$1,'United Data'!$C$3:$C$3390,$A863,'United Data'!$B$3:$B$3390,"&lt;&gt;Off-street")&gt;0,1,0)</f>
        <v>0</v>
      </c>
      <c r="O863">
        <f>IF(COUNTIFS('United Data'!$A$3:$A$3390,O$1,'United Data'!$C$3:$C$3390,$A863,'United Data'!$B$3:$B$3390,"&lt;&gt;Off-street")&gt;0,1,0)</f>
        <v>0</v>
      </c>
      <c r="P863">
        <f>IF(COUNTIFS('United Data'!$A$3:$A$3390,P$1,'United Data'!$C$3:$C$3390,$A863,'United Data'!$B$3:$B$3390,"&lt;&gt;Off-street")&gt;0,1,0)</f>
        <v>0</v>
      </c>
      <c r="Q863">
        <f>IF(COUNTIFS('United Data'!$A$3:$A$3390,Q$1,'United Data'!$C$3:$C$3390,$A863,'United Data'!$B$3:$B$3390,"&lt;&gt;Off-street")&gt;0,1,0)</f>
        <v>1</v>
      </c>
      <c r="R863">
        <f>IF(COUNTIFS('United Data'!$A$3:$A$3390,R$1,'United Data'!$C$3:$C$3390,$A863,'United Data'!$B$3:$B$3390,"&lt;&gt;Off-street")&gt;0,1,0)</f>
        <v>0</v>
      </c>
      <c r="S863">
        <f t="shared" si="26"/>
        <v>1</v>
      </c>
      <c r="T863">
        <f t="shared" si="27"/>
        <v>1</v>
      </c>
    </row>
    <row r="864" spans="1:20" x14ac:dyDescent="0.2">
      <c r="A864" t="s">
        <v>1037</v>
      </c>
      <c r="B864">
        <f>IF(COUNTIFS('United Data'!$A$3:$A$3390,B$1,'United Data'!$C$3:$C$3390,$A864,'United Data'!$B$3:$B$3390,"&lt;&gt;Off-street")&gt;0,1,0)</f>
        <v>0</v>
      </c>
      <c r="C864">
        <f>IF(COUNTIFS('United Data'!$A$3:$A$3390,C$1,'United Data'!$C$3:$C$3390,$A864,'United Data'!$B$3:$B$3390,"&lt;&gt;Off-street")&gt;0,1,0)</f>
        <v>0</v>
      </c>
      <c r="D864">
        <f>IF(COUNTIFS('United Data'!$A$3:$A$3390,D$1,'United Data'!$C$3:$C$3390,$A864,'United Data'!$B$3:$B$3390,"&lt;&gt;Off-street")&gt;0,1,0)</f>
        <v>0</v>
      </c>
      <c r="E864">
        <f>IF(COUNTIFS('United Data'!$A$3:$A$3390,E$1,'United Data'!$C$3:$C$3390,$A864,'United Data'!$B$3:$B$3390,"&lt;&gt;Off-street")&gt;0,1,0)</f>
        <v>0</v>
      </c>
      <c r="F864">
        <f>IF(COUNTIFS('United Data'!$A$3:$A$3390,F$1,'United Data'!$C$3:$C$3390,$A864,'United Data'!$B$3:$B$3390,"&lt;&gt;Off-street")&gt;0,1,0)</f>
        <v>0</v>
      </c>
      <c r="G864">
        <f>IF(COUNTIFS('United Data'!$A$3:$A$3390,G$1,'United Data'!$C$3:$C$3390,$A864,'United Data'!$B$3:$B$3390,"&lt;&gt;Off-street")&gt;0,1,0)</f>
        <v>0</v>
      </c>
      <c r="H864">
        <f>IF(COUNTIFS('United Data'!$A$3:$A$3390,H$1,'United Data'!$C$3:$C$3390,$A864,'United Data'!$B$3:$B$3390,"&lt;&gt;Off-street")&gt;0,1,0)</f>
        <v>0</v>
      </c>
      <c r="I864">
        <f>IF(COUNTIFS('United Data'!$A$3:$A$3390,I$1,'United Data'!$C$3:$C$3390,$A864,'United Data'!$B$3:$B$3390,"&lt;&gt;Off-street")&gt;0,1,0)</f>
        <v>0</v>
      </c>
      <c r="J864">
        <f>IF(COUNTIFS('United Data'!$A$3:$A$3390,J$1,'United Data'!$C$3:$C$3390,$A864,'United Data'!$B$3:$B$3390,"&lt;&gt;Off-street")&gt;0,1,0)</f>
        <v>0</v>
      </c>
      <c r="K864">
        <f>IF(COUNTIFS('United Data'!$A$3:$A$3390,K$1,'United Data'!$C$3:$C$3390,$A864,'United Data'!$B$3:$B$3390,"&lt;&gt;Off-street")&gt;0,1,0)</f>
        <v>0</v>
      </c>
      <c r="L864">
        <f>IF(COUNTIFS('United Data'!$A$3:$A$3390,L$1,'United Data'!$C$3:$C$3390,$A864,'United Data'!$B$3:$B$3390,"&lt;&gt;Off-street")&gt;0,1,0)</f>
        <v>0</v>
      </c>
      <c r="M864">
        <f>IF(COUNTIFS('United Data'!$A$3:$A$3390,M$1,'United Data'!$C$3:$C$3390,$A864,'United Data'!$B$3:$B$3390,"&lt;&gt;Off-street")&gt;0,1,0)</f>
        <v>0</v>
      </c>
      <c r="N864">
        <f>IF(COUNTIFS('United Data'!$A$3:$A$3390,N$1,'United Data'!$C$3:$C$3390,$A864,'United Data'!$B$3:$B$3390,"&lt;&gt;Off-street")&gt;0,1,0)</f>
        <v>0</v>
      </c>
      <c r="O864">
        <f>IF(COUNTIFS('United Data'!$A$3:$A$3390,O$1,'United Data'!$C$3:$C$3390,$A864,'United Data'!$B$3:$B$3390,"&lt;&gt;Off-street")&gt;0,1,0)</f>
        <v>0</v>
      </c>
      <c r="P864">
        <f>IF(COUNTIFS('United Data'!$A$3:$A$3390,P$1,'United Data'!$C$3:$C$3390,$A864,'United Data'!$B$3:$B$3390,"&lt;&gt;Off-street")&gt;0,1,0)</f>
        <v>0</v>
      </c>
      <c r="Q864">
        <f>IF(COUNTIFS('United Data'!$A$3:$A$3390,Q$1,'United Data'!$C$3:$C$3390,$A864,'United Data'!$B$3:$B$3390,"&lt;&gt;Off-street")&gt;0,1,0)</f>
        <v>1</v>
      </c>
      <c r="R864">
        <f>IF(COUNTIFS('United Data'!$A$3:$A$3390,R$1,'United Data'!$C$3:$C$3390,$A864,'United Data'!$B$3:$B$3390,"&lt;&gt;Off-street")&gt;0,1,0)</f>
        <v>0</v>
      </c>
      <c r="S864">
        <f t="shared" si="26"/>
        <v>1</v>
      </c>
      <c r="T864">
        <f t="shared" si="27"/>
        <v>1</v>
      </c>
    </row>
    <row r="865" spans="1:20" x14ac:dyDescent="0.2">
      <c r="A865" t="s">
        <v>1038</v>
      </c>
      <c r="B865">
        <f>IF(COUNTIFS('United Data'!$A$3:$A$3390,B$1,'United Data'!$C$3:$C$3390,$A865,'United Data'!$B$3:$B$3390,"&lt;&gt;Off-street")&gt;0,1,0)</f>
        <v>0</v>
      </c>
      <c r="C865">
        <f>IF(COUNTIFS('United Data'!$A$3:$A$3390,C$1,'United Data'!$C$3:$C$3390,$A865,'United Data'!$B$3:$B$3390,"&lt;&gt;Off-street")&gt;0,1,0)</f>
        <v>0</v>
      </c>
      <c r="D865">
        <f>IF(COUNTIFS('United Data'!$A$3:$A$3390,D$1,'United Data'!$C$3:$C$3390,$A865,'United Data'!$B$3:$B$3390,"&lt;&gt;Off-street")&gt;0,1,0)</f>
        <v>0</v>
      </c>
      <c r="E865">
        <f>IF(COUNTIFS('United Data'!$A$3:$A$3390,E$1,'United Data'!$C$3:$C$3390,$A865,'United Data'!$B$3:$B$3390,"&lt;&gt;Off-street")&gt;0,1,0)</f>
        <v>0</v>
      </c>
      <c r="F865">
        <f>IF(COUNTIFS('United Data'!$A$3:$A$3390,F$1,'United Data'!$C$3:$C$3390,$A865,'United Data'!$B$3:$B$3390,"&lt;&gt;Off-street")&gt;0,1,0)</f>
        <v>0</v>
      </c>
      <c r="G865">
        <f>IF(COUNTIFS('United Data'!$A$3:$A$3390,G$1,'United Data'!$C$3:$C$3390,$A865,'United Data'!$B$3:$B$3390,"&lt;&gt;Off-street")&gt;0,1,0)</f>
        <v>0</v>
      </c>
      <c r="H865">
        <f>IF(COUNTIFS('United Data'!$A$3:$A$3390,H$1,'United Data'!$C$3:$C$3390,$A865,'United Data'!$B$3:$B$3390,"&lt;&gt;Off-street")&gt;0,1,0)</f>
        <v>0</v>
      </c>
      <c r="I865">
        <f>IF(COUNTIFS('United Data'!$A$3:$A$3390,I$1,'United Data'!$C$3:$C$3390,$A865,'United Data'!$B$3:$B$3390,"&lt;&gt;Off-street")&gt;0,1,0)</f>
        <v>0</v>
      </c>
      <c r="J865">
        <f>IF(COUNTIFS('United Data'!$A$3:$A$3390,J$1,'United Data'!$C$3:$C$3390,$A865,'United Data'!$B$3:$B$3390,"&lt;&gt;Off-street")&gt;0,1,0)</f>
        <v>0</v>
      </c>
      <c r="K865">
        <f>IF(COUNTIFS('United Data'!$A$3:$A$3390,K$1,'United Data'!$C$3:$C$3390,$A865,'United Data'!$B$3:$B$3390,"&lt;&gt;Off-street")&gt;0,1,0)</f>
        <v>0</v>
      </c>
      <c r="L865">
        <f>IF(COUNTIFS('United Data'!$A$3:$A$3390,L$1,'United Data'!$C$3:$C$3390,$A865,'United Data'!$B$3:$B$3390,"&lt;&gt;Off-street")&gt;0,1,0)</f>
        <v>0</v>
      </c>
      <c r="M865">
        <f>IF(COUNTIFS('United Data'!$A$3:$A$3390,M$1,'United Data'!$C$3:$C$3390,$A865,'United Data'!$B$3:$B$3390,"&lt;&gt;Off-street")&gt;0,1,0)</f>
        <v>0</v>
      </c>
      <c r="N865">
        <f>IF(COUNTIFS('United Data'!$A$3:$A$3390,N$1,'United Data'!$C$3:$C$3390,$A865,'United Data'!$B$3:$B$3390,"&lt;&gt;Off-street")&gt;0,1,0)</f>
        <v>0</v>
      </c>
      <c r="O865">
        <f>IF(COUNTIFS('United Data'!$A$3:$A$3390,O$1,'United Data'!$C$3:$C$3390,$A865,'United Data'!$B$3:$B$3390,"&lt;&gt;Off-street")&gt;0,1,0)</f>
        <v>0</v>
      </c>
      <c r="P865">
        <f>IF(COUNTIFS('United Data'!$A$3:$A$3390,P$1,'United Data'!$C$3:$C$3390,$A865,'United Data'!$B$3:$B$3390,"&lt;&gt;Off-street")&gt;0,1,0)</f>
        <v>0</v>
      </c>
      <c r="Q865">
        <f>IF(COUNTIFS('United Data'!$A$3:$A$3390,Q$1,'United Data'!$C$3:$C$3390,$A865,'United Data'!$B$3:$B$3390,"&lt;&gt;Off-street")&gt;0,1,0)</f>
        <v>0</v>
      </c>
      <c r="R865">
        <f>IF(COUNTIFS('United Data'!$A$3:$A$3390,R$1,'United Data'!$C$3:$C$3390,$A865,'United Data'!$B$3:$B$3390,"&lt;&gt;Off-street")&gt;0,1,0)</f>
        <v>1</v>
      </c>
      <c r="S865">
        <f t="shared" si="26"/>
        <v>1</v>
      </c>
      <c r="T865">
        <f t="shared" si="27"/>
        <v>1</v>
      </c>
    </row>
    <row r="866" spans="1:20" x14ac:dyDescent="0.2">
      <c r="A866" t="s">
        <v>1040</v>
      </c>
      <c r="B866">
        <f>IF(COUNTIFS('United Data'!$A$3:$A$3390,B$1,'United Data'!$C$3:$C$3390,$A866,'United Data'!$B$3:$B$3390,"&lt;&gt;Off-street")&gt;0,1,0)</f>
        <v>1</v>
      </c>
      <c r="C866">
        <f>IF(COUNTIFS('United Data'!$A$3:$A$3390,C$1,'United Data'!$C$3:$C$3390,$A866,'United Data'!$B$3:$B$3390,"&lt;&gt;Off-street")&gt;0,1,0)</f>
        <v>0</v>
      </c>
      <c r="D866">
        <f>IF(COUNTIFS('United Data'!$A$3:$A$3390,D$1,'United Data'!$C$3:$C$3390,$A866,'United Data'!$B$3:$B$3390,"&lt;&gt;Off-street")&gt;0,1,0)</f>
        <v>1</v>
      </c>
      <c r="E866">
        <f>IF(COUNTIFS('United Data'!$A$3:$A$3390,E$1,'United Data'!$C$3:$C$3390,$A866,'United Data'!$B$3:$B$3390,"&lt;&gt;Off-street")&gt;0,1,0)</f>
        <v>1</v>
      </c>
      <c r="F866">
        <f>IF(COUNTIFS('United Data'!$A$3:$A$3390,F$1,'United Data'!$C$3:$C$3390,$A866,'United Data'!$B$3:$B$3390,"&lt;&gt;Off-street")&gt;0,1,0)</f>
        <v>0</v>
      </c>
      <c r="G866">
        <f>IF(COUNTIFS('United Data'!$A$3:$A$3390,G$1,'United Data'!$C$3:$C$3390,$A866,'United Data'!$B$3:$B$3390,"&lt;&gt;Off-street")&gt;0,1,0)</f>
        <v>1</v>
      </c>
      <c r="H866">
        <f>IF(COUNTIFS('United Data'!$A$3:$A$3390,H$1,'United Data'!$C$3:$C$3390,$A866,'United Data'!$B$3:$B$3390,"&lt;&gt;Off-street")&gt;0,1,0)</f>
        <v>0</v>
      </c>
      <c r="I866">
        <f>IF(COUNTIFS('United Data'!$A$3:$A$3390,I$1,'United Data'!$C$3:$C$3390,$A866,'United Data'!$B$3:$B$3390,"&lt;&gt;Off-street")&gt;0,1,0)</f>
        <v>0</v>
      </c>
      <c r="J866">
        <f>IF(COUNTIFS('United Data'!$A$3:$A$3390,J$1,'United Data'!$C$3:$C$3390,$A866,'United Data'!$B$3:$B$3390,"&lt;&gt;Off-street")&gt;0,1,0)</f>
        <v>0</v>
      </c>
      <c r="K866">
        <f>IF(COUNTIFS('United Data'!$A$3:$A$3390,K$1,'United Data'!$C$3:$C$3390,$A866,'United Data'!$B$3:$B$3390,"&lt;&gt;Off-street")&gt;0,1,0)</f>
        <v>0</v>
      </c>
      <c r="L866">
        <f>IF(COUNTIFS('United Data'!$A$3:$A$3390,L$1,'United Data'!$C$3:$C$3390,$A866,'United Data'!$B$3:$B$3390,"&lt;&gt;Off-street")&gt;0,1,0)</f>
        <v>0</v>
      </c>
      <c r="M866">
        <f>IF(COUNTIFS('United Data'!$A$3:$A$3390,M$1,'United Data'!$C$3:$C$3390,$A866,'United Data'!$B$3:$B$3390,"&lt;&gt;Off-street")&gt;0,1,0)</f>
        <v>0</v>
      </c>
      <c r="N866">
        <f>IF(COUNTIFS('United Data'!$A$3:$A$3390,N$1,'United Data'!$C$3:$C$3390,$A866,'United Data'!$B$3:$B$3390,"&lt;&gt;Off-street")&gt;0,1,0)</f>
        <v>0</v>
      </c>
      <c r="O866">
        <f>IF(COUNTIFS('United Data'!$A$3:$A$3390,O$1,'United Data'!$C$3:$C$3390,$A866,'United Data'!$B$3:$B$3390,"&lt;&gt;Off-street")&gt;0,1,0)</f>
        <v>0</v>
      </c>
      <c r="P866">
        <f>IF(COUNTIFS('United Data'!$A$3:$A$3390,P$1,'United Data'!$C$3:$C$3390,$A866,'United Data'!$B$3:$B$3390,"&lt;&gt;Off-street")&gt;0,1,0)</f>
        <v>0</v>
      </c>
      <c r="Q866">
        <f>IF(COUNTIFS('United Data'!$A$3:$A$3390,Q$1,'United Data'!$C$3:$C$3390,$A866,'United Data'!$B$3:$B$3390,"&lt;&gt;Off-street")&gt;0,1,0)</f>
        <v>0</v>
      </c>
      <c r="R866">
        <f>IF(COUNTIFS('United Data'!$A$3:$A$3390,R$1,'United Data'!$C$3:$C$3390,$A866,'United Data'!$B$3:$B$3390,"&lt;&gt;Off-street")&gt;0,1,0)</f>
        <v>0</v>
      </c>
      <c r="S866">
        <f t="shared" si="26"/>
        <v>4</v>
      </c>
      <c r="T866">
        <f t="shared" si="27"/>
        <v>3</v>
      </c>
    </row>
    <row r="867" spans="1:20" x14ac:dyDescent="0.2">
      <c r="A867" t="s">
        <v>1041</v>
      </c>
      <c r="B867">
        <f>IF(COUNTIFS('United Data'!$A$3:$A$3390,B$1,'United Data'!$C$3:$C$3390,$A867,'United Data'!$B$3:$B$3390,"&lt;&gt;Off-street")&gt;0,1,0)</f>
        <v>1</v>
      </c>
      <c r="C867">
        <f>IF(COUNTIFS('United Data'!$A$3:$A$3390,C$1,'United Data'!$C$3:$C$3390,$A867,'United Data'!$B$3:$B$3390,"&lt;&gt;Off-street")&gt;0,1,0)</f>
        <v>0</v>
      </c>
      <c r="D867">
        <f>IF(COUNTIFS('United Data'!$A$3:$A$3390,D$1,'United Data'!$C$3:$C$3390,$A867,'United Data'!$B$3:$B$3390,"&lt;&gt;Off-street")&gt;0,1,0)</f>
        <v>0</v>
      </c>
      <c r="E867">
        <f>IF(COUNTIFS('United Data'!$A$3:$A$3390,E$1,'United Data'!$C$3:$C$3390,$A867,'United Data'!$B$3:$B$3390,"&lt;&gt;Off-street")&gt;0,1,0)</f>
        <v>0</v>
      </c>
      <c r="F867">
        <f>IF(COUNTIFS('United Data'!$A$3:$A$3390,F$1,'United Data'!$C$3:$C$3390,$A867,'United Data'!$B$3:$B$3390,"&lt;&gt;Off-street")&gt;0,1,0)</f>
        <v>0</v>
      </c>
      <c r="G867">
        <f>IF(COUNTIFS('United Data'!$A$3:$A$3390,G$1,'United Data'!$C$3:$C$3390,$A867,'United Data'!$B$3:$B$3390,"&lt;&gt;Off-street")&gt;0,1,0)</f>
        <v>0</v>
      </c>
      <c r="H867">
        <f>IF(COUNTIFS('United Data'!$A$3:$A$3390,H$1,'United Data'!$C$3:$C$3390,$A867,'United Data'!$B$3:$B$3390,"&lt;&gt;Off-street")&gt;0,1,0)</f>
        <v>0</v>
      </c>
      <c r="I867">
        <f>IF(COUNTIFS('United Data'!$A$3:$A$3390,I$1,'United Data'!$C$3:$C$3390,$A867,'United Data'!$B$3:$B$3390,"&lt;&gt;Off-street")&gt;0,1,0)</f>
        <v>0</v>
      </c>
      <c r="J867">
        <f>IF(COUNTIFS('United Data'!$A$3:$A$3390,J$1,'United Data'!$C$3:$C$3390,$A867,'United Data'!$B$3:$B$3390,"&lt;&gt;Off-street")&gt;0,1,0)</f>
        <v>0</v>
      </c>
      <c r="K867">
        <f>IF(COUNTIFS('United Data'!$A$3:$A$3390,K$1,'United Data'!$C$3:$C$3390,$A867,'United Data'!$B$3:$B$3390,"&lt;&gt;Off-street")&gt;0,1,0)</f>
        <v>0</v>
      </c>
      <c r="L867">
        <f>IF(COUNTIFS('United Data'!$A$3:$A$3390,L$1,'United Data'!$C$3:$C$3390,$A867,'United Data'!$B$3:$B$3390,"&lt;&gt;Off-street")&gt;0,1,0)</f>
        <v>0</v>
      </c>
      <c r="M867">
        <f>IF(COUNTIFS('United Data'!$A$3:$A$3390,M$1,'United Data'!$C$3:$C$3390,$A867,'United Data'!$B$3:$B$3390,"&lt;&gt;Off-street")&gt;0,1,0)</f>
        <v>0</v>
      </c>
      <c r="N867">
        <f>IF(COUNTIFS('United Data'!$A$3:$A$3390,N$1,'United Data'!$C$3:$C$3390,$A867,'United Data'!$B$3:$B$3390,"&lt;&gt;Off-street")&gt;0,1,0)</f>
        <v>0</v>
      </c>
      <c r="O867">
        <f>IF(COUNTIFS('United Data'!$A$3:$A$3390,O$1,'United Data'!$C$3:$C$3390,$A867,'United Data'!$B$3:$B$3390,"&lt;&gt;Off-street")&gt;0,1,0)</f>
        <v>0</v>
      </c>
      <c r="P867">
        <f>IF(COUNTIFS('United Data'!$A$3:$A$3390,P$1,'United Data'!$C$3:$C$3390,$A867,'United Data'!$B$3:$B$3390,"&lt;&gt;Off-street")&gt;0,1,0)</f>
        <v>0</v>
      </c>
      <c r="Q867">
        <f>IF(COUNTIFS('United Data'!$A$3:$A$3390,Q$1,'United Data'!$C$3:$C$3390,$A867,'United Data'!$B$3:$B$3390,"&lt;&gt;Off-street")&gt;0,1,0)</f>
        <v>0</v>
      </c>
      <c r="R867">
        <f>IF(COUNTIFS('United Data'!$A$3:$A$3390,R$1,'United Data'!$C$3:$C$3390,$A867,'United Data'!$B$3:$B$3390,"&lt;&gt;Off-street")&gt;0,1,0)</f>
        <v>0</v>
      </c>
      <c r="S867">
        <f t="shared" si="26"/>
        <v>1</v>
      </c>
      <c r="T867">
        <f t="shared" si="27"/>
        <v>1</v>
      </c>
    </row>
    <row r="868" spans="1:20" x14ac:dyDescent="0.2">
      <c r="A868" t="s">
        <v>1042</v>
      </c>
      <c r="B868">
        <f>IF(COUNTIFS('United Data'!$A$3:$A$3390,B$1,'United Data'!$C$3:$C$3390,$A868,'United Data'!$B$3:$B$3390,"&lt;&gt;Off-street")&gt;0,1,0)</f>
        <v>1</v>
      </c>
      <c r="C868">
        <f>IF(COUNTIFS('United Data'!$A$3:$A$3390,C$1,'United Data'!$C$3:$C$3390,$A868,'United Data'!$B$3:$B$3390,"&lt;&gt;Off-street")&gt;0,1,0)</f>
        <v>1</v>
      </c>
      <c r="D868">
        <f>IF(COUNTIFS('United Data'!$A$3:$A$3390,D$1,'United Data'!$C$3:$C$3390,$A868,'United Data'!$B$3:$B$3390,"&lt;&gt;Off-street")&gt;0,1,0)</f>
        <v>1</v>
      </c>
      <c r="E868">
        <f>IF(COUNTIFS('United Data'!$A$3:$A$3390,E$1,'United Data'!$C$3:$C$3390,$A868,'United Data'!$B$3:$B$3390,"&lt;&gt;Off-street")&gt;0,1,0)</f>
        <v>0</v>
      </c>
      <c r="F868">
        <f>IF(COUNTIFS('United Data'!$A$3:$A$3390,F$1,'United Data'!$C$3:$C$3390,$A868,'United Data'!$B$3:$B$3390,"&lt;&gt;Off-street")&gt;0,1,0)</f>
        <v>1</v>
      </c>
      <c r="G868">
        <f>IF(COUNTIFS('United Data'!$A$3:$A$3390,G$1,'United Data'!$C$3:$C$3390,$A868,'United Data'!$B$3:$B$3390,"&lt;&gt;Off-street")&gt;0,1,0)</f>
        <v>0</v>
      </c>
      <c r="H868">
        <f>IF(COUNTIFS('United Data'!$A$3:$A$3390,H$1,'United Data'!$C$3:$C$3390,$A868,'United Data'!$B$3:$B$3390,"&lt;&gt;Off-street")&gt;0,1,0)</f>
        <v>0</v>
      </c>
      <c r="I868">
        <f>IF(COUNTIFS('United Data'!$A$3:$A$3390,I$1,'United Data'!$C$3:$C$3390,$A868,'United Data'!$B$3:$B$3390,"&lt;&gt;Off-street")&gt;0,1,0)</f>
        <v>0</v>
      </c>
      <c r="J868">
        <f>IF(COUNTIFS('United Data'!$A$3:$A$3390,J$1,'United Data'!$C$3:$C$3390,$A868,'United Data'!$B$3:$B$3390,"&lt;&gt;Off-street")&gt;0,1,0)</f>
        <v>0</v>
      </c>
      <c r="K868">
        <f>IF(COUNTIFS('United Data'!$A$3:$A$3390,K$1,'United Data'!$C$3:$C$3390,$A868,'United Data'!$B$3:$B$3390,"&lt;&gt;Off-street")&gt;0,1,0)</f>
        <v>0</v>
      </c>
      <c r="L868">
        <f>IF(COUNTIFS('United Data'!$A$3:$A$3390,L$1,'United Data'!$C$3:$C$3390,$A868,'United Data'!$B$3:$B$3390,"&lt;&gt;Off-street")&gt;0,1,0)</f>
        <v>0</v>
      </c>
      <c r="M868">
        <f>IF(COUNTIFS('United Data'!$A$3:$A$3390,M$1,'United Data'!$C$3:$C$3390,$A868,'United Data'!$B$3:$B$3390,"&lt;&gt;Off-street")&gt;0,1,0)</f>
        <v>0</v>
      </c>
      <c r="N868">
        <f>IF(COUNTIFS('United Data'!$A$3:$A$3390,N$1,'United Data'!$C$3:$C$3390,$A868,'United Data'!$B$3:$B$3390,"&lt;&gt;Off-street")&gt;0,1,0)</f>
        <v>0</v>
      </c>
      <c r="O868">
        <f>IF(COUNTIFS('United Data'!$A$3:$A$3390,O$1,'United Data'!$C$3:$C$3390,$A868,'United Data'!$B$3:$B$3390,"&lt;&gt;Off-street")&gt;0,1,0)</f>
        <v>0</v>
      </c>
      <c r="P868">
        <f>IF(COUNTIFS('United Data'!$A$3:$A$3390,P$1,'United Data'!$C$3:$C$3390,$A868,'United Data'!$B$3:$B$3390,"&lt;&gt;Off-street")&gt;0,1,0)</f>
        <v>0</v>
      </c>
      <c r="Q868">
        <f>IF(COUNTIFS('United Data'!$A$3:$A$3390,Q$1,'United Data'!$C$3:$C$3390,$A868,'United Data'!$B$3:$B$3390,"&lt;&gt;Off-street")&gt;0,1,0)</f>
        <v>0</v>
      </c>
      <c r="R868">
        <f>IF(COUNTIFS('United Data'!$A$3:$A$3390,R$1,'United Data'!$C$3:$C$3390,$A868,'United Data'!$B$3:$B$3390,"&lt;&gt;Off-street")&gt;0,1,0)</f>
        <v>0</v>
      </c>
      <c r="S868">
        <f t="shared" si="26"/>
        <v>4</v>
      </c>
      <c r="T868">
        <f t="shared" si="27"/>
        <v>2</v>
      </c>
    </row>
    <row r="869" spans="1:20" x14ac:dyDescent="0.2">
      <c r="A869" t="s">
        <v>1043</v>
      </c>
      <c r="B869">
        <f>IF(COUNTIFS('United Data'!$A$3:$A$3390,B$1,'United Data'!$C$3:$C$3390,$A869,'United Data'!$B$3:$B$3390,"&lt;&gt;Off-street")&gt;0,1,0)</f>
        <v>1</v>
      </c>
      <c r="C869">
        <f>IF(COUNTIFS('United Data'!$A$3:$A$3390,C$1,'United Data'!$C$3:$C$3390,$A869,'United Data'!$B$3:$B$3390,"&lt;&gt;Off-street")&gt;0,1,0)</f>
        <v>1</v>
      </c>
      <c r="D869">
        <f>IF(COUNTIFS('United Data'!$A$3:$A$3390,D$1,'United Data'!$C$3:$C$3390,$A869,'United Data'!$B$3:$B$3390,"&lt;&gt;Off-street")&gt;0,1,0)</f>
        <v>0</v>
      </c>
      <c r="E869">
        <f>IF(COUNTIFS('United Data'!$A$3:$A$3390,E$1,'United Data'!$C$3:$C$3390,$A869,'United Data'!$B$3:$B$3390,"&lt;&gt;Off-street")&gt;0,1,0)</f>
        <v>0</v>
      </c>
      <c r="F869">
        <f>IF(COUNTIFS('United Data'!$A$3:$A$3390,F$1,'United Data'!$C$3:$C$3390,$A869,'United Data'!$B$3:$B$3390,"&lt;&gt;Off-street")&gt;0,1,0)</f>
        <v>0</v>
      </c>
      <c r="G869">
        <f>IF(COUNTIFS('United Data'!$A$3:$A$3390,G$1,'United Data'!$C$3:$C$3390,$A869,'United Data'!$B$3:$B$3390,"&lt;&gt;Off-street")&gt;0,1,0)</f>
        <v>0</v>
      </c>
      <c r="H869">
        <f>IF(COUNTIFS('United Data'!$A$3:$A$3390,H$1,'United Data'!$C$3:$C$3390,$A869,'United Data'!$B$3:$B$3390,"&lt;&gt;Off-street")&gt;0,1,0)</f>
        <v>0</v>
      </c>
      <c r="I869">
        <f>IF(COUNTIFS('United Data'!$A$3:$A$3390,I$1,'United Data'!$C$3:$C$3390,$A869,'United Data'!$B$3:$B$3390,"&lt;&gt;Off-street")&gt;0,1,0)</f>
        <v>0</v>
      </c>
      <c r="J869">
        <f>IF(COUNTIFS('United Data'!$A$3:$A$3390,J$1,'United Data'!$C$3:$C$3390,$A869,'United Data'!$B$3:$B$3390,"&lt;&gt;Off-street")&gt;0,1,0)</f>
        <v>0</v>
      </c>
      <c r="K869">
        <f>IF(COUNTIFS('United Data'!$A$3:$A$3390,K$1,'United Data'!$C$3:$C$3390,$A869,'United Data'!$B$3:$B$3390,"&lt;&gt;Off-street")&gt;0,1,0)</f>
        <v>0</v>
      </c>
      <c r="L869">
        <f>IF(COUNTIFS('United Data'!$A$3:$A$3390,L$1,'United Data'!$C$3:$C$3390,$A869,'United Data'!$B$3:$B$3390,"&lt;&gt;Off-street")&gt;0,1,0)</f>
        <v>0</v>
      </c>
      <c r="M869">
        <f>IF(COUNTIFS('United Data'!$A$3:$A$3390,M$1,'United Data'!$C$3:$C$3390,$A869,'United Data'!$B$3:$B$3390,"&lt;&gt;Off-street")&gt;0,1,0)</f>
        <v>0</v>
      </c>
      <c r="N869">
        <f>IF(COUNTIFS('United Data'!$A$3:$A$3390,N$1,'United Data'!$C$3:$C$3390,$A869,'United Data'!$B$3:$B$3390,"&lt;&gt;Off-street")&gt;0,1,0)</f>
        <v>0</v>
      </c>
      <c r="O869">
        <f>IF(COUNTIFS('United Data'!$A$3:$A$3390,O$1,'United Data'!$C$3:$C$3390,$A869,'United Data'!$B$3:$B$3390,"&lt;&gt;Off-street")&gt;0,1,0)</f>
        <v>0</v>
      </c>
      <c r="P869">
        <f>IF(COUNTIFS('United Data'!$A$3:$A$3390,P$1,'United Data'!$C$3:$C$3390,$A869,'United Data'!$B$3:$B$3390,"&lt;&gt;Off-street")&gt;0,1,0)</f>
        <v>0</v>
      </c>
      <c r="Q869">
        <f>IF(COUNTIFS('United Data'!$A$3:$A$3390,Q$1,'United Data'!$C$3:$C$3390,$A869,'United Data'!$B$3:$B$3390,"&lt;&gt;Off-street")&gt;0,1,0)</f>
        <v>0</v>
      </c>
      <c r="R869">
        <f>IF(COUNTIFS('United Data'!$A$3:$A$3390,R$1,'United Data'!$C$3:$C$3390,$A869,'United Data'!$B$3:$B$3390,"&lt;&gt;Off-street")&gt;0,1,0)</f>
        <v>0</v>
      </c>
      <c r="S869">
        <f t="shared" si="26"/>
        <v>2</v>
      </c>
      <c r="T869">
        <f t="shared" si="27"/>
        <v>1</v>
      </c>
    </row>
    <row r="870" spans="1:20" x14ac:dyDescent="0.2">
      <c r="A870" t="s">
        <v>1044</v>
      </c>
      <c r="B870">
        <f>IF(COUNTIFS('United Data'!$A$3:$A$3390,B$1,'United Data'!$C$3:$C$3390,$A870,'United Data'!$B$3:$B$3390,"&lt;&gt;Off-street")&gt;0,1,0)</f>
        <v>1</v>
      </c>
      <c r="C870">
        <f>IF(COUNTIFS('United Data'!$A$3:$A$3390,C$1,'United Data'!$C$3:$C$3390,$A870,'United Data'!$B$3:$B$3390,"&lt;&gt;Off-street")&gt;0,1,0)</f>
        <v>1</v>
      </c>
      <c r="D870">
        <f>IF(COUNTIFS('United Data'!$A$3:$A$3390,D$1,'United Data'!$C$3:$C$3390,$A870,'United Data'!$B$3:$B$3390,"&lt;&gt;Off-street")&gt;0,1,0)</f>
        <v>0</v>
      </c>
      <c r="E870">
        <f>IF(COUNTIFS('United Data'!$A$3:$A$3390,E$1,'United Data'!$C$3:$C$3390,$A870,'United Data'!$B$3:$B$3390,"&lt;&gt;Off-street")&gt;0,1,0)</f>
        <v>1</v>
      </c>
      <c r="F870">
        <f>IF(COUNTIFS('United Data'!$A$3:$A$3390,F$1,'United Data'!$C$3:$C$3390,$A870,'United Data'!$B$3:$B$3390,"&lt;&gt;Off-street")&gt;0,1,0)</f>
        <v>0</v>
      </c>
      <c r="G870">
        <f>IF(COUNTIFS('United Data'!$A$3:$A$3390,G$1,'United Data'!$C$3:$C$3390,$A870,'United Data'!$B$3:$B$3390,"&lt;&gt;Off-street")&gt;0,1,0)</f>
        <v>0</v>
      </c>
      <c r="H870">
        <f>IF(COUNTIFS('United Data'!$A$3:$A$3390,H$1,'United Data'!$C$3:$C$3390,$A870,'United Data'!$B$3:$B$3390,"&lt;&gt;Off-street")&gt;0,1,0)</f>
        <v>0</v>
      </c>
      <c r="I870">
        <f>IF(COUNTIFS('United Data'!$A$3:$A$3390,I$1,'United Data'!$C$3:$C$3390,$A870,'United Data'!$B$3:$B$3390,"&lt;&gt;Off-street")&gt;0,1,0)</f>
        <v>0</v>
      </c>
      <c r="J870">
        <f>IF(COUNTIFS('United Data'!$A$3:$A$3390,J$1,'United Data'!$C$3:$C$3390,$A870,'United Data'!$B$3:$B$3390,"&lt;&gt;Off-street")&gt;0,1,0)</f>
        <v>0</v>
      </c>
      <c r="K870">
        <f>IF(COUNTIFS('United Data'!$A$3:$A$3390,K$1,'United Data'!$C$3:$C$3390,$A870,'United Data'!$B$3:$B$3390,"&lt;&gt;Off-street")&gt;0,1,0)</f>
        <v>0</v>
      </c>
      <c r="L870">
        <f>IF(COUNTIFS('United Data'!$A$3:$A$3390,L$1,'United Data'!$C$3:$C$3390,$A870,'United Data'!$B$3:$B$3390,"&lt;&gt;Off-street")&gt;0,1,0)</f>
        <v>0</v>
      </c>
      <c r="M870">
        <f>IF(COUNTIFS('United Data'!$A$3:$A$3390,M$1,'United Data'!$C$3:$C$3390,$A870,'United Data'!$B$3:$B$3390,"&lt;&gt;Off-street")&gt;0,1,0)</f>
        <v>0</v>
      </c>
      <c r="N870">
        <f>IF(COUNTIFS('United Data'!$A$3:$A$3390,N$1,'United Data'!$C$3:$C$3390,$A870,'United Data'!$B$3:$B$3390,"&lt;&gt;Off-street")&gt;0,1,0)</f>
        <v>0</v>
      </c>
      <c r="O870">
        <f>IF(COUNTIFS('United Data'!$A$3:$A$3390,O$1,'United Data'!$C$3:$C$3390,$A870,'United Data'!$B$3:$B$3390,"&lt;&gt;Off-street")&gt;0,1,0)</f>
        <v>0</v>
      </c>
      <c r="P870">
        <f>IF(COUNTIFS('United Data'!$A$3:$A$3390,P$1,'United Data'!$C$3:$C$3390,$A870,'United Data'!$B$3:$B$3390,"&lt;&gt;Off-street")&gt;0,1,0)</f>
        <v>0</v>
      </c>
      <c r="Q870">
        <f>IF(COUNTIFS('United Data'!$A$3:$A$3390,Q$1,'United Data'!$C$3:$C$3390,$A870,'United Data'!$B$3:$B$3390,"&lt;&gt;Off-street")&gt;0,1,0)</f>
        <v>0</v>
      </c>
      <c r="R870">
        <f>IF(COUNTIFS('United Data'!$A$3:$A$3390,R$1,'United Data'!$C$3:$C$3390,$A870,'United Data'!$B$3:$B$3390,"&lt;&gt;Off-street")&gt;0,1,0)</f>
        <v>0</v>
      </c>
      <c r="S870">
        <f t="shared" si="26"/>
        <v>3</v>
      </c>
      <c r="T870">
        <f t="shared" si="27"/>
        <v>2</v>
      </c>
    </row>
    <row r="871" spans="1:20" x14ac:dyDescent="0.2">
      <c r="A871" t="s">
        <v>1045</v>
      </c>
      <c r="B871">
        <f>IF(COUNTIFS('United Data'!$A$3:$A$3390,B$1,'United Data'!$C$3:$C$3390,$A871,'United Data'!$B$3:$B$3390,"&lt;&gt;Off-street")&gt;0,1,0)</f>
        <v>1</v>
      </c>
      <c r="C871">
        <f>IF(COUNTIFS('United Data'!$A$3:$A$3390,C$1,'United Data'!$C$3:$C$3390,$A871,'United Data'!$B$3:$B$3390,"&lt;&gt;Off-street")&gt;0,1,0)</f>
        <v>0</v>
      </c>
      <c r="D871">
        <f>IF(COUNTIFS('United Data'!$A$3:$A$3390,D$1,'United Data'!$C$3:$C$3390,$A871,'United Data'!$B$3:$B$3390,"&lt;&gt;Off-street")&gt;0,1,0)</f>
        <v>0</v>
      </c>
      <c r="E871">
        <f>IF(COUNTIFS('United Data'!$A$3:$A$3390,E$1,'United Data'!$C$3:$C$3390,$A871,'United Data'!$B$3:$B$3390,"&lt;&gt;Off-street")&gt;0,1,0)</f>
        <v>0</v>
      </c>
      <c r="F871">
        <f>IF(COUNTIFS('United Data'!$A$3:$A$3390,F$1,'United Data'!$C$3:$C$3390,$A871,'United Data'!$B$3:$B$3390,"&lt;&gt;Off-street")&gt;0,1,0)</f>
        <v>0</v>
      </c>
      <c r="G871">
        <f>IF(COUNTIFS('United Data'!$A$3:$A$3390,G$1,'United Data'!$C$3:$C$3390,$A871,'United Data'!$B$3:$B$3390,"&lt;&gt;Off-street")&gt;0,1,0)</f>
        <v>0</v>
      </c>
      <c r="H871">
        <f>IF(COUNTIFS('United Data'!$A$3:$A$3390,H$1,'United Data'!$C$3:$C$3390,$A871,'United Data'!$B$3:$B$3390,"&lt;&gt;Off-street")&gt;0,1,0)</f>
        <v>0</v>
      </c>
      <c r="I871">
        <f>IF(COUNTIFS('United Data'!$A$3:$A$3390,I$1,'United Data'!$C$3:$C$3390,$A871,'United Data'!$B$3:$B$3390,"&lt;&gt;Off-street")&gt;0,1,0)</f>
        <v>0</v>
      </c>
      <c r="J871">
        <f>IF(COUNTIFS('United Data'!$A$3:$A$3390,J$1,'United Data'!$C$3:$C$3390,$A871,'United Data'!$B$3:$B$3390,"&lt;&gt;Off-street")&gt;0,1,0)</f>
        <v>0</v>
      </c>
      <c r="K871">
        <f>IF(COUNTIFS('United Data'!$A$3:$A$3390,K$1,'United Data'!$C$3:$C$3390,$A871,'United Data'!$B$3:$B$3390,"&lt;&gt;Off-street")&gt;0,1,0)</f>
        <v>0</v>
      </c>
      <c r="L871">
        <f>IF(COUNTIFS('United Data'!$A$3:$A$3390,L$1,'United Data'!$C$3:$C$3390,$A871,'United Data'!$B$3:$B$3390,"&lt;&gt;Off-street")&gt;0,1,0)</f>
        <v>0</v>
      </c>
      <c r="M871">
        <f>IF(COUNTIFS('United Data'!$A$3:$A$3390,M$1,'United Data'!$C$3:$C$3390,$A871,'United Data'!$B$3:$B$3390,"&lt;&gt;Off-street")&gt;0,1,0)</f>
        <v>0</v>
      </c>
      <c r="N871">
        <f>IF(COUNTIFS('United Data'!$A$3:$A$3390,N$1,'United Data'!$C$3:$C$3390,$A871,'United Data'!$B$3:$B$3390,"&lt;&gt;Off-street")&gt;0,1,0)</f>
        <v>0</v>
      </c>
      <c r="O871">
        <f>IF(COUNTIFS('United Data'!$A$3:$A$3390,O$1,'United Data'!$C$3:$C$3390,$A871,'United Data'!$B$3:$B$3390,"&lt;&gt;Off-street")&gt;0,1,0)</f>
        <v>0</v>
      </c>
      <c r="P871">
        <f>IF(COUNTIFS('United Data'!$A$3:$A$3390,P$1,'United Data'!$C$3:$C$3390,$A871,'United Data'!$B$3:$B$3390,"&lt;&gt;Off-street")&gt;0,1,0)</f>
        <v>0</v>
      </c>
      <c r="Q871">
        <f>IF(COUNTIFS('United Data'!$A$3:$A$3390,Q$1,'United Data'!$C$3:$C$3390,$A871,'United Data'!$B$3:$B$3390,"&lt;&gt;Off-street")&gt;0,1,0)</f>
        <v>0</v>
      </c>
      <c r="R871">
        <f>IF(COUNTIFS('United Data'!$A$3:$A$3390,R$1,'United Data'!$C$3:$C$3390,$A871,'United Data'!$B$3:$B$3390,"&lt;&gt;Off-street")&gt;0,1,0)</f>
        <v>0</v>
      </c>
      <c r="S871">
        <f t="shared" si="26"/>
        <v>1</v>
      </c>
      <c r="T871">
        <f t="shared" si="27"/>
        <v>1</v>
      </c>
    </row>
    <row r="872" spans="1:20" x14ac:dyDescent="0.2">
      <c r="A872" t="s">
        <v>1046</v>
      </c>
      <c r="B872">
        <f>IF(COUNTIFS('United Data'!$A$3:$A$3390,B$1,'United Data'!$C$3:$C$3390,$A872,'United Data'!$B$3:$B$3390,"&lt;&gt;Off-street")&gt;0,1,0)</f>
        <v>1</v>
      </c>
      <c r="C872">
        <f>IF(COUNTIFS('United Data'!$A$3:$A$3390,C$1,'United Data'!$C$3:$C$3390,$A872,'United Data'!$B$3:$B$3390,"&lt;&gt;Off-street")&gt;0,1,0)</f>
        <v>0</v>
      </c>
      <c r="D872">
        <f>IF(COUNTIFS('United Data'!$A$3:$A$3390,D$1,'United Data'!$C$3:$C$3390,$A872,'United Data'!$B$3:$B$3390,"&lt;&gt;Off-street")&gt;0,1,0)</f>
        <v>1</v>
      </c>
      <c r="E872">
        <f>IF(COUNTIFS('United Data'!$A$3:$A$3390,E$1,'United Data'!$C$3:$C$3390,$A872,'United Data'!$B$3:$B$3390,"&lt;&gt;Off-street")&gt;0,1,0)</f>
        <v>1</v>
      </c>
      <c r="F872">
        <f>IF(COUNTIFS('United Data'!$A$3:$A$3390,F$1,'United Data'!$C$3:$C$3390,$A872,'United Data'!$B$3:$B$3390,"&lt;&gt;Off-street")&gt;0,1,0)</f>
        <v>0</v>
      </c>
      <c r="G872">
        <f>IF(COUNTIFS('United Data'!$A$3:$A$3390,G$1,'United Data'!$C$3:$C$3390,$A872,'United Data'!$B$3:$B$3390,"&lt;&gt;Off-street")&gt;0,1,0)</f>
        <v>0</v>
      </c>
      <c r="H872">
        <f>IF(COUNTIFS('United Data'!$A$3:$A$3390,H$1,'United Data'!$C$3:$C$3390,$A872,'United Data'!$B$3:$B$3390,"&lt;&gt;Off-street")&gt;0,1,0)</f>
        <v>0</v>
      </c>
      <c r="I872">
        <f>IF(COUNTIFS('United Data'!$A$3:$A$3390,I$1,'United Data'!$C$3:$C$3390,$A872,'United Data'!$B$3:$B$3390,"&lt;&gt;Off-street")&gt;0,1,0)</f>
        <v>0</v>
      </c>
      <c r="J872">
        <f>IF(COUNTIFS('United Data'!$A$3:$A$3390,J$1,'United Data'!$C$3:$C$3390,$A872,'United Data'!$B$3:$B$3390,"&lt;&gt;Off-street")&gt;0,1,0)</f>
        <v>0</v>
      </c>
      <c r="K872">
        <f>IF(COUNTIFS('United Data'!$A$3:$A$3390,K$1,'United Data'!$C$3:$C$3390,$A872,'United Data'!$B$3:$B$3390,"&lt;&gt;Off-street")&gt;0,1,0)</f>
        <v>0</v>
      </c>
      <c r="L872">
        <f>IF(COUNTIFS('United Data'!$A$3:$A$3390,L$1,'United Data'!$C$3:$C$3390,$A872,'United Data'!$B$3:$B$3390,"&lt;&gt;Off-street")&gt;0,1,0)</f>
        <v>0</v>
      </c>
      <c r="M872">
        <f>IF(COUNTIFS('United Data'!$A$3:$A$3390,M$1,'United Data'!$C$3:$C$3390,$A872,'United Data'!$B$3:$B$3390,"&lt;&gt;Off-street")&gt;0,1,0)</f>
        <v>0</v>
      </c>
      <c r="N872">
        <f>IF(COUNTIFS('United Data'!$A$3:$A$3390,N$1,'United Data'!$C$3:$C$3390,$A872,'United Data'!$B$3:$B$3390,"&lt;&gt;Off-street")&gt;0,1,0)</f>
        <v>1</v>
      </c>
      <c r="O872">
        <f>IF(COUNTIFS('United Data'!$A$3:$A$3390,O$1,'United Data'!$C$3:$C$3390,$A872,'United Data'!$B$3:$B$3390,"&lt;&gt;Off-street")&gt;0,1,0)</f>
        <v>0</v>
      </c>
      <c r="P872">
        <f>IF(COUNTIFS('United Data'!$A$3:$A$3390,P$1,'United Data'!$C$3:$C$3390,$A872,'United Data'!$B$3:$B$3390,"&lt;&gt;Off-street")&gt;0,1,0)</f>
        <v>1</v>
      </c>
      <c r="Q872">
        <f>IF(COUNTIFS('United Data'!$A$3:$A$3390,Q$1,'United Data'!$C$3:$C$3390,$A872,'United Data'!$B$3:$B$3390,"&lt;&gt;Off-street")&gt;0,1,0)</f>
        <v>1</v>
      </c>
      <c r="R872">
        <f>IF(COUNTIFS('United Data'!$A$3:$A$3390,R$1,'United Data'!$C$3:$C$3390,$A872,'United Data'!$B$3:$B$3390,"&lt;&gt;Off-street")&gt;0,1,0)</f>
        <v>0</v>
      </c>
      <c r="S872">
        <f t="shared" si="26"/>
        <v>6</v>
      </c>
      <c r="T872">
        <f t="shared" si="27"/>
        <v>4</v>
      </c>
    </row>
    <row r="873" spans="1:20" x14ac:dyDescent="0.2">
      <c r="A873" t="s">
        <v>1050</v>
      </c>
      <c r="B873">
        <f>IF(COUNTIFS('United Data'!$A$3:$A$3390,B$1,'United Data'!$C$3:$C$3390,$A873,'United Data'!$B$3:$B$3390,"&lt;&gt;Off-street")&gt;0,1,0)</f>
        <v>0</v>
      </c>
      <c r="C873">
        <f>IF(COUNTIFS('United Data'!$A$3:$A$3390,C$1,'United Data'!$C$3:$C$3390,$A873,'United Data'!$B$3:$B$3390,"&lt;&gt;Off-street")&gt;0,1,0)</f>
        <v>0</v>
      </c>
      <c r="D873">
        <f>IF(COUNTIFS('United Data'!$A$3:$A$3390,D$1,'United Data'!$C$3:$C$3390,$A873,'United Data'!$B$3:$B$3390,"&lt;&gt;Off-street")&gt;0,1,0)</f>
        <v>1</v>
      </c>
      <c r="E873">
        <f>IF(COUNTIFS('United Data'!$A$3:$A$3390,E$1,'United Data'!$C$3:$C$3390,$A873,'United Data'!$B$3:$B$3390,"&lt;&gt;Off-street")&gt;0,1,0)</f>
        <v>0</v>
      </c>
      <c r="F873">
        <f>IF(COUNTIFS('United Data'!$A$3:$A$3390,F$1,'United Data'!$C$3:$C$3390,$A873,'United Data'!$B$3:$B$3390,"&lt;&gt;Off-street")&gt;0,1,0)</f>
        <v>0</v>
      </c>
      <c r="G873">
        <f>IF(COUNTIFS('United Data'!$A$3:$A$3390,G$1,'United Data'!$C$3:$C$3390,$A873,'United Data'!$B$3:$B$3390,"&lt;&gt;Off-street")&gt;0,1,0)</f>
        <v>0</v>
      </c>
      <c r="H873">
        <f>IF(COUNTIFS('United Data'!$A$3:$A$3390,H$1,'United Data'!$C$3:$C$3390,$A873,'United Data'!$B$3:$B$3390,"&lt;&gt;Off-street")&gt;0,1,0)</f>
        <v>0</v>
      </c>
      <c r="I873">
        <f>IF(COUNTIFS('United Data'!$A$3:$A$3390,I$1,'United Data'!$C$3:$C$3390,$A873,'United Data'!$B$3:$B$3390,"&lt;&gt;Off-street")&gt;0,1,0)</f>
        <v>0</v>
      </c>
      <c r="J873">
        <f>IF(COUNTIFS('United Data'!$A$3:$A$3390,J$1,'United Data'!$C$3:$C$3390,$A873,'United Data'!$B$3:$B$3390,"&lt;&gt;Off-street")&gt;0,1,0)</f>
        <v>0</v>
      </c>
      <c r="K873">
        <f>IF(COUNTIFS('United Data'!$A$3:$A$3390,K$1,'United Data'!$C$3:$C$3390,$A873,'United Data'!$B$3:$B$3390,"&lt;&gt;Off-street")&gt;0,1,0)</f>
        <v>0</v>
      </c>
      <c r="L873">
        <f>IF(COUNTIFS('United Data'!$A$3:$A$3390,L$1,'United Data'!$C$3:$C$3390,$A873,'United Data'!$B$3:$B$3390,"&lt;&gt;Off-street")&gt;0,1,0)</f>
        <v>1</v>
      </c>
      <c r="M873">
        <f>IF(COUNTIFS('United Data'!$A$3:$A$3390,M$1,'United Data'!$C$3:$C$3390,$A873,'United Data'!$B$3:$B$3390,"&lt;&gt;Off-street")&gt;0,1,0)</f>
        <v>0</v>
      </c>
      <c r="N873">
        <f>IF(COUNTIFS('United Data'!$A$3:$A$3390,N$1,'United Data'!$C$3:$C$3390,$A873,'United Data'!$B$3:$B$3390,"&lt;&gt;Off-street")&gt;0,1,0)</f>
        <v>1</v>
      </c>
      <c r="O873">
        <f>IF(COUNTIFS('United Data'!$A$3:$A$3390,O$1,'United Data'!$C$3:$C$3390,$A873,'United Data'!$B$3:$B$3390,"&lt;&gt;Off-street")&gt;0,1,0)</f>
        <v>0</v>
      </c>
      <c r="P873">
        <f>IF(COUNTIFS('United Data'!$A$3:$A$3390,P$1,'United Data'!$C$3:$C$3390,$A873,'United Data'!$B$3:$B$3390,"&lt;&gt;Off-street")&gt;0,1,0)</f>
        <v>0</v>
      </c>
      <c r="Q873">
        <f>IF(COUNTIFS('United Data'!$A$3:$A$3390,Q$1,'United Data'!$C$3:$C$3390,$A873,'United Data'!$B$3:$B$3390,"&lt;&gt;Off-street")&gt;0,1,0)</f>
        <v>1</v>
      </c>
      <c r="R873">
        <f>IF(COUNTIFS('United Data'!$A$3:$A$3390,R$1,'United Data'!$C$3:$C$3390,$A873,'United Data'!$B$3:$B$3390,"&lt;&gt;Off-street")&gt;0,1,0)</f>
        <v>0</v>
      </c>
      <c r="S873">
        <f t="shared" si="26"/>
        <v>4</v>
      </c>
      <c r="T873">
        <f t="shared" si="27"/>
        <v>4</v>
      </c>
    </row>
    <row r="874" spans="1:20" x14ac:dyDescent="0.2">
      <c r="A874" t="s">
        <v>1053</v>
      </c>
      <c r="B874">
        <f>IF(COUNTIFS('United Data'!$A$3:$A$3390,B$1,'United Data'!$C$3:$C$3390,$A874,'United Data'!$B$3:$B$3390,"&lt;&gt;Off-street")&gt;0,1,0)</f>
        <v>0</v>
      </c>
      <c r="C874">
        <f>IF(COUNTIFS('United Data'!$A$3:$A$3390,C$1,'United Data'!$C$3:$C$3390,$A874,'United Data'!$B$3:$B$3390,"&lt;&gt;Off-street")&gt;0,1,0)</f>
        <v>0</v>
      </c>
      <c r="D874">
        <f>IF(COUNTIFS('United Data'!$A$3:$A$3390,D$1,'United Data'!$C$3:$C$3390,$A874,'United Data'!$B$3:$B$3390,"&lt;&gt;Off-street")&gt;0,1,0)</f>
        <v>1</v>
      </c>
      <c r="E874">
        <f>IF(COUNTIFS('United Data'!$A$3:$A$3390,E$1,'United Data'!$C$3:$C$3390,$A874,'United Data'!$B$3:$B$3390,"&lt;&gt;Off-street")&gt;0,1,0)</f>
        <v>0</v>
      </c>
      <c r="F874">
        <f>IF(COUNTIFS('United Data'!$A$3:$A$3390,F$1,'United Data'!$C$3:$C$3390,$A874,'United Data'!$B$3:$B$3390,"&lt;&gt;Off-street")&gt;0,1,0)</f>
        <v>0</v>
      </c>
      <c r="G874">
        <f>IF(COUNTIFS('United Data'!$A$3:$A$3390,G$1,'United Data'!$C$3:$C$3390,$A874,'United Data'!$B$3:$B$3390,"&lt;&gt;Off-street")&gt;0,1,0)</f>
        <v>0</v>
      </c>
      <c r="H874">
        <f>IF(COUNTIFS('United Data'!$A$3:$A$3390,H$1,'United Data'!$C$3:$C$3390,$A874,'United Data'!$B$3:$B$3390,"&lt;&gt;Off-street")&gt;0,1,0)</f>
        <v>0</v>
      </c>
      <c r="I874">
        <f>IF(COUNTIFS('United Data'!$A$3:$A$3390,I$1,'United Data'!$C$3:$C$3390,$A874,'United Data'!$B$3:$B$3390,"&lt;&gt;Off-street")&gt;0,1,0)</f>
        <v>0</v>
      </c>
      <c r="J874">
        <f>IF(COUNTIFS('United Data'!$A$3:$A$3390,J$1,'United Data'!$C$3:$C$3390,$A874,'United Data'!$B$3:$B$3390,"&lt;&gt;Off-street")&gt;0,1,0)</f>
        <v>0</v>
      </c>
      <c r="K874">
        <f>IF(COUNTIFS('United Data'!$A$3:$A$3390,K$1,'United Data'!$C$3:$C$3390,$A874,'United Data'!$B$3:$B$3390,"&lt;&gt;Off-street")&gt;0,1,0)</f>
        <v>0</v>
      </c>
      <c r="L874">
        <f>IF(COUNTIFS('United Data'!$A$3:$A$3390,L$1,'United Data'!$C$3:$C$3390,$A874,'United Data'!$B$3:$B$3390,"&lt;&gt;Off-street")&gt;0,1,0)</f>
        <v>0</v>
      </c>
      <c r="M874">
        <f>IF(COUNTIFS('United Data'!$A$3:$A$3390,M$1,'United Data'!$C$3:$C$3390,$A874,'United Data'!$B$3:$B$3390,"&lt;&gt;Off-street")&gt;0,1,0)</f>
        <v>0</v>
      </c>
      <c r="N874">
        <f>IF(COUNTIFS('United Data'!$A$3:$A$3390,N$1,'United Data'!$C$3:$C$3390,$A874,'United Data'!$B$3:$B$3390,"&lt;&gt;Off-street")&gt;0,1,0)</f>
        <v>0</v>
      </c>
      <c r="O874">
        <f>IF(COUNTIFS('United Data'!$A$3:$A$3390,O$1,'United Data'!$C$3:$C$3390,$A874,'United Data'!$B$3:$B$3390,"&lt;&gt;Off-street")&gt;0,1,0)</f>
        <v>0</v>
      </c>
      <c r="P874">
        <f>IF(COUNTIFS('United Data'!$A$3:$A$3390,P$1,'United Data'!$C$3:$C$3390,$A874,'United Data'!$B$3:$B$3390,"&lt;&gt;Off-street")&gt;0,1,0)</f>
        <v>0</v>
      </c>
      <c r="Q874">
        <f>IF(COUNTIFS('United Data'!$A$3:$A$3390,Q$1,'United Data'!$C$3:$C$3390,$A874,'United Data'!$B$3:$B$3390,"&lt;&gt;Off-street")&gt;0,1,0)</f>
        <v>0</v>
      </c>
      <c r="R874">
        <f>IF(COUNTIFS('United Data'!$A$3:$A$3390,R$1,'United Data'!$C$3:$C$3390,$A874,'United Data'!$B$3:$B$3390,"&lt;&gt;Off-street")&gt;0,1,0)</f>
        <v>0</v>
      </c>
      <c r="S874">
        <f t="shared" si="26"/>
        <v>1</v>
      </c>
      <c r="T874">
        <f t="shared" si="27"/>
        <v>1</v>
      </c>
    </row>
    <row r="875" spans="1:20" x14ac:dyDescent="0.2">
      <c r="A875" t="s">
        <v>1055</v>
      </c>
      <c r="B875">
        <f>IF(COUNTIFS('United Data'!$A$3:$A$3390,B$1,'United Data'!$C$3:$C$3390,$A875,'United Data'!$B$3:$B$3390,"&lt;&gt;Off-street")&gt;0,1,0)</f>
        <v>0</v>
      </c>
      <c r="C875">
        <f>IF(COUNTIFS('United Data'!$A$3:$A$3390,C$1,'United Data'!$C$3:$C$3390,$A875,'United Data'!$B$3:$B$3390,"&lt;&gt;Off-street")&gt;0,1,0)</f>
        <v>0</v>
      </c>
      <c r="D875">
        <f>IF(COUNTIFS('United Data'!$A$3:$A$3390,D$1,'United Data'!$C$3:$C$3390,$A875,'United Data'!$B$3:$B$3390,"&lt;&gt;Off-street")&gt;0,1,0)</f>
        <v>1</v>
      </c>
      <c r="E875">
        <f>IF(COUNTIFS('United Data'!$A$3:$A$3390,E$1,'United Data'!$C$3:$C$3390,$A875,'United Data'!$B$3:$B$3390,"&lt;&gt;Off-street")&gt;0,1,0)</f>
        <v>0</v>
      </c>
      <c r="F875">
        <f>IF(COUNTIFS('United Data'!$A$3:$A$3390,F$1,'United Data'!$C$3:$C$3390,$A875,'United Data'!$B$3:$B$3390,"&lt;&gt;Off-street")&gt;0,1,0)</f>
        <v>0</v>
      </c>
      <c r="G875">
        <f>IF(COUNTIFS('United Data'!$A$3:$A$3390,G$1,'United Data'!$C$3:$C$3390,$A875,'United Data'!$B$3:$B$3390,"&lt;&gt;Off-street")&gt;0,1,0)</f>
        <v>0</v>
      </c>
      <c r="H875">
        <f>IF(COUNTIFS('United Data'!$A$3:$A$3390,H$1,'United Data'!$C$3:$C$3390,$A875,'United Data'!$B$3:$B$3390,"&lt;&gt;Off-street")&gt;0,1,0)</f>
        <v>0</v>
      </c>
      <c r="I875">
        <f>IF(COUNTIFS('United Data'!$A$3:$A$3390,I$1,'United Data'!$C$3:$C$3390,$A875,'United Data'!$B$3:$B$3390,"&lt;&gt;Off-street")&gt;0,1,0)</f>
        <v>0</v>
      </c>
      <c r="J875">
        <f>IF(COUNTIFS('United Data'!$A$3:$A$3390,J$1,'United Data'!$C$3:$C$3390,$A875,'United Data'!$B$3:$B$3390,"&lt;&gt;Off-street")&gt;0,1,0)</f>
        <v>0</v>
      </c>
      <c r="K875">
        <f>IF(COUNTIFS('United Data'!$A$3:$A$3390,K$1,'United Data'!$C$3:$C$3390,$A875,'United Data'!$B$3:$B$3390,"&lt;&gt;Off-street")&gt;0,1,0)</f>
        <v>0</v>
      </c>
      <c r="L875">
        <f>IF(COUNTIFS('United Data'!$A$3:$A$3390,L$1,'United Data'!$C$3:$C$3390,$A875,'United Data'!$B$3:$B$3390,"&lt;&gt;Off-street")&gt;0,1,0)</f>
        <v>0</v>
      </c>
      <c r="M875">
        <f>IF(COUNTIFS('United Data'!$A$3:$A$3390,M$1,'United Data'!$C$3:$C$3390,$A875,'United Data'!$B$3:$B$3390,"&lt;&gt;Off-street")&gt;0,1,0)</f>
        <v>0</v>
      </c>
      <c r="N875">
        <f>IF(COUNTIFS('United Data'!$A$3:$A$3390,N$1,'United Data'!$C$3:$C$3390,$A875,'United Data'!$B$3:$B$3390,"&lt;&gt;Off-street")&gt;0,1,0)</f>
        <v>0</v>
      </c>
      <c r="O875">
        <f>IF(COUNTIFS('United Data'!$A$3:$A$3390,O$1,'United Data'!$C$3:$C$3390,$A875,'United Data'!$B$3:$B$3390,"&lt;&gt;Off-street")&gt;0,1,0)</f>
        <v>0</v>
      </c>
      <c r="P875">
        <f>IF(COUNTIFS('United Data'!$A$3:$A$3390,P$1,'United Data'!$C$3:$C$3390,$A875,'United Data'!$B$3:$B$3390,"&lt;&gt;Off-street")&gt;0,1,0)</f>
        <v>0</v>
      </c>
      <c r="Q875">
        <f>IF(COUNTIFS('United Data'!$A$3:$A$3390,Q$1,'United Data'!$C$3:$C$3390,$A875,'United Data'!$B$3:$B$3390,"&lt;&gt;Off-street")&gt;0,1,0)</f>
        <v>0</v>
      </c>
      <c r="R875">
        <f>IF(COUNTIFS('United Data'!$A$3:$A$3390,R$1,'United Data'!$C$3:$C$3390,$A875,'United Data'!$B$3:$B$3390,"&lt;&gt;Off-street")&gt;0,1,0)</f>
        <v>0</v>
      </c>
      <c r="S875">
        <f t="shared" si="26"/>
        <v>1</v>
      </c>
      <c r="T875">
        <f t="shared" si="27"/>
        <v>1</v>
      </c>
    </row>
    <row r="876" spans="1:20" x14ac:dyDescent="0.2">
      <c r="A876" t="s">
        <v>1056</v>
      </c>
      <c r="B876">
        <f>IF(COUNTIFS('United Data'!$A$3:$A$3390,B$1,'United Data'!$C$3:$C$3390,$A876,'United Data'!$B$3:$B$3390,"&lt;&gt;Off-street")&gt;0,1,0)</f>
        <v>0</v>
      </c>
      <c r="C876">
        <f>IF(COUNTIFS('United Data'!$A$3:$A$3390,C$1,'United Data'!$C$3:$C$3390,$A876,'United Data'!$B$3:$B$3390,"&lt;&gt;Off-street")&gt;0,1,0)</f>
        <v>0</v>
      </c>
      <c r="D876">
        <f>IF(COUNTIFS('United Data'!$A$3:$A$3390,D$1,'United Data'!$C$3:$C$3390,$A876,'United Data'!$B$3:$B$3390,"&lt;&gt;Off-street")&gt;0,1,0)</f>
        <v>1</v>
      </c>
      <c r="E876">
        <f>IF(COUNTIFS('United Data'!$A$3:$A$3390,E$1,'United Data'!$C$3:$C$3390,$A876,'United Data'!$B$3:$B$3390,"&lt;&gt;Off-street")&gt;0,1,0)</f>
        <v>0</v>
      </c>
      <c r="F876">
        <f>IF(COUNTIFS('United Data'!$A$3:$A$3390,F$1,'United Data'!$C$3:$C$3390,$A876,'United Data'!$B$3:$B$3390,"&lt;&gt;Off-street")&gt;0,1,0)</f>
        <v>0</v>
      </c>
      <c r="G876">
        <f>IF(COUNTIFS('United Data'!$A$3:$A$3390,G$1,'United Data'!$C$3:$C$3390,$A876,'United Data'!$B$3:$B$3390,"&lt;&gt;Off-street")&gt;0,1,0)</f>
        <v>0</v>
      </c>
      <c r="H876">
        <f>IF(COUNTIFS('United Data'!$A$3:$A$3390,H$1,'United Data'!$C$3:$C$3390,$A876,'United Data'!$B$3:$B$3390,"&lt;&gt;Off-street")&gt;0,1,0)</f>
        <v>0</v>
      </c>
      <c r="I876">
        <f>IF(COUNTIFS('United Data'!$A$3:$A$3390,I$1,'United Data'!$C$3:$C$3390,$A876,'United Data'!$B$3:$B$3390,"&lt;&gt;Off-street")&gt;0,1,0)</f>
        <v>0</v>
      </c>
      <c r="J876">
        <f>IF(COUNTIFS('United Data'!$A$3:$A$3390,J$1,'United Data'!$C$3:$C$3390,$A876,'United Data'!$B$3:$B$3390,"&lt;&gt;Off-street")&gt;0,1,0)</f>
        <v>0</v>
      </c>
      <c r="K876">
        <f>IF(COUNTIFS('United Data'!$A$3:$A$3390,K$1,'United Data'!$C$3:$C$3390,$A876,'United Data'!$B$3:$B$3390,"&lt;&gt;Off-street")&gt;0,1,0)</f>
        <v>0</v>
      </c>
      <c r="L876">
        <f>IF(COUNTIFS('United Data'!$A$3:$A$3390,L$1,'United Data'!$C$3:$C$3390,$A876,'United Data'!$B$3:$B$3390,"&lt;&gt;Off-street")&gt;0,1,0)</f>
        <v>0</v>
      </c>
      <c r="M876">
        <f>IF(COUNTIFS('United Data'!$A$3:$A$3390,M$1,'United Data'!$C$3:$C$3390,$A876,'United Data'!$B$3:$B$3390,"&lt;&gt;Off-street")&gt;0,1,0)</f>
        <v>0</v>
      </c>
      <c r="N876">
        <f>IF(COUNTIFS('United Data'!$A$3:$A$3390,N$1,'United Data'!$C$3:$C$3390,$A876,'United Data'!$B$3:$B$3390,"&lt;&gt;Off-street")&gt;0,1,0)</f>
        <v>0</v>
      </c>
      <c r="O876">
        <f>IF(COUNTIFS('United Data'!$A$3:$A$3390,O$1,'United Data'!$C$3:$C$3390,$A876,'United Data'!$B$3:$B$3390,"&lt;&gt;Off-street")&gt;0,1,0)</f>
        <v>0</v>
      </c>
      <c r="P876">
        <f>IF(COUNTIFS('United Data'!$A$3:$A$3390,P$1,'United Data'!$C$3:$C$3390,$A876,'United Data'!$B$3:$B$3390,"&lt;&gt;Off-street")&gt;0,1,0)</f>
        <v>0</v>
      </c>
      <c r="Q876">
        <f>IF(COUNTIFS('United Data'!$A$3:$A$3390,Q$1,'United Data'!$C$3:$C$3390,$A876,'United Data'!$B$3:$B$3390,"&lt;&gt;Off-street")&gt;0,1,0)</f>
        <v>0</v>
      </c>
      <c r="R876">
        <f>IF(COUNTIFS('United Data'!$A$3:$A$3390,R$1,'United Data'!$C$3:$C$3390,$A876,'United Data'!$B$3:$B$3390,"&lt;&gt;Off-street")&gt;0,1,0)</f>
        <v>0</v>
      </c>
      <c r="S876">
        <f t="shared" si="26"/>
        <v>1</v>
      </c>
      <c r="T876">
        <f t="shared" si="27"/>
        <v>1</v>
      </c>
    </row>
    <row r="877" spans="1:20" x14ac:dyDescent="0.2">
      <c r="A877" t="s">
        <v>1057</v>
      </c>
      <c r="B877">
        <f>IF(COUNTIFS('United Data'!$A$3:$A$3390,B$1,'United Data'!$C$3:$C$3390,$A877,'United Data'!$B$3:$B$3390,"&lt;&gt;Off-street")&gt;0,1,0)</f>
        <v>0</v>
      </c>
      <c r="C877">
        <f>IF(COUNTIFS('United Data'!$A$3:$A$3390,C$1,'United Data'!$C$3:$C$3390,$A877,'United Data'!$B$3:$B$3390,"&lt;&gt;Off-street")&gt;0,1,0)</f>
        <v>0</v>
      </c>
      <c r="D877">
        <f>IF(COUNTIFS('United Data'!$A$3:$A$3390,D$1,'United Data'!$C$3:$C$3390,$A877,'United Data'!$B$3:$B$3390,"&lt;&gt;Off-street")&gt;0,1,0)</f>
        <v>1</v>
      </c>
      <c r="E877">
        <f>IF(COUNTIFS('United Data'!$A$3:$A$3390,E$1,'United Data'!$C$3:$C$3390,$A877,'United Data'!$B$3:$B$3390,"&lt;&gt;Off-street")&gt;0,1,0)</f>
        <v>0</v>
      </c>
      <c r="F877">
        <f>IF(COUNTIFS('United Data'!$A$3:$A$3390,F$1,'United Data'!$C$3:$C$3390,$A877,'United Data'!$B$3:$B$3390,"&lt;&gt;Off-street")&gt;0,1,0)</f>
        <v>0</v>
      </c>
      <c r="G877">
        <f>IF(COUNTIFS('United Data'!$A$3:$A$3390,G$1,'United Data'!$C$3:$C$3390,$A877,'United Data'!$B$3:$B$3390,"&lt;&gt;Off-street")&gt;0,1,0)</f>
        <v>0</v>
      </c>
      <c r="H877">
        <f>IF(COUNTIFS('United Data'!$A$3:$A$3390,H$1,'United Data'!$C$3:$C$3390,$A877,'United Data'!$B$3:$B$3390,"&lt;&gt;Off-street")&gt;0,1,0)</f>
        <v>0</v>
      </c>
      <c r="I877">
        <f>IF(COUNTIFS('United Data'!$A$3:$A$3390,I$1,'United Data'!$C$3:$C$3390,$A877,'United Data'!$B$3:$B$3390,"&lt;&gt;Off-street")&gt;0,1,0)</f>
        <v>0</v>
      </c>
      <c r="J877">
        <f>IF(COUNTIFS('United Data'!$A$3:$A$3390,J$1,'United Data'!$C$3:$C$3390,$A877,'United Data'!$B$3:$B$3390,"&lt;&gt;Off-street")&gt;0,1,0)</f>
        <v>0</v>
      </c>
      <c r="K877">
        <f>IF(COUNTIFS('United Data'!$A$3:$A$3390,K$1,'United Data'!$C$3:$C$3390,$A877,'United Data'!$B$3:$B$3390,"&lt;&gt;Off-street")&gt;0,1,0)</f>
        <v>0</v>
      </c>
      <c r="L877">
        <f>IF(COUNTIFS('United Data'!$A$3:$A$3390,L$1,'United Data'!$C$3:$C$3390,$A877,'United Data'!$B$3:$B$3390,"&lt;&gt;Off-street")&gt;0,1,0)</f>
        <v>0</v>
      </c>
      <c r="M877">
        <f>IF(COUNTIFS('United Data'!$A$3:$A$3390,M$1,'United Data'!$C$3:$C$3390,$A877,'United Data'!$B$3:$B$3390,"&lt;&gt;Off-street")&gt;0,1,0)</f>
        <v>0</v>
      </c>
      <c r="N877">
        <f>IF(COUNTIFS('United Data'!$A$3:$A$3390,N$1,'United Data'!$C$3:$C$3390,$A877,'United Data'!$B$3:$B$3390,"&lt;&gt;Off-street")&gt;0,1,0)</f>
        <v>0</v>
      </c>
      <c r="O877">
        <f>IF(COUNTIFS('United Data'!$A$3:$A$3390,O$1,'United Data'!$C$3:$C$3390,$A877,'United Data'!$B$3:$B$3390,"&lt;&gt;Off-street")&gt;0,1,0)</f>
        <v>0</v>
      </c>
      <c r="P877">
        <f>IF(COUNTIFS('United Data'!$A$3:$A$3390,P$1,'United Data'!$C$3:$C$3390,$A877,'United Data'!$B$3:$B$3390,"&lt;&gt;Off-street")&gt;0,1,0)</f>
        <v>0</v>
      </c>
      <c r="Q877">
        <f>IF(COUNTIFS('United Data'!$A$3:$A$3390,Q$1,'United Data'!$C$3:$C$3390,$A877,'United Data'!$B$3:$B$3390,"&lt;&gt;Off-street")&gt;0,1,0)</f>
        <v>0</v>
      </c>
      <c r="R877">
        <f>IF(COUNTIFS('United Data'!$A$3:$A$3390,R$1,'United Data'!$C$3:$C$3390,$A877,'United Data'!$B$3:$B$3390,"&lt;&gt;Off-street")&gt;0,1,0)</f>
        <v>0</v>
      </c>
      <c r="S877">
        <f t="shared" si="26"/>
        <v>1</v>
      </c>
      <c r="T877">
        <f t="shared" si="27"/>
        <v>1</v>
      </c>
    </row>
    <row r="878" spans="1:20" x14ac:dyDescent="0.2">
      <c r="A878" t="s">
        <v>1060</v>
      </c>
      <c r="B878">
        <f>IF(COUNTIFS('United Data'!$A$3:$A$3390,B$1,'United Data'!$C$3:$C$3390,$A878,'United Data'!$B$3:$B$3390,"&lt;&gt;Off-street")&gt;0,1,0)</f>
        <v>0</v>
      </c>
      <c r="C878">
        <f>IF(COUNTIFS('United Data'!$A$3:$A$3390,C$1,'United Data'!$C$3:$C$3390,$A878,'United Data'!$B$3:$B$3390,"&lt;&gt;Off-street")&gt;0,1,0)</f>
        <v>0</v>
      </c>
      <c r="D878">
        <f>IF(COUNTIFS('United Data'!$A$3:$A$3390,D$1,'United Data'!$C$3:$C$3390,$A878,'United Data'!$B$3:$B$3390,"&lt;&gt;Off-street")&gt;0,1,0)</f>
        <v>0</v>
      </c>
      <c r="E878">
        <f>IF(COUNTIFS('United Data'!$A$3:$A$3390,E$1,'United Data'!$C$3:$C$3390,$A878,'United Data'!$B$3:$B$3390,"&lt;&gt;Off-street")&gt;0,1,0)</f>
        <v>0</v>
      </c>
      <c r="F878">
        <f>IF(COUNTIFS('United Data'!$A$3:$A$3390,F$1,'United Data'!$C$3:$C$3390,$A878,'United Data'!$B$3:$B$3390,"&lt;&gt;Off-street")&gt;0,1,0)</f>
        <v>1</v>
      </c>
      <c r="G878">
        <f>IF(COUNTIFS('United Data'!$A$3:$A$3390,G$1,'United Data'!$C$3:$C$3390,$A878,'United Data'!$B$3:$B$3390,"&lt;&gt;Off-street")&gt;0,1,0)</f>
        <v>0</v>
      </c>
      <c r="H878">
        <f>IF(COUNTIFS('United Data'!$A$3:$A$3390,H$1,'United Data'!$C$3:$C$3390,$A878,'United Data'!$B$3:$B$3390,"&lt;&gt;Off-street")&gt;0,1,0)</f>
        <v>0</v>
      </c>
      <c r="I878">
        <f>IF(COUNTIFS('United Data'!$A$3:$A$3390,I$1,'United Data'!$C$3:$C$3390,$A878,'United Data'!$B$3:$B$3390,"&lt;&gt;Off-street")&gt;0,1,0)</f>
        <v>0</v>
      </c>
      <c r="J878">
        <f>IF(COUNTIFS('United Data'!$A$3:$A$3390,J$1,'United Data'!$C$3:$C$3390,$A878,'United Data'!$B$3:$B$3390,"&lt;&gt;Off-street")&gt;0,1,0)</f>
        <v>0</v>
      </c>
      <c r="K878">
        <f>IF(COUNTIFS('United Data'!$A$3:$A$3390,K$1,'United Data'!$C$3:$C$3390,$A878,'United Data'!$B$3:$B$3390,"&lt;&gt;Off-street")&gt;0,1,0)</f>
        <v>0</v>
      </c>
      <c r="L878">
        <f>IF(COUNTIFS('United Data'!$A$3:$A$3390,L$1,'United Data'!$C$3:$C$3390,$A878,'United Data'!$B$3:$B$3390,"&lt;&gt;Off-street")&gt;0,1,0)</f>
        <v>0</v>
      </c>
      <c r="M878">
        <f>IF(COUNTIFS('United Data'!$A$3:$A$3390,M$1,'United Data'!$C$3:$C$3390,$A878,'United Data'!$B$3:$B$3390,"&lt;&gt;Off-street")&gt;0,1,0)</f>
        <v>0</v>
      </c>
      <c r="N878">
        <f>IF(COUNTIFS('United Data'!$A$3:$A$3390,N$1,'United Data'!$C$3:$C$3390,$A878,'United Data'!$B$3:$B$3390,"&lt;&gt;Off-street")&gt;0,1,0)</f>
        <v>0</v>
      </c>
      <c r="O878">
        <f>IF(COUNTIFS('United Data'!$A$3:$A$3390,O$1,'United Data'!$C$3:$C$3390,$A878,'United Data'!$B$3:$B$3390,"&lt;&gt;Off-street")&gt;0,1,0)</f>
        <v>0</v>
      </c>
      <c r="P878">
        <f>IF(COUNTIFS('United Data'!$A$3:$A$3390,P$1,'United Data'!$C$3:$C$3390,$A878,'United Data'!$B$3:$B$3390,"&lt;&gt;Off-street")&gt;0,1,0)</f>
        <v>0</v>
      </c>
      <c r="Q878">
        <f>IF(COUNTIFS('United Data'!$A$3:$A$3390,Q$1,'United Data'!$C$3:$C$3390,$A878,'United Data'!$B$3:$B$3390,"&lt;&gt;Off-street")&gt;0,1,0)</f>
        <v>0</v>
      </c>
      <c r="R878">
        <f>IF(COUNTIFS('United Data'!$A$3:$A$3390,R$1,'United Data'!$C$3:$C$3390,$A878,'United Data'!$B$3:$B$3390,"&lt;&gt;Off-street")&gt;0,1,0)</f>
        <v>0</v>
      </c>
      <c r="S878">
        <f t="shared" si="26"/>
        <v>1</v>
      </c>
      <c r="T878">
        <f t="shared" si="27"/>
        <v>1</v>
      </c>
    </row>
    <row r="879" spans="1:20" x14ac:dyDescent="0.2">
      <c r="A879" t="s">
        <v>1061</v>
      </c>
      <c r="B879">
        <f>IF(COUNTIFS('United Data'!$A$3:$A$3390,B$1,'United Data'!$C$3:$C$3390,$A879,'United Data'!$B$3:$B$3390,"&lt;&gt;Off-street")&gt;0,1,0)</f>
        <v>0</v>
      </c>
      <c r="C879">
        <f>IF(COUNTIFS('United Data'!$A$3:$A$3390,C$1,'United Data'!$C$3:$C$3390,$A879,'United Data'!$B$3:$B$3390,"&lt;&gt;Off-street")&gt;0,1,0)</f>
        <v>0</v>
      </c>
      <c r="D879">
        <f>IF(COUNTIFS('United Data'!$A$3:$A$3390,D$1,'United Data'!$C$3:$C$3390,$A879,'United Data'!$B$3:$B$3390,"&lt;&gt;Off-street")&gt;0,1,0)</f>
        <v>0</v>
      </c>
      <c r="E879">
        <f>IF(COUNTIFS('United Data'!$A$3:$A$3390,E$1,'United Data'!$C$3:$C$3390,$A879,'United Data'!$B$3:$B$3390,"&lt;&gt;Off-street")&gt;0,1,0)</f>
        <v>0</v>
      </c>
      <c r="F879">
        <f>IF(COUNTIFS('United Data'!$A$3:$A$3390,F$1,'United Data'!$C$3:$C$3390,$A879,'United Data'!$B$3:$B$3390,"&lt;&gt;Off-street")&gt;0,1,0)</f>
        <v>1</v>
      </c>
      <c r="G879">
        <f>IF(COUNTIFS('United Data'!$A$3:$A$3390,G$1,'United Data'!$C$3:$C$3390,$A879,'United Data'!$B$3:$B$3390,"&lt;&gt;Off-street")&gt;0,1,0)</f>
        <v>0</v>
      </c>
      <c r="H879">
        <f>IF(COUNTIFS('United Data'!$A$3:$A$3390,H$1,'United Data'!$C$3:$C$3390,$A879,'United Data'!$B$3:$B$3390,"&lt;&gt;Off-street")&gt;0,1,0)</f>
        <v>0</v>
      </c>
      <c r="I879">
        <f>IF(COUNTIFS('United Data'!$A$3:$A$3390,I$1,'United Data'!$C$3:$C$3390,$A879,'United Data'!$B$3:$B$3390,"&lt;&gt;Off-street")&gt;0,1,0)</f>
        <v>0</v>
      </c>
      <c r="J879">
        <f>IF(COUNTIFS('United Data'!$A$3:$A$3390,J$1,'United Data'!$C$3:$C$3390,$A879,'United Data'!$B$3:$B$3390,"&lt;&gt;Off-street")&gt;0,1,0)</f>
        <v>0</v>
      </c>
      <c r="K879">
        <f>IF(COUNTIFS('United Data'!$A$3:$A$3390,K$1,'United Data'!$C$3:$C$3390,$A879,'United Data'!$B$3:$B$3390,"&lt;&gt;Off-street")&gt;0,1,0)</f>
        <v>0</v>
      </c>
      <c r="L879">
        <f>IF(COUNTIFS('United Data'!$A$3:$A$3390,L$1,'United Data'!$C$3:$C$3390,$A879,'United Data'!$B$3:$B$3390,"&lt;&gt;Off-street")&gt;0,1,0)</f>
        <v>0</v>
      </c>
      <c r="M879">
        <f>IF(COUNTIFS('United Data'!$A$3:$A$3390,M$1,'United Data'!$C$3:$C$3390,$A879,'United Data'!$B$3:$B$3390,"&lt;&gt;Off-street")&gt;0,1,0)</f>
        <v>0</v>
      </c>
      <c r="N879">
        <f>IF(COUNTIFS('United Data'!$A$3:$A$3390,N$1,'United Data'!$C$3:$C$3390,$A879,'United Data'!$B$3:$B$3390,"&lt;&gt;Off-street")&gt;0,1,0)</f>
        <v>0</v>
      </c>
      <c r="O879">
        <f>IF(COUNTIFS('United Data'!$A$3:$A$3390,O$1,'United Data'!$C$3:$C$3390,$A879,'United Data'!$B$3:$B$3390,"&lt;&gt;Off-street")&gt;0,1,0)</f>
        <v>0</v>
      </c>
      <c r="P879">
        <f>IF(COUNTIFS('United Data'!$A$3:$A$3390,P$1,'United Data'!$C$3:$C$3390,$A879,'United Data'!$B$3:$B$3390,"&lt;&gt;Off-street")&gt;0,1,0)</f>
        <v>0</v>
      </c>
      <c r="Q879">
        <f>IF(COUNTIFS('United Data'!$A$3:$A$3390,Q$1,'United Data'!$C$3:$C$3390,$A879,'United Data'!$B$3:$B$3390,"&lt;&gt;Off-street")&gt;0,1,0)</f>
        <v>0</v>
      </c>
      <c r="R879">
        <f>IF(COUNTIFS('United Data'!$A$3:$A$3390,R$1,'United Data'!$C$3:$C$3390,$A879,'United Data'!$B$3:$B$3390,"&lt;&gt;Off-street")&gt;0,1,0)</f>
        <v>0</v>
      </c>
      <c r="S879">
        <f t="shared" si="26"/>
        <v>1</v>
      </c>
      <c r="T879">
        <f t="shared" si="27"/>
        <v>1</v>
      </c>
    </row>
    <row r="880" spans="1:20" x14ac:dyDescent="0.2">
      <c r="A880" t="s">
        <v>1062</v>
      </c>
      <c r="B880">
        <f>IF(COUNTIFS('United Data'!$A$3:$A$3390,B$1,'United Data'!$C$3:$C$3390,$A880,'United Data'!$B$3:$B$3390,"&lt;&gt;Off-street")&gt;0,1,0)</f>
        <v>0</v>
      </c>
      <c r="C880">
        <f>IF(COUNTIFS('United Data'!$A$3:$A$3390,C$1,'United Data'!$C$3:$C$3390,$A880,'United Data'!$B$3:$B$3390,"&lt;&gt;Off-street")&gt;0,1,0)</f>
        <v>0</v>
      </c>
      <c r="D880">
        <f>IF(COUNTIFS('United Data'!$A$3:$A$3390,D$1,'United Data'!$C$3:$C$3390,$A880,'United Data'!$B$3:$B$3390,"&lt;&gt;Off-street")&gt;0,1,0)</f>
        <v>0</v>
      </c>
      <c r="E880">
        <f>IF(COUNTIFS('United Data'!$A$3:$A$3390,E$1,'United Data'!$C$3:$C$3390,$A880,'United Data'!$B$3:$B$3390,"&lt;&gt;Off-street")&gt;0,1,0)</f>
        <v>0</v>
      </c>
      <c r="F880">
        <f>IF(COUNTIFS('United Data'!$A$3:$A$3390,F$1,'United Data'!$C$3:$C$3390,$A880,'United Data'!$B$3:$B$3390,"&lt;&gt;Off-street")&gt;0,1,0)</f>
        <v>1</v>
      </c>
      <c r="G880">
        <f>IF(COUNTIFS('United Data'!$A$3:$A$3390,G$1,'United Data'!$C$3:$C$3390,$A880,'United Data'!$B$3:$B$3390,"&lt;&gt;Off-street")&gt;0,1,0)</f>
        <v>0</v>
      </c>
      <c r="H880">
        <f>IF(COUNTIFS('United Data'!$A$3:$A$3390,H$1,'United Data'!$C$3:$C$3390,$A880,'United Data'!$B$3:$B$3390,"&lt;&gt;Off-street")&gt;0,1,0)</f>
        <v>0</v>
      </c>
      <c r="I880">
        <f>IF(COUNTIFS('United Data'!$A$3:$A$3390,I$1,'United Data'!$C$3:$C$3390,$A880,'United Data'!$B$3:$B$3390,"&lt;&gt;Off-street")&gt;0,1,0)</f>
        <v>0</v>
      </c>
      <c r="J880">
        <f>IF(COUNTIFS('United Data'!$A$3:$A$3390,J$1,'United Data'!$C$3:$C$3390,$A880,'United Data'!$B$3:$B$3390,"&lt;&gt;Off-street")&gt;0,1,0)</f>
        <v>0</v>
      </c>
      <c r="K880">
        <f>IF(COUNTIFS('United Data'!$A$3:$A$3390,K$1,'United Data'!$C$3:$C$3390,$A880,'United Data'!$B$3:$B$3390,"&lt;&gt;Off-street")&gt;0,1,0)</f>
        <v>0</v>
      </c>
      <c r="L880">
        <f>IF(COUNTIFS('United Data'!$A$3:$A$3390,L$1,'United Data'!$C$3:$C$3390,$A880,'United Data'!$B$3:$B$3390,"&lt;&gt;Off-street")&gt;0,1,0)</f>
        <v>0</v>
      </c>
      <c r="M880">
        <f>IF(COUNTIFS('United Data'!$A$3:$A$3390,M$1,'United Data'!$C$3:$C$3390,$A880,'United Data'!$B$3:$B$3390,"&lt;&gt;Off-street")&gt;0,1,0)</f>
        <v>0</v>
      </c>
      <c r="N880">
        <f>IF(COUNTIFS('United Data'!$A$3:$A$3390,N$1,'United Data'!$C$3:$C$3390,$A880,'United Data'!$B$3:$B$3390,"&lt;&gt;Off-street")&gt;0,1,0)</f>
        <v>0</v>
      </c>
      <c r="O880">
        <f>IF(COUNTIFS('United Data'!$A$3:$A$3390,O$1,'United Data'!$C$3:$C$3390,$A880,'United Data'!$B$3:$B$3390,"&lt;&gt;Off-street")&gt;0,1,0)</f>
        <v>0</v>
      </c>
      <c r="P880">
        <f>IF(COUNTIFS('United Data'!$A$3:$A$3390,P$1,'United Data'!$C$3:$C$3390,$A880,'United Data'!$B$3:$B$3390,"&lt;&gt;Off-street")&gt;0,1,0)</f>
        <v>0</v>
      </c>
      <c r="Q880">
        <f>IF(COUNTIFS('United Data'!$A$3:$A$3390,Q$1,'United Data'!$C$3:$C$3390,$A880,'United Data'!$B$3:$B$3390,"&lt;&gt;Off-street")&gt;0,1,0)</f>
        <v>0</v>
      </c>
      <c r="R880">
        <f>IF(COUNTIFS('United Data'!$A$3:$A$3390,R$1,'United Data'!$C$3:$C$3390,$A880,'United Data'!$B$3:$B$3390,"&lt;&gt;Off-street")&gt;0,1,0)</f>
        <v>0</v>
      </c>
      <c r="S880">
        <f t="shared" si="26"/>
        <v>1</v>
      </c>
      <c r="T880">
        <f t="shared" si="27"/>
        <v>1</v>
      </c>
    </row>
    <row r="881" spans="1:20" x14ac:dyDescent="0.2">
      <c r="A881" t="s">
        <v>1064</v>
      </c>
      <c r="B881">
        <f>IF(COUNTIFS('United Data'!$A$3:$A$3390,B$1,'United Data'!$C$3:$C$3390,$A881,'United Data'!$B$3:$B$3390,"&lt;&gt;Off-street")&gt;0,1,0)</f>
        <v>0</v>
      </c>
      <c r="C881">
        <f>IF(COUNTIFS('United Data'!$A$3:$A$3390,C$1,'United Data'!$C$3:$C$3390,$A881,'United Data'!$B$3:$B$3390,"&lt;&gt;Off-street")&gt;0,1,0)</f>
        <v>0</v>
      </c>
      <c r="D881">
        <f>IF(COUNTIFS('United Data'!$A$3:$A$3390,D$1,'United Data'!$C$3:$C$3390,$A881,'United Data'!$B$3:$B$3390,"&lt;&gt;Off-street")&gt;0,1,0)</f>
        <v>0</v>
      </c>
      <c r="E881">
        <f>IF(COUNTIFS('United Data'!$A$3:$A$3390,E$1,'United Data'!$C$3:$C$3390,$A881,'United Data'!$B$3:$B$3390,"&lt;&gt;Off-street")&gt;0,1,0)</f>
        <v>0</v>
      </c>
      <c r="F881">
        <f>IF(COUNTIFS('United Data'!$A$3:$A$3390,F$1,'United Data'!$C$3:$C$3390,$A881,'United Data'!$B$3:$B$3390,"&lt;&gt;Off-street")&gt;0,1,0)</f>
        <v>0</v>
      </c>
      <c r="G881">
        <f>IF(COUNTIFS('United Data'!$A$3:$A$3390,G$1,'United Data'!$C$3:$C$3390,$A881,'United Data'!$B$3:$B$3390,"&lt;&gt;Off-street")&gt;0,1,0)</f>
        <v>1</v>
      </c>
      <c r="H881">
        <f>IF(COUNTIFS('United Data'!$A$3:$A$3390,H$1,'United Data'!$C$3:$C$3390,$A881,'United Data'!$B$3:$B$3390,"&lt;&gt;Off-street")&gt;0,1,0)</f>
        <v>0</v>
      </c>
      <c r="I881">
        <f>IF(COUNTIFS('United Data'!$A$3:$A$3390,I$1,'United Data'!$C$3:$C$3390,$A881,'United Data'!$B$3:$B$3390,"&lt;&gt;Off-street")&gt;0,1,0)</f>
        <v>0</v>
      </c>
      <c r="J881">
        <f>IF(COUNTIFS('United Data'!$A$3:$A$3390,J$1,'United Data'!$C$3:$C$3390,$A881,'United Data'!$B$3:$B$3390,"&lt;&gt;Off-street")&gt;0,1,0)</f>
        <v>0</v>
      </c>
      <c r="K881">
        <f>IF(COUNTIFS('United Data'!$A$3:$A$3390,K$1,'United Data'!$C$3:$C$3390,$A881,'United Data'!$B$3:$B$3390,"&lt;&gt;Off-street")&gt;0,1,0)</f>
        <v>0</v>
      </c>
      <c r="L881">
        <f>IF(COUNTIFS('United Data'!$A$3:$A$3390,L$1,'United Data'!$C$3:$C$3390,$A881,'United Data'!$B$3:$B$3390,"&lt;&gt;Off-street")&gt;0,1,0)</f>
        <v>0</v>
      </c>
      <c r="M881">
        <f>IF(COUNTIFS('United Data'!$A$3:$A$3390,M$1,'United Data'!$C$3:$C$3390,$A881,'United Data'!$B$3:$B$3390,"&lt;&gt;Off-street")&gt;0,1,0)</f>
        <v>0</v>
      </c>
      <c r="N881">
        <f>IF(COUNTIFS('United Data'!$A$3:$A$3390,N$1,'United Data'!$C$3:$C$3390,$A881,'United Data'!$B$3:$B$3390,"&lt;&gt;Off-street")&gt;0,1,0)</f>
        <v>0</v>
      </c>
      <c r="O881">
        <f>IF(COUNTIFS('United Data'!$A$3:$A$3390,O$1,'United Data'!$C$3:$C$3390,$A881,'United Data'!$B$3:$B$3390,"&lt;&gt;Off-street")&gt;0,1,0)</f>
        <v>0</v>
      </c>
      <c r="P881">
        <f>IF(COUNTIFS('United Data'!$A$3:$A$3390,P$1,'United Data'!$C$3:$C$3390,$A881,'United Data'!$B$3:$B$3390,"&lt;&gt;Off-street")&gt;0,1,0)</f>
        <v>0</v>
      </c>
      <c r="Q881">
        <f>IF(COUNTIFS('United Data'!$A$3:$A$3390,Q$1,'United Data'!$C$3:$C$3390,$A881,'United Data'!$B$3:$B$3390,"&lt;&gt;Off-street")&gt;0,1,0)</f>
        <v>0</v>
      </c>
      <c r="R881">
        <f>IF(COUNTIFS('United Data'!$A$3:$A$3390,R$1,'United Data'!$C$3:$C$3390,$A881,'United Data'!$B$3:$B$3390,"&lt;&gt;Off-street")&gt;0,1,0)</f>
        <v>0</v>
      </c>
      <c r="S881">
        <f t="shared" si="26"/>
        <v>1</v>
      </c>
      <c r="T881">
        <f t="shared" si="27"/>
        <v>1</v>
      </c>
    </row>
    <row r="882" spans="1:20" x14ac:dyDescent="0.2">
      <c r="A882" t="s">
        <v>1065</v>
      </c>
      <c r="B882">
        <f>IF(COUNTIFS('United Data'!$A$3:$A$3390,B$1,'United Data'!$C$3:$C$3390,$A882,'United Data'!$B$3:$B$3390,"&lt;&gt;Off-street")&gt;0,1,0)</f>
        <v>0</v>
      </c>
      <c r="C882">
        <f>IF(COUNTIFS('United Data'!$A$3:$A$3390,C$1,'United Data'!$C$3:$C$3390,$A882,'United Data'!$B$3:$B$3390,"&lt;&gt;Off-street")&gt;0,1,0)</f>
        <v>0</v>
      </c>
      <c r="D882">
        <f>IF(COUNTIFS('United Data'!$A$3:$A$3390,D$1,'United Data'!$C$3:$C$3390,$A882,'United Data'!$B$3:$B$3390,"&lt;&gt;Off-street")&gt;0,1,0)</f>
        <v>0</v>
      </c>
      <c r="E882">
        <f>IF(COUNTIFS('United Data'!$A$3:$A$3390,E$1,'United Data'!$C$3:$C$3390,$A882,'United Data'!$B$3:$B$3390,"&lt;&gt;Off-street")&gt;0,1,0)</f>
        <v>0</v>
      </c>
      <c r="F882">
        <f>IF(COUNTIFS('United Data'!$A$3:$A$3390,F$1,'United Data'!$C$3:$C$3390,$A882,'United Data'!$B$3:$B$3390,"&lt;&gt;Off-street")&gt;0,1,0)</f>
        <v>0</v>
      </c>
      <c r="G882">
        <f>IF(COUNTIFS('United Data'!$A$3:$A$3390,G$1,'United Data'!$C$3:$C$3390,$A882,'United Data'!$B$3:$B$3390,"&lt;&gt;Off-street")&gt;0,1,0)</f>
        <v>1</v>
      </c>
      <c r="H882">
        <f>IF(COUNTIFS('United Data'!$A$3:$A$3390,H$1,'United Data'!$C$3:$C$3390,$A882,'United Data'!$B$3:$B$3390,"&lt;&gt;Off-street")&gt;0,1,0)</f>
        <v>0</v>
      </c>
      <c r="I882">
        <f>IF(COUNTIFS('United Data'!$A$3:$A$3390,I$1,'United Data'!$C$3:$C$3390,$A882,'United Data'!$B$3:$B$3390,"&lt;&gt;Off-street")&gt;0,1,0)</f>
        <v>0</v>
      </c>
      <c r="J882">
        <f>IF(COUNTIFS('United Data'!$A$3:$A$3390,J$1,'United Data'!$C$3:$C$3390,$A882,'United Data'!$B$3:$B$3390,"&lt;&gt;Off-street")&gt;0,1,0)</f>
        <v>0</v>
      </c>
      <c r="K882">
        <f>IF(COUNTIFS('United Data'!$A$3:$A$3390,K$1,'United Data'!$C$3:$C$3390,$A882,'United Data'!$B$3:$B$3390,"&lt;&gt;Off-street")&gt;0,1,0)</f>
        <v>0</v>
      </c>
      <c r="L882">
        <f>IF(COUNTIFS('United Data'!$A$3:$A$3390,L$1,'United Data'!$C$3:$C$3390,$A882,'United Data'!$B$3:$B$3390,"&lt;&gt;Off-street")&gt;0,1,0)</f>
        <v>0</v>
      </c>
      <c r="M882">
        <f>IF(COUNTIFS('United Data'!$A$3:$A$3390,M$1,'United Data'!$C$3:$C$3390,$A882,'United Data'!$B$3:$B$3390,"&lt;&gt;Off-street")&gt;0,1,0)</f>
        <v>0</v>
      </c>
      <c r="N882">
        <f>IF(COUNTIFS('United Data'!$A$3:$A$3390,N$1,'United Data'!$C$3:$C$3390,$A882,'United Data'!$B$3:$B$3390,"&lt;&gt;Off-street")&gt;0,1,0)</f>
        <v>0</v>
      </c>
      <c r="O882">
        <f>IF(COUNTIFS('United Data'!$A$3:$A$3390,O$1,'United Data'!$C$3:$C$3390,$A882,'United Data'!$B$3:$B$3390,"&lt;&gt;Off-street")&gt;0,1,0)</f>
        <v>0</v>
      </c>
      <c r="P882">
        <f>IF(COUNTIFS('United Data'!$A$3:$A$3390,P$1,'United Data'!$C$3:$C$3390,$A882,'United Data'!$B$3:$B$3390,"&lt;&gt;Off-street")&gt;0,1,0)</f>
        <v>0</v>
      </c>
      <c r="Q882">
        <f>IF(COUNTIFS('United Data'!$A$3:$A$3390,Q$1,'United Data'!$C$3:$C$3390,$A882,'United Data'!$B$3:$B$3390,"&lt;&gt;Off-street")&gt;0,1,0)</f>
        <v>0</v>
      </c>
      <c r="R882">
        <f>IF(COUNTIFS('United Data'!$A$3:$A$3390,R$1,'United Data'!$C$3:$C$3390,$A882,'United Data'!$B$3:$B$3390,"&lt;&gt;Off-street")&gt;0,1,0)</f>
        <v>0</v>
      </c>
      <c r="S882">
        <f t="shared" si="26"/>
        <v>1</v>
      </c>
      <c r="T882">
        <f t="shared" si="27"/>
        <v>1</v>
      </c>
    </row>
    <row r="883" spans="1:20" x14ac:dyDescent="0.2">
      <c r="A883" t="s">
        <v>1066</v>
      </c>
      <c r="B883">
        <f>IF(COUNTIFS('United Data'!$A$3:$A$3390,B$1,'United Data'!$C$3:$C$3390,$A883,'United Data'!$B$3:$B$3390,"&lt;&gt;Off-street")&gt;0,1,0)</f>
        <v>0</v>
      </c>
      <c r="C883">
        <f>IF(COUNTIFS('United Data'!$A$3:$A$3390,C$1,'United Data'!$C$3:$C$3390,$A883,'United Data'!$B$3:$B$3390,"&lt;&gt;Off-street")&gt;0,1,0)</f>
        <v>0</v>
      </c>
      <c r="D883">
        <f>IF(COUNTIFS('United Data'!$A$3:$A$3390,D$1,'United Data'!$C$3:$C$3390,$A883,'United Data'!$B$3:$B$3390,"&lt;&gt;Off-street")&gt;0,1,0)</f>
        <v>0</v>
      </c>
      <c r="E883">
        <f>IF(COUNTIFS('United Data'!$A$3:$A$3390,E$1,'United Data'!$C$3:$C$3390,$A883,'United Data'!$B$3:$B$3390,"&lt;&gt;Off-street")&gt;0,1,0)</f>
        <v>0</v>
      </c>
      <c r="F883">
        <f>IF(COUNTIFS('United Data'!$A$3:$A$3390,F$1,'United Data'!$C$3:$C$3390,$A883,'United Data'!$B$3:$B$3390,"&lt;&gt;Off-street")&gt;0,1,0)</f>
        <v>0</v>
      </c>
      <c r="G883">
        <f>IF(COUNTIFS('United Data'!$A$3:$A$3390,G$1,'United Data'!$C$3:$C$3390,$A883,'United Data'!$B$3:$B$3390,"&lt;&gt;Off-street")&gt;0,1,0)</f>
        <v>1</v>
      </c>
      <c r="H883">
        <f>IF(COUNTIFS('United Data'!$A$3:$A$3390,H$1,'United Data'!$C$3:$C$3390,$A883,'United Data'!$B$3:$B$3390,"&lt;&gt;Off-street")&gt;0,1,0)</f>
        <v>0</v>
      </c>
      <c r="I883">
        <f>IF(COUNTIFS('United Data'!$A$3:$A$3390,I$1,'United Data'!$C$3:$C$3390,$A883,'United Data'!$B$3:$B$3390,"&lt;&gt;Off-street")&gt;0,1,0)</f>
        <v>0</v>
      </c>
      <c r="J883">
        <f>IF(COUNTIFS('United Data'!$A$3:$A$3390,J$1,'United Data'!$C$3:$C$3390,$A883,'United Data'!$B$3:$B$3390,"&lt;&gt;Off-street")&gt;0,1,0)</f>
        <v>0</v>
      </c>
      <c r="K883">
        <f>IF(COUNTIFS('United Data'!$A$3:$A$3390,K$1,'United Data'!$C$3:$C$3390,$A883,'United Data'!$B$3:$B$3390,"&lt;&gt;Off-street")&gt;0,1,0)</f>
        <v>0</v>
      </c>
      <c r="L883">
        <f>IF(COUNTIFS('United Data'!$A$3:$A$3390,L$1,'United Data'!$C$3:$C$3390,$A883,'United Data'!$B$3:$B$3390,"&lt;&gt;Off-street")&gt;0,1,0)</f>
        <v>0</v>
      </c>
      <c r="M883">
        <f>IF(COUNTIFS('United Data'!$A$3:$A$3390,M$1,'United Data'!$C$3:$C$3390,$A883,'United Data'!$B$3:$B$3390,"&lt;&gt;Off-street")&gt;0,1,0)</f>
        <v>0</v>
      </c>
      <c r="N883">
        <f>IF(COUNTIFS('United Data'!$A$3:$A$3390,N$1,'United Data'!$C$3:$C$3390,$A883,'United Data'!$B$3:$B$3390,"&lt;&gt;Off-street")&gt;0,1,0)</f>
        <v>0</v>
      </c>
      <c r="O883">
        <f>IF(COUNTIFS('United Data'!$A$3:$A$3390,O$1,'United Data'!$C$3:$C$3390,$A883,'United Data'!$B$3:$B$3390,"&lt;&gt;Off-street")&gt;0,1,0)</f>
        <v>1</v>
      </c>
      <c r="P883">
        <f>IF(COUNTIFS('United Data'!$A$3:$A$3390,P$1,'United Data'!$C$3:$C$3390,$A883,'United Data'!$B$3:$B$3390,"&lt;&gt;Off-street")&gt;0,1,0)</f>
        <v>0</v>
      </c>
      <c r="Q883">
        <f>IF(COUNTIFS('United Data'!$A$3:$A$3390,Q$1,'United Data'!$C$3:$C$3390,$A883,'United Data'!$B$3:$B$3390,"&lt;&gt;Off-street")&gt;0,1,0)</f>
        <v>0</v>
      </c>
      <c r="R883">
        <f>IF(COUNTIFS('United Data'!$A$3:$A$3390,R$1,'United Data'!$C$3:$C$3390,$A883,'United Data'!$B$3:$B$3390,"&lt;&gt;Off-street")&gt;0,1,0)</f>
        <v>1</v>
      </c>
      <c r="S883">
        <f t="shared" si="26"/>
        <v>3</v>
      </c>
      <c r="T883">
        <f t="shared" si="27"/>
        <v>3</v>
      </c>
    </row>
    <row r="884" spans="1:20" x14ac:dyDescent="0.2">
      <c r="A884" t="s">
        <v>1067</v>
      </c>
      <c r="B884">
        <f>IF(COUNTIFS('United Data'!$A$3:$A$3390,B$1,'United Data'!$C$3:$C$3390,$A884,'United Data'!$B$3:$B$3390,"&lt;&gt;Off-street")&gt;0,1,0)</f>
        <v>0</v>
      </c>
      <c r="C884">
        <f>IF(COUNTIFS('United Data'!$A$3:$A$3390,C$1,'United Data'!$C$3:$C$3390,$A884,'United Data'!$B$3:$B$3390,"&lt;&gt;Off-street")&gt;0,1,0)</f>
        <v>0</v>
      </c>
      <c r="D884">
        <f>IF(COUNTIFS('United Data'!$A$3:$A$3390,D$1,'United Data'!$C$3:$C$3390,$A884,'United Data'!$B$3:$B$3390,"&lt;&gt;Off-street")&gt;0,1,0)</f>
        <v>0</v>
      </c>
      <c r="E884">
        <f>IF(COUNTIFS('United Data'!$A$3:$A$3390,E$1,'United Data'!$C$3:$C$3390,$A884,'United Data'!$B$3:$B$3390,"&lt;&gt;Off-street")&gt;0,1,0)</f>
        <v>0</v>
      </c>
      <c r="F884">
        <f>IF(COUNTIFS('United Data'!$A$3:$A$3390,F$1,'United Data'!$C$3:$C$3390,$A884,'United Data'!$B$3:$B$3390,"&lt;&gt;Off-street")&gt;0,1,0)</f>
        <v>0</v>
      </c>
      <c r="G884">
        <f>IF(COUNTIFS('United Data'!$A$3:$A$3390,G$1,'United Data'!$C$3:$C$3390,$A884,'United Data'!$B$3:$B$3390,"&lt;&gt;Off-street")&gt;0,1,0)</f>
        <v>1</v>
      </c>
      <c r="H884">
        <f>IF(COUNTIFS('United Data'!$A$3:$A$3390,H$1,'United Data'!$C$3:$C$3390,$A884,'United Data'!$B$3:$B$3390,"&lt;&gt;Off-street")&gt;0,1,0)</f>
        <v>0</v>
      </c>
      <c r="I884">
        <f>IF(COUNTIFS('United Data'!$A$3:$A$3390,I$1,'United Data'!$C$3:$C$3390,$A884,'United Data'!$B$3:$B$3390,"&lt;&gt;Off-street")&gt;0,1,0)</f>
        <v>0</v>
      </c>
      <c r="J884">
        <f>IF(COUNTIFS('United Data'!$A$3:$A$3390,J$1,'United Data'!$C$3:$C$3390,$A884,'United Data'!$B$3:$B$3390,"&lt;&gt;Off-street")&gt;0,1,0)</f>
        <v>0</v>
      </c>
      <c r="K884">
        <f>IF(COUNTIFS('United Data'!$A$3:$A$3390,K$1,'United Data'!$C$3:$C$3390,$A884,'United Data'!$B$3:$B$3390,"&lt;&gt;Off-street")&gt;0,1,0)</f>
        <v>0</v>
      </c>
      <c r="L884">
        <f>IF(COUNTIFS('United Data'!$A$3:$A$3390,L$1,'United Data'!$C$3:$C$3390,$A884,'United Data'!$B$3:$B$3390,"&lt;&gt;Off-street")&gt;0,1,0)</f>
        <v>0</v>
      </c>
      <c r="M884">
        <f>IF(COUNTIFS('United Data'!$A$3:$A$3390,M$1,'United Data'!$C$3:$C$3390,$A884,'United Data'!$B$3:$B$3390,"&lt;&gt;Off-street")&gt;0,1,0)</f>
        <v>0</v>
      </c>
      <c r="N884">
        <f>IF(COUNTIFS('United Data'!$A$3:$A$3390,N$1,'United Data'!$C$3:$C$3390,$A884,'United Data'!$B$3:$B$3390,"&lt;&gt;Off-street")&gt;0,1,0)</f>
        <v>0</v>
      </c>
      <c r="O884">
        <f>IF(COUNTIFS('United Data'!$A$3:$A$3390,O$1,'United Data'!$C$3:$C$3390,$A884,'United Data'!$B$3:$B$3390,"&lt;&gt;Off-street")&gt;0,1,0)</f>
        <v>0</v>
      </c>
      <c r="P884">
        <f>IF(COUNTIFS('United Data'!$A$3:$A$3390,P$1,'United Data'!$C$3:$C$3390,$A884,'United Data'!$B$3:$B$3390,"&lt;&gt;Off-street")&gt;0,1,0)</f>
        <v>0</v>
      </c>
      <c r="Q884">
        <f>IF(COUNTIFS('United Data'!$A$3:$A$3390,Q$1,'United Data'!$C$3:$C$3390,$A884,'United Data'!$B$3:$B$3390,"&lt;&gt;Off-street")&gt;0,1,0)</f>
        <v>0</v>
      </c>
      <c r="R884">
        <f>IF(COUNTIFS('United Data'!$A$3:$A$3390,R$1,'United Data'!$C$3:$C$3390,$A884,'United Data'!$B$3:$B$3390,"&lt;&gt;Off-street")&gt;0,1,0)</f>
        <v>0</v>
      </c>
      <c r="S884">
        <f t="shared" si="26"/>
        <v>1</v>
      </c>
      <c r="T884">
        <f t="shared" si="27"/>
        <v>1</v>
      </c>
    </row>
    <row r="885" spans="1:20" x14ac:dyDescent="0.2">
      <c r="A885" t="s">
        <v>1068</v>
      </c>
      <c r="B885">
        <f>IF(COUNTIFS('United Data'!$A$3:$A$3390,B$1,'United Data'!$C$3:$C$3390,$A885,'United Data'!$B$3:$B$3390,"&lt;&gt;Off-street")&gt;0,1,0)</f>
        <v>0</v>
      </c>
      <c r="C885">
        <f>IF(COUNTIFS('United Data'!$A$3:$A$3390,C$1,'United Data'!$C$3:$C$3390,$A885,'United Data'!$B$3:$B$3390,"&lt;&gt;Off-street")&gt;0,1,0)</f>
        <v>0</v>
      </c>
      <c r="D885">
        <f>IF(COUNTIFS('United Data'!$A$3:$A$3390,D$1,'United Data'!$C$3:$C$3390,$A885,'United Data'!$B$3:$B$3390,"&lt;&gt;Off-street")&gt;0,1,0)</f>
        <v>0</v>
      </c>
      <c r="E885">
        <f>IF(COUNTIFS('United Data'!$A$3:$A$3390,E$1,'United Data'!$C$3:$C$3390,$A885,'United Data'!$B$3:$B$3390,"&lt;&gt;Off-street")&gt;0,1,0)</f>
        <v>0</v>
      </c>
      <c r="F885">
        <f>IF(COUNTIFS('United Data'!$A$3:$A$3390,F$1,'United Data'!$C$3:$C$3390,$A885,'United Data'!$B$3:$B$3390,"&lt;&gt;Off-street")&gt;0,1,0)</f>
        <v>0</v>
      </c>
      <c r="G885">
        <f>IF(COUNTIFS('United Data'!$A$3:$A$3390,G$1,'United Data'!$C$3:$C$3390,$A885,'United Data'!$B$3:$B$3390,"&lt;&gt;Off-street")&gt;0,1,0)</f>
        <v>1</v>
      </c>
      <c r="H885">
        <f>IF(COUNTIFS('United Data'!$A$3:$A$3390,H$1,'United Data'!$C$3:$C$3390,$A885,'United Data'!$B$3:$B$3390,"&lt;&gt;Off-street")&gt;0,1,0)</f>
        <v>0</v>
      </c>
      <c r="I885">
        <f>IF(COUNTIFS('United Data'!$A$3:$A$3390,I$1,'United Data'!$C$3:$C$3390,$A885,'United Data'!$B$3:$B$3390,"&lt;&gt;Off-street")&gt;0,1,0)</f>
        <v>0</v>
      </c>
      <c r="J885">
        <f>IF(COUNTIFS('United Data'!$A$3:$A$3390,J$1,'United Data'!$C$3:$C$3390,$A885,'United Data'!$B$3:$B$3390,"&lt;&gt;Off-street")&gt;0,1,0)</f>
        <v>0</v>
      </c>
      <c r="K885">
        <f>IF(COUNTIFS('United Data'!$A$3:$A$3390,K$1,'United Data'!$C$3:$C$3390,$A885,'United Data'!$B$3:$B$3390,"&lt;&gt;Off-street")&gt;0,1,0)</f>
        <v>0</v>
      </c>
      <c r="L885">
        <f>IF(COUNTIFS('United Data'!$A$3:$A$3390,L$1,'United Data'!$C$3:$C$3390,$A885,'United Data'!$B$3:$B$3390,"&lt;&gt;Off-street")&gt;0,1,0)</f>
        <v>0</v>
      </c>
      <c r="M885">
        <f>IF(COUNTIFS('United Data'!$A$3:$A$3390,M$1,'United Data'!$C$3:$C$3390,$A885,'United Data'!$B$3:$B$3390,"&lt;&gt;Off-street")&gt;0,1,0)</f>
        <v>0</v>
      </c>
      <c r="N885">
        <f>IF(COUNTIFS('United Data'!$A$3:$A$3390,N$1,'United Data'!$C$3:$C$3390,$A885,'United Data'!$B$3:$B$3390,"&lt;&gt;Off-street")&gt;0,1,0)</f>
        <v>0</v>
      </c>
      <c r="O885">
        <f>IF(COUNTIFS('United Data'!$A$3:$A$3390,O$1,'United Data'!$C$3:$C$3390,$A885,'United Data'!$B$3:$B$3390,"&lt;&gt;Off-street")&gt;0,1,0)</f>
        <v>0</v>
      </c>
      <c r="P885">
        <f>IF(COUNTIFS('United Data'!$A$3:$A$3390,P$1,'United Data'!$C$3:$C$3390,$A885,'United Data'!$B$3:$B$3390,"&lt;&gt;Off-street")&gt;0,1,0)</f>
        <v>0</v>
      </c>
      <c r="Q885">
        <f>IF(COUNTIFS('United Data'!$A$3:$A$3390,Q$1,'United Data'!$C$3:$C$3390,$A885,'United Data'!$B$3:$B$3390,"&lt;&gt;Off-street")&gt;0,1,0)</f>
        <v>0</v>
      </c>
      <c r="R885">
        <f>IF(COUNTIFS('United Data'!$A$3:$A$3390,R$1,'United Data'!$C$3:$C$3390,$A885,'United Data'!$B$3:$B$3390,"&lt;&gt;Off-street")&gt;0,1,0)</f>
        <v>0</v>
      </c>
      <c r="S885">
        <f t="shared" si="26"/>
        <v>1</v>
      </c>
      <c r="T885">
        <f t="shared" si="27"/>
        <v>1</v>
      </c>
    </row>
    <row r="886" spans="1:20" x14ac:dyDescent="0.2">
      <c r="A886" t="s">
        <v>1069</v>
      </c>
      <c r="B886">
        <f>IF(COUNTIFS('United Data'!$A$3:$A$3390,B$1,'United Data'!$C$3:$C$3390,$A886,'United Data'!$B$3:$B$3390,"&lt;&gt;Off-street")&gt;0,1,0)</f>
        <v>0</v>
      </c>
      <c r="C886">
        <f>IF(COUNTIFS('United Data'!$A$3:$A$3390,C$1,'United Data'!$C$3:$C$3390,$A886,'United Data'!$B$3:$B$3390,"&lt;&gt;Off-street")&gt;0,1,0)</f>
        <v>0</v>
      </c>
      <c r="D886">
        <f>IF(COUNTIFS('United Data'!$A$3:$A$3390,D$1,'United Data'!$C$3:$C$3390,$A886,'United Data'!$B$3:$B$3390,"&lt;&gt;Off-street")&gt;0,1,0)</f>
        <v>0</v>
      </c>
      <c r="E886">
        <f>IF(COUNTIFS('United Data'!$A$3:$A$3390,E$1,'United Data'!$C$3:$C$3390,$A886,'United Data'!$B$3:$B$3390,"&lt;&gt;Off-street")&gt;0,1,0)</f>
        <v>0</v>
      </c>
      <c r="F886">
        <f>IF(COUNTIFS('United Data'!$A$3:$A$3390,F$1,'United Data'!$C$3:$C$3390,$A886,'United Data'!$B$3:$B$3390,"&lt;&gt;Off-street")&gt;0,1,0)</f>
        <v>0</v>
      </c>
      <c r="G886">
        <f>IF(COUNTIFS('United Data'!$A$3:$A$3390,G$1,'United Data'!$C$3:$C$3390,$A886,'United Data'!$B$3:$B$3390,"&lt;&gt;Off-street")&gt;0,1,0)</f>
        <v>1</v>
      </c>
      <c r="H886">
        <f>IF(COUNTIFS('United Data'!$A$3:$A$3390,H$1,'United Data'!$C$3:$C$3390,$A886,'United Data'!$B$3:$B$3390,"&lt;&gt;Off-street")&gt;0,1,0)</f>
        <v>0</v>
      </c>
      <c r="I886">
        <f>IF(COUNTIFS('United Data'!$A$3:$A$3390,I$1,'United Data'!$C$3:$C$3390,$A886,'United Data'!$B$3:$B$3390,"&lt;&gt;Off-street")&gt;0,1,0)</f>
        <v>0</v>
      </c>
      <c r="J886">
        <f>IF(COUNTIFS('United Data'!$A$3:$A$3390,J$1,'United Data'!$C$3:$C$3390,$A886,'United Data'!$B$3:$B$3390,"&lt;&gt;Off-street")&gt;0,1,0)</f>
        <v>0</v>
      </c>
      <c r="K886">
        <f>IF(COUNTIFS('United Data'!$A$3:$A$3390,K$1,'United Data'!$C$3:$C$3390,$A886,'United Data'!$B$3:$B$3390,"&lt;&gt;Off-street")&gt;0,1,0)</f>
        <v>0</v>
      </c>
      <c r="L886">
        <f>IF(COUNTIFS('United Data'!$A$3:$A$3390,L$1,'United Data'!$C$3:$C$3390,$A886,'United Data'!$B$3:$B$3390,"&lt;&gt;Off-street")&gt;0,1,0)</f>
        <v>0</v>
      </c>
      <c r="M886">
        <f>IF(COUNTIFS('United Data'!$A$3:$A$3390,M$1,'United Data'!$C$3:$C$3390,$A886,'United Data'!$B$3:$B$3390,"&lt;&gt;Off-street")&gt;0,1,0)</f>
        <v>0</v>
      </c>
      <c r="N886">
        <f>IF(COUNTIFS('United Data'!$A$3:$A$3390,N$1,'United Data'!$C$3:$C$3390,$A886,'United Data'!$B$3:$B$3390,"&lt;&gt;Off-street")&gt;0,1,0)</f>
        <v>0</v>
      </c>
      <c r="O886">
        <f>IF(COUNTIFS('United Data'!$A$3:$A$3390,O$1,'United Data'!$C$3:$C$3390,$A886,'United Data'!$B$3:$B$3390,"&lt;&gt;Off-street")&gt;0,1,0)</f>
        <v>0</v>
      </c>
      <c r="P886">
        <f>IF(COUNTIFS('United Data'!$A$3:$A$3390,P$1,'United Data'!$C$3:$C$3390,$A886,'United Data'!$B$3:$B$3390,"&lt;&gt;Off-street")&gt;0,1,0)</f>
        <v>0</v>
      </c>
      <c r="Q886">
        <f>IF(COUNTIFS('United Data'!$A$3:$A$3390,Q$1,'United Data'!$C$3:$C$3390,$A886,'United Data'!$B$3:$B$3390,"&lt;&gt;Off-street")&gt;0,1,0)</f>
        <v>0</v>
      </c>
      <c r="R886">
        <f>IF(COUNTIFS('United Data'!$A$3:$A$3390,R$1,'United Data'!$C$3:$C$3390,$A886,'United Data'!$B$3:$B$3390,"&lt;&gt;Off-street")&gt;0,1,0)</f>
        <v>0</v>
      </c>
      <c r="S886">
        <f t="shared" si="26"/>
        <v>1</v>
      </c>
      <c r="T886">
        <f t="shared" si="27"/>
        <v>1</v>
      </c>
    </row>
    <row r="887" spans="1:20" x14ac:dyDescent="0.2">
      <c r="A887" t="s">
        <v>1071</v>
      </c>
      <c r="B887">
        <f>IF(COUNTIFS('United Data'!$A$3:$A$3390,B$1,'United Data'!$C$3:$C$3390,$A887,'United Data'!$B$3:$B$3390,"&lt;&gt;Off-street")&gt;0,1,0)</f>
        <v>0</v>
      </c>
      <c r="C887">
        <f>IF(COUNTIFS('United Data'!$A$3:$A$3390,C$1,'United Data'!$C$3:$C$3390,$A887,'United Data'!$B$3:$B$3390,"&lt;&gt;Off-street")&gt;0,1,0)</f>
        <v>0</v>
      </c>
      <c r="D887">
        <f>IF(COUNTIFS('United Data'!$A$3:$A$3390,D$1,'United Data'!$C$3:$C$3390,$A887,'United Data'!$B$3:$B$3390,"&lt;&gt;Off-street")&gt;0,1,0)</f>
        <v>0</v>
      </c>
      <c r="E887">
        <f>IF(COUNTIFS('United Data'!$A$3:$A$3390,E$1,'United Data'!$C$3:$C$3390,$A887,'United Data'!$B$3:$B$3390,"&lt;&gt;Off-street")&gt;0,1,0)</f>
        <v>0</v>
      </c>
      <c r="F887">
        <f>IF(COUNTIFS('United Data'!$A$3:$A$3390,F$1,'United Data'!$C$3:$C$3390,$A887,'United Data'!$B$3:$B$3390,"&lt;&gt;Off-street")&gt;0,1,0)</f>
        <v>0</v>
      </c>
      <c r="G887">
        <f>IF(COUNTIFS('United Data'!$A$3:$A$3390,G$1,'United Data'!$C$3:$C$3390,$A887,'United Data'!$B$3:$B$3390,"&lt;&gt;Off-street")&gt;0,1,0)</f>
        <v>1</v>
      </c>
      <c r="H887">
        <f>IF(COUNTIFS('United Data'!$A$3:$A$3390,H$1,'United Data'!$C$3:$C$3390,$A887,'United Data'!$B$3:$B$3390,"&lt;&gt;Off-street")&gt;0,1,0)</f>
        <v>0</v>
      </c>
      <c r="I887">
        <f>IF(COUNTIFS('United Data'!$A$3:$A$3390,I$1,'United Data'!$C$3:$C$3390,$A887,'United Data'!$B$3:$B$3390,"&lt;&gt;Off-street")&gt;0,1,0)</f>
        <v>1</v>
      </c>
      <c r="J887">
        <f>IF(COUNTIFS('United Data'!$A$3:$A$3390,J$1,'United Data'!$C$3:$C$3390,$A887,'United Data'!$B$3:$B$3390,"&lt;&gt;Off-street")&gt;0,1,0)</f>
        <v>1</v>
      </c>
      <c r="K887">
        <f>IF(COUNTIFS('United Data'!$A$3:$A$3390,K$1,'United Data'!$C$3:$C$3390,$A887,'United Data'!$B$3:$B$3390,"&lt;&gt;Off-street")&gt;0,1,0)</f>
        <v>0</v>
      </c>
      <c r="L887">
        <f>IF(COUNTIFS('United Data'!$A$3:$A$3390,L$1,'United Data'!$C$3:$C$3390,$A887,'United Data'!$B$3:$B$3390,"&lt;&gt;Off-street")&gt;0,1,0)</f>
        <v>1</v>
      </c>
      <c r="M887">
        <f>IF(COUNTIFS('United Data'!$A$3:$A$3390,M$1,'United Data'!$C$3:$C$3390,$A887,'United Data'!$B$3:$B$3390,"&lt;&gt;Off-street")&gt;0,1,0)</f>
        <v>1</v>
      </c>
      <c r="N887">
        <f>IF(COUNTIFS('United Data'!$A$3:$A$3390,N$1,'United Data'!$C$3:$C$3390,$A887,'United Data'!$B$3:$B$3390,"&lt;&gt;Off-street")&gt;0,1,0)</f>
        <v>1</v>
      </c>
      <c r="O887">
        <f>IF(COUNTIFS('United Data'!$A$3:$A$3390,O$1,'United Data'!$C$3:$C$3390,$A887,'United Data'!$B$3:$B$3390,"&lt;&gt;Off-street")&gt;0,1,0)</f>
        <v>0</v>
      </c>
      <c r="P887">
        <f>IF(COUNTIFS('United Data'!$A$3:$A$3390,P$1,'United Data'!$C$3:$C$3390,$A887,'United Data'!$B$3:$B$3390,"&lt;&gt;Off-street")&gt;0,1,0)</f>
        <v>0</v>
      </c>
      <c r="Q887">
        <f>IF(COUNTIFS('United Data'!$A$3:$A$3390,Q$1,'United Data'!$C$3:$C$3390,$A887,'United Data'!$B$3:$B$3390,"&lt;&gt;Off-street")&gt;0,1,0)</f>
        <v>0</v>
      </c>
      <c r="R887">
        <f>IF(COUNTIFS('United Data'!$A$3:$A$3390,R$1,'United Data'!$C$3:$C$3390,$A887,'United Data'!$B$3:$B$3390,"&lt;&gt;Off-street")&gt;0,1,0)</f>
        <v>0</v>
      </c>
      <c r="S887">
        <f t="shared" si="26"/>
        <v>6</v>
      </c>
      <c r="T887">
        <f t="shared" si="27"/>
        <v>3</v>
      </c>
    </row>
    <row r="888" spans="1:20" x14ac:dyDescent="0.2">
      <c r="A888" t="s">
        <v>1073</v>
      </c>
      <c r="B888">
        <f>IF(COUNTIFS('United Data'!$A$3:$A$3390,B$1,'United Data'!$C$3:$C$3390,$A888,'United Data'!$B$3:$B$3390,"&lt;&gt;Off-street")&gt;0,1,0)</f>
        <v>0</v>
      </c>
      <c r="C888">
        <f>IF(COUNTIFS('United Data'!$A$3:$A$3390,C$1,'United Data'!$C$3:$C$3390,$A888,'United Data'!$B$3:$B$3390,"&lt;&gt;Off-street")&gt;0,1,0)</f>
        <v>0</v>
      </c>
      <c r="D888">
        <f>IF(COUNTIFS('United Data'!$A$3:$A$3390,D$1,'United Data'!$C$3:$C$3390,$A888,'United Data'!$B$3:$B$3390,"&lt;&gt;Off-street")&gt;0,1,0)</f>
        <v>0</v>
      </c>
      <c r="E888">
        <f>IF(COUNTIFS('United Data'!$A$3:$A$3390,E$1,'United Data'!$C$3:$C$3390,$A888,'United Data'!$B$3:$B$3390,"&lt;&gt;Off-street")&gt;0,1,0)</f>
        <v>0</v>
      </c>
      <c r="F888">
        <f>IF(COUNTIFS('United Data'!$A$3:$A$3390,F$1,'United Data'!$C$3:$C$3390,$A888,'United Data'!$B$3:$B$3390,"&lt;&gt;Off-street")&gt;0,1,0)</f>
        <v>0</v>
      </c>
      <c r="G888">
        <f>IF(COUNTIFS('United Data'!$A$3:$A$3390,G$1,'United Data'!$C$3:$C$3390,$A888,'United Data'!$B$3:$B$3390,"&lt;&gt;Off-street")&gt;0,1,0)</f>
        <v>0</v>
      </c>
      <c r="H888">
        <f>IF(COUNTIFS('United Data'!$A$3:$A$3390,H$1,'United Data'!$C$3:$C$3390,$A888,'United Data'!$B$3:$B$3390,"&lt;&gt;Off-street")&gt;0,1,0)</f>
        <v>1</v>
      </c>
      <c r="I888">
        <f>IF(COUNTIFS('United Data'!$A$3:$A$3390,I$1,'United Data'!$C$3:$C$3390,$A888,'United Data'!$B$3:$B$3390,"&lt;&gt;Off-street")&gt;0,1,0)</f>
        <v>0</v>
      </c>
      <c r="J888">
        <f>IF(COUNTIFS('United Data'!$A$3:$A$3390,J$1,'United Data'!$C$3:$C$3390,$A888,'United Data'!$B$3:$B$3390,"&lt;&gt;Off-street")&gt;0,1,0)</f>
        <v>0</v>
      </c>
      <c r="K888">
        <f>IF(COUNTIFS('United Data'!$A$3:$A$3390,K$1,'United Data'!$C$3:$C$3390,$A888,'United Data'!$B$3:$B$3390,"&lt;&gt;Off-street")&gt;0,1,0)</f>
        <v>0</v>
      </c>
      <c r="L888">
        <f>IF(COUNTIFS('United Data'!$A$3:$A$3390,L$1,'United Data'!$C$3:$C$3390,$A888,'United Data'!$B$3:$B$3390,"&lt;&gt;Off-street")&gt;0,1,0)</f>
        <v>0</v>
      </c>
      <c r="M888">
        <f>IF(COUNTIFS('United Data'!$A$3:$A$3390,M$1,'United Data'!$C$3:$C$3390,$A888,'United Data'!$B$3:$B$3390,"&lt;&gt;Off-street")&gt;0,1,0)</f>
        <v>0</v>
      </c>
      <c r="N888">
        <f>IF(COUNTIFS('United Data'!$A$3:$A$3390,N$1,'United Data'!$C$3:$C$3390,$A888,'United Data'!$B$3:$B$3390,"&lt;&gt;Off-street")&gt;0,1,0)</f>
        <v>0</v>
      </c>
      <c r="O888">
        <f>IF(COUNTIFS('United Data'!$A$3:$A$3390,O$1,'United Data'!$C$3:$C$3390,$A888,'United Data'!$B$3:$B$3390,"&lt;&gt;Off-street")&gt;0,1,0)</f>
        <v>0</v>
      </c>
      <c r="P888">
        <f>IF(COUNTIFS('United Data'!$A$3:$A$3390,P$1,'United Data'!$C$3:$C$3390,$A888,'United Data'!$B$3:$B$3390,"&lt;&gt;Off-street")&gt;0,1,0)</f>
        <v>0</v>
      </c>
      <c r="Q888">
        <f>IF(COUNTIFS('United Data'!$A$3:$A$3390,Q$1,'United Data'!$C$3:$C$3390,$A888,'United Data'!$B$3:$B$3390,"&lt;&gt;Off-street")&gt;0,1,0)</f>
        <v>0</v>
      </c>
      <c r="R888">
        <f>IF(COUNTIFS('United Data'!$A$3:$A$3390,R$1,'United Data'!$C$3:$C$3390,$A888,'United Data'!$B$3:$B$3390,"&lt;&gt;Off-street")&gt;0,1,0)</f>
        <v>0</v>
      </c>
      <c r="S888">
        <f t="shared" si="26"/>
        <v>1</v>
      </c>
      <c r="T888">
        <f t="shared" si="27"/>
        <v>1</v>
      </c>
    </row>
    <row r="889" spans="1:20" x14ac:dyDescent="0.2">
      <c r="A889" t="s">
        <v>1074</v>
      </c>
      <c r="B889">
        <f>IF(COUNTIFS('United Data'!$A$3:$A$3390,B$1,'United Data'!$C$3:$C$3390,$A889,'United Data'!$B$3:$B$3390,"&lt;&gt;Off-street")&gt;0,1,0)</f>
        <v>0</v>
      </c>
      <c r="C889">
        <f>IF(COUNTIFS('United Data'!$A$3:$A$3390,C$1,'United Data'!$C$3:$C$3390,$A889,'United Data'!$B$3:$B$3390,"&lt;&gt;Off-street")&gt;0,1,0)</f>
        <v>0</v>
      </c>
      <c r="D889">
        <f>IF(COUNTIFS('United Data'!$A$3:$A$3390,D$1,'United Data'!$C$3:$C$3390,$A889,'United Data'!$B$3:$B$3390,"&lt;&gt;Off-street")&gt;0,1,0)</f>
        <v>0</v>
      </c>
      <c r="E889">
        <f>IF(COUNTIFS('United Data'!$A$3:$A$3390,E$1,'United Data'!$C$3:$C$3390,$A889,'United Data'!$B$3:$B$3390,"&lt;&gt;Off-street")&gt;0,1,0)</f>
        <v>0</v>
      </c>
      <c r="F889">
        <f>IF(COUNTIFS('United Data'!$A$3:$A$3390,F$1,'United Data'!$C$3:$C$3390,$A889,'United Data'!$B$3:$B$3390,"&lt;&gt;Off-street")&gt;0,1,0)</f>
        <v>0</v>
      </c>
      <c r="G889">
        <f>IF(COUNTIFS('United Data'!$A$3:$A$3390,G$1,'United Data'!$C$3:$C$3390,$A889,'United Data'!$B$3:$B$3390,"&lt;&gt;Off-street")&gt;0,1,0)</f>
        <v>0</v>
      </c>
      <c r="H889">
        <f>IF(COUNTIFS('United Data'!$A$3:$A$3390,H$1,'United Data'!$C$3:$C$3390,$A889,'United Data'!$B$3:$B$3390,"&lt;&gt;Off-street")&gt;0,1,0)</f>
        <v>1</v>
      </c>
      <c r="I889">
        <f>IF(COUNTIFS('United Data'!$A$3:$A$3390,I$1,'United Data'!$C$3:$C$3390,$A889,'United Data'!$B$3:$B$3390,"&lt;&gt;Off-street")&gt;0,1,0)</f>
        <v>0</v>
      </c>
      <c r="J889">
        <f>IF(COUNTIFS('United Data'!$A$3:$A$3390,J$1,'United Data'!$C$3:$C$3390,$A889,'United Data'!$B$3:$B$3390,"&lt;&gt;Off-street")&gt;0,1,0)</f>
        <v>0</v>
      </c>
      <c r="K889">
        <f>IF(COUNTIFS('United Data'!$A$3:$A$3390,K$1,'United Data'!$C$3:$C$3390,$A889,'United Data'!$B$3:$B$3390,"&lt;&gt;Off-street")&gt;0,1,0)</f>
        <v>0</v>
      </c>
      <c r="L889">
        <f>IF(COUNTIFS('United Data'!$A$3:$A$3390,L$1,'United Data'!$C$3:$C$3390,$A889,'United Data'!$B$3:$B$3390,"&lt;&gt;Off-street")&gt;0,1,0)</f>
        <v>0</v>
      </c>
      <c r="M889">
        <f>IF(COUNTIFS('United Data'!$A$3:$A$3390,M$1,'United Data'!$C$3:$C$3390,$A889,'United Data'!$B$3:$B$3390,"&lt;&gt;Off-street")&gt;0,1,0)</f>
        <v>0</v>
      </c>
      <c r="N889">
        <f>IF(COUNTIFS('United Data'!$A$3:$A$3390,N$1,'United Data'!$C$3:$C$3390,$A889,'United Data'!$B$3:$B$3390,"&lt;&gt;Off-street")&gt;0,1,0)</f>
        <v>0</v>
      </c>
      <c r="O889">
        <f>IF(COUNTIFS('United Data'!$A$3:$A$3390,O$1,'United Data'!$C$3:$C$3390,$A889,'United Data'!$B$3:$B$3390,"&lt;&gt;Off-street")&gt;0,1,0)</f>
        <v>0</v>
      </c>
      <c r="P889">
        <f>IF(COUNTIFS('United Data'!$A$3:$A$3390,P$1,'United Data'!$C$3:$C$3390,$A889,'United Data'!$B$3:$B$3390,"&lt;&gt;Off-street")&gt;0,1,0)</f>
        <v>0</v>
      </c>
      <c r="Q889">
        <f>IF(COUNTIFS('United Data'!$A$3:$A$3390,Q$1,'United Data'!$C$3:$C$3390,$A889,'United Data'!$B$3:$B$3390,"&lt;&gt;Off-street")&gt;0,1,0)</f>
        <v>0</v>
      </c>
      <c r="R889">
        <f>IF(COUNTIFS('United Data'!$A$3:$A$3390,R$1,'United Data'!$C$3:$C$3390,$A889,'United Data'!$B$3:$B$3390,"&lt;&gt;Off-street")&gt;0,1,0)</f>
        <v>0</v>
      </c>
      <c r="S889">
        <f t="shared" si="26"/>
        <v>1</v>
      </c>
      <c r="T889">
        <f t="shared" si="27"/>
        <v>1</v>
      </c>
    </row>
    <row r="890" spans="1:20" x14ac:dyDescent="0.2">
      <c r="A890" t="s">
        <v>1075</v>
      </c>
      <c r="B890">
        <f>IF(COUNTIFS('United Data'!$A$3:$A$3390,B$1,'United Data'!$C$3:$C$3390,$A890,'United Data'!$B$3:$B$3390,"&lt;&gt;Off-street")&gt;0,1,0)</f>
        <v>0</v>
      </c>
      <c r="C890">
        <f>IF(COUNTIFS('United Data'!$A$3:$A$3390,C$1,'United Data'!$C$3:$C$3390,$A890,'United Data'!$B$3:$B$3390,"&lt;&gt;Off-street")&gt;0,1,0)</f>
        <v>0</v>
      </c>
      <c r="D890">
        <f>IF(COUNTIFS('United Data'!$A$3:$A$3390,D$1,'United Data'!$C$3:$C$3390,$A890,'United Data'!$B$3:$B$3390,"&lt;&gt;Off-street")&gt;0,1,0)</f>
        <v>0</v>
      </c>
      <c r="E890">
        <f>IF(COUNTIFS('United Data'!$A$3:$A$3390,E$1,'United Data'!$C$3:$C$3390,$A890,'United Data'!$B$3:$B$3390,"&lt;&gt;Off-street")&gt;0,1,0)</f>
        <v>0</v>
      </c>
      <c r="F890">
        <f>IF(COUNTIFS('United Data'!$A$3:$A$3390,F$1,'United Data'!$C$3:$C$3390,$A890,'United Data'!$B$3:$B$3390,"&lt;&gt;Off-street")&gt;0,1,0)</f>
        <v>0</v>
      </c>
      <c r="G890">
        <f>IF(COUNTIFS('United Data'!$A$3:$A$3390,G$1,'United Data'!$C$3:$C$3390,$A890,'United Data'!$B$3:$B$3390,"&lt;&gt;Off-street")&gt;0,1,0)</f>
        <v>0</v>
      </c>
      <c r="H890">
        <f>IF(COUNTIFS('United Data'!$A$3:$A$3390,H$1,'United Data'!$C$3:$C$3390,$A890,'United Data'!$B$3:$B$3390,"&lt;&gt;Off-street")&gt;0,1,0)</f>
        <v>1</v>
      </c>
      <c r="I890">
        <f>IF(COUNTIFS('United Data'!$A$3:$A$3390,I$1,'United Data'!$C$3:$C$3390,$A890,'United Data'!$B$3:$B$3390,"&lt;&gt;Off-street")&gt;0,1,0)</f>
        <v>0</v>
      </c>
      <c r="J890">
        <f>IF(COUNTIFS('United Data'!$A$3:$A$3390,J$1,'United Data'!$C$3:$C$3390,$A890,'United Data'!$B$3:$B$3390,"&lt;&gt;Off-street")&gt;0,1,0)</f>
        <v>0</v>
      </c>
      <c r="K890">
        <f>IF(COUNTIFS('United Data'!$A$3:$A$3390,K$1,'United Data'!$C$3:$C$3390,$A890,'United Data'!$B$3:$B$3390,"&lt;&gt;Off-street")&gt;0,1,0)</f>
        <v>0</v>
      </c>
      <c r="L890">
        <f>IF(COUNTIFS('United Data'!$A$3:$A$3390,L$1,'United Data'!$C$3:$C$3390,$A890,'United Data'!$B$3:$B$3390,"&lt;&gt;Off-street")&gt;0,1,0)</f>
        <v>0</v>
      </c>
      <c r="M890">
        <f>IF(COUNTIFS('United Data'!$A$3:$A$3390,M$1,'United Data'!$C$3:$C$3390,$A890,'United Data'!$B$3:$B$3390,"&lt;&gt;Off-street")&gt;0,1,0)</f>
        <v>0</v>
      </c>
      <c r="N890">
        <f>IF(COUNTIFS('United Data'!$A$3:$A$3390,N$1,'United Data'!$C$3:$C$3390,$A890,'United Data'!$B$3:$B$3390,"&lt;&gt;Off-street")&gt;0,1,0)</f>
        <v>0</v>
      </c>
      <c r="O890">
        <f>IF(COUNTIFS('United Data'!$A$3:$A$3390,O$1,'United Data'!$C$3:$C$3390,$A890,'United Data'!$B$3:$B$3390,"&lt;&gt;Off-street")&gt;0,1,0)</f>
        <v>0</v>
      </c>
      <c r="P890">
        <f>IF(COUNTIFS('United Data'!$A$3:$A$3390,P$1,'United Data'!$C$3:$C$3390,$A890,'United Data'!$B$3:$B$3390,"&lt;&gt;Off-street")&gt;0,1,0)</f>
        <v>0</v>
      </c>
      <c r="Q890">
        <f>IF(COUNTIFS('United Data'!$A$3:$A$3390,Q$1,'United Data'!$C$3:$C$3390,$A890,'United Data'!$B$3:$B$3390,"&lt;&gt;Off-street")&gt;0,1,0)</f>
        <v>0</v>
      </c>
      <c r="R890">
        <f>IF(COUNTIFS('United Data'!$A$3:$A$3390,R$1,'United Data'!$C$3:$C$3390,$A890,'United Data'!$B$3:$B$3390,"&lt;&gt;Off-street")&gt;0,1,0)</f>
        <v>0</v>
      </c>
      <c r="S890">
        <f t="shared" si="26"/>
        <v>1</v>
      </c>
      <c r="T890">
        <f t="shared" si="27"/>
        <v>1</v>
      </c>
    </row>
    <row r="891" spans="1:20" x14ac:dyDescent="0.2">
      <c r="A891" t="s">
        <v>1076</v>
      </c>
      <c r="B891">
        <f>IF(COUNTIFS('United Data'!$A$3:$A$3390,B$1,'United Data'!$C$3:$C$3390,$A891,'United Data'!$B$3:$B$3390,"&lt;&gt;Off-street")&gt;0,1,0)</f>
        <v>0</v>
      </c>
      <c r="C891">
        <f>IF(COUNTIFS('United Data'!$A$3:$A$3390,C$1,'United Data'!$C$3:$C$3390,$A891,'United Data'!$B$3:$B$3390,"&lt;&gt;Off-street")&gt;0,1,0)</f>
        <v>0</v>
      </c>
      <c r="D891">
        <f>IF(COUNTIFS('United Data'!$A$3:$A$3390,D$1,'United Data'!$C$3:$C$3390,$A891,'United Data'!$B$3:$B$3390,"&lt;&gt;Off-street")&gt;0,1,0)</f>
        <v>0</v>
      </c>
      <c r="E891">
        <f>IF(COUNTIFS('United Data'!$A$3:$A$3390,E$1,'United Data'!$C$3:$C$3390,$A891,'United Data'!$B$3:$B$3390,"&lt;&gt;Off-street")&gt;0,1,0)</f>
        <v>0</v>
      </c>
      <c r="F891">
        <f>IF(COUNTIFS('United Data'!$A$3:$A$3390,F$1,'United Data'!$C$3:$C$3390,$A891,'United Data'!$B$3:$B$3390,"&lt;&gt;Off-street")&gt;0,1,0)</f>
        <v>0</v>
      </c>
      <c r="G891">
        <f>IF(COUNTIFS('United Data'!$A$3:$A$3390,G$1,'United Data'!$C$3:$C$3390,$A891,'United Data'!$B$3:$B$3390,"&lt;&gt;Off-street")&gt;0,1,0)</f>
        <v>0</v>
      </c>
      <c r="H891">
        <f>IF(COUNTIFS('United Data'!$A$3:$A$3390,H$1,'United Data'!$C$3:$C$3390,$A891,'United Data'!$B$3:$B$3390,"&lt;&gt;Off-street")&gt;0,1,0)</f>
        <v>1</v>
      </c>
      <c r="I891">
        <f>IF(COUNTIFS('United Data'!$A$3:$A$3390,I$1,'United Data'!$C$3:$C$3390,$A891,'United Data'!$B$3:$B$3390,"&lt;&gt;Off-street")&gt;0,1,0)</f>
        <v>0</v>
      </c>
      <c r="J891">
        <f>IF(COUNTIFS('United Data'!$A$3:$A$3390,J$1,'United Data'!$C$3:$C$3390,$A891,'United Data'!$B$3:$B$3390,"&lt;&gt;Off-street")&gt;0,1,0)</f>
        <v>0</v>
      </c>
      <c r="K891">
        <f>IF(COUNTIFS('United Data'!$A$3:$A$3390,K$1,'United Data'!$C$3:$C$3390,$A891,'United Data'!$B$3:$B$3390,"&lt;&gt;Off-street")&gt;0,1,0)</f>
        <v>0</v>
      </c>
      <c r="L891">
        <f>IF(COUNTIFS('United Data'!$A$3:$A$3390,L$1,'United Data'!$C$3:$C$3390,$A891,'United Data'!$B$3:$B$3390,"&lt;&gt;Off-street")&gt;0,1,0)</f>
        <v>0</v>
      </c>
      <c r="M891">
        <f>IF(COUNTIFS('United Data'!$A$3:$A$3390,M$1,'United Data'!$C$3:$C$3390,$A891,'United Data'!$B$3:$B$3390,"&lt;&gt;Off-street")&gt;0,1,0)</f>
        <v>0</v>
      </c>
      <c r="N891">
        <f>IF(COUNTIFS('United Data'!$A$3:$A$3390,N$1,'United Data'!$C$3:$C$3390,$A891,'United Data'!$B$3:$B$3390,"&lt;&gt;Off-street")&gt;0,1,0)</f>
        <v>0</v>
      </c>
      <c r="O891">
        <f>IF(COUNTIFS('United Data'!$A$3:$A$3390,O$1,'United Data'!$C$3:$C$3390,$A891,'United Data'!$B$3:$B$3390,"&lt;&gt;Off-street")&gt;0,1,0)</f>
        <v>0</v>
      </c>
      <c r="P891">
        <f>IF(COUNTIFS('United Data'!$A$3:$A$3390,P$1,'United Data'!$C$3:$C$3390,$A891,'United Data'!$B$3:$B$3390,"&lt;&gt;Off-street")&gt;0,1,0)</f>
        <v>0</v>
      </c>
      <c r="Q891">
        <f>IF(COUNTIFS('United Data'!$A$3:$A$3390,Q$1,'United Data'!$C$3:$C$3390,$A891,'United Data'!$B$3:$B$3390,"&lt;&gt;Off-street")&gt;0,1,0)</f>
        <v>0</v>
      </c>
      <c r="R891">
        <f>IF(COUNTIFS('United Data'!$A$3:$A$3390,R$1,'United Data'!$C$3:$C$3390,$A891,'United Data'!$B$3:$B$3390,"&lt;&gt;Off-street")&gt;0,1,0)</f>
        <v>0</v>
      </c>
      <c r="S891">
        <f t="shared" si="26"/>
        <v>1</v>
      </c>
      <c r="T891">
        <f t="shared" si="27"/>
        <v>1</v>
      </c>
    </row>
    <row r="892" spans="1:20" x14ac:dyDescent="0.2">
      <c r="A892" t="s">
        <v>1077</v>
      </c>
      <c r="B892">
        <f>IF(COUNTIFS('United Data'!$A$3:$A$3390,B$1,'United Data'!$C$3:$C$3390,$A892,'United Data'!$B$3:$B$3390,"&lt;&gt;Off-street")&gt;0,1,0)</f>
        <v>0</v>
      </c>
      <c r="C892">
        <f>IF(COUNTIFS('United Data'!$A$3:$A$3390,C$1,'United Data'!$C$3:$C$3390,$A892,'United Data'!$B$3:$B$3390,"&lt;&gt;Off-street")&gt;0,1,0)</f>
        <v>0</v>
      </c>
      <c r="D892">
        <f>IF(COUNTIFS('United Data'!$A$3:$A$3390,D$1,'United Data'!$C$3:$C$3390,$A892,'United Data'!$B$3:$B$3390,"&lt;&gt;Off-street")&gt;0,1,0)</f>
        <v>0</v>
      </c>
      <c r="E892">
        <f>IF(COUNTIFS('United Data'!$A$3:$A$3390,E$1,'United Data'!$C$3:$C$3390,$A892,'United Data'!$B$3:$B$3390,"&lt;&gt;Off-street")&gt;0,1,0)</f>
        <v>0</v>
      </c>
      <c r="F892">
        <f>IF(COUNTIFS('United Data'!$A$3:$A$3390,F$1,'United Data'!$C$3:$C$3390,$A892,'United Data'!$B$3:$B$3390,"&lt;&gt;Off-street")&gt;0,1,0)</f>
        <v>0</v>
      </c>
      <c r="G892">
        <f>IF(COUNTIFS('United Data'!$A$3:$A$3390,G$1,'United Data'!$C$3:$C$3390,$A892,'United Data'!$B$3:$B$3390,"&lt;&gt;Off-street")&gt;0,1,0)</f>
        <v>0</v>
      </c>
      <c r="H892">
        <f>IF(COUNTIFS('United Data'!$A$3:$A$3390,H$1,'United Data'!$C$3:$C$3390,$A892,'United Data'!$B$3:$B$3390,"&lt;&gt;Off-street")&gt;0,1,0)</f>
        <v>0</v>
      </c>
      <c r="I892">
        <f>IF(COUNTIFS('United Data'!$A$3:$A$3390,I$1,'United Data'!$C$3:$C$3390,$A892,'United Data'!$B$3:$B$3390,"&lt;&gt;Off-street")&gt;0,1,0)</f>
        <v>1</v>
      </c>
      <c r="J892">
        <f>IF(COUNTIFS('United Data'!$A$3:$A$3390,J$1,'United Data'!$C$3:$C$3390,$A892,'United Data'!$B$3:$B$3390,"&lt;&gt;Off-street")&gt;0,1,0)</f>
        <v>0</v>
      </c>
      <c r="K892">
        <f>IF(COUNTIFS('United Data'!$A$3:$A$3390,K$1,'United Data'!$C$3:$C$3390,$A892,'United Data'!$B$3:$B$3390,"&lt;&gt;Off-street")&gt;0,1,0)</f>
        <v>0</v>
      </c>
      <c r="L892">
        <f>IF(COUNTIFS('United Data'!$A$3:$A$3390,L$1,'United Data'!$C$3:$C$3390,$A892,'United Data'!$B$3:$B$3390,"&lt;&gt;Off-street")&gt;0,1,0)</f>
        <v>0</v>
      </c>
      <c r="M892">
        <f>IF(COUNTIFS('United Data'!$A$3:$A$3390,M$1,'United Data'!$C$3:$C$3390,$A892,'United Data'!$B$3:$B$3390,"&lt;&gt;Off-street")&gt;0,1,0)</f>
        <v>0</v>
      </c>
      <c r="N892">
        <f>IF(COUNTIFS('United Data'!$A$3:$A$3390,N$1,'United Data'!$C$3:$C$3390,$A892,'United Data'!$B$3:$B$3390,"&lt;&gt;Off-street")&gt;0,1,0)</f>
        <v>0</v>
      </c>
      <c r="O892">
        <f>IF(COUNTIFS('United Data'!$A$3:$A$3390,O$1,'United Data'!$C$3:$C$3390,$A892,'United Data'!$B$3:$B$3390,"&lt;&gt;Off-street")&gt;0,1,0)</f>
        <v>0</v>
      </c>
      <c r="P892">
        <f>IF(COUNTIFS('United Data'!$A$3:$A$3390,P$1,'United Data'!$C$3:$C$3390,$A892,'United Data'!$B$3:$B$3390,"&lt;&gt;Off-street")&gt;0,1,0)</f>
        <v>0</v>
      </c>
      <c r="Q892">
        <f>IF(COUNTIFS('United Data'!$A$3:$A$3390,Q$1,'United Data'!$C$3:$C$3390,$A892,'United Data'!$B$3:$B$3390,"&lt;&gt;Off-street")&gt;0,1,0)</f>
        <v>0</v>
      </c>
      <c r="R892">
        <f>IF(COUNTIFS('United Data'!$A$3:$A$3390,R$1,'United Data'!$C$3:$C$3390,$A892,'United Data'!$B$3:$B$3390,"&lt;&gt;Off-street")&gt;0,1,0)</f>
        <v>0</v>
      </c>
      <c r="S892">
        <f t="shared" si="26"/>
        <v>1</v>
      </c>
      <c r="T892">
        <f t="shared" si="27"/>
        <v>1</v>
      </c>
    </row>
    <row r="893" spans="1:20" x14ac:dyDescent="0.2">
      <c r="A893" t="s">
        <v>1078</v>
      </c>
      <c r="B893">
        <f>IF(COUNTIFS('United Data'!$A$3:$A$3390,B$1,'United Data'!$C$3:$C$3390,$A893,'United Data'!$B$3:$B$3390,"&lt;&gt;Off-street")&gt;0,1,0)</f>
        <v>0</v>
      </c>
      <c r="C893">
        <f>IF(COUNTIFS('United Data'!$A$3:$A$3390,C$1,'United Data'!$C$3:$C$3390,$A893,'United Data'!$B$3:$B$3390,"&lt;&gt;Off-street")&gt;0,1,0)</f>
        <v>0</v>
      </c>
      <c r="D893">
        <f>IF(COUNTIFS('United Data'!$A$3:$A$3390,D$1,'United Data'!$C$3:$C$3390,$A893,'United Data'!$B$3:$B$3390,"&lt;&gt;Off-street")&gt;0,1,0)</f>
        <v>0</v>
      </c>
      <c r="E893">
        <f>IF(COUNTIFS('United Data'!$A$3:$A$3390,E$1,'United Data'!$C$3:$C$3390,$A893,'United Data'!$B$3:$B$3390,"&lt;&gt;Off-street")&gt;0,1,0)</f>
        <v>0</v>
      </c>
      <c r="F893">
        <f>IF(COUNTIFS('United Data'!$A$3:$A$3390,F$1,'United Data'!$C$3:$C$3390,$A893,'United Data'!$B$3:$B$3390,"&lt;&gt;Off-street")&gt;0,1,0)</f>
        <v>0</v>
      </c>
      <c r="G893">
        <f>IF(COUNTIFS('United Data'!$A$3:$A$3390,G$1,'United Data'!$C$3:$C$3390,$A893,'United Data'!$B$3:$B$3390,"&lt;&gt;Off-street")&gt;0,1,0)</f>
        <v>0</v>
      </c>
      <c r="H893">
        <f>IF(COUNTIFS('United Data'!$A$3:$A$3390,H$1,'United Data'!$C$3:$C$3390,$A893,'United Data'!$B$3:$B$3390,"&lt;&gt;Off-street")&gt;0,1,0)</f>
        <v>0</v>
      </c>
      <c r="I893">
        <f>IF(COUNTIFS('United Data'!$A$3:$A$3390,I$1,'United Data'!$C$3:$C$3390,$A893,'United Data'!$B$3:$B$3390,"&lt;&gt;Off-street")&gt;0,1,0)</f>
        <v>1</v>
      </c>
      <c r="J893">
        <f>IF(COUNTIFS('United Data'!$A$3:$A$3390,J$1,'United Data'!$C$3:$C$3390,$A893,'United Data'!$B$3:$B$3390,"&lt;&gt;Off-street")&gt;0,1,0)</f>
        <v>1</v>
      </c>
      <c r="K893">
        <f>IF(COUNTIFS('United Data'!$A$3:$A$3390,K$1,'United Data'!$C$3:$C$3390,$A893,'United Data'!$B$3:$B$3390,"&lt;&gt;Off-street")&gt;0,1,0)</f>
        <v>1</v>
      </c>
      <c r="L893">
        <f>IF(COUNTIFS('United Data'!$A$3:$A$3390,L$1,'United Data'!$C$3:$C$3390,$A893,'United Data'!$B$3:$B$3390,"&lt;&gt;Off-street")&gt;0,1,0)</f>
        <v>0</v>
      </c>
      <c r="M893">
        <f>IF(COUNTIFS('United Data'!$A$3:$A$3390,M$1,'United Data'!$C$3:$C$3390,$A893,'United Data'!$B$3:$B$3390,"&lt;&gt;Off-street")&gt;0,1,0)</f>
        <v>0</v>
      </c>
      <c r="N893">
        <f>IF(COUNTIFS('United Data'!$A$3:$A$3390,N$1,'United Data'!$C$3:$C$3390,$A893,'United Data'!$B$3:$B$3390,"&lt;&gt;Off-street")&gt;0,1,0)</f>
        <v>0</v>
      </c>
      <c r="O893">
        <f>IF(COUNTIFS('United Data'!$A$3:$A$3390,O$1,'United Data'!$C$3:$C$3390,$A893,'United Data'!$B$3:$B$3390,"&lt;&gt;Off-street")&gt;0,1,0)</f>
        <v>0</v>
      </c>
      <c r="P893">
        <f>IF(COUNTIFS('United Data'!$A$3:$A$3390,P$1,'United Data'!$C$3:$C$3390,$A893,'United Data'!$B$3:$B$3390,"&lt;&gt;Off-street")&gt;0,1,0)</f>
        <v>0</v>
      </c>
      <c r="Q893">
        <f>IF(COUNTIFS('United Data'!$A$3:$A$3390,Q$1,'United Data'!$C$3:$C$3390,$A893,'United Data'!$B$3:$B$3390,"&lt;&gt;Off-street")&gt;0,1,0)</f>
        <v>0</v>
      </c>
      <c r="R893">
        <f>IF(COUNTIFS('United Data'!$A$3:$A$3390,R$1,'United Data'!$C$3:$C$3390,$A893,'United Data'!$B$3:$B$3390,"&lt;&gt;Off-street")&gt;0,1,0)</f>
        <v>0</v>
      </c>
      <c r="S893">
        <f t="shared" si="26"/>
        <v>3</v>
      </c>
      <c r="T893">
        <f t="shared" si="27"/>
        <v>1</v>
      </c>
    </row>
    <row r="894" spans="1:20" x14ac:dyDescent="0.2">
      <c r="A894" t="s">
        <v>1079</v>
      </c>
      <c r="B894">
        <f>IF(COUNTIFS('United Data'!$A$3:$A$3390,B$1,'United Data'!$C$3:$C$3390,$A894,'United Data'!$B$3:$B$3390,"&lt;&gt;Off-street")&gt;0,1,0)</f>
        <v>0</v>
      </c>
      <c r="C894">
        <f>IF(COUNTIFS('United Data'!$A$3:$A$3390,C$1,'United Data'!$C$3:$C$3390,$A894,'United Data'!$B$3:$B$3390,"&lt;&gt;Off-street")&gt;0,1,0)</f>
        <v>0</v>
      </c>
      <c r="D894">
        <f>IF(COUNTIFS('United Data'!$A$3:$A$3390,D$1,'United Data'!$C$3:$C$3390,$A894,'United Data'!$B$3:$B$3390,"&lt;&gt;Off-street")&gt;0,1,0)</f>
        <v>0</v>
      </c>
      <c r="E894">
        <f>IF(COUNTIFS('United Data'!$A$3:$A$3390,E$1,'United Data'!$C$3:$C$3390,$A894,'United Data'!$B$3:$B$3390,"&lt;&gt;Off-street")&gt;0,1,0)</f>
        <v>0</v>
      </c>
      <c r="F894">
        <f>IF(COUNTIFS('United Data'!$A$3:$A$3390,F$1,'United Data'!$C$3:$C$3390,$A894,'United Data'!$B$3:$B$3390,"&lt;&gt;Off-street")&gt;0,1,0)</f>
        <v>0</v>
      </c>
      <c r="G894">
        <f>IF(COUNTIFS('United Data'!$A$3:$A$3390,G$1,'United Data'!$C$3:$C$3390,$A894,'United Data'!$B$3:$B$3390,"&lt;&gt;Off-street")&gt;0,1,0)</f>
        <v>0</v>
      </c>
      <c r="H894">
        <f>IF(COUNTIFS('United Data'!$A$3:$A$3390,H$1,'United Data'!$C$3:$C$3390,$A894,'United Data'!$B$3:$B$3390,"&lt;&gt;Off-street")&gt;0,1,0)</f>
        <v>0</v>
      </c>
      <c r="I894">
        <f>IF(COUNTIFS('United Data'!$A$3:$A$3390,I$1,'United Data'!$C$3:$C$3390,$A894,'United Data'!$B$3:$B$3390,"&lt;&gt;Off-street")&gt;0,1,0)</f>
        <v>0</v>
      </c>
      <c r="J894">
        <f>IF(COUNTIFS('United Data'!$A$3:$A$3390,J$1,'United Data'!$C$3:$C$3390,$A894,'United Data'!$B$3:$B$3390,"&lt;&gt;Off-street")&gt;0,1,0)</f>
        <v>1</v>
      </c>
      <c r="K894">
        <f>IF(COUNTIFS('United Data'!$A$3:$A$3390,K$1,'United Data'!$C$3:$C$3390,$A894,'United Data'!$B$3:$B$3390,"&lt;&gt;Off-street")&gt;0,1,0)</f>
        <v>0</v>
      </c>
      <c r="L894">
        <f>IF(COUNTIFS('United Data'!$A$3:$A$3390,L$1,'United Data'!$C$3:$C$3390,$A894,'United Data'!$B$3:$B$3390,"&lt;&gt;Off-street")&gt;0,1,0)</f>
        <v>0</v>
      </c>
      <c r="M894">
        <f>IF(COUNTIFS('United Data'!$A$3:$A$3390,M$1,'United Data'!$C$3:$C$3390,$A894,'United Data'!$B$3:$B$3390,"&lt;&gt;Off-street")&gt;0,1,0)</f>
        <v>0</v>
      </c>
      <c r="N894">
        <f>IF(COUNTIFS('United Data'!$A$3:$A$3390,N$1,'United Data'!$C$3:$C$3390,$A894,'United Data'!$B$3:$B$3390,"&lt;&gt;Off-street")&gt;0,1,0)</f>
        <v>0</v>
      </c>
      <c r="O894">
        <f>IF(COUNTIFS('United Data'!$A$3:$A$3390,O$1,'United Data'!$C$3:$C$3390,$A894,'United Data'!$B$3:$B$3390,"&lt;&gt;Off-street")&gt;0,1,0)</f>
        <v>0</v>
      </c>
      <c r="P894">
        <f>IF(COUNTIFS('United Data'!$A$3:$A$3390,P$1,'United Data'!$C$3:$C$3390,$A894,'United Data'!$B$3:$B$3390,"&lt;&gt;Off-street")&gt;0,1,0)</f>
        <v>0</v>
      </c>
      <c r="Q894">
        <f>IF(COUNTIFS('United Data'!$A$3:$A$3390,Q$1,'United Data'!$C$3:$C$3390,$A894,'United Data'!$B$3:$B$3390,"&lt;&gt;Off-street")&gt;0,1,0)</f>
        <v>0</v>
      </c>
      <c r="R894">
        <f>IF(COUNTIFS('United Data'!$A$3:$A$3390,R$1,'United Data'!$C$3:$C$3390,$A894,'United Data'!$B$3:$B$3390,"&lt;&gt;Off-street")&gt;0,1,0)</f>
        <v>0</v>
      </c>
      <c r="S894">
        <f t="shared" si="26"/>
        <v>1</v>
      </c>
      <c r="T894">
        <f t="shared" si="27"/>
        <v>1</v>
      </c>
    </row>
    <row r="895" spans="1:20" x14ac:dyDescent="0.2">
      <c r="A895" t="s">
        <v>1080</v>
      </c>
      <c r="B895">
        <f>IF(COUNTIFS('United Data'!$A$3:$A$3390,B$1,'United Data'!$C$3:$C$3390,$A895,'United Data'!$B$3:$B$3390,"&lt;&gt;Off-street")&gt;0,1,0)</f>
        <v>0</v>
      </c>
      <c r="C895">
        <f>IF(COUNTIFS('United Data'!$A$3:$A$3390,C$1,'United Data'!$C$3:$C$3390,$A895,'United Data'!$B$3:$B$3390,"&lt;&gt;Off-street")&gt;0,1,0)</f>
        <v>0</v>
      </c>
      <c r="D895">
        <f>IF(COUNTIFS('United Data'!$A$3:$A$3390,D$1,'United Data'!$C$3:$C$3390,$A895,'United Data'!$B$3:$B$3390,"&lt;&gt;Off-street")&gt;0,1,0)</f>
        <v>0</v>
      </c>
      <c r="E895">
        <f>IF(COUNTIFS('United Data'!$A$3:$A$3390,E$1,'United Data'!$C$3:$C$3390,$A895,'United Data'!$B$3:$B$3390,"&lt;&gt;Off-street")&gt;0,1,0)</f>
        <v>0</v>
      </c>
      <c r="F895">
        <f>IF(COUNTIFS('United Data'!$A$3:$A$3390,F$1,'United Data'!$C$3:$C$3390,$A895,'United Data'!$B$3:$B$3390,"&lt;&gt;Off-street")&gt;0,1,0)</f>
        <v>0</v>
      </c>
      <c r="G895">
        <f>IF(COUNTIFS('United Data'!$A$3:$A$3390,G$1,'United Data'!$C$3:$C$3390,$A895,'United Data'!$B$3:$B$3390,"&lt;&gt;Off-street")&gt;0,1,0)</f>
        <v>0</v>
      </c>
      <c r="H895">
        <f>IF(COUNTIFS('United Data'!$A$3:$A$3390,H$1,'United Data'!$C$3:$C$3390,$A895,'United Data'!$B$3:$B$3390,"&lt;&gt;Off-street")&gt;0,1,0)</f>
        <v>0</v>
      </c>
      <c r="I895">
        <f>IF(COUNTIFS('United Data'!$A$3:$A$3390,I$1,'United Data'!$C$3:$C$3390,$A895,'United Data'!$B$3:$B$3390,"&lt;&gt;Off-street")&gt;0,1,0)</f>
        <v>0</v>
      </c>
      <c r="J895">
        <f>IF(COUNTIFS('United Data'!$A$3:$A$3390,J$1,'United Data'!$C$3:$C$3390,$A895,'United Data'!$B$3:$B$3390,"&lt;&gt;Off-street")&gt;0,1,0)</f>
        <v>1</v>
      </c>
      <c r="K895">
        <f>IF(COUNTIFS('United Data'!$A$3:$A$3390,K$1,'United Data'!$C$3:$C$3390,$A895,'United Data'!$B$3:$B$3390,"&lt;&gt;Off-street")&gt;0,1,0)</f>
        <v>1</v>
      </c>
      <c r="L895">
        <f>IF(COUNTIFS('United Data'!$A$3:$A$3390,L$1,'United Data'!$C$3:$C$3390,$A895,'United Data'!$B$3:$B$3390,"&lt;&gt;Off-street")&gt;0,1,0)</f>
        <v>0</v>
      </c>
      <c r="M895">
        <f>IF(COUNTIFS('United Data'!$A$3:$A$3390,M$1,'United Data'!$C$3:$C$3390,$A895,'United Data'!$B$3:$B$3390,"&lt;&gt;Off-street")&gt;0,1,0)</f>
        <v>0</v>
      </c>
      <c r="N895">
        <f>IF(COUNTIFS('United Data'!$A$3:$A$3390,N$1,'United Data'!$C$3:$C$3390,$A895,'United Data'!$B$3:$B$3390,"&lt;&gt;Off-street")&gt;0,1,0)</f>
        <v>0</v>
      </c>
      <c r="O895">
        <f>IF(COUNTIFS('United Data'!$A$3:$A$3390,O$1,'United Data'!$C$3:$C$3390,$A895,'United Data'!$B$3:$B$3390,"&lt;&gt;Off-street")&gt;0,1,0)</f>
        <v>0</v>
      </c>
      <c r="P895">
        <f>IF(COUNTIFS('United Data'!$A$3:$A$3390,P$1,'United Data'!$C$3:$C$3390,$A895,'United Data'!$B$3:$B$3390,"&lt;&gt;Off-street")&gt;0,1,0)</f>
        <v>0</v>
      </c>
      <c r="Q895">
        <f>IF(COUNTIFS('United Data'!$A$3:$A$3390,Q$1,'United Data'!$C$3:$C$3390,$A895,'United Data'!$B$3:$B$3390,"&lt;&gt;Off-street")&gt;0,1,0)</f>
        <v>0</v>
      </c>
      <c r="R895">
        <f>IF(COUNTIFS('United Data'!$A$3:$A$3390,R$1,'United Data'!$C$3:$C$3390,$A895,'United Data'!$B$3:$B$3390,"&lt;&gt;Off-street")&gt;0,1,0)</f>
        <v>0</v>
      </c>
      <c r="S895">
        <f t="shared" si="26"/>
        <v>2</v>
      </c>
      <c r="T895">
        <f t="shared" si="27"/>
        <v>1</v>
      </c>
    </row>
    <row r="896" spans="1:20" x14ac:dyDescent="0.2">
      <c r="A896" t="s">
        <v>1081</v>
      </c>
      <c r="B896">
        <f>IF(COUNTIFS('United Data'!$A$3:$A$3390,B$1,'United Data'!$C$3:$C$3390,$A896,'United Data'!$B$3:$B$3390,"&lt;&gt;Off-street")&gt;0,1,0)</f>
        <v>0</v>
      </c>
      <c r="C896">
        <f>IF(COUNTIFS('United Data'!$A$3:$A$3390,C$1,'United Data'!$C$3:$C$3390,$A896,'United Data'!$B$3:$B$3390,"&lt;&gt;Off-street")&gt;0,1,0)</f>
        <v>0</v>
      </c>
      <c r="D896">
        <f>IF(COUNTIFS('United Data'!$A$3:$A$3390,D$1,'United Data'!$C$3:$C$3390,$A896,'United Data'!$B$3:$B$3390,"&lt;&gt;Off-street")&gt;0,1,0)</f>
        <v>0</v>
      </c>
      <c r="E896">
        <f>IF(COUNTIFS('United Data'!$A$3:$A$3390,E$1,'United Data'!$C$3:$C$3390,$A896,'United Data'!$B$3:$B$3390,"&lt;&gt;Off-street")&gt;0,1,0)</f>
        <v>0</v>
      </c>
      <c r="F896">
        <f>IF(COUNTIFS('United Data'!$A$3:$A$3390,F$1,'United Data'!$C$3:$C$3390,$A896,'United Data'!$B$3:$B$3390,"&lt;&gt;Off-street")&gt;0,1,0)</f>
        <v>0</v>
      </c>
      <c r="G896">
        <f>IF(COUNTIFS('United Data'!$A$3:$A$3390,G$1,'United Data'!$C$3:$C$3390,$A896,'United Data'!$B$3:$B$3390,"&lt;&gt;Off-street")&gt;0,1,0)</f>
        <v>1</v>
      </c>
      <c r="H896">
        <f>IF(COUNTIFS('United Data'!$A$3:$A$3390,H$1,'United Data'!$C$3:$C$3390,$A896,'United Data'!$B$3:$B$3390,"&lt;&gt;Off-street")&gt;0,1,0)</f>
        <v>0</v>
      </c>
      <c r="I896">
        <f>IF(COUNTIFS('United Data'!$A$3:$A$3390,I$1,'United Data'!$C$3:$C$3390,$A896,'United Data'!$B$3:$B$3390,"&lt;&gt;Off-street")&gt;0,1,0)</f>
        <v>1</v>
      </c>
      <c r="J896">
        <f>IF(COUNTIFS('United Data'!$A$3:$A$3390,J$1,'United Data'!$C$3:$C$3390,$A896,'United Data'!$B$3:$B$3390,"&lt;&gt;Off-street")&gt;0,1,0)</f>
        <v>1</v>
      </c>
      <c r="K896">
        <f>IF(COUNTIFS('United Data'!$A$3:$A$3390,K$1,'United Data'!$C$3:$C$3390,$A896,'United Data'!$B$3:$B$3390,"&lt;&gt;Off-street")&gt;0,1,0)</f>
        <v>0</v>
      </c>
      <c r="L896">
        <f>IF(COUNTIFS('United Data'!$A$3:$A$3390,L$1,'United Data'!$C$3:$C$3390,$A896,'United Data'!$B$3:$B$3390,"&lt;&gt;Off-street")&gt;0,1,0)</f>
        <v>0</v>
      </c>
      <c r="M896">
        <f>IF(COUNTIFS('United Data'!$A$3:$A$3390,M$1,'United Data'!$C$3:$C$3390,$A896,'United Data'!$B$3:$B$3390,"&lt;&gt;Off-street")&gt;0,1,0)</f>
        <v>0</v>
      </c>
      <c r="N896">
        <f>IF(COUNTIFS('United Data'!$A$3:$A$3390,N$1,'United Data'!$C$3:$C$3390,$A896,'United Data'!$B$3:$B$3390,"&lt;&gt;Off-street")&gt;0,1,0)</f>
        <v>0</v>
      </c>
      <c r="O896">
        <f>IF(COUNTIFS('United Data'!$A$3:$A$3390,O$1,'United Data'!$C$3:$C$3390,$A896,'United Data'!$B$3:$B$3390,"&lt;&gt;Off-street")&gt;0,1,0)</f>
        <v>0</v>
      </c>
      <c r="P896">
        <f>IF(COUNTIFS('United Data'!$A$3:$A$3390,P$1,'United Data'!$C$3:$C$3390,$A896,'United Data'!$B$3:$B$3390,"&lt;&gt;Off-street")&gt;0,1,0)</f>
        <v>0</v>
      </c>
      <c r="Q896">
        <f>IF(COUNTIFS('United Data'!$A$3:$A$3390,Q$1,'United Data'!$C$3:$C$3390,$A896,'United Data'!$B$3:$B$3390,"&lt;&gt;Off-street")&gt;0,1,0)</f>
        <v>1</v>
      </c>
      <c r="R896">
        <f>IF(COUNTIFS('United Data'!$A$3:$A$3390,R$1,'United Data'!$C$3:$C$3390,$A896,'United Data'!$B$3:$B$3390,"&lt;&gt;Off-street")&gt;0,1,0)</f>
        <v>0</v>
      </c>
      <c r="S896">
        <f t="shared" si="26"/>
        <v>4</v>
      </c>
      <c r="T896">
        <f t="shared" si="27"/>
        <v>3</v>
      </c>
    </row>
    <row r="897" spans="1:20" x14ac:dyDescent="0.2">
      <c r="A897" t="s">
        <v>2051</v>
      </c>
      <c r="B897">
        <f>IF(COUNTIFS('United Data'!$A$3:$A$3390,B$1,'United Data'!$C$3:$C$3390,$A897,'United Data'!$B$3:$B$3390,"&lt;&gt;Off-street")&gt;0,1,0)</f>
        <v>0</v>
      </c>
      <c r="C897">
        <f>IF(COUNTIFS('United Data'!$A$3:$A$3390,C$1,'United Data'!$C$3:$C$3390,$A897,'United Data'!$B$3:$B$3390,"&lt;&gt;Off-street")&gt;0,1,0)</f>
        <v>0</v>
      </c>
      <c r="D897">
        <f>IF(COUNTIFS('United Data'!$A$3:$A$3390,D$1,'United Data'!$C$3:$C$3390,$A897,'United Data'!$B$3:$B$3390,"&lt;&gt;Off-street")&gt;0,1,0)</f>
        <v>0</v>
      </c>
      <c r="E897">
        <f>IF(COUNTIFS('United Data'!$A$3:$A$3390,E$1,'United Data'!$C$3:$C$3390,$A897,'United Data'!$B$3:$B$3390,"&lt;&gt;Off-street")&gt;0,1,0)</f>
        <v>0</v>
      </c>
      <c r="F897">
        <f>IF(COUNTIFS('United Data'!$A$3:$A$3390,F$1,'United Data'!$C$3:$C$3390,$A897,'United Data'!$B$3:$B$3390,"&lt;&gt;Off-street")&gt;0,1,0)</f>
        <v>0</v>
      </c>
      <c r="G897">
        <f>IF(COUNTIFS('United Data'!$A$3:$A$3390,G$1,'United Data'!$C$3:$C$3390,$A897,'United Data'!$B$3:$B$3390,"&lt;&gt;Off-street")&gt;0,1,0)</f>
        <v>0</v>
      </c>
      <c r="H897">
        <f>IF(COUNTIFS('United Data'!$A$3:$A$3390,H$1,'United Data'!$C$3:$C$3390,$A897,'United Data'!$B$3:$B$3390,"&lt;&gt;Off-street")&gt;0,1,0)</f>
        <v>0</v>
      </c>
      <c r="I897">
        <f>IF(COUNTIFS('United Data'!$A$3:$A$3390,I$1,'United Data'!$C$3:$C$3390,$A897,'United Data'!$B$3:$B$3390,"&lt;&gt;Off-street")&gt;0,1,0)</f>
        <v>0</v>
      </c>
      <c r="J897">
        <f>IF(COUNTIFS('United Data'!$A$3:$A$3390,J$1,'United Data'!$C$3:$C$3390,$A897,'United Data'!$B$3:$B$3390,"&lt;&gt;Off-street")&gt;0,1,0)</f>
        <v>0</v>
      </c>
      <c r="K897">
        <f>IF(COUNTIFS('United Data'!$A$3:$A$3390,K$1,'United Data'!$C$3:$C$3390,$A897,'United Data'!$B$3:$B$3390,"&lt;&gt;Off-street")&gt;0,1,0)</f>
        <v>1</v>
      </c>
      <c r="L897">
        <f>IF(COUNTIFS('United Data'!$A$3:$A$3390,L$1,'United Data'!$C$3:$C$3390,$A897,'United Data'!$B$3:$B$3390,"&lt;&gt;Off-street")&gt;0,1,0)</f>
        <v>0</v>
      </c>
      <c r="M897">
        <f>IF(COUNTIFS('United Data'!$A$3:$A$3390,M$1,'United Data'!$C$3:$C$3390,$A897,'United Data'!$B$3:$B$3390,"&lt;&gt;Off-street")&gt;0,1,0)</f>
        <v>0</v>
      </c>
      <c r="N897">
        <f>IF(COUNTIFS('United Data'!$A$3:$A$3390,N$1,'United Data'!$C$3:$C$3390,$A897,'United Data'!$B$3:$B$3390,"&lt;&gt;Off-street")&gt;0,1,0)</f>
        <v>0</v>
      </c>
      <c r="O897">
        <f>IF(COUNTIFS('United Data'!$A$3:$A$3390,O$1,'United Data'!$C$3:$C$3390,$A897,'United Data'!$B$3:$B$3390,"&lt;&gt;Off-street")&gt;0,1,0)</f>
        <v>0</v>
      </c>
      <c r="P897">
        <f>IF(COUNTIFS('United Data'!$A$3:$A$3390,P$1,'United Data'!$C$3:$C$3390,$A897,'United Data'!$B$3:$B$3390,"&lt;&gt;Off-street")&gt;0,1,0)</f>
        <v>0</v>
      </c>
      <c r="Q897">
        <f>IF(COUNTIFS('United Data'!$A$3:$A$3390,Q$1,'United Data'!$C$3:$C$3390,$A897,'United Data'!$B$3:$B$3390,"&lt;&gt;Off-street")&gt;0,1,0)</f>
        <v>0</v>
      </c>
      <c r="R897">
        <f>IF(COUNTIFS('United Data'!$A$3:$A$3390,R$1,'United Data'!$C$3:$C$3390,$A897,'United Data'!$B$3:$B$3390,"&lt;&gt;Off-street")&gt;0,1,0)</f>
        <v>0</v>
      </c>
      <c r="S897">
        <f t="shared" si="26"/>
        <v>1</v>
      </c>
      <c r="T897">
        <f t="shared" si="27"/>
        <v>1</v>
      </c>
    </row>
    <row r="898" spans="1:20" x14ac:dyDescent="0.2">
      <c r="A898" t="s">
        <v>1082</v>
      </c>
      <c r="B898">
        <f>IF(COUNTIFS('United Data'!$A$3:$A$3390,B$1,'United Data'!$C$3:$C$3390,$A898,'United Data'!$B$3:$B$3390,"&lt;&gt;Off-street")&gt;0,1,0)</f>
        <v>0</v>
      </c>
      <c r="C898">
        <f>IF(COUNTIFS('United Data'!$A$3:$A$3390,C$1,'United Data'!$C$3:$C$3390,$A898,'United Data'!$B$3:$B$3390,"&lt;&gt;Off-street")&gt;0,1,0)</f>
        <v>0</v>
      </c>
      <c r="D898">
        <f>IF(COUNTIFS('United Data'!$A$3:$A$3390,D$1,'United Data'!$C$3:$C$3390,$A898,'United Data'!$B$3:$B$3390,"&lt;&gt;Off-street")&gt;0,1,0)</f>
        <v>0</v>
      </c>
      <c r="E898">
        <f>IF(COUNTIFS('United Data'!$A$3:$A$3390,E$1,'United Data'!$C$3:$C$3390,$A898,'United Data'!$B$3:$B$3390,"&lt;&gt;Off-street")&gt;0,1,0)</f>
        <v>0</v>
      </c>
      <c r="F898">
        <f>IF(COUNTIFS('United Data'!$A$3:$A$3390,F$1,'United Data'!$C$3:$C$3390,$A898,'United Data'!$B$3:$B$3390,"&lt;&gt;Off-street")&gt;0,1,0)</f>
        <v>0</v>
      </c>
      <c r="G898">
        <f>IF(COUNTIFS('United Data'!$A$3:$A$3390,G$1,'United Data'!$C$3:$C$3390,$A898,'United Data'!$B$3:$B$3390,"&lt;&gt;Off-street")&gt;0,1,0)</f>
        <v>0</v>
      </c>
      <c r="H898">
        <f>IF(COUNTIFS('United Data'!$A$3:$A$3390,H$1,'United Data'!$C$3:$C$3390,$A898,'United Data'!$B$3:$B$3390,"&lt;&gt;Off-street")&gt;0,1,0)</f>
        <v>0</v>
      </c>
      <c r="I898">
        <f>IF(COUNTIFS('United Data'!$A$3:$A$3390,I$1,'United Data'!$C$3:$C$3390,$A898,'United Data'!$B$3:$B$3390,"&lt;&gt;Off-street")&gt;0,1,0)</f>
        <v>0</v>
      </c>
      <c r="J898">
        <f>IF(COUNTIFS('United Data'!$A$3:$A$3390,J$1,'United Data'!$C$3:$C$3390,$A898,'United Data'!$B$3:$B$3390,"&lt;&gt;Off-street")&gt;0,1,0)</f>
        <v>0</v>
      </c>
      <c r="K898">
        <f>IF(COUNTIFS('United Data'!$A$3:$A$3390,K$1,'United Data'!$C$3:$C$3390,$A898,'United Data'!$B$3:$B$3390,"&lt;&gt;Off-street")&gt;0,1,0)</f>
        <v>0</v>
      </c>
      <c r="L898">
        <f>IF(COUNTIFS('United Data'!$A$3:$A$3390,L$1,'United Data'!$C$3:$C$3390,$A898,'United Data'!$B$3:$B$3390,"&lt;&gt;Off-street")&gt;0,1,0)</f>
        <v>0</v>
      </c>
      <c r="M898">
        <f>IF(COUNTIFS('United Data'!$A$3:$A$3390,M$1,'United Data'!$C$3:$C$3390,$A898,'United Data'!$B$3:$B$3390,"&lt;&gt;Off-street")&gt;0,1,0)</f>
        <v>1</v>
      </c>
      <c r="N898">
        <f>IF(COUNTIFS('United Data'!$A$3:$A$3390,N$1,'United Data'!$C$3:$C$3390,$A898,'United Data'!$B$3:$B$3390,"&lt;&gt;Off-street")&gt;0,1,0)</f>
        <v>0</v>
      </c>
      <c r="O898">
        <f>IF(COUNTIFS('United Data'!$A$3:$A$3390,O$1,'United Data'!$C$3:$C$3390,$A898,'United Data'!$B$3:$B$3390,"&lt;&gt;Off-street")&gt;0,1,0)</f>
        <v>0</v>
      </c>
      <c r="P898">
        <f>IF(COUNTIFS('United Data'!$A$3:$A$3390,P$1,'United Data'!$C$3:$C$3390,$A898,'United Data'!$B$3:$B$3390,"&lt;&gt;Off-street")&gt;0,1,0)</f>
        <v>0</v>
      </c>
      <c r="Q898">
        <f>IF(COUNTIFS('United Data'!$A$3:$A$3390,Q$1,'United Data'!$C$3:$C$3390,$A898,'United Data'!$B$3:$B$3390,"&lt;&gt;Off-street")&gt;0,1,0)</f>
        <v>0</v>
      </c>
      <c r="R898">
        <f>IF(COUNTIFS('United Data'!$A$3:$A$3390,R$1,'United Data'!$C$3:$C$3390,$A898,'United Data'!$B$3:$B$3390,"&lt;&gt;Off-street")&gt;0,1,0)</f>
        <v>0</v>
      </c>
      <c r="S898">
        <f t="shared" ref="S898:S961" si="28">SUM(B898:R898)</f>
        <v>1</v>
      </c>
      <c r="T898">
        <f t="shared" ref="T898:T961" si="29">B898+SUMPRODUCT(--(C898:R898&gt;B898:Q898))</f>
        <v>1</v>
      </c>
    </row>
    <row r="899" spans="1:20" x14ac:dyDescent="0.2">
      <c r="A899" t="s">
        <v>1083</v>
      </c>
      <c r="B899">
        <f>IF(COUNTIFS('United Data'!$A$3:$A$3390,B$1,'United Data'!$C$3:$C$3390,$A899,'United Data'!$B$3:$B$3390,"&lt;&gt;Off-street")&gt;0,1,0)</f>
        <v>0</v>
      </c>
      <c r="C899">
        <f>IF(COUNTIFS('United Data'!$A$3:$A$3390,C$1,'United Data'!$C$3:$C$3390,$A899,'United Data'!$B$3:$B$3390,"&lt;&gt;Off-street")&gt;0,1,0)</f>
        <v>0</v>
      </c>
      <c r="D899">
        <f>IF(COUNTIFS('United Data'!$A$3:$A$3390,D$1,'United Data'!$C$3:$C$3390,$A899,'United Data'!$B$3:$B$3390,"&lt;&gt;Off-street")&gt;0,1,0)</f>
        <v>0</v>
      </c>
      <c r="E899">
        <f>IF(COUNTIFS('United Data'!$A$3:$A$3390,E$1,'United Data'!$C$3:$C$3390,$A899,'United Data'!$B$3:$B$3390,"&lt;&gt;Off-street")&gt;0,1,0)</f>
        <v>0</v>
      </c>
      <c r="F899">
        <f>IF(COUNTIFS('United Data'!$A$3:$A$3390,F$1,'United Data'!$C$3:$C$3390,$A899,'United Data'!$B$3:$B$3390,"&lt;&gt;Off-street")&gt;0,1,0)</f>
        <v>0</v>
      </c>
      <c r="G899">
        <f>IF(COUNTIFS('United Data'!$A$3:$A$3390,G$1,'United Data'!$C$3:$C$3390,$A899,'United Data'!$B$3:$B$3390,"&lt;&gt;Off-street")&gt;0,1,0)</f>
        <v>0</v>
      </c>
      <c r="H899">
        <f>IF(COUNTIFS('United Data'!$A$3:$A$3390,H$1,'United Data'!$C$3:$C$3390,$A899,'United Data'!$B$3:$B$3390,"&lt;&gt;Off-street")&gt;0,1,0)</f>
        <v>0</v>
      </c>
      <c r="I899">
        <f>IF(COUNTIFS('United Data'!$A$3:$A$3390,I$1,'United Data'!$C$3:$C$3390,$A899,'United Data'!$B$3:$B$3390,"&lt;&gt;Off-street")&gt;0,1,0)</f>
        <v>0</v>
      </c>
      <c r="J899">
        <f>IF(COUNTIFS('United Data'!$A$3:$A$3390,J$1,'United Data'!$C$3:$C$3390,$A899,'United Data'!$B$3:$B$3390,"&lt;&gt;Off-street")&gt;0,1,0)</f>
        <v>0</v>
      </c>
      <c r="K899">
        <f>IF(COUNTIFS('United Data'!$A$3:$A$3390,K$1,'United Data'!$C$3:$C$3390,$A899,'United Data'!$B$3:$B$3390,"&lt;&gt;Off-street")&gt;0,1,0)</f>
        <v>0</v>
      </c>
      <c r="L899">
        <f>IF(COUNTIFS('United Data'!$A$3:$A$3390,L$1,'United Data'!$C$3:$C$3390,$A899,'United Data'!$B$3:$B$3390,"&lt;&gt;Off-street")&gt;0,1,0)</f>
        <v>0</v>
      </c>
      <c r="M899">
        <f>IF(COUNTIFS('United Data'!$A$3:$A$3390,M$1,'United Data'!$C$3:$C$3390,$A899,'United Data'!$B$3:$B$3390,"&lt;&gt;Off-street")&gt;0,1,0)</f>
        <v>0</v>
      </c>
      <c r="N899">
        <f>IF(COUNTIFS('United Data'!$A$3:$A$3390,N$1,'United Data'!$C$3:$C$3390,$A899,'United Data'!$B$3:$B$3390,"&lt;&gt;Off-street")&gt;0,1,0)</f>
        <v>1</v>
      </c>
      <c r="O899">
        <f>IF(COUNTIFS('United Data'!$A$3:$A$3390,O$1,'United Data'!$C$3:$C$3390,$A899,'United Data'!$B$3:$B$3390,"&lt;&gt;Off-street")&gt;0,1,0)</f>
        <v>0</v>
      </c>
      <c r="P899">
        <f>IF(COUNTIFS('United Data'!$A$3:$A$3390,P$1,'United Data'!$C$3:$C$3390,$A899,'United Data'!$B$3:$B$3390,"&lt;&gt;Off-street")&gt;0,1,0)</f>
        <v>0</v>
      </c>
      <c r="Q899">
        <f>IF(COUNTIFS('United Data'!$A$3:$A$3390,Q$1,'United Data'!$C$3:$C$3390,$A899,'United Data'!$B$3:$B$3390,"&lt;&gt;Off-street")&gt;0,1,0)</f>
        <v>0</v>
      </c>
      <c r="R899">
        <f>IF(COUNTIFS('United Data'!$A$3:$A$3390,R$1,'United Data'!$C$3:$C$3390,$A899,'United Data'!$B$3:$B$3390,"&lt;&gt;Off-street")&gt;0,1,0)</f>
        <v>0</v>
      </c>
      <c r="S899">
        <f t="shared" si="28"/>
        <v>1</v>
      </c>
      <c r="T899">
        <f t="shared" si="29"/>
        <v>1</v>
      </c>
    </row>
    <row r="900" spans="1:20" x14ac:dyDescent="0.2">
      <c r="A900" t="s">
        <v>1084</v>
      </c>
      <c r="B900">
        <f>IF(COUNTIFS('United Data'!$A$3:$A$3390,B$1,'United Data'!$C$3:$C$3390,$A900,'United Data'!$B$3:$B$3390,"&lt;&gt;Off-street")&gt;0,1,0)</f>
        <v>0</v>
      </c>
      <c r="C900">
        <f>IF(COUNTIFS('United Data'!$A$3:$A$3390,C$1,'United Data'!$C$3:$C$3390,$A900,'United Data'!$B$3:$B$3390,"&lt;&gt;Off-street")&gt;0,1,0)</f>
        <v>0</v>
      </c>
      <c r="D900">
        <f>IF(COUNTIFS('United Data'!$A$3:$A$3390,D$1,'United Data'!$C$3:$C$3390,$A900,'United Data'!$B$3:$B$3390,"&lt;&gt;Off-street")&gt;0,1,0)</f>
        <v>0</v>
      </c>
      <c r="E900">
        <f>IF(COUNTIFS('United Data'!$A$3:$A$3390,E$1,'United Data'!$C$3:$C$3390,$A900,'United Data'!$B$3:$B$3390,"&lt;&gt;Off-street")&gt;0,1,0)</f>
        <v>0</v>
      </c>
      <c r="F900">
        <f>IF(COUNTIFS('United Data'!$A$3:$A$3390,F$1,'United Data'!$C$3:$C$3390,$A900,'United Data'!$B$3:$B$3390,"&lt;&gt;Off-street")&gt;0,1,0)</f>
        <v>0</v>
      </c>
      <c r="G900">
        <f>IF(COUNTIFS('United Data'!$A$3:$A$3390,G$1,'United Data'!$C$3:$C$3390,$A900,'United Data'!$B$3:$B$3390,"&lt;&gt;Off-street")&gt;0,1,0)</f>
        <v>0</v>
      </c>
      <c r="H900">
        <f>IF(COUNTIFS('United Data'!$A$3:$A$3390,H$1,'United Data'!$C$3:$C$3390,$A900,'United Data'!$B$3:$B$3390,"&lt;&gt;Off-street")&gt;0,1,0)</f>
        <v>0</v>
      </c>
      <c r="I900">
        <f>IF(COUNTIFS('United Data'!$A$3:$A$3390,I$1,'United Data'!$C$3:$C$3390,$A900,'United Data'!$B$3:$B$3390,"&lt;&gt;Off-street")&gt;0,1,0)</f>
        <v>0</v>
      </c>
      <c r="J900">
        <f>IF(COUNTIFS('United Data'!$A$3:$A$3390,J$1,'United Data'!$C$3:$C$3390,$A900,'United Data'!$B$3:$B$3390,"&lt;&gt;Off-street")&gt;0,1,0)</f>
        <v>0</v>
      </c>
      <c r="K900">
        <f>IF(COUNTIFS('United Data'!$A$3:$A$3390,K$1,'United Data'!$C$3:$C$3390,$A900,'United Data'!$B$3:$B$3390,"&lt;&gt;Off-street")&gt;0,1,0)</f>
        <v>0</v>
      </c>
      <c r="L900">
        <f>IF(COUNTIFS('United Data'!$A$3:$A$3390,L$1,'United Data'!$C$3:$C$3390,$A900,'United Data'!$B$3:$B$3390,"&lt;&gt;Off-street")&gt;0,1,0)</f>
        <v>0</v>
      </c>
      <c r="M900">
        <f>IF(COUNTIFS('United Data'!$A$3:$A$3390,M$1,'United Data'!$C$3:$C$3390,$A900,'United Data'!$B$3:$B$3390,"&lt;&gt;Off-street")&gt;0,1,0)</f>
        <v>0</v>
      </c>
      <c r="N900">
        <f>IF(COUNTIFS('United Data'!$A$3:$A$3390,N$1,'United Data'!$C$3:$C$3390,$A900,'United Data'!$B$3:$B$3390,"&lt;&gt;Off-street")&gt;0,1,0)</f>
        <v>1</v>
      </c>
      <c r="O900">
        <f>IF(COUNTIFS('United Data'!$A$3:$A$3390,O$1,'United Data'!$C$3:$C$3390,$A900,'United Data'!$B$3:$B$3390,"&lt;&gt;Off-street")&gt;0,1,0)</f>
        <v>0</v>
      </c>
      <c r="P900">
        <f>IF(COUNTIFS('United Data'!$A$3:$A$3390,P$1,'United Data'!$C$3:$C$3390,$A900,'United Data'!$B$3:$B$3390,"&lt;&gt;Off-street")&gt;0,1,0)</f>
        <v>0</v>
      </c>
      <c r="Q900">
        <f>IF(COUNTIFS('United Data'!$A$3:$A$3390,Q$1,'United Data'!$C$3:$C$3390,$A900,'United Data'!$B$3:$B$3390,"&lt;&gt;Off-street")&gt;0,1,0)</f>
        <v>0</v>
      </c>
      <c r="R900">
        <f>IF(COUNTIFS('United Data'!$A$3:$A$3390,R$1,'United Data'!$C$3:$C$3390,$A900,'United Data'!$B$3:$B$3390,"&lt;&gt;Off-street")&gt;0,1,0)</f>
        <v>0</v>
      </c>
      <c r="S900">
        <f t="shared" si="28"/>
        <v>1</v>
      </c>
      <c r="T900">
        <f t="shared" si="29"/>
        <v>1</v>
      </c>
    </row>
    <row r="901" spans="1:20" x14ac:dyDescent="0.2">
      <c r="A901" t="s">
        <v>1085</v>
      </c>
      <c r="B901">
        <f>IF(COUNTIFS('United Data'!$A$3:$A$3390,B$1,'United Data'!$C$3:$C$3390,$A901,'United Data'!$B$3:$B$3390,"&lt;&gt;Off-street")&gt;0,1,0)</f>
        <v>0</v>
      </c>
      <c r="C901">
        <f>IF(COUNTIFS('United Data'!$A$3:$A$3390,C$1,'United Data'!$C$3:$C$3390,$A901,'United Data'!$B$3:$B$3390,"&lt;&gt;Off-street")&gt;0,1,0)</f>
        <v>0</v>
      </c>
      <c r="D901">
        <f>IF(COUNTIFS('United Data'!$A$3:$A$3390,D$1,'United Data'!$C$3:$C$3390,$A901,'United Data'!$B$3:$B$3390,"&lt;&gt;Off-street")&gt;0,1,0)</f>
        <v>0</v>
      </c>
      <c r="E901">
        <f>IF(COUNTIFS('United Data'!$A$3:$A$3390,E$1,'United Data'!$C$3:$C$3390,$A901,'United Data'!$B$3:$B$3390,"&lt;&gt;Off-street")&gt;0,1,0)</f>
        <v>0</v>
      </c>
      <c r="F901">
        <f>IF(COUNTIFS('United Data'!$A$3:$A$3390,F$1,'United Data'!$C$3:$C$3390,$A901,'United Data'!$B$3:$B$3390,"&lt;&gt;Off-street")&gt;0,1,0)</f>
        <v>0</v>
      </c>
      <c r="G901">
        <f>IF(COUNTIFS('United Data'!$A$3:$A$3390,G$1,'United Data'!$C$3:$C$3390,$A901,'United Data'!$B$3:$B$3390,"&lt;&gt;Off-street")&gt;0,1,0)</f>
        <v>0</v>
      </c>
      <c r="H901">
        <f>IF(COUNTIFS('United Data'!$A$3:$A$3390,H$1,'United Data'!$C$3:$C$3390,$A901,'United Data'!$B$3:$B$3390,"&lt;&gt;Off-street")&gt;0,1,0)</f>
        <v>0</v>
      </c>
      <c r="I901">
        <f>IF(COUNTIFS('United Data'!$A$3:$A$3390,I$1,'United Data'!$C$3:$C$3390,$A901,'United Data'!$B$3:$B$3390,"&lt;&gt;Off-street")&gt;0,1,0)</f>
        <v>0</v>
      </c>
      <c r="J901">
        <f>IF(COUNTIFS('United Data'!$A$3:$A$3390,J$1,'United Data'!$C$3:$C$3390,$A901,'United Data'!$B$3:$B$3390,"&lt;&gt;Off-street")&gt;0,1,0)</f>
        <v>0</v>
      </c>
      <c r="K901">
        <f>IF(COUNTIFS('United Data'!$A$3:$A$3390,K$1,'United Data'!$C$3:$C$3390,$A901,'United Data'!$B$3:$B$3390,"&lt;&gt;Off-street")&gt;0,1,0)</f>
        <v>0</v>
      </c>
      <c r="L901">
        <f>IF(COUNTIFS('United Data'!$A$3:$A$3390,L$1,'United Data'!$C$3:$C$3390,$A901,'United Data'!$B$3:$B$3390,"&lt;&gt;Off-street")&gt;0,1,0)</f>
        <v>0</v>
      </c>
      <c r="M901">
        <f>IF(COUNTIFS('United Data'!$A$3:$A$3390,M$1,'United Data'!$C$3:$C$3390,$A901,'United Data'!$B$3:$B$3390,"&lt;&gt;Off-street")&gt;0,1,0)</f>
        <v>0</v>
      </c>
      <c r="N901">
        <f>IF(COUNTIFS('United Data'!$A$3:$A$3390,N$1,'United Data'!$C$3:$C$3390,$A901,'United Data'!$B$3:$B$3390,"&lt;&gt;Off-street")&gt;0,1,0)</f>
        <v>1</v>
      </c>
      <c r="O901">
        <f>IF(COUNTIFS('United Data'!$A$3:$A$3390,O$1,'United Data'!$C$3:$C$3390,$A901,'United Data'!$B$3:$B$3390,"&lt;&gt;Off-street")&gt;0,1,0)</f>
        <v>1</v>
      </c>
      <c r="P901">
        <f>IF(COUNTIFS('United Data'!$A$3:$A$3390,P$1,'United Data'!$C$3:$C$3390,$A901,'United Data'!$B$3:$B$3390,"&lt;&gt;Off-street")&gt;0,1,0)</f>
        <v>0</v>
      </c>
      <c r="Q901">
        <f>IF(COUNTIFS('United Data'!$A$3:$A$3390,Q$1,'United Data'!$C$3:$C$3390,$A901,'United Data'!$B$3:$B$3390,"&lt;&gt;Off-street")&gt;0,1,0)</f>
        <v>1</v>
      </c>
      <c r="R901">
        <f>IF(COUNTIFS('United Data'!$A$3:$A$3390,R$1,'United Data'!$C$3:$C$3390,$A901,'United Data'!$B$3:$B$3390,"&lt;&gt;Off-street")&gt;0,1,0)</f>
        <v>1</v>
      </c>
      <c r="S901">
        <f t="shared" si="28"/>
        <v>4</v>
      </c>
      <c r="T901">
        <f t="shared" si="29"/>
        <v>2</v>
      </c>
    </row>
    <row r="902" spans="1:20" x14ac:dyDescent="0.2">
      <c r="A902" t="s">
        <v>1086</v>
      </c>
      <c r="B902">
        <f>IF(COUNTIFS('United Data'!$A$3:$A$3390,B$1,'United Data'!$C$3:$C$3390,$A902,'United Data'!$B$3:$B$3390,"&lt;&gt;Off-street")&gt;0,1,0)</f>
        <v>0</v>
      </c>
      <c r="C902">
        <f>IF(COUNTIFS('United Data'!$A$3:$A$3390,C$1,'United Data'!$C$3:$C$3390,$A902,'United Data'!$B$3:$B$3390,"&lt;&gt;Off-street")&gt;0,1,0)</f>
        <v>0</v>
      </c>
      <c r="D902">
        <f>IF(COUNTIFS('United Data'!$A$3:$A$3390,D$1,'United Data'!$C$3:$C$3390,$A902,'United Data'!$B$3:$B$3390,"&lt;&gt;Off-street")&gt;0,1,0)</f>
        <v>0</v>
      </c>
      <c r="E902">
        <f>IF(COUNTIFS('United Data'!$A$3:$A$3390,E$1,'United Data'!$C$3:$C$3390,$A902,'United Data'!$B$3:$B$3390,"&lt;&gt;Off-street")&gt;0,1,0)</f>
        <v>0</v>
      </c>
      <c r="F902">
        <f>IF(COUNTIFS('United Data'!$A$3:$A$3390,F$1,'United Data'!$C$3:$C$3390,$A902,'United Data'!$B$3:$B$3390,"&lt;&gt;Off-street")&gt;0,1,0)</f>
        <v>0</v>
      </c>
      <c r="G902">
        <f>IF(COUNTIFS('United Data'!$A$3:$A$3390,G$1,'United Data'!$C$3:$C$3390,$A902,'United Data'!$B$3:$B$3390,"&lt;&gt;Off-street")&gt;0,1,0)</f>
        <v>0</v>
      </c>
      <c r="H902">
        <f>IF(COUNTIFS('United Data'!$A$3:$A$3390,H$1,'United Data'!$C$3:$C$3390,$A902,'United Data'!$B$3:$B$3390,"&lt;&gt;Off-street")&gt;0,1,0)</f>
        <v>0</v>
      </c>
      <c r="I902">
        <f>IF(COUNTIFS('United Data'!$A$3:$A$3390,I$1,'United Data'!$C$3:$C$3390,$A902,'United Data'!$B$3:$B$3390,"&lt;&gt;Off-street")&gt;0,1,0)</f>
        <v>0</v>
      </c>
      <c r="J902">
        <f>IF(COUNTIFS('United Data'!$A$3:$A$3390,J$1,'United Data'!$C$3:$C$3390,$A902,'United Data'!$B$3:$B$3390,"&lt;&gt;Off-street")&gt;0,1,0)</f>
        <v>0</v>
      </c>
      <c r="K902">
        <f>IF(COUNTIFS('United Data'!$A$3:$A$3390,K$1,'United Data'!$C$3:$C$3390,$A902,'United Data'!$B$3:$B$3390,"&lt;&gt;Off-street")&gt;0,1,0)</f>
        <v>0</v>
      </c>
      <c r="L902">
        <f>IF(COUNTIFS('United Data'!$A$3:$A$3390,L$1,'United Data'!$C$3:$C$3390,$A902,'United Data'!$B$3:$B$3390,"&lt;&gt;Off-street")&gt;0,1,0)</f>
        <v>0</v>
      </c>
      <c r="M902">
        <f>IF(COUNTIFS('United Data'!$A$3:$A$3390,M$1,'United Data'!$C$3:$C$3390,$A902,'United Data'!$B$3:$B$3390,"&lt;&gt;Off-street")&gt;0,1,0)</f>
        <v>0</v>
      </c>
      <c r="N902">
        <f>IF(COUNTIFS('United Data'!$A$3:$A$3390,N$1,'United Data'!$C$3:$C$3390,$A902,'United Data'!$B$3:$B$3390,"&lt;&gt;Off-street")&gt;0,1,0)</f>
        <v>1</v>
      </c>
      <c r="O902">
        <f>IF(COUNTIFS('United Data'!$A$3:$A$3390,O$1,'United Data'!$C$3:$C$3390,$A902,'United Data'!$B$3:$B$3390,"&lt;&gt;Off-street")&gt;0,1,0)</f>
        <v>0</v>
      </c>
      <c r="P902">
        <f>IF(COUNTIFS('United Data'!$A$3:$A$3390,P$1,'United Data'!$C$3:$C$3390,$A902,'United Data'!$B$3:$B$3390,"&lt;&gt;Off-street")&gt;0,1,0)</f>
        <v>0</v>
      </c>
      <c r="Q902">
        <f>IF(COUNTIFS('United Data'!$A$3:$A$3390,Q$1,'United Data'!$C$3:$C$3390,$A902,'United Data'!$B$3:$B$3390,"&lt;&gt;Off-street")&gt;0,1,0)</f>
        <v>0</v>
      </c>
      <c r="R902">
        <f>IF(COUNTIFS('United Data'!$A$3:$A$3390,R$1,'United Data'!$C$3:$C$3390,$A902,'United Data'!$B$3:$B$3390,"&lt;&gt;Off-street")&gt;0,1,0)</f>
        <v>0</v>
      </c>
      <c r="S902">
        <f t="shared" si="28"/>
        <v>1</v>
      </c>
      <c r="T902">
        <f t="shared" si="29"/>
        <v>1</v>
      </c>
    </row>
    <row r="903" spans="1:20" x14ac:dyDescent="0.2">
      <c r="A903" t="s">
        <v>1088</v>
      </c>
      <c r="B903">
        <f>IF(COUNTIFS('United Data'!$A$3:$A$3390,B$1,'United Data'!$C$3:$C$3390,$A903,'United Data'!$B$3:$B$3390,"&lt;&gt;Off-street")&gt;0,1,0)</f>
        <v>0</v>
      </c>
      <c r="C903">
        <f>IF(COUNTIFS('United Data'!$A$3:$A$3390,C$1,'United Data'!$C$3:$C$3390,$A903,'United Data'!$B$3:$B$3390,"&lt;&gt;Off-street")&gt;0,1,0)</f>
        <v>0</v>
      </c>
      <c r="D903">
        <f>IF(COUNTIFS('United Data'!$A$3:$A$3390,D$1,'United Data'!$C$3:$C$3390,$A903,'United Data'!$B$3:$B$3390,"&lt;&gt;Off-street")&gt;0,1,0)</f>
        <v>0</v>
      </c>
      <c r="E903">
        <f>IF(COUNTIFS('United Data'!$A$3:$A$3390,E$1,'United Data'!$C$3:$C$3390,$A903,'United Data'!$B$3:$B$3390,"&lt;&gt;Off-street")&gt;0,1,0)</f>
        <v>0</v>
      </c>
      <c r="F903">
        <f>IF(COUNTIFS('United Data'!$A$3:$A$3390,F$1,'United Data'!$C$3:$C$3390,$A903,'United Data'!$B$3:$B$3390,"&lt;&gt;Off-street")&gt;0,1,0)</f>
        <v>0</v>
      </c>
      <c r="G903">
        <f>IF(COUNTIFS('United Data'!$A$3:$A$3390,G$1,'United Data'!$C$3:$C$3390,$A903,'United Data'!$B$3:$B$3390,"&lt;&gt;Off-street")&gt;0,1,0)</f>
        <v>0</v>
      </c>
      <c r="H903">
        <f>IF(COUNTIFS('United Data'!$A$3:$A$3390,H$1,'United Data'!$C$3:$C$3390,$A903,'United Data'!$B$3:$B$3390,"&lt;&gt;Off-street")&gt;0,1,0)</f>
        <v>0</v>
      </c>
      <c r="I903">
        <f>IF(COUNTIFS('United Data'!$A$3:$A$3390,I$1,'United Data'!$C$3:$C$3390,$A903,'United Data'!$B$3:$B$3390,"&lt;&gt;Off-street")&gt;0,1,0)</f>
        <v>0</v>
      </c>
      <c r="J903">
        <f>IF(COUNTIFS('United Data'!$A$3:$A$3390,J$1,'United Data'!$C$3:$C$3390,$A903,'United Data'!$B$3:$B$3390,"&lt;&gt;Off-street")&gt;0,1,0)</f>
        <v>0</v>
      </c>
      <c r="K903">
        <f>IF(COUNTIFS('United Data'!$A$3:$A$3390,K$1,'United Data'!$C$3:$C$3390,$A903,'United Data'!$B$3:$B$3390,"&lt;&gt;Off-street")&gt;0,1,0)</f>
        <v>0</v>
      </c>
      <c r="L903">
        <f>IF(COUNTIFS('United Data'!$A$3:$A$3390,L$1,'United Data'!$C$3:$C$3390,$A903,'United Data'!$B$3:$B$3390,"&lt;&gt;Off-street")&gt;0,1,0)</f>
        <v>0</v>
      </c>
      <c r="M903">
        <f>IF(COUNTIFS('United Data'!$A$3:$A$3390,M$1,'United Data'!$C$3:$C$3390,$A903,'United Data'!$B$3:$B$3390,"&lt;&gt;Off-street")&gt;0,1,0)</f>
        <v>0</v>
      </c>
      <c r="N903">
        <f>IF(COUNTIFS('United Data'!$A$3:$A$3390,N$1,'United Data'!$C$3:$C$3390,$A903,'United Data'!$B$3:$B$3390,"&lt;&gt;Off-street")&gt;0,1,0)</f>
        <v>0</v>
      </c>
      <c r="O903">
        <f>IF(COUNTIFS('United Data'!$A$3:$A$3390,O$1,'United Data'!$C$3:$C$3390,$A903,'United Data'!$B$3:$B$3390,"&lt;&gt;Off-street")&gt;0,1,0)</f>
        <v>1</v>
      </c>
      <c r="P903">
        <f>IF(COUNTIFS('United Data'!$A$3:$A$3390,P$1,'United Data'!$C$3:$C$3390,$A903,'United Data'!$B$3:$B$3390,"&lt;&gt;Off-street")&gt;0,1,0)</f>
        <v>0</v>
      </c>
      <c r="Q903">
        <f>IF(COUNTIFS('United Data'!$A$3:$A$3390,Q$1,'United Data'!$C$3:$C$3390,$A903,'United Data'!$B$3:$B$3390,"&lt;&gt;Off-street")&gt;0,1,0)</f>
        <v>0</v>
      </c>
      <c r="R903">
        <f>IF(COUNTIFS('United Data'!$A$3:$A$3390,R$1,'United Data'!$C$3:$C$3390,$A903,'United Data'!$B$3:$B$3390,"&lt;&gt;Off-street")&gt;0,1,0)</f>
        <v>0</v>
      </c>
      <c r="S903">
        <f t="shared" si="28"/>
        <v>1</v>
      </c>
      <c r="T903">
        <f t="shared" si="29"/>
        <v>1</v>
      </c>
    </row>
    <row r="904" spans="1:20" x14ac:dyDescent="0.2">
      <c r="A904" t="s">
        <v>1089</v>
      </c>
      <c r="B904">
        <f>IF(COUNTIFS('United Data'!$A$3:$A$3390,B$1,'United Data'!$C$3:$C$3390,$A904,'United Data'!$B$3:$B$3390,"&lt;&gt;Off-street")&gt;0,1,0)</f>
        <v>0</v>
      </c>
      <c r="C904">
        <f>IF(COUNTIFS('United Data'!$A$3:$A$3390,C$1,'United Data'!$C$3:$C$3390,$A904,'United Data'!$B$3:$B$3390,"&lt;&gt;Off-street")&gt;0,1,0)</f>
        <v>0</v>
      </c>
      <c r="D904">
        <f>IF(COUNTIFS('United Data'!$A$3:$A$3390,D$1,'United Data'!$C$3:$C$3390,$A904,'United Data'!$B$3:$B$3390,"&lt;&gt;Off-street")&gt;0,1,0)</f>
        <v>0</v>
      </c>
      <c r="E904">
        <f>IF(COUNTIFS('United Data'!$A$3:$A$3390,E$1,'United Data'!$C$3:$C$3390,$A904,'United Data'!$B$3:$B$3390,"&lt;&gt;Off-street")&gt;0,1,0)</f>
        <v>0</v>
      </c>
      <c r="F904">
        <f>IF(COUNTIFS('United Data'!$A$3:$A$3390,F$1,'United Data'!$C$3:$C$3390,$A904,'United Data'!$B$3:$B$3390,"&lt;&gt;Off-street")&gt;0,1,0)</f>
        <v>0</v>
      </c>
      <c r="G904">
        <f>IF(COUNTIFS('United Data'!$A$3:$A$3390,G$1,'United Data'!$C$3:$C$3390,$A904,'United Data'!$B$3:$B$3390,"&lt;&gt;Off-street")&gt;0,1,0)</f>
        <v>0</v>
      </c>
      <c r="H904">
        <f>IF(COUNTIFS('United Data'!$A$3:$A$3390,H$1,'United Data'!$C$3:$C$3390,$A904,'United Data'!$B$3:$B$3390,"&lt;&gt;Off-street")&gt;0,1,0)</f>
        <v>0</v>
      </c>
      <c r="I904">
        <f>IF(COUNTIFS('United Data'!$A$3:$A$3390,I$1,'United Data'!$C$3:$C$3390,$A904,'United Data'!$B$3:$B$3390,"&lt;&gt;Off-street")&gt;0,1,0)</f>
        <v>0</v>
      </c>
      <c r="J904">
        <f>IF(COUNTIFS('United Data'!$A$3:$A$3390,J$1,'United Data'!$C$3:$C$3390,$A904,'United Data'!$B$3:$B$3390,"&lt;&gt;Off-street")&gt;0,1,0)</f>
        <v>0</v>
      </c>
      <c r="K904">
        <f>IF(COUNTIFS('United Data'!$A$3:$A$3390,K$1,'United Data'!$C$3:$C$3390,$A904,'United Data'!$B$3:$B$3390,"&lt;&gt;Off-street")&gt;0,1,0)</f>
        <v>0</v>
      </c>
      <c r="L904">
        <f>IF(COUNTIFS('United Data'!$A$3:$A$3390,L$1,'United Data'!$C$3:$C$3390,$A904,'United Data'!$B$3:$B$3390,"&lt;&gt;Off-street")&gt;0,1,0)</f>
        <v>0</v>
      </c>
      <c r="M904">
        <f>IF(COUNTIFS('United Data'!$A$3:$A$3390,M$1,'United Data'!$C$3:$C$3390,$A904,'United Data'!$B$3:$B$3390,"&lt;&gt;Off-street")&gt;0,1,0)</f>
        <v>0</v>
      </c>
      <c r="N904">
        <f>IF(COUNTIFS('United Data'!$A$3:$A$3390,N$1,'United Data'!$C$3:$C$3390,$A904,'United Data'!$B$3:$B$3390,"&lt;&gt;Off-street")&gt;0,1,0)</f>
        <v>0</v>
      </c>
      <c r="O904">
        <f>IF(COUNTIFS('United Data'!$A$3:$A$3390,O$1,'United Data'!$C$3:$C$3390,$A904,'United Data'!$B$3:$B$3390,"&lt;&gt;Off-street")&gt;0,1,0)</f>
        <v>0</v>
      </c>
      <c r="P904">
        <f>IF(COUNTIFS('United Data'!$A$3:$A$3390,P$1,'United Data'!$C$3:$C$3390,$A904,'United Data'!$B$3:$B$3390,"&lt;&gt;Off-street")&gt;0,1,0)</f>
        <v>1</v>
      </c>
      <c r="Q904">
        <f>IF(COUNTIFS('United Data'!$A$3:$A$3390,Q$1,'United Data'!$C$3:$C$3390,$A904,'United Data'!$B$3:$B$3390,"&lt;&gt;Off-street")&gt;0,1,0)</f>
        <v>0</v>
      </c>
      <c r="R904">
        <f>IF(COUNTIFS('United Data'!$A$3:$A$3390,R$1,'United Data'!$C$3:$C$3390,$A904,'United Data'!$B$3:$B$3390,"&lt;&gt;Off-street")&gt;0,1,0)</f>
        <v>0</v>
      </c>
      <c r="S904">
        <f t="shared" si="28"/>
        <v>1</v>
      </c>
      <c r="T904">
        <f t="shared" si="29"/>
        <v>1</v>
      </c>
    </row>
    <row r="905" spans="1:20" x14ac:dyDescent="0.2">
      <c r="A905" t="s">
        <v>1090</v>
      </c>
      <c r="B905">
        <f>IF(COUNTIFS('United Data'!$A$3:$A$3390,B$1,'United Data'!$C$3:$C$3390,$A905,'United Data'!$B$3:$B$3390,"&lt;&gt;Off-street")&gt;0,1,0)</f>
        <v>0</v>
      </c>
      <c r="C905">
        <f>IF(COUNTIFS('United Data'!$A$3:$A$3390,C$1,'United Data'!$C$3:$C$3390,$A905,'United Data'!$B$3:$B$3390,"&lt;&gt;Off-street")&gt;0,1,0)</f>
        <v>0</v>
      </c>
      <c r="D905">
        <f>IF(COUNTIFS('United Data'!$A$3:$A$3390,D$1,'United Data'!$C$3:$C$3390,$A905,'United Data'!$B$3:$B$3390,"&lt;&gt;Off-street")&gt;0,1,0)</f>
        <v>0</v>
      </c>
      <c r="E905">
        <f>IF(COUNTIFS('United Data'!$A$3:$A$3390,E$1,'United Data'!$C$3:$C$3390,$A905,'United Data'!$B$3:$B$3390,"&lt;&gt;Off-street")&gt;0,1,0)</f>
        <v>0</v>
      </c>
      <c r="F905">
        <f>IF(COUNTIFS('United Data'!$A$3:$A$3390,F$1,'United Data'!$C$3:$C$3390,$A905,'United Data'!$B$3:$B$3390,"&lt;&gt;Off-street")&gt;0,1,0)</f>
        <v>0</v>
      </c>
      <c r="G905">
        <f>IF(COUNTIFS('United Data'!$A$3:$A$3390,G$1,'United Data'!$C$3:$C$3390,$A905,'United Data'!$B$3:$B$3390,"&lt;&gt;Off-street")&gt;0,1,0)</f>
        <v>0</v>
      </c>
      <c r="H905">
        <f>IF(COUNTIFS('United Data'!$A$3:$A$3390,H$1,'United Data'!$C$3:$C$3390,$A905,'United Data'!$B$3:$B$3390,"&lt;&gt;Off-street")&gt;0,1,0)</f>
        <v>0</v>
      </c>
      <c r="I905">
        <f>IF(COUNTIFS('United Data'!$A$3:$A$3390,I$1,'United Data'!$C$3:$C$3390,$A905,'United Data'!$B$3:$B$3390,"&lt;&gt;Off-street")&gt;0,1,0)</f>
        <v>0</v>
      </c>
      <c r="J905">
        <f>IF(COUNTIFS('United Data'!$A$3:$A$3390,J$1,'United Data'!$C$3:$C$3390,$A905,'United Data'!$B$3:$B$3390,"&lt;&gt;Off-street")&gt;0,1,0)</f>
        <v>0</v>
      </c>
      <c r="K905">
        <f>IF(COUNTIFS('United Data'!$A$3:$A$3390,K$1,'United Data'!$C$3:$C$3390,$A905,'United Data'!$B$3:$B$3390,"&lt;&gt;Off-street")&gt;0,1,0)</f>
        <v>0</v>
      </c>
      <c r="L905">
        <f>IF(COUNTIFS('United Data'!$A$3:$A$3390,L$1,'United Data'!$C$3:$C$3390,$A905,'United Data'!$B$3:$B$3390,"&lt;&gt;Off-street")&gt;0,1,0)</f>
        <v>0</v>
      </c>
      <c r="M905">
        <f>IF(COUNTIFS('United Data'!$A$3:$A$3390,M$1,'United Data'!$C$3:$C$3390,$A905,'United Data'!$B$3:$B$3390,"&lt;&gt;Off-street")&gt;0,1,0)</f>
        <v>0</v>
      </c>
      <c r="N905">
        <f>IF(COUNTIFS('United Data'!$A$3:$A$3390,N$1,'United Data'!$C$3:$C$3390,$A905,'United Data'!$B$3:$B$3390,"&lt;&gt;Off-street")&gt;0,1,0)</f>
        <v>0</v>
      </c>
      <c r="O905">
        <f>IF(COUNTIFS('United Data'!$A$3:$A$3390,O$1,'United Data'!$C$3:$C$3390,$A905,'United Data'!$B$3:$B$3390,"&lt;&gt;Off-street")&gt;0,1,0)</f>
        <v>0</v>
      </c>
      <c r="P905">
        <f>IF(COUNTIFS('United Data'!$A$3:$A$3390,P$1,'United Data'!$C$3:$C$3390,$A905,'United Data'!$B$3:$B$3390,"&lt;&gt;Off-street")&gt;0,1,0)</f>
        <v>1</v>
      </c>
      <c r="Q905">
        <f>IF(COUNTIFS('United Data'!$A$3:$A$3390,Q$1,'United Data'!$C$3:$C$3390,$A905,'United Data'!$B$3:$B$3390,"&lt;&gt;Off-street")&gt;0,1,0)</f>
        <v>0</v>
      </c>
      <c r="R905">
        <f>IF(COUNTIFS('United Data'!$A$3:$A$3390,R$1,'United Data'!$C$3:$C$3390,$A905,'United Data'!$B$3:$B$3390,"&lt;&gt;Off-street")&gt;0,1,0)</f>
        <v>0</v>
      </c>
      <c r="S905">
        <f t="shared" si="28"/>
        <v>1</v>
      </c>
      <c r="T905">
        <f t="shared" si="29"/>
        <v>1</v>
      </c>
    </row>
    <row r="906" spans="1:20" x14ac:dyDescent="0.2">
      <c r="A906" t="s">
        <v>1093</v>
      </c>
      <c r="B906">
        <f>IF(COUNTIFS('United Data'!$A$3:$A$3390,B$1,'United Data'!$C$3:$C$3390,$A906,'United Data'!$B$3:$B$3390,"&lt;&gt;Off-street")&gt;0,1,0)</f>
        <v>0</v>
      </c>
      <c r="C906">
        <f>IF(COUNTIFS('United Data'!$A$3:$A$3390,C$1,'United Data'!$C$3:$C$3390,$A906,'United Data'!$B$3:$B$3390,"&lt;&gt;Off-street")&gt;0,1,0)</f>
        <v>0</v>
      </c>
      <c r="D906">
        <f>IF(COUNTIFS('United Data'!$A$3:$A$3390,D$1,'United Data'!$C$3:$C$3390,$A906,'United Data'!$B$3:$B$3390,"&lt;&gt;Off-street")&gt;0,1,0)</f>
        <v>0</v>
      </c>
      <c r="E906">
        <f>IF(COUNTIFS('United Data'!$A$3:$A$3390,E$1,'United Data'!$C$3:$C$3390,$A906,'United Data'!$B$3:$B$3390,"&lt;&gt;Off-street")&gt;0,1,0)</f>
        <v>0</v>
      </c>
      <c r="F906">
        <f>IF(COUNTIFS('United Data'!$A$3:$A$3390,F$1,'United Data'!$C$3:$C$3390,$A906,'United Data'!$B$3:$B$3390,"&lt;&gt;Off-street")&gt;0,1,0)</f>
        <v>0</v>
      </c>
      <c r="G906">
        <f>IF(COUNTIFS('United Data'!$A$3:$A$3390,G$1,'United Data'!$C$3:$C$3390,$A906,'United Data'!$B$3:$B$3390,"&lt;&gt;Off-street")&gt;0,1,0)</f>
        <v>0</v>
      </c>
      <c r="H906">
        <f>IF(COUNTIFS('United Data'!$A$3:$A$3390,H$1,'United Data'!$C$3:$C$3390,$A906,'United Data'!$B$3:$B$3390,"&lt;&gt;Off-street")&gt;0,1,0)</f>
        <v>0</v>
      </c>
      <c r="I906">
        <f>IF(COUNTIFS('United Data'!$A$3:$A$3390,I$1,'United Data'!$C$3:$C$3390,$A906,'United Data'!$B$3:$B$3390,"&lt;&gt;Off-street")&gt;0,1,0)</f>
        <v>0</v>
      </c>
      <c r="J906">
        <f>IF(COUNTIFS('United Data'!$A$3:$A$3390,J$1,'United Data'!$C$3:$C$3390,$A906,'United Data'!$B$3:$B$3390,"&lt;&gt;Off-street")&gt;0,1,0)</f>
        <v>0</v>
      </c>
      <c r="K906">
        <f>IF(COUNTIFS('United Data'!$A$3:$A$3390,K$1,'United Data'!$C$3:$C$3390,$A906,'United Data'!$B$3:$B$3390,"&lt;&gt;Off-street")&gt;0,1,0)</f>
        <v>0</v>
      </c>
      <c r="L906">
        <f>IF(COUNTIFS('United Data'!$A$3:$A$3390,L$1,'United Data'!$C$3:$C$3390,$A906,'United Data'!$B$3:$B$3390,"&lt;&gt;Off-street")&gt;0,1,0)</f>
        <v>0</v>
      </c>
      <c r="M906">
        <f>IF(COUNTIFS('United Data'!$A$3:$A$3390,M$1,'United Data'!$C$3:$C$3390,$A906,'United Data'!$B$3:$B$3390,"&lt;&gt;Off-street")&gt;0,1,0)</f>
        <v>0</v>
      </c>
      <c r="N906">
        <f>IF(COUNTIFS('United Data'!$A$3:$A$3390,N$1,'United Data'!$C$3:$C$3390,$A906,'United Data'!$B$3:$B$3390,"&lt;&gt;Off-street")&gt;0,1,0)</f>
        <v>0</v>
      </c>
      <c r="O906">
        <f>IF(COUNTIFS('United Data'!$A$3:$A$3390,O$1,'United Data'!$C$3:$C$3390,$A906,'United Data'!$B$3:$B$3390,"&lt;&gt;Off-street")&gt;0,1,0)</f>
        <v>0</v>
      </c>
      <c r="P906">
        <f>IF(COUNTIFS('United Data'!$A$3:$A$3390,P$1,'United Data'!$C$3:$C$3390,$A906,'United Data'!$B$3:$B$3390,"&lt;&gt;Off-street")&gt;0,1,0)</f>
        <v>0</v>
      </c>
      <c r="Q906">
        <f>IF(COUNTIFS('United Data'!$A$3:$A$3390,Q$1,'United Data'!$C$3:$C$3390,$A906,'United Data'!$B$3:$B$3390,"&lt;&gt;Off-street")&gt;0,1,0)</f>
        <v>1</v>
      </c>
      <c r="R906">
        <f>IF(COUNTIFS('United Data'!$A$3:$A$3390,R$1,'United Data'!$C$3:$C$3390,$A906,'United Data'!$B$3:$B$3390,"&lt;&gt;Off-street")&gt;0,1,0)</f>
        <v>0</v>
      </c>
      <c r="S906">
        <f t="shared" si="28"/>
        <v>1</v>
      </c>
      <c r="T906">
        <f t="shared" si="29"/>
        <v>1</v>
      </c>
    </row>
    <row r="907" spans="1:20" x14ac:dyDescent="0.2">
      <c r="A907" t="s">
        <v>1094</v>
      </c>
      <c r="B907">
        <f>IF(COUNTIFS('United Data'!$A$3:$A$3390,B$1,'United Data'!$C$3:$C$3390,$A907,'United Data'!$B$3:$B$3390,"&lt;&gt;Off-street")&gt;0,1,0)</f>
        <v>0</v>
      </c>
      <c r="C907">
        <f>IF(COUNTIFS('United Data'!$A$3:$A$3390,C$1,'United Data'!$C$3:$C$3390,$A907,'United Data'!$B$3:$B$3390,"&lt;&gt;Off-street")&gt;0,1,0)</f>
        <v>0</v>
      </c>
      <c r="D907">
        <f>IF(COUNTIFS('United Data'!$A$3:$A$3390,D$1,'United Data'!$C$3:$C$3390,$A907,'United Data'!$B$3:$B$3390,"&lt;&gt;Off-street")&gt;0,1,0)</f>
        <v>0</v>
      </c>
      <c r="E907">
        <f>IF(COUNTIFS('United Data'!$A$3:$A$3390,E$1,'United Data'!$C$3:$C$3390,$A907,'United Data'!$B$3:$B$3390,"&lt;&gt;Off-street")&gt;0,1,0)</f>
        <v>0</v>
      </c>
      <c r="F907">
        <f>IF(COUNTIFS('United Data'!$A$3:$A$3390,F$1,'United Data'!$C$3:$C$3390,$A907,'United Data'!$B$3:$B$3390,"&lt;&gt;Off-street")&gt;0,1,0)</f>
        <v>0</v>
      </c>
      <c r="G907">
        <f>IF(COUNTIFS('United Data'!$A$3:$A$3390,G$1,'United Data'!$C$3:$C$3390,$A907,'United Data'!$B$3:$B$3390,"&lt;&gt;Off-street")&gt;0,1,0)</f>
        <v>1</v>
      </c>
      <c r="H907">
        <f>IF(COUNTIFS('United Data'!$A$3:$A$3390,H$1,'United Data'!$C$3:$C$3390,$A907,'United Data'!$B$3:$B$3390,"&lt;&gt;Off-street")&gt;0,1,0)</f>
        <v>0</v>
      </c>
      <c r="I907">
        <f>IF(COUNTIFS('United Data'!$A$3:$A$3390,I$1,'United Data'!$C$3:$C$3390,$A907,'United Data'!$B$3:$B$3390,"&lt;&gt;Off-street")&gt;0,1,0)</f>
        <v>0</v>
      </c>
      <c r="J907">
        <f>IF(COUNTIFS('United Data'!$A$3:$A$3390,J$1,'United Data'!$C$3:$C$3390,$A907,'United Data'!$B$3:$B$3390,"&lt;&gt;Off-street")&gt;0,1,0)</f>
        <v>0</v>
      </c>
      <c r="K907">
        <f>IF(COUNTIFS('United Data'!$A$3:$A$3390,K$1,'United Data'!$C$3:$C$3390,$A907,'United Data'!$B$3:$B$3390,"&lt;&gt;Off-street")&gt;0,1,0)</f>
        <v>0</v>
      </c>
      <c r="L907">
        <f>IF(COUNTIFS('United Data'!$A$3:$A$3390,L$1,'United Data'!$C$3:$C$3390,$A907,'United Data'!$B$3:$B$3390,"&lt;&gt;Off-street")&gt;0,1,0)</f>
        <v>0</v>
      </c>
      <c r="M907">
        <f>IF(COUNTIFS('United Data'!$A$3:$A$3390,M$1,'United Data'!$C$3:$C$3390,$A907,'United Data'!$B$3:$B$3390,"&lt;&gt;Off-street")&gt;0,1,0)</f>
        <v>0</v>
      </c>
      <c r="N907">
        <f>IF(COUNTIFS('United Data'!$A$3:$A$3390,N$1,'United Data'!$C$3:$C$3390,$A907,'United Data'!$B$3:$B$3390,"&lt;&gt;Off-street")&gt;0,1,0)</f>
        <v>0</v>
      </c>
      <c r="O907">
        <f>IF(COUNTIFS('United Data'!$A$3:$A$3390,O$1,'United Data'!$C$3:$C$3390,$A907,'United Data'!$B$3:$B$3390,"&lt;&gt;Off-street")&gt;0,1,0)</f>
        <v>0</v>
      </c>
      <c r="P907">
        <f>IF(COUNTIFS('United Data'!$A$3:$A$3390,P$1,'United Data'!$C$3:$C$3390,$A907,'United Data'!$B$3:$B$3390,"&lt;&gt;Off-street")&gt;0,1,0)</f>
        <v>0</v>
      </c>
      <c r="Q907">
        <f>IF(COUNTIFS('United Data'!$A$3:$A$3390,Q$1,'United Data'!$C$3:$C$3390,$A907,'United Data'!$B$3:$B$3390,"&lt;&gt;Off-street")&gt;0,1,0)</f>
        <v>1</v>
      </c>
      <c r="R907">
        <f>IF(COUNTIFS('United Data'!$A$3:$A$3390,R$1,'United Data'!$C$3:$C$3390,$A907,'United Data'!$B$3:$B$3390,"&lt;&gt;Off-street")&gt;0,1,0)</f>
        <v>0</v>
      </c>
      <c r="S907">
        <f t="shared" si="28"/>
        <v>2</v>
      </c>
      <c r="T907">
        <f t="shared" si="29"/>
        <v>2</v>
      </c>
    </row>
    <row r="908" spans="1:20" x14ac:dyDescent="0.2">
      <c r="A908" t="s">
        <v>1095</v>
      </c>
      <c r="B908">
        <f>IF(COUNTIFS('United Data'!$A$3:$A$3390,B$1,'United Data'!$C$3:$C$3390,$A908,'United Data'!$B$3:$B$3390,"&lt;&gt;Off-street")&gt;0,1,0)</f>
        <v>0</v>
      </c>
      <c r="C908">
        <f>IF(COUNTIFS('United Data'!$A$3:$A$3390,C$1,'United Data'!$C$3:$C$3390,$A908,'United Data'!$B$3:$B$3390,"&lt;&gt;Off-street")&gt;0,1,0)</f>
        <v>0</v>
      </c>
      <c r="D908">
        <f>IF(COUNTIFS('United Data'!$A$3:$A$3390,D$1,'United Data'!$C$3:$C$3390,$A908,'United Data'!$B$3:$B$3390,"&lt;&gt;Off-street")&gt;0,1,0)</f>
        <v>0</v>
      </c>
      <c r="E908">
        <f>IF(COUNTIFS('United Data'!$A$3:$A$3390,E$1,'United Data'!$C$3:$C$3390,$A908,'United Data'!$B$3:$B$3390,"&lt;&gt;Off-street")&gt;0,1,0)</f>
        <v>0</v>
      </c>
      <c r="F908">
        <f>IF(COUNTIFS('United Data'!$A$3:$A$3390,F$1,'United Data'!$C$3:$C$3390,$A908,'United Data'!$B$3:$B$3390,"&lt;&gt;Off-street")&gt;0,1,0)</f>
        <v>0</v>
      </c>
      <c r="G908">
        <f>IF(COUNTIFS('United Data'!$A$3:$A$3390,G$1,'United Data'!$C$3:$C$3390,$A908,'United Data'!$B$3:$B$3390,"&lt;&gt;Off-street")&gt;0,1,0)</f>
        <v>0</v>
      </c>
      <c r="H908">
        <f>IF(COUNTIFS('United Data'!$A$3:$A$3390,H$1,'United Data'!$C$3:$C$3390,$A908,'United Data'!$B$3:$B$3390,"&lt;&gt;Off-street")&gt;0,1,0)</f>
        <v>0</v>
      </c>
      <c r="I908">
        <f>IF(COUNTIFS('United Data'!$A$3:$A$3390,I$1,'United Data'!$C$3:$C$3390,$A908,'United Data'!$B$3:$B$3390,"&lt;&gt;Off-street")&gt;0,1,0)</f>
        <v>0</v>
      </c>
      <c r="J908">
        <f>IF(COUNTIFS('United Data'!$A$3:$A$3390,J$1,'United Data'!$C$3:$C$3390,$A908,'United Data'!$B$3:$B$3390,"&lt;&gt;Off-street")&gt;0,1,0)</f>
        <v>0</v>
      </c>
      <c r="K908">
        <f>IF(COUNTIFS('United Data'!$A$3:$A$3390,K$1,'United Data'!$C$3:$C$3390,$A908,'United Data'!$B$3:$B$3390,"&lt;&gt;Off-street")&gt;0,1,0)</f>
        <v>0</v>
      </c>
      <c r="L908">
        <f>IF(COUNTIFS('United Data'!$A$3:$A$3390,L$1,'United Data'!$C$3:$C$3390,$A908,'United Data'!$B$3:$B$3390,"&lt;&gt;Off-street")&gt;0,1,0)</f>
        <v>0</v>
      </c>
      <c r="M908">
        <f>IF(COUNTIFS('United Data'!$A$3:$A$3390,M$1,'United Data'!$C$3:$C$3390,$A908,'United Data'!$B$3:$B$3390,"&lt;&gt;Off-street")&gt;0,1,0)</f>
        <v>0</v>
      </c>
      <c r="N908">
        <f>IF(COUNTIFS('United Data'!$A$3:$A$3390,N$1,'United Data'!$C$3:$C$3390,$A908,'United Data'!$B$3:$B$3390,"&lt;&gt;Off-street")&gt;0,1,0)</f>
        <v>0</v>
      </c>
      <c r="O908">
        <f>IF(COUNTIFS('United Data'!$A$3:$A$3390,O$1,'United Data'!$C$3:$C$3390,$A908,'United Data'!$B$3:$B$3390,"&lt;&gt;Off-street")&gt;0,1,0)</f>
        <v>0</v>
      </c>
      <c r="P908">
        <f>IF(COUNTIFS('United Data'!$A$3:$A$3390,P$1,'United Data'!$C$3:$C$3390,$A908,'United Data'!$B$3:$B$3390,"&lt;&gt;Off-street")&gt;0,1,0)</f>
        <v>0</v>
      </c>
      <c r="Q908">
        <f>IF(COUNTIFS('United Data'!$A$3:$A$3390,Q$1,'United Data'!$C$3:$C$3390,$A908,'United Data'!$B$3:$B$3390,"&lt;&gt;Off-street")&gt;0,1,0)</f>
        <v>1</v>
      </c>
      <c r="R908">
        <f>IF(COUNTIFS('United Data'!$A$3:$A$3390,R$1,'United Data'!$C$3:$C$3390,$A908,'United Data'!$B$3:$B$3390,"&lt;&gt;Off-street")&gt;0,1,0)</f>
        <v>0</v>
      </c>
      <c r="S908">
        <f t="shared" si="28"/>
        <v>1</v>
      </c>
      <c r="T908">
        <f t="shared" si="29"/>
        <v>1</v>
      </c>
    </row>
    <row r="909" spans="1:20" x14ac:dyDescent="0.2">
      <c r="A909" t="s">
        <v>1096</v>
      </c>
      <c r="B909">
        <f>IF(COUNTIFS('United Data'!$A$3:$A$3390,B$1,'United Data'!$C$3:$C$3390,$A909,'United Data'!$B$3:$B$3390,"&lt;&gt;Off-street")&gt;0,1,0)</f>
        <v>1</v>
      </c>
      <c r="C909">
        <f>IF(COUNTIFS('United Data'!$A$3:$A$3390,C$1,'United Data'!$C$3:$C$3390,$A909,'United Data'!$B$3:$B$3390,"&lt;&gt;Off-street")&gt;0,1,0)</f>
        <v>0</v>
      </c>
      <c r="D909">
        <f>IF(COUNTIFS('United Data'!$A$3:$A$3390,D$1,'United Data'!$C$3:$C$3390,$A909,'United Data'!$B$3:$B$3390,"&lt;&gt;Off-street")&gt;0,1,0)</f>
        <v>0</v>
      </c>
      <c r="E909">
        <f>IF(COUNTIFS('United Data'!$A$3:$A$3390,E$1,'United Data'!$C$3:$C$3390,$A909,'United Data'!$B$3:$B$3390,"&lt;&gt;Off-street")&gt;0,1,0)</f>
        <v>0</v>
      </c>
      <c r="F909">
        <f>IF(COUNTIFS('United Data'!$A$3:$A$3390,F$1,'United Data'!$C$3:$C$3390,$A909,'United Data'!$B$3:$B$3390,"&lt;&gt;Off-street")&gt;0,1,0)</f>
        <v>0</v>
      </c>
      <c r="G909">
        <f>IF(COUNTIFS('United Data'!$A$3:$A$3390,G$1,'United Data'!$C$3:$C$3390,$A909,'United Data'!$B$3:$B$3390,"&lt;&gt;Off-street")&gt;0,1,0)</f>
        <v>0</v>
      </c>
      <c r="H909">
        <f>IF(COUNTIFS('United Data'!$A$3:$A$3390,H$1,'United Data'!$C$3:$C$3390,$A909,'United Data'!$B$3:$B$3390,"&lt;&gt;Off-street")&gt;0,1,0)</f>
        <v>0</v>
      </c>
      <c r="I909">
        <f>IF(COUNTIFS('United Data'!$A$3:$A$3390,I$1,'United Data'!$C$3:$C$3390,$A909,'United Data'!$B$3:$B$3390,"&lt;&gt;Off-street")&gt;0,1,0)</f>
        <v>0</v>
      </c>
      <c r="J909">
        <f>IF(COUNTIFS('United Data'!$A$3:$A$3390,J$1,'United Data'!$C$3:$C$3390,$A909,'United Data'!$B$3:$B$3390,"&lt;&gt;Off-street")&gt;0,1,0)</f>
        <v>0</v>
      </c>
      <c r="K909">
        <f>IF(COUNTIFS('United Data'!$A$3:$A$3390,K$1,'United Data'!$C$3:$C$3390,$A909,'United Data'!$B$3:$B$3390,"&lt;&gt;Off-street")&gt;0,1,0)</f>
        <v>0</v>
      </c>
      <c r="L909">
        <f>IF(COUNTIFS('United Data'!$A$3:$A$3390,L$1,'United Data'!$C$3:$C$3390,$A909,'United Data'!$B$3:$B$3390,"&lt;&gt;Off-street")&gt;0,1,0)</f>
        <v>0</v>
      </c>
      <c r="M909">
        <f>IF(COUNTIFS('United Data'!$A$3:$A$3390,M$1,'United Data'!$C$3:$C$3390,$A909,'United Data'!$B$3:$B$3390,"&lt;&gt;Off-street")&gt;0,1,0)</f>
        <v>0</v>
      </c>
      <c r="N909">
        <f>IF(COUNTIFS('United Data'!$A$3:$A$3390,N$1,'United Data'!$C$3:$C$3390,$A909,'United Data'!$B$3:$B$3390,"&lt;&gt;Off-street")&gt;0,1,0)</f>
        <v>0</v>
      </c>
      <c r="O909">
        <f>IF(COUNTIFS('United Data'!$A$3:$A$3390,O$1,'United Data'!$C$3:$C$3390,$A909,'United Data'!$B$3:$B$3390,"&lt;&gt;Off-street")&gt;0,1,0)</f>
        <v>0</v>
      </c>
      <c r="P909">
        <f>IF(COUNTIFS('United Data'!$A$3:$A$3390,P$1,'United Data'!$C$3:$C$3390,$A909,'United Data'!$B$3:$B$3390,"&lt;&gt;Off-street")&gt;0,1,0)</f>
        <v>0</v>
      </c>
      <c r="Q909">
        <f>IF(COUNTIFS('United Data'!$A$3:$A$3390,Q$1,'United Data'!$C$3:$C$3390,$A909,'United Data'!$B$3:$B$3390,"&lt;&gt;Off-street")&gt;0,1,0)</f>
        <v>0</v>
      </c>
      <c r="R909">
        <f>IF(COUNTIFS('United Data'!$A$3:$A$3390,R$1,'United Data'!$C$3:$C$3390,$A909,'United Data'!$B$3:$B$3390,"&lt;&gt;Off-street")&gt;0,1,0)</f>
        <v>0</v>
      </c>
      <c r="S909">
        <f t="shared" si="28"/>
        <v>1</v>
      </c>
      <c r="T909">
        <f t="shared" si="29"/>
        <v>1</v>
      </c>
    </row>
    <row r="910" spans="1:20" x14ac:dyDescent="0.2">
      <c r="A910" t="s">
        <v>1097</v>
      </c>
      <c r="B910">
        <f>IF(COUNTIFS('United Data'!$A$3:$A$3390,B$1,'United Data'!$C$3:$C$3390,$A910,'United Data'!$B$3:$B$3390,"&lt;&gt;Off-street")&gt;0,1,0)</f>
        <v>1</v>
      </c>
      <c r="C910">
        <f>IF(COUNTIFS('United Data'!$A$3:$A$3390,C$1,'United Data'!$C$3:$C$3390,$A910,'United Data'!$B$3:$B$3390,"&lt;&gt;Off-street")&gt;0,1,0)</f>
        <v>0</v>
      </c>
      <c r="D910">
        <f>IF(COUNTIFS('United Data'!$A$3:$A$3390,D$1,'United Data'!$C$3:$C$3390,$A910,'United Data'!$B$3:$B$3390,"&lt;&gt;Off-street")&gt;0,1,0)</f>
        <v>0</v>
      </c>
      <c r="E910">
        <f>IF(COUNTIFS('United Data'!$A$3:$A$3390,E$1,'United Data'!$C$3:$C$3390,$A910,'United Data'!$B$3:$B$3390,"&lt;&gt;Off-street")&gt;0,1,0)</f>
        <v>0</v>
      </c>
      <c r="F910">
        <f>IF(COUNTIFS('United Data'!$A$3:$A$3390,F$1,'United Data'!$C$3:$C$3390,$A910,'United Data'!$B$3:$B$3390,"&lt;&gt;Off-street")&gt;0,1,0)</f>
        <v>0</v>
      </c>
      <c r="G910">
        <f>IF(COUNTIFS('United Data'!$A$3:$A$3390,G$1,'United Data'!$C$3:$C$3390,$A910,'United Data'!$B$3:$B$3390,"&lt;&gt;Off-street")&gt;0,1,0)</f>
        <v>0</v>
      </c>
      <c r="H910">
        <f>IF(COUNTIFS('United Data'!$A$3:$A$3390,H$1,'United Data'!$C$3:$C$3390,$A910,'United Data'!$B$3:$B$3390,"&lt;&gt;Off-street")&gt;0,1,0)</f>
        <v>0</v>
      </c>
      <c r="I910">
        <f>IF(COUNTIFS('United Data'!$A$3:$A$3390,I$1,'United Data'!$C$3:$C$3390,$A910,'United Data'!$B$3:$B$3390,"&lt;&gt;Off-street")&gt;0,1,0)</f>
        <v>0</v>
      </c>
      <c r="J910">
        <f>IF(COUNTIFS('United Data'!$A$3:$A$3390,J$1,'United Data'!$C$3:$C$3390,$A910,'United Data'!$B$3:$B$3390,"&lt;&gt;Off-street")&gt;0,1,0)</f>
        <v>0</v>
      </c>
      <c r="K910">
        <f>IF(COUNTIFS('United Data'!$A$3:$A$3390,K$1,'United Data'!$C$3:$C$3390,$A910,'United Data'!$B$3:$B$3390,"&lt;&gt;Off-street")&gt;0,1,0)</f>
        <v>0</v>
      </c>
      <c r="L910">
        <f>IF(COUNTIFS('United Data'!$A$3:$A$3390,L$1,'United Data'!$C$3:$C$3390,$A910,'United Data'!$B$3:$B$3390,"&lt;&gt;Off-street")&gt;0,1,0)</f>
        <v>0</v>
      </c>
      <c r="M910">
        <f>IF(COUNTIFS('United Data'!$A$3:$A$3390,M$1,'United Data'!$C$3:$C$3390,$A910,'United Data'!$B$3:$B$3390,"&lt;&gt;Off-street")&gt;0,1,0)</f>
        <v>0</v>
      </c>
      <c r="N910">
        <f>IF(COUNTIFS('United Data'!$A$3:$A$3390,N$1,'United Data'!$C$3:$C$3390,$A910,'United Data'!$B$3:$B$3390,"&lt;&gt;Off-street")&gt;0,1,0)</f>
        <v>0</v>
      </c>
      <c r="O910">
        <f>IF(COUNTIFS('United Data'!$A$3:$A$3390,O$1,'United Data'!$C$3:$C$3390,$A910,'United Data'!$B$3:$B$3390,"&lt;&gt;Off-street")&gt;0,1,0)</f>
        <v>0</v>
      </c>
      <c r="P910">
        <f>IF(COUNTIFS('United Data'!$A$3:$A$3390,P$1,'United Data'!$C$3:$C$3390,$A910,'United Data'!$B$3:$B$3390,"&lt;&gt;Off-street")&gt;0,1,0)</f>
        <v>0</v>
      </c>
      <c r="Q910">
        <f>IF(COUNTIFS('United Data'!$A$3:$A$3390,Q$1,'United Data'!$C$3:$C$3390,$A910,'United Data'!$B$3:$B$3390,"&lt;&gt;Off-street")&gt;0,1,0)</f>
        <v>0</v>
      </c>
      <c r="R910">
        <f>IF(COUNTIFS('United Data'!$A$3:$A$3390,R$1,'United Data'!$C$3:$C$3390,$A910,'United Data'!$B$3:$B$3390,"&lt;&gt;Off-street")&gt;0,1,0)</f>
        <v>0</v>
      </c>
      <c r="S910">
        <f t="shared" si="28"/>
        <v>1</v>
      </c>
      <c r="T910">
        <f t="shared" si="29"/>
        <v>1</v>
      </c>
    </row>
    <row r="911" spans="1:20" x14ac:dyDescent="0.2">
      <c r="A911" t="s">
        <v>1098</v>
      </c>
      <c r="B911">
        <f>IF(COUNTIFS('United Data'!$A$3:$A$3390,B$1,'United Data'!$C$3:$C$3390,$A911,'United Data'!$B$3:$B$3390,"&lt;&gt;Off-street")&gt;0,1,0)</f>
        <v>0</v>
      </c>
      <c r="C911">
        <f>IF(COUNTIFS('United Data'!$A$3:$A$3390,C$1,'United Data'!$C$3:$C$3390,$A911,'United Data'!$B$3:$B$3390,"&lt;&gt;Off-street")&gt;0,1,0)</f>
        <v>1</v>
      </c>
      <c r="D911">
        <f>IF(COUNTIFS('United Data'!$A$3:$A$3390,D$1,'United Data'!$C$3:$C$3390,$A911,'United Data'!$B$3:$B$3390,"&lt;&gt;Off-street")&gt;0,1,0)</f>
        <v>0</v>
      </c>
      <c r="E911">
        <f>IF(COUNTIFS('United Data'!$A$3:$A$3390,E$1,'United Data'!$C$3:$C$3390,$A911,'United Data'!$B$3:$B$3390,"&lt;&gt;Off-street")&gt;0,1,0)</f>
        <v>0</v>
      </c>
      <c r="F911">
        <f>IF(COUNTIFS('United Data'!$A$3:$A$3390,F$1,'United Data'!$C$3:$C$3390,$A911,'United Data'!$B$3:$B$3390,"&lt;&gt;Off-street")&gt;0,1,0)</f>
        <v>0</v>
      </c>
      <c r="G911">
        <f>IF(COUNTIFS('United Data'!$A$3:$A$3390,G$1,'United Data'!$C$3:$C$3390,$A911,'United Data'!$B$3:$B$3390,"&lt;&gt;Off-street")&gt;0,1,0)</f>
        <v>0</v>
      </c>
      <c r="H911">
        <f>IF(COUNTIFS('United Data'!$A$3:$A$3390,H$1,'United Data'!$C$3:$C$3390,$A911,'United Data'!$B$3:$B$3390,"&lt;&gt;Off-street")&gt;0,1,0)</f>
        <v>0</v>
      </c>
      <c r="I911">
        <f>IF(COUNTIFS('United Data'!$A$3:$A$3390,I$1,'United Data'!$C$3:$C$3390,$A911,'United Data'!$B$3:$B$3390,"&lt;&gt;Off-street")&gt;0,1,0)</f>
        <v>0</v>
      </c>
      <c r="J911">
        <f>IF(COUNTIFS('United Data'!$A$3:$A$3390,J$1,'United Data'!$C$3:$C$3390,$A911,'United Data'!$B$3:$B$3390,"&lt;&gt;Off-street")&gt;0,1,0)</f>
        <v>0</v>
      </c>
      <c r="K911">
        <f>IF(COUNTIFS('United Data'!$A$3:$A$3390,K$1,'United Data'!$C$3:$C$3390,$A911,'United Data'!$B$3:$B$3390,"&lt;&gt;Off-street")&gt;0,1,0)</f>
        <v>0</v>
      </c>
      <c r="L911">
        <f>IF(COUNTIFS('United Data'!$A$3:$A$3390,L$1,'United Data'!$C$3:$C$3390,$A911,'United Data'!$B$3:$B$3390,"&lt;&gt;Off-street")&gt;0,1,0)</f>
        <v>0</v>
      </c>
      <c r="M911">
        <f>IF(COUNTIFS('United Data'!$A$3:$A$3390,M$1,'United Data'!$C$3:$C$3390,$A911,'United Data'!$B$3:$B$3390,"&lt;&gt;Off-street")&gt;0,1,0)</f>
        <v>0</v>
      </c>
      <c r="N911">
        <f>IF(COUNTIFS('United Data'!$A$3:$A$3390,N$1,'United Data'!$C$3:$C$3390,$A911,'United Data'!$B$3:$B$3390,"&lt;&gt;Off-street")&gt;0,1,0)</f>
        <v>0</v>
      </c>
      <c r="O911">
        <f>IF(COUNTIFS('United Data'!$A$3:$A$3390,O$1,'United Data'!$C$3:$C$3390,$A911,'United Data'!$B$3:$B$3390,"&lt;&gt;Off-street")&gt;0,1,0)</f>
        <v>0</v>
      </c>
      <c r="P911">
        <f>IF(COUNTIFS('United Data'!$A$3:$A$3390,P$1,'United Data'!$C$3:$C$3390,$A911,'United Data'!$B$3:$B$3390,"&lt;&gt;Off-street")&gt;0,1,0)</f>
        <v>0</v>
      </c>
      <c r="Q911">
        <f>IF(COUNTIFS('United Data'!$A$3:$A$3390,Q$1,'United Data'!$C$3:$C$3390,$A911,'United Data'!$B$3:$B$3390,"&lt;&gt;Off-street")&gt;0,1,0)</f>
        <v>0</v>
      </c>
      <c r="R911">
        <f>IF(COUNTIFS('United Data'!$A$3:$A$3390,R$1,'United Data'!$C$3:$C$3390,$A911,'United Data'!$B$3:$B$3390,"&lt;&gt;Off-street")&gt;0,1,0)</f>
        <v>0</v>
      </c>
      <c r="S911">
        <f t="shared" si="28"/>
        <v>1</v>
      </c>
      <c r="T911">
        <f t="shared" si="29"/>
        <v>1</v>
      </c>
    </row>
    <row r="912" spans="1:20" x14ac:dyDescent="0.2">
      <c r="A912" t="s">
        <v>1100</v>
      </c>
      <c r="B912">
        <f>IF(COUNTIFS('United Data'!$A$3:$A$3390,B$1,'United Data'!$C$3:$C$3390,$A912,'United Data'!$B$3:$B$3390,"&lt;&gt;Off-street")&gt;0,1,0)</f>
        <v>0</v>
      </c>
      <c r="C912">
        <f>IF(COUNTIFS('United Data'!$A$3:$A$3390,C$1,'United Data'!$C$3:$C$3390,$A912,'United Data'!$B$3:$B$3390,"&lt;&gt;Off-street")&gt;0,1,0)</f>
        <v>0</v>
      </c>
      <c r="D912">
        <f>IF(COUNTIFS('United Data'!$A$3:$A$3390,D$1,'United Data'!$C$3:$C$3390,$A912,'United Data'!$B$3:$B$3390,"&lt;&gt;Off-street")&gt;0,1,0)</f>
        <v>1</v>
      </c>
      <c r="E912">
        <f>IF(COUNTIFS('United Data'!$A$3:$A$3390,E$1,'United Data'!$C$3:$C$3390,$A912,'United Data'!$B$3:$B$3390,"&lt;&gt;Off-street")&gt;0,1,0)</f>
        <v>1</v>
      </c>
      <c r="F912">
        <f>IF(COUNTIFS('United Data'!$A$3:$A$3390,F$1,'United Data'!$C$3:$C$3390,$A912,'United Data'!$B$3:$B$3390,"&lt;&gt;Off-street")&gt;0,1,0)</f>
        <v>1</v>
      </c>
      <c r="G912">
        <f>IF(COUNTIFS('United Data'!$A$3:$A$3390,G$1,'United Data'!$C$3:$C$3390,$A912,'United Data'!$B$3:$B$3390,"&lt;&gt;Off-street")&gt;0,1,0)</f>
        <v>1</v>
      </c>
      <c r="H912">
        <f>IF(COUNTIFS('United Data'!$A$3:$A$3390,H$1,'United Data'!$C$3:$C$3390,$A912,'United Data'!$B$3:$B$3390,"&lt;&gt;Off-street")&gt;0,1,0)</f>
        <v>0</v>
      </c>
      <c r="I912">
        <f>IF(COUNTIFS('United Data'!$A$3:$A$3390,I$1,'United Data'!$C$3:$C$3390,$A912,'United Data'!$B$3:$B$3390,"&lt;&gt;Off-street")&gt;0,1,0)</f>
        <v>1</v>
      </c>
      <c r="J912">
        <f>IF(COUNTIFS('United Data'!$A$3:$A$3390,J$1,'United Data'!$C$3:$C$3390,$A912,'United Data'!$B$3:$B$3390,"&lt;&gt;Off-street")&gt;0,1,0)</f>
        <v>1</v>
      </c>
      <c r="K912">
        <f>IF(COUNTIFS('United Data'!$A$3:$A$3390,K$1,'United Data'!$C$3:$C$3390,$A912,'United Data'!$B$3:$B$3390,"&lt;&gt;Off-street")&gt;0,1,0)</f>
        <v>0</v>
      </c>
      <c r="L912">
        <f>IF(COUNTIFS('United Data'!$A$3:$A$3390,L$1,'United Data'!$C$3:$C$3390,$A912,'United Data'!$B$3:$B$3390,"&lt;&gt;Off-street")&gt;0,1,0)</f>
        <v>0</v>
      </c>
      <c r="M912">
        <f>IF(COUNTIFS('United Data'!$A$3:$A$3390,M$1,'United Data'!$C$3:$C$3390,$A912,'United Data'!$B$3:$B$3390,"&lt;&gt;Off-street")&gt;0,1,0)</f>
        <v>1</v>
      </c>
      <c r="N912">
        <f>IF(COUNTIFS('United Data'!$A$3:$A$3390,N$1,'United Data'!$C$3:$C$3390,$A912,'United Data'!$B$3:$B$3390,"&lt;&gt;Off-street")&gt;0,1,0)</f>
        <v>0</v>
      </c>
      <c r="O912">
        <f>IF(COUNTIFS('United Data'!$A$3:$A$3390,O$1,'United Data'!$C$3:$C$3390,$A912,'United Data'!$B$3:$B$3390,"&lt;&gt;Off-street")&gt;0,1,0)</f>
        <v>0</v>
      </c>
      <c r="P912">
        <f>IF(COUNTIFS('United Data'!$A$3:$A$3390,P$1,'United Data'!$C$3:$C$3390,$A912,'United Data'!$B$3:$B$3390,"&lt;&gt;Off-street")&gt;0,1,0)</f>
        <v>0</v>
      </c>
      <c r="Q912">
        <f>IF(COUNTIFS('United Data'!$A$3:$A$3390,Q$1,'United Data'!$C$3:$C$3390,$A912,'United Data'!$B$3:$B$3390,"&lt;&gt;Off-street")&gt;0,1,0)</f>
        <v>0</v>
      </c>
      <c r="R912">
        <f>IF(COUNTIFS('United Data'!$A$3:$A$3390,R$1,'United Data'!$C$3:$C$3390,$A912,'United Data'!$B$3:$B$3390,"&lt;&gt;Off-street")&gt;0,1,0)</f>
        <v>0</v>
      </c>
      <c r="S912">
        <f t="shared" si="28"/>
        <v>7</v>
      </c>
      <c r="T912">
        <f t="shared" si="29"/>
        <v>3</v>
      </c>
    </row>
    <row r="913" spans="1:20" x14ac:dyDescent="0.2">
      <c r="A913" t="s">
        <v>1101</v>
      </c>
      <c r="B913">
        <f>IF(COUNTIFS('United Data'!$A$3:$A$3390,B$1,'United Data'!$C$3:$C$3390,$A913,'United Data'!$B$3:$B$3390,"&lt;&gt;Off-street")&gt;0,1,0)</f>
        <v>0</v>
      </c>
      <c r="C913">
        <f>IF(COUNTIFS('United Data'!$A$3:$A$3390,C$1,'United Data'!$C$3:$C$3390,$A913,'United Data'!$B$3:$B$3390,"&lt;&gt;Off-street")&gt;0,1,0)</f>
        <v>0</v>
      </c>
      <c r="D913">
        <f>IF(COUNTIFS('United Data'!$A$3:$A$3390,D$1,'United Data'!$C$3:$C$3390,$A913,'United Data'!$B$3:$B$3390,"&lt;&gt;Off-street")&gt;0,1,0)</f>
        <v>1</v>
      </c>
      <c r="E913">
        <f>IF(COUNTIFS('United Data'!$A$3:$A$3390,E$1,'United Data'!$C$3:$C$3390,$A913,'United Data'!$B$3:$B$3390,"&lt;&gt;Off-street")&gt;0,1,0)</f>
        <v>1</v>
      </c>
      <c r="F913">
        <f>IF(COUNTIFS('United Data'!$A$3:$A$3390,F$1,'United Data'!$C$3:$C$3390,$A913,'United Data'!$B$3:$B$3390,"&lt;&gt;Off-street")&gt;0,1,0)</f>
        <v>1</v>
      </c>
      <c r="G913">
        <f>IF(COUNTIFS('United Data'!$A$3:$A$3390,G$1,'United Data'!$C$3:$C$3390,$A913,'United Data'!$B$3:$B$3390,"&lt;&gt;Off-street")&gt;0,1,0)</f>
        <v>1</v>
      </c>
      <c r="H913">
        <f>IF(COUNTIFS('United Data'!$A$3:$A$3390,H$1,'United Data'!$C$3:$C$3390,$A913,'United Data'!$B$3:$B$3390,"&lt;&gt;Off-street")&gt;0,1,0)</f>
        <v>1</v>
      </c>
      <c r="I913">
        <f>IF(COUNTIFS('United Data'!$A$3:$A$3390,I$1,'United Data'!$C$3:$C$3390,$A913,'United Data'!$B$3:$B$3390,"&lt;&gt;Off-street")&gt;0,1,0)</f>
        <v>0</v>
      </c>
      <c r="J913">
        <f>IF(COUNTIFS('United Data'!$A$3:$A$3390,J$1,'United Data'!$C$3:$C$3390,$A913,'United Data'!$B$3:$B$3390,"&lt;&gt;Off-street")&gt;0,1,0)</f>
        <v>0</v>
      </c>
      <c r="K913">
        <f>IF(COUNTIFS('United Data'!$A$3:$A$3390,K$1,'United Data'!$C$3:$C$3390,$A913,'United Data'!$B$3:$B$3390,"&lt;&gt;Off-street")&gt;0,1,0)</f>
        <v>0</v>
      </c>
      <c r="L913">
        <f>IF(COUNTIFS('United Data'!$A$3:$A$3390,L$1,'United Data'!$C$3:$C$3390,$A913,'United Data'!$B$3:$B$3390,"&lt;&gt;Off-street")&gt;0,1,0)</f>
        <v>0</v>
      </c>
      <c r="M913">
        <f>IF(COUNTIFS('United Data'!$A$3:$A$3390,M$1,'United Data'!$C$3:$C$3390,$A913,'United Data'!$B$3:$B$3390,"&lt;&gt;Off-street")&gt;0,1,0)</f>
        <v>0</v>
      </c>
      <c r="N913">
        <f>IF(COUNTIFS('United Data'!$A$3:$A$3390,N$1,'United Data'!$C$3:$C$3390,$A913,'United Data'!$B$3:$B$3390,"&lt;&gt;Off-street")&gt;0,1,0)</f>
        <v>0</v>
      </c>
      <c r="O913">
        <f>IF(COUNTIFS('United Data'!$A$3:$A$3390,O$1,'United Data'!$C$3:$C$3390,$A913,'United Data'!$B$3:$B$3390,"&lt;&gt;Off-street")&gt;0,1,0)</f>
        <v>0</v>
      </c>
      <c r="P913">
        <f>IF(COUNTIFS('United Data'!$A$3:$A$3390,P$1,'United Data'!$C$3:$C$3390,$A913,'United Data'!$B$3:$B$3390,"&lt;&gt;Off-street")&gt;0,1,0)</f>
        <v>0</v>
      </c>
      <c r="Q913">
        <f>IF(COUNTIFS('United Data'!$A$3:$A$3390,Q$1,'United Data'!$C$3:$C$3390,$A913,'United Data'!$B$3:$B$3390,"&lt;&gt;Off-street")&gt;0,1,0)</f>
        <v>0</v>
      </c>
      <c r="R913">
        <f>IF(COUNTIFS('United Data'!$A$3:$A$3390,R$1,'United Data'!$C$3:$C$3390,$A913,'United Data'!$B$3:$B$3390,"&lt;&gt;Off-street")&gt;0,1,0)</f>
        <v>0</v>
      </c>
      <c r="S913">
        <f t="shared" si="28"/>
        <v>5</v>
      </c>
      <c r="T913">
        <f t="shared" si="29"/>
        <v>1</v>
      </c>
    </row>
    <row r="914" spans="1:20" x14ac:dyDescent="0.2">
      <c r="A914" t="s">
        <v>1102</v>
      </c>
      <c r="B914">
        <f>IF(COUNTIFS('United Data'!$A$3:$A$3390,B$1,'United Data'!$C$3:$C$3390,$A914,'United Data'!$B$3:$B$3390,"&lt;&gt;Off-street")&gt;0,1,0)</f>
        <v>0</v>
      </c>
      <c r="C914">
        <f>IF(COUNTIFS('United Data'!$A$3:$A$3390,C$1,'United Data'!$C$3:$C$3390,$A914,'United Data'!$B$3:$B$3390,"&lt;&gt;Off-street")&gt;0,1,0)</f>
        <v>0</v>
      </c>
      <c r="D914">
        <f>IF(COUNTIFS('United Data'!$A$3:$A$3390,D$1,'United Data'!$C$3:$C$3390,$A914,'United Data'!$B$3:$B$3390,"&lt;&gt;Off-street")&gt;0,1,0)</f>
        <v>1</v>
      </c>
      <c r="E914">
        <f>IF(COUNTIFS('United Data'!$A$3:$A$3390,E$1,'United Data'!$C$3:$C$3390,$A914,'United Data'!$B$3:$B$3390,"&lt;&gt;Off-street")&gt;0,1,0)</f>
        <v>0</v>
      </c>
      <c r="F914">
        <f>IF(COUNTIFS('United Data'!$A$3:$A$3390,F$1,'United Data'!$C$3:$C$3390,$A914,'United Data'!$B$3:$B$3390,"&lt;&gt;Off-street")&gt;0,1,0)</f>
        <v>0</v>
      </c>
      <c r="G914">
        <f>IF(COUNTIFS('United Data'!$A$3:$A$3390,G$1,'United Data'!$C$3:$C$3390,$A914,'United Data'!$B$3:$B$3390,"&lt;&gt;Off-street")&gt;0,1,0)</f>
        <v>0</v>
      </c>
      <c r="H914">
        <f>IF(COUNTIFS('United Data'!$A$3:$A$3390,H$1,'United Data'!$C$3:$C$3390,$A914,'United Data'!$B$3:$B$3390,"&lt;&gt;Off-street")&gt;0,1,0)</f>
        <v>1</v>
      </c>
      <c r="I914">
        <f>IF(COUNTIFS('United Data'!$A$3:$A$3390,I$1,'United Data'!$C$3:$C$3390,$A914,'United Data'!$B$3:$B$3390,"&lt;&gt;Off-street")&gt;0,1,0)</f>
        <v>1</v>
      </c>
      <c r="J914">
        <f>IF(COUNTIFS('United Data'!$A$3:$A$3390,J$1,'United Data'!$C$3:$C$3390,$A914,'United Data'!$B$3:$B$3390,"&lt;&gt;Off-street")&gt;0,1,0)</f>
        <v>0</v>
      </c>
      <c r="K914">
        <f>IF(COUNTIFS('United Data'!$A$3:$A$3390,K$1,'United Data'!$C$3:$C$3390,$A914,'United Data'!$B$3:$B$3390,"&lt;&gt;Off-street")&gt;0,1,0)</f>
        <v>0</v>
      </c>
      <c r="L914">
        <f>IF(COUNTIFS('United Data'!$A$3:$A$3390,L$1,'United Data'!$C$3:$C$3390,$A914,'United Data'!$B$3:$B$3390,"&lt;&gt;Off-street")&gt;0,1,0)</f>
        <v>0</v>
      </c>
      <c r="M914">
        <f>IF(COUNTIFS('United Data'!$A$3:$A$3390,M$1,'United Data'!$C$3:$C$3390,$A914,'United Data'!$B$3:$B$3390,"&lt;&gt;Off-street")&gt;0,1,0)</f>
        <v>0</v>
      </c>
      <c r="N914">
        <f>IF(COUNTIFS('United Data'!$A$3:$A$3390,N$1,'United Data'!$C$3:$C$3390,$A914,'United Data'!$B$3:$B$3390,"&lt;&gt;Off-street")&gt;0,1,0)</f>
        <v>0</v>
      </c>
      <c r="O914">
        <f>IF(COUNTIFS('United Data'!$A$3:$A$3390,O$1,'United Data'!$C$3:$C$3390,$A914,'United Data'!$B$3:$B$3390,"&lt;&gt;Off-street")&gt;0,1,0)</f>
        <v>0</v>
      </c>
      <c r="P914">
        <f>IF(COUNTIFS('United Data'!$A$3:$A$3390,P$1,'United Data'!$C$3:$C$3390,$A914,'United Data'!$B$3:$B$3390,"&lt;&gt;Off-street")&gt;0,1,0)</f>
        <v>0</v>
      </c>
      <c r="Q914">
        <f>IF(COUNTIFS('United Data'!$A$3:$A$3390,Q$1,'United Data'!$C$3:$C$3390,$A914,'United Data'!$B$3:$B$3390,"&lt;&gt;Off-street")&gt;0,1,0)</f>
        <v>0</v>
      </c>
      <c r="R914">
        <f>IF(COUNTIFS('United Data'!$A$3:$A$3390,R$1,'United Data'!$C$3:$C$3390,$A914,'United Data'!$B$3:$B$3390,"&lt;&gt;Off-street")&gt;0,1,0)</f>
        <v>0</v>
      </c>
      <c r="S914">
        <f t="shared" si="28"/>
        <v>3</v>
      </c>
      <c r="T914">
        <f t="shared" si="29"/>
        <v>2</v>
      </c>
    </row>
    <row r="915" spans="1:20" x14ac:dyDescent="0.2">
      <c r="A915" t="s">
        <v>1104</v>
      </c>
      <c r="B915">
        <f>IF(COUNTIFS('United Data'!$A$3:$A$3390,B$1,'United Data'!$C$3:$C$3390,$A915,'United Data'!$B$3:$B$3390,"&lt;&gt;Off-street")&gt;0,1,0)</f>
        <v>0</v>
      </c>
      <c r="C915">
        <f>IF(COUNTIFS('United Data'!$A$3:$A$3390,C$1,'United Data'!$C$3:$C$3390,$A915,'United Data'!$B$3:$B$3390,"&lt;&gt;Off-street")&gt;0,1,0)</f>
        <v>0</v>
      </c>
      <c r="D915">
        <f>IF(COUNTIFS('United Data'!$A$3:$A$3390,D$1,'United Data'!$C$3:$C$3390,$A915,'United Data'!$B$3:$B$3390,"&lt;&gt;Off-street")&gt;0,1,0)</f>
        <v>1</v>
      </c>
      <c r="E915">
        <f>IF(COUNTIFS('United Data'!$A$3:$A$3390,E$1,'United Data'!$C$3:$C$3390,$A915,'United Data'!$B$3:$B$3390,"&lt;&gt;Off-street")&gt;0,1,0)</f>
        <v>0</v>
      </c>
      <c r="F915">
        <f>IF(COUNTIFS('United Data'!$A$3:$A$3390,F$1,'United Data'!$C$3:$C$3390,$A915,'United Data'!$B$3:$B$3390,"&lt;&gt;Off-street")&gt;0,1,0)</f>
        <v>0</v>
      </c>
      <c r="G915">
        <f>IF(COUNTIFS('United Data'!$A$3:$A$3390,G$1,'United Data'!$C$3:$C$3390,$A915,'United Data'!$B$3:$B$3390,"&lt;&gt;Off-street")&gt;0,1,0)</f>
        <v>0</v>
      </c>
      <c r="H915">
        <f>IF(COUNTIFS('United Data'!$A$3:$A$3390,H$1,'United Data'!$C$3:$C$3390,$A915,'United Data'!$B$3:$B$3390,"&lt;&gt;Off-street")&gt;0,1,0)</f>
        <v>0</v>
      </c>
      <c r="I915">
        <f>IF(COUNTIFS('United Data'!$A$3:$A$3390,I$1,'United Data'!$C$3:$C$3390,$A915,'United Data'!$B$3:$B$3390,"&lt;&gt;Off-street")&gt;0,1,0)</f>
        <v>0</v>
      </c>
      <c r="J915">
        <f>IF(COUNTIFS('United Data'!$A$3:$A$3390,J$1,'United Data'!$C$3:$C$3390,$A915,'United Data'!$B$3:$B$3390,"&lt;&gt;Off-street")&gt;0,1,0)</f>
        <v>0</v>
      </c>
      <c r="K915">
        <f>IF(COUNTIFS('United Data'!$A$3:$A$3390,K$1,'United Data'!$C$3:$C$3390,$A915,'United Data'!$B$3:$B$3390,"&lt;&gt;Off-street")&gt;0,1,0)</f>
        <v>0</v>
      </c>
      <c r="L915">
        <f>IF(COUNTIFS('United Data'!$A$3:$A$3390,L$1,'United Data'!$C$3:$C$3390,$A915,'United Data'!$B$3:$B$3390,"&lt;&gt;Off-street")&gt;0,1,0)</f>
        <v>0</v>
      </c>
      <c r="M915">
        <f>IF(COUNTIFS('United Data'!$A$3:$A$3390,M$1,'United Data'!$C$3:$C$3390,$A915,'United Data'!$B$3:$B$3390,"&lt;&gt;Off-street")&gt;0,1,0)</f>
        <v>0</v>
      </c>
      <c r="N915">
        <f>IF(COUNTIFS('United Data'!$A$3:$A$3390,N$1,'United Data'!$C$3:$C$3390,$A915,'United Data'!$B$3:$B$3390,"&lt;&gt;Off-street")&gt;0,1,0)</f>
        <v>0</v>
      </c>
      <c r="O915">
        <f>IF(COUNTIFS('United Data'!$A$3:$A$3390,O$1,'United Data'!$C$3:$C$3390,$A915,'United Data'!$B$3:$B$3390,"&lt;&gt;Off-street")&gt;0,1,0)</f>
        <v>0</v>
      </c>
      <c r="P915">
        <f>IF(COUNTIFS('United Data'!$A$3:$A$3390,P$1,'United Data'!$C$3:$C$3390,$A915,'United Data'!$B$3:$B$3390,"&lt;&gt;Off-street")&gt;0,1,0)</f>
        <v>0</v>
      </c>
      <c r="Q915">
        <f>IF(COUNTIFS('United Data'!$A$3:$A$3390,Q$1,'United Data'!$C$3:$C$3390,$A915,'United Data'!$B$3:$B$3390,"&lt;&gt;Off-street")&gt;0,1,0)</f>
        <v>0</v>
      </c>
      <c r="R915">
        <f>IF(COUNTIFS('United Data'!$A$3:$A$3390,R$1,'United Data'!$C$3:$C$3390,$A915,'United Data'!$B$3:$B$3390,"&lt;&gt;Off-street")&gt;0,1,0)</f>
        <v>0</v>
      </c>
      <c r="S915">
        <f t="shared" si="28"/>
        <v>1</v>
      </c>
      <c r="T915">
        <f t="shared" si="29"/>
        <v>1</v>
      </c>
    </row>
    <row r="916" spans="1:20" x14ac:dyDescent="0.2">
      <c r="A916" t="s">
        <v>1105</v>
      </c>
      <c r="B916">
        <f>IF(COUNTIFS('United Data'!$A$3:$A$3390,B$1,'United Data'!$C$3:$C$3390,$A916,'United Data'!$B$3:$B$3390,"&lt;&gt;Off-street")&gt;0,1,0)</f>
        <v>0</v>
      </c>
      <c r="C916">
        <f>IF(COUNTIFS('United Data'!$A$3:$A$3390,C$1,'United Data'!$C$3:$C$3390,$A916,'United Data'!$B$3:$B$3390,"&lt;&gt;Off-street")&gt;0,1,0)</f>
        <v>0</v>
      </c>
      <c r="D916">
        <f>IF(COUNTIFS('United Data'!$A$3:$A$3390,D$1,'United Data'!$C$3:$C$3390,$A916,'United Data'!$B$3:$B$3390,"&lt;&gt;Off-street")&gt;0,1,0)</f>
        <v>1</v>
      </c>
      <c r="E916">
        <f>IF(COUNTIFS('United Data'!$A$3:$A$3390,E$1,'United Data'!$C$3:$C$3390,$A916,'United Data'!$B$3:$B$3390,"&lt;&gt;Off-street")&gt;0,1,0)</f>
        <v>0</v>
      </c>
      <c r="F916">
        <f>IF(COUNTIFS('United Data'!$A$3:$A$3390,F$1,'United Data'!$C$3:$C$3390,$A916,'United Data'!$B$3:$B$3390,"&lt;&gt;Off-street")&gt;0,1,0)</f>
        <v>0</v>
      </c>
      <c r="G916">
        <f>IF(COUNTIFS('United Data'!$A$3:$A$3390,G$1,'United Data'!$C$3:$C$3390,$A916,'United Data'!$B$3:$B$3390,"&lt;&gt;Off-street")&gt;0,1,0)</f>
        <v>0</v>
      </c>
      <c r="H916">
        <f>IF(COUNTIFS('United Data'!$A$3:$A$3390,H$1,'United Data'!$C$3:$C$3390,$A916,'United Data'!$B$3:$B$3390,"&lt;&gt;Off-street")&gt;0,1,0)</f>
        <v>0</v>
      </c>
      <c r="I916">
        <f>IF(COUNTIFS('United Data'!$A$3:$A$3390,I$1,'United Data'!$C$3:$C$3390,$A916,'United Data'!$B$3:$B$3390,"&lt;&gt;Off-street")&gt;0,1,0)</f>
        <v>0</v>
      </c>
      <c r="J916">
        <f>IF(COUNTIFS('United Data'!$A$3:$A$3390,J$1,'United Data'!$C$3:$C$3390,$A916,'United Data'!$B$3:$B$3390,"&lt;&gt;Off-street")&gt;0,1,0)</f>
        <v>0</v>
      </c>
      <c r="K916">
        <f>IF(COUNTIFS('United Data'!$A$3:$A$3390,K$1,'United Data'!$C$3:$C$3390,$A916,'United Data'!$B$3:$B$3390,"&lt;&gt;Off-street")&gt;0,1,0)</f>
        <v>0</v>
      </c>
      <c r="L916">
        <f>IF(COUNTIFS('United Data'!$A$3:$A$3390,L$1,'United Data'!$C$3:$C$3390,$A916,'United Data'!$B$3:$B$3390,"&lt;&gt;Off-street")&gt;0,1,0)</f>
        <v>0</v>
      </c>
      <c r="M916">
        <f>IF(COUNTIFS('United Data'!$A$3:$A$3390,M$1,'United Data'!$C$3:$C$3390,$A916,'United Data'!$B$3:$B$3390,"&lt;&gt;Off-street")&gt;0,1,0)</f>
        <v>0</v>
      </c>
      <c r="N916">
        <f>IF(COUNTIFS('United Data'!$A$3:$A$3390,N$1,'United Data'!$C$3:$C$3390,$A916,'United Data'!$B$3:$B$3390,"&lt;&gt;Off-street")&gt;0,1,0)</f>
        <v>0</v>
      </c>
      <c r="O916">
        <f>IF(COUNTIFS('United Data'!$A$3:$A$3390,O$1,'United Data'!$C$3:$C$3390,$A916,'United Data'!$B$3:$B$3390,"&lt;&gt;Off-street")&gt;0,1,0)</f>
        <v>0</v>
      </c>
      <c r="P916">
        <f>IF(COUNTIFS('United Data'!$A$3:$A$3390,P$1,'United Data'!$C$3:$C$3390,$A916,'United Data'!$B$3:$B$3390,"&lt;&gt;Off-street")&gt;0,1,0)</f>
        <v>0</v>
      </c>
      <c r="Q916">
        <f>IF(COUNTIFS('United Data'!$A$3:$A$3390,Q$1,'United Data'!$C$3:$C$3390,$A916,'United Data'!$B$3:$B$3390,"&lt;&gt;Off-street")&gt;0,1,0)</f>
        <v>0</v>
      </c>
      <c r="R916">
        <f>IF(COUNTIFS('United Data'!$A$3:$A$3390,R$1,'United Data'!$C$3:$C$3390,$A916,'United Data'!$B$3:$B$3390,"&lt;&gt;Off-street")&gt;0,1,0)</f>
        <v>0</v>
      </c>
      <c r="S916">
        <f t="shared" si="28"/>
        <v>1</v>
      </c>
      <c r="T916">
        <f t="shared" si="29"/>
        <v>1</v>
      </c>
    </row>
    <row r="917" spans="1:20" x14ac:dyDescent="0.2">
      <c r="A917" t="s">
        <v>1106</v>
      </c>
      <c r="B917">
        <f>IF(COUNTIFS('United Data'!$A$3:$A$3390,B$1,'United Data'!$C$3:$C$3390,$A917,'United Data'!$B$3:$B$3390,"&lt;&gt;Off-street")&gt;0,1,0)</f>
        <v>0</v>
      </c>
      <c r="C917">
        <f>IF(COUNTIFS('United Data'!$A$3:$A$3390,C$1,'United Data'!$C$3:$C$3390,$A917,'United Data'!$B$3:$B$3390,"&lt;&gt;Off-street")&gt;0,1,0)</f>
        <v>0</v>
      </c>
      <c r="D917">
        <f>IF(COUNTIFS('United Data'!$A$3:$A$3390,D$1,'United Data'!$C$3:$C$3390,$A917,'United Data'!$B$3:$B$3390,"&lt;&gt;Off-street")&gt;0,1,0)</f>
        <v>1</v>
      </c>
      <c r="E917">
        <f>IF(COUNTIFS('United Data'!$A$3:$A$3390,E$1,'United Data'!$C$3:$C$3390,$A917,'United Data'!$B$3:$B$3390,"&lt;&gt;Off-street")&gt;0,1,0)</f>
        <v>0</v>
      </c>
      <c r="F917">
        <f>IF(COUNTIFS('United Data'!$A$3:$A$3390,F$1,'United Data'!$C$3:$C$3390,$A917,'United Data'!$B$3:$B$3390,"&lt;&gt;Off-street")&gt;0,1,0)</f>
        <v>0</v>
      </c>
      <c r="G917">
        <f>IF(COUNTIFS('United Data'!$A$3:$A$3390,G$1,'United Data'!$C$3:$C$3390,$A917,'United Data'!$B$3:$B$3390,"&lt;&gt;Off-street")&gt;0,1,0)</f>
        <v>0</v>
      </c>
      <c r="H917">
        <f>IF(COUNTIFS('United Data'!$A$3:$A$3390,H$1,'United Data'!$C$3:$C$3390,$A917,'United Data'!$B$3:$B$3390,"&lt;&gt;Off-street")&gt;0,1,0)</f>
        <v>0</v>
      </c>
      <c r="I917">
        <f>IF(COUNTIFS('United Data'!$A$3:$A$3390,I$1,'United Data'!$C$3:$C$3390,$A917,'United Data'!$B$3:$B$3390,"&lt;&gt;Off-street")&gt;0,1,0)</f>
        <v>0</v>
      </c>
      <c r="J917">
        <f>IF(COUNTIFS('United Data'!$A$3:$A$3390,J$1,'United Data'!$C$3:$C$3390,$A917,'United Data'!$B$3:$B$3390,"&lt;&gt;Off-street")&gt;0,1,0)</f>
        <v>0</v>
      </c>
      <c r="K917">
        <f>IF(COUNTIFS('United Data'!$A$3:$A$3390,K$1,'United Data'!$C$3:$C$3390,$A917,'United Data'!$B$3:$B$3390,"&lt;&gt;Off-street")&gt;0,1,0)</f>
        <v>0</v>
      </c>
      <c r="L917">
        <f>IF(COUNTIFS('United Data'!$A$3:$A$3390,L$1,'United Data'!$C$3:$C$3390,$A917,'United Data'!$B$3:$B$3390,"&lt;&gt;Off-street")&gt;0,1,0)</f>
        <v>0</v>
      </c>
      <c r="M917">
        <f>IF(COUNTIFS('United Data'!$A$3:$A$3390,M$1,'United Data'!$C$3:$C$3390,$A917,'United Data'!$B$3:$B$3390,"&lt;&gt;Off-street")&gt;0,1,0)</f>
        <v>0</v>
      </c>
      <c r="N917">
        <f>IF(COUNTIFS('United Data'!$A$3:$A$3390,N$1,'United Data'!$C$3:$C$3390,$A917,'United Data'!$B$3:$B$3390,"&lt;&gt;Off-street")&gt;0,1,0)</f>
        <v>0</v>
      </c>
      <c r="O917">
        <f>IF(COUNTIFS('United Data'!$A$3:$A$3390,O$1,'United Data'!$C$3:$C$3390,$A917,'United Data'!$B$3:$B$3390,"&lt;&gt;Off-street")&gt;0,1,0)</f>
        <v>0</v>
      </c>
      <c r="P917">
        <f>IF(COUNTIFS('United Data'!$A$3:$A$3390,P$1,'United Data'!$C$3:$C$3390,$A917,'United Data'!$B$3:$B$3390,"&lt;&gt;Off-street")&gt;0,1,0)</f>
        <v>0</v>
      </c>
      <c r="Q917">
        <f>IF(COUNTIFS('United Data'!$A$3:$A$3390,Q$1,'United Data'!$C$3:$C$3390,$A917,'United Data'!$B$3:$B$3390,"&lt;&gt;Off-street")&gt;0,1,0)</f>
        <v>0</v>
      </c>
      <c r="R917">
        <f>IF(COUNTIFS('United Data'!$A$3:$A$3390,R$1,'United Data'!$C$3:$C$3390,$A917,'United Data'!$B$3:$B$3390,"&lt;&gt;Off-street")&gt;0,1,0)</f>
        <v>0</v>
      </c>
      <c r="S917">
        <f t="shared" si="28"/>
        <v>1</v>
      </c>
      <c r="T917">
        <f t="shared" si="29"/>
        <v>1</v>
      </c>
    </row>
    <row r="918" spans="1:20" x14ac:dyDescent="0.2">
      <c r="A918" t="s">
        <v>1107</v>
      </c>
      <c r="B918">
        <f>IF(COUNTIFS('United Data'!$A$3:$A$3390,B$1,'United Data'!$C$3:$C$3390,$A918,'United Data'!$B$3:$B$3390,"&lt;&gt;Off-street")&gt;0,1,0)</f>
        <v>0</v>
      </c>
      <c r="C918">
        <f>IF(COUNTIFS('United Data'!$A$3:$A$3390,C$1,'United Data'!$C$3:$C$3390,$A918,'United Data'!$B$3:$B$3390,"&lt;&gt;Off-street")&gt;0,1,0)</f>
        <v>0</v>
      </c>
      <c r="D918">
        <f>IF(COUNTIFS('United Data'!$A$3:$A$3390,D$1,'United Data'!$C$3:$C$3390,$A918,'United Data'!$B$3:$B$3390,"&lt;&gt;Off-street")&gt;0,1,0)</f>
        <v>1</v>
      </c>
      <c r="E918">
        <f>IF(COUNTIFS('United Data'!$A$3:$A$3390,E$1,'United Data'!$C$3:$C$3390,$A918,'United Data'!$B$3:$B$3390,"&lt;&gt;Off-street")&gt;0,1,0)</f>
        <v>0</v>
      </c>
      <c r="F918">
        <f>IF(COUNTIFS('United Data'!$A$3:$A$3390,F$1,'United Data'!$C$3:$C$3390,$A918,'United Data'!$B$3:$B$3390,"&lt;&gt;Off-street")&gt;0,1,0)</f>
        <v>0</v>
      </c>
      <c r="G918">
        <f>IF(COUNTIFS('United Data'!$A$3:$A$3390,G$1,'United Data'!$C$3:$C$3390,$A918,'United Data'!$B$3:$B$3390,"&lt;&gt;Off-street")&gt;0,1,0)</f>
        <v>0</v>
      </c>
      <c r="H918">
        <f>IF(COUNTIFS('United Data'!$A$3:$A$3390,H$1,'United Data'!$C$3:$C$3390,$A918,'United Data'!$B$3:$B$3390,"&lt;&gt;Off-street")&gt;0,1,0)</f>
        <v>0</v>
      </c>
      <c r="I918">
        <f>IF(COUNTIFS('United Data'!$A$3:$A$3390,I$1,'United Data'!$C$3:$C$3390,$A918,'United Data'!$B$3:$B$3390,"&lt;&gt;Off-street")&gt;0,1,0)</f>
        <v>0</v>
      </c>
      <c r="J918">
        <f>IF(COUNTIFS('United Data'!$A$3:$A$3390,J$1,'United Data'!$C$3:$C$3390,$A918,'United Data'!$B$3:$B$3390,"&lt;&gt;Off-street")&gt;0,1,0)</f>
        <v>0</v>
      </c>
      <c r="K918">
        <f>IF(COUNTIFS('United Data'!$A$3:$A$3390,K$1,'United Data'!$C$3:$C$3390,$A918,'United Data'!$B$3:$B$3390,"&lt;&gt;Off-street")&gt;0,1,0)</f>
        <v>0</v>
      </c>
      <c r="L918">
        <f>IF(COUNTIFS('United Data'!$A$3:$A$3390,L$1,'United Data'!$C$3:$C$3390,$A918,'United Data'!$B$3:$B$3390,"&lt;&gt;Off-street")&gt;0,1,0)</f>
        <v>0</v>
      </c>
      <c r="M918">
        <f>IF(COUNTIFS('United Data'!$A$3:$A$3390,M$1,'United Data'!$C$3:$C$3390,$A918,'United Data'!$B$3:$B$3390,"&lt;&gt;Off-street")&gt;0,1,0)</f>
        <v>0</v>
      </c>
      <c r="N918">
        <f>IF(COUNTIFS('United Data'!$A$3:$A$3390,N$1,'United Data'!$C$3:$C$3390,$A918,'United Data'!$B$3:$B$3390,"&lt;&gt;Off-street")&gt;0,1,0)</f>
        <v>0</v>
      </c>
      <c r="O918">
        <f>IF(COUNTIFS('United Data'!$A$3:$A$3390,O$1,'United Data'!$C$3:$C$3390,$A918,'United Data'!$B$3:$B$3390,"&lt;&gt;Off-street")&gt;0,1,0)</f>
        <v>0</v>
      </c>
      <c r="P918">
        <f>IF(COUNTIFS('United Data'!$A$3:$A$3390,P$1,'United Data'!$C$3:$C$3390,$A918,'United Data'!$B$3:$B$3390,"&lt;&gt;Off-street")&gt;0,1,0)</f>
        <v>0</v>
      </c>
      <c r="Q918">
        <f>IF(COUNTIFS('United Data'!$A$3:$A$3390,Q$1,'United Data'!$C$3:$C$3390,$A918,'United Data'!$B$3:$B$3390,"&lt;&gt;Off-street")&gt;0,1,0)</f>
        <v>0</v>
      </c>
      <c r="R918">
        <f>IF(COUNTIFS('United Data'!$A$3:$A$3390,R$1,'United Data'!$C$3:$C$3390,$A918,'United Data'!$B$3:$B$3390,"&lt;&gt;Off-street")&gt;0,1,0)</f>
        <v>0</v>
      </c>
      <c r="S918">
        <f t="shared" si="28"/>
        <v>1</v>
      </c>
      <c r="T918">
        <f t="shared" si="29"/>
        <v>1</v>
      </c>
    </row>
    <row r="919" spans="1:20" x14ac:dyDescent="0.2">
      <c r="A919" t="s">
        <v>1110</v>
      </c>
      <c r="B919">
        <f>IF(COUNTIFS('United Data'!$A$3:$A$3390,B$1,'United Data'!$C$3:$C$3390,$A919,'United Data'!$B$3:$B$3390,"&lt;&gt;Off-street")&gt;0,1,0)</f>
        <v>0</v>
      </c>
      <c r="C919">
        <f>IF(COUNTIFS('United Data'!$A$3:$A$3390,C$1,'United Data'!$C$3:$C$3390,$A919,'United Data'!$B$3:$B$3390,"&lt;&gt;Off-street")&gt;0,1,0)</f>
        <v>0</v>
      </c>
      <c r="D919">
        <f>IF(COUNTIFS('United Data'!$A$3:$A$3390,D$1,'United Data'!$C$3:$C$3390,$A919,'United Data'!$B$3:$B$3390,"&lt;&gt;Off-street")&gt;0,1,0)</f>
        <v>0</v>
      </c>
      <c r="E919">
        <f>IF(COUNTIFS('United Data'!$A$3:$A$3390,E$1,'United Data'!$C$3:$C$3390,$A919,'United Data'!$B$3:$B$3390,"&lt;&gt;Off-street")&gt;0,1,0)</f>
        <v>1</v>
      </c>
      <c r="F919">
        <f>IF(COUNTIFS('United Data'!$A$3:$A$3390,F$1,'United Data'!$C$3:$C$3390,$A919,'United Data'!$B$3:$B$3390,"&lt;&gt;Off-street")&gt;0,1,0)</f>
        <v>0</v>
      </c>
      <c r="G919">
        <f>IF(COUNTIFS('United Data'!$A$3:$A$3390,G$1,'United Data'!$C$3:$C$3390,$A919,'United Data'!$B$3:$B$3390,"&lt;&gt;Off-street")&gt;0,1,0)</f>
        <v>0</v>
      </c>
      <c r="H919">
        <f>IF(COUNTIFS('United Data'!$A$3:$A$3390,H$1,'United Data'!$C$3:$C$3390,$A919,'United Data'!$B$3:$B$3390,"&lt;&gt;Off-street")&gt;0,1,0)</f>
        <v>0</v>
      </c>
      <c r="I919">
        <f>IF(COUNTIFS('United Data'!$A$3:$A$3390,I$1,'United Data'!$C$3:$C$3390,$A919,'United Data'!$B$3:$B$3390,"&lt;&gt;Off-street")&gt;0,1,0)</f>
        <v>0</v>
      </c>
      <c r="J919">
        <f>IF(COUNTIFS('United Data'!$A$3:$A$3390,J$1,'United Data'!$C$3:$C$3390,$A919,'United Data'!$B$3:$B$3390,"&lt;&gt;Off-street")&gt;0,1,0)</f>
        <v>0</v>
      </c>
      <c r="K919">
        <f>IF(COUNTIFS('United Data'!$A$3:$A$3390,K$1,'United Data'!$C$3:$C$3390,$A919,'United Data'!$B$3:$B$3390,"&lt;&gt;Off-street")&gt;0,1,0)</f>
        <v>0</v>
      </c>
      <c r="L919">
        <f>IF(COUNTIFS('United Data'!$A$3:$A$3390,L$1,'United Data'!$C$3:$C$3390,$A919,'United Data'!$B$3:$B$3390,"&lt;&gt;Off-street")&gt;0,1,0)</f>
        <v>0</v>
      </c>
      <c r="M919">
        <f>IF(COUNTIFS('United Data'!$A$3:$A$3390,M$1,'United Data'!$C$3:$C$3390,$A919,'United Data'!$B$3:$B$3390,"&lt;&gt;Off-street")&gt;0,1,0)</f>
        <v>0</v>
      </c>
      <c r="N919">
        <f>IF(COUNTIFS('United Data'!$A$3:$A$3390,N$1,'United Data'!$C$3:$C$3390,$A919,'United Data'!$B$3:$B$3390,"&lt;&gt;Off-street")&gt;0,1,0)</f>
        <v>0</v>
      </c>
      <c r="O919">
        <f>IF(COUNTIFS('United Data'!$A$3:$A$3390,O$1,'United Data'!$C$3:$C$3390,$A919,'United Data'!$B$3:$B$3390,"&lt;&gt;Off-street")&gt;0,1,0)</f>
        <v>0</v>
      </c>
      <c r="P919">
        <f>IF(COUNTIFS('United Data'!$A$3:$A$3390,P$1,'United Data'!$C$3:$C$3390,$A919,'United Data'!$B$3:$B$3390,"&lt;&gt;Off-street")&gt;0,1,0)</f>
        <v>0</v>
      </c>
      <c r="Q919">
        <f>IF(COUNTIFS('United Data'!$A$3:$A$3390,Q$1,'United Data'!$C$3:$C$3390,$A919,'United Data'!$B$3:$B$3390,"&lt;&gt;Off-street")&gt;0,1,0)</f>
        <v>0</v>
      </c>
      <c r="R919">
        <f>IF(COUNTIFS('United Data'!$A$3:$A$3390,R$1,'United Data'!$C$3:$C$3390,$A919,'United Data'!$B$3:$B$3390,"&lt;&gt;Off-street")&gt;0,1,0)</f>
        <v>0</v>
      </c>
      <c r="S919">
        <f t="shared" si="28"/>
        <v>1</v>
      </c>
      <c r="T919">
        <f t="shared" si="29"/>
        <v>1</v>
      </c>
    </row>
    <row r="920" spans="1:20" x14ac:dyDescent="0.2">
      <c r="A920" t="s">
        <v>1112</v>
      </c>
      <c r="B920">
        <f>IF(COUNTIFS('United Data'!$A$3:$A$3390,B$1,'United Data'!$C$3:$C$3390,$A920,'United Data'!$B$3:$B$3390,"&lt;&gt;Off-street")&gt;0,1,0)</f>
        <v>0</v>
      </c>
      <c r="C920">
        <f>IF(COUNTIFS('United Data'!$A$3:$A$3390,C$1,'United Data'!$C$3:$C$3390,$A920,'United Data'!$B$3:$B$3390,"&lt;&gt;Off-street")&gt;0,1,0)</f>
        <v>0</v>
      </c>
      <c r="D920">
        <f>IF(COUNTIFS('United Data'!$A$3:$A$3390,D$1,'United Data'!$C$3:$C$3390,$A920,'United Data'!$B$3:$B$3390,"&lt;&gt;Off-street")&gt;0,1,0)</f>
        <v>0</v>
      </c>
      <c r="E920">
        <f>IF(COUNTIFS('United Data'!$A$3:$A$3390,E$1,'United Data'!$C$3:$C$3390,$A920,'United Data'!$B$3:$B$3390,"&lt;&gt;Off-street")&gt;0,1,0)</f>
        <v>1</v>
      </c>
      <c r="F920">
        <f>IF(COUNTIFS('United Data'!$A$3:$A$3390,F$1,'United Data'!$C$3:$C$3390,$A920,'United Data'!$B$3:$B$3390,"&lt;&gt;Off-street")&gt;0,1,0)</f>
        <v>0</v>
      </c>
      <c r="G920">
        <f>IF(COUNTIFS('United Data'!$A$3:$A$3390,G$1,'United Data'!$C$3:$C$3390,$A920,'United Data'!$B$3:$B$3390,"&lt;&gt;Off-street")&gt;0,1,0)</f>
        <v>0</v>
      </c>
      <c r="H920">
        <f>IF(COUNTIFS('United Data'!$A$3:$A$3390,H$1,'United Data'!$C$3:$C$3390,$A920,'United Data'!$B$3:$B$3390,"&lt;&gt;Off-street")&gt;0,1,0)</f>
        <v>0</v>
      </c>
      <c r="I920">
        <f>IF(COUNTIFS('United Data'!$A$3:$A$3390,I$1,'United Data'!$C$3:$C$3390,$A920,'United Data'!$B$3:$B$3390,"&lt;&gt;Off-street")&gt;0,1,0)</f>
        <v>0</v>
      </c>
      <c r="J920">
        <f>IF(COUNTIFS('United Data'!$A$3:$A$3390,J$1,'United Data'!$C$3:$C$3390,$A920,'United Data'!$B$3:$B$3390,"&lt;&gt;Off-street")&gt;0,1,0)</f>
        <v>0</v>
      </c>
      <c r="K920">
        <f>IF(COUNTIFS('United Data'!$A$3:$A$3390,K$1,'United Data'!$C$3:$C$3390,$A920,'United Data'!$B$3:$B$3390,"&lt;&gt;Off-street")&gt;0,1,0)</f>
        <v>0</v>
      </c>
      <c r="L920">
        <f>IF(COUNTIFS('United Data'!$A$3:$A$3390,L$1,'United Data'!$C$3:$C$3390,$A920,'United Data'!$B$3:$B$3390,"&lt;&gt;Off-street")&gt;0,1,0)</f>
        <v>0</v>
      </c>
      <c r="M920">
        <f>IF(COUNTIFS('United Data'!$A$3:$A$3390,M$1,'United Data'!$C$3:$C$3390,$A920,'United Data'!$B$3:$B$3390,"&lt;&gt;Off-street")&gt;0,1,0)</f>
        <v>0</v>
      </c>
      <c r="N920">
        <f>IF(COUNTIFS('United Data'!$A$3:$A$3390,N$1,'United Data'!$C$3:$C$3390,$A920,'United Data'!$B$3:$B$3390,"&lt;&gt;Off-street")&gt;0,1,0)</f>
        <v>0</v>
      </c>
      <c r="O920">
        <f>IF(COUNTIFS('United Data'!$A$3:$A$3390,O$1,'United Data'!$C$3:$C$3390,$A920,'United Data'!$B$3:$B$3390,"&lt;&gt;Off-street")&gt;0,1,0)</f>
        <v>0</v>
      </c>
      <c r="P920">
        <f>IF(COUNTIFS('United Data'!$A$3:$A$3390,P$1,'United Data'!$C$3:$C$3390,$A920,'United Data'!$B$3:$B$3390,"&lt;&gt;Off-street")&gt;0,1,0)</f>
        <v>0</v>
      </c>
      <c r="Q920">
        <f>IF(COUNTIFS('United Data'!$A$3:$A$3390,Q$1,'United Data'!$C$3:$C$3390,$A920,'United Data'!$B$3:$B$3390,"&lt;&gt;Off-street")&gt;0,1,0)</f>
        <v>0</v>
      </c>
      <c r="R920">
        <f>IF(COUNTIFS('United Data'!$A$3:$A$3390,R$1,'United Data'!$C$3:$C$3390,$A920,'United Data'!$B$3:$B$3390,"&lt;&gt;Off-street")&gt;0,1,0)</f>
        <v>0</v>
      </c>
      <c r="S920">
        <f t="shared" si="28"/>
        <v>1</v>
      </c>
      <c r="T920">
        <f t="shared" si="29"/>
        <v>1</v>
      </c>
    </row>
    <row r="921" spans="1:20" x14ac:dyDescent="0.2">
      <c r="A921" t="s">
        <v>2086</v>
      </c>
      <c r="B921">
        <f>IF(COUNTIFS('United Data'!$A$3:$A$3390,B$1,'United Data'!$C$3:$C$3390,$A921,'United Data'!$B$3:$B$3390,"&lt;&gt;Off-street")&gt;0,1,0)</f>
        <v>0</v>
      </c>
      <c r="C921">
        <f>IF(COUNTIFS('United Data'!$A$3:$A$3390,C$1,'United Data'!$C$3:$C$3390,$A921,'United Data'!$B$3:$B$3390,"&lt;&gt;Off-street")&gt;0,1,0)</f>
        <v>0</v>
      </c>
      <c r="D921">
        <f>IF(COUNTIFS('United Data'!$A$3:$A$3390,D$1,'United Data'!$C$3:$C$3390,$A921,'United Data'!$B$3:$B$3390,"&lt;&gt;Off-street")&gt;0,1,0)</f>
        <v>0</v>
      </c>
      <c r="E921">
        <f>IF(COUNTIFS('United Data'!$A$3:$A$3390,E$1,'United Data'!$C$3:$C$3390,$A921,'United Data'!$B$3:$B$3390,"&lt;&gt;Off-street")&gt;0,1,0)</f>
        <v>0</v>
      </c>
      <c r="F921">
        <f>IF(COUNTIFS('United Data'!$A$3:$A$3390,F$1,'United Data'!$C$3:$C$3390,$A921,'United Data'!$B$3:$B$3390,"&lt;&gt;Off-street")&gt;0,1,0)</f>
        <v>0</v>
      </c>
      <c r="G921">
        <f>IF(COUNTIFS('United Data'!$A$3:$A$3390,G$1,'United Data'!$C$3:$C$3390,$A921,'United Data'!$B$3:$B$3390,"&lt;&gt;Off-street")&gt;0,1,0)</f>
        <v>0</v>
      </c>
      <c r="H921">
        <f>IF(COUNTIFS('United Data'!$A$3:$A$3390,H$1,'United Data'!$C$3:$C$3390,$A921,'United Data'!$B$3:$B$3390,"&lt;&gt;Off-street")&gt;0,1,0)</f>
        <v>0</v>
      </c>
      <c r="I921">
        <f>IF(COUNTIFS('United Data'!$A$3:$A$3390,I$1,'United Data'!$C$3:$C$3390,$A921,'United Data'!$B$3:$B$3390,"&lt;&gt;Off-street")&gt;0,1,0)</f>
        <v>0</v>
      </c>
      <c r="J921">
        <f>IF(COUNTIFS('United Data'!$A$3:$A$3390,J$1,'United Data'!$C$3:$C$3390,$A921,'United Data'!$B$3:$B$3390,"&lt;&gt;Off-street")&gt;0,1,0)</f>
        <v>0</v>
      </c>
      <c r="K921">
        <f>IF(COUNTIFS('United Data'!$A$3:$A$3390,K$1,'United Data'!$C$3:$C$3390,$A921,'United Data'!$B$3:$B$3390,"&lt;&gt;Off-street")&gt;0,1,0)</f>
        <v>0</v>
      </c>
      <c r="L921">
        <f>IF(COUNTIFS('United Data'!$A$3:$A$3390,L$1,'United Data'!$C$3:$C$3390,$A921,'United Data'!$B$3:$B$3390,"&lt;&gt;Off-street")&gt;0,1,0)</f>
        <v>0</v>
      </c>
      <c r="M921">
        <f>IF(COUNTIFS('United Data'!$A$3:$A$3390,M$1,'United Data'!$C$3:$C$3390,$A921,'United Data'!$B$3:$B$3390,"&lt;&gt;Off-street")&gt;0,1,0)</f>
        <v>0</v>
      </c>
      <c r="N921">
        <f>IF(COUNTIFS('United Data'!$A$3:$A$3390,N$1,'United Data'!$C$3:$C$3390,$A921,'United Data'!$B$3:$B$3390,"&lt;&gt;Off-street")&gt;0,1,0)</f>
        <v>0</v>
      </c>
      <c r="O921">
        <f>IF(COUNTIFS('United Data'!$A$3:$A$3390,O$1,'United Data'!$C$3:$C$3390,$A921,'United Data'!$B$3:$B$3390,"&lt;&gt;Off-street")&gt;0,1,0)</f>
        <v>0</v>
      </c>
      <c r="P921">
        <f>IF(COUNTIFS('United Data'!$A$3:$A$3390,P$1,'United Data'!$C$3:$C$3390,$A921,'United Data'!$B$3:$B$3390,"&lt;&gt;Off-street")&gt;0,1,0)</f>
        <v>0</v>
      </c>
      <c r="Q921">
        <f>IF(COUNTIFS('United Data'!$A$3:$A$3390,Q$1,'United Data'!$C$3:$C$3390,$A921,'United Data'!$B$3:$B$3390,"&lt;&gt;Off-street")&gt;0,1,0)</f>
        <v>0</v>
      </c>
      <c r="R921">
        <f>IF(COUNTIFS('United Data'!$A$3:$A$3390,R$1,'United Data'!$C$3:$C$3390,$A921,'United Data'!$B$3:$B$3390,"&lt;&gt;Off-street")&gt;0,1,0)</f>
        <v>0</v>
      </c>
      <c r="S921">
        <f t="shared" si="28"/>
        <v>0</v>
      </c>
      <c r="T921">
        <f t="shared" si="29"/>
        <v>0</v>
      </c>
    </row>
    <row r="922" spans="1:20" x14ac:dyDescent="0.2">
      <c r="A922" t="s">
        <v>1113</v>
      </c>
      <c r="B922">
        <f>IF(COUNTIFS('United Data'!$A$3:$A$3390,B$1,'United Data'!$C$3:$C$3390,$A922,'United Data'!$B$3:$B$3390,"&lt;&gt;Off-street")&gt;0,1,0)</f>
        <v>0</v>
      </c>
      <c r="C922">
        <f>IF(COUNTIFS('United Data'!$A$3:$A$3390,C$1,'United Data'!$C$3:$C$3390,$A922,'United Data'!$B$3:$B$3390,"&lt;&gt;Off-street")&gt;0,1,0)</f>
        <v>0</v>
      </c>
      <c r="D922">
        <f>IF(COUNTIFS('United Data'!$A$3:$A$3390,D$1,'United Data'!$C$3:$C$3390,$A922,'United Data'!$B$3:$B$3390,"&lt;&gt;Off-street")&gt;0,1,0)</f>
        <v>0</v>
      </c>
      <c r="E922">
        <f>IF(COUNTIFS('United Data'!$A$3:$A$3390,E$1,'United Data'!$C$3:$C$3390,$A922,'United Data'!$B$3:$B$3390,"&lt;&gt;Off-street")&gt;0,1,0)</f>
        <v>0</v>
      </c>
      <c r="F922">
        <f>IF(COUNTIFS('United Data'!$A$3:$A$3390,F$1,'United Data'!$C$3:$C$3390,$A922,'United Data'!$B$3:$B$3390,"&lt;&gt;Off-street")&gt;0,1,0)</f>
        <v>1</v>
      </c>
      <c r="G922">
        <f>IF(COUNTIFS('United Data'!$A$3:$A$3390,G$1,'United Data'!$C$3:$C$3390,$A922,'United Data'!$B$3:$B$3390,"&lt;&gt;Off-street")&gt;0,1,0)</f>
        <v>0</v>
      </c>
      <c r="H922">
        <f>IF(COUNTIFS('United Data'!$A$3:$A$3390,H$1,'United Data'!$C$3:$C$3390,$A922,'United Data'!$B$3:$B$3390,"&lt;&gt;Off-street")&gt;0,1,0)</f>
        <v>0</v>
      </c>
      <c r="I922">
        <f>IF(COUNTIFS('United Data'!$A$3:$A$3390,I$1,'United Data'!$C$3:$C$3390,$A922,'United Data'!$B$3:$B$3390,"&lt;&gt;Off-street")&gt;0,1,0)</f>
        <v>0</v>
      </c>
      <c r="J922">
        <f>IF(COUNTIFS('United Data'!$A$3:$A$3390,J$1,'United Data'!$C$3:$C$3390,$A922,'United Data'!$B$3:$B$3390,"&lt;&gt;Off-street")&gt;0,1,0)</f>
        <v>0</v>
      </c>
      <c r="K922">
        <f>IF(COUNTIFS('United Data'!$A$3:$A$3390,K$1,'United Data'!$C$3:$C$3390,$A922,'United Data'!$B$3:$B$3390,"&lt;&gt;Off-street")&gt;0,1,0)</f>
        <v>0</v>
      </c>
      <c r="L922">
        <f>IF(COUNTIFS('United Data'!$A$3:$A$3390,L$1,'United Data'!$C$3:$C$3390,$A922,'United Data'!$B$3:$B$3390,"&lt;&gt;Off-street")&gt;0,1,0)</f>
        <v>0</v>
      </c>
      <c r="M922">
        <f>IF(COUNTIFS('United Data'!$A$3:$A$3390,M$1,'United Data'!$C$3:$C$3390,$A922,'United Data'!$B$3:$B$3390,"&lt;&gt;Off-street")&gt;0,1,0)</f>
        <v>0</v>
      </c>
      <c r="N922">
        <f>IF(COUNTIFS('United Data'!$A$3:$A$3390,N$1,'United Data'!$C$3:$C$3390,$A922,'United Data'!$B$3:$B$3390,"&lt;&gt;Off-street")&gt;0,1,0)</f>
        <v>0</v>
      </c>
      <c r="O922">
        <f>IF(COUNTIFS('United Data'!$A$3:$A$3390,O$1,'United Data'!$C$3:$C$3390,$A922,'United Data'!$B$3:$B$3390,"&lt;&gt;Off-street")&gt;0,1,0)</f>
        <v>0</v>
      </c>
      <c r="P922">
        <f>IF(COUNTIFS('United Data'!$A$3:$A$3390,P$1,'United Data'!$C$3:$C$3390,$A922,'United Data'!$B$3:$B$3390,"&lt;&gt;Off-street")&gt;0,1,0)</f>
        <v>0</v>
      </c>
      <c r="Q922">
        <f>IF(COUNTIFS('United Data'!$A$3:$A$3390,Q$1,'United Data'!$C$3:$C$3390,$A922,'United Data'!$B$3:$B$3390,"&lt;&gt;Off-street")&gt;0,1,0)</f>
        <v>0</v>
      </c>
      <c r="R922">
        <f>IF(COUNTIFS('United Data'!$A$3:$A$3390,R$1,'United Data'!$C$3:$C$3390,$A922,'United Data'!$B$3:$B$3390,"&lt;&gt;Off-street")&gt;0,1,0)</f>
        <v>0</v>
      </c>
      <c r="S922">
        <f t="shared" si="28"/>
        <v>1</v>
      </c>
      <c r="T922">
        <f t="shared" si="29"/>
        <v>1</v>
      </c>
    </row>
    <row r="923" spans="1:20" x14ac:dyDescent="0.2">
      <c r="A923" t="s">
        <v>1114</v>
      </c>
      <c r="B923">
        <f>IF(COUNTIFS('United Data'!$A$3:$A$3390,B$1,'United Data'!$C$3:$C$3390,$A923,'United Data'!$B$3:$B$3390,"&lt;&gt;Off-street")&gt;0,1,0)</f>
        <v>0</v>
      </c>
      <c r="C923">
        <f>IF(COUNTIFS('United Data'!$A$3:$A$3390,C$1,'United Data'!$C$3:$C$3390,$A923,'United Data'!$B$3:$B$3390,"&lt;&gt;Off-street")&gt;0,1,0)</f>
        <v>0</v>
      </c>
      <c r="D923">
        <f>IF(COUNTIFS('United Data'!$A$3:$A$3390,D$1,'United Data'!$C$3:$C$3390,$A923,'United Data'!$B$3:$B$3390,"&lt;&gt;Off-street")&gt;0,1,0)</f>
        <v>0</v>
      </c>
      <c r="E923">
        <f>IF(COUNTIFS('United Data'!$A$3:$A$3390,E$1,'United Data'!$C$3:$C$3390,$A923,'United Data'!$B$3:$B$3390,"&lt;&gt;Off-street")&gt;0,1,0)</f>
        <v>0</v>
      </c>
      <c r="F923">
        <f>IF(COUNTIFS('United Data'!$A$3:$A$3390,F$1,'United Data'!$C$3:$C$3390,$A923,'United Data'!$B$3:$B$3390,"&lt;&gt;Off-street")&gt;0,1,0)</f>
        <v>1</v>
      </c>
      <c r="G923">
        <f>IF(COUNTIFS('United Data'!$A$3:$A$3390,G$1,'United Data'!$C$3:$C$3390,$A923,'United Data'!$B$3:$B$3390,"&lt;&gt;Off-street")&gt;0,1,0)</f>
        <v>0</v>
      </c>
      <c r="H923">
        <f>IF(COUNTIFS('United Data'!$A$3:$A$3390,H$1,'United Data'!$C$3:$C$3390,$A923,'United Data'!$B$3:$B$3390,"&lt;&gt;Off-street")&gt;0,1,0)</f>
        <v>0</v>
      </c>
      <c r="I923">
        <f>IF(COUNTIFS('United Data'!$A$3:$A$3390,I$1,'United Data'!$C$3:$C$3390,$A923,'United Data'!$B$3:$B$3390,"&lt;&gt;Off-street")&gt;0,1,0)</f>
        <v>0</v>
      </c>
      <c r="J923">
        <f>IF(COUNTIFS('United Data'!$A$3:$A$3390,J$1,'United Data'!$C$3:$C$3390,$A923,'United Data'!$B$3:$B$3390,"&lt;&gt;Off-street")&gt;0,1,0)</f>
        <v>0</v>
      </c>
      <c r="K923">
        <f>IF(COUNTIFS('United Data'!$A$3:$A$3390,K$1,'United Data'!$C$3:$C$3390,$A923,'United Data'!$B$3:$B$3390,"&lt;&gt;Off-street")&gt;0,1,0)</f>
        <v>0</v>
      </c>
      <c r="L923">
        <f>IF(COUNTIFS('United Data'!$A$3:$A$3390,L$1,'United Data'!$C$3:$C$3390,$A923,'United Data'!$B$3:$B$3390,"&lt;&gt;Off-street")&gt;0,1,0)</f>
        <v>0</v>
      </c>
      <c r="M923">
        <f>IF(COUNTIFS('United Data'!$A$3:$A$3390,M$1,'United Data'!$C$3:$C$3390,$A923,'United Data'!$B$3:$B$3390,"&lt;&gt;Off-street")&gt;0,1,0)</f>
        <v>0</v>
      </c>
      <c r="N923">
        <f>IF(COUNTIFS('United Data'!$A$3:$A$3390,N$1,'United Data'!$C$3:$C$3390,$A923,'United Data'!$B$3:$B$3390,"&lt;&gt;Off-street")&gt;0,1,0)</f>
        <v>0</v>
      </c>
      <c r="O923">
        <f>IF(COUNTIFS('United Data'!$A$3:$A$3390,O$1,'United Data'!$C$3:$C$3390,$A923,'United Data'!$B$3:$B$3390,"&lt;&gt;Off-street")&gt;0,1,0)</f>
        <v>0</v>
      </c>
      <c r="P923">
        <f>IF(COUNTIFS('United Data'!$A$3:$A$3390,P$1,'United Data'!$C$3:$C$3390,$A923,'United Data'!$B$3:$B$3390,"&lt;&gt;Off-street")&gt;0,1,0)</f>
        <v>0</v>
      </c>
      <c r="Q923">
        <f>IF(COUNTIFS('United Data'!$A$3:$A$3390,Q$1,'United Data'!$C$3:$C$3390,$A923,'United Data'!$B$3:$B$3390,"&lt;&gt;Off-street")&gt;0,1,0)</f>
        <v>0</v>
      </c>
      <c r="R923">
        <f>IF(COUNTIFS('United Data'!$A$3:$A$3390,R$1,'United Data'!$C$3:$C$3390,$A923,'United Data'!$B$3:$B$3390,"&lt;&gt;Off-street")&gt;0,1,0)</f>
        <v>0</v>
      </c>
      <c r="S923">
        <f t="shared" si="28"/>
        <v>1</v>
      </c>
      <c r="T923">
        <f t="shared" si="29"/>
        <v>1</v>
      </c>
    </row>
    <row r="924" spans="1:20" x14ac:dyDescent="0.2">
      <c r="A924" t="s">
        <v>1115</v>
      </c>
      <c r="B924">
        <f>IF(COUNTIFS('United Data'!$A$3:$A$3390,B$1,'United Data'!$C$3:$C$3390,$A924,'United Data'!$B$3:$B$3390,"&lt;&gt;Off-street")&gt;0,1,0)</f>
        <v>0</v>
      </c>
      <c r="C924">
        <f>IF(COUNTIFS('United Data'!$A$3:$A$3390,C$1,'United Data'!$C$3:$C$3390,$A924,'United Data'!$B$3:$B$3390,"&lt;&gt;Off-street")&gt;0,1,0)</f>
        <v>0</v>
      </c>
      <c r="D924">
        <f>IF(COUNTIFS('United Data'!$A$3:$A$3390,D$1,'United Data'!$C$3:$C$3390,$A924,'United Data'!$B$3:$B$3390,"&lt;&gt;Off-street")&gt;0,1,0)</f>
        <v>0</v>
      </c>
      <c r="E924">
        <f>IF(COUNTIFS('United Data'!$A$3:$A$3390,E$1,'United Data'!$C$3:$C$3390,$A924,'United Data'!$B$3:$B$3390,"&lt;&gt;Off-street")&gt;0,1,0)</f>
        <v>0</v>
      </c>
      <c r="F924">
        <f>IF(COUNTIFS('United Data'!$A$3:$A$3390,F$1,'United Data'!$C$3:$C$3390,$A924,'United Data'!$B$3:$B$3390,"&lt;&gt;Off-street")&gt;0,1,0)</f>
        <v>0</v>
      </c>
      <c r="G924">
        <f>IF(COUNTIFS('United Data'!$A$3:$A$3390,G$1,'United Data'!$C$3:$C$3390,$A924,'United Data'!$B$3:$B$3390,"&lt;&gt;Off-street")&gt;0,1,0)</f>
        <v>1</v>
      </c>
      <c r="H924">
        <f>IF(COUNTIFS('United Data'!$A$3:$A$3390,H$1,'United Data'!$C$3:$C$3390,$A924,'United Data'!$B$3:$B$3390,"&lt;&gt;Off-street")&gt;0,1,0)</f>
        <v>1</v>
      </c>
      <c r="I924">
        <f>IF(COUNTIFS('United Data'!$A$3:$A$3390,I$1,'United Data'!$C$3:$C$3390,$A924,'United Data'!$B$3:$B$3390,"&lt;&gt;Off-street")&gt;0,1,0)</f>
        <v>0</v>
      </c>
      <c r="J924">
        <f>IF(COUNTIFS('United Data'!$A$3:$A$3390,J$1,'United Data'!$C$3:$C$3390,$A924,'United Data'!$B$3:$B$3390,"&lt;&gt;Off-street")&gt;0,1,0)</f>
        <v>1</v>
      </c>
      <c r="K924">
        <f>IF(COUNTIFS('United Data'!$A$3:$A$3390,K$1,'United Data'!$C$3:$C$3390,$A924,'United Data'!$B$3:$B$3390,"&lt;&gt;Off-street")&gt;0,1,0)</f>
        <v>1</v>
      </c>
      <c r="L924">
        <f>IF(COUNTIFS('United Data'!$A$3:$A$3390,L$1,'United Data'!$C$3:$C$3390,$A924,'United Data'!$B$3:$B$3390,"&lt;&gt;Off-street")&gt;0,1,0)</f>
        <v>0</v>
      </c>
      <c r="M924">
        <f>IF(COUNTIFS('United Data'!$A$3:$A$3390,M$1,'United Data'!$C$3:$C$3390,$A924,'United Data'!$B$3:$B$3390,"&lt;&gt;Off-street")&gt;0,1,0)</f>
        <v>0</v>
      </c>
      <c r="N924">
        <f>IF(COUNTIFS('United Data'!$A$3:$A$3390,N$1,'United Data'!$C$3:$C$3390,$A924,'United Data'!$B$3:$B$3390,"&lt;&gt;Off-street")&gt;0,1,0)</f>
        <v>0</v>
      </c>
      <c r="O924">
        <f>IF(COUNTIFS('United Data'!$A$3:$A$3390,O$1,'United Data'!$C$3:$C$3390,$A924,'United Data'!$B$3:$B$3390,"&lt;&gt;Off-street")&gt;0,1,0)</f>
        <v>0</v>
      </c>
      <c r="P924">
        <f>IF(COUNTIFS('United Data'!$A$3:$A$3390,P$1,'United Data'!$C$3:$C$3390,$A924,'United Data'!$B$3:$B$3390,"&lt;&gt;Off-street")&gt;0,1,0)</f>
        <v>0</v>
      </c>
      <c r="Q924">
        <f>IF(COUNTIFS('United Data'!$A$3:$A$3390,Q$1,'United Data'!$C$3:$C$3390,$A924,'United Data'!$B$3:$B$3390,"&lt;&gt;Off-street")&gt;0,1,0)</f>
        <v>0</v>
      </c>
      <c r="R924">
        <f>IF(COUNTIFS('United Data'!$A$3:$A$3390,R$1,'United Data'!$C$3:$C$3390,$A924,'United Data'!$B$3:$B$3390,"&lt;&gt;Off-street")&gt;0,1,0)</f>
        <v>0</v>
      </c>
      <c r="S924">
        <f t="shared" si="28"/>
        <v>4</v>
      </c>
      <c r="T924">
        <f t="shared" si="29"/>
        <v>2</v>
      </c>
    </row>
    <row r="925" spans="1:20" x14ac:dyDescent="0.2">
      <c r="A925" t="s">
        <v>1116</v>
      </c>
      <c r="B925">
        <f>IF(COUNTIFS('United Data'!$A$3:$A$3390,B$1,'United Data'!$C$3:$C$3390,$A925,'United Data'!$B$3:$B$3390,"&lt;&gt;Off-street")&gt;0,1,0)</f>
        <v>0</v>
      </c>
      <c r="C925">
        <f>IF(COUNTIFS('United Data'!$A$3:$A$3390,C$1,'United Data'!$C$3:$C$3390,$A925,'United Data'!$B$3:$B$3390,"&lt;&gt;Off-street")&gt;0,1,0)</f>
        <v>0</v>
      </c>
      <c r="D925">
        <f>IF(COUNTIFS('United Data'!$A$3:$A$3390,D$1,'United Data'!$C$3:$C$3390,$A925,'United Data'!$B$3:$B$3390,"&lt;&gt;Off-street")&gt;0,1,0)</f>
        <v>0</v>
      </c>
      <c r="E925">
        <f>IF(COUNTIFS('United Data'!$A$3:$A$3390,E$1,'United Data'!$C$3:$C$3390,$A925,'United Data'!$B$3:$B$3390,"&lt;&gt;Off-street")&gt;0,1,0)</f>
        <v>0</v>
      </c>
      <c r="F925">
        <f>IF(COUNTIFS('United Data'!$A$3:$A$3390,F$1,'United Data'!$C$3:$C$3390,$A925,'United Data'!$B$3:$B$3390,"&lt;&gt;Off-street")&gt;0,1,0)</f>
        <v>0</v>
      </c>
      <c r="G925">
        <f>IF(COUNTIFS('United Data'!$A$3:$A$3390,G$1,'United Data'!$C$3:$C$3390,$A925,'United Data'!$B$3:$B$3390,"&lt;&gt;Off-street")&gt;0,1,0)</f>
        <v>1</v>
      </c>
      <c r="H925">
        <f>IF(COUNTIFS('United Data'!$A$3:$A$3390,H$1,'United Data'!$C$3:$C$3390,$A925,'United Data'!$B$3:$B$3390,"&lt;&gt;Off-street")&gt;0,1,0)</f>
        <v>0</v>
      </c>
      <c r="I925">
        <f>IF(COUNTIFS('United Data'!$A$3:$A$3390,I$1,'United Data'!$C$3:$C$3390,$A925,'United Data'!$B$3:$B$3390,"&lt;&gt;Off-street")&gt;0,1,0)</f>
        <v>0</v>
      </c>
      <c r="J925">
        <f>IF(COUNTIFS('United Data'!$A$3:$A$3390,J$1,'United Data'!$C$3:$C$3390,$A925,'United Data'!$B$3:$B$3390,"&lt;&gt;Off-street")&gt;0,1,0)</f>
        <v>0</v>
      </c>
      <c r="K925">
        <f>IF(COUNTIFS('United Data'!$A$3:$A$3390,K$1,'United Data'!$C$3:$C$3390,$A925,'United Data'!$B$3:$B$3390,"&lt;&gt;Off-street")&gt;0,1,0)</f>
        <v>0</v>
      </c>
      <c r="L925">
        <f>IF(COUNTIFS('United Data'!$A$3:$A$3390,L$1,'United Data'!$C$3:$C$3390,$A925,'United Data'!$B$3:$B$3390,"&lt;&gt;Off-street")&gt;0,1,0)</f>
        <v>0</v>
      </c>
      <c r="M925">
        <f>IF(COUNTIFS('United Data'!$A$3:$A$3390,M$1,'United Data'!$C$3:$C$3390,$A925,'United Data'!$B$3:$B$3390,"&lt;&gt;Off-street")&gt;0,1,0)</f>
        <v>0</v>
      </c>
      <c r="N925">
        <f>IF(COUNTIFS('United Data'!$A$3:$A$3390,N$1,'United Data'!$C$3:$C$3390,$A925,'United Data'!$B$3:$B$3390,"&lt;&gt;Off-street")&gt;0,1,0)</f>
        <v>0</v>
      </c>
      <c r="O925">
        <f>IF(COUNTIFS('United Data'!$A$3:$A$3390,O$1,'United Data'!$C$3:$C$3390,$A925,'United Data'!$B$3:$B$3390,"&lt;&gt;Off-street")&gt;0,1,0)</f>
        <v>0</v>
      </c>
      <c r="P925">
        <f>IF(COUNTIFS('United Data'!$A$3:$A$3390,P$1,'United Data'!$C$3:$C$3390,$A925,'United Data'!$B$3:$B$3390,"&lt;&gt;Off-street")&gt;0,1,0)</f>
        <v>0</v>
      </c>
      <c r="Q925">
        <f>IF(COUNTIFS('United Data'!$A$3:$A$3390,Q$1,'United Data'!$C$3:$C$3390,$A925,'United Data'!$B$3:$B$3390,"&lt;&gt;Off-street")&gt;0,1,0)</f>
        <v>0</v>
      </c>
      <c r="R925">
        <f>IF(COUNTIFS('United Data'!$A$3:$A$3390,R$1,'United Data'!$C$3:$C$3390,$A925,'United Data'!$B$3:$B$3390,"&lt;&gt;Off-street")&gt;0,1,0)</f>
        <v>0</v>
      </c>
      <c r="S925">
        <f t="shared" si="28"/>
        <v>1</v>
      </c>
      <c r="T925">
        <f t="shared" si="29"/>
        <v>1</v>
      </c>
    </row>
    <row r="926" spans="1:20" x14ac:dyDescent="0.2">
      <c r="A926" t="s">
        <v>1117</v>
      </c>
      <c r="B926">
        <f>IF(COUNTIFS('United Data'!$A$3:$A$3390,B$1,'United Data'!$C$3:$C$3390,$A926,'United Data'!$B$3:$B$3390,"&lt;&gt;Off-street")&gt;0,1,0)</f>
        <v>0</v>
      </c>
      <c r="C926">
        <f>IF(COUNTIFS('United Data'!$A$3:$A$3390,C$1,'United Data'!$C$3:$C$3390,$A926,'United Data'!$B$3:$B$3390,"&lt;&gt;Off-street")&gt;0,1,0)</f>
        <v>0</v>
      </c>
      <c r="D926">
        <f>IF(COUNTIFS('United Data'!$A$3:$A$3390,D$1,'United Data'!$C$3:$C$3390,$A926,'United Data'!$B$3:$B$3390,"&lt;&gt;Off-street")&gt;0,1,0)</f>
        <v>0</v>
      </c>
      <c r="E926">
        <f>IF(COUNTIFS('United Data'!$A$3:$A$3390,E$1,'United Data'!$C$3:$C$3390,$A926,'United Data'!$B$3:$B$3390,"&lt;&gt;Off-street")&gt;0,1,0)</f>
        <v>0</v>
      </c>
      <c r="F926">
        <f>IF(COUNTIFS('United Data'!$A$3:$A$3390,F$1,'United Data'!$C$3:$C$3390,$A926,'United Data'!$B$3:$B$3390,"&lt;&gt;Off-street")&gt;0,1,0)</f>
        <v>0</v>
      </c>
      <c r="G926">
        <f>IF(COUNTIFS('United Data'!$A$3:$A$3390,G$1,'United Data'!$C$3:$C$3390,$A926,'United Data'!$B$3:$B$3390,"&lt;&gt;Off-street")&gt;0,1,0)</f>
        <v>1</v>
      </c>
      <c r="H926">
        <f>IF(COUNTIFS('United Data'!$A$3:$A$3390,H$1,'United Data'!$C$3:$C$3390,$A926,'United Data'!$B$3:$B$3390,"&lt;&gt;Off-street")&gt;0,1,0)</f>
        <v>0</v>
      </c>
      <c r="I926">
        <f>IF(COUNTIFS('United Data'!$A$3:$A$3390,I$1,'United Data'!$C$3:$C$3390,$A926,'United Data'!$B$3:$B$3390,"&lt;&gt;Off-street")&gt;0,1,0)</f>
        <v>0</v>
      </c>
      <c r="J926">
        <f>IF(COUNTIFS('United Data'!$A$3:$A$3390,J$1,'United Data'!$C$3:$C$3390,$A926,'United Data'!$B$3:$B$3390,"&lt;&gt;Off-street")&gt;0,1,0)</f>
        <v>0</v>
      </c>
      <c r="K926">
        <f>IF(COUNTIFS('United Data'!$A$3:$A$3390,K$1,'United Data'!$C$3:$C$3390,$A926,'United Data'!$B$3:$B$3390,"&lt;&gt;Off-street")&gt;0,1,0)</f>
        <v>0</v>
      </c>
      <c r="L926">
        <f>IF(COUNTIFS('United Data'!$A$3:$A$3390,L$1,'United Data'!$C$3:$C$3390,$A926,'United Data'!$B$3:$B$3390,"&lt;&gt;Off-street")&gt;0,1,0)</f>
        <v>0</v>
      </c>
      <c r="M926">
        <f>IF(COUNTIFS('United Data'!$A$3:$A$3390,M$1,'United Data'!$C$3:$C$3390,$A926,'United Data'!$B$3:$B$3390,"&lt;&gt;Off-street")&gt;0,1,0)</f>
        <v>0</v>
      </c>
      <c r="N926">
        <f>IF(COUNTIFS('United Data'!$A$3:$A$3390,N$1,'United Data'!$C$3:$C$3390,$A926,'United Data'!$B$3:$B$3390,"&lt;&gt;Off-street")&gt;0,1,0)</f>
        <v>0</v>
      </c>
      <c r="O926">
        <f>IF(COUNTIFS('United Data'!$A$3:$A$3390,O$1,'United Data'!$C$3:$C$3390,$A926,'United Data'!$B$3:$B$3390,"&lt;&gt;Off-street")&gt;0,1,0)</f>
        <v>0</v>
      </c>
      <c r="P926">
        <f>IF(COUNTIFS('United Data'!$A$3:$A$3390,P$1,'United Data'!$C$3:$C$3390,$A926,'United Data'!$B$3:$B$3390,"&lt;&gt;Off-street")&gt;0,1,0)</f>
        <v>0</v>
      </c>
      <c r="Q926">
        <f>IF(COUNTIFS('United Data'!$A$3:$A$3390,Q$1,'United Data'!$C$3:$C$3390,$A926,'United Data'!$B$3:$B$3390,"&lt;&gt;Off-street")&gt;0,1,0)</f>
        <v>0</v>
      </c>
      <c r="R926">
        <f>IF(COUNTIFS('United Data'!$A$3:$A$3390,R$1,'United Data'!$C$3:$C$3390,$A926,'United Data'!$B$3:$B$3390,"&lt;&gt;Off-street")&gt;0,1,0)</f>
        <v>0</v>
      </c>
      <c r="S926">
        <f t="shared" si="28"/>
        <v>1</v>
      </c>
      <c r="T926">
        <f t="shared" si="29"/>
        <v>1</v>
      </c>
    </row>
    <row r="927" spans="1:20" x14ac:dyDescent="0.2">
      <c r="A927" t="s">
        <v>1119</v>
      </c>
      <c r="B927">
        <f>IF(COUNTIFS('United Data'!$A$3:$A$3390,B$1,'United Data'!$C$3:$C$3390,$A927,'United Data'!$B$3:$B$3390,"&lt;&gt;Off-street")&gt;0,1,0)</f>
        <v>0</v>
      </c>
      <c r="C927">
        <f>IF(COUNTIFS('United Data'!$A$3:$A$3390,C$1,'United Data'!$C$3:$C$3390,$A927,'United Data'!$B$3:$B$3390,"&lt;&gt;Off-street")&gt;0,1,0)</f>
        <v>0</v>
      </c>
      <c r="D927">
        <f>IF(COUNTIFS('United Data'!$A$3:$A$3390,D$1,'United Data'!$C$3:$C$3390,$A927,'United Data'!$B$3:$B$3390,"&lt;&gt;Off-street")&gt;0,1,0)</f>
        <v>0</v>
      </c>
      <c r="E927">
        <f>IF(COUNTIFS('United Data'!$A$3:$A$3390,E$1,'United Data'!$C$3:$C$3390,$A927,'United Data'!$B$3:$B$3390,"&lt;&gt;Off-street")&gt;0,1,0)</f>
        <v>0</v>
      </c>
      <c r="F927">
        <f>IF(COUNTIFS('United Data'!$A$3:$A$3390,F$1,'United Data'!$C$3:$C$3390,$A927,'United Data'!$B$3:$B$3390,"&lt;&gt;Off-street")&gt;0,1,0)</f>
        <v>0</v>
      </c>
      <c r="G927">
        <f>IF(COUNTIFS('United Data'!$A$3:$A$3390,G$1,'United Data'!$C$3:$C$3390,$A927,'United Data'!$B$3:$B$3390,"&lt;&gt;Off-street")&gt;0,1,0)</f>
        <v>1</v>
      </c>
      <c r="H927">
        <f>IF(COUNTIFS('United Data'!$A$3:$A$3390,H$1,'United Data'!$C$3:$C$3390,$A927,'United Data'!$B$3:$B$3390,"&lt;&gt;Off-street")&gt;0,1,0)</f>
        <v>0</v>
      </c>
      <c r="I927">
        <f>IF(COUNTIFS('United Data'!$A$3:$A$3390,I$1,'United Data'!$C$3:$C$3390,$A927,'United Data'!$B$3:$B$3390,"&lt;&gt;Off-street")&gt;0,1,0)</f>
        <v>0</v>
      </c>
      <c r="J927">
        <f>IF(COUNTIFS('United Data'!$A$3:$A$3390,J$1,'United Data'!$C$3:$C$3390,$A927,'United Data'!$B$3:$B$3390,"&lt;&gt;Off-street")&gt;0,1,0)</f>
        <v>0</v>
      </c>
      <c r="K927">
        <f>IF(COUNTIFS('United Data'!$A$3:$A$3390,K$1,'United Data'!$C$3:$C$3390,$A927,'United Data'!$B$3:$B$3390,"&lt;&gt;Off-street")&gt;0,1,0)</f>
        <v>0</v>
      </c>
      <c r="L927">
        <f>IF(COUNTIFS('United Data'!$A$3:$A$3390,L$1,'United Data'!$C$3:$C$3390,$A927,'United Data'!$B$3:$B$3390,"&lt;&gt;Off-street")&gt;0,1,0)</f>
        <v>0</v>
      </c>
      <c r="M927">
        <f>IF(COUNTIFS('United Data'!$A$3:$A$3390,M$1,'United Data'!$C$3:$C$3390,$A927,'United Data'!$B$3:$B$3390,"&lt;&gt;Off-street")&gt;0,1,0)</f>
        <v>0</v>
      </c>
      <c r="N927">
        <f>IF(COUNTIFS('United Data'!$A$3:$A$3390,N$1,'United Data'!$C$3:$C$3390,$A927,'United Data'!$B$3:$B$3390,"&lt;&gt;Off-street")&gt;0,1,0)</f>
        <v>0</v>
      </c>
      <c r="O927">
        <f>IF(COUNTIFS('United Data'!$A$3:$A$3390,O$1,'United Data'!$C$3:$C$3390,$A927,'United Data'!$B$3:$B$3390,"&lt;&gt;Off-street")&gt;0,1,0)</f>
        <v>0</v>
      </c>
      <c r="P927">
        <f>IF(COUNTIFS('United Data'!$A$3:$A$3390,P$1,'United Data'!$C$3:$C$3390,$A927,'United Data'!$B$3:$B$3390,"&lt;&gt;Off-street")&gt;0,1,0)</f>
        <v>0</v>
      </c>
      <c r="Q927">
        <f>IF(COUNTIFS('United Data'!$A$3:$A$3390,Q$1,'United Data'!$C$3:$C$3390,$A927,'United Data'!$B$3:$B$3390,"&lt;&gt;Off-street")&gt;0,1,0)</f>
        <v>0</v>
      </c>
      <c r="R927">
        <f>IF(COUNTIFS('United Data'!$A$3:$A$3390,R$1,'United Data'!$C$3:$C$3390,$A927,'United Data'!$B$3:$B$3390,"&lt;&gt;Off-street")&gt;0,1,0)</f>
        <v>0</v>
      </c>
      <c r="S927">
        <f t="shared" si="28"/>
        <v>1</v>
      </c>
      <c r="T927">
        <f t="shared" si="29"/>
        <v>1</v>
      </c>
    </row>
    <row r="928" spans="1:20" x14ac:dyDescent="0.2">
      <c r="A928" t="s">
        <v>1120</v>
      </c>
      <c r="B928">
        <f>IF(COUNTIFS('United Data'!$A$3:$A$3390,B$1,'United Data'!$C$3:$C$3390,$A928,'United Data'!$B$3:$B$3390,"&lt;&gt;Off-street")&gt;0,1,0)</f>
        <v>0</v>
      </c>
      <c r="C928">
        <f>IF(COUNTIFS('United Data'!$A$3:$A$3390,C$1,'United Data'!$C$3:$C$3390,$A928,'United Data'!$B$3:$B$3390,"&lt;&gt;Off-street")&gt;0,1,0)</f>
        <v>0</v>
      </c>
      <c r="D928">
        <f>IF(COUNTIFS('United Data'!$A$3:$A$3390,D$1,'United Data'!$C$3:$C$3390,$A928,'United Data'!$B$3:$B$3390,"&lt;&gt;Off-street")&gt;0,1,0)</f>
        <v>0</v>
      </c>
      <c r="E928">
        <f>IF(COUNTIFS('United Data'!$A$3:$A$3390,E$1,'United Data'!$C$3:$C$3390,$A928,'United Data'!$B$3:$B$3390,"&lt;&gt;Off-street")&gt;0,1,0)</f>
        <v>0</v>
      </c>
      <c r="F928">
        <f>IF(COUNTIFS('United Data'!$A$3:$A$3390,F$1,'United Data'!$C$3:$C$3390,$A928,'United Data'!$B$3:$B$3390,"&lt;&gt;Off-street")&gt;0,1,0)</f>
        <v>0</v>
      </c>
      <c r="G928">
        <f>IF(COUNTIFS('United Data'!$A$3:$A$3390,G$1,'United Data'!$C$3:$C$3390,$A928,'United Data'!$B$3:$B$3390,"&lt;&gt;Off-street")&gt;0,1,0)</f>
        <v>1</v>
      </c>
      <c r="H928">
        <f>IF(COUNTIFS('United Data'!$A$3:$A$3390,H$1,'United Data'!$C$3:$C$3390,$A928,'United Data'!$B$3:$B$3390,"&lt;&gt;Off-street")&gt;0,1,0)</f>
        <v>0</v>
      </c>
      <c r="I928">
        <f>IF(COUNTIFS('United Data'!$A$3:$A$3390,I$1,'United Data'!$C$3:$C$3390,$A928,'United Data'!$B$3:$B$3390,"&lt;&gt;Off-street")&gt;0,1,0)</f>
        <v>0</v>
      </c>
      <c r="J928">
        <f>IF(COUNTIFS('United Data'!$A$3:$A$3390,J$1,'United Data'!$C$3:$C$3390,$A928,'United Data'!$B$3:$B$3390,"&lt;&gt;Off-street")&gt;0,1,0)</f>
        <v>0</v>
      </c>
      <c r="K928">
        <f>IF(COUNTIFS('United Data'!$A$3:$A$3390,K$1,'United Data'!$C$3:$C$3390,$A928,'United Data'!$B$3:$B$3390,"&lt;&gt;Off-street")&gt;0,1,0)</f>
        <v>0</v>
      </c>
      <c r="L928">
        <f>IF(COUNTIFS('United Data'!$A$3:$A$3390,L$1,'United Data'!$C$3:$C$3390,$A928,'United Data'!$B$3:$B$3390,"&lt;&gt;Off-street")&gt;0,1,0)</f>
        <v>0</v>
      </c>
      <c r="M928">
        <f>IF(COUNTIFS('United Data'!$A$3:$A$3390,M$1,'United Data'!$C$3:$C$3390,$A928,'United Data'!$B$3:$B$3390,"&lt;&gt;Off-street")&gt;0,1,0)</f>
        <v>0</v>
      </c>
      <c r="N928">
        <f>IF(COUNTIFS('United Data'!$A$3:$A$3390,N$1,'United Data'!$C$3:$C$3390,$A928,'United Data'!$B$3:$B$3390,"&lt;&gt;Off-street")&gt;0,1,0)</f>
        <v>0</v>
      </c>
      <c r="O928">
        <f>IF(COUNTIFS('United Data'!$A$3:$A$3390,O$1,'United Data'!$C$3:$C$3390,$A928,'United Data'!$B$3:$B$3390,"&lt;&gt;Off-street")&gt;0,1,0)</f>
        <v>0</v>
      </c>
      <c r="P928">
        <f>IF(COUNTIFS('United Data'!$A$3:$A$3390,P$1,'United Data'!$C$3:$C$3390,$A928,'United Data'!$B$3:$B$3390,"&lt;&gt;Off-street")&gt;0,1,0)</f>
        <v>0</v>
      </c>
      <c r="Q928">
        <f>IF(COUNTIFS('United Data'!$A$3:$A$3390,Q$1,'United Data'!$C$3:$C$3390,$A928,'United Data'!$B$3:$B$3390,"&lt;&gt;Off-street")&gt;0,1,0)</f>
        <v>0</v>
      </c>
      <c r="R928">
        <f>IF(COUNTIFS('United Data'!$A$3:$A$3390,R$1,'United Data'!$C$3:$C$3390,$A928,'United Data'!$B$3:$B$3390,"&lt;&gt;Off-street")&gt;0,1,0)</f>
        <v>0</v>
      </c>
      <c r="S928">
        <f t="shared" si="28"/>
        <v>1</v>
      </c>
      <c r="T928">
        <f t="shared" si="29"/>
        <v>1</v>
      </c>
    </row>
    <row r="929" spans="1:20" x14ac:dyDescent="0.2">
      <c r="A929" t="s">
        <v>1121</v>
      </c>
      <c r="B929">
        <f>IF(COUNTIFS('United Data'!$A$3:$A$3390,B$1,'United Data'!$C$3:$C$3390,$A929,'United Data'!$B$3:$B$3390,"&lt;&gt;Off-street")&gt;0,1,0)</f>
        <v>0</v>
      </c>
      <c r="C929">
        <f>IF(COUNTIFS('United Data'!$A$3:$A$3390,C$1,'United Data'!$C$3:$C$3390,$A929,'United Data'!$B$3:$B$3390,"&lt;&gt;Off-street")&gt;0,1,0)</f>
        <v>0</v>
      </c>
      <c r="D929">
        <f>IF(COUNTIFS('United Data'!$A$3:$A$3390,D$1,'United Data'!$C$3:$C$3390,$A929,'United Data'!$B$3:$B$3390,"&lt;&gt;Off-street")&gt;0,1,0)</f>
        <v>0</v>
      </c>
      <c r="E929">
        <f>IF(COUNTIFS('United Data'!$A$3:$A$3390,E$1,'United Data'!$C$3:$C$3390,$A929,'United Data'!$B$3:$B$3390,"&lt;&gt;Off-street")&gt;0,1,0)</f>
        <v>0</v>
      </c>
      <c r="F929">
        <f>IF(COUNTIFS('United Data'!$A$3:$A$3390,F$1,'United Data'!$C$3:$C$3390,$A929,'United Data'!$B$3:$B$3390,"&lt;&gt;Off-street")&gt;0,1,0)</f>
        <v>0</v>
      </c>
      <c r="G929">
        <f>IF(COUNTIFS('United Data'!$A$3:$A$3390,G$1,'United Data'!$C$3:$C$3390,$A929,'United Data'!$B$3:$B$3390,"&lt;&gt;Off-street")&gt;0,1,0)</f>
        <v>1</v>
      </c>
      <c r="H929">
        <f>IF(COUNTIFS('United Data'!$A$3:$A$3390,H$1,'United Data'!$C$3:$C$3390,$A929,'United Data'!$B$3:$B$3390,"&lt;&gt;Off-street")&gt;0,1,0)</f>
        <v>0</v>
      </c>
      <c r="I929">
        <f>IF(COUNTIFS('United Data'!$A$3:$A$3390,I$1,'United Data'!$C$3:$C$3390,$A929,'United Data'!$B$3:$B$3390,"&lt;&gt;Off-street")&gt;0,1,0)</f>
        <v>0</v>
      </c>
      <c r="J929">
        <f>IF(COUNTIFS('United Data'!$A$3:$A$3390,J$1,'United Data'!$C$3:$C$3390,$A929,'United Data'!$B$3:$B$3390,"&lt;&gt;Off-street")&gt;0,1,0)</f>
        <v>0</v>
      </c>
      <c r="K929">
        <f>IF(COUNTIFS('United Data'!$A$3:$A$3390,K$1,'United Data'!$C$3:$C$3390,$A929,'United Data'!$B$3:$B$3390,"&lt;&gt;Off-street")&gt;0,1,0)</f>
        <v>0</v>
      </c>
      <c r="L929">
        <f>IF(COUNTIFS('United Data'!$A$3:$A$3390,L$1,'United Data'!$C$3:$C$3390,$A929,'United Data'!$B$3:$B$3390,"&lt;&gt;Off-street")&gt;0,1,0)</f>
        <v>0</v>
      </c>
      <c r="M929">
        <f>IF(COUNTIFS('United Data'!$A$3:$A$3390,M$1,'United Data'!$C$3:$C$3390,$A929,'United Data'!$B$3:$B$3390,"&lt;&gt;Off-street")&gt;0,1,0)</f>
        <v>0</v>
      </c>
      <c r="N929">
        <f>IF(COUNTIFS('United Data'!$A$3:$A$3390,N$1,'United Data'!$C$3:$C$3390,$A929,'United Data'!$B$3:$B$3390,"&lt;&gt;Off-street")&gt;0,1,0)</f>
        <v>0</v>
      </c>
      <c r="O929">
        <f>IF(COUNTIFS('United Data'!$A$3:$A$3390,O$1,'United Data'!$C$3:$C$3390,$A929,'United Data'!$B$3:$B$3390,"&lt;&gt;Off-street")&gt;0,1,0)</f>
        <v>0</v>
      </c>
      <c r="P929">
        <f>IF(COUNTIFS('United Data'!$A$3:$A$3390,P$1,'United Data'!$C$3:$C$3390,$A929,'United Data'!$B$3:$B$3390,"&lt;&gt;Off-street")&gt;0,1,0)</f>
        <v>0</v>
      </c>
      <c r="Q929">
        <f>IF(COUNTIFS('United Data'!$A$3:$A$3390,Q$1,'United Data'!$C$3:$C$3390,$A929,'United Data'!$B$3:$B$3390,"&lt;&gt;Off-street")&gt;0,1,0)</f>
        <v>0</v>
      </c>
      <c r="R929">
        <f>IF(COUNTIFS('United Data'!$A$3:$A$3390,R$1,'United Data'!$C$3:$C$3390,$A929,'United Data'!$B$3:$B$3390,"&lt;&gt;Off-street")&gt;0,1,0)</f>
        <v>0</v>
      </c>
      <c r="S929">
        <f t="shared" si="28"/>
        <v>1</v>
      </c>
      <c r="T929">
        <f t="shared" si="29"/>
        <v>1</v>
      </c>
    </row>
    <row r="930" spans="1:20" x14ac:dyDescent="0.2">
      <c r="A930" t="s">
        <v>1122</v>
      </c>
      <c r="B930">
        <f>IF(COUNTIFS('United Data'!$A$3:$A$3390,B$1,'United Data'!$C$3:$C$3390,$A930,'United Data'!$B$3:$B$3390,"&lt;&gt;Off-street")&gt;0,1,0)</f>
        <v>0</v>
      </c>
      <c r="C930">
        <f>IF(COUNTIFS('United Data'!$A$3:$A$3390,C$1,'United Data'!$C$3:$C$3390,$A930,'United Data'!$B$3:$B$3390,"&lt;&gt;Off-street")&gt;0,1,0)</f>
        <v>0</v>
      </c>
      <c r="D930">
        <f>IF(COUNTIFS('United Data'!$A$3:$A$3390,D$1,'United Data'!$C$3:$C$3390,$A930,'United Data'!$B$3:$B$3390,"&lt;&gt;Off-street")&gt;0,1,0)</f>
        <v>0</v>
      </c>
      <c r="E930">
        <f>IF(COUNTIFS('United Data'!$A$3:$A$3390,E$1,'United Data'!$C$3:$C$3390,$A930,'United Data'!$B$3:$B$3390,"&lt;&gt;Off-street")&gt;0,1,0)</f>
        <v>0</v>
      </c>
      <c r="F930">
        <f>IF(COUNTIFS('United Data'!$A$3:$A$3390,F$1,'United Data'!$C$3:$C$3390,$A930,'United Data'!$B$3:$B$3390,"&lt;&gt;Off-street")&gt;0,1,0)</f>
        <v>0</v>
      </c>
      <c r="G930">
        <f>IF(COUNTIFS('United Data'!$A$3:$A$3390,G$1,'United Data'!$C$3:$C$3390,$A930,'United Data'!$B$3:$B$3390,"&lt;&gt;Off-street")&gt;0,1,0)</f>
        <v>1</v>
      </c>
      <c r="H930">
        <f>IF(COUNTIFS('United Data'!$A$3:$A$3390,H$1,'United Data'!$C$3:$C$3390,$A930,'United Data'!$B$3:$B$3390,"&lt;&gt;Off-street")&gt;0,1,0)</f>
        <v>0</v>
      </c>
      <c r="I930">
        <f>IF(COUNTIFS('United Data'!$A$3:$A$3390,I$1,'United Data'!$C$3:$C$3390,$A930,'United Data'!$B$3:$B$3390,"&lt;&gt;Off-street")&gt;0,1,0)</f>
        <v>0</v>
      </c>
      <c r="J930">
        <f>IF(COUNTIFS('United Data'!$A$3:$A$3390,J$1,'United Data'!$C$3:$C$3390,$A930,'United Data'!$B$3:$B$3390,"&lt;&gt;Off-street")&gt;0,1,0)</f>
        <v>0</v>
      </c>
      <c r="K930">
        <f>IF(COUNTIFS('United Data'!$A$3:$A$3390,K$1,'United Data'!$C$3:$C$3390,$A930,'United Data'!$B$3:$B$3390,"&lt;&gt;Off-street")&gt;0,1,0)</f>
        <v>0</v>
      </c>
      <c r="L930">
        <f>IF(COUNTIFS('United Data'!$A$3:$A$3390,L$1,'United Data'!$C$3:$C$3390,$A930,'United Data'!$B$3:$B$3390,"&lt;&gt;Off-street")&gt;0,1,0)</f>
        <v>0</v>
      </c>
      <c r="M930">
        <f>IF(COUNTIFS('United Data'!$A$3:$A$3390,M$1,'United Data'!$C$3:$C$3390,$A930,'United Data'!$B$3:$B$3390,"&lt;&gt;Off-street")&gt;0,1,0)</f>
        <v>0</v>
      </c>
      <c r="N930">
        <f>IF(COUNTIFS('United Data'!$A$3:$A$3390,N$1,'United Data'!$C$3:$C$3390,$A930,'United Data'!$B$3:$B$3390,"&lt;&gt;Off-street")&gt;0,1,0)</f>
        <v>0</v>
      </c>
      <c r="O930">
        <f>IF(COUNTIFS('United Data'!$A$3:$A$3390,O$1,'United Data'!$C$3:$C$3390,$A930,'United Data'!$B$3:$B$3390,"&lt;&gt;Off-street")&gt;0,1,0)</f>
        <v>0</v>
      </c>
      <c r="P930">
        <f>IF(COUNTIFS('United Data'!$A$3:$A$3390,P$1,'United Data'!$C$3:$C$3390,$A930,'United Data'!$B$3:$B$3390,"&lt;&gt;Off-street")&gt;0,1,0)</f>
        <v>0</v>
      </c>
      <c r="Q930">
        <f>IF(COUNTIFS('United Data'!$A$3:$A$3390,Q$1,'United Data'!$C$3:$C$3390,$A930,'United Data'!$B$3:$B$3390,"&lt;&gt;Off-street")&gt;0,1,0)</f>
        <v>0</v>
      </c>
      <c r="R930">
        <f>IF(COUNTIFS('United Data'!$A$3:$A$3390,R$1,'United Data'!$C$3:$C$3390,$A930,'United Data'!$B$3:$B$3390,"&lt;&gt;Off-street")&gt;0,1,0)</f>
        <v>0</v>
      </c>
      <c r="S930">
        <f t="shared" si="28"/>
        <v>1</v>
      </c>
      <c r="T930">
        <f t="shared" si="29"/>
        <v>1</v>
      </c>
    </row>
    <row r="931" spans="1:20" x14ac:dyDescent="0.2">
      <c r="A931" t="s">
        <v>1123</v>
      </c>
      <c r="B931">
        <f>IF(COUNTIFS('United Data'!$A$3:$A$3390,B$1,'United Data'!$C$3:$C$3390,$A931,'United Data'!$B$3:$B$3390,"&lt;&gt;Off-street")&gt;0,1,0)</f>
        <v>0</v>
      </c>
      <c r="C931">
        <f>IF(COUNTIFS('United Data'!$A$3:$A$3390,C$1,'United Data'!$C$3:$C$3390,$A931,'United Data'!$B$3:$B$3390,"&lt;&gt;Off-street")&gt;0,1,0)</f>
        <v>0</v>
      </c>
      <c r="D931">
        <f>IF(COUNTIFS('United Data'!$A$3:$A$3390,D$1,'United Data'!$C$3:$C$3390,$A931,'United Data'!$B$3:$B$3390,"&lt;&gt;Off-street")&gt;0,1,0)</f>
        <v>0</v>
      </c>
      <c r="E931">
        <f>IF(COUNTIFS('United Data'!$A$3:$A$3390,E$1,'United Data'!$C$3:$C$3390,$A931,'United Data'!$B$3:$B$3390,"&lt;&gt;Off-street")&gt;0,1,0)</f>
        <v>0</v>
      </c>
      <c r="F931">
        <f>IF(COUNTIFS('United Data'!$A$3:$A$3390,F$1,'United Data'!$C$3:$C$3390,$A931,'United Data'!$B$3:$B$3390,"&lt;&gt;Off-street")&gt;0,1,0)</f>
        <v>0</v>
      </c>
      <c r="G931">
        <f>IF(COUNTIFS('United Data'!$A$3:$A$3390,G$1,'United Data'!$C$3:$C$3390,$A931,'United Data'!$B$3:$B$3390,"&lt;&gt;Off-street")&gt;0,1,0)</f>
        <v>1</v>
      </c>
      <c r="H931">
        <f>IF(COUNTIFS('United Data'!$A$3:$A$3390,H$1,'United Data'!$C$3:$C$3390,$A931,'United Data'!$B$3:$B$3390,"&lt;&gt;Off-street")&gt;0,1,0)</f>
        <v>0</v>
      </c>
      <c r="I931">
        <f>IF(COUNTIFS('United Data'!$A$3:$A$3390,I$1,'United Data'!$C$3:$C$3390,$A931,'United Data'!$B$3:$B$3390,"&lt;&gt;Off-street")&gt;0,1,0)</f>
        <v>0</v>
      </c>
      <c r="J931">
        <f>IF(COUNTIFS('United Data'!$A$3:$A$3390,J$1,'United Data'!$C$3:$C$3390,$A931,'United Data'!$B$3:$B$3390,"&lt;&gt;Off-street")&gt;0,1,0)</f>
        <v>0</v>
      </c>
      <c r="K931">
        <f>IF(COUNTIFS('United Data'!$A$3:$A$3390,K$1,'United Data'!$C$3:$C$3390,$A931,'United Data'!$B$3:$B$3390,"&lt;&gt;Off-street")&gt;0,1,0)</f>
        <v>0</v>
      </c>
      <c r="L931">
        <f>IF(COUNTIFS('United Data'!$A$3:$A$3390,L$1,'United Data'!$C$3:$C$3390,$A931,'United Data'!$B$3:$B$3390,"&lt;&gt;Off-street")&gt;0,1,0)</f>
        <v>0</v>
      </c>
      <c r="M931">
        <f>IF(COUNTIFS('United Data'!$A$3:$A$3390,M$1,'United Data'!$C$3:$C$3390,$A931,'United Data'!$B$3:$B$3390,"&lt;&gt;Off-street")&gt;0,1,0)</f>
        <v>0</v>
      </c>
      <c r="N931">
        <f>IF(COUNTIFS('United Data'!$A$3:$A$3390,N$1,'United Data'!$C$3:$C$3390,$A931,'United Data'!$B$3:$B$3390,"&lt;&gt;Off-street")&gt;0,1,0)</f>
        <v>0</v>
      </c>
      <c r="O931">
        <f>IF(COUNTIFS('United Data'!$A$3:$A$3390,O$1,'United Data'!$C$3:$C$3390,$A931,'United Data'!$B$3:$B$3390,"&lt;&gt;Off-street")&gt;0,1,0)</f>
        <v>0</v>
      </c>
      <c r="P931">
        <f>IF(COUNTIFS('United Data'!$A$3:$A$3390,P$1,'United Data'!$C$3:$C$3390,$A931,'United Data'!$B$3:$B$3390,"&lt;&gt;Off-street")&gt;0,1,0)</f>
        <v>0</v>
      </c>
      <c r="Q931">
        <f>IF(COUNTIFS('United Data'!$A$3:$A$3390,Q$1,'United Data'!$C$3:$C$3390,$A931,'United Data'!$B$3:$B$3390,"&lt;&gt;Off-street")&gt;0,1,0)</f>
        <v>0</v>
      </c>
      <c r="R931">
        <f>IF(COUNTIFS('United Data'!$A$3:$A$3390,R$1,'United Data'!$C$3:$C$3390,$A931,'United Data'!$B$3:$B$3390,"&lt;&gt;Off-street")&gt;0,1,0)</f>
        <v>0</v>
      </c>
      <c r="S931">
        <f t="shared" si="28"/>
        <v>1</v>
      </c>
      <c r="T931">
        <f t="shared" si="29"/>
        <v>1</v>
      </c>
    </row>
    <row r="932" spans="1:20" x14ac:dyDescent="0.2">
      <c r="A932" t="s">
        <v>1124</v>
      </c>
      <c r="B932">
        <f>IF(COUNTIFS('United Data'!$A$3:$A$3390,B$1,'United Data'!$C$3:$C$3390,$A932,'United Data'!$B$3:$B$3390,"&lt;&gt;Off-street")&gt;0,1,0)</f>
        <v>0</v>
      </c>
      <c r="C932">
        <f>IF(COUNTIFS('United Data'!$A$3:$A$3390,C$1,'United Data'!$C$3:$C$3390,$A932,'United Data'!$B$3:$B$3390,"&lt;&gt;Off-street")&gt;0,1,0)</f>
        <v>0</v>
      </c>
      <c r="D932">
        <f>IF(COUNTIFS('United Data'!$A$3:$A$3390,D$1,'United Data'!$C$3:$C$3390,$A932,'United Data'!$B$3:$B$3390,"&lt;&gt;Off-street")&gt;0,1,0)</f>
        <v>0</v>
      </c>
      <c r="E932">
        <f>IF(COUNTIFS('United Data'!$A$3:$A$3390,E$1,'United Data'!$C$3:$C$3390,$A932,'United Data'!$B$3:$B$3390,"&lt;&gt;Off-street")&gt;0,1,0)</f>
        <v>0</v>
      </c>
      <c r="F932">
        <f>IF(COUNTIFS('United Data'!$A$3:$A$3390,F$1,'United Data'!$C$3:$C$3390,$A932,'United Data'!$B$3:$B$3390,"&lt;&gt;Off-street")&gt;0,1,0)</f>
        <v>0</v>
      </c>
      <c r="G932">
        <f>IF(COUNTIFS('United Data'!$A$3:$A$3390,G$1,'United Data'!$C$3:$C$3390,$A932,'United Data'!$B$3:$B$3390,"&lt;&gt;Off-street")&gt;0,1,0)</f>
        <v>1</v>
      </c>
      <c r="H932">
        <f>IF(COUNTIFS('United Data'!$A$3:$A$3390,H$1,'United Data'!$C$3:$C$3390,$A932,'United Data'!$B$3:$B$3390,"&lt;&gt;Off-street")&gt;0,1,0)</f>
        <v>0</v>
      </c>
      <c r="I932">
        <f>IF(COUNTIFS('United Data'!$A$3:$A$3390,I$1,'United Data'!$C$3:$C$3390,$A932,'United Data'!$B$3:$B$3390,"&lt;&gt;Off-street")&gt;0,1,0)</f>
        <v>0</v>
      </c>
      <c r="J932">
        <f>IF(COUNTIFS('United Data'!$A$3:$A$3390,J$1,'United Data'!$C$3:$C$3390,$A932,'United Data'!$B$3:$B$3390,"&lt;&gt;Off-street")&gt;0,1,0)</f>
        <v>0</v>
      </c>
      <c r="K932">
        <f>IF(COUNTIFS('United Data'!$A$3:$A$3390,K$1,'United Data'!$C$3:$C$3390,$A932,'United Data'!$B$3:$B$3390,"&lt;&gt;Off-street")&gt;0,1,0)</f>
        <v>0</v>
      </c>
      <c r="L932">
        <f>IF(COUNTIFS('United Data'!$A$3:$A$3390,L$1,'United Data'!$C$3:$C$3390,$A932,'United Data'!$B$3:$B$3390,"&lt;&gt;Off-street")&gt;0,1,0)</f>
        <v>0</v>
      </c>
      <c r="M932">
        <f>IF(COUNTIFS('United Data'!$A$3:$A$3390,M$1,'United Data'!$C$3:$C$3390,$A932,'United Data'!$B$3:$B$3390,"&lt;&gt;Off-street")&gt;0,1,0)</f>
        <v>0</v>
      </c>
      <c r="N932">
        <f>IF(COUNTIFS('United Data'!$A$3:$A$3390,N$1,'United Data'!$C$3:$C$3390,$A932,'United Data'!$B$3:$B$3390,"&lt;&gt;Off-street")&gt;0,1,0)</f>
        <v>0</v>
      </c>
      <c r="O932">
        <f>IF(COUNTIFS('United Data'!$A$3:$A$3390,O$1,'United Data'!$C$3:$C$3390,$A932,'United Data'!$B$3:$B$3390,"&lt;&gt;Off-street")&gt;0,1,0)</f>
        <v>0</v>
      </c>
      <c r="P932">
        <f>IF(COUNTIFS('United Data'!$A$3:$A$3390,P$1,'United Data'!$C$3:$C$3390,$A932,'United Data'!$B$3:$B$3390,"&lt;&gt;Off-street")&gt;0,1,0)</f>
        <v>0</v>
      </c>
      <c r="Q932">
        <f>IF(COUNTIFS('United Data'!$A$3:$A$3390,Q$1,'United Data'!$C$3:$C$3390,$A932,'United Data'!$B$3:$B$3390,"&lt;&gt;Off-street")&gt;0,1,0)</f>
        <v>0</v>
      </c>
      <c r="R932">
        <f>IF(COUNTIFS('United Data'!$A$3:$A$3390,R$1,'United Data'!$C$3:$C$3390,$A932,'United Data'!$B$3:$B$3390,"&lt;&gt;Off-street")&gt;0,1,0)</f>
        <v>0</v>
      </c>
      <c r="S932">
        <f t="shared" si="28"/>
        <v>1</v>
      </c>
      <c r="T932">
        <f t="shared" si="29"/>
        <v>1</v>
      </c>
    </row>
    <row r="933" spans="1:20" x14ac:dyDescent="0.2">
      <c r="A933" t="s">
        <v>1125</v>
      </c>
      <c r="B933">
        <f>IF(COUNTIFS('United Data'!$A$3:$A$3390,B$1,'United Data'!$C$3:$C$3390,$A933,'United Data'!$B$3:$B$3390,"&lt;&gt;Off-street")&gt;0,1,0)</f>
        <v>0</v>
      </c>
      <c r="C933">
        <f>IF(COUNTIFS('United Data'!$A$3:$A$3390,C$1,'United Data'!$C$3:$C$3390,$A933,'United Data'!$B$3:$B$3390,"&lt;&gt;Off-street")&gt;0,1,0)</f>
        <v>0</v>
      </c>
      <c r="D933">
        <f>IF(COUNTIFS('United Data'!$A$3:$A$3390,D$1,'United Data'!$C$3:$C$3390,$A933,'United Data'!$B$3:$B$3390,"&lt;&gt;Off-street")&gt;0,1,0)</f>
        <v>0</v>
      </c>
      <c r="E933">
        <f>IF(COUNTIFS('United Data'!$A$3:$A$3390,E$1,'United Data'!$C$3:$C$3390,$A933,'United Data'!$B$3:$B$3390,"&lt;&gt;Off-street")&gt;0,1,0)</f>
        <v>0</v>
      </c>
      <c r="F933">
        <f>IF(COUNTIFS('United Data'!$A$3:$A$3390,F$1,'United Data'!$C$3:$C$3390,$A933,'United Data'!$B$3:$B$3390,"&lt;&gt;Off-street")&gt;0,1,0)</f>
        <v>0</v>
      </c>
      <c r="G933">
        <f>IF(COUNTIFS('United Data'!$A$3:$A$3390,G$1,'United Data'!$C$3:$C$3390,$A933,'United Data'!$B$3:$B$3390,"&lt;&gt;Off-street")&gt;0,1,0)</f>
        <v>0</v>
      </c>
      <c r="H933">
        <f>IF(COUNTIFS('United Data'!$A$3:$A$3390,H$1,'United Data'!$C$3:$C$3390,$A933,'United Data'!$B$3:$B$3390,"&lt;&gt;Off-street")&gt;0,1,0)</f>
        <v>1</v>
      </c>
      <c r="I933">
        <f>IF(COUNTIFS('United Data'!$A$3:$A$3390,I$1,'United Data'!$C$3:$C$3390,$A933,'United Data'!$B$3:$B$3390,"&lt;&gt;Off-street")&gt;0,1,0)</f>
        <v>0</v>
      </c>
      <c r="J933">
        <f>IF(COUNTIFS('United Data'!$A$3:$A$3390,J$1,'United Data'!$C$3:$C$3390,$A933,'United Data'!$B$3:$B$3390,"&lt;&gt;Off-street")&gt;0,1,0)</f>
        <v>0</v>
      </c>
      <c r="K933">
        <f>IF(COUNTIFS('United Data'!$A$3:$A$3390,K$1,'United Data'!$C$3:$C$3390,$A933,'United Data'!$B$3:$B$3390,"&lt;&gt;Off-street")&gt;0,1,0)</f>
        <v>0</v>
      </c>
      <c r="L933">
        <f>IF(COUNTIFS('United Data'!$A$3:$A$3390,L$1,'United Data'!$C$3:$C$3390,$A933,'United Data'!$B$3:$B$3390,"&lt;&gt;Off-street")&gt;0,1,0)</f>
        <v>0</v>
      </c>
      <c r="M933">
        <f>IF(COUNTIFS('United Data'!$A$3:$A$3390,M$1,'United Data'!$C$3:$C$3390,$A933,'United Data'!$B$3:$B$3390,"&lt;&gt;Off-street")&gt;0,1,0)</f>
        <v>0</v>
      </c>
      <c r="N933">
        <f>IF(COUNTIFS('United Data'!$A$3:$A$3390,N$1,'United Data'!$C$3:$C$3390,$A933,'United Data'!$B$3:$B$3390,"&lt;&gt;Off-street")&gt;0,1,0)</f>
        <v>0</v>
      </c>
      <c r="O933">
        <f>IF(COUNTIFS('United Data'!$A$3:$A$3390,O$1,'United Data'!$C$3:$C$3390,$A933,'United Data'!$B$3:$B$3390,"&lt;&gt;Off-street")&gt;0,1,0)</f>
        <v>0</v>
      </c>
      <c r="P933">
        <f>IF(COUNTIFS('United Data'!$A$3:$A$3390,P$1,'United Data'!$C$3:$C$3390,$A933,'United Data'!$B$3:$B$3390,"&lt;&gt;Off-street")&gt;0,1,0)</f>
        <v>0</v>
      </c>
      <c r="Q933">
        <f>IF(COUNTIFS('United Data'!$A$3:$A$3390,Q$1,'United Data'!$C$3:$C$3390,$A933,'United Data'!$B$3:$B$3390,"&lt;&gt;Off-street")&gt;0,1,0)</f>
        <v>0</v>
      </c>
      <c r="R933">
        <f>IF(COUNTIFS('United Data'!$A$3:$A$3390,R$1,'United Data'!$C$3:$C$3390,$A933,'United Data'!$B$3:$B$3390,"&lt;&gt;Off-street")&gt;0,1,0)</f>
        <v>0</v>
      </c>
      <c r="S933">
        <f t="shared" si="28"/>
        <v>1</v>
      </c>
      <c r="T933">
        <f t="shared" si="29"/>
        <v>1</v>
      </c>
    </row>
    <row r="934" spans="1:20" x14ac:dyDescent="0.2">
      <c r="A934" t="s">
        <v>1126</v>
      </c>
      <c r="B934">
        <f>IF(COUNTIFS('United Data'!$A$3:$A$3390,B$1,'United Data'!$C$3:$C$3390,$A934,'United Data'!$B$3:$B$3390,"&lt;&gt;Off-street")&gt;0,1,0)</f>
        <v>0</v>
      </c>
      <c r="C934">
        <f>IF(COUNTIFS('United Data'!$A$3:$A$3390,C$1,'United Data'!$C$3:$C$3390,$A934,'United Data'!$B$3:$B$3390,"&lt;&gt;Off-street")&gt;0,1,0)</f>
        <v>0</v>
      </c>
      <c r="D934">
        <f>IF(COUNTIFS('United Data'!$A$3:$A$3390,D$1,'United Data'!$C$3:$C$3390,$A934,'United Data'!$B$3:$B$3390,"&lt;&gt;Off-street")&gt;0,1,0)</f>
        <v>0</v>
      </c>
      <c r="E934">
        <f>IF(COUNTIFS('United Data'!$A$3:$A$3390,E$1,'United Data'!$C$3:$C$3390,$A934,'United Data'!$B$3:$B$3390,"&lt;&gt;Off-street")&gt;0,1,0)</f>
        <v>0</v>
      </c>
      <c r="F934">
        <f>IF(COUNTIFS('United Data'!$A$3:$A$3390,F$1,'United Data'!$C$3:$C$3390,$A934,'United Data'!$B$3:$B$3390,"&lt;&gt;Off-street")&gt;0,1,0)</f>
        <v>0</v>
      </c>
      <c r="G934">
        <f>IF(COUNTIFS('United Data'!$A$3:$A$3390,G$1,'United Data'!$C$3:$C$3390,$A934,'United Data'!$B$3:$B$3390,"&lt;&gt;Off-street")&gt;0,1,0)</f>
        <v>0</v>
      </c>
      <c r="H934">
        <f>IF(COUNTIFS('United Data'!$A$3:$A$3390,H$1,'United Data'!$C$3:$C$3390,$A934,'United Data'!$B$3:$B$3390,"&lt;&gt;Off-street")&gt;0,1,0)</f>
        <v>1</v>
      </c>
      <c r="I934">
        <f>IF(COUNTIFS('United Data'!$A$3:$A$3390,I$1,'United Data'!$C$3:$C$3390,$A934,'United Data'!$B$3:$B$3390,"&lt;&gt;Off-street")&gt;0,1,0)</f>
        <v>0</v>
      </c>
      <c r="J934">
        <f>IF(COUNTIFS('United Data'!$A$3:$A$3390,J$1,'United Data'!$C$3:$C$3390,$A934,'United Data'!$B$3:$B$3390,"&lt;&gt;Off-street")&gt;0,1,0)</f>
        <v>0</v>
      </c>
      <c r="K934">
        <f>IF(COUNTIFS('United Data'!$A$3:$A$3390,K$1,'United Data'!$C$3:$C$3390,$A934,'United Data'!$B$3:$B$3390,"&lt;&gt;Off-street")&gt;0,1,0)</f>
        <v>1</v>
      </c>
      <c r="L934">
        <f>IF(COUNTIFS('United Data'!$A$3:$A$3390,L$1,'United Data'!$C$3:$C$3390,$A934,'United Data'!$B$3:$B$3390,"&lt;&gt;Off-street")&gt;0,1,0)</f>
        <v>0</v>
      </c>
      <c r="M934">
        <f>IF(COUNTIFS('United Data'!$A$3:$A$3390,M$1,'United Data'!$C$3:$C$3390,$A934,'United Data'!$B$3:$B$3390,"&lt;&gt;Off-street")&gt;0,1,0)</f>
        <v>0</v>
      </c>
      <c r="N934">
        <f>IF(COUNTIFS('United Data'!$A$3:$A$3390,N$1,'United Data'!$C$3:$C$3390,$A934,'United Data'!$B$3:$B$3390,"&lt;&gt;Off-street")&gt;0,1,0)</f>
        <v>0</v>
      </c>
      <c r="O934">
        <f>IF(COUNTIFS('United Data'!$A$3:$A$3390,O$1,'United Data'!$C$3:$C$3390,$A934,'United Data'!$B$3:$B$3390,"&lt;&gt;Off-street")&gt;0,1,0)</f>
        <v>0</v>
      </c>
      <c r="P934">
        <f>IF(COUNTIFS('United Data'!$A$3:$A$3390,P$1,'United Data'!$C$3:$C$3390,$A934,'United Data'!$B$3:$B$3390,"&lt;&gt;Off-street")&gt;0,1,0)</f>
        <v>0</v>
      </c>
      <c r="Q934">
        <f>IF(COUNTIFS('United Data'!$A$3:$A$3390,Q$1,'United Data'!$C$3:$C$3390,$A934,'United Data'!$B$3:$B$3390,"&lt;&gt;Off-street")&gt;0,1,0)</f>
        <v>0</v>
      </c>
      <c r="R934">
        <f>IF(COUNTIFS('United Data'!$A$3:$A$3390,R$1,'United Data'!$C$3:$C$3390,$A934,'United Data'!$B$3:$B$3390,"&lt;&gt;Off-street")&gt;0,1,0)</f>
        <v>0</v>
      </c>
      <c r="S934">
        <f t="shared" si="28"/>
        <v>2</v>
      </c>
      <c r="T934">
        <f t="shared" si="29"/>
        <v>2</v>
      </c>
    </row>
    <row r="935" spans="1:20" x14ac:dyDescent="0.2">
      <c r="A935" t="s">
        <v>1127</v>
      </c>
      <c r="B935">
        <f>IF(COUNTIFS('United Data'!$A$3:$A$3390,B$1,'United Data'!$C$3:$C$3390,$A935,'United Data'!$B$3:$B$3390,"&lt;&gt;Off-street")&gt;0,1,0)</f>
        <v>0</v>
      </c>
      <c r="C935">
        <f>IF(COUNTIFS('United Data'!$A$3:$A$3390,C$1,'United Data'!$C$3:$C$3390,$A935,'United Data'!$B$3:$B$3390,"&lt;&gt;Off-street")&gt;0,1,0)</f>
        <v>0</v>
      </c>
      <c r="D935">
        <f>IF(COUNTIFS('United Data'!$A$3:$A$3390,D$1,'United Data'!$C$3:$C$3390,$A935,'United Data'!$B$3:$B$3390,"&lt;&gt;Off-street")&gt;0,1,0)</f>
        <v>0</v>
      </c>
      <c r="E935">
        <f>IF(COUNTIFS('United Data'!$A$3:$A$3390,E$1,'United Data'!$C$3:$C$3390,$A935,'United Data'!$B$3:$B$3390,"&lt;&gt;Off-street")&gt;0,1,0)</f>
        <v>0</v>
      </c>
      <c r="F935">
        <f>IF(COUNTIFS('United Data'!$A$3:$A$3390,F$1,'United Data'!$C$3:$C$3390,$A935,'United Data'!$B$3:$B$3390,"&lt;&gt;Off-street")&gt;0,1,0)</f>
        <v>0</v>
      </c>
      <c r="G935">
        <f>IF(COUNTIFS('United Data'!$A$3:$A$3390,G$1,'United Data'!$C$3:$C$3390,$A935,'United Data'!$B$3:$B$3390,"&lt;&gt;Off-street")&gt;0,1,0)</f>
        <v>0</v>
      </c>
      <c r="H935">
        <f>IF(COUNTIFS('United Data'!$A$3:$A$3390,H$1,'United Data'!$C$3:$C$3390,$A935,'United Data'!$B$3:$B$3390,"&lt;&gt;Off-street")&gt;0,1,0)</f>
        <v>1</v>
      </c>
      <c r="I935">
        <f>IF(COUNTIFS('United Data'!$A$3:$A$3390,I$1,'United Data'!$C$3:$C$3390,$A935,'United Data'!$B$3:$B$3390,"&lt;&gt;Off-street")&gt;0,1,0)</f>
        <v>0</v>
      </c>
      <c r="J935">
        <f>IF(COUNTIFS('United Data'!$A$3:$A$3390,J$1,'United Data'!$C$3:$C$3390,$A935,'United Data'!$B$3:$B$3390,"&lt;&gt;Off-street")&gt;0,1,0)</f>
        <v>0</v>
      </c>
      <c r="K935">
        <f>IF(COUNTIFS('United Data'!$A$3:$A$3390,K$1,'United Data'!$C$3:$C$3390,$A935,'United Data'!$B$3:$B$3390,"&lt;&gt;Off-street")&gt;0,1,0)</f>
        <v>0</v>
      </c>
      <c r="L935">
        <f>IF(COUNTIFS('United Data'!$A$3:$A$3390,L$1,'United Data'!$C$3:$C$3390,$A935,'United Data'!$B$3:$B$3390,"&lt;&gt;Off-street")&gt;0,1,0)</f>
        <v>0</v>
      </c>
      <c r="M935">
        <f>IF(COUNTIFS('United Data'!$A$3:$A$3390,M$1,'United Data'!$C$3:$C$3390,$A935,'United Data'!$B$3:$B$3390,"&lt;&gt;Off-street")&gt;0,1,0)</f>
        <v>0</v>
      </c>
      <c r="N935">
        <f>IF(COUNTIFS('United Data'!$A$3:$A$3390,N$1,'United Data'!$C$3:$C$3390,$A935,'United Data'!$B$3:$B$3390,"&lt;&gt;Off-street")&gt;0,1,0)</f>
        <v>0</v>
      </c>
      <c r="O935">
        <f>IF(COUNTIFS('United Data'!$A$3:$A$3390,O$1,'United Data'!$C$3:$C$3390,$A935,'United Data'!$B$3:$B$3390,"&lt;&gt;Off-street")&gt;0,1,0)</f>
        <v>0</v>
      </c>
      <c r="P935">
        <f>IF(COUNTIFS('United Data'!$A$3:$A$3390,P$1,'United Data'!$C$3:$C$3390,$A935,'United Data'!$B$3:$B$3390,"&lt;&gt;Off-street")&gt;0,1,0)</f>
        <v>0</v>
      </c>
      <c r="Q935">
        <f>IF(COUNTIFS('United Data'!$A$3:$A$3390,Q$1,'United Data'!$C$3:$C$3390,$A935,'United Data'!$B$3:$B$3390,"&lt;&gt;Off-street")&gt;0,1,0)</f>
        <v>0</v>
      </c>
      <c r="R935">
        <f>IF(COUNTIFS('United Data'!$A$3:$A$3390,R$1,'United Data'!$C$3:$C$3390,$A935,'United Data'!$B$3:$B$3390,"&lt;&gt;Off-street")&gt;0,1,0)</f>
        <v>0</v>
      </c>
      <c r="S935">
        <f t="shared" si="28"/>
        <v>1</v>
      </c>
      <c r="T935">
        <f t="shared" si="29"/>
        <v>1</v>
      </c>
    </row>
    <row r="936" spans="1:20" x14ac:dyDescent="0.2">
      <c r="A936" t="s">
        <v>1128</v>
      </c>
      <c r="B936">
        <f>IF(COUNTIFS('United Data'!$A$3:$A$3390,B$1,'United Data'!$C$3:$C$3390,$A936,'United Data'!$B$3:$B$3390,"&lt;&gt;Off-street")&gt;0,1,0)</f>
        <v>0</v>
      </c>
      <c r="C936">
        <f>IF(COUNTIFS('United Data'!$A$3:$A$3390,C$1,'United Data'!$C$3:$C$3390,$A936,'United Data'!$B$3:$B$3390,"&lt;&gt;Off-street")&gt;0,1,0)</f>
        <v>0</v>
      </c>
      <c r="D936">
        <f>IF(COUNTIFS('United Data'!$A$3:$A$3390,D$1,'United Data'!$C$3:$C$3390,$A936,'United Data'!$B$3:$B$3390,"&lt;&gt;Off-street")&gt;0,1,0)</f>
        <v>0</v>
      </c>
      <c r="E936">
        <f>IF(COUNTIFS('United Data'!$A$3:$A$3390,E$1,'United Data'!$C$3:$C$3390,$A936,'United Data'!$B$3:$B$3390,"&lt;&gt;Off-street")&gt;0,1,0)</f>
        <v>0</v>
      </c>
      <c r="F936">
        <f>IF(COUNTIFS('United Data'!$A$3:$A$3390,F$1,'United Data'!$C$3:$C$3390,$A936,'United Data'!$B$3:$B$3390,"&lt;&gt;Off-street")&gt;0,1,0)</f>
        <v>0</v>
      </c>
      <c r="G936">
        <f>IF(COUNTIFS('United Data'!$A$3:$A$3390,G$1,'United Data'!$C$3:$C$3390,$A936,'United Data'!$B$3:$B$3390,"&lt;&gt;Off-street")&gt;0,1,0)</f>
        <v>0</v>
      </c>
      <c r="H936">
        <f>IF(COUNTIFS('United Data'!$A$3:$A$3390,H$1,'United Data'!$C$3:$C$3390,$A936,'United Data'!$B$3:$B$3390,"&lt;&gt;Off-street")&gt;0,1,0)</f>
        <v>0</v>
      </c>
      <c r="I936">
        <f>IF(COUNTIFS('United Data'!$A$3:$A$3390,I$1,'United Data'!$C$3:$C$3390,$A936,'United Data'!$B$3:$B$3390,"&lt;&gt;Off-street")&gt;0,1,0)</f>
        <v>1</v>
      </c>
      <c r="J936">
        <f>IF(COUNTIFS('United Data'!$A$3:$A$3390,J$1,'United Data'!$C$3:$C$3390,$A936,'United Data'!$B$3:$B$3390,"&lt;&gt;Off-street")&gt;0,1,0)</f>
        <v>0</v>
      </c>
      <c r="K936">
        <f>IF(COUNTIFS('United Data'!$A$3:$A$3390,K$1,'United Data'!$C$3:$C$3390,$A936,'United Data'!$B$3:$B$3390,"&lt;&gt;Off-street")&gt;0,1,0)</f>
        <v>0</v>
      </c>
      <c r="L936">
        <f>IF(COUNTIFS('United Data'!$A$3:$A$3390,L$1,'United Data'!$C$3:$C$3390,$A936,'United Data'!$B$3:$B$3390,"&lt;&gt;Off-street")&gt;0,1,0)</f>
        <v>0</v>
      </c>
      <c r="M936">
        <f>IF(COUNTIFS('United Data'!$A$3:$A$3390,M$1,'United Data'!$C$3:$C$3390,$A936,'United Data'!$B$3:$B$3390,"&lt;&gt;Off-street")&gt;0,1,0)</f>
        <v>1</v>
      </c>
      <c r="N936">
        <f>IF(COUNTIFS('United Data'!$A$3:$A$3390,N$1,'United Data'!$C$3:$C$3390,$A936,'United Data'!$B$3:$B$3390,"&lt;&gt;Off-street")&gt;0,1,0)</f>
        <v>0</v>
      </c>
      <c r="O936">
        <f>IF(COUNTIFS('United Data'!$A$3:$A$3390,O$1,'United Data'!$C$3:$C$3390,$A936,'United Data'!$B$3:$B$3390,"&lt;&gt;Off-street")&gt;0,1,0)</f>
        <v>0</v>
      </c>
      <c r="P936">
        <f>IF(COUNTIFS('United Data'!$A$3:$A$3390,P$1,'United Data'!$C$3:$C$3390,$A936,'United Data'!$B$3:$B$3390,"&lt;&gt;Off-street")&gt;0,1,0)</f>
        <v>0</v>
      </c>
      <c r="Q936">
        <f>IF(COUNTIFS('United Data'!$A$3:$A$3390,Q$1,'United Data'!$C$3:$C$3390,$A936,'United Data'!$B$3:$B$3390,"&lt;&gt;Off-street")&gt;0,1,0)</f>
        <v>0</v>
      </c>
      <c r="R936">
        <f>IF(COUNTIFS('United Data'!$A$3:$A$3390,R$1,'United Data'!$C$3:$C$3390,$A936,'United Data'!$B$3:$B$3390,"&lt;&gt;Off-street")&gt;0,1,0)</f>
        <v>0</v>
      </c>
      <c r="S936">
        <f t="shared" si="28"/>
        <v>2</v>
      </c>
      <c r="T936">
        <f t="shared" si="29"/>
        <v>2</v>
      </c>
    </row>
    <row r="937" spans="1:20" x14ac:dyDescent="0.2">
      <c r="A937" t="s">
        <v>1129</v>
      </c>
      <c r="B937">
        <f>IF(COUNTIFS('United Data'!$A$3:$A$3390,B$1,'United Data'!$C$3:$C$3390,$A937,'United Data'!$B$3:$B$3390,"&lt;&gt;Off-street")&gt;0,1,0)</f>
        <v>0</v>
      </c>
      <c r="C937">
        <f>IF(COUNTIFS('United Data'!$A$3:$A$3390,C$1,'United Data'!$C$3:$C$3390,$A937,'United Data'!$B$3:$B$3390,"&lt;&gt;Off-street")&gt;0,1,0)</f>
        <v>0</v>
      </c>
      <c r="D937">
        <f>IF(COUNTIFS('United Data'!$A$3:$A$3390,D$1,'United Data'!$C$3:$C$3390,$A937,'United Data'!$B$3:$B$3390,"&lt;&gt;Off-street")&gt;0,1,0)</f>
        <v>0</v>
      </c>
      <c r="E937">
        <f>IF(COUNTIFS('United Data'!$A$3:$A$3390,E$1,'United Data'!$C$3:$C$3390,$A937,'United Data'!$B$3:$B$3390,"&lt;&gt;Off-street")&gt;0,1,0)</f>
        <v>0</v>
      </c>
      <c r="F937">
        <f>IF(COUNTIFS('United Data'!$A$3:$A$3390,F$1,'United Data'!$C$3:$C$3390,$A937,'United Data'!$B$3:$B$3390,"&lt;&gt;Off-street")&gt;0,1,0)</f>
        <v>0</v>
      </c>
      <c r="G937">
        <f>IF(COUNTIFS('United Data'!$A$3:$A$3390,G$1,'United Data'!$C$3:$C$3390,$A937,'United Data'!$B$3:$B$3390,"&lt;&gt;Off-street")&gt;0,1,0)</f>
        <v>0</v>
      </c>
      <c r="H937">
        <f>IF(COUNTIFS('United Data'!$A$3:$A$3390,H$1,'United Data'!$C$3:$C$3390,$A937,'United Data'!$B$3:$B$3390,"&lt;&gt;Off-street")&gt;0,1,0)</f>
        <v>0</v>
      </c>
      <c r="I937">
        <f>IF(COUNTIFS('United Data'!$A$3:$A$3390,I$1,'United Data'!$C$3:$C$3390,$A937,'United Data'!$B$3:$B$3390,"&lt;&gt;Off-street")&gt;0,1,0)</f>
        <v>0</v>
      </c>
      <c r="J937">
        <f>IF(COUNTIFS('United Data'!$A$3:$A$3390,J$1,'United Data'!$C$3:$C$3390,$A937,'United Data'!$B$3:$B$3390,"&lt;&gt;Off-street")&gt;0,1,0)</f>
        <v>1</v>
      </c>
      <c r="K937">
        <f>IF(COUNTIFS('United Data'!$A$3:$A$3390,K$1,'United Data'!$C$3:$C$3390,$A937,'United Data'!$B$3:$B$3390,"&lt;&gt;Off-street")&gt;0,1,0)</f>
        <v>0</v>
      </c>
      <c r="L937">
        <f>IF(COUNTIFS('United Data'!$A$3:$A$3390,L$1,'United Data'!$C$3:$C$3390,$A937,'United Data'!$B$3:$B$3390,"&lt;&gt;Off-street")&gt;0,1,0)</f>
        <v>0</v>
      </c>
      <c r="M937">
        <f>IF(COUNTIFS('United Data'!$A$3:$A$3390,M$1,'United Data'!$C$3:$C$3390,$A937,'United Data'!$B$3:$B$3390,"&lt;&gt;Off-street")&gt;0,1,0)</f>
        <v>0</v>
      </c>
      <c r="N937">
        <f>IF(COUNTIFS('United Data'!$A$3:$A$3390,N$1,'United Data'!$C$3:$C$3390,$A937,'United Data'!$B$3:$B$3390,"&lt;&gt;Off-street")&gt;0,1,0)</f>
        <v>0</v>
      </c>
      <c r="O937">
        <f>IF(COUNTIFS('United Data'!$A$3:$A$3390,O$1,'United Data'!$C$3:$C$3390,$A937,'United Data'!$B$3:$B$3390,"&lt;&gt;Off-street")&gt;0,1,0)</f>
        <v>0</v>
      </c>
      <c r="P937">
        <f>IF(COUNTIFS('United Data'!$A$3:$A$3390,P$1,'United Data'!$C$3:$C$3390,$A937,'United Data'!$B$3:$B$3390,"&lt;&gt;Off-street")&gt;0,1,0)</f>
        <v>0</v>
      </c>
      <c r="Q937">
        <f>IF(COUNTIFS('United Data'!$A$3:$A$3390,Q$1,'United Data'!$C$3:$C$3390,$A937,'United Data'!$B$3:$B$3390,"&lt;&gt;Off-street")&gt;0,1,0)</f>
        <v>0</v>
      </c>
      <c r="R937">
        <f>IF(COUNTIFS('United Data'!$A$3:$A$3390,R$1,'United Data'!$C$3:$C$3390,$A937,'United Data'!$B$3:$B$3390,"&lt;&gt;Off-street")&gt;0,1,0)</f>
        <v>0</v>
      </c>
      <c r="S937">
        <f t="shared" si="28"/>
        <v>1</v>
      </c>
      <c r="T937">
        <f t="shared" si="29"/>
        <v>1</v>
      </c>
    </row>
    <row r="938" spans="1:20" x14ac:dyDescent="0.2">
      <c r="A938" t="s">
        <v>2087</v>
      </c>
      <c r="B938">
        <f>IF(COUNTIFS('United Data'!$A$3:$A$3390,B$1,'United Data'!$C$3:$C$3390,$A938,'United Data'!$B$3:$B$3390,"&lt;&gt;Off-street")&gt;0,1,0)</f>
        <v>0</v>
      </c>
      <c r="C938">
        <f>IF(COUNTIFS('United Data'!$A$3:$A$3390,C$1,'United Data'!$C$3:$C$3390,$A938,'United Data'!$B$3:$B$3390,"&lt;&gt;Off-street")&gt;0,1,0)</f>
        <v>0</v>
      </c>
      <c r="D938">
        <f>IF(COUNTIFS('United Data'!$A$3:$A$3390,D$1,'United Data'!$C$3:$C$3390,$A938,'United Data'!$B$3:$B$3390,"&lt;&gt;Off-street")&gt;0,1,0)</f>
        <v>0</v>
      </c>
      <c r="E938">
        <f>IF(COUNTIFS('United Data'!$A$3:$A$3390,E$1,'United Data'!$C$3:$C$3390,$A938,'United Data'!$B$3:$B$3390,"&lt;&gt;Off-street")&gt;0,1,0)</f>
        <v>0</v>
      </c>
      <c r="F938">
        <f>IF(COUNTIFS('United Data'!$A$3:$A$3390,F$1,'United Data'!$C$3:$C$3390,$A938,'United Data'!$B$3:$B$3390,"&lt;&gt;Off-street")&gt;0,1,0)</f>
        <v>0</v>
      </c>
      <c r="G938">
        <f>IF(COUNTIFS('United Data'!$A$3:$A$3390,G$1,'United Data'!$C$3:$C$3390,$A938,'United Data'!$B$3:$B$3390,"&lt;&gt;Off-street")&gt;0,1,0)</f>
        <v>0</v>
      </c>
      <c r="H938">
        <f>IF(COUNTIFS('United Data'!$A$3:$A$3390,H$1,'United Data'!$C$3:$C$3390,$A938,'United Data'!$B$3:$B$3390,"&lt;&gt;Off-street")&gt;0,1,0)</f>
        <v>0</v>
      </c>
      <c r="I938">
        <f>IF(COUNTIFS('United Data'!$A$3:$A$3390,I$1,'United Data'!$C$3:$C$3390,$A938,'United Data'!$B$3:$B$3390,"&lt;&gt;Off-street")&gt;0,1,0)</f>
        <v>0</v>
      </c>
      <c r="J938">
        <f>IF(COUNTIFS('United Data'!$A$3:$A$3390,J$1,'United Data'!$C$3:$C$3390,$A938,'United Data'!$B$3:$B$3390,"&lt;&gt;Off-street")&gt;0,1,0)</f>
        <v>0</v>
      </c>
      <c r="K938">
        <f>IF(COUNTIFS('United Data'!$A$3:$A$3390,K$1,'United Data'!$C$3:$C$3390,$A938,'United Data'!$B$3:$B$3390,"&lt;&gt;Off-street")&gt;0,1,0)</f>
        <v>0</v>
      </c>
      <c r="L938">
        <f>IF(COUNTIFS('United Data'!$A$3:$A$3390,L$1,'United Data'!$C$3:$C$3390,$A938,'United Data'!$B$3:$B$3390,"&lt;&gt;Off-street")&gt;0,1,0)</f>
        <v>0</v>
      </c>
      <c r="M938">
        <f>IF(COUNTIFS('United Data'!$A$3:$A$3390,M$1,'United Data'!$C$3:$C$3390,$A938,'United Data'!$B$3:$B$3390,"&lt;&gt;Off-street")&gt;0,1,0)</f>
        <v>0</v>
      </c>
      <c r="N938">
        <f>IF(COUNTIFS('United Data'!$A$3:$A$3390,N$1,'United Data'!$C$3:$C$3390,$A938,'United Data'!$B$3:$B$3390,"&lt;&gt;Off-street")&gt;0,1,0)</f>
        <v>0</v>
      </c>
      <c r="O938">
        <f>IF(COUNTIFS('United Data'!$A$3:$A$3390,O$1,'United Data'!$C$3:$C$3390,$A938,'United Data'!$B$3:$B$3390,"&lt;&gt;Off-street")&gt;0,1,0)</f>
        <v>0</v>
      </c>
      <c r="P938">
        <f>IF(COUNTIFS('United Data'!$A$3:$A$3390,P$1,'United Data'!$C$3:$C$3390,$A938,'United Data'!$B$3:$B$3390,"&lt;&gt;Off-street")&gt;0,1,0)</f>
        <v>0</v>
      </c>
      <c r="Q938">
        <f>IF(COUNTIFS('United Data'!$A$3:$A$3390,Q$1,'United Data'!$C$3:$C$3390,$A938,'United Data'!$B$3:$B$3390,"&lt;&gt;Off-street")&gt;0,1,0)</f>
        <v>0</v>
      </c>
      <c r="R938">
        <f>IF(COUNTIFS('United Data'!$A$3:$A$3390,R$1,'United Data'!$C$3:$C$3390,$A938,'United Data'!$B$3:$B$3390,"&lt;&gt;Off-street")&gt;0,1,0)</f>
        <v>0</v>
      </c>
      <c r="S938">
        <f t="shared" si="28"/>
        <v>0</v>
      </c>
      <c r="T938">
        <f t="shared" si="29"/>
        <v>0</v>
      </c>
    </row>
    <row r="939" spans="1:20" x14ac:dyDescent="0.2">
      <c r="A939" t="s">
        <v>1131</v>
      </c>
      <c r="B939">
        <f>IF(COUNTIFS('United Data'!$A$3:$A$3390,B$1,'United Data'!$C$3:$C$3390,$A939,'United Data'!$B$3:$B$3390,"&lt;&gt;Off-street")&gt;0,1,0)</f>
        <v>0</v>
      </c>
      <c r="C939">
        <f>IF(COUNTIFS('United Data'!$A$3:$A$3390,C$1,'United Data'!$C$3:$C$3390,$A939,'United Data'!$B$3:$B$3390,"&lt;&gt;Off-street")&gt;0,1,0)</f>
        <v>0</v>
      </c>
      <c r="D939">
        <f>IF(COUNTIFS('United Data'!$A$3:$A$3390,D$1,'United Data'!$C$3:$C$3390,$A939,'United Data'!$B$3:$B$3390,"&lt;&gt;Off-street")&gt;0,1,0)</f>
        <v>0</v>
      </c>
      <c r="E939">
        <f>IF(COUNTIFS('United Data'!$A$3:$A$3390,E$1,'United Data'!$C$3:$C$3390,$A939,'United Data'!$B$3:$B$3390,"&lt;&gt;Off-street")&gt;0,1,0)</f>
        <v>0</v>
      </c>
      <c r="F939">
        <f>IF(COUNTIFS('United Data'!$A$3:$A$3390,F$1,'United Data'!$C$3:$C$3390,$A939,'United Data'!$B$3:$B$3390,"&lt;&gt;Off-street")&gt;0,1,0)</f>
        <v>0</v>
      </c>
      <c r="G939">
        <f>IF(COUNTIFS('United Data'!$A$3:$A$3390,G$1,'United Data'!$C$3:$C$3390,$A939,'United Data'!$B$3:$B$3390,"&lt;&gt;Off-street")&gt;0,1,0)</f>
        <v>0</v>
      </c>
      <c r="H939">
        <f>IF(COUNTIFS('United Data'!$A$3:$A$3390,H$1,'United Data'!$C$3:$C$3390,$A939,'United Data'!$B$3:$B$3390,"&lt;&gt;Off-street")&gt;0,1,0)</f>
        <v>0</v>
      </c>
      <c r="I939">
        <f>IF(COUNTIFS('United Data'!$A$3:$A$3390,I$1,'United Data'!$C$3:$C$3390,$A939,'United Data'!$B$3:$B$3390,"&lt;&gt;Off-street")&gt;0,1,0)</f>
        <v>0</v>
      </c>
      <c r="J939">
        <f>IF(COUNTIFS('United Data'!$A$3:$A$3390,J$1,'United Data'!$C$3:$C$3390,$A939,'United Data'!$B$3:$B$3390,"&lt;&gt;Off-street")&gt;0,1,0)</f>
        <v>0</v>
      </c>
      <c r="K939">
        <f>IF(COUNTIFS('United Data'!$A$3:$A$3390,K$1,'United Data'!$C$3:$C$3390,$A939,'United Data'!$B$3:$B$3390,"&lt;&gt;Off-street")&gt;0,1,0)</f>
        <v>1</v>
      </c>
      <c r="L939">
        <f>IF(COUNTIFS('United Data'!$A$3:$A$3390,L$1,'United Data'!$C$3:$C$3390,$A939,'United Data'!$B$3:$B$3390,"&lt;&gt;Off-street")&gt;0,1,0)</f>
        <v>0</v>
      </c>
      <c r="M939">
        <f>IF(COUNTIFS('United Data'!$A$3:$A$3390,M$1,'United Data'!$C$3:$C$3390,$A939,'United Data'!$B$3:$B$3390,"&lt;&gt;Off-street")&gt;0,1,0)</f>
        <v>0</v>
      </c>
      <c r="N939">
        <f>IF(COUNTIFS('United Data'!$A$3:$A$3390,N$1,'United Data'!$C$3:$C$3390,$A939,'United Data'!$B$3:$B$3390,"&lt;&gt;Off-street")&gt;0,1,0)</f>
        <v>0</v>
      </c>
      <c r="O939">
        <f>IF(COUNTIFS('United Data'!$A$3:$A$3390,O$1,'United Data'!$C$3:$C$3390,$A939,'United Data'!$B$3:$B$3390,"&lt;&gt;Off-street")&gt;0,1,0)</f>
        <v>0</v>
      </c>
      <c r="P939">
        <f>IF(COUNTIFS('United Data'!$A$3:$A$3390,P$1,'United Data'!$C$3:$C$3390,$A939,'United Data'!$B$3:$B$3390,"&lt;&gt;Off-street")&gt;0,1,0)</f>
        <v>0</v>
      </c>
      <c r="Q939">
        <f>IF(COUNTIFS('United Data'!$A$3:$A$3390,Q$1,'United Data'!$C$3:$C$3390,$A939,'United Data'!$B$3:$B$3390,"&lt;&gt;Off-street")&gt;0,1,0)</f>
        <v>0</v>
      </c>
      <c r="R939">
        <f>IF(COUNTIFS('United Data'!$A$3:$A$3390,R$1,'United Data'!$C$3:$C$3390,$A939,'United Data'!$B$3:$B$3390,"&lt;&gt;Off-street")&gt;0,1,0)</f>
        <v>0</v>
      </c>
      <c r="S939">
        <f t="shared" si="28"/>
        <v>1</v>
      </c>
      <c r="T939">
        <f t="shared" si="29"/>
        <v>1</v>
      </c>
    </row>
    <row r="940" spans="1:20" x14ac:dyDescent="0.2">
      <c r="A940" t="s">
        <v>1132</v>
      </c>
      <c r="B940">
        <f>IF(COUNTIFS('United Data'!$A$3:$A$3390,B$1,'United Data'!$C$3:$C$3390,$A940,'United Data'!$B$3:$B$3390,"&lt;&gt;Off-street")&gt;0,1,0)</f>
        <v>0</v>
      </c>
      <c r="C940">
        <f>IF(COUNTIFS('United Data'!$A$3:$A$3390,C$1,'United Data'!$C$3:$C$3390,$A940,'United Data'!$B$3:$B$3390,"&lt;&gt;Off-street")&gt;0,1,0)</f>
        <v>0</v>
      </c>
      <c r="D940">
        <f>IF(COUNTIFS('United Data'!$A$3:$A$3390,D$1,'United Data'!$C$3:$C$3390,$A940,'United Data'!$B$3:$B$3390,"&lt;&gt;Off-street")&gt;0,1,0)</f>
        <v>0</v>
      </c>
      <c r="E940">
        <f>IF(COUNTIFS('United Data'!$A$3:$A$3390,E$1,'United Data'!$C$3:$C$3390,$A940,'United Data'!$B$3:$B$3390,"&lt;&gt;Off-street")&gt;0,1,0)</f>
        <v>0</v>
      </c>
      <c r="F940">
        <f>IF(COUNTIFS('United Data'!$A$3:$A$3390,F$1,'United Data'!$C$3:$C$3390,$A940,'United Data'!$B$3:$B$3390,"&lt;&gt;Off-street")&gt;0,1,0)</f>
        <v>0</v>
      </c>
      <c r="G940">
        <f>IF(COUNTIFS('United Data'!$A$3:$A$3390,G$1,'United Data'!$C$3:$C$3390,$A940,'United Data'!$B$3:$B$3390,"&lt;&gt;Off-street")&gt;0,1,0)</f>
        <v>0</v>
      </c>
      <c r="H940">
        <f>IF(COUNTIFS('United Data'!$A$3:$A$3390,H$1,'United Data'!$C$3:$C$3390,$A940,'United Data'!$B$3:$B$3390,"&lt;&gt;Off-street")&gt;0,1,0)</f>
        <v>0</v>
      </c>
      <c r="I940">
        <f>IF(COUNTIFS('United Data'!$A$3:$A$3390,I$1,'United Data'!$C$3:$C$3390,$A940,'United Data'!$B$3:$B$3390,"&lt;&gt;Off-street")&gt;0,1,0)</f>
        <v>0</v>
      </c>
      <c r="J940">
        <f>IF(COUNTIFS('United Data'!$A$3:$A$3390,J$1,'United Data'!$C$3:$C$3390,$A940,'United Data'!$B$3:$B$3390,"&lt;&gt;Off-street")&gt;0,1,0)</f>
        <v>0</v>
      </c>
      <c r="K940">
        <f>IF(COUNTIFS('United Data'!$A$3:$A$3390,K$1,'United Data'!$C$3:$C$3390,$A940,'United Data'!$B$3:$B$3390,"&lt;&gt;Off-street")&gt;0,1,0)</f>
        <v>0</v>
      </c>
      <c r="L940">
        <f>IF(COUNTIFS('United Data'!$A$3:$A$3390,L$1,'United Data'!$C$3:$C$3390,$A940,'United Data'!$B$3:$B$3390,"&lt;&gt;Off-street")&gt;0,1,0)</f>
        <v>0</v>
      </c>
      <c r="M940">
        <f>IF(COUNTIFS('United Data'!$A$3:$A$3390,M$1,'United Data'!$C$3:$C$3390,$A940,'United Data'!$B$3:$B$3390,"&lt;&gt;Off-street")&gt;0,1,0)</f>
        <v>1</v>
      </c>
      <c r="N940">
        <f>IF(COUNTIFS('United Data'!$A$3:$A$3390,N$1,'United Data'!$C$3:$C$3390,$A940,'United Data'!$B$3:$B$3390,"&lt;&gt;Off-street")&gt;0,1,0)</f>
        <v>0</v>
      </c>
      <c r="O940">
        <f>IF(COUNTIFS('United Data'!$A$3:$A$3390,O$1,'United Data'!$C$3:$C$3390,$A940,'United Data'!$B$3:$B$3390,"&lt;&gt;Off-street")&gt;0,1,0)</f>
        <v>0</v>
      </c>
      <c r="P940">
        <f>IF(COUNTIFS('United Data'!$A$3:$A$3390,P$1,'United Data'!$C$3:$C$3390,$A940,'United Data'!$B$3:$B$3390,"&lt;&gt;Off-street")&gt;0,1,0)</f>
        <v>0</v>
      </c>
      <c r="Q940">
        <f>IF(COUNTIFS('United Data'!$A$3:$A$3390,Q$1,'United Data'!$C$3:$C$3390,$A940,'United Data'!$B$3:$B$3390,"&lt;&gt;Off-street")&gt;0,1,0)</f>
        <v>0</v>
      </c>
      <c r="R940">
        <f>IF(COUNTIFS('United Data'!$A$3:$A$3390,R$1,'United Data'!$C$3:$C$3390,$A940,'United Data'!$B$3:$B$3390,"&lt;&gt;Off-street")&gt;0,1,0)</f>
        <v>0</v>
      </c>
      <c r="S940">
        <f t="shared" si="28"/>
        <v>1</v>
      </c>
      <c r="T940">
        <f t="shared" si="29"/>
        <v>1</v>
      </c>
    </row>
    <row r="941" spans="1:20" x14ac:dyDescent="0.2">
      <c r="A941" t="s">
        <v>1133</v>
      </c>
      <c r="B941">
        <f>IF(COUNTIFS('United Data'!$A$3:$A$3390,B$1,'United Data'!$C$3:$C$3390,$A941,'United Data'!$B$3:$B$3390,"&lt;&gt;Off-street")&gt;0,1,0)</f>
        <v>0</v>
      </c>
      <c r="C941">
        <f>IF(COUNTIFS('United Data'!$A$3:$A$3390,C$1,'United Data'!$C$3:$C$3390,$A941,'United Data'!$B$3:$B$3390,"&lt;&gt;Off-street")&gt;0,1,0)</f>
        <v>0</v>
      </c>
      <c r="D941">
        <f>IF(COUNTIFS('United Data'!$A$3:$A$3390,D$1,'United Data'!$C$3:$C$3390,$A941,'United Data'!$B$3:$B$3390,"&lt;&gt;Off-street")&gt;0,1,0)</f>
        <v>0</v>
      </c>
      <c r="E941">
        <f>IF(COUNTIFS('United Data'!$A$3:$A$3390,E$1,'United Data'!$C$3:$C$3390,$A941,'United Data'!$B$3:$B$3390,"&lt;&gt;Off-street")&gt;0,1,0)</f>
        <v>0</v>
      </c>
      <c r="F941">
        <f>IF(COUNTIFS('United Data'!$A$3:$A$3390,F$1,'United Data'!$C$3:$C$3390,$A941,'United Data'!$B$3:$B$3390,"&lt;&gt;Off-street")&gt;0,1,0)</f>
        <v>0</v>
      </c>
      <c r="G941">
        <f>IF(COUNTIFS('United Data'!$A$3:$A$3390,G$1,'United Data'!$C$3:$C$3390,$A941,'United Data'!$B$3:$B$3390,"&lt;&gt;Off-street")&gt;0,1,0)</f>
        <v>0</v>
      </c>
      <c r="H941">
        <f>IF(COUNTIFS('United Data'!$A$3:$A$3390,H$1,'United Data'!$C$3:$C$3390,$A941,'United Data'!$B$3:$B$3390,"&lt;&gt;Off-street")&gt;0,1,0)</f>
        <v>0</v>
      </c>
      <c r="I941">
        <f>IF(COUNTIFS('United Data'!$A$3:$A$3390,I$1,'United Data'!$C$3:$C$3390,$A941,'United Data'!$B$3:$B$3390,"&lt;&gt;Off-street")&gt;0,1,0)</f>
        <v>0</v>
      </c>
      <c r="J941">
        <f>IF(COUNTIFS('United Data'!$A$3:$A$3390,J$1,'United Data'!$C$3:$C$3390,$A941,'United Data'!$B$3:$B$3390,"&lt;&gt;Off-street")&gt;0,1,0)</f>
        <v>0</v>
      </c>
      <c r="K941">
        <f>IF(COUNTIFS('United Data'!$A$3:$A$3390,K$1,'United Data'!$C$3:$C$3390,$A941,'United Data'!$B$3:$B$3390,"&lt;&gt;Off-street")&gt;0,1,0)</f>
        <v>0</v>
      </c>
      <c r="L941">
        <f>IF(COUNTIFS('United Data'!$A$3:$A$3390,L$1,'United Data'!$C$3:$C$3390,$A941,'United Data'!$B$3:$B$3390,"&lt;&gt;Off-street")&gt;0,1,0)</f>
        <v>0</v>
      </c>
      <c r="M941">
        <f>IF(COUNTIFS('United Data'!$A$3:$A$3390,M$1,'United Data'!$C$3:$C$3390,$A941,'United Data'!$B$3:$B$3390,"&lt;&gt;Off-street")&gt;0,1,0)</f>
        <v>0</v>
      </c>
      <c r="N941">
        <f>IF(COUNTIFS('United Data'!$A$3:$A$3390,N$1,'United Data'!$C$3:$C$3390,$A941,'United Data'!$B$3:$B$3390,"&lt;&gt;Off-street")&gt;0,1,0)</f>
        <v>1</v>
      </c>
      <c r="O941">
        <f>IF(COUNTIFS('United Data'!$A$3:$A$3390,O$1,'United Data'!$C$3:$C$3390,$A941,'United Data'!$B$3:$B$3390,"&lt;&gt;Off-street")&gt;0,1,0)</f>
        <v>0</v>
      </c>
      <c r="P941">
        <f>IF(COUNTIFS('United Data'!$A$3:$A$3390,P$1,'United Data'!$C$3:$C$3390,$A941,'United Data'!$B$3:$B$3390,"&lt;&gt;Off-street")&gt;0,1,0)</f>
        <v>0</v>
      </c>
      <c r="Q941">
        <f>IF(COUNTIFS('United Data'!$A$3:$A$3390,Q$1,'United Data'!$C$3:$C$3390,$A941,'United Data'!$B$3:$B$3390,"&lt;&gt;Off-street")&gt;0,1,0)</f>
        <v>0</v>
      </c>
      <c r="R941">
        <f>IF(COUNTIFS('United Data'!$A$3:$A$3390,R$1,'United Data'!$C$3:$C$3390,$A941,'United Data'!$B$3:$B$3390,"&lt;&gt;Off-street")&gt;0,1,0)</f>
        <v>0</v>
      </c>
      <c r="S941">
        <f t="shared" si="28"/>
        <v>1</v>
      </c>
      <c r="T941">
        <f t="shared" si="29"/>
        <v>1</v>
      </c>
    </row>
    <row r="942" spans="1:20" x14ac:dyDescent="0.2">
      <c r="A942" t="s">
        <v>1134</v>
      </c>
      <c r="B942">
        <f>IF(COUNTIFS('United Data'!$A$3:$A$3390,B$1,'United Data'!$C$3:$C$3390,$A942,'United Data'!$B$3:$B$3390,"&lt;&gt;Off-street")&gt;0,1,0)</f>
        <v>0</v>
      </c>
      <c r="C942">
        <f>IF(COUNTIFS('United Data'!$A$3:$A$3390,C$1,'United Data'!$C$3:$C$3390,$A942,'United Data'!$B$3:$B$3390,"&lt;&gt;Off-street")&gt;0,1,0)</f>
        <v>0</v>
      </c>
      <c r="D942">
        <f>IF(COUNTIFS('United Data'!$A$3:$A$3390,D$1,'United Data'!$C$3:$C$3390,$A942,'United Data'!$B$3:$B$3390,"&lt;&gt;Off-street")&gt;0,1,0)</f>
        <v>0</v>
      </c>
      <c r="E942">
        <f>IF(COUNTIFS('United Data'!$A$3:$A$3390,E$1,'United Data'!$C$3:$C$3390,$A942,'United Data'!$B$3:$B$3390,"&lt;&gt;Off-street")&gt;0,1,0)</f>
        <v>0</v>
      </c>
      <c r="F942">
        <f>IF(COUNTIFS('United Data'!$A$3:$A$3390,F$1,'United Data'!$C$3:$C$3390,$A942,'United Data'!$B$3:$B$3390,"&lt;&gt;Off-street")&gt;0,1,0)</f>
        <v>0</v>
      </c>
      <c r="G942">
        <f>IF(COUNTIFS('United Data'!$A$3:$A$3390,G$1,'United Data'!$C$3:$C$3390,$A942,'United Data'!$B$3:$B$3390,"&lt;&gt;Off-street")&gt;0,1,0)</f>
        <v>0</v>
      </c>
      <c r="H942">
        <f>IF(COUNTIFS('United Data'!$A$3:$A$3390,H$1,'United Data'!$C$3:$C$3390,$A942,'United Data'!$B$3:$B$3390,"&lt;&gt;Off-street")&gt;0,1,0)</f>
        <v>0</v>
      </c>
      <c r="I942">
        <f>IF(COUNTIFS('United Data'!$A$3:$A$3390,I$1,'United Data'!$C$3:$C$3390,$A942,'United Data'!$B$3:$B$3390,"&lt;&gt;Off-street")&gt;0,1,0)</f>
        <v>0</v>
      </c>
      <c r="J942">
        <f>IF(COUNTIFS('United Data'!$A$3:$A$3390,J$1,'United Data'!$C$3:$C$3390,$A942,'United Data'!$B$3:$B$3390,"&lt;&gt;Off-street")&gt;0,1,0)</f>
        <v>0</v>
      </c>
      <c r="K942">
        <f>IF(COUNTIFS('United Data'!$A$3:$A$3390,K$1,'United Data'!$C$3:$C$3390,$A942,'United Data'!$B$3:$B$3390,"&lt;&gt;Off-street")&gt;0,1,0)</f>
        <v>0</v>
      </c>
      <c r="L942">
        <f>IF(COUNTIFS('United Data'!$A$3:$A$3390,L$1,'United Data'!$C$3:$C$3390,$A942,'United Data'!$B$3:$B$3390,"&lt;&gt;Off-street")&gt;0,1,0)</f>
        <v>0</v>
      </c>
      <c r="M942">
        <f>IF(COUNTIFS('United Data'!$A$3:$A$3390,M$1,'United Data'!$C$3:$C$3390,$A942,'United Data'!$B$3:$B$3390,"&lt;&gt;Off-street")&gt;0,1,0)</f>
        <v>0</v>
      </c>
      <c r="N942">
        <f>IF(COUNTIFS('United Data'!$A$3:$A$3390,N$1,'United Data'!$C$3:$C$3390,$A942,'United Data'!$B$3:$B$3390,"&lt;&gt;Off-street")&gt;0,1,0)</f>
        <v>1</v>
      </c>
      <c r="O942">
        <f>IF(COUNTIFS('United Data'!$A$3:$A$3390,O$1,'United Data'!$C$3:$C$3390,$A942,'United Data'!$B$3:$B$3390,"&lt;&gt;Off-street")&gt;0,1,0)</f>
        <v>0</v>
      </c>
      <c r="P942">
        <f>IF(COUNTIFS('United Data'!$A$3:$A$3390,P$1,'United Data'!$C$3:$C$3390,$A942,'United Data'!$B$3:$B$3390,"&lt;&gt;Off-street")&gt;0,1,0)</f>
        <v>0</v>
      </c>
      <c r="Q942">
        <f>IF(COUNTIFS('United Data'!$A$3:$A$3390,Q$1,'United Data'!$C$3:$C$3390,$A942,'United Data'!$B$3:$B$3390,"&lt;&gt;Off-street")&gt;0,1,0)</f>
        <v>0</v>
      </c>
      <c r="R942">
        <f>IF(COUNTIFS('United Data'!$A$3:$A$3390,R$1,'United Data'!$C$3:$C$3390,$A942,'United Data'!$B$3:$B$3390,"&lt;&gt;Off-street")&gt;0,1,0)</f>
        <v>0</v>
      </c>
      <c r="S942">
        <f t="shared" si="28"/>
        <v>1</v>
      </c>
      <c r="T942">
        <f t="shared" si="29"/>
        <v>1</v>
      </c>
    </row>
    <row r="943" spans="1:20" x14ac:dyDescent="0.2">
      <c r="A943" t="s">
        <v>1135</v>
      </c>
      <c r="B943">
        <f>IF(COUNTIFS('United Data'!$A$3:$A$3390,B$1,'United Data'!$C$3:$C$3390,$A943,'United Data'!$B$3:$B$3390,"&lt;&gt;Off-street")&gt;0,1,0)</f>
        <v>0</v>
      </c>
      <c r="C943">
        <f>IF(COUNTIFS('United Data'!$A$3:$A$3390,C$1,'United Data'!$C$3:$C$3390,$A943,'United Data'!$B$3:$B$3390,"&lt;&gt;Off-street")&gt;0,1,0)</f>
        <v>0</v>
      </c>
      <c r="D943">
        <f>IF(COUNTIFS('United Data'!$A$3:$A$3390,D$1,'United Data'!$C$3:$C$3390,$A943,'United Data'!$B$3:$B$3390,"&lt;&gt;Off-street")&gt;0,1,0)</f>
        <v>0</v>
      </c>
      <c r="E943">
        <f>IF(COUNTIFS('United Data'!$A$3:$A$3390,E$1,'United Data'!$C$3:$C$3390,$A943,'United Data'!$B$3:$B$3390,"&lt;&gt;Off-street")&gt;0,1,0)</f>
        <v>0</v>
      </c>
      <c r="F943">
        <f>IF(COUNTIFS('United Data'!$A$3:$A$3390,F$1,'United Data'!$C$3:$C$3390,$A943,'United Data'!$B$3:$B$3390,"&lt;&gt;Off-street")&gt;0,1,0)</f>
        <v>0</v>
      </c>
      <c r="G943">
        <f>IF(COUNTIFS('United Data'!$A$3:$A$3390,G$1,'United Data'!$C$3:$C$3390,$A943,'United Data'!$B$3:$B$3390,"&lt;&gt;Off-street")&gt;0,1,0)</f>
        <v>0</v>
      </c>
      <c r="H943">
        <f>IF(COUNTIFS('United Data'!$A$3:$A$3390,H$1,'United Data'!$C$3:$C$3390,$A943,'United Data'!$B$3:$B$3390,"&lt;&gt;Off-street")&gt;0,1,0)</f>
        <v>0</v>
      </c>
      <c r="I943">
        <f>IF(COUNTIFS('United Data'!$A$3:$A$3390,I$1,'United Data'!$C$3:$C$3390,$A943,'United Data'!$B$3:$B$3390,"&lt;&gt;Off-street")&gt;0,1,0)</f>
        <v>0</v>
      </c>
      <c r="J943">
        <f>IF(COUNTIFS('United Data'!$A$3:$A$3390,J$1,'United Data'!$C$3:$C$3390,$A943,'United Data'!$B$3:$B$3390,"&lt;&gt;Off-street")&gt;0,1,0)</f>
        <v>0</v>
      </c>
      <c r="K943">
        <f>IF(COUNTIFS('United Data'!$A$3:$A$3390,K$1,'United Data'!$C$3:$C$3390,$A943,'United Data'!$B$3:$B$3390,"&lt;&gt;Off-street")&gt;0,1,0)</f>
        <v>0</v>
      </c>
      <c r="L943">
        <f>IF(COUNTIFS('United Data'!$A$3:$A$3390,L$1,'United Data'!$C$3:$C$3390,$A943,'United Data'!$B$3:$B$3390,"&lt;&gt;Off-street")&gt;0,1,0)</f>
        <v>0</v>
      </c>
      <c r="M943">
        <f>IF(COUNTIFS('United Data'!$A$3:$A$3390,M$1,'United Data'!$C$3:$C$3390,$A943,'United Data'!$B$3:$B$3390,"&lt;&gt;Off-street")&gt;0,1,0)</f>
        <v>0</v>
      </c>
      <c r="N943">
        <f>IF(COUNTIFS('United Data'!$A$3:$A$3390,N$1,'United Data'!$C$3:$C$3390,$A943,'United Data'!$B$3:$B$3390,"&lt;&gt;Off-street")&gt;0,1,0)</f>
        <v>1</v>
      </c>
      <c r="O943">
        <f>IF(COUNTIFS('United Data'!$A$3:$A$3390,O$1,'United Data'!$C$3:$C$3390,$A943,'United Data'!$B$3:$B$3390,"&lt;&gt;Off-street")&gt;0,1,0)</f>
        <v>0</v>
      </c>
      <c r="P943">
        <f>IF(COUNTIFS('United Data'!$A$3:$A$3390,P$1,'United Data'!$C$3:$C$3390,$A943,'United Data'!$B$3:$B$3390,"&lt;&gt;Off-street")&gt;0,1,0)</f>
        <v>0</v>
      </c>
      <c r="Q943">
        <f>IF(COUNTIFS('United Data'!$A$3:$A$3390,Q$1,'United Data'!$C$3:$C$3390,$A943,'United Data'!$B$3:$B$3390,"&lt;&gt;Off-street")&gt;0,1,0)</f>
        <v>0</v>
      </c>
      <c r="R943">
        <f>IF(COUNTIFS('United Data'!$A$3:$A$3390,R$1,'United Data'!$C$3:$C$3390,$A943,'United Data'!$B$3:$B$3390,"&lt;&gt;Off-street")&gt;0,1,0)</f>
        <v>0</v>
      </c>
      <c r="S943">
        <f t="shared" si="28"/>
        <v>1</v>
      </c>
      <c r="T943">
        <f t="shared" si="29"/>
        <v>1</v>
      </c>
    </row>
    <row r="944" spans="1:20" x14ac:dyDescent="0.2">
      <c r="A944" t="s">
        <v>1136</v>
      </c>
      <c r="B944">
        <f>IF(COUNTIFS('United Data'!$A$3:$A$3390,B$1,'United Data'!$C$3:$C$3390,$A944,'United Data'!$B$3:$B$3390,"&lt;&gt;Off-street")&gt;0,1,0)</f>
        <v>0</v>
      </c>
      <c r="C944">
        <f>IF(COUNTIFS('United Data'!$A$3:$A$3390,C$1,'United Data'!$C$3:$C$3390,$A944,'United Data'!$B$3:$B$3390,"&lt;&gt;Off-street")&gt;0,1,0)</f>
        <v>0</v>
      </c>
      <c r="D944">
        <f>IF(COUNTIFS('United Data'!$A$3:$A$3390,D$1,'United Data'!$C$3:$C$3390,$A944,'United Data'!$B$3:$B$3390,"&lt;&gt;Off-street")&gt;0,1,0)</f>
        <v>0</v>
      </c>
      <c r="E944">
        <f>IF(COUNTIFS('United Data'!$A$3:$A$3390,E$1,'United Data'!$C$3:$C$3390,$A944,'United Data'!$B$3:$B$3390,"&lt;&gt;Off-street")&gt;0,1,0)</f>
        <v>0</v>
      </c>
      <c r="F944">
        <f>IF(COUNTIFS('United Data'!$A$3:$A$3390,F$1,'United Data'!$C$3:$C$3390,$A944,'United Data'!$B$3:$B$3390,"&lt;&gt;Off-street")&gt;0,1,0)</f>
        <v>0</v>
      </c>
      <c r="G944">
        <f>IF(COUNTIFS('United Data'!$A$3:$A$3390,G$1,'United Data'!$C$3:$C$3390,$A944,'United Data'!$B$3:$B$3390,"&lt;&gt;Off-street")&gt;0,1,0)</f>
        <v>0</v>
      </c>
      <c r="H944">
        <f>IF(COUNTIFS('United Data'!$A$3:$A$3390,H$1,'United Data'!$C$3:$C$3390,$A944,'United Data'!$B$3:$B$3390,"&lt;&gt;Off-street")&gt;0,1,0)</f>
        <v>0</v>
      </c>
      <c r="I944">
        <f>IF(COUNTIFS('United Data'!$A$3:$A$3390,I$1,'United Data'!$C$3:$C$3390,$A944,'United Data'!$B$3:$B$3390,"&lt;&gt;Off-street")&gt;0,1,0)</f>
        <v>0</v>
      </c>
      <c r="J944">
        <f>IF(COUNTIFS('United Data'!$A$3:$A$3390,J$1,'United Data'!$C$3:$C$3390,$A944,'United Data'!$B$3:$B$3390,"&lt;&gt;Off-street")&gt;0,1,0)</f>
        <v>0</v>
      </c>
      <c r="K944">
        <f>IF(COUNTIFS('United Data'!$A$3:$A$3390,K$1,'United Data'!$C$3:$C$3390,$A944,'United Data'!$B$3:$B$3390,"&lt;&gt;Off-street")&gt;0,1,0)</f>
        <v>0</v>
      </c>
      <c r="L944">
        <f>IF(COUNTIFS('United Data'!$A$3:$A$3390,L$1,'United Data'!$C$3:$C$3390,$A944,'United Data'!$B$3:$B$3390,"&lt;&gt;Off-street")&gt;0,1,0)</f>
        <v>0</v>
      </c>
      <c r="M944">
        <f>IF(COUNTIFS('United Data'!$A$3:$A$3390,M$1,'United Data'!$C$3:$C$3390,$A944,'United Data'!$B$3:$B$3390,"&lt;&gt;Off-street")&gt;0,1,0)</f>
        <v>0</v>
      </c>
      <c r="N944">
        <f>IF(COUNTIFS('United Data'!$A$3:$A$3390,N$1,'United Data'!$C$3:$C$3390,$A944,'United Data'!$B$3:$B$3390,"&lt;&gt;Off-street")&gt;0,1,0)</f>
        <v>1</v>
      </c>
      <c r="O944">
        <f>IF(COUNTIFS('United Data'!$A$3:$A$3390,O$1,'United Data'!$C$3:$C$3390,$A944,'United Data'!$B$3:$B$3390,"&lt;&gt;Off-street")&gt;0,1,0)</f>
        <v>0</v>
      </c>
      <c r="P944">
        <f>IF(COUNTIFS('United Data'!$A$3:$A$3390,P$1,'United Data'!$C$3:$C$3390,$A944,'United Data'!$B$3:$B$3390,"&lt;&gt;Off-street")&gt;0,1,0)</f>
        <v>0</v>
      </c>
      <c r="Q944">
        <f>IF(COUNTIFS('United Data'!$A$3:$A$3390,Q$1,'United Data'!$C$3:$C$3390,$A944,'United Data'!$B$3:$B$3390,"&lt;&gt;Off-street")&gt;0,1,0)</f>
        <v>0</v>
      </c>
      <c r="R944">
        <f>IF(COUNTIFS('United Data'!$A$3:$A$3390,R$1,'United Data'!$C$3:$C$3390,$A944,'United Data'!$B$3:$B$3390,"&lt;&gt;Off-street")&gt;0,1,0)</f>
        <v>0</v>
      </c>
      <c r="S944">
        <f t="shared" si="28"/>
        <v>1</v>
      </c>
      <c r="T944">
        <f t="shared" si="29"/>
        <v>1</v>
      </c>
    </row>
    <row r="945" spans="1:20" x14ac:dyDescent="0.2">
      <c r="A945" t="s">
        <v>1137</v>
      </c>
      <c r="B945">
        <f>IF(COUNTIFS('United Data'!$A$3:$A$3390,B$1,'United Data'!$C$3:$C$3390,$A945,'United Data'!$B$3:$B$3390,"&lt;&gt;Off-street")&gt;0,1,0)</f>
        <v>0</v>
      </c>
      <c r="C945">
        <f>IF(COUNTIFS('United Data'!$A$3:$A$3390,C$1,'United Data'!$C$3:$C$3390,$A945,'United Data'!$B$3:$B$3390,"&lt;&gt;Off-street")&gt;0,1,0)</f>
        <v>0</v>
      </c>
      <c r="D945">
        <f>IF(COUNTIFS('United Data'!$A$3:$A$3390,D$1,'United Data'!$C$3:$C$3390,$A945,'United Data'!$B$3:$B$3390,"&lt;&gt;Off-street")&gt;0,1,0)</f>
        <v>0</v>
      </c>
      <c r="E945">
        <f>IF(COUNTIFS('United Data'!$A$3:$A$3390,E$1,'United Data'!$C$3:$C$3390,$A945,'United Data'!$B$3:$B$3390,"&lt;&gt;Off-street")&gt;0,1,0)</f>
        <v>0</v>
      </c>
      <c r="F945">
        <f>IF(COUNTIFS('United Data'!$A$3:$A$3390,F$1,'United Data'!$C$3:$C$3390,$A945,'United Data'!$B$3:$B$3390,"&lt;&gt;Off-street")&gt;0,1,0)</f>
        <v>0</v>
      </c>
      <c r="G945">
        <f>IF(COUNTIFS('United Data'!$A$3:$A$3390,G$1,'United Data'!$C$3:$C$3390,$A945,'United Data'!$B$3:$B$3390,"&lt;&gt;Off-street")&gt;0,1,0)</f>
        <v>0</v>
      </c>
      <c r="H945">
        <f>IF(COUNTIFS('United Data'!$A$3:$A$3390,H$1,'United Data'!$C$3:$C$3390,$A945,'United Data'!$B$3:$B$3390,"&lt;&gt;Off-street")&gt;0,1,0)</f>
        <v>0</v>
      </c>
      <c r="I945">
        <f>IF(COUNTIFS('United Data'!$A$3:$A$3390,I$1,'United Data'!$C$3:$C$3390,$A945,'United Data'!$B$3:$B$3390,"&lt;&gt;Off-street")&gt;0,1,0)</f>
        <v>0</v>
      </c>
      <c r="J945">
        <f>IF(COUNTIFS('United Data'!$A$3:$A$3390,J$1,'United Data'!$C$3:$C$3390,$A945,'United Data'!$B$3:$B$3390,"&lt;&gt;Off-street")&gt;0,1,0)</f>
        <v>0</v>
      </c>
      <c r="K945">
        <f>IF(COUNTIFS('United Data'!$A$3:$A$3390,K$1,'United Data'!$C$3:$C$3390,$A945,'United Data'!$B$3:$B$3390,"&lt;&gt;Off-street")&gt;0,1,0)</f>
        <v>0</v>
      </c>
      <c r="L945">
        <f>IF(COUNTIFS('United Data'!$A$3:$A$3390,L$1,'United Data'!$C$3:$C$3390,$A945,'United Data'!$B$3:$B$3390,"&lt;&gt;Off-street")&gt;0,1,0)</f>
        <v>0</v>
      </c>
      <c r="M945">
        <f>IF(COUNTIFS('United Data'!$A$3:$A$3390,M$1,'United Data'!$C$3:$C$3390,$A945,'United Data'!$B$3:$B$3390,"&lt;&gt;Off-street")&gt;0,1,0)</f>
        <v>0</v>
      </c>
      <c r="N945">
        <f>IF(COUNTIFS('United Data'!$A$3:$A$3390,N$1,'United Data'!$C$3:$C$3390,$A945,'United Data'!$B$3:$B$3390,"&lt;&gt;Off-street")&gt;0,1,0)</f>
        <v>0</v>
      </c>
      <c r="O945">
        <f>IF(COUNTIFS('United Data'!$A$3:$A$3390,O$1,'United Data'!$C$3:$C$3390,$A945,'United Data'!$B$3:$B$3390,"&lt;&gt;Off-street")&gt;0,1,0)</f>
        <v>1</v>
      </c>
      <c r="P945">
        <f>IF(COUNTIFS('United Data'!$A$3:$A$3390,P$1,'United Data'!$C$3:$C$3390,$A945,'United Data'!$B$3:$B$3390,"&lt;&gt;Off-street")&gt;0,1,0)</f>
        <v>1</v>
      </c>
      <c r="Q945">
        <f>IF(COUNTIFS('United Data'!$A$3:$A$3390,Q$1,'United Data'!$C$3:$C$3390,$A945,'United Data'!$B$3:$B$3390,"&lt;&gt;Off-street")&gt;0,1,0)</f>
        <v>0</v>
      </c>
      <c r="R945">
        <f>IF(COUNTIFS('United Data'!$A$3:$A$3390,R$1,'United Data'!$C$3:$C$3390,$A945,'United Data'!$B$3:$B$3390,"&lt;&gt;Off-street")&gt;0,1,0)</f>
        <v>0</v>
      </c>
      <c r="S945">
        <f t="shared" si="28"/>
        <v>2</v>
      </c>
      <c r="T945">
        <f t="shared" si="29"/>
        <v>1</v>
      </c>
    </row>
    <row r="946" spans="1:20" x14ac:dyDescent="0.2">
      <c r="A946" t="s">
        <v>1138</v>
      </c>
      <c r="B946">
        <f>IF(COUNTIFS('United Data'!$A$3:$A$3390,B$1,'United Data'!$C$3:$C$3390,$A946,'United Data'!$B$3:$B$3390,"&lt;&gt;Off-street")&gt;0,1,0)</f>
        <v>0</v>
      </c>
      <c r="C946">
        <f>IF(COUNTIFS('United Data'!$A$3:$A$3390,C$1,'United Data'!$C$3:$C$3390,$A946,'United Data'!$B$3:$B$3390,"&lt;&gt;Off-street")&gt;0,1,0)</f>
        <v>0</v>
      </c>
      <c r="D946">
        <f>IF(COUNTIFS('United Data'!$A$3:$A$3390,D$1,'United Data'!$C$3:$C$3390,$A946,'United Data'!$B$3:$B$3390,"&lt;&gt;Off-street")&gt;0,1,0)</f>
        <v>0</v>
      </c>
      <c r="E946">
        <f>IF(COUNTIFS('United Data'!$A$3:$A$3390,E$1,'United Data'!$C$3:$C$3390,$A946,'United Data'!$B$3:$B$3390,"&lt;&gt;Off-street")&gt;0,1,0)</f>
        <v>0</v>
      </c>
      <c r="F946">
        <f>IF(COUNTIFS('United Data'!$A$3:$A$3390,F$1,'United Data'!$C$3:$C$3390,$A946,'United Data'!$B$3:$B$3390,"&lt;&gt;Off-street")&gt;0,1,0)</f>
        <v>0</v>
      </c>
      <c r="G946">
        <f>IF(COUNTIFS('United Data'!$A$3:$A$3390,G$1,'United Data'!$C$3:$C$3390,$A946,'United Data'!$B$3:$B$3390,"&lt;&gt;Off-street")&gt;0,1,0)</f>
        <v>0</v>
      </c>
      <c r="H946">
        <f>IF(COUNTIFS('United Data'!$A$3:$A$3390,H$1,'United Data'!$C$3:$C$3390,$A946,'United Data'!$B$3:$B$3390,"&lt;&gt;Off-street")&gt;0,1,0)</f>
        <v>0</v>
      </c>
      <c r="I946">
        <f>IF(COUNTIFS('United Data'!$A$3:$A$3390,I$1,'United Data'!$C$3:$C$3390,$A946,'United Data'!$B$3:$B$3390,"&lt;&gt;Off-street")&gt;0,1,0)</f>
        <v>0</v>
      </c>
      <c r="J946">
        <f>IF(COUNTIFS('United Data'!$A$3:$A$3390,J$1,'United Data'!$C$3:$C$3390,$A946,'United Data'!$B$3:$B$3390,"&lt;&gt;Off-street")&gt;0,1,0)</f>
        <v>0</v>
      </c>
      <c r="K946">
        <f>IF(COUNTIFS('United Data'!$A$3:$A$3390,K$1,'United Data'!$C$3:$C$3390,$A946,'United Data'!$B$3:$B$3390,"&lt;&gt;Off-street")&gt;0,1,0)</f>
        <v>0</v>
      </c>
      <c r="L946">
        <f>IF(COUNTIFS('United Data'!$A$3:$A$3390,L$1,'United Data'!$C$3:$C$3390,$A946,'United Data'!$B$3:$B$3390,"&lt;&gt;Off-street")&gt;0,1,0)</f>
        <v>0</v>
      </c>
      <c r="M946">
        <f>IF(COUNTIFS('United Data'!$A$3:$A$3390,M$1,'United Data'!$C$3:$C$3390,$A946,'United Data'!$B$3:$B$3390,"&lt;&gt;Off-street")&gt;0,1,0)</f>
        <v>0</v>
      </c>
      <c r="N946">
        <f>IF(COUNTIFS('United Data'!$A$3:$A$3390,N$1,'United Data'!$C$3:$C$3390,$A946,'United Data'!$B$3:$B$3390,"&lt;&gt;Off-street")&gt;0,1,0)</f>
        <v>0</v>
      </c>
      <c r="O946">
        <f>IF(COUNTIFS('United Data'!$A$3:$A$3390,O$1,'United Data'!$C$3:$C$3390,$A946,'United Data'!$B$3:$B$3390,"&lt;&gt;Off-street")&gt;0,1,0)</f>
        <v>1</v>
      </c>
      <c r="P946">
        <f>IF(COUNTIFS('United Data'!$A$3:$A$3390,P$1,'United Data'!$C$3:$C$3390,$A946,'United Data'!$B$3:$B$3390,"&lt;&gt;Off-street")&gt;0,1,0)</f>
        <v>0</v>
      </c>
      <c r="Q946">
        <f>IF(COUNTIFS('United Data'!$A$3:$A$3390,Q$1,'United Data'!$C$3:$C$3390,$A946,'United Data'!$B$3:$B$3390,"&lt;&gt;Off-street")&gt;0,1,0)</f>
        <v>1</v>
      </c>
      <c r="R946">
        <f>IF(COUNTIFS('United Data'!$A$3:$A$3390,R$1,'United Data'!$C$3:$C$3390,$A946,'United Data'!$B$3:$B$3390,"&lt;&gt;Off-street")&gt;0,1,0)</f>
        <v>1</v>
      </c>
      <c r="S946">
        <f t="shared" si="28"/>
        <v>3</v>
      </c>
      <c r="T946">
        <f t="shared" si="29"/>
        <v>2</v>
      </c>
    </row>
    <row r="947" spans="1:20" x14ac:dyDescent="0.2">
      <c r="A947" t="s">
        <v>1139</v>
      </c>
      <c r="B947">
        <f>IF(COUNTIFS('United Data'!$A$3:$A$3390,B$1,'United Data'!$C$3:$C$3390,$A947,'United Data'!$B$3:$B$3390,"&lt;&gt;Off-street")&gt;0,1,0)</f>
        <v>0</v>
      </c>
      <c r="C947">
        <f>IF(COUNTIFS('United Data'!$A$3:$A$3390,C$1,'United Data'!$C$3:$C$3390,$A947,'United Data'!$B$3:$B$3390,"&lt;&gt;Off-street")&gt;0,1,0)</f>
        <v>0</v>
      </c>
      <c r="D947">
        <f>IF(COUNTIFS('United Data'!$A$3:$A$3390,D$1,'United Data'!$C$3:$C$3390,$A947,'United Data'!$B$3:$B$3390,"&lt;&gt;Off-street")&gt;0,1,0)</f>
        <v>0</v>
      </c>
      <c r="E947">
        <f>IF(COUNTIFS('United Data'!$A$3:$A$3390,E$1,'United Data'!$C$3:$C$3390,$A947,'United Data'!$B$3:$B$3390,"&lt;&gt;Off-street")&gt;0,1,0)</f>
        <v>0</v>
      </c>
      <c r="F947">
        <f>IF(COUNTIFS('United Data'!$A$3:$A$3390,F$1,'United Data'!$C$3:$C$3390,$A947,'United Data'!$B$3:$B$3390,"&lt;&gt;Off-street")&gt;0,1,0)</f>
        <v>0</v>
      </c>
      <c r="G947">
        <f>IF(COUNTIFS('United Data'!$A$3:$A$3390,G$1,'United Data'!$C$3:$C$3390,$A947,'United Data'!$B$3:$B$3390,"&lt;&gt;Off-street")&gt;0,1,0)</f>
        <v>0</v>
      </c>
      <c r="H947">
        <f>IF(COUNTIFS('United Data'!$A$3:$A$3390,H$1,'United Data'!$C$3:$C$3390,$A947,'United Data'!$B$3:$B$3390,"&lt;&gt;Off-street")&gt;0,1,0)</f>
        <v>0</v>
      </c>
      <c r="I947">
        <f>IF(COUNTIFS('United Data'!$A$3:$A$3390,I$1,'United Data'!$C$3:$C$3390,$A947,'United Data'!$B$3:$B$3390,"&lt;&gt;Off-street")&gt;0,1,0)</f>
        <v>0</v>
      </c>
      <c r="J947">
        <f>IF(COUNTIFS('United Data'!$A$3:$A$3390,J$1,'United Data'!$C$3:$C$3390,$A947,'United Data'!$B$3:$B$3390,"&lt;&gt;Off-street")&gt;0,1,0)</f>
        <v>0</v>
      </c>
      <c r="K947">
        <f>IF(COUNTIFS('United Data'!$A$3:$A$3390,K$1,'United Data'!$C$3:$C$3390,$A947,'United Data'!$B$3:$B$3390,"&lt;&gt;Off-street")&gt;0,1,0)</f>
        <v>0</v>
      </c>
      <c r="L947">
        <f>IF(COUNTIFS('United Data'!$A$3:$A$3390,L$1,'United Data'!$C$3:$C$3390,$A947,'United Data'!$B$3:$B$3390,"&lt;&gt;Off-street")&gt;0,1,0)</f>
        <v>0</v>
      </c>
      <c r="M947">
        <f>IF(COUNTIFS('United Data'!$A$3:$A$3390,M$1,'United Data'!$C$3:$C$3390,$A947,'United Data'!$B$3:$B$3390,"&lt;&gt;Off-street")&gt;0,1,0)</f>
        <v>0</v>
      </c>
      <c r="N947">
        <f>IF(COUNTIFS('United Data'!$A$3:$A$3390,N$1,'United Data'!$C$3:$C$3390,$A947,'United Data'!$B$3:$B$3390,"&lt;&gt;Off-street")&gt;0,1,0)</f>
        <v>0</v>
      </c>
      <c r="O947">
        <f>IF(COUNTIFS('United Data'!$A$3:$A$3390,O$1,'United Data'!$C$3:$C$3390,$A947,'United Data'!$B$3:$B$3390,"&lt;&gt;Off-street")&gt;0,1,0)</f>
        <v>0</v>
      </c>
      <c r="P947">
        <f>IF(COUNTIFS('United Data'!$A$3:$A$3390,P$1,'United Data'!$C$3:$C$3390,$A947,'United Data'!$B$3:$B$3390,"&lt;&gt;Off-street")&gt;0,1,0)</f>
        <v>1</v>
      </c>
      <c r="Q947">
        <f>IF(COUNTIFS('United Data'!$A$3:$A$3390,Q$1,'United Data'!$C$3:$C$3390,$A947,'United Data'!$B$3:$B$3390,"&lt;&gt;Off-street")&gt;0,1,0)</f>
        <v>0</v>
      </c>
      <c r="R947">
        <f>IF(COUNTIFS('United Data'!$A$3:$A$3390,R$1,'United Data'!$C$3:$C$3390,$A947,'United Data'!$B$3:$B$3390,"&lt;&gt;Off-street")&gt;0,1,0)</f>
        <v>0</v>
      </c>
      <c r="S947">
        <f t="shared" si="28"/>
        <v>1</v>
      </c>
      <c r="T947">
        <f t="shared" si="29"/>
        <v>1</v>
      </c>
    </row>
    <row r="948" spans="1:20" x14ac:dyDescent="0.2">
      <c r="A948" t="s">
        <v>1140</v>
      </c>
      <c r="B948">
        <f>IF(COUNTIFS('United Data'!$A$3:$A$3390,B$1,'United Data'!$C$3:$C$3390,$A948,'United Data'!$B$3:$B$3390,"&lt;&gt;Off-street")&gt;0,1,0)</f>
        <v>0</v>
      </c>
      <c r="C948">
        <f>IF(COUNTIFS('United Data'!$A$3:$A$3390,C$1,'United Data'!$C$3:$C$3390,$A948,'United Data'!$B$3:$B$3390,"&lt;&gt;Off-street")&gt;0,1,0)</f>
        <v>0</v>
      </c>
      <c r="D948">
        <f>IF(COUNTIFS('United Data'!$A$3:$A$3390,D$1,'United Data'!$C$3:$C$3390,$A948,'United Data'!$B$3:$B$3390,"&lt;&gt;Off-street")&gt;0,1,0)</f>
        <v>0</v>
      </c>
      <c r="E948">
        <f>IF(COUNTIFS('United Data'!$A$3:$A$3390,E$1,'United Data'!$C$3:$C$3390,$A948,'United Data'!$B$3:$B$3390,"&lt;&gt;Off-street")&gt;0,1,0)</f>
        <v>0</v>
      </c>
      <c r="F948">
        <f>IF(COUNTIFS('United Data'!$A$3:$A$3390,F$1,'United Data'!$C$3:$C$3390,$A948,'United Data'!$B$3:$B$3390,"&lt;&gt;Off-street")&gt;0,1,0)</f>
        <v>0</v>
      </c>
      <c r="G948">
        <f>IF(COUNTIFS('United Data'!$A$3:$A$3390,G$1,'United Data'!$C$3:$C$3390,$A948,'United Data'!$B$3:$B$3390,"&lt;&gt;Off-street")&gt;0,1,0)</f>
        <v>0</v>
      </c>
      <c r="H948">
        <f>IF(COUNTIFS('United Data'!$A$3:$A$3390,H$1,'United Data'!$C$3:$C$3390,$A948,'United Data'!$B$3:$B$3390,"&lt;&gt;Off-street")&gt;0,1,0)</f>
        <v>0</v>
      </c>
      <c r="I948">
        <f>IF(COUNTIFS('United Data'!$A$3:$A$3390,I$1,'United Data'!$C$3:$C$3390,$A948,'United Data'!$B$3:$B$3390,"&lt;&gt;Off-street")&gt;0,1,0)</f>
        <v>0</v>
      </c>
      <c r="J948">
        <f>IF(COUNTIFS('United Data'!$A$3:$A$3390,J$1,'United Data'!$C$3:$C$3390,$A948,'United Data'!$B$3:$B$3390,"&lt;&gt;Off-street")&gt;0,1,0)</f>
        <v>0</v>
      </c>
      <c r="K948">
        <f>IF(COUNTIFS('United Data'!$A$3:$A$3390,K$1,'United Data'!$C$3:$C$3390,$A948,'United Data'!$B$3:$B$3390,"&lt;&gt;Off-street")&gt;0,1,0)</f>
        <v>0</v>
      </c>
      <c r="L948">
        <f>IF(COUNTIFS('United Data'!$A$3:$A$3390,L$1,'United Data'!$C$3:$C$3390,$A948,'United Data'!$B$3:$B$3390,"&lt;&gt;Off-street")&gt;0,1,0)</f>
        <v>0</v>
      </c>
      <c r="M948">
        <f>IF(COUNTIFS('United Data'!$A$3:$A$3390,M$1,'United Data'!$C$3:$C$3390,$A948,'United Data'!$B$3:$B$3390,"&lt;&gt;Off-street")&gt;0,1,0)</f>
        <v>0</v>
      </c>
      <c r="N948">
        <f>IF(COUNTIFS('United Data'!$A$3:$A$3390,N$1,'United Data'!$C$3:$C$3390,$A948,'United Data'!$B$3:$B$3390,"&lt;&gt;Off-street")&gt;0,1,0)</f>
        <v>0</v>
      </c>
      <c r="O948">
        <f>IF(COUNTIFS('United Data'!$A$3:$A$3390,O$1,'United Data'!$C$3:$C$3390,$A948,'United Data'!$B$3:$B$3390,"&lt;&gt;Off-street")&gt;0,1,0)</f>
        <v>0</v>
      </c>
      <c r="P948">
        <f>IF(COUNTIFS('United Data'!$A$3:$A$3390,P$1,'United Data'!$C$3:$C$3390,$A948,'United Data'!$B$3:$B$3390,"&lt;&gt;Off-street")&gt;0,1,0)</f>
        <v>0</v>
      </c>
      <c r="Q948">
        <f>IF(COUNTIFS('United Data'!$A$3:$A$3390,Q$1,'United Data'!$C$3:$C$3390,$A948,'United Data'!$B$3:$B$3390,"&lt;&gt;Off-street")&gt;0,1,0)</f>
        <v>1</v>
      </c>
      <c r="R948">
        <f>IF(COUNTIFS('United Data'!$A$3:$A$3390,R$1,'United Data'!$C$3:$C$3390,$A948,'United Data'!$B$3:$B$3390,"&lt;&gt;Off-street")&gt;0,1,0)</f>
        <v>0</v>
      </c>
      <c r="S948">
        <f t="shared" si="28"/>
        <v>1</v>
      </c>
      <c r="T948">
        <f t="shared" si="29"/>
        <v>1</v>
      </c>
    </row>
    <row r="949" spans="1:20" x14ac:dyDescent="0.2">
      <c r="A949" t="s">
        <v>1141</v>
      </c>
      <c r="B949">
        <f>IF(COUNTIFS('United Data'!$A$3:$A$3390,B$1,'United Data'!$C$3:$C$3390,$A949,'United Data'!$B$3:$B$3390,"&lt;&gt;Off-street")&gt;0,1,0)</f>
        <v>0</v>
      </c>
      <c r="C949">
        <f>IF(COUNTIFS('United Data'!$A$3:$A$3390,C$1,'United Data'!$C$3:$C$3390,$A949,'United Data'!$B$3:$B$3390,"&lt;&gt;Off-street")&gt;0,1,0)</f>
        <v>0</v>
      </c>
      <c r="D949">
        <f>IF(COUNTIFS('United Data'!$A$3:$A$3390,D$1,'United Data'!$C$3:$C$3390,$A949,'United Data'!$B$3:$B$3390,"&lt;&gt;Off-street")&gt;0,1,0)</f>
        <v>0</v>
      </c>
      <c r="E949">
        <f>IF(COUNTIFS('United Data'!$A$3:$A$3390,E$1,'United Data'!$C$3:$C$3390,$A949,'United Data'!$B$3:$B$3390,"&lt;&gt;Off-street")&gt;0,1,0)</f>
        <v>0</v>
      </c>
      <c r="F949">
        <f>IF(COUNTIFS('United Data'!$A$3:$A$3390,F$1,'United Data'!$C$3:$C$3390,$A949,'United Data'!$B$3:$B$3390,"&lt;&gt;Off-street")&gt;0,1,0)</f>
        <v>0</v>
      </c>
      <c r="G949">
        <f>IF(COUNTIFS('United Data'!$A$3:$A$3390,G$1,'United Data'!$C$3:$C$3390,$A949,'United Data'!$B$3:$B$3390,"&lt;&gt;Off-street")&gt;0,1,0)</f>
        <v>0</v>
      </c>
      <c r="H949">
        <f>IF(COUNTIFS('United Data'!$A$3:$A$3390,H$1,'United Data'!$C$3:$C$3390,$A949,'United Data'!$B$3:$B$3390,"&lt;&gt;Off-street")&gt;0,1,0)</f>
        <v>0</v>
      </c>
      <c r="I949">
        <f>IF(COUNTIFS('United Data'!$A$3:$A$3390,I$1,'United Data'!$C$3:$C$3390,$A949,'United Data'!$B$3:$B$3390,"&lt;&gt;Off-street")&gt;0,1,0)</f>
        <v>0</v>
      </c>
      <c r="J949">
        <f>IF(COUNTIFS('United Data'!$A$3:$A$3390,J$1,'United Data'!$C$3:$C$3390,$A949,'United Data'!$B$3:$B$3390,"&lt;&gt;Off-street")&gt;0,1,0)</f>
        <v>0</v>
      </c>
      <c r="K949">
        <f>IF(COUNTIFS('United Data'!$A$3:$A$3390,K$1,'United Data'!$C$3:$C$3390,$A949,'United Data'!$B$3:$B$3390,"&lt;&gt;Off-street")&gt;0,1,0)</f>
        <v>0</v>
      </c>
      <c r="L949">
        <f>IF(COUNTIFS('United Data'!$A$3:$A$3390,L$1,'United Data'!$C$3:$C$3390,$A949,'United Data'!$B$3:$B$3390,"&lt;&gt;Off-street")&gt;0,1,0)</f>
        <v>0</v>
      </c>
      <c r="M949">
        <f>IF(COUNTIFS('United Data'!$A$3:$A$3390,M$1,'United Data'!$C$3:$C$3390,$A949,'United Data'!$B$3:$B$3390,"&lt;&gt;Off-street")&gt;0,1,0)</f>
        <v>0</v>
      </c>
      <c r="N949">
        <f>IF(COUNTIFS('United Data'!$A$3:$A$3390,N$1,'United Data'!$C$3:$C$3390,$A949,'United Data'!$B$3:$B$3390,"&lt;&gt;Off-street")&gt;0,1,0)</f>
        <v>0</v>
      </c>
      <c r="O949">
        <f>IF(COUNTIFS('United Data'!$A$3:$A$3390,O$1,'United Data'!$C$3:$C$3390,$A949,'United Data'!$B$3:$B$3390,"&lt;&gt;Off-street")&gt;0,1,0)</f>
        <v>0</v>
      </c>
      <c r="P949">
        <f>IF(COUNTIFS('United Data'!$A$3:$A$3390,P$1,'United Data'!$C$3:$C$3390,$A949,'United Data'!$B$3:$B$3390,"&lt;&gt;Off-street")&gt;0,1,0)</f>
        <v>0</v>
      </c>
      <c r="Q949">
        <f>IF(COUNTIFS('United Data'!$A$3:$A$3390,Q$1,'United Data'!$C$3:$C$3390,$A949,'United Data'!$B$3:$B$3390,"&lt;&gt;Off-street")&gt;0,1,0)</f>
        <v>1</v>
      </c>
      <c r="R949">
        <f>IF(COUNTIFS('United Data'!$A$3:$A$3390,R$1,'United Data'!$C$3:$C$3390,$A949,'United Data'!$B$3:$B$3390,"&lt;&gt;Off-street")&gt;0,1,0)</f>
        <v>0</v>
      </c>
      <c r="S949">
        <f t="shared" si="28"/>
        <v>1</v>
      </c>
      <c r="T949">
        <f t="shared" si="29"/>
        <v>1</v>
      </c>
    </row>
    <row r="950" spans="1:20" x14ac:dyDescent="0.2">
      <c r="A950" t="s">
        <v>1142</v>
      </c>
      <c r="B950">
        <f>IF(COUNTIFS('United Data'!$A$3:$A$3390,B$1,'United Data'!$C$3:$C$3390,$A950,'United Data'!$B$3:$B$3390,"&lt;&gt;Off-street")&gt;0,1,0)</f>
        <v>1</v>
      </c>
      <c r="C950">
        <f>IF(COUNTIFS('United Data'!$A$3:$A$3390,C$1,'United Data'!$C$3:$C$3390,$A950,'United Data'!$B$3:$B$3390,"&lt;&gt;Off-street")&gt;0,1,0)</f>
        <v>1</v>
      </c>
      <c r="D950">
        <f>IF(COUNTIFS('United Data'!$A$3:$A$3390,D$1,'United Data'!$C$3:$C$3390,$A950,'United Data'!$B$3:$B$3390,"&lt;&gt;Off-street")&gt;0,1,0)</f>
        <v>1</v>
      </c>
      <c r="E950">
        <f>IF(COUNTIFS('United Data'!$A$3:$A$3390,E$1,'United Data'!$C$3:$C$3390,$A950,'United Data'!$B$3:$B$3390,"&lt;&gt;Off-street")&gt;0,1,0)</f>
        <v>0</v>
      </c>
      <c r="F950">
        <f>IF(COUNTIFS('United Data'!$A$3:$A$3390,F$1,'United Data'!$C$3:$C$3390,$A950,'United Data'!$B$3:$B$3390,"&lt;&gt;Off-street")&gt;0,1,0)</f>
        <v>0</v>
      </c>
      <c r="G950">
        <f>IF(COUNTIFS('United Data'!$A$3:$A$3390,G$1,'United Data'!$C$3:$C$3390,$A950,'United Data'!$B$3:$B$3390,"&lt;&gt;Off-street")&gt;0,1,0)</f>
        <v>0</v>
      </c>
      <c r="H950">
        <f>IF(COUNTIFS('United Data'!$A$3:$A$3390,H$1,'United Data'!$C$3:$C$3390,$A950,'United Data'!$B$3:$B$3390,"&lt;&gt;Off-street")&gt;0,1,0)</f>
        <v>0</v>
      </c>
      <c r="I950">
        <f>IF(COUNTIFS('United Data'!$A$3:$A$3390,I$1,'United Data'!$C$3:$C$3390,$A950,'United Data'!$B$3:$B$3390,"&lt;&gt;Off-street")&gt;0,1,0)</f>
        <v>0</v>
      </c>
      <c r="J950">
        <f>IF(COUNTIFS('United Data'!$A$3:$A$3390,J$1,'United Data'!$C$3:$C$3390,$A950,'United Data'!$B$3:$B$3390,"&lt;&gt;Off-street")&gt;0,1,0)</f>
        <v>0</v>
      </c>
      <c r="K950">
        <f>IF(COUNTIFS('United Data'!$A$3:$A$3390,K$1,'United Data'!$C$3:$C$3390,$A950,'United Data'!$B$3:$B$3390,"&lt;&gt;Off-street")&gt;0,1,0)</f>
        <v>0</v>
      </c>
      <c r="L950">
        <f>IF(COUNTIFS('United Data'!$A$3:$A$3390,L$1,'United Data'!$C$3:$C$3390,$A950,'United Data'!$B$3:$B$3390,"&lt;&gt;Off-street")&gt;0,1,0)</f>
        <v>0</v>
      </c>
      <c r="M950">
        <f>IF(COUNTIFS('United Data'!$A$3:$A$3390,M$1,'United Data'!$C$3:$C$3390,$A950,'United Data'!$B$3:$B$3390,"&lt;&gt;Off-street")&gt;0,1,0)</f>
        <v>0</v>
      </c>
      <c r="N950">
        <f>IF(COUNTIFS('United Data'!$A$3:$A$3390,N$1,'United Data'!$C$3:$C$3390,$A950,'United Data'!$B$3:$B$3390,"&lt;&gt;Off-street")&gt;0,1,0)</f>
        <v>0</v>
      </c>
      <c r="O950">
        <f>IF(COUNTIFS('United Data'!$A$3:$A$3390,O$1,'United Data'!$C$3:$C$3390,$A950,'United Data'!$B$3:$B$3390,"&lt;&gt;Off-street")&gt;0,1,0)</f>
        <v>0</v>
      </c>
      <c r="P950">
        <f>IF(COUNTIFS('United Data'!$A$3:$A$3390,P$1,'United Data'!$C$3:$C$3390,$A950,'United Data'!$B$3:$B$3390,"&lt;&gt;Off-street")&gt;0,1,0)</f>
        <v>0</v>
      </c>
      <c r="Q950">
        <f>IF(COUNTIFS('United Data'!$A$3:$A$3390,Q$1,'United Data'!$C$3:$C$3390,$A950,'United Data'!$B$3:$B$3390,"&lt;&gt;Off-street")&gt;0,1,0)</f>
        <v>0</v>
      </c>
      <c r="R950">
        <f>IF(COUNTIFS('United Data'!$A$3:$A$3390,R$1,'United Data'!$C$3:$C$3390,$A950,'United Data'!$B$3:$B$3390,"&lt;&gt;Off-street")&gt;0,1,0)</f>
        <v>0</v>
      </c>
      <c r="S950">
        <f t="shared" si="28"/>
        <v>3</v>
      </c>
      <c r="T950">
        <f t="shared" si="29"/>
        <v>1</v>
      </c>
    </row>
    <row r="951" spans="1:20" x14ac:dyDescent="0.2">
      <c r="A951" t="s">
        <v>1143</v>
      </c>
      <c r="B951">
        <f>IF(COUNTIFS('United Data'!$A$3:$A$3390,B$1,'United Data'!$C$3:$C$3390,$A951,'United Data'!$B$3:$B$3390,"&lt;&gt;Off-street")&gt;0,1,0)</f>
        <v>1</v>
      </c>
      <c r="C951">
        <f>IF(COUNTIFS('United Data'!$A$3:$A$3390,C$1,'United Data'!$C$3:$C$3390,$A951,'United Data'!$B$3:$B$3390,"&lt;&gt;Off-street")&gt;0,1,0)</f>
        <v>1</v>
      </c>
      <c r="D951">
        <f>IF(COUNTIFS('United Data'!$A$3:$A$3390,D$1,'United Data'!$C$3:$C$3390,$A951,'United Data'!$B$3:$B$3390,"&lt;&gt;Off-street")&gt;0,1,0)</f>
        <v>0</v>
      </c>
      <c r="E951">
        <f>IF(COUNTIFS('United Data'!$A$3:$A$3390,E$1,'United Data'!$C$3:$C$3390,$A951,'United Data'!$B$3:$B$3390,"&lt;&gt;Off-street")&gt;0,1,0)</f>
        <v>0</v>
      </c>
      <c r="F951">
        <f>IF(COUNTIFS('United Data'!$A$3:$A$3390,F$1,'United Data'!$C$3:$C$3390,$A951,'United Data'!$B$3:$B$3390,"&lt;&gt;Off-street")&gt;0,1,0)</f>
        <v>0</v>
      </c>
      <c r="G951">
        <f>IF(COUNTIFS('United Data'!$A$3:$A$3390,G$1,'United Data'!$C$3:$C$3390,$A951,'United Data'!$B$3:$B$3390,"&lt;&gt;Off-street")&gt;0,1,0)</f>
        <v>0</v>
      </c>
      <c r="H951">
        <f>IF(COUNTIFS('United Data'!$A$3:$A$3390,H$1,'United Data'!$C$3:$C$3390,$A951,'United Data'!$B$3:$B$3390,"&lt;&gt;Off-street")&gt;0,1,0)</f>
        <v>0</v>
      </c>
      <c r="I951">
        <f>IF(COUNTIFS('United Data'!$A$3:$A$3390,I$1,'United Data'!$C$3:$C$3390,$A951,'United Data'!$B$3:$B$3390,"&lt;&gt;Off-street")&gt;0,1,0)</f>
        <v>0</v>
      </c>
      <c r="J951">
        <f>IF(COUNTIFS('United Data'!$A$3:$A$3390,J$1,'United Data'!$C$3:$C$3390,$A951,'United Data'!$B$3:$B$3390,"&lt;&gt;Off-street")&gt;0,1,0)</f>
        <v>0</v>
      </c>
      <c r="K951">
        <f>IF(COUNTIFS('United Data'!$A$3:$A$3390,K$1,'United Data'!$C$3:$C$3390,$A951,'United Data'!$B$3:$B$3390,"&lt;&gt;Off-street")&gt;0,1,0)</f>
        <v>0</v>
      </c>
      <c r="L951">
        <f>IF(COUNTIFS('United Data'!$A$3:$A$3390,L$1,'United Data'!$C$3:$C$3390,$A951,'United Data'!$B$3:$B$3390,"&lt;&gt;Off-street")&gt;0,1,0)</f>
        <v>0</v>
      </c>
      <c r="M951">
        <f>IF(COUNTIFS('United Data'!$A$3:$A$3390,M$1,'United Data'!$C$3:$C$3390,$A951,'United Data'!$B$3:$B$3390,"&lt;&gt;Off-street")&gt;0,1,0)</f>
        <v>0</v>
      </c>
      <c r="N951">
        <f>IF(COUNTIFS('United Data'!$A$3:$A$3390,N$1,'United Data'!$C$3:$C$3390,$A951,'United Data'!$B$3:$B$3390,"&lt;&gt;Off-street")&gt;0,1,0)</f>
        <v>0</v>
      </c>
      <c r="O951">
        <f>IF(COUNTIFS('United Data'!$A$3:$A$3390,O$1,'United Data'!$C$3:$C$3390,$A951,'United Data'!$B$3:$B$3390,"&lt;&gt;Off-street")&gt;0,1,0)</f>
        <v>0</v>
      </c>
      <c r="P951">
        <f>IF(COUNTIFS('United Data'!$A$3:$A$3390,P$1,'United Data'!$C$3:$C$3390,$A951,'United Data'!$B$3:$B$3390,"&lt;&gt;Off-street")&gt;0,1,0)</f>
        <v>0</v>
      </c>
      <c r="Q951">
        <f>IF(COUNTIFS('United Data'!$A$3:$A$3390,Q$1,'United Data'!$C$3:$C$3390,$A951,'United Data'!$B$3:$B$3390,"&lt;&gt;Off-street")&gt;0,1,0)</f>
        <v>0</v>
      </c>
      <c r="R951">
        <f>IF(COUNTIFS('United Data'!$A$3:$A$3390,R$1,'United Data'!$C$3:$C$3390,$A951,'United Data'!$B$3:$B$3390,"&lt;&gt;Off-street")&gt;0,1,0)</f>
        <v>0</v>
      </c>
      <c r="S951">
        <f t="shared" si="28"/>
        <v>2</v>
      </c>
      <c r="T951">
        <f t="shared" si="29"/>
        <v>1</v>
      </c>
    </row>
    <row r="952" spans="1:20" x14ac:dyDescent="0.2">
      <c r="A952" t="s">
        <v>1144</v>
      </c>
      <c r="B952">
        <f>IF(COUNTIFS('United Data'!$A$3:$A$3390,B$1,'United Data'!$C$3:$C$3390,$A952,'United Data'!$B$3:$B$3390,"&lt;&gt;Off-street")&gt;0,1,0)</f>
        <v>1</v>
      </c>
      <c r="C952">
        <f>IF(COUNTIFS('United Data'!$A$3:$A$3390,C$1,'United Data'!$C$3:$C$3390,$A952,'United Data'!$B$3:$B$3390,"&lt;&gt;Off-street")&gt;0,1,0)</f>
        <v>0</v>
      </c>
      <c r="D952">
        <f>IF(COUNTIFS('United Data'!$A$3:$A$3390,D$1,'United Data'!$C$3:$C$3390,$A952,'United Data'!$B$3:$B$3390,"&lt;&gt;Off-street")&gt;0,1,0)</f>
        <v>1</v>
      </c>
      <c r="E952">
        <f>IF(COUNTIFS('United Data'!$A$3:$A$3390,E$1,'United Data'!$C$3:$C$3390,$A952,'United Data'!$B$3:$B$3390,"&lt;&gt;Off-street")&gt;0,1,0)</f>
        <v>1</v>
      </c>
      <c r="F952">
        <f>IF(COUNTIFS('United Data'!$A$3:$A$3390,F$1,'United Data'!$C$3:$C$3390,$A952,'United Data'!$B$3:$B$3390,"&lt;&gt;Off-street")&gt;0,1,0)</f>
        <v>0</v>
      </c>
      <c r="G952">
        <f>IF(COUNTIFS('United Data'!$A$3:$A$3390,G$1,'United Data'!$C$3:$C$3390,$A952,'United Data'!$B$3:$B$3390,"&lt;&gt;Off-street")&gt;0,1,0)</f>
        <v>0</v>
      </c>
      <c r="H952">
        <f>IF(COUNTIFS('United Data'!$A$3:$A$3390,H$1,'United Data'!$C$3:$C$3390,$A952,'United Data'!$B$3:$B$3390,"&lt;&gt;Off-street")&gt;0,1,0)</f>
        <v>0</v>
      </c>
      <c r="I952">
        <f>IF(COUNTIFS('United Data'!$A$3:$A$3390,I$1,'United Data'!$C$3:$C$3390,$A952,'United Data'!$B$3:$B$3390,"&lt;&gt;Off-street")&gt;0,1,0)</f>
        <v>0</v>
      </c>
      <c r="J952">
        <f>IF(COUNTIFS('United Data'!$A$3:$A$3390,J$1,'United Data'!$C$3:$C$3390,$A952,'United Data'!$B$3:$B$3390,"&lt;&gt;Off-street")&gt;0,1,0)</f>
        <v>0</v>
      </c>
      <c r="K952">
        <f>IF(COUNTIFS('United Data'!$A$3:$A$3390,K$1,'United Data'!$C$3:$C$3390,$A952,'United Data'!$B$3:$B$3390,"&lt;&gt;Off-street")&gt;0,1,0)</f>
        <v>0</v>
      </c>
      <c r="L952">
        <f>IF(COUNTIFS('United Data'!$A$3:$A$3390,L$1,'United Data'!$C$3:$C$3390,$A952,'United Data'!$B$3:$B$3390,"&lt;&gt;Off-street")&gt;0,1,0)</f>
        <v>0</v>
      </c>
      <c r="M952">
        <f>IF(COUNTIFS('United Data'!$A$3:$A$3390,M$1,'United Data'!$C$3:$C$3390,$A952,'United Data'!$B$3:$B$3390,"&lt;&gt;Off-street")&gt;0,1,0)</f>
        <v>0</v>
      </c>
      <c r="N952">
        <f>IF(COUNTIFS('United Data'!$A$3:$A$3390,N$1,'United Data'!$C$3:$C$3390,$A952,'United Data'!$B$3:$B$3390,"&lt;&gt;Off-street")&gt;0,1,0)</f>
        <v>0</v>
      </c>
      <c r="O952">
        <f>IF(COUNTIFS('United Data'!$A$3:$A$3390,O$1,'United Data'!$C$3:$C$3390,$A952,'United Data'!$B$3:$B$3390,"&lt;&gt;Off-street")&gt;0,1,0)</f>
        <v>0</v>
      </c>
      <c r="P952">
        <f>IF(COUNTIFS('United Data'!$A$3:$A$3390,P$1,'United Data'!$C$3:$C$3390,$A952,'United Data'!$B$3:$B$3390,"&lt;&gt;Off-street")&gt;0,1,0)</f>
        <v>0</v>
      </c>
      <c r="Q952">
        <f>IF(COUNTIFS('United Data'!$A$3:$A$3390,Q$1,'United Data'!$C$3:$C$3390,$A952,'United Data'!$B$3:$B$3390,"&lt;&gt;Off-street")&gt;0,1,0)</f>
        <v>0</v>
      </c>
      <c r="R952">
        <f>IF(COUNTIFS('United Data'!$A$3:$A$3390,R$1,'United Data'!$C$3:$C$3390,$A952,'United Data'!$B$3:$B$3390,"&lt;&gt;Off-street")&gt;0,1,0)</f>
        <v>0</v>
      </c>
      <c r="S952">
        <f t="shared" si="28"/>
        <v>3</v>
      </c>
      <c r="T952">
        <f t="shared" si="29"/>
        <v>2</v>
      </c>
    </row>
    <row r="953" spans="1:20" x14ac:dyDescent="0.2">
      <c r="A953" t="s">
        <v>1145</v>
      </c>
      <c r="B953">
        <f>IF(COUNTIFS('United Data'!$A$3:$A$3390,B$1,'United Data'!$C$3:$C$3390,$A953,'United Data'!$B$3:$B$3390,"&lt;&gt;Off-street")&gt;0,1,0)</f>
        <v>1</v>
      </c>
      <c r="C953">
        <f>IF(COUNTIFS('United Data'!$A$3:$A$3390,C$1,'United Data'!$C$3:$C$3390,$A953,'United Data'!$B$3:$B$3390,"&lt;&gt;Off-street")&gt;0,1,0)</f>
        <v>1</v>
      </c>
      <c r="D953">
        <f>IF(COUNTIFS('United Data'!$A$3:$A$3390,D$1,'United Data'!$C$3:$C$3390,$A953,'United Data'!$B$3:$B$3390,"&lt;&gt;Off-street")&gt;0,1,0)</f>
        <v>1</v>
      </c>
      <c r="E953">
        <f>IF(COUNTIFS('United Data'!$A$3:$A$3390,E$1,'United Data'!$C$3:$C$3390,$A953,'United Data'!$B$3:$B$3390,"&lt;&gt;Off-street")&gt;0,1,0)</f>
        <v>1</v>
      </c>
      <c r="F953">
        <f>IF(COUNTIFS('United Data'!$A$3:$A$3390,F$1,'United Data'!$C$3:$C$3390,$A953,'United Data'!$B$3:$B$3390,"&lt;&gt;Off-street")&gt;0,1,0)</f>
        <v>0</v>
      </c>
      <c r="G953">
        <f>IF(COUNTIFS('United Data'!$A$3:$A$3390,G$1,'United Data'!$C$3:$C$3390,$A953,'United Data'!$B$3:$B$3390,"&lt;&gt;Off-street")&gt;0,1,0)</f>
        <v>0</v>
      </c>
      <c r="H953">
        <f>IF(COUNTIFS('United Data'!$A$3:$A$3390,H$1,'United Data'!$C$3:$C$3390,$A953,'United Data'!$B$3:$B$3390,"&lt;&gt;Off-street")&gt;0,1,0)</f>
        <v>0</v>
      </c>
      <c r="I953">
        <f>IF(COUNTIFS('United Data'!$A$3:$A$3390,I$1,'United Data'!$C$3:$C$3390,$A953,'United Data'!$B$3:$B$3390,"&lt;&gt;Off-street")&gt;0,1,0)</f>
        <v>0</v>
      </c>
      <c r="J953">
        <f>IF(COUNTIFS('United Data'!$A$3:$A$3390,J$1,'United Data'!$C$3:$C$3390,$A953,'United Data'!$B$3:$B$3390,"&lt;&gt;Off-street")&gt;0,1,0)</f>
        <v>0</v>
      </c>
      <c r="K953">
        <f>IF(COUNTIFS('United Data'!$A$3:$A$3390,K$1,'United Data'!$C$3:$C$3390,$A953,'United Data'!$B$3:$B$3390,"&lt;&gt;Off-street")&gt;0,1,0)</f>
        <v>0</v>
      </c>
      <c r="L953">
        <f>IF(COUNTIFS('United Data'!$A$3:$A$3390,L$1,'United Data'!$C$3:$C$3390,$A953,'United Data'!$B$3:$B$3390,"&lt;&gt;Off-street")&gt;0,1,0)</f>
        <v>0</v>
      </c>
      <c r="M953">
        <f>IF(COUNTIFS('United Data'!$A$3:$A$3390,M$1,'United Data'!$C$3:$C$3390,$A953,'United Data'!$B$3:$B$3390,"&lt;&gt;Off-street")&gt;0,1,0)</f>
        <v>0</v>
      </c>
      <c r="N953">
        <f>IF(COUNTIFS('United Data'!$A$3:$A$3390,N$1,'United Data'!$C$3:$C$3390,$A953,'United Data'!$B$3:$B$3390,"&lt;&gt;Off-street")&gt;0,1,0)</f>
        <v>0</v>
      </c>
      <c r="O953">
        <f>IF(COUNTIFS('United Data'!$A$3:$A$3390,O$1,'United Data'!$C$3:$C$3390,$A953,'United Data'!$B$3:$B$3390,"&lt;&gt;Off-street")&gt;0,1,0)</f>
        <v>0</v>
      </c>
      <c r="P953">
        <f>IF(COUNTIFS('United Data'!$A$3:$A$3390,P$1,'United Data'!$C$3:$C$3390,$A953,'United Data'!$B$3:$B$3390,"&lt;&gt;Off-street")&gt;0,1,0)</f>
        <v>0</v>
      </c>
      <c r="Q953">
        <f>IF(COUNTIFS('United Data'!$A$3:$A$3390,Q$1,'United Data'!$C$3:$C$3390,$A953,'United Data'!$B$3:$B$3390,"&lt;&gt;Off-street")&gt;0,1,0)</f>
        <v>0</v>
      </c>
      <c r="R953">
        <f>IF(COUNTIFS('United Data'!$A$3:$A$3390,R$1,'United Data'!$C$3:$C$3390,$A953,'United Data'!$B$3:$B$3390,"&lt;&gt;Off-street")&gt;0,1,0)</f>
        <v>0</v>
      </c>
      <c r="S953">
        <f t="shared" si="28"/>
        <v>4</v>
      </c>
      <c r="T953">
        <f t="shared" si="29"/>
        <v>1</v>
      </c>
    </row>
    <row r="954" spans="1:20" x14ac:dyDescent="0.2">
      <c r="A954" t="s">
        <v>1146</v>
      </c>
      <c r="B954">
        <f>IF(COUNTIFS('United Data'!$A$3:$A$3390,B$1,'United Data'!$C$3:$C$3390,$A954,'United Data'!$B$3:$B$3390,"&lt;&gt;Off-street")&gt;0,1,0)</f>
        <v>1</v>
      </c>
      <c r="C954">
        <f>IF(COUNTIFS('United Data'!$A$3:$A$3390,C$1,'United Data'!$C$3:$C$3390,$A954,'United Data'!$B$3:$B$3390,"&lt;&gt;Off-street")&gt;0,1,0)</f>
        <v>1</v>
      </c>
      <c r="D954">
        <f>IF(COUNTIFS('United Data'!$A$3:$A$3390,D$1,'United Data'!$C$3:$C$3390,$A954,'United Data'!$B$3:$B$3390,"&lt;&gt;Off-street")&gt;0,1,0)</f>
        <v>1</v>
      </c>
      <c r="E954">
        <f>IF(COUNTIFS('United Data'!$A$3:$A$3390,E$1,'United Data'!$C$3:$C$3390,$A954,'United Data'!$B$3:$B$3390,"&lt;&gt;Off-street")&gt;0,1,0)</f>
        <v>1</v>
      </c>
      <c r="F954">
        <f>IF(COUNTIFS('United Data'!$A$3:$A$3390,F$1,'United Data'!$C$3:$C$3390,$A954,'United Data'!$B$3:$B$3390,"&lt;&gt;Off-street")&gt;0,1,0)</f>
        <v>0</v>
      </c>
      <c r="G954">
        <f>IF(COUNTIFS('United Data'!$A$3:$A$3390,G$1,'United Data'!$C$3:$C$3390,$A954,'United Data'!$B$3:$B$3390,"&lt;&gt;Off-street")&gt;0,1,0)</f>
        <v>1</v>
      </c>
      <c r="H954">
        <f>IF(COUNTIFS('United Data'!$A$3:$A$3390,H$1,'United Data'!$C$3:$C$3390,$A954,'United Data'!$B$3:$B$3390,"&lt;&gt;Off-street")&gt;0,1,0)</f>
        <v>1</v>
      </c>
      <c r="I954">
        <f>IF(COUNTIFS('United Data'!$A$3:$A$3390,I$1,'United Data'!$C$3:$C$3390,$A954,'United Data'!$B$3:$B$3390,"&lt;&gt;Off-street")&gt;0,1,0)</f>
        <v>1</v>
      </c>
      <c r="J954">
        <f>IF(COUNTIFS('United Data'!$A$3:$A$3390,J$1,'United Data'!$C$3:$C$3390,$A954,'United Data'!$B$3:$B$3390,"&lt;&gt;Off-street")&gt;0,1,0)</f>
        <v>1</v>
      </c>
      <c r="K954">
        <f>IF(COUNTIFS('United Data'!$A$3:$A$3390,K$1,'United Data'!$C$3:$C$3390,$A954,'United Data'!$B$3:$B$3390,"&lt;&gt;Off-street")&gt;0,1,0)</f>
        <v>0</v>
      </c>
      <c r="L954">
        <f>IF(COUNTIFS('United Data'!$A$3:$A$3390,L$1,'United Data'!$C$3:$C$3390,$A954,'United Data'!$B$3:$B$3390,"&lt;&gt;Off-street")&gt;0,1,0)</f>
        <v>0</v>
      </c>
      <c r="M954">
        <f>IF(COUNTIFS('United Data'!$A$3:$A$3390,M$1,'United Data'!$C$3:$C$3390,$A954,'United Data'!$B$3:$B$3390,"&lt;&gt;Off-street")&gt;0,1,0)</f>
        <v>0</v>
      </c>
      <c r="N954">
        <f>IF(COUNTIFS('United Data'!$A$3:$A$3390,N$1,'United Data'!$C$3:$C$3390,$A954,'United Data'!$B$3:$B$3390,"&lt;&gt;Off-street")&gt;0,1,0)</f>
        <v>0</v>
      </c>
      <c r="O954">
        <f>IF(COUNTIFS('United Data'!$A$3:$A$3390,O$1,'United Data'!$C$3:$C$3390,$A954,'United Data'!$B$3:$B$3390,"&lt;&gt;Off-street")&gt;0,1,0)</f>
        <v>1</v>
      </c>
      <c r="P954">
        <f>IF(COUNTIFS('United Data'!$A$3:$A$3390,P$1,'United Data'!$C$3:$C$3390,$A954,'United Data'!$B$3:$B$3390,"&lt;&gt;Off-street")&gt;0,1,0)</f>
        <v>1</v>
      </c>
      <c r="Q954">
        <f>IF(COUNTIFS('United Data'!$A$3:$A$3390,Q$1,'United Data'!$C$3:$C$3390,$A954,'United Data'!$B$3:$B$3390,"&lt;&gt;Off-street")&gt;0,1,0)</f>
        <v>1</v>
      </c>
      <c r="R954">
        <f>IF(COUNTIFS('United Data'!$A$3:$A$3390,R$1,'United Data'!$C$3:$C$3390,$A954,'United Data'!$B$3:$B$3390,"&lt;&gt;Off-street")&gt;0,1,0)</f>
        <v>0</v>
      </c>
      <c r="S954">
        <f t="shared" si="28"/>
        <v>11</v>
      </c>
      <c r="T954">
        <f t="shared" si="29"/>
        <v>3</v>
      </c>
    </row>
    <row r="955" spans="1:20" x14ac:dyDescent="0.2">
      <c r="A955" t="s">
        <v>1147</v>
      </c>
      <c r="B955">
        <f>IF(COUNTIFS('United Data'!$A$3:$A$3390,B$1,'United Data'!$C$3:$C$3390,$A955,'United Data'!$B$3:$B$3390,"&lt;&gt;Off-street")&gt;0,1,0)</f>
        <v>0</v>
      </c>
      <c r="C955">
        <f>IF(COUNTIFS('United Data'!$A$3:$A$3390,C$1,'United Data'!$C$3:$C$3390,$A955,'United Data'!$B$3:$B$3390,"&lt;&gt;Off-street")&gt;0,1,0)</f>
        <v>1</v>
      </c>
      <c r="D955">
        <f>IF(COUNTIFS('United Data'!$A$3:$A$3390,D$1,'United Data'!$C$3:$C$3390,$A955,'United Data'!$B$3:$B$3390,"&lt;&gt;Off-street")&gt;0,1,0)</f>
        <v>0</v>
      </c>
      <c r="E955">
        <f>IF(COUNTIFS('United Data'!$A$3:$A$3390,E$1,'United Data'!$C$3:$C$3390,$A955,'United Data'!$B$3:$B$3390,"&lt;&gt;Off-street")&gt;0,1,0)</f>
        <v>0</v>
      </c>
      <c r="F955">
        <f>IF(COUNTIFS('United Data'!$A$3:$A$3390,F$1,'United Data'!$C$3:$C$3390,$A955,'United Data'!$B$3:$B$3390,"&lt;&gt;Off-street")&gt;0,1,0)</f>
        <v>0</v>
      </c>
      <c r="G955">
        <f>IF(COUNTIFS('United Data'!$A$3:$A$3390,G$1,'United Data'!$C$3:$C$3390,$A955,'United Data'!$B$3:$B$3390,"&lt;&gt;Off-street")&gt;0,1,0)</f>
        <v>0</v>
      </c>
      <c r="H955">
        <f>IF(COUNTIFS('United Data'!$A$3:$A$3390,H$1,'United Data'!$C$3:$C$3390,$A955,'United Data'!$B$3:$B$3390,"&lt;&gt;Off-street")&gt;0,1,0)</f>
        <v>0</v>
      </c>
      <c r="I955">
        <f>IF(COUNTIFS('United Data'!$A$3:$A$3390,I$1,'United Data'!$C$3:$C$3390,$A955,'United Data'!$B$3:$B$3390,"&lt;&gt;Off-street")&gt;0,1,0)</f>
        <v>0</v>
      </c>
      <c r="J955">
        <f>IF(COUNTIFS('United Data'!$A$3:$A$3390,J$1,'United Data'!$C$3:$C$3390,$A955,'United Data'!$B$3:$B$3390,"&lt;&gt;Off-street")&gt;0,1,0)</f>
        <v>0</v>
      </c>
      <c r="K955">
        <f>IF(COUNTIFS('United Data'!$A$3:$A$3390,K$1,'United Data'!$C$3:$C$3390,$A955,'United Data'!$B$3:$B$3390,"&lt;&gt;Off-street")&gt;0,1,0)</f>
        <v>0</v>
      </c>
      <c r="L955">
        <f>IF(COUNTIFS('United Data'!$A$3:$A$3390,L$1,'United Data'!$C$3:$C$3390,$A955,'United Data'!$B$3:$B$3390,"&lt;&gt;Off-street")&gt;0,1,0)</f>
        <v>0</v>
      </c>
      <c r="M955">
        <f>IF(COUNTIFS('United Data'!$A$3:$A$3390,M$1,'United Data'!$C$3:$C$3390,$A955,'United Data'!$B$3:$B$3390,"&lt;&gt;Off-street")&gt;0,1,0)</f>
        <v>0</v>
      </c>
      <c r="N955">
        <f>IF(COUNTIFS('United Data'!$A$3:$A$3390,N$1,'United Data'!$C$3:$C$3390,$A955,'United Data'!$B$3:$B$3390,"&lt;&gt;Off-street")&gt;0,1,0)</f>
        <v>0</v>
      </c>
      <c r="O955">
        <f>IF(COUNTIFS('United Data'!$A$3:$A$3390,O$1,'United Data'!$C$3:$C$3390,$A955,'United Data'!$B$3:$B$3390,"&lt;&gt;Off-street")&gt;0,1,0)</f>
        <v>0</v>
      </c>
      <c r="P955">
        <f>IF(COUNTIFS('United Data'!$A$3:$A$3390,P$1,'United Data'!$C$3:$C$3390,$A955,'United Data'!$B$3:$B$3390,"&lt;&gt;Off-street")&gt;0,1,0)</f>
        <v>0</v>
      </c>
      <c r="Q955">
        <f>IF(COUNTIFS('United Data'!$A$3:$A$3390,Q$1,'United Data'!$C$3:$C$3390,$A955,'United Data'!$B$3:$B$3390,"&lt;&gt;Off-street")&gt;0,1,0)</f>
        <v>0</v>
      </c>
      <c r="R955">
        <f>IF(COUNTIFS('United Data'!$A$3:$A$3390,R$1,'United Data'!$C$3:$C$3390,$A955,'United Data'!$B$3:$B$3390,"&lt;&gt;Off-street")&gt;0,1,0)</f>
        <v>0</v>
      </c>
      <c r="S955">
        <f t="shared" si="28"/>
        <v>1</v>
      </c>
      <c r="T955">
        <f t="shared" si="29"/>
        <v>1</v>
      </c>
    </row>
    <row r="956" spans="1:20" x14ac:dyDescent="0.2">
      <c r="A956" t="s">
        <v>1148</v>
      </c>
      <c r="B956">
        <f>IF(COUNTIFS('United Data'!$A$3:$A$3390,B$1,'United Data'!$C$3:$C$3390,$A956,'United Data'!$B$3:$B$3390,"&lt;&gt;Off-street")&gt;0,1,0)</f>
        <v>0</v>
      </c>
      <c r="C956">
        <f>IF(COUNTIFS('United Data'!$A$3:$A$3390,C$1,'United Data'!$C$3:$C$3390,$A956,'United Data'!$B$3:$B$3390,"&lt;&gt;Off-street")&gt;0,1,0)</f>
        <v>1</v>
      </c>
      <c r="D956">
        <f>IF(COUNTIFS('United Data'!$A$3:$A$3390,D$1,'United Data'!$C$3:$C$3390,$A956,'United Data'!$B$3:$B$3390,"&lt;&gt;Off-street")&gt;0,1,0)</f>
        <v>1</v>
      </c>
      <c r="E956">
        <f>IF(COUNTIFS('United Data'!$A$3:$A$3390,E$1,'United Data'!$C$3:$C$3390,$A956,'United Data'!$B$3:$B$3390,"&lt;&gt;Off-street")&gt;0,1,0)</f>
        <v>0</v>
      </c>
      <c r="F956">
        <f>IF(COUNTIFS('United Data'!$A$3:$A$3390,F$1,'United Data'!$C$3:$C$3390,$A956,'United Data'!$B$3:$B$3390,"&lt;&gt;Off-street")&gt;0,1,0)</f>
        <v>0</v>
      </c>
      <c r="G956">
        <f>IF(COUNTIFS('United Data'!$A$3:$A$3390,G$1,'United Data'!$C$3:$C$3390,$A956,'United Data'!$B$3:$B$3390,"&lt;&gt;Off-street")&gt;0,1,0)</f>
        <v>0</v>
      </c>
      <c r="H956">
        <f>IF(COUNTIFS('United Data'!$A$3:$A$3390,H$1,'United Data'!$C$3:$C$3390,$A956,'United Data'!$B$3:$B$3390,"&lt;&gt;Off-street")&gt;0,1,0)</f>
        <v>0</v>
      </c>
      <c r="I956">
        <f>IF(COUNTIFS('United Data'!$A$3:$A$3390,I$1,'United Data'!$C$3:$C$3390,$A956,'United Data'!$B$3:$B$3390,"&lt;&gt;Off-street")&gt;0,1,0)</f>
        <v>0</v>
      </c>
      <c r="J956">
        <f>IF(COUNTIFS('United Data'!$A$3:$A$3390,J$1,'United Data'!$C$3:$C$3390,$A956,'United Data'!$B$3:$B$3390,"&lt;&gt;Off-street")&gt;0,1,0)</f>
        <v>0</v>
      </c>
      <c r="K956">
        <f>IF(COUNTIFS('United Data'!$A$3:$A$3390,K$1,'United Data'!$C$3:$C$3390,$A956,'United Data'!$B$3:$B$3390,"&lt;&gt;Off-street")&gt;0,1,0)</f>
        <v>0</v>
      </c>
      <c r="L956">
        <f>IF(COUNTIFS('United Data'!$A$3:$A$3390,L$1,'United Data'!$C$3:$C$3390,$A956,'United Data'!$B$3:$B$3390,"&lt;&gt;Off-street")&gt;0,1,0)</f>
        <v>0</v>
      </c>
      <c r="M956">
        <f>IF(COUNTIFS('United Data'!$A$3:$A$3390,M$1,'United Data'!$C$3:$C$3390,$A956,'United Data'!$B$3:$B$3390,"&lt;&gt;Off-street")&gt;0,1,0)</f>
        <v>0</v>
      </c>
      <c r="N956">
        <f>IF(COUNTIFS('United Data'!$A$3:$A$3390,N$1,'United Data'!$C$3:$C$3390,$A956,'United Data'!$B$3:$B$3390,"&lt;&gt;Off-street")&gt;0,1,0)</f>
        <v>0</v>
      </c>
      <c r="O956">
        <f>IF(COUNTIFS('United Data'!$A$3:$A$3390,O$1,'United Data'!$C$3:$C$3390,$A956,'United Data'!$B$3:$B$3390,"&lt;&gt;Off-street")&gt;0,1,0)</f>
        <v>0</v>
      </c>
      <c r="P956">
        <f>IF(COUNTIFS('United Data'!$A$3:$A$3390,P$1,'United Data'!$C$3:$C$3390,$A956,'United Data'!$B$3:$B$3390,"&lt;&gt;Off-street")&gt;0,1,0)</f>
        <v>0</v>
      </c>
      <c r="Q956">
        <f>IF(COUNTIFS('United Data'!$A$3:$A$3390,Q$1,'United Data'!$C$3:$C$3390,$A956,'United Data'!$B$3:$B$3390,"&lt;&gt;Off-street")&gt;0,1,0)</f>
        <v>0</v>
      </c>
      <c r="R956">
        <f>IF(COUNTIFS('United Data'!$A$3:$A$3390,R$1,'United Data'!$C$3:$C$3390,$A956,'United Data'!$B$3:$B$3390,"&lt;&gt;Off-street")&gt;0,1,0)</f>
        <v>0</v>
      </c>
      <c r="S956">
        <f t="shared" si="28"/>
        <v>2</v>
      </c>
      <c r="T956">
        <f t="shared" si="29"/>
        <v>1</v>
      </c>
    </row>
    <row r="957" spans="1:20" x14ac:dyDescent="0.2">
      <c r="A957" t="s">
        <v>1150</v>
      </c>
      <c r="B957">
        <f>IF(COUNTIFS('United Data'!$A$3:$A$3390,B$1,'United Data'!$C$3:$C$3390,$A957,'United Data'!$B$3:$B$3390,"&lt;&gt;Off-street")&gt;0,1,0)</f>
        <v>0</v>
      </c>
      <c r="C957">
        <f>IF(COUNTIFS('United Data'!$A$3:$A$3390,C$1,'United Data'!$C$3:$C$3390,$A957,'United Data'!$B$3:$B$3390,"&lt;&gt;Off-street")&gt;0,1,0)</f>
        <v>1</v>
      </c>
      <c r="D957">
        <f>IF(COUNTIFS('United Data'!$A$3:$A$3390,D$1,'United Data'!$C$3:$C$3390,$A957,'United Data'!$B$3:$B$3390,"&lt;&gt;Off-street")&gt;0,1,0)</f>
        <v>0</v>
      </c>
      <c r="E957">
        <f>IF(COUNTIFS('United Data'!$A$3:$A$3390,E$1,'United Data'!$C$3:$C$3390,$A957,'United Data'!$B$3:$B$3390,"&lt;&gt;Off-street")&gt;0,1,0)</f>
        <v>0</v>
      </c>
      <c r="F957">
        <f>IF(COUNTIFS('United Data'!$A$3:$A$3390,F$1,'United Data'!$C$3:$C$3390,$A957,'United Data'!$B$3:$B$3390,"&lt;&gt;Off-street")&gt;0,1,0)</f>
        <v>0</v>
      </c>
      <c r="G957">
        <f>IF(COUNTIFS('United Data'!$A$3:$A$3390,G$1,'United Data'!$C$3:$C$3390,$A957,'United Data'!$B$3:$B$3390,"&lt;&gt;Off-street")&gt;0,1,0)</f>
        <v>0</v>
      </c>
      <c r="H957">
        <f>IF(COUNTIFS('United Data'!$A$3:$A$3390,H$1,'United Data'!$C$3:$C$3390,$A957,'United Data'!$B$3:$B$3390,"&lt;&gt;Off-street")&gt;0,1,0)</f>
        <v>0</v>
      </c>
      <c r="I957">
        <f>IF(COUNTIFS('United Data'!$A$3:$A$3390,I$1,'United Data'!$C$3:$C$3390,$A957,'United Data'!$B$3:$B$3390,"&lt;&gt;Off-street")&gt;0,1,0)</f>
        <v>0</v>
      </c>
      <c r="J957">
        <f>IF(COUNTIFS('United Data'!$A$3:$A$3390,J$1,'United Data'!$C$3:$C$3390,$A957,'United Data'!$B$3:$B$3390,"&lt;&gt;Off-street")&gt;0,1,0)</f>
        <v>0</v>
      </c>
      <c r="K957">
        <f>IF(COUNTIFS('United Data'!$A$3:$A$3390,K$1,'United Data'!$C$3:$C$3390,$A957,'United Data'!$B$3:$B$3390,"&lt;&gt;Off-street")&gt;0,1,0)</f>
        <v>0</v>
      </c>
      <c r="L957">
        <f>IF(COUNTIFS('United Data'!$A$3:$A$3390,L$1,'United Data'!$C$3:$C$3390,$A957,'United Data'!$B$3:$B$3390,"&lt;&gt;Off-street")&gt;0,1,0)</f>
        <v>0</v>
      </c>
      <c r="M957">
        <f>IF(COUNTIFS('United Data'!$A$3:$A$3390,M$1,'United Data'!$C$3:$C$3390,$A957,'United Data'!$B$3:$B$3390,"&lt;&gt;Off-street")&gt;0,1,0)</f>
        <v>0</v>
      </c>
      <c r="N957">
        <f>IF(COUNTIFS('United Data'!$A$3:$A$3390,N$1,'United Data'!$C$3:$C$3390,$A957,'United Data'!$B$3:$B$3390,"&lt;&gt;Off-street")&gt;0,1,0)</f>
        <v>0</v>
      </c>
      <c r="O957">
        <f>IF(COUNTIFS('United Data'!$A$3:$A$3390,O$1,'United Data'!$C$3:$C$3390,$A957,'United Data'!$B$3:$B$3390,"&lt;&gt;Off-street")&gt;0,1,0)</f>
        <v>0</v>
      </c>
      <c r="P957">
        <f>IF(COUNTIFS('United Data'!$A$3:$A$3390,P$1,'United Data'!$C$3:$C$3390,$A957,'United Data'!$B$3:$B$3390,"&lt;&gt;Off-street")&gt;0,1,0)</f>
        <v>0</v>
      </c>
      <c r="Q957">
        <f>IF(COUNTIFS('United Data'!$A$3:$A$3390,Q$1,'United Data'!$C$3:$C$3390,$A957,'United Data'!$B$3:$B$3390,"&lt;&gt;Off-street")&gt;0,1,0)</f>
        <v>0</v>
      </c>
      <c r="R957">
        <f>IF(COUNTIFS('United Data'!$A$3:$A$3390,R$1,'United Data'!$C$3:$C$3390,$A957,'United Data'!$B$3:$B$3390,"&lt;&gt;Off-street")&gt;0,1,0)</f>
        <v>0</v>
      </c>
      <c r="S957">
        <f t="shared" si="28"/>
        <v>1</v>
      </c>
      <c r="T957">
        <f t="shared" si="29"/>
        <v>1</v>
      </c>
    </row>
    <row r="958" spans="1:20" x14ac:dyDescent="0.2">
      <c r="A958" t="s">
        <v>1151</v>
      </c>
      <c r="B958">
        <f>IF(COUNTIFS('United Data'!$A$3:$A$3390,B$1,'United Data'!$C$3:$C$3390,$A958,'United Data'!$B$3:$B$3390,"&lt;&gt;Off-street")&gt;0,1,0)</f>
        <v>0</v>
      </c>
      <c r="C958">
        <f>IF(COUNTIFS('United Data'!$A$3:$A$3390,C$1,'United Data'!$C$3:$C$3390,$A958,'United Data'!$B$3:$B$3390,"&lt;&gt;Off-street")&gt;0,1,0)</f>
        <v>1</v>
      </c>
      <c r="D958">
        <f>IF(COUNTIFS('United Data'!$A$3:$A$3390,D$1,'United Data'!$C$3:$C$3390,$A958,'United Data'!$B$3:$B$3390,"&lt;&gt;Off-street")&gt;0,1,0)</f>
        <v>1</v>
      </c>
      <c r="E958">
        <f>IF(COUNTIFS('United Data'!$A$3:$A$3390,E$1,'United Data'!$C$3:$C$3390,$A958,'United Data'!$B$3:$B$3390,"&lt;&gt;Off-street")&gt;0,1,0)</f>
        <v>1</v>
      </c>
      <c r="F958">
        <f>IF(COUNTIFS('United Data'!$A$3:$A$3390,F$1,'United Data'!$C$3:$C$3390,$A958,'United Data'!$B$3:$B$3390,"&lt;&gt;Off-street")&gt;0,1,0)</f>
        <v>1</v>
      </c>
      <c r="G958">
        <f>IF(COUNTIFS('United Data'!$A$3:$A$3390,G$1,'United Data'!$C$3:$C$3390,$A958,'United Data'!$B$3:$B$3390,"&lt;&gt;Off-street")&gt;0,1,0)</f>
        <v>1</v>
      </c>
      <c r="H958">
        <f>IF(COUNTIFS('United Data'!$A$3:$A$3390,H$1,'United Data'!$C$3:$C$3390,$A958,'United Data'!$B$3:$B$3390,"&lt;&gt;Off-street")&gt;0,1,0)</f>
        <v>0</v>
      </c>
      <c r="I958">
        <f>IF(COUNTIFS('United Data'!$A$3:$A$3390,I$1,'United Data'!$C$3:$C$3390,$A958,'United Data'!$B$3:$B$3390,"&lt;&gt;Off-street")&gt;0,1,0)</f>
        <v>1</v>
      </c>
      <c r="J958">
        <f>IF(COUNTIFS('United Data'!$A$3:$A$3390,J$1,'United Data'!$C$3:$C$3390,$A958,'United Data'!$B$3:$B$3390,"&lt;&gt;Off-street")&gt;0,1,0)</f>
        <v>0</v>
      </c>
      <c r="K958">
        <f>IF(COUNTIFS('United Data'!$A$3:$A$3390,K$1,'United Data'!$C$3:$C$3390,$A958,'United Data'!$B$3:$B$3390,"&lt;&gt;Off-street")&gt;0,1,0)</f>
        <v>0</v>
      </c>
      <c r="L958">
        <f>IF(COUNTIFS('United Data'!$A$3:$A$3390,L$1,'United Data'!$C$3:$C$3390,$A958,'United Data'!$B$3:$B$3390,"&lt;&gt;Off-street")&gt;0,1,0)</f>
        <v>1</v>
      </c>
      <c r="M958">
        <f>IF(COUNTIFS('United Data'!$A$3:$A$3390,M$1,'United Data'!$C$3:$C$3390,$A958,'United Data'!$B$3:$B$3390,"&lt;&gt;Off-street")&gt;0,1,0)</f>
        <v>0</v>
      </c>
      <c r="N958">
        <f>IF(COUNTIFS('United Data'!$A$3:$A$3390,N$1,'United Data'!$C$3:$C$3390,$A958,'United Data'!$B$3:$B$3390,"&lt;&gt;Off-street")&gt;0,1,0)</f>
        <v>0</v>
      </c>
      <c r="O958">
        <f>IF(COUNTIFS('United Data'!$A$3:$A$3390,O$1,'United Data'!$C$3:$C$3390,$A958,'United Data'!$B$3:$B$3390,"&lt;&gt;Off-street")&gt;0,1,0)</f>
        <v>0</v>
      </c>
      <c r="P958">
        <f>IF(COUNTIFS('United Data'!$A$3:$A$3390,P$1,'United Data'!$C$3:$C$3390,$A958,'United Data'!$B$3:$B$3390,"&lt;&gt;Off-street")&gt;0,1,0)</f>
        <v>0</v>
      </c>
      <c r="Q958">
        <f>IF(COUNTIFS('United Data'!$A$3:$A$3390,Q$1,'United Data'!$C$3:$C$3390,$A958,'United Data'!$B$3:$B$3390,"&lt;&gt;Off-street")&gt;0,1,0)</f>
        <v>0</v>
      </c>
      <c r="R958">
        <f>IF(COUNTIFS('United Data'!$A$3:$A$3390,R$1,'United Data'!$C$3:$C$3390,$A958,'United Data'!$B$3:$B$3390,"&lt;&gt;Off-street")&gt;0,1,0)</f>
        <v>0</v>
      </c>
      <c r="S958">
        <f t="shared" si="28"/>
        <v>7</v>
      </c>
      <c r="T958">
        <f t="shared" si="29"/>
        <v>3</v>
      </c>
    </row>
    <row r="959" spans="1:20" x14ac:dyDescent="0.2">
      <c r="A959" t="s">
        <v>1153</v>
      </c>
      <c r="B959">
        <f>IF(COUNTIFS('United Data'!$A$3:$A$3390,B$1,'United Data'!$C$3:$C$3390,$A959,'United Data'!$B$3:$B$3390,"&lt;&gt;Off-street")&gt;0,1,0)</f>
        <v>0</v>
      </c>
      <c r="C959">
        <f>IF(COUNTIFS('United Data'!$A$3:$A$3390,C$1,'United Data'!$C$3:$C$3390,$A959,'United Data'!$B$3:$B$3390,"&lt;&gt;Off-street")&gt;0,1,0)</f>
        <v>1</v>
      </c>
      <c r="D959">
        <f>IF(COUNTIFS('United Data'!$A$3:$A$3390,D$1,'United Data'!$C$3:$C$3390,$A959,'United Data'!$B$3:$B$3390,"&lt;&gt;Off-street")&gt;0,1,0)</f>
        <v>1</v>
      </c>
      <c r="E959">
        <f>IF(COUNTIFS('United Data'!$A$3:$A$3390,E$1,'United Data'!$C$3:$C$3390,$A959,'United Data'!$B$3:$B$3390,"&lt;&gt;Off-street")&gt;0,1,0)</f>
        <v>0</v>
      </c>
      <c r="F959">
        <f>IF(COUNTIFS('United Data'!$A$3:$A$3390,F$1,'United Data'!$C$3:$C$3390,$A959,'United Data'!$B$3:$B$3390,"&lt;&gt;Off-street")&gt;0,1,0)</f>
        <v>0</v>
      </c>
      <c r="G959">
        <f>IF(COUNTIFS('United Data'!$A$3:$A$3390,G$1,'United Data'!$C$3:$C$3390,$A959,'United Data'!$B$3:$B$3390,"&lt;&gt;Off-street")&gt;0,1,0)</f>
        <v>0</v>
      </c>
      <c r="H959">
        <f>IF(COUNTIFS('United Data'!$A$3:$A$3390,H$1,'United Data'!$C$3:$C$3390,$A959,'United Data'!$B$3:$B$3390,"&lt;&gt;Off-street")&gt;0,1,0)</f>
        <v>0</v>
      </c>
      <c r="I959">
        <f>IF(COUNTIFS('United Data'!$A$3:$A$3390,I$1,'United Data'!$C$3:$C$3390,$A959,'United Data'!$B$3:$B$3390,"&lt;&gt;Off-street")&gt;0,1,0)</f>
        <v>0</v>
      </c>
      <c r="J959">
        <f>IF(COUNTIFS('United Data'!$A$3:$A$3390,J$1,'United Data'!$C$3:$C$3390,$A959,'United Data'!$B$3:$B$3390,"&lt;&gt;Off-street")&gt;0,1,0)</f>
        <v>0</v>
      </c>
      <c r="K959">
        <f>IF(COUNTIFS('United Data'!$A$3:$A$3390,K$1,'United Data'!$C$3:$C$3390,$A959,'United Data'!$B$3:$B$3390,"&lt;&gt;Off-street")&gt;0,1,0)</f>
        <v>0</v>
      </c>
      <c r="L959">
        <f>IF(COUNTIFS('United Data'!$A$3:$A$3390,L$1,'United Data'!$C$3:$C$3390,$A959,'United Data'!$B$3:$B$3390,"&lt;&gt;Off-street")&gt;0,1,0)</f>
        <v>0</v>
      </c>
      <c r="M959">
        <f>IF(COUNTIFS('United Data'!$A$3:$A$3390,M$1,'United Data'!$C$3:$C$3390,$A959,'United Data'!$B$3:$B$3390,"&lt;&gt;Off-street")&gt;0,1,0)</f>
        <v>0</v>
      </c>
      <c r="N959">
        <f>IF(COUNTIFS('United Data'!$A$3:$A$3390,N$1,'United Data'!$C$3:$C$3390,$A959,'United Data'!$B$3:$B$3390,"&lt;&gt;Off-street")&gt;0,1,0)</f>
        <v>0</v>
      </c>
      <c r="O959">
        <f>IF(COUNTIFS('United Data'!$A$3:$A$3390,O$1,'United Data'!$C$3:$C$3390,$A959,'United Data'!$B$3:$B$3390,"&lt;&gt;Off-street")&gt;0,1,0)</f>
        <v>0</v>
      </c>
      <c r="P959">
        <f>IF(COUNTIFS('United Data'!$A$3:$A$3390,P$1,'United Data'!$C$3:$C$3390,$A959,'United Data'!$B$3:$B$3390,"&lt;&gt;Off-street")&gt;0,1,0)</f>
        <v>0</v>
      </c>
      <c r="Q959">
        <f>IF(COUNTIFS('United Data'!$A$3:$A$3390,Q$1,'United Data'!$C$3:$C$3390,$A959,'United Data'!$B$3:$B$3390,"&lt;&gt;Off-street")&gt;0,1,0)</f>
        <v>1</v>
      </c>
      <c r="R959">
        <f>IF(COUNTIFS('United Data'!$A$3:$A$3390,R$1,'United Data'!$C$3:$C$3390,$A959,'United Data'!$B$3:$B$3390,"&lt;&gt;Off-street")&gt;0,1,0)</f>
        <v>0</v>
      </c>
      <c r="S959">
        <f t="shared" si="28"/>
        <v>3</v>
      </c>
      <c r="T959">
        <f t="shared" si="29"/>
        <v>2</v>
      </c>
    </row>
    <row r="960" spans="1:20" x14ac:dyDescent="0.2">
      <c r="A960" t="s">
        <v>1154</v>
      </c>
      <c r="B960">
        <f>IF(COUNTIFS('United Data'!$A$3:$A$3390,B$1,'United Data'!$C$3:$C$3390,$A960,'United Data'!$B$3:$B$3390,"&lt;&gt;Off-street")&gt;0,1,0)</f>
        <v>0</v>
      </c>
      <c r="C960">
        <f>IF(COUNTIFS('United Data'!$A$3:$A$3390,C$1,'United Data'!$C$3:$C$3390,$A960,'United Data'!$B$3:$B$3390,"&lt;&gt;Off-street")&gt;0,1,0)</f>
        <v>1</v>
      </c>
      <c r="D960">
        <f>IF(COUNTIFS('United Data'!$A$3:$A$3390,D$1,'United Data'!$C$3:$C$3390,$A960,'United Data'!$B$3:$B$3390,"&lt;&gt;Off-street")&gt;0,1,0)</f>
        <v>1</v>
      </c>
      <c r="E960">
        <f>IF(COUNTIFS('United Data'!$A$3:$A$3390,E$1,'United Data'!$C$3:$C$3390,$A960,'United Data'!$B$3:$B$3390,"&lt;&gt;Off-street")&gt;0,1,0)</f>
        <v>1</v>
      </c>
      <c r="F960">
        <f>IF(COUNTIFS('United Data'!$A$3:$A$3390,F$1,'United Data'!$C$3:$C$3390,$A960,'United Data'!$B$3:$B$3390,"&lt;&gt;Off-street")&gt;0,1,0)</f>
        <v>1</v>
      </c>
      <c r="G960">
        <f>IF(COUNTIFS('United Data'!$A$3:$A$3390,G$1,'United Data'!$C$3:$C$3390,$A960,'United Data'!$B$3:$B$3390,"&lt;&gt;Off-street")&gt;0,1,0)</f>
        <v>0</v>
      </c>
      <c r="H960">
        <f>IF(COUNTIFS('United Data'!$A$3:$A$3390,H$1,'United Data'!$C$3:$C$3390,$A960,'United Data'!$B$3:$B$3390,"&lt;&gt;Off-street")&gt;0,1,0)</f>
        <v>0</v>
      </c>
      <c r="I960">
        <f>IF(COUNTIFS('United Data'!$A$3:$A$3390,I$1,'United Data'!$C$3:$C$3390,$A960,'United Data'!$B$3:$B$3390,"&lt;&gt;Off-street")&gt;0,1,0)</f>
        <v>0</v>
      </c>
      <c r="J960">
        <f>IF(COUNTIFS('United Data'!$A$3:$A$3390,J$1,'United Data'!$C$3:$C$3390,$A960,'United Data'!$B$3:$B$3390,"&lt;&gt;Off-street")&gt;0,1,0)</f>
        <v>0</v>
      </c>
      <c r="K960">
        <f>IF(COUNTIFS('United Data'!$A$3:$A$3390,K$1,'United Data'!$C$3:$C$3390,$A960,'United Data'!$B$3:$B$3390,"&lt;&gt;Off-street")&gt;0,1,0)</f>
        <v>0</v>
      </c>
      <c r="L960">
        <f>IF(COUNTIFS('United Data'!$A$3:$A$3390,L$1,'United Data'!$C$3:$C$3390,$A960,'United Data'!$B$3:$B$3390,"&lt;&gt;Off-street")&gt;0,1,0)</f>
        <v>1</v>
      </c>
      <c r="M960">
        <f>IF(COUNTIFS('United Data'!$A$3:$A$3390,M$1,'United Data'!$C$3:$C$3390,$A960,'United Data'!$B$3:$B$3390,"&lt;&gt;Off-street")&gt;0,1,0)</f>
        <v>0</v>
      </c>
      <c r="N960">
        <f>IF(COUNTIFS('United Data'!$A$3:$A$3390,N$1,'United Data'!$C$3:$C$3390,$A960,'United Data'!$B$3:$B$3390,"&lt;&gt;Off-street")&gt;0,1,0)</f>
        <v>0</v>
      </c>
      <c r="O960">
        <f>IF(COUNTIFS('United Data'!$A$3:$A$3390,O$1,'United Data'!$C$3:$C$3390,$A960,'United Data'!$B$3:$B$3390,"&lt;&gt;Off-street")&gt;0,1,0)</f>
        <v>1</v>
      </c>
      <c r="P960">
        <f>IF(COUNTIFS('United Data'!$A$3:$A$3390,P$1,'United Data'!$C$3:$C$3390,$A960,'United Data'!$B$3:$B$3390,"&lt;&gt;Off-street")&gt;0,1,0)</f>
        <v>1</v>
      </c>
      <c r="Q960">
        <f>IF(COUNTIFS('United Data'!$A$3:$A$3390,Q$1,'United Data'!$C$3:$C$3390,$A960,'United Data'!$B$3:$B$3390,"&lt;&gt;Off-street")&gt;0,1,0)</f>
        <v>1</v>
      </c>
      <c r="R960">
        <f>IF(COUNTIFS('United Data'!$A$3:$A$3390,R$1,'United Data'!$C$3:$C$3390,$A960,'United Data'!$B$3:$B$3390,"&lt;&gt;Off-street")&gt;0,1,0)</f>
        <v>0</v>
      </c>
      <c r="S960">
        <f t="shared" si="28"/>
        <v>8</v>
      </c>
      <c r="T960">
        <f t="shared" si="29"/>
        <v>3</v>
      </c>
    </row>
    <row r="961" spans="1:20" x14ac:dyDescent="0.2">
      <c r="A961" t="s">
        <v>1155</v>
      </c>
      <c r="B961">
        <f>IF(COUNTIFS('United Data'!$A$3:$A$3390,B$1,'United Data'!$C$3:$C$3390,$A961,'United Data'!$B$3:$B$3390,"&lt;&gt;Off-street")&gt;0,1,0)</f>
        <v>0</v>
      </c>
      <c r="C961">
        <f>IF(COUNTIFS('United Data'!$A$3:$A$3390,C$1,'United Data'!$C$3:$C$3390,$A961,'United Data'!$B$3:$B$3390,"&lt;&gt;Off-street")&gt;0,1,0)</f>
        <v>1</v>
      </c>
      <c r="D961">
        <f>IF(COUNTIFS('United Data'!$A$3:$A$3390,D$1,'United Data'!$C$3:$C$3390,$A961,'United Data'!$B$3:$B$3390,"&lt;&gt;Off-street")&gt;0,1,0)</f>
        <v>1</v>
      </c>
      <c r="E961">
        <f>IF(COUNTIFS('United Data'!$A$3:$A$3390,E$1,'United Data'!$C$3:$C$3390,$A961,'United Data'!$B$3:$B$3390,"&lt;&gt;Off-street")&gt;0,1,0)</f>
        <v>1</v>
      </c>
      <c r="F961">
        <f>IF(COUNTIFS('United Data'!$A$3:$A$3390,F$1,'United Data'!$C$3:$C$3390,$A961,'United Data'!$B$3:$B$3390,"&lt;&gt;Off-street")&gt;0,1,0)</f>
        <v>0</v>
      </c>
      <c r="G961">
        <f>IF(COUNTIFS('United Data'!$A$3:$A$3390,G$1,'United Data'!$C$3:$C$3390,$A961,'United Data'!$B$3:$B$3390,"&lt;&gt;Off-street")&gt;0,1,0)</f>
        <v>0</v>
      </c>
      <c r="H961">
        <f>IF(COUNTIFS('United Data'!$A$3:$A$3390,H$1,'United Data'!$C$3:$C$3390,$A961,'United Data'!$B$3:$B$3390,"&lt;&gt;Off-street")&gt;0,1,0)</f>
        <v>1</v>
      </c>
      <c r="I961">
        <f>IF(COUNTIFS('United Data'!$A$3:$A$3390,I$1,'United Data'!$C$3:$C$3390,$A961,'United Data'!$B$3:$B$3390,"&lt;&gt;Off-street")&gt;0,1,0)</f>
        <v>1</v>
      </c>
      <c r="J961">
        <f>IF(COUNTIFS('United Data'!$A$3:$A$3390,J$1,'United Data'!$C$3:$C$3390,$A961,'United Data'!$B$3:$B$3390,"&lt;&gt;Off-street")&gt;0,1,0)</f>
        <v>1</v>
      </c>
      <c r="K961">
        <f>IF(COUNTIFS('United Data'!$A$3:$A$3390,K$1,'United Data'!$C$3:$C$3390,$A961,'United Data'!$B$3:$B$3390,"&lt;&gt;Off-street")&gt;0,1,0)</f>
        <v>0</v>
      </c>
      <c r="L961">
        <f>IF(COUNTIFS('United Data'!$A$3:$A$3390,L$1,'United Data'!$C$3:$C$3390,$A961,'United Data'!$B$3:$B$3390,"&lt;&gt;Off-street")&gt;0,1,0)</f>
        <v>0</v>
      </c>
      <c r="M961">
        <f>IF(COUNTIFS('United Data'!$A$3:$A$3390,M$1,'United Data'!$C$3:$C$3390,$A961,'United Data'!$B$3:$B$3390,"&lt;&gt;Off-street")&gt;0,1,0)</f>
        <v>0</v>
      </c>
      <c r="N961">
        <f>IF(COUNTIFS('United Data'!$A$3:$A$3390,N$1,'United Data'!$C$3:$C$3390,$A961,'United Data'!$B$3:$B$3390,"&lt;&gt;Off-street")&gt;0,1,0)</f>
        <v>0</v>
      </c>
      <c r="O961">
        <f>IF(COUNTIFS('United Data'!$A$3:$A$3390,O$1,'United Data'!$C$3:$C$3390,$A961,'United Data'!$B$3:$B$3390,"&lt;&gt;Off-street")&gt;0,1,0)</f>
        <v>0</v>
      </c>
      <c r="P961">
        <f>IF(COUNTIFS('United Data'!$A$3:$A$3390,P$1,'United Data'!$C$3:$C$3390,$A961,'United Data'!$B$3:$B$3390,"&lt;&gt;Off-street")&gt;0,1,0)</f>
        <v>1</v>
      </c>
      <c r="Q961">
        <f>IF(COUNTIFS('United Data'!$A$3:$A$3390,Q$1,'United Data'!$C$3:$C$3390,$A961,'United Data'!$B$3:$B$3390,"&lt;&gt;Off-street")&gt;0,1,0)</f>
        <v>1</v>
      </c>
      <c r="R961">
        <f>IF(COUNTIFS('United Data'!$A$3:$A$3390,R$1,'United Data'!$C$3:$C$3390,$A961,'United Data'!$B$3:$B$3390,"&lt;&gt;Off-street")&gt;0,1,0)</f>
        <v>0</v>
      </c>
      <c r="S961">
        <f t="shared" si="28"/>
        <v>8</v>
      </c>
      <c r="T961">
        <f t="shared" si="29"/>
        <v>3</v>
      </c>
    </row>
    <row r="962" spans="1:20" x14ac:dyDescent="0.2">
      <c r="A962" t="s">
        <v>1157</v>
      </c>
      <c r="B962">
        <f>IF(COUNTIFS('United Data'!$A$3:$A$3390,B$1,'United Data'!$C$3:$C$3390,$A962,'United Data'!$B$3:$B$3390,"&lt;&gt;Off-street")&gt;0,1,0)</f>
        <v>0</v>
      </c>
      <c r="C962">
        <f>IF(COUNTIFS('United Data'!$A$3:$A$3390,C$1,'United Data'!$C$3:$C$3390,$A962,'United Data'!$B$3:$B$3390,"&lt;&gt;Off-street")&gt;0,1,0)</f>
        <v>1</v>
      </c>
      <c r="D962">
        <f>IF(COUNTIFS('United Data'!$A$3:$A$3390,D$1,'United Data'!$C$3:$C$3390,$A962,'United Data'!$B$3:$B$3390,"&lt;&gt;Off-street")&gt;0,1,0)</f>
        <v>0</v>
      </c>
      <c r="E962">
        <f>IF(COUNTIFS('United Data'!$A$3:$A$3390,E$1,'United Data'!$C$3:$C$3390,$A962,'United Data'!$B$3:$B$3390,"&lt;&gt;Off-street")&gt;0,1,0)</f>
        <v>0</v>
      </c>
      <c r="F962">
        <f>IF(COUNTIFS('United Data'!$A$3:$A$3390,F$1,'United Data'!$C$3:$C$3390,$A962,'United Data'!$B$3:$B$3390,"&lt;&gt;Off-street")&gt;0,1,0)</f>
        <v>0</v>
      </c>
      <c r="G962">
        <f>IF(COUNTIFS('United Data'!$A$3:$A$3390,G$1,'United Data'!$C$3:$C$3390,$A962,'United Data'!$B$3:$B$3390,"&lt;&gt;Off-street")&gt;0,1,0)</f>
        <v>0</v>
      </c>
      <c r="H962">
        <f>IF(COUNTIFS('United Data'!$A$3:$A$3390,H$1,'United Data'!$C$3:$C$3390,$A962,'United Data'!$B$3:$B$3390,"&lt;&gt;Off-street")&gt;0,1,0)</f>
        <v>0</v>
      </c>
      <c r="I962">
        <f>IF(COUNTIFS('United Data'!$A$3:$A$3390,I$1,'United Data'!$C$3:$C$3390,$A962,'United Data'!$B$3:$B$3390,"&lt;&gt;Off-street")&gt;0,1,0)</f>
        <v>0</v>
      </c>
      <c r="J962">
        <f>IF(COUNTIFS('United Data'!$A$3:$A$3390,J$1,'United Data'!$C$3:$C$3390,$A962,'United Data'!$B$3:$B$3390,"&lt;&gt;Off-street")&gt;0,1,0)</f>
        <v>0</v>
      </c>
      <c r="K962">
        <f>IF(COUNTIFS('United Data'!$A$3:$A$3390,K$1,'United Data'!$C$3:$C$3390,$A962,'United Data'!$B$3:$B$3390,"&lt;&gt;Off-street")&gt;0,1,0)</f>
        <v>0</v>
      </c>
      <c r="L962">
        <f>IF(COUNTIFS('United Data'!$A$3:$A$3390,L$1,'United Data'!$C$3:$C$3390,$A962,'United Data'!$B$3:$B$3390,"&lt;&gt;Off-street")&gt;0,1,0)</f>
        <v>0</v>
      </c>
      <c r="M962">
        <f>IF(COUNTIFS('United Data'!$A$3:$A$3390,M$1,'United Data'!$C$3:$C$3390,$A962,'United Data'!$B$3:$B$3390,"&lt;&gt;Off-street")&gt;0,1,0)</f>
        <v>0</v>
      </c>
      <c r="N962">
        <f>IF(COUNTIFS('United Data'!$A$3:$A$3390,N$1,'United Data'!$C$3:$C$3390,$A962,'United Data'!$B$3:$B$3390,"&lt;&gt;Off-street")&gt;0,1,0)</f>
        <v>0</v>
      </c>
      <c r="O962">
        <f>IF(COUNTIFS('United Data'!$A$3:$A$3390,O$1,'United Data'!$C$3:$C$3390,$A962,'United Data'!$B$3:$B$3390,"&lt;&gt;Off-street")&gt;0,1,0)</f>
        <v>0</v>
      </c>
      <c r="P962">
        <f>IF(COUNTIFS('United Data'!$A$3:$A$3390,P$1,'United Data'!$C$3:$C$3390,$A962,'United Data'!$B$3:$B$3390,"&lt;&gt;Off-street")&gt;0,1,0)</f>
        <v>0</v>
      </c>
      <c r="Q962">
        <f>IF(COUNTIFS('United Data'!$A$3:$A$3390,Q$1,'United Data'!$C$3:$C$3390,$A962,'United Data'!$B$3:$B$3390,"&lt;&gt;Off-street")&gt;0,1,0)</f>
        <v>0</v>
      </c>
      <c r="R962">
        <f>IF(COUNTIFS('United Data'!$A$3:$A$3390,R$1,'United Data'!$C$3:$C$3390,$A962,'United Data'!$B$3:$B$3390,"&lt;&gt;Off-street")&gt;0,1,0)</f>
        <v>0</v>
      </c>
      <c r="S962">
        <f t="shared" ref="S962:S1025" si="30">SUM(B962:R962)</f>
        <v>1</v>
      </c>
      <c r="T962">
        <f t="shared" ref="T962:T1025" si="31">B962+SUMPRODUCT(--(C962:R962&gt;B962:Q962))</f>
        <v>1</v>
      </c>
    </row>
    <row r="963" spans="1:20" x14ac:dyDescent="0.2">
      <c r="A963" t="s">
        <v>1158</v>
      </c>
      <c r="B963">
        <f>IF(COUNTIFS('United Data'!$A$3:$A$3390,B$1,'United Data'!$C$3:$C$3390,$A963,'United Data'!$B$3:$B$3390,"&lt;&gt;Off-street")&gt;0,1,0)</f>
        <v>0</v>
      </c>
      <c r="C963">
        <f>IF(COUNTIFS('United Data'!$A$3:$A$3390,C$1,'United Data'!$C$3:$C$3390,$A963,'United Data'!$B$3:$B$3390,"&lt;&gt;Off-street")&gt;0,1,0)</f>
        <v>1</v>
      </c>
      <c r="D963">
        <f>IF(COUNTIFS('United Data'!$A$3:$A$3390,D$1,'United Data'!$C$3:$C$3390,$A963,'United Data'!$B$3:$B$3390,"&lt;&gt;Off-street")&gt;0,1,0)</f>
        <v>1</v>
      </c>
      <c r="E963">
        <f>IF(COUNTIFS('United Data'!$A$3:$A$3390,E$1,'United Data'!$C$3:$C$3390,$A963,'United Data'!$B$3:$B$3390,"&lt;&gt;Off-street")&gt;0,1,0)</f>
        <v>0</v>
      </c>
      <c r="F963">
        <f>IF(COUNTIFS('United Data'!$A$3:$A$3390,F$1,'United Data'!$C$3:$C$3390,$A963,'United Data'!$B$3:$B$3390,"&lt;&gt;Off-street")&gt;0,1,0)</f>
        <v>1</v>
      </c>
      <c r="G963">
        <f>IF(COUNTIFS('United Data'!$A$3:$A$3390,G$1,'United Data'!$C$3:$C$3390,$A963,'United Data'!$B$3:$B$3390,"&lt;&gt;Off-street")&gt;0,1,0)</f>
        <v>0</v>
      </c>
      <c r="H963">
        <f>IF(COUNTIFS('United Data'!$A$3:$A$3390,H$1,'United Data'!$C$3:$C$3390,$A963,'United Data'!$B$3:$B$3390,"&lt;&gt;Off-street")&gt;0,1,0)</f>
        <v>0</v>
      </c>
      <c r="I963">
        <f>IF(COUNTIFS('United Data'!$A$3:$A$3390,I$1,'United Data'!$C$3:$C$3390,$A963,'United Data'!$B$3:$B$3390,"&lt;&gt;Off-street")&gt;0,1,0)</f>
        <v>0</v>
      </c>
      <c r="J963">
        <f>IF(COUNTIFS('United Data'!$A$3:$A$3390,J$1,'United Data'!$C$3:$C$3390,$A963,'United Data'!$B$3:$B$3390,"&lt;&gt;Off-street")&gt;0,1,0)</f>
        <v>0</v>
      </c>
      <c r="K963">
        <f>IF(COUNTIFS('United Data'!$A$3:$A$3390,K$1,'United Data'!$C$3:$C$3390,$A963,'United Data'!$B$3:$B$3390,"&lt;&gt;Off-street")&gt;0,1,0)</f>
        <v>0</v>
      </c>
      <c r="L963">
        <f>IF(COUNTIFS('United Data'!$A$3:$A$3390,L$1,'United Data'!$C$3:$C$3390,$A963,'United Data'!$B$3:$B$3390,"&lt;&gt;Off-street")&gt;0,1,0)</f>
        <v>1</v>
      </c>
      <c r="M963">
        <f>IF(COUNTIFS('United Data'!$A$3:$A$3390,M$1,'United Data'!$C$3:$C$3390,$A963,'United Data'!$B$3:$B$3390,"&lt;&gt;Off-street")&gt;0,1,0)</f>
        <v>0</v>
      </c>
      <c r="N963">
        <f>IF(COUNTIFS('United Data'!$A$3:$A$3390,N$1,'United Data'!$C$3:$C$3390,$A963,'United Data'!$B$3:$B$3390,"&lt;&gt;Off-street")&gt;0,1,0)</f>
        <v>0</v>
      </c>
      <c r="O963">
        <f>IF(COUNTIFS('United Data'!$A$3:$A$3390,O$1,'United Data'!$C$3:$C$3390,$A963,'United Data'!$B$3:$B$3390,"&lt;&gt;Off-street")&gt;0,1,0)</f>
        <v>0</v>
      </c>
      <c r="P963">
        <f>IF(COUNTIFS('United Data'!$A$3:$A$3390,P$1,'United Data'!$C$3:$C$3390,$A963,'United Data'!$B$3:$B$3390,"&lt;&gt;Off-street")&gt;0,1,0)</f>
        <v>1</v>
      </c>
      <c r="Q963">
        <f>IF(COUNTIFS('United Data'!$A$3:$A$3390,Q$1,'United Data'!$C$3:$C$3390,$A963,'United Data'!$B$3:$B$3390,"&lt;&gt;Off-street")&gt;0,1,0)</f>
        <v>1</v>
      </c>
      <c r="R963">
        <f>IF(COUNTIFS('United Data'!$A$3:$A$3390,R$1,'United Data'!$C$3:$C$3390,$A963,'United Data'!$B$3:$B$3390,"&lt;&gt;Off-street")&gt;0,1,0)</f>
        <v>0</v>
      </c>
      <c r="S963">
        <f t="shared" si="30"/>
        <v>6</v>
      </c>
      <c r="T963">
        <f t="shared" si="31"/>
        <v>4</v>
      </c>
    </row>
    <row r="964" spans="1:20" x14ac:dyDescent="0.2">
      <c r="A964" t="s">
        <v>1159</v>
      </c>
      <c r="B964">
        <f>IF(COUNTIFS('United Data'!$A$3:$A$3390,B$1,'United Data'!$C$3:$C$3390,$A964,'United Data'!$B$3:$B$3390,"&lt;&gt;Off-street")&gt;0,1,0)</f>
        <v>0</v>
      </c>
      <c r="C964">
        <f>IF(COUNTIFS('United Data'!$A$3:$A$3390,C$1,'United Data'!$C$3:$C$3390,$A964,'United Data'!$B$3:$B$3390,"&lt;&gt;Off-street")&gt;0,1,0)</f>
        <v>0</v>
      </c>
      <c r="D964">
        <f>IF(COUNTIFS('United Data'!$A$3:$A$3390,D$1,'United Data'!$C$3:$C$3390,$A964,'United Data'!$B$3:$B$3390,"&lt;&gt;Off-street")&gt;0,1,0)</f>
        <v>1</v>
      </c>
      <c r="E964">
        <f>IF(COUNTIFS('United Data'!$A$3:$A$3390,E$1,'United Data'!$C$3:$C$3390,$A964,'United Data'!$B$3:$B$3390,"&lt;&gt;Off-street")&gt;0,1,0)</f>
        <v>0</v>
      </c>
      <c r="F964">
        <f>IF(COUNTIFS('United Data'!$A$3:$A$3390,F$1,'United Data'!$C$3:$C$3390,$A964,'United Data'!$B$3:$B$3390,"&lt;&gt;Off-street")&gt;0,1,0)</f>
        <v>0</v>
      </c>
      <c r="G964">
        <f>IF(COUNTIFS('United Data'!$A$3:$A$3390,G$1,'United Data'!$C$3:$C$3390,$A964,'United Data'!$B$3:$B$3390,"&lt;&gt;Off-street")&gt;0,1,0)</f>
        <v>0</v>
      </c>
      <c r="H964">
        <f>IF(COUNTIFS('United Data'!$A$3:$A$3390,H$1,'United Data'!$C$3:$C$3390,$A964,'United Data'!$B$3:$B$3390,"&lt;&gt;Off-street")&gt;0,1,0)</f>
        <v>0</v>
      </c>
      <c r="I964">
        <f>IF(COUNTIFS('United Data'!$A$3:$A$3390,I$1,'United Data'!$C$3:$C$3390,$A964,'United Data'!$B$3:$B$3390,"&lt;&gt;Off-street")&gt;0,1,0)</f>
        <v>0</v>
      </c>
      <c r="J964">
        <f>IF(COUNTIFS('United Data'!$A$3:$A$3390,J$1,'United Data'!$C$3:$C$3390,$A964,'United Data'!$B$3:$B$3390,"&lt;&gt;Off-street")&gt;0,1,0)</f>
        <v>0</v>
      </c>
      <c r="K964">
        <f>IF(COUNTIFS('United Data'!$A$3:$A$3390,K$1,'United Data'!$C$3:$C$3390,$A964,'United Data'!$B$3:$B$3390,"&lt;&gt;Off-street")&gt;0,1,0)</f>
        <v>0</v>
      </c>
      <c r="L964">
        <f>IF(COUNTIFS('United Data'!$A$3:$A$3390,L$1,'United Data'!$C$3:$C$3390,$A964,'United Data'!$B$3:$B$3390,"&lt;&gt;Off-street")&gt;0,1,0)</f>
        <v>0</v>
      </c>
      <c r="M964">
        <f>IF(COUNTIFS('United Data'!$A$3:$A$3390,M$1,'United Data'!$C$3:$C$3390,$A964,'United Data'!$B$3:$B$3390,"&lt;&gt;Off-street")&gt;0,1,0)</f>
        <v>0</v>
      </c>
      <c r="N964">
        <f>IF(COUNTIFS('United Data'!$A$3:$A$3390,N$1,'United Data'!$C$3:$C$3390,$A964,'United Data'!$B$3:$B$3390,"&lt;&gt;Off-street")&gt;0,1,0)</f>
        <v>0</v>
      </c>
      <c r="O964">
        <f>IF(COUNTIFS('United Data'!$A$3:$A$3390,O$1,'United Data'!$C$3:$C$3390,$A964,'United Data'!$B$3:$B$3390,"&lt;&gt;Off-street")&gt;0,1,0)</f>
        <v>0</v>
      </c>
      <c r="P964">
        <f>IF(COUNTIFS('United Data'!$A$3:$A$3390,P$1,'United Data'!$C$3:$C$3390,$A964,'United Data'!$B$3:$B$3390,"&lt;&gt;Off-street")&gt;0,1,0)</f>
        <v>0</v>
      </c>
      <c r="Q964">
        <f>IF(COUNTIFS('United Data'!$A$3:$A$3390,Q$1,'United Data'!$C$3:$C$3390,$A964,'United Data'!$B$3:$B$3390,"&lt;&gt;Off-street")&gt;0,1,0)</f>
        <v>0</v>
      </c>
      <c r="R964">
        <f>IF(COUNTIFS('United Data'!$A$3:$A$3390,R$1,'United Data'!$C$3:$C$3390,$A964,'United Data'!$B$3:$B$3390,"&lt;&gt;Off-street")&gt;0,1,0)</f>
        <v>0</v>
      </c>
      <c r="S964">
        <f t="shared" si="30"/>
        <v>1</v>
      </c>
      <c r="T964">
        <f t="shared" si="31"/>
        <v>1</v>
      </c>
    </row>
    <row r="965" spans="1:20" x14ac:dyDescent="0.2">
      <c r="A965" t="s">
        <v>1160</v>
      </c>
      <c r="B965">
        <f>IF(COUNTIFS('United Data'!$A$3:$A$3390,B$1,'United Data'!$C$3:$C$3390,$A965,'United Data'!$B$3:$B$3390,"&lt;&gt;Off-street")&gt;0,1,0)</f>
        <v>0</v>
      </c>
      <c r="C965">
        <f>IF(COUNTIFS('United Data'!$A$3:$A$3390,C$1,'United Data'!$C$3:$C$3390,$A965,'United Data'!$B$3:$B$3390,"&lt;&gt;Off-street")&gt;0,1,0)</f>
        <v>0</v>
      </c>
      <c r="D965">
        <f>IF(COUNTIFS('United Data'!$A$3:$A$3390,D$1,'United Data'!$C$3:$C$3390,$A965,'United Data'!$B$3:$B$3390,"&lt;&gt;Off-street")&gt;0,1,0)</f>
        <v>1</v>
      </c>
      <c r="E965">
        <f>IF(COUNTIFS('United Data'!$A$3:$A$3390,E$1,'United Data'!$C$3:$C$3390,$A965,'United Data'!$B$3:$B$3390,"&lt;&gt;Off-street")&gt;0,1,0)</f>
        <v>1</v>
      </c>
      <c r="F965">
        <f>IF(COUNTIFS('United Data'!$A$3:$A$3390,F$1,'United Data'!$C$3:$C$3390,$A965,'United Data'!$B$3:$B$3390,"&lt;&gt;Off-street")&gt;0,1,0)</f>
        <v>0</v>
      </c>
      <c r="G965">
        <f>IF(COUNTIFS('United Data'!$A$3:$A$3390,G$1,'United Data'!$C$3:$C$3390,$A965,'United Data'!$B$3:$B$3390,"&lt;&gt;Off-street")&gt;0,1,0)</f>
        <v>0</v>
      </c>
      <c r="H965">
        <f>IF(COUNTIFS('United Data'!$A$3:$A$3390,H$1,'United Data'!$C$3:$C$3390,$A965,'United Data'!$B$3:$B$3390,"&lt;&gt;Off-street")&gt;0,1,0)</f>
        <v>0</v>
      </c>
      <c r="I965">
        <f>IF(COUNTIFS('United Data'!$A$3:$A$3390,I$1,'United Data'!$C$3:$C$3390,$A965,'United Data'!$B$3:$B$3390,"&lt;&gt;Off-street")&gt;0,1,0)</f>
        <v>0</v>
      </c>
      <c r="J965">
        <f>IF(COUNTIFS('United Data'!$A$3:$A$3390,J$1,'United Data'!$C$3:$C$3390,$A965,'United Data'!$B$3:$B$3390,"&lt;&gt;Off-street")&gt;0,1,0)</f>
        <v>0</v>
      </c>
      <c r="K965">
        <f>IF(COUNTIFS('United Data'!$A$3:$A$3390,K$1,'United Data'!$C$3:$C$3390,$A965,'United Data'!$B$3:$B$3390,"&lt;&gt;Off-street")&gt;0,1,0)</f>
        <v>0</v>
      </c>
      <c r="L965">
        <f>IF(COUNTIFS('United Data'!$A$3:$A$3390,L$1,'United Data'!$C$3:$C$3390,$A965,'United Data'!$B$3:$B$3390,"&lt;&gt;Off-street")&gt;0,1,0)</f>
        <v>0</v>
      </c>
      <c r="M965">
        <f>IF(COUNTIFS('United Data'!$A$3:$A$3390,M$1,'United Data'!$C$3:$C$3390,$A965,'United Data'!$B$3:$B$3390,"&lt;&gt;Off-street")&gt;0,1,0)</f>
        <v>0</v>
      </c>
      <c r="N965">
        <f>IF(COUNTIFS('United Data'!$A$3:$A$3390,N$1,'United Data'!$C$3:$C$3390,$A965,'United Data'!$B$3:$B$3390,"&lt;&gt;Off-street")&gt;0,1,0)</f>
        <v>0</v>
      </c>
      <c r="O965">
        <f>IF(COUNTIFS('United Data'!$A$3:$A$3390,O$1,'United Data'!$C$3:$C$3390,$A965,'United Data'!$B$3:$B$3390,"&lt;&gt;Off-street")&gt;0,1,0)</f>
        <v>0</v>
      </c>
      <c r="P965">
        <f>IF(COUNTIFS('United Data'!$A$3:$A$3390,P$1,'United Data'!$C$3:$C$3390,$A965,'United Data'!$B$3:$B$3390,"&lt;&gt;Off-street")&gt;0,1,0)</f>
        <v>0</v>
      </c>
      <c r="Q965">
        <f>IF(COUNTIFS('United Data'!$A$3:$A$3390,Q$1,'United Data'!$C$3:$C$3390,$A965,'United Data'!$B$3:$B$3390,"&lt;&gt;Off-street")&gt;0,1,0)</f>
        <v>1</v>
      </c>
      <c r="R965">
        <f>IF(COUNTIFS('United Data'!$A$3:$A$3390,R$1,'United Data'!$C$3:$C$3390,$A965,'United Data'!$B$3:$B$3390,"&lt;&gt;Off-street")&gt;0,1,0)</f>
        <v>0</v>
      </c>
      <c r="S965">
        <f t="shared" si="30"/>
        <v>3</v>
      </c>
      <c r="T965">
        <f t="shared" si="31"/>
        <v>2</v>
      </c>
    </row>
    <row r="966" spans="1:20" x14ac:dyDescent="0.2">
      <c r="A966" t="s">
        <v>1161</v>
      </c>
      <c r="B966">
        <f>IF(COUNTIFS('United Data'!$A$3:$A$3390,B$1,'United Data'!$C$3:$C$3390,$A966,'United Data'!$B$3:$B$3390,"&lt;&gt;Off-street")&gt;0,1,0)</f>
        <v>0</v>
      </c>
      <c r="C966">
        <f>IF(COUNTIFS('United Data'!$A$3:$A$3390,C$1,'United Data'!$C$3:$C$3390,$A966,'United Data'!$B$3:$B$3390,"&lt;&gt;Off-street")&gt;0,1,0)</f>
        <v>0</v>
      </c>
      <c r="D966">
        <f>IF(COUNTIFS('United Data'!$A$3:$A$3390,D$1,'United Data'!$C$3:$C$3390,$A966,'United Data'!$B$3:$B$3390,"&lt;&gt;Off-street")&gt;0,1,0)</f>
        <v>1</v>
      </c>
      <c r="E966">
        <f>IF(COUNTIFS('United Data'!$A$3:$A$3390,E$1,'United Data'!$C$3:$C$3390,$A966,'United Data'!$B$3:$B$3390,"&lt;&gt;Off-street")&gt;0,1,0)</f>
        <v>0</v>
      </c>
      <c r="F966">
        <f>IF(COUNTIFS('United Data'!$A$3:$A$3390,F$1,'United Data'!$C$3:$C$3390,$A966,'United Data'!$B$3:$B$3390,"&lt;&gt;Off-street")&gt;0,1,0)</f>
        <v>0</v>
      </c>
      <c r="G966">
        <f>IF(COUNTIFS('United Data'!$A$3:$A$3390,G$1,'United Data'!$C$3:$C$3390,$A966,'United Data'!$B$3:$B$3390,"&lt;&gt;Off-street")&gt;0,1,0)</f>
        <v>0</v>
      </c>
      <c r="H966">
        <f>IF(COUNTIFS('United Data'!$A$3:$A$3390,H$1,'United Data'!$C$3:$C$3390,$A966,'United Data'!$B$3:$B$3390,"&lt;&gt;Off-street")&gt;0,1,0)</f>
        <v>0</v>
      </c>
      <c r="I966">
        <f>IF(COUNTIFS('United Data'!$A$3:$A$3390,I$1,'United Data'!$C$3:$C$3390,$A966,'United Data'!$B$3:$B$3390,"&lt;&gt;Off-street")&gt;0,1,0)</f>
        <v>0</v>
      </c>
      <c r="J966">
        <f>IF(COUNTIFS('United Data'!$A$3:$A$3390,J$1,'United Data'!$C$3:$C$3390,$A966,'United Data'!$B$3:$B$3390,"&lt;&gt;Off-street")&gt;0,1,0)</f>
        <v>0</v>
      </c>
      <c r="K966">
        <f>IF(COUNTIFS('United Data'!$A$3:$A$3390,K$1,'United Data'!$C$3:$C$3390,$A966,'United Data'!$B$3:$B$3390,"&lt;&gt;Off-street")&gt;0,1,0)</f>
        <v>0</v>
      </c>
      <c r="L966">
        <f>IF(COUNTIFS('United Data'!$A$3:$A$3390,L$1,'United Data'!$C$3:$C$3390,$A966,'United Data'!$B$3:$B$3390,"&lt;&gt;Off-street")&gt;0,1,0)</f>
        <v>0</v>
      </c>
      <c r="M966">
        <f>IF(COUNTIFS('United Data'!$A$3:$A$3390,M$1,'United Data'!$C$3:$C$3390,$A966,'United Data'!$B$3:$B$3390,"&lt;&gt;Off-street")&gt;0,1,0)</f>
        <v>0</v>
      </c>
      <c r="N966">
        <f>IF(COUNTIFS('United Data'!$A$3:$A$3390,N$1,'United Data'!$C$3:$C$3390,$A966,'United Data'!$B$3:$B$3390,"&lt;&gt;Off-street")&gt;0,1,0)</f>
        <v>0</v>
      </c>
      <c r="O966">
        <f>IF(COUNTIFS('United Data'!$A$3:$A$3390,O$1,'United Data'!$C$3:$C$3390,$A966,'United Data'!$B$3:$B$3390,"&lt;&gt;Off-street")&gt;0,1,0)</f>
        <v>0</v>
      </c>
      <c r="P966">
        <f>IF(COUNTIFS('United Data'!$A$3:$A$3390,P$1,'United Data'!$C$3:$C$3390,$A966,'United Data'!$B$3:$B$3390,"&lt;&gt;Off-street")&gt;0,1,0)</f>
        <v>0</v>
      </c>
      <c r="Q966">
        <f>IF(COUNTIFS('United Data'!$A$3:$A$3390,Q$1,'United Data'!$C$3:$C$3390,$A966,'United Data'!$B$3:$B$3390,"&lt;&gt;Off-street")&gt;0,1,0)</f>
        <v>0</v>
      </c>
      <c r="R966">
        <f>IF(COUNTIFS('United Data'!$A$3:$A$3390,R$1,'United Data'!$C$3:$C$3390,$A966,'United Data'!$B$3:$B$3390,"&lt;&gt;Off-street")&gt;0,1,0)</f>
        <v>0</v>
      </c>
      <c r="S966">
        <f t="shared" si="30"/>
        <v>1</v>
      </c>
      <c r="T966">
        <f t="shared" si="31"/>
        <v>1</v>
      </c>
    </row>
    <row r="967" spans="1:20" x14ac:dyDescent="0.2">
      <c r="A967" t="s">
        <v>1162</v>
      </c>
      <c r="B967">
        <f>IF(COUNTIFS('United Data'!$A$3:$A$3390,B$1,'United Data'!$C$3:$C$3390,$A967,'United Data'!$B$3:$B$3390,"&lt;&gt;Off-street")&gt;0,1,0)</f>
        <v>0</v>
      </c>
      <c r="C967">
        <f>IF(COUNTIFS('United Data'!$A$3:$A$3390,C$1,'United Data'!$C$3:$C$3390,$A967,'United Data'!$B$3:$B$3390,"&lt;&gt;Off-street")&gt;0,1,0)</f>
        <v>0</v>
      </c>
      <c r="D967">
        <f>IF(COUNTIFS('United Data'!$A$3:$A$3390,D$1,'United Data'!$C$3:$C$3390,$A967,'United Data'!$B$3:$B$3390,"&lt;&gt;Off-street")&gt;0,1,0)</f>
        <v>1</v>
      </c>
      <c r="E967">
        <f>IF(COUNTIFS('United Data'!$A$3:$A$3390,E$1,'United Data'!$C$3:$C$3390,$A967,'United Data'!$B$3:$B$3390,"&lt;&gt;Off-street")&gt;0,1,0)</f>
        <v>0</v>
      </c>
      <c r="F967">
        <f>IF(COUNTIFS('United Data'!$A$3:$A$3390,F$1,'United Data'!$C$3:$C$3390,$A967,'United Data'!$B$3:$B$3390,"&lt;&gt;Off-street")&gt;0,1,0)</f>
        <v>0</v>
      </c>
      <c r="G967">
        <f>IF(COUNTIFS('United Data'!$A$3:$A$3390,G$1,'United Data'!$C$3:$C$3390,$A967,'United Data'!$B$3:$B$3390,"&lt;&gt;Off-street")&gt;0,1,0)</f>
        <v>0</v>
      </c>
      <c r="H967">
        <f>IF(COUNTIFS('United Data'!$A$3:$A$3390,H$1,'United Data'!$C$3:$C$3390,$A967,'United Data'!$B$3:$B$3390,"&lt;&gt;Off-street")&gt;0,1,0)</f>
        <v>1</v>
      </c>
      <c r="I967">
        <f>IF(COUNTIFS('United Data'!$A$3:$A$3390,I$1,'United Data'!$C$3:$C$3390,$A967,'United Data'!$B$3:$B$3390,"&lt;&gt;Off-street")&gt;0,1,0)</f>
        <v>0</v>
      </c>
      <c r="J967">
        <f>IF(COUNTIFS('United Data'!$A$3:$A$3390,J$1,'United Data'!$C$3:$C$3390,$A967,'United Data'!$B$3:$B$3390,"&lt;&gt;Off-street")&gt;0,1,0)</f>
        <v>0</v>
      </c>
      <c r="K967">
        <f>IF(COUNTIFS('United Data'!$A$3:$A$3390,K$1,'United Data'!$C$3:$C$3390,$A967,'United Data'!$B$3:$B$3390,"&lt;&gt;Off-street")&gt;0,1,0)</f>
        <v>0</v>
      </c>
      <c r="L967">
        <f>IF(COUNTIFS('United Data'!$A$3:$A$3390,L$1,'United Data'!$C$3:$C$3390,$A967,'United Data'!$B$3:$B$3390,"&lt;&gt;Off-street")&gt;0,1,0)</f>
        <v>0</v>
      </c>
      <c r="M967">
        <f>IF(COUNTIFS('United Data'!$A$3:$A$3390,M$1,'United Data'!$C$3:$C$3390,$A967,'United Data'!$B$3:$B$3390,"&lt;&gt;Off-street")&gt;0,1,0)</f>
        <v>0</v>
      </c>
      <c r="N967">
        <f>IF(COUNTIFS('United Data'!$A$3:$A$3390,N$1,'United Data'!$C$3:$C$3390,$A967,'United Data'!$B$3:$B$3390,"&lt;&gt;Off-street")&gt;0,1,0)</f>
        <v>0</v>
      </c>
      <c r="O967">
        <f>IF(COUNTIFS('United Data'!$A$3:$A$3390,O$1,'United Data'!$C$3:$C$3390,$A967,'United Data'!$B$3:$B$3390,"&lt;&gt;Off-street")&gt;0,1,0)</f>
        <v>0</v>
      </c>
      <c r="P967">
        <f>IF(COUNTIFS('United Data'!$A$3:$A$3390,P$1,'United Data'!$C$3:$C$3390,$A967,'United Data'!$B$3:$B$3390,"&lt;&gt;Off-street")&gt;0,1,0)</f>
        <v>0</v>
      </c>
      <c r="Q967">
        <f>IF(COUNTIFS('United Data'!$A$3:$A$3390,Q$1,'United Data'!$C$3:$C$3390,$A967,'United Data'!$B$3:$B$3390,"&lt;&gt;Off-street")&gt;0,1,0)</f>
        <v>0</v>
      </c>
      <c r="R967">
        <f>IF(COUNTIFS('United Data'!$A$3:$A$3390,R$1,'United Data'!$C$3:$C$3390,$A967,'United Data'!$B$3:$B$3390,"&lt;&gt;Off-street")&gt;0,1,0)</f>
        <v>0</v>
      </c>
      <c r="S967">
        <f t="shared" si="30"/>
        <v>2</v>
      </c>
      <c r="T967">
        <f t="shared" si="31"/>
        <v>2</v>
      </c>
    </row>
    <row r="968" spans="1:20" x14ac:dyDescent="0.2">
      <c r="A968" t="s">
        <v>1163</v>
      </c>
      <c r="B968">
        <f>IF(COUNTIFS('United Data'!$A$3:$A$3390,B$1,'United Data'!$C$3:$C$3390,$A968,'United Data'!$B$3:$B$3390,"&lt;&gt;Off-street")&gt;0,1,0)</f>
        <v>0</v>
      </c>
      <c r="C968">
        <f>IF(COUNTIFS('United Data'!$A$3:$A$3390,C$1,'United Data'!$C$3:$C$3390,$A968,'United Data'!$B$3:$B$3390,"&lt;&gt;Off-street")&gt;0,1,0)</f>
        <v>0</v>
      </c>
      <c r="D968">
        <f>IF(COUNTIFS('United Data'!$A$3:$A$3390,D$1,'United Data'!$C$3:$C$3390,$A968,'United Data'!$B$3:$B$3390,"&lt;&gt;Off-street")&gt;0,1,0)</f>
        <v>1</v>
      </c>
      <c r="E968">
        <f>IF(COUNTIFS('United Data'!$A$3:$A$3390,E$1,'United Data'!$C$3:$C$3390,$A968,'United Data'!$B$3:$B$3390,"&lt;&gt;Off-street")&gt;0,1,0)</f>
        <v>0</v>
      </c>
      <c r="F968">
        <f>IF(COUNTIFS('United Data'!$A$3:$A$3390,F$1,'United Data'!$C$3:$C$3390,$A968,'United Data'!$B$3:$B$3390,"&lt;&gt;Off-street")&gt;0,1,0)</f>
        <v>0</v>
      </c>
      <c r="G968">
        <f>IF(COUNTIFS('United Data'!$A$3:$A$3390,G$1,'United Data'!$C$3:$C$3390,$A968,'United Data'!$B$3:$B$3390,"&lt;&gt;Off-street")&gt;0,1,0)</f>
        <v>0</v>
      </c>
      <c r="H968">
        <f>IF(COUNTIFS('United Data'!$A$3:$A$3390,H$1,'United Data'!$C$3:$C$3390,$A968,'United Data'!$B$3:$B$3390,"&lt;&gt;Off-street")&gt;0,1,0)</f>
        <v>0</v>
      </c>
      <c r="I968">
        <f>IF(COUNTIFS('United Data'!$A$3:$A$3390,I$1,'United Data'!$C$3:$C$3390,$A968,'United Data'!$B$3:$B$3390,"&lt;&gt;Off-street")&gt;0,1,0)</f>
        <v>0</v>
      </c>
      <c r="J968">
        <f>IF(COUNTIFS('United Data'!$A$3:$A$3390,J$1,'United Data'!$C$3:$C$3390,$A968,'United Data'!$B$3:$B$3390,"&lt;&gt;Off-street")&gt;0,1,0)</f>
        <v>0</v>
      </c>
      <c r="K968">
        <f>IF(COUNTIFS('United Data'!$A$3:$A$3390,K$1,'United Data'!$C$3:$C$3390,$A968,'United Data'!$B$3:$B$3390,"&lt;&gt;Off-street")&gt;0,1,0)</f>
        <v>0</v>
      </c>
      <c r="L968">
        <f>IF(COUNTIFS('United Data'!$A$3:$A$3390,L$1,'United Data'!$C$3:$C$3390,$A968,'United Data'!$B$3:$B$3390,"&lt;&gt;Off-street")&gt;0,1,0)</f>
        <v>0</v>
      </c>
      <c r="M968">
        <f>IF(COUNTIFS('United Data'!$A$3:$A$3390,M$1,'United Data'!$C$3:$C$3390,$A968,'United Data'!$B$3:$B$3390,"&lt;&gt;Off-street")&gt;0,1,0)</f>
        <v>0</v>
      </c>
      <c r="N968">
        <f>IF(COUNTIFS('United Data'!$A$3:$A$3390,N$1,'United Data'!$C$3:$C$3390,$A968,'United Data'!$B$3:$B$3390,"&lt;&gt;Off-street")&gt;0,1,0)</f>
        <v>0</v>
      </c>
      <c r="O968">
        <f>IF(COUNTIFS('United Data'!$A$3:$A$3390,O$1,'United Data'!$C$3:$C$3390,$A968,'United Data'!$B$3:$B$3390,"&lt;&gt;Off-street")&gt;0,1,0)</f>
        <v>0</v>
      </c>
      <c r="P968">
        <f>IF(COUNTIFS('United Data'!$A$3:$A$3390,P$1,'United Data'!$C$3:$C$3390,$A968,'United Data'!$B$3:$B$3390,"&lt;&gt;Off-street")&gt;0,1,0)</f>
        <v>0</v>
      </c>
      <c r="Q968">
        <f>IF(COUNTIFS('United Data'!$A$3:$A$3390,Q$1,'United Data'!$C$3:$C$3390,$A968,'United Data'!$B$3:$B$3390,"&lt;&gt;Off-street")&gt;0,1,0)</f>
        <v>1</v>
      </c>
      <c r="R968">
        <f>IF(COUNTIFS('United Data'!$A$3:$A$3390,R$1,'United Data'!$C$3:$C$3390,$A968,'United Data'!$B$3:$B$3390,"&lt;&gt;Off-street")&gt;0,1,0)</f>
        <v>0</v>
      </c>
      <c r="S968">
        <f t="shared" si="30"/>
        <v>2</v>
      </c>
      <c r="T968">
        <f t="shared" si="31"/>
        <v>2</v>
      </c>
    </row>
    <row r="969" spans="1:20" x14ac:dyDescent="0.2">
      <c r="A969" t="s">
        <v>1165</v>
      </c>
      <c r="B969">
        <f>IF(COUNTIFS('United Data'!$A$3:$A$3390,B$1,'United Data'!$C$3:$C$3390,$A969,'United Data'!$B$3:$B$3390,"&lt;&gt;Off-street")&gt;0,1,0)</f>
        <v>0</v>
      </c>
      <c r="C969">
        <f>IF(COUNTIFS('United Data'!$A$3:$A$3390,C$1,'United Data'!$C$3:$C$3390,$A969,'United Data'!$B$3:$B$3390,"&lt;&gt;Off-street")&gt;0,1,0)</f>
        <v>0</v>
      </c>
      <c r="D969">
        <f>IF(COUNTIFS('United Data'!$A$3:$A$3390,D$1,'United Data'!$C$3:$C$3390,$A969,'United Data'!$B$3:$B$3390,"&lt;&gt;Off-street")&gt;0,1,0)</f>
        <v>1</v>
      </c>
      <c r="E969">
        <f>IF(COUNTIFS('United Data'!$A$3:$A$3390,E$1,'United Data'!$C$3:$C$3390,$A969,'United Data'!$B$3:$B$3390,"&lt;&gt;Off-street")&gt;0,1,0)</f>
        <v>0</v>
      </c>
      <c r="F969">
        <f>IF(COUNTIFS('United Data'!$A$3:$A$3390,F$1,'United Data'!$C$3:$C$3390,$A969,'United Data'!$B$3:$B$3390,"&lt;&gt;Off-street")&gt;0,1,0)</f>
        <v>0</v>
      </c>
      <c r="G969">
        <f>IF(COUNTIFS('United Data'!$A$3:$A$3390,G$1,'United Data'!$C$3:$C$3390,$A969,'United Data'!$B$3:$B$3390,"&lt;&gt;Off-street")&gt;0,1,0)</f>
        <v>0</v>
      </c>
      <c r="H969">
        <f>IF(COUNTIFS('United Data'!$A$3:$A$3390,H$1,'United Data'!$C$3:$C$3390,$A969,'United Data'!$B$3:$B$3390,"&lt;&gt;Off-street")&gt;0,1,0)</f>
        <v>0</v>
      </c>
      <c r="I969">
        <f>IF(COUNTIFS('United Data'!$A$3:$A$3390,I$1,'United Data'!$C$3:$C$3390,$A969,'United Data'!$B$3:$B$3390,"&lt;&gt;Off-street")&gt;0,1,0)</f>
        <v>0</v>
      </c>
      <c r="J969">
        <f>IF(COUNTIFS('United Data'!$A$3:$A$3390,J$1,'United Data'!$C$3:$C$3390,$A969,'United Data'!$B$3:$B$3390,"&lt;&gt;Off-street")&gt;0,1,0)</f>
        <v>0</v>
      </c>
      <c r="K969">
        <f>IF(COUNTIFS('United Data'!$A$3:$A$3390,K$1,'United Data'!$C$3:$C$3390,$A969,'United Data'!$B$3:$B$3390,"&lt;&gt;Off-street")&gt;0,1,0)</f>
        <v>0</v>
      </c>
      <c r="L969">
        <f>IF(COUNTIFS('United Data'!$A$3:$A$3390,L$1,'United Data'!$C$3:$C$3390,$A969,'United Data'!$B$3:$B$3390,"&lt;&gt;Off-street")&gt;0,1,0)</f>
        <v>0</v>
      </c>
      <c r="M969">
        <f>IF(COUNTIFS('United Data'!$A$3:$A$3390,M$1,'United Data'!$C$3:$C$3390,$A969,'United Data'!$B$3:$B$3390,"&lt;&gt;Off-street")&gt;0,1,0)</f>
        <v>0</v>
      </c>
      <c r="N969">
        <f>IF(COUNTIFS('United Data'!$A$3:$A$3390,N$1,'United Data'!$C$3:$C$3390,$A969,'United Data'!$B$3:$B$3390,"&lt;&gt;Off-street")&gt;0,1,0)</f>
        <v>0</v>
      </c>
      <c r="O969">
        <f>IF(COUNTIFS('United Data'!$A$3:$A$3390,O$1,'United Data'!$C$3:$C$3390,$A969,'United Data'!$B$3:$B$3390,"&lt;&gt;Off-street")&gt;0,1,0)</f>
        <v>0</v>
      </c>
      <c r="P969">
        <f>IF(COUNTIFS('United Data'!$A$3:$A$3390,P$1,'United Data'!$C$3:$C$3390,$A969,'United Data'!$B$3:$B$3390,"&lt;&gt;Off-street")&gt;0,1,0)</f>
        <v>0</v>
      </c>
      <c r="Q969">
        <f>IF(COUNTIFS('United Data'!$A$3:$A$3390,Q$1,'United Data'!$C$3:$C$3390,$A969,'United Data'!$B$3:$B$3390,"&lt;&gt;Off-street")&gt;0,1,0)</f>
        <v>0</v>
      </c>
      <c r="R969">
        <f>IF(COUNTIFS('United Data'!$A$3:$A$3390,R$1,'United Data'!$C$3:$C$3390,$A969,'United Data'!$B$3:$B$3390,"&lt;&gt;Off-street")&gt;0,1,0)</f>
        <v>0</v>
      </c>
      <c r="S969">
        <f t="shared" si="30"/>
        <v>1</v>
      </c>
      <c r="T969">
        <f t="shared" si="31"/>
        <v>1</v>
      </c>
    </row>
    <row r="970" spans="1:20" x14ac:dyDescent="0.2">
      <c r="A970" t="s">
        <v>1167</v>
      </c>
      <c r="B970">
        <f>IF(COUNTIFS('United Data'!$A$3:$A$3390,B$1,'United Data'!$C$3:$C$3390,$A970,'United Data'!$B$3:$B$3390,"&lt;&gt;Off-street")&gt;0,1,0)</f>
        <v>0</v>
      </c>
      <c r="C970">
        <f>IF(COUNTIFS('United Data'!$A$3:$A$3390,C$1,'United Data'!$C$3:$C$3390,$A970,'United Data'!$B$3:$B$3390,"&lt;&gt;Off-street")&gt;0,1,0)</f>
        <v>0</v>
      </c>
      <c r="D970">
        <f>IF(COUNTIFS('United Data'!$A$3:$A$3390,D$1,'United Data'!$C$3:$C$3390,$A970,'United Data'!$B$3:$B$3390,"&lt;&gt;Off-street")&gt;0,1,0)</f>
        <v>1</v>
      </c>
      <c r="E970">
        <f>IF(COUNTIFS('United Data'!$A$3:$A$3390,E$1,'United Data'!$C$3:$C$3390,$A970,'United Data'!$B$3:$B$3390,"&lt;&gt;Off-street")&gt;0,1,0)</f>
        <v>0</v>
      </c>
      <c r="F970">
        <f>IF(COUNTIFS('United Data'!$A$3:$A$3390,F$1,'United Data'!$C$3:$C$3390,$A970,'United Data'!$B$3:$B$3390,"&lt;&gt;Off-street")&gt;0,1,0)</f>
        <v>0</v>
      </c>
      <c r="G970">
        <f>IF(COUNTIFS('United Data'!$A$3:$A$3390,G$1,'United Data'!$C$3:$C$3390,$A970,'United Data'!$B$3:$B$3390,"&lt;&gt;Off-street")&gt;0,1,0)</f>
        <v>0</v>
      </c>
      <c r="H970">
        <f>IF(COUNTIFS('United Data'!$A$3:$A$3390,H$1,'United Data'!$C$3:$C$3390,$A970,'United Data'!$B$3:$B$3390,"&lt;&gt;Off-street")&gt;0,1,0)</f>
        <v>0</v>
      </c>
      <c r="I970">
        <f>IF(COUNTIFS('United Data'!$A$3:$A$3390,I$1,'United Data'!$C$3:$C$3390,$A970,'United Data'!$B$3:$B$3390,"&lt;&gt;Off-street")&gt;0,1,0)</f>
        <v>0</v>
      </c>
      <c r="J970">
        <f>IF(COUNTIFS('United Data'!$A$3:$A$3390,J$1,'United Data'!$C$3:$C$3390,$A970,'United Data'!$B$3:$B$3390,"&lt;&gt;Off-street")&gt;0,1,0)</f>
        <v>0</v>
      </c>
      <c r="K970">
        <f>IF(COUNTIFS('United Data'!$A$3:$A$3390,K$1,'United Data'!$C$3:$C$3390,$A970,'United Data'!$B$3:$B$3390,"&lt;&gt;Off-street")&gt;0,1,0)</f>
        <v>0</v>
      </c>
      <c r="L970">
        <f>IF(COUNTIFS('United Data'!$A$3:$A$3390,L$1,'United Data'!$C$3:$C$3390,$A970,'United Data'!$B$3:$B$3390,"&lt;&gt;Off-street")&gt;0,1,0)</f>
        <v>0</v>
      </c>
      <c r="M970">
        <f>IF(COUNTIFS('United Data'!$A$3:$A$3390,M$1,'United Data'!$C$3:$C$3390,$A970,'United Data'!$B$3:$B$3390,"&lt;&gt;Off-street")&gt;0,1,0)</f>
        <v>0</v>
      </c>
      <c r="N970">
        <f>IF(COUNTIFS('United Data'!$A$3:$A$3390,N$1,'United Data'!$C$3:$C$3390,$A970,'United Data'!$B$3:$B$3390,"&lt;&gt;Off-street")&gt;0,1,0)</f>
        <v>0</v>
      </c>
      <c r="O970">
        <f>IF(COUNTIFS('United Data'!$A$3:$A$3390,O$1,'United Data'!$C$3:$C$3390,$A970,'United Data'!$B$3:$B$3390,"&lt;&gt;Off-street")&gt;0,1,0)</f>
        <v>0</v>
      </c>
      <c r="P970">
        <f>IF(COUNTIFS('United Data'!$A$3:$A$3390,P$1,'United Data'!$C$3:$C$3390,$A970,'United Data'!$B$3:$B$3390,"&lt;&gt;Off-street")&gt;0,1,0)</f>
        <v>0</v>
      </c>
      <c r="Q970">
        <f>IF(COUNTIFS('United Data'!$A$3:$A$3390,Q$1,'United Data'!$C$3:$C$3390,$A970,'United Data'!$B$3:$B$3390,"&lt;&gt;Off-street")&gt;0,1,0)</f>
        <v>0</v>
      </c>
      <c r="R970">
        <f>IF(COUNTIFS('United Data'!$A$3:$A$3390,R$1,'United Data'!$C$3:$C$3390,$A970,'United Data'!$B$3:$B$3390,"&lt;&gt;Off-street")&gt;0,1,0)</f>
        <v>0</v>
      </c>
      <c r="S970">
        <f t="shared" si="30"/>
        <v>1</v>
      </c>
      <c r="T970">
        <f t="shared" si="31"/>
        <v>1</v>
      </c>
    </row>
    <row r="971" spans="1:20" x14ac:dyDescent="0.2">
      <c r="A971" t="s">
        <v>1168</v>
      </c>
      <c r="B971">
        <f>IF(COUNTIFS('United Data'!$A$3:$A$3390,B$1,'United Data'!$C$3:$C$3390,$A971,'United Data'!$B$3:$B$3390,"&lt;&gt;Off-street")&gt;0,1,0)</f>
        <v>0</v>
      </c>
      <c r="C971">
        <f>IF(COUNTIFS('United Data'!$A$3:$A$3390,C$1,'United Data'!$C$3:$C$3390,$A971,'United Data'!$B$3:$B$3390,"&lt;&gt;Off-street")&gt;0,1,0)</f>
        <v>0</v>
      </c>
      <c r="D971">
        <f>IF(COUNTIFS('United Data'!$A$3:$A$3390,D$1,'United Data'!$C$3:$C$3390,$A971,'United Data'!$B$3:$B$3390,"&lt;&gt;Off-street")&gt;0,1,0)</f>
        <v>1</v>
      </c>
      <c r="E971">
        <f>IF(COUNTIFS('United Data'!$A$3:$A$3390,E$1,'United Data'!$C$3:$C$3390,$A971,'United Data'!$B$3:$B$3390,"&lt;&gt;Off-street")&gt;0,1,0)</f>
        <v>1</v>
      </c>
      <c r="F971">
        <f>IF(COUNTIFS('United Data'!$A$3:$A$3390,F$1,'United Data'!$C$3:$C$3390,$A971,'United Data'!$B$3:$B$3390,"&lt;&gt;Off-street")&gt;0,1,0)</f>
        <v>0</v>
      </c>
      <c r="G971">
        <f>IF(COUNTIFS('United Data'!$A$3:$A$3390,G$1,'United Data'!$C$3:$C$3390,$A971,'United Data'!$B$3:$B$3390,"&lt;&gt;Off-street")&gt;0,1,0)</f>
        <v>0</v>
      </c>
      <c r="H971">
        <f>IF(COUNTIFS('United Data'!$A$3:$A$3390,H$1,'United Data'!$C$3:$C$3390,$A971,'United Data'!$B$3:$B$3390,"&lt;&gt;Off-street")&gt;0,1,0)</f>
        <v>0</v>
      </c>
      <c r="I971">
        <f>IF(COUNTIFS('United Data'!$A$3:$A$3390,I$1,'United Data'!$C$3:$C$3390,$A971,'United Data'!$B$3:$B$3390,"&lt;&gt;Off-street")&gt;0,1,0)</f>
        <v>0</v>
      </c>
      <c r="J971">
        <f>IF(COUNTIFS('United Data'!$A$3:$A$3390,J$1,'United Data'!$C$3:$C$3390,$A971,'United Data'!$B$3:$B$3390,"&lt;&gt;Off-street")&gt;0,1,0)</f>
        <v>0</v>
      </c>
      <c r="K971">
        <f>IF(COUNTIFS('United Data'!$A$3:$A$3390,K$1,'United Data'!$C$3:$C$3390,$A971,'United Data'!$B$3:$B$3390,"&lt;&gt;Off-street")&gt;0,1,0)</f>
        <v>0</v>
      </c>
      <c r="L971">
        <f>IF(COUNTIFS('United Data'!$A$3:$A$3390,L$1,'United Data'!$C$3:$C$3390,$A971,'United Data'!$B$3:$B$3390,"&lt;&gt;Off-street")&gt;0,1,0)</f>
        <v>1</v>
      </c>
      <c r="M971">
        <f>IF(COUNTIFS('United Data'!$A$3:$A$3390,M$1,'United Data'!$C$3:$C$3390,$A971,'United Data'!$B$3:$B$3390,"&lt;&gt;Off-street")&gt;0,1,0)</f>
        <v>0</v>
      </c>
      <c r="N971">
        <f>IF(COUNTIFS('United Data'!$A$3:$A$3390,N$1,'United Data'!$C$3:$C$3390,$A971,'United Data'!$B$3:$B$3390,"&lt;&gt;Off-street")&gt;0,1,0)</f>
        <v>0</v>
      </c>
      <c r="O971">
        <f>IF(COUNTIFS('United Data'!$A$3:$A$3390,O$1,'United Data'!$C$3:$C$3390,$A971,'United Data'!$B$3:$B$3390,"&lt;&gt;Off-street")&gt;0,1,0)</f>
        <v>0</v>
      </c>
      <c r="P971">
        <f>IF(COUNTIFS('United Data'!$A$3:$A$3390,P$1,'United Data'!$C$3:$C$3390,$A971,'United Data'!$B$3:$B$3390,"&lt;&gt;Off-street")&gt;0,1,0)</f>
        <v>0</v>
      </c>
      <c r="Q971">
        <f>IF(COUNTIFS('United Data'!$A$3:$A$3390,Q$1,'United Data'!$C$3:$C$3390,$A971,'United Data'!$B$3:$B$3390,"&lt;&gt;Off-street")&gt;0,1,0)</f>
        <v>0</v>
      </c>
      <c r="R971">
        <f>IF(COUNTIFS('United Data'!$A$3:$A$3390,R$1,'United Data'!$C$3:$C$3390,$A971,'United Data'!$B$3:$B$3390,"&lt;&gt;Off-street")&gt;0,1,0)</f>
        <v>0</v>
      </c>
      <c r="S971">
        <f t="shared" si="30"/>
        <v>3</v>
      </c>
      <c r="T971">
        <f t="shared" si="31"/>
        <v>2</v>
      </c>
    </row>
    <row r="972" spans="1:20" x14ac:dyDescent="0.2">
      <c r="A972" t="s">
        <v>1169</v>
      </c>
      <c r="B972">
        <f>IF(COUNTIFS('United Data'!$A$3:$A$3390,B$1,'United Data'!$C$3:$C$3390,$A972,'United Data'!$B$3:$B$3390,"&lt;&gt;Off-street")&gt;0,1,0)</f>
        <v>0</v>
      </c>
      <c r="C972">
        <f>IF(COUNTIFS('United Data'!$A$3:$A$3390,C$1,'United Data'!$C$3:$C$3390,$A972,'United Data'!$B$3:$B$3390,"&lt;&gt;Off-street")&gt;0,1,0)</f>
        <v>0</v>
      </c>
      <c r="D972">
        <f>IF(COUNTIFS('United Data'!$A$3:$A$3390,D$1,'United Data'!$C$3:$C$3390,$A972,'United Data'!$B$3:$B$3390,"&lt;&gt;Off-street")&gt;0,1,0)</f>
        <v>1</v>
      </c>
      <c r="E972">
        <f>IF(COUNTIFS('United Data'!$A$3:$A$3390,E$1,'United Data'!$C$3:$C$3390,$A972,'United Data'!$B$3:$B$3390,"&lt;&gt;Off-street")&gt;0,1,0)</f>
        <v>0</v>
      </c>
      <c r="F972">
        <f>IF(COUNTIFS('United Data'!$A$3:$A$3390,F$1,'United Data'!$C$3:$C$3390,$A972,'United Data'!$B$3:$B$3390,"&lt;&gt;Off-street")&gt;0,1,0)</f>
        <v>0</v>
      </c>
      <c r="G972">
        <f>IF(COUNTIFS('United Data'!$A$3:$A$3390,G$1,'United Data'!$C$3:$C$3390,$A972,'United Data'!$B$3:$B$3390,"&lt;&gt;Off-street")&gt;0,1,0)</f>
        <v>0</v>
      </c>
      <c r="H972">
        <f>IF(COUNTIFS('United Data'!$A$3:$A$3390,H$1,'United Data'!$C$3:$C$3390,$A972,'United Data'!$B$3:$B$3390,"&lt;&gt;Off-street")&gt;0,1,0)</f>
        <v>0</v>
      </c>
      <c r="I972">
        <f>IF(COUNTIFS('United Data'!$A$3:$A$3390,I$1,'United Data'!$C$3:$C$3390,$A972,'United Data'!$B$3:$B$3390,"&lt;&gt;Off-street")&gt;0,1,0)</f>
        <v>0</v>
      </c>
      <c r="J972">
        <f>IF(COUNTIFS('United Data'!$A$3:$A$3390,J$1,'United Data'!$C$3:$C$3390,$A972,'United Data'!$B$3:$B$3390,"&lt;&gt;Off-street")&gt;0,1,0)</f>
        <v>0</v>
      </c>
      <c r="K972">
        <f>IF(COUNTIFS('United Data'!$A$3:$A$3390,K$1,'United Data'!$C$3:$C$3390,$A972,'United Data'!$B$3:$B$3390,"&lt;&gt;Off-street")&gt;0,1,0)</f>
        <v>0</v>
      </c>
      <c r="L972">
        <f>IF(COUNTIFS('United Data'!$A$3:$A$3390,L$1,'United Data'!$C$3:$C$3390,$A972,'United Data'!$B$3:$B$3390,"&lt;&gt;Off-street")&gt;0,1,0)</f>
        <v>0</v>
      </c>
      <c r="M972">
        <f>IF(COUNTIFS('United Data'!$A$3:$A$3390,M$1,'United Data'!$C$3:$C$3390,$A972,'United Data'!$B$3:$B$3390,"&lt;&gt;Off-street")&gt;0,1,0)</f>
        <v>0</v>
      </c>
      <c r="N972">
        <f>IF(COUNTIFS('United Data'!$A$3:$A$3390,N$1,'United Data'!$C$3:$C$3390,$A972,'United Data'!$B$3:$B$3390,"&lt;&gt;Off-street")&gt;0,1,0)</f>
        <v>0</v>
      </c>
      <c r="O972">
        <f>IF(COUNTIFS('United Data'!$A$3:$A$3390,O$1,'United Data'!$C$3:$C$3390,$A972,'United Data'!$B$3:$B$3390,"&lt;&gt;Off-street")&gt;0,1,0)</f>
        <v>0</v>
      </c>
      <c r="P972">
        <f>IF(COUNTIFS('United Data'!$A$3:$A$3390,P$1,'United Data'!$C$3:$C$3390,$A972,'United Data'!$B$3:$B$3390,"&lt;&gt;Off-street")&gt;0,1,0)</f>
        <v>0</v>
      </c>
      <c r="Q972">
        <f>IF(COUNTIFS('United Data'!$A$3:$A$3390,Q$1,'United Data'!$C$3:$C$3390,$A972,'United Data'!$B$3:$B$3390,"&lt;&gt;Off-street")&gt;0,1,0)</f>
        <v>0</v>
      </c>
      <c r="R972">
        <f>IF(COUNTIFS('United Data'!$A$3:$A$3390,R$1,'United Data'!$C$3:$C$3390,$A972,'United Data'!$B$3:$B$3390,"&lt;&gt;Off-street")&gt;0,1,0)</f>
        <v>0</v>
      </c>
      <c r="S972">
        <f t="shared" si="30"/>
        <v>1</v>
      </c>
      <c r="T972">
        <f t="shared" si="31"/>
        <v>1</v>
      </c>
    </row>
    <row r="973" spans="1:20" x14ac:dyDescent="0.2">
      <c r="A973" t="s">
        <v>1170</v>
      </c>
      <c r="B973">
        <f>IF(COUNTIFS('United Data'!$A$3:$A$3390,B$1,'United Data'!$C$3:$C$3390,$A973,'United Data'!$B$3:$B$3390,"&lt;&gt;Off-street")&gt;0,1,0)</f>
        <v>0</v>
      </c>
      <c r="C973">
        <f>IF(COUNTIFS('United Data'!$A$3:$A$3390,C$1,'United Data'!$C$3:$C$3390,$A973,'United Data'!$B$3:$B$3390,"&lt;&gt;Off-street")&gt;0,1,0)</f>
        <v>0</v>
      </c>
      <c r="D973">
        <f>IF(COUNTIFS('United Data'!$A$3:$A$3390,D$1,'United Data'!$C$3:$C$3390,$A973,'United Data'!$B$3:$B$3390,"&lt;&gt;Off-street")&gt;0,1,0)</f>
        <v>1</v>
      </c>
      <c r="E973">
        <f>IF(COUNTIFS('United Data'!$A$3:$A$3390,E$1,'United Data'!$C$3:$C$3390,$A973,'United Data'!$B$3:$B$3390,"&lt;&gt;Off-street")&gt;0,1,0)</f>
        <v>0</v>
      </c>
      <c r="F973">
        <f>IF(COUNTIFS('United Data'!$A$3:$A$3390,F$1,'United Data'!$C$3:$C$3390,$A973,'United Data'!$B$3:$B$3390,"&lt;&gt;Off-street")&gt;0,1,0)</f>
        <v>0</v>
      </c>
      <c r="G973">
        <f>IF(COUNTIFS('United Data'!$A$3:$A$3390,G$1,'United Data'!$C$3:$C$3390,$A973,'United Data'!$B$3:$B$3390,"&lt;&gt;Off-street")&gt;0,1,0)</f>
        <v>0</v>
      </c>
      <c r="H973">
        <f>IF(COUNTIFS('United Data'!$A$3:$A$3390,H$1,'United Data'!$C$3:$C$3390,$A973,'United Data'!$B$3:$B$3390,"&lt;&gt;Off-street")&gt;0,1,0)</f>
        <v>0</v>
      </c>
      <c r="I973">
        <f>IF(COUNTIFS('United Data'!$A$3:$A$3390,I$1,'United Data'!$C$3:$C$3390,$A973,'United Data'!$B$3:$B$3390,"&lt;&gt;Off-street")&gt;0,1,0)</f>
        <v>0</v>
      </c>
      <c r="J973">
        <f>IF(COUNTIFS('United Data'!$A$3:$A$3390,J$1,'United Data'!$C$3:$C$3390,$A973,'United Data'!$B$3:$B$3390,"&lt;&gt;Off-street")&gt;0,1,0)</f>
        <v>0</v>
      </c>
      <c r="K973">
        <f>IF(COUNTIFS('United Data'!$A$3:$A$3390,K$1,'United Data'!$C$3:$C$3390,$A973,'United Data'!$B$3:$B$3390,"&lt;&gt;Off-street")&gt;0,1,0)</f>
        <v>0</v>
      </c>
      <c r="L973">
        <f>IF(COUNTIFS('United Data'!$A$3:$A$3390,L$1,'United Data'!$C$3:$C$3390,$A973,'United Data'!$B$3:$B$3390,"&lt;&gt;Off-street")&gt;0,1,0)</f>
        <v>0</v>
      </c>
      <c r="M973">
        <f>IF(COUNTIFS('United Data'!$A$3:$A$3390,M$1,'United Data'!$C$3:$C$3390,$A973,'United Data'!$B$3:$B$3390,"&lt;&gt;Off-street")&gt;0,1,0)</f>
        <v>0</v>
      </c>
      <c r="N973">
        <f>IF(COUNTIFS('United Data'!$A$3:$A$3390,N$1,'United Data'!$C$3:$C$3390,$A973,'United Data'!$B$3:$B$3390,"&lt;&gt;Off-street")&gt;0,1,0)</f>
        <v>0</v>
      </c>
      <c r="O973">
        <f>IF(COUNTIFS('United Data'!$A$3:$A$3390,O$1,'United Data'!$C$3:$C$3390,$A973,'United Data'!$B$3:$B$3390,"&lt;&gt;Off-street")&gt;0,1,0)</f>
        <v>0</v>
      </c>
      <c r="P973">
        <f>IF(COUNTIFS('United Data'!$A$3:$A$3390,P$1,'United Data'!$C$3:$C$3390,$A973,'United Data'!$B$3:$B$3390,"&lt;&gt;Off-street")&gt;0,1,0)</f>
        <v>0</v>
      </c>
      <c r="Q973">
        <f>IF(COUNTIFS('United Data'!$A$3:$A$3390,Q$1,'United Data'!$C$3:$C$3390,$A973,'United Data'!$B$3:$B$3390,"&lt;&gt;Off-street")&gt;0,1,0)</f>
        <v>0</v>
      </c>
      <c r="R973">
        <f>IF(COUNTIFS('United Data'!$A$3:$A$3390,R$1,'United Data'!$C$3:$C$3390,$A973,'United Data'!$B$3:$B$3390,"&lt;&gt;Off-street")&gt;0,1,0)</f>
        <v>0</v>
      </c>
      <c r="S973">
        <f t="shared" si="30"/>
        <v>1</v>
      </c>
      <c r="T973">
        <f t="shared" si="31"/>
        <v>1</v>
      </c>
    </row>
    <row r="974" spans="1:20" x14ac:dyDescent="0.2">
      <c r="A974" t="s">
        <v>1171</v>
      </c>
      <c r="B974">
        <f>IF(COUNTIFS('United Data'!$A$3:$A$3390,B$1,'United Data'!$C$3:$C$3390,$A974,'United Data'!$B$3:$B$3390,"&lt;&gt;Off-street")&gt;0,1,0)</f>
        <v>0</v>
      </c>
      <c r="C974">
        <f>IF(COUNTIFS('United Data'!$A$3:$A$3390,C$1,'United Data'!$C$3:$C$3390,$A974,'United Data'!$B$3:$B$3390,"&lt;&gt;Off-street")&gt;0,1,0)</f>
        <v>0</v>
      </c>
      <c r="D974">
        <f>IF(COUNTIFS('United Data'!$A$3:$A$3390,D$1,'United Data'!$C$3:$C$3390,$A974,'United Data'!$B$3:$B$3390,"&lt;&gt;Off-street")&gt;0,1,0)</f>
        <v>1</v>
      </c>
      <c r="E974">
        <f>IF(COUNTIFS('United Data'!$A$3:$A$3390,E$1,'United Data'!$C$3:$C$3390,$A974,'United Data'!$B$3:$B$3390,"&lt;&gt;Off-street")&gt;0,1,0)</f>
        <v>1</v>
      </c>
      <c r="F974">
        <f>IF(COUNTIFS('United Data'!$A$3:$A$3390,F$1,'United Data'!$C$3:$C$3390,$A974,'United Data'!$B$3:$B$3390,"&lt;&gt;Off-street")&gt;0,1,0)</f>
        <v>1</v>
      </c>
      <c r="G974">
        <f>IF(COUNTIFS('United Data'!$A$3:$A$3390,G$1,'United Data'!$C$3:$C$3390,$A974,'United Data'!$B$3:$B$3390,"&lt;&gt;Off-street")&gt;0,1,0)</f>
        <v>1</v>
      </c>
      <c r="H974">
        <f>IF(COUNTIFS('United Data'!$A$3:$A$3390,H$1,'United Data'!$C$3:$C$3390,$A974,'United Data'!$B$3:$B$3390,"&lt;&gt;Off-street")&gt;0,1,0)</f>
        <v>0</v>
      </c>
      <c r="I974">
        <f>IF(COUNTIFS('United Data'!$A$3:$A$3390,I$1,'United Data'!$C$3:$C$3390,$A974,'United Data'!$B$3:$B$3390,"&lt;&gt;Off-street")&gt;0,1,0)</f>
        <v>0</v>
      </c>
      <c r="J974">
        <f>IF(COUNTIFS('United Data'!$A$3:$A$3390,J$1,'United Data'!$C$3:$C$3390,$A974,'United Data'!$B$3:$B$3390,"&lt;&gt;Off-street")&gt;0,1,0)</f>
        <v>0</v>
      </c>
      <c r="K974">
        <f>IF(COUNTIFS('United Data'!$A$3:$A$3390,K$1,'United Data'!$C$3:$C$3390,$A974,'United Data'!$B$3:$B$3390,"&lt;&gt;Off-street")&gt;0,1,0)</f>
        <v>0</v>
      </c>
      <c r="L974">
        <f>IF(COUNTIFS('United Data'!$A$3:$A$3390,L$1,'United Data'!$C$3:$C$3390,$A974,'United Data'!$B$3:$B$3390,"&lt;&gt;Off-street")&gt;0,1,0)</f>
        <v>0</v>
      </c>
      <c r="M974">
        <f>IF(COUNTIFS('United Data'!$A$3:$A$3390,M$1,'United Data'!$C$3:$C$3390,$A974,'United Data'!$B$3:$B$3390,"&lt;&gt;Off-street")&gt;0,1,0)</f>
        <v>0</v>
      </c>
      <c r="N974">
        <f>IF(COUNTIFS('United Data'!$A$3:$A$3390,N$1,'United Data'!$C$3:$C$3390,$A974,'United Data'!$B$3:$B$3390,"&lt;&gt;Off-street")&gt;0,1,0)</f>
        <v>0</v>
      </c>
      <c r="O974">
        <f>IF(COUNTIFS('United Data'!$A$3:$A$3390,O$1,'United Data'!$C$3:$C$3390,$A974,'United Data'!$B$3:$B$3390,"&lt;&gt;Off-street")&gt;0,1,0)</f>
        <v>0</v>
      </c>
      <c r="P974">
        <f>IF(COUNTIFS('United Data'!$A$3:$A$3390,P$1,'United Data'!$C$3:$C$3390,$A974,'United Data'!$B$3:$B$3390,"&lt;&gt;Off-street")&gt;0,1,0)</f>
        <v>0</v>
      </c>
      <c r="Q974">
        <f>IF(COUNTIFS('United Data'!$A$3:$A$3390,Q$1,'United Data'!$C$3:$C$3390,$A974,'United Data'!$B$3:$B$3390,"&lt;&gt;Off-street")&gt;0,1,0)</f>
        <v>0</v>
      </c>
      <c r="R974">
        <f>IF(COUNTIFS('United Data'!$A$3:$A$3390,R$1,'United Data'!$C$3:$C$3390,$A974,'United Data'!$B$3:$B$3390,"&lt;&gt;Off-street")&gt;0,1,0)</f>
        <v>0</v>
      </c>
      <c r="S974">
        <f t="shared" si="30"/>
        <v>4</v>
      </c>
      <c r="T974">
        <f t="shared" si="31"/>
        <v>1</v>
      </c>
    </row>
    <row r="975" spans="1:20" x14ac:dyDescent="0.2">
      <c r="A975" t="s">
        <v>1172</v>
      </c>
      <c r="B975">
        <f>IF(COUNTIFS('United Data'!$A$3:$A$3390,B$1,'United Data'!$C$3:$C$3390,$A975,'United Data'!$B$3:$B$3390,"&lt;&gt;Off-street")&gt;0,1,0)</f>
        <v>0</v>
      </c>
      <c r="C975">
        <f>IF(COUNTIFS('United Data'!$A$3:$A$3390,C$1,'United Data'!$C$3:$C$3390,$A975,'United Data'!$B$3:$B$3390,"&lt;&gt;Off-street")&gt;0,1,0)</f>
        <v>0</v>
      </c>
      <c r="D975">
        <f>IF(COUNTIFS('United Data'!$A$3:$A$3390,D$1,'United Data'!$C$3:$C$3390,$A975,'United Data'!$B$3:$B$3390,"&lt;&gt;Off-street")&gt;0,1,0)</f>
        <v>1</v>
      </c>
      <c r="E975">
        <f>IF(COUNTIFS('United Data'!$A$3:$A$3390,E$1,'United Data'!$C$3:$C$3390,$A975,'United Data'!$B$3:$B$3390,"&lt;&gt;Off-street")&gt;0,1,0)</f>
        <v>0</v>
      </c>
      <c r="F975">
        <f>IF(COUNTIFS('United Data'!$A$3:$A$3390,F$1,'United Data'!$C$3:$C$3390,$A975,'United Data'!$B$3:$B$3390,"&lt;&gt;Off-street")&gt;0,1,0)</f>
        <v>0</v>
      </c>
      <c r="G975">
        <f>IF(COUNTIFS('United Data'!$A$3:$A$3390,G$1,'United Data'!$C$3:$C$3390,$A975,'United Data'!$B$3:$B$3390,"&lt;&gt;Off-street")&gt;0,1,0)</f>
        <v>0</v>
      </c>
      <c r="H975">
        <f>IF(COUNTIFS('United Data'!$A$3:$A$3390,H$1,'United Data'!$C$3:$C$3390,$A975,'United Data'!$B$3:$B$3390,"&lt;&gt;Off-street")&gt;0,1,0)</f>
        <v>0</v>
      </c>
      <c r="I975">
        <f>IF(COUNTIFS('United Data'!$A$3:$A$3390,I$1,'United Data'!$C$3:$C$3390,$A975,'United Data'!$B$3:$B$3390,"&lt;&gt;Off-street")&gt;0,1,0)</f>
        <v>0</v>
      </c>
      <c r="J975">
        <f>IF(COUNTIFS('United Data'!$A$3:$A$3390,J$1,'United Data'!$C$3:$C$3390,$A975,'United Data'!$B$3:$B$3390,"&lt;&gt;Off-street")&gt;0,1,0)</f>
        <v>0</v>
      </c>
      <c r="K975">
        <f>IF(COUNTIFS('United Data'!$A$3:$A$3390,K$1,'United Data'!$C$3:$C$3390,$A975,'United Data'!$B$3:$B$3390,"&lt;&gt;Off-street")&gt;0,1,0)</f>
        <v>0</v>
      </c>
      <c r="L975">
        <f>IF(COUNTIFS('United Data'!$A$3:$A$3390,L$1,'United Data'!$C$3:$C$3390,$A975,'United Data'!$B$3:$B$3390,"&lt;&gt;Off-street")&gt;0,1,0)</f>
        <v>0</v>
      </c>
      <c r="M975">
        <f>IF(COUNTIFS('United Data'!$A$3:$A$3390,M$1,'United Data'!$C$3:$C$3390,$A975,'United Data'!$B$3:$B$3390,"&lt;&gt;Off-street")&gt;0,1,0)</f>
        <v>0</v>
      </c>
      <c r="N975">
        <f>IF(COUNTIFS('United Data'!$A$3:$A$3390,N$1,'United Data'!$C$3:$C$3390,$A975,'United Data'!$B$3:$B$3390,"&lt;&gt;Off-street")&gt;0,1,0)</f>
        <v>0</v>
      </c>
      <c r="O975">
        <f>IF(COUNTIFS('United Data'!$A$3:$A$3390,O$1,'United Data'!$C$3:$C$3390,$A975,'United Data'!$B$3:$B$3390,"&lt;&gt;Off-street")&gt;0,1,0)</f>
        <v>0</v>
      </c>
      <c r="P975">
        <f>IF(COUNTIFS('United Data'!$A$3:$A$3390,P$1,'United Data'!$C$3:$C$3390,$A975,'United Data'!$B$3:$B$3390,"&lt;&gt;Off-street")&gt;0,1,0)</f>
        <v>0</v>
      </c>
      <c r="Q975">
        <f>IF(COUNTIFS('United Data'!$A$3:$A$3390,Q$1,'United Data'!$C$3:$C$3390,$A975,'United Data'!$B$3:$B$3390,"&lt;&gt;Off-street")&gt;0,1,0)</f>
        <v>0</v>
      </c>
      <c r="R975">
        <f>IF(COUNTIFS('United Data'!$A$3:$A$3390,R$1,'United Data'!$C$3:$C$3390,$A975,'United Data'!$B$3:$B$3390,"&lt;&gt;Off-street")&gt;0,1,0)</f>
        <v>0</v>
      </c>
      <c r="S975">
        <f t="shared" si="30"/>
        <v>1</v>
      </c>
      <c r="T975">
        <f t="shared" si="31"/>
        <v>1</v>
      </c>
    </row>
    <row r="976" spans="1:20" x14ac:dyDescent="0.2">
      <c r="A976" t="s">
        <v>1173</v>
      </c>
      <c r="B976">
        <f>IF(COUNTIFS('United Data'!$A$3:$A$3390,B$1,'United Data'!$C$3:$C$3390,$A976,'United Data'!$B$3:$B$3390,"&lt;&gt;Off-street")&gt;0,1,0)</f>
        <v>0</v>
      </c>
      <c r="C976">
        <f>IF(COUNTIFS('United Data'!$A$3:$A$3390,C$1,'United Data'!$C$3:$C$3390,$A976,'United Data'!$B$3:$B$3390,"&lt;&gt;Off-street")&gt;0,1,0)</f>
        <v>0</v>
      </c>
      <c r="D976">
        <f>IF(COUNTIFS('United Data'!$A$3:$A$3390,D$1,'United Data'!$C$3:$C$3390,$A976,'United Data'!$B$3:$B$3390,"&lt;&gt;Off-street")&gt;0,1,0)</f>
        <v>1</v>
      </c>
      <c r="E976">
        <f>IF(COUNTIFS('United Data'!$A$3:$A$3390,E$1,'United Data'!$C$3:$C$3390,$A976,'United Data'!$B$3:$B$3390,"&lt;&gt;Off-street")&gt;0,1,0)</f>
        <v>0</v>
      </c>
      <c r="F976">
        <f>IF(COUNTIFS('United Data'!$A$3:$A$3390,F$1,'United Data'!$C$3:$C$3390,$A976,'United Data'!$B$3:$B$3390,"&lt;&gt;Off-street")&gt;0,1,0)</f>
        <v>0</v>
      </c>
      <c r="G976">
        <f>IF(COUNTIFS('United Data'!$A$3:$A$3390,G$1,'United Data'!$C$3:$C$3390,$A976,'United Data'!$B$3:$B$3390,"&lt;&gt;Off-street")&gt;0,1,0)</f>
        <v>0</v>
      </c>
      <c r="H976">
        <f>IF(COUNTIFS('United Data'!$A$3:$A$3390,H$1,'United Data'!$C$3:$C$3390,$A976,'United Data'!$B$3:$B$3390,"&lt;&gt;Off-street")&gt;0,1,0)</f>
        <v>0</v>
      </c>
      <c r="I976">
        <f>IF(COUNTIFS('United Data'!$A$3:$A$3390,I$1,'United Data'!$C$3:$C$3390,$A976,'United Data'!$B$3:$B$3390,"&lt;&gt;Off-street")&gt;0,1,0)</f>
        <v>0</v>
      </c>
      <c r="J976">
        <f>IF(COUNTIFS('United Data'!$A$3:$A$3390,J$1,'United Data'!$C$3:$C$3390,$A976,'United Data'!$B$3:$B$3390,"&lt;&gt;Off-street")&gt;0,1,0)</f>
        <v>0</v>
      </c>
      <c r="K976">
        <f>IF(COUNTIFS('United Data'!$A$3:$A$3390,K$1,'United Data'!$C$3:$C$3390,$A976,'United Data'!$B$3:$B$3390,"&lt;&gt;Off-street")&gt;0,1,0)</f>
        <v>0</v>
      </c>
      <c r="L976">
        <f>IF(COUNTIFS('United Data'!$A$3:$A$3390,L$1,'United Data'!$C$3:$C$3390,$A976,'United Data'!$B$3:$B$3390,"&lt;&gt;Off-street")&gt;0,1,0)</f>
        <v>0</v>
      </c>
      <c r="M976">
        <f>IF(COUNTIFS('United Data'!$A$3:$A$3390,M$1,'United Data'!$C$3:$C$3390,$A976,'United Data'!$B$3:$B$3390,"&lt;&gt;Off-street")&gt;0,1,0)</f>
        <v>0</v>
      </c>
      <c r="N976">
        <f>IF(COUNTIFS('United Data'!$A$3:$A$3390,N$1,'United Data'!$C$3:$C$3390,$A976,'United Data'!$B$3:$B$3390,"&lt;&gt;Off-street")&gt;0,1,0)</f>
        <v>0</v>
      </c>
      <c r="O976">
        <f>IF(COUNTIFS('United Data'!$A$3:$A$3390,O$1,'United Data'!$C$3:$C$3390,$A976,'United Data'!$B$3:$B$3390,"&lt;&gt;Off-street")&gt;0,1,0)</f>
        <v>0</v>
      </c>
      <c r="P976">
        <f>IF(COUNTIFS('United Data'!$A$3:$A$3390,P$1,'United Data'!$C$3:$C$3390,$A976,'United Data'!$B$3:$B$3390,"&lt;&gt;Off-street")&gt;0,1,0)</f>
        <v>0</v>
      </c>
      <c r="Q976">
        <f>IF(COUNTIFS('United Data'!$A$3:$A$3390,Q$1,'United Data'!$C$3:$C$3390,$A976,'United Data'!$B$3:$B$3390,"&lt;&gt;Off-street")&gt;0,1,0)</f>
        <v>0</v>
      </c>
      <c r="R976">
        <f>IF(COUNTIFS('United Data'!$A$3:$A$3390,R$1,'United Data'!$C$3:$C$3390,$A976,'United Data'!$B$3:$B$3390,"&lt;&gt;Off-street")&gt;0,1,0)</f>
        <v>0</v>
      </c>
      <c r="S976">
        <f t="shared" si="30"/>
        <v>1</v>
      </c>
      <c r="T976">
        <f t="shared" si="31"/>
        <v>1</v>
      </c>
    </row>
    <row r="977" spans="1:20" x14ac:dyDescent="0.2">
      <c r="A977" t="s">
        <v>1174</v>
      </c>
      <c r="B977">
        <f>IF(COUNTIFS('United Data'!$A$3:$A$3390,B$1,'United Data'!$C$3:$C$3390,$A977,'United Data'!$B$3:$B$3390,"&lt;&gt;Off-street")&gt;0,1,0)</f>
        <v>0</v>
      </c>
      <c r="C977">
        <f>IF(COUNTIFS('United Data'!$A$3:$A$3390,C$1,'United Data'!$C$3:$C$3390,$A977,'United Data'!$B$3:$B$3390,"&lt;&gt;Off-street")&gt;0,1,0)</f>
        <v>0</v>
      </c>
      <c r="D977">
        <f>IF(COUNTIFS('United Data'!$A$3:$A$3390,D$1,'United Data'!$C$3:$C$3390,$A977,'United Data'!$B$3:$B$3390,"&lt;&gt;Off-street")&gt;0,1,0)</f>
        <v>0</v>
      </c>
      <c r="E977">
        <f>IF(COUNTIFS('United Data'!$A$3:$A$3390,E$1,'United Data'!$C$3:$C$3390,$A977,'United Data'!$B$3:$B$3390,"&lt;&gt;Off-street")&gt;0,1,0)</f>
        <v>1</v>
      </c>
      <c r="F977">
        <f>IF(COUNTIFS('United Data'!$A$3:$A$3390,F$1,'United Data'!$C$3:$C$3390,$A977,'United Data'!$B$3:$B$3390,"&lt;&gt;Off-street")&gt;0,1,0)</f>
        <v>0</v>
      </c>
      <c r="G977">
        <f>IF(COUNTIFS('United Data'!$A$3:$A$3390,G$1,'United Data'!$C$3:$C$3390,$A977,'United Data'!$B$3:$B$3390,"&lt;&gt;Off-street")&gt;0,1,0)</f>
        <v>0</v>
      </c>
      <c r="H977">
        <f>IF(COUNTIFS('United Data'!$A$3:$A$3390,H$1,'United Data'!$C$3:$C$3390,$A977,'United Data'!$B$3:$B$3390,"&lt;&gt;Off-street")&gt;0,1,0)</f>
        <v>0</v>
      </c>
      <c r="I977">
        <f>IF(COUNTIFS('United Data'!$A$3:$A$3390,I$1,'United Data'!$C$3:$C$3390,$A977,'United Data'!$B$3:$B$3390,"&lt;&gt;Off-street")&gt;0,1,0)</f>
        <v>0</v>
      </c>
      <c r="J977">
        <f>IF(COUNTIFS('United Data'!$A$3:$A$3390,J$1,'United Data'!$C$3:$C$3390,$A977,'United Data'!$B$3:$B$3390,"&lt;&gt;Off-street")&gt;0,1,0)</f>
        <v>0</v>
      </c>
      <c r="K977">
        <f>IF(COUNTIFS('United Data'!$A$3:$A$3390,K$1,'United Data'!$C$3:$C$3390,$A977,'United Data'!$B$3:$B$3390,"&lt;&gt;Off-street")&gt;0,1,0)</f>
        <v>0</v>
      </c>
      <c r="L977">
        <f>IF(COUNTIFS('United Data'!$A$3:$A$3390,L$1,'United Data'!$C$3:$C$3390,$A977,'United Data'!$B$3:$B$3390,"&lt;&gt;Off-street")&gt;0,1,0)</f>
        <v>0</v>
      </c>
      <c r="M977">
        <f>IF(COUNTIFS('United Data'!$A$3:$A$3390,M$1,'United Data'!$C$3:$C$3390,$A977,'United Data'!$B$3:$B$3390,"&lt;&gt;Off-street")&gt;0,1,0)</f>
        <v>0</v>
      </c>
      <c r="N977">
        <f>IF(COUNTIFS('United Data'!$A$3:$A$3390,N$1,'United Data'!$C$3:$C$3390,$A977,'United Data'!$B$3:$B$3390,"&lt;&gt;Off-street")&gt;0,1,0)</f>
        <v>0</v>
      </c>
      <c r="O977">
        <f>IF(COUNTIFS('United Data'!$A$3:$A$3390,O$1,'United Data'!$C$3:$C$3390,$A977,'United Data'!$B$3:$B$3390,"&lt;&gt;Off-street")&gt;0,1,0)</f>
        <v>0</v>
      </c>
      <c r="P977">
        <f>IF(COUNTIFS('United Data'!$A$3:$A$3390,P$1,'United Data'!$C$3:$C$3390,$A977,'United Data'!$B$3:$B$3390,"&lt;&gt;Off-street")&gt;0,1,0)</f>
        <v>0</v>
      </c>
      <c r="Q977">
        <f>IF(COUNTIFS('United Data'!$A$3:$A$3390,Q$1,'United Data'!$C$3:$C$3390,$A977,'United Data'!$B$3:$B$3390,"&lt;&gt;Off-street")&gt;0,1,0)</f>
        <v>0</v>
      </c>
      <c r="R977">
        <f>IF(COUNTIFS('United Data'!$A$3:$A$3390,R$1,'United Data'!$C$3:$C$3390,$A977,'United Data'!$B$3:$B$3390,"&lt;&gt;Off-street")&gt;0,1,0)</f>
        <v>0</v>
      </c>
      <c r="S977">
        <f t="shared" si="30"/>
        <v>1</v>
      </c>
      <c r="T977">
        <f t="shared" si="31"/>
        <v>1</v>
      </c>
    </row>
    <row r="978" spans="1:20" x14ac:dyDescent="0.2">
      <c r="A978" t="s">
        <v>1175</v>
      </c>
      <c r="B978">
        <f>IF(COUNTIFS('United Data'!$A$3:$A$3390,B$1,'United Data'!$C$3:$C$3390,$A978,'United Data'!$B$3:$B$3390,"&lt;&gt;Off-street")&gt;0,1,0)</f>
        <v>0</v>
      </c>
      <c r="C978">
        <f>IF(COUNTIFS('United Data'!$A$3:$A$3390,C$1,'United Data'!$C$3:$C$3390,$A978,'United Data'!$B$3:$B$3390,"&lt;&gt;Off-street")&gt;0,1,0)</f>
        <v>0</v>
      </c>
      <c r="D978">
        <f>IF(COUNTIFS('United Data'!$A$3:$A$3390,D$1,'United Data'!$C$3:$C$3390,$A978,'United Data'!$B$3:$B$3390,"&lt;&gt;Off-street")&gt;0,1,0)</f>
        <v>0</v>
      </c>
      <c r="E978">
        <f>IF(COUNTIFS('United Data'!$A$3:$A$3390,E$1,'United Data'!$C$3:$C$3390,$A978,'United Data'!$B$3:$B$3390,"&lt;&gt;Off-street")&gt;0,1,0)</f>
        <v>1</v>
      </c>
      <c r="F978">
        <f>IF(COUNTIFS('United Data'!$A$3:$A$3390,F$1,'United Data'!$C$3:$C$3390,$A978,'United Data'!$B$3:$B$3390,"&lt;&gt;Off-street")&gt;0,1,0)</f>
        <v>0</v>
      </c>
      <c r="G978">
        <f>IF(COUNTIFS('United Data'!$A$3:$A$3390,G$1,'United Data'!$C$3:$C$3390,$A978,'United Data'!$B$3:$B$3390,"&lt;&gt;Off-street")&gt;0,1,0)</f>
        <v>0</v>
      </c>
      <c r="H978">
        <f>IF(COUNTIFS('United Data'!$A$3:$A$3390,H$1,'United Data'!$C$3:$C$3390,$A978,'United Data'!$B$3:$B$3390,"&lt;&gt;Off-street")&gt;0,1,0)</f>
        <v>0</v>
      </c>
      <c r="I978">
        <f>IF(COUNTIFS('United Data'!$A$3:$A$3390,I$1,'United Data'!$C$3:$C$3390,$A978,'United Data'!$B$3:$B$3390,"&lt;&gt;Off-street")&gt;0,1,0)</f>
        <v>0</v>
      </c>
      <c r="J978">
        <f>IF(COUNTIFS('United Data'!$A$3:$A$3390,J$1,'United Data'!$C$3:$C$3390,$A978,'United Data'!$B$3:$B$3390,"&lt;&gt;Off-street")&gt;0,1,0)</f>
        <v>0</v>
      </c>
      <c r="K978">
        <f>IF(COUNTIFS('United Data'!$A$3:$A$3390,K$1,'United Data'!$C$3:$C$3390,$A978,'United Data'!$B$3:$B$3390,"&lt;&gt;Off-street")&gt;0,1,0)</f>
        <v>0</v>
      </c>
      <c r="L978">
        <f>IF(COUNTIFS('United Data'!$A$3:$A$3390,L$1,'United Data'!$C$3:$C$3390,$A978,'United Data'!$B$3:$B$3390,"&lt;&gt;Off-street")&gt;0,1,0)</f>
        <v>0</v>
      </c>
      <c r="M978">
        <f>IF(COUNTIFS('United Data'!$A$3:$A$3390,M$1,'United Data'!$C$3:$C$3390,$A978,'United Data'!$B$3:$B$3390,"&lt;&gt;Off-street")&gt;0,1,0)</f>
        <v>0</v>
      </c>
      <c r="N978">
        <f>IF(COUNTIFS('United Data'!$A$3:$A$3390,N$1,'United Data'!$C$3:$C$3390,$A978,'United Data'!$B$3:$B$3390,"&lt;&gt;Off-street")&gt;0,1,0)</f>
        <v>0</v>
      </c>
      <c r="O978">
        <f>IF(COUNTIFS('United Data'!$A$3:$A$3390,O$1,'United Data'!$C$3:$C$3390,$A978,'United Data'!$B$3:$B$3390,"&lt;&gt;Off-street")&gt;0,1,0)</f>
        <v>0</v>
      </c>
      <c r="P978">
        <f>IF(COUNTIFS('United Data'!$A$3:$A$3390,P$1,'United Data'!$C$3:$C$3390,$A978,'United Data'!$B$3:$B$3390,"&lt;&gt;Off-street")&gt;0,1,0)</f>
        <v>0</v>
      </c>
      <c r="Q978">
        <f>IF(COUNTIFS('United Data'!$A$3:$A$3390,Q$1,'United Data'!$C$3:$C$3390,$A978,'United Data'!$B$3:$B$3390,"&lt;&gt;Off-street")&gt;0,1,0)</f>
        <v>0</v>
      </c>
      <c r="R978">
        <f>IF(COUNTIFS('United Data'!$A$3:$A$3390,R$1,'United Data'!$C$3:$C$3390,$A978,'United Data'!$B$3:$B$3390,"&lt;&gt;Off-street")&gt;0,1,0)</f>
        <v>0</v>
      </c>
      <c r="S978">
        <f t="shared" si="30"/>
        <v>1</v>
      </c>
      <c r="T978">
        <f t="shared" si="31"/>
        <v>1</v>
      </c>
    </row>
    <row r="979" spans="1:20" x14ac:dyDescent="0.2">
      <c r="A979" t="s">
        <v>1176</v>
      </c>
      <c r="B979">
        <f>IF(COUNTIFS('United Data'!$A$3:$A$3390,B$1,'United Data'!$C$3:$C$3390,$A979,'United Data'!$B$3:$B$3390,"&lt;&gt;Off-street")&gt;0,1,0)</f>
        <v>0</v>
      </c>
      <c r="C979">
        <f>IF(COUNTIFS('United Data'!$A$3:$A$3390,C$1,'United Data'!$C$3:$C$3390,$A979,'United Data'!$B$3:$B$3390,"&lt;&gt;Off-street")&gt;0,1,0)</f>
        <v>0</v>
      </c>
      <c r="D979">
        <f>IF(COUNTIFS('United Data'!$A$3:$A$3390,D$1,'United Data'!$C$3:$C$3390,$A979,'United Data'!$B$3:$B$3390,"&lt;&gt;Off-street")&gt;0,1,0)</f>
        <v>0</v>
      </c>
      <c r="E979">
        <f>IF(COUNTIFS('United Data'!$A$3:$A$3390,E$1,'United Data'!$C$3:$C$3390,$A979,'United Data'!$B$3:$B$3390,"&lt;&gt;Off-street")&gt;0,1,0)</f>
        <v>1</v>
      </c>
      <c r="F979">
        <f>IF(COUNTIFS('United Data'!$A$3:$A$3390,F$1,'United Data'!$C$3:$C$3390,$A979,'United Data'!$B$3:$B$3390,"&lt;&gt;Off-street")&gt;0,1,0)</f>
        <v>0</v>
      </c>
      <c r="G979">
        <f>IF(COUNTIFS('United Data'!$A$3:$A$3390,G$1,'United Data'!$C$3:$C$3390,$A979,'United Data'!$B$3:$B$3390,"&lt;&gt;Off-street")&gt;0,1,0)</f>
        <v>0</v>
      </c>
      <c r="H979">
        <f>IF(COUNTIFS('United Data'!$A$3:$A$3390,H$1,'United Data'!$C$3:$C$3390,$A979,'United Data'!$B$3:$B$3390,"&lt;&gt;Off-street")&gt;0,1,0)</f>
        <v>0</v>
      </c>
      <c r="I979">
        <f>IF(COUNTIFS('United Data'!$A$3:$A$3390,I$1,'United Data'!$C$3:$C$3390,$A979,'United Data'!$B$3:$B$3390,"&lt;&gt;Off-street")&gt;0,1,0)</f>
        <v>1</v>
      </c>
      <c r="J979">
        <f>IF(COUNTIFS('United Data'!$A$3:$A$3390,J$1,'United Data'!$C$3:$C$3390,$A979,'United Data'!$B$3:$B$3390,"&lt;&gt;Off-street")&gt;0,1,0)</f>
        <v>1</v>
      </c>
      <c r="K979">
        <f>IF(COUNTIFS('United Data'!$A$3:$A$3390,K$1,'United Data'!$C$3:$C$3390,$A979,'United Data'!$B$3:$B$3390,"&lt;&gt;Off-street")&gt;0,1,0)</f>
        <v>0</v>
      </c>
      <c r="L979">
        <f>IF(COUNTIFS('United Data'!$A$3:$A$3390,L$1,'United Data'!$C$3:$C$3390,$A979,'United Data'!$B$3:$B$3390,"&lt;&gt;Off-street")&gt;0,1,0)</f>
        <v>0</v>
      </c>
      <c r="M979">
        <f>IF(COUNTIFS('United Data'!$A$3:$A$3390,M$1,'United Data'!$C$3:$C$3390,$A979,'United Data'!$B$3:$B$3390,"&lt;&gt;Off-street")&gt;0,1,0)</f>
        <v>0</v>
      </c>
      <c r="N979">
        <f>IF(COUNTIFS('United Data'!$A$3:$A$3390,N$1,'United Data'!$C$3:$C$3390,$A979,'United Data'!$B$3:$B$3390,"&lt;&gt;Off-street")&gt;0,1,0)</f>
        <v>0</v>
      </c>
      <c r="O979">
        <f>IF(COUNTIFS('United Data'!$A$3:$A$3390,O$1,'United Data'!$C$3:$C$3390,$A979,'United Data'!$B$3:$B$3390,"&lt;&gt;Off-street")&gt;0,1,0)</f>
        <v>0</v>
      </c>
      <c r="P979">
        <f>IF(COUNTIFS('United Data'!$A$3:$A$3390,P$1,'United Data'!$C$3:$C$3390,$A979,'United Data'!$B$3:$B$3390,"&lt;&gt;Off-street")&gt;0,1,0)</f>
        <v>0</v>
      </c>
      <c r="Q979">
        <f>IF(COUNTIFS('United Data'!$A$3:$A$3390,Q$1,'United Data'!$C$3:$C$3390,$A979,'United Data'!$B$3:$B$3390,"&lt;&gt;Off-street")&gt;0,1,0)</f>
        <v>0</v>
      </c>
      <c r="R979">
        <f>IF(COUNTIFS('United Data'!$A$3:$A$3390,R$1,'United Data'!$C$3:$C$3390,$A979,'United Data'!$B$3:$B$3390,"&lt;&gt;Off-street")&gt;0,1,0)</f>
        <v>0</v>
      </c>
      <c r="S979">
        <f t="shared" si="30"/>
        <v>3</v>
      </c>
      <c r="T979">
        <f t="shared" si="31"/>
        <v>2</v>
      </c>
    </row>
    <row r="980" spans="1:20" x14ac:dyDescent="0.2">
      <c r="A980" t="s">
        <v>1182</v>
      </c>
      <c r="B980">
        <f>IF(COUNTIFS('United Data'!$A$3:$A$3390,B$1,'United Data'!$C$3:$C$3390,$A980,'United Data'!$B$3:$B$3390,"&lt;&gt;Off-street")&gt;0,1,0)</f>
        <v>0</v>
      </c>
      <c r="C980">
        <f>IF(COUNTIFS('United Data'!$A$3:$A$3390,C$1,'United Data'!$C$3:$C$3390,$A980,'United Data'!$B$3:$B$3390,"&lt;&gt;Off-street")&gt;0,1,0)</f>
        <v>0</v>
      </c>
      <c r="D980">
        <f>IF(COUNTIFS('United Data'!$A$3:$A$3390,D$1,'United Data'!$C$3:$C$3390,$A980,'United Data'!$B$3:$B$3390,"&lt;&gt;Off-street")&gt;0,1,0)</f>
        <v>0</v>
      </c>
      <c r="E980">
        <f>IF(COUNTIFS('United Data'!$A$3:$A$3390,E$1,'United Data'!$C$3:$C$3390,$A980,'United Data'!$B$3:$B$3390,"&lt;&gt;Off-street")&gt;0,1,0)</f>
        <v>0</v>
      </c>
      <c r="F980">
        <f>IF(COUNTIFS('United Data'!$A$3:$A$3390,F$1,'United Data'!$C$3:$C$3390,$A980,'United Data'!$B$3:$B$3390,"&lt;&gt;Off-street")&gt;0,1,0)</f>
        <v>1</v>
      </c>
      <c r="G980">
        <f>IF(COUNTIFS('United Data'!$A$3:$A$3390,G$1,'United Data'!$C$3:$C$3390,$A980,'United Data'!$B$3:$B$3390,"&lt;&gt;Off-street")&gt;0,1,0)</f>
        <v>0</v>
      </c>
      <c r="H980">
        <f>IF(COUNTIFS('United Data'!$A$3:$A$3390,H$1,'United Data'!$C$3:$C$3390,$A980,'United Data'!$B$3:$B$3390,"&lt;&gt;Off-street")&gt;0,1,0)</f>
        <v>0</v>
      </c>
      <c r="I980">
        <f>IF(COUNTIFS('United Data'!$A$3:$A$3390,I$1,'United Data'!$C$3:$C$3390,$A980,'United Data'!$B$3:$B$3390,"&lt;&gt;Off-street")&gt;0,1,0)</f>
        <v>0</v>
      </c>
      <c r="J980">
        <f>IF(COUNTIFS('United Data'!$A$3:$A$3390,J$1,'United Data'!$C$3:$C$3390,$A980,'United Data'!$B$3:$B$3390,"&lt;&gt;Off-street")&gt;0,1,0)</f>
        <v>0</v>
      </c>
      <c r="K980">
        <f>IF(COUNTIFS('United Data'!$A$3:$A$3390,K$1,'United Data'!$C$3:$C$3390,$A980,'United Data'!$B$3:$B$3390,"&lt;&gt;Off-street")&gt;0,1,0)</f>
        <v>0</v>
      </c>
      <c r="L980">
        <f>IF(COUNTIFS('United Data'!$A$3:$A$3390,L$1,'United Data'!$C$3:$C$3390,$A980,'United Data'!$B$3:$B$3390,"&lt;&gt;Off-street")&gt;0,1,0)</f>
        <v>0</v>
      </c>
      <c r="M980">
        <f>IF(COUNTIFS('United Data'!$A$3:$A$3390,M$1,'United Data'!$C$3:$C$3390,$A980,'United Data'!$B$3:$B$3390,"&lt;&gt;Off-street")&gt;0,1,0)</f>
        <v>0</v>
      </c>
      <c r="N980">
        <f>IF(COUNTIFS('United Data'!$A$3:$A$3390,N$1,'United Data'!$C$3:$C$3390,$A980,'United Data'!$B$3:$B$3390,"&lt;&gt;Off-street")&gt;0,1,0)</f>
        <v>0</v>
      </c>
      <c r="O980">
        <f>IF(COUNTIFS('United Data'!$A$3:$A$3390,O$1,'United Data'!$C$3:$C$3390,$A980,'United Data'!$B$3:$B$3390,"&lt;&gt;Off-street")&gt;0,1,0)</f>
        <v>0</v>
      </c>
      <c r="P980">
        <f>IF(COUNTIFS('United Data'!$A$3:$A$3390,P$1,'United Data'!$C$3:$C$3390,$A980,'United Data'!$B$3:$B$3390,"&lt;&gt;Off-street")&gt;0,1,0)</f>
        <v>0</v>
      </c>
      <c r="Q980">
        <f>IF(COUNTIFS('United Data'!$A$3:$A$3390,Q$1,'United Data'!$C$3:$C$3390,$A980,'United Data'!$B$3:$B$3390,"&lt;&gt;Off-street")&gt;0,1,0)</f>
        <v>0</v>
      </c>
      <c r="R980">
        <f>IF(COUNTIFS('United Data'!$A$3:$A$3390,R$1,'United Data'!$C$3:$C$3390,$A980,'United Data'!$B$3:$B$3390,"&lt;&gt;Off-street")&gt;0,1,0)</f>
        <v>0</v>
      </c>
      <c r="S980">
        <f t="shared" si="30"/>
        <v>1</v>
      </c>
      <c r="T980">
        <f t="shared" si="31"/>
        <v>1</v>
      </c>
    </row>
    <row r="981" spans="1:20" x14ac:dyDescent="0.2">
      <c r="A981" t="s">
        <v>1183</v>
      </c>
      <c r="B981">
        <f>IF(COUNTIFS('United Data'!$A$3:$A$3390,B$1,'United Data'!$C$3:$C$3390,$A981,'United Data'!$B$3:$B$3390,"&lt;&gt;Off-street")&gt;0,1,0)</f>
        <v>0</v>
      </c>
      <c r="C981">
        <f>IF(COUNTIFS('United Data'!$A$3:$A$3390,C$1,'United Data'!$C$3:$C$3390,$A981,'United Data'!$B$3:$B$3390,"&lt;&gt;Off-street")&gt;0,1,0)</f>
        <v>0</v>
      </c>
      <c r="D981">
        <f>IF(COUNTIFS('United Data'!$A$3:$A$3390,D$1,'United Data'!$C$3:$C$3390,$A981,'United Data'!$B$3:$B$3390,"&lt;&gt;Off-street")&gt;0,1,0)</f>
        <v>0</v>
      </c>
      <c r="E981">
        <f>IF(COUNTIFS('United Data'!$A$3:$A$3390,E$1,'United Data'!$C$3:$C$3390,$A981,'United Data'!$B$3:$B$3390,"&lt;&gt;Off-street")&gt;0,1,0)</f>
        <v>0</v>
      </c>
      <c r="F981">
        <f>IF(COUNTIFS('United Data'!$A$3:$A$3390,F$1,'United Data'!$C$3:$C$3390,$A981,'United Data'!$B$3:$B$3390,"&lt;&gt;Off-street")&gt;0,1,0)</f>
        <v>1</v>
      </c>
      <c r="G981">
        <f>IF(COUNTIFS('United Data'!$A$3:$A$3390,G$1,'United Data'!$C$3:$C$3390,$A981,'United Data'!$B$3:$B$3390,"&lt;&gt;Off-street")&gt;0,1,0)</f>
        <v>0</v>
      </c>
      <c r="H981">
        <f>IF(COUNTIFS('United Data'!$A$3:$A$3390,H$1,'United Data'!$C$3:$C$3390,$A981,'United Data'!$B$3:$B$3390,"&lt;&gt;Off-street")&gt;0,1,0)</f>
        <v>0</v>
      </c>
      <c r="I981">
        <f>IF(COUNTIFS('United Data'!$A$3:$A$3390,I$1,'United Data'!$C$3:$C$3390,$A981,'United Data'!$B$3:$B$3390,"&lt;&gt;Off-street")&gt;0,1,0)</f>
        <v>0</v>
      </c>
      <c r="J981">
        <f>IF(COUNTIFS('United Data'!$A$3:$A$3390,J$1,'United Data'!$C$3:$C$3390,$A981,'United Data'!$B$3:$B$3390,"&lt;&gt;Off-street")&gt;0,1,0)</f>
        <v>0</v>
      </c>
      <c r="K981">
        <f>IF(COUNTIFS('United Data'!$A$3:$A$3390,K$1,'United Data'!$C$3:$C$3390,$A981,'United Data'!$B$3:$B$3390,"&lt;&gt;Off-street")&gt;0,1,0)</f>
        <v>0</v>
      </c>
      <c r="L981">
        <f>IF(COUNTIFS('United Data'!$A$3:$A$3390,L$1,'United Data'!$C$3:$C$3390,$A981,'United Data'!$B$3:$B$3390,"&lt;&gt;Off-street")&gt;0,1,0)</f>
        <v>0</v>
      </c>
      <c r="M981">
        <f>IF(COUNTIFS('United Data'!$A$3:$A$3390,M$1,'United Data'!$C$3:$C$3390,$A981,'United Data'!$B$3:$B$3390,"&lt;&gt;Off-street")&gt;0,1,0)</f>
        <v>0</v>
      </c>
      <c r="N981">
        <f>IF(COUNTIFS('United Data'!$A$3:$A$3390,N$1,'United Data'!$C$3:$C$3390,$A981,'United Data'!$B$3:$B$3390,"&lt;&gt;Off-street")&gt;0,1,0)</f>
        <v>0</v>
      </c>
      <c r="O981">
        <f>IF(COUNTIFS('United Data'!$A$3:$A$3390,O$1,'United Data'!$C$3:$C$3390,$A981,'United Data'!$B$3:$B$3390,"&lt;&gt;Off-street")&gt;0,1,0)</f>
        <v>0</v>
      </c>
      <c r="P981">
        <f>IF(COUNTIFS('United Data'!$A$3:$A$3390,P$1,'United Data'!$C$3:$C$3390,$A981,'United Data'!$B$3:$B$3390,"&lt;&gt;Off-street")&gt;0,1,0)</f>
        <v>0</v>
      </c>
      <c r="Q981">
        <f>IF(COUNTIFS('United Data'!$A$3:$A$3390,Q$1,'United Data'!$C$3:$C$3390,$A981,'United Data'!$B$3:$B$3390,"&lt;&gt;Off-street")&gt;0,1,0)</f>
        <v>0</v>
      </c>
      <c r="R981">
        <f>IF(COUNTIFS('United Data'!$A$3:$A$3390,R$1,'United Data'!$C$3:$C$3390,$A981,'United Data'!$B$3:$B$3390,"&lt;&gt;Off-street")&gt;0,1,0)</f>
        <v>0</v>
      </c>
      <c r="S981">
        <f t="shared" si="30"/>
        <v>1</v>
      </c>
      <c r="T981">
        <f t="shared" si="31"/>
        <v>1</v>
      </c>
    </row>
    <row r="982" spans="1:20" x14ac:dyDescent="0.2">
      <c r="A982" t="s">
        <v>1184</v>
      </c>
      <c r="B982">
        <f>IF(COUNTIFS('United Data'!$A$3:$A$3390,B$1,'United Data'!$C$3:$C$3390,$A982,'United Data'!$B$3:$B$3390,"&lt;&gt;Off-street")&gt;0,1,0)</f>
        <v>0</v>
      </c>
      <c r="C982">
        <f>IF(COUNTIFS('United Data'!$A$3:$A$3390,C$1,'United Data'!$C$3:$C$3390,$A982,'United Data'!$B$3:$B$3390,"&lt;&gt;Off-street")&gt;0,1,0)</f>
        <v>0</v>
      </c>
      <c r="D982">
        <f>IF(COUNTIFS('United Data'!$A$3:$A$3390,D$1,'United Data'!$C$3:$C$3390,$A982,'United Data'!$B$3:$B$3390,"&lt;&gt;Off-street")&gt;0,1,0)</f>
        <v>0</v>
      </c>
      <c r="E982">
        <f>IF(COUNTIFS('United Data'!$A$3:$A$3390,E$1,'United Data'!$C$3:$C$3390,$A982,'United Data'!$B$3:$B$3390,"&lt;&gt;Off-street")&gt;0,1,0)</f>
        <v>0</v>
      </c>
      <c r="F982">
        <f>IF(COUNTIFS('United Data'!$A$3:$A$3390,F$1,'United Data'!$C$3:$C$3390,$A982,'United Data'!$B$3:$B$3390,"&lt;&gt;Off-street")&gt;0,1,0)</f>
        <v>1</v>
      </c>
      <c r="G982">
        <f>IF(COUNTIFS('United Data'!$A$3:$A$3390,G$1,'United Data'!$C$3:$C$3390,$A982,'United Data'!$B$3:$B$3390,"&lt;&gt;Off-street")&gt;0,1,0)</f>
        <v>0</v>
      </c>
      <c r="H982">
        <f>IF(COUNTIFS('United Data'!$A$3:$A$3390,H$1,'United Data'!$C$3:$C$3390,$A982,'United Data'!$B$3:$B$3390,"&lt;&gt;Off-street")&gt;0,1,0)</f>
        <v>0</v>
      </c>
      <c r="I982">
        <f>IF(COUNTIFS('United Data'!$A$3:$A$3390,I$1,'United Data'!$C$3:$C$3390,$A982,'United Data'!$B$3:$B$3390,"&lt;&gt;Off-street")&gt;0,1,0)</f>
        <v>0</v>
      </c>
      <c r="J982">
        <f>IF(COUNTIFS('United Data'!$A$3:$A$3390,J$1,'United Data'!$C$3:$C$3390,$A982,'United Data'!$B$3:$B$3390,"&lt;&gt;Off-street")&gt;0,1,0)</f>
        <v>0</v>
      </c>
      <c r="K982">
        <f>IF(COUNTIFS('United Data'!$A$3:$A$3390,K$1,'United Data'!$C$3:$C$3390,$A982,'United Data'!$B$3:$B$3390,"&lt;&gt;Off-street")&gt;0,1,0)</f>
        <v>0</v>
      </c>
      <c r="L982">
        <f>IF(COUNTIFS('United Data'!$A$3:$A$3390,L$1,'United Data'!$C$3:$C$3390,$A982,'United Data'!$B$3:$B$3390,"&lt;&gt;Off-street")&gt;0,1,0)</f>
        <v>0</v>
      </c>
      <c r="M982">
        <f>IF(COUNTIFS('United Data'!$A$3:$A$3390,M$1,'United Data'!$C$3:$C$3390,$A982,'United Data'!$B$3:$B$3390,"&lt;&gt;Off-street")&gt;0,1,0)</f>
        <v>0</v>
      </c>
      <c r="N982">
        <f>IF(COUNTIFS('United Data'!$A$3:$A$3390,N$1,'United Data'!$C$3:$C$3390,$A982,'United Data'!$B$3:$B$3390,"&lt;&gt;Off-street")&gt;0,1,0)</f>
        <v>1</v>
      </c>
      <c r="O982">
        <f>IF(COUNTIFS('United Data'!$A$3:$A$3390,O$1,'United Data'!$C$3:$C$3390,$A982,'United Data'!$B$3:$B$3390,"&lt;&gt;Off-street")&gt;0,1,0)</f>
        <v>0</v>
      </c>
      <c r="P982">
        <f>IF(COUNTIFS('United Data'!$A$3:$A$3390,P$1,'United Data'!$C$3:$C$3390,$A982,'United Data'!$B$3:$B$3390,"&lt;&gt;Off-street")&gt;0,1,0)</f>
        <v>1</v>
      </c>
      <c r="Q982">
        <f>IF(COUNTIFS('United Data'!$A$3:$A$3390,Q$1,'United Data'!$C$3:$C$3390,$A982,'United Data'!$B$3:$B$3390,"&lt;&gt;Off-street")&gt;0,1,0)</f>
        <v>0</v>
      </c>
      <c r="R982">
        <f>IF(COUNTIFS('United Data'!$A$3:$A$3390,R$1,'United Data'!$C$3:$C$3390,$A982,'United Data'!$B$3:$B$3390,"&lt;&gt;Off-street")&gt;0,1,0)</f>
        <v>0</v>
      </c>
      <c r="S982">
        <f t="shared" si="30"/>
        <v>3</v>
      </c>
      <c r="T982">
        <f t="shared" si="31"/>
        <v>3</v>
      </c>
    </row>
    <row r="983" spans="1:20" x14ac:dyDescent="0.2">
      <c r="A983" t="s">
        <v>1185</v>
      </c>
      <c r="B983">
        <f>IF(COUNTIFS('United Data'!$A$3:$A$3390,B$1,'United Data'!$C$3:$C$3390,$A983,'United Data'!$B$3:$B$3390,"&lt;&gt;Off-street")&gt;0,1,0)</f>
        <v>0</v>
      </c>
      <c r="C983">
        <f>IF(COUNTIFS('United Data'!$A$3:$A$3390,C$1,'United Data'!$C$3:$C$3390,$A983,'United Data'!$B$3:$B$3390,"&lt;&gt;Off-street")&gt;0,1,0)</f>
        <v>0</v>
      </c>
      <c r="D983">
        <f>IF(COUNTIFS('United Data'!$A$3:$A$3390,D$1,'United Data'!$C$3:$C$3390,$A983,'United Data'!$B$3:$B$3390,"&lt;&gt;Off-street")&gt;0,1,0)</f>
        <v>0</v>
      </c>
      <c r="E983">
        <f>IF(COUNTIFS('United Data'!$A$3:$A$3390,E$1,'United Data'!$C$3:$C$3390,$A983,'United Data'!$B$3:$B$3390,"&lt;&gt;Off-street")&gt;0,1,0)</f>
        <v>0</v>
      </c>
      <c r="F983">
        <f>IF(COUNTIFS('United Data'!$A$3:$A$3390,F$1,'United Data'!$C$3:$C$3390,$A983,'United Data'!$B$3:$B$3390,"&lt;&gt;Off-street")&gt;0,1,0)</f>
        <v>1</v>
      </c>
      <c r="G983">
        <f>IF(COUNTIFS('United Data'!$A$3:$A$3390,G$1,'United Data'!$C$3:$C$3390,$A983,'United Data'!$B$3:$B$3390,"&lt;&gt;Off-street")&gt;0,1,0)</f>
        <v>0</v>
      </c>
      <c r="H983">
        <f>IF(COUNTIFS('United Data'!$A$3:$A$3390,H$1,'United Data'!$C$3:$C$3390,$A983,'United Data'!$B$3:$B$3390,"&lt;&gt;Off-street")&gt;0,1,0)</f>
        <v>0</v>
      </c>
      <c r="I983">
        <f>IF(COUNTIFS('United Data'!$A$3:$A$3390,I$1,'United Data'!$C$3:$C$3390,$A983,'United Data'!$B$3:$B$3390,"&lt;&gt;Off-street")&gt;0,1,0)</f>
        <v>0</v>
      </c>
      <c r="J983">
        <f>IF(COUNTIFS('United Data'!$A$3:$A$3390,J$1,'United Data'!$C$3:$C$3390,$A983,'United Data'!$B$3:$B$3390,"&lt;&gt;Off-street")&gt;0,1,0)</f>
        <v>0</v>
      </c>
      <c r="K983">
        <f>IF(COUNTIFS('United Data'!$A$3:$A$3390,K$1,'United Data'!$C$3:$C$3390,$A983,'United Data'!$B$3:$B$3390,"&lt;&gt;Off-street")&gt;0,1,0)</f>
        <v>0</v>
      </c>
      <c r="L983">
        <f>IF(COUNTIFS('United Data'!$A$3:$A$3390,L$1,'United Data'!$C$3:$C$3390,$A983,'United Data'!$B$3:$B$3390,"&lt;&gt;Off-street")&gt;0,1,0)</f>
        <v>0</v>
      </c>
      <c r="M983">
        <f>IF(COUNTIFS('United Data'!$A$3:$A$3390,M$1,'United Data'!$C$3:$C$3390,$A983,'United Data'!$B$3:$B$3390,"&lt;&gt;Off-street")&gt;0,1,0)</f>
        <v>0</v>
      </c>
      <c r="N983">
        <f>IF(COUNTIFS('United Data'!$A$3:$A$3390,N$1,'United Data'!$C$3:$C$3390,$A983,'United Data'!$B$3:$B$3390,"&lt;&gt;Off-street")&gt;0,1,0)</f>
        <v>0</v>
      </c>
      <c r="O983">
        <f>IF(COUNTIFS('United Data'!$A$3:$A$3390,O$1,'United Data'!$C$3:$C$3390,$A983,'United Data'!$B$3:$B$3390,"&lt;&gt;Off-street")&gt;0,1,0)</f>
        <v>0</v>
      </c>
      <c r="P983">
        <f>IF(COUNTIFS('United Data'!$A$3:$A$3390,P$1,'United Data'!$C$3:$C$3390,$A983,'United Data'!$B$3:$B$3390,"&lt;&gt;Off-street")&gt;0,1,0)</f>
        <v>0</v>
      </c>
      <c r="Q983">
        <f>IF(COUNTIFS('United Data'!$A$3:$A$3390,Q$1,'United Data'!$C$3:$C$3390,$A983,'United Data'!$B$3:$B$3390,"&lt;&gt;Off-street")&gt;0,1,0)</f>
        <v>0</v>
      </c>
      <c r="R983">
        <f>IF(COUNTIFS('United Data'!$A$3:$A$3390,R$1,'United Data'!$C$3:$C$3390,$A983,'United Data'!$B$3:$B$3390,"&lt;&gt;Off-street")&gt;0,1,0)</f>
        <v>0</v>
      </c>
      <c r="S983">
        <f t="shared" si="30"/>
        <v>1</v>
      </c>
      <c r="T983">
        <f t="shared" si="31"/>
        <v>1</v>
      </c>
    </row>
    <row r="984" spans="1:20" x14ac:dyDescent="0.2">
      <c r="A984" t="s">
        <v>1186</v>
      </c>
      <c r="B984">
        <f>IF(COUNTIFS('United Data'!$A$3:$A$3390,B$1,'United Data'!$C$3:$C$3390,$A984,'United Data'!$B$3:$B$3390,"&lt;&gt;Off-street")&gt;0,1,0)</f>
        <v>0</v>
      </c>
      <c r="C984">
        <f>IF(COUNTIFS('United Data'!$A$3:$A$3390,C$1,'United Data'!$C$3:$C$3390,$A984,'United Data'!$B$3:$B$3390,"&lt;&gt;Off-street")&gt;0,1,0)</f>
        <v>0</v>
      </c>
      <c r="D984">
        <f>IF(COUNTIFS('United Data'!$A$3:$A$3390,D$1,'United Data'!$C$3:$C$3390,$A984,'United Data'!$B$3:$B$3390,"&lt;&gt;Off-street")&gt;0,1,0)</f>
        <v>0</v>
      </c>
      <c r="E984">
        <f>IF(COUNTIFS('United Data'!$A$3:$A$3390,E$1,'United Data'!$C$3:$C$3390,$A984,'United Data'!$B$3:$B$3390,"&lt;&gt;Off-street")&gt;0,1,0)</f>
        <v>0</v>
      </c>
      <c r="F984">
        <f>IF(COUNTIFS('United Data'!$A$3:$A$3390,F$1,'United Data'!$C$3:$C$3390,$A984,'United Data'!$B$3:$B$3390,"&lt;&gt;Off-street")&gt;0,1,0)</f>
        <v>0</v>
      </c>
      <c r="G984">
        <f>IF(COUNTIFS('United Data'!$A$3:$A$3390,G$1,'United Data'!$C$3:$C$3390,$A984,'United Data'!$B$3:$B$3390,"&lt;&gt;Off-street")&gt;0,1,0)</f>
        <v>1</v>
      </c>
      <c r="H984">
        <f>IF(COUNTIFS('United Data'!$A$3:$A$3390,H$1,'United Data'!$C$3:$C$3390,$A984,'United Data'!$B$3:$B$3390,"&lt;&gt;Off-street")&gt;0,1,0)</f>
        <v>1</v>
      </c>
      <c r="I984">
        <f>IF(COUNTIFS('United Data'!$A$3:$A$3390,I$1,'United Data'!$C$3:$C$3390,$A984,'United Data'!$B$3:$B$3390,"&lt;&gt;Off-street")&gt;0,1,0)</f>
        <v>0</v>
      </c>
      <c r="J984">
        <f>IF(COUNTIFS('United Data'!$A$3:$A$3390,J$1,'United Data'!$C$3:$C$3390,$A984,'United Data'!$B$3:$B$3390,"&lt;&gt;Off-street")&gt;0,1,0)</f>
        <v>0</v>
      </c>
      <c r="K984">
        <f>IF(COUNTIFS('United Data'!$A$3:$A$3390,K$1,'United Data'!$C$3:$C$3390,$A984,'United Data'!$B$3:$B$3390,"&lt;&gt;Off-street")&gt;0,1,0)</f>
        <v>0</v>
      </c>
      <c r="L984">
        <f>IF(COUNTIFS('United Data'!$A$3:$A$3390,L$1,'United Data'!$C$3:$C$3390,$A984,'United Data'!$B$3:$B$3390,"&lt;&gt;Off-street")&gt;0,1,0)</f>
        <v>0</v>
      </c>
      <c r="M984">
        <f>IF(COUNTIFS('United Data'!$A$3:$A$3390,M$1,'United Data'!$C$3:$C$3390,$A984,'United Data'!$B$3:$B$3390,"&lt;&gt;Off-street")&gt;0,1,0)</f>
        <v>0</v>
      </c>
      <c r="N984">
        <f>IF(COUNTIFS('United Data'!$A$3:$A$3390,N$1,'United Data'!$C$3:$C$3390,$A984,'United Data'!$B$3:$B$3390,"&lt;&gt;Off-street")&gt;0,1,0)</f>
        <v>0</v>
      </c>
      <c r="O984">
        <f>IF(COUNTIFS('United Data'!$A$3:$A$3390,O$1,'United Data'!$C$3:$C$3390,$A984,'United Data'!$B$3:$B$3390,"&lt;&gt;Off-street")&gt;0,1,0)</f>
        <v>0</v>
      </c>
      <c r="P984">
        <f>IF(COUNTIFS('United Data'!$A$3:$A$3390,P$1,'United Data'!$C$3:$C$3390,$A984,'United Data'!$B$3:$B$3390,"&lt;&gt;Off-street")&gt;0,1,0)</f>
        <v>0</v>
      </c>
      <c r="Q984">
        <f>IF(COUNTIFS('United Data'!$A$3:$A$3390,Q$1,'United Data'!$C$3:$C$3390,$A984,'United Data'!$B$3:$B$3390,"&lt;&gt;Off-street")&gt;0,1,0)</f>
        <v>0</v>
      </c>
      <c r="R984">
        <f>IF(COUNTIFS('United Data'!$A$3:$A$3390,R$1,'United Data'!$C$3:$C$3390,$A984,'United Data'!$B$3:$B$3390,"&lt;&gt;Off-street")&gt;0,1,0)</f>
        <v>0</v>
      </c>
      <c r="S984">
        <f t="shared" si="30"/>
        <v>2</v>
      </c>
      <c r="T984">
        <f t="shared" si="31"/>
        <v>1</v>
      </c>
    </row>
    <row r="985" spans="1:20" x14ac:dyDescent="0.2">
      <c r="A985" t="s">
        <v>1187</v>
      </c>
      <c r="B985">
        <f>IF(COUNTIFS('United Data'!$A$3:$A$3390,B$1,'United Data'!$C$3:$C$3390,$A985,'United Data'!$B$3:$B$3390,"&lt;&gt;Off-street")&gt;0,1,0)</f>
        <v>0</v>
      </c>
      <c r="C985">
        <f>IF(COUNTIFS('United Data'!$A$3:$A$3390,C$1,'United Data'!$C$3:$C$3390,$A985,'United Data'!$B$3:$B$3390,"&lt;&gt;Off-street")&gt;0,1,0)</f>
        <v>0</v>
      </c>
      <c r="D985">
        <f>IF(COUNTIFS('United Data'!$A$3:$A$3390,D$1,'United Data'!$C$3:$C$3390,$A985,'United Data'!$B$3:$B$3390,"&lt;&gt;Off-street")&gt;0,1,0)</f>
        <v>0</v>
      </c>
      <c r="E985">
        <f>IF(COUNTIFS('United Data'!$A$3:$A$3390,E$1,'United Data'!$C$3:$C$3390,$A985,'United Data'!$B$3:$B$3390,"&lt;&gt;Off-street")&gt;0,1,0)</f>
        <v>0</v>
      </c>
      <c r="F985">
        <f>IF(COUNTIFS('United Data'!$A$3:$A$3390,F$1,'United Data'!$C$3:$C$3390,$A985,'United Data'!$B$3:$B$3390,"&lt;&gt;Off-street")&gt;0,1,0)</f>
        <v>0</v>
      </c>
      <c r="G985">
        <f>IF(COUNTIFS('United Data'!$A$3:$A$3390,G$1,'United Data'!$C$3:$C$3390,$A985,'United Data'!$B$3:$B$3390,"&lt;&gt;Off-street")&gt;0,1,0)</f>
        <v>1</v>
      </c>
      <c r="H985">
        <f>IF(COUNTIFS('United Data'!$A$3:$A$3390,H$1,'United Data'!$C$3:$C$3390,$A985,'United Data'!$B$3:$B$3390,"&lt;&gt;Off-street")&gt;0,1,0)</f>
        <v>1</v>
      </c>
      <c r="I985">
        <f>IF(COUNTIFS('United Data'!$A$3:$A$3390,I$1,'United Data'!$C$3:$C$3390,$A985,'United Data'!$B$3:$B$3390,"&lt;&gt;Off-street")&gt;0,1,0)</f>
        <v>1</v>
      </c>
      <c r="J985">
        <f>IF(COUNTIFS('United Data'!$A$3:$A$3390,J$1,'United Data'!$C$3:$C$3390,$A985,'United Data'!$B$3:$B$3390,"&lt;&gt;Off-street")&gt;0,1,0)</f>
        <v>0</v>
      </c>
      <c r="K985">
        <f>IF(COUNTIFS('United Data'!$A$3:$A$3390,K$1,'United Data'!$C$3:$C$3390,$A985,'United Data'!$B$3:$B$3390,"&lt;&gt;Off-street")&gt;0,1,0)</f>
        <v>0</v>
      </c>
      <c r="L985">
        <f>IF(COUNTIFS('United Data'!$A$3:$A$3390,L$1,'United Data'!$C$3:$C$3390,$A985,'United Data'!$B$3:$B$3390,"&lt;&gt;Off-street")&gt;0,1,0)</f>
        <v>0</v>
      </c>
      <c r="M985">
        <f>IF(COUNTIFS('United Data'!$A$3:$A$3390,M$1,'United Data'!$C$3:$C$3390,$A985,'United Data'!$B$3:$B$3390,"&lt;&gt;Off-street")&gt;0,1,0)</f>
        <v>1</v>
      </c>
      <c r="N985">
        <f>IF(COUNTIFS('United Data'!$A$3:$A$3390,N$1,'United Data'!$C$3:$C$3390,$A985,'United Data'!$B$3:$B$3390,"&lt;&gt;Off-street")&gt;0,1,0)</f>
        <v>0</v>
      </c>
      <c r="O985">
        <f>IF(COUNTIFS('United Data'!$A$3:$A$3390,O$1,'United Data'!$C$3:$C$3390,$A985,'United Data'!$B$3:$B$3390,"&lt;&gt;Off-street")&gt;0,1,0)</f>
        <v>0</v>
      </c>
      <c r="P985">
        <f>IF(COUNTIFS('United Data'!$A$3:$A$3390,P$1,'United Data'!$C$3:$C$3390,$A985,'United Data'!$B$3:$B$3390,"&lt;&gt;Off-street")&gt;0,1,0)</f>
        <v>0</v>
      </c>
      <c r="Q985">
        <f>IF(COUNTIFS('United Data'!$A$3:$A$3390,Q$1,'United Data'!$C$3:$C$3390,$A985,'United Data'!$B$3:$B$3390,"&lt;&gt;Off-street")&gt;0,1,0)</f>
        <v>0</v>
      </c>
      <c r="R985">
        <f>IF(COUNTIFS('United Data'!$A$3:$A$3390,R$1,'United Data'!$C$3:$C$3390,$A985,'United Data'!$B$3:$B$3390,"&lt;&gt;Off-street")&gt;0,1,0)</f>
        <v>0</v>
      </c>
      <c r="S985">
        <f t="shared" si="30"/>
        <v>4</v>
      </c>
      <c r="T985">
        <f t="shared" si="31"/>
        <v>2</v>
      </c>
    </row>
    <row r="986" spans="1:20" x14ac:dyDescent="0.2">
      <c r="A986" t="s">
        <v>1188</v>
      </c>
      <c r="B986">
        <f>IF(COUNTIFS('United Data'!$A$3:$A$3390,B$1,'United Data'!$C$3:$C$3390,$A986,'United Data'!$B$3:$B$3390,"&lt;&gt;Off-street")&gt;0,1,0)</f>
        <v>0</v>
      </c>
      <c r="C986">
        <f>IF(COUNTIFS('United Data'!$A$3:$A$3390,C$1,'United Data'!$C$3:$C$3390,$A986,'United Data'!$B$3:$B$3390,"&lt;&gt;Off-street")&gt;0,1,0)</f>
        <v>0</v>
      </c>
      <c r="D986">
        <f>IF(COUNTIFS('United Data'!$A$3:$A$3390,D$1,'United Data'!$C$3:$C$3390,$A986,'United Data'!$B$3:$B$3390,"&lt;&gt;Off-street")&gt;0,1,0)</f>
        <v>0</v>
      </c>
      <c r="E986">
        <f>IF(COUNTIFS('United Data'!$A$3:$A$3390,E$1,'United Data'!$C$3:$C$3390,$A986,'United Data'!$B$3:$B$3390,"&lt;&gt;Off-street")&gt;0,1,0)</f>
        <v>0</v>
      </c>
      <c r="F986">
        <f>IF(COUNTIFS('United Data'!$A$3:$A$3390,F$1,'United Data'!$C$3:$C$3390,$A986,'United Data'!$B$3:$B$3390,"&lt;&gt;Off-street")&gt;0,1,0)</f>
        <v>0</v>
      </c>
      <c r="G986">
        <f>IF(COUNTIFS('United Data'!$A$3:$A$3390,G$1,'United Data'!$C$3:$C$3390,$A986,'United Data'!$B$3:$B$3390,"&lt;&gt;Off-street")&gt;0,1,0)</f>
        <v>1</v>
      </c>
      <c r="H986">
        <f>IF(COUNTIFS('United Data'!$A$3:$A$3390,H$1,'United Data'!$C$3:$C$3390,$A986,'United Data'!$B$3:$B$3390,"&lt;&gt;Off-street")&gt;0,1,0)</f>
        <v>0</v>
      </c>
      <c r="I986">
        <f>IF(COUNTIFS('United Data'!$A$3:$A$3390,I$1,'United Data'!$C$3:$C$3390,$A986,'United Data'!$B$3:$B$3390,"&lt;&gt;Off-street")&gt;0,1,0)</f>
        <v>1</v>
      </c>
      <c r="J986">
        <f>IF(COUNTIFS('United Data'!$A$3:$A$3390,J$1,'United Data'!$C$3:$C$3390,$A986,'United Data'!$B$3:$B$3390,"&lt;&gt;Off-street")&gt;0,1,0)</f>
        <v>0</v>
      </c>
      <c r="K986">
        <f>IF(COUNTIFS('United Data'!$A$3:$A$3390,K$1,'United Data'!$C$3:$C$3390,$A986,'United Data'!$B$3:$B$3390,"&lt;&gt;Off-street")&gt;0,1,0)</f>
        <v>0</v>
      </c>
      <c r="L986">
        <f>IF(COUNTIFS('United Data'!$A$3:$A$3390,L$1,'United Data'!$C$3:$C$3390,$A986,'United Data'!$B$3:$B$3390,"&lt;&gt;Off-street")&gt;0,1,0)</f>
        <v>0</v>
      </c>
      <c r="M986">
        <f>IF(COUNTIFS('United Data'!$A$3:$A$3390,M$1,'United Data'!$C$3:$C$3390,$A986,'United Data'!$B$3:$B$3390,"&lt;&gt;Off-street")&gt;0,1,0)</f>
        <v>0</v>
      </c>
      <c r="N986">
        <f>IF(COUNTIFS('United Data'!$A$3:$A$3390,N$1,'United Data'!$C$3:$C$3390,$A986,'United Data'!$B$3:$B$3390,"&lt;&gt;Off-street")&gt;0,1,0)</f>
        <v>1</v>
      </c>
      <c r="O986">
        <f>IF(COUNTIFS('United Data'!$A$3:$A$3390,O$1,'United Data'!$C$3:$C$3390,$A986,'United Data'!$B$3:$B$3390,"&lt;&gt;Off-street")&gt;0,1,0)</f>
        <v>1</v>
      </c>
      <c r="P986">
        <f>IF(COUNTIFS('United Data'!$A$3:$A$3390,P$1,'United Data'!$C$3:$C$3390,$A986,'United Data'!$B$3:$B$3390,"&lt;&gt;Off-street")&gt;0,1,0)</f>
        <v>0</v>
      </c>
      <c r="Q986">
        <f>IF(COUNTIFS('United Data'!$A$3:$A$3390,Q$1,'United Data'!$C$3:$C$3390,$A986,'United Data'!$B$3:$B$3390,"&lt;&gt;Off-street")&gt;0,1,0)</f>
        <v>0</v>
      </c>
      <c r="R986">
        <f>IF(COUNTIFS('United Data'!$A$3:$A$3390,R$1,'United Data'!$C$3:$C$3390,$A986,'United Data'!$B$3:$B$3390,"&lt;&gt;Off-street")&gt;0,1,0)</f>
        <v>0</v>
      </c>
      <c r="S986">
        <f t="shared" si="30"/>
        <v>4</v>
      </c>
      <c r="T986">
        <f t="shared" si="31"/>
        <v>3</v>
      </c>
    </row>
    <row r="987" spans="1:20" x14ac:dyDescent="0.2">
      <c r="A987" t="s">
        <v>1189</v>
      </c>
      <c r="B987">
        <f>IF(COUNTIFS('United Data'!$A$3:$A$3390,B$1,'United Data'!$C$3:$C$3390,$A987,'United Data'!$B$3:$B$3390,"&lt;&gt;Off-street")&gt;0,1,0)</f>
        <v>0</v>
      </c>
      <c r="C987">
        <f>IF(COUNTIFS('United Data'!$A$3:$A$3390,C$1,'United Data'!$C$3:$C$3390,$A987,'United Data'!$B$3:$B$3390,"&lt;&gt;Off-street")&gt;0,1,0)</f>
        <v>0</v>
      </c>
      <c r="D987">
        <f>IF(COUNTIFS('United Data'!$A$3:$A$3390,D$1,'United Data'!$C$3:$C$3390,$A987,'United Data'!$B$3:$B$3390,"&lt;&gt;Off-street")&gt;0,1,0)</f>
        <v>0</v>
      </c>
      <c r="E987">
        <f>IF(COUNTIFS('United Data'!$A$3:$A$3390,E$1,'United Data'!$C$3:$C$3390,$A987,'United Data'!$B$3:$B$3390,"&lt;&gt;Off-street")&gt;0,1,0)</f>
        <v>0</v>
      </c>
      <c r="F987">
        <f>IF(COUNTIFS('United Data'!$A$3:$A$3390,F$1,'United Data'!$C$3:$C$3390,$A987,'United Data'!$B$3:$B$3390,"&lt;&gt;Off-street")&gt;0,1,0)</f>
        <v>0</v>
      </c>
      <c r="G987">
        <f>IF(COUNTIFS('United Data'!$A$3:$A$3390,G$1,'United Data'!$C$3:$C$3390,$A987,'United Data'!$B$3:$B$3390,"&lt;&gt;Off-street")&gt;0,1,0)</f>
        <v>1</v>
      </c>
      <c r="H987">
        <f>IF(COUNTIFS('United Data'!$A$3:$A$3390,H$1,'United Data'!$C$3:$C$3390,$A987,'United Data'!$B$3:$B$3390,"&lt;&gt;Off-street")&gt;0,1,0)</f>
        <v>0</v>
      </c>
      <c r="I987">
        <f>IF(COUNTIFS('United Data'!$A$3:$A$3390,I$1,'United Data'!$C$3:$C$3390,$A987,'United Data'!$B$3:$B$3390,"&lt;&gt;Off-street")&gt;0,1,0)</f>
        <v>1</v>
      </c>
      <c r="J987">
        <f>IF(COUNTIFS('United Data'!$A$3:$A$3390,J$1,'United Data'!$C$3:$C$3390,$A987,'United Data'!$B$3:$B$3390,"&lt;&gt;Off-street")&gt;0,1,0)</f>
        <v>1</v>
      </c>
      <c r="K987">
        <f>IF(COUNTIFS('United Data'!$A$3:$A$3390,K$1,'United Data'!$C$3:$C$3390,$A987,'United Data'!$B$3:$B$3390,"&lt;&gt;Off-street")&gt;0,1,0)</f>
        <v>0</v>
      </c>
      <c r="L987">
        <f>IF(COUNTIFS('United Data'!$A$3:$A$3390,L$1,'United Data'!$C$3:$C$3390,$A987,'United Data'!$B$3:$B$3390,"&lt;&gt;Off-street")&gt;0,1,0)</f>
        <v>0</v>
      </c>
      <c r="M987">
        <f>IF(COUNTIFS('United Data'!$A$3:$A$3390,M$1,'United Data'!$C$3:$C$3390,$A987,'United Data'!$B$3:$B$3390,"&lt;&gt;Off-street")&gt;0,1,0)</f>
        <v>0</v>
      </c>
      <c r="N987">
        <f>IF(COUNTIFS('United Data'!$A$3:$A$3390,N$1,'United Data'!$C$3:$C$3390,$A987,'United Data'!$B$3:$B$3390,"&lt;&gt;Off-street")&gt;0,1,0)</f>
        <v>1</v>
      </c>
      <c r="O987">
        <f>IF(COUNTIFS('United Data'!$A$3:$A$3390,O$1,'United Data'!$C$3:$C$3390,$A987,'United Data'!$B$3:$B$3390,"&lt;&gt;Off-street")&gt;0,1,0)</f>
        <v>1</v>
      </c>
      <c r="P987">
        <f>IF(COUNTIFS('United Data'!$A$3:$A$3390,P$1,'United Data'!$C$3:$C$3390,$A987,'United Data'!$B$3:$B$3390,"&lt;&gt;Off-street")&gt;0,1,0)</f>
        <v>1</v>
      </c>
      <c r="Q987">
        <f>IF(COUNTIFS('United Data'!$A$3:$A$3390,Q$1,'United Data'!$C$3:$C$3390,$A987,'United Data'!$B$3:$B$3390,"&lt;&gt;Off-street")&gt;0,1,0)</f>
        <v>1</v>
      </c>
      <c r="R987">
        <f>IF(COUNTIFS('United Data'!$A$3:$A$3390,R$1,'United Data'!$C$3:$C$3390,$A987,'United Data'!$B$3:$B$3390,"&lt;&gt;Off-street")&gt;0,1,0)</f>
        <v>0</v>
      </c>
      <c r="S987">
        <f t="shared" si="30"/>
        <v>7</v>
      </c>
      <c r="T987">
        <f t="shared" si="31"/>
        <v>3</v>
      </c>
    </row>
    <row r="988" spans="1:20" x14ac:dyDescent="0.2">
      <c r="A988" t="s">
        <v>1190</v>
      </c>
      <c r="B988">
        <f>IF(COUNTIFS('United Data'!$A$3:$A$3390,B$1,'United Data'!$C$3:$C$3390,$A988,'United Data'!$B$3:$B$3390,"&lt;&gt;Off-street")&gt;0,1,0)</f>
        <v>0</v>
      </c>
      <c r="C988">
        <f>IF(COUNTIFS('United Data'!$A$3:$A$3390,C$1,'United Data'!$C$3:$C$3390,$A988,'United Data'!$B$3:$B$3390,"&lt;&gt;Off-street")&gt;0,1,0)</f>
        <v>0</v>
      </c>
      <c r="D988">
        <f>IF(COUNTIFS('United Data'!$A$3:$A$3390,D$1,'United Data'!$C$3:$C$3390,$A988,'United Data'!$B$3:$B$3390,"&lt;&gt;Off-street")&gt;0,1,0)</f>
        <v>0</v>
      </c>
      <c r="E988">
        <f>IF(COUNTIFS('United Data'!$A$3:$A$3390,E$1,'United Data'!$C$3:$C$3390,$A988,'United Data'!$B$3:$B$3390,"&lt;&gt;Off-street")&gt;0,1,0)</f>
        <v>0</v>
      </c>
      <c r="F988">
        <f>IF(COUNTIFS('United Data'!$A$3:$A$3390,F$1,'United Data'!$C$3:$C$3390,$A988,'United Data'!$B$3:$B$3390,"&lt;&gt;Off-street")&gt;0,1,0)</f>
        <v>0</v>
      </c>
      <c r="G988">
        <f>IF(COUNTIFS('United Data'!$A$3:$A$3390,G$1,'United Data'!$C$3:$C$3390,$A988,'United Data'!$B$3:$B$3390,"&lt;&gt;Off-street")&gt;0,1,0)</f>
        <v>1</v>
      </c>
      <c r="H988">
        <f>IF(COUNTIFS('United Data'!$A$3:$A$3390,H$1,'United Data'!$C$3:$C$3390,$A988,'United Data'!$B$3:$B$3390,"&lt;&gt;Off-street")&gt;0,1,0)</f>
        <v>0</v>
      </c>
      <c r="I988">
        <f>IF(COUNTIFS('United Data'!$A$3:$A$3390,I$1,'United Data'!$C$3:$C$3390,$A988,'United Data'!$B$3:$B$3390,"&lt;&gt;Off-street")&gt;0,1,0)</f>
        <v>0</v>
      </c>
      <c r="J988">
        <f>IF(COUNTIFS('United Data'!$A$3:$A$3390,J$1,'United Data'!$C$3:$C$3390,$A988,'United Data'!$B$3:$B$3390,"&lt;&gt;Off-street")&gt;0,1,0)</f>
        <v>0</v>
      </c>
      <c r="K988">
        <f>IF(COUNTIFS('United Data'!$A$3:$A$3390,K$1,'United Data'!$C$3:$C$3390,$A988,'United Data'!$B$3:$B$3390,"&lt;&gt;Off-street")&gt;0,1,0)</f>
        <v>0</v>
      </c>
      <c r="L988">
        <f>IF(COUNTIFS('United Data'!$A$3:$A$3390,L$1,'United Data'!$C$3:$C$3390,$A988,'United Data'!$B$3:$B$3390,"&lt;&gt;Off-street")&gt;0,1,0)</f>
        <v>0</v>
      </c>
      <c r="M988">
        <f>IF(COUNTIFS('United Data'!$A$3:$A$3390,M$1,'United Data'!$C$3:$C$3390,$A988,'United Data'!$B$3:$B$3390,"&lt;&gt;Off-street")&gt;0,1,0)</f>
        <v>0</v>
      </c>
      <c r="N988">
        <f>IF(COUNTIFS('United Data'!$A$3:$A$3390,N$1,'United Data'!$C$3:$C$3390,$A988,'United Data'!$B$3:$B$3390,"&lt;&gt;Off-street")&gt;0,1,0)</f>
        <v>0</v>
      </c>
      <c r="O988">
        <f>IF(COUNTIFS('United Data'!$A$3:$A$3390,O$1,'United Data'!$C$3:$C$3390,$A988,'United Data'!$B$3:$B$3390,"&lt;&gt;Off-street")&gt;0,1,0)</f>
        <v>0</v>
      </c>
      <c r="P988">
        <f>IF(COUNTIFS('United Data'!$A$3:$A$3390,P$1,'United Data'!$C$3:$C$3390,$A988,'United Data'!$B$3:$B$3390,"&lt;&gt;Off-street")&gt;0,1,0)</f>
        <v>0</v>
      </c>
      <c r="Q988">
        <f>IF(COUNTIFS('United Data'!$A$3:$A$3390,Q$1,'United Data'!$C$3:$C$3390,$A988,'United Data'!$B$3:$B$3390,"&lt;&gt;Off-street")&gt;0,1,0)</f>
        <v>0</v>
      </c>
      <c r="R988">
        <f>IF(COUNTIFS('United Data'!$A$3:$A$3390,R$1,'United Data'!$C$3:$C$3390,$A988,'United Data'!$B$3:$B$3390,"&lt;&gt;Off-street")&gt;0,1,0)</f>
        <v>0</v>
      </c>
      <c r="S988">
        <f t="shared" si="30"/>
        <v>1</v>
      </c>
      <c r="T988">
        <f t="shared" si="31"/>
        <v>1</v>
      </c>
    </row>
    <row r="989" spans="1:20" x14ac:dyDescent="0.2">
      <c r="A989" t="s">
        <v>1191</v>
      </c>
      <c r="B989">
        <f>IF(COUNTIFS('United Data'!$A$3:$A$3390,B$1,'United Data'!$C$3:$C$3390,$A989,'United Data'!$B$3:$B$3390,"&lt;&gt;Off-street")&gt;0,1,0)</f>
        <v>0</v>
      </c>
      <c r="C989">
        <f>IF(COUNTIFS('United Data'!$A$3:$A$3390,C$1,'United Data'!$C$3:$C$3390,$A989,'United Data'!$B$3:$B$3390,"&lt;&gt;Off-street")&gt;0,1,0)</f>
        <v>0</v>
      </c>
      <c r="D989">
        <f>IF(COUNTIFS('United Data'!$A$3:$A$3390,D$1,'United Data'!$C$3:$C$3390,$A989,'United Data'!$B$3:$B$3390,"&lt;&gt;Off-street")&gt;0,1,0)</f>
        <v>0</v>
      </c>
      <c r="E989">
        <f>IF(COUNTIFS('United Data'!$A$3:$A$3390,E$1,'United Data'!$C$3:$C$3390,$A989,'United Data'!$B$3:$B$3390,"&lt;&gt;Off-street")&gt;0,1,0)</f>
        <v>0</v>
      </c>
      <c r="F989">
        <f>IF(COUNTIFS('United Data'!$A$3:$A$3390,F$1,'United Data'!$C$3:$C$3390,$A989,'United Data'!$B$3:$B$3390,"&lt;&gt;Off-street")&gt;0,1,0)</f>
        <v>0</v>
      </c>
      <c r="G989">
        <f>IF(COUNTIFS('United Data'!$A$3:$A$3390,G$1,'United Data'!$C$3:$C$3390,$A989,'United Data'!$B$3:$B$3390,"&lt;&gt;Off-street")&gt;0,1,0)</f>
        <v>1</v>
      </c>
      <c r="H989">
        <f>IF(COUNTIFS('United Data'!$A$3:$A$3390,H$1,'United Data'!$C$3:$C$3390,$A989,'United Data'!$B$3:$B$3390,"&lt;&gt;Off-street")&gt;0,1,0)</f>
        <v>0</v>
      </c>
      <c r="I989">
        <f>IF(COUNTIFS('United Data'!$A$3:$A$3390,I$1,'United Data'!$C$3:$C$3390,$A989,'United Data'!$B$3:$B$3390,"&lt;&gt;Off-street")&gt;0,1,0)</f>
        <v>0</v>
      </c>
      <c r="J989">
        <f>IF(COUNTIFS('United Data'!$A$3:$A$3390,J$1,'United Data'!$C$3:$C$3390,$A989,'United Data'!$B$3:$B$3390,"&lt;&gt;Off-street")&gt;0,1,0)</f>
        <v>0</v>
      </c>
      <c r="K989">
        <f>IF(COUNTIFS('United Data'!$A$3:$A$3390,K$1,'United Data'!$C$3:$C$3390,$A989,'United Data'!$B$3:$B$3390,"&lt;&gt;Off-street")&gt;0,1,0)</f>
        <v>0</v>
      </c>
      <c r="L989">
        <f>IF(COUNTIFS('United Data'!$A$3:$A$3390,L$1,'United Data'!$C$3:$C$3390,$A989,'United Data'!$B$3:$B$3390,"&lt;&gt;Off-street")&gt;0,1,0)</f>
        <v>0</v>
      </c>
      <c r="M989">
        <f>IF(COUNTIFS('United Data'!$A$3:$A$3390,M$1,'United Data'!$C$3:$C$3390,$A989,'United Data'!$B$3:$B$3390,"&lt;&gt;Off-street")&gt;0,1,0)</f>
        <v>0</v>
      </c>
      <c r="N989">
        <f>IF(COUNTIFS('United Data'!$A$3:$A$3390,N$1,'United Data'!$C$3:$C$3390,$A989,'United Data'!$B$3:$B$3390,"&lt;&gt;Off-street")&gt;0,1,0)</f>
        <v>0</v>
      </c>
      <c r="O989">
        <f>IF(COUNTIFS('United Data'!$A$3:$A$3390,O$1,'United Data'!$C$3:$C$3390,$A989,'United Data'!$B$3:$B$3390,"&lt;&gt;Off-street")&gt;0,1,0)</f>
        <v>0</v>
      </c>
      <c r="P989">
        <f>IF(COUNTIFS('United Data'!$A$3:$A$3390,P$1,'United Data'!$C$3:$C$3390,$A989,'United Data'!$B$3:$B$3390,"&lt;&gt;Off-street")&gt;0,1,0)</f>
        <v>0</v>
      </c>
      <c r="Q989">
        <f>IF(COUNTIFS('United Data'!$A$3:$A$3390,Q$1,'United Data'!$C$3:$C$3390,$A989,'United Data'!$B$3:$B$3390,"&lt;&gt;Off-street")&gt;0,1,0)</f>
        <v>0</v>
      </c>
      <c r="R989">
        <f>IF(COUNTIFS('United Data'!$A$3:$A$3390,R$1,'United Data'!$C$3:$C$3390,$A989,'United Data'!$B$3:$B$3390,"&lt;&gt;Off-street")&gt;0,1,0)</f>
        <v>0</v>
      </c>
      <c r="S989">
        <f t="shared" si="30"/>
        <v>1</v>
      </c>
      <c r="T989">
        <f t="shared" si="31"/>
        <v>1</v>
      </c>
    </row>
    <row r="990" spans="1:20" x14ac:dyDescent="0.2">
      <c r="A990" t="s">
        <v>1192</v>
      </c>
      <c r="B990">
        <f>IF(COUNTIFS('United Data'!$A$3:$A$3390,B$1,'United Data'!$C$3:$C$3390,$A990,'United Data'!$B$3:$B$3390,"&lt;&gt;Off-street")&gt;0,1,0)</f>
        <v>0</v>
      </c>
      <c r="C990">
        <f>IF(COUNTIFS('United Data'!$A$3:$A$3390,C$1,'United Data'!$C$3:$C$3390,$A990,'United Data'!$B$3:$B$3390,"&lt;&gt;Off-street")&gt;0,1,0)</f>
        <v>0</v>
      </c>
      <c r="D990">
        <f>IF(COUNTIFS('United Data'!$A$3:$A$3390,D$1,'United Data'!$C$3:$C$3390,$A990,'United Data'!$B$3:$B$3390,"&lt;&gt;Off-street")&gt;0,1,0)</f>
        <v>0</v>
      </c>
      <c r="E990">
        <f>IF(COUNTIFS('United Data'!$A$3:$A$3390,E$1,'United Data'!$C$3:$C$3390,$A990,'United Data'!$B$3:$B$3390,"&lt;&gt;Off-street")&gt;0,1,0)</f>
        <v>0</v>
      </c>
      <c r="F990">
        <f>IF(COUNTIFS('United Data'!$A$3:$A$3390,F$1,'United Data'!$C$3:$C$3390,$A990,'United Data'!$B$3:$B$3390,"&lt;&gt;Off-street")&gt;0,1,0)</f>
        <v>0</v>
      </c>
      <c r="G990">
        <f>IF(COUNTIFS('United Data'!$A$3:$A$3390,G$1,'United Data'!$C$3:$C$3390,$A990,'United Data'!$B$3:$B$3390,"&lt;&gt;Off-street")&gt;0,1,0)</f>
        <v>1</v>
      </c>
      <c r="H990">
        <f>IF(COUNTIFS('United Data'!$A$3:$A$3390,H$1,'United Data'!$C$3:$C$3390,$A990,'United Data'!$B$3:$B$3390,"&lt;&gt;Off-street")&gt;0,1,0)</f>
        <v>0</v>
      </c>
      <c r="I990">
        <f>IF(COUNTIFS('United Data'!$A$3:$A$3390,I$1,'United Data'!$C$3:$C$3390,$A990,'United Data'!$B$3:$B$3390,"&lt;&gt;Off-street")&gt;0,1,0)</f>
        <v>0</v>
      </c>
      <c r="J990">
        <f>IF(COUNTIFS('United Data'!$A$3:$A$3390,J$1,'United Data'!$C$3:$C$3390,$A990,'United Data'!$B$3:$B$3390,"&lt;&gt;Off-street")&gt;0,1,0)</f>
        <v>0</v>
      </c>
      <c r="K990">
        <f>IF(COUNTIFS('United Data'!$A$3:$A$3390,K$1,'United Data'!$C$3:$C$3390,$A990,'United Data'!$B$3:$B$3390,"&lt;&gt;Off-street")&gt;0,1,0)</f>
        <v>0</v>
      </c>
      <c r="L990">
        <f>IF(COUNTIFS('United Data'!$A$3:$A$3390,L$1,'United Data'!$C$3:$C$3390,$A990,'United Data'!$B$3:$B$3390,"&lt;&gt;Off-street")&gt;0,1,0)</f>
        <v>0</v>
      </c>
      <c r="M990">
        <f>IF(COUNTIFS('United Data'!$A$3:$A$3390,M$1,'United Data'!$C$3:$C$3390,$A990,'United Data'!$B$3:$B$3390,"&lt;&gt;Off-street")&gt;0,1,0)</f>
        <v>0</v>
      </c>
      <c r="N990">
        <f>IF(COUNTIFS('United Data'!$A$3:$A$3390,N$1,'United Data'!$C$3:$C$3390,$A990,'United Data'!$B$3:$B$3390,"&lt;&gt;Off-street")&gt;0,1,0)</f>
        <v>0</v>
      </c>
      <c r="O990">
        <f>IF(COUNTIFS('United Data'!$A$3:$A$3390,O$1,'United Data'!$C$3:$C$3390,$A990,'United Data'!$B$3:$B$3390,"&lt;&gt;Off-street")&gt;0,1,0)</f>
        <v>0</v>
      </c>
      <c r="P990">
        <f>IF(COUNTIFS('United Data'!$A$3:$A$3390,P$1,'United Data'!$C$3:$C$3390,$A990,'United Data'!$B$3:$B$3390,"&lt;&gt;Off-street")&gt;0,1,0)</f>
        <v>0</v>
      </c>
      <c r="Q990">
        <f>IF(COUNTIFS('United Data'!$A$3:$A$3390,Q$1,'United Data'!$C$3:$C$3390,$A990,'United Data'!$B$3:$B$3390,"&lt;&gt;Off-street")&gt;0,1,0)</f>
        <v>0</v>
      </c>
      <c r="R990">
        <f>IF(COUNTIFS('United Data'!$A$3:$A$3390,R$1,'United Data'!$C$3:$C$3390,$A990,'United Data'!$B$3:$B$3390,"&lt;&gt;Off-street")&gt;0,1,0)</f>
        <v>0</v>
      </c>
      <c r="S990">
        <f t="shared" si="30"/>
        <v>1</v>
      </c>
      <c r="T990">
        <f t="shared" si="31"/>
        <v>1</v>
      </c>
    </row>
    <row r="991" spans="1:20" x14ac:dyDescent="0.2">
      <c r="A991" t="s">
        <v>1193</v>
      </c>
      <c r="B991">
        <f>IF(COUNTIFS('United Data'!$A$3:$A$3390,B$1,'United Data'!$C$3:$C$3390,$A991,'United Data'!$B$3:$B$3390,"&lt;&gt;Off-street")&gt;0,1,0)</f>
        <v>0</v>
      </c>
      <c r="C991">
        <f>IF(COUNTIFS('United Data'!$A$3:$A$3390,C$1,'United Data'!$C$3:$C$3390,$A991,'United Data'!$B$3:$B$3390,"&lt;&gt;Off-street")&gt;0,1,0)</f>
        <v>0</v>
      </c>
      <c r="D991">
        <f>IF(COUNTIFS('United Data'!$A$3:$A$3390,D$1,'United Data'!$C$3:$C$3390,$A991,'United Data'!$B$3:$B$3390,"&lt;&gt;Off-street")&gt;0,1,0)</f>
        <v>0</v>
      </c>
      <c r="E991">
        <f>IF(COUNTIFS('United Data'!$A$3:$A$3390,E$1,'United Data'!$C$3:$C$3390,$A991,'United Data'!$B$3:$B$3390,"&lt;&gt;Off-street")&gt;0,1,0)</f>
        <v>0</v>
      </c>
      <c r="F991">
        <f>IF(COUNTIFS('United Data'!$A$3:$A$3390,F$1,'United Data'!$C$3:$C$3390,$A991,'United Data'!$B$3:$B$3390,"&lt;&gt;Off-street")&gt;0,1,0)</f>
        <v>0</v>
      </c>
      <c r="G991">
        <f>IF(COUNTIFS('United Data'!$A$3:$A$3390,G$1,'United Data'!$C$3:$C$3390,$A991,'United Data'!$B$3:$B$3390,"&lt;&gt;Off-street")&gt;0,1,0)</f>
        <v>1</v>
      </c>
      <c r="H991">
        <f>IF(COUNTIFS('United Data'!$A$3:$A$3390,H$1,'United Data'!$C$3:$C$3390,$A991,'United Data'!$B$3:$B$3390,"&lt;&gt;Off-street")&gt;0,1,0)</f>
        <v>0</v>
      </c>
      <c r="I991">
        <f>IF(COUNTIFS('United Data'!$A$3:$A$3390,I$1,'United Data'!$C$3:$C$3390,$A991,'United Data'!$B$3:$B$3390,"&lt;&gt;Off-street")&gt;0,1,0)</f>
        <v>0</v>
      </c>
      <c r="J991">
        <f>IF(COUNTIFS('United Data'!$A$3:$A$3390,J$1,'United Data'!$C$3:$C$3390,$A991,'United Data'!$B$3:$B$3390,"&lt;&gt;Off-street")&gt;0,1,0)</f>
        <v>0</v>
      </c>
      <c r="K991">
        <f>IF(COUNTIFS('United Data'!$A$3:$A$3390,K$1,'United Data'!$C$3:$C$3390,$A991,'United Data'!$B$3:$B$3390,"&lt;&gt;Off-street")&gt;0,1,0)</f>
        <v>0</v>
      </c>
      <c r="L991">
        <f>IF(COUNTIFS('United Data'!$A$3:$A$3390,L$1,'United Data'!$C$3:$C$3390,$A991,'United Data'!$B$3:$B$3390,"&lt;&gt;Off-street")&gt;0,1,0)</f>
        <v>0</v>
      </c>
      <c r="M991">
        <f>IF(COUNTIFS('United Data'!$A$3:$A$3390,M$1,'United Data'!$C$3:$C$3390,$A991,'United Data'!$B$3:$B$3390,"&lt;&gt;Off-street")&gt;0,1,0)</f>
        <v>0</v>
      </c>
      <c r="N991">
        <f>IF(COUNTIFS('United Data'!$A$3:$A$3390,N$1,'United Data'!$C$3:$C$3390,$A991,'United Data'!$B$3:$B$3390,"&lt;&gt;Off-street")&gt;0,1,0)</f>
        <v>0</v>
      </c>
      <c r="O991">
        <f>IF(COUNTIFS('United Data'!$A$3:$A$3390,O$1,'United Data'!$C$3:$C$3390,$A991,'United Data'!$B$3:$B$3390,"&lt;&gt;Off-street")&gt;0,1,0)</f>
        <v>0</v>
      </c>
      <c r="P991">
        <f>IF(COUNTIFS('United Data'!$A$3:$A$3390,P$1,'United Data'!$C$3:$C$3390,$A991,'United Data'!$B$3:$B$3390,"&lt;&gt;Off-street")&gt;0,1,0)</f>
        <v>0</v>
      </c>
      <c r="Q991">
        <f>IF(COUNTIFS('United Data'!$A$3:$A$3390,Q$1,'United Data'!$C$3:$C$3390,$A991,'United Data'!$B$3:$B$3390,"&lt;&gt;Off-street")&gt;0,1,0)</f>
        <v>0</v>
      </c>
      <c r="R991">
        <f>IF(COUNTIFS('United Data'!$A$3:$A$3390,R$1,'United Data'!$C$3:$C$3390,$A991,'United Data'!$B$3:$B$3390,"&lt;&gt;Off-street")&gt;0,1,0)</f>
        <v>0</v>
      </c>
      <c r="S991">
        <f t="shared" si="30"/>
        <v>1</v>
      </c>
      <c r="T991">
        <f t="shared" si="31"/>
        <v>1</v>
      </c>
    </row>
    <row r="992" spans="1:20" x14ac:dyDescent="0.2">
      <c r="A992" t="s">
        <v>1194</v>
      </c>
      <c r="B992">
        <f>IF(COUNTIFS('United Data'!$A$3:$A$3390,B$1,'United Data'!$C$3:$C$3390,$A992,'United Data'!$B$3:$B$3390,"&lt;&gt;Off-street")&gt;0,1,0)</f>
        <v>0</v>
      </c>
      <c r="C992">
        <f>IF(COUNTIFS('United Data'!$A$3:$A$3390,C$1,'United Data'!$C$3:$C$3390,$A992,'United Data'!$B$3:$B$3390,"&lt;&gt;Off-street")&gt;0,1,0)</f>
        <v>0</v>
      </c>
      <c r="D992">
        <f>IF(COUNTIFS('United Data'!$A$3:$A$3390,D$1,'United Data'!$C$3:$C$3390,$A992,'United Data'!$B$3:$B$3390,"&lt;&gt;Off-street")&gt;0,1,0)</f>
        <v>0</v>
      </c>
      <c r="E992">
        <f>IF(COUNTIFS('United Data'!$A$3:$A$3390,E$1,'United Data'!$C$3:$C$3390,$A992,'United Data'!$B$3:$B$3390,"&lt;&gt;Off-street")&gt;0,1,0)</f>
        <v>0</v>
      </c>
      <c r="F992">
        <f>IF(COUNTIFS('United Data'!$A$3:$A$3390,F$1,'United Data'!$C$3:$C$3390,$A992,'United Data'!$B$3:$B$3390,"&lt;&gt;Off-street")&gt;0,1,0)</f>
        <v>0</v>
      </c>
      <c r="G992">
        <f>IF(COUNTIFS('United Data'!$A$3:$A$3390,G$1,'United Data'!$C$3:$C$3390,$A992,'United Data'!$B$3:$B$3390,"&lt;&gt;Off-street")&gt;0,1,0)</f>
        <v>1</v>
      </c>
      <c r="H992">
        <f>IF(COUNTIFS('United Data'!$A$3:$A$3390,H$1,'United Data'!$C$3:$C$3390,$A992,'United Data'!$B$3:$B$3390,"&lt;&gt;Off-street")&gt;0,1,0)</f>
        <v>0</v>
      </c>
      <c r="I992">
        <f>IF(COUNTIFS('United Data'!$A$3:$A$3390,I$1,'United Data'!$C$3:$C$3390,$A992,'United Data'!$B$3:$B$3390,"&lt;&gt;Off-street")&gt;0,1,0)</f>
        <v>0</v>
      </c>
      <c r="J992">
        <f>IF(COUNTIFS('United Data'!$A$3:$A$3390,J$1,'United Data'!$C$3:$C$3390,$A992,'United Data'!$B$3:$B$3390,"&lt;&gt;Off-street")&gt;0,1,0)</f>
        <v>0</v>
      </c>
      <c r="K992">
        <f>IF(COUNTIFS('United Data'!$A$3:$A$3390,K$1,'United Data'!$C$3:$C$3390,$A992,'United Data'!$B$3:$B$3390,"&lt;&gt;Off-street")&gt;0,1,0)</f>
        <v>0</v>
      </c>
      <c r="L992">
        <f>IF(COUNTIFS('United Data'!$A$3:$A$3390,L$1,'United Data'!$C$3:$C$3390,$A992,'United Data'!$B$3:$B$3390,"&lt;&gt;Off-street")&gt;0,1,0)</f>
        <v>0</v>
      </c>
      <c r="M992">
        <f>IF(COUNTIFS('United Data'!$A$3:$A$3390,M$1,'United Data'!$C$3:$C$3390,$A992,'United Data'!$B$3:$B$3390,"&lt;&gt;Off-street")&gt;0,1,0)</f>
        <v>0</v>
      </c>
      <c r="N992">
        <f>IF(COUNTIFS('United Data'!$A$3:$A$3390,N$1,'United Data'!$C$3:$C$3390,$A992,'United Data'!$B$3:$B$3390,"&lt;&gt;Off-street")&gt;0,1,0)</f>
        <v>0</v>
      </c>
      <c r="O992">
        <f>IF(COUNTIFS('United Data'!$A$3:$A$3390,O$1,'United Data'!$C$3:$C$3390,$A992,'United Data'!$B$3:$B$3390,"&lt;&gt;Off-street")&gt;0,1,0)</f>
        <v>0</v>
      </c>
      <c r="P992">
        <f>IF(COUNTIFS('United Data'!$A$3:$A$3390,P$1,'United Data'!$C$3:$C$3390,$A992,'United Data'!$B$3:$B$3390,"&lt;&gt;Off-street")&gt;0,1,0)</f>
        <v>0</v>
      </c>
      <c r="Q992">
        <f>IF(COUNTIFS('United Data'!$A$3:$A$3390,Q$1,'United Data'!$C$3:$C$3390,$A992,'United Data'!$B$3:$B$3390,"&lt;&gt;Off-street")&gt;0,1,0)</f>
        <v>0</v>
      </c>
      <c r="R992">
        <f>IF(COUNTIFS('United Data'!$A$3:$A$3390,R$1,'United Data'!$C$3:$C$3390,$A992,'United Data'!$B$3:$B$3390,"&lt;&gt;Off-street")&gt;0,1,0)</f>
        <v>0</v>
      </c>
      <c r="S992">
        <f t="shared" si="30"/>
        <v>1</v>
      </c>
      <c r="T992">
        <f t="shared" si="31"/>
        <v>1</v>
      </c>
    </row>
    <row r="993" spans="1:20" x14ac:dyDescent="0.2">
      <c r="A993" t="s">
        <v>1195</v>
      </c>
      <c r="B993">
        <f>IF(COUNTIFS('United Data'!$A$3:$A$3390,B$1,'United Data'!$C$3:$C$3390,$A993,'United Data'!$B$3:$B$3390,"&lt;&gt;Off-street")&gt;0,1,0)</f>
        <v>0</v>
      </c>
      <c r="C993">
        <f>IF(COUNTIFS('United Data'!$A$3:$A$3390,C$1,'United Data'!$C$3:$C$3390,$A993,'United Data'!$B$3:$B$3390,"&lt;&gt;Off-street")&gt;0,1,0)</f>
        <v>0</v>
      </c>
      <c r="D993">
        <f>IF(COUNTIFS('United Data'!$A$3:$A$3390,D$1,'United Data'!$C$3:$C$3390,$A993,'United Data'!$B$3:$B$3390,"&lt;&gt;Off-street")&gt;0,1,0)</f>
        <v>0</v>
      </c>
      <c r="E993">
        <f>IF(COUNTIFS('United Data'!$A$3:$A$3390,E$1,'United Data'!$C$3:$C$3390,$A993,'United Data'!$B$3:$B$3390,"&lt;&gt;Off-street")&gt;0,1,0)</f>
        <v>0</v>
      </c>
      <c r="F993">
        <f>IF(COUNTIFS('United Data'!$A$3:$A$3390,F$1,'United Data'!$C$3:$C$3390,$A993,'United Data'!$B$3:$B$3390,"&lt;&gt;Off-street")&gt;0,1,0)</f>
        <v>0</v>
      </c>
      <c r="G993">
        <f>IF(COUNTIFS('United Data'!$A$3:$A$3390,G$1,'United Data'!$C$3:$C$3390,$A993,'United Data'!$B$3:$B$3390,"&lt;&gt;Off-street")&gt;0,1,0)</f>
        <v>1</v>
      </c>
      <c r="H993">
        <f>IF(COUNTIFS('United Data'!$A$3:$A$3390,H$1,'United Data'!$C$3:$C$3390,$A993,'United Data'!$B$3:$B$3390,"&lt;&gt;Off-street")&gt;0,1,0)</f>
        <v>0</v>
      </c>
      <c r="I993">
        <f>IF(COUNTIFS('United Data'!$A$3:$A$3390,I$1,'United Data'!$C$3:$C$3390,$A993,'United Data'!$B$3:$B$3390,"&lt;&gt;Off-street")&gt;0,1,0)</f>
        <v>0</v>
      </c>
      <c r="J993">
        <f>IF(COUNTIFS('United Data'!$A$3:$A$3390,J$1,'United Data'!$C$3:$C$3390,$A993,'United Data'!$B$3:$B$3390,"&lt;&gt;Off-street")&gt;0,1,0)</f>
        <v>0</v>
      </c>
      <c r="K993">
        <f>IF(COUNTIFS('United Data'!$A$3:$A$3390,K$1,'United Data'!$C$3:$C$3390,$A993,'United Data'!$B$3:$B$3390,"&lt;&gt;Off-street")&gt;0,1,0)</f>
        <v>0</v>
      </c>
      <c r="L993">
        <f>IF(COUNTIFS('United Data'!$A$3:$A$3390,L$1,'United Data'!$C$3:$C$3390,$A993,'United Data'!$B$3:$B$3390,"&lt;&gt;Off-street")&gt;0,1,0)</f>
        <v>0</v>
      </c>
      <c r="M993">
        <f>IF(COUNTIFS('United Data'!$A$3:$A$3390,M$1,'United Data'!$C$3:$C$3390,$A993,'United Data'!$B$3:$B$3390,"&lt;&gt;Off-street")&gt;0,1,0)</f>
        <v>0</v>
      </c>
      <c r="N993">
        <f>IF(COUNTIFS('United Data'!$A$3:$A$3390,N$1,'United Data'!$C$3:$C$3390,$A993,'United Data'!$B$3:$B$3390,"&lt;&gt;Off-street")&gt;0,1,0)</f>
        <v>0</v>
      </c>
      <c r="O993">
        <f>IF(COUNTIFS('United Data'!$A$3:$A$3390,O$1,'United Data'!$C$3:$C$3390,$A993,'United Data'!$B$3:$B$3390,"&lt;&gt;Off-street")&gt;0,1,0)</f>
        <v>0</v>
      </c>
      <c r="P993">
        <f>IF(COUNTIFS('United Data'!$A$3:$A$3390,P$1,'United Data'!$C$3:$C$3390,$A993,'United Data'!$B$3:$B$3390,"&lt;&gt;Off-street")&gt;0,1,0)</f>
        <v>0</v>
      </c>
      <c r="Q993">
        <f>IF(COUNTIFS('United Data'!$A$3:$A$3390,Q$1,'United Data'!$C$3:$C$3390,$A993,'United Data'!$B$3:$B$3390,"&lt;&gt;Off-street")&gt;0,1,0)</f>
        <v>0</v>
      </c>
      <c r="R993">
        <f>IF(COUNTIFS('United Data'!$A$3:$A$3390,R$1,'United Data'!$C$3:$C$3390,$A993,'United Data'!$B$3:$B$3390,"&lt;&gt;Off-street")&gt;0,1,0)</f>
        <v>0</v>
      </c>
      <c r="S993">
        <f t="shared" si="30"/>
        <v>1</v>
      </c>
      <c r="T993">
        <f t="shared" si="31"/>
        <v>1</v>
      </c>
    </row>
    <row r="994" spans="1:20" x14ac:dyDescent="0.2">
      <c r="A994" t="s">
        <v>1196</v>
      </c>
      <c r="B994">
        <f>IF(COUNTIFS('United Data'!$A$3:$A$3390,B$1,'United Data'!$C$3:$C$3390,$A994,'United Data'!$B$3:$B$3390,"&lt;&gt;Off-street")&gt;0,1,0)</f>
        <v>0</v>
      </c>
      <c r="C994">
        <f>IF(COUNTIFS('United Data'!$A$3:$A$3390,C$1,'United Data'!$C$3:$C$3390,$A994,'United Data'!$B$3:$B$3390,"&lt;&gt;Off-street")&gt;0,1,0)</f>
        <v>0</v>
      </c>
      <c r="D994">
        <f>IF(COUNTIFS('United Data'!$A$3:$A$3390,D$1,'United Data'!$C$3:$C$3390,$A994,'United Data'!$B$3:$B$3390,"&lt;&gt;Off-street")&gt;0,1,0)</f>
        <v>0</v>
      </c>
      <c r="E994">
        <f>IF(COUNTIFS('United Data'!$A$3:$A$3390,E$1,'United Data'!$C$3:$C$3390,$A994,'United Data'!$B$3:$B$3390,"&lt;&gt;Off-street")&gt;0,1,0)</f>
        <v>0</v>
      </c>
      <c r="F994">
        <f>IF(COUNTIFS('United Data'!$A$3:$A$3390,F$1,'United Data'!$C$3:$C$3390,$A994,'United Data'!$B$3:$B$3390,"&lt;&gt;Off-street")&gt;0,1,0)</f>
        <v>0</v>
      </c>
      <c r="G994">
        <f>IF(COUNTIFS('United Data'!$A$3:$A$3390,G$1,'United Data'!$C$3:$C$3390,$A994,'United Data'!$B$3:$B$3390,"&lt;&gt;Off-street")&gt;0,1,0)</f>
        <v>1</v>
      </c>
      <c r="H994">
        <f>IF(COUNTIFS('United Data'!$A$3:$A$3390,H$1,'United Data'!$C$3:$C$3390,$A994,'United Data'!$B$3:$B$3390,"&lt;&gt;Off-street")&gt;0,1,0)</f>
        <v>0</v>
      </c>
      <c r="I994">
        <f>IF(COUNTIFS('United Data'!$A$3:$A$3390,I$1,'United Data'!$C$3:$C$3390,$A994,'United Data'!$B$3:$B$3390,"&lt;&gt;Off-street")&gt;0,1,0)</f>
        <v>0</v>
      </c>
      <c r="J994">
        <f>IF(COUNTIFS('United Data'!$A$3:$A$3390,J$1,'United Data'!$C$3:$C$3390,$A994,'United Data'!$B$3:$B$3390,"&lt;&gt;Off-street")&gt;0,1,0)</f>
        <v>0</v>
      </c>
      <c r="K994">
        <f>IF(COUNTIFS('United Data'!$A$3:$A$3390,K$1,'United Data'!$C$3:$C$3390,$A994,'United Data'!$B$3:$B$3390,"&lt;&gt;Off-street")&gt;0,1,0)</f>
        <v>0</v>
      </c>
      <c r="L994">
        <f>IF(COUNTIFS('United Data'!$A$3:$A$3390,L$1,'United Data'!$C$3:$C$3390,$A994,'United Data'!$B$3:$B$3390,"&lt;&gt;Off-street")&gt;0,1,0)</f>
        <v>0</v>
      </c>
      <c r="M994">
        <f>IF(COUNTIFS('United Data'!$A$3:$A$3390,M$1,'United Data'!$C$3:$C$3390,$A994,'United Data'!$B$3:$B$3390,"&lt;&gt;Off-street")&gt;0,1,0)</f>
        <v>0</v>
      </c>
      <c r="N994">
        <f>IF(COUNTIFS('United Data'!$A$3:$A$3390,N$1,'United Data'!$C$3:$C$3390,$A994,'United Data'!$B$3:$B$3390,"&lt;&gt;Off-street")&gt;0,1,0)</f>
        <v>0</v>
      </c>
      <c r="O994">
        <f>IF(COUNTIFS('United Data'!$A$3:$A$3390,O$1,'United Data'!$C$3:$C$3390,$A994,'United Data'!$B$3:$B$3390,"&lt;&gt;Off-street")&gt;0,1,0)</f>
        <v>0</v>
      </c>
      <c r="P994">
        <f>IF(COUNTIFS('United Data'!$A$3:$A$3390,P$1,'United Data'!$C$3:$C$3390,$A994,'United Data'!$B$3:$B$3390,"&lt;&gt;Off-street")&gt;0,1,0)</f>
        <v>0</v>
      </c>
      <c r="Q994">
        <f>IF(COUNTIFS('United Data'!$A$3:$A$3390,Q$1,'United Data'!$C$3:$C$3390,$A994,'United Data'!$B$3:$B$3390,"&lt;&gt;Off-street")&gt;0,1,0)</f>
        <v>0</v>
      </c>
      <c r="R994">
        <f>IF(COUNTIFS('United Data'!$A$3:$A$3390,R$1,'United Data'!$C$3:$C$3390,$A994,'United Data'!$B$3:$B$3390,"&lt;&gt;Off-street")&gt;0,1,0)</f>
        <v>0</v>
      </c>
      <c r="S994">
        <f t="shared" si="30"/>
        <v>1</v>
      </c>
      <c r="T994">
        <f t="shared" si="31"/>
        <v>1</v>
      </c>
    </row>
    <row r="995" spans="1:20" x14ac:dyDescent="0.2">
      <c r="A995" t="s">
        <v>1197</v>
      </c>
      <c r="B995">
        <f>IF(COUNTIFS('United Data'!$A$3:$A$3390,B$1,'United Data'!$C$3:$C$3390,$A995,'United Data'!$B$3:$B$3390,"&lt;&gt;Off-street")&gt;0,1,0)</f>
        <v>0</v>
      </c>
      <c r="C995">
        <f>IF(COUNTIFS('United Data'!$A$3:$A$3390,C$1,'United Data'!$C$3:$C$3390,$A995,'United Data'!$B$3:$B$3390,"&lt;&gt;Off-street")&gt;0,1,0)</f>
        <v>0</v>
      </c>
      <c r="D995">
        <f>IF(COUNTIFS('United Data'!$A$3:$A$3390,D$1,'United Data'!$C$3:$C$3390,$A995,'United Data'!$B$3:$B$3390,"&lt;&gt;Off-street")&gt;0,1,0)</f>
        <v>0</v>
      </c>
      <c r="E995">
        <f>IF(COUNTIFS('United Data'!$A$3:$A$3390,E$1,'United Data'!$C$3:$C$3390,$A995,'United Data'!$B$3:$B$3390,"&lt;&gt;Off-street")&gt;0,1,0)</f>
        <v>0</v>
      </c>
      <c r="F995">
        <f>IF(COUNTIFS('United Data'!$A$3:$A$3390,F$1,'United Data'!$C$3:$C$3390,$A995,'United Data'!$B$3:$B$3390,"&lt;&gt;Off-street")&gt;0,1,0)</f>
        <v>0</v>
      </c>
      <c r="G995">
        <f>IF(COUNTIFS('United Data'!$A$3:$A$3390,G$1,'United Data'!$C$3:$C$3390,$A995,'United Data'!$B$3:$B$3390,"&lt;&gt;Off-street")&gt;0,1,0)</f>
        <v>1</v>
      </c>
      <c r="H995">
        <f>IF(COUNTIFS('United Data'!$A$3:$A$3390,H$1,'United Data'!$C$3:$C$3390,$A995,'United Data'!$B$3:$B$3390,"&lt;&gt;Off-street")&gt;0,1,0)</f>
        <v>0</v>
      </c>
      <c r="I995">
        <f>IF(COUNTIFS('United Data'!$A$3:$A$3390,I$1,'United Data'!$C$3:$C$3390,$A995,'United Data'!$B$3:$B$3390,"&lt;&gt;Off-street")&gt;0,1,0)</f>
        <v>0</v>
      </c>
      <c r="J995">
        <f>IF(COUNTIFS('United Data'!$A$3:$A$3390,J$1,'United Data'!$C$3:$C$3390,$A995,'United Data'!$B$3:$B$3390,"&lt;&gt;Off-street")&gt;0,1,0)</f>
        <v>0</v>
      </c>
      <c r="K995">
        <f>IF(COUNTIFS('United Data'!$A$3:$A$3390,K$1,'United Data'!$C$3:$C$3390,$A995,'United Data'!$B$3:$B$3390,"&lt;&gt;Off-street")&gt;0,1,0)</f>
        <v>0</v>
      </c>
      <c r="L995">
        <f>IF(COUNTIFS('United Data'!$A$3:$A$3390,L$1,'United Data'!$C$3:$C$3390,$A995,'United Data'!$B$3:$B$3390,"&lt;&gt;Off-street")&gt;0,1,0)</f>
        <v>0</v>
      </c>
      <c r="M995">
        <f>IF(COUNTIFS('United Data'!$A$3:$A$3390,M$1,'United Data'!$C$3:$C$3390,$A995,'United Data'!$B$3:$B$3390,"&lt;&gt;Off-street")&gt;0,1,0)</f>
        <v>0</v>
      </c>
      <c r="N995">
        <f>IF(COUNTIFS('United Data'!$A$3:$A$3390,N$1,'United Data'!$C$3:$C$3390,$A995,'United Data'!$B$3:$B$3390,"&lt;&gt;Off-street")&gt;0,1,0)</f>
        <v>0</v>
      </c>
      <c r="O995">
        <f>IF(COUNTIFS('United Data'!$A$3:$A$3390,O$1,'United Data'!$C$3:$C$3390,$A995,'United Data'!$B$3:$B$3390,"&lt;&gt;Off-street")&gt;0,1,0)</f>
        <v>0</v>
      </c>
      <c r="P995">
        <f>IF(COUNTIFS('United Data'!$A$3:$A$3390,P$1,'United Data'!$C$3:$C$3390,$A995,'United Data'!$B$3:$B$3390,"&lt;&gt;Off-street")&gt;0,1,0)</f>
        <v>0</v>
      </c>
      <c r="Q995">
        <f>IF(COUNTIFS('United Data'!$A$3:$A$3390,Q$1,'United Data'!$C$3:$C$3390,$A995,'United Data'!$B$3:$B$3390,"&lt;&gt;Off-street")&gt;0,1,0)</f>
        <v>0</v>
      </c>
      <c r="R995">
        <f>IF(COUNTIFS('United Data'!$A$3:$A$3390,R$1,'United Data'!$C$3:$C$3390,$A995,'United Data'!$B$3:$B$3390,"&lt;&gt;Off-street")&gt;0,1,0)</f>
        <v>0</v>
      </c>
      <c r="S995">
        <f t="shared" si="30"/>
        <v>1</v>
      </c>
      <c r="T995">
        <f t="shared" si="31"/>
        <v>1</v>
      </c>
    </row>
    <row r="996" spans="1:20" x14ac:dyDescent="0.2">
      <c r="A996" t="s">
        <v>1198</v>
      </c>
      <c r="B996">
        <f>IF(COUNTIFS('United Data'!$A$3:$A$3390,B$1,'United Data'!$C$3:$C$3390,$A996,'United Data'!$B$3:$B$3390,"&lt;&gt;Off-street")&gt;0,1,0)</f>
        <v>0</v>
      </c>
      <c r="C996">
        <f>IF(COUNTIFS('United Data'!$A$3:$A$3390,C$1,'United Data'!$C$3:$C$3390,$A996,'United Data'!$B$3:$B$3390,"&lt;&gt;Off-street")&gt;0,1,0)</f>
        <v>0</v>
      </c>
      <c r="D996">
        <f>IF(COUNTIFS('United Data'!$A$3:$A$3390,D$1,'United Data'!$C$3:$C$3390,$A996,'United Data'!$B$3:$B$3390,"&lt;&gt;Off-street")&gt;0,1,0)</f>
        <v>0</v>
      </c>
      <c r="E996">
        <f>IF(COUNTIFS('United Data'!$A$3:$A$3390,E$1,'United Data'!$C$3:$C$3390,$A996,'United Data'!$B$3:$B$3390,"&lt;&gt;Off-street")&gt;0,1,0)</f>
        <v>0</v>
      </c>
      <c r="F996">
        <f>IF(COUNTIFS('United Data'!$A$3:$A$3390,F$1,'United Data'!$C$3:$C$3390,$A996,'United Data'!$B$3:$B$3390,"&lt;&gt;Off-street")&gt;0,1,0)</f>
        <v>0</v>
      </c>
      <c r="G996">
        <f>IF(COUNTIFS('United Data'!$A$3:$A$3390,G$1,'United Data'!$C$3:$C$3390,$A996,'United Data'!$B$3:$B$3390,"&lt;&gt;Off-street")&gt;0,1,0)</f>
        <v>0</v>
      </c>
      <c r="H996">
        <f>IF(COUNTIFS('United Data'!$A$3:$A$3390,H$1,'United Data'!$C$3:$C$3390,$A996,'United Data'!$B$3:$B$3390,"&lt;&gt;Off-street")&gt;0,1,0)</f>
        <v>1</v>
      </c>
      <c r="I996">
        <f>IF(COUNTIFS('United Data'!$A$3:$A$3390,I$1,'United Data'!$C$3:$C$3390,$A996,'United Data'!$B$3:$B$3390,"&lt;&gt;Off-street")&gt;0,1,0)</f>
        <v>0</v>
      </c>
      <c r="J996">
        <f>IF(COUNTIFS('United Data'!$A$3:$A$3390,J$1,'United Data'!$C$3:$C$3390,$A996,'United Data'!$B$3:$B$3390,"&lt;&gt;Off-street")&gt;0,1,0)</f>
        <v>0</v>
      </c>
      <c r="K996">
        <f>IF(COUNTIFS('United Data'!$A$3:$A$3390,K$1,'United Data'!$C$3:$C$3390,$A996,'United Data'!$B$3:$B$3390,"&lt;&gt;Off-street")&gt;0,1,0)</f>
        <v>0</v>
      </c>
      <c r="L996">
        <f>IF(COUNTIFS('United Data'!$A$3:$A$3390,L$1,'United Data'!$C$3:$C$3390,$A996,'United Data'!$B$3:$B$3390,"&lt;&gt;Off-street")&gt;0,1,0)</f>
        <v>0</v>
      </c>
      <c r="M996">
        <f>IF(COUNTIFS('United Data'!$A$3:$A$3390,M$1,'United Data'!$C$3:$C$3390,$A996,'United Data'!$B$3:$B$3390,"&lt;&gt;Off-street")&gt;0,1,0)</f>
        <v>0</v>
      </c>
      <c r="N996">
        <f>IF(COUNTIFS('United Data'!$A$3:$A$3390,N$1,'United Data'!$C$3:$C$3390,$A996,'United Data'!$B$3:$B$3390,"&lt;&gt;Off-street")&gt;0,1,0)</f>
        <v>0</v>
      </c>
      <c r="O996">
        <f>IF(COUNTIFS('United Data'!$A$3:$A$3390,O$1,'United Data'!$C$3:$C$3390,$A996,'United Data'!$B$3:$B$3390,"&lt;&gt;Off-street")&gt;0,1,0)</f>
        <v>0</v>
      </c>
      <c r="P996">
        <f>IF(COUNTIFS('United Data'!$A$3:$A$3390,P$1,'United Data'!$C$3:$C$3390,$A996,'United Data'!$B$3:$B$3390,"&lt;&gt;Off-street")&gt;0,1,0)</f>
        <v>0</v>
      </c>
      <c r="Q996">
        <f>IF(COUNTIFS('United Data'!$A$3:$A$3390,Q$1,'United Data'!$C$3:$C$3390,$A996,'United Data'!$B$3:$B$3390,"&lt;&gt;Off-street")&gt;0,1,0)</f>
        <v>0</v>
      </c>
      <c r="R996">
        <f>IF(COUNTIFS('United Data'!$A$3:$A$3390,R$1,'United Data'!$C$3:$C$3390,$A996,'United Data'!$B$3:$B$3390,"&lt;&gt;Off-street")&gt;0,1,0)</f>
        <v>0</v>
      </c>
      <c r="S996">
        <f t="shared" si="30"/>
        <v>1</v>
      </c>
      <c r="T996">
        <f t="shared" si="31"/>
        <v>1</v>
      </c>
    </row>
    <row r="997" spans="1:20" x14ac:dyDescent="0.2">
      <c r="A997" t="s">
        <v>1199</v>
      </c>
      <c r="B997">
        <f>IF(COUNTIFS('United Data'!$A$3:$A$3390,B$1,'United Data'!$C$3:$C$3390,$A997,'United Data'!$B$3:$B$3390,"&lt;&gt;Off-street")&gt;0,1,0)</f>
        <v>0</v>
      </c>
      <c r="C997">
        <f>IF(COUNTIFS('United Data'!$A$3:$A$3390,C$1,'United Data'!$C$3:$C$3390,$A997,'United Data'!$B$3:$B$3390,"&lt;&gt;Off-street")&gt;0,1,0)</f>
        <v>0</v>
      </c>
      <c r="D997">
        <f>IF(COUNTIFS('United Data'!$A$3:$A$3390,D$1,'United Data'!$C$3:$C$3390,$A997,'United Data'!$B$3:$B$3390,"&lt;&gt;Off-street")&gt;0,1,0)</f>
        <v>0</v>
      </c>
      <c r="E997">
        <f>IF(COUNTIFS('United Data'!$A$3:$A$3390,E$1,'United Data'!$C$3:$C$3390,$A997,'United Data'!$B$3:$B$3390,"&lt;&gt;Off-street")&gt;0,1,0)</f>
        <v>0</v>
      </c>
      <c r="F997">
        <f>IF(COUNTIFS('United Data'!$A$3:$A$3390,F$1,'United Data'!$C$3:$C$3390,$A997,'United Data'!$B$3:$B$3390,"&lt;&gt;Off-street")&gt;0,1,0)</f>
        <v>0</v>
      </c>
      <c r="G997">
        <f>IF(COUNTIFS('United Data'!$A$3:$A$3390,G$1,'United Data'!$C$3:$C$3390,$A997,'United Data'!$B$3:$B$3390,"&lt;&gt;Off-street")&gt;0,1,0)</f>
        <v>0</v>
      </c>
      <c r="H997">
        <f>IF(COUNTIFS('United Data'!$A$3:$A$3390,H$1,'United Data'!$C$3:$C$3390,$A997,'United Data'!$B$3:$B$3390,"&lt;&gt;Off-street")&gt;0,1,0)</f>
        <v>1</v>
      </c>
      <c r="I997">
        <f>IF(COUNTIFS('United Data'!$A$3:$A$3390,I$1,'United Data'!$C$3:$C$3390,$A997,'United Data'!$B$3:$B$3390,"&lt;&gt;Off-street")&gt;0,1,0)</f>
        <v>0</v>
      </c>
      <c r="J997">
        <f>IF(COUNTIFS('United Data'!$A$3:$A$3390,J$1,'United Data'!$C$3:$C$3390,$A997,'United Data'!$B$3:$B$3390,"&lt;&gt;Off-street")&gt;0,1,0)</f>
        <v>0</v>
      </c>
      <c r="K997">
        <f>IF(COUNTIFS('United Data'!$A$3:$A$3390,K$1,'United Data'!$C$3:$C$3390,$A997,'United Data'!$B$3:$B$3390,"&lt;&gt;Off-street")&gt;0,1,0)</f>
        <v>0</v>
      </c>
      <c r="L997">
        <f>IF(COUNTIFS('United Data'!$A$3:$A$3390,L$1,'United Data'!$C$3:$C$3390,$A997,'United Data'!$B$3:$B$3390,"&lt;&gt;Off-street")&gt;0,1,0)</f>
        <v>0</v>
      </c>
      <c r="M997">
        <f>IF(COUNTIFS('United Data'!$A$3:$A$3390,M$1,'United Data'!$C$3:$C$3390,$A997,'United Data'!$B$3:$B$3390,"&lt;&gt;Off-street")&gt;0,1,0)</f>
        <v>0</v>
      </c>
      <c r="N997">
        <f>IF(COUNTIFS('United Data'!$A$3:$A$3390,N$1,'United Data'!$C$3:$C$3390,$A997,'United Data'!$B$3:$B$3390,"&lt;&gt;Off-street")&gt;0,1,0)</f>
        <v>0</v>
      </c>
      <c r="O997">
        <f>IF(COUNTIFS('United Data'!$A$3:$A$3390,O$1,'United Data'!$C$3:$C$3390,$A997,'United Data'!$B$3:$B$3390,"&lt;&gt;Off-street")&gt;0,1,0)</f>
        <v>0</v>
      </c>
      <c r="P997">
        <f>IF(COUNTIFS('United Data'!$A$3:$A$3390,P$1,'United Data'!$C$3:$C$3390,$A997,'United Data'!$B$3:$B$3390,"&lt;&gt;Off-street")&gt;0,1,0)</f>
        <v>0</v>
      </c>
      <c r="Q997">
        <f>IF(COUNTIFS('United Data'!$A$3:$A$3390,Q$1,'United Data'!$C$3:$C$3390,$A997,'United Data'!$B$3:$B$3390,"&lt;&gt;Off-street")&gt;0,1,0)</f>
        <v>0</v>
      </c>
      <c r="R997">
        <f>IF(COUNTIFS('United Data'!$A$3:$A$3390,R$1,'United Data'!$C$3:$C$3390,$A997,'United Data'!$B$3:$B$3390,"&lt;&gt;Off-street")&gt;0,1,0)</f>
        <v>0</v>
      </c>
      <c r="S997">
        <f t="shared" si="30"/>
        <v>1</v>
      </c>
      <c r="T997">
        <f t="shared" si="31"/>
        <v>1</v>
      </c>
    </row>
    <row r="998" spans="1:20" x14ac:dyDescent="0.2">
      <c r="A998" t="s">
        <v>1200</v>
      </c>
      <c r="B998">
        <f>IF(COUNTIFS('United Data'!$A$3:$A$3390,B$1,'United Data'!$C$3:$C$3390,$A998,'United Data'!$B$3:$B$3390,"&lt;&gt;Off-street")&gt;0,1,0)</f>
        <v>0</v>
      </c>
      <c r="C998">
        <f>IF(COUNTIFS('United Data'!$A$3:$A$3390,C$1,'United Data'!$C$3:$C$3390,$A998,'United Data'!$B$3:$B$3390,"&lt;&gt;Off-street")&gt;0,1,0)</f>
        <v>0</v>
      </c>
      <c r="D998">
        <f>IF(COUNTIFS('United Data'!$A$3:$A$3390,D$1,'United Data'!$C$3:$C$3390,$A998,'United Data'!$B$3:$B$3390,"&lt;&gt;Off-street")&gt;0,1,0)</f>
        <v>0</v>
      </c>
      <c r="E998">
        <f>IF(COUNTIFS('United Data'!$A$3:$A$3390,E$1,'United Data'!$C$3:$C$3390,$A998,'United Data'!$B$3:$B$3390,"&lt;&gt;Off-street")&gt;0,1,0)</f>
        <v>0</v>
      </c>
      <c r="F998">
        <f>IF(COUNTIFS('United Data'!$A$3:$A$3390,F$1,'United Data'!$C$3:$C$3390,$A998,'United Data'!$B$3:$B$3390,"&lt;&gt;Off-street")&gt;0,1,0)</f>
        <v>0</v>
      </c>
      <c r="G998">
        <f>IF(COUNTIFS('United Data'!$A$3:$A$3390,G$1,'United Data'!$C$3:$C$3390,$A998,'United Data'!$B$3:$B$3390,"&lt;&gt;Off-street")&gt;0,1,0)</f>
        <v>0</v>
      </c>
      <c r="H998">
        <f>IF(COUNTIFS('United Data'!$A$3:$A$3390,H$1,'United Data'!$C$3:$C$3390,$A998,'United Data'!$B$3:$B$3390,"&lt;&gt;Off-street")&gt;0,1,0)</f>
        <v>1</v>
      </c>
      <c r="I998">
        <f>IF(COUNTIFS('United Data'!$A$3:$A$3390,I$1,'United Data'!$C$3:$C$3390,$A998,'United Data'!$B$3:$B$3390,"&lt;&gt;Off-street")&gt;0,1,0)</f>
        <v>0</v>
      </c>
      <c r="J998">
        <f>IF(COUNTIFS('United Data'!$A$3:$A$3390,J$1,'United Data'!$C$3:$C$3390,$A998,'United Data'!$B$3:$B$3390,"&lt;&gt;Off-street")&gt;0,1,0)</f>
        <v>0</v>
      </c>
      <c r="K998">
        <f>IF(COUNTIFS('United Data'!$A$3:$A$3390,K$1,'United Data'!$C$3:$C$3390,$A998,'United Data'!$B$3:$B$3390,"&lt;&gt;Off-street")&gt;0,1,0)</f>
        <v>0</v>
      </c>
      <c r="L998">
        <f>IF(COUNTIFS('United Data'!$A$3:$A$3390,L$1,'United Data'!$C$3:$C$3390,$A998,'United Data'!$B$3:$B$3390,"&lt;&gt;Off-street")&gt;0,1,0)</f>
        <v>0</v>
      </c>
      <c r="M998">
        <f>IF(COUNTIFS('United Data'!$A$3:$A$3390,M$1,'United Data'!$C$3:$C$3390,$A998,'United Data'!$B$3:$B$3390,"&lt;&gt;Off-street")&gt;0,1,0)</f>
        <v>0</v>
      </c>
      <c r="N998">
        <f>IF(COUNTIFS('United Data'!$A$3:$A$3390,N$1,'United Data'!$C$3:$C$3390,$A998,'United Data'!$B$3:$B$3390,"&lt;&gt;Off-street")&gt;0,1,0)</f>
        <v>0</v>
      </c>
      <c r="O998">
        <f>IF(COUNTIFS('United Data'!$A$3:$A$3390,O$1,'United Data'!$C$3:$C$3390,$A998,'United Data'!$B$3:$B$3390,"&lt;&gt;Off-street")&gt;0,1,0)</f>
        <v>0</v>
      </c>
      <c r="P998">
        <f>IF(COUNTIFS('United Data'!$A$3:$A$3390,P$1,'United Data'!$C$3:$C$3390,$A998,'United Data'!$B$3:$B$3390,"&lt;&gt;Off-street")&gt;0,1,0)</f>
        <v>0</v>
      </c>
      <c r="Q998">
        <f>IF(COUNTIFS('United Data'!$A$3:$A$3390,Q$1,'United Data'!$C$3:$C$3390,$A998,'United Data'!$B$3:$B$3390,"&lt;&gt;Off-street")&gt;0,1,0)</f>
        <v>0</v>
      </c>
      <c r="R998">
        <f>IF(COUNTIFS('United Data'!$A$3:$A$3390,R$1,'United Data'!$C$3:$C$3390,$A998,'United Data'!$B$3:$B$3390,"&lt;&gt;Off-street")&gt;0,1,0)</f>
        <v>0</v>
      </c>
      <c r="S998">
        <f t="shared" si="30"/>
        <v>1</v>
      </c>
      <c r="T998">
        <f t="shared" si="31"/>
        <v>1</v>
      </c>
    </row>
    <row r="999" spans="1:20" x14ac:dyDescent="0.2">
      <c r="A999" t="s">
        <v>1201</v>
      </c>
      <c r="B999">
        <f>IF(COUNTIFS('United Data'!$A$3:$A$3390,B$1,'United Data'!$C$3:$C$3390,$A999,'United Data'!$B$3:$B$3390,"&lt;&gt;Off-street")&gt;0,1,0)</f>
        <v>0</v>
      </c>
      <c r="C999">
        <f>IF(COUNTIFS('United Data'!$A$3:$A$3390,C$1,'United Data'!$C$3:$C$3390,$A999,'United Data'!$B$3:$B$3390,"&lt;&gt;Off-street")&gt;0,1,0)</f>
        <v>0</v>
      </c>
      <c r="D999">
        <f>IF(COUNTIFS('United Data'!$A$3:$A$3390,D$1,'United Data'!$C$3:$C$3390,$A999,'United Data'!$B$3:$B$3390,"&lt;&gt;Off-street")&gt;0,1,0)</f>
        <v>0</v>
      </c>
      <c r="E999">
        <f>IF(COUNTIFS('United Data'!$A$3:$A$3390,E$1,'United Data'!$C$3:$C$3390,$A999,'United Data'!$B$3:$B$3390,"&lt;&gt;Off-street")&gt;0,1,0)</f>
        <v>0</v>
      </c>
      <c r="F999">
        <f>IF(COUNTIFS('United Data'!$A$3:$A$3390,F$1,'United Data'!$C$3:$C$3390,$A999,'United Data'!$B$3:$B$3390,"&lt;&gt;Off-street")&gt;0,1,0)</f>
        <v>0</v>
      </c>
      <c r="G999">
        <f>IF(COUNTIFS('United Data'!$A$3:$A$3390,G$1,'United Data'!$C$3:$C$3390,$A999,'United Data'!$B$3:$B$3390,"&lt;&gt;Off-street")&gt;0,1,0)</f>
        <v>0</v>
      </c>
      <c r="H999">
        <f>IF(COUNTIFS('United Data'!$A$3:$A$3390,H$1,'United Data'!$C$3:$C$3390,$A999,'United Data'!$B$3:$B$3390,"&lt;&gt;Off-street")&gt;0,1,0)</f>
        <v>1</v>
      </c>
      <c r="I999">
        <f>IF(COUNTIFS('United Data'!$A$3:$A$3390,I$1,'United Data'!$C$3:$C$3390,$A999,'United Data'!$B$3:$B$3390,"&lt;&gt;Off-street")&gt;0,1,0)</f>
        <v>0</v>
      </c>
      <c r="J999">
        <f>IF(COUNTIFS('United Data'!$A$3:$A$3390,J$1,'United Data'!$C$3:$C$3390,$A999,'United Data'!$B$3:$B$3390,"&lt;&gt;Off-street")&gt;0,1,0)</f>
        <v>0</v>
      </c>
      <c r="K999">
        <f>IF(COUNTIFS('United Data'!$A$3:$A$3390,K$1,'United Data'!$C$3:$C$3390,$A999,'United Data'!$B$3:$B$3390,"&lt;&gt;Off-street")&gt;0,1,0)</f>
        <v>0</v>
      </c>
      <c r="L999">
        <f>IF(COUNTIFS('United Data'!$A$3:$A$3390,L$1,'United Data'!$C$3:$C$3390,$A999,'United Data'!$B$3:$B$3390,"&lt;&gt;Off-street")&gt;0,1,0)</f>
        <v>0</v>
      </c>
      <c r="M999">
        <f>IF(COUNTIFS('United Data'!$A$3:$A$3390,M$1,'United Data'!$C$3:$C$3390,$A999,'United Data'!$B$3:$B$3390,"&lt;&gt;Off-street")&gt;0,1,0)</f>
        <v>0</v>
      </c>
      <c r="N999">
        <f>IF(COUNTIFS('United Data'!$A$3:$A$3390,N$1,'United Data'!$C$3:$C$3390,$A999,'United Data'!$B$3:$B$3390,"&lt;&gt;Off-street")&gt;0,1,0)</f>
        <v>0</v>
      </c>
      <c r="O999">
        <f>IF(COUNTIFS('United Data'!$A$3:$A$3390,O$1,'United Data'!$C$3:$C$3390,$A999,'United Data'!$B$3:$B$3390,"&lt;&gt;Off-street")&gt;0,1,0)</f>
        <v>0</v>
      </c>
      <c r="P999">
        <f>IF(COUNTIFS('United Data'!$A$3:$A$3390,P$1,'United Data'!$C$3:$C$3390,$A999,'United Data'!$B$3:$B$3390,"&lt;&gt;Off-street")&gt;0,1,0)</f>
        <v>0</v>
      </c>
      <c r="Q999">
        <f>IF(COUNTIFS('United Data'!$A$3:$A$3390,Q$1,'United Data'!$C$3:$C$3390,$A999,'United Data'!$B$3:$B$3390,"&lt;&gt;Off-street")&gt;0,1,0)</f>
        <v>0</v>
      </c>
      <c r="R999">
        <f>IF(COUNTIFS('United Data'!$A$3:$A$3390,R$1,'United Data'!$C$3:$C$3390,$A999,'United Data'!$B$3:$B$3390,"&lt;&gt;Off-street")&gt;0,1,0)</f>
        <v>0</v>
      </c>
      <c r="S999">
        <f t="shared" si="30"/>
        <v>1</v>
      </c>
      <c r="T999">
        <f t="shared" si="31"/>
        <v>1</v>
      </c>
    </row>
    <row r="1000" spans="1:20" x14ac:dyDescent="0.2">
      <c r="A1000" t="s">
        <v>1202</v>
      </c>
      <c r="B1000">
        <f>IF(COUNTIFS('United Data'!$A$3:$A$3390,B$1,'United Data'!$C$3:$C$3390,$A1000,'United Data'!$B$3:$B$3390,"&lt;&gt;Off-street")&gt;0,1,0)</f>
        <v>0</v>
      </c>
      <c r="C1000">
        <f>IF(COUNTIFS('United Data'!$A$3:$A$3390,C$1,'United Data'!$C$3:$C$3390,$A1000,'United Data'!$B$3:$B$3390,"&lt;&gt;Off-street")&gt;0,1,0)</f>
        <v>0</v>
      </c>
      <c r="D1000">
        <f>IF(COUNTIFS('United Data'!$A$3:$A$3390,D$1,'United Data'!$C$3:$C$3390,$A1000,'United Data'!$B$3:$B$3390,"&lt;&gt;Off-street")&gt;0,1,0)</f>
        <v>0</v>
      </c>
      <c r="E1000">
        <f>IF(COUNTIFS('United Data'!$A$3:$A$3390,E$1,'United Data'!$C$3:$C$3390,$A1000,'United Data'!$B$3:$B$3390,"&lt;&gt;Off-street")&gt;0,1,0)</f>
        <v>0</v>
      </c>
      <c r="F1000">
        <f>IF(COUNTIFS('United Data'!$A$3:$A$3390,F$1,'United Data'!$C$3:$C$3390,$A1000,'United Data'!$B$3:$B$3390,"&lt;&gt;Off-street")&gt;0,1,0)</f>
        <v>0</v>
      </c>
      <c r="G1000">
        <f>IF(COUNTIFS('United Data'!$A$3:$A$3390,G$1,'United Data'!$C$3:$C$3390,$A1000,'United Data'!$B$3:$B$3390,"&lt;&gt;Off-street")&gt;0,1,0)</f>
        <v>0</v>
      </c>
      <c r="H1000">
        <f>IF(COUNTIFS('United Data'!$A$3:$A$3390,H$1,'United Data'!$C$3:$C$3390,$A1000,'United Data'!$B$3:$B$3390,"&lt;&gt;Off-street")&gt;0,1,0)</f>
        <v>1</v>
      </c>
      <c r="I1000">
        <f>IF(COUNTIFS('United Data'!$A$3:$A$3390,I$1,'United Data'!$C$3:$C$3390,$A1000,'United Data'!$B$3:$B$3390,"&lt;&gt;Off-street")&gt;0,1,0)</f>
        <v>0</v>
      </c>
      <c r="J1000">
        <f>IF(COUNTIFS('United Data'!$A$3:$A$3390,J$1,'United Data'!$C$3:$C$3390,$A1000,'United Data'!$B$3:$B$3390,"&lt;&gt;Off-street")&gt;0,1,0)</f>
        <v>0</v>
      </c>
      <c r="K1000">
        <f>IF(COUNTIFS('United Data'!$A$3:$A$3390,K$1,'United Data'!$C$3:$C$3390,$A1000,'United Data'!$B$3:$B$3390,"&lt;&gt;Off-street")&gt;0,1,0)</f>
        <v>0</v>
      </c>
      <c r="L1000">
        <f>IF(COUNTIFS('United Data'!$A$3:$A$3390,L$1,'United Data'!$C$3:$C$3390,$A1000,'United Data'!$B$3:$B$3390,"&lt;&gt;Off-street")&gt;0,1,0)</f>
        <v>0</v>
      </c>
      <c r="M1000">
        <f>IF(COUNTIFS('United Data'!$A$3:$A$3390,M$1,'United Data'!$C$3:$C$3390,$A1000,'United Data'!$B$3:$B$3390,"&lt;&gt;Off-street")&gt;0,1,0)</f>
        <v>0</v>
      </c>
      <c r="N1000">
        <f>IF(COUNTIFS('United Data'!$A$3:$A$3390,N$1,'United Data'!$C$3:$C$3390,$A1000,'United Data'!$B$3:$B$3390,"&lt;&gt;Off-street")&gt;0,1,0)</f>
        <v>0</v>
      </c>
      <c r="O1000">
        <f>IF(COUNTIFS('United Data'!$A$3:$A$3390,O$1,'United Data'!$C$3:$C$3390,$A1000,'United Data'!$B$3:$B$3390,"&lt;&gt;Off-street")&gt;0,1,0)</f>
        <v>0</v>
      </c>
      <c r="P1000">
        <f>IF(COUNTIFS('United Data'!$A$3:$A$3390,P$1,'United Data'!$C$3:$C$3390,$A1000,'United Data'!$B$3:$B$3390,"&lt;&gt;Off-street")&gt;0,1,0)</f>
        <v>0</v>
      </c>
      <c r="Q1000">
        <f>IF(COUNTIFS('United Data'!$A$3:$A$3390,Q$1,'United Data'!$C$3:$C$3390,$A1000,'United Data'!$B$3:$B$3390,"&lt;&gt;Off-street")&gt;0,1,0)</f>
        <v>0</v>
      </c>
      <c r="R1000">
        <f>IF(COUNTIFS('United Data'!$A$3:$A$3390,R$1,'United Data'!$C$3:$C$3390,$A1000,'United Data'!$B$3:$B$3390,"&lt;&gt;Off-street")&gt;0,1,0)</f>
        <v>0</v>
      </c>
      <c r="S1000">
        <f t="shared" si="30"/>
        <v>1</v>
      </c>
      <c r="T1000">
        <f t="shared" si="31"/>
        <v>1</v>
      </c>
    </row>
    <row r="1001" spans="1:20" x14ac:dyDescent="0.2">
      <c r="A1001" t="s">
        <v>1203</v>
      </c>
      <c r="B1001">
        <f>IF(COUNTIFS('United Data'!$A$3:$A$3390,B$1,'United Data'!$C$3:$C$3390,$A1001,'United Data'!$B$3:$B$3390,"&lt;&gt;Off-street")&gt;0,1,0)</f>
        <v>0</v>
      </c>
      <c r="C1001">
        <f>IF(COUNTIFS('United Data'!$A$3:$A$3390,C$1,'United Data'!$C$3:$C$3390,$A1001,'United Data'!$B$3:$B$3390,"&lt;&gt;Off-street")&gt;0,1,0)</f>
        <v>0</v>
      </c>
      <c r="D1001">
        <f>IF(COUNTIFS('United Data'!$A$3:$A$3390,D$1,'United Data'!$C$3:$C$3390,$A1001,'United Data'!$B$3:$B$3390,"&lt;&gt;Off-street")&gt;0,1,0)</f>
        <v>0</v>
      </c>
      <c r="E1001">
        <f>IF(COUNTIFS('United Data'!$A$3:$A$3390,E$1,'United Data'!$C$3:$C$3390,$A1001,'United Data'!$B$3:$B$3390,"&lt;&gt;Off-street")&gt;0,1,0)</f>
        <v>0</v>
      </c>
      <c r="F1001">
        <f>IF(COUNTIFS('United Data'!$A$3:$A$3390,F$1,'United Data'!$C$3:$C$3390,$A1001,'United Data'!$B$3:$B$3390,"&lt;&gt;Off-street")&gt;0,1,0)</f>
        <v>0</v>
      </c>
      <c r="G1001">
        <f>IF(COUNTIFS('United Data'!$A$3:$A$3390,G$1,'United Data'!$C$3:$C$3390,$A1001,'United Data'!$B$3:$B$3390,"&lt;&gt;Off-street")&gt;0,1,0)</f>
        <v>0</v>
      </c>
      <c r="H1001">
        <f>IF(COUNTIFS('United Data'!$A$3:$A$3390,H$1,'United Data'!$C$3:$C$3390,$A1001,'United Data'!$B$3:$B$3390,"&lt;&gt;Off-street")&gt;0,1,0)</f>
        <v>1</v>
      </c>
      <c r="I1001">
        <f>IF(COUNTIFS('United Data'!$A$3:$A$3390,I$1,'United Data'!$C$3:$C$3390,$A1001,'United Data'!$B$3:$B$3390,"&lt;&gt;Off-street")&gt;0,1,0)</f>
        <v>0</v>
      </c>
      <c r="J1001">
        <f>IF(COUNTIFS('United Data'!$A$3:$A$3390,J$1,'United Data'!$C$3:$C$3390,$A1001,'United Data'!$B$3:$B$3390,"&lt;&gt;Off-street")&gt;0,1,0)</f>
        <v>0</v>
      </c>
      <c r="K1001">
        <f>IF(COUNTIFS('United Data'!$A$3:$A$3390,K$1,'United Data'!$C$3:$C$3390,$A1001,'United Data'!$B$3:$B$3390,"&lt;&gt;Off-street")&gt;0,1,0)</f>
        <v>0</v>
      </c>
      <c r="L1001">
        <f>IF(COUNTIFS('United Data'!$A$3:$A$3390,L$1,'United Data'!$C$3:$C$3390,$A1001,'United Data'!$B$3:$B$3390,"&lt;&gt;Off-street")&gt;0,1,0)</f>
        <v>0</v>
      </c>
      <c r="M1001">
        <f>IF(COUNTIFS('United Data'!$A$3:$A$3390,M$1,'United Data'!$C$3:$C$3390,$A1001,'United Data'!$B$3:$B$3390,"&lt;&gt;Off-street")&gt;0,1,0)</f>
        <v>0</v>
      </c>
      <c r="N1001">
        <f>IF(COUNTIFS('United Data'!$A$3:$A$3390,N$1,'United Data'!$C$3:$C$3390,$A1001,'United Data'!$B$3:$B$3390,"&lt;&gt;Off-street")&gt;0,1,0)</f>
        <v>0</v>
      </c>
      <c r="O1001">
        <f>IF(COUNTIFS('United Data'!$A$3:$A$3390,O$1,'United Data'!$C$3:$C$3390,$A1001,'United Data'!$B$3:$B$3390,"&lt;&gt;Off-street")&gt;0,1,0)</f>
        <v>0</v>
      </c>
      <c r="P1001">
        <f>IF(COUNTIFS('United Data'!$A$3:$A$3390,P$1,'United Data'!$C$3:$C$3390,$A1001,'United Data'!$B$3:$B$3390,"&lt;&gt;Off-street")&gt;0,1,0)</f>
        <v>0</v>
      </c>
      <c r="Q1001">
        <f>IF(COUNTIFS('United Data'!$A$3:$A$3390,Q$1,'United Data'!$C$3:$C$3390,$A1001,'United Data'!$B$3:$B$3390,"&lt;&gt;Off-street")&gt;0,1,0)</f>
        <v>0</v>
      </c>
      <c r="R1001">
        <f>IF(COUNTIFS('United Data'!$A$3:$A$3390,R$1,'United Data'!$C$3:$C$3390,$A1001,'United Data'!$B$3:$B$3390,"&lt;&gt;Off-street")&gt;0,1,0)</f>
        <v>0</v>
      </c>
      <c r="S1001">
        <f t="shared" si="30"/>
        <v>1</v>
      </c>
      <c r="T1001">
        <f t="shared" si="31"/>
        <v>1</v>
      </c>
    </row>
    <row r="1002" spans="1:20" x14ac:dyDescent="0.2">
      <c r="A1002" t="s">
        <v>1204</v>
      </c>
      <c r="B1002">
        <f>IF(COUNTIFS('United Data'!$A$3:$A$3390,B$1,'United Data'!$C$3:$C$3390,$A1002,'United Data'!$B$3:$B$3390,"&lt;&gt;Off-street")&gt;0,1,0)</f>
        <v>0</v>
      </c>
      <c r="C1002">
        <f>IF(COUNTIFS('United Data'!$A$3:$A$3390,C$1,'United Data'!$C$3:$C$3390,$A1002,'United Data'!$B$3:$B$3390,"&lt;&gt;Off-street")&gt;0,1,0)</f>
        <v>0</v>
      </c>
      <c r="D1002">
        <f>IF(COUNTIFS('United Data'!$A$3:$A$3390,D$1,'United Data'!$C$3:$C$3390,$A1002,'United Data'!$B$3:$B$3390,"&lt;&gt;Off-street")&gt;0,1,0)</f>
        <v>0</v>
      </c>
      <c r="E1002">
        <f>IF(COUNTIFS('United Data'!$A$3:$A$3390,E$1,'United Data'!$C$3:$C$3390,$A1002,'United Data'!$B$3:$B$3390,"&lt;&gt;Off-street")&gt;0,1,0)</f>
        <v>0</v>
      </c>
      <c r="F1002">
        <f>IF(COUNTIFS('United Data'!$A$3:$A$3390,F$1,'United Data'!$C$3:$C$3390,$A1002,'United Data'!$B$3:$B$3390,"&lt;&gt;Off-street")&gt;0,1,0)</f>
        <v>0</v>
      </c>
      <c r="G1002">
        <f>IF(COUNTIFS('United Data'!$A$3:$A$3390,G$1,'United Data'!$C$3:$C$3390,$A1002,'United Data'!$B$3:$B$3390,"&lt;&gt;Off-street")&gt;0,1,0)</f>
        <v>0</v>
      </c>
      <c r="H1002">
        <f>IF(COUNTIFS('United Data'!$A$3:$A$3390,H$1,'United Data'!$C$3:$C$3390,$A1002,'United Data'!$B$3:$B$3390,"&lt;&gt;Off-street")&gt;0,1,0)</f>
        <v>1</v>
      </c>
      <c r="I1002">
        <f>IF(COUNTIFS('United Data'!$A$3:$A$3390,I$1,'United Data'!$C$3:$C$3390,$A1002,'United Data'!$B$3:$B$3390,"&lt;&gt;Off-street")&gt;0,1,0)</f>
        <v>0</v>
      </c>
      <c r="J1002">
        <f>IF(COUNTIFS('United Data'!$A$3:$A$3390,J$1,'United Data'!$C$3:$C$3390,$A1002,'United Data'!$B$3:$B$3390,"&lt;&gt;Off-street")&gt;0,1,0)</f>
        <v>0</v>
      </c>
      <c r="K1002">
        <f>IF(COUNTIFS('United Data'!$A$3:$A$3390,K$1,'United Data'!$C$3:$C$3390,$A1002,'United Data'!$B$3:$B$3390,"&lt;&gt;Off-street")&gt;0,1,0)</f>
        <v>0</v>
      </c>
      <c r="L1002">
        <f>IF(COUNTIFS('United Data'!$A$3:$A$3390,L$1,'United Data'!$C$3:$C$3390,$A1002,'United Data'!$B$3:$B$3390,"&lt;&gt;Off-street")&gt;0,1,0)</f>
        <v>0</v>
      </c>
      <c r="M1002">
        <f>IF(COUNTIFS('United Data'!$A$3:$A$3390,M$1,'United Data'!$C$3:$C$3390,$A1002,'United Data'!$B$3:$B$3390,"&lt;&gt;Off-street")&gt;0,1,0)</f>
        <v>0</v>
      </c>
      <c r="N1002">
        <f>IF(COUNTIFS('United Data'!$A$3:$A$3390,N$1,'United Data'!$C$3:$C$3390,$A1002,'United Data'!$B$3:$B$3390,"&lt;&gt;Off-street")&gt;0,1,0)</f>
        <v>0</v>
      </c>
      <c r="O1002">
        <f>IF(COUNTIFS('United Data'!$A$3:$A$3390,O$1,'United Data'!$C$3:$C$3390,$A1002,'United Data'!$B$3:$B$3390,"&lt;&gt;Off-street")&gt;0,1,0)</f>
        <v>0</v>
      </c>
      <c r="P1002">
        <f>IF(COUNTIFS('United Data'!$A$3:$A$3390,P$1,'United Data'!$C$3:$C$3390,$A1002,'United Data'!$B$3:$B$3390,"&lt;&gt;Off-street")&gt;0,1,0)</f>
        <v>0</v>
      </c>
      <c r="Q1002">
        <f>IF(COUNTIFS('United Data'!$A$3:$A$3390,Q$1,'United Data'!$C$3:$C$3390,$A1002,'United Data'!$B$3:$B$3390,"&lt;&gt;Off-street")&gt;0,1,0)</f>
        <v>0</v>
      </c>
      <c r="R1002">
        <f>IF(COUNTIFS('United Data'!$A$3:$A$3390,R$1,'United Data'!$C$3:$C$3390,$A1002,'United Data'!$B$3:$B$3390,"&lt;&gt;Off-street")&gt;0,1,0)</f>
        <v>0</v>
      </c>
      <c r="S1002">
        <f t="shared" si="30"/>
        <v>1</v>
      </c>
      <c r="T1002">
        <f t="shared" si="31"/>
        <v>1</v>
      </c>
    </row>
    <row r="1003" spans="1:20" x14ac:dyDescent="0.2">
      <c r="A1003" t="s">
        <v>1206</v>
      </c>
      <c r="B1003">
        <f>IF(COUNTIFS('United Data'!$A$3:$A$3390,B$1,'United Data'!$C$3:$C$3390,$A1003,'United Data'!$B$3:$B$3390,"&lt;&gt;Off-street")&gt;0,1,0)</f>
        <v>0</v>
      </c>
      <c r="C1003">
        <f>IF(COUNTIFS('United Data'!$A$3:$A$3390,C$1,'United Data'!$C$3:$C$3390,$A1003,'United Data'!$B$3:$B$3390,"&lt;&gt;Off-street")&gt;0,1,0)</f>
        <v>0</v>
      </c>
      <c r="D1003">
        <f>IF(COUNTIFS('United Data'!$A$3:$A$3390,D$1,'United Data'!$C$3:$C$3390,$A1003,'United Data'!$B$3:$B$3390,"&lt;&gt;Off-street")&gt;0,1,0)</f>
        <v>0</v>
      </c>
      <c r="E1003">
        <f>IF(COUNTIFS('United Data'!$A$3:$A$3390,E$1,'United Data'!$C$3:$C$3390,$A1003,'United Data'!$B$3:$B$3390,"&lt;&gt;Off-street")&gt;0,1,0)</f>
        <v>0</v>
      </c>
      <c r="F1003">
        <f>IF(COUNTIFS('United Data'!$A$3:$A$3390,F$1,'United Data'!$C$3:$C$3390,$A1003,'United Data'!$B$3:$B$3390,"&lt;&gt;Off-street")&gt;0,1,0)</f>
        <v>0</v>
      </c>
      <c r="G1003">
        <f>IF(COUNTIFS('United Data'!$A$3:$A$3390,G$1,'United Data'!$C$3:$C$3390,$A1003,'United Data'!$B$3:$B$3390,"&lt;&gt;Off-street")&gt;0,1,0)</f>
        <v>0</v>
      </c>
      <c r="H1003">
        <f>IF(COUNTIFS('United Data'!$A$3:$A$3390,H$1,'United Data'!$C$3:$C$3390,$A1003,'United Data'!$B$3:$B$3390,"&lt;&gt;Off-street")&gt;0,1,0)</f>
        <v>0</v>
      </c>
      <c r="I1003">
        <f>IF(COUNTIFS('United Data'!$A$3:$A$3390,I$1,'United Data'!$C$3:$C$3390,$A1003,'United Data'!$B$3:$B$3390,"&lt;&gt;Off-street")&gt;0,1,0)</f>
        <v>1</v>
      </c>
      <c r="J1003">
        <f>IF(COUNTIFS('United Data'!$A$3:$A$3390,J$1,'United Data'!$C$3:$C$3390,$A1003,'United Data'!$B$3:$B$3390,"&lt;&gt;Off-street")&gt;0,1,0)</f>
        <v>0</v>
      </c>
      <c r="K1003">
        <f>IF(COUNTIFS('United Data'!$A$3:$A$3390,K$1,'United Data'!$C$3:$C$3390,$A1003,'United Data'!$B$3:$B$3390,"&lt;&gt;Off-street")&gt;0,1,0)</f>
        <v>1</v>
      </c>
      <c r="L1003">
        <f>IF(COUNTIFS('United Data'!$A$3:$A$3390,L$1,'United Data'!$C$3:$C$3390,$A1003,'United Data'!$B$3:$B$3390,"&lt;&gt;Off-street")&gt;0,1,0)</f>
        <v>0</v>
      </c>
      <c r="M1003">
        <f>IF(COUNTIFS('United Data'!$A$3:$A$3390,M$1,'United Data'!$C$3:$C$3390,$A1003,'United Data'!$B$3:$B$3390,"&lt;&gt;Off-street")&gt;0,1,0)</f>
        <v>1</v>
      </c>
      <c r="N1003">
        <f>IF(COUNTIFS('United Data'!$A$3:$A$3390,N$1,'United Data'!$C$3:$C$3390,$A1003,'United Data'!$B$3:$B$3390,"&lt;&gt;Off-street")&gt;0,1,0)</f>
        <v>0</v>
      </c>
      <c r="O1003">
        <f>IF(COUNTIFS('United Data'!$A$3:$A$3390,O$1,'United Data'!$C$3:$C$3390,$A1003,'United Data'!$B$3:$B$3390,"&lt;&gt;Off-street")&gt;0,1,0)</f>
        <v>0</v>
      </c>
      <c r="P1003">
        <f>IF(COUNTIFS('United Data'!$A$3:$A$3390,P$1,'United Data'!$C$3:$C$3390,$A1003,'United Data'!$B$3:$B$3390,"&lt;&gt;Off-street")&gt;0,1,0)</f>
        <v>0</v>
      </c>
      <c r="Q1003">
        <f>IF(COUNTIFS('United Data'!$A$3:$A$3390,Q$1,'United Data'!$C$3:$C$3390,$A1003,'United Data'!$B$3:$B$3390,"&lt;&gt;Off-street")&gt;0,1,0)</f>
        <v>0</v>
      </c>
      <c r="R1003">
        <f>IF(COUNTIFS('United Data'!$A$3:$A$3390,R$1,'United Data'!$C$3:$C$3390,$A1003,'United Data'!$B$3:$B$3390,"&lt;&gt;Off-street")&gt;0,1,0)</f>
        <v>0</v>
      </c>
      <c r="S1003">
        <f t="shared" si="30"/>
        <v>3</v>
      </c>
      <c r="T1003">
        <f t="shared" si="31"/>
        <v>3</v>
      </c>
    </row>
    <row r="1004" spans="1:20" x14ac:dyDescent="0.2">
      <c r="A1004" t="s">
        <v>1207</v>
      </c>
      <c r="B1004">
        <f>IF(COUNTIFS('United Data'!$A$3:$A$3390,B$1,'United Data'!$C$3:$C$3390,$A1004,'United Data'!$B$3:$B$3390,"&lt;&gt;Off-street")&gt;0,1,0)</f>
        <v>0</v>
      </c>
      <c r="C1004">
        <f>IF(COUNTIFS('United Data'!$A$3:$A$3390,C$1,'United Data'!$C$3:$C$3390,$A1004,'United Data'!$B$3:$B$3390,"&lt;&gt;Off-street")&gt;0,1,0)</f>
        <v>0</v>
      </c>
      <c r="D1004">
        <f>IF(COUNTIFS('United Data'!$A$3:$A$3390,D$1,'United Data'!$C$3:$C$3390,$A1004,'United Data'!$B$3:$B$3390,"&lt;&gt;Off-street")&gt;0,1,0)</f>
        <v>0</v>
      </c>
      <c r="E1004">
        <f>IF(COUNTIFS('United Data'!$A$3:$A$3390,E$1,'United Data'!$C$3:$C$3390,$A1004,'United Data'!$B$3:$B$3390,"&lt;&gt;Off-street")&gt;0,1,0)</f>
        <v>0</v>
      </c>
      <c r="F1004">
        <f>IF(COUNTIFS('United Data'!$A$3:$A$3390,F$1,'United Data'!$C$3:$C$3390,$A1004,'United Data'!$B$3:$B$3390,"&lt;&gt;Off-street")&gt;0,1,0)</f>
        <v>0</v>
      </c>
      <c r="G1004">
        <f>IF(COUNTIFS('United Data'!$A$3:$A$3390,G$1,'United Data'!$C$3:$C$3390,$A1004,'United Data'!$B$3:$B$3390,"&lt;&gt;Off-street")&gt;0,1,0)</f>
        <v>0</v>
      </c>
      <c r="H1004">
        <f>IF(COUNTIFS('United Data'!$A$3:$A$3390,H$1,'United Data'!$C$3:$C$3390,$A1004,'United Data'!$B$3:$B$3390,"&lt;&gt;Off-street")&gt;0,1,0)</f>
        <v>0</v>
      </c>
      <c r="I1004">
        <f>IF(COUNTIFS('United Data'!$A$3:$A$3390,I$1,'United Data'!$C$3:$C$3390,$A1004,'United Data'!$B$3:$B$3390,"&lt;&gt;Off-street")&gt;0,1,0)</f>
        <v>1</v>
      </c>
      <c r="J1004">
        <f>IF(COUNTIFS('United Data'!$A$3:$A$3390,J$1,'United Data'!$C$3:$C$3390,$A1004,'United Data'!$B$3:$B$3390,"&lt;&gt;Off-street")&gt;0,1,0)</f>
        <v>0</v>
      </c>
      <c r="K1004">
        <f>IF(COUNTIFS('United Data'!$A$3:$A$3390,K$1,'United Data'!$C$3:$C$3390,$A1004,'United Data'!$B$3:$B$3390,"&lt;&gt;Off-street")&gt;0,1,0)</f>
        <v>0</v>
      </c>
      <c r="L1004">
        <f>IF(COUNTIFS('United Data'!$A$3:$A$3390,L$1,'United Data'!$C$3:$C$3390,$A1004,'United Data'!$B$3:$B$3390,"&lt;&gt;Off-street")&gt;0,1,0)</f>
        <v>0</v>
      </c>
      <c r="M1004">
        <f>IF(COUNTIFS('United Data'!$A$3:$A$3390,M$1,'United Data'!$C$3:$C$3390,$A1004,'United Data'!$B$3:$B$3390,"&lt;&gt;Off-street")&gt;0,1,0)</f>
        <v>0</v>
      </c>
      <c r="N1004">
        <f>IF(COUNTIFS('United Data'!$A$3:$A$3390,N$1,'United Data'!$C$3:$C$3390,$A1004,'United Data'!$B$3:$B$3390,"&lt;&gt;Off-street")&gt;0,1,0)</f>
        <v>0</v>
      </c>
      <c r="O1004">
        <f>IF(COUNTIFS('United Data'!$A$3:$A$3390,O$1,'United Data'!$C$3:$C$3390,$A1004,'United Data'!$B$3:$B$3390,"&lt;&gt;Off-street")&gt;0,1,0)</f>
        <v>0</v>
      </c>
      <c r="P1004">
        <f>IF(COUNTIFS('United Data'!$A$3:$A$3390,P$1,'United Data'!$C$3:$C$3390,$A1004,'United Data'!$B$3:$B$3390,"&lt;&gt;Off-street")&gt;0,1,0)</f>
        <v>0</v>
      </c>
      <c r="Q1004">
        <f>IF(COUNTIFS('United Data'!$A$3:$A$3390,Q$1,'United Data'!$C$3:$C$3390,$A1004,'United Data'!$B$3:$B$3390,"&lt;&gt;Off-street")&gt;0,1,0)</f>
        <v>0</v>
      </c>
      <c r="R1004">
        <f>IF(COUNTIFS('United Data'!$A$3:$A$3390,R$1,'United Data'!$C$3:$C$3390,$A1004,'United Data'!$B$3:$B$3390,"&lt;&gt;Off-street")&gt;0,1,0)</f>
        <v>0</v>
      </c>
      <c r="S1004">
        <f t="shared" si="30"/>
        <v>1</v>
      </c>
      <c r="T1004">
        <f t="shared" si="31"/>
        <v>1</v>
      </c>
    </row>
    <row r="1005" spans="1:20" x14ac:dyDescent="0.2">
      <c r="A1005" t="s">
        <v>1208</v>
      </c>
      <c r="B1005">
        <f>IF(COUNTIFS('United Data'!$A$3:$A$3390,B$1,'United Data'!$C$3:$C$3390,$A1005,'United Data'!$B$3:$B$3390,"&lt;&gt;Off-street")&gt;0,1,0)</f>
        <v>0</v>
      </c>
      <c r="C1005">
        <f>IF(COUNTIFS('United Data'!$A$3:$A$3390,C$1,'United Data'!$C$3:$C$3390,$A1005,'United Data'!$B$3:$B$3390,"&lt;&gt;Off-street")&gt;0,1,0)</f>
        <v>0</v>
      </c>
      <c r="D1005">
        <f>IF(COUNTIFS('United Data'!$A$3:$A$3390,D$1,'United Data'!$C$3:$C$3390,$A1005,'United Data'!$B$3:$B$3390,"&lt;&gt;Off-street")&gt;0,1,0)</f>
        <v>0</v>
      </c>
      <c r="E1005">
        <f>IF(COUNTIFS('United Data'!$A$3:$A$3390,E$1,'United Data'!$C$3:$C$3390,$A1005,'United Data'!$B$3:$B$3390,"&lt;&gt;Off-street")&gt;0,1,0)</f>
        <v>0</v>
      </c>
      <c r="F1005">
        <f>IF(COUNTIFS('United Data'!$A$3:$A$3390,F$1,'United Data'!$C$3:$C$3390,$A1005,'United Data'!$B$3:$B$3390,"&lt;&gt;Off-street")&gt;0,1,0)</f>
        <v>0</v>
      </c>
      <c r="G1005">
        <f>IF(COUNTIFS('United Data'!$A$3:$A$3390,G$1,'United Data'!$C$3:$C$3390,$A1005,'United Data'!$B$3:$B$3390,"&lt;&gt;Off-street")&gt;0,1,0)</f>
        <v>0</v>
      </c>
      <c r="H1005">
        <f>IF(COUNTIFS('United Data'!$A$3:$A$3390,H$1,'United Data'!$C$3:$C$3390,$A1005,'United Data'!$B$3:$B$3390,"&lt;&gt;Off-street")&gt;0,1,0)</f>
        <v>0</v>
      </c>
      <c r="I1005">
        <f>IF(COUNTIFS('United Data'!$A$3:$A$3390,I$1,'United Data'!$C$3:$C$3390,$A1005,'United Data'!$B$3:$B$3390,"&lt;&gt;Off-street")&gt;0,1,0)</f>
        <v>0</v>
      </c>
      <c r="J1005">
        <f>IF(COUNTIFS('United Data'!$A$3:$A$3390,J$1,'United Data'!$C$3:$C$3390,$A1005,'United Data'!$B$3:$B$3390,"&lt;&gt;Off-street")&gt;0,1,0)</f>
        <v>1</v>
      </c>
      <c r="K1005">
        <f>IF(COUNTIFS('United Data'!$A$3:$A$3390,K$1,'United Data'!$C$3:$C$3390,$A1005,'United Data'!$B$3:$B$3390,"&lt;&gt;Off-street")&gt;0,1,0)</f>
        <v>0</v>
      </c>
      <c r="L1005">
        <f>IF(COUNTIFS('United Data'!$A$3:$A$3390,L$1,'United Data'!$C$3:$C$3390,$A1005,'United Data'!$B$3:$B$3390,"&lt;&gt;Off-street")&gt;0,1,0)</f>
        <v>0</v>
      </c>
      <c r="M1005">
        <f>IF(COUNTIFS('United Data'!$A$3:$A$3390,M$1,'United Data'!$C$3:$C$3390,$A1005,'United Data'!$B$3:$B$3390,"&lt;&gt;Off-street")&gt;0,1,0)</f>
        <v>0</v>
      </c>
      <c r="N1005">
        <f>IF(COUNTIFS('United Data'!$A$3:$A$3390,N$1,'United Data'!$C$3:$C$3390,$A1005,'United Data'!$B$3:$B$3390,"&lt;&gt;Off-street")&gt;0,1,0)</f>
        <v>0</v>
      </c>
      <c r="O1005">
        <f>IF(COUNTIFS('United Data'!$A$3:$A$3390,O$1,'United Data'!$C$3:$C$3390,$A1005,'United Data'!$B$3:$B$3390,"&lt;&gt;Off-street")&gt;0,1,0)</f>
        <v>0</v>
      </c>
      <c r="P1005">
        <f>IF(COUNTIFS('United Data'!$A$3:$A$3390,P$1,'United Data'!$C$3:$C$3390,$A1005,'United Data'!$B$3:$B$3390,"&lt;&gt;Off-street")&gt;0,1,0)</f>
        <v>0</v>
      </c>
      <c r="Q1005">
        <f>IF(COUNTIFS('United Data'!$A$3:$A$3390,Q$1,'United Data'!$C$3:$C$3390,$A1005,'United Data'!$B$3:$B$3390,"&lt;&gt;Off-street")&gt;0,1,0)</f>
        <v>0</v>
      </c>
      <c r="R1005">
        <f>IF(COUNTIFS('United Data'!$A$3:$A$3390,R$1,'United Data'!$C$3:$C$3390,$A1005,'United Data'!$B$3:$B$3390,"&lt;&gt;Off-street")&gt;0,1,0)</f>
        <v>0</v>
      </c>
      <c r="S1005">
        <f t="shared" si="30"/>
        <v>1</v>
      </c>
      <c r="T1005">
        <f t="shared" si="31"/>
        <v>1</v>
      </c>
    </row>
    <row r="1006" spans="1:20" x14ac:dyDescent="0.2">
      <c r="A1006" t="s">
        <v>1209</v>
      </c>
      <c r="B1006">
        <f>IF(COUNTIFS('United Data'!$A$3:$A$3390,B$1,'United Data'!$C$3:$C$3390,$A1006,'United Data'!$B$3:$B$3390,"&lt;&gt;Off-street")&gt;0,1,0)</f>
        <v>0</v>
      </c>
      <c r="C1006">
        <f>IF(COUNTIFS('United Data'!$A$3:$A$3390,C$1,'United Data'!$C$3:$C$3390,$A1006,'United Data'!$B$3:$B$3390,"&lt;&gt;Off-street")&gt;0,1,0)</f>
        <v>0</v>
      </c>
      <c r="D1006">
        <f>IF(COUNTIFS('United Data'!$A$3:$A$3390,D$1,'United Data'!$C$3:$C$3390,$A1006,'United Data'!$B$3:$B$3390,"&lt;&gt;Off-street")&gt;0,1,0)</f>
        <v>0</v>
      </c>
      <c r="E1006">
        <f>IF(COUNTIFS('United Data'!$A$3:$A$3390,E$1,'United Data'!$C$3:$C$3390,$A1006,'United Data'!$B$3:$B$3390,"&lt;&gt;Off-street")&gt;0,1,0)</f>
        <v>0</v>
      </c>
      <c r="F1006">
        <f>IF(COUNTIFS('United Data'!$A$3:$A$3390,F$1,'United Data'!$C$3:$C$3390,$A1006,'United Data'!$B$3:$B$3390,"&lt;&gt;Off-street")&gt;0,1,0)</f>
        <v>0</v>
      </c>
      <c r="G1006">
        <f>IF(COUNTIFS('United Data'!$A$3:$A$3390,G$1,'United Data'!$C$3:$C$3390,$A1006,'United Data'!$B$3:$B$3390,"&lt;&gt;Off-street")&gt;0,1,0)</f>
        <v>0</v>
      </c>
      <c r="H1006">
        <f>IF(COUNTIFS('United Data'!$A$3:$A$3390,H$1,'United Data'!$C$3:$C$3390,$A1006,'United Data'!$B$3:$B$3390,"&lt;&gt;Off-street")&gt;0,1,0)</f>
        <v>0</v>
      </c>
      <c r="I1006">
        <f>IF(COUNTIFS('United Data'!$A$3:$A$3390,I$1,'United Data'!$C$3:$C$3390,$A1006,'United Data'!$B$3:$B$3390,"&lt;&gt;Off-street")&gt;0,1,0)</f>
        <v>0</v>
      </c>
      <c r="J1006">
        <f>IF(COUNTIFS('United Data'!$A$3:$A$3390,J$1,'United Data'!$C$3:$C$3390,$A1006,'United Data'!$B$3:$B$3390,"&lt;&gt;Off-street")&gt;0,1,0)</f>
        <v>1</v>
      </c>
      <c r="K1006">
        <f>IF(COUNTIFS('United Data'!$A$3:$A$3390,K$1,'United Data'!$C$3:$C$3390,$A1006,'United Data'!$B$3:$B$3390,"&lt;&gt;Off-street")&gt;0,1,0)</f>
        <v>0</v>
      </c>
      <c r="L1006">
        <f>IF(COUNTIFS('United Data'!$A$3:$A$3390,L$1,'United Data'!$C$3:$C$3390,$A1006,'United Data'!$B$3:$B$3390,"&lt;&gt;Off-street")&gt;0,1,0)</f>
        <v>0</v>
      </c>
      <c r="M1006">
        <f>IF(COUNTIFS('United Data'!$A$3:$A$3390,M$1,'United Data'!$C$3:$C$3390,$A1006,'United Data'!$B$3:$B$3390,"&lt;&gt;Off-street")&gt;0,1,0)</f>
        <v>0</v>
      </c>
      <c r="N1006">
        <f>IF(COUNTIFS('United Data'!$A$3:$A$3390,N$1,'United Data'!$C$3:$C$3390,$A1006,'United Data'!$B$3:$B$3390,"&lt;&gt;Off-street")&gt;0,1,0)</f>
        <v>0</v>
      </c>
      <c r="O1006">
        <f>IF(COUNTIFS('United Data'!$A$3:$A$3390,O$1,'United Data'!$C$3:$C$3390,$A1006,'United Data'!$B$3:$B$3390,"&lt;&gt;Off-street")&gt;0,1,0)</f>
        <v>0</v>
      </c>
      <c r="P1006">
        <f>IF(COUNTIFS('United Data'!$A$3:$A$3390,P$1,'United Data'!$C$3:$C$3390,$A1006,'United Data'!$B$3:$B$3390,"&lt;&gt;Off-street")&gt;0,1,0)</f>
        <v>0</v>
      </c>
      <c r="Q1006">
        <f>IF(COUNTIFS('United Data'!$A$3:$A$3390,Q$1,'United Data'!$C$3:$C$3390,$A1006,'United Data'!$B$3:$B$3390,"&lt;&gt;Off-street")&gt;0,1,0)</f>
        <v>0</v>
      </c>
      <c r="R1006">
        <f>IF(COUNTIFS('United Data'!$A$3:$A$3390,R$1,'United Data'!$C$3:$C$3390,$A1006,'United Data'!$B$3:$B$3390,"&lt;&gt;Off-street")&gt;0,1,0)</f>
        <v>0</v>
      </c>
      <c r="S1006">
        <f t="shared" si="30"/>
        <v>1</v>
      </c>
      <c r="T1006">
        <f t="shared" si="31"/>
        <v>1</v>
      </c>
    </row>
    <row r="1007" spans="1:20" x14ac:dyDescent="0.2">
      <c r="A1007" t="s">
        <v>1210</v>
      </c>
      <c r="B1007">
        <f>IF(COUNTIFS('United Data'!$A$3:$A$3390,B$1,'United Data'!$C$3:$C$3390,$A1007,'United Data'!$B$3:$B$3390,"&lt;&gt;Off-street")&gt;0,1,0)</f>
        <v>0</v>
      </c>
      <c r="C1007">
        <f>IF(COUNTIFS('United Data'!$A$3:$A$3390,C$1,'United Data'!$C$3:$C$3390,$A1007,'United Data'!$B$3:$B$3390,"&lt;&gt;Off-street")&gt;0,1,0)</f>
        <v>0</v>
      </c>
      <c r="D1007">
        <f>IF(COUNTIFS('United Data'!$A$3:$A$3390,D$1,'United Data'!$C$3:$C$3390,$A1007,'United Data'!$B$3:$B$3390,"&lt;&gt;Off-street")&gt;0,1,0)</f>
        <v>1</v>
      </c>
      <c r="E1007">
        <f>IF(COUNTIFS('United Data'!$A$3:$A$3390,E$1,'United Data'!$C$3:$C$3390,$A1007,'United Data'!$B$3:$B$3390,"&lt;&gt;Off-street")&gt;0,1,0)</f>
        <v>1</v>
      </c>
      <c r="F1007">
        <f>IF(COUNTIFS('United Data'!$A$3:$A$3390,F$1,'United Data'!$C$3:$C$3390,$A1007,'United Data'!$B$3:$B$3390,"&lt;&gt;Off-street")&gt;0,1,0)</f>
        <v>0</v>
      </c>
      <c r="G1007">
        <f>IF(COUNTIFS('United Data'!$A$3:$A$3390,G$1,'United Data'!$C$3:$C$3390,$A1007,'United Data'!$B$3:$B$3390,"&lt;&gt;Off-street")&gt;0,1,0)</f>
        <v>0</v>
      </c>
      <c r="H1007">
        <f>IF(COUNTIFS('United Data'!$A$3:$A$3390,H$1,'United Data'!$C$3:$C$3390,$A1007,'United Data'!$B$3:$B$3390,"&lt;&gt;Off-street")&gt;0,1,0)</f>
        <v>0</v>
      </c>
      <c r="I1007">
        <f>IF(COUNTIFS('United Data'!$A$3:$A$3390,I$1,'United Data'!$C$3:$C$3390,$A1007,'United Data'!$B$3:$B$3390,"&lt;&gt;Off-street")&gt;0,1,0)</f>
        <v>0</v>
      </c>
      <c r="J1007">
        <f>IF(COUNTIFS('United Data'!$A$3:$A$3390,J$1,'United Data'!$C$3:$C$3390,$A1007,'United Data'!$B$3:$B$3390,"&lt;&gt;Off-street")&gt;0,1,0)</f>
        <v>0</v>
      </c>
      <c r="K1007">
        <f>IF(COUNTIFS('United Data'!$A$3:$A$3390,K$1,'United Data'!$C$3:$C$3390,$A1007,'United Data'!$B$3:$B$3390,"&lt;&gt;Off-street")&gt;0,1,0)</f>
        <v>1</v>
      </c>
      <c r="L1007">
        <f>IF(COUNTIFS('United Data'!$A$3:$A$3390,L$1,'United Data'!$C$3:$C$3390,$A1007,'United Data'!$B$3:$B$3390,"&lt;&gt;Off-street")&gt;0,1,0)</f>
        <v>0</v>
      </c>
      <c r="M1007">
        <f>IF(COUNTIFS('United Data'!$A$3:$A$3390,M$1,'United Data'!$C$3:$C$3390,$A1007,'United Data'!$B$3:$B$3390,"&lt;&gt;Off-street")&gt;0,1,0)</f>
        <v>0</v>
      </c>
      <c r="N1007">
        <f>IF(COUNTIFS('United Data'!$A$3:$A$3390,N$1,'United Data'!$C$3:$C$3390,$A1007,'United Data'!$B$3:$B$3390,"&lt;&gt;Off-street")&gt;0,1,0)</f>
        <v>0</v>
      </c>
      <c r="O1007">
        <f>IF(COUNTIFS('United Data'!$A$3:$A$3390,O$1,'United Data'!$C$3:$C$3390,$A1007,'United Data'!$B$3:$B$3390,"&lt;&gt;Off-street")&gt;0,1,0)</f>
        <v>0</v>
      </c>
      <c r="P1007">
        <f>IF(COUNTIFS('United Data'!$A$3:$A$3390,P$1,'United Data'!$C$3:$C$3390,$A1007,'United Data'!$B$3:$B$3390,"&lt;&gt;Off-street")&gt;0,1,0)</f>
        <v>0</v>
      </c>
      <c r="Q1007">
        <f>IF(COUNTIFS('United Data'!$A$3:$A$3390,Q$1,'United Data'!$C$3:$C$3390,$A1007,'United Data'!$B$3:$B$3390,"&lt;&gt;Off-street")&gt;0,1,0)</f>
        <v>0</v>
      </c>
      <c r="R1007">
        <f>IF(COUNTIFS('United Data'!$A$3:$A$3390,R$1,'United Data'!$C$3:$C$3390,$A1007,'United Data'!$B$3:$B$3390,"&lt;&gt;Off-street")&gt;0,1,0)</f>
        <v>0</v>
      </c>
      <c r="S1007">
        <f t="shared" si="30"/>
        <v>3</v>
      </c>
      <c r="T1007">
        <f t="shared" si="31"/>
        <v>2</v>
      </c>
    </row>
    <row r="1008" spans="1:20" x14ac:dyDescent="0.2">
      <c r="A1008" t="s">
        <v>1211</v>
      </c>
      <c r="B1008">
        <f>IF(COUNTIFS('United Data'!$A$3:$A$3390,B$1,'United Data'!$C$3:$C$3390,$A1008,'United Data'!$B$3:$B$3390,"&lt;&gt;Off-street")&gt;0,1,0)</f>
        <v>0</v>
      </c>
      <c r="C1008">
        <f>IF(COUNTIFS('United Data'!$A$3:$A$3390,C$1,'United Data'!$C$3:$C$3390,$A1008,'United Data'!$B$3:$B$3390,"&lt;&gt;Off-street")&gt;0,1,0)</f>
        <v>0</v>
      </c>
      <c r="D1008">
        <f>IF(COUNTIFS('United Data'!$A$3:$A$3390,D$1,'United Data'!$C$3:$C$3390,$A1008,'United Data'!$B$3:$B$3390,"&lt;&gt;Off-street")&gt;0,1,0)</f>
        <v>0</v>
      </c>
      <c r="E1008">
        <f>IF(COUNTIFS('United Data'!$A$3:$A$3390,E$1,'United Data'!$C$3:$C$3390,$A1008,'United Data'!$B$3:$B$3390,"&lt;&gt;Off-street")&gt;0,1,0)</f>
        <v>0</v>
      </c>
      <c r="F1008">
        <f>IF(COUNTIFS('United Data'!$A$3:$A$3390,F$1,'United Data'!$C$3:$C$3390,$A1008,'United Data'!$B$3:$B$3390,"&lt;&gt;Off-street")&gt;0,1,0)</f>
        <v>0</v>
      </c>
      <c r="G1008">
        <f>IF(COUNTIFS('United Data'!$A$3:$A$3390,G$1,'United Data'!$C$3:$C$3390,$A1008,'United Data'!$B$3:$B$3390,"&lt;&gt;Off-street")&gt;0,1,0)</f>
        <v>0</v>
      </c>
      <c r="H1008">
        <f>IF(COUNTIFS('United Data'!$A$3:$A$3390,H$1,'United Data'!$C$3:$C$3390,$A1008,'United Data'!$B$3:$B$3390,"&lt;&gt;Off-street")&gt;0,1,0)</f>
        <v>0</v>
      </c>
      <c r="I1008">
        <f>IF(COUNTIFS('United Data'!$A$3:$A$3390,I$1,'United Data'!$C$3:$C$3390,$A1008,'United Data'!$B$3:$B$3390,"&lt;&gt;Off-street")&gt;0,1,0)</f>
        <v>0</v>
      </c>
      <c r="J1008">
        <f>IF(COUNTIFS('United Data'!$A$3:$A$3390,J$1,'United Data'!$C$3:$C$3390,$A1008,'United Data'!$B$3:$B$3390,"&lt;&gt;Off-street")&gt;0,1,0)</f>
        <v>0</v>
      </c>
      <c r="K1008">
        <f>IF(COUNTIFS('United Data'!$A$3:$A$3390,K$1,'United Data'!$C$3:$C$3390,$A1008,'United Data'!$B$3:$B$3390,"&lt;&gt;Off-street")&gt;0,1,0)</f>
        <v>0</v>
      </c>
      <c r="L1008">
        <f>IF(COUNTIFS('United Data'!$A$3:$A$3390,L$1,'United Data'!$C$3:$C$3390,$A1008,'United Data'!$B$3:$B$3390,"&lt;&gt;Off-street")&gt;0,1,0)</f>
        <v>1</v>
      </c>
      <c r="M1008">
        <f>IF(COUNTIFS('United Data'!$A$3:$A$3390,M$1,'United Data'!$C$3:$C$3390,$A1008,'United Data'!$B$3:$B$3390,"&lt;&gt;Off-street")&gt;0,1,0)</f>
        <v>0</v>
      </c>
      <c r="N1008">
        <f>IF(COUNTIFS('United Data'!$A$3:$A$3390,N$1,'United Data'!$C$3:$C$3390,$A1008,'United Data'!$B$3:$B$3390,"&lt;&gt;Off-street")&gt;0,1,0)</f>
        <v>0</v>
      </c>
      <c r="O1008">
        <f>IF(COUNTIFS('United Data'!$A$3:$A$3390,O$1,'United Data'!$C$3:$C$3390,$A1008,'United Data'!$B$3:$B$3390,"&lt;&gt;Off-street")&gt;0,1,0)</f>
        <v>0</v>
      </c>
      <c r="P1008">
        <f>IF(COUNTIFS('United Data'!$A$3:$A$3390,P$1,'United Data'!$C$3:$C$3390,$A1008,'United Data'!$B$3:$B$3390,"&lt;&gt;Off-street")&gt;0,1,0)</f>
        <v>0</v>
      </c>
      <c r="Q1008">
        <f>IF(COUNTIFS('United Data'!$A$3:$A$3390,Q$1,'United Data'!$C$3:$C$3390,$A1008,'United Data'!$B$3:$B$3390,"&lt;&gt;Off-street")&gt;0,1,0)</f>
        <v>0</v>
      </c>
      <c r="R1008">
        <f>IF(COUNTIFS('United Data'!$A$3:$A$3390,R$1,'United Data'!$C$3:$C$3390,$A1008,'United Data'!$B$3:$B$3390,"&lt;&gt;Off-street")&gt;0,1,0)</f>
        <v>0</v>
      </c>
      <c r="S1008">
        <f t="shared" si="30"/>
        <v>1</v>
      </c>
      <c r="T1008">
        <f t="shared" si="31"/>
        <v>1</v>
      </c>
    </row>
    <row r="1009" spans="1:20" x14ac:dyDescent="0.2">
      <c r="A1009" t="s">
        <v>1212</v>
      </c>
      <c r="B1009">
        <f>IF(COUNTIFS('United Data'!$A$3:$A$3390,B$1,'United Data'!$C$3:$C$3390,$A1009,'United Data'!$B$3:$B$3390,"&lt;&gt;Off-street")&gt;0,1,0)</f>
        <v>0</v>
      </c>
      <c r="C1009">
        <f>IF(COUNTIFS('United Data'!$A$3:$A$3390,C$1,'United Data'!$C$3:$C$3390,$A1009,'United Data'!$B$3:$B$3390,"&lt;&gt;Off-street")&gt;0,1,0)</f>
        <v>0</v>
      </c>
      <c r="D1009">
        <f>IF(COUNTIFS('United Data'!$A$3:$A$3390,D$1,'United Data'!$C$3:$C$3390,$A1009,'United Data'!$B$3:$B$3390,"&lt;&gt;Off-street")&gt;0,1,0)</f>
        <v>0</v>
      </c>
      <c r="E1009">
        <f>IF(COUNTIFS('United Data'!$A$3:$A$3390,E$1,'United Data'!$C$3:$C$3390,$A1009,'United Data'!$B$3:$B$3390,"&lt;&gt;Off-street")&gt;0,1,0)</f>
        <v>0</v>
      </c>
      <c r="F1009">
        <f>IF(COUNTIFS('United Data'!$A$3:$A$3390,F$1,'United Data'!$C$3:$C$3390,$A1009,'United Data'!$B$3:$B$3390,"&lt;&gt;Off-street")&gt;0,1,0)</f>
        <v>0</v>
      </c>
      <c r="G1009">
        <f>IF(COUNTIFS('United Data'!$A$3:$A$3390,G$1,'United Data'!$C$3:$C$3390,$A1009,'United Data'!$B$3:$B$3390,"&lt;&gt;Off-street")&gt;0,1,0)</f>
        <v>0</v>
      </c>
      <c r="H1009">
        <f>IF(COUNTIFS('United Data'!$A$3:$A$3390,H$1,'United Data'!$C$3:$C$3390,$A1009,'United Data'!$B$3:$B$3390,"&lt;&gt;Off-street")&gt;0,1,0)</f>
        <v>0</v>
      </c>
      <c r="I1009">
        <f>IF(COUNTIFS('United Data'!$A$3:$A$3390,I$1,'United Data'!$C$3:$C$3390,$A1009,'United Data'!$B$3:$B$3390,"&lt;&gt;Off-street")&gt;0,1,0)</f>
        <v>0</v>
      </c>
      <c r="J1009">
        <f>IF(COUNTIFS('United Data'!$A$3:$A$3390,J$1,'United Data'!$C$3:$C$3390,$A1009,'United Data'!$B$3:$B$3390,"&lt;&gt;Off-street")&gt;0,1,0)</f>
        <v>0</v>
      </c>
      <c r="K1009">
        <f>IF(COUNTIFS('United Data'!$A$3:$A$3390,K$1,'United Data'!$C$3:$C$3390,$A1009,'United Data'!$B$3:$B$3390,"&lt;&gt;Off-street")&gt;0,1,0)</f>
        <v>0</v>
      </c>
      <c r="L1009">
        <f>IF(COUNTIFS('United Data'!$A$3:$A$3390,L$1,'United Data'!$C$3:$C$3390,$A1009,'United Data'!$B$3:$B$3390,"&lt;&gt;Off-street")&gt;0,1,0)</f>
        <v>1</v>
      </c>
      <c r="M1009">
        <f>IF(COUNTIFS('United Data'!$A$3:$A$3390,M$1,'United Data'!$C$3:$C$3390,$A1009,'United Data'!$B$3:$B$3390,"&lt;&gt;Off-street")&gt;0,1,0)</f>
        <v>0</v>
      </c>
      <c r="N1009">
        <f>IF(COUNTIFS('United Data'!$A$3:$A$3390,N$1,'United Data'!$C$3:$C$3390,$A1009,'United Data'!$B$3:$B$3390,"&lt;&gt;Off-street")&gt;0,1,0)</f>
        <v>0</v>
      </c>
      <c r="O1009">
        <f>IF(COUNTIFS('United Data'!$A$3:$A$3390,O$1,'United Data'!$C$3:$C$3390,$A1009,'United Data'!$B$3:$B$3390,"&lt;&gt;Off-street")&gt;0,1,0)</f>
        <v>0</v>
      </c>
      <c r="P1009">
        <f>IF(COUNTIFS('United Data'!$A$3:$A$3390,P$1,'United Data'!$C$3:$C$3390,$A1009,'United Data'!$B$3:$B$3390,"&lt;&gt;Off-street")&gt;0,1,0)</f>
        <v>0</v>
      </c>
      <c r="Q1009">
        <f>IF(COUNTIFS('United Data'!$A$3:$A$3390,Q$1,'United Data'!$C$3:$C$3390,$A1009,'United Data'!$B$3:$B$3390,"&lt;&gt;Off-street")&gt;0,1,0)</f>
        <v>0</v>
      </c>
      <c r="R1009">
        <f>IF(COUNTIFS('United Data'!$A$3:$A$3390,R$1,'United Data'!$C$3:$C$3390,$A1009,'United Data'!$B$3:$B$3390,"&lt;&gt;Off-street")&gt;0,1,0)</f>
        <v>0</v>
      </c>
      <c r="S1009">
        <f t="shared" si="30"/>
        <v>1</v>
      </c>
      <c r="T1009">
        <f t="shared" si="31"/>
        <v>1</v>
      </c>
    </row>
    <row r="1010" spans="1:20" x14ac:dyDescent="0.2">
      <c r="A1010" t="s">
        <v>1213</v>
      </c>
      <c r="B1010">
        <f>IF(COUNTIFS('United Data'!$A$3:$A$3390,B$1,'United Data'!$C$3:$C$3390,$A1010,'United Data'!$B$3:$B$3390,"&lt;&gt;Off-street")&gt;0,1,0)</f>
        <v>0</v>
      </c>
      <c r="C1010">
        <f>IF(COUNTIFS('United Data'!$A$3:$A$3390,C$1,'United Data'!$C$3:$C$3390,$A1010,'United Data'!$B$3:$B$3390,"&lt;&gt;Off-street")&gt;0,1,0)</f>
        <v>0</v>
      </c>
      <c r="D1010">
        <f>IF(COUNTIFS('United Data'!$A$3:$A$3390,D$1,'United Data'!$C$3:$C$3390,$A1010,'United Data'!$B$3:$B$3390,"&lt;&gt;Off-street")&gt;0,1,0)</f>
        <v>0</v>
      </c>
      <c r="E1010">
        <f>IF(COUNTIFS('United Data'!$A$3:$A$3390,E$1,'United Data'!$C$3:$C$3390,$A1010,'United Data'!$B$3:$B$3390,"&lt;&gt;Off-street")&gt;0,1,0)</f>
        <v>0</v>
      </c>
      <c r="F1010">
        <f>IF(COUNTIFS('United Data'!$A$3:$A$3390,F$1,'United Data'!$C$3:$C$3390,$A1010,'United Data'!$B$3:$B$3390,"&lt;&gt;Off-street")&gt;0,1,0)</f>
        <v>0</v>
      </c>
      <c r="G1010">
        <f>IF(COUNTIFS('United Data'!$A$3:$A$3390,G$1,'United Data'!$C$3:$C$3390,$A1010,'United Data'!$B$3:$B$3390,"&lt;&gt;Off-street")&gt;0,1,0)</f>
        <v>0</v>
      </c>
      <c r="H1010">
        <f>IF(COUNTIFS('United Data'!$A$3:$A$3390,H$1,'United Data'!$C$3:$C$3390,$A1010,'United Data'!$B$3:$B$3390,"&lt;&gt;Off-street")&gt;0,1,0)</f>
        <v>0</v>
      </c>
      <c r="I1010">
        <f>IF(COUNTIFS('United Data'!$A$3:$A$3390,I$1,'United Data'!$C$3:$C$3390,$A1010,'United Data'!$B$3:$B$3390,"&lt;&gt;Off-street")&gt;0,1,0)</f>
        <v>0</v>
      </c>
      <c r="J1010">
        <f>IF(COUNTIFS('United Data'!$A$3:$A$3390,J$1,'United Data'!$C$3:$C$3390,$A1010,'United Data'!$B$3:$B$3390,"&lt;&gt;Off-street")&gt;0,1,0)</f>
        <v>0</v>
      </c>
      <c r="K1010">
        <f>IF(COUNTIFS('United Data'!$A$3:$A$3390,K$1,'United Data'!$C$3:$C$3390,$A1010,'United Data'!$B$3:$B$3390,"&lt;&gt;Off-street")&gt;0,1,0)</f>
        <v>0</v>
      </c>
      <c r="L1010">
        <f>IF(COUNTIFS('United Data'!$A$3:$A$3390,L$1,'United Data'!$C$3:$C$3390,$A1010,'United Data'!$B$3:$B$3390,"&lt;&gt;Off-street")&gt;0,1,0)</f>
        <v>1</v>
      </c>
      <c r="M1010">
        <f>IF(COUNTIFS('United Data'!$A$3:$A$3390,M$1,'United Data'!$C$3:$C$3390,$A1010,'United Data'!$B$3:$B$3390,"&lt;&gt;Off-street")&gt;0,1,0)</f>
        <v>0</v>
      </c>
      <c r="N1010">
        <f>IF(COUNTIFS('United Data'!$A$3:$A$3390,N$1,'United Data'!$C$3:$C$3390,$A1010,'United Data'!$B$3:$B$3390,"&lt;&gt;Off-street")&gt;0,1,0)</f>
        <v>0</v>
      </c>
      <c r="O1010">
        <f>IF(COUNTIFS('United Data'!$A$3:$A$3390,O$1,'United Data'!$C$3:$C$3390,$A1010,'United Data'!$B$3:$B$3390,"&lt;&gt;Off-street")&gt;0,1,0)</f>
        <v>0</v>
      </c>
      <c r="P1010">
        <f>IF(COUNTIFS('United Data'!$A$3:$A$3390,P$1,'United Data'!$C$3:$C$3390,$A1010,'United Data'!$B$3:$B$3390,"&lt;&gt;Off-street")&gt;0,1,0)</f>
        <v>0</v>
      </c>
      <c r="Q1010">
        <f>IF(COUNTIFS('United Data'!$A$3:$A$3390,Q$1,'United Data'!$C$3:$C$3390,$A1010,'United Data'!$B$3:$B$3390,"&lt;&gt;Off-street")&gt;0,1,0)</f>
        <v>0</v>
      </c>
      <c r="R1010">
        <f>IF(COUNTIFS('United Data'!$A$3:$A$3390,R$1,'United Data'!$C$3:$C$3390,$A1010,'United Data'!$B$3:$B$3390,"&lt;&gt;Off-street")&gt;0,1,0)</f>
        <v>0</v>
      </c>
      <c r="S1010">
        <f t="shared" si="30"/>
        <v>1</v>
      </c>
      <c r="T1010">
        <f t="shared" si="31"/>
        <v>1</v>
      </c>
    </row>
    <row r="1011" spans="1:20" x14ac:dyDescent="0.2">
      <c r="A1011" t="s">
        <v>1214</v>
      </c>
      <c r="B1011">
        <f>IF(COUNTIFS('United Data'!$A$3:$A$3390,B$1,'United Data'!$C$3:$C$3390,$A1011,'United Data'!$B$3:$B$3390,"&lt;&gt;Off-street")&gt;0,1,0)</f>
        <v>0</v>
      </c>
      <c r="C1011">
        <f>IF(COUNTIFS('United Data'!$A$3:$A$3390,C$1,'United Data'!$C$3:$C$3390,$A1011,'United Data'!$B$3:$B$3390,"&lt;&gt;Off-street")&gt;0,1,0)</f>
        <v>0</v>
      </c>
      <c r="D1011">
        <f>IF(COUNTIFS('United Data'!$A$3:$A$3390,D$1,'United Data'!$C$3:$C$3390,$A1011,'United Data'!$B$3:$B$3390,"&lt;&gt;Off-street")&gt;0,1,0)</f>
        <v>0</v>
      </c>
      <c r="E1011">
        <f>IF(COUNTIFS('United Data'!$A$3:$A$3390,E$1,'United Data'!$C$3:$C$3390,$A1011,'United Data'!$B$3:$B$3390,"&lt;&gt;Off-street")&gt;0,1,0)</f>
        <v>0</v>
      </c>
      <c r="F1011">
        <f>IF(COUNTIFS('United Data'!$A$3:$A$3390,F$1,'United Data'!$C$3:$C$3390,$A1011,'United Data'!$B$3:$B$3390,"&lt;&gt;Off-street")&gt;0,1,0)</f>
        <v>0</v>
      </c>
      <c r="G1011">
        <f>IF(COUNTIFS('United Data'!$A$3:$A$3390,G$1,'United Data'!$C$3:$C$3390,$A1011,'United Data'!$B$3:$B$3390,"&lt;&gt;Off-street")&gt;0,1,0)</f>
        <v>0</v>
      </c>
      <c r="H1011">
        <f>IF(COUNTIFS('United Data'!$A$3:$A$3390,H$1,'United Data'!$C$3:$C$3390,$A1011,'United Data'!$B$3:$B$3390,"&lt;&gt;Off-street")&gt;0,1,0)</f>
        <v>0</v>
      </c>
      <c r="I1011">
        <f>IF(COUNTIFS('United Data'!$A$3:$A$3390,I$1,'United Data'!$C$3:$C$3390,$A1011,'United Data'!$B$3:$B$3390,"&lt;&gt;Off-street")&gt;0,1,0)</f>
        <v>0</v>
      </c>
      <c r="J1011">
        <f>IF(COUNTIFS('United Data'!$A$3:$A$3390,J$1,'United Data'!$C$3:$C$3390,$A1011,'United Data'!$B$3:$B$3390,"&lt;&gt;Off-street")&gt;0,1,0)</f>
        <v>0</v>
      </c>
      <c r="K1011">
        <f>IF(COUNTIFS('United Data'!$A$3:$A$3390,K$1,'United Data'!$C$3:$C$3390,$A1011,'United Data'!$B$3:$B$3390,"&lt;&gt;Off-street")&gt;0,1,0)</f>
        <v>0</v>
      </c>
      <c r="L1011">
        <f>IF(COUNTIFS('United Data'!$A$3:$A$3390,L$1,'United Data'!$C$3:$C$3390,$A1011,'United Data'!$B$3:$B$3390,"&lt;&gt;Off-street")&gt;0,1,0)</f>
        <v>1</v>
      </c>
      <c r="M1011">
        <f>IF(COUNTIFS('United Data'!$A$3:$A$3390,M$1,'United Data'!$C$3:$C$3390,$A1011,'United Data'!$B$3:$B$3390,"&lt;&gt;Off-street")&gt;0,1,0)</f>
        <v>0</v>
      </c>
      <c r="N1011">
        <f>IF(COUNTIFS('United Data'!$A$3:$A$3390,N$1,'United Data'!$C$3:$C$3390,$A1011,'United Data'!$B$3:$B$3390,"&lt;&gt;Off-street")&gt;0,1,0)</f>
        <v>0</v>
      </c>
      <c r="O1011">
        <f>IF(COUNTIFS('United Data'!$A$3:$A$3390,O$1,'United Data'!$C$3:$C$3390,$A1011,'United Data'!$B$3:$B$3390,"&lt;&gt;Off-street")&gt;0,1,0)</f>
        <v>0</v>
      </c>
      <c r="P1011">
        <f>IF(COUNTIFS('United Data'!$A$3:$A$3390,P$1,'United Data'!$C$3:$C$3390,$A1011,'United Data'!$B$3:$B$3390,"&lt;&gt;Off-street")&gt;0,1,0)</f>
        <v>0</v>
      </c>
      <c r="Q1011">
        <f>IF(COUNTIFS('United Data'!$A$3:$A$3390,Q$1,'United Data'!$C$3:$C$3390,$A1011,'United Data'!$B$3:$B$3390,"&lt;&gt;Off-street")&gt;0,1,0)</f>
        <v>0</v>
      </c>
      <c r="R1011">
        <f>IF(COUNTIFS('United Data'!$A$3:$A$3390,R$1,'United Data'!$C$3:$C$3390,$A1011,'United Data'!$B$3:$B$3390,"&lt;&gt;Off-street")&gt;0,1,0)</f>
        <v>0</v>
      </c>
      <c r="S1011">
        <f t="shared" si="30"/>
        <v>1</v>
      </c>
      <c r="T1011">
        <f t="shared" si="31"/>
        <v>1</v>
      </c>
    </row>
    <row r="1012" spans="1:20" x14ac:dyDescent="0.2">
      <c r="A1012" t="s">
        <v>1215</v>
      </c>
      <c r="B1012">
        <f>IF(COUNTIFS('United Data'!$A$3:$A$3390,B$1,'United Data'!$C$3:$C$3390,$A1012,'United Data'!$B$3:$B$3390,"&lt;&gt;Off-street")&gt;0,1,0)</f>
        <v>0</v>
      </c>
      <c r="C1012">
        <f>IF(COUNTIFS('United Data'!$A$3:$A$3390,C$1,'United Data'!$C$3:$C$3390,$A1012,'United Data'!$B$3:$B$3390,"&lt;&gt;Off-street")&gt;0,1,0)</f>
        <v>0</v>
      </c>
      <c r="D1012">
        <f>IF(COUNTIFS('United Data'!$A$3:$A$3390,D$1,'United Data'!$C$3:$C$3390,$A1012,'United Data'!$B$3:$B$3390,"&lt;&gt;Off-street")&gt;0,1,0)</f>
        <v>0</v>
      </c>
      <c r="E1012">
        <f>IF(COUNTIFS('United Data'!$A$3:$A$3390,E$1,'United Data'!$C$3:$C$3390,$A1012,'United Data'!$B$3:$B$3390,"&lt;&gt;Off-street")&gt;0,1,0)</f>
        <v>0</v>
      </c>
      <c r="F1012">
        <f>IF(COUNTIFS('United Data'!$A$3:$A$3390,F$1,'United Data'!$C$3:$C$3390,$A1012,'United Data'!$B$3:$B$3390,"&lt;&gt;Off-street")&gt;0,1,0)</f>
        <v>0</v>
      </c>
      <c r="G1012">
        <f>IF(COUNTIFS('United Data'!$A$3:$A$3390,G$1,'United Data'!$C$3:$C$3390,$A1012,'United Data'!$B$3:$B$3390,"&lt;&gt;Off-street")&gt;0,1,0)</f>
        <v>0</v>
      </c>
      <c r="H1012">
        <f>IF(COUNTIFS('United Data'!$A$3:$A$3390,H$1,'United Data'!$C$3:$C$3390,$A1012,'United Data'!$B$3:$B$3390,"&lt;&gt;Off-street")&gt;0,1,0)</f>
        <v>0</v>
      </c>
      <c r="I1012">
        <f>IF(COUNTIFS('United Data'!$A$3:$A$3390,I$1,'United Data'!$C$3:$C$3390,$A1012,'United Data'!$B$3:$B$3390,"&lt;&gt;Off-street")&gt;0,1,0)</f>
        <v>0</v>
      </c>
      <c r="J1012">
        <f>IF(COUNTIFS('United Data'!$A$3:$A$3390,J$1,'United Data'!$C$3:$C$3390,$A1012,'United Data'!$B$3:$B$3390,"&lt;&gt;Off-street")&gt;0,1,0)</f>
        <v>0</v>
      </c>
      <c r="K1012">
        <f>IF(COUNTIFS('United Data'!$A$3:$A$3390,K$1,'United Data'!$C$3:$C$3390,$A1012,'United Data'!$B$3:$B$3390,"&lt;&gt;Off-street")&gt;0,1,0)</f>
        <v>0</v>
      </c>
      <c r="L1012">
        <f>IF(COUNTIFS('United Data'!$A$3:$A$3390,L$1,'United Data'!$C$3:$C$3390,$A1012,'United Data'!$B$3:$B$3390,"&lt;&gt;Off-street")&gt;0,1,0)</f>
        <v>0</v>
      </c>
      <c r="M1012">
        <f>IF(COUNTIFS('United Data'!$A$3:$A$3390,M$1,'United Data'!$C$3:$C$3390,$A1012,'United Data'!$B$3:$B$3390,"&lt;&gt;Off-street")&gt;0,1,0)</f>
        <v>1</v>
      </c>
      <c r="N1012">
        <f>IF(COUNTIFS('United Data'!$A$3:$A$3390,N$1,'United Data'!$C$3:$C$3390,$A1012,'United Data'!$B$3:$B$3390,"&lt;&gt;Off-street")&gt;0,1,0)</f>
        <v>0</v>
      </c>
      <c r="O1012">
        <f>IF(COUNTIFS('United Data'!$A$3:$A$3390,O$1,'United Data'!$C$3:$C$3390,$A1012,'United Data'!$B$3:$B$3390,"&lt;&gt;Off-street")&gt;0,1,0)</f>
        <v>0</v>
      </c>
      <c r="P1012">
        <f>IF(COUNTIFS('United Data'!$A$3:$A$3390,P$1,'United Data'!$C$3:$C$3390,$A1012,'United Data'!$B$3:$B$3390,"&lt;&gt;Off-street")&gt;0,1,0)</f>
        <v>0</v>
      </c>
      <c r="Q1012">
        <f>IF(COUNTIFS('United Data'!$A$3:$A$3390,Q$1,'United Data'!$C$3:$C$3390,$A1012,'United Data'!$B$3:$B$3390,"&lt;&gt;Off-street")&gt;0,1,0)</f>
        <v>0</v>
      </c>
      <c r="R1012">
        <f>IF(COUNTIFS('United Data'!$A$3:$A$3390,R$1,'United Data'!$C$3:$C$3390,$A1012,'United Data'!$B$3:$B$3390,"&lt;&gt;Off-street")&gt;0,1,0)</f>
        <v>0</v>
      </c>
      <c r="S1012">
        <f t="shared" si="30"/>
        <v>1</v>
      </c>
      <c r="T1012">
        <f t="shared" si="31"/>
        <v>1</v>
      </c>
    </row>
    <row r="1013" spans="1:20" x14ac:dyDescent="0.2">
      <c r="A1013" t="s">
        <v>1216</v>
      </c>
      <c r="B1013">
        <f>IF(COUNTIFS('United Data'!$A$3:$A$3390,B$1,'United Data'!$C$3:$C$3390,$A1013,'United Data'!$B$3:$B$3390,"&lt;&gt;Off-street")&gt;0,1,0)</f>
        <v>0</v>
      </c>
      <c r="C1013">
        <f>IF(COUNTIFS('United Data'!$A$3:$A$3390,C$1,'United Data'!$C$3:$C$3390,$A1013,'United Data'!$B$3:$B$3390,"&lt;&gt;Off-street")&gt;0,1,0)</f>
        <v>0</v>
      </c>
      <c r="D1013">
        <f>IF(COUNTIFS('United Data'!$A$3:$A$3390,D$1,'United Data'!$C$3:$C$3390,$A1013,'United Data'!$B$3:$B$3390,"&lt;&gt;Off-street")&gt;0,1,0)</f>
        <v>0</v>
      </c>
      <c r="E1013">
        <f>IF(COUNTIFS('United Data'!$A$3:$A$3390,E$1,'United Data'!$C$3:$C$3390,$A1013,'United Data'!$B$3:$B$3390,"&lt;&gt;Off-street")&gt;0,1,0)</f>
        <v>0</v>
      </c>
      <c r="F1013">
        <f>IF(COUNTIFS('United Data'!$A$3:$A$3390,F$1,'United Data'!$C$3:$C$3390,$A1013,'United Data'!$B$3:$B$3390,"&lt;&gt;Off-street")&gt;0,1,0)</f>
        <v>0</v>
      </c>
      <c r="G1013">
        <f>IF(COUNTIFS('United Data'!$A$3:$A$3390,G$1,'United Data'!$C$3:$C$3390,$A1013,'United Data'!$B$3:$B$3390,"&lt;&gt;Off-street")&gt;0,1,0)</f>
        <v>0</v>
      </c>
      <c r="H1013">
        <f>IF(COUNTIFS('United Data'!$A$3:$A$3390,H$1,'United Data'!$C$3:$C$3390,$A1013,'United Data'!$B$3:$B$3390,"&lt;&gt;Off-street")&gt;0,1,0)</f>
        <v>0</v>
      </c>
      <c r="I1013">
        <f>IF(COUNTIFS('United Data'!$A$3:$A$3390,I$1,'United Data'!$C$3:$C$3390,$A1013,'United Data'!$B$3:$B$3390,"&lt;&gt;Off-street")&gt;0,1,0)</f>
        <v>0</v>
      </c>
      <c r="J1013">
        <f>IF(COUNTIFS('United Data'!$A$3:$A$3390,J$1,'United Data'!$C$3:$C$3390,$A1013,'United Data'!$B$3:$B$3390,"&lt;&gt;Off-street")&gt;0,1,0)</f>
        <v>0</v>
      </c>
      <c r="K1013">
        <f>IF(COUNTIFS('United Data'!$A$3:$A$3390,K$1,'United Data'!$C$3:$C$3390,$A1013,'United Data'!$B$3:$B$3390,"&lt;&gt;Off-street")&gt;0,1,0)</f>
        <v>0</v>
      </c>
      <c r="L1013">
        <f>IF(COUNTIFS('United Data'!$A$3:$A$3390,L$1,'United Data'!$C$3:$C$3390,$A1013,'United Data'!$B$3:$B$3390,"&lt;&gt;Off-street")&gt;0,1,0)</f>
        <v>0</v>
      </c>
      <c r="M1013">
        <f>IF(COUNTIFS('United Data'!$A$3:$A$3390,M$1,'United Data'!$C$3:$C$3390,$A1013,'United Data'!$B$3:$B$3390,"&lt;&gt;Off-street")&gt;0,1,0)</f>
        <v>0</v>
      </c>
      <c r="N1013">
        <f>IF(COUNTIFS('United Data'!$A$3:$A$3390,N$1,'United Data'!$C$3:$C$3390,$A1013,'United Data'!$B$3:$B$3390,"&lt;&gt;Off-street")&gt;0,1,0)</f>
        <v>1</v>
      </c>
      <c r="O1013">
        <f>IF(COUNTIFS('United Data'!$A$3:$A$3390,O$1,'United Data'!$C$3:$C$3390,$A1013,'United Data'!$B$3:$B$3390,"&lt;&gt;Off-street")&gt;0,1,0)</f>
        <v>0</v>
      </c>
      <c r="P1013">
        <f>IF(COUNTIFS('United Data'!$A$3:$A$3390,P$1,'United Data'!$C$3:$C$3390,$A1013,'United Data'!$B$3:$B$3390,"&lt;&gt;Off-street")&gt;0,1,0)</f>
        <v>1</v>
      </c>
      <c r="Q1013">
        <f>IF(COUNTIFS('United Data'!$A$3:$A$3390,Q$1,'United Data'!$C$3:$C$3390,$A1013,'United Data'!$B$3:$B$3390,"&lt;&gt;Off-street")&gt;0,1,0)</f>
        <v>0</v>
      </c>
      <c r="R1013">
        <f>IF(COUNTIFS('United Data'!$A$3:$A$3390,R$1,'United Data'!$C$3:$C$3390,$A1013,'United Data'!$B$3:$B$3390,"&lt;&gt;Off-street")&gt;0,1,0)</f>
        <v>0</v>
      </c>
      <c r="S1013">
        <f t="shared" si="30"/>
        <v>2</v>
      </c>
      <c r="T1013">
        <f t="shared" si="31"/>
        <v>2</v>
      </c>
    </row>
    <row r="1014" spans="1:20" x14ac:dyDescent="0.2">
      <c r="A1014" t="s">
        <v>1217</v>
      </c>
      <c r="B1014">
        <f>IF(COUNTIFS('United Data'!$A$3:$A$3390,B$1,'United Data'!$C$3:$C$3390,$A1014,'United Data'!$B$3:$B$3390,"&lt;&gt;Off-street")&gt;0,1,0)</f>
        <v>0</v>
      </c>
      <c r="C1014">
        <f>IF(COUNTIFS('United Data'!$A$3:$A$3390,C$1,'United Data'!$C$3:$C$3390,$A1014,'United Data'!$B$3:$B$3390,"&lt;&gt;Off-street")&gt;0,1,0)</f>
        <v>0</v>
      </c>
      <c r="D1014">
        <f>IF(COUNTIFS('United Data'!$A$3:$A$3390,D$1,'United Data'!$C$3:$C$3390,$A1014,'United Data'!$B$3:$B$3390,"&lt;&gt;Off-street")&gt;0,1,0)</f>
        <v>0</v>
      </c>
      <c r="E1014">
        <f>IF(COUNTIFS('United Data'!$A$3:$A$3390,E$1,'United Data'!$C$3:$C$3390,$A1014,'United Data'!$B$3:$B$3390,"&lt;&gt;Off-street")&gt;0,1,0)</f>
        <v>0</v>
      </c>
      <c r="F1014">
        <f>IF(COUNTIFS('United Data'!$A$3:$A$3390,F$1,'United Data'!$C$3:$C$3390,$A1014,'United Data'!$B$3:$B$3390,"&lt;&gt;Off-street")&gt;0,1,0)</f>
        <v>0</v>
      </c>
      <c r="G1014">
        <f>IF(COUNTIFS('United Data'!$A$3:$A$3390,G$1,'United Data'!$C$3:$C$3390,$A1014,'United Data'!$B$3:$B$3390,"&lt;&gt;Off-street")&gt;0,1,0)</f>
        <v>0</v>
      </c>
      <c r="H1014">
        <f>IF(COUNTIFS('United Data'!$A$3:$A$3390,H$1,'United Data'!$C$3:$C$3390,$A1014,'United Data'!$B$3:$B$3390,"&lt;&gt;Off-street")&gt;0,1,0)</f>
        <v>0</v>
      </c>
      <c r="I1014">
        <f>IF(COUNTIFS('United Data'!$A$3:$A$3390,I$1,'United Data'!$C$3:$C$3390,$A1014,'United Data'!$B$3:$B$3390,"&lt;&gt;Off-street")&gt;0,1,0)</f>
        <v>0</v>
      </c>
      <c r="J1014">
        <f>IF(COUNTIFS('United Data'!$A$3:$A$3390,J$1,'United Data'!$C$3:$C$3390,$A1014,'United Data'!$B$3:$B$3390,"&lt;&gt;Off-street")&gt;0,1,0)</f>
        <v>0</v>
      </c>
      <c r="K1014">
        <f>IF(COUNTIFS('United Data'!$A$3:$A$3390,K$1,'United Data'!$C$3:$C$3390,$A1014,'United Data'!$B$3:$B$3390,"&lt;&gt;Off-street")&gt;0,1,0)</f>
        <v>0</v>
      </c>
      <c r="L1014">
        <f>IF(COUNTIFS('United Data'!$A$3:$A$3390,L$1,'United Data'!$C$3:$C$3390,$A1014,'United Data'!$B$3:$B$3390,"&lt;&gt;Off-street")&gt;0,1,0)</f>
        <v>0</v>
      </c>
      <c r="M1014">
        <f>IF(COUNTIFS('United Data'!$A$3:$A$3390,M$1,'United Data'!$C$3:$C$3390,$A1014,'United Data'!$B$3:$B$3390,"&lt;&gt;Off-street")&gt;0,1,0)</f>
        <v>0</v>
      </c>
      <c r="N1014">
        <f>IF(COUNTIFS('United Data'!$A$3:$A$3390,N$1,'United Data'!$C$3:$C$3390,$A1014,'United Data'!$B$3:$B$3390,"&lt;&gt;Off-street")&gt;0,1,0)</f>
        <v>1</v>
      </c>
      <c r="O1014">
        <f>IF(COUNTIFS('United Data'!$A$3:$A$3390,O$1,'United Data'!$C$3:$C$3390,$A1014,'United Data'!$B$3:$B$3390,"&lt;&gt;Off-street")&gt;0,1,0)</f>
        <v>0</v>
      </c>
      <c r="P1014">
        <f>IF(COUNTIFS('United Data'!$A$3:$A$3390,P$1,'United Data'!$C$3:$C$3390,$A1014,'United Data'!$B$3:$B$3390,"&lt;&gt;Off-street")&gt;0,1,0)</f>
        <v>0</v>
      </c>
      <c r="Q1014">
        <f>IF(COUNTIFS('United Data'!$A$3:$A$3390,Q$1,'United Data'!$C$3:$C$3390,$A1014,'United Data'!$B$3:$B$3390,"&lt;&gt;Off-street")&gt;0,1,0)</f>
        <v>0</v>
      </c>
      <c r="R1014">
        <f>IF(COUNTIFS('United Data'!$A$3:$A$3390,R$1,'United Data'!$C$3:$C$3390,$A1014,'United Data'!$B$3:$B$3390,"&lt;&gt;Off-street")&gt;0,1,0)</f>
        <v>0</v>
      </c>
      <c r="S1014">
        <f t="shared" si="30"/>
        <v>1</v>
      </c>
      <c r="T1014">
        <f t="shared" si="31"/>
        <v>1</v>
      </c>
    </row>
    <row r="1015" spans="1:20" x14ac:dyDescent="0.2">
      <c r="A1015" t="s">
        <v>1218</v>
      </c>
      <c r="B1015">
        <f>IF(COUNTIFS('United Data'!$A$3:$A$3390,B$1,'United Data'!$C$3:$C$3390,$A1015,'United Data'!$B$3:$B$3390,"&lt;&gt;Off-street")&gt;0,1,0)</f>
        <v>0</v>
      </c>
      <c r="C1015">
        <f>IF(COUNTIFS('United Data'!$A$3:$A$3390,C$1,'United Data'!$C$3:$C$3390,$A1015,'United Data'!$B$3:$B$3390,"&lt;&gt;Off-street")&gt;0,1,0)</f>
        <v>0</v>
      </c>
      <c r="D1015">
        <f>IF(COUNTIFS('United Data'!$A$3:$A$3390,D$1,'United Data'!$C$3:$C$3390,$A1015,'United Data'!$B$3:$B$3390,"&lt;&gt;Off-street")&gt;0,1,0)</f>
        <v>0</v>
      </c>
      <c r="E1015">
        <f>IF(COUNTIFS('United Data'!$A$3:$A$3390,E$1,'United Data'!$C$3:$C$3390,$A1015,'United Data'!$B$3:$B$3390,"&lt;&gt;Off-street")&gt;0,1,0)</f>
        <v>0</v>
      </c>
      <c r="F1015">
        <f>IF(COUNTIFS('United Data'!$A$3:$A$3390,F$1,'United Data'!$C$3:$C$3390,$A1015,'United Data'!$B$3:$B$3390,"&lt;&gt;Off-street")&gt;0,1,0)</f>
        <v>0</v>
      </c>
      <c r="G1015">
        <f>IF(COUNTIFS('United Data'!$A$3:$A$3390,G$1,'United Data'!$C$3:$C$3390,$A1015,'United Data'!$B$3:$B$3390,"&lt;&gt;Off-street")&gt;0,1,0)</f>
        <v>0</v>
      </c>
      <c r="H1015">
        <f>IF(COUNTIFS('United Data'!$A$3:$A$3390,H$1,'United Data'!$C$3:$C$3390,$A1015,'United Data'!$B$3:$B$3390,"&lt;&gt;Off-street")&gt;0,1,0)</f>
        <v>0</v>
      </c>
      <c r="I1015">
        <f>IF(COUNTIFS('United Data'!$A$3:$A$3390,I$1,'United Data'!$C$3:$C$3390,$A1015,'United Data'!$B$3:$B$3390,"&lt;&gt;Off-street")&gt;0,1,0)</f>
        <v>0</v>
      </c>
      <c r="J1015">
        <f>IF(COUNTIFS('United Data'!$A$3:$A$3390,J$1,'United Data'!$C$3:$C$3390,$A1015,'United Data'!$B$3:$B$3390,"&lt;&gt;Off-street")&gt;0,1,0)</f>
        <v>0</v>
      </c>
      <c r="K1015">
        <f>IF(COUNTIFS('United Data'!$A$3:$A$3390,K$1,'United Data'!$C$3:$C$3390,$A1015,'United Data'!$B$3:$B$3390,"&lt;&gt;Off-street")&gt;0,1,0)</f>
        <v>0</v>
      </c>
      <c r="L1015">
        <f>IF(COUNTIFS('United Data'!$A$3:$A$3390,L$1,'United Data'!$C$3:$C$3390,$A1015,'United Data'!$B$3:$B$3390,"&lt;&gt;Off-street")&gt;0,1,0)</f>
        <v>0</v>
      </c>
      <c r="M1015">
        <f>IF(COUNTIFS('United Data'!$A$3:$A$3390,M$1,'United Data'!$C$3:$C$3390,$A1015,'United Data'!$B$3:$B$3390,"&lt;&gt;Off-street")&gt;0,1,0)</f>
        <v>0</v>
      </c>
      <c r="N1015">
        <f>IF(COUNTIFS('United Data'!$A$3:$A$3390,N$1,'United Data'!$C$3:$C$3390,$A1015,'United Data'!$B$3:$B$3390,"&lt;&gt;Off-street")&gt;0,1,0)</f>
        <v>1</v>
      </c>
      <c r="O1015">
        <f>IF(COUNTIFS('United Data'!$A$3:$A$3390,O$1,'United Data'!$C$3:$C$3390,$A1015,'United Data'!$B$3:$B$3390,"&lt;&gt;Off-street")&gt;0,1,0)</f>
        <v>0</v>
      </c>
      <c r="P1015">
        <f>IF(COUNTIFS('United Data'!$A$3:$A$3390,P$1,'United Data'!$C$3:$C$3390,$A1015,'United Data'!$B$3:$B$3390,"&lt;&gt;Off-street")&gt;0,1,0)</f>
        <v>0</v>
      </c>
      <c r="Q1015">
        <f>IF(COUNTIFS('United Data'!$A$3:$A$3390,Q$1,'United Data'!$C$3:$C$3390,$A1015,'United Data'!$B$3:$B$3390,"&lt;&gt;Off-street")&gt;0,1,0)</f>
        <v>1</v>
      </c>
      <c r="R1015">
        <f>IF(COUNTIFS('United Data'!$A$3:$A$3390,R$1,'United Data'!$C$3:$C$3390,$A1015,'United Data'!$B$3:$B$3390,"&lt;&gt;Off-street")&gt;0,1,0)</f>
        <v>0</v>
      </c>
      <c r="S1015">
        <f t="shared" si="30"/>
        <v>2</v>
      </c>
      <c r="T1015">
        <f t="shared" si="31"/>
        <v>2</v>
      </c>
    </row>
    <row r="1016" spans="1:20" x14ac:dyDescent="0.2">
      <c r="A1016" t="s">
        <v>1219</v>
      </c>
      <c r="B1016">
        <f>IF(COUNTIFS('United Data'!$A$3:$A$3390,B$1,'United Data'!$C$3:$C$3390,$A1016,'United Data'!$B$3:$B$3390,"&lt;&gt;Off-street")&gt;0,1,0)</f>
        <v>0</v>
      </c>
      <c r="C1016">
        <f>IF(COUNTIFS('United Data'!$A$3:$A$3390,C$1,'United Data'!$C$3:$C$3390,$A1016,'United Data'!$B$3:$B$3390,"&lt;&gt;Off-street")&gt;0,1,0)</f>
        <v>0</v>
      </c>
      <c r="D1016">
        <f>IF(COUNTIFS('United Data'!$A$3:$A$3390,D$1,'United Data'!$C$3:$C$3390,$A1016,'United Data'!$B$3:$B$3390,"&lt;&gt;Off-street")&gt;0,1,0)</f>
        <v>0</v>
      </c>
      <c r="E1016">
        <f>IF(COUNTIFS('United Data'!$A$3:$A$3390,E$1,'United Data'!$C$3:$C$3390,$A1016,'United Data'!$B$3:$B$3390,"&lt;&gt;Off-street")&gt;0,1,0)</f>
        <v>0</v>
      </c>
      <c r="F1016">
        <f>IF(COUNTIFS('United Data'!$A$3:$A$3390,F$1,'United Data'!$C$3:$C$3390,$A1016,'United Data'!$B$3:$B$3390,"&lt;&gt;Off-street")&gt;0,1,0)</f>
        <v>0</v>
      </c>
      <c r="G1016">
        <f>IF(COUNTIFS('United Data'!$A$3:$A$3390,G$1,'United Data'!$C$3:$C$3390,$A1016,'United Data'!$B$3:$B$3390,"&lt;&gt;Off-street")&gt;0,1,0)</f>
        <v>0</v>
      </c>
      <c r="H1016">
        <f>IF(COUNTIFS('United Data'!$A$3:$A$3390,H$1,'United Data'!$C$3:$C$3390,$A1016,'United Data'!$B$3:$B$3390,"&lt;&gt;Off-street")&gt;0,1,0)</f>
        <v>0</v>
      </c>
      <c r="I1016">
        <f>IF(COUNTIFS('United Data'!$A$3:$A$3390,I$1,'United Data'!$C$3:$C$3390,$A1016,'United Data'!$B$3:$B$3390,"&lt;&gt;Off-street")&gt;0,1,0)</f>
        <v>0</v>
      </c>
      <c r="J1016">
        <f>IF(COUNTIFS('United Data'!$A$3:$A$3390,J$1,'United Data'!$C$3:$C$3390,$A1016,'United Data'!$B$3:$B$3390,"&lt;&gt;Off-street")&gt;0,1,0)</f>
        <v>0</v>
      </c>
      <c r="K1016">
        <f>IF(COUNTIFS('United Data'!$A$3:$A$3390,K$1,'United Data'!$C$3:$C$3390,$A1016,'United Data'!$B$3:$B$3390,"&lt;&gt;Off-street")&gt;0,1,0)</f>
        <v>0</v>
      </c>
      <c r="L1016">
        <f>IF(COUNTIFS('United Data'!$A$3:$A$3390,L$1,'United Data'!$C$3:$C$3390,$A1016,'United Data'!$B$3:$B$3390,"&lt;&gt;Off-street")&gt;0,1,0)</f>
        <v>0</v>
      </c>
      <c r="M1016">
        <f>IF(COUNTIFS('United Data'!$A$3:$A$3390,M$1,'United Data'!$C$3:$C$3390,$A1016,'United Data'!$B$3:$B$3390,"&lt;&gt;Off-street")&gt;0,1,0)</f>
        <v>0</v>
      </c>
      <c r="N1016">
        <f>IF(COUNTIFS('United Data'!$A$3:$A$3390,N$1,'United Data'!$C$3:$C$3390,$A1016,'United Data'!$B$3:$B$3390,"&lt;&gt;Off-street")&gt;0,1,0)</f>
        <v>1</v>
      </c>
      <c r="O1016">
        <f>IF(COUNTIFS('United Data'!$A$3:$A$3390,O$1,'United Data'!$C$3:$C$3390,$A1016,'United Data'!$B$3:$B$3390,"&lt;&gt;Off-street")&gt;0,1,0)</f>
        <v>0</v>
      </c>
      <c r="P1016">
        <f>IF(COUNTIFS('United Data'!$A$3:$A$3390,P$1,'United Data'!$C$3:$C$3390,$A1016,'United Data'!$B$3:$B$3390,"&lt;&gt;Off-street")&gt;0,1,0)</f>
        <v>0</v>
      </c>
      <c r="Q1016">
        <f>IF(COUNTIFS('United Data'!$A$3:$A$3390,Q$1,'United Data'!$C$3:$C$3390,$A1016,'United Data'!$B$3:$B$3390,"&lt;&gt;Off-street")&gt;0,1,0)</f>
        <v>0</v>
      </c>
      <c r="R1016">
        <f>IF(COUNTIFS('United Data'!$A$3:$A$3390,R$1,'United Data'!$C$3:$C$3390,$A1016,'United Data'!$B$3:$B$3390,"&lt;&gt;Off-street")&gt;0,1,0)</f>
        <v>0</v>
      </c>
      <c r="S1016">
        <f t="shared" si="30"/>
        <v>1</v>
      </c>
      <c r="T1016">
        <f t="shared" si="31"/>
        <v>1</v>
      </c>
    </row>
    <row r="1017" spans="1:20" x14ac:dyDescent="0.2">
      <c r="A1017" t="s">
        <v>1220</v>
      </c>
      <c r="B1017">
        <f>IF(COUNTIFS('United Data'!$A$3:$A$3390,B$1,'United Data'!$C$3:$C$3390,$A1017,'United Data'!$B$3:$B$3390,"&lt;&gt;Off-street")&gt;0,1,0)</f>
        <v>0</v>
      </c>
      <c r="C1017">
        <f>IF(COUNTIFS('United Data'!$A$3:$A$3390,C$1,'United Data'!$C$3:$C$3390,$A1017,'United Data'!$B$3:$B$3390,"&lt;&gt;Off-street")&gt;0,1,0)</f>
        <v>0</v>
      </c>
      <c r="D1017">
        <f>IF(COUNTIFS('United Data'!$A$3:$A$3390,D$1,'United Data'!$C$3:$C$3390,$A1017,'United Data'!$B$3:$B$3390,"&lt;&gt;Off-street")&gt;0,1,0)</f>
        <v>0</v>
      </c>
      <c r="E1017">
        <f>IF(COUNTIFS('United Data'!$A$3:$A$3390,E$1,'United Data'!$C$3:$C$3390,$A1017,'United Data'!$B$3:$B$3390,"&lt;&gt;Off-street")&gt;0,1,0)</f>
        <v>0</v>
      </c>
      <c r="F1017">
        <f>IF(COUNTIFS('United Data'!$A$3:$A$3390,F$1,'United Data'!$C$3:$C$3390,$A1017,'United Data'!$B$3:$B$3390,"&lt;&gt;Off-street")&gt;0,1,0)</f>
        <v>0</v>
      </c>
      <c r="G1017">
        <f>IF(COUNTIFS('United Data'!$A$3:$A$3390,G$1,'United Data'!$C$3:$C$3390,$A1017,'United Data'!$B$3:$B$3390,"&lt;&gt;Off-street")&gt;0,1,0)</f>
        <v>0</v>
      </c>
      <c r="H1017">
        <f>IF(COUNTIFS('United Data'!$A$3:$A$3390,H$1,'United Data'!$C$3:$C$3390,$A1017,'United Data'!$B$3:$B$3390,"&lt;&gt;Off-street")&gt;0,1,0)</f>
        <v>0</v>
      </c>
      <c r="I1017">
        <f>IF(COUNTIFS('United Data'!$A$3:$A$3390,I$1,'United Data'!$C$3:$C$3390,$A1017,'United Data'!$B$3:$B$3390,"&lt;&gt;Off-street")&gt;0,1,0)</f>
        <v>0</v>
      </c>
      <c r="J1017">
        <f>IF(COUNTIFS('United Data'!$A$3:$A$3390,J$1,'United Data'!$C$3:$C$3390,$A1017,'United Data'!$B$3:$B$3390,"&lt;&gt;Off-street")&gt;0,1,0)</f>
        <v>0</v>
      </c>
      <c r="K1017">
        <f>IF(COUNTIFS('United Data'!$A$3:$A$3390,K$1,'United Data'!$C$3:$C$3390,$A1017,'United Data'!$B$3:$B$3390,"&lt;&gt;Off-street")&gt;0,1,0)</f>
        <v>0</v>
      </c>
      <c r="L1017">
        <f>IF(COUNTIFS('United Data'!$A$3:$A$3390,L$1,'United Data'!$C$3:$C$3390,$A1017,'United Data'!$B$3:$B$3390,"&lt;&gt;Off-street")&gt;0,1,0)</f>
        <v>0</v>
      </c>
      <c r="M1017">
        <f>IF(COUNTIFS('United Data'!$A$3:$A$3390,M$1,'United Data'!$C$3:$C$3390,$A1017,'United Data'!$B$3:$B$3390,"&lt;&gt;Off-street")&gt;0,1,0)</f>
        <v>0</v>
      </c>
      <c r="N1017">
        <f>IF(COUNTIFS('United Data'!$A$3:$A$3390,N$1,'United Data'!$C$3:$C$3390,$A1017,'United Data'!$B$3:$B$3390,"&lt;&gt;Off-street")&gt;0,1,0)</f>
        <v>1</v>
      </c>
      <c r="O1017">
        <f>IF(COUNTIFS('United Data'!$A$3:$A$3390,O$1,'United Data'!$C$3:$C$3390,$A1017,'United Data'!$B$3:$B$3390,"&lt;&gt;Off-street")&gt;0,1,0)</f>
        <v>1</v>
      </c>
      <c r="P1017">
        <f>IF(COUNTIFS('United Data'!$A$3:$A$3390,P$1,'United Data'!$C$3:$C$3390,$A1017,'United Data'!$B$3:$B$3390,"&lt;&gt;Off-street")&gt;0,1,0)</f>
        <v>1</v>
      </c>
      <c r="Q1017">
        <f>IF(COUNTIFS('United Data'!$A$3:$A$3390,Q$1,'United Data'!$C$3:$C$3390,$A1017,'United Data'!$B$3:$B$3390,"&lt;&gt;Off-street")&gt;0,1,0)</f>
        <v>0</v>
      </c>
      <c r="R1017">
        <f>IF(COUNTIFS('United Data'!$A$3:$A$3390,R$1,'United Data'!$C$3:$C$3390,$A1017,'United Data'!$B$3:$B$3390,"&lt;&gt;Off-street")&gt;0,1,0)</f>
        <v>0</v>
      </c>
      <c r="S1017">
        <f t="shared" si="30"/>
        <v>3</v>
      </c>
      <c r="T1017">
        <f t="shared" si="31"/>
        <v>1</v>
      </c>
    </row>
    <row r="1018" spans="1:20" x14ac:dyDescent="0.2">
      <c r="A1018" t="s">
        <v>1221</v>
      </c>
      <c r="B1018">
        <f>IF(COUNTIFS('United Data'!$A$3:$A$3390,B$1,'United Data'!$C$3:$C$3390,$A1018,'United Data'!$B$3:$B$3390,"&lt;&gt;Off-street")&gt;0,1,0)</f>
        <v>0</v>
      </c>
      <c r="C1018">
        <f>IF(COUNTIFS('United Data'!$A$3:$A$3390,C$1,'United Data'!$C$3:$C$3390,$A1018,'United Data'!$B$3:$B$3390,"&lt;&gt;Off-street")&gt;0,1,0)</f>
        <v>0</v>
      </c>
      <c r="D1018">
        <f>IF(COUNTIFS('United Data'!$A$3:$A$3390,D$1,'United Data'!$C$3:$C$3390,$A1018,'United Data'!$B$3:$B$3390,"&lt;&gt;Off-street")&gt;0,1,0)</f>
        <v>0</v>
      </c>
      <c r="E1018">
        <f>IF(COUNTIFS('United Data'!$A$3:$A$3390,E$1,'United Data'!$C$3:$C$3390,$A1018,'United Data'!$B$3:$B$3390,"&lt;&gt;Off-street")&gt;0,1,0)</f>
        <v>0</v>
      </c>
      <c r="F1018">
        <f>IF(COUNTIFS('United Data'!$A$3:$A$3390,F$1,'United Data'!$C$3:$C$3390,$A1018,'United Data'!$B$3:$B$3390,"&lt;&gt;Off-street")&gt;0,1,0)</f>
        <v>0</v>
      </c>
      <c r="G1018">
        <f>IF(COUNTIFS('United Data'!$A$3:$A$3390,G$1,'United Data'!$C$3:$C$3390,$A1018,'United Data'!$B$3:$B$3390,"&lt;&gt;Off-street")&gt;0,1,0)</f>
        <v>0</v>
      </c>
      <c r="H1018">
        <f>IF(COUNTIFS('United Data'!$A$3:$A$3390,H$1,'United Data'!$C$3:$C$3390,$A1018,'United Data'!$B$3:$B$3390,"&lt;&gt;Off-street")&gt;0,1,0)</f>
        <v>0</v>
      </c>
      <c r="I1018">
        <f>IF(COUNTIFS('United Data'!$A$3:$A$3390,I$1,'United Data'!$C$3:$C$3390,$A1018,'United Data'!$B$3:$B$3390,"&lt;&gt;Off-street")&gt;0,1,0)</f>
        <v>0</v>
      </c>
      <c r="J1018">
        <f>IF(COUNTIFS('United Data'!$A$3:$A$3390,J$1,'United Data'!$C$3:$C$3390,$A1018,'United Data'!$B$3:$B$3390,"&lt;&gt;Off-street")&gt;0,1,0)</f>
        <v>0</v>
      </c>
      <c r="K1018">
        <f>IF(COUNTIFS('United Data'!$A$3:$A$3390,K$1,'United Data'!$C$3:$C$3390,$A1018,'United Data'!$B$3:$B$3390,"&lt;&gt;Off-street")&gt;0,1,0)</f>
        <v>0</v>
      </c>
      <c r="L1018">
        <f>IF(COUNTIFS('United Data'!$A$3:$A$3390,L$1,'United Data'!$C$3:$C$3390,$A1018,'United Data'!$B$3:$B$3390,"&lt;&gt;Off-street")&gt;0,1,0)</f>
        <v>0</v>
      </c>
      <c r="M1018">
        <f>IF(COUNTIFS('United Data'!$A$3:$A$3390,M$1,'United Data'!$C$3:$C$3390,$A1018,'United Data'!$B$3:$B$3390,"&lt;&gt;Off-street")&gt;0,1,0)</f>
        <v>0</v>
      </c>
      <c r="N1018">
        <f>IF(COUNTIFS('United Data'!$A$3:$A$3390,N$1,'United Data'!$C$3:$C$3390,$A1018,'United Data'!$B$3:$B$3390,"&lt;&gt;Off-street")&gt;0,1,0)</f>
        <v>1</v>
      </c>
      <c r="O1018">
        <f>IF(COUNTIFS('United Data'!$A$3:$A$3390,O$1,'United Data'!$C$3:$C$3390,$A1018,'United Data'!$B$3:$B$3390,"&lt;&gt;Off-street")&gt;0,1,0)</f>
        <v>0</v>
      </c>
      <c r="P1018">
        <f>IF(COUNTIFS('United Data'!$A$3:$A$3390,P$1,'United Data'!$C$3:$C$3390,$A1018,'United Data'!$B$3:$B$3390,"&lt;&gt;Off-street")&gt;0,1,0)</f>
        <v>0</v>
      </c>
      <c r="Q1018">
        <f>IF(COUNTIFS('United Data'!$A$3:$A$3390,Q$1,'United Data'!$C$3:$C$3390,$A1018,'United Data'!$B$3:$B$3390,"&lt;&gt;Off-street")&gt;0,1,0)</f>
        <v>0</v>
      </c>
      <c r="R1018">
        <f>IF(COUNTIFS('United Data'!$A$3:$A$3390,R$1,'United Data'!$C$3:$C$3390,$A1018,'United Data'!$B$3:$B$3390,"&lt;&gt;Off-street")&gt;0,1,0)</f>
        <v>0</v>
      </c>
      <c r="S1018">
        <f t="shared" si="30"/>
        <v>1</v>
      </c>
      <c r="T1018">
        <f t="shared" si="31"/>
        <v>1</v>
      </c>
    </row>
    <row r="1019" spans="1:20" x14ac:dyDescent="0.2">
      <c r="A1019" t="s">
        <v>1222</v>
      </c>
      <c r="B1019">
        <f>IF(COUNTIFS('United Data'!$A$3:$A$3390,B$1,'United Data'!$C$3:$C$3390,$A1019,'United Data'!$B$3:$B$3390,"&lt;&gt;Off-street")&gt;0,1,0)</f>
        <v>0</v>
      </c>
      <c r="C1019">
        <f>IF(COUNTIFS('United Data'!$A$3:$A$3390,C$1,'United Data'!$C$3:$C$3390,$A1019,'United Data'!$B$3:$B$3390,"&lt;&gt;Off-street")&gt;0,1,0)</f>
        <v>0</v>
      </c>
      <c r="D1019">
        <f>IF(COUNTIFS('United Data'!$A$3:$A$3390,D$1,'United Data'!$C$3:$C$3390,$A1019,'United Data'!$B$3:$B$3390,"&lt;&gt;Off-street")&gt;0,1,0)</f>
        <v>0</v>
      </c>
      <c r="E1019">
        <f>IF(COUNTIFS('United Data'!$A$3:$A$3390,E$1,'United Data'!$C$3:$C$3390,$A1019,'United Data'!$B$3:$B$3390,"&lt;&gt;Off-street")&gt;0,1,0)</f>
        <v>0</v>
      </c>
      <c r="F1019">
        <f>IF(COUNTIFS('United Data'!$A$3:$A$3390,F$1,'United Data'!$C$3:$C$3390,$A1019,'United Data'!$B$3:$B$3390,"&lt;&gt;Off-street")&gt;0,1,0)</f>
        <v>0</v>
      </c>
      <c r="G1019">
        <f>IF(COUNTIFS('United Data'!$A$3:$A$3390,G$1,'United Data'!$C$3:$C$3390,$A1019,'United Data'!$B$3:$B$3390,"&lt;&gt;Off-street")&gt;0,1,0)</f>
        <v>0</v>
      </c>
      <c r="H1019">
        <f>IF(COUNTIFS('United Data'!$A$3:$A$3390,H$1,'United Data'!$C$3:$C$3390,$A1019,'United Data'!$B$3:$B$3390,"&lt;&gt;Off-street")&gt;0,1,0)</f>
        <v>0</v>
      </c>
      <c r="I1019">
        <f>IF(COUNTIFS('United Data'!$A$3:$A$3390,I$1,'United Data'!$C$3:$C$3390,$A1019,'United Data'!$B$3:$B$3390,"&lt;&gt;Off-street")&gt;0,1,0)</f>
        <v>0</v>
      </c>
      <c r="J1019">
        <f>IF(COUNTIFS('United Data'!$A$3:$A$3390,J$1,'United Data'!$C$3:$C$3390,$A1019,'United Data'!$B$3:$B$3390,"&lt;&gt;Off-street")&gt;0,1,0)</f>
        <v>0</v>
      </c>
      <c r="K1019">
        <f>IF(COUNTIFS('United Data'!$A$3:$A$3390,K$1,'United Data'!$C$3:$C$3390,$A1019,'United Data'!$B$3:$B$3390,"&lt;&gt;Off-street")&gt;0,1,0)</f>
        <v>0</v>
      </c>
      <c r="L1019">
        <f>IF(COUNTIFS('United Data'!$A$3:$A$3390,L$1,'United Data'!$C$3:$C$3390,$A1019,'United Data'!$B$3:$B$3390,"&lt;&gt;Off-street")&gt;0,1,0)</f>
        <v>0</v>
      </c>
      <c r="M1019">
        <f>IF(COUNTIFS('United Data'!$A$3:$A$3390,M$1,'United Data'!$C$3:$C$3390,$A1019,'United Data'!$B$3:$B$3390,"&lt;&gt;Off-street")&gt;0,1,0)</f>
        <v>0</v>
      </c>
      <c r="N1019">
        <f>IF(COUNTIFS('United Data'!$A$3:$A$3390,N$1,'United Data'!$C$3:$C$3390,$A1019,'United Data'!$B$3:$B$3390,"&lt;&gt;Off-street")&gt;0,1,0)</f>
        <v>1</v>
      </c>
      <c r="O1019">
        <f>IF(COUNTIFS('United Data'!$A$3:$A$3390,O$1,'United Data'!$C$3:$C$3390,$A1019,'United Data'!$B$3:$B$3390,"&lt;&gt;Off-street")&gt;0,1,0)</f>
        <v>0</v>
      </c>
      <c r="P1019">
        <f>IF(COUNTIFS('United Data'!$A$3:$A$3390,P$1,'United Data'!$C$3:$C$3390,$A1019,'United Data'!$B$3:$B$3390,"&lt;&gt;Off-street")&gt;0,1,0)</f>
        <v>1</v>
      </c>
      <c r="Q1019">
        <f>IF(COUNTIFS('United Data'!$A$3:$A$3390,Q$1,'United Data'!$C$3:$C$3390,$A1019,'United Data'!$B$3:$B$3390,"&lt;&gt;Off-street")&gt;0,1,0)</f>
        <v>1</v>
      </c>
      <c r="R1019">
        <f>IF(COUNTIFS('United Data'!$A$3:$A$3390,R$1,'United Data'!$C$3:$C$3390,$A1019,'United Data'!$B$3:$B$3390,"&lt;&gt;Off-street")&gt;0,1,0)</f>
        <v>1</v>
      </c>
      <c r="S1019">
        <f t="shared" si="30"/>
        <v>4</v>
      </c>
      <c r="T1019">
        <f t="shared" si="31"/>
        <v>2</v>
      </c>
    </row>
    <row r="1020" spans="1:20" x14ac:dyDescent="0.2">
      <c r="A1020" t="s">
        <v>1223</v>
      </c>
      <c r="B1020">
        <f>IF(COUNTIFS('United Data'!$A$3:$A$3390,B$1,'United Data'!$C$3:$C$3390,$A1020,'United Data'!$B$3:$B$3390,"&lt;&gt;Off-street")&gt;0,1,0)</f>
        <v>0</v>
      </c>
      <c r="C1020">
        <f>IF(COUNTIFS('United Data'!$A$3:$A$3390,C$1,'United Data'!$C$3:$C$3390,$A1020,'United Data'!$B$3:$B$3390,"&lt;&gt;Off-street")&gt;0,1,0)</f>
        <v>0</v>
      </c>
      <c r="D1020">
        <f>IF(COUNTIFS('United Data'!$A$3:$A$3390,D$1,'United Data'!$C$3:$C$3390,$A1020,'United Data'!$B$3:$B$3390,"&lt;&gt;Off-street")&gt;0,1,0)</f>
        <v>0</v>
      </c>
      <c r="E1020">
        <f>IF(COUNTIFS('United Data'!$A$3:$A$3390,E$1,'United Data'!$C$3:$C$3390,$A1020,'United Data'!$B$3:$B$3390,"&lt;&gt;Off-street")&gt;0,1,0)</f>
        <v>0</v>
      </c>
      <c r="F1020">
        <f>IF(COUNTIFS('United Data'!$A$3:$A$3390,F$1,'United Data'!$C$3:$C$3390,$A1020,'United Data'!$B$3:$B$3390,"&lt;&gt;Off-street")&gt;0,1,0)</f>
        <v>0</v>
      </c>
      <c r="G1020">
        <f>IF(COUNTIFS('United Data'!$A$3:$A$3390,G$1,'United Data'!$C$3:$C$3390,$A1020,'United Data'!$B$3:$B$3390,"&lt;&gt;Off-street")&gt;0,1,0)</f>
        <v>0</v>
      </c>
      <c r="H1020">
        <f>IF(COUNTIFS('United Data'!$A$3:$A$3390,H$1,'United Data'!$C$3:$C$3390,$A1020,'United Data'!$B$3:$B$3390,"&lt;&gt;Off-street")&gt;0,1,0)</f>
        <v>0</v>
      </c>
      <c r="I1020">
        <f>IF(COUNTIFS('United Data'!$A$3:$A$3390,I$1,'United Data'!$C$3:$C$3390,$A1020,'United Data'!$B$3:$B$3390,"&lt;&gt;Off-street")&gt;0,1,0)</f>
        <v>0</v>
      </c>
      <c r="J1020">
        <f>IF(COUNTIFS('United Data'!$A$3:$A$3390,J$1,'United Data'!$C$3:$C$3390,$A1020,'United Data'!$B$3:$B$3390,"&lt;&gt;Off-street")&gt;0,1,0)</f>
        <v>0</v>
      </c>
      <c r="K1020">
        <f>IF(COUNTIFS('United Data'!$A$3:$A$3390,K$1,'United Data'!$C$3:$C$3390,$A1020,'United Data'!$B$3:$B$3390,"&lt;&gt;Off-street")&gt;0,1,0)</f>
        <v>0</v>
      </c>
      <c r="L1020">
        <f>IF(COUNTIFS('United Data'!$A$3:$A$3390,L$1,'United Data'!$C$3:$C$3390,$A1020,'United Data'!$B$3:$B$3390,"&lt;&gt;Off-street")&gt;0,1,0)</f>
        <v>0</v>
      </c>
      <c r="M1020">
        <f>IF(COUNTIFS('United Data'!$A$3:$A$3390,M$1,'United Data'!$C$3:$C$3390,$A1020,'United Data'!$B$3:$B$3390,"&lt;&gt;Off-street")&gt;0,1,0)</f>
        <v>0</v>
      </c>
      <c r="N1020">
        <f>IF(COUNTIFS('United Data'!$A$3:$A$3390,N$1,'United Data'!$C$3:$C$3390,$A1020,'United Data'!$B$3:$B$3390,"&lt;&gt;Off-street")&gt;0,1,0)</f>
        <v>0</v>
      </c>
      <c r="O1020">
        <f>IF(COUNTIFS('United Data'!$A$3:$A$3390,O$1,'United Data'!$C$3:$C$3390,$A1020,'United Data'!$B$3:$B$3390,"&lt;&gt;Off-street")&gt;0,1,0)</f>
        <v>1</v>
      </c>
      <c r="P1020">
        <f>IF(COUNTIFS('United Data'!$A$3:$A$3390,P$1,'United Data'!$C$3:$C$3390,$A1020,'United Data'!$B$3:$B$3390,"&lt;&gt;Off-street")&gt;0,1,0)</f>
        <v>0</v>
      </c>
      <c r="Q1020">
        <f>IF(COUNTIFS('United Data'!$A$3:$A$3390,Q$1,'United Data'!$C$3:$C$3390,$A1020,'United Data'!$B$3:$B$3390,"&lt;&gt;Off-street")&gt;0,1,0)</f>
        <v>0</v>
      </c>
      <c r="R1020">
        <f>IF(COUNTIFS('United Data'!$A$3:$A$3390,R$1,'United Data'!$C$3:$C$3390,$A1020,'United Data'!$B$3:$B$3390,"&lt;&gt;Off-street")&gt;0,1,0)</f>
        <v>0</v>
      </c>
      <c r="S1020">
        <f t="shared" si="30"/>
        <v>1</v>
      </c>
      <c r="T1020">
        <f t="shared" si="31"/>
        <v>1</v>
      </c>
    </row>
    <row r="1021" spans="1:20" x14ac:dyDescent="0.2">
      <c r="A1021" t="s">
        <v>1224</v>
      </c>
      <c r="B1021">
        <f>IF(COUNTIFS('United Data'!$A$3:$A$3390,B$1,'United Data'!$C$3:$C$3390,$A1021,'United Data'!$B$3:$B$3390,"&lt;&gt;Off-street")&gt;0,1,0)</f>
        <v>0</v>
      </c>
      <c r="C1021">
        <f>IF(COUNTIFS('United Data'!$A$3:$A$3390,C$1,'United Data'!$C$3:$C$3390,$A1021,'United Data'!$B$3:$B$3390,"&lt;&gt;Off-street")&gt;0,1,0)</f>
        <v>0</v>
      </c>
      <c r="D1021">
        <f>IF(COUNTIFS('United Data'!$A$3:$A$3390,D$1,'United Data'!$C$3:$C$3390,$A1021,'United Data'!$B$3:$B$3390,"&lt;&gt;Off-street")&gt;0,1,0)</f>
        <v>0</v>
      </c>
      <c r="E1021">
        <f>IF(COUNTIFS('United Data'!$A$3:$A$3390,E$1,'United Data'!$C$3:$C$3390,$A1021,'United Data'!$B$3:$B$3390,"&lt;&gt;Off-street")&gt;0,1,0)</f>
        <v>0</v>
      </c>
      <c r="F1021">
        <f>IF(COUNTIFS('United Data'!$A$3:$A$3390,F$1,'United Data'!$C$3:$C$3390,$A1021,'United Data'!$B$3:$B$3390,"&lt;&gt;Off-street")&gt;0,1,0)</f>
        <v>0</v>
      </c>
      <c r="G1021">
        <f>IF(COUNTIFS('United Data'!$A$3:$A$3390,G$1,'United Data'!$C$3:$C$3390,$A1021,'United Data'!$B$3:$B$3390,"&lt;&gt;Off-street")&gt;0,1,0)</f>
        <v>0</v>
      </c>
      <c r="H1021">
        <f>IF(COUNTIFS('United Data'!$A$3:$A$3390,H$1,'United Data'!$C$3:$C$3390,$A1021,'United Data'!$B$3:$B$3390,"&lt;&gt;Off-street")&gt;0,1,0)</f>
        <v>0</v>
      </c>
      <c r="I1021">
        <f>IF(COUNTIFS('United Data'!$A$3:$A$3390,I$1,'United Data'!$C$3:$C$3390,$A1021,'United Data'!$B$3:$B$3390,"&lt;&gt;Off-street")&gt;0,1,0)</f>
        <v>0</v>
      </c>
      <c r="J1021">
        <f>IF(COUNTIFS('United Data'!$A$3:$A$3390,J$1,'United Data'!$C$3:$C$3390,$A1021,'United Data'!$B$3:$B$3390,"&lt;&gt;Off-street")&gt;0,1,0)</f>
        <v>0</v>
      </c>
      <c r="K1021">
        <f>IF(COUNTIFS('United Data'!$A$3:$A$3390,K$1,'United Data'!$C$3:$C$3390,$A1021,'United Data'!$B$3:$B$3390,"&lt;&gt;Off-street")&gt;0,1,0)</f>
        <v>0</v>
      </c>
      <c r="L1021">
        <f>IF(COUNTIFS('United Data'!$A$3:$A$3390,L$1,'United Data'!$C$3:$C$3390,$A1021,'United Data'!$B$3:$B$3390,"&lt;&gt;Off-street")&gt;0,1,0)</f>
        <v>0</v>
      </c>
      <c r="M1021">
        <f>IF(COUNTIFS('United Data'!$A$3:$A$3390,M$1,'United Data'!$C$3:$C$3390,$A1021,'United Data'!$B$3:$B$3390,"&lt;&gt;Off-street")&gt;0,1,0)</f>
        <v>0</v>
      </c>
      <c r="N1021">
        <f>IF(COUNTIFS('United Data'!$A$3:$A$3390,N$1,'United Data'!$C$3:$C$3390,$A1021,'United Data'!$B$3:$B$3390,"&lt;&gt;Off-street")&gt;0,1,0)</f>
        <v>0</v>
      </c>
      <c r="O1021">
        <f>IF(COUNTIFS('United Data'!$A$3:$A$3390,O$1,'United Data'!$C$3:$C$3390,$A1021,'United Data'!$B$3:$B$3390,"&lt;&gt;Off-street")&gt;0,1,0)</f>
        <v>0</v>
      </c>
      <c r="P1021">
        <f>IF(COUNTIFS('United Data'!$A$3:$A$3390,P$1,'United Data'!$C$3:$C$3390,$A1021,'United Data'!$B$3:$B$3390,"&lt;&gt;Off-street")&gt;0,1,0)</f>
        <v>1</v>
      </c>
      <c r="Q1021">
        <f>IF(COUNTIFS('United Data'!$A$3:$A$3390,Q$1,'United Data'!$C$3:$C$3390,$A1021,'United Data'!$B$3:$B$3390,"&lt;&gt;Off-street")&gt;0,1,0)</f>
        <v>1</v>
      </c>
      <c r="R1021">
        <f>IF(COUNTIFS('United Data'!$A$3:$A$3390,R$1,'United Data'!$C$3:$C$3390,$A1021,'United Data'!$B$3:$B$3390,"&lt;&gt;Off-street")&gt;0,1,0)</f>
        <v>0</v>
      </c>
      <c r="S1021">
        <f t="shared" si="30"/>
        <v>2</v>
      </c>
      <c r="T1021">
        <f t="shared" si="31"/>
        <v>1</v>
      </c>
    </row>
    <row r="1022" spans="1:20" x14ac:dyDescent="0.2">
      <c r="A1022" t="s">
        <v>1225</v>
      </c>
      <c r="B1022">
        <f>IF(COUNTIFS('United Data'!$A$3:$A$3390,B$1,'United Data'!$C$3:$C$3390,$A1022,'United Data'!$B$3:$B$3390,"&lt;&gt;Off-street")&gt;0,1,0)</f>
        <v>0</v>
      </c>
      <c r="C1022">
        <f>IF(COUNTIFS('United Data'!$A$3:$A$3390,C$1,'United Data'!$C$3:$C$3390,$A1022,'United Data'!$B$3:$B$3390,"&lt;&gt;Off-street")&gt;0,1,0)</f>
        <v>0</v>
      </c>
      <c r="D1022">
        <f>IF(COUNTIFS('United Data'!$A$3:$A$3390,D$1,'United Data'!$C$3:$C$3390,$A1022,'United Data'!$B$3:$B$3390,"&lt;&gt;Off-street")&gt;0,1,0)</f>
        <v>0</v>
      </c>
      <c r="E1022">
        <f>IF(COUNTIFS('United Data'!$A$3:$A$3390,E$1,'United Data'!$C$3:$C$3390,$A1022,'United Data'!$B$3:$B$3390,"&lt;&gt;Off-street")&gt;0,1,0)</f>
        <v>0</v>
      </c>
      <c r="F1022">
        <f>IF(COUNTIFS('United Data'!$A$3:$A$3390,F$1,'United Data'!$C$3:$C$3390,$A1022,'United Data'!$B$3:$B$3390,"&lt;&gt;Off-street")&gt;0,1,0)</f>
        <v>0</v>
      </c>
      <c r="G1022">
        <f>IF(COUNTIFS('United Data'!$A$3:$A$3390,G$1,'United Data'!$C$3:$C$3390,$A1022,'United Data'!$B$3:$B$3390,"&lt;&gt;Off-street")&gt;0,1,0)</f>
        <v>0</v>
      </c>
      <c r="H1022">
        <f>IF(COUNTIFS('United Data'!$A$3:$A$3390,H$1,'United Data'!$C$3:$C$3390,$A1022,'United Data'!$B$3:$B$3390,"&lt;&gt;Off-street")&gt;0,1,0)</f>
        <v>0</v>
      </c>
      <c r="I1022">
        <f>IF(COUNTIFS('United Data'!$A$3:$A$3390,I$1,'United Data'!$C$3:$C$3390,$A1022,'United Data'!$B$3:$B$3390,"&lt;&gt;Off-street")&gt;0,1,0)</f>
        <v>0</v>
      </c>
      <c r="J1022">
        <f>IF(COUNTIFS('United Data'!$A$3:$A$3390,J$1,'United Data'!$C$3:$C$3390,$A1022,'United Data'!$B$3:$B$3390,"&lt;&gt;Off-street")&gt;0,1,0)</f>
        <v>0</v>
      </c>
      <c r="K1022">
        <f>IF(COUNTIFS('United Data'!$A$3:$A$3390,K$1,'United Data'!$C$3:$C$3390,$A1022,'United Data'!$B$3:$B$3390,"&lt;&gt;Off-street")&gt;0,1,0)</f>
        <v>0</v>
      </c>
      <c r="L1022">
        <f>IF(COUNTIFS('United Data'!$A$3:$A$3390,L$1,'United Data'!$C$3:$C$3390,$A1022,'United Data'!$B$3:$B$3390,"&lt;&gt;Off-street")&gt;0,1,0)</f>
        <v>0</v>
      </c>
      <c r="M1022">
        <f>IF(COUNTIFS('United Data'!$A$3:$A$3390,M$1,'United Data'!$C$3:$C$3390,$A1022,'United Data'!$B$3:$B$3390,"&lt;&gt;Off-street")&gt;0,1,0)</f>
        <v>0</v>
      </c>
      <c r="N1022">
        <f>IF(COUNTIFS('United Data'!$A$3:$A$3390,N$1,'United Data'!$C$3:$C$3390,$A1022,'United Data'!$B$3:$B$3390,"&lt;&gt;Off-street")&gt;0,1,0)</f>
        <v>0</v>
      </c>
      <c r="O1022">
        <f>IF(COUNTIFS('United Data'!$A$3:$A$3390,O$1,'United Data'!$C$3:$C$3390,$A1022,'United Data'!$B$3:$B$3390,"&lt;&gt;Off-street")&gt;0,1,0)</f>
        <v>0</v>
      </c>
      <c r="P1022">
        <f>IF(COUNTIFS('United Data'!$A$3:$A$3390,P$1,'United Data'!$C$3:$C$3390,$A1022,'United Data'!$B$3:$B$3390,"&lt;&gt;Off-street")&gt;0,1,0)</f>
        <v>1</v>
      </c>
      <c r="Q1022">
        <f>IF(COUNTIFS('United Data'!$A$3:$A$3390,Q$1,'United Data'!$C$3:$C$3390,$A1022,'United Data'!$B$3:$B$3390,"&lt;&gt;Off-street")&gt;0,1,0)</f>
        <v>0</v>
      </c>
      <c r="R1022">
        <f>IF(COUNTIFS('United Data'!$A$3:$A$3390,R$1,'United Data'!$C$3:$C$3390,$A1022,'United Data'!$B$3:$B$3390,"&lt;&gt;Off-street")&gt;0,1,0)</f>
        <v>0</v>
      </c>
      <c r="S1022">
        <f t="shared" si="30"/>
        <v>1</v>
      </c>
      <c r="T1022">
        <f t="shared" si="31"/>
        <v>1</v>
      </c>
    </row>
    <row r="1023" spans="1:20" x14ac:dyDescent="0.2">
      <c r="A1023" t="s">
        <v>1226</v>
      </c>
      <c r="B1023">
        <f>IF(COUNTIFS('United Data'!$A$3:$A$3390,B$1,'United Data'!$C$3:$C$3390,$A1023,'United Data'!$B$3:$B$3390,"&lt;&gt;Off-street")&gt;0,1,0)</f>
        <v>0</v>
      </c>
      <c r="C1023">
        <f>IF(COUNTIFS('United Data'!$A$3:$A$3390,C$1,'United Data'!$C$3:$C$3390,$A1023,'United Data'!$B$3:$B$3390,"&lt;&gt;Off-street")&gt;0,1,0)</f>
        <v>0</v>
      </c>
      <c r="D1023">
        <f>IF(COUNTIFS('United Data'!$A$3:$A$3390,D$1,'United Data'!$C$3:$C$3390,$A1023,'United Data'!$B$3:$B$3390,"&lt;&gt;Off-street")&gt;0,1,0)</f>
        <v>0</v>
      </c>
      <c r="E1023">
        <f>IF(COUNTIFS('United Data'!$A$3:$A$3390,E$1,'United Data'!$C$3:$C$3390,$A1023,'United Data'!$B$3:$B$3390,"&lt;&gt;Off-street")&gt;0,1,0)</f>
        <v>0</v>
      </c>
      <c r="F1023">
        <f>IF(COUNTIFS('United Data'!$A$3:$A$3390,F$1,'United Data'!$C$3:$C$3390,$A1023,'United Data'!$B$3:$B$3390,"&lt;&gt;Off-street")&gt;0,1,0)</f>
        <v>0</v>
      </c>
      <c r="G1023">
        <f>IF(COUNTIFS('United Data'!$A$3:$A$3390,G$1,'United Data'!$C$3:$C$3390,$A1023,'United Data'!$B$3:$B$3390,"&lt;&gt;Off-street")&gt;0,1,0)</f>
        <v>0</v>
      </c>
      <c r="H1023">
        <f>IF(COUNTIFS('United Data'!$A$3:$A$3390,H$1,'United Data'!$C$3:$C$3390,$A1023,'United Data'!$B$3:$B$3390,"&lt;&gt;Off-street")&gt;0,1,0)</f>
        <v>0</v>
      </c>
      <c r="I1023">
        <f>IF(COUNTIFS('United Data'!$A$3:$A$3390,I$1,'United Data'!$C$3:$C$3390,$A1023,'United Data'!$B$3:$B$3390,"&lt;&gt;Off-street")&gt;0,1,0)</f>
        <v>0</v>
      </c>
      <c r="J1023">
        <f>IF(COUNTIFS('United Data'!$A$3:$A$3390,J$1,'United Data'!$C$3:$C$3390,$A1023,'United Data'!$B$3:$B$3390,"&lt;&gt;Off-street")&gt;0,1,0)</f>
        <v>0</v>
      </c>
      <c r="K1023">
        <f>IF(COUNTIFS('United Data'!$A$3:$A$3390,K$1,'United Data'!$C$3:$C$3390,$A1023,'United Data'!$B$3:$B$3390,"&lt;&gt;Off-street")&gt;0,1,0)</f>
        <v>0</v>
      </c>
      <c r="L1023">
        <f>IF(COUNTIFS('United Data'!$A$3:$A$3390,L$1,'United Data'!$C$3:$C$3390,$A1023,'United Data'!$B$3:$B$3390,"&lt;&gt;Off-street")&gt;0,1,0)</f>
        <v>0</v>
      </c>
      <c r="M1023">
        <f>IF(COUNTIFS('United Data'!$A$3:$A$3390,M$1,'United Data'!$C$3:$C$3390,$A1023,'United Data'!$B$3:$B$3390,"&lt;&gt;Off-street")&gt;0,1,0)</f>
        <v>0</v>
      </c>
      <c r="N1023">
        <f>IF(COUNTIFS('United Data'!$A$3:$A$3390,N$1,'United Data'!$C$3:$C$3390,$A1023,'United Data'!$B$3:$B$3390,"&lt;&gt;Off-street")&gt;0,1,0)</f>
        <v>0</v>
      </c>
      <c r="O1023">
        <f>IF(COUNTIFS('United Data'!$A$3:$A$3390,O$1,'United Data'!$C$3:$C$3390,$A1023,'United Data'!$B$3:$B$3390,"&lt;&gt;Off-street")&gt;0,1,0)</f>
        <v>0</v>
      </c>
      <c r="P1023">
        <f>IF(COUNTIFS('United Data'!$A$3:$A$3390,P$1,'United Data'!$C$3:$C$3390,$A1023,'United Data'!$B$3:$B$3390,"&lt;&gt;Off-street")&gt;0,1,0)</f>
        <v>0</v>
      </c>
      <c r="Q1023">
        <f>IF(COUNTIFS('United Data'!$A$3:$A$3390,Q$1,'United Data'!$C$3:$C$3390,$A1023,'United Data'!$B$3:$B$3390,"&lt;&gt;Off-street")&gt;0,1,0)</f>
        <v>1</v>
      </c>
      <c r="R1023">
        <f>IF(COUNTIFS('United Data'!$A$3:$A$3390,R$1,'United Data'!$C$3:$C$3390,$A1023,'United Data'!$B$3:$B$3390,"&lt;&gt;Off-street")&gt;0,1,0)</f>
        <v>1</v>
      </c>
      <c r="S1023">
        <f t="shared" si="30"/>
        <v>2</v>
      </c>
      <c r="T1023">
        <f t="shared" si="31"/>
        <v>1</v>
      </c>
    </row>
    <row r="1024" spans="1:20" x14ac:dyDescent="0.2">
      <c r="A1024" t="s">
        <v>1227</v>
      </c>
      <c r="B1024">
        <f>IF(COUNTIFS('United Data'!$A$3:$A$3390,B$1,'United Data'!$C$3:$C$3390,$A1024,'United Data'!$B$3:$B$3390,"&lt;&gt;Off-street")&gt;0,1,0)</f>
        <v>0</v>
      </c>
      <c r="C1024">
        <f>IF(COUNTIFS('United Data'!$A$3:$A$3390,C$1,'United Data'!$C$3:$C$3390,$A1024,'United Data'!$B$3:$B$3390,"&lt;&gt;Off-street")&gt;0,1,0)</f>
        <v>0</v>
      </c>
      <c r="D1024">
        <f>IF(COUNTIFS('United Data'!$A$3:$A$3390,D$1,'United Data'!$C$3:$C$3390,$A1024,'United Data'!$B$3:$B$3390,"&lt;&gt;Off-street")&gt;0,1,0)</f>
        <v>0</v>
      </c>
      <c r="E1024">
        <f>IF(COUNTIFS('United Data'!$A$3:$A$3390,E$1,'United Data'!$C$3:$C$3390,$A1024,'United Data'!$B$3:$B$3390,"&lt;&gt;Off-street")&gt;0,1,0)</f>
        <v>0</v>
      </c>
      <c r="F1024">
        <f>IF(COUNTIFS('United Data'!$A$3:$A$3390,F$1,'United Data'!$C$3:$C$3390,$A1024,'United Data'!$B$3:$B$3390,"&lt;&gt;Off-street")&gt;0,1,0)</f>
        <v>0</v>
      </c>
      <c r="G1024">
        <f>IF(COUNTIFS('United Data'!$A$3:$A$3390,G$1,'United Data'!$C$3:$C$3390,$A1024,'United Data'!$B$3:$B$3390,"&lt;&gt;Off-street")&gt;0,1,0)</f>
        <v>0</v>
      </c>
      <c r="H1024">
        <f>IF(COUNTIFS('United Data'!$A$3:$A$3390,H$1,'United Data'!$C$3:$C$3390,$A1024,'United Data'!$B$3:$B$3390,"&lt;&gt;Off-street")&gt;0,1,0)</f>
        <v>0</v>
      </c>
      <c r="I1024">
        <f>IF(COUNTIFS('United Data'!$A$3:$A$3390,I$1,'United Data'!$C$3:$C$3390,$A1024,'United Data'!$B$3:$B$3390,"&lt;&gt;Off-street")&gt;0,1,0)</f>
        <v>0</v>
      </c>
      <c r="J1024">
        <f>IF(COUNTIFS('United Data'!$A$3:$A$3390,J$1,'United Data'!$C$3:$C$3390,$A1024,'United Data'!$B$3:$B$3390,"&lt;&gt;Off-street")&gt;0,1,0)</f>
        <v>0</v>
      </c>
      <c r="K1024">
        <f>IF(COUNTIFS('United Data'!$A$3:$A$3390,K$1,'United Data'!$C$3:$C$3390,$A1024,'United Data'!$B$3:$B$3390,"&lt;&gt;Off-street")&gt;0,1,0)</f>
        <v>0</v>
      </c>
      <c r="L1024">
        <f>IF(COUNTIFS('United Data'!$A$3:$A$3390,L$1,'United Data'!$C$3:$C$3390,$A1024,'United Data'!$B$3:$B$3390,"&lt;&gt;Off-street")&gt;0,1,0)</f>
        <v>0</v>
      </c>
      <c r="M1024">
        <f>IF(COUNTIFS('United Data'!$A$3:$A$3390,M$1,'United Data'!$C$3:$C$3390,$A1024,'United Data'!$B$3:$B$3390,"&lt;&gt;Off-street")&gt;0,1,0)</f>
        <v>0</v>
      </c>
      <c r="N1024">
        <f>IF(COUNTIFS('United Data'!$A$3:$A$3390,N$1,'United Data'!$C$3:$C$3390,$A1024,'United Data'!$B$3:$B$3390,"&lt;&gt;Off-street")&gt;0,1,0)</f>
        <v>0</v>
      </c>
      <c r="O1024">
        <f>IF(COUNTIFS('United Data'!$A$3:$A$3390,O$1,'United Data'!$C$3:$C$3390,$A1024,'United Data'!$B$3:$B$3390,"&lt;&gt;Off-street")&gt;0,1,0)</f>
        <v>0</v>
      </c>
      <c r="P1024">
        <f>IF(COUNTIFS('United Data'!$A$3:$A$3390,P$1,'United Data'!$C$3:$C$3390,$A1024,'United Data'!$B$3:$B$3390,"&lt;&gt;Off-street")&gt;0,1,0)</f>
        <v>0</v>
      </c>
      <c r="Q1024">
        <f>IF(COUNTIFS('United Data'!$A$3:$A$3390,Q$1,'United Data'!$C$3:$C$3390,$A1024,'United Data'!$B$3:$B$3390,"&lt;&gt;Off-street")&gt;0,1,0)</f>
        <v>1</v>
      </c>
      <c r="R1024">
        <f>IF(COUNTIFS('United Data'!$A$3:$A$3390,R$1,'United Data'!$C$3:$C$3390,$A1024,'United Data'!$B$3:$B$3390,"&lt;&gt;Off-street")&gt;0,1,0)</f>
        <v>0</v>
      </c>
      <c r="S1024">
        <f t="shared" si="30"/>
        <v>1</v>
      </c>
      <c r="T1024">
        <f t="shared" si="31"/>
        <v>1</v>
      </c>
    </row>
    <row r="1025" spans="1:20" x14ac:dyDescent="0.2">
      <c r="A1025" t="s">
        <v>1228</v>
      </c>
      <c r="B1025">
        <f>IF(COUNTIFS('United Data'!$A$3:$A$3390,B$1,'United Data'!$C$3:$C$3390,$A1025,'United Data'!$B$3:$B$3390,"&lt;&gt;Off-street")&gt;0,1,0)</f>
        <v>0</v>
      </c>
      <c r="C1025">
        <f>IF(COUNTIFS('United Data'!$A$3:$A$3390,C$1,'United Data'!$C$3:$C$3390,$A1025,'United Data'!$B$3:$B$3390,"&lt;&gt;Off-street")&gt;0,1,0)</f>
        <v>0</v>
      </c>
      <c r="D1025">
        <f>IF(COUNTIFS('United Data'!$A$3:$A$3390,D$1,'United Data'!$C$3:$C$3390,$A1025,'United Data'!$B$3:$B$3390,"&lt;&gt;Off-street")&gt;0,1,0)</f>
        <v>0</v>
      </c>
      <c r="E1025">
        <f>IF(COUNTIFS('United Data'!$A$3:$A$3390,E$1,'United Data'!$C$3:$C$3390,$A1025,'United Data'!$B$3:$B$3390,"&lt;&gt;Off-street")&gt;0,1,0)</f>
        <v>0</v>
      </c>
      <c r="F1025">
        <f>IF(COUNTIFS('United Data'!$A$3:$A$3390,F$1,'United Data'!$C$3:$C$3390,$A1025,'United Data'!$B$3:$B$3390,"&lt;&gt;Off-street")&gt;0,1,0)</f>
        <v>0</v>
      </c>
      <c r="G1025">
        <f>IF(COUNTIFS('United Data'!$A$3:$A$3390,G$1,'United Data'!$C$3:$C$3390,$A1025,'United Data'!$B$3:$B$3390,"&lt;&gt;Off-street")&gt;0,1,0)</f>
        <v>0</v>
      </c>
      <c r="H1025">
        <f>IF(COUNTIFS('United Data'!$A$3:$A$3390,H$1,'United Data'!$C$3:$C$3390,$A1025,'United Data'!$B$3:$B$3390,"&lt;&gt;Off-street")&gt;0,1,0)</f>
        <v>0</v>
      </c>
      <c r="I1025">
        <f>IF(COUNTIFS('United Data'!$A$3:$A$3390,I$1,'United Data'!$C$3:$C$3390,$A1025,'United Data'!$B$3:$B$3390,"&lt;&gt;Off-street")&gt;0,1,0)</f>
        <v>0</v>
      </c>
      <c r="J1025">
        <f>IF(COUNTIFS('United Data'!$A$3:$A$3390,J$1,'United Data'!$C$3:$C$3390,$A1025,'United Data'!$B$3:$B$3390,"&lt;&gt;Off-street")&gt;0,1,0)</f>
        <v>0</v>
      </c>
      <c r="K1025">
        <f>IF(COUNTIFS('United Data'!$A$3:$A$3390,K$1,'United Data'!$C$3:$C$3390,$A1025,'United Data'!$B$3:$B$3390,"&lt;&gt;Off-street")&gt;0,1,0)</f>
        <v>0</v>
      </c>
      <c r="L1025">
        <f>IF(COUNTIFS('United Data'!$A$3:$A$3390,L$1,'United Data'!$C$3:$C$3390,$A1025,'United Data'!$B$3:$B$3390,"&lt;&gt;Off-street")&gt;0,1,0)</f>
        <v>0</v>
      </c>
      <c r="M1025">
        <f>IF(COUNTIFS('United Data'!$A$3:$A$3390,M$1,'United Data'!$C$3:$C$3390,$A1025,'United Data'!$B$3:$B$3390,"&lt;&gt;Off-street")&gt;0,1,0)</f>
        <v>0</v>
      </c>
      <c r="N1025">
        <f>IF(COUNTIFS('United Data'!$A$3:$A$3390,N$1,'United Data'!$C$3:$C$3390,$A1025,'United Data'!$B$3:$B$3390,"&lt;&gt;Off-street")&gt;0,1,0)</f>
        <v>0</v>
      </c>
      <c r="O1025">
        <f>IF(COUNTIFS('United Data'!$A$3:$A$3390,O$1,'United Data'!$C$3:$C$3390,$A1025,'United Data'!$B$3:$B$3390,"&lt;&gt;Off-street")&gt;0,1,0)</f>
        <v>0</v>
      </c>
      <c r="P1025">
        <f>IF(COUNTIFS('United Data'!$A$3:$A$3390,P$1,'United Data'!$C$3:$C$3390,$A1025,'United Data'!$B$3:$B$3390,"&lt;&gt;Off-street")&gt;0,1,0)</f>
        <v>0</v>
      </c>
      <c r="Q1025">
        <f>IF(COUNTIFS('United Data'!$A$3:$A$3390,Q$1,'United Data'!$C$3:$C$3390,$A1025,'United Data'!$B$3:$B$3390,"&lt;&gt;Off-street")&gt;0,1,0)</f>
        <v>1</v>
      </c>
      <c r="R1025">
        <f>IF(COUNTIFS('United Data'!$A$3:$A$3390,R$1,'United Data'!$C$3:$C$3390,$A1025,'United Data'!$B$3:$B$3390,"&lt;&gt;Off-street")&gt;0,1,0)</f>
        <v>0</v>
      </c>
      <c r="S1025">
        <f t="shared" si="30"/>
        <v>1</v>
      </c>
      <c r="T1025">
        <f t="shared" si="31"/>
        <v>1</v>
      </c>
    </row>
    <row r="1026" spans="1:20" x14ac:dyDescent="0.2">
      <c r="A1026" t="s">
        <v>1229</v>
      </c>
      <c r="B1026">
        <f>IF(COUNTIFS('United Data'!$A$3:$A$3390,B$1,'United Data'!$C$3:$C$3390,$A1026,'United Data'!$B$3:$B$3390,"&lt;&gt;Off-street")&gt;0,1,0)</f>
        <v>0</v>
      </c>
      <c r="C1026">
        <f>IF(COUNTIFS('United Data'!$A$3:$A$3390,C$1,'United Data'!$C$3:$C$3390,$A1026,'United Data'!$B$3:$B$3390,"&lt;&gt;Off-street")&gt;0,1,0)</f>
        <v>0</v>
      </c>
      <c r="D1026">
        <f>IF(COUNTIFS('United Data'!$A$3:$A$3390,D$1,'United Data'!$C$3:$C$3390,$A1026,'United Data'!$B$3:$B$3390,"&lt;&gt;Off-street")&gt;0,1,0)</f>
        <v>0</v>
      </c>
      <c r="E1026">
        <f>IF(COUNTIFS('United Data'!$A$3:$A$3390,E$1,'United Data'!$C$3:$C$3390,$A1026,'United Data'!$B$3:$B$3390,"&lt;&gt;Off-street")&gt;0,1,0)</f>
        <v>0</v>
      </c>
      <c r="F1026">
        <f>IF(COUNTIFS('United Data'!$A$3:$A$3390,F$1,'United Data'!$C$3:$C$3390,$A1026,'United Data'!$B$3:$B$3390,"&lt;&gt;Off-street")&gt;0,1,0)</f>
        <v>0</v>
      </c>
      <c r="G1026">
        <f>IF(COUNTIFS('United Data'!$A$3:$A$3390,G$1,'United Data'!$C$3:$C$3390,$A1026,'United Data'!$B$3:$B$3390,"&lt;&gt;Off-street")&gt;0,1,0)</f>
        <v>0</v>
      </c>
      <c r="H1026">
        <f>IF(COUNTIFS('United Data'!$A$3:$A$3390,H$1,'United Data'!$C$3:$C$3390,$A1026,'United Data'!$B$3:$B$3390,"&lt;&gt;Off-street")&gt;0,1,0)</f>
        <v>0</v>
      </c>
      <c r="I1026">
        <f>IF(COUNTIFS('United Data'!$A$3:$A$3390,I$1,'United Data'!$C$3:$C$3390,$A1026,'United Data'!$B$3:$B$3390,"&lt;&gt;Off-street")&gt;0,1,0)</f>
        <v>0</v>
      </c>
      <c r="J1026">
        <f>IF(COUNTIFS('United Data'!$A$3:$A$3390,J$1,'United Data'!$C$3:$C$3390,$A1026,'United Data'!$B$3:$B$3390,"&lt;&gt;Off-street")&gt;0,1,0)</f>
        <v>0</v>
      </c>
      <c r="K1026">
        <f>IF(COUNTIFS('United Data'!$A$3:$A$3390,K$1,'United Data'!$C$3:$C$3390,$A1026,'United Data'!$B$3:$B$3390,"&lt;&gt;Off-street")&gt;0,1,0)</f>
        <v>0</v>
      </c>
      <c r="L1026">
        <f>IF(COUNTIFS('United Data'!$A$3:$A$3390,L$1,'United Data'!$C$3:$C$3390,$A1026,'United Data'!$B$3:$B$3390,"&lt;&gt;Off-street")&gt;0,1,0)</f>
        <v>0</v>
      </c>
      <c r="M1026">
        <f>IF(COUNTIFS('United Data'!$A$3:$A$3390,M$1,'United Data'!$C$3:$C$3390,$A1026,'United Data'!$B$3:$B$3390,"&lt;&gt;Off-street")&gt;0,1,0)</f>
        <v>0</v>
      </c>
      <c r="N1026">
        <f>IF(COUNTIFS('United Data'!$A$3:$A$3390,N$1,'United Data'!$C$3:$C$3390,$A1026,'United Data'!$B$3:$B$3390,"&lt;&gt;Off-street")&gt;0,1,0)</f>
        <v>0</v>
      </c>
      <c r="O1026">
        <f>IF(COUNTIFS('United Data'!$A$3:$A$3390,O$1,'United Data'!$C$3:$C$3390,$A1026,'United Data'!$B$3:$B$3390,"&lt;&gt;Off-street")&gt;0,1,0)</f>
        <v>0</v>
      </c>
      <c r="P1026">
        <f>IF(COUNTIFS('United Data'!$A$3:$A$3390,P$1,'United Data'!$C$3:$C$3390,$A1026,'United Data'!$B$3:$B$3390,"&lt;&gt;Off-street")&gt;0,1,0)</f>
        <v>0</v>
      </c>
      <c r="Q1026">
        <f>IF(COUNTIFS('United Data'!$A$3:$A$3390,Q$1,'United Data'!$C$3:$C$3390,$A1026,'United Data'!$B$3:$B$3390,"&lt;&gt;Off-street")&gt;0,1,0)</f>
        <v>1</v>
      </c>
      <c r="R1026">
        <f>IF(COUNTIFS('United Data'!$A$3:$A$3390,R$1,'United Data'!$C$3:$C$3390,$A1026,'United Data'!$B$3:$B$3390,"&lt;&gt;Off-street")&gt;0,1,0)</f>
        <v>0</v>
      </c>
      <c r="S1026">
        <f t="shared" ref="S1026:S1089" si="32">SUM(B1026:R1026)</f>
        <v>1</v>
      </c>
      <c r="T1026">
        <f t="shared" ref="T1026:T1089" si="33">B1026+SUMPRODUCT(--(C1026:R1026&gt;B1026:Q1026))</f>
        <v>1</v>
      </c>
    </row>
    <row r="1027" spans="1:20" x14ac:dyDescent="0.2">
      <c r="A1027" t="s">
        <v>1230</v>
      </c>
      <c r="B1027">
        <f>IF(COUNTIFS('United Data'!$A$3:$A$3390,B$1,'United Data'!$C$3:$C$3390,$A1027,'United Data'!$B$3:$B$3390,"&lt;&gt;Off-street")&gt;0,1,0)</f>
        <v>0</v>
      </c>
      <c r="C1027">
        <f>IF(COUNTIFS('United Data'!$A$3:$A$3390,C$1,'United Data'!$C$3:$C$3390,$A1027,'United Data'!$B$3:$B$3390,"&lt;&gt;Off-street")&gt;0,1,0)</f>
        <v>0</v>
      </c>
      <c r="D1027">
        <f>IF(COUNTIFS('United Data'!$A$3:$A$3390,D$1,'United Data'!$C$3:$C$3390,$A1027,'United Data'!$B$3:$B$3390,"&lt;&gt;Off-street")&gt;0,1,0)</f>
        <v>0</v>
      </c>
      <c r="E1027">
        <f>IF(COUNTIFS('United Data'!$A$3:$A$3390,E$1,'United Data'!$C$3:$C$3390,$A1027,'United Data'!$B$3:$B$3390,"&lt;&gt;Off-street")&gt;0,1,0)</f>
        <v>0</v>
      </c>
      <c r="F1027">
        <f>IF(COUNTIFS('United Data'!$A$3:$A$3390,F$1,'United Data'!$C$3:$C$3390,$A1027,'United Data'!$B$3:$B$3390,"&lt;&gt;Off-street")&gt;0,1,0)</f>
        <v>0</v>
      </c>
      <c r="G1027">
        <f>IF(COUNTIFS('United Data'!$A$3:$A$3390,G$1,'United Data'!$C$3:$C$3390,$A1027,'United Data'!$B$3:$B$3390,"&lt;&gt;Off-street")&gt;0,1,0)</f>
        <v>0</v>
      </c>
      <c r="H1027">
        <f>IF(COUNTIFS('United Data'!$A$3:$A$3390,H$1,'United Data'!$C$3:$C$3390,$A1027,'United Data'!$B$3:$B$3390,"&lt;&gt;Off-street")&gt;0,1,0)</f>
        <v>0</v>
      </c>
      <c r="I1027">
        <f>IF(COUNTIFS('United Data'!$A$3:$A$3390,I$1,'United Data'!$C$3:$C$3390,$A1027,'United Data'!$B$3:$B$3390,"&lt;&gt;Off-street")&gt;0,1,0)</f>
        <v>0</v>
      </c>
      <c r="J1027">
        <f>IF(COUNTIFS('United Data'!$A$3:$A$3390,J$1,'United Data'!$C$3:$C$3390,$A1027,'United Data'!$B$3:$B$3390,"&lt;&gt;Off-street")&gt;0,1,0)</f>
        <v>0</v>
      </c>
      <c r="K1027">
        <f>IF(COUNTIFS('United Data'!$A$3:$A$3390,K$1,'United Data'!$C$3:$C$3390,$A1027,'United Data'!$B$3:$B$3390,"&lt;&gt;Off-street")&gt;0,1,0)</f>
        <v>0</v>
      </c>
      <c r="L1027">
        <f>IF(COUNTIFS('United Data'!$A$3:$A$3390,L$1,'United Data'!$C$3:$C$3390,$A1027,'United Data'!$B$3:$B$3390,"&lt;&gt;Off-street")&gt;0,1,0)</f>
        <v>0</v>
      </c>
      <c r="M1027">
        <f>IF(COUNTIFS('United Data'!$A$3:$A$3390,M$1,'United Data'!$C$3:$C$3390,$A1027,'United Data'!$B$3:$B$3390,"&lt;&gt;Off-street")&gt;0,1,0)</f>
        <v>0</v>
      </c>
      <c r="N1027">
        <f>IF(COUNTIFS('United Data'!$A$3:$A$3390,N$1,'United Data'!$C$3:$C$3390,$A1027,'United Data'!$B$3:$B$3390,"&lt;&gt;Off-street")&gt;0,1,0)</f>
        <v>0</v>
      </c>
      <c r="O1027">
        <f>IF(COUNTIFS('United Data'!$A$3:$A$3390,O$1,'United Data'!$C$3:$C$3390,$A1027,'United Data'!$B$3:$B$3390,"&lt;&gt;Off-street")&gt;0,1,0)</f>
        <v>0</v>
      </c>
      <c r="P1027">
        <f>IF(COUNTIFS('United Data'!$A$3:$A$3390,P$1,'United Data'!$C$3:$C$3390,$A1027,'United Data'!$B$3:$B$3390,"&lt;&gt;Off-street")&gt;0,1,0)</f>
        <v>0</v>
      </c>
      <c r="Q1027">
        <f>IF(COUNTIFS('United Data'!$A$3:$A$3390,Q$1,'United Data'!$C$3:$C$3390,$A1027,'United Data'!$B$3:$B$3390,"&lt;&gt;Off-street")&gt;0,1,0)</f>
        <v>1</v>
      </c>
      <c r="R1027">
        <f>IF(COUNTIFS('United Data'!$A$3:$A$3390,R$1,'United Data'!$C$3:$C$3390,$A1027,'United Data'!$B$3:$B$3390,"&lt;&gt;Off-street")&gt;0,1,0)</f>
        <v>1</v>
      </c>
      <c r="S1027">
        <f t="shared" si="32"/>
        <v>2</v>
      </c>
      <c r="T1027">
        <f t="shared" si="33"/>
        <v>1</v>
      </c>
    </row>
    <row r="1028" spans="1:20" x14ac:dyDescent="0.2">
      <c r="A1028" t="s">
        <v>1231</v>
      </c>
      <c r="B1028">
        <f>IF(COUNTIFS('United Data'!$A$3:$A$3390,B$1,'United Data'!$C$3:$C$3390,$A1028,'United Data'!$B$3:$B$3390,"&lt;&gt;Off-street")&gt;0,1,0)</f>
        <v>0</v>
      </c>
      <c r="C1028">
        <f>IF(COUNTIFS('United Data'!$A$3:$A$3390,C$1,'United Data'!$C$3:$C$3390,$A1028,'United Data'!$B$3:$B$3390,"&lt;&gt;Off-street")&gt;0,1,0)</f>
        <v>0</v>
      </c>
      <c r="D1028">
        <f>IF(COUNTIFS('United Data'!$A$3:$A$3390,D$1,'United Data'!$C$3:$C$3390,$A1028,'United Data'!$B$3:$B$3390,"&lt;&gt;Off-street")&gt;0,1,0)</f>
        <v>0</v>
      </c>
      <c r="E1028">
        <f>IF(COUNTIFS('United Data'!$A$3:$A$3390,E$1,'United Data'!$C$3:$C$3390,$A1028,'United Data'!$B$3:$B$3390,"&lt;&gt;Off-street")&gt;0,1,0)</f>
        <v>0</v>
      </c>
      <c r="F1028">
        <f>IF(COUNTIFS('United Data'!$A$3:$A$3390,F$1,'United Data'!$C$3:$C$3390,$A1028,'United Data'!$B$3:$B$3390,"&lt;&gt;Off-street")&gt;0,1,0)</f>
        <v>0</v>
      </c>
      <c r="G1028">
        <f>IF(COUNTIFS('United Data'!$A$3:$A$3390,G$1,'United Data'!$C$3:$C$3390,$A1028,'United Data'!$B$3:$B$3390,"&lt;&gt;Off-street")&gt;0,1,0)</f>
        <v>0</v>
      </c>
      <c r="H1028">
        <f>IF(COUNTIFS('United Data'!$A$3:$A$3390,H$1,'United Data'!$C$3:$C$3390,$A1028,'United Data'!$B$3:$B$3390,"&lt;&gt;Off-street")&gt;0,1,0)</f>
        <v>0</v>
      </c>
      <c r="I1028">
        <f>IF(COUNTIFS('United Data'!$A$3:$A$3390,I$1,'United Data'!$C$3:$C$3390,$A1028,'United Data'!$B$3:$B$3390,"&lt;&gt;Off-street")&gt;0,1,0)</f>
        <v>0</v>
      </c>
      <c r="J1028">
        <f>IF(COUNTIFS('United Data'!$A$3:$A$3390,J$1,'United Data'!$C$3:$C$3390,$A1028,'United Data'!$B$3:$B$3390,"&lt;&gt;Off-street")&gt;0,1,0)</f>
        <v>0</v>
      </c>
      <c r="K1028">
        <f>IF(COUNTIFS('United Data'!$A$3:$A$3390,K$1,'United Data'!$C$3:$C$3390,$A1028,'United Data'!$B$3:$B$3390,"&lt;&gt;Off-street")&gt;0,1,0)</f>
        <v>0</v>
      </c>
      <c r="L1028">
        <f>IF(COUNTIFS('United Data'!$A$3:$A$3390,L$1,'United Data'!$C$3:$C$3390,$A1028,'United Data'!$B$3:$B$3390,"&lt;&gt;Off-street")&gt;0,1,0)</f>
        <v>0</v>
      </c>
      <c r="M1028">
        <f>IF(COUNTIFS('United Data'!$A$3:$A$3390,M$1,'United Data'!$C$3:$C$3390,$A1028,'United Data'!$B$3:$B$3390,"&lt;&gt;Off-street")&gt;0,1,0)</f>
        <v>0</v>
      </c>
      <c r="N1028">
        <f>IF(COUNTIFS('United Data'!$A$3:$A$3390,N$1,'United Data'!$C$3:$C$3390,$A1028,'United Data'!$B$3:$B$3390,"&lt;&gt;Off-street")&gt;0,1,0)</f>
        <v>0</v>
      </c>
      <c r="O1028">
        <f>IF(COUNTIFS('United Data'!$A$3:$A$3390,O$1,'United Data'!$C$3:$C$3390,$A1028,'United Data'!$B$3:$B$3390,"&lt;&gt;Off-street")&gt;0,1,0)</f>
        <v>0</v>
      </c>
      <c r="P1028">
        <f>IF(COUNTIFS('United Data'!$A$3:$A$3390,P$1,'United Data'!$C$3:$C$3390,$A1028,'United Data'!$B$3:$B$3390,"&lt;&gt;Off-street")&gt;0,1,0)</f>
        <v>0</v>
      </c>
      <c r="Q1028">
        <f>IF(COUNTIFS('United Data'!$A$3:$A$3390,Q$1,'United Data'!$C$3:$C$3390,$A1028,'United Data'!$B$3:$B$3390,"&lt;&gt;Off-street")&gt;0,1,0)</f>
        <v>1</v>
      </c>
      <c r="R1028">
        <f>IF(COUNTIFS('United Data'!$A$3:$A$3390,R$1,'United Data'!$C$3:$C$3390,$A1028,'United Data'!$B$3:$B$3390,"&lt;&gt;Off-street")&gt;0,1,0)</f>
        <v>0</v>
      </c>
      <c r="S1028">
        <f t="shared" si="32"/>
        <v>1</v>
      </c>
      <c r="T1028">
        <f t="shared" si="33"/>
        <v>1</v>
      </c>
    </row>
    <row r="1029" spans="1:20" x14ac:dyDescent="0.2">
      <c r="A1029" t="s">
        <v>1232</v>
      </c>
      <c r="B1029">
        <f>IF(COUNTIFS('United Data'!$A$3:$A$3390,B$1,'United Data'!$C$3:$C$3390,$A1029,'United Data'!$B$3:$B$3390,"&lt;&gt;Off-street")&gt;0,1,0)</f>
        <v>0</v>
      </c>
      <c r="C1029">
        <f>IF(COUNTIFS('United Data'!$A$3:$A$3390,C$1,'United Data'!$C$3:$C$3390,$A1029,'United Data'!$B$3:$B$3390,"&lt;&gt;Off-street")&gt;0,1,0)</f>
        <v>0</v>
      </c>
      <c r="D1029">
        <f>IF(COUNTIFS('United Data'!$A$3:$A$3390,D$1,'United Data'!$C$3:$C$3390,$A1029,'United Data'!$B$3:$B$3390,"&lt;&gt;Off-street")&gt;0,1,0)</f>
        <v>0</v>
      </c>
      <c r="E1029">
        <f>IF(COUNTIFS('United Data'!$A$3:$A$3390,E$1,'United Data'!$C$3:$C$3390,$A1029,'United Data'!$B$3:$B$3390,"&lt;&gt;Off-street")&gt;0,1,0)</f>
        <v>0</v>
      </c>
      <c r="F1029">
        <f>IF(COUNTIFS('United Data'!$A$3:$A$3390,F$1,'United Data'!$C$3:$C$3390,$A1029,'United Data'!$B$3:$B$3390,"&lt;&gt;Off-street")&gt;0,1,0)</f>
        <v>0</v>
      </c>
      <c r="G1029">
        <f>IF(COUNTIFS('United Data'!$A$3:$A$3390,G$1,'United Data'!$C$3:$C$3390,$A1029,'United Data'!$B$3:$B$3390,"&lt;&gt;Off-street")&gt;0,1,0)</f>
        <v>0</v>
      </c>
      <c r="H1029">
        <f>IF(COUNTIFS('United Data'!$A$3:$A$3390,H$1,'United Data'!$C$3:$C$3390,$A1029,'United Data'!$B$3:$B$3390,"&lt;&gt;Off-street")&gt;0,1,0)</f>
        <v>0</v>
      </c>
      <c r="I1029">
        <f>IF(COUNTIFS('United Data'!$A$3:$A$3390,I$1,'United Data'!$C$3:$C$3390,$A1029,'United Data'!$B$3:$B$3390,"&lt;&gt;Off-street")&gt;0,1,0)</f>
        <v>0</v>
      </c>
      <c r="J1029">
        <f>IF(COUNTIFS('United Data'!$A$3:$A$3390,J$1,'United Data'!$C$3:$C$3390,$A1029,'United Data'!$B$3:$B$3390,"&lt;&gt;Off-street")&gt;0,1,0)</f>
        <v>0</v>
      </c>
      <c r="K1029">
        <f>IF(COUNTIFS('United Data'!$A$3:$A$3390,K$1,'United Data'!$C$3:$C$3390,$A1029,'United Data'!$B$3:$B$3390,"&lt;&gt;Off-street")&gt;0,1,0)</f>
        <v>0</v>
      </c>
      <c r="L1029">
        <f>IF(COUNTIFS('United Data'!$A$3:$A$3390,L$1,'United Data'!$C$3:$C$3390,$A1029,'United Data'!$B$3:$B$3390,"&lt;&gt;Off-street")&gt;0,1,0)</f>
        <v>0</v>
      </c>
      <c r="M1029">
        <f>IF(COUNTIFS('United Data'!$A$3:$A$3390,M$1,'United Data'!$C$3:$C$3390,$A1029,'United Data'!$B$3:$B$3390,"&lt;&gt;Off-street")&gt;0,1,0)</f>
        <v>0</v>
      </c>
      <c r="N1029">
        <f>IF(COUNTIFS('United Data'!$A$3:$A$3390,N$1,'United Data'!$C$3:$C$3390,$A1029,'United Data'!$B$3:$B$3390,"&lt;&gt;Off-street")&gt;0,1,0)</f>
        <v>0</v>
      </c>
      <c r="O1029">
        <f>IF(COUNTIFS('United Data'!$A$3:$A$3390,O$1,'United Data'!$C$3:$C$3390,$A1029,'United Data'!$B$3:$B$3390,"&lt;&gt;Off-street")&gt;0,1,0)</f>
        <v>0</v>
      </c>
      <c r="P1029">
        <f>IF(COUNTIFS('United Data'!$A$3:$A$3390,P$1,'United Data'!$C$3:$C$3390,$A1029,'United Data'!$B$3:$B$3390,"&lt;&gt;Off-street")&gt;0,1,0)</f>
        <v>0</v>
      </c>
      <c r="Q1029">
        <f>IF(COUNTIFS('United Data'!$A$3:$A$3390,Q$1,'United Data'!$C$3:$C$3390,$A1029,'United Data'!$B$3:$B$3390,"&lt;&gt;Off-street")&gt;0,1,0)</f>
        <v>0</v>
      </c>
      <c r="R1029">
        <f>IF(COUNTIFS('United Data'!$A$3:$A$3390,R$1,'United Data'!$C$3:$C$3390,$A1029,'United Data'!$B$3:$B$3390,"&lt;&gt;Off-street")&gt;0,1,0)</f>
        <v>1</v>
      </c>
      <c r="S1029">
        <f t="shared" si="32"/>
        <v>1</v>
      </c>
      <c r="T1029">
        <f t="shared" si="33"/>
        <v>1</v>
      </c>
    </row>
    <row r="1030" spans="1:20" x14ac:dyDescent="0.2">
      <c r="A1030" t="s">
        <v>1233</v>
      </c>
      <c r="B1030">
        <f>IF(COUNTIFS('United Data'!$A$3:$A$3390,B$1,'United Data'!$C$3:$C$3390,$A1030,'United Data'!$B$3:$B$3390,"&lt;&gt;Off-street")&gt;0,1,0)</f>
        <v>1</v>
      </c>
      <c r="C1030">
        <f>IF(COUNTIFS('United Data'!$A$3:$A$3390,C$1,'United Data'!$C$3:$C$3390,$A1030,'United Data'!$B$3:$B$3390,"&lt;&gt;Off-street")&gt;0,1,0)</f>
        <v>1</v>
      </c>
      <c r="D1030">
        <f>IF(COUNTIFS('United Data'!$A$3:$A$3390,D$1,'United Data'!$C$3:$C$3390,$A1030,'United Data'!$B$3:$B$3390,"&lt;&gt;Off-street")&gt;0,1,0)</f>
        <v>1</v>
      </c>
      <c r="E1030">
        <f>IF(COUNTIFS('United Data'!$A$3:$A$3390,E$1,'United Data'!$C$3:$C$3390,$A1030,'United Data'!$B$3:$B$3390,"&lt;&gt;Off-street")&gt;0,1,0)</f>
        <v>1</v>
      </c>
      <c r="F1030">
        <f>IF(COUNTIFS('United Data'!$A$3:$A$3390,F$1,'United Data'!$C$3:$C$3390,$A1030,'United Data'!$B$3:$B$3390,"&lt;&gt;Off-street")&gt;0,1,0)</f>
        <v>1</v>
      </c>
      <c r="G1030">
        <f>IF(COUNTIFS('United Data'!$A$3:$A$3390,G$1,'United Data'!$C$3:$C$3390,$A1030,'United Data'!$B$3:$B$3390,"&lt;&gt;Off-street")&gt;0,1,0)</f>
        <v>1</v>
      </c>
      <c r="H1030">
        <f>IF(COUNTIFS('United Data'!$A$3:$A$3390,H$1,'United Data'!$C$3:$C$3390,$A1030,'United Data'!$B$3:$B$3390,"&lt;&gt;Off-street")&gt;0,1,0)</f>
        <v>0</v>
      </c>
      <c r="I1030">
        <f>IF(COUNTIFS('United Data'!$A$3:$A$3390,I$1,'United Data'!$C$3:$C$3390,$A1030,'United Data'!$B$3:$B$3390,"&lt;&gt;Off-street")&gt;0,1,0)</f>
        <v>1</v>
      </c>
      <c r="J1030">
        <f>IF(COUNTIFS('United Data'!$A$3:$A$3390,J$1,'United Data'!$C$3:$C$3390,$A1030,'United Data'!$B$3:$B$3390,"&lt;&gt;Off-street")&gt;0,1,0)</f>
        <v>0</v>
      </c>
      <c r="K1030">
        <f>IF(COUNTIFS('United Data'!$A$3:$A$3390,K$1,'United Data'!$C$3:$C$3390,$A1030,'United Data'!$B$3:$B$3390,"&lt;&gt;Off-street")&gt;0,1,0)</f>
        <v>0</v>
      </c>
      <c r="L1030">
        <f>IF(COUNTIFS('United Data'!$A$3:$A$3390,L$1,'United Data'!$C$3:$C$3390,$A1030,'United Data'!$B$3:$B$3390,"&lt;&gt;Off-street")&gt;0,1,0)</f>
        <v>0</v>
      </c>
      <c r="M1030">
        <f>IF(COUNTIFS('United Data'!$A$3:$A$3390,M$1,'United Data'!$C$3:$C$3390,$A1030,'United Data'!$B$3:$B$3390,"&lt;&gt;Off-street")&gt;0,1,0)</f>
        <v>0</v>
      </c>
      <c r="N1030">
        <f>IF(COUNTIFS('United Data'!$A$3:$A$3390,N$1,'United Data'!$C$3:$C$3390,$A1030,'United Data'!$B$3:$B$3390,"&lt;&gt;Off-street")&gt;0,1,0)</f>
        <v>0</v>
      </c>
      <c r="O1030">
        <f>IF(COUNTIFS('United Data'!$A$3:$A$3390,O$1,'United Data'!$C$3:$C$3390,$A1030,'United Data'!$B$3:$B$3390,"&lt;&gt;Off-street")&gt;0,1,0)</f>
        <v>1</v>
      </c>
      <c r="P1030">
        <f>IF(COUNTIFS('United Data'!$A$3:$A$3390,P$1,'United Data'!$C$3:$C$3390,$A1030,'United Data'!$B$3:$B$3390,"&lt;&gt;Off-street")&gt;0,1,0)</f>
        <v>1</v>
      </c>
      <c r="Q1030">
        <f>IF(COUNTIFS('United Data'!$A$3:$A$3390,Q$1,'United Data'!$C$3:$C$3390,$A1030,'United Data'!$B$3:$B$3390,"&lt;&gt;Off-street")&gt;0,1,0)</f>
        <v>0</v>
      </c>
      <c r="R1030">
        <f>IF(COUNTIFS('United Data'!$A$3:$A$3390,R$1,'United Data'!$C$3:$C$3390,$A1030,'United Data'!$B$3:$B$3390,"&lt;&gt;Off-street")&gt;0,1,0)</f>
        <v>0</v>
      </c>
      <c r="S1030">
        <f t="shared" si="32"/>
        <v>9</v>
      </c>
      <c r="T1030">
        <f t="shared" si="33"/>
        <v>3</v>
      </c>
    </row>
    <row r="1031" spans="1:20" x14ac:dyDescent="0.2">
      <c r="A1031" t="s">
        <v>1234</v>
      </c>
      <c r="B1031">
        <f>IF(COUNTIFS('United Data'!$A$3:$A$3390,B$1,'United Data'!$C$3:$C$3390,$A1031,'United Data'!$B$3:$B$3390,"&lt;&gt;Off-street")&gt;0,1,0)</f>
        <v>1</v>
      </c>
      <c r="C1031">
        <f>IF(COUNTIFS('United Data'!$A$3:$A$3390,C$1,'United Data'!$C$3:$C$3390,$A1031,'United Data'!$B$3:$B$3390,"&lt;&gt;Off-street")&gt;0,1,0)</f>
        <v>0</v>
      </c>
      <c r="D1031">
        <f>IF(COUNTIFS('United Data'!$A$3:$A$3390,D$1,'United Data'!$C$3:$C$3390,$A1031,'United Data'!$B$3:$B$3390,"&lt;&gt;Off-street")&gt;0,1,0)</f>
        <v>0</v>
      </c>
      <c r="E1031">
        <f>IF(COUNTIFS('United Data'!$A$3:$A$3390,E$1,'United Data'!$C$3:$C$3390,$A1031,'United Data'!$B$3:$B$3390,"&lt;&gt;Off-street")&gt;0,1,0)</f>
        <v>0</v>
      </c>
      <c r="F1031">
        <f>IF(COUNTIFS('United Data'!$A$3:$A$3390,F$1,'United Data'!$C$3:$C$3390,$A1031,'United Data'!$B$3:$B$3390,"&lt;&gt;Off-street")&gt;0,1,0)</f>
        <v>0</v>
      </c>
      <c r="G1031">
        <f>IF(COUNTIFS('United Data'!$A$3:$A$3390,G$1,'United Data'!$C$3:$C$3390,$A1031,'United Data'!$B$3:$B$3390,"&lt;&gt;Off-street")&gt;0,1,0)</f>
        <v>0</v>
      </c>
      <c r="H1031">
        <f>IF(COUNTIFS('United Data'!$A$3:$A$3390,H$1,'United Data'!$C$3:$C$3390,$A1031,'United Data'!$B$3:$B$3390,"&lt;&gt;Off-street")&gt;0,1,0)</f>
        <v>0</v>
      </c>
      <c r="I1031">
        <f>IF(COUNTIFS('United Data'!$A$3:$A$3390,I$1,'United Data'!$C$3:$C$3390,$A1031,'United Data'!$B$3:$B$3390,"&lt;&gt;Off-street")&gt;0,1,0)</f>
        <v>0</v>
      </c>
      <c r="J1031">
        <f>IF(COUNTIFS('United Data'!$A$3:$A$3390,J$1,'United Data'!$C$3:$C$3390,$A1031,'United Data'!$B$3:$B$3390,"&lt;&gt;Off-street")&gt;0,1,0)</f>
        <v>0</v>
      </c>
      <c r="K1031">
        <f>IF(COUNTIFS('United Data'!$A$3:$A$3390,K$1,'United Data'!$C$3:$C$3390,$A1031,'United Data'!$B$3:$B$3390,"&lt;&gt;Off-street")&gt;0,1,0)</f>
        <v>0</v>
      </c>
      <c r="L1031">
        <f>IF(COUNTIFS('United Data'!$A$3:$A$3390,L$1,'United Data'!$C$3:$C$3390,$A1031,'United Data'!$B$3:$B$3390,"&lt;&gt;Off-street")&gt;0,1,0)</f>
        <v>0</v>
      </c>
      <c r="M1031">
        <f>IF(COUNTIFS('United Data'!$A$3:$A$3390,M$1,'United Data'!$C$3:$C$3390,$A1031,'United Data'!$B$3:$B$3390,"&lt;&gt;Off-street")&gt;0,1,0)</f>
        <v>0</v>
      </c>
      <c r="N1031">
        <f>IF(COUNTIFS('United Data'!$A$3:$A$3390,N$1,'United Data'!$C$3:$C$3390,$A1031,'United Data'!$B$3:$B$3390,"&lt;&gt;Off-street")&gt;0,1,0)</f>
        <v>0</v>
      </c>
      <c r="O1031">
        <f>IF(COUNTIFS('United Data'!$A$3:$A$3390,O$1,'United Data'!$C$3:$C$3390,$A1031,'United Data'!$B$3:$B$3390,"&lt;&gt;Off-street")&gt;0,1,0)</f>
        <v>0</v>
      </c>
      <c r="P1031">
        <f>IF(COUNTIFS('United Data'!$A$3:$A$3390,P$1,'United Data'!$C$3:$C$3390,$A1031,'United Data'!$B$3:$B$3390,"&lt;&gt;Off-street")&gt;0,1,0)</f>
        <v>1</v>
      </c>
      <c r="Q1031">
        <f>IF(COUNTIFS('United Data'!$A$3:$A$3390,Q$1,'United Data'!$C$3:$C$3390,$A1031,'United Data'!$B$3:$B$3390,"&lt;&gt;Off-street")&gt;0,1,0)</f>
        <v>1</v>
      </c>
      <c r="R1031">
        <f>IF(COUNTIFS('United Data'!$A$3:$A$3390,R$1,'United Data'!$C$3:$C$3390,$A1031,'United Data'!$B$3:$B$3390,"&lt;&gt;Off-street")&gt;0,1,0)</f>
        <v>0</v>
      </c>
      <c r="S1031">
        <f t="shared" si="32"/>
        <v>3</v>
      </c>
      <c r="T1031">
        <f t="shared" si="33"/>
        <v>2</v>
      </c>
    </row>
    <row r="1032" spans="1:20" x14ac:dyDescent="0.2">
      <c r="A1032" t="s">
        <v>1235</v>
      </c>
      <c r="B1032">
        <f>IF(COUNTIFS('United Data'!$A$3:$A$3390,B$1,'United Data'!$C$3:$C$3390,$A1032,'United Data'!$B$3:$B$3390,"&lt;&gt;Off-street")&gt;0,1,0)</f>
        <v>1</v>
      </c>
      <c r="C1032">
        <f>IF(COUNTIFS('United Data'!$A$3:$A$3390,C$1,'United Data'!$C$3:$C$3390,$A1032,'United Data'!$B$3:$B$3390,"&lt;&gt;Off-street")&gt;0,1,0)</f>
        <v>1</v>
      </c>
      <c r="D1032">
        <f>IF(COUNTIFS('United Data'!$A$3:$A$3390,D$1,'United Data'!$C$3:$C$3390,$A1032,'United Data'!$B$3:$B$3390,"&lt;&gt;Off-street")&gt;0,1,0)</f>
        <v>1</v>
      </c>
      <c r="E1032">
        <f>IF(COUNTIFS('United Data'!$A$3:$A$3390,E$1,'United Data'!$C$3:$C$3390,$A1032,'United Data'!$B$3:$B$3390,"&lt;&gt;Off-street")&gt;0,1,0)</f>
        <v>1</v>
      </c>
      <c r="F1032">
        <f>IF(COUNTIFS('United Data'!$A$3:$A$3390,F$1,'United Data'!$C$3:$C$3390,$A1032,'United Data'!$B$3:$B$3390,"&lt;&gt;Off-street")&gt;0,1,0)</f>
        <v>0</v>
      </c>
      <c r="G1032">
        <f>IF(COUNTIFS('United Data'!$A$3:$A$3390,G$1,'United Data'!$C$3:$C$3390,$A1032,'United Data'!$B$3:$B$3390,"&lt;&gt;Off-street")&gt;0,1,0)</f>
        <v>0</v>
      </c>
      <c r="H1032">
        <f>IF(COUNTIFS('United Data'!$A$3:$A$3390,H$1,'United Data'!$C$3:$C$3390,$A1032,'United Data'!$B$3:$B$3390,"&lt;&gt;Off-street")&gt;0,1,0)</f>
        <v>0</v>
      </c>
      <c r="I1032">
        <f>IF(COUNTIFS('United Data'!$A$3:$A$3390,I$1,'United Data'!$C$3:$C$3390,$A1032,'United Data'!$B$3:$B$3390,"&lt;&gt;Off-street")&gt;0,1,0)</f>
        <v>0</v>
      </c>
      <c r="J1032">
        <f>IF(COUNTIFS('United Data'!$A$3:$A$3390,J$1,'United Data'!$C$3:$C$3390,$A1032,'United Data'!$B$3:$B$3390,"&lt;&gt;Off-street")&gt;0,1,0)</f>
        <v>0</v>
      </c>
      <c r="K1032">
        <f>IF(COUNTIFS('United Data'!$A$3:$A$3390,K$1,'United Data'!$C$3:$C$3390,$A1032,'United Data'!$B$3:$B$3390,"&lt;&gt;Off-street")&gt;0,1,0)</f>
        <v>0</v>
      </c>
      <c r="L1032">
        <f>IF(COUNTIFS('United Data'!$A$3:$A$3390,L$1,'United Data'!$C$3:$C$3390,$A1032,'United Data'!$B$3:$B$3390,"&lt;&gt;Off-street")&gt;0,1,0)</f>
        <v>0</v>
      </c>
      <c r="M1032">
        <f>IF(COUNTIFS('United Data'!$A$3:$A$3390,M$1,'United Data'!$C$3:$C$3390,$A1032,'United Data'!$B$3:$B$3390,"&lt;&gt;Off-street")&gt;0,1,0)</f>
        <v>0</v>
      </c>
      <c r="N1032">
        <f>IF(COUNTIFS('United Data'!$A$3:$A$3390,N$1,'United Data'!$C$3:$C$3390,$A1032,'United Data'!$B$3:$B$3390,"&lt;&gt;Off-street")&gt;0,1,0)</f>
        <v>0</v>
      </c>
      <c r="O1032">
        <f>IF(COUNTIFS('United Data'!$A$3:$A$3390,O$1,'United Data'!$C$3:$C$3390,$A1032,'United Data'!$B$3:$B$3390,"&lt;&gt;Off-street")&gt;0,1,0)</f>
        <v>0</v>
      </c>
      <c r="P1032">
        <f>IF(COUNTIFS('United Data'!$A$3:$A$3390,P$1,'United Data'!$C$3:$C$3390,$A1032,'United Data'!$B$3:$B$3390,"&lt;&gt;Off-street")&gt;0,1,0)</f>
        <v>0</v>
      </c>
      <c r="Q1032">
        <f>IF(COUNTIFS('United Data'!$A$3:$A$3390,Q$1,'United Data'!$C$3:$C$3390,$A1032,'United Data'!$B$3:$B$3390,"&lt;&gt;Off-street")&gt;0,1,0)</f>
        <v>1</v>
      </c>
      <c r="R1032">
        <f>IF(COUNTIFS('United Data'!$A$3:$A$3390,R$1,'United Data'!$C$3:$C$3390,$A1032,'United Data'!$B$3:$B$3390,"&lt;&gt;Off-street")&gt;0,1,0)</f>
        <v>0</v>
      </c>
      <c r="S1032">
        <f t="shared" si="32"/>
        <v>5</v>
      </c>
      <c r="T1032">
        <f t="shared" si="33"/>
        <v>2</v>
      </c>
    </row>
    <row r="1033" spans="1:20" x14ac:dyDescent="0.2">
      <c r="A1033" t="s">
        <v>1236</v>
      </c>
      <c r="B1033">
        <f>IF(COUNTIFS('United Data'!$A$3:$A$3390,B$1,'United Data'!$C$3:$C$3390,$A1033,'United Data'!$B$3:$B$3390,"&lt;&gt;Off-street")&gt;0,1,0)</f>
        <v>1</v>
      </c>
      <c r="C1033">
        <f>IF(COUNTIFS('United Data'!$A$3:$A$3390,C$1,'United Data'!$C$3:$C$3390,$A1033,'United Data'!$B$3:$B$3390,"&lt;&gt;Off-street")&gt;0,1,0)</f>
        <v>1</v>
      </c>
      <c r="D1033">
        <f>IF(COUNTIFS('United Data'!$A$3:$A$3390,D$1,'United Data'!$C$3:$C$3390,$A1033,'United Data'!$B$3:$B$3390,"&lt;&gt;Off-street")&gt;0,1,0)</f>
        <v>1</v>
      </c>
      <c r="E1033">
        <f>IF(COUNTIFS('United Data'!$A$3:$A$3390,E$1,'United Data'!$C$3:$C$3390,$A1033,'United Data'!$B$3:$B$3390,"&lt;&gt;Off-street")&gt;0,1,0)</f>
        <v>0</v>
      </c>
      <c r="F1033">
        <f>IF(COUNTIFS('United Data'!$A$3:$A$3390,F$1,'United Data'!$C$3:$C$3390,$A1033,'United Data'!$B$3:$B$3390,"&lt;&gt;Off-street")&gt;0,1,0)</f>
        <v>1</v>
      </c>
      <c r="G1033">
        <f>IF(COUNTIFS('United Data'!$A$3:$A$3390,G$1,'United Data'!$C$3:$C$3390,$A1033,'United Data'!$B$3:$B$3390,"&lt;&gt;Off-street")&gt;0,1,0)</f>
        <v>0</v>
      </c>
      <c r="H1033">
        <f>IF(COUNTIFS('United Data'!$A$3:$A$3390,H$1,'United Data'!$C$3:$C$3390,$A1033,'United Data'!$B$3:$B$3390,"&lt;&gt;Off-street")&gt;0,1,0)</f>
        <v>0</v>
      </c>
      <c r="I1033">
        <f>IF(COUNTIFS('United Data'!$A$3:$A$3390,I$1,'United Data'!$C$3:$C$3390,$A1033,'United Data'!$B$3:$B$3390,"&lt;&gt;Off-street")&gt;0,1,0)</f>
        <v>0</v>
      </c>
      <c r="J1033">
        <f>IF(COUNTIFS('United Data'!$A$3:$A$3390,J$1,'United Data'!$C$3:$C$3390,$A1033,'United Data'!$B$3:$B$3390,"&lt;&gt;Off-street")&gt;0,1,0)</f>
        <v>0</v>
      </c>
      <c r="K1033">
        <f>IF(COUNTIFS('United Data'!$A$3:$A$3390,K$1,'United Data'!$C$3:$C$3390,$A1033,'United Data'!$B$3:$B$3390,"&lt;&gt;Off-street")&gt;0,1,0)</f>
        <v>0</v>
      </c>
      <c r="L1033">
        <f>IF(COUNTIFS('United Data'!$A$3:$A$3390,L$1,'United Data'!$C$3:$C$3390,$A1033,'United Data'!$B$3:$B$3390,"&lt;&gt;Off-street")&gt;0,1,0)</f>
        <v>1</v>
      </c>
      <c r="M1033">
        <f>IF(COUNTIFS('United Data'!$A$3:$A$3390,M$1,'United Data'!$C$3:$C$3390,$A1033,'United Data'!$B$3:$B$3390,"&lt;&gt;Off-street")&gt;0,1,0)</f>
        <v>0</v>
      </c>
      <c r="N1033">
        <f>IF(COUNTIFS('United Data'!$A$3:$A$3390,N$1,'United Data'!$C$3:$C$3390,$A1033,'United Data'!$B$3:$B$3390,"&lt;&gt;Off-street")&gt;0,1,0)</f>
        <v>0</v>
      </c>
      <c r="O1033">
        <f>IF(COUNTIFS('United Data'!$A$3:$A$3390,O$1,'United Data'!$C$3:$C$3390,$A1033,'United Data'!$B$3:$B$3390,"&lt;&gt;Off-street")&gt;0,1,0)</f>
        <v>1</v>
      </c>
      <c r="P1033">
        <f>IF(COUNTIFS('United Data'!$A$3:$A$3390,P$1,'United Data'!$C$3:$C$3390,$A1033,'United Data'!$B$3:$B$3390,"&lt;&gt;Off-street")&gt;0,1,0)</f>
        <v>0</v>
      </c>
      <c r="Q1033">
        <f>IF(COUNTIFS('United Data'!$A$3:$A$3390,Q$1,'United Data'!$C$3:$C$3390,$A1033,'United Data'!$B$3:$B$3390,"&lt;&gt;Off-street")&gt;0,1,0)</f>
        <v>1</v>
      </c>
      <c r="R1033">
        <f>IF(COUNTIFS('United Data'!$A$3:$A$3390,R$1,'United Data'!$C$3:$C$3390,$A1033,'United Data'!$B$3:$B$3390,"&lt;&gt;Off-street")&gt;0,1,0)</f>
        <v>0</v>
      </c>
      <c r="S1033">
        <f t="shared" si="32"/>
        <v>7</v>
      </c>
      <c r="T1033">
        <f t="shared" si="33"/>
        <v>5</v>
      </c>
    </row>
    <row r="1034" spans="1:20" x14ac:dyDescent="0.2">
      <c r="A1034" t="s">
        <v>1237</v>
      </c>
      <c r="B1034">
        <f>IF(COUNTIFS('United Data'!$A$3:$A$3390,B$1,'United Data'!$C$3:$C$3390,$A1034,'United Data'!$B$3:$B$3390,"&lt;&gt;Off-street")&gt;0,1,0)</f>
        <v>1</v>
      </c>
      <c r="C1034">
        <f>IF(COUNTIFS('United Data'!$A$3:$A$3390,C$1,'United Data'!$C$3:$C$3390,$A1034,'United Data'!$B$3:$B$3390,"&lt;&gt;Off-street")&gt;0,1,0)</f>
        <v>0</v>
      </c>
      <c r="D1034">
        <f>IF(COUNTIFS('United Data'!$A$3:$A$3390,D$1,'United Data'!$C$3:$C$3390,$A1034,'United Data'!$B$3:$B$3390,"&lt;&gt;Off-street")&gt;0,1,0)</f>
        <v>0</v>
      </c>
      <c r="E1034">
        <f>IF(COUNTIFS('United Data'!$A$3:$A$3390,E$1,'United Data'!$C$3:$C$3390,$A1034,'United Data'!$B$3:$B$3390,"&lt;&gt;Off-street")&gt;0,1,0)</f>
        <v>0</v>
      </c>
      <c r="F1034">
        <f>IF(COUNTIFS('United Data'!$A$3:$A$3390,F$1,'United Data'!$C$3:$C$3390,$A1034,'United Data'!$B$3:$B$3390,"&lt;&gt;Off-street")&gt;0,1,0)</f>
        <v>0</v>
      </c>
      <c r="G1034">
        <f>IF(COUNTIFS('United Data'!$A$3:$A$3390,G$1,'United Data'!$C$3:$C$3390,$A1034,'United Data'!$B$3:$B$3390,"&lt;&gt;Off-street")&gt;0,1,0)</f>
        <v>0</v>
      </c>
      <c r="H1034">
        <f>IF(COUNTIFS('United Data'!$A$3:$A$3390,H$1,'United Data'!$C$3:$C$3390,$A1034,'United Data'!$B$3:$B$3390,"&lt;&gt;Off-street")&gt;0,1,0)</f>
        <v>0</v>
      </c>
      <c r="I1034">
        <f>IF(COUNTIFS('United Data'!$A$3:$A$3390,I$1,'United Data'!$C$3:$C$3390,$A1034,'United Data'!$B$3:$B$3390,"&lt;&gt;Off-street")&gt;0,1,0)</f>
        <v>0</v>
      </c>
      <c r="J1034">
        <f>IF(COUNTIFS('United Data'!$A$3:$A$3390,J$1,'United Data'!$C$3:$C$3390,$A1034,'United Data'!$B$3:$B$3390,"&lt;&gt;Off-street")&gt;0,1,0)</f>
        <v>0</v>
      </c>
      <c r="K1034">
        <f>IF(COUNTIFS('United Data'!$A$3:$A$3390,K$1,'United Data'!$C$3:$C$3390,$A1034,'United Data'!$B$3:$B$3390,"&lt;&gt;Off-street")&gt;0,1,0)</f>
        <v>0</v>
      </c>
      <c r="L1034">
        <f>IF(COUNTIFS('United Data'!$A$3:$A$3390,L$1,'United Data'!$C$3:$C$3390,$A1034,'United Data'!$B$3:$B$3390,"&lt;&gt;Off-street")&gt;0,1,0)</f>
        <v>0</v>
      </c>
      <c r="M1034">
        <f>IF(COUNTIFS('United Data'!$A$3:$A$3390,M$1,'United Data'!$C$3:$C$3390,$A1034,'United Data'!$B$3:$B$3390,"&lt;&gt;Off-street")&gt;0,1,0)</f>
        <v>0</v>
      </c>
      <c r="N1034">
        <f>IF(COUNTIFS('United Data'!$A$3:$A$3390,N$1,'United Data'!$C$3:$C$3390,$A1034,'United Data'!$B$3:$B$3390,"&lt;&gt;Off-street")&gt;0,1,0)</f>
        <v>0</v>
      </c>
      <c r="O1034">
        <f>IF(COUNTIFS('United Data'!$A$3:$A$3390,O$1,'United Data'!$C$3:$C$3390,$A1034,'United Data'!$B$3:$B$3390,"&lt;&gt;Off-street")&gt;0,1,0)</f>
        <v>0</v>
      </c>
      <c r="P1034">
        <f>IF(COUNTIFS('United Data'!$A$3:$A$3390,P$1,'United Data'!$C$3:$C$3390,$A1034,'United Data'!$B$3:$B$3390,"&lt;&gt;Off-street")&gt;0,1,0)</f>
        <v>0</v>
      </c>
      <c r="Q1034">
        <f>IF(COUNTIFS('United Data'!$A$3:$A$3390,Q$1,'United Data'!$C$3:$C$3390,$A1034,'United Data'!$B$3:$B$3390,"&lt;&gt;Off-street")&gt;0,1,0)</f>
        <v>0</v>
      </c>
      <c r="R1034">
        <f>IF(COUNTIFS('United Data'!$A$3:$A$3390,R$1,'United Data'!$C$3:$C$3390,$A1034,'United Data'!$B$3:$B$3390,"&lt;&gt;Off-street")&gt;0,1,0)</f>
        <v>0</v>
      </c>
      <c r="S1034">
        <f t="shared" si="32"/>
        <v>1</v>
      </c>
      <c r="T1034">
        <f t="shared" si="33"/>
        <v>1</v>
      </c>
    </row>
    <row r="1035" spans="1:20" x14ac:dyDescent="0.2">
      <c r="A1035" t="s">
        <v>1238</v>
      </c>
      <c r="B1035">
        <f>IF(COUNTIFS('United Data'!$A$3:$A$3390,B$1,'United Data'!$C$3:$C$3390,$A1035,'United Data'!$B$3:$B$3390,"&lt;&gt;Off-street")&gt;0,1,0)</f>
        <v>1</v>
      </c>
      <c r="C1035">
        <f>IF(COUNTIFS('United Data'!$A$3:$A$3390,C$1,'United Data'!$C$3:$C$3390,$A1035,'United Data'!$B$3:$B$3390,"&lt;&gt;Off-street")&gt;0,1,0)</f>
        <v>0</v>
      </c>
      <c r="D1035">
        <f>IF(COUNTIFS('United Data'!$A$3:$A$3390,D$1,'United Data'!$C$3:$C$3390,$A1035,'United Data'!$B$3:$B$3390,"&lt;&gt;Off-street")&gt;0,1,0)</f>
        <v>0</v>
      </c>
      <c r="E1035">
        <f>IF(COUNTIFS('United Data'!$A$3:$A$3390,E$1,'United Data'!$C$3:$C$3390,$A1035,'United Data'!$B$3:$B$3390,"&lt;&gt;Off-street")&gt;0,1,0)</f>
        <v>0</v>
      </c>
      <c r="F1035">
        <f>IF(COUNTIFS('United Data'!$A$3:$A$3390,F$1,'United Data'!$C$3:$C$3390,$A1035,'United Data'!$B$3:$B$3390,"&lt;&gt;Off-street")&gt;0,1,0)</f>
        <v>0</v>
      </c>
      <c r="G1035">
        <f>IF(COUNTIFS('United Data'!$A$3:$A$3390,G$1,'United Data'!$C$3:$C$3390,$A1035,'United Data'!$B$3:$B$3390,"&lt;&gt;Off-street")&gt;0,1,0)</f>
        <v>0</v>
      </c>
      <c r="H1035">
        <f>IF(COUNTIFS('United Data'!$A$3:$A$3390,H$1,'United Data'!$C$3:$C$3390,$A1035,'United Data'!$B$3:$B$3390,"&lt;&gt;Off-street")&gt;0,1,0)</f>
        <v>0</v>
      </c>
      <c r="I1035">
        <f>IF(COUNTIFS('United Data'!$A$3:$A$3390,I$1,'United Data'!$C$3:$C$3390,$A1035,'United Data'!$B$3:$B$3390,"&lt;&gt;Off-street")&gt;0,1,0)</f>
        <v>0</v>
      </c>
      <c r="J1035">
        <f>IF(COUNTIFS('United Data'!$A$3:$A$3390,J$1,'United Data'!$C$3:$C$3390,$A1035,'United Data'!$B$3:$B$3390,"&lt;&gt;Off-street")&gt;0,1,0)</f>
        <v>0</v>
      </c>
      <c r="K1035">
        <f>IF(COUNTIFS('United Data'!$A$3:$A$3390,K$1,'United Data'!$C$3:$C$3390,$A1035,'United Data'!$B$3:$B$3390,"&lt;&gt;Off-street")&gt;0,1,0)</f>
        <v>0</v>
      </c>
      <c r="L1035">
        <f>IF(COUNTIFS('United Data'!$A$3:$A$3390,L$1,'United Data'!$C$3:$C$3390,$A1035,'United Data'!$B$3:$B$3390,"&lt;&gt;Off-street")&gt;0,1,0)</f>
        <v>0</v>
      </c>
      <c r="M1035">
        <f>IF(COUNTIFS('United Data'!$A$3:$A$3390,M$1,'United Data'!$C$3:$C$3390,$A1035,'United Data'!$B$3:$B$3390,"&lt;&gt;Off-street")&gt;0,1,0)</f>
        <v>0</v>
      </c>
      <c r="N1035">
        <f>IF(COUNTIFS('United Data'!$A$3:$A$3390,N$1,'United Data'!$C$3:$C$3390,$A1035,'United Data'!$B$3:$B$3390,"&lt;&gt;Off-street")&gt;0,1,0)</f>
        <v>0</v>
      </c>
      <c r="O1035">
        <f>IF(COUNTIFS('United Data'!$A$3:$A$3390,O$1,'United Data'!$C$3:$C$3390,$A1035,'United Data'!$B$3:$B$3390,"&lt;&gt;Off-street")&gt;0,1,0)</f>
        <v>0</v>
      </c>
      <c r="P1035">
        <f>IF(COUNTIFS('United Data'!$A$3:$A$3390,P$1,'United Data'!$C$3:$C$3390,$A1035,'United Data'!$B$3:$B$3390,"&lt;&gt;Off-street")&gt;0,1,0)</f>
        <v>0</v>
      </c>
      <c r="Q1035">
        <f>IF(COUNTIFS('United Data'!$A$3:$A$3390,Q$1,'United Data'!$C$3:$C$3390,$A1035,'United Data'!$B$3:$B$3390,"&lt;&gt;Off-street")&gt;0,1,0)</f>
        <v>0</v>
      </c>
      <c r="R1035">
        <f>IF(COUNTIFS('United Data'!$A$3:$A$3390,R$1,'United Data'!$C$3:$C$3390,$A1035,'United Data'!$B$3:$B$3390,"&lt;&gt;Off-street")&gt;0,1,0)</f>
        <v>0</v>
      </c>
      <c r="S1035">
        <f t="shared" si="32"/>
        <v>1</v>
      </c>
      <c r="T1035">
        <f t="shared" si="33"/>
        <v>1</v>
      </c>
    </row>
    <row r="1036" spans="1:20" x14ac:dyDescent="0.2">
      <c r="A1036" t="s">
        <v>1239</v>
      </c>
      <c r="B1036">
        <f>IF(COUNTIFS('United Data'!$A$3:$A$3390,B$1,'United Data'!$C$3:$C$3390,$A1036,'United Data'!$B$3:$B$3390,"&lt;&gt;Off-street")&gt;0,1,0)</f>
        <v>1</v>
      </c>
      <c r="C1036">
        <f>IF(COUNTIFS('United Data'!$A$3:$A$3390,C$1,'United Data'!$C$3:$C$3390,$A1036,'United Data'!$B$3:$B$3390,"&lt;&gt;Off-street")&gt;0,1,0)</f>
        <v>1</v>
      </c>
      <c r="D1036">
        <f>IF(COUNTIFS('United Data'!$A$3:$A$3390,D$1,'United Data'!$C$3:$C$3390,$A1036,'United Data'!$B$3:$B$3390,"&lt;&gt;Off-street")&gt;0,1,0)</f>
        <v>1</v>
      </c>
      <c r="E1036">
        <f>IF(COUNTIFS('United Data'!$A$3:$A$3390,E$1,'United Data'!$C$3:$C$3390,$A1036,'United Data'!$B$3:$B$3390,"&lt;&gt;Off-street")&gt;0,1,0)</f>
        <v>0</v>
      </c>
      <c r="F1036">
        <f>IF(COUNTIFS('United Data'!$A$3:$A$3390,F$1,'United Data'!$C$3:$C$3390,$A1036,'United Data'!$B$3:$B$3390,"&lt;&gt;Off-street")&gt;0,1,0)</f>
        <v>0</v>
      </c>
      <c r="G1036">
        <f>IF(COUNTIFS('United Data'!$A$3:$A$3390,G$1,'United Data'!$C$3:$C$3390,$A1036,'United Data'!$B$3:$B$3390,"&lt;&gt;Off-street")&gt;0,1,0)</f>
        <v>0</v>
      </c>
      <c r="H1036">
        <f>IF(COUNTIFS('United Data'!$A$3:$A$3390,H$1,'United Data'!$C$3:$C$3390,$A1036,'United Data'!$B$3:$B$3390,"&lt;&gt;Off-street")&gt;0,1,0)</f>
        <v>0</v>
      </c>
      <c r="I1036">
        <f>IF(COUNTIFS('United Data'!$A$3:$A$3390,I$1,'United Data'!$C$3:$C$3390,$A1036,'United Data'!$B$3:$B$3390,"&lt;&gt;Off-street")&gt;0,1,0)</f>
        <v>0</v>
      </c>
      <c r="J1036">
        <f>IF(COUNTIFS('United Data'!$A$3:$A$3390,J$1,'United Data'!$C$3:$C$3390,$A1036,'United Data'!$B$3:$B$3390,"&lt;&gt;Off-street")&gt;0,1,0)</f>
        <v>0</v>
      </c>
      <c r="K1036">
        <f>IF(COUNTIFS('United Data'!$A$3:$A$3390,K$1,'United Data'!$C$3:$C$3390,$A1036,'United Data'!$B$3:$B$3390,"&lt;&gt;Off-street")&gt;0,1,0)</f>
        <v>0</v>
      </c>
      <c r="L1036">
        <f>IF(COUNTIFS('United Data'!$A$3:$A$3390,L$1,'United Data'!$C$3:$C$3390,$A1036,'United Data'!$B$3:$B$3390,"&lt;&gt;Off-street")&gt;0,1,0)</f>
        <v>0</v>
      </c>
      <c r="M1036">
        <f>IF(COUNTIFS('United Data'!$A$3:$A$3390,M$1,'United Data'!$C$3:$C$3390,$A1036,'United Data'!$B$3:$B$3390,"&lt;&gt;Off-street")&gt;0,1,0)</f>
        <v>0</v>
      </c>
      <c r="N1036">
        <f>IF(COUNTIFS('United Data'!$A$3:$A$3390,N$1,'United Data'!$C$3:$C$3390,$A1036,'United Data'!$B$3:$B$3390,"&lt;&gt;Off-street")&gt;0,1,0)</f>
        <v>0</v>
      </c>
      <c r="O1036">
        <f>IF(COUNTIFS('United Data'!$A$3:$A$3390,O$1,'United Data'!$C$3:$C$3390,$A1036,'United Data'!$B$3:$B$3390,"&lt;&gt;Off-street")&gt;0,1,0)</f>
        <v>0</v>
      </c>
      <c r="P1036">
        <f>IF(COUNTIFS('United Data'!$A$3:$A$3390,P$1,'United Data'!$C$3:$C$3390,$A1036,'United Data'!$B$3:$B$3390,"&lt;&gt;Off-street")&gt;0,1,0)</f>
        <v>0</v>
      </c>
      <c r="Q1036">
        <f>IF(COUNTIFS('United Data'!$A$3:$A$3390,Q$1,'United Data'!$C$3:$C$3390,$A1036,'United Data'!$B$3:$B$3390,"&lt;&gt;Off-street")&gt;0,1,0)</f>
        <v>0</v>
      </c>
      <c r="R1036">
        <f>IF(COUNTIFS('United Data'!$A$3:$A$3390,R$1,'United Data'!$C$3:$C$3390,$A1036,'United Data'!$B$3:$B$3390,"&lt;&gt;Off-street")&gt;0,1,0)</f>
        <v>0</v>
      </c>
      <c r="S1036">
        <f t="shared" si="32"/>
        <v>3</v>
      </c>
      <c r="T1036">
        <f t="shared" si="33"/>
        <v>1</v>
      </c>
    </row>
    <row r="1037" spans="1:20" x14ac:dyDescent="0.2">
      <c r="A1037" t="s">
        <v>1240</v>
      </c>
      <c r="B1037">
        <f>IF(COUNTIFS('United Data'!$A$3:$A$3390,B$1,'United Data'!$C$3:$C$3390,$A1037,'United Data'!$B$3:$B$3390,"&lt;&gt;Off-street")&gt;0,1,0)</f>
        <v>1</v>
      </c>
      <c r="C1037">
        <f>IF(COUNTIFS('United Data'!$A$3:$A$3390,C$1,'United Data'!$C$3:$C$3390,$A1037,'United Data'!$B$3:$B$3390,"&lt;&gt;Off-street")&gt;0,1,0)</f>
        <v>1</v>
      </c>
      <c r="D1037">
        <f>IF(COUNTIFS('United Data'!$A$3:$A$3390,D$1,'United Data'!$C$3:$C$3390,$A1037,'United Data'!$B$3:$B$3390,"&lt;&gt;Off-street")&gt;0,1,0)</f>
        <v>0</v>
      </c>
      <c r="E1037">
        <f>IF(COUNTIFS('United Data'!$A$3:$A$3390,E$1,'United Data'!$C$3:$C$3390,$A1037,'United Data'!$B$3:$B$3390,"&lt;&gt;Off-street")&gt;0,1,0)</f>
        <v>1</v>
      </c>
      <c r="F1037">
        <f>IF(COUNTIFS('United Data'!$A$3:$A$3390,F$1,'United Data'!$C$3:$C$3390,$A1037,'United Data'!$B$3:$B$3390,"&lt;&gt;Off-street")&gt;0,1,0)</f>
        <v>1</v>
      </c>
      <c r="G1037">
        <f>IF(COUNTIFS('United Data'!$A$3:$A$3390,G$1,'United Data'!$C$3:$C$3390,$A1037,'United Data'!$B$3:$B$3390,"&lt;&gt;Off-street")&gt;0,1,0)</f>
        <v>0</v>
      </c>
      <c r="H1037">
        <f>IF(COUNTIFS('United Data'!$A$3:$A$3390,H$1,'United Data'!$C$3:$C$3390,$A1037,'United Data'!$B$3:$B$3390,"&lt;&gt;Off-street")&gt;0,1,0)</f>
        <v>1</v>
      </c>
      <c r="I1037">
        <f>IF(COUNTIFS('United Data'!$A$3:$A$3390,I$1,'United Data'!$C$3:$C$3390,$A1037,'United Data'!$B$3:$B$3390,"&lt;&gt;Off-street")&gt;0,1,0)</f>
        <v>0</v>
      </c>
      <c r="J1037">
        <f>IF(COUNTIFS('United Data'!$A$3:$A$3390,J$1,'United Data'!$C$3:$C$3390,$A1037,'United Data'!$B$3:$B$3390,"&lt;&gt;Off-street")&gt;0,1,0)</f>
        <v>0</v>
      </c>
      <c r="K1037">
        <f>IF(COUNTIFS('United Data'!$A$3:$A$3390,K$1,'United Data'!$C$3:$C$3390,$A1037,'United Data'!$B$3:$B$3390,"&lt;&gt;Off-street")&gt;0,1,0)</f>
        <v>0</v>
      </c>
      <c r="L1037">
        <f>IF(COUNTIFS('United Data'!$A$3:$A$3390,L$1,'United Data'!$C$3:$C$3390,$A1037,'United Data'!$B$3:$B$3390,"&lt;&gt;Off-street")&gt;0,1,0)</f>
        <v>0</v>
      </c>
      <c r="M1037">
        <f>IF(COUNTIFS('United Data'!$A$3:$A$3390,M$1,'United Data'!$C$3:$C$3390,$A1037,'United Data'!$B$3:$B$3390,"&lt;&gt;Off-street")&gt;0,1,0)</f>
        <v>0</v>
      </c>
      <c r="N1037">
        <f>IF(COUNTIFS('United Data'!$A$3:$A$3390,N$1,'United Data'!$C$3:$C$3390,$A1037,'United Data'!$B$3:$B$3390,"&lt;&gt;Off-street")&gt;0,1,0)</f>
        <v>0</v>
      </c>
      <c r="O1037">
        <f>IF(COUNTIFS('United Data'!$A$3:$A$3390,O$1,'United Data'!$C$3:$C$3390,$A1037,'United Data'!$B$3:$B$3390,"&lt;&gt;Off-street")&gt;0,1,0)</f>
        <v>0</v>
      </c>
      <c r="P1037">
        <f>IF(COUNTIFS('United Data'!$A$3:$A$3390,P$1,'United Data'!$C$3:$C$3390,$A1037,'United Data'!$B$3:$B$3390,"&lt;&gt;Off-street")&gt;0,1,0)</f>
        <v>1</v>
      </c>
      <c r="Q1037">
        <f>IF(COUNTIFS('United Data'!$A$3:$A$3390,Q$1,'United Data'!$C$3:$C$3390,$A1037,'United Data'!$B$3:$B$3390,"&lt;&gt;Off-street")&gt;0,1,0)</f>
        <v>0</v>
      </c>
      <c r="R1037">
        <f>IF(COUNTIFS('United Data'!$A$3:$A$3390,R$1,'United Data'!$C$3:$C$3390,$A1037,'United Data'!$B$3:$B$3390,"&lt;&gt;Off-street")&gt;0,1,0)</f>
        <v>0</v>
      </c>
      <c r="S1037">
        <f t="shared" si="32"/>
        <v>6</v>
      </c>
      <c r="T1037">
        <f t="shared" si="33"/>
        <v>4</v>
      </c>
    </row>
    <row r="1038" spans="1:20" x14ac:dyDescent="0.2">
      <c r="A1038" t="s">
        <v>1241</v>
      </c>
      <c r="B1038">
        <f>IF(COUNTIFS('United Data'!$A$3:$A$3390,B$1,'United Data'!$C$3:$C$3390,$A1038,'United Data'!$B$3:$B$3390,"&lt;&gt;Off-street")&gt;0,1,0)</f>
        <v>1</v>
      </c>
      <c r="C1038">
        <f>IF(COUNTIFS('United Data'!$A$3:$A$3390,C$1,'United Data'!$C$3:$C$3390,$A1038,'United Data'!$B$3:$B$3390,"&lt;&gt;Off-street")&gt;0,1,0)</f>
        <v>0</v>
      </c>
      <c r="D1038">
        <f>IF(COUNTIFS('United Data'!$A$3:$A$3390,D$1,'United Data'!$C$3:$C$3390,$A1038,'United Data'!$B$3:$B$3390,"&lt;&gt;Off-street")&gt;0,1,0)</f>
        <v>0</v>
      </c>
      <c r="E1038">
        <f>IF(COUNTIFS('United Data'!$A$3:$A$3390,E$1,'United Data'!$C$3:$C$3390,$A1038,'United Data'!$B$3:$B$3390,"&lt;&gt;Off-street")&gt;0,1,0)</f>
        <v>0</v>
      </c>
      <c r="F1038">
        <f>IF(COUNTIFS('United Data'!$A$3:$A$3390,F$1,'United Data'!$C$3:$C$3390,$A1038,'United Data'!$B$3:$B$3390,"&lt;&gt;Off-street")&gt;0,1,0)</f>
        <v>0</v>
      </c>
      <c r="G1038">
        <f>IF(COUNTIFS('United Data'!$A$3:$A$3390,G$1,'United Data'!$C$3:$C$3390,$A1038,'United Data'!$B$3:$B$3390,"&lt;&gt;Off-street")&gt;0,1,0)</f>
        <v>0</v>
      </c>
      <c r="H1038">
        <f>IF(COUNTIFS('United Data'!$A$3:$A$3390,H$1,'United Data'!$C$3:$C$3390,$A1038,'United Data'!$B$3:$B$3390,"&lt;&gt;Off-street")&gt;0,1,0)</f>
        <v>0</v>
      </c>
      <c r="I1038">
        <f>IF(COUNTIFS('United Data'!$A$3:$A$3390,I$1,'United Data'!$C$3:$C$3390,$A1038,'United Data'!$B$3:$B$3390,"&lt;&gt;Off-street")&gt;0,1,0)</f>
        <v>0</v>
      </c>
      <c r="J1038">
        <f>IF(COUNTIFS('United Data'!$A$3:$A$3390,J$1,'United Data'!$C$3:$C$3390,$A1038,'United Data'!$B$3:$B$3390,"&lt;&gt;Off-street")&gt;0,1,0)</f>
        <v>0</v>
      </c>
      <c r="K1038">
        <f>IF(COUNTIFS('United Data'!$A$3:$A$3390,K$1,'United Data'!$C$3:$C$3390,$A1038,'United Data'!$B$3:$B$3390,"&lt;&gt;Off-street")&gt;0,1,0)</f>
        <v>0</v>
      </c>
      <c r="L1038">
        <f>IF(COUNTIFS('United Data'!$A$3:$A$3390,L$1,'United Data'!$C$3:$C$3390,$A1038,'United Data'!$B$3:$B$3390,"&lt;&gt;Off-street")&gt;0,1,0)</f>
        <v>0</v>
      </c>
      <c r="M1038">
        <f>IF(COUNTIFS('United Data'!$A$3:$A$3390,M$1,'United Data'!$C$3:$C$3390,$A1038,'United Data'!$B$3:$B$3390,"&lt;&gt;Off-street")&gt;0,1,0)</f>
        <v>0</v>
      </c>
      <c r="N1038">
        <f>IF(COUNTIFS('United Data'!$A$3:$A$3390,N$1,'United Data'!$C$3:$C$3390,$A1038,'United Data'!$B$3:$B$3390,"&lt;&gt;Off-street")&gt;0,1,0)</f>
        <v>0</v>
      </c>
      <c r="O1038">
        <f>IF(COUNTIFS('United Data'!$A$3:$A$3390,O$1,'United Data'!$C$3:$C$3390,$A1038,'United Data'!$B$3:$B$3390,"&lt;&gt;Off-street")&gt;0,1,0)</f>
        <v>0</v>
      </c>
      <c r="P1038">
        <f>IF(COUNTIFS('United Data'!$A$3:$A$3390,P$1,'United Data'!$C$3:$C$3390,$A1038,'United Data'!$B$3:$B$3390,"&lt;&gt;Off-street")&gt;0,1,0)</f>
        <v>0</v>
      </c>
      <c r="Q1038">
        <f>IF(COUNTIFS('United Data'!$A$3:$A$3390,Q$1,'United Data'!$C$3:$C$3390,$A1038,'United Data'!$B$3:$B$3390,"&lt;&gt;Off-street")&gt;0,1,0)</f>
        <v>0</v>
      </c>
      <c r="R1038">
        <f>IF(COUNTIFS('United Data'!$A$3:$A$3390,R$1,'United Data'!$C$3:$C$3390,$A1038,'United Data'!$B$3:$B$3390,"&lt;&gt;Off-street")&gt;0,1,0)</f>
        <v>0</v>
      </c>
      <c r="S1038">
        <f t="shared" si="32"/>
        <v>1</v>
      </c>
      <c r="T1038">
        <f t="shared" si="33"/>
        <v>1</v>
      </c>
    </row>
    <row r="1039" spans="1:20" x14ac:dyDescent="0.2">
      <c r="A1039" t="s">
        <v>1242</v>
      </c>
      <c r="B1039">
        <f>IF(COUNTIFS('United Data'!$A$3:$A$3390,B$1,'United Data'!$C$3:$C$3390,$A1039,'United Data'!$B$3:$B$3390,"&lt;&gt;Off-street")&gt;0,1,0)</f>
        <v>1</v>
      </c>
      <c r="C1039">
        <f>IF(COUNTIFS('United Data'!$A$3:$A$3390,C$1,'United Data'!$C$3:$C$3390,$A1039,'United Data'!$B$3:$B$3390,"&lt;&gt;Off-street")&gt;0,1,0)</f>
        <v>1</v>
      </c>
      <c r="D1039">
        <f>IF(COUNTIFS('United Data'!$A$3:$A$3390,D$1,'United Data'!$C$3:$C$3390,$A1039,'United Data'!$B$3:$B$3390,"&lt;&gt;Off-street")&gt;0,1,0)</f>
        <v>1</v>
      </c>
      <c r="E1039">
        <f>IF(COUNTIFS('United Data'!$A$3:$A$3390,E$1,'United Data'!$C$3:$C$3390,$A1039,'United Data'!$B$3:$B$3390,"&lt;&gt;Off-street")&gt;0,1,0)</f>
        <v>1</v>
      </c>
      <c r="F1039">
        <f>IF(COUNTIFS('United Data'!$A$3:$A$3390,F$1,'United Data'!$C$3:$C$3390,$A1039,'United Data'!$B$3:$B$3390,"&lt;&gt;Off-street")&gt;0,1,0)</f>
        <v>1</v>
      </c>
      <c r="G1039">
        <f>IF(COUNTIFS('United Data'!$A$3:$A$3390,G$1,'United Data'!$C$3:$C$3390,$A1039,'United Data'!$B$3:$B$3390,"&lt;&gt;Off-street")&gt;0,1,0)</f>
        <v>0</v>
      </c>
      <c r="H1039">
        <f>IF(COUNTIFS('United Data'!$A$3:$A$3390,H$1,'United Data'!$C$3:$C$3390,$A1039,'United Data'!$B$3:$B$3390,"&lt;&gt;Off-street")&gt;0,1,0)</f>
        <v>1</v>
      </c>
      <c r="I1039">
        <f>IF(COUNTIFS('United Data'!$A$3:$A$3390,I$1,'United Data'!$C$3:$C$3390,$A1039,'United Data'!$B$3:$B$3390,"&lt;&gt;Off-street")&gt;0,1,0)</f>
        <v>0</v>
      </c>
      <c r="J1039">
        <f>IF(COUNTIFS('United Data'!$A$3:$A$3390,J$1,'United Data'!$C$3:$C$3390,$A1039,'United Data'!$B$3:$B$3390,"&lt;&gt;Off-street")&gt;0,1,0)</f>
        <v>0</v>
      </c>
      <c r="K1039">
        <f>IF(COUNTIFS('United Data'!$A$3:$A$3390,K$1,'United Data'!$C$3:$C$3390,$A1039,'United Data'!$B$3:$B$3390,"&lt;&gt;Off-street")&gt;0,1,0)</f>
        <v>1</v>
      </c>
      <c r="L1039">
        <f>IF(COUNTIFS('United Data'!$A$3:$A$3390,L$1,'United Data'!$C$3:$C$3390,$A1039,'United Data'!$B$3:$B$3390,"&lt;&gt;Off-street")&gt;0,1,0)</f>
        <v>1</v>
      </c>
      <c r="M1039">
        <f>IF(COUNTIFS('United Data'!$A$3:$A$3390,M$1,'United Data'!$C$3:$C$3390,$A1039,'United Data'!$B$3:$B$3390,"&lt;&gt;Off-street")&gt;0,1,0)</f>
        <v>1</v>
      </c>
      <c r="N1039">
        <f>IF(COUNTIFS('United Data'!$A$3:$A$3390,N$1,'United Data'!$C$3:$C$3390,$A1039,'United Data'!$B$3:$B$3390,"&lt;&gt;Off-street")&gt;0,1,0)</f>
        <v>1</v>
      </c>
      <c r="O1039">
        <f>IF(COUNTIFS('United Data'!$A$3:$A$3390,O$1,'United Data'!$C$3:$C$3390,$A1039,'United Data'!$B$3:$B$3390,"&lt;&gt;Off-street")&gt;0,1,0)</f>
        <v>1</v>
      </c>
      <c r="P1039">
        <f>IF(COUNTIFS('United Data'!$A$3:$A$3390,P$1,'United Data'!$C$3:$C$3390,$A1039,'United Data'!$B$3:$B$3390,"&lt;&gt;Off-street")&gt;0,1,0)</f>
        <v>1</v>
      </c>
      <c r="Q1039">
        <f>IF(COUNTIFS('United Data'!$A$3:$A$3390,Q$1,'United Data'!$C$3:$C$3390,$A1039,'United Data'!$B$3:$B$3390,"&lt;&gt;Off-street")&gt;0,1,0)</f>
        <v>1</v>
      </c>
      <c r="R1039">
        <f>IF(COUNTIFS('United Data'!$A$3:$A$3390,R$1,'United Data'!$C$3:$C$3390,$A1039,'United Data'!$B$3:$B$3390,"&lt;&gt;Off-street")&gt;0,1,0)</f>
        <v>1</v>
      </c>
      <c r="S1039">
        <f t="shared" si="32"/>
        <v>14</v>
      </c>
      <c r="T1039">
        <f t="shared" si="33"/>
        <v>3</v>
      </c>
    </row>
    <row r="1040" spans="1:20" x14ac:dyDescent="0.2">
      <c r="A1040" t="s">
        <v>1243</v>
      </c>
      <c r="B1040">
        <f>IF(COUNTIFS('United Data'!$A$3:$A$3390,B$1,'United Data'!$C$3:$C$3390,$A1040,'United Data'!$B$3:$B$3390,"&lt;&gt;Off-street")&gt;0,1,0)</f>
        <v>1</v>
      </c>
      <c r="C1040">
        <f>IF(COUNTIFS('United Data'!$A$3:$A$3390,C$1,'United Data'!$C$3:$C$3390,$A1040,'United Data'!$B$3:$B$3390,"&lt;&gt;Off-street")&gt;0,1,0)</f>
        <v>1</v>
      </c>
      <c r="D1040">
        <f>IF(COUNTIFS('United Data'!$A$3:$A$3390,D$1,'United Data'!$C$3:$C$3390,$A1040,'United Data'!$B$3:$B$3390,"&lt;&gt;Off-street")&gt;0,1,0)</f>
        <v>1</v>
      </c>
      <c r="E1040">
        <f>IF(COUNTIFS('United Data'!$A$3:$A$3390,E$1,'United Data'!$C$3:$C$3390,$A1040,'United Data'!$B$3:$B$3390,"&lt;&gt;Off-street")&gt;0,1,0)</f>
        <v>0</v>
      </c>
      <c r="F1040">
        <f>IF(COUNTIFS('United Data'!$A$3:$A$3390,F$1,'United Data'!$C$3:$C$3390,$A1040,'United Data'!$B$3:$B$3390,"&lt;&gt;Off-street")&gt;0,1,0)</f>
        <v>0</v>
      </c>
      <c r="G1040">
        <f>IF(COUNTIFS('United Data'!$A$3:$A$3390,G$1,'United Data'!$C$3:$C$3390,$A1040,'United Data'!$B$3:$B$3390,"&lt;&gt;Off-street")&gt;0,1,0)</f>
        <v>0</v>
      </c>
      <c r="H1040">
        <f>IF(COUNTIFS('United Data'!$A$3:$A$3390,H$1,'United Data'!$C$3:$C$3390,$A1040,'United Data'!$B$3:$B$3390,"&lt;&gt;Off-street")&gt;0,1,0)</f>
        <v>0</v>
      </c>
      <c r="I1040">
        <f>IF(COUNTIFS('United Data'!$A$3:$A$3390,I$1,'United Data'!$C$3:$C$3390,$A1040,'United Data'!$B$3:$B$3390,"&lt;&gt;Off-street")&gt;0,1,0)</f>
        <v>0</v>
      </c>
      <c r="J1040">
        <f>IF(COUNTIFS('United Data'!$A$3:$A$3390,J$1,'United Data'!$C$3:$C$3390,$A1040,'United Data'!$B$3:$B$3390,"&lt;&gt;Off-street")&gt;0,1,0)</f>
        <v>0</v>
      </c>
      <c r="K1040">
        <f>IF(COUNTIFS('United Data'!$A$3:$A$3390,K$1,'United Data'!$C$3:$C$3390,$A1040,'United Data'!$B$3:$B$3390,"&lt;&gt;Off-street")&gt;0,1,0)</f>
        <v>1</v>
      </c>
      <c r="L1040">
        <f>IF(COUNTIFS('United Data'!$A$3:$A$3390,L$1,'United Data'!$C$3:$C$3390,$A1040,'United Data'!$B$3:$B$3390,"&lt;&gt;Off-street")&gt;0,1,0)</f>
        <v>1</v>
      </c>
      <c r="M1040">
        <f>IF(COUNTIFS('United Data'!$A$3:$A$3390,M$1,'United Data'!$C$3:$C$3390,$A1040,'United Data'!$B$3:$B$3390,"&lt;&gt;Off-street")&gt;0,1,0)</f>
        <v>0</v>
      </c>
      <c r="N1040">
        <f>IF(COUNTIFS('United Data'!$A$3:$A$3390,N$1,'United Data'!$C$3:$C$3390,$A1040,'United Data'!$B$3:$B$3390,"&lt;&gt;Off-street")&gt;0,1,0)</f>
        <v>0</v>
      </c>
      <c r="O1040">
        <f>IF(COUNTIFS('United Data'!$A$3:$A$3390,O$1,'United Data'!$C$3:$C$3390,$A1040,'United Data'!$B$3:$B$3390,"&lt;&gt;Off-street")&gt;0,1,0)</f>
        <v>1</v>
      </c>
      <c r="P1040">
        <f>IF(COUNTIFS('United Data'!$A$3:$A$3390,P$1,'United Data'!$C$3:$C$3390,$A1040,'United Data'!$B$3:$B$3390,"&lt;&gt;Off-street")&gt;0,1,0)</f>
        <v>1</v>
      </c>
      <c r="Q1040">
        <f>IF(COUNTIFS('United Data'!$A$3:$A$3390,Q$1,'United Data'!$C$3:$C$3390,$A1040,'United Data'!$B$3:$B$3390,"&lt;&gt;Off-street")&gt;0,1,0)</f>
        <v>1</v>
      </c>
      <c r="R1040">
        <f>IF(COUNTIFS('United Data'!$A$3:$A$3390,R$1,'United Data'!$C$3:$C$3390,$A1040,'United Data'!$B$3:$B$3390,"&lt;&gt;Off-street")&gt;0,1,0)</f>
        <v>0</v>
      </c>
      <c r="S1040">
        <f t="shared" si="32"/>
        <v>8</v>
      </c>
      <c r="T1040">
        <f t="shared" si="33"/>
        <v>3</v>
      </c>
    </row>
    <row r="1041" spans="1:20" x14ac:dyDescent="0.2">
      <c r="A1041" t="s">
        <v>1244</v>
      </c>
      <c r="B1041">
        <f>IF(COUNTIFS('United Data'!$A$3:$A$3390,B$1,'United Data'!$C$3:$C$3390,$A1041,'United Data'!$B$3:$B$3390,"&lt;&gt;Off-street")&gt;0,1,0)</f>
        <v>1</v>
      </c>
      <c r="C1041">
        <f>IF(COUNTIFS('United Data'!$A$3:$A$3390,C$1,'United Data'!$C$3:$C$3390,$A1041,'United Data'!$B$3:$B$3390,"&lt;&gt;Off-street")&gt;0,1,0)</f>
        <v>0</v>
      </c>
      <c r="D1041">
        <f>IF(COUNTIFS('United Data'!$A$3:$A$3390,D$1,'United Data'!$C$3:$C$3390,$A1041,'United Data'!$B$3:$B$3390,"&lt;&gt;Off-street")&gt;0,1,0)</f>
        <v>0</v>
      </c>
      <c r="E1041">
        <f>IF(COUNTIFS('United Data'!$A$3:$A$3390,E$1,'United Data'!$C$3:$C$3390,$A1041,'United Data'!$B$3:$B$3390,"&lt;&gt;Off-street")&gt;0,1,0)</f>
        <v>0</v>
      </c>
      <c r="F1041">
        <f>IF(COUNTIFS('United Data'!$A$3:$A$3390,F$1,'United Data'!$C$3:$C$3390,$A1041,'United Data'!$B$3:$B$3390,"&lt;&gt;Off-street")&gt;0,1,0)</f>
        <v>0</v>
      </c>
      <c r="G1041">
        <f>IF(COUNTIFS('United Data'!$A$3:$A$3390,G$1,'United Data'!$C$3:$C$3390,$A1041,'United Data'!$B$3:$B$3390,"&lt;&gt;Off-street")&gt;0,1,0)</f>
        <v>0</v>
      </c>
      <c r="H1041">
        <f>IF(COUNTIFS('United Data'!$A$3:$A$3390,H$1,'United Data'!$C$3:$C$3390,$A1041,'United Data'!$B$3:$B$3390,"&lt;&gt;Off-street")&gt;0,1,0)</f>
        <v>0</v>
      </c>
      <c r="I1041">
        <f>IF(COUNTIFS('United Data'!$A$3:$A$3390,I$1,'United Data'!$C$3:$C$3390,$A1041,'United Data'!$B$3:$B$3390,"&lt;&gt;Off-street")&gt;0,1,0)</f>
        <v>0</v>
      </c>
      <c r="J1041">
        <f>IF(COUNTIFS('United Data'!$A$3:$A$3390,J$1,'United Data'!$C$3:$C$3390,$A1041,'United Data'!$B$3:$B$3390,"&lt;&gt;Off-street")&gt;0,1,0)</f>
        <v>0</v>
      </c>
      <c r="K1041">
        <f>IF(COUNTIFS('United Data'!$A$3:$A$3390,K$1,'United Data'!$C$3:$C$3390,$A1041,'United Data'!$B$3:$B$3390,"&lt;&gt;Off-street")&gt;0,1,0)</f>
        <v>0</v>
      </c>
      <c r="L1041">
        <f>IF(COUNTIFS('United Data'!$A$3:$A$3390,L$1,'United Data'!$C$3:$C$3390,$A1041,'United Data'!$B$3:$B$3390,"&lt;&gt;Off-street")&gt;0,1,0)</f>
        <v>1</v>
      </c>
      <c r="M1041">
        <f>IF(COUNTIFS('United Data'!$A$3:$A$3390,M$1,'United Data'!$C$3:$C$3390,$A1041,'United Data'!$B$3:$B$3390,"&lt;&gt;Off-street")&gt;0,1,0)</f>
        <v>0</v>
      </c>
      <c r="N1041">
        <f>IF(COUNTIFS('United Data'!$A$3:$A$3390,N$1,'United Data'!$C$3:$C$3390,$A1041,'United Data'!$B$3:$B$3390,"&lt;&gt;Off-street")&gt;0,1,0)</f>
        <v>1</v>
      </c>
      <c r="O1041">
        <f>IF(COUNTIFS('United Data'!$A$3:$A$3390,O$1,'United Data'!$C$3:$C$3390,$A1041,'United Data'!$B$3:$B$3390,"&lt;&gt;Off-street")&gt;0,1,0)</f>
        <v>0</v>
      </c>
      <c r="P1041">
        <f>IF(COUNTIFS('United Data'!$A$3:$A$3390,P$1,'United Data'!$C$3:$C$3390,$A1041,'United Data'!$B$3:$B$3390,"&lt;&gt;Off-street")&gt;0,1,0)</f>
        <v>1</v>
      </c>
      <c r="Q1041">
        <f>IF(COUNTIFS('United Data'!$A$3:$A$3390,Q$1,'United Data'!$C$3:$C$3390,$A1041,'United Data'!$B$3:$B$3390,"&lt;&gt;Off-street")&gt;0,1,0)</f>
        <v>1</v>
      </c>
      <c r="R1041">
        <f>IF(COUNTIFS('United Data'!$A$3:$A$3390,R$1,'United Data'!$C$3:$C$3390,$A1041,'United Data'!$B$3:$B$3390,"&lt;&gt;Off-street")&gt;0,1,0)</f>
        <v>0</v>
      </c>
      <c r="S1041">
        <f t="shared" si="32"/>
        <v>5</v>
      </c>
      <c r="T1041">
        <f t="shared" si="33"/>
        <v>4</v>
      </c>
    </row>
    <row r="1042" spans="1:20" x14ac:dyDescent="0.2">
      <c r="A1042" t="s">
        <v>1245</v>
      </c>
      <c r="B1042">
        <f>IF(COUNTIFS('United Data'!$A$3:$A$3390,B$1,'United Data'!$C$3:$C$3390,$A1042,'United Data'!$B$3:$B$3390,"&lt;&gt;Off-street")&gt;0,1,0)</f>
        <v>1</v>
      </c>
      <c r="C1042">
        <f>IF(COUNTIFS('United Data'!$A$3:$A$3390,C$1,'United Data'!$C$3:$C$3390,$A1042,'United Data'!$B$3:$B$3390,"&lt;&gt;Off-street")&gt;0,1,0)</f>
        <v>0</v>
      </c>
      <c r="D1042">
        <f>IF(COUNTIFS('United Data'!$A$3:$A$3390,D$1,'United Data'!$C$3:$C$3390,$A1042,'United Data'!$B$3:$B$3390,"&lt;&gt;Off-street")&gt;0,1,0)</f>
        <v>0</v>
      </c>
      <c r="E1042">
        <f>IF(COUNTIFS('United Data'!$A$3:$A$3390,E$1,'United Data'!$C$3:$C$3390,$A1042,'United Data'!$B$3:$B$3390,"&lt;&gt;Off-street")&gt;0,1,0)</f>
        <v>0</v>
      </c>
      <c r="F1042">
        <f>IF(COUNTIFS('United Data'!$A$3:$A$3390,F$1,'United Data'!$C$3:$C$3390,$A1042,'United Data'!$B$3:$B$3390,"&lt;&gt;Off-street")&gt;0,1,0)</f>
        <v>0</v>
      </c>
      <c r="G1042">
        <f>IF(COUNTIFS('United Data'!$A$3:$A$3390,G$1,'United Data'!$C$3:$C$3390,$A1042,'United Data'!$B$3:$B$3390,"&lt;&gt;Off-street")&gt;0,1,0)</f>
        <v>0</v>
      </c>
      <c r="H1042">
        <f>IF(COUNTIFS('United Data'!$A$3:$A$3390,H$1,'United Data'!$C$3:$C$3390,$A1042,'United Data'!$B$3:$B$3390,"&lt;&gt;Off-street")&gt;0,1,0)</f>
        <v>0</v>
      </c>
      <c r="I1042">
        <f>IF(COUNTIFS('United Data'!$A$3:$A$3390,I$1,'United Data'!$C$3:$C$3390,$A1042,'United Data'!$B$3:$B$3390,"&lt;&gt;Off-street")&gt;0,1,0)</f>
        <v>0</v>
      </c>
      <c r="J1042">
        <f>IF(COUNTIFS('United Data'!$A$3:$A$3390,J$1,'United Data'!$C$3:$C$3390,$A1042,'United Data'!$B$3:$B$3390,"&lt;&gt;Off-street")&gt;0,1,0)</f>
        <v>0</v>
      </c>
      <c r="K1042">
        <f>IF(COUNTIFS('United Data'!$A$3:$A$3390,K$1,'United Data'!$C$3:$C$3390,$A1042,'United Data'!$B$3:$B$3390,"&lt;&gt;Off-street")&gt;0,1,0)</f>
        <v>0</v>
      </c>
      <c r="L1042">
        <f>IF(COUNTIFS('United Data'!$A$3:$A$3390,L$1,'United Data'!$C$3:$C$3390,$A1042,'United Data'!$B$3:$B$3390,"&lt;&gt;Off-street")&gt;0,1,0)</f>
        <v>0</v>
      </c>
      <c r="M1042">
        <f>IF(COUNTIFS('United Data'!$A$3:$A$3390,M$1,'United Data'!$C$3:$C$3390,$A1042,'United Data'!$B$3:$B$3390,"&lt;&gt;Off-street")&gt;0,1,0)</f>
        <v>0</v>
      </c>
      <c r="N1042">
        <f>IF(COUNTIFS('United Data'!$A$3:$A$3390,N$1,'United Data'!$C$3:$C$3390,$A1042,'United Data'!$B$3:$B$3390,"&lt;&gt;Off-street")&gt;0,1,0)</f>
        <v>0</v>
      </c>
      <c r="O1042">
        <f>IF(COUNTIFS('United Data'!$A$3:$A$3390,O$1,'United Data'!$C$3:$C$3390,$A1042,'United Data'!$B$3:$B$3390,"&lt;&gt;Off-street")&gt;0,1,0)</f>
        <v>0</v>
      </c>
      <c r="P1042">
        <f>IF(COUNTIFS('United Data'!$A$3:$A$3390,P$1,'United Data'!$C$3:$C$3390,$A1042,'United Data'!$B$3:$B$3390,"&lt;&gt;Off-street")&gt;0,1,0)</f>
        <v>0</v>
      </c>
      <c r="Q1042">
        <f>IF(COUNTIFS('United Data'!$A$3:$A$3390,Q$1,'United Data'!$C$3:$C$3390,$A1042,'United Data'!$B$3:$B$3390,"&lt;&gt;Off-street")&gt;0,1,0)</f>
        <v>0</v>
      </c>
      <c r="R1042">
        <f>IF(COUNTIFS('United Data'!$A$3:$A$3390,R$1,'United Data'!$C$3:$C$3390,$A1042,'United Data'!$B$3:$B$3390,"&lt;&gt;Off-street")&gt;0,1,0)</f>
        <v>0</v>
      </c>
      <c r="S1042">
        <f t="shared" si="32"/>
        <v>1</v>
      </c>
      <c r="T1042">
        <f t="shared" si="33"/>
        <v>1</v>
      </c>
    </row>
    <row r="1043" spans="1:20" x14ac:dyDescent="0.2">
      <c r="A1043" t="s">
        <v>1246</v>
      </c>
      <c r="B1043">
        <f>IF(COUNTIFS('United Data'!$A$3:$A$3390,B$1,'United Data'!$C$3:$C$3390,$A1043,'United Data'!$B$3:$B$3390,"&lt;&gt;Off-street")&gt;0,1,0)</f>
        <v>1</v>
      </c>
      <c r="C1043">
        <f>IF(COUNTIFS('United Data'!$A$3:$A$3390,C$1,'United Data'!$C$3:$C$3390,$A1043,'United Data'!$B$3:$B$3390,"&lt;&gt;Off-street")&gt;0,1,0)</f>
        <v>0</v>
      </c>
      <c r="D1043">
        <f>IF(COUNTIFS('United Data'!$A$3:$A$3390,D$1,'United Data'!$C$3:$C$3390,$A1043,'United Data'!$B$3:$B$3390,"&lt;&gt;Off-street")&gt;0,1,0)</f>
        <v>0</v>
      </c>
      <c r="E1043">
        <f>IF(COUNTIFS('United Data'!$A$3:$A$3390,E$1,'United Data'!$C$3:$C$3390,$A1043,'United Data'!$B$3:$B$3390,"&lt;&gt;Off-street")&gt;0,1,0)</f>
        <v>0</v>
      </c>
      <c r="F1043">
        <f>IF(COUNTIFS('United Data'!$A$3:$A$3390,F$1,'United Data'!$C$3:$C$3390,$A1043,'United Data'!$B$3:$B$3390,"&lt;&gt;Off-street")&gt;0,1,0)</f>
        <v>0</v>
      </c>
      <c r="G1043">
        <f>IF(COUNTIFS('United Data'!$A$3:$A$3390,G$1,'United Data'!$C$3:$C$3390,$A1043,'United Data'!$B$3:$B$3390,"&lt;&gt;Off-street")&gt;0,1,0)</f>
        <v>0</v>
      </c>
      <c r="H1043">
        <f>IF(COUNTIFS('United Data'!$A$3:$A$3390,H$1,'United Data'!$C$3:$C$3390,$A1043,'United Data'!$B$3:$B$3390,"&lt;&gt;Off-street")&gt;0,1,0)</f>
        <v>0</v>
      </c>
      <c r="I1043">
        <f>IF(COUNTIFS('United Data'!$A$3:$A$3390,I$1,'United Data'!$C$3:$C$3390,$A1043,'United Data'!$B$3:$B$3390,"&lt;&gt;Off-street")&gt;0,1,0)</f>
        <v>0</v>
      </c>
      <c r="J1043">
        <f>IF(COUNTIFS('United Data'!$A$3:$A$3390,J$1,'United Data'!$C$3:$C$3390,$A1043,'United Data'!$B$3:$B$3390,"&lt;&gt;Off-street")&gt;0,1,0)</f>
        <v>0</v>
      </c>
      <c r="K1043">
        <f>IF(COUNTIFS('United Data'!$A$3:$A$3390,K$1,'United Data'!$C$3:$C$3390,$A1043,'United Data'!$B$3:$B$3390,"&lt;&gt;Off-street")&gt;0,1,0)</f>
        <v>0</v>
      </c>
      <c r="L1043">
        <f>IF(COUNTIFS('United Data'!$A$3:$A$3390,L$1,'United Data'!$C$3:$C$3390,$A1043,'United Data'!$B$3:$B$3390,"&lt;&gt;Off-street")&gt;0,1,0)</f>
        <v>0</v>
      </c>
      <c r="M1043">
        <f>IF(COUNTIFS('United Data'!$A$3:$A$3390,M$1,'United Data'!$C$3:$C$3390,$A1043,'United Data'!$B$3:$B$3390,"&lt;&gt;Off-street")&gt;0,1,0)</f>
        <v>0</v>
      </c>
      <c r="N1043">
        <f>IF(COUNTIFS('United Data'!$A$3:$A$3390,N$1,'United Data'!$C$3:$C$3390,$A1043,'United Data'!$B$3:$B$3390,"&lt;&gt;Off-street")&gt;0,1,0)</f>
        <v>0</v>
      </c>
      <c r="O1043">
        <f>IF(COUNTIFS('United Data'!$A$3:$A$3390,O$1,'United Data'!$C$3:$C$3390,$A1043,'United Data'!$B$3:$B$3390,"&lt;&gt;Off-street")&gt;0,1,0)</f>
        <v>0</v>
      </c>
      <c r="P1043">
        <f>IF(COUNTIFS('United Data'!$A$3:$A$3390,P$1,'United Data'!$C$3:$C$3390,$A1043,'United Data'!$B$3:$B$3390,"&lt;&gt;Off-street")&gt;0,1,0)</f>
        <v>0</v>
      </c>
      <c r="Q1043">
        <f>IF(COUNTIFS('United Data'!$A$3:$A$3390,Q$1,'United Data'!$C$3:$C$3390,$A1043,'United Data'!$B$3:$B$3390,"&lt;&gt;Off-street")&gt;0,1,0)</f>
        <v>0</v>
      </c>
      <c r="R1043">
        <f>IF(COUNTIFS('United Data'!$A$3:$A$3390,R$1,'United Data'!$C$3:$C$3390,$A1043,'United Data'!$B$3:$B$3390,"&lt;&gt;Off-street")&gt;0,1,0)</f>
        <v>0</v>
      </c>
      <c r="S1043">
        <f t="shared" si="32"/>
        <v>1</v>
      </c>
      <c r="T1043">
        <f t="shared" si="33"/>
        <v>1</v>
      </c>
    </row>
    <row r="1044" spans="1:20" x14ac:dyDescent="0.2">
      <c r="A1044" t="s">
        <v>1247</v>
      </c>
      <c r="B1044">
        <f>IF(COUNTIFS('United Data'!$A$3:$A$3390,B$1,'United Data'!$C$3:$C$3390,$A1044,'United Data'!$B$3:$B$3390,"&lt;&gt;Off-street")&gt;0,1,0)</f>
        <v>1</v>
      </c>
      <c r="C1044">
        <f>IF(COUNTIFS('United Data'!$A$3:$A$3390,C$1,'United Data'!$C$3:$C$3390,$A1044,'United Data'!$B$3:$B$3390,"&lt;&gt;Off-street")&gt;0,1,0)</f>
        <v>0</v>
      </c>
      <c r="D1044">
        <f>IF(COUNTIFS('United Data'!$A$3:$A$3390,D$1,'United Data'!$C$3:$C$3390,$A1044,'United Data'!$B$3:$B$3390,"&lt;&gt;Off-street")&gt;0,1,0)</f>
        <v>0</v>
      </c>
      <c r="E1044">
        <f>IF(COUNTIFS('United Data'!$A$3:$A$3390,E$1,'United Data'!$C$3:$C$3390,$A1044,'United Data'!$B$3:$B$3390,"&lt;&gt;Off-street")&gt;0,1,0)</f>
        <v>0</v>
      </c>
      <c r="F1044">
        <f>IF(COUNTIFS('United Data'!$A$3:$A$3390,F$1,'United Data'!$C$3:$C$3390,$A1044,'United Data'!$B$3:$B$3390,"&lt;&gt;Off-street")&gt;0,1,0)</f>
        <v>0</v>
      </c>
      <c r="G1044">
        <f>IF(COUNTIFS('United Data'!$A$3:$A$3390,G$1,'United Data'!$C$3:$C$3390,$A1044,'United Data'!$B$3:$B$3390,"&lt;&gt;Off-street")&gt;0,1,0)</f>
        <v>0</v>
      </c>
      <c r="H1044">
        <f>IF(COUNTIFS('United Data'!$A$3:$A$3390,H$1,'United Data'!$C$3:$C$3390,$A1044,'United Data'!$B$3:$B$3390,"&lt;&gt;Off-street")&gt;0,1,0)</f>
        <v>0</v>
      </c>
      <c r="I1044">
        <f>IF(COUNTIFS('United Data'!$A$3:$A$3390,I$1,'United Data'!$C$3:$C$3390,$A1044,'United Data'!$B$3:$B$3390,"&lt;&gt;Off-street")&gt;0,1,0)</f>
        <v>0</v>
      </c>
      <c r="J1044">
        <f>IF(COUNTIFS('United Data'!$A$3:$A$3390,J$1,'United Data'!$C$3:$C$3390,$A1044,'United Data'!$B$3:$B$3390,"&lt;&gt;Off-street")&gt;0,1,0)</f>
        <v>0</v>
      </c>
      <c r="K1044">
        <f>IF(COUNTIFS('United Data'!$A$3:$A$3390,K$1,'United Data'!$C$3:$C$3390,$A1044,'United Data'!$B$3:$B$3390,"&lt;&gt;Off-street")&gt;0,1,0)</f>
        <v>0</v>
      </c>
      <c r="L1044">
        <f>IF(COUNTIFS('United Data'!$A$3:$A$3390,L$1,'United Data'!$C$3:$C$3390,$A1044,'United Data'!$B$3:$B$3390,"&lt;&gt;Off-street")&gt;0,1,0)</f>
        <v>0</v>
      </c>
      <c r="M1044">
        <f>IF(COUNTIFS('United Data'!$A$3:$A$3390,M$1,'United Data'!$C$3:$C$3390,$A1044,'United Data'!$B$3:$B$3390,"&lt;&gt;Off-street")&gt;0,1,0)</f>
        <v>0</v>
      </c>
      <c r="N1044">
        <f>IF(COUNTIFS('United Data'!$A$3:$A$3390,N$1,'United Data'!$C$3:$C$3390,$A1044,'United Data'!$B$3:$B$3390,"&lt;&gt;Off-street")&gt;0,1,0)</f>
        <v>0</v>
      </c>
      <c r="O1044">
        <f>IF(COUNTIFS('United Data'!$A$3:$A$3390,O$1,'United Data'!$C$3:$C$3390,$A1044,'United Data'!$B$3:$B$3390,"&lt;&gt;Off-street")&gt;0,1,0)</f>
        <v>0</v>
      </c>
      <c r="P1044">
        <f>IF(COUNTIFS('United Data'!$A$3:$A$3390,P$1,'United Data'!$C$3:$C$3390,$A1044,'United Data'!$B$3:$B$3390,"&lt;&gt;Off-street")&gt;0,1,0)</f>
        <v>0</v>
      </c>
      <c r="Q1044">
        <f>IF(COUNTIFS('United Data'!$A$3:$A$3390,Q$1,'United Data'!$C$3:$C$3390,$A1044,'United Data'!$B$3:$B$3390,"&lt;&gt;Off-street")&gt;0,1,0)</f>
        <v>1</v>
      </c>
      <c r="R1044">
        <f>IF(COUNTIFS('United Data'!$A$3:$A$3390,R$1,'United Data'!$C$3:$C$3390,$A1044,'United Data'!$B$3:$B$3390,"&lt;&gt;Off-street")&gt;0,1,0)</f>
        <v>0</v>
      </c>
      <c r="S1044">
        <f t="shared" si="32"/>
        <v>2</v>
      </c>
      <c r="T1044">
        <f t="shared" si="33"/>
        <v>2</v>
      </c>
    </row>
    <row r="1045" spans="1:20" x14ac:dyDescent="0.2">
      <c r="A1045" t="s">
        <v>1252</v>
      </c>
      <c r="B1045">
        <f>IF(COUNTIFS('United Data'!$A$3:$A$3390,B$1,'United Data'!$C$3:$C$3390,$A1045,'United Data'!$B$3:$B$3390,"&lt;&gt;Off-street")&gt;0,1,0)</f>
        <v>0</v>
      </c>
      <c r="C1045">
        <f>IF(COUNTIFS('United Data'!$A$3:$A$3390,C$1,'United Data'!$C$3:$C$3390,$A1045,'United Data'!$B$3:$B$3390,"&lt;&gt;Off-street")&gt;0,1,0)</f>
        <v>1</v>
      </c>
      <c r="D1045">
        <f>IF(COUNTIFS('United Data'!$A$3:$A$3390,D$1,'United Data'!$C$3:$C$3390,$A1045,'United Data'!$B$3:$B$3390,"&lt;&gt;Off-street")&gt;0,1,0)</f>
        <v>1</v>
      </c>
      <c r="E1045">
        <f>IF(COUNTIFS('United Data'!$A$3:$A$3390,E$1,'United Data'!$C$3:$C$3390,$A1045,'United Data'!$B$3:$B$3390,"&lt;&gt;Off-street")&gt;0,1,0)</f>
        <v>1</v>
      </c>
      <c r="F1045">
        <f>IF(COUNTIFS('United Data'!$A$3:$A$3390,F$1,'United Data'!$C$3:$C$3390,$A1045,'United Data'!$B$3:$B$3390,"&lt;&gt;Off-street")&gt;0,1,0)</f>
        <v>0</v>
      </c>
      <c r="G1045">
        <f>IF(COUNTIFS('United Data'!$A$3:$A$3390,G$1,'United Data'!$C$3:$C$3390,$A1045,'United Data'!$B$3:$B$3390,"&lt;&gt;Off-street")&gt;0,1,0)</f>
        <v>0</v>
      </c>
      <c r="H1045">
        <f>IF(COUNTIFS('United Data'!$A$3:$A$3390,H$1,'United Data'!$C$3:$C$3390,$A1045,'United Data'!$B$3:$B$3390,"&lt;&gt;Off-street")&gt;0,1,0)</f>
        <v>0</v>
      </c>
      <c r="I1045">
        <f>IF(COUNTIFS('United Data'!$A$3:$A$3390,I$1,'United Data'!$C$3:$C$3390,$A1045,'United Data'!$B$3:$B$3390,"&lt;&gt;Off-street")&gt;0,1,0)</f>
        <v>0</v>
      </c>
      <c r="J1045">
        <f>IF(COUNTIFS('United Data'!$A$3:$A$3390,J$1,'United Data'!$C$3:$C$3390,$A1045,'United Data'!$B$3:$B$3390,"&lt;&gt;Off-street")&gt;0,1,0)</f>
        <v>0</v>
      </c>
      <c r="K1045">
        <f>IF(COUNTIFS('United Data'!$A$3:$A$3390,K$1,'United Data'!$C$3:$C$3390,$A1045,'United Data'!$B$3:$B$3390,"&lt;&gt;Off-street")&gt;0,1,0)</f>
        <v>0</v>
      </c>
      <c r="L1045">
        <f>IF(COUNTIFS('United Data'!$A$3:$A$3390,L$1,'United Data'!$C$3:$C$3390,$A1045,'United Data'!$B$3:$B$3390,"&lt;&gt;Off-street")&gt;0,1,0)</f>
        <v>0</v>
      </c>
      <c r="M1045">
        <f>IF(COUNTIFS('United Data'!$A$3:$A$3390,M$1,'United Data'!$C$3:$C$3390,$A1045,'United Data'!$B$3:$B$3390,"&lt;&gt;Off-street")&gt;0,1,0)</f>
        <v>0</v>
      </c>
      <c r="N1045">
        <f>IF(COUNTIFS('United Data'!$A$3:$A$3390,N$1,'United Data'!$C$3:$C$3390,$A1045,'United Data'!$B$3:$B$3390,"&lt;&gt;Off-street")&gt;0,1,0)</f>
        <v>0</v>
      </c>
      <c r="O1045">
        <f>IF(COUNTIFS('United Data'!$A$3:$A$3390,O$1,'United Data'!$C$3:$C$3390,$A1045,'United Data'!$B$3:$B$3390,"&lt;&gt;Off-street")&gt;0,1,0)</f>
        <v>0</v>
      </c>
      <c r="P1045">
        <f>IF(COUNTIFS('United Data'!$A$3:$A$3390,P$1,'United Data'!$C$3:$C$3390,$A1045,'United Data'!$B$3:$B$3390,"&lt;&gt;Off-street")&gt;0,1,0)</f>
        <v>0</v>
      </c>
      <c r="Q1045">
        <f>IF(COUNTIFS('United Data'!$A$3:$A$3390,Q$1,'United Data'!$C$3:$C$3390,$A1045,'United Data'!$B$3:$B$3390,"&lt;&gt;Off-street")&gt;0,1,0)</f>
        <v>1</v>
      </c>
      <c r="R1045">
        <f>IF(COUNTIFS('United Data'!$A$3:$A$3390,R$1,'United Data'!$C$3:$C$3390,$A1045,'United Data'!$B$3:$B$3390,"&lt;&gt;Off-street")&gt;0,1,0)</f>
        <v>1</v>
      </c>
      <c r="S1045">
        <f t="shared" si="32"/>
        <v>5</v>
      </c>
      <c r="T1045">
        <f t="shared" si="33"/>
        <v>2</v>
      </c>
    </row>
    <row r="1046" spans="1:20" x14ac:dyDescent="0.2">
      <c r="A1046" t="s">
        <v>1255</v>
      </c>
      <c r="B1046">
        <f>IF(COUNTIFS('United Data'!$A$3:$A$3390,B$1,'United Data'!$C$3:$C$3390,$A1046,'United Data'!$B$3:$B$3390,"&lt;&gt;Off-street")&gt;0,1,0)</f>
        <v>0</v>
      </c>
      <c r="C1046">
        <f>IF(COUNTIFS('United Data'!$A$3:$A$3390,C$1,'United Data'!$C$3:$C$3390,$A1046,'United Data'!$B$3:$B$3390,"&lt;&gt;Off-street")&gt;0,1,0)</f>
        <v>1</v>
      </c>
      <c r="D1046">
        <f>IF(COUNTIFS('United Data'!$A$3:$A$3390,D$1,'United Data'!$C$3:$C$3390,$A1046,'United Data'!$B$3:$B$3390,"&lt;&gt;Off-street")&gt;0,1,0)</f>
        <v>0</v>
      </c>
      <c r="E1046">
        <f>IF(COUNTIFS('United Data'!$A$3:$A$3390,E$1,'United Data'!$C$3:$C$3390,$A1046,'United Data'!$B$3:$B$3390,"&lt;&gt;Off-street")&gt;0,1,0)</f>
        <v>0</v>
      </c>
      <c r="F1046">
        <f>IF(COUNTIFS('United Data'!$A$3:$A$3390,F$1,'United Data'!$C$3:$C$3390,$A1046,'United Data'!$B$3:$B$3390,"&lt;&gt;Off-street")&gt;0,1,0)</f>
        <v>0</v>
      </c>
      <c r="G1046">
        <f>IF(COUNTIFS('United Data'!$A$3:$A$3390,G$1,'United Data'!$C$3:$C$3390,$A1046,'United Data'!$B$3:$B$3390,"&lt;&gt;Off-street")&gt;0,1,0)</f>
        <v>0</v>
      </c>
      <c r="H1046">
        <f>IF(COUNTIFS('United Data'!$A$3:$A$3390,H$1,'United Data'!$C$3:$C$3390,$A1046,'United Data'!$B$3:$B$3390,"&lt;&gt;Off-street")&gt;0,1,0)</f>
        <v>0</v>
      </c>
      <c r="I1046">
        <f>IF(COUNTIFS('United Data'!$A$3:$A$3390,I$1,'United Data'!$C$3:$C$3390,$A1046,'United Data'!$B$3:$B$3390,"&lt;&gt;Off-street")&gt;0,1,0)</f>
        <v>0</v>
      </c>
      <c r="J1046">
        <f>IF(COUNTIFS('United Data'!$A$3:$A$3390,J$1,'United Data'!$C$3:$C$3390,$A1046,'United Data'!$B$3:$B$3390,"&lt;&gt;Off-street")&gt;0,1,0)</f>
        <v>0</v>
      </c>
      <c r="K1046">
        <f>IF(COUNTIFS('United Data'!$A$3:$A$3390,K$1,'United Data'!$C$3:$C$3390,$A1046,'United Data'!$B$3:$B$3390,"&lt;&gt;Off-street")&gt;0,1,0)</f>
        <v>0</v>
      </c>
      <c r="L1046">
        <f>IF(COUNTIFS('United Data'!$A$3:$A$3390,L$1,'United Data'!$C$3:$C$3390,$A1046,'United Data'!$B$3:$B$3390,"&lt;&gt;Off-street")&gt;0,1,0)</f>
        <v>0</v>
      </c>
      <c r="M1046">
        <f>IF(COUNTIFS('United Data'!$A$3:$A$3390,M$1,'United Data'!$C$3:$C$3390,$A1046,'United Data'!$B$3:$B$3390,"&lt;&gt;Off-street")&gt;0,1,0)</f>
        <v>0</v>
      </c>
      <c r="N1046">
        <f>IF(COUNTIFS('United Data'!$A$3:$A$3390,N$1,'United Data'!$C$3:$C$3390,$A1046,'United Data'!$B$3:$B$3390,"&lt;&gt;Off-street")&gt;0,1,0)</f>
        <v>0</v>
      </c>
      <c r="O1046">
        <f>IF(COUNTIFS('United Data'!$A$3:$A$3390,O$1,'United Data'!$C$3:$C$3390,$A1046,'United Data'!$B$3:$B$3390,"&lt;&gt;Off-street")&gt;0,1,0)</f>
        <v>0</v>
      </c>
      <c r="P1046">
        <f>IF(COUNTIFS('United Data'!$A$3:$A$3390,P$1,'United Data'!$C$3:$C$3390,$A1046,'United Data'!$B$3:$B$3390,"&lt;&gt;Off-street")&gt;0,1,0)</f>
        <v>0</v>
      </c>
      <c r="Q1046">
        <f>IF(COUNTIFS('United Data'!$A$3:$A$3390,Q$1,'United Data'!$C$3:$C$3390,$A1046,'United Data'!$B$3:$B$3390,"&lt;&gt;Off-street")&gt;0,1,0)</f>
        <v>0</v>
      </c>
      <c r="R1046">
        <f>IF(COUNTIFS('United Data'!$A$3:$A$3390,R$1,'United Data'!$C$3:$C$3390,$A1046,'United Data'!$B$3:$B$3390,"&lt;&gt;Off-street")&gt;0,1,0)</f>
        <v>0</v>
      </c>
      <c r="S1046">
        <f t="shared" si="32"/>
        <v>1</v>
      </c>
      <c r="T1046">
        <f t="shared" si="33"/>
        <v>1</v>
      </c>
    </row>
    <row r="1047" spans="1:20" x14ac:dyDescent="0.2">
      <c r="A1047" t="s">
        <v>1257</v>
      </c>
      <c r="B1047">
        <f>IF(COUNTIFS('United Data'!$A$3:$A$3390,B$1,'United Data'!$C$3:$C$3390,$A1047,'United Data'!$B$3:$B$3390,"&lt;&gt;Off-street")&gt;0,1,0)</f>
        <v>0</v>
      </c>
      <c r="C1047">
        <f>IF(COUNTIFS('United Data'!$A$3:$A$3390,C$1,'United Data'!$C$3:$C$3390,$A1047,'United Data'!$B$3:$B$3390,"&lt;&gt;Off-street")&gt;0,1,0)</f>
        <v>1</v>
      </c>
      <c r="D1047">
        <f>IF(COUNTIFS('United Data'!$A$3:$A$3390,D$1,'United Data'!$C$3:$C$3390,$A1047,'United Data'!$B$3:$B$3390,"&lt;&gt;Off-street")&gt;0,1,0)</f>
        <v>0</v>
      </c>
      <c r="E1047">
        <f>IF(COUNTIFS('United Data'!$A$3:$A$3390,E$1,'United Data'!$C$3:$C$3390,$A1047,'United Data'!$B$3:$B$3390,"&lt;&gt;Off-street")&gt;0,1,0)</f>
        <v>0</v>
      </c>
      <c r="F1047">
        <f>IF(COUNTIFS('United Data'!$A$3:$A$3390,F$1,'United Data'!$C$3:$C$3390,$A1047,'United Data'!$B$3:$B$3390,"&lt;&gt;Off-street")&gt;0,1,0)</f>
        <v>0</v>
      </c>
      <c r="G1047">
        <f>IF(COUNTIFS('United Data'!$A$3:$A$3390,G$1,'United Data'!$C$3:$C$3390,$A1047,'United Data'!$B$3:$B$3390,"&lt;&gt;Off-street")&gt;0,1,0)</f>
        <v>0</v>
      </c>
      <c r="H1047">
        <f>IF(COUNTIFS('United Data'!$A$3:$A$3390,H$1,'United Data'!$C$3:$C$3390,$A1047,'United Data'!$B$3:$B$3390,"&lt;&gt;Off-street")&gt;0,1,0)</f>
        <v>0</v>
      </c>
      <c r="I1047">
        <f>IF(COUNTIFS('United Data'!$A$3:$A$3390,I$1,'United Data'!$C$3:$C$3390,$A1047,'United Data'!$B$3:$B$3390,"&lt;&gt;Off-street")&gt;0,1,0)</f>
        <v>0</v>
      </c>
      <c r="J1047">
        <f>IF(COUNTIFS('United Data'!$A$3:$A$3390,J$1,'United Data'!$C$3:$C$3390,$A1047,'United Data'!$B$3:$B$3390,"&lt;&gt;Off-street")&gt;0,1,0)</f>
        <v>0</v>
      </c>
      <c r="K1047">
        <f>IF(COUNTIFS('United Data'!$A$3:$A$3390,K$1,'United Data'!$C$3:$C$3390,$A1047,'United Data'!$B$3:$B$3390,"&lt;&gt;Off-street")&gt;0,1,0)</f>
        <v>0</v>
      </c>
      <c r="L1047">
        <f>IF(COUNTIFS('United Data'!$A$3:$A$3390,L$1,'United Data'!$C$3:$C$3390,$A1047,'United Data'!$B$3:$B$3390,"&lt;&gt;Off-street")&gt;0,1,0)</f>
        <v>0</v>
      </c>
      <c r="M1047">
        <f>IF(COUNTIFS('United Data'!$A$3:$A$3390,M$1,'United Data'!$C$3:$C$3390,$A1047,'United Data'!$B$3:$B$3390,"&lt;&gt;Off-street")&gt;0,1,0)</f>
        <v>0</v>
      </c>
      <c r="N1047">
        <f>IF(COUNTIFS('United Data'!$A$3:$A$3390,N$1,'United Data'!$C$3:$C$3390,$A1047,'United Data'!$B$3:$B$3390,"&lt;&gt;Off-street")&gt;0,1,0)</f>
        <v>0</v>
      </c>
      <c r="O1047">
        <f>IF(COUNTIFS('United Data'!$A$3:$A$3390,O$1,'United Data'!$C$3:$C$3390,$A1047,'United Data'!$B$3:$B$3390,"&lt;&gt;Off-street")&gt;0,1,0)</f>
        <v>0</v>
      </c>
      <c r="P1047">
        <f>IF(COUNTIFS('United Data'!$A$3:$A$3390,P$1,'United Data'!$C$3:$C$3390,$A1047,'United Data'!$B$3:$B$3390,"&lt;&gt;Off-street")&gt;0,1,0)</f>
        <v>0</v>
      </c>
      <c r="Q1047">
        <f>IF(COUNTIFS('United Data'!$A$3:$A$3390,Q$1,'United Data'!$C$3:$C$3390,$A1047,'United Data'!$B$3:$B$3390,"&lt;&gt;Off-street")&gt;0,1,0)</f>
        <v>0</v>
      </c>
      <c r="R1047">
        <f>IF(COUNTIFS('United Data'!$A$3:$A$3390,R$1,'United Data'!$C$3:$C$3390,$A1047,'United Data'!$B$3:$B$3390,"&lt;&gt;Off-street")&gt;0,1,0)</f>
        <v>0</v>
      </c>
      <c r="S1047">
        <f t="shared" si="32"/>
        <v>1</v>
      </c>
      <c r="T1047">
        <f t="shared" si="33"/>
        <v>1</v>
      </c>
    </row>
    <row r="1048" spans="1:20" x14ac:dyDescent="0.2">
      <c r="A1048" t="s">
        <v>1258</v>
      </c>
      <c r="B1048">
        <f>IF(COUNTIFS('United Data'!$A$3:$A$3390,B$1,'United Data'!$C$3:$C$3390,$A1048,'United Data'!$B$3:$B$3390,"&lt;&gt;Off-street")&gt;0,1,0)</f>
        <v>0</v>
      </c>
      <c r="C1048">
        <f>IF(COUNTIFS('United Data'!$A$3:$A$3390,C$1,'United Data'!$C$3:$C$3390,$A1048,'United Data'!$B$3:$B$3390,"&lt;&gt;Off-street")&gt;0,1,0)</f>
        <v>1</v>
      </c>
      <c r="D1048">
        <f>IF(COUNTIFS('United Data'!$A$3:$A$3390,D$1,'United Data'!$C$3:$C$3390,$A1048,'United Data'!$B$3:$B$3390,"&lt;&gt;Off-street")&gt;0,1,0)</f>
        <v>0</v>
      </c>
      <c r="E1048">
        <f>IF(COUNTIFS('United Data'!$A$3:$A$3390,E$1,'United Data'!$C$3:$C$3390,$A1048,'United Data'!$B$3:$B$3390,"&lt;&gt;Off-street")&gt;0,1,0)</f>
        <v>0</v>
      </c>
      <c r="F1048">
        <f>IF(COUNTIFS('United Data'!$A$3:$A$3390,F$1,'United Data'!$C$3:$C$3390,$A1048,'United Data'!$B$3:$B$3390,"&lt;&gt;Off-street")&gt;0,1,0)</f>
        <v>0</v>
      </c>
      <c r="G1048">
        <f>IF(COUNTIFS('United Data'!$A$3:$A$3390,G$1,'United Data'!$C$3:$C$3390,$A1048,'United Data'!$B$3:$B$3390,"&lt;&gt;Off-street")&gt;0,1,0)</f>
        <v>0</v>
      </c>
      <c r="H1048">
        <f>IF(COUNTIFS('United Data'!$A$3:$A$3390,H$1,'United Data'!$C$3:$C$3390,$A1048,'United Data'!$B$3:$B$3390,"&lt;&gt;Off-street")&gt;0,1,0)</f>
        <v>0</v>
      </c>
      <c r="I1048">
        <f>IF(COUNTIFS('United Data'!$A$3:$A$3390,I$1,'United Data'!$C$3:$C$3390,$A1048,'United Data'!$B$3:$B$3390,"&lt;&gt;Off-street")&gt;0,1,0)</f>
        <v>0</v>
      </c>
      <c r="J1048">
        <f>IF(COUNTIFS('United Data'!$A$3:$A$3390,J$1,'United Data'!$C$3:$C$3390,$A1048,'United Data'!$B$3:$B$3390,"&lt;&gt;Off-street")&gt;0,1,0)</f>
        <v>0</v>
      </c>
      <c r="K1048">
        <f>IF(COUNTIFS('United Data'!$A$3:$A$3390,K$1,'United Data'!$C$3:$C$3390,$A1048,'United Data'!$B$3:$B$3390,"&lt;&gt;Off-street")&gt;0,1,0)</f>
        <v>0</v>
      </c>
      <c r="L1048">
        <f>IF(COUNTIFS('United Data'!$A$3:$A$3390,L$1,'United Data'!$C$3:$C$3390,$A1048,'United Data'!$B$3:$B$3390,"&lt;&gt;Off-street")&gt;0,1,0)</f>
        <v>0</v>
      </c>
      <c r="M1048">
        <f>IF(COUNTIFS('United Data'!$A$3:$A$3390,M$1,'United Data'!$C$3:$C$3390,$A1048,'United Data'!$B$3:$B$3390,"&lt;&gt;Off-street")&gt;0,1,0)</f>
        <v>0</v>
      </c>
      <c r="N1048">
        <f>IF(COUNTIFS('United Data'!$A$3:$A$3390,N$1,'United Data'!$C$3:$C$3390,$A1048,'United Data'!$B$3:$B$3390,"&lt;&gt;Off-street")&gt;0,1,0)</f>
        <v>0</v>
      </c>
      <c r="O1048">
        <f>IF(COUNTIFS('United Data'!$A$3:$A$3390,O$1,'United Data'!$C$3:$C$3390,$A1048,'United Data'!$B$3:$B$3390,"&lt;&gt;Off-street")&gt;0,1,0)</f>
        <v>0</v>
      </c>
      <c r="P1048">
        <f>IF(COUNTIFS('United Data'!$A$3:$A$3390,P$1,'United Data'!$C$3:$C$3390,$A1048,'United Data'!$B$3:$B$3390,"&lt;&gt;Off-street")&gt;0,1,0)</f>
        <v>0</v>
      </c>
      <c r="Q1048">
        <f>IF(COUNTIFS('United Data'!$A$3:$A$3390,Q$1,'United Data'!$C$3:$C$3390,$A1048,'United Data'!$B$3:$B$3390,"&lt;&gt;Off-street")&gt;0,1,0)</f>
        <v>0</v>
      </c>
      <c r="R1048">
        <f>IF(COUNTIFS('United Data'!$A$3:$A$3390,R$1,'United Data'!$C$3:$C$3390,$A1048,'United Data'!$B$3:$B$3390,"&lt;&gt;Off-street")&gt;0,1,0)</f>
        <v>0</v>
      </c>
      <c r="S1048">
        <f t="shared" si="32"/>
        <v>1</v>
      </c>
      <c r="T1048">
        <f t="shared" si="33"/>
        <v>1</v>
      </c>
    </row>
    <row r="1049" spans="1:20" x14ac:dyDescent="0.2">
      <c r="A1049" t="s">
        <v>1259</v>
      </c>
      <c r="B1049">
        <f>IF(COUNTIFS('United Data'!$A$3:$A$3390,B$1,'United Data'!$C$3:$C$3390,$A1049,'United Data'!$B$3:$B$3390,"&lt;&gt;Off-street")&gt;0,1,0)</f>
        <v>0</v>
      </c>
      <c r="C1049">
        <f>IF(COUNTIFS('United Data'!$A$3:$A$3390,C$1,'United Data'!$C$3:$C$3390,$A1049,'United Data'!$B$3:$B$3390,"&lt;&gt;Off-street")&gt;0,1,0)</f>
        <v>1</v>
      </c>
      <c r="D1049">
        <f>IF(COUNTIFS('United Data'!$A$3:$A$3390,D$1,'United Data'!$C$3:$C$3390,$A1049,'United Data'!$B$3:$B$3390,"&lt;&gt;Off-street")&gt;0,1,0)</f>
        <v>1</v>
      </c>
      <c r="E1049">
        <f>IF(COUNTIFS('United Data'!$A$3:$A$3390,E$1,'United Data'!$C$3:$C$3390,$A1049,'United Data'!$B$3:$B$3390,"&lt;&gt;Off-street")&gt;0,1,0)</f>
        <v>1</v>
      </c>
      <c r="F1049">
        <f>IF(COUNTIFS('United Data'!$A$3:$A$3390,F$1,'United Data'!$C$3:$C$3390,$A1049,'United Data'!$B$3:$B$3390,"&lt;&gt;Off-street")&gt;0,1,0)</f>
        <v>0</v>
      </c>
      <c r="G1049">
        <f>IF(COUNTIFS('United Data'!$A$3:$A$3390,G$1,'United Data'!$C$3:$C$3390,$A1049,'United Data'!$B$3:$B$3390,"&lt;&gt;Off-street")&gt;0,1,0)</f>
        <v>0</v>
      </c>
      <c r="H1049">
        <f>IF(COUNTIFS('United Data'!$A$3:$A$3390,H$1,'United Data'!$C$3:$C$3390,$A1049,'United Data'!$B$3:$B$3390,"&lt;&gt;Off-street")&gt;0,1,0)</f>
        <v>0</v>
      </c>
      <c r="I1049">
        <f>IF(COUNTIFS('United Data'!$A$3:$A$3390,I$1,'United Data'!$C$3:$C$3390,$A1049,'United Data'!$B$3:$B$3390,"&lt;&gt;Off-street")&gt;0,1,0)</f>
        <v>0</v>
      </c>
      <c r="J1049">
        <f>IF(COUNTIFS('United Data'!$A$3:$A$3390,J$1,'United Data'!$C$3:$C$3390,$A1049,'United Data'!$B$3:$B$3390,"&lt;&gt;Off-street")&gt;0,1,0)</f>
        <v>1</v>
      </c>
      <c r="K1049">
        <f>IF(COUNTIFS('United Data'!$A$3:$A$3390,K$1,'United Data'!$C$3:$C$3390,$A1049,'United Data'!$B$3:$B$3390,"&lt;&gt;Off-street")&gt;0,1,0)</f>
        <v>0</v>
      </c>
      <c r="L1049">
        <f>IF(COUNTIFS('United Data'!$A$3:$A$3390,L$1,'United Data'!$C$3:$C$3390,$A1049,'United Data'!$B$3:$B$3390,"&lt;&gt;Off-street")&gt;0,1,0)</f>
        <v>1</v>
      </c>
      <c r="M1049">
        <f>IF(COUNTIFS('United Data'!$A$3:$A$3390,M$1,'United Data'!$C$3:$C$3390,$A1049,'United Data'!$B$3:$B$3390,"&lt;&gt;Off-street")&gt;0,1,0)</f>
        <v>0</v>
      </c>
      <c r="N1049">
        <f>IF(COUNTIFS('United Data'!$A$3:$A$3390,N$1,'United Data'!$C$3:$C$3390,$A1049,'United Data'!$B$3:$B$3390,"&lt;&gt;Off-street")&gt;0,1,0)</f>
        <v>1</v>
      </c>
      <c r="O1049">
        <f>IF(COUNTIFS('United Data'!$A$3:$A$3390,O$1,'United Data'!$C$3:$C$3390,$A1049,'United Data'!$B$3:$B$3390,"&lt;&gt;Off-street")&gt;0,1,0)</f>
        <v>1</v>
      </c>
      <c r="P1049">
        <f>IF(COUNTIFS('United Data'!$A$3:$A$3390,P$1,'United Data'!$C$3:$C$3390,$A1049,'United Data'!$B$3:$B$3390,"&lt;&gt;Off-street")&gt;0,1,0)</f>
        <v>1</v>
      </c>
      <c r="Q1049">
        <f>IF(COUNTIFS('United Data'!$A$3:$A$3390,Q$1,'United Data'!$C$3:$C$3390,$A1049,'United Data'!$B$3:$B$3390,"&lt;&gt;Off-street")&gt;0,1,0)</f>
        <v>1</v>
      </c>
      <c r="R1049">
        <f>IF(COUNTIFS('United Data'!$A$3:$A$3390,R$1,'United Data'!$C$3:$C$3390,$A1049,'United Data'!$B$3:$B$3390,"&lt;&gt;Off-street")&gt;0,1,0)</f>
        <v>1</v>
      </c>
      <c r="S1049">
        <f t="shared" si="32"/>
        <v>10</v>
      </c>
      <c r="T1049">
        <f t="shared" si="33"/>
        <v>4</v>
      </c>
    </row>
    <row r="1050" spans="1:20" x14ac:dyDescent="0.2">
      <c r="A1050" t="s">
        <v>1260</v>
      </c>
      <c r="B1050">
        <f>IF(COUNTIFS('United Data'!$A$3:$A$3390,B$1,'United Data'!$C$3:$C$3390,$A1050,'United Data'!$B$3:$B$3390,"&lt;&gt;Off-street")&gt;0,1,0)</f>
        <v>0</v>
      </c>
      <c r="C1050">
        <f>IF(COUNTIFS('United Data'!$A$3:$A$3390,C$1,'United Data'!$C$3:$C$3390,$A1050,'United Data'!$B$3:$B$3390,"&lt;&gt;Off-street")&gt;0,1,0)</f>
        <v>0</v>
      </c>
      <c r="D1050">
        <f>IF(COUNTIFS('United Data'!$A$3:$A$3390,D$1,'United Data'!$C$3:$C$3390,$A1050,'United Data'!$B$3:$B$3390,"&lt;&gt;Off-street")&gt;0,1,0)</f>
        <v>1</v>
      </c>
      <c r="E1050">
        <f>IF(COUNTIFS('United Data'!$A$3:$A$3390,E$1,'United Data'!$C$3:$C$3390,$A1050,'United Data'!$B$3:$B$3390,"&lt;&gt;Off-street")&gt;0,1,0)</f>
        <v>0</v>
      </c>
      <c r="F1050">
        <f>IF(COUNTIFS('United Data'!$A$3:$A$3390,F$1,'United Data'!$C$3:$C$3390,$A1050,'United Data'!$B$3:$B$3390,"&lt;&gt;Off-street")&gt;0,1,0)</f>
        <v>0</v>
      </c>
      <c r="G1050">
        <f>IF(COUNTIFS('United Data'!$A$3:$A$3390,G$1,'United Data'!$C$3:$C$3390,$A1050,'United Data'!$B$3:$B$3390,"&lt;&gt;Off-street")&gt;0,1,0)</f>
        <v>0</v>
      </c>
      <c r="H1050">
        <f>IF(COUNTIFS('United Data'!$A$3:$A$3390,H$1,'United Data'!$C$3:$C$3390,$A1050,'United Data'!$B$3:$B$3390,"&lt;&gt;Off-street")&gt;0,1,0)</f>
        <v>0</v>
      </c>
      <c r="I1050">
        <f>IF(COUNTIFS('United Data'!$A$3:$A$3390,I$1,'United Data'!$C$3:$C$3390,$A1050,'United Data'!$B$3:$B$3390,"&lt;&gt;Off-street")&gt;0,1,0)</f>
        <v>0</v>
      </c>
      <c r="J1050">
        <f>IF(COUNTIFS('United Data'!$A$3:$A$3390,J$1,'United Data'!$C$3:$C$3390,$A1050,'United Data'!$B$3:$B$3390,"&lt;&gt;Off-street")&gt;0,1,0)</f>
        <v>0</v>
      </c>
      <c r="K1050">
        <f>IF(COUNTIFS('United Data'!$A$3:$A$3390,K$1,'United Data'!$C$3:$C$3390,$A1050,'United Data'!$B$3:$B$3390,"&lt;&gt;Off-street")&gt;0,1,0)</f>
        <v>0</v>
      </c>
      <c r="L1050">
        <f>IF(COUNTIFS('United Data'!$A$3:$A$3390,L$1,'United Data'!$C$3:$C$3390,$A1050,'United Data'!$B$3:$B$3390,"&lt;&gt;Off-street")&gt;0,1,0)</f>
        <v>0</v>
      </c>
      <c r="M1050">
        <f>IF(COUNTIFS('United Data'!$A$3:$A$3390,M$1,'United Data'!$C$3:$C$3390,$A1050,'United Data'!$B$3:$B$3390,"&lt;&gt;Off-street")&gt;0,1,0)</f>
        <v>0</v>
      </c>
      <c r="N1050">
        <f>IF(COUNTIFS('United Data'!$A$3:$A$3390,N$1,'United Data'!$C$3:$C$3390,$A1050,'United Data'!$B$3:$B$3390,"&lt;&gt;Off-street")&gt;0,1,0)</f>
        <v>0</v>
      </c>
      <c r="O1050">
        <f>IF(COUNTIFS('United Data'!$A$3:$A$3390,O$1,'United Data'!$C$3:$C$3390,$A1050,'United Data'!$B$3:$B$3390,"&lt;&gt;Off-street")&gt;0,1,0)</f>
        <v>0</v>
      </c>
      <c r="P1050">
        <f>IF(COUNTIFS('United Data'!$A$3:$A$3390,P$1,'United Data'!$C$3:$C$3390,$A1050,'United Data'!$B$3:$B$3390,"&lt;&gt;Off-street")&gt;0,1,0)</f>
        <v>0</v>
      </c>
      <c r="Q1050">
        <f>IF(COUNTIFS('United Data'!$A$3:$A$3390,Q$1,'United Data'!$C$3:$C$3390,$A1050,'United Data'!$B$3:$B$3390,"&lt;&gt;Off-street")&gt;0,1,0)</f>
        <v>0</v>
      </c>
      <c r="R1050">
        <f>IF(COUNTIFS('United Data'!$A$3:$A$3390,R$1,'United Data'!$C$3:$C$3390,$A1050,'United Data'!$B$3:$B$3390,"&lt;&gt;Off-street")&gt;0,1,0)</f>
        <v>0</v>
      </c>
      <c r="S1050">
        <f t="shared" si="32"/>
        <v>1</v>
      </c>
      <c r="T1050">
        <f t="shared" si="33"/>
        <v>1</v>
      </c>
    </row>
    <row r="1051" spans="1:20" x14ac:dyDescent="0.2">
      <c r="A1051" t="s">
        <v>1261</v>
      </c>
      <c r="B1051">
        <f>IF(COUNTIFS('United Data'!$A$3:$A$3390,B$1,'United Data'!$C$3:$C$3390,$A1051,'United Data'!$B$3:$B$3390,"&lt;&gt;Off-street")&gt;0,1,0)</f>
        <v>0</v>
      </c>
      <c r="C1051">
        <f>IF(COUNTIFS('United Data'!$A$3:$A$3390,C$1,'United Data'!$C$3:$C$3390,$A1051,'United Data'!$B$3:$B$3390,"&lt;&gt;Off-street")&gt;0,1,0)</f>
        <v>0</v>
      </c>
      <c r="D1051">
        <f>IF(COUNTIFS('United Data'!$A$3:$A$3390,D$1,'United Data'!$C$3:$C$3390,$A1051,'United Data'!$B$3:$B$3390,"&lt;&gt;Off-street")&gt;0,1,0)</f>
        <v>1</v>
      </c>
      <c r="E1051">
        <f>IF(COUNTIFS('United Data'!$A$3:$A$3390,E$1,'United Data'!$C$3:$C$3390,$A1051,'United Data'!$B$3:$B$3390,"&lt;&gt;Off-street")&gt;0,1,0)</f>
        <v>0</v>
      </c>
      <c r="F1051">
        <f>IF(COUNTIFS('United Data'!$A$3:$A$3390,F$1,'United Data'!$C$3:$C$3390,$A1051,'United Data'!$B$3:$B$3390,"&lt;&gt;Off-street")&gt;0,1,0)</f>
        <v>0</v>
      </c>
      <c r="G1051">
        <f>IF(COUNTIFS('United Data'!$A$3:$A$3390,G$1,'United Data'!$C$3:$C$3390,$A1051,'United Data'!$B$3:$B$3390,"&lt;&gt;Off-street")&gt;0,1,0)</f>
        <v>0</v>
      </c>
      <c r="H1051">
        <f>IF(COUNTIFS('United Data'!$A$3:$A$3390,H$1,'United Data'!$C$3:$C$3390,$A1051,'United Data'!$B$3:$B$3390,"&lt;&gt;Off-street")&gt;0,1,0)</f>
        <v>0</v>
      </c>
      <c r="I1051">
        <f>IF(COUNTIFS('United Data'!$A$3:$A$3390,I$1,'United Data'!$C$3:$C$3390,$A1051,'United Data'!$B$3:$B$3390,"&lt;&gt;Off-street")&gt;0,1,0)</f>
        <v>0</v>
      </c>
      <c r="J1051">
        <f>IF(COUNTIFS('United Data'!$A$3:$A$3390,J$1,'United Data'!$C$3:$C$3390,$A1051,'United Data'!$B$3:$B$3390,"&lt;&gt;Off-street")&gt;0,1,0)</f>
        <v>0</v>
      </c>
      <c r="K1051">
        <f>IF(COUNTIFS('United Data'!$A$3:$A$3390,K$1,'United Data'!$C$3:$C$3390,$A1051,'United Data'!$B$3:$B$3390,"&lt;&gt;Off-street")&gt;0,1,0)</f>
        <v>0</v>
      </c>
      <c r="L1051">
        <f>IF(COUNTIFS('United Data'!$A$3:$A$3390,L$1,'United Data'!$C$3:$C$3390,$A1051,'United Data'!$B$3:$B$3390,"&lt;&gt;Off-street")&gt;0,1,0)</f>
        <v>0</v>
      </c>
      <c r="M1051">
        <f>IF(COUNTIFS('United Data'!$A$3:$A$3390,M$1,'United Data'!$C$3:$C$3390,$A1051,'United Data'!$B$3:$B$3390,"&lt;&gt;Off-street")&gt;0,1,0)</f>
        <v>0</v>
      </c>
      <c r="N1051">
        <f>IF(COUNTIFS('United Data'!$A$3:$A$3390,N$1,'United Data'!$C$3:$C$3390,$A1051,'United Data'!$B$3:$B$3390,"&lt;&gt;Off-street")&gt;0,1,0)</f>
        <v>0</v>
      </c>
      <c r="O1051">
        <f>IF(COUNTIFS('United Data'!$A$3:$A$3390,O$1,'United Data'!$C$3:$C$3390,$A1051,'United Data'!$B$3:$B$3390,"&lt;&gt;Off-street")&gt;0,1,0)</f>
        <v>0</v>
      </c>
      <c r="P1051">
        <f>IF(COUNTIFS('United Data'!$A$3:$A$3390,P$1,'United Data'!$C$3:$C$3390,$A1051,'United Data'!$B$3:$B$3390,"&lt;&gt;Off-street")&gt;0,1,0)</f>
        <v>0</v>
      </c>
      <c r="Q1051">
        <f>IF(COUNTIFS('United Data'!$A$3:$A$3390,Q$1,'United Data'!$C$3:$C$3390,$A1051,'United Data'!$B$3:$B$3390,"&lt;&gt;Off-street")&gt;0,1,0)</f>
        <v>0</v>
      </c>
      <c r="R1051">
        <f>IF(COUNTIFS('United Data'!$A$3:$A$3390,R$1,'United Data'!$C$3:$C$3390,$A1051,'United Data'!$B$3:$B$3390,"&lt;&gt;Off-street")&gt;0,1,0)</f>
        <v>0</v>
      </c>
      <c r="S1051">
        <f t="shared" si="32"/>
        <v>1</v>
      </c>
      <c r="T1051">
        <f t="shared" si="33"/>
        <v>1</v>
      </c>
    </row>
    <row r="1052" spans="1:20" x14ac:dyDescent="0.2">
      <c r="A1052" t="s">
        <v>1262</v>
      </c>
      <c r="B1052">
        <f>IF(COUNTIFS('United Data'!$A$3:$A$3390,B$1,'United Data'!$C$3:$C$3390,$A1052,'United Data'!$B$3:$B$3390,"&lt;&gt;Off-street")&gt;0,1,0)</f>
        <v>0</v>
      </c>
      <c r="C1052">
        <f>IF(COUNTIFS('United Data'!$A$3:$A$3390,C$1,'United Data'!$C$3:$C$3390,$A1052,'United Data'!$B$3:$B$3390,"&lt;&gt;Off-street")&gt;0,1,0)</f>
        <v>0</v>
      </c>
      <c r="D1052">
        <f>IF(COUNTIFS('United Data'!$A$3:$A$3390,D$1,'United Data'!$C$3:$C$3390,$A1052,'United Data'!$B$3:$B$3390,"&lt;&gt;Off-street")&gt;0,1,0)</f>
        <v>1</v>
      </c>
      <c r="E1052">
        <f>IF(COUNTIFS('United Data'!$A$3:$A$3390,E$1,'United Data'!$C$3:$C$3390,$A1052,'United Data'!$B$3:$B$3390,"&lt;&gt;Off-street")&gt;0,1,0)</f>
        <v>0</v>
      </c>
      <c r="F1052">
        <f>IF(COUNTIFS('United Data'!$A$3:$A$3390,F$1,'United Data'!$C$3:$C$3390,$A1052,'United Data'!$B$3:$B$3390,"&lt;&gt;Off-street")&gt;0,1,0)</f>
        <v>0</v>
      </c>
      <c r="G1052">
        <f>IF(COUNTIFS('United Data'!$A$3:$A$3390,G$1,'United Data'!$C$3:$C$3390,$A1052,'United Data'!$B$3:$B$3390,"&lt;&gt;Off-street")&gt;0,1,0)</f>
        <v>0</v>
      </c>
      <c r="H1052">
        <f>IF(COUNTIFS('United Data'!$A$3:$A$3390,H$1,'United Data'!$C$3:$C$3390,$A1052,'United Data'!$B$3:$B$3390,"&lt;&gt;Off-street")&gt;0,1,0)</f>
        <v>0</v>
      </c>
      <c r="I1052">
        <f>IF(COUNTIFS('United Data'!$A$3:$A$3390,I$1,'United Data'!$C$3:$C$3390,$A1052,'United Data'!$B$3:$B$3390,"&lt;&gt;Off-street")&gt;0,1,0)</f>
        <v>0</v>
      </c>
      <c r="J1052">
        <f>IF(COUNTIFS('United Data'!$A$3:$A$3390,J$1,'United Data'!$C$3:$C$3390,$A1052,'United Data'!$B$3:$B$3390,"&lt;&gt;Off-street")&gt;0,1,0)</f>
        <v>0</v>
      </c>
      <c r="K1052">
        <f>IF(COUNTIFS('United Data'!$A$3:$A$3390,K$1,'United Data'!$C$3:$C$3390,$A1052,'United Data'!$B$3:$B$3390,"&lt;&gt;Off-street")&gt;0,1,0)</f>
        <v>0</v>
      </c>
      <c r="L1052">
        <f>IF(COUNTIFS('United Data'!$A$3:$A$3390,L$1,'United Data'!$C$3:$C$3390,$A1052,'United Data'!$B$3:$B$3390,"&lt;&gt;Off-street")&gt;0,1,0)</f>
        <v>0</v>
      </c>
      <c r="M1052">
        <f>IF(COUNTIFS('United Data'!$A$3:$A$3390,M$1,'United Data'!$C$3:$C$3390,$A1052,'United Data'!$B$3:$B$3390,"&lt;&gt;Off-street")&gt;0,1,0)</f>
        <v>0</v>
      </c>
      <c r="N1052">
        <f>IF(COUNTIFS('United Data'!$A$3:$A$3390,N$1,'United Data'!$C$3:$C$3390,$A1052,'United Data'!$B$3:$B$3390,"&lt;&gt;Off-street")&gt;0,1,0)</f>
        <v>0</v>
      </c>
      <c r="O1052">
        <f>IF(COUNTIFS('United Data'!$A$3:$A$3390,O$1,'United Data'!$C$3:$C$3390,$A1052,'United Data'!$B$3:$B$3390,"&lt;&gt;Off-street")&gt;0,1,0)</f>
        <v>0</v>
      </c>
      <c r="P1052">
        <f>IF(COUNTIFS('United Data'!$A$3:$A$3390,P$1,'United Data'!$C$3:$C$3390,$A1052,'United Data'!$B$3:$B$3390,"&lt;&gt;Off-street")&gt;0,1,0)</f>
        <v>0</v>
      </c>
      <c r="Q1052">
        <f>IF(COUNTIFS('United Data'!$A$3:$A$3390,Q$1,'United Data'!$C$3:$C$3390,$A1052,'United Data'!$B$3:$B$3390,"&lt;&gt;Off-street")&gt;0,1,0)</f>
        <v>0</v>
      </c>
      <c r="R1052">
        <f>IF(COUNTIFS('United Data'!$A$3:$A$3390,R$1,'United Data'!$C$3:$C$3390,$A1052,'United Data'!$B$3:$B$3390,"&lt;&gt;Off-street")&gt;0,1,0)</f>
        <v>0</v>
      </c>
      <c r="S1052">
        <f t="shared" si="32"/>
        <v>1</v>
      </c>
      <c r="T1052">
        <f t="shared" si="33"/>
        <v>1</v>
      </c>
    </row>
    <row r="1053" spans="1:20" x14ac:dyDescent="0.2">
      <c r="A1053" t="s">
        <v>1263</v>
      </c>
      <c r="B1053">
        <f>IF(COUNTIFS('United Data'!$A$3:$A$3390,B$1,'United Data'!$C$3:$C$3390,$A1053,'United Data'!$B$3:$B$3390,"&lt;&gt;Off-street")&gt;0,1,0)</f>
        <v>0</v>
      </c>
      <c r="C1053">
        <f>IF(COUNTIFS('United Data'!$A$3:$A$3390,C$1,'United Data'!$C$3:$C$3390,$A1053,'United Data'!$B$3:$B$3390,"&lt;&gt;Off-street")&gt;0,1,0)</f>
        <v>0</v>
      </c>
      <c r="D1053">
        <f>IF(COUNTIFS('United Data'!$A$3:$A$3390,D$1,'United Data'!$C$3:$C$3390,$A1053,'United Data'!$B$3:$B$3390,"&lt;&gt;Off-street")&gt;0,1,0)</f>
        <v>1</v>
      </c>
      <c r="E1053">
        <f>IF(COUNTIFS('United Data'!$A$3:$A$3390,E$1,'United Data'!$C$3:$C$3390,$A1053,'United Data'!$B$3:$B$3390,"&lt;&gt;Off-street")&gt;0,1,0)</f>
        <v>0</v>
      </c>
      <c r="F1053">
        <f>IF(COUNTIFS('United Data'!$A$3:$A$3390,F$1,'United Data'!$C$3:$C$3390,$A1053,'United Data'!$B$3:$B$3390,"&lt;&gt;Off-street")&gt;0,1,0)</f>
        <v>0</v>
      </c>
      <c r="G1053">
        <f>IF(COUNTIFS('United Data'!$A$3:$A$3390,G$1,'United Data'!$C$3:$C$3390,$A1053,'United Data'!$B$3:$B$3390,"&lt;&gt;Off-street")&gt;0,1,0)</f>
        <v>0</v>
      </c>
      <c r="H1053">
        <f>IF(COUNTIFS('United Data'!$A$3:$A$3390,H$1,'United Data'!$C$3:$C$3390,$A1053,'United Data'!$B$3:$B$3390,"&lt;&gt;Off-street")&gt;0,1,0)</f>
        <v>0</v>
      </c>
      <c r="I1053">
        <f>IF(COUNTIFS('United Data'!$A$3:$A$3390,I$1,'United Data'!$C$3:$C$3390,$A1053,'United Data'!$B$3:$B$3390,"&lt;&gt;Off-street")&gt;0,1,0)</f>
        <v>0</v>
      </c>
      <c r="J1053">
        <f>IF(COUNTIFS('United Data'!$A$3:$A$3390,J$1,'United Data'!$C$3:$C$3390,$A1053,'United Data'!$B$3:$B$3390,"&lt;&gt;Off-street")&gt;0,1,0)</f>
        <v>0</v>
      </c>
      <c r="K1053">
        <f>IF(COUNTIFS('United Data'!$A$3:$A$3390,K$1,'United Data'!$C$3:$C$3390,$A1053,'United Data'!$B$3:$B$3390,"&lt;&gt;Off-street")&gt;0,1,0)</f>
        <v>0</v>
      </c>
      <c r="L1053">
        <f>IF(COUNTIFS('United Data'!$A$3:$A$3390,L$1,'United Data'!$C$3:$C$3390,$A1053,'United Data'!$B$3:$B$3390,"&lt;&gt;Off-street")&gt;0,1,0)</f>
        <v>0</v>
      </c>
      <c r="M1053">
        <f>IF(COUNTIFS('United Data'!$A$3:$A$3390,M$1,'United Data'!$C$3:$C$3390,$A1053,'United Data'!$B$3:$B$3390,"&lt;&gt;Off-street")&gt;0,1,0)</f>
        <v>0</v>
      </c>
      <c r="N1053">
        <f>IF(COUNTIFS('United Data'!$A$3:$A$3390,N$1,'United Data'!$C$3:$C$3390,$A1053,'United Data'!$B$3:$B$3390,"&lt;&gt;Off-street")&gt;0,1,0)</f>
        <v>0</v>
      </c>
      <c r="O1053">
        <f>IF(COUNTIFS('United Data'!$A$3:$A$3390,O$1,'United Data'!$C$3:$C$3390,$A1053,'United Data'!$B$3:$B$3390,"&lt;&gt;Off-street")&gt;0,1,0)</f>
        <v>0</v>
      </c>
      <c r="P1053">
        <f>IF(COUNTIFS('United Data'!$A$3:$A$3390,P$1,'United Data'!$C$3:$C$3390,$A1053,'United Data'!$B$3:$B$3390,"&lt;&gt;Off-street")&gt;0,1,0)</f>
        <v>0</v>
      </c>
      <c r="Q1053">
        <f>IF(COUNTIFS('United Data'!$A$3:$A$3390,Q$1,'United Data'!$C$3:$C$3390,$A1053,'United Data'!$B$3:$B$3390,"&lt;&gt;Off-street")&gt;0,1,0)</f>
        <v>0</v>
      </c>
      <c r="R1053">
        <f>IF(COUNTIFS('United Data'!$A$3:$A$3390,R$1,'United Data'!$C$3:$C$3390,$A1053,'United Data'!$B$3:$B$3390,"&lt;&gt;Off-street")&gt;0,1,0)</f>
        <v>0</v>
      </c>
      <c r="S1053">
        <f t="shared" si="32"/>
        <v>1</v>
      </c>
      <c r="T1053">
        <f t="shared" si="33"/>
        <v>1</v>
      </c>
    </row>
    <row r="1054" spans="1:20" x14ac:dyDescent="0.2">
      <c r="A1054" t="s">
        <v>1264</v>
      </c>
      <c r="B1054">
        <f>IF(COUNTIFS('United Data'!$A$3:$A$3390,B$1,'United Data'!$C$3:$C$3390,$A1054,'United Data'!$B$3:$B$3390,"&lt;&gt;Off-street")&gt;0,1,0)</f>
        <v>0</v>
      </c>
      <c r="C1054">
        <f>IF(COUNTIFS('United Data'!$A$3:$A$3390,C$1,'United Data'!$C$3:$C$3390,$A1054,'United Data'!$B$3:$B$3390,"&lt;&gt;Off-street")&gt;0,1,0)</f>
        <v>0</v>
      </c>
      <c r="D1054">
        <f>IF(COUNTIFS('United Data'!$A$3:$A$3390,D$1,'United Data'!$C$3:$C$3390,$A1054,'United Data'!$B$3:$B$3390,"&lt;&gt;Off-street")&gt;0,1,0)</f>
        <v>1</v>
      </c>
      <c r="E1054">
        <f>IF(COUNTIFS('United Data'!$A$3:$A$3390,E$1,'United Data'!$C$3:$C$3390,$A1054,'United Data'!$B$3:$B$3390,"&lt;&gt;Off-street")&gt;0,1,0)</f>
        <v>0</v>
      </c>
      <c r="F1054">
        <f>IF(COUNTIFS('United Data'!$A$3:$A$3390,F$1,'United Data'!$C$3:$C$3390,$A1054,'United Data'!$B$3:$B$3390,"&lt;&gt;Off-street")&gt;0,1,0)</f>
        <v>0</v>
      </c>
      <c r="G1054">
        <f>IF(COUNTIFS('United Data'!$A$3:$A$3390,G$1,'United Data'!$C$3:$C$3390,$A1054,'United Data'!$B$3:$B$3390,"&lt;&gt;Off-street")&gt;0,1,0)</f>
        <v>0</v>
      </c>
      <c r="H1054">
        <f>IF(COUNTIFS('United Data'!$A$3:$A$3390,H$1,'United Data'!$C$3:$C$3390,$A1054,'United Data'!$B$3:$B$3390,"&lt;&gt;Off-street")&gt;0,1,0)</f>
        <v>0</v>
      </c>
      <c r="I1054">
        <f>IF(COUNTIFS('United Data'!$A$3:$A$3390,I$1,'United Data'!$C$3:$C$3390,$A1054,'United Data'!$B$3:$B$3390,"&lt;&gt;Off-street")&gt;0,1,0)</f>
        <v>0</v>
      </c>
      <c r="J1054">
        <f>IF(COUNTIFS('United Data'!$A$3:$A$3390,J$1,'United Data'!$C$3:$C$3390,$A1054,'United Data'!$B$3:$B$3390,"&lt;&gt;Off-street")&gt;0,1,0)</f>
        <v>0</v>
      </c>
      <c r="K1054">
        <f>IF(COUNTIFS('United Data'!$A$3:$A$3390,K$1,'United Data'!$C$3:$C$3390,$A1054,'United Data'!$B$3:$B$3390,"&lt;&gt;Off-street")&gt;0,1,0)</f>
        <v>0</v>
      </c>
      <c r="L1054">
        <f>IF(COUNTIFS('United Data'!$A$3:$A$3390,L$1,'United Data'!$C$3:$C$3390,$A1054,'United Data'!$B$3:$B$3390,"&lt;&gt;Off-street")&gt;0,1,0)</f>
        <v>0</v>
      </c>
      <c r="M1054">
        <f>IF(COUNTIFS('United Data'!$A$3:$A$3390,M$1,'United Data'!$C$3:$C$3390,$A1054,'United Data'!$B$3:$B$3390,"&lt;&gt;Off-street")&gt;0,1,0)</f>
        <v>0</v>
      </c>
      <c r="N1054">
        <f>IF(COUNTIFS('United Data'!$A$3:$A$3390,N$1,'United Data'!$C$3:$C$3390,$A1054,'United Data'!$B$3:$B$3390,"&lt;&gt;Off-street")&gt;0,1,0)</f>
        <v>0</v>
      </c>
      <c r="O1054">
        <f>IF(COUNTIFS('United Data'!$A$3:$A$3390,O$1,'United Data'!$C$3:$C$3390,$A1054,'United Data'!$B$3:$B$3390,"&lt;&gt;Off-street")&gt;0,1,0)</f>
        <v>0</v>
      </c>
      <c r="P1054">
        <f>IF(COUNTIFS('United Data'!$A$3:$A$3390,P$1,'United Data'!$C$3:$C$3390,$A1054,'United Data'!$B$3:$B$3390,"&lt;&gt;Off-street")&gt;0,1,0)</f>
        <v>0</v>
      </c>
      <c r="Q1054">
        <f>IF(COUNTIFS('United Data'!$A$3:$A$3390,Q$1,'United Data'!$C$3:$C$3390,$A1054,'United Data'!$B$3:$B$3390,"&lt;&gt;Off-street")&gt;0,1,0)</f>
        <v>0</v>
      </c>
      <c r="R1054">
        <f>IF(COUNTIFS('United Data'!$A$3:$A$3390,R$1,'United Data'!$C$3:$C$3390,$A1054,'United Data'!$B$3:$B$3390,"&lt;&gt;Off-street")&gt;0,1,0)</f>
        <v>0</v>
      </c>
      <c r="S1054">
        <f t="shared" si="32"/>
        <v>1</v>
      </c>
      <c r="T1054">
        <f t="shared" si="33"/>
        <v>1</v>
      </c>
    </row>
    <row r="1055" spans="1:20" x14ac:dyDescent="0.2">
      <c r="A1055" t="s">
        <v>1265</v>
      </c>
      <c r="B1055">
        <f>IF(COUNTIFS('United Data'!$A$3:$A$3390,B$1,'United Data'!$C$3:$C$3390,$A1055,'United Data'!$B$3:$B$3390,"&lt;&gt;Off-street")&gt;0,1,0)</f>
        <v>0</v>
      </c>
      <c r="C1055">
        <f>IF(COUNTIFS('United Data'!$A$3:$A$3390,C$1,'United Data'!$C$3:$C$3390,$A1055,'United Data'!$B$3:$B$3390,"&lt;&gt;Off-street")&gt;0,1,0)</f>
        <v>0</v>
      </c>
      <c r="D1055">
        <f>IF(COUNTIFS('United Data'!$A$3:$A$3390,D$1,'United Data'!$C$3:$C$3390,$A1055,'United Data'!$B$3:$B$3390,"&lt;&gt;Off-street")&gt;0,1,0)</f>
        <v>1</v>
      </c>
      <c r="E1055">
        <f>IF(COUNTIFS('United Data'!$A$3:$A$3390,E$1,'United Data'!$C$3:$C$3390,$A1055,'United Data'!$B$3:$B$3390,"&lt;&gt;Off-street")&gt;0,1,0)</f>
        <v>0</v>
      </c>
      <c r="F1055">
        <f>IF(COUNTIFS('United Data'!$A$3:$A$3390,F$1,'United Data'!$C$3:$C$3390,$A1055,'United Data'!$B$3:$B$3390,"&lt;&gt;Off-street")&gt;0,1,0)</f>
        <v>1</v>
      </c>
      <c r="G1055">
        <f>IF(COUNTIFS('United Data'!$A$3:$A$3390,G$1,'United Data'!$C$3:$C$3390,$A1055,'United Data'!$B$3:$B$3390,"&lt;&gt;Off-street")&gt;0,1,0)</f>
        <v>1</v>
      </c>
      <c r="H1055">
        <f>IF(COUNTIFS('United Data'!$A$3:$A$3390,H$1,'United Data'!$C$3:$C$3390,$A1055,'United Data'!$B$3:$B$3390,"&lt;&gt;Off-street")&gt;0,1,0)</f>
        <v>0</v>
      </c>
      <c r="I1055">
        <f>IF(COUNTIFS('United Data'!$A$3:$A$3390,I$1,'United Data'!$C$3:$C$3390,$A1055,'United Data'!$B$3:$B$3390,"&lt;&gt;Off-street")&gt;0,1,0)</f>
        <v>1</v>
      </c>
      <c r="J1055">
        <f>IF(COUNTIFS('United Data'!$A$3:$A$3390,J$1,'United Data'!$C$3:$C$3390,$A1055,'United Data'!$B$3:$B$3390,"&lt;&gt;Off-street")&gt;0,1,0)</f>
        <v>0</v>
      </c>
      <c r="K1055">
        <f>IF(COUNTIFS('United Data'!$A$3:$A$3390,K$1,'United Data'!$C$3:$C$3390,$A1055,'United Data'!$B$3:$B$3390,"&lt;&gt;Off-street")&gt;0,1,0)</f>
        <v>0</v>
      </c>
      <c r="L1055">
        <f>IF(COUNTIFS('United Data'!$A$3:$A$3390,L$1,'United Data'!$C$3:$C$3390,$A1055,'United Data'!$B$3:$B$3390,"&lt;&gt;Off-street")&gt;0,1,0)</f>
        <v>1</v>
      </c>
      <c r="M1055">
        <f>IF(COUNTIFS('United Data'!$A$3:$A$3390,M$1,'United Data'!$C$3:$C$3390,$A1055,'United Data'!$B$3:$B$3390,"&lt;&gt;Off-street")&gt;0,1,0)</f>
        <v>0</v>
      </c>
      <c r="N1055">
        <f>IF(COUNTIFS('United Data'!$A$3:$A$3390,N$1,'United Data'!$C$3:$C$3390,$A1055,'United Data'!$B$3:$B$3390,"&lt;&gt;Off-street")&gt;0,1,0)</f>
        <v>0</v>
      </c>
      <c r="O1055">
        <f>IF(COUNTIFS('United Data'!$A$3:$A$3390,O$1,'United Data'!$C$3:$C$3390,$A1055,'United Data'!$B$3:$B$3390,"&lt;&gt;Off-street")&gt;0,1,0)</f>
        <v>0</v>
      </c>
      <c r="P1055">
        <f>IF(COUNTIFS('United Data'!$A$3:$A$3390,P$1,'United Data'!$C$3:$C$3390,$A1055,'United Data'!$B$3:$B$3390,"&lt;&gt;Off-street")&gt;0,1,0)</f>
        <v>0</v>
      </c>
      <c r="Q1055">
        <f>IF(COUNTIFS('United Data'!$A$3:$A$3390,Q$1,'United Data'!$C$3:$C$3390,$A1055,'United Data'!$B$3:$B$3390,"&lt;&gt;Off-street")&gt;0,1,0)</f>
        <v>1</v>
      </c>
      <c r="R1055">
        <f>IF(COUNTIFS('United Data'!$A$3:$A$3390,R$1,'United Data'!$C$3:$C$3390,$A1055,'United Data'!$B$3:$B$3390,"&lt;&gt;Off-street")&gt;0,1,0)</f>
        <v>1</v>
      </c>
      <c r="S1055">
        <f t="shared" si="32"/>
        <v>7</v>
      </c>
      <c r="T1055">
        <f t="shared" si="33"/>
        <v>5</v>
      </c>
    </row>
    <row r="1056" spans="1:20" x14ac:dyDescent="0.2">
      <c r="A1056" t="s">
        <v>1266</v>
      </c>
      <c r="B1056">
        <f>IF(COUNTIFS('United Data'!$A$3:$A$3390,B$1,'United Data'!$C$3:$C$3390,$A1056,'United Data'!$B$3:$B$3390,"&lt;&gt;Off-street")&gt;0,1,0)</f>
        <v>0</v>
      </c>
      <c r="C1056">
        <f>IF(COUNTIFS('United Data'!$A$3:$A$3390,C$1,'United Data'!$C$3:$C$3390,$A1056,'United Data'!$B$3:$B$3390,"&lt;&gt;Off-street")&gt;0,1,0)</f>
        <v>0</v>
      </c>
      <c r="D1056">
        <f>IF(COUNTIFS('United Data'!$A$3:$A$3390,D$1,'United Data'!$C$3:$C$3390,$A1056,'United Data'!$B$3:$B$3390,"&lt;&gt;Off-street")&gt;0,1,0)</f>
        <v>1</v>
      </c>
      <c r="E1056">
        <f>IF(COUNTIFS('United Data'!$A$3:$A$3390,E$1,'United Data'!$C$3:$C$3390,$A1056,'United Data'!$B$3:$B$3390,"&lt;&gt;Off-street")&gt;0,1,0)</f>
        <v>0</v>
      </c>
      <c r="F1056">
        <f>IF(COUNTIFS('United Data'!$A$3:$A$3390,F$1,'United Data'!$C$3:$C$3390,$A1056,'United Data'!$B$3:$B$3390,"&lt;&gt;Off-street")&gt;0,1,0)</f>
        <v>0</v>
      </c>
      <c r="G1056">
        <f>IF(COUNTIFS('United Data'!$A$3:$A$3390,G$1,'United Data'!$C$3:$C$3390,$A1056,'United Data'!$B$3:$B$3390,"&lt;&gt;Off-street")&gt;0,1,0)</f>
        <v>0</v>
      </c>
      <c r="H1056">
        <f>IF(COUNTIFS('United Data'!$A$3:$A$3390,H$1,'United Data'!$C$3:$C$3390,$A1056,'United Data'!$B$3:$B$3390,"&lt;&gt;Off-street")&gt;0,1,0)</f>
        <v>0</v>
      </c>
      <c r="I1056">
        <f>IF(COUNTIFS('United Data'!$A$3:$A$3390,I$1,'United Data'!$C$3:$C$3390,$A1056,'United Data'!$B$3:$B$3390,"&lt;&gt;Off-street")&gt;0,1,0)</f>
        <v>0</v>
      </c>
      <c r="J1056">
        <f>IF(COUNTIFS('United Data'!$A$3:$A$3390,J$1,'United Data'!$C$3:$C$3390,$A1056,'United Data'!$B$3:$B$3390,"&lt;&gt;Off-street")&gt;0,1,0)</f>
        <v>0</v>
      </c>
      <c r="K1056">
        <f>IF(COUNTIFS('United Data'!$A$3:$A$3390,K$1,'United Data'!$C$3:$C$3390,$A1056,'United Data'!$B$3:$B$3390,"&lt;&gt;Off-street")&gt;0,1,0)</f>
        <v>0</v>
      </c>
      <c r="L1056">
        <f>IF(COUNTIFS('United Data'!$A$3:$A$3390,L$1,'United Data'!$C$3:$C$3390,$A1056,'United Data'!$B$3:$B$3390,"&lt;&gt;Off-street")&gt;0,1,0)</f>
        <v>0</v>
      </c>
      <c r="M1056">
        <f>IF(COUNTIFS('United Data'!$A$3:$A$3390,M$1,'United Data'!$C$3:$C$3390,$A1056,'United Data'!$B$3:$B$3390,"&lt;&gt;Off-street")&gt;0,1,0)</f>
        <v>0</v>
      </c>
      <c r="N1056">
        <f>IF(COUNTIFS('United Data'!$A$3:$A$3390,N$1,'United Data'!$C$3:$C$3390,$A1056,'United Data'!$B$3:$B$3390,"&lt;&gt;Off-street")&gt;0,1,0)</f>
        <v>0</v>
      </c>
      <c r="O1056">
        <f>IF(COUNTIFS('United Data'!$A$3:$A$3390,O$1,'United Data'!$C$3:$C$3390,$A1056,'United Data'!$B$3:$B$3390,"&lt;&gt;Off-street")&gt;0,1,0)</f>
        <v>0</v>
      </c>
      <c r="P1056">
        <f>IF(COUNTIFS('United Data'!$A$3:$A$3390,P$1,'United Data'!$C$3:$C$3390,$A1056,'United Data'!$B$3:$B$3390,"&lt;&gt;Off-street")&gt;0,1,0)</f>
        <v>0</v>
      </c>
      <c r="Q1056">
        <f>IF(COUNTIFS('United Data'!$A$3:$A$3390,Q$1,'United Data'!$C$3:$C$3390,$A1056,'United Data'!$B$3:$B$3390,"&lt;&gt;Off-street")&gt;0,1,0)</f>
        <v>0</v>
      </c>
      <c r="R1056">
        <f>IF(COUNTIFS('United Data'!$A$3:$A$3390,R$1,'United Data'!$C$3:$C$3390,$A1056,'United Data'!$B$3:$B$3390,"&lt;&gt;Off-street")&gt;0,1,0)</f>
        <v>0</v>
      </c>
      <c r="S1056">
        <f t="shared" si="32"/>
        <v>1</v>
      </c>
      <c r="T1056">
        <f t="shared" si="33"/>
        <v>1</v>
      </c>
    </row>
    <row r="1057" spans="1:20" x14ac:dyDescent="0.2">
      <c r="A1057" t="s">
        <v>1267</v>
      </c>
      <c r="B1057">
        <f>IF(COUNTIFS('United Data'!$A$3:$A$3390,B$1,'United Data'!$C$3:$C$3390,$A1057,'United Data'!$B$3:$B$3390,"&lt;&gt;Off-street")&gt;0,1,0)</f>
        <v>0</v>
      </c>
      <c r="C1057">
        <f>IF(COUNTIFS('United Data'!$A$3:$A$3390,C$1,'United Data'!$C$3:$C$3390,$A1057,'United Data'!$B$3:$B$3390,"&lt;&gt;Off-street")&gt;0,1,0)</f>
        <v>0</v>
      </c>
      <c r="D1057">
        <f>IF(COUNTIFS('United Data'!$A$3:$A$3390,D$1,'United Data'!$C$3:$C$3390,$A1057,'United Data'!$B$3:$B$3390,"&lt;&gt;Off-street")&gt;0,1,0)</f>
        <v>1</v>
      </c>
      <c r="E1057">
        <f>IF(COUNTIFS('United Data'!$A$3:$A$3390,E$1,'United Data'!$C$3:$C$3390,$A1057,'United Data'!$B$3:$B$3390,"&lt;&gt;Off-street")&gt;0,1,0)</f>
        <v>0</v>
      </c>
      <c r="F1057">
        <f>IF(COUNTIFS('United Data'!$A$3:$A$3390,F$1,'United Data'!$C$3:$C$3390,$A1057,'United Data'!$B$3:$B$3390,"&lt;&gt;Off-street")&gt;0,1,0)</f>
        <v>0</v>
      </c>
      <c r="G1057">
        <f>IF(COUNTIFS('United Data'!$A$3:$A$3390,G$1,'United Data'!$C$3:$C$3390,$A1057,'United Data'!$B$3:$B$3390,"&lt;&gt;Off-street")&gt;0,1,0)</f>
        <v>0</v>
      </c>
      <c r="H1057">
        <f>IF(COUNTIFS('United Data'!$A$3:$A$3390,H$1,'United Data'!$C$3:$C$3390,$A1057,'United Data'!$B$3:$B$3390,"&lt;&gt;Off-street")&gt;0,1,0)</f>
        <v>0</v>
      </c>
      <c r="I1057">
        <f>IF(COUNTIFS('United Data'!$A$3:$A$3390,I$1,'United Data'!$C$3:$C$3390,$A1057,'United Data'!$B$3:$B$3390,"&lt;&gt;Off-street")&gt;0,1,0)</f>
        <v>0</v>
      </c>
      <c r="J1057">
        <f>IF(COUNTIFS('United Data'!$A$3:$A$3390,J$1,'United Data'!$C$3:$C$3390,$A1057,'United Data'!$B$3:$B$3390,"&lt;&gt;Off-street")&gt;0,1,0)</f>
        <v>0</v>
      </c>
      <c r="K1057">
        <f>IF(COUNTIFS('United Data'!$A$3:$A$3390,K$1,'United Data'!$C$3:$C$3390,$A1057,'United Data'!$B$3:$B$3390,"&lt;&gt;Off-street")&gt;0,1,0)</f>
        <v>0</v>
      </c>
      <c r="L1057">
        <f>IF(COUNTIFS('United Data'!$A$3:$A$3390,L$1,'United Data'!$C$3:$C$3390,$A1057,'United Data'!$B$3:$B$3390,"&lt;&gt;Off-street")&gt;0,1,0)</f>
        <v>0</v>
      </c>
      <c r="M1057">
        <f>IF(COUNTIFS('United Data'!$A$3:$A$3390,M$1,'United Data'!$C$3:$C$3390,$A1057,'United Data'!$B$3:$B$3390,"&lt;&gt;Off-street")&gt;0,1,0)</f>
        <v>0</v>
      </c>
      <c r="N1057">
        <f>IF(COUNTIFS('United Data'!$A$3:$A$3390,N$1,'United Data'!$C$3:$C$3390,$A1057,'United Data'!$B$3:$B$3390,"&lt;&gt;Off-street")&gt;0,1,0)</f>
        <v>0</v>
      </c>
      <c r="O1057">
        <f>IF(COUNTIFS('United Data'!$A$3:$A$3390,O$1,'United Data'!$C$3:$C$3390,$A1057,'United Data'!$B$3:$B$3390,"&lt;&gt;Off-street")&gt;0,1,0)</f>
        <v>0</v>
      </c>
      <c r="P1057">
        <f>IF(COUNTIFS('United Data'!$A$3:$A$3390,P$1,'United Data'!$C$3:$C$3390,$A1057,'United Data'!$B$3:$B$3390,"&lt;&gt;Off-street")&gt;0,1,0)</f>
        <v>0</v>
      </c>
      <c r="Q1057">
        <f>IF(COUNTIFS('United Data'!$A$3:$A$3390,Q$1,'United Data'!$C$3:$C$3390,$A1057,'United Data'!$B$3:$B$3390,"&lt;&gt;Off-street")&gt;0,1,0)</f>
        <v>0</v>
      </c>
      <c r="R1057">
        <f>IF(COUNTIFS('United Data'!$A$3:$A$3390,R$1,'United Data'!$C$3:$C$3390,$A1057,'United Data'!$B$3:$B$3390,"&lt;&gt;Off-street")&gt;0,1,0)</f>
        <v>0</v>
      </c>
      <c r="S1057">
        <f t="shared" si="32"/>
        <v>1</v>
      </c>
      <c r="T1057">
        <f t="shared" si="33"/>
        <v>1</v>
      </c>
    </row>
    <row r="1058" spans="1:20" x14ac:dyDescent="0.2">
      <c r="A1058" t="s">
        <v>1268</v>
      </c>
      <c r="B1058">
        <f>IF(COUNTIFS('United Data'!$A$3:$A$3390,B$1,'United Data'!$C$3:$C$3390,$A1058,'United Data'!$B$3:$B$3390,"&lt;&gt;Off-street")&gt;0,1,0)</f>
        <v>0</v>
      </c>
      <c r="C1058">
        <f>IF(COUNTIFS('United Data'!$A$3:$A$3390,C$1,'United Data'!$C$3:$C$3390,$A1058,'United Data'!$B$3:$B$3390,"&lt;&gt;Off-street")&gt;0,1,0)</f>
        <v>0</v>
      </c>
      <c r="D1058">
        <f>IF(COUNTIFS('United Data'!$A$3:$A$3390,D$1,'United Data'!$C$3:$C$3390,$A1058,'United Data'!$B$3:$B$3390,"&lt;&gt;Off-street")&gt;0,1,0)</f>
        <v>1</v>
      </c>
      <c r="E1058">
        <f>IF(COUNTIFS('United Data'!$A$3:$A$3390,E$1,'United Data'!$C$3:$C$3390,$A1058,'United Data'!$B$3:$B$3390,"&lt;&gt;Off-street")&gt;0,1,0)</f>
        <v>0</v>
      </c>
      <c r="F1058">
        <f>IF(COUNTIFS('United Data'!$A$3:$A$3390,F$1,'United Data'!$C$3:$C$3390,$A1058,'United Data'!$B$3:$B$3390,"&lt;&gt;Off-street")&gt;0,1,0)</f>
        <v>0</v>
      </c>
      <c r="G1058">
        <f>IF(COUNTIFS('United Data'!$A$3:$A$3390,G$1,'United Data'!$C$3:$C$3390,$A1058,'United Data'!$B$3:$B$3390,"&lt;&gt;Off-street")&gt;0,1,0)</f>
        <v>0</v>
      </c>
      <c r="H1058">
        <f>IF(COUNTIFS('United Data'!$A$3:$A$3390,H$1,'United Data'!$C$3:$C$3390,$A1058,'United Data'!$B$3:$B$3390,"&lt;&gt;Off-street")&gt;0,1,0)</f>
        <v>0</v>
      </c>
      <c r="I1058">
        <f>IF(COUNTIFS('United Data'!$A$3:$A$3390,I$1,'United Data'!$C$3:$C$3390,$A1058,'United Data'!$B$3:$B$3390,"&lt;&gt;Off-street")&gt;0,1,0)</f>
        <v>0</v>
      </c>
      <c r="J1058">
        <f>IF(COUNTIFS('United Data'!$A$3:$A$3390,J$1,'United Data'!$C$3:$C$3390,$A1058,'United Data'!$B$3:$B$3390,"&lt;&gt;Off-street")&gt;0,1,0)</f>
        <v>0</v>
      </c>
      <c r="K1058">
        <f>IF(COUNTIFS('United Data'!$A$3:$A$3390,K$1,'United Data'!$C$3:$C$3390,$A1058,'United Data'!$B$3:$B$3390,"&lt;&gt;Off-street")&gt;0,1,0)</f>
        <v>0</v>
      </c>
      <c r="L1058">
        <f>IF(COUNTIFS('United Data'!$A$3:$A$3390,L$1,'United Data'!$C$3:$C$3390,$A1058,'United Data'!$B$3:$B$3390,"&lt;&gt;Off-street")&gt;0,1,0)</f>
        <v>0</v>
      </c>
      <c r="M1058">
        <f>IF(COUNTIFS('United Data'!$A$3:$A$3390,M$1,'United Data'!$C$3:$C$3390,$A1058,'United Data'!$B$3:$B$3390,"&lt;&gt;Off-street")&gt;0,1,0)</f>
        <v>0</v>
      </c>
      <c r="N1058">
        <f>IF(COUNTIFS('United Data'!$A$3:$A$3390,N$1,'United Data'!$C$3:$C$3390,$A1058,'United Data'!$B$3:$B$3390,"&lt;&gt;Off-street")&gt;0,1,0)</f>
        <v>0</v>
      </c>
      <c r="O1058">
        <f>IF(COUNTIFS('United Data'!$A$3:$A$3390,O$1,'United Data'!$C$3:$C$3390,$A1058,'United Data'!$B$3:$B$3390,"&lt;&gt;Off-street")&gt;0,1,0)</f>
        <v>0</v>
      </c>
      <c r="P1058">
        <f>IF(COUNTIFS('United Data'!$A$3:$A$3390,P$1,'United Data'!$C$3:$C$3390,$A1058,'United Data'!$B$3:$B$3390,"&lt;&gt;Off-street")&gt;0,1,0)</f>
        <v>0</v>
      </c>
      <c r="Q1058">
        <f>IF(COUNTIFS('United Data'!$A$3:$A$3390,Q$1,'United Data'!$C$3:$C$3390,$A1058,'United Data'!$B$3:$B$3390,"&lt;&gt;Off-street")&gt;0,1,0)</f>
        <v>0</v>
      </c>
      <c r="R1058">
        <f>IF(COUNTIFS('United Data'!$A$3:$A$3390,R$1,'United Data'!$C$3:$C$3390,$A1058,'United Data'!$B$3:$B$3390,"&lt;&gt;Off-street")&gt;0,1,0)</f>
        <v>0</v>
      </c>
      <c r="S1058">
        <f t="shared" si="32"/>
        <v>1</v>
      </c>
      <c r="T1058">
        <f t="shared" si="33"/>
        <v>1</v>
      </c>
    </row>
    <row r="1059" spans="1:20" x14ac:dyDescent="0.2">
      <c r="A1059" t="s">
        <v>1269</v>
      </c>
      <c r="B1059">
        <f>IF(COUNTIFS('United Data'!$A$3:$A$3390,B$1,'United Data'!$C$3:$C$3390,$A1059,'United Data'!$B$3:$B$3390,"&lt;&gt;Off-street")&gt;0,1,0)</f>
        <v>0</v>
      </c>
      <c r="C1059">
        <f>IF(COUNTIFS('United Data'!$A$3:$A$3390,C$1,'United Data'!$C$3:$C$3390,$A1059,'United Data'!$B$3:$B$3390,"&lt;&gt;Off-street")&gt;0,1,0)</f>
        <v>0</v>
      </c>
      <c r="D1059">
        <f>IF(COUNTIFS('United Data'!$A$3:$A$3390,D$1,'United Data'!$C$3:$C$3390,$A1059,'United Data'!$B$3:$B$3390,"&lt;&gt;Off-street")&gt;0,1,0)</f>
        <v>1</v>
      </c>
      <c r="E1059">
        <f>IF(COUNTIFS('United Data'!$A$3:$A$3390,E$1,'United Data'!$C$3:$C$3390,$A1059,'United Data'!$B$3:$B$3390,"&lt;&gt;Off-street")&gt;0,1,0)</f>
        <v>0</v>
      </c>
      <c r="F1059">
        <f>IF(COUNTIFS('United Data'!$A$3:$A$3390,F$1,'United Data'!$C$3:$C$3390,$A1059,'United Data'!$B$3:$B$3390,"&lt;&gt;Off-street")&gt;0,1,0)</f>
        <v>0</v>
      </c>
      <c r="G1059">
        <f>IF(COUNTIFS('United Data'!$A$3:$A$3390,G$1,'United Data'!$C$3:$C$3390,$A1059,'United Data'!$B$3:$B$3390,"&lt;&gt;Off-street")&gt;0,1,0)</f>
        <v>0</v>
      </c>
      <c r="H1059">
        <f>IF(COUNTIFS('United Data'!$A$3:$A$3390,H$1,'United Data'!$C$3:$C$3390,$A1059,'United Data'!$B$3:$B$3390,"&lt;&gt;Off-street")&gt;0,1,0)</f>
        <v>0</v>
      </c>
      <c r="I1059">
        <f>IF(COUNTIFS('United Data'!$A$3:$A$3390,I$1,'United Data'!$C$3:$C$3390,$A1059,'United Data'!$B$3:$B$3390,"&lt;&gt;Off-street")&gt;0,1,0)</f>
        <v>0</v>
      </c>
      <c r="J1059">
        <f>IF(COUNTIFS('United Data'!$A$3:$A$3390,J$1,'United Data'!$C$3:$C$3390,$A1059,'United Data'!$B$3:$B$3390,"&lt;&gt;Off-street")&gt;0,1,0)</f>
        <v>0</v>
      </c>
      <c r="K1059">
        <f>IF(COUNTIFS('United Data'!$A$3:$A$3390,K$1,'United Data'!$C$3:$C$3390,$A1059,'United Data'!$B$3:$B$3390,"&lt;&gt;Off-street")&gt;0,1,0)</f>
        <v>0</v>
      </c>
      <c r="L1059">
        <f>IF(COUNTIFS('United Data'!$A$3:$A$3390,L$1,'United Data'!$C$3:$C$3390,$A1059,'United Data'!$B$3:$B$3390,"&lt;&gt;Off-street")&gt;0,1,0)</f>
        <v>0</v>
      </c>
      <c r="M1059">
        <f>IF(COUNTIFS('United Data'!$A$3:$A$3390,M$1,'United Data'!$C$3:$C$3390,$A1059,'United Data'!$B$3:$B$3390,"&lt;&gt;Off-street")&gt;0,1,0)</f>
        <v>0</v>
      </c>
      <c r="N1059">
        <f>IF(COUNTIFS('United Data'!$A$3:$A$3390,N$1,'United Data'!$C$3:$C$3390,$A1059,'United Data'!$B$3:$B$3390,"&lt;&gt;Off-street")&gt;0,1,0)</f>
        <v>0</v>
      </c>
      <c r="O1059">
        <f>IF(COUNTIFS('United Data'!$A$3:$A$3390,O$1,'United Data'!$C$3:$C$3390,$A1059,'United Data'!$B$3:$B$3390,"&lt;&gt;Off-street")&gt;0,1,0)</f>
        <v>0</v>
      </c>
      <c r="P1059">
        <f>IF(COUNTIFS('United Data'!$A$3:$A$3390,P$1,'United Data'!$C$3:$C$3390,$A1059,'United Data'!$B$3:$B$3390,"&lt;&gt;Off-street")&gt;0,1,0)</f>
        <v>0</v>
      </c>
      <c r="Q1059">
        <f>IF(COUNTIFS('United Data'!$A$3:$A$3390,Q$1,'United Data'!$C$3:$C$3390,$A1059,'United Data'!$B$3:$B$3390,"&lt;&gt;Off-street")&gt;0,1,0)</f>
        <v>0</v>
      </c>
      <c r="R1059">
        <f>IF(COUNTIFS('United Data'!$A$3:$A$3390,R$1,'United Data'!$C$3:$C$3390,$A1059,'United Data'!$B$3:$B$3390,"&lt;&gt;Off-street")&gt;0,1,0)</f>
        <v>0</v>
      </c>
      <c r="S1059">
        <f t="shared" si="32"/>
        <v>1</v>
      </c>
      <c r="T1059">
        <f t="shared" si="33"/>
        <v>1</v>
      </c>
    </row>
    <row r="1060" spans="1:20" x14ac:dyDescent="0.2">
      <c r="A1060" t="s">
        <v>1270</v>
      </c>
      <c r="B1060">
        <f>IF(COUNTIFS('United Data'!$A$3:$A$3390,B$1,'United Data'!$C$3:$C$3390,$A1060,'United Data'!$B$3:$B$3390,"&lt;&gt;Off-street")&gt;0,1,0)</f>
        <v>0</v>
      </c>
      <c r="C1060">
        <f>IF(COUNTIFS('United Data'!$A$3:$A$3390,C$1,'United Data'!$C$3:$C$3390,$A1060,'United Data'!$B$3:$B$3390,"&lt;&gt;Off-street")&gt;0,1,0)</f>
        <v>0</v>
      </c>
      <c r="D1060">
        <f>IF(COUNTIFS('United Data'!$A$3:$A$3390,D$1,'United Data'!$C$3:$C$3390,$A1060,'United Data'!$B$3:$B$3390,"&lt;&gt;Off-street")&gt;0,1,0)</f>
        <v>1</v>
      </c>
      <c r="E1060">
        <f>IF(COUNTIFS('United Data'!$A$3:$A$3390,E$1,'United Data'!$C$3:$C$3390,$A1060,'United Data'!$B$3:$B$3390,"&lt;&gt;Off-street")&gt;0,1,0)</f>
        <v>0</v>
      </c>
      <c r="F1060">
        <f>IF(COUNTIFS('United Data'!$A$3:$A$3390,F$1,'United Data'!$C$3:$C$3390,$A1060,'United Data'!$B$3:$B$3390,"&lt;&gt;Off-street")&gt;0,1,0)</f>
        <v>0</v>
      </c>
      <c r="G1060">
        <f>IF(COUNTIFS('United Data'!$A$3:$A$3390,G$1,'United Data'!$C$3:$C$3390,$A1060,'United Data'!$B$3:$B$3390,"&lt;&gt;Off-street")&gt;0,1,0)</f>
        <v>0</v>
      </c>
      <c r="H1060">
        <f>IF(COUNTIFS('United Data'!$A$3:$A$3390,H$1,'United Data'!$C$3:$C$3390,$A1060,'United Data'!$B$3:$B$3390,"&lt;&gt;Off-street")&gt;0,1,0)</f>
        <v>0</v>
      </c>
      <c r="I1060">
        <f>IF(COUNTIFS('United Data'!$A$3:$A$3390,I$1,'United Data'!$C$3:$C$3390,$A1060,'United Data'!$B$3:$B$3390,"&lt;&gt;Off-street")&gt;0,1,0)</f>
        <v>0</v>
      </c>
      <c r="J1060">
        <f>IF(COUNTIFS('United Data'!$A$3:$A$3390,J$1,'United Data'!$C$3:$C$3390,$A1060,'United Data'!$B$3:$B$3390,"&lt;&gt;Off-street")&gt;0,1,0)</f>
        <v>0</v>
      </c>
      <c r="K1060">
        <f>IF(COUNTIFS('United Data'!$A$3:$A$3390,K$1,'United Data'!$C$3:$C$3390,$A1060,'United Data'!$B$3:$B$3390,"&lt;&gt;Off-street")&gt;0,1,0)</f>
        <v>0</v>
      </c>
      <c r="L1060">
        <f>IF(COUNTIFS('United Data'!$A$3:$A$3390,L$1,'United Data'!$C$3:$C$3390,$A1060,'United Data'!$B$3:$B$3390,"&lt;&gt;Off-street")&gt;0,1,0)</f>
        <v>0</v>
      </c>
      <c r="M1060">
        <f>IF(COUNTIFS('United Data'!$A$3:$A$3390,M$1,'United Data'!$C$3:$C$3390,$A1060,'United Data'!$B$3:$B$3390,"&lt;&gt;Off-street")&gt;0,1,0)</f>
        <v>0</v>
      </c>
      <c r="N1060">
        <f>IF(COUNTIFS('United Data'!$A$3:$A$3390,N$1,'United Data'!$C$3:$C$3390,$A1060,'United Data'!$B$3:$B$3390,"&lt;&gt;Off-street")&gt;0,1,0)</f>
        <v>0</v>
      </c>
      <c r="O1060">
        <f>IF(COUNTIFS('United Data'!$A$3:$A$3390,O$1,'United Data'!$C$3:$C$3390,$A1060,'United Data'!$B$3:$B$3390,"&lt;&gt;Off-street")&gt;0,1,0)</f>
        <v>0</v>
      </c>
      <c r="P1060">
        <f>IF(COUNTIFS('United Data'!$A$3:$A$3390,P$1,'United Data'!$C$3:$C$3390,$A1060,'United Data'!$B$3:$B$3390,"&lt;&gt;Off-street")&gt;0,1,0)</f>
        <v>0</v>
      </c>
      <c r="Q1060">
        <f>IF(COUNTIFS('United Data'!$A$3:$A$3390,Q$1,'United Data'!$C$3:$C$3390,$A1060,'United Data'!$B$3:$B$3390,"&lt;&gt;Off-street")&gt;0,1,0)</f>
        <v>0</v>
      </c>
      <c r="R1060">
        <f>IF(COUNTIFS('United Data'!$A$3:$A$3390,R$1,'United Data'!$C$3:$C$3390,$A1060,'United Data'!$B$3:$B$3390,"&lt;&gt;Off-street")&gt;0,1,0)</f>
        <v>0</v>
      </c>
      <c r="S1060">
        <f t="shared" si="32"/>
        <v>1</v>
      </c>
      <c r="T1060">
        <f t="shared" si="33"/>
        <v>1</v>
      </c>
    </row>
    <row r="1061" spans="1:20" x14ac:dyDescent="0.2">
      <c r="A1061" t="s">
        <v>1271</v>
      </c>
      <c r="B1061">
        <f>IF(COUNTIFS('United Data'!$A$3:$A$3390,B$1,'United Data'!$C$3:$C$3390,$A1061,'United Data'!$B$3:$B$3390,"&lt;&gt;Off-street")&gt;0,1,0)</f>
        <v>0</v>
      </c>
      <c r="C1061">
        <f>IF(COUNTIFS('United Data'!$A$3:$A$3390,C$1,'United Data'!$C$3:$C$3390,$A1061,'United Data'!$B$3:$B$3390,"&lt;&gt;Off-street")&gt;0,1,0)</f>
        <v>0</v>
      </c>
      <c r="D1061">
        <f>IF(COUNTIFS('United Data'!$A$3:$A$3390,D$1,'United Data'!$C$3:$C$3390,$A1061,'United Data'!$B$3:$B$3390,"&lt;&gt;Off-street")&gt;0,1,0)</f>
        <v>1</v>
      </c>
      <c r="E1061">
        <f>IF(COUNTIFS('United Data'!$A$3:$A$3390,E$1,'United Data'!$C$3:$C$3390,$A1061,'United Data'!$B$3:$B$3390,"&lt;&gt;Off-street")&gt;0,1,0)</f>
        <v>0</v>
      </c>
      <c r="F1061">
        <f>IF(COUNTIFS('United Data'!$A$3:$A$3390,F$1,'United Data'!$C$3:$C$3390,$A1061,'United Data'!$B$3:$B$3390,"&lt;&gt;Off-street")&gt;0,1,0)</f>
        <v>0</v>
      </c>
      <c r="G1061">
        <f>IF(COUNTIFS('United Data'!$A$3:$A$3390,G$1,'United Data'!$C$3:$C$3390,$A1061,'United Data'!$B$3:$B$3390,"&lt;&gt;Off-street")&gt;0,1,0)</f>
        <v>0</v>
      </c>
      <c r="H1061">
        <f>IF(COUNTIFS('United Data'!$A$3:$A$3390,H$1,'United Data'!$C$3:$C$3390,$A1061,'United Data'!$B$3:$B$3390,"&lt;&gt;Off-street")&gt;0,1,0)</f>
        <v>0</v>
      </c>
      <c r="I1061">
        <f>IF(COUNTIFS('United Data'!$A$3:$A$3390,I$1,'United Data'!$C$3:$C$3390,$A1061,'United Data'!$B$3:$B$3390,"&lt;&gt;Off-street")&gt;0,1,0)</f>
        <v>0</v>
      </c>
      <c r="J1061">
        <f>IF(COUNTIFS('United Data'!$A$3:$A$3390,J$1,'United Data'!$C$3:$C$3390,$A1061,'United Data'!$B$3:$B$3390,"&lt;&gt;Off-street")&gt;0,1,0)</f>
        <v>0</v>
      </c>
      <c r="K1061">
        <f>IF(COUNTIFS('United Data'!$A$3:$A$3390,K$1,'United Data'!$C$3:$C$3390,$A1061,'United Data'!$B$3:$B$3390,"&lt;&gt;Off-street")&gt;0,1,0)</f>
        <v>0</v>
      </c>
      <c r="L1061">
        <f>IF(COUNTIFS('United Data'!$A$3:$A$3390,L$1,'United Data'!$C$3:$C$3390,$A1061,'United Data'!$B$3:$B$3390,"&lt;&gt;Off-street")&gt;0,1,0)</f>
        <v>0</v>
      </c>
      <c r="M1061">
        <f>IF(COUNTIFS('United Data'!$A$3:$A$3390,M$1,'United Data'!$C$3:$C$3390,$A1061,'United Data'!$B$3:$B$3390,"&lt;&gt;Off-street")&gt;0,1,0)</f>
        <v>0</v>
      </c>
      <c r="N1061">
        <f>IF(COUNTIFS('United Data'!$A$3:$A$3390,N$1,'United Data'!$C$3:$C$3390,$A1061,'United Data'!$B$3:$B$3390,"&lt;&gt;Off-street")&gt;0,1,0)</f>
        <v>0</v>
      </c>
      <c r="O1061">
        <f>IF(COUNTIFS('United Data'!$A$3:$A$3390,O$1,'United Data'!$C$3:$C$3390,$A1061,'United Data'!$B$3:$B$3390,"&lt;&gt;Off-street")&gt;0,1,0)</f>
        <v>0</v>
      </c>
      <c r="P1061">
        <f>IF(COUNTIFS('United Data'!$A$3:$A$3390,P$1,'United Data'!$C$3:$C$3390,$A1061,'United Data'!$B$3:$B$3390,"&lt;&gt;Off-street")&gt;0,1,0)</f>
        <v>0</v>
      </c>
      <c r="Q1061">
        <f>IF(COUNTIFS('United Data'!$A$3:$A$3390,Q$1,'United Data'!$C$3:$C$3390,$A1061,'United Data'!$B$3:$B$3390,"&lt;&gt;Off-street")&gt;0,1,0)</f>
        <v>0</v>
      </c>
      <c r="R1061">
        <f>IF(COUNTIFS('United Data'!$A$3:$A$3390,R$1,'United Data'!$C$3:$C$3390,$A1061,'United Data'!$B$3:$B$3390,"&lt;&gt;Off-street")&gt;0,1,0)</f>
        <v>0</v>
      </c>
      <c r="S1061">
        <f t="shared" si="32"/>
        <v>1</v>
      </c>
      <c r="T1061">
        <f t="shared" si="33"/>
        <v>1</v>
      </c>
    </row>
    <row r="1062" spans="1:20" x14ac:dyDescent="0.2">
      <c r="A1062" t="s">
        <v>1272</v>
      </c>
      <c r="B1062">
        <f>IF(COUNTIFS('United Data'!$A$3:$A$3390,B$1,'United Data'!$C$3:$C$3390,$A1062,'United Data'!$B$3:$B$3390,"&lt;&gt;Off-street")&gt;0,1,0)</f>
        <v>0</v>
      </c>
      <c r="C1062">
        <f>IF(COUNTIFS('United Data'!$A$3:$A$3390,C$1,'United Data'!$C$3:$C$3390,$A1062,'United Data'!$B$3:$B$3390,"&lt;&gt;Off-street")&gt;0,1,0)</f>
        <v>0</v>
      </c>
      <c r="D1062">
        <f>IF(COUNTIFS('United Data'!$A$3:$A$3390,D$1,'United Data'!$C$3:$C$3390,$A1062,'United Data'!$B$3:$B$3390,"&lt;&gt;Off-street")&gt;0,1,0)</f>
        <v>1</v>
      </c>
      <c r="E1062">
        <f>IF(COUNTIFS('United Data'!$A$3:$A$3390,E$1,'United Data'!$C$3:$C$3390,$A1062,'United Data'!$B$3:$B$3390,"&lt;&gt;Off-street")&gt;0,1,0)</f>
        <v>0</v>
      </c>
      <c r="F1062">
        <f>IF(COUNTIFS('United Data'!$A$3:$A$3390,F$1,'United Data'!$C$3:$C$3390,$A1062,'United Data'!$B$3:$B$3390,"&lt;&gt;Off-street")&gt;0,1,0)</f>
        <v>0</v>
      </c>
      <c r="G1062">
        <f>IF(COUNTIFS('United Data'!$A$3:$A$3390,G$1,'United Data'!$C$3:$C$3390,$A1062,'United Data'!$B$3:$B$3390,"&lt;&gt;Off-street")&gt;0,1,0)</f>
        <v>0</v>
      </c>
      <c r="H1062">
        <f>IF(COUNTIFS('United Data'!$A$3:$A$3390,H$1,'United Data'!$C$3:$C$3390,$A1062,'United Data'!$B$3:$B$3390,"&lt;&gt;Off-street")&gt;0,1,0)</f>
        <v>0</v>
      </c>
      <c r="I1062">
        <f>IF(COUNTIFS('United Data'!$A$3:$A$3390,I$1,'United Data'!$C$3:$C$3390,$A1062,'United Data'!$B$3:$B$3390,"&lt;&gt;Off-street")&gt;0,1,0)</f>
        <v>0</v>
      </c>
      <c r="J1062">
        <f>IF(COUNTIFS('United Data'!$A$3:$A$3390,J$1,'United Data'!$C$3:$C$3390,$A1062,'United Data'!$B$3:$B$3390,"&lt;&gt;Off-street")&gt;0,1,0)</f>
        <v>0</v>
      </c>
      <c r="K1062">
        <f>IF(COUNTIFS('United Data'!$A$3:$A$3390,K$1,'United Data'!$C$3:$C$3390,$A1062,'United Data'!$B$3:$B$3390,"&lt;&gt;Off-street")&gt;0,1,0)</f>
        <v>0</v>
      </c>
      <c r="L1062">
        <f>IF(COUNTIFS('United Data'!$A$3:$A$3390,L$1,'United Data'!$C$3:$C$3390,$A1062,'United Data'!$B$3:$B$3390,"&lt;&gt;Off-street")&gt;0,1,0)</f>
        <v>0</v>
      </c>
      <c r="M1062">
        <f>IF(COUNTIFS('United Data'!$A$3:$A$3390,M$1,'United Data'!$C$3:$C$3390,$A1062,'United Data'!$B$3:$B$3390,"&lt;&gt;Off-street")&gt;0,1,0)</f>
        <v>0</v>
      </c>
      <c r="N1062">
        <f>IF(COUNTIFS('United Data'!$A$3:$A$3390,N$1,'United Data'!$C$3:$C$3390,$A1062,'United Data'!$B$3:$B$3390,"&lt;&gt;Off-street")&gt;0,1,0)</f>
        <v>0</v>
      </c>
      <c r="O1062">
        <f>IF(COUNTIFS('United Data'!$A$3:$A$3390,O$1,'United Data'!$C$3:$C$3390,$A1062,'United Data'!$B$3:$B$3390,"&lt;&gt;Off-street")&gt;0,1,0)</f>
        <v>0</v>
      </c>
      <c r="P1062">
        <f>IF(COUNTIFS('United Data'!$A$3:$A$3390,P$1,'United Data'!$C$3:$C$3390,$A1062,'United Data'!$B$3:$B$3390,"&lt;&gt;Off-street")&gt;0,1,0)</f>
        <v>0</v>
      </c>
      <c r="Q1062">
        <f>IF(COUNTIFS('United Data'!$A$3:$A$3390,Q$1,'United Data'!$C$3:$C$3390,$A1062,'United Data'!$B$3:$B$3390,"&lt;&gt;Off-street")&gt;0,1,0)</f>
        <v>0</v>
      </c>
      <c r="R1062">
        <f>IF(COUNTIFS('United Data'!$A$3:$A$3390,R$1,'United Data'!$C$3:$C$3390,$A1062,'United Data'!$B$3:$B$3390,"&lt;&gt;Off-street")&gt;0,1,0)</f>
        <v>0</v>
      </c>
      <c r="S1062">
        <f t="shared" si="32"/>
        <v>1</v>
      </c>
      <c r="T1062">
        <f t="shared" si="33"/>
        <v>1</v>
      </c>
    </row>
    <row r="1063" spans="1:20" x14ac:dyDescent="0.2">
      <c r="A1063" t="s">
        <v>1273</v>
      </c>
      <c r="B1063">
        <f>IF(COUNTIFS('United Data'!$A$3:$A$3390,B$1,'United Data'!$C$3:$C$3390,$A1063,'United Data'!$B$3:$B$3390,"&lt;&gt;Off-street")&gt;0,1,0)</f>
        <v>0</v>
      </c>
      <c r="C1063">
        <f>IF(COUNTIFS('United Data'!$A$3:$A$3390,C$1,'United Data'!$C$3:$C$3390,$A1063,'United Data'!$B$3:$B$3390,"&lt;&gt;Off-street")&gt;0,1,0)</f>
        <v>0</v>
      </c>
      <c r="D1063">
        <f>IF(COUNTIFS('United Data'!$A$3:$A$3390,D$1,'United Data'!$C$3:$C$3390,$A1063,'United Data'!$B$3:$B$3390,"&lt;&gt;Off-street")&gt;0,1,0)</f>
        <v>1</v>
      </c>
      <c r="E1063">
        <f>IF(COUNTIFS('United Data'!$A$3:$A$3390,E$1,'United Data'!$C$3:$C$3390,$A1063,'United Data'!$B$3:$B$3390,"&lt;&gt;Off-street")&gt;0,1,0)</f>
        <v>0</v>
      </c>
      <c r="F1063">
        <f>IF(COUNTIFS('United Data'!$A$3:$A$3390,F$1,'United Data'!$C$3:$C$3390,$A1063,'United Data'!$B$3:$B$3390,"&lt;&gt;Off-street")&gt;0,1,0)</f>
        <v>0</v>
      </c>
      <c r="G1063">
        <f>IF(COUNTIFS('United Data'!$A$3:$A$3390,G$1,'United Data'!$C$3:$C$3390,$A1063,'United Data'!$B$3:$B$3390,"&lt;&gt;Off-street")&gt;0,1,0)</f>
        <v>0</v>
      </c>
      <c r="H1063">
        <f>IF(COUNTIFS('United Data'!$A$3:$A$3390,H$1,'United Data'!$C$3:$C$3390,$A1063,'United Data'!$B$3:$B$3390,"&lt;&gt;Off-street")&gt;0,1,0)</f>
        <v>0</v>
      </c>
      <c r="I1063">
        <f>IF(COUNTIFS('United Data'!$A$3:$A$3390,I$1,'United Data'!$C$3:$C$3390,$A1063,'United Data'!$B$3:$B$3390,"&lt;&gt;Off-street")&gt;0,1,0)</f>
        <v>0</v>
      </c>
      <c r="J1063">
        <f>IF(COUNTIFS('United Data'!$A$3:$A$3390,J$1,'United Data'!$C$3:$C$3390,$A1063,'United Data'!$B$3:$B$3390,"&lt;&gt;Off-street")&gt;0,1,0)</f>
        <v>0</v>
      </c>
      <c r="K1063">
        <f>IF(COUNTIFS('United Data'!$A$3:$A$3390,K$1,'United Data'!$C$3:$C$3390,$A1063,'United Data'!$B$3:$B$3390,"&lt;&gt;Off-street")&gt;0,1,0)</f>
        <v>0</v>
      </c>
      <c r="L1063">
        <f>IF(COUNTIFS('United Data'!$A$3:$A$3390,L$1,'United Data'!$C$3:$C$3390,$A1063,'United Data'!$B$3:$B$3390,"&lt;&gt;Off-street")&gt;0,1,0)</f>
        <v>0</v>
      </c>
      <c r="M1063">
        <f>IF(COUNTIFS('United Data'!$A$3:$A$3390,M$1,'United Data'!$C$3:$C$3390,$A1063,'United Data'!$B$3:$B$3390,"&lt;&gt;Off-street")&gt;0,1,0)</f>
        <v>0</v>
      </c>
      <c r="N1063">
        <f>IF(COUNTIFS('United Data'!$A$3:$A$3390,N$1,'United Data'!$C$3:$C$3390,$A1063,'United Data'!$B$3:$B$3390,"&lt;&gt;Off-street")&gt;0,1,0)</f>
        <v>0</v>
      </c>
      <c r="O1063">
        <f>IF(COUNTIFS('United Data'!$A$3:$A$3390,O$1,'United Data'!$C$3:$C$3390,$A1063,'United Data'!$B$3:$B$3390,"&lt;&gt;Off-street")&gt;0,1,0)</f>
        <v>0</v>
      </c>
      <c r="P1063">
        <f>IF(COUNTIFS('United Data'!$A$3:$A$3390,P$1,'United Data'!$C$3:$C$3390,$A1063,'United Data'!$B$3:$B$3390,"&lt;&gt;Off-street")&gt;0,1,0)</f>
        <v>0</v>
      </c>
      <c r="Q1063">
        <f>IF(COUNTIFS('United Data'!$A$3:$A$3390,Q$1,'United Data'!$C$3:$C$3390,$A1063,'United Data'!$B$3:$B$3390,"&lt;&gt;Off-street")&gt;0,1,0)</f>
        <v>0</v>
      </c>
      <c r="R1063">
        <f>IF(COUNTIFS('United Data'!$A$3:$A$3390,R$1,'United Data'!$C$3:$C$3390,$A1063,'United Data'!$B$3:$B$3390,"&lt;&gt;Off-street")&gt;0,1,0)</f>
        <v>0</v>
      </c>
      <c r="S1063">
        <f t="shared" si="32"/>
        <v>1</v>
      </c>
      <c r="T1063">
        <f t="shared" si="33"/>
        <v>1</v>
      </c>
    </row>
    <row r="1064" spans="1:20" x14ac:dyDescent="0.2">
      <c r="A1064" t="s">
        <v>1274</v>
      </c>
      <c r="B1064">
        <f>IF(COUNTIFS('United Data'!$A$3:$A$3390,B$1,'United Data'!$C$3:$C$3390,$A1064,'United Data'!$B$3:$B$3390,"&lt;&gt;Off-street")&gt;0,1,0)</f>
        <v>0</v>
      </c>
      <c r="C1064">
        <f>IF(COUNTIFS('United Data'!$A$3:$A$3390,C$1,'United Data'!$C$3:$C$3390,$A1064,'United Data'!$B$3:$B$3390,"&lt;&gt;Off-street")&gt;0,1,0)</f>
        <v>0</v>
      </c>
      <c r="D1064">
        <f>IF(COUNTIFS('United Data'!$A$3:$A$3390,D$1,'United Data'!$C$3:$C$3390,$A1064,'United Data'!$B$3:$B$3390,"&lt;&gt;Off-street")&gt;0,1,0)</f>
        <v>1</v>
      </c>
      <c r="E1064">
        <f>IF(COUNTIFS('United Data'!$A$3:$A$3390,E$1,'United Data'!$C$3:$C$3390,$A1064,'United Data'!$B$3:$B$3390,"&lt;&gt;Off-street")&gt;0,1,0)</f>
        <v>0</v>
      </c>
      <c r="F1064">
        <f>IF(COUNTIFS('United Data'!$A$3:$A$3390,F$1,'United Data'!$C$3:$C$3390,$A1064,'United Data'!$B$3:$B$3390,"&lt;&gt;Off-street")&gt;0,1,0)</f>
        <v>0</v>
      </c>
      <c r="G1064">
        <f>IF(COUNTIFS('United Data'!$A$3:$A$3390,G$1,'United Data'!$C$3:$C$3390,$A1064,'United Data'!$B$3:$B$3390,"&lt;&gt;Off-street")&gt;0,1,0)</f>
        <v>0</v>
      </c>
      <c r="H1064">
        <f>IF(COUNTIFS('United Data'!$A$3:$A$3390,H$1,'United Data'!$C$3:$C$3390,$A1064,'United Data'!$B$3:$B$3390,"&lt;&gt;Off-street")&gt;0,1,0)</f>
        <v>0</v>
      </c>
      <c r="I1064">
        <f>IF(COUNTIFS('United Data'!$A$3:$A$3390,I$1,'United Data'!$C$3:$C$3390,$A1064,'United Data'!$B$3:$B$3390,"&lt;&gt;Off-street")&gt;0,1,0)</f>
        <v>0</v>
      </c>
      <c r="J1064">
        <f>IF(COUNTIFS('United Data'!$A$3:$A$3390,J$1,'United Data'!$C$3:$C$3390,$A1064,'United Data'!$B$3:$B$3390,"&lt;&gt;Off-street")&gt;0,1,0)</f>
        <v>0</v>
      </c>
      <c r="K1064">
        <f>IF(COUNTIFS('United Data'!$A$3:$A$3390,K$1,'United Data'!$C$3:$C$3390,$A1064,'United Data'!$B$3:$B$3390,"&lt;&gt;Off-street")&gt;0,1,0)</f>
        <v>0</v>
      </c>
      <c r="L1064">
        <f>IF(COUNTIFS('United Data'!$A$3:$A$3390,L$1,'United Data'!$C$3:$C$3390,$A1064,'United Data'!$B$3:$B$3390,"&lt;&gt;Off-street")&gt;0,1,0)</f>
        <v>0</v>
      </c>
      <c r="M1064">
        <f>IF(COUNTIFS('United Data'!$A$3:$A$3390,M$1,'United Data'!$C$3:$C$3390,$A1064,'United Data'!$B$3:$B$3390,"&lt;&gt;Off-street")&gt;0,1,0)</f>
        <v>0</v>
      </c>
      <c r="N1064">
        <f>IF(COUNTIFS('United Data'!$A$3:$A$3390,N$1,'United Data'!$C$3:$C$3390,$A1064,'United Data'!$B$3:$B$3390,"&lt;&gt;Off-street")&gt;0,1,0)</f>
        <v>0</v>
      </c>
      <c r="O1064">
        <f>IF(COUNTIFS('United Data'!$A$3:$A$3390,O$1,'United Data'!$C$3:$C$3390,$A1064,'United Data'!$B$3:$B$3390,"&lt;&gt;Off-street")&gt;0,1,0)</f>
        <v>0</v>
      </c>
      <c r="P1064">
        <f>IF(COUNTIFS('United Data'!$A$3:$A$3390,P$1,'United Data'!$C$3:$C$3390,$A1064,'United Data'!$B$3:$B$3390,"&lt;&gt;Off-street")&gt;0,1,0)</f>
        <v>0</v>
      </c>
      <c r="Q1064">
        <f>IF(COUNTIFS('United Data'!$A$3:$A$3390,Q$1,'United Data'!$C$3:$C$3390,$A1064,'United Data'!$B$3:$B$3390,"&lt;&gt;Off-street")&gt;0,1,0)</f>
        <v>0</v>
      </c>
      <c r="R1064">
        <f>IF(COUNTIFS('United Data'!$A$3:$A$3390,R$1,'United Data'!$C$3:$C$3390,$A1064,'United Data'!$B$3:$B$3390,"&lt;&gt;Off-street")&gt;0,1,0)</f>
        <v>0</v>
      </c>
      <c r="S1064">
        <f t="shared" si="32"/>
        <v>1</v>
      </c>
      <c r="T1064">
        <f t="shared" si="33"/>
        <v>1</v>
      </c>
    </row>
    <row r="1065" spans="1:20" x14ac:dyDescent="0.2">
      <c r="A1065" t="s">
        <v>1275</v>
      </c>
      <c r="B1065">
        <f>IF(COUNTIFS('United Data'!$A$3:$A$3390,B$1,'United Data'!$C$3:$C$3390,$A1065,'United Data'!$B$3:$B$3390,"&lt;&gt;Off-street")&gt;0,1,0)</f>
        <v>0</v>
      </c>
      <c r="C1065">
        <f>IF(COUNTIFS('United Data'!$A$3:$A$3390,C$1,'United Data'!$C$3:$C$3390,$A1065,'United Data'!$B$3:$B$3390,"&lt;&gt;Off-street")&gt;0,1,0)</f>
        <v>0</v>
      </c>
      <c r="D1065">
        <f>IF(COUNTIFS('United Data'!$A$3:$A$3390,D$1,'United Data'!$C$3:$C$3390,$A1065,'United Data'!$B$3:$B$3390,"&lt;&gt;Off-street")&gt;0,1,0)</f>
        <v>1</v>
      </c>
      <c r="E1065">
        <f>IF(COUNTIFS('United Data'!$A$3:$A$3390,E$1,'United Data'!$C$3:$C$3390,$A1065,'United Data'!$B$3:$B$3390,"&lt;&gt;Off-street")&gt;0,1,0)</f>
        <v>0</v>
      </c>
      <c r="F1065">
        <f>IF(COUNTIFS('United Data'!$A$3:$A$3390,F$1,'United Data'!$C$3:$C$3390,$A1065,'United Data'!$B$3:$B$3390,"&lt;&gt;Off-street")&gt;0,1,0)</f>
        <v>0</v>
      </c>
      <c r="G1065">
        <f>IF(COUNTIFS('United Data'!$A$3:$A$3390,G$1,'United Data'!$C$3:$C$3390,$A1065,'United Data'!$B$3:$B$3390,"&lt;&gt;Off-street")&gt;0,1,0)</f>
        <v>0</v>
      </c>
      <c r="H1065">
        <f>IF(COUNTIFS('United Data'!$A$3:$A$3390,H$1,'United Data'!$C$3:$C$3390,$A1065,'United Data'!$B$3:$B$3390,"&lt;&gt;Off-street")&gt;0,1,0)</f>
        <v>0</v>
      </c>
      <c r="I1065">
        <f>IF(COUNTIFS('United Data'!$A$3:$A$3390,I$1,'United Data'!$C$3:$C$3390,$A1065,'United Data'!$B$3:$B$3390,"&lt;&gt;Off-street")&gt;0,1,0)</f>
        <v>0</v>
      </c>
      <c r="J1065">
        <f>IF(COUNTIFS('United Data'!$A$3:$A$3390,J$1,'United Data'!$C$3:$C$3390,$A1065,'United Data'!$B$3:$B$3390,"&lt;&gt;Off-street")&gt;0,1,0)</f>
        <v>0</v>
      </c>
      <c r="K1065">
        <f>IF(COUNTIFS('United Data'!$A$3:$A$3390,K$1,'United Data'!$C$3:$C$3390,$A1065,'United Data'!$B$3:$B$3390,"&lt;&gt;Off-street")&gt;0,1,0)</f>
        <v>0</v>
      </c>
      <c r="L1065">
        <f>IF(COUNTIFS('United Data'!$A$3:$A$3390,L$1,'United Data'!$C$3:$C$3390,$A1065,'United Data'!$B$3:$B$3390,"&lt;&gt;Off-street")&gt;0,1,0)</f>
        <v>0</v>
      </c>
      <c r="M1065">
        <f>IF(COUNTIFS('United Data'!$A$3:$A$3390,M$1,'United Data'!$C$3:$C$3390,$A1065,'United Data'!$B$3:$B$3390,"&lt;&gt;Off-street")&gt;0,1,0)</f>
        <v>0</v>
      </c>
      <c r="N1065">
        <f>IF(COUNTIFS('United Data'!$A$3:$A$3390,N$1,'United Data'!$C$3:$C$3390,$A1065,'United Data'!$B$3:$B$3390,"&lt;&gt;Off-street")&gt;0,1,0)</f>
        <v>0</v>
      </c>
      <c r="O1065">
        <f>IF(COUNTIFS('United Data'!$A$3:$A$3390,O$1,'United Data'!$C$3:$C$3390,$A1065,'United Data'!$B$3:$B$3390,"&lt;&gt;Off-street")&gt;0,1,0)</f>
        <v>0</v>
      </c>
      <c r="P1065">
        <f>IF(COUNTIFS('United Data'!$A$3:$A$3390,P$1,'United Data'!$C$3:$C$3390,$A1065,'United Data'!$B$3:$B$3390,"&lt;&gt;Off-street")&gt;0,1,0)</f>
        <v>0</v>
      </c>
      <c r="Q1065">
        <f>IF(COUNTIFS('United Data'!$A$3:$A$3390,Q$1,'United Data'!$C$3:$C$3390,$A1065,'United Data'!$B$3:$B$3390,"&lt;&gt;Off-street")&gt;0,1,0)</f>
        <v>0</v>
      </c>
      <c r="R1065">
        <f>IF(COUNTIFS('United Data'!$A$3:$A$3390,R$1,'United Data'!$C$3:$C$3390,$A1065,'United Data'!$B$3:$B$3390,"&lt;&gt;Off-street")&gt;0,1,0)</f>
        <v>0</v>
      </c>
      <c r="S1065">
        <f t="shared" si="32"/>
        <v>1</v>
      </c>
      <c r="T1065">
        <f t="shared" si="33"/>
        <v>1</v>
      </c>
    </row>
    <row r="1066" spans="1:20" x14ac:dyDescent="0.2">
      <c r="A1066" t="s">
        <v>1276</v>
      </c>
      <c r="B1066">
        <f>IF(COUNTIFS('United Data'!$A$3:$A$3390,B$1,'United Data'!$C$3:$C$3390,$A1066,'United Data'!$B$3:$B$3390,"&lt;&gt;Off-street")&gt;0,1,0)</f>
        <v>0</v>
      </c>
      <c r="C1066">
        <f>IF(COUNTIFS('United Data'!$A$3:$A$3390,C$1,'United Data'!$C$3:$C$3390,$A1066,'United Data'!$B$3:$B$3390,"&lt;&gt;Off-street")&gt;0,1,0)</f>
        <v>0</v>
      </c>
      <c r="D1066">
        <f>IF(COUNTIFS('United Data'!$A$3:$A$3390,D$1,'United Data'!$C$3:$C$3390,$A1066,'United Data'!$B$3:$B$3390,"&lt;&gt;Off-street")&gt;0,1,0)</f>
        <v>1</v>
      </c>
      <c r="E1066">
        <f>IF(COUNTIFS('United Data'!$A$3:$A$3390,E$1,'United Data'!$C$3:$C$3390,$A1066,'United Data'!$B$3:$B$3390,"&lt;&gt;Off-street")&gt;0,1,0)</f>
        <v>0</v>
      </c>
      <c r="F1066">
        <f>IF(COUNTIFS('United Data'!$A$3:$A$3390,F$1,'United Data'!$C$3:$C$3390,$A1066,'United Data'!$B$3:$B$3390,"&lt;&gt;Off-street")&gt;0,1,0)</f>
        <v>0</v>
      </c>
      <c r="G1066">
        <f>IF(COUNTIFS('United Data'!$A$3:$A$3390,G$1,'United Data'!$C$3:$C$3390,$A1066,'United Data'!$B$3:$B$3390,"&lt;&gt;Off-street")&gt;0,1,0)</f>
        <v>0</v>
      </c>
      <c r="H1066">
        <f>IF(COUNTIFS('United Data'!$A$3:$A$3390,H$1,'United Data'!$C$3:$C$3390,$A1066,'United Data'!$B$3:$B$3390,"&lt;&gt;Off-street")&gt;0,1,0)</f>
        <v>0</v>
      </c>
      <c r="I1066">
        <f>IF(COUNTIFS('United Data'!$A$3:$A$3390,I$1,'United Data'!$C$3:$C$3390,$A1066,'United Data'!$B$3:$B$3390,"&lt;&gt;Off-street")&gt;0,1,0)</f>
        <v>0</v>
      </c>
      <c r="J1066">
        <f>IF(COUNTIFS('United Data'!$A$3:$A$3390,J$1,'United Data'!$C$3:$C$3390,$A1066,'United Data'!$B$3:$B$3390,"&lt;&gt;Off-street")&gt;0,1,0)</f>
        <v>0</v>
      </c>
      <c r="K1066">
        <f>IF(COUNTIFS('United Data'!$A$3:$A$3390,K$1,'United Data'!$C$3:$C$3390,$A1066,'United Data'!$B$3:$B$3390,"&lt;&gt;Off-street")&gt;0,1,0)</f>
        <v>0</v>
      </c>
      <c r="L1066">
        <f>IF(COUNTIFS('United Data'!$A$3:$A$3390,L$1,'United Data'!$C$3:$C$3390,$A1066,'United Data'!$B$3:$B$3390,"&lt;&gt;Off-street")&gt;0,1,0)</f>
        <v>0</v>
      </c>
      <c r="M1066">
        <f>IF(COUNTIFS('United Data'!$A$3:$A$3390,M$1,'United Data'!$C$3:$C$3390,$A1066,'United Data'!$B$3:$B$3390,"&lt;&gt;Off-street")&gt;0,1,0)</f>
        <v>0</v>
      </c>
      <c r="N1066">
        <f>IF(COUNTIFS('United Data'!$A$3:$A$3390,N$1,'United Data'!$C$3:$C$3390,$A1066,'United Data'!$B$3:$B$3390,"&lt;&gt;Off-street")&gt;0,1,0)</f>
        <v>0</v>
      </c>
      <c r="O1066">
        <f>IF(COUNTIFS('United Data'!$A$3:$A$3390,O$1,'United Data'!$C$3:$C$3390,$A1066,'United Data'!$B$3:$B$3390,"&lt;&gt;Off-street")&gt;0,1,0)</f>
        <v>0</v>
      </c>
      <c r="P1066">
        <f>IF(COUNTIFS('United Data'!$A$3:$A$3390,P$1,'United Data'!$C$3:$C$3390,$A1066,'United Data'!$B$3:$B$3390,"&lt;&gt;Off-street")&gt;0,1,0)</f>
        <v>0</v>
      </c>
      <c r="Q1066">
        <f>IF(COUNTIFS('United Data'!$A$3:$A$3390,Q$1,'United Data'!$C$3:$C$3390,$A1066,'United Data'!$B$3:$B$3390,"&lt;&gt;Off-street")&gt;0,1,0)</f>
        <v>0</v>
      </c>
      <c r="R1066">
        <f>IF(COUNTIFS('United Data'!$A$3:$A$3390,R$1,'United Data'!$C$3:$C$3390,$A1066,'United Data'!$B$3:$B$3390,"&lt;&gt;Off-street")&gt;0,1,0)</f>
        <v>0</v>
      </c>
      <c r="S1066">
        <f t="shared" si="32"/>
        <v>1</v>
      </c>
      <c r="T1066">
        <f t="shared" si="33"/>
        <v>1</v>
      </c>
    </row>
    <row r="1067" spans="1:20" x14ac:dyDescent="0.2">
      <c r="A1067" t="s">
        <v>1277</v>
      </c>
      <c r="B1067">
        <f>IF(COUNTIFS('United Data'!$A$3:$A$3390,B$1,'United Data'!$C$3:$C$3390,$A1067,'United Data'!$B$3:$B$3390,"&lt;&gt;Off-street")&gt;0,1,0)</f>
        <v>0</v>
      </c>
      <c r="C1067">
        <f>IF(COUNTIFS('United Data'!$A$3:$A$3390,C$1,'United Data'!$C$3:$C$3390,$A1067,'United Data'!$B$3:$B$3390,"&lt;&gt;Off-street")&gt;0,1,0)</f>
        <v>0</v>
      </c>
      <c r="D1067">
        <f>IF(COUNTIFS('United Data'!$A$3:$A$3390,D$1,'United Data'!$C$3:$C$3390,$A1067,'United Data'!$B$3:$B$3390,"&lt;&gt;Off-street")&gt;0,1,0)</f>
        <v>1</v>
      </c>
      <c r="E1067">
        <f>IF(COUNTIFS('United Data'!$A$3:$A$3390,E$1,'United Data'!$C$3:$C$3390,$A1067,'United Data'!$B$3:$B$3390,"&lt;&gt;Off-street")&gt;0,1,0)</f>
        <v>1</v>
      </c>
      <c r="F1067">
        <f>IF(COUNTIFS('United Data'!$A$3:$A$3390,F$1,'United Data'!$C$3:$C$3390,$A1067,'United Data'!$B$3:$B$3390,"&lt;&gt;Off-street")&gt;0,1,0)</f>
        <v>0</v>
      </c>
      <c r="G1067">
        <f>IF(COUNTIFS('United Data'!$A$3:$A$3390,G$1,'United Data'!$C$3:$C$3390,$A1067,'United Data'!$B$3:$B$3390,"&lt;&gt;Off-street")&gt;0,1,0)</f>
        <v>0</v>
      </c>
      <c r="H1067">
        <f>IF(COUNTIFS('United Data'!$A$3:$A$3390,H$1,'United Data'!$C$3:$C$3390,$A1067,'United Data'!$B$3:$B$3390,"&lt;&gt;Off-street")&gt;0,1,0)</f>
        <v>0</v>
      </c>
      <c r="I1067">
        <f>IF(COUNTIFS('United Data'!$A$3:$A$3390,I$1,'United Data'!$C$3:$C$3390,$A1067,'United Data'!$B$3:$B$3390,"&lt;&gt;Off-street")&gt;0,1,0)</f>
        <v>0</v>
      </c>
      <c r="J1067">
        <f>IF(COUNTIFS('United Data'!$A$3:$A$3390,J$1,'United Data'!$C$3:$C$3390,$A1067,'United Data'!$B$3:$B$3390,"&lt;&gt;Off-street")&gt;0,1,0)</f>
        <v>0</v>
      </c>
      <c r="K1067">
        <f>IF(COUNTIFS('United Data'!$A$3:$A$3390,K$1,'United Data'!$C$3:$C$3390,$A1067,'United Data'!$B$3:$B$3390,"&lt;&gt;Off-street")&gt;0,1,0)</f>
        <v>0</v>
      </c>
      <c r="L1067">
        <f>IF(COUNTIFS('United Data'!$A$3:$A$3390,L$1,'United Data'!$C$3:$C$3390,$A1067,'United Data'!$B$3:$B$3390,"&lt;&gt;Off-street")&gt;0,1,0)</f>
        <v>0</v>
      </c>
      <c r="M1067">
        <f>IF(COUNTIFS('United Data'!$A$3:$A$3390,M$1,'United Data'!$C$3:$C$3390,$A1067,'United Data'!$B$3:$B$3390,"&lt;&gt;Off-street")&gt;0,1,0)</f>
        <v>0</v>
      </c>
      <c r="N1067">
        <f>IF(COUNTIFS('United Data'!$A$3:$A$3390,N$1,'United Data'!$C$3:$C$3390,$A1067,'United Data'!$B$3:$B$3390,"&lt;&gt;Off-street")&gt;0,1,0)</f>
        <v>0</v>
      </c>
      <c r="O1067">
        <f>IF(COUNTIFS('United Data'!$A$3:$A$3390,O$1,'United Data'!$C$3:$C$3390,$A1067,'United Data'!$B$3:$B$3390,"&lt;&gt;Off-street")&gt;0,1,0)</f>
        <v>0</v>
      </c>
      <c r="P1067">
        <f>IF(COUNTIFS('United Data'!$A$3:$A$3390,P$1,'United Data'!$C$3:$C$3390,$A1067,'United Data'!$B$3:$B$3390,"&lt;&gt;Off-street")&gt;0,1,0)</f>
        <v>0</v>
      </c>
      <c r="Q1067">
        <f>IF(COUNTIFS('United Data'!$A$3:$A$3390,Q$1,'United Data'!$C$3:$C$3390,$A1067,'United Data'!$B$3:$B$3390,"&lt;&gt;Off-street")&gt;0,1,0)</f>
        <v>0</v>
      </c>
      <c r="R1067">
        <f>IF(COUNTIFS('United Data'!$A$3:$A$3390,R$1,'United Data'!$C$3:$C$3390,$A1067,'United Data'!$B$3:$B$3390,"&lt;&gt;Off-street")&gt;0,1,0)</f>
        <v>0</v>
      </c>
      <c r="S1067">
        <f t="shared" si="32"/>
        <v>2</v>
      </c>
      <c r="T1067">
        <f t="shared" si="33"/>
        <v>1</v>
      </c>
    </row>
    <row r="1068" spans="1:20" x14ac:dyDescent="0.2">
      <c r="A1068" t="s">
        <v>1278</v>
      </c>
      <c r="B1068">
        <f>IF(COUNTIFS('United Data'!$A$3:$A$3390,B$1,'United Data'!$C$3:$C$3390,$A1068,'United Data'!$B$3:$B$3390,"&lt;&gt;Off-street")&gt;0,1,0)</f>
        <v>0</v>
      </c>
      <c r="C1068">
        <f>IF(COUNTIFS('United Data'!$A$3:$A$3390,C$1,'United Data'!$C$3:$C$3390,$A1068,'United Data'!$B$3:$B$3390,"&lt;&gt;Off-street")&gt;0,1,0)</f>
        <v>0</v>
      </c>
      <c r="D1068">
        <f>IF(COUNTIFS('United Data'!$A$3:$A$3390,D$1,'United Data'!$C$3:$C$3390,$A1068,'United Data'!$B$3:$B$3390,"&lt;&gt;Off-street")&gt;0,1,0)</f>
        <v>1</v>
      </c>
      <c r="E1068">
        <f>IF(COUNTIFS('United Data'!$A$3:$A$3390,E$1,'United Data'!$C$3:$C$3390,$A1068,'United Data'!$B$3:$B$3390,"&lt;&gt;Off-street")&gt;0,1,0)</f>
        <v>0</v>
      </c>
      <c r="F1068">
        <f>IF(COUNTIFS('United Data'!$A$3:$A$3390,F$1,'United Data'!$C$3:$C$3390,$A1068,'United Data'!$B$3:$B$3390,"&lt;&gt;Off-street")&gt;0,1,0)</f>
        <v>1</v>
      </c>
      <c r="G1068">
        <f>IF(COUNTIFS('United Data'!$A$3:$A$3390,G$1,'United Data'!$C$3:$C$3390,$A1068,'United Data'!$B$3:$B$3390,"&lt;&gt;Off-street")&gt;0,1,0)</f>
        <v>1</v>
      </c>
      <c r="H1068">
        <f>IF(COUNTIFS('United Data'!$A$3:$A$3390,H$1,'United Data'!$C$3:$C$3390,$A1068,'United Data'!$B$3:$B$3390,"&lt;&gt;Off-street")&gt;0,1,0)</f>
        <v>0</v>
      </c>
      <c r="I1068">
        <f>IF(COUNTIFS('United Data'!$A$3:$A$3390,I$1,'United Data'!$C$3:$C$3390,$A1068,'United Data'!$B$3:$B$3390,"&lt;&gt;Off-street")&gt;0,1,0)</f>
        <v>0</v>
      </c>
      <c r="J1068">
        <f>IF(COUNTIFS('United Data'!$A$3:$A$3390,J$1,'United Data'!$C$3:$C$3390,$A1068,'United Data'!$B$3:$B$3390,"&lt;&gt;Off-street")&gt;0,1,0)</f>
        <v>1</v>
      </c>
      <c r="K1068">
        <f>IF(COUNTIFS('United Data'!$A$3:$A$3390,K$1,'United Data'!$C$3:$C$3390,$A1068,'United Data'!$B$3:$B$3390,"&lt;&gt;Off-street")&gt;0,1,0)</f>
        <v>0</v>
      </c>
      <c r="L1068">
        <f>IF(COUNTIFS('United Data'!$A$3:$A$3390,L$1,'United Data'!$C$3:$C$3390,$A1068,'United Data'!$B$3:$B$3390,"&lt;&gt;Off-street")&gt;0,1,0)</f>
        <v>0</v>
      </c>
      <c r="M1068">
        <f>IF(COUNTIFS('United Data'!$A$3:$A$3390,M$1,'United Data'!$C$3:$C$3390,$A1068,'United Data'!$B$3:$B$3390,"&lt;&gt;Off-street")&gt;0,1,0)</f>
        <v>0</v>
      </c>
      <c r="N1068">
        <f>IF(COUNTIFS('United Data'!$A$3:$A$3390,N$1,'United Data'!$C$3:$C$3390,$A1068,'United Data'!$B$3:$B$3390,"&lt;&gt;Off-street")&gt;0,1,0)</f>
        <v>0</v>
      </c>
      <c r="O1068">
        <f>IF(COUNTIFS('United Data'!$A$3:$A$3390,O$1,'United Data'!$C$3:$C$3390,$A1068,'United Data'!$B$3:$B$3390,"&lt;&gt;Off-street")&gt;0,1,0)</f>
        <v>0</v>
      </c>
      <c r="P1068">
        <f>IF(COUNTIFS('United Data'!$A$3:$A$3390,P$1,'United Data'!$C$3:$C$3390,$A1068,'United Data'!$B$3:$B$3390,"&lt;&gt;Off-street")&gt;0,1,0)</f>
        <v>0</v>
      </c>
      <c r="Q1068">
        <f>IF(COUNTIFS('United Data'!$A$3:$A$3390,Q$1,'United Data'!$C$3:$C$3390,$A1068,'United Data'!$B$3:$B$3390,"&lt;&gt;Off-street")&gt;0,1,0)</f>
        <v>0</v>
      </c>
      <c r="R1068">
        <f>IF(COUNTIFS('United Data'!$A$3:$A$3390,R$1,'United Data'!$C$3:$C$3390,$A1068,'United Data'!$B$3:$B$3390,"&lt;&gt;Off-street")&gt;0,1,0)</f>
        <v>0</v>
      </c>
      <c r="S1068">
        <f t="shared" si="32"/>
        <v>4</v>
      </c>
      <c r="T1068">
        <f t="shared" si="33"/>
        <v>3</v>
      </c>
    </row>
    <row r="1069" spans="1:20" x14ac:dyDescent="0.2">
      <c r="A1069" t="s">
        <v>1279</v>
      </c>
      <c r="B1069">
        <f>IF(COUNTIFS('United Data'!$A$3:$A$3390,B$1,'United Data'!$C$3:$C$3390,$A1069,'United Data'!$B$3:$B$3390,"&lt;&gt;Off-street")&gt;0,1,0)</f>
        <v>0</v>
      </c>
      <c r="C1069">
        <f>IF(COUNTIFS('United Data'!$A$3:$A$3390,C$1,'United Data'!$C$3:$C$3390,$A1069,'United Data'!$B$3:$B$3390,"&lt;&gt;Off-street")&gt;0,1,0)</f>
        <v>0</v>
      </c>
      <c r="D1069">
        <f>IF(COUNTIFS('United Data'!$A$3:$A$3390,D$1,'United Data'!$C$3:$C$3390,$A1069,'United Data'!$B$3:$B$3390,"&lt;&gt;Off-street")&gt;0,1,0)</f>
        <v>1</v>
      </c>
      <c r="E1069">
        <f>IF(COUNTIFS('United Data'!$A$3:$A$3390,E$1,'United Data'!$C$3:$C$3390,$A1069,'United Data'!$B$3:$B$3390,"&lt;&gt;Off-street")&gt;0,1,0)</f>
        <v>0</v>
      </c>
      <c r="F1069">
        <f>IF(COUNTIFS('United Data'!$A$3:$A$3390,F$1,'United Data'!$C$3:$C$3390,$A1069,'United Data'!$B$3:$B$3390,"&lt;&gt;Off-street")&gt;0,1,0)</f>
        <v>0</v>
      </c>
      <c r="G1069">
        <f>IF(COUNTIFS('United Data'!$A$3:$A$3390,G$1,'United Data'!$C$3:$C$3390,$A1069,'United Data'!$B$3:$B$3390,"&lt;&gt;Off-street")&gt;0,1,0)</f>
        <v>0</v>
      </c>
      <c r="H1069">
        <f>IF(COUNTIFS('United Data'!$A$3:$A$3390,H$1,'United Data'!$C$3:$C$3390,$A1069,'United Data'!$B$3:$B$3390,"&lt;&gt;Off-street")&gt;0,1,0)</f>
        <v>0</v>
      </c>
      <c r="I1069">
        <f>IF(COUNTIFS('United Data'!$A$3:$A$3390,I$1,'United Data'!$C$3:$C$3390,$A1069,'United Data'!$B$3:$B$3390,"&lt;&gt;Off-street")&gt;0,1,0)</f>
        <v>0</v>
      </c>
      <c r="J1069">
        <f>IF(COUNTIFS('United Data'!$A$3:$A$3390,J$1,'United Data'!$C$3:$C$3390,$A1069,'United Data'!$B$3:$B$3390,"&lt;&gt;Off-street")&gt;0,1,0)</f>
        <v>0</v>
      </c>
      <c r="K1069">
        <f>IF(COUNTIFS('United Data'!$A$3:$A$3390,K$1,'United Data'!$C$3:$C$3390,$A1069,'United Data'!$B$3:$B$3390,"&lt;&gt;Off-street")&gt;0,1,0)</f>
        <v>0</v>
      </c>
      <c r="L1069">
        <f>IF(COUNTIFS('United Data'!$A$3:$A$3390,L$1,'United Data'!$C$3:$C$3390,$A1069,'United Data'!$B$3:$B$3390,"&lt;&gt;Off-street")&gt;0,1,0)</f>
        <v>0</v>
      </c>
      <c r="M1069">
        <f>IF(COUNTIFS('United Data'!$A$3:$A$3390,M$1,'United Data'!$C$3:$C$3390,$A1069,'United Data'!$B$3:$B$3390,"&lt;&gt;Off-street")&gt;0,1,0)</f>
        <v>0</v>
      </c>
      <c r="N1069">
        <f>IF(COUNTIFS('United Data'!$A$3:$A$3390,N$1,'United Data'!$C$3:$C$3390,$A1069,'United Data'!$B$3:$B$3390,"&lt;&gt;Off-street")&gt;0,1,0)</f>
        <v>0</v>
      </c>
      <c r="O1069">
        <f>IF(COUNTIFS('United Data'!$A$3:$A$3390,O$1,'United Data'!$C$3:$C$3390,$A1069,'United Data'!$B$3:$B$3390,"&lt;&gt;Off-street")&gt;0,1,0)</f>
        <v>0</v>
      </c>
      <c r="P1069">
        <f>IF(COUNTIFS('United Data'!$A$3:$A$3390,P$1,'United Data'!$C$3:$C$3390,$A1069,'United Data'!$B$3:$B$3390,"&lt;&gt;Off-street")&gt;0,1,0)</f>
        <v>0</v>
      </c>
      <c r="Q1069">
        <f>IF(COUNTIFS('United Data'!$A$3:$A$3390,Q$1,'United Data'!$C$3:$C$3390,$A1069,'United Data'!$B$3:$B$3390,"&lt;&gt;Off-street")&gt;0,1,0)</f>
        <v>0</v>
      </c>
      <c r="R1069">
        <f>IF(COUNTIFS('United Data'!$A$3:$A$3390,R$1,'United Data'!$C$3:$C$3390,$A1069,'United Data'!$B$3:$B$3390,"&lt;&gt;Off-street")&gt;0,1,0)</f>
        <v>0</v>
      </c>
      <c r="S1069">
        <f t="shared" si="32"/>
        <v>1</v>
      </c>
      <c r="T1069">
        <f t="shared" si="33"/>
        <v>1</v>
      </c>
    </row>
    <row r="1070" spans="1:20" x14ac:dyDescent="0.2">
      <c r="A1070" t="s">
        <v>1280</v>
      </c>
      <c r="B1070">
        <f>IF(COUNTIFS('United Data'!$A$3:$A$3390,B$1,'United Data'!$C$3:$C$3390,$A1070,'United Data'!$B$3:$B$3390,"&lt;&gt;Off-street")&gt;0,1,0)</f>
        <v>0</v>
      </c>
      <c r="C1070">
        <f>IF(COUNTIFS('United Data'!$A$3:$A$3390,C$1,'United Data'!$C$3:$C$3390,$A1070,'United Data'!$B$3:$B$3390,"&lt;&gt;Off-street")&gt;0,1,0)</f>
        <v>0</v>
      </c>
      <c r="D1070">
        <f>IF(COUNTIFS('United Data'!$A$3:$A$3390,D$1,'United Data'!$C$3:$C$3390,$A1070,'United Data'!$B$3:$B$3390,"&lt;&gt;Off-street")&gt;0,1,0)</f>
        <v>0</v>
      </c>
      <c r="E1070">
        <f>IF(COUNTIFS('United Data'!$A$3:$A$3390,E$1,'United Data'!$C$3:$C$3390,$A1070,'United Data'!$B$3:$B$3390,"&lt;&gt;Off-street")&gt;0,1,0)</f>
        <v>1</v>
      </c>
      <c r="F1070">
        <f>IF(COUNTIFS('United Data'!$A$3:$A$3390,F$1,'United Data'!$C$3:$C$3390,$A1070,'United Data'!$B$3:$B$3390,"&lt;&gt;Off-street")&gt;0,1,0)</f>
        <v>0</v>
      </c>
      <c r="G1070">
        <f>IF(COUNTIFS('United Data'!$A$3:$A$3390,G$1,'United Data'!$C$3:$C$3390,$A1070,'United Data'!$B$3:$B$3390,"&lt;&gt;Off-street")&gt;0,1,0)</f>
        <v>0</v>
      </c>
      <c r="H1070">
        <f>IF(COUNTIFS('United Data'!$A$3:$A$3390,H$1,'United Data'!$C$3:$C$3390,$A1070,'United Data'!$B$3:$B$3390,"&lt;&gt;Off-street")&gt;0,1,0)</f>
        <v>0</v>
      </c>
      <c r="I1070">
        <f>IF(COUNTIFS('United Data'!$A$3:$A$3390,I$1,'United Data'!$C$3:$C$3390,$A1070,'United Data'!$B$3:$B$3390,"&lt;&gt;Off-street")&gt;0,1,0)</f>
        <v>0</v>
      </c>
      <c r="J1070">
        <f>IF(COUNTIFS('United Data'!$A$3:$A$3390,J$1,'United Data'!$C$3:$C$3390,$A1070,'United Data'!$B$3:$B$3390,"&lt;&gt;Off-street")&gt;0,1,0)</f>
        <v>0</v>
      </c>
      <c r="K1070">
        <f>IF(COUNTIFS('United Data'!$A$3:$A$3390,K$1,'United Data'!$C$3:$C$3390,$A1070,'United Data'!$B$3:$B$3390,"&lt;&gt;Off-street")&gt;0,1,0)</f>
        <v>0</v>
      </c>
      <c r="L1070">
        <f>IF(COUNTIFS('United Data'!$A$3:$A$3390,L$1,'United Data'!$C$3:$C$3390,$A1070,'United Data'!$B$3:$B$3390,"&lt;&gt;Off-street")&gt;0,1,0)</f>
        <v>0</v>
      </c>
      <c r="M1070">
        <f>IF(COUNTIFS('United Data'!$A$3:$A$3390,M$1,'United Data'!$C$3:$C$3390,$A1070,'United Data'!$B$3:$B$3390,"&lt;&gt;Off-street")&gt;0,1,0)</f>
        <v>0</v>
      </c>
      <c r="N1070">
        <f>IF(COUNTIFS('United Data'!$A$3:$A$3390,N$1,'United Data'!$C$3:$C$3390,$A1070,'United Data'!$B$3:$B$3390,"&lt;&gt;Off-street")&gt;0,1,0)</f>
        <v>0</v>
      </c>
      <c r="O1070">
        <f>IF(COUNTIFS('United Data'!$A$3:$A$3390,O$1,'United Data'!$C$3:$C$3390,$A1070,'United Data'!$B$3:$B$3390,"&lt;&gt;Off-street")&gt;0,1,0)</f>
        <v>0</v>
      </c>
      <c r="P1070">
        <f>IF(COUNTIFS('United Data'!$A$3:$A$3390,P$1,'United Data'!$C$3:$C$3390,$A1070,'United Data'!$B$3:$B$3390,"&lt;&gt;Off-street")&gt;0,1,0)</f>
        <v>0</v>
      </c>
      <c r="Q1070">
        <f>IF(COUNTIFS('United Data'!$A$3:$A$3390,Q$1,'United Data'!$C$3:$C$3390,$A1070,'United Data'!$B$3:$B$3390,"&lt;&gt;Off-street")&gt;0,1,0)</f>
        <v>0</v>
      </c>
      <c r="R1070">
        <f>IF(COUNTIFS('United Data'!$A$3:$A$3390,R$1,'United Data'!$C$3:$C$3390,$A1070,'United Data'!$B$3:$B$3390,"&lt;&gt;Off-street")&gt;0,1,0)</f>
        <v>0</v>
      </c>
      <c r="S1070">
        <f t="shared" si="32"/>
        <v>1</v>
      </c>
      <c r="T1070">
        <f t="shared" si="33"/>
        <v>1</v>
      </c>
    </row>
    <row r="1071" spans="1:20" x14ac:dyDescent="0.2">
      <c r="A1071" t="s">
        <v>1281</v>
      </c>
      <c r="B1071">
        <f>IF(COUNTIFS('United Data'!$A$3:$A$3390,B$1,'United Data'!$C$3:$C$3390,$A1071,'United Data'!$B$3:$B$3390,"&lt;&gt;Off-street")&gt;0,1,0)</f>
        <v>0</v>
      </c>
      <c r="C1071">
        <f>IF(COUNTIFS('United Data'!$A$3:$A$3390,C$1,'United Data'!$C$3:$C$3390,$A1071,'United Data'!$B$3:$B$3390,"&lt;&gt;Off-street")&gt;0,1,0)</f>
        <v>0</v>
      </c>
      <c r="D1071">
        <f>IF(COUNTIFS('United Data'!$A$3:$A$3390,D$1,'United Data'!$C$3:$C$3390,$A1071,'United Data'!$B$3:$B$3390,"&lt;&gt;Off-street")&gt;0,1,0)</f>
        <v>0</v>
      </c>
      <c r="E1071">
        <f>IF(COUNTIFS('United Data'!$A$3:$A$3390,E$1,'United Data'!$C$3:$C$3390,$A1071,'United Data'!$B$3:$B$3390,"&lt;&gt;Off-street")&gt;0,1,0)</f>
        <v>1</v>
      </c>
      <c r="F1071">
        <f>IF(COUNTIFS('United Data'!$A$3:$A$3390,F$1,'United Data'!$C$3:$C$3390,$A1071,'United Data'!$B$3:$B$3390,"&lt;&gt;Off-street")&gt;0,1,0)</f>
        <v>1</v>
      </c>
      <c r="G1071">
        <f>IF(COUNTIFS('United Data'!$A$3:$A$3390,G$1,'United Data'!$C$3:$C$3390,$A1071,'United Data'!$B$3:$B$3390,"&lt;&gt;Off-street")&gt;0,1,0)</f>
        <v>0</v>
      </c>
      <c r="H1071">
        <f>IF(COUNTIFS('United Data'!$A$3:$A$3390,H$1,'United Data'!$C$3:$C$3390,$A1071,'United Data'!$B$3:$B$3390,"&lt;&gt;Off-street")&gt;0,1,0)</f>
        <v>0</v>
      </c>
      <c r="I1071">
        <f>IF(COUNTIFS('United Data'!$A$3:$A$3390,I$1,'United Data'!$C$3:$C$3390,$A1071,'United Data'!$B$3:$B$3390,"&lt;&gt;Off-street")&gt;0,1,0)</f>
        <v>0</v>
      </c>
      <c r="J1071">
        <f>IF(COUNTIFS('United Data'!$A$3:$A$3390,J$1,'United Data'!$C$3:$C$3390,$A1071,'United Data'!$B$3:$B$3390,"&lt;&gt;Off-street")&gt;0,1,0)</f>
        <v>0</v>
      </c>
      <c r="K1071">
        <f>IF(COUNTIFS('United Data'!$A$3:$A$3390,K$1,'United Data'!$C$3:$C$3390,$A1071,'United Data'!$B$3:$B$3390,"&lt;&gt;Off-street")&gt;0,1,0)</f>
        <v>0</v>
      </c>
      <c r="L1071">
        <f>IF(COUNTIFS('United Data'!$A$3:$A$3390,L$1,'United Data'!$C$3:$C$3390,$A1071,'United Data'!$B$3:$B$3390,"&lt;&gt;Off-street")&gt;0,1,0)</f>
        <v>0</v>
      </c>
      <c r="M1071">
        <f>IF(COUNTIFS('United Data'!$A$3:$A$3390,M$1,'United Data'!$C$3:$C$3390,$A1071,'United Data'!$B$3:$B$3390,"&lt;&gt;Off-street")&gt;0,1,0)</f>
        <v>0</v>
      </c>
      <c r="N1071">
        <f>IF(COUNTIFS('United Data'!$A$3:$A$3390,N$1,'United Data'!$C$3:$C$3390,$A1071,'United Data'!$B$3:$B$3390,"&lt;&gt;Off-street")&gt;0,1,0)</f>
        <v>0</v>
      </c>
      <c r="O1071">
        <f>IF(COUNTIFS('United Data'!$A$3:$A$3390,O$1,'United Data'!$C$3:$C$3390,$A1071,'United Data'!$B$3:$B$3390,"&lt;&gt;Off-street")&gt;0,1,0)</f>
        <v>0</v>
      </c>
      <c r="P1071">
        <f>IF(COUNTIFS('United Data'!$A$3:$A$3390,P$1,'United Data'!$C$3:$C$3390,$A1071,'United Data'!$B$3:$B$3390,"&lt;&gt;Off-street")&gt;0,1,0)</f>
        <v>0</v>
      </c>
      <c r="Q1071">
        <f>IF(COUNTIFS('United Data'!$A$3:$A$3390,Q$1,'United Data'!$C$3:$C$3390,$A1071,'United Data'!$B$3:$B$3390,"&lt;&gt;Off-street")&gt;0,1,0)</f>
        <v>0</v>
      </c>
      <c r="R1071">
        <f>IF(COUNTIFS('United Data'!$A$3:$A$3390,R$1,'United Data'!$C$3:$C$3390,$A1071,'United Data'!$B$3:$B$3390,"&lt;&gt;Off-street")&gt;0,1,0)</f>
        <v>0</v>
      </c>
      <c r="S1071">
        <f t="shared" si="32"/>
        <v>2</v>
      </c>
      <c r="T1071">
        <f t="shared" si="33"/>
        <v>1</v>
      </c>
    </row>
    <row r="1072" spans="1:20" x14ac:dyDescent="0.2">
      <c r="A1072" t="s">
        <v>1282</v>
      </c>
      <c r="B1072">
        <f>IF(COUNTIFS('United Data'!$A$3:$A$3390,B$1,'United Data'!$C$3:$C$3390,$A1072,'United Data'!$B$3:$B$3390,"&lt;&gt;Off-street")&gt;0,1,0)</f>
        <v>0</v>
      </c>
      <c r="C1072">
        <f>IF(COUNTIFS('United Data'!$A$3:$A$3390,C$1,'United Data'!$C$3:$C$3390,$A1072,'United Data'!$B$3:$B$3390,"&lt;&gt;Off-street")&gt;0,1,0)</f>
        <v>0</v>
      </c>
      <c r="D1072">
        <f>IF(COUNTIFS('United Data'!$A$3:$A$3390,D$1,'United Data'!$C$3:$C$3390,$A1072,'United Data'!$B$3:$B$3390,"&lt;&gt;Off-street")&gt;0,1,0)</f>
        <v>0</v>
      </c>
      <c r="E1072">
        <f>IF(COUNTIFS('United Data'!$A$3:$A$3390,E$1,'United Data'!$C$3:$C$3390,$A1072,'United Data'!$B$3:$B$3390,"&lt;&gt;Off-street")&gt;0,1,0)</f>
        <v>1</v>
      </c>
      <c r="F1072">
        <f>IF(COUNTIFS('United Data'!$A$3:$A$3390,F$1,'United Data'!$C$3:$C$3390,$A1072,'United Data'!$B$3:$B$3390,"&lt;&gt;Off-street")&gt;0,1,0)</f>
        <v>1</v>
      </c>
      <c r="G1072">
        <f>IF(COUNTIFS('United Data'!$A$3:$A$3390,G$1,'United Data'!$C$3:$C$3390,$A1072,'United Data'!$B$3:$B$3390,"&lt;&gt;Off-street")&gt;0,1,0)</f>
        <v>0</v>
      </c>
      <c r="H1072">
        <f>IF(COUNTIFS('United Data'!$A$3:$A$3390,H$1,'United Data'!$C$3:$C$3390,$A1072,'United Data'!$B$3:$B$3390,"&lt;&gt;Off-street")&gt;0,1,0)</f>
        <v>0</v>
      </c>
      <c r="I1072">
        <f>IF(COUNTIFS('United Data'!$A$3:$A$3390,I$1,'United Data'!$C$3:$C$3390,$A1072,'United Data'!$B$3:$B$3390,"&lt;&gt;Off-street")&gt;0,1,0)</f>
        <v>0</v>
      </c>
      <c r="J1072">
        <f>IF(COUNTIFS('United Data'!$A$3:$A$3390,J$1,'United Data'!$C$3:$C$3390,$A1072,'United Data'!$B$3:$B$3390,"&lt;&gt;Off-street")&gt;0,1,0)</f>
        <v>0</v>
      </c>
      <c r="K1072">
        <f>IF(COUNTIFS('United Data'!$A$3:$A$3390,K$1,'United Data'!$C$3:$C$3390,$A1072,'United Data'!$B$3:$B$3390,"&lt;&gt;Off-street")&gt;0,1,0)</f>
        <v>0</v>
      </c>
      <c r="L1072">
        <f>IF(COUNTIFS('United Data'!$A$3:$A$3390,L$1,'United Data'!$C$3:$C$3390,$A1072,'United Data'!$B$3:$B$3390,"&lt;&gt;Off-street")&gt;0,1,0)</f>
        <v>0</v>
      </c>
      <c r="M1072">
        <f>IF(COUNTIFS('United Data'!$A$3:$A$3390,M$1,'United Data'!$C$3:$C$3390,$A1072,'United Data'!$B$3:$B$3390,"&lt;&gt;Off-street")&gt;0,1,0)</f>
        <v>0</v>
      </c>
      <c r="N1072">
        <f>IF(COUNTIFS('United Data'!$A$3:$A$3390,N$1,'United Data'!$C$3:$C$3390,$A1072,'United Data'!$B$3:$B$3390,"&lt;&gt;Off-street")&gt;0,1,0)</f>
        <v>0</v>
      </c>
      <c r="O1072">
        <f>IF(COUNTIFS('United Data'!$A$3:$A$3390,O$1,'United Data'!$C$3:$C$3390,$A1072,'United Data'!$B$3:$B$3390,"&lt;&gt;Off-street")&gt;0,1,0)</f>
        <v>0</v>
      </c>
      <c r="P1072">
        <f>IF(COUNTIFS('United Data'!$A$3:$A$3390,P$1,'United Data'!$C$3:$C$3390,$A1072,'United Data'!$B$3:$B$3390,"&lt;&gt;Off-street")&gt;0,1,0)</f>
        <v>0</v>
      </c>
      <c r="Q1072">
        <f>IF(COUNTIFS('United Data'!$A$3:$A$3390,Q$1,'United Data'!$C$3:$C$3390,$A1072,'United Data'!$B$3:$B$3390,"&lt;&gt;Off-street")&gt;0,1,0)</f>
        <v>0</v>
      </c>
      <c r="R1072">
        <f>IF(COUNTIFS('United Data'!$A$3:$A$3390,R$1,'United Data'!$C$3:$C$3390,$A1072,'United Data'!$B$3:$B$3390,"&lt;&gt;Off-street")&gt;0,1,0)</f>
        <v>0</v>
      </c>
      <c r="S1072">
        <f t="shared" si="32"/>
        <v>2</v>
      </c>
      <c r="T1072">
        <f t="shared" si="33"/>
        <v>1</v>
      </c>
    </row>
    <row r="1073" spans="1:20" x14ac:dyDescent="0.2">
      <c r="A1073" t="s">
        <v>1284</v>
      </c>
      <c r="B1073">
        <f>IF(COUNTIFS('United Data'!$A$3:$A$3390,B$1,'United Data'!$C$3:$C$3390,$A1073,'United Data'!$B$3:$B$3390,"&lt;&gt;Off-street")&gt;0,1,0)</f>
        <v>0</v>
      </c>
      <c r="C1073">
        <f>IF(COUNTIFS('United Data'!$A$3:$A$3390,C$1,'United Data'!$C$3:$C$3390,$A1073,'United Data'!$B$3:$B$3390,"&lt;&gt;Off-street")&gt;0,1,0)</f>
        <v>0</v>
      </c>
      <c r="D1073">
        <f>IF(COUNTIFS('United Data'!$A$3:$A$3390,D$1,'United Data'!$C$3:$C$3390,$A1073,'United Data'!$B$3:$B$3390,"&lt;&gt;Off-street")&gt;0,1,0)</f>
        <v>0</v>
      </c>
      <c r="E1073">
        <f>IF(COUNTIFS('United Data'!$A$3:$A$3390,E$1,'United Data'!$C$3:$C$3390,$A1073,'United Data'!$B$3:$B$3390,"&lt;&gt;Off-street")&gt;0,1,0)</f>
        <v>1</v>
      </c>
      <c r="F1073">
        <f>IF(COUNTIFS('United Data'!$A$3:$A$3390,F$1,'United Data'!$C$3:$C$3390,$A1073,'United Data'!$B$3:$B$3390,"&lt;&gt;Off-street")&gt;0,1,0)</f>
        <v>0</v>
      </c>
      <c r="G1073">
        <f>IF(COUNTIFS('United Data'!$A$3:$A$3390,G$1,'United Data'!$C$3:$C$3390,$A1073,'United Data'!$B$3:$B$3390,"&lt;&gt;Off-street")&gt;0,1,0)</f>
        <v>0</v>
      </c>
      <c r="H1073">
        <f>IF(COUNTIFS('United Data'!$A$3:$A$3390,H$1,'United Data'!$C$3:$C$3390,$A1073,'United Data'!$B$3:$B$3390,"&lt;&gt;Off-street")&gt;0,1,0)</f>
        <v>0</v>
      </c>
      <c r="I1073">
        <f>IF(COUNTIFS('United Data'!$A$3:$A$3390,I$1,'United Data'!$C$3:$C$3390,$A1073,'United Data'!$B$3:$B$3390,"&lt;&gt;Off-street")&gt;0,1,0)</f>
        <v>0</v>
      </c>
      <c r="J1073">
        <f>IF(COUNTIFS('United Data'!$A$3:$A$3390,J$1,'United Data'!$C$3:$C$3390,$A1073,'United Data'!$B$3:$B$3390,"&lt;&gt;Off-street")&gt;0,1,0)</f>
        <v>0</v>
      </c>
      <c r="K1073">
        <f>IF(COUNTIFS('United Data'!$A$3:$A$3390,K$1,'United Data'!$C$3:$C$3390,$A1073,'United Data'!$B$3:$B$3390,"&lt;&gt;Off-street")&gt;0,1,0)</f>
        <v>0</v>
      </c>
      <c r="L1073">
        <f>IF(COUNTIFS('United Data'!$A$3:$A$3390,L$1,'United Data'!$C$3:$C$3390,$A1073,'United Data'!$B$3:$B$3390,"&lt;&gt;Off-street")&gt;0,1,0)</f>
        <v>0</v>
      </c>
      <c r="M1073">
        <f>IF(COUNTIFS('United Data'!$A$3:$A$3390,M$1,'United Data'!$C$3:$C$3390,$A1073,'United Data'!$B$3:$B$3390,"&lt;&gt;Off-street")&gt;0,1,0)</f>
        <v>0</v>
      </c>
      <c r="N1073">
        <f>IF(COUNTIFS('United Data'!$A$3:$A$3390,N$1,'United Data'!$C$3:$C$3390,$A1073,'United Data'!$B$3:$B$3390,"&lt;&gt;Off-street")&gt;0,1,0)</f>
        <v>0</v>
      </c>
      <c r="O1073">
        <f>IF(COUNTIFS('United Data'!$A$3:$A$3390,O$1,'United Data'!$C$3:$C$3390,$A1073,'United Data'!$B$3:$B$3390,"&lt;&gt;Off-street")&gt;0,1,0)</f>
        <v>0</v>
      </c>
      <c r="P1073">
        <f>IF(COUNTIFS('United Data'!$A$3:$A$3390,P$1,'United Data'!$C$3:$C$3390,$A1073,'United Data'!$B$3:$B$3390,"&lt;&gt;Off-street")&gt;0,1,0)</f>
        <v>0</v>
      </c>
      <c r="Q1073">
        <f>IF(COUNTIFS('United Data'!$A$3:$A$3390,Q$1,'United Data'!$C$3:$C$3390,$A1073,'United Data'!$B$3:$B$3390,"&lt;&gt;Off-street")&gt;0,1,0)</f>
        <v>0</v>
      </c>
      <c r="R1073">
        <f>IF(COUNTIFS('United Data'!$A$3:$A$3390,R$1,'United Data'!$C$3:$C$3390,$A1073,'United Data'!$B$3:$B$3390,"&lt;&gt;Off-street")&gt;0,1,0)</f>
        <v>0</v>
      </c>
      <c r="S1073">
        <f t="shared" si="32"/>
        <v>1</v>
      </c>
      <c r="T1073">
        <f t="shared" si="33"/>
        <v>1</v>
      </c>
    </row>
    <row r="1074" spans="1:20" x14ac:dyDescent="0.2">
      <c r="A1074" t="s">
        <v>1285</v>
      </c>
      <c r="B1074">
        <f>IF(COUNTIFS('United Data'!$A$3:$A$3390,B$1,'United Data'!$C$3:$C$3390,$A1074,'United Data'!$B$3:$B$3390,"&lt;&gt;Off-street")&gt;0,1,0)</f>
        <v>0</v>
      </c>
      <c r="C1074">
        <f>IF(COUNTIFS('United Data'!$A$3:$A$3390,C$1,'United Data'!$C$3:$C$3390,$A1074,'United Data'!$B$3:$B$3390,"&lt;&gt;Off-street")&gt;0,1,0)</f>
        <v>0</v>
      </c>
      <c r="D1074">
        <f>IF(COUNTIFS('United Data'!$A$3:$A$3390,D$1,'United Data'!$C$3:$C$3390,$A1074,'United Data'!$B$3:$B$3390,"&lt;&gt;Off-street")&gt;0,1,0)</f>
        <v>0</v>
      </c>
      <c r="E1074">
        <f>IF(COUNTIFS('United Data'!$A$3:$A$3390,E$1,'United Data'!$C$3:$C$3390,$A1074,'United Data'!$B$3:$B$3390,"&lt;&gt;Off-street")&gt;0,1,0)</f>
        <v>1</v>
      </c>
      <c r="F1074">
        <f>IF(COUNTIFS('United Data'!$A$3:$A$3390,F$1,'United Data'!$C$3:$C$3390,$A1074,'United Data'!$B$3:$B$3390,"&lt;&gt;Off-street")&gt;0,1,0)</f>
        <v>1</v>
      </c>
      <c r="G1074">
        <f>IF(COUNTIFS('United Data'!$A$3:$A$3390,G$1,'United Data'!$C$3:$C$3390,$A1074,'United Data'!$B$3:$B$3390,"&lt;&gt;Off-street")&gt;0,1,0)</f>
        <v>0</v>
      </c>
      <c r="H1074">
        <f>IF(COUNTIFS('United Data'!$A$3:$A$3390,H$1,'United Data'!$C$3:$C$3390,$A1074,'United Data'!$B$3:$B$3390,"&lt;&gt;Off-street")&gt;0,1,0)</f>
        <v>0</v>
      </c>
      <c r="I1074">
        <f>IF(COUNTIFS('United Data'!$A$3:$A$3390,I$1,'United Data'!$C$3:$C$3390,$A1074,'United Data'!$B$3:$B$3390,"&lt;&gt;Off-street")&gt;0,1,0)</f>
        <v>0</v>
      </c>
      <c r="J1074">
        <f>IF(COUNTIFS('United Data'!$A$3:$A$3390,J$1,'United Data'!$C$3:$C$3390,$A1074,'United Data'!$B$3:$B$3390,"&lt;&gt;Off-street")&gt;0,1,0)</f>
        <v>0</v>
      </c>
      <c r="K1074">
        <f>IF(COUNTIFS('United Data'!$A$3:$A$3390,K$1,'United Data'!$C$3:$C$3390,$A1074,'United Data'!$B$3:$B$3390,"&lt;&gt;Off-street")&gt;0,1,0)</f>
        <v>0</v>
      </c>
      <c r="L1074">
        <f>IF(COUNTIFS('United Data'!$A$3:$A$3390,L$1,'United Data'!$C$3:$C$3390,$A1074,'United Data'!$B$3:$B$3390,"&lt;&gt;Off-street")&gt;0,1,0)</f>
        <v>0</v>
      </c>
      <c r="M1074">
        <f>IF(COUNTIFS('United Data'!$A$3:$A$3390,M$1,'United Data'!$C$3:$C$3390,$A1074,'United Data'!$B$3:$B$3390,"&lt;&gt;Off-street")&gt;0,1,0)</f>
        <v>0</v>
      </c>
      <c r="N1074">
        <f>IF(COUNTIFS('United Data'!$A$3:$A$3390,N$1,'United Data'!$C$3:$C$3390,$A1074,'United Data'!$B$3:$B$3390,"&lt;&gt;Off-street")&gt;0,1,0)</f>
        <v>0</v>
      </c>
      <c r="O1074">
        <f>IF(COUNTIFS('United Data'!$A$3:$A$3390,O$1,'United Data'!$C$3:$C$3390,$A1074,'United Data'!$B$3:$B$3390,"&lt;&gt;Off-street")&gt;0,1,0)</f>
        <v>1</v>
      </c>
      <c r="P1074">
        <f>IF(COUNTIFS('United Data'!$A$3:$A$3390,P$1,'United Data'!$C$3:$C$3390,$A1074,'United Data'!$B$3:$B$3390,"&lt;&gt;Off-street")&gt;0,1,0)</f>
        <v>0</v>
      </c>
      <c r="Q1074">
        <f>IF(COUNTIFS('United Data'!$A$3:$A$3390,Q$1,'United Data'!$C$3:$C$3390,$A1074,'United Data'!$B$3:$B$3390,"&lt;&gt;Off-street")&gt;0,1,0)</f>
        <v>0</v>
      </c>
      <c r="R1074">
        <f>IF(COUNTIFS('United Data'!$A$3:$A$3390,R$1,'United Data'!$C$3:$C$3390,$A1074,'United Data'!$B$3:$B$3390,"&lt;&gt;Off-street")&gt;0,1,0)</f>
        <v>0</v>
      </c>
      <c r="S1074">
        <f t="shared" si="32"/>
        <v>3</v>
      </c>
      <c r="T1074">
        <f t="shared" si="33"/>
        <v>2</v>
      </c>
    </row>
    <row r="1075" spans="1:20" x14ac:dyDescent="0.2">
      <c r="A1075" t="s">
        <v>1286</v>
      </c>
      <c r="B1075">
        <f>IF(COUNTIFS('United Data'!$A$3:$A$3390,B$1,'United Data'!$C$3:$C$3390,$A1075,'United Data'!$B$3:$B$3390,"&lt;&gt;Off-street")&gt;0,1,0)</f>
        <v>0</v>
      </c>
      <c r="C1075">
        <f>IF(COUNTIFS('United Data'!$A$3:$A$3390,C$1,'United Data'!$C$3:$C$3390,$A1075,'United Data'!$B$3:$B$3390,"&lt;&gt;Off-street")&gt;0,1,0)</f>
        <v>0</v>
      </c>
      <c r="D1075">
        <f>IF(COUNTIFS('United Data'!$A$3:$A$3390,D$1,'United Data'!$C$3:$C$3390,$A1075,'United Data'!$B$3:$B$3390,"&lt;&gt;Off-street")&gt;0,1,0)</f>
        <v>0</v>
      </c>
      <c r="E1075">
        <f>IF(COUNTIFS('United Data'!$A$3:$A$3390,E$1,'United Data'!$C$3:$C$3390,$A1075,'United Data'!$B$3:$B$3390,"&lt;&gt;Off-street")&gt;0,1,0)</f>
        <v>1</v>
      </c>
      <c r="F1075">
        <f>IF(COUNTIFS('United Data'!$A$3:$A$3390,F$1,'United Data'!$C$3:$C$3390,$A1075,'United Data'!$B$3:$B$3390,"&lt;&gt;Off-street")&gt;0,1,0)</f>
        <v>0</v>
      </c>
      <c r="G1075">
        <f>IF(COUNTIFS('United Data'!$A$3:$A$3390,G$1,'United Data'!$C$3:$C$3390,$A1075,'United Data'!$B$3:$B$3390,"&lt;&gt;Off-street")&gt;0,1,0)</f>
        <v>0</v>
      </c>
      <c r="H1075">
        <f>IF(COUNTIFS('United Data'!$A$3:$A$3390,H$1,'United Data'!$C$3:$C$3390,$A1075,'United Data'!$B$3:$B$3390,"&lt;&gt;Off-street")&gt;0,1,0)</f>
        <v>0</v>
      </c>
      <c r="I1075">
        <f>IF(COUNTIFS('United Data'!$A$3:$A$3390,I$1,'United Data'!$C$3:$C$3390,$A1075,'United Data'!$B$3:$B$3390,"&lt;&gt;Off-street")&gt;0,1,0)</f>
        <v>0</v>
      </c>
      <c r="J1075">
        <f>IF(COUNTIFS('United Data'!$A$3:$A$3390,J$1,'United Data'!$C$3:$C$3390,$A1075,'United Data'!$B$3:$B$3390,"&lt;&gt;Off-street")&gt;0,1,0)</f>
        <v>0</v>
      </c>
      <c r="K1075">
        <f>IF(COUNTIFS('United Data'!$A$3:$A$3390,K$1,'United Data'!$C$3:$C$3390,$A1075,'United Data'!$B$3:$B$3390,"&lt;&gt;Off-street")&gt;0,1,0)</f>
        <v>0</v>
      </c>
      <c r="L1075">
        <f>IF(COUNTIFS('United Data'!$A$3:$A$3390,L$1,'United Data'!$C$3:$C$3390,$A1075,'United Data'!$B$3:$B$3390,"&lt;&gt;Off-street")&gt;0,1,0)</f>
        <v>0</v>
      </c>
      <c r="M1075">
        <f>IF(COUNTIFS('United Data'!$A$3:$A$3390,M$1,'United Data'!$C$3:$C$3390,$A1075,'United Data'!$B$3:$B$3390,"&lt;&gt;Off-street")&gt;0,1,0)</f>
        <v>0</v>
      </c>
      <c r="N1075">
        <f>IF(COUNTIFS('United Data'!$A$3:$A$3390,N$1,'United Data'!$C$3:$C$3390,$A1075,'United Data'!$B$3:$B$3390,"&lt;&gt;Off-street")&gt;0,1,0)</f>
        <v>0</v>
      </c>
      <c r="O1075">
        <f>IF(COUNTIFS('United Data'!$A$3:$A$3390,O$1,'United Data'!$C$3:$C$3390,$A1075,'United Data'!$B$3:$B$3390,"&lt;&gt;Off-street")&gt;0,1,0)</f>
        <v>0</v>
      </c>
      <c r="P1075">
        <f>IF(COUNTIFS('United Data'!$A$3:$A$3390,P$1,'United Data'!$C$3:$C$3390,$A1075,'United Data'!$B$3:$B$3390,"&lt;&gt;Off-street")&gt;0,1,0)</f>
        <v>0</v>
      </c>
      <c r="Q1075">
        <f>IF(COUNTIFS('United Data'!$A$3:$A$3390,Q$1,'United Data'!$C$3:$C$3390,$A1075,'United Data'!$B$3:$B$3390,"&lt;&gt;Off-street")&gt;0,1,0)</f>
        <v>0</v>
      </c>
      <c r="R1075">
        <f>IF(COUNTIFS('United Data'!$A$3:$A$3390,R$1,'United Data'!$C$3:$C$3390,$A1075,'United Data'!$B$3:$B$3390,"&lt;&gt;Off-street")&gt;0,1,0)</f>
        <v>0</v>
      </c>
      <c r="S1075">
        <f t="shared" si="32"/>
        <v>1</v>
      </c>
      <c r="T1075">
        <f t="shared" si="33"/>
        <v>1</v>
      </c>
    </row>
    <row r="1076" spans="1:20" x14ac:dyDescent="0.2">
      <c r="A1076" t="s">
        <v>1289</v>
      </c>
      <c r="B1076">
        <f>IF(COUNTIFS('United Data'!$A$3:$A$3390,B$1,'United Data'!$C$3:$C$3390,$A1076,'United Data'!$B$3:$B$3390,"&lt;&gt;Off-street")&gt;0,1,0)</f>
        <v>0</v>
      </c>
      <c r="C1076">
        <f>IF(COUNTIFS('United Data'!$A$3:$A$3390,C$1,'United Data'!$C$3:$C$3390,$A1076,'United Data'!$B$3:$B$3390,"&lt;&gt;Off-street")&gt;0,1,0)</f>
        <v>0</v>
      </c>
      <c r="D1076">
        <f>IF(COUNTIFS('United Data'!$A$3:$A$3390,D$1,'United Data'!$C$3:$C$3390,$A1076,'United Data'!$B$3:$B$3390,"&lt;&gt;Off-street")&gt;0,1,0)</f>
        <v>0</v>
      </c>
      <c r="E1076">
        <f>IF(COUNTIFS('United Data'!$A$3:$A$3390,E$1,'United Data'!$C$3:$C$3390,$A1076,'United Data'!$B$3:$B$3390,"&lt;&gt;Off-street")&gt;0,1,0)</f>
        <v>1</v>
      </c>
      <c r="F1076">
        <f>IF(COUNTIFS('United Data'!$A$3:$A$3390,F$1,'United Data'!$C$3:$C$3390,$A1076,'United Data'!$B$3:$B$3390,"&lt;&gt;Off-street")&gt;0,1,0)</f>
        <v>0</v>
      </c>
      <c r="G1076">
        <f>IF(COUNTIFS('United Data'!$A$3:$A$3390,G$1,'United Data'!$C$3:$C$3390,$A1076,'United Data'!$B$3:$B$3390,"&lt;&gt;Off-street")&gt;0,1,0)</f>
        <v>0</v>
      </c>
      <c r="H1076">
        <f>IF(COUNTIFS('United Data'!$A$3:$A$3390,H$1,'United Data'!$C$3:$C$3390,$A1076,'United Data'!$B$3:$B$3390,"&lt;&gt;Off-street")&gt;0,1,0)</f>
        <v>0</v>
      </c>
      <c r="I1076">
        <f>IF(COUNTIFS('United Data'!$A$3:$A$3390,I$1,'United Data'!$C$3:$C$3390,$A1076,'United Data'!$B$3:$B$3390,"&lt;&gt;Off-street")&gt;0,1,0)</f>
        <v>0</v>
      </c>
      <c r="J1076">
        <f>IF(COUNTIFS('United Data'!$A$3:$A$3390,J$1,'United Data'!$C$3:$C$3390,$A1076,'United Data'!$B$3:$B$3390,"&lt;&gt;Off-street")&gt;0,1,0)</f>
        <v>0</v>
      </c>
      <c r="K1076">
        <f>IF(COUNTIFS('United Data'!$A$3:$A$3390,K$1,'United Data'!$C$3:$C$3390,$A1076,'United Data'!$B$3:$B$3390,"&lt;&gt;Off-street")&gt;0,1,0)</f>
        <v>0</v>
      </c>
      <c r="L1076">
        <f>IF(COUNTIFS('United Data'!$A$3:$A$3390,L$1,'United Data'!$C$3:$C$3390,$A1076,'United Data'!$B$3:$B$3390,"&lt;&gt;Off-street")&gt;0,1,0)</f>
        <v>0</v>
      </c>
      <c r="M1076">
        <f>IF(COUNTIFS('United Data'!$A$3:$A$3390,M$1,'United Data'!$C$3:$C$3390,$A1076,'United Data'!$B$3:$B$3390,"&lt;&gt;Off-street")&gt;0,1,0)</f>
        <v>0</v>
      </c>
      <c r="N1076">
        <f>IF(COUNTIFS('United Data'!$A$3:$A$3390,N$1,'United Data'!$C$3:$C$3390,$A1076,'United Data'!$B$3:$B$3390,"&lt;&gt;Off-street")&gt;0,1,0)</f>
        <v>0</v>
      </c>
      <c r="O1076">
        <f>IF(COUNTIFS('United Data'!$A$3:$A$3390,O$1,'United Data'!$C$3:$C$3390,$A1076,'United Data'!$B$3:$B$3390,"&lt;&gt;Off-street")&gt;0,1,0)</f>
        <v>0</v>
      </c>
      <c r="P1076">
        <f>IF(COUNTIFS('United Data'!$A$3:$A$3390,P$1,'United Data'!$C$3:$C$3390,$A1076,'United Data'!$B$3:$B$3390,"&lt;&gt;Off-street")&gt;0,1,0)</f>
        <v>0</v>
      </c>
      <c r="Q1076">
        <f>IF(COUNTIFS('United Data'!$A$3:$A$3390,Q$1,'United Data'!$C$3:$C$3390,$A1076,'United Data'!$B$3:$B$3390,"&lt;&gt;Off-street")&gt;0,1,0)</f>
        <v>0</v>
      </c>
      <c r="R1076">
        <f>IF(COUNTIFS('United Data'!$A$3:$A$3390,R$1,'United Data'!$C$3:$C$3390,$A1076,'United Data'!$B$3:$B$3390,"&lt;&gt;Off-street")&gt;0,1,0)</f>
        <v>0</v>
      </c>
      <c r="S1076">
        <f t="shared" si="32"/>
        <v>1</v>
      </c>
      <c r="T1076">
        <f t="shared" si="33"/>
        <v>1</v>
      </c>
    </row>
    <row r="1077" spans="1:20" x14ac:dyDescent="0.2">
      <c r="A1077" t="s">
        <v>1290</v>
      </c>
      <c r="B1077">
        <f>IF(COUNTIFS('United Data'!$A$3:$A$3390,B$1,'United Data'!$C$3:$C$3390,$A1077,'United Data'!$B$3:$B$3390,"&lt;&gt;Off-street")&gt;0,1,0)</f>
        <v>0</v>
      </c>
      <c r="C1077">
        <f>IF(COUNTIFS('United Data'!$A$3:$A$3390,C$1,'United Data'!$C$3:$C$3390,$A1077,'United Data'!$B$3:$B$3390,"&lt;&gt;Off-street")&gt;0,1,0)</f>
        <v>0</v>
      </c>
      <c r="D1077">
        <f>IF(COUNTIFS('United Data'!$A$3:$A$3390,D$1,'United Data'!$C$3:$C$3390,$A1077,'United Data'!$B$3:$B$3390,"&lt;&gt;Off-street")&gt;0,1,0)</f>
        <v>0</v>
      </c>
      <c r="E1077">
        <f>IF(COUNTIFS('United Data'!$A$3:$A$3390,E$1,'United Data'!$C$3:$C$3390,$A1077,'United Data'!$B$3:$B$3390,"&lt;&gt;Off-street")&gt;0,1,0)</f>
        <v>1</v>
      </c>
      <c r="F1077">
        <f>IF(COUNTIFS('United Data'!$A$3:$A$3390,F$1,'United Data'!$C$3:$C$3390,$A1077,'United Data'!$B$3:$B$3390,"&lt;&gt;Off-street")&gt;0,1,0)</f>
        <v>0</v>
      </c>
      <c r="G1077">
        <f>IF(COUNTIFS('United Data'!$A$3:$A$3390,G$1,'United Data'!$C$3:$C$3390,$A1077,'United Data'!$B$3:$B$3390,"&lt;&gt;Off-street")&gt;0,1,0)</f>
        <v>0</v>
      </c>
      <c r="H1077">
        <f>IF(COUNTIFS('United Data'!$A$3:$A$3390,H$1,'United Data'!$C$3:$C$3390,$A1077,'United Data'!$B$3:$B$3390,"&lt;&gt;Off-street")&gt;0,1,0)</f>
        <v>0</v>
      </c>
      <c r="I1077">
        <f>IF(COUNTIFS('United Data'!$A$3:$A$3390,I$1,'United Data'!$C$3:$C$3390,$A1077,'United Data'!$B$3:$B$3390,"&lt;&gt;Off-street")&gt;0,1,0)</f>
        <v>0</v>
      </c>
      <c r="J1077">
        <f>IF(COUNTIFS('United Data'!$A$3:$A$3390,J$1,'United Data'!$C$3:$C$3390,$A1077,'United Data'!$B$3:$B$3390,"&lt;&gt;Off-street")&gt;0,1,0)</f>
        <v>0</v>
      </c>
      <c r="K1077">
        <f>IF(COUNTIFS('United Data'!$A$3:$A$3390,K$1,'United Data'!$C$3:$C$3390,$A1077,'United Data'!$B$3:$B$3390,"&lt;&gt;Off-street")&gt;0,1,0)</f>
        <v>0</v>
      </c>
      <c r="L1077">
        <f>IF(COUNTIFS('United Data'!$A$3:$A$3390,L$1,'United Data'!$C$3:$C$3390,$A1077,'United Data'!$B$3:$B$3390,"&lt;&gt;Off-street")&gt;0,1,0)</f>
        <v>0</v>
      </c>
      <c r="M1077">
        <f>IF(COUNTIFS('United Data'!$A$3:$A$3390,M$1,'United Data'!$C$3:$C$3390,$A1077,'United Data'!$B$3:$B$3390,"&lt;&gt;Off-street")&gt;0,1,0)</f>
        <v>0</v>
      </c>
      <c r="N1077">
        <f>IF(COUNTIFS('United Data'!$A$3:$A$3390,N$1,'United Data'!$C$3:$C$3390,$A1077,'United Data'!$B$3:$B$3390,"&lt;&gt;Off-street")&gt;0,1,0)</f>
        <v>0</v>
      </c>
      <c r="O1077">
        <f>IF(COUNTIFS('United Data'!$A$3:$A$3390,O$1,'United Data'!$C$3:$C$3390,$A1077,'United Data'!$B$3:$B$3390,"&lt;&gt;Off-street")&gt;0,1,0)</f>
        <v>0</v>
      </c>
      <c r="P1077">
        <f>IF(COUNTIFS('United Data'!$A$3:$A$3390,P$1,'United Data'!$C$3:$C$3390,$A1077,'United Data'!$B$3:$B$3390,"&lt;&gt;Off-street")&gt;0,1,0)</f>
        <v>0</v>
      </c>
      <c r="Q1077">
        <f>IF(COUNTIFS('United Data'!$A$3:$A$3390,Q$1,'United Data'!$C$3:$C$3390,$A1077,'United Data'!$B$3:$B$3390,"&lt;&gt;Off-street")&gt;0,1,0)</f>
        <v>0</v>
      </c>
      <c r="R1077">
        <f>IF(COUNTIFS('United Data'!$A$3:$A$3390,R$1,'United Data'!$C$3:$C$3390,$A1077,'United Data'!$B$3:$B$3390,"&lt;&gt;Off-street")&gt;0,1,0)</f>
        <v>0</v>
      </c>
      <c r="S1077">
        <f t="shared" si="32"/>
        <v>1</v>
      </c>
      <c r="T1077">
        <f t="shared" si="33"/>
        <v>1</v>
      </c>
    </row>
    <row r="1078" spans="1:20" x14ac:dyDescent="0.2">
      <c r="A1078" t="s">
        <v>1291</v>
      </c>
      <c r="B1078">
        <f>IF(COUNTIFS('United Data'!$A$3:$A$3390,B$1,'United Data'!$C$3:$C$3390,$A1078,'United Data'!$B$3:$B$3390,"&lt;&gt;Off-street")&gt;0,1,0)</f>
        <v>0</v>
      </c>
      <c r="C1078">
        <f>IF(COUNTIFS('United Data'!$A$3:$A$3390,C$1,'United Data'!$C$3:$C$3390,$A1078,'United Data'!$B$3:$B$3390,"&lt;&gt;Off-street")&gt;0,1,0)</f>
        <v>0</v>
      </c>
      <c r="D1078">
        <f>IF(COUNTIFS('United Data'!$A$3:$A$3390,D$1,'United Data'!$C$3:$C$3390,$A1078,'United Data'!$B$3:$B$3390,"&lt;&gt;Off-street")&gt;0,1,0)</f>
        <v>0</v>
      </c>
      <c r="E1078">
        <f>IF(COUNTIFS('United Data'!$A$3:$A$3390,E$1,'United Data'!$C$3:$C$3390,$A1078,'United Data'!$B$3:$B$3390,"&lt;&gt;Off-street")&gt;0,1,0)</f>
        <v>1</v>
      </c>
      <c r="F1078">
        <f>IF(COUNTIFS('United Data'!$A$3:$A$3390,F$1,'United Data'!$C$3:$C$3390,$A1078,'United Data'!$B$3:$B$3390,"&lt;&gt;Off-street")&gt;0,1,0)</f>
        <v>1</v>
      </c>
      <c r="G1078">
        <f>IF(COUNTIFS('United Data'!$A$3:$A$3390,G$1,'United Data'!$C$3:$C$3390,$A1078,'United Data'!$B$3:$B$3390,"&lt;&gt;Off-street")&gt;0,1,0)</f>
        <v>0</v>
      </c>
      <c r="H1078">
        <f>IF(COUNTIFS('United Data'!$A$3:$A$3390,H$1,'United Data'!$C$3:$C$3390,$A1078,'United Data'!$B$3:$B$3390,"&lt;&gt;Off-street")&gt;0,1,0)</f>
        <v>0</v>
      </c>
      <c r="I1078">
        <f>IF(COUNTIFS('United Data'!$A$3:$A$3390,I$1,'United Data'!$C$3:$C$3390,$A1078,'United Data'!$B$3:$B$3390,"&lt;&gt;Off-street")&gt;0,1,0)</f>
        <v>0</v>
      </c>
      <c r="J1078">
        <f>IF(COUNTIFS('United Data'!$A$3:$A$3390,J$1,'United Data'!$C$3:$C$3390,$A1078,'United Data'!$B$3:$B$3390,"&lt;&gt;Off-street")&gt;0,1,0)</f>
        <v>0</v>
      </c>
      <c r="K1078">
        <f>IF(COUNTIFS('United Data'!$A$3:$A$3390,K$1,'United Data'!$C$3:$C$3390,$A1078,'United Data'!$B$3:$B$3390,"&lt;&gt;Off-street")&gt;0,1,0)</f>
        <v>0</v>
      </c>
      <c r="L1078">
        <f>IF(COUNTIFS('United Data'!$A$3:$A$3390,L$1,'United Data'!$C$3:$C$3390,$A1078,'United Data'!$B$3:$B$3390,"&lt;&gt;Off-street")&gt;0,1,0)</f>
        <v>0</v>
      </c>
      <c r="M1078">
        <f>IF(COUNTIFS('United Data'!$A$3:$A$3390,M$1,'United Data'!$C$3:$C$3390,$A1078,'United Data'!$B$3:$B$3390,"&lt;&gt;Off-street")&gt;0,1,0)</f>
        <v>0</v>
      </c>
      <c r="N1078">
        <f>IF(COUNTIFS('United Data'!$A$3:$A$3390,N$1,'United Data'!$C$3:$C$3390,$A1078,'United Data'!$B$3:$B$3390,"&lt;&gt;Off-street")&gt;0,1,0)</f>
        <v>0</v>
      </c>
      <c r="O1078">
        <f>IF(COUNTIFS('United Data'!$A$3:$A$3390,O$1,'United Data'!$C$3:$C$3390,$A1078,'United Data'!$B$3:$B$3390,"&lt;&gt;Off-street")&gt;0,1,0)</f>
        <v>0</v>
      </c>
      <c r="P1078">
        <f>IF(COUNTIFS('United Data'!$A$3:$A$3390,P$1,'United Data'!$C$3:$C$3390,$A1078,'United Data'!$B$3:$B$3390,"&lt;&gt;Off-street")&gt;0,1,0)</f>
        <v>0</v>
      </c>
      <c r="Q1078">
        <f>IF(COUNTIFS('United Data'!$A$3:$A$3390,Q$1,'United Data'!$C$3:$C$3390,$A1078,'United Data'!$B$3:$B$3390,"&lt;&gt;Off-street")&gt;0,1,0)</f>
        <v>0</v>
      </c>
      <c r="R1078">
        <f>IF(COUNTIFS('United Data'!$A$3:$A$3390,R$1,'United Data'!$C$3:$C$3390,$A1078,'United Data'!$B$3:$B$3390,"&lt;&gt;Off-street")&gt;0,1,0)</f>
        <v>0</v>
      </c>
      <c r="S1078">
        <f t="shared" si="32"/>
        <v>2</v>
      </c>
      <c r="T1078">
        <f t="shared" si="33"/>
        <v>1</v>
      </c>
    </row>
    <row r="1079" spans="1:20" x14ac:dyDescent="0.2">
      <c r="A1079" t="s">
        <v>1292</v>
      </c>
      <c r="B1079">
        <f>IF(COUNTIFS('United Data'!$A$3:$A$3390,B$1,'United Data'!$C$3:$C$3390,$A1079,'United Data'!$B$3:$B$3390,"&lt;&gt;Off-street")&gt;0,1,0)</f>
        <v>0</v>
      </c>
      <c r="C1079">
        <f>IF(COUNTIFS('United Data'!$A$3:$A$3390,C$1,'United Data'!$C$3:$C$3390,$A1079,'United Data'!$B$3:$B$3390,"&lt;&gt;Off-street")&gt;0,1,0)</f>
        <v>0</v>
      </c>
      <c r="D1079">
        <f>IF(COUNTIFS('United Data'!$A$3:$A$3390,D$1,'United Data'!$C$3:$C$3390,$A1079,'United Data'!$B$3:$B$3390,"&lt;&gt;Off-street")&gt;0,1,0)</f>
        <v>0</v>
      </c>
      <c r="E1079">
        <f>IF(COUNTIFS('United Data'!$A$3:$A$3390,E$1,'United Data'!$C$3:$C$3390,$A1079,'United Data'!$B$3:$B$3390,"&lt;&gt;Off-street")&gt;0,1,0)</f>
        <v>1</v>
      </c>
      <c r="F1079">
        <f>IF(COUNTIFS('United Data'!$A$3:$A$3390,F$1,'United Data'!$C$3:$C$3390,$A1079,'United Data'!$B$3:$B$3390,"&lt;&gt;Off-street")&gt;0,1,0)</f>
        <v>1</v>
      </c>
      <c r="G1079">
        <f>IF(COUNTIFS('United Data'!$A$3:$A$3390,G$1,'United Data'!$C$3:$C$3390,$A1079,'United Data'!$B$3:$B$3390,"&lt;&gt;Off-street")&gt;0,1,0)</f>
        <v>0</v>
      </c>
      <c r="H1079">
        <f>IF(COUNTIFS('United Data'!$A$3:$A$3390,H$1,'United Data'!$C$3:$C$3390,$A1079,'United Data'!$B$3:$B$3390,"&lt;&gt;Off-street")&gt;0,1,0)</f>
        <v>0</v>
      </c>
      <c r="I1079">
        <f>IF(COUNTIFS('United Data'!$A$3:$A$3390,I$1,'United Data'!$C$3:$C$3390,$A1079,'United Data'!$B$3:$B$3390,"&lt;&gt;Off-street")&gt;0,1,0)</f>
        <v>0</v>
      </c>
      <c r="J1079">
        <f>IF(COUNTIFS('United Data'!$A$3:$A$3390,J$1,'United Data'!$C$3:$C$3390,$A1079,'United Data'!$B$3:$B$3390,"&lt;&gt;Off-street")&gt;0,1,0)</f>
        <v>1</v>
      </c>
      <c r="K1079">
        <f>IF(COUNTIFS('United Data'!$A$3:$A$3390,K$1,'United Data'!$C$3:$C$3390,$A1079,'United Data'!$B$3:$B$3390,"&lt;&gt;Off-street")&gt;0,1,0)</f>
        <v>0</v>
      </c>
      <c r="L1079">
        <f>IF(COUNTIFS('United Data'!$A$3:$A$3390,L$1,'United Data'!$C$3:$C$3390,$A1079,'United Data'!$B$3:$B$3390,"&lt;&gt;Off-street")&gt;0,1,0)</f>
        <v>0</v>
      </c>
      <c r="M1079">
        <f>IF(COUNTIFS('United Data'!$A$3:$A$3390,M$1,'United Data'!$C$3:$C$3390,$A1079,'United Data'!$B$3:$B$3390,"&lt;&gt;Off-street")&gt;0,1,0)</f>
        <v>0</v>
      </c>
      <c r="N1079">
        <f>IF(COUNTIFS('United Data'!$A$3:$A$3390,N$1,'United Data'!$C$3:$C$3390,$A1079,'United Data'!$B$3:$B$3390,"&lt;&gt;Off-street")&gt;0,1,0)</f>
        <v>1</v>
      </c>
      <c r="O1079">
        <f>IF(COUNTIFS('United Data'!$A$3:$A$3390,O$1,'United Data'!$C$3:$C$3390,$A1079,'United Data'!$B$3:$B$3390,"&lt;&gt;Off-street")&gt;0,1,0)</f>
        <v>0</v>
      </c>
      <c r="P1079">
        <f>IF(COUNTIFS('United Data'!$A$3:$A$3390,P$1,'United Data'!$C$3:$C$3390,$A1079,'United Data'!$B$3:$B$3390,"&lt;&gt;Off-street")&gt;0,1,0)</f>
        <v>0</v>
      </c>
      <c r="Q1079">
        <f>IF(COUNTIFS('United Data'!$A$3:$A$3390,Q$1,'United Data'!$C$3:$C$3390,$A1079,'United Data'!$B$3:$B$3390,"&lt;&gt;Off-street")&gt;0,1,0)</f>
        <v>0</v>
      </c>
      <c r="R1079">
        <f>IF(COUNTIFS('United Data'!$A$3:$A$3390,R$1,'United Data'!$C$3:$C$3390,$A1079,'United Data'!$B$3:$B$3390,"&lt;&gt;Off-street")&gt;0,1,0)</f>
        <v>0</v>
      </c>
      <c r="S1079">
        <f t="shared" si="32"/>
        <v>4</v>
      </c>
      <c r="T1079">
        <f t="shared" si="33"/>
        <v>3</v>
      </c>
    </row>
    <row r="1080" spans="1:20" x14ac:dyDescent="0.2">
      <c r="A1080" t="s">
        <v>1294</v>
      </c>
      <c r="B1080">
        <f>IF(COUNTIFS('United Data'!$A$3:$A$3390,B$1,'United Data'!$C$3:$C$3390,$A1080,'United Data'!$B$3:$B$3390,"&lt;&gt;Off-street")&gt;0,1,0)</f>
        <v>0</v>
      </c>
      <c r="C1080">
        <f>IF(COUNTIFS('United Data'!$A$3:$A$3390,C$1,'United Data'!$C$3:$C$3390,$A1080,'United Data'!$B$3:$B$3390,"&lt;&gt;Off-street")&gt;0,1,0)</f>
        <v>0</v>
      </c>
      <c r="D1080">
        <f>IF(COUNTIFS('United Data'!$A$3:$A$3390,D$1,'United Data'!$C$3:$C$3390,$A1080,'United Data'!$B$3:$B$3390,"&lt;&gt;Off-street")&gt;0,1,0)</f>
        <v>0</v>
      </c>
      <c r="E1080">
        <f>IF(COUNTIFS('United Data'!$A$3:$A$3390,E$1,'United Data'!$C$3:$C$3390,$A1080,'United Data'!$B$3:$B$3390,"&lt;&gt;Off-street")&gt;0,1,0)</f>
        <v>0</v>
      </c>
      <c r="F1080">
        <f>IF(COUNTIFS('United Data'!$A$3:$A$3390,F$1,'United Data'!$C$3:$C$3390,$A1080,'United Data'!$B$3:$B$3390,"&lt;&gt;Off-street")&gt;0,1,0)</f>
        <v>1</v>
      </c>
      <c r="G1080">
        <f>IF(COUNTIFS('United Data'!$A$3:$A$3390,G$1,'United Data'!$C$3:$C$3390,$A1080,'United Data'!$B$3:$B$3390,"&lt;&gt;Off-street")&gt;0,1,0)</f>
        <v>0</v>
      </c>
      <c r="H1080">
        <f>IF(COUNTIFS('United Data'!$A$3:$A$3390,H$1,'United Data'!$C$3:$C$3390,$A1080,'United Data'!$B$3:$B$3390,"&lt;&gt;Off-street")&gt;0,1,0)</f>
        <v>0</v>
      </c>
      <c r="I1080">
        <f>IF(COUNTIFS('United Data'!$A$3:$A$3390,I$1,'United Data'!$C$3:$C$3390,$A1080,'United Data'!$B$3:$B$3390,"&lt;&gt;Off-street")&gt;0,1,0)</f>
        <v>0</v>
      </c>
      <c r="J1080">
        <f>IF(COUNTIFS('United Data'!$A$3:$A$3390,J$1,'United Data'!$C$3:$C$3390,$A1080,'United Data'!$B$3:$B$3390,"&lt;&gt;Off-street")&gt;0,1,0)</f>
        <v>0</v>
      </c>
      <c r="K1080">
        <f>IF(COUNTIFS('United Data'!$A$3:$A$3390,K$1,'United Data'!$C$3:$C$3390,$A1080,'United Data'!$B$3:$B$3390,"&lt;&gt;Off-street")&gt;0,1,0)</f>
        <v>0</v>
      </c>
      <c r="L1080">
        <f>IF(COUNTIFS('United Data'!$A$3:$A$3390,L$1,'United Data'!$C$3:$C$3390,$A1080,'United Data'!$B$3:$B$3390,"&lt;&gt;Off-street")&gt;0,1,0)</f>
        <v>0</v>
      </c>
      <c r="M1080">
        <f>IF(COUNTIFS('United Data'!$A$3:$A$3390,M$1,'United Data'!$C$3:$C$3390,$A1080,'United Data'!$B$3:$B$3390,"&lt;&gt;Off-street")&gt;0,1,0)</f>
        <v>0</v>
      </c>
      <c r="N1080">
        <f>IF(COUNTIFS('United Data'!$A$3:$A$3390,N$1,'United Data'!$C$3:$C$3390,$A1080,'United Data'!$B$3:$B$3390,"&lt;&gt;Off-street")&gt;0,1,0)</f>
        <v>0</v>
      </c>
      <c r="O1080">
        <f>IF(COUNTIFS('United Data'!$A$3:$A$3390,O$1,'United Data'!$C$3:$C$3390,$A1080,'United Data'!$B$3:$B$3390,"&lt;&gt;Off-street")&gt;0,1,0)</f>
        <v>0</v>
      </c>
      <c r="P1080">
        <f>IF(COUNTIFS('United Data'!$A$3:$A$3390,P$1,'United Data'!$C$3:$C$3390,$A1080,'United Data'!$B$3:$B$3390,"&lt;&gt;Off-street")&gt;0,1,0)</f>
        <v>0</v>
      </c>
      <c r="Q1080">
        <f>IF(COUNTIFS('United Data'!$A$3:$A$3390,Q$1,'United Data'!$C$3:$C$3390,$A1080,'United Data'!$B$3:$B$3390,"&lt;&gt;Off-street")&gt;0,1,0)</f>
        <v>0</v>
      </c>
      <c r="R1080">
        <f>IF(COUNTIFS('United Data'!$A$3:$A$3390,R$1,'United Data'!$C$3:$C$3390,$A1080,'United Data'!$B$3:$B$3390,"&lt;&gt;Off-street")&gt;0,1,0)</f>
        <v>0</v>
      </c>
      <c r="S1080">
        <f t="shared" si="32"/>
        <v>1</v>
      </c>
      <c r="T1080">
        <f t="shared" si="33"/>
        <v>1</v>
      </c>
    </row>
    <row r="1081" spans="1:20" x14ac:dyDescent="0.2">
      <c r="A1081" t="s">
        <v>1295</v>
      </c>
      <c r="B1081">
        <f>IF(COUNTIFS('United Data'!$A$3:$A$3390,B$1,'United Data'!$C$3:$C$3390,$A1081,'United Data'!$B$3:$B$3390,"&lt;&gt;Off-street")&gt;0,1,0)</f>
        <v>0</v>
      </c>
      <c r="C1081">
        <f>IF(COUNTIFS('United Data'!$A$3:$A$3390,C$1,'United Data'!$C$3:$C$3390,$A1081,'United Data'!$B$3:$B$3390,"&lt;&gt;Off-street")&gt;0,1,0)</f>
        <v>0</v>
      </c>
      <c r="D1081">
        <f>IF(COUNTIFS('United Data'!$A$3:$A$3390,D$1,'United Data'!$C$3:$C$3390,$A1081,'United Data'!$B$3:$B$3390,"&lt;&gt;Off-street")&gt;0,1,0)</f>
        <v>0</v>
      </c>
      <c r="E1081">
        <f>IF(COUNTIFS('United Data'!$A$3:$A$3390,E$1,'United Data'!$C$3:$C$3390,$A1081,'United Data'!$B$3:$B$3390,"&lt;&gt;Off-street")&gt;0,1,0)</f>
        <v>0</v>
      </c>
      <c r="F1081">
        <f>IF(COUNTIFS('United Data'!$A$3:$A$3390,F$1,'United Data'!$C$3:$C$3390,$A1081,'United Data'!$B$3:$B$3390,"&lt;&gt;Off-street")&gt;0,1,0)</f>
        <v>1</v>
      </c>
      <c r="G1081">
        <f>IF(COUNTIFS('United Data'!$A$3:$A$3390,G$1,'United Data'!$C$3:$C$3390,$A1081,'United Data'!$B$3:$B$3390,"&lt;&gt;Off-street")&gt;0,1,0)</f>
        <v>0</v>
      </c>
      <c r="H1081">
        <f>IF(COUNTIFS('United Data'!$A$3:$A$3390,H$1,'United Data'!$C$3:$C$3390,$A1081,'United Data'!$B$3:$B$3390,"&lt;&gt;Off-street")&gt;0,1,0)</f>
        <v>0</v>
      </c>
      <c r="I1081">
        <f>IF(COUNTIFS('United Data'!$A$3:$A$3390,I$1,'United Data'!$C$3:$C$3390,$A1081,'United Data'!$B$3:$B$3390,"&lt;&gt;Off-street")&gt;0,1,0)</f>
        <v>0</v>
      </c>
      <c r="J1081">
        <f>IF(COUNTIFS('United Data'!$A$3:$A$3390,J$1,'United Data'!$C$3:$C$3390,$A1081,'United Data'!$B$3:$B$3390,"&lt;&gt;Off-street")&gt;0,1,0)</f>
        <v>0</v>
      </c>
      <c r="K1081">
        <f>IF(COUNTIFS('United Data'!$A$3:$A$3390,K$1,'United Data'!$C$3:$C$3390,$A1081,'United Data'!$B$3:$B$3390,"&lt;&gt;Off-street")&gt;0,1,0)</f>
        <v>0</v>
      </c>
      <c r="L1081">
        <f>IF(COUNTIFS('United Data'!$A$3:$A$3390,L$1,'United Data'!$C$3:$C$3390,$A1081,'United Data'!$B$3:$B$3390,"&lt;&gt;Off-street")&gt;0,1,0)</f>
        <v>0</v>
      </c>
      <c r="M1081">
        <f>IF(COUNTIFS('United Data'!$A$3:$A$3390,M$1,'United Data'!$C$3:$C$3390,$A1081,'United Data'!$B$3:$B$3390,"&lt;&gt;Off-street")&gt;0,1,0)</f>
        <v>0</v>
      </c>
      <c r="N1081">
        <f>IF(COUNTIFS('United Data'!$A$3:$A$3390,N$1,'United Data'!$C$3:$C$3390,$A1081,'United Data'!$B$3:$B$3390,"&lt;&gt;Off-street")&gt;0,1,0)</f>
        <v>0</v>
      </c>
      <c r="O1081">
        <f>IF(COUNTIFS('United Data'!$A$3:$A$3390,O$1,'United Data'!$C$3:$C$3390,$A1081,'United Data'!$B$3:$B$3390,"&lt;&gt;Off-street")&gt;0,1,0)</f>
        <v>0</v>
      </c>
      <c r="P1081">
        <f>IF(COUNTIFS('United Data'!$A$3:$A$3390,P$1,'United Data'!$C$3:$C$3390,$A1081,'United Data'!$B$3:$B$3390,"&lt;&gt;Off-street")&gt;0,1,0)</f>
        <v>0</v>
      </c>
      <c r="Q1081">
        <f>IF(COUNTIFS('United Data'!$A$3:$A$3390,Q$1,'United Data'!$C$3:$C$3390,$A1081,'United Data'!$B$3:$B$3390,"&lt;&gt;Off-street")&gt;0,1,0)</f>
        <v>0</v>
      </c>
      <c r="R1081">
        <f>IF(COUNTIFS('United Data'!$A$3:$A$3390,R$1,'United Data'!$C$3:$C$3390,$A1081,'United Data'!$B$3:$B$3390,"&lt;&gt;Off-street")&gt;0,1,0)</f>
        <v>0</v>
      </c>
      <c r="S1081">
        <f t="shared" si="32"/>
        <v>1</v>
      </c>
      <c r="T1081">
        <f t="shared" si="33"/>
        <v>1</v>
      </c>
    </row>
    <row r="1082" spans="1:20" x14ac:dyDescent="0.2">
      <c r="A1082" t="s">
        <v>1296</v>
      </c>
      <c r="B1082">
        <f>IF(COUNTIFS('United Data'!$A$3:$A$3390,B$1,'United Data'!$C$3:$C$3390,$A1082,'United Data'!$B$3:$B$3390,"&lt;&gt;Off-street")&gt;0,1,0)</f>
        <v>0</v>
      </c>
      <c r="C1082">
        <f>IF(COUNTIFS('United Data'!$A$3:$A$3390,C$1,'United Data'!$C$3:$C$3390,$A1082,'United Data'!$B$3:$B$3390,"&lt;&gt;Off-street")&gt;0,1,0)</f>
        <v>0</v>
      </c>
      <c r="D1082">
        <f>IF(COUNTIFS('United Data'!$A$3:$A$3390,D$1,'United Data'!$C$3:$C$3390,$A1082,'United Data'!$B$3:$B$3390,"&lt;&gt;Off-street")&gt;0,1,0)</f>
        <v>0</v>
      </c>
      <c r="E1082">
        <f>IF(COUNTIFS('United Data'!$A$3:$A$3390,E$1,'United Data'!$C$3:$C$3390,$A1082,'United Data'!$B$3:$B$3390,"&lt;&gt;Off-street")&gt;0,1,0)</f>
        <v>0</v>
      </c>
      <c r="F1082">
        <f>IF(COUNTIFS('United Data'!$A$3:$A$3390,F$1,'United Data'!$C$3:$C$3390,$A1082,'United Data'!$B$3:$B$3390,"&lt;&gt;Off-street")&gt;0,1,0)</f>
        <v>1</v>
      </c>
      <c r="G1082">
        <f>IF(COUNTIFS('United Data'!$A$3:$A$3390,G$1,'United Data'!$C$3:$C$3390,$A1082,'United Data'!$B$3:$B$3390,"&lt;&gt;Off-street")&gt;0,1,0)</f>
        <v>0</v>
      </c>
      <c r="H1082">
        <f>IF(COUNTIFS('United Data'!$A$3:$A$3390,H$1,'United Data'!$C$3:$C$3390,$A1082,'United Data'!$B$3:$B$3390,"&lt;&gt;Off-street")&gt;0,1,0)</f>
        <v>0</v>
      </c>
      <c r="I1082">
        <f>IF(COUNTIFS('United Data'!$A$3:$A$3390,I$1,'United Data'!$C$3:$C$3390,$A1082,'United Data'!$B$3:$B$3390,"&lt;&gt;Off-street")&gt;0,1,0)</f>
        <v>0</v>
      </c>
      <c r="J1082">
        <f>IF(COUNTIFS('United Data'!$A$3:$A$3390,J$1,'United Data'!$C$3:$C$3390,$A1082,'United Data'!$B$3:$B$3390,"&lt;&gt;Off-street")&gt;0,1,0)</f>
        <v>0</v>
      </c>
      <c r="K1082">
        <f>IF(COUNTIFS('United Data'!$A$3:$A$3390,K$1,'United Data'!$C$3:$C$3390,$A1082,'United Data'!$B$3:$B$3390,"&lt;&gt;Off-street")&gt;0,1,0)</f>
        <v>0</v>
      </c>
      <c r="L1082">
        <f>IF(COUNTIFS('United Data'!$A$3:$A$3390,L$1,'United Data'!$C$3:$C$3390,$A1082,'United Data'!$B$3:$B$3390,"&lt;&gt;Off-street")&gt;0,1,0)</f>
        <v>0</v>
      </c>
      <c r="M1082">
        <f>IF(COUNTIFS('United Data'!$A$3:$A$3390,M$1,'United Data'!$C$3:$C$3390,$A1082,'United Data'!$B$3:$B$3390,"&lt;&gt;Off-street")&gt;0,1,0)</f>
        <v>0</v>
      </c>
      <c r="N1082">
        <f>IF(COUNTIFS('United Data'!$A$3:$A$3390,N$1,'United Data'!$C$3:$C$3390,$A1082,'United Data'!$B$3:$B$3390,"&lt;&gt;Off-street")&gt;0,1,0)</f>
        <v>0</v>
      </c>
      <c r="O1082">
        <f>IF(COUNTIFS('United Data'!$A$3:$A$3390,O$1,'United Data'!$C$3:$C$3390,$A1082,'United Data'!$B$3:$B$3390,"&lt;&gt;Off-street")&gt;0,1,0)</f>
        <v>0</v>
      </c>
      <c r="P1082">
        <f>IF(COUNTIFS('United Data'!$A$3:$A$3390,P$1,'United Data'!$C$3:$C$3390,$A1082,'United Data'!$B$3:$B$3390,"&lt;&gt;Off-street")&gt;0,1,0)</f>
        <v>0</v>
      </c>
      <c r="Q1082">
        <f>IF(COUNTIFS('United Data'!$A$3:$A$3390,Q$1,'United Data'!$C$3:$C$3390,$A1082,'United Data'!$B$3:$B$3390,"&lt;&gt;Off-street")&gt;0,1,0)</f>
        <v>0</v>
      </c>
      <c r="R1082">
        <f>IF(COUNTIFS('United Data'!$A$3:$A$3390,R$1,'United Data'!$C$3:$C$3390,$A1082,'United Data'!$B$3:$B$3390,"&lt;&gt;Off-street")&gt;0,1,0)</f>
        <v>0</v>
      </c>
      <c r="S1082">
        <f t="shared" si="32"/>
        <v>1</v>
      </c>
      <c r="T1082">
        <f t="shared" si="33"/>
        <v>1</v>
      </c>
    </row>
    <row r="1083" spans="1:20" x14ac:dyDescent="0.2">
      <c r="A1083" t="s">
        <v>1299</v>
      </c>
      <c r="B1083">
        <f>IF(COUNTIFS('United Data'!$A$3:$A$3390,B$1,'United Data'!$C$3:$C$3390,$A1083,'United Data'!$B$3:$B$3390,"&lt;&gt;Off-street")&gt;0,1,0)</f>
        <v>0</v>
      </c>
      <c r="C1083">
        <f>IF(COUNTIFS('United Data'!$A$3:$A$3390,C$1,'United Data'!$C$3:$C$3390,$A1083,'United Data'!$B$3:$B$3390,"&lt;&gt;Off-street")&gt;0,1,0)</f>
        <v>0</v>
      </c>
      <c r="D1083">
        <f>IF(COUNTIFS('United Data'!$A$3:$A$3390,D$1,'United Data'!$C$3:$C$3390,$A1083,'United Data'!$B$3:$B$3390,"&lt;&gt;Off-street")&gt;0,1,0)</f>
        <v>0</v>
      </c>
      <c r="E1083">
        <f>IF(COUNTIFS('United Data'!$A$3:$A$3390,E$1,'United Data'!$C$3:$C$3390,$A1083,'United Data'!$B$3:$B$3390,"&lt;&gt;Off-street")&gt;0,1,0)</f>
        <v>0</v>
      </c>
      <c r="F1083">
        <f>IF(COUNTIFS('United Data'!$A$3:$A$3390,F$1,'United Data'!$C$3:$C$3390,$A1083,'United Data'!$B$3:$B$3390,"&lt;&gt;Off-street")&gt;0,1,0)</f>
        <v>1</v>
      </c>
      <c r="G1083">
        <f>IF(COUNTIFS('United Data'!$A$3:$A$3390,G$1,'United Data'!$C$3:$C$3390,$A1083,'United Data'!$B$3:$B$3390,"&lt;&gt;Off-street")&gt;0,1,0)</f>
        <v>0</v>
      </c>
      <c r="H1083">
        <f>IF(COUNTIFS('United Data'!$A$3:$A$3390,H$1,'United Data'!$C$3:$C$3390,$A1083,'United Data'!$B$3:$B$3390,"&lt;&gt;Off-street")&gt;0,1,0)</f>
        <v>0</v>
      </c>
      <c r="I1083">
        <f>IF(COUNTIFS('United Data'!$A$3:$A$3390,I$1,'United Data'!$C$3:$C$3390,$A1083,'United Data'!$B$3:$B$3390,"&lt;&gt;Off-street")&gt;0,1,0)</f>
        <v>0</v>
      </c>
      <c r="J1083">
        <f>IF(COUNTIFS('United Data'!$A$3:$A$3390,J$1,'United Data'!$C$3:$C$3390,$A1083,'United Data'!$B$3:$B$3390,"&lt;&gt;Off-street")&gt;0,1,0)</f>
        <v>0</v>
      </c>
      <c r="K1083">
        <f>IF(COUNTIFS('United Data'!$A$3:$A$3390,K$1,'United Data'!$C$3:$C$3390,$A1083,'United Data'!$B$3:$B$3390,"&lt;&gt;Off-street")&gt;0,1,0)</f>
        <v>0</v>
      </c>
      <c r="L1083">
        <f>IF(COUNTIFS('United Data'!$A$3:$A$3390,L$1,'United Data'!$C$3:$C$3390,$A1083,'United Data'!$B$3:$B$3390,"&lt;&gt;Off-street")&gt;0,1,0)</f>
        <v>0</v>
      </c>
      <c r="M1083">
        <f>IF(COUNTIFS('United Data'!$A$3:$A$3390,M$1,'United Data'!$C$3:$C$3390,$A1083,'United Data'!$B$3:$B$3390,"&lt;&gt;Off-street")&gt;0,1,0)</f>
        <v>0</v>
      </c>
      <c r="N1083">
        <f>IF(COUNTIFS('United Data'!$A$3:$A$3390,N$1,'United Data'!$C$3:$C$3390,$A1083,'United Data'!$B$3:$B$3390,"&lt;&gt;Off-street")&gt;0,1,0)</f>
        <v>0</v>
      </c>
      <c r="O1083">
        <f>IF(COUNTIFS('United Data'!$A$3:$A$3390,O$1,'United Data'!$C$3:$C$3390,$A1083,'United Data'!$B$3:$B$3390,"&lt;&gt;Off-street")&gt;0,1,0)</f>
        <v>0</v>
      </c>
      <c r="P1083">
        <f>IF(COUNTIFS('United Data'!$A$3:$A$3390,P$1,'United Data'!$C$3:$C$3390,$A1083,'United Data'!$B$3:$B$3390,"&lt;&gt;Off-street")&gt;0,1,0)</f>
        <v>0</v>
      </c>
      <c r="Q1083">
        <f>IF(COUNTIFS('United Data'!$A$3:$A$3390,Q$1,'United Data'!$C$3:$C$3390,$A1083,'United Data'!$B$3:$B$3390,"&lt;&gt;Off-street")&gt;0,1,0)</f>
        <v>0</v>
      </c>
      <c r="R1083">
        <f>IF(COUNTIFS('United Data'!$A$3:$A$3390,R$1,'United Data'!$C$3:$C$3390,$A1083,'United Data'!$B$3:$B$3390,"&lt;&gt;Off-street")&gt;0,1,0)</f>
        <v>0</v>
      </c>
      <c r="S1083">
        <f t="shared" si="32"/>
        <v>1</v>
      </c>
      <c r="T1083">
        <f t="shared" si="33"/>
        <v>1</v>
      </c>
    </row>
    <row r="1084" spans="1:20" x14ac:dyDescent="0.2">
      <c r="A1084" t="s">
        <v>1300</v>
      </c>
      <c r="B1084">
        <f>IF(COUNTIFS('United Data'!$A$3:$A$3390,B$1,'United Data'!$C$3:$C$3390,$A1084,'United Data'!$B$3:$B$3390,"&lt;&gt;Off-street")&gt;0,1,0)</f>
        <v>0</v>
      </c>
      <c r="C1084">
        <f>IF(COUNTIFS('United Data'!$A$3:$A$3390,C$1,'United Data'!$C$3:$C$3390,$A1084,'United Data'!$B$3:$B$3390,"&lt;&gt;Off-street")&gt;0,1,0)</f>
        <v>0</v>
      </c>
      <c r="D1084">
        <f>IF(COUNTIFS('United Data'!$A$3:$A$3390,D$1,'United Data'!$C$3:$C$3390,$A1084,'United Data'!$B$3:$B$3390,"&lt;&gt;Off-street")&gt;0,1,0)</f>
        <v>0</v>
      </c>
      <c r="E1084">
        <f>IF(COUNTIFS('United Data'!$A$3:$A$3390,E$1,'United Data'!$C$3:$C$3390,$A1084,'United Data'!$B$3:$B$3390,"&lt;&gt;Off-street")&gt;0,1,0)</f>
        <v>0</v>
      </c>
      <c r="F1084">
        <f>IF(COUNTIFS('United Data'!$A$3:$A$3390,F$1,'United Data'!$C$3:$C$3390,$A1084,'United Data'!$B$3:$B$3390,"&lt;&gt;Off-street")&gt;0,1,0)</f>
        <v>1</v>
      </c>
      <c r="G1084">
        <f>IF(COUNTIFS('United Data'!$A$3:$A$3390,G$1,'United Data'!$C$3:$C$3390,$A1084,'United Data'!$B$3:$B$3390,"&lt;&gt;Off-street")&gt;0,1,0)</f>
        <v>0</v>
      </c>
      <c r="H1084">
        <f>IF(COUNTIFS('United Data'!$A$3:$A$3390,H$1,'United Data'!$C$3:$C$3390,$A1084,'United Data'!$B$3:$B$3390,"&lt;&gt;Off-street")&gt;0,1,0)</f>
        <v>0</v>
      </c>
      <c r="I1084">
        <f>IF(COUNTIFS('United Data'!$A$3:$A$3390,I$1,'United Data'!$C$3:$C$3390,$A1084,'United Data'!$B$3:$B$3390,"&lt;&gt;Off-street")&gt;0,1,0)</f>
        <v>0</v>
      </c>
      <c r="J1084">
        <f>IF(COUNTIFS('United Data'!$A$3:$A$3390,J$1,'United Data'!$C$3:$C$3390,$A1084,'United Data'!$B$3:$B$3390,"&lt;&gt;Off-street")&gt;0,1,0)</f>
        <v>0</v>
      </c>
      <c r="K1084">
        <f>IF(COUNTIFS('United Data'!$A$3:$A$3390,K$1,'United Data'!$C$3:$C$3390,$A1084,'United Data'!$B$3:$B$3390,"&lt;&gt;Off-street")&gt;0,1,0)</f>
        <v>0</v>
      </c>
      <c r="L1084">
        <f>IF(COUNTIFS('United Data'!$A$3:$A$3390,L$1,'United Data'!$C$3:$C$3390,$A1084,'United Data'!$B$3:$B$3390,"&lt;&gt;Off-street")&gt;0,1,0)</f>
        <v>0</v>
      </c>
      <c r="M1084">
        <f>IF(COUNTIFS('United Data'!$A$3:$A$3390,M$1,'United Data'!$C$3:$C$3390,$A1084,'United Data'!$B$3:$B$3390,"&lt;&gt;Off-street")&gt;0,1,0)</f>
        <v>0</v>
      </c>
      <c r="N1084">
        <f>IF(COUNTIFS('United Data'!$A$3:$A$3390,N$1,'United Data'!$C$3:$C$3390,$A1084,'United Data'!$B$3:$B$3390,"&lt;&gt;Off-street")&gt;0,1,0)</f>
        <v>0</v>
      </c>
      <c r="O1084">
        <f>IF(COUNTIFS('United Data'!$A$3:$A$3390,O$1,'United Data'!$C$3:$C$3390,$A1084,'United Data'!$B$3:$B$3390,"&lt;&gt;Off-street")&gt;0,1,0)</f>
        <v>0</v>
      </c>
      <c r="P1084">
        <f>IF(COUNTIFS('United Data'!$A$3:$A$3390,P$1,'United Data'!$C$3:$C$3390,$A1084,'United Data'!$B$3:$B$3390,"&lt;&gt;Off-street")&gt;0,1,0)</f>
        <v>0</v>
      </c>
      <c r="Q1084">
        <f>IF(COUNTIFS('United Data'!$A$3:$A$3390,Q$1,'United Data'!$C$3:$C$3390,$A1084,'United Data'!$B$3:$B$3390,"&lt;&gt;Off-street")&gt;0,1,0)</f>
        <v>0</v>
      </c>
      <c r="R1084">
        <f>IF(COUNTIFS('United Data'!$A$3:$A$3390,R$1,'United Data'!$C$3:$C$3390,$A1084,'United Data'!$B$3:$B$3390,"&lt;&gt;Off-street")&gt;0,1,0)</f>
        <v>0</v>
      </c>
      <c r="S1084">
        <f t="shared" si="32"/>
        <v>1</v>
      </c>
      <c r="T1084">
        <f t="shared" si="33"/>
        <v>1</v>
      </c>
    </row>
    <row r="1085" spans="1:20" x14ac:dyDescent="0.2">
      <c r="A1085" t="s">
        <v>1302</v>
      </c>
      <c r="B1085">
        <f>IF(COUNTIFS('United Data'!$A$3:$A$3390,B$1,'United Data'!$C$3:$C$3390,$A1085,'United Data'!$B$3:$B$3390,"&lt;&gt;Off-street")&gt;0,1,0)</f>
        <v>0</v>
      </c>
      <c r="C1085">
        <f>IF(COUNTIFS('United Data'!$A$3:$A$3390,C$1,'United Data'!$C$3:$C$3390,$A1085,'United Data'!$B$3:$B$3390,"&lt;&gt;Off-street")&gt;0,1,0)</f>
        <v>0</v>
      </c>
      <c r="D1085">
        <f>IF(COUNTIFS('United Data'!$A$3:$A$3390,D$1,'United Data'!$C$3:$C$3390,$A1085,'United Data'!$B$3:$B$3390,"&lt;&gt;Off-street")&gt;0,1,0)</f>
        <v>0</v>
      </c>
      <c r="E1085">
        <f>IF(COUNTIFS('United Data'!$A$3:$A$3390,E$1,'United Data'!$C$3:$C$3390,$A1085,'United Data'!$B$3:$B$3390,"&lt;&gt;Off-street")&gt;0,1,0)</f>
        <v>0</v>
      </c>
      <c r="F1085">
        <f>IF(COUNTIFS('United Data'!$A$3:$A$3390,F$1,'United Data'!$C$3:$C$3390,$A1085,'United Data'!$B$3:$B$3390,"&lt;&gt;Off-street")&gt;0,1,0)</f>
        <v>1</v>
      </c>
      <c r="G1085">
        <f>IF(COUNTIFS('United Data'!$A$3:$A$3390,G$1,'United Data'!$C$3:$C$3390,$A1085,'United Data'!$B$3:$B$3390,"&lt;&gt;Off-street")&gt;0,1,0)</f>
        <v>0</v>
      </c>
      <c r="H1085">
        <f>IF(COUNTIFS('United Data'!$A$3:$A$3390,H$1,'United Data'!$C$3:$C$3390,$A1085,'United Data'!$B$3:$B$3390,"&lt;&gt;Off-street")&gt;0,1,0)</f>
        <v>0</v>
      </c>
      <c r="I1085">
        <f>IF(COUNTIFS('United Data'!$A$3:$A$3390,I$1,'United Data'!$C$3:$C$3390,$A1085,'United Data'!$B$3:$B$3390,"&lt;&gt;Off-street")&gt;0,1,0)</f>
        <v>0</v>
      </c>
      <c r="J1085">
        <f>IF(COUNTIFS('United Data'!$A$3:$A$3390,J$1,'United Data'!$C$3:$C$3390,$A1085,'United Data'!$B$3:$B$3390,"&lt;&gt;Off-street")&gt;0,1,0)</f>
        <v>0</v>
      </c>
      <c r="K1085">
        <f>IF(COUNTIFS('United Data'!$A$3:$A$3390,K$1,'United Data'!$C$3:$C$3390,$A1085,'United Data'!$B$3:$B$3390,"&lt;&gt;Off-street")&gt;0,1,0)</f>
        <v>0</v>
      </c>
      <c r="L1085">
        <f>IF(COUNTIFS('United Data'!$A$3:$A$3390,L$1,'United Data'!$C$3:$C$3390,$A1085,'United Data'!$B$3:$B$3390,"&lt;&gt;Off-street")&gt;0,1,0)</f>
        <v>0</v>
      </c>
      <c r="M1085">
        <f>IF(COUNTIFS('United Data'!$A$3:$A$3390,M$1,'United Data'!$C$3:$C$3390,$A1085,'United Data'!$B$3:$B$3390,"&lt;&gt;Off-street")&gt;0,1,0)</f>
        <v>0</v>
      </c>
      <c r="N1085">
        <f>IF(COUNTIFS('United Data'!$A$3:$A$3390,N$1,'United Data'!$C$3:$C$3390,$A1085,'United Data'!$B$3:$B$3390,"&lt;&gt;Off-street")&gt;0,1,0)</f>
        <v>0</v>
      </c>
      <c r="O1085">
        <f>IF(COUNTIFS('United Data'!$A$3:$A$3390,O$1,'United Data'!$C$3:$C$3390,$A1085,'United Data'!$B$3:$B$3390,"&lt;&gt;Off-street")&gt;0,1,0)</f>
        <v>0</v>
      </c>
      <c r="P1085">
        <f>IF(COUNTIFS('United Data'!$A$3:$A$3390,P$1,'United Data'!$C$3:$C$3390,$A1085,'United Data'!$B$3:$B$3390,"&lt;&gt;Off-street")&gt;0,1,0)</f>
        <v>0</v>
      </c>
      <c r="Q1085">
        <f>IF(COUNTIFS('United Data'!$A$3:$A$3390,Q$1,'United Data'!$C$3:$C$3390,$A1085,'United Data'!$B$3:$B$3390,"&lt;&gt;Off-street")&gt;0,1,0)</f>
        <v>0</v>
      </c>
      <c r="R1085">
        <f>IF(COUNTIFS('United Data'!$A$3:$A$3390,R$1,'United Data'!$C$3:$C$3390,$A1085,'United Data'!$B$3:$B$3390,"&lt;&gt;Off-street")&gt;0,1,0)</f>
        <v>0</v>
      </c>
      <c r="S1085">
        <f t="shared" si="32"/>
        <v>1</v>
      </c>
      <c r="T1085">
        <f t="shared" si="33"/>
        <v>1</v>
      </c>
    </row>
    <row r="1086" spans="1:20" x14ac:dyDescent="0.2">
      <c r="A1086" t="s">
        <v>1303</v>
      </c>
      <c r="B1086">
        <f>IF(COUNTIFS('United Data'!$A$3:$A$3390,B$1,'United Data'!$C$3:$C$3390,$A1086,'United Data'!$B$3:$B$3390,"&lt;&gt;Off-street")&gt;0,1,0)</f>
        <v>0</v>
      </c>
      <c r="C1086">
        <f>IF(COUNTIFS('United Data'!$A$3:$A$3390,C$1,'United Data'!$C$3:$C$3390,$A1086,'United Data'!$B$3:$B$3390,"&lt;&gt;Off-street")&gt;0,1,0)</f>
        <v>0</v>
      </c>
      <c r="D1086">
        <f>IF(COUNTIFS('United Data'!$A$3:$A$3390,D$1,'United Data'!$C$3:$C$3390,$A1086,'United Data'!$B$3:$B$3390,"&lt;&gt;Off-street")&gt;0,1,0)</f>
        <v>0</v>
      </c>
      <c r="E1086">
        <f>IF(COUNTIFS('United Data'!$A$3:$A$3390,E$1,'United Data'!$C$3:$C$3390,$A1086,'United Data'!$B$3:$B$3390,"&lt;&gt;Off-street")&gt;0,1,0)</f>
        <v>0</v>
      </c>
      <c r="F1086">
        <f>IF(COUNTIFS('United Data'!$A$3:$A$3390,F$1,'United Data'!$C$3:$C$3390,$A1086,'United Data'!$B$3:$B$3390,"&lt;&gt;Off-street")&gt;0,1,0)</f>
        <v>1</v>
      </c>
      <c r="G1086">
        <f>IF(COUNTIFS('United Data'!$A$3:$A$3390,G$1,'United Data'!$C$3:$C$3390,$A1086,'United Data'!$B$3:$B$3390,"&lt;&gt;Off-street")&gt;0,1,0)</f>
        <v>0</v>
      </c>
      <c r="H1086">
        <f>IF(COUNTIFS('United Data'!$A$3:$A$3390,H$1,'United Data'!$C$3:$C$3390,$A1086,'United Data'!$B$3:$B$3390,"&lt;&gt;Off-street")&gt;0,1,0)</f>
        <v>0</v>
      </c>
      <c r="I1086">
        <f>IF(COUNTIFS('United Data'!$A$3:$A$3390,I$1,'United Data'!$C$3:$C$3390,$A1086,'United Data'!$B$3:$B$3390,"&lt;&gt;Off-street")&gt;0,1,0)</f>
        <v>0</v>
      </c>
      <c r="J1086">
        <f>IF(COUNTIFS('United Data'!$A$3:$A$3390,J$1,'United Data'!$C$3:$C$3390,$A1086,'United Data'!$B$3:$B$3390,"&lt;&gt;Off-street")&gt;0,1,0)</f>
        <v>0</v>
      </c>
      <c r="K1086">
        <f>IF(COUNTIFS('United Data'!$A$3:$A$3390,K$1,'United Data'!$C$3:$C$3390,$A1086,'United Data'!$B$3:$B$3390,"&lt;&gt;Off-street")&gt;0,1,0)</f>
        <v>0</v>
      </c>
      <c r="L1086">
        <f>IF(COUNTIFS('United Data'!$A$3:$A$3390,L$1,'United Data'!$C$3:$C$3390,$A1086,'United Data'!$B$3:$B$3390,"&lt;&gt;Off-street")&gt;0,1,0)</f>
        <v>0</v>
      </c>
      <c r="M1086">
        <f>IF(COUNTIFS('United Data'!$A$3:$A$3390,M$1,'United Data'!$C$3:$C$3390,$A1086,'United Data'!$B$3:$B$3390,"&lt;&gt;Off-street")&gt;0,1,0)</f>
        <v>0</v>
      </c>
      <c r="N1086">
        <f>IF(COUNTIFS('United Data'!$A$3:$A$3390,N$1,'United Data'!$C$3:$C$3390,$A1086,'United Data'!$B$3:$B$3390,"&lt;&gt;Off-street")&gt;0,1,0)</f>
        <v>0</v>
      </c>
      <c r="O1086">
        <f>IF(COUNTIFS('United Data'!$A$3:$A$3390,O$1,'United Data'!$C$3:$C$3390,$A1086,'United Data'!$B$3:$B$3390,"&lt;&gt;Off-street")&gt;0,1,0)</f>
        <v>0</v>
      </c>
      <c r="P1086">
        <f>IF(COUNTIFS('United Data'!$A$3:$A$3390,P$1,'United Data'!$C$3:$C$3390,$A1086,'United Data'!$B$3:$B$3390,"&lt;&gt;Off-street")&gt;0,1,0)</f>
        <v>0</v>
      </c>
      <c r="Q1086">
        <f>IF(COUNTIFS('United Data'!$A$3:$A$3390,Q$1,'United Data'!$C$3:$C$3390,$A1086,'United Data'!$B$3:$B$3390,"&lt;&gt;Off-street")&gt;0,1,0)</f>
        <v>0</v>
      </c>
      <c r="R1086">
        <f>IF(COUNTIFS('United Data'!$A$3:$A$3390,R$1,'United Data'!$C$3:$C$3390,$A1086,'United Data'!$B$3:$B$3390,"&lt;&gt;Off-street")&gt;0,1,0)</f>
        <v>0</v>
      </c>
      <c r="S1086">
        <f t="shared" si="32"/>
        <v>1</v>
      </c>
      <c r="T1086">
        <f t="shared" si="33"/>
        <v>1</v>
      </c>
    </row>
    <row r="1087" spans="1:20" x14ac:dyDescent="0.2">
      <c r="A1087" t="s">
        <v>1304</v>
      </c>
      <c r="B1087">
        <f>IF(COUNTIFS('United Data'!$A$3:$A$3390,B$1,'United Data'!$C$3:$C$3390,$A1087,'United Data'!$B$3:$B$3390,"&lt;&gt;Off-street")&gt;0,1,0)</f>
        <v>0</v>
      </c>
      <c r="C1087">
        <f>IF(COUNTIFS('United Data'!$A$3:$A$3390,C$1,'United Data'!$C$3:$C$3390,$A1087,'United Data'!$B$3:$B$3390,"&lt;&gt;Off-street")&gt;0,1,0)</f>
        <v>0</v>
      </c>
      <c r="D1087">
        <f>IF(COUNTIFS('United Data'!$A$3:$A$3390,D$1,'United Data'!$C$3:$C$3390,$A1087,'United Data'!$B$3:$B$3390,"&lt;&gt;Off-street")&gt;0,1,0)</f>
        <v>0</v>
      </c>
      <c r="E1087">
        <f>IF(COUNTIFS('United Data'!$A$3:$A$3390,E$1,'United Data'!$C$3:$C$3390,$A1087,'United Data'!$B$3:$B$3390,"&lt;&gt;Off-street")&gt;0,1,0)</f>
        <v>0</v>
      </c>
      <c r="F1087">
        <f>IF(COUNTIFS('United Data'!$A$3:$A$3390,F$1,'United Data'!$C$3:$C$3390,$A1087,'United Data'!$B$3:$B$3390,"&lt;&gt;Off-street")&gt;0,1,0)</f>
        <v>1</v>
      </c>
      <c r="G1087">
        <f>IF(COUNTIFS('United Data'!$A$3:$A$3390,G$1,'United Data'!$C$3:$C$3390,$A1087,'United Data'!$B$3:$B$3390,"&lt;&gt;Off-street")&gt;0,1,0)</f>
        <v>0</v>
      </c>
      <c r="H1087">
        <f>IF(COUNTIFS('United Data'!$A$3:$A$3390,H$1,'United Data'!$C$3:$C$3390,$A1087,'United Data'!$B$3:$B$3390,"&lt;&gt;Off-street")&gt;0,1,0)</f>
        <v>0</v>
      </c>
      <c r="I1087">
        <f>IF(COUNTIFS('United Data'!$A$3:$A$3390,I$1,'United Data'!$C$3:$C$3390,$A1087,'United Data'!$B$3:$B$3390,"&lt;&gt;Off-street")&gt;0,1,0)</f>
        <v>0</v>
      </c>
      <c r="J1087">
        <f>IF(COUNTIFS('United Data'!$A$3:$A$3390,J$1,'United Data'!$C$3:$C$3390,$A1087,'United Data'!$B$3:$B$3390,"&lt;&gt;Off-street")&gt;0,1,0)</f>
        <v>0</v>
      </c>
      <c r="K1087">
        <f>IF(COUNTIFS('United Data'!$A$3:$A$3390,K$1,'United Data'!$C$3:$C$3390,$A1087,'United Data'!$B$3:$B$3390,"&lt;&gt;Off-street")&gt;0,1,0)</f>
        <v>0</v>
      </c>
      <c r="L1087">
        <f>IF(COUNTIFS('United Data'!$A$3:$A$3390,L$1,'United Data'!$C$3:$C$3390,$A1087,'United Data'!$B$3:$B$3390,"&lt;&gt;Off-street")&gt;0,1,0)</f>
        <v>0</v>
      </c>
      <c r="M1087">
        <f>IF(COUNTIFS('United Data'!$A$3:$A$3390,M$1,'United Data'!$C$3:$C$3390,$A1087,'United Data'!$B$3:$B$3390,"&lt;&gt;Off-street")&gt;0,1,0)</f>
        <v>0</v>
      </c>
      <c r="N1087">
        <f>IF(COUNTIFS('United Data'!$A$3:$A$3390,N$1,'United Data'!$C$3:$C$3390,$A1087,'United Data'!$B$3:$B$3390,"&lt;&gt;Off-street")&gt;0,1,0)</f>
        <v>0</v>
      </c>
      <c r="O1087">
        <f>IF(COUNTIFS('United Data'!$A$3:$A$3390,O$1,'United Data'!$C$3:$C$3390,$A1087,'United Data'!$B$3:$B$3390,"&lt;&gt;Off-street")&gt;0,1,0)</f>
        <v>0</v>
      </c>
      <c r="P1087">
        <f>IF(COUNTIFS('United Data'!$A$3:$A$3390,P$1,'United Data'!$C$3:$C$3390,$A1087,'United Data'!$B$3:$B$3390,"&lt;&gt;Off-street")&gt;0,1,0)</f>
        <v>0</v>
      </c>
      <c r="Q1087">
        <f>IF(COUNTIFS('United Data'!$A$3:$A$3390,Q$1,'United Data'!$C$3:$C$3390,$A1087,'United Data'!$B$3:$B$3390,"&lt;&gt;Off-street")&gt;0,1,0)</f>
        <v>0</v>
      </c>
      <c r="R1087">
        <f>IF(COUNTIFS('United Data'!$A$3:$A$3390,R$1,'United Data'!$C$3:$C$3390,$A1087,'United Data'!$B$3:$B$3390,"&lt;&gt;Off-street")&gt;0,1,0)</f>
        <v>0</v>
      </c>
      <c r="S1087">
        <f t="shared" si="32"/>
        <v>1</v>
      </c>
      <c r="T1087">
        <f t="shared" si="33"/>
        <v>1</v>
      </c>
    </row>
    <row r="1088" spans="1:20" x14ac:dyDescent="0.2">
      <c r="A1088" t="s">
        <v>1307</v>
      </c>
      <c r="B1088">
        <f>IF(COUNTIFS('United Data'!$A$3:$A$3390,B$1,'United Data'!$C$3:$C$3390,$A1088,'United Data'!$B$3:$B$3390,"&lt;&gt;Off-street")&gt;0,1,0)</f>
        <v>0</v>
      </c>
      <c r="C1088">
        <f>IF(COUNTIFS('United Data'!$A$3:$A$3390,C$1,'United Data'!$C$3:$C$3390,$A1088,'United Data'!$B$3:$B$3390,"&lt;&gt;Off-street")&gt;0,1,0)</f>
        <v>0</v>
      </c>
      <c r="D1088">
        <f>IF(COUNTIFS('United Data'!$A$3:$A$3390,D$1,'United Data'!$C$3:$C$3390,$A1088,'United Data'!$B$3:$B$3390,"&lt;&gt;Off-street")&gt;0,1,0)</f>
        <v>0</v>
      </c>
      <c r="E1088">
        <f>IF(COUNTIFS('United Data'!$A$3:$A$3390,E$1,'United Data'!$C$3:$C$3390,$A1088,'United Data'!$B$3:$B$3390,"&lt;&gt;Off-street")&gt;0,1,0)</f>
        <v>0</v>
      </c>
      <c r="F1088">
        <f>IF(COUNTIFS('United Data'!$A$3:$A$3390,F$1,'United Data'!$C$3:$C$3390,$A1088,'United Data'!$B$3:$B$3390,"&lt;&gt;Off-street")&gt;0,1,0)</f>
        <v>0</v>
      </c>
      <c r="G1088">
        <f>IF(COUNTIFS('United Data'!$A$3:$A$3390,G$1,'United Data'!$C$3:$C$3390,$A1088,'United Data'!$B$3:$B$3390,"&lt;&gt;Off-street")&gt;0,1,0)</f>
        <v>1</v>
      </c>
      <c r="H1088">
        <f>IF(COUNTIFS('United Data'!$A$3:$A$3390,H$1,'United Data'!$C$3:$C$3390,$A1088,'United Data'!$B$3:$B$3390,"&lt;&gt;Off-street")&gt;0,1,0)</f>
        <v>0</v>
      </c>
      <c r="I1088">
        <f>IF(COUNTIFS('United Data'!$A$3:$A$3390,I$1,'United Data'!$C$3:$C$3390,$A1088,'United Data'!$B$3:$B$3390,"&lt;&gt;Off-street")&gt;0,1,0)</f>
        <v>0</v>
      </c>
      <c r="J1088">
        <f>IF(COUNTIFS('United Data'!$A$3:$A$3390,J$1,'United Data'!$C$3:$C$3390,$A1088,'United Data'!$B$3:$B$3390,"&lt;&gt;Off-street")&gt;0,1,0)</f>
        <v>0</v>
      </c>
      <c r="K1088">
        <f>IF(COUNTIFS('United Data'!$A$3:$A$3390,K$1,'United Data'!$C$3:$C$3390,$A1088,'United Data'!$B$3:$B$3390,"&lt;&gt;Off-street")&gt;0,1,0)</f>
        <v>0</v>
      </c>
      <c r="L1088">
        <f>IF(COUNTIFS('United Data'!$A$3:$A$3390,L$1,'United Data'!$C$3:$C$3390,$A1088,'United Data'!$B$3:$B$3390,"&lt;&gt;Off-street")&gt;0,1,0)</f>
        <v>0</v>
      </c>
      <c r="M1088">
        <f>IF(COUNTIFS('United Data'!$A$3:$A$3390,M$1,'United Data'!$C$3:$C$3390,$A1088,'United Data'!$B$3:$B$3390,"&lt;&gt;Off-street")&gt;0,1,0)</f>
        <v>0</v>
      </c>
      <c r="N1088">
        <f>IF(COUNTIFS('United Data'!$A$3:$A$3390,N$1,'United Data'!$C$3:$C$3390,$A1088,'United Data'!$B$3:$B$3390,"&lt;&gt;Off-street")&gt;0,1,0)</f>
        <v>0</v>
      </c>
      <c r="O1088">
        <f>IF(COUNTIFS('United Data'!$A$3:$A$3390,O$1,'United Data'!$C$3:$C$3390,$A1088,'United Data'!$B$3:$B$3390,"&lt;&gt;Off-street")&gt;0,1,0)</f>
        <v>0</v>
      </c>
      <c r="P1088">
        <f>IF(COUNTIFS('United Data'!$A$3:$A$3390,P$1,'United Data'!$C$3:$C$3390,$A1088,'United Data'!$B$3:$B$3390,"&lt;&gt;Off-street")&gt;0,1,0)</f>
        <v>0</v>
      </c>
      <c r="Q1088">
        <f>IF(COUNTIFS('United Data'!$A$3:$A$3390,Q$1,'United Data'!$C$3:$C$3390,$A1088,'United Data'!$B$3:$B$3390,"&lt;&gt;Off-street")&gt;0,1,0)</f>
        <v>0</v>
      </c>
      <c r="R1088">
        <f>IF(COUNTIFS('United Data'!$A$3:$A$3390,R$1,'United Data'!$C$3:$C$3390,$A1088,'United Data'!$B$3:$B$3390,"&lt;&gt;Off-street")&gt;0,1,0)</f>
        <v>0</v>
      </c>
      <c r="S1088">
        <f t="shared" si="32"/>
        <v>1</v>
      </c>
      <c r="T1088">
        <f t="shared" si="33"/>
        <v>1</v>
      </c>
    </row>
    <row r="1089" spans="1:20" x14ac:dyDescent="0.2">
      <c r="A1089" t="s">
        <v>1308</v>
      </c>
      <c r="B1089">
        <f>IF(COUNTIFS('United Data'!$A$3:$A$3390,B$1,'United Data'!$C$3:$C$3390,$A1089,'United Data'!$B$3:$B$3390,"&lt;&gt;Off-street")&gt;0,1,0)</f>
        <v>0</v>
      </c>
      <c r="C1089">
        <f>IF(COUNTIFS('United Data'!$A$3:$A$3390,C$1,'United Data'!$C$3:$C$3390,$A1089,'United Data'!$B$3:$B$3390,"&lt;&gt;Off-street")&gt;0,1,0)</f>
        <v>0</v>
      </c>
      <c r="D1089">
        <f>IF(COUNTIFS('United Data'!$A$3:$A$3390,D$1,'United Data'!$C$3:$C$3390,$A1089,'United Data'!$B$3:$B$3390,"&lt;&gt;Off-street")&gt;0,1,0)</f>
        <v>0</v>
      </c>
      <c r="E1089">
        <f>IF(COUNTIFS('United Data'!$A$3:$A$3390,E$1,'United Data'!$C$3:$C$3390,$A1089,'United Data'!$B$3:$B$3390,"&lt;&gt;Off-street")&gt;0,1,0)</f>
        <v>0</v>
      </c>
      <c r="F1089">
        <f>IF(COUNTIFS('United Data'!$A$3:$A$3390,F$1,'United Data'!$C$3:$C$3390,$A1089,'United Data'!$B$3:$B$3390,"&lt;&gt;Off-street")&gt;0,1,0)</f>
        <v>0</v>
      </c>
      <c r="G1089">
        <f>IF(COUNTIFS('United Data'!$A$3:$A$3390,G$1,'United Data'!$C$3:$C$3390,$A1089,'United Data'!$B$3:$B$3390,"&lt;&gt;Off-street")&gt;0,1,0)</f>
        <v>1</v>
      </c>
      <c r="H1089">
        <f>IF(COUNTIFS('United Data'!$A$3:$A$3390,H$1,'United Data'!$C$3:$C$3390,$A1089,'United Data'!$B$3:$B$3390,"&lt;&gt;Off-street")&gt;0,1,0)</f>
        <v>0</v>
      </c>
      <c r="I1089">
        <f>IF(COUNTIFS('United Data'!$A$3:$A$3390,I$1,'United Data'!$C$3:$C$3390,$A1089,'United Data'!$B$3:$B$3390,"&lt;&gt;Off-street")&gt;0,1,0)</f>
        <v>0</v>
      </c>
      <c r="J1089">
        <f>IF(COUNTIFS('United Data'!$A$3:$A$3390,J$1,'United Data'!$C$3:$C$3390,$A1089,'United Data'!$B$3:$B$3390,"&lt;&gt;Off-street")&gt;0,1,0)</f>
        <v>0</v>
      </c>
      <c r="K1089">
        <f>IF(COUNTIFS('United Data'!$A$3:$A$3390,K$1,'United Data'!$C$3:$C$3390,$A1089,'United Data'!$B$3:$B$3390,"&lt;&gt;Off-street")&gt;0,1,0)</f>
        <v>0</v>
      </c>
      <c r="L1089">
        <f>IF(COUNTIFS('United Data'!$A$3:$A$3390,L$1,'United Data'!$C$3:$C$3390,$A1089,'United Data'!$B$3:$B$3390,"&lt;&gt;Off-street")&gt;0,1,0)</f>
        <v>0</v>
      </c>
      <c r="M1089">
        <f>IF(COUNTIFS('United Data'!$A$3:$A$3390,M$1,'United Data'!$C$3:$C$3390,$A1089,'United Data'!$B$3:$B$3390,"&lt;&gt;Off-street")&gt;0,1,0)</f>
        <v>0</v>
      </c>
      <c r="N1089">
        <f>IF(COUNTIFS('United Data'!$A$3:$A$3390,N$1,'United Data'!$C$3:$C$3390,$A1089,'United Data'!$B$3:$B$3390,"&lt;&gt;Off-street")&gt;0,1,0)</f>
        <v>0</v>
      </c>
      <c r="O1089">
        <f>IF(COUNTIFS('United Data'!$A$3:$A$3390,O$1,'United Data'!$C$3:$C$3390,$A1089,'United Data'!$B$3:$B$3390,"&lt;&gt;Off-street")&gt;0,1,0)</f>
        <v>0</v>
      </c>
      <c r="P1089">
        <f>IF(COUNTIFS('United Data'!$A$3:$A$3390,P$1,'United Data'!$C$3:$C$3390,$A1089,'United Data'!$B$3:$B$3390,"&lt;&gt;Off-street")&gt;0,1,0)</f>
        <v>0</v>
      </c>
      <c r="Q1089">
        <f>IF(COUNTIFS('United Data'!$A$3:$A$3390,Q$1,'United Data'!$C$3:$C$3390,$A1089,'United Data'!$B$3:$B$3390,"&lt;&gt;Off-street")&gt;0,1,0)</f>
        <v>0</v>
      </c>
      <c r="R1089">
        <f>IF(COUNTIFS('United Data'!$A$3:$A$3390,R$1,'United Data'!$C$3:$C$3390,$A1089,'United Data'!$B$3:$B$3390,"&lt;&gt;Off-street")&gt;0,1,0)</f>
        <v>0</v>
      </c>
      <c r="S1089">
        <f t="shared" si="32"/>
        <v>1</v>
      </c>
      <c r="T1089">
        <f t="shared" si="33"/>
        <v>1</v>
      </c>
    </row>
    <row r="1090" spans="1:20" x14ac:dyDescent="0.2">
      <c r="A1090" t="s">
        <v>1309</v>
      </c>
      <c r="B1090">
        <f>IF(COUNTIFS('United Data'!$A$3:$A$3390,B$1,'United Data'!$C$3:$C$3390,$A1090,'United Data'!$B$3:$B$3390,"&lt;&gt;Off-street")&gt;0,1,0)</f>
        <v>0</v>
      </c>
      <c r="C1090">
        <f>IF(COUNTIFS('United Data'!$A$3:$A$3390,C$1,'United Data'!$C$3:$C$3390,$A1090,'United Data'!$B$3:$B$3390,"&lt;&gt;Off-street")&gt;0,1,0)</f>
        <v>0</v>
      </c>
      <c r="D1090">
        <f>IF(COUNTIFS('United Data'!$A$3:$A$3390,D$1,'United Data'!$C$3:$C$3390,$A1090,'United Data'!$B$3:$B$3390,"&lt;&gt;Off-street")&gt;0,1,0)</f>
        <v>0</v>
      </c>
      <c r="E1090">
        <f>IF(COUNTIFS('United Data'!$A$3:$A$3390,E$1,'United Data'!$C$3:$C$3390,$A1090,'United Data'!$B$3:$B$3390,"&lt;&gt;Off-street")&gt;0,1,0)</f>
        <v>0</v>
      </c>
      <c r="F1090">
        <f>IF(COUNTIFS('United Data'!$A$3:$A$3390,F$1,'United Data'!$C$3:$C$3390,$A1090,'United Data'!$B$3:$B$3390,"&lt;&gt;Off-street")&gt;0,1,0)</f>
        <v>0</v>
      </c>
      <c r="G1090">
        <f>IF(COUNTIFS('United Data'!$A$3:$A$3390,G$1,'United Data'!$C$3:$C$3390,$A1090,'United Data'!$B$3:$B$3390,"&lt;&gt;Off-street")&gt;0,1,0)</f>
        <v>1</v>
      </c>
      <c r="H1090">
        <f>IF(COUNTIFS('United Data'!$A$3:$A$3390,H$1,'United Data'!$C$3:$C$3390,$A1090,'United Data'!$B$3:$B$3390,"&lt;&gt;Off-street")&gt;0,1,0)</f>
        <v>0</v>
      </c>
      <c r="I1090">
        <f>IF(COUNTIFS('United Data'!$A$3:$A$3390,I$1,'United Data'!$C$3:$C$3390,$A1090,'United Data'!$B$3:$B$3390,"&lt;&gt;Off-street")&gt;0,1,0)</f>
        <v>0</v>
      </c>
      <c r="J1090">
        <f>IF(COUNTIFS('United Data'!$A$3:$A$3390,J$1,'United Data'!$C$3:$C$3390,$A1090,'United Data'!$B$3:$B$3390,"&lt;&gt;Off-street")&gt;0,1,0)</f>
        <v>0</v>
      </c>
      <c r="K1090">
        <f>IF(COUNTIFS('United Data'!$A$3:$A$3390,K$1,'United Data'!$C$3:$C$3390,$A1090,'United Data'!$B$3:$B$3390,"&lt;&gt;Off-street")&gt;0,1,0)</f>
        <v>0</v>
      </c>
      <c r="L1090">
        <f>IF(COUNTIFS('United Data'!$A$3:$A$3390,L$1,'United Data'!$C$3:$C$3390,$A1090,'United Data'!$B$3:$B$3390,"&lt;&gt;Off-street")&gt;0,1,0)</f>
        <v>0</v>
      </c>
      <c r="M1090">
        <f>IF(COUNTIFS('United Data'!$A$3:$A$3390,M$1,'United Data'!$C$3:$C$3390,$A1090,'United Data'!$B$3:$B$3390,"&lt;&gt;Off-street")&gt;0,1,0)</f>
        <v>0</v>
      </c>
      <c r="N1090">
        <f>IF(COUNTIFS('United Data'!$A$3:$A$3390,N$1,'United Data'!$C$3:$C$3390,$A1090,'United Data'!$B$3:$B$3390,"&lt;&gt;Off-street")&gt;0,1,0)</f>
        <v>0</v>
      </c>
      <c r="O1090">
        <f>IF(COUNTIFS('United Data'!$A$3:$A$3390,O$1,'United Data'!$C$3:$C$3390,$A1090,'United Data'!$B$3:$B$3390,"&lt;&gt;Off-street")&gt;0,1,0)</f>
        <v>0</v>
      </c>
      <c r="P1090">
        <f>IF(COUNTIFS('United Data'!$A$3:$A$3390,P$1,'United Data'!$C$3:$C$3390,$A1090,'United Data'!$B$3:$B$3390,"&lt;&gt;Off-street")&gt;0,1,0)</f>
        <v>0</v>
      </c>
      <c r="Q1090">
        <f>IF(COUNTIFS('United Data'!$A$3:$A$3390,Q$1,'United Data'!$C$3:$C$3390,$A1090,'United Data'!$B$3:$B$3390,"&lt;&gt;Off-street")&gt;0,1,0)</f>
        <v>0</v>
      </c>
      <c r="R1090">
        <f>IF(COUNTIFS('United Data'!$A$3:$A$3390,R$1,'United Data'!$C$3:$C$3390,$A1090,'United Data'!$B$3:$B$3390,"&lt;&gt;Off-street")&gt;0,1,0)</f>
        <v>0</v>
      </c>
      <c r="S1090">
        <f t="shared" ref="S1090:S1153" si="34">SUM(B1090:R1090)</f>
        <v>1</v>
      </c>
      <c r="T1090">
        <f t="shared" ref="T1090:T1153" si="35">B1090+SUMPRODUCT(--(C1090:R1090&gt;B1090:Q1090))</f>
        <v>1</v>
      </c>
    </row>
    <row r="1091" spans="1:20" x14ac:dyDescent="0.2">
      <c r="A1091" t="s">
        <v>1310</v>
      </c>
      <c r="B1091">
        <f>IF(COUNTIFS('United Data'!$A$3:$A$3390,B$1,'United Data'!$C$3:$C$3390,$A1091,'United Data'!$B$3:$B$3390,"&lt;&gt;Off-street")&gt;0,1,0)</f>
        <v>0</v>
      </c>
      <c r="C1091">
        <f>IF(COUNTIFS('United Data'!$A$3:$A$3390,C$1,'United Data'!$C$3:$C$3390,$A1091,'United Data'!$B$3:$B$3390,"&lt;&gt;Off-street")&gt;0,1,0)</f>
        <v>0</v>
      </c>
      <c r="D1091">
        <f>IF(COUNTIFS('United Data'!$A$3:$A$3390,D$1,'United Data'!$C$3:$C$3390,$A1091,'United Data'!$B$3:$B$3390,"&lt;&gt;Off-street")&gt;0,1,0)</f>
        <v>0</v>
      </c>
      <c r="E1091">
        <f>IF(COUNTIFS('United Data'!$A$3:$A$3390,E$1,'United Data'!$C$3:$C$3390,$A1091,'United Data'!$B$3:$B$3390,"&lt;&gt;Off-street")&gt;0,1,0)</f>
        <v>0</v>
      </c>
      <c r="F1091">
        <f>IF(COUNTIFS('United Data'!$A$3:$A$3390,F$1,'United Data'!$C$3:$C$3390,$A1091,'United Data'!$B$3:$B$3390,"&lt;&gt;Off-street")&gt;0,1,0)</f>
        <v>0</v>
      </c>
      <c r="G1091">
        <f>IF(COUNTIFS('United Data'!$A$3:$A$3390,G$1,'United Data'!$C$3:$C$3390,$A1091,'United Data'!$B$3:$B$3390,"&lt;&gt;Off-street")&gt;0,1,0)</f>
        <v>1</v>
      </c>
      <c r="H1091">
        <f>IF(COUNTIFS('United Data'!$A$3:$A$3390,H$1,'United Data'!$C$3:$C$3390,$A1091,'United Data'!$B$3:$B$3390,"&lt;&gt;Off-street")&gt;0,1,0)</f>
        <v>1</v>
      </c>
      <c r="I1091">
        <f>IF(COUNTIFS('United Data'!$A$3:$A$3390,I$1,'United Data'!$C$3:$C$3390,$A1091,'United Data'!$B$3:$B$3390,"&lt;&gt;Off-street")&gt;0,1,0)</f>
        <v>1</v>
      </c>
      <c r="J1091">
        <f>IF(COUNTIFS('United Data'!$A$3:$A$3390,J$1,'United Data'!$C$3:$C$3390,$A1091,'United Data'!$B$3:$B$3390,"&lt;&gt;Off-street")&gt;0,1,0)</f>
        <v>1</v>
      </c>
      <c r="K1091">
        <f>IF(COUNTIFS('United Data'!$A$3:$A$3390,K$1,'United Data'!$C$3:$C$3390,$A1091,'United Data'!$B$3:$B$3390,"&lt;&gt;Off-street")&gt;0,1,0)</f>
        <v>0</v>
      </c>
      <c r="L1091">
        <f>IF(COUNTIFS('United Data'!$A$3:$A$3390,L$1,'United Data'!$C$3:$C$3390,$A1091,'United Data'!$B$3:$B$3390,"&lt;&gt;Off-street")&gt;0,1,0)</f>
        <v>0</v>
      </c>
      <c r="M1091">
        <f>IF(COUNTIFS('United Data'!$A$3:$A$3390,M$1,'United Data'!$C$3:$C$3390,$A1091,'United Data'!$B$3:$B$3390,"&lt;&gt;Off-street")&gt;0,1,0)</f>
        <v>0</v>
      </c>
      <c r="N1091">
        <f>IF(COUNTIFS('United Data'!$A$3:$A$3390,N$1,'United Data'!$C$3:$C$3390,$A1091,'United Data'!$B$3:$B$3390,"&lt;&gt;Off-street")&gt;0,1,0)</f>
        <v>1</v>
      </c>
      <c r="O1091">
        <f>IF(COUNTIFS('United Data'!$A$3:$A$3390,O$1,'United Data'!$C$3:$C$3390,$A1091,'United Data'!$B$3:$B$3390,"&lt;&gt;Off-street")&gt;0,1,0)</f>
        <v>0</v>
      </c>
      <c r="P1091">
        <f>IF(COUNTIFS('United Data'!$A$3:$A$3390,P$1,'United Data'!$C$3:$C$3390,$A1091,'United Data'!$B$3:$B$3390,"&lt;&gt;Off-street")&gt;0,1,0)</f>
        <v>0</v>
      </c>
      <c r="Q1091">
        <f>IF(COUNTIFS('United Data'!$A$3:$A$3390,Q$1,'United Data'!$C$3:$C$3390,$A1091,'United Data'!$B$3:$B$3390,"&lt;&gt;Off-street")&gt;0,1,0)</f>
        <v>0</v>
      </c>
      <c r="R1091">
        <f>IF(COUNTIFS('United Data'!$A$3:$A$3390,R$1,'United Data'!$C$3:$C$3390,$A1091,'United Data'!$B$3:$B$3390,"&lt;&gt;Off-street")&gt;0,1,0)</f>
        <v>0</v>
      </c>
      <c r="S1091">
        <f t="shared" si="34"/>
        <v>5</v>
      </c>
      <c r="T1091">
        <f t="shared" si="35"/>
        <v>2</v>
      </c>
    </row>
    <row r="1092" spans="1:20" x14ac:dyDescent="0.2">
      <c r="A1092" t="s">
        <v>1311</v>
      </c>
      <c r="B1092">
        <f>IF(COUNTIFS('United Data'!$A$3:$A$3390,B$1,'United Data'!$C$3:$C$3390,$A1092,'United Data'!$B$3:$B$3390,"&lt;&gt;Off-street")&gt;0,1,0)</f>
        <v>0</v>
      </c>
      <c r="C1092">
        <f>IF(COUNTIFS('United Data'!$A$3:$A$3390,C$1,'United Data'!$C$3:$C$3390,$A1092,'United Data'!$B$3:$B$3390,"&lt;&gt;Off-street")&gt;0,1,0)</f>
        <v>0</v>
      </c>
      <c r="D1092">
        <f>IF(COUNTIFS('United Data'!$A$3:$A$3390,D$1,'United Data'!$C$3:$C$3390,$A1092,'United Data'!$B$3:$B$3390,"&lt;&gt;Off-street")&gt;0,1,0)</f>
        <v>0</v>
      </c>
      <c r="E1092">
        <f>IF(COUNTIFS('United Data'!$A$3:$A$3390,E$1,'United Data'!$C$3:$C$3390,$A1092,'United Data'!$B$3:$B$3390,"&lt;&gt;Off-street")&gt;0,1,0)</f>
        <v>0</v>
      </c>
      <c r="F1092">
        <f>IF(COUNTIFS('United Data'!$A$3:$A$3390,F$1,'United Data'!$C$3:$C$3390,$A1092,'United Data'!$B$3:$B$3390,"&lt;&gt;Off-street")&gt;0,1,0)</f>
        <v>0</v>
      </c>
      <c r="G1092">
        <f>IF(COUNTIFS('United Data'!$A$3:$A$3390,G$1,'United Data'!$C$3:$C$3390,$A1092,'United Data'!$B$3:$B$3390,"&lt;&gt;Off-street")&gt;0,1,0)</f>
        <v>1</v>
      </c>
      <c r="H1092">
        <f>IF(COUNTIFS('United Data'!$A$3:$A$3390,H$1,'United Data'!$C$3:$C$3390,$A1092,'United Data'!$B$3:$B$3390,"&lt;&gt;Off-street")&gt;0,1,0)</f>
        <v>0</v>
      </c>
      <c r="I1092">
        <f>IF(COUNTIFS('United Data'!$A$3:$A$3390,I$1,'United Data'!$C$3:$C$3390,$A1092,'United Data'!$B$3:$B$3390,"&lt;&gt;Off-street")&gt;0,1,0)</f>
        <v>0</v>
      </c>
      <c r="J1092">
        <f>IF(COUNTIFS('United Data'!$A$3:$A$3390,J$1,'United Data'!$C$3:$C$3390,$A1092,'United Data'!$B$3:$B$3390,"&lt;&gt;Off-street")&gt;0,1,0)</f>
        <v>0</v>
      </c>
      <c r="K1092">
        <f>IF(COUNTIFS('United Data'!$A$3:$A$3390,K$1,'United Data'!$C$3:$C$3390,$A1092,'United Data'!$B$3:$B$3390,"&lt;&gt;Off-street")&gt;0,1,0)</f>
        <v>0</v>
      </c>
      <c r="L1092">
        <f>IF(COUNTIFS('United Data'!$A$3:$A$3390,L$1,'United Data'!$C$3:$C$3390,$A1092,'United Data'!$B$3:$B$3390,"&lt;&gt;Off-street")&gt;0,1,0)</f>
        <v>0</v>
      </c>
      <c r="M1092">
        <f>IF(COUNTIFS('United Data'!$A$3:$A$3390,M$1,'United Data'!$C$3:$C$3390,$A1092,'United Data'!$B$3:$B$3390,"&lt;&gt;Off-street")&gt;0,1,0)</f>
        <v>0</v>
      </c>
      <c r="N1092">
        <f>IF(COUNTIFS('United Data'!$A$3:$A$3390,N$1,'United Data'!$C$3:$C$3390,$A1092,'United Data'!$B$3:$B$3390,"&lt;&gt;Off-street")&gt;0,1,0)</f>
        <v>0</v>
      </c>
      <c r="O1092">
        <f>IF(COUNTIFS('United Data'!$A$3:$A$3390,O$1,'United Data'!$C$3:$C$3390,$A1092,'United Data'!$B$3:$B$3390,"&lt;&gt;Off-street")&gt;0,1,0)</f>
        <v>0</v>
      </c>
      <c r="P1092">
        <f>IF(COUNTIFS('United Data'!$A$3:$A$3390,P$1,'United Data'!$C$3:$C$3390,$A1092,'United Data'!$B$3:$B$3390,"&lt;&gt;Off-street")&gt;0,1,0)</f>
        <v>0</v>
      </c>
      <c r="Q1092">
        <f>IF(COUNTIFS('United Data'!$A$3:$A$3390,Q$1,'United Data'!$C$3:$C$3390,$A1092,'United Data'!$B$3:$B$3390,"&lt;&gt;Off-street")&gt;0,1,0)</f>
        <v>0</v>
      </c>
      <c r="R1092">
        <f>IF(COUNTIFS('United Data'!$A$3:$A$3390,R$1,'United Data'!$C$3:$C$3390,$A1092,'United Data'!$B$3:$B$3390,"&lt;&gt;Off-street")&gt;0,1,0)</f>
        <v>0</v>
      </c>
      <c r="S1092">
        <f t="shared" si="34"/>
        <v>1</v>
      </c>
      <c r="T1092">
        <f t="shared" si="35"/>
        <v>1</v>
      </c>
    </row>
    <row r="1093" spans="1:20" x14ac:dyDescent="0.2">
      <c r="A1093" t="s">
        <v>1312</v>
      </c>
      <c r="B1093">
        <f>IF(COUNTIFS('United Data'!$A$3:$A$3390,B$1,'United Data'!$C$3:$C$3390,$A1093,'United Data'!$B$3:$B$3390,"&lt;&gt;Off-street")&gt;0,1,0)</f>
        <v>0</v>
      </c>
      <c r="C1093">
        <f>IF(COUNTIFS('United Data'!$A$3:$A$3390,C$1,'United Data'!$C$3:$C$3390,$A1093,'United Data'!$B$3:$B$3390,"&lt;&gt;Off-street")&gt;0,1,0)</f>
        <v>0</v>
      </c>
      <c r="D1093">
        <f>IF(COUNTIFS('United Data'!$A$3:$A$3390,D$1,'United Data'!$C$3:$C$3390,$A1093,'United Data'!$B$3:$B$3390,"&lt;&gt;Off-street")&gt;0,1,0)</f>
        <v>0</v>
      </c>
      <c r="E1093">
        <f>IF(COUNTIFS('United Data'!$A$3:$A$3390,E$1,'United Data'!$C$3:$C$3390,$A1093,'United Data'!$B$3:$B$3390,"&lt;&gt;Off-street")&gt;0,1,0)</f>
        <v>0</v>
      </c>
      <c r="F1093">
        <f>IF(COUNTIFS('United Data'!$A$3:$A$3390,F$1,'United Data'!$C$3:$C$3390,$A1093,'United Data'!$B$3:$B$3390,"&lt;&gt;Off-street")&gt;0,1,0)</f>
        <v>0</v>
      </c>
      <c r="G1093">
        <f>IF(COUNTIFS('United Data'!$A$3:$A$3390,G$1,'United Data'!$C$3:$C$3390,$A1093,'United Data'!$B$3:$B$3390,"&lt;&gt;Off-street")&gt;0,1,0)</f>
        <v>1</v>
      </c>
      <c r="H1093">
        <f>IF(COUNTIFS('United Data'!$A$3:$A$3390,H$1,'United Data'!$C$3:$C$3390,$A1093,'United Data'!$B$3:$B$3390,"&lt;&gt;Off-street")&gt;0,1,0)</f>
        <v>0</v>
      </c>
      <c r="I1093">
        <f>IF(COUNTIFS('United Data'!$A$3:$A$3390,I$1,'United Data'!$C$3:$C$3390,$A1093,'United Data'!$B$3:$B$3390,"&lt;&gt;Off-street")&gt;0,1,0)</f>
        <v>0</v>
      </c>
      <c r="J1093">
        <f>IF(COUNTIFS('United Data'!$A$3:$A$3390,J$1,'United Data'!$C$3:$C$3390,$A1093,'United Data'!$B$3:$B$3390,"&lt;&gt;Off-street")&gt;0,1,0)</f>
        <v>0</v>
      </c>
      <c r="K1093">
        <f>IF(COUNTIFS('United Data'!$A$3:$A$3390,K$1,'United Data'!$C$3:$C$3390,$A1093,'United Data'!$B$3:$B$3390,"&lt;&gt;Off-street")&gt;0,1,0)</f>
        <v>0</v>
      </c>
      <c r="L1093">
        <f>IF(COUNTIFS('United Data'!$A$3:$A$3390,L$1,'United Data'!$C$3:$C$3390,$A1093,'United Data'!$B$3:$B$3390,"&lt;&gt;Off-street")&gt;0,1,0)</f>
        <v>0</v>
      </c>
      <c r="M1093">
        <f>IF(COUNTIFS('United Data'!$A$3:$A$3390,M$1,'United Data'!$C$3:$C$3390,$A1093,'United Data'!$B$3:$B$3390,"&lt;&gt;Off-street")&gt;0,1,0)</f>
        <v>0</v>
      </c>
      <c r="N1093">
        <f>IF(COUNTIFS('United Data'!$A$3:$A$3390,N$1,'United Data'!$C$3:$C$3390,$A1093,'United Data'!$B$3:$B$3390,"&lt;&gt;Off-street")&gt;0,1,0)</f>
        <v>0</v>
      </c>
      <c r="O1093">
        <f>IF(COUNTIFS('United Data'!$A$3:$A$3390,O$1,'United Data'!$C$3:$C$3390,$A1093,'United Data'!$B$3:$B$3390,"&lt;&gt;Off-street")&gt;0,1,0)</f>
        <v>0</v>
      </c>
      <c r="P1093">
        <f>IF(COUNTIFS('United Data'!$A$3:$A$3390,P$1,'United Data'!$C$3:$C$3390,$A1093,'United Data'!$B$3:$B$3390,"&lt;&gt;Off-street")&gt;0,1,0)</f>
        <v>0</v>
      </c>
      <c r="Q1093">
        <f>IF(COUNTIFS('United Data'!$A$3:$A$3390,Q$1,'United Data'!$C$3:$C$3390,$A1093,'United Data'!$B$3:$B$3390,"&lt;&gt;Off-street")&gt;0,1,0)</f>
        <v>0</v>
      </c>
      <c r="R1093">
        <f>IF(COUNTIFS('United Data'!$A$3:$A$3390,R$1,'United Data'!$C$3:$C$3390,$A1093,'United Data'!$B$3:$B$3390,"&lt;&gt;Off-street")&gt;0,1,0)</f>
        <v>0</v>
      </c>
      <c r="S1093">
        <f t="shared" si="34"/>
        <v>1</v>
      </c>
      <c r="T1093">
        <f t="shared" si="35"/>
        <v>1</v>
      </c>
    </row>
    <row r="1094" spans="1:20" x14ac:dyDescent="0.2">
      <c r="A1094" t="s">
        <v>1313</v>
      </c>
      <c r="B1094">
        <f>IF(COUNTIFS('United Data'!$A$3:$A$3390,B$1,'United Data'!$C$3:$C$3390,$A1094,'United Data'!$B$3:$B$3390,"&lt;&gt;Off-street")&gt;0,1,0)</f>
        <v>0</v>
      </c>
      <c r="C1094">
        <f>IF(COUNTIFS('United Data'!$A$3:$A$3390,C$1,'United Data'!$C$3:$C$3390,$A1094,'United Data'!$B$3:$B$3390,"&lt;&gt;Off-street")&gt;0,1,0)</f>
        <v>0</v>
      </c>
      <c r="D1094">
        <f>IF(COUNTIFS('United Data'!$A$3:$A$3390,D$1,'United Data'!$C$3:$C$3390,$A1094,'United Data'!$B$3:$B$3390,"&lt;&gt;Off-street")&gt;0,1,0)</f>
        <v>0</v>
      </c>
      <c r="E1094">
        <f>IF(COUNTIFS('United Data'!$A$3:$A$3390,E$1,'United Data'!$C$3:$C$3390,$A1094,'United Data'!$B$3:$B$3390,"&lt;&gt;Off-street")&gt;0,1,0)</f>
        <v>0</v>
      </c>
      <c r="F1094">
        <f>IF(COUNTIFS('United Data'!$A$3:$A$3390,F$1,'United Data'!$C$3:$C$3390,$A1094,'United Data'!$B$3:$B$3390,"&lt;&gt;Off-street")&gt;0,1,0)</f>
        <v>0</v>
      </c>
      <c r="G1094">
        <f>IF(COUNTIFS('United Data'!$A$3:$A$3390,G$1,'United Data'!$C$3:$C$3390,$A1094,'United Data'!$B$3:$B$3390,"&lt;&gt;Off-street")&gt;0,1,0)</f>
        <v>1</v>
      </c>
      <c r="H1094">
        <f>IF(COUNTIFS('United Data'!$A$3:$A$3390,H$1,'United Data'!$C$3:$C$3390,$A1094,'United Data'!$B$3:$B$3390,"&lt;&gt;Off-street")&gt;0,1,0)</f>
        <v>1</v>
      </c>
      <c r="I1094">
        <f>IF(COUNTIFS('United Data'!$A$3:$A$3390,I$1,'United Data'!$C$3:$C$3390,$A1094,'United Data'!$B$3:$B$3390,"&lt;&gt;Off-street")&gt;0,1,0)</f>
        <v>0</v>
      </c>
      <c r="J1094">
        <f>IF(COUNTIFS('United Data'!$A$3:$A$3390,J$1,'United Data'!$C$3:$C$3390,$A1094,'United Data'!$B$3:$B$3390,"&lt;&gt;Off-street")&gt;0,1,0)</f>
        <v>0</v>
      </c>
      <c r="K1094">
        <f>IF(COUNTIFS('United Data'!$A$3:$A$3390,K$1,'United Data'!$C$3:$C$3390,$A1094,'United Data'!$B$3:$B$3390,"&lt;&gt;Off-street")&gt;0,1,0)</f>
        <v>0</v>
      </c>
      <c r="L1094">
        <f>IF(COUNTIFS('United Data'!$A$3:$A$3390,L$1,'United Data'!$C$3:$C$3390,$A1094,'United Data'!$B$3:$B$3390,"&lt;&gt;Off-street")&gt;0,1,0)</f>
        <v>0</v>
      </c>
      <c r="M1094">
        <f>IF(COUNTIFS('United Data'!$A$3:$A$3390,M$1,'United Data'!$C$3:$C$3390,$A1094,'United Data'!$B$3:$B$3390,"&lt;&gt;Off-street")&gt;0,1,0)</f>
        <v>0</v>
      </c>
      <c r="N1094">
        <f>IF(COUNTIFS('United Data'!$A$3:$A$3390,N$1,'United Data'!$C$3:$C$3390,$A1094,'United Data'!$B$3:$B$3390,"&lt;&gt;Off-street")&gt;0,1,0)</f>
        <v>0</v>
      </c>
      <c r="O1094">
        <f>IF(COUNTIFS('United Data'!$A$3:$A$3390,O$1,'United Data'!$C$3:$C$3390,$A1094,'United Data'!$B$3:$B$3390,"&lt;&gt;Off-street")&gt;0,1,0)</f>
        <v>0</v>
      </c>
      <c r="P1094">
        <f>IF(COUNTIFS('United Data'!$A$3:$A$3390,P$1,'United Data'!$C$3:$C$3390,$A1094,'United Data'!$B$3:$B$3390,"&lt;&gt;Off-street")&gt;0,1,0)</f>
        <v>0</v>
      </c>
      <c r="Q1094">
        <f>IF(COUNTIFS('United Data'!$A$3:$A$3390,Q$1,'United Data'!$C$3:$C$3390,$A1094,'United Data'!$B$3:$B$3390,"&lt;&gt;Off-street")&gt;0,1,0)</f>
        <v>0</v>
      </c>
      <c r="R1094">
        <f>IF(COUNTIFS('United Data'!$A$3:$A$3390,R$1,'United Data'!$C$3:$C$3390,$A1094,'United Data'!$B$3:$B$3390,"&lt;&gt;Off-street")&gt;0,1,0)</f>
        <v>0</v>
      </c>
      <c r="S1094">
        <f t="shared" si="34"/>
        <v>2</v>
      </c>
      <c r="T1094">
        <f t="shared" si="35"/>
        <v>1</v>
      </c>
    </row>
    <row r="1095" spans="1:20" x14ac:dyDescent="0.2">
      <c r="A1095" t="s">
        <v>1314</v>
      </c>
      <c r="B1095">
        <f>IF(COUNTIFS('United Data'!$A$3:$A$3390,B$1,'United Data'!$C$3:$C$3390,$A1095,'United Data'!$B$3:$B$3390,"&lt;&gt;Off-street")&gt;0,1,0)</f>
        <v>0</v>
      </c>
      <c r="C1095">
        <f>IF(COUNTIFS('United Data'!$A$3:$A$3390,C$1,'United Data'!$C$3:$C$3390,$A1095,'United Data'!$B$3:$B$3390,"&lt;&gt;Off-street")&gt;0,1,0)</f>
        <v>0</v>
      </c>
      <c r="D1095">
        <f>IF(COUNTIFS('United Data'!$A$3:$A$3390,D$1,'United Data'!$C$3:$C$3390,$A1095,'United Data'!$B$3:$B$3390,"&lt;&gt;Off-street")&gt;0,1,0)</f>
        <v>0</v>
      </c>
      <c r="E1095">
        <f>IF(COUNTIFS('United Data'!$A$3:$A$3390,E$1,'United Data'!$C$3:$C$3390,$A1095,'United Data'!$B$3:$B$3390,"&lt;&gt;Off-street")&gt;0,1,0)</f>
        <v>0</v>
      </c>
      <c r="F1095">
        <f>IF(COUNTIFS('United Data'!$A$3:$A$3390,F$1,'United Data'!$C$3:$C$3390,$A1095,'United Data'!$B$3:$B$3390,"&lt;&gt;Off-street")&gt;0,1,0)</f>
        <v>0</v>
      </c>
      <c r="G1095">
        <f>IF(COUNTIFS('United Data'!$A$3:$A$3390,G$1,'United Data'!$C$3:$C$3390,$A1095,'United Data'!$B$3:$B$3390,"&lt;&gt;Off-street")&gt;0,1,0)</f>
        <v>1</v>
      </c>
      <c r="H1095">
        <f>IF(COUNTIFS('United Data'!$A$3:$A$3390,H$1,'United Data'!$C$3:$C$3390,$A1095,'United Data'!$B$3:$B$3390,"&lt;&gt;Off-street")&gt;0,1,0)</f>
        <v>1</v>
      </c>
      <c r="I1095">
        <f>IF(COUNTIFS('United Data'!$A$3:$A$3390,I$1,'United Data'!$C$3:$C$3390,$A1095,'United Data'!$B$3:$B$3390,"&lt;&gt;Off-street")&gt;0,1,0)</f>
        <v>0</v>
      </c>
      <c r="J1095">
        <f>IF(COUNTIFS('United Data'!$A$3:$A$3390,J$1,'United Data'!$C$3:$C$3390,$A1095,'United Data'!$B$3:$B$3390,"&lt;&gt;Off-street")&gt;0,1,0)</f>
        <v>0</v>
      </c>
      <c r="K1095">
        <f>IF(COUNTIFS('United Data'!$A$3:$A$3390,K$1,'United Data'!$C$3:$C$3390,$A1095,'United Data'!$B$3:$B$3390,"&lt;&gt;Off-street")&gt;0,1,0)</f>
        <v>0</v>
      </c>
      <c r="L1095">
        <f>IF(COUNTIFS('United Data'!$A$3:$A$3390,L$1,'United Data'!$C$3:$C$3390,$A1095,'United Data'!$B$3:$B$3390,"&lt;&gt;Off-street")&gt;0,1,0)</f>
        <v>0</v>
      </c>
      <c r="M1095">
        <f>IF(COUNTIFS('United Data'!$A$3:$A$3390,M$1,'United Data'!$C$3:$C$3390,$A1095,'United Data'!$B$3:$B$3390,"&lt;&gt;Off-street")&gt;0,1,0)</f>
        <v>0</v>
      </c>
      <c r="N1095">
        <f>IF(COUNTIFS('United Data'!$A$3:$A$3390,N$1,'United Data'!$C$3:$C$3390,$A1095,'United Data'!$B$3:$B$3390,"&lt;&gt;Off-street")&gt;0,1,0)</f>
        <v>0</v>
      </c>
      <c r="O1095">
        <f>IF(COUNTIFS('United Data'!$A$3:$A$3390,O$1,'United Data'!$C$3:$C$3390,$A1095,'United Data'!$B$3:$B$3390,"&lt;&gt;Off-street")&gt;0,1,0)</f>
        <v>0</v>
      </c>
      <c r="P1095">
        <f>IF(COUNTIFS('United Data'!$A$3:$A$3390,P$1,'United Data'!$C$3:$C$3390,$A1095,'United Data'!$B$3:$B$3390,"&lt;&gt;Off-street")&gt;0,1,0)</f>
        <v>0</v>
      </c>
      <c r="Q1095">
        <f>IF(COUNTIFS('United Data'!$A$3:$A$3390,Q$1,'United Data'!$C$3:$C$3390,$A1095,'United Data'!$B$3:$B$3390,"&lt;&gt;Off-street")&gt;0,1,0)</f>
        <v>0</v>
      </c>
      <c r="R1095">
        <f>IF(COUNTIFS('United Data'!$A$3:$A$3390,R$1,'United Data'!$C$3:$C$3390,$A1095,'United Data'!$B$3:$B$3390,"&lt;&gt;Off-street")&gt;0,1,0)</f>
        <v>0</v>
      </c>
      <c r="S1095">
        <f t="shared" si="34"/>
        <v>2</v>
      </c>
      <c r="T1095">
        <f t="shared" si="35"/>
        <v>1</v>
      </c>
    </row>
    <row r="1096" spans="1:20" x14ac:dyDescent="0.2">
      <c r="A1096" t="s">
        <v>1315</v>
      </c>
      <c r="B1096">
        <f>IF(COUNTIFS('United Data'!$A$3:$A$3390,B$1,'United Data'!$C$3:$C$3390,$A1096,'United Data'!$B$3:$B$3390,"&lt;&gt;Off-street")&gt;0,1,0)</f>
        <v>0</v>
      </c>
      <c r="C1096">
        <f>IF(COUNTIFS('United Data'!$A$3:$A$3390,C$1,'United Data'!$C$3:$C$3390,$A1096,'United Data'!$B$3:$B$3390,"&lt;&gt;Off-street")&gt;0,1,0)</f>
        <v>0</v>
      </c>
      <c r="D1096">
        <f>IF(COUNTIFS('United Data'!$A$3:$A$3390,D$1,'United Data'!$C$3:$C$3390,$A1096,'United Data'!$B$3:$B$3390,"&lt;&gt;Off-street")&gt;0,1,0)</f>
        <v>0</v>
      </c>
      <c r="E1096">
        <f>IF(COUNTIFS('United Data'!$A$3:$A$3390,E$1,'United Data'!$C$3:$C$3390,$A1096,'United Data'!$B$3:$B$3390,"&lt;&gt;Off-street")&gt;0,1,0)</f>
        <v>0</v>
      </c>
      <c r="F1096">
        <f>IF(COUNTIFS('United Data'!$A$3:$A$3390,F$1,'United Data'!$C$3:$C$3390,$A1096,'United Data'!$B$3:$B$3390,"&lt;&gt;Off-street")&gt;0,1,0)</f>
        <v>0</v>
      </c>
      <c r="G1096">
        <f>IF(COUNTIFS('United Data'!$A$3:$A$3390,G$1,'United Data'!$C$3:$C$3390,$A1096,'United Data'!$B$3:$B$3390,"&lt;&gt;Off-street")&gt;0,1,0)</f>
        <v>1</v>
      </c>
      <c r="H1096">
        <f>IF(COUNTIFS('United Data'!$A$3:$A$3390,H$1,'United Data'!$C$3:$C$3390,$A1096,'United Data'!$B$3:$B$3390,"&lt;&gt;Off-street")&gt;0,1,0)</f>
        <v>0</v>
      </c>
      <c r="I1096">
        <f>IF(COUNTIFS('United Data'!$A$3:$A$3390,I$1,'United Data'!$C$3:$C$3390,$A1096,'United Data'!$B$3:$B$3390,"&lt;&gt;Off-street")&gt;0,1,0)</f>
        <v>0</v>
      </c>
      <c r="J1096">
        <f>IF(COUNTIFS('United Data'!$A$3:$A$3390,J$1,'United Data'!$C$3:$C$3390,$A1096,'United Data'!$B$3:$B$3390,"&lt;&gt;Off-street")&gt;0,1,0)</f>
        <v>0</v>
      </c>
      <c r="K1096">
        <f>IF(COUNTIFS('United Data'!$A$3:$A$3390,K$1,'United Data'!$C$3:$C$3390,$A1096,'United Data'!$B$3:$B$3390,"&lt;&gt;Off-street")&gt;0,1,0)</f>
        <v>0</v>
      </c>
      <c r="L1096">
        <f>IF(COUNTIFS('United Data'!$A$3:$A$3390,L$1,'United Data'!$C$3:$C$3390,$A1096,'United Data'!$B$3:$B$3390,"&lt;&gt;Off-street")&gt;0,1,0)</f>
        <v>0</v>
      </c>
      <c r="M1096">
        <f>IF(COUNTIFS('United Data'!$A$3:$A$3390,M$1,'United Data'!$C$3:$C$3390,$A1096,'United Data'!$B$3:$B$3390,"&lt;&gt;Off-street")&gt;0,1,0)</f>
        <v>0</v>
      </c>
      <c r="N1096">
        <f>IF(COUNTIFS('United Data'!$A$3:$A$3390,N$1,'United Data'!$C$3:$C$3390,$A1096,'United Data'!$B$3:$B$3390,"&lt;&gt;Off-street")&gt;0,1,0)</f>
        <v>0</v>
      </c>
      <c r="O1096">
        <f>IF(COUNTIFS('United Data'!$A$3:$A$3390,O$1,'United Data'!$C$3:$C$3390,$A1096,'United Data'!$B$3:$B$3390,"&lt;&gt;Off-street")&gt;0,1,0)</f>
        <v>0</v>
      </c>
      <c r="P1096">
        <f>IF(COUNTIFS('United Data'!$A$3:$A$3390,P$1,'United Data'!$C$3:$C$3390,$A1096,'United Data'!$B$3:$B$3390,"&lt;&gt;Off-street")&gt;0,1,0)</f>
        <v>0</v>
      </c>
      <c r="Q1096">
        <f>IF(COUNTIFS('United Data'!$A$3:$A$3390,Q$1,'United Data'!$C$3:$C$3390,$A1096,'United Data'!$B$3:$B$3390,"&lt;&gt;Off-street")&gt;0,1,0)</f>
        <v>0</v>
      </c>
      <c r="R1096">
        <f>IF(COUNTIFS('United Data'!$A$3:$A$3390,R$1,'United Data'!$C$3:$C$3390,$A1096,'United Data'!$B$3:$B$3390,"&lt;&gt;Off-street")&gt;0,1,0)</f>
        <v>0</v>
      </c>
      <c r="S1096">
        <f t="shared" si="34"/>
        <v>1</v>
      </c>
      <c r="T1096">
        <f t="shared" si="35"/>
        <v>1</v>
      </c>
    </row>
    <row r="1097" spans="1:20" x14ac:dyDescent="0.2">
      <c r="A1097" t="s">
        <v>1316</v>
      </c>
      <c r="B1097">
        <f>IF(COUNTIFS('United Data'!$A$3:$A$3390,B$1,'United Data'!$C$3:$C$3390,$A1097,'United Data'!$B$3:$B$3390,"&lt;&gt;Off-street")&gt;0,1,0)</f>
        <v>0</v>
      </c>
      <c r="C1097">
        <f>IF(COUNTIFS('United Data'!$A$3:$A$3390,C$1,'United Data'!$C$3:$C$3390,$A1097,'United Data'!$B$3:$B$3390,"&lt;&gt;Off-street")&gt;0,1,0)</f>
        <v>0</v>
      </c>
      <c r="D1097">
        <f>IF(COUNTIFS('United Data'!$A$3:$A$3390,D$1,'United Data'!$C$3:$C$3390,$A1097,'United Data'!$B$3:$B$3390,"&lt;&gt;Off-street")&gt;0,1,0)</f>
        <v>0</v>
      </c>
      <c r="E1097">
        <f>IF(COUNTIFS('United Data'!$A$3:$A$3390,E$1,'United Data'!$C$3:$C$3390,$A1097,'United Data'!$B$3:$B$3390,"&lt;&gt;Off-street")&gt;0,1,0)</f>
        <v>0</v>
      </c>
      <c r="F1097">
        <f>IF(COUNTIFS('United Data'!$A$3:$A$3390,F$1,'United Data'!$C$3:$C$3390,$A1097,'United Data'!$B$3:$B$3390,"&lt;&gt;Off-street")&gt;0,1,0)</f>
        <v>0</v>
      </c>
      <c r="G1097">
        <f>IF(COUNTIFS('United Data'!$A$3:$A$3390,G$1,'United Data'!$C$3:$C$3390,$A1097,'United Data'!$B$3:$B$3390,"&lt;&gt;Off-street")&gt;0,1,0)</f>
        <v>1</v>
      </c>
      <c r="H1097">
        <f>IF(COUNTIFS('United Data'!$A$3:$A$3390,H$1,'United Data'!$C$3:$C$3390,$A1097,'United Data'!$B$3:$B$3390,"&lt;&gt;Off-street")&gt;0,1,0)</f>
        <v>0</v>
      </c>
      <c r="I1097">
        <f>IF(COUNTIFS('United Data'!$A$3:$A$3390,I$1,'United Data'!$C$3:$C$3390,$A1097,'United Data'!$B$3:$B$3390,"&lt;&gt;Off-street")&gt;0,1,0)</f>
        <v>0</v>
      </c>
      <c r="J1097">
        <f>IF(COUNTIFS('United Data'!$A$3:$A$3390,J$1,'United Data'!$C$3:$C$3390,$A1097,'United Data'!$B$3:$B$3390,"&lt;&gt;Off-street")&gt;0,1,0)</f>
        <v>0</v>
      </c>
      <c r="K1097">
        <f>IF(COUNTIFS('United Data'!$A$3:$A$3390,K$1,'United Data'!$C$3:$C$3390,$A1097,'United Data'!$B$3:$B$3390,"&lt;&gt;Off-street")&gt;0,1,0)</f>
        <v>0</v>
      </c>
      <c r="L1097">
        <f>IF(COUNTIFS('United Data'!$A$3:$A$3390,L$1,'United Data'!$C$3:$C$3390,$A1097,'United Data'!$B$3:$B$3390,"&lt;&gt;Off-street")&gt;0,1,0)</f>
        <v>0</v>
      </c>
      <c r="M1097">
        <f>IF(COUNTIFS('United Data'!$A$3:$A$3390,M$1,'United Data'!$C$3:$C$3390,$A1097,'United Data'!$B$3:$B$3390,"&lt;&gt;Off-street")&gt;0,1,0)</f>
        <v>0</v>
      </c>
      <c r="N1097">
        <f>IF(COUNTIFS('United Data'!$A$3:$A$3390,N$1,'United Data'!$C$3:$C$3390,$A1097,'United Data'!$B$3:$B$3390,"&lt;&gt;Off-street")&gt;0,1,0)</f>
        <v>0</v>
      </c>
      <c r="O1097">
        <f>IF(COUNTIFS('United Data'!$A$3:$A$3390,O$1,'United Data'!$C$3:$C$3390,$A1097,'United Data'!$B$3:$B$3390,"&lt;&gt;Off-street")&gt;0,1,0)</f>
        <v>0</v>
      </c>
      <c r="P1097">
        <f>IF(COUNTIFS('United Data'!$A$3:$A$3390,P$1,'United Data'!$C$3:$C$3390,$A1097,'United Data'!$B$3:$B$3390,"&lt;&gt;Off-street")&gt;0,1,0)</f>
        <v>0</v>
      </c>
      <c r="Q1097">
        <f>IF(COUNTIFS('United Data'!$A$3:$A$3390,Q$1,'United Data'!$C$3:$C$3390,$A1097,'United Data'!$B$3:$B$3390,"&lt;&gt;Off-street")&gt;0,1,0)</f>
        <v>0</v>
      </c>
      <c r="R1097">
        <f>IF(COUNTIFS('United Data'!$A$3:$A$3390,R$1,'United Data'!$C$3:$C$3390,$A1097,'United Data'!$B$3:$B$3390,"&lt;&gt;Off-street")&gt;0,1,0)</f>
        <v>0</v>
      </c>
      <c r="S1097">
        <f t="shared" si="34"/>
        <v>1</v>
      </c>
      <c r="T1097">
        <f t="shared" si="35"/>
        <v>1</v>
      </c>
    </row>
    <row r="1098" spans="1:20" x14ac:dyDescent="0.2">
      <c r="A1098" t="s">
        <v>1317</v>
      </c>
      <c r="B1098">
        <f>IF(COUNTIFS('United Data'!$A$3:$A$3390,B$1,'United Data'!$C$3:$C$3390,$A1098,'United Data'!$B$3:$B$3390,"&lt;&gt;Off-street")&gt;0,1,0)</f>
        <v>0</v>
      </c>
      <c r="C1098">
        <f>IF(COUNTIFS('United Data'!$A$3:$A$3390,C$1,'United Data'!$C$3:$C$3390,$A1098,'United Data'!$B$3:$B$3390,"&lt;&gt;Off-street")&gt;0,1,0)</f>
        <v>0</v>
      </c>
      <c r="D1098">
        <f>IF(COUNTIFS('United Data'!$A$3:$A$3390,D$1,'United Data'!$C$3:$C$3390,$A1098,'United Data'!$B$3:$B$3390,"&lt;&gt;Off-street")&gt;0,1,0)</f>
        <v>0</v>
      </c>
      <c r="E1098">
        <f>IF(COUNTIFS('United Data'!$A$3:$A$3390,E$1,'United Data'!$C$3:$C$3390,$A1098,'United Data'!$B$3:$B$3390,"&lt;&gt;Off-street")&gt;0,1,0)</f>
        <v>0</v>
      </c>
      <c r="F1098">
        <f>IF(COUNTIFS('United Data'!$A$3:$A$3390,F$1,'United Data'!$C$3:$C$3390,$A1098,'United Data'!$B$3:$B$3390,"&lt;&gt;Off-street")&gt;0,1,0)</f>
        <v>0</v>
      </c>
      <c r="G1098">
        <f>IF(COUNTIFS('United Data'!$A$3:$A$3390,G$1,'United Data'!$C$3:$C$3390,$A1098,'United Data'!$B$3:$B$3390,"&lt;&gt;Off-street")&gt;0,1,0)</f>
        <v>1</v>
      </c>
      <c r="H1098">
        <f>IF(COUNTIFS('United Data'!$A$3:$A$3390,H$1,'United Data'!$C$3:$C$3390,$A1098,'United Data'!$B$3:$B$3390,"&lt;&gt;Off-street")&gt;0,1,0)</f>
        <v>0</v>
      </c>
      <c r="I1098">
        <f>IF(COUNTIFS('United Data'!$A$3:$A$3390,I$1,'United Data'!$C$3:$C$3390,$A1098,'United Data'!$B$3:$B$3390,"&lt;&gt;Off-street")&gt;0,1,0)</f>
        <v>0</v>
      </c>
      <c r="J1098">
        <f>IF(COUNTIFS('United Data'!$A$3:$A$3390,J$1,'United Data'!$C$3:$C$3390,$A1098,'United Data'!$B$3:$B$3390,"&lt;&gt;Off-street")&gt;0,1,0)</f>
        <v>0</v>
      </c>
      <c r="K1098">
        <f>IF(COUNTIFS('United Data'!$A$3:$A$3390,K$1,'United Data'!$C$3:$C$3390,$A1098,'United Data'!$B$3:$B$3390,"&lt;&gt;Off-street")&gt;0,1,0)</f>
        <v>0</v>
      </c>
      <c r="L1098">
        <f>IF(COUNTIFS('United Data'!$A$3:$A$3390,L$1,'United Data'!$C$3:$C$3390,$A1098,'United Data'!$B$3:$B$3390,"&lt;&gt;Off-street")&gt;0,1,0)</f>
        <v>0</v>
      </c>
      <c r="M1098">
        <f>IF(COUNTIFS('United Data'!$A$3:$A$3390,M$1,'United Data'!$C$3:$C$3390,$A1098,'United Data'!$B$3:$B$3390,"&lt;&gt;Off-street")&gt;0,1,0)</f>
        <v>0</v>
      </c>
      <c r="N1098">
        <f>IF(COUNTIFS('United Data'!$A$3:$A$3390,N$1,'United Data'!$C$3:$C$3390,$A1098,'United Data'!$B$3:$B$3390,"&lt;&gt;Off-street")&gt;0,1,0)</f>
        <v>0</v>
      </c>
      <c r="O1098">
        <f>IF(COUNTIFS('United Data'!$A$3:$A$3390,O$1,'United Data'!$C$3:$C$3390,$A1098,'United Data'!$B$3:$B$3390,"&lt;&gt;Off-street")&gt;0,1,0)</f>
        <v>0</v>
      </c>
      <c r="P1098">
        <f>IF(COUNTIFS('United Data'!$A$3:$A$3390,P$1,'United Data'!$C$3:$C$3390,$A1098,'United Data'!$B$3:$B$3390,"&lt;&gt;Off-street")&gt;0,1,0)</f>
        <v>0</v>
      </c>
      <c r="Q1098">
        <f>IF(COUNTIFS('United Data'!$A$3:$A$3390,Q$1,'United Data'!$C$3:$C$3390,$A1098,'United Data'!$B$3:$B$3390,"&lt;&gt;Off-street")&gt;0,1,0)</f>
        <v>0</v>
      </c>
      <c r="R1098">
        <f>IF(COUNTIFS('United Data'!$A$3:$A$3390,R$1,'United Data'!$C$3:$C$3390,$A1098,'United Data'!$B$3:$B$3390,"&lt;&gt;Off-street")&gt;0,1,0)</f>
        <v>0</v>
      </c>
      <c r="S1098">
        <f t="shared" si="34"/>
        <v>1</v>
      </c>
      <c r="T1098">
        <f t="shared" si="35"/>
        <v>1</v>
      </c>
    </row>
    <row r="1099" spans="1:20" x14ac:dyDescent="0.2">
      <c r="A1099" t="s">
        <v>1318</v>
      </c>
      <c r="B1099">
        <f>IF(COUNTIFS('United Data'!$A$3:$A$3390,B$1,'United Data'!$C$3:$C$3390,$A1099,'United Data'!$B$3:$B$3390,"&lt;&gt;Off-street")&gt;0,1,0)</f>
        <v>0</v>
      </c>
      <c r="C1099">
        <f>IF(COUNTIFS('United Data'!$A$3:$A$3390,C$1,'United Data'!$C$3:$C$3390,$A1099,'United Data'!$B$3:$B$3390,"&lt;&gt;Off-street")&gt;0,1,0)</f>
        <v>0</v>
      </c>
      <c r="D1099">
        <f>IF(COUNTIFS('United Data'!$A$3:$A$3390,D$1,'United Data'!$C$3:$C$3390,$A1099,'United Data'!$B$3:$B$3390,"&lt;&gt;Off-street")&gt;0,1,0)</f>
        <v>0</v>
      </c>
      <c r="E1099">
        <f>IF(COUNTIFS('United Data'!$A$3:$A$3390,E$1,'United Data'!$C$3:$C$3390,$A1099,'United Data'!$B$3:$B$3390,"&lt;&gt;Off-street")&gt;0,1,0)</f>
        <v>0</v>
      </c>
      <c r="F1099">
        <f>IF(COUNTIFS('United Data'!$A$3:$A$3390,F$1,'United Data'!$C$3:$C$3390,$A1099,'United Data'!$B$3:$B$3390,"&lt;&gt;Off-street")&gt;0,1,0)</f>
        <v>0</v>
      </c>
      <c r="G1099">
        <f>IF(COUNTIFS('United Data'!$A$3:$A$3390,G$1,'United Data'!$C$3:$C$3390,$A1099,'United Data'!$B$3:$B$3390,"&lt;&gt;Off-street")&gt;0,1,0)</f>
        <v>1</v>
      </c>
      <c r="H1099">
        <f>IF(COUNTIFS('United Data'!$A$3:$A$3390,H$1,'United Data'!$C$3:$C$3390,$A1099,'United Data'!$B$3:$B$3390,"&lt;&gt;Off-street")&gt;0,1,0)</f>
        <v>0</v>
      </c>
      <c r="I1099">
        <f>IF(COUNTIFS('United Data'!$A$3:$A$3390,I$1,'United Data'!$C$3:$C$3390,$A1099,'United Data'!$B$3:$B$3390,"&lt;&gt;Off-street")&gt;0,1,0)</f>
        <v>0</v>
      </c>
      <c r="J1099">
        <f>IF(COUNTIFS('United Data'!$A$3:$A$3390,J$1,'United Data'!$C$3:$C$3390,$A1099,'United Data'!$B$3:$B$3390,"&lt;&gt;Off-street")&gt;0,1,0)</f>
        <v>0</v>
      </c>
      <c r="K1099">
        <f>IF(COUNTIFS('United Data'!$A$3:$A$3390,K$1,'United Data'!$C$3:$C$3390,$A1099,'United Data'!$B$3:$B$3390,"&lt;&gt;Off-street")&gt;0,1,0)</f>
        <v>0</v>
      </c>
      <c r="L1099">
        <f>IF(COUNTIFS('United Data'!$A$3:$A$3390,L$1,'United Data'!$C$3:$C$3390,$A1099,'United Data'!$B$3:$B$3390,"&lt;&gt;Off-street")&gt;0,1,0)</f>
        <v>0</v>
      </c>
      <c r="M1099">
        <f>IF(COUNTIFS('United Data'!$A$3:$A$3390,M$1,'United Data'!$C$3:$C$3390,$A1099,'United Data'!$B$3:$B$3390,"&lt;&gt;Off-street")&gt;0,1,0)</f>
        <v>0</v>
      </c>
      <c r="N1099">
        <f>IF(COUNTIFS('United Data'!$A$3:$A$3390,N$1,'United Data'!$C$3:$C$3390,$A1099,'United Data'!$B$3:$B$3390,"&lt;&gt;Off-street")&gt;0,1,0)</f>
        <v>0</v>
      </c>
      <c r="O1099">
        <f>IF(COUNTIFS('United Data'!$A$3:$A$3390,O$1,'United Data'!$C$3:$C$3390,$A1099,'United Data'!$B$3:$B$3390,"&lt;&gt;Off-street")&gt;0,1,0)</f>
        <v>0</v>
      </c>
      <c r="P1099">
        <f>IF(COUNTIFS('United Data'!$A$3:$A$3390,P$1,'United Data'!$C$3:$C$3390,$A1099,'United Data'!$B$3:$B$3390,"&lt;&gt;Off-street")&gt;0,1,0)</f>
        <v>0</v>
      </c>
      <c r="Q1099">
        <f>IF(COUNTIFS('United Data'!$A$3:$A$3390,Q$1,'United Data'!$C$3:$C$3390,$A1099,'United Data'!$B$3:$B$3390,"&lt;&gt;Off-street")&gt;0,1,0)</f>
        <v>0</v>
      </c>
      <c r="R1099">
        <f>IF(COUNTIFS('United Data'!$A$3:$A$3390,R$1,'United Data'!$C$3:$C$3390,$A1099,'United Data'!$B$3:$B$3390,"&lt;&gt;Off-street")&gt;0,1,0)</f>
        <v>0</v>
      </c>
      <c r="S1099">
        <f t="shared" si="34"/>
        <v>1</v>
      </c>
      <c r="T1099">
        <f t="shared" si="35"/>
        <v>1</v>
      </c>
    </row>
    <row r="1100" spans="1:20" x14ac:dyDescent="0.2">
      <c r="A1100" t="s">
        <v>1319</v>
      </c>
      <c r="B1100">
        <f>IF(COUNTIFS('United Data'!$A$3:$A$3390,B$1,'United Data'!$C$3:$C$3390,$A1100,'United Data'!$B$3:$B$3390,"&lt;&gt;Off-street")&gt;0,1,0)</f>
        <v>0</v>
      </c>
      <c r="C1100">
        <f>IF(COUNTIFS('United Data'!$A$3:$A$3390,C$1,'United Data'!$C$3:$C$3390,$A1100,'United Data'!$B$3:$B$3390,"&lt;&gt;Off-street")&gt;0,1,0)</f>
        <v>0</v>
      </c>
      <c r="D1100">
        <f>IF(COUNTIFS('United Data'!$A$3:$A$3390,D$1,'United Data'!$C$3:$C$3390,$A1100,'United Data'!$B$3:$B$3390,"&lt;&gt;Off-street")&gt;0,1,0)</f>
        <v>0</v>
      </c>
      <c r="E1100">
        <f>IF(COUNTIFS('United Data'!$A$3:$A$3390,E$1,'United Data'!$C$3:$C$3390,$A1100,'United Data'!$B$3:$B$3390,"&lt;&gt;Off-street")&gt;0,1,0)</f>
        <v>0</v>
      </c>
      <c r="F1100">
        <f>IF(COUNTIFS('United Data'!$A$3:$A$3390,F$1,'United Data'!$C$3:$C$3390,$A1100,'United Data'!$B$3:$B$3390,"&lt;&gt;Off-street")&gt;0,1,0)</f>
        <v>0</v>
      </c>
      <c r="G1100">
        <f>IF(COUNTIFS('United Data'!$A$3:$A$3390,G$1,'United Data'!$C$3:$C$3390,$A1100,'United Data'!$B$3:$B$3390,"&lt;&gt;Off-street")&gt;0,1,0)</f>
        <v>1</v>
      </c>
      <c r="H1100">
        <f>IF(COUNTIFS('United Data'!$A$3:$A$3390,H$1,'United Data'!$C$3:$C$3390,$A1100,'United Data'!$B$3:$B$3390,"&lt;&gt;Off-street")&gt;0,1,0)</f>
        <v>0</v>
      </c>
      <c r="I1100">
        <f>IF(COUNTIFS('United Data'!$A$3:$A$3390,I$1,'United Data'!$C$3:$C$3390,$A1100,'United Data'!$B$3:$B$3390,"&lt;&gt;Off-street")&gt;0,1,0)</f>
        <v>0</v>
      </c>
      <c r="J1100">
        <f>IF(COUNTIFS('United Data'!$A$3:$A$3390,J$1,'United Data'!$C$3:$C$3390,$A1100,'United Data'!$B$3:$B$3390,"&lt;&gt;Off-street")&gt;0,1,0)</f>
        <v>0</v>
      </c>
      <c r="K1100">
        <f>IF(COUNTIFS('United Data'!$A$3:$A$3390,K$1,'United Data'!$C$3:$C$3390,$A1100,'United Data'!$B$3:$B$3390,"&lt;&gt;Off-street")&gt;0,1,0)</f>
        <v>0</v>
      </c>
      <c r="L1100">
        <f>IF(COUNTIFS('United Data'!$A$3:$A$3390,L$1,'United Data'!$C$3:$C$3390,$A1100,'United Data'!$B$3:$B$3390,"&lt;&gt;Off-street")&gt;0,1,0)</f>
        <v>0</v>
      </c>
      <c r="M1100">
        <f>IF(COUNTIFS('United Data'!$A$3:$A$3390,M$1,'United Data'!$C$3:$C$3390,$A1100,'United Data'!$B$3:$B$3390,"&lt;&gt;Off-street")&gt;0,1,0)</f>
        <v>0</v>
      </c>
      <c r="N1100">
        <f>IF(COUNTIFS('United Data'!$A$3:$A$3390,N$1,'United Data'!$C$3:$C$3390,$A1100,'United Data'!$B$3:$B$3390,"&lt;&gt;Off-street")&gt;0,1,0)</f>
        <v>0</v>
      </c>
      <c r="O1100">
        <f>IF(COUNTIFS('United Data'!$A$3:$A$3390,O$1,'United Data'!$C$3:$C$3390,$A1100,'United Data'!$B$3:$B$3390,"&lt;&gt;Off-street")&gt;0,1,0)</f>
        <v>0</v>
      </c>
      <c r="P1100">
        <f>IF(COUNTIFS('United Data'!$A$3:$A$3390,P$1,'United Data'!$C$3:$C$3390,$A1100,'United Data'!$B$3:$B$3390,"&lt;&gt;Off-street")&gt;0,1,0)</f>
        <v>0</v>
      </c>
      <c r="Q1100">
        <f>IF(COUNTIFS('United Data'!$A$3:$A$3390,Q$1,'United Data'!$C$3:$C$3390,$A1100,'United Data'!$B$3:$B$3390,"&lt;&gt;Off-street")&gt;0,1,0)</f>
        <v>0</v>
      </c>
      <c r="R1100">
        <f>IF(COUNTIFS('United Data'!$A$3:$A$3390,R$1,'United Data'!$C$3:$C$3390,$A1100,'United Data'!$B$3:$B$3390,"&lt;&gt;Off-street")&gt;0,1,0)</f>
        <v>0</v>
      </c>
      <c r="S1100">
        <f t="shared" si="34"/>
        <v>1</v>
      </c>
      <c r="T1100">
        <f t="shared" si="35"/>
        <v>1</v>
      </c>
    </row>
    <row r="1101" spans="1:20" x14ac:dyDescent="0.2">
      <c r="A1101" t="s">
        <v>1320</v>
      </c>
      <c r="B1101">
        <f>IF(COUNTIFS('United Data'!$A$3:$A$3390,B$1,'United Data'!$C$3:$C$3390,$A1101,'United Data'!$B$3:$B$3390,"&lt;&gt;Off-street")&gt;0,1,0)</f>
        <v>0</v>
      </c>
      <c r="C1101">
        <f>IF(COUNTIFS('United Data'!$A$3:$A$3390,C$1,'United Data'!$C$3:$C$3390,$A1101,'United Data'!$B$3:$B$3390,"&lt;&gt;Off-street")&gt;0,1,0)</f>
        <v>0</v>
      </c>
      <c r="D1101">
        <f>IF(COUNTIFS('United Data'!$A$3:$A$3390,D$1,'United Data'!$C$3:$C$3390,$A1101,'United Data'!$B$3:$B$3390,"&lt;&gt;Off-street")&gt;0,1,0)</f>
        <v>0</v>
      </c>
      <c r="E1101">
        <f>IF(COUNTIFS('United Data'!$A$3:$A$3390,E$1,'United Data'!$C$3:$C$3390,$A1101,'United Data'!$B$3:$B$3390,"&lt;&gt;Off-street")&gt;0,1,0)</f>
        <v>0</v>
      </c>
      <c r="F1101">
        <f>IF(COUNTIFS('United Data'!$A$3:$A$3390,F$1,'United Data'!$C$3:$C$3390,$A1101,'United Data'!$B$3:$B$3390,"&lt;&gt;Off-street")&gt;0,1,0)</f>
        <v>0</v>
      </c>
      <c r="G1101">
        <f>IF(COUNTIFS('United Data'!$A$3:$A$3390,G$1,'United Data'!$C$3:$C$3390,$A1101,'United Data'!$B$3:$B$3390,"&lt;&gt;Off-street")&gt;0,1,0)</f>
        <v>1</v>
      </c>
      <c r="H1101">
        <f>IF(COUNTIFS('United Data'!$A$3:$A$3390,H$1,'United Data'!$C$3:$C$3390,$A1101,'United Data'!$B$3:$B$3390,"&lt;&gt;Off-street")&gt;0,1,0)</f>
        <v>0</v>
      </c>
      <c r="I1101">
        <f>IF(COUNTIFS('United Data'!$A$3:$A$3390,I$1,'United Data'!$C$3:$C$3390,$A1101,'United Data'!$B$3:$B$3390,"&lt;&gt;Off-street")&gt;0,1,0)</f>
        <v>0</v>
      </c>
      <c r="J1101">
        <f>IF(COUNTIFS('United Data'!$A$3:$A$3390,J$1,'United Data'!$C$3:$C$3390,$A1101,'United Data'!$B$3:$B$3390,"&lt;&gt;Off-street")&gt;0,1,0)</f>
        <v>0</v>
      </c>
      <c r="K1101">
        <f>IF(COUNTIFS('United Data'!$A$3:$A$3390,K$1,'United Data'!$C$3:$C$3390,$A1101,'United Data'!$B$3:$B$3390,"&lt;&gt;Off-street")&gt;0,1,0)</f>
        <v>0</v>
      </c>
      <c r="L1101">
        <f>IF(COUNTIFS('United Data'!$A$3:$A$3390,L$1,'United Data'!$C$3:$C$3390,$A1101,'United Data'!$B$3:$B$3390,"&lt;&gt;Off-street")&gt;0,1,0)</f>
        <v>0</v>
      </c>
      <c r="M1101">
        <f>IF(COUNTIFS('United Data'!$A$3:$A$3390,M$1,'United Data'!$C$3:$C$3390,$A1101,'United Data'!$B$3:$B$3390,"&lt;&gt;Off-street")&gt;0,1,0)</f>
        <v>0</v>
      </c>
      <c r="N1101">
        <f>IF(COUNTIFS('United Data'!$A$3:$A$3390,N$1,'United Data'!$C$3:$C$3390,$A1101,'United Data'!$B$3:$B$3390,"&lt;&gt;Off-street")&gt;0,1,0)</f>
        <v>0</v>
      </c>
      <c r="O1101">
        <f>IF(COUNTIFS('United Data'!$A$3:$A$3390,O$1,'United Data'!$C$3:$C$3390,$A1101,'United Data'!$B$3:$B$3390,"&lt;&gt;Off-street")&gt;0,1,0)</f>
        <v>0</v>
      </c>
      <c r="P1101">
        <f>IF(COUNTIFS('United Data'!$A$3:$A$3390,P$1,'United Data'!$C$3:$C$3390,$A1101,'United Data'!$B$3:$B$3390,"&lt;&gt;Off-street")&gt;0,1,0)</f>
        <v>0</v>
      </c>
      <c r="Q1101">
        <f>IF(COUNTIFS('United Data'!$A$3:$A$3390,Q$1,'United Data'!$C$3:$C$3390,$A1101,'United Data'!$B$3:$B$3390,"&lt;&gt;Off-street")&gt;0,1,0)</f>
        <v>0</v>
      </c>
      <c r="R1101">
        <f>IF(COUNTIFS('United Data'!$A$3:$A$3390,R$1,'United Data'!$C$3:$C$3390,$A1101,'United Data'!$B$3:$B$3390,"&lt;&gt;Off-street")&gt;0,1,0)</f>
        <v>0</v>
      </c>
      <c r="S1101">
        <f t="shared" si="34"/>
        <v>1</v>
      </c>
      <c r="T1101">
        <f t="shared" si="35"/>
        <v>1</v>
      </c>
    </row>
    <row r="1102" spans="1:20" x14ac:dyDescent="0.2">
      <c r="A1102" t="s">
        <v>1321</v>
      </c>
      <c r="B1102">
        <f>IF(COUNTIFS('United Data'!$A$3:$A$3390,B$1,'United Data'!$C$3:$C$3390,$A1102,'United Data'!$B$3:$B$3390,"&lt;&gt;Off-street")&gt;0,1,0)</f>
        <v>0</v>
      </c>
      <c r="C1102">
        <f>IF(COUNTIFS('United Data'!$A$3:$A$3390,C$1,'United Data'!$C$3:$C$3390,$A1102,'United Data'!$B$3:$B$3390,"&lt;&gt;Off-street")&gt;0,1,0)</f>
        <v>0</v>
      </c>
      <c r="D1102">
        <f>IF(COUNTIFS('United Data'!$A$3:$A$3390,D$1,'United Data'!$C$3:$C$3390,$A1102,'United Data'!$B$3:$B$3390,"&lt;&gt;Off-street")&gt;0,1,0)</f>
        <v>0</v>
      </c>
      <c r="E1102">
        <f>IF(COUNTIFS('United Data'!$A$3:$A$3390,E$1,'United Data'!$C$3:$C$3390,$A1102,'United Data'!$B$3:$B$3390,"&lt;&gt;Off-street")&gt;0,1,0)</f>
        <v>0</v>
      </c>
      <c r="F1102">
        <f>IF(COUNTIFS('United Data'!$A$3:$A$3390,F$1,'United Data'!$C$3:$C$3390,$A1102,'United Data'!$B$3:$B$3390,"&lt;&gt;Off-street")&gt;0,1,0)</f>
        <v>0</v>
      </c>
      <c r="G1102">
        <f>IF(COUNTIFS('United Data'!$A$3:$A$3390,G$1,'United Data'!$C$3:$C$3390,$A1102,'United Data'!$B$3:$B$3390,"&lt;&gt;Off-street")&gt;0,1,0)</f>
        <v>0</v>
      </c>
      <c r="H1102">
        <f>IF(COUNTIFS('United Data'!$A$3:$A$3390,H$1,'United Data'!$C$3:$C$3390,$A1102,'United Data'!$B$3:$B$3390,"&lt;&gt;Off-street")&gt;0,1,0)</f>
        <v>1</v>
      </c>
      <c r="I1102">
        <f>IF(COUNTIFS('United Data'!$A$3:$A$3390,I$1,'United Data'!$C$3:$C$3390,$A1102,'United Data'!$B$3:$B$3390,"&lt;&gt;Off-street")&gt;0,1,0)</f>
        <v>0</v>
      </c>
      <c r="J1102">
        <f>IF(COUNTIFS('United Data'!$A$3:$A$3390,J$1,'United Data'!$C$3:$C$3390,$A1102,'United Data'!$B$3:$B$3390,"&lt;&gt;Off-street")&gt;0,1,0)</f>
        <v>0</v>
      </c>
      <c r="K1102">
        <f>IF(COUNTIFS('United Data'!$A$3:$A$3390,K$1,'United Data'!$C$3:$C$3390,$A1102,'United Data'!$B$3:$B$3390,"&lt;&gt;Off-street")&gt;0,1,0)</f>
        <v>0</v>
      </c>
      <c r="L1102">
        <f>IF(COUNTIFS('United Data'!$A$3:$A$3390,L$1,'United Data'!$C$3:$C$3390,$A1102,'United Data'!$B$3:$B$3390,"&lt;&gt;Off-street")&gt;0,1,0)</f>
        <v>0</v>
      </c>
      <c r="M1102">
        <f>IF(COUNTIFS('United Data'!$A$3:$A$3390,M$1,'United Data'!$C$3:$C$3390,$A1102,'United Data'!$B$3:$B$3390,"&lt;&gt;Off-street")&gt;0,1,0)</f>
        <v>0</v>
      </c>
      <c r="N1102">
        <f>IF(COUNTIFS('United Data'!$A$3:$A$3390,N$1,'United Data'!$C$3:$C$3390,$A1102,'United Data'!$B$3:$B$3390,"&lt;&gt;Off-street")&gt;0,1,0)</f>
        <v>0</v>
      </c>
      <c r="O1102">
        <f>IF(COUNTIFS('United Data'!$A$3:$A$3390,O$1,'United Data'!$C$3:$C$3390,$A1102,'United Data'!$B$3:$B$3390,"&lt;&gt;Off-street")&gt;0,1,0)</f>
        <v>0</v>
      </c>
      <c r="P1102">
        <f>IF(COUNTIFS('United Data'!$A$3:$A$3390,P$1,'United Data'!$C$3:$C$3390,$A1102,'United Data'!$B$3:$B$3390,"&lt;&gt;Off-street")&gt;0,1,0)</f>
        <v>0</v>
      </c>
      <c r="Q1102">
        <f>IF(COUNTIFS('United Data'!$A$3:$A$3390,Q$1,'United Data'!$C$3:$C$3390,$A1102,'United Data'!$B$3:$B$3390,"&lt;&gt;Off-street")&gt;0,1,0)</f>
        <v>0</v>
      </c>
      <c r="R1102">
        <f>IF(COUNTIFS('United Data'!$A$3:$A$3390,R$1,'United Data'!$C$3:$C$3390,$A1102,'United Data'!$B$3:$B$3390,"&lt;&gt;Off-street")&gt;0,1,0)</f>
        <v>0</v>
      </c>
      <c r="S1102">
        <f t="shared" si="34"/>
        <v>1</v>
      </c>
      <c r="T1102">
        <f t="shared" si="35"/>
        <v>1</v>
      </c>
    </row>
    <row r="1103" spans="1:20" x14ac:dyDescent="0.2">
      <c r="A1103" t="s">
        <v>1322</v>
      </c>
      <c r="B1103">
        <f>IF(COUNTIFS('United Data'!$A$3:$A$3390,B$1,'United Data'!$C$3:$C$3390,$A1103,'United Data'!$B$3:$B$3390,"&lt;&gt;Off-street")&gt;0,1,0)</f>
        <v>0</v>
      </c>
      <c r="C1103">
        <f>IF(COUNTIFS('United Data'!$A$3:$A$3390,C$1,'United Data'!$C$3:$C$3390,$A1103,'United Data'!$B$3:$B$3390,"&lt;&gt;Off-street")&gt;0,1,0)</f>
        <v>0</v>
      </c>
      <c r="D1103">
        <f>IF(COUNTIFS('United Data'!$A$3:$A$3390,D$1,'United Data'!$C$3:$C$3390,$A1103,'United Data'!$B$3:$B$3390,"&lt;&gt;Off-street")&gt;0,1,0)</f>
        <v>0</v>
      </c>
      <c r="E1103">
        <f>IF(COUNTIFS('United Data'!$A$3:$A$3390,E$1,'United Data'!$C$3:$C$3390,$A1103,'United Data'!$B$3:$B$3390,"&lt;&gt;Off-street")&gt;0,1,0)</f>
        <v>0</v>
      </c>
      <c r="F1103">
        <f>IF(COUNTIFS('United Data'!$A$3:$A$3390,F$1,'United Data'!$C$3:$C$3390,$A1103,'United Data'!$B$3:$B$3390,"&lt;&gt;Off-street")&gt;0,1,0)</f>
        <v>0</v>
      </c>
      <c r="G1103">
        <f>IF(COUNTIFS('United Data'!$A$3:$A$3390,G$1,'United Data'!$C$3:$C$3390,$A1103,'United Data'!$B$3:$B$3390,"&lt;&gt;Off-street")&gt;0,1,0)</f>
        <v>0</v>
      </c>
      <c r="H1103">
        <f>IF(COUNTIFS('United Data'!$A$3:$A$3390,H$1,'United Data'!$C$3:$C$3390,$A1103,'United Data'!$B$3:$B$3390,"&lt;&gt;Off-street")&gt;0,1,0)</f>
        <v>1</v>
      </c>
      <c r="I1103">
        <f>IF(COUNTIFS('United Data'!$A$3:$A$3390,I$1,'United Data'!$C$3:$C$3390,$A1103,'United Data'!$B$3:$B$3390,"&lt;&gt;Off-street")&gt;0,1,0)</f>
        <v>0</v>
      </c>
      <c r="J1103">
        <f>IF(COUNTIFS('United Data'!$A$3:$A$3390,J$1,'United Data'!$C$3:$C$3390,$A1103,'United Data'!$B$3:$B$3390,"&lt;&gt;Off-street")&gt;0,1,0)</f>
        <v>0</v>
      </c>
      <c r="K1103">
        <f>IF(COUNTIFS('United Data'!$A$3:$A$3390,K$1,'United Data'!$C$3:$C$3390,$A1103,'United Data'!$B$3:$B$3390,"&lt;&gt;Off-street")&gt;0,1,0)</f>
        <v>0</v>
      </c>
      <c r="L1103">
        <f>IF(COUNTIFS('United Data'!$A$3:$A$3390,L$1,'United Data'!$C$3:$C$3390,$A1103,'United Data'!$B$3:$B$3390,"&lt;&gt;Off-street")&gt;0,1,0)</f>
        <v>0</v>
      </c>
      <c r="M1103">
        <f>IF(COUNTIFS('United Data'!$A$3:$A$3390,M$1,'United Data'!$C$3:$C$3390,$A1103,'United Data'!$B$3:$B$3390,"&lt;&gt;Off-street")&gt;0,1,0)</f>
        <v>0</v>
      </c>
      <c r="N1103">
        <f>IF(COUNTIFS('United Data'!$A$3:$A$3390,N$1,'United Data'!$C$3:$C$3390,$A1103,'United Data'!$B$3:$B$3390,"&lt;&gt;Off-street")&gt;0,1,0)</f>
        <v>0</v>
      </c>
      <c r="O1103">
        <f>IF(COUNTIFS('United Data'!$A$3:$A$3390,O$1,'United Data'!$C$3:$C$3390,$A1103,'United Data'!$B$3:$B$3390,"&lt;&gt;Off-street")&gt;0,1,0)</f>
        <v>0</v>
      </c>
      <c r="P1103">
        <f>IF(COUNTIFS('United Data'!$A$3:$A$3390,P$1,'United Data'!$C$3:$C$3390,$A1103,'United Data'!$B$3:$B$3390,"&lt;&gt;Off-street")&gt;0,1,0)</f>
        <v>0</v>
      </c>
      <c r="Q1103">
        <f>IF(COUNTIFS('United Data'!$A$3:$A$3390,Q$1,'United Data'!$C$3:$C$3390,$A1103,'United Data'!$B$3:$B$3390,"&lt;&gt;Off-street")&gt;0,1,0)</f>
        <v>0</v>
      </c>
      <c r="R1103">
        <f>IF(COUNTIFS('United Data'!$A$3:$A$3390,R$1,'United Data'!$C$3:$C$3390,$A1103,'United Data'!$B$3:$B$3390,"&lt;&gt;Off-street")&gt;0,1,0)</f>
        <v>0</v>
      </c>
      <c r="S1103">
        <f t="shared" si="34"/>
        <v>1</v>
      </c>
      <c r="T1103">
        <f t="shared" si="35"/>
        <v>1</v>
      </c>
    </row>
    <row r="1104" spans="1:20" x14ac:dyDescent="0.2">
      <c r="A1104" t="s">
        <v>1323</v>
      </c>
      <c r="B1104">
        <f>IF(COUNTIFS('United Data'!$A$3:$A$3390,B$1,'United Data'!$C$3:$C$3390,$A1104,'United Data'!$B$3:$B$3390,"&lt;&gt;Off-street")&gt;0,1,0)</f>
        <v>0</v>
      </c>
      <c r="C1104">
        <f>IF(COUNTIFS('United Data'!$A$3:$A$3390,C$1,'United Data'!$C$3:$C$3390,$A1104,'United Data'!$B$3:$B$3390,"&lt;&gt;Off-street")&gt;0,1,0)</f>
        <v>0</v>
      </c>
      <c r="D1104">
        <f>IF(COUNTIFS('United Data'!$A$3:$A$3390,D$1,'United Data'!$C$3:$C$3390,$A1104,'United Data'!$B$3:$B$3390,"&lt;&gt;Off-street")&gt;0,1,0)</f>
        <v>0</v>
      </c>
      <c r="E1104">
        <f>IF(COUNTIFS('United Data'!$A$3:$A$3390,E$1,'United Data'!$C$3:$C$3390,$A1104,'United Data'!$B$3:$B$3390,"&lt;&gt;Off-street")&gt;0,1,0)</f>
        <v>0</v>
      </c>
      <c r="F1104">
        <f>IF(COUNTIFS('United Data'!$A$3:$A$3390,F$1,'United Data'!$C$3:$C$3390,$A1104,'United Data'!$B$3:$B$3390,"&lt;&gt;Off-street")&gt;0,1,0)</f>
        <v>0</v>
      </c>
      <c r="G1104">
        <f>IF(COUNTIFS('United Data'!$A$3:$A$3390,G$1,'United Data'!$C$3:$C$3390,$A1104,'United Data'!$B$3:$B$3390,"&lt;&gt;Off-street")&gt;0,1,0)</f>
        <v>0</v>
      </c>
      <c r="H1104">
        <f>IF(COUNTIFS('United Data'!$A$3:$A$3390,H$1,'United Data'!$C$3:$C$3390,$A1104,'United Data'!$B$3:$B$3390,"&lt;&gt;Off-street")&gt;0,1,0)</f>
        <v>1</v>
      </c>
      <c r="I1104">
        <f>IF(COUNTIFS('United Data'!$A$3:$A$3390,I$1,'United Data'!$C$3:$C$3390,$A1104,'United Data'!$B$3:$B$3390,"&lt;&gt;Off-street")&gt;0,1,0)</f>
        <v>0</v>
      </c>
      <c r="J1104">
        <f>IF(COUNTIFS('United Data'!$A$3:$A$3390,J$1,'United Data'!$C$3:$C$3390,$A1104,'United Data'!$B$3:$B$3390,"&lt;&gt;Off-street")&gt;0,1,0)</f>
        <v>0</v>
      </c>
      <c r="K1104">
        <f>IF(COUNTIFS('United Data'!$A$3:$A$3390,K$1,'United Data'!$C$3:$C$3390,$A1104,'United Data'!$B$3:$B$3390,"&lt;&gt;Off-street")&gt;0,1,0)</f>
        <v>0</v>
      </c>
      <c r="L1104">
        <f>IF(COUNTIFS('United Data'!$A$3:$A$3390,L$1,'United Data'!$C$3:$C$3390,$A1104,'United Data'!$B$3:$B$3390,"&lt;&gt;Off-street")&gt;0,1,0)</f>
        <v>0</v>
      </c>
      <c r="M1104">
        <f>IF(COUNTIFS('United Data'!$A$3:$A$3390,M$1,'United Data'!$C$3:$C$3390,$A1104,'United Data'!$B$3:$B$3390,"&lt;&gt;Off-street")&gt;0,1,0)</f>
        <v>0</v>
      </c>
      <c r="N1104">
        <f>IF(COUNTIFS('United Data'!$A$3:$A$3390,N$1,'United Data'!$C$3:$C$3390,$A1104,'United Data'!$B$3:$B$3390,"&lt;&gt;Off-street")&gt;0,1,0)</f>
        <v>0</v>
      </c>
      <c r="O1104">
        <f>IF(COUNTIFS('United Data'!$A$3:$A$3390,O$1,'United Data'!$C$3:$C$3390,$A1104,'United Data'!$B$3:$B$3390,"&lt;&gt;Off-street")&gt;0,1,0)</f>
        <v>0</v>
      </c>
      <c r="P1104">
        <f>IF(COUNTIFS('United Data'!$A$3:$A$3390,P$1,'United Data'!$C$3:$C$3390,$A1104,'United Data'!$B$3:$B$3390,"&lt;&gt;Off-street")&gt;0,1,0)</f>
        <v>0</v>
      </c>
      <c r="Q1104">
        <f>IF(COUNTIFS('United Data'!$A$3:$A$3390,Q$1,'United Data'!$C$3:$C$3390,$A1104,'United Data'!$B$3:$B$3390,"&lt;&gt;Off-street")&gt;0,1,0)</f>
        <v>0</v>
      </c>
      <c r="R1104">
        <f>IF(COUNTIFS('United Data'!$A$3:$A$3390,R$1,'United Data'!$C$3:$C$3390,$A1104,'United Data'!$B$3:$B$3390,"&lt;&gt;Off-street")&gt;0,1,0)</f>
        <v>0</v>
      </c>
      <c r="S1104">
        <f t="shared" si="34"/>
        <v>1</v>
      </c>
      <c r="T1104">
        <f t="shared" si="35"/>
        <v>1</v>
      </c>
    </row>
    <row r="1105" spans="1:20" x14ac:dyDescent="0.2">
      <c r="A1105" t="s">
        <v>1324</v>
      </c>
      <c r="B1105">
        <f>IF(COUNTIFS('United Data'!$A$3:$A$3390,B$1,'United Data'!$C$3:$C$3390,$A1105,'United Data'!$B$3:$B$3390,"&lt;&gt;Off-street")&gt;0,1,0)</f>
        <v>0</v>
      </c>
      <c r="C1105">
        <f>IF(COUNTIFS('United Data'!$A$3:$A$3390,C$1,'United Data'!$C$3:$C$3390,$A1105,'United Data'!$B$3:$B$3390,"&lt;&gt;Off-street")&gt;0,1,0)</f>
        <v>0</v>
      </c>
      <c r="D1105">
        <f>IF(COUNTIFS('United Data'!$A$3:$A$3390,D$1,'United Data'!$C$3:$C$3390,$A1105,'United Data'!$B$3:$B$3390,"&lt;&gt;Off-street")&gt;0,1,0)</f>
        <v>0</v>
      </c>
      <c r="E1105">
        <f>IF(COUNTIFS('United Data'!$A$3:$A$3390,E$1,'United Data'!$C$3:$C$3390,$A1105,'United Data'!$B$3:$B$3390,"&lt;&gt;Off-street")&gt;0,1,0)</f>
        <v>0</v>
      </c>
      <c r="F1105">
        <f>IF(COUNTIFS('United Data'!$A$3:$A$3390,F$1,'United Data'!$C$3:$C$3390,$A1105,'United Data'!$B$3:$B$3390,"&lt;&gt;Off-street")&gt;0,1,0)</f>
        <v>0</v>
      </c>
      <c r="G1105">
        <f>IF(COUNTIFS('United Data'!$A$3:$A$3390,G$1,'United Data'!$C$3:$C$3390,$A1105,'United Data'!$B$3:$B$3390,"&lt;&gt;Off-street")&gt;0,1,0)</f>
        <v>0</v>
      </c>
      <c r="H1105">
        <f>IF(COUNTIFS('United Data'!$A$3:$A$3390,H$1,'United Data'!$C$3:$C$3390,$A1105,'United Data'!$B$3:$B$3390,"&lt;&gt;Off-street")&gt;0,1,0)</f>
        <v>1</v>
      </c>
      <c r="I1105">
        <f>IF(COUNTIFS('United Data'!$A$3:$A$3390,I$1,'United Data'!$C$3:$C$3390,$A1105,'United Data'!$B$3:$B$3390,"&lt;&gt;Off-street")&gt;0,1,0)</f>
        <v>0</v>
      </c>
      <c r="J1105">
        <f>IF(COUNTIFS('United Data'!$A$3:$A$3390,J$1,'United Data'!$C$3:$C$3390,$A1105,'United Data'!$B$3:$B$3390,"&lt;&gt;Off-street")&gt;0,1,0)</f>
        <v>0</v>
      </c>
      <c r="K1105">
        <f>IF(COUNTIFS('United Data'!$A$3:$A$3390,K$1,'United Data'!$C$3:$C$3390,$A1105,'United Data'!$B$3:$B$3390,"&lt;&gt;Off-street")&gt;0,1,0)</f>
        <v>0</v>
      </c>
      <c r="L1105">
        <f>IF(COUNTIFS('United Data'!$A$3:$A$3390,L$1,'United Data'!$C$3:$C$3390,$A1105,'United Data'!$B$3:$B$3390,"&lt;&gt;Off-street")&gt;0,1,0)</f>
        <v>0</v>
      </c>
      <c r="M1105">
        <f>IF(COUNTIFS('United Data'!$A$3:$A$3390,M$1,'United Data'!$C$3:$C$3390,$A1105,'United Data'!$B$3:$B$3390,"&lt;&gt;Off-street")&gt;0,1,0)</f>
        <v>0</v>
      </c>
      <c r="N1105">
        <f>IF(COUNTIFS('United Data'!$A$3:$A$3390,N$1,'United Data'!$C$3:$C$3390,$A1105,'United Data'!$B$3:$B$3390,"&lt;&gt;Off-street")&gt;0,1,0)</f>
        <v>0</v>
      </c>
      <c r="O1105">
        <f>IF(COUNTIFS('United Data'!$A$3:$A$3390,O$1,'United Data'!$C$3:$C$3390,$A1105,'United Data'!$B$3:$B$3390,"&lt;&gt;Off-street")&gt;0,1,0)</f>
        <v>0</v>
      </c>
      <c r="P1105">
        <f>IF(COUNTIFS('United Data'!$A$3:$A$3390,P$1,'United Data'!$C$3:$C$3390,$A1105,'United Data'!$B$3:$B$3390,"&lt;&gt;Off-street")&gt;0,1,0)</f>
        <v>0</v>
      </c>
      <c r="Q1105">
        <f>IF(COUNTIFS('United Data'!$A$3:$A$3390,Q$1,'United Data'!$C$3:$C$3390,$A1105,'United Data'!$B$3:$B$3390,"&lt;&gt;Off-street")&gt;0,1,0)</f>
        <v>0</v>
      </c>
      <c r="R1105">
        <f>IF(COUNTIFS('United Data'!$A$3:$A$3390,R$1,'United Data'!$C$3:$C$3390,$A1105,'United Data'!$B$3:$B$3390,"&lt;&gt;Off-street")&gt;0,1,0)</f>
        <v>0</v>
      </c>
      <c r="S1105">
        <f t="shared" si="34"/>
        <v>1</v>
      </c>
      <c r="T1105">
        <f t="shared" si="35"/>
        <v>1</v>
      </c>
    </row>
    <row r="1106" spans="1:20" x14ac:dyDescent="0.2">
      <c r="A1106" t="s">
        <v>1325</v>
      </c>
      <c r="B1106">
        <f>IF(COUNTIFS('United Data'!$A$3:$A$3390,B$1,'United Data'!$C$3:$C$3390,$A1106,'United Data'!$B$3:$B$3390,"&lt;&gt;Off-street")&gt;0,1,0)</f>
        <v>0</v>
      </c>
      <c r="C1106">
        <f>IF(COUNTIFS('United Data'!$A$3:$A$3390,C$1,'United Data'!$C$3:$C$3390,$A1106,'United Data'!$B$3:$B$3390,"&lt;&gt;Off-street")&gt;0,1,0)</f>
        <v>0</v>
      </c>
      <c r="D1106">
        <f>IF(COUNTIFS('United Data'!$A$3:$A$3390,D$1,'United Data'!$C$3:$C$3390,$A1106,'United Data'!$B$3:$B$3390,"&lt;&gt;Off-street")&gt;0,1,0)</f>
        <v>0</v>
      </c>
      <c r="E1106">
        <f>IF(COUNTIFS('United Data'!$A$3:$A$3390,E$1,'United Data'!$C$3:$C$3390,$A1106,'United Data'!$B$3:$B$3390,"&lt;&gt;Off-street")&gt;0,1,0)</f>
        <v>0</v>
      </c>
      <c r="F1106">
        <f>IF(COUNTIFS('United Data'!$A$3:$A$3390,F$1,'United Data'!$C$3:$C$3390,$A1106,'United Data'!$B$3:$B$3390,"&lt;&gt;Off-street")&gt;0,1,0)</f>
        <v>0</v>
      </c>
      <c r="G1106">
        <f>IF(COUNTIFS('United Data'!$A$3:$A$3390,G$1,'United Data'!$C$3:$C$3390,$A1106,'United Data'!$B$3:$B$3390,"&lt;&gt;Off-street")&gt;0,1,0)</f>
        <v>0</v>
      </c>
      <c r="H1106">
        <f>IF(COUNTIFS('United Data'!$A$3:$A$3390,H$1,'United Data'!$C$3:$C$3390,$A1106,'United Data'!$B$3:$B$3390,"&lt;&gt;Off-street")&gt;0,1,0)</f>
        <v>1</v>
      </c>
      <c r="I1106">
        <f>IF(COUNTIFS('United Data'!$A$3:$A$3390,I$1,'United Data'!$C$3:$C$3390,$A1106,'United Data'!$B$3:$B$3390,"&lt;&gt;Off-street")&gt;0,1,0)</f>
        <v>0</v>
      </c>
      <c r="J1106">
        <f>IF(COUNTIFS('United Data'!$A$3:$A$3390,J$1,'United Data'!$C$3:$C$3390,$A1106,'United Data'!$B$3:$B$3390,"&lt;&gt;Off-street")&gt;0,1,0)</f>
        <v>0</v>
      </c>
      <c r="K1106">
        <f>IF(COUNTIFS('United Data'!$A$3:$A$3390,K$1,'United Data'!$C$3:$C$3390,$A1106,'United Data'!$B$3:$B$3390,"&lt;&gt;Off-street")&gt;0,1,0)</f>
        <v>0</v>
      </c>
      <c r="L1106">
        <f>IF(COUNTIFS('United Data'!$A$3:$A$3390,L$1,'United Data'!$C$3:$C$3390,$A1106,'United Data'!$B$3:$B$3390,"&lt;&gt;Off-street")&gt;0,1,0)</f>
        <v>0</v>
      </c>
      <c r="M1106">
        <f>IF(COUNTIFS('United Data'!$A$3:$A$3390,M$1,'United Data'!$C$3:$C$3390,$A1106,'United Data'!$B$3:$B$3390,"&lt;&gt;Off-street")&gt;0,1,0)</f>
        <v>0</v>
      </c>
      <c r="N1106">
        <f>IF(COUNTIFS('United Data'!$A$3:$A$3390,N$1,'United Data'!$C$3:$C$3390,$A1106,'United Data'!$B$3:$B$3390,"&lt;&gt;Off-street")&gt;0,1,0)</f>
        <v>0</v>
      </c>
      <c r="O1106">
        <f>IF(COUNTIFS('United Data'!$A$3:$A$3390,O$1,'United Data'!$C$3:$C$3390,$A1106,'United Data'!$B$3:$B$3390,"&lt;&gt;Off-street")&gt;0,1,0)</f>
        <v>0</v>
      </c>
      <c r="P1106">
        <f>IF(COUNTIFS('United Data'!$A$3:$A$3390,P$1,'United Data'!$C$3:$C$3390,$A1106,'United Data'!$B$3:$B$3390,"&lt;&gt;Off-street")&gt;0,1,0)</f>
        <v>0</v>
      </c>
      <c r="Q1106">
        <f>IF(COUNTIFS('United Data'!$A$3:$A$3390,Q$1,'United Data'!$C$3:$C$3390,$A1106,'United Data'!$B$3:$B$3390,"&lt;&gt;Off-street")&gt;0,1,0)</f>
        <v>0</v>
      </c>
      <c r="R1106">
        <f>IF(COUNTIFS('United Data'!$A$3:$A$3390,R$1,'United Data'!$C$3:$C$3390,$A1106,'United Data'!$B$3:$B$3390,"&lt;&gt;Off-street")&gt;0,1,0)</f>
        <v>0</v>
      </c>
      <c r="S1106">
        <f t="shared" si="34"/>
        <v>1</v>
      </c>
      <c r="T1106">
        <f t="shared" si="35"/>
        <v>1</v>
      </c>
    </row>
    <row r="1107" spans="1:20" x14ac:dyDescent="0.2">
      <c r="A1107" t="s">
        <v>1326</v>
      </c>
      <c r="B1107">
        <f>IF(COUNTIFS('United Data'!$A$3:$A$3390,B$1,'United Data'!$C$3:$C$3390,$A1107,'United Data'!$B$3:$B$3390,"&lt;&gt;Off-street")&gt;0,1,0)</f>
        <v>0</v>
      </c>
      <c r="C1107">
        <f>IF(COUNTIFS('United Data'!$A$3:$A$3390,C$1,'United Data'!$C$3:$C$3390,$A1107,'United Data'!$B$3:$B$3390,"&lt;&gt;Off-street")&gt;0,1,0)</f>
        <v>0</v>
      </c>
      <c r="D1107">
        <f>IF(COUNTIFS('United Data'!$A$3:$A$3390,D$1,'United Data'!$C$3:$C$3390,$A1107,'United Data'!$B$3:$B$3390,"&lt;&gt;Off-street")&gt;0,1,0)</f>
        <v>0</v>
      </c>
      <c r="E1107">
        <f>IF(COUNTIFS('United Data'!$A$3:$A$3390,E$1,'United Data'!$C$3:$C$3390,$A1107,'United Data'!$B$3:$B$3390,"&lt;&gt;Off-street")&gt;0,1,0)</f>
        <v>0</v>
      </c>
      <c r="F1107">
        <f>IF(COUNTIFS('United Data'!$A$3:$A$3390,F$1,'United Data'!$C$3:$C$3390,$A1107,'United Data'!$B$3:$B$3390,"&lt;&gt;Off-street")&gt;0,1,0)</f>
        <v>0</v>
      </c>
      <c r="G1107">
        <f>IF(COUNTIFS('United Data'!$A$3:$A$3390,G$1,'United Data'!$C$3:$C$3390,$A1107,'United Data'!$B$3:$B$3390,"&lt;&gt;Off-street")&gt;0,1,0)</f>
        <v>0</v>
      </c>
      <c r="H1107">
        <f>IF(COUNTIFS('United Data'!$A$3:$A$3390,H$1,'United Data'!$C$3:$C$3390,$A1107,'United Data'!$B$3:$B$3390,"&lt;&gt;Off-street")&gt;0,1,0)</f>
        <v>1</v>
      </c>
      <c r="I1107">
        <f>IF(COUNTIFS('United Data'!$A$3:$A$3390,I$1,'United Data'!$C$3:$C$3390,$A1107,'United Data'!$B$3:$B$3390,"&lt;&gt;Off-street")&gt;0,1,0)</f>
        <v>0</v>
      </c>
      <c r="J1107">
        <f>IF(COUNTIFS('United Data'!$A$3:$A$3390,J$1,'United Data'!$C$3:$C$3390,$A1107,'United Data'!$B$3:$B$3390,"&lt;&gt;Off-street")&gt;0,1,0)</f>
        <v>0</v>
      </c>
      <c r="K1107">
        <f>IF(COUNTIFS('United Data'!$A$3:$A$3390,K$1,'United Data'!$C$3:$C$3390,$A1107,'United Data'!$B$3:$B$3390,"&lt;&gt;Off-street")&gt;0,1,0)</f>
        <v>0</v>
      </c>
      <c r="L1107">
        <f>IF(COUNTIFS('United Data'!$A$3:$A$3390,L$1,'United Data'!$C$3:$C$3390,$A1107,'United Data'!$B$3:$B$3390,"&lt;&gt;Off-street")&gt;0,1,0)</f>
        <v>0</v>
      </c>
      <c r="M1107">
        <f>IF(COUNTIFS('United Data'!$A$3:$A$3390,M$1,'United Data'!$C$3:$C$3390,$A1107,'United Data'!$B$3:$B$3390,"&lt;&gt;Off-street")&gt;0,1,0)</f>
        <v>0</v>
      </c>
      <c r="N1107">
        <f>IF(COUNTIFS('United Data'!$A$3:$A$3390,N$1,'United Data'!$C$3:$C$3390,$A1107,'United Data'!$B$3:$B$3390,"&lt;&gt;Off-street")&gt;0,1,0)</f>
        <v>0</v>
      </c>
      <c r="O1107">
        <f>IF(COUNTIFS('United Data'!$A$3:$A$3390,O$1,'United Data'!$C$3:$C$3390,$A1107,'United Data'!$B$3:$B$3390,"&lt;&gt;Off-street")&gt;0,1,0)</f>
        <v>0</v>
      </c>
      <c r="P1107">
        <f>IF(COUNTIFS('United Data'!$A$3:$A$3390,P$1,'United Data'!$C$3:$C$3390,$A1107,'United Data'!$B$3:$B$3390,"&lt;&gt;Off-street")&gt;0,1,0)</f>
        <v>0</v>
      </c>
      <c r="Q1107">
        <f>IF(COUNTIFS('United Data'!$A$3:$A$3390,Q$1,'United Data'!$C$3:$C$3390,$A1107,'United Data'!$B$3:$B$3390,"&lt;&gt;Off-street")&gt;0,1,0)</f>
        <v>0</v>
      </c>
      <c r="R1107">
        <f>IF(COUNTIFS('United Data'!$A$3:$A$3390,R$1,'United Data'!$C$3:$C$3390,$A1107,'United Data'!$B$3:$B$3390,"&lt;&gt;Off-street")&gt;0,1,0)</f>
        <v>0</v>
      </c>
      <c r="S1107">
        <f t="shared" si="34"/>
        <v>1</v>
      </c>
      <c r="T1107">
        <f t="shared" si="35"/>
        <v>1</v>
      </c>
    </row>
    <row r="1108" spans="1:20" x14ac:dyDescent="0.2">
      <c r="A1108" t="s">
        <v>1327</v>
      </c>
      <c r="B1108">
        <f>IF(COUNTIFS('United Data'!$A$3:$A$3390,B$1,'United Data'!$C$3:$C$3390,$A1108,'United Data'!$B$3:$B$3390,"&lt;&gt;Off-street")&gt;0,1,0)</f>
        <v>0</v>
      </c>
      <c r="C1108">
        <f>IF(COUNTIFS('United Data'!$A$3:$A$3390,C$1,'United Data'!$C$3:$C$3390,$A1108,'United Data'!$B$3:$B$3390,"&lt;&gt;Off-street")&gt;0,1,0)</f>
        <v>0</v>
      </c>
      <c r="D1108">
        <f>IF(COUNTIFS('United Data'!$A$3:$A$3390,D$1,'United Data'!$C$3:$C$3390,$A1108,'United Data'!$B$3:$B$3390,"&lt;&gt;Off-street")&gt;0,1,0)</f>
        <v>0</v>
      </c>
      <c r="E1108">
        <f>IF(COUNTIFS('United Data'!$A$3:$A$3390,E$1,'United Data'!$C$3:$C$3390,$A1108,'United Data'!$B$3:$B$3390,"&lt;&gt;Off-street")&gt;0,1,0)</f>
        <v>0</v>
      </c>
      <c r="F1108">
        <f>IF(COUNTIFS('United Data'!$A$3:$A$3390,F$1,'United Data'!$C$3:$C$3390,$A1108,'United Data'!$B$3:$B$3390,"&lt;&gt;Off-street")&gt;0,1,0)</f>
        <v>0</v>
      </c>
      <c r="G1108">
        <f>IF(COUNTIFS('United Data'!$A$3:$A$3390,G$1,'United Data'!$C$3:$C$3390,$A1108,'United Data'!$B$3:$B$3390,"&lt;&gt;Off-street")&gt;0,1,0)</f>
        <v>0</v>
      </c>
      <c r="H1108">
        <f>IF(COUNTIFS('United Data'!$A$3:$A$3390,H$1,'United Data'!$C$3:$C$3390,$A1108,'United Data'!$B$3:$B$3390,"&lt;&gt;Off-street")&gt;0,1,0)</f>
        <v>1</v>
      </c>
      <c r="I1108">
        <f>IF(COUNTIFS('United Data'!$A$3:$A$3390,I$1,'United Data'!$C$3:$C$3390,$A1108,'United Data'!$B$3:$B$3390,"&lt;&gt;Off-street")&gt;0,1,0)</f>
        <v>0</v>
      </c>
      <c r="J1108">
        <f>IF(COUNTIFS('United Data'!$A$3:$A$3390,J$1,'United Data'!$C$3:$C$3390,$A1108,'United Data'!$B$3:$B$3390,"&lt;&gt;Off-street")&gt;0,1,0)</f>
        <v>0</v>
      </c>
      <c r="K1108">
        <f>IF(COUNTIFS('United Data'!$A$3:$A$3390,K$1,'United Data'!$C$3:$C$3390,$A1108,'United Data'!$B$3:$B$3390,"&lt;&gt;Off-street")&gt;0,1,0)</f>
        <v>0</v>
      </c>
      <c r="L1108">
        <f>IF(COUNTIFS('United Data'!$A$3:$A$3390,L$1,'United Data'!$C$3:$C$3390,$A1108,'United Data'!$B$3:$B$3390,"&lt;&gt;Off-street")&gt;0,1,0)</f>
        <v>0</v>
      </c>
      <c r="M1108">
        <f>IF(COUNTIFS('United Data'!$A$3:$A$3390,M$1,'United Data'!$C$3:$C$3390,$A1108,'United Data'!$B$3:$B$3390,"&lt;&gt;Off-street")&gt;0,1,0)</f>
        <v>0</v>
      </c>
      <c r="N1108">
        <f>IF(COUNTIFS('United Data'!$A$3:$A$3390,N$1,'United Data'!$C$3:$C$3390,$A1108,'United Data'!$B$3:$B$3390,"&lt;&gt;Off-street")&gt;0,1,0)</f>
        <v>0</v>
      </c>
      <c r="O1108">
        <f>IF(COUNTIFS('United Data'!$A$3:$A$3390,O$1,'United Data'!$C$3:$C$3390,$A1108,'United Data'!$B$3:$B$3390,"&lt;&gt;Off-street")&gt;0,1,0)</f>
        <v>0</v>
      </c>
      <c r="P1108">
        <f>IF(COUNTIFS('United Data'!$A$3:$A$3390,P$1,'United Data'!$C$3:$C$3390,$A1108,'United Data'!$B$3:$B$3390,"&lt;&gt;Off-street")&gt;0,1,0)</f>
        <v>0</v>
      </c>
      <c r="Q1108">
        <f>IF(COUNTIFS('United Data'!$A$3:$A$3390,Q$1,'United Data'!$C$3:$C$3390,$A1108,'United Data'!$B$3:$B$3390,"&lt;&gt;Off-street")&gt;0,1,0)</f>
        <v>0</v>
      </c>
      <c r="R1108">
        <f>IF(COUNTIFS('United Data'!$A$3:$A$3390,R$1,'United Data'!$C$3:$C$3390,$A1108,'United Data'!$B$3:$B$3390,"&lt;&gt;Off-street")&gt;0,1,0)</f>
        <v>0</v>
      </c>
      <c r="S1108">
        <f t="shared" si="34"/>
        <v>1</v>
      </c>
      <c r="T1108">
        <f t="shared" si="35"/>
        <v>1</v>
      </c>
    </row>
    <row r="1109" spans="1:20" x14ac:dyDescent="0.2">
      <c r="A1109" t="s">
        <v>1328</v>
      </c>
      <c r="B1109">
        <f>IF(COUNTIFS('United Data'!$A$3:$A$3390,B$1,'United Data'!$C$3:$C$3390,$A1109,'United Data'!$B$3:$B$3390,"&lt;&gt;Off-street")&gt;0,1,0)</f>
        <v>0</v>
      </c>
      <c r="C1109">
        <f>IF(COUNTIFS('United Data'!$A$3:$A$3390,C$1,'United Data'!$C$3:$C$3390,$A1109,'United Data'!$B$3:$B$3390,"&lt;&gt;Off-street")&gt;0,1,0)</f>
        <v>0</v>
      </c>
      <c r="D1109">
        <f>IF(COUNTIFS('United Data'!$A$3:$A$3390,D$1,'United Data'!$C$3:$C$3390,$A1109,'United Data'!$B$3:$B$3390,"&lt;&gt;Off-street")&gt;0,1,0)</f>
        <v>0</v>
      </c>
      <c r="E1109">
        <f>IF(COUNTIFS('United Data'!$A$3:$A$3390,E$1,'United Data'!$C$3:$C$3390,$A1109,'United Data'!$B$3:$B$3390,"&lt;&gt;Off-street")&gt;0,1,0)</f>
        <v>0</v>
      </c>
      <c r="F1109">
        <f>IF(COUNTIFS('United Data'!$A$3:$A$3390,F$1,'United Data'!$C$3:$C$3390,$A1109,'United Data'!$B$3:$B$3390,"&lt;&gt;Off-street")&gt;0,1,0)</f>
        <v>1</v>
      </c>
      <c r="G1109">
        <f>IF(COUNTIFS('United Data'!$A$3:$A$3390,G$1,'United Data'!$C$3:$C$3390,$A1109,'United Data'!$B$3:$B$3390,"&lt;&gt;Off-street")&gt;0,1,0)</f>
        <v>0</v>
      </c>
      <c r="H1109">
        <f>IF(COUNTIFS('United Data'!$A$3:$A$3390,H$1,'United Data'!$C$3:$C$3390,$A1109,'United Data'!$B$3:$B$3390,"&lt;&gt;Off-street")&gt;0,1,0)</f>
        <v>1</v>
      </c>
      <c r="I1109">
        <f>IF(COUNTIFS('United Data'!$A$3:$A$3390,I$1,'United Data'!$C$3:$C$3390,$A1109,'United Data'!$B$3:$B$3390,"&lt;&gt;Off-street")&gt;0,1,0)</f>
        <v>0</v>
      </c>
      <c r="J1109">
        <f>IF(COUNTIFS('United Data'!$A$3:$A$3390,J$1,'United Data'!$C$3:$C$3390,$A1109,'United Data'!$B$3:$B$3390,"&lt;&gt;Off-street")&gt;0,1,0)</f>
        <v>0</v>
      </c>
      <c r="K1109">
        <f>IF(COUNTIFS('United Data'!$A$3:$A$3390,K$1,'United Data'!$C$3:$C$3390,$A1109,'United Data'!$B$3:$B$3390,"&lt;&gt;Off-street")&gt;0,1,0)</f>
        <v>1</v>
      </c>
      <c r="L1109">
        <f>IF(COUNTIFS('United Data'!$A$3:$A$3390,L$1,'United Data'!$C$3:$C$3390,$A1109,'United Data'!$B$3:$B$3390,"&lt;&gt;Off-street")&gt;0,1,0)</f>
        <v>0</v>
      </c>
      <c r="M1109">
        <f>IF(COUNTIFS('United Data'!$A$3:$A$3390,M$1,'United Data'!$C$3:$C$3390,$A1109,'United Data'!$B$3:$B$3390,"&lt;&gt;Off-street")&gt;0,1,0)</f>
        <v>0</v>
      </c>
      <c r="N1109">
        <f>IF(COUNTIFS('United Data'!$A$3:$A$3390,N$1,'United Data'!$C$3:$C$3390,$A1109,'United Data'!$B$3:$B$3390,"&lt;&gt;Off-street")&gt;0,1,0)</f>
        <v>0</v>
      </c>
      <c r="O1109">
        <f>IF(COUNTIFS('United Data'!$A$3:$A$3390,O$1,'United Data'!$C$3:$C$3390,$A1109,'United Data'!$B$3:$B$3390,"&lt;&gt;Off-street")&gt;0,1,0)</f>
        <v>0</v>
      </c>
      <c r="P1109">
        <f>IF(COUNTIFS('United Data'!$A$3:$A$3390,P$1,'United Data'!$C$3:$C$3390,$A1109,'United Data'!$B$3:$B$3390,"&lt;&gt;Off-street")&gt;0,1,0)</f>
        <v>0</v>
      </c>
      <c r="Q1109">
        <f>IF(COUNTIFS('United Data'!$A$3:$A$3390,Q$1,'United Data'!$C$3:$C$3390,$A1109,'United Data'!$B$3:$B$3390,"&lt;&gt;Off-street")&gt;0,1,0)</f>
        <v>0</v>
      </c>
      <c r="R1109">
        <f>IF(COUNTIFS('United Data'!$A$3:$A$3390,R$1,'United Data'!$C$3:$C$3390,$A1109,'United Data'!$B$3:$B$3390,"&lt;&gt;Off-street")&gt;0,1,0)</f>
        <v>0</v>
      </c>
      <c r="S1109">
        <f t="shared" si="34"/>
        <v>3</v>
      </c>
      <c r="T1109">
        <f t="shared" si="35"/>
        <v>3</v>
      </c>
    </row>
    <row r="1110" spans="1:20" x14ac:dyDescent="0.2">
      <c r="A1110" t="s">
        <v>1329</v>
      </c>
      <c r="B1110">
        <f>IF(COUNTIFS('United Data'!$A$3:$A$3390,B$1,'United Data'!$C$3:$C$3390,$A1110,'United Data'!$B$3:$B$3390,"&lt;&gt;Off-street")&gt;0,1,0)</f>
        <v>0</v>
      </c>
      <c r="C1110">
        <f>IF(COUNTIFS('United Data'!$A$3:$A$3390,C$1,'United Data'!$C$3:$C$3390,$A1110,'United Data'!$B$3:$B$3390,"&lt;&gt;Off-street")&gt;0,1,0)</f>
        <v>0</v>
      </c>
      <c r="D1110">
        <f>IF(COUNTIFS('United Data'!$A$3:$A$3390,D$1,'United Data'!$C$3:$C$3390,$A1110,'United Data'!$B$3:$B$3390,"&lt;&gt;Off-street")&gt;0,1,0)</f>
        <v>0</v>
      </c>
      <c r="E1110">
        <f>IF(COUNTIFS('United Data'!$A$3:$A$3390,E$1,'United Data'!$C$3:$C$3390,$A1110,'United Data'!$B$3:$B$3390,"&lt;&gt;Off-street")&gt;0,1,0)</f>
        <v>0</v>
      </c>
      <c r="F1110">
        <f>IF(COUNTIFS('United Data'!$A$3:$A$3390,F$1,'United Data'!$C$3:$C$3390,$A1110,'United Data'!$B$3:$B$3390,"&lt;&gt;Off-street")&gt;0,1,0)</f>
        <v>0</v>
      </c>
      <c r="G1110">
        <f>IF(COUNTIFS('United Data'!$A$3:$A$3390,G$1,'United Data'!$C$3:$C$3390,$A1110,'United Data'!$B$3:$B$3390,"&lt;&gt;Off-street")&gt;0,1,0)</f>
        <v>0</v>
      </c>
      <c r="H1110">
        <f>IF(COUNTIFS('United Data'!$A$3:$A$3390,H$1,'United Data'!$C$3:$C$3390,$A1110,'United Data'!$B$3:$B$3390,"&lt;&gt;Off-street")&gt;0,1,0)</f>
        <v>1</v>
      </c>
      <c r="I1110">
        <f>IF(COUNTIFS('United Data'!$A$3:$A$3390,I$1,'United Data'!$C$3:$C$3390,$A1110,'United Data'!$B$3:$B$3390,"&lt;&gt;Off-street")&gt;0,1,0)</f>
        <v>0</v>
      </c>
      <c r="J1110">
        <f>IF(COUNTIFS('United Data'!$A$3:$A$3390,J$1,'United Data'!$C$3:$C$3390,$A1110,'United Data'!$B$3:$B$3390,"&lt;&gt;Off-street")&gt;0,1,0)</f>
        <v>0</v>
      </c>
      <c r="K1110">
        <f>IF(COUNTIFS('United Data'!$A$3:$A$3390,K$1,'United Data'!$C$3:$C$3390,$A1110,'United Data'!$B$3:$B$3390,"&lt;&gt;Off-street")&gt;0,1,0)</f>
        <v>0</v>
      </c>
      <c r="L1110">
        <f>IF(COUNTIFS('United Data'!$A$3:$A$3390,L$1,'United Data'!$C$3:$C$3390,$A1110,'United Data'!$B$3:$B$3390,"&lt;&gt;Off-street")&gt;0,1,0)</f>
        <v>0</v>
      </c>
      <c r="M1110">
        <f>IF(COUNTIFS('United Data'!$A$3:$A$3390,M$1,'United Data'!$C$3:$C$3390,$A1110,'United Data'!$B$3:$B$3390,"&lt;&gt;Off-street")&gt;0,1,0)</f>
        <v>0</v>
      </c>
      <c r="N1110">
        <f>IF(COUNTIFS('United Data'!$A$3:$A$3390,N$1,'United Data'!$C$3:$C$3390,$A1110,'United Data'!$B$3:$B$3390,"&lt;&gt;Off-street")&gt;0,1,0)</f>
        <v>0</v>
      </c>
      <c r="O1110">
        <f>IF(COUNTIFS('United Data'!$A$3:$A$3390,O$1,'United Data'!$C$3:$C$3390,$A1110,'United Data'!$B$3:$B$3390,"&lt;&gt;Off-street")&gt;0,1,0)</f>
        <v>0</v>
      </c>
      <c r="P1110">
        <f>IF(COUNTIFS('United Data'!$A$3:$A$3390,P$1,'United Data'!$C$3:$C$3390,$A1110,'United Data'!$B$3:$B$3390,"&lt;&gt;Off-street")&gt;0,1,0)</f>
        <v>0</v>
      </c>
      <c r="Q1110">
        <f>IF(COUNTIFS('United Data'!$A$3:$A$3390,Q$1,'United Data'!$C$3:$C$3390,$A1110,'United Data'!$B$3:$B$3390,"&lt;&gt;Off-street")&gt;0,1,0)</f>
        <v>0</v>
      </c>
      <c r="R1110">
        <f>IF(COUNTIFS('United Data'!$A$3:$A$3390,R$1,'United Data'!$C$3:$C$3390,$A1110,'United Data'!$B$3:$B$3390,"&lt;&gt;Off-street")&gt;0,1,0)</f>
        <v>0</v>
      </c>
      <c r="S1110">
        <f t="shared" si="34"/>
        <v>1</v>
      </c>
      <c r="T1110">
        <f t="shared" si="35"/>
        <v>1</v>
      </c>
    </row>
    <row r="1111" spans="1:20" x14ac:dyDescent="0.2">
      <c r="A1111" t="s">
        <v>2052</v>
      </c>
      <c r="B1111">
        <f>IF(COUNTIFS('United Data'!$A$3:$A$3390,B$1,'United Data'!$C$3:$C$3390,$A1111,'United Data'!$B$3:$B$3390,"&lt;&gt;Off-street")&gt;0,1,0)</f>
        <v>0</v>
      </c>
      <c r="C1111">
        <f>IF(COUNTIFS('United Data'!$A$3:$A$3390,C$1,'United Data'!$C$3:$C$3390,$A1111,'United Data'!$B$3:$B$3390,"&lt;&gt;Off-street")&gt;0,1,0)</f>
        <v>0</v>
      </c>
      <c r="D1111">
        <f>IF(COUNTIFS('United Data'!$A$3:$A$3390,D$1,'United Data'!$C$3:$C$3390,$A1111,'United Data'!$B$3:$B$3390,"&lt;&gt;Off-street")&gt;0,1,0)</f>
        <v>0</v>
      </c>
      <c r="E1111">
        <f>IF(COUNTIFS('United Data'!$A$3:$A$3390,E$1,'United Data'!$C$3:$C$3390,$A1111,'United Data'!$B$3:$B$3390,"&lt;&gt;Off-street")&gt;0,1,0)</f>
        <v>0</v>
      </c>
      <c r="F1111">
        <f>IF(COUNTIFS('United Data'!$A$3:$A$3390,F$1,'United Data'!$C$3:$C$3390,$A1111,'United Data'!$B$3:$B$3390,"&lt;&gt;Off-street")&gt;0,1,0)</f>
        <v>0</v>
      </c>
      <c r="G1111">
        <f>IF(COUNTIFS('United Data'!$A$3:$A$3390,G$1,'United Data'!$C$3:$C$3390,$A1111,'United Data'!$B$3:$B$3390,"&lt;&gt;Off-street")&gt;0,1,0)</f>
        <v>0</v>
      </c>
      <c r="H1111">
        <f>IF(COUNTIFS('United Data'!$A$3:$A$3390,H$1,'United Data'!$C$3:$C$3390,$A1111,'United Data'!$B$3:$B$3390,"&lt;&gt;Off-street")&gt;0,1,0)</f>
        <v>0</v>
      </c>
      <c r="I1111">
        <f>IF(COUNTIFS('United Data'!$A$3:$A$3390,I$1,'United Data'!$C$3:$C$3390,$A1111,'United Data'!$B$3:$B$3390,"&lt;&gt;Off-street")&gt;0,1,0)</f>
        <v>1</v>
      </c>
      <c r="J1111">
        <f>IF(COUNTIFS('United Data'!$A$3:$A$3390,J$1,'United Data'!$C$3:$C$3390,$A1111,'United Data'!$B$3:$B$3390,"&lt;&gt;Off-street")&gt;0,1,0)</f>
        <v>0</v>
      </c>
      <c r="K1111">
        <f>IF(COUNTIFS('United Data'!$A$3:$A$3390,K$1,'United Data'!$C$3:$C$3390,$A1111,'United Data'!$B$3:$B$3390,"&lt;&gt;Off-street")&gt;0,1,0)</f>
        <v>0</v>
      </c>
      <c r="L1111">
        <f>IF(COUNTIFS('United Data'!$A$3:$A$3390,L$1,'United Data'!$C$3:$C$3390,$A1111,'United Data'!$B$3:$B$3390,"&lt;&gt;Off-street")&gt;0,1,0)</f>
        <v>0</v>
      </c>
      <c r="M1111">
        <f>IF(COUNTIFS('United Data'!$A$3:$A$3390,M$1,'United Data'!$C$3:$C$3390,$A1111,'United Data'!$B$3:$B$3390,"&lt;&gt;Off-street")&gt;0,1,0)</f>
        <v>0</v>
      </c>
      <c r="N1111">
        <f>IF(COUNTIFS('United Data'!$A$3:$A$3390,N$1,'United Data'!$C$3:$C$3390,$A1111,'United Data'!$B$3:$B$3390,"&lt;&gt;Off-street")&gt;0,1,0)</f>
        <v>0</v>
      </c>
      <c r="O1111">
        <f>IF(COUNTIFS('United Data'!$A$3:$A$3390,O$1,'United Data'!$C$3:$C$3390,$A1111,'United Data'!$B$3:$B$3390,"&lt;&gt;Off-street")&gt;0,1,0)</f>
        <v>0</v>
      </c>
      <c r="P1111">
        <f>IF(COUNTIFS('United Data'!$A$3:$A$3390,P$1,'United Data'!$C$3:$C$3390,$A1111,'United Data'!$B$3:$B$3390,"&lt;&gt;Off-street")&gt;0,1,0)</f>
        <v>0</v>
      </c>
      <c r="Q1111">
        <f>IF(COUNTIFS('United Data'!$A$3:$A$3390,Q$1,'United Data'!$C$3:$C$3390,$A1111,'United Data'!$B$3:$B$3390,"&lt;&gt;Off-street")&gt;0,1,0)</f>
        <v>0</v>
      </c>
      <c r="R1111">
        <f>IF(COUNTIFS('United Data'!$A$3:$A$3390,R$1,'United Data'!$C$3:$C$3390,$A1111,'United Data'!$B$3:$B$3390,"&lt;&gt;Off-street")&gt;0,1,0)</f>
        <v>0</v>
      </c>
      <c r="S1111">
        <f t="shared" si="34"/>
        <v>1</v>
      </c>
      <c r="T1111">
        <f t="shared" si="35"/>
        <v>1</v>
      </c>
    </row>
    <row r="1112" spans="1:20" x14ac:dyDescent="0.2">
      <c r="A1112" t="s">
        <v>1330</v>
      </c>
      <c r="B1112">
        <f>IF(COUNTIFS('United Data'!$A$3:$A$3390,B$1,'United Data'!$C$3:$C$3390,$A1112,'United Data'!$B$3:$B$3390,"&lt;&gt;Off-street")&gt;0,1,0)</f>
        <v>0</v>
      </c>
      <c r="C1112">
        <f>IF(COUNTIFS('United Data'!$A$3:$A$3390,C$1,'United Data'!$C$3:$C$3390,$A1112,'United Data'!$B$3:$B$3390,"&lt;&gt;Off-street")&gt;0,1,0)</f>
        <v>0</v>
      </c>
      <c r="D1112">
        <f>IF(COUNTIFS('United Data'!$A$3:$A$3390,D$1,'United Data'!$C$3:$C$3390,$A1112,'United Data'!$B$3:$B$3390,"&lt;&gt;Off-street")&gt;0,1,0)</f>
        <v>0</v>
      </c>
      <c r="E1112">
        <f>IF(COUNTIFS('United Data'!$A$3:$A$3390,E$1,'United Data'!$C$3:$C$3390,$A1112,'United Data'!$B$3:$B$3390,"&lt;&gt;Off-street")&gt;0,1,0)</f>
        <v>0</v>
      </c>
      <c r="F1112">
        <f>IF(COUNTIFS('United Data'!$A$3:$A$3390,F$1,'United Data'!$C$3:$C$3390,$A1112,'United Data'!$B$3:$B$3390,"&lt;&gt;Off-street")&gt;0,1,0)</f>
        <v>0</v>
      </c>
      <c r="G1112">
        <f>IF(COUNTIFS('United Data'!$A$3:$A$3390,G$1,'United Data'!$C$3:$C$3390,$A1112,'United Data'!$B$3:$B$3390,"&lt;&gt;Off-street")&gt;0,1,0)</f>
        <v>0</v>
      </c>
      <c r="H1112">
        <f>IF(COUNTIFS('United Data'!$A$3:$A$3390,H$1,'United Data'!$C$3:$C$3390,$A1112,'United Data'!$B$3:$B$3390,"&lt;&gt;Off-street")&gt;0,1,0)</f>
        <v>0</v>
      </c>
      <c r="I1112">
        <f>IF(COUNTIFS('United Data'!$A$3:$A$3390,I$1,'United Data'!$C$3:$C$3390,$A1112,'United Data'!$B$3:$B$3390,"&lt;&gt;Off-street")&gt;0,1,0)</f>
        <v>1</v>
      </c>
      <c r="J1112">
        <f>IF(COUNTIFS('United Data'!$A$3:$A$3390,J$1,'United Data'!$C$3:$C$3390,$A1112,'United Data'!$B$3:$B$3390,"&lt;&gt;Off-street")&gt;0,1,0)</f>
        <v>1</v>
      </c>
      <c r="K1112">
        <f>IF(COUNTIFS('United Data'!$A$3:$A$3390,K$1,'United Data'!$C$3:$C$3390,$A1112,'United Data'!$B$3:$B$3390,"&lt;&gt;Off-street")&gt;0,1,0)</f>
        <v>0</v>
      </c>
      <c r="L1112">
        <f>IF(COUNTIFS('United Data'!$A$3:$A$3390,L$1,'United Data'!$C$3:$C$3390,$A1112,'United Data'!$B$3:$B$3390,"&lt;&gt;Off-street")&gt;0,1,0)</f>
        <v>0</v>
      </c>
      <c r="M1112">
        <f>IF(COUNTIFS('United Data'!$A$3:$A$3390,M$1,'United Data'!$C$3:$C$3390,$A1112,'United Data'!$B$3:$B$3390,"&lt;&gt;Off-street")&gt;0,1,0)</f>
        <v>1</v>
      </c>
      <c r="N1112">
        <f>IF(COUNTIFS('United Data'!$A$3:$A$3390,N$1,'United Data'!$C$3:$C$3390,$A1112,'United Data'!$B$3:$B$3390,"&lt;&gt;Off-street")&gt;0,1,0)</f>
        <v>0</v>
      </c>
      <c r="O1112">
        <f>IF(COUNTIFS('United Data'!$A$3:$A$3390,O$1,'United Data'!$C$3:$C$3390,$A1112,'United Data'!$B$3:$B$3390,"&lt;&gt;Off-street")&gt;0,1,0)</f>
        <v>0</v>
      </c>
      <c r="P1112">
        <f>IF(COUNTIFS('United Data'!$A$3:$A$3390,P$1,'United Data'!$C$3:$C$3390,$A1112,'United Data'!$B$3:$B$3390,"&lt;&gt;Off-street")&gt;0,1,0)</f>
        <v>0</v>
      </c>
      <c r="Q1112">
        <f>IF(COUNTIFS('United Data'!$A$3:$A$3390,Q$1,'United Data'!$C$3:$C$3390,$A1112,'United Data'!$B$3:$B$3390,"&lt;&gt;Off-street")&gt;0,1,0)</f>
        <v>0</v>
      </c>
      <c r="R1112">
        <f>IF(COUNTIFS('United Data'!$A$3:$A$3390,R$1,'United Data'!$C$3:$C$3390,$A1112,'United Data'!$B$3:$B$3390,"&lt;&gt;Off-street")&gt;0,1,0)</f>
        <v>0</v>
      </c>
      <c r="S1112">
        <f t="shared" si="34"/>
        <v>3</v>
      </c>
      <c r="T1112">
        <f t="shared" si="35"/>
        <v>2</v>
      </c>
    </row>
    <row r="1113" spans="1:20" x14ac:dyDescent="0.2">
      <c r="A1113" t="s">
        <v>1331</v>
      </c>
      <c r="B1113">
        <f>IF(COUNTIFS('United Data'!$A$3:$A$3390,B$1,'United Data'!$C$3:$C$3390,$A1113,'United Data'!$B$3:$B$3390,"&lt;&gt;Off-street")&gt;0,1,0)</f>
        <v>0</v>
      </c>
      <c r="C1113">
        <f>IF(COUNTIFS('United Data'!$A$3:$A$3390,C$1,'United Data'!$C$3:$C$3390,$A1113,'United Data'!$B$3:$B$3390,"&lt;&gt;Off-street")&gt;0,1,0)</f>
        <v>0</v>
      </c>
      <c r="D1113">
        <f>IF(COUNTIFS('United Data'!$A$3:$A$3390,D$1,'United Data'!$C$3:$C$3390,$A1113,'United Data'!$B$3:$B$3390,"&lt;&gt;Off-street")&gt;0,1,0)</f>
        <v>0</v>
      </c>
      <c r="E1113">
        <f>IF(COUNTIFS('United Data'!$A$3:$A$3390,E$1,'United Data'!$C$3:$C$3390,$A1113,'United Data'!$B$3:$B$3390,"&lt;&gt;Off-street")&gt;0,1,0)</f>
        <v>0</v>
      </c>
      <c r="F1113">
        <f>IF(COUNTIFS('United Data'!$A$3:$A$3390,F$1,'United Data'!$C$3:$C$3390,$A1113,'United Data'!$B$3:$B$3390,"&lt;&gt;Off-street")&gt;0,1,0)</f>
        <v>0</v>
      </c>
      <c r="G1113">
        <f>IF(COUNTIFS('United Data'!$A$3:$A$3390,G$1,'United Data'!$C$3:$C$3390,$A1113,'United Data'!$B$3:$B$3390,"&lt;&gt;Off-street")&gt;0,1,0)</f>
        <v>0</v>
      </c>
      <c r="H1113">
        <f>IF(COUNTIFS('United Data'!$A$3:$A$3390,H$1,'United Data'!$C$3:$C$3390,$A1113,'United Data'!$B$3:$B$3390,"&lt;&gt;Off-street")&gt;0,1,0)</f>
        <v>0</v>
      </c>
      <c r="I1113">
        <f>IF(COUNTIFS('United Data'!$A$3:$A$3390,I$1,'United Data'!$C$3:$C$3390,$A1113,'United Data'!$B$3:$B$3390,"&lt;&gt;Off-street")&gt;0,1,0)</f>
        <v>1</v>
      </c>
      <c r="J1113">
        <f>IF(COUNTIFS('United Data'!$A$3:$A$3390,J$1,'United Data'!$C$3:$C$3390,$A1113,'United Data'!$B$3:$B$3390,"&lt;&gt;Off-street")&gt;0,1,0)</f>
        <v>1</v>
      </c>
      <c r="K1113">
        <f>IF(COUNTIFS('United Data'!$A$3:$A$3390,K$1,'United Data'!$C$3:$C$3390,$A1113,'United Data'!$B$3:$B$3390,"&lt;&gt;Off-street")&gt;0,1,0)</f>
        <v>0</v>
      </c>
      <c r="L1113">
        <f>IF(COUNTIFS('United Data'!$A$3:$A$3390,L$1,'United Data'!$C$3:$C$3390,$A1113,'United Data'!$B$3:$B$3390,"&lt;&gt;Off-street")&gt;0,1,0)</f>
        <v>0</v>
      </c>
      <c r="M1113">
        <f>IF(COUNTIFS('United Data'!$A$3:$A$3390,M$1,'United Data'!$C$3:$C$3390,$A1113,'United Data'!$B$3:$B$3390,"&lt;&gt;Off-street")&gt;0,1,0)</f>
        <v>0</v>
      </c>
      <c r="N1113">
        <f>IF(COUNTIFS('United Data'!$A$3:$A$3390,N$1,'United Data'!$C$3:$C$3390,$A1113,'United Data'!$B$3:$B$3390,"&lt;&gt;Off-street")&gt;0,1,0)</f>
        <v>0</v>
      </c>
      <c r="O1113">
        <f>IF(COUNTIFS('United Data'!$A$3:$A$3390,O$1,'United Data'!$C$3:$C$3390,$A1113,'United Data'!$B$3:$B$3390,"&lt;&gt;Off-street")&gt;0,1,0)</f>
        <v>0</v>
      </c>
      <c r="P1113">
        <f>IF(COUNTIFS('United Data'!$A$3:$A$3390,P$1,'United Data'!$C$3:$C$3390,$A1113,'United Data'!$B$3:$B$3390,"&lt;&gt;Off-street")&gt;0,1,0)</f>
        <v>0</v>
      </c>
      <c r="Q1113">
        <f>IF(COUNTIFS('United Data'!$A$3:$A$3390,Q$1,'United Data'!$C$3:$C$3390,$A1113,'United Data'!$B$3:$B$3390,"&lt;&gt;Off-street")&gt;0,1,0)</f>
        <v>0</v>
      </c>
      <c r="R1113">
        <f>IF(COUNTIFS('United Data'!$A$3:$A$3390,R$1,'United Data'!$C$3:$C$3390,$A1113,'United Data'!$B$3:$B$3390,"&lt;&gt;Off-street")&gt;0,1,0)</f>
        <v>0</v>
      </c>
      <c r="S1113">
        <f t="shared" si="34"/>
        <v>2</v>
      </c>
      <c r="T1113">
        <f t="shared" si="35"/>
        <v>1</v>
      </c>
    </row>
    <row r="1114" spans="1:20" x14ac:dyDescent="0.2">
      <c r="A1114" t="s">
        <v>1332</v>
      </c>
      <c r="B1114">
        <f>IF(COUNTIFS('United Data'!$A$3:$A$3390,B$1,'United Data'!$C$3:$C$3390,$A1114,'United Data'!$B$3:$B$3390,"&lt;&gt;Off-street")&gt;0,1,0)</f>
        <v>0</v>
      </c>
      <c r="C1114">
        <f>IF(COUNTIFS('United Data'!$A$3:$A$3390,C$1,'United Data'!$C$3:$C$3390,$A1114,'United Data'!$B$3:$B$3390,"&lt;&gt;Off-street")&gt;0,1,0)</f>
        <v>0</v>
      </c>
      <c r="D1114">
        <f>IF(COUNTIFS('United Data'!$A$3:$A$3390,D$1,'United Data'!$C$3:$C$3390,$A1114,'United Data'!$B$3:$B$3390,"&lt;&gt;Off-street")&gt;0,1,0)</f>
        <v>0</v>
      </c>
      <c r="E1114">
        <f>IF(COUNTIFS('United Data'!$A$3:$A$3390,E$1,'United Data'!$C$3:$C$3390,$A1114,'United Data'!$B$3:$B$3390,"&lt;&gt;Off-street")&gt;0,1,0)</f>
        <v>0</v>
      </c>
      <c r="F1114">
        <f>IF(COUNTIFS('United Data'!$A$3:$A$3390,F$1,'United Data'!$C$3:$C$3390,$A1114,'United Data'!$B$3:$B$3390,"&lt;&gt;Off-street")&gt;0,1,0)</f>
        <v>0</v>
      </c>
      <c r="G1114">
        <f>IF(COUNTIFS('United Data'!$A$3:$A$3390,G$1,'United Data'!$C$3:$C$3390,$A1114,'United Data'!$B$3:$B$3390,"&lt;&gt;Off-street")&gt;0,1,0)</f>
        <v>0</v>
      </c>
      <c r="H1114">
        <f>IF(COUNTIFS('United Data'!$A$3:$A$3390,H$1,'United Data'!$C$3:$C$3390,$A1114,'United Data'!$B$3:$B$3390,"&lt;&gt;Off-street")&gt;0,1,0)</f>
        <v>0</v>
      </c>
      <c r="I1114">
        <f>IF(COUNTIFS('United Data'!$A$3:$A$3390,I$1,'United Data'!$C$3:$C$3390,$A1114,'United Data'!$B$3:$B$3390,"&lt;&gt;Off-street")&gt;0,1,0)</f>
        <v>1</v>
      </c>
      <c r="J1114">
        <f>IF(COUNTIFS('United Data'!$A$3:$A$3390,J$1,'United Data'!$C$3:$C$3390,$A1114,'United Data'!$B$3:$B$3390,"&lt;&gt;Off-street")&gt;0,1,0)</f>
        <v>0</v>
      </c>
      <c r="K1114">
        <f>IF(COUNTIFS('United Data'!$A$3:$A$3390,K$1,'United Data'!$C$3:$C$3390,$A1114,'United Data'!$B$3:$B$3390,"&lt;&gt;Off-street")&gt;0,1,0)</f>
        <v>0</v>
      </c>
      <c r="L1114">
        <f>IF(COUNTIFS('United Data'!$A$3:$A$3390,L$1,'United Data'!$C$3:$C$3390,$A1114,'United Data'!$B$3:$B$3390,"&lt;&gt;Off-street")&gt;0,1,0)</f>
        <v>0</v>
      </c>
      <c r="M1114">
        <f>IF(COUNTIFS('United Data'!$A$3:$A$3390,M$1,'United Data'!$C$3:$C$3390,$A1114,'United Data'!$B$3:$B$3390,"&lt;&gt;Off-street")&gt;0,1,0)</f>
        <v>0</v>
      </c>
      <c r="N1114">
        <f>IF(COUNTIFS('United Data'!$A$3:$A$3390,N$1,'United Data'!$C$3:$C$3390,$A1114,'United Data'!$B$3:$B$3390,"&lt;&gt;Off-street")&gt;0,1,0)</f>
        <v>0</v>
      </c>
      <c r="O1114">
        <f>IF(COUNTIFS('United Data'!$A$3:$A$3390,O$1,'United Data'!$C$3:$C$3390,$A1114,'United Data'!$B$3:$B$3390,"&lt;&gt;Off-street")&gt;0,1,0)</f>
        <v>0</v>
      </c>
      <c r="P1114">
        <f>IF(COUNTIFS('United Data'!$A$3:$A$3390,P$1,'United Data'!$C$3:$C$3390,$A1114,'United Data'!$B$3:$B$3390,"&lt;&gt;Off-street")&gt;0,1,0)</f>
        <v>0</v>
      </c>
      <c r="Q1114">
        <f>IF(COUNTIFS('United Data'!$A$3:$A$3390,Q$1,'United Data'!$C$3:$C$3390,$A1114,'United Data'!$B$3:$B$3390,"&lt;&gt;Off-street")&gt;0,1,0)</f>
        <v>0</v>
      </c>
      <c r="R1114">
        <f>IF(COUNTIFS('United Data'!$A$3:$A$3390,R$1,'United Data'!$C$3:$C$3390,$A1114,'United Data'!$B$3:$B$3390,"&lt;&gt;Off-street")&gt;0,1,0)</f>
        <v>0</v>
      </c>
      <c r="S1114">
        <f t="shared" si="34"/>
        <v>1</v>
      </c>
      <c r="T1114">
        <f t="shared" si="35"/>
        <v>1</v>
      </c>
    </row>
    <row r="1115" spans="1:20" x14ac:dyDescent="0.2">
      <c r="A1115" t="s">
        <v>1333</v>
      </c>
      <c r="B1115">
        <f>IF(COUNTIFS('United Data'!$A$3:$A$3390,B$1,'United Data'!$C$3:$C$3390,$A1115,'United Data'!$B$3:$B$3390,"&lt;&gt;Off-street")&gt;0,1,0)</f>
        <v>0</v>
      </c>
      <c r="C1115">
        <f>IF(COUNTIFS('United Data'!$A$3:$A$3390,C$1,'United Data'!$C$3:$C$3390,$A1115,'United Data'!$B$3:$B$3390,"&lt;&gt;Off-street")&gt;0,1,0)</f>
        <v>0</v>
      </c>
      <c r="D1115">
        <f>IF(COUNTIFS('United Data'!$A$3:$A$3390,D$1,'United Data'!$C$3:$C$3390,$A1115,'United Data'!$B$3:$B$3390,"&lt;&gt;Off-street")&gt;0,1,0)</f>
        <v>0</v>
      </c>
      <c r="E1115">
        <f>IF(COUNTIFS('United Data'!$A$3:$A$3390,E$1,'United Data'!$C$3:$C$3390,$A1115,'United Data'!$B$3:$B$3390,"&lt;&gt;Off-street")&gt;0,1,0)</f>
        <v>0</v>
      </c>
      <c r="F1115">
        <f>IF(COUNTIFS('United Data'!$A$3:$A$3390,F$1,'United Data'!$C$3:$C$3390,$A1115,'United Data'!$B$3:$B$3390,"&lt;&gt;Off-street")&gt;0,1,0)</f>
        <v>0</v>
      </c>
      <c r="G1115">
        <f>IF(COUNTIFS('United Data'!$A$3:$A$3390,G$1,'United Data'!$C$3:$C$3390,$A1115,'United Data'!$B$3:$B$3390,"&lt;&gt;Off-street")&gt;0,1,0)</f>
        <v>0</v>
      </c>
      <c r="H1115">
        <f>IF(COUNTIFS('United Data'!$A$3:$A$3390,H$1,'United Data'!$C$3:$C$3390,$A1115,'United Data'!$B$3:$B$3390,"&lt;&gt;Off-street")&gt;0,1,0)</f>
        <v>0</v>
      </c>
      <c r="I1115">
        <f>IF(COUNTIFS('United Data'!$A$3:$A$3390,I$1,'United Data'!$C$3:$C$3390,$A1115,'United Data'!$B$3:$B$3390,"&lt;&gt;Off-street")&gt;0,1,0)</f>
        <v>1</v>
      </c>
      <c r="J1115">
        <f>IF(COUNTIFS('United Data'!$A$3:$A$3390,J$1,'United Data'!$C$3:$C$3390,$A1115,'United Data'!$B$3:$B$3390,"&lt;&gt;Off-street")&gt;0,1,0)</f>
        <v>0</v>
      </c>
      <c r="K1115">
        <f>IF(COUNTIFS('United Data'!$A$3:$A$3390,K$1,'United Data'!$C$3:$C$3390,$A1115,'United Data'!$B$3:$B$3390,"&lt;&gt;Off-street")&gt;0,1,0)</f>
        <v>0</v>
      </c>
      <c r="L1115">
        <f>IF(COUNTIFS('United Data'!$A$3:$A$3390,L$1,'United Data'!$C$3:$C$3390,$A1115,'United Data'!$B$3:$B$3390,"&lt;&gt;Off-street")&gt;0,1,0)</f>
        <v>0</v>
      </c>
      <c r="M1115">
        <f>IF(COUNTIFS('United Data'!$A$3:$A$3390,M$1,'United Data'!$C$3:$C$3390,$A1115,'United Data'!$B$3:$B$3390,"&lt;&gt;Off-street")&gt;0,1,0)</f>
        <v>0</v>
      </c>
      <c r="N1115">
        <f>IF(COUNTIFS('United Data'!$A$3:$A$3390,N$1,'United Data'!$C$3:$C$3390,$A1115,'United Data'!$B$3:$B$3390,"&lt;&gt;Off-street")&gt;0,1,0)</f>
        <v>0</v>
      </c>
      <c r="O1115">
        <f>IF(COUNTIFS('United Data'!$A$3:$A$3390,O$1,'United Data'!$C$3:$C$3390,$A1115,'United Data'!$B$3:$B$3390,"&lt;&gt;Off-street")&gt;0,1,0)</f>
        <v>0</v>
      </c>
      <c r="P1115">
        <f>IF(COUNTIFS('United Data'!$A$3:$A$3390,P$1,'United Data'!$C$3:$C$3390,$A1115,'United Data'!$B$3:$B$3390,"&lt;&gt;Off-street")&gt;0,1,0)</f>
        <v>0</v>
      </c>
      <c r="Q1115">
        <f>IF(COUNTIFS('United Data'!$A$3:$A$3390,Q$1,'United Data'!$C$3:$C$3390,$A1115,'United Data'!$B$3:$B$3390,"&lt;&gt;Off-street")&gt;0,1,0)</f>
        <v>0</v>
      </c>
      <c r="R1115">
        <f>IF(COUNTIFS('United Data'!$A$3:$A$3390,R$1,'United Data'!$C$3:$C$3390,$A1115,'United Data'!$B$3:$B$3390,"&lt;&gt;Off-street")&gt;0,1,0)</f>
        <v>0</v>
      </c>
      <c r="S1115">
        <f t="shared" si="34"/>
        <v>1</v>
      </c>
      <c r="T1115">
        <f t="shared" si="35"/>
        <v>1</v>
      </c>
    </row>
    <row r="1116" spans="1:20" x14ac:dyDescent="0.2">
      <c r="A1116" t="s">
        <v>1334</v>
      </c>
      <c r="B1116">
        <f>IF(COUNTIFS('United Data'!$A$3:$A$3390,B$1,'United Data'!$C$3:$C$3390,$A1116,'United Data'!$B$3:$B$3390,"&lt;&gt;Off-street")&gt;0,1,0)</f>
        <v>0</v>
      </c>
      <c r="C1116">
        <f>IF(COUNTIFS('United Data'!$A$3:$A$3390,C$1,'United Data'!$C$3:$C$3390,$A1116,'United Data'!$B$3:$B$3390,"&lt;&gt;Off-street")&gt;0,1,0)</f>
        <v>0</v>
      </c>
      <c r="D1116">
        <f>IF(COUNTIFS('United Data'!$A$3:$A$3390,D$1,'United Data'!$C$3:$C$3390,$A1116,'United Data'!$B$3:$B$3390,"&lt;&gt;Off-street")&gt;0,1,0)</f>
        <v>0</v>
      </c>
      <c r="E1116">
        <f>IF(COUNTIFS('United Data'!$A$3:$A$3390,E$1,'United Data'!$C$3:$C$3390,$A1116,'United Data'!$B$3:$B$3390,"&lt;&gt;Off-street")&gt;0,1,0)</f>
        <v>0</v>
      </c>
      <c r="F1116">
        <f>IF(COUNTIFS('United Data'!$A$3:$A$3390,F$1,'United Data'!$C$3:$C$3390,$A1116,'United Data'!$B$3:$B$3390,"&lt;&gt;Off-street")&gt;0,1,0)</f>
        <v>0</v>
      </c>
      <c r="G1116">
        <f>IF(COUNTIFS('United Data'!$A$3:$A$3390,G$1,'United Data'!$C$3:$C$3390,$A1116,'United Data'!$B$3:$B$3390,"&lt;&gt;Off-street")&gt;0,1,0)</f>
        <v>0</v>
      </c>
      <c r="H1116">
        <f>IF(COUNTIFS('United Data'!$A$3:$A$3390,H$1,'United Data'!$C$3:$C$3390,$A1116,'United Data'!$B$3:$B$3390,"&lt;&gt;Off-street")&gt;0,1,0)</f>
        <v>0</v>
      </c>
      <c r="I1116">
        <f>IF(COUNTIFS('United Data'!$A$3:$A$3390,I$1,'United Data'!$C$3:$C$3390,$A1116,'United Data'!$B$3:$B$3390,"&lt;&gt;Off-street")&gt;0,1,0)</f>
        <v>1</v>
      </c>
      <c r="J1116">
        <f>IF(COUNTIFS('United Data'!$A$3:$A$3390,J$1,'United Data'!$C$3:$C$3390,$A1116,'United Data'!$B$3:$B$3390,"&lt;&gt;Off-street")&gt;0,1,0)</f>
        <v>0</v>
      </c>
      <c r="K1116">
        <f>IF(COUNTIFS('United Data'!$A$3:$A$3390,K$1,'United Data'!$C$3:$C$3390,$A1116,'United Data'!$B$3:$B$3390,"&lt;&gt;Off-street")&gt;0,1,0)</f>
        <v>0</v>
      </c>
      <c r="L1116">
        <f>IF(COUNTIFS('United Data'!$A$3:$A$3390,L$1,'United Data'!$C$3:$C$3390,$A1116,'United Data'!$B$3:$B$3390,"&lt;&gt;Off-street")&gt;0,1,0)</f>
        <v>0</v>
      </c>
      <c r="M1116">
        <f>IF(COUNTIFS('United Data'!$A$3:$A$3390,M$1,'United Data'!$C$3:$C$3390,$A1116,'United Data'!$B$3:$B$3390,"&lt;&gt;Off-street")&gt;0,1,0)</f>
        <v>0</v>
      </c>
      <c r="N1116">
        <f>IF(COUNTIFS('United Data'!$A$3:$A$3390,N$1,'United Data'!$C$3:$C$3390,$A1116,'United Data'!$B$3:$B$3390,"&lt;&gt;Off-street")&gt;0,1,0)</f>
        <v>0</v>
      </c>
      <c r="O1116">
        <f>IF(COUNTIFS('United Data'!$A$3:$A$3390,O$1,'United Data'!$C$3:$C$3390,$A1116,'United Data'!$B$3:$B$3390,"&lt;&gt;Off-street")&gt;0,1,0)</f>
        <v>0</v>
      </c>
      <c r="P1116">
        <f>IF(COUNTIFS('United Data'!$A$3:$A$3390,P$1,'United Data'!$C$3:$C$3390,$A1116,'United Data'!$B$3:$B$3390,"&lt;&gt;Off-street")&gt;0,1,0)</f>
        <v>0</v>
      </c>
      <c r="Q1116">
        <f>IF(COUNTIFS('United Data'!$A$3:$A$3390,Q$1,'United Data'!$C$3:$C$3390,$A1116,'United Data'!$B$3:$B$3390,"&lt;&gt;Off-street")&gt;0,1,0)</f>
        <v>0</v>
      </c>
      <c r="R1116">
        <f>IF(COUNTIFS('United Data'!$A$3:$A$3390,R$1,'United Data'!$C$3:$C$3390,$A1116,'United Data'!$B$3:$B$3390,"&lt;&gt;Off-street")&gt;0,1,0)</f>
        <v>0</v>
      </c>
      <c r="S1116">
        <f t="shared" si="34"/>
        <v>1</v>
      </c>
      <c r="T1116">
        <f t="shared" si="35"/>
        <v>1</v>
      </c>
    </row>
    <row r="1117" spans="1:20" x14ac:dyDescent="0.2">
      <c r="A1117" t="s">
        <v>1335</v>
      </c>
      <c r="B1117">
        <f>IF(COUNTIFS('United Data'!$A$3:$A$3390,B$1,'United Data'!$C$3:$C$3390,$A1117,'United Data'!$B$3:$B$3390,"&lt;&gt;Off-street")&gt;0,1,0)</f>
        <v>0</v>
      </c>
      <c r="C1117">
        <f>IF(COUNTIFS('United Data'!$A$3:$A$3390,C$1,'United Data'!$C$3:$C$3390,$A1117,'United Data'!$B$3:$B$3390,"&lt;&gt;Off-street")&gt;0,1,0)</f>
        <v>0</v>
      </c>
      <c r="D1117">
        <f>IF(COUNTIFS('United Data'!$A$3:$A$3390,D$1,'United Data'!$C$3:$C$3390,$A1117,'United Data'!$B$3:$B$3390,"&lt;&gt;Off-street")&gt;0,1,0)</f>
        <v>0</v>
      </c>
      <c r="E1117">
        <f>IF(COUNTIFS('United Data'!$A$3:$A$3390,E$1,'United Data'!$C$3:$C$3390,$A1117,'United Data'!$B$3:$B$3390,"&lt;&gt;Off-street")&gt;0,1,0)</f>
        <v>0</v>
      </c>
      <c r="F1117">
        <f>IF(COUNTIFS('United Data'!$A$3:$A$3390,F$1,'United Data'!$C$3:$C$3390,$A1117,'United Data'!$B$3:$B$3390,"&lt;&gt;Off-street")&gt;0,1,0)</f>
        <v>0</v>
      </c>
      <c r="G1117">
        <f>IF(COUNTIFS('United Data'!$A$3:$A$3390,G$1,'United Data'!$C$3:$C$3390,$A1117,'United Data'!$B$3:$B$3390,"&lt;&gt;Off-street")&gt;0,1,0)</f>
        <v>0</v>
      </c>
      <c r="H1117">
        <f>IF(COUNTIFS('United Data'!$A$3:$A$3390,H$1,'United Data'!$C$3:$C$3390,$A1117,'United Data'!$B$3:$B$3390,"&lt;&gt;Off-street")&gt;0,1,0)</f>
        <v>0</v>
      </c>
      <c r="I1117">
        <f>IF(COUNTIFS('United Data'!$A$3:$A$3390,I$1,'United Data'!$C$3:$C$3390,$A1117,'United Data'!$B$3:$B$3390,"&lt;&gt;Off-street")&gt;0,1,0)</f>
        <v>1</v>
      </c>
      <c r="J1117">
        <f>IF(COUNTIFS('United Data'!$A$3:$A$3390,J$1,'United Data'!$C$3:$C$3390,$A1117,'United Data'!$B$3:$B$3390,"&lt;&gt;Off-street")&gt;0,1,0)</f>
        <v>1</v>
      </c>
      <c r="K1117">
        <f>IF(COUNTIFS('United Data'!$A$3:$A$3390,K$1,'United Data'!$C$3:$C$3390,$A1117,'United Data'!$B$3:$B$3390,"&lt;&gt;Off-street")&gt;0,1,0)</f>
        <v>0</v>
      </c>
      <c r="L1117">
        <f>IF(COUNTIFS('United Data'!$A$3:$A$3390,L$1,'United Data'!$C$3:$C$3390,$A1117,'United Data'!$B$3:$B$3390,"&lt;&gt;Off-street")&gt;0,1,0)</f>
        <v>0</v>
      </c>
      <c r="M1117">
        <f>IF(COUNTIFS('United Data'!$A$3:$A$3390,M$1,'United Data'!$C$3:$C$3390,$A1117,'United Data'!$B$3:$B$3390,"&lt;&gt;Off-street")&gt;0,1,0)</f>
        <v>0</v>
      </c>
      <c r="N1117">
        <f>IF(COUNTIFS('United Data'!$A$3:$A$3390,N$1,'United Data'!$C$3:$C$3390,$A1117,'United Data'!$B$3:$B$3390,"&lt;&gt;Off-street")&gt;0,1,0)</f>
        <v>0</v>
      </c>
      <c r="O1117">
        <f>IF(COUNTIFS('United Data'!$A$3:$A$3390,O$1,'United Data'!$C$3:$C$3390,$A1117,'United Data'!$B$3:$B$3390,"&lt;&gt;Off-street")&gt;0,1,0)</f>
        <v>0</v>
      </c>
      <c r="P1117">
        <f>IF(COUNTIFS('United Data'!$A$3:$A$3390,P$1,'United Data'!$C$3:$C$3390,$A1117,'United Data'!$B$3:$B$3390,"&lt;&gt;Off-street")&gt;0,1,0)</f>
        <v>0</v>
      </c>
      <c r="Q1117">
        <f>IF(COUNTIFS('United Data'!$A$3:$A$3390,Q$1,'United Data'!$C$3:$C$3390,$A1117,'United Data'!$B$3:$B$3390,"&lt;&gt;Off-street")&gt;0,1,0)</f>
        <v>0</v>
      </c>
      <c r="R1117">
        <f>IF(COUNTIFS('United Data'!$A$3:$A$3390,R$1,'United Data'!$C$3:$C$3390,$A1117,'United Data'!$B$3:$B$3390,"&lt;&gt;Off-street")&gt;0,1,0)</f>
        <v>0</v>
      </c>
      <c r="S1117">
        <f t="shared" si="34"/>
        <v>2</v>
      </c>
      <c r="T1117">
        <f t="shared" si="35"/>
        <v>1</v>
      </c>
    </row>
    <row r="1118" spans="1:20" x14ac:dyDescent="0.2">
      <c r="A1118" t="s">
        <v>1336</v>
      </c>
      <c r="B1118">
        <f>IF(COUNTIFS('United Data'!$A$3:$A$3390,B$1,'United Data'!$C$3:$C$3390,$A1118,'United Data'!$B$3:$B$3390,"&lt;&gt;Off-street")&gt;0,1,0)</f>
        <v>0</v>
      </c>
      <c r="C1118">
        <f>IF(COUNTIFS('United Data'!$A$3:$A$3390,C$1,'United Data'!$C$3:$C$3390,$A1118,'United Data'!$B$3:$B$3390,"&lt;&gt;Off-street")&gt;0,1,0)</f>
        <v>0</v>
      </c>
      <c r="D1118">
        <f>IF(COUNTIFS('United Data'!$A$3:$A$3390,D$1,'United Data'!$C$3:$C$3390,$A1118,'United Data'!$B$3:$B$3390,"&lt;&gt;Off-street")&gt;0,1,0)</f>
        <v>0</v>
      </c>
      <c r="E1118">
        <f>IF(COUNTIFS('United Data'!$A$3:$A$3390,E$1,'United Data'!$C$3:$C$3390,$A1118,'United Data'!$B$3:$B$3390,"&lt;&gt;Off-street")&gt;0,1,0)</f>
        <v>0</v>
      </c>
      <c r="F1118">
        <f>IF(COUNTIFS('United Data'!$A$3:$A$3390,F$1,'United Data'!$C$3:$C$3390,$A1118,'United Data'!$B$3:$B$3390,"&lt;&gt;Off-street")&gt;0,1,0)</f>
        <v>0</v>
      </c>
      <c r="G1118">
        <f>IF(COUNTIFS('United Data'!$A$3:$A$3390,G$1,'United Data'!$C$3:$C$3390,$A1118,'United Data'!$B$3:$B$3390,"&lt;&gt;Off-street")&gt;0,1,0)</f>
        <v>0</v>
      </c>
      <c r="H1118">
        <f>IF(COUNTIFS('United Data'!$A$3:$A$3390,H$1,'United Data'!$C$3:$C$3390,$A1118,'United Data'!$B$3:$B$3390,"&lt;&gt;Off-street")&gt;0,1,0)</f>
        <v>0</v>
      </c>
      <c r="I1118">
        <f>IF(COUNTIFS('United Data'!$A$3:$A$3390,I$1,'United Data'!$C$3:$C$3390,$A1118,'United Data'!$B$3:$B$3390,"&lt;&gt;Off-street")&gt;0,1,0)</f>
        <v>1</v>
      </c>
      <c r="J1118">
        <f>IF(COUNTIFS('United Data'!$A$3:$A$3390,J$1,'United Data'!$C$3:$C$3390,$A1118,'United Data'!$B$3:$B$3390,"&lt;&gt;Off-street")&gt;0,1,0)</f>
        <v>1</v>
      </c>
      <c r="K1118">
        <f>IF(COUNTIFS('United Data'!$A$3:$A$3390,K$1,'United Data'!$C$3:$C$3390,$A1118,'United Data'!$B$3:$B$3390,"&lt;&gt;Off-street")&gt;0,1,0)</f>
        <v>0</v>
      </c>
      <c r="L1118">
        <f>IF(COUNTIFS('United Data'!$A$3:$A$3390,L$1,'United Data'!$C$3:$C$3390,$A1118,'United Data'!$B$3:$B$3390,"&lt;&gt;Off-street")&gt;0,1,0)</f>
        <v>0</v>
      </c>
      <c r="M1118">
        <f>IF(COUNTIFS('United Data'!$A$3:$A$3390,M$1,'United Data'!$C$3:$C$3390,$A1118,'United Data'!$B$3:$B$3390,"&lt;&gt;Off-street")&gt;0,1,0)</f>
        <v>0</v>
      </c>
      <c r="N1118">
        <f>IF(COUNTIFS('United Data'!$A$3:$A$3390,N$1,'United Data'!$C$3:$C$3390,$A1118,'United Data'!$B$3:$B$3390,"&lt;&gt;Off-street")&gt;0,1,0)</f>
        <v>0</v>
      </c>
      <c r="O1118">
        <f>IF(COUNTIFS('United Data'!$A$3:$A$3390,O$1,'United Data'!$C$3:$C$3390,$A1118,'United Data'!$B$3:$B$3390,"&lt;&gt;Off-street")&gt;0,1,0)</f>
        <v>0</v>
      </c>
      <c r="P1118">
        <f>IF(COUNTIFS('United Data'!$A$3:$A$3390,P$1,'United Data'!$C$3:$C$3390,$A1118,'United Data'!$B$3:$B$3390,"&lt;&gt;Off-street")&gt;0,1,0)</f>
        <v>0</v>
      </c>
      <c r="Q1118">
        <f>IF(COUNTIFS('United Data'!$A$3:$A$3390,Q$1,'United Data'!$C$3:$C$3390,$A1118,'United Data'!$B$3:$B$3390,"&lt;&gt;Off-street")&gt;0,1,0)</f>
        <v>0</v>
      </c>
      <c r="R1118">
        <f>IF(COUNTIFS('United Data'!$A$3:$A$3390,R$1,'United Data'!$C$3:$C$3390,$A1118,'United Data'!$B$3:$B$3390,"&lt;&gt;Off-street")&gt;0,1,0)</f>
        <v>0</v>
      </c>
      <c r="S1118">
        <f t="shared" si="34"/>
        <v>2</v>
      </c>
      <c r="T1118">
        <f t="shared" si="35"/>
        <v>1</v>
      </c>
    </row>
    <row r="1119" spans="1:20" x14ac:dyDescent="0.2">
      <c r="A1119" t="s">
        <v>1337</v>
      </c>
      <c r="B1119">
        <f>IF(COUNTIFS('United Data'!$A$3:$A$3390,B$1,'United Data'!$C$3:$C$3390,$A1119,'United Data'!$B$3:$B$3390,"&lt;&gt;Off-street")&gt;0,1,0)</f>
        <v>0</v>
      </c>
      <c r="C1119">
        <f>IF(COUNTIFS('United Data'!$A$3:$A$3390,C$1,'United Data'!$C$3:$C$3390,$A1119,'United Data'!$B$3:$B$3390,"&lt;&gt;Off-street")&gt;0,1,0)</f>
        <v>0</v>
      </c>
      <c r="D1119">
        <f>IF(COUNTIFS('United Data'!$A$3:$A$3390,D$1,'United Data'!$C$3:$C$3390,$A1119,'United Data'!$B$3:$B$3390,"&lt;&gt;Off-street")&gt;0,1,0)</f>
        <v>0</v>
      </c>
      <c r="E1119">
        <f>IF(COUNTIFS('United Data'!$A$3:$A$3390,E$1,'United Data'!$C$3:$C$3390,$A1119,'United Data'!$B$3:$B$3390,"&lt;&gt;Off-street")&gt;0,1,0)</f>
        <v>0</v>
      </c>
      <c r="F1119">
        <f>IF(COUNTIFS('United Data'!$A$3:$A$3390,F$1,'United Data'!$C$3:$C$3390,$A1119,'United Data'!$B$3:$B$3390,"&lt;&gt;Off-street")&gt;0,1,0)</f>
        <v>0</v>
      </c>
      <c r="G1119">
        <f>IF(COUNTIFS('United Data'!$A$3:$A$3390,G$1,'United Data'!$C$3:$C$3390,$A1119,'United Data'!$B$3:$B$3390,"&lt;&gt;Off-street")&gt;0,1,0)</f>
        <v>0</v>
      </c>
      <c r="H1119">
        <f>IF(COUNTIFS('United Data'!$A$3:$A$3390,H$1,'United Data'!$C$3:$C$3390,$A1119,'United Data'!$B$3:$B$3390,"&lt;&gt;Off-street")&gt;0,1,0)</f>
        <v>0</v>
      </c>
      <c r="I1119">
        <f>IF(COUNTIFS('United Data'!$A$3:$A$3390,I$1,'United Data'!$C$3:$C$3390,$A1119,'United Data'!$B$3:$B$3390,"&lt;&gt;Off-street")&gt;0,1,0)</f>
        <v>1</v>
      </c>
      <c r="J1119">
        <f>IF(COUNTIFS('United Data'!$A$3:$A$3390,J$1,'United Data'!$C$3:$C$3390,$A1119,'United Data'!$B$3:$B$3390,"&lt;&gt;Off-street")&gt;0,1,0)</f>
        <v>1</v>
      </c>
      <c r="K1119">
        <f>IF(COUNTIFS('United Data'!$A$3:$A$3390,K$1,'United Data'!$C$3:$C$3390,$A1119,'United Data'!$B$3:$B$3390,"&lt;&gt;Off-street")&gt;0,1,0)</f>
        <v>0</v>
      </c>
      <c r="L1119">
        <f>IF(COUNTIFS('United Data'!$A$3:$A$3390,L$1,'United Data'!$C$3:$C$3390,$A1119,'United Data'!$B$3:$B$3390,"&lt;&gt;Off-street")&gt;0,1,0)</f>
        <v>0</v>
      </c>
      <c r="M1119">
        <f>IF(COUNTIFS('United Data'!$A$3:$A$3390,M$1,'United Data'!$C$3:$C$3390,$A1119,'United Data'!$B$3:$B$3390,"&lt;&gt;Off-street")&gt;0,1,0)</f>
        <v>0</v>
      </c>
      <c r="N1119">
        <f>IF(COUNTIFS('United Data'!$A$3:$A$3390,N$1,'United Data'!$C$3:$C$3390,$A1119,'United Data'!$B$3:$B$3390,"&lt;&gt;Off-street")&gt;0,1,0)</f>
        <v>0</v>
      </c>
      <c r="O1119">
        <f>IF(COUNTIFS('United Data'!$A$3:$A$3390,O$1,'United Data'!$C$3:$C$3390,$A1119,'United Data'!$B$3:$B$3390,"&lt;&gt;Off-street")&gt;0,1,0)</f>
        <v>0</v>
      </c>
      <c r="P1119">
        <f>IF(COUNTIFS('United Data'!$A$3:$A$3390,P$1,'United Data'!$C$3:$C$3390,$A1119,'United Data'!$B$3:$B$3390,"&lt;&gt;Off-street")&gt;0,1,0)</f>
        <v>0</v>
      </c>
      <c r="Q1119">
        <f>IF(COUNTIFS('United Data'!$A$3:$A$3390,Q$1,'United Data'!$C$3:$C$3390,$A1119,'United Data'!$B$3:$B$3390,"&lt;&gt;Off-street")&gt;0,1,0)</f>
        <v>0</v>
      </c>
      <c r="R1119">
        <f>IF(COUNTIFS('United Data'!$A$3:$A$3390,R$1,'United Data'!$C$3:$C$3390,$A1119,'United Data'!$B$3:$B$3390,"&lt;&gt;Off-street")&gt;0,1,0)</f>
        <v>0</v>
      </c>
      <c r="S1119">
        <f t="shared" si="34"/>
        <v>2</v>
      </c>
      <c r="T1119">
        <f t="shared" si="35"/>
        <v>1</v>
      </c>
    </row>
    <row r="1120" spans="1:20" x14ac:dyDescent="0.2">
      <c r="A1120" t="s">
        <v>1338</v>
      </c>
      <c r="B1120">
        <f>IF(COUNTIFS('United Data'!$A$3:$A$3390,B$1,'United Data'!$C$3:$C$3390,$A1120,'United Data'!$B$3:$B$3390,"&lt;&gt;Off-street")&gt;0,1,0)</f>
        <v>0</v>
      </c>
      <c r="C1120">
        <f>IF(COUNTIFS('United Data'!$A$3:$A$3390,C$1,'United Data'!$C$3:$C$3390,$A1120,'United Data'!$B$3:$B$3390,"&lt;&gt;Off-street")&gt;0,1,0)</f>
        <v>0</v>
      </c>
      <c r="D1120">
        <f>IF(COUNTIFS('United Data'!$A$3:$A$3390,D$1,'United Data'!$C$3:$C$3390,$A1120,'United Data'!$B$3:$B$3390,"&lt;&gt;Off-street")&gt;0,1,0)</f>
        <v>0</v>
      </c>
      <c r="E1120">
        <f>IF(COUNTIFS('United Data'!$A$3:$A$3390,E$1,'United Data'!$C$3:$C$3390,$A1120,'United Data'!$B$3:$B$3390,"&lt;&gt;Off-street")&gt;0,1,0)</f>
        <v>0</v>
      </c>
      <c r="F1120">
        <f>IF(COUNTIFS('United Data'!$A$3:$A$3390,F$1,'United Data'!$C$3:$C$3390,$A1120,'United Data'!$B$3:$B$3390,"&lt;&gt;Off-street")&gt;0,1,0)</f>
        <v>0</v>
      </c>
      <c r="G1120">
        <f>IF(COUNTIFS('United Data'!$A$3:$A$3390,G$1,'United Data'!$C$3:$C$3390,$A1120,'United Data'!$B$3:$B$3390,"&lt;&gt;Off-street")&gt;0,1,0)</f>
        <v>0</v>
      </c>
      <c r="H1120">
        <f>IF(COUNTIFS('United Data'!$A$3:$A$3390,H$1,'United Data'!$C$3:$C$3390,$A1120,'United Data'!$B$3:$B$3390,"&lt;&gt;Off-street")&gt;0,1,0)</f>
        <v>0</v>
      </c>
      <c r="I1120">
        <f>IF(COUNTIFS('United Data'!$A$3:$A$3390,I$1,'United Data'!$C$3:$C$3390,$A1120,'United Data'!$B$3:$B$3390,"&lt;&gt;Off-street")&gt;0,1,0)</f>
        <v>0</v>
      </c>
      <c r="J1120">
        <f>IF(COUNTIFS('United Data'!$A$3:$A$3390,J$1,'United Data'!$C$3:$C$3390,$A1120,'United Data'!$B$3:$B$3390,"&lt;&gt;Off-street")&gt;0,1,0)</f>
        <v>1</v>
      </c>
      <c r="K1120">
        <f>IF(COUNTIFS('United Data'!$A$3:$A$3390,K$1,'United Data'!$C$3:$C$3390,$A1120,'United Data'!$B$3:$B$3390,"&lt;&gt;Off-street")&gt;0,1,0)</f>
        <v>0</v>
      </c>
      <c r="L1120">
        <f>IF(COUNTIFS('United Data'!$A$3:$A$3390,L$1,'United Data'!$C$3:$C$3390,$A1120,'United Data'!$B$3:$B$3390,"&lt;&gt;Off-street")&gt;0,1,0)</f>
        <v>0</v>
      </c>
      <c r="M1120">
        <f>IF(COUNTIFS('United Data'!$A$3:$A$3390,M$1,'United Data'!$C$3:$C$3390,$A1120,'United Data'!$B$3:$B$3390,"&lt;&gt;Off-street")&gt;0,1,0)</f>
        <v>1</v>
      </c>
      <c r="N1120">
        <f>IF(COUNTIFS('United Data'!$A$3:$A$3390,N$1,'United Data'!$C$3:$C$3390,$A1120,'United Data'!$B$3:$B$3390,"&lt;&gt;Off-street")&gt;0,1,0)</f>
        <v>0</v>
      </c>
      <c r="O1120">
        <f>IF(COUNTIFS('United Data'!$A$3:$A$3390,O$1,'United Data'!$C$3:$C$3390,$A1120,'United Data'!$B$3:$B$3390,"&lt;&gt;Off-street")&gt;0,1,0)</f>
        <v>0</v>
      </c>
      <c r="P1120">
        <f>IF(COUNTIFS('United Data'!$A$3:$A$3390,P$1,'United Data'!$C$3:$C$3390,$A1120,'United Data'!$B$3:$B$3390,"&lt;&gt;Off-street")&gt;0,1,0)</f>
        <v>0</v>
      </c>
      <c r="Q1120">
        <f>IF(COUNTIFS('United Data'!$A$3:$A$3390,Q$1,'United Data'!$C$3:$C$3390,$A1120,'United Data'!$B$3:$B$3390,"&lt;&gt;Off-street")&gt;0,1,0)</f>
        <v>0</v>
      </c>
      <c r="R1120">
        <f>IF(COUNTIFS('United Data'!$A$3:$A$3390,R$1,'United Data'!$C$3:$C$3390,$A1120,'United Data'!$B$3:$B$3390,"&lt;&gt;Off-street")&gt;0,1,0)</f>
        <v>0</v>
      </c>
      <c r="S1120">
        <f t="shared" si="34"/>
        <v>2</v>
      </c>
      <c r="T1120">
        <f t="shared" si="35"/>
        <v>2</v>
      </c>
    </row>
    <row r="1121" spans="1:20" x14ac:dyDescent="0.2">
      <c r="A1121" t="s">
        <v>1340</v>
      </c>
      <c r="B1121">
        <f>IF(COUNTIFS('United Data'!$A$3:$A$3390,B$1,'United Data'!$C$3:$C$3390,$A1121,'United Data'!$B$3:$B$3390,"&lt;&gt;Off-street")&gt;0,1,0)</f>
        <v>0</v>
      </c>
      <c r="C1121">
        <f>IF(COUNTIFS('United Data'!$A$3:$A$3390,C$1,'United Data'!$C$3:$C$3390,$A1121,'United Data'!$B$3:$B$3390,"&lt;&gt;Off-street")&gt;0,1,0)</f>
        <v>0</v>
      </c>
      <c r="D1121">
        <f>IF(COUNTIFS('United Data'!$A$3:$A$3390,D$1,'United Data'!$C$3:$C$3390,$A1121,'United Data'!$B$3:$B$3390,"&lt;&gt;Off-street")&gt;0,1,0)</f>
        <v>0</v>
      </c>
      <c r="E1121">
        <f>IF(COUNTIFS('United Data'!$A$3:$A$3390,E$1,'United Data'!$C$3:$C$3390,$A1121,'United Data'!$B$3:$B$3390,"&lt;&gt;Off-street")&gt;0,1,0)</f>
        <v>0</v>
      </c>
      <c r="F1121">
        <f>IF(COUNTIFS('United Data'!$A$3:$A$3390,F$1,'United Data'!$C$3:$C$3390,$A1121,'United Data'!$B$3:$B$3390,"&lt;&gt;Off-street")&gt;0,1,0)</f>
        <v>0</v>
      </c>
      <c r="G1121">
        <f>IF(COUNTIFS('United Data'!$A$3:$A$3390,G$1,'United Data'!$C$3:$C$3390,$A1121,'United Data'!$B$3:$B$3390,"&lt;&gt;Off-street")&gt;0,1,0)</f>
        <v>0</v>
      </c>
      <c r="H1121">
        <f>IF(COUNTIFS('United Data'!$A$3:$A$3390,H$1,'United Data'!$C$3:$C$3390,$A1121,'United Data'!$B$3:$B$3390,"&lt;&gt;Off-street")&gt;0,1,0)</f>
        <v>0</v>
      </c>
      <c r="I1121">
        <f>IF(COUNTIFS('United Data'!$A$3:$A$3390,I$1,'United Data'!$C$3:$C$3390,$A1121,'United Data'!$B$3:$B$3390,"&lt;&gt;Off-street")&gt;0,1,0)</f>
        <v>0</v>
      </c>
      <c r="J1121">
        <f>IF(COUNTIFS('United Data'!$A$3:$A$3390,J$1,'United Data'!$C$3:$C$3390,$A1121,'United Data'!$B$3:$B$3390,"&lt;&gt;Off-street")&gt;0,1,0)</f>
        <v>1</v>
      </c>
      <c r="K1121">
        <f>IF(COUNTIFS('United Data'!$A$3:$A$3390,K$1,'United Data'!$C$3:$C$3390,$A1121,'United Data'!$B$3:$B$3390,"&lt;&gt;Off-street")&gt;0,1,0)</f>
        <v>0</v>
      </c>
      <c r="L1121">
        <f>IF(COUNTIFS('United Data'!$A$3:$A$3390,L$1,'United Data'!$C$3:$C$3390,$A1121,'United Data'!$B$3:$B$3390,"&lt;&gt;Off-street")&gt;0,1,0)</f>
        <v>0</v>
      </c>
      <c r="M1121">
        <f>IF(COUNTIFS('United Data'!$A$3:$A$3390,M$1,'United Data'!$C$3:$C$3390,$A1121,'United Data'!$B$3:$B$3390,"&lt;&gt;Off-street")&gt;0,1,0)</f>
        <v>0</v>
      </c>
      <c r="N1121">
        <f>IF(COUNTIFS('United Data'!$A$3:$A$3390,N$1,'United Data'!$C$3:$C$3390,$A1121,'United Data'!$B$3:$B$3390,"&lt;&gt;Off-street")&gt;0,1,0)</f>
        <v>0</v>
      </c>
      <c r="O1121">
        <f>IF(COUNTIFS('United Data'!$A$3:$A$3390,O$1,'United Data'!$C$3:$C$3390,$A1121,'United Data'!$B$3:$B$3390,"&lt;&gt;Off-street")&gt;0,1,0)</f>
        <v>0</v>
      </c>
      <c r="P1121">
        <f>IF(COUNTIFS('United Data'!$A$3:$A$3390,P$1,'United Data'!$C$3:$C$3390,$A1121,'United Data'!$B$3:$B$3390,"&lt;&gt;Off-street")&gt;0,1,0)</f>
        <v>0</v>
      </c>
      <c r="Q1121">
        <f>IF(COUNTIFS('United Data'!$A$3:$A$3390,Q$1,'United Data'!$C$3:$C$3390,$A1121,'United Data'!$B$3:$B$3390,"&lt;&gt;Off-street")&gt;0,1,0)</f>
        <v>0</v>
      </c>
      <c r="R1121">
        <f>IF(COUNTIFS('United Data'!$A$3:$A$3390,R$1,'United Data'!$C$3:$C$3390,$A1121,'United Data'!$B$3:$B$3390,"&lt;&gt;Off-street")&gt;0,1,0)</f>
        <v>0</v>
      </c>
      <c r="S1121">
        <f t="shared" si="34"/>
        <v>1</v>
      </c>
      <c r="T1121">
        <f t="shared" si="35"/>
        <v>1</v>
      </c>
    </row>
    <row r="1122" spans="1:20" x14ac:dyDescent="0.2">
      <c r="A1122" t="s">
        <v>1341</v>
      </c>
      <c r="B1122">
        <f>IF(COUNTIFS('United Data'!$A$3:$A$3390,B$1,'United Data'!$C$3:$C$3390,$A1122,'United Data'!$B$3:$B$3390,"&lt;&gt;Off-street")&gt;0,1,0)</f>
        <v>0</v>
      </c>
      <c r="C1122">
        <f>IF(COUNTIFS('United Data'!$A$3:$A$3390,C$1,'United Data'!$C$3:$C$3390,$A1122,'United Data'!$B$3:$B$3390,"&lt;&gt;Off-street")&gt;0,1,0)</f>
        <v>0</v>
      </c>
      <c r="D1122">
        <f>IF(COUNTIFS('United Data'!$A$3:$A$3390,D$1,'United Data'!$C$3:$C$3390,$A1122,'United Data'!$B$3:$B$3390,"&lt;&gt;Off-street")&gt;0,1,0)</f>
        <v>0</v>
      </c>
      <c r="E1122">
        <f>IF(COUNTIFS('United Data'!$A$3:$A$3390,E$1,'United Data'!$C$3:$C$3390,$A1122,'United Data'!$B$3:$B$3390,"&lt;&gt;Off-street")&gt;0,1,0)</f>
        <v>0</v>
      </c>
      <c r="F1122">
        <f>IF(COUNTIFS('United Data'!$A$3:$A$3390,F$1,'United Data'!$C$3:$C$3390,$A1122,'United Data'!$B$3:$B$3390,"&lt;&gt;Off-street")&gt;0,1,0)</f>
        <v>0</v>
      </c>
      <c r="G1122">
        <f>IF(COUNTIFS('United Data'!$A$3:$A$3390,G$1,'United Data'!$C$3:$C$3390,$A1122,'United Data'!$B$3:$B$3390,"&lt;&gt;Off-street")&gt;0,1,0)</f>
        <v>0</v>
      </c>
      <c r="H1122">
        <f>IF(COUNTIFS('United Data'!$A$3:$A$3390,H$1,'United Data'!$C$3:$C$3390,$A1122,'United Data'!$B$3:$B$3390,"&lt;&gt;Off-street")&gt;0,1,0)</f>
        <v>0</v>
      </c>
      <c r="I1122">
        <f>IF(COUNTIFS('United Data'!$A$3:$A$3390,I$1,'United Data'!$C$3:$C$3390,$A1122,'United Data'!$B$3:$B$3390,"&lt;&gt;Off-street")&gt;0,1,0)</f>
        <v>0</v>
      </c>
      <c r="J1122">
        <f>IF(COUNTIFS('United Data'!$A$3:$A$3390,J$1,'United Data'!$C$3:$C$3390,$A1122,'United Data'!$B$3:$B$3390,"&lt;&gt;Off-street")&gt;0,1,0)</f>
        <v>1</v>
      </c>
      <c r="K1122">
        <f>IF(COUNTIFS('United Data'!$A$3:$A$3390,K$1,'United Data'!$C$3:$C$3390,$A1122,'United Data'!$B$3:$B$3390,"&lt;&gt;Off-street")&gt;0,1,0)</f>
        <v>0</v>
      </c>
      <c r="L1122">
        <f>IF(COUNTIFS('United Data'!$A$3:$A$3390,L$1,'United Data'!$C$3:$C$3390,$A1122,'United Data'!$B$3:$B$3390,"&lt;&gt;Off-street")&gt;0,1,0)</f>
        <v>0</v>
      </c>
      <c r="M1122">
        <f>IF(COUNTIFS('United Data'!$A$3:$A$3390,M$1,'United Data'!$C$3:$C$3390,$A1122,'United Data'!$B$3:$B$3390,"&lt;&gt;Off-street")&gt;0,1,0)</f>
        <v>0</v>
      </c>
      <c r="N1122">
        <f>IF(COUNTIFS('United Data'!$A$3:$A$3390,N$1,'United Data'!$C$3:$C$3390,$A1122,'United Data'!$B$3:$B$3390,"&lt;&gt;Off-street")&gt;0,1,0)</f>
        <v>0</v>
      </c>
      <c r="O1122">
        <f>IF(COUNTIFS('United Data'!$A$3:$A$3390,O$1,'United Data'!$C$3:$C$3390,$A1122,'United Data'!$B$3:$B$3390,"&lt;&gt;Off-street")&gt;0,1,0)</f>
        <v>0</v>
      </c>
      <c r="P1122">
        <f>IF(COUNTIFS('United Data'!$A$3:$A$3390,P$1,'United Data'!$C$3:$C$3390,$A1122,'United Data'!$B$3:$B$3390,"&lt;&gt;Off-street")&gt;0,1,0)</f>
        <v>0</v>
      </c>
      <c r="Q1122">
        <f>IF(COUNTIFS('United Data'!$A$3:$A$3390,Q$1,'United Data'!$C$3:$C$3390,$A1122,'United Data'!$B$3:$B$3390,"&lt;&gt;Off-street")&gt;0,1,0)</f>
        <v>0</v>
      </c>
      <c r="R1122">
        <f>IF(COUNTIFS('United Data'!$A$3:$A$3390,R$1,'United Data'!$C$3:$C$3390,$A1122,'United Data'!$B$3:$B$3390,"&lt;&gt;Off-street")&gt;0,1,0)</f>
        <v>0</v>
      </c>
      <c r="S1122">
        <f t="shared" si="34"/>
        <v>1</v>
      </c>
      <c r="T1122">
        <f t="shared" si="35"/>
        <v>1</v>
      </c>
    </row>
    <row r="1123" spans="1:20" x14ac:dyDescent="0.2">
      <c r="A1123" t="s">
        <v>1342</v>
      </c>
      <c r="B1123">
        <f>IF(COUNTIFS('United Data'!$A$3:$A$3390,B$1,'United Data'!$C$3:$C$3390,$A1123,'United Data'!$B$3:$B$3390,"&lt;&gt;Off-street")&gt;0,1,0)</f>
        <v>0</v>
      </c>
      <c r="C1123">
        <f>IF(COUNTIFS('United Data'!$A$3:$A$3390,C$1,'United Data'!$C$3:$C$3390,$A1123,'United Data'!$B$3:$B$3390,"&lt;&gt;Off-street")&gt;0,1,0)</f>
        <v>0</v>
      </c>
      <c r="D1123">
        <f>IF(COUNTIFS('United Data'!$A$3:$A$3390,D$1,'United Data'!$C$3:$C$3390,$A1123,'United Data'!$B$3:$B$3390,"&lt;&gt;Off-street")&gt;0,1,0)</f>
        <v>0</v>
      </c>
      <c r="E1123">
        <f>IF(COUNTIFS('United Data'!$A$3:$A$3390,E$1,'United Data'!$C$3:$C$3390,$A1123,'United Data'!$B$3:$B$3390,"&lt;&gt;Off-street")&gt;0,1,0)</f>
        <v>0</v>
      </c>
      <c r="F1123">
        <f>IF(COUNTIFS('United Data'!$A$3:$A$3390,F$1,'United Data'!$C$3:$C$3390,$A1123,'United Data'!$B$3:$B$3390,"&lt;&gt;Off-street")&gt;0,1,0)</f>
        <v>0</v>
      </c>
      <c r="G1123">
        <f>IF(COUNTIFS('United Data'!$A$3:$A$3390,G$1,'United Data'!$C$3:$C$3390,$A1123,'United Data'!$B$3:$B$3390,"&lt;&gt;Off-street")&gt;0,1,0)</f>
        <v>0</v>
      </c>
      <c r="H1123">
        <f>IF(COUNTIFS('United Data'!$A$3:$A$3390,H$1,'United Data'!$C$3:$C$3390,$A1123,'United Data'!$B$3:$B$3390,"&lt;&gt;Off-street")&gt;0,1,0)</f>
        <v>0</v>
      </c>
      <c r="I1123">
        <f>IF(COUNTIFS('United Data'!$A$3:$A$3390,I$1,'United Data'!$C$3:$C$3390,$A1123,'United Data'!$B$3:$B$3390,"&lt;&gt;Off-street")&gt;0,1,0)</f>
        <v>0</v>
      </c>
      <c r="J1123">
        <f>IF(COUNTIFS('United Data'!$A$3:$A$3390,J$1,'United Data'!$C$3:$C$3390,$A1123,'United Data'!$B$3:$B$3390,"&lt;&gt;Off-street")&gt;0,1,0)</f>
        <v>0</v>
      </c>
      <c r="K1123">
        <f>IF(COUNTIFS('United Data'!$A$3:$A$3390,K$1,'United Data'!$C$3:$C$3390,$A1123,'United Data'!$B$3:$B$3390,"&lt;&gt;Off-street")&gt;0,1,0)</f>
        <v>1</v>
      </c>
      <c r="L1123">
        <f>IF(COUNTIFS('United Data'!$A$3:$A$3390,L$1,'United Data'!$C$3:$C$3390,$A1123,'United Data'!$B$3:$B$3390,"&lt;&gt;Off-street")&gt;0,1,0)</f>
        <v>0</v>
      </c>
      <c r="M1123">
        <f>IF(COUNTIFS('United Data'!$A$3:$A$3390,M$1,'United Data'!$C$3:$C$3390,$A1123,'United Data'!$B$3:$B$3390,"&lt;&gt;Off-street")&gt;0,1,0)</f>
        <v>0</v>
      </c>
      <c r="N1123">
        <f>IF(COUNTIFS('United Data'!$A$3:$A$3390,N$1,'United Data'!$C$3:$C$3390,$A1123,'United Data'!$B$3:$B$3390,"&lt;&gt;Off-street")&gt;0,1,0)</f>
        <v>0</v>
      </c>
      <c r="O1123">
        <f>IF(COUNTIFS('United Data'!$A$3:$A$3390,O$1,'United Data'!$C$3:$C$3390,$A1123,'United Data'!$B$3:$B$3390,"&lt;&gt;Off-street")&gt;0,1,0)</f>
        <v>0</v>
      </c>
      <c r="P1123">
        <f>IF(COUNTIFS('United Data'!$A$3:$A$3390,P$1,'United Data'!$C$3:$C$3390,$A1123,'United Data'!$B$3:$B$3390,"&lt;&gt;Off-street")&gt;0,1,0)</f>
        <v>0</v>
      </c>
      <c r="Q1123">
        <f>IF(COUNTIFS('United Data'!$A$3:$A$3390,Q$1,'United Data'!$C$3:$C$3390,$A1123,'United Data'!$B$3:$B$3390,"&lt;&gt;Off-street")&gt;0,1,0)</f>
        <v>0</v>
      </c>
      <c r="R1123">
        <f>IF(COUNTIFS('United Data'!$A$3:$A$3390,R$1,'United Data'!$C$3:$C$3390,$A1123,'United Data'!$B$3:$B$3390,"&lt;&gt;Off-street")&gt;0,1,0)</f>
        <v>0</v>
      </c>
      <c r="S1123">
        <f t="shared" si="34"/>
        <v>1</v>
      </c>
      <c r="T1123">
        <f t="shared" si="35"/>
        <v>1</v>
      </c>
    </row>
    <row r="1124" spans="1:20" x14ac:dyDescent="0.2">
      <c r="A1124" t="s">
        <v>1343</v>
      </c>
      <c r="B1124">
        <f>IF(COUNTIFS('United Data'!$A$3:$A$3390,B$1,'United Data'!$C$3:$C$3390,$A1124,'United Data'!$B$3:$B$3390,"&lt;&gt;Off-street")&gt;0,1,0)</f>
        <v>0</v>
      </c>
      <c r="C1124">
        <f>IF(COUNTIFS('United Data'!$A$3:$A$3390,C$1,'United Data'!$C$3:$C$3390,$A1124,'United Data'!$B$3:$B$3390,"&lt;&gt;Off-street")&gt;0,1,0)</f>
        <v>0</v>
      </c>
      <c r="D1124">
        <f>IF(COUNTIFS('United Data'!$A$3:$A$3390,D$1,'United Data'!$C$3:$C$3390,$A1124,'United Data'!$B$3:$B$3390,"&lt;&gt;Off-street")&gt;0,1,0)</f>
        <v>0</v>
      </c>
      <c r="E1124">
        <f>IF(COUNTIFS('United Data'!$A$3:$A$3390,E$1,'United Data'!$C$3:$C$3390,$A1124,'United Data'!$B$3:$B$3390,"&lt;&gt;Off-street")&gt;0,1,0)</f>
        <v>0</v>
      </c>
      <c r="F1124">
        <f>IF(COUNTIFS('United Data'!$A$3:$A$3390,F$1,'United Data'!$C$3:$C$3390,$A1124,'United Data'!$B$3:$B$3390,"&lt;&gt;Off-street")&gt;0,1,0)</f>
        <v>0</v>
      </c>
      <c r="G1124">
        <f>IF(COUNTIFS('United Data'!$A$3:$A$3390,G$1,'United Data'!$C$3:$C$3390,$A1124,'United Data'!$B$3:$B$3390,"&lt;&gt;Off-street")&gt;0,1,0)</f>
        <v>0</v>
      </c>
      <c r="H1124">
        <f>IF(COUNTIFS('United Data'!$A$3:$A$3390,H$1,'United Data'!$C$3:$C$3390,$A1124,'United Data'!$B$3:$B$3390,"&lt;&gt;Off-street")&gt;0,1,0)</f>
        <v>0</v>
      </c>
      <c r="I1124">
        <f>IF(COUNTIFS('United Data'!$A$3:$A$3390,I$1,'United Data'!$C$3:$C$3390,$A1124,'United Data'!$B$3:$B$3390,"&lt;&gt;Off-street")&gt;0,1,0)</f>
        <v>0</v>
      </c>
      <c r="J1124">
        <f>IF(COUNTIFS('United Data'!$A$3:$A$3390,J$1,'United Data'!$C$3:$C$3390,$A1124,'United Data'!$B$3:$B$3390,"&lt;&gt;Off-street")&gt;0,1,0)</f>
        <v>0</v>
      </c>
      <c r="K1124">
        <f>IF(COUNTIFS('United Data'!$A$3:$A$3390,K$1,'United Data'!$C$3:$C$3390,$A1124,'United Data'!$B$3:$B$3390,"&lt;&gt;Off-street")&gt;0,1,0)</f>
        <v>1</v>
      </c>
      <c r="L1124">
        <f>IF(COUNTIFS('United Data'!$A$3:$A$3390,L$1,'United Data'!$C$3:$C$3390,$A1124,'United Data'!$B$3:$B$3390,"&lt;&gt;Off-street")&gt;0,1,0)</f>
        <v>0</v>
      </c>
      <c r="M1124">
        <f>IF(COUNTIFS('United Data'!$A$3:$A$3390,M$1,'United Data'!$C$3:$C$3390,$A1124,'United Data'!$B$3:$B$3390,"&lt;&gt;Off-street")&gt;0,1,0)</f>
        <v>0</v>
      </c>
      <c r="N1124">
        <f>IF(COUNTIFS('United Data'!$A$3:$A$3390,N$1,'United Data'!$C$3:$C$3390,$A1124,'United Data'!$B$3:$B$3390,"&lt;&gt;Off-street")&gt;0,1,0)</f>
        <v>0</v>
      </c>
      <c r="O1124">
        <f>IF(COUNTIFS('United Data'!$A$3:$A$3390,O$1,'United Data'!$C$3:$C$3390,$A1124,'United Data'!$B$3:$B$3390,"&lt;&gt;Off-street")&gt;0,1,0)</f>
        <v>0</v>
      </c>
      <c r="P1124">
        <f>IF(COUNTIFS('United Data'!$A$3:$A$3390,P$1,'United Data'!$C$3:$C$3390,$A1124,'United Data'!$B$3:$B$3390,"&lt;&gt;Off-street")&gt;0,1,0)</f>
        <v>0</v>
      </c>
      <c r="Q1124">
        <f>IF(COUNTIFS('United Data'!$A$3:$A$3390,Q$1,'United Data'!$C$3:$C$3390,$A1124,'United Data'!$B$3:$B$3390,"&lt;&gt;Off-street")&gt;0,1,0)</f>
        <v>0</v>
      </c>
      <c r="R1124">
        <f>IF(COUNTIFS('United Data'!$A$3:$A$3390,R$1,'United Data'!$C$3:$C$3390,$A1124,'United Data'!$B$3:$B$3390,"&lt;&gt;Off-street")&gt;0,1,0)</f>
        <v>0</v>
      </c>
      <c r="S1124">
        <f t="shared" si="34"/>
        <v>1</v>
      </c>
      <c r="T1124">
        <f t="shared" si="35"/>
        <v>1</v>
      </c>
    </row>
    <row r="1125" spans="1:20" x14ac:dyDescent="0.2">
      <c r="A1125" t="s">
        <v>1344</v>
      </c>
      <c r="B1125">
        <f>IF(COUNTIFS('United Data'!$A$3:$A$3390,B$1,'United Data'!$C$3:$C$3390,$A1125,'United Data'!$B$3:$B$3390,"&lt;&gt;Off-street")&gt;0,1,0)</f>
        <v>0</v>
      </c>
      <c r="C1125">
        <f>IF(COUNTIFS('United Data'!$A$3:$A$3390,C$1,'United Data'!$C$3:$C$3390,$A1125,'United Data'!$B$3:$B$3390,"&lt;&gt;Off-street")&gt;0,1,0)</f>
        <v>0</v>
      </c>
      <c r="D1125">
        <f>IF(COUNTIFS('United Data'!$A$3:$A$3390,D$1,'United Data'!$C$3:$C$3390,$A1125,'United Data'!$B$3:$B$3390,"&lt;&gt;Off-street")&gt;0,1,0)</f>
        <v>0</v>
      </c>
      <c r="E1125">
        <f>IF(COUNTIFS('United Data'!$A$3:$A$3390,E$1,'United Data'!$C$3:$C$3390,$A1125,'United Data'!$B$3:$B$3390,"&lt;&gt;Off-street")&gt;0,1,0)</f>
        <v>0</v>
      </c>
      <c r="F1125">
        <f>IF(COUNTIFS('United Data'!$A$3:$A$3390,F$1,'United Data'!$C$3:$C$3390,$A1125,'United Data'!$B$3:$B$3390,"&lt;&gt;Off-street")&gt;0,1,0)</f>
        <v>0</v>
      </c>
      <c r="G1125">
        <f>IF(COUNTIFS('United Data'!$A$3:$A$3390,G$1,'United Data'!$C$3:$C$3390,$A1125,'United Data'!$B$3:$B$3390,"&lt;&gt;Off-street")&gt;0,1,0)</f>
        <v>0</v>
      </c>
      <c r="H1125">
        <f>IF(COUNTIFS('United Data'!$A$3:$A$3390,H$1,'United Data'!$C$3:$C$3390,$A1125,'United Data'!$B$3:$B$3390,"&lt;&gt;Off-street")&gt;0,1,0)</f>
        <v>0</v>
      </c>
      <c r="I1125">
        <f>IF(COUNTIFS('United Data'!$A$3:$A$3390,I$1,'United Data'!$C$3:$C$3390,$A1125,'United Data'!$B$3:$B$3390,"&lt;&gt;Off-street")&gt;0,1,0)</f>
        <v>0</v>
      </c>
      <c r="J1125">
        <f>IF(COUNTIFS('United Data'!$A$3:$A$3390,J$1,'United Data'!$C$3:$C$3390,$A1125,'United Data'!$B$3:$B$3390,"&lt;&gt;Off-street")&gt;0,1,0)</f>
        <v>0</v>
      </c>
      <c r="K1125">
        <f>IF(COUNTIFS('United Data'!$A$3:$A$3390,K$1,'United Data'!$C$3:$C$3390,$A1125,'United Data'!$B$3:$B$3390,"&lt;&gt;Off-street")&gt;0,1,0)</f>
        <v>1</v>
      </c>
      <c r="L1125">
        <f>IF(COUNTIFS('United Data'!$A$3:$A$3390,L$1,'United Data'!$C$3:$C$3390,$A1125,'United Data'!$B$3:$B$3390,"&lt;&gt;Off-street")&gt;0,1,0)</f>
        <v>0</v>
      </c>
      <c r="M1125">
        <f>IF(COUNTIFS('United Data'!$A$3:$A$3390,M$1,'United Data'!$C$3:$C$3390,$A1125,'United Data'!$B$3:$B$3390,"&lt;&gt;Off-street")&gt;0,1,0)</f>
        <v>0</v>
      </c>
      <c r="N1125">
        <f>IF(COUNTIFS('United Data'!$A$3:$A$3390,N$1,'United Data'!$C$3:$C$3390,$A1125,'United Data'!$B$3:$B$3390,"&lt;&gt;Off-street")&gt;0,1,0)</f>
        <v>0</v>
      </c>
      <c r="O1125">
        <f>IF(COUNTIFS('United Data'!$A$3:$A$3390,O$1,'United Data'!$C$3:$C$3390,$A1125,'United Data'!$B$3:$B$3390,"&lt;&gt;Off-street")&gt;0,1,0)</f>
        <v>0</v>
      </c>
      <c r="P1125">
        <f>IF(COUNTIFS('United Data'!$A$3:$A$3390,P$1,'United Data'!$C$3:$C$3390,$A1125,'United Data'!$B$3:$B$3390,"&lt;&gt;Off-street")&gt;0,1,0)</f>
        <v>0</v>
      </c>
      <c r="Q1125">
        <f>IF(COUNTIFS('United Data'!$A$3:$A$3390,Q$1,'United Data'!$C$3:$C$3390,$A1125,'United Data'!$B$3:$B$3390,"&lt;&gt;Off-street")&gt;0,1,0)</f>
        <v>0</v>
      </c>
      <c r="R1125">
        <f>IF(COUNTIFS('United Data'!$A$3:$A$3390,R$1,'United Data'!$C$3:$C$3390,$A1125,'United Data'!$B$3:$B$3390,"&lt;&gt;Off-street")&gt;0,1,0)</f>
        <v>0</v>
      </c>
      <c r="S1125">
        <f t="shared" si="34"/>
        <v>1</v>
      </c>
      <c r="T1125">
        <f t="shared" si="35"/>
        <v>1</v>
      </c>
    </row>
    <row r="1126" spans="1:20" x14ac:dyDescent="0.2">
      <c r="A1126" t="s">
        <v>1345</v>
      </c>
      <c r="B1126">
        <f>IF(COUNTIFS('United Data'!$A$3:$A$3390,B$1,'United Data'!$C$3:$C$3390,$A1126,'United Data'!$B$3:$B$3390,"&lt;&gt;Off-street")&gt;0,1,0)</f>
        <v>0</v>
      </c>
      <c r="C1126">
        <f>IF(COUNTIFS('United Data'!$A$3:$A$3390,C$1,'United Data'!$C$3:$C$3390,$A1126,'United Data'!$B$3:$B$3390,"&lt;&gt;Off-street")&gt;0,1,0)</f>
        <v>0</v>
      </c>
      <c r="D1126">
        <f>IF(COUNTIFS('United Data'!$A$3:$A$3390,D$1,'United Data'!$C$3:$C$3390,$A1126,'United Data'!$B$3:$B$3390,"&lt;&gt;Off-street")&gt;0,1,0)</f>
        <v>0</v>
      </c>
      <c r="E1126">
        <f>IF(COUNTIFS('United Data'!$A$3:$A$3390,E$1,'United Data'!$C$3:$C$3390,$A1126,'United Data'!$B$3:$B$3390,"&lt;&gt;Off-street")&gt;0,1,0)</f>
        <v>0</v>
      </c>
      <c r="F1126">
        <f>IF(COUNTIFS('United Data'!$A$3:$A$3390,F$1,'United Data'!$C$3:$C$3390,$A1126,'United Data'!$B$3:$B$3390,"&lt;&gt;Off-street")&gt;0,1,0)</f>
        <v>0</v>
      </c>
      <c r="G1126">
        <f>IF(COUNTIFS('United Data'!$A$3:$A$3390,G$1,'United Data'!$C$3:$C$3390,$A1126,'United Data'!$B$3:$B$3390,"&lt;&gt;Off-street")&gt;0,1,0)</f>
        <v>0</v>
      </c>
      <c r="H1126">
        <f>IF(COUNTIFS('United Data'!$A$3:$A$3390,H$1,'United Data'!$C$3:$C$3390,$A1126,'United Data'!$B$3:$B$3390,"&lt;&gt;Off-street")&gt;0,1,0)</f>
        <v>0</v>
      </c>
      <c r="I1126">
        <f>IF(COUNTIFS('United Data'!$A$3:$A$3390,I$1,'United Data'!$C$3:$C$3390,$A1126,'United Data'!$B$3:$B$3390,"&lt;&gt;Off-street")&gt;0,1,0)</f>
        <v>0</v>
      </c>
      <c r="J1126">
        <f>IF(COUNTIFS('United Data'!$A$3:$A$3390,J$1,'United Data'!$C$3:$C$3390,$A1126,'United Data'!$B$3:$B$3390,"&lt;&gt;Off-street")&gt;0,1,0)</f>
        <v>0</v>
      </c>
      <c r="K1126">
        <f>IF(COUNTIFS('United Data'!$A$3:$A$3390,K$1,'United Data'!$C$3:$C$3390,$A1126,'United Data'!$B$3:$B$3390,"&lt;&gt;Off-street")&gt;0,1,0)</f>
        <v>1</v>
      </c>
      <c r="L1126">
        <f>IF(COUNTIFS('United Data'!$A$3:$A$3390,L$1,'United Data'!$C$3:$C$3390,$A1126,'United Data'!$B$3:$B$3390,"&lt;&gt;Off-street")&gt;0,1,0)</f>
        <v>0</v>
      </c>
      <c r="M1126">
        <f>IF(COUNTIFS('United Data'!$A$3:$A$3390,M$1,'United Data'!$C$3:$C$3390,$A1126,'United Data'!$B$3:$B$3390,"&lt;&gt;Off-street")&gt;0,1,0)</f>
        <v>0</v>
      </c>
      <c r="N1126">
        <f>IF(COUNTIFS('United Data'!$A$3:$A$3390,N$1,'United Data'!$C$3:$C$3390,$A1126,'United Data'!$B$3:$B$3390,"&lt;&gt;Off-street")&gt;0,1,0)</f>
        <v>0</v>
      </c>
      <c r="O1126">
        <f>IF(COUNTIFS('United Data'!$A$3:$A$3390,O$1,'United Data'!$C$3:$C$3390,$A1126,'United Data'!$B$3:$B$3390,"&lt;&gt;Off-street")&gt;0,1,0)</f>
        <v>0</v>
      </c>
      <c r="P1126">
        <f>IF(COUNTIFS('United Data'!$A$3:$A$3390,P$1,'United Data'!$C$3:$C$3390,$A1126,'United Data'!$B$3:$B$3390,"&lt;&gt;Off-street")&gt;0,1,0)</f>
        <v>0</v>
      </c>
      <c r="Q1126">
        <f>IF(COUNTIFS('United Data'!$A$3:$A$3390,Q$1,'United Data'!$C$3:$C$3390,$A1126,'United Data'!$B$3:$B$3390,"&lt;&gt;Off-street")&gt;0,1,0)</f>
        <v>0</v>
      </c>
      <c r="R1126">
        <f>IF(COUNTIFS('United Data'!$A$3:$A$3390,R$1,'United Data'!$C$3:$C$3390,$A1126,'United Data'!$B$3:$B$3390,"&lt;&gt;Off-street")&gt;0,1,0)</f>
        <v>0</v>
      </c>
      <c r="S1126">
        <f t="shared" si="34"/>
        <v>1</v>
      </c>
      <c r="T1126">
        <f t="shared" si="35"/>
        <v>1</v>
      </c>
    </row>
    <row r="1127" spans="1:20" x14ac:dyDescent="0.2">
      <c r="A1127" t="s">
        <v>1346</v>
      </c>
      <c r="B1127">
        <f>IF(COUNTIFS('United Data'!$A$3:$A$3390,B$1,'United Data'!$C$3:$C$3390,$A1127,'United Data'!$B$3:$B$3390,"&lt;&gt;Off-street")&gt;0,1,0)</f>
        <v>0</v>
      </c>
      <c r="C1127">
        <f>IF(COUNTIFS('United Data'!$A$3:$A$3390,C$1,'United Data'!$C$3:$C$3390,$A1127,'United Data'!$B$3:$B$3390,"&lt;&gt;Off-street")&gt;0,1,0)</f>
        <v>0</v>
      </c>
      <c r="D1127">
        <f>IF(COUNTIFS('United Data'!$A$3:$A$3390,D$1,'United Data'!$C$3:$C$3390,$A1127,'United Data'!$B$3:$B$3390,"&lt;&gt;Off-street")&gt;0,1,0)</f>
        <v>0</v>
      </c>
      <c r="E1127">
        <f>IF(COUNTIFS('United Data'!$A$3:$A$3390,E$1,'United Data'!$C$3:$C$3390,$A1127,'United Data'!$B$3:$B$3390,"&lt;&gt;Off-street")&gt;0,1,0)</f>
        <v>0</v>
      </c>
      <c r="F1127">
        <f>IF(COUNTIFS('United Data'!$A$3:$A$3390,F$1,'United Data'!$C$3:$C$3390,$A1127,'United Data'!$B$3:$B$3390,"&lt;&gt;Off-street")&gt;0,1,0)</f>
        <v>0</v>
      </c>
      <c r="G1127">
        <f>IF(COUNTIFS('United Data'!$A$3:$A$3390,G$1,'United Data'!$C$3:$C$3390,$A1127,'United Data'!$B$3:$B$3390,"&lt;&gt;Off-street")&gt;0,1,0)</f>
        <v>0</v>
      </c>
      <c r="H1127">
        <f>IF(COUNTIFS('United Data'!$A$3:$A$3390,H$1,'United Data'!$C$3:$C$3390,$A1127,'United Data'!$B$3:$B$3390,"&lt;&gt;Off-street")&gt;0,1,0)</f>
        <v>0</v>
      </c>
      <c r="I1127">
        <f>IF(COUNTIFS('United Data'!$A$3:$A$3390,I$1,'United Data'!$C$3:$C$3390,$A1127,'United Data'!$B$3:$B$3390,"&lt;&gt;Off-street")&gt;0,1,0)</f>
        <v>0</v>
      </c>
      <c r="J1127">
        <f>IF(COUNTIFS('United Data'!$A$3:$A$3390,J$1,'United Data'!$C$3:$C$3390,$A1127,'United Data'!$B$3:$B$3390,"&lt;&gt;Off-street")&gt;0,1,0)</f>
        <v>0</v>
      </c>
      <c r="K1127">
        <f>IF(COUNTIFS('United Data'!$A$3:$A$3390,K$1,'United Data'!$C$3:$C$3390,$A1127,'United Data'!$B$3:$B$3390,"&lt;&gt;Off-street")&gt;0,1,0)</f>
        <v>1</v>
      </c>
      <c r="L1127">
        <f>IF(COUNTIFS('United Data'!$A$3:$A$3390,L$1,'United Data'!$C$3:$C$3390,$A1127,'United Data'!$B$3:$B$3390,"&lt;&gt;Off-street")&gt;0,1,0)</f>
        <v>0</v>
      </c>
      <c r="M1127">
        <f>IF(COUNTIFS('United Data'!$A$3:$A$3390,M$1,'United Data'!$C$3:$C$3390,$A1127,'United Data'!$B$3:$B$3390,"&lt;&gt;Off-street")&gt;0,1,0)</f>
        <v>0</v>
      </c>
      <c r="N1127">
        <f>IF(COUNTIFS('United Data'!$A$3:$A$3390,N$1,'United Data'!$C$3:$C$3390,$A1127,'United Data'!$B$3:$B$3390,"&lt;&gt;Off-street")&gt;0,1,0)</f>
        <v>0</v>
      </c>
      <c r="O1127">
        <f>IF(COUNTIFS('United Data'!$A$3:$A$3390,O$1,'United Data'!$C$3:$C$3390,$A1127,'United Data'!$B$3:$B$3390,"&lt;&gt;Off-street")&gt;0,1,0)</f>
        <v>0</v>
      </c>
      <c r="P1127">
        <f>IF(COUNTIFS('United Data'!$A$3:$A$3390,P$1,'United Data'!$C$3:$C$3390,$A1127,'United Data'!$B$3:$B$3390,"&lt;&gt;Off-street")&gt;0,1,0)</f>
        <v>0</v>
      </c>
      <c r="Q1127">
        <f>IF(COUNTIFS('United Data'!$A$3:$A$3390,Q$1,'United Data'!$C$3:$C$3390,$A1127,'United Data'!$B$3:$B$3390,"&lt;&gt;Off-street")&gt;0,1,0)</f>
        <v>0</v>
      </c>
      <c r="R1127">
        <f>IF(COUNTIFS('United Data'!$A$3:$A$3390,R$1,'United Data'!$C$3:$C$3390,$A1127,'United Data'!$B$3:$B$3390,"&lt;&gt;Off-street")&gt;0,1,0)</f>
        <v>0</v>
      </c>
      <c r="S1127">
        <f t="shared" si="34"/>
        <v>1</v>
      </c>
      <c r="T1127">
        <f t="shared" si="35"/>
        <v>1</v>
      </c>
    </row>
    <row r="1128" spans="1:20" x14ac:dyDescent="0.2">
      <c r="A1128" t="s">
        <v>1347</v>
      </c>
      <c r="B1128">
        <f>IF(COUNTIFS('United Data'!$A$3:$A$3390,B$1,'United Data'!$C$3:$C$3390,$A1128,'United Data'!$B$3:$B$3390,"&lt;&gt;Off-street")&gt;0,1,0)</f>
        <v>0</v>
      </c>
      <c r="C1128">
        <f>IF(COUNTIFS('United Data'!$A$3:$A$3390,C$1,'United Data'!$C$3:$C$3390,$A1128,'United Data'!$B$3:$B$3390,"&lt;&gt;Off-street")&gt;0,1,0)</f>
        <v>0</v>
      </c>
      <c r="D1128">
        <f>IF(COUNTIFS('United Data'!$A$3:$A$3390,D$1,'United Data'!$C$3:$C$3390,$A1128,'United Data'!$B$3:$B$3390,"&lt;&gt;Off-street")&gt;0,1,0)</f>
        <v>0</v>
      </c>
      <c r="E1128">
        <f>IF(COUNTIFS('United Data'!$A$3:$A$3390,E$1,'United Data'!$C$3:$C$3390,$A1128,'United Data'!$B$3:$B$3390,"&lt;&gt;Off-street")&gt;0,1,0)</f>
        <v>0</v>
      </c>
      <c r="F1128">
        <f>IF(COUNTIFS('United Data'!$A$3:$A$3390,F$1,'United Data'!$C$3:$C$3390,$A1128,'United Data'!$B$3:$B$3390,"&lt;&gt;Off-street")&gt;0,1,0)</f>
        <v>0</v>
      </c>
      <c r="G1128">
        <f>IF(COUNTIFS('United Data'!$A$3:$A$3390,G$1,'United Data'!$C$3:$C$3390,$A1128,'United Data'!$B$3:$B$3390,"&lt;&gt;Off-street")&gt;0,1,0)</f>
        <v>0</v>
      </c>
      <c r="H1128">
        <f>IF(COUNTIFS('United Data'!$A$3:$A$3390,H$1,'United Data'!$C$3:$C$3390,$A1128,'United Data'!$B$3:$B$3390,"&lt;&gt;Off-street")&gt;0,1,0)</f>
        <v>0</v>
      </c>
      <c r="I1128">
        <f>IF(COUNTIFS('United Data'!$A$3:$A$3390,I$1,'United Data'!$C$3:$C$3390,$A1128,'United Data'!$B$3:$B$3390,"&lt;&gt;Off-street")&gt;0,1,0)</f>
        <v>0</v>
      </c>
      <c r="J1128">
        <f>IF(COUNTIFS('United Data'!$A$3:$A$3390,J$1,'United Data'!$C$3:$C$3390,$A1128,'United Data'!$B$3:$B$3390,"&lt;&gt;Off-street")&gt;0,1,0)</f>
        <v>0</v>
      </c>
      <c r="K1128">
        <f>IF(COUNTIFS('United Data'!$A$3:$A$3390,K$1,'United Data'!$C$3:$C$3390,$A1128,'United Data'!$B$3:$B$3390,"&lt;&gt;Off-street")&gt;0,1,0)</f>
        <v>1</v>
      </c>
      <c r="L1128">
        <f>IF(COUNTIFS('United Data'!$A$3:$A$3390,L$1,'United Data'!$C$3:$C$3390,$A1128,'United Data'!$B$3:$B$3390,"&lt;&gt;Off-street")&gt;0,1,0)</f>
        <v>0</v>
      </c>
      <c r="M1128">
        <f>IF(COUNTIFS('United Data'!$A$3:$A$3390,M$1,'United Data'!$C$3:$C$3390,$A1128,'United Data'!$B$3:$B$3390,"&lt;&gt;Off-street")&gt;0,1,0)</f>
        <v>0</v>
      </c>
      <c r="N1128">
        <f>IF(COUNTIFS('United Data'!$A$3:$A$3390,N$1,'United Data'!$C$3:$C$3390,$A1128,'United Data'!$B$3:$B$3390,"&lt;&gt;Off-street")&gt;0,1,0)</f>
        <v>0</v>
      </c>
      <c r="O1128">
        <f>IF(COUNTIFS('United Data'!$A$3:$A$3390,O$1,'United Data'!$C$3:$C$3390,$A1128,'United Data'!$B$3:$B$3390,"&lt;&gt;Off-street")&gt;0,1,0)</f>
        <v>0</v>
      </c>
      <c r="P1128">
        <f>IF(COUNTIFS('United Data'!$A$3:$A$3390,P$1,'United Data'!$C$3:$C$3390,$A1128,'United Data'!$B$3:$B$3390,"&lt;&gt;Off-street")&gt;0,1,0)</f>
        <v>0</v>
      </c>
      <c r="Q1128">
        <f>IF(COUNTIFS('United Data'!$A$3:$A$3390,Q$1,'United Data'!$C$3:$C$3390,$A1128,'United Data'!$B$3:$B$3390,"&lt;&gt;Off-street")&gt;0,1,0)</f>
        <v>0</v>
      </c>
      <c r="R1128">
        <f>IF(COUNTIFS('United Data'!$A$3:$A$3390,R$1,'United Data'!$C$3:$C$3390,$A1128,'United Data'!$B$3:$B$3390,"&lt;&gt;Off-street")&gt;0,1,0)</f>
        <v>0</v>
      </c>
      <c r="S1128">
        <f t="shared" si="34"/>
        <v>1</v>
      </c>
      <c r="T1128">
        <f t="shared" si="35"/>
        <v>1</v>
      </c>
    </row>
    <row r="1129" spans="1:20" x14ac:dyDescent="0.2">
      <c r="A1129" t="s">
        <v>1348</v>
      </c>
      <c r="B1129">
        <f>IF(COUNTIFS('United Data'!$A$3:$A$3390,B$1,'United Data'!$C$3:$C$3390,$A1129,'United Data'!$B$3:$B$3390,"&lt;&gt;Off-street")&gt;0,1,0)</f>
        <v>0</v>
      </c>
      <c r="C1129">
        <f>IF(COUNTIFS('United Data'!$A$3:$A$3390,C$1,'United Data'!$C$3:$C$3390,$A1129,'United Data'!$B$3:$B$3390,"&lt;&gt;Off-street")&gt;0,1,0)</f>
        <v>0</v>
      </c>
      <c r="D1129">
        <f>IF(COUNTIFS('United Data'!$A$3:$A$3390,D$1,'United Data'!$C$3:$C$3390,$A1129,'United Data'!$B$3:$B$3390,"&lt;&gt;Off-street")&gt;0,1,0)</f>
        <v>0</v>
      </c>
      <c r="E1129">
        <f>IF(COUNTIFS('United Data'!$A$3:$A$3390,E$1,'United Data'!$C$3:$C$3390,$A1129,'United Data'!$B$3:$B$3390,"&lt;&gt;Off-street")&gt;0,1,0)</f>
        <v>0</v>
      </c>
      <c r="F1129">
        <f>IF(COUNTIFS('United Data'!$A$3:$A$3390,F$1,'United Data'!$C$3:$C$3390,$A1129,'United Data'!$B$3:$B$3390,"&lt;&gt;Off-street")&gt;0,1,0)</f>
        <v>0</v>
      </c>
      <c r="G1129">
        <f>IF(COUNTIFS('United Data'!$A$3:$A$3390,G$1,'United Data'!$C$3:$C$3390,$A1129,'United Data'!$B$3:$B$3390,"&lt;&gt;Off-street")&gt;0,1,0)</f>
        <v>0</v>
      </c>
      <c r="H1129">
        <f>IF(COUNTIFS('United Data'!$A$3:$A$3390,H$1,'United Data'!$C$3:$C$3390,$A1129,'United Data'!$B$3:$B$3390,"&lt;&gt;Off-street")&gt;0,1,0)</f>
        <v>0</v>
      </c>
      <c r="I1129">
        <f>IF(COUNTIFS('United Data'!$A$3:$A$3390,I$1,'United Data'!$C$3:$C$3390,$A1129,'United Data'!$B$3:$B$3390,"&lt;&gt;Off-street")&gt;0,1,0)</f>
        <v>0</v>
      </c>
      <c r="J1129">
        <f>IF(COUNTIFS('United Data'!$A$3:$A$3390,J$1,'United Data'!$C$3:$C$3390,$A1129,'United Data'!$B$3:$B$3390,"&lt;&gt;Off-street")&gt;0,1,0)</f>
        <v>0</v>
      </c>
      <c r="K1129">
        <f>IF(COUNTIFS('United Data'!$A$3:$A$3390,K$1,'United Data'!$C$3:$C$3390,$A1129,'United Data'!$B$3:$B$3390,"&lt;&gt;Off-street")&gt;0,1,0)</f>
        <v>1</v>
      </c>
      <c r="L1129">
        <f>IF(COUNTIFS('United Data'!$A$3:$A$3390,L$1,'United Data'!$C$3:$C$3390,$A1129,'United Data'!$B$3:$B$3390,"&lt;&gt;Off-street")&gt;0,1,0)</f>
        <v>0</v>
      </c>
      <c r="M1129">
        <f>IF(COUNTIFS('United Data'!$A$3:$A$3390,M$1,'United Data'!$C$3:$C$3390,$A1129,'United Data'!$B$3:$B$3390,"&lt;&gt;Off-street")&gt;0,1,0)</f>
        <v>0</v>
      </c>
      <c r="N1129">
        <f>IF(COUNTIFS('United Data'!$A$3:$A$3390,N$1,'United Data'!$C$3:$C$3390,$A1129,'United Data'!$B$3:$B$3390,"&lt;&gt;Off-street")&gt;0,1,0)</f>
        <v>0</v>
      </c>
      <c r="O1129">
        <f>IF(COUNTIFS('United Data'!$A$3:$A$3390,O$1,'United Data'!$C$3:$C$3390,$A1129,'United Data'!$B$3:$B$3390,"&lt;&gt;Off-street")&gt;0,1,0)</f>
        <v>0</v>
      </c>
      <c r="P1129">
        <f>IF(COUNTIFS('United Data'!$A$3:$A$3390,P$1,'United Data'!$C$3:$C$3390,$A1129,'United Data'!$B$3:$B$3390,"&lt;&gt;Off-street")&gt;0,1,0)</f>
        <v>0</v>
      </c>
      <c r="Q1129">
        <f>IF(COUNTIFS('United Data'!$A$3:$A$3390,Q$1,'United Data'!$C$3:$C$3390,$A1129,'United Data'!$B$3:$B$3390,"&lt;&gt;Off-street")&gt;0,1,0)</f>
        <v>0</v>
      </c>
      <c r="R1129">
        <f>IF(COUNTIFS('United Data'!$A$3:$A$3390,R$1,'United Data'!$C$3:$C$3390,$A1129,'United Data'!$B$3:$B$3390,"&lt;&gt;Off-street")&gt;0,1,0)</f>
        <v>0</v>
      </c>
      <c r="S1129">
        <f t="shared" si="34"/>
        <v>1</v>
      </c>
      <c r="T1129">
        <f t="shared" si="35"/>
        <v>1</v>
      </c>
    </row>
    <row r="1130" spans="1:20" x14ac:dyDescent="0.2">
      <c r="A1130" t="s">
        <v>1349</v>
      </c>
      <c r="B1130">
        <f>IF(COUNTIFS('United Data'!$A$3:$A$3390,B$1,'United Data'!$C$3:$C$3390,$A1130,'United Data'!$B$3:$B$3390,"&lt;&gt;Off-street")&gt;0,1,0)</f>
        <v>0</v>
      </c>
      <c r="C1130">
        <f>IF(COUNTIFS('United Data'!$A$3:$A$3390,C$1,'United Data'!$C$3:$C$3390,$A1130,'United Data'!$B$3:$B$3390,"&lt;&gt;Off-street")&gt;0,1,0)</f>
        <v>0</v>
      </c>
      <c r="D1130">
        <f>IF(COUNTIFS('United Data'!$A$3:$A$3390,D$1,'United Data'!$C$3:$C$3390,$A1130,'United Data'!$B$3:$B$3390,"&lt;&gt;Off-street")&gt;0,1,0)</f>
        <v>0</v>
      </c>
      <c r="E1130">
        <f>IF(COUNTIFS('United Data'!$A$3:$A$3390,E$1,'United Data'!$C$3:$C$3390,$A1130,'United Data'!$B$3:$B$3390,"&lt;&gt;Off-street")&gt;0,1,0)</f>
        <v>0</v>
      </c>
      <c r="F1130">
        <f>IF(COUNTIFS('United Data'!$A$3:$A$3390,F$1,'United Data'!$C$3:$C$3390,$A1130,'United Data'!$B$3:$B$3390,"&lt;&gt;Off-street")&gt;0,1,0)</f>
        <v>0</v>
      </c>
      <c r="G1130">
        <f>IF(COUNTIFS('United Data'!$A$3:$A$3390,G$1,'United Data'!$C$3:$C$3390,$A1130,'United Data'!$B$3:$B$3390,"&lt;&gt;Off-street")&gt;0,1,0)</f>
        <v>0</v>
      </c>
      <c r="H1130">
        <f>IF(COUNTIFS('United Data'!$A$3:$A$3390,H$1,'United Data'!$C$3:$C$3390,$A1130,'United Data'!$B$3:$B$3390,"&lt;&gt;Off-street")&gt;0,1,0)</f>
        <v>0</v>
      </c>
      <c r="I1130">
        <f>IF(COUNTIFS('United Data'!$A$3:$A$3390,I$1,'United Data'!$C$3:$C$3390,$A1130,'United Data'!$B$3:$B$3390,"&lt;&gt;Off-street")&gt;0,1,0)</f>
        <v>0</v>
      </c>
      <c r="J1130">
        <f>IF(COUNTIFS('United Data'!$A$3:$A$3390,J$1,'United Data'!$C$3:$C$3390,$A1130,'United Data'!$B$3:$B$3390,"&lt;&gt;Off-street")&gt;0,1,0)</f>
        <v>0</v>
      </c>
      <c r="K1130">
        <f>IF(COUNTIFS('United Data'!$A$3:$A$3390,K$1,'United Data'!$C$3:$C$3390,$A1130,'United Data'!$B$3:$B$3390,"&lt;&gt;Off-street")&gt;0,1,0)</f>
        <v>1</v>
      </c>
      <c r="L1130">
        <f>IF(COUNTIFS('United Data'!$A$3:$A$3390,L$1,'United Data'!$C$3:$C$3390,$A1130,'United Data'!$B$3:$B$3390,"&lt;&gt;Off-street")&gt;0,1,0)</f>
        <v>0</v>
      </c>
      <c r="M1130">
        <f>IF(COUNTIFS('United Data'!$A$3:$A$3390,M$1,'United Data'!$C$3:$C$3390,$A1130,'United Data'!$B$3:$B$3390,"&lt;&gt;Off-street")&gt;0,1,0)</f>
        <v>0</v>
      </c>
      <c r="N1130">
        <f>IF(COUNTIFS('United Data'!$A$3:$A$3390,N$1,'United Data'!$C$3:$C$3390,$A1130,'United Data'!$B$3:$B$3390,"&lt;&gt;Off-street")&gt;0,1,0)</f>
        <v>0</v>
      </c>
      <c r="O1130">
        <f>IF(COUNTIFS('United Data'!$A$3:$A$3390,O$1,'United Data'!$C$3:$C$3390,$A1130,'United Data'!$B$3:$B$3390,"&lt;&gt;Off-street")&gt;0,1,0)</f>
        <v>0</v>
      </c>
      <c r="P1130">
        <f>IF(COUNTIFS('United Data'!$A$3:$A$3390,P$1,'United Data'!$C$3:$C$3390,$A1130,'United Data'!$B$3:$B$3390,"&lt;&gt;Off-street")&gt;0,1,0)</f>
        <v>0</v>
      </c>
      <c r="Q1130">
        <f>IF(COUNTIFS('United Data'!$A$3:$A$3390,Q$1,'United Data'!$C$3:$C$3390,$A1130,'United Data'!$B$3:$B$3390,"&lt;&gt;Off-street")&gt;0,1,0)</f>
        <v>0</v>
      </c>
      <c r="R1130">
        <f>IF(COUNTIFS('United Data'!$A$3:$A$3390,R$1,'United Data'!$C$3:$C$3390,$A1130,'United Data'!$B$3:$B$3390,"&lt;&gt;Off-street")&gt;0,1,0)</f>
        <v>0</v>
      </c>
      <c r="S1130">
        <f t="shared" si="34"/>
        <v>1</v>
      </c>
      <c r="T1130">
        <f t="shared" si="35"/>
        <v>1</v>
      </c>
    </row>
    <row r="1131" spans="1:20" x14ac:dyDescent="0.2">
      <c r="A1131" t="s">
        <v>1350</v>
      </c>
      <c r="B1131">
        <f>IF(COUNTIFS('United Data'!$A$3:$A$3390,B$1,'United Data'!$C$3:$C$3390,$A1131,'United Data'!$B$3:$B$3390,"&lt;&gt;Off-street")&gt;0,1,0)</f>
        <v>0</v>
      </c>
      <c r="C1131">
        <f>IF(COUNTIFS('United Data'!$A$3:$A$3390,C$1,'United Data'!$C$3:$C$3390,$A1131,'United Data'!$B$3:$B$3390,"&lt;&gt;Off-street")&gt;0,1,0)</f>
        <v>0</v>
      </c>
      <c r="D1131">
        <f>IF(COUNTIFS('United Data'!$A$3:$A$3390,D$1,'United Data'!$C$3:$C$3390,$A1131,'United Data'!$B$3:$B$3390,"&lt;&gt;Off-street")&gt;0,1,0)</f>
        <v>0</v>
      </c>
      <c r="E1131">
        <f>IF(COUNTIFS('United Data'!$A$3:$A$3390,E$1,'United Data'!$C$3:$C$3390,$A1131,'United Data'!$B$3:$B$3390,"&lt;&gt;Off-street")&gt;0,1,0)</f>
        <v>0</v>
      </c>
      <c r="F1131">
        <f>IF(COUNTIFS('United Data'!$A$3:$A$3390,F$1,'United Data'!$C$3:$C$3390,$A1131,'United Data'!$B$3:$B$3390,"&lt;&gt;Off-street")&gt;0,1,0)</f>
        <v>0</v>
      </c>
      <c r="G1131">
        <f>IF(COUNTIFS('United Data'!$A$3:$A$3390,G$1,'United Data'!$C$3:$C$3390,$A1131,'United Data'!$B$3:$B$3390,"&lt;&gt;Off-street")&gt;0,1,0)</f>
        <v>0</v>
      </c>
      <c r="H1131">
        <f>IF(COUNTIFS('United Data'!$A$3:$A$3390,H$1,'United Data'!$C$3:$C$3390,$A1131,'United Data'!$B$3:$B$3390,"&lt;&gt;Off-street")&gt;0,1,0)</f>
        <v>0</v>
      </c>
      <c r="I1131">
        <f>IF(COUNTIFS('United Data'!$A$3:$A$3390,I$1,'United Data'!$C$3:$C$3390,$A1131,'United Data'!$B$3:$B$3390,"&lt;&gt;Off-street")&gt;0,1,0)</f>
        <v>0</v>
      </c>
      <c r="J1131">
        <f>IF(COUNTIFS('United Data'!$A$3:$A$3390,J$1,'United Data'!$C$3:$C$3390,$A1131,'United Data'!$B$3:$B$3390,"&lt;&gt;Off-street")&gt;0,1,0)</f>
        <v>0</v>
      </c>
      <c r="K1131">
        <f>IF(COUNTIFS('United Data'!$A$3:$A$3390,K$1,'United Data'!$C$3:$C$3390,$A1131,'United Data'!$B$3:$B$3390,"&lt;&gt;Off-street")&gt;0,1,0)</f>
        <v>1</v>
      </c>
      <c r="L1131">
        <f>IF(COUNTIFS('United Data'!$A$3:$A$3390,L$1,'United Data'!$C$3:$C$3390,$A1131,'United Data'!$B$3:$B$3390,"&lt;&gt;Off-street")&gt;0,1,0)</f>
        <v>0</v>
      </c>
      <c r="M1131">
        <f>IF(COUNTIFS('United Data'!$A$3:$A$3390,M$1,'United Data'!$C$3:$C$3390,$A1131,'United Data'!$B$3:$B$3390,"&lt;&gt;Off-street")&gt;0,1,0)</f>
        <v>0</v>
      </c>
      <c r="N1131">
        <f>IF(COUNTIFS('United Data'!$A$3:$A$3390,N$1,'United Data'!$C$3:$C$3390,$A1131,'United Data'!$B$3:$B$3390,"&lt;&gt;Off-street")&gt;0,1,0)</f>
        <v>0</v>
      </c>
      <c r="O1131">
        <f>IF(COUNTIFS('United Data'!$A$3:$A$3390,O$1,'United Data'!$C$3:$C$3390,$A1131,'United Data'!$B$3:$B$3390,"&lt;&gt;Off-street")&gt;0,1,0)</f>
        <v>0</v>
      </c>
      <c r="P1131">
        <f>IF(COUNTIFS('United Data'!$A$3:$A$3390,P$1,'United Data'!$C$3:$C$3390,$A1131,'United Data'!$B$3:$B$3390,"&lt;&gt;Off-street")&gt;0,1,0)</f>
        <v>0</v>
      </c>
      <c r="Q1131">
        <f>IF(COUNTIFS('United Data'!$A$3:$A$3390,Q$1,'United Data'!$C$3:$C$3390,$A1131,'United Data'!$B$3:$B$3390,"&lt;&gt;Off-street")&gt;0,1,0)</f>
        <v>0</v>
      </c>
      <c r="R1131">
        <f>IF(COUNTIFS('United Data'!$A$3:$A$3390,R$1,'United Data'!$C$3:$C$3390,$A1131,'United Data'!$B$3:$B$3390,"&lt;&gt;Off-street")&gt;0,1,0)</f>
        <v>0</v>
      </c>
      <c r="S1131">
        <f t="shared" si="34"/>
        <v>1</v>
      </c>
      <c r="T1131">
        <f t="shared" si="35"/>
        <v>1</v>
      </c>
    </row>
    <row r="1132" spans="1:20" x14ac:dyDescent="0.2">
      <c r="A1132" t="s">
        <v>1351</v>
      </c>
      <c r="B1132">
        <f>IF(COUNTIFS('United Data'!$A$3:$A$3390,B$1,'United Data'!$C$3:$C$3390,$A1132,'United Data'!$B$3:$B$3390,"&lt;&gt;Off-street")&gt;0,1,0)</f>
        <v>0</v>
      </c>
      <c r="C1132">
        <f>IF(COUNTIFS('United Data'!$A$3:$A$3390,C$1,'United Data'!$C$3:$C$3390,$A1132,'United Data'!$B$3:$B$3390,"&lt;&gt;Off-street")&gt;0,1,0)</f>
        <v>0</v>
      </c>
      <c r="D1132">
        <f>IF(COUNTIFS('United Data'!$A$3:$A$3390,D$1,'United Data'!$C$3:$C$3390,$A1132,'United Data'!$B$3:$B$3390,"&lt;&gt;Off-street")&gt;0,1,0)</f>
        <v>0</v>
      </c>
      <c r="E1132">
        <f>IF(COUNTIFS('United Data'!$A$3:$A$3390,E$1,'United Data'!$C$3:$C$3390,$A1132,'United Data'!$B$3:$B$3390,"&lt;&gt;Off-street")&gt;0,1,0)</f>
        <v>0</v>
      </c>
      <c r="F1132">
        <f>IF(COUNTIFS('United Data'!$A$3:$A$3390,F$1,'United Data'!$C$3:$C$3390,$A1132,'United Data'!$B$3:$B$3390,"&lt;&gt;Off-street")&gt;0,1,0)</f>
        <v>0</v>
      </c>
      <c r="G1132">
        <f>IF(COUNTIFS('United Data'!$A$3:$A$3390,G$1,'United Data'!$C$3:$C$3390,$A1132,'United Data'!$B$3:$B$3390,"&lt;&gt;Off-street")&gt;0,1,0)</f>
        <v>0</v>
      </c>
      <c r="H1132">
        <f>IF(COUNTIFS('United Data'!$A$3:$A$3390,H$1,'United Data'!$C$3:$C$3390,$A1132,'United Data'!$B$3:$B$3390,"&lt;&gt;Off-street")&gt;0,1,0)</f>
        <v>0</v>
      </c>
      <c r="I1132">
        <f>IF(COUNTIFS('United Data'!$A$3:$A$3390,I$1,'United Data'!$C$3:$C$3390,$A1132,'United Data'!$B$3:$B$3390,"&lt;&gt;Off-street")&gt;0,1,0)</f>
        <v>0</v>
      </c>
      <c r="J1132">
        <f>IF(COUNTIFS('United Data'!$A$3:$A$3390,J$1,'United Data'!$C$3:$C$3390,$A1132,'United Data'!$B$3:$B$3390,"&lt;&gt;Off-street")&gt;0,1,0)</f>
        <v>0</v>
      </c>
      <c r="K1132">
        <f>IF(COUNTIFS('United Data'!$A$3:$A$3390,K$1,'United Data'!$C$3:$C$3390,$A1132,'United Data'!$B$3:$B$3390,"&lt;&gt;Off-street")&gt;0,1,0)</f>
        <v>1</v>
      </c>
      <c r="L1132">
        <f>IF(COUNTIFS('United Data'!$A$3:$A$3390,L$1,'United Data'!$C$3:$C$3390,$A1132,'United Data'!$B$3:$B$3390,"&lt;&gt;Off-street")&gt;0,1,0)</f>
        <v>0</v>
      </c>
      <c r="M1132">
        <f>IF(COUNTIFS('United Data'!$A$3:$A$3390,M$1,'United Data'!$C$3:$C$3390,$A1132,'United Data'!$B$3:$B$3390,"&lt;&gt;Off-street")&gt;0,1,0)</f>
        <v>0</v>
      </c>
      <c r="N1132">
        <f>IF(COUNTIFS('United Data'!$A$3:$A$3390,N$1,'United Data'!$C$3:$C$3390,$A1132,'United Data'!$B$3:$B$3390,"&lt;&gt;Off-street")&gt;0,1,0)</f>
        <v>0</v>
      </c>
      <c r="O1132">
        <f>IF(COUNTIFS('United Data'!$A$3:$A$3390,O$1,'United Data'!$C$3:$C$3390,$A1132,'United Data'!$B$3:$B$3390,"&lt;&gt;Off-street")&gt;0,1,0)</f>
        <v>0</v>
      </c>
      <c r="P1132">
        <f>IF(COUNTIFS('United Data'!$A$3:$A$3390,P$1,'United Data'!$C$3:$C$3390,$A1132,'United Data'!$B$3:$B$3390,"&lt;&gt;Off-street")&gt;0,1,0)</f>
        <v>0</v>
      </c>
      <c r="Q1132">
        <f>IF(COUNTIFS('United Data'!$A$3:$A$3390,Q$1,'United Data'!$C$3:$C$3390,$A1132,'United Data'!$B$3:$B$3390,"&lt;&gt;Off-street")&gt;0,1,0)</f>
        <v>0</v>
      </c>
      <c r="R1132">
        <f>IF(COUNTIFS('United Data'!$A$3:$A$3390,R$1,'United Data'!$C$3:$C$3390,$A1132,'United Data'!$B$3:$B$3390,"&lt;&gt;Off-street")&gt;0,1,0)</f>
        <v>0</v>
      </c>
      <c r="S1132">
        <f t="shared" si="34"/>
        <v>1</v>
      </c>
      <c r="T1132">
        <f t="shared" si="35"/>
        <v>1</v>
      </c>
    </row>
    <row r="1133" spans="1:20" x14ac:dyDescent="0.2">
      <c r="A1133" t="s">
        <v>1352</v>
      </c>
      <c r="B1133">
        <f>IF(COUNTIFS('United Data'!$A$3:$A$3390,B$1,'United Data'!$C$3:$C$3390,$A1133,'United Data'!$B$3:$B$3390,"&lt;&gt;Off-street")&gt;0,1,0)</f>
        <v>0</v>
      </c>
      <c r="C1133">
        <f>IF(COUNTIFS('United Data'!$A$3:$A$3390,C$1,'United Data'!$C$3:$C$3390,$A1133,'United Data'!$B$3:$B$3390,"&lt;&gt;Off-street")&gt;0,1,0)</f>
        <v>0</v>
      </c>
      <c r="D1133">
        <f>IF(COUNTIFS('United Data'!$A$3:$A$3390,D$1,'United Data'!$C$3:$C$3390,$A1133,'United Data'!$B$3:$B$3390,"&lt;&gt;Off-street")&gt;0,1,0)</f>
        <v>0</v>
      </c>
      <c r="E1133">
        <f>IF(COUNTIFS('United Data'!$A$3:$A$3390,E$1,'United Data'!$C$3:$C$3390,$A1133,'United Data'!$B$3:$B$3390,"&lt;&gt;Off-street")&gt;0,1,0)</f>
        <v>0</v>
      </c>
      <c r="F1133">
        <f>IF(COUNTIFS('United Data'!$A$3:$A$3390,F$1,'United Data'!$C$3:$C$3390,$A1133,'United Data'!$B$3:$B$3390,"&lt;&gt;Off-street")&gt;0,1,0)</f>
        <v>0</v>
      </c>
      <c r="G1133">
        <f>IF(COUNTIFS('United Data'!$A$3:$A$3390,G$1,'United Data'!$C$3:$C$3390,$A1133,'United Data'!$B$3:$B$3390,"&lt;&gt;Off-street")&gt;0,1,0)</f>
        <v>0</v>
      </c>
      <c r="H1133">
        <f>IF(COUNTIFS('United Data'!$A$3:$A$3390,H$1,'United Data'!$C$3:$C$3390,$A1133,'United Data'!$B$3:$B$3390,"&lt;&gt;Off-street")&gt;0,1,0)</f>
        <v>0</v>
      </c>
      <c r="I1133">
        <f>IF(COUNTIFS('United Data'!$A$3:$A$3390,I$1,'United Data'!$C$3:$C$3390,$A1133,'United Data'!$B$3:$B$3390,"&lt;&gt;Off-street")&gt;0,1,0)</f>
        <v>0</v>
      </c>
      <c r="J1133">
        <f>IF(COUNTIFS('United Data'!$A$3:$A$3390,J$1,'United Data'!$C$3:$C$3390,$A1133,'United Data'!$B$3:$B$3390,"&lt;&gt;Off-street")&gt;0,1,0)</f>
        <v>0</v>
      </c>
      <c r="K1133">
        <f>IF(COUNTIFS('United Data'!$A$3:$A$3390,K$1,'United Data'!$C$3:$C$3390,$A1133,'United Data'!$B$3:$B$3390,"&lt;&gt;Off-street")&gt;0,1,0)</f>
        <v>0</v>
      </c>
      <c r="L1133">
        <f>IF(COUNTIFS('United Data'!$A$3:$A$3390,L$1,'United Data'!$C$3:$C$3390,$A1133,'United Data'!$B$3:$B$3390,"&lt;&gt;Off-street")&gt;0,1,0)</f>
        <v>1</v>
      </c>
      <c r="M1133">
        <f>IF(COUNTIFS('United Data'!$A$3:$A$3390,M$1,'United Data'!$C$3:$C$3390,$A1133,'United Data'!$B$3:$B$3390,"&lt;&gt;Off-street")&gt;0,1,0)</f>
        <v>0</v>
      </c>
      <c r="N1133">
        <f>IF(COUNTIFS('United Data'!$A$3:$A$3390,N$1,'United Data'!$C$3:$C$3390,$A1133,'United Data'!$B$3:$B$3390,"&lt;&gt;Off-street")&gt;0,1,0)</f>
        <v>0</v>
      </c>
      <c r="O1133">
        <f>IF(COUNTIFS('United Data'!$A$3:$A$3390,O$1,'United Data'!$C$3:$C$3390,$A1133,'United Data'!$B$3:$B$3390,"&lt;&gt;Off-street")&gt;0,1,0)</f>
        <v>0</v>
      </c>
      <c r="P1133">
        <f>IF(COUNTIFS('United Data'!$A$3:$A$3390,P$1,'United Data'!$C$3:$C$3390,$A1133,'United Data'!$B$3:$B$3390,"&lt;&gt;Off-street")&gt;0,1,0)</f>
        <v>0</v>
      </c>
      <c r="Q1133">
        <f>IF(COUNTIFS('United Data'!$A$3:$A$3390,Q$1,'United Data'!$C$3:$C$3390,$A1133,'United Data'!$B$3:$B$3390,"&lt;&gt;Off-street")&gt;0,1,0)</f>
        <v>0</v>
      </c>
      <c r="R1133">
        <f>IF(COUNTIFS('United Data'!$A$3:$A$3390,R$1,'United Data'!$C$3:$C$3390,$A1133,'United Data'!$B$3:$B$3390,"&lt;&gt;Off-street")&gt;0,1,0)</f>
        <v>0</v>
      </c>
      <c r="S1133">
        <f t="shared" si="34"/>
        <v>1</v>
      </c>
      <c r="T1133">
        <f t="shared" si="35"/>
        <v>1</v>
      </c>
    </row>
    <row r="1134" spans="1:20" x14ac:dyDescent="0.2">
      <c r="A1134" t="s">
        <v>1353</v>
      </c>
      <c r="B1134">
        <f>IF(COUNTIFS('United Data'!$A$3:$A$3390,B$1,'United Data'!$C$3:$C$3390,$A1134,'United Data'!$B$3:$B$3390,"&lt;&gt;Off-street")&gt;0,1,0)</f>
        <v>0</v>
      </c>
      <c r="C1134">
        <f>IF(COUNTIFS('United Data'!$A$3:$A$3390,C$1,'United Data'!$C$3:$C$3390,$A1134,'United Data'!$B$3:$B$3390,"&lt;&gt;Off-street")&gt;0,1,0)</f>
        <v>0</v>
      </c>
      <c r="D1134">
        <f>IF(COUNTIFS('United Data'!$A$3:$A$3390,D$1,'United Data'!$C$3:$C$3390,$A1134,'United Data'!$B$3:$B$3390,"&lt;&gt;Off-street")&gt;0,1,0)</f>
        <v>0</v>
      </c>
      <c r="E1134">
        <f>IF(COUNTIFS('United Data'!$A$3:$A$3390,E$1,'United Data'!$C$3:$C$3390,$A1134,'United Data'!$B$3:$B$3390,"&lt;&gt;Off-street")&gt;0,1,0)</f>
        <v>0</v>
      </c>
      <c r="F1134">
        <f>IF(COUNTIFS('United Data'!$A$3:$A$3390,F$1,'United Data'!$C$3:$C$3390,$A1134,'United Data'!$B$3:$B$3390,"&lt;&gt;Off-street")&gt;0,1,0)</f>
        <v>0</v>
      </c>
      <c r="G1134">
        <f>IF(COUNTIFS('United Data'!$A$3:$A$3390,G$1,'United Data'!$C$3:$C$3390,$A1134,'United Data'!$B$3:$B$3390,"&lt;&gt;Off-street")&gt;0,1,0)</f>
        <v>0</v>
      </c>
      <c r="H1134">
        <f>IF(COUNTIFS('United Data'!$A$3:$A$3390,H$1,'United Data'!$C$3:$C$3390,$A1134,'United Data'!$B$3:$B$3390,"&lt;&gt;Off-street")&gt;0,1,0)</f>
        <v>0</v>
      </c>
      <c r="I1134">
        <f>IF(COUNTIFS('United Data'!$A$3:$A$3390,I$1,'United Data'!$C$3:$C$3390,$A1134,'United Data'!$B$3:$B$3390,"&lt;&gt;Off-street")&gt;0,1,0)</f>
        <v>0</v>
      </c>
      <c r="J1134">
        <f>IF(COUNTIFS('United Data'!$A$3:$A$3390,J$1,'United Data'!$C$3:$C$3390,$A1134,'United Data'!$B$3:$B$3390,"&lt;&gt;Off-street")&gt;0,1,0)</f>
        <v>0</v>
      </c>
      <c r="K1134">
        <f>IF(COUNTIFS('United Data'!$A$3:$A$3390,K$1,'United Data'!$C$3:$C$3390,$A1134,'United Data'!$B$3:$B$3390,"&lt;&gt;Off-street")&gt;0,1,0)</f>
        <v>0</v>
      </c>
      <c r="L1134">
        <f>IF(COUNTIFS('United Data'!$A$3:$A$3390,L$1,'United Data'!$C$3:$C$3390,$A1134,'United Data'!$B$3:$B$3390,"&lt;&gt;Off-street")&gt;0,1,0)</f>
        <v>1</v>
      </c>
      <c r="M1134">
        <f>IF(COUNTIFS('United Data'!$A$3:$A$3390,M$1,'United Data'!$C$3:$C$3390,$A1134,'United Data'!$B$3:$B$3390,"&lt;&gt;Off-street")&gt;0,1,0)</f>
        <v>0</v>
      </c>
      <c r="N1134">
        <f>IF(COUNTIFS('United Data'!$A$3:$A$3390,N$1,'United Data'!$C$3:$C$3390,$A1134,'United Data'!$B$3:$B$3390,"&lt;&gt;Off-street")&gt;0,1,0)</f>
        <v>0</v>
      </c>
      <c r="O1134">
        <f>IF(COUNTIFS('United Data'!$A$3:$A$3390,O$1,'United Data'!$C$3:$C$3390,$A1134,'United Data'!$B$3:$B$3390,"&lt;&gt;Off-street")&gt;0,1,0)</f>
        <v>0</v>
      </c>
      <c r="P1134">
        <f>IF(COUNTIFS('United Data'!$A$3:$A$3390,P$1,'United Data'!$C$3:$C$3390,$A1134,'United Data'!$B$3:$B$3390,"&lt;&gt;Off-street")&gt;0,1,0)</f>
        <v>0</v>
      </c>
      <c r="Q1134">
        <f>IF(COUNTIFS('United Data'!$A$3:$A$3390,Q$1,'United Data'!$C$3:$C$3390,$A1134,'United Data'!$B$3:$B$3390,"&lt;&gt;Off-street")&gt;0,1,0)</f>
        <v>0</v>
      </c>
      <c r="R1134">
        <f>IF(COUNTIFS('United Data'!$A$3:$A$3390,R$1,'United Data'!$C$3:$C$3390,$A1134,'United Data'!$B$3:$B$3390,"&lt;&gt;Off-street")&gt;0,1,0)</f>
        <v>0</v>
      </c>
      <c r="S1134">
        <f t="shared" si="34"/>
        <v>1</v>
      </c>
      <c r="T1134">
        <f t="shared" si="35"/>
        <v>1</v>
      </c>
    </row>
    <row r="1135" spans="1:20" x14ac:dyDescent="0.2">
      <c r="A1135" t="s">
        <v>1355</v>
      </c>
      <c r="B1135">
        <f>IF(COUNTIFS('United Data'!$A$3:$A$3390,B$1,'United Data'!$C$3:$C$3390,$A1135,'United Data'!$B$3:$B$3390,"&lt;&gt;Off-street")&gt;0,1,0)</f>
        <v>0</v>
      </c>
      <c r="C1135">
        <f>IF(COUNTIFS('United Data'!$A$3:$A$3390,C$1,'United Data'!$C$3:$C$3390,$A1135,'United Data'!$B$3:$B$3390,"&lt;&gt;Off-street")&gt;0,1,0)</f>
        <v>0</v>
      </c>
      <c r="D1135">
        <f>IF(COUNTIFS('United Data'!$A$3:$A$3390,D$1,'United Data'!$C$3:$C$3390,$A1135,'United Data'!$B$3:$B$3390,"&lt;&gt;Off-street")&gt;0,1,0)</f>
        <v>0</v>
      </c>
      <c r="E1135">
        <f>IF(COUNTIFS('United Data'!$A$3:$A$3390,E$1,'United Data'!$C$3:$C$3390,$A1135,'United Data'!$B$3:$B$3390,"&lt;&gt;Off-street")&gt;0,1,0)</f>
        <v>0</v>
      </c>
      <c r="F1135">
        <f>IF(COUNTIFS('United Data'!$A$3:$A$3390,F$1,'United Data'!$C$3:$C$3390,$A1135,'United Data'!$B$3:$B$3390,"&lt;&gt;Off-street")&gt;0,1,0)</f>
        <v>0</v>
      </c>
      <c r="G1135">
        <f>IF(COUNTIFS('United Data'!$A$3:$A$3390,G$1,'United Data'!$C$3:$C$3390,$A1135,'United Data'!$B$3:$B$3390,"&lt;&gt;Off-street")&gt;0,1,0)</f>
        <v>0</v>
      </c>
      <c r="H1135">
        <f>IF(COUNTIFS('United Data'!$A$3:$A$3390,H$1,'United Data'!$C$3:$C$3390,$A1135,'United Data'!$B$3:$B$3390,"&lt;&gt;Off-street")&gt;0,1,0)</f>
        <v>0</v>
      </c>
      <c r="I1135">
        <f>IF(COUNTIFS('United Data'!$A$3:$A$3390,I$1,'United Data'!$C$3:$C$3390,$A1135,'United Data'!$B$3:$B$3390,"&lt;&gt;Off-street")&gt;0,1,0)</f>
        <v>0</v>
      </c>
      <c r="J1135">
        <f>IF(COUNTIFS('United Data'!$A$3:$A$3390,J$1,'United Data'!$C$3:$C$3390,$A1135,'United Data'!$B$3:$B$3390,"&lt;&gt;Off-street")&gt;0,1,0)</f>
        <v>0</v>
      </c>
      <c r="K1135">
        <f>IF(COUNTIFS('United Data'!$A$3:$A$3390,K$1,'United Data'!$C$3:$C$3390,$A1135,'United Data'!$B$3:$B$3390,"&lt;&gt;Off-street")&gt;0,1,0)</f>
        <v>0</v>
      </c>
      <c r="L1135">
        <f>IF(COUNTIFS('United Data'!$A$3:$A$3390,L$1,'United Data'!$C$3:$C$3390,$A1135,'United Data'!$B$3:$B$3390,"&lt;&gt;Off-street")&gt;0,1,0)</f>
        <v>1</v>
      </c>
      <c r="M1135">
        <f>IF(COUNTIFS('United Data'!$A$3:$A$3390,M$1,'United Data'!$C$3:$C$3390,$A1135,'United Data'!$B$3:$B$3390,"&lt;&gt;Off-street")&gt;0,1,0)</f>
        <v>0</v>
      </c>
      <c r="N1135">
        <f>IF(COUNTIFS('United Data'!$A$3:$A$3390,N$1,'United Data'!$C$3:$C$3390,$A1135,'United Data'!$B$3:$B$3390,"&lt;&gt;Off-street")&gt;0,1,0)</f>
        <v>0</v>
      </c>
      <c r="O1135">
        <f>IF(COUNTIFS('United Data'!$A$3:$A$3390,O$1,'United Data'!$C$3:$C$3390,$A1135,'United Data'!$B$3:$B$3390,"&lt;&gt;Off-street")&gt;0,1,0)</f>
        <v>0</v>
      </c>
      <c r="P1135">
        <f>IF(COUNTIFS('United Data'!$A$3:$A$3390,P$1,'United Data'!$C$3:$C$3390,$A1135,'United Data'!$B$3:$B$3390,"&lt;&gt;Off-street")&gt;0,1,0)</f>
        <v>0</v>
      </c>
      <c r="Q1135">
        <f>IF(COUNTIFS('United Data'!$A$3:$A$3390,Q$1,'United Data'!$C$3:$C$3390,$A1135,'United Data'!$B$3:$B$3390,"&lt;&gt;Off-street")&gt;0,1,0)</f>
        <v>0</v>
      </c>
      <c r="R1135">
        <f>IF(COUNTIFS('United Data'!$A$3:$A$3390,R$1,'United Data'!$C$3:$C$3390,$A1135,'United Data'!$B$3:$B$3390,"&lt;&gt;Off-street")&gt;0,1,0)</f>
        <v>0</v>
      </c>
      <c r="S1135">
        <f t="shared" si="34"/>
        <v>1</v>
      </c>
      <c r="T1135">
        <f t="shared" si="35"/>
        <v>1</v>
      </c>
    </row>
    <row r="1136" spans="1:20" x14ac:dyDescent="0.2">
      <c r="A1136" t="s">
        <v>1356</v>
      </c>
      <c r="B1136">
        <f>IF(COUNTIFS('United Data'!$A$3:$A$3390,B$1,'United Data'!$C$3:$C$3390,$A1136,'United Data'!$B$3:$B$3390,"&lt;&gt;Off-street")&gt;0,1,0)</f>
        <v>0</v>
      </c>
      <c r="C1136">
        <f>IF(COUNTIFS('United Data'!$A$3:$A$3390,C$1,'United Data'!$C$3:$C$3390,$A1136,'United Data'!$B$3:$B$3390,"&lt;&gt;Off-street")&gt;0,1,0)</f>
        <v>0</v>
      </c>
      <c r="D1136">
        <f>IF(COUNTIFS('United Data'!$A$3:$A$3390,D$1,'United Data'!$C$3:$C$3390,$A1136,'United Data'!$B$3:$B$3390,"&lt;&gt;Off-street")&gt;0,1,0)</f>
        <v>0</v>
      </c>
      <c r="E1136">
        <f>IF(COUNTIFS('United Data'!$A$3:$A$3390,E$1,'United Data'!$C$3:$C$3390,$A1136,'United Data'!$B$3:$B$3390,"&lt;&gt;Off-street")&gt;0,1,0)</f>
        <v>0</v>
      </c>
      <c r="F1136">
        <f>IF(COUNTIFS('United Data'!$A$3:$A$3390,F$1,'United Data'!$C$3:$C$3390,$A1136,'United Data'!$B$3:$B$3390,"&lt;&gt;Off-street")&gt;0,1,0)</f>
        <v>0</v>
      </c>
      <c r="G1136">
        <f>IF(COUNTIFS('United Data'!$A$3:$A$3390,G$1,'United Data'!$C$3:$C$3390,$A1136,'United Data'!$B$3:$B$3390,"&lt;&gt;Off-street")&gt;0,1,0)</f>
        <v>0</v>
      </c>
      <c r="H1136">
        <f>IF(COUNTIFS('United Data'!$A$3:$A$3390,H$1,'United Data'!$C$3:$C$3390,$A1136,'United Data'!$B$3:$B$3390,"&lt;&gt;Off-street")&gt;0,1,0)</f>
        <v>0</v>
      </c>
      <c r="I1136">
        <f>IF(COUNTIFS('United Data'!$A$3:$A$3390,I$1,'United Data'!$C$3:$C$3390,$A1136,'United Data'!$B$3:$B$3390,"&lt;&gt;Off-street")&gt;0,1,0)</f>
        <v>0</v>
      </c>
      <c r="J1136">
        <f>IF(COUNTIFS('United Data'!$A$3:$A$3390,J$1,'United Data'!$C$3:$C$3390,$A1136,'United Data'!$B$3:$B$3390,"&lt;&gt;Off-street")&gt;0,1,0)</f>
        <v>0</v>
      </c>
      <c r="K1136">
        <f>IF(COUNTIFS('United Data'!$A$3:$A$3390,K$1,'United Data'!$C$3:$C$3390,$A1136,'United Data'!$B$3:$B$3390,"&lt;&gt;Off-street")&gt;0,1,0)</f>
        <v>0</v>
      </c>
      <c r="L1136">
        <f>IF(COUNTIFS('United Data'!$A$3:$A$3390,L$1,'United Data'!$C$3:$C$3390,$A1136,'United Data'!$B$3:$B$3390,"&lt;&gt;Off-street")&gt;0,1,0)</f>
        <v>1</v>
      </c>
      <c r="M1136">
        <f>IF(COUNTIFS('United Data'!$A$3:$A$3390,M$1,'United Data'!$C$3:$C$3390,$A1136,'United Data'!$B$3:$B$3390,"&lt;&gt;Off-street")&gt;0,1,0)</f>
        <v>0</v>
      </c>
      <c r="N1136">
        <f>IF(COUNTIFS('United Data'!$A$3:$A$3390,N$1,'United Data'!$C$3:$C$3390,$A1136,'United Data'!$B$3:$B$3390,"&lt;&gt;Off-street")&gt;0,1,0)</f>
        <v>0</v>
      </c>
      <c r="O1136">
        <f>IF(COUNTIFS('United Data'!$A$3:$A$3390,O$1,'United Data'!$C$3:$C$3390,$A1136,'United Data'!$B$3:$B$3390,"&lt;&gt;Off-street")&gt;0,1,0)</f>
        <v>0</v>
      </c>
      <c r="P1136">
        <f>IF(COUNTIFS('United Data'!$A$3:$A$3390,P$1,'United Data'!$C$3:$C$3390,$A1136,'United Data'!$B$3:$B$3390,"&lt;&gt;Off-street")&gt;0,1,0)</f>
        <v>0</v>
      </c>
      <c r="Q1136">
        <f>IF(COUNTIFS('United Data'!$A$3:$A$3390,Q$1,'United Data'!$C$3:$C$3390,$A1136,'United Data'!$B$3:$B$3390,"&lt;&gt;Off-street")&gt;0,1,0)</f>
        <v>0</v>
      </c>
      <c r="R1136">
        <f>IF(COUNTIFS('United Data'!$A$3:$A$3390,R$1,'United Data'!$C$3:$C$3390,$A1136,'United Data'!$B$3:$B$3390,"&lt;&gt;Off-street")&gt;0,1,0)</f>
        <v>0</v>
      </c>
      <c r="S1136">
        <f t="shared" si="34"/>
        <v>1</v>
      </c>
      <c r="T1136">
        <f t="shared" si="35"/>
        <v>1</v>
      </c>
    </row>
    <row r="1137" spans="1:20" x14ac:dyDescent="0.2">
      <c r="A1137" t="s">
        <v>1357</v>
      </c>
      <c r="B1137">
        <f>IF(COUNTIFS('United Data'!$A$3:$A$3390,B$1,'United Data'!$C$3:$C$3390,$A1137,'United Data'!$B$3:$B$3390,"&lt;&gt;Off-street")&gt;0,1,0)</f>
        <v>0</v>
      </c>
      <c r="C1137">
        <f>IF(COUNTIFS('United Data'!$A$3:$A$3390,C$1,'United Data'!$C$3:$C$3390,$A1137,'United Data'!$B$3:$B$3390,"&lt;&gt;Off-street")&gt;0,1,0)</f>
        <v>0</v>
      </c>
      <c r="D1137">
        <f>IF(COUNTIFS('United Data'!$A$3:$A$3390,D$1,'United Data'!$C$3:$C$3390,$A1137,'United Data'!$B$3:$B$3390,"&lt;&gt;Off-street")&gt;0,1,0)</f>
        <v>0</v>
      </c>
      <c r="E1137">
        <f>IF(COUNTIFS('United Data'!$A$3:$A$3390,E$1,'United Data'!$C$3:$C$3390,$A1137,'United Data'!$B$3:$B$3390,"&lt;&gt;Off-street")&gt;0,1,0)</f>
        <v>0</v>
      </c>
      <c r="F1137">
        <f>IF(COUNTIFS('United Data'!$A$3:$A$3390,F$1,'United Data'!$C$3:$C$3390,$A1137,'United Data'!$B$3:$B$3390,"&lt;&gt;Off-street")&gt;0,1,0)</f>
        <v>0</v>
      </c>
      <c r="G1137">
        <f>IF(COUNTIFS('United Data'!$A$3:$A$3390,G$1,'United Data'!$C$3:$C$3390,$A1137,'United Data'!$B$3:$B$3390,"&lt;&gt;Off-street")&gt;0,1,0)</f>
        <v>0</v>
      </c>
      <c r="H1137">
        <f>IF(COUNTIFS('United Data'!$A$3:$A$3390,H$1,'United Data'!$C$3:$C$3390,$A1137,'United Data'!$B$3:$B$3390,"&lt;&gt;Off-street")&gt;0,1,0)</f>
        <v>0</v>
      </c>
      <c r="I1137">
        <f>IF(COUNTIFS('United Data'!$A$3:$A$3390,I$1,'United Data'!$C$3:$C$3390,$A1137,'United Data'!$B$3:$B$3390,"&lt;&gt;Off-street")&gt;0,1,0)</f>
        <v>0</v>
      </c>
      <c r="J1137">
        <f>IF(COUNTIFS('United Data'!$A$3:$A$3390,J$1,'United Data'!$C$3:$C$3390,$A1137,'United Data'!$B$3:$B$3390,"&lt;&gt;Off-street")&gt;0,1,0)</f>
        <v>0</v>
      </c>
      <c r="K1137">
        <f>IF(COUNTIFS('United Data'!$A$3:$A$3390,K$1,'United Data'!$C$3:$C$3390,$A1137,'United Data'!$B$3:$B$3390,"&lt;&gt;Off-street")&gt;0,1,0)</f>
        <v>0</v>
      </c>
      <c r="L1137">
        <f>IF(COUNTIFS('United Data'!$A$3:$A$3390,L$1,'United Data'!$C$3:$C$3390,$A1137,'United Data'!$B$3:$B$3390,"&lt;&gt;Off-street")&gt;0,1,0)</f>
        <v>1</v>
      </c>
      <c r="M1137">
        <f>IF(COUNTIFS('United Data'!$A$3:$A$3390,M$1,'United Data'!$C$3:$C$3390,$A1137,'United Data'!$B$3:$B$3390,"&lt;&gt;Off-street")&gt;0,1,0)</f>
        <v>0</v>
      </c>
      <c r="N1137">
        <f>IF(COUNTIFS('United Data'!$A$3:$A$3390,N$1,'United Data'!$C$3:$C$3390,$A1137,'United Data'!$B$3:$B$3390,"&lt;&gt;Off-street")&gt;0,1,0)</f>
        <v>0</v>
      </c>
      <c r="O1137">
        <f>IF(COUNTIFS('United Data'!$A$3:$A$3390,O$1,'United Data'!$C$3:$C$3390,$A1137,'United Data'!$B$3:$B$3390,"&lt;&gt;Off-street")&gt;0,1,0)</f>
        <v>0</v>
      </c>
      <c r="P1137">
        <f>IF(COUNTIFS('United Data'!$A$3:$A$3390,P$1,'United Data'!$C$3:$C$3390,$A1137,'United Data'!$B$3:$B$3390,"&lt;&gt;Off-street")&gt;0,1,0)</f>
        <v>0</v>
      </c>
      <c r="Q1137">
        <f>IF(COUNTIFS('United Data'!$A$3:$A$3390,Q$1,'United Data'!$C$3:$C$3390,$A1137,'United Data'!$B$3:$B$3390,"&lt;&gt;Off-street")&gt;0,1,0)</f>
        <v>0</v>
      </c>
      <c r="R1137">
        <f>IF(COUNTIFS('United Data'!$A$3:$A$3390,R$1,'United Data'!$C$3:$C$3390,$A1137,'United Data'!$B$3:$B$3390,"&lt;&gt;Off-street")&gt;0,1,0)</f>
        <v>0</v>
      </c>
      <c r="S1137">
        <f t="shared" si="34"/>
        <v>1</v>
      </c>
      <c r="T1137">
        <f t="shared" si="35"/>
        <v>1</v>
      </c>
    </row>
    <row r="1138" spans="1:20" x14ac:dyDescent="0.2">
      <c r="A1138" t="s">
        <v>1358</v>
      </c>
      <c r="B1138">
        <f>IF(COUNTIFS('United Data'!$A$3:$A$3390,B$1,'United Data'!$C$3:$C$3390,$A1138,'United Data'!$B$3:$B$3390,"&lt;&gt;Off-street")&gt;0,1,0)</f>
        <v>0</v>
      </c>
      <c r="C1138">
        <f>IF(COUNTIFS('United Data'!$A$3:$A$3390,C$1,'United Data'!$C$3:$C$3390,$A1138,'United Data'!$B$3:$B$3390,"&lt;&gt;Off-street")&gt;0,1,0)</f>
        <v>0</v>
      </c>
      <c r="D1138">
        <f>IF(COUNTIFS('United Data'!$A$3:$A$3390,D$1,'United Data'!$C$3:$C$3390,$A1138,'United Data'!$B$3:$B$3390,"&lt;&gt;Off-street")&gt;0,1,0)</f>
        <v>0</v>
      </c>
      <c r="E1138">
        <f>IF(COUNTIFS('United Data'!$A$3:$A$3390,E$1,'United Data'!$C$3:$C$3390,$A1138,'United Data'!$B$3:$B$3390,"&lt;&gt;Off-street")&gt;0,1,0)</f>
        <v>0</v>
      </c>
      <c r="F1138">
        <f>IF(COUNTIFS('United Data'!$A$3:$A$3390,F$1,'United Data'!$C$3:$C$3390,$A1138,'United Data'!$B$3:$B$3390,"&lt;&gt;Off-street")&gt;0,1,0)</f>
        <v>0</v>
      </c>
      <c r="G1138">
        <f>IF(COUNTIFS('United Data'!$A$3:$A$3390,G$1,'United Data'!$C$3:$C$3390,$A1138,'United Data'!$B$3:$B$3390,"&lt;&gt;Off-street")&gt;0,1,0)</f>
        <v>0</v>
      </c>
      <c r="H1138">
        <f>IF(COUNTIFS('United Data'!$A$3:$A$3390,H$1,'United Data'!$C$3:$C$3390,$A1138,'United Data'!$B$3:$B$3390,"&lt;&gt;Off-street")&gt;0,1,0)</f>
        <v>0</v>
      </c>
      <c r="I1138">
        <f>IF(COUNTIFS('United Data'!$A$3:$A$3390,I$1,'United Data'!$C$3:$C$3390,$A1138,'United Data'!$B$3:$B$3390,"&lt;&gt;Off-street")&gt;0,1,0)</f>
        <v>0</v>
      </c>
      <c r="J1138">
        <f>IF(COUNTIFS('United Data'!$A$3:$A$3390,J$1,'United Data'!$C$3:$C$3390,$A1138,'United Data'!$B$3:$B$3390,"&lt;&gt;Off-street")&gt;0,1,0)</f>
        <v>0</v>
      </c>
      <c r="K1138">
        <f>IF(COUNTIFS('United Data'!$A$3:$A$3390,K$1,'United Data'!$C$3:$C$3390,$A1138,'United Data'!$B$3:$B$3390,"&lt;&gt;Off-street")&gt;0,1,0)</f>
        <v>0</v>
      </c>
      <c r="L1138">
        <f>IF(COUNTIFS('United Data'!$A$3:$A$3390,L$1,'United Data'!$C$3:$C$3390,$A1138,'United Data'!$B$3:$B$3390,"&lt;&gt;Off-street")&gt;0,1,0)</f>
        <v>1</v>
      </c>
      <c r="M1138">
        <f>IF(COUNTIFS('United Data'!$A$3:$A$3390,M$1,'United Data'!$C$3:$C$3390,$A1138,'United Data'!$B$3:$B$3390,"&lt;&gt;Off-street")&gt;0,1,0)</f>
        <v>0</v>
      </c>
      <c r="N1138">
        <f>IF(COUNTIFS('United Data'!$A$3:$A$3390,N$1,'United Data'!$C$3:$C$3390,$A1138,'United Data'!$B$3:$B$3390,"&lt;&gt;Off-street")&gt;0,1,0)</f>
        <v>0</v>
      </c>
      <c r="O1138">
        <f>IF(COUNTIFS('United Data'!$A$3:$A$3390,O$1,'United Data'!$C$3:$C$3390,$A1138,'United Data'!$B$3:$B$3390,"&lt;&gt;Off-street")&gt;0,1,0)</f>
        <v>0</v>
      </c>
      <c r="P1138">
        <f>IF(COUNTIFS('United Data'!$A$3:$A$3390,P$1,'United Data'!$C$3:$C$3390,$A1138,'United Data'!$B$3:$B$3390,"&lt;&gt;Off-street")&gt;0,1,0)</f>
        <v>0</v>
      </c>
      <c r="Q1138">
        <f>IF(COUNTIFS('United Data'!$A$3:$A$3390,Q$1,'United Data'!$C$3:$C$3390,$A1138,'United Data'!$B$3:$B$3390,"&lt;&gt;Off-street")&gt;0,1,0)</f>
        <v>0</v>
      </c>
      <c r="R1138">
        <f>IF(COUNTIFS('United Data'!$A$3:$A$3390,R$1,'United Data'!$C$3:$C$3390,$A1138,'United Data'!$B$3:$B$3390,"&lt;&gt;Off-street")&gt;0,1,0)</f>
        <v>0</v>
      </c>
      <c r="S1138">
        <f t="shared" si="34"/>
        <v>1</v>
      </c>
      <c r="T1138">
        <f t="shared" si="35"/>
        <v>1</v>
      </c>
    </row>
    <row r="1139" spans="1:20" x14ac:dyDescent="0.2">
      <c r="A1139" t="s">
        <v>1359</v>
      </c>
      <c r="B1139">
        <f>IF(COUNTIFS('United Data'!$A$3:$A$3390,B$1,'United Data'!$C$3:$C$3390,$A1139,'United Data'!$B$3:$B$3390,"&lt;&gt;Off-street")&gt;0,1,0)</f>
        <v>0</v>
      </c>
      <c r="C1139">
        <f>IF(COUNTIFS('United Data'!$A$3:$A$3390,C$1,'United Data'!$C$3:$C$3390,$A1139,'United Data'!$B$3:$B$3390,"&lt;&gt;Off-street")&gt;0,1,0)</f>
        <v>0</v>
      </c>
      <c r="D1139">
        <f>IF(COUNTIFS('United Data'!$A$3:$A$3390,D$1,'United Data'!$C$3:$C$3390,$A1139,'United Data'!$B$3:$B$3390,"&lt;&gt;Off-street")&gt;0,1,0)</f>
        <v>0</v>
      </c>
      <c r="E1139">
        <f>IF(COUNTIFS('United Data'!$A$3:$A$3390,E$1,'United Data'!$C$3:$C$3390,$A1139,'United Data'!$B$3:$B$3390,"&lt;&gt;Off-street")&gt;0,1,0)</f>
        <v>0</v>
      </c>
      <c r="F1139">
        <f>IF(COUNTIFS('United Data'!$A$3:$A$3390,F$1,'United Data'!$C$3:$C$3390,$A1139,'United Data'!$B$3:$B$3390,"&lt;&gt;Off-street")&gt;0,1,0)</f>
        <v>0</v>
      </c>
      <c r="G1139">
        <f>IF(COUNTIFS('United Data'!$A$3:$A$3390,G$1,'United Data'!$C$3:$C$3390,$A1139,'United Data'!$B$3:$B$3390,"&lt;&gt;Off-street")&gt;0,1,0)</f>
        <v>0</v>
      </c>
      <c r="H1139">
        <f>IF(COUNTIFS('United Data'!$A$3:$A$3390,H$1,'United Data'!$C$3:$C$3390,$A1139,'United Data'!$B$3:$B$3390,"&lt;&gt;Off-street")&gt;0,1,0)</f>
        <v>0</v>
      </c>
      <c r="I1139">
        <f>IF(COUNTIFS('United Data'!$A$3:$A$3390,I$1,'United Data'!$C$3:$C$3390,$A1139,'United Data'!$B$3:$B$3390,"&lt;&gt;Off-street")&gt;0,1,0)</f>
        <v>0</v>
      </c>
      <c r="J1139">
        <f>IF(COUNTIFS('United Data'!$A$3:$A$3390,J$1,'United Data'!$C$3:$C$3390,$A1139,'United Data'!$B$3:$B$3390,"&lt;&gt;Off-street")&gt;0,1,0)</f>
        <v>0</v>
      </c>
      <c r="K1139">
        <f>IF(COUNTIFS('United Data'!$A$3:$A$3390,K$1,'United Data'!$C$3:$C$3390,$A1139,'United Data'!$B$3:$B$3390,"&lt;&gt;Off-street")&gt;0,1,0)</f>
        <v>0</v>
      </c>
      <c r="L1139">
        <f>IF(COUNTIFS('United Data'!$A$3:$A$3390,L$1,'United Data'!$C$3:$C$3390,$A1139,'United Data'!$B$3:$B$3390,"&lt;&gt;Off-street")&gt;0,1,0)</f>
        <v>0</v>
      </c>
      <c r="M1139">
        <f>IF(COUNTIFS('United Data'!$A$3:$A$3390,M$1,'United Data'!$C$3:$C$3390,$A1139,'United Data'!$B$3:$B$3390,"&lt;&gt;Off-street")&gt;0,1,0)</f>
        <v>1</v>
      </c>
      <c r="N1139">
        <f>IF(COUNTIFS('United Data'!$A$3:$A$3390,N$1,'United Data'!$C$3:$C$3390,$A1139,'United Data'!$B$3:$B$3390,"&lt;&gt;Off-street")&gt;0,1,0)</f>
        <v>0</v>
      </c>
      <c r="O1139">
        <f>IF(COUNTIFS('United Data'!$A$3:$A$3390,O$1,'United Data'!$C$3:$C$3390,$A1139,'United Data'!$B$3:$B$3390,"&lt;&gt;Off-street")&gt;0,1,0)</f>
        <v>0</v>
      </c>
      <c r="P1139">
        <f>IF(COUNTIFS('United Data'!$A$3:$A$3390,P$1,'United Data'!$C$3:$C$3390,$A1139,'United Data'!$B$3:$B$3390,"&lt;&gt;Off-street")&gt;0,1,0)</f>
        <v>0</v>
      </c>
      <c r="Q1139">
        <f>IF(COUNTIFS('United Data'!$A$3:$A$3390,Q$1,'United Data'!$C$3:$C$3390,$A1139,'United Data'!$B$3:$B$3390,"&lt;&gt;Off-street")&gt;0,1,0)</f>
        <v>0</v>
      </c>
      <c r="R1139">
        <f>IF(COUNTIFS('United Data'!$A$3:$A$3390,R$1,'United Data'!$C$3:$C$3390,$A1139,'United Data'!$B$3:$B$3390,"&lt;&gt;Off-street")&gt;0,1,0)</f>
        <v>0</v>
      </c>
      <c r="S1139">
        <f t="shared" si="34"/>
        <v>1</v>
      </c>
      <c r="T1139">
        <f t="shared" si="35"/>
        <v>1</v>
      </c>
    </row>
    <row r="1140" spans="1:20" x14ac:dyDescent="0.2">
      <c r="A1140" t="s">
        <v>1360</v>
      </c>
      <c r="B1140">
        <f>IF(COUNTIFS('United Data'!$A$3:$A$3390,B$1,'United Data'!$C$3:$C$3390,$A1140,'United Data'!$B$3:$B$3390,"&lt;&gt;Off-street")&gt;0,1,0)</f>
        <v>0</v>
      </c>
      <c r="C1140">
        <f>IF(COUNTIFS('United Data'!$A$3:$A$3390,C$1,'United Data'!$C$3:$C$3390,$A1140,'United Data'!$B$3:$B$3390,"&lt;&gt;Off-street")&gt;0,1,0)</f>
        <v>0</v>
      </c>
      <c r="D1140">
        <f>IF(COUNTIFS('United Data'!$A$3:$A$3390,D$1,'United Data'!$C$3:$C$3390,$A1140,'United Data'!$B$3:$B$3390,"&lt;&gt;Off-street")&gt;0,1,0)</f>
        <v>0</v>
      </c>
      <c r="E1140">
        <f>IF(COUNTIFS('United Data'!$A$3:$A$3390,E$1,'United Data'!$C$3:$C$3390,$A1140,'United Data'!$B$3:$B$3390,"&lt;&gt;Off-street")&gt;0,1,0)</f>
        <v>0</v>
      </c>
      <c r="F1140">
        <f>IF(COUNTIFS('United Data'!$A$3:$A$3390,F$1,'United Data'!$C$3:$C$3390,$A1140,'United Data'!$B$3:$B$3390,"&lt;&gt;Off-street")&gt;0,1,0)</f>
        <v>0</v>
      </c>
      <c r="G1140">
        <f>IF(COUNTIFS('United Data'!$A$3:$A$3390,G$1,'United Data'!$C$3:$C$3390,$A1140,'United Data'!$B$3:$B$3390,"&lt;&gt;Off-street")&gt;0,1,0)</f>
        <v>0</v>
      </c>
      <c r="H1140">
        <f>IF(COUNTIFS('United Data'!$A$3:$A$3390,H$1,'United Data'!$C$3:$C$3390,$A1140,'United Data'!$B$3:$B$3390,"&lt;&gt;Off-street")&gt;0,1,0)</f>
        <v>0</v>
      </c>
      <c r="I1140">
        <f>IF(COUNTIFS('United Data'!$A$3:$A$3390,I$1,'United Data'!$C$3:$C$3390,$A1140,'United Data'!$B$3:$B$3390,"&lt;&gt;Off-street")&gt;0,1,0)</f>
        <v>0</v>
      </c>
      <c r="J1140">
        <f>IF(COUNTIFS('United Data'!$A$3:$A$3390,J$1,'United Data'!$C$3:$C$3390,$A1140,'United Data'!$B$3:$B$3390,"&lt;&gt;Off-street")&gt;0,1,0)</f>
        <v>0</v>
      </c>
      <c r="K1140">
        <f>IF(COUNTIFS('United Data'!$A$3:$A$3390,K$1,'United Data'!$C$3:$C$3390,$A1140,'United Data'!$B$3:$B$3390,"&lt;&gt;Off-street")&gt;0,1,0)</f>
        <v>0</v>
      </c>
      <c r="L1140">
        <f>IF(COUNTIFS('United Data'!$A$3:$A$3390,L$1,'United Data'!$C$3:$C$3390,$A1140,'United Data'!$B$3:$B$3390,"&lt;&gt;Off-street")&gt;0,1,0)</f>
        <v>0</v>
      </c>
      <c r="M1140">
        <f>IF(COUNTIFS('United Data'!$A$3:$A$3390,M$1,'United Data'!$C$3:$C$3390,$A1140,'United Data'!$B$3:$B$3390,"&lt;&gt;Off-street")&gt;0,1,0)</f>
        <v>1</v>
      </c>
      <c r="N1140">
        <f>IF(COUNTIFS('United Data'!$A$3:$A$3390,N$1,'United Data'!$C$3:$C$3390,$A1140,'United Data'!$B$3:$B$3390,"&lt;&gt;Off-street")&gt;0,1,0)</f>
        <v>0</v>
      </c>
      <c r="O1140">
        <f>IF(COUNTIFS('United Data'!$A$3:$A$3390,O$1,'United Data'!$C$3:$C$3390,$A1140,'United Data'!$B$3:$B$3390,"&lt;&gt;Off-street")&gt;0,1,0)</f>
        <v>0</v>
      </c>
      <c r="P1140">
        <f>IF(COUNTIFS('United Data'!$A$3:$A$3390,P$1,'United Data'!$C$3:$C$3390,$A1140,'United Data'!$B$3:$B$3390,"&lt;&gt;Off-street")&gt;0,1,0)</f>
        <v>0</v>
      </c>
      <c r="Q1140">
        <f>IF(COUNTIFS('United Data'!$A$3:$A$3390,Q$1,'United Data'!$C$3:$C$3390,$A1140,'United Data'!$B$3:$B$3390,"&lt;&gt;Off-street")&gt;0,1,0)</f>
        <v>0</v>
      </c>
      <c r="R1140">
        <f>IF(COUNTIFS('United Data'!$A$3:$A$3390,R$1,'United Data'!$C$3:$C$3390,$A1140,'United Data'!$B$3:$B$3390,"&lt;&gt;Off-street")&gt;0,1,0)</f>
        <v>0</v>
      </c>
      <c r="S1140">
        <f t="shared" si="34"/>
        <v>1</v>
      </c>
      <c r="T1140">
        <f t="shared" si="35"/>
        <v>1</v>
      </c>
    </row>
    <row r="1141" spans="1:20" x14ac:dyDescent="0.2">
      <c r="A1141" t="s">
        <v>1361</v>
      </c>
      <c r="B1141">
        <f>IF(COUNTIFS('United Data'!$A$3:$A$3390,B$1,'United Data'!$C$3:$C$3390,$A1141,'United Data'!$B$3:$B$3390,"&lt;&gt;Off-street")&gt;0,1,0)</f>
        <v>0</v>
      </c>
      <c r="C1141">
        <f>IF(COUNTIFS('United Data'!$A$3:$A$3390,C$1,'United Data'!$C$3:$C$3390,$A1141,'United Data'!$B$3:$B$3390,"&lt;&gt;Off-street")&gt;0,1,0)</f>
        <v>0</v>
      </c>
      <c r="D1141">
        <f>IF(COUNTIFS('United Data'!$A$3:$A$3390,D$1,'United Data'!$C$3:$C$3390,$A1141,'United Data'!$B$3:$B$3390,"&lt;&gt;Off-street")&gt;0,1,0)</f>
        <v>0</v>
      </c>
      <c r="E1141">
        <f>IF(COUNTIFS('United Data'!$A$3:$A$3390,E$1,'United Data'!$C$3:$C$3390,$A1141,'United Data'!$B$3:$B$3390,"&lt;&gt;Off-street")&gt;0,1,0)</f>
        <v>0</v>
      </c>
      <c r="F1141">
        <f>IF(COUNTIFS('United Data'!$A$3:$A$3390,F$1,'United Data'!$C$3:$C$3390,$A1141,'United Data'!$B$3:$B$3390,"&lt;&gt;Off-street")&gt;0,1,0)</f>
        <v>0</v>
      </c>
      <c r="G1141">
        <f>IF(COUNTIFS('United Data'!$A$3:$A$3390,G$1,'United Data'!$C$3:$C$3390,$A1141,'United Data'!$B$3:$B$3390,"&lt;&gt;Off-street")&gt;0,1,0)</f>
        <v>0</v>
      </c>
      <c r="H1141">
        <f>IF(COUNTIFS('United Data'!$A$3:$A$3390,H$1,'United Data'!$C$3:$C$3390,$A1141,'United Data'!$B$3:$B$3390,"&lt;&gt;Off-street")&gt;0,1,0)</f>
        <v>0</v>
      </c>
      <c r="I1141">
        <f>IF(COUNTIFS('United Data'!$A$3:$A$3390,I$1,'United Data'!$C$3:$C$3390,$A1141,'United Data'!$B$3:$B$3390,"&lt;&gt;Off-street")&gt;0,1,0)</f>
        <v>0</v>
      </c>
      <c r="J1141">
        <f>IF(COUNTIFS('United Data'!$A$3:$A$3390,J$1,'United Data'!$C$3:$C$3390,$A1141,'United Data'!$B$3:$B$3390,"&lt;&gt;Off-street")&gt;0,1,0)</f>
        <v>0</v>
      </c>
      <c r="K1141">
        <f>IF(COUNTIFS('United Data'!$A$3:$A$3390,K$1,'United Data'!$C$3:$C$3390,$A1141,'United Data'!$B$3:$B$3390,"&lt;&gt;Off-street")&gt;0,1,0)</f>
        <v>0</v>
      </c>
      <c r="L1141">
        <f>IF(COUNTIFS('United Data'!$A$3:$A$3390,L$1,'United Data'!$C$3:$C$3390,$A1141,'United Data'!$B$3:$B$3390,"&lt;&gt;Off-street")&gt;0,1,0)</f>
        <v>0</v>
      </c>
      <c r="M1141">
        <f>IF(COUNTIFS('United Data'!$A$3:$A$3390,M$1,'United Data'!$C$3:$C$3390,$A1141,'United Data'!$B$3:$B$3390,"&lt;&gt;Off-street")&gt;0,1,0)</f>
        <v>1</v>
      </c>
      <c r="N1141">
        <f>IF(COUNTIFS('United Data'!$A$3:$A$3390,N$1,'United Data'!$C$3:$C$3390,$A1141,'United Data'!$B$3:$B$3390,"&lt;&gt;Off-street")&gt;0,1,0)</f>
        <v>0</v>
      </c>
      <c r="O1141">
        <f>IF(COUNTIFS('United Data'!$A$3:$A$3390,O$1,'United Data'!$C$3:$C$3390,$A1141,'United Data'!$B$3:$B$3390,"&lt;&gt;Off-street")&gt;0,1,0)</f>
        <v>0</v>
      </c>
      <c r="P1141">
        <f>IF(COUNTIFS('United Data'!$A$3:$A$3390,P$1,'United Data'!$C$3:$C$3390,$A1141,'United Data'!$B$3:$B$3390,"&lt;&gt;Off-street")&gt;0,1,0)</f>
        <v>0</v>
      </c>
      <c r="Q1141">
        <f>IF(COUNTIFS('United Data'!$A$3:$A$3390,Q$1,'United Data'!$C$3:$C$3390,$A1141,'United Data'!$B$3:$B$3390,"&lt;&gt;Off-street")&gt;0,1,0)</f>
        <v>0</v>
      </c>
      <c r="R1141">
        <f>IF(COUNTIFS('United Data'!$A$3:$A$3390,R$1,'United Data'!$C$3:$C$3390,$A1141,'United Data'!$B$3:$B$3390,"&lt;&gt;Off-street")&gt;0,1,0)</f>
        <v>0</v>
      </c>
      <c r="S1141">
        <f t="shared" si="34"/>
        <v>1</v>
      </c>
      <c r="T1141">
        <f t="shared" si="35"/>
        <v>1</v>
      </c>
    </row>
    <row r="1142" spans="1:20" x14ac:dyDescent="0.2">
      <c r="A1142" t="s">
        <v>1362</v>
      </c>
      <c r="B1142">
        <f>IF(COUNTIFS('United Data'!$A$3:$A$3390,B$1,'United Data'!$C$3:$C$3390,$A1142,'United Data'!$B$3:$B$3390,"&lt;&gt;Off-street")&gt;0,1,0)</f>
        <v>0</v>
      </c>
      <c r="C1142">
        <f>IF(COUNTIFS('United Data'!$A$3:$A$3390,C$1,'United Data'!$C$3:$C$3390,$A1142,'United Data'!$B$3:$B$3390,"&lt;&gt;Off-street")&gt;0,1,0)</f>
        <v>0</v>
      </c>
      <c r="D1142">
        <f>IF(COUNTIFS('United Data'!$A$3:$A$3390,D$1,'United Data'!$C$3:$C$3390,$A1142,'United Data'!$B$3:$B$3390,"&lt;&gt;Off-street")&gt;0,1,0)</f>
        <v>0</v>
      </c>
      <c r="E1142">
        <f>IF(COUNTIFS('United Data'!$A$3:$A$3390,E$1,'United Data'!$C$3:$C$3390,$A1142,'United Data'!$B$3:$B$3390,"&lt;&gt;Off-street")&gt;0,1,0)</f>
        <v>0</v>
      </c>
      <c r="F1142">
        <f>IF(COUNTIFS('United Data'!$A$3:$A$3390,F$1,'United Data'!$C$3:$C$3390,$A1142,'United Data'!$B$3:$B$3390,"&lt;&gt;Off-street")&gt;0,1,0)</f>
        <v>0</v>
      </c>
      <c r="G1142">
        <f>IF(COUNTIFS('United Data'!$A$3:$A$3390,G$1,'United Data'!$C$3:$C$3390,$A1142,'United Data'!$B$3:$B$3390,"&lt;&gt;Off-street")&gt;0,1,0)</f>
        <v>0</v>
      </c>
      <c r="H1142">
        <f>IF(COUNTIFS('United Data'!$A$3:$A$3390,H$1,'United Data'!$C$3:$C$3390,$A1142,'United Data'!$B$3:$B$3390,"&lt;&gt;Off-street")&gt;0,1,0)</f>
        <v>0</v>
      </c>
      <c r="I1142">
        <f>IF(COUNTIFS('United Data'!$A$3:$A$3390,I$1,'United Data'!$C$3:$C$3390,$A1142,'United Data'!$B$3:$B$3390,"&lt;&gt;Off-street")&gt;0,1,0)</f>
        <v>0</v>
      </c>
      <c r="J1142">
        <f>IF(COUNTIFS('United Data'!$A$3:$A$3390,J$1,'United Data'!$C$3:$C$3390,$A1142,'United Data'!$B$3:$B$3390,"&lt;&gt;Off-street")&gt;0,1,0)</f>
        <v>0</v>
      </c>
      <c r="K1142">
        <f>IF(COUNTIFS('United Data'!$A$3:$A$3390,K$1,'United Data'!$C$3:$C$3390,$A1142,'United Data'!$B$3:$B$3390,"&lt;&gt;Off-street")&gt;0,1,0)</f>
        <v>0</v>
      </c>
      <c r="L1142">
        <f>IF(COUNTIFS('United Data'!$A$3:$A$3390,L$1,'United Data'!$C$3:$C$3390,$A1142,'United Data'!$B$3:$B$3390,"&lt;&gt;Off-street")&gt;0,1,0)</f>
        <v>0</v>
      </c>
      <c r="M1142">
        <f>IF(COUNTIFS('United Data'!$A$3:$A$3390,M$1,'United Data'!$C$3:$C$3390,$A1142,'United Data'!$B$3:$B$3390,"&lt;&gt;Off-street")&gt;0,1,0)</f>
        <v>0</v>
      </c>
      <c r="N1142">
        <f>IF(COUNTIFS('United Data'!$A$3:$A$3390,N$1,'United Data'!$C$3:$C$3390,$A1142,'United Data'!$B$3:$B$3390,"&lt;&gt;Off-street")&gt;0,1,0)</f>
        <v>1</v>
      </c>
      <c r="O1142">
        <f>IF(COUNTIFS('United Data'!$A$3:$A$3390,O$1,'United Data'!$C$3:$C$3390,$A1142,'United Data'!$B$3:$B$3390,"&lt;&gt;Off-street")&gt;0,1,0)</f>
        <v>1</v>
      </c>
      <c r="P1142">
        <f>IF(COUNTIFS('United Data'!$A$3:$A$3390,P$1,'United Data'!$C$3:$C$3390,$A1142,'United Data'!$B$3:$B$3390,"&lt;&gt;Off-street")&gt;0,1,0)</f>
        <v>0</v>
      </c>
      <c r="Q1142">
        <f>IF(COUNTIFS('United Data'!$A$3:$A$3390,Q$1,'United Data'!$C$3:$C$3390,$A1142,'United Data'!$B$3:$B$3390,"&lt;&gt;Off-street")&gt;0,1,0)</f>
        <v>0</v>
      </c>
      <c r="R1142">
        <f>IF(COUNTIFS('United Data'!$A$3:$A$3390,R$1,'United Data'!$C$3:$C$3390,$A1142,'United Data'!$B$3:$B$3390,"&lt;&gt;Off-street")&gt;0,1,0)</f>
        <v>0</v>
      </c>
      <c r="S1142">
        <f t="shared" si="34"/>
        <v>2</v>
      </c>
      <c r="T1142">
        <f t="shared" si="35"/>
        <v>1</v>
      </c>
    </row>
    <row r="1143" spans="1:20" x14ac:dyDescent="0.2">
      <c r="A1143" t="s">
        <v>1363</v>
      </c>
      <c r="B1143">
        <f>IF(COUNTIFS('United Data'!$A$3:$A$3390,B$1,'United Data'!$C$3:$C$3390,$A1143,'United Data'!$B$3:$B$3390,"&lt;&gt;Off-street")&gt;0,1,0)</f>
        <v>0</v>
      </c>
      <c r="C1143">
        <f>IF(COUNTIFS('United Data'!$A$3:$A$3390,C$1,'United Data'!$C$3:$C$3390,$A1143,'United Data'!$B$3:$B$3390,"&lt;&gt;Off-street")&gt;0,1,0)</f>
        <v>0</v>
      </c>
      <c r="D1143">
        <f>IF(COUNTIFS('United Data'!$A$3:$A$3390,D$1,'United Data'!$C$3:$C$3390,$A1143,'United Data'!$B$3:$B$3390,"&lt;&gt;Off-street")&gt;0,1,0)</f>
        <v>0</v>
      </c>
      <c r="E1143">
        <f>IF(COUNTIFS('United Data'!$A$3:$A$3390,E$1,'United Data'!$C$3:$C$3390,$A1143,'United Data'!$B$3:$B$3390,"&lt;&gt;Off-street")&gt;0,1,0)</f>
        <v>0</v>
      </c>
      <c r="F1143">
        <f>IF(COUNTIFS('United Data'!$A$3:$A$3390,F$1,'United Data'!$C$3:$C$3390,$A1143,'United Data'!$B$3:$B$3390,"&lt;&gt;Off-street")&gt;0,1,0)</f>
        <v>0</v>
      </c>
      <c r="G1143">
        <f>IF(COUNTIFS('United Data'!$A$3:$A$3390,G$1,'United Data'!$C$3:$C$3390,$A1143,'United Data'!$B$3:$B$3390,"&lt;&gt;Off-street")&gt;0,1,0)</f>
        <v>0</v>
      </c>
      <c r="H1143">
        <f>IF(COUNTIFS('United Data'!$A$3:$A$3390,H$1,'United Data'!$C$3:$C$3390,$A1143,'United Data'!$B$3:$B$3390,"&lt;&gt;Off-street")&gt;0,1,0)</f>
        <v>0</v>
      </c>
      <c r="I1143">
        <f>IF(COUNTIFS('United Data'!$A$3:$A$3390,I$1,'United Data'!$C$3:$C$3390,$A1143,'United Data'!$B$3:$B$3390,"&lt;&gt;Off-street")&gt;0,1,0)</f>
        <v>0</v>
      </c>
      <c r="J1143">
        <f>IF(COUNTIFS('United Data'!$A$3:$A$3390,J$1,'United Data'!$C$3:$C$3390,$A1143,'United Data'!$B$3:$B$3390,"&lt;&gt;Off-street")&gt;0,1,0)</f>
        <v>0</v>
      </c>
      <c r="K1143">
        <f>IF(COUNTIFS('United Data'!$A$3:$A$3390,K$1,'United Data'!$C$3:$C$3390,$A1143,'United Data'!$B$3:$B$3390,"&lt;&gt;Off-street")&gt;0,1,0)</f>
        <v>0</v>
      </c>
      <c r="L1143">
        <f>IF(COUNTIFS('United Data'!$A$3:$A$3390,L$1,'United Data'!$C$3:$C$3390,$A1143,'United Data'!$B$3:$B$3390,"&lt;&gt;Off-street")&gt;0,1,0)</f>
        <v>0</v>
      </c>
      <c r="M1143">
        <f>IF(COUNTIFS('United Data'!$A$3:$A$3390,M$1,'United Data'!$C$3:$C$3390,$A1143,'United Data'!$B$3:$B$3390,"&lt;&gt;Off-street")&gt;0,1,0)</f>
        <v>0</v>
      </c>
      <c r="N1143">
        <f>IF(COUNTIFS('United Data'!$A$3:$A$3390,N$1,'United Data'!$C$3:$C$3390,$A1143,'United Data'!$B$3:$B$3390,"&lt;&gt;Off-street")&gt;0,1,0)</f>
        <v>1</v>
      </c>
      <c r="O1143">
        <f>IF(COUNTIFS('United Data'!$A$3:$A$3390,O$1,'United Data'!$C$3:$C$3390,$A1143,'United Data'!$B$3:$B$3390,"&lt;&gt;Off-street")&gt;0,1,0)</f>
        <v>0</v>
      </c>
      <c r="P1143">
        <f>IF(COUNTIFS('United Data'!$A$3:$A$3390,P$1,'United Data'!$C$3:$C$3390,$A1143,'United Data'!$B$3:$B$3390,"&lt;&gt;Off-street")&gt;0,1,0)</f>
        <v>0</v>
      </c>
      <c r="Q1143">
        <f>IF(COUNTIFS('United Data'!$A$3:$A$3390,Q$1,'United Data'!$C$3:$C$3390,$A1143,'United Data'!$B$3:$B$3390,"&lt;&gt;Off-street")&gt;0,1,0)</f>
        <v>0</v>
      </c>
      <c r="R1143">
        <f>IF(COUNTIFS('United Data'!$A$3:$A$3390,R$1,'United Data'!$C$3:$C$3390,$A1143,'United Data'!$B$3:$B$3390,"&lt;&gt;Off-street")&gt;0,1,0)</f>
        <v>0</v>
      </c>
      <c r="S1143">
        <f t="shared" si="34"/>
        <v>1</v>
      </c>
      <c r="T1143">
        <f t="shared" si="35"/>
        <v>1</v>
      </c>
    </row>
    <row r="1144" spans="1:20" x14ac:dyDescent="0.2">
      <c r="A1144" t="s">
        <v>1364</v>
      </c>
      <c r="B1144">
        <f>IF(COUNTIFS('United Data'!$A$3:$A$3390,B$1,'United Data'!$C$3:$C$3390,$A1144,'United Data'!$B$3:$B$3390,"&lt;&gt;Off-street")&gt;0,1,0)</f>
        <v>0</v>
      </c>
      <c r="C1144">
        <f>IF(COUNTIFS('United Data'!$A$3:$A$3390,C$1,'United Data'!$C$3:$C$3390,$A1144,'United Data'!$B$3:$B$3390,"&lt;&gt;Off-street")&gt;0,1,0)</f>
        <v>0</v>
      </c>
      <c r="D1144">
        <f>IF(COUNTIFS('United Data'!$A$3:$A$3390,D$1,'United Data'!$C$3:$C$3390,$A1144,'United Data'!$B$3:$B$3390,"&lt;&gt;Off-street")&gt;0,1,0)</f>
        <v>0</v>
      </c>
      <c r="E1144">
        <f>IF(COUNTIFS('United Data'!$A$3:$A$3390,E$1,'United Data'!$C$3:$C$3390,$A1144,'United Data'!$B$3:$B$3390,"&lt;&gt;Off-street")&gt;0,1,0)</f>
        <v>0</v>
      </c>
      <c r="F1144">
        <f>IF(COUNTIFS('United Data'!$A$3:$A$3390,F$1,'United Data'!$C$3:$C$3390,$A1144,'United Data'!$B$3:$B$3390,"&lt;&gt;Off-street")&gt;0,1,0)</f>
        <v>0</v>
      </c>
      <c r="G1144">
        <f>IF(COUNTIFS('United Data'!$A$3:$A$3390,G$1,'United Data'!$C$3:$C$3390,$A1144,'United Data'!$B$3:$B$3390,"&lt;&gt;Off-street")&gt;0,1,0)</f>
        <v>0</v>
      </c>
      <c r="H1144">
        <f>IF(COUNTIFS('United Data'!$A$3:$A$3390,H$1,'United Data'!$C$3:$C$3390,$A1144,'United Data'!$B$3:$B$3390,"&lt;&gt;Off-street")&gt;0,1,0)</f>
        <v>0</v>
      </c>
      <c r="I1144">
        <f>IF(COUNTIFS('United Data'!$A$3:$A$3390,I$1,'United Data'!$C$3:$C$3390,$A1144,'United Data'!$B$3:$B$3390,"&lt;&gt;Off-street")&gt;0,1,0)</f>
        <v>0</v>
      </c>
      <c r="J1144">
        <f>IF(COUNTIFS('United Data'!$A$3:$A$3390,J$1,'United Data'!$C$3:$C$3390,$A1144,'United Data'!$B$3:$B$3390,"&lt;&gt;Off-street")&gt;0,1,0)</f>
        <v>0</v>
      </c>
      <c r="K1144">
        <f>IF(COUNTIFS('United Data'!$A$3:$A$3390,K$1,'United Data'!$C$3:$C$3390,$A1144,'United Data'!$B$3:$B$3390,"&lt;&gt;Off-street")&gt;0,1,0)</f>
        <v>0</v>
      </c>
      <c r="L1144">
        <f>IF(COUNTIFS('United Data'!$A$3:$A$3390,L$1,'United Data'!$C$3:$C$3390,$A1144,'United Data'!$B$3:$B$3390,"&lt;&gt;Off-street")&gt;0,1,0)</f>
        <v>0</v>
      </c>
      <c r="M1144">
        <f>IF(COUNTIFS('United Data'!$A$3:$A$3390,M$1,'United Data'!$C$3:$C$3390,$A1144,'United Data'!$B$3:$B$3390,"&lt;&gt;Off-street")&gt;0,1,0)</f>
        <v>0</v>
      </c>
      <c r="N1144">
        <f>IF(COUNTIFS('United Data'!$A$3:$A$3390,N$1,'United Data'!$C$3:$C$3390,$A1144,'United Data'!$B$3:$B$3390,"&lt;&gt;Off-street")&gt;0,1,0)</f>
        <v>1</v>
      </c>
      <c r="O1144">
        <f>IF(COUNTIFS('United Data'!$A$3:$A$3390,O$1,'United Data'!$C$3:$C$3390,$A1144,'United Data'!$B$3:$B$3390,"&lt;&gt;Off-street")&gt;0,1,0)</f>
        <v>0</v>
      </c>
      <c r="P1144">
        <f>IF(COUNTIFS('United Data'!$A$3:$A$3390,P$1,'United Data'!$C$3:$C$3390,$A1144,'United Data'!$B$3:$B$3390,"&lt;&gt;Off-street")&gt;0,1,0)</f>
        <v>0</v>
      </c>
      <c r="Q1144">
        <f>IF(COUNTIFS('United Data'!$A$3:$A$3390,Q$1,'United Data'!$C$3:$C$3390,$A1144,'United Data'!$B$3:$B$3390,"&lt;&gt;Off-street")&gt;0,1,0)</f>
        <v>0</v>
      </c>
      <c r="R1144">
        <f>IF(COUNTIFS('United Data'!$A$3:$A$3390,R$1,'United Data'!$C$3:$C$3390,$A1144,'United Data'!$B$3:$B$3390,"&lt;&gt;Off-street")&gt;0,1,0)</f>
        <v>0</v>
      </c>
      <c r="S1144">
        <f t="shared" si="34"/>
        <v>1</v>
      </c>
      <c r="T1144">
        <f t="shared" si="35"/>
        <v>1</v>
      </c>
    </row>
    <row r="1145" spans="1:20" x14ac:dyDescent="0.2">
      <c r="A1145" t="s">
        <v>1365</v>
      </c>
      <c r="B1145">
        <f>IF(COUNTIFS('United Data'!$A$3:$A$3390,B$1,'United Data'!$C$3:$C$3390,$A1145,'United Data'!$B$3:$B$3390,"&lt;&gt;Off-street")&gt;0,1,0)</f>
        <v>0</v>
      </c>
      <c r="C1145">
        <f>IF(COUNTIFS('United Data'!$A$3:$A$3390,C$1,'United Data'!$C$3:$C$3390,$A1145,'United Data'!$B$3:$B$3390,"&lt;&gt;Off-street")&gt;0,1,0)</f>
        <v>0</v>
      </c>
      <c r="D1145">
        <f>IF(COUNTIFS('United Data'!$A$3:$A$3390,D$1,'United Data'!$C$3:$C$3390,$A1145,'United Data'!$B$3:$B$3390,"&lt;&gt;Off-street")&gt;0,1,0)</f>
        <v>0</v>
      </c>
      <c r="E1145">
        <f>IF(COUNTIFS('United Data'!$A$3:$A$3390,E$1,'United Data'!$C$3:$C$3390,$A1145,'United Data'!$B$3:$B$3390,"&lt;&gt;Off-street")&gt;0,1,0)</f>
        <v>0</v>
      </c>
      <c r="F1145">
        <f>IF(COUNTIFS('United Data'!$A$3:$A$3390,F$1,'United Data'!$C$3:$C$3390,$A1145,'United Data'!$B$3:$B$3390,"&lt;&gt;Off-street")&gt;0,1,0)</f>
        <v>0</v>
      </c>
      <c r="G1145">
        <f>IF(COUNTIFS('United Data'!$A$3:$A$3390,G$1,'United Data'!$C$3:$C$3390,$A1145,'United Data'!$B$3:$B$3390,"&lt;&gt;Off-street")&gt;0,1,0)</f>
        <v>0</v>
      </c>
      <c r="H1145">
        <f>IF(COUNTIFS('United Data'!$A$3:$A$3390,H$1,'United Data'!$C$3:$C$3390,$A1145,'United Data'!$B$3:$B$3390,"&lt;&gt;Off-street")&gt;0,1,0)</f>
        <v>0</v>
      </c>
      <c r="I1145">
        <f>IF(COUNTIFS('United Data'!$A$3:$A$3390,I$1,'United Data'!$C$3:$C$3390,$A1145,'United Data'!$B$3:$B$3390,"&lt;&gt;Off-street")&gt;0,1,0)</f>
        <v>0</v>
      </c>
      <c r="J1145">
        <f>IF(COUNTIFS('United Data'!$A$3:$A$3390,J$1,'United Data'!$C$3:$C$3390,$A1145,'United Data'!$B$3:$B$3390,"&lt;&gt;Off-street")&gt;0,1,0)</f>
        <v>0</v>
      </c>
      <c r="K1145">
        <f>IF(COUNTIFS('United Data'!$A$3:$A$3390,K$1,'United Data'!$C$3:$C$3390,$A1145,'United Data'!$B$3:$B$3390,"&lt;&gt;Off-street")&gt;0,1,0)</f>
        <v>0</v>
      </c>
      <c r="L1145">
        <f>IF(COUNTIFS('United Data'!$A$3:$A$3390,L$1,'United Data'!$C$3:$C$3390,$A1145,'United Data'!$B$3:$B$3390,"&lt;&gt;Off-street")&gt;0,1,0)</f>
        <v>0</v>
      </c>
      <c r="M1145">
        <f>IF(COUNTIFS('United Data'!$A$3:$A$3390,M$1,'United Data'!$C$3:$C$3390,$A1145,'United Data'!$B$3:$B$3390,"&lt;&gt;Off-street")&gt;0,1,0)</f>
        <v>0</v>
      </c>
      <c r="N1145">
        <f>IF(COUNTIFS('United Data'!$A$3:$A$3390,N$1,'United Data'!$C$3:$C$3390,$A1145,'United Data'!$B$3:$B$3390,"&lt;&gt;Off-street")&gt;0,1,0)</f>
        <v>1</v>
      </c>
      <c r="O1145">
        <f>IF(COUNTIFS('United Data'!$A$3:$A$3390,O$1,'United Data'!$C$3:$C$3390,$A1145,'United Data'!$B$3:$B$3390,"&lt;&gt;Off-street")&gt;0,1,0)</f>
        <v>0</v>
      </c>
      <c r="P1145">
        <f>IF(COUNTIFS('United Data'!$A$3:$A$3390,P$1,'United Data'!$C$3:$C$3390,$A1145,'United Data'!$B$3:$B$3390,"&lt;&gt;Off-street")&gt;0,1,0)</f>
        <v>0</v>
      </c>
      <c r="Q1145">
        <f>IF(COUNTIFS('United Data'!$A$3:$A$3390,Q$1,'United Data'!$C$3:$C$3390,$A1145,'United Data'!$B$3:$B$3390,"&lt;&gt;Off-street")&gt;0,1,0)</f>
        <v>0</v>
      </c>
      <c r="R1145">
        <f>IF(COUNTIFS('United Data'!$A$3:$A$3390,R$1,'United Data'!$C$3:$C$3390,$A1145,'United Data'!$B$3:$B$3390,"&lt;&gt;Off-street")&gt;0,1,0)</f>
        <v>0</v>
      </c>
      <c r="S1145">
        <f t="shared" si="34"/>
        <v>1</v>
      </c>
      <c r="T1145">
        <f t="shared" si="35"/>
        <v>1</v>
      </c>
    </row>
    <row r="1146" spans="1:20" x14ac:dyDescent="0.2">
      <c r="A1146" t="s">
        <v>1366</v>
      </c>
      <c r="B1146">
        <f>IF(COUNTIFS('United Data'!$A$3:$A$3390,B$1,'United Data'!$C$3:$C$3390,$A1146,'United Data'!$B$3:$B$3390,"&lt;&gt;Off-street")&gt;0,1,0)</f>
        <v>0</v>
      </c>
      <c r="C1146">
        <f>IF(COUNTIFS('United Data'!$A$3:$A$3390,C$1,'United Data'!$C$3:$C$3390,$A1146,'United Data'!$B$3:$B$3390,"&lt;&gt;Off-street")&gt;0,1,0)</f>
        <v>0</v>
      </c>
      <c r="D1146">
        <f>IF(COUNTIFS('United Data'!$A$3:$A$3390,D$1,'United Data'!$C$3:$C$3390,$A1146,'United Data'!$B$3:$B$3390,"&lt;&gt;Off-street")&gt;0,1,0)</f>
        <v>0</v>
      </c>
      <c r="E1146">
        <f>IF(COUNTIFS('United Data'!$A$3:$A$3390,E$1,'United Data'!$C$3:$C$3390,$A1146,'United Data'!$B$3:$B$3390,"&lt;&gt;Off-street")&gt;0,1,0)</f>
        <v>0</v>
      </c>
      <c r="F1146">
        <f>IF(COUNTIFS('United Data'!$A$3:$A$3390,F$1,'United Data'!$C$3:$C$3390,$A1146,'United Data'!$B$3:$B$3390,"&lt;&gt;Off-street")&gt;0,1,0)</f>
        <v>0</v>
      </c>
      <c r="G1146">
        <f>IF(COUNTIFS('United Data'!$A$3:$A$3390,G$1,'United Data'!$C$3:$C$3390,$A1146,'United Data'!$B$3:$B$3390,"&lt;&gt;Off-street")&gt;0,1,0)</f>
        <v>0</v>
      </c>
      <c r="H1146">
        <f>IF(COUNTIFS('United Data'!$A$3:$A$3390,H$1,'United Data'!$C$3:$C$3390,$A1146,'United Data'!$B$3:$B$3390,"&lt;&gt;Off-street")&gt;0,1,0)</f>
        <v>0</v>
      </c>
      <c r="I1146">
        <f>IF(COUNTIFS('United Data'!$A$3:$A$3390,I$1,'United Data'!$C$3:$C$3390,$A1146,'United Data'!$B$3:$B$3390,"&lt;&gt;Off-street")&gt;0,1,0)</f>
        <v>0</v>
      </c>
      <c r="J1146">
        <f>IF(COUNTIFS('United Data'!$A$3:$A$3390,J$1,'United Data'!$C$3:$C$3390,$A1146,'United Data'!$B$3:$B$3390,"&lt;&gt;Off-street")&gt;0,1,0)</f>
        <v>0</v>
      </c>
      <c r="K1146">
        <f>IF(COUNTIFS('United Data'!$A$3:$A$3390,K$1,'United Data'!$C$3:$C$3390,$A1146,'United Data'!$B$3:$B$3390,"&lt;&gt;Off-street")&gt;0,1,0)</f>
        <v>0</v>
      </c>
      <c r="L1146">
        <f>IF(COUNTIFS('United Data'!$A$3:$A$3390,L$1,'United Data'!$C$3:$C$3390,$A1146,'United Data'!$B$3:$B$3390,"&lt;&gt;Off-street")&gt;0,1,0)</f>
        <v>0</v>
      </c>
      <c r="M1146">
        <f>IF(COUNTIFS('United Data'!$A$3:$A$3390,M$1,'United Data'!$C$3:$C$3390,$A1146,'United Data'!$B$3:$B$3390,"&lt;&gt;Off-street")&gt;0,1,0)</f>
        <v>0</v>
      </c>
      <c r="N1146">
        <f>IF(COUNTIFS('United Data'!$A$3:$A$3390,N$1,'United Data'!$C$3:$C$3390,$A1146,'United Data'!$B$3:$B$3390,"&lt;&gt;Off-street")&gt;0,1,0)</f>
        <v>1</v>
      </c>
      <c r="O1146">
        <f>IF(COUNTIFS('United Data'!$A$3:$A$3390,O$1,'United Data'!$C$3:$C$3390,$A1146,'United Data'!$B$3:$B$3390,"&lt;&gt;Off-street")&gt;0,1,0)</f>
        <v>0</v>
      </c>
      <c r="P1146">
        <f>IF(COUNTIFS('United Data'!$A$3:$A$3390,P$1,'United Data'!$C$3:$C$3390,$A1146,'United Data'!$B$3:$B$3390,"&lt;&gt;Off-street")&gt;0,1,0)</f>
        <v>0</v>
      </c>
      <c r="Q1146">
        <f>IF(COUNTIFS('United Data'!$A$3:$A$3390,Q$1,'United Data'!$C$3:$C$3390,$A1146,'United Data'!$B$3:$B$3390,"&lt;&gt;Off-street")&gt;0,1,0)</f>
        <v>0</v>
      </c>
      <c r="R1146">
        <f>IF(COUNTIFS('United Data'!$A$3:$A$3390,R$1,'United Data'!$C$3:$C$3390,$A1146,'United Data'!$B$3:$B$3390,"&lt;&gt;Off-street")&gt;0,1,0)</f>
        <v>0</v>
      </c>
      <c r="S1146">
        <f t="shared" si="34"/>
        <v>1</v>
      </c>
      <c r="T1146">
        <f t="shared" si="35"/>
        <v>1</v>
      </c>
    </row>
    <row r="1147" spans="1:20" x14ac:dyDescent="0.2">
      <c r="A1147" t="s">
        <v>1367</v>
      </c>
      <c r="B1147">
        <f>IF(COUNTIFS('United Data'!$A$3:$A$3390,B$1,'United Data'!$C$3:$C$3390,$A1147,'United Data'!$B$3:$B$3390,"&lt;&gt;Off-street")&gt;0,1,0)</f>
        <v>0</v>
      </c>
      <c r="C1147">
        <f>IF(COUNTIFS('United Data'!$A$3:$A$3390,C$1,'United Data'!$C$3:$C$3390,$A1147,'United Data'!$B$3:$B$3390,"&lt;&gt;Off-street")&gt;0,1,0)</f>
        <v>0</v>
      </c>
      <c r="D1147">
        <f>IF(COUNTIFS('United Data'!$A$3:$A$3390,D$1,'United Data'!$C$3:$C$3390,$A1147,'United Data'!$B$3:$B$3390,"&lt;&gt;Off-street")&gt;0,1,0)</f>
        <v>0</v>
      </c>
      <c r="E1147">
        <f>IF(COUNTIFS('United Data'!$A$3:$A$3390,E$1,'United Data'!$C$3:$C$3390,$A1147,'United Data'!$B$3:$B$3390,"&lt;&gt;Off-street")&gt;0,1,0)</f>
        <v>0</v>
      </c>
      <c r="F1147">
        <f>IF(COUNTIFS('United Data'!$A$3:$A$3390,F$1,'United Data'!$C$3:$C$3390,$A1147,'United Data'!$B$3:$B$3390,"&lt;&gt;Off-street")&gt;0,1,0)</f>
        <v>0</v>
      </c>
      <c r="G1147">
        <f>IF(COUNTIFS('United Data'!$A$3:$A$3390,G$1,'United Data'!$C$3:$C$3390,$A1147,'United Data'!$B$3:$B$3390,"&lt;&gt;Off-street")&gt;0,1,0)</f>
        <v>0</v>
      </c>
      <c r="H1147">
        <f>IF(COUNTIFS('United Data'!$A$3:$A$3390,H$1,'United Data'!$C$3:$C$3390,$A1147,'United Data'!$B$3:$B$3390,"&lt;&gt;Off-street")&gt;0,1,0)</f>
        <v>0</v>
      </c>
      <c r="I1147">
        <f>IF(COUNTIFS('United Data'!$A$3:$A$3390,I$1,'United Data'!$C$3:$C$3390,$A1147,'United Data'!$B$3:$B$3390,"&lt;&gt;Off-street")&gt;0,1,0)</f>
        <v>0</v>
      </c>
      <c r="J1147">
        <f>IF(COUNTIFS('United Data'!$A$3:$A$3390,J$1,'United Data'!$C$3:$C$3390,$A1147,'United Data'!$B$3:$B$3390,"&lt;&gt;Off-street")&gt;0,1,0)</f>
        <v>0</v>
      </c>
      <c r="K1147">
        <f>IF(COUNTIFS('United Data'!$A$3:$A$3390,K$1,'United Data'!$C$3:$C$3390,$A1147,'United Data'!$B$3:$B$3390,"&lt;&gt;Off-street")&gt;0,1,0)</f>
        <v>0</v>
      </c>
      <c r="L1147">
        <f>IF(COUNTIFS('United Data'!$A$3:$A$3390,L$1,'United Data'!$C$3:$C$3390,$A1147,'United Data'!$B$3:$B$3390,"&lt;&gt;Off-street")&gt;0,1,0)</f>
        <v>0</v>
      </c>
      <c r="M1147">
        <f>IF(COUNTIFS('United Data'!$A$3:$A$3390,M$1,'United Data'!$C$3:$C$3390,$A1147,'United Data'!$B$3:$B$3390,"&lt;&gt;Off-street")&gt;0,1,0)</f>
        <v>0</v>
      </c>
      <c r="N1147">
        <f>IF(COUNTIFS('United Data'!$A$3:$A$3390,N$1,'United Data'!$C$3:$C$3390,$A1147,'United Data'!$B$3:$B$3390,"&lt;&gt;Off-street")&gt;0,1,0)</f>
        <v>1</v>
      </c>
      <c r="O1147">
        <f>IF(COUNTIFS('United Data'!$A$3:$A$3390,O$1,'United Data'!$C$3:$C$3390,$A1147,'United Data'!$B$3:$B$3390,"&lt;&gt;Off-street")&gt;0,1,0)</f>
        <v>0</v>
      </c>
      <c r="P1147">
        <f>IF(COUNTIFS('United Data'!$A$3:$A$3390,P$1,'United Data'!$C$3:$C$3390,$A1147,'United Data'!$B$3:$B$3390,"&lt;&gt;Off-street")&gt;0,1,0)</f>
        <v>0</v>
      </c>
      <c r="Q1147">
        <f>IF(COUNTIFS('United Data'!$A$3:$A$3390,Q$1,'United Data'!$C$3:$C$3390,$A1147,'United Data'!$B$3:$B$3390,"&lt;&gt;Off-street")&gt;0,1,0)</f>
        <v>0</v>
      </c>
      <c r="R1147">
        <f>IF(COUNTIFS('United Data'!$A$3:$A$3390,R$1,'United Data'!$C$3:$C$3390,$A1147,'United Data'!$B$3:$B$3390,"&lt;&gt;Off-street")&gt;0,1,0)</f>
        <v>0</v>
      </c>
      <c r="S1147">
        <f t="shared" si="34"/>
        <v>1</v>
      </c>
      <c r="T1147">
        <f t="shared" si="35"/>
        <v>1</v>
      </c>
    </row>
    <row r="1148" spans="1:20" x14ac:dyDescent="0.2">
      <c r="A1148" t="s">
        <v>1368</v>
      </c>
      <c r="B1148">
        <f>IF(COUNTIFS('United Data'!$A$3:$A$3390,B$1,'United Data'!$C$3:$C$3390,$A1148,'United Data'!$B$3:$B$3390,"&lt;&gt;Off-street")&gt;0,1,0)</f>
        <v>0</v>
      </c>
      <c r="C1148">
        <f>IF(COUNTIFS('United Data'!$A$3:$A$3390,C$1,'United Data'!$C$3:$C$3390,$A1148,'United Data'!$B$3:$B$3390,"&lt;&gt;Off-street")&gt;0,1,0)</f>
        <v>0</v>
      </c>
      <c r="D1148">
        <f>IF(COUNTIFS('United Data'!$A$3:$A$3390,D$1,'United Data'!$C$3:$C$3390,$A1148,'United Data'!$B$3:$B$3390,"&lt;&gt;Off-street")&gt;0,1,0)</f>
        <v>0</v>
      </c>
      <c r="E1148">
        <f>IF(COUNTIFS('United Data'!$A$3:$A$3390,E$1,'United Data'!$C$3:$C$3390,$A1148,'United Data'!$B$3:$B$3390,"&lt;&gt;Off-street")&gt;0,1,0)</f>
        <v>0</v>
      </c>
      <c r="F1148">
        <f>IF(COUNTIFS('United Data'!$A$3:$A$3390,F$1,'United Data'!$C$3:$C$3390,$A1148,'United Data'!$B$3:$B$3390,"&lt;&gt;Off-street")&gt;0,1,0)</f>
        <v>0</v>
      </c>
      <c r="G1148">
        <f>IF(COUNTIFS('United Data'!$A$3:$A$3390,G$1,'United Data'!$C$3:$C$3390,$A1148,'United Data'!$B$3:$B$3390,"&lt;&gt;Off-street")&gt;0,1,0)</f>
        <v>0</v>
      </c>
      <c r="H1148">
        <f>IF(COUNTIFS('United Data'!$A$3:$A$3390,H$1,'United Data'!$C$3:$C$3390,$A1148,'United Data'!$B$3:$B$3390,"&lt;&gt;Off-street")&gt;0,1,0)</f>
        <v>0</v>
      </c>
      <c r="I1148">
        <f>IF(COUNTIFS('United Data'!$A$3:$A$3390,I$1,'United Data'!$C$3:$C$3390,$A1148,'United Data'!$B$3:$B$3390,"&lt;&gt;Off-street")&gt;0,1,0)</f>
        <v>0</v>
      </c>
      <c r="J1148">
        <f>IF(COUNTIFS('United Data'!$A$3:$A$3390,J$1,'United Data'!$C$3:$C$3390,$A1148,'United Data'!$B$3:$B$3390,"&lt;&gt;Off-street")&gt;0,1,0)</f>
        <v>0</v>
      </c>
      <c r="K1148">
        <f>IF(COUNTIFS('United Data'!$A$3:$A$3390,K$1,'United Data'!$C$3:$C$3390,$A1148,'United Data'!$B$3:$B$3390,"&lt;&gt;Off-street")&gt;0,1,0)</f>
        <v>0</v>
      </c>
      <c r="L1148">
        <f>IF(COUNTIFS('United Data'!$A$3:$A$3390,L$1,'United Data'!$C$3:$C$3390,$A1148,'United Data'!$B$3:$B$3390,"&lt;&gt;Off-street")&gt;0,1,0)</f>
        <v>0</v>
      </c>
      <c r="M1148">
        <f>IF(COUNTIFS('United Data'!$A$3:$A$3390,M$1,'United Data'!$C$3:$C$3390,$A1148,'United Data'!$B$3:$B$3390,"&lt;&gt;Off-street")&gt;0,1,0)</f>
        <v>0</v>
      </c>
      <c r="N1148">
        <f>IF(COUNTIFS('United Data'!$A$3:$A$3390,N$1,'United Data'!$C$3:$C$3390,$A1148,'United Data'!$B$3:$B$3390,"&lt;&gt;Off-street")&gt;0,1,0)</f>
        <v>0</v>
      </c>
      <c r="O1148">
        <f>IF(COUNTIFS('United Data'!$A$3:$A$3390,O$1,'United Data'!$C$3:$C$3390,$A1148,'United Data'!$B$3:$B$3390,"&lt;&gt;Off-street")&gt;0,1,0)</f>
        <v>1</v>
      </c>
      <c r="P1148">
        <f>IF(COUNTIFS('United Data'!$A$3:$A$3390,P$1,'United Data'!$C$3:$C$3390,$A1148,'United Data'!$B$3:$B$3390,"&lt;&gt;Off-street")&gt;0,1,0)</f>
        <v>0</v>
      </c>
      <c r="Q1148">
        <f>IF(COUNTIFS('United Data'!$A$3:$A$3390,Q$1,'United Data'!$C$3:$C$3390,$A1148,'United Data'!$B$3:$B$3390,"&lt;&gt;Off-street")&gt;0,1,0)</f>
        <v>0</v>
      </c>
      <c r="R1148">
        <f>IF(COUNTIFS('United Data'!$A$3:$A$3390,R$1,'United Data'!$C$3:$C$3390,$A1148,'United Data'!$B$3:$B$3390,"&lt;&gt;Off-street")&gt;0,1,0)</f>
        <v>0</v>
      </c>
      <c r="S1148">
        <f t="shared" si="34"/>
        <v>1</v>
      </c>
      <c r="T1148">
        <f t="shared" si="35"/>
        <v>1</v>
      </c>
    </row>
    <row r="1149" spans="1:20" x14ac:dyDescent="0.2">
      <c r="A1149" t="s">
        <v>1369</v>
      </c>
      <c r="B1149">
        <f>IF(COUNTIFS('United Data'!$A$3:$A$3390,B$1,'United Data'!$C$3:$C$3390,$A1149,'United Data'!$B$3:$B$3390,"&lt;&gt;Off-street")&gt;0,1,0)</f>
        <v>0</v>
      </c>
      <c r="C1149">
        <f>IF(COUNTIFS('United Data'!$A$3:$A$3390,C$1,'United Data'!$C$3:$C$3390,$A1149,'United Data'!$B$3:$B$3390,"&lt;&gt;Off-street")&gt;0,1,0)</f>
        <v>0</v>
      </c>
      <c r="D1149">
        <f>IF(COUNTIFS('United Data'!$A$3:$A$3390,D$1,'United Data'!$C$3:$C$3390,$A1149,'United Data'!$B$3:$B$3390,"&lt;&gt;Off-street")&gt;0,1,0)</f>
        <v>0</v>
      </c>
      <c r="E1149">
        <f>IF(COUNTIFS('United Data'!$A$3:$A$3390,E$1,'United Data'!$C$3:$C$3390,$A1149,'United Data'!$B$3:$B$3390,"&lt;&gt;Off-street")&gt;0,1,0)</f>
        <v>0</v>
      </c>
      <c r="F1149">
        <f>IF(COUNTIFS('United Data'!$A$3:$A$3390,F$1,'United Data'!$C$3:$C$3390,$A1149,'United Data'!$B$3:$B$3390,"&lt;&gt;Off-street")&gt;0,1,0)</f>
        <v>0</v>
      </c>
      <c r="G1149">
        <f>IF(COUNTIFS('United Data'!$A$3:$A$3390,G$1,'United Data'!$C$3:$C$3390,$A1149,'United Data'!$B$3:$B$3390,"&lt;&gt;Off-street")&gt;0,1,0)</f>
        <v>0</v>
      </c>
      <c r="H1149">
        <f>IF(COUNTIFS('United Data'!$A$3:$A$3390,H$1,'United Data'!$C$3:$C$3390,$A1149,'United Data'!$B$3:$B$3390,"&lt;&gt;Off-street")&gt;0,1,0)</f>
        <v>0</v>
      </c>
      <c r="I1149">
        <f>IF(COUNTIFS('United Data'!$A$3:$A$3390,I$1,'United Data'!$C$3:$C$3390,$A1149,'United Data'!$B$3:$B$3390,"&lt;&gt;Off-street")&gt;0,1,0)</f>
        <v>0</v>
      </c>
      <c r="J1149">
        <f>IF(COUNTIFS('United Data'!$A$3:$A$3390,J$1,'United Data'!$C$3:$C$3390,$A1149,'United Data'!$B$3:$B$3390,"&lt;&gt;Off-street")&gt;0,1,0)</f>
        <v>0</v>
      </c>
      <c r="K1149">
        <f>IF(COUNTIFS('United Data'!$A$3:$A$3390,K$1,'United Data'!$C$3:$C$3390,$A1149,'United Data'!$B$3:$B$3390,"&lt;&gt;Off-street")&gt;0,1,0)</f>
        <v>0</v>
      </c>
      <c r="L1149">
        <f>IF(COUNTIFS('United Data'!$A$3:$A$3390,L$1,'United Data'!$C$3:$C$3390,$A1149,'United Data'!$B$3:$B$3390,"&lt;&gt;Off-street")&gt;0,1,0)</f>
        <v>0</v>
      </c>
      <c r="M1149">
        <f>IF(COUNTIFS('United Data'!$A$3:$A$3390,M$1,'United Data'!$C$3:$C$3390,$A1149,'United Data'!$B$3:$B$3390,"&lt;&gt;Off-street")&gt;0,1,0)</f>
        <v>0</v>
      </c>
      <c r="N1149">
        <f>IF(COUNTIFS('United Data'!$A$3:$A$3390,N$1,'United Data'!$C$3:$C$3390,$A1149,'United Data'!$B$3:$B$3390,"&lt;&gt;Off-street")&gt;0,1,0)</f>
        <v>0</v>
      </c>
      <c r="O1149">
        <f>IF(COUNTIFS('United Data'!$A$3:$A$3390,O$1,'United Data'!$C$3:$C$3390,$A1149,'United Data'!$B$3:$B$3390,"&lt;&gt;Off-street")&gt;0,1,0)</f>
        <v>1</v>
      </c>
      <c r="P1149">
        <f>IF(COUNTIFS('United Data'!$A$3:$A$3390,P$1,'United Data'!$C$3:$C$3390,$A1149,'United Data'!$B$3:$B$3390,"&lt;&gt;Off-street")&gt;0,1,0)</f>
        <v>0</v>
      </c>
      <c r="Q1149">
        <f>IF(COUNTIFS('United Data'!$A$3:$A$3390,Q$1,'United Data'!$C$3:$C$3390,$A1149,'United Data'!$B$3:$B$3390,"&lt;&gt;Off-street")&gt;0,1,0)</f>
        <v>0</v>
      </c>
      <c r="R1149">
        <f>IF(COUNTIFS('United Data'!$A$3:$A$3390,R$1,'United Data'!$C$3:$C$3390,$A1149,'United Data'!$B$3:$B$3390,"&lt;&gt;Off-street")&gt;0,1,0)</f>
        <v>0</v>
      </c>
      <c r="S1149">
        <f t="shared" si="34"/>
        <v>1</v>
      </c>
      <c r="T1149">
        <f t="shared" si="35"/>
        <v>1</v>
      </c>
    </row>
    <row r="1150" spans="1:20" x14ac:dyDescent="0.2">
      <c r="A1150" t="s">
        <v>1370</v>
      </c>
      <c r="B1150">
        <f>IF(COUNTIFS('United Data'!$A$3:$A$3390,B$1,'United Data'!$C$3:$C$3390,$A1150,'United Data'!$B$3:$B$3390,"&lt;&gt;Off-street")&gt;0,1,0)</f>
        <v>0</v>
      </c>
      <c r="C1150">
        <f>IF(COUNTIFS('United Data'!$A$3:$A$3390,C$1,'United Data'!$C$3:$C$3390,$A1150,'United Data'!$B$3:$B$3390,"&lt;&gt;Off-street")&gt;0,1,0)</f>
        <v>0</v>
      </c>
      <c r="D1150">
        <f>IF(COUNTIFS('United Data'!$A$3:$A$3390,D$1,'United Data'!$C$3:$C$3390,$A1150,'United Data'!$B$3:$B$3390,"&lt;&gt;Off-street")&gt;0,1,0)</f>
        <v>0</v>
      </c>
      <c r="E1150">
        <f>IF(COUNTIFS('United Data'!$A$3:$A$3390,E$1,'United Data'!$C$3:$C$3390,$A1150,'United Data'!$B$3:$B$3390,"&lt;&gt;Off-street")&gt;0,1,0)</f>
        <v>0</v>
      </c>
      <c r="F1150">
        <f>IF(COUNTIFS('United Data'!$A$3:$A$3390,F$1,'United Data'!$C$3:$C$3390,$A1150,'United Data'!$B$3:$B$3390,"&lt;&gt;Off-street")&gt;0,1,0)</f>
        <v>0</v>
      </c>
      <c r="G1150">
        <f>IF(COUNTIFS('United Data'!$A$3:$A$3390,G$1,'United Data'!$C$3:$C$3390,$A1150,'United Data'!$B$3:$B$3390,"&lt;&gt;Off-street")&gt;0,1,0)</f>
        <v>0</v>
      </c>
      <c r="H1150">
        <f>IF(COUNTIFS('United Data'!$A$3:$A$3390,H$1,'United Data'!$C$3:$C$3390,$A1150,'United Data'!$B$3:$B$3390,"&lt;&gt;Off-street")&gt;0,1,0)</f>
        <v>0</v>
      </c>
      <c r="I1150">
        <f>IF(COUNTIFS('United Data'!$A$3:$A$3390,I$1,'United Data'!$C$3:$C$3390,$A1150,'United Data'!$B$3:$B$3390,"&lt;&gt;Off-street")&gt;0,1,0)</f>
        <v>0</v>
      </c>
      <c r="J1150">
        <f>IF(COUNTIFS('United Data'!$A$3:$A$3390,J$1,'United Data'!$C$3:$C$3390,$A1150,'United Data'!$B$3:$B$3390,"&lt;&gt;Off-street")&gt;0,1,0)</f>
        <v>0</v>
      </c>
      <c r="K1150">
        <f>IF(COUNTIFS('United Data'!$A$3:$A$3390,K$1,'United Data'!$C$3:$C$3390,$A1150,'United Data'!$B$3:$B$3390,"&lt;&gt;Off-street")&gt;0,1,0)</f>
        <v>0</v>
      </c>
      <c r="L1150">
        <f>IF(COUNTIFS('United Data'!$A$3:$A$3390,L$1,'United Data'!$C$3:$C$3390,$A1150,'United Data'!$B$3:$B$3390,"&lt;&gt;Off-street")&gt;0,1,0)</f>
        <v>0</v>
      </c>
      <c r="M1150">
        <f>IF(COUNTIFS('United Data'!$A$3:$A$3390,M$1,'United Data'!$C$3:$C$3390,$A1150,'United Data'!$B$3:$B$3390,"&lt;&gt;Off-street")&gt;0,1,0)</f>
        <v>0</v>
      </c>
      <c r="N1150">
        <f>IF(COUNTIFS('United Data'!$A$3:$A$3390,N$1,'United Data'!$C$3:$C$3390,$A1150,'United Data'!$B$3:$B$3390,"&lt;&gt;Off-street")&gt;0,1,0)</f>
        <v>0</v>
      </c>
      <c r="O1150">
        <f>IF(COUNTIFS('United Data'!$A$3:$A$3390,O$1,'United Data'!$C$3:$C$3390,$A1150,'United Data'!$B$3:$B$3390,"&lt;&gt;Off-street")&gt;0,1,0)</f>
        <v>1</v>
      </c>
      <c r="P1150">
        <f>IF(COUNTIFS('United Data'!$A$3:$A$3390,P$1,'United Data'!$C$3:$C$3390,$A1150,'United Data'!$B$3:$B$3390,"&lt;&gt;Off-street")&gt;0,1,0)</f>
        <v>1</v>
      </c>
      <c r="Q1150">
        <f>IF(COUNTIFS('United Data'!$A$3:$A$3390,Q$1,'United Data'!$C$3:$C$3390,$A1150,'United Data'!$B$3:$B$3390,"&lt;&gt;Off-street")&gt;0,1,0)</f>
        <v>0</v>
      </c>
      <c r="R1150">
        <f>IF(COUNTIFS('United Data'!$A$3:$A$3390,R$1,'United Data'!$C$3:$C$3390,$A1150,'United Data'!$B$3:$B$3390,"&lt;&gt;Off-street")&gt;0,1,0)</f>
        <v>0</v>
      </c>
      <c r="S1150">
        <f t="shared" si="34"/>
        <v>2</v>
      </c>
      <c r="T1150">
        <f t="shared" si="35"/>
        <v>1</v>
      </c>
    </row>
    <row r="1151" spans="1:20" x14ac:dyDescent="0.2">
      <c r="A1151" t="s">
        <v>1372</v>
      </c>
      <c r="B1151">
        <f>IF(COUNTIFS('United Data'!$A$3:$A$3390,B$1,'United Data'!$C$3:$C$3390,$A1151,'United Data'!$B$3:$B$3390,"&lt;&gt;Off-street")&gt;0,1,0)</f>
        <v>0</v>
      </c>
      <c r="C1151">
        <f>IF(COUNTIFS('United Data'!$A$3:$A$3390,C$1,'United Data'!$C$3:$C$3390,$A1151,'United Data'!$B$3:$B$3390,"&lt;&gt;Off-street")&gt;0,1,0)</f>
        <v>0</v>
      </c>
      <c r="D1151">
        <f>IF(COUNTIFS('United Data'!$A$3:$A$3390,D$1,'United Data'!$C$3:$C$3390,$A1151,'United Data'!$B$3:$B$3390,"&lt;&gt;Off-street")&gt;0,1,0)</f>
        <v>0</v>
      </c>
      <c r="E1151">
        <f>IF(COUNTIFS('United Data'!$A$3:$A$3390,E$1,'United Data'!$C$3:$C$3390,$A1151,'United Data'!$B$3:$B$3390,"&lt;&gt;Off-street")&gt;0,1,0)</f>
        <v>0</v>
      </c>
      <c r="F1151">
        <f>IF(COUNTIFS('United Data'!$A$3:$A$3390,F$1,'United Data'!$C$3:$C$3390,$A1151,'United Data'!$B$3:$B$3390,"&lt;&gt;Off-street")&gt;0,1,0)</f>
        <v>0</v>
      </c>
      <c r="G1151">
        <f>IF(COUNTIFS('United Data'!$A$3:$A$3390,G$1,'United Data'!$C$3:$C$3390,$A1151,'United Data'!$B$3:$B$3390,"&lt;&gt;Off-street")&gt;0,1,0)</f>
        <v>0</v>
      </c>
      <c r="H1151">
        <f>IF(COUNTIFS('United Data'!$A$3:$A$3390,H$1,'United Data'!$C$3:$C$3390,$A1151,'United Data'!$B$3:$B$3390,"&lt;&gt;Off-street")&gt;0,1,0)</f>
        <v>0</v>
      </c>
      <c r="I1151">
        <f>IF(COUNTIFS('United Data'!$A$3:$A$3390,I$1,'United Data'!$C$3:$C$3390,$A1151,'United Data'!$B$3:$B$3390,"&lt;&gt;Off-street")&gt;0,1,0)</f>
        <v>0</v>
      </c>
      <c r="J1151">
        <f>IF(COUNTIFS('United Data'!$A$3:$A$3390,J$1,'United Data'!$C$3:$C$3390,$A1151,'United Data'!$B$3:$B$3390,"&lt;&gt;Off-street")&gt;0,1,0)</f>
        <v>0</v>
      </c>
      <c r="K1151">
        <f>IF(COUNTIFS('United Data'!$A$3:$A$3390,K$1,'United Data'!$C$3:$C$3390,$A1151,'United Data'!$B$3:$B$3390,"&lt;&gt;Off-street")&gt;0,1,0)</f>
        <v>0</v>
      </c>
      <c r="L1151">
        <f>IF(COUNTIFS('United Data'!$A$3:$A$3390,L$1,'United Data'!$C$3:$C$3390,$A1151,'United Data'!$B$3:$B$3390,"&lt;&gt;Off-street")&gt;0,1,0)</f>
        <v>0</v>
      </c>
      <c r="M1151">
        <f>IF(COUNTIFS('United Data'!$A$3:$A$3390,M$1,'United Data'!$C$3:$C$3390,$A1151,'United Data'!$B$3:$B$3390,"&lt;&gt;Off-street")&gt;0,1,0)</f>
        <v>0</v>
      </c>
      <c r="N1151">
        <f>IF(COUNTIFS('United Data'!$A$3:$A$3390,N$1,'United Data'!$C$3:$C$3390,$A1151,'United Data'!$B$3:$B$3390,"&lt;&gt;Off-street")&gt;0,1,0)</f>
        <v>0</v>
      </c>
      <c r="O1151">
        <f>IF(COUNTIFS('United Data'!$A$3:$A$3390,O$1,'United Data'!$C$3:$C$3390,$A1151,'United Data'!$B$3:$B$3390,"&lt;&gt;Off-street")&gt;0,1,0)</f>
        <v>0</v>
      </c>
      <c r="P1151">
        <f>IF(COUNTIFS('United Data'!$A$3:$A$3390,P$1,'United Data'!$C$3:$C$3390,$A1151,'United Data'!$B$3:$B$3390,"&lt;&gt;Off-street")&gt;0,1,0)</f>
        <v>1</v>
      </c>
      <c r="Q1151">
        <f>IF(COUNTIFS('United Data'!$A$3:$A$3390,Q$1,'United Data'!$C$3:$C$3390,$A1151,'United Data'!$B$3:$B$3390,"&lt;&gt;Off-street")&gt;0,1,0)</f>
        <v>0</v>
      </c>
      <c r="R1151">
        <f>IF(COUNTIFS('United Data'!$A$3:$A$3390,R$1,'United Data'!$C$3:$C$3390,$A1151,'United Data'!$B$3:$B$3390,"&lt;&gt;Off-street")&gt;0,1,0)</f>
        <v>0</v>
      </c>
      <c r="S1151">
        <f t="shared" si="34"/>
        <v>1</v>
      </c>
      <c r="T1151">
        <f t="shared" si="35"/>
        <v>1</v>
      </c>
    </row>
    <row r="1152" spans="1:20" x14ac:dyDescent="0.2">
      <c r="A1152" t="s">
        <v>1373</v>
      </c>
      <c r="B1152">
        <f>IF(COUNTIFS('United Data'!$A$3:$A$3390,B$1,'United Data'!$C$3:$C$3390,$A1152,'United Data'!$B$3:$B$3390,"&lt;&gt;Off-street")&gt;0,1,0)</f>
        <v>0</v>
      </c>
      <c r="C1152">
        <f>IF(COUNTIFS('United Data'!$A$3:$A$3390,C$1,'United Data'!$C$3:$C$3390,$A1152,'United Data'!$B$3:$B$3390,"&lt;&gt;Off-street")&gt;0,1,0)</f>
        <v>0</v>
      </c>
      <c r="D1152">
        <f>IF(COUNTIFS('United Data'!$A$3:$A$3390,D$1,'United Data'!$C$3:$C$3390,$A1152,'United Data'!$B$3:$B$3390,"&lt;&gt;Off-street")&gt;0,1,0)</f>
        <v>0</v>
      </c>
      <c r="E1152">
        <f>IF(COUNTIFS('United Data'!$A$3:$A$3390,E$1,'United Data'!$C$3:$C$3390,$A1152,'United Data'!$B$3:$B$3390,"&lt;&gt;Off-street")&gt;0,1,0)</f>
        <v>0</v>
      </c>
      <c r="F1152">
        <f>IF(COUNTIFS('United Data'!$A$3:$A$3390,F$1,'United Data'!$C$3:$C$3390,$A1152,'United Data'!$B$3:$B$3390,"&lt;&gt;Off-street")&gt;0,1,0)</f>
        <v>0</v>
      </c>
      <c r="G1152">
        <f>IF(COUNTIFS('United Data'!$A$3:$A$3390,G$1,'United Data'!$C$3:$C$3390,$A1152,'United Data'!$B$3:$B$3390,"&lt;&gt;Off-street")&gt;0,1,0)</f>
        <v>0</v>
      </c>
      <c r="H1152">
        <f>IF(COUNTIFS('United Data'!$A$3:$A$3390,H$1,'United Data'!$C$3:$C$3390,$A1152,'United Data'!$B$3:$B$3390,"&lt;&gt;Off-street")&gt;0,1,0)</f>
        <v>0</v>
      </c>
      <c r="I1152">
        <f>IF(COUNTIFS('United Data'!$A$3:$A$3390,I$1,'United Data'!$C$3:$C$3390,$A1152,'United Data'!$B$3:$B$3390,"&lt;&gt;Off-street")&gt;0,1,0)</f>
        <v>0</v>
      </c>
      <c r="J1152">
        <f>IF(COUNTIFS('United Data'!$A$3:$A$3390,J$1,'United Data'!$C$3:$C$3390,$A1152,'United Data'!$B$3:$B$3390,"&lt;&gt;Off-street")&gt;0,1,0)</f>
        <v>0</v>
      </c>
      <c r="K1152">
        <f>IF(COUNTIFS('United Data'!$A$3:$A$3390,K$1,'United Data'!$C$3:$C$3390,$A1152,'United Data'!$B$3:$B$3390,"&lt;&gt;Off-street")&gt;0,1,0)</f>
        <v>0</v>
      </c>
      <c r="L1152">
        <f>IF(COUNTIFS('United Data'!$A$3:$A$3390,L$1,'United Data'!$C$3:$C$3390,$A1152,'United Data'!$B$3:$B$3390,"&lt;&gt;Off-street")&gt;0,1,0)</f>
        <v>0</v>
      </c>
      <c r="M1152">
        <f>IF(COUNTIFS('United Data'!$A$3:$A$3390,M$1,'United Data'!$C$3:$C$3390,$A1152,'United Data'!$B$3:$B$3390,"&lt;&gt;Off-street")&gt;0,1,0)</f>
        <v>0</v>
      </c>
      <c r="N1152">
        <f>IF(COUNTIFS('United Data'!$A$3:$A$3390,N$1,'United Data'!$C$3:$C$3390,$A1152,'United Data'!$B$3:$B$3390,"&lt;&gt;Off-street")&gt;0,1,0)</f>
        <v>0</v>
      </c>
      <c r="O1152">
        <f>IF(COUNTIFS('United Data'!$A$3:$A$3390,O$1,'United Data'!$C$3:$C$3390,$A1152,'United Data'!$B$3:$B$3390,"&lt;&gt;Off-street")&gt;0,1,0)</f>
        <v>0</v>
      </c>
      <c r="P1152">
        <f>IF(COUNTIFS('United Data'!$A$3:$A$3390,P$1,'United Data'!$C$3:$C$3390,$A1152,'United Data'!$B$3:$B$3390,"&lt;&gt;Off-street")&gt;0,1,0)</f>
        <v>1</v>
      </c>
      <c r="Q1152">
        <f>IF(COUNTIFS('United Data'!$A$3:$A$3390,Q$1,'United Data'!$C$3:$C$3390,$A1152,'United Data'!$B$3:$B$3390,"&lt;&gt;Off-street")&gt;0,1,0)</f>
        <v>0</v>
      </c>
      <c r="R1152">
        <f>IF(COUNTIFS('United Data'!$A$3:$A$3390,R$1,'United Data'!$C$3:$C$3390,$A1152,'United Data'!$B$3:$B$3390,"&lt;&gt;Off-street")&gt;0,1,0)</f>
        <v>0</v>
      </c>
      <c r="S1152">
        <f t="shared" si="34"/>
        <v>1</v>
      </c>
      <c r="T1152">
        <f t="shared" si="35"/>
        <v>1</v>
      </c>
    </row>
    <row r="1153" spans="1:20" x14ac:dyDescent="0.2">
      <c r="A1153" t="s">
        <v>1374</v>
      </c>
      <c r="B1153">
        <f>IF(COUNTIFS('United Data'!$A$3:$A$3390,B$1,'United Data'!$C$3:$C$3390,$A1153,'United Data'!$B$3:$B$3390,"&lt;&gt;Off-street")&gt;0,1,0)</f>
        <v>0</v>
      </c>
      <c r="C1153">
        <f>IF(COUNTIFS('United Data'!$A$3:$A$3390,C$1,'United Data'!$C$3:$C$3390,$A1153,'United Data'!$B$3:$B$3390,"&lt;&gt;Off-street")&gt;0,1,0)</f>
        <v>0</v>
      </c>
      <c r="D1153">
        <f>IF(COUNTIFS('United Data'!$A$3:$A$3390,D$1,'United Data'!$C$3:$C$3390,$A1153,'United Data'!$B$3:$B$3390,"&lt;&gt;Off-street")&gt;0,1,0)</f>
        <v>0</v>
      </c>
      <c r="E1153">
        <f>IF(COUNTIFS('United Data'!$A$3:$A$3390,E$1,'United Data'!$C$3:$C$3390,$A1153,'United Data'!$B$3:$B$3390,"&lt;&gt;Off-street")&gt;0,1,0)</f>
        <v>0</v>
      </c>
      <c r="F1153">
        <f>IF(COUNTIFS('United Data'!$A$3:$A$3390,F$1,'United Data'!$C$3:$C$3390,$A1153,'United Data'!$B$3:$B$3390,"&lt;&gt;Off-street")&gt;0,1,0)</f>
        <v>0</v>
      </c>
      <c r="G1153">
        <f>IF(COUNTIFS('United Data'!$A$3:$A$3390,G$1,'United Data'!$C$3:$C$3390,$A1153,'United Data'!$B$3:$B$3390,"&lt;&gt;Off-street")&gt;0,1,0)</f>
        <v>0</v>
      </c>
      <c r="H1153">
        <f>IF(COUNTIFS('United Data'!$A$3:$A$3390,H$1,'United Data'!$C$3:$C$3390,$A1153,'United Data'!$B$3:$B$3390,"&lt;&gt;Off-street")&gt;0,1,0)</f>
        <v>0</v>
      </c>
      <c r="I1153">
        <f>IF(COUNTIFS('United Data'!$A$3:$A$3390,I$1,'United Data'!$C$3:$C$3390,$A1153,'United Data'!$B$3:$B$3390,"&lt;&gt;Off-street")&gt;0,1,0)</f>
        <v>0</v>
      </c>
      <c r="J1153">
        <f>IF(COUNTIFS('United Data'!$A$3:$A$3390,J$1,'United Data'!$C$3:$C$3390,$A1153,'United Data'!$B$3:$B$3390,"&lt;&gt;Off-street")&gt;0,1,0)</f>
        <v>0</v>
      </c>
      <c r="K1153">
        <f>IF(COUNTIFS('United Data'!$A$3:$A$3390,K$1,'United Data'!$C$3:$C$3390,$A1153,'United Data'!$B$3:$B$3390,"&lt;&gt;Off-street")&gt;0,1,0)</f>
        <v>0</v>
      </c>
      <c r="L1153">
        <f>IF(COUNTIFS('United Data'!$A$3:$A$3390,L$1,'United Data'!$C$3:$C$3390,$A1153,'United Data'!$B$3:$B$3390,"&lt;&gt;Off-street")&gt;0,1,0)</f>
        <v>0</v>
      </c>
      <c r="M1153">
        <f>IF(COUNTIFS('United Data'!$A$3:$A$3390,M$1,'United Data'!$C$3:$C$3390,$A1153,'United Data'!$B$3:$B$3390,"&lt;&gt;Off-street")&gt;0,1,0)</f>
        <v>0</v>
      </c>
      <c r="N1153">
        <f>IF(COUNTIFS('United Data'!$A$3:$A$3390,N$1,'United Data'!$C$3:$C$3390,$A1153,'United Data'!$B$3:$B$3390,"&lt;&gt;Off-street")&gt;0,1,0)</f>
        <v>0</v>
      </c>
      <c r="O1153">
        <f>IF(COUNTIFS('United Data'!$A$3:$A$3390,O$1,'United Data'!$C$3:$C$3390,$A1153,'United Data'!$B$3:$B$3390,"&lt;&gt;Off-street")&gt;0,1,0)</f>
        <v>0</v>
      </c>
      <c r="P1153">
        <f>IF(COUNTIFS('United Data'!$A$3:$A$3390,P$1,'United Data'!$C$3:$C$3390,$A1153,'United Data'!$B$3:$B$3390,"&lt;&gt;Off-street")&gt;0,1,0)</f>
        <v>1</v>
      </c>
      <c r="Q1153">
        <f>IF(COUNTIFS('United Data'!$A$3:$A$3390,Q$1,'United Data'!$C$3:$C$3390,$A1153,'United Data'!$B$3:$B$3390,"&lt;&gt;Off-street")&gt;0,1,0)</f>
        <v>1</v>
      </c>
      <c r="R1153">
        <f>IF(COUNTIFS('United Data'!$A$3:$A$3390,R$1,'United Data'!$C$3:$C$3390,$A1153,'United Data'!$B$3:$B$3390,"&lt;&gt;Off-street")&gt;0,1,0)</f>
        <v>0</v>
      </c>
      <c r="S1153">
        <f t="shared" si="34"/>
        <v>2</v>
      </c>
      <c r="T1153">
        <f t="shared" si="35"/>
        <v>1</v>
      </c>
    </row>
    <row r="1154" spans="1:20" x14ac:dyDescent="0.2">
      <c r="A1154" t="s">
        <v>1375</v>
      </c>
      <c r="B1154">
        <f>IF(COUNTIFS('United Data'!$A$3:$A$3390,B$1,'United Data'!$C$3:$C$3390,$A1154,'United Data'!$B$3:$B$3390,"&lt;&gt;Off-street")&gt;0,1,0)</f>
        <v>0</v>
      </c>
      <c r="C1154">
        <f>IF(COUNTIFS('United Data'!$A$3:$A$3390,C$1,'United Data'!$C$3:$C$3390,$A1154,'United Data'!$B$3:$B$3390,"&lt;&gt;Off-street")&gt;0,1,0)</f>
        <v>0</v>
      </c>
      <c r="D1154">
        <f>IF(COUNTIFS('United Data'!$A$3:$A$3390,D$1,'United Data'!$C$3:$C$3390,$A1154,'United Data'!$B$3:$B$3390,"&lt;&gt;Off-street")&gt;0,1,0)</f>
        <v>0</v>
      </c>
      <c r="E1154">
        <f>IF(COUNTIFS('United Data'!$A$3:$A$3390,E$1,'United Data'!$C$3:$C$3390,$A1154,'United Data'!$B$3:$B$3390,"&lt;&gt;Off-street")&gt;0,1,0)</f>
        <v>0</v>
      </c>
      <c r="F1154">
        <f>IF(COUNTIFS('United Data'!$A$3:$A$3390,F$1,'United Data'!$C$3:$C$3390,$A1154,'United Data'!$B$3:$B$3390,"&lt;&gt;Off-street")&gt;0,1,0)</f>
        <v>0</v>
      </c>
      <c r="G1154">
        <f>IF(COUNTIFS('United Data'!$A$3:$A$3390,G$1,'United Data'!$C$3:$C$3390,$A1154,'United Data'!$B$3:$B$3390,"&lt;&gt;Off-street")&gt;0,1,0)</f>
        <v>0</v>
      </c>
      <c r="H1154">
        <f>IF(COUNTIFS('United Data'!$A$3:$A$3390,H$1,'United Data'!$C$3:$C$3390,$A1154,'United Data'!$B$3:$B$3390,"&lt;&gt;Off-street")&gt;0,1,0)</f>
        <v>0</v>
      </c>
      <c r="I1154">
        <f>IF(COUNTIFS('United Data'!$A$3:$A$3390,I$1,'United Data'!$C$3:$C$3390,$A1154,'United Data'!$B$3:$B$3390,"&lt;&gt;Off-street")&gt;0,1,0)</f>
        <v>0</v>
      </c>
      <c r="J1154">
        <f>IF(COUNTIFS('United Data'!$A$3:$A$3390,J$1,'United Data'!$C$3:$C$3390,$A1154,'United Data'!$B$3:$B$3390,"&lt;&gt;Off-street")&gt;0,1,0)</f>
        <v>0</v>
      </c>
      <c r="K1154">
        <f>IF(COUNTIFS('United Data'!$A$3:$A$3390,K$1,'United Data'!$C$3:$C$3390,$A1154,'United Data'!$B$3:$B$3390,"&lt;&gt;Off-street")&gt;0,1,0)</f>
        <v>0</v>
      </c>
      <c r="L1154">
        <f>IF(COUNTIFS('United Data'!$A$3:$A$3390,L$1,'United Data'!$C$3:$C$3390,$A1154,'United Data'!$B$3:$B$3390,"&lt;&gt;Off-street")&gt;0,1,0)</f>
        <v>0</v>
      </c>
      <c r="M1154">
        <f>IF(COUNTIFS('United Data'!$A$3:$A$3390,M$1,'United Data'!$C$3:$C$3390,$A1154,'United Data'!$B$3:$B$3390,"&lt;&gt;Off-street")&gt;0,1,0)</f>
        <v>0</v>
      </c>
      <c r="N1154">
        <f>IF(COUNTIFS('United Data'!$A$3:$A$3390,N$1,'United Data'!$C$3:$C$3390,$A1154,'United Data'!$B$3:$B$3390,"&lt;&gt;Off-street")&gt;0,1,0)</f>
        <v>0</v>
      </c>
      <c r="O1154">
        <f>IF(COUNTIFS('United Data'!$A$3:$A$3390,O$1,'United Data'!$C$3:$C$3390,$A1154,'United Data'!$B$3:$B$3390,"&lt;&gt;Off-street")&gt;0,1,0)</f>
        <v>0</v>
      </c>
      <c r="P1154">
        <f>IF(COUNTIFS('United Data'!$A$3:$A$3390,P$1,'United Data'!$C$3:$C$3390,$A1154,'United Data'!$B$3:$B$3390,"&lt;&gt;Off-street")&gt;0,1,0)</f>
        <v>1</v>
      </c>
      <c r="Q1154">
        <f>IF(COUNTIFS('United Data'!$A$3:$A$3390,Q$1,'United Data'!$C$3:$C$3390,$A1154,'United Data'!$B$3:$B$3390,"&lt;&gt;Off-street")&gt;0,1,0)</f>
        <v>0</v>
      </c>
      <c r="R1154">
        <f>IF(COUNTIFS('United Data'!$A$3:$A$3390,R$1,'United Data'!$C$3:$C$3390,$A1154,'United Data'!$B$3:$B$3390,"&lt;&gt;Off-street")&gt;0,1,0)</f>
        <v>0</v>
      </c>
      <c r="S1154">
        <f t="shared" ref="S1154:S1217" si="36">SUM(B1154:R1154)</f>
        <v>1</v>
      </c>
      <c r="T1154">
        <f t="shared" ref="T1154:T1217" si="37">B1154+SUMPRODUCT(--(C1154:R1154&gt;B1154:Q1154))</f>
        <v>1</v>
      </c>
    </row>
    <row r="1155" spans="1:20" x14ac:dyDescent="0.2">
      <c r="A1155" t="s">
        <v>1376</v>
      </c>
      <c r="B1155">
        <f>IF(COUNTIFS('United Data'!$A$3:$A$3390,B$1,'United Data'!$C$3:$C$3390,$A1155,'United Data'!$B$3:$B$3390,"&lt;&gt;Off-street")&gt;0,1,0)</f>
        <v>0</v>
      </c>
      <c r="C1155">
        <f>IF(COUNTIFS('United Data'!$A$3:$A$3390,C$1,'United Data'!$C$3:$C$3390,$A1155,'United Data'!$B$3:$B$3390,"&lt;&gt;Off-street")&gt;0,1,0)</f>
        <v>0</v>
      </c>
      <c r="D1155">
        <f>IF(COUNTIFS('United Data'!$A$3:$A$3390,D$1,'United Data'!$C$3:$C$3390,$A1155,'United Data'!$B$3:$B$3390,"&lt;&gt;Off-street")&gt;0,1,0)</f>
        <v>0</v>
      </c>
      <c r="E1155">
        <f>IF(COUNTIFS('United Data'!$A$3:$A$3390,E$1,'United Data'!$C$3:$C$3390,$A1155,'United Data'!$B$3:$B$3390,"&lt;&gt;Off-street")&gt;0,1,0)</f>
        <v>0</v>
      </c>
      <c r="F1155">
        <f>IF(COUNTIFS('United Data'!$A$3:$A$3390,F$1,'United Data'!$C$3:$C$3390,$A1155,'United Data'!$B$3:$B$3390,"&lt;&gt;Off-street")&gt;0,1,0)</f>
        <v>0</v>
      </c>
      <c r="G1155">
        <f>IF(COUNTIFS('United Data'!$A$3:$A$3390,G$1,'United Data'!$C$3:$C$3390,$A1155,'United Data'!$B$3:$B$3390,"&lt;&gt;Off-street")&gt;0,1,0)</f>
        <v>0</v>
      </c>
      <c r="H1155">
        <f>IF(COUNTIFS('United Data'!$A$3:$A$3390,H$1,'United Data'!$C$3:$C$3390,$A1155,'United Data'!$B$3:$B$3390,"&lt;&gt;Off-street")&gt;0,1,0)</f>
        <v>0</v>
      </c>
      <c r="I1155">
        <f>IF(COUNTIFS('United Data'!$A$3:$A$3390,I$1,'United Data'!$C$3:$C$3390,$A1155,'United Data'!$B$3:$B$3390,"&lt;&gt;Off-street")&gt;0,1,0)</f>
        <v>0</v>
      </c>
      <c r="J1155">
        <f>IF(COUNTIFS('United Data'!$A$3:$A$3390,J$1,'United Data'!$C$3:$C$3390,$A1155,'United Data'!$B$3:$B$3390,"&lt;&gt;Off-street")&gt;0,1,0)</f>
        <v>0</v>
      </c>
      <c r="K1155">
        <f>IF(COUNTIFS('United Data'!$A$3:$A$3390,K$1,'United Data'!$C$3:$C$3390,$A1155,'United Data'!$B$3:$B$3390,"&lt;&gt;Off-street")&gt;0,1,0)</f>
        <v>0</v>
      </c>
      <c r="L1155">
        <f>IF(COUNTIFS('United Data'!$A$3:$A$3390,L$1,'United Data'!$C$3:$C$3390,$A1155,'United Data'!$B$3:$B$3390,"&lt;&gt;Off-street")&gt;0,1,0)</f>
        <v>0</v>
      </c>
      <c r="M1155">
        <f>IF(COUNTIFS('United Data'!$A$3:$A$3390,M$1,'United Data'!$C$3:$C$3390,$A1155,'United Data'!$B$3:$B$3390,"&lt;&gt;Off-street")&gt;0,1,0)</f>
        <v>0</v>
      </c>
      <c r="N1155">
        <f>IF(COUNTIFS('United Data'!$A$3:$A$3390,N$1,'United Data'!$C$3:$C$3390,$A1155,'United Data'!$B$3:$B$3390,"&lt;&gt;Off-street")&gt;0,1,0)</f>
        <v>0</v>
      </c>
      <c r="O1155">
        <f>IF(COUNTIFS('United Data'!$A$3:$A$3390,O$1,'United Data'!$C$3:$C$3390,$A1155,'United Data'!$B$3:$B$3390,"&lt;&gt;Off-street")&gt;0,1,0)</f>
        <v>0</v>
      </c>
      <c r="P1155">
        <f>IF(COUNTIFS('United Data'!$A$3:$A$3390,P$1,'United Data'!$C$3:$C$3390,$A1155,'United Data'!$B$3:$B$3390,"&lt;&gt;Off-street")&gt;0,1,0)</f>
        <v>1</v>
      </c>
      <c r="Q1155">
        <f>IF(COUNTIFS('United Data'!$A$3:$A$3390,Q$1,'United Data'!$C$3:$C$3390,$A1155,'United Data'!$B$3:$B$3390,"&lt;&gt;Off-street")&gt;0,1,0)</f>
        <v>0</v>
      </c>
      <c r="R1155">
        <f>IF(COUNTIFS('United Data'!$A$3:$A$3390,R$1,'United Data'!$C$3:$C$3390,$A1155,'United Data'!$B$3:$B$3390,"&lt;&gt;Off-street")&gt;0,1,0)</f>
        <v>0</v>
      </c>
      <c r="S1155">
        <f t="shared" si="36"/>
        <v>1</v>
      </c>
      <c r="T1155">
        <f t="shared" si="37"/>
        <v>1</v>
      </c>
    </row>
    <row r="1156" spans="1:20" x14ac:dyDescent="0.2">
      <c r="A1156" t="s">
        <v>1377</v>
      </c>
      <c r="B1156">
        <f>IF(COUNTIFS('United Data'!$A$3:$A$3390,B$1,'United Data'!$C$3:$C$3390,$A1156,'United Data'!$B$3:$B$3390,"&lt;&gt;Off-street")&gt;0,1,0)</f>
        <v>0</v>
      </c>
      <c r="C1156">
        <f>IF(COUNTIFS('United Data'!$A$3:$A$3390,C$1,'United Data'!$C$3:$C$3390,$A1156,'United Data'!$B$3:$B$3390,"&lt;&gt;Off-street")&gt;0,1,0)</f>
        <v>0</v>
      </c>
      <c r="D1156">
        <f>IF(COUNTIFS('United Data'!$A$3:$A$3390,D$1,'United Data'!$C$3:$C$3390,$A1156,'United Data'!$B$3:$B$3390,"&lt;&gt;Off-street")&gt;0,1,0)</f>
        <v>0</v>
      </c>
      <c r="E1156">
        <f>IF(COUNTIFS('United Data'!$A$3:$A$3390,E$1,'United Data'!$C$3:$C$3390,$A1156,'United Data'!$B$3:$B$3390,"&lt;&gt;Off-street")&gt;0,1,0)</f>
        <v>0</v>
      </c>
      <c r="F1156">
        <f>IF(COUNTIFS('United Data'!$A$3:$A$3390,F$1,'United Data'!$C$3:$C$3390,$A1156,'United Data'!$B$3:$B$3390,"&lt;&gt;Off-street")&gt;0,1,0)</f>
        <v>0</v>
      </c>
      <c r="G1156">
        <f>IF(COUNTIFS('United Data'!$A$3:$A$3390,G$1,'United Data'!$C$3:$C$3390,$A1156,'United Data'!$B$3:$B$3390,"&lt;&gt;Off-street")&gt;0,1,0)</f>
        <v>0</v>
      </c>
      <c r="H1156">
        <f>IF(COUNTIFS('United Data'!$A$3:$A$3390,H$1,'United Data'!$C$3:$C$3390,$A1156,'United Data'!$B$3:$B$3390,"&lt;&gt;Off-street")&gt;0,1,0)</f>
        <v>0</v>
      </c>
      <c r="I1156">
        <f>IF(COUNTIFS('United Data'!$A$3:$A$3390,I$1,'United Data'!$C$3:$C$3390,$A1156,'United Data'!$B$3:$B$3390,"&lt;&gt;Off-street")&gt;0,1,0)</f>
        <v>0</v>
      </c>
      <c r="J1156">
        <f>IF(COUNTIFS('United Data'!$A$3:$A$3390,J$1,'United Data'!$C$3:$C$3390,$A1156,'United Data'!$B$3:$B$3390,"&lt;&gt;Off-street")&gt;0,1,0)</f>
        <v>0</v>
      </c>
      <c r="K1156">
        <f>IF(COUNTIFS('United Data'!$A$3:$A$3390,K$1,'United Data'!$C$3:$C$3390,$A1156,'United Data'!$B$3:$B$3390,"&lt;&gt;Off-street")&gt;0,1,0)</f>
        <v>0</v>
      </c>
      <c r="L1156">
        <f>IF(COUNTIFS('United Data'!$A$3:$A$3390,L$1,'United Data'!$C$3:$C$3390,$A1156,'United Data'!$B$3:$B$3390,"&lt;&gt;Off-street")&gt;0,1,0)</f>
        <v>0</v>
      </c>
      <c r="M1156">
        <f>IF(COUNTIFS('United Data'!$A$3:$A$3390,M$1,'United Data'!$C$3:$C$3390,$A1156,'United Data'!$B$3:$B$3390,"&lt;&gt;Off-street")&gt;0,1,0)</f>
        <v>0</v>
      </c>
      <c r="N1156">
        <f>IF(COUNTIFS('United Data'!$A$3:$A$3390,N$1,'United Data'!$C$3:$C$3390,$A1156,'United Data'!$B$3:$B$3390,"&lt;&gt;Off-street")&gt;0,1,0)</f>
        <v>0</v>
      </c>
      <c r="O1156">
        <f>IF(COUNTIFS('United Data'!$A$3:$A$3390,O$1,'United Data'!$C$3:$C$3390,$A1156,'United Data'!$B$3:$B$3390,"&lt;&gt;Off-street")&gt;0,1,0)</f>
        <v>0</v>
      </c>
      <c r="P1156">
        <f>IF(COUNTIFS('United Data'!$A$3:$A$3390,P$1,'United Data'!$C$3:$C$3390,$A1156,'United Data'!$B$3:$B$3390,"&lt;&gt;Off-street")&gt;0,1,0)</f>
        <v>1</v>
      </c>
      <c r="Q1156">
        <f>IF(COUNTIFS('United Data'!$A$3:$A$3390,Q$1,'United Data'!$C$3:$C$3390,$A1156,'United Data'!$B$3:$B$3390,"&lt;&gt;Off-street")&gt;0,1,0)</f>
        <v>0</v>
      </c>
      <c r="R1156">
        <f>IF(COUNTIFS('United Data'!$A$3:$A$3390,R$1,'United Data'!$C$3:$C$3390,$A1156,'United Data'!$B$3:$B$3390,"&lt;&gt;Off-street")&gt;0,1,0)</f>
        <v>0</v>
      </c>
      <c r="S1156">
        <f t="shared" si="36"/>
        <v>1</v>
      </c>
      <c r="T1156">
        <f t="shared" si="37"/>
        <v>1</v>
      </c>
    </row>
    <row r="1157" spans="1:20" x14ac:dyDescent="0.2">
      <c r="A1157" t="s">
        <v>1378</v>
      </c>
      <c r="B1157">
        <f>IF(COUNTIFS('United Data'!$A$3:$A$3390,B$1,'United Data'!$C$3:$C$3390,$A1157,'United Data'!$B$3:$B$3390,"&lt;&gt;Off-street")&gt;0,1,0)</f>
        <v>0</v>
      </c>
      <c r="C1157">
        <f>IF(COUNTIFS('United Data'!$A$3:$A$3390,C$1,'United Data'!$C$3:$C$3390,$A1157,'United Data'!$B$3:$B$3390,"&lt;&gt;Off-street")&gt;0,1,0)</f>
        <v>0</v>
      </c>
      <c r="D1157">
        <f>IF(COUNTIFS('United Data'!$A$3:$A$3390,D$1,'United Data'!$C$3:$C$3390,$A1157,'United Data'!$B$3:$B$3390,"&lt;&gt;Off-street")&gt;0,1,0)</f>
        <v>0</v>
      </c>
      <c r="E1157">
        <f>IF(COUNTIFS('United Data'!$A$3:$A$3390,E$1,'United Data'!$C$3:$C$3390,$A1157,'United Data'!$B$3:$B$3390,"&lt;&gt;Off-street")&gt;0,1,0)</f>
        <v>0</v>
      </c>
      <c r="F1157">
        <f>IF(COUNTIFS('United Data'!$A$3:$A$3390,F$1,'United Data'!$C$3:$C$3390,$A1157,'United Data'!$B$3:$B$3390,"&lt;&gt;Off-street")&gt;0,1,0)</f>
        <v>0</v>
      </c>
      <c r="G1157">
        <f>IF(COUNTIFS('United Data'!$A$3:$A$3390,G$1,'United Data'!$C$3:$C$3390,$A1157,'United Data'!$B$3:$B$3390,"&lt;&gt;Off-street")&gt;0,1,0)</f>
        <v>0</v>
      </c>
      <c r="H1157">
        <f>IF(COUNTIFS('United Data'!$A$3:$A$3390,H$1,'United Data'!$C$3:$C$3390,$A1157,'United Data'!$B$3:$B$3390,"&lt;&gt;Off-street")&gt;0,1,0)</f>
        <v>0</v>
      </c>
      <c r="I1157">
        <f>IF(COUNTIFS('United Data'!$A$3:$A$3390,I$1,'United Data'!$C$3:$C$3390,$A1157,'United Data'!$B$3:$B$3390,"&lt;&gt;Off-street")&gt;0,1,0)</f>
        <v>0</v>
      </c>
      <c r="J1157">
        <f>IF(COUNTIFS('United Data'!$A$3:$A$3390,J$1,'United Data'!$C$3:$C$3390,$A1157,'United Data'!$B$3:$B$3390,"&lt;&gt;Off-street")&gt;0,1,0)</f>
        <v>0</v>
      </c>
      <c r="K1157">
        <f>IF(COUNTIFS('United Data'!$A$3:$A$3390,K$1,'United Data'!$C$3:$C$3390,$A1157,'United Data'!$B$3:$B$3390,"&lt;&gt;Off-street")&gt;0,1,0)</f>
        <v>0</v>
      </c>
      <c r="L1157">
        <f>IF(COUNTIFS('United Data'!$A$3:$A$3390,L$1,'United Data'!$C$3:$C$3390,$A1157,'United Data'!$B$3:$B$3390,"&lt;&gt;Off-street")&gt;0,1,0)</f>
        <v>0</v>
      </c>
      <c r="M1157">
        <f>IF(COUNTIFS('United Data'!$A$3:$A$3390,M$1,'United Data'!$C$3:$C$3390,$A1157,'United Data'!$B$3:$B$3390,"&lt;&gt;Off-street")&gt;0,1,0)</f>
        <v>0</v>
      </c>
      <c r="N1157">
        <f>IF(COUNTIFS('United Data'!$A$3:$A$3390,N$1,'United Data'!$C$3:$C$3390,$A1157,'United Data'!$B$3:$B$3390,"&lt;&gt;Off-street")&gt;0,1,0)</f>
        <v>0</v>
      </c>
      <c r="O1157">
        <f>IF(COUNTIFS('United Data'!$A$3:$A$3390,O$1,'United Data'!$C$3:$C$3390,$A1157,'United Data'!$B$3:$B$3390,"&lt;&gt;Off-street")&gt;0,1,0)</f>
        <v>0</v>
      </c>
      <c r="P1157">
        <f>IF(COUNTIFS('United Data'!$A$3:$A$3390,P$1,'United Data'!$C$3:$C$3390,$A1157,'United Data'!$B$3:$B$3390,"&lt;&gt;Off-street")&gt;0,1,0)</f>
        <v>1</v>
      </c>
      <c r="Q1157">
        <f>IF(COUNTIFS('United Data'!$A$3:$A$3390,Q$1,'United Data'!$C$3:$C$3390,$A1157,'United Data'!$B$3:$B$3390,"&lt;&gt;Off-street")&gt;0,1,0)</f>
        <v>0</v>
      </c>
      <c r="R1157">
        <f>IF(COUNTIFS('United Data'!$A$3:$A$3390,R$1,'United Data'!$C$3:$C$3390,$A1157,'United Data'!$B$3:$B$3390,"&lt;&gt;Off-street")&gt;0,1,0)</f>
        <v>0</v>
      </c>
      <c r="S1157">
        <f t="shared" si="36"/>
        <v>1</v>
      </c>
      <c r="T1157">
        <f t="shared" si="37"/>
        <v>1</v>
      </c>
    </row>
    <row r="1158" spans="1:20" x14ac:dyDescent="0.2">
      <c r="A1158" t="s">
        <v>1379</v>
      </c>
      <c r="B1158">
        <f>IF(COUNTIFS('United Data'!$A$3:$A$3390,B$1,'United Data'!$C$3:$C$3390,$A1158,'United Data'!$B$3:$B$3390,"&lt;&gt;Off-street")&gt;0,1,0)</f>
        <v>0</v>
      </c>
      <c r="C1158">
        <f>IF(COUNTIFS('United Data'!$A$3:$A$3390,C$1,'United Data'!$C$3:$C$3390,$A1158,'United Data'!$B$3:$B$3390,"&lt;&gt;Off-street")&gt;0,1,0)</f>
        <v>0</v>
      </c>
      <c r="D1158">
        <f>IF(COUNTIFS('United Data'!$A$3:$A$3390,D$1,'United Data'!$C$3:$C$3390,$A1158,'United Data'!$B$3:$B$3390,"&lt;&gt;Off-street")&gt;0,1,0)</f>
        <v>0</v>
      </c>
      <c r="E1158">
        <f>IF(COUNTIFS('United Data'!$A$3:$A$3390,E$1,'United Data'!$C$3:$C$3390,$A1158,'United Data'!$B$3:$B$3390,"&lt;&gt;Off-street")&gt;0,1,0)</f>
        <v>0</v>
      </c>
      <c r="F1158">
        <f>IF(COUNTIFS('United Data'!$A$3:$A$3390,F$1,'United Data'!$C$3:$C$3390,$A1158,'United Data'!$B$3:$B$3390,"&lt;&gt;Off-street")&gt;0,1,0)</f>
        <v>0</v>
      </c>
      <c r="G1158">
        <f>IF(COUNTIFS('United Data'!$A$3:$A$3390,G$1,'United Data'!$C$3:$C$3390,$A1158,'United Data'!$B$3:$B$3390,"&lt;&gt;Off-street")&gt;0,1,0)</f>
        <v>0</v>
      </c>
      <c r="H1158">
        <f>IF(COUNTIFS('United Data'!$A$3:$A$3390,H$1,'United Data'!$C$3:$C$3390,$A1158,'United Data'!$B$3:$B$3390,"&lt;&gt;Off-street")&gt;0,1,0)</f>
        <v>0</v>
      </c>
      <c r="I1158">
        <f>IF(COUNTIFS('United Data'!$A$3:$A$3390,I$1,'United Data'!$C$3:$C$3390,$A1158,'United Data'!$B$3:$B$3390,"&lt;&gt;Off-street")&gt;0,1,0)</f>
        <v>0</v>
      </c>
      <c r="J1158">
        <f>IF(COUNTIFS('United Data'!$A$3:$A$3390,J$1,'United Data'!$C$3:$C$3390,$A1158,'United Data'!$B$3:$B$3390,"&lt;&gt;Off-street")&gt;0,1,0)</f>
        <v>0</v>
      </c>
      <c r="K1158">
        <f>IF(COUNTIFS('United Data'!$A$3:$A$3390,K$1,'United Data'!$C$3:$C$3390,$A1158,'United Data'!$B$3:$B$3390,"&lt;&gt;Off-street")&gt;0,1,0)</f>
        <v>0</v>
      </c>
      <c r="L1158">
        <f>IF(COUNTIFS('United Data'!$A$3:$A$3390,L$1,'United Data'!$C$3:$C$3390,$A1158,'United Data'!$B$3:$B$3390,"&lt;&gt;Off-street")&gt;0,1,0)</f>
        <v>0</v>
      </c>
      <c r="M1158">
        <f>IF(COUNTIFS('United Data'!$A$3:$A$3390,M$1,'United Data'!$C$3:$C$3390,$A1158,'United Data'!$B$3:$B$3390,"&lt;&gt;Off-street")&gt;0,1,0)</f>
        <v>0</v>
      </c>
      <c r="N1158">
        <f>IF(COUNTIFS('United Data'!$A$3:$A$3390,N$1,'United Data'!$C$3:$C$3390,$A1158,'United Data'!$B$3:$B$3390,"&lt;&gt;Off-street")&gt;0,1,0)</f>
        <v>0</v>
      </c>
      <c r="O1158">
        <f>IF(COUNTIFS('United Data'!$A$3:$A$3390,O$1,'United Data'!$C$3:$C$3390,$A1158,'United Data'!$B$3:$B$3390,"&lt;&gt;Off-street")&gt;0,1,0)</f>
        <v>0</v>
      </c>
      <c r="P1158">
        <f>IF(COUNTIFS('United Data'!$A$3:$A$3390,P$1,'United Data'!$C$3:$C$3390,$A1158,'United Data'!$B$3:$B$3390,"&lt;&gt;Off-street")&gt;0,1,0)</f>
        <v>1</v>
      </c>
      <c r="Q1158">
        <f>IF(COUNTIFS('United Data'!$A$3:$A$3390,Q$1,'United Data'!$C$3:$C$3390,$A1158,'United Data'!$B$3:$B$3390,"&lt;&gt;Off-street")&gt;0,1,0)</f>
        <v>0</v>
      </c>
      <c r="R1158">
        <f>IF(COUNTIFS('United Data'!$A$3:$A$3390,R$1,'United Data'!$C$3:$C$3390,$A1158,'United Data'!$B$3:$B$3390,"&lt;&gt;Off-street")&gt;0,1,0)</f>
        <v>0</v>
      </c>
      <c r="S1158">
        <f t="shared" si="36"/>
        <v>1</v>
      </c>
      <c r="T1158">
        <f t="shared" si="37"/>
        <v>1</v>
      </c>
    </row>
    <row r="1159" spans="1:20" x14ac:dyDescent="0.2">
      <c r="A1159" t="s">
        <v>1380</v>
      </c>
      <c r="B1159">
        <f>IF(COUNTIFS('United Data'!$A$3:$A$3390,B$1,'United Data'!$C$3:$C$3390,$A1159,'United Data'!$B$3:$B$3390,"&lt;&gt;Off-street")&gt;0,1,0)</f>
        <v>0</v>
      </c>
      <c r="C1159">
        <f>IF(COUNTIFS('United Data'!$A$3:$A$3390,C$1,'United Data'!$C$3:$C$3390,$A1159,'United Data'!$B$3:$B$3390,"&lt;&gt;Off-street")&gt;0,1,0)</f>
        <v>0</v>
      </c>
      <c r="D1159">
        <f>IF(COUNTIFS('United Data'!$A$3:$A$3390,D$1,'United Data'!$C$3:$C$3390,$A1159,'United Data'!$B$3:$B$3390,"&lt;&gt;Off-street")&gt;0,1,0)</f>
        <v>0</v>
      </c>
      <c r="E1159">
        <f>IF(COUNTIFS('United Data'!$A$3:$A$3390,E$1,'United Data'!$C$3:$C$3390,$A1159,'United Data'!$B$3:$B$3390,"&lt;&gt;Off-street")&gt;0,1,0)</f>
        <v>0</v>
      </c>
      <c r="F1159">
        <f>IF(COUNTIFS('United Data'!$A$3:$A$3390,F$1,'United Data'!$C$3:$C$3390,$A1159,'United Data'!$B$3:$B$3390,"&lt;&gt;Off-street")&gt;0,1,0)</f>
        <v>0</v>
      </c>
      <c r="G1159">
        <f>IF(COUNTIFS('United Data'!$A$3:$A$3390,G$1,'United Data'!$C$3:$C$3390,$A1159,'United Data'!$B$3:$B$3390,"&lt;&gt;Off-street")&gt;0,1,0)</f>
        <v>0</v>
      </c>
      <c r="H1159">
        <f>IF(COUNTIFS('United Data'!$A$3:$A$3390,H$1,'United Data'!$C$3:$C$3390,$A1159,'United Data'!$B$3:$B$3390,"&lt;&gt;Off-street")&gt;0,1,0)</f>
        <v>0</v>
      </c>
      <c r="I1159">
        <f>IF(COUNTIFS('United Data'!$A$3:$A$3390,I$1,'United Data'!$C$3:$C$3390,$A1159,'United Data'!$B$3:$B$3390,"&lt;&gt;Off-street")&gt;0,1,0)</f>
        <v>0</v>
      </c>
      <c r="J1159">
        <f>IF(COUNTIFS('United Data'!$A$3:$A$3390,J$1,'United Data'!$C$3:$C$3390,$A1159,'United Data'!$B$3:$B$3390,"&lt;&gt;Off-street")&gt;0,1,0)</f>
        <v>0</v>
      </c>
      <c r="K1159">
        <f>IF(COUNTIFS('United Data'!$A$3:$A$3390,K$1,'United Data'!$C$3:$C$3390,$A1159,'United Data'!$B$3:$B$3390,"&lt;&gt;Off-street")&gt;0,1,0)</f>
        <v>0</v>
      </c>
      <c r="L1159">
        <f>IF(COUNTIFS('United Data'!$A$3:$A$3390,L$1,'United Data'!$C$3:$C$3390,$A1159,'United Data'!$B$3:$B$3390,"&lt;&gt;Off-street")&gt;0,1,0)</f>
        <v>0</v>
      </c>
      <c r="M1159">
        <f>IF(COUNTIFS('United Data'!$A$3:$A$3390,M$1,'United Data'!$C$3:$C$3390,$A1159,'United Data'!$B$3:$B$3390,"&lt;&gt;Off-street")&gt;0,1,0)</f>
        <v>0</v>
      </c>
      <c r="N1159">
        <f>IF(COUNTIFS('United Data'!$A$3:$A$3390,N$1,'United Data'!$C$3:$C$3390,$A1159,'United Data'!$B$3:$B$3390,"&lt;&gt;Off-street")&gt;0,1,0)</f>
        <v>0</v>
      </c>
      <c r="O1159">
        <f>IF(COUNTIFS('United Data'!$A$3:$A$3390,O$1,'United Data'!$C$3:$C$3390,$A1159,'United Data'!$B$3:$B$3390,"&lt;&gt;Off-street")&gt;0,1,0)</f>
        <v>0</v>
      </c>
      <c r="P1159">
        <f>IF(COUNTIFS('United Data'!$A$3:$A$3390,P$1,'United Data'!$C$3:$C$3390,$A1159,'United Data'!$B$3:$B$3390,"&lt;&gt;Off-street")&gt;0,1,0)</f>
        <v>0</v>
      </c>
      <c r="Q1159">
        <f>IF(COUNTIFS('United Data'!$A$3:$A$3390,Q$1,'United Data'!$C$3:$C$3390,$A1159,'United Data'!$B$3:$B$3390,"&lt;&gt;Off-street")&gt;0,1,0)</f>
        <v>1</v>
      </c>
      <c r="R1159">
        <f>IF(COUNTIFS('United Data'!$A$3:$A$3390,R$1,'United Data'!$C$3:$C$3390,$A1159,'United Data'!$B$3:$B$3390,"&lt;&gt;Off-street")&gt;0,1,0)</f>
        <v>0</v>
      </c>
      <c r="S1159">
        <f t="shared" si="36"/>
        <v>1</v>
      </c>
      <c r="T1159">
        <f t="shared" si="37"/>
        <v>1</v>
      </c>
    </row>
    <row r="1160" spans="1:20" x14ac:dyDescent="0.2">
      <c r="A1160" t="s">
        <v>1381</v>
      </c>
      <c r="B1160">
        <f>IF(COUNTIFS('United Data'!$A$3:$A$3390,B$1,'United Data'!$C$3:$C$3390,$A1160,'United Data'!$B$3:$B$3390,"&lt;&gt;Off-street")&gt;0,1,0)</f>
        <v>0</v>
      </c>
      <c r="C1160">
        <f>IF(COUNTIFS('United Data'!$A$3:$A$3390,C$1,'United Data'!$C$3:$C$3390,$A1160,'United Data'!$B$3:$B$3390,"&lt;&gt;Off-street")&gt;0,1,0)</f>
        <v>0</v>
      </c>
      <c r="D1160">
        <f>IF(COUNTIFS('United Data'!$A$3:$A$3390,D$1,'United Data'!$C$3:$C$3390,$A1160,'United Data'!$B$3:$B$3390,"&lt;&gt;Off-street")&gt;0,1,0)</f>
        <v>0</v>
      </c>
      <c r="E1160">
        <f>IF(COUNTIFS('United Data'!$A$3:$A$3390,E$1,'United Data'!$C$3:$C$3390,$A1160,'United Data'!$B$3:$B$3390,"&lt;&gt;Off-street")&gt;0,1,0)</f>
        <v>0</v>
      </c>
      <c r="F1160">
        <f>IF(COUNTIFS('United Data'!$A$3:$A$3390,F$1,'United Data'!$C$3:$C$3390,$A1160,'United Data'!$B$3:$B$3390,"&lt;&gt;Off-street")&gt;0,1,0)</f>
        <v>0</v>
      </c>
      <c r="G1160">
        <f>IF(COUNTIFS('United Data'!$A$3:$A$3390,G$1,'United Data'!$C$3:$C$3390,$A1160,'United Data'!$B$3:$B$3390,"&lt;&gt;Off-street")&gt;0,1,0)</f>
        <v>0</v>
      </c>
      <c r="H1160">
        <f>IF(COUNTIFS('United Data'!$A$3:$A$3390,H$1,'United Data'!$C$3:$C$3390,$A1160,'United Data'!$B$3:$B$3390,"&lt;&gt;Off-street")&gt;0,1,0)</f>
        <v>0</v>
      </c>
      <c r="I1160">
        <f>IF(COUNTIFS('United Data'!$A$3:$A$3390,I$1,'United Data'!$C$3:$C$3390,$A1160,'United Data'!$B$3:$B$3390,"&lt;&gt;Off-street")&gt;0,1,0)</f>
        <v>0</v>
      </c>
      <c r="J1160">
        <f>IF(COUNTIFS('United Data'!$A$3:$A$3390,J$1,'United Data'!$C$3:$C$3390,$A1160,'United Data'!$B$3:$B$3390,"&lt;&gt;Off-street")&gt;0,1,0)</f>
        <v>0</v>
      </c>
      <c r="K1160">
        <f>IF(COUNTIFS('United Data'!$A$3:$A$3390,K$1,'United Data'!$C$3:$C$3390,$A1160,'United Data'!$B$3:$B$3390,"&lt;&gt;Off-street")&gt;0,1,0)</f>
        <v>0</v>
      </c>
      <c r="L1160">
        <f>IF(COUNTIFS('United Data'!$A$3:$A$3390,L$1,'United Data'!$C$3:$C$3390,$A1160,'United Data'!$B$3:$B$3390,"&lt;&gt;Off-street")&gt;0,1,0)</f>
        <v>0</v>
      </c>
      <c r="M1160">
        <f>IF(COUNTIFS('United Data'!$A$3:$A$3390,M$1,'United Data'!$C$3:$C$3390,$A1160,'United Data'!$B$3:$B$3390,"&lt;&gt;Off-street")&gt;0,1,0)</f>
        <v>0</v>
      </c>
      <c r="N1160">
        <f>IF(COUNTIFS('United Data'!$A$3:$A$3390,N$1,'United Data'!$C$3:$C$3390,$A1160,'United Data'!$B$3:$B$3390,"&lt;&gt;Off-street")&gt;0,1,0)</f>
        <v>0</v>
      </c>
      <c r="O1160">
        <f>IF(COUNTIFS('United Data'!$A$3:$A$3390,O$1,'United Data'!$C$3:$C$3390,$A1160,'United Data'!$B$3:$B$3390,"&lt;&gt;Off-street")&gt;0,1,0)</f>
        <v>0</v>
      </c>
      <c r="P1160">
        <f>IF(COUNTIFS('United Data'!$A$3:$A$3390,P$1,'United Data'!$C$3:$C$3390,$A1160,'United Data'!$B$3:$B$3390,"&lt;&gt;Off-street")&gt;0,1,0)</f>
        <v>0</v>
      </c>
      <c r="Q1160">
        <f>IF(COUNTIFS('United Data'!$A$3:$A$3390,Q$1,'United Data'!$C$3:$C$3390,$A1160,'United Data'!$B$3:$B$3390,"&lt;&gt;Off-street")&gt;0,1,0)</f>
        <v>1</v>
      </c>
      <c r="R1160">
        <f>IF(COUNTIFS('United Data'!$A$3:$A$3390,R$1,'United Data'!$C$3:$C$3390,$A1160,'United Data'!$B$3:$B$3390,"&lt;&gt;Off-street")&gt;0,1,0)</f>
        <v>0</v>
      </c>
      <c r="S1160">
        <f t="shared" si="36"/>
        <v>1</v>
      </c>
      <c r="T1160">
        <f t="shared" si="37"/>
        <v>1</v>
      </c>
    </row>
    <row r="1161" spans="1:20" x14ac:dyDescent="0.2">
      <c r="A1161" t="s">
        <v>1382</v>
      </c>
      <c r="B1161">
        <f>IF(COUNTIFS('United Data'!$A$3:$A$3390,B$1,'United Data'!$C$3:$C$3390,$A1161,'United Data'!$B$3:$B$3390,"&lt;&gt;Off-street")&gt;0,1,0)</f>
        <v>0</v>
      </c>
      <c r="C1161">
        <f>IF(COUNTIFS('United Data'!$A$3:$A$3390,C$1,'United Data'!$C$3:$C$3390,$A1161,'United Data'!$B$3:$B$3390,"&lt;&gt;Off-street")&gt;0,1,0)</f>
        <v>0</v>
      </c>
      <c r="D1161">
        <f>IF(COUNTIFS('United Data'!$A$3:$A$3390,D$1,'United Data'!$C$3:$C$3390,$A1161,'United Data'!$B$3:$B$3390,"&lt;&gt;Off-street")&gt;0,1,0)</f>
        <v>0</v>
      </c>
      <c r="E1161">
        <f>IF(COUNTIFS('United Data'!$A$3:$A$3390,E$1,'United Data'!$C$3:$C$3390,$A1161,'United Data'!$B$3:$B$3390,"&lt;&gt;Off-street")&gt;0,1,0)</f>
        <v>0</v>
      </c>
      <c r="F1161">
        <f>IF(COUNTIFS('United Data'!$A$3:$A$3390,F$1,'United Data'!$C$3:$C$3390,$A1161,'United Data'!$B$3:$B$3390,"&lt;&gt;Off-street")&gt;0,1,0)</f>
        <v>0</v>
      </c>
      <c r="G1161">
        <f>IF(COUNTIFS('United Data'!$A$3:$A$3390,G$1,'United Data'!$C$3:$C$3390,$A1161,'United Data'!$B$3:$B$3390,"&lt;&gt;Off-street")&gt;0,1,0)</f>
        <v>0</v>
      </c>
      <c r="H1161">
        <f>IF(COUNTIFS('United Data'!$A$3:$A$3390,H$1,'United Data'!$C$3:$C$3390,$A1161,'United Data'!$B$3:$B$3390,"&lt;&gt;Off-street")&gt;0,1,0)</f>
        <v>0</v>
      </c>
      <c r="I1161">
        <f>IF(COUNTIFS('United Data'!$A$3:$A$3390,I$1,'United Data'!$C$3:$C$3390,$A1161,'United Data'!$B$3:$B$3390,"&lt;&gt;Off-street")&gt;0,1,0)</f>
        <v>0</v>
      </c>
      <c r="J1161">
        <f>IF(COUNTIFS('United Data'!$A$3:$A$3390,J$1,'United Data'!$C$3:$C$3390,$A1161,'United Data'!$B$3:$B$3390,"&lt;&gt;Off-street")&gt;0,1,0)</f>
        <v>0</v>
      </c>
      <c r="K1161">
        <f>IF(COUNTIFS('United Data'!$A$3:$A$3390,K$1,'United Data'!$C$3:$C$3390,$A1161,'United Data'!$B$3:$B$3390,"&lt;&gt;Off-street")&gt;0,1,0)</f>
        <v>0</v>
      </c>
      <c r="L1161">
        <f>IF(COUNTIFS('United Data'!$A$3:$A$3390,L$1,'United Data'!$C$3:$C$3390,$A1161,'United Data'!$B$3:$B$3390,"&lt;&gt;Off-street")&gt;0,1,0)</f>
        <v>0</v>
      </c>
      <c r="M1161">
        <f>IF(COUNTIFS('United Data'!$A$3:$A$3390,M$1,'United Data'!$C$3:$C$3390,$A1161,'United Data'!$B$3:$B$3390,"&lt;&gt;Off-street")&gt;0,1,0)</f>
        <v>0</v>
      </c>
      <c r="N1161">
        <f>IF(COUNTIFS('United Data'!$A$3:$A$3390,N$1,'United Data'!$C$3:$C$3390,$A1161,'United Data'!$B$3:$B$3390,"&lt;&gt;Off-street")&gt;0,1,0)</f>
        <v>0</v>
      </c>
      <c r="O1161">
        <f>IF(COUNTIFS('United Data'!$A$3:$A$3390,O$1,'United Data'!$C$3:$C$3390,$A1161,'United Data'!$B$3:$B$3390,"&lt;&gt;Off-street")&gt;0,1,0)</f>
        <v>0</v>
      </c>
      <c r="P1161">
        <f>IF(COUNTIFS('United Data'!$A$3:$A$3390,P$1,'United Data'!$C$3:$C$3390,$A1161,'United Data'!$B$3:$B$3390,"&lt;&gt;Off-street")&gt;0,1,0)</f>
        <v>0</v>
      </c>
      <c r="Q1161">
        <f>IF(COUNTIFS('United Data'!$A$3:$A$3390,Q$1,'United Data'!$C$3:$C$3390,$A1161,'United Data'!$B$3:$B$3390,"&lt;&gt;Off-street")&gt;0,1,0)</f>
        <v>1</v>
      </c>
      <c r="R1161">
        <f>IF(COUNTIFS('United Data'!$A$3:$A$3390,R$1,'United Data'!$C$3:$C$3390,$A1161,'United Data'!$B$3:$B$3390,"&lt;&gt;Off-street")&gt;0,1,0)</f>
        <v>0</v>
      </c>
      <c r="S1161">
        <f t="shared" si="36"/>
        <v>1</v>
      </c>
      <c r="T1161">
        <f t="shared" si="37"/>
        <v>1</v>
      </c>
    </row>
    <row r="1162" spans="1:20" x14ac:dyDescent="0.2">
      <c r="A1162" t="s">
        <v>1383</v>
      </c>
      <c r="B1162">
        <f>IF(COUNTIFS('United Data'!$A$3:$A$3390,B$1,'United Data'!$C$3:$C$3390,$A1162,'United Data'!$B$3:$B$3390,"&lt;&gt;Off-street")&gt;0,1,0)</f>
        <v>0</v>
      </c>
      <c r="C1162">
        <f>IF(COUNTIFS('United Data'!$A$3:$A$3390,C$1,'United Data'!$C$3:$C$3390,$A1162,'United Data'!$B$3:$B$3390,"&lt;&gt;Off-street")&gt;0,1,0)</f>
        <v>0</v>
      </c>
      <c r="D1162">
        <f>IF(COUNTIFS('United Data'!$A$3:$A$3390,D$1,'United Data'!$C$3:$C$3390,$A1162,'United Data'!$B$3:$B$3390,"&lt;&gt;Off-street")&gt;0,1,0)</f>
        <v>0</v>
      </c>
      <c r="E1162">
        <f>IF(COUNTIFS('United Data'!$A$3:$A$3390,E$1,'United Data'!$C$3:$C$3390,$A1162,'United Data'!$B$3:$B$3390,"&lt;&gt;Off-street")&gt;0,1,0)</f>
        <v>0</v>
      </c>
      <c r="F1162">
        <f>IF(COUNTIFS('United Data'!$A$3:$A$3390,F$1,'United Data'!$C$3:$C$3390,$A1162,'United Data'!$B$3:$B$3390,"&lt;&gt;Off-street")&gt;0,1,0)</f>
        <v>0</v>
      </c>
      <c r="G1162">
        <f>IF(COUNTIFS('United Data'!$A$3:$A$3390,G$1,'United Data'!$C$3:$C$3390,$A1162,'United Data'!$B$3:$B$3390,"&lt;&gt;Off-street")&gt;0,1,0)</f>
        <v>0</v>
      </c>
      <c r="H1162">
        <f>IF(COUNTIFS('United Data'!$A$3:$A$3390,H$1,'United Data'!$C$3:$C$3390,$A1162,'United Data'!$B$3:$B$3390,"&lt;&gt;Off-street")&gt;0,1,0)</f>
        <v>0</v>
      </c>
      <c r="I1162">
        <f>IF(COUNTIFS('United Data'!$A$3:$A$3390,I$1,'United Data'!$C$3:$C$3390,$A1162,'United Data'!$B$3:$B$3390,"&lt;&gt;Off-street")&gt;0,1,0)</f>
        <v>0</v>
      </c>
      <c r="J1162">
        <f>IF(COUNTIFS('United Data'!$A$3:$A$3390,J$1,'United Data'!$C$3:$C$3390,$A1162,'United Data'!$B$3:$B$3390,"&lt;&gt;Off-street")&gt;0,1,0)</f>
        <v>0</v>
      </c>
      <c r="K1162">
        <f>IF(COUNTIFS('United Data'!$A$3:$A$3390,K$1,'United Data'!$C$3:$C$3390,$A1162,'United Data'!$B$3:$B$3390,"&lt;&gt;Off-street")&gt;0,1,0)</f>
        <v>0</v>
      </c>
      <c r="L1162">
        <f>IF(COUNTIFS('United Data'!$A$3:$A$3390,L$1,'United Data'!$C$3:$C$3390,$A1162,'United Data'!$B$3:$B$3390,"&lt;&gt;Off-street")&gt;0,1,0)</f>
        <v>0</v>
      </c>
      <c r="M1162">
        <f>IF(COUNTIFS('United Data'!$A$3:$A$3390,M$1,'United Data'!$C$3:$C$3390,$A1162,'United Data'!$B$3:$B$3390,"&lt;&gt;Off-street")&gt;0,1,0)</f>
        <v>0</v>
      </c>
      <c r="N1162">
        <f>IF(COUNTIFS('United Data'!$A$3:$A$3390,N$1,'United Data'!$C$3:$C$3390,$A1162,'United Data'!$B$3:$B$3390,"&lt;&gt;Off-street")&gt;0,1,0)</f>
        <v>0</v>
      </c>
      <c r="O1162">
        <f>IF(COUNTIFS('United Data'!$A$3:$A$3390,O$1,'United Data'!$C$3:$C$3390,$A1162,'United Data'!$B$3:$B$3390,"&lt;&gt;Off-street")&gt;0,1,0)</f>
        <v>0</v>
      </c>
      <c r="P1162">
        <f>IF(COUNTIFS('United Data'!$A$3:$A$3390,P$1,'United Data'!$C$3:$C$3390,$A1162,'United Data'!$B$3:$B$3390,"&lt;&gt;Off-street")&gt;0,1,0)</f>
        <v>0</v>
      </c>
      <c r="Q1162">
        <f>IF(COUNTIFS('United Data'!$A$3:$A$3390,Q$1,'United Data'!$C$3:$C$3390,$A1162,'United Data'!$B$3:$B$3390,"&lt;&gt;Off-street")&gt;0,1,0)</f>
        <v>1</v>
      </c>
      <c r="R1162">
        <f>IF(COUNTIFS('United Data'!$A$3:$A$3390,R$1,'United Data'!$C$3:$C$3390,$A1162,'United Data'!$B$3:$B$3390,"&lt;&gt;Off-street")&gt;0,1,0)</f>
        <v>1</v>
      </c>
      <c r="S1162">
        <f t="shared" si="36"/>
        <v>2</v>
      </c>
      <c r="T1162">
        <f t="shared" si="37"/>
        <v>1</v>
      </c>
    </row>
    <row r="1163" spans="1:20" x14ac:dyDescent="0.2">
      <c r="A1163" t="s">
        <v>1384</v>
      </c>
      <c r="B1163">
        <f>IF(COUNTIFS('United Data'!$A$3:$A$3390,B$1,'United Data'!$C$3:$C$3390,$A1163,'United Data'!$B$3:$B$3390,"&lt;&gt;Off-street")&gt;0,1,0)</f>
        <v>0</v>
      </c>
      <c r="C1163">
        <f>IF(COUNTIFS('United Data'!$A$3:$A$3390,C$1,'United Data'!$C$3:$C$3390,$A1163,'United Data'!$B$3:$B$3390,"&lt;&gt;Off-street")&gt;0,1,0)</f>
        <v>0</v>
      </c>
      <c r="D1163">
        <f>IF(COUNTIFS('United Data'!$A$3:$A$3390,D$1,'United Data'!$C$3:$C$3390,$A1163,'United Data'!$B$3:$B$3390,"&lt;&gt;Off-street")&gt;0,1,0)</f>
        <v>0</v>
      </c>
      <c r="E1163">
        <f>IF(COUNTIFS('United Data'!$A$3:$A$3390,E$1,'United Data'!$C$3:$C$3390,$A1163,'United Data'!$B$3:$B$3390,"&lt;&gt;Off-street")&gt;0,1,0)</f>
        <v>0</v>
      </c>
      <c r="F1163">
        <f>IF(COUNTIFS('United Data'!$A$3:$A$3390,F$1,'United Data'!$C$3:$C$3390,$A1163,'United Data'!$B$3:$B$3390,"&lt;&gt;Off-street")&gt;0,1,0)</f>
        <v>0</v>
      </c>
      <c r="G1163">
        <f>IF(COUNTIFS('United Data'!$A$3:$A$3390,G$1,'United Data'!$C$3:$C$3390,$A1163,'United Data'!$B$3:$B$3390,"&lt;&gt;Off-street")&gt;0,1,0)</f>
        <v>0</v>
      </c>
      <c r="H1163">
        <f>IF(COUNTIFS('United Data'!$A$3:$A$3390,H$1,'United Data'!$C$3:$C$3390,$A1163,'United Data'!$B$3:$B$3390,"&lt;&gt;Off-street")&gt;0,1,0)</f>
        <v>0</v>
      </c>
      <c r="I1163">
        <f>IF(COUNTIFS('United Data'!$A$3:$A$3390,I$1,'United Data'!$C$3:$C$3390,$A1163,'United Data'!$B$3:$B$3390,"&lt;&gt;Off-street")&gt;0,1,0)</f>
        <v>0</v>
      </c>
      <c r="J1163">
        <f>IF(COUNTIFS('United Data'!$A$3:$A$3390,J$1,'United Data'!$C$3:$C$3390,$A1163,'United Data'!$B$3:$B$3390,"&lt;&gt;Off-street")&gt;0,1,0)</f>
        <v>0</v>
      </c>
      <c r="K1163">
        <f>IF(COUNTIFS('United Data'!$A$3:$A$3390,K$1,'United Data'!$C$3:$C$3390,$A1163,'United Data'!$B$3:$B$3390,"&lt;&gt;Off-street")&gt;0,1,0)</f>
        <v>0</v>
      </c>
      <c r="L1163">
        <f>IF(COUNTIFS('United Data'!$A$3:$A$3390,L$1,'United Data'!$C$3:$C$3390,$A1163,'United Data'!$B$3:$B$3390,"&lt;&gt;Off-street")&gt;0,1,0)</f>
        <v>0</v>
      </c>
      <c r="M1163">
        <f>IF(COUNTIFS('United Data'!$A$3:$A$3390,M$1,'United Data'!$C$3:$C$3390,$A1163,'United Data'!$B$3:$B$3390,"&lt;&gt;Off-street")&gt;0,1,0)</f>
        <v>0</v>
      </c>
      <c r="N1163">
        <f>IF(COUNTIFS('United Data'!$A$3:$A$3390,N$1,'United Data'!$C$3:$C$3390,$A1163,'United Data'!$B$3:$B$3390,"&lt;&gt;Off-street")&gt;0,1,0)</f>
        <v>0</v>
      </c>
      <c r="O1163">
        <f>IF(COUNTIFS('United Data'!$A$3:$A$3390,O$1,'United Data'!$C$3:$C$3390,$A1163,'United Data'!$B$3:$B$3390,"&lt;&gt;Off-street")&gt;0,1,0)</f>
        <v>0</v>
      </c>
      <c r="P1163">
        <f>IF(COUNTIFS('United Data'!$A$3:$A$3390,P$1,'United Data'!$C$3:$C$3390,$A1163,'United Data'!$B$3:$B$3390,"&lt;&gt;Off-street")&gt;0,1,0)</f>
        <v>0</v>
      </c>
      <c r="Q1163">
        <f>IF(COUNTIFS('United Data'!$A$3:$A$3390,Q$1,'United Data'!$C$3:$C$3390,$A1163,'United Data'!$B$3:$B$3390,"&lt;&gt;Off-street")&gt;0,1,0)</f>
        <v>1</v>
      </c>
      <c r="R1163">
        <f>IF(COUNTIFS('United Data'!$A$3:$A$3390,R$1,'United Data'!$C$3:$C$3390,$A1163,'United Data'!$B$3:$B$3390,"&lt;&gt;Off-street")&gt;0,1,0)</f>
        <v>0</v>
      </c>
      <c r="S1163">
        <f t="shared" si="36"/>
        <v>1</v>
      </c>
      <c r="T1163">
        <f t="shared" si="37"/>
        <v>1</v>
      </c>
    </row>
    <row r="1164" spans="1:20" x14ac:dyDescent="0.2">
      <c r="A1164" t="s">
        <v>1385</v>
      </c>
      <c r="B1164">
        <f>IF(COUNTIFS('United Data'!$A$3:$A$3390,B$1,'United Data'!$C$3:$C$3390,$A1164,'United Data'!$B$3:$B$3390,"&lt;&gt;Off-street")&gt;0,1,0)</f>
        <v>0</v>
      </c>
      <c r="C1164">
        <f>IF(COUNTIFS('United Data'!$A$3:$A$3390,C$1,'United Data'!$C$3:$C$3390,$A1164,'United Data'!$B$3:$B$3390,"&lt;&gt;Off-street")&gt;0,1,0)</f>
        <v>0</v>
      </c>
      <c r="D1164">
        <f>IF(COUNTIFS('United Data'!$A$3:$A$3390,D$1,'United Data'!$C$3:$C$3390,$A1164,'United Data'!$B$3:$B$3390,"&lt;&gt;Off-street")&gt;0,1,0)</f>
        <v>0</v>
      </c>
      <c r="E1164">
        <f>IF(COUNTIFS('United Data'!$A$3:$A$3390,E$1,'United Data'!$C$3:$C$3390,$A1164,'United Data'!$B$3:$B$3390,"&lt;&gt;Off-street")&gt;0,1,0)</f>
        <v>0</v>
      </c>
      <c r="F1164">
        <f>IF(COUNTIFS('United Data'!$A$3:$A$3390,F$1,'United Data'!$C$3:$C$3390,$A1164,'United Data'!$B$3:$B$3390,"&lt;&gt;Off-street")&gt;0,1,0)</f>
        <v>0</v>
      </c>
      <c r="G1164">
        <f>IF(COUNTIFS('United Data'!$A$3:$A$3390,G$1,'United Data'!$C$3:$C$3390,$A1164,'United Data'!$B$3:$B$3390,"&lt;&gt;Off-street")&gt;0,1,0)</f>
        <v>0</v>
      </c>
      <c r="H1164">
        <f>IF(COUNTIFS('United Data'!$A$3:$A$3390,H$1,'United Data'!$C$3:$C$3390,$A1164,'United Data'!$B$3:$B$3390,"&lt;&gt;Off-street")&gt;0,1,0)</f>
        <v>0</v>
      </c>
      <c r="I1164">
        <f>IF(COUNTIFS('United Data'!$A$3:$A$3390,I$1,'United Data'!$C$3:$C$3390,$A1164,'United Data'!$B$3:$B$3390,"&lt;&gt;Off-street")&gt;0,1,0)</f>
        <v>0</v>
      </c>
      <c r="J1164">
        <f>IF(COUNTIFS('United Data'!$A$3:$A$3390,J$1,'United Data'!$C$3:$C$3390,$A1164,'United Data'!$B$3:$B$3390,"&lt;&gt;Off-street")&gt;0,1,0)</f>
        <v>0</v>
      </c>
      <c r="K1164">
        <f>IF(COUNTIFS('United Data'!$A$3:$A$3390,K$1,'United Data'!$C$3:$C$3390,$A1164,'United Data'!$B$3:$B$3390,"&lt;&gt;Off-street")&gt;0,1,0)</f>
        <v>0</v>
      </c>
      <c r="L1164">
        <f>IF(COUNTIFS('United Data'!$A$3:$A$3390,L$1,'United Data'!$C$3:$C$3390,$A1164,'United Data'!$B$3:$B$3390,"&lt;&gt;Off-street")&gt;0,1,0)</f>
        <v>0</v>
      </c>
      <c r="M1164">
        <f>IF(COUNTIFS('United Data'!$A$3:$A$3390,M$1,'United Data'!$C$3:$C$3390,$A1164,'United Data'!$B$3:$B$3390,"&lt;&gt;Off-street")&gt;0,1,0)</f>
        <v>0</v>
      </c>
      <c r="N1164">
        <f>IF(COUNTIFS('United Data'!$A$3:$A$3390,N$1,'United Data'!$C$3:$C$3390,$A1164,'United Data'!$B$3:$B$3390,"&lt;&gt;Off-street")&gt;0,1,0)</f>
        <v>0</v>
      </c>
      <c r="O1164">
        <f>IF(COUNTIFS('United Data'!$A$3:$A$3390,O$1,'United Data'!$C$3:$C$3390,$A1164,'United Data'!$B$3:$B$3390,"&lt;&gt;Off-street")&gt;0,1,0)</f>
        <v>0</v>
      </c>
      <c r="P1164">
        <f>IF(COUNTIFS('United Data'!$A$3:$A$3390,P$1,'United Data'!$C$3:$C$3390,$A1164,'United Data'!$B$3:$B$3390,"&lt;&gt;Off-street")&gt;0,1,0)</f>
        <v>0</v>
      </c>
      <c r="Q1164">
        <f>IF(COUNTIFS('United Data'!$A$3:$A$3390,Q$1,'United Data'!$C$3:$C$3390,$A1164,'United Data'!$B$3:$B$3390,"&lt;&gt;Off-street")&gt;0,1,0)</f>
        <v>1</v>
      </c>
      <c r="R1164">
        <f>IF(COUNTIFS('United Data'!$A$3:$A$3390,R$1,'United Data'!$C$3:$C$3390,$A1164,'United Data'!$B$3:$B$3390,"&lt;&gt;Off-street")&gt;0,1,0)</f>
        <v>0</v>
      </c>
      <c r="S1164">
        <f t="shared" si="36"/>
        <v>1</v>
      </c>
      <c r="T1164">
        <f t="shared" si="37"/>
        <v>1</v>
      </c>
    </row>
    <row r="1165" spans="1:20" x14ac:dyDescent="0.2">
      <c r="A1165" t="s">
        <v>1386</v>
      </c>
      <c r="B1165">
        <f>IF(COUNTIFS('United Data'!$A$3:$A$3390,B$1,'United Data'!$C$3:$C$3390,$A1165,'United Data'!$B$3:$B$3390,"&lt;&gt;Off-street")&gt;0,1,0)</f>
        <v>0</v>
      </c>
      <c r="C1165">
        <f>IF(COUNTIFS('United Data'!$A$3:$A$3390,C$1,'United Data'!$C$3:$C$3390,$A1165,'United Data'!$B$3:$B$3390,"&lt;&gt;Off-street")&gt;0,1,0)</f>
        <v>0</v>
      </c>
      <c r="D1165">
        <f>IF(COUNTIFS('United Data'!$A$3:$A$3390,D$1,'United Data'!$C$3:$C$3390,$A1165,'United Data'!$B$3:$B$3390,"&lt;&gt;Off-street")&gt;0,1,0)</f>
        <v>0</v>
      </c>
      <c r="E1165">
        <f>IF(COUNTIFS('United Data'!$A$3:$A$3390,E$1,'United Data'!$C$3:$C$3390,$A1165,'United Data'!$B$3:$B$3390,"&lt;&gt;Off-street")&gt;0,1,0)</f>
        <v>0</v>
      </c>
      <c r="F1165">
        <f>IF(COUNTIFS('United Data'!$A$3:$A$3390,F$1,'United Data'!$C$3:$C$3390,$A1165,'United Data'!$B$3:$B$3390,"&lt;&gt;Off-street")&gt;0,1,0)</f>
        <v>0</v>
      </c>
      <c r="G1165">
        <f>IF(COUNTIFS('United Data'!$A$3:$A$3390,G$1,'United Data'!$C$3:$C$3390,$A1165,'United Data'!$B$3:$B$3390,"&lt;&gt;Off-street")&gt;0,1,0)</f>
        <v>0</v>
      </c>
      <c r="H1165">
        <f>IF(COUNTIFS('United Data'!$A$3:$A$3390,H$1,'United Data'!$C$3:$C$3390,$A1165,'United Data'!$B$3:$B$3390,"&lt;&gt;Off-street")&gt;0,1,0)</f>
        <v>0</v>
      </c>
      <c r="I1165">
        <f>IF(COUNTIFS('United Data'!$A$3:$A$3390,I$1,'United Data'!$C$3:$C$3390,$A1165,'United Data'!$B$3:$B$3390,"&lt;&gt;Off-street")&gt;0,1,0)</f>
        <v>0</v>
      </c>
      <c r="J1165">
        <f>IF(COUNTIFS('United Data'!$A$3:$A$3390,J$1,'United Data'!$C$3:$C$3390,$A1165,'United Data'!$B$3:$B$3390,"&lt;&gt;Off-street")&gt;0,1,0)</f>
        <v>0</v>
      </c>
      <c r="K1165">
        <f>IF(COUNTIFS('United Data'!$A$3:$A$3390,K$1,'United Data'!$C$3:$C$3390,$A1165,'United Data'!$B$3:$B$3390,"&lt;&gt;Off-street")&gt;0,1,0)</f>
        <v>0</v>
      </c>
      <c r="L1165">
        <f>IF(COUNTIFS('United Data'!$A$3:$A$3390,L$1,'United Data'!$C$3:$C$3390,$A1165,'United Data'!$B$3:$B$3390,"&lt;&gt;Off-street")&gt;0,1,0)</f>
        <v>0</v>
      </c>
      <c r="M1165">
        <f>IF(COUNTIFS('United Data'!$A$3:$A$3390,M$1,'United Data'!$C$3:$C$3390,$A1165,'United Data'!$B$3:$B$3390,"&lt;&gt;Off-street")&gt;0,1,0)</f>
        <v>0</v>
      </c>
      <c r="N1165">
        <f>IF(COUNTIFS('United Data'!$A$3:$A$3390,N$1,'United Data'!$C$3:$C$3390,$A1165,'United Data'!$B$3:$B$3390,"&lt;&gt;Off-street")&gt;0,1,0)</f>
        <v>0</v>
      </c>
      <c r="O1165">
        <f>IF(COUNTIFS('United Data'!$A$3:$A$3390,O$1,'United Data'!$C$3:$C$3390,$A1165,'United Data'!$B$3:$B$3390,"&lt;&gt;Off-street")&gt;0,1,0)</f>
        <v>0</v>
      </c>
      <c r="P1165">
        <f>IF(COUNTIFS('United Data'!$A$3:$A$3390,P$1,'United Data'!$C$3:$C$3390,$A1165,'United Data'!$B$3:$B$3390,"&lt;&gt;Off-street")&gt;0,1,0)</f>
        <v>0</v>
      </c>
      <c r="Q1165">
        <f>IF(COUNTIFS('United Data'!$A$3:$A$3390,Q$1,'United Data'!$C$3:$C$3390,$A1165,'United Data'!$B$3:$B$3390,"&lt;&gt;Off-street")&gt;0,1,0)</f>
        <v>1</v>
      </c>
      <c r="R1165">
        <f>IF(COUNTIFS('United Data'!$A$3:$A$3390,R$1,'United Data'!$C$3:$C$3390,$A1165,'United Data'!$B$3:$B$3390,"&lt;&gt;Off-street")&gt;0,1,0)</f>
        <v>0</v>
      </c>
      <c r="S1165">
        <f t="shared" si="36"/>
        <v>1</v>
      </c>
      <c r="T1165">
        <f t="shared" si="37"/>
        <v>1</v>
      </c>
    </row>
    <row r="1166" spans="1:20" x14ac:dyDescent="0.2">
      <c r="A1166" t="s">
        <v>1387</v>
      </c>
      <c r="B1166">
        <f>IF(COUNTIFS('United Data'!$A$3:$A$3390,B$1,'United Data'!$C$3:$C$3390,$A1166,'United Data'!$B$3:$B$3390,"&lt;&gt;Off-street")&gt;0,1,0)</f>
        <v>0</v>
      </c>
      <c r="C1166">
        <f>IF(COUNTIFS('United Data'!$A$3:$A$3390,C$1,'United Data'!$C$3:$C$3390,$A1166,'United Data'!$B$3:$B$3390,"&lt;&gt;Off-street")&gt;0,1,0)</f>
        <v>0</v>
      </c>
      <c r="D1166">
        <f>IF(COUNTIFS('United Data'!$A$3:$A$3390,D$1,'United Data'!$C$3:$C$3390,$A1166,'United Data'!$B$3:$B$3390,"&lt;&gt;Off-street")&gt;0,1,0)</f>
        <v>0</v>
      </c>
      <c r="E1166">
        <f>IF(COUNTIFS('United Data'!$A$3:$A$3390,E$1,'United Data'!$C$3:$C$3390,$A1166,'United Data'!$B$3:$B$3390,"&lt;&gt;Off-street")&gt;0,1,0)</f>
        <v>0</v>
      </c>
      <c r="F1166">
        <f>IF(COUNTIFS('United Data'!$A$3:$A$3390,F$1,'United Data'!$C$3:$C$3390,$A1166,'United Data'!$B$3:$B$3390,"&lt;&gt;Off-street")&gt;0,1,0)</f>
        <v>0</v>
      </c>
      <c r="G1166">
        <f>IF(COUNTIFS('United Data'!$A$3:$A$3390,G$1,'United Data'!$C$3:$C$3390,$A1166,'United Data'!$B$3:$B$3390,"&lt;&gt;Off-street")&gt;0,1,0)</f>
        <v>0</v>
      </c>
      <c r="H1166">
        <f>IF(COUNTIFS('United Data'!$A$3:$A$3390,H$1,'United Data'!$C$3:$C$3390,$A1166,'United Data'!$B$3:$B$3390,"&lt;&gt;Off-street")&gt;0,1,0)</f>
        <v>0</v>
      </c>
      <c r="I1166">
        <f>IF(COUNTIFS('United Data'!$A$3:$A$3390,I$1,'United Data'!$C$3:$C$3390,$A1166,'United Data'!$B$3:$B$3390,"&lt;&gt;Off-street")&gt;0,1,0)</f>
        <v>0</v>
      </c>
      <c r="J1166">
        <f>IF(COUNTIFS('United Data'!$A$3:$A$3390,J$1,'United Data'!$C$3:$C$3390,$A1166,'United Data'!$B$3:$B$3390,"&lt;&gt;Off-street")&gt;0,1,0)</f>
        <v>0</v>
      </c>
      <c r="K1166">
        <f>IF(COUNTIFS('United Data'!$A$3:$A$3390,K$1,'United Data'!$C$3:$C$3390,$A1166,'United Data'!$B$3:$B$3390,"&lt;&gt;Off-street")&gt;0,1,0)</f>
        <v>0</v>
      </c>
      <c r="L1166">
        <f>IF(COUNTIFS('United Data'!$A$3:$A$3390,L$1,'United Data'!$C$3:$C$3390,$A1166,'United Data'!$B$3:$B$3390,"&lt;&gt;Off-street")&gt;0,1,0)</f>
        <v>0</v>
      </c>
      <c r="M1166">
        <f>IF(COUNTIFS('United Data'!$A$3:$A$3390,M$1,'United Data'!$C$3:$C$3390,$A1166,'United Data'!$B$3:$B$3390,"&lt;&gt;Off-street")&gt;0,1,0)</f>
        <v>0</v>
      </c>
      <c r="N1166">
        <f>IF(COUNTIFS('United Data'!$A$3:$A$3390,N$1,'United Data'!$C$3:$C$3390,$A1166,'United Data'!$B$3:$B$3390,"&lt;&gt;Off-street")&gt;0,1,0)</f>
        <v>0</v>
      </c>
      <c r="O1166">
        <f>IF(COUNTIFS('United Data'!$A$3:$A$3390,O$1,'United Data'!$C$3:$C$3390,$A1166,'United Data'!$B$3:$B$3390,"&lt;&gt;Off-street")&gt;0,1,0)</f>
        <v>0</v>
      </c>
      <c r="P1166">
        <f>IF(COUNTIFS('United Data'!$A$3:$A$3390,P$1,'United Data'!$C$3:$C$3390,$A1166,'United Data'!$B$3:$B$3390,"&lt;&gt;Off-street")&gt;0,1,0)</f>
        <v>0</v>
      </c>
      <c r="Q1166">
        <f>IF(COUNTIFS('United Data'!$A$3:$A$3390,Q$1,'United Data'!$C$3:$C$3390,$A1166,'United Data'!$B$3:$B$3390,"&lt;&gt;Off-street")&gt;0,1,0)</f>
        <v>1</v>
      </c>
      <c r="R1166">
        <f>IF(COUNTIFS('United Data'!$A$3:$A$3390,R$1,'United Data'!$C$3:$C$3390,$A1166,'United Data'!$B$3:$B$3390,"&lt;&gt;Off-street")&gt;0,1,0)</f>
        <v>0</v>
      </c>
      <c r="S1166">
        <f t="shared" si="36"/>
        <v>1</v>
      </c>
      <c r="T1166">
        <f t="shared" si="37"/>
        <v>1</v>
      </c>
    </row>
    <row r="1167" spans="1:20" x14ac:dyDescent="0.2">
      <c r="A1167" t="s">
        <v>1389</v>
      </c>
      <c r="B1167">
        <f>IF(COUNTIFS('United Data'!$A$3:$A$3390,B$1,'United Data'!$C$3:$C$3390,$A1167,'United Data'!$B$3:$B$3390,"&lt;&gt;Off-street")&gt;0,1,0)</f>
        <v>0</v>
      </c>
      <c r="C1167">
        <f>IF(COUNTIFS('United Data'!$A$3:$A$3390,C$1,'United Data'!$C$3:$C$3390,$A1167,'United Data'!$B$3:$B$3390,"&lt;&gt;Off-street")&gt;0,1,0)</f>
        <v>0</v>
      </c>
      <c r="D1167">
        <f>IF(COUNTIFS('United Data'!$A$3:$A$3390,D$1,'United Data'!$C$3:$C$3390,$A1167,'United Data'!$B$3:$B$3390,"&lt;&gt;Off-street")&gt;0,1,0)</f>
        <v>0</v>
      </c>
      <c r="E1167">
        <f>IF(COUNTIFS('United Data'!$A$3:$A$3390,E$1,'United Data'!$C$3:$C$3390,$A1167,'United Data'!$B$3:$B$3390,"&lt;&gt;Off-street")&gt;0,1,0)</f>
        <v>0</v>
      </c>
      <c r="F1167">
        <f>IF(COUNTIFS('United Data'!$A$3:$A$3390,F$1,'United Data'!$C$3:$C$3390,$A1167,'United Data'!$B$3:$B$3390,"&lt;&gt;Off-street")&gt;0,1,0)</f>
        <v>0</v>
      </c>
      <c r="G1167">
        <f>IF(COUNTIFS('United Data'!$A$3:$A$3390,G$1,'United Data'!$C$3:$C$3390,$A1167,'United Data'!$B$3:$B$3390,"&lt;&gt;Off-street")&gt;0,1,0)</f>
        <v>0</v>
      </c>
      <c r="H1167">
        <f>IF(COUNTIFS('United Data'!$A$3:$A$3390,H$1,'United Data'!$C$3:$C$3390,$A1167,'United Data'!$B$3:$B$3390,"&lt;&gt;Off-street")&gt;0,1,0)</f>
        <v>0</v>
      </c>
      <c r="I1167">
        <f>IF(COUNTIFS('United Data'!$A$3:$A$3390,I$1,'United Data'!$C$3:$C$3390,$A1167,'United Data'!$B$3:$B$3390,"&lt;&gt;Off-street")&gt;0,1,0)</f>
        <v>0</v>
      </c>
      <c r="J1167">
        <f>IF(COUNTIFS('United Data'!$A$3:$A$3390,J$1,'United Data'!$C$3:$C$3390,$A1167,'United Data'!$B$3:$B$3390,"&lt;&gt;Off-street")&gt;0,1,0)</f>
        <v>0</v>
      </c>
      <c r="K1167">
        <f>IF(COUNTIFS('United Data'!$A$3:$A$3390,K$1,'United Data'!$C$3:$C$3390,$A1167,'United Data'!$B$3:$B$3390,"&lt;&gt;Off-street")&gt;0,1,0)</f>
        <v>0</v>
      </c>
      <c r="L1167">
        <f>IF(COUNTIFS('United Data'!$A$3:$A$3390,L$1,'United Data'!$C$3:$C$3390,$A1167,'United Data'!$B$3:$B$3390,"&lt;&gt;Off-street")&gt;0,1,0)</f>
        <v>0</v>
      </c>
      <c r="M1167">
        <f>IF(COUNTIFS('United Data'!$A$3:$A$3390,M$1,'United Data'!$C$3:$C$3390,$A1167,'United Data'!$B$3:$B$3390,"&lt;&gt;Off-street")&gt;0,1,0)</f>
        <v>0</v>
      </c>
      <c r="N1167">
        <f>IF(COUNTIFS('United Data'!$A$3:$A$3390,N$1,'United Data'!$C$3:$C$3390,$A1167,'United Data'!$B$3:$B$3390,"&lt;&gt;Off-street")&gt;0,1,0)</f>
        <v>0</v>
      </c>
      <c r="O1167">
        <f>IF(COUNTIFS('United Data'!$A$3:$A$3390,O$1,'United Data'!$C$3:$C$3390,$A1167,'United Data'!$B$3:$B$3390,"&lt;&gt;Off-street")&gt;0,1,0)</f>
        <v>0</v>
      </c>
      <c r="P1167">
        <f>IF(COUNTIFS('United Data'!$A$3:$A$3390,P$1,'United Data'!$C$3:$C$3390,$A1167,'United Data'!$B$3:$B$3390,"&lt;&gt;Off-street")&gt;0,1,0)</f>
        <v>0</v>
      </c>
      <c r="Q1167">
        <f>IF(COUNTIFS('United Data'!$A$3:$A$3390,Q$1,'United Data'!$C$3:$C$3390,$A1167,'United Data'!$B$3:$B$3390,"&lt;&gt;Off-street")&gt;0,1,0)</f>
        <v>1</v>
      </c>
      <c r="R1167">
        <f>IF(COUNTIFS('United Data'!$A$3:$A$3390,R$1,'United Data'!$C$3:$C$3390,$A1167,'United Data'!$B$3:$B$3390,"&lt;&gt;Off-street")&gt;0,1,0)</f>
        <v>0</v>
      </c>
      <c r="S1167">
        <f t="shared" si="36"/>
        <v>1</v>
      </c>
      <c r="T1167">
        <f t="shared" si="37"/>
        <v>1</v>
      </c>
    </row>
    <row r="1168" spans="1:20" x14ac:dyDescent="0.2">
      <c r="A1168" t="s">
        <v>1390</v>
      </c>
      <c r="B1168">
        <f>IF(COUNTIFS('United Data'!$A$3:$A$3390,B$1,'United Data'!$C$3:$C$3390,$A1168,'United Data'!$B$3:$B$3390,"&lt;&gt;Off-street")&gt;0,1,0)</f>
        <v>0</v>
      </c>
      <c r="C1168">
        <f>IF(COUNTIFS('United Data'!$A$3:$A$3390,C$1,'United Data'!$C$3:$C$3390,$A1168,'United Data'!$B$3:$B$3390,"&lt;&gt;Off-street")&gt;0,1,0)</f>
        <v>0</v>
      </c>
      <c r="D1168">
        <f>IF(COUNTIFS('United Data'!$A$3:$A$3390,D$1,'United Data'!$C$3:$C$3390,$A1168,'United Data'!$B$3:$B$3390,"&lt;&gt;Off-street")&gt;0,1,0)</f>
        <v>0</v>
      </c>
      <c r="E1168">
        <f>IF(COUNTIFS('United Data'!$A$3:$A$3390,E$1,'United Data'!$C$3:$C$3390,$A1168,'United Data'!$B$3:$B$3390,"&lt;&gt;Off-street")&gt;0,1,0)</f>
        <v>0</v>
      </c>
      <c r="F1168">
        <f>IF(COUNTIFS('United Data'!$A$3:$A$3390,F$1,'United Data'!$C$3:$C$3390,$A1168,'United Data'!$B$3:$B$3390,"&lt;&gt;Off-street")&gt;0,1,0)</f>
        <v>0</v>
      </c>
      <c r="G1168">
        <f>IF(COUNTIFS('United Data'!$A$3:$A$3390,G$1,'United Data'!$C$3:$C$3390,$A1168,'United Data'!$B$3:$B$3390,"&lt;&gt;Off-street")&gt;0,1,0)</f>
        <v>0</v>
      </c>
      <c r="H1168">
        <f>IF(COUNTIFS('United Data'!$A$3:$A$3390,H$1,'United Data'!$C$3:$C$3390,$A1168,'United Data'!$B$3:$B$3390,"&lt;&gt;Off-street")&gt;0,1,0)</f>
        <v>0</v>
      </c>
      <c r="I1168">
        <f>IF(COUNTIFS('United Data'!$A$3:$A$3390,I$1,'United Data'!$C$3:$C$3390,$A1168,'United Data'!$B$3:$B$3390,"&lt;&gt;Off-street")&gt;0,1,0)</f>
        <v>0</v>
      </c>
      <c r="J1168">
        <f>IF(COUNTIFS('United Data'!$A$3:$A$3390,J$1,'United Data'!$C$3:$C$3390,$A1168,'United Data'!$B$3:$B$3390,"&lt;&gt;Off-street")&gt;0,1,0)</f>
        <v>0</v>
      </c>
      <c r="K1168">
        <f>IF(COUNTIFS('United Data'!$A$3:$A$3390,K$1,'United Data'!$C$3:$C$3390,$A1168,'United Data'!$B$3:$B$3390,"&lt;&gt;Off-street")&gt;0,1,0)</f>
        <v>0</v>
      </c>
      <c r="L1168">
        <f>IF(COUNTIFS('United Data'!$A$3:$A$3390,L$1,'United Data'!$C$3:$C$3390,$A1168,'United Data'!$B$3:$B$3390,"&lt;&gt;Off-street")&gt;0,1,0)</f>
        <v>0</v>
      </c>
      <c r="M1168">
        <f>IF(COUNTIFS('United Data'!$A$3:$A$3390,M$1,'United Data'!$C$3:$C$3390,$A1168,'United Data'!$B$3:$B$3390,"&lt;&gt;Off-street")&gt;0,1,0)</f>
        <v>0</v>
      </c>
      <c r="N1168">
        <f>IF(COUNTIFS('United Data'!$A$3:$A$3390,N$1,'United Data'!$C$3:$C$3390,$A1168,'United Data'!$B$3:$B$3390,"&lt;&gt;Off-street")&gt;0,1,0)</f>
        <v>0</v>
      </c>
      <c r="O1168">
        <f>IF(COUNTIFS('United Data'!$A$3:$A$3390,O$1,'United Data'!$C$3:$C$3390,$A1168,'United Data'!$B$3:$B$3390,"&lt;&gt;Off-street")&gt;0,1,0)</f>
        <v>0</v>
      </c>
      <c r="P1168">
        <f>IF(COUNTIFS('United Data'!$A$3:$A$3390,P$1,'United Data'!$C$3:$C$3390,$A1168,'United Data'!$B$3:$B$3390,"&lt;&gt;Off-street")&gt;0,1,0)</f>
        <v>0</v>
      </c>
      <c r="Q1168">
        <f>IF(COUNTIFS('United Data'!$A$3:$A$3390,Q$1,'United Data'!$C$3:$C$3390,$A1168,'United Data'!$B$3:$B$3390,"&lt;&gt;Off-street")&gt;0,1,0)</f>
        <v>1</v>
      </c>
      <c r="R1168">
        <f>IF(COUNTIFS('United Data'!$A$3:$A$3390,R$1,'United Data'!$C$3:$C$3390,$A1168,'United Data'!$B$3:$B$3390,"&lt;&gt;Off-street")&gt;0,1,0)</f>
        <v>0</v>
      </c>
      <c r="S1168">
        <f t="shared" si="36"/>
        <v>1</v>
      </c>
      <c r="T1168">
        <f t="shared" si="37"/>
        <v>1</v>
      </c>
    </row>
    <row r="1169" spans="1:20" x14ac:dyDescent="0.2">
      <c r="A1169" t="s">
        <v>1391</v>
      </c>
      <c r="B1169">
        <f>IF(COUNTIFS('United Data'!$A$3:$A$3390,B$1,'United Data'!$C$3:$C$3390,$A1169,'United Data'!$B$3:$B$3390,"&lt;&gt;Off-street")&gt;0,1,0)</f>
        <v>0</v>
      </c>
      <c r="C1169">
        <f>IF(COUNTIFS('United Data'!$A$3:$A$3390,C$1,'United Data'!$C$3:$C$3390,$A1169,'United Data'!$B$3:$B$3390,"&lt;&gt;Off-street")&gt;0,1,0)</f>
        <v>0</v>
      </c>
      <c r="D1169">
        <f>IF(COUNTIFS('United Data'!$A$3:$A$3390,D$1,'United Data'!$C$3:$C$3390,$A1169,'United Data'!$B$3:$B$3390,"&lt;&gt;Off-street")&gt;0,1,0)</f>
        <v>0</v>
      </c>
      <c r="E1169">
        <f>IF(COUNTIFS('United Data'!$A$3:$A$3390,E$1,'United Data'!$C$3:$C$3390,$A1169,'United Data'!$B$3:$B$3390,"&lt;&gt;Off-street")&gt;0,1,0)</f>
        <v>0</v>
      </c>
      <c r="F1169">
        <f>IF(COUNTIFS('United Data'!$A$3:$A$3390,F$1,'United Data'!$C$3:$C$3390,$A1169,'United Data'!$B$3:$B$3390,"&lt;&gt;Off-street")&gt;0,1,0)</f>
        <v>0</v>
      </c>
      <c r="G1169">
        <f>IF(COUNTIFS('United Data'!$A$3:$A$3390,G$1,'United Data'!$C$3:$C$3390,$A1169,'United Data'!$B$3:$B$3390,"&lt;&gt;Off-street")&gt;0,1,0)</f>
        <v>0</v>
      </c>
      <c r="H1169">
        <f>IF(COUNTIFS('United Data'!$A$3:$A$3390,H$1,'United Data'!$C$3:$C$3390,$A1169,'United Data'!$B$3:$B$3390,"&lt;&gt;Off-street")&gt;0,1,0)</f>
        <v>0</v>
      </c>
      <c r="I1169">
        <f>IF(COUNTIFS('United Data'!$A$3:$A$3390,I$1,'United Data'!$C$3:$C$3390,$A1169,'United Data'!$B$3:$B$3390,"&lt;&gt;Off-street")&gt;0,1,0)</f>
        <v>0</v>
      </c>
      <c r="J1169">
        <f>IF(COUNTIFS('United Data'!$A$3:$A$3390,J$1,'United Data'!$C$3:$C$3390,$A1169,'United Data'!$B$3:$B$3390,"&lt;&gt;Off-street")&gt;0,1,0)</f>
        <v>0</v>
      </c>
      <c r="K1169">
        <f>IF(COUNTIFS('United Data'!$A$3:$A$3390,K$1,'United Data'!$C$3:$C$3390,$A1169,'United Data'!$B$3:$B$3390,"&lt;&gt;Off-street")&gt;0,1,0)</f>
        <v>0</v>
      </c>
      <c r="L1169">
        <f>IF(COUNTIFS('United Data'!$A$3:$A$3390,L$1,'United Data'!$C$3:$C$3390,$A1169,'United Data'!$B$3:$B$3390,"&lt;&gt;Off-street")&gt;0,1,0)</f>
        <v>0</v>
      </c>
      <c r="M1169">
        <f>IF(COUNTIFS('United Data'!$A$3:$A$3390,M$1,'United Data'!$C$3:$C$3390,$A1169,'United Data'!$B$3:$B$3390,"&lt;&gt;Off-street")&gt;0,1,0)</f>
        <v>0</v>
      </c>
      <c r="N1169">
        <f>IF(COUNTIFS('United Data'!$A$3:$A$3390,N$1,'United Data'!$C$3:$C$3390,$A1169,'United Data'!$B$3:$B$3390,"&lt;&gt;Off-street")&gt;0,1,0)</f>
        <v>0</v>
      </c>
      <c r="O1169">
        <f>IF(COUNTIFS('United Data'!$A$3:$A$3390,O$1,'United Data'!$C$3:$C$3390,$A1169,'United Data'!$B$3:$B$3390,"&lt;&gt;Off-street")&gt;0,1,0)</f>
        <v>0</v>
      </c>
      <c r="P1169">
        <f>IF(COUNTIFS('United Data'!$A$3:$A$3390,P$1,'United Data'!$C$3:$C$3390,$A1169,'United Data'!$B$3:$B$3390,"&lt;&gt;Off-street")&gt;0,1,0)</f>
        <v>0</v>
      </c>
      <c r="Q1169">
        <f>IF(COUNTIFS('United Data'!$A$3:$A$3390,Q$1,'United Data'!$C$3:$C$3390,$A1169,'United Data'!$B$3:$B$3390,"&lt;&gt;Off-street")&gt;0,1,0)</f>
        <v>1</v>
      </c>
      <c r="R1169">
        <f>IF(COUNTIFS('United Data'!$A$3:$A$3390,R$1,'United Data'!$C$3:$C$3390,$A1169,'United Data'!$B$3:$B$3390,"&lt;&gt;Off-street")&gt;0,1,0)</f>
        <v>0</v>
      </c>
      <c r="S1169">
        <f t="shared" si="36"/>
        <v>1</v>
      </c>
      <c r="T1169">
        <f t="shared" si="37"/>
        <v>1</v>
      </c>
    </row>
    <row r="1170" spans="1:20" x14ac:dyDescent="0.2">
      <c r="A1170" t="s">
        <v>1392</v>
      </c>
      <c r="B1170">
        <f>IF(COUNTIFS('United Data'!$A$3:$A$3390,B$1,'United Data'!$C$3:$C$3390,$A1170,'United Data'!$B$3:$B$3390,"&lt;&gt;Off-street")&gt;0,1,0)</f>
        <v>0</v>
      </c>
      <c r="C1170">
        <f>IF(COUNTIFS('United Data'!$A$3:$A$3390,C$1,'United Data'!$C$3:$C$3390,$A1170,'United Data'!$B$3:$B$3390,"&lt;&gt;Off-street")&gt;0,1,0)</f>
        <v>0</v>
      </c>
      <c r="D1170">
        <f>IF(COUNTIFS('United Data'!$A$3:$A$3390,D$1,'United Data'!$C$3:$C$3390,$A1170,'United Data'!$B$3:$B$3390,"&lt;&gt;Off-street")&gt;0,1,0)</f>
        <v>0</v>
      </c>
      <c r="E1170">
        <f>IF(COUNTIFS('United Data'!$A$3:$A$3390,E$1,'United Data'!$C$3:$C$3390,$A1170,'United Data'!$B$3:$B$3390,"&lt;&gt;Off-street")&gt;0,1,0)</f>
        <v>0</v>
      </c>
      <c r="F1170">
        <f>IF(COUNTIFS('United Data'!$A$3:$A$3390,F$1,'United Data'!$C$3:$C$3390,$A1170,'United Data'!$B$3:$B$3390,"&lt;&gt;Off-street")&gt;0,1,0)</f>
        <v>0</v>
      </c>
      <c r="G1170">
        <f>IF(COUNTIFS('United Data'!$A$3:$A$3390,G$1,'United Data'!$C$3:$C$3390,$A1170,'United Data'!$B$3:$B$3390,"&lt;&gt;Off-street")&gt;0,1,0)</f>
        <v>0</v>
      </c>
      <c r="H1170">
        <f>IF(COUNTIFS('United Data'!$A$3:$A$3390,H$1,'United Data'!$C$3:$C$3390,$A1170,'United Data'!$B$3:$B$3390,"&lt;&gt;Off-street")&gt;0,1,0)</f>
        <v>0</v>
      </c>
      <c r="I1170">
        <f>IF(COUNTIFS('United Data'!$A$3:$A$3390,I$1,'United Data'!$C$3:$C$3390,$A1170,'United Data'!$B$3:$B$3390,"&lt;&gt;Off-street")&gt;0,1,0)</f>
        <v>0</v>
      </c>
      <c r="J1170">
        <f>IF(COUNTIFS('United Data'!$A$3:$A$3390,J$1,'United Data'!$C$3:$C$3390,$A1170,'United Data'!$B$3:$B$3390,"&lt;&gt;Off-street")&gt;0,1,0)</f>
        <v>0</v>
      </c>
      <c r="K1170">
        <f>IF(COUNTIFS('United Data'!$A$3:$A$3390,K$1,'United Data'!$C$3:$C$3390,$A1170,'United Data'!$B$3:$B$3390,"&lt;&gt;Off-street")&gt;0,1,0)</f>
        <v>0</v>
      </c>
      <c r="L1170">
        <f>IF(COUNTIFS('United Data'!$A$3:$A$3390,L$1,'United Data'!$C$3:$C$3390,$A1170,'United Data'!$B$3:$B$3390,"&lt;&gt;Off-street")&gt;0,1,0)</f>
        <v>0</v>
      </c>
      <c r="M1170">
        <f>IF(COUNTIFS('United Data'!$A$3:$A$3390,M$1,'United Data'!$C$3:$C$3390,$A1170,'United Data'!$B$3:$B$3390,"&lt;&gt;Off-street")&gt;0,1,0)</f>
        <v>0</v>
      </c>
      <c r="N1170">
        <f>IF(COUNTIFS('United Data'!$A$3:$A$3390,N$1,'United Data'!$C$3:$C$3390,$A1170,'United Data'!$B$3:$B$3390,"&lt;&gt;Off-street")&gt;0,1,0)</f>
        <v>0</v>
      </c>
      <c r="O1170">
        <f>IF(COUNTIFS('United Data'!$A$3:$A$3390,O$1,'United Data'!$C$3:$C$3390,$A1170,'United Data'!$B$3:$B$3390,"&lt;&gt;Off-street")&gt;0,1,0)</f>
        <v>0</v>
      </c>
      <c r="P1170">
        <f>IF(COUNTIFS('United Data'!$A$3:$A$3390,P$1,'United Data'!$C$3:$C$3390,$A1170,'United Data'!$B$3:$B$3390,"&lt;&gt;Off-street")&gt;0,1,0)</f>
        <v>0</v>
      </c>
      <c r="Q1170">
        <f>IF(COUNTIFS('United Data'!$A$3:$A$3390,Q$1,'United Data'!$C$3:$C$3390,$A1170,'United Data'!$B$3:$B$3390,"&lt;&gt;Off-street")&gt;0,1,0)</f>
        <v>1</v>
      </c>
      <c r="R1170">
        <f>IF(COUNTIFS('United Data'!$A$3:$A$3390,R$1,'United Data'!$C$3:$C$3390,$A1170,'United Data'!$B$3:$B$3390,"&lt;&gt;Off-street")&gt;0,1,0)</f>
        <v>0</v>
      </c>
      <c r="S1170">
        <f t="shared" si="36"/>
        <v>1</v>
      </c>
      <c r="T1170">
        <f t="shared" si="37"/>
        <v>1</v>
      </c>
    </row>
    <row r="1171" spans="1:20" x14ac:dyDescent="0.2">
      <c r="A1171" t="s">
        <v>1393</v>
      </c>
      <c r="B1171">
        <f>IF(COUNTIFS('United Data'!$A$3:$A$3390,B$1,'United Data'!$C$3:$C$3390,$A1171,'United Data'!$B$3:$B$3390,"&lt;&gt;Off-street")&gt;0,1,0)</f>
        <v>0</v>
      </c>
      <c r="C1171">
        <f>IF(COUNTIFS('United Data'!$A$3:$A$3390,C$1,'United Data'!$C$3:$C$3390,$A1171,'United Data'!$B$3:$B$3390,"&lt;&gt;Off-street")&gt;0,1,0)</f>
        <v>0</v>
      </c>
      <c r="D1171">
        <f>IF(COUNTIFS('United Data'!$A$3:$A$3390,D$1,'United Data'!$C$3:$C$3390,$A1171,'United Data'!$B$3:$B$3390,"&lt;&gt;Off-street")&gt;0,1,0)</f>
        <v>0</v>
      </c>
      <c r="E1171">
        <f>IF(COUNTIFS('United Data'!$A$3:$A$3390,E$1,'United Data'!$C$3:$C$3390,$A1171,'United Data'!$B$3:$B$3390,"&lt;&gt;Off-street")&gt;0,1,0)</f>
        <v>0</v>
      </c>
      <c r="F1171">
        <f>IF(COUNTIFS('United Data'!$A$3:$A$3390,F$1,'United Data'!$C$3:$C$3390,$A1171,'United Data'!$B$3:$B$3390,"&lt;&gt;Off-street")&gt;0,1,0)</f>
        <v>0</v>
      </c>
      <c r="G1171">
        <f>IF(COUNTIFS('United Data'!$A$3:$A$3390,G$1,'United Data'!$C$3:$C$3390,$A1171,'United Data'!$B$3:$B$3390,"&lt;&gt;Off-street")&gt;0,1,0)</f>
        <v>0</v>
      </c>
      <c r="H1171">
        <f>IF(COUNTIFS('United Data'!$A$3:$A$3390,H$1,'United Data'!$C$3:$C$3390,$A1171,'United Data'!$B$3:$B$3390,"&lt;&gt;Off-street")&gt;0,1,0)</f>
        <v>0</v>
      </c>
      <c r="I1171">
        <f>IF(COUNTIFS('United Data'!$A$3:$A$3390,I$1,'United Data'!$C$3:$C$3390,$A1171,'United Data'!$B$3:$B$3390,"&lt;&gt;Off-street")&gt;0,1,0)</f>
        <v>0</v>
      </c>
      <c r="J1171">
        <f>IF(COUNTIFS('United Data'!$A$3:$A$3390,J$1,'United Data'!$C$3:$C$3390,$A1171,'United Data'!$B$3:$B$3390,"&lt;&gt;Off-street")&gt;0,1,0)</f>
        <v>0</v>
      </c>
      <c r="K1171">
        <f>IF(COUNTIFS('United Data'!$A$3:$A$3390,K$1,'United Data'!$C$3:$C$3390,$A1171,'United Data'!$B$3:$B$3390,"&lt;&gt;Off-street")&gt;0,1,0)</f>
        <v>0</v>
      </c>
      <c r="L1171">
        <f>IF(COUNTIFS('United Data'!$A$3:$A$3390,L$1,'United Data'!$C$3:$C$3390,$A1171,'United Data'!$B$3:$B$3390,"&lt;&gt;Off-street")&gt;0,1,0)</f>
        <v>0</v>
      </c>
      <c r="M1171">
        <f>IF(COUNTIFS('United Data'!$A$3:$A$3390,M$1,'United Data'!$C$3:$C$3390,$A1171,'United Data'!$B$3:$B$3390,"&lt;&gt;Off-street")&gt;0,1,0)</f>
        <v>0</v>
      </c>
      <c r="N1171">
        <f>IF(COUNTIFS('United Data'!$A$3:$A$3390,N$1,'United Data'!$C$3:$C$3390,$A1171,'United Data'!$B$3:$B$3390,"&lt;&gt;Off-street")&gt;0,1,0)</f>
        <v>0</v>
      </c>
      <c r="O1171">
        <f>IF(COUNTIFS('United Data'!$A$3:$A$3390,O$1,'United Data'!$C$3:$C$3390,$A1171,'United Data'!$B$3:$B$3390,"&lt;&gt;Off-street")&gt;0,1,0)</f>
        <v>0</v>
      </c>
      <c r="P1171">
        <f>IF(COUNTIFS('United Data'!$A$3:$A$3390,P$1,'United Data'!$C$3:$C$3390,$A1171,'United Data'!$B$3:$B$3390,"&lt;&gt;Off-street")&gt;0,1,0)</f>
        <v>0</v>
      </c>
      <c r="Q1171">
        <f>IF(COUNTIFS('United Data'!$A$3:$A$3390,Q$1,'United Data'!$C$3:$C$3390,$A1171,'United Data'!$B$3:$B$3390,"&lt;&gt;Off-street")&gt;0,1,0)</f>
        <v>1</v>
      </c>
      <c r="R1171">
        <f>IF(COUNTIFS('United Data'!$A$3:$A$3390,R$1,'United Data'!$C$3:$C$3390,$A1171,'United Data'!$B$3:$B$3390,"&lt;&gt;Off-street")&gt;0,1,0)</f>
        <v>0</v>
      </c>
      <c r="S1171">
        <f t="shared" si="36"/>
        <v>1</v>
      </c>
      <c r="T1171">
        <f t="shared" si="37"/>
        <v>1</v>
      </c>
    </row>
    <row r="1172" spans="1:20" x14ac:dyDescent="0.2">
      <c r="A1172" t="s">
        <v>1394</v>
      </c>
      <c r="B1172">
        <f>IF(COUNTIFS('United Data'!$A$3:$A$3390,B$1,'United Data'!$C$3:$C$3390,$A1172,'United Data'!$B$3:$B$3390,"&lt;&gt;Off-street")&gt;0,1,0)</f>
        <v>0</v>
      </c>
      <c r="C1172">
        <f>IF(COUNTIFS('United Data'!$A$3:$A$3390,C$1,'United Data'!$C$3:$C$3390,$A1172,'United Data'!$B$3:$B$3390,"&lt;&gt;Off-street")&gt;0,1,0)</f>
        <v>0</v>
      </c>
      <c r="D1172">
        <f>IF(COUNTIFS('United Data'!$A$3:$A$3390,D$1,'United Data'!$C$3:$C$3390,$A1172,'United Data'!$B$3:$B$3390,"&lt;&gt;Off-street")&gt;0,1,0)</f>
        <v>0</v>
      </c>
      <c r="E1172">
        <f>IF(COUNTIFS('United Data'!$A$3:$A$3390,E$1,'United Data'!$C$3:$C$3390,$A1172,'United Data'!$B$3:$B$3390,"&lt;&gt;Off-street")&gt;0,1,0)</f>
        <v>0</v>
      </c>
      <c r="F1172">
        <f>IF(COUNTIFS('United Data'!$A$3:$A$3390,F$1,'United Data'!$C$3:$C$3390,$A1172,'United Data'!$B$3:$B$3390,"&lt;&gt;Off-street")&gt;0,1,0)</f>
        <v>0</v>
      </c>
      <c r="G1172">
        <f>IF(COUNTIFS('United Data'!$A$3:$A$3390,G$1,'United Data'!$C$3:$C$3390,$A1172,'United Data'!$B$3:$B$3390,"&lt;&gt;Off-street")&gt;0,1,0)</f>
        <v>0</v>
      </c>
      <c r="H1172">
        <f>IF(COUNTIFS('United Data'!$A$3:$A$3390,H$1,'United Data'!$C$3:$C$3390,$A1172,'United Data'!$B$3:$B$3390,"&lt;&gt;Off-street")&gt;0,1,0)</f>
        <v>0</v>
      </c>
      <c r="I1172">
        <f>IF(COUNTIFS('United Data'!$A$3:$A$3390,I$1,'United Data'!$C$3:$C$3390,$A1172,'United Data'!$B$3:$B$3390,"&lt;&gt;Off-street")&gt;0,1,0)</f>
        <v>0</v>
      </c>
      <c r="J1172">
        <f>IF(COUNTIFS('United Data'!$A$3:$A$3390,J$1,'United Data'!$C$3:$C$3390,$A1172,'United Data'!$B$3:$B$3390,"&lt;&gt;Off-street")&gt;0,1,0)</f>
        <v>0</v>
      </c>
      <c r="K1172">
        <f>IF(COUNTIFS('United Data'!$A$3:$A$3390,K$1,'United Data'!$C$3:$C$3390,$A1172,'United Data'!$B$3:$B$3390,"&lt;&gt;Off-street")&gt;0,1,0)</f>
        <v>0</v>
      </c>
      <c r="L1172">
        <f>IF(COUNTIFS('United Data'!$A$3:$A$3390,L$1,'United Data'!$C$3:$C$3390,$A1172,'United Data'!$B$3:$B$3390,"&lt;&gt;Off-street")&gt;0,1,0)</f>
        <v>0</v>
      </c>
      <c r="M1172">
        <f>IF(COUNTIFS('United Data'!$A$3:$A$3390,M$1,'United Data'!$C$3:$C$3390,$A1172,'United Data'!$B$3:$B$3390,"&lt;&gt;Off-street")&gt;0,1,0)</f>
        <v>0</v>
      </c>
      <c r="N1172">
        <f>IF(COUNTIFS('United Data'!$A$3:$A$3390,N$1,'United Data'!$C$3:$C$3390,$A1172,'United Data'!$B$3:$B$3390,"&lt;&gt;Off-street")&gt;0,1,0)</f>
        <v>0</v>
      </c>
      <c r="O1172">
        <f>IF(COUNTIFS('United Data'!$A$3:$A$3390,O$1,'United Data'!$C$3:$C$3390,$A1172,'United Data'!$B$3:$B$3390,"&lt;&gt;Off-street")&gt;0,1,0)</f>
        <v>0</v>
      </c>
      <c r="P1172">
        <f>IF(COUNTIFS('United Data'!$A$3:$A$3390,P$1,'United Data'!$C$3:$C$3390,$A1172,'United Data'!$B$3:$B$3390,"&lt;&gt;Off-street")&gt;0,1,0)</f>
        <v>0</v>
      </c>
      <c r="Q1172">
        <f>IF(COUNTIFS('United Data'!$A$3:$A$3390,Q$1,'United Data'!$C$3:$C$3390,$A1172,'United Data'!$B$3:$B$3390,"&lt;&gt;Off-street")&gt;0,1,0)</f>
        <v>1</v>
      </c>
      <c r="R1172">
        <f>IF(COUNTIFS('United Data'!$A$3:$A$3390,R$1,'United Data'!$C$3:$C$3390,$A1172,'United Data'!$B$3:$B$3390,"&lt;&gt;Off-street")&gt;0,1,0)</f>
        <v>0</v>
      </c>
      <c r="S1172">
        <f t="shared" si="36"/>
        <v>1</v>
      </c>
      <c r="T1172">
        <f t="shared" si="37"/>
        <v>1</v>
      </c>
    </row>
    <row r="1173" spans="1:20" x14ac:dyDescent="0.2">
      <c r="A1173" t="s">
        <v>1395</v>
      </c>
      <c r="B1173">
        <f>IF(COUNTIFS('United Data'!$A$3:$A$3390,B$1,'United Data'!$C$3:$C$3390,$A1173,'United Data'!$B$3:$B$3390,"&lt;&gt;Off-street")&gt;0,1,0)</f>
        <v>0</v>
      </c>
      <c r="C1173">
        <f>IF(COUNTIFS('United Data'!$A$3:$A$3390,C$1,'United Data'!$C$3:$C$3390,$A1173,'United Data'!$B$3:$B$3390,"&lt;&gt;Off-street")&gt;0,1,0)</f>
        <v>0</v>
      </c>
      <c r="D1173">
        <f>IF(COUNTIFS('United Data'!$A$3:$A$3390,D$1,'United Data'!$C$3:$C$3390,$A1173,'United Data'!$B$3:$B$3390,"&lt;&gt;Off-street")&gt;0,1,0)</f>
        <v>0</v>
      </c>
      <c r="E1173">
        <f>IF(COUNTIFS('United Data'!$A$3:$A$3390,E$1,'United Data'!$C$3:$C$3390,$A1173,'United Data'!$B$3:$B$3390,"&lt;&gt;Off-street")&gt;0,1,0)</f>
        <v>0</v>
      </c>
      <c r="F1173">
        <f>IF(COUNTIFS('United Data'!$A$3:$A$3390,F$1,'United Data'!$C$3:$C$3390,$A1173,'United Data'!$B$3:$B$3390,"&lt;&gt;Off-street")&gt;0,1,0)</f>
        <v>0</v>
      </c>
      <c r="G1173">
        <f>IF(COUNTIFS('United Data'!$A$3:$A$3390,G$1,'United Data'!$C$3:$C$3390,$A1173,'United Data'!$B$3:$B$3390,"&lt;&gt;Off-street")&gt;0,1,0)</f>
        <v>0</v>
      </c>
      <c r="H1173">
        <f>IF(COUNTIFS('United Data'!$A$3:$A$3390,H$1,'United Data'!$C$3:$C$3390,$A1173,'United Data'!$B$3:$B$3390,"&lt;&gt;Off-street")&gt;0,1,0)</f>
        <v>0</v>
      </c>
      <c r="I1173">
        <f>IF(COUNTIFS('United Data'!$A$3:$A$3390,I$1,'United Data'!$C$3:$C$3390,$A1173,'United Data'!$B$3:$B$3390,"&lt;&gt;Off-street")&gt;0,1,0)</f>
        <v>0</v>
      </c>
      <c r="J1173">
        <f>IF(COUNTIFS('United Data'!$A$3:$A$3390,J$1,'United Data'!$C$3:$C$3390,$A1173,'United Data'!$B$3:$B$3390,"&lt;&gt;Off-street")&gt;0,1,0)</f>
        <v>0</v>
      </c>
      <c r="K1173">
        <f>IF(COUNTIFS('United Data'!$A$3:$A$3390,K$1,'United Data'!$C$3:$C$3390,$A1173,'United Data'!$B$3:$B$3390,"&lt;&gt;Off-street")&gt;0,1,0)</f>
        <v>0</v>
      </c>
      <c r="L1173">
        <f>IF(COUNTIFS('United Data'!$A$3:$A$3390,L$1,'United Data'!$C$3:$C$3390,$A1173,'United Data'!$B$3:$B$3390,"&lt;&gt;Off-street")&gt;0,1,0)</f>
        <v>0</v>
      </c>
      <c r="M1173">
        <f>IF(COUNTIFS('United Data'!$A$3:$A$3390,M$1,'United Data'!$C$3:$C$3390,$A1173,'United Data'!$B$3:$B$3390,"&lt;&gt;Off-street")&gt;0,1,0)</f>
        <v>0</v>
      </c>
      <c r="N1173">
        <f>IF(COUNTIFS('United Data'!$A$3:$A$3390,N$1,'United Data'!$C$3:$C$3390,$A1173,'United Data'!$B$3:$B$3390,"&lt;&gt;Off-street")&gt;0,1,0)</f>
        <v>0</v>
      </c>
      <c r="O1173">
        <f>IF(COUNTIFS('United Data'!$A$3:$A$3390,O$1,'United Data'!$C$3:$C$3390,$A1173,'United Data'!$B$3:$B$3390,"&lt;&gt;Off-street")&gt;0,1,0)</f>
        <v>0</v>
      </c>
      <c r="P1173">
        <f>IF(COUNTIFS('United Data'!$A$3:$A$3390,P$1,'United Data'!$C$3:$C$3390,$A1173,'United Data'!$B$3:$B$3390,"&lt;&gt;Off-street")&gt;0,1,0)</f>
        <v>0</v>
      </c>
      <c r="Q1173">
        <f>IF(COUNTIFS('United Data'!$A$3:$A$3390,Q$1,'United Data'!$C$3:$C$3390,$A1173,'United Data'!$B$3:$B$3390,"&lt;&gt;Off-street")&gt;0,1,0)</f>
        <v>1</v>
      </c>
      <c r="R1173">
        <f>IF(COUNTIFS('United Data'!$A$3:$A$3390,R$1,'United Data'!$C$3:$C$3390,$A1173,'United Data'!$B$3:$B$3390,"&lt;&gt;Off-street")&gt;0,1,0)</f>
        <v>0</v>
      </c>
      <c r="S1173">
        <f t="shared" si="36"/>
        <v>1</v>
      </c>
      <c r="T1173">
        <f t="shared" si="37"/>
        <v>1</v>
      </c>
    </row>
    <row r="1174" spans="1:20" x14ac:dyDescent="0.2">
      <c r="A1174" t="s">
        <v>1396</v>
      </c>
      <c r="B1174">
        <f>IF(COUNTIFS('United Data'!$A$3:$A$3390,B$1,'United Data'!$C$3:$C$3390,$A1174,'United Data'!$B$3:$B$3390,"&lt;&gt;Off-street")&gt;0,1,0)</f>
        <v>0</v>
      </c>
      <c r="C1174">
        <f>IF(COUNTIFS('United Data'!$A$3:$A$3390,C$1,'United Data'!$C$3:$C$3390,$A1174,'United Data'!$B$3:$B$3390,"&lt;&gt;Off-street")&gt;0,1,0)</f>
        <v>0</v>
      </c>
      <c r="D1174">
        <f>IF(COUNTIFS('United Data'!$A$3:$A$3390,D$1,'United Data'!$C$3:$C$3390,$A1174,'United Data'!$B$3:$B$3390,"&lt;&gt;Off-street")&gt;0,1,0)</f>
        <v>0</v>
      </c>
      <c r="E1174">
        <f>IF(COUNTIFS('United Data'!$A$3:$A$3390,E$1,'United Data'!$C$3:$C$3390,$A1174,'United Data'!$B$3:$B$3390,"&lt;&gt;Off-street")&gt;0,1,0)</f>
        <v>0</v>
      </c>
      <c r="F1174">
        <f>IF(COUNTIFS('United Data'!$A$3:$A$3390,F$1,'United Data'!$C$3:$C$3390,$A1174,'United Data'!$B$3:$B$3390,"&lt;&gt;Off-street")&gt;0,1,0)</f>
        <v>0</v>
      </c>
      <c r="G1174">
        <f>IF(COUNTIFS('United Data'!$A$3:$A$3390,G$1,'United Data'!$C$3:$C$3390,$A1174,'United Data'!$B$3:$B$3390,"&lt;&gt;Off-street")&gt;0,1,0)</f>
        <v>0</v>
      </c>
      <c r="H1174">
        <f>IF(COUNTIFS('United Data'!$A$3:$A$3390,H$1,'United Data'!$C$3:$C$3390,$A1174,'United Data'!$B$3:$B$3390,"&lt;&gt;Off-street")&gt;0,1,0)</f>
        <v>0</v>
      </c>
      <c r="I1174">
        <f>IF(COUNTIFS('United Data'!$A$3:$A$3390,I$1,'United Data'!$C$3:$C$3390,$A1174,'United Data'!$B$3:$B$3390,"&lt;&gt;Off-street")&gt;0,1,0)</f>
        <v>0</v>
      </c>
      <c r="J1174">
        <f>IF(COUNTIFS('United Data'!$A$3:$A$3390,J$1,'United Data'!$C$3:$C$3390,$A1174,'United Data'!$B$3:$B$3390,"&lt;&gt;Off-street")&gt;0,1,0)</f>
        <v>0</v>
      </c>
      <c r="K1174">
        <f>IF(COUNTIFS('United Data'!$A$3:$A$3390,K$1,'United Data'!$C$3:$C$3390,$A1174,'United Data'!$B$3:$B$3390,"&lt;&gt;Off-street")&gt;0,1,0)</f>
        <v>0</v>
      </c>
      <c r="L1174">
        <f>IF(COUNTIFS('United Data'!$A$3:$A$3390,L$1,'United Data'!$C$3:$C$3390,$A1174,'United Data'!$B$3:$B$3390,"&lt;&gt;Off-street")&gt;0,1,0)</f>
        <v>0</v>
      </c>
      <c r="M1174">
        <f>IF(COUNTIFS('United Data'!$A$3:$A$3390,M$1,'United Data'!$C$3:$C$3390,$A1174,'United Data'!$B$3:$B$3390,"&lt;&gt;Off-street")&gt;0,1,0)</f>
        <v>0</v>
      </c>
      <c r="N1174">
        <f>IF(COUNTIFS('United Data'!$A$3:$A$3390,N$1,'United Data'!$C$3:$C$3390,$A1174,'United Data'!$B$3:$B$3390,"&lt;&gt;Off-street")&gt;0,1,0)</f>
        <v>0</v>
      </c>
      <c r="O1174">
        <f>IF(COUNTIFS('United Data'!$A$3:$A$3390,O$1,'United Data'!$C$3:$C$3390,$A1174,'United Data'!$B$3:$B$3390,"&lt;&gt;Off-street")&gt;0,1,0)</f>
        <v>0</v>
      </c>
      <c r="P1174">
        <f>IF(COUNTIFS('United Data'!$A$3:$A$3390,P$1,'United Data'!$C$3:$C$3390,$A1174,'United Data'!$B$3:$B$3390,"&lt;&gt;Off-street")&gt;0,1,0)</f>
        <v>0</v>
      </c>
      <c r="Q1174">
        <f>IF(COUNTIFS('United Data'!$A$3:$A$3390,Q$1,'United Data'!$C$3:$C$3390,$A1174,'United Data'!$B$3:$B$3390,"&lt;&gt;Off-street")&gt;0,1,0)</f>
        <v>1</v>
      </c>
      <c r="R1174">
        <f>IF(COUNTIFS('United Data'!$A$3:$A$3390,R$1,'United Data'!$C$3:$C$3390,$A1174,'United Data'!$B$3:$B$3390,"&lt;&gt;Off-street")&gt;0,1,0)</f>
        <v>0</v>
      </c>
      <c r="S1174">
        <f t="shared" si="36"/>
        <v>1</v>
      </c>
      <c r="T1174">
        <f t="shared" si="37"/>
        <v>1</v>
      </c>
    </row>
    <row r="1175" spans="1:20" x14ac:dyDescent="0.2">
      <c r="A1175" t="s">
        <v>1397</v>
      </c>
      <c r="B1175">
        <f>IF(COUNTIFS('United Data'!$A$3:$A$3390,B$1,'United Data'!$C$3:$C$3390,$A1175,'United Data'!$B$3:$B$3390,"&lt;&gt;Off-street")&gt;0,1,0)</f>
        <v>0</v>
      </c>
      <c r="C1175">
        <f>IF(COUNTIFS('United Data'!$A$3:$A$3390,C$1,'United Data'!$C$3:$C$3390,$A1175,'United Data'!$B$3:$B$3390,"&lt;&gt;Off-street")&gt;0,1,0)</f>
        <v>0</v>
      </c>
      <c r="D1175">
        <f>IF(COUNTIFS('United Data'!$A$3:$A$3390,D$1,'United Data'!$C$3:$C$3390,$A1175,'United Data'!$B$3:$B$3390,"&lt;&gt;Off-street")&gt;0,1,0)</f>
        <v>0</v>
      </c>
      <c r="E1175">
        <f>IF(COUNTIFS('United Data'!$A$3:$A$3390,E$1,'United Data'!$C$3:$C$3390,$A1175,'United Data'!$B$3:$B$3390,"&lt;&gt;Off-street")&gt;0,1,0)</f>
        <v>0</v>
      </c>
      <c r="F1175">
        <f>IF(COUNTIFS('United Data'!$A$3:$A$3390,F$1,'United Data'!$C$3:$C$3390,$A1175,'United Data'!$B$3:$B$3390,"&lt;&gt;Off-street")&gt;0,1,0)</f>
        <v>0</v>
      </c>
      <c r="G1175">
        <f>IF(COUNTIFS('United Data'!$A$3:$A$3390,G$1,'United Data'!$C$3:$C$3390,$A1175,'United Data'!$B$3:$B$3390,"&lt;&gt;Off-street")&gt;0,1,0)</f>
        <v>0</v>
      </c>
      <c r="H1175">
        <f>IF(COUNTIFS('United Data'!$A$3:$A$3390,H$1,'United Data'!$C$3:$C$3390,$A1175,'United Data'!$B$3:$B$3390,"&lt;&gt;Off-street")&gt;0,1,0)</f>
        <v>0</v>
      </c>
      <c r="I1175">
        <f>IF(COUNTIFS('United Data'!$A$3:$A$3390,I$1,'United Data'!$C$3:$C$3390,$A1175,'United Data'!$B$3:$B$3390,"&lt;&gt;Off-street")&gt;0,1,0)</f>
        <v>0</v>
      </c>
      <c r="J1175">
        <f>IF(COUNTIFS('United Data'!$A$3:$A$3390,J$1,'United Data'!$C$3:$C$3390,$A1175,'United Data'!$B$3:$B$3390,"&lt;&gt;Off-street")&gt;0,1,0)</f>
        <v>0</v>
      </c>
      <c r="K1175">
        <f>IF(COUNTIFS('United Data'!$A$3:$A$3390,K$1,'United Data'!$C$3:$C$3390,$A1175,'United Data'!$B$3:$B$3390,"&lt;&gt;Off-street")&gt;0,1,0)</f>
        <v>0</v>
      </c>
      <c r="L1175">
        <f>IF(COUNTIFS('United Data'!$A$3:$A$3390,L$1,'United Data'!$C$3:$C$3390,$A1175,'United Data'!$B$3:$B$3390,"&lt;&gt;Off-street")&gt;0,1,0)</f>
        <v>0</v>
      </c>
      <c r="M1175">
        <f>IF(COUNTIFS('United Data'!$A$3:$A$3390,M$1,'United Data'!$C$3:$C$3390,$A1175,'United Data'!$B$3:$B$3390,"&lt;&gt;Off-street")&gt;0,1,0)</f>
        <v>0</v>
      </c>
      <c r="N1175">
        <f>IF(COUNTIFS('United Data'!$A$3:$A$3390,N$1,'United Data'!$C$3:$C$3390,$A1175,'United Data'!$B$3:$B$3390,"&lt;&gt;Off-street")&gt;0,1,0)</f>
        <v>0</v>
      </c>
      <c r="O1175">
        <f>IF(COUNTIFS('United Data'!$A$3:$A$3390,O$1,'United Data'!$C$3:$C$3390,$A1175,'United Data'!$B$3:$B$3390,"&lt;&gt;Off-street")&gt;0,1,0)</f>
        <v>0</v>
      </c>
      <c r="P1175">
        <f>IF(COUNTIFS('United Data'!$A$3:$A$3390,P$1,'United Data'!$C$3:$C$3390,$A1175,'United Data'!$B$3:$B$3390,"&lt;&gt;Off-street")&gt;0,1,0)</f>
        <v>0</v>
      </c>
      <c r="Q1175">
        <f>IF(COUNTIFS('United Data'!$A$3:$A$3390,Q$1,'United Data'!$C$3:$C$3390,$A1175,'United Data'!$B$3:$B$3390,"&lt;&gt;Off-street")&gt;0,1,0)</f>
        <v>0</v>
      </c>
      <c r="R1175">
        <f>IF(COUNTIFS('United Data'!$A$3:$A$3390,R$1,'United Data'!$C$3:$C$3390,$A1175,'United Data'!$B$3:$B$3390,"&lt;&gt;Off-street")&gt;0,1,0)</f>
        <v>1</v>
      </c>
      <c r="S1175">
        <f t="shared" si="36"/>
        <v>1</v>
      </c>
      <c r="T1175">
        <f t="shared" si="37"/>
        <v>1</v>
      </c>
    </row>
    <row r="1176" spans="1:20" x14ac:dyDescent="0.2">
      <c r="A1176" t="s">
        <v>1398</v>
      </c>
      <c r="B1176">
        <f>IF(COUNTIFS('United Data'!$A$3:$A$3390,B$1,'United Data'!$C$3:$C$3390,$A1176,'United Data'!$B$3:$B$3390,"&lt;&gt;Off-street")&gt;0,1,0)</f>
        <v>0</v>
      </c>
      <c r="C1176">
        <f>IF(COUNTIFS('United Data'!$A$3:$A$3390,C$1,'United Data'!$C$3:$C$3390,$A1176,'United Data'!$B$3:$B$3390,"&lt;&gt;Off-street")&gt;0,1,0)</f>
        <v>0</v>
      </c>
      <c r="D1176">
        <f>IF(COUNTIFS('United Data'!$A$3:$A$3390,D$1,'United Data'!$C$3:$C$3390,$A1176,'United Data'!$B$3:$B$3390,"&lt;&gt;Off-street")&gt;0,1,0)</f>
        <v>0</v>
      </c>
      <c r="E1176">
        <f>IF(COUNTIFS('United Data'!$A$3:$A$3390,E$1,'United Data'!$C$3:$C$3390,$A1176,'United Data'!$B$3:$B$3390,"&lt;&gt;Off-street")&gt;0,1,0)</f>
        <v>0</v>
      </c>
      <c r="F1176">
        <f>IF(COUNTIFS('United Data'!$A$3:$A$3390,F$1,'United Data'!$C$3:$C$3390,$A1176,'United Data'!$B$3:$B$3390,"&lt;&gt;Off-street")&gt;0,1,0)</f>
        <v>0</v>
      </c>
      <c r="G1176">
        <f>IF(COUNTIFS('United Data'!$A$3:$A$3390,G$1,'United Data'!$C$3:$C$3390,$A1176,'United Data'!$B$3:$B$3390,"&lt;&gt;Off-street")&gt;0,1,0)</f>
        <v>0</v>
      </c>
      <c r="H1176">
        <f>IF(COUNTIFS('United Data'!$A$3:$A$3390,H$1,'United Data'!$C$3:$C$3390,$A1176,'United Data'!$B$3:$B$3390,"&lt;&gt;Off-street")&gt;0,1,0)</f>
        <v>0</v>
      </c>
      <c r="I1176">
        <f>IF(COUNTIFS('United Data'!$A$3:$A$3390,I$1,'United Data'!$C$3:$C$3390,$A1176,'United Data'!$B$3:$B$3390,"&lt;&gt;Off-street")&gt;0,1,0)</f>
        <v>0</v>
      </c>
      <c r="J1176">
        <f>IF(COUNTIFS('United Data'!$A$3:$A$3390,J$1,'United Data'!$C$3:$C$3390,$A1176,'United Data'!$B$3:$B$3390,"&lt;&gt;Off-street")&gt;0,1,0)</f>
        <v>0</v>
      </c>
      <c r="K1176">
        <f>IF(COUNTIFS('United Data'!$A$3:$A$3390,K$1,'United Data'!$C$3:$C$3390,$A1176,'United Data'!$B$3:$B$3390,"&lt;&gt;Off-street")&gt;0,1,0)</f>
        <v>0</v>
      </c>
      <c r="L1176">
        <f>IF(COUNTIFS('United Data'!$A$3:$A$3390,L$1,'United Data'!$C$3:$C$3390,$A1176,'United Data'!$B$3:$B$3390,"&lt;&gt;Off-street")&gt;0,1,0)</f>
        <v>0</v>
      </c>
      <c r="M1176">
        <f>IF(COUNTIFS('United Data'!$A$3:$A$3390,M$1,'United Data'!$C$3:$C$3390,$A1176,'United Data'!$B$3:$B$3390,"&lt;&gt;Off-street")&gt;0,1,0)</f>
        <v>0</v>
      </c>
      <c r="N1176">
        <f>IF(COUNTIFS('United Data'!$A$3:$A$3390,N$1,'United Data'!$C$3:$C$3390,$A1176,'United Data'!$B$3:$B$3390,"&lt;&gt;Off-street")&gt;0,1,0)</f>
        <v>0</v>
      </c>
      <c r="O1176">
        <f>IF(COUNTIFS('United Data'!$A$3:$A$3390,O$1,'United Data'!$C$3:$C$3390,$A1176,'United Data'!$B$3:$B$3390,"&lt;&gt;Off-street")&gt;0,1,0)</f>
        <v>0</v>
      </c>
      <c r="P1176">
        <f>IF(COUNTIFS('United Data'!$A$3:$A$3390,P$1,'United Data'!$C$3:$C$3390,$A1176,'United Data'!$B$3:$B$3390,"&lt;&gt;Off-street")&gt;0,1,0)</f>
        <v>0</v>
      </c>
      <c r="Q1176">
        <f>IF(COUNTIFS('United Data'!$A$3:$A$3390,Q$1,'United Data'!$C$3:$C$3390,$A1176,'United Data'!$B$3:$B$3390,"&lt;&gt;Off-street")&gt;0,1,0)</f>
        <v>0</v>
      </c>
      <c r="R1176">
        <f>IF(COUNTIFS('United Data'!$A$3:$A$3390,R$1,'United Data'!$C$3:$C$3390,$A1176,'United Data'!$B$3:$B$3390,"&lt;&gt;Off-street")&gt;0,1,0)</f>
        <v>1</v>
      </c>
      <c r="S1176">
        <f t="shared" si="36"/>
        <v>1</v>
      </c>
      <c r="T1176">
        <f t="shared" si="37"/>
        <v>1</v>
      </c>
    </row>
    <row r="1177" spans="1:20" x14ac:dyDescent="0.2">
      <c r="A1177" t="s">
        <v>1399</v>
      </c>
      <c r="B1177">
        <f>IF(COUNTIFS('United Data'!$A$3:$A$3390,B$1,'United Data'!$C$3:$C$3390,$A1177,'United Data'!$B$3:$B$3390,"&lt;&gt;Off-street")&gt;0,1,0)</f>
        <v>0</v>
      </c>
      <c r="C1177">
        <f>IF(COUNTIFS('United Data'!$A$3:$A$3390,C$1,'United Data'!$C$3:$C$3390,$A1177,'United Data'!$B$3:$B$3390,"&lt;&gt;Off-street")&gt;0,1,0)</f>
        <v>0</v>
      </c>
      <c r="D1177">
        <f>IF(COUNTIFS('United Data'!$A$3:$A$3390,D$1,'United Data'!$C$3:$C$3390,$A1177,'United Data'!$B$3:$B$3390,"&lt;&gt;Off-street")&gt;0,1,0)</f>
        <v>0</v>
      </c>
      <c r="E1177">
        <f>IF(COUNTIFS('United Data'!$A$3:$A$3390,E$1,'United Data'!$C$3:$C$3390,$A1177,'United Data'!$B$3:$B$3390,"&lt;&gt;Off-street")&gt;0,1,0)</f>
        <v>0</v>
      </c>
      <c r="F1177">
        <f>IF(COUNTIFS('United Data'!$A$3:$A$3390,F$1,'United Data'!$C$3:$C$3390,$A1177,'United Data'!$B$3:$B$3390,"&lt;&gt;Off-street")&gt;0,1,0)</f>
        <v>0</v>
      </c>
      <c r="G1177">
        <f>IF(COUNTIFS('United Data'!$A$3:$A$3390,G$1,'United Data'!$C$3:$C$3390,$A1177,'United Data'!$B$3:$B$3390,"&lt;&gt;Off-street")&gt;0,1,0)</f>
        <v>0</v>
      </c>
      <c r="H1177">
        <f>IF(COUNTIFS('United Data'!$A$3:$A$3390,H$1,'United Data'!$C$3:$C$3390,$A1177,'United Data'!$B$3:$B$3390,"&lt;&gt;Off-street")&gt;0,1,0)</f>
        <v>0</v>
      </c>
      <c r="I1177">
        <f>IF(COUNTIFS('United Data'!$A$3:$A$3390,I$1,'United Data'!$C$3:$C$3390,$A1177,'United Data'!$B$3:$B$3390,"&lt;&gt;Off-street")&gt;0,1,0)</f>
        <v>0</v>
      </c>
      <c r="J1177">
        <f>IF(COUNTIFS('United Data'!$A$3:$A$3390,J$1,'United Data'!$C$3:$C$3390,$A1177,'United Data'!$B$3:$B$3390,"&lt;&gt;Off-street")&gt;0,1,0)</f>
        <v>0</v>
      </c>
      <c r="K1177">
        <f>IF(COUNTIFS('United Data'!$A$3:$A$3390,K$1,'United Data'!$C$3:$C$3390,$A1177,'United Data'!$B$3:$B$3390,"&lt;&gt;Off-street")&gt;0,1,0)</f>
        <v>0</v>
      </c>
      <c r="L1177">
        <f>IF(COUNTIFS('United Data'!$A$3:$A$3390,L$1,'United Data'!$C$3:$C$3390,$A1177,'United Data'!$B$3:$B$3390,"&lt;&gt;Off-street")&gt;0,1,0)</f>
        <v>0</v>
      </c>
      <c r="M1177">
        <f>IF(COUNTIFS('United Data'!$A$3:$A$3390,M$1,'United Data'!$C$3:$C$3390,$A1177,'United Data'!$B$3:$B$3390,"&lt;&gt;Off-street")&gt;0,1,0)</f>
        <v>0</v>
      </c>
      <c r="N1177">
        <f>IF(COUNTIFS('United Data'!$A$3:$A$3390,N$1,'United Data'!$C$3:$C$3390,$A1177,'United Data'!$B$3:$B$3390,"&lt;&gt;Off-street")&gt;0,1,0)</f>
        <v>0</v>
      </c>
      <c r="O1177">
        <f>IF(COUNTIFS('United Data'!$A$3:$A$3390,O$1,'United Data'!$C$3:$C$3390,$A1177,'United Data'!$B$3:$B$3390,"&lt;&gt;Off-street")&gt;0,1,0)</f>
        <v>0</v>
      </c>
      <c r="P1177">
        <f>IF(COUNTIFS('United Data'!$A$3:$A$3390,P$1,'United Data'!$C$3:$C$3390,$A1177,'United Data'!$B$3:$B$3390,"&lt;&gt;Off-street")&gt;0,1,0)</f>
        <v>0</v>
      </c>
      <c r="Q1177">
        <f>IF(COUNTIFS('United Data'!$A$3:$A$3390,Q$1,'United Data'!$C$3:$C$3390,$A1177,'United Data'!$B$3:$B$3390,"&lt;&gt;Off-street")&gt;0,1,0)</f>
        <v>0</v>
      </c>
      <c r="R1177">
        <f>IF(COUNTIFS('United Data'!$A$3:$A$3390,R$1,'United Data'!$C$3:$C$3390,$A1177,'United Data'!$B$3:$B$3390,"&lt;&gt;Off-street")&gt;0,1,0)</f>
        <v>1</v>
      </c>
      <c r="S1177">
        <f t="shared" si="36"/>
        <v>1</v>
      </c>
      <c r="T1177">
        <f t="shared" si="37"/>
        <v>1</v>
      </c>
    </row>
    <row r="1178" spans="1:20" x14ac:dyDescent="0.2">
      <c r="A1178" t="s">
        <v>1400</v>
      </c>
      <c r="B1178">
        <f>IF(COUNTIFS('United Data'!$A$3:$A$3390,B$1,'United Data'!$C$3:$C$3390,$A1178,'United Data'!$B$3:$B$3390,"&lt;&gt;Off-street")&gt;0,1,0)</f>
        <v>1</v>
      </c>
      <c r="C1178">
        <f>IF(COUNTIFS('United Data'!$A$3:$A$3390,C$1,'United Data'!$C$3:$C$3390,$A1178,'United Data'!$B$3:$B$3390,"&lt;&gt;Off-street")&gt;0,1,0)</f>
        <v>1</v>
      </c>
      <c r="D1178">
        <f>IF(COUNTIFS('United Data'!$A$3:$A$3390,D$1,'United Data'!$C$3:$C$3390,$A1178,'United Data'!$B$3:$B$3390,"&lt;&gt;Off-street")&gt;0,1,0)</f>
        <v>0</v>
      </c>
      <c r="E1178">
        <f>IF(COUNTIFS('United Data'!$A$3:$A$3390,E$1,'United Data'!$C$3:$C$3390,$A1178,'United Data'!$B$3:$B$3390,"&lt;&gt;Off-street")&gt;0,1,0)</f>
        <v>0</v>
      </c>
      <c r="F1178">
        <f>IF(COUNTIFS('United Data'!$A$3:$A$3390,F$1,'United Data'!$C$3:$C$3390,$A1178,'United Data'!$B$3:$B$3390,"&lt;&gt;Off-street")&gt;0,1,0)</f>
        <v>0</v>
      </c>
      <c r="G1178">
        <f>IF(COUNTIFS('United Data'!$A$3:$A$3390,G$1,'United Data'!$C$3:$C$3390,$A1178,'United Data'!$B$3:$B$3390,"&lt;&gt;Off-street")&gt;0,1,0)</f>
        <v>1</v>
      </c>
      <c r="H1178">
        <f>IF(COUNTIFS('United Data'!$A$3:$A$3390,H$1,'United Data'!$C$3:$C$3390,$A1178,'United Data'!$B$3:$B$3390,"&lt;&gt;Off-street")&gt;0,1,0)</f>
        <v>0</v>
      </c>
      <c r="I1178">
        <f>IF(COUNTIFS('United Data'!$A$3:$A$3390,I$1,'United Data'!$C$3:$C$3390,$A1178,'United Data'!$B$3:$B$3390,"&lt;&gt;Off-street")&gt;0,1,0)</f>
        <v>0</v>
      </c>
      <c r="J1178">
        <f>IF(COUNTIFS('United Data'!$A$3:$A$3390,J$1,'United Data'!$C$3:$C$3390,$A1178,'United Data'!$B$3:$B$3390,"&lt;&gt;Off-street")&gt;0,1,0)</f>
        <v>0</v>
      </c>
      <c r="K1178">
        <f>IF(COUNTIFS('United Data'!$A$3:$A$3390,K$1,'United Data'!$C$3:$C$3390,$A1178,'United Data'!$B$3:$B$3390,"&lt;&gt;Off-street")&gt;0,1,0)</f>
        <v>0</v>
      </c>
      <c r="L1178">
        <f>IF(COUNTIFS('United Data'!$A$3:$A$3390,L$1,'United Data'!$C$3:$C$3390,$A1178,'United Data'!$B$3:$B$3390,"&lt;&gt;Off-street")&gt;0,1,0)</f>
        <v>1</v>
      </c>
      <c r="M1178">
        <f>IF(COUNTIFS('United Data'!$A$3:$A$3390,M$1,'United Data'!$C$3:$C$3390,$A1178,'United Data'!$B$3:$B$3390,"&lt;&gt;Off-street")&gt;0,1,0)</f>
        <v>0</v>
      </c>
      <c r="N1178">
        <f>IF(COUNTIFS('United Data'!$A$3:$A$3390,N$1,'United Data'!$C$3:$C$3390,$A1178,'United Data'!$B$3:$B$3390,"&lt;&gt;Off-street")&gt;0,1,0)</f>
        <v>0</v>
      </c>
      <c r="O1178">
        <f>IF(COUNTIFS('United Data'!$A$3:$A$3390,O$1,'United Data'!$C$3:$C$3390,$A1178,'United Data'!$B$3:$B$3390,"&lt;&gt;Off-street")&gt;0,1,0)</f>
        <v>0</v>
      </c>
      <c r="P1178">
        <f>IF(COUNTIFS('United Data'!$A$3:$A$3390,P$1,'United Data'!$C$3:$C$3390,$A1178,'United Data'!$B$3:$B$3390,"&lt;&gt;Off-street")&gt;0,1,0)</f>
        <v>0</v>
      </c>
      <c r="Q1178">
        <f>IF(COUNTIFS('United Data'!$A$3:$A$3390,Q$1,'United Data'!$C$3:$C$3390,$A1178,'United Data'!$B$3:$B$3390,"&lt;&gt;Off-street")&gt;0,1,0)</f>
        <v>1</v>
      </c>
      <c r="R1178">
        <f>IF(COUNTIFS('United Data'!$A$3:$A$3390,R$1,'United Data'!$C$3:$C$3390,$A1178,'United Data'!$B$3:$B$3390,"&lt;&gt;Off-street")&gt;0,1,0)</f>
        <v>0</v>
      </c>
      <c r="S1178">
        <f t="shared" si="36"/>
        <v>5</v>
      </c>
      <c r="T1178">
        <f t="shared" si="37"/>
        <v>4</v>
      </c>
    </row>
    <row r="1179" spans="1:20" x14ac:dyDescent="0.2">
      <c r="A1179" t="s">
        <v>1401</v>
      </c>
      <c r="B1179">
        <f>IF(COUNTIFS('United Data'!$A$3:$A$3390,B$1,'United Data'!$C$3:$C$3390,$A1179,'United Data'!$B$3:$B$3390,"&lt;&gt;Off-street")&gt;0,1,0)</f>
        <v>1</v>
      </c>
      <c r="C1179">
        <f>IF(COUNTIFS('United Data'!$A$3:$A$3390,C$1,'United Data'!$C$3:$C$3390,$A1179,'United Data'!$B$3:$B$3390,"&lt;&gt;Off-street")&gt;0,1,0)</f>
        <v>1</v>
      </c>
      <c r="D1179">
        <f>IF(COUNTIFS('United Data'!$A$3:$A$3390,D$1,'United Data'!$C$3:$C$3390,$A1179,'United Data'!$B$3:$B$3390,"&lt;&gt;Off-street")&gt;0,1,0)</f>
        <v>0</v>
      </c>
      <c r="E1179">
        <f>IF(COUNTIFS('United Data'!$A$3:$A$3390,E$1,'United Data'!$C$3:$C$3390,$A1179,'United Data'!$B$3:$B$3390,"&lt;&gt;Off-street")&gt;0,1,0)</f>
        <v>0</v>
      </c>
      <c r="F1179">
        <f>IF(COUNTIFS('United Data'!$A$3:$A$3390,F$1,'United Data'!$C$3:$C$3390,$A1179,'United Data'!$B$3:$B$3390,"&lt;&gt;Off-street")&gt;0,1,0)</f>
        <v>0</v>
      </c>
      <c r="G1179">
        <f>IF(COUNTIFS('United Data'!$A$3:$A$3390,G$1,'United Data'!$C$3:$C$3390,$A1179,'United Data'!$B$3:$B$3390,"&lt;&gt;Off-street")&gt;0,1,0)</f>
        <v>0</v>
      </c>
      <c r="H1179">
        <f>IF(COUNTIFS('United Data'!$A$3:$A$3390,H$1,'United Data'!$C$3:$C$3390,$A1179,'United Data'!$B$3:$B$3390,"&lt;&gt;Off-street")&gt;0,1,0)</f>
        <v>0</v>
      </c>
      <c r="I1179">
        <f>IF(COUNTIFS('United Data'!$A$3:$A$3390,I$1,'United Data'!$C$3:$C$3390,$A1179,'United Data'!$B$3:$B$3390,"&lt;&gt;Off-street")&gt;0,1,0)</f>
        <v>0</v>
      </c>
      <c r="J1179">
        <f>IF(COUNTIFS('United Data'!$A$3:$A$3390,J$1,'United Data'!$C$3:$C$3390,$A1179,'United Data'!$B$3:$B$3390,"&lt;&gt;Off-street")&gt;0,1,0)</f>
        <v>0</v>
      </c>
      <c r="K1179">
        <f>IF(COUNTIFS('United Data'!$A$3:$A$3390,K$1,'United Data'!$C$3:$C$3390,$A1179,'United Data'!$B$3:$B$3390,"&lt;&gt;Off-street")&gt;0,1,0)</f>
        <v>0</v>
      </c>
      <c r="L1179">
        <f>IF(COUNTIFS('United Data'!$A$3:$A$3390,L$1,'United Data'!$C$3:$C$3390,$A1179,'United Data'!$B$3:$B$3390,"&lt;&gt;Off-street")&gt;0,1,0)</f>
        <v>0</v>
      </c>
      <c r="M1179">
        <f>IF(COUNTIFS('United Data'!$A$3:$A$3390,M$1,'United Data'!$C$3:$C$3390,$A1179,'United Data'!$B$3:$B$3390,"&lt;&gt;Off-street")&gt;0,1,0)</f>
        <v>0</v>
      </c>
      <c r="N1179">
        <f>IF(COUNTIFS('United Data'!$A$3:$A$3390,N$1,'United Data'!$C$3:$C$3390,$A1179,'United Data'!$B$3:$B$3390,"&lt;&gt;Off-street")&gt;0,1,0)</f>
        <v>0</v>
      </c>
      <c r="O1179">
        <f>IF(COUNTIFS('United Data'!$A$3:$A$3390,O$1,'United Data'!$C$3:$C$3390,$A1179,'United Data'!$B$3:$B$3390,"&lt;&gt;Off-street")&gt;0,1,0)</f>
        <v>0</v>
      </c>
      <c r="P1179">
        <f>IF(COUNTIFS('United Data'!$A$3:$A$3390,P$1,'United Data'!$C$3:$C$3390,$A1179,'United Data'!$B$3:$B$3390,"&lt;&gt;Off-street")&gt;0,1,0)</f>
        <v>0</v>
      </c>
      <c r="Q1179">
        <f>IF(COUNTIFS('United Data'!$A$3:$A$3390,Q$1,'United Data'!$C$3:$C$3390,$A1179,'United Data'!$B$3:$B$3390,"&lt;&gt;Off-street")&gt;0,1,0)</f>
        <v>0</v>
      </c>
      <c r="R1179">
        <f>IF(COUNTIFS('United Data'!$A$3:$A$3390,R$1,'United Data'!$C$3:$C$3390,$A1179,'United Data'!$B$3:$B$3390,"&lt;&gt;Off-street")&gt;0,1,0)</f>
        <v>0</v>
      </c>
      <c r="S1179">
        <f t="shared" si="36"/>
        <v>2</v>
      </c>
      <c r="T1179">
        <f t="shared" si="37"/>
        <v>1</v>
      </c>
    </row>
    <row r="1180" spans="1:20" x14ac:dyDescent="0.2">
      <c r="A1180" t="s">
        <v>1402</v>
      </c>
      <c r="B1180">
        <f>IF(COUNTIFS('United Data'!$A$3:$A$3390,B$1,'United Data'!$C$3:$C$3390,$A1180,'United Data'!$B$3:$B$3390,"&lt;&gt;Off-street")&gt;0,1,0)</f>
        <v>1</v>
      </c>
      <c r="C1180">
        <f>IF(COUNTIFS('United Data'!$A$3:$A$3390,C$1,'United Data'!$C$3:$C$3390,$A1180,'United Data'!$B$3:$B$3390,"&lt;&gt;Off-street")&gt;0,1,0)</f>
        <v>0</v>
      </c>
      <c r="D1180">
        <f>IF(COUNTIFS('United Data'!$A$3:$A$3390,D$1,'United Data'!$C$3:$C$3390,$A1180,'United Data'!$B$3:$B$3390,"&lt;&gt;Off-street")&gt;0,1,0)</f>
        <v>0</v>
      </c>
      <c r="E1180">
        <f>IF(COUNTIFS('United Data'!$A$3:$A$3390,E$1,'United Data'!$C$3:$C$3390,$A1180,'United Data'!$B$3:$B$3390,"&lt;&gt;Off-street")&gt;0,1,0)</f>
        <v>0</v>
      </c>
      <c r="F1180">
        <f>IF(COUNTIFS('United Data'!$A$3:$A$3390,F$1,'United Data'!$C$3:$C$3390,$A1180,'United Data'!$B$3:$B$3390,"&lt;&gt;Off-street")&gt;0,1,0)</f>
        <v>0</v>
      </c>
      <c r="G1180">
        <f>IF(COUNTIFS('United Data'!$A$3:$A$3390,G$1,'United Data'!$C$3:$C$3390,$A1180,'United Data'!$B$3:$B$3390,"&lt;&gt;Off-street")&gt;0,1,0)</f>
        <v>0</v>
      </c>
      <c r="H1180">
        <f>IF(COUNTIFS('United Data'!$A$3:$A$3390,H$1,'United Data'!$C$3:$C$3390,$A1180,'United Data'!$B$3:$B$3390,"&lt;&gt;Off-street")&gt;0,1,0)</f>
        <v>0</v>
      </c>
      <c r="I1180">
        <f>IF(COUNTIFS('United Data'!$A$3:$A$3390,I$1,'United Data'!$C$3:$C$3390,$A1180,'United Data'!$B$3:$B$3390,"&lt;&gt;Off-street")&gt;0,1,0)</f>
        <v>0</v>
      </c>
      <c r="J1180">
        <f>IF(COUNTIFS('United Data'!$A$3:$A$3390,J$1,'United Data'!$C$3:$C$3390,$A1180,'United Data'!$B$3:$B$3390,"&lt;&gt;Off-street")&gt;0,1,0)</f>
        <v>0</v>
      </c>
      <c r="K1180">
        <f>IF(COUNTIFS('United Data'!$A$3:$A$3390,K$1,'United Data'!$C$3:$C$3390,$A1180,'United Data'!$B$3:$B$3390,"&lt;&gt;Off-street")&gt;0,1,0)</f>
        <v>0</v>
      </c>
      <c r="L1180">
        <f>IF(COUNTIFS('United Data'!$A$3:$A$3390,L$1,'United Data'!$C$3:$C$3390,$A1180,'United Data'!$B$3:$B$3390,"&lt;&gt;Off-street")&gt;0,1,0)</f>
        <v>0</v>
      </c>
      <c r="M1180">
        <f>IF(COUNTIFS('United Data'!$A$3:$A$3390,M$1,'United Data'!$C$3:$C$3390,$A1180,'United Data'!$B$3:$B$3390,"&lt;&gt;Off-street")&gt;0,1,0)</f>
        <v>0</v>
      </c>
      <c r="N1180">
        <f>IF(COUNTIFS('United Data'!$A$3:$A$3390,N$1,'United Data'!$C$3:$C$3390,$A1180,'United Data'!$B$3:$B$3390,"&lt;&gt;Off-street")&gt;0,1,0)</f>
        <v>0</v>
      </c>
      <c r="O1180">
        <f>IF(COUNTIFS('United Data'!$A$3:$A$3390,O$1,'United Data'!$C$3:$C$3390,$A1180,'United Data'!$B$3:$B$3390,"&lt;&gt;Off-street")&gt;0,1,0)</f>
        <v>0</v>
      </c>
      <c r="P1180">
        <f>IF(COUNTIFS('United Data'!$A$3:$A$3390,P$1,'United Data'!$C$3:$C$3390,$A1180,'United Data'!$B$3:$B$3390,"&lt;&gt;Off-street")&gt;0,1,0)</f>
        <v>0</v>
      </c>
      <c r="Q1180">
        <f>IF(COUNTIFS('United Data'!$A$3:$A$3390,Q$1,'United Data'!$C$3:$C$3390,$A1180,'United Data'!$B$3:$B$3390,"&lt;&gt;Off-street")&gt;0,1,0)</f>
        <v>1</v>
      </c>
      <c r="R1180">
        <f>IF(COUNTIFS('United Data'!$A$3:$A$3390,R$1,'United Data'!$C$3:$C$3390,$A1180,'United Data'!$B$3:$B$3390,"&lt;&gt;Off-street")&gt;0,1,0)</f>
        <v>0</v>
      </c>
      <c r="S1180">
        <f t="shared" si="36"/>
        <v>2</v>
      </c>
      <c r="T1180">
        <f t="shared" si="37"/>
        <v>2</v>
      </c>
    </row>
    <row r="1181" spans="1:20" x14ac:dyDescent="0.2">
      <c r="A1181" t="s">
        <v>1403</v>
      </c>
      <c r="B1181">
        <f>IF(COUNTIFS('United Data'!$A$3:$A$3390,B$1,'United Data'!$C$3:$C$3390,$A1181,'United Data'!$B$3:$B$3390,"&lt;&gt;Off-street")&gt;0,1,0)</f>
        <v>1</v>
      </c>
      <c r="C1181">
        <f>IF(COUNTIFS('United Data'!$A$3:$A$3390,C$1,'United Data'!$C$3:$C$3390,$A1181,'United Data'!$B$3:$B$3390,"&lt;&gt;Off-street")&gt;0,1,0)</f>
        <v>0</v>
      </c>
      <c r="D1181">
        <f>IF(COUNTIFS('United Data'!$A$3:$A$3390,D$1,'United Data'!$C$3:$C$3390,$A1181,'United Data'!$B$3:$B$3390,"&lt;&gt;Off-street")&gt;0,1,0)</f>
        <v>0</v>
      </c>
      <c r="E1181">
        <f>IF(COUNTIFS('United Data'!$A$3:$A$3390,E$1,'United Data'!$C$3:$C$3390,$A1181,'United Data'!$B$3:$B$3390,"&lt;&gt;Off-street")&gt;0,1,0)</f>
        <v>1</v>
      </c>
      <c r="F1181">
        <f>IF(COUNTIFS('United Data'!$A$3:$A$3390,F$1,'United Data'!$C$3:$C$3390,$A1181,'United Data'!$B$3:$B$3390,"&lt;&gt;Off-street")&gt;0,1,0)</f>
        <v>0</v>
      </c>
      <c r="G1181">
        <f>IF(COUNTIFS('United Data'!$A$3:$A$3390,G$1,'United Data'!$C$3:$C$3390,$A1181,'United Data'!$B$3:$B$3390,"&lt;&gt;Off-street")&gt;0,1,0)</f>
        <v>0</v>
      </c>
      <c r="H1181">
        <f>IF(COUNTIFS('United Data'!$A$3:$A$3390,H$1,'United Data'!$C$3:$C$3390,$A1181,'United Data'!$B$3:$B$3390,"&lt;&gt;Off-street")&gt;0,1,0)</f>
        <v>0</v>
      </c>
      <c r="I1181">
        <f>IF(COUNTIFS('United Data'!$A$3:$A$3390,I$1,'United Data'!$C$3:$C$3390,$A1181,'United Data'!$B$3:$B$3390,"&lt;&gt;Off-street")&gt;0,1,0)</f>
        <v>0</v>
      </c>
      <c r="J1181">
        <f>IF(COUNTIFS('United Data'!$A$3:$A$3390,J$1,'United Data'!$C$3:$C$3390,$A1181,'United Data'!$B$3:$B$3390,"&lt;&gt;Off-street")&gt;0,1,0)</f>
        <v>0</v>
      </c>
      <c r="K1181">
        <f>IF(COUNTIFS('United Data'!$A$3:$A$3390,K$1,'United Data'!$C$3:$C$3390,$A1181,'United Data'!$B$3:$B$3390,"&lt;&gt;Off-street")&gt;0,1,0)</f>
        <v>0</v>
      </c>
      <c r="L1181">
        <f>IF(COUNTIFS('United Data'!$A$3:$A$3390,L$1,'United Data'!$C$3:$C$3390,$A1181,'United Data'!$B$3:$B$3390,"&lt;&gt;Off-street")&gt;0,1,0)</f>
        <v>0</v>
      </c>
      <c r="M1181">
        <f>IF(COUNTIFS('United Data'!$A$3:$A$3390,M$1,'United Data'!$C$3:$C$3390,$A1181,'United Data'!$B$3:$B$3390,"&lt;&gt;Off-street")&gt;0,1,0)</f>
        <v>0</v>
      </c>
      <c r="N1181">
        <f>IF(COUNTIFS('United Data'!$A$3:$A$3390,N$1,'United Data'!$C$3:$C$3390,$A1181,'United Data'!$B$3:$B$3390,"&lt;&gt;Off-street")&gt;0,1,0)</f>
        <v>0</v>
      </c>
      <c r="O1181">
        <f>IF(COUNTIFS('United Data'!$A$3:$A$3390,O$1,'United Data'!$C$3:$C$3390,$A1181,'United Data'!$B$3:$B$3390,"&lt;&gt;Off-street")&gt;0,1,0)</f>
        <v>0</v>
      </c>
      <c r="P1181">
        <f>IF(COUNTIFS('United Data'!$A$3:$A$3390,P$1,'United Data'!$C$3:$C$3390,$A1181,'United Data'!$B$3:$B$3390,"&lt;&gt;Off-street")&gt;0,1,0)</f>
        <v>0</v>
      </c>
      <c r="Q1181">
        <f>IF(COUNTIFS('United Data'!$A$3:$A$3390,Q$1,'United Data'!$C$3:$C$3390,$A1181,'United Data'!$B$3:$B$3390,"&lt;&gt;Off-street")&gt;0,1,0)</f>
        <v>0</v>
      </c>
      <c r="R1181">
        <f>IF(COUNTIFS('United Data'!$A$3:$A$3390,R$1,'United Data'!$C$3:$C$3390,$A1181,'United Data'!$B$3:$B$3390,"&lt;&gt;Off-street")&gt;0,1,0)</f>
        <v>0</v>
      </c>
      <c r="S1181">
        <f t="shared" si="36"/>
        <v>2</v>
      </c>
      <c r="T1181">
        <f t="shared" si="37"/>
        <v>2</v>
      </c>
    </row>
    <row r="1182" spans="1:20" x14ac:dyDescent="0.2">
      <c r="A1182" t="s">
        <v>1404</v>
      </c>
      <c r="B1182">
        <f>IF(COUNTIFS('United Data'!$A$3:$A$3390,B$1,'United Data'!$C$3:$C$3390,$A1182,'United Data'!$B$3:$B$3390,"&lt;&gt;Off-street")&gt;0,1,0)</f>
        <v>0</v>
      </c>
      <c r="C1182">
        <f>IF(COUNTIFS('United Data'!$A$3:$A$3390,C$1,'United Data'!$C$3:$C$3390,$A1182,'United Data'!$B$3:$B$3390,"&lt;&gt;Off-street")&gt;0,1,0)</f>
        <v>1</v>
      </c>
      <c r="D1182">
        <f>IF(COUNTIFS('United Data'!$A$3:$A$3390,D$1,'United Data'!$C$3:$C$3390,$A1182,'United Data'!$B$3:$B$3390,"&lt;&gt;Off-street")&gt;0,1,0)</f>
        <v>0</v>
      </c>
      <c r="E1182">
        <f>IF(COUNTIFS('United Data'!$A$3:$A$3390,E$1,'United Data'!$C$3:$C$3390,$A1182,'United Data'!$B$3:$B$3390,"&lt;&gt;Off-street")&gt;0,1,0)</f>
        <v>0</v>
      </c>
      <c r="F1182">
        <f>IF(COUNTIFS('United Data'!$A$3:$A$3390,F$1,'United Data'!$C$3:$C$3390,$A1182,'United Data'!$B$3:$B$3390,"&lt;&gt;Off-street")&gt;0,1,0)</f>
        <v>0</v>
      </c>
      <c r="G1182">
        <f>IF(COUNTIFS('United Data'!$A$3:$A$3390,G$1,'United Data'!$C$3:$C$3390,$A1182,'United Data'!$B$3:$B$3390,"&lt;&gt;Off-street")&gt;0,1,0)</f>
        <v>0</v>
      </c>
      <c r="H1182">
        <f>IF(COUNTIFS('United Data'!$A$3:$A$3390,H$1,'United Data'!$C$3:$C$3390,$A1182,'United Data'!$B$3:$B$3390,"&lt;&gt;Off-street")&gt;0,1,0)</f>
        <v>0</v>
      </c>
      <c r="I1182">
        <f>IF(COUNTIFS('United Data'!$A$3:$A$3390,I$1,'United Data'!$C$3:$C$3390,$A1182,'United Data'!$B$3:$B$3390,"&lt;&gt;Off-street")&gt;0,1,0)</f>
        <v>0</v>
      </c>
      <c r="J1182">
        <f>IF(COUNTIFS('United Data'!$A$3:$A$3390,J$1,'United Data'!$C$3:$C$3390,$A1182,'United Data'!$B$3:$B$3390,"&lt;&gt;Off-street")&gt;0,1,0)</f>
        <v>0</v>
      </c>
      <c r="K1182">
        <f>IF(COUNTIFS('United Data'!$A$3:$A$3390,K$1,'United Data'!$C$3:$C$3390,$A1182,'United Data'!$B$3:$B$3390,"&lt;&gt;Off-street")&gt;0,1,0)</f>
        <v>0</v>
      </c>
      <c r="L1182">
        <f>IF(COUNTIFS('United Data'!$A$3:$A$3390,L$1,'United Data'!$C$3:$C$3390,$A1182,'United Data'!$B$3:$B$3390,"&lt;&gt;Off-street")&gt;0,1,0)</f>
        <v>0</v>
      </c>
      <c r="M1182">
        <f>IF(COUNTIFS('United Data'!$A$3:$A$3390,M$1,'United Data'!$C$3:$C$3390,$A1182,'United Data'!$B$3:$B$3390,"&lt;&gt;Off-street")&gt;0,1,0)</f>
        <v>0</v>
      </c>
      <c r="N1182">
        <f>IF(COUNTIFS('United Data'!$A$3:$A$3390,N$1,'United Data'!$C$3:$C$3390,$A1182,'United Data'!$B$3:$B$3390,"&lt;&gt;Off-street")&gt;0,1,0)</f>
        <v>0</v>
      </c>
      <c r="O1182">
        <f>IF(COUNTIFS('United Data'!$A$3:$A$3390,O$1,'United Data'!$C$3:$C$3390,$A1182,'United Data'!$B$3:$B$3390,"&lt;&gt;Off-street")&gt;0,1,0)</f>
        <v>0</v>
      </c>
      <c r="P1182">
        <f>IF(COUNTIFS('United Data'!$A$3:$A$3390,P$1,'United Data'!$C$3:$C$3390,$A1182,'United Data'!$B$3:$B$3390,"&lt;&gt;Off-street")&gt;0,1,0)</f>
        <v>0</v>
      </c>
      <c r="Q1182">
        <f>IF(COUNTIFS('United Data'!$A$3:$A$3390,Q$1,'United Data'!$C$3:$C$3390,$A1182,'United Data'!$B$3:$B$3390,"&lt;&gt;Off-street")&gt;0,1,0)</f>
        <v>0</v>
      </c>
      <c r="R1182">
        <f>IF(COUNTIFS('United Data'!$A$3:$A$3390,R$1,'United Data'!$C$3:$C$3390,$A1182,'United Data'!$B$3:$B$3390,"&lt;&gt;Off-street")&gt;0,1,0)</f>
        <v>0</v>
      </c>
      <c r="S1182">
        <f t="shared" si="36"/>
        <v>1</v>
      </c>
      <c r="T1182">
        <f t="shared" si="37"/>
        <v>1</v>
      </c>
    </row>
    <row r="1183" spans="1:20" x14ac:dyDescent="0.2">
      <c r="A1183" t="s">
        <v>1405</v>
      </c>
      <c r="B1183">
        <f>IF(COUNTIFS('United Data'!$A$3:$A$3390,B$1,'United Data'!$C$3:$C$3390,$A1183,'United Data'!$B$3:$B$3390,"&lt;&gt;Off-street")&gt;0,1,0)</f>
        <v>0</v>
      </c>
      <c r="C1183">
        <f>IF(COUNTIFS('United Data'!$A$3:$A$3390,C$1,'United Data'!$C$3:$C$3390,$A1183,'United Data'!$B$3:$B$3390,"&lt;&gt;Off-street")&gt;0,1,0)</f>
        <v>1</v>
      </c>
      <c r="D1183">
        <f>IF(COUNTIFS('United Data'!$A$3:$A$3390,D$1,'United Data'!$C$3:$C$3390,$A1183,'United Data'!$B$3:$B$3390,"&lt;&gt;Off-street")&gt;0,1,0)</f>
        <v>1</v>
      </c>
      <c r="E1183">
        <f>IF(COUNTIFS('United Data'!$A$3:$A$3390,E$1,'United Data'!$C$3:$C$3390,$A1183,'United Data'!$B$3:$B$3390,"&lt;&gt;Off-street")&gt;0,1,0)</f>
        <v>1</v>
      </c>
      <c r="F1183">
        <f>IF(COUNTIFS('United Data'!$A$3:$A$3390,F$1,'United Data'!$C$3:$C$3390,$A1183,'United Data'!$B$3:$B$3390,"&lt;&gt;Off-street")&gt;0,1,0)</f>
        <v>1</v>
      </c>
      <c r="G1183">
        <f>IF(COUNTIFS('United Data'!$A$3:$A$3390,G$1,'United Data'!$C$3:$C$3390,$A1183,'United Data'!$B$3:$B$3390,"&lt;&gt;Off-street")&gt;0,1,0)</f>
        <v>1</v>
      </c>
      <c r="H1183">
        <f>IF(COUNTIFS('United Data'!$A$3:$A$3390,H$1,'United Data'!$C$3:$C$3390,$A1183,'United Data'!$B$3:$B$3390,"&lt;&gt;Off-street")&gt;0,1,0)</f>
        <v>1</v>
      </c>
      <c r="I1183">
        <f>IF(COUNTIFS('United Data'!$A$3:$A$3390,I$1,'United Data'!$C$3:$C$3390,$A1183,'United Data'!$B$3:$B$3390,"&lt;&gt;Off-street")&gt;0,1,0)</f>
        <v>1</v>
      </c>
      <c r="J1183">
        <f>IF(COUNTIFS('United Data'!$A$3:$A$3390,J$1,'United Data'!$C$3:$C$3390,$A1183,'United Data'!$B$3:$B$3390,"&lt;&gt;Off-street")&gt;0,1,0)</f>
        <v>0</v>
      </c>
      <c r="K1183">
        <f>IF(COUNTIFS('United Data'!$A$3:$A$3390,K$1,'United Data'!$C$3:$C$3390,$A1183,'United Data'!$B$3:$B$3390,"&lt;&gt;Off-street")&gt;0,1,0)</f>
        <v>0</v>
      </c>
      <c r="L1183">
        <f>IF(COUNTIFS('United Data'!$A$3:$A$3390,L$1,'United Data'!$C$3:$C$3390,$A1183,'United Data'!$B$3:$B$3390,"&lt;&gt;Off-street")&gt;0,1,0)</f>
        <v>0</v>
      </c>
      <c r="M1183">
        <f>IF(COUNTIFS('United Data'!$A$3:$A$3390,M$1,'United Data'!$C$3:$C$3390,$A1183,'United Data'!$B$3:$B$3390,"&lt;&gt;Off-street")&gt;0,1,0)</f>
        <v>1</v>
      </c>
      <c r="N1183">
        <f>IF(COUNTIFS('United Data'!$A$3:$A$3390,N$1,'United Data'!$C$3:$C$3390,$A1183,'United Data'!$B$3:$B$3390,"&lt;&gt;Off-street")&gt;0,1,0)</f>
        <v>0</v>
      </c>
      <c r="O1183">
        <f>IF(COUNTIFS('United Data'!$A$3:$A$3390,O$1,'United Data'!$C$3:$C$3390,$A1183,'United Data'!$B$3:$B$3390,"&lt;&gt;Off-street")&gt;0,1,0)</f>
        <v>0</v>
      </c>
      <c r="P1183">
        <f>IF(COUNTIFS('United Data'!$A$3:$A$3390,P$1,'United Data'!$C$3:$C$3390,$A1183,'United Data'!$B$3:$B$3390,"&lt;&gt;Off-street")&gt;0,1,0)</f>
        <v>0</v>
      </c>
      <c r="Q1183">
        <f>IF(COUNTIFS('United Data'!$A$3:$A$3390,Q$1,'United Data'!$C$3:$C$3390,$A1183,'United Data'!$B$3:$B$3390,"&lt;&gt;Off-street")&gt;0,1,0)</f>
        <v>0</v>
      </c>
      <c r="R1183">
        <f>IF(COUNTIFS('United Data'!$A$3:$A$3390,R$1,'United Data'!$C$3:$C$3390,$A1183,'United Data'!$B$3:$B$3390,"&lt;&gt;Off-street")&gt;0,1,0)</f>
        <v>0</v>
      </c>
      <c r="S1183">
        <f t="shared" si="36"/>
        <v>8</v>
      </c>
      <c r="T1183">
        <f t="shared" si="37"/>
        <v>2</v>
      </c>
    </row>
    <row r="1184" spans="1:20" x14ac:dyDescent="0.2">
      <c r="A1184" t="s">
        <v>1406</v>
      </c>
      <c r="B1184">
        <f>IF(COUNTIFS('United Data'!$A$3:$A$3390,B$1,'United Data'!$C$3:$C$3390,$A1184,'United Data'!$B$3:$B$3390,"&lt;&gt;Off-street")&gt;0,1,0)</f>
        <v>1</v>
      </c>
      <c r="C1184">
        <f>IF(COUNTIFS('United Data'!$A$3:$A$3390,C$1,'United Data'!$C$3:$C$3390,$A1184,'United Data'!$B$3:$B$3390,"&lt;&gt;Off-street")&gt;0,1,0)</f>
        <v>1</v>
      </c>
      <c r="D1184">
        <f>IF(COUNTIFS('United Data'!$A$3:$A$3390,D$1,'United Data'!$C$3:$C$3390,$A1184,'United Data'!$B$3:$B$3390,"&lt;&gt;Off-street")&gt;0,1,0)</f>
        <v>0</v>
      </c>
      <c r="E1184">
        <f>IF(COUNTIFS('United Data'!$A$3:$A$3390,E$1,'United Data'!$C$3:$C$3390,$A1184,'United Data'!$B$3:$B$3390,"&lt;&gt;Off-street")&gt;0,1,0)</f>
        <v>1</v>
      </c>
      <c r="F1184">
        <f>IF(COUNTIFS('United Data'!$A$3:$A$3390,F$1,'United Data'!$C$3:$C$3390,$A1184,'United Data'!$B$3:$B$3390,"&lt;&gt;Off-street")&gt;0,1,0)</f>
        <v>0</v>
      </c>
      <c r="G1184">
        <f>IF(COUNTIFS('United Data'!$A$3:$A$3390,G$1,'United Data'!$C$3:$C$3390,$A1184,'United Data'!$B$3:$B$3390,"&lt;&gt;Off-street")&gt;0,1,0)</f>
        <v>0</v>
      </c>
      <c r="H1184">
        <f>IF(COUNTIFS('United Data'!$A$3:$A$3390,H$1,'United Data'!$C$3:$C$3390,$A1184,'United Data'!$B$3:$B$3390,"&lt;&gt;Off-street")&gt;0,1,0)</f>
        <v>0</v>
      </c>
      <c r="I1184">
        <f>IF(COUNTIFS('United Data'!$A$3:$A$3390,I$1,'United Data'!$C$3:$C$3390,$A1184,'United Data'!$B$3:$B$3390,"&lt;&gt;Off-street")&gt;0,1,0)</f>
        <v>0</v>
      </c>
      <c r="J1184">
        <f>IF(COUNTIFS('United Data'!$A$3:$A$3390,J$1,'United Data'!$C$3:$C$3390,$A1184,'United Data'!$B$3:$B$3390,"&lt;&gt;Off-street")&gt;0,1,0)</f>
        <v>0</v>
      </c>
      <c r="K1184">
        <f>IF(COUNTIFS('United Data'!$A$3:$A$3390,K$1,'United Data'!$C$3:$C$3390,$A1184,'United Data'!$B$3:$B$3390,"&lt;&gt;Off-street")&gt;0,1,0)</f>
        <v>0</v>
      </c>
      <c r="L1184">
        <f>IF(COUNTIFS('United Data'!$A$3:$A$3390,L$1,'United Data'!$C$3:$C$3390,$A1184,'United Data'!$B$3:$B$3390,"&lt;&gt;Off-street")&gt;0,1,0)</f>
        <v>0</v>
      </c>
      <c r="M1184">
        <f>IF(COUNTIFS('United Data'!$A$3:$A$3390,M$1,'United Data'!$C$3:$C$3390,$A1184,'United Data'!$B$3:$B$3390,"&lt;&gt;Off-street")&gt;0,1,0)</f>
        <v>0</v>
      </c>
      <c r="N1184">
        <f>IF(COUNTIFS('United Data'!$A$3:$A$3390,N$1,'United Data'!$C$3:$C$3390,$A1184,'United Data'!$B$3:$B$3390,"&lt;&gt;Off-street")&gt;0,1,0)</f>
        <v>0</v>
      </c>
      <c r="O1184">
        <f>IF(COUNTIFS('United Data'!$A$3:$A$3390,O$1,'United Data'!$C$3:$C$3390,$A1184,'United Data'!$B$3:$B$3390,"&lt;&gt;Off-street")&gt;0,1,0)</f>
        <v>0</v>
      </c>
      <c r="P1184">
        <f>IF(COUNTIFS('United Data'!$A$3:$A$3390,P$1,'United Data'!$C$3:$C$3390,$A1184,'United Data'!$B$3:$B$3390,"&lt;&gt;Off-street")&gt;0,1,0)</f>
        <v>0</v>
      </c>
      <c r="Q1184">
        <f>IF(COUNTIFS('United Data'!$A$3:$A$3390,Q$1,'United Data'!$C$3:$C$3390,$A1184,'United Data'!$B$3:$B$3390,"&lt;&gt;Off-street")&gt;0,1,0)</f>
        <v>1</v>
      </c>
      <c r="R1184">
        <f>IF(COUNTIFS('United Data'!$A$3:$A$3390,R$1,'United Data'!$C$3:$C$3390,$A1184,'United Data'!$B$3:$B$3390,"&lt;&gt;Off-street")&gt;0,1,0)</f>
        <v>0</v>
      </c>
      <c r="S1184">
        <f t="shared" si="36"/>
        <v>4</v>
      </c>
      <c r="T1184">
        <f t="shared" si="37"/>
        <v>3</v>
      </c>
    </row>
    <row r="1185" spans="1:20" x14ac:dyDescent="0.2">
      <c r="A1185" t="s">
        <v>1407</v>
      </c>
      <c r="B1185">
        <f>IF(COUNTIFS('United Data'!$A$3:$A$3390,B$1,'United Data'!$C$3:$C$3390,$A1185,'United Data'!$B$3:$B$3390,"&lt;&gt;Off-street")&gt;0,1,0)</f>
        <v>0</v>
      </c>
      <c r="C1185">
        <f>IF(COUNTIFS('United Data'!$A$3:$A$3390,C$1,'United Data'!$C$3:$C$3390,$A1185,'United Data'!$B$3:$B$3390,"&lt;&gt;Off-street")&gt;0,1,0)</f>
        <v>0</v>
      </c>
      <c r="D1185">
        <f>IF(COUNTIFS('United Data'!$A$3:$A$3390,D$1,'United Data'!$C$3:$C$3390,$A1185,'United Data'!$B$3:$B$3390,"&lt;&gt;Off-street")&gt;0,1,0)</f>
        <v>1</v>
      </c>
      <c r="E1185">
        <f>IF(COUNTIFS('United Data'!$A$3:$A$3390,E$1,'United Data'!$C$3:$C$3390,$A1185,'United Data'!$B$3:$B$3390,"&lt;&gt;Off-street")&gt;0,1,0)</f>
        <v>0</v>
      </c>
      <c r="F1185">
        <f>IF(COUNTIFS('United Data'!$A$3:$A$3390,F$1,'United Data'!$C$3:$C$3390,$A1185,'United Data'!$B$3:$B$3390,"&lt;&gt;Off-street")&gt;0,1,0)</f>
        <v>0</v>
      </c>
      <c r="G1185">
        <f>IF(COUNTIFS('United Data'!$A$3:$A$3390,G$1,'United Data'!$C$3:$C$3390,$A1185,'United Data'!$B$3:$B$3390,"&lt;&gt;Off-street")&gt;0,1,0)</f>
        <v>0</v>
      </c>
      <c r="H1185">
        <f>IF(COUNTIFS('United Data'!$A$3:$A$3390,H$1,'United Data'!$C$3:$C$3390,$A1185,'United Data'!$B$3:$B$3390,"&lt;&gt;Off-street")&gt;0,1,0)</f>
        <v>0</v>
      </c>
      <c r="I1185">
        <f>IF(COUNTIFS('United Data'!$A$3:$A$3390,I$1,'United Data'!$C$3:$C$3390,$A1185,'United Data'!$B$3:$B$3390,"&lt;&gt;Off-street")&gt;0,1,0)</f>
        <v>0</v>
      </c>
      <c r="J1185">
        <f>IF(COUNTIFS('United Data'!$A$3:$A$3390,J$1,'United Data'!$C$3:$C$3390,$A1185,'United Data'!$B$3:$B$3390,"&lt;&gt;Off-street")&gt;0,1,0)</f>
        <v>0</v>
      </c>
      <c r="K1185">
        <f>IF(COUNTIFS('United Data'!$A$3:$A$3390,K$1,'United Data'!$C$3:$C$3390,$A1185,'United Data'!$B$3:$B$3390,"&lt;&gt;Off-street")&gt;0,1,0)</f>
        <v>0</v>
      </c>
      <c r="L1185">
        <f>IF(COUNTIFS('United Data'!$A$3:$A$3390,L$1,'United Data'!$C$3:$C$3390,$A1185,'United Data'!$B$3:$B$3390,"&lt;&gt;Off-street")&gt;0,1,0)</f>
        <v>0</v>
      </c>
      <c r="M1185">
        <f>IF(COUNTIFS('United Data'!$A$3:$A$3390,M$1,'United Data'!$C$3:$C$3390,$A1185,'United Data'!$B$3:$B$3390,"&lt;&gt;Off-street")&gt;0,1,0)</f>
        <v>0</v>
      </c>
      <c r="N1185">
        <f>IF(COUNTIFS('United Data'!$A$3:$A$3390,N$1,'United Data'!$C$3:$C$3390,$A1185,'United Data'!$B$3:$B$3390,"&lt;&gt;Off-street")&gt;0,1,0)</f>
        <v>0</v>
      </c>
      <c r="O1185">
        <f>IF(COUNTIFS('United Data'!$A$3:$A$3390,O$1,'United Data'!$C$3:$C$3390,$A1185,'United Data'!$B$3:$B$3390,"&lt;&gt;Off-street")&gt;0,1,0)</f>
        <v>0</v>
      </c>
      <c r="P1185">
        <f>IF(COUNTIFS('United Data'!$A$3:$A$3390,P$1,'United Data'!$C$3:$C$3390,$A1185,'United Data'!$B$3:$B$3390,"&lt;&gt;Off-street")&gt;0,1,0)</f>
        <v>0</v>
      </c>
      <c r="Q1185">
        <f>IF(COUNTIFS('United Data'!$A$3:$A$3390,Q$1,'United Data'!$C$3:$C$3390,$A1185,'United Data'!$B$3:$B$3390,"&lt;&gt;Off-street")&gt;0,1,0)</f>
        <v>0</v>
      </c>
      <c r="R1185">
        <f>IF(COUNTIFS('United Data'!$A$3:$A$3390,R$1,'United Data'!$C$3:$C$3390,$A1185,'United Data'!$B$3:$B$3390,"&lt;&gt;Off-street")&gt;0,1,0)</f>
        <v>0</v>
      </c>
      <c r="S1185">
        <f t="shared" si="36"/>
        <v>1</v>
      </c>
      <c r="T1185">
        <f t="shared" si="37"/>
        <v>1</v>
      </c>
    </row>
    <row r="1186" spans="1:20" x14ac:dyDescent="0.2">
      <c r="A1186" t="s">
        <v>1408</v>
      </c>
      <c r="B1186">
        <f>IF(COUNTIFS('United Data'!$A$3:$A$3390,B$1,'United Data'!$C$3:$C$3390,$A1186,'United Data'!$B$3:$B$3390,"&lt;&gt;Off-street")&gt;0,1,0)</f>
        <v>0</v>
      </c>
      <c r="C1186">
        <f>IF(COUNTIFS('United Data'!$A$3:$A$3390,C$1,'United Data'!$C$3:$C$3390,$A1186,'United Data'!$B$3:$B$3390,"&lt;&gt;Off-street")&gt;0,1,0)</f>
        <v>0</v>
      </c>
      <c r="D1186">
        <f>IF(COUNTIFS('United Data'!$A$3:$A$3390,D$1,'United Data'!$C$3:$C$3390,$A1186,'United Data'!$B$3:$B$3390,"&lt;&gt;Off-street")&gt;0,1,0)</f>
        <v>1</v>
      </c>
      <c r="E1186">
        <f>IF(COUNTIFS('United Data'!$A$3:$A$3390,E$1,'United Data'!$C$3:$C$3390,$A1186,'United Data'!$B$3:$B$3390,"&lt;&gt;Off-street")&gt;0,1,0)</f>
        <v>0</v>
      </c>
      <c r="F1186">
        <f>IF(COUNTIFS('United Data'!$A$3:$A$3390,F$1,'United Data'!$C$3:$C$3390,$A1186,'United Data'!$B$3:$B$3390,"&lt;&gt;Off-street")&gt;0,1,0)</f>
        <v>0</v>
      </c>
      <c r="G1186">
        <f>IF(COUNTIFS('United Data'!$A$3:$A$3390,G$1,'United Data'!$C$3:$C$3390,$A1186,'United Data'!$B$3:$B$3390,"&lt;&gt;Off-street")&gt;0,1,0)</f>
        <v>0</v>
      </c>
      <c r="H1186">
        <f>IF(COUNTIFS('United Data'!$A$3:$A$3390,H$1,'United Data'!$C$3:$C$3390,$A1186,'United Data'!$B$3:$B$3390,"&lt;&gt;Off-street")&gt;0,1,0)</f>
        <v>0</v>
      </c>
      <c r="I1186">
        <f>IF(COUNTIFS('United Data'!$A$3:$A$3390,I$1,'United Data'!$C$3:$C$3390,$A1186,'United Data'!$B$3:$B$3390,"&lt;&gt;Off-street")&gt;0,1,0)</f>
        <v>0</v>
      </c>
      <c r="J1186">
        <f>IF(COUNTIFS('United Data'!$A$3:$A$3390,J$1,'United Data'!$C$3:$C$3390,$A1186,'United Data'!$B$3:$B$3390,"&lt;&gt;Off-street")&gt;0,1,0)</f>
        <v>0</v>
      </c>
      <c r="K1186">
        <f>IF(COUNTIFS('United Data'!$A$3:$A$3390,K$1,'United Data'!$C$3:$C$3390,$A1186,'United Data'!$B$3:$B$3390,"&lt;&gt;Off-street")&gt;0,1,0)</f>
        <v>0</v>
      </c>
      <c r="L1186">
        <f>IF(COUNTIFS('United Data'!$A$3:$A$3390,L$1,'United Data'!$C$3:$C$3390,$A1186,'United Data'!$B$3:$B$3390,"&lt;&gt;Off-street")&gt;0,1,0)</f>
        <v>0</v>
      </c>
      <c r="M1186">
        <f>IF(COUNTIFS('United Data'!$A$3:$A$3390,M$1,'United Data'!$C$3:$C$3390,$A1186,'United Data'!$B$3:$B$3390,"&lt;&gt;Off-street")&gt;0,1,0)</f>
        <v>0</v>
      </c>
      <c r="N1186">
        <f>IF(COUNTIFS('United Data'!$A$3:$A$3390,N$1,'United Data'!$C$3:$C$3390,$A1186,'United Data'!$B$3:$B$3390,"&lt;&gt;Off-street")&gt;0,1,0)</f>
        <v>0</v>
      </c>
      <c r="O1186">
        <f>IF(COUNTIFS('United Data'!$A$3:$A$3390,O$1,'United Data'!$C$3:$C$3390,$A1186,'United Data'!$B$3:$B$3390,"&lt;&gt;Off-street")&gt;0,1,0)</f>
        <v>0</v>
      </c>
      <c r="P1186">
        <f>IF(COUNTIFS('United Data'!$A$3:$A$3390,P$1,'United Data'!$C$3:$C$3390,$A1186,'United Data'!$B$3:$B$3390,"&lt;&gt;Off-street")&gt;0,1,0)</f>
        <v>0</v>
      </c>
      <c r="Q1186">
        <f>IF(COUNTIFS('United Data'!$A$3:$A$3390,Q$1,'United Data'!$C$3:$C$3390,$A1186,'United Data'!$B$3:$B$3390,"&lt;&gt;Off-street")&gt;0,1,0)</f>
        <v>0</v>
      </c>
      <c r="R1186">
        <f>IF(COUNTIFS('United Data'!$A$3:$A$3390,R$1,'United Data'!$C$3:$C$3390,$A1186,'United Data'!$B$3:$B$3390,"&lt;&gt;Off-street")&gt;0,1,0)</f>
        <v>0</v>
      </c>
      <c r="S1186">
        <f t="shared" si="36"/>
        <v>1</v>
      </c>
      <c r="T1186">
        <f t="shared" si="37"/>
        <v>1</v>
      </c>
    </row>
    <row r="1187" spans="1:20" x14ac:dyDescent="0.2">
      <c r="A1187" t="s">
        <v>1409</v>
      </c>
      <c r="B1187">
        <f>IF(COUNTIFS('United Data'!$A$3:$A$3390,B$1,'United Data'!$C$3:$C$3390,$A1187,'United Data'!$B$3:$B$3390,"&lt;&gt;Off-street")&gt;0,1,0)</f>
        <v>0</v>
      </c>
      <c r="C1187">
        <f>IF(COUNTIFS('United Data'!$A$3:$A$3390,C$1,'United Data'!$C$3:$C$3390,$A1187,'United Data'!$B$3:$B$3390,"&lt;&gt;Off-street")&gt;0,1,0)</f>
        <v>0</v>
      </c>
      <c r="D1187">
        <f>IF(COUNTIFS('United Data'!$A$3:$A$3390,D$1,'United Data'!$C$3:$C$3390,$A1187,'United Data'!$B$3:$B$3390,"&lt;&gt;Off-street")&gt;0,1,0)</f>
        <v>0</v>
      </c>
      <c r="E1187">
        <f>IF(COUNTIFS('United Data'!$A$3:$A$3390,E$1,'United Data'!$C$3:$C$3390,$A1187,'United Data'!$B$3:$B$3390,"&lt;&gt;Off-street")&gt;0,1,0)</f>
        <v>1</v>
      </c>
      <c r="F1187">
        <f>IF(COUNTIFS('United Data'!$A$3:$A$3390,F$1,'United Data'!$C$3:$C$3390,$A1187,'United Data'!$B$3:$B$3390,"&lt;&gt;Off-street")&gt;0,1,0)</f>
        <v>0</v>
      </c>
      <c r="G1187">
        <f>IF(COUNTIFS('United Data'!$A$3:$A$3390,G$1,'United Data'!$C$3:$C$3390,$A1187,'United Data'!$B$3:$B$3390,"&lt;&gt;Off-street")&gt;0,1,0)</f>
        <v>0</v>
      </c>
      <c r="H1187">
        <f>IF(COUNTIFS('United Data'!$A$3:$A$3390,H$1,'United Data'!$C$3:$C$3390,$A1187,'United Data'!$B$3:$B$3390,"&lt;&gt;Off-street")&gt;0,1,0)</f>
        <v>0</v>
      </c>
      <c r="I1187">
        <f>IF(COUNTIFS('United Data'!$A$3:$A$3390,I$1,'United Data'!$C$3:$C$3390,$A1187,'United Data'!$B$3:$B$3390,"&lt;&gt;Off-street")&gt;0,1,0)</f>
        <v>0</v>
      </c>
      <c r="J1187">
        <f>IF(COUNTIFS('United Data'!$A$3:$A$3390,J$1,'United Data'!$C$3:$C$3390,$A1187,'United Data'!$B$3:$B$3390,"&lt;&gt;Off-street")&gt;0,1,0)</f>
        <v>0</v>
      </c>
      <c r="K1187">
        <f>IF(COUNTIFS('United Data'!$A$3:$A$3390,K$1,'United Data'!$C$3:$C$3390,$A1187,'United Data'!$B$3:$B$3390,"&lt;&gt;Off-street")&gt;0,1,0)</f>
        <v>0</v>
      </c>
      <c r="L1187">
        <f>IF(COUNTIFS('United Data'!$A$3:$A$3390,L$1,'United Data'!$C$3:$C$3390,$A1187,'United Data'!$B$3:$B$3390,"&lt;&gt;Off-street")&gt;0,1,0)</f>
        <v>0</v>
      </c>
      <c r="M1187">
        <f>IF(COUNTIFS('United Data'!$A$3:$A$3390,M$1,'United Data'!$C$3:$C$3390,$A1187,'United Data'!$B$3:$B$3390,"&lt;&gt;Off-street")&gt;0,1,0)</f>
        <v>0</v>
      </c>
      <c r="N1187">
        <f>IF(COUNTIFS('United Data'!$A$3:$A$3390,N$1,'United Data'!$C$3:$C$3390,$A1187,'United Data'!$B$3:$B$3390,"&lt;&gt;Off-street")&gt;0,1,0)</f>
        <v>0</v>
      </c>
      <c r="O1187">
        <f>IF(COUNTIFS('United Data'!$A$3:$A$3390,O$1,'United Data'!$C$3:$C$3390,$A1187,'United Data'!$B$3:$B$3390,"&lt;&gt;Off-street")&gt;0,1,0)</f>
        <v>0</v>
      </c>
      <c r="P1187">
        <f>IF(COUNTIFS('United Data'!$A$3:$A$3390,P$1,'United Data'!$C$3:$C$3390,$A1187,'United Data'!$B$3:$B$3390,"&lt;&gt;Off-street")&gt;0,1,0)</f>
        <v>0</v>
      </c>
      <c r="Q1187">
        <f>IF(COUNTIFS('United Data'!$A$3:$A$3390,Q$1,'United Data'!$C$3:$C$3390,$A1187,'United Data'!$B$3:$B$3390,"&lt;&gt;Off-street")&gt;0,1,0)</f>
        <v>0</v>
      </c>
      <c r="R1187">
        <f>IF(COUNTIFS('United Data'!$A$3:$A$3390,R$1,'United Data'!$C$3:$C$3390,$A1187,'United Data'!$B$3:$B$3390,"&lt;&gt;Off-street")&gt;0,1,0)</f>
        <v>0</v>
      </c>
      <c r="S1187">
        <f t="shared" si="36"/>
        <v>1</v>
      </c>
      <c r="T1187">
        <f t="shared" si="37"/>
        <v>1</v>
      </c>
    </row>
    <row r="1188" spans="1:20" x14ac:dyDescent="0.2">
      <c r="A1188" t="s">
        <v>1410</v>
      </c>
      <c r="B1188">
        <f>IF(COUNTIFS('United Data'!$A$3:$A$3390,B$1,'United Data'!$C$3:$C$3390,$A1188,'United Data'!$B$3:$B$3390,"&lt;&gt;Off-street")&gt;0,1,0)</f>
        <v>0</v>
      </c>
      <c r="C1188">
        <f>IF(COUNTIFS('United Data'!$A$3:$A$3390,C$1,'United Data'!$C$3:$C$3390,$A1188,'United Data'!$B$3:$B$3390,"&lt;&gt;Off-street")&gt;0,1,0)</f>
        <v>0</v>
      </c>
      <c r="D1188">
        <f>IF(COUNTIFS('United Data'!$A$3:$A$3390,D$1,'United Data'!$C$3:$C$3390,$A1188,'United Data'!$B$3:$B$3390,"&lt;&gt;Off-street")&gt;0,1,0)</f>
        <v>0</v>
      </c>
      <c r="E1188">
        <f>IF(COUNTIFS('United Data'!$A$3:$A$3390,E$1,'United Data'!$C$3:$C$3390,$A1188,'United Data'!$B$3:$B$3390,"&lt;&gt;Off-street")&gt;0,1,0)</f>
        <v>1</v>
      </c>
      <c r="F1188">
        <f>IF(COUNTIFS('United Data'!$A$3:$A$3390,F$1,'United Data'!$C$3:$C$3390,$A1188,'United Data'!$B$3:$B$3390,"&lt;&gt;Off-street")&gt;0,1,0)</f>
        <v>1</v>
      </c>
      <c r="G1188">
        <f>IF(COUNTIFS('United Data'!$A$3:$A$3390,G$1,'United Data'!$C$3:$C$3390,$A1188,'United Data'!$B$3:$B$3390,"&lt;&gt;Off-street")&gt;0,1,0)</f>
        <v>1</v>
      </c>
      <c r="H1188">
        <f>IF(COUNTIFS('United Data'!$A$3:$A$3390,H$1,'United Data'!$C$3:$C$3390,$A1188,'United Data'!$B$3:$B$3390,"&lt;&gt;Off-street")&gt;0,1,0)</f>
        <v>1</v>
      </c>
      <c r="I1188">
        <f>IF(COUNTIFS('United Data'!$A$3:$A$3390,I$1,'United Data'!$C$3:$C$3390,$A1188,'United Data'!$B$3:$B$3390,"&lt;&gt;Off-street")&gt;0,1,0)</f>
        <v>0</v>
      </c>
      <c r="J1188">
        <f>IF(COUNTIFS('United Data'!$A$3:$A$3390,J$1,'United Data'!$C$3:$C$3390,$A1188,'United Data'!$B$3:$B$3390,"&lt;&gt;Off-street")&gt;0,1,0)</f>
        <v>0</v>
      </c>
      <c r="K1188">
        <f>IF(COUNTIFS('United Data'!$A$3:$A$3390,K$1,'United Data'!$C$3:$C$3390,$A1188,'United Data'!$B$3:$B$3390,"&lt;&gt;Off-street")&gt;0,1,0)</f>
        <v>1</v>
      </c>
      <c r="L1188">
        <f>IF(COUNTIFS('United Data'!$A$3:$A$3390,L$1,'United Data'!$C$3:$C$3390,$A1188,'United Data'!$B$3:$B$3390,"&lt;&gt;Off-street")&gt;0,1,0)</f>
        <v>1</v>
      </c>
      <c r="M1188">
        <f>IF(COUNTIFS('United Data'!$A$3:$A$3390,M$1,'United Data'!$C$3:$C$3390,$A1188,'United Data'!$B$3:$B$3390,"&lt;&gt;Off-street")&gt;0,1,0)</f>
        <v>0</v>
      </c>
      <c r="N1188">
        <f>IF(COUNTIFS('United Data'!$A$3:$A$3390,N$1,'United Data'!$C$3:$C$3390,$A1188,'United Data'!$B$3:$B$3390,"&lt;&gt;Off-street")&gt;0,1,0)</f>
        <v>0</v>
      </c>
      <c r="O1188">
        <f>IF(COUNTIFS('United Data'!$A$3:$A$3390,O$1,'United Data'!$C$3:$C$3390,$A1188,'United Data'!$B$3:$B$3390,"&lt;&gt;Off-street")&gt;0,1,0)</f>
        <v>0</v>
      </c>
      <c r="P1188">
        <f>IF(COUNTIFS('United Data'!$A$3:$A$3390,P$1,'United Data'!$C$3:$C$3390,$A1188,'United Data'!$B$3:$B$3390,"&lt;&gt;Off-street")&gt;0,1,0)</f>
        <v>0</v>
      </c>
      <c r="Q1188">
        <f>IF(COUNTIFS('United Data'!$A$3:$A$3390,Q$1,'United Data'!$C$3:$C$3390,$A1188,'United Data'!$B$3:$B$3390,"&lt;&gt;Off-street")&gt;0,1,0)</f>
        <v>0</v>
      </c>
      <c r="R1188">
        <f>IF(COUNTIFS('United Data'!$A$3:$A$3390,R$1,'United Data'!$C$3:$C$3390,$A1188,'United Data'!$B$3:$B$3390,"&lt;&gt;Off-street")&gt;0,1,0)</f>
        <v>0</v>
      </c>
      <c r="S1188">
        <f t="shared" si="36"/>
        <v>6</v>
      </c>
      <c r="T1188">
        <f t="shared" si="37"/>
        <v>2</v>
      </c>
    </row>
    <row r="1189" spans="1:20" x14ac:dyDescent="0.2">
      <c r="A1189" t="s">
        <v>1412</v>
      </c>
      <c r="B1189">
        <f>IF(COUNTIFS('United Data'!$A$3:$A$3390,B$1,'United Data'!$C$3:$C$3390,$A1189,'United Data'!$B$3:$B$3390,"&lt;&gt;Off-street")&gt;0,1,0)</f>
        <v>0</v>
      </c>
      <c r="C1189">
        <f>IF(COUNTIFS('United Data'!$A$3:$A$3390,C$1,'United Data'!$C$3:$C$3390,$A1189,'United Data'!$B$3:$B$3390,"&lt;&gt;Off-street")&gt;0,1,0)</f>
        <v>0</v>
      </c>
      <c r="D1189">
        <f>IF(COUNTIFS('United Data'!$A$3:$A$3390,D$1,'United Data'!$C$3:$C$3390,$A1189,'United Data'!$B$3:$B$3390,"&lt;&gt;Off-street")&gt;0,1,0)</f>
        <v>0</v>
      </c>
      <c r="E1189">
        <f>IF(COUNTIFS('United Data'!$A$3:$A$3390,E$1,'United Data'!$C$3:$C$3390,$A1189,'United Data'!$B$3:$B$3390,"&lt;&gt;Off-street")&gt;0,1,0)</f>
        <v>1</v>
      </c>
      <c r="F1189">
        <f>IF(COUNTIFS('United Data'!$A$3:$A$3390,F$1,'United Data'!$C$3:$C$3390,$A1189,'United Data'!$B$3:$B$3390,"&lt;&gt;Off-street")&gt;0,1,0)</f>
        <v>0</v>
      </c>
      <c r="G1189">
        <f>IF(COUNTIFS('United Data'!$A$3:$A$3390,G$1,'United Data'!$C$3:$C$3390,$A1189,'United Data'!$B$3:$B$3390,"&lt;&gt;Off-street")&gt;0,1,0)</f>
        <v>0</v>
      </c>
      <c r="H1189">
        <f>IF(COUNTIFS('United Data'!$A$3:$A$3390,H$1,'United Data'!$C$3:$C$3390,$A1189,'United Data'!$B$3:$B$3390,"&lt;&gt;Off-street")&gt;0,1,0)</f>
        <v>0</v>
      </c>
      <c r="I1189">
        <f>IF(COUNTIFS('United Data'!$A$3:$A$3390,I$1,'United Data'!$C$3:$C$3390,$A1189,'United Data'!$B$3:$B$3390,"&lt;&gt;Off-street")&gt;0,1,0)</f>
        <v>0</v>
      </c>
      <c r="J1189">
        <f>IF(COUNTIFS('United Data'!$A$3:$A$3390,J$1,'United Data'!$C$3:$C$3390,$A1189,'United Data'!$B$3:$B$3390,"&lt;&gt;Off-street")&gt;0,1,0)</f>
        <v>0</v>
      </c>
      <c r="K1189">
        <f>IF(COUNTIFS('United Data'!$A$3:$A$3390,K$1,'United Data'!$C$3:$C$3390,$A1189,'United Data'!$B$3:$B$3390,"&lt;&gt;Off-street")&gt;0,1,0)</f>
        <v>0</v>
      </c>
      <c r="L1189">
        <f>IF(COUNTIFS('United Data'!$A$3:$A$3390,L$1,'United Data'!$C$3:$C$3390,$A1189,'United Data'!$B$3:$B$3390,"&lt;&gt;Off-street")&gt;0,1,0)</f>
        <v>0</v>
      </c>
      <c r="M1189">
        <f>IF(COUNTIFS('United Data'!$A$3:$A$3390,M$1,'United Data'!$C$3:$C$3390,$A1189,'United Data'!$B$3:$B$3390,"&lt;&gt;Off-street")&gt;0,1,0)</f>
        <v>0</v>
      </c>
      <c r="N1189">
        <f>IF(COUNTIFS('United Data'!$A$3:$A$3390,N$1,'United Data'!$C$3:$C$3390,$A1189,'United Data'!$B$3:$B$3390,"&lt;&gt;Off-street")&gt;0,1,0)</f>
        <v>0</v>
      </c>
      <c r="O1189">
        <f>IF(COUNTIFS('United Data'!$A$3:$A$3390,O$1,'United Data'!$C$3:$C$3390,$A1189,'United Data'!$B$3:$B$3390,"&lt;&gt;Off-street")&gt;0,1,0)</f>
        <v>0</v>
      </c>
      <c r="P1189">
        <f>IF(COUNTIFS('United Data'!$A$3:$A$3390,P$1,'United Data'!$C$3:$C$3390,$A1189,'United Data'!$B$3:$B$3390,"&lt;&gt;Off-street")&gt;0,1,0)</f>
        <v>0</v>
      </c>
      <c r="Q1189">
        <f>IF(COUNTIFS('United Data'!$A$3:$A$3390,Q$1,'United Data'!$C$3:$C$3390,$A1189,'United Data'!$B$3:$B$3390,"&lt;&gt;Off-street")&gt;0,1,0)</f>
        <v>0</v>
      </c>
      <c r="R1189">
        <f>IF(COUNTIFS('United Data'!$A$3:$A$3390,R$1,'United Data'!$C$3:$C$3390,$A1189,'United Data'!$B$3:$B$3390,"&lt;&gt;Off-street")&gt;0,1,0)</f>
        <v>0</v>
      </c>
      <c r="S1189">
        <f t="shared" si="36"/>
        <v>1</v>
      </c>
      <c r="T1189">
        <f t="shared" si="37"/>
        <v>1</v>
      </c>
    </row>
    <row r="1190" spans="1:20" x14ac:dyDescent="0.2">
      <c r="A1190" t="s">
        <v>1414</v>
      </c>
      <c r="B1190">
        <f>IF(COUNTIFS('United Data'!$A$3:$A$3390,B$1,'United Data'!$C$3:$C$3390,$A1190,'United Data'!$B$3:$B$3390,"&lt;&gt;Off-street")&gt;0,1,0)</f>
        <v>0</v>
      </c>
      <c r="C1190">
        <f>IF(COUNTIFS('United Data'!$A$3:$A$3390,C$1,'United Data'!$C$3:$C$3390,$A1190,'United Data'!$B$3:$B$3390,"&lt;&gt;Off-street")&gt;0,1,0)</f>
        <v>0</v>
      </c>
      <c r="D1190">
        <f>IF(COUNTIFS('United Data'!$A$3:$A$3390,D$1,'United Data'!$C$3:$C$3390,$A1190,'United Data'!$B$3:$B$3390,"&lt;&gt;Off-street")&gt;0,1,0)</f>
        <v>0</v>
      </c>
      <c r="E1190">
        <f>IF(COUNTIFS('United Data'!$A$3:$A$3390,E$1,'United Data'!$C$3:$C$3390,$A1190,'United Data'!$B$3:$B$3390,"&lt;&gt;Off-street")&gt;0,1,0)</f>
        <v>1</v>
      </c>
      <c r="F1190">
        <f>IF(COUNTIFS('United Data'!$A$3:$A$3390,F$1,'United Data'!$C$3:$C$3390,$A1190,'United Data'!$B$3:$B$3390,"&lt;&gt;Off-street")&gt;0,1,0)</f>
        <v>0</v>
      </c>
      <c r="G1190">
        <f>IF(COUNTIFS('United Data'!$A$3:$A$3390,G$1,'United Data'!$C$3:$C$3390,$A1190,'United Data'!$B$3:$B$3390,"&lt;&gt;Off-street")&gt;0,1,0)</f>
        <v>0</v>
      </c>
      <c r="H1190">
        <f>IF(COUNTIFS('United Data'!$A$3:$A$3390,H$1,'United Data'!$C$3:$C$3390,$A1190,'United Data'!$B$3:$B$3390,"&lt;&gt;Off-street")&gt;0,1,0)</f>
        <v>0</v>
      </c>
      <c r="I1190">
        <f>IF(COUNTIFS('United Data'!$A$3:$A$3390,I$1,'United Data'!$C$3:$C$3390,$A1190,'United Data'!$B$3:$B$3390,"&lt;&gt;Off-street")&gt;0,1,0)</f>
        <v>0</v>
      </c>
      <c r="J1190">
        <f>IF(COUNTIFS('United Data'!$A$3:$A$3390,J$1,'United Data'!$C$3:$C$3390,$A1190,'United Data'!$B$3:$B$3390,"&lt;&gt;Off-street")&gt;0,1,0)</f>
        <v>0</v>
      </c>
      <c r="K1190">
        <f>IF(COUNTIFS('United Data'!$A$3:$A$3390,K$1,'United Data'!$C$3:$C$3390,$A1190,'United Data'!$B$3:$B$3390,"&lt;&gt;Off-street")&gt;0,1,0)</f>
        <v>0</v>
      </c>
      <c r="L1190">
        <f>IF(COUNTIFS('United Data'!$A$3:$A$3390,L$1,'United Data'!$C$3:$C$3390,$A1190,'United Data'!$B$3:$B$3390,"&lt;&gt;Off-street")&gt;0,1,0)</f>
        <v>0</v>
      </c>
      <c r="M1190">
        <f>IF(COUNTIFS('United Data'!$A$3:$A$3390,M$1,'United Data'!$C$3:$C$3390,$A1190,'United Data'!$B$3:$B$3390,"&lt;&gt;Off-street")&gt;0,1,0)</f>
        <v>0</v>
      </c>
      <c r="N1190">
        <f>IF(COUNTIFS('United Data'!$A$3:$A$3390,N$1,'United Data'!$C$3:$C$3390,$A1190,'United Data'!$B$3:$B$3390,"&lt;&gt;Off-street")&gt;0,1,0)</f>
        <v>0</v>
      </c>
      <c r="O1190">
        <f>IF(COUNTIFS('United Data'!$A$3:$A$3390,O$1,'United Data'!$C$3:$C$3390,$A1190,'United Data'!$B$3:$B$3390,"&lt;&gt;Off-street")&gt;0,1,0)</f>
        <v>0</v>
      </c>
      <c r="P1190">
        <f>IF(COUNTIFS('United Data'!$A$3:$A$3390,P$1,'United Data'!$C$3:$C$3390,$A1190,'United Data'!$B$3:$B$3390,"&lt;&gt;Off-street")&gt;0,1,0)</f>
        <v>0</v>
      </c>
      <c r="Q1190">
        <f>IF(COUNTIFS('United Data'!$A$3:$A$3390,Q$1,'United Data'!$C$3:$C$3390,$A1190,'United Data'!$B$3:$B$3390,"&lt;&gt;Off-street")&gt;0,1,0)</f>
        <v>0</v>
      </c>
      <c r="R1190">
        <f>IF(COUNTIFS('United Data'!$A$3:$A$3390,R$1,'United Data'!$C$3:$C$3390,$A1190,'United Data'!$B$3:$B$3390,"&lt;&gt;Off-street")&gt;0,1,0)</f>
        <v>0</v>
      </c>
      <c r="S1190">
        <f t="shared" si="36"/>
        <v>1</v>
      </c>
      <c r="T1190">
        <f t="shared" si="37"/>
        <v>1</v>
      </c>
    </row>
    <row r="1191" spans="1:20" x14ac:dyDescent="0.2">
      <c r="A1191" t="s">
        <v>1415</v>
      </c>
      <c r="B1191">
        <f>IF(COUNTIFS('United Data'!$A$3:$A$3390,B$1,'United Data'!$C$3:$C$3390,$A1191,'United Data'!$B$3:$B$3390,"&lt;&gt;Off-street")&gt;0,1,0)</f>
        <v>0</v>
      </c>
      <c r="C1191">
        <f>IF(COUNTIFS('United Data'!$A$3:$A$3390,C$1,'United Data'!$C$3:$C$3390,$A1191,'United Data'!$B$3:$B$3390,"&lt;&gt;Off-street")&gt;0,1,0)</f>
        <v>0</v>
      </c>
      <c r="D1191">
        <f>IF(COUNTIFS('United Data'!$A$3:$A$3390,D$1,'United Data'!$C$3:$C$3390,$A1191,'United Data'!$B$3:$B$3390,"&lt;&gt;Off-street")&gt;0,1,0)</f>
        <v>0</v>
      </c>
      <c r="E1191">
        <f>IF(COUNTIFS('United Data'!$A$3:$A$3390,E$1,'United Data'!$C$3:$C$3390,$A1191,'United Data'!$B$3:$B$3390,"&lt;&gt;Off-street")&gt;0,1,0)</f>
        <v>1</v>
      </c>
      <c r="F1191">
        <f>IF(COUNTIFS('United Data'!$A$3:$A$3390,F$1,'United Data'!$C$3:$C$3390,$A1191,'United Data'!$B$3:$B$3390,"&lt;&gt;Off-street")&gt;0,1,0)</f>
        <v>0</v>
      </c>
      <c r="G1191">
        <f>IF(COUNTIFS('United Data'!$A$3:$A$3390,G$1,'United Data'!$C$3:$C$3390,$A1191,'United Data'!$B$3:$B$3390,"&lt;&gt;Off-street")&gt;0,1,0)</f>
        <v>0</v>
      </c>
      <c r="H1191">
        <f>IF(COUNTIFS('United Data'!$A$3:$A$3390,H$1,'United Data'!$C$3:$C$3390,$A1191,'United Data'!$B$3:$B$3390,"&lt;&gt;Off-street")&gt;0,1,0)</f>
        <v>0</v>
      </c>
      <c r="I1191">
        <f>IF(COUNTIFS('United Data'!$A$3:$A$3390,I$1,'United Data'!$C$3:$C$3390,$A1191,'United Data'!$B$3:$B$3390,"&lt;&gt;Off-street")&gt;0,1,0)</f>
        <v>0</v>
      </c>
      <c r="J1191">
        <f>IF(COUNTIFS('United Data'!$A$3:$A$3390,J$1,'United Data'!$C$3:$C$3390,$A1191,'United Data'!$B$3:$B$3390,"&lt;&gt;Off-street")&gt;0,1,0)</f>
        <v>0</v>
      </c>
      <c r="K1191">
        <f>IF(COUNTIFS('United Data'!$A$3:$A$3390,K$1,'United Data'!$C$3:$C$3390,$A1191,'United Data'!$B$3:$B$3390,"&lt;&gt;Off-street")&gt;0,1,0)</f>
        <v>0</v>
      </c>
      <c r="L1191">
        <f>IF(COUNTIFS('United Data'!$A$3:$A$3390,L$1,'United Data'!$C$3:$C$3390,$A1191,'United Data'!$B$3:$B$3390,"&lt;&gt;Off-street")&gt;0,1,0)</f>
        <v>0</v>
      </c>
      <c r="M1191">
        <f>IF(COUNTIFS('United Data'!$A$3:$A$3390,M$1,'United Data'!$C$3:$C$3390,$A1191,'United Data'!$B$3:$B$3390,"&lt;&gt;Off-street")&gt;0,1,0)</f>
        <v>0</v>
      </c>
      <c r="N1191">
        <f>IF(COUNTIFS('United Data'!$A$3:$A$3390,N$1,'United Data'!$C$3:$C$3390,$A1191,'United Data'!$B$3:$B$3390,"&lt;&gt;Off-street")&gt;0,1,0)</f>
        <v>0</v>
      </c>
      <c r="O1191">
        <f>IF(COUNTIFS('United Data'!$A$3:$A$3390,O$1,'United Data'!$C$3:$C$3390,$A1191,'United Data'!$B$3:$B$3390,"&lt;&gt;Off-street")&gt;0,1,0)</f>
        <v>0</v>
      </c>
      <c r="P1191">
        <f>IF(COUNTIFS('United Data'!$A$3:$A$3390,P$1,'United Data'!$C$3:$C$3390,$A1191,'United Data'!$B$3:$B$3390,"&lt;&gt;Off-street")&gt;0,1,0)</f>
        <v>0</v>
      </c>
      <c r="Q1191">
        <f>IF(COUNTIFS('United Data'!$A$3:$A$3390,Q$1,'United Data'!$C$3:$C$3390,$A1191,'United Data'!$B$3:$B$3390,"&lt;&gt;Off-street")&gt;0,1,0)</f>
        <v>0</v>
      </c>
      <c r="R1191">
        <f>IF(COUNTIFS('United Data'!$A$3:$A$3390,R$1,'United Data'!$C$3:$C$3390,$A1191,'United Data'!$B$3:$B$3390,"&lt;&gt;Off-street")&gt;0,1,0)</f>
        <v>0</v>
      </c>
      <c r="S1191">
        <f t="shared" si="36"/>
        <v>1</v>
      </c>
      <c r="T1191">
        <f t="shared" si="37"/>
        <v>1</v>
      </c>
    </row>
    <row r="1192" spans="1:20" x14ac:dyDescent="0.2">
      <c r="A1192" t="s">
        <v>1416</v>
      </c>
      <c r="B1192">
        <f>IF(COUNTIFS('United Data'!$A$3:$A$3390,B$1,'United Data'!$C$3:$C$3390,$A1192,'United Data'!$B$3:$B$3390,"&lt;&gt;Off-street")&gt;0,1,0)</f>
        <v>0</v>
      </c>
      <c r="C1192">
        <f>IF(COUNTIFS('United Data'!$A$3:$A$3390,C$1,'United Data'!$C$3:$C$3390,$A1192,'United Data'!$B$3:$B$3390,"&lt;&gt;Off-street")&gt;0,1,0)</f>
        <v>0</v>
      </c>
      <c r="D1192">
        <f>IF(COUNTIFS('United Data'!$A$3:$A$3390,D$1,'United Data'!$C$3:$C$3390,$A1192,'United Data'!$B$3:$B$3390,"&lt;&gt;Off-street")&gt;0,1,0)</f>
        <v>0</v>
      </c>
      <c r="E1192">
        <f>IF(COUNTIFS('United Data'!$A$3:$A$3390,E$1,'United Data'!$C$3:$C$3390,$A1192,'United Data'!$B$3:$B$3390,"&lt;&gt;Off-street")&gt;0,1,0)</f>
        <v>0</v>
      </c>
      <c r="F1192">
        <f>IF(COUNTIFS('United Data'!$A$3:$A$3390,F$1,'United Data'!$C$3:$C$3390,$A1192,'United Data'!$B$3:$B$3390,"&lt;&gt;Off-street")&gt;0,1,0)</f>
        <v>1</v>
      </c>
      <c r="G1192">
        <f>IF(COUNTIFS('United Data'!$A$3:$A$3390,G$1,'United Data'!$C$3:$C$3390,$A1192,'United Data'!$B$3:$B$3390,"&lt;&gt;Off-street")&gt;0,1,0)</f>
        <v>1</v>
      </c>
      <c r="H1192">
        <f>IF(COUNTIFS('United Data'!$A$3:$A$3390,H$1,'United Data'!$C$3:$C$3390,$A1192,'United Data'!$B$3:$B$3390,"&lt;&gt;Off-street")&gt;0,1,0)</f>
        <v>1</v>
      </c>
      <c r="I1192">
        <f>IF(COUNTIFS('United Data'!$A$3:$A$3390,I$1,'United Data'!$C$3:$C$3390,$A1192,'United Data'!$B$3:$B$3390,"&lt;&gt;Off-street")&gt;0,1,0)</f>
        <v>1</v>
      </c>
      <c r="J1192">
        <f>IF(COUNTIFS('United Data'!$A$3:$A$3390,J$1,'United Data'!$C$3:$C$3390,$A1192,'United Data'!$B$3:$B$3390,"&lt;&gt;Off-street")&gt;0,1,0)</f>
        <v>1</v>
      </c>
      <c r="K1192">
        <f>IF(COUNTIFS('United Data'!$A$3:$A$3390,K$1,'United Data'!$C$3:$C$3390,$A1192,'United Data'!$B$3:$B$3390,"&lt;&gt;Off-street")&gt;0,1,0)</f>
        <v>0</v>
      </c>
      <c r="L1192">
        <f>IF(COUNTIFS('United Data'!$A$3:$A$3390,L$1,'United Data'!$C$3:$C$3390,$A1192,'United Data'!$B$3:$B$3390,"&lt;&gt;Off-street")&gt;0,1,0)</f>
        <v>0</v>
      </c>
      <c r="M1192">
        <f>IF(COUNTIFS('United Data'!$A$3:$A$3390,M$1,'United Data'!$C$3:$C$3390,$A1192,'United Data'!$B$3:$B$3390,"&lt;&gt;Off-street")&gt;0,1,0)</f>
        <v>1</v>
      </c>
      <c r="N1192">
        <f>IF(COUNTIFS('United Data'!$A$3:$A$3390,N$1,'United Data'!$C$3:$C$3390,$A1192,'United Data'!$B$3:$B$3390,"&lt;&gt;Off-street")&gt;0,1,0)</f>
        <v>0</v>
      </c>
      <c r="O1192">
        <f>IF(COUNTIFS('United Data'!$A$3:$A$3390,O$1,'United Data'!$C$3:$C$3390,$A1192,'United Data'!$B$3:$B$3390,"&lt;&gt;Off-street")&gt;0,1,0)</f>
        <v>0</v>
      </c>
      <c r="P1192">
        <f>IF(COUNTIFS('United Data'!$A$3:$A$3390,P$1,'United Data'!$C$3:$C$3390,$A1192,'United Data'!$B$3:$B$3390,"&lt;&gt;Off-street")&gt;0,1,0)</f>
        <v>0</v>
      </c>
      <c r="Q1192">
        <f>IF(COUNTIFS('United Data'!$A$3:$A$3390,Q$1,'United Data'!$C$3:$C$3390,$A1192,'United Data'!$B$3:$B$3390,"&lt;&gt;Off-street")&gt;0,1,0)</f>
        <v>0</v>
      </c>
      <c r="R1192">
        <f>IF(COUNTIFS('United Data'!$A$3:$A$3390,R$1,'United Data'!$C$3:$C$3390,$A1192,'United Data'!$B$3:$B$3390,"&lt;&gt;Off-street")&gt;0,1,0)</f>
        <v>0</v>
      </c>
      <c r="S1192">
        <f t="shared" si="36"/>
        <v>6</v>
      </c>
      <c r="T1192">
        <f t="shared" si="37"/>
        <v>2</v>
      </c>
    </row>
    <row r="1193" spans="1:20" x14ac:dyDescent="0.2">
      <c r="A1193" t="s">
        <v>1418</v>
      </c>
      <c r="B1193">
        <f>IF(COUNTIFS('United Data'!$A$3:$A$3390,B$1,'United Data'!$C$3:$C$3390,$A1193,'United Data'!$B$3:$B$3390,"&lt;&gt;Off-street")&gt;0,1,0)</f>
        <v>0</v>
      </c>
      <c r="C1193">
        <f>IF(COUNTIFS('United Data'!$A$3:$A$3390,C$1,'United Data'!$C$3:$C$3390,$A1193,'United Data'!$B$3:$B$3390,"&lt;&gt;Off-street")&gt;0,1,0)</f>
        <v>0</v>
      </c>
      <c r="D1193">
        <f>IF(COUNTIFS('United Data'!$A$3:$A$3390,D$1,'United Data'!$C$3:$C$3390,$A1193,'United Data'!$B$3:$B$3390,"&lt;&gt;Off-street")&gt;0,1,0)</f>
        <v>0</v>
      </c>
      <c r="E1193">
        <f>IF(COUNTIFS('United Data'!$A$3:$A$3390,E$1,'United Data'!$C$3:$C$3390,$A1193,'United Data'!$B$3:$B$3390,"&lt;&gt;Off-street")&gt;0,1,0)</f>
        <v>0</v>
      </c>
      <c r="F1193">
        <f>IF(COUNTIFS('United Data'!$A$3:$A$3390,F$1,'United Data'!$C$3:$C$3390,$A1193,'United Data'!$B$3:$B$3390,"&lt;&gt;Off-street")&gt;0,1,0)</f>
        <v>1</v>
      </c>
      <c r="G1193">
        <f>IF(COUNTIFS('United Data'!$A$3:$A$3390,G$1,'United Data'!$C$3:$C$3390,$A1193,'United Data'!$B$3:$B$3390,"&lt;&gt;Off-street")&gt;0,1,0)</f>
        <v>0</v>
      </c>
      <c r="H1193">
        <f>IF(COUNTIFS('United Data'!$A$3:$A$3390,H$1,'United Data'!$C$3:$C$3390,$A1193,'United Data'!$B$3:$B$3390,"&lt;&gt;Off-street")&gt;0,1,0)</f>
        <v>0</v>
      </c>
      <c r="I1193">
        <f>IF(COUNTIFS('United Data'!$A$3:$A$3390,I$1,'United Data'!$C$3:$C$3390,$A1193,'United Data'!$B$3:$B$3390,"&lt;&gt;Off-street")&gt;0,1,0)</f>
        <v>0</v>
      </c>
      <c r="J1193">
        <f>IF(COUNTIFS('United Data'!$A$3:$A$3390,J$1,'United Data'!$C$3:$C$3390,$A1193,'United Data'!$B$3:$B$3390,"&lt;&gt;Off-street")&gt;0,1,0)</f>
        <v>0</v>
      </c>
      <c r="K1193">
        <f>IF(COUNTIFS('United Data'!$A$3:$A$3390,K$1,'United Data'!$C$3:$C$3390,$A1193,'United Data'!$B$3:$B$3390,"&lt;&gt;Off-street")&gt;0,1,0)</f>
        <v>0</v>
      </c>
      <c r="L1193">
        <f>IF(COUNTIFS('United Data'!$A$3:$A$3390,L$1,'United Data'!$C$3:$C$3390,$A1193,'United Data'!$B$3:$B$3390,"&lt;&gt;Off-street")&gt;0,1,0)</f>
        <v>0</v>
      </c>
      <c r="M1193">
        <f>IF(COUNTIFS('United Data'!$A$3:$A$3390,M$1,'United Data'!$C$3:$C$3390,$A1193,'United Data'!$B$3:$B$3390,"&lt;&gt;Off-street")&gt;0,1,0)</f>
        <v>0</v>
      </c>
      <c r="N1193">
        <f>IF(COUNTIFS('United Data'!$A$3:$A$3390,N$1,'United Data'!$C$3:$C$3390,$A1193,'United Data'!$B$3:$B$3390,"&lt;&gt;Off-street")&gt;0,1,0)</f>
        <v>0</v>
      </c>
      <c r="O1193">
        <f>IF(COUNTIFS('United Data'!$A$3:$A$3390,O$1,'United Data'!$C$3:$C$3390,$A1193,'United Data'!$B$3:$B$3390,"&lt;&gt;Off-street")&gt;0,1,0)</f>
        <v>0</v>
      </c>
      <c r="P1193">
        <f>IF(COUNTIFS('United Data'!$A$3:$A$3390,P$1,'United Data'!$C$3:$C$3390,$A1193,'United Data'!$B$3:$B$3390,"&lt;&gt;Off-street")&gt;0,1,0)</f>
        <v>0</v>
      </c>
      <c r="Q1193">
        <f>IF(COUNTIFS('United Data'!$A$3:$A$3390,Q$1,'United Data'!$C$3:$C$3390,$A1193,'United Data'!$B$3:$B$3390,"&lt;&gt;Off-street")&gt;0,1,0)</f>
        <v>0</v>
      </c>
      <c r="R1193">
        <f>IF(COUNTIFS('United Data'!$A$3:$A$3390,R$1,'United Data'!$C$3:$C$3390,$A1193,'United Data'!$B$3:$B$3390,"&lt;&gt;Off-street")&gt;0,1,0)</f>
        <v>0</v>
      </c>
      <c r="S1193">
        <f t="shared" si="36"/>
        <v>1</v>
      </c>
      <c r="T1193">
        <f t="shared" si="37"/>
        <v>1</v>
      </c>
    </row>
    <row r="1194" spans="1:20" x14ac:dyDescent="0.2">
      <c r="A1194" t="s">
        <v>1419</v>
      </c>
      <c r="B1194">
        <f>IF(COUNTIFS('United Data'!$A$3:$A$3390,B$1,'United Data'!$C$3:$C$3390,$A1194,'United Data'!$B$3:$B$3390,"&lt;&gt;Off-street")&gt;0,1,0)</f>
        <v>0</v>
      </c>
      <c r="C1194">
        <f>IF(COUNTIFS('United Data'!$A$3:$A$3390,C$1,'United Data'!$C$3:$C$3390,$A1194,'United Data'!$B$3:$B$3390,"&lt;&gt;Off-street")&gt;0,1,0)</f>
        <v>0</v>
      </c>
      <c r="D1194">
        <f>IF(COUNTIFS('United Data'!$A$3:$A$3390,D$1,'United Data'!$C$3:$C$3390,$A1194,'United Data'!$B$3:$B$3390,"&lt;&gt;Off-street")&gt;0,1,0)</f>
        <v>0</v>
      </c>
      <c r="E1194">
        <f>IF(COUNTIFS('United Data'!$A$3:$A$3390,E$1,'United Data'!$C$3:$C$3390,$A1194,'United Data'!$B$3:$B$3390,"&lt;&gt;Off-street")&gt;0,1,0)</f>
        <v>0</v>
      </c>
      <c r="F1194">
        <f>IF(COUNTIFS('United Data'!$A$3:$A$3390,F$1,'United Data'!$C$3:$C$3390,$A1194,'United Data'!$B$3:$B$3390,"&lt;&gt;Off-street")&gt;0,1,0)</f>
        <v>1</v>
      </c>
      <c r="G1194">
        <f>IF(COUNTIFS('United Data'!$A$3:$A$3390,G$1,'United Data'!$C$3:$C$3390,$A1194,'United Data'!$B$3:$B$3390,"&lt;&gt;Off-street")&gt;0,1,0)</f>
        <v>1</v>
      </c>
      <c r="H1194">
        <f>IF(COUNTIFS('United Data'!$A$3:$A$3390,H$1,'United Data'!$C$3:$C$3390,$A1194,'United Data'!$B$3:$B$3390,"&lt;&gt;Off-street")&gt;0,1,0)</f>
        <v>0</v>
      </c>
      <c r="I1194">
        <f>IF(COUNTIFS('United Data'!$A$3:$A$3390,I$1,'United Data'!$C$3:$C$3390,$A1194,'United Data'!$B$3:$B$3390,"&lt;&gt;Off-street")&gt;0,1,0)</f>
        <v>0</v>
      </c>
      <c r="J1194">
        <f>IF(COUNTIFS('United Data'!$A$3:$A$3390,J$1,'United Data'!$C$3:$C$3390,$A1194,'United Data'!$B$3:$B$3390,"&lt;&gt;Off-street")&gt;0,1,0)</f>
        <v>0</v>
      </c>
      <c r="K1194">
        <f>IF(COUNTIFS('United Data'!$A$3:$A$3390,K$1,'United Data'!$C$3:$C$3390,$A1194,'United Data'!$B$3:$B$3390,"&lt;&gt;Off-street")&gt;0,1,0)</f>
        <v>0</v>
      </c>
      <c r="L1194">
        <f>IF(COUNTIFS('United Data'!$A$3:$A$3390,L$1,'United Data'!$C$3:$C$3390,$A1194,'United Data'!$B$3:$B$3390,"&lt;&gt;Off-street")&gt;0,1,0)</f>
        <v>1</v>
      </c>
      <c r="M1194">
        <f>IF(COUNTIFS('United Data'!$A$3:$A$3390,M$1,'United Data'!$C$3:$C$3390,$A1194,'United Data'!$B$3:$B$3390,"&lt;&gt;Off-street")&gt;0,1,0)</f>
        <v>1</v>
      </c>
      <c r="N1194">
        <f>IF(COUNTIFS('United Data'!$A$3:$A$3390,N$1,'United Data'!$C$3:$C$3390,$A1194,'United Data'!$B$3:$B$3390,"&lt;&gt;Off-street")&gt;0,1,0)</f>
        <v>0</v>
      </c>
      <c r="O1194">
        <f>IF(COUNTIFS('United Data'!$A$3:$A$3390,O$1,'United Data'!$C$3:$C$3390,$A1194,'United Data'!$B$3:$B$3390,"&lt;&gt;Off-street")&gt;0,1,0)</f>
        <v>0</v>
      </c>
      <c r="P1194">
        <f>IF(COUNTIFS('United Data'!$A$3:$A$3390,P$1,'United Data'!$C$3:$C$3390,$A1194,'United Data'!$B$3:$B$3390,"&lt;&gt;Off-street")&gt;0,1,0)</f>
        <v>1</v>
      </c>
      <c r="Q1194">
        <f>IF(COUNTIFS('United Data'!$A$3:$A$3390,Q$1,'United Data'!$C$3:$C$3390,$A1194,'United Data'!$B$3:$B$3390,"&lt;&gt;Off-street")&gt;0,1,0)</f>
        <v>0</v>
      </c>
      <c r="R1194">
        <f>IF(COUNTIFS('United Data'!$A$3:$A$3390,R$1,'United Data'!$C$3:$C$3390,$A1194,'United Data'!$B$3:$B$3390,"&lt;&gt;Off-street")&gt;0,1,0)</f>
        <v>0</v>
      </c>
      <c r="S1194">
        <f t="shared" si="36"/>
        <v>5</v>
      </c>
      <c r="T1194">
        <f t="shared" si="37"/>
        <v>3</v>
      </c>
    </row>
    <row r="1195" spans="1:20" x14ac:dyDescent="0.2">
      <c r="A1195" t="s">
        <v>1420</v>
      </c>
      <c r="B1195">
        <f>IF(COUNTIFS('United Data'!$A$3:$A$3390,B$1,'United Data'!$C$3:$C$3390,$A1195,'United Data'!$B$3:$B$3390,"&lt;&gt;Off-street")&gt;0,1,0)</f>
        <v>0</v>
      </c>
      <c r="C1195">
        <f>IF(COUNTIFS('United Data'!$A$3:$A$3390,C$1,'United Data'!$C$3:$C$3390,$A1195,'United Data'!$B$3:$B$3390,"&lt;&gt;Off-street")&gt;0,1,0)</f>
        <v>0</v>
      </c>
      <c r="D1195">
        <f>IF(COUNTIFS('United Data'!$A$3:$A$3390,D$1,'United Data'!$C$3:$C$3390,$A1195,'United Data'!$B$3:$B$3390,"&lt;&gt;Off-street")&gt;0,1,0)</f>
        <v>0</v>
      </c>
      <c r="E1195">
        <f>IF(COUNTIFS('United Data'!$A$3:$A$3390,E$1,'United Data'!$C$3:$C$3390,$A1195,'United Data'!$B$3:$B$3390,"&lt;&gt;Off-street")&gt;0,1,0)</f>
        <v>0</v>
      </c>
      <c r="F1195">
        <f>IF(COUNTIFS('United Data'!$A$3:$A$3390,F$1,'United Data'!$C$3:$C$3390,$A1195,'United Data'!$B$3:$B$3390,"&lt;&gt;Off-street")&gt;0,1,0)</f>
        <v>0</v>
      </c>
      <c r="G1195">
        <f>IF(COUNTIFS('United Data'!$A$3:$A$3390,G$1,'United Data'!$C$3:$C$3390,$A1195,'United Data'!$B$3:$B$3390,"&lt;&gt;Off-street")&gt;0,1,0)</f>
        <v>1</v>
      </c>
      <c r="H1195">
        <f>IF(COUNTIFS('United Data'!$A$3:$A$3390,H$1,'United Data'!$C$3:$C$3390,$A1195,'United Data'!$B$3:$B$3390,"&lt;&gt;Off-street")&gt;0,1,0)</f>
        <v>0</v>
      </c>
      <c r="I1195">
        <f>IF(COUNTIFS('United Data'!$A$3:$A$3390,I$1,'United Data'!$C$3:$C$3390,$A1195,'United Data'!$B$3:$B$3390,"&lt;&gt;Off-street")&gt;0,1,0)</f>
        <v>0</v>
      </c>
      <c r="J1195">
        <f>IF(COUNTIFS('United Data'!$A$3:$A$3390,J$1,'United Data'!$C$3:$C$3390,$A1195,'United Data'!$B$3:$B$3390,"&lt;&gt;Off-street")&gt;0,1,0)</f>
        <v>0</v>
      </c>
      <c r="K1195">
        <f>IF(COUNTIFS('United Data'!$A$3:$A$3390,K$1,'United Data'!$C$3:$C$3390,$A1195,'United Data'!$B$3:$B$3390,"&lt;&gt;Off-street")&gt;0,1,0)</f>
        <v>0</v>
      </c>
      <c r="L1195">
        <f>IF(COUNTIFS('United Data'!$A$3:$A$3390,L$1,'United Data'!$C$3:$C$3390,$A1195,'United Data'!$B$3:$B$3390,"&lt;&gt;Off-street")&gt;0,1,0)</f>
        <v>0</v>
      </c>
      <c r="M1195">
        <f>IF(COUNTIFS('United Data'!$A$3:$A$3390,M$1,'United Data'!$C$3:$C$3390,$A1195,'United Data'!$B$3:$B$3390,"&lt;&gt;Off-street")&gt;0,1,0)</f>
        <v>0</v>
      </c>
      <c r="N1195">
        <f>IF(COUNTIFS('United Data'!$A$3:$A$3390,N$1,'United Data'!$C$3:$C$3390,$A1195,'United Data'!$B$3:$B$3390,"&lt;&gt;Off-street")&gt;0,1,0)</f>
        <v>0</v>
      </c>
      <c r="O1195">
        <f>IF(COUNTIFS('United Data'!$A$3:$A$3390,O$1,'United Data'!$C$3:$C$3390,$A1195,'United Data'!$B$3:$B$3390,"&lt;&gt;Off-street")&gt;0,1,0)</f>
        <v>0</v>
      </c>
      <c r="P1195">
        <f>IF(COUNTIFS('United Data'!$A$3:$A$3390,P$1,'United Data'!$C$3:$C$3390,$A1195,'United Data'!$B$3:$B$3390,"&lt;&gt;Off-street")&gt;0,1,0)</f>
        <v>0</v>
      </c>
      <c r="Q1195">
        <f>IF(COUNTIFS('United Data'!$A$3:$A$3390,Q$1,'United Data'!$C$3:$C$3390,$A1195,'United Data'!$B$3:$B$3390,"&lt;&gt;Off-street")&gt;0,1,0)</f>
        <v>0</v>
      </c>
      <c r="R1195">
        <f>IF(COUNTIFS('United Data'!$A$3:$A$3390,R$1,'United Data'!$C$3:$C$3390,$A1195,'United Data'!$B$3:$B$3390,"&lt;&gt;Off-street")&gt;0,1,0)</f>
        <v>0</v>
      </c>
      <c r="S1195">
        <f t="shared" si="36"/>
        <v>1</v>
      </c>
      <c r="T1195">
        <f t="shared" si="37"/>
        <v>1</v>
      </c>
    </row>
    <row r="1196" spans="1:20" x14ac:dyDescent="0.2">
      <c r="A1196" t="s">
        <v>1421</v>
      </c>
      <c r="B1196">
        <f>IF(COUNTIFS('United Data'!$A$3:$A$3390,B$1,'United Data'!$C$3:$C$3390,$A1196,'United Data'!$B$3:$B$3390,"&lt;&gt;Off-street")&gt;0,1,0)</f>
        <v>0</v>
      </c>
      <c r="C1196">
        <f>IF(COUNTIFS('United Data'!$A$3:$A$3390,C$1,'United Data'!$C$3:$C$3390,$A1196,'United Data'!$B$3:$B$3390,"&lt;&gt;Off-street")&gt;0,1,0)</f>
        <v>0</v>
      </c>
      <c r="D1196">
        <f>IF(COUNTIFS('United Data'!$A$3:$A$3390,D$1,'United Data'!$C$3:$C$3390,$A1196,'United Data'!$B$3:$B$3390,"&lt;&gt;Off-street")&gt;0,1,0)</f>
        <v>0</v>
      </c>
      <c r="E1196">
        <f>IF(COUNTIFS('United Data'!$A$3:$A$3390,E$1,'United Data'!$C$3:$C$3390,$A1196,'United Data'!$B$3:$B$3390,"&lt;&gt;Off-street")&gt;0,1,0)</f>
        <v>0</v>
      </c>
      <c r="F1196">
        <f>IF(COUNTIFS('United Data'!$A$3:$A$3390,F$1,'United Data'!$C$3:$C$3390,$A1196,'United Data'!$B$3:$B$3390,"&lt;&gt;Off-street")&gt;0,1,0)</f>
        <v>0</v>
      </c>
      <c r="G1196">
        <f>IF(COUNTIFS('United Data'!$A$3:$A$3390,G$1,'United Data'!$C$3:$C$3390,$A1196,'United Data'!$B$3:$B$3390,"&lt;&gt;Off-street")&gt;0,1,0)</f>
        <v>1</v>
      </c>
      <c r="H1196">
        <f>IF(COUNTIFS('United Data'!$A$3:$A$3390,H$1,'United Data'!$C$3:$C$3390,$A1196,'United Data'!$B$3:$B$3390,"&lt;&gt;Off-street")&gt;0,1,0)</f>
        <v>1</v>
      </c>
      <c r="I1196">
        <f>IF(COUNTIFS('United Data'!$A$3:$A$3390,I$1,'United Data'!$C$3:$C$3390,$A1196,'United Data'!$B$3:$B$3390,"&lt;&gt;Off-street")&gt;0,1,0)</f>
        <v>0</v>
      </c>
      <c r="J1196">
        <f>IF(COUNTIFS('United Data'!$A$3:$A$3390,J$1,'United Data'!$C$3:$C$3390,$A1196,'United Data'!$B$3:$B$3390,"&lt;&gt;Off-street")&gt;0,1,0)</f>
        <v>0</v>
      </c>
      <c r="K1196">
        <f>IF(COUNTIFS('United Data'!$A$3:$A$3390,K$1,'United Data'!$C$3:$C$3390,$A1196,'United Data'!$B$3:$B$3390,"&lt;&gt;Off-street")&gt;0,1,0)</f>
        <v>0</v>
      </c>
      <c r="L1196">
        <f>IF(COUNTIFS('United Data'!$A$3:$A$3390,L$1,'United Data'!$C$3:$C$3390,$A1196,'United Data'!$B$3:$B$3390,"&lt;&gt;Off-street")&gt;0,1,0)</f>
        <v>0</v>
      </c>
      <c r="M1196">
        <f>IF(COUNTIFS('United Data'!$A$3:$A$3390,M$1,'United Data'!$C$3:$C$3390,$A1196,'United Data'!$B$3:$B$3390,"&lt;&gt;Off-street")&gt;0,1,0)</f>
        <v>0</v>
      </c>
      <c r="N1196">
        <f>IF(COUNTIFS('United Data'!$A$3:$A$3390,N$1,'United Data'!$C$3:$C$3390,$A1196,'United Data'!$B$3:$B$3390,"&lt;&gt;Off-street")&gt;0,1,0)</f>
        <v>0</v>
      </c>
      <c r="O1196">
        <f>IF(COUNTIFS('United Data'!$A$3:$A$3390,O$1,'United Data'!$C$3:$C$3390,$A1196,'United Data'!$B$3:$B$3390,"&lt;&gt;Off-street")&gt;0,1,0)</f>
        <v>0</v>
      </c>
      <c r="P1196">
        <f>IF(COUNTIFS('United Data'!$A$3:$A$3390,P$1,'United Data'!$C$3:$C$3390,$A1196,'United Data'!$B$3:$B$3390,"&lt;&gt;Off-street")&gt;0,1,0)</f>
        <v>0</v>
      </c>
      <c r="Q1196">
        <f>IF(COUNTIFS('United Data'!$A$3:$A$3390,Q$1,'United Data'!$C$3:$C$3390,$A1196,'United Data'!$B$3:$B$3390,"&lt;&gt;Off-street")&gt;0,1,0)</f>
        <v>0</v>
      </c>
      <c r="R1196">
        <f>IF(COUNTIFS('United Data'!$A$3:$A$3390,R$1,'United Data'!$C$3:$C$3390,$A1196,'United Data'!$B$3:$B$3390,"&lt;&gt;Off-street")&gt;0,1,0)</f>
        <v>0</v>
      </c>
      <c r="S1196">
        <f t="shared" si="36"/>
        <v>2</v>
      </c>
      <c r="T1196">
        <f t="shared" si="37"/>
        <v>1</v>
      </c>
    </row>
    <row r="1197" spans="1:20" x14ac:dyDescent="0.2">
      <c r="A1197" t="s">
        <v>1422</v>
      </c>
      <c r="B1197">
        <f>IF(COUNTIFS('United Data'!$A$3:$A$3390,B$1,'United Data'!$C$3:$C$3390,$A1197,'United Data'!$B$3:$B$3390,"&lt;&gt;Off-street")&gt;0,1,0)</f>
        <v>0</v>
      </c>
      <c r="C1197">
        <f>IF(COUNTIFS('United Data'!$A$3:$A$3390,C$1,'United Data'!$C$3:$C$3390,$A1197,'United Data'!$B$3:$B$3390,"&lt;&gt;Off-street")&gt;0,1,0)</f>
        <v>0</v>
      </c>
      <c r="D1197">
        <f>IF(COUNTIFS('United Data'!$A$3:$A$3390,D$1,'United Data'!$C$3:$C$3390,$A1197,'United Data'!$B$3:$B$3390,"&lt;&gt;Off-street")&gt;0,1,0)</f>
        <v>0</v>
      </c>
      <c r="E1197">
        <f>IF(COUNTIFS('United Data'!$A$3:$A$3390,E$1,'United Data'!$C$3:$C$3390,$A1197,'United Data'!$B$3:$B$3390,"&lt;&gt;Off-street")&gt;0,1,0)</f>
        <v>0</v>
      </c>
      <c r="F1197">
        <f>IF(COUNTIFS('United Data'!$A$3:$A$3390,F$1,'United Data'!$C$3:$C$3390,$A1197,'United Data'!$B$3:$B$3390,"&lt;&gt;Off-street")&gt;0,1,0)</f>
        <v>0</v>
      </c>
      <c r="G1197">
        <f>IF(COUNTIFS('United Data'!$A$3:$A$3390,G$1,'United Data'!$C$3:$C$3390,$A1197,'United Data'!$B$3:$B$3390,"&lt;&gt;Off-street")&gt;0,1,0)</f>
        <v>1</v>
      </c>
      <c r="H1197">
        <f>IF(COUNTIFS('United Data'!$A$3:$A$3390,H$1,'United Data'!$C$3:$C$3390,$A1197,'United Data'!$B$3:$B$3390,"&lt;&gt;Off-street")&gt;0,1,0)</f>
        <v>0</v>
      </c>
      <c r="I1197">
        <f>IF(COUNTIFS('United Data'!$A$3:$A$3390,I$1,'United Data'!$C$3:$C$3390,$A1197,'United Data'!$B$3:$B$3390,"&lt;&gt;Off-street")&gt;0,1,0)</f>
        <v>0</v>
      </c>
      <c r="J1197">
        <f>IF(COUNTIFS('United Data'!$A$3:$A$3390,J$1,'United Data'!$C$3:$C$3390,$A1197,'United Data'!$B$3:$B$3390,"&lt;&gt;Off-street")&gt;0,1,0)</f>
        <v>0</v>
      </c>
      <c r="K1197">
        <f>IF(COUNTIFS('United Data'!$A$3:$A$3390,K$1,'United Data'!$C$3:$C$3390,$A1197,'United Data'!$B$3:$B$3390,"&lt;&gt;Off-street")&gt;0,1,0)</f>
        <v>0</v>
      </c>
      <c r="L1197">
        <f>IF(COUNTIFS('United Data'!$A$3:$A$3390,L$1,'United Data'!$C$3:$C$3390,$A1197,'United Data'!$B$3:$B$3390,"&lt;&gt;Off-street")&gt;0,1,0)</f>
        <v>0</v>
      </c>
      <c r="M1197">
        <f>IF(COUNTIFS('United Data'!$A$3:$A$3390,M$1,'United Data'!$C$3:$C$3390,$A1197,'United Data'!$B$3:$B$3390,"&lt;&gt;Off-street")&gt;0,1,0)</f>
        <v>0</v>
      </c>
      <c r="N1197">
        <f>IF(COUNTIFS('United Data'!$A$3:$A$3390,N$1,'United Data'!$C$3:$C$3390,$A1197,'United Data'!$B$3:$B$3390,"&lt;&gt;Off-street")&gt;0,1,0)</f>
        <v>0</v>
      </c>
      <c r="O1197">
        <f>IF(COUNTIFS('United Data'!$A$3:$A$3390,O$1,'United Data'!$C$3:$C$3390,$A1197,'United Data'!$B$3:$B$3390,"&lt;&gt;Off-street")&gt;0,1,0)</f>
        <v>0</v>
      </c>
      <c r="P1197">
        <f>IF(COUNTIFS('United Data'!$A$3:$A$3390,P$1,'United Data'!$C$3:$C$3390,$A1197,'United Data'!$B$3:$B$3390,"&lt;&gt;Off-street")&gt;0,1,0)</f>
        <v>0</v>
      </c>
      <c r="Q1197">
        <f>IF(COUNTIFS('United Data'!$A$3:$A$3390,Q$1,'United Data'!$C$3:$C$3390,$A1197,'United Data'!$B$3:$B$3390,"&lt;&gt;Off-street")&gt;0,1,0)</f>
        <v>0</v>
      </c>
      <c r="R1197">
        <f>IF(COUNTIFS('United Data'!$A$3:$A$3390,R$1,'United Data'!$C$3:$C$3390,$A1197,'United Data'!$B$3:$B$3390,"&lt;&gt;Off-street")&gt;0,1,0)</f>
        <v>0</v>
      </c>
      <c r="S1197">
        <f t="shared" si="36"/>
        <v>1</v>
      </c>
      <c r="T1197">
        <f t="shared" si="37"/>
        <v>1</v>
      </c>
    </row>
    <row r="1198" spans="1:20" x14ac:dyDescent="0.2">
      <c r="A1198" t="s">
        <v>1423</v>
      </c>
      <c r="B1198">
        <f>IF(COUNTIFS('United Data'!$A$3:$A$3390,B$1,'United Data'!$C$3:$C$3390,$A1198,'United Data'!$B$3:$B$3390,"&lt;&gt;Off-street")&gt;0,1,0)</f>
        <v>0</v>
      </c>
      <c r="C1198">
        <f>IF(COUNTIFS('United Data'!$A$3:$A$3390,C$1,'United Data'!$C$3:$C$3390,$A1198,'United Data'!$B$3:$B$3390,"&lt;&gt;Off-street")&gt;0,1,0)</f>
        <v>0</v>
      </c>
      <c r="D1198">
        <f>IF(COUNTIFS('United Data'!$A$3:$A$3390,D$1,'United Data'!$C$3:$C$3390,$A1198,'United Data'!$B$3:$B$3390,"&lt;&gt;Off-street")&gt;0,1,0)</f>
        <v>0</v>
      </c>
      <c r="E1198">
        <f>IF(COUNTIFS('United Data'!$A$3:$A$3390,E$1,'United Data'!$C$3:$C$3390,$A1198,'United Data'!$B$3:$B$3390,"&lt;&gt;Off-street")&gt;0,1,0)</f>
        <v>0</v>
      </c>
      <c r="F1198">
        <f>IF(COUNTIFS('United Data'!$A$3:$A$3390,F$1,'United Data'!$C$3:$C$3390,$A1198,'United Data'!$B$3:$B$3390,"&lt;&gt;Off-street")&gt;0,1,0)</f>
        <v>0</v>
      </c>
      <c r="G1198">
        <f>IF(COUNTIFS('United Data'!$A$3:$A$3390,G$1,'United Data'!$C$3:$C$3390,$A1198,'United Data'!$B$3:$B$3390,"&lt;&gt;Off-street")&gt;0,1,0)</f>
        <v>1</v>
      </c>
      <c r="H1198">
        <f>IF(COUNTIFS('United Data'!$A$3:$A$3390,H$1,'United Data'!$C$3:$C$3390,$A1198,'United Data'!$B$3:$B$3390,"&lt;&gt;Off-street")&gt;0,1,0)</f>
        <v>1</v>
      </c>
      <c r="I1198">
        <f>IF(COUNTIFS('United Data'!$A$3:$A$3390,I$1,'United Data'!$C$3:$C$3390,$A1198,'United Data'!$B$3:$B$3390,"&lt;&gt;Off-street")&gt;0,1,0)</f>
        <v>0</v>
      </c>
      <c r="J1198">
        <f>IF(COUNTIFS('United Data'!$A$3:$A$3390,J$1,'United Data'!$C$3:$C$3390,$A1198,'United Data'!$B$3:$B$3390,"&lt;&gt;Off-street")&gt;0,1,0)</f>
        <v>0</v>
      </c>
      <c r="K1198">
        <f>IF(COUNTIFS('United Data'!$A$3:$A$3390,K$1,'United Data'!$C$3:$C$3390,$A1198,'United Data'!$B$3:$B$3390,"&lt;&gt;Off-street")&gt;0,1,0)</f>
        <v>0</v>
      </c>
      <c r="L1198">
        <f>IF(COUNTIFS('United Data'!$A$3:$A$3390,L$1,'United Data'!$C$3:$C$3390,$A1198,'United Data'!$B$3:$B$3390,"&lt;&gt;Off-street")&gt;0,1,0)</f>
        <v>0</v>
      </c>
      <c r="M1198">
        <f>IF(COUNTIFS('United Data'!$A$3:$A$3390,M$1,'United Data'!$C$3:$C$3390,$A1198,'United Data'!$B$3:$B$3390,"&lt;&gt;Off-street")&gt;0,1,0)</f>
        <v>0</v>
      </c>
      <c r="N1198">
        <f>IF(COUNTIFS('United Data'!$A$3:$A$3390,N$1,'United Data'!$C$3:$C$3390,$A1198,'United Data'!$B$3:$B$3390,"&lt;&gt;Off-street")&gt;0,1,0)</f>
        <v>0</v>
      </c>
      <c r="O1198">
        <f>IF(COUNTIFS('United Data'!$A$3:$A$3390,O$1,'United Data'!$C$3:$C$3390,$A1198,'United Data'!$B$3:$B$3390,"&lt;&gt;Off-street")&gt;0,1,0)</f>
        <v>0</v>
      </c>
      <c r="P1198">
        <f>IF(COUNTIFS('United Data'!$A$3:$A$3390,P$1,'United Data'!$C$3:$C$3390,$A1198,'United Data'!$B$3:$B$3390,"&lt;&gt;Off-street")&gt;0,1,0)</f>
        <v>0</v>
      </c>
      <c r="Q1198">
        <f>IF(COUNTIFS('United Data'!$A$3:$A$3390,Q$1,'United Data'!$C$3:$C$3390,$A1198,'United Data'!$B$3:$B$3390,"&lt;&gt;Off-street")&gt;0,1,0)</f>
        <v>0</v>
      </c>
      <c r="R1198">
        <f>IF(COUNTIFS('United Data'!$A$3:$A$3390,R$1,'United Data'!$C$3:$C$3390,$A1198,'United Data'!$B$3:$B$3390,"&lt;&gt;Off-street")&gt;0,1,0)</f>
        <v>0</v>
      </c>
      <c r="S1198">
        <f t="shared" si="36"/>
        <v>2</v>
      </c>
      <c r="T1198">
        <f t="shared" si="37"/>
        <v>1</v>
      </c>
    </row>
    <row r="1199" spans="1:20" x14ac:dyDescent="0.2">
      <c r="A1199" t="s">
        <v>1424</v>
      </c>
      <c r="B1199">
        <f>IF(COUNTIFS('United Data'!$A$3:$A$3390,B$1,'United Data'!$C$3:$C$3390,$A1199,'United Data'!$B$3:$B$3390,"&lt;&gt;Off-street")&gt;0,1,0)</f>
        <v>0</v>
      </c>
      <c r="C1199">
        <f>IF(COUNTIFS('United Data'!$A$3:$A$3390,C$1,'United Data'!$C$3:$C$3390,$A1199,'United Data'!$B$3:$B$3390,"&lt;&gt;Off-street")&gt;0,1,0)</f>
        <v>0</v>
      </c>
      <c r="D1199">
        <f>IF(COUNTIFS('United Data'!$A$3:$A$3390,D$1,'United Data'!$C$3:$C$3390,$A1199,'United Data'!$B$3:$B$3390,"&lt;&gt;Off-street")&gt;0,1,0)</f>
        <v>0</v>
      </c>
      <c r="E1199">
        <f>IF(COUNTIFS('United Data'!$A$3:$A$3390,E$1,'United Data'!$C$3:$C$3390,$A1199,'United Data'!$B$3:$B$3390,"&lt;&gt;Off-street")&gt;0,1,0)</f>
        <v>0</v>
      </c>
      <c r="F1199">
        <f>IF(COUNTIFS('United Data'!$A$3:$A$3390,F$1,'United Data'!$C$3:$C$3390,$A1199,'United Data'!$B$3:$B$3390,"&lt;&gt;Off-street")&gt;0,1,0)</f>
        <v>0</v>
      </c>
      <c r="G1199">
        <f>IF(COUNTIFS('United Data'!$A$3:$A$3390,G$1,'United Data'!$C$3:$C$3390,$A1199,'United Data'!$B$3:$B$3390,"&lt;&gt;Off-street")&gt;0,1,0)</f>
        <v>1</v>
      </c>
      <c r="H1199">
        <f>IF(COUNTIFS('United Data'!$A$3:$A$3390,H$1,'United Data'!$C$3:$C$3390,$A1199,'United Data'!$B$3:$B$3390,"&lt;&gt;Off-street")&gt;0,1,0)</f>
        <v>0</v>
      </c>
      <c r="I1199">
        <f>IF(COUNTIFS('United Data'!$A$3:$A$3390,I$1,'United Data'!$C$3:$C$3390,$A1199,'United Data'!$B$3:$B$3390,"&lt;&gt;Off-street")&gt;0,1,0)</f>
        <v>0</v>
      </c>
      <c r="J1199">
        <f>IF(COUNTIFS('United Data'!$A$3:$A$3390,J$1,'United Data'!$C$3:$C$3390,$A1199,'United Data'!$B$3:$B$3390,"&lt;&gt;Off-street")&gt;0,1,0)</f>
        <v>0</v>
      </c>
      <c r="K1199">
        <f>IF(COUNTIFS('United Data'!$A$3:$A$3390,K$1,'United Data'!$C$3:$C$3390,$A1199,'United Data'!$B$3:$B$3390,"&lt;&gt;Off-street")&gt;0,1,0)</f>
        <v>0</v>
      </c>
      <c r="L1199">
        <f>IF(COUNTIFS('United Data'!$A$3:$A$3390,L$1,'United Data'!$C$3:$C$3390,$A1199,'United Data'!$B$3:$B$3390,"&lt;&gt;Off-street")&gt;0,1,0)</f>
        <v>0</v>
      </c>
      <c r="M1199">
        <f>IF(COUNTIFS('United Data'!$A$3:$A$3390,M$1,'United Data'!$C$3:$C$3390,$A1199,'United Data'!$B$3:$B$3390,"&lt;&gt;Off-street")&gt;0,1,0)</f>
        <v>0</v>
      </c>
      <c r="N1199">
        <f>IF(COUNTIFS('United Data'!$A$3:$A$3390,N$1,'United Data'!$C$3:$C$3390,$A1199,'United Data'!$B$3:$B$3390,"&lt;&gt;Off-street")&gt;0,1,0)</f>
        <v>0</v>
      </c>
      <c r="O1199">
        <f>IF(COUNTIFS('United Data'!$A$3:$A$3390,O$1,'United Data'!$C$3:$C$3390,$A1199,'United Data'!$B$3:$B$3390,"&lt;&gt;Off-street")&gt;0,1,0)</f>
        <v>0</v>
      </c>
      <c r="P1199">
        <f>IF(COUNTIFS('United Data'!$A$3:$A$3390,P$1,'United Data'!$C$3:$C$3390,$A1199,'United Data'!$B$3:$B$3390,"&lt;&gt;Off-street")&gt;0,1,0)</f>
        <v>0</v>
      </c>
      <c r="Q1199">
        <f>IF(COUNTIFS('United Data'!$A$3:$A$3390,Q$1,'United Data'!$C$3:$C$3390,$A1199,'United Data'!$B$3:$B$3390,"&lt;&gt;Off-street")&gt;0,1,0)</f>
        <v>0</v>
      </c>
      <c r="R1199">
        <f>IF(COUNTIFS('United Data'!$A$3:$A$3390,R$1,'United Data'!$C$3:$C$3390,$A1199,'United Data'!$B$3:$B$3390,"&lt;&gt;Off-street")&gt;0,1,0)</f>
        <v>0</v>
      </c>
      <c r="S1199">
        <f t="shared" si="36"/>
        <v>1</v>
      </c>
      <c r="T1199">
        <f t="shared" si="37"/>
        <v>1</v>
      </c>
    </row>
    <row r="1200" spans="1:20" x14ac:dyDescent="0.2">
      <c r="A1200" t="s">
        <v>1425</v>
      </c>
      <c r="B1200">
        <f>IF(COUNTIFS('United Data'!$A$3:$A$3390,B$1,'United Data'!$C$3:$C$3390,$A1200,'United Data'!$B$3:$B$3390,"&lt;&gt;Off-street")&gt;0,1,0)</f>
        <v>0</v>
      </c>
      <c r="C1200">
        <f>IF(COUNTIFS('United Data'!$A$3:$A$3390,C$1,'United Data'!$C$3:$C$3390,$A1200,'United Data'!$B$3:$B$3390,"&lt;&gt;Off-street")&gt;0,1,0)</f>
        <v>0</v>
      </c>
      <c r="D1200">
        <f>IF(COUNTIFS('United Data'!$A$3:$A$3390,D$1,'United Data'!$C$3:$C$3390,$A1200,'United Data'!$B$3:$B$3390,"&lt;&gt;Off-street")&gt;0,1,0)</f>
        <v>0</v>
      </c>
      <c r="E1200">
        <f>IF(COUNTIFS('United Data'!$A$3:$A$3390,E$1,'United Data'!$C$3:$C$3390,$A1200,'United Data'!$B$3:$B$3390,"&lt;&gt;Off-street")&gt;0,1,0)</f>
        <v>0</v>
      </c>
      <c r="F1200">
        <f>IF(COUNTIFS('United Data'!$A$3:$A$3390,F$1,'United Data'!$C$3:$C$3390,$A1200,'United Data'!$B$3:$B$3390,"&lt;&gt;Off-street")&gt;0,1,0)</f>
        <v>0</v>
      </c>
      <c r="G1200">
        <f>IF(COUNTIFS('United Data'!$A$3:$A$3390,G$1,'United Data'!$C$3:$C$3390,$A1200,'United Data'!$B$3:$B$3390,"&lt;&gt;Off-street")&gt;0,1,0)</f>
        <v>0</v>
      </c>
      <c r="H1200">
        <f>IF(COUNTIFS('United Data'!$A$3:$A$3390,H$1,'United Data'!$C$3:$C$3390,$A1200,'United Data'!$B$3:$B$3390,"&lt;&gt;Off-street")&gt;0,1,0)</f>
        <v>1</v>
      </c>
      <c r="I1200">
        <f>IF(COUNTIFS('United Data'!$A$3:$A$3390,I$1,'United Data'!$C$3:$C$3390,$A1200,'United Data'!$B$3:$B$3390,"&lt;&gt;Off-street")&gt;0,1,0)</f>
        <v>0</v>
      </c>
      <c r="J1200">
        <f>IF(COUNTIFS('United Data'!$A$3:$A$3390,J$1,'United Data'!$C$3:$C$3390,$A1200,'United Data'!$B$3:$B$3390,"&lt;&gt;Off-street")&gt;0,1,0)</f>
        <v>0</v>
      </c>
      <c r="K1200">
        <f>IF(COUNTIFS('United Data'!$A$3:$A$3390,K$1,'United Data'!$C$3:$C$3390,$A1200,'United Data'!$B$3:$B$3390,"&lt;&gt;Off-street")&gt;0,1,0)</f>
        <v>0</v>
      </c>
      <c r="L1200">
        <f>IF(COUNTIFS('United Data'!$A$3:$A$3390,L$1,'United Data'!$C$3:$C$3390,$A1200,'United Data'!$B$3:$B$3390,"&lt;&gt;Off-street")&gt;0,1,0)</f>
        <v>0</v>
      </c>
      <c r="M1200">
        <f>IF(COUNTIFS('United Data'!$A$3:$A$3390,M$1,'United Data'!$C$3:$C$3390,$A1200,'United Data'!$B$3:$B$3390,"&lt;&gt;Off-street")&gt;0,1,0)</f>
        <v>0</v>
      </c>
      <c r="N1200">
        <f>IF(COUNTIFS('United Data'!$A$3:$A$3390,N$1,'United Data'!$C$3:$C$3390,$A1200,'United Data'!$B$3:$B$3390,"&lt;&gt;Off-street")&gt;0,1,0)</f>
        <v>0</v>
      </c>
      <c r="O1200">
        <f>IF(COUNTIFS('United Data'!$A$3:$A$3390,O$1,'United Data'!$C$3:$C$3390,$A1200,'United Data'!$B$3:$B$3390,"&lt;&gt;Off-street")&gt;0,1,0)</f>
        <v>0</v>
      </c>
      <c r="P1200">
        <f>IF(COUNTIFS('United Data'!$A$3:$A$3390,P$1,'United Data'!$C$3:$C$3390,$A1200,'United Data'!$B$3:$B$3390,"&lt;&gt;Off-street")&gt;0,1,0)</f>
        <v>0</v>
      </c>
      <c r="Q1200">
        <f>IF(COUNTIFS('United Data'!$A$3:$A$3390,Q$1,'United Data'!$C$3:$C$3390,$A1200,'United Data'!$B$3:$B$3390,"&lt;&gt;Off-street")&gt;0,1,0)</f>
        <v>0</v>
      </c>
      <c r="R1200">
        <f>IF(COUNTIFS('United Data'!$A$3:$A$3390,R$1,'United Data'!$C$3:$C$3390,$A1200,'United Data'!$B$3:$B$3390,"&lt;&gt;Off-street")&gt;0,1,0)</f>
        <v>0</v>
      </c>
      <c r="S1200">
        <f t="shared" si="36"/>
        <v>1</v>
      </c>
      <c r="T1200">
        <f t="shared" si="37"/>
        <v>1</v>
      </c>
    </row>
    <row r="1201" spans="1:20" x14ac:dyDescent="0.2">
      <c r="A1201" t="s">
        <v>1426</v>
      </c>
      <c r="B1201">
        <f>IF(COUNTIFS('United Data'!$A$3:$A$3390,B$1,'United Data'!$C$3:$C$3390,$A1201,'United Data'!$B$3:$B$3390,"&lt;&gt;Off-street")&gt;0,1,0)</f>
        <v>0</v>
      </c>
      <c r="C1201">
        <f>IF(COUNTIFS('United Data'!$A$3:$A$3390,C$1,'United Data'!$C$3:$C$3390,$A1201,'United Data'!$B$3:$B$3390,"&lt;&gt;Off-street")&gt;0,1,0)</f>
        <v>0</v>
      </c>
      <c r="D1201">
        <f>IF(COUNTIFS('United Data'!$A$3:$A$3390,D$1,'United Data'!$C$3:$C$3390,$A1201,'United Data'!$B$3:$B$3390,"&lt;&gt;Off-street")&gt;0,1,0)</f>
        <v>0</v>
      </c>
      <c r="E1201">
        <f>IF(COUNTIFS('United Data'!$A$3:$A$3390,E$1,'United Data'!$C$3:$C$3390,$A1201,'United Data'!$B$3:$B$3390,"&lt;&gt;Off-street")&gt;0,1,0)</f>
        <v>0</v>
      </c>
      <c r="F1201">
        <f>IF(COUNTIFS('United Data'!$A$3:$A$3390,F$1,'United Data'!$C$3:$C$3390,$A1201,'United Data'!$B$3:$B$3390,"&lt;&gt;Off-street")&gt;0,1,0)</f>
        <v>0</v>
      </c>
      <c r="G1201">
        <f>IF(COUNTIFS('United Data'!$A$3:$A$3390,G$1,'United Data'!$C$3:$C$3390,$A1201,'United Data'!$B$3:$B$3390,"&lt;&gt;Off-street")&gt;0,1,0)</f>
        <v>0</v>
      </c>
      <c r="H1201">
        <f>IF(COUNTIFS('United Data'!$A$3:$A$3390,H$1,'United Data'!$C$3:$C$3390,$A1201,'United Data'!$B$3:$B$3390,"&lt;&gt;Off-street")&gt;0,1,0)</f>
        <v>0</v>
      </c>
      <c r="I1201">
        <f>IF(COUNTIFS('United Data'!$A$3:$A$3390,I$1,'United Data'!$C$3:$C$3390,$A1201,'United Data'!$B$3:$B$3390,"&lt;&gt;Off-street")&gt;0,1,0)</f>
        <v>1</v>
      </c>
      <c r="J1201">
        <f>IF(COUNTIFS('United Data'!$A$3:$A$3390,J$1,'United Data'!$C$3:$C$3390,$A1201,'United Data'!$B$3:$B$3390,"&lt;&gt;Off-street")&gt;0,1,0)</f>
        <v>0</v>
      </c>
      <c r="K1201">
        <f>IF(COUNTIFS('United Data'!$A$3:$A$3390,K$1,'United Data'!$C$3:$C$3390,$A1201,'United Data'!$B$3:$B$3390,"&lt;&gt;Off-street")&gt;0,1,0)</f>
        <v>0</v>
      </c>
      <c r="L1201">
        <f>IF(COUNTIFS('United Data'!$A$3:$A$3390,L$1,'United Data'!$C$3:$C$3390,$A1201,'United Data'!$B$3:$B$3390,"&lt;&gt;Off-street")&gt;0,1,0)</f>
        <v>0</v>
      </c>
      <c r="M1201">
        <f>IF(COUNTIFS('United Data'!$A$3:$A$3390,M$1,'United Data'!$C$3:$C$3390,$A1201,'United Data'!$B$3:$B$3390,"&lt;&gt;Off-street")&gt;0,1,0)</f>
        <v>0</v>
      </c>
      <c r="N1201">
        <f>IF(COUNTIFS('United Data'!$A$3:$A$3390,N$1,'United Data'!$C$3:$C$3390,$A1201,'United Data'!$B$3:$B$3390,"&lt;&gt;Off-street")&gt;0,1,0)</f>
        <v>0</v>
      </c>
      <c r="O1201">
        <f>IF(COUNTIFS('United Data'!$A$3:$A$3390,O$1,'United Data'!$C$3:$C$3390,$A1201,'United Data'!$B$3:$B$3390,"&lt;&gt;Off-street")&gt;0,1,0)</f>
        <v>0</v>
      </c>
      <c r="P1201">
        <f>IF(COUNTIFS('United Data'!$A$3:$A$3390,P$1,'United Data'!$C$3:$C$3390,$A1201,'United Data'!$B$3:$B$3390,"&lt;&gt;Off-street")&gt;0,1,0)</f>
        <v>0</v>
      </c>
      <c r="Q1201">
        <f>IF(COUNTIFS('United Data'!$A$3:$A$3390,Q$1,'United Data'!$C$3:$C$3390,$A1201,'United Data'!$B$3:$B$3390,"&lt;&gt;Off-street")&gt;0,1,0)</f>
        <v>0</v>
      </c>
      <c r="R1201">
        <f>IF(COUNTIFS('United Data'!$A$3:$A$3390,R$1,'United Data'!$C$3:$C$3390,$A1201,'United Data'!$B$3:$B$3390,"&lt;&gt;Off-street")&gt;0,1,0)</f>
        <v>0</v>
      </c>
      <c r="S1201">
        <f t="shared" si="36"/>
        <v>1</v>
      </c>
      <c r="T1201">
        <f t="shared" si="37"/>
        <v>1</v>
      </c>
    </row>
    <row r="1202" spans="1:20" x14ac:dyDescent="0.2">
      <c r="A1202" t="s">
        <v>1427</v>
      </c>
      <c r="B1202">
        <f>IF(COUNTIFS('United Data'!$A$3:$A$3390,B$1,'United Data'!$C$3:$C$3390,$A1202,'United Data'!$B$3:$B$3390,"&lt;&gt;Off-street")&gt;0,1,0)</f>
        <v>0</v>
      </c>
      <c r="C1202">
        <f>IF(COUNTIFS('United Data'!$A$3:$A$3390,C$1,'United Data'!$C$3:$C$3390,$A1202,'United Data'!$B$3:$B$3390,"&lt;&gt;Off-street")&gt;0,1,0)</f>
        <v>0</v>
      </c>
      <c r="D1202">
        <f>IF(COUNTIFS('United Data'!$A$3:$A$3390,D$1,'United Data'!$C$3:$C$3390,$A1202,'United Data'!$B$3:$B$3390,"&lt;&gt;Off-street")&gt;0,1,0)</f>
        <v>0</v>
      </c>
      <c r="E1202">
        <f>IF(COUNTIFS('United Data'!$A$3:$A$3390,E$1,'United Data'!$C$3:$C$3390,$A1202,'United Data'!$B$3:$B$3390,"&lt;&gt;Off-street")&gt;0,1,0)</f>
        <v>0</v>
      </c>
      <c r="F1202">
        <f>IF(COUNTIFS('United Data'!$A$3:$A$3390,F$1,'United Data'!$C$3:$C$3390,$A1202,'United Data'!$B$3:$B$3390,"&lt;&gt;Off-street")&gt;0,1,0)</f>
        <v>0</v>
      </c>
      <c r="G1202">
        <f>IF(COUNTIFS('United Data'!$A$3:$A$3390,G$1,'United Data'!$C$3:$C$3390,$A1202,'United Data'!$B$3:$B$3390,"&lt;&gt;Off-street")&gt;0,1,0)</f>
        <v>0</v>
      </c>
      <c r="H1202">
        <f>IF(COUNTIFS('United Data'!$A$3:$A$3390,H$1,'United Data'!$C$3:$C$3390,$A1202,'United Data'!$B$3:$B$3390,"&lt;&gt;Off-street")&gt;0,1,0)</f>
        <v>0</v>
      </c>
      <c r="I1202">
        <f>IF(COUNTIFS('United Data'!$A$3:$A$3390,I$1,'United Data'!$C$3:$C$3390,$A1202,'United Data'!$B$3:$B$3390,"&lt;&gt;Off-street")&gt;0,1,0)</f>
        <v>0</v>
      </c>
      <c r="J1202">
        <f>IF(COUNTIFS('United Data'!$A$3:$A$3390,J$1,'United Data'!$C$3:$C$3390,$A1202,'United Data'!$B$3:$B$3390,"&lt;&gt;Off-street")&gt;0,1,0)</f>
        <v>1</v>
      </c>
      <c r="K1202">
        <f>IF(COUNTIFS('United Data'!$A$3:$A$3390,K$1,'United Data'!$C$3:$C$3390,$A1202,'United Data'!$B$3:$B$3390,"&lt;&gt;Off-street")&gt;0,1,0)</f>
        <v>0</v>
      </c>
      <c r="L1202">
        <f>IF(COUNTIFS('United Data'!$A$3:$A$3390,L$1,'United Data'!$C$3:$C$3390,$A1202,'United Data'!$B$3:$B$3390,"&lt;&gt;Off-street")&gt;0,1,0)</f>
        <v>0</v>
      </c>
      <c r="M1202">
        <f>IF(COUNTIFS('United Data'!$A$3:$A$3390,M$1,'United Data'!$C$3:$C$3390,$A1202,'United Data'!$B$3:$B$3390,"&lt;&gt;Off-street")&gt;0,1,0)</f>
        <v>1</v>
      </c>
      <c r="N1202">
        <f>IF(COUNTIFS('United Data'!$A$3:$A$3390,N$1,'United Data'!$C$3:$C$3390,$A1202,'United Data'!$B$3:$B$3390,"&lt;&gt;Off-street")&gt;0,1,0)</f>
        <v>0</v>
      </c>
      <c r="O1202">
        <f>IF(COUNTIFS('United Data'!$A$3:$A$3390,O$1,'United Data'!$C$3:$C$3390,$A1202,'United Data'!$B$3:$B$3390,"&lt;&gt;Off-street")&gt;0,1,0)</f>
        <v>0</v>
      </c>
      <c r="P1202">
        <f>IF(COUNTIFS('United Data'!$A$3:$A$3390,P$1,'United Data'!$C$3:$C$3390,$A1202,'United Data'!$B$3:$B$3390,"&lt;&gt;Off-street")&gt;0,1,0)</f>
        <v>0</v>
      </c>
      <c r="Q1202">
        <f>IF(COUNTIFS('United Data'!$A$3:$A$3390,Q$1,'United Data'!$C$3:$C$3390,$A1202,'United Data'!$B$3:$B$3390,"&lt;&gt;Off-street")&gt;0,1,0)</f>
        <v>0</v>
      </c>
      <c r="R1202">
        <f>IF(COUNTIFS('United Data'!$A$3:$A$3390,R$1,'United Data'!$C$3:$C$3390,$A1202,'United Data'!$B$3:$B$3390,"&lt;&gt;Off-street")&gt;0,1,0)</f>
        <v>0</v>
      </c>
      <c r="S1202">
        <f t="shared" si="36"/>
        <v>2</v>
      </c>
      <c r="T1202">
        <f t="shared" si="37"/>
        <v>2</v>
      </c>
    </row>
    <row r="1203" spans="1:20" x14ac:dyDescent="0.2">
      <c r="A1203" t="s">
        <v>1428</v>
      </c>
      <c r="B1203">
        <f>IF(COUNTIFS('United Data'!$A$3:$A$3390,B$1,'United Data'!$C$3:$C$3390,$A1203,'United Data'!$B$3:$B$3390,"&lt;&gt;Off-street")&gt;0,1,0)</f>
        <v>0</v>
      </c>
      <c r="C1203">
        <f>IF(COUNTIFS('United Data'!$A$3:$A$3390,C$1,'United Data'!$C$3:$C$3390,$A1203,'United Data'!$B$3:$B$3390,"&lt;&gt;Off-street")&gt;0,1,0)</f>
        <v>0</v>
      </c>
      <c r="D1203">
        <f>IF(COUNTIFS('United Data'!$A$3:$A$3390,D$1,'United Data'!$C$3:$C$3390,$A1203,'United Data'!$B$3:$B$3390,"&lt;&gt;Off-street")&gt;0,1,0)</f>
        <v>0</v>
      </c>
      <c r="E1203">
        <f>IF(COUNTIFS('United Data'!$A$3:$A$3390,E$1,'United Data'!$C$3:$C$3390,$A1203,'United Data'!$B$3:$B$3390,"&lt;&gt;Off-street")&gt;0,1,0)</f>
        <v>0</v>
      </c>
      <c r="F1203">
        <f>IF(COUNTIFS('United Data'!$A$3:$A$3390,F$1,'United Data'!$C$3:$C$3390,$A1203,'United Data'!$B$3:$B$3390,"&lt;&gt;Off-street")&gt;0,1,0)</f>
        <v>0</v>
      </c>
      <c r="G1203">
        <f>IF(COUNTIFS('United Data'!$A$3:$A$3390,G$1,'United Data'!$C$3:$C$3390,$A1203,'United Data'!$B$3:$B$3390,"&lt;&gt;Off-street")&gt;0,1,0)</f>
        <v>0</v>
      </c>
      <c r="H1203">
        <f>IF(COUNTIFS('United Data'!$A$3:$A$3390,H$1,'United Data'!$C$3:$C$3390,$A1203,'United Data'!$B$3:$B$3390,"&lt;&gt;Off-street")&gt;0,1,0)</f>
        <v>0</v>
      </c>
      <c r="I1203">
        <f>IF(COUNTIFS('United Data'!$A$3:$A$3390,I$1,'United Data'!$C$3:$C$3390,$A1203,'United Data'!$B$3:$B$3390,"&lt;&gt;Off-street")&gt;0,1,0)</f>
        <v>0</v>
      </c>
      <c r="J1203">
        <f>IF(COUNTIFS('United Data'!$A$3:$A$3390,J$1,'United Data'!$C$3:$C$3390,$A1203,'United Data'!$B$3:$B$3390,"&lt;&gt;Off-street")&gt;0,1,0)</f>
        <v>1</v>
      </c>
      <c r="K1203">
        <f>IF(COUNTIFS('United Data'!$A$3:$A$3390,K$1,'United Data'!$C$3:$C$3390,$A1203,'United Data'!$B$3:$B$3390,"&lt;&gt;Off-street")&gt;0,1,0)</f>
        <v>0</v>
      </c>
      <c r="L1203">
        <f>IF(COUNTIFS('United Data'!$A$3:$A$3390,L$1,'United Data'!$C$3:$C$3390,$A1203,'United Data'!$B$3:$B$3390,"&lt;&gt;Off-street")&gt;0,1,0)</f>
        <v>0</v>
      </c>
      <c r="M1203">
        <f>IF(COUNTIFS('United Data'!$A$3:$A$3390,M$1,'United Data'!$C$3:$C$3390,$A1203,'United Data'!$B$3:$B$3390,"&lt;&gt;Off-street")&gt;0,1,0)</f>
        <v>0</v>
      </c>
      <c r="N1203">
        <f>IF(COUNTIFS('United Data'!$A$3:$A$3390,N$1,'United Data'!$C$3:$C$3390,$A1203,'United Data'!$B$3:$B$3390,"&lt;&gt;Off-street")&gt;0,1,0)</f>
        <v>0</v>
      </c>
      <c r="O1203">
        <f>IF(COUNTIFS('United Data'!$A$3:$A$3390,O$1,'United Data'!$C$3:$C$3390,$A1203,'United Data'!$B$3:$B$3390,"&lt;&gt;Off-street")&gt;0,1,0)</f>
        <v>0</v>
      </c>
      <c r="P1203">
        <f>IF(COUNTIFS('United Data'!$A$3:$A$3390,P$1,'United Data'!$C$3:$C$3390,$A1203,'United Data'!$B$3:$B$3390,"&lt;&gt;Off-street")&gt;0,1,0)</f>
        <v>0</v>
      </c>
      <c r="Q1203">
        <f>IF(COUNTIFS('United Data'!$A$3:$A$3390,Q$1,'United Data'!$C$3:$C$3390,$A1203,'United Data'!$B$3:$B$3390,"&lt;&gt;Off-street")&gt;0,1,0)</f>
        <v>0</v>
      </c>
      <c r="R1203">
        <f>IF(COUNTIFS('United Data'!$A$3:$A$3390,R$1,'United Data'!$C$3:$C$3390,$A1203,'United Data'!$B$3:$B$3390,"&lt;&gt;Off-street")&gt;0,1,0)</f>
        <v>0</v>
      </c>
      <c r="S1203">
        <f t="shared" si="36"/>
        <v>1</v>
      </c>
      <c r="T1203">
        <f t="shared" si="37"/>
        <v>1</v>
      </c>
    </row>
    <row r="1204" spans="1:20" x14ac:dyDescent="0.2">
      <c r="A1204" t="s">
        <v>2053</v>
      </c>
      <c r="B1204">
        <f>IF(COUNTIFS('United Data'!$A$3:$A$3390,B$1,'United Data'!$C$3:$C$3390,$A1204,'United Data'!$B$3:$B$3390,"&lt;&gt;Off-street")&gt;0,1,0)</f>
        <v>0</v>
      </c>
      <c r="C1204">
        <f>IF(COUNTIFS('United Data'!$A$3:$A$3390,C$1,'United Data'!$C$3:$C$3390,$A1204,'United Data'!$B$3:$B$3390,"&lt;&gt;Off-street")&gt;0,1,0)</f>
        <v>0</v>
      </c>
      <c r="D1204">
        <f>IF(COUNTIFS('United Data'!$A$3:$A$3390,D$1,'United Data'!$C$3:$C$3390,$A1204,'United Data'!$B$3:$B$3390,"&lt;&gt;Off-street")&gt;0,1,0)</f>
        <v>0</v>
      </c>
      <c r="E1204">
        <f>IF(COUNTIFS('United Data'!$A$3:$A$3390,E$1,'United Data'!$C$3:$C$3390,$A1204,'United Data'!$B$3:$B$3390,"&lt;&gt;Off-street")&gt;0,1,0)</f>
        <v>0</v>
      </c>
      <c r="F1204">
        <f>IF(COUNTIFS('United Data'!$A$3:$A$3390,F$1,'United Data'!$C$3:$C$3390,$A1204,'United Data'!$B$3:$B$3390,"&lt;&gt;Off-street")&gt;0,1,0)</f>
        <v>0</v>
      </c>
      <c r="G1204">
        <f>IF(COUNTIFS('United Data'!$A$3:$A$3390,G$1,'United Data'!$C$3:$C$3390,$A1204,'United Data'!$B$3:$B$3390,"&lt;&gt;Off-street")&gt;0,1,0)</f>
        <v>0</v>
      </c>
      <c r="H1204">
        <f>IF(COUNTIFS('United Data'!$A$3:$A$3390,H$1,'United Data'!$C$3:$C$3390,$A1204,'United Data'!$B$3:$B$3390,"&lt;&gt;Off-street")&gt;0,1,0)</f>
        <v>0</v>
      </c>
      <c r="I1204">
        <f>IF(COUNTIFS('United Data'!$A$3:$A$3390,I$1,'United Data'!$C$3:$C$3390,$A1204,'United Data'!$B$3:$B$3390,"&lt;&gt;Off-street")&gt;0,1,0)</f>
        <v>0</v>
      </c>
      <c r="J1204">
        <f>IF(COUNTIFS('United Data'!$A$3:$A$3390,J$1,'United Data'!$C$3:$C$3390,$A1204,'United Data'!$B$3:$B$3390,"&lt;&gt;Off-street")&gt;0,1,0)</f>
        <v>0</v>
      </c>
      <c r="K1204">
        <f>IF(COUNTIFS('United Data'!$A$3:$A$3390,K$1,'United Data'!$C$3:$C$3390,$A1204,'United Data'!$B$3:$B$3390,"&lt;&gt;Off-street")&gt;0,1,0)</f>
        <v>1</v>
      </c>
      <c r="L1204">
        <f>IF(COUNTIFS('United Data'!$A$3:$A$3390,L$1,'United Data'!$C$3:$C$3390,$A1204,'United Data'!$B$3:$B$3390,"&lt;&gt;Off-street")&gt;0,1,0)</f>
        <v>0</v>
      </c>
      <c r="M1204">
        <f>IF(COUNTIFS('United Data'!$A$3:$A$3390,M$1,'United Data'!$C$3:$C$3390,$A1204,'United Data'!$B$3:$B$3390,"&lt;&gt;Off-street")&gt;0,1,0)</f>
        <v>0</v>
      </c>
      <c r="N1204">
        <f>IF(COUNTIFS('United Data'!$A$3:$A$3390,N$1,'United Data'!$C$3:$C$3390,$A1204,'United Data'!$B$3:$B$3390,"&lt;&gt;Off-street")&gt;0,1,0)</f>
        <v>0</v>
      </c>
      <c r="O1204">
        <f>IF(COUNTIFS('United Data'!$A$3:$A$3390,O$1,'United Data'!$C$3:$C$3390,$A1204,'United Data'!$B$3:$B$3390,"&lt;&gt;Off-street")&gt;0,1,0)</f>
        <v>0</v>
      </c>
      <c r="P1204">
        <f>IF(COUNTIFS('United Data'!$A$3:$A$3390,P$1,'United Data'!$C$3:$C$3390,$A1204,'United Data'!$B$3:$B$3390,"&lt;&gt;Off-street")&gt;0,1,0)</f>
        <v>0</v>
      </c>
      <c r="Q1204">
        <f>IF(COUNTIFS('United Data'!$A$3:$A$3390,Q$1,'United Data'!$C$3:$C$3390,$A1204,'United Data'!$B$3:$B$3390,"&lt;&gt;Off-street")&gt;0,1,0)</f>
        <v>0</v>
      </c>
      <c r="R1204">
        <f>IF(COUNTIFS('United Data'!$A$3:$A$3390,R$1,'United Data'!$C$3:$C$3390,$A1204,'United Data'!$B$3:$B$3390,"&lt;&gt;Off-street")&gt;0,1,0)</f>
        <v>0</v>
      </c>
      <c r="S1204">
        <f t="shared" si="36"/>
        <v>1</v>
      </c>
      <c r="T1204">
        <f t="shared" si="37"/>
        <v>1</v>
      </c>
    </row>
    <row r="1205" spans="1:20" x14ac:dyDescent="0.2">
      <c r="A1205" t="s">
        <v>1429</v>
      </c>
      <c r="B1205">
        <f>IF(COUNTIFS('United Data'!$A$3:$A$3390,B$1,'United Data'!$C$3:$C$3390,$A1205,'United Data'!$B$3:$B$3390,"&lt;&gt;Off-street")&gt;0,1,0)</f>
        <v>1</v>
      </c>
      <c r="C1205">
        <f>IF(COUNTIFS('United Data'!$A$3:$A$3390,C$1,'United Data'!$C$3:$C$3390,$A1205,'United Data'!$B$3:$B$3390,"&lt;&gt;Off-street")&gt;0,1,0)</f>
        <v>0</v>
      </c>
      <c r="D1205">
        <f>IF(COUNTIFS('United Data'!$A$3:$A$3390,D$1,'United Data'!$C$3:$C$3390,$A1205,'United Data'!$B$3:$B$3390,"&lt;&gt;Off-street")&gt;0,1,0)</f>
        <v>0</v>
      </c>
      <c r="E1205">
        <f>IF(COUNTIFS('United Data'!$A$3:$A$3390,E$1,'United Data'!$C$3:$C$3390,$A1205,'United Data'!$B$3:$B$3390,"&lt;&gt;Off-street")&gt;0,1,0)</f>
        <v>0</v>
      </c>
      <c r="F1205">
        <f>IF(COUNTIFS('United Data'!$A$3:$A$3390,F$1,'United Data'!$C$3:$C$3390,$A1205,'United Data'!$B$3:$B$3390,"&lt;&gt;Off-street")&gt;0,1,0)</f>
        <v>0</v>
      </c>
      <c r="G1205">
        <f>IF(COUNTIFS('United Data'!$A$3:$A$3390,G$1,'United Data'!$C$3:$C$3390,$A1205,'United Data'!$B$3:$B$3390,"&lt;&gt;Off-street")&gt;0,1,0)</f>
        <v>0</v>
      </c>
      <c r="H1205">
        <f>IF(COUNTIFS('United Data'!$A$3:$A$3390,H$1,'United Data'!$C$3:$C$3390,$A1205,'United Data'!$B$3:$B$3390,"&lt;&gt;Off-street")&gt;0,1,0)</f>
        <v>0</v>
      </c>
      <c r="I1205">
        <f>IF(COUNTIFS('United Data'!$A$3:$A$3390,I$1,'United Data'!$C$3:$C$3390,$A1205,'United Data'!$B$3:$B$3390,"&lt;&gt;Off-street")&gt;0,1,0)</f>
        <v>0</v>
      </c>
      <c r="J1205">
        <f>IF(COUNTIFS('United Data'!$A$3:$A$3390,J$1,'United Data'!$C$3:$C$3390,$A1205,'United Data'!$B$3:$B$3390,"&lt;&gt;Off-street")&gt;0,1,0)</f>
        <v>0</v>
      </c>
      <c r="K1205">
        <f>IF(COUNTIFS('United Data'!$A$3:$A$3390,K$1,'United Data'!$C$3:$C$3390,$A1205,'United Data'!$B$3:$B$3390,"&lt;&gt;Off-street")&gt;0,1,0)</f>
        <v>0</v>
      </c>
      <c r="L1205">
        <f>IF(COUNTIFS('United Data'!$A$3:$A$3390,L$1,'United Data'!$C$3:$C$3390,$A1205,'United Data'!$B$3:$B$3390,"&lt;&gt;Off-street")&gt;0,1,0)</f>
        <v>1</v>
      </c>
      <c r="M1205">
        <f>IF(COUNTIFS('United Data'!$A$3:$A$3390,M$1,'United Data'!$C$3:$C$3390,$A1205,'United Data'!$B$3:$B$3390,"&lt;&gt;Off-street")&gt;0,1,0)</f>
        <v>0</v>
      </c>
      <c r="N1205">
        <f>IF(COUNTIFS('United Data'!$A$3:$A$3390,N$1,'United Data'!$C$3:$C$3390,$A1205,'United Data'!$B$3:$B$3390,"&lt;&gt;Off-street")&gt;0,1,0)</f>
        <v>0</v>
      </c>
      <c r="O1205">
        <f>IF(COUNTIFS('United Data'!$A$3:$A$3390,O$1,'United Data'!$C$3:$C$3390,$A1205,'United Data'!$B$3:$B$3390,"&lt;&gt;Off-street")&gt;0,1,0)</f>
        <v>1</v>
      </c>
      <c r="P1205">
        <f>IF(COUNTIFS('United Data'!$A$3:$A$3390,P$1,'United Data'!$C$3:$C$3390,$A1205,'United Data'!$B$3:$B$3390,"&lt;&gt;Off-street")&gt;0,1,0)</f>
        <v>0</v>
      </c>
      <c r="Q1205">
        <f>IF(COUNTIFS('United Data'!$A$3:$A$3390,Q$1,'United Data'!$C$3:$C$3390,$A1205,'United Data'!$B$3:$B$3390,"&lt;&gt;Off-street")&gt;0,1,0)</f>
        <v>1</v>
      </c>
      <c r="R1205">
        <f>IF(COUNTIFS('United Data'!$A$3:$A$3390,R$1,'United Data'!$C$3:$C$3390,$A1205,'United Data'!$B$3:$B$3390,"&lt;&gt;Off-street")&gt;0,1,0)</f>
        <v>1</v>
      </c>
      <c r="S1205">
        <f t="shared" si="36"/>
        <v>5</v>
      </c>
      <c r="T1205">
        <f t="shared" si="37"/>
        <v>4</v>
      </c>
    </row>
    <row r="1206" spans="1:20" x14ac:dyDescent="0.2">
      <c r="A1206" t="s">
        <v>1430</v>
      </c>
      <c r="B1206">
        <f>IF(COUNTIFS('United Data'!$A$3:$A$3390,B$1,'United Data'!$C$3:$C$3390,$A1206,'United Data'!$B$3:$B$3390,"&lt;&gt;Off-street")&gt;0,1,0)</f>
        <v>0</v>
      </c>
      <c r="C1206">
        <f>IF(COUNTIFS('United Data'!$A$3:$A$3390,C$1,'United Data'!$C$3:$C$3390,$A1206,'United Data'!$B$3:$B$3390,"&lt;&gt;Off-street")&gt;0,1,0)</f>
        <v>0</v>
      </c>
      <c r="D1206">
        <f>IF(COUNTIFS('United Data'!$A$3:$A$3390,D$1,'United Data'!$C$3:$C$3390,$A1206,'United Data'!$B$3:$B$3390,"&lt;&gt;Off-street")&gt;0,1,0)</f>
        <v>0</v>
      </c>
      <c r="E1206">
        <f>IF(COUNTIFS('United Data'!$A$3:$A$3390,E$1,'United Data'!$C$3:$C$3390,$A1206,'United Data'!$B$3:$B$3390,"&lt;&gt;Off-street")&gt;0,1,0)</f>
        <v>0</v>
      </c>
      <c r="F1206">
        <f>IF(COUNTIFS('United Data'!$A$3:$A$3390,F$1,'United Data'!$C$3:$C$3390,$A1206,'United Data'!$B$3:$B$3390,"&lt;&gt;Off-street")&gt;0,1,0)</f>
        <v>0</v>
      </c>
      <c r="G1206">
        <f>IF(COUNTIFS('United Data'!$A$3:$A$3390,G$1,'United Data'!$C$3:$C$3390,$A1206,'United Data'!$B$3:$B$3390,"&lt;&gt;Off-street")&gt;0,1,0)</f>
        <v>0</v>
      </c>
      <c r="H1206">
        <f>IF(COUNTIFS('United Data'!$A$3:$A$3390,H$1,'United Data'!$C$3:$C$3390,$A1206,'United Data'!$B$3:$B$3390,"&lt;&gt;Off-street")&gt;0,1,0)</f>
        <v>0</v>
      </c>
      <c r="I1206">
        <f>IF(COUNTIFS('United Data'!$A$3:$A$3390,I$1,'United Data'!$C$3:$C$3390,$A1206,'United Data'!$B$3:$B$3390,"&lt;&gt;Off-street")&gt;0,1,0)</f>
        <v>1</v>
      </c>
      <c r="J1206">
        <f>IF(COUNTIFS('United Data'!$A$3:$A$3390,J$1,'United Data'!$C$3:$C$3390,$A1206,'United Data'!$B$3:$B$3390,"&lt;&gt;Off-street")&gt;0,1,0)</f>
        <v>0</v>
      </c>
      <c r="K1206">
        <f>IF(COUNTIFS('United Data'!$A$3:$A$3390,K$1,'United Data'!$C$3:$C$3390,$A1206,'United Data'!$B$3:$B$3390,"&lt;&gt;Off-street")&gt;0,1,0)</f>
        <v>0</v>
      </c>
      <c r="L1206">
        <f>IF(COUNTIFS('United Data'!$A$3:$A$3390,L$1,'United Data'!$C$3:$C$3390,$A1206,'United Data'!$B$3:$B$3390,"&lt;&gt;Off-street")&gt;0,1,0)</f>
        <v>1</v>
      </c>
      <c r="M1206">
        <f>IF(COUNTIFS('United Data'!$A$3:$A$3390,M$1,'United Data'!$C$3:$C$3390,$A1206,'United Data'!$B$3:$B$3390,"&lt;&gt;Off-street")&gt;0,1,0)</f>
        <v>0</v>
      </c>
      <c r="N1206">
        <f>IF(COUNTIFS('United Data'!$A$3:$A$3390,N$1,'United Data'!$C$3:$C$3390,$A1206,'United Data'!$B$3:$B$3390,"&lt;&gt;Off-street")&gt;0,1,0)</f>
        <v>0</v>
      </c>
      <c r="O1206">
        <f>IF(COUNTIFS('United Data'!$A$3:$A$3390,O$1,'United Data'!$C$3:$C$3390,$A1206,'United Data'!$B$3:$B$3390,"&lt;&gt;Off-street")&gt;0,1,0)</f>
        <v>1</v>
      </c>
      <c r="P1206">
        <f>IF(COUNTIFS('United Data'!$A$3:$A$3390,P$1,'United Data'!$C$3:$C$3390,$A1206,'United Data'!$B$3:$B$3390,"&lt;&gt;Off-street")&gt;0,1,0)</f>
        <v>1</v>
      </c>
      <c r="Q1206">
        <f>IF(COUNTIFS('United Data'!$A$3:$A$3390,Q$1,'United Data'!$C$3:$C$3390,$A1206,'United Data'!$B$3:$B$3390,"&lt;&gt;Off-street")&gt;0,1,0)</f>
        <v>0</v>
      </c>
      <c r="R1206">
        <f>IF(COUNTIFS('United Data'!$A$3:$A$3390,R$1,'United Data'!$C$3:$C$3390,$A1206,'United Data'!$B$3:$B$3390,"&lt;&gt;Off-street")&gt;0,1,0)</f>
        <v>0</v>
      </c>
      <c r="S1206">
        <f t="shared" si="36"/>
        <v>4</v>
      </c>
      <c r="T1206">
        <f t="shared" si="37"/>
        <v>3</v>
      </c>
    </row>
    <row r="1207" spans="1:20" x14ac:dyDescent="0.2">
      <c r="A1207" t="s">
        <v>1431</v>
      </c>
      <c r="B1207">
        <f>IF(COUNTIFS('United Data'!$A$3:$A$3390,B$1,'United Data'!$C$3:$C$3390,$A1207,'United Data'!$B$3:$B$3390,"&lt;&gt;Off-street")&gt;0,1,0)</f>
        <v>0</v>
      </c>
      <c r="C1207">
        <f>IF(COUNTIFS('United Data'!$A$3:$A$3390,C$1,'United Data'!$C$3:$C$3390,$A1207,'United Data'!$B$3:$B$3390,"&lt;&gt;Off-street")&gt;0,1,0)</f>
        <v>0</v>
      </c>
      <c r="D1207">
        <f>IF(COUNTIFS('United Data'!$A$3:$A$3390,D$1,'United Data'!$C$3:$C$3390,$A1207,'United Data'!$B$3:$B$3390,"&lt;&gt;Off-street")&gt;0,1,0)</f>
        <v>0</v>
      </c>
      <c r="E1207">
        <f>IF(COUNTIFS('United Data'!$A$3:$A$3390,E$1,'United Data'!$C$3:$C$3390,$A1207,'United Data'!$B$3:$B$3390,"&lt;&gt;Off-street")&gt;0,1,0)</f>
        <v>0</v>
      </c>
      <c r="F1207">
        <f>IF(COUNTIFS('United Data'!$A$3:$A$3390,F$1,'United Data'!$C$3:$C$3390,$A1207,'United Data'!$B$3:$B$3390,"&lt;&gt;Off-street")&gt;0,1,0)</f>
        <v>0</v>
      </c>
      <c r="G1207">
        <f>IF(COUNTIFS('United Data'!$A$3:$A$3390,G$1,'United Data'!$C$3:$C$3390,$A1207,'United Data'!$B$3:$B$3390,"&lt;&gt;Off-street")&gt;0,1,0)</f>
        <v>0</v>
      </c>
      <c r="H1207">
        <f>IF(COUNTIFS('United Data'!$A$3:$A$3390,H$1,'United Data'!$C$3:$C$3390,$A1207,'United Data'!$B$3:$B$3390,"&lt;&gt;Off-street")&gt;0,1,0)</f>
        <v>0</v>
      </c>
      <c r="I1207">
        <f>IF(COUNTIFS('United Data'!$A$3:$A$3390,I$1,'United Data'!$C$3:$C$3390,$A1207,'United Data'!$B$3:$B$3390,"&lt;&gt;Off-street")&gt;0,1,0)</f>
        <v>0</v>
      </c>
      <c r="J1207">
        <f>IF(COUNTIFS('United Data'!$A$3:$A$3390,J$1,'United Data'!$C$3:$C$3390,$A1207,'United Data'!$B$3:$B$3390,"&lt;&gt;Off-street")&gt;0,1,0)</f>
        <v>0</v>
      </c>
      <c r="K1207">
        <f>IF(COUNTIFS('United Data'!$A$3:$A$3390,K$1,'United Data'!$C$3:$C$3390,$A1207,'United Data'!$B$3:$B$3390,"&lt;&gt;Off-street")&gt;0,1,0)</f>
        <v>0</v>
      </c>
      <c r="L1207">
        <f>IF(COUNTIFS('United Data'!$A$3:$A$3390,L$1,'United Data'!$C$3:$C$3390,$A1207,'United Data'!$B$3:$B$3390,"&lt;&gt;Off-street")&gt;0,1,0)</f>
        <v>1</v>
      </c>
      <c r="M1207">
        <f>IF(COUNTIFS('United Data'!$A$3:$A$3390,M$1,'United Data'!$C$3:$C$3390,$A1207,'United Data'!$B$3:$B$3390,"&lt;&gt;Off-street")&gt;0,1,0)</f>
        <v>0</v>
      </c>
      <c r="N1207">
        <f>IF(COUNTIFS('United Data'!$A$3:$A$3390,N$1,'United Data'!$C$3:$C$3390,$A1207,'United Data'!$B$3:$B$3390,"&lt;&gt;Off-street")&gt;0,1,0)</f>
        <v>0</v>
      </c>
      <c r="O1207">
        <f>IF(COUNTIFS('United Data'!$A$3:$A$3390,O$1,'United Data'!$C$3:$C$3390,$A1207,'United Data'!$B$3:$B$3390,"&lt;&gt;Off-street")&gt;0,1,0)</f>
        <v>0</v>
      </c>
      <c r="P1207">
        <f>IF(COUNTIFS('United Data'!$A$3:$A$3390,P$1,'United Data'!$C$3:$C$3390,$A1207,'United Data'!$B$3:$B$3390,"&lt;&gt;Off-street")&gt;0,1,0)</f>
        <v>0</v>
      </c>
      <c r="Q1207">
        <f>IF(COUNTIFS('United Data'!$A$3:$A$3390,Q$1,'United Data'!$C$3:$C$3390,$A1207,'United Data'!$B$3:$B$3390,"&lt;&gt;Off-street")&gt;0,1,0)</f>
        <v>0</v>
      </c>
      <c r="R1207">
        <f>IF(COUNTIFS('United Data'!$A$3:$A$3390,R$1,'United Data'!$C$3:$C$3390,$A1207,'United Data'!$B$3:$B$3390,"&lt;&gt;Off-street")&gt;0,1,0)</f>
        <v>0</v>
      </c>
      <c r="S1207">
        <f t="shared" si="36"/>
        <v>1</v>
      </c>
      <c r="T1207">
        <f t="shared" si="37"/>
        <v>1</v>
      </c>
    </row>
    <row r="1208" spans="1:20" x14ac:dyDescent="0.2">
      <c r="A1208" t="s">
        <v>1432</v>
      </c>
      <c r="B1208">
        <f>IF(COUNTIFS('United Data'!$A$3:$A$3390,B$1,'United Data'!$C$3:$C$3390,$A1208,'United Data'!$B$3:$B$3390,"&lt;&gt;Off-street")&gt;0,1,0)</f>
        <v>0</v>
      </c>
      <c r="C1208">
        <f>IF(COUNTIFS('United Data'!$A$3:$A$3390,C$1,'United Data'!$C$3:$C$3390,$A1208,'United Data'!$B$3:$B$3390,"&lt;&gt;Off-street")&gt;0,1,0)</f>
        <v>0</v>
      </c>
      <c r="D1208">
        <f>IF(COUNTIFS('United Data'!$A$3:$A$3390,D$1,'United Data'!$C$3:$C$3390,$A1208,'United Data'!$B$3:$B$3390,"&lt;&gt;Off-street")&gt;0,1,0)</f>
        <v>0</v>
      </c>
      <c r="E1208">
        <f>IF(COUNTIFS('United Data'!$A$3:$A$3390,E$1,'United Data'!$C$3:$C$3390,$A1208,'United Data'!$B$3:$B$3390,"&lt;&gt;Off-street")&gt;0,1,0)</f>
        <v>0</v>
      </c>
      <c r="F1208">
        <f>IF(COUNTIFS('United Data'!$A$3:$A$3390,F$1,'United Data'!$C$3:$C$3390,$A1208,'United Data'!$B$3:$B$3390,"&lt;&gt;Off-street")&gt;0,1,0)</f>
        <v>0</v>
      </c>
      <c r="G1208">
        <f>IF(COUNTIFS('United Data'!$A$3:$A$3390,G$1,'United Data'!$C$3:$C$3390,$A1208,'United Data'!$B$3:$B$3390,"&lt;&gt;Off-street")&gt;0,1,0)</f>
        <v>0</v>
      </c>
      <c r="H1208">
        <f>IF(COUNTIFS('United Data'!$A$3:$A$3390,H$1,'United Data'!$C$3:$C$3390,$A1208,'United Data'!$B$3:$B$3390,"&lt;&gt;Off-street")&gt;0,1,0)</f>
        <v>0</v>
      </c>
      <c r="I1208">
        <f>IF(COUNTIFS('United Data'!$A$3:$A$3390,I$1,'United Data'!$C$3:$C$3390,$A1208,'United Data'!$B$3:$B$3390,"&lt;&gt;Off-street")&gt;0,1,0)</f>
        <v>0</v>
      </c>
      <c r="J1208">
        <f>IF(COUNTIFS('United Data'!$A$3:$A$3390,J$1,'United Data'!$C$3:$C$3390,$A1208,'United Data'!$B$3:$B$3390,"&lt;&gt;Off-street")&gt;0,1,0)</f>
        <v>0</v>
      </c>
      <c r="K1208">
        <f>IF(COUNTIFS('United Data'!$A$3:$A$3390,K$1,'United Data'!$C$3:$C$3390,$A1208,'United Data'!$B$3:$B$3390,"&lt;&gt;Off-street")&gt;0,1,0)</f>
        <v>0</v>
      </c>
      <c r="L1208">
        <f>IF(COUNTIFS('United Data'!$A$3:$A$3390,L$1,'United Data'!$C$3:$C$3390,$A1208,'United Data'!$B$3:$B$3390,"&lt;&gt;Off-street")&gt;0,1,0)</f>
        <v>0</v>
      </c>
      <c r="M1208">
        <f>IF(COUNTIFS('United Data'!$A$3:$A$3390,M$1,'United Data'!$C$3:$C$3390,$A1208,'United Data'!$B$3:$B$3390,"&lt;&gt;Off-street")&gt;0,1,0)</f>
        <v>1</v>
      </c>
      <c r="N1208">
        <f>IF(COUNTIFS('United Data'!$A$3:$A$3390,N$1,'United Data'!$C$3:$C$3390,$A1208,'United Data'!$B$3:$B$3390,"&lt;&gt;Off-street")&gt;0,1,0)</f>
        <v>0</v>
      </c>
      <c r="O1208">
        <f>IF(COUNTIFS('United Data'!$A$3:$A$3390,O$1,'United Data'!$C$3:$C$3390,$A1208,'United Data'!$B$3:$B$3390,"&lt;&gt;Off-street")&gt;0,1,0)</f>
        <v>0</v>
      </c>
      <c r="P1208">
        <f>IF(COUNTIFS('United Data'!$A$3:$A$3390,P$1,'United Data'!$C$3:$C$3390,$A1208,'United Data'!$B$3:$B$3390,"&lt;&gt;Off-street")&gt;0,1,0)</f>
        <v>0</v>
      </c>
      <c r="Q1208">
        <f>IF(COUNTIFS('United Data'!$A$3:$A$3390,Q$1,'United Data'!$C$3:$C$3390,$A1208,'United Data'!$B$3:$B$3390,"&lt;&gt;Off-street")&gt;0,1,0)</f>
        <v>0</v>
      </c>
      <c r="R1208">
        <f>IF(COUNTIFS('United Data'!$A$3:$A$3390,R$1,'United Data'!$C$3:$C$3390,$A1208,'United Data'!$B$3:$B$3390,"&lt;&gt;Off-street")&gt;0,1,0)</f>
        <v>0</v>
      </c>
      <c r="S1208">
        <f t="shared" si="36"/>
        <v>1</v>
      </c>
      <c r="T1208">
        <f t="shared" si="37"/>
        <v>1</v>
      </c>
    </row>
    <row r="1209" spans="1:20" x14ac:dyDescent="0.2">
      <c r="A1209" t="s">
        <v>1433</v>
      </c>
      <c r="B1209">
        <f>IF(COUNTIFS('United Data'!$A$3:$A$3390,B$1,'United Data'!$C$3:$C$3390,$A1209,'United Data'!$B$3:$B$3390,"&lt;&gt;Off-street")&gt;0,1,0)</f>
        <v>0</v>
      </c>
      <c r="C1209">
        <f>IF(COUNTIFS('United Data'!$A$3:$A$3390,C$1,'United Data'!$C$3:$C$3390,$A1209,'United Data'!$B$3:$B$3390,"&lt;&gt;Off-street")&gt;0,1,0)</f>
        <v>0</v>
      </c>
      <c r="D1209">
        <f>IF(COUNTIFS('United Data'!$A$3:$A$3390,D$1,'United Data'!$C$3:$C$3390,$A1209,'United Data'!$B$3:$B$3390,"&lt;&gt;Off-street")&gt;0,1,0)</f>
        <v>0</v>
      </c>
      <c r="E1209">
        <f>IF(COUNTIFS('United Data'!$A$3:$A$3390,E$1,'United Data'!$C$3:$C$3390,$A1209,'United Data'!$B$3:$B$3390,"&lt;&gt;Off-street")&gt;0,1,0)</f>
        <v>0</v>
      </c>
      <c r="F1209">
        <f>IF(COUNTIFS('United Data'!$A$3:$A$3390,F$1,'United Data'!$C$3:$C$3390,$A1209,'United Data'!$B$3:$B$3390,"&lt;&gt;Off-street")&gt;0,1,0)</f>
        <v>0</v>
      </c>
      <c r="G1209">
        <f>IF(COUNTIFS('United Data'!$A$3:$A$3390,G$1,'United Data'!$C$3:$C$3390,$A1209,'United Data'!$B$3:$B$3390,"&lt;&gt;Off-street")&gt;0,1,0)</f>
        <v>0</v>
      </c>
      <c r="H1209">
        <f>IF(COUNTIFS('United Data'!$A$3:$A$3390,H$1,'United Data'!$C$3:$C$3390,$A1209,'United Data'!$B$3:$B$3390,"&lt;&gt;Off-street")&gt;0,1,0)</f>
        <v>0</v>
      </c>
      <c r="I1209">
        <f>IF(COUNTIFS('United Data'!$A$3:$A$3390,I$1,'United Data'!$C$3:$C$3390,$A1209,'United Data'!$B$3:$B$3390,"&lt;&gt;Off-street")&gt;0,1,0)</f>
        <v>1</v>
      </c>
      <c r="J1209">
        <f>IF(COUNTIFS('United Data'!$A$3:$A$3390,J$1,'United Data'!$C$3:$C$3390,$A1209,'United Data'!$B$3:$B$3390,"&lt;&gt;Off-street")&gt;0,1,0)</f>
        <v>0</v>
      </c>
      <c r="K1209">
        <f>IF(COUNTIFS('United Data'!$A$3:$A$3390,K$1,'United Data'!$C$3:$C$3390,$A1209,'United Data'!$B$3:$B$3390,"&lt;&gt;Off-street")&gt;0,1,0)</f>
        <v>0</v>
      </c>
      <c r="L1209">
        <f>IF(COUNTIFS('United Data'!$A$3:$A$3390,L$1,'United Data'!$C$3:$C$3390,$A1209,'United Data'!$B$3:$B$3390,"&lt;&gt;Off-street")&gt;0,1,0)</f>
        <v>0</v>
      </c>
      <c r="M1209">
        <f>IF(COUNTIFS('United Data'!$A$3:$A$3390,M$1,'United Data'!$C$3:$C$3390,$A1209,'United Data'!$B$3:$B$3390,"&lt;&gt;Off-street")&gt;0,1,0)</f>
        <v>0</v>
      </c>
      <c r="N1209">
        <f>IF(COUNTIFS('United Data'!$A$3:$A$3390,N$1,'United Data'!$C$3:$C$3390,$A1209,'United Data'!$B$3:$B$3390,"&lt;&gt;Off-street")&gt;0,1,0)</f>
        <v>1</v>
      </c>
      <c r="O1209">
        <f>IF(COUNTIFS('United Data'!$A$3:$A$3390,O$1,'United Data'!$C$3:$C$3390,$A1209,'United Data'!$B$3:$B$3390,"&lt;&gt;Off-street")&gt;0,1,0)</f>
        <v>1</v>
      </c>
      <c r="P1209">
        <f>IF(COUNTIFS('United Data'!$A$3:$A$3390,P$1,'United Data'!$C$3:$C$3390,$A1209,'United Data'!$B$3:$B$3390,"&lt;&gt;Off-street")&gt;0,1,0)</f>
        <v>1</v>
      </c>
      <c r="Q1209">
        <f>IF(COUNTIFS('United Data'!$A$3:$A$3390,Q$1,'United Data'!$C$3:$C$3390,$A1209,'United Data'!$B$3:$B$3390,"&lt;&gt;Off-street")&gt;0,1,0)</f>
        <v>0</v>
      </c>
      <c r="R1209">
        <f>IF(COUNTIFS('United Data'!$A$3:$A$3390,R$1,'United Data'!$C$3:$C$3390,$A1209,'United Data'!$B$3:$B$3390,"&lt;&gt;Off-street")&gt;0,1,0)</f>
        <v>0</v>
      </c>
      <c r="S1209">
        <f t="shared" si="36"/>
        <v>4</v>
      </c>
      <c r="T1209">
        <f t="shared" si="37"/>
        <v>2</v>
      </c>
    </row>
    <row r="1210" spans="1:20" x14ac:dyDescent="0.2">
      <c r="A1210" t="s">
        <v>1434</v>
      </c>
      <c r="B1210">
        <f>IF(COUNTIFS('United Data'!$A$3:$A$3390,B$1,'United Data'!$C$3:$C$3390,$A1210,'United Data'!$B$3:$B$3390,"&lt;&gt;Off-street")&gt;0,1,0)</f>
        <v>0</v>
      </c>
      <c r="C1210">
        <f>IF(COUNTIFS('United Data'!$A$3:$A$3390,C$1,'United Data'!$C$3:$C$3390,$A1210,'United Data'!$B$3:$B$3390,"&lt;&gt;Off-street")&gt;0,1,0)</f>
        <v>0</v>
      </c>
      <c r="D1210">
        <f>IF(COUNTIFS('United Data'!$A$3:$A$3390,D$1,'United Data'!$C$3:$C$3390,$A1210,'United Data'!$B$3:$B$3390,"&lt;&gt;Off-street")&gt;0,1,0)</f>
        <v>0</v>
      </c>
      <c r="E1210">
        <f>IF(COUNTIFS('United Data'!$A$3:$A$3390,E$1,'United Data'!$C$3:$C$3390,$A1210,'United Data'!$B$3:$B$3390,"&lt;&gt;Off-street")&gt;0,1,0)</f>
        <v>0</v>
      </c>
      <c r="F1210">
        <f>IF(COUNTIFS('United Data'!$A$3:$A$3390,F$1,'United Data'!$C$3:$C$3390,$A1210,'United Data'!$B$3:$B$3390,"&lt;&gt;Off-street")&gt;0,1,0)</f>
        <v>0</v>
      </c>
      <c r="G1210">
        <f>IF(COUNTIFS('United Data'!$A$3:$A$3390,G$1,'United Data'!$C$3:$C$3390,$A1210,'United Data'!$B$3:$B$3390,"&lt;&gt;Off-street")&gt;0,1,0)</f>
        <v>0</v>
      </c>
      <c r="H1210">
        <f>IF(COUNTIFS('United Data'!$A$3:$A$3390,H$1,'United Data'!$C$3:$C$3390,$A1210,'United Data'!$B$3:$B$3390,"&lt;&gt;Off-street")&gt;0,1,0)</f>
        <v>0</v>
      </c>
      <c r="I1210">
        <f>IF(COUNTIFS('United Data'!$A$3:$A$3390,I$1,'United Data'!$C$3:$C$3390,$A1210,'United Data'!$B$3:$B$3390,"&lt;&gt;Off-street")&gt;0,1,0)</f>
        <v>1</v>
      </c>
      <c r="J1210">
        <f>IF(COUNTIFS('United Data'!$A$3:$A$3390,J$1,'United Data'!$C$3:$C$3390,$A1210,'United Data'!$B$3:$B$3390,"&lt;&gt;Off-street")&gt;0,1,0)</f>
        <v>0</v>
      </c>
      <c r="K1210">
        <f>IF(COUNTIFS('United Data'!$A$3:$A$3390,K$1,'United Data'!$C$3:$C$3390,$A1210,'United Data'!$B$3:$B$3390,"&lt;&gt;Off-street")&gt;0,1,0)</f>
        <v>0</v>
      </c>
      <c r="L1210">
        <f>IF(COUNTIFS('United Data'!$A$3:$A$3390,L$1,'United Data'!$C$3:$C$3390,$A1210,'United Data'!$B$3:$B$3390,"&lt;&gt;Off-street")&gt;0,1,0)</f>
        <v>0</v>
      </c>
      <c r="M1210">
        <f>IF(COUNTIFS('United Data'!$A$3:$A$3390,M$1,'United Data'!$C$3:$C$3390,$A1210,'United Data'!$B$3:$B$3390,"&lt;&gt;Off-street")&gt;0,1,0)</f>
        <v>0</v>
      </c>
      <c r="N1210">
        <f>IF(COUNTIFS('United Data'!$A$3:$A$3390,N$1,'United Data'!$C$3:$C$3390,$A1210,'United Data'!$B$3:$B$3390,"&lt;&gt;Off-street")&gt;0,1,0)</f>
        <v>1</v>
      </c>
      <c r="O1210">
        <f>IF(COUNTIFS('United Data'!$A$3:$A$3390,O$1,'United Data'!$C$3:$C$3390,$A1210,'United Data'!$B$3:$B$3390,"&lt;&gt;Off-street")&gt;0,1,0)</f>
        <v>1</v>
      </c>
      <c r="P1210">
        <f>IF(COUNTIFS('United Data'!$A$3:$A$3390,P$1,'United Data'!$C$3:$C$3390,$A1210,'United Data'!$B$3:$B$3390,"&lt;&gt;Off-street")&gt;0,1,0)</f>
        <v>1</v>
      </c>
      <c r="Q1210">
        <f>IF(COUNTIFS('United Data'!$A$3:$A$3390,Q$1,'United Data'!$C$3:$C$3390,$A1210,'United Data'!$B$3:$B$3390,"&lt;&gt;Off-street")&gt;0,1,0)</f>
        <v>0</v>
      </c>
      <c r="R1210">
        <f>IF(COUNTIFS('United Data'!$A$3:$A$3390,R$1,'United Data'!$C$3:$C$3390,$A1210,'United Data'!$B$3:$B$3390,"&lt;&gt;Off-street")&gt;0,1,0)</f>
        <v>0</v>
      </c>
      <c r="S1210">
        <f t="shared" si="36"/>
        <v>4</v>
      </c>
      <c r="T1210">
        <f t="shared" si="37"/>
        <v>2</v>
      </c>
    </row>
    <row r="1211" spans="1:20" x14ac:dyDescent="0.2">
      <c r="A1211" t="s">
        <v>1438</v>
      </c>
      <c r="B1211">
        <f>IF(COUNTIFS('United Data'!$A$3:$A$3390,B$1,'United Data'!$C$3:$C$3390,$A1211,'United Data'!$B$3:$B$3390,"&lt;&gt;Off-street")&gt;0,1,0)</f>
        <v>0</v>
      </c>
      <c r="C1211">
        <f>IF(COUNTIFS('United Data'!$A$3:$A$3390,C$1,'United Data'!$C$3:$C$3390,$A1211,'United Data'!$B$3:$B$3390,"&lt;&gt;Off-street")&gt;0,1,0)</f>
        <v>0</v>
      </c>
      <c r="D1211">
        <f>IF(COUNTIFS('United Data'!$A$3:$A$3390,D$1,'United Data'!$C$3:$C$3390,$A1211,'United Data'!$B$3:$B$3390,"&lt;&gt;Off-street")&gt;0,1,0)</f>
        <v>0</v>
      </c>
      <c r="E1211">
        <f>IF(COUNTIFS('United Data'!$A$3:$A$3390,E$1,'United Data'!$C$3:$C$3390,$A1211,'United Data'!$B$3:$B$3390,"&lt;&gt;Off-street")&gt;0,1,0)</f>
        <v>0</v>
      </c>
      <c r="F1211">
        <f>IF(COUNTIFS('United Data'!$A$3:$A$3390,F$1,'United Data'!$C$3:$C$3390,$A1211,'United Data'!$B$3:$B$3390,"&lt;&gt;Off-street")&gt;0,1,0)</f>
        <v>0</v>
      </c>
      <c r="G1211">
        <f>IF(COUNTIFS('United Data'!$A$3:$A$3390,G$1,'United Data'!$C$3:$C$3390,$A1211,'United Data'!$B$3:$B$3390,"&lt;&gt;Off-street")&gt;0,1,0)</f>
        <v>0</v>
      </c>
      <c r="H1211">
        <f>IF(COUNTIFS('United Data'!$A$3:$A$3390,H$1,'United Data'!$C$3:$C$3390,$A1211,'United Data'!$B$3:$B$3390,"&lt;&gt;Off-street")&gt;0,1,0)</f>
        <v>0</v>
      </c>
      <c r="I1211">
        <f>IF(COUNTIFS('United Data'!$A$3:$A$3390,I$1,'United Data'!$C$3:$C$3390,$A1211,'United Data'!$B$3:$B$3390,"&lt;&gt;Off-street")&gt;0,1,0)</f>
        <v>0</v>
      </c>
      <c r="J1211">
        <f>IF(COUNTIFS('United Data'!$A$3:$A$3390,J$1,'United Data'!$C$3:$C$3390,$A1211,'United Data'!$B$3:$B$3390,"&lt;&gt;Off-street")&gt;0,1,0)</f>
        <v>0</v>
      </c>
      <c r="K1211">
        <f>IF(COUNTIFS('United Data'!$A$3:$A$3390,K$1,'United Data'!$C$3:$C$3390,$A1211,'United Data'!$B$3:$B$3390,"&lt;&gt;Off-street")&gt;0,1,0)</f>
        <v>0</v>
      </c>
      <c r="L1211">
        <f>IF(COUNTIFS('United Data'!$A$3:$A$3390,L$1,'United Data'!$C$3:$C$3390,$A1211,'United Data'!$B$3:$B$3390,"&lt;&gt;Off-street")&gt;0,1,0)</f>
        <v>0</v>
      </c>
      <c r="M1211">
        <f>IF(COUNTIFS('United Data'!$A$3:$A$3390,M$1,'United Data'!$C$3:$C$3390,$A1211,'United Data'!$B$3:$B$3390,"&lt;&gt;Off-street")&gt;0,1,0)</f>
        <v>0</v>
      </c>
      <c r="N1211">
        <f>IF(COUNTIFS('United Data'!$A$3:$A$3390,N$1,'United Data'!$C$3:$C$3390,$A1211,'United Data'!$B$3:$B$3390,"&lt;&gt;Off-street")&gt;0,1,0)</f>
        <v>0</v>
      </c>
      <c r="O1211">
        <f>IF(COUNTIFS('United Data'!$A$3:$A$3390,O$1,'United Data'!$C$3:$C$3390,$A1211,'United Data'!$B$3:$B$3390,"&lt;&gt;Off-street")&gt;0,1,0)</f>
        <v>0</v>
      </c>
      <c r="P1211">
        <f>IF(COUNTIFS('United Data'!$A$3:$A$3390,P$1,'United Data'!$C$3:$C$3390,$A1211,'United Data'!$B$3:$B$3390,"&lt;&gt;Off-street")&gt;0,1,0)</f>
        <v>0</v>
      </c>
      <c r="Q1211">
        <f>IF(COUNTIFS('United Data'!$A$3:$A$3390,Q$1,'United Data'!$C$3:$C$3390,$A1211,'United Data'!$B$3:$B$3390,"&lt;&gt;Off-street")&gt;0,1,0)</f>
        <v>1</v>
      </c>
      <c r="R1211">
        <f>IF(COUNTIFS('United Data'!$A$3:$A$3390,R$1,'United Data'!$C$3:$C$3390,$A1211,'United Data'!$B$3:$B$3390,"&lt;&gt;Off-street")&gt;0,1,0)</f>
        <v>1</v>
      </c>
      <c r="S1211">
        <f t="shared" si="36"/>
        <v>2</v>
      </c>
      <c r="T1211">
        <f t="shared" si="37"/>
        <v>1</v>
      </c>
    </row>
    <row r="1212" spans="1:20" x14ac:dyDescent="0.2">
      <c r="A1212" t="s">
        <v>1439</v>
      </c>
      <c r="B1212">
        <f>IF(COUNTIFS('United Data'!$A$3:$A$3390,B$1,'United Data'!$C$3:$C$3390,$A1212,'United Data'!$B$3:$B$3390,"&lt;&gt;Off-street")&gt;0,1,0)</f>
        <v>0</v>
      </c>
      <c r="C1212">
        <f>IF(COUNTIFS('United Data'!$A$3:$A$3390,C$1,'United Data'!$C$3:$C$3390,$A1212,'United Data'!$B$3:$B$3390,"&lt;&gt;Off-street")&gt;0,1,0)</f>
        <v>0</v>
      </c>
      <c r="D1212">
        <f>IF(COUNTIFS('United Data'!$A$3:$A$3390,D$1,'United Data'!$C$3:$C$3390,$A1212,'United Data'!$B$3:$B$3390,"&lt;&gt;Off-street")&gt;0,1,0)</f>
        <v>0</v>
      </c>
      <c r="E1212">
        <f>IF(COUNTIFS('United Data'!$A$3:$A$3390,E$1,'United Data'!$C$3:$C$3390,$A1212,'United Data'!$B$3:$B$3390,"&lt;&gt;Off-street")&gt;0,1,0)</f>
        <v>0</v>
      </c>
      <c r="F1212">
        <f>IF(COUNTIFS('United Data'!$A$3:$A$3390,F$1,'United Data'!$C$3:$C$3390,$A1212,'United Data'!$B$3:$B$3390,"&lt;&gt;Off-street")&gt;0,1,0)</f>
        <v>0</v>
      </c>
      <c r="G1212">
        <f>IF(COUNTIFS('United Data'!$A$3:$A$3390,G$1,'United Data'!$C$3:$C$3390,$A1212,'United Data'!$B$3:$B$3390,"&lt;&gt;Off-street")&gt;0,1,0)</f>
        <v>0</v>
      </c>
      <c r="H1212">
        <f>IF(COUNTIFS('United Data'!$A$3:$A$3390,H$1,'United Data'!$C$3:$C$3390,$A1212,'United Data'!$B$3:$B$3390,"&lt;&gt;Off-street")&gt;0,1,0)</f>
        <v>0</v>
      </c>
      <c r="I1212">
        <f>IF(COUNTIFS('United Data'!$A$3:$A$3390,I$1,'United Data'!$C$3:$C$3390,$A1212,'United Data'!$B$3:$B$3390,"&lt;&gt;Off-street")&gt;0,1,0)</f>
        <v>0</v>
      </c>
      <c r="J1212">
        <f>IF(COUNTIFS('United Data'!$A$3:$A$3390,J$1,'United Data'!$C$3:$C$3390,$A1212,'United Data'!$B$3:$B$3390,"&lt;&gt;Off-street")&gt;0,1,0)</f>
        <v>0</v>
      </c>
      <c r="K1212">
        <f>IF(COUNTIFS('United Data'!$A$3:$A$3390,K$1,'United Data'!$C$3:$C$3390,$A1212,'United Data'!$B$3:$B$3390,"&lt;&gt;Off-street")&gt;0,1,0)</f>
        <v>0</v>
      </c>
      <c r="L1212">
        <f>IF(COUNTIFS('United Data'!$A$3:$A$3390,L$1,'United Data'!$C$3:$C$3390,$A1212,'United Data'!$B$3:$B$3390,"&lt;&gt;Off-street")&gt;0,1,0)</f>
        <v>0</v>
      </c>
      <c r="M1212">
        <f>IF(COUNTIFS('United Data'!$A$3:$A$3390,M$1,'United Data'!$C$3:$C$3390,$A1212,'United Data'!$B$3:$B$3390,"&lt;&gt;Off-street")&gt;0,1,0)</f>
        <v>0</v>
      </c>
      <c r="N1212">
        <f>IF(COUNTIFS('United Data'!$A$3:$A$3390,N$1,'United Data'!$C$3:$C$3390,$A1212,'United Data'!$B$3:$B$3390,"&lt;&gt;Off-street")&gt;0,1,0)</f>
        <v>0</v>
      </c>
      <c r="O1212">
        <f>IF(COUNTIFS('United Data'!$A$3:$A$3390,O$1,'United Data'!$C$3:$C$3390,$A1212,'United Data'!$B$3:$B$3390,"&lt;&gt;Off-street")&gt;0,1,0)</f>
        <v>0</v>
      </c>
      <c r="P1212">
        <f>IF(COUNTIFS('United Data'!$A$3:$A$3390,P$1,'United Data'!$C$3:$C$3390,$A1212,'United Data'!$B$3:$B$3390,"&lt;&gt;Off-street")&gt;0,1,0)</f>
        <v>0</v>
      </c>
      <c r="Q1212">
        <f>IF(COUNTIFS('United Data'!$A$3:$A$3390,Q$1,'United Data'!$C$3:$C$3390,$A1212,'United Data'!$B$3:$B$3390,"&lt;&gt;Off-street")&gt;0,1,0)</f>
        <v>1</v>
      </c>
      <c r="R1212">
        <f>IF(COUNTIFS('United Data'!$A$3:$A$3390,R$1,'United Data'!$C$3:$C$3390,$A1212,'United Data'!$B$3:$B$3390,"&lt;&gt;Off-street")&gt;0,1,0)</f>
        <v>0</v>
      </c>
      <c r="S1212">
        <f t="shared" si="36"/>
        <v>1</v>
      </c>
      <c r="T1212">
        <f t="shared" si="37"/>
        <v>1</v>
      </c>
    </row>
    <row r="1213" spans="1:20" x14ac:dyDescent="0.2">
      <c r="A1213" t="s">
        <v>1440</v>
      </c>
      <c r="B1213">
        <f>IF(COUNTIFS('United Data'!$A$3:$A$3390,B$1,'United Data'!$C$3:$C$3390,$A1213,'United Data'!$B$3:$B$3390,"&lt;&gt;Off-street")&gt;0,1,0)</f>
        <v>0</v>
      </c>
      <c r="C1213">
        <f>IF(COUNTIFS('United Data'!$A$3:$A$3390,C$1,'United Data'!$C$3:$C$3390,$A1213,'United Data'!$B$3:$B$3390,"&lt;&gt;Off-street")&gt;0,1,0)</f>
        <v>0</v>
      </c>
      <c r="D1213">
        <f>IF(COUNTIFS('United Data'!$A$3:$A$3390,D$1,'United Data'!$C$3:$C$3390,$A1213,'United Data'!$B$3:$B$3390,"&lt;&gt;Off-street")&gt;0,1,0)</f>
        <v>0</v>
      </c>
      <c r="E1213">
        <f>IF(COUNTIFS('United Data'!$A$3:$A$3390,E$1,'United Data'!$C$3:$C$3390,$A1213,'United Data'!$B$3:$B$3390,"&lt;&gt;Off-street")&gt;0,1,0)</f>
        <v>0</v>
      </c>
      <c r="F1213">
        <f>IF(COUNTIFS('United Data'!$A$3:$A$3390,F$1,'United Data'!$C$3:$C$3390,$A1213,'United Data'!$B$3:$B$3390,"&lt;&gt;Off-street")&gt;0,1,0)</f>
        <v>0</v>
      </c>
      <c r="G1213">
        <f>IF(COUNTIFS('United Data'!$A$3:$A$3390,G$1,'United Data'!$C$3:$C$3390,$A1213,'United Data'!$B$3:$B$3390,"&lt;&gt;Off-street")&gt;0,1,0)</f>
        <v>0</v>
      </c>
      <c r="H1213">
        <f>IF(COUNTIFS('United Data'!$A$3:$A$3390,H$1,'United Data'!$C$3:$C$3390,$A1213,'United Data'!$B$3:$B$3390,"&lt;&gt;Off-street")&gt;0,1,0)</f>
        <v>0</v>
      </c>
      <c r="I1213">
        <f>IF(COUNTIFS('United Data'!$A$3:$A$3390,I$1,'United Data'!$C$3:$C$3390,$A1213,'United Data'!$B$3:$B$3390,"&lt;&gt;Off-street")&gt;0,1,0)</f>
        <v>0</v>
      </c>
      <c r="J1213">
        <f>IF(COUNTIFS('United Data'!$A$3:$A$3390,J$1,'United Data'!$C$3:$C$3390,$A1213,'United Data'!$B$3:$B$3390,"&lt;&gt;Off-street")&gt;0,1,0)</f>
        <v>0</v>
      </c>
      <c r="K1213">
        <f>IF(COUNTIFS('United Data'!$A$3:$A$3390,K$1,'United Data'!$C$3:$C$3390,$A1213,'United Data'!$B$3:$B$3390,"&lt;&gt;Off-street")&gt;0,1,0)</f>
        <v>0</v>
      </c>
      <c r="L1213">
        <f>IF(COUNTIFS('United Data'!$A$3:$A$3390,L$1,'United Data'!$C$3:$C$3390,$A1213,'United Data'!$B$3:$B$3390,"&lt;&gt;Off-street")&gt;0,1,0)</f>
        <v>0</v>
      </c>
      <c r="M1213">
        <f>IF(COUNTIFS('United Data'!$A$3:$A$3390,M$1,'United Data'!$C$3:$C$3390,$A1213,'United Data'!$B$3:$B$3390,"&lt;&gt;Off-street")&gt;0,1,0)</f>
        <v>0</v>
      </c>
      <c r="N1213">
        <f>IF(COUNTIFS('United Data'!$A$3:$A$3390,N$1,'United Data'!$C$3:$C$3390,$A1213,'United Data'!$B$3:$B$3390,"&lt;&gt;Off-street")&gt;0,1,0)</f>
        <v>0</v>
      </c>
      <c r="O1213">
        <f>IF(COUNTIFS('United Data'!$A$3:$A$3390,O$1,'United Data'!$C$3:$C$3390,$A1213,'United Data'!$B$3:$B$3390,"&lt;&gt;Off-street")&gt;0,1,0)</f>
        <v>0</v>
      </c>
      <c r="P1213">
        <f>IF(COUNTIFS('United Data'!$A$3:$A$3390,P$1,'United Data'!$C$3:$C$3390,$A1213,'United Data'!$B$3:$B$3390,"&lt;&gt;Off-street")&gt;0,1,0)</f>
        <v>0</v>
      </c>
      <c r="Q1213">
        <f>IF(COUNTIFS('United Data'!$A$3:$A$3390,Q$1,'United Data'!$C$3:$C$3390,$A1213,'United Data'!$B$3:$B$3390,"&lt;&gt;Off-street")&gt;0,1,0)</f>
        <v>1</v>
      </c>
      <c r="R1213">
        <f>IF(COUNTIFS('United Data'!$A$3:$A$3390,R$1,'United Data'!$C$3:$C$3390,$A1213,'United Data'!$B$3:$B$3390,"&lt;&gt;Off-street")&gt;0,1,0)</f>
        <v>0</v>
      </c>
      <c r="S1213">
        <f t="shared" si="36"/>
        <v>1</v>
      </c>
      <c r="T1213">
        <f t="shared" si="37"/>
        <v>1</v>
      </c>
    </row>
    <row r="1214" spans="1:20" x14ac:dyDescent="0.2">
      <c r="A1214" t="s">
        <v>1441</v>
      </c>
      <c r="B1214">
        <f>IF(COUNTIFS('United Data'!$A$3:$A$3390,B$1,'United Data'!$C$3:$C$3390,$A1214,'United Data'!$B$3:$B$3390,"&lt;&gt;Off-street")&gt;0,1,0)</f>
        <v>0</v>
      </c>
      <c r="C1214">
        <f>IF(COUNTIFS('United Data'!$A$3:$A$3390,C$1,'United Data'!$C$3:$C$3390,$A1214,'United Data'!$B$3:$B$3390,"&lt;&gt;Off-street")&gt;0,1,0)</f>
        <v>0</v>
      </c>
      <c r="D1214">
        <f>IF(COUNTIFS('United Data'!$A$3:$A$3390,D$1,'United Data'!$C$3:$C$3390,$A1214,'United Data'!$B$3:$B$3390,"&lt;&gt;Off-street")&gt;0,1,0)</f>
        <v>0</v>
      </c>
      <c r="E1214">
        <f>IF(COUNTIFS('United Data'!$A$3:$A$3390,E$1,'United Data'!$C$3:$C$3390,$A1214,'United Data'!$B$3:$B$3390,"&lt;&gt;Off-street")&gt;0,1,0)</f>
        <v>0</v>
      </c>
      <c r="F1214">
        <f>IF(COUNTIFS('United Data'!$A$3:$A$3390,F$1,'United Data'!$C$3:$C$3390,$A1214,'United Data'!$B$3:$B$3390,"&lt;&gt;Off-street")&gt;0,1,0)</f>
        <v>0</v>
      </c>
      <c r="G1214">
        <f>IF(COUNTIFS('United Data'!$A$3:$A$3390,G$1,'United Data'!$C$3:$C$3390,$A1214,'United Data'!$B$3:$B$3390,"&lt;&gt;Off-street")&gt;0,1,0)</f>
        <v>0</v>
      </c>
      <c r="H1214">
        <f>IF(COUNTIFS('United Data'!$A$3:$A$3390,H$1,'United Data'!$C$3:$C$3390,$A1214,'United Data'!$B$3:$B$3390,"&lt;&gt;Off-street")&gt;0,1,0)</f>
        <v>0</v>
      </c>
      <c r="I1214">
        <f>IF(COUNTIFS('United Data'!$A$3:$A$3390,I$1,'United Data'!$C$3:$C$3390,$A1214,'United Data'!$B$3:$B$3390,"&lt;&gt;Off-street")&gt;0,1,0)</f>
        <v>0</v>
      </c>
      <c r="J1214">
        <f>IF(COUNTIFS('United Data'!$A$3:$A$3390,J$1,'United Data'!$C$3:$C$3390,$A1214,'United Data'!$B$3:$B$3390,"&lt;&gt;Off-street")&gt;0,1,0)</f>
        <v>0</v>
      </c>
      <c r="K1214">
        <f>IF(COUNTIFS('United Data'!$A$3:$A$3390,K$1,'United Data'!$C$3:$C$3390,$A1214,'United Data'!$B$3:$B$3390,"&lt;&gt;Off-street")&gt;0,1,0)</f>
        <v>0</v>
      </c>
      <c r="L1214">
        <f>IF(COUNTIFS('United Data'!$A$3:$A$3390,L$1,'United Data'!$C$3:$C$3390,$A1214,'United Data'!$B$3:$B$3390,"&lt;&gt;Off-street")&gt;0,1,0)</f>
        <v>0</v>
      </c>
      <c r="M1214">
        <f>IF(COUNTIFS('United Data'!$A$3:$A$3390,M$1,'United Data'!$C$3:$C$3390,$A1214,'United Data'!$B$3:$B$3390,"&lt;&gt;Off-street")&gt;0,1,0)</f>
        <v>0</v>
      </c>
      <c r="N1214">
        <f>IF(COUNTIFS('United Data'!$A$3:$A$3390,N$1,'United Data'!$C$3:$C$3390,$A1214,'United Data'!$B$3:$B$3390,"&lt;&gt;Off-street")&gt;0,1,0)</f>
        <v>0</v>
      </c>
      <c r="O1214">
        <f>IF(COUNTIFS('United Data'!$A$3:$A$3390,O$1,'United Data'!$C$3:$C$3390,$A1214,'United Data'!$B$3:$B$3390,"&lt;&gt;Off-street")&gt;0,1,0)</f>
        <v>0</v>
      </c>
      <c r="P1214">
        <f>IF(COUNTIFS('United Data'!$A$3:$A$3390,P$1,'United Data'!$C$3:$C$3390,$A1214,'United Data'!$B$3:$B$3390,"&lt;&gt;Off-street")&gt;0,1,0)</f>
        <v>0</v>
      </c>
      <c r="Q1214">
        <f>IF(COUNTIFS('United Data'!$A$3:$A$3390,Q$1,'United Data'!$C$3:$C$3390,$A1214,'United Data'!$B$3:$B$3390,"&lt;&gt;Off-street")&gt;0,1,0)</f>
        <v>1</v>
      </c>
      <c r="R1214">
        <f>IF(COUNTIFS('United Data'!$A$3:$A$3390,R$1,'United Data'!$C$3:$C$3390,$A1214,'United Data'!$B$3:$B$3390,"&lt;&gt;Off-street")&gt;0,1,0)</f>
        <v>0</v>
      </c>
      <c r="S1214">
        <f t="shared" si="36"/>
        <v>1</v>
      </c>
      <c r="T1214">
        <f t="shared" si="37"/>
        <v>1</v>
      </c>
    </row>
    <row r="1215" spans="1:20" x14ac:dyDescent="0.2">
      <c r="A1215" t="s">
        <v>1443</v>
      </c>
      <c r="B1215">
        <f>IF(COUNTIFS('United Data'!$A$3:$A$3390,B$1,'United Data'!$C$3:$C$3390,$A1215,'United Data'!$B$3:$B$3390,"&lt;&gt;Off-street")&gt;0,1,0)</f>
        <v>1</v>
      </c>
      <c r="C1215">
        <f>IF(COUNTIFS('United Data'!$A$3:$A$3390,C$1,'United Data'!$C$3:$C$3390,$A1215,'United Data'!$B$3:$B$3390,"&lt;&gt;Off-street")&gt;0,1,0)</f>
        <v>0</v>
      </c>
      <c r="D1215">
        <f>IF(COUNTIFS('United Data'!$A$3:$A$3390,D$1,'United Data'!$C$3:$C$3390,$A1215,'United Data'!$B$3:$B$3390,"&lt;&gt;Off-street")&gt;0,1,0)</f>
        <v>0</v>
      </c>
      <c r="E1215">
        <f>IF(COUNTIFS('United Data'!$A$3:$A$3390,E$1,'United Data'!$C$3:$C$3390,$A1215,'United Data'!$B$3:$B$3390,"&lt;&gt;Off-street")&gt;0,1,0)</f>
        <v>0</v>
      </c>
      <c r="F1215">
        <f>IF(COUNTIFS('United Data'!$A$3:$A$3390,F$1,'United Data'!$C$3:$C$3390,$A1215,'United Data'!$B$3:$B$3390,"&lt;&gt;Off-street")&gt;0,1,0)</f>
        <v>0</v>
      </c>
      <c r="G1215">
        <f>IF(COUNTIFS('United Data'!$A$3:$A$3390,G$1,'United Data'!$C$3:$C$3390,$A1215,'United Data'!$B$3:$B$3390,"&lt;&gt;Off-street")&gt;0,1,0)</f>
        <v>0</v>
      </c>
      <c r="H1215">
        <f>IF(COUNTIFS('United Data'!$A$3:$A$3390,H$1,'United Data'!$C$3:$C$3390,$A1215,'United Data'!$B$3:$B$3390,"&lt;&gt;Off-street")&gt;0,1,0)</f>
        <v>0</v>
      </c>
      <c r="I1215">
        <f>IF(COUNTIFS('United Data'!$A$3:$A$3390,I$1,'United Data'!$C$3:$C$3390,$A1215,'United Data'!$B$3:$B$3390,"&lt;&gt;Off-street")&gt;0,1,0)</f>
        <v>0</v>
      </c>
      <c r="J1215">
        <f>IF(COUNTIFS('United Data'!$A$3:$A$3390,J$1,'United Data'!$C$3:$C$3390,$A1215,'United Data'!$B$3:$B$3390,"&lt;&gt;Off-street")&gt;0,1,0)</f>
        <v>0</v>
      </c>
      <c r="K1215">
        <f>IF(COUNTIFS('United Data'!$A$3:$A$3390,K$1,'United Data'!$C$3:$C$3390,$A1215,'United Data'!$B$3:$B$3390,"&lt;&gt;Off-street")&gt;0,1,0)</f>
        <v>0</v>
      </c>
      <c r="L1215">
        <f>IF(COUNTIFS('United Data'!$A$3:$A$3390,L$1,'United Data'!$C$3:$C$3390,$A1215,'United Data'!$B$3:$B$3390,"&lt;&gt;Off-street")&gt;0,1,0)</f>
        <v>0</v>
      </c>
      <c r="M1215">
        <f>IF(COUNTIFS('United Data'!$A$3:$A$3390,M$1,'United Data'!$C$3:$C$3390,$A1215,'United Data'!$B$3:$B$3390,"&lt;&gt;Off-street")&gt;0,1,0)</f>
        <v>0</v>
      </c>
      <c r="N1215">
        <f>IF(COUNTIFS('United Data'!$A$3:$A$3390,N$1,'United Data'!$C$3:$C$3390,$A1215,'United Data'!$B$3:$B$3390,"&lt;&gt;Off-street")&gt;0,1,0)</f>
        <v>0</v>
      </c>
      <c r="O1215">
        <f>IF(COUNTIFS('United Data'!$A$3:$A$3390,O$1,'United Data'!$C$3:$C$3390,$A1215,'United Data'!$B$3:$B$3390,"&lt;&gt;Off-street")&gt;0,1,0)</f>
        <v>0</v>
      </c>
      <c r="P1215">
        <f>IF(COUNTIFS('United Data'!$A$3:$A$3390,P$1,'United Data'!$C$3:$C$3390,$A1215,'United Data'!$B$3:$B$3390,"&lt;&gt;Off-street")&gt;0,1,0)</f>
        <v>0</v>
      </c>
      <c r="Q1215">
        <f>IF(COUNTIFS('United Data'!$A$3:$A$3390,Q$1,'United Data'!$C$3:$C$3390,$A1215,'United Data'!$B$3:$B$3390,"&lt;&gt;Off-street")&gt;0,1,0)</f>
        <v>0</v>
      </c>
      <c r="R1215">
        <f>IF(COUNTIFS('United Data'!$A$3:$A$3390,R$1,'United Data'!$C$3:$C$3390,$A1215,'United Data'!$B$3:$B$3390,"&lt;&gt;Off-street")&gt;0,1,0)</f>
        <v>0</v>
      </c>
      <c r="S1215">
        <f t="shared" si="36"/>
        <v>1</v>
      </c>
      <c r="T1215">
        <f t="shared" si="37"/>
        <v>1</v>
      </c>
    </row>
    <row r="1216" spans="1:20" x14ac:dyDescent="0.2">
      <c r="A1216" t="s">
        <v>1444</v>
      </c>
      <c r="B1216">
        <f>IF(COUNTIFS('United Data'!$A$3:$A$3390,B$1,'United Data'!$C$3:$C$3390,$A1216,'United Data'!$B$3:$B$3390,"&lt;&gt;Off-street")&gt;0,1,0)</f>
        <v>0</v>
      </c>
      <c r="C1216">
        <f>IF(COUNTIFS('United Data'!$A$3:$A$3390,C$1,'United Data'!$C$3:$C$3390,$A1216,'United Data'!$B$3:$B$3390,"&lt;&gt;Off-street")&gt;0,1,0)</f>
        <v>1</v>
      </c>
      <c r="D1216">
        <f>IF(COUNTIFS('United Data'!$A$3:$A$3390,D$1,'United Data'!$C$3:$C$3390,$A1216,'United Data'!$B$3:$B$3390,"&lt;&gt;Off-street")&gt;0,1,0)</f>
        <v>0</v>
      </c>
      <c r="E1216">
        <f>IF(COUNTIFS('United Data'!$A$3:$A$3390,E$1,'United Data'!$C$3:$C$3390,$A1216,'United Data'!$B$3:$B$3390,"&lt;&gt;Off-street")&gt;0,1,0)</f>
        <v>0</v>
      </c>
      <c r="F1216">
        <f>IF(COUNTIFS('United Data'!$A$3:$A$3390,F$1,'United Data'!$C$3:$C$3390,$A1216,'United Data'!$B$3:$B$3390,"&lt;&gt;Off-street")&gt;0,1,0)</f>
        <v>0</v>
      </c>
      <c r="G1216">
        <f>IF(COUNTIFS('United Data'!$A$3:$A$3390,G$1,'United Data'!$C$3:$C$3390,$A1216,'United Data'!$B$3:$B$3390,"&lt;&gt;Off-street")&gt;0,1,0)</f>
        <v>0</v>
      </c>
      <c r="H1216">
        <f>IF(COUNTIFS('United Data'!$A$3:$A$3390,H$1,'United Data'!$C$3:$C$3390,$A1216,'United Data'!$B$3:$B$3390,"&lt;&gt;Off-street")&gt;0,1,0)</f>
        <v>0</v>
      </c>
      <c r="I1216">
        <f>IF(COUNTIFS('United Data'!$A$3:$A$3390,I$1,'United Data'!$C$3:$C$3390,$A1216,'United Data'!$B$3:$B$3390,"&lt;&gt;Off-street")&gt;0,1,0)</f>
        <v>0</v>
      </c>
      <c r="J1216">
        <f>IF(COUNTIFS('United Data'!$A$3:$A$3390,J$1,'United Data'!$C$3:$C$3390,$A1216,'United Data'!$B$3:$B$3390,"&lt;&gt;Off-street")&gt;0,1,0)</f>
        <v>0</v>
      </c>
      <c r="K1216">
        <f>IF(COUNTIFS('United Data'!$A$3:$A$3390,K$1,'United Data'!$C$3:$C$3390,$A1216,'United Data'!$B$3:$B$3390,"&lt;&gt;Off-street")&gt;0,1,0)</f>
        <v>0</v>
      </c>
      <c r="L1216">
        <f>IF(COUNTIFS('United Data'!$A$3:$A$3390,L$1,'United Data'!$C$3:$C$3390,$A1216,'United Data'!$B$3:$B$3390,"&lt;&gt;Off-street")&gt;0,1,0)</f>
        <v>0</v>
      </c>
      <c r="M1216">
        <f>IF(COUNTIFS('United Data'!$A$3:$A$3390,M$1,'United Data'!$C$3:$C$3390,$A1216,'United Data'!$B$3:$B$3390,"&lt;&gt;Off-street")&gt;0,1,0)</f>
        <v>0</v>
      </c>
      <c r="N1216">
        <f>IF(COUNTIFS('United Data'!$A$3:$A$3390,N$1,'United Data'!$C$3:$C$3390,$A1216,'United Data'!$B$3:$B$3390,"&lt;&gt;Off-street")&gt;0,1,0)</f>
        <v>0</v>
      </c>
      <c r="O1216">
        <f>IF(COUNTIFS('United Data'!$A$3:$A$3390,O$1,'United Data'!$C$3:$C$3390,$A1216,'United Data'!$B$3:$B$3390,"&lt;&gt;Off-street")&gt;0,1,0)</f>
        <v>0</v>
      </c>
      <c r="P1216">
        <f>IF(COUNTIFS('United Data'!$A$3:$A$3390,P$1,'United Data'!$C$3:$C$3390,$A1216,'United Data'!$B$3:$B$3390,"&lt;&gt;Off-street")&gt;0,1,0)</f>
        <v>0</v>
      </c>
      <c r="Q1216">
        <f>IF(COUNTIFS('United Data'!$A$3:$A$3390,Q$1,'United Data'!$C$3:$C$3390,$A1216,'United Data'!$B$3:$B$3390,"&lt;&gt;Off-street")&gt;0,1,0)</f>
        <v>0</v>
      </c>
      <c r="R1216">
        <f>IF(COUNTIFS('United Data'!$A$3:$A$3390,R$1,'United Data'!$C$3:$C$3390,$A1216,'United Data'!$B$3:$B$3390,"&lt;&gt;Off-street")&gt;0,1,0)</f>
        <v>0</v>
      </c>
      <c r="S1216">
        <f t="shared" si="36"/>
        <v>1</v>
      </c>
      <c r="T1216">
        <f t="shared" si="37"/>
        <v>1</v>
      </c>
    </row>
    <row r="1217" spans="1:20" x14ac:dyDescent="0.2">
      <c r="A1217" t="s">
        <v>1447</v>
      </c>
      <c r="B1217">
        <f>IF(COUNTIFS('United Data'!$A$3:$A$3390,B$1,'United Data'!$C$3:$C$3390,$A1217,'United Data'!$B$3:$B$3390,"&lt;&gt;Off-street")&gt;0,1,0)</f>
        <v>0</v>
      </c>
      <c r="C1217">
        <f>IF(COUNTIFS('United Data'!$A$3:$A$3390,C$1,'United Data'!$C$3:$C$3390,$A1217,'United Data'!$B$3:$B$3390,"&lt;&gt;Off-street")&gt;0,1,0)</f>
        <v>0</v>
      </c>
      <c r="D1217">
        <f>IF(COUNTIFS('United Data'!$A$3:$A$3390,D$1,'United Data'!$C$3:$C$3390,$A1217,'United Data'!$B$3:$B$3390,"&lt;&gt;Off-street")&gt;0,1,0)</f>
        <v>0</v>
      </c>
      <c r="E1217">
        <f>IF(COUNTIFS('United Data'!$A$3:$A$3390,E$1,'United Data'!$C$3:$C$3390,$A1217,'United Data'!$B$3:$B$3390,"&lt;&gt;Off-street")&gt;0,1,0)</f>
        <v>1</v>
      </c>
      <c r="F1217">
        <f>IF(COUNTIFS('United Data'!$A$3:$A$3390,F$1,'United Data'!$C$3:$C$3390,$A1217,'United Data'!$B$3:$B$3390,"&lt;&gt;Off-street")&gt;0,1,0)</f>
        <v>0</v>
      </c>
      <c r="G1217">
        <f>IF(COUNTIFS('United Data'!$A$3:$A$3390,G$1,'United Data'!$C$3:$C$3390,$A1217,'United Data'!$B$3:$B$3390,"&lt;&gt;Off-street")&gt;0,1,0)</f>
        <v>1</v>
      </c>
      <c r="H1217">
        <f>IF(COUNTIFS('United Data'!$A$3:$A$3390,H$1,'United Data'!$C$3:$C$3390,$A1217,'United Data'!$B$3:$B$3390,"&lt;&gt;Off-street")&gt;0,1,0)</f>
        <v>1</v>
      </c>
      <c r="I1217">
        <f>IF(COUNTIFS('United Data'!$A$3:$A$3390,I$1,'United Data'!$C$3:$C$3390,$A1217,'United Data'!$B$3:$B$3390,"&lt;&gt;Off-street")&gt;0,1,0)</f>
        <v>0</v>
      </c>
      <c r="J1217">
        <f>IF(COUNTIFS('United Data'!$A$3:$A$3390,J$1,'United Data'!$C$3:$C$3390,$A1217,'United Data'!$B$3:$B$3390,"&lt;&gt;Off-street")&gt;0,1,0)</f>
        <v>0</v>
      </c>
      <c r="K1217">
        <f>IF(COUNTIFS('United Data'!$A$3:$A$3390,K$1,'United Data'!$C$3:$C$3390,$A1217,'United Data'!$B$3:$B$3390,"&lt;&gt;Off-street")&gt;0,1,0)</f>
        <v>0</v>
      </c>
      <c r="L1217">
        <f>IF(COUNTIFS('United Data'!$A$3:$A$3390,L$1,'United Data'!$C$3:$C$3390,$A1217,'United Data'!$B$3:$B$3390,"&lt;&gt;Off-street")&gt;0,1,0)</f>
        <v>1</v>
      </c>
      <c r="M1217">
        <f>IF(COUNTIFS('United Data'!$A$3:$A$3390,M$1,'United Data'!$C$3:$C$3390,$A1217,'United Data'!$B$3:$B$3390,"&lt;&gt;Off-street")&gt;0,1,0)</f>
        <v>0</v>
      </c>
      <c r="N1217">
        <f>IF(COUNTIFS('United Data'!$A$3:$A$3390,N$1,'United Data'!$C$3:$C$3390,$A1217,'United Data'!$B$3:$B$3390,"&lt;&gt;Off-street")&gt;0,1,0)</f>
        <v>0</v>
      </c>
      <c r="O1217">
        <f>IF(COUNTIFS('United Data'!$A$3:$A$3390,O$1,'United Data'!$C$3:$C$3390,$A1217,'United Data'!$B$3:$B$3390,"&lt;&gt;Off-street")&gt;0,1,0)</f>
        <v>1</v>
      </c>
      <c r="P1217">
        <f>IF(COUNTIFS('United Data'!$A$3:$A$3390,P$1,'United Data'!$C$3:$C$3390,$A1217,'United Data'!$B$3:$B$3390,"&lt;&gt;Off-street")&gt;0,1,0)</f>
        <v>1</v>
      </c>
      <c r="Q1217">
        <f>IF(COUNTIFS('United Data'!$A$3:$A$3390,Q$1,'United Data'!$C$3:$C$3390,$A1217,'United Data'!$B$3:$B$3390,"&lt;&gt;Off-street")&gt;0,1,0)</f>
        <v>0</v>
      </c>
      <c r="R1217">
        <f>IF(COUNTIFS('United Data'!$A$3:$A$3390,R$1,'United Data'!$C$3:$C$3390,$A1217,'United Data'!$B$3:$B$3390,"&lt;&gt;Off-street")&gt;0,1,0)</f>
        <v>0</v>
      </c>
      <c r="S1217">
        <f t="shared" si="36"/>
        <v>6</v>
      </c>
      <c r="T1217">
        <f t="shared" si="37"/>
        <v>4</v>
      </c>
    </row>
    <row r="1218" spans="1:20" x14ac:dyDescent="0.2">
      <c r="A1218" t="s">
        <v>1448</v>
      </c>
      <c r="B1218">
        <f>IF(COUNTIFS('United Data'!$A$3:$A$3390,B$1,'United Data'!$C$3:$C$3390,$A1218,'United Data'!$B$3:$B$3390,"&lt;&gt;Off-street")&gt;0,1,0)</f>
        <v>0</v>
      </c>
      <c r="C1218">
        <f>IF(COUNTIFS('United Data'!$A$3:$A$3390,C$1,'United Data'!$C$3:$C$3390,$A1218,'United Data'!$B$3:$B$3390,"&lt;&gt;Off-street")&gt;0,1,0)</f>
        <v>0</v>
      </c>
      <c r="D1218">
        <f>IF(COUNTIFS('United Data'!$A$3:$A$3390,D$1,'United Data'!$C$3:$C$3390,$A1218,'United Data'!$B$3:$B$3390,"&lt;&gt;Off-street")&gt;0,1,0)</f>
        <v>0</v>
      </c>
      <c r="E1218">
        <f>IF(COUNTIFS('United Data'!$A$3:$A$3390,E$1,'United Data'!$C$3:$C$3390,$A1218,'United Data'!$B$3:$B$3390,"&lt;&gt;Off-street")&gt;0,1,0)</f>
        <v>1</v>
      </c>
      <c r="F1218">
        <f>IF(COUNTIFS('United Data'!$A$3:$A$3390,F$1,'United Data'!$C$3:$C$3390,$A1218,'United Data'!$B$3:$B$3390,"&lt;&gt;Off-street")&gt;0,1,0)</f>
        <v>0</v>
      </c>
      <c r="G1218">
        <f>IF(COUNTIFS('United Data'!$A$3:$A$3390,G$1,'United Data'!$C$3:$C$3390,$A1218,'United Data'!$B$3:$B$3390,"&lt;&gt;Off-street")&gt;0,1,0)</f>
        <v>0</v>
      </c>
      <c r="H1218">
        <f>IF(COUNTIFS('United Data'!$A$3:$A$3390,H$1,'United Data'!$C$3:$C$3390,$A1218,'United Data'!$B$3:$B$3390,"&lt;&gt;Off-street")&gt;0,1,0)</f>
        <v>0</v>
      </c>
      <c r="I1218">
        <f>IF(COUNTIFS('United Data'!$A$3:$A$3390,I$1,'United Data'!$C$3:$C$3390,$A1218,'United Data'!$B$3:$B$3390,"&lt;&gt;Off-street")&gt;0,1,0)</f>
        <v>0</v>
      </c>
      <c r="J1218">
        <f>IF(COUNTIFS('United Data'!$A$3:$A$3390,J$1,'United Data'!$C$3:$C$3390,$A1218,'United Data'!$B$3:$B$3390,"&lt;&gt;Off-street")&gt;0,1,0)</f>
        <v>0</v>
      </c>
      <c r="K1218">
        <f>IF(COUNTIFS('United Data'!$A$3:$A$3390,K$1,'United Data'!$C$3:$C$3390,$A1218,'United Data'!$B$3:$B$3390,"&lt;&gt;Off-street")&gt;0,1,0)</f>
        <v>0</v>
      </c>
      <c r="L1218">
        <f>IF(COUNTIFS('United Data'!$A$3:$A$3390,L$1,'United Data'!$C$3:$C$3390,$A1218,'United Data'!$B$3:$B$3390,"&lt;&gt;Off-street")&gt;0,1,0)</f>
        <v>0</v>
      </c>
      <c r="M1218">
        <f>IF(COUNTIFS('United Data'!$A$3:$A$3390,M$1,'United Data'!$C$3:$C$3390,$A1218,'United Data'!$B$3:$B$3390,"&lt;&gt;Off-street")&gt;0,1,0)</f>
        <v>0</v>
      </c>
      <c r="N1218">
        <f>IF(COUNTIFS('United Data'!$A$3:$A$3390,N$1,'United Data'!$C$3:$C$3390,$A1218,'United Data'!$B$3:$B$3390,"&lt;&gt;Off-street")&gt;0,1,0)</f>
        <v>0</v>
      </c>
      <c r="O1218">
        <f>IF(COUNTIFS('United Data'!$A$3:$A$3390,O$1,'United Data'!$C$3:$C$3390,$A1218,'United Data'!$B$3:$B$3390,"&lt;&gt;Off-street")&gt;0,1,0)</f>
        <v>0</v>
      </c>
      <c r="P1218">
        <f>IF(COUNTIFS('United Data'!$A$3:$A$3390,P$1,'United Data'!$C$3:$C$3390,$A1218,'United Data'!$B$3:$B$3390,"&lt;&gt;Off-street")&gt;0,1,0)</f>
        <v>0</v>
      </c>
      <c r="Q1218">
        <f>IF(COUNTIFS('United Data'!$A$3:$A$3390,Q$1,'United Data'!$C$3:$C$3390,$A1218,'United Data'!$B$3:$B$3390,"&lt;&gt;Off-street")&gt;0,1,0)</f>
        <v>0</v>
      </c>
      <c r="R1218">
        <f>IF(COUNTIFS('United Data'!$A$3:$A$3390,R$1,'United Data'!$C$3:$C$3390,$A1218,'United Data'!$B$3:$B$3390,"&lt;&gt;Off-street")&gt;0,1,0)</f>
        <v>0</v>
      </c>
      <c r="S1218">
        <f t="shared" ref="S1218:S1281" si="38">SUM(B1218:R1218)</f>
        <v>1</v>
      </c>
      <c r="T1218">
        <f t="shared" ref="T1218:T1281" si="39">B1218+SUMPRODUCT(--(C1218:R1218&gt;B1218:Q1218))</f>
        <v>1</v>
      </c>
    </row>
    <row r="1219" spans="1:20" x14ac:dyDescent="0.2">
      <c r="A1219" t="s">
        <v>1449</v>
      </c>
      <c r="B1219">
        <f>IF(COUNTIFS('United Data'!$A$3:$A$3390,B$1,'United Data'!$C$3:$C$3390,$A1219,'United Data'!$B$3:$B$3390,"&lt;&gt;Off-street")&gt;0,1,0)</f>
        <v>0</v>
      </c>
      <c r="C1219">
        <f>IF(COUNTIFS('United Data'!$A$3:$A$3390,C$1,'United Data'!$C$3:$C$3390,$A1219,'United Data'!$B$3:$B$3390,"&lt;&gt;Off-street")&gt;0,1,0)</f>
        <v>0</v>
      </c>
      <c r="D1219">
        <f>IF(COUNTIFS('United Data'!$A$3:$A$3390,D$1,'United Data'!$C$3:$C$3390,$A1219,'United Data'!$B$3:$B$3390,"&lt;&gt;Off-street")&gt;0,1,0)</f>
        <v>0</v>
      </c>
      <c r="E1219">
        <f>IF(COUNTIFS('United Data'!$A$3:$A$3390,E$1,'United Data'!$C$3:$C$3390,$A1219,'United Data'!$B$3:$B$3390,"&lt;&gt;Off-street")&gt;0,1,0)</f>
        <v>1</v>
      </c>
      <c r="F1219">
        <f>IF(COUNTIFS('United Data'!$A$3:$A$3390,F$1,'United Data'!$C$3:$C$3390,$A1219,'United Data'!$B$3:$B$3390,"&lt;&gt;Off-street")&gt;0,1,0)</f>
        <v>1</v>
      </c>
      <c r="G1219">
        <f>IF(COUNTIFS('United Data'!$A$3:$A$3390,G$1,'United Data'!$C$3:$C$3390,$A1219,'United Data'!$B$3:$B$3390,"&lt;&gt;Off-street")&gt;0,1,0)</f>
        <v>1</v>
      </c>
      <c r="H1219">
        <f>IF(COUNTIFS('United Data'!$A$3:$A$3390,H$1,'United Data'!$C$3:$C$3390,$A1219,'United Data'!$B$3:$B$3390,"&lt;&gt;Off-street")&gt;0,1,0)</f>
        <v>0</v>
      </c>
      <c r="I1219">
        <f>IF(COUNTIFS('United Data'!$A$3:$A$3390,I$1,'United Data'!$C$3:$C$3390,$A1219,'United Data'!$B$3:$B$3390,"&lt;&gt;Off-street")&gt;0,1,0)</f>
        <v>0</v>
      </c>
      <c r="J1219">
        <f>IF(COUNTIFS('United Data'!$A$3:$A$3390,J$1,'United Data'!$C$3:$C$3390,$A1219,'United Data'!$B$3:$B$3390,"&lt;&gt;Off-street")&gt;0,1,0)</f>
        <v>1</v>
      </c>
      <c r="K1219">
        <f>IF(COUNTIFS('United Data'!$A$3:$A$3390,K$1,'United Data'!$C$3:$C$3390,$A1219,'United Data'!$B$3:$B$3390,"&lt;&gt;Off-street")&gt;0,1,0)</f>
        <v>0</v>
      </c>
      <c r="L1219">
        <f>IF(COUNTIFS('United Data'!$A$3:$A$3390,L$1,'United Data'!$C$3:$C$3390,$A1219,'United Data'!$B$3:$B$3390,"&lt;&gt;Off-street")&gt;0,1,0)</f>
        <v>1</v>
      </c>
      <c r="M1219">
        <f>IF(COUNTIFS('United Data'!$A$3:$A$3390,M$1,'United Data'!$C$3:$C$3390,$A1219,'United Data'!$B$3:$B$3390,"&lt;&gt;Off-street")&gt;0,1,0)</f>
        <v>0</v>
      </c>
      <c r="N1219">
        <f>IF(COUNTIFS('United Data'!$A$3:$A$3390,N$1,'United Data'!$C$3:$C$3390,$A1219,'United Data'!$B$3:$B$3390,"&lt;&gt;Off-street")&gt;0,1,0)</f>
        <v>0</v>
      </c>
      <c r="O1219">
        <f>IF(COUNTIFS('United Data'!$A$3:$A$3390,O$1,'United Data'!$C$3:$C$3390,$A1219,'United Data'!$B$3:$B$3390,"&lt;&gt;Off-street")&gt;0,1,0)</f>
        <v>0</v>
      </c>
      <c r="P1219">
        <f>IF(COUNTIFS('United Data'!$A$3:$A$3390,P$1,'United Data'!$C$3:$C$3390,$A1219,'United Data'!$B$3:$B$3390,"&lt;&gt;Off-street")&gt;0,1,0)</f>
        <v>0</v>
      </c>
      <c r="Q1219">
        <f>IF(COUNTIFS('United Data'!$A$3:$A$3390,Q$1,'United Data'!$C$3:$C$3390,$A1219,'United Data'!$B$3:$B$3390,"&lt;&gt;Off-street")&gt;0,1,0)</f>
        <v>0</v>
      </c>
      <c r="R1219">
        <f>IF(COUNTIFS('United Data'!$A$3:$A$3390,R$1,'United Data'!$C$3:$C$3390,$A1219,'United Data'!$B$3:$B$3390,"&lt;&gt;Off-street")&gt;0,1,0)</f>
        <v>0</v>
      </c>
      <c r="S1219">
        <f t="shared" si="38"/>
        <v>5</v>
      </c>
      <c r="T1219">
        <f t="shared" si="39"/>
        <v>3</v>
      </c>
    </row>
    <row r="1220" spans="1:20" x14ac:dyDescent="0.2">
      <c r="A1220" t="s">
        <v>1450</v>
      </c>
      <c r="B1220">
        <f>IF(COUNTIFS('United Data'!$A$3:$A$3390,B$1,'United Data'!$C$3:$C$3390,$A1220,'United Data'!$B$3:$B$3390,"&lt;&gt;Off-street")&gt;0,1,0)</f>
        <v>0</v>
      </c>
      <c r="C1220">
        <f>IF(COUNTIFS('United Data'!$A$3:$A$3390,C$1,'United Data'!$C$3:$C$3390,$A1220,'United Data'!$B$3:$B$3390,"&lt;&gt;Off-street")&gt;0,1,0)</f>
        <v>0</v>
      </c>
      <c r="D1220">
        <f>IF(COUNTIFS('United Data'!$A$3:$A$3390,D$1,'United Data'!$C$3:$C$3390,$A1220,'United Data'!$B$3:$B$3390,"&lt;&gt;Off-street")&gt;0,1,0)</f>
        <v>0</v>
      </c>
      <c r="E1220">
        <f>IF(COUNTIFS('United Data'!$A$3:$A$3390,E$1,'United Data'!$C$3:$C$3390,$A1220,'United Data'!$B$3:$B$3390,"&lt;&gt;Off-street")&gt;0,1,0)</f>
        <v>0</v>
      </c>
      <c r="F1220">
        <f>IF(COUNTIFS('United Data'!$A$3:$A$3390,F$1,'United Data'!$C$3:$C$3390,$A1220,'United Data'!$B$3:$B$3390,"&lt;&gt;Off-street")&gt;0,1,0)</f>
        <v>1</v>
      </c>
      <c r="G1220">
        <f>IF(COUNTIFS('United Data'!$A$3:$A$3390,G$1,'United Data'!$C$3:$C$3390,$A1220,'United Data'!$B$3:$B$3390,"&lt;&gt;Off-street")&gt;0,1,0)</f>
        <v>1</v>
      </c>
      <c r="H1220">
        <f>IF(COUNTIFS('United Data'!$A$3:$A$3390,H$1,'United Data'!$C$3:$C$3390,$A1220,'United Data'!$B$3:$B$3390,"&lt;&gt;Off-street")&gt;0,1,0)</f>
        <v>0</v>
      </c>
      <c r="I1220">
        <f>IF(COUNTIFS('United Data'!$A$3:$A$3390,I$1,'United Data'!$C$3:$C$3390,$A1220,'United Data'!$B$3:$B$3390,"&lt;&gt;Off-street")&gt;0,1,0)</f>
        <v>0</v>
      </c>
      <c r="J1220">
        <f>IF(COUNTIFS('United Data'!$A$3:$A$3390,J$1,'United Data'!$C$3:$C$3390,$A1220,'United Data'!$B$3:$B$3390,"&lt;&gt;Off-street")&gt;0,1,0)</f>
        <v>0</v>
      </c>
      <c r="K1220">
        <f>IF(COUNTIFS('United Data'!$A$3:$A$3390,K$1,'United Data'!$C$3:$C$3390,$A1220,'United Data'!$B$3:$B$3390,"&lt;&gt;Off-street")&gt;0,1,0)</f>
        <v>0</v>
      </c>
      <c r="L1220">
        <f>IF(COUNTIFS('United Data'!$A$3:$A$3390,L$1,'United Data'!$C$3:$C$3390,$A1220,'United Data'!$B$3:$B$3390,"&lt;&gt;Off-street")&gt;0,1,0)</f>
        <v>0</v>
      </c>
      <c r="M1220">
        <f>IF(COUNTIFS('United Data'!$A$3:$A$3390,M$1,'United Data'!$C$3:$C$3390,$A1220,'United Data'!$B$3:$B$3390,"&lt;&gt;Off-street")&gt;0,1,0)</f>
        <v>0</v>
      </c>
      <c r="N1220">
        <f>IF(COUNTIFS('United Data'!$A$3:$A$3390,N$1,'United Data'!$C$3:$C$3390,$A1220,'United Data'!$B$3:$B$3390,"&lt;&gt;Off-street")&gt;0,1,0)</f>
        <v>0</v>
      </c>
      <c r="O1220">
        <f>IF(COUNTIFS('United Data'!$A$3:$A$3390,O$1,'United Data'!$C$3:$C$3390,$A1220,'United Data'!$B$3:$B$3390,"&lt;&gt;Off-street")&gt;0,1,0)</f>
        <v>0</v>
      </c>
      <c r="P1220">
        <f>IF(COUNTIFS('United Data'!$A$3:$A$3390,P$1,'United Data'!$C$3:$C$3390,$A1220,'United Data'!$B$3:$B$3390,"&lt;&gt;Off-street")&gt;0,1,0)</f>
        <v>0</v>
      </c>
      <c r="Q1220">
        <f>IF(COUNTIFS('United Data'!$A$3:$A$3390,Q$1,'United Data'!$C$3:$C$3390,$A1220,'United Data'!$B$3:$B$3390,"&lt;&gt;Off-street")&gt;0,1,0)</f>
        <v>0</v>
      </c>
      <c r="R1220">
        <f>IF(COUNTIFS('United Data'!$A$3:$A$3390,R$1,'United Data'!$C$3:$C$3390,$A1220,'United Data'!$B$3:$B$3390,"&lt;&gt;Off-street")&gt;0,1,0)</f>
        <v>0</v>
      </c>
      <c r="S1220">
        <f t="shared" si="38"/>
        <v>2</v>
      </c>
      <c r="T1220">
        <f t="shared" si="39"/>
        <v>1</v>
      </c>
    </row>
    <row r="1221" spans="1:20" x14ac:dyDescent="0.2">
      <c r="A1221" t="s">
        <v>1452</v>
      </c>
      <c r="B1221">
        <f>IF(COUNTIFS('United Data'!$A$3:$A$3390,B$1,'United Data'!$C$3:$C$3390,$A1221,'United Data'!$B$3:$B$3390,"&lt;&gt;Off-street")&gt;0,1,0)</f>
        <v>0</v>
      </c>
      <c r="C1221">
        <f>IF(COUNTIFS('United Data'!$A$3:$A$3390,C$1,'United Data'!$C$3:$C$3390,$A1221,'United Data'!$B$3:$B$3390,"&lt;&gt;Off-street")&gt;0,1,0)</f>
        <v>0</v>
      </c>
      <c r="D1221">
        <f>IF(COUNTIFS('United Data'!$A$3:$A$3390,D$1,'United Data'!$C$3:$C$3390,$A1221,'United Data'!$B$3:$B$3390,"&lt;&gt;Off-street")&gt;0,1,0)</f>
        <v>0</v>
      </c>
      <c r="E1221">
        <f>IF(COUNTIFS('United Data'!$A$3:$A$3390,E$1,'United Data'!$C$3:$C$3390,$A1221,'United Data'!$B$3:$B$3390,"&lt;&gt;Off-street")&gt;0,1,0)</f>
        <v>0</v>
      </c>
      <c r="F1221">
        <f>IF(COUNTIFS('United Data'!$A$3:$A$3390,F$1,'United Data'!$C$3:$C$3390,$A1221,'United Data'!$B$3:$B$3390,"&lt;&gt;Off-street")&gt;0,1,0)</f>
        <v>0</v>
      </c>
      <c r="G1221">
        <f>IF(COUNTIFS('United Data'!$A$3:$A$3390,G$1,'United Data'!$C$3:$C$3390,$A1221,'United Data'!$B$3:$B$3390,"&lt;&gt;Off-street")&gt;0,1,0)</f>
        <v>1</v>
      </c>
      <c r="H1221">
        <f>IF(COUNTIFS('United Data'!$A$3:$A$3390,H$1,'United Data'!$C$3:$C$3390,$A1221,'United Data'!$B$3:$B$3390,"&lt;&gt;Off-street")&gt;0,1,0)</f>
        <v>0</v>
      </c>
      <c r="I1221">
        <f>IF(COUNTIFS('United Data'!$A$3:$A$3390,I$1,'United Data'!$C$3:$C$3390,$A1221,'United Data'!$B$3:$B$3390,"&lt;&gt;Off-street")&gt;0,1,0)</f>
        <v>0</v>
      </c>
      <c r="J1221">
        <f>IF(COUNTIFS('United Data'!$A$3:$A$3390,J$1,'United Data'!$C$3:$C$3390,$A1221,'United Data'!$B$3:$B$3390,"&lt;&gt;Off-street")&gt;0,1,0)</f>
        <v>0</v>
      </c>
      <c r="K1221">
        <f>IF(COUNTIFS('United Data'!$A$3:$A$3390,K$1,'United Data'!$C$3:$C$3390,$A1221,'United Data'!$B$3:$B$3390,"&lt;&gt;Off-street")&gt;0,1,0)</f>
        <v>0</v>
      </c>
      <c r="L1221">
        <f>IF(COUNTIFS('United Data'!$A$3:$A$3390,L$1,'United Data'!$C$3:$C$3390,$A1221,'United Data'!$B$3:$B$3390,"&lt;&gt;Off-street")&gt;0,1,0)</f>
        <v>0</v>
      </c>
      <c r="M1221">
        <f>IF(COUNTIFS('United Data'!$A$3:$A$3390,M$1,'United Data'!$C$3:$C$3390,$A1221,'United Data'!$B$3:$B$3390,"&lt;&gt;Off-street")&gt;0,1,0)</f>
        <v>0</v>
      </c>
      <c r="N1221">
        <f>IF(COUNTIFS('United Data'!$A$3:$A$3390,N$1,'United Data'!$C$3:$C$3390,$A1221,'United Data'!$B$3:$B$3390,"&lt;&gt;Off-street")&gt;0,1,0)</f>
        <v>0</v>
      </c>
      <c r="O1221">
        <f>IF(COUNTIFS('United Data'!$A$3:$A$3390,O$1,'United Data'!$C$3:$C$3390,$A1221,'United Data'!$B$3:$B$3390,"&lt;&gt;Off-street")&gt;0,1,0)</f>
        <v>0</v>
      </c>
      <c r="P1221">
        <f>IF(COUNTIFS('United Data'!$A$3:$A$3390,P$1,'United Data'!$C$3:$C$3390,$A1221,'United Data'!$B$3:$B$3390,"&lt;&gt;Off-street")&gt;0,1,0)</f>
        <v>0</v>
      </c>
      <c r="Q1221">
        <f>IF(COUNTIFS('United Data'!$A$3:$A$3390,Q$1,'United Data'!$C$3:$C$3390,$A1221,'United Data'!$B$3:$B$3390,"&lt;&gt;Off-street")&gt;0,1,0)</f>
        <v>0</v>
      </c>
      <c r="R1221">
        <f>IF(COUNTIFS('United Data'!$A$3:$A$3390,R$1,'United Data'!$C$3:$C$3390,$A1221,'United Data'!$B$3:$B$3390,"&lt;&gt;Off-street")&gt;0,1,0)</f>
        <v>0</v>
      </c>
      <c r="S1221">
        <f t="shared" si="38"/>
        <v>1</v>
      </c>
      <c r="T1221">
        <f t="shared" si="39"/>
        <v>1</v>
      </c>
    </row>
    <row r="1222" spans="1:20" x14ac:dyDescent="0.2">
      <c r="A1222" t="s">
        <v>1453</v>
      </c>
      <c r="B1222">
        <f>IF(COUNTIFS('United Data'!$A$3:$A$3390,B$1,'United Data'!$C$3:$C$3390,$A1222,'United Data'!$B$3:$B$3390,"&lt;&gt;Off-street")&gt;0,1,0)</f>
        <v>0</v>
      </c>
      <c r="C1222">
        <f>IF(COUNTIFS('United Data'!$A$3:$A$3390,C$1,'United Data'!$C$3:$C$3390,$A1222,'United Data'!$B$3:$B$3390,"&lt;&gt;Off-street")&gt;0,1,0)</f>
        <v>0</v>
      </c>
      <c r="D1222">
        <f>IF(COUNTIFS('United Data'!$A$3:$A$3390,D$1,'United Data'!$C$3:$C$3390,$A1222,'United Data'!$B$3:$B$3390,"&lt;&gt;Off-street")&gt;0,1,0)</f>
        <v>0</v>
      </c>
      <c r="E1222">
        <f>IF(COUNTIFS('United Data'!$A$3:$A$3390,E$1,'United Data'!$C$3:$C$3390,$A1222,'United Data'!$B$3:$B$3390,"&lt;&gt;Off-street")&gt;0,1,0)</f>
        <v>0</v>
      </c>
      <c r="F1222">
        <f>IF(COUNTIFS('United Data'!$A$3:$A$3390,F$1,'United Data'!$C$3:$C$3390,$A1222,'United Data'!$B$3:$B$3390,"&lt;&gt;Off-street")&gt;0,1,0)</f>
        <v>0</v>
      </c>
      <c r="G1222">
        <f>IF(COUNTIFS('United Data'!$A$3:$A$3390,G$1,'United Data'!$C$3:$C$3390,$A1222,'United Data'!$B$3:$B$3390,"&lt;&gt;Off-street")&gt;0,1,0)</f>
        <v>1</v>
      </c>
      <c r="H1222">
        <f>IF(COUNTIFS('United Data'!$A$3:$A$3390,H$1,'United Data'!$C$3:$C$3390,$A1222,'United Data'!$B$3:$B$3390,"&lt;&gt;Off-street")&gt;0,1,0)</f>
        <v>0</v>
      </c>
      <c r="I1222">
        <f>IF(COUNTIFS('United Data'!$A$3:$A$3390,I$1,'United Data'!$C$3:$C$3390,$A1222,'United Data'!$B$3:$B$3390,"&lt;&gt;Off-street")&gt;0,1,0)</f>
        <v>0</v>
      </c>
      <c r="J1222">
        <f>IF(COUNTIFS('United Data'!$A$3:$A$3390,J$1,'United Data'!$C$3:$C$3390,$A1222,'United Data'!$B$3:$B$3390,"&lt;&gt;Off-street")&gt;0,1,0)</f>
        <v>0</v>
      </c>
      <c r="K1222">
        <f>IF(COUNTIFS('United Data'!$A$3:$A$3390,K$1,'United Data'!$C$3:$C$3390,$A1222,'United Data'!$B$3:$B$3390,"&lt;&gt;Off-street")&gt;0,1,0)</f>
        <v>0</v>
      </c>
      <c r="L1222">
        <f>IF(COUNTIFS('United Data'!$A$3:$A$3390,L$1,'United Data'!$C$3:$C$3390,$A1222,'United Data'!$B$3:$B$3390,"&lt;&gt;Off-street")&gt;0,1,0)</f>
        <v>0</v>
      </c>
      <c r="M1222">
        <f>IF(COUNTIFS('United Data'!$A$3:$A$3390,M$1,'United Data'!$C$3:$C$3390,$A1222,'United Data'!$B$3:$B$3390,"&lt;&gt;Off-street")&gt;0,1,0)</f>
        <v>0</v>
      </c>
      <c r="N1222">
        <f>IF(COUNTIFS('United Data'!$A$3:$A$3390,N$1,'United Data'!$C$3:$C$3390,$A1222,'United Data'!$B$3:$B$3390,"&lt;&gt;Off-street")&gt;0,1,0)</f>
        <v>0</v>
      </c>
      <c r="O1222">
        <f>IF(COUNTIFS('United Data'!$A$3:$A$3390,O$1,'United Data'!$C$3:$C$3390,$A1222,'United Data'!$B$3:$B$3390,"&lt;&gt;Off-street")&gt;0,1,0)</f>
        <v>0</v>
      </c>
      <c r="P1222">
        <f>IF(COUNTIFS('United Data'!$A$3:$A$3390,P$1,'United Data'!$C$3:$C$3390,$A1222,'United Data'!$B$3:$B$3390,"&lt;&gt;Off-street")&gt;0,1,0)</f>
        <v>0</v>
      </c>
      <c r="Q1222">
        <f>IF(COUNTIFS('United Data'!$A$3:$A$3390,Q$1,'United Data'!$C$3:$C$3390,$A1222,'United Data'!$B$3:$B$3390,"&lt;&gt;Off-street")&gt;0,1,0)</f>
        <v>0</v>
      </c>
      <c r="R1222">
        <f>IF(COUNTIFS('United Data'!$A$3:$A$3390,R$1,'United Data'!$C$3:$C$3390,$A1222,'United Data'!$B$3:$B$3390,"&lt;&gt;Off-street")&gt;0,1,0)</f>
        <v>0</v>
      </c>
      <c r="S1222">
        <f t="shared" si="38"/>
        <v>1</v>
      </c>
      <c r="T1222">
        <f t="shared" si="39"/>
        <v>1</v>
      </c>
    </row>
    <row r="1223" spans="1:20" x14ac:dyDescent="0.2">
      <c r="A1223" t="s">
        <v>1464</v>
      </c>
      <c r="B1223">
        <f>IF(COUNTIFS('United Data'!$A$3:$A$3390,B$1,'United Data'!$C$3:$C$3390,$A1223,'United Data'!$B$3:$B$3390,"&lt;&gt;Off-street")&gt;0,1,0)</f>
        <v>0</v>
      </c>
      <c r="C1223">
        <f>IF(COUNTIFS('United Data'!$A$3:$A$3390,C$1,'United Data'!$C$3:$C$3390,$A1223,'United Data'!$B$3:$B$3390,"&lt;&gt;Off-street")&gt;0,1,0)</f>
        <v>0</v>
      </c>
      <c r="D1223">
        <f>IF(COUNTIFS('United Data'!$A$3:$A$3390,D$1,'United Data'!$C$3:$C$3390,$A1223,'United Data'!$B$3:$B$3390,"&lt;&gt;Off-street")&gt;0,1,0)</f>
        <v>0</v>
      </c>
      <c r="E1223">
        <f>IF(COUNTIFS('United Data'!$A$3:$A$3390,E$1,'United Data'!$C$3:$C$3390,$A1223,'United Data'!$B$3:$B$3390,"&lt;&gt;Off-street")&gt;0,1,0)</f>
        <v>0</v>
      </c>
      <c r="F1223">
        <f>IF(COUNTIFS('United Data'!$A$3:$A$3390,F$1,'United Data'!$C$3:$C$3390,$A1223,'United Data'!$B$3:$B$3390,"&lt;&gt;Off-street")&gt;0,1,0)</f>
        <v>0</v>
      </c>
      <c r="G1223">
        <f>IF(COUNTIFS('United Data'!$A$3:$A$3390,G$1,'United Data'!$C$3:$C$3390,$A1223,'United Data'!$B$3:$B$3390,"&lt;&gt;Off-street")&gt;0,1,0)</f>
        <v>0</v>
      </c>
      <c r="H1223">
        <f>IF(COUNTIFS('United Data'!$A$3:$A$3390,H$1,'United Data'!$C$3:$C$3390,$A1223,'United Data'!$B$3:$B$3390,"&lt;&gt;Off-street")&gt;0,1,0)</f>
        <v>0</v>
      </c>
      <c r="I1223">
        <f>IF(COUNTIFS('United Data'!$A$3:$A$3390,I$1,'United Data'!$C$3:$C$3390,$A1223,'United Data'!$B$3:$B$3390,"&lt;&gt;Off-street")&gt;0,1,0)</f>
        <v>0</v>
      </c>
      <c r="J1223">
        <f>IF(COUNTIFS('United Data'!$A$3:$A$3390,J$1,'United Data'!$C$3:$C$3390,$A1223,'United Data'!$B$3:$B$3390,"&lt;&gt;Off-street")&gt;0,1,0)</f>
        <v>0</v>
      </c>
      <c r="K1223">
        <f>IF(COUNTIFS('United Data'!$A$3:$A$3390,K$1,'United Data'!$C$3:$C$3390,$A1223,'United Data'!$B$3:$B$3390,"&lt;&gt;Off-street")&gt;0,1,0)</f>
        <v>0</v>
      </c>
      <c r="L1223">
        <f>IF(COUNTIFS('United Data'!$A$3:$A$3390,L$1,'United Data'!$C$3:$C$3390,$A1223,'United Data'!$B$3:$B$3390,"&lt;&gt;Off-street")&gt;0,1,0)</f>
        <v>1</v>
      </c>
      <c r="M1223">
        <f>IF(COUNTIFS('United Data'!$A$3:$A$3390,M$1,'United Data'!$C$3:$C$3390,$A1223,'United Data'!$B$3:$B$3390,"&lt;&gt;Off-street")&gt;0,1,0)</f>
        <v>0</v>
      </c>
      <c r="N1223">
        <f>IF(COUNTIFS('United Data'!$A$3:$A$3390,N$1,'United Data'!$C$3:$C$3390,$A1223,'United Data'!$B$3:$B$3390,"&lt;&gt;Off-street")&gt;0,1,0)</f>
        <v>0</v>
      </c>
      <c r="O1223">
        <f>IF(COUNTIFS('United Data'!$A$3:$A$3390,O$1,'United Data'!$C$3:$C$3390,$A1223,'United Data'!$B$3:$B$3390,"&lt;&gt;Off-street")&gt;0,1,0)</f>
        <v>0</v>
      </c>
      <c r="P1223">
        <f>IF(COUNTIFS('United Data'!$A$3:$A$3390,P$1,'United Data'!$C$3:$C$3390,$A1223,'United Data'!$B$3:$B$3390,"&lt;&gt;Off-street")&gt;0,1,0)</f>
        <v>0</v>
      </c>
      <c r="Q1223">
        <f>IF(COUNTIFS('United Data'!$A$3:$A$3390,Q$1,'United Data'!$C$3:$C$3390,$A1223,'United Data'!$B$3:$B$3390,"&lt;&gt;Off-street")&gt;0,1,0)</f>
        <v>0</v>
      </c>
      <c r="R1223">
        <f>IF(COUNTIFS('United Data'!$A$3:$A$3390,R$1,'United Data'!$C$3:$C$3390,$A1223,'United Data'!$B$3:$B$3390,"&lt;&gt;Off-street")&gt;0,1,0)</f>
        <v>0</v>
      </c>
      <c r="S1223">
        <f t="shared" si="38"/>
        <v>1</v>
      </c>
      <c r="T1223">
        <f t="shared" si="39"/>
        <v>1</v>
      </c>
    </row>
    <row r="1224" spans="1:20" x14ac:dyDescent="0.2">
      <c r="A1224" t="s">
        <v>1455</v>
      </c>
      <c r="B1224">
        <f>IF(COUNTIFS('United Data'!$A$3:$A$3390,B$1,'United Data'!$C$3:$C$3390,$A1224,'United Data'!$B$3:$B$3390,"&lt;&gt;Off-street")&gt;0,1,0)</f>
        <v>0</v>
      </c>
      <c r="C1224">
        <f>IF(COUNTIFS('United Data'!$A$3:$A$3390,C$1,'United Data'!$C$3:$C$3390,$A1224,'United Data'!$B$3:$B$3390,"&lt;&gt;Off-street")&gt;0,1,0)</f>
        <v>0</v>
      </c>
      <c r="D1224">
        <f>IF(COUNTIFS('United Data'!$A$3:$A$3390,D$1,'United Data'!$C$3:$C$3390,$A1224,'United Data'!$B$3:$B$3390,"&lt;&gt;Off-street")&gt;0,1,0)</f>
        <v>0</v>
      </c>
      <c r="E1224">
        <f>IF(COUNTIFS('United Data'!$A$3:$A$3390,E$1,'United Data'!$C$3:$C$3390,$A1224,'United Data'!$B$3:$B$3390,"&lt;&gt;Off-street")&gt;0,1,0)</f>
        <v>0</v>
      </c>
      <c r="F1224">
        <f>IF(COUNTIFS('United Data'!$A$3:$A$3390,F$1,'United Data'!$C$3:$C$3390,$A1224,'United Data'!$B$3:$B$3390,"&lt;&gt;Off-street")&gt;0,1,0)</f>
        <v>0</v>
      </c>
      <c r="G1224">
        <f>IF(COUNTIFS('United Data'!$A$3:$A$3390,G$1,'United Data'!$C$3:$C$3390,$A1224,'United Data'!$B$3:$B$3390,"&lt;&gt;Off-street")&gt;0,1,0)</f>
        <v>1</v>
      </c>
      <c r="H1224">
        <f>IF(COUNTIFS('United Data'!$A$3:$A$3390,H$1,'United Data'!$C$3:$C$3390,$A1224,'United Data'!$B$3:$B$3390,"&lt;&gt;Off-street")&gt;0,1,0)</f>
        <v>0</v>
      </c>
      <c r="I1224">
        <f>IF(COUNTIFS('United Data'!$A$3:$A$3390,I$1,'United Data'!$C$3:$C$3390,$A1224,'United Data'!$B$3:$B$3390,"&lt;&gt;Off-street")&gt;0,1,0)</f>
        <v>0</v>
      </c>
      <c r="J1224">
        <f>IF(COUNTIFS('United Data'!$A$3:$A$3390,J$1,'United Data'!$C$3:$C$3390,$A1224,'United Data'!$B$3:$B$3390,"&lt;&gt;Off-street")&gt;0,1,0)</f>
        <v>0</v>
      </c>
      <c r="K1224">
        <f>IF(COUNTIFS('United Data'!$A$3:$A$3390,K$1,'United Data'!$C$3:$C$3390,$A1224,'United Data'!$B$3:$B$3390,"&lt;&gt;Off-street")&gt;0,1,0)</f>
        <v>0</v>
      </c>
      <c r="L1224">
        <f>IF(COUNTIFS('United Data'!$A$3:$A$3390,L$1,'United Data'!$C$3:$C$3390,$A1224,'United Data'!$B$3:$B$3390,"&lt;&gt;Off-street")&gt;0,1,0)</f>
        <v>0</v>
      </c>
      <c r="M1224">
        <f>IF(COUNTIFS('United Data'!$A$3:$A$3390,M$1,'United Data'!$C$3:$C$3390,$A1224,'United Data'!$B$3:$B$3390,"&lt;&gt;Off-street")&gt;0,1,0)</f>
        <v>0</v>
      </c>
      <c r="N1224">
        <f>IF(COUNTIFS('United Data'!$A$3:$A$3390,N$1,'United Data'!$C$3:$C$3390,$A1224,'United Data'!$B$3:$B$3390,"&lt;&gt;Off-street")&gt;0,1,0)</f>
        <v>0</v>
      </c>
      <c r="O1224">
        <f>IF(COUNTIFS('United Data'!$A$3:$A$3390,O$1,'United Data'!$C$3:$C$3390,$A1224,'United Data'!$B$3:$B$3390,"&lt;&gt;Off-street")&gt;0,1,0)</f>
        <v>0</v>
      </c>
      <c r="P1224">
        <f>IF(COUNTIFS('United Data'!$A$3:$A$3390,P$1,'United Data'!$C$3:$C$3390,$A1224,'United Data'!$B$3:$B$3390,"&lt;&gt;Off-street")&gt;0,1,0)</f>
        <v>0</v>
      </c>
      <c r="Q1224">
        <f>IF(COUNTIFS('United Data'!$A$3:$A$3390,Q$1,'United Data'!$C$3:$C$3390,$A1224,'United Data'!$B$3:$B$3390,"&lt;&gt;Off-street")&gt;0,1,0)</f>
        <v>0</v>
      </c>
      <c r="R1224">
        <f>IF(COUNTIFS('United Data'!$A$3:$A$3390,R$1,'United Data'!$C$3:$C$3390,$A1224,'United Data'!$B$3:$B$3390,"&lt;&gt;Off-street")&gt;0,1,0)</f>
        <v>0</v>
      </c>
      <c r="S1224">
        <f t="shared" si="38"/>
        <v>1</v>
      </c>
      <c r="T1224">
        <f t="shared" si="39"/>
        <v>1</v>
      </c>
    </row>
    <row r="1225" spans="1:20" x14ac:dyDescent="0.2">
      <c r="A1225" t="s">
        <v>1456</v>
      </c>
      <c r="B1225">
        <f>IF(COUNTIFS('United Data'!$A$3:$A$3390,B$1,'United Data'!$C$3:$C$3390,$A1225,'United Data'!$B$3:$B$3390,"&lt;&gt;Off-street")&gt;0,1,0)</f>
        <v>0</v>
      </c>
      <c r="C1225">
        <f>IF(COUNTIFS('United Data'!$A$3:$A$3390,C$1,'United Data'!$C$3:$C$3390,$A1225,'United Data'!$B$3:$B$3390,"&lt;&gt;Off-street")&gt;0,1,0)</f>
        <v>0</v>
      </c>
      <c r="D1225">
        <f>IF(COUNTIFS('United Data'!$A$3:$A$3390,D$1,'United Data'!$C$3:$C$3390,$A1225,'United Data'!$B$3:$B$3390,"&lt;&gt;Off-street")&gt;0,1,0)</f>
        <v>0</v>
      </c>
      <c r="E1225">
        <f>IF(COUNTIFS('United Data'!$A$3:$A$3390,E$1,'United Data'!$C$3:$C$3390,$A1225,'United Data'!$B$3:$B$3390,"&lt;&gt;Off-street")&gt;0,1,0)</f>
        <v>0</v>
      </c>
      <c r="F1225">
        <f>IF(COUNTIFS('United Data'!$A$3:$A$3390,F$1,'United Data'!$C$3:$C$3390,$A1225,'United Data'!$B$3:$B$3390,"&lt;&gt;Off-street")&gt;0,1,0)</f>
        <v>0</v>
      </c>
      <c r="G1225">
        <f>IF(COUNTIFS('United Data'!$A$3:$A$3390,G$1,'United Data'!$C$3:$C$3390,$A1225,'United Data'!$B$3:$B$3390,"&lt;&gt;Off-street")&gt;0,1,0)</f>
        <v>1</v>
      </c>
      <c r="H1225">
        <f>IF(COUNTIFS('United Data'!$A$3:$A$3390,H$1,'United Data'!$C$3:$C$3390,$A1225,'United Data'!$B$3:$B$3390,"&lt;&gt;Off-street")&gt;0,1,0)</f>
        <v>0</v>
      </c>
      <c r="I1225">
        <f>IF(COUNTIFS('United Data'!$A$3:$A$3390,I$1,'United Data'!$C$3:$C$3390,$A1225,'United Data'!$B$3:$B$3390,"&lt;&gt;Off-street")&gt;0,1,0)</f>
        <v>0</v>
      </c>
      <c r="J1225">
        <f>IF(COUNTIFS('United Data'!$A$3:$A$3390,J$1,'United Data'!$C$3:$C$3390,$A1225,'United Data'!$B$3:$B$3390,"&lt;&gt;Off-street")&gt;0,1,0)</f>
        <v>0</v>
      </c>
      <c r="K1225">
        <f>IF(COUNTIFS('United Data'!$A$3:$A$3390,K$1,'United Data'!$C$3:$C$3390,$A1225,'United Data'!$B$3:$B$3390,"&lt;&gt;Off-street")&gt;0,1,0)</f>
        <v>0</v>
      </c>
      <c r="L1225">
        <f>IF(COUNTIFS('United Data'!$A$3:$A$3390,L$1,'United Data'!$C$3:$C$3390,$A1225,'United Data'!$B$3:$B$3390,"&lt;&gt;Off-street")&gt;0,1,0)</f>
        <v>0</v>
      </c>
      <c r="M1225">
        <f>IF(COUNTIFS('United Data'!$A$3:$A$3390,M$1,'United Data'!$C$3:$C$3390,$A1225,'United Data'!$B$3:$B$3390,"&lt;&gt;Off-street")&gt;0,1,0)</f>
        <v>0</v>
      </c>
      <c r="N1225">
        <f>IF(COUNTIFS('United Data'!$A$3:$A$3390,N$1,'United Data'!$C$3:$C$3390,$A1225,'United Data'!$B$3:$B$3390,"&lt;&gt;Off-street")&gt;0,1,0)</f>
        <v>0</v>
      </c>
      <c r="O1225">
        <f>IF(COUNTIFS('United Data'!$A$3:$A$3390,O$1,'United Data'!$C$3:$C$3390,$A1225,'United Data'!$B$3:$B$3390,"&lt;&gt;Off-street")&gt;0,1,0)</f>
        <v>0</v>
      </c>
      <c r="P1225">
        <f>IF(COUNTIFS('United Data'!$A$3:$A$3390,P$1,'United Data'!$C$3:$C$3390,$A1225,'United Data'!$B$3:$B$3390,"&lt;&gt;Off-street")&gt;0,1,0)</f>
        <v>0</v>
      </c>
      <c r="Q1225">
        <f>IF(COUNTIFS('United Data'!$A$3:$A$3390,Q$1,'United Data'!$C$3:$C$3390,$A1225,'United Data'!$B$3:$B$3390,"&lt;&gt;Off-street")&gt;0,1,0)</f>
        <v>0</v>
      </c>
      <c r="R1225">
        <f>IF(COUNTIFS('United Data'!$A$3:$A$3390,R$1,'United Data'!$C$3:$C$3390,$A1225,'United Data'!$B$3:$B$3390,"&lt;&gt;Off-street")&gt;0,1,0)</f>
        <v>0</v>
      </c>
      <c r="S1225">
        <f t="shared" si="38"/>
        <v>1</v>
      </c>
      <c r="T1225">
        <f t="shared" si="39"/>
        <v>1</v>
      </c>
    </row>
    <row r="1226" spans="1:20" x14ac:dyDescent="0.2">
      <c r="A1226" t="s">
        <v>1458</v>
      </c>
      <c r="B1226">
        <f>IF(COUNTIFS('United Data'!$A$3:$A$3390,B$1,'United Data'!$C$3:$C$3390,$A1226,'United Data'!$B$3:$B$3390,"&lt;&gt;Off-street")&gt;0,1,0)</f>
        <v>0</v>
      </c>
      <c r="C1226">
        <f>IF(COUNTIFS('United Data'!$A$3:$A$3390,C$1,'United Data'!$C$3:$C$3390,$A1226,'United Data'!$B$3:$B$3390,"&lt;&gt;Off-street")&gt;0,1,0)</f>
        <v>0</v>
      </c>
      <c r="D1226">
        <f>IF(COUNTIFS('United Data'!$A$3:$A$3390,D$1,'United Data'!$C$3:$C$3390,$A1226,'United Data'!$B$3:$B$3390,"&lt;&gt;Off-street")&gt;0,1,0)</f>
        <v>0</v>
      </c>
      <c r="E1226">
        <f>IF(COUNTIFS('United Data'!$A$3:$A$3390,E$1,'United Data'!$C$3:$C$3390,$A1226,'United Data'!$B$3:$B$3390,"&lt;&gt;Off-street")&gt;0,1,0)</f>
        <v>0</v>
      </c>
      <c r="F1226">
        <f>IF(COUNTIFS('United Data'!$A$3:$A$3390,F$1,'United Data'!$C$3:$C$3390,$A1226,'United Data'!$B$3:$B$3390,"&lt;&gt;Off-street")&gt;0,1,0)</f>
        <v>0</v>
      </c>
      <c r="G1226">
        <f>IF(COUNTIFS('United Data'!$A$3:$A$3390,G$1,'United Data'!$C$3:$C$3390,$A1226,'United Data'!$B$3:$B$3390,"&lt;&gt;Off-street")&gt;0,1,0)</f>
        <v>1</v>
      </c>
      <c r="H1226">
        <f>IF(COUNTIFS('United Data'!$A$3:$A$3390,H$1,'United Data'!$C$3:$C$3390,$A1226,'United Data'!$B$3:$B$3390,"&lt;&gt;Off-street")&gt;0,1,0)</f>
        <v>1</v>
      </c>
      <c r="I1226">
        <f>IF(COUNTIFS('United Data'!$A$3:$A$3390,I$1,'United Data'!$C$3:$C$3390,$A1226,'United Data'!$B$3:$B$3390,"&lt;&gt;Off-street")&gt;0,1,0)</f>
        <v>0</v>
      </c>
      <c r="J1226">
        <f>IF(COUNTIFS('United Data'!$A$3:$A$3390,J$1,'United Data'!$C$3:$C$3390,$A1226,'United Data'!$B$3:$B$3390,"&lt;&gt;Off-street")&gt;0,1,0)</f>
        <v>0</v>
      </c>
      <c r="K1226">
        <f>IF(COUNTIFS('United Data'!$A$3:$A$3390,K$1,'United Data'!$C$3:$C$3390,$A1226,'United Data'!$B$3:$B$3390,"&lt;&gt;Off-street")&gt;0,1,0)</f>
        <v>0</v>
      </c>
      <c r="L1226">
        <f>IF(COUNTIFS('United Data'!$A$3:$A$3390,L$1,'United Data'!$C$3:$C$3390,$A1226,'United Data'!$B$3:$B$3390,"&lt;&gt;Off-street")&gt;0,1,0)</f>
        <v>0</v>
      </c>
      <c r="M1226">
        <f>IF(COUNTIFS('United Data'!$A$3:$A$3390,M$1,'United Data'!$C$3:$C$3390,$A1226,'United Data'!$B$3:$B$3390,"&lt;&gt;Off-street")&gt;0,1,0)</f>
        <v>0</v>
      </c>
      <c r="N1226">
        <f>IF(COUNTIFS('United Data'!$A$3:$A$3390,N$1,'United Data'!$C$3:$C$3390,$A1226,'United Data'!$B$3:$B$3390,"&lt;&gt;Off-street")&gt;0,1,0)</f>
        <v>0</v>
      </c>
      <c r="O1226">
        <f>IF(COUNTIFS('United Data'!$A$3:$A$3390,O$1,'United Data'!$C$3:$C$3390,$A1226,'United Data'!$B$3:$B$3390,"&lt;&gt;Off-street")&gt;0,1,0)</f>
        <v>0</v>
      </c>
      <c r="P1226">
        <f>IF(COUNTIFS('United Data'!$A$3:$A$3390,P$1,'United Data'!$C$3:$C$3390,$A1226,'United Data'!$B$3:$B$3390,"&lt;&gt;Off-street")&gt;0,1,0)</f>
        <v>0</v>
      </c>
      <c r="Q1226">
        <f>IF(COUNTIFS('United Data'!$A$3:$A$3390,Q$1,'United Data'!$C$3:$C$3390,$A1226,'United Data'!$B$3:$B$3390,"&lt;&gt;Off-street")&gt;0,1,0)</f>
        <v>0</v>
      </c>
      <c r="R1226">
        <f>IF(COUNTIFS('United Data'!$A$3:$A$3390,R$1,'United Data'!$C$3:$C$3390,$A1226,'United Data'!$B$3:$B$3390,"&lt;&gt;Off-street")&gt;0,1,0)</f>
        <v>0</v>
      </c>
      <c r="S1226">
        <f t="shared" si="38"/>
        <v>2</v>
      </c>
      <c r="T1226">
        <f t="shared" si="39"/>
        <v>1</v>
      </c>
    </row>
    <row r="1227" spans="1:20" x14ac:dyDescent="0.2">
      <c r="A1227" t="s">
        <v>1459</v>
      </c>
      <c r="B1227">
        <f>IF(COUNTIFS('United Data'!$A$3:$A$3390,B$1,'United Data'!$C$3:$C$3390,$A1227,'United Data'!$B$3:$B$3390,"&lt;&gt;Off-street")&gt;0,1,0)</f>
        <v>0</v>
      </c>
      <c r="C1227">
        <f>IF(COUNTIFS('United Data'!$A$3:$A$3390,C$1,'United Data'!$C$3:$C$3390,$A1227,'United Data'!$B$3:$B$3390,"&lt;&gt;Off-street")&gt;0,1,0)</f>
        <v>0</v>
      </c>
      <c r="D1227">
        <f>IF(COUNTIFS('United Data'!$A$3:$A$3390,D$1,'United Data'!$C$3:$C$3390,$A1227,'United Data'!$B$3:$B$3390,"&lt;&gt;Off-street")&gt;0,1,0)</f>
        <v>0</v>
      </c>
      <c r="E1227">
        <f>IF(COUNTIFS('United Data'!$A$3:$A$3390,E$1,'United Data'!$C$3:$C$3390,$A1227,'United Data'!$B$3:$B$3390,"&lt;&gt;Off-street")&gt;0,1,0)</f>
        <v>0</v>
      </c>
      <c r="F1227">
        <f>IF(COUNTIFS('United Data'!$A$3:$A$3390,F$1,'United Data'!$C$3:$C$3390,$A1227,'United Data'!$B$3:$B$3390,"&lt;&gt;Off-street")&gt;0,1,0)</f>
        <v>0</v>
      </c>
      <c r="G1227">
        <f>IF(COUNTIFS('United Data'!$A$3:$A$3390,G$1,'United Data'!$C$3:$C$3390,$A1227,'United Data'!$B$3:$B$3390,"&lt;&gt;Off-street")&gt;0,1,0)</f>
        <v>0</v>
      </c>
      <c r="H1227">
        <f>IF(COUNTIFS('United Data'!$A$3:$A$3390,H$1,'United Data'!$C$3:$C$3390,$A1227,'United Data'!$B$3:$B$3390,"&lt;&gt;Off-street")&gt;0,1,0)</f>
        <v>1</v>
      </c>
      <c r="I1227">
        <f>IF(COUNTIFS('United Data'!$A$3:$A$3390,I$1,'United Data'!$C$3:$C$3390,$A1227,'United Data'!$B$3:$B$3390,"&lt;&gt;Off-street")&gt;0,1,0)</f>
        <v>0</v>
      </c>
      <c r="J1227">
        <f>IF(COUNTIFS('United Data'!$A$3:$A$3390,J$1,'United Data'!$C$3:$C$3390,$A1227,'United Data'!$B$3:$B$3390,"&lt;&gt;Off-street")&gt;0,1,0)</f>
        <v>0</v>
      </c>
      <c r="K1227">
        <f>IF(COUNTIFS('United Data'!$A$3:$A$3390,K$1,'United Data'!$C$3:$C$3390,$A1227,'United Data'!$B$3:$B$3390,"&lt;&gt;Off-street")&gt;0,1,0)</f>
        <v>0</v>
      </c>
      <c r="L1227">
        <f>IF(COUNTIFS('United Data'!$A$3:$A$3390,L$1,'United Data'!$C$3:$C$3390,$A1227,'United Data'!$B$3:$B$3390,"&lt;&gt;Off-street")&gt;0,1,0)</f>
        <v>0</v>
      </c>
      <c r="M1227">
        <f>IF(COUNTIFS('United Data'!$A$3:$A$3390,M$1,'United Data'!$C$3:$C$3390,$A1227,'United Data'!$B$3:$B$3390,"&lt;&gt;Off-street")&gt;0,1,0)</f>
        <v>0</v>
      </c>
      <c r="N1227">
        <f>IF(COUNTIFS('United Data'!$A$3:$A$3390,N$1,'United Data'!$C$3:$C$3390,$A1227,'United Data'!$B$3:$B$3390,"&lt;&gt;Off-street")&gt;0,1,0)</f>
        <v>0</v>
      </c>
      <c r="O1227">
        <f>IF(COUNTIFS('United Data'!$A$3:$A$3390,O$1,'United Data'!$C$3:$C$3390,$A1227,'United Data'!$B$3:$B$3390,"&lt;&gt;Off-street")&gt;0,1,0)</f>
        <v>0</v>
      </c>
      <c r="P1227">
        <f>IF(COUNTIFS('United Data'!$A$3:$A$3390,P$1,'United Data'!$C$3:$C$3390,$A1227,'United Data'!$B$3:$B$3390,"&lt;&gt;Off-street")&gt;0,1,0)</f>
        <v>0</v>
      </c>
      <c r="Q1227">
        <f>IF(COUNTIFS('United Data'!$A$3:$A$3390,Q$1,'United Data'!$C$3:$C$3390,$A1227,'United Data'!$B$3:$B$3390,"&lt;&gt;Off-street")&gt;0,1,0)</f>
        <v>0</v>
      </c>
      <c r="R1227">
        <f>IF(COUNTIFS('United Data'!$A$3:$A$3390,R$1,'United Data'!$C$3:$C$3390,$A1227,'United Data'!$B$3:$B$3390,"&lt;&gt;Off-street")&gt;0,1,0)</f>
        <v>0</v>
      </c>
      <c r="S1227">
        <f t="shared" si="38"/>
        <v>1</v>
      </c>
      <c r="T1227">
        <f t="shared" si="39"/>
        <v>1</v>
      </c>
    </row>
    <row r="1228" spans="1:20" x14ac:dyDescent="0.2">
      <c r="A1228" t="s">
        <v>1460</v>
      </c>
      <c r="B1228">
        <f>IF(COUNTIFS('United Data'!$A$3:$A$3390,B$1,'United Data'!$C$3:$C$3390,$A1228,'United Data'!$B$3:$B$3390,"&lt;&gt;Off-street")&gt;0,1,0)</f>
        <v>0</v>
      </c>
      <c r="C1228">
        <f>IF(COUNTIFS('United Data'!$A$3:$A$3390,C$1,'United Data'!$C$3:$C$3390,$A1228,'United Data'!$B$3:$B$3390,"&lt;&gt;Off-street")&gt;0,1,0)</f>
        <v>0</v>
      </c>
      <c r="D1228">
        <f>IF(COUNTIFS('United Data'!$A$3:$A$3390,D$1,'United Data'!$C$3:$C$3390,$A1228,'United Data'!$B$3:$B$3390,"&lt;&gt;Off-street")&gt;0,1,0)</f>
        <v>0</v>
      </c>
      <c r="E1228">
        <f>IF(COUNTIFS('United Data'!$A$3:$A$3390,E$1,'United Data'!$C$3:$C$3390,$A1228,'United Data'!$B$3:$B$3390,"&lt;&gt;Off-street")&gt;0,1,0)</f>
        <v>0</v>
      </c>
      <c r="F1228">
        <f>IF(COUNTIFS('United Data'!$A$3:$A$3390,F$1,'United Data'!$C$3:$C$3390,$A1228,'United Data'!$B$3:$B$3390,"&lt;&gt;Off-street")&gt;0,1,0)</f>
        <v>0</v>
      </c>
      <c r="G1228">
        <f>IF(COUNTIFS('United Data'!$A$3:$A$3390,G$1,'United Data'!$C$3:$C$3390,$A1228,'United Data'!$B$3:$B$3390,"&lt;&gt;Off-street")&gt;0,1,0)</f>
        <v>0</v>
      </c>
      <c r="H1228">
        <f>IF(COUNTIFS('United Data'!$A$3:$A$3390,H$1,'United Data'!$C$3:$C$3390,$A1228,'United Data'!$B$3:$B$3390,"&lt;&gt;Off-street")&gt;0,1,0)</f>
        <v>1</v>
      </c>
      <c r="I1228">
        <f>IF(COUNTIFS('United Data'!$A$3:$A$3390,I$1,'United Data'!$C$3:$C$3390,$A1228,'United Data'!$B$3:$B$3390,"&lt;&gt;Off-street")&gt;0,1,0)</f>
        <v>0</v>
      </c>
      <c r="J1228">
        <f>IF(COUNTIFS('United Data'!$A$3:$A$3390,J$1,'United Data'!$C$3:$C$3390,$A1228,'United Data'!$B$3:$B$3390,"&lt;&gt;Off-street")&gt;0,1,0)</f>
        <v>0</v>
      </c>
      <c r="K1228">
        <f>IF(COUNTIFS('United Data'!$A$3:$A$3390,K$1,'United Data'!$C$3:$C$3390,$A1228,'United Data'!$B$3:$B$3390,"&lt;&gt;Off-street")&gt;0,1,0)</f>
        <v>0</v>
      </c>
      <c r="L1228">
        <f>IF(COUNTIFS('United Data'!$A$3:$A$3390,L$1,'United Data'!$C$3:$C$3390,$A1228,'United Data'!$B$3:$B$3390,"&lt;&gt;Off-street")&gt;0,1,0)</f>
        <v>0</v>
      </c>
      <c r="M1228">
        <f>IF(COUNTIFS('United Data'!$A$3:$A$3390,M$1,'United Data'!$C$3:$C$3390,$A1228,'United Data'!$B$3:$B$3390,"&lt;&gt;Off-street")&gt;0,1,0)</f>
        <v>0</v>
      </c>
      <c r="N1228">
        <f>IF(COUNTIFS('United Data'!$A$3:$A$3390,N$1,'United Data'!$C$3:$C$3390,$A1228,'United Data'!$B$3:$B$3390,"&lt;&gt;Off-street")&gt;0,1,0)</f>
        <v>0</v>
      </c>
      <c r="O1228">
        <f>IF(COUNTIFS('United Data'!$A$3:$A$3390,O$1,'United Data'!$C$3:$C$3390,$A1228,'United Data'!$B$3:$B$3390,"&lt;&gt;Off-street")&gt;0,1,0)</f>
        <v>0</v>
      </c>
      <c r="P1228">
        <f>IF(COUNTIFS('United Data'!$A$3:$A$3390,P$1,'United Data'!$C$3:$C$3390,$A1228,'United Data'!$B$3:$B$3390,"&lt;&gt;Off-street")&gt;0,1,0)</f>
        <v>0</v>
      </c>
      <c r="Q1228">
        <f>IF(COUNTIFS('United Data'!$A$3:$A$3390,Q$1,'United Data'!$C$3:$C$3390,$A1228,'United Data'!$B$3:$B$3390,"&lt;&gt;Off-street")&gt;0,1,0)</f>
        <v>0</v>
      </c>
      <c r="R1228">
        <f>IF(COUNTIFS('United Data'!$A$3:$A$3390,R$1,'United Data'!$C$3:$C$3390,$A1228,'United Data'!$B$3:$B$3390,"&lt;&gt;Off-street")&gt;0,1,0)</f>
        <v>0</v>
      </c>
      <c r="S1228">
        <f t="shared" si="38"/>
        <v>1</v>
      </c>
      <c r="T1228">
        <f t="shared" si="39"/>
        <v>1</v>
      </c>
    </row>
    <row r="1229" spans="1:20" x14ac:dyDescent="0.2">
      <c r="A1229" t="s">
        <v>1461</v>
      </c>
      <c r="B1229">
        <f>IF(COUNTIFS('United Data'!$A$3:$A$3390,B$1,'United Data'!$C$3:$C$3390,$A1229,'United Data'!$B$3:$B$3390,"&lt;&gt;Off-street")&gt;0,1,0)</f>
        <v>0</v>
      </c>
      <c r="C1229">
        <f>IF(COUNTIFS('United Data'!$A$3:$A$3390,C$1,'United Data'!$C$3:$C$3390,$A1229,'United Data'!$B$3:$B$3390,"&lt;&gt;Off-street")&gt;0,1,0)</f>
        <v>0</v>
      </c>
      <c r="D1229">
        <f>IF(COUNTIFS('United Data'!$A$3:$A$3390,D$1,'United Data'!$C$3:$C$3390,$A1229,'United Data'!$B$3:$B$3390,"&lt;&gt;Off-street")&gt;0,1,0)</f>
        <v>0</v>
      </c>
      <c r="E1229">
        <f>IF(COUNTIFS('United Data'!$A$3:$A$3390,E$1,'United Data'!$C$3:$C$3390,$A1229,'United Data'!$B$3:$B$3390,"&lt;&gt;Off-street")&gt;0,1,0)</f>
        <v>0</v>
      </c>
      <c r="F1229">
        <f>IF(COUNTIFS('United Data'!$A$3:$A$3390,F$1,'United Data'!$C$3:$C$3390,$A1229,'United Data'!$B$3:$B$3390,"&lt;&gt;Off-street")&gt;0,1,0)</f>
        <v>0</v>
      </c>
      <c r="G1229">
        <f>IF(COUNTIFS('United Data'!$A$3:$A$3390,G$1,'United Data'!$C$3:$C$3390,$A1229,'United Data'!$B$3:$B$3390,"&lt;&gt;Off-street")&gt;0,1,0)</f>
        <v>0</v>
      </c>
      <c r="H1229">
        <f>IF(COUNTIFS('United Data'!$A$3:$A$3390,H$1,'United Data'!$C$3:$C$3390,$A1229,'United Data'!$B$3:$B$3390,"&lt;&gt;Off-street")&gt;0,1,0)</f>
        <v>1</v>
      </c>
      <c r="I1229">
        <f>IF(COUNTIFS('United Data'!$A$3:$A$3390,I$1,'United Data'!$C$3:$C$3390,$A1229,'United Data'!$B$3:$B$3390,"&lt;&gt;Off-street")&gt;0,1,0)</f>
        <v>0</v>
      </c>
      <c r="J1229">
        <f>IF(COUNTIFS('United Data'!$A$3:$A$3390,J$1,'United Data'!$C$3:$C$3390,$A1229,'United Data'!$B$3:$B$3390,"&lt;&gt;Off-street")&gt;0,1,0)</f>
        <v>0</v>
      </c>
      <c r="K1229">
        <f>IF(COUNTIFS('United Data'!$A$3:$A$3390,K$1,'United Data'!$C$3:$C$3390,$A1229,'United Data'!$B$3:$B$3390,"&lt;&gt;Off-street")&gt;0,1,0)</f>
        <v>0</v>
      </c>
      <c r="L1229">
        <f>IF(COUNTIFS('United Data'!$A$3:$A$3390,L$1,'United Data'!$C$3:$C$3390,$A1229,'United Data'!$B$3:$B$3390,"&lt;&gt;Off-street")&gt;0,1,0)</f>
        <v>0</v>
      </c>
      <c r="M1229">
        <f>IF(COUNTIFS('United Data'!$A$3:$A$3390,M$1,'United Data'!$C$3:$C$3390,$A1229,'United Data'!$B$3:$B$3390,"&lt;&gt;Off-street")&gt;0,1,0)</f>
        <v>0</v>
      </c>
      <c r="N1229">
        <f>IF(COUNTIFS('United Data'!$A$3:$A$3390,N$1,'United Data'!$C$3:$C$3390,$A1229,'United Data'!$B$3:$B$3390,"&lt;&gt;Off-street")&gt;0,1,0)</f>
        <v>0</v>
      </c>
      <c r="O1229">
        <f>IF(COUNTIFS('United Data'!$A$3:$A$3390,O$1,'United Data'!$C$3:$C$3390,$A1229,'United Data'!$B$3:$B$3390,"&lt;&gt;Off-street")&gt;0,1,0)</f>
        <v>0</v>
      </c>
      <c r="P1229">
        <f>IF(COUNTIFS('United Data'!$A$3:$A$3390,P$1,'United Data'!$C$3:$C$3390,$A1229,'United Data'!$B$3:$B$3390,"&lt;&gt;Off-street")&gt;0,1,0)</f>
        <v>0</v>
      </c>
      <c r="Q1229">
        <f>IF(COUNTIFS('United Data'!$A$3:$A$3390,Q$1,'United Data'!$C$3:$C$3390,$A1229,'United Data'!$B$3:$B$3390,"&lt;&gt;Off-street")&gt;0,1,0)</f>
        <v>0</v>
      </c>
      <c r="R1229">
        <f>IF(COUNTIFS('United Data'!$A$3:$A$3390,R$1,'United Data'!$C$3:$C$3390,$A1229,'United Data'!$B$3:$B$3390,"&lt;&gt;Off-street")&gt;0,1,0)</f>
        <v>0</v>
      </c>
      <c r="S1229">
        <f t="shared" si="38"/>
        <v>1</v>
      </c>
      <c r="T1229">
        <f t="shared" si="39"/>
        <v>1</v>
      </c>
    </row>
    <row r="1230" spans="1:20" x14ac:dyDescent="0.2">
      <c r="A1230" t="s">
        <v>1462</v>
      </c>
      <c r="B1230">
        <f>IF(COUNTIFS('United Data'!$A$3:$A$3390,B$1,'United Data'!$C$3:$C$3390,$A1230,'United Data'!$B$3:$B$3390,"&lt;&gt;Off-street")&gt;0,1,0)</f>
        <v>0</v>
      </c>
      <c r="C1230">
        <f>IF(COUNTIFS('United Data'!$A$3:$A$3390,C$1,'United Data'!$C$3:$C$3390,$A1230,'United Data'!$B$3:$B$3390,"&lt;&gt;Off-street")&gt;0,1,0)</f>
        <v>0</v>
      </c>
      <c r="D1230">
        <f>IF(COUNTIFS('United Data'!$A$3:$A$3390,D$1,'United Data'!$C$3:$C$3390,$A1230,'United Data'!$B$3:$B$3390,"&lt;&gt;Off-street")&gt;0,1,0)</f>
        <v>0</v>
      </c>
      <c r="E1230">
        <f>IF(COUNTIFS('United Data'!$A$3:$A$3390,E$1,'United Data'!$C$3:$C$3390,$A1230,'United Data'!$B$3:$B$3390,"&lt;&gt;Off-street")&gt;0,1,0)</f>
        <v>0</v>
      </c>
      <c r="F1230">
        <f>IF(COUNTIFS('United Data'!$A$3:$A$3390,F$1,'United Data'!$C$3:$C$3390,$A1230,'United Data'!$B$3:$B$3390,"&lt;&gt;Off-street")&gt;0,1,0)</f>
        <v>0</v>
      </c>
      <c r="G1230">
        <f>IF(COUNTIFS('United Data'!$A$3:$A$3390,G$1,'United Data'!$C$3:$C$3390,$A1230,'United Data'!$B$3:$B$3390,"&lt;&gt;Off-street")&gt;0,1,0)</f>
        <v>0</v>
      </c>
      <c r="H1230">
        <f>IF(COUNTIFS('United Data'!$A$3:$A$3390,H$1,'United Data'!$C$3:$C$3390,$A1230,'United Data'!$B$3:$B$3390,"&lt;&gt;Off-street")&gt;0,1,0)</f>
        <v>1</v>
      </c>
      <c r="I1230">
        <f>IF(COUNTIFS('United Data'!$A$3:$A$3390,I$1,'United Data'!$C$3:$C$3390,$A1230,'United Data'!$B$3:$B$3390,"&lt;&gt;Off-street")&gt;0,1,0)</f>
        <v>0</v>
      </c>
      <c r="J1230">
        <f>IF(COUNTIFS('United Data'!$A$3:$A$3390,J$1,'United Data'!$C$3:$C$3390,$A1230,'United Data'!$B$3:$B$3390,"&lt;&gt;Off-street")&gt;0,1,0)</f>
        <v>0</v>
      </c>
      <c r="K1230">
        <f>IF(COUNTIFS('United Data'!$A$3:$A$3390,K$1,'United Data'!$C$3:$C$3390,$A1230,'United Data'!$B$3:$B$3390,"&lt;&gt;Off-street")&gt;0,1,0)</f>
        <v>0</v>
      </c>
      <c r="L1230">
        <f>IF(COUNTIFS('United Data'!$A$3:$A$3390,L$1,'United Data'!$C$3:$C$3390,$A1230,'United Data'!$B$3:$B$3390,"&lt;&gt;Off-street")&gt;0,1,0)</f>
        <v>0</v>
      </c>
      <c r="M1230">
        <f>IF(COUNTIFS('United Data'!$A$3:$A$3390,M$1,'United Data'!$C$3:$C$3390,$A1230,'United Data'!$B$3:$B$3390,"&lt;&gt;Off-street")&gt;0,1,0)</f>
        <v>0</v>
      </c>
      <c r="N1230">
        <f>IF(COUNTIFS('United Data'!$A$3:$A$3390,N$1,'United Data'!$C$3:$C$3390,$A1230,'United Data'!$B$3:$B$3390,"&lt;&gt;Off-street")&gt;0,1,0)</f>
        <v>0</v>
      </c>
      <c r="O1230">
        <f>IF(COUNTIFS('United Data'!$A$3:$A$3390,O$1,'United Data'!$C$3:$C$3390,$A1230,'United Data'!$B$3:$B$3390,"&lt;&gt;Off-street")&gt;0,1,0)</f>
        <v>0</v>
      </c>
      <c r="P1230">
        <f>IF(COUNTIFS('United Data'!$A$3:$A$3390,P$1,'United Data'!$C$3:$C$3390,$A1230,'United Data'!$B$3:$B$3390,"&lt;&gt;Off-street")&gt;0,1,0)</f>
        <v>0</v>
      </c>
      <c r="Q1230">
        <f>IF(COUNTIFS('United Data'!$A$3:$A$3390,Q$1,'United Data'!$C$3:$C$3390,$A1230,'United Data'!$B$3:$B$3390,"&lt;&gt;Off-street")&gt;0,1,0)</f>
        <v>0</v>
      </c>
      <c r="R1230">
        <f>IF(COUNTIFS('United Data'!$A$3:$A$3390,R$1,'United Data'!$C$3:$C$3390,$A1230,'United Data'!$B$3:$B$3390,"&lt;&gt;Off-street")&gt;0,1,0)</f>
        <v>0</v>
      </c>
      <c r="S1230">
        <f t="shared" si="38"/>
        <v>1</v>
      </c>
      <c r="T1230">
        <f t="shared" si="39"/>
        <v>1</v>
      </c>
    </row>
    <row r="1231" spans="1:20" x14ac:dyDescent="0.2">
      <c r="A1231" t="s">
        <v>2054</v>
      </c>
      <c r="B1231">
        <f>IF(COUNTIFS('United Data'!$A$3:$A$3390,B$1,'United Data'!$C$3:$C$3390,$A1231,'United Data'!$B$3:$B$3390,"&lt;&gt;Off-street")&gt;0,1,0)</f>
        <v>0</v>
      </c>
      <c r="C1231">
        <f>IF(COUNTIFS('United Data'!$A$3:$A$3390,C$1,'United Data'!$C$3:$C$3390,$A1231,'United Data'!$B$3:$B$3390,"&lt;&gt;Off-street")&gt;0,1,0)</f>
        <v>0</v>
      </c>
      <c r="D1231">
        <f>IF(COUNTIFS('United Data'!$A$3:$A$3390,D$1,'United Data'!$C$3:$C$3390,$A1231,'United Data'!$B$3:$B$3390,"&lt;&gt;Off-street")&gt;0,1,0)</f>
        <v>0</v>
      </c>
      <c r="E1231">
        <f>IF(COUNTIFS('United Data'!$A$3:$A$3390,E$1,'United Data'!$C$3:$C$3390,$A1231,'United Data'!$B$3:$B$3390,"&lt;&gt;Off-street")&gt;0,1,0)</f>
        <v>0</v>
      </c>
      <c r="F1231">
        <f>IF(COUNTIFS('United Data'!$A$3:$A$3390,F$1,'United Data'!$C$3:$C$3390,$A1231,'United Data'!$B$3:$B$3390,"&lt;&gt;Off-street")&gt;0,1,0)</f>
        <v>0</v>
      </c>
      <c r="G1231">
        <f>IF(COUNTIFS('United Data'!$A$3:$A$3390,G$1,'United Data'!$C$3:$C$3390,$A1231,'United Data'!$B$3:$B$3390,"&lt;&gt;Off-street")&gt;0,1,0)</f>
        <v>0</v>
      </c>
      <c r="H1231">
        <f>IF(COUNTIFS('United Data'!$A$3:$A$3390,H$1,'United Data'!$C$3:$C$3390,$A1231,'United Data'!$B$3:$B$3390,"&lt;&gt;Off-street")&gt;0,1,0)</f>
        <v>0</v>
      </c>
      <c r="I1231">
        <f>IF(COUNTIFS('United Data'!$A$3:$A$3390,I$1,'United Data'!$C$3:$C$3390,$A1231,'United Data'!$B$3:$B$3390,"&lt;&gt;Off-street")&gt;0,1,0)</f>
        <v>1</v>
      </c>
      <c r="J1231">
        <f>IF(COUNTIFS('United Data'!$A$3:$A$3390,J$1,'United Data'!$C$3:$C$3390,$A1231,'United Data'!$B$3:$B$3390,"&lt;&gt;Off-street")&gt;0,1,0)</f>
        <v>0</v>
      </c>
      <c r="K1231">
        <f>IF(COUNTIFS('United Data'!$A$3:$A$3390,K$1,'United Data'!$C$3:$C$3390,$A1231,'United Data'!$B$3:$B$3390,"&lt;&gt;Off-street")&gt;0,1,0)</f>
        <v>0</v>
      </c>
      <c r="L1231">
        <f>IF(COUNTIFS('United Data'!$A$3:$A$3390,L$1,'United Data'!$C$3:$C$3390,$A1231,'United Data'!$B$3:$B$3390,"&lt;&gt;Off-street")&gt;0,1,0)</f>
        <v>0</v>
      </c>
      <c r="M1231">
        <f>IF(COUNTIFS('United Data'!$A$3:$A$3390,M$1,'United Data'!$C$3:$C$3390,$A1231,'United Data'!$B$3:$B$3390,"&lt;&gt;Off-street")&gt;0,1,0)</f>
        <v>0</v>
      </c>
      <c r="N1231">
        <f>IF(COUNTIFS('United Data'!$A$3:$A$3390,N$1,'United Data'!$C$3:$C$3390,$A1231,'United Data'!$B$3:$B$3390,"&lt;&gt;Off-street")&gt;0,1,0)</f>
        <v>0</v>
      </c>
      <c r="O1231">
        <f>IF(COUNTIFS('United Data'!$A$3:$A$3390,O$1,'United Data'!$C$3:$C$3390,$A1231,'United Data'!$B$3:$B$3390,"&lt;&gt;Off-street")&gt;0,1,0)</f>
        <v>0</v>
      </c>
      <c r="P1231">
        <f>IF(COUNTIFS('United Data'!$A$3:$A$3390,P$1,'United Data'!$C$3:$C$3390,$A1231,'United Data'!$B$3:$B$3390,"&lt;&gt;Off-street")&gt;0,1,0)</f>
        <v>0</v>
      </c>
      <c r="Q1231">
        <f>IF(COUNTIFS('United Data'!$A$3:$A$3390,Q$1,'United Data'!$C$3:$C$3390,$A1231,'United Data'!$B$3:$B$3390,"&lt;&gt;Off-street")&gt;0,1,0)</f>
        <v>0</v>
      </c>
      <c r="R1231">
        <f>IF(COUNTIFS('United Data'!$A$3:$A$3390,R$1,'United Data'!$C$3:$C$3390,$A1231,'United Data'!$B$3:$B$3390,"&lt;&gt;Off-street")&gt;0,1,0)</f>
        <v>0</v>
      </c>
      <c r="S1231">
        <f t="shared" si="38"/>
        <v>1</v>
      </c>
      <c r="T1231">
        <f t="shared" si="39"/>
        <v>1</v>
      </c>
    </row>
    <row r="1232" spans="1:20" x14ac:dyDescent="0.2">
      <c r="A1232" t="s">
        <v>1463</v>
      </c>
      <c r="B1232">
        <f>IF(COUNTIFS('United Data'!$A$3:$A$3390,B$1,'United Data'!$C$3:$C$3390,$A1232,'United Data'!$B$3:$B$3390,"&lt;&gt;Off-street")&gt;0,1,0)</f>
        <v>0</v>
      </c>
      <c r="C1232">
        <f>IF(COUNTIFS('United Data'!$A$3:$A$3390,C$1,'United Data'!$C$3:$C$3390,$A1232,'United Data'!$B$3:$B$3390,"&lt;&gt;Off-street")&gt;0,1,0)</f>
        <v>0</v>
      </c>
      <c r="D1232">
        <f>IF(COUNTIFS('United Data'!$A$3:$A$3390,D$1,'United Data'!$C$3:$C$3390,$A1232,'United Data'!$B$3:$B$3390,"&lt;&gt;Off-street")&gt;0,1,0)</f>
        <v>0</v>
      </c>
      <c r="E1232">
        <f>IF(COUNTIFS('United Data'!$A$3:$A$3390,E$1,'United Data'!$C$3:$C$3390,$A1232,'United Data'!$B$3:$B$3390,"&lt;&gt;Off-street")&gt;0,1,0)</f>
        <v>0</v>
      </c>
      <c r="F1232">
        <f>IF(COUNTIFS('United Data'!$A$3:$A$3390,F$1,'United Data'!$C$3:$C$3390,$A1232,'United Data'!$B$3:$B$3390,"&lt;&gt;Off-street")&gt;0,1,0)</f>
        <v>0</v>
      </c>
      <c r="G1232">
        <f>IF(COUNTIFS('United Data'!$A$3:$A$3390,G$1,'United Data'!$C$3:$C$3390,$A1232,'United Data'!$B$3:$B$3390,"&lt;&gt;Off-street")&gt;0,1,0)</f>
        <v>0</v>
      </c>
      <c r="H1232">
        <f>IF(COUNTIFS('United Data'!$A$3:$A$3390,H$1,'United Data'!$C$3:$C$3390,$A1232,'United Data'!$B$3:$B$3390,"&lt;&gt;Off-street")&gt;0,1,0)</f>
        <v>0</v>
      </c>
      <c r="I1232">
        <f>IF(COUNTIFS('United Data'!$A$3:$A$3390,I$1,'United Data'!$C$3:$C$3390,$A1232,'United Data'!$B$3:$B$3390,"&lt;&gt;Off-street")&gt;0,1,0)</f>
        <v>0</v>
      </c>
      <c r="J1232">
        <f>IF(COUNTIFS('United Data'!$A$3:$A$3390,J$1,'United Data'!$C$3:$C$3390,$A1232,'United Data'!$B$3:$B$3390,"&lt;&gt;Off-street")&gt;0,1,0)</f>
        <v>1</v>
      </c>
      <c r="K1232">
        <f>IF(COUNTIFS('United Data'!$A$3:$A$3390,K$1,'United Data'!$C$3:$C$3390,$A1232,'United Data'!$B$3:$B$3390,"&lt;&gt;Off-street")&gt;0,1,0)</f>
        <v>0</v>
      </c>
      <c r="L1232">
        <f>IF(COUNTIFS('United Data'!$A$3:$A$3390,L$1,'United Data'!$C$3:$C$3390,$A1232,'United Data'!$B$3:$B$3390,"&lt;&gt;Off-street")&gt;0,1,0)</f>
        <v>0</v>
      </c>
      <c r="M1232">
        <f>IF(COUNTIFS('United Data'!$A$3:$A$3390,M$1,'United Data'!$C$3:$C$3390,$A1232,'United Data'!$B$3:$B$3390,"&lt;&gt;Off-street")&gt;0,1,0)</f>
        <v>0</v>
      </c>
      <c r="N1232">
        <f>IF(COUNTIFS('United Data'!$A$3:$A$3390,N$1,'United Data'!$C$3:$C$3390,$A1232,'United Data'!$B$3:$B$3390,"&lt;&gt;Off-street")&gt;0,1,0)</f>
        <v>0</v>
      </c>
      <c r="O1232">
        <f>IF(COUNTIFS('United Data'!$A$3:$A$3390,O$1,'United Data'!$C$3:$C$3390,$A1232,'United Data'!$B$3:$B$3390,"&lt;&gt;Off-street")&gt;0,1,0)</f>
        <v>0</v>
      </c>
      <c r="P1232">
        <f>IF(COUNTIFS('United Data'!$A$3:$A$3390,P$1,'United Data'!$C$3:$C$3390,$A1232,'United Data'!$B$3:$B$3390,"&lt;&gt;Off-street")&gt;0,1,0)</f>
        <v>0</v>
      </c>
      <c r="Q1232">
        <f>IF(COUNTIFS('United Data'!$A$3:$A$3390,Q$1,'United Data'!$C$3:$C$3390,$A1232,'United Data'!$B$3:$B$3390,"&lt;&gt;Off-street")&gt;0,1,0)</f>
        <v>0</v>
      </c>
      <c r="R1232">
        <f>IF(COUNTIFS('United Data'!$A$3:$A$3390,R$1,'United Data'!$C$3:$C$3390,$A1232,'United Data'!$B$3:$B$3390,"&lt;&gt;Off-street")&gt;0,1,0)</f>
        <v>0</v>
      </c>
      <c r="S1232">
        <f t="shared" si="38"/>
        <v>1</v>
      </c>
      <c r="T1232">
        <f t="shared" si="39"/>
        <v>1</v>
      </c>
    </row>
    <row r="1233" spans="1:20" x14ac:dyDescent="0.2">
      <c r="A1233" t="s">
        <v>1465</v>
      </c>
      <c r="B1233">
        <f>IF(COUNTIFS('United Data'!$A$3:$A$3390,B$1,'United Data'!$C$3:$C$3390,$A1233,'United Data'!$B$3:$B$3390,"&lt;&gt;Off-street")&gt;0,1,0)</f>
        <v>0</v>
      </c>
      <c r="C1233">
        <f>IF(COUNTIFS('United Data'!$A$3:$A$3390,C$1,'United Data'!$C$3:$C$3390,$A1233,'United Data'!$B$3:$B$3390,"&lt;&gt;Off-street")&gt;0,1,0)</f>
        <v>0</v>
      </c>
      <c r="D1233">
        <f>IF(COUNTIFS('United Data'!$A$3:$A$3390,D$1,'United Data'!$C$3:$C$3390,$A1233,'United Data'!$B$3:$B$3390,"&lt;&gt;Off-street")&gt;0,1,0)</f>
        <v>0</v>
      </c>
      <c r="E1233">
        <f>IF(COUNTIFS('United Data'!$A$3:$A$3390,E$1,'United Data'!$C$3:$C$3390,$A1233,'United Data'!$B$3:$B$3390,"&lt;&gt;Off-street")&gt;0,1,0)</f>
        <v>0</v>
      </c>
      <c r="F1233">
        <f>IF(COUNTIFS('United Data'!$A$3:$A$3390,F$1,'United Data'!$C$3:$C$3390,$A1233,'United Data'!$B$3:$B$3390,"&lt;&gt;Off-street")&gt;0,1,0)</f>
        <v>0</v>
      </c>
      <c r="G1233">
        <f>IF(COUNTIFS('United Data'!$A$3:$A$3390,G$1,'United Data'!$C$3:$C$3390,$A1233,'United Data'!$B$3:$B$3390,"&lt;&gt;Off-street")&gt;0,1,0)</f>
        <v>0</v>
      </c>
      <c r="H1233">
        <f>IF(COUNTIFS('United Data'!$A$3:$A$3390,H$1,'United Data'!$C$3:$C$3390,$A1233,'United Data'!$B$3:$B$3390,"&lt;&gt;Off-street")&gt;0,1,0)</f>
        <v>0</v>
      </c>
      <c r="I1233">
        <f>IF(COUNTIFS('United Data'!$A$3:$A$3390,I$1,'United Data'!$C$3:$C$3390,$A1233,'United Data'!$B$3:$B$3390,"&lt;&gt;Off-street")&gt;0,1,0)</f>
        <v>0</v>
      </c>
      <c r="J1233">
        <f>IF(COUNTIFS('United Data'!$A$3:$A$3390,J$1,'United Data'!$C$3:$C$3390,$A1233,'United Data'!$B$3:$B$3390,"&lt;&gt;Off-street")&gt;0,1,0)</f>
        <v>0</v>
      </c>
      <c r="K1233">
        <f>IF(COUNTIFS('United Data'!$A$3:$A$3390,K$1,'United Data'!$C$3:$C$3390,$A1233,'United Data'!$B$3:$B$3390,"&lt;&gt;Off-street")&gt;0,1,0)</f>
        <v>0</v>
      </c>
      <c r="L1233">
        <f>IF(COUNTIFS('United Data'!$A$3:$A$3390,L$1,'United Data'!$C$3:$C$3390,$A1233,'United Data'!$B$3:$B$3390,"&lt;&gt;Off-street")&gt;0,1,0)</f>
        <v>0</v>
      </c>
      <c r="M1233">
        <f>IF(COUNTIFS('United Data'!$A$3:$A$3390,M$1,'United Data'!$C$3:$C$3390,$A1233,'United Data'!$B$3:$B$3390,"&lt;&gt;Off-street")&gt;0,1,0)</f>
        <v>1</v>
      </c>
      <c r="N1233">
        <f>IF(COUNTIFS('United Data'!$A$3:$A$3390,N$1,'United Data'!$C$3:$C$3390,$A1233,'United Data'!$B$3:$B$3390,"&lt;&gt;Off-street")&gt;0,1,0)</f>
        <v>0</v>
      </c>
      <c r="O1233">
        <f>IF(COUNTIFS('United Data'!$A$3:$A$3390,O$1,'United Data'!$C$3:$C$3390,$A1233,'United Data'!$B$3:$B$3390,"&lt;&gt;Off-street")&gt;0,1,0)</f>
        <v>0</v>
      </c>
      <c r="P1233">
        <f>IF(COUNTIFS('United Data'!$A$3:$A$3390,P$1,'United Data'!$C$3:$C$3390,$A1233,'United Data'!$B$3:$B$3390,"&lt;&gt;Off-street")&gt;0,1,0)</f>
        <v>0</v>
      </c>
      <c r="Q1233">
        <f>IF(COUNTIFS('United Data'!$A$3:$A$3390,Q$1,'United Data'!$C$3:$C$3390,$A1233,'United Data'!$B$3:$B$3390,"&lt;&gt;Off-street")&gt;0,1,0)</f>
        <v>0</v>
      </c>
      <c r="R1233">
        <f>IF(COUNTIFS('United Data'!$A$3:$A$3390,R$1,'United Data'!$C$3:$C$3390,$A1233,'United Data'!$B$3:$B$3390,"&lt;&gt;Off-street")&gt;0,1,0)</f>
        <v>0</v>
      </c>
      <c r="S1233">
        <f t="shared" si="38"/>
        <v>1</v>
      </c>
      <c r="T1233">
        <f t="shared" si="39"/>
        <v>1</v>
      </c>
    </row>
    <row r="1234" spans="1:20" x14ac:dyDescent="0.2">
      <c r="A1234" t="s">
        <v>1466</v>
      </c>
      <c r="B1234">
        <f>IF(COUNTIFS('United Data'!$A$3:$A$3390,B$1,'United Data'!$C$3:$C$3390,$A1234,'United Data'!$B$3:$B$3390,"&lt;&gt;Off-street")&gt;0,1,0)</f>
        <v>0</v>
      </c>
      <c r="C1234">
        <f>IF(COUNTIFS('United Data'!$A$3:$A$3390,C$1,'United Data'!$C$3:$C$3390,$A1234,'United Data'!$B$3:$B$3390,"&lt;&gt;Off-street")&gt;0,1,0)</f>
        <v>0</v>
      </c>
      <c r="D1234">
        <f>IF(COUNTIFS('United Data'!$A$3:$A$3390,D$1,'United Data'!$C$3:$C$3390,$A1234,'United Data'!$B$3:$B$3390,"&lt;&gt;Off-street")&gt;0,1,0)</f>
        <v>0</v>
      </c>
      <c r="E1234">
        <f>IF(COUNTIFS('United Data'!$A$3:$A$3390,E$1,'United Data'!$C$3:$C$3390,$A1234,'United Data'!$B$3:$B$3390,"&lt;&gt;Off-street")&gt;0,1,0)</f>
        <v>0</v>
      </c>
      <c r="F1234">
        <f>IF(COUNTIFS('United Data'!$A$3:$A$3390,F$1,'United Data'!$C$3:$C$3390,$A1234,'United Data'!$B$3:$B$3390,"&lt;&gt;Off-street")&gt;0,1,0)</f>
        <v>0</v>
      </c>
      <c r="G1234">
        <f>IF(COUNTIFS('United Data'!$A$3:$A$3390,G$1,'United Data'!$C$3:$C$3390,$A1234,'United Data'!$B$3:$B$3390,"&lt;&gt;Off-street")&gt;0,1,0)</f>
        <v>0</v>
      </c>
      <c r="H1234">
        <f>IF(COUNTIFS('United Data'!$A$3:$A$3390,H$1,'United Data'!$C$3:$C$3390,$A1234,'United Data'!$B$3:$B$3390,"&lt;&gt;Off-street")&gt;0,1,0)</f>
        <v>0</v>
      </c>
      <c r="I1234">
        <f>IF(COUNTIFS('United Data'!$A$3:$A$3390,I$1,'United Data'!$C$3:$C$3390,$A1234,'United Data'!$B$3:$B$3390,"&lt;&gt;Off-street")&gt;0,1,0)</f>
        <v>0</v>
      </c>
      <c r="J1234">
        <f>IF(COUNTIFS('United Data'!$A$3:$A$3390,J$1,'United Data'!$C$3:$C$3390,$A1234,'United Data'!$B$3:$B$3390,"&lt;&gt;Off-street")&gt;0,1,0)</f>
        <v>0</v>
      </c>
      <c r="K1234">
        <f>IF(COUNTIFS('United Data'!$A$3:$A$3390,K$1,'United Data'!$C$3:$C$3390,$A1234,'United Data'!$B$3:$B$3390,"&lt;&gt;Off-street")&gt;0,1,0)</f>
        <v>0</v>
      </c>
      <c r="L1234">
        <f>IF(COUNTIFS('United Data'!$A$3:$A$3390,L$1,'United Data'!$C$3:$C$3390,$A1234,'United Data'!$B$3:$B$3390,"&lt;&gt;Off-street")&gt;0,1,0)</f>
        <v>0</v>
      </c>
      <c r="M1234">
        <f>IF(COUNTIFS('United Data'!$A$3:$A$3390,M$1,'United Data'!$C$3:$C$3390,$A1234,'United Data'!$B$3:$B$3390,"&lt;&gt;Off-street")&gt;0,1,0)</f>
        <v>0</v>
      </c>
      <c r="N1234">
        <f>IF(COUNTIFS('United Data'!$A$3:$A$3390,N$1,'United Data'!$C$3:$C$3390,$A1234,'United Data'!$B$3:$B$3390,"&lt;&gt;Off-street")&gt;0,1,0)</f>
        <v>1</v>
      </c>
      <c r="O1234">
        <f>IF(COUNTIFS('United Data'!$A$3:$A$3390,O$1,'United Data'!$C$3:$C$3390,$A1234,'United Data'!$B$3:$B$3390,"&lt;&gt;Off-street")&gt;0,1,0)</f>
        <v>0</v>
      </c>
      <c r="P1234">
        <f>IF(COUNTIFS('United Data'!$A$3:$A$3390,P$1,'United Data'!$C$3:$C$3390,$A1234,'United Data'!$B$3:$B$3390,"&lt;&gt;Off-street")&gt;0,1,0)</f>
        <v>0</v>
      </c>
      <c r="Q1234">
        <f>IF(COUNTIFS('United Data'!$A$3:$A$3390,Q$1,'United Data'!$C$3:$C$3390,$A1234,'United Data'!$B$3:$B$3390,"&lt;&gt;Off-street")&gt;0,1,0)</f>
        <v>0</v>
      </c>
      <c r="R1234">
        <f>IF(COUNTIFS('United Data'!$A$3:$A$3390,R$1,'United Data'!$C$3:$C$3390,$A1234,'United Data'!$B$3:$B$3390,"&lt;&gt;Off-street")&gt;0,1,0)</f>
        <v>0</v>
      </c>
      <c r="S1234">
        <f t="shared" si="38"/>
        <v>1</v>
      </c>
      <c r="T1234">
        <f t="shared" si="39"/>
        <v>1</v>
      </c>
    </row>
    <row r="1235" spans="1:20" x14ac:dyDescent="0.2">
      <c r="A1235" t="s">
        <v>1467</v>
      </c>
      <c r="B1235">
        <f>IF(COUNTIFS('United Data'!$A$3:$A$3390,B$1,'United Data'!$C$3:$C$3390,$A1235,'United Data'!$B$3:$B$3390,"&lt;&gt;Off-street")&gt;0,1,0)</f>
        <v>0</v>
      </c>
      <c r="C1235">
        <f>IF(COUNTIFS('United Data'!$A$3:$A$3390,C$1,'United Data'!$C$3:$C$3390,$A1235,'United Data'!$B$3:$B$3390,"&lt;&gt;Off-street")&gt;0,1,0)</f>
        <v>0</v>
      </c>
      <c r="D1235">
        <f>IF(COUNTIFS('United Data'!$A$3:$A$3390,D$1,'United Data'!$C$3:$C$3390,$A1235,'United Data'!$B$3:$B$3390,"&lt;&gt;Off-street")&gt;0,1,0)</f>
        <v>0</v>
      </c>
      <c r="E1235">
        <f>IF(COUNTIFS('United Data'!$A$3:$A$3390,E$1,'United Data'!$C$3:$C$3390,$A1235,'United Data'!$B$3:$B$3390,"&lt;&gt;Off-street")&gt;0,1,0)</f>
        <v>0</v>
      </c>
      <c r="F1235">
        <f>IF(COUNTIFS('United Data'!$A$3:$A$3390,F$1,'United Data'!$C$3:$C$3390,$A1235,'United Data'!$B$3:$B$3390,"&lt;&gt;Off-street")&gt;0,1,0)</f>
        <v>0</v>
      </c>
      <c r="G1235">
        <f>IF(COUNTIFS('United Data'!$A$3:$A$3390,G$1,'United Data'!$C$3:$C$3390,$A1235,'United Data'!$B$3:$B$3390,"&lt;&gt;Off-street")&gt;0,1,0)</f>
        <v>0</v>
      </c>
      <c r="H1235">
        <f>IF(COUNTIFS('United Data'!$A$3:$A$3390,H$1,'United Data'!$C$3:$C$3390,$A1235,'United Data'!$B$3:$B$3390,"&lt;&gt;Off-street")&gt;0,1,0)</f>
        <v>0</v>
      </c>
      <c r="I1235">
        <f>IF(COUNTIFS('United Data'!$A$3:$A$3390,I$1,'United Data'!$C$3:$C$3390,$A1235,'United Data'!$B$3:$B$3390,"&lt;&gt;Off-street")&gt;0,1,0)</f>
        <v>0</v>
      </c>
      <c r="J1235">
        <f>IF(COUNTIFS('United Data'!$A$3:$A$3390,J$1,'United Data'!$C$3:$C$3390,$A1235,'United Data'!$B$3:$B$3390,"&lt;&gt;Off-street")&gt;0,1,0)</f>
        <v>0</v>
      </c>
      <c r="K1235">
        <f>IF(COUNTIFS('United Data'!$A$3:$A$3390,K$1,'United Data'!$C$3:$C$3390,$A1235,'United Data'!$B$3:$B$3390,"&lt;&gt;Off-street")&gt;0,1,0)</f>
        <v>0</v>
      </c>
      <c r="L1235">
        <f>IF(COUNTIFS('United Data'!$A$3:$A$3390,L$1,'United Data'!$C$3:$C$3390,$A1235,'United Data'!$B$3:$B$3390,"&lt;&gt;Off-street")&gt;0,1,0)</f>
        <v>0</v>
      </c>
      <c r="M1235">
        <f>IF(COUNTIFS('United Data'!$A$3:$A$3390,M$1,'United Data'!$C$3:$C$3390,$A1235,'United Data'!$B$3:$B$3390,"&lt;&gt;Off-street")&gt;0,1,0)</f>
        <v>0</v>
      </c>
      <c r="N1235">
        <f>IF(COUNTIFS('United Data'!$A$3:$A$3390,N$1,'United Data'!$C$3:$C$3390,$A1235,'United Data'!$B$3:$B$3390,"&lt;&gt;Off-street")&gt;0,1,0)</f>
        <v>0</v>
      </c>
      <c r="O1235">
        <f>IF(COUNTIFS('United Data'!$A$3:$A$3390,O$1,'United Data'!$C$3:$C$3390,$A1235,'United Data'!$B$3:$B$3390,"&lt;&gt;Off-street")&gt;0,1,0)</f>
        <v>1</v>
      </c>
      <c r="P1235">
        <f>IF(COUNTIFS('United Data'!$A$3:$A$3390,P$1,'United Data'!$C$3:$C$3390,$A1235,'United Data'!$B$3:$B$3390,"&lt;&gt;Off-street")&gt;0,1,0)</f>
        <v>0</v>
      </c>
      <c r="Q1235">
        <f>IF(COUNTIFS('United Data'!$A$3:$A$3390,Q$1,'United Data'!$C$3:$C$3390,$A1235,'United Data'!$B$3:$B$3390,"&lt;&gt;Off-street")&gt;0,1,0)</f>
        <v>0</v>
      </c>
      <c r="R1235">
        <f>IF(COUNTIFS('United Data'!$A$3:$A$3390,R$1,'United Data'!$C$3:$C$3390,$A1235,'United Data'!$B$3:$B$3390,"&lt;&gt;Off-street")&gt;0,1,0)</f>
        <v>0</v>
      </c>
      <c r="S1235">
        <f t="shared" si="38"/>
        <v>1</v>
      </c>
      <c r="T1235">
        <f t="shared" si="39"/>
        <v>1</v>
      </c>
    </row>
    <row r="1236" spans="1:20" x14ac:dyDescent="0.2">
      <c r="A1236" t="s">
        <v>1468</v>
      </c>
      <c r="B1236">
        <f>IF(COUNTIFS('United Data'!$A$3:$A$3390,B$1,'United Data'!$C$3:$C$3390,$A1236,'United Data'!$B$3:$B$3390,"&lt;&gt;Off-street")&gt;0,1,0)</f>
        <v>0</v>
      </c>
      <c r="C1236">
        <f>IF(COUNTIFS('United Data'!$A$3:$A$3390,C$1,'United Data'!$C$3:$C$3390,$A1236,'United Data'!$B$3:$B$3390,"&lt;&gt;Off-street")&gt;0,1,0)</f>
        <v>0</v>
      </c>
      <c r="D1236">
        <f>IF(COUNTIFS('United Data'!$A$3:$A$3390,D$1,'United Data'!$C$3:$C$3390,$A1236,'United Data'!$B$3:$B$3390,"&lt;&gt;Off-street")&gt;0,1,0)</f>
        <v>0</v>
      </c>
      <c r="E1236">
        <f>IF(COUNTIFS('United Data'!$A$3:$A$3390,E$1,'United Data'!$C$3:$C$3390,$A1236,'United Data'!$B$3:$B$3390,"&lt;&gt;Off-street")&gt;0,1,0)</f>
        <v>0</v>
      </c>
      <c r="F1236">
        <f>IF(COUNTIFS('United Data'!$A$3:$A$3390,F$1,'United Data'!$C$3:$C$3390,$A1236,'United Data'!$B$3:$B$3390,"&lt;&gt;Off-street")&gt;0,1,0)</f>
        <v>0</v>
      </c>
      <c r="G1236">
        <f>IF(COUNTIFS('United Data'!$A$3:$A$3390,G$1,'United Data'!$C$3:$C$3390,$A1236,'United Data'!$B$3:$B$3390,"&lt;&gt;Off-street")&gt;0,1,0)</f>
        <v>0</v>
      </c>
      <c r="H1236">
        <f>IF(COUNTIFS('United Data'!$A$3:$A$3390,H$1,'United Data'!$C$3:$C$3390,$A1236,'United Data'!$B$3:$B$3390,"&lt;&gt;Off-street")&gt;0,1,0)</f>
        <v>0</v>
      </c>
      <c r="I1236">
        <f>IF(COUNTIFS('United Data'!$A$3:$A$3390,I$1,'United Data'!$C$3:$C$3390,$A1236,'United Data'!$B$3:$B$3390,"&lt;&gt;Off-street")&gt;0,1,0)</f>
        <v>0</v>
      </c>
      <c r="J1236">
        <f>IF(COUNTIFS('United Data'!$A$3:$A$3390,J$1,'United Data'!$C$3:$C$3390,$A1236,'United Data'!$B$3:$B$3390,"&lt;&gt;Off-street")&gt;0,1,0)</f>
        <v>0</v>
      </c>
      <c r="K1236">
        <f>IF(COUNTIFS('United Data'!$A$3:$A$3390,K$1,'United Data'!$C$3:$C$3390,$A1236,'United Data'!$B$3:$B$3390,"&lt;&gt;Off-street")&gt;0,1,0)</f>
        <v>0</v>
      </c>
      <c r="L1236">
        <f>IF(COUNTIFS('United Data'!$A$3:$A$3390,L$1,'United Data'!$C$3:$C$3390,$A1236,'United Data'!$B$3:$B$3390,"&lt;&gt;Off-street")&gt;0,1,0)</f>
        <v>0</v>
      </c>
      <c r="M1236">
        <f>IF(COUNTIFS('United Data'!$A$3:$A$3390,M$1,'United Data'!$C$3:$C$3390,$A1236,'United Data'!$B$3:$B$3390,"&lt;&gt;Off-street")&gt;0,1,0)</f>
        <v>0</v>
      </c>
      <c r="N1236">
        <f>IF(COUNTIFS('United Data'!$A$3:$A$3390,N$1,'United Data'!$C$3:$C$3390,$A1236,'United Data'!$B$3:$B$3390,"&lt;&gt;Off-street")&gt;0,1,0)</f>
        <v>0</v>
      </c>
      <c r="O1236">
        <f>IF(COUNTIFS('United Data'!$A$3:$A$3390,O$1,'United Data'!$C$3:$C$3390,$A1236,'United Data'!$B$3:$B$3390,"&lt;&gt;Off-street")&gt;0,1,0)</f>
        <v>1</v>
      </c>
      <c r="P1236">
        <f>IF(COUNTIFS('United Data'!$A$3:$A$3390,P$1,'United Data'!$C$3:$C$3390,$A1236,'United Data'!$B$3:$B$3390,"&lt;&gt;Off-street")&gt;0,1,0)</f>
        <v>0</v>
      </c>
      <c r="Q1236">
        <f>IF(COUNTIFS('United Data'!$A$3:$A$3390,Q$1,'United Data'!$C$3:$C$3390,$A1236,'United Data'!$B$3:$B$3390,"&lt;&gt;Off-street")&gt;0,1,0)</f>
        <v>0</v>
      </c>
      <c r="R1236">
        <f>IF(COUNTIFS('United Data'!$A$3:$A$3390,R$1,'United Data'!$C$3:$C$3390,$A1236,'United Data'!$B$3:$B$3390,"&lt;&gt;Off-street")&gt;0,1,0)</f>
        <v>0</v>
      </c>
      <c r="S1236">
        <f t="shared" si="38"/>
        <v>1</v>
      </c>
      <c r="T1236">
        <f t="shared" si="39"/>
        <v>1</v>
      </c>
    </row>
    <row r="1237" spans="1:20" x14ac:dyDescent="0.2">
      <c r="A1237" t="s">
        <v>1469</v>
      </c>
      <c r="B1237">
        <f>IF(COUNTIFS('United Data'!$A$3:$A$3390,B$1,'United Data'!$C$3:$C$3390,$A1237,'United Data'!$B$3:$B$3390,"&lt;&gt;Off-street")&gt;0,1,0)</f>
        <v>0</v>
      </c>
      <c r="C1237">
        <f>IF(COUNTIFS('United Data'!$A$3:$A$3390,C$1,'United Data'!$C$3:$C$3390,$A1237,'United Data'!$B$3:$B$3390,"&lt;&gt;Off-street")&gt;0,1,0)</f>
        <v>0</v>
      </c>
      <c r="D1237">
        <f>IF(COUNTIFS('United Data'!$A$3:$A$3390,D$1,'United Data'!$C$3:$C$3390,$A1237,'United Data'!$B$3:$B$3390,"&lt;&gt;Off-street")&gt;0,1,0)</f>
        <v>0</v>
      </c>
      <c r="E1237">
        <f>IF(COUNTIFS('United Data'!$A$3:$A$3390,E$1,'United Data'!$C$3:$C$3390,$A1237,'United Data'!$B$3:$B$3390,"&lt;&gt;Off-street")&gt;0,1,0)</f>
        <v>0</v>
      </c>
      <c r="F1237">
        <f>IF(COUNTIFS('United Data'!$A$3:$A$3390,F$1,'United Data'!$C$3:$C$3390,$A1237,'United Data'!$B$3:$B$3390,"&lt;&gt;Off-street")&gt;0,1,0)</f>
        <v>0</v>
      </c>
      <c r="G1237">
        <f>IF(COUNTIFS('United Data'!$A$3:$A$3390,G$1,'United Data'!$C$3:$C$3390,$A1237,'United Data'!$B$3:$B$3390,"&lt;&gt;Off-street")&gt;0,1,0)</f>
        <v>0</v>
      </c>
      <c r="H1237">
        <f>IF(COUNTIFS('United Data'!$A$3:$A$3390,H$1,'United Data'!$C$3:$C$3390,$A1237,'United Data'!$B$3:$B$3390,"&lt;&gt;Off-street")&gt;0,1,0)</f>
        <v>0</v>
      </c>
      <c r="I1237">
        <f>IF(COUNTIFS('United Data'!$A$3:$A$3390,I$1,'United Data'!$C$3:$C$3390,$A1237,'United Data'!$B$3:$B$3390,"&lt;&gt;Off-street")&gt;0,1,0)</f>
        <v>0</v>
      </c>
      <c r="J1237">
        <f>IF(COUNTIFS('United Data'!$A$3:$A$3390,J$1,'United Data'!$C$3:$C$3390,$A1237,'United Data'!$B$3:$B$3390,"&lt;&gt;Off-street")&gt;0,1,0)</f>
        <v>0</v>
      </c>
      <c r="K1237">
        <f>IF(COUNTIFS('United Data'!$A$3:$A$3390,K$1,'United Data'!$C$3:$C$3390,$A1237,'United Data'!$B$3:$B$3390,"&lt;&gt;Off-street")&gt;0,1,0)</f>
        <v>0</v>
      </c>
      <c r="L1237">
        <f>IF(COUNTIFS('United Data'!$A$3:$A$3390,L$1,'United Data'!$C$3:$C$3390,$A1237,'United Data'!$B$3:$B$3390,"&lt;&gt;Off-street")&gt;0,1,0)</f>
        <v>0</v>
      </c>
      <c r="M1237">
        <f>IF(COUNTIFS('United Data'!$A$3:$A$3390,M$1,'United Data'!$C$3:$C$3390,$A1237,'United Data'!$B$3:$B$3390,"&lt;&gt;Off-street")&gt;0,1,0)</f>
        <v>0</v>
      </c>
      <c r="N1237">
        <f>IF(COUNTIFS('United Data'!$A$3:$A$3390,N$1,'United Data'!$C$3:$C$3390,$A1237,'United Data'!$B$3:$B$3390,"&lt;&gt;Off-street")&gt;0,1,0)</f>
        <v>0</v>
      </c>
      <c r="O1237">
        <f>IF(COUNTIFS('United Data'!$A$3:$A$3390,O$1,'United Data'!$C$3:$C$3390,$A1237,'United Data'!$B$3:$B$3390,"&lt;&gt;Off-street")&gt;0,1,0)</f>
        <v>0</v>
      </c>
      <c r="P1237">
        <f>IF(COUNTIFS('United Data'!$A$3:$A$3390,P$1,'United Data'!$C$3:$C$3390,$A1237,'United Data'!$B$3:$B$3390,"&lt;&gt;Off-street")&gt;0,1,0)</f>
        <v>0</v>
      </c>
      <c r="Q1237">
        <f>IF(COUNTIFS('United Data'!$A$3:$A$3390,Q$1,'United Data'!$C$3:$C$3390,$A1237,'United Data'!$B$3:$B$3390,"&lt;&gt;Off-street")&gt;0,1,0)</f>
        <v>1</v>
      </c>
      <c r="R1237">
        <f>IF(COUNTIFS('United Data'!$A$3:$A$3390,R$1,'United Data'!$C$3:$C$3390,$A1237,'United Data'!$B$3:$B$3390,"&lt;&gt;Off-street")&gt;0,1,0)</f>
        <v>0</v>
      </c>
      <c r="S1237">
        <f t="shared" si="38"/>
        <v>1</v>
      </c>
      <c r="T1237">
        <f t="shared" si="39"/>
        <v>1</v>
      </c>
    </row>
    <row r="1238" spans="1:20" x14ac:dyDescent="0.2">
      <c r="A1238" t="s">
        <v>1471</v>
      </c>
      <c r="B1238">
        <f>IF(COUNTIFS('United Data'!$A$3:$A$3390,B$1,'United Data'!$C$3:$C$3390,$A1238,'United Data'!$B$3:$B$3390,"&lt;&gt;Off-street")&gt;0,1,0)</f>
        <v>0</v>
      </c>
      <c r="C1238">
        <f>IF(COUNTIFS('United Data'!$A$3:$A$3390,C$1,'United Data'!$C$3:$C$3390,$A1238,'United Data'!$B$3:$B$3390,"&lt;&gt;Off-street")&gt;0,1,0)</f>
        <v>0</v>
      </c>
      <c r="D1238">
        <f>IF(COUNTIFS('United Data'!$A$3:$A$3390,D$1,'United Data'!$C$3:$C$3390,$A1238,'United Data'!$B$3:$B$3390,"&lt;&gt;Off-street")&gt;0,1,0)</f>
        <v>0</v>
      </c>
      <c r="E1238">
        <f>IF(COUNTIFS('United Data'!$A$3:$A$3390,E$1,'United Data'!$C$3:$C$3390,$A1238,'United Data'!$B$3:$B$3390,"&lt;&gt;Off-street")&gt;0,1,0)</f>
        <v>0</v>
      </c>
      <c r="F1238">
        <f>IF(COUNTIFS('United Data'!$A$3:$A$3390,F$1,'United Data'!$C$3:$C$3390,$A1238,'United Data'!$B$3:$B$3390,"&lt;&gt;Off-street")&gt;0,1,0)</f>
        <v>0</v>
      </c>
      <c r="G1238">
        <f>IF(COUNTIFS('United Data'!$A$3:$A$3390,G$1,'United Data'!$C$3:$C$3390,$A1238,'United Data'!$B$3:$B$3390,"&lt;&gt;Off-street")&gt;0,1,0)</f>
        <v>0</v>
      </c>
      <c r="H1238">
        <f>IF(COUNTIFS('United Data'!$A$3:$A$3390,H$1,'United Data'!$C$3:$C$3390,$A1238,'United Data'!$B$3:$B$3390,"&lt;&gt;Off-street")&gt;0,1,0)</f>
        <v>0</v>
      </c>
      <c r="I1238">
        <f>IF(COUNTIFS('United Data'!$A$3:$A$3390,I$1,'United Data'!$C$3:$C$3390,$A1238,'United Data'!$B$3:$B$3390,"&lt;&gt;Off-street")&gt;0,1,0)</f>
        <v>0</v>
      </c>
      <c r="J1238">
        <f>IF(COUNTIFS('United Data'!$A$3:$A$3390,J$1,'United Data'!$C$3:$C$3390,$A1238,'United Data'!$B$3:$B$3390,"&lt;&gt;Off-street")&gt;0,1,0)</f>
        <v>0</v>
      </c>
      <c r="K1238">
        <f>IF(COUNTIFS('United Data'!$A$3:$A$3390,K$1,'United Data'!$C$3:$C$3390,$A1238,'United Data'!$B$3:$B$3390,"&lt;&gt;Off-street")&gt;0,1,0)</f>
        <v>0</v>
      </c>
      <c r="L1238">
        <f>IF(COUNTIFS('United Data'!$A$3:$A$3390,L$1,'United Data'!$C$3:$C$3390,$A1238,'United Data'!$B$3:$B$3390,"&lt;&gt;Off-street")&gt;0,1,0)</f>
        <v>0</v>
      </c>
      <c r="M1238">
        <f>IF(COUNTIFS('United Data'!$A$3:$A$3390,M$1,'United Data'!$C$3:$C$3390,$A1238,'United Data'!$B$3:$B$3390,"&lt;&gt;Off-street")&gt;0,1,0)</f>
        <v>0</v>
      </c>
      <c r="N1238">
        <f>IF(COUNTIFS('United Data'!$A$3:$A$3390,N$1,'United Data'!$C$3:$C$3390,$A1238,'United Data'!$B$3:$B$3390,"&lt;&gt;Off-street")&gt;0,1,0)</f>
        <v>0</v>
      </c>
      <c r="O1238">
        <f>IF(COUNTIFS('United Data'!$A$3:$A$3390,O$1,'United Data'!$C$3:$C$3390,$A1238,'United Data'!$B$3:$B$3390,"&lt;&gt;Off-street")&gt;0,1,0)</f>
        <v>0</v>
      </c>
      <c r="P1238">
        <f>IF(COUNTIFS('United Data'!$A$3:$A$3390,P$1,'United Data'!$C$3:$C$3390,$A1238,'United Data'!$B$3:$B$3390,"&lt;&gt;Off-street")&gt;0,1,0)</f>
        <v>0</v>
      </c>
      <c r="Q1238">
        <f>IF(COUNTIFS('United Data'!$A$3:$A$3390,Q$1,'United Data'!$C$3:$C$3390,$A1238,'United Data'!$B$3:$B$3390,"&lt;&gt;Off-street")&gt;0,1,0)</f>
        <v>0</v>
      </c>
      <c r="R1238">
        <f>IF(COUNTIFS('United Data'!$A$3:$A$3390,R$1,'United Data'!$C$3:$C$3390,$A1238,'United Data'!$B$3:$B$3390,"&lt;&gt;Off-street")&gt;0,1,0)</f>
        <v>1</v>
      </c>
      <c r="S1238">
        <f t="shared" si="38"/>
        <v>1</v>
      </c>
      <c r="T1238">
        <f t="shared" si="39"/>
        <v>1</v>
      </c>
    </row>
    <row r="1239" spans="1:20" x14ac:dyDescent="0.2">
      <c r="A1239" t="s">
        <v>1472</v>
      </c>
      <c r="B1239">
        <f>IF(COUNTIFS('United Data'!$A$3:$A$3390,B$1,'United Data'!$C$3:$C$3390,$A1239,'United Data'!$B$3:$B$3390,"&lt;&gt;Off-street")&gt;0,1,0)</f>
        <v>1</v>
      </c>
      <c r="C1239">
        <f>IF(COUNTIFS('United Data'!$A$3:$A$3390,C$1,'United Data'!$C$3:$C$3390,$A1239,'United Data'!$B$3:$B$3390,"&lt;&gt;Off-street")&gt;0,1,0)</f>
        <v>1</v>
      </c>
      <c r="D1239">
        <f>IF(COUNTIFS('United Data'!$A$3:$A$3390,D$1,'United Data'!$C$3:$C$3390,$A1239,'United Data'!$B$3:$B$3390,"&lt;&gt;Off-street")&gt;0,1,0)</f>
        <v>1</v>
      </c>
      <c r="E1239">
        <f>IF(COUNTIFS('United Data'!$A$3:$A$3390,E$1,'United Data'!$C$3:$C$3390,$A1239,'United Data'!$B$3:$B$3390,"&lt;&gt;Off-street")&gt;0,1,0)</f>
        <v>0</v>
      </c>
      <c r="F1239">
        <f>IF(COUNTIFS('United Data'!$A$3:$A$3390,F$1,'United Data'!$C$3:$C$3390,$A1239,'United Data'!$B$3:$B$3390,"&lt;&gt;Off-street")&gt;0,1,0)</f>
        <v>0</v>
      </c>
      <c r="G1239">
        <f>IF(COUNTIFS('United Data'!$A$3:$A$3390,G$1,'United Data'!$C$3:$C$3390,$A1239,'United Data'!$B$3:$B$3390,"&lt;&gt;Off-street")&gt;0,1,0)</f>
        <v>0</v>
      </c>
      <c r="H1239">
        <f>IF(COUNTIFS('United Data'!$A$3:$A$3390,H$1,'United Data'!$C$3:$C$3390,$A1239,'United Data'!$B$3:$B$3390,"&lt;&gt;Off-street")&gt;0,1,0)</f>
        <v>0</v>
      </c>
      <c r="I1239">
        <f>IF(COUNTIFS('United Data'!$A$3:$A$3390,I$1,'United Data'!$C$3:$C$3390,$A1239,'United Data'!$B$3:$B$3390,"&lt;&gt;Off-street")&gt;0,1,0)</f>
        <v>0</v>
      </c>
      <c r="J1239">
        <f>IF(COUNTIFS('United Data'!$A$3:$A$3390,J$1,'United Data'!$C$3:$C$3390,$A1239,'United Data'!$B$3:$B$3390,"&lt;&gt;Off-street")&gt;0,1,0)</f>
        <v>0</v>
      </c>
      <c r="K1239">
        <f>IF(COUNTIFS('United Data'!$A$3:$A$3390,K$1,'United Data'!$C$3:$C$3390,$A1239,'United Data'!$B$3:$B$3390,"&lt;&gt;Off-street")&gt;0,1,0)</f>
        <v>0</v>
      </c>
      <c r="L1239">
        <f>IF(COUNTIFS('United Data'!$A$3:$A$3390,L$1,'United Data'!$C$3:$C$3390,$A1239,'United Data'!$B$3:$B$3390,"&lt;&gt;Off-street")&gt;0,1,0)</f>
        <v>0</v>
      </c>
      <c r="M1239">
        <f>IF(COUNTIFS('United Data'!$A$3:$A$3390,M$1,'United Data'!$C$3:$C$3390,$A1239,'United Data'!$B$3:$B$3390,"&lt;&gt;Off-street")&gt;0,1,0)</f>
        <v>0</v>
      </c>
      <c r="N1239">
        <f>IF(COUNTIFS('United Data'!$A$3:$A$3390,N$1,'United Data'!$C$3:$C$3390,$A1239,'United Data'!$B$3:$B$3390,"&lt;&gt;Off-street")&gt;0,1,0)</f>
        <v>0</v>
      </c>
      <c r="O1239">
        <f>IF(COUNTIFS('United Data'!$A$3:$A$3390,O$1,'United Data'!$C$3:$C$3390,$A1239,'United Data'!$B$3:$B$3390,"&lt;&gt;Off-street")&gt;0,1,0)</f>
        <v>0</v>
      </c>
      <c r="P1239">
        <f>IF(COUNTIFS('United Data'!$A$3:$A$3390,P$1,'United Data'!$C$3:$C$3390,$A1239,'United Data'!$B$3:$B$3390,"&lt;&gt;Off-street")&gt;0,1,0)</f>
        <v>0</v>
      </c>
      <c r="Q1239">
        <f>IF(COUNTIFS('United Data'!$A$3:$A$3390,Q$1,'United Data'!$C$3:$C$3390,$A1239,'United Data'!$B$3:$B$3390,"&lt;&gt;Off-street")&gt;0,1,0)</f>
        <v>0</v>
      </c>
      <c r="R1239">
        <f>IF(COUNTIFS('United Data'!$A$3:$A$3390,R$1,'United Data'!$C$3:$C$3390,$A1239,'United Data'!$B$3:$B$3390,"&lt;&gt;Off-street")&gt;0,1,0)</f>
        <v>0</v>
      </c>
      <c r="S1239">
        <f t="shared" si="38"/>
        <v>3</v>
      </c>
      <c r="T1239">
        <f t="shared" si="39"/>
        <v>1</v>
      </c>
    </row>
    <row r="1240" spans="1:20" x14ac:dyDescent="0.2">
      <c r="A1240" t="s">
        <v>1473</v>
      </c>
      <c r="B1240">
        <f>IF(COUNTIFS('United Data'!$A$3:$A$3390,B$1,'United Data'!$C$3:$C$3390,$A1240,'United Data'!$B$3:$B$3390,"&lt;&gt;Off-street")&gt;0,1,0)</f>
        <v>1</v>
      </c>
      <c r="C1240">
        <f>IF(COUNTIFS('United Data'!$A$3:$A$3390,C$1,'United Data'!$C$3:$C$3390,$A1240,'United Data'!$B$3:$B$3390,"&lt;&gt;Off-street")&gt;0,1,0)</f>
        <v>0</v>
      </c>
      <c r="D1240">
        <f>IF(COUNTIFS('United Data'!$A$3:$A$3390,D$1,'United Data'!$C$3:$C$3390,$A1240,'United Data'!$B$3:$B$3390,"&lt;&gt;Off-street")&gt;0,1,0)</f>
        <v>0</v>
      </c>
      <c r="E1240">
        <f>IF(COUNTIFS('United Data'!$A$3:$A$3390,E$1,'United Data'!$C$3:$C$3390,$A1240,'United Data'!$B$3:$B$3390,"&lt;&gt;Off-street")&gt;0,1,0)</f>
        <v>0</v>
      </c>
      <c r="F1240">
        <f>IF(COUNTIFS('United Data'!$A$3:$A$3390,F$1,'United Data'!$C$3:$C$3390,$A1240,'United Data'!$B$3:$B$3390,"&lt;&gt;Off-street")&gt;0,1,0)</f>
        <v>0</v>
      </c>
      <c r="G1240">
        <f>IF(COUNTIFS('United Data'!$A$3:$A$3390,G$1,'United Data'!$C$3:$C$3390,$A1240,'United Data'!$B$3:$B$3390,"&lt;&gt;Off-street")&gt;0,1,0)</f>
        <v>0</v>
      </c>
      <c r="H1240">
        <f>IF(COUNTIFS('United Data'!$A$3:$A$3390,H$1,'United Data'!$C$3:$C$3390,$A1240,'United Data'!$B$3:$B$3390,"&lt;&gt;Off-street")&gt;0,1,0)</f>
        <v>0</v>
      </c>
      <c r="I1240">
        <f>IF(COUNTIFS('United Data'!$A$3:$A$3390,I$1,'United Data'!$C$3:$C$3390,$A1240,'United Data'!$B$3:$B$3390,"&lt;&gt;Off-street")&gt;0,1,0)</f>
        <v>0</v>
      </c>
      <c r="J1240">
        <f>IF(COUNTIFS('United Data'!$A$3:$A$3390,J$1,'United Data'!$C$3:$C$3390,$A1240,'United Data'!$B$3:$B$3390,"&lt;&gt;Off-street")&gt;0,1,0)</f>
        <v>0</v>
      </c>
      <c r="K1240">
        <f>IF(COUNTIFS('United Data'!$A$3:$A$3390,K$1,'United Data'!$C$3:$C$3390,$A1240,'United Data'!$B$3:$B$3390,"&lt;&gt;Off-street")&gt;0,1,0)</f>
        <v>0</v>
      </c>
      <c r="L1240">
        <f>IF(COUNTIFS('United Data'!$A$3:$A$3390,L$1,'United Data'!$C$3:$C$3390,$A1240,'United Data'!$B$3:$B$3390,"&lt;&gt;Off-street")&gt;0,1,0)</f>
        <v>0</v>
      </c>
      <c r="M1240">
        <f>IF(COUNTIFS('United Data'!$A$3:$A$3390,M$1,'United Data'!$C$3:$C$3390,$A1240,'United Data'!$B$3:$B$3390,"&lt;&gt;Off-street")&gt;0,1,0)</f>
        <v>0</v>
      </c>
      <c r="N1240">
        <f>IF(COUNTIFS('United Data'!$A$3:$A$3390,N$1,'United Data'!$C$3:$C$3390,$A1240,'United Data'!$B$3:$B$3390,"&lt;&gt;Off-street")&gt;0,1,0)</f>
        <v>0</v>
      </c>
      <c r="O1240">
        <f>IF(COUNTIFS('United Data'!$A$3:$A$3390,O$1,'United Data'!$C$3:$C$3390,$A1240,'United Data'!$B$3:$B$3390,"&lt;&gt;Off-street")&gt;0,1,0)</f>
        <v>0</v>
      </c>
      <c r="P1240">
        <f>IF(COUNTIFS('United Data'!$A$3:$A$3390,P$1,'United Data'!$C$3:$C$3390,$A1240,'United Data'!$B$3:$B$3390,"&lt;&gt;Off-street")&gt;0,1,0)</f>
        <v>0</v>
      </c>
      <c r="Q1240">
        <f>IF(COUNTIFS('United Data'!$A$3:$A$3390,Q$1,'United Data'!$C$3:$C$3390,$A1240,'United Data'!$B$3:$B$3390,"&lt;&gt;Off-street")&gt;0,1,0)</f>
        <v>0</v>
      </c>
      <c r="R1240">
        <f>IF(COUNTIFS('United Data'!$A$3:$A$3390,R$1,'United Data'!$C$3:$C$3390,$A1240,'United Data'!$B$3:$B$3390,"&lt;&gt;Off-street")&gt;0,1,0)</f>
        <v>0</v>
      </c>
      <c r="S1240">
        <f t="shared" si="38"/>
        <v>1</v>
      </c>
      <c r="T1240">
        <f t="shared" si="39"/>
        <v>1</v>
      </c>
    </row>
    <row r="1241" spans="1:20" x14ac:dyDescent="0.2">
      <c r="A1241" t="s">
        <v>1474</v>
      </c>
      <c r="B1241">
        <f>IF(COUNTIFS('United Data'!$A$3:$A$3390,B$1,'United Data'!$C$3:$C$3390,$A1241,'United Data'!$B$3:$B$3390,"&lt;&gt;Off-street")&gt;0,1,0)</f>
        <v>1</v>
      </c>
      <c r="C1241">
        <f>IF(COUNTIFS('United Data'!$A$3:$A$3390,C$1,'United Data'!$C$3:$C$3390,$A1241,'United Data'!$B$3:$B$3390,"&lt;&gt;Off-street")&gt;0,1,0)</f>
        <v>1</v>
      </c>
      <c r="D1241">
        <f>IF(COUNTIFS('United Data'!$A$3:$A$3390,D$1,'United Data'!$C$3:$C$3390,$A1241,'United Data'!$B$3:$B$3390,"&lt;&gt;Off-street")&gt;0,1,0)</f>
        <v>1</v>
      </c>
      <c r="E1241">
        <f>IF(COUNTIFS('United Data'!$A$3:$A$3390,E$1,'United Data'!$C$3:$C$3390,$A1241,'United Data'!$B$3:$B$3390,"&lt;&gt;Off-street")&gt;0,1,0)</f>
        <v>1</v>
      </c>
      <c r="F1241">
        <f>IF(COUNTIFS('United Data'!$A$3:$A$3390,F$1,'United Data'!$C$3:$C$3390,$A1241,'United Data'!$B$3:$B$3390,"&lt;&gt;Off-street")&gt;0,1,0)</f>
        <v>1</v>
      </c>
      <c r="G1241">
        <f>IF(COUNTIFS('United Data'!$A$3:$A$3390,G$1,'United Data'!$C$3:$C$3390,$A1241,'United Data'!$B$3:$B$3390,"&lt;&gt;Off-street")&gt;0,1,0)</f>
        <v>0</v>
      </c>
      <c r="H1241">
        <f>IF(COUNTIFS('United Data'!$A$3:$A$3390,H$1,'United Data'!$C$3:$C$3390,$A1241,'United Data'!$B$3:$B$3390,"&lt;&gt;Off-street")&gt;0,1,0)</f>
        <v>0</v>
      </c>
      <c r="I1241">
        <f>IF(COUNTIFS('United Data'!$A$3:$A$3390,I$1,'United Data'!$C$3:$C$3390,$A1241,'United Data'!$B$3:$B$3390,"&lt;&gt;Off-street")&gt;0,1,0)</f>
        <v>0</v>
      </c>
      <c r="J1241">
        <f>IF(COUNTIFS('United Data'!$A$3:$A$3390,J$1,'United Data'!$C$3:$C$3390,$A1241,'United Data'!$B$3:$B$3390,"&lt;&gt;Off-street")&gt;0,1,0)</f>
        <v>0</v>
      </c>
      <c r="K1241">
        <f>IF(COUNTIFS('United Data'!$A$3:$A$3390,K$1,'United Data'!$C$3:$C$3390,$A1241,'United Data'!$B$3:$B$3390,"&lt;&gt;Off-street")&gt;0,1,0)</f>
        <v>0</v>
      </c>
      <c r="L1241">
        <f>IF(COUNTIFS('United Data'!$A$3:$A$3390,L$1,'United Data'!$C$3:$C$3390,$A1241,'United Data'!$B$3:$B$3390,"&lt;&gt;Off-street")&gt;0,1,0)</f>
        <v>0</v>
      </c>
      <c r="M1241">
        <f>IF(COUNTIFS('United Data'!$A$3:$A$3390,M$1,'United Data'!$C$3:$C$3390,$A1241,'United Data'!$B$3:$B$3390,"&lt;&gt;Off-street")&gt;0,1,0)</f>
        <v>0</v>
      </c>
      <c r="N1241">
        <f>IF(COUNTIFS('United Data'!$A$3:$A$3390,N$1,'United Data'!$C$3:$C$3390,$A1241,'United Data'!$B$3:$B$3390,"&lt;&gt;Off-street")&gt;0,1,0)</f>
        <v>0</v>
      </c>
      <c r="O1241">
        <f>IF(COUNTIFS('United Data'!$A$3:$A$3390,O$1,'United Data'!$C$3:$C$3390,$A1241,'United Data'!$B$3:$B$3390,"&lt;&gt;Off-street")&gt;0,1,0)</f>
        <v>0</v>
      </c>
      <c r="P1241">
        <f>IF(COUNTIFS('United Data'!$A$3:$A$3390,P$1,'United Data'!$C$3:$C$3390,$A1241,'United Data'!$B$3:$B$3390,"&lt;&gt;Off-street")&gt;0,1,0)</f>
        <v>0</v>
      </c>
      <c r="Q1241">
        <f>IF(COUNTIFS('United Data'!$A$3:$A$3390,Q$1,'United Data'!$C$3:$C$3390,$A1241,'United Data'!$B$3:$B$3390,"&lt;&gt;Off-street")&gt;0,1,0)</f>
        <v>0</v>
      </c>
      <c r="R1241">
        <f>IF(COUNTIFS('United Data'!$A$3:$A$3390,R$1,'United Data'!$C$3:$C$3390,$A1241,'United Data'!$B$3:$B$3390,"&lt;&gt;Off-street")&gt;0,1,0)</f>
        <v>0</v>
      </c>
      <c r="S1241">
        <f t="shared" si="38"/>
        <v>5</v>
      </c>
      <c r="T1241">
        <f t="shared" si="39"/>
        <v>1</v>
      </c>
    </row>
    <row r="1242" spans="1:20" x14ac:dyDescent="0.2">
      <c r="A1242" t="s">
        <v>1475</v>
      </c>
      <c r="B1242">
        <f>IF(COUNTIFS('United Data'!$A$3:$A$3390,B$1,'United Data'!$C$3:$C$3390,$A1242,'United Data'!$B$3:$B$3390,"&lt;&gt;Off-street")&gt;0,1,0)</f>
        <v>0</v>
      </c>
      <c r="C1242">
        <f>IF(COUNTIFS('United Data'!$A$3:$A$3390,C$1,'United Data'!$C$3:$C$3390,$A1242,'United Data'!$B$3:$B$3390,"&lt;&gt;Off-street")&gt;0,1,0)</f>
        <v>0</v>
      </c>
      <c r="D1242">
        <f>IF(COUNTIFS('United Data'!$A$3:$A$3390,D$1,'United Data'!$C$3:$C$3390,$A1242,'United Data'!$B$3:$B$3390,"&lt;&gt;Off-street")&gt;0,1,0)</f>
        <v>1</v>
      </c>
      <c r="E1242">
        <f>IF(COUNTIFS('United Data'!$A$3:$A$3390,E$1,'United Data'!$C$3:$C$3390,$A1242,'United Data'!$B$3:$B$3390,"&lt;&gt;Off-street")&gt;0,1,0)</f>
        <v>0</v>
      </c>
      <c r="F1242">
        <f>IF(COUNTIFS('United Data'!$A$3:$A$3390,F$1,'United Data'!$C$3:$C$3390,$A1242,'United Data'!$B$3:$B$3390,"&lt;&gt;Off-street")&gt;0,1,0)</f>
        <v>0</v>
      </c>
      <c r="G1242">
        <f>IF(COUNTIFS('United Data'!$A$3:$A$3390,G$1,'United Data'!$C$3:$C$3390,$A1242,'United Data'!$B$3:$B$3390,"&lt;&gt;Off-street")&gt;0,1,0)</f>
        <v>0</v>
      </c>
      <c r="H1242">
        <f>IF(COUNTIFS('United Data'!$A$3:$A$3390,H$1,'United Data'!$C$3:$C$3390,$A1242,'United Data'!$B$3:$B$3390,"&lt;&gt;Off-street")&gt;0,1,0)</f>
        <v>0</v>
      </c>
      <c r="I1242">
        <f>IF(COUNTIFS('United Data'!$A$3:$A$3390,I$1,'United Data'!$C$3:$C$3390,$A1242,'United Data'!$B$3:$B$3390,"&lt;&gt;Off-street")&gt;0,1,0)</f>
        <v>0</v>
      </c>
      <c r="J1242">
        <f>IF(COUNTIFS('United Data'!$A$3:$A$3390,J$1,'United Data'!$C$3:$C$3390,$A1242,'United Data'!$B$3:$B$3390,"&lt;&gt;Off-street")&gt;0,1,0)</f>
        <v>0</v>
      </c>
      <c r="K1242">
        <f>IF(COUNTIFS('United Data'!$A$3:$A$3390,K$1,'United Data'!$C$3:$C$3390,$A1242,'United Data'!$B$3:$B$3390,"&lt;&gt;Off-street")&gt;0,1,0)</f>
        <v>0</v>
      </c>
      <c r="L1242">
        <f>IF(COUNTIFS('United Data'!$A$3:$A$3390,L$1,'United Data'!$C$3:$C$3390,$A1242,'United Data'!$B$3:$B$3390,"&lt;&gt;Off-street")&gt;0,1,0)</f>
        <v>0</v>
      </c>
      <c r="M1242">
        <f>IF(COUNTIFS('United Data'!$A$3:$A$3390,M$1,'United Data'!$C$3:$C$3390,$A1242,'United Data'!$B$3:$B$3390,"&lt;&gt;Off-street")&gt;0,1,0)</f>
        <v>0</v>
      </c>
      <c r="N1242">
        <f>IF(COUNTIFS('United Data'!$A$3:$A$3390,N$1,'United Data'!$C$3:$C$3390,$A1242,'United Data'!$B$3:$B$3390,"&lt;&gt;Off-street")&gt;0,1,0)</f>
        <v>0</v>
      </c>
      <c r="O1242">
        <f>IF(COUNTIFS('United Data'!$A$3:$A$3390,O$1,'United Data'!$C$3:$C$3390,$A1242,'United Data'!$B$3:$B$3390,"&lt;&gt;Off-street")&gt;0,1,0)</f>
        <v>0</v>
      </c>
      <c r="P1242">
        <f>IF(COUNTIFS('United Data'!$A$3:$A$3390,P$1,'United Data'!$C$3:$C$3390,$A1242,'United Data'!$B$3:$B$3390,"&lt;&gt;Off-street")&gt;0,1,0)</f>
        <v>0</v>
      </c>
      <c r="Q1242">
        <f>IF(COUNTIFS('United Data'!$A$3:$A$3390,Q$1,'United Data'!$C$3:$C$3390,$A1242,'United Data'!$B$3:$B$3390,"&lt;&gt;Off-street")&gt;0,1,0)</f>
        <v>0</v>
      </c>
      <c r="R1242">
        <f>IF(COUNTIFS('United Data'!$A$3:$A$3390,R$1,'United Data'!$C$3:$C$3390,$A1242,'United Data'!$B$3:$B$3390,"&lt;&gt;Off-street")&gt;0,1,0)</f>
        <v>0</v>
      </c>
      <c r="S1242">
        <f t="shared" si="38"/>
        <v>1</v>
      </c>
      <c r="T1242">
        <f t="shared" si="39"/>
        <v>1</v>
      </c>
    </row>
    <row r="1243" spans="1:20" x14ac:dyDescent="0.2">
      <c r="A1243" t="s">
        <v>1478</v>
      </c>
      <c r="B1243">
        <f>IF(COUNTIFS('United Data'!$A$3:$A$3390,B$1,'United Data'!$C$3:$C$3390,$A1243,'United Data'!$B$3:$B$3390,"&lt;&gt;Off-street")&gt;0,1,0)</f>
        <v>1</v>
      </c>
      <c r="C1243">
        <f>IF(COUNTIFS('United Data'!$A$3:$A$3390,C$1,'United Data'!$C$3:$C$3390,$A1243,'United Data'!$B$3:$B$3390,"&lt;&gt;Off-street")&gt;0,1,0)</f>
        <v>0</v>
      </c>
      <c r="D1243">
        <f>IF(COUNTIFS('United Data'!$A$3:$A$3390,D$1,'United Data'!$C$3:$C$3390,$A1243,'United Data'!$B$3:$B$3390,"&lt;&gt;Off-street")&gt;0,1,0)</f>
        <v>0</v>
      </c>
      <c r="E1243">
        <f>IF(COUNTIFS('United Data'!$A$3:$A$3390,E$1,'United Data'!$C$3:$C$3390,$A1243,'United Data'!$B$3:$B$3390,"&lt;&gt;Off-street")&gt;0,1,0)</f>
        <v>1</v>
      </c>
      <c r="F1243">
        <f>IF(COUNTIFS('United Data'!$A$3:$A$3390,F$1,'United Data'!$C$3:$C$3390,$A1243,'United Data'!$B$3:$B$3390,"&lt;&gt;Off-street")&gt;0,1,0)</f>
        <v>0</v>
      </c>
      <c r="G1243">
        <f>IF(COUNTIFS('United Data'!$A$3:$A$3390,G$1,'United Data'!$C$3:$C$3390,$A1243,'United Data'!$B$3:$B$3390,"&lt;&gt;Off-street")&gt;0,1,0)</f>
        <v>0</v>
      </c>
      <c r="H1243">
        <f>IF(COUNTIFS('United Data'!$A$3:$A$3390,H$1,'United Data'!$C$3:$C$3390,$A1243,'United Data'!$B$3:$B$3390,"&lt;&gt;Off-street")&gt;0,1,0)</f>
        <v>0</v>
      </c>
      <c r="I1243">
        <f>IF(COUNTIFS('United Data'!$A$3:$A$3390,I$1,'United Data'!$C$3:$C$3390,$A1243,'United Data'!$B$3:$B$3390,"&lt;&gt;Off-street")&gt;0,1,0)</f>
        <v>0</v>
      </c>
      <c r="J1243">
        <f>IF(COUNTIFS('United Data'!$A$3:$A$3390,J$1,'United Data'!$C$3:$C$3390,$A1243,'United Data'!$B$3:$B$3390,"&lt;&gt;Off-street")&gt;0,1,0)</f>
        <v>0</v>
      </c>
      <c r="K1243">
        <f>IF(COUNTIFS('United Data'!$A$3:$A$3390,K$1,'United Data'!$C$3:$C$3390,$A1243,'United Data'!$B$3:$B$3390,"&lt;&gt;Off-street")&gt;0,1,0)</f>
        <v>0</v>
      </c>
      <c r="L1243">
        <f>IF(COUNTIFS('United Data'!$A$3:$A$3390,L$1,'United Data'!$C$3:$C$3390,$A1243,'United Data'!$B$3:$B$3390,"&lt;&gt;Off-street")&gt;0,1,0)</f>
        <v>0</v>
      </c>
      <c r="M1243">
        <f>IF(COUNTIFS('United Data'!$A$3:$A$3390,M$1,'United Data'!$C$3:$C$3390,$A1243,'United Data'!$B$3:$B$3390,"&lt;&gt;Off-street")&gt;0,1,0)</f>
        <v>0</v>
      </c>
      <c r="N1243">
        <f>IF(COUNTIFS('United Data'!$A$3:$A$3390,N$1,'United Data'!$C$3:$C$3390,$A1243,'United Data'!$B$3:$B$3390,"&lt;&gt;Off-street")&gt;0,1,0)</f>
        <v>0</v>
      </c>
      <c r="O1243">
        <f>IF(COUNTIFS('United Data'!$A$3:$A$3390,O$1,'United Data'!$C$3:$C$3390,$A1243,'United Data'!$B$3:$B$3390,"&lt;&gt;Off-street")&gt;0,1,0)</f>
        <v>0</v>
      </c>
      <c r="P1243">
        <f>IF(COUNTIFS('United Data'!$A$3:$A$3390,P$1,'United Data'!$C$3:$C$3390,$A1243,'United Data'!$B$3:$B$3390,"&lt;&gt;Off-street")&gt;0,1,0)</f>
        <v>0</v>
      </c>
      <c r="Q1243">
        <f>IF(COUNTIFS('United Data'!$A$3:$A$3390,Q$1,'United Data'!$C$3:$C$3390,$A1243,'United Data'!$B$3:$B$3390,"&lt;&gt;Off-street")&gt;0,1,0)</f>
        <v>0</v>
      </c>
      <c r="R1243">
        <f>IF(COUNTIFS('United Data'!$A$3:$A$3390,R$1,'United Data'!$C$3:$C$3390,$A1243,'United Data'!$B$3:$B$3390,"&lt;&gt;Off-street")&gt;0,1,0)</f>
        <v>0</v>
      </c>
      <c r="S1243">
        <f t="shared" si="38"/>
        <v>2</v>
      </c>
      <c r="T1243">
        <f t="shared" si="39"/>
        <v>2</v>
      </c>
    </row>
    <row r="1244" spans="1:20" x14ac:dyDescent="0.2">
      <c r="A1244" t="s">
        <v>1479</v>
      </c>
      <c r="B1244">
        <f>IF(COUNTIFS('United Data'!$A$3:$A$3390,B$1,'United Data'!$C$3:$C$3390,$A1244,'United Data'!$B$3:$B$3390,"&lt;&gt;Off-street")&gt;0,1,0)</f>
        <v>0</v>
      </c>
      <c r="C1244">
        <f>IF(COUNTIFS('United Data'!$A$3:$A$3390,C$1,'United Data'!$C$3:$C$3390,$A1244,'United Data'!$B$3:$B$3390,"&lt;&gt;Off-street")&gt;0,1,0)</f>
        <v>0</v>
      </c>
      <c r="D1244">
        <f>IF(COUNTIFS('United Data'!$A$3:$A$3390,D$1,'United Data'!$C$3:$C$3390,$A1244,'United Data'!$B$3:$B$3390,"&lt;&gt;Off-street")&gt;0,1,0)</f>
        <v>0</v>
      </c>
      <c r="E1244">
        <f>IF(COUNTIFS('United Data'!$A$3:$A$3390,E$1,'United Data'!$C$3:$C$3390,$A1244,'United Data'!$B$3:$B$3390,"&lt;&gt;Off-street")&gt;0,1,0)</f>
        <v>1</v>
      </c>
      <c r="F1244">
        <f>IF(COUNTIFS('United Data'!$A$3:$A$3390,F$1,'United Data'!$C$3:$C$3390,$A1244,'United Data'!$B$3:$B$3390,"&lt;&gt;Off-street")&gt;0,1,0)</f>
        <v>0</v>
      </c>
      <c r="G1244">
        <f>IF(COUNTIFS('United Data'!$A$3:$A$3390,G$1,'United Data'!$C$3:$C$3390,$A1244,'United Data'!$B$3:$B$3390,"&lt;&gt;Off-street")&gt;0,1,0)</f>
        <v>0</v>
      </c>
      <c r="H1244">
        <f>IF(COUNTIFS('United Data'!$A$3:$A$3390,H$1,'United Data'!$C$3:$C$3390,$A1244,'United Data'!$B$3:$B$3390,"&lt;&gt;Off-street")&gt;0,1,0)</f>
        <v>0</v>
      </c>
      <c r="I1244">
        <f>IF(COUNTIFS('United Data'!$A$3:$A$3390,I$1,'United Data'!$C$3:$C$3390,$A1244,'United Data'!$B$3:$B$3390,"&lt;&gt;Off-street")&gt;0,1,0)</f>
        <v>0</v>
      </c>
      <c r="J1244">
        <f>IF(COUNTIFS('United Data'!$A$3:$A$3390,J$1,'United Data'!$C$3:$C$3390,$A1244,'United Data'!$B$3:$B$3390,"&lt;&gt;Off-street")&gt;0,1,0)</f>
        <v>0</v>
      </c>
      <c r="K1244">
        <f>IF(COUNTIFS('United Data'!$A$3:$A$3390,K$1,'United Data'!$C$3:$C$3390,$A1244,'United Data'!$B$3:$B$3390,"&lt;&gt;Off-street")&gt;0,1,0)</f>
        <v>0</v>
      </c>
      <c r="L1244">
        <f>IF(COUNTIFS('United Data'!$A$3:$A$3390,L$1,'United Data'!$C$3:$C$3390,$A1244,'United Data'!$B$3:$B$3390,"&lt;&gt;Off-street")&gt;0,1,0)</f>
        <v>0</v>
      </c>
      <c r="M1244">
        <f>IF(COUNTIFS('United Data'!$A$3:$A$3390,M$1,'United Data'!$C$3:$C$3390,$A1244,'United Data'!$B$3:$B$3390,"&lt;&gt;Off-street")&gt;0,1,0)</f>
        <v>0</v>
      </c>
      <c r="N1244">
        <f>IF(COUNTIFS('United Data'!$A$3:$A$3390,N$1,'United Data'!$C$3:$C$3390,$A1244,'United Data'!$B$3:$B$3390,"&lt;&gt;Off-street")&gt;0,1,0)</f>
        <v>0</v>
      </c>
      <c r="O1244">
        <f>IF(COUNTIFS('United Data'!$A$3:$A$3390,O$1,'United Data'!$C$3:$C$3390,$A1244,'United Data'!$B$3:$B$3390,"&lt;&gt;Off-street")&gt;0,1,0)</f>
        <v>0</v>
      </c>
      <c r="P1244">
        <f>IF(COUNTIFS('United Data'!$A$3:$A$3390,P$1,'United Data'!$C$3:$C$3390,$A1244,'United Data'!$B$3:$B$3390,"&lt;&gt;Off-street")&gt;0,1,0)</f>
        <v>0</v>
      </c>
      <c r="Q1244">
        <f>IF(COUNTIFS('United Data'!$A$3:$A$3390,Q$1,'United Data'!$C$3:$C$3390,$A1244,'United Data'!$B$3:$B$3390,"&lt;&gt;Off-street")&gt;0,1,0)</f>
        <v>0</v>
      </c>
      <c r="R1244">
        <f>IF(COUNTIFS('United Data'!$A$3:$A$3390,R$1,'United Data'!$C$3:$C$3390,$A1244,'United Data'!$B$3:$B$3390,"&lt;&gt;Off-street")&gt;0,1,0)</f>
        <v>0</v>
      </c>
      <c r="S1244">
        <f t="shared" si="38"/>
        <v>1</v>
      </c>
      <c r="T1244">
        <f t="shared" si="39"/>
        <v>1</v>
      </c>
    </row>
    <row r="1245" spans="1:20" x14ac:dyDescent="0.2">
      <c r="A1245" t="s">
        <v>1480</v>
      </c>
      <c r="B1245">
        <f>IF(COUNTIFS('United Data'!$A$3:$A$3390,B$1,'United Data'!$C$3:$C$3390,$A1245,'United Data'!$B$3:$B$3390,"&lt;&gt;Off-street")&gt;0,1,0)</f>
        <v>0</v>
      </c>
      <c r="C1245">
        <f>IF(COUNTIFS('United Data'!$A$3:$A$3390,C$1,'United Data'!$C$3:$C$3390,$A1245,'United Data'!$B$3:$B$3390,"&lt;&gt;Off-street")&gt;0,1,0)</f>
        <v>0</v>
      </c>
      <c r="D1245">
        <f>IF(COUNTIFS('United Data'!$A$3:$A$3390,D$1,'United Data'!$C$3:$C$3390,$A1245,'United Data'!$B$3:$B$3390,"&lt;&gt;Off-street")&gt;0,1,0)</f>
        <v>0</v>
      </c>
      <c r="E1245">
        <f>IF(COUNTIFS('United Data'!$A$3:$A$3390,E$1,'United Data'!$C$3:$C$3390,$A1245,'United Data'!$B$3:$B$3390,"&lt;&gt;Off-street")&gt;0,1,0)</f>
        <v>1</v>
      </c>
      <c r="F1245">
        <f>IF(COUNTIFS('United Data'!$A$3:$A$3390,F$1,'United Data'!$C$3:$C$3390,$A1245,'United Data'!$B$3:$B$3390,"&lt;&gt;Off-street")&gt;0,1,0)</f>
        <v>0</v>
      </c>
      <c r="G1245">
        <f>IF(COUNTIFS('United Data'!$A$3:$A$3390,G$1,'United Data'!$C$3:$C$3390,$A1245,'United Data'!$B$3:$B$3390,"&lt;&gt;Off-street")&gt;0,1,0)</f>
        <v>1</v>
      </c>
      <c r="H1245">
        <f>IF(COUNTIFS('United Data'!$A$3:$A$3390,H$1,'United Data'!$C$3:$C$3390,$A1245,'United Data'!$B$3:$B$3390,"&lt;&gt;Off-street")&gt;0,1,0)</f>
        <v>0</v>
      </c>
      <c r="I1245">
        <f>IF(COUNTIFS('United Data'!$A$3:$A$3390,I$1,'United Data'!$C$3:$C$3390,$A1245,'United Data'!$B$3:$B$3390,"&lt;&gt;Off-street")&gt;0,1,0)</f>
        <v>0</v>
      </c>
      <c r="J1245">
        <f>IF(COUNTIFS('United Data'!$A$3:$A$3390,J$1,'United Data'!$C$3:$C$3390,$A1245,'United Data'!$B$3:$B$3390,"&lt;&gt;Off-street")&gt;0,1,0)</f>
        <v>0</v>
      </c>
      <c r="K1245">
        <f>IF(COUNTIFS('United Data'!$A$3:$A$3390,K$1,'United Data'!$C$3:$C$3390,$A1245,'United Data'!$B$3:$B$3390,"&lt;&gt;Off-street")&gt;0,1,0)</f>
        <v>1</v>
      </c>
      <c r="L1245">
        <f>IF(COUNTIFS('United Data'!$A$3:$A$3390,L$1,'United Data'!$C$3:$C$3390,$A1245,'United Data'!$B$3:$B$3390,"&lt;&gt;Off-street")&gt;0,1,0)</f>
        <v>0</v>
      </c>
      <c r="M1245">
        <f>IF(COUNTIFS('United Data'!$A$3:$A$3390,M$1,'United Data'!$C$3:$C$3390,$A1245,'United Data'!$B$3:$B$3390,"&lt;&gt;Off-street")&gt;0,1,0)</f>
        <v>0</v>
      </c>
      <c r="N1245">
        <f>IF(COUNTIFS('United Data'!$A$3:$A$3390,N$1,'United Data'!$C$3:$C$3390,$A1245,'United Data'!$B$3:$B$3390,"&lt;&gt;Off-street")&gt;0,1,0)</f>
        <v>1</v>
      </c>
      <c r="O1245">
        <f>IF(COUNTIFS('United Data'!$A$3:$A$3390,O$1,'United Data'!$C$3:$C$3390,$A1245,'United Data'!$B$3:$B$3390,"&lt;&gt;Off-street")&gt;0,1,0)</f>
        <v>0</v>
      </c>
      <c r="P1245">
        <f>IF(COUNTIFS('United Data'!$A$3:$A$3390,P$1,'United Data'!$C$3:$C$3390,$A1245,'United Data'!$B$3:$B$3390,"&lt;&gt;Off-street")&gt;0,1,0)</f>
        <v>0</v>
      </c>
      <c r="Q1245">
        <f>IF(COUNTIFS('United Data'!$A$3:$A$3390,Q$1,'United Data'!$C$3:$C$3390,$A1245,'United Data'!$B$3:$B$3390,"&lt;&gt;Off-street")&gt;0,1,0)</f>
        <v>0</v>
      </c>
      <c r="R1245">
        <f>IF(COUNTIFS('United Data'!$A$3:$A$3390,R$1,'United Data'!$C$3:$C$3390,$A1245,'United Data'!$B$3:$B$3390,"&lt;&gt;Off-street")&gt;0,1,0)</f>
        <v>0</v>
      </c>
      <c r="S1245">
        <f t="shared" si="38"/>
        <v>4</v>
      </c>
      <c r="T1245">
        <f t="shared" si="39"/>
        <v>4</v>
      </c>
    </row>
    <row r="1246" spans="1:20" x14ac:dyDescent="0.2">
      <c r="A1246" t="s">
        <v>1481</v>
      </c>
      <c r="B1246">
        <f>IF(COUNTIFS('United Data'!$A$3:$A$3390,B$1,'United Data'!$C$3:$C$3390,$A1246,'United Data'!$B$3:$B$3390,"&lt;&gt;Off-street")&gt;0,1,0)</f>
        <v>0</v>
      </c>
      <c r="C1246">
        <f>IF(COUNTIFS('United Data'!$A$3:$A$3390,C$1,'United Data'!$C$3:$C$3390,$A1246,'United Data'!$B$3:$B$3390,"&lt;&gt;Off-street")&gt;0,1,0)</f>
        <v>0</v>
      </c>
      <c r="D1246">
        <f>IF(COUNTIFS('United Data'!$A$3:$A$3390,D$1,'United Data'!$C$3:$C$3390,$A1246,'United Data'!$B$3:$B$3390,"&lt;&gt;Off-street")&gt;0,1,0)</f>
        <v>0</v>
      </c>
      <c r="E1246">
        <f>IF(COUNTIFS('United Data'!$A$3:$A$3390,E$1,'United Data'!$C$3:$C$3390,$A1246,'United Data'!$B$3:$B$3390,"&lt;&gt;Off-street")&gt;0,1,0)</f>
        <v>1</v>
      </c>
      <c r="F1246">
        <f>IF(COUNTIFS('United Data'!$A$3:$A$3390,F$1,'United Data'!$C$3:$C$3390,$A1246,'United Data'!$B$3:$B$3390,"&lt;&gt;Off-street")&gt;0,1,0)</f>
        <v>0</v>
      </c>
      <c r="G1246">
        <f>IF(COUNTIFS('United Data'!$A$3:$A$3390,G$1,'United Data'!$C$3:$C$3390,$A1246,'United Data'!$B$3:$B$3390,"&lt;&gt;Off-street")&gt;0,1,0)</f>
        <v>0</v>
      </c>
      <c r="H1246">
        <f>IF(COUNTIFS('United Data'!$A$3:$A$3390,H$1,'United Data'!$C$3:$C$3390,$A1246,'United Data'!$B$3:$B$3390,"&lt;&gt;Off-street")&gt;0,1,0)</f>
        <v>0</v>
      </c>
      <c r="I1246">
        <f>IF(COUNTIFS('United Data'!$A$3:$A$3390,I$1,'United Data'!$C$3:$C$3390,$A1246,'United Data'!$B$3:$B$3390,"&lt;&gt;Off-street")&gt;0,1,0)</f>
        <v>0</v>
      </c>
      <c r="J1246">
        <f>IF(COUNTIFS('United Data'!$A$3:$A$3390,J$1,'United Data'!$C$3:$C$3390,$A1246,'United Data'!$B$3:$B$3390,"&lt;&gt;Off-street")&gt;0,1,0)</f>
        <v>0</v>
      </c>
      <c r="K1246">
        <f>IF(COUNTIFS('United Data'!$A$3:$A$3390,K$1,'United Data'!$C$3:$C$3390,$A1246,'United Data'!$B$3:$B$3390,"&lt;&gt;Off-street")&gt;0,1,0)</f>
        <v>0</v>
      </c>
      <c r="L1246">
        <f>IF(COUNTIFS('United Data'!$A$3:$A$3390,L$1,'United Data'!$C$3:$C$3390,$A1246,'United Data'!$B$3:$B$3390,"&lt;&gt;Off-street")&gt;0,1,0)</f>
        <v>0</v>
      </c>
      <c r="M1246">
        <f>IF(COUNTIFS('United Data'!$A$3:$A$3390,M$1,'United Data'!$C$3:$C$3390,$A1246,'United Data'!$B$3:$B$3390,"&lt;&gt;Off-street")&gt;0,1,0)</f>
        <v>0</v>
      </c>
      <c r="N1246">
        <f>IF(COUNTIFS('United Data'!$A$3:$A$3390,N$1,'United Data'!$C$3:$C$3390,$A1246,'United Data'!$B$3:$B$3390,"&lt;&gt;Off-street")&gt;0,1,0)</f>
        <v>0</v>
      </c>
      <c r="O1246">
        <f>IF(COUNTIFS('United Data'!$A$3:$A$3390,O$1,'United Data'!$C$3:$C$3390,$A1246,'United Data'!$B$3:$B$3390,"&lt;&gt;Off-street")&gt;0,1,0)</f>
        <v>0</v>
      </c>
      <c r="P1246">
        <f>IF(COUNTIFS('United Data'!$A$3:$A$3390,P$1,'United Data'!$C$3:$C$3390,$A1246,'United Data'!$B$3:$B$3390,"&lt;&gt;Off-street")&gt;0,1,0)</f>
        <v>0</v>
      </c>
      <c r="Q1246">
        <f>IF(COUNTIFS('United Data'!$A$3:$A$3390,Q$1,'United Data'!$C$3:$C$3390,$A1246,'United Data'!$B$3:$B$3390,"&lt;&gt;Off-street")&gt;0,1,0)</f>
        <v>0</v>
      </c>
      <c r="R1246">
        <f>IF(COUNTIFS('United Data'!$A$3:$A$3390,R$1,'United Data'!$C$3:$C$3390,$A1246,'United Data'!$B$3:$B$3390,"&lt;&gt;Off-street")&gt;0,1,0)</f>
        <v>0</v>
      </c>
      <c r="S1246">
        <f t="shared" si="38"/>
        <v>1</v>
      </c>
      <c r="T1246">
        <f t="shared" si="39"/>
        <v>1</v>
      </c>
    </row>
    <row r="1247" spans="1:20" x14ac:dyDescent="0.2">
      <c r="A1247" t="s">
        <v>1482</v>
      </c>
      <c r="B1247">
        <f>IF(COUNTIFS('United Data'!$A$3:$A$3390,B$1,'United Data'!$C$3:$C$3390,$A1247,'United Data'!$B$3:$B$3390,"&lt;&gt;Off-street")&gt;0,1,0)</f>
        <v>0</v>
      </c>
      <c r="C1247">
        <f>IF(COUNTIFS('United Data'!$A$3:$A$3390,C$1,'United Data'!$C$3:$C$3390,$A1247,'United Data'!$B$3:$B$3390,"&lt;&gt;Off-street")&gt;0,1,0)</f>
        <v>0</v>
      </c>
      <c r="D1247">
        <f>IF(COUNTIFS('United Data'!$A$3:$A$3390,D$1,'United Data'!$C$3:$C$3390,$A1247,'United Data'!$B$3:$B$3390,"&lt;&gt;Off-street")&gt;0,1,0)</f>
        <v>0</v>
      </c>
      <c r="E1247">
        <f>IF(COUNTIFS('United Data'!$A$3:$A$3390,E$1,'United Data'!$C$3:$C$3390,$A1247,'United Data'!$B$3:$B$3390,"&lt;&gt;Off-street")&gt;0,1,0)</f>
        <v>1</v>
      </c>
      <c r="F1247">
        <f>IF(COUNTIFS('United Data'!$A$3:$A$3390,F$1,'United Data'!$C$3:$C$3390,$A1247,'United Data'!$B$3:$B$3390,"&lt;&gt;Off-street")&gt;0,1,0)</f>
        <v>1</v>
      </c>
      <c r="G1247">
        <f>IF(COUNTIFS('United Data'!$A$3:$A$3390,G$1,'United Data'!$C$3:$C$3390,$A1247,'United Data'!$B$3:$B$3390,"&lt;&gt;Off-street")&gt;0,1,0)</f>
        <v>1</v>
      </c>
      <c r="H1247">
        <f>IF(COUNTIFS('United Data'!$A$3:$A$3390,H$1,'United Data'!$C$3:$C$3390,$A1247,'United Data'!$B$3:$B$3390,"&lt;&gt;Off-street")&gt;0,1,0)</f>
        <v>0</v>
      </c>
      <c r="I1247">
        <f>IF(COUNTIFS('United Data'!$A$3:$A$3390,I$1,'United Data'!$C$3:$C$3390,$A1247,'United Data'!$B$3:$B$3390,"&lt;&gt;Off-street")&gt;0,1,0)</f>
        <v>0</v>
      </c>
      <c r="J1247">
        <f>IF(COUNTIFS('United Data'!$A$3:$A$3390,J$1,'United Data'!$C$3:$C$3390,$A1247,'United Data'!$B$3:$B$3390,"&lt;&gt;Off-street")&gt;0,1,0)</f>
        <v>0</v>
      </c>
      <c r="K1247">
        <f>IF(COUNTIFS('United Data'!$A$3:$A$3390,K$1,'United Data'!$C$3:$C$3390,$A1247,'United Data'!$B$3:$B$3390,"&lt;&gt;Off-street")&gt;0,1,0)</f>
        <v>1</v>
      </c>
      <c r="L1247">
        <f>IF(COUNTIFS('United Data'!$A$3:$A$3390,L$1,'United Data'!$C$3:$C$3390,$A1247,'United Data'!$B$3:$B$3390,"&lt;&gt;Off-street")&gt;0,1,0)</f>
        <v>0</v>
      </c>
      <c r="M1247">
        <f>IF(COUNTIFS('United Data'!$A$3:$A$3390,M$1,'United Data'!$C$3:$C$3390,$A1247,'United Data'!$B$3:$B$3390,"&lt;&gt;Off-street")&gt;0,1,0)</f>
        <v>1</v>
      </c>
      <c r="N1247">
        <f>IF(COUNTIFS('United Data'!$A$3:$A$3390,N$1,'United Data'!$C$3:$C$3390,$A1247,'United Data'!$B$3:$B$3390,"&lt;&gt;Off-street")&gt;0,1,0)</f>
        <v>1</v>
      </c>
      <c r="O1247">
        <f>IF(COUNTIFS('United Data'!$A$3:$A$3390,O$1,'United Data'!$C$3:$C$3390,$A1247,'United Data'!$B$3:$B$3390,"&lt;&gt;Off-street")&gt;0,1,0)</f>
        <v>0</v>
      </c>
      <c r="P1247">
        <f>IF(COUNTIFS('United Data'!$A$3:$A$3390,P$1,'United Data'!$C$3:$C$3390,$A1247,'United Data'!$B$3:$B$3390,"&lt;&gt;Off-street")&gt;0,1,0)</f>
        <v>0</v>
      </c>
      <c r="Q1247">
        <f>IF(COUNTIFS('United Data'!$A$3:$A$3390,Q$1,'United Data'!$C$3:$C$3390,$A1247,'United Data'!$B$3:$B$3390,"&lt;&gt;Off-street")&gt;0,1,0)</f>
        <v>0</v>
      </c>
      <c r="R1247">
        <f>IF(COUNTIFS('United Data'!$A$3:$A$3390,R$1,'United Data'!$C$3:$C$3390,$A1247,'United Data'!$B$3:$B$3390,"&lt;&gt;Off-street")&gt;0,1,0)</f>
        <v>0</v>
      </c>
      <c r="S1247">
        <f t="shared" si="38"/>
        <v>6</v>
      </c>
      <c r="T1247">
        <f t="shared" si="39"/>
        <v>3</v>
      </c>
    </row>
    <row r="1248" spans="1:20" x14ac:dyDescent="0.2">
      <c r="A1248" t="s">
        <v>1483</v>
      </c>
      <c r="B1248">
        <f>IF(COUNTIFS('United Data'!$A$3:$A$3390,B$1,'United Data'!$C$3:$C$3390,$A1248,'United Data'!$B$3:$B$3390,"&lt;&gt;Off-street")&gt;0,1,0)</f>
        <v>0</v>
      </c>
      <c r="C1248">
        <f>IF(COUNTIFS('United Data'!$A$3:$A$3390,C$1,'United Data'!$C$3:$C$3390,$A1248,'United Data'!$B$3:$B$3390,"&lt;&gt;Off-street")&gt;0,1,0)</f>
        <v>0</v>
      </c>
      <c r="D1248">
        <f>IF(COUNTIFS('United Data'!$A$3:$A$3390,D$1,'United Data'!$C$3:$C$3390,$A1248,'United Data'!$B$3:$B$3390,"&lt;&gt;Off-street")&gt;0,1,0)</f>
        <v>0</v>
      </c>
      <c r="E1248">
        <f>IF(COUNTIFS('United Data'!$A$3:$A$3390,E$1,'United Data'!$C$3:$C$3390,$A1248,'United Data'!$B$3:$B$3390,"&lt;&gt;Off-street")&gt;0,1,0)</f>
        <v>1</v>
      </c>
      <c r="F1248">
        <f>IF(COUNTIFS('United Data'!$A$3:$A$3390,F$1,'United Data'!$C$3:$C$3390,$A1248,'United Data'!$B$3:$B$3390,"&lt;&gt;Off-street")&gt;0,1,0)</f>
        <v>0</v>
      </c>
      <c r="G1248">
        <f>IF(COUNTIFS('United Data'!$A$3:$A$3390,G$1,'United Data'!$C$3:$C$3390,$A1248,'United Data'!$B$3:$B$3390,"&lt;&gt;Off-street")&gt;0,1,0)</f>
        <v>0</v>
      </c>
      <c r="H1248">
        <f>IF(COUNTIFS('United Data'!$A$3:$A$3390,H$1,'United Data'!$C$3:$C$3390,$A1248,'United Data'!$B$3:$B$3390,"&lt;&gt;Off-street")&gt;0,1,0)</f>
        <v>0</v>
      </c>
      <c r="I1248">
        <f>IF(COUNTIFS('United Data'!$A$3:$A$3390,I$1,'United Data'!$C$3:$C$3390,$A1248,'United Data'!$B$3:$B$3390,"&lt;&gt;Off-street")&gt;0,1,0)</f>
        <v>0</v>
      </c>
      <c r="J1248">
        <f>IF(COUNTIFS('United Data'!$A$3:$A$3390,J$1,'United Data'!$C$3:$C$3390,$A1248,'United Data'!$B$3:$B$3390,"&lt;&gt;Off-street")&gt;0,1,0)</f>
        <v>0</v>
      </c>
      <c r="K1248">
        <f>IF(COUNTIFS('United Data'!$A$3:$A$3390,K$1,'United Data'!$C$3:$C$3390,$A1248,'United Data'!$B$3:$B$3390,"&lt;&gt;Off-street")&gt;0,1,0)</f>
        <v>0</v>
      </c>
      <c r="L1248">
        <f>IF(COUNTIFS('United Data'!$A$3:$A$3390,L$1,'United Data'!$C$3:$C$3390,$A1248,'United Data'!$B$3:$B$3390,"&lt;&gt;Off-street")&gt;0,1,0)</f>
        <v>0</v>
      </c>
      <c r="M1248">
        <f>IF(COUNTIFS('United Data'!$A$3:$A$3390,M$1,'United Data'!$C$3:$C$3390,$A1248,'United Data'!$B$3:$B$3390,"&lt;&gt;Off-street")&gt;0,1,0)</f>
        <v>0</v>
      </c>
      <c r="N1248">
        <f>IF(COUNTIFS('United Data'!$A$3:$A$3390,N$1,'United Data'!$C$3:$C$3390,$A1248,'United Data'!$B$3:$B$3390,"&lt;&gt;Off-street")&gt;0,1,0)</f>
        <v>0</v>
      </c>
      <c r="O1248">
        <f>IF(COUNTIFS('United Data'!$A$3:$A$3390,O$1,'United Data'!$C$3:$C$3390,$A1248,'United Data'!$B$3:$B$3390,"&lt;&gt;Off-street")&gt;0,1,0)</f>
        <v>0</v>
      </c>
      <c r="P1248">
        <f>IF(COUNTIFS('United Data'!$A$3:$A$3390,P$1,'United Data'!$C$3:$C$3390,$A1248,'United Data'!$B$3:$B$3390,"&lt;&gt;Off-street")&gt;0,1,0)</f>
        <v>0</v>
      </c>
      <c r="Q1248">
        <f>IF(COUNTIFS('United Data'!$A$3:$A$3390,Q$1,'United Data'!$C$3:$C$3390,$A1248,'United Data'!$B$3:$B$3390,"&lt;&gt;Off-street")&gt;0,1,0)</f>
        <v>0</v>
      </c>
      <c r="R1248">
        <f>IF(COUNTIFS('United Data'!$A$3:$A$3390,R$1,'United Data'!$C$3:$C$3390,$A1248,'United Data'!$B$3:$B$3390,"&lt;&gt;Off-street")&gt;0,1,0)</f>
        <v>0</v>
      </c>
      <c r="S1248">
        <f t="shared" si="38"/>
        <v>1</v>
      </c>
      <c r="T1248">
        <f t="shared" si="39"/>
        <v>1</v>
      </c>
    </row>
    <row r="1249" spans="1:20" x14ac:dyDescent="0.2">
      <c r="A1249" t="s">
        <v>1484</v>
      </c>
      <c r="B1249">
        <f>IF(COUNTIFS('United Data'!$A$3:$A$3390,B$1,'United Data'!$C$3:$C$3390,$A1249,'United Data'!$B$3:$B$3390,"&lt;&gt;Off-street")&gt;0,1,0)</f>
        <v>0</v>
      </c>
      <c r="C1249">
        <f>IF(COUNTIFS('United Data'!$A$3:$A$3390,C$1,'United Data'!$C$3:$C$3390,$A1249,'United Data'!$B$3:$B$3390,"&lt;&gt;Off-street")&gt;0,1,0)</f>
        <v>0</v>
      </c>
      <c r="D1249">
        <f>IF(COUNTIFS('United Data'!$A$3:$A$3390,D$1,'United Data'!$C$3:$C$3390,$A1249,'United Data'!$B$3:$B$3390,"&lt;&gt;Off-street")&gt;0,1,0)</f>
        <v>0</v>
      </c>
      <c r="E1249">
        <f>IF(COUNTIFS('United Data'!$A$3:$A$3390,E$1,'United Data'!$C$3:$C$3390,$A1249,'United Data'!$B$3:$B$3390,"&lt;&gt;Off-street")&gt;0,1,0)</f>
        <v>1</v>
      </c>
      <c r="F1249">
        <f>IF(COUNTIFS('United Data'!$A$3:$A$3390,F$1,'United Data'!$C$3:$C$3390,$A1249,'United Data'!$B$3:$B$3390,"&lt;&gt;Off-street")&gt;0,1,0)</f>
        <v>0</v>
      </c>
      <c r="G1249">
        <f>IF(COUNTIFS('United Data'!$A$3:$A$3390,G$1,'United Data'!$C$3:$C$3390,$A1249,'United Data'!$B$3:$B$3390,"&lt;&gt;Off-street")&gt;0,1,0)</f>
        <v>0</v>
      </c>
      <c r="H1249">
        <f>IF(COUNTIFS('United Data'!$A$3:$A$3390,H$1,'United Data'!$C$3:$C$3390,$A1249,'United Data'!$B$3:$B$3390,"&lt;&gt;Off-street")&gt;0,1,0)</f>
        <v>0</v>
      </c>
      <c r="I1249">
        <f>IF(COUNTIFS('United Data'!$A$3:$A$3390,I$1,'United Data'!$C$3:$C$3390,$A1249,'United Data'!$B$3:$B$3390,"&lt;&gt;Off-street")&gt;0,1,0)</f>
        <v>0</v>
      </c>
      <c r="J1249">
        <f>IF(COUNTIFS('United Data'!$A$3:$A$3390,J$1,'United Data'!$C$3:$C$3390,$A1249,'United Data'!$B$3:$B$3390,"&lt;&gt;Off-street")&gt;0,1,0)</f>
        <v>0</v>
      </c>
      <c r="K1249">
        <f>IF(COUNTIFS('United Data'!$A$3:$A$3390,K$1,'United Data'!$C$3:$C$3390,$A1249,'United Data'!$B$3:$B$3390,"&lt;&gt;Off-street")&gt;0,1,0)</f>
        <v>0</v>
      </c>
      <c r="L1249">
        <f>IF(COUNTIFS('United Data'!$A$3:$A$3390,L$1,'United Data'!$C$3:$C$3390,$A1249,'United Data'!$B$3:$B$3390,"&lt;&gt;Off-street")&gt;0,1,0)</f>
        <v>0</v>
      </c>
      <c r="M1249">
        <f>IF(COUNTIFS('United Data'!$A$3:$A$3390,M$1,'United Data'!$C$3:$C$3390,$A1249,'United Data'!$B$3:$B$3390,"&lt;&gt;Off-street")&gt;0,1,0)</f>
        <v>0</v>
      </c>
      <c r="N1249">
        <f>IF(COUNTIFS('United Data'!$A$3:$A$3390,N$1,'United Data'!$C$3:$C$3390,$A1249,'United Data'!$B$3:$B$3390,"&lt;&gt;Off-street")&gt;0,1,0)</f>
        <v>0</v>
      </c>
      <c r="O1249">
        <f>IF(COUNTIFS('United Data'!$A$3:$A$3390,O$1,'United Data'!$C$3:$C$3390,$A1249,'United Data'!$B$3:$B$3390,"&lt;&gt;Off-street")&gt;0,1,0)</f>
        <v>0</v>
      </c>
      <c r="P1249">
        <f>IF(COUNTIFS('United Data'!$A$3:$A$3390,P$1,'United Data'!$C$3:$C$3390,$A1249,'United Data'!$B$3:$B$3390,"&lt;&gt;Off-street")&gt;0,1,0)</f>
        <v>0</v>
      </c>
      <c r="Q1249">
        <f>IF(COUNTIFS('United Data'!$A$3:$A$3390,Q$1,'United Data'!$C$3:$C$3390,$A1249,'United Data'!$B$3:$B$3390,"&lt;&gt;Off-street")&gt;0,1,0)</f>
        <v>0</v>
      </c>
      <c r="R1249">
        <f>IF(COUNTIFS('United Data'!$A$3:$A$3390,R$1,'United Data'!$C$3:$C$3390,$A1249,'United Data'!$B$3:$B$3390,"&lt;&gt;Off-street")&gt;0,1,0)</f>
        <v>0</v>
      </c>
      <c r="S1249">
        <f t="shared" si="38"/>
        <v>1</v>
      </c>
      <c r="T1249">
        <f t="shared" si="39"/>
        <v>1</v>
      </c>
    </row>
    <row r="1250" spans="1:20" x14ac:dyDescent="0.2">
      <c r="A1250" t="s">
        <v>1485</v>
      </c>
      <c r="B1250">
        <f>IF(COUNTIFS('United Data'!$A$3:$A$3390,B$1,'United Data'!$C$3:$C$3390,$A1250,'United Data'!$B$3:$B$3390,"&lt;&gt;Off-street")&gt;0,1,0)</f>
        <v>0</v>
      </c>
      <c r="C1250">
        <f>IF(COUNTIFS('United Data'!$A$3:$A$3390,C$1,'United Data'!$C$3:$C$3390,$A1250,'United Data'!$B$3:$B$3390,"&lt;&gt;Off-street")&gt;0,1,0)</f>
        <v>0</v>
      </c>
      <c r="D1250">
        <f>IF(COUNTIFS('United Data'!$A$3:$A$3390,D$1,'United Data'!$C$3:$C$3390,$A1250,'United Data'!$B$3:$B$3390,"&lt;&gt;Off-street")&gt;0,1,0)</f>
        <v>0</v>
      </c>
      <c r="E1250">
        <f>IF(COUNTIFS('United Data'!$A$3:$A$3390,E$1,'United Data'!$C$3:$C$3390,$A1250,'United Data'!$B$3:$B$3390,"&lt;&gt;Off-street")&gt;0,1,0)</f>
        <v>0</v>
      </c>
      <c r="F1250">
        <f>IF(COUNTIFS('United Data'!$A$3:$A$3390,F$1,'United Data'!$C$3:$C$3390,$A1250,'United Data'!$B$3:$B$3390,"&lt;&gt;Off-street")&gt;0,1,0)</f>
        <v>1</v>
      </c>
      <c r="G1250">
        <f>IF(COUNTIFS('United Data'!$A$3:$A$3390,G$1,'United Data'!$C$3:$C$3390,$A1250,'United Data'!$B$3:$B$3390,"&lt;&gt;Off-street")&gt;0,1,0)</f>
        <v>0</v>
      </c>
      <c r="H1250">
        <f>IF(COUNTIFS('United Data'!$A$3:$A$3390,H$1,'United Data'!$C$3:$C$3390,$A1250,'United Data'!$B$3:$B$3390,"&lt;&gt;Off-street")&gt;0,1,0)</f>
        <v>0</v>
      </c>
      <c r="I1250">
        <f>IF(COUNTIFS('United Data'!$A$3:$A$3390,I$1,'United Data'!$C$3:$C$3390,$A1250,'United Data'!$B$3:$B$3390,"&lt;&gt;Off-street")&gt;0,1,0)</f>
        <v>0</v>
      </c>
      <c r="J1250">
        <f>IF(COUNTIFS('United Data'!$A$3:$A$3390,J$1,'United Data'!$C$3:$C$3390,$A1250,'United Data'!$B$3:$B$3390,"&lt;&gt;Off-street")&gt;0,1,0)</f>
        <v>0</v>
      </c>
      <c r="K1250">
        <f>IF(COUNTIFS('United Data'!$A$3:$A$3390,K$1,'United Data'!$C$3:$C$3390,$A1250,'United Data'!$B$3:$B$3390,"&lt;&gt;Off-street")&gt;0,1,0)</f>
        <v>0</v>
      </c>
      <c r="L1250">
        <f>IF(COUNTIFS('United Data'!$A$3:$A$3390,L$1,'United Data'!$C$3:$C$3390,$A1250,'United Data'!$B$3:$B$3390,"&lt;&gt;Off-street")&gt;0,1,0)</f>
        <v>0</v>
      </c>
      <c r="M1250">
        <f>IF(COUNTIFS('United Data'!$A$3:$A$3390,M$1,'United Data'!$C$3:$C$3390,$A1250,'United Data'!$B$3:$B$3390,"&lt;&gt;Off-street")&gt;0,1,0)</f>
        <v>0</v>
      </c>
      <c r="N1250">
        <f>IF(COUNTIFS('United Data'!$A$3:$A$3390,N$1,'United Data'!$C$3:$C$3390,$A1250,'United Data'!$B$3:$B$3390,"&lt;&gt;Off-street")&gt;0,1,0)</f>
        <v>0</v>
      </c>
      <c r="O1250">
        <f>IF(COUNTIFS('United Data'!$A$3:$A$3390,O$1,'United Data'!$C$3:$C$3390,$A1250,'United Data'!$B$3:$B$3390,"&lt;&gt;Off-street")&gt;0,1,0)</f>
        <v>0</v>
      </c>
      <c r="P1250">
        <f>IF(COUNTIFS('United Data'!$A$3:$A$3390,P$1,'United Data'!$C$3:$C$3390,$A1250,'United Data'!$B$3:$B$3390,"&lt;&gt;Off-street")&gt;0,1,0)</f>
        <v>0</v>
      </c>
      <c r="Q1250">
        <f>IF(COUNTIFS('United Data'!$A$3:$A$3390,Q$1,'United Data'!$C$3:$C$3390,$A1250,'United Data'!$B$3:$B$3390,"&lt;&gt;Off-street")&gt;0,1,0)</f>
        <v>0</v>
      </c>
      <c r="R1250">
        <f>IF(COUNTIFS('United Data'!$A$3:$A$3390,R$1,'United Data'!$C$3:$C$3390,$A1250,'United Data'!$B$3:$B$3390,"&lt;&gt;Off-street")&gt;0,1,0)</f>
        <v>0</v>
      </c>
      <c r="S1250">
        <f t="shared" si="38"/>
        <v>1</v>
      </c>
      <c r="T1250">
        <f t="shared" si="39"/>
        <v>1</v>
      </c>
    </row>
    <row r="1251" spans="1:20" x14ac:dyDescent="0.2">
      <c r="A1251" t="s">
        <v>1486</v>
      </c>
      <c r="B1251">
        <f>IF(COUNTIFS('United Data'!$A$3:$A$3390,B$1,'United Data'!$C$3:$C$3390,$A1251,'United Data'!$B$3:$B$3390,"&lt;&gt;Off-street")&gt;0,1,0)</f>
        <v>0</v>
      </c>
      <c r="C1251">
        <f>IF(COUNTIFS('United Data'!$A$3:$A$3390,C$1,'United Data'!$C$3:$C$3390,$A1251,'United Data'!$B$3:$B$3390,"&lt;&gt;Off-street")&gt;0,1,0)</f>
        <v>0</v>
      </c>
      <c r="D1251">
        <f>IF(COUNTIFS('United Data'!$A$3:$A$3390,D$1,'United Data'!$C$3:$C$3390,$A1251,'United Data'!$B$3:$B$3390,"&lt;&gt;Off-street")&gt;0,1,0)</f>
        <v>0</v>
      </c>
      <c r="E1251">
        <f>IF(COUNTIFS('United Data'!$A$3:$A$3390,E$1,'United Data'!$C$3:$C$3390,$A1251,'United Data'!$B$3:$B$3390,"&lt;&gt;Off-street")&gt;0,1,0)</f>
        <v>0</v>
      </c>
      <c r="F1251">
        <f>IF(COUNTIFS('United Data'!$A$3:$A$3390,F$1,'United Data'!$C$3:$C$3390,$A1251,'United Data'!$B$3:$B$3390,"&lt;&gt;Off-street")&gt;0,1,0)</f>
        <v>1</v>
      </c>
      <c r="G1251">
        <f>IF(COUNTIFS('United Data'!$A$3:$A$3390,G$1,'United Data'!$C$3:$C$3390,$A1251,'United Data'!$B$3:$B$3390,"&lt;&gt;Off-street")&gt;0,1,0)</f>
        <v>1</v>
      </c>
      <c r="H1251">
        <f>IF(COUNTIFS('United Data'!$A$3:$A$3390,H$1,'United Data'!$C$3:$C$3390,$A1251,'United Data'!$B$3:$B$3390,"&lt;&gt;Off-street")&gt;0,1,0)</f>
        <v>1</v>
      </c>
      <c r="I1251">
        <f>IF(COUNTIFS('United Data'!$A$3:$A$3390,I$1,'United Data'!$C$3:$C$3390,$A1251,'United Data'!$B$3:$B$3390,"&lt;&gt;Off-street")&gt;0,1,0)</f>
        <v>0</v>
      </c>
      <c r="J1251">
        <f>IF(COUNTIFS('United Data'!$A$3:$A$3390,J$1,'United Data'!$C$3:$C$3390,$A1251,'United Data'!$B$3:$B$3390,"&lt;&gt;Off-street")&gt;0,1,0)</f>
        <v>0</v>
      </c>
      <c r="K1251">
        <f>IF(COUNTIFS('United Data'!$A$3:$A$3390,K$1,'United Data'!$C$3:$C$3390,$A1251,'United Data'!$B$3:$B$3390,"&lt;&gt;Off-street")&gt;0,1,0)</f>
        <v>0</v>
      </c>
      <c r="L1251">
        <f>IF(COUNTIFS('United Data'!$A$3:$A$3390,L$1,'United Data'!$C$3:$C$3390,$A1251,'United Data'!$B$3:$B$3390,"&lt;&gt;Off-street")&gt;0,1,0)</f>
        <v>1</v>
      </c>
      <c r="M1251">
        <f>IF(COUNTIFS('United Data'!$A$3:$A$3390,M$1,'United Data'!$C$3:$C$3390,$A1251,'United Data'!$B$3:$B$3390,"&lt;&gt;Off-street")&gt;0,1,0)</f>
        <v>0</v>
      </c>
      <c r="N1251">
        <f>IF(COUNTIFS('United Data'!$A$3:$A$3390,N$1,'United Data'!$C$3:$C$3390,$A1251,'United Data'!$B$3:$B$3390,"&lt;&gt;Off-street")&gt;0,1,0)</f>
        <v>0</v>
      </c>
      <c r="O1251">
        <f>IF(COUNTIFS('United Data'!$A$3:$A$3390,O$1,'United Data'!$C$3:$C$3390,$A1251,'United Data'!$B$3:$B$3390,"&lt;&gt;Off-street")&gt;0,1,0)</f>
        <v>0</v>
      </c>
      <c r="P1251">
        <f>IF(COUNTIFS('United Data'!$A$3:$A$3390,P$1,'United Data'!$C$3:$C$3390,$A1251,'United Data'!$B$3:$B$3390,"&lt;&gt;Off-street")&gt;0,1,0)</f>
        <v>0</v>
      </c>
      <c r="Q1251">
        <f>IF(COUNTIFS('United Data'!$A$3:$A$3390,Q$1,'United Data'!$C$3:$C$3390,$A1251,'United Data'!$B$3:$B$3390,"&lt;&gt;Off-street")&gt;0,1,0)</f>
        <v>0</v>
      </c>
      <c r="R1251">
        <f>IF(COUNTIFS('United Data'!$A$3:$A$3390,R$1,'United Data'!$C$3:$C$3390,$A1251,'United Data'!$B$3:$B$3390,"&lt;&gt;Off-street")&gt;0,1,0)</f>
        <v>0</v>
      </c>
      <c r="S1251">
        <f t="shared" si="38"/>
        <v>4</v>
      </c>
      <c r="T1251">
        <f t="shared" si="39"/>
        <v>2</v>
      </c>
    </row>
    <row r="1252" spans="1:20" x14ac:dyDescent="0.2">
      <c r="A1252" t="s">
        <v>1487</v>
      </c>
      <c r="B1252">
        <f>IF(COUNTIFS('United Data'!$A$3:$A$3390,B$1,'United Data'!$C$3:$C$3390,$A1252,'United Data'!$B$3:$B$3390,"&lt;&gt;Off-street")&gt;0,1,0)</f>
        <v>0</v>
      </c>
      <c r="C1252">
        <f>IF(COUNTIFS('United Data'!$A$3:$A$3390,C$1,'United Data'!$C$3:$C$3390,$A1252,'United Data'!$B$3:$B$3390,"&lt;&gt;Off-street")&gt;0,1,0)</f>
        <v>0</v>
      </c>
      <c r="D1252">
        <f>IF(COUNTIFS('United Data'!$A$3:$A$3390,D$1,'United Data'!$C$3:$C$3390,$A1252,'United Data'!$B$3:$B$3390,"&lt;&gt;Off-street")&gt;0,1,0)</f>
        <v>0</v>
      </c>
      <c r="E1252">
        <f>IF(COUNTIFS('United Data'!$A$3:$A$3390,E$1,'United Data'!$C$3:$C$3390,$A1252,'United Data'!$B$3:$B$3390,"&lt;&gt;Off-street")&gt;0,1,0)</f>
        <v>0</v>
      </c>
      <c r="F1252">
        <f>IF(COUNTIFS('United Data'!$A$3:$A$3390,F$1,'United Data'!$C$3:$C$3390,$A1252,'United Data'!$B$3:$B$3390,"&lt;&gt;Off-street")&gt;0,1,0)</f>
        <v>1</v>
      </c>
      <c r="G1252">
        <f>IF(COUNTIFS('United Data'!$A$3:$A$3390,G$1,'United Data'!$C$3:$C$3390,$A1252,'United Data'!$B$3:$B$3390,"&lt;&gt;Off-street")&gt;0,1,0)</f>
        <v>1</v>
      </c>
      <c r="H1252">
        <f>IF(COUNTIFS('United Data'!$A$3:$A$3390,H$1,'United Data'!$C$3:$C$3390,$A1252,'United Data'!$B$3:$B$3390,"&lt;&gt;Off-street")&gt;0,1,0)</f>
        <v>0</v>
      </c>
      <c r="I1252">
        <f>IF(COUNTIFS('United Data'!$A$3:$A$3390,I$1,'United Data'!$C$3:$C$3390,$A1252,'United Data'!$B$3:$B$3390,"&lt;&gt;Off-street")&gt;0,1,0)</f>
        <v>0</v>
      </c>
      <c r="J1252">
        <f>IF(COUNTIFS('United Data'!$A$3:$A$3390,J$1,'United Data'!$C$3:$C$3390,$A1252,'United Data'!$B$3:$B$3390,"&lt;&gt;Off-street")&gt;0,1,0)</f>
        <v>0</v>
      </c>
      <c r="K1252">
        <f>IF(COUNTIFS('United Data'!$A$3:$A$3390,K$1,'United Data'!$C$3:$C$3390,$A1252,'United Data'!$B$3:$B$3390,"&lt;&gt;Off-street")&gt;0,1,0)</f>
        <v>0</v>
      </c>
      <c r="L1252">
        <f>IF(COUNTIFS('United Data'!$A$3:$A$3390,L$1,'United Data'!$C$3:$C$3390,$A1252,'United Data'!$B$3:$B$3390,"&lt;&gt;Off-street")&gt;0,1,0)</f>
        <v>0</v>
      </c>
      <c r="M1252">
        <f>IF(COUNTIFS('United Data'!$A$3:$A$3390,M$1,'United Data'!$C$3:$C$3390,$A1252,'United Data'!$B$3:$B$3390,"&lt;&gt;Off-street")&gt;0,1,0)</f>
        <v>0</v>
      </c>
      <c r="N1252">
        <f>IF(COUNTIFS('United Data'!$A$3:$A$3390,N$1,'United Data'!$C$3:$C$3390,$A1252,'United Data'!$B$3:$B$3390,"&lt;&gt;Off-street")&gt;0,1,0)</f>
        <v>0</v>
      </c>
      <c r="O1252">
        <f>IF(COUNTIFS('United Data'!$A$3:$A$3390,O$1,'United Data'!$C$3:$C$3390,$A1252,'United Data'!$B$3:$B$3390,"&lt;&gt;Off-street")&gt;0,1,0)</f>
        <v>0</v>
      </c>
      <c r="P1252">
        <f>IF(COUNTIFS('United Data'!$A$3:$A$3390,P$1,'United Data'!$C$3:$C$3390,$A1252,'United Data'!$B$3:$B$3390,"&lt;&gt;Off-street")&gt;0,1,0)</f>
        <v>0</v>
      </c>
      <c r="Q1252">
        <f>IF(COUNTIFS('United Data'!$A$3:$A$3390,Q$1,'United Data'!$C$3:$C$3390,$A1252,'United Data'!$B$3:$B$3390,"&lt;&gt;Off-street")&gt;0,1,0)</f>
        <v>0</v>
      </c>
      <c r="R1252">
        <f>IF(COUNTIFS('United Data'!$A$3:$A$3390,R$1,'United Data'!$C$3:$C$3390,$A1252,'United Data'!$B$3:$B$3390,"&lt;&gt;Off-street")&gt;0,1,0)</f>
        <v>0</v>
      </c>
      <c r="S1252">
        <f t="shared" si="38"/>
        <v>2</v>
      </c>
      <c r="T1252">
        <f t="shared" si="39"/>
        <v>1</v>
      </c>
    </row>
    <row r="1253" spans="1:20" x14ac:dyDescent="0.2">
      <c r="A1253" t="s">
        <v>1488</v>
      </c>
      <c r="B1253">
        <f>IF(COUNTIFS('United Data'!$A$3:$A$3390,B$1,'United Data'!$C$3:$C$3390,$A1253,'United Data'!$B$3:$B$3390,"&lt;&gt;Off-street")&gt;0,1,0)</f>
        <v>0</v>
      </c>
      <c r="C1253">
        <f>IF(COUNTIFS('United Data'!$A$3:$A$3390,C$1,'United Data'!$C$3:$C$3390,$A1253,'United Data'!$B$3:$B$3390,"&lt;&gt;Off-street")&gt;0,1,0)</f>
        <v>0</v>
      </c>
      <c r="D1253">
        <f>IF(COUNTIFS('United Data'!$A$3:$A$3390,D$1,'United Data'!$C$3:$C$3390,$A1253,'United Data'!$B$3:$B$3390,"&lt;&gt;Off-street")&gt;0,1,0)</f>
        <v>0</v>
      </c>
      <c r="E1253">
        <f>IF(COUNTIFS('United Data'!$A$3:$A$3390,E$1,'United Data'!$C$3:$C$3390,$A1253,'United Data'!$B$3:$B$3390,"&lt;&gt;Off-street")&gt;0,1,0)</f>
        <v>0</v>
      </c>
      <c r="F1253">
        <f>IF(COUNTIFS('United Data'!$A$3:$A$3390,F$1,'United Data'!$C$3:$C$3390,$A1253,'United Data'!$B$3:$B$3390,"&lt;&gt;Off-street")&gt;0,1,0)</f>
        <v>1</v>
      </c>
      <c r="G1253">
        <f>IF(COUNTIFS('United Data'!$A$3:$A$3390,G$1,'United Data'!$C$3:$C$3390,$A1253,'United Data'!$B$3:$B$3390,"&lt;&gt;Off-street")&gt;0,1,0)</f>
        <v>0</v>
      </c>
      <c r="H1253">
        <f>IF(COUNTIFS('United Data'!$A$3:$A$3390,H$1,'United Data'!$C$3:$C$3390,$A1253,'United Data'!$B$3:$B$3390,"&lt;&gt;Off-street")&gt;0,1,0)</f>
        <v>0</v>
      </c>
      <c r="I1253">
        <f>IF(COUNTIFS('United Data'!$A$3:$A$3390,I$1,'United Data'!$C$3:$C$3390,$A1253,'United Data'!$B$3:$B$3390,"&lt;&gt;Off-street")&gt;0,1,0)</f>
        <v>0</v>
      </c>
      <c r="J1253">
        <f>IF(COUNTIFS('United Data'!$A$3:$A$3390,J$1,'United Data'!$C$3:$C$3390,$A1253,'United Data'!$B$3:$B$3390,"&lt;&gt;Off-street")&gt;0,1,0)</f>
        <v>0</v>
      </c>
      <c r="K1253">
        <f>IF(COUNTIFS('United Data'!$A$3:$A$3390,K$1,'United Data'!$C$3:$C$3390,$A1253,'United Data'!$B$3:$B$3390,"&lt;&gt;Off-street")&gt;0,1,0)</f>
        <v>0</v>
      </c>
      <c r="L1253">
        <f>IF(COUNTIFS('United Data'!$A$3:$A$3390,L$1,'United Data'!$C$3:$C$3390,$A1253,'United Data'!$B$3:$B$3390,"&lt;&gt;Off-street")&gt;0,1,0)</f>
        <v>0</v>
      </c>
      <c r="M1253">
        <f>IF(COUNTIFS('United Data'!$A$3:$A$3390,M$1,'United Data'!$C$3:$C$3390,$A1253,'United Data'!$B$3:$B$3390,"&lt;&gt;Off-street")&gt;0,1,0)</f>
        <v>0</v>
      </c>
      <c r="N1253">
        <f>IF(COUNTIFS('United Data'!$A$3:$A$3390,N$1,'United Data'!$C$3:$C$3390,$A1253,'United Data'!$B$3:$B$3390,"&lt;&gt;Off-street")&gt;0,1,0)</f>
        <v>0</v>
      </c>
      <c r="O1253">
        <f>IF(COUNTIFS('United Data'!$A$3:$A$3390,O$1,'United Data'!$C$3:$C$3390,$A1253,'United Data'!$B$3:$B$3390,"&lt;&gt;Off-street")&gt;0,1,0)</f>
        <v>0</v>
      </c>
      <c r="P1253">
        <f>IF(COUNTIFS('United Data'!$A$3:$A$3390,P$1,'United Data'!$C$3:$C$3390,$A1253,'United Data'!$B$3:$B$3390,"&lt;&gt;Off-street")&gt;0,1,0)</f>
        <v>0</v>
      </c>
      <c r="Q1253">
        <f>IF(COUNTIFS('United Data'!$A$3:$A$3390,Q$1,'United Data'!$C$3:$C$3390,$A1253,'United Data'!$B$3:$B$3390,"&lt;&gt;Off-street")&gt;0,1,0)</f>
        <v>0</v>
      </c>
      <c r="R1253">
        <f>IF(COUNTIFS('United Data'!$A$3:$A$3390,R$1,'United Data'!$C$3:$C$3390,$A1253,'United Data'!$B$3:$B$3390,"&lt;&gt;Off-street")&gt;0,1,0)</f>
        <v>0</v>
      </c>
      <c r="S1253">
        <f t="shared" si="38"/>
        <v>1</v>
      </c>
      <c r="T1253">
        <f t="shared" si="39"/>
        <v>1</v>
      </c>
    </row>
    <row r="1254" spans="1:20" x14ac:dyDescent="0.2">
      <c r="A1254" t="s">
        <v>1489</v>
      </c>
      <c r="B1254">
        <f>IF(COUNTIFS('United Data'!$A$3:$A$3390,B$1,'United Data'!$C$3:$C$3390,$A1254,'United Data'!$B$3:$B$3390,"&lt;&gt;Off-street")&gt;0,1,0)</f>
        <v>0</v>
      </c>
      <c r="C1254">
        <f>IF(COUNTIFS('United Data'!$A$3:$A$3390,C$1,'United Data'!$C$3:$C$3390,$A1254,'United Data'!$B$3:$B$3390,"&lt;&gt;Off-street")&gt;0,1,0)</f>
        <v>0</v>
      </c>
      <c r="D1254">
        <f>IF(COUNTIFS('United Data'!$A$3:$A$3390,D$1,'United Data'!$C$3:$C$3390,$A1254,'United Data'!$B$3:$B$3390,"&lt;&gt;Off-street")&gt;0,1,0)</f>
        <v>0</v>
      </c>
      <c r="E1254">
        <f>IF(COUNTIFS('United Data'!$A$3:$A$3390,E$1,'United Data'!$C$3:$C$3390,$A1254,'United Data'!$B$3:$B$3390,"&lt;&gt;Off-street")&gt;0,1,0)</f>
        <v>0</v>
      </c>
      <c r="F1254">
        <f>IF(COUNTIFS('United Data'!$A$3:$A$3390,F$1,'United Data'!$C$3:$C$3390,$A1254,'United Data'!$B$3:$B$3390,"&lt;&gt;Off-street")&gt;0,1,0)</f>
        <v>1</v>
      </c>
      <c r="G1254">
        <f>IF(COUNTIFS('United Data'!$A$3:$A$3390,G$1,'United Data'!$C$3:$C$3390,$A1254,'United Data'!$B$3:$B$3390,"&lt;&gt;Off-street")&gt;0,1,0)</f>
        <v>0</v>
      </c>
      <c r="H1254">
        <f>IF(COUNTIFS('United Data'!$A$3:$A$3390,H$1,'United Data'!$C$3:$C$3390,$A1254,'United Data'!$B$3:$B$3390,"&lt;&gt;Off-street")&gt;0,1,0)</f>
        <v>0</v>
      </c>
      <c r="I1254">
        <f>IF(COUNTIFS('United Data'!$A$3:$A$3390,I$1,'United Data'!$C$3:$C$3390,$A1254,'United Data'!$B$3:$B$3390,"&lt;&gt;Off-street")&gt;0,1,0)</f>
        <v>0</v>
      </c>
      <c r="J1254">
        <f>IF(COUNTIFS('United Data'!$A$3:$A$3390,J$1,'United Data'!$C$3:$C$3390,$A1254,'United Data'!$B$3:$B$3390,"&lt;&gt;Off-street")&gt;0,1,0)</f>
        <v>0</v>
      </c>
      <c r="K1254">
        <f>IF(COUNTIFS('United Data'!$A$3:$A$3390,K$1,'United Data'!$C$3:$C$3390,$A1254,'United Data'!$B$3:$B$3390,"&lt;&gt;Off-street")&gt;0,1,0)</f>
        <v>0</v>
      </c>
      <c r="L1254">
        <f>IF(COUNTIFS('United Data'!$A$3:$A$3390,L$1,'United Data'!$C$3:$C$3390,$A1254,'United Data'!$B$3:$B$3390,"&lt;&gt;Off-street")&gt;0,1,0)</f>
        <v>0</v>
      </c>
      <c r="M1254">
        <f>IF(COUNTIFS('United Data'!$A$3:$A$3390,M$1,'United Data'!$C$3:$C$3390,$A1254,'United Data'!$B$3:$B$3390,"&lt;&gt;Off-street")&gt;0,1,0)</f>
        <v>0</v>
      </c>
      <c r="N1254">
        <f>IF(COUNTIFS('United Data'!$A$3:$A$3390,N$1,'United Data'!$C$3:$C$3390,$A1254,'United Data'!$B$3:$B$3390,"&lt;&gt;Off-street")&gt;0,1,0)</f>
        <v>0</v>
      </c>
      <c r="O1254">
        <f>IF(COUNTIFS('United Data'!$A$3:$A$3390,O$1,'United Data'!$C$3:$C$3390,$A1254,'United Data'!$B$3:$B$3390,"&lt;&gt;Off-street")&gt;0,1,0)</f>
        <v>0</v>
      </c>
      <c r="P1254">
        <f>IF(COUNTIFS('United Data'!$A$3:$A$3390,P$1,'United Data'!$C$3:$C$3390,$A1254,'United Data'!$B$3:$B$3390,"&lt;&gt;Off-street")&gt;0,1,0)</f>
        <v>0</v>
      </c>
      <c r="Q1254">
        <f>IF(COUNTIFS('United Data'!$A$3:$A$3390,Q$1,'United Data'!$C$3:$C$3390,$A1254,'United Data'!$B$3:$B$3390,"&lt;&gt;Off-street")&gt;0,1,0)</f>
        <v>0</v>
      </c>
      <c r="R1254">
        <f>IF(COUNTIFS('United Data'!$A$3:$A$3390,R$1,'United Data'!$C$3:$C$3390,$A1254,'United Data'!$B$3:$B$3390,"&lt;&gt;Off-street")&gt;0,1,0)</f>
        <v>0</v>
      </c>
      <c r="S1254">
        <f t="shared" si="38"/>
        <v>1</v>
      </c>
      <c r="T1254">
        <f t="shared" si="39"/>
        <v>1</v>
      </c>
    </row>
    <row r="1255" spans="1:20" x14ac:dyDescent="0.2">
      <c r="A1255" t="s">
        <v>1490</v>
      </c>
      <c r="B1255">
        <f>IF(COUNTIFS('United Data'!$A$3:$A$3390,B$1,'United Data'!$C$3:$C$3390,$A1255,'United Data'!$B$3:$B$3390,"&lt;&gt;Off-street")&gt;0,1,0)</f>
        <v>0</v>
      </c>
      <c r="C1255">
        <f>IF(COUNTIFS('United Data'!$A$3:$A$3390,C$1,'United Data'!$C$3:$C$3390,$A1255,'United Data'!$B$3:$B$3390,"&lt;&gt;Off-street")&gt;0,1,0)</f>
        <v>0</v>
      </c>
      <c r="D1255">
        <f>IF(COUNTIFS('United Data'!$A$3:$A$3390,D$1,'United Data'!$C$3:$C$3390,$A1255,'United Data'!$B$3:$B$3390,"&lt;&gt;Off-street")&gt;0,1,0)</f>
        <v>0</v>
      </c>
      <c r="E1255">
        <f>IF(COUNTIFS('United Data'!$A$3:$A$3390,E$1,'United Data'!$C$3:$C$3390,$A1255,'United Data'!$B$3:$B$3390,"&lt;&gt;Off-street")&gt;0,1,0)</f>
        <v>0</v>
      </c>
      <c r="F1255">
        <f>IF(COUNTIFS('United Data'!$A$3:$A$3390,F$1,'United Data'!$C$3:$C$3390,$A1255,'United Data'!$B$3:$B$3390,"&lt;&gt;Off-street")&gt;0,1,0)</f>
        <v>1</v>
      </c>
      <c r="G1255">
        <f>IF(COUNTIFS('United Data'!$A$3:$A$3390,G$1,'United Data'!$C$3:$C$3390,$A1255,'United Data'!$B$3:$B$3390,"&lt;&gt;Off-street")&gt;0,1,0)</f>
        <v>0</v>
      </c>
      <c r="H1255">
        <f>IF(COUNTIFS('United Data'!$A$3:$A$3390,H$1,'United Data'!$C$3:$C$3390,$A1255,'United Data'!$B$3:$B$3390,"&lt;&gt;Off-street")&gt;0,1,0)</f>
        <v>0</v>
      </c>
      <c r="I1255">
        <f>IF(COUNTIFS('United Data'!$A$3:$A$3390,I$1,'United Data'!$C$3:$C$3390,$A1255,'United Data'!$B$3:$B$3390,"&lt;&gt;Off-street")&gt;0,1,0)</f>
        <v>0</v>
      </c>
      <c r="J1255">
        <f>IF(COUNTIFS('United Data'!$A$3:$A$3390,J$1,'United Data'!$C$3:$C$3390,$A1255,'United Data'!$B$3:$B$3390,"&lt;&gt;Off-street")&gt;0,1,0)</f>
        <v>0</v>
      </c>
      <c r="K1255">
        <f>IF(COUNTIFS('United Data'!$A$3:$A$3390,K$1,'United Data'!$C$3:$C$3390,$A1255,'United Data'!$B$3:$B$3390,"&lt;&gt;Off-street")&gt;0,1,0)</f>
        <v>0</v>
      </c>
      <c r="L1255">
        <f>IF(COUNTIFS('United Data'!$A$3:$A$3390,L$1,'United Data'!$C$3:$C$3390,$A1255,'United Data'!$B$3:$B$3390,"&lt;&gt;Off-street")&gt;0,1,0)</f>
        <v>0</v>
      </c>
      <c r="M1255">
        <f>IF(COUNTIFS('United Data'!$A$3:$A$3390,M$1,'United Data'!$C$3:$C$3390,$A1255,'United Data'!$B$3:$B$3390,"&lt;&gt;Off-street")&gt;0,1,0)</f>
        <v>0</v>
      </c>
      <c r="N1255">
        <f>IF(COUNTIFS('United Data'!$A$3:$A$3390,N$1,'United Data'!$C$3:$C$3390,$A1255,'United Data'!$B$3:$B$3390,"&lt;&gt;Off-street")&gt;0,1,0)</f>
        <v>0</v>
      </c>
      <c r="O1255">
        <f>IF(COUNTIFS('United Data'!$A$3:$A$3390,O$1,'United Data'!$C$3:$C$3390,$A1255,'United Data'!$B$3:$B$3390,"&lt;&gt;Off-street")&gt;0,1,0)</f>
        <v>0</v>
      </c>
      <c r="P1255">
        <f>IF(COUNTIFS('United Data'!$A$3:$A$3390,P$1,'United Data'!$C$3:$C$3390,$A1255,'United Data'!$B$3:$B$3390,"&lt;&gt;Off-street")&gt;0,1,0)</f>
        <v>0</v>
      </c>
      <c r="Q1255">
        <f>IF(COUNTIFS('United Data'!$A$3:$A$3390,Q$1,'United Data'!$C$3:$C$3390,$A1255,'United Data'!$B$3:$B$3390,"&lt;&gt;Off-street")&gt;0,1,0)</f>
        <v>0</v>
      </c>
      <c r="R1255">
        <f>IF(COUNTIFS('United Data'!$A$3:$A$3390,R$1,'United Data'!$C$3:$C$3390,$A1255,'United Data'!$B$3:$B$3390,"&lt;&gt;Off-street")&gt;0,1,0)</f>
        <v>0</v>
      </c>
      <c r="S1255">
        <f t="shared" si="38"/>
        <v>1</v>
      </c>
      <c r="T1255">
        <f t="shared" si="39"/>
        <v>1</v>
      </c>
    </row>
    <row r="1256" spans="1:20" x14ac:dyDescent="0.2">
      <c r="A1256" t="s">
        <v>1491</v>
      </c>
      <c r="B1256">
        <f>IF(COUNTIFS('United Data'!$A$3:$A$3390,B$1,'United Data'!$C$3:$C$3390,$A1256,'United Data'!$B$3:$B$3390,"&lt;&gt;Off-street")&gt;0,1,0)</f>
        <v>0</v>
      </c>
      <c r="C1256">
        <f>IF(COUNTIFS('United Data'!$A$3:$A$3390,C$1,'United Data'!$C$3:$C$3390,$A1256,'United Data'!$B$3:$B$3390,"&lt;&gt;Off-street")&gt;0,1,0)</f>
        <v>0</v>
      </c>
      <c r="D1256">
        <f>IF(COUNTIFS('United Data'!$A$3:$A$3390,D$1,'United Data'!$C$3:$C$3390,$A1256,'United Data'!$B$3:$B$3390,"&lt;&gt;Off-street")&gt;0,1,0)</f>
        <v>0</v>
      </c>
      <c r="E1256">
        <f>IF(COUNTIFS('United Data'!$A$3:$A$3390,E$1,'United Data'!$C$3:$C$3390,$A1256,'United Data'!$B$3:$B$3390,"&lt;&gt;Off-street")&gt;0,1,0)</f>
        <v>0</v>
      </c>
      <c r="F1256">
        <f>IF(COUNTIFS('United Data'!$A$3:$A$3390,F$1,'United Data'!$C$3:$C$3390,$A1256,'United Data'!$B$3:$B$3390,"&lt;&gt;Off-street")&gt;0,1,0)</f>
        <v>1</v>
      </c>
      <c r="G1256">
        <f>IF(COUNTIFS('United Data'!$A$3:$A$3390,G$1,'United Data'!$C$3:$C$3390,$A1256,'United Data'!$B$3:$B$3390,"&lt;&gt;Off-street")&gt;0,1,0)</f>
        <v>1</v>
      </c>
      <c r="H1256">
        <f>IF(COUNTIFS('United Data'!$A$3:$A$3390,H$1,'United Data'!$C$3:$C$3390,$A1256,'United Data'!$B$3:$B$3390,"&lt;&gt;Off-street")&gt;0,1,0)</f>
        <v>0</v>
      </c>
      <c r="I1256">
        <f>IF(COUNTIFS('United Data'!$A$3:$A$3390,I$1,'United Data'!$C$3:$C$3390,$A1256,'United Data'!$B$3:$B$3390,"&lt;&gt;Off-street")&gt;0,1,0)</f>
        <v>0</v>
      </c>
      <c r="J1256">
        <f>IF(COUNTIFS('United Data'!$A$3:$A$3390,J$1,'United Data'!$C$3:$C$3390,$A1256,'United Data'!$B$3:$B$3390,"&lt;&gt;Off-street")&gt;0,1,0)</f>
        <v>0</v>
      </c>
      <c r="K1256">
        <f>IF(COUNTIFS('United Data'!$A$3:$A$3390,K$1,'United Data'!$C$3:$C$3390,$A1256,'United Data'!$B$3:$B$3390,"&lt;&gt;Off-street")&gt;0,1,0)</f>
        <v>1</v>
      </c>
      <c r="L1256">
        <f>IF(COUNTIFS('United Data'!$A$3:$A$3390,L$1,'United Data'!$C$3:$C$3390,$A1256,'United Data'!$B$3:$B$3390,"&lt;&gt;Off-street")&gt;0,1,0)</f>
        <v>0</v>
      </c>
      <c r="M1256">
        <f>IF(COUNTIFS('United Data'!$A$3:$A$3390,M$1,'United Data'!$C$3:$C$3390,$A1256,'United Data'!$B$3:$B$3390,"&lt;&gt;Off-street")&gt;0,1,0)</f>
        <v>0</v>
      </c>
      <c r="N1256">
        <f>IF(COUNTIFS('United Data'!$A$3:$A$3390,N$1,'United Data'!$C$3:$C$3390,$A1256,'United Data'!$B$3:$B$3390,"&lt;&gt;Off-street")&gt;0,1,0)</f>
        <v>1</v>
      </c>
      <c r="O1256">
        <f>IF(COUNTIFS('United Data'!$A$3:$A$3390,O$1,'United Data'!$C$3:$C$3390,$A1256,'United Data'!$B$3:$B$3390,"&lt;&gt;Off-street")&gt;0,1,0)</f>
        <v>1</v>
      </c>
      <c r="P1256">
        <f>IF(COUNTIFS('United Data'!$A$3:$A$3390,P$1,'United Data'!$C$3:$C$3390,$A1256,'United Data'!$B$3:$B$3390,"&lt;&gt;Off-street")&gt;0,1,0)</f>
        <v>0</v>
      </c>
      <c r="Q1256">
        <f>IF(COUNTIFS('United Data'!$A$3:$A$3390,Q$1,'United Data'!$C$3:$C$3390,$A1256,'United Data'!$B$3:$B$3390,"&lt;&gt;Off-street")&gt;0,1,0)</f>
        <v>0</v>
      </c>
      <c r="R1256">
        <f>IF(COUNTIFS('United Data'!$A$3:$A$3390,R$1,'United Data'!$C$3:$C$3390,$A1256,'United Data'!$B$3:$B$3390,"&lt;&gt;Off-street")&gt;0,1,0)</f>
        <v>0</v>
      </c>
      <c r="S1256">
        <f t="shared" si="38"/>
        <v>5</v>
      </c>
      <c r="T1256">
        <f t="shared" si="39"/>
        <v>3</v>
      </c>
    </row>
    <row r="1257" spans="1:20" x14ac:dyDescent="0.2">
      <c r="A1257" t="s">
        <v>1492</v>
      </c>
      <c r="B1257">
        <f>IF(COUNTIFS('United Data'!$A$3:$A$3390,B$1,'United Data'!$C$3:$C$3390,$A1257,'United Data'!$B$3:$B$3390,"&lt;&gt;Off-street")&gt;0,1,0)</f>
        <v>0</v>
      </c>
      <c r="C1257">
        <f>IF(COUNTIFS('United Data'!$A$3:$A$3390,C$1,'United Data'!$C$3:$C$3390,$A1257,'United Data'!$B$3:$B$3390,"&lt;&gt;Off-street")&gt;0,1,0)</f>
        <v>0</v>
      </c>
      <c r="D1257">
        <f>IF(COUNTIFS('United Data'!$A$3:$A$3390,D$1,'United Data'!$C$3:$C$3390,$A1257,'United Data'!$B$3:$B$3390,"&lt;&gt;Off-street")&gt;0,1,0)</f>
        <v>0</v>
      </c>
      <c r="E1257">
        <f>IF(COUNTIFS('United Data'!$A$3:$A$3390,E$1,'United Data'!$C$3:$C$3390,$A1257,'United Data'!$B$3:$B$3390,"&lt;&gt;Off-street")&gt;0,1,0)</f>
        <v>0</v>
      </c>
      <c r="F1257">
        <f>IF(COUNTIFS('United Data'!$A$3:$A$3390,F$1,'United Data'!$C$3:$C$3390,$A1257,'United Data'!$B$3:$B$3390,"&lt;&gt;Off-street")&gt;0,1,0)</f>
        <v>0</v>
      </c>
      <c r="G1257">
        <f>IF(COUNTIFS('United Data'!$A$3:$A$3390,G$1,'United Data'!$C$3:$C$3390,$A1257,'United Data'!$B$3:$B$3390,"&lt;&gt;Off-street")&gt;0,1,0)</f>
        <v>1</v>
      </c>
      <c r="H1257">
        <f>IF(COUNTIFS('United Data'!$A$3:$A$3390,H$1,'United Data'!$C$3:$C$3390,$A1257,'United Data'!$B$3:$B$3390,"&lt;&gt;Off-street")&gt;0,1,0)</f>
        <v>0</v>
      </c>
      <c r="I1257">
        <f>IF(COUNTIFS('United Data'!$A$3:$A$3390,I$1,'United Data'!$C$3:$C$3390,$A1257,'United Data'!$B$3:$B$3390,"&lt;&gt;Off-street")&gt;0,1,0)</f>
        <v>0</v>
      </c>
      <c r="J1257">
        <f>IF(COUNTIFS('United Data'!$A$3:$A$3390,J$1,'United Data'!$C$3:$C$3390,$A1257,'United Data'!$B$3:$B$3390,"&lt;&gt;Off-street")&gt;0,1,0)</f>
        <v>0</v>
      </c>
      <c r="K1257">
        <f>IF(COUNTIFS('United Data'!$A$3:$A$3390,K$1,'United Data'!$C$3:$C$3390,$A1257,'United Data'!$B$3:$B$3390,"&lt;&gt;Off-street")&gt;0,1,0)</f>
        <v>0</v>
      </c>
      <c r="L1257">
        <f>IF(COUNTIFS('United Data'!$A$3:$A$3390,L$1,'United Data'!$C$3:$C$3390,$A1257,'United Data'!$B$3:$B$3390,"&lt;&gt;Off-street")&gt;0,1,0)</f>
        <v>0</v>
      </c>
      <c r="M1257">
        <f>IF(COUNTIFS('United Data'!$A$3:$A$3390,M$1,'United Data'!$C$3:$C$3390,$A1257,'United Data'!$B$3:$B$3390,"&lt;&gt;Off-street")&gt;0,1,0)</f>
        <v>0</v>
      </c>
      <c r="N1257">
        <f>IF(COUNTIFS('United Data'!$A$3:$A$3390,N$1,'United Data'!$C$3:$C$3390,$A1257,'United Data'!$B$3:$B$3390,"&lt;&gt;Off-street")&gt;0,1,0)</f>
        <v>0</v>
      </c>
      <c r="O1257">
        <f>IF(COUNTIFS('United Data'!$A$3:$A$3390,O$1,'United Data'!$C$3:$C$3390,$A1257,'United Data'!$B$3:$B$3390,"&lt;&gt;Off-street")&gt;0,1,0)</f>
        <v>0</v>
      </c>
      <c r="P1257">
        <f>IF(COUNTIFS('United Data'!$A$3:$A$3390,P$1,'United Data'!$C$3:$C$3390,$A1257,'United Data'!$B$3:$B$3390,"&lt;&gt;Off-street")&gt;0,1,0)</f>
        <v>0</v>
      </c>
      <c r="Q1257">
        <f>IF(COUNTIFS('United Data'!$A$3:$A$3390,Q$1,'United Data'!$C$3:$C$3390,$A1257,'United Data'!$B$3:$B$3390,"&lt;&gt;Off-street")&gt;0,1,0)</f>
        <v>0</v>
      </c>
      <c r="R1257">
        <f>IF(COUNTIFS('United Data'!$A$3:$A$3390,R$1,'United Data'!$C$3:$C$3390,$A1257,'United Data'!$B$3:$B$3390,"&lt;&gt;Off-street")&gt;0,1,0)</f>
        <v>0</v>
      </c>
      <c r="S1257">
        <f t="shared" si="38"/>
        <v>1</v>
      </c>
      <c r="T1257">
        <f t="shared" si="39"/>
        <v>1</v>
      </c>
    </row>
    <row r="1258" spans="1:20" x14ac:dyDescent="0.2">
      <c r="A1258" t="s">
        <v>1493</v>
      </c>
      <c r="B1258">
        <f>IF(COUNTIFS('United Data'!$A$3:$A$3390,B$1,'United Data'!$C$3:$C$3390,$A1258,'United Data'!$B$3:$B$3390,"&lt;&gt;Off-street")&gt;0,1,0)</f>
        <v>0</v>
      </c>
      <c r="C1258">
        <f>IF(COUNTIFS('United Data'!$A$3:$A$3390,C$1,'United Data'!$C$3:$C$3390,$A1258,'United Data'!$B$3:$B$3390,"&lt;&gt;Off-street")&gt;0,1,0)</f>
        <v>0</v>
      </c>
      <c r="D1258">
        <f>IF(COUNTIFS('United Data'!$A$3:$A$3390,D$1,'United Data'!$C$3:$C$3390,$A1258,'United Data'!$B$3:$B$3390,"&lt;&gt;Off-street")&gt;0,1,0)</f>
        <v>0</v>
      </c>
      <c r="E1258">
        <f>IF(COUNTIFS('United Data'!$A$3:$A$3390,E$1,'United Data'!$C$3:$C$3390,$A1258,'United Data'!$B$3:$B$3390,"&lt;&gt;Off-street")&gt;0,1,0)</f>
        <v>0</v>
      </c>
      <c r="F1258">
        <f>IF(COUNTIFS('United Data'!$A$3:$A$3390,F$1,'United Data'!$C$3:$C$3390,$A1258,'United Data'!$B$3:$B$3390,"&lt;&gt;Off-street")&gt;0,1,0)</f>
        <v>0</v>
      </c>
      <c r="G1258">
        <f>IF(COUNTIFS('United Data'!$A$3:$A$3390,G$1,'United Data'!$C$3:$C$3390,$A1258,'United Data'!$B$3:$B$3390,"&lt;&gt;Off-street")&gt;0,1,0)</f>
        <v>1</v>
      </c>
      <c r="H1258">
        <f>IF(COUNTIFS('United Data'!$A$3:$A$3390,H$1,'United Data'!$C$3:$C$3390,$A1258,'United Data'!$B$3:$B$3390,"&lt;&gt;Off-street")&gt;0,1,0)</f>
        <v>0</v>
      </c>
      <c r="I1258">
        <f>IF(COUNTIFS('United Data'!$A$3:$A$3390,I$1,'United Data'!$C$3:$C$3390,$A1258,'United Data'!$B$3:$B$3390,"&lt;&gt;Off-street")&gt;0,1,0)</f>
        <v>0</v>
      </c>
      <c r="J1258">
        <f>IF(COUNTIFS('United Data'!$A$3:$A$3390,J$1,'United Data'!$C$3:$C$3390,$A1258,'United Data'!$B$3:$B$3390,"&lt;&gt;Off-street")&gt;0,1,0)</f>
        <v>0</v>
      </c>
      <c r="K1258">
        <f>IF(COUNTIFS('United Data'!$A$3:$A$3390,K$1,'United Data'!$C$3:$C$3390,$A1258,'United Data'!$B$3:$B$3390,"&lt;&gt;Off-street")&gt;0,1,0)</f>
        <v>0</v>
      </c>
      <c r="L1258">
        <f>IF(COUNTIFS('United Data'!$A$3:$A$3390,L$1,'United Data'!$C$3:$C$3390,$A1258,'United Data'!$B$3:$B$3390,"&lt;&gt;Off-street")&gt;0,1,0)</f>
        <v>0</v>
      </c>
      <c r="M1258">
        <f>IF(COUNTIFS('United Data'!$A$3:$A$3390,M$1,'United Data'!$C$3:$C$3390,$A1258,'United Data'!$B$3:$B$3390,"&lt;&gt;Off-street")&gt;0,1,0)</f>
        <v>0</v>
      </c>
      <c r="N1258">
        <f>IF(COUNTIFS('United Data'!$A$3:$A$3390,N$1,'United Data'!$C$3:$C$3390,$A1258,'United Data'!$B$3:$B$3390,"&lt;&gt;Off-street")&gt;0,1,0)</f>
        <v>0</v>
      </c>
      <c r="O1258">
        <f>IF(COUNTIFS('United Data'!$A$3:$A$3390,O$1,'United Data'!$C$3:$C$3390,$A1258,'United Data'!$B$3:$B$3390,"&lt;&gt;Off-street")&gt;0,1,0)</f>
        <v>0</v>
      </c>
      <c r="P1258">
        <f>IF(COUNTIFS('United Data'!$A$3:$A$3390,P$1,'United Data'!$C$3:$C$3390,$A1258,'United Data'!$B$3:$B$3390,"&lt;&gt;Off-street")&gt;0,1,0)</f>
        <v>0</v>
      </c>
      <c r="Q1258">
        <f>IF(COUNTIFS('United Data'!$A$3:$A$3390,Q$1,'United Data'!$C$3:$C$3390,$A1258,'United Data'!$B$3:$B$3390,"&lt;&gt;Off-street")&gt;0,1,0)</f>
        <v>0</v>
      </c>
      <c r="R1258">
        <f>IF(COUNTIFS('United Data'!$A$3:$A$3390,R$1,'United Data'!$C$3:$C$3390,$A1258,'United Data'!$B$3:$B$3390,"&lt;&gt;Off-street")&gt;0,1,0)</f>
        <v>0</v>
      </c>
      <c r="S1258">
        <f t="shared" si="38"/>
        <v>1</v>
      </c>
      <c r="T1258">
        <f t="shared" si="39"/>
        <v>1</v>
      </c>
    </row>
    <row r="1259" spans="1:20" x14ac:dyDescent="0.2">
      <c r="A1259" t="s">
        <v>1494</v>
      </c>
      <c r="B1259">
        <f>IF(COUNTIFS('United Data'!$A$3:$A$3390,B$1,'United Data'!$C$3:$C$3390,$A1259,'United Data'!$B$3:$B$3390,"&lt;&gt;Off-street")&gt;0,1,0)</f>
        <v>0</v>
      </c>
      <c r="C1259">
        <f>IF(COUNTIFS('United Data'!$A$3:$A$3390,C$1,'United Data'!$C$3:$C$3390,$A1259,'United Data'!$B$3:$B$3390,"&lt;&gt;Off-street")&gt;0,1,0)</f>
        <v>0</v>
      </c>
      <c r="D1259">
        <f>IF(COUNTIFS('United Data'!$A$3:$A$3390,D$1,'United Data'!$C$3:$C$3390,$A1259,'United Data'!$B$3:$B$3390,"&lt;&gt;Off-street")&gt;0,1,0)</f>
        <v>0</v>
      </c>
      <c r="E1259">
        <f>IF(COUNTIFS('United Data'!$A$3:$A$3390,E$1,'United Data'!$C$3:$C$3390,$A1259,'United Data'!$B$3:$B$3390,"&lt;&gt;Off-street")&gt;0,1,0)</f>
        <v>0</v>
      </c>
      <c r="F1259">
        <f>IF(COUNTIFS('United Data'!$A$3:$A$3390,F$1,'United Data'!$C$3:$C$3390,$A1259,'United Data'!$B$3:$B$3390,"&lt;&gt;Off-street")&gt;0,1,0)</f>
        <v>0</v>
      </c>
      <c r="G1259">
        <f>IF(COUNTIFS('United Data'!$A$3:$A$3390,G$1,'United Data'!$C$3:$C$3390,$A1259,'United Data'!$B$3:$B$3390,"&lt;&gt;Off-street")&gt;0,1,0)</f>
        <v>1</v>
      </c>
      <c r="H1259">
        <f>IF(COUNTIFS('United Data'!$A$3:$A$3390,H$1,'United Data'!$C$3:$C$3390,$A1259,'United Data'!$B$3:$B$3390,"&lt;&gt;Off-street")&gt;0,1,0)</f>
        <v>1</v>
      </c>
      <c r="I1259">
        <f>IF(COUNTIFS('United Data'!$A$3:$A$3390,I$1,'United Data'!$C$3:$C$3390,$A1259,'United Data'!$B$3:$B$3390,"&lt;&gt;Off-street")&gt;0,1,0)</f>
        <v>0</v>
      </c>
      <c r="J1259">
        <f>IF(COUNTIFS('United Data'!$A$3:$A$3390,J$1,'United Data'!$C$3:$C$3390,$A1259,'United Data'!$B$3:$B$3390,"&lt;&gt;Off-street")&gt;0,1,0)</f>
        <v>0</v>
      </c>
      <c r="K1259">
        <f>IF(COUNTIFS('United Data'!$A$3:$A$3390,K$1,'United Data'!$C$3:$C$3390,$A1259,'United Data'!$B$3:$B$3390,"&lt;&gt;Off-street")&gt;0,1,0)</f>
        <v>0</v>
      </c>
      <c r="L1259">
        <f>IF(COUNTIFS('United Data'!$A$3:$A$3390,L$1,'United Data'!$C$3:$C$3390,$A1259,'United Data'!$B$3:$B$3390,"&lt;&gt;Off-street")&gt;0,1,0)</f>
        <v>0</v>
      </c>
      <c r="M1259">
        <f>IF(COUNTIFS('United Data'!$A$3:$A$3390,M$1,'United Data'!$C$3:$C$3390,$A1259,'United Data'!$B$3:$B$3390,"&lt;&gt;Off-street")&gt;0,1,0)</f>
        <v>0</v>
      </c>
      <c r="N1259">
        <f>IF(COUNTIFS('United Data'!$A$3:$A$3390,N$1,'United Data'!$C$3:$C$3390,$A1259,'United Data'!$B$3:$B$3390,"&lt;&gt;Off-street")&gt;0,1,0)</f>
        <v>0</v>
      </c>
      <c r="O1259">
        <f>IF(COUNTIFS('United Data'!$A$3:$A$3390,O$1,'United Data'!$C$3:$C$3390,$A1259,'United Data'!$B$3:$B$3390,"&lt;&gt;Off-street")&gt;0,1,0)</f>
        <v>0</v>
      </c>
      <c r="P1259">
        <f>IF(COUNTIFS('United Data'!$A$3:$A$3390,P$1,'United Data'!$C$3:$C$3390,$A1259,'United Data'!$B$3:$B$3390,"&lt;&gt;Off-street")&gt;0,1,0)</f>
        <v>1</v>
      </c>
      <c r="Q1259">
        <f>IF(COUNTIFS('United Data'!$A$3:$A$3390,Q$1,'United Data'!$C$3:$C$3390,$A1259,'United Data'!$B$3:$B$3390,"&lt;&gt;Off-street")&gt;0,1,0)</f>
        <v>0</v>
      </c>
      <c r="R1259">
        <f>IF(COUNTIFS('United Data'!$A$3:$A$3390,R$1,'United Data'!$C$3:$C$3390,$A1259,'United Data'!$B$3:$B$3390,"&lt;&gt;Off-street")&gt;0,1,0)</f>
        <v>0</v>
      </c>
      <c r="S1259">
        <f t="shared" si="38"/>
        <v>3</v>
      </c>
      <c r="T1259">
        <f t="shared" si="39"/>
        <v>2</v>
      </c>
    </row>
    <row r="1260" spans="1:20" x14ac:dyDescent="0.2">
      <c r="A1260" t="s">
        <v>1495</v>
      </c>
      <c r="B1260">
        <f>IF(COUNTIFS('United Data'!$A$3:$A$3390,B$1,'United Data'!$C$3:$C$3390,$A1260,'United Data'!$B$3:$B$3390,"&lt;&gt;Off-street")&gt;0,1,0)</f>
        <v>0</v>
      </c>
      <c r="C1260">
        <f>IF(COUNTIFS('United Data'!$A$3:$A$3390,C$1,'United Data'!$C$3:$C$3390,$A1260,'United Data'!$B$3:$B$3390,"&lt;&gt;Off-street")&gt;0,1,0)</f>
        <v>0</v>
      </c>
      <c r="D1260">
        <f>IF(COUNTIFS('United Data'!$A$3:$A$3390,D$1,'United Data'!$C$3:$C$3390,$A1260,'United Data'!$B$3:$B$3390,"&lt;&gt;Off-street")&gt;0,1,0)</f>
        <v>0</v>
      </c>
      <c r="E1260">
        <f>IF(COUNTIFS('United Data'!$A$3:$A$3390,E$1,'United Data'!$C$3:$C$3390,$A1260,'United Data'!$B$3:$B$3390,"&lt;&gt;Off-street")&gt;0,1,0)</f>
        <v>0</v>
      </c>
      <c r="F1260">
        <f>IF(COUNTIFS('United Data'!$A$3:$A$3390,F$1,'United Data'!$C$3:$C$3390,$A1260,'United Data'!$B$3:$B$3390,"&lt;&gt;Off-street")&gt;0,1,0)</f>
        <v>0</v>
      </c>
      <c r="G1260">
        <f>IF(COUNTIFS('United Data'!$A$3:$A$3390,G$1,'United Data'!$C$3:$C$3390,$A1260,'United Data'!$B$3:$B$3390,"&lt;&gt;Off-street")&gt;0,1,0)</f>
        <v>1</v>
      </c>
      <c r="H1260">
        <f>IF(COUNTIFS('United Data'!$A$3:$A$3390,H$1,'United Data'!$C$3:$C$3390,$A1260,'United Data'!$B$3:$B$3390,"&lt;&gt;Off-street")&gt;0,1,0)</f>
        <v>0</v>
      </c>
      <c r="I1260">
        <f>IF(COUNTIFS('United Data'!$A$3:$A$3390,I$1,'United Data'!$C$3:$C$3390,$A1260,'United Data'!$B$3:$B$3390,"&lt;&gt;Off-street")&gt;0,1,0)</f>
        <v>0</v>
      </c>
      <c r="J1260">
        <f>IF(COUNTIFS('United Data'!$A$3:$A$3390,J$1,'United Data'!$C$3:$C$3390,$A1260,'United Data'!$B$3:$B$3390,"&lt;&gt;Off-street")&gt;0,1,0)</f>
        <v>0</v>
      </c>
      <c r="K1260">
        <f>IF(COUNTIFS('United Data'!$A$3:$A$3390,K$1,'United Data'!$C$3:$C$3390,$A1260,'United Data'!$B$3:$B$3390,"&lt;&gt;Off-street")&gt;0,1,0)</f>
        <v>0</v>
      </c>
      <c r="L1260">
        <f>IF(COUNTIFS('United Data'!$A$3:$A$3390,L$1,'United Data'!$C$3:$C$3390,$A1260,'United Data'!$B$3:$B$3390,"&lt;&gt;Off-street")&gt;0,1,0)</f>
        <v>0</v>
      </c>
      <c r="M1260">
        <f>IF(COUNTIFS('United Data'!$A$3:$A$3390,M$1,'United Data'!$C$3:$C$3390,$A1260,'United Data'!$B$3:$B$3390,"&lt;&gt;Off-street")&gt;0,1,0)</f>
        <v>0</v>
      </c>
      <c r="N1260">
        <f>IF(COUNTIFS('United Data'!$A$3:$A$3390,N$1,'United Data'!$C$3:$C$3390,$A1260,'United Data'!$B$3:$B$3390,"&lt;&gt;Off-street")&gt;0,1,0)</f>
        <v>0</v>
      </c>
      <c r="O1260">
        <f>IF(COUNTIFS('United Data'!$A$3:$A$3390,O$1,'United Data'!$C$3:$C$3390,$A1260,'United Data'!$B$3:$B$3390,"&lt;&gt;Off-street")&gt;0,1,0)</f>
        <v>0</v>
      </c>
      <c r="P1260">
        <f>IF(COUNTIFS('United Data'!$A$3:$A$3390,P$1,'United Data'!$C$3:$C$3390,$A1260,'United Data'!$B$3:$B$3390,"&lt;&gt;Off-street")&gt;0,1,0)</f>
        <v>0</v>
      </c>
      <c r="Q1260">
        <f>IF(COUNTIFS('United Data'!$A$3:$A$3390,Q$1,'United Data'!$C$3:$C$3390,$A1260,'United Data'!$B$3:$B$3390,"&lt;&gt;Off-street")&gt;0,1,0)</f>
        <v>0</v>
      </c>
      <c r="R1260">
        <f>IF(COUNTIFS('United Data'!$A$3:$A$3390,R$1,'United Data'!$C$3:$C$3390,$A1260,'United Data'!$B$3:$B$3390,"&lt;&gt;Off-street")&gt;0,1,0)</f>
        <v>0</v>
      </c>
      <c r="S1260">
        <f t="shared" si="38"/>
        <v>1</v>
      </c>
      <c r="T1260">
        <f t="shared" si="39"/>
        <v>1</v>
      </c>
    </row>
    <row r="1261" spans="1:20" x14ac:dyDescent="0.2">
      <c r="A1261" t="s">
        <v>1496</v>
      </c>
      <c r="B1261">
        <f>IF(COUNTIFS('United Data'!$A$3:$A$3390,B$1,'United Data'!$C$3:$C$3390,$A1261,'United Data'!$B$3:$B$3390,"&lt;&gt;Off-street")&gt;0,1,0)</f>
        <v>0</v>
      </c>
      <c r="C1261">
        <f>IF(COUNTIFS('United Data'!$A$3:$A$3390,C$1,'United Data'!$C$3:$C$3390,$A1261,'United Data'!$B$3:$B$3390,"&lt;&gt;Off-street")&gt;0,1,0)</f>
        <v>0</v>
      </c>
      <c r="D1261">
        <f>IF(COUNTIFS('United Data'!$A$3:$A$3390,D$1,'United Data'!$C$3:$C$3390,$A1261,'United Data'!$B$3:$B$3390,"&lt;&gt;Off-street")&gt;0,1,0)</f>
        <v>0</v>
      </c>
      <c r="E1261">
        <f>IF(COUNTIFS('United Data'!$A$3:$A$3390,E$1,'United Data'!$C$3:$C$3390,$A1261,'United Data'!$B$3:$B$3390,"&lt;&gt;Off-street")&gt;0,1,0)</f>
        <v>0</v>
      </c>
      <c r="F1261">
        <f>IF(COUNTIFS('United Data'!$A$3:$A$3390,F$1,'United Data'!$C$3:$C$3390,$A1261,'United Data'!$B$3:$B$3390,"&lt;&gt;Off-street")&gt;0,1,0)</f>
        <v>0</v>
      </c>
      <c r="G1261">
        <f>IF(COUNTIFS('United Data'!$A$3:$A$3390,G$1,'United Data'!$C$3:$C$3390,$A1261,'United Data'!$B$3:$B$3390,"&lt;&gt;Off-street")&gt;0,1,0)</f>
        <v>1</v>
      </c>
      <c r="H1261">
        <f>IF(COUNTIFS('United Data'!$A$3:$A$3390,H$1,'United Data'!$C$3:$C$3390,$A1261,'United Data'!$B$3:$B$3390,"&lt;&gt;Off-street")&gt;0,1,0)</f>
        <v>0</v>
      </c>
      <c r="I1261">
        <f>IF(COUNTIFS('United Data'!$A$3:$A$3390,I$1,'United Data'!$C$3:$C$3390,$A1261,'United Data'!$B$3:$B$3390,"&lt;&gt;Off-street")&gt;0,1,0)</f>
        <v>0</v>
      </c>
      <c r="J1261">
        <f>IF(COUNTIFS('United Data'!$A$3:$A$3390,J$1,'United Data'!$C$3:$C$3390,$A1261,'United Data'!$B$3:$B$3390,"&lt;&gt;Off-street")&gt;0,1,0)</f>
        <v>0</v>
      </c>
      <c r="K1261">
        <f>IF(COUNTIFS('United Data'!$A$3:$A$3390,K$1,'United Data'!$C$3:$C$3390,$A1261,'United Data'!$B$3:$B$3390,"&lt;&gt;Off-street")&gt;0,1,0)</f>
        <v>1</v>
      </c>
      <c r="L1261">
        <f>IF(COUNTIFS('United Data'!$A$3:$A$3390,L$1,'United Data'!$C$3:$C$3390,$A1261,'United Data'!$B$3:$B$3390,"&lt;&gt;Off-street")&gt;0,1,0)</f>
        <v>0</v>
      </c>
      <c r="M1261">
        <f>IF(COUNTIFS('United Data'!$A$3:$A$3390,M$1,'United Data'!$C$3:$C$3390,$A1261,'United Data'!$B$3:$B$3390,"&lt;&gt;Off-street")&gt;0,1,0)</f>
        <v>1</v>
      </c>
      <c r="N1261">
        <f>IF(COUNTIFS('United Data'!$A$3:$A$3390,N$1,'United Data'!$C$3:$C$3390,$A1261,'United Data'!$B$3:$B$3390,"&lt;&gt;Off-street")&gt;0,1,0)</f>
        <v>0</v>
      </c>
      <c r="O1261">
        <f>IF(COUNTIFS('United Data'!$A$3:$A$3390,O$1,'United Data'!$C$3:$C$3390,$A1261,'United Data'!$B$3:$B$3390,"&lt;&gt;Off-street")&gt;0,1,0)</f>
        <v>0</v>
      </c>
      <c r="P1261">
        <f>IF(COUNTIFS('United Data'!$A$3:$A$3390,P$1,'United Data'!$C$3:$C$3390,$A1261,'United Data'!$B$3:$B$3390,"&lt;&gt;Off-street")&gt;0,1,0)</f>
        <v>0</v>
      </c>
      <c r="Q1261">
        <f>IF(COUNTIFS('United Data'!$A$3:$A$3390,Q$1,'United Data'!$C$3:$C$3390,$A1261,'United Data'!$B$3:$B$3390,"&lt;&gt;Off-street")&gt;0,1,0)</f>
        <v>0</v>
      </c>
      <c r="R1261">
        <f>IF(COUNTIFS('United Data'!$A$3:$A$3390,R$1,'United Data'!$C$3:$C$3390,$A1261,'United Data'!$B$3:$B$3390,"&lt;&gt;Off-street")&gt;0,1,0)</f>
        <v>0</v>
      </c>
      <c r="S1261">
        <f t="shared" si="38"/>
        <v>3</v>
      </c>
      <c r="T1261">
        <f t="shared" si="39"/>
        <v>3</v>
      </c>
    </row>
    <row r="1262" spans="1:20" x14ac:dyDescent="0.2">
      <c r="A1262" t="s">
        <v>1497</v>
      </c>
      <c r="B1262">
        <f>IF(COUNTIFS('United Data'!$A$3:$A$3390,B$1,'United Data'!$C$3:$C$3390,$A1262,'United Data'!$B$3:$B$3390,"&lt;&gt;Off-street")&gt;0,1,0)</f>
        <v>0</v>
      </c>
      <c r="C1262">
        <f>IF(COUNTIFS('United Data'!$A$3:$A$3390,C$1,'United Data'!$C$3:$C$3390,$A1262,'United Data'!$B$3:$B$3390,"&lt;&gt;Off-street")&gt;0,1,0)</f>
        <v>0</v>
      </c>
      <c r="D1262">
        <f>IF(COUNTIFS('United Data'!$A$3:$A$3390,D$1,'United Data'!$C$3:$C$3390,$A1262,'United Data'!$B$3:$B$3390,"&lt;&gt;Off-street")&gt;0,1,0)</f>
        <v>0</v>
      </c>
      <c r="E1262">
        <f>IF(COUNTIFS('United Data'!$A$3:$A$3390,E$1,'United Data'!$C$3:$C$3390,$A1262,'United Data'!$B$3:$B$3390,"&lt;&gt;Off-street")&gt;0,1,0)</f>
        <v>0</v>
      </c>
      <c r="F1262">
        <f>IF(COUNTIFS('United Data'!$A$3:$A$3390,F$1,'United Data'!$C$3:$C$3390,$A1262,'United Data'!$B$3:$B$3390,"&lt;&gt;Off-street")&gt;0,1,0)</f>
        <v>0</v>
      </c>
      <c r="G1262">
        <f>IF(COUNTIFS('United Data'!$A$3:$A$3390,G$1,'United Data'!$C$3:$C$3390,$A1262,'United Data'!$B$3:$B$3390,"&lt;&gt;Off-street")&gt;0,1,0)</f>
        <v>1</v>
      </c>
      <c r="H1262">
        <f>IF(COUNTIFS('United Data'!$A$3:$A$3390,H$1,'United Data'!$C$3:$C$3390,$A1262,'United Data'!$B$3:$B$3390,"&lt;&gt;Off-street")&gt;0,1,0)</f>
        <v>1</v>
      </c>
      <c r="I1262">
        <f>IF(COUNTIFS('United Data'!$A$3:$A$3390,I$1,'United Data'!$C$3:$C$3390,$A1262,'United Data'!$B$3:$B$3390,"&lt;&gt;Off-street")&gt;0,1,0)</f>
        <v>0</v>
      </c>
      <c r="J1262">
        <f>IF(COUNTIFS('United Data'!$A$3:$A$3390,J$1,'United Data'!$C$3:$C$3390,$A1262,'United Data'!$B$3:$B$3390,"&lt;&gt;Off-street")&gt;0,1,0)</f>
        <v>0</v>
      </c>
      <c r="K1262">
        <f>IF(COUNTIFS('United Data'!$A$3:$A$3390,K$1,'United Data'!$C$3:$C$3390,$A1262,'United Data'!$B$3:$B$3390,"&lt;&gt;Off-street")&gt;0,1,0)</f>
        <v>0</v>
      </c>
      <c r="L1262">
        <f>IF(COUNTIFS('United Data'!$A$3:$A$3390,L$1,'United Data'!$C$3:$C$3390,$A1262,'United Data'!$B$3:$B$3390,"&lt;&gt;Off-street")&gt;0,1,0)</f>
        <v>1</v>
      </c>
      <c r="M1262">
        <f>IF(COUNTIFS('United Data'!$A$3:$A$3390,M$1,'United Data'!$C$3:$C$3390,$A1262,'United Data'!$B$3:$B$3390,"&lt;&gt;Off-street")&gt;0,1,0)</f>
        <v>0</v>
      </c>
      <c r="N1262">
        <f>IF(COUNTIFS('United Data'!$A$3:$A$3390,N$1,'United Data'!$C$3:$C$3390,$A1262,'United Data'!$B$3:$B$3390,"&lt;&gt;Off-street")&gt;0,1,0)</f>
        <v>0</v>
      </c>
      <c r="O1262">
        <f>IF(COUNTIFS('United Data'!$A$3:$A$3390,O$1,'United Data'!$C$3:$C$3390,$A1262,'United Data'!$B$3:$B$3390,"&lt;&gt;Off-street")&gt;0,1,0)</f>
        <v>0</v>
      </c>
      <c r="P1262">
        <f>IF(COUNTIFS('United Data'!$A$3:$A$3390,P$1,'United Data'!$C$3:$C$3390,$A1262,'United Data'!$B$3:$B$3390,"&lt;&gt;Off-street")&gt;0,1,0)</f>
        <v>0</v>
      </c>
      <c r="Q1262">
        <f>IF(COUNTIFS('United Data'!$A$3:$A$3390,Q$1,'United Data'!$C$3:$C$3390,$A1262,'United Data'!$B$3:$B$3390,"&lt;&gt;Off-street")&gt;0,1,0)</f>
        <v>0</v>
      </c>
      <c r="R1262">
        <f>IF(COUNTIFS('United Data'!$A$3:$A$3390,R$1,'United Data'!$C$3:$C$3390,$A1262,'United Data'!$B$3:$B$3390,"&lt;&gt;Off-street")&gt;0,1,0)</f>
        <v>0</v>
      </c>
      <c r="S1262">
        <f t="shared" si="38"/>
        <v>3</v>
      </c>
      <c r="T1262">
        <f t="shared" si="39"/>
        <v>2</v>
      </c>
    </row>
    <row r="1263" spans="1:20" x14ac:dyDescent="0.2">
      <c r="A1263" t="s">
        <v>1498</v>
      </c>
      <c r="B1263">
        <f>IF(COUNTIFS('United Data'!$A$3:$A$3390,B$1,'United Data'!$C$3:$C$3390,$A1263,'United Data'!$B$3:$B$3390,"&lt;&gt;Off-street")&gt;0,1,0)</f>
        <v>0</v>
      </c>
      <c r="C1263">
        <f>IF(COUNTIFS('United Data'!$A$3:$A$3390,C$1,'United Data'!$C$3:$C$3390,$A1263,'United Data'!$B$3:$B$3390,"&lt;&gt;Off-street")&gt;0,1,0)</f>
        <v>0</v>
      </c>
      <c r="D1263">
        <f>IF(COUNTIFS('United Data'!$A$3:$A$3390,D$1,'United Data'!$C$3:$C$3390,$A1263,'United Data'!$B$3:$B$3390,"&lt;&gt;Off-street")&gt;0,1,0)</f>
        <v>0</v>
      </c>
      <c r="E1263">
        <f>IF(COUNTIFS('United Data'!$A$3:$A$3390,E$1,'United Data'!$C$3:$C$3390,$A1263,'United Data'!$B$3:$B$3390,"&lt;&gt;Off-street")&gt;0,1,0)</f>
        <v>0</v>
      </c>
      <c r="F1263">
        <f>IF(COUNTIFS('United Data'!$A$3:$A$3390,F$1,'United Data'!$C$3:$C$3390,$A1263,'United Data'!$B$3:$B$3390,"&lt;&gt;Off-street")&gt;0,1,0)</f>
        <v>0</v>
      </c>
      <c r="G1263">
        <f>IF(COUNTIFS('United Data'!$A$3:$A$3390,G$1,'United Data'!$C$3:$C$3390,$A1263,'United Data'!$B$3:$B$3390,"&lt;&gt;Off-street")&gt;0,1,0)</f>
        <v>1</v>
      </c>
      <c r="H1263">
        <f>IF(COUNTIFS('United Data'!$A$3:$A$3390,H$1,'United Data'!$C$3:$C$3390,$A1263,'United Data'!$B$3:$B$3390,"&lt;&gt;Off-street")&gt;0,1,0)</f>
        <v>0</v>
      </c>
      <c r="I1263">
        <f>IF(COUNTIFS('United Data'!$A$3:$A$3390,I$1,'United Data'!$C$3:$C$3390,$A1263,'United Data'!$B$3:$B$3390,"&lt;&gt;Off-street")&gt;0,1,0)</f>
        <v>0</v>
      </c>
      <c r="J1263">
        <f>IF(COUNTIFS('United Data'!$A$3:$A$3390,J$1,'United Data'!$C$3:$C$3390,$A1263,'United Data'!$B$3:$B$3390,"&lt;&gt;Off-street")&gt;0,1,0)</f>
        <v>0</v>
      </c>
      <c r="K1263">
        <f>IF(COUNTIFS('United Data'!$A$3:$A$3390,K$1,'United Data'!$C$3:$C$3390,$A1263,'United Data'!$B$3:$B$3390,"&lt;&gt;Off-street")&gt;0,1,0)</f>
        <v>0</v>
      </c>
      <c r="L1263">
        <f>IF(COUNTIFS('United Data'!$A$3:$A$3390,L$1,'United Data'!$C$3:$C$3390,$A1263,'United Data'!$B$3:$B$3390,"&lt;&gt;Off-street")&gt;0,1,0)</f>
        <v>0</v>
      </c>
      <c r="M1263">
        <f>IF(COUNTIFS('United Data'!$A$3:$A$3390,M$1,'United Data'!$C$3:$C$3390,$A1263,'United Data'!$B$3:$B$3390,"&lt;&gt;Off-street")&gt;0,1,0)</f>
        <v>0</v>
      </c>
      <c r="N1263">
        <f>IF(COUNTIFS('United Data'!$A$3:$A$3390,N$1,'United Data'!$C$3:$C$3390,$A1263,'United Data'!$B$3:$B$3390,"&lt;&gt;Off-street")&gt;0,1,0)</f>
        <v>0</v>
      </c>
      <c r="O1263">
        <f>IF(COUNTIFS('United Data'!$A$3:$A$3390,O$1,'United Data'!$C$3:$C$3390,$A1263,'United Data'!$B$3:$B$3390,"&lt;&gt;Off-street")&gt;0,1,0)</f>
        <v>0</v>
      </c>
      <c r="P1263">
        <f>IF(COUNTIFS('United Data'!$A$3:$A$3390,P$1,'United Data'!$C$3:$C$3390,$A1263,'United Data'!$B$3:$B$3390,"&lt;&gt;Off-street")&gt;0,1,0)</f>
        <v>0</v>
      </c>
      <c r="Q1263">
        <f>IF(COUNTIFS('United Data'!$A$3:$A$3390,Q$1,'United Data'!$C$3:$C$3390,$A1263,'United Data'!$B$3:$B$3390,"&lt;&gt;Off-street")&gt;0,1,0)</f>
        <v>0</v>
      </c>
      <c r="R1263">
        <f>IF(COUNTIFS('United Data'!$A$3:$A$3390,R$1,'United Data'!$C$3:$C$3390,$A1263,'United Data'!$B$3:$B$3390,"&lt;&gt;Off-street")&gt;0,1,0)</f>
        <v>0</v>
      </c>
      <c r="S1263">
        <f t="shared" si="38"/>
        <v>1</v>
      </c>
      <c r="T1263">
        <f t="shared" si="39"/>
        <v>1</v>
      </c>
    </row>
    <row r="1264" spans="1:20" x14ac:dyDescent="0.2">
      <c r="A1264" t="s">
        <v>1499</v>
      </c>
      <c r="B1264">
        <f>IF(COUNTIFS('United Data'!$A$3:$A$3390,B$1,'United Data'!$C$3:$C$3390,$A1264,'United Data'!$B$3:$B$3390,"&lt;&gt;Off-street")&gt;0,1,0)</f>
        <v>0</v>
      </c>
      <c r="C1264">
        <f>IF(COUNTIFS('United Data'!$A$3:$A$3390,C$1,'United Data'!$C$3:$C$3390,$A1264,'United Data'!$B$3:$B$3390,"&lt;&gt;Off-street")&gt;0,1,0)</f>
        <v>0</v>
      </c>
      <c r="D1264">
        <f>IF(COUNTIFS('United Data'!$A$3:$A$3390,D$1,'United Data'!$C$3:$C$3390,$A1264,'United Data'!$B$3:$B$3390,"&lt;&gt;Off-street")&gt;0,1,0)</f>
        <v>0</v>
      </c>
      <c r="E1264">
        <f>IF(COUNTIFS('United Data'!$A$3:$A$3390,E$1,'United Data'!$C$3:$C$3390,$A1264,'United Data'!$B$3:$B$3390,"&lt;&gt;Off-street")&gt;0,1,0)</f>
        <v>0</v>
      </c>
      <c r="F1264">
        <f>IF(COUNTIFS('United Data'!$A$3:$A$3390,F$1,'United Data'!$C$3:$C$3390,$A1264,'United Data'!$B$3:$B$3390,"&lt;&gt;Off-street")&gt;0,1,0)</f>
        <v>0</v>
      </c>
      <c r="G1264">
        <f>IF(COUNTIFS('United Data'!$A$3:$A$3390,G$1,'United Data'!$C$3:$C$3390,$A1264,'United Data'!$B$3:$B$3390,"&lt;&gt;Off-street")&gt;0,1,0)</f>
        <v>1</v>
      </c>
      <c r="H1264">
        <f>IF(COUNTIFS('United Data'!$A$3:$A$3390,H$1,'United Data'!$C$3:$C$3390,$A1264,'United Data'!$B$3:$B$3390,"&lt;&gt;Off-street")&gt;0,1,0)</f>
        <v>0</v>
      </c>
      <c r="I1264">
        <f>IF(COUNTIFS('United Data'!$A$3:$A$3390,I$1,'United Data'!$C$3:$C$3390,$A1264,'United Data'!$B$3:$B$3390,"&lt;&gt;Off-street")&gt;0,1,0)</f>
        <v>0</v>
      </c>
      <c r="J1264">
        <f>IF(COUNTIFS('United Data'!$A$3:$A$3390,J$1,'United Data'!$C$3:$C$3390,$A1264,'United Data'!$B$3:$B$3390,"&lt;&gt;Off-street")&gt;0,1,0)</f>
        <v>0</v>
      </c>
      <c r="K1264">
        <f>IF(COUNTIFS('United Data'!$A$3:$A$3390,K$1,'United Data'!$C$3:$C$3390,$A1264,'United Data'!$B$3:$B$3390,"&lt;&gt;Off-street")&gt;0,1,0)</f>
        <v>0</v>
      </c>
      <c r="L1264">
        <f>IF(COUNTIFS('United Data'!$A$3:$A$3390,L$1,'United Data'!$C$3:$C$3390,$A1264,'United Data'!$B$3:$B$3390,"&lt;&gt;Off-street")&gt;0,1,0)</f>
        <v>0</v>
      </c>
      <c r="M1264">
        <f>IF(COUNTIFS('United Data'!$A$3:$A$3390,M$1,'United Data'!$C$3:$C$3390,$A1264,'United Data'!$B$3:$B$3390,"&lt;&gt;Off-street")&gt;0,1,0)</f>
        <v>0</v>
      </c>
      <c r="N1264">
        <f>IF(COUNTIFS('United Data'!$A$3:$A$3390,N$1,'United Data'!$C$3:$C$3390,$A1264,'United Data'!$B$3:$B$3390,"&lt;&gt;Off-street")&gt;0,1,0)</f>
        <v>0</v>
      </c>
      <c r="O1264">
        <f>IF(COUNTIFS('United Data'!$A$3:$A$3390,O$1,'United Data'!$C$3:$C$3390,$A1264,'United Data'!$B$3:$B$3390,"&lt;&gt;Off-street")&gt;0,1,0)</f>
        <v>0</v>
      </c>
      <c r="P1264">
        <f>IF(COUNTIFS('United Data'!$A$3:$A$3390,P$1,'United Data'!$C$3:$C$3390,$A1264,'United Data'!$B$3:$B$3390,"&lt;&gt;Off-street")&gt;0,1,0)</f>
        <v>0</v>
      </c>
      <c r="Q1264">
        <f>IF(COUNTIFS('United Data'!$A$3:$A$3390,Q$1,'United Data'!$C$3:$C$3390,$A1264,'United Data'!$B$3:$B$3390,"&lt;&gt;Off-street")&gt;0,1,0)</f>
        <v>0</v>
      </c>
      <c r="R1264">
        <f>IF(COUNTIFS('United Data'!$A$3:$A$3390,R$1,'United Data'!$C$3:$C$3390,$A1264,'United Data'!$B$3:$B$3390,"&lt;&gt;Off-street")&gt;0,1,0)</f>
        <v>0</v>
      </c>
      <c r="S1264">
        <f t="shared" si="38"/>
        <v>1</v>
      </c>
      <c r="T1264">
        <f t="shared" si="39"/>
        <v>1</v>
      </c>
    </row>
    <row r="1265" spans="1:20" x14ac:dyDescent="0.2">
      <c r="A1265" t="s">
        <v>1500</v>
      </c>
      <c r="B1265">
        <f>IF(COUNTIFS('United Data'!$A$3:$A$3390,B$1,'United Data'!$C$3:$C$3390,$A1265,'United Data'!$B$3:$B$3390,"&lt;&gt;Off-street")&gt;0,1,0)</f>
        <v>0</v>
      </c>
      <c r="C1265">
        <f>IF(COUNTIFS('United Data'!$A$3:$A$3390,C$1,'United Data'!$C$3:$C$3390,$A1265,'United Data'!$B$3:$B$3390,"&lt;&gt;Off-street")&gt;0,1,0)</f>
        <v>0</v>
      </c>
      <c r="D1265">
        <f>IF(COUNTIFS('United Data'!$A$3:$A$3390,D$1,'United Data'!$C$3:$C$3390,$A1265,'United Data'!$B$3:$B$3390,"&lt;&gt;Off-street")&gt;0,1,0)</f>
        <v>0</v>
      </c>
      <c r="E1265">
        <f>IF(COUNTIFS('United Data'!$A$3:$A$3390,E$1,'United Data'!$C$3:$C$3390,$A1265,'United Data'!$B$3:$B$3390,"&lt;&gt;Off-street")&gt;0,1,0)</f>
        <v>0</v>
      </c>
      <c r="F1265">
        <f>IF(COUNTIFS('United Data'!$A$3:$A$3390,F$1,'United Data'!$C$3:$C$3390,$A1265,'United Data'!$B$3:$B$3390,"&lt;&gt;Off-street")&gt;0,1,0)</f>
        <v>0</v>
      </c>
      <c r="G1265">
        <f>IF(COUNTIFS('United Data'!$A$3:$A$3390,G$1,'United Data'!$C$3:$C$3390,$A1265,'United Data'!$B$3:$B$3390,"&lt;&gt;Off-street")&gt;0,1,0)</f>
        <v>1</v>
      </c>
      <c r="H1265">
        <f>IF(COUNTIFS('United Data'!$A$3:$A$3390,H$1,'United Data'!$C$3:$C$3390,$A1265,'United Data'!$B$3:$B$3390,"&lt;&gt;Off-street")&gt;0,1,0)</f>
        <v>0</v>
      </c>
      <c r="I1265">
        <f>IF(COUNTIFS('United Data'!$A$3:$A$3390,I$1,'United Data'!$C$3:$C$3390,$A1265,'United Data'!$B$3:$B$3390,"&lt;&gt;Off-street")&gt;0,1,0)</f>
        <v>0</v>
      </c>
      <c r="J1265">
        <f>IF(COUNTIFS('United Data'!$A$3:$A$3390,J$1,'United Data'!$C$3:$C$3390,$A1265,'United Data'!$B$3:$B$3390,"&lt;&gt;Off-street")&gt;0,1,0)</f>
        <v>0</v>
      </c>
      <c r="K1265">
        <f>IF(COUNTIFS('United Data'!$A$3:$A$3390,K$1,'United Data'!$C$3:$C$3390,$A1265,'United Data'!$B$3:$B$3390,"&lt;&gt;Off-street")&gt;0,1,0)</f>
        <v>0</v>
      </c>
      <c r="L1265">
        <f>IF(COUNTIFS('United Data'!$A$3:$A$3390,L$1,'United Data'!$C$3:$C$3390,$A1265,'United Data'!$B$3:$B$3390,"&lt;&gt;Off-street")&gt;0,1,0)</f>
        <v>0</v>
      </c>
      <c r="M1265">
        <f>IF(COUNTIFS('United Data'!$A$3:$A$3390,M$1,'United Data'!$C$3:$C$3390,$A1265,'United Data'!$B$3:$B$3390,"&lt;&gt;Off-street")&gt;0,1,0)</f>
        <v>0</v>
      </c>
      <c r="N1265">
        <f>IF(COUNTIFS('United Data'!$A$3:$A$3390,N$1,'United Data'!$C$3:$C$3390,$A1265,'United Data'!$B$3:$B$3390,"&lt;&gt;Off-street")&gt;0,1,0)</f>
        <v>0</v>
      </c>
      <c r="O1265">
        <f>IF(COUNTIFS('United Data'!$A$3:$A$3390,O$1,'United Data'!$C$3:$C$3390,$A1265,'United Data'!$B$3:$B$3390,"&lt;&gt;Off-street")&gt;0,1,0)</f>
        <v>0</v>
      </c>
      <c r="P1265">
        <f>IF(COUNTIFS('United Data'!$A$3:$A$3390,P$1,'United Data'!$C$3:$C$3390,$A1265,'United Data'!$B$3:$B$3390,"&lt;&gt;Off-street")&gt;0,1,0)</f>
        <v>0</v>
      </c>
      <c r="Q1265">
        <f>IF(COUNTIFS('United Data'!$A$3:$A$3390,Q$1,'United Data'!$C$3:$C$3390,$A1265,'United Data'!$B$3:$B$3390,"&lt;&gt;Off-street")&gt;0,1,0)</f>
        <v>0</v>
      </c>
      <c r="R1265">
        <f>IF(COUNTIFS('United Data'!$A$3:$A$3390,R$1,'United Data'!$C$3:$C$3390,$A1265,'United Data'!$B$3:$B$3390,"&lt;&gt;Off-street")&gt;0,1,0)</f>
        <v>0</v>
      </c>
      <c r="S1265">
        <f t="shared" si="38"/>
        <v>1</v>
      </c>
      <c r="T1265">
        <f t="shared" si="39"/>
        <v>1</v>
      </c>
    </row>
    <row r="1266" spans="1:20" x14ac:dyDescent="0.2">
      <c r="A1266" t="s">
        <v>1501</v>
      </c>
      <c r="B1266">
        <f>IF(COUNTIFS('United Data'!$A$3:$A$3390,B$1,'United Data'!$C$3:$C$3390,$A1266,'United Data'!$B$3:$B$3390,"&lt;&gt;Off-street")&gt;0,1,0)</f>
        <v>0</v>
      </c>
      <c r="C1266">
        <f>IF(COUNTIFS('United Data'!$A$3:$A$3390,C$1,'United Data'!$C$3:$C$3390,$A1266,'United Data'!$B$3:$B$3390,"&lt;&gt;Off-street")&gt;0,1,0)</f>
        <v>0</v>
      </c>
      <c r="D1266">
        <f>IF(COUNTIFS('United Data'!$A$3:$A$3390,D$1,'United Data'!$C$3:$C$3390,$A1266,'United Data'!$B$3:$B$3390,"&lt;&gt;Off-street")&gt;0,1,0)</f>
        <v>0</v>
      </c>
      <c r="E1266">
        <f>IF(COUNTIFS('United Data'!$A$3:$A$3390,E$1,'United Data'!$C$3:$C$3390,$A1266,'United Data'!$B$3:$B$3390,"&lt;&gt;Off-street")&gt;0,1,0)</f>
        <v>0</v>
      </c>
      <c r="F1266">
        <f>IF(COUNTIFS('United Data'!$A$3:$A$3390,F$1,'United Data'!$C$3:$C$3390,$A1266,'United Data'!$B$3:$B$3390,"&lt;&gt;Off-street")&gt;0,1,0)</f>
        <v>0</v>
      </c>
      <c r="G1266">
        <f>IF(COUNTIFS('United Data'!$A$3:$A$3390,G$1,'United Data'!$C$3:$C$3390,$A1266,'United Data'!$B$3:$B$3390,"&lt;&gt;Off-street")&gt;0,1,0)</f>
        <v>1</v>
      </c>
      <c r="H1266">
        <f>IF(COUNTIFS('United Data'!$A$3:$A$3390,H$1,'United Data'!$C$3:$C$3390,$A1266,'United Data'!$B$3:$B$3390,"&lt;&gt;Off-street")&gt;0,1,0)</f>
        <v>0</v>
      </c>
      <c r="I1266">
        <f>IF(COUNTIFS('United Data'!$A$3:$A$3390,I$1,'United Data'!$C$3:$C$3390,$A1266,'United Data'!$B$3:$B$3390,"&lt;&gt;Off-street")&gt;0,1,0)</f>
        <v>0</v>
      </c>
      <c r="J1266">
        <f>IF(COUNTIFS('United Data'!$A$3:$A$3390,J$1,'United Data'!$C$3:$C$3390,$A1266,'United Data'!$B$3:$B$3390,"&lt;&gt;Off-street")&gt;0,1,0)</f>
        <v>0</v>
      </c>
      <c r="K1266">
        <f>IF(COUNTIFS('United Data'!$A$3:$A$3390,K$1,'United Data'!$C$3:$C$3390,$A1266,'United Data'!$B$3:$B$3390,"&lt;&gt;Off-street")&gt;0,1,0)</f>
        <v>0</v>
      </c>
      <c r="L1266">
        <f>IF(COUNTIFS('United Data'!$A$3:$A$3390,L$1,'United Data'!$C$3:$C$3390,$A1266,'United Data'!$B$3:$B$3390,"&lt;&gt;Off-street")&gt;0,1,0)</f>
        <v>0</v>
      </c>
      <c r="M1266">
        <f>IF(COUNTIFS('United Data'!$A$3:$A$3390,M$1,'United Data'!$C$3:$C$3390,$A1266,'United Data'!$B$3:$B$3390,"&lt;&gt;Off-street")&gt;0,1,0)</f>
        <v>0</v>
      </c>
      <c r="N1266">
        <f>IF(COUNTIFS('United Data'!$A$3:$A$3390,N$1,'United Data'!$C$3:$C$3390,$A1266,'United Data'!$B$3:$B$3390,"&lt;&gt;Off-street")&gt;0,1,0)</f>
        <v>0</v>
      </c>
      <c r="O1266">
        <f>IF(COUNTIFS('United Data'!$A$3:$A$3390,O$1,'United Data'!$C$3:$C$3390,$A1266,'United Data'!$B$3:$B$3390,"&lt;&gt;Off-street")&gt;0,1,0)</f>
        <v>0</v>
      </c>
      <c r="P1266">
        <f>IF(COUNTIFS('United Data'!$A$3:$A$3390,P$1,'United Data'!$C$3:$C$3390,$A1266,'United Data'!$B$3:$B$3390,"&lt;&gt;Off-street")&gt;0,1,0)</f>
        <v>0</v>
      </c>
      <c r="Q1266">
        <f>IF(COUNTIFS('United Data'!$A$3:$A$3390,Q$1,'United Data'!$C$3:$C$3390,$A1266,'United Data'!$B$3:$B$3390,"&lt;&gt;Off-street")&gt;0,1,0)</f>
        <v>0</v>
      </c>
      <c r="R1266">
        <f>IF(COUNTIFS('United Data'!$A$3:$A$3390,R$1,'United Data'!$C$3:$C$3390,$A1266,'United Data'!$B$3:$B$3390,"&lt;&gt;Off-street")&gt;0,1,0)</f>
        <v>0</v>
      </c>
      <c r="S1266">
        <f t="shared" si="38"/>
        <v>1</v>
      </c>
      <c r="T1266">
        <f t="shared" si="39"/>
        <v>1</v>
      </c>
    </row>
    <row r="1267" spans="1:20" x14ac:dyDescent="0.2">
      <c r="A1267" t="s">
        <v>1502</v>
      </c>
      <c r="B1267">
        <f>IF(COUNTIFS('United Data'!$A$3:$A$3390,B$1,'United Data'!$C$3:$C$3390,$A1267,'United Data'!$B$3:$B$3390,"&lt;&gt;Off-street")&gt;0,1,0)</f>
        <v>0</v>
      </c>
      <c r="C1267">
        <f>IF(COUNTIFS('United Data'!$A$3:$A$3390,C$1,'United Data'!$C$3:$C$3390,$A1267,'United Data'!$B$3:$B$3390,"&lt;&gt;Off-street")&gt;0,1,0)</f>
        <v>0</v>
      </c>
      <c r="D1267">
        <f>IF(COUNTIFS('United Data'!$A$3:$A$3390,D$1,'United Data'!$C$3:$C$3390,$A1267,'United Data'!$B$3:$B$3390,"&lt;&gt;Off-street")&gt;0,1,0)</f>
        <v>0</v>
      </c>
      <c r="E1267">
        <f>IF(COUNTIFS('United Data'!$A$3:$A$3390,E$1,'United Data'!$C$3:$C$3390,$A1267,'United Data'!$B$3:$B$3390,"&lt;&gt;Off-street")&gt;0,1,0)</f>
        <v>0</v>
      </c>
      <c r="F1267">
        <f>IF(COUNTIFS('United Data'!$A$3:$A$3390,F$1,'United Data'!$C$3:$C$3390,$A1267,'United Data'!$B$3:$B$3390,"&lt;&gt;Off-street")&gt;0,1,0)</f>
        <v>0</v>
      </c>
      <c r="G1267">
        <f>IF(COUNTIFS('United Data'!$A$3:$A$3390,G$1,'United Data'!$C$3:$C$3390,$A1267,'United Data'!$B$3:$B$3390,"&lt;&gt;Off-street")&gt;0,1,0)</f>
        <v>1</v>
      </c>
      <c r="H1267">
        <f>IF(COUNTIFS('United Data'!$A$3:$A$3390,H$1,'United Data'!$C$3:$C$3390,$A1267,'United Data'!$B$3:$B$3390,"&lt;&gt;Off-street")&gt;0,1,0)</f>
        <v>0</v>
      </c>
      <c r="I1267">
        <f>IF(COUNTIFS('United Data'!$A$3:$A$3390,I$1,'United Data'!$C$3:$C$3390,$A1267,'United Data'!$B$3:$B$3390,"&lt;&gt;Off-street")&gt;0,1,0)</f>
        <v>0</v>
      </c>
      <c r="J1267">
        <f>IF(COUNTIFS('United Data'!$A$3:$A$3390,J$1,'United Data'!$C$3:$C$3390,$A1267,'United Data'!$B$3:$B$3390,"&lt;&gt;Off-street")&gt;0,1,0)</f>
        <v>0</v>
      </c>
      <c r="K1267">
        <f>IF(COUNTIFS('United Data'!$A$3:$A$3390,K$1,'United Data'!$C$3:$C$3390,$A1267,'United Data'!$B$3:$B$3390,"&lt;&gt;Off-street")&gt;0,1,0)</f>
        <v>0</v>
      </c>
      <c r="L1267">
        <f>IF(COUNTIFS('United Data'!$A$3:$A$3390,L$1,'United Data'!$C$3:$C$3390,$A1267,'United Data'!$B$3:$B$3390,"&lt;&gt;Off-street")&gt;0,1,0)</f>
        <v>0</v>
      </c>
      <c r="M1267">
        <f>IF(COUNTIFS('United Data'!$A$3:$A$3390,M$1,'United Data'!$C$3:$C$3390,$A1267,'United Data'!$B$3:$B$3390,"&lt;&gt;Off-street")&gt;0,1,0)</f>
        <v>0</v>
      </c>
      <c r="N1267">
        <f>IF(COUNTIFS('United Data'!$A$3:$A$3390,N$1,'United Data'!$C$3:$C$3390,$A1267,'United Data'!$B$3:$B$3390,"&lt;&gt;Off-street")&gt;0,1,0)</f>
        <v>0</v>
      </c>
      <c r="O1267">
        <f>IF(COUNTIFS('United Data'!$A$3:$A$3390,O$1,'United Data'!$C$3:$C$3390,$A1267,'United Data'!$B$3:$B$3390,"&lt;&gt;Off-street")&gt;0,1,0)</f>
        <v>0</v>
      </c>
      <c r="P1267">
        <f>IF(COUNTIFS('United Data'!$A$3:$A$3390,P$1,'United Data'!$C$3:$C$3390,$A1267,'United Data'!$B$3:$B$3390,"&lt;&gt;Off-street")&gt;0,1,0)</f>
        <v>0</v>
      </c>
      <c r="Q1267">
        <f>IF(COUNTIFS('United Data'!$A$3:$A$3390,Q$1,'United Data'!$C$3:$C$3390,$A1267,'United Data'!$B$3:$B$3390,"&lt;&gt;Off-street")&gt;0,1,0)</f>
        <v>0</v>
      </c>
      <c r="R1267">
        <f>IF(COUNTIFS('United Data'!$A$3:$A$3390,R$1,'United Data'!$C$3:$C$3390,$A1267,'United Data'!$B$3:$B$3390,"&lt;&gt;Off-street")&gt;0,1,0)</f>
        <v>0</v>
      </c>
      <c r="S1267">
        <f t="shared" si="38"/>
        <v>1</v>
      </c>
      <c r="T1267">
        <f t="shared" si="39"/>
        <v>1</v>
      </c>
    </row>
    <row r="1268" spans="1:20" x14ac:dyDescent="0.2">
      <c r="A1268" t="s">
        <v>1503</v>
      </c>
      <c r="B1268">
        <f>IF(COUNTIFS('United Data'!$A$3:$A$3390,B$1,'United Data'!$C$3:$C$3390,$A1268,'United Data'!$B$3:$B$3390,"&lt;&gt;Off-street")&gt;0,1,0)</f>
        <v>0</v>
      </c>
      <c r="C1268">
        <f>IF(COUNTIFS('United Data'!$A$3:$A$3390,C$1,'United Data'!$C$3:$C$3390,$A1268,'United Data'!$B$3:$B$3390,"&lt;&gt;Off-street")&gt;0,1,0)</f>
        <v>0</v>
      </c>
      <c r="D1268">
        <f>IF(COUNTIFS('United Data'!$A$3:$A$3390,D$1,'United Data'!$C$3:$C$3390,$A1268,'United Data'!$B$3:$B$3390,"&lt;&gt;Off-street")&gt;0,1,0)</f>
        <v>0</v>
      </c>
      <c r="E1268">
        <f>IF(COUNTIFS('United Data'!$A$3:$A$3390,E$1,'United Data'!$C$3:$C$3390,$A1268,'United Data'!$B$3:$B$3390,"&lt;&gt;Off-street")&gt;0,1,0)</f>
        <v>0</v>
      </c>
      <c r="F1268">
        <f>IF(COUNTIFS('United Data'!$A$3:$A$3390,F$1,'United Data'!$C$3:$C$3390,$A1268,'United Data'!$B$3:$B$3390,"&lt;&gt;Off-street")&gt;0,1,0)</f>
        <v>0</v>
      </c>
      <c r="G1268">
        <f>IF(COUNTIFS('United Data'!$A$3:$A$3390,G$1,'United Data'!$C$3:$C$3390,$A1268,'United Data'!$B$3:$B$3390,"&lt;&gt;Off-street")&gt;0,1,0)</f>
        <v>0</v>
      </c>
      <c r="H1268">
        <f>IF(COUNTIFS('United Data'!$A$3:$A$3390,H$1,'United Data'!$C$3:$C$3390,$A1268,'United Data'!$B$3:$B$3390,"&lt;&gt;Off-street")&gt;0,1,0)</f>
        <v>1</v>
      </c>
      <c r="I1268">
        <f>IF(COUNTIFS('United Data'!$A$3:$A$3390,I$1,'United Data'!$C$3:$C$3390,$A1268,'United Data'!$B$3:$B$3390,"&lt;&gt;Off-street")&gt;0,1,0)</f>
        <v>0</v>
      </c>
      <c r="J1268">
        <f>IF(COUNTIFS('United Data'!$A$3:$A$3390,J$1,'United Data'!$C$3:$C$3390,$A1268,'United Data'!$B$3:$B$3390,"&lt;&gt;Off-street")&gt;0,1,0)</f>
        <v>0</v>
      </c>
      <c r="K1268">
        <f>IF(COUNTIFS('United Data'!$A$3:$A$3390,K$1,'United Data'!$C$3:$C$3390,$A1268,'United Data'!$B$3:$B$3390,"&lt;&gt;Off-street")&gt;0,1,0)</f>
        <v>0</v>
      </c>
      <c r="L1268">
        <f>IF(COUNTIFS('United Data'!$A$3:$A$3390,L$1,'United Data'!$C$3:$C$3390,$A1268,'United Data'!$B$3:$B$3390,"&lt;&gt;Off-street")&gt;0,1,0)</f>
        <v>1</v>
      </c>
      <c r="M1268">
        <f>IF(COUNTIFS('United Data'!$A$3:$A$3390,M$1,'United Data'!$C$3:$C$3390,$A1268,'United Data'!$B$3:$B$3390,"&lt;&gt;Off-street")&gt;0,1,0)</f>
        <v>0</v>
      </c>
      <c r="N1268">
        <f>IF(COUNTIFS('United Data'!$A$3:$A$3390,N$1,'United Data'!$C$3:$C$3390,$A1268,'United Data'!$B$3:$B$3390,"&lt;&gt;Off-street")&gt;0,1,0)</f>
        <v>1</v>
      </c>
      <c r="O1268">
        <f>IF(COUNTIFS('United Data'!$A$3:$A$3390,O$1,'United Data'!$C$3:$C$3390,$A1268,'United Data'!$B$3:$B$3390,"&lt;&gt;Off-street")&gt;0,1,0)</f>
        <v>0</v>
      </c>
      <c r="P1268">
        <f>IF(COUNTIFS('United Data'!$A$3:$A$3390,P$1,'United Data'!$C$3:$C$3390,$A1268,'United Data'!$B$3:$B$3390,"&lt;&gt;Off-street")&gt;0,1,0)</f>
        <v>0</v>
      </c>
      <c r="Q1268">
        <f>IF(COUNTIFS('United Data'!$A$3:$A$3390,Q$1,'United Data'!$C$3:$C$3390,$A1268,'United Data'!$B$3:$B$3390,"&lt;&gt;Off-street")&gt;0,1,0)</f>
        <v>0</v>
      </c>
      <c r="R1268">
        <f>IF(COUNTIFS('United Data'!$A$3:$A$3390,R$1,'United Data'!$C$3:$C$3390,$A1268,'United Data'!$B$3:$B$3390,"&lt;&gt;Off-street")&gt;0,1,0)</f>
        <v>0</v>
      </c>
      <c r="S1268">
        <f t="shared" si="38"/>
        <v>3</v>
      </c>
      <c r="T1268">
        <f t="shared" si="39"/>
        <v>3</v>
      </c>
    </row>
    <row r="1269" spans="1:20" x14ac:dyDescent="0.2">
      <c r="A1269" t="s">
        <v>1504</v>
      </c>
      <c r="B1269">
        <f>IF(COUNTIFS('United Data'!$A$3:$A$3390,B$1,'United Data'!$C$3:$C$3390,$A1269,'United Data'!$B$3:$B$3390,"&lt;&gt;Off-street")&gt;0,1,0)</f>
        <v>0</v>
      </c>
      <c r="C1269">
        <f>IF(COUNTIFS('United Data'!$A$3:$A$3390,C$1,'United Data'!$C$3:$C$3390,$A1269,'United Data'!$B$3:$B$3390,"&lt;&gt;Off-street")&gt;0,1,0)</f>
        <v>0</v>
      </c>
      <c r="D1269">
        <f>IF(COUNTIFS('United Data'!$A$3:$A$3390,D$1,'United Data'!$C$3:$C$3390,$A1269,'United Data'!$B$3:$B$3390,"&lt;&gt;Off-street")&gt;0,1,0)</f>
        <v>0</v>
      </c>
      <c r="E1269">
        <f>IF(COUNTIFS('United Data'!$A$3:$A$3390,E$1,'United Data'!$C$3:$C$3390,$A1269,'United Data'!$B$3:$B$3390,"&lt;&gt;Off-street")&gt;0,1,0)</f>
        <v>0</v>
      </c>
      <c r="F1269">
        <f>IF(COUNTIFS('United Data'!$A$3:$A$3390,F$1,'United Data'!$C$3:$C$3390,$A1269,'United Data'!$B$3:$B$3390,"&lt;&gt;Off-street")&gt;0,1,0)</f>
        <v>0</v>
      </c>
      <c r="G1269">
        <f>IF(COUNTIFS('United Data'!$A$3:$A$3390,G$1,'United Data'!$C$3:$C$3390,$A1269,'United Data'!$B$3:$B$3390,"&lt;&gt;Off-street")&gt;0,1,0)</f>
        <v>0</v>
      </c>
      <c r="H1269">
        <f>IF(COUNTIFS('United Data'!$A$3:$A$3390,H$1,'United Data'!$C$3:$C$3390,$A1269,'United Data'!$B$3:$B$3390,"&lt;&gt;Off-street")&gt;0,1,0)</f>
        <v>1</v>
      </c>
      <c r="I1269">
        <f>IF(COUNTIFS('United Data'!$A$3:$A$3390,I$1,'United Data'!$C$3:$C$3390,$A1269,'United Data'!$B$3:$B$3390,"&lt;&gt;Off-street")&gt;0,1,0)</f>
        <v>0</v>
      </c>
      <c r="J1269">
        <f>IF(COUNTIFS('United Data'!$A$3:$A$3390,J$1,'United Data'!$C$3:$C$3390,$A1269,'United Data'!$B$3:$B$3390,"&lt;&gt;Off-street")&gt;0,1,0)</f>
        <v>0</v>
      </c>
      <c r="K1269">
        <f>IF(COUNTIFS('United Data'!$A$3:$A$3390,K$1,'United Data'!$C$3:$C$3390,$A1269,'United Data'!$B$3:$B$3390,"&lt;&gt;Off-street")&gt;0,1,0)</f>
        <v>0</v>
      </c>
      <c r="L1269">
        <f>IF(COUNTIFS('United Data'!$A$3:$A$3390,L$1,'United Data'!$C$3:$C$3390,$A1269,'United Data'!$B$3:$B$3390,"&lt;&gt;Off-street")&gt;0,1,0)</f>
        <v>0</v>
      </c>
      <c r="M1269">
        <f>IF(COUNTIFS('United Data'!$A$3:$A$3390,M$1,'United Data'!$C$3:$C$3390,$A1269,'United Data'!$B$3:$B$3390,"&lt;&gt;Off-street")&gt;0,1,0)</f>
        <v>0</v>
      </c>
      <c r="N1269">
        <f>IF(COUNTIFS('United Data'!$A$3:$A$3390,N$1,'United Data'!$C$3:$C$3390,$A1269,'United Data'!$B$3:$B$3390,"&lt;&gt;Off-street")&gt;0,1,0)</f>
        <v>0</v>
      </c>
      <c r="O1269">
        <f>IF(COUNTIFS('United Data'!$A$3:$A$3390,O$1,'United Data'!$C$3:$C$3390,$A1269,'United Data'!$B$3:$B$3390,"&lt;&gt;Off-street")&gt;0,1,0)</f>
        <v>0</v>
      </c>
      <c r="P1269">
        <f>IF(COUNTIFS('United Data'!$A$3:$A$3390,P$1,'United Data'!$C$3:$C$3390,$A1269,'United Data'!$B$3:$B$3390,"&lt;&gt;Off-street")&gt;0,1,0)</f>
        <v>0</v>
      </c>
      <c r="Q1269">
        <f>IF(COUNTIFS('United Data'!$A$3:$A$3390,Q$1,'United Data'!$C$3:$C$3390,$A1269,'United Data'!$B$3:$B$3390,"&lt;&gt;Off-street")&gt;0,1,0)</f>
        <v>0</v>
      </c>
      <c r="R1269">
        <f>IF(COUNTIFS('United Data'!$A$3:$A$3390,R$1,'United Data'!$C$3:$C$3390,$A1269,'United Data'!$B$3:$B$3390,"&lt;&gt;Off-street")&gt;0,1,0)</f>
        <v>0</v>
      </c>
      <c r="S1269">
        <f t="shared" si="38"/>
        <v>1</v>
      </c>
      <c r="T1269">
        <f t="shared" si="39"/>
        <v>1</v>
      </c>
    </row>
    <row r="1270" spans="1:20" x14ac:dyDescent="0.2">
      <c r="A1270" t="s">
        <v>1505</v>
      </c>
      <c r="B1270">
        <f>IF(COUNTIFS('United Data'!$A$3:$A$3390,B$1,'United Data'!$C$3:$C$3390,$A1270,'United Data'!$B$3:$B$3390,"&lt;&gt;Off-street")&gt;0,1,0)</f>
        <v>0</v>
      </c>
      <c r="C1270">
        <f>IF(COUNTIFS('United Data'!$A$3:$A$3390,C$1,'United Data'!$C$3:$C$3390,$A1270,'United Data'!$B$3:$B$3390,"&lt;&gt;Off-street")&gt;0,1,0)</f>
        <v>0</v>
      </c>
      <c r="D1270">
        <f>IF(COUNTIFS('United Data'!$A$3:$A$3390,D$1,'United Data'!$C$3:$C$3390,$A1270,'United Data'!$B$3:$B$3390,"&lt;&gt;Off-street")&gt;0,1,0)</f>
        <v>0</v>
      </c>
      <c r="E1270">
        <f>IF(COUNTIFS('United Data'!$A$3:$A$3390,E$1,'United Data'!$C$3:$C$3390,$A1270,'United Data'!$B$3:$B$3390,"&lt;&gt;Off-street")&gt;0,1,0)</f>
        <v>0</v>
      </c>
      <c r="F1270">
        <f>IF(COUNTIFS('United Data'!$A$3:$A$3390,F$1,'United Data'!$C$3:$C$3390,$A1270,'United Data'!$B$3:$B$3390,"&lt;&gt;Off-street")&gt;0,1,0)</f>
        <v>0</v>
      </c>
      <c r="G1270">
        <f>IF(COUNTIFS('United Data'!$A$3:$A$3390,G$1,'United Data'!$C$3:$C$3390,$A1270,'United Data'!$B$3:$B$3390,"&lt;&gt;Off-street")&gt;0,1,0)</f>
        <v>0</v>
      </c>
      <c r="H1270">
        <f>IF(COUNTIFS('United Data'!$A$3:$A$3390,H$1,'United Data'!$C$3:$C$3390,$A1270,'United Data'!$B$3:$B$3390,"&lt;&gt;Off-street")&gt;0,1,0)</f>
        <v>1</v>
      </c>
      <c r="I1270">
        <f>IF(COUNTIFS('United Data'!$A$3:$A$3390,I$1,'United Data'!$C$3:$C$3390,$A1270,'United Data'!$B$3:$B$3390,"&lt;&gt;Off-street")&gt;0,1,0)</f>
        <v>0</v>
      </c>
      <c r="J1270">
        <f>IF(COUNTIFS('United Data'!$A$3:$A$3390,J$1,'United Data'!$C$3:$C$3390,$A1270,'United Data'!$B$3:$B$3390,"&lt;&gt;Off-street")&gt;0,1,0)</f>
        <v>0</v>
      </c>
      <c r="K1270">
        <f>IF(COUNTIFS('United Data'!$A$3:$A$3390,K$1,'United Data'!$C$3:$C$3390,$A1270,'United Data'!$B$3:$B$3390,"&lt;&gt;Off-street")&gt;0,1,0)</f>
        <v>0</v>
      </c>
      <c r="L1270">
        <f>IF(COUNTIFS('United Data'!$A$3:$A$3390,L$1,'United Data'!$C$3:$C$3390,$A1270,'United Data'!$B$3:$B$3390,"&lt;&gt;Off-street")&gt;0,1,0)</f>
        <v>0</v>
      </c>
      <c r="M1270">
        <f>IF(COUNTIFS('United Data'!$A$3:$A$3390,M$1,'United Data'!$C$3:$C$3390,$A1270,'United Data'!$B$3:$B$3390,"&lt;&gt;Off-street")&gt;0,1,0)</f>
        <v>0</v>
      </c>
      <c r="N1270">
        <f>IF(COUNTIFS('United Data'!$A$3:$A$3390,N$1,'United Data'!$C$3:$C$3390,$A1270,'United Data'!$B$3:$B$3390,"&lt;&gt;Off-street")&gt;0,1,0)</f>
        <v>0</v>
      </c>
      <c r="O1270">
        <f>IF(COUNTIFS('United Data'!$A$3:$A$3390,O$1,'United Data'!$C$3:$C$3390,$A1270,'United Data'!$B$3:$B$3390,"&lt;&gt;Off-street")&gt;0,1,0)</f>
        <v>0</v>
      </c>
      <c r="P1270">
        <f>IF(COUNTIFS('United Data'!$A$3:$A$3390,P$1,'United Data'!$C$3:$C$3390,$A1270,'United Data'!$B$3:$B$3390,"&lt;&gt;Off-street")&gt;0,1,0)</f>
        <v>0</v>
      </c>
      <c r="Q1270">
        <f>IF(COUNTIFS('United Data'!$A$3:$A$3390,Q$1,'United Data'!$C$3:$C$3390,$A1270,'United Data'!$B$3:$B$3390,"&lt;&gt;Off-street")&gt;0,1,0)</f>
        <v>0</v>
      </c>
      <c r="R1270">
        <f>IF(COUNTIFS('United Data'!$A$3:$A$3390,R$1,'United Data'!$C$3:$C$3390,$A1270,'United Data'!$B$3:$B$3390,"&lt;&gt;Off-street")&gt;0,1,0)</f>
        <v>0</v>
      </c>
      <c r="S1270">
        <f t="shared" si="38"/>
        <v>1</v>
      </c>
      <c r="T1270">
        <f t="shared" si="39"/>
        <v>1</v>
      </c>
    </row>
    <row r="1271" spans="1:20" x14ac:dyDescent="0.2">
      <c r="A1271" t="s">
        <v>1506</v>
      </c>
      <c r="B1271">
        <f>IF(COUNTIFS('United Data'!$A$3:$A$3390,B$1,'United Data'!$C$3:$C$3390,$A1271,'United Data'!$B$3:$B$3390,"&lt;&gt;Off-street")&gt;0,1,0)</f>
        <v>0</v>
      </c>
      <c r="C1271">
        <f>IF(COUNTIFS('United Data'!$A$3:$A$3390,C$1,'United Data'!$C$3:$C$3390,$A1271,'United Data'!$B$3:$B$3390,"&lt;&gt;Off-street")&gt;0,1,0)</f>
        <v>0</v>
      </c>
      <c r="D1271">
        <f>IF(COUNTIFS('United Data'!$A$3:$A$3390,D$1,'United Data'!$C$3:$C$3390,$A1271,'United Data'!$B$3:$B$3390,"&lt;&gt;Off-street")&gt;0,1,0)</f>
        <v>0</v>
      </c>
      <c r="E1271">
        <f>IF(COUNTIFS('United Data'!$A$3:$A$3390,E$1,'United Data'!$C$3:$C$3390,$A1271,'United Data'!$B$3:$B$3390,"&lt;&gt;Off-street")&gt;0,1,0)</f>
        <v>0</v>
      </c>
      <c r="F1271">
        <f>IF(COUNTIFS('United Data'!$A$3:$A$3390,F$1,'United Data'!$C$3:$C$3390,$A1271,'United Data'!$B$3:$B$3390,"&lt;&gt;Off-street")&gt;0,1,0)</f>
        <v>0</v>
      </c>
      <c r="G1271">
        <f>IF(COUNTIFS('United Data'!$A$3:$A$3390,G$1,'United Data'!$C$3:$C$3390,$A1271,'United Data'!$B$3:$B$3390,"&lt;&gt;Off-street")&gt;0,1,0)</f>
        <v>0</v>
      </c>
      <c r="H1271">
        <f>IF(COUNTIFS('United Data'!$A$3:$A$3390,H$1,'United Data'!$C$3:$C$3390,$A1271,'United Data'!$B$3:$B$3390,"&lt;&gt;Off-street")&gt;0,1,0)</f>
        <v>1</v>
      </c>
      <c r="I1271">
        <f>IF(COUNTIFS('United Data'!$A$3:$A$3390,I$1,'United Data'!$C$3:$C$3390,$A1271,'United Data'!$B$3:$B$3390,"&lt;&gt;Off-street")&gt;0,1,0)</f>
        <v>0</v>
      </c>
      <c r="J1271">
        <f>IF(COUNTIFS('United Data'!$A$3:$A$3390,J$1,'United Data'!$C$3:$C$3390,$A1271,'United Data'!$B$3:$B$3390,"&lt;&gt;Off-street")&gt;0,1,0)</f>
        <v>0</v>
      </c>
      <c r="K1271">
        <f>IF(COUNTIFS('United Data'!$A$3:$A$3390,K$1,'United Data'!$C$3:$C$3390,$A1271,'United Data'!$B$3:$B$3390,"&lt;&gt;Off-street")&gt;0,1,0)</f>
        <v>0</v>
      </c>
      <c r="L1271">
        <f>IF(COUNTIFS('United Data'!$A$3:$A$3390,L$1,'United Data'!$C$3:$C$3390,$A1271,'United Data'!$B$3:$B$3390,"&lt;&gt;Off-street")&gt;0,1,0)</f>
        <v>0</v>
      </c>
      <c r="M1271">
        <f>IF(COUNTIFS('United Data'!$A$3:$A$3390,M$1,'United Data'!$C$3:$C$3390,$A1271,'United Data'!$B$3:$B$3390,"&lt;&gt;Off-street")&gt;0,1,0)</f>
        <v>0</v>
      </c>
      <c r="N1271">
        <f>IF(COUNTIFS('United Data'!$A$3:$A$3390,N$1,'United Data'!$C$3:$C$3390,$A1271,'United Data'!$B$3:$B$3390,"&lt;&gt;Off-street")&gt;0,1,0)</f>
        <v>0</v>
      </c>
      <c r="O1271">
        <f>IF(COUNTIFS('United Data'!$A$3:$A$3390,O$1,'United Data'!$C$3:$C$3390,$A1271,'United Data'!$B$3:$B$3390,"&lt;&gt;Off-street")&gt;0,1,0)</f>
        <v>0</v>
      </c>
      <c r="P1271">
        <f>IF(COUNTIFS('United Data'!$A$3:$A$3390,P$1,'United Data'!$C$3:$C$3390,$A1271,'United Data'!$B$3:$B$3390,"&lt;&gt;Off-street")&gt;0,1,0)</f>
        <v>0</v>
      </c>
      <c r="Q1271">
        <f>IF(COUNTIFS('United Data'!$A$3:$A$3390,Q$1,'United Data'!$C$3:$C$3390,$A1271,'United Data'!$B$3:$B$3390,"&lt;&gt;Off-street")&gt;0,1,0)</f>
        <v>0</v>
      </c>
      <c r="R1271">
        <f>IF(COUNTIFS('United Data'!$A$3:$A$3390,R$1,'United Data'!$C$3:$C$3390,$A1271,'United Data'!$B$3:$B$3390,"&lt;&gt;Off-street")&gt;0,1,0)</f>
        <v>0</v>
      </c>
      <c r="S1271">
        <f t="shared" si="38"/>
        <v>1</v>
      </c>
      <c r="T1271">
        <f t="shared" si="39"/>
        <v>1</v>
      </c>
    </row>
    <row r="1272" spans="1:20" x14ac:dyDescent="0.2">
      <c r="A1272" t="s">
        <v>1507</v>
      </c>
      <c r="B1272">
        <f>IF(COUNTIFS('United Data'!$A$3:$A$3390,B$1,'United Data'!$C$3:$C$3390,$A1272,'United Data'!$B$3:$B$3390,"&lt;&gt;Off-street")&gt;0,1,0)</f>
        <v>0</v>
      </c>
      <c r="C1272">
        <f>IF(COUNTIFS('United Data'!$A$3:$A$3390,C$1,'United Data'!$C$3:$C$3390,$A1272,'United Data'!$B$3:$B$3390,"&lt;&gt;Off-street")&gt;0,1,0)</f>
        <v>0</v>
      </c>
      <c r="D1272">
        <f>IF(COUNTIFS('United Data'!$A$3:$A$3390,D$1,'United Data'!$C$3:$C$3390,$A1272,'United Data'!$B$3:$B$3390,"&lt;&gt;Off-street")&gt;0,1,0)</f>
        <v>0</v>
      </c>
      <c r="E1272">
        <f>IF(COUNTIFS('United Data'!$A$3:$A$3390,E$1,'United Data'!$C$3:$C$3390,$A1272,'United Data'!$B$3:$B$3390,"&lt;&gt;Off-street")&gt;0,1,0)</f>
        <v>0</v>
      </c>
      <c r="F1272">
        <f>IF(COUNTIFS('United Data'!$A$3:$A$3390,F$1,'United Data'!$C$3:$C$3390,$A1272,'United Data'!$B$3:$B$3390,"&lt;&gt;Off-street")&gt;0,1,0)</f>
        <v>0</v>
      </c>
      <c r="G1272">
        <f>IF(COUNTIFS('United Data'!$A$3:$A$3390,G$1,'United Data'!$C$3:$C$3390,$A1272,'United Data'!$B$3:$B$3390,"&lt;&gt;Off-street")&gt;0,1,0)</f>
        <v>0</v>
      </c>
      <c r="H1272">
        <f>IF(COUNTIFS('United Data'!$A$3:$A$3390,H$1,'United Data'!$C$3:$C$3390,$A1272,'United Data'!$B$3:$B$3390,"&lt;&gt;Off-street")&gt;0,1,0)</f>
        <v>0</v>
      </c>
      <c r="I1272">
        <f>IF(COUNTIFS('United Data'!$A$3:$A$3390,I$1,'United Data'!$C$3:$C$3390,$A1272,'United Data'!$B$3:$B$3390,"&lt;&gt;Off-street")&gt;0,1,0)</f>
        <v>1</v>
      </c>
      <c r="J1272">
        <f>IF(COUNTIFS('United Data'!$A$3:$A$3390,J$1,'United Data'!$C$3:$C$3390,$A1272,'United Data'!$B$3:$B$3390,"&lt;&gt;Off-street")&gt;0,1,0)</f>
        <v>0</v>
      </c>
      <c r="K1272">
        <f>IF(COUNTIFS('United Data'!$A$3:$A$3390,K$1,'United Data'!$C$3:$C$3390,$A1272,'United Data'!$B$3:$B$3390,"&lt;&gt;Off-street")&gt;0,1,0)</f>
        <v>0</v>
      </c>
      <c r="L1272">
        <f>IF(COUNTIFS('United Data'!$A$3:$A$3390,L$1,'United Data'!$C$3:$C$3390,$A1272,'United Data'!$B$3:$B$3390,"&lt;&gt;Off-street")&gt;0,1,0)</f>
        <v>0</v>
      </c>
      <c r="M1272">
        <f>IF(COUNTIFS('United Data'!$A$3:$A$3390,M$1,'United Data'!$C$3:$C$3390,$A1272,'United Data'!$B$3:$B$3390,"&lt;&gt;Off-street")&gt;0,1,0)</f>
        <v>0</v>
      </c>
      <c r="N1272">
        <f>IF(COUNTIFS('United Data'!$A$3:$A$3390,N$1,'United Data'!$C$3:$C$3390,$A1272,'United Data'!$B$3:$B$3390,"&lt;&gt;Off-street")&gt;0,1,0)</f>
        <v>0</v>
      </c>
      <c r="O1272">
        <f>IF(COUNTIFS('United Data'!$A$3:$A$3390,O$1,'United Data'!$C$3:$C$3390,$A1272,'United Data'!$B$3:$B$3390,"&lt;&gt;Off-street")&gt;0,1,0)</f>
        <v>0</v>
      </c>
      <c r="P1272">
        <f>IF(COUNTIFS('United Data'!$A$3:$A$3390,P$1,'United Data'!$C$3:$C$3390,$A1272,'United Data'!$B$3:$B$3390,"&lt;&gt;Off-street")&gt;0,1,0)</f>
        <v>0</v>
      </c>
      <c r="Q1272">
        <f>IF(COUNTIFS('United Data'!$A$3:$A$3390,Q$1,'United Data'!$C$3:$C$3390,$A1272,'United Data'!$B$3:$B$3390,"&lt;&gt;Off-street")&gt;0,1,0)</f>
        <v>0</v>
      </c>
      <c r="R1272">
        <f>IF(COUNTIFS('United Data'!$A$3:$A$3390,R$1,'United Data'!$C$3:$C$3390,$A1272,'United Data'!$B$3:$B$3390,"&lt;&gt;Off-street")&gt;0,1,0)</f>
        <v>0</v>
      </c>
      <c r="S1272">
        <f t="shared" si="38"/>
        <v>1</v>
      </c>
      <c r="T1272">
        <f t="shared" si="39"/>
        <v>1</v>
      </c>
    </row>
    <row r="1273" spans="1:20" x14ac:dyDescent="0.2">
      <c r="A1273" t="s">
        <v>1508</v>
      </c>
      <c r="B1273">
        <f>IF(COUNTIFS('United Data'!$A$3:$A$3390,B$1,'United Data'!$C$3:$C$3390,$A1273,'United Data'!$B$3:$B$3390,"&lt;&gt;Off-street")&gt;0,1,0)</f>
        <v>0</v>
      </c>
      <c r="C1273">
        <f>IF(COUNTIFS('United Data'!$A$3:$A$3390,C$1,'United Data'!$C$3:$C$3390,$A1273,'United Data'!$B$3:$B$3390,"&lt;&gt;Off-street")&gt;0,1,0)</f>
        <v>0</v>
      </c>
      <c r="D1273">
        <f>IF(COUNTIFS('United Data'!$A$3:$A$3390,D$1,'United Data'!$C$3:$C$3390,$A1273,'United Data'!$B$3:$B$3390,"&lt;&gt;Off-street")&gt;0,1,0)</f>
        <v>0</v>
      </c>
      <c r="E1273">
        <f>IF(COUNTIFS('United Data'!$A$3:$A$3390,E$1,'United Data'!$C$3:$C$3390,$A1273,'United Data'!$B$3:$B$3390,"&lt;&gt;Off-street")&gt;0,1,0)</f>
        <v>0</v>
      </c>
      <c r="F1273">
        <f>IF(COUNTIFS('United Data'!$A$3:$A$3390,F$1,'United Data'!$C$3:$C$3390,$A1273,'United Data'!$B$3:$B$3390,"&lt;&gt;Off-street")&gt;0,1,0)</f>
        <v>0</v>
      </c>
      <c r="G1273">
        <f>IF(COUNTIFS('United Data'!$A$3:$A$3390,G$1,'United Data'!$C$3:$C$3390,$A1273,'United Data'!$B$3:$B$3390,"&lt;&gt;Off-street")&gt;0,1,0)</f>
        <v>0</v>
      </c>
      <c r="H1273">
        <f>IF(COUNTIFS('United Data'!$A$3:$A$3390,H$1,'United Data'!$C$3:$C$3390,$A1273,'United Data'!$B$3:$B$3390,"&lt;&gt;Off-street")&gt;0,1,0)</f>
        <v>0</v>
      </c>
      <c r="I1273">
        <f>IF(COUNTIFS('United Data'!$A$3:$A$3390,I$1,'United Data'!$C$3:$C$3390,$A1273,'United Data'!$B$3:$B$3390,"&lt;&gt;Off-street")&gt;0,1,0)</f>
        <v>0</v>
      </c>
      <c r="J1273">
        <f>IF(COUNTIFS('United Data'!$A$3:$A$3390,J$1,'United Data'!$C$3:$C$3390,$A1273,'United Data'!$B$3:$B$3390,"&lt;&gt;Off-street")&gt;0,1,0)</f>
        <v>1</v>
      </c>
      <c r="K1273">
        <f>IF(COUNTIFS('United Data'!$A$3:$A$3390,K$1,'United Data'!$C$3:$C$3390,$A1273,'United Data'!$B$3:$B$3390,"&lt;&gt;Off-street")&gt;0,1,0)</f>
        <v>0</v>
      </c>
      <c r="L1273">
        <f>IF(COUNTIFS('United Data'!$A$3:$A$3390,L$1,'United Data'!$C$3:$C$3390,$A1273,'United Data'!$B$3:$B$3390,"&lt;&gt;Off-street")&gt;0,1,0)</f>
        <v>0</v>
      </c>
      <c r="M1273">
        <f>IF(COUNTIFS('United Data'!$A$3:$A$3390,M$1,'United Data'!$C$3:$C$3390,$A1273,'United Data'!$B$3:$B$3390,"&lt;&gt;Off-street")&gt;0,1,0)</f>
        <v>0</v>
      </c>
      <c r="N1273">
        <f>IF(COUNTIFS('United Data'!$A$3:$A$3390,N$1,'United Data'!$C$3:$C$3390,$A1273,'United Data'!$B$3:$B$3390,"&lt;&gt;Off-street")&gt;0,1,0)</f>
        <v>0</v>
      </c>
      <c r="O1273">
        <f>IF(COUNTIFS('United Data'!$A$3:$A$3390,O$1,'United Data'!$C$3:$C$3390,$A1273,'United Data'!$B$3:$B$3390,"&lt;&gt;Off-street")&gt;0,1,0)</f>
        <v>0</v>
      </c>
      <c r="P1273">
        <f>IF(COUNTIFS('United Data'!$A$3:$A$3390,P$1,'United Data'!$C$3:$C$3390,$A1273,'United Data'!$B$3:$B$3390,"&lt;&gt;Off-street")&gt;0,1,0)</f>
        <v>0</v>
      </c>
      <c r="Q1273">
        <f>IF(COUNTIFS('United Data'!$A$3:$A$3390,Q$1,'United Data'!$C$3:$C$3390,$A1273,'United Data'!$B$3:$B$3390,"&lt;&gt;Off-street")&gt;0,1,0)</f>
        <v>0</v>
      </c>
      <c r="R1273">
        <f>IF(COUNTIFS('United Data'!$A$3:$A$3390,R$1,'United Data'!$C$3:$C$3390,$A1273,'United Data'!$B$3:$B$3390,"&lt;&gt;Off-street")&gt;0,1,0)</f>
        <v>0</v>
      </c>
      <c r="S1273">
        <f t="shared" si="38"/>
        <v>1</v>
      </c>
      <c r="T1273">
        <f t="shared" si="39"/>
        <v>1</v>
      </c>
    </row>
    <row r="1274" spans="1:20" x14ac:dyDescent="0.2">
      <c r="A1274" t="s">
        <v>1509</v>
      </c>
      <c r="B1274">
        <f>IF(COUNTIFS('United Data'!$A$3:$A$3390,B$1,'United Data'!$C$3:$C$3390,$A1274,'United Data'!$B$3:$B$3390,"&lt;&gt;Off-street")&gt;0,1,0)</f>
        <v>0</v>
      </c>
      <c r="C1274">
        <f>IF(COUNTIFS('United Data'!$A$3:$A$3390,C$1,'United Data'!$C$3:$C$3390,$A1274,'United Data'!$B$3:$B$3390,"&lt;&gt;Off-street")&gt;0,1,0)</f>
        <v>0</v>
      </c>
      <c r="D1274">
        <f>IF(COUNTIFS('United Data'!$A$3:$A$3390,D$1,'United Data'!$C$3:$C$3390,$A1274,'United Data'!$B$3:$B$3390,"&lt;&gt;Off-street")&gt;0,1,0)</f>
        <v>0</v>
      </c>
      <c r="E1274">
        <f>IF(COUNTIFS('United Data'!$A$3:$A$3390,E$1,'United Data'!$C$3:$C$3390,$A1274,'United Data'!$B$3:$B$3390,"&lt;&gt;Off-street")&gt;0,1,0)</f>
        <v>0</v>
      </c>
      <c r="F1274">
        <f>IF(COUNTIFS('United Data'!$A$3:$A$3390,F$1,'United Data'!$C$3:$C$3390,$A1274,'United Data'!$B$3:$B$3390,"&lt;&gt;Off-street")&gt;0,1,0)</f>
        <v>0</v>
      </c>
      <c r="G1274">
        <f>IF(COUNTIFS('United Data'!$A$3:$A$3390,G$1,'United Data'!$C$3:$C$3390,$A1274,'United Data'!$B$3:$B$3390,"&lt;&gt;Off-street")&gt;0,1,0)</f>
        <v>0</v>
      </c>
      <c r="H1274">
        <f>IF(COUNTIFS('United Data'!$A$3:$A$3390,H$1,'United Data'!$C$3:$C$3390,$A1274,'United Data'!$B$3:$B$3390,"&lt;&gt;Off-street")&gt;0,1,0)</f>
        <v>0</v>
      </c>
      <c r="I1274">
        <f>IF(COUNTIFS('United Data'!$A$3:$A$3390,I$1,'United Data'!$C$3:$C$3390,$A1274,'United Data'!$B$3:$B$3390,"&lt;&gt;Off-street")&gt;0,1,0)</f>
        <v>0</v>
      </c>
      <c r="J1274">
        <f>IF(COUNTIFS('United Data'!$A$3:$A$3390,J$1,'United Data'!$C$3:$C$3390,$A1274,'United Data'!$B$3:$B$3390,"&lt;&gt;Off-street")&gt;0,1,0)</f>
        <v>1</v>
      </c>
      <c r="K1274">
        <f>IF(COUNTIFS('United Data'!$A$3:$A$3390,K$1,'United Data'!$C$3:$C$3390,$A1274,'United Data'!$B$3:$B$3390,"&lt;&gt;Off-street")&gt;0,1,0)</f>
        <v>0</v>
      </c>
      <c r="L1274">
        <f>IF(COUNTIFS('United Data'!$A$3:$A$3390,L$1,'United Data'!$C$3:$C$3390,$A1274,'United Data'!$B$3:$B$3390,"&lt;&gt;Off-street")&gt;0,1,0)</f>
        <v>0</v>
      </c>
      <c r="M1274">
        <f>IF(COUNTIFS('United Data'!$A$3:$A$3390,M$1,'United Data'!$C$3:$C$3390,$A1274,'United Data'!$B$3:$B$3390,"&lt;&gt;Off-street")&gt;0,1,0)</f>
        <v>1</v>
      </c>
      <c r="N1274">
        <f>IF(COUNTIFS('United Data'!$A$3:$A$3390,N$1,'United Data'!$C$3:$C$3390,$A1274,'United Data'!$B$3:$B$3390,"&lt;&gt;Off-street")&gt;0,1,0)</f>
        <v>1</v>
      </c>
      <c r="O1274">
        <f>IF(COUNTIFS('United Data'!$A$3:$A$3390,O$1,'United Data'!$C$3:$C$3390,$A1274,'United Data'!$B$3:$B$3390,"&lt;&gt;Off-street")&gt;0,1,0)</f>
        <v>1</v>
      </c>
      <c r="P1274">
        <f>IF(COUNTIFS('United Data'!$A$3:$A$3390,P$1,'United Data'!$C$3:$C$3390,$A1274,'United Data'!$B$3:$B$3390,"&lt;&gt;Off-street")&gt;0,1,0)</f>
        <v>1</v>
      </c>
      <c r="Q1274">
        <f>IF(COUNTIFS('United Data'!$A$3:$A$3390,Q$1,'United Data'!$C$3:$C$3390,$A1274,'United Data'!$B$3:$B$3390,"&lt;&gt;Off-street")&gt;0,1,0)</f>
        <v>1</v>
      </c>
      <c r="R1274">
        <f>IF(COUNTIFS('United Data'!$A$3:$A$3390,R$1,'United Data'!$C$3:$C$3390,$A1274,'United Data'!$B$3:$B$3390,"&lt;&gt;Off-street")&gt;0,1,0)</f>
        <v>1</v>
      </c>
      <c r="S1274">
        <f t="shared" si="38"/>
        <v>7</v>
      </c>
      <c r="T1274">
        <f t="shared" si="39"/>
        <v>2</v>
      </c>
    </row>
    <row r="1275" spans="1:20" x14ac:dyDescent="0.2">
      <c r="A1275" t="s">
        <v>1510</v>
      </c>
      <c r="B1275">
        <f>IF(COUNTIFS('United Data'!$A$3:$A$3390,B$1,'United Data'!$C$3:$C$3390,$A1275,'United Data'!$B$3:$B$3390,"&lt;&gt;Off-street")&gt;0,1,0)</f>
        <v>0</v>
      </c>
      <c r="C1275">
        <f>IF(COUNTIFS('United Data'!$A$3:$A$3390,C$1,'United Data'!$C$3:$C$3390,$A1275,'United Data'!$B$3:$B$3390,"&lt;&gt;Off-street")&gt;0,1,0)</f>
        <v>0</v>
      </c>
      <c r="D1275">
        <f>IF(COUNTIFS('United Data'!$A$3:$A$3390,D$1,'United Data'!$C$3:$C$3390,$A1275,'United Data'!$B$3:$B$3390,"&lt;&gt;Off-street")&gt;0,1,0)</f>
        <v>0</v>
      </c>
      <c r="E1275">
        <f>IF(COUNTIFS('United Data'!$A$3:$A$3390,E$1,'United Data'!$C$3:$C$3390,$A1275,'United Data'!$B$3:$B$3390,"&lt;&gt;Off-street")&gt;0,1,0)</f>
        <v>0</v>
      </c>
      <c r="F1275">
        <f>IF(COUNTIFS('United Data'!$A$3:$A$3390,F$1,'United Data'!$C$3:$C$3390,$A1275,'United Data'!$B$3:$B$3390,"&lt;&gt;Off-street")&gt;0,1,0)</f>
        <v>0</v>
      </c>
      <c r="G1275">
        <f>IF(COUNTIFS('United Data'!$A$3:$A$3390,G$1,'United Data'!$C$3:$C$3390,$A1275,'United Data'!$B$3:$B$3390,"&lt;&gt;Off-street")&gt;0,1,0)</f>
        <v>0</v>
      </c>
      <c r="H1275">
        <f>IF(COUNTIFS('United Data'!$A$3:$A$3390,H$1,'United Data'!$C$3:$C$3390,$A1275,'United Data'!$B$3:$B$3390,"&lt;&gt;Off-street")&gt;0,1,0)</f>
        <v>0</v>
      </c>
      <c r="I1275">
        <f>IF(COUNTIFS('United Data'!$A$3:$A$3390,I$1,'United Data'!$C$3:$C$3390,$A1275,'United Data'!$B$3:$B$3390,"&lt;&gt;Off-street")&gt;0,1,0)</f>
        <v>0</v>
      </c>
      <c r="J1275">
        <f>IF(COUNTIFS('United Data'!$A$3:$A$3390,J$1,'United Data'!$C$3:$C$3390,$A1275,'United Data'!$B$3:$B$3390,"&lt;&gt;Off-street")&gt;0,1,0)</f>
        <v>1</v>
      </c>
      <c r="K1275">
        <f>IF(COUNTIFS('United Data'!$A$3:$A$3390,K$1,'United Data'!$C$3:$C$3390,$A1275,'United Data'!$B$3:$B$3390,"&lt;&gt;Off-street")&gt;0,1,0)</f>
        <v>0</v>
      </c>
      <c r="L1275">
        <f>IF(COUNTIFS('United Data'!$A$3:$A$3390,L$1,'United Data'!$C$3:$C$3390,$A1275,'United Data'!$B$3:$B$3390,"&lt;&gt;Off-street")&gt;0,1,0)</f>
        <v>0</v>
      </c>
      <c r="M1275">
        <f>IF(COUNTIFS('United Data'!$A$3:$A$3390,M$1,'United Data'!$C$3:$C$3390,$A1275,'United Data'!$B$3:$B$3390,"&lt;&gt;Off-street")&gt;0,1,0)</f>
        <v>0</v>
      </c>
      <c r="N1275">
        <f>IF(COUNTIFS('United Data'!$A$3:$A$3390,N$1,'United Data'!$C$3:$C$3390,$A1275,'United Data'!$B$3:$B$3390,"&lt;&gt;Off-street")&gt;0,1,0)</f>
        <v>0</v>
      </c>
      <c r="O1275">
        <f>IF(COUNTIFS('United Data'!$A$3:$A$3390,O$1,'United Data'!$C$3:$C$3390,$A1275,'United Data'!$B$3:$B$3390,"&lt;&gt;Off-street")&gt;0,1,0)</f>
        <v>0</v>
      </c>
      <c r="P1275">
        <f>IF(COUNTIFS('United Data'!$A$3:$A$3390,P$1,'United Data'!$C$3:$C$3390,$A1275,'United Data'!$B$3:$B$3390,"&lt;&gt;Off-street")&gt;0,1,0)</f>
        <v>0</v>
      </c>
      <c r="Q1275">
        <f>IF(COUNTIFS('United Data'!$A$3:$A$3390,Q$1,'United Data'!$C$3:$C$3390,$A1275,'United Data'!$B$3:$B$3390,"&lt;&gt;Off-street")&gt;0,1,0)</f>
        <v>0</v>
      </c>
      <c r="R1275">
        <f>IF(COUNTIFS('United Data'!$A$3:$A$3390,R$1,'United Data'!$C$3:$C$3390,$A1275,'United Data'!$B$3:$B$3390,"&lt;&gt;Off-street")&gt;0,1,0)</f>
        <v>0</v>
      </c>
      <c r="S1275">
        <f t="shared" si="38"/>
        <v>1</v>
      </c>
      <c r="T1275">
        <f t="shared" si="39"/>
        <v>1</v>
      </c>
    </row>
    <row r="1276" spans="1:20" x14ac:dyDescent="0.2">
      <c r="A1276" t="s">
        <v>1511</v>
      </c>
      <c r="B1276">
        <f>IF(COUNTIFS('United Data'!$A$3:$A$3390,B$1,'United Data'!$C$3:$C$3390,$A1276,'United Data'!$B$3:$B$3390,"&lt;&gt;Off-street")&gt;0,1,0)</f>
        <v>0</v>
      </c>
      <c r="C1276">
        <f>IF(COUNTIFS('United Data'!$A$3:$A$3390,C$1,'United Data'!$C$3:$C$3390,$A1276,'United Data'!$B$3:$B$3390,"&lt;&gt;Off-street")&gt;0,1,0)</f>
        <v>0</v>
      </c>
      <c r="D1276">
        <f>IF(COUNTIFS('United Data'!$A$3:$A$3390,D$1,'United Data'!$C$3:$C$3390,$A1276,'United Data'!$B$3:$B$3390,"&lt;&gt;Off-street")&gt;0,1,0)</f>
        <v>0</v>
      </c>
      <c r="E1276">
        <f>IF(COUNTIFS('United Data'!$A$3:$A$3390,E$1,'United Data'!$C$3:$C$3390,$A1276,'United Data'!$B$3:$B$3390,"&lt;&gt;Off-street")&gt;0,1,0)</f>
        <v>0</v>
      </c>
      <c r="F1276">
        <f>IF(COUNTIFS('United Data'!$A$3:$A$3390,F$1,'United Data'!$C$3:$C$3390,$A1276,'United Data'!$B$3:$B$3390,"&lt;&gt;Off-street")&gt;0,1,0)</f>
        <v>0</v>
      </c>
      <c r="G1276">
        <f>IF(COUNTIFS('United Data'!$A$3:$A$3390,G$1,'United Data'!$C$3:$C$3390,$A1276,'United Data'!$B$3:$B$3390,"&lt;&gt;Off-street")&gt;0,1,0)</f>
        <v>0</v>
      </c>
      <c r="H1276">
        <f>IF(COUNTIFS('United Data'!$A$3:$A$3390,H$1,'United Data'!$C$3:$C$3390,$A1276,'United Data'!$B$3:$B$3390,"&lt;&gt;Off-street")&gt;0,1,0)</f>
        <v>0</v>
      </c>
      <c r="I1276">
        <f>IF(COUNTIFS('United Data'!$A$3:$A$3390,I$1,'United Data'!$C$3:$C$3390,$A1276,'United Data'!$B$3:$B$3390,"&lt;&gt;Off-street")&gt;0,1,0)</f>
        <v>0</v>
      </c>
      <c r="J1276">
        <f>IF(COUNTIFS('United Data'!$A$3:$A$3390,J$1,'United Data'!$C$3:$C$3390,$A1276,'United Data'!$B$3:$B$3390,"&lt;&gt;Off-street")&gt;0,1,0)</f>
        <v>1</v>
      </c>
      <c r="K1276">
        <f>IF(COUNTIFS('United Data'!$A$3:$A$3390,K$1,'United Data'!$C$3:$C$3390,$A1276,'United Data'!$B$3:$B$3390,"&lt;&gt;Off-street")&gt;0,1,0)</f>
        <v>0</v>
      </c>
      <c r="L1276">
        <f>IF(COUNTIFS('United Data'!$A$3:$A$3390,L$1,'United Data'!$C$3:$C$3390,$A1276,'United Data'!$B$3:$B$3390,"&lt;&gt;Off-street")&gt;0,1,0)</f>
        <v>0</v>
      </c>
      <c r="M1276">
        <f>IF(COUNTIFS('United Data'!$A$3:$A$3390,M$1,'United Data'!$C$3:$C$3390,$A1276,'United Data'!$B$3:$B$3390,"&lt;&gt;Off-street")&gt;0,1,0)</f>
        <v>0</v>
      </c>
      <c r="N1276">
        <f>IF(COUNTIFS('United Data'!$A$3:$A$3390,N$1,'United Data'!$C$3:$C$3390,$A1276,'United Data'!$B$3:$B$3390,"&lt;&gt;Off-street")&gt;0,1,0)</f>
        <v>0</v>
      </c>
      <c r="O1276">
        <f>IF(COUNTIFS('United Data'!$A$3:$A$3390,O$1,'United Data'!$C$3:$C$3390,$A1276,'United Data'!$B$3:$B$3390,"&lt;&gt;Off-street")&gt;0,1,0)</f>
        <v>0</v>
      </c>
      <c r="P1276">
        <f>IF(COUNTIFS('United Data'!$A$3:$A$3390,P$1,'United Data'!$C$3:$C$3390,$A1276,'United Data'!$B$3:$B$3390,"&lt;&gt;Off-street")&gt;0,1,0)</f>
        <v>0</v>
      </c>
      <c r="Q1276">
        <f>IF(COUNTIFS('United Data'!$A$3:$A$3390,Q$1,'United Data'!$C$3:$C$3390,$A1276,'United Data'!$B$3:$B$3390,"&lt;&gt;Off-street")&gt;0,1,0)</f>
        <v>0</v>
      </c>
      <c r="R1276">
        <f>IF(COUNTIFS('United Data'!$A$3:$A$3390,R$1,'United Data'!$C$3:$C$3390,$A1276,'United Data'!$B$3:$B$3390,"&lt;&gt;Off-street")&gt;0,1,0)</f>
        <v>0</v>
      </c>
      <c r="S1276">
        <f t="shared" si="38"/>
        <v>1</v>
      </c>
      <c r="T1276">
        <f t="shared" si="39"/>
        <v>1</v>
      </c>
    </row>
    <row r="1277" spans="1:20" x14ac:dyDescent="0.2">
      <c r="A1277" t="s">
        <v>1512</v>
      </c>
      <c r="B1277">
        <f>IF(COUNTIFS('United Data'!$A$3:$A$3390,B$1,'United Data'!$C$3:$C$3390,$A1277,'United Data'!$B$3:$B$3390,"&lt;&gt;Off-street")&gt;0,1,0)</f>
        <v>0</v>
      </c>
      <c r="C1277">
        <f>IF(COUNTIFS('United Data'!$A$3:$A$3390,C$1,'United Data'!$C$3:$C$3390,$A1277,'United Data'!$B$3:$B$3390,"&lt;&gt;Off-street")&gt;0,1,0)</f>
        <v>0</v>
      </c>
      <c r="D1277">
        <f>IF(COUNTIFS('United Data'!$A$3:$A$3390,D$1,'United Data'!$C$3:$C$3390,$A1277,'United Data'!$B$3:$B$3390,"&lt;&gt;Off-street")&gt;0,1,0)</f>
        <v>0</v>
      </c>
      <c r="E1277">
        <f>IF(COUNTIFS('United Data'!$A$3:$A$3390,E$1,'United Data'!$C$3:$C$3390,$A1277,'United Data'!$B$3:$B$3390,"&lt;&gt;Off-street")&gt;0,1,0)</f>
        <v>0</v>
      </c>
      <c r="F1277">
        <f>IF(COUNTIFS('United Data'!$A$3:$A$3390,F$1,'United Data'!$C$3:$C$3390,$A1277,'United Data'!$B$3:$B$3390,"&lt;&gt;Off-street")&gt;0,1,0)</f>
        <v>0</v>
      </c>
      <c r="G1277">
        <f>IF(COUNTIFS('United Data'!$A$3:$A$3390,G$1,'United Data'!$C$3:$C$3390,$A1277,'United Data'!$B$3:$B$3390,"&lt;&gt;Off-street")&gt;0,1,0)</f>
        <v>0</v>
      </c>
      <c r="H1277">
        <f>IF(COUNTIFS('United Data'!$A$3:$A$3390,H$1,'United Data'!$C$3:$C$3390,$A1277,'United Data'!$B$3:$B$3390,"&lt;&gt;Off-street")&gt;0,1,0)</f>
        <v>0</v>
      </c>
      <c r="I1277">
        <f>IF(COUNTIFS('United Data'!$A$3:$A$3390,I$1,'United Data'!$C$3:$C$3390,$A1277,'United Data'!$B$3:$B$3390,"&lt;&gt;Off-street")&gt;0,1,0)</f>
        <v>0</v>
      </c>
      <c r="J1277">
        <f>IF(COUNTIFS('United Data'!$A$3:$A$3390,J$1,'United Data'!$C$3:$C$3390,$A1277,'United Data'!$B$3:$B$3390,"&lt;&gt;Off-street")&gt;0,1,0)</f>
        <v>1</v>
      </c>
      <c r="K1277">
        <f>IF(COUNTIFS('United Data'!$A$3:$A$3390,K$1,'United Data'!$C$3:$C$3390,$A1277,'United Data'!$B$3:$B$3390,"&lt;&gt;Off-street")&gt;0,1,0)</f>
        <v>0</v>
      </c>
      <c r="L1277">
        <f>IF(COUNTIFS('United Data'!$A$3:$A$3390,L$1,'United Data'!$C$3:$C$3390,$A1277,'United Data'!$B$3:$B$3390,"&lt;&gt;Off-street")&gt;0,1,0)</f>
        <v>0</v>
      </c>
      <c r="M1277">
        <f>IF(COUNTIFS('United Data'!$A$3:$A$3390,M$1,'United Data'!$C$3:$C$3390,$A1277,'United Data'!$B$3:$B$3390,"&lt;&gt;Off-street")&gt;0,1,0)</f>
        <v>0</v>
      </c>
      <c r="N1277">
        <f>IF(COUNTIFS('United Data'!$A$3:$A$3390,N$1,'United Data'!$C$3:$C$3390,$A1277,'United Data'!$B$3:$B$3390,"&lt;&gt;Off-street")&gt;0,1,0)</f>
        <v>0</v>
      </c>
      <c r="O1277">
        <f>IF(COUNTIFS('United Data'!$A$3:$A$3390,O$1,'United Data'!$C$3:$C$3390,$A1277,'United Data'!$B$3:$B$3390,"&lt;&gt;Off-street")&gt;0,1,0)</f>
        <v>0</v>
      </c>
      <c r="P1277">
        <f>IF(COUNTIFS('United Data'!$A$3:$A$3390,P$1,'United Data'!$C$3:$C$3390,$A1277,'United Data'!$B$3:$B$3390,"&lt;&gt;Off-street")&gt;0,1,0)</f>
        <v>0</v>
      </c>
      <c r="Q1277">
        <f>IF(COUNTIFS('United Data'!$A$3:$A$3390,Q$1,'United Data'!$C$3:$C$3390,$A1277,'United Data'!$B$3:$B$3390,"&lt;&gt;Off-street")&gt;0,1,0)</f>
        <v>0</v>
      </c>
      <c r="R1277">
        <f>IF(COUNTIFS('United Data'!$A$3:$A$3390,R$1,'United Data'!$C$3:$C$3390,$A1277,'United Data'!$B$3:$B$3390,"&lt;&gt;Off-street")&gt;0,1,0)</f>
        <v>0</v>
      </c>
      <c r="S1277">
        <f t="shared" si="38"/>
        <v>1</v>
      </c>
      <c r="T1277">
        <f t="shared" si="39"/>
        <v>1</v>
      </c>
    </row>
    <row r="1278" spans="1:20" x14ac:dyDescent="0.2">
      <c r="A1278" t="s">
        <v>1513</v>
      </c>
      <c r="B1278">
        <f>IF(COUNTIFS('United Data'!$A$3:$A$3390,B$1,'United Data'!$C$3:$C$3390,$A1278,'United Data'!$B$3:$B$3390,"&lt;&gt;Off-street")&gt;0,1,0)</f>
        <v>0</v>
      </c>
      <c r="C1278">
        <f>IF(COUNTIFS('United Data'!$A$3:$A$3390,C$1,'United Data'!$C$3:$C$3390,$A1278,'United Data'!$B$3:$B$3390,"&lt;&gt;Off-street")&gt;0,1,0)</f>
        <v>0</v>
      </c>
      <c r="D1278">
        <f>IF(COUNTIFS('United Data'!$A$3:$A$3390,D$1,'United Data'!$C$3:$C$3390,$A1278,'United Data'!$B$3:$B$3390,"&lt;&gt;Off-street")&gt;0,1,0)</f>
        <v>0</v>
      </c>
      <c r="E1278">
        <f>IF(COUNTIFS('United Data'!$A$3:$A$3390,E$1,'United Data'!$C$3:$C$3390,$A1278,'United Data'!$B$3:$B$3390,"&lt;&gt;Off-street")&gt;0,1,0)</f>
        <v>0</v>
      </c>
      <c r="F1278">
        <f>IF(COUNTIFS('United Data'!$A$3:$A$3390,F$1,'United Data'!$C$3:$C$3390,$A1278,'United Data'!$B$3:$B$3390,"&lt;&gt;Off-street")&gt;0,1,0)</f>
        <v>0</v>
      </c>
      <c r="G1278">
        <f>IF(COUNTIFS('United Data'!$A$3:$A$3390,G$1,'United Data'!$C$3:$C$3390,$A1278,'United Data'!$B$3:$B$3390,"&lt;&gt;Off-street")&gt;0,1,0)</f>
        <v>0</v>
      </c>
      <c r="H1278">
        <f>IF(COUNTIFS('United Data'!$A$3:$A$3390,H$1,'United Data'!$C$3:$C$3390,$A1278,'United Data'!$B$3:$B$3390,"&lt;&gt;Off-street")&gt;0,1,0)</f>
        <v>0</v>
      </c>
      <c r="I1278">
        <f>IF(COUNTIFS('United Data'!$A$3:$A$3390,I$1,'United Data'!$C$3:$C$3390,$A1278,'United Data'!$B$3:$B$3390,"&lt;&gt;Off-street")&gt;0,1,0)</f>
        <v>0</v>
      </c>
      <c r="J1278">
        <f>IF(COUNTIFS('United Data'!$A$3:$A$3390,J$1,'United Data'!$C$3:$C$3390,$A1278,'United Data'!$B$3:$B$3390,"&lt;&gt;Off-street")&gt;0,1,0)</f>
        <v>0</v>
      </c>
      <c r="K1278">
        <f>IF(COUNTIFS('United Data'!$A$3:$A$3390,K$1,'United Data'!$C$3:$C$3390,$A1278,'United Data'!$B$3:$B$3390,"&lt;&gt;Off-street")&gt;0,1,0)</f>
        <v>1</v>
      </c>
      <c r="L1278">
        <f>IF(COUNTIFS('United Data'!$A$3:$A$3390,L$1,'United Data'!$C$3:$C$3390,$A1278,'United Data'!$B$3:$B$3390,"&lt;&gt;Off-street")&gt;0,1,0)</f>
        <v>0</v>
      </c>
      <c r="M1278">
        <f>IF(COUNTIFS('United Data'!$A$3:$A$3390,M$1,'United Data'!$C$3:$C$3390,$A1278,'United Data'!$B$3:$B$3390,"&lt;&gt;Off-street")&gt;0,1,0)</f>
        <v>0</v>
      </c>
      <c r="N1278">
        <f>IF(COUNTIFS('United Data'!$A$3:$A$3390,N$1,'United Data'!$C$3:$C$3390,$A1278,'United Data'!$B$3:$B$3390,"&lt;&gt;Off-street")&gt;0,1,0)</f>
        <v>0</v>
      </c>
      <c r="O1278">
        <f>IF(COUNTIFS('United Data'!$A$3:$A$3390,O$1,'United Data'!$C$3:$C$3390,$A1278,'United Data'!$B$3:$B$3390,"&lt;&gt;Off-street")&gt;0,1,0)</f>
        <v>0</v>
      </c>
      <c r="P1278">
        <f>IF(COUNTIFS('United Data'!$A$3:$A$3390,P$1,'United Data'!$C$3:$C$3390,$A1278,'United Data'!$B$3:$B$3390,"&lt;&gt;Off-street")&gt;0,1,0)</f>
        <v>0</v>
      </c>
      <c r="Q1278">
        <f>IF(COUNTIFS('United Data'!$A$3:$A$3390,Q$1,'United Data'!$C$3:$C$3390,$A1278,'United Data'!$B$3:$B$3390,"&lt;&gt;Off-street")&gt;0,1,0)</f>
        <v>0</v>
      </c>
      <c r="R1278">
        <f>IF(COUNTIFS('United Data'!$A$3:$A$3390,R$1,'United Data'!$C$3:$C$3390,$A1278,'United Data'!$B$3:$B$3390,"&lt;&gt;Off-street")&gt;0,1,0)</f>
        <v>0</v>
      </c>
      <c r="S1278">
        <f t="shared" si="38"/>
        <v>1</v>
      </c>
      <c r="T1278">
        <f t="shared" si="39"/>
        <v>1</v>
      </c>
    </row>
    <row r="1279" spans="1:20" x14ac:dyDescent="0.2">
      <c r="A1279" t="s">
        <v>1514</v>
      </c>
      <c r="B1279">
        <f>IF(COUNTIFS('United Data'!$A$3:$A$3390,B$1,'United Data'!$C$3:$C$3390,$A1279,'United Data'!$B$3:$B$3390,"&lt;&gt;Off-street")&gt;0,1,0)</f>
        <v>0</v>
      </c>
      <c r="C1279">
        <f>IF(COUNTIFS('United Data'!$A$3:$A$3390,C$1,'United Data'!$C$3:$C$3390,$A1279,'United Data'!$B$3:$B$3390,"&lt;&gt;Off-street")&gt;0,1,0)</f>
        <v>0</v>
      </c>
      <c r="D1279">
        <f>IF(COUNTIFS('United Data'!$A$3:$A$3390,D$1,'United Data'!$C$3:$C$3390,$A1279,'United Data'!$B$3:$B$3390,"&lt;&gt;Off-street")&gt;0,1,0)</f>
        <v>0</v>
      </c>
      <c r="E1279">
        <f>IF(COUNTIFS('United Data'!$A$3:$A$3390,E$1,'United Data'!$C$3:$C$3390,$A1279,'United Data'!$B$3:$B$3390,"&lt;&gt;Off-street")&gt;0,1,0)</f>
        <v>0</v>
      </c>
      <c r="F1279">
        <f>IF(COUNTIFS('United Data'!$A$3:$A$3390,F$1,'United Data'!$C$3:$C$3390,$A1279,'United Data'!$B$3:$B$3390,"&lt;&gt;Off-street")&gt;0,1,0)</f>
        <v>0</v>
      </c>
      <c r="G1279">
        <f>IF(COUNTIFS('United Data'!$A$3:$A$3390,G$1,'United Data'!$C$3:$C$3390,$A1279,'United Data'!$B$3:$B$3390,"&lt;&gt;Off-street")&gt;0,1,0)</f>
        <v>0</v>
      </c>
      <c r="H1279">
        <f>IF(COUNTIFS('United Data'!$A$3:$A$3390,H$1,'United Data'!$C$3:$C$3390,$A1279,'United Data'!$B$3:$B$3390,"&lt;&gt;Off-street")&gt;0,1,0)</f>
        <v>0</v>
      </c>
      <c r="I1279">
        <f>IF(COUNTIFS('United Data'!$A$3:$A$3390,I$1,'United Data'!$C$3:$C$3390,$A1279,'United Data'!$B$3:$B$3390,"&lt;&gt;Off-street")&gt;0,1,0)</f>
        <v>0</v>
      </c>
      <c r="J1279">
        <f>IF(COUNTIFS('United Data'!$A$3:$A$3390,J$1,'United Data'!$C$3:$C$3390,$A1279,'United Data'!$B$3:$B$3390,"&lt;&gt;Off-street")&gt;0,1,0)</f>
        <v>0</v>
      </c>
      <c r="K1279">
        <f>IF(COUNTIFS('United Data'!$A$3:$A$3390,K$1,'United Data'!$C$3:$C$3390,$A1279,'United Data'!$B$3:$B$3390,"&lt;&gt;Off-street")&gt;0,1,0)</f>
        <v>1</v>
      </c>
      <c r="L1279">
        <f>IF(COUNTIFS('United Data'!$A$3:$A$3390,L$1,'United Data'!$C$3:$C$3390,$A1279,'United Data'!$B$3:$B$3390,"&lt;&gt;Off-street")&gt;0,1,0)</f>
        <v>0</v>
      </c>
      <c r="M1279">
        <f>IF(COUNTIFS('United Data'!$A$3:$A$3390,M$1,'United Data'!$C$3:$C$3390,$A1279,'United Data'!$B$3:$B$3390,"&lt;&gt;Off-street")&gt;0,1,0)</f>
        <v>0</v>
      </c>
      <c r="N1279">
        <f>IF(COUNTIFS('United Data'!$A$3:$A$3390,N$1,'United Data'!$C$3:$C$3390,$A1279,'United Data'!$B$3:$B$3390,"&lt;&gt;Off-street")&gt;0,1,0)</f>
        <v>0</v>
      </c>
      <c r="O1279">
        <f>IF(COUNTIFS('United Data'!$A$3:$A$3390,O$1,'United Data'!$C$3:$C$3390,$A1279,'United Data'!$B$3:$B$3390,"&lt;&gt;Off-street")&gt;0,1,0)</f>
        <v>0</v>
      </c>
      <c r="P1279">
        <f>IF(COUNTIFS('United Data'!$A$3:$A$3390,P$1,'United Data'!$C$3:$C$3390,$A1279,'United Data'!$B$3:$B$3390,"&lt;&gt;Off-street")&gt;0,1,0)</f>
        <v>0</v>
      </c>
      <c r="Q1279">
        <f>IF(COUNTIFS('United Data'!$A$3:$A$3390,Q$1,'United Data'!$C$3:$C$3390,$A1279,'United Data'!$B$3:$B$3390,"&lt;&gt;Off-street")&gt;0,1,0)</f>
        <v>0</v>
      </c>
      <c r="R1279">
        <f>IF(COUNTIFS('United Data'!$A$3:$A$3390,R$1,'United Data'!$C$3:$C$3390,$A1279,'United Data'!$B$3:$B$3390,"&lt;&gt;Off-street")&gt;0,1,0)</f>
        <v>0</v>
      </c>
      <c r="S1279">
        <f t="shared" si="38"/>
        <v>1</v>
      </c>
      <c r="T1279">
        <f t="shared" si="39"/>
        <v>1</v>
      </c>
    </row>
    <row r="1280" spans="1:20" x14ac:dyDescent="0.2">
      <c r="A1280" t="s">
        <v>1515</v>
      </c>
      <c r="B1280">
        <f>IF(COUNTIFS('United Data'!$A$3:$A$3390,B$1,'United Data'!$C$3:$C$3390,$A1280,'United Data'!$B$3:$B$3390,"&lt;&gt;Off-street")&gt;0,1,0)</f>
        <v>0</v>
      </c>
      <c r="C1280">
        <f>IF(COUNTIFS('United Data'!$A$3:$A$3390,C$1,'United Data'!$C$3:$C$3390,$A1280,'United Data'!$B$3:$B$3390,"&lt;&gt;Off-street")&gt;0,1,0)</f>
        <v>0</v>
      </c>
      <c r="D1280">
        <f>IF(COUNTIFS('United Data'!$A$3:$A$3390,D$1,'United Data'!$C$3:$C$3390,$A1280,'United Data'!$B$3:$B$3390,"&lt;&gt;Off-street")&gt;0,1,0)</f>
        <v>0</v>
      </c>
      <c r="E1280">
        <f>IF(COUNTIFS('United Data'!$A$3:$A$3390,E$1,'United Data'!$C$3:$C$3390,$A1280,'United Data'!$B$3:$B$3390,"&lt;&gt;Off-street")&gt;0,1,0)</f>
        <v>0</v>
      </c>
      <c r="F1280">
        <f>IF(COUNTIFS('United Data'!$A$3:$A$3390,F$1,'United Data'!$C$3:$C$3390,$A1280,'United Data'!$B$3:$B$3390,"&lt;&gt;Off-street")&gt;0,1,0)</f>
        <v>0</v>
      </c>
      <c r="G1280">
        <f>IF(COUNTIFS('United Data'!$A$3:$A$3390,G$1,'United Data'!$C$3:$C$3390,$A1280,'United Data'!$B$3:$B$3390,"&lt;&gt;Off-street")&gt;0,1,0)</f>
        <v>0</v>
      </c>
      <c r="H1280">
        <f>IF(COUNTIFS('United Data'!$A$3:$A$3390,H$1,'United Data'!$C$3:$C$3390,$A1280,'United Data'!$B$3:$B$3390,"&lt;&gt;Off-street")&gt;0,1,0)</f>
        <v>0</v>
      </c>
      <c r="I1280">
        <f>IF(COUNTIFS('United Data'!$A$3:$A$3390,I$1,'United Data'!$C$3:$C$3390,$A1280,'United Data'!$B$3:$B$3390,"&lt;&gt;Off-street")&gt;0,1,0)</f>
        <v>0</v>
      </c>
      <c r="J1280">
        <f>IF(COUNTIFS('United Data'!$A$3:$A$3390,J$1,'United Data'!$C$3:$C$3390,$A1280,'United Data'!$B$3:$B$3390,"&lt;&gt;Off-street")&gt;0,1,0)</f>
        <v>0</v>
      </c>
      <c r="K1280">
        <f>IF(COUNTIFS('United Data'!$A$3:$A$3390,K$1,'United Data'!$C$3:$C$3390,$A1280,'United Data'!$B$3:$B$3390,"&lt;&gt;Off-street")&gt;0,1,0)</f>
        <v>1</v>
      </c>
      <c r="L1280">
        <f>IF(COUNTIFS('United Data'!$A$3:$A$3390,L$1,'United Data'!$C$3:$C$3390,$A1280,'United Data'!$B$3:$B$3390,"&lt;&gt;Off-street")&gt;0,1,0)</f>
        <v>0</v>
      </c>
      <c r="M1280">
        <f>IF(COUNTIFS('United Data'!$A$3:$A$3390,M$1,'United Data'!$C$3:$C$3390,$A1280,'United Data'!$B$3:$B$3390,"&lt;&gt;Off-street")&gt;0,1,0)</f>
        <v>0</v>
      </c>
      <c r="N1280">
        <f>IF(COUNTIFS('United Data'!$A$3:$A$3390,N$1,'United Data'!$C$3:$C$3390,$A1280,'United Data'!$B$3:$B$3390,"&lt;&gt;Off-street")&gt;0,1,0)</f>
        <v>0</v>
      </c>
      <c r="O1280">
        <f>IF(COUNTIFS('United Data'!$A$3:$A$3390,O$1,'United Data'!$C$3:$C$3390,$A1280,'United Data'!$B$3:$B$3390,"&lt;&gt;Off-street")&gt;0,1,0)</f>
        <v>0</v>
      </c>
      <c r="P1280">
        <f>IF(COUNTIFS('United Data'!$A$3:$A$3390,P$1,'United Data'!$C$3:$C$3390,$A1280,'United Data'!$B$3:$B$3390,"&lt;&gt;Off-street")&gt;0,1,0)</f>
        <v>0</v>
      </c>
      <c r="Q1280">
        <f>IF(COUNTIFS('United Data'!$A$3:$A$3390,Q$1,'United Data'!$C$3:$C$3390,$A1280,'United Data'!$B$3:$B$3390,"&lt;&gt;Off-street")&gt;0,1,0)</f>
        <v>0</v>
      </c>
      <c r="R1280">
        <f>IF(COUNTIFS('United Data'!$A$3:$A$3390,R$1,'United Data'!$C$3:$C$3390,$A1280,'United Data'!$B$3:$B$3390,"&lt;&gt;Off-street")&gt;0,1,0)</f>
        <v>0</v>
      </c>
      <c r="S1280">
        <f t="shared" si="38"/>
        <v>1</v>
      </c>
      <c r="T1280">
        <f t="shared" si="39"/>
        <v>1</v>
      </c>
    </row>
    <row r="1281" spans="1:20" x14ac:dyDescent="0.2">
      <c r="A1281" t="s">
        <v>1516</v>
      </c>
      <c r="B1281">
        <f>IF(COUNTIFS('United Data'!$A$3:$A$3390,B$1,'United Data'!$C$3:$C$3390,$A1281,'United Data'!$B$3:$B$3390,"&lt;&gt;Off-street")&gt;0,1,0)</f>
        <v>0</v>
      </c>
      <c r="C1281">
        <f>IF(COUNTIFS('United Data'!$A$3:$A$3390,C$1,'United Data'!$C$3:$C$3390,$A1281,'United Data'!$B$3:$B$3390,"&lt;&gt;Off-street")&gt;0,1,0)</f>
        <v>0</v>
      </c>
      <c r="D1281">
        <f>IF(COUNTIFS('United Data'!$A$3:$A$3390,D$1,'United Data'!$C$3:$C$3390,$A1281,'United Data'!$B$3:$B$3390,"&lt;&gt;Off-street")&gt;0,1,0)</f>
        <v>0</v>
      </c>
      <c r="E1281">
        <f>IF(COUNTIFS('United Data'!$A$3:$A$3390,E$1,'United Data'!$C$3:$C$3390,$A1281,'United Data'!$B$3:$B$3390,"&lt;&gt;Off-street")&gt;0,1,0)</f>
        <v>0</v>
      </c>
      <c r="F1281">
        <f>IF(COUNTIFS('United Data'!$A$3:$A$3390,F$1,'United Data'!$C$3:$C$3390,$A1281,'United Data'!$B$3:$B$3390,"&lt;&gt;Off-street")&gt;0,1,0)</f>
        <v>0</v>
      </c>
      <c r="G1281">
        <f>IF(COUNTIFS('United Data'!$A$3:$A$3390,G$1,'United Data'!$C$3:$C$3390,$A1281,'United Data'!$B$3:$B$3390,"&lt;&gt;Off-street")&gt;0,1,0)</f>
        <v>0</v>
      </c>
      <c r="H1281">
        <f>IF(COUNTIFS('United Data'!$A$3:$A$3390,H$1,'United Data'!$C$3:$C$3390,$A1281,'United Data'!$B$3:$B$3390,"&lt;&gt;Off-street")&gt;0,1,0)</f>
        <v>0</v>
      </c>
      <c r="I1281">
        <f>IF(COUNTIFS('United Data'!$A$3:$A$3390,I$1,'United Data'!$C$3:$C$3390,$A1281,'United Data'!$B$3:$B$3390,"&lt;&gt;Off-street")&gt;0,1,0)</f>
        <v>0</v>
      </c>
      <c r="J1281">
        <f>IF(COUNTIFS('United Data'!$A$3:$A$3390,J$1,'United Data'!$C$3:$C$3390,$A1281,'United Data'!$B$3:$B$3390,"&lt;&gt;Off-street")&gt;0,1,0)</f>
        <v>0</v>
      </c>
      <c r="K1281">
        <f>IF(COUNTIFS('United Data'!$A$3:$A$3390,K$1,'United Data'!$C$3:$C$3390,$A1281,'United Data'!$B$3:$B$3390,"&lt;&gt;Off-street")&gt;0,1,0)</f>
        <v>1</v>
      </c>
      <c r="L1281">
        <f>IF(COUNTIFS('United Data'!$A$3:$A$3390,L$1,'United Data'!$C$3:$C$3390,$A1281,'United Data'!$B$3:$B$3390,"&lt;&gt;Off-street")&gt;0,1,0)</f>
        <v>0</v>
      </c>
      <c r="M1281">
        <f>IF(COUNTIFS('United Data'!$A$3:$A$3390,M$1,'United Data'!$C$3:$C$3390,$A1281,'United Data'!$B$3:$B$3390,"&lt;&gt;Off-street")&gt;0,1,0)</f>
        <v>0</v>
      </c>
      <c r="N1281">
        <f>IF(COUNTIFS('United Data'!$A$3:$A$3390,N$1,'United Data'!$C$3:$C$3390,$A1281,'United Data'!$B$3:$B$3390,"&lt;&gt;Off-street")&gt;0,1,0)</f>
        <v>0</v>
      </c>
      <c r="O1281">
        <f>IF(COUNTIFS('United Data'!$A$3:$A$3390,O$1,'United Data'!$C$3:$C$3390,$A1281,'United Data'!$B$3:$B$3390,"&lt;&gt;Off-street")&gt;0,1,0)</f>
        <v>0</v>
      </c>
      <c r="P1281">
        <f>IF(COUNTIFS('United Data'!$A$3:$A$3390,P$1,'United Data'!$C$3:$C$3390,$A1281,'United Data'!$B$3:$B$3390,"&lt;&gt;Off-street")&gt;0,1,0)</f>
        <v>0</v>
      </c>
      <c r="Q1281">
        <f>IF(COUNTIFS('United Data'!$A$3:$A$3390,Q$1,'United Data'!$C$3:$C$3390,$A1281,'United Data'!$B$3:$B$3390,"&lt;&gt;Off-street")&gt;0,1,0)</f>
        <v>0</v>
      </c>
      <c r="R1281">
        <f>IF(COUNTIFS('United Data'!$A$3:$A$3390,R$1,'United Data'!$C$3:$C$3390,$A1281,'United Data'!$B$3:$B$3390,"&lt;&gt;Off-street")&gt;0,1,0)</f>
        <v>0</v>
      </c>
      <c r="S1281">
        <f t="shared" si="38"/>
        <v>1</v>
      </c>
      <c r="T1281">
        <f t="shared" si="39"/>
        <v>1</v>
      </c>
    </row>
    <row r="1282" spans="1:20" x14ac:dyDescent="0.2">
      <c r="A1282" t="s">
        <v>1517</v>
      </c>
      <c r="B1282">
        <f>IF(COUNTIFS('United Data'!$A$3:$A$3390,B$1,'United Data'!$C$3:$C$3390,$A1282,'United Data'!$B$3:$B$3390,"&lt;&gt;Off-street")&gt;0,1,0)</f>
        <v>0</v>
      </c>
      <c r="C1282">
        <f>IF(COUNTIFS('United Data'!$A$3:$A$3390,C$1,'United Data'!$C$3:$C$3390,$A1282,'United Data'!$B$3:$B$3390,"&lt;&gt;Off-street")&gt;0,1,0)</f>
        <v>0</v>
      </c>
      <c r="D1282">
        <f>IF(COUNTIFS('United Data'!$A$3:$A$3390,D$1,'United Data'!$C$3:$C$3390,$A1282,'United Data'!$B$3:$B$3390,"&lt;&gt;Off-street")&gt;0,1,0)</f>
        <v>0</v>
      </c>
      <c r="E1282">
        <f>IF(COUNTIFS('United Data'!$A$3:$A$3390,E$1,'United Data'!$C$3:$C$3390,$A1282,'United Data'!$B$3:$B$3390,"&lt;&gt;Off-street")&gt;0,1,0)</f>
        <v>0</v>
      </c>
      <c r="F1282">
        <f>IF(COUNTIFS('United Data'!$A$3:$A$3390,F$1,'United Data'!$C$3:$C$3390,$A1282,'United Data'!$B$3:$B$3390,"&lt;&gt;Off-street")&gt;0,1,0)</f>
        <v>0</v>
      </c>
      <c r="G1282">
        <f>IF(COUNTIFS('United Data'!$A$3:$A$3390,G$1,'United Data'!$C$3:$C$3390,$A1282,'United Data'!$B$3:$B$3390,"&lt;&gt;Off-street")&gt;0,1,0)</f>
        <v>0</v>
      </c>
      <c r="H1282">
        <f>IF(COUNTIFS('United Data'!$A$3:$A$3390,H$1,'United Data'!$C$3:$C$3390,$A1282,'United Data'!$B$3:$B$3390,"&lt;&gt;Off-street")&gt;0,1,0)</f>
        <v>0</v>
      </c>
      <c r="I1282">
        <f>IF(COUNTIFS('United Data'!$A$3:$A$3390,I$1,'United Data'!$C$3:$C$3390,$A1282,'United Data'!$B$3:$B$3390,"&lt;&gt;Off-street")&gt;0,1,0)</f>
        <v>0</v>
      </c>
      <c r="J1282">
        <f>IF(COUNTIFS('United Data'!$A$3:$A$3390,J$1,'United Data'!$C$3:$C$3390,$A1282,'United Data'!$B$3:$B$3390,"&lt;&gt;Off-street")&gt;0,1,0)</f>
        <v>0</v>
      </c>
      <c r="K1282">
        <f>IF(COUNTIFS('United Data'!$A$3:$A$3390,K$1,'United Data'!$C$3:$C$3390,$A1282,'United Data'!$B$3:$B$3390,"&lt;&gt;Off-street")&gt;0,1,0)</f>
        <v>1</v>
      </c>
      <c r="L1282">
        <f>IF(COUNTIFS('United Data'!$A$3:$A$3390,L$1,'United Data'!$C$3:$C$3390,$A1282,'United Data'!$B$3:$B$3390,"&lt;&gt;Off-street")&gt;0,1,0)</f>
        <v>0</v>
      </c>
      <c r="M1282">
        <f>IF(COUNTIFS('United Data'!$A$3:$A$3390,M$1,'United Data'!$C$3:$C$3390,$A1282,'United Data'!$B$3:$B$3390,"&lt;&gt;Off-street")&gt;0,1,0)</f>
        <v>0</v>
      </c>
      <c r="N1282">
        <f>IF(COUNTIFS('United Data'!$A$3:$A$3390,N$1,'United Data'!$C$3:$C$3390,$A1282,'United Data'!$B$3:$B$3390,"&lt;&gt;Off-street")&gt;0,1,0)</f>
        <v>1</v>
      </c>
      <c r="O1282">
        <f>IF(COUNTIFS('United Data'!$A$3:$A$3390,O$1,'United Data'!$C$3:$C$3390,$A1282,'United Data'!$B$3:$B$3390,"&lt;&gt;Off-street")&gt;0,1,0)</f>
        <v>0</v>
      </c>
      <c r="P1282">
        <f>IF(COUNTIFS('United Data'!$A$3:$A$3390,P$1,'United Data'!$C$3:$C$3390,$A1282,'United Data'!$B$3:$B$3390,"&lt;&gt;Off-street")&gt;0,1,0)</f>
        <v>0</v>
      </c>
      <c r="Q1282">
        <f>IF(COUNTIFS('United Data'!$A$3:$A$3390,Q$1,'United Data'!$C$3:$C$3390,$A1282,'United Data'!$B$3:$B$3390,"&lt;&gt;Off-street")&gt;0,1,0)</f>
        <v>0</v>
      </c>
      <c r="R1282">
        <f>IF(COUNTIFS('United Data'!$A$3:$A$3390,R$1,'United Data'!$C$3:$C$3390,$A1282,'United Data'!$B$3:$B$3390,"&lt;&gt;Off-street")&gt;0,1,0)</f>
        <v>0</v>
      </c>
      <c r="S1282">
        <f t="shared" ref="S1282:S1345" si="40">SUM(B1282:R1282)</f>
        <v>2</v>
      </c>
      <c r="T1282">
        <f t="shared" ref="T1282:T1345" si="41">B1282+SUMPRODUCT(--(C1282:R1282&gt;B1282:Q1282))</f>
        <v>2</v>
      </c>
    </row>
    <row r="1283" spans="1:20" x14ac:dyDescent="0.2">
      <c r="A1283" t="s">
        <v>1518</v>
      </c>
      <c r="B1283">
        <f>IF(COUNTIFS('United Data'!$A$3:$A$3390,B$1,'United Data'!$C$3:$C$3390,$A1283,'United Data'!$B$3:$B$3390,"&lt;&gt;Off-street")&gt;0,1,0)</f>
        <v>0</v>
      </c>
      <c r="C1283">
        <f>IF(COUNTIFS('United Data'!$A$3:$A$3390,C$1,'United Data'!$C$3:$C$3390,$A1283,'United Data'!$B$3:$B$3390,"&lt;&gt;Off-street")&gt;0,1,0)</f>
        <v>0</v>
      </c>
      <c r="D1283">
        <f>IF(COUNTIFS('United Data'!$A$3:$A$3390,D$1,'United Data'!$C$3:$C$3390,$A1283,'United Data'!$B$3:$B$3390,"&lt;&gt;Off-street")&gt;0,1,0)</f>
        <v>0</v>
      </c>
      <c r="E1283">
        <f>IF(COUNTIFS('United Data'!$A$3:$A$3390,E$1,'United Data'!$C$3:$C$3390,$A1283,'United Data'!$B$3:$B$3390,"&lt;&gt;Off-street")&gt;0,1,0)</f>
        <v>0</v>
      </c>
      <c r="F1283">
        <f>IF(COUNTIFS('United Data'!$A$3:$A$3390,F$1,'United Data'!$C$3:$C$3390,$A1283,'United Data'!$B$3:$B$3390,"&lt;&gt;Off-street")&gt;0,1,0)</f>
        <v>0</v>
      </c>
      <c r="G1283">
        <f>IF(COUNTIFS('United Data'!$A$3:$A$3390,G$1,'United Data'!$C$3:$C$3390,$A1283,'United Data'!$B$3:$B$3390,"&lt;&gt;Off-street")&gt;0,1,0)</f>
        <v>0</v>
      </c>
      <c r="H1283">
        <f>IF(COUNTIFS('United Data'!$A$3:$A$3390,H$1,'United Data'!$C$3:$C$3390,$A1283,'United Data'!$B$3:$B$3390,"&lt;&gt;Off-street")&gt;0,1,0)</f>
        <v>0</v>
      </c>
      <c r="I1283">
        <f>IF(COUNTIFS('United Data'!$A$3:$A$3390,I$1,'United Data'!$C$3:$C$3390,$A1283,'United Data'!$B$3:$B$3390,"&lt;&gt;Off-street")&gt;0,1,0)</f>
        <v>0</v>
      </c>
      <c r="J1283">
        <f>IF(COUNTIFS('United Data'!$A$3:$A$3390,J$1,'United Data'!$C$3:$C$3390,$A1283,'United Data'!$B$3:$B$3390,"&lt;&gt;Off-street")&gt;0,1,0)</f>
        <v>0</v>
      </c>
      <c r="K1283">
        <f>IF(COUNTIFS('United Data'!$A$3:$A$3390,K$1,'United Data'!$C$3:$C$3390,$A1283,'United Data'!$B$3:$B$3390,"&lt;&gt;Off-street")&gt;0,1,0)</f>
        <v>1</v>
      </c>
      <c r="L1283">
        <f>IF(COUNTIFS('United Data'!$A$3:$A$3390,L$1,'United Data'!$C$3:$C$3390,$A1283,'United Data'!$B$3:$B$3390,"&lt;&gt;Off-street")&gt;0,1,0)</f>
        <v>0</v>
      </c>
      <c r="M1283">
        <f>IF(COUNTIFS('United Data'!$A$3:$A$3390,M$1,'United Data'!$C$3:$C$3390,$A1283,'United Data'!$B$3:$B$3390,"&lt;&gt;Off-street")&gt;0,1,0)</f>
        <v>1</v>
      </c>
      <c r="N1283">
        <f>IF(COUNTIFS('United Data'!$A$3:$A$3390,N$1,'United Data'!$C$3:$C$3390,$A1283,'United Data'!$B$3:$B$3390,"&lt;&gt;Off-street")&gt;0,1,0)</f>
        <v>0</v>
      </c>
      <c r="O1283">
        <f>IF(COUNTIFS('United Data'!$A$3:$A$3390,O$1,'United Data'!$C$3:$C$3390,$A1283,'United Data'!$B$3:$B$3390,"&lt;&gt;Off-street")&gt;0,1,0)</f>
        <v>0</v>
      </c>
      <c r="P1283">
        <f>IF(COUNTIFS('United Data'!$A$3:$A$3390,P$1,'United Data'!$C$3:$C$3390,$A1283,'United Data'!$B$3:$B$3390,"&lt;&gt;Off-street")&gt;0,1,0)</f>
        <v>1</v>
      </c>
      <c r="Q1283">
        <f>IF(COUNTIFS('United Data'!$A$3:$A$3390,Q$1,'United Data'!$C$3:$C$3390,$A1283,'United Data'!$B$3:$B$3390,"&lt;&gt;Off-street")&gt;0,1,0)</f>
        <v>0</v>
      </c>
      <c r="R1283">
        <f>IF(COUNTIFS('United Data'!$A$3:$A$3390,R$1,'United Data'!$C$3:$C$3390,$A1283,'United Data'!$B$3:$B$3390,"&lt;&gt;Off-street")&gt;0,1,0)</f>
        <v>0</v>
      </c>
      <c r="S1283">
        <f t="shared" si="40"/>
        <v>3</v>
      </c>
      <c r="T1283">
        <f t="shared" si="41"/>
        <v>3</v>
      </c>
    </row>
    <row r="1284" spans="1:20" x14ac:dyDescent="0.2">
      <c r="A1284" t="s">
        <v>1519</v>
      </c>
      <c r="B1284">
        <f>IF(COUNTIFS('United Data'!$A$3:$A$3390,B$1,'United Data'!$C$3:$C$3390,$A1284,'United Data'!$B$3:$B$3390,"&lt;&gt;Off-street")&gt;0,1,0)</f>
        <v>0</v>
      </c>
      <c r="C1284">
        <f>IF(COUNTIFS('United Data'!$A$3:$A$3390,C$1,'United Data'!$C$3:$C$3390,$A1284,'United Data'!$B$3:$B$3390,"&lt;&gt;Off-street")&gt;0,1,0)</f>
        <v>0</v>
      </c>
      <c r="D1284">
        <f>IF(COUNTIFS('United Data'!$A$3:$A$3390,D$1,'United Data'!$C$3:$C$3390,$A1284,'United Data'!$B$3:$B$3390,"&lt;&gt;Off-street")&gt;0,1,0)</f>
        <v>0</v>
      </c>
      <c r="E1284">
        <f>IF(COUNTIFS('United Data'!$A$3:$A$3390,E$1,'United Data'!$C$3:$C$3390,$A1284,'United Data'!$B$3:$B$3390,"&lt;&gt;Off-street")&gt;0,1,0)</f>
        <v>0</v>
      </c>
      <c r="F1284">
        <f>IF(COUNTIFS('United Data'!$A$3:$A$3390,F$1,'United Data'!$C$3:$C$3390,$A1284,'United Data'!$B$3:$B$3390,"&lt;&gt;Off-street")&gt;0,1,0)</f>
        <v>0</v>
      </c>
      <c r="G1284">
        <f>IF(COUNTIFS('United Data'!$A$3:$A$3390,G$1,'United Data'!$C$3:$C$3390,$A1284,'United Data'!$B$3:$B$3390,"&lt;&gt;Off-street")&gt;0,1,0)</f>
        <v>0</v>
      </c>
      <c r="H1284">
        <f>IF(COUNTIFS('United Data'!$A$3:$A$3390,H$1,'United Data'!$C$3:$C$3390,$A1284,'United Data'!$B$3:$B$3390,"&lt;&gt;Off-street")&gt;0,1,0)</f>
        <v>0</v>
      </c>
      <c r="I1284">
        <f>IF(COUNTIFS('United Data'!$A$3:$A$3390,I$1,'United Data'!$C$3:$C$3390,$A1284,'United Data'!$B$3:$B$3390,"&lt;&gt;Off-street")&gt;0,1,0)</f>
        <v>0</v>
      </c>
      <c r="J1284">
        <f>IF(COUNTIFS('United Data'!$A$3:$A$3390,J$1,'United Data'!$C$3:$C$3390,$A1284,'United Data'!$B$3:$B$3390,"&lt;&gt;Off-street")&gt;0,1,0)</f>
        <v>0</v>
      </c>
      <c r="K1284">
        <f>IF(COUNTIFS('United Data'!$A$3:$A$3390,K$1,'United Data'!$C$3:$C$3390,$A1284,'United Data'!$B$3:$B$3390,"&lt;&gt;Off-street")&gt;0,1,0)</f>
        <v>1</v>
      </c>
      <c r="L1284">
        <f>IF(COUNTIFS('United Data'!$A$3:$A$3390,L$1,'United Data'!$C$3:$C$3390,$A1284,'United Data'!$B$3:$B$3390,"&lt;&gt;Off-street")&gt;0,1,0)</f>
        <v>0</v>
      </c>
      <c r="M1284">
        <f>IF(COUNTIFS('United Data'!$A$3:$A$3390,M$1,'United Data'!$C$3:$C$3390,$A1284,'United Data'!$B$3:$B$3390,"&lt;&gt;Off-street")&gt;0,1,0)</f>
        <v>0</v>
      </c>
      <c r="N1284">
        <f>IF(COUNTIFS('United Data'!$A$3:$A$3390,N$1,'United Data'!$C$3:$C$3390,$A1284,'United Data'!$B$3:$B$3390,"&lt;&gt;Off-street")&gt;0,1,0)</f>
        <v>0</v>
      </c>
      <c r="O1284">
        <f>IF(COUNTIFS('United Data'!$A$3:$A$3390,O$1,'United Data'!$C$3:$C$3390,$A1284,'United Data'!$B$3:$B$3390,"&lt;&gt;Off-street")&gt;0,1,0)</f>
        <v>0</v>
      </c>
      <c r="P1284">
        <f>IF(COUNTIFS('United Data'!$A$3:$A$3390,P$1,'United Data'!$C$3:$C$3390,$A1284,'United Data'!$B$3:$B$3390,"&lt;&gt;Off-street")&gt;0,1,0)</f>
        <v>0</v>
      </c>
      <c r="Q1284">
        <f>IF(COUNTIFS('United Data'!$A$3:$A$3390,Q$1,'United Data'!$C$3:$C$3390,$A1284,'United Data'!$B$3:$B$3390,"&lt;&gt;Off-street")&gt;0,1,0)</f>
        <v>0</v>
      </c>
      <c r="R1284">
        <f>IF(COUNTIFS('United Data'!$A$3:$A$3390,R$1,'United Data'!$C$3:$C$3390,$A1284,'United Data'!$B$3:$B$3390,"&lt;&gt;Off-street")&gt;0,1,0)</f>
        <v>0</v>
      </c>
      <c r="S1284">
        <f t="shared" si="40"/>
        <v>1</v>
      </c>
      <c r="T1284">
        <f t="shared" si="41"/>
        <v>1</v>
      </c>
    </row>
    <row r="1285" spans="1:20" x14ac:dyDescent="0.2">
      <c r="A1285" t="s">
        <v>1521</v>
      </c>
      <c r="B1285">
        <f>IF(COUNTIFS('United Data'!$A$3:$A$3390,B$1,'United Data'!$C$3:$C$3390,$A1285,'United Data'!$B$3:$B$3390,"&lt;&gt;Off-street")&gt;0,1,0)</f>
        <v>0</v>
      </c>
      <c r="C1285">
        <f>IF(COUNTIFS('United Data'!$A$3:$A$3390,C$1,'United Data'!$C$3:$C$3390,$A1285,'United Data'!$B$3:$B$3390,"&lt;&gt;Off-street")&gt;0,1,0)</f>
        <v>0</v>
      </c>
      <c r="D1285">
        <f>IF(COUNTIFS('United Data'!$A$3:$A$3390,D$1,'United Data'!$C$3:$C$3390,$A1285,'United Data'!$B$3:$B$3390,"&lt;&gt;Off-street")&gt;0,1,0)</f>
        <v>0</v>
      </c>
      <c r="E1285">
        <f>IF(COUNTIFS('United Data'!$A$3:$A$3390,E$1,'United Data'!$C$3:$C$3390,$A1285,'United Data'!$B$3:$B$3390,"&lt;&gt;Off-street")&gt;0,1,0)</f>
        <v>0</v>
      </c>
      <c r="F1285">
        <f>IF(COUNTIFS('United Data'!$A$3:$A$3390,F$1,'United Data'!$C$3:$C$3390,$A1285,'United Data'!$B$3:$B$3390,"&lt;&gt;Off-street")&gt;0,1,0)</f>
        <v>0</v>
      </c>
      <c r="G1285">
        <f>IF(COUNTIFS('United Data'!$A$3:$A$3390,G$1,'United Data'!$C$3:$C$3390,$A1285,'United Data'!$B$3:$B$3390,"&lt;&gt;Off-street")&gt;0,1,0)</f>
        <v>0</v>
      </c>
      <c r="H1285">
        <f>IF(COUNTIFS('United Data'!$A$3:$A$3390,H$1,'United Data'!$C$3:$C$3390,$A1285,'United Data'!$B$3:$B$3390,"&lt;&gt;Off-street")&gt;0,1,0)</f>
        <v>0</v>
      </c>
      <c r="I1285">
        <f>IF(COUNTIFS('United Data'!$A$3:$A$3390,I$1,'United Data'!$C$3:$C$3390,$A1285,'United Data'!$B$3:$B$3390,"&lt;&gt;Off-street")&gt;0,1,0)</f>
        <v>0</v>
      </c>
      <c r="J1285">
        <f>IF(COUNTIFS('United Data'!$A$3:$A$3390,J$1,'United Data'!$C$3:$C$3390,$A1285,'United Data'!$B$3:$B$3390,"&lt;&gt;Off-street")&gt;0,1,0)</f>
        <v>0</v>
      </c>
      <c r="K1285">
        <f>IF(COUNTIFS('United Data'!$A$3:$A$3390,K$1,'United Data'!$C$3:$C$3390,$A1285,'United Data'!$B$3:$B$3390,"&lt;&gt;Off-street")&gt;0,1,0)</f>
        <v>0</v>
      </c>
      <c r="L1285">
        <f>IF(COUNTIFS('United Data'!$A$3:$A$3390,L$1,'United Data'!$C$3:$C$3390,$A1285,'United Data'!$B$3:$B$3390,"&lt;&gt;Off-street")&gt;0,1,0)</f>
        <v>1</v>
      </c>
      <c r="M1285">
        <f>IF(COUNTIFS('United Data'!$A$3:$A$3390,M$1,'United Data'!$C$3:$C$3390,$A1285,'United Data'!$B$3:$B$3390,"&lt;&gt;Off-street")&gt;0,1,0)</f>
        <v>0</v>
      </c>
      <c r="N1285">
        <f>IF(COUNTIFS('United Data'!$A$3:$A$3390,N$1,'United Data'!$C$3:$C$3390,$A1285,'United Data'!$B$3:$B$3390,"&lt;&gt;Off-street")&gt;0,1,0)</f>
        <v>0</v>
      </c>
      <c r="O1285">
        <f>IF(COUNTIFS('United Data'!$A$3:$A$3390,O$1,'United Data'!$C$3:$C$3390,$A1285,'United Data'!$B$3:$B$3390,"&lt;&gt;Off-street")&gt;0,1,0)</f>
        <v>0</v>
      </c>
      <c r="P1285">
        <f>IF(COUNTIFS('United Data'!$A$3:$A$3390,P$1,'United Data'!$C$3:$C$3390,$A1285,'United Data'!$B$3:$B$3390,"&lt;&gt;Off-street")&gt;0,1,0)</f>
        <v>0</v>
      </c>
      <c r="Q1285">
        <f>IF(COUNTIFS('United Data'!$A$3:$A$3390,Q$1,'United Data'!$C$3:$C$3390,$A1285,'United Data'!$B$3:$B$3390,"&lt;&gt;Off-street")&gt;0,1,0)</f>
        <v>0</v>
      </c>
      <c r="R1285">
        <f>IF(COUNTIFS('United Data'!$A$3:$A$3390,R$1,'United Data'!$C$3:$C$3390,$A1285,'United Data'!$B$3:$B$3390,"&lt;&gt;Off-street")&gt;0,1,0)</f>
        <v>0</v>
      </c>
      <c r="S1285">
        <f t="shared" si="40"/>
        <v>1</v>
      </c>
      <c r="T1285">
        <f t="shared" si="41"/>
        <v>1</v>
      </c>
    </row>
    <row r="1286" spans="1:20" x14ac:dyDescent="0.2">
      <c r="A1286" t="s">
        <v>1523</v>
      </c>
      <c r="B1286">
        <f>IF(COUNTIFS('United Data'!$A$3:$A$3390,B$1,'United Data'!$C$3:$C$3390,$A1286,'United Data'!$B$3:$B$3390,"&lt;&gt;Off-street")&gt;0,1,0)</f>
        <v>0</v>
      </c>
      <c r="C1286">
        <f>IF(COUNTIFS('United Data'!$A$3:$A$3390,C$1,'United Data'!$C$3:$C$3390,$A1286,'United Data'!$B$3:$B$3390,"&lt;&gt;Off-street")&gt;0,1,0)</f>
        <v>0</v>
      </c>
      <c r="D1286">
        <f>IF(COUNTIFS('United Data'!$A$3:$A$3390,D$1,'United Data'!$C$3:$C$3390,$A1286,'United Data'!$B$3:$B$3390,"&lt;&gt;Off-street")&gt;0,1,0)</f>
        <v>0</v>
      </c>
      <c r="E1286">
        <f>IF(COUNTIFS('United Data'!$A$3:$A$3390,E$1,'United Data'!$C$3:$C$3390,$A1286,'United Data'!$B$3:$B$3390,"&lt;&gt;Off-street")&gt;0,1,0)</f>
        <v>0</v>
      </c>
      <c r="F1286">
        <f>IF(COUNTIFS('United Data'!$A$3:$A$3390,F$1,'United Data'!$C$3:$C$3390,$A1286,'United Data'!$B$3:$B$3390,"&lt;&gt;Off-street")&gt;0,1,0)</f>
        <v>0</v>
      </c>
      <c r="G1286">
        <f>IF(COUNTIFS('United Data'!$A$3:$A$3390,G$1,'United Data'!$C$3:$C$3390,$A1286,'United Data'!$B$3:$B$3390,"&lt;&gt;Off-street")&gt;0,1,0)</f>
        <v>0</v>
      </c>
      <c r="H1286">
        <f>IF(COUNTIFS('United Data'!$A$3:$A$3390,H$1,'United Data'!$C$3:$C$3390,$A1286,'United Data'!$B$3:$B$3390,"&lt;&gt;Off-street")&gt;0,1,0)</f>
        <v>0</v>
      </c>
      <c r="I1286">
        <f>IF(COUNTIFS('United Data'!$A$3:$A$3390,I$1,'United Data'!$C$3:$C$3390,$A1286,'United Data'!$B$3:$B$3390,"&lt;&gt;Off-street")&gt;0,1,0)</f>
        <v>0</v>
      </c>
      <c r="J1286">
        <f>IF(COUNTIFS('United Data'!$A$3:$A$3390,J$1,'United Data'!$C$3:$C$3390,$A1286,'United Data'!$B$3:$B$3390,"&lt;&gt;Off-street")&gt;0,1,0)</f>
        <v>0</v>
      </c>
      <c r="K1286">
        <f>IF(COUNTIFS('United Data'!$A$3:$A$3390,K$1,'United Data'!$C$3:$C$3390,$A1286,'United Data'!$B$3:$B$3390,"&lt;&gt;Off-street")&gt;0,1,0)</f>
        <v>0</v>
      </c>
      <c r="L1286">
        <f>IF(COUNTIFS('United Data'!$A$3:$A$3390,L$1,'United Data'!$C$3:$C$3390,$A1286,'United Data'!$B$3:$B$3390,"&lt;&gt;Off-street")&gt;0,1,0)</f>
        <v>0</v>
      </c>
      <c r="M1286">
        <f>IF(COUNTIFS('United Data'!$A$3:$A$3390,M$1,'United Data'!$C$3:$C$3390,$A1286,'United Data'!$B$3:$B$3390,"&lt;&gt;Off-street")&gt;0,1,0)</f>
        <v>1</v>
      </c>
      <c r="N1286">
        <f>IF(COUNTIFS('United Data'!$A$3:$A$3390,N$1,'United Data'!$C$3:$C$3390,$A1286,'United Data'!$B$3:$B$3390,"&lt;&gt;Off-street")&gt;0,1,0)</f>
        <v>0</v>
      </c>
      <c r="O1286">
        <f>IF(COUNTIFS('United Data'!$A$3:$A$3390,O$1,'United Data'!$C$3:$C$3390,$A1286,'United Data'!$B$3:$B$3390,"&lt;&gt;Off-street")&gt;0,1,0)</f>
        <v>0</v>
      </c>
      <c r="P1286">
        <f>IF(COUNTIFS('United Data'!$A$3:$A$3390,P$1,'United Data'!$C$3:$C$3390,$A1286,'United Data'!$B$3:$B$3390,"&lt;&gt;Off-street")&gt;0,1,0)</f>
        <v>0</v>
      </c>
      <c r="Q1286">
        <f>IF(COUNTIFS('United Data'!$A$3:$A$3390,Q$1,'United Data'!$C$3:$C$3390,$A1286,'United Data'!$B$3:$B$3390,"&lt;&gt;Off-street")&gt;0,1,0)</f>
        <v>0</v>
      </c>
      <c r="R1286">
        <f>IF(COUNTIFS('United Data'!$A$3:$A$3390,R$1,'United Data'!$C$3:$C$3390,$A1286,'United Data'!$B$3:$B$3390,"&lt;&gt;Off-street")&gt;0,1,0)</f>
        <v>0</v>
      </c>
      <c r="S1286">
        <f t="shared" si="40"/>
        <v>1</v>
      </c>
      <c r="T1286">
        <f t="shared" si="41"/>
        <v>1</v>
      </c>
    </row>
    <row r="1287" spans="1:20" x14ac:dyDescent="0.2">
      <c r="A1287" t="s">
        <v>1524</v>
      </c>
      <c r="B1287">
        <f>IF(COUNTIFS('United Data'!$A$3:$A$3390,B$1,'United Data'!$C$3:$C$3390,$A1287,'United Data'!$B$3:$B$3390,"&lt;&gt;Off-street")&gt;0,1,0)</f>
        <v>0</v>
      </c>
      <c r="C1287">
        <f>IF(COUNTIFS('United Data'!$A$3:$A$3390,C$1,'United Data'!$C$3:$C$3390,$A1287,'United Data'!$B$3:$B$3390,"&lt;&gt;Off-street")&gt;0,1,0)</f>
        <v>0</v>
      </c>
      <c r="D1287">
        <f>IF(COUNTIFS('United Data'!$A$3:$A$3390,D$1,'United Data'!$C$3:$C$3390,$A1287,'United Data'!$B$3:$B$3390,"&lt;&gt;Off-street")&gt;0,1,0)</f>
        <v>0</v>
      </c>
      <c r="E1287">
        <f>IF(COUNTIFS('United Data'!$A$3:$A$3390,E$1,'United Data'!$C$3:$C$3390,$A1287,'United Data'!$B$3:$B$3390,"&lt;&gt;Off-street")&gt;0,1,0)</f>
        <v>0</v>
      </c>
      <c r="F1287">
        <f>IF(COUNTIFS('United Data'!$A$3:$A$3390,F$1,'United Data'!$C$3:$C$3390,$A1287,'United Data'!$B$3:$B$3390,"&lt;&gt;Off-street")&gt;0,1,0)</f>
        <v>0</v>
      </c>
      <c r="G1287">
        <f>IF(COUNTIFS('United Data'!$A$3:$A$3390,G$1,'United Data'!$C$3:$C$3390,$A1287,'United Data'!$B$3:$B$3390,"&lt;&gt;Off-street")&gt;0,1,0)</f>
        <v>0</v>
      </c>
      <c r="H1287">
        <f>IF(COUNTIFS('United Data'!$A$3:$A$3390,H$1,'United Data'!$C$3:$C$3390,$A1287,'United Data'!$B$3:$B$3390,"&lt;&gt;Off-street")&gt;0,1,0)</f>
        <v>0</v>
      </c>
      <c r="I1287">
        <f>IF(COUNTIFS('United Data'!$A$3:$A$3390,I$1,'United Data'!$C$3:$C$3390,$A1287,'United Data'!$B$3:$B$3390,"&lt;&gt;Off-street")&gt;0,1,0)</f>
        <v>0</v>
      </c>
      <c r="J1287">
        <f>IF(COUNTIFS('United Data'!$A$3:$A$3390,J$1,'United Data'!$C$3:$C$3390,$A1287,'United Data'!$B$3:$B$3390,"&lt;&gt;Off-street")&gt;0,1,0)</f>
        <v>0</v>
      </c>
      <c r="K1287">
        <f>IF(COUNTIFS('United Data'!$A$3:$A$3390,K$1,'United Data'!$C$3:$C$3390,$A1287,'United Data'!$B$3:$B$3390,"&lt;&gt;Off-street")&gt;0,1,0)</f>
        <v>0</v>
      </c>
      <c r="L1287">
        <f>IF(COUNTIFS('United Data'!$A$3:$A$3390,L$1,'United Data'!$C$3:$C$3390,$A1287,'United Data'!$B$3:$B$3390,"&lt;&gt;Off-street")&gt;0,1,0)</f>
        <v>0</v>
      </c>
      <c r="M1287">
        <f>IF(COUNTIFS('United Data'!$A$3:$A$3390,M$1,'United Data'!$C$3:$C$3390,$A1287,'United Data'!$B$3:$B$3390,"&lt;&gt;Off-street")&gt;0,1,0)</f>
        <v>1</v>
      </c>
      <c r="N1287">
        <f>IF(COUNTIFS('United Data'!$A$3:$A$3390,N$1,'United Data'!$C$3:$C$3390,$A1287,'United Data'!$B$3:$B$3390,"&lt;&gt;Off-street")&gt;0,1,0)</f>
        <v>0</v>
      </c>
      <c r="O1287">
        <f>IF(COUNTIFS('United Data'!$A$3:$A$3390,O$1,'United Data'!$C$3:$C$3390,$A1287,'United Data'!$B$3:$B$3390,"&lt;&gt;Off-street")&gt;0,1,0)</f>
        <v>0</v>
      </c>
      <c r="P1287">
        <f>IF(COUNTIFS('United Data'!$A$3:$A$3390,P$1,'United Data'!$C$3:$C$3390,$A1287,'United Data'!$B$3:$B$3390,"&lt;&gt;Off-street")&gt;0,1,0)</f>
        <v>0</v>
      </c>
      <c r="Q1287">
        <f>IF(COUNTIFS('United Data'!$A$3:$A$3390,Q$1,'United Data'!$C$3:$C$3390,$A1287,'United Data'!$B$3:$B$3390,"&lt;&gt;Off-street")&gt;0,1,0)</f>
        <v>0</v>
      </c>
      <c r="R1287">
        <f>IF(COUNTIFS('United Data'!$A$3:$A$3390,R$1,'United Data'!$C$3:$C$3390,$A1287,'United Data'!$B$3:$B$3390,"&lt;&gt;Off-street")&gt;0,1,0)</f>
        <v>0</v>
      </c>
      <c r="S1287">
        <f t="shared" si="40"/>
        <v>1</v>
      </c>
      <c r="T1287">
        <f t="shared" si="41"/>
        <v>1</v>
      </c>
    </row>
    <row r="1288" spans="1:20" x14ac:dyDescent="0.2">
      <c r="A1288" t="s">
        <v>1525</v>
      </c>
      <c r="B1288">
        <f>IF(COUNTIFS('United Data'!$A$3:$A$3390,B$1,'United Data'!$C$3:$C$3390,$A1288,'United Data'!$B$3:$B$3390,"&lt;&gt;Off-street")&gt;0,1,0)</f>
        <v>0</v>
      </c>
      <c r="C1288">
        <f>IF(COUNTIFS('United Data'!$A$3:$A$3390,C$1,'United Data'!$C$3:$C$3390,$A1288,'United Data'!$B$3:$B$3390,"&lt;&gt;Off-street")&gt;0,1,0)</f>
        <v>0</v>
      </c>
      <c r="D1288">
        <f>IF(COUNTIFS('United Data'!$A$3:$A$3390,D$1,'United Data'!$C$3:$C$3390,$A1288,'United Data'!$B$3:$B$3390,"&lt;&gt;Off-street")&gt;0,1,0)</f>
        <v>0</v>
      </c>
      <c r="E1288">
        <f>IF(COUNTIFS('United Data'!$A$3:$A$3390,E$1,'United Data'!$C$3:$C$3390,$A1288,'United Data'!$B$3:$B$3390,"&lt;&gt;Off-street")&gt;0,1,0)</f>
        <v>0</v>
      </c>
      <c r="F1288">
        <f>IF(COUNTIFS('United Data'!$A$3:$A$3390,F$1,'United Data'!$C$3:$C$3390,$A1288,'United Data'!$B$3:$B$3390,"&lt;&gt;Off-street")&gt;0,1,0)</f>
        <v>0</v>
      </c>
      <c r="G1288">
        <f>IF(COUNTIFS('United Data'!$A$3:$A$3390,G$1,'United Data'!$C$3:$C$3390,$A1288,'United Data'!$B$3:$B$3390,"&lt;&gt;Off-street")&gt;0,1,0)</f>
        <v>0</v>
      </c>
      <c r="H1288">
        <f>IF(COUNTIFS('United Data'!$A$3:$A$3390,H$1,'United Data'!$C$3:$C$3390,$A1288,'United Data'!$B$3:$B$3390,"&lt;&gt;Off-street")&gt;0,1,0)</f>
        <v>0</v>
      </c>
      <c r="I1288">
        <f>IF(COUNTIFS('United Data'!$A$3:$A$3390,I$1,'United Data'!$C$3:$C$3390,$A1288,'United Data'!$B$3:$B$3390,"&lt;&gt;Off-street")&gt;0,1,0)</f>
        <v>0</v>
      </c>
      <c r="J1288">
        <f>IF(COUNTIFS('United Data'!$A$3:$A$3390,J$1,'United Data'!$C$3:$C$3390,$A1288,'United Data'!$B$3:$B$3390,"&lt;&gt;Off-street")&gt;0,1,0)</f>
        <v>0</v>
      </c>
      <c r="K1288">
        <f>IF(COUNTIFS('United Data'!$A$3:$A$3390,K$1,'United Data'!$C$3:$C$3390,$A1288,'United Data'!$B$3:$B$3390,"&lt;&gt;Off-street")&gt;0,1,0)</f>
        <v>0</v>
      </c>
      <c r="L1288">
        <f>IF(COUNTIFS('United Data'!$A$3:$A$3390,L$1,'United Data'!$C$3:$C$3390,$A1288,'United Data'!$B$3:$B$3390,"&lt;&gt;Off-street")&gt;0,1,0)</f>
        <v>0</v>
      </c>
      <c r="M1288">
        <f>IF(COUNTIFS('United Data'!$A$3:$A$3390,M$1,'United Data'!$C$3:$C$3390,$A1288,'United Data'!$B$3:$B$3390,"&lt;&gt;Off-street")&gt;0,1,0)</f>
        <v>1</v>
      </c>
      <c r="N1288">
        <f>IF(COUNTIFS('United Data'!$A$3:$A$3390,N$1,'United Data'!$C$3:$C$3390,$A1288,'United Data'!$B$3:$B$3390,"&lt;&gt;Off-street")&gt;0,1,0)</f>
        <v>0</v>
      </c>
      <c r="O1288">
        <f>IF(COUNTIFS('United Data'!$A$3:$A$3390,O$1,'United Data'!$C$3:$C$3390,$A1288,'United Data'!$B$3:$B$3390,"&lt;&gt;Off-street")&gt;0,1,0)</f>
        <v>0</v>
      </c>
      <c r="P1288">
        <f>IF(COUNTIFS('United Data'!$A$3:$A$3390,P$1,'United Data'!$C$3:$C$3390,$A1288,'United Data'!$B$3:$B$3390,"&lt;&gt;Off-street")&gt;0,1,0)</f>
        <v>0</v>
      </c>
      <c r="Q1288">
        <f>IF(COUNTIFS('United Data'!$A$3:$A$3390,Q$1,'United Data'!$C$3:$C$3390,$A1288,'United Data'!$B$3:$B$3390,"&lt;&gt;Off-street")&gt;0,1,0)</f>
        <v>0</v>
      </c>
      <c r="R1288">
        <f>IF(COUNTIFS('United Data'!$A$3:$A$3390,R$1,'United Data'!$C$3:$C$3390,$A1288,'United Data'!$B$3:$B$3390,"&lt;&gt;Off-street")&gt;0,1,0)</f>
        <v>0</v>
      </c>
      <c r="S1288">
        <f t="shared" si="40"/>
        <v>1</v>
      </c>
      <c r="T1288">
        <f t="shared" si="41"/>
        <v>1</v>
      </c>
    </row>
    <row r="1289" spans="1:20" x14ac:dyDescent="0.2">
      <c r="A1289" t="s">
        <v>1526</v>
      </c>
      <c r="B1289">
        <f>IF(COUNTIFS('United Data'!$A$3:$A$3390,B$1,'United Data'!$C$3:$C$3390,$A1289,'United Data'!$B$3:$B$3390,"&lt;&gt;Off-street")&gt;0,1,0)</f>
        <v>0</v>
      </c>
      <c r="C1289">
        <f>IF(COUNTIFS('United Data'!$A$3:$A$3390,C$1,'United Data'!$C$3:$C$3390,$A1289,'United Data'!$B$3:$B$3390,"&lt;&gt;Off-street")&gt;0,1,0)</f>
        <v>0</v>
      </c>
      <c r="D1289">
        <f>IF(COUNTIFS('United Data'!$A$3:$A$3390,D$1,'United Data'!$C$3:$C$3390,$A1289,'United Data'!$B$3:$B$3390,"&lt;&gt;Off-street")&gt;0,1,0)</f>
        <v>0</v>
      </c>
      <c r="E1289">
        <f>IF(COUNTIFS('United Data'!$A$3:$A$3390,E$1,'United Data'!$C$3:$C$3390,$A1289,'United Data'!$B$3:$B$3390,"&lt;&gt;Off-street")&gt;0,1,0)</f>
        <v>0</v>
      </c>
      <c r="F1289">
        <f>IF(COUNTIFS('United Data'!$A$3:$A$3390,F$1,'United Data'!$C$3:$C$3390,$A1289,'United Data'!$B$3:$B$3390,"&lt;&gt;Off-street")&gt;0,1,0)</f>
        <v>0</v>
      </c>
      <c r="G1289">
        <f>IF(COUNTIFS('United Data'!$A$3:$A$3390,G$1,'United Data'!$C$3:$C$3390,$A1289,'United Data'!$B$3:$B$3390,"&lt;&gt;Off-street")&gt;0,1,0)</f>
        <v>0</v>
      </c>
      <c r="H1289">
        <f>IF(COUNTIFS('United Data'!$A$3:$A$3390,H$1,'United Data'!$C$3:$C$3390,$A1289,'United Data'!$B$3:$B$3390,"&lt;&gt;Off-street")&gt;0,1,0)</f>
        <v>0</v>
      </c>
      <c r="I1289">
        <f>IF(COUNTIFS('United Data'!$A$3:$A$3390,I$1,'United Data'!$C$3:$C$3390,$A1289,'United Data'!$B$3:$B$3390,"&lt;&gt;Off-street")&gt;0,1,0)</f>
        <v>0</v>
      </c>
      <c r="J1289">
        <f>IF(COUNTIFS('United Data'!$A$3:$A$3390,J$1,'United Data'!$C$3:$C$3390,$A1289,'United Data'!$B$3:$B$3390,"&lt;&gt;Off-street")&gt;0,1,0)</f>
        <v>0</v>
      </c>
      <c r="K1289">
        <f>IF(COUNTIFS('United Data'!$A$3:$A$3390,K$1,'United Data'!$C$3:$C$3390,$A1289,'United Data'!$B$3:$B$3390,"&lt;&gt;Off-street")&gt;0,1,0)</f>
        <v>0</v>
      </c>
      <c r="L1289">
        <f>IF(COUNTIFS('United Data'!$A$3:$A$3390,L$1,'United Data'!$C$3:$C$3390,$A1289,'United Data'!$B$3:$B$3390,"&lt;&gt;Off-street")&gt;0,1,0)</f>
        <v>0</v>
      </c>
      <c r="M1289">
        <f>IF(COUNTIFS('United Data'!$A$3:$A$3390,M$1,'United Data'!$C$3:$C$3390,$A1289,'United Data'!$B$3:$B$3390,"&lt;&gt;Off-street")&gt;0,1,0)</f>
        <v>0</v>
      </c>
      <c r="N1289">
        <f>IF(COUNTIFS('United Data'!$A$3:$A$3390,N$1,'United Data'!$C$3:$C$3390,$A1289,'United Data'!$B$3:$B$3390,"&lt;&gt;Off-street")&gt;0,1,0)</f>
        <v>1</v>
      </c>
      <c r="O1289">
        <f>IF(COUNTIFS('United Data'!$A$3:$A$3390,O$1,'United Data'!$C$3:$C$3390,$A1289,'United Data'!$B$3:$B$3390,"&lt;&gt;Off-street")&gt;0,1,0)</f>
        <v>0</v>
      </c>
      <c r="P1289">
        <f>IF(COUNTIFS('United Data'!$A$3:$A$3390,P$1,'United Data'!$C$3:$C$3390,$A1289,'United Data'!$B$3:$B$3390,"&lt;&gt;Off-street")&gt;0,1,0)</f>
        <v>0</v>
      </c>
      <c r="Q1289">
        <f>IF(COUNTIFS('United Data'!$A$3:$A$3390,Q$1,'United Data'!$C$3:$C$3390,$A1289,'United Data'!$B$3:$B$3390,"&lt;&gt;Off-street")&gt;0,1,0)</f>
        <v>0</v>
      </c>
      <c r="R1289">
        <f>IF(COUNTIFS('United Data'!$A$3:$A$3390,R$1,'United Data'!$C$3:$C$3390,$A1289,'United Data'!$B$3:$B$3390,"&lt;&gt;Off-street")&gt;0,1,0)</f>
        <v>0</v>
      </c>
      <c r="S1289">
        <f t="shared" si="40"/>
        <v>1</v>
      </c>
      <c r="T1289">
        <f t="shared" si="41"/>
        <v>1</v>
      </c>
    </row>
    <row r="1290" spans="1:20" x14ac:dyDescent="0.2">
      <c r="A1290" t="s">
        <v>1527</v>
      </c>
      <c r="B1290">
        <f>IF(COUNTIFS('United Data'!$A$3:$A$3390,B$1,'United Data'!$C$3:$C$3390,$A1290,'United Data'!$B$3:$B$3390,"&lt;&gt;Off-street")&gt;0,1,0)</f>
        <v>0</v>
      </c>
      <c r="C1290">
        <f>IF(COUNTIFS('United Data'!$A$3:$A$3390,C$1,'United Data'!$C$3:$C$3390,$A1290,'United Data'!$B$3:$B$3390,"&lt;&gt;Off-street")&gt;0,1,0)</f>
        <v>0</v>
      </c>
      <c r="D1290">
        <f>IF(COUNTIFS('United Data'!$A$3:$A$3390,D$1,'United Data'!$C$3:$C$3390,$A1290,'United Data'!$B$3:$B$3390,"&lt;&gt;Off-street")&gt;0,1,0)</f>
        <v>0</v>
      </c>
      <c r="E1290">
        <f>IF(COUNTIFS('United Data'!$A$3:$A$3390,E$1,'United Data'!$C$3:$C$3390,$A1290,'United Data'!$B$3:$B$3390,"&lt;&gt;Off-street")&gt;0,1,0)</f>
        <v>0</v>
      </c>
      <c r="F1290">
        <f>IF(COUNTIFS('United Data'!$A$3:$A$3390,F$1,'United Data'!$C$3:$C$3390,$A1290,'United Data'!$B$3:$B$3390,"&lt;&gt;Off-street")&gt;0,1,0)</f>
        <v>0</v>
      </c>
      <c r="G1290">
        <f>IF(COUNTIFS('United Data'!$A$3:$A$3390,G$1,'United Data'!$C$3:$C$3390,$A1290,'United Data'!$B$3:$B$3390,"&lt;&gt;Off-street")&gt;0,1,0)</f>
        <v>0</v>
      </c>
      <c r="H1290">
        <f>IF(COUNTIFS('United Data'!$A$3:$A$3390,H$1,'United Data'!$C$3:$C$3390,$A1290,'United Data'!$B$3:$B$3390,"&lt;&gt;Off-street")&gt;0,1,0)</f>
        <v>0</v>
      </c>
      <c r="I1290">
        <f>IF(COUNTIFS('United Data'!$A$3:$A$3390,I$1,'United Data'!$C$3:$C$3390,$A1290,'United Data'!$B$3:$B$3390,"&lt;&gt;Off-street")&gt;0,1,0)</f>
        <v>0</v>
      </c>
      <c r="J1290">
        <f>IF(COUNTIFS('United Data'!$A$3:$A$3390,J$1,'United Data'!$C$3:$C$3390,$A1290,'United Data'!$B$3:$B$3390,"&lt;&gt;Off-street")&gt;0,1,0)</f>
        <v>0</v>
      </c>
      <c r="K1290">
        <f>IF(COUNTIFS('United Data'!$A$3:$A$3390,K$1,'United Data'!$C$3:$C$3390,$A1290,'United Data'!$B$3:$B$3390,"&lt;&gt;Off-street")&gt;0,1,0)</f>
        <v>0</v>
      </c>
      <c r="L1290">
        <f>IF(COUNTIFS('United Data'!$A$3:$A$3390,L$1,'United Data'!$C$3:$C$3390,$A1290,'United Data'!$B$3:$B$3390,"&lt;&gt;Off-street")&gt;0,1,0)</f>
        <v>0</v>
      </c>
      <c r="M1290">
        <f>IF(COUNTIFS('United Data'!$A$3:$A$3390,M$1,'United Data'!$C$3:$C$3390,$A1290,'United Data'!$B$3:$B$3390,"&lt;&gt;Off-street")&gt;0,1,0)</f>
        <v>0</v>
      </c>
      <c r="N1290">
        <f>IF(COUNTIFS('United Data'!$A$3:$A$3390,N$1,'United Data'!$C$3:$C$3390,$A1290,'United Data'!$B$3:$B$3390,"&lt;&gt;Off-street")&gt;0,1,0)</f>
        <v>1</v>
      </c>
      <c r="O1290">
        <f>IF(COUNTIFS('United Data'!$A$3:$A$3390,O$1,'United Data'!$C$3:$C$3390,$A1290,'United Data'!$B$3:$B$3390,"&lt;&gt;Off-street")&gt;0,1,0)</f>
        <v>0</v>
      </c>
      <c r="P1290">
        <f>IF(COUNTIFS('United Data'!$A$3:$A$3390,P$1,'United Data'!$C$3:$C$3390,$A1290,'United Data'!$B$3:$B$3390,"&lt;&gt;Off-street")&gt;0,1,0)</f>
        <v>0</v>
      </c>
      <c r="Q1290">
        <f>IF(COUNTIFS('United Data'!$A$3:$A$3390,Q$1,'United Data'!$C$3:$C$3390,$A1290,'United Data'!$B$3:$B$3390,"&lt;&gt;Off-street")&gt;0,1,0)</f>
        <v>0</v>
      </c>
      <c r="R1290">
        <f>IF(COUNTIFS('United Data'!$A$3:$A$3390,R$1,'United Data'!$C$3:$C$3390,$A1290,'United Data'!$B$3:$B$3390,"&lt;&gt;Off-street")&gt;0,1,0)</f>
        <v>0</v>
      </c>
      <c r="S1290">
        <f t="shared" si="40"/>
        <v>1</v>
      </c>
      <c r="T1290">
        <f t="shared" si="41"/>
        <v>1</v>
      </c>
    </row>
    <row r="1291" spans="1:20" x14ac:dyDescent="0.2">
      <c r="A1291" t="s">
        <v>1528</v>
      </c>
      <c r="B1291">
        <f>IF(COUNTIFS('United Data'!$A$3:$A$3390,B$1,'United Data'!$C$3:$C$3390,$A1291,'United Data'!$B$3:$B$3390,"&lt;&gt;Off-street")&gt;0,1,0)</f>
        <v>0</v>
      </c>
      <c r="C1291">
        <f>IF(COUNTIFS('United Data'!$A$3:$A$3390,C$1,'United Data'!$C$3:$C$3390,$A1291,'United Data'!$B$3:$B$3390,"&lt;&gt;Off-street")&gt;0,1,0)</f>
        <v>0</v>
      </c>
      <c r="D1291">
        <f>IF(COUNTIFS('United Data'!$A$3:$A$3390,D$1,'United Data'!$C$3:$C$3390,$A1291,'United Data'!$B$3:$B$3390,"&lt;&gt;Off-street")&gt;0,1,0)</f>
        <v>0</v>
      </c>
      <c r="E1291">
        <f>IF(COUNTIFS('United Data'!$A$3:$A$3390,E$1,'United Data'!$C$3:$C$3390,$A1291,'United Data'!$B$3:$B$3390,"&lt;&gt;Off-street")&gt;0,1,0)</f>
        <v>0</v>
      </c>
      <c r="F1291">
        <f>IF(COUNTIFS('United Data'!$A$3:$A$3390,F$1,'United Data'!$C$3:$C$3390,$A1291,'United Data'!$B$3:$B$3390,"&lt;&gt;Off-street")&gt;0,1,0)</f>
        <v>0</v>
      </c>
      <c r="G1291">
        <f>IF(COUNTIFS('United Data'!$A$3:$A$3390,G$1,'United Data'!$C$3:$C$3390,$A1291,'United Data'!$B$3:$B$3390,"&lt;&gt;Off-street")&gt;0,1,0)</f>
        <v>0</v>
      </c>
      <c r="H1291">
        <f>IF(COUNTIFS('United Data'!$A$3:$A$3390,H$1,'United Data'!$C$3:$C$3390,$A1291,'United Data'!$B$3:$B$3390,"&lt;&gt;Off-street")&gt;0,1,0)</f>
        <v>0</v>
      </c>
      <c r="I1291">
        <f>IF(COUNTIFS('United Data'!$A$3:$A$3390,I$1,'United Data'!$C$3:$C$3390,$A1291,'United Data'!$B$3:$B$3390,"&lt;&gt;Off-street")&gt;0,1,0)</f>
        <v>0</v>
      </c>
      <c r="J1291">
        <f>IF(COUNTIFS('United Data'!$A$3:$A$3390,J$1,'United Data'!$C$3:$C$3390,$A1291,'United Data'!$B$3:$B$3390,"&lt;&gt;Off-street")&gt;0,1,0)</f>
        <v>0</v>
      </c>
      <c r="K1291">
        <f>IF(COUNTIFS('United Data'!$A$3:$A$3390,K$1,'United Data'!$C$3:$C$3390,$A1291,'United Data'!$B$3:$B$3390,"&lt;&gt;Off-street")&gt;0,1,0)</f>
        <v>0</v>
      </c>
      <c r="L1291">
        <f>IF(COUNTIFS('United Data'!$A$3:$A$3390,L$1,'United Data'!$C$3:$C$3390,$A1291,'United Data'!$B$3:$B$3390,"&lt;&gt;Off-street")&gt;0,1,0)</f>
        <v>0</v>
      </c>
      <c r="M1291">
        <f>IF(COUNTIFS('United Data'!$A$3:$A$3390,M$1,'United Data'!$C$3:$C$3390,$A1291,'United Data'!$B$3:$B$3390,"&lt;&gt;Off-street")&gt;0,1,0)</f>
        <v>0</v>
      </c>
      <c r="N1291">
        <f>IF(COUNTIFS('United Data'!$A$3:$A$3390,N$1,'United Data'!$C$3:$C$3390,$A1291,'United Data'!$B$3:$B$3390,"&lt;&gt;Off-street")&gt;0,1,0)</f>
        <v>1</v>
      </c>
      <c r="O1291">
        <f>IF(COUNTIFS('United Data'!$A$3:$A$3390,O$1,'United Data'!$C$3:$C$3390,$A1291,'United Data'!$B$3:$B$3390,"&lt;&gt;Off-street")&gt;0,1,0)</f>
        <v>1</v>
      </c>
      <c r="P1291">
        <f>IF(COUNTIFS('United Data'!$A$3:$A$3390,P$1,'United Data'!$C$3:$C$3390,$A1291,'United Data'!$B$3:$B$3390,"&lt;&gt;Off-street")&gt;0,1,0)</f>
        <v>0</v>
      </c>
      <c r="Q1291">
        <f>IF(COUNTIFS('United Data'!$A$3:$A$3390,Q$1,'United Data'!$C$3:$C$3390,$A1291,'United Data'!$B$3:$B$3390,"&lt;&gt;Off-street")&gt;0,1,0)</f>
        <v>0</v>
      </c>
      <c r="R1291">
        <f>IF(COUNTIFS('United Data'!$A$3:$A$3390,R$1,'United Data'!$C$3:$C$3390,$A1291,'United Data'!$B$3:$B$3390,"&lt;&gt;Off-street")&gt;0,1,0)</f>
        <v>0</v>
      </c>
      <c r="S1291">
        <f t="shared" si="40"/>
        <v>2</v>
      </c>
      <c r="T1291">
        <f t="shared" si="41"/>
        <v>1</v>
      </c>
    </row>
    <row r="1292" spans="1:20" x14ac:dyDescent="0.2">
      <c r="A1292" t="s">
        <v>1529</v>
      </c>
      <c r="B1292">
        <f>IF(COUNTIFS('United Data'!$A$3:$A$3390,B$1,'United Data'!$C$3:$C$3390,$A1292,'United Data'!$B$3:$B$3390,"&lt;&gt;Off-street")&gt;0,1,0)</f>
        <v>0</v>
      </c>
      <c r="C1292">
        <f>IF(COUNTIFS('United Data'!$A$3:$A$3390,C$1,'United Data'!$C$3:$C$3390,$A1292,'United Data'!$B$3:$B$3390,"&lt;&gt;Off-street")&gt;0,1,0)</f>
        <v>0</v>
      </c>
      <c r="D1292">
        <f>IF(COUNTIFS('United Data'!$A$3:$A$3390,D$1,'United Data'!$C$3:$C$3390,$A1292,'United Data'!$B$3:$B$3390,"&lt;&gt;Off-street")&gt;0,1,0)</f>
        <v>0</v>
      </c>
      <c r="E1292">
        <f>IF(COUNTIFS('United Data'!$A$3:$A$3390,E$1,'United Data'!$C$3:$C$3390,$A1292,'United Data'!$B$3:$B$3390,"&lt;&gt;Off-street")&gt;0,1,0)</f>
        <v>0</v>
      </c>
      <c r="F1292">
        <f>IF(COUNTIFS('United Data'!$A$3:$A$3390,F$1,'United Data'!$C$3:$C$3390,$A1292,'United Data'!$B$3:$B$3390,"&lt;&gt;Off-street")&gt;0,1,0)</f>
        <v>0</v>
      </c>
      <c r="G1292">
        <f>IF(COUNTIFS('United Data'!$A$3:$A$3390,G$1,'United Data'!$C$3:$C$3390,$A1292,'United Data'!$B$3:$B$3390,"&lt;&gt;Off-street")&gt;0,1,0)</f>
        <v>0</v>
      </c>
      <c r="H1292">
        <f>IF(COUNTIFS('United Data'!$A$3:$A$3390,H$1,'United Data'!$C$3:$C$3390,$A1292,'United Data'!$B$3:$B$3390,"&lt;&gt;Off-street")&gt;0,1,0)</f>
        <v>0</v>
      </c>
      <c r="I1292">
        <f>IF(COUNTIFS('United Data'!$A$3:$A$3390,I$1,'United Data'!$C$3:$C$3390,$A1292,'United Data'!$B$3:$B$3390,"&lt;&gt;Off-street")&gt;0,1,0)</f>
        <v>0</v>
      </c>
      <c r="J1292">
        <f>IF(COUNTIFS('United Data'!$A$3:$A$3390,J$1,'United Data'!$C$3:$C$3390,$A1292,'United Data'!$B$3:$B$3390,"&lt;&gt;Off-street")&gt;0,1,0)</f>
        <v>0</v>
      </c>
      <c r="K1292">
        <f>IF(COUNTIFS('United Data'!$A$3:$A$3390,K$1,'United Data'!$C$3:$C$3390,$A1292,'United Data'!$B$3:$B$3390,"&lt;&gt;Off-street")&gt;0,1,0)</f>
        <v>0</v>
      </c>
      <c r="L1292">
        <f>IF(COUNTIFS('United Data'!$A$3:$A$3390,L$1,'United Data'!$C$3:$C$3390,$A1292,'United Data'!$B$3:$B$3390,"&lt;&gt;Off-street")&gt;0,1,0)</f>
        <v>0</v>
      </c>
      <c r="M1292">
        <f>IF(COUNTIFS('United Data'!$A$3:$A$3390,M$1,'United Data'!$C$3:$C$3390,$A1292,'United Data'!$B$3:$B$3390,"&lt;&gt;Off-street")&gt;0,1,0)</f>
        <v>0</v>
      </c>
      <c r="N1292">
        <f>IF(COUNTIFS('United Data'!$A$3:$A$3390,N$1,'United Data'!$C$3:$C$3390,$A1292,'United Data'!$B$3:$B$3390,"&lt;&gt;Off-street")&gt;0,1,0)</f>
        <v>1</v>
      </c>
      <c r="O1292">
        <f>IF(COUNTIFS('United Data'!$A$3:$A$3390,O$1,'United Data'!$C$3:$C$3390,$A1292,'United Data'!$B$3:$B$3390,"&lt;&gt;Off-street")&gt;0,1,0)</f>
        <v>0</v>
      </c>
      <c r="P1292">
        <f>IF(COUNTIFS('United Data'!$A$3:$A$3390,P$1,'United Data'!$C$3:$C$3390,$A1292,'United Data'!$B$3:$B$3390,"&lt;&gt;Off-street")&gt;0,1,0)</f>
        <v>1</v>
      </c>
      <c r="Q1292">
        <f>IF(COUNTIFS('United Data'!$A$3:$A$3390,Q$1,'United Data'!$C$3:$C$3390,$A1292,'United Data'!$B$3:$B$3390,"&lt;&gt;Off-street")&gt;0,1,0)</f>
        <v>0</v>
      </c>
      <c r="R1292">
        <f>IF(COUNTIFS('United Data'!$A$3:$A$3390,R$1,'United Data'!$C$3:$C$3390,$A1292,'United Data'!$B$3:$B$3390,"&lt;&gt;Off-street")&gt;0,1,0)</f>
        <v>0</v>
      </c>
      <c r="S1292">
        <f t="shared" si="40"/>
        <v>2</v>
      </c>
      <c r="T1292">
        <f t="shared" si="41"/>
        <v>2</v>
      </c>
    </row>
    <row r="1293" spans="1:20" x14ac:dyDescent="0.2">
      <c r="A1293" t="s">
        <v>1530</v>
      </c>
      <c r="B1293">
        <f>IF(COUNTIFS('United Data'!$A$3:$A$3390,B$1,'United Data'!$C$3:$C$3390,$A1293,'United Data'!$B$3:$B$3390,"&lt;&gt;Off-street")&gt;0,1,0)</f>
        <v>0</v>
      </c>
      <c r="C1293">
        <f>IF(COUNTIFS('United Data'!$A$3:$A$3390,C$1,'United Data'!$C$3:$C$3390,$A1293,'United Data'!$B$3:$B$3390,"&lt;&gt;Off-street")&gt;0,1,0)</f>
        <v>0</v>
      </c>
      <c r="D1293">
        <f>IF(COUNTIFS('United Data'!$A$3:$A$3390,D$1,'United Data'!$C$3:$C$3390,$A1293,'United Data'!$B$3:$B$3390,"&lt;&gt;Off-street")&gt;0,1,0)</f>
        <v>0</v>
      </c>
      <c r="E1293">
        <f>IF(COUNTIFS('United Data'!$A$3:$A$3390,E$1,'United Data'!$C$3:$C$3390,$A1293,'United Data'!$B$3:$B$3390,"&lt;&gt;Off-street")&gt;0,1,0)</f>
        <v>0</v>
      </c>
      <c r="F1293">
        <f>IF(COUNTIFS('United Data'!$A$3:$A$3390,F$1,'United Data'!$C$3:$C$3390,$A1293,'United Data'!$B$3:$B$3390,"&lt;&gt;Off-street")&gt;0,1,0)</f>
        <v>0</v>
      </c>
      <c r="G1293">
        <f>IF(COUNTIFS('United Data'!$A$3:$A$3390,G$1,'United Data'!$C$3:$C$3390,$A1293,'United Data'!$B$3:$B$3390,"&lt;&gt;Off-street")&gt;0,1,0)</f>
        <v>0</v>
      </c>
      <c r="H1293">
        <f>IF(COUNTIFS('United Data'!$A$3:$A$3390,H$1,'United Data'!$C$3:$C$3390,$A1293,'United Data'!$B$3:$B$3390,"&lt;&gt;Off-street")&gt;0,1,0)</f>
        <v>0</v>
      </c>
      <c r="I1293">
        <f>IF(COUNTIFS('United Data'!$A$3:$A$3390,I$1,'United Data'!$C$3:$C$3390,$A1293,'United Data'!$B$3:$B$3390,"&lt;&gt;Off-street")&gt;0,1,0)</f>
        <v>0</v>
      </c>
      <c r="J1293">
        <f>IF(COUNTIFS('United Data'!$A$3:$A$3390,J$1,'United Data'!$C$3:$C$3390,$A1293,'United Data'!$B$3:$B$3390,"&lt;&gt;Off-street")&gt;0,1,0)</f>
        <v>0</v>
      </c>
      <c r="K1293">
        <f>IF(COUNTIFS('United Data'!$A$3:$A$3390,K$1,'United Data'!$C$3:$C$3390,$A1293,'United Data'!$B$3:$B$3390,"&lt;&gt;Off-street")&gt;0,1,0)</f>
        <v>0</v>
      </c>
      <c r="L1293">
        <f>IF(COUNTIFS('United Data'!$A$3:$A$3390,L$1,'United Data'!$C$3:$C$3390,$A1293,'United Data'!$B$3:$B$3390,"&lt;&gt;Off-street")&gt;0,1,0)</f>
        <v>0</v>
      </c>
      <c r="M1293">
        <f>IF(COUNTIFS('United Data'!$A$3:$A$3390,M$1,'United Data'!$C$3:$C$3390,$A1293,'United Data'!$B$3:$B$3390,"&lt;&gt;Off-street")&gt;0,1,0)</f>
        <v>0</v>
      </c>
      <c r="N1293">
        <f>IF(COUNTIFS('United Data'!$A$3:$A$3390,N$1,'United Data'!$C$3:$C$3390,$A1293,'United Data'!$B$3:$B$3390,"&lt;&gt;Off-street")&gt;0,1,0)</f>
        <v>1</v>
      </c>
      <c r="O1293">
        <f>IF(COUNTIFS('United Data'!$A$3:$A$3390,O$1,'United Data'!$C$3:$C$3390,$A1293,'United Data'!$B$3:$B$3390,"&lt;&gt;Off-street")&gt;0,1,0)</f>
        <v>0</v>
      </c>
      <c r="P1293">
        <f>IF(COUNTIFS('United Data'!$A$3:$A$3390,P$1,'United Data'!$C$3:$C$3390,$A1293,'United Data'!$B$3:$B$3390,"&lt;&gt;Off-street")&gt;0,1,0)</f>
        <v>0</v>
      </c>
      <c r="Q1293">
        <f>IF(COUNTIFS('United Data'!$A$3:$A$3390,Q$1,'United Data'!$C$3:$C$3390,$A1293,'United Data'!$B$3:$B$3390,"&lt;&gt;Off-street")&gt;0,1,0)</f>
        <v>0</v>
      </c>
      <c r="R1293">
        <f>IF(COUNTIFS('United Data'!$A$3:$A$3390,R$1,'United Data'!$C$3:$C$3390,$A1293,'United Data'!$B$3:$B$3390,"&lt;&gt;Off-street")&gt;0,1,0)</f>
        <v>0</v>
      </c>
      <c r="S1293">
        <f t="shared" si="40"/>
        <v>1</v>
      </c>
      <c r="T1293">
        <f t="shared" si="41"/>
        <v>1</v>
      </c>
    </row>
    <row r="1294" spans="1:20" x14ac:dyDescent="0.2">
      <c r="A1294" t="s">
        <v>1531</v>
      </c>
      <c r="B1294">
        <f>IF(COUNTIFS('United Data'!$A$3:$A$3390,B$1,'United Data'!$C$3:$C$3390,$A1294,'United Data'!$B$3:$B$3390,"&lt;&gt;Off-street")&gt;0,1,0)</f>
        <v>0</v>
      </c>
      <c r="C1294">
        <f>IF(COUNTIFS('United Data'!$A$3:$A$3390,C$1,'United Data'!$C$3:$C$3390,$A1294,'United Data'!$B$3:$B$3390,"&lt;&gt;Off-street")&gt;0,1,0)</f>
        <v>0</v>
      </c>
      <c r="D1294">
        <f>IF(COUNTIFS('United Data'!$A$3:$A$3390,D$1,'United Data'!$C$3:$C$3390,$A1294,'United Data'!$B$3:$B$3390,"&lt;&gt;Off-street")&gt;0,1,0)</f>
        <v>0</v>
      </c>
      <c r="E1294">
        <f>IF(COUNTIFS('United Data'!$A$3:$A$3390,E$1,'United Data'!$C$3:$C$3390,$A1294,'United Data'!$B$3:$B$3390,"&lt;&gt;Off-street")&gt;0,1,0)</f>
        <v>0</v>
      </c>
      <c r="F1294">
        <f>IF(COUNTIFS('United Data'!$A$3:$A$3390,F$1,'United Data'!$C$3:$C$3390,$A1294,'United Data'!$B$3:$B$3390,"&lt;&gt;Off-street")&gt;0,1,0)</f>
        <v>0</v>
      </c>
      <c r="G1294">
        <f>IF(COUNTIFS('United Data'!$A$3:$A$3390,G$1,'United Data'!$C$3:$C$3390,$A1294,'United Data'!$B$3:$B$3390,"&lt;&gt;Off-street")&gt;0,1,0)</f>
        <v>0</v>
      </c>
      <c r="H1294">
        <f>IF(COUNTIFS('United Data'!$A$3:$A$3390,H$1,'United Data'!$C$3:$C$3390,$A1294,'United Data'!$B$3:$B$3390,"&lt;&gt;Off-street")&gt;0,1,0)</f>
        <v>0</v>
      </c>
      <c r="I1294">
        <f>IF(COUNTIFS('United Data'!$A$3:$A$3390,I$1,'United Data'!$C$3:$C$3390,$A1294,'United Data'!$B$3:$B$3390,"&lt;&gt;Off-street")&gt;0,1,0)</f>
        <v>0</v>
      </c>
      <c r="J1294">
        <f>IF(COUNTIFS('United Data'!$A$3:$A$3390,J$1,'United Data'!$C$3:$C$3390,$A1294,'United Data'!$B$3:$B$3390,"&lt;&gt;Off-street")&gt;0,1,0)</f>
        <v>0</v>
      </c>
      <c r="K1294">
        <f>IF(COUNTIFS('United Data'!$A$3:$A$3390,K$1,'United Data'!$C$3:$C$3390,$A1294,'United Data'!$B$3:$B$3390,"&lt;&gt;Off-street")&gt;0,1,0)</f>
        <v>0</v>
      </c>
      <c r="L1294">
        <f>IF(COUNTIFS('United Data'!$A$3:$A$3390,L$1,'United Data'!$C$3:$C$3390,$A1294,'United Data'!$B$3:$B$3390,"&lt;&gt;Off-street")&gt;0,1,0)</f>
        <v>0</v>
      </c>
      <c r="M1294">
        <f>IF(COUNTIFS('United Data'!$A$3:$A$3390,M$1,'United Data'!$C$3:$C$3390,$A1294,'United Data'!$B$3:$B$3390,"&lt;&gt;Off-street")&gt;0,1,0)</f>
        <v>0</v>
      </c>
      <c r="N1294">
        <f>IF(COUNTIFS('United Data'!$A$3:$A$3390,N$1,'United Data'!$C$3:$C$3390,$A1294,'United Data'!$B$3:$B$3390,"&lt;&gt;Off-street")&gt;0,1,0)</f>
        <v>0</v>
      </c>
      <c r="O1294">
        <f>IF(COUNTIFS('United Data'!$A$3:$A$3390,O$1,'United Data'!$C$3:$C$3390,$A1294,'United Data'!$B$3:$B$3390,"&lt;&gt;Off-street")&gt;0,1,0)</f>
        <v>1</v>
      </c>
      <c r="P1294">
        <f>IF(COUNTIFS('United Data'!$A$3:$A$3390,P$1,'United Data'!$C$3:$C$3390,$A1294,'United Data'!$B$3:$B$3390,"&lt;&gt;Off-street")&gt;0,1,0)</f>
        <v>0</v>
      </c>
      <c r="Q1294">
        <f>IF(COUNTIFS('United Data'!$A$3:$A$3390,Q$1,'United Data'!$C$3:$C$3390,$A1294,'United Data'!$B$3:$B$3390,"&lt;&gt;Off-street")&gt;0,1,0)</f>
        <v>0</v>
      </c>
      <c r="R1294">
        <f>IF(COUNTIFS('United Data'!$A$3:$A$3390,R$1,'United Data'!$C$3:$C$3390,$A1294,'United Data'!$B$3:$B$3390,"&lt;&gt;Off-street")&gt;0,1,0)</f>
        <v>0</v>
      </c>
      <c r="S1294">
        <f t="shared" si="40"/>
        <v>1</v>
      </c>
      <c r="T1294">
        <f t="shared" si="41"/>
        <v>1</v>
      </c>
    </row>
    <row r="1295" spans="1:20" x14ac:dyDescent="0.2">
      <c r="A1295" t="s">
        <v>1532</v>
      </c>
      <c r="B1295">
        <f>IF(COUNTIFS('United Data'!$A$3:$A$3390,B$1,'United Data'!$C$3:$C$3390,$A1295,'United Data'!$B$3:$B$3390,"&lt;&gt;Off-street")&gt;0,1,0)</f>
        <v>0</v>
      </c>
      <c r="C1295">
        <f>IF(COUNTIFS('United Data'!$A$3:$A$3390,C$1,'United Data'!$C$3:$C$3390,$A1295,'United Data'!$B$3:$B$3390,"&lt;&gt;Off-street")&gt;0,1,0)</f>
        <v>0</v>
      </c>
      <c r="D1295">
        <f>IF(COUNTIFS('United Data'!$A$3:$A$3390,D$1,'United Data'!$C$3:$C$3390,$A1295,'United Data'!$B$3:$B$3390,"&lt;&gt;Off-street")&gt;0,1,0)</f>
        <v>0</v>
      </c>
      <c r="E1295">
        <f>IF(COUNTIFS('United Data'!$A$3:$A$3390,E$1,'United Data'!$C$3:$C$3390,$A1295,'United Data'!$B$3:$B$3390,"&lt;&gt;Off-street")&gt;0,1,0)</f>
        <v>0</v>
      </c>
      <c r="F1295">
        <f>IF(COUNTIFS('United Data'!$A$3:$A$3390,F$1,'United Data'!$C$3:$C$3390,$A1295,'United Data'!$B$3:$B$3390,"&lt;&gt;Off-street")&gt;0,1,0)</f>
        <v>0</v>
      </c>
      <c r="G1295">
        <f>IF(COUNTIFS('United Data'!$A$3:$A$3390,G$1,'United Data'!$C$3:$C$3390,$A1295,'United Data'!$B$3:$B$3390,"&lt;&gt;Off-street")&gt;0,1,0)</f>
        <v>0</v>
      </c>
      <c r="H1295">
        <f>IF(COUNTIFS('United Data'!$A$3:$A$3390,H$1,'United Data'!$C$3:$C$3390,$A1295,'United Data'!$B$3:$B$3390,"&lt;&gt;Off-street")&gt;0,1,0)</f>
        <v>0</v>
      </c>
      <c r="I1295">
        <f>IF(COUNTIFS('United Data'!$A$3:$A$3390,I$1,'United Data'!$C$3:$C$3390,$A1295,'United Data'!$B$3:$B$3390,"&lt;&gt;Off-street")&gt;0,1,0)</f>
        <v>0</v>
      </c>
      <c r="J1295">
        <f>IF(COUNTIFS('United Data'!$A$3:$A$3390,J$1,'United Data'!$C$3:$C$3390,$A1295,'United Data'!$B$3:$B$3390,"&lt;&gt;Off-street")&gt;0,1,0)</f>
        <v>0</v>
      </c>
      <c r="K1295">
        <f>IF(COUNTIFS('United Data'!$A$3:$A$3390,K$1,'United Data'!$C$3:$C$3390,$A1295,'United Data'!$B$3:$B$3390,"&lt;&gt;Off-street")&gt;0,1,0)</f>
        <v>0</v>
      </c>
      <c r="L1295">
        <f>IF(COUNTIFS('United Data'!$A$3:$A$3390,L$1,'United Data'!$C$3:$C$3390,$A1295,'United Data'!$B$3:$B$3390,"&lt;&gt;Off-street")&gt;0,1,0)</f>
        <v>0</v>
      </c>
      <c r="M1295">
        <f>IF(COUNTIFS('United Data'!$A$3:$A$3390,M$1,'United Data'!$C$3:$C$3390,$A1295,'United Data'!$B$3:$B$3390,"&lt;&gt;Off-street")&gt;0,1,0)</f>
        <v>0</v>
      </c>
      <c r="N1295">
        <f>IF(COUNTIFS('United Data'!$A$3:$A$3390,N$1,'United Data'!$C$3:$C$3390,$A1295,'United Data'!$B$3:$B$3390,"&lt;&gt;Off-street")&gt;0,1,0)</f>
        <v>0</v>
      </c>
      <c r="O1295">
        <f>IF(COUNTIFS('United Data'!$A$3:$A$3390,O$1,'United Data'!$C$3:$C$3390,$A1295,'United Data'!$B$3:$B$3390,"&lt;&gt;Off-street")&gt;0,1,0)</f>
        <v>1</v>
      </c>
      <c r="P1295">
        <f>IF(COUNTIFS('United Data'!$A$3:$A$3390,P$1,'United Data'!$C$3:$C$3390,$A1295,'United Data'!$B$3:$B$3390,"&lt;&gt;Off-street")&gt;0,1,0)</f>
        <v>0</v>
      </c>
      <c r="Q1295">
        <f>IF(COUNTIFS('United Data'!$A$3:$A$3390,Q$1,'United Data'!$C$3:$C$3390,$A1295,'United Data'!$B$3:$B$3390,"&lt;&gt;Off-street")&gt;0,1,0)</f>
        <v>0</v>
      </c>
      <c r="R1295">
        <f>IF(COUNTIFS('United Data'!$A$3:$A$3390,R$1,'United Data'!$C$3:$C$3390,$A1295,'United Data'!$B$3:$B$3390,"&lt;&gt;Off-street")&gt;0,1,0)</f>
        <v>0</v>
      </c>
      <c r="S1295">
        <f t="shared" si="40"/>
        <v>1</v>
      </c>
      <c r="T1295">
        <f t="shared" si="41"/>
        <v>1</v>
      </c>
    </row>
    <row r="1296" spans="1:20" x14ac:dyDescent="0.2">
      <c r="A1296" t="s">
        <v>1533</v>
      </c>
      <c r="B1296">
        <f>IF(COUNTIFS('United Data'!$A$3:$A$3390,B$1,'United Data'!$C$3:$C$3390,$A1296,'United Data'!$B$3:$B$3390,"&lt;&gt;Off-street")&gt;0,1,0)</f>
        <v>0</v>
      </c>
      <c r="C1296">
        <f>IF(COUNTIFS('United Data'!$A$3:$A$3390,C$1,'United Data'!$C$3:$C$3390,$A1296,'United Data'!$B$3:$B$3390,"&lt;&gt;Off-street")&gt;0,1,0)</f>
        <v>0</v>
      </c>
      <c r="D1296">
        <f>IF(COUNTIFS('United Data'!$A$3:$A$3390,D$1,'United Data'!$C$3:$C$3390,$A1296,'United Data'!$B$3:$B$3390,"&lt;&gt;Off-street")&gt;0,1,0)</f>
        <v>0</v>
      </c>
      <c r="E1296">
        <f>IF(COUNTIFS('United Data'!$A$3:$A$3390,E$1,'United Data'!$C$3:$C$3390,$A1296,'United Data'!$B$3:$B$3390,"&lt;&gt;Off-street")&gt;0,1,0)</f>
        <v>0</v>
      </c>
      <c r="F1296">
        <f>IF(COUNTIFS('United Data'!$A$3:$A$3390,F$1,'United Data'!$C$3:$C$3390,$A1296,'United Data'!$B$3:$B$3390,"&lt;&gt;Off-street")&gt;0,1,0)</f>
        <v>0</v>
      </c>
      <c r="G1296">
        <f>IF(COUNTIFS('United Data'!$A$3:$A$3390,G$1,'United Data'!$C$3:$C$3390,$A1296,'United Data'!$B$3:$B$3390,"&lt;&gt;Off-street")&gt;0,1,0)</f>
        <v>0</v>
      </c>
      <c r="H1296">
        <f>IF(COUNTIFS('United Data'!$A$3:$A$3390,H$1,'United Data'!$C$3:$C$3390,$A1296,'United Data'!$B$3:$B$3390,"&lt;&gt;Off-street")&gt;0,1,0)</f>
        <v>0</v>
      </c>
      <c r="I1296">
        <f>IF(COUNTIFS('United Data'!$A$3:$A$3390,I$1,'United Data'!$C$3:$C$3390,$A1296,'United Data'!$B$3:$B$3390,"&lt;&gt;Off-street")&gt;0,1,0)</f>
        <v>0</v>
      </c>
      <c r="J1296">
        <f>IF(COUNTIFS('United Data'!$A$3:$A$3390,J$1,'United Data'!$C$3:$C$3390,$A1296,'United Data'!$B$3:$B$3390,"&lt;&gt;Off-street")&gt;0,1,0)</f>
        <v>0</v>
      </c>
      <c r="K1296">
        <f>IF(COUNTIFS('United Data'!$A$3:$A$3390,K$1,'United Data'!$C$3:$C$3390,$A1296,'United Data'!$B$3:$B$3390,"&lt;&gt;Off-street")&gt;0,1,0)</f>
        <v>0</v>
      </c>
      <c r="L1296">
        <f>IF(COUNTIFS('United Data'!$A$3:$A$3390,L$1,'United Data'!$C$3:$C$3390,$A1296,'United Data'!$B$3:$B$3390,"&lt;&gt;Off-street")&gt;0,1,0)</f>
        <v>0</v>
      </c>
      <c r="M1296">
        <f>IF(COUNTIFS('United Data'!$A$3:$A$3390,M$1,'United Data'!$C$3:$C$3390,$A1296,'United Data'!$B$3:$B$3390,"&lt;&gt;Off-street")&gt;0,1,0)</f>
        <v>0</v>
      </c>
      <c r="N1296">
        <f>IF(COUNTIFS('United Data'!$A$3:$A$3390,N$1,'United Data'!$C$3:$C$3390,$A1296,'United Data'!$B$3:$B$3390,"&lt;&gt;Off-street")&gt;0,1,0)</f>
        <v>0</v>
      </c>
      <c r="O1296">
        <f>IF(COUNTIFS('United Data'!$A$3:$A$3390,O$1,'United Data'!$C$3:$C$3390,$A1296,'United Data'!$B$3:$B$3390,"&lt;&gt;Off-street")&gt;0,1,0)</f>
        <v>1</v>
      </c>
      <c r="P1296">
        <f>IF(COUNTIFS('United Data'!$A$3:$A$3390,P$1,'United Data'!$C$3:$C$3390,$A1296,'United Data'!$B$3:$B$3390,"&lt;&gt;Off-street")&gt;0,1,0)</f>
        <v>0</v>
      </c>
      <c r="Q1296">
        <f>IF(COUNTIFS('United Data'!$A$3:$A$3390,Q$1,'United Data'!$C$3:$C$3390,$A1296,'United Data'!$B$3:$B$3390,"&lt;&gt;Off-street")&gt;0,1,0)</f>
        <v>0</v>
      </c>
      <c r="R1296">
        <f>IF(COUNTIFS('United Data'!$A$3:$A$3390,R$1,'United Data'!$C$3:$C$3390,$A1296,'United Data'!$B$3:$B$3390,"&lt;&gt;Off-street")&gt;0,1,0)</f>
        <v>0</v>
      </c>
      <c r="S1296">
        <f t="shared" si="40"/>
        <v>1</v>
      </c>
      <c r="T1296">
        <f t="shared" si="41"/>
        <v>1</v>
      </c>
    </row>
    <row r="1297" spans="1:20" x14ac:dyDescent="0.2">
      <c r="A1297" t="s">
        <v>1534</v>
      </c>
      <c r="B1297">
        <f>IF(COUNTIFS('United Data'!$A$3:$A$3390,B$1,'United Data'!$C$3:$C$3390,$A1297,'United Data'!$B$3:$B$3390,"&lt;&gt;Off-street")&gt;0,1,0)</f>
        <v>0</v>
      </c>
      <c r="C1297">
        <f>IF(COUNTIFS('United Data'!$A$3:$A$3390,C$1,'United Data'!$C$3:$C$3390,$A1297,'United Data'!$B$3:$B$3390,"&lt;&gt;Off-street")&gt;0,1,0)</f>
        <v>0</v>
      </c>
      <c r="D1297">
        <f>IF(COUNTIFS('United Data'!$A$3:$A$3390,D$1,'United Data'!$C$3:$C$3390,$A1297,'United Data'!$B$3:$B$3390,"&lt;&gt;Off-street")&gt;0,1,0)</f>
        <v>0</v>
      </c>
      <c r="E1297">
        <f>IF(COUNTIFS('United Data'!$A$3:$A$3390,E$1,'United Data'!$C$3:$C$3390,$A1297,'United Data'!$B$3:$B$3390,"&lt;&gt;Off-street")&gt;0,1,0)</f>
        <v>0</v>
      </c>
      <c r="F1297">
        <f>IF(COUNTIFS('United Data'!$A$3:$A$3390,F$1,'United Data'!$C$3:$C$3390,$A1297,'United Data'!$B$3:$B$3390,"&lt;&gt;Off-street")&gt;0,1,0)</f>
        <v>0</v>
      </c>
      <c r="G1297">
        <f>IF(COUNTIFS('United Data'!$A$3:$A$3390,G$1,'United Data'!$C$3:$C$3390,$A1297,'United Data'!$B$3:$B$3390,"&lt;&gt;Off-street")&gt;0,1,0)</f>
        <v>0</v>
      </c>
      <c r="H1297">
        <f>IF(COUNTIFS('United Data'!$A$3:$A$3390,H$1,'United Data'!$C$3:$C$3390,$A1297,'United Data'!$B$3:$B$3390,"&lt;&gt;Off-street")&gt;0,1,0)</f>
        <v>0</v>
      </c>
      <c r="I1297">
        <f>IF(COUNTIFS('United Data'!$A$3:$A$3390,I$1,'United Data'!$C$3:$C$3390,$A1297,'United Data'!$B$3:$B$3390,"&lt;&gt;Off-street")&gt;0,1,0)</f>
        <v>0</v>
      </c>
      <c r="J1297">
        <f>IF(COUNTIFS('United Data'!$A$3:$A$3390,J$1,'United Data'!$C$3:$C$3390,$A1297,'United Data'!$B$3:$B$3390,"&lt;&gt;Off-street")&gt;0,1,0)</f>
        <v>0</v>
      </c>
      <c r="K1297">
        <f>IF(COUNTIFS('United Data'!$A$3:$A$3390,K$1,'United Data'!$C$3:$C$3390,$A1297,'United Data'!$B$3:$B$3390,"&lt;&gt;Off-street")&gt;0,1,0)</f>
        <v>0</v>
      </c>
      <c r="L1297">
        <f>IF(COUNTIFS('United Data'!$A$3:$A$3390,L$1,'United Data'!$C$3:$C$3390,$A1297,'United Data'!$B$3:$B$3390,"&lt;&gt;Off-street")&gt;0,1,0)</f>
        <v>0</v>
      </c>
      <c r="M1297">
        <f>IF(COUNTIFS('United Data'!$A$3:$A$3390,M$1,'United Data'!$C$3:$C$3390,$A1297,'United Data'!$B$3:$B$3390,"&lt;&gt;Off-street")&gt;0,1,0)</f>
        <v>0</v>
      </c>
      <c r="N1297">
        <f>IF(COUNTIFS('United Data'!$A$3:$A$3390,N$1,'United Data'!$C$3:$C$3390,$A1297,'United Data'!$B$3:$B$3390,"&lt;&gt;Off-street")&gt;0,1,0)</f>
        <v>0</v>
      </c>
      <c r="O1297">
        <f>IF(COUNTIFS('United Data'!$A$3:$A$3390,O$1,'United Data'!$C$3:$C$3390,$A1297,'United Data'!$B$3:$B$3390,"&lt;&gt;Off-street")&gt;0,1,0)</f>
        <v>1</v>
      </c>
      <c r="P1297">
        <f>IF(COUNTIFS('United Data'!$A$3:$A$3390,P$1,'United Data'!$C$3:$C$3390,$A1297,'United Data'!$B$3:$B$3390,"&lt;&gt;Off-street")&gt;0,1,0)</f>
        <v>0</v>
      </c>
      <c r="Q1297">
        <f>IF(COUNTIFS('United Data'!$A$3:$A$3390,Q$1,'United Data'!$C$3:$C$3390,$A1297,'United Data'!$B$3:$B$3390,"&lt;&gt;Off-street")&gt;0,1,0)</f>
        <v>0</v>
      </c>
      <c r="R1297">
        <f>IF(COUNTIFS('United Data'!$A$3:$A$3390,R$1,'United Data'!$C$3:$C$3390,$A1297,'United Data'!$B$3:$B$3390,"&lt;&gt;Off-street")&gt;0,1,0)</f>
        <v>0</v>
      </c>
      <c r="S1297">
        <f t="shared" si="40"/>
        <v>1</v>
      </c>
      <c r="T1297">
        <f t="shared" si="41"/>
        <v>1</v>
      </c>
    </row>
    <row r="1298" spans="1:20" x14ac:dyDescent="0.2">
      <c r="A1298" t="s">
        <v>1535</v>
      </c>
      <c r="B1298">
        <f>IF(COUNTIFS('United Data'!$A$3:$A$3390,B$1,'United Data'!$C$3:$C$3390,$A1298,'United Data'!$B$3:$B$3390,"&lt;&gt;Off-street")&gt;0,1,0)</f>
        <v>0</v>
      </c>
      <c r="C1298">
        <f>IF(COUNTIFS('United Data'!$A$3:$A$3390,C$1,'United Data'!$C$3:$C$3390,$A1298,'United Data'!$B$3:$B$3390,"&lt;&gt;Off-street")&gt;0,1,0)</f>
        <v>0</v>
      </c>
      <c r="D1298">
        <f>IF(COUNTIFS('United Data'!$A$3:$A$3390,D$1,'United Data'!$C$3:$C$3390,$A1298,'United Data'!$B$3:$B$3390,"&lt;&gt;Off-street")&gt;0,1,0)</f>
        <v>0</v>
      </c>
      <c r="E1298">
        <f>IF(COUNTIFS('United Data'!$A$3:$A$3390,E$1,'United Data'!$C$3:$C$3390,$A1298,'United Data'!$B$3:$B$3390,"&lt;&gt;Off-street")&gt;0,1,0)</f>
        <v>0</v>
      </c>
      <c r="F1298">
        <f>IF(COUNTIFS('United Data'!$A$3:$A$3390,F$1,'United Data'!$C$3:$C$3390,$A1298,'United Data'!$B$3:$B$3390,"&lt;&gt;Off-street")&gt;0,1,0)</f>
        <v>0</v>
      </c>
      <c r="G1298">
        <f>IF(COUNTIFS('United Data'!$A$3:$A$3390,G$1,'United Data'!$C$3:$C$3390,$A1298,'United Data'!$B$3:$B$3390,"&lt;&gt;Off-street")&gt;0,1,0)</f>
        <v>0</v>
      </c>
      <c r="H1298">
        <f>IF(COUNTIFS('United Data'!$A$3:$A$3390,H$1,'United Data'!$C$3:$C$3390,$A1298,'United Data'!$B$3:$B$3390,"&lt;&gt;Off-street")&gt;0,1,0)</f>
        <v>0</v>
      </c>
      <c r="I1298">
        <f>IF(COUNTIFS('United Data'!$A$3:$A$3390,I$1,'United Data'!$C$3:$C$3390,$A1298,'United Data'!$B$3:$B$3390,"&lt;&gt;Off-street")&gt;0,1,0)</f>
        <v>0</v>
      </c>
      <c r="J1298">
        <f>IF(COUNTIFS('United Data'!$A$3:$A$3390,J$1,'United Data'!$C$3:$C$3390,$A1298,'United Data'!$B$3:$B$3390,"&lt;&gt;Off-street")&gt;0,1,0)</f>
        <v>0</v>
      </c>
      <c r="K1298">
        <f>IF(COUNTIFS('United Data'!$A$3:$A$3390,K$1,'United Data'!$C$3:$C$3390,$A1298,'United Data'!$B$3:$B$3390,"&lt;&gt;Off-street")&gt;0,1,0)</f>
        <v>0</v>
      </c>
      <c r="L1298">
        <f>IF(COUNTIFS('United Data'!$A$3:$A$3390,L$1,'United Data'!$C$3:$C$3390,$A1298,'United Data'!$B$3:$B$3390,"&lt;&gt;Off-street")&gt;0,1,0)</f>
        <v>0</v>
      </c>
      <c r="M1298">
        <f>IF(COUNTIFS('United Data'!$A$3:$A$3390,M$1,'United Data'!$C$3:$C$3390,$A1298,'United Data'!$B$3:$B$3390,"&lt;&gt;Off-street")&gt;0,1,0)</f>
        <v>0</v>
      </c>
      <c r="N1298">
        <f>IF(COUNTIFS('United Data'!$A$3:$A$3390,N$1,'United Data'!$C$3:$C$3390,$A1298,'United Data'!$B$3:$B$3390,"&lt;&gt;Off-street")&gt;0,1,0)</f>
        <v>1</v>
      </c>
      <c r="O1298">
        <f>IF(COUNTIFS('United Data'!$A$3:$A$3390,O$1,'United Data'!$C$3:$C$3390,$A1298,'United Data'!$B$3:$B$3390,"&lt;&gt;Off-street")&gt;0,1,0)</f>
        <v>1</v>
      </c>
      <c r="P1298">
        <f>IF(COUNTIFS('United Data'!$A$3:$A$3390,P$1,'United Data'!$C$3:$C$3390,$A1298,'United Data'!$B$3:$B$3390,"&lt;&gt;Off-street")&gt;0,1,0)</f>
        <v>0</v>
      </c>
      <c r="Q1298">
        <f>IF(COUNTIFS('United Data'!$A$3:$A$3390,Q$1,'United Data'!$C$3:$C$3390,$A1298,'United Data'!$B$3:$B$3390,"&lt;&gt;Off-street")&gt;0,1,0)</f>
        <v>0</v>
      </c>
      <c r="R1298">
        <f>IF(COUNTIFS('United Data'!$A$3:$A$3390,R$1,'United Data'!$C$3:$C$3390,$A1298,'United Data'!$B$3:$B$3390,"&lt;&gt;Off-street")&gt;0,1,0)</f>
        <v>0</v>
      </c>
      <c r="S1298">
        <f t="shared" si="40"/>
        <v>2</v>
      </c>
      <c r="T1298">
        <f t="shared" si="41"/>
        <v>1</v>
      </c>
    </row>
    <row r="1299" spans="1:20" x14ac:dyDescent="0.2">
      <c r="A1299" t="s">
        <v>1536</v>
      </c>
      <c r="B1299">
        <f>IF(COUNTIFS('United Data'!$A$3:$A$3390,B$1,'United Data'!$C$3:$C$3390,$A1299,'United Data'!$B$3:$B$3390,"&lt;&gt;Off-street")&gt;0,1,0)</f>
        <v>0</v>
      </c>
      <c r="C1299">
        <f>IF(COUNTIFS('United Data'!$A$3:$A$3390,C$1,'United Data'!$C$3:$C$3390,$A1299,'United Data'!$B$3:$B$3390,"&lt;&gt;Off-street")&gt;0,1,0)</f>
        <v>0</v>
      </c>
      <c r="D1299">
        <f>IF(COUNTIFS('United Data'!$A$3:$A$3390,D$1,'United Data'!$C$3:$C$3390,$A1299,'United Data'!$B$3:$B$3390,"&lt;&gt;Off-street")&gt;0,1,0)</f>
        <v>0</v>
      </c>
      <c r="E1299">
        <f>IF(COUNTIFS('United Data'!$A$3:$A$3390,E$1,'United Data'!$C$3:$C$3390,$A1299,'United Data'!$B$3:$B$3390,"&lt;&gt;Off-street")&gt;0,1,0)</f>
        <v>0</v>
      </c>
      <c r="F1299">
        <f>IF(COUNTIFS('United Data'!$A$3:$A$3390,F$1,'United Data'!$C$3:$C$3390,$A1299,'United Data'!$B$3:$B$3390,"&lt;&gt;Off-street")&gt;0,1,0)</f>
        <v>0</v>
      </c>
      <c r="G1299">
        <f>IF(COUNTIFS('United Data'!$A$3:$A$3390,G$1,'United Data'!$C$3:$C$3390,$A1299,'United Data'!$B$3:$B$3390,"&lt;&gt;Off-street")&gt;0,1,0)</f>
        <v>0</v>
      </c>
      <c r="H1299">
        <f>IF(COUNTIFS('United Data'!$A$3:$A$3390,H$1,'United Data'!$C$3:$C$3390,$A1299,'United Data'!$B$3:$B$3390,"&lt;&gt;Off-street")&gt;0,1,0)</f>
        <v>0</v>
      </c>
      <c r="I1299">
        <f>IF(COUNTIFS('United Data'!$A$3:$A$3390,I$1,'United Data'!$C$3:$C$3390,$A1299,'United Data'!$B$3:$B$3390,"&lt;&gt;Off-street")&gt;0,1,0)</f>
        <v>0</v>
      </c>
      <c r="J1299">
        <f>IF(COUNTIFS('United Data'!$A$3:$A$3390,J$1,'United Data'!$C$3:$C$3390,$A1299,'United Data'!$B$3:$B$3390,"&lt;&gt;Off-street")&gt;0,1,0)</f>
        <v>0</v>
      </c>
      <c r="K1299">
        <f>IF(COUNTIFS('United Data'!$A$3:$A$3390,K$1,'United Data'!$C$3:$C$3390,$A1299,'United Data'!$B$3:$B$3390,"&lt;&gt;Off-street")&gt;0,1,0)</f>
        <v>0</v>
      </c>
      <c r="L1299">
        <f>IF(COUNTIFS('United Data'!$A$3:$A$3390,L$1,'United Data'!$C$3:$C$3390,$A1299,'United Data'!$B$3:$B$3390,"&lt;&gt;Off-street")&gt;0,1,0)</f>
        <v>0</v>
      </c>
      <c r="M1299">
        <f>IF(COUNTIFS('United Data'!$A$3:$A$3390,M$1,'United Data'!$C$3:$C$3390,$A1299,'United Data'!$B$3:$B$3390,"&lt;&gt;Off-street")&gt;0,1,0)</f>
        <v>0</v>
      </c>
      <c r="N1299">
        <f>IF(COUNTIFS('United Data'!$A$3:$A$3390,N$1,'United Data'!$C$3:$C$3390,$A1299,'United Data'!$B$3:$B$3390,"&lt;&gt;Off-street")&gt;0,1,0)</f>
        <v>0</v>
      </c>
      <c r="O1299">
        <f>IF(COUNTIFS('United Data'!$A$3:$A$3390,O$1,'United Data'!$C$3:$C$3390,$A1299,'United Data'!$B$3:$B$3390,"&lt;&gt;Off-street")&gt;0,1,0)</f>
        <v>1</v>
      </c>
      <c r="P1299">
        <f>IF(COUNTIFS('United Data'!$A$3:$A$3390,P$1,'United Data'!$C$3:$C$3390,$A1299,'United Data'!$B$3:$B$3390,"&lt;&gt;Off-street")&gt;0,1,0)</f>
        <v>0</v>
      </c>
      <c r="Q1299">
        <f>IF(COUNTIFS('United Data'!$A$3:$A$3390,Q$1,'United Data'!$C$3:$C$3390,$A1299,'United Data'!$B$3:$B$3390,"&lt;&gt;Off-street")&gt;0,1,0)</f>
        <v>0</v>
      </c>
      <c r="R1299">
        <f>IF(COUNTIFS('United Data'!$A$3:$A$3390,R$1,'United Data'!$C$3:$C$3390,$A1299,'United Data'!$B$3:$B$3390,"&lt;&gt;Off-street")&gt;0,1,0)</f>
        <v>0</v>
      </c>
      <c r="S1299">
        <f t="shared" si="40"/>
        <v>1</v>
      </c>
      <c r="T1299">
        <f t="shared" si="41"/>
        <v>1</v>
      </c>
    </row>
    <row r="1300" spans="1:20" x14ac:dyDescent="0.2">
      <c r="A1300" t="s">
        <v>1537</v>
      </c>
      <c r="B1300">
        <f>IF(COUNTIFS('United Data'!$A$3:$A$3390,B$1,'United Data'!$C$3:$C$3390,$A1300,'United Data'!$B$3:$B$3390,"&lt;&gt;Off-street")&gt;0,1,0)</f>
        <v>0</v>
      </c>
      <c r="C1300">
        <f>IF(COUNTIFS('United Data'!$A$3:$A$3390,C$1,'United Data'!$C$3:$C$3390,$A1300,'United Data'!$B$3:$B$3390,"&lt;&gt;Off-street")&gt;0,1,0)</f>
        <v>0</v>
      </c>
      <c r="D1300">
        <f>IF(COUNTIFS('United Data'!$A$3:$A$3390,D$1,'United Data'!$C$3:$C$3390,$A1300,'United Data'!$B$3:$B$3390,"&lt;&gt;Off-street")&gt;0,1,0)</f>
        <v>0</v>
      </c>
      <c r="E1300">
        <f>IF(COUNTIFS('United Data'!$A$3:$A$3390,E$1,'United Data'!$C$3:$C$3390,$A1300,'United Data'!$B$3:$B$3390,"&lt;&gt;Off-street")&gt;0,1,0)</f>
        <v>0</v>
      </c>
      <c r="F1300">
        <f>IF(COUNTIFS('United Data'!$A$3:$A$3390,F$1,'United Data'!$C$3:$C$3390,$A1300,'United Data'!$B$3:$B$3390,"&lt;&gt;Off-street")&gt;0,1,0)</f>
        <v>0</v>
      </c>
      <c r="G1300">
        <f>IF(COUNTIFS('United Data'!$A$3:$A$3390,G$1,'United Data'!$C$3:$C$3390,$A1300,'United Data'!$B$3:$B$3390,"&lt;&gt;Off-street")&gt;0,1,0)</f>
        <v>0</v>
      </c>
      <c r="H1300">
        <f>IF(COUNTIFS('United Data'!$A$3:$A$3390,H$1,'United Data'!$C$3:$C$3390,$A1300,'United Data'!$B$3:$B$3390,"&lt;&gt;Off-street")&gt;0,1,0)</f>
        <v>0</v>
      </c>
      <c r="I1300">
        <f>IF(COUNTIFS('United Data'!$A$3:$A$3390,I$1,'United Data'!$C$3:$C$3390,$A1300,'United Data'!$B$3:$B$3390,"&lt;&gt;Off-street")&gt;0,1,0)</f>
        <v>0</v>
      </c>
      <c r="J1300">
        <f>IF(COUNTIFS('United Data'!$A$3:$A$3390,J$1,'United Data'!$C$3:$C$3390,$A1300,'United Data'!$B$3:$B$3390,"&lt;&gt;Off-street")&gt;0,1,0)</f>
        <v>0</v>
      </c>
      <c r="K1300">
        <f>IF(COUNTIFS('United Data'!$A$3:$A$3390,K$1,'United Data'!$C$3:$C$3390,$A1300,'United Data'!$B$3:$B$3390,"&lt;&gt;Off-street")&gt;0,1,0)</f>
        <v>0</v>
      </c>
      <c r="L1300">
        <f>IF(COUNTIFS('United Data'!$A$3:$A$3390,L$1,'United Data'!$C$3:$C$3390,$A1300,'United Data'!$B$3:$B$3390,"&lt;&gt;Off-street")&gt;0,1,0)</f>
        <v>0</v>
      </c>
      <c r="M1300">
        <f>IF(COUNTIFS('United Data'!$A$3:$A$3390,M$1,'United Data'!$C$3:$C$3390,$A1300,'United Data'!$B$3:$B$3390,"&lt;&gt;Off-street")&gt;0,1,0)</f>
        <v>0</v>
      </c>
      <c r="N1300">
        <f>IF(COUNTIFS('United Data'!$A$3:$A$3390,N$1,'United Data'!$C$3:$C$3390,$A1300,'United Data'!$B$3:$B$3390,"&lt;&gt;Off-street")&gt;0,1,0)</f>
        <v>0</v>
      </c>
      <c r="O1300">
        <f>IF(COUNTIFS('United Data'!$A$3:$A$3390,O$1,'United Data'!$C$3:$C$3390,$A1300,'United Data'!$B$3:$B$3390,"&lt;&gt;Off-street")&gt;0,1,0)</f>
        <v>1</v>
      </c>
      <c r="P1300">
        <f>IF(COUNTIFS('United Data'!$A$3:$A$3390,P$1,'United Data'!$C$3:$C$3390,$A1300,'United Data'!$B$3:$B$3390,"&lt;&gt;Off-street")&gt;0,1,0)</f>
        <v>0</v>
      </c>
      <c r="Q1300">
        <f>IF(COUNTIFS('United Data'!$A$3:$A$3390,Q$1,'United Data'!$C$3:$C$3390,$A1300,'United Data'!$B$3:$B$3390,"&lt;&gt;Off-street")&gt;0,1,0)</f>
        <v>0</v>
      </c>
      <c r="R1300">
        <f>IF(COUNTIFS('United Data'!$A$3:$A$3390,R$1,'United Data'!$C$3:$C$3390,$A1300,'United Data'!$B$3:$B$3390,"&lt;&gt;Off-street")&gt;0,1,0)</f>
        <v>0</v>
      </c>
      <c r="S1300">
        <f t="shared" si="40"/>
        <v>1</v>
      </c>
      <c r="T1300">
        <f t="shared" si="41"/>
        <v>1</v>
      </c>
    </row>
    <row r="1301" spans="1:20" x14ac:dyDescent="0.2">
      <c r="A1301" t="s">
        <v>1538</v>
      </c>
      <c r="B1301">
        <f>IF(COUNTIFS('United Data'!$A$3:$A$3390,B$1,'United Data'!$C$3:$C$3390,$A1301,'United Data'!$B$3:$B$3390,"&lt;&gt;Off-street")&gt;0,1,0)</f>
        <v>0</v>
      </c>
      <c r="C1301">
        <f>IF(COUNTIFS('United Data'!$A$3:$A$3390,C$1,'United Data'!$C$3:$C$3390,$A1301,'United Data'!$B$3:$B$3390,"&lt;&gt;Off-street")&gt;0,1,0)</f>
        <v>0</v>
      </c>
      <c r="D1301">
        <f>IF(COUNTIFS('United Data'!$A$3:$A$3390,D$1,'United Data'!$C$3:$C$3390,$A1301,'United Data'!$B$3:$B$3390,"&lt;&gt;Off-street")&gt;0,1,0)</f>
        <v>0</v>
      </c>
      <c r="E1301">
        <f>IF(COUNTIFS('United Data'!$A$3:$A$3390,E$1,'United Data'!$C$3:$C$3390,$A1301,'United Data'!$B$3:$B$3390,"&lt;&gt;Off-street")&gt;0,1,0)</f>
        <v>0</v>
      </c>
      <c r="F1301">
        <f>IF(COUNTIFS('United Data'!$A$3:$A$3390,F$1,'United Data'!$C$3:$C$3390,$A1301,'United Data'!$B$3:$B$3390,"&lt;&gt;Off-street")&gt;0,1,0)</f>
        <v>0</v>
      </c>
      <c r="G1301">
        <f>IF(COUNTIFS('United Data'!$A$3:$A$3390,G$1,'United Data'!$C$3:$C$3390,$A1301,'United Data'!$B$3:$B$3390,"&lt;&gt;Off-street")&gt;0,1,0)</f>
        <v>0</v>
      </c>
      <c r="H1301">
        <f>IF(COUNTIFS('United Data'!$A$3:$A$3390,H$1,'United Data'!$C$3:$C$3390,$A1301,'United Data'!$B$3:$B$3390,"&lt;&gt;Off-street")&gt;0,1,0)</f>
        <v>0</v>
      </c>
      <c r="I1301">
        <f>IF(COUNTIFS('United Data'!$A$3:$A$3390,I$1,'United Data'!$C$3:$C$3390,$A1301,'United Data'!$B$3:$B$3390,"&lt;&gt;Off-street")&gt;0,1,0)</f>
        <v>0</v>
      </c>
      <c r="J1301">
        <f>IF(COUNTIFS('United Data'!$A$3:$A$3390,J$1,'United Data'!$C$3:$C$3390,$A1301,'United Data'!$B$3:$B$3390,"&lt;&gt;Off-street")&gt;0,1,0)</f>
        <v>0</v>
      </c>
      <c r="K1301">
        <f>IF(COUNTIFS('United Data'!$A$3:$A$3390,K$1,'United Data'!$C$3:$C$3390,$A1301,'United Data'!$B$3:$B$3390,"&lt;&gt;Off-street")&gt;0,1,0)</f>
        <v>0</v>
      </c>
      <c r="L1301">
        <f>IF(COUNTIFS('United Data'!$A$3:$A$3390,L$1,'United Data'!$C$3:$C$3390,$A1301,'United Data'!$B$3:$B$3390,"&lt;&gt;Off-street")&gt;0,1,0)</f>
        <v>0</v>
      </c>
      <c r="M1301">
        <f>IF(COUNTIFS('United Data'!$A$3:$A$3390,M$1,'United Data'!$C$3:$C$3390,$A1301,'United Data'!$B$3:$B$3390,"&lt;&gt;Off-street")&gt;0,1,0)</f>
        <v>0</v>
      </c>
      <c r="N1301">
        <f>IF(COUNTIFS('United Data'!$A$3:$A$3390,N$1,'United Data'!$C$3:$C$3390,$A1301,'United Data'!$B$3:$B$3390,"&lt;&gt;Off-street")&gt;0,1,0)</f>
        <v>0</v>
      </c>
      <c r="O1301">
        <f>IF(COUNTIFS('United Data'!$A$3:$A$3390,O$1,'United Data'!$C$3:$C$3390,$A1301,'United Data'!$B$3:$B$3390,"&lt;&gt;Off-street")&gt;0,1,0)</f>
        <v>1</v>
      </c>
      <c r="P1301">
        <f>IF(COUNTIFS('United Data'!$A$3:$A$3390,P$1,'United Data'!$C$3:$C$3390,$A1301,'United Data'!$B$3:$B$3390,"&lt;&gt;Off-street")&gt;0,1,0)</f>
        <v>0</v>
      </c>
      <c r="Q1301">
        <f>IF(COUNTIFS('United Data'!$A$3:$A$3390,Q$1,'United Data'!$C$3:$C$3390,$A1301,'United Data'!$B$3:$B$3390,"&lt;&gt;Off-street")&gt;0,1,0)</f>
        <v>0</v>
      </c>
      <c r="R1301">
        <f>IF(COUNTIFS('United Data'!$A$3:$A$3390,R$1,'United Data'!$C$3:$C$3390,$A1301,'United Data'!$B$3:$B$3390,"&lt;&gt;Off-street")&gt;0,1,0)</f>
        <v>0</v>
      </c>
      <c r="S1301">
        <f t="shared" si="40"/>
        <v>1</v>
      </c>
      <c r="T1301">
        <f t="shared" si="41"/>
        <v>1</v>
      </c>
    </row>
    <row r="1302" spans="1:20" x14ac:dyDescent="0.2">
      <c r="A1302" t="s">
        <v>1539</v>
      </c>
      <c r="B1302">
        <f>IF(COUNTIFS('United Data'!$A$3:$A$3390,B$1,'United Data'!$C$3:$C$3390,$A1302,'United Data'!$B$3:$B$3390,"&lt;&gt;Off-street")&gt;0,1,0)</f>
        <v>0</v>
      </c>
      <c r="C1302">
        <f>IF(COUNTIFS('United Data'!$A$3:$A$3390,C$1,'United Data'!$C$3:$C$3390,$A1302,'United Data'!$B$3:$B$3390,"&lt;&gt;Off-street")&gt;0,1,0)</f>
        <v>0</v>
      </c>
      <c r="D1302">
        <f>IF(COUNTIFS('United Data'!$A$3:$A$3390,D$1,'United Data'!$C$3:$C$3390,$A1302,'United Data'!$B$3:$B$3390,"&lt;&gt;Off-street")&gt;0,1,0)</f>
        <v>0</v>
      </c>
      <c r="E1302">
        <f>IF(COUNTIFS('United Data'!$A$3:$A$3390,E$1,'United Data'!$C$3:$C$3390,$A1302,'United Data'!$B$3:$B$3390,"&lt;&gt;Off-street")&gt;0,1,0)</f>
        <v>0</v>
      </c>
      <c r="F1302">
        <f>IF(COUNTIFS('United Data'!$A$3:$A$3390,F$1,'United Data'!$C$3:$C$3390,$A1302,'United Data'!$B$3:$B$3390,"&lt;&gt;Off-street")&gt;0,1,0)</f>
        <v>0</v>
      </c>
      <c r="G1302">
        <f>IF(COUNTIFS('United Data'!$A$3:$A$3390,G$1,'United Data'!$C$3:$C$3390,$A1302,'United Data'!$B$3:$B$3390,"&lt;&gt;Off-street")&gt;0,1,0)</f>
        <v>0</v>
      </c>
      <c r="H1302">
        <f>IF(COUNTIFS('United Data'!$A$3:$A$3390,H$1,'United Data'!$C$3:$C$3390,$A1302,'United Data'!$B$3:$B$3390,"&lt;&gt;Off-street")&gt;0,1,0)</f>
        <v>0</v>
      </c>
      <c r="I1302">
        <f>IF(COUNTIFS('United Data'!$A$3:$A$3390,I$1,'United Data'!$C$3:$C$3390,$A1302,'United Data'!$B$3:$B$3390,"&lt;&gt;Off-street")&gt;0,1,0)</f>
        <v>0</v>
      </c>
      <c r="J1302">
        <f>IF(COUNTIFS('United Data'!$A$3:$A$3390,J$1,'United Data'!$C$3:$C$3390,$A1302,'United Data'!$B$3:$B$3390,"&lt;&gt;Off-street")&gt;0,1,0)</f>
        <v>0</v>
      </c>
      <c r="K1302">
        <f>IF(COUNTIFS('United Data'!$A$3:$A$3390,K$1,'United Data'!$C$3:$C$3390,$A1302,'United Data'!$B$3:$B$3390,"&lt;&gt;Off-street")&gt;0,1,0)</f>
        <v>0</v>
      </c>
      <c r="L1302">
        <f>IF(COUNTIFS('United Data'!$A$3:$A$3390,L$1,'United Data'!$C$3:$C$3390,$A1302,'United Data'!$B$3:$B$3390,"&lt;&gt;Off-street")&gt;0,1,0)</f>
        <v>0</v>
      </c>
      <c r="M1302">
        <f>IF(COUNTIFS('United Data'!$A$3:$A$3390,M$1,'United Data'!$C$3:$C$3390,$A1302,'United Data'!$B$3:$B$3390,"&lt;&gt;Off-street")&gt;0,1,0)</f>
        <v>0</v>
      </c>
      <c r="N1302">
        <f>IF(COUNTIFS('United Data'!$A$3:$A$3390,N$1,'United Data'!$C$3:$C$3390,$A1302,'United Data'!$B$3:$B$3390,"&lt;&gt;Off-street")&gt;0,1,0)</f>
        <v>0</v>
      </c>
      <c r="O1302">
        <f>IF(COUNTIFS('United Data'!$A$3:$A$3390,O$1,'United Data'!$C$3:$C$3390,$A1302,'United Data'!$B$3:$B$3390,"&lt;&gt;Off-street")&gt;0,1,0)</f>
        <v>1</v>
      </c>
      <c r="P1302">
        <f>IF(COUNTIFS('United Data'!$A$3:$A$3390,P$1,'United Data'!$C$3:$C$3390,$A1302,'United Data'!$B$3:$B$3390,"&lt;&gt;Off-street")&gt;0,1,0)</f>
        <v>0</v>
      </c>
      <c r="Q1302">
        <f>IF(COUNTIFS('United Data'!$A$3:$A$3390,Q$1,'United Data'!$C$3:$C$3390,$A1302,'United Data'!$B$3:$B$3390,"&lt;&gt;Off-street")&gt;0,1,0)</f>
        <v>0</v>
      </c>
      <c r="R1302">
        <f>IF(COUNTIFS('United Data'!$A$3:$A$3390,R$1,'United Data'!$C$3:$C$3390,$A1302,'United Data'!$B$3:$B$3390,"&lt;&gt;Off-street")&gt;0,1,0)</f>
        <v>0</v>
      </c>
      <c r="S1302">
        <f t="shared" si="40"/>
        <v>1</v>
      </c>
      <c r="T1302">
        <f t="shared" si="41"/>
        <v>1</v>
      </c>
    </row>
    <row r="1303" spans="1:20" x14ac:dyDescent="0.2">
      <c r="A1303" t="s">
        <v>1540</v>
      </c>
      <c r="B1303">
        <f>IF(COUNTIFS('United Data'!$A$3:$A$3390,B$1,'United Data'!$C$3:$C$3390,$A1303,'United Data'!$B$3:$B$3390,"&lt;&gt;Off-street")&gt;0,1,0)</f>
        <v>0</v>
      </c>
      <c r="C1303">
        <f>IF(COUNTIFS('United Data'!$A$3:$A$3390,C$1,'United Data'!$C$3:$C$3390,$A1303,'United Data'!$B$3:$B$3390,"&lt;&gt;Off-street")&gt;0,1,0)</f>
        <v>0</v>
      </c>
      <c r="D1303">
        <f>IF(COUNTIFS('United Data'!$A$3:$A$3390,D$1,'United Data'!$C$3:$C$3390,$A1303,'United Data'!$B$3:$B$3390,"&lt;&gt;Off-street")&gt;0,1,0)</f>
        <v>0</v>
      </c>
      <c r="E1303">
        <f>IF(COUNTIFS('United Data'!$A$3:$A$3390,E$1,'United Data'!$C$3:$C$3390,$A1303,'United Data'!$B$3:$B$3390,"&lt;&gt;Off-street")&gt;0,1,0)</f>
        <v>0</v>
      </c>
      <c r="F1303">
        <f>IF(COUNTIFS('United Data'!$A$3:$A$3390,F$1,'United Data'!$C$3:$C$3390,$A1303,'United Data'!$B$3:$B$3390,"&lt;&gt;Off-street")&gt;0,1,0)</f>
        <v>0</v>
      </c>
      <c r="G1303">
        <f>IF(COUNTIFS('United Data'!$A$3:$A$3390,G$1,'United Data'!$C$3:$C$3390,$A1303,'United Data'!$B$3:$B$3390,"&lt;&gt;Off-street")&gt;0,1,0)</f>
        <v>0</v>
      </c>
      <c r="H1303">
        <f>IF(COUNTIFS('United Data'!$A$3:$A$3390,H$1,'United Data'!$C$3:$C$3390,$A1303,'United Data'!$B$3:$B$3390,"&lt;&gt;Off-street")&gt;0,1,0)</f>
        <v>0</v>
      </c>
      <c r="I1303">
        <f>IF(COUNTIFS('United Data'!$A$3:$A$3390,I$1,'United Data'!$C$3:$C$3390,$A1303,'United Data'!$B$3:$B$3390,"&lt;&gt;Off-street")&gt;0,1,0)</f>
        <v>0</v>
      </c>
      <c r="J1303">
        <f>IF(COUNTIFS('United Data'!$A$3:$A$3390,J$1,'United Data'!$C$3:$C$3390,$A1303,'United Data'!$B$3:$B$3390,"&lt;&gt;Off-street")&gt;0,1,0)</f>
        <v>0</v>
      </c>
      <c r="K1303">
        <f>IF(COUNTIFS('United Data'!$A$3:$A$3390,K$1,'United Data'!$C$3:$C$3390,$A1303,'United Data'!$B$3:$B$3390,"&lt;&gt;Off-street")&gt;0,1,0)</f>
        <v>0</v>
      </c>
      <c r="L1303">
        <f>IF(COUNTIFS('United Data'!$A$3:$A$3390,L$1,'United Data'!$C$3:$C$3390,$A1303,'United Data'!$B$3:$B$3390,"&lt;&gt;Off-street")&gt;0,1,0)</f>
        <v>0</v>
      </c>
      <c r="M1303">
        <f>IF(COUNTIFS('United Data'!$A$3:$A$3390,M$1,'United Data'!$C$3:$C$3390,$A1303,'United Data'!$B$3:$B$3390,"&lt;&gt;Off-street")&gt;0,1,0)</f>
        <v>0</v>
      </c>
      <c r="N1303">
        <f>IF(COUNTIFS('United Data'!$A$3:$A$3390,N$1,'United Data'!$C$3:$C$3390,$A1303,'United Data'!$B$3:$B$3390,"&lt;&gt;Off-street")&gt;0,1,0)</f>
        <v>0</v>
      </c>
      <c r="O1303">
        <f>IF(COUNTIFS('United Data'!$A$3:$A$3390,O$1,'United Data'!$C$3:$C$3390,$A1303,'United Data'!$B$3:$B$3390,"&lt;&gt;Off-street")&gt;0,1,0)</f>
        <v>0</v>
      </c>
      <c r="P1303">
        <f>IF(COUNTIFS('United Data'!$A$3:$A$3390,P$1,'United Data'!$C$3:$C$3390,$A1303,'United Data'!$B$3:$B$3390,"&lt;&gt;Off-street")&gt;0,1,0)</f>
        <v>1</v>
      </c>
      <c r="Q1303">
        <f>IF(COUNTIFS('United Data'!$A$3:$A$3390,Q$1,'United Data'!$C$3:$C$3390,$A1303,'United Data'!$B$3:$B$3390,"&lt;&gt;Off-street")&gt;0,1,0)</f>
        <v>0</v>
      </c>
      <c r="R1303">
        <f>IF(COUNTIFS('United Data'!$A$3:$A$3390,R$1,'United Data'!$C$3:$C$3390,$A1303,'United Data'!$B$3:$B$3390,"&lt;&gt;Off-street")&gt;0,1,0)</f>
        <v>0</v>
      </c>
      <c r="S1303">
        <f t="shared" si="40"/>
        <v>1</v>
      </c>
      <c r="T1303">
        <f t="shared" si="41"/>
        <v>1</v>
      </c>
    </row>
    <row r="1304" spans="1:20" x14ac:dyDescent="0.2">
      <c r="A1304" t="s">
        <v>1541</v>
      </c>
      <c r="B1304">
        <f>IF(COUNTIFS('United Data'!$A$3:$A$3390,B$1,'United Data'!$C$3:$C$3390,$A1304,'United Data'!$B$3:$B$3390,"&lt;&gt;Off-street")&gt;0,1,0)</f>
        <v>0</v>
      </c>
      <c r="C1304">
        <f>IF(COUNTIFS('United Data'!$A$3:$A$3390,C$1,'United Data'!$C$3:$C$3390,$A1304,'United Data'!$B$3:$B$3390,"&lt;&gt;Off-street")&gt;0,1,0)</f>
        <v>0</v>
      </c>
      <c r="D1304">
        <f>IF(COUNTIFS('United Data'!$A$3:$A$3390,D$1,'United Data'!$C$3:$C$3390,$A1304,'United Data'!$B$3:$B$3390,"&lt;&gt;Off-street")&gt;0,1,0)</f>
        <v>0</v>
      </c>
      <c r="E1304">
        <f>IF(COUNTIFS('United Data'!$A$3:$A$3390,E$1,'United Data'!$C$3:$C$3390,$A1304,'United Data'!$B$3:$B$3390,"&lt;&gt;Off-street")&gt;0,1,0)</f>
        <v>0</v>
      </c>
      <c r="F1304">
        <f>IF(COUNTIFS('United Data'!$A$3:$A$3390,F$1,'United Data'!$C$3:$C$3390,$A1304,'United Data'!$B$3:$B$3390,"&lt;&gt;Off-street")&gt;0,1,0)</f>
        <v>0</v>
      </c>
      <c r="G1304">
        <f>IF(COUNTIFS('United Data'!$A$3:$A$3390,G$1,'United Data'!$C$3:$C$3390,$A1304,'United Data'!$B$3:$B$3390,"&lt;&gt;Off-street")&gt;0,1,0)</f>
        <v>0</v>
      </c>
      <c r="H1304">
        <f>IF(COUNTIFS('United Data'!$A$3:$A$3390,H$1,'United Data'!$C$3:$C$3390,$A1304,'United Data'!$B$3:$B$3390,"&lt;&gt;Off-street")&gt;0,1,0)</f>
        <v>0</v>
      </c>
      <c r="I1304">
        <f>IF(COUNTIFS('United Data'!$A$3:$A$3390,I$1,'United Data'!$C$3:$C$3390,$A1304,'United Data'!$B$3:$B$3390,"&lt;&gt;Off-street")&gt;0,1,0)</f>
        <v>0</v>
      </c>
      <c r="J1304">
        <f>IF(COUNTIFS('United Data'!$A$3:$A$3390,J$1,'United Data'!$C$3:$C$3390,$A1304,'United Data'!$B$3:$B$3390,"&lt;&gt;Off-street")&gt;0,1,0)</f>
        <v>0</v>
      </c>
      <c r="K1304">
        <f>IF(COUNTIFS('United Data'!$A$3:$A$3390,K$1,'United Data'!$C$3:$C$3390,$A1304,'United Data'!$B$3:$B$3390,"&lt;&gt;Off-street")&gt;0,1,0)</f>
        <v>0</v>
      </c>
      <c r="L1304">
        <f>IF(COUNTIFS('United Data'!$A$3:$A$3390,L$1,'United Data'!$C$3:$C$3390,$A1304,'United Data'!$B$3:$B$3390,"&lt;&gt;Off-street")&gt;0,1,0)</f>
        <v>0</v>
      </c>
      <c r="M1304">
        <f>IF(COUNTIFS('United Data'!$A$3:$A$3390,M$1,'United Data'!$C$3:$C$3390,$A1304,'United Data'!$B$3:$B$3390,"&lt;&gt;Off-street")&gt;0,1,0)</f>
        <v>0</v>
      </c>
      <c r="N1304">
        <f>IF(COUNTIFS('United Data'!$A$3:$A$3390,N$1,'United Data'!$C$3:$C$3390,$A1304,'United Data'!$B$3:$B$3390,"&lt;&gt;Off-street")&gt;0,1,0)</f>
        <v>0</v>
      </c>
      <c r="O1304">
        <f>IF(COUNTIFS('United Data'!$A$3:$A$3390,O$1,'United Data'!$C$3:$C$3390,$A1304,'United Data'!$B$3:$B$3390,"&lt;&gt;Off-street")&gt;0,1,0)</f>
        <v>0</v>
      </c>
      <c r="P1304">
        <f>IF(COUNTIFS('United Data'!$A$3:$A$3390,P$1,'United Data'!$C$3:$C$3390,$A1304,'United Data'!$B$3:$B$3390,"&lt;&gt;Off-street")&gt;0,1,0)</f>
        <v>1</v>
      </c>
      <c r="Q1304">
        <f>IF(COUNTIFS('United Data'!$A$3:$A$3390,Q$1,'United Data'!$C$3:$C$3390,$A1304,'United Data'!$B$3:$B$3390,"&lt;&gt;Off-street")&gt;0,1,0)</f>
        <v>0</v>
      </c>
      <c r="R1304">
        <f>IF(COUNTIFS('United Data'!$A$3:$A$3390,R$1,'United Data'!$C$3:$C$3390,$A1304,'United Data'!$B$3:$B$3390,"&lt;&gt;Off-street")&gt;0,1,0)</f>
        <v>0</v>
      </c>
      <c r="S1304">
        <f t="shared" si="40"/>
        <v>1</v>
      </c>
      <c r="T1304">
        <f t="shared" si="41"/>
        <v>1</v>
      </c>
    </row>
    <row r="1305" spans="1:20" x14ac:dyDescent="0.2">
      <c r="A1305" t="s">
        <v>1542</v>
      </c>
      <c r="B1305">
        <f>IF(COUNTIFS('United Data'!$A$3:$A$3390,B$1,'United Data'!$C$3:$C$3390,$A1305,'United Data'!$B$3:$B$3390,"&lt;&gt;Off-street")&gt;0,1,0)</f>
        <v>0</v>
      </c>
      <c r="C1305">
        <f>IF(COUNTIFS('United Data'!$A$3:$A$3390,C$1,'United Data'!$C$3:$C$3390,$A1305,'United Data'!$B$3:$B$3390,"&lt;&gt;Off-street")&gt;0,1,0)</f>
        <v>0</v>
      </c>
      <c r="D1305">
        <f>IF(COUNTIFS('United Data'!$A$3:$A$3390,D$1,'United Data'!$C$3:$C$3390,$A1305,'United Data'!$B$3:$B$3390,"&lt;&gt;Off-street")&gt;0,1,0)</f>
        <v>0</v>
      </c>
      <c r="E1305">
        <f>IF(COUNTIFS('United Data'!$A$3:$A$3390,E$1,'United Data'!$C$3:$C$3390,$A1305,'United Data'!$B$3:$B$3390,"&lt;&gt;Off-street")&gt;0,1,0)</f>
        <v>0</v>
      </c>
      <c r="F1305">
        <f>IF(COUNTIFS('United Data'!$A$3:$A$3390,F$1,'United Data'!$C$3:$C$3390,$A1305,'United Data'!$B$3:$B$3390,"&lt;&gt;Off-street")&gt;0,1,0)</f>
        <v>0</v>
      </c>
      <c r="G1305">
        <f>IF(COUNTIFS('United Data'!$A$3:$A$3390,G$1,'United Data'!$C$3:$C$3390,$A1305,'United Data'!$B$3:$B$3390,"&lt;&gt;Off-street")&gt;0,1,0)</f>
        <v>0</v>
      </c>
      <c r="H1305">
        <f>IF(COUNTIFS('United Data'!$A$3:$A$3390,H$1,'United Data'!$C$3:$C$3390,$A1305,'United Data'!$B$3:$B$3390,"&lt;&gt;Off-street")&gt;0,1,0)</f>
        <v>0</v>
      </c>
      <c r="I1305">
        <f>IF(COUNTIFS('United Data'!$A$3:$A$3390,I$1,'United Data'!$C$3:$C$3390,$A1305,'United Data'!$B$3:$B$3390,"&lt;&gt;Off-street")&gt;0,1,0)</f>
        <v>0</v>
      </c>
      <c r="J1305">
        <f>IF(COUNTIFS('United Data'!$A$3:$A$3390,J$1,'United Data'!$C$3:$C$3390,$A1305,'United Data'!$B$3:$B$3390,"&lt;&gt;Off-street")&gt;0,1,0)</f>
        <v>0</v>
      </c>
      <c r="K1305">
        <f>IF(COUNTIFS('United Data'!$A$3:$A$3390,K$1,'United Data'!$C$3:$C$3390,$A1305,'United Data'!$B$3:$B$3390,"&lt;&gt;Off-street")&gt;0,1,0)</f>
        <v>0</v>
      </c>
      <c r="L1305">
        <f>IF(COUNTIFS('United Data'!$A$3:$A$3390,L$1,'United Data'!$C$3:$C$3390,$A1305,'United Data'!$B$3:$B$3390,"&lt;&gt;Off-street")&gt;0,1,0)</f>
        <v>0</v>
      </c>
      <c r="M1305">
        <f>IF(COUNTIFS('United Data'!$A$3:$A$3390,M$1,'United Data'!$C$3:$C$3390,$A1305,'United Data'!$B$3:$B$3390,"&lt;&gt;Off-street")&gt;0,1,0)</f>
        <v>0</v>
      </c>
      <c r="N1305">
        <f>IF(COUNTIFS('United Data'!$A$3:$A$3390,N$1,'United Data'!$C$3:$C$3390,$A1305,'United Data'!$B$3:$B$3390,"&lt;&gt;Off-street")&gt;0,1,0)</f>
        <v>0</v>
      </c>
      <c r="O1305">
        <f>IF(COUNTIFS('United Data'!$A$3:$A$3390,O$1,'United Data'!$C$3:$C$3390,$A1305,'United Data'!$B$3:$B$3390,"&lt;&gt;Off-street")&gt;0,1,0)</f>
        <v>0</v>
      </c>
      <c r="P1305">
        <f>IF(COUNTIFS('United Data'!$A$3:$A$3390,P$1,'United Data'!$C$3:$C$3390,$A1305,'United Data'!$B$3:$B$3390,"&lt;&gt;Off-street")&gt;0,1,0)</f>
        <v>1</v>
      </c>
      <c r="Q1305">
        <f>IF(COUNTIFS('United Data'!$A$3:$A$3390,Q$1,'United Data'!$C$3:$C$3390,$A1305,'United Data'!$B$3:$B$3390,"&lt;&gt;Off-street")&gt;0,1,0)</f>
        <v>0</v>
      </c>
      <c r="R1305">
        <f>IF(COUNTIFS('United Data'!$A$3:$A$3390,R$1,'United Data'!$C$3:$C$3390,$A1305,'United Data'!$B$3:$B$3390,"&lt;&gt;Off-street")&gt;0,1,0)</f>
        <v>0</v>
      </c>
      <c r="S1305">
        <f t="shared" si="40"/>
        <v>1</v>
      </c>
      <c r="T1305">
        <f t="shared" si="41"/>
        <v>1</v>
      </c>
    </row>
    <row r="1306" spans="1:20" x14ac:dyDescent="0.2">
      <c r="A1306" t="s">
        <v>1543</v>
      </c>
      <c r="B1306">
        <f>IF(COUNTIFS('United Data'!$A$3:$A$3390,B$1,'United Data'!$C$3:$C$3390,$A1306,'United Data'!$B$3:$B$3390,"&lt;&gt;Off-street")&gt;0,1,0)</f>
        <v>0</v>
      </c>
      <c r="C1306">
        <f>IF(COUNTIFS('United Data'!$A$3:$A$3390,C$1,'United Data'!$C$3:$C$3390,$A1306,'United Data'!$B$3:$B$3390,"&lt;&gt;Off-street")&gt;0,1,0)</f>
        <v>0</v>
      </c>
      <c r="D1306">
        <f>IF(COUNTIFS('United Data'!$A$3:$A$3390,D$1,'United Data'!$C$3:$C$3390,$A1306,'United Data'!$B$3:$B$3390,"&lt;&gt;Off-street")&gt;0,1,0)</f>
        <v>0</v>
      </c>
      <c r="E1306">
        <f>IF(COUNTIFS('United Data'!$A$3:$A$3390,E$1,'United Data'!$C$3:$C$3390,$A1306,'United Data'!$B$3:$B$3390,"&lt;&gt;Off-street")&gt;0,1,0)</f>
        <v>0</v>
      </c>
      <c r="F1306">
        <f>IF(COUNTIFS('United Data'!$A$3:$A$3390,F$1,'United Data'!$C$3:$C$3390,$A1306,'United Data'!$B$3:$B$3390,"&lt;&gt;Off-street")&gt;0,1,0)</f>
        <v>0</v>
      </c>
      <c r="G1306">
        <f>IF(COUNTIFS('United Data'!$A$3:$A$3390,G$1,'United Data'!$C$3:$C$3390,$A1306,'United Data'!$B$3:$B$3390,"&lt;&gt;Off-street")&gt;0,1,0)</f>
        <v>0</v>
      </c>
      <c r="H1306">
        <f>IF(COUNTIFS('United Data'!$A$3:$A$3390,H$1,'United Data'!$C$3:$C$3390,$A1306,'United Data'!$B$3:$B$3390,"&lt;&gt;Off-street")&gt;0,1,0)</f>
        <v>0</v>
      </c>
      <c r="I1306">
        <f>IF(COUNTIFS('United Data'!$A$3:$A$3390,I$1,'United Data'!$C$3:$C$3390,$A1306,'United Data'!$B$3:$B$3390,"&lt;&gt;Off-street")&gt;0,1,0)</f>
        <v>0</v>
      </c>
      <c r="J1306">
        <f>IF(COUNTIFS('United Data'!$A$3:$A$3390,J$1,'United Data'!$C$3:$C$3390,$A1306,'United Data'!$B$3:$B$3390,"&lt;&gt;Off-street")&gt;0,1,0)</f>
        <v>0</v>
      </c>
      <c r="K1306">
        <f>IF(COUNTIFS('United Data'!$A$3:$A$3390,K$1,'United Data'!$C$3:$C$3390,$A1306,'United Data'!$B$3:$B$3390,"&lt;&gt;Off-street")&gt;0,1,0)</f>
        <v>0</v>
      </c>
      <c r="L1306">
        <f>IF(COUNTIFS('United Data'!$A$3:$A$3390,L$1,'United Data'!$C$3:$C$3390,$A1306,'United Data'!$B$3:$B$3390,"&lt;&gt;Off-street")&gt;0,1,0)</f>
        <v>0</v>
      </c>
      <c r="M1306">
        <f>IF(COUNTIFS('United Data'!$A$3:$A$3390,M$1,'United Data'!$C$3:$C$3390,$A1306,'United Data'!$B$3:$B$3390,"&lt;&gt;Off-street")&gt;0,1,0)</f>
        <v>0</v>
      </c>
      <c r="N1306">
        <f>IF(COUNTIFS('United Data'!$A$3:$A$3390,N$1,'United Data'!$C$3:$C$3390,$A1306,'United Data'!$B$3:$B$3390,"&lt;&gt;Off-street")&gt;0,1,0)</f>
        <v>0</v>
      </c>
      <c r="O1306">
        <f>IF(COUNTIFS('United Data'!$A$3:$A$3390,O$1,'United Data'!$C$3:$C$3390,$A1306,'United Data'!$B$3:$B$3390,"&lt;&gt;Off-street")&gt;0,1,0)</f>
        <v>0</v>
      </c>
      <c r="P1306">
        <f>IF(COUNTIFS('United Data'!$A$3:$A$3390,P$1,'United Data'!$C$3:$C$3390,$A1306,'United Data'!$B$3:$B$3390,"&lt;&gt;Off-street")&gt;0,1,0)</f>
        <v>1</v>
      </c>
      <c r="Q1306">
        <f>IF(COUNTIFS('United Data'!$A$3:$A$3390,Q$1,'United Data'!$C$3:$C$3390,$A1306,'United Data'!$B$3:$B$3390,"&lt;&gt;Off-street")&gt;0,1,0)</f>
        <v>0</v>
      </c>
      <c r="R1306">
        <f>IF(COUNTIFS('United Data'!$A$3:$A$3390,R$1,'United Data'!$C$3:$C$3390,$A1306,'United Data'!$B$3:$B$3390,"&lt;&gt;Off-street")&gt;0,1,0)</f>
        <v>0</v>
      </c>
      <c r="S1306">
        <f t="shared" si="40"/>
        <v>1</v>
      </c>
      <c r="T1306">
        <f t="shared" si="41"/>
        <v>1</v>
      </c>
    </row>
    <row r="1307" spans="1:20" x14ac:dyDescent="0.2">
      <c r="A1307" t="s">
        <v>1544</v>
      </c>
      <c r="B1307">
        <f>IF(COUNTIFS('United Data'!$A$3:$A$3390,B$1,'United Data'!$C$3:$C$3390,$A1307,'United Data'!$B$3:$B$3390,"&lt;&gt;Off-street")&gt;0,1,0)</f>
        <v>0</v>
      </c>
      <c r="C1307">
        <f>IF(COUNTIFS('United Data'!$A$3:$A$3390,C$1,'United Data'!$C$3:$C$3390,$A1307,'United Data'!$B$3:$B$3390,"&lt;&gt;Off-street")&gt;0,1,0)</f>
        <v>0</v>
      </c>
      <c r="D1307">
        <f>IF(COUNTIFS('United Data'!$A$3:$A$3390,D$1,'United Data'!$C$3:$C$3390,$A1307,'United Data'!$B$3:$B$3390,"&lt;&gt;Off-street")&gt;0,1,0)</f>
        <v>0</v>
      </c>
      <c r="E1307">
        <f>IF(COUNTIFS('United Data'!$A$3:$A$3390,E$1,'United Data'!$C$3:$C$3390,$A1307,'United Data'!$B$3:$B$3390,"&lt;&gt;Off-street")&gt;0,1,0)</f>
        <v>0</v>
      </c>
      <c r="F1307">
        <f>IF(COUNTIFS('United Data'!$A$3:$A$3390,F$1,'United Data'!$C$3:$C$3390,$A1307,'United Data'!$B$3:$B$3390,"&lt;&gt;Off-street")&gt;0,1,0)</f>
        <v>0</v>
      </c>
      <c r="G1307">
        <f>IF(COUNTIFS('United Data'!$A$3:$A$3390,G$1,'United Data'!$C$3:$C$3390,$A1307,'United Data'!$B$3:$B$3390,"&lt;&gt;Off-street")&gt;0,1,0)</f>
        <v>0</v>
      </c>
      <c r="H1307">
        <f>IF(COUNTIFS('United Data'!$A$3:$A$3390,H$1,'United Data'!$C$3:$C$3390,$A1307,'United Data'!$B$3:$B$3390,"&lt;&gt;Off-street")&gt;0,1,0)</f>
        <v>0</v>
      </c>
      <c r="I1307">
        <f>IF(COUNTIFS('United Data'!$A$3:$A$3390,I$1,'United Data'!$C$3:$C$3390,$A1307,'United Data'!$B$3:$B$3390,"&lt;&gt;Off-street")&gt;0,1,0)</f>
        <v>0</v>
      </c>
      <c r="J1307">
        <f>IF(COUNTIFS('United Data'!$A$3:$A$3390,J$1,'United Data'!$C$3:$C$3390,$A1307,'United Data'!$B$3:$B$3390,"&lt;&gt;Off-street")&gt;0,1,0)</f>
        <v>0</v>
      </c>
      <c r="K1307">
        <f>IF(COUNTIFS('United Data'!$A$3:$A$3390,K$1,'United Data'!$C$3:$C$3390,$A1307,'United Data'!$B$3:$B$3390,"&lt;&gt;Off-street")&gt;0,1,0)</f>
        <v>0</v>
      </c>
      <c r="L1307">
        <f>IF(COUNTIFS('United Data'!$A$3:$A$3390,L$1,'United Data'!$C$3:$C$3390,$A1307,'United Data'!$B$3:$B$3390,"&lt;&gt;Off-street")&gt;0,1,0)</f>
        <v>0</v>
      </c>
      <c r="M1307">
        <f>IF(COUNTIFS('United Data'!$A$3:$A$3390,M$1,'United Data'!$C$3:$C$3390,$A1307,'United Data'!$B$3:$B$3390,"&lt;&gt;Off-street")&gt;0,1,0)</f>
        <v>0</v>
      </c>
      <c r="N1307">
        <f>IF(COUNTIFS('United Data'!$A$3:$A$3390,N$1,'United Data'!$C$3:$C$3390,$A1307,'United Data'!$B$3:$B$3390,"&lt;&gt;Off-street")&gt;0,1,0)</f>
        <v>0</v>
      </c>
      <c r="O1307">
        <f>IF(COUNTIFS('United Data'!$A$3:$A$3390,O$1,'United Data'!$C$3:$C$3390,$A1307,'United Data'!$B$3:$B$3390,"&lt;&gt;Off-street")&gt;0,1,0)</f>
        <v>0</v>
      </c>
      <c r="P1307">
        <f>IF(COUNTIFS('United Data'!$A$3:$A$3390,P$1,'United Data'!$C$3:$C$3390,$A1307,'United Data'!$B$3:$B$3390,"&lt;&gt;Off-street")&gt;0,1,0)</f>
        <v>1</v>
      </c>
      <c r="Q1307">
        <f>IF(COUNTIFS('United Data'!$A$3:$A$3390,Q$1,'United Data'!$C$3:$C$3390,$A1307,'United Data'!$B$3:$B$3390,"&lt;&gt;Off-street")&gt;0,1,0)</f>
        <v>0</v>
      </c>
      <c r="R1307">
        <f>IF(COUNTIFS('United Data'!$A$3:$A$3390,R$1,'United Data'!$C$3:$C$3390,$A1307,'United Data'!$B$3:$B$3390,"&lt;&gt;Off-street")&gt;0,1,0)</f>
        <v>0</v>
      </c>
      <c r="S1307">
        <f t="shared" si="40"/>
        <v>1</v>
      </c>
      <c r="T1307">
        <f t="shared" si="41"/>
        <v>1</v>
      </c>
    </row>
    <row r="1308" spans="1:20" x14ac:dyDescent="0.2">
      <c r="A1308" t="s">
        <v>1545</v>
      </c>
      <c r="B1308">
        <f>IF(COUNTIFS('United Data'!$A$3:$A$3390,B$1,'United Data'!$C$3:$C$3390,$A1308,'United Data'!$B$3:$B$3390,"&lt;&gt;Off-street")&gt;0,1,0)</f>
        <v>0</v>
      </c>
      <c r="C1308">
        <f>IF(COUNTIFS('United Data'!$A$3:$A$3390,C$1,'United Data'!$C$3:$C$3390,$A1308,'United Data'!$B$3:$B$3390,"&lt;&gt;Off-street")&gt;0,1,0)</f>
        <v>0</v>
      </c>
      <c r="D1308">
        <f>IF(COUNTIFS('United Data'!$A$3:$A$3390,D$1,'United Data'!$C$3:$C$3390,$A1308,'United Data'!$B$3:$B$3390,"&lt;&gt;Off-street")&gt;0,1,0)</f>
        <v>0</v>
      </c>
      <c r="E1308">
        <f>IF(COUNTIFS('United Data'!$A$3:$A$3390,E$1,'United Data'!$C$3:$C$3390,$A1308,'United Data'!$B$3:$B$3390,"&lt;&gt;Off-street")&gt;0,1,0)</f>
        <v>0</v>
      </c>
      <c r="F1308">
        <f>IF(COUNTIFS('United Data'!$A$3:$A$3390,F$1,'United Data'!$C$3:$C$3390,$A1308,'United Data'!$B$3:$B$3390,"&lt;&gt;Off-street")&gt;0,1,0)</f>
        <v>0</v>
      </c>
      <c r="G1308">
        <f>IF(COUNTIFS('United Data'!$A$3:$A$3390,G$1,'United Data'!$C$3:$C$3390,$A1308,'United Data'!$B$3:$B$3390,"&lt;&gt;Off-street")&gt;0,1,0)</f>
        <v>0</v>
      </c>
      <c r="H1308">
        <f>IF(COUNTIFS('United Data'!$A$3:$A$3390,H$1,'United Data'!$C$3:$C$3390,$A1308,'United Data'!$B$3:$B$3390,"&lt;&gt;Off-street")&gt;0,1,0)</f>
        <v>0</v>
      </c>
      <c r="I1308">
        <f>IF(COUNTIFS('United Data'!$A$3:$A$3390,I$1,'United Data'!$C$3:$C$3390,$A1308,'United Data'!$B$3:$B$3390,"&lt;&gt;Off-street")&gt;0,1,0)</f>
        <v>0</v>
      </c>
      <c r="J1308">
        <f>IF(COUNTIFS('United Data'!$A$3:$A$3390,J$1,'United Data'!$C$3:$C$3390,$A1308,'United Data'!$B$3:$B$3390,"&lt;&gt;Off-street")&gt;0,1,0)</f>
        <v>0</v>
      </c>
      <c r="K1308">
        <f>IF(COUNTIFS('United Data'!$A$3:$A$3390,K$1,'United Data'!$C$3:$C$3390,$A1308,'United Data'!$B$3:$B$3390,"&lt;&gt;Off-street")&gt;0,1,0)</f>
        <v>0</v>
      </c>
      <c r="L1308">
        <f>IF(COUNTIFS('United Data'!$A$3:$A$3390,L$1,'United Data'!$C$3:$C$3390,$A1308,'United Data'!$B$3:$B$3390,"&lt;&gt;Off-street")&gt;0,1,0)</f>
        <v>0</v>
      </c>
      <c r="M1308">
        <f>IF(COUNTIFS('United Data'!$A$3:$A$3390,M$1,'United Data'!$C$3:$C$3390,$A1308,'United Data'!$B$3:$B$3390,"&lt;&gt;Off-street")&gt;0,1,0)</f>
        <v>0</v>
      </c>
      <c r="N1308">
        <f>IF(COUNTIFS('United Data'!$A$3:$A$3390,N$1,'United Data'!$C$3:$C$3390,$A1308,'United Data'!$B$3:$B$3390,"&lt;&gt;Off-street")&gt;0,1,0)</f>
        <v>0</v>
      </c>
      <c r="O1308">
        <f>IF(COUNTIFS('United Data'!$A$3:$A$3390,O$1,'United Data'!$C$3:$C$3390,$A1308,'United Data'!$B$3:$B$3390,"&lt;&gt;Off-street")&gt;0,1,0)</f>
        <v>0</v>
      </c>
      <c r="P1308">
        <f>IF(COUNTIFS('United Data'!$A$3:$A$3390,P$1,'United Data'!$C$3:$C$3390,$A1308,'United Data'!$B$3:$B$3390,"&lt;&gt;Off-street")&gt;0,1,0)</f>
        <v>1</v>
      </c>
      <c r="Q1308">
        <f>IF(COUNTIFS('United Data'!$A$3:$A$3390,Q$1,'United Data'!$C$3:$C$3390,$A1308,'United Data'!$B$3:$B$3390,"&lt;&gt;Off-street")&gt;0,1,0)</f>
        <v>0</v>
      </c>
      <c r="R1308">
        <f>IF(COUNTIFS('United Data'!$A$3:$A$3390,R$1,'United Data'!$C$3:$C$3390,$A1308,'United Data'!$B$3:$B$3390,"&lt;&gt;Off-street")&gt;0,1,0)</f>
        <v>0</v>
      </c>
      <c r="S1308">
        <f t="shared" si="40"/>
        <v>1</v>
      </c>
      <c r="T1308">
        <f t="shared" si="41"/>
        <v>1</v>
      </c>
    </row>
    <row r="1309" spans="1:20" x14ac:dyDescent="0.2">
      <c r="A1309" t="s">
        <v>1546</v>
      </c>
      <c r="B1309">
        <f>IF(COUNTIFS('United Data'!$A$3:$A$3390,B$1,'United Data'!$C$3:$C$3390,$A1309,'United Data'!$B$3:$B$3390,"&lt;&gt;Off-street")&gt;0,1,0)</f>
        <v>0</v>
      </c>
      <c r="C1309">
        <f>IF(COUNTIFS('United Data'!$A$3:$A$3390,C$1,'United Data'!$C$3:$C$3390,$A1309,'United Data'!$B$3:$B$3390,"&lt;&gt;Off-street")&gt;0,1,0)</f>
        <v>0</v>
      </c>
      <c r="D1309">
        <f>IF(COUNTIFS('United Data'!$A$3:$A$3390,D$1,'United Data'!$C$3:$C$3390,$A1309,'United Data'!$B$3:$B$3390,"&lt;&gt;Off-street")&gt;0,1,0)</f>
        <v>0</v>
      </c>
      <c r="E1309">
        <f>IF(COUNTIFS('United Data'!$A$3:$A$3390,E$1,'United Data'!$C$3:$C$3390,$A1309,'United Data'!$B$3:$B$3390,"&lt;&gt;Off-street")&gt;0,1,0)</f>
        <v>0</v>
      </c>
      <c r="F1309">
        <f>IF(COUNTIFS('United Data'!$A$3:$A$3390,F$1,'United Data'!$C$3:$C$3390,$A1309,'United Data'!$B$3:$B$3390,"&lt;&gt;Off-street")&gt;0,1,0)</f>
        <v>0</v>
      </c>
      <c r="G1309">
        <f>IF(COUNTIFS('United Data'!$A$3:$A$3390,G$1,'United Data'!$C$3:$C$3390,$A1309,'United Data'!$B$3:$B$3390,"&lt;&gt;Off-street")&gt;0,1,0)</f>
        <v>0</v>
      </c>
      <c r="H1309">
        <f>IF(COUNTIFS('United Data'!$A$3:$A$3390,H$1,'United Data'!$C$3:$C$3390,$A1309,'United Data'!$B$3:$B$3390,"&lt;&gt;Off-street")&gt;0,1,0)</f>
        <v>0</v>
      </c>
      <c r="I1309">
        <f>IF(COUNTIFS('United Data'!$A$3:$A$3390,I$1,'United Data'!$C$3:$C$3390,$A1309,'United Data'!$B$3:$B$3390,"&lt;&gt;Off-street")&gt;0,1,0)</f>
        <v>0</v>
      </c>
      <c r="J1309">
        <f>IF(COUNTIFS('United Data'!$A$3:$A$3390,J$1,'United Data'!$C$3:$C$3390,$A1309,'United Data'!$B$3:$B$3390,"&lt;&gt;Off-street")&gt;0,1,0)</f>
        <v>0</v>
      </c>
      <c r="K1309">
        <f>IF(COUNTIFS('United Data'!$A$3:$A$3390,K$1,'United Data'!$C$3:$C$3390,$A1309,'United Data'!$B$3:$B$3390,"&lt;&gt;Off-street")&gt;0,1,0)</f>
        <v>0</v>
      </c>
      <c r="L1309">
        <f>IF(COUNTIFS('United Data'!$A$3:$A$3390,L$1,'United Data'!$C$3:$C$3390,$A1309,'United Data'!$B$3:$B$3390,"&lt;&gt;Off-street")&gt;0,1,0)</f>
        <v>0</v>
      </c>
      <c r="M1309">
        <f>IF(COUNTIFS('United Data'!$A$3:$A$3390,M$1,'United Data'!$C$3:$C$3390,$A1309,'United Data'!$B$3:$B$3390,"&lt;&gt;Off-street")&gt;0,1,0)</f>
        <v>0</v>
      </c>
      <c r="N1309">
        <f>IF(COUNTIFS('United Data'!$A$3:$A$3390,N$1,'United Data'!$C$3:$C$3390,$A1309,'United Data'!$B$3:$B$3390,"&lt;&gt;Off-street")&gt;0,1,0)</f>
        <v>0</v>
      </c>
      <c r="O1309">
        <f>IF(COUNTIFS('United Data'!$A$3:$A$3390,O$1,'United Data'!$C$3:$C$3390,$A1309,'United Data'!$B$3:$B$3390,"&lt;&gt;Off-street")&gt;0,1,0)</f>
        <v>0</v>
      </c>
      <c r="P1309">
        <f>IF(COUNTIFS('United Data'!$A$3:$A$3390,P$1,'United Data'!$C$3:$C$3390,$A1309,'United Data'!$B$3:$B$3390,"&lt;&gt;Off-street")&gt;0,1,0)</f>
        <v>0</v>
      </c>
      <c r="Q1309">
        <f>IF(COUNTIFS('United Data'!$A$3:$A$3390,Q$1,'United Data'!$C$3:$C$3390,$A1309,'United Data'!$B$3:$B$3390,"&lt;&gt;Off-street")&gt;0,1,0)</f>
        <v>1</v>
      </c>
      <c r="R1309">
        <f>IF(COUNTIFS('United Data'!$A$3:$A$3390,R$1,'United Data'!$C$3:$C$3390,$A1309,'United Data'!$B$3:$B$3390,"&lt;&gt;Off-street")&gt;0,1,0)</f>
        <v>0</v>
      </c>
      <c r="S1309">
        <f t="shared" si="40"/>
        <v>1</v>
      </c>
      <c r="T1309">
        <f t="shared" si="41"/>
        <v>1</v>
      </c>
    </row>
    <row r="1310" spans="1:20" x14ac:dyDescent="0.2">
      <c r="A1310" t="s">
        <v>1547</v>
      </c>
      <c r="B1310">
        <f>IF(COUNTIFS('United Data'!$A$3:$A$3390,B$1,'United Data'!$C$3:$C$3390,$A1310,'United Data'!$B$3:$B$3390,"&lt;&gt;Off-street")&gt;0,1,0)</f>
        <v>0</v>
      </c>
      <c r="C1310">
        <f>IF(COUNTIFS('United Data'!$A$3:$A$3390,C$1,'United Data'!$C$3:$C$3390,$A1310,'United Data'!$B$3:$B$3390,"&lt;&gt;Off-street")&gt;0,1,0)</f>
        <v>0</v>
      </c>
      <c r="D1310">
        <f>IF(COUNTIFS('United Data'!$A$3:$A$3390,D$1,'United Data'!$C$3:$C$3390,$A1310,'United Data'!$B$3:$B$3390,"&lt;&gt;Off-street")&gt;0,1,0)</f>
        <v>0</v>
      </c>
      <c r="E1310">
        <f>IF(COUNTIFS('United Data'!$A$3:$A$3390,E$1,'United Data'!$C$3:$C$3390,$A1310,'United Data'!$B$3:$B$3390,"&lt;&gt;Off-street")&gt;0,1,0)</f>
        <v>0</v>
      </c>
      <c r="F1310">
        <f>IF(COUNTIFS('United Data'!$A$3:$A$3390,F$1,'United Data'!$C$3:$C$3390,$A1310,'United Data'!$B$3:$B$3390,"&lt;&gt;Off-street")&gt;0,1,0)</f>
        <v>0</v>
      </c>
      <c r="G1310">
        <f>IF(COUNTIFS('United Data'!$A$3:$A$3390,G$1,'United Data'!$C$3:$C$3390,$A1310,'United Data'!$B$3:$B$3390,"&lt;&gt;Off-street")&gt;0,1,0)</f>
        <v>0</v>
      </c>
      <c r="H1310">
        <f>IF(COUNTIFS('United Data'!$A$3:$A$3390,H$1,'United Data'!$C$3:$C$3390,$A1310,'United Data'!$B$3:$B$3390,"&lt;&gt;Off-street")&gt;0,1,0)</f>
        <v>0</v>
      </c>
      <c r="I1310">
        <f>IF(COUNTIFS('United Data'!$A$3:$A$3390,I$1,'United Data'!$C$3:$C$3390,$A1310,'United Data'!$B$3:$B$3390,"&lt;&gt;Off-street")&gt;0,1,0)</f>
        <v>0</v>
      </c>
      <c r="J1310">
        <f>IF(COUNTIFS('United Data'!$A$3:$A$3390,J$1,'United Data'!$C$3:$C$3390,$A1310,'United Data'!$B$3:$B$3390,"&lt;&gt;Off-street")&gt;0,1,0)</f>
        <v>0</v>
      </c>
      <c r="K1310">
        <f>IF(COUNTIFS('United Data'!$A$3:$A$3390,K$1,'United Data'!$C$3:$C$3390,$A1310,'United Data'!$B$3:$B$3390,"&lt;&gt;Off-street")&gt;0,1,0)</f>
        <v>0</v>
      </c>
      <c r="L1310">
        <f>IF(COUNTIFS('United Data'!$A$3:$A$3390,L$1,'United Data'!$C$3:$C$3390,$A1310,'United Data'!$B$3:$B$3390,"&lt;&gt;Off-street")&gt;0,1,0)</f>
        <v>0</v>
      </c>
      <c r="M1310">
        <f>IF(COUNTIFS('United Data'!$A$3:$A$3390,M$1,'United Data'!$C$3:$C$3390,$A1310,'United Data'!$B$3:$B$3390,"&lt;&gt;Off-street")&gt;0,1,0)</f>
        <v>0</v>
      </c>
      <c r="N1310">
        <f>IF(COUNTIFS('United Data'!$A$3:$A$3390,N$1,'United Data'!$C$3:$C$3390,$A1310,'United Data'!$B$3:$B$3390,"&lt;&gt;Off-street")&gt;0,1,0)</f>
        <v>0</v>
      </c>
      <c r="O1310">
        <f>IF(COUNTIFS('United Data'!$A$3:$A$3390,O$1,'United Data'!$C$3:$C$3390,$A1310,'United Data'!$B$3:$B$3390,"&lt;&gt;Off-street")&gt;0,1,0)</f>
        <v>0</v>
      </c>
      <c r="P1310">
        <f>IF(COUNTIFS('United Data'!$A$3:$A$3390,P$1,'United Data'!$C$3:$C$3390,$A1310,'United Data'!$B$3:$B$3390,"&lt;&gt;Off-street")&gt;0,1,0)</f>
        <v>0</v>
      </c>
      <c r="Q1310">
        <f>IF(COUNTIFS('United Data'!$A$3:$A$3390,Q$1,'United Data'!$C$3:$C$3390,$A1310,'United Data'!$B$3:$B$3390,"&lt;&gt;Off-street")&gt;0,1,0)</f>
        <v>1</v>
      </c>
      <c r="R1310">
        <f>IF(COUNTIFS('United Data'!$A$3:$A$3390,R$1,'United Data'!$C$3:$C$3390,$A1310,'United Data'!$B$3:$B$3390,"&lt;&gt;Off-street")&gt;0,1,0)</f>
        <v>1</v>
      </c>
      <c r="S1310">
        <f t="shared" si="40"/>
        <v>2</v>
      </c>
      <c r="T1310">
        <f t="shared" si="41"/>
        <v>1</v>
      </c>
    </row>
    <row r="1311" spans="1:20" x14ac:dyDescent="0.2">
      <c r="A1311" t="s">
        <v>1548</v>
      </c>
      <c r="B1311">
        <f>IF(COUNTIFS('United Data'!$A$3:$A$3390,B$1,'United Data'!$C$3:$C$3390,$A1311,'United Data'!$B$3:$B$3390,"&lt;&gt;Off-street")&gt;0,1,0)</f>
        <v>0</v>
      </c>
      <c r="C1311">
        <f>IF(COUNTIFS('United Data'!$A$3:$A$3390,C$1,'United Data'!$C$3:$C$3390,$A1311,'United Data'!$B$3:$B$3390,"&lt;&gt;Off-street")&gt;0,1,0)</f>
        <v>0</v>
      </c>
      <c r="D1311">
        <f>IF(COUNTIFS('United Data'!$A$3:$A$3390,D$1,'United Data'!$C$3:$C$3390,$A1311,'United Data'!$B$3:$B$3390,"&lt;&gt;Off-street")&gt;0,1,0)</f>
        <v>0</v>
      </c>
      <c r="E1311">
        <f>IF(COUNTIFS('United Data'!$A$3:$A$3390,E$1,'United Data'!$C$3:$C$3390,$A1311,'United Data'!$B$3:$B$3390,"&lt;&gt;Off-street")&gt;0,1,0)</f>
        <v>0</v>
      </c>
      <c r="F1311">
        <f>IF(COUNTIFS('United Data'!$A$3:$A$3390,F$1,'United Data'!$C$3:$C$3390,$A1311,'United Data'!$B$3:$B$3390,"&lt;&gt;Off-street")&gt;0,1,0)</f>
        <v>0</v>
      </c>
      <c r="G1311">
        <f>IF(COUNTIFS('United Data'!$A$3:$A$3390,G$1,'United Data'!$C$3:$C$3390,$A1311,'United Data'!$B$3:$B$3390,"&lt;&gt;Off-street")&gt;0,1,0)</f>
        <v>0</v>
      </c>
      <c r="H1311">
        <f>IF(COUNTIFS('United Data'!$A$3:$A$3390,H$1,'United Data'!$C$3:$C$3390,$A1311,'United Data'!$B$3:$B$3390,"&lt;&gt;Off-street")&gt;0,1,0)</f>
        <v>0</v>
      </c>
      <c r="I1311">
        <f>IF(COUNTIFS('United Data'!$A$3:$A$3390,I$1,'United Data'!$C$3:$C$3390,$A1311,'United Data'!$B$3:$B$3390,"&lt;&gt;Off-street")&gt;0,1,0)</f>
        <v>0</v>
      </c>
      <c r="J1311">
        <f>IF(COUNTIFS('United Data'!$A$3:$A$3390,J$1,'United Data'!$C$3:$C$3390,$A1311,'United Data'!$B$3:$B$3390,"&lt;&gt;Off-street")&gt;0,1,0)</f>
        <v>0</v>
      </c>
      <c r="K1311">
        <f>IF(COUNTIFS('United Data'!$A$3:$A$3390,K$1,'United Data'!$C$3:$C$3390,$A1311,'United Data'!$B$3:$B$3390,"&lt;&gt;Off-street")&gt;0,1,0)</f>
        <v>0</v>
      </c>
      <c r="L1311">
        <f>IF(COUNTIFS('United Data'!$A$3:$A$3390,L$1,'United Data'!$C$3:$C$3390,$A1311,'United Data'!$B$3:$B$3390,"&lt;&gt;Off-street")&gt;0,1,0)</f>
        <v>0</v>
      </c>
      <c r="M1311">
        <f>IF(COUNTIFS('United Data'!$A$3:$A$3390,M$1,'United Data'!$C$3:$C$3390,$A1311,'United Data'!$B$3:$B$3390,"&lt;&gt;Off-street")&gt;0,1,0)</f>
        <v>0</v>
      </c>
      <c r="N1311">
        <f>IF(COUNTIFS('United Data'!$A$3:$A$3390,N$1,'United Data'!$C$3:$C$3390,$A1311,'United Data'!$B$3:$B$3390,"&lt;&gt;Off-street")&gt;0,1,0)</f>
        <v>0</v>
      </c>
      <c r="O1311">
        <f>IF(COUNTIFS('United Data'!$A$3:$A$3390,O$1,'United Data'!$C$3:$C$3390,$A1311,'United Data'!$B$3:$B$3390,"&lt;&gt;Off-street")&gt;0,1,0)</f>
        <v>0</v>
      </c>
      <c r="P1311">
        <f>IF(COUNTIFS('United Data'!$A$3:$A$3390,P$1,'United Data'!$C$3:$C$3390,$A1311,'United Data'!$B$3:$B$3390,"&lt;&gt;Off-street")&gt;0,1,0)</f>
        <v>0</v>
      </c>
      <c r="Q1311">
        <f>IF(COUNTIFS('United Data'!$A$3:$A$3390,Q$1,'United Data'!$C$3:$C$3390,$A1311,'United Data'!$B$3:$B$3390,"&lt;&gt;Off-street")&gt;0,1,0)</f>
        <v>0</v>
      </c>
      <c r="R1311">
        <f>IF(COUNTIFS('United Data'!$A$3:$A$3390,R$1,'United Data'!$C$3:$C$3390,$A1311,'United Data'!$B$3:$B$3390,"&lt;&gt;Off-street")&gt;0,1,0)</f>
        <v>1</v>
      </c>
      <c r="S1311">
        <f t="shared" si="40"/>
        <v>1</v>
      </c>
      <c r="T1311">
        <f t="shared" si="41"/>
        <v>1</v>
      </c>
    </row>
    <row r="1312" spans="1:20" x14ac:dyDescent="0.2">
      <c r="A1312" t="s">
        <v>1549</v>
      </c>
      <c r="B1312">
        <f>IF(COUNTIFS('United Data'!$A$3:$A$3390,B$1,'United Data'!$C$3:$C$3390,$A1312,'United Data'!$B$3:$B$3390,"&lt;&gt;Off-street")&gt;0,1,0)</f>
        <v>1</v>
      </c>
      <c r="C1312">
        <f>IF(COUNTIFS('United Data'!$A$3:$A$3390,C$1,'United Data'!$C$3:$C$3390,$A1312,'United Data'!$B$3:$B$3390,"&lt;&gt;Off-street")&gt;0,1,0)</f>
        <v>0</v>
      </c>
      <c r="D1312">
        <f>IF(COUNTIFS('United Data'!$A$3:$A$3390,D$1,'United Data'!$C$3:$C$3390,$A1312,'United Data'!$B$3:$B$3390,"&lt;&gt;Off-street")&gt;0,1,0)</f>
        <v>1</v>
      </c>
      <c r="E1312">
        <f>IF(COUNTIFS('United Data'!$A$3:$A$3390,E$1,'United Data'!$C$3:$C$3390,$A1312,'United Data'!$B$3:$B$3390,"&lt;&gt;Off-street")&gt;0,1,0)</f>
        <v>1</v>
      </c>
      <c r="F1312">
        <f>IF(COUNTIFS('United Data'!$A$3:$A$3390,F$1,'United Data'!$C$3:$C$3390,$A1312,'United Data'!$B$3:$B$3390,"&lt;&gt;Off-street")&gt;0,1,0)</f>
        <v>1</v>
      </c>
      <c r="G1312">
        <f>IF(COUNTIFS('United Data'!$A$3:$A$3390,G$1,'United Data'!$C$3:$C$3390,$A1312,'United Data'!$B$3:$B$3390,"&lt;&gt;Off-street")&gt;0,1,0)</f>
        <v>1</v>
      </c>
      <c r="H1312">
        <f>IF(COUNTIFS('United Data'!$A$3:$A$3390,H$1,'United Data'!$C$3:$C$3390,$A1312,'United Data'!$B$3:$B$3390,"&lt;&gt;Off-street")&gt;0,1,0)</f>
        <v>1</v>
      </c>
      <c r="I1312">
        <f>IF(COUNTIFS('United Data'!$A$3:$A$3390,I$1,'United Data'!$C$3:$C$3390,$A1312,'United Data'!$B$3:$B$3390,"&lt;&gt;Off-street")&gt;0,1,0)</f>
        <v>0</v>
      </c>
      <c r="J1312">
        <f>IF(COUNTIFS('United Data'!$A$3:$A$3390,J$1,'United Data'!$C$3:$C$3390,$A1312,'United Data'!$B$3:$B$3390,"&lt;&gt;Off-street")&gt;0,1,0)</f>
        <v>0</v>
      </c>
      <c r="K1312">
        <f>IF(COUNTIFS('United Data'!$A$3:$A$3390,K$1,'United Data'!$C$3:$C$3390,$A1312,'United Data'!$B$3:$B$3390,"&lt;&gt;Off-street")&gt;0,1,0)</f>
        <v>1</v>
      </c>
      <c r="L1312">
        <f>IF(COUNTIFS('United Data'!$A$3:$A$3390,L$1,'United Data'!$C$3:$C$3390,$A1312,'United Data'!$B$3:$B$3390,"&lt;&gt;Off-street")&gt;0,1,0)</f>
        <v>1</v>
      </c>
      <c r="M1312">
        <f>IF(COUNTIFS('United Data'!$A$3:$A$3390,M$1,'United Data'!$C$3:$C$3390,$A1312,'United Data'!$B$3:$B$3390,"&lt;&gt;Off-street")&gt;0,1,0)</f>
        <v>0</v>
      </c>
      <c r="N1312">
        <f>IF(COUNTIFS('United Data'!$A$3:$A$3390,N$1,'United Data'!$C$3:$C$3390,$A1312,'United Data'!$B$3:$B$3390,"&lt;&gt;Off-street")&gt;0,1,0)</f>
        <v>0</v>
      </c>
      <c r="O1312">
        <f>IF(COUNTIFS('United Data'!$A$3:$A$3390,O$1,'United Data'!$C$3:$C$3390,$A1312,'United Data'!$B$3:$B$3390,"&lt;&gt;Off-street")&gt;0,1,0)</f>
        <v>0</v>
      </c>
      <c r="P1312">
        <f>IF(COUNTIFS('United Data'!$A$3:$A$3390,P$1,'United Data'!$C$3:$C$3390,$A1312,'United Data'!$B$3:$B$3390,"&lt;&gt;Off-street")&gt;0,1,0)</f>
        <v>0</v>
      </c>
      <c r="Q1312">
        <f>IF(COUNTIFS('United Data'!$A$3:$A$3390,Q$1,'United Data'!$C$3:$C$3390,$A1312,'United Data'!$B$3:$B$3390,"&lt;&gt;Off-street")&gt;0,1,0)</f>
        <v>0</v>
      </c>
      <c r="R1312">
        <f>IF(COUNTIFS('United Data'!$A$3:$A$3390,R$1,'United Data'!$C$3:$C$3390,$A1312,'United Data'!$B$3:$B$3390,"&lt;&gt;Off-street")&gt;0,1,0)</f>
        <v>0</v>
      </c>
      <c r="S1312">
        <f t="shared" si="40"/>
        <v>8</v>
      </c>
      <c r="T1312">
        <f t="shared" si="41"/>
        <v>3</v>
      </c>
    </row>
    <row r="1313" spans="1:20" x14ac:dyDescent="0.2">
      <c r="A1313" t="s">
        <v>1550</v>
      </c>
      <c r="B1313">
        <f>IF(COUNTIFS('United Data'!$A$3:$A$3390,B$1,'United Data'!$C$3:$C$3390,$A1313,'United Data'!$B$3:$B$3390,"&lt;&gt;Off-street")&gt;0,1,0)</f>
        <v>1</v>
      </c>
      <c r="C1313">
        <f>IF(COUNTIFS('United Data'!$A$3:$A$3390,C$1,'United Data'!$C$3:$C$3390,$A1313,'United Data'!$B$3:$B$3390,"&lt;&gt;Off-street")&gt;0,1,0)</f>
        <v>0</v>
      </c>
      <c r="D1313">
        <f>IF(COUNTIFS('United Data'!$A$3:$A$3390,D$1,'United Data'!$C$3:$C$3390,$A1313,'United Data'!$B$3:$B$3390,"&lt;&gt;Off-street")&gt;0,1,0)</f>
        <v>0</v>
      </c>
      <c r="E1313">
        <f>IF(COUNTIFS('United Data'!$A$3:$A$3390,E$1,'United Data'!$C$3:$C$3390,$A1313,'United Data'!$B$3:$B$3390,"&lt;&gt;Off-street")&gt;0,1,0)</f>
        <v>0</v>
      </c>
      <c r="F1313">
        <f>IF(COUNTIFS('United Data'!$A$3:$A$3390,F$1,'United Data'!$C$3:$C$3390,$A1313,'United Data'!$B$3:$B$3390,"&lt;&gt;Off-street")&gt;0,1,0)</f>
        <v>0</v>
      </c>
      <c r="G1313">
        <f>IF(COUNTIFS('United Data'!$A$3:$A$3390,G$1,'United Data'!$C$3:$C$3390,$A1313,'United Data'!$B$3:$B$3390,"&lt;&gt;Off-street")&gt;0,1,0)</f>
        <v>0</v>
      </c>
      <c r="H1313">
        <f>IF(COUNTIFS('United Data'!$A$3:$A$3390,H$1,'United Data'!$C$3:$C$3390,$A1313,'United Data'!$B$3:$B$3390,"&lt;&gt;Off-street")&gt;0,1,0)</f>
        <v>0</v>
      </c>
      <c r="I1313">
        <f>IF(COUNTIFS('United Data'!$A$3:$A$3390,I$1,'United Data'!$C$3:$C$3390,$A1313,'United Data'!$B$3:$B$3390,"&lt;&gt;Off-street")&gt;0,1,0)</f>
        <v>0</v>
      </c>
      <c r="J1313">
        <f>IF(COUNTIFS('United Data'!$A$3:$A$3390,J$1,'United Data'!$C$3:$C$3390,$A1313,'United Data'!$B$3:$B$3390,"&lt;&gt;Off-street")&gt;0,1,0)</f>
        <v>0</v>
      </c>
      <c r="K1313">
        <f>IF(COUNTIFS('United Data'!$A$3:$A$3390,K$1,'United Data'!$C$3:$C$3390,$A1313,'United Data'!$B$3:$B$3390,"&lt;&gt;Off-street")&gt;0,1,0)</f>
        <v>0</v>
      </c>
      <c r="L1313">
        <f>IF(COUNTIFS('United Data'!$A$3:$A$3390,L$1,'United Data'!$C$3:$C$3390,$A1313,'United Data'!$B$3:$B$3390,"&lt;&gt;Off-street")&gt;0,1,0)</f>
        <v>0</v>
      </c>
      <c r="M1313">
        <f>IF(COUNTIFS('United Data'!$A$3:$A$3390,M$1,'United Data'!$C$3:$C$3390,$A1313,'United Data'!$B$3:$B$3390,"&lt;&gt;Off-street")&gt;0,1,0)</f>
        <v>0</v>
      </c>
      <c r="N1313">
        <f>IF(COUNTIFS('United Data'!$A$3:$A$3390,N$1,'United Data'!$C$3:$C$3390,$A1313,'United Data'!$B$3:$B$3390,"&lt;&gt;Off-street")&gt;0,1,0)</f>
        <v>0</v>
      </c>
      <c r="O1313">
        <f>IF(COUNTIFS('United Data'!$A$3:$A$3390,O$1,'United Data'!$C$3:$C$3390,$A1313,'United Data'!$B$3:$B$3390,"&lt;&gt;Off-street")&gt;0,1,0)</f>
        <v>0</v>
      </c>
      <c r="P1313">
        <f>IF(COUNTIFS('United Data'!$A$3:$A$3390,P$1,'United Data'!$C$3:$C$3390,$A1313,'United Data'!$B$3:$B$3390,"&lt;&gt;Off-street")&gt;0,1,0)</f>
        <v>0</v>
      </c>
      <c r="Q1313">
        <f>IF(COUNTIFS('United Data'!$A$3:$A$3390,Q$1,'United Data'!$C$3:$C$3390,$A1313,'United Data'!$B$3:$B$3390,"&lt;&gt;Off-street")&gt;0,1,0)</f>
        <v>0</v>
      </c>
      <c r="R1313">
        <f>IF(COUNTIFS('United Data'!$A$3:$A$3390,R$1,'United Data'!$C$3:$C$3390,$A1313,'United Data'!$B$3:$B$3390,"&lt;&gt;Off-street")&gt;0,1,0)</f>
        <v>0</v>
      </c>
      <c r="S1313">
        <f t="shared" si="40"/>
        <v>1</v>
      </c>
      <c r="T1313">
        <f t="shared" si="41"/>
        <v>1</v>
      </c>
    </row>
    <row r="1314" spans="1:20" x14ac:dyDescent="0.2">
      <c r="A1314" t="s">
        <v>1551</v>
      </c>
      <c r="B1314">
        <f>IF(COUNTIFS('United Data'!$A$3:$A$3390,B$1,'United Data'!$C$3:$C$3390,$A1314,'United Data'!$B$3:$B$3390,"&lt;&gt;Off-street")&gt;0,1,0)</f>
        <v>1</v>
      </c>
      <c r="C1314">
        <f>IF(COUNTIFS('United Data'!$A$3:$A$3390,C$1,'United Data'!$C$3:$C$3390,$A1314,'United Data'!$B$3:$B$3390,"&lt;&gt;Off-street")&gt;0,1,0)</f>
        <v>1</v>
      </c>
      <c r="D1314">
        <f>IF(COUNTIFS('United Data'!$A$3:$A$3390,D$1,'United Data'!$C$3:$C$3390,$A1314,'United Data'!$B$3:$B$3390,"&lt;&gt;Off-street")&gt;0,1,0)</f>
        <v>1</v>
      </c>
      <c r="E1314">
        <f>IF(COUNTIFS('United Data'!$A$3:$A$3390,E$1,'United Data'!$C$3:$C$3390,$A1314,'United Data'!$B$3:$B$3390,"&lt;&gt;Off-street")&gt;0,1,0)</f>
        <v>1</v>
      </c>
      <c r="F1314">
        <f>IF(COUNTIFS('United Data'!$A$3:$A$3390,F$1,'United Data'!$C$3:$C$3390,$A1314,'United Data'!$B$3:$B$3390,"&lt;&gt;Off-street")&gt;0,1,0)</f>
        <v>0</v>
      </c>
      <c r="G1314">
        <f>IF(COUNTIFS('United Data'!$A$3:$A$3390,G$1,'United Data'!$C$3:$C$3390,$A1314,'United Data'!$B$3:$B$3390,"&lt;&gt;Off-street")&gt;0,1,0)</f>
        <v>1</v>
      </c>
      <c r="H1314">
        <f>IF(COUNTIFS('United Data'!$A$3:$A$3390,H$1,'United Data'!$C$3:$C$3390,$A1314,'United Data'!$B$3:$B$3390,"&lt;&gt;Off-street")&gt;0,1,0)</f>
        <v>0</v>
      </c>
      <c r="I1314">
        <f>IF(COUNTIFS('United Data'!$A$3:$A$3390,I$1,'United Data'!$C$3:$C$3390,$A1314,'United Data'!$B$3:$B$3390,"&lt;&gt;Off-street")&gt;0,1,0)</f>
        <v>0</v>
      </c>
      <c r="J1314">
        <f>IF(COUNTIFS('United Data'!$A$3:$A$3390,J$1,'United Data'!$C$3:$C$3390,$A1314,'United Data'!$B$3:$B$3390,"&lt;&gt;Off-street")&gt;0,1,0)</f>
        <v>0</v>
      </c>
      <c r="K1314">
        <f>IF(COUNTIFS('United Data'!$A$3:$A$3390,K$1,'United Data'!$C$3:$C$3390,$A1314,'United Data'!$B$3:$B$3390,"&lt;&gt;Off-street")&gt;0,1,0)</f>
        <v>1</v>
      </c>
      <c r="L1314">
        <f>IF(COUNTIFS('United Data'!$A$3:$A$3390,L$1,'United Data'!$C$3:$C$3390,$A1314,'United Data'!$B$3:$B$3390,"&lt;&gt;Off-street")&gt;0,1,0)</f>
        <v>0</v>
      </c>
      <c r="M1314">
        <f>IF(COUNTIFS('United Data'!$A$3:$A$3390,M$1,'United Data'!$C$3:$C$3390,$A1314,'United Data'!$B$3:$B$3390,"&lt;&gt;Off-street")&gt;0,1,0)</f>
        <v>0</v>
      </c>
      <c r="N1314">
        <f>IF(COUNTIFS('United Data'!$A$3:$A$3390,N$1,'United Data'!$C$3:$C$3390,$A1314,'United Data'!$B$3:$B$3390,"&lt;&gt;Off-street")&gt;0,1,0)</f>
        <v>0</v>
      </c>
      <c r="O1314">
        <f>IF(COUNTIFS('United Data'!$A$3:$A$3390,O$1,'United Data'!$C$3:$C$3390,$A1314,'United Data'!$B$3:$B$3390,"&lt;&gt;Off-street")&gt;0,1,0)</f>
        <v>0</v>
      </c>
      <c r="P1314">
        <f>IF(COUNTIFS('United Data'!$A$3:$A$3390,P$1,'United Data'!$C$3:$C$3390,$A1314,'United Data'!$B$3:$B$3390,"&lt;&gt;Off-street")&gt;0,1,0)</f>
        <v>1</v>
      </c>
      <c r="Q1314">
        <f>IF(COUNTIFS('United Data'!$A$3:$A$3390,Q$1,'United Data'!$C$3:$C$3390,$A1314,'United Data'!$B$3:$B$3390,"&lt;&gt;Off-street")&gt;0,1,0)</f>
        <v>0</v>
      </c>
      <c r="R1314">
        <f>IF(COUNTIFS('United Data'!$A$3:$A$3390,R$1,'United Data'!$C$3:$C$3390,$A1314,'United Data'!$B$3:$B$3390,"&lt;&gt;Off-street")&gt;0,1,0)</f>
        <v>0</v>
      </c>
      <c r="S1314">
        <f t="shared" si="40"/>
        <v>7</v>
      </c>
      <c r="T1314">
        <f t="shared" si="41"/>
        <v>4</v>
      </c>
    </row>
    <row r="1315" spans="1:20" x14ac:dyDescent="0.2">
      <c r="A1315" t="s">
        <v>1552</v>
      </c>
      <c r="B1315">
        <f>IF(COUNTIFS('United Data'!$A$3:$A$3390,B$1,'United Data'!$C$3:$C$3390,$A1315,'United Data'!$B$3:$B$3390,"&lt;&gt;Off-street")&gt;0,1,0)</f>
        <v>1</v>
      </c>
      <c r="C1315">
        <f>IF(COUNTIFS('United Data'!$A$3:$A$3390,C$1,'United Data'!$C$3:$C$3390,$A1315,'United Data'!$B$3:$B$3390,"&lt;&gt;Off-street")&gt;0,1,0)</f>
        <v>0</v>
      </c>
      <c r="D1315">
        <f>IF(COUNTIFS('United Data'!$A$3:$A$3390,D$1,'United Data'!$C$3:$C$3390,$A1315,'United Data'!$B$3:$B$3390,"&lt;&gt;Off-street")&gt;0,1,0)</f>
        <v>0</v>
      </c>
      <c r="E1315">
        <f>IF(COUNTIFS('United Data'!$A$3:$A$3390,E$1,'United Data'!$C$3:$C$3390,$A1315,'United Data'!$B$3:$B$3390,"&lt;&gt;Off-street")&gt;0,1,0)</f>
        <v>1</v>
      </c>
      <c r="F1315">
        <f>IF(COUNTIFS('United Data'!$A$3:$A$3390,F$1,'United Data'!$C$3:$C$3390,$A1315,'United Data'!$B$3:$B$3390,"&lt;&gt;Off-street")&gt;0,1,0)</f>
        <v>0</v>
      </c>
      <c r="G1315">
        <f>IF(COUNTIFS('United Data'!$A$3:$A$3390,G$1,'United Data'!$C$3:$C$3390,$A1315,'United Data'!$B$3:$B$3390,"&lt;&gt;Off-street")&gt;0,1,0)</f>
        <v>0</v>
      </c>
      <c r="H1315">
        <f>IF(COUNTIFS('United Data'!$A$3:$A$3390,H$1,'United Data'!$C$3:$C$3390,$A1315,'United Data'!$B$3:$B$3390,"&lt;&gt;Off-street")&gt;0,1,0)</f>
        <v>0</v>
      </c>
      <c r="I1315">
        <f>IF(COUNTIFS('United Data'!$A$3:$A$3390,I$1,'United Data'!$C$3:$C$3390,$A1315,'United Data'!$B$3:$B$3390,"&lt;&gt;Off-street")&gt;0,1,0)</f>
        <v>0</v>
      </c>
      <c r="J1315">
        <f>IF(COUNTIFS('United Data'!$A$3:$A$3390,J$1,'United Data'!$C$3:$C$3390,$A1315,'United Data'!$B$3:$B$3390,"&lt;&gt;Off-street")&gt;0,1,0)</f>
        <v>0</v>
      </c>
      <c r="K1315">
        <f>IF(COUNTIFS('United Data'!$A$3:$A$3390,K$1,'United Data'!$C$3:$C$3390,$A1315,'United Data'!$B$3:$B$3390,"&lt;&gt;Off-street")&gt;0,1,0)</f>
        <v>0</v>
      </c>
      <c r="L1315">
        <f>IF(COUNTIFS('United Data'!$A$3:$A$3390,L$1,'United Data'!$C$3:$C$3390,$A1315,'United Data'!$B$3:$B$3390,"&lt;&gt;Off-street")&gt;0,1,0)</f>
        <v>0</v>
      </c>
      <c r="M1315">
        <f>IF(COUNTIFS('United Data'!$A$3:$A$3390,M$1,'United Data'!$C$3:$C$3390,$A1315,'United Data'!$B$3:$B$3390,"&lt;&gt;Off-street")&gt;0,1,0)</f>
        <v>0</v>
      </c>
      <c r="N1315">
        <f>IF(COUNTIFS('United Data'!$A$3:$A$3390,N$1,'United Data'!$C$3:$C$3390,$A1315,'United Data'!$B$3:$B$3390,"&lt;&gt;Off-street")&gt;0,1,0)</f>
        <v>0</v>
      </c>
      <c r="O1315">
        <f>IF(COUNTIFS('United Data'!$A$3:$A$3390,O$1,'United Data'!$C$3:$C$3390,$A1315,'United Data'!$B$3:$B$3390,"&lt;&gt;Off-street")&gt;0,1,0)</f>
        <v>0</v>
      </c>
      <c r="P1315">
        <f>IF(COUNTIFS('United Data'!$A$3:$A$3390,P$1,'United Data'!$C$3:$C$3390,$A1315,'United Data'!$B$3:$B$3390,"&lt;&gt;Off-street")&gt;0,1,0)</f>
        <v>0</v>
      </c>
      <c r="Q1315">
        <f>IF(COUNTIFS('United Data'!$A$3:$A$3390,Q$1,'United Data'!$C$3:$C$3390,$A1315,'United Data'!$B$3:$B$3390,"&lt;&gt;Off-street")&gt;0,1,0)</f>
        <v>0</v>
      </c>
      <c r="R1315">
        <f>IF(COUNTIFS('United Data'!$A$3:$A$3390,R$1,'United Data'!$C$3:$C$3390,$A1315,'United Data'!$B$3:$B$3390,"&lt;&gt;Off-street")&gt;0,1,0)</f>
        <v>0</v>
      </c>
      <c r="S1315">
        <f t="shared" si="40"/>
        <v>2</v>
      </c>
      <c r="T1315">
        <f t="shared" si="41"/>
        <v>2</v>
      </c>
    </row>
    <row r="1316" spans="1:20" x14ac:dyDescent="0.2">
      <c r="A1316" t="s">
        <v>1553</v>
      </c>
      <c r="B1316">
        <f>IF(COUNTIFS('United Data'!$A$3:$A$3390,B$1,'United Data'!$C$3:$C$3390,$A1316,'United Data'!$B$3:$B$3390,"&lt;&gt;Off-street")&gt;0,1,0)</f>
        <v>1</v>
      </c>
      <c r="C1316">
        <f>IF(COUNTIFS('United Data'!$A$3:$A$3390,C$1,'United Data'!$C$3:$C$3390,$A1316,'United Data'!$B$3:$B$3390,"&lt;&gt;Off-street")&gt;0,1,0)</f>
        <v>1</v>
      </c>
      <c r="D1316">
        <f>IF(COUNTIFS('United Data'!$A$3:$A$3390,D$1,'United Data'!$C$3:$C$3390,$A1316,'United Data'!$B$3:$B$3390,"&lt;&gt;Off-street")&gt;0,1,0)</f>
        <v>0</v>
      </c>
      <c r="E1316">
        <f>IF(COUNTIFS('United Data'!$A$3:$A$3390,E$1,'United Data'!$C$3:$C$3390,$A1316,'United Data'!$B$3:$B$3390,"&lt;&gt;Off-street")&gt;0,1,0)</f>
        <v>0</v>
      </c>
      <c r="F1316">
        <f>IF(COUNTIFS('United Data'!$A$3:$A$3390,F$1,'United Data'!$C$3:$C$3390,$A1316,'United Data'!$B$3:$B$3390,"&lt;&gt;Off-street")&gt;0,1,0)</f>
        <v>0</v>
      </c>
      <c r="G1316">
        <f>IF(COUNTIFS('United Data'!$A$3:$A$3390,G$1,'United Data'!$C$3:$C$3390,$A1316,'United Data'!$B$3:$B$3390,"&lt;&gt;Off-street")&gt;0,1,0)</f>
        <v>0</v>
      </c>
      <c r="H1316">
        <f>IF(COUNTIFS('United Data'!$A$3:$A$3390,H$1,'United Data'!$C$3:$C$3390,$A1316,'United Data'!$B$3:$B$3390,"&lt;&gt;Off-street")&gt;0,1,0)</f>
        <v>0</v>
      </c>
      <c r="I1316">
        <f>IF(COUNTIFS('United Data'!$A$3:$A$3390,I$1,'United Data'!$C$3:$C$3390,$A1316,'United Data'!$B$3:$B$3390,"&lt;&gt;Off-street")&gt;0,1,0)</f>
        <v>0</v>
      </c>
      <c r="J1316">
        <f>IF(COUNTIFS('United Data'!$A$3:$A$3390,J$1,'United Data'!$C$3:$C$3390,$A1316,'United Data'!$B$3:$B$3390,"&lt;&gt;Off-street")&gt;0,1,0)</f>
        <v>0</v>
      </c>
      <c r="K1316">
        <f>IF(COUNTIFS('United Data'!$A$3:$A$3390,K$1,'United Data'!$C$3:$C$3390,$A1316,'United Data'!$B$3:$B$3390,"&lt;&gt;Off-street")&gt;0,1,0)</f>
        <v>0</v>
      </c>
      <c r="L1316">
        <f>IF(COUNTIFS('United Data'!$A$3:$A$3390,L$1,'United Data'!$C$3:$C$3390,$A1316,'United Data'!$B$3:$B$3390,"&lt;&gt;Off-street")&gt;0,1,0)</f>
        <v>0</v>
      </c>
      <c r="M1316">
        <f>IF(COUNTIFS('United Data'!$A$3:$A$3390,M$1,'United Data'!$C$3:$C$3390,$A1316,'United Data'!$B$3:$B$3390,"&lt;&gt;Off-street")&gt;0,1,0)</f>
        <v>0</v>
      </c>
      <c r="N1316">
        <f>IF(COUNTIFS('United Data'!$A$3:$A$3390,N$1,'United Data'!$C$3:$C$3390,$A1316,'United Data'!$B$3:$B$3390,"&lt;&gt;Off-street")&gt;0,1,0)</f>
        <v>0</v>
      </c>
      <c r="O1316">
        <f>IF(COUNTIFS('United Data'!$A$3:$A$3390,O$1,'United Data'!$C$3:$C$3390,$A1316,'United Data'!$B$3:$B$3390,"&lt;&gt;Off-street")&gt;0,1,0)</f>
        <v>0</v>
      </c>
      <c r="P1316">
        <f>IF(COUNTIFS('United Data'!$A$3:$A$3390,P$1,'United Data'!$C$3:$C$3390,$A1316,'United Data'!$B$3:$B$3390,"&lt;&gt;Off-street")&gt;0,1,0)</f>
        <v>0</v>
      </c>
      <c r="Q1316">
        <f>IF(COUNTIFS('United Data'!$A$3:$A$3390,Q$1,'United Data'!$C$3:$C$3390,$A1316,'United Data'!$B$3:$B$3390,"&lt;&gt;Off-street")&gt;0,1,0)</f>
        <v>0</v>
      </c>
      <c r="R1316">
        <f>IF(COUNTIFS('United Data'!$A$3:$A$3390,R$1,'United Data'!$C$3:$C$3390,$A1316,'United Data'!$B$3:$B$3390,"&lt;&gt;Off-street")&gt;0,1,0)</f>
        <v>0</v>
      </c>
      <c r="S1316">
        <f t="shared" si="40"/>
        <v>2</v>
      </c>
      <c r="T1316">
        <f t="shared" si="41"/>
        <v>1</v>
      </c>
    </row>
    <row r="1317" spans="1:20" x14ac:dyDescent="0.2">
      <c r="A1317" t="s">
        <v>1554</v>
      </c>
      <c r="B1317">
        <f>IF(COUNTIFS('United Data'!$A$3:$A$3390,B$1,'United Data'!$C$3:$C$3390,$A1317,'United Data'!$B$3:$B$3390,"&lt;&gt;Off-street")&gt;0,1,0)</f>
        <v>1</v>
      </c>
      <c r="C1317">
        <f>IF(COUNTIFS('United Data'!$A$3:$A$3390,C$1,'United Data'!$C$3:$C$3390,$A1317,'United Data'!$B$3:$B$3390,"&lt;&gt;Off-street")&gt;0,1,0)</f>
        <v>1</v>
      </c>
      <c r="D1317">
        <f>IF(COUNTIFS('United Data'!$A$3:$A$3390,D$1,'United Data'!$C$3:$C$3390,$A1317,'United Data'!$B$3:$B$3390,"&lt;&gt;Off-street")&gt;0,1,0)</f>
        <v>0</v>
      </c>
      <c r="E1317">
        <f>IF(COUNTIFS('United Data'!$A$3:$A$3390,E$1,'United Data'!$C$3:$C$3390,$A1317,'United Data'!$B$3:$B$3390,"&lt;&gt;Off-street")&gt;0,1,0)</f>
        <v>0</v>
      </c>
      <c r="F1317">
        <f>IF(COUNTIFS('United Data'!$A$3:$A$3390,F$1,'United Data'!$C$3:$C$3390,$A1317,'United Data'!$B$3:$B$3390,"&lt;&gt;Off-street")&gt;0,1,0)</f>
        <v>0</v>
      </c>
      <c r="G1317">
        <f>IF(COUNTIFS('United Data'!$A$3:$A$3390,G$1,'United Data'!$C$3:$C$3390,$A1317,'United Data'!$B$3:$B$3390,"&lt;&gt;Off-street")&gt;0,1,0)</f>
        <v>0</v>
      </c>
      <c r="H1317">
        <f>IF(COUNTIFS('United Data'!$A$3:$A$3390,H$1,'United Data'!$C$3:$C$3390,$A1317,'United Data'!$B$3:$B$3390,"&lt;&gt;Off-street")&gt;0,1,0)</f>
        <v>0</v>
      </c>
      <c r="I1317">
        <f>IF(COUNTIFS('United Data'!$A$3:$A$3390,I$1,'United Data'!$C$3:$C$3390,$A1317,'United Data'!$B$3:$B$3390,"&lt;&gt;Off-street")&gt;0,1,0)</f>
        <v>0</v>
      </c>
      <c r="J1317">
        <f>IF(COUNTIFS('United Data'!$A$3:$A$3390,J$1,'United Data'!$C$3:$C$3390,$A1317,'United Data'!$B$3:$B$3390,"&lt;&gt;Off-street")&gt;0,1,0)</f>
        <v>0</v>
      </c>
      <c r="K1317">
        <f>IF(COUNTIFS('United Data'!$A$3:$A$3390,K$1,'United Data'!$C$3:$C$3390,$A1317,'United Data'!$B$3:$B$3390,"&lt;&gt;Off-street")&gt;0,1,0)</f>
        <v>1</v>
      </c>
      <c r="L1317">
        <f>IF(COUNTIFS('United Data'!$A$3:$A$3390,L$1,'United Data'!$C$3:$C$3390,$A1317,'United Data'!$B$3:$B$3390,"&lt;&gt;Off-street")&gt;0,1,0)</f>
        <v>0</v>
      </c>
      <c r="M1317">
        <f>IF(COUNTIFS('United Data'!$A$3:$A$3390,M$1,'United Data'!$C$3:$C$3390,$A1317,'United Data'!$B$3:$B$3390,"&lt;&gt;Off-street")&gt;0,1,0)</f>
        <v>0</v>
      </c>
      <c r="N1317">
        <f>IF(COUNTIFS('United Data'!$A$3:$A$3390,N$1,'United Data'!$C$3:$C$3390,$A1317,'United Data'!$B$3:$B$3390,"&lt;&gt;Off-street")&gt;0,1,0)</f>
        <v>0</v>
      </c>
      <c r="O1317">
        <f>IF(COUNTIFS('United Data'!$A$3:$A$3390,O$1,'United Data'!$C$3:$C$3390,$A1317,'United Data'!$B$3:$B$3390,"&lt;&gt;Off-street")&gt;0,1,0)</f>
        <v>0</v>
      </c>
      <c r="P1317">
        <f>IF(COUNTIFS('United Data'!$A$3:$A$3390,P$1,'United Data'!$C$3:$C$3390,$A1317,'United Data'!$B$3:$B$3390,"&lt;&gt;Off-street")&gt;0,1,0)</f>
        <v>1</v>
      </c>
      <c r="Q1317">
        <f>IF(COUNTIFS('United Data'!$A$3:$A$3390,Q$1,'United Data'!$C$3:$C$3390,$A1317,'United Data'!$B$3:$B$3390,"&lt;&gt;Off-street")&gt;0,1,0)</f>
        <v>0</v>
      </c>
      <c r="R1317">
        <f>IF(COUNTIFS('United Data'!$A$3:$A$3390,R$1,'United Data'!$C$3:$C$3390,$A1317,'United Data'!$B$3:$B$3390,"&lt;&gt;Off-street")&gt;0,1,0)</f>
        <v>0</v>
      </c>
      <c r="S1317">
        <f t="shared" si="40"/>
        <v>4</v>
      </c>
      <c r="T1317">
        <f t="shared" si="41"/>
        <v>3</v>
      </c>
    </row>
    <row r="1318" spans="1:20" x14ac:dyDescent="0.2">
      <c r="A1318" t="s">
        <v>1555</v>
      </c>
      <c r="B1318">
        <f>IF(COUNTIFS('United Data'!$A$3:$A$3390,B$1,'United Data'!$C$3:$C$3390,$A1318,'United Data'!$B$3:$B$3390,"&lt;&gt;Off-street")&gt;0,1,0)</f>
        <v>0</v>
      </c>
      <c r="C1318">
        <f>IF(COUNTIFS('United Data'!$A$3:$A$3390,C$1,'United Data'!$C$3:$C$3390,$A1318,'United Data'!$B$3:$B$3390,"&lt;&gt;Off-street")&gt;0,1,0)</f>
        <v>1</v>
      </c>
      <c r="D1318">
        <f>IF(COUNTIFS('United Data'!$A$3:$A$3390,D$1,'United Data'!$C$3:$C$3390,$A1318,'United Data'!$B$3:$B$3390,"&lt;&gt;Off-street")&gt;0,1,0)</f>
        <v>0</v>
      </c>
      <c r="E1318">
        <f>IF(COUNTIFS('United Data'!$A$3:$A$3390,E$1,'United Data'!$C$3:$C$3390,$A1318,'United Data'!$B$3:$B$3390,"&lt;&gt;Off-street")&gt;0,1,0)</f>
        <v>0</v>
      </c>
      <c r="F1318">
        <f>IF(COUNTIFS('United Data'!$A$3:$A$3390,F$1,'United Data'!$C$3:$C$3390,$A1318,'United Data'!$B$3:$B$3390,"&lt;&gt;Off-street")&gt;0,1,0)</f>
        <v>0</v>
      </c>
      <c r="G1318">
        <f>IF(COUNTIFS('United Data'!$A$3:$A$3390,G$1,'United Data'!$C$3:$C$3390,$A1318,'United Data'!$B$3:$B$3390,"&lt;&gt;Off-street")&gt;0,1,0)</f>
        <v>0</v>
      </c>
      <c r="H1318">
        <f>IF(COUNTIFS('United Data'!$A$3:$A$3390,H$1,'United Data'!$C$3:$C$3390,$A1318,'United Data'!$B$3:$B$3390,"&lt;&gt;Off-street")&gt;0,1,0)</f>
        <v>0</v>
      </c>
      <c r="I1318">
        <f>IF(COUNTIFS('United Data'!$A$3:$A$3390,I$1,'United Data'!$C$3:$C$3390,$A1318,'United Data'!$B$3:$B$3390,"&lt;&gt;Off-street")&gt;0,1,0)</f>
        <v>0</v>
      </c>
      <c r="J1318">
        <f>IF(COUNTIFS('United Data'!$A$3:$A$3390,J$1,'United Data'!$C$3:$C$3390,$A1318,'United Data'!$B$3:$B$3390,"&lt;&gt;Off-street")&gt;0,1,0)</f>
        <v>0</v>
      </c>
      <c r="K1318">
        <f>IF(COUNTIFS('United Data'!$A$3:$A$3390,K$1,'United Data'!$C$3:$C$3390,$A1318,'United Data'!$B$3:$B$3390,"&lt;&gt;Off-street")&gt;0,1,0)</f>
        <v>0</v>
      </c>
      <c r="L1318">
        <f>IF(COUNTIFS('United Data'!$A$3:$A$3390,L$1,'United Data'!$C$3:$C$3390,$A1318,'United Data'!$B$3:$B$3390,"&lt;&gt;Off-street")&gt;0,1,0)</f>
        <v>0</v>
      </c>
      <c r="M1318">
        <f>IF(COUNTIFS('United Data'!$A$3:$A$3390,M$1,'United Data'!$C$3:$C$3390,$A1318,'United Data'!$B$3:$B$3390,"&lt;&gt;Off-street")&gt;0,1,0)</f>
        <v>0</v>
      </c>
      <c r="N1318">
        <f>IF(COUNTIFS('United Data'!$A$3:$A$3390,N$1,'United Data'!$C$3:$C$3390,$A1318,'United Data'!$B$3:$B$3390,"&lt;&gt;Off-street")&gt;0,1,0)</f>
        <v>0</v>
      </c>
      <c r="O1318">
        <f>IF(COUNTIFS('United Data'!$A$3:$A$3390,O$1,'United Data'!$C$3:$C$3390,$A1318,'United Data'!$B$3:$B$3390,"&lt;&gt;Off-street")&gt;0,1,0)</f>
        <v>0</v>
      </c>
      <c r="P1318">
        <f>IF(COUNTIFS('United Data'!$A$3:$A$3390,P$1,'United Data'!$C$3:$C$3390,$A1318,'United Data'!$B$3:$B$3390,"&lt;&gt;Off-street")&gt;0,1,0)</f>
        <v>0</v>
      </c>
      <c r="Q1318">
        <f>IF(COUNTIFS('United Data'!$A$3:$A$3390,Q$1,'United Data'!$C$3:$C$3390,$A1318,'United Data'!$B$3:$B$3390,"&lt;&gt;Off-street")&gt;0,1,0)</f>
        <v>0</v>
      </c>
      <c r="R1318">
        <f>IF(COUNTIFS('United Data'!$A$3:$A$3390,R$1,'United Data'!$C$3:$C$3390,$A1318,'United Data'!$B$3:$B$3390,"&lt;&gt;Off-street")&gt;0,1,0)</f>
        <v>0</v>
      </c>
      <c r="S1318">
        <f t="shared" si="40"/>
        <v>1</v>
      </c>
      <c r="T1318">
        <f t="shared" si="41"/>
        <v>1</v>
      </c>
    </row>
    <row r="1319" spans="1:20" x14ac:dyDescent="0.2">
      <c r="A1319" t="s">
        <v>1556</v>
      </c>
      <c r="B1319">
        <f>IF(COUNTIFS('United Data'!$A$3:$A$3390,B$1,'United Data'!$C$3:$C$3390,$A1319,'United Data'!$B$3:$B$3390,"&lt;&gt;Off-street")&gt;0,1,0)</f>
        <v>0</v>
      </c>
      <c r="C1319">
        <f>IF(COUNTIFS('United Data'!$A$3:$A$3390,C$1,'United Data'!$C$3:$C$3390,$A1319,'United Data'!$B$3:$B$3390,"&lt;&gt;Off-street")&gt;0,1,0)</f>
        <v>0</v>
      </c>
      <c r="D1319">
        <f>IF(COUNTIFS('United Data'!$A$3:$A$3390,D$1,'United Data'!$C$3:$C$3390,$A1319,'United Data'!$B$3:$B$3390,"&lt;&gt;Off-street")&gt;0,1,0)</f>
        <v>1</v>
      </c>
      <c r="E1319">
        <f>IF(COUNTIFS('United Data'!$A$3:$A$3390,E$1,'United Data'!$C$3:$C$3390,$A1319,'United Data'!$B$3:$B$3390,"&lt;&gt;Off-street")&gt;0,1,0)</f>
        <v>0</v>
      </c>
      <c r="F1319">
        <f>IF(COUNTIFS('United Data'!$A$3:$A$3390,F$1,'United Data'!$C$3:$C$3390,$A1319,'United Data'!$B$3:$B$3390,"&lt;&gt;Off-street")&gt;0,1,0)</f>
        <v>1</v>
      </c>
      <c r="G1319">
        <f>IF(COUNTIFS('United Data'!$A$3:$A$3390,G$1,'United Data'!$C$3:$C$3390,$A1319,'United Data'!$B$3:$B$3390,"&lt;&gt;Off-street")&gt;0,1,0)</f>
        <v>0</v>
      </c>
      <c r="H1319">
        <f>IF(COUNTIFS('United Data'!$A$3:$A$3390,H$1,'United Data'!$C$3:$C$3390,$A1319,'United Data'!$B$3:$B$3390,"&lt;&gt;Off-street")&gt;0,1,0)</f>
        <v>1</v>
      </c>
      <c r="I1319">
        <f>IF(COUNTIFS('United Data'!$A$3:$A$3390,I$1,'United Data'!$C$3:$C$3390,$A1319,'United Data'!$B$3:$B$3390,"&lt;&gt;Off-street")&gt;0,1,0)</f>
        <v>0</v>
      </c>
      <c r="J1319">
        <f>IF(COUNTIFS('United Data'!$A$3:$A$3390,J$1,'United Data'!$C$3:$C$3390,$A1319,'United Data'!$B$3:$B$3390,"&lt;&gt;Off-street")&gt;0,1,0)</f>
        <v>0</v>
      </c>
      <c r="K1319">
        <f>IF(COUNTIFS('United Data'!$A$3:$A$3390,K$1,'United Data'!$C$3:$C$3390,$A1319,'United Data'!$B$3:$B$3390,"&lt;&gt;Off-street")&gt;0,1,0)</f>
        <v>1</v>
      </c>
      <c r="L1319">
        <f>IF(COUNTIFS('United Data'!$A$3:$A$3390,L$1,'United Data'!$C$3:$C$3390,$A1319,'United Data'!$B$3:$B$3390,"&lt;&gt;Off-street")&gt;0,1,0)</f>
        <v>1</v>
      </c>
      <c r="M1319">
        <f>IF(COUNTIFS('United Data'!$A$3:$A$3390,M$1,'United Data'!$C$3:$C$3390,$A1319,'United Data'!$B$3:$B$3390,"&lt;&gt;Off-street")&gt;0,1,0)</f>
        <v>0</v>
      </c>
      <c r="N1319">
        <f>IF(COUNTIFS('United Data'!$A$3:$A$3390,N$1,'United Data'!$C$3:$C$3390,$A1319,'United Data'!$B$3:$B$3390,"&lt;&gt;Off-street")&gt;0,1,0)</f>
        <v>0</v>
      </c>
      <c r="O1319">
        <f>IF(COUNTIFS('United Data'!$A$3:$A$3390,O$1,'United Data'!$C$3:$C$3390,$A1319,'United Data'!$B$3:$B$3390,"&lt;&gt;Off-street")&gt;0,1,0)</f>
        <v>0</v>
      </c>
      <c r="P1319">
        <f>IF(COUNTIFS('United Data'!$A$3:$A$3390,P$1,'United Data'!$C$3:$C$3390,$A1319,'United Data'!$B$3:$B$3390,"&lt;&gt;Off-street")&gt;0,1,0)</f>
        <v>0</v>
      </c>
      <c r="Q1319">
        <f>IF(COUNTIFS('United Data'!$A$3:$A$3390,Q$1,'United Data'!$C$3:$C$3390,$A1319,'United Data'!$B$3:$B$3390,"&lt;&gt;Off-street")&gt;0,1,0)</f>
        <v>0</v>
      </c>
      <c r="R1319">
        <f>IF(COUNTIFS('United Data'!$A$3:$A$3390,R$1,'United Data'!$C$3:$C$3390,$A1319,'United Data'!$B$3:$B$3390,"&lt;&gt;Off-street")&gt;0,1,0)</f>
        <v>0</v>
      </c>
      <c r="S1319">
        <f t="shared" si="40"/>
        <v>5</v>
      </c>
      <c r="T1319">
        <f t="shared" si="41"/>
        <v>4</v>
      </c>
    </row>
    <row r="1320" spans="1:20" x14ac:dyDescent="0.2">
      <c r="A1320" t="s">
        <v>1558</v>
      </c>
      <c r="B1320">
        <f>IF(COUNTIFS('United Data'!$A$3:$A$3390,B$1,'United Data'!$C$3:$C$3390,$A1320,'United Data'!$B$3:$B$3390,"&lt;&gt;Off-street")&gt;0,1,0)</f>
        <v>0</v>
      </c>
      <c r="C1320">
        <f>IF(COUNTIFS('United Data'!$A$3:$A$3390,C$1,'United Data'!$C$3:$C$3390,$A1320,'United Data'!$B$3:$B$3390,"&lt;&gt;Off-street")&gt;0,1,0)</f>
        <v>0</v>
      </c>
      <c r="D1320">
        <f>IF(COUNTIFS('United Data'!$A$3:$A$3390,D$1,'United Data'!$C$3:$C$3390,$A1320,'United Data'!$B$3:$B$3390,"&lt;&gt;Off-street")&gt;0,1,0)</f>
        <v>1</v>
      </c>
      <c r="E1320">
        <f>IF(COUNTIFS('United Data'!$A$3:$A$3390,E$1,'United Data'!$C$3:$C$3390,$A1320,'United Data'!$B$3:$B$3390,"&lt;&gt;Off-street")&gt;0,1,0)</f>
        <v>0</v>
      </c>
      <c r="F1320">
        <f>IF(COUNTIFS('United Data'!$A$3:$A$3390,F$1,'United Data'!$C$3:$C$3390,$A1320,'United Data'!$B$3:$B$3390,"&lt;&gt;Off-street")&gt;0,1,0)</f>
        <v>0</v>
      </c>
      <c r="G1320">
        <f>IF(COUNTIFS('United Data'!$A$3:$A$3390,G$1,'United Data'!$C$3:$C$3390,$A1320,'United Data'!$B$3:$B$3390,"&lt;&gt;Off-street")&gt;0,1,0)</f>
        <v>0</v>
      </c>
      <c r="H1320">
        <f>IF(COUNTIFS('United Data'!$A$3:$A$3390,H$1,'United Data'!$C$3:$C$3390,$A1320,'United Data'!$B$3:$B$3390,"&lt;&gt;Off-street")&gt;0,1,0)</f>
        <v>0</v>
      </c>
      <c r="I1320">
        <f>IF(COUNTIFS('United Data'!$A$3:$A$3390,I$1,'United Data'!$C$3:$C$3390,$A1320,'United Data'!$B$3:$B$3390,"&lt;&gt;Off-street")&gt;0,1,0)</f>
        <v>0</v>
      </c>
      <c r="J1320">
        <f>IF(COUNTIFS('United Data'!$A$3:$A$3390,J$1,'United Data'!$C$3:$C$3390,$A1320,'United Data'!$B$3:$B$3390,"&lt;&gt;Off-street")&gt;0,1,0)</f>
        <v>0</v>
      </c>
      <c r="K1320">
        <f>IF(COUNTIFS('United Data'!$A$3:$A$3390,K$1,'United Data'!$C$3:$C$3390,$A1320,'United Data'!$B$3:$B$3390,"&lt;&gt;Off-street")&gt;0,1,0)</f>
        <v>0</v>
      </c>
      <c r="L1320">
        <f>IF(COUNTIFS('United Data'!$A$3:$A$3390,L$1,'United Data'!$C$3:$C$3390,$A1320,'United Data'!$B$3:$B$3390,"&lt;&gt;Off-street")&gt;0,1,0)</f>
        <v>0</v>
      </c>
      <c r="M1320">
        <f>IF(COUNTIFS('United Data'!$A$3:$A$3390,M$1,'United Data'!$C$3:$C$3390,$A1320,'United Data'!$B$3:$B$3390,"&lt;&gt;Off-street")&gt;0,1,0)</f>
        <v>0</v>
      </c>
      <c r="N1320">
        <f>IF(COUNTIFS('United Data'!$A$3:$A$3390,N$1,'United Data'!$C$3:$C$3390,$A1320,'United Data'!$B$3:$B$3390,"&lt;&gt;Off-street")&gt;0,1,0)</f>
        <v>0</v>
      </c>
      <c r="O1320">
        <f>IF(COUNTIFS('United Data'!$A$3:$A$3390,O$1,'United Data'!$C$3:$C$3390,$A1320,'United Data'!$B$3:$B$3390,"&lt;&gt;Off-street")&gt;0,1,0)</f>
        <v>0</v>
      </c>
      <c r="P1320">
        <f>IF(COUNTIFS('United Data'!$A$3:$A$3390,P$1,'United Data'!$C$3:$C$3390,$A1320,'United Data'!$B$3:$B$3390,"&lt;&gt;Off-street")&gt;0,1,0)</f>
        <v>0</v>
      </c>
      <c r="Q1320">
        <f>IF(COUNTIFS('United Data'!$A$3:$A$3390,Q$1,'United Data'!$C$3:$C$3390,$A1320,'United Data'!$B$3:$B$3390,"&lt;&gt;Off-street")&gt;0,1,0)</f>
        <v>0</v>
      </c>
      <c r="R1320">
        <f>IF(COUNTIFS('United Data'!$A$3:$A$3390,R$1,'United Data'!$C$3:$C$3390,$A1320,'United Data'!$B$3:$B$3390,"&lt;&gt;Off-street")&gt;0,1,0)</f>
        <v>0</v>
      </c>
      <c r="S1320">
        <f t="shared" si="40"/>
        <v>1</v>
      </c>
      <c r="T1320">
        <f t="shared" si="41"/>
        <v>1</v>
      </c>
    </row>
    <row r="1321" spans="1:20" x14ac:dyDescent="0.2">
      <c r="A1321" t="s">
        <v>1560</v>
      </c>
      <c r="B1321">
        <f>IF(COUNTIFS('United Data'!$A$3:$A$3390,B$1,'United Data'!$C$3:$C$3390,$A1321,'United Data'!$B$3:$B$3390,"&lt;&gt;Off-street")&gt;0,1,0)</f>
        <v>0</v>
      </c>
      <c r="C1321">
        <f>IF(COUNTIFS('United Data'!$A$3:$A$3390,C$1,'United Data'!$C$3:$C$3390,$A1321,'United Data'!$B$3:$B$3390,"&lt;&gt;Off-street")&gt;0,1,0)</f>
        <v>0</v>
      </c>
      <c r="D1321">
        <f>IF(COUNTIFS('United Data'!$A$3:$A$3390,D$1,'United Data'!$C$3:$C$3390,$A1321,'United Data'!$B$3:$B$3390,"&lt;&gt;Off-street")&gt;0,1,0)</f>
        <v>1</v>
      </c>
      <c r="E1321">
        <f>IF(COUNTIFS('United Data'!$A$3:$A$3390,E$1,'United Data'!$C$3:$C$3390,$A1321,'United Data'!$B$3:$B$3390,"&lt;&gt;Off-street")&gt;0,1,0)</f>
        <v>0</v>
      </c>
      <c r="F1321">
        <f>IF(COUNTIFS('United Data'!$A$3:$A$3390,F$1,'United Data'!$C$3:$C$3390,$A1321,'United Data'!$B$3:$B$3390,"&lt;&gt;Off-street")&gt;0,1,0)</f>
        <v>0</v>
      </c>
      <c r="G1321">
        <f>IF(COUNTIFS('United Data'!$A$3:$A$3390,G$1,'United Data'!$C$3:$C$3390,$A1321,'United Data'!$B$3:$B$3390,"&lt;&gt;Off-street")&gt;0,1,0)</f>
        <v>0</v>
      </c>
      <c r="H1321">
        <f>IF(COUNTIFS('United Data'!$A$3:$A$3390,H$1,'United Data'!$C$3:$C$3390,$A1321,'United Data'!$B$3:$B$3390,"&lt;&gt;Off-street")&gt;0,1,0)</f>
        <v>0</v>
      </c>
      <c r="I1321">
        <f>IF(COUNTIFS('United Data'!$A$3:$A$3390,I$1,'United Data'!$C$3:$C$3390,$A1321,'United Data'!$B$3:$B$3390,"&lt;&gt;Off-street")&gt;0,1,0)</f>
        <v>0</v>
      </c>
      <c r="J1321">
        <f>IF(COUNTIFS('United Data'!$A$3:$A$3390,J$1,'United Data'!$C$3:$C$3390,$A1321,'United Data'!$B$3:$B$3390,"&lt;&gt;Off-street")&gt;0,1,0)</f>
        <v>0</v>
      </c>
      <c r="K1321">
        <f>IF(COUNTIFS('United Data'!$A$3:$A$3390,K$1,'United Data'!$C$3:$C$3390,$A1321,'United Data'!$B$3:$B$3390,"&lt;&gt;Off-street")&gt;0,1,0)</f>
        <v>0</v>
      </c>
      <c r="L1321">
        <f>IF(COUNTIFS('United Data'!$A$3:$A$3390,L$1,'United Data'!$C$3:$C$3390,$A1321,'United Data'!$B$3:$B$3390,"&lt;&gt;Off-street")&gt;0,1,0)</f>
        <v>0</v>
      </c>
      <c r="M1321">
        <f>IF(COUNTIFS('United Data'!$A$3:$A$3390,M$1,'United Data'!$C$3:$C$3390,$A1321,'United Data'!$B$3:$B$3390,"&lt;&gt;Off-street")&gt;0,1,0)</f>
        <v>0</v>
      </c>
      <c r="N1321">
        <f>IF(COUNTIFS('United Data'!$A$3:$A$3390,N$1,'United Data'!$C$3:$C$3390,$A1321,'United Data'!$B$3:$B$3390,"&lt;&gt;Off-street")&gt;0,1,0)</f>
        <v>0</v>
      </c>
      <c r="O1321">
        <f>IF(COUNTIFS('United Data'!$A$3:$A$3390,O$1,'United Data'!$C$3:$C$3390,$A1321,'United Data'!$B$3:$B$3390,"&lt;&gt;Off-street")&gt;0,1,0)</f>
        <v>0</v>
      </c>
      <c r="P1321">
        <f>IF(COUNTIFS('United Data'!$A$3:$A$3390,P$1,'United Data'!$C$3:$C$3390,$A1321,'United Data'!$B$3:$B$3390,"&lt;&gt;Off-street")&gt;0,1,0)</f>
        <v>0</v>
      </c>
      <c r="Q1321">
        <f>IF(COUNTIFS('United Data'!$A$3:$A$3390,Q$1,'United Data'!$C$3:$C$3390,$A1321,'United Data'!$B$3:$B$3390,"&lt;&gt;Off-street")&gt;0,1,0)</f>
        <v>0</v>
      </c>
      <c r="R1321">
        <f>IF(COUNTIFS('United Data'!$A$3:$A$3390,R$1,'United Data'!$C$3:$C$3390,$A1321,'United Data'!$B$3:$B$3390,"&lt;&gt;Off-street")&gt;0,1,0)</f>
        <v>0</v>
      </c>
      <c r="S1321">
        <f t="shared" si="40"/>
        <v>1</v>
      </c>
      <c r="T1321">
        <f t="shared" si="41"/>
        <v>1</v>
      </c>
    </row>
    <row r="1322" spans="1:20" x14ac:dyDescent="0.2">
      <c r="A1322" t="s">
        <v>1561</v>
      </c>
      <c r="B1322">
        <f>IF(COUNTIFS('United Data'!$A$3:$A$3390,B$1,'United Data'!$C$3:$C$3390,$A1322,'United Data'!$B$3:$B$3390,"&lt;&gt;Off-street")&gt;0,1,0)</f>
        <v>0</v>
      </c>
      <c r="C1322">
        <f>IF(COUNTIFS('United Data'!$A$3:$A$3390,C$1,'United Data'!$C$3:$C$3390,$A1322,'United Data'!$B$3:$B$3390,"&lt;&gt;Off-street")&gt;0,1,0)</f>
        <v>0</v>
      </c>
      <c r="D1322">
        <f>IF(COUNTIFS('United Data'!$A$3:$A$3390,D$1,'United Data'!$C$3:$C$3390,$A1322,'United Data'!$B$3:$B$3390,"&lt;&gt;Off-street")&gt;0,1,0)</f>
        <v>0</v>
      </c>
      <c r="E1322">
        <f>IF(COUNTIFS('United Data'!$A$3:$A$3390,E$1,'United Data'!$C$3:$C$3390,$A1322,'United Data'!$B$3:$B$3390,"&lt;&gt;Off-street")&gt;0,1,0)</f>
        <v>1</v>
      </c>
      <c r="F1322">
        <f>IF(COUNTIFS('United Data'!$A$3:$A$3390,F$1,'United Data'!$C$3:$C$3390,$A1322,'United Data'!$B$3:$B$3390,"&lt;&gt;Off-street")&gt;0,1,0)</f>
        <v>0</v>
      </c>
      <c r="G1322">
        <f>IF(COUNTIFS('United Data'!$A$3:$A$3390,G$1,'United Data'!$C$3:$C$3390,$A1322,'United Data'!$B$3:$B$3390,"&lt;&gt;Off-street")&gt;0,1,0)</f>
        <v>0</v>
      </c>
      <c r="H1322">
        <f>IF(COUNTIFS('United Data'!$A$3:$A$3390,H$1,'United Data'!$C$3:$C$3390,$A1322,'United Data'!$B$3:$B$3390,"&lt;&gt;Off-street")&gt;0,1,0)</f>
        <v>0</v>
      </c>
      <c r="I1322">
        <f>IF(COUNTIFS('United Data'!$A$3:$A$3390,I$1,'United Data'!$C$3:$C$3390,$A1322,'United Data'!$B$3:$B$3390,"&lt;&gt;Off-street")&gt;0,1,0)</f>
        <v>0</v>
      </c>
      <c r="J1322">
        <f>IF(COUNTIFS('United Data'!$A$3:$A$3390,J$1,'United Data'!$C$3:$C$3390,$A1322,'United Data'!$B$3:$B$3390,"&lt;&gt;Off-street")&gt;0,1,0)</f>
        <v>0</v>
      </c>
      <c r="K1322">
        <f>IF(COUNTIFS('United Data'!$A$3:$A$3390,K$1,'United Data'!$C$3:$C$3390,$A1322,'United Data'!$B$3:$B$3390,"&lt;&gt;Off-street")&gt;0,1,0)</f>
        <v>0</v>
      </c>
      <c r="L1322">
        <f>IF(COUNTIFS('United Data'!$A$3:$A$3390,L$1,'United Data'!$C$3:$C$3390,$A1322,'United Data'!$B$3:$B$3390,"&lt;&gt;Off-street")&gt;0,1,0)</f>
        <v>0</v>
      </c>
      <c r="M1322">
        <f>IF(COUNTIFS('United Data'!$A$3:$A$3390,M$1,'United Data'!$C$3:$C$3390,$A1322,'United Data'!$B$3:$B$3390,"&lt;&gt;Off-street")&gt;0,1,0)</f>
        <v>0</v>
      </c>
      <c r="N1322">
        <f>IF(COUNTIFS('United Data'!$A$3:$A$3390,N$1,'United Data'!$C$3:$C$3390,$A1322,'United Data'!$B$3:$B$3390,"&lt;&gt;Off-street")&gt;0,1,0)</f>
        <v>0</v>
      </c>
      <c r="O1322">
        <f>IF(COUNTIFS('United Data'!$A$3:$A$3390,O$1,'United Data'!$C$3:$C$3390,$A1322,'United Data'!$B$3:$B$3390,"&lt;&gt;Off-street")&gt;0,1,0)</f>
        <v>0</v>
      </c>
      <c r="P1322">
        <f>IF(COUNTIFS('United Data'!$A$3:$A$3390,P$1,'United Data'!$C$3:$C$3390,$A1322,'United Data'!$B$3:$B$3390,"&lt;&gt;Off-street")&gt;0,1,0)</f>
        <v>0</v>
      </c>
      <c r="Q1322">
        <f>IF(COUNTIFS('United Data'!$A$3:$A$3390,Q$1,'United Data'!$C$3:$C$3390,$A1322,'United Data'!$B$3:$B$3390,"&lt;&gt;Off-street")&gt;0,1,0)</f>
        <v>0</v>
      </c>
      <c r="R1322">
        <f>IF(COUNTIFS('United Data'!$A$3:$A$3390,R$1,'United Data'!$C$3:$C$3390,$A1322,'United Data'!$B$3:$B$3390,"&lt;&gt;Off-street")&gt;0,1,0)</f>
        <v>0</v>
      </c>
      <c r="S1322">
        <f t="shared" si="40"/>
        <v>1</v>
      </c>
      <c r="T1322">
        <f t="shared" si="41"/>
        <v>1</v>
      </c>
    </row>
    <row r="1323" spans="1:20" x14ac:dyDescent="0.2">
      <c r="A1323" t="s">
        <v>1562</v>
      </c>
      <c r="B1323">
        <f>IF(COUNTIFS('United Data'!$A$3:$A$3390,B$1,'United Data'!$C$3:$C$3390,$A1323,'United Data'!$B$3:$B$3390,"&lt;&gt;Off-street")&gt;0,1,0)</f>
        <v>0</v>
      </c>
      <c r="C1323">
        <f>IF(COUNTIFS('United Data'!$A$3:$A$3390,C$1,'United Data'!$C$3:$C$3390,$A1323,'United Data'!$B$3:$B$3390,"&lt;&gt;Off-street")&gt;0,1,0)</f>
        <v>0</v>
      </c>
      <c r="D1323">
        <f>IF(COUNTIFS('United Data'!$A$3:$A$3390,D$1,'United Data'!$C$3:$C$3390,$A1323,'United Data'!$B$3:$B$3390,"&lt;&gt;Off-street")&gt;0,1,0)</f>
        <v>0</v>
      </c>
      <c r="E1323">
        <f>IF(COUNTIFS('United Data'!$A$3:$A$3390,E$1,'United Data'!$C$3:$C$3390,$A1323,'United Data'!$B$3:$B$3390,"&lt;&gt;Off-street")&gt;0,1,0)</f>
        <v>1</v>
      </c>
      <c r="F1323">
        <f>IF(COUNTIFS('United Data'!$A$3:$A$3390,F$1,'United Data'!$C$3:$C$3390,$A1323,'United Data'!$B$3:$B$3390,"&lt;&gt;Off-street")&gt;0,1,0)</f>
        <v>0</v>
      </c>
      <c r="G1323">
        <f>IF(COUNTIFS('United Data'!$A$3:$A$3390,G$1,'United Data'!$C$3:$C$3390,$A1323,'United Data'!$B$3:$B$3390,"&lt;&gt;Off-street")&gt;0,1,0)</f>
        <v>0</v>
      </c>
      <c r="H1323">
        <f>IF(COUNTIFS('United Data'!$A$3:$A$3390,H$1,'United Data'!$C$3:$C$3390,$A1323,'United Data'!$B$3:$B$3390,"&lt;&gt;Off-street")&gt;0,1,0)</f>
        <v>0</v>
      </c>
      <c r="I1323">
        <f>IF(COUNTIFS('United Data'!$A$3:$A$3390,I$1,'United Data'!$C$3:$C$3390,$A1323,'United Data'!$B$3:$B$3390,"&lt;&gt;Off-street")&gt;0,1,0)</f>
        <v>0</v>
      </c>
      <c r="J1323">
        <f>IF(COUNTIFS('United Data'!$A$3:$A$3390,J$1,'United Data'!$C$3:$C$3390,$A1323,'United Data'!$B$3:$B$3390,"&lt;&gt;Off-street")&gt;0,1,0)</f>
        <v>0</v>
      </c>
      <c r="K1323">
        <f>IF(COUNTIFS('United Data'!$A$3:$A$3390,K$1,'United Data'!$C$3:$C$3390,$A1323,'United Data'!$B$3:$B$3390,"&lt;&gt;Off-street")&gt;0,1,0)</f>
        <v>0</v>
      </c>
      <c r="L1323">
        <f>IF(COUNTIFS('United Data'!$A$3:$A$3390,L$1,'United Data'!$C$3:$C$3390,$A1323,'United Data'!$B$3:$B$3390,"&lt;&gt;Off-street")&gt;0,1,0)</f>
        <v>0</v>
      </c>
      <c r="M1323">
        <f>IF(COUNTIFS('United Data'!$A$3:$A$3390,M$1,'United Data'!$C$3:$C$3390,$A1323,'United Data'!$B$3:$B$3390,"&lt;&gt;Off-street")&gt;0,1,0)</f>
        <v>0</v>
      </c>
      <c r="N1323">
        <f>IF(COUNTIFS('United Data'!$A$3:$A$3390,N$1,'United Data'!$C$3:$C$3390,$A1323,'United Data'!$B$3:$B$3390,"&lt;&gt;Off-street")&gt;0,1,0)</f>
        <v>0</v>
      </c>
      <c r="O1323">
        <f>IF(COUNTIFS('United Data'!$A$3:$A$3390,O$1,'United Data'!$C$3:$C$3390,$A1323,'United Data'!$B$3:$B$3390,"&lt;&gt;Off-street")&gt;0,1,0)</f>
        <v>0</v>
      </c>
      <c r="P1323">
        <f>IF(COUNTIFS('United Data'!$A$3:$A$3390,P$1,'United Data'!$C$3:$C$3390,$A1323,'United Data'!$B$3:$B$3390,"&lt;&gt;Off-street")&gt;0,1,0)</f>
        <v>0</v>
      </c>
      <c r="Q1323">
        <f>IF(COUNTIFS('United Data'!$A$3:$A$3390,Q$1,'United Data'!$C$3:$C$3390,$A1323,'United Data'!$B$3:$B$3390,"&lt;&gt;Off-street")&gt;0,1,0)</f>
        <v>0</v>
      </c>
      <c r="R1323">
        <f>IF(COUNTIFS('United Data'!$A$3:$A$3390,R$1,'United Data'!$C$3:$C$3390,$A1323,'United Data'!$B$3:$B$3390,"&lt;&gt;Off-street")&gt;0,1,0)</f>
        <v>0</v>
      </c>
      <c r="S1323">
        <f t="shared" si="40"/>
        <v>1</v>
      </c>
      <c r="T1323">
        <f t="shared" si="41"/>
        <v>1</v>
      </c>
    </row>
    <row r="1324" spans="1:20" x14ac:dyDescent="0.2">
      <c r="A1324" t="s">
        <v>1563</v>
      </c>
      <c r="B1324">
        <f>IF(COUNTIFS('United Data'!$A$3:$A$3390,B$1,'United Data'!$C$3:$C$3390,$A1324,'United Data'!$B$3:$B$3390,"&lt;&gt;Off-street")&gt;0,1,0)</f>
        <v>0</v>
      </c>
      <c r="C1324">
        <f>IF(COUNTIFS('United Data'!$A$3:$A$3390,C$1,'United Data'!$C$3:$C$3390,$A1324,'United Data'!$B$3:$B$3390,"&lt;&gt;Off-street")&gt;0,1,0)</f>
        <v>0</v>
      </c>
      <c r="D1324">
        <f>IF(COUNTIFS('United Data'!$A$3:$A$3390,D$1,'United Data'!$C$3:$C$3390,$A1324,'United Data'!$B$3:$B$3390,"&lt;&gt;Off-street")&gt;0,1,0)</f>
        <v>0</v>
      </c>
      <c r="E1324">
        <f>IF(COUNTIFS('United Data'!$A$3:$A$3390,E$1,'United Data'!$C$3:$C$3390,$A1324,'United Data'!$B$3:$B$3390,"&lt;&gt;Off-street")&gt;0,1,0)</f>
        <v>1</v>
      </c>
      <c r="F1324">
        <f>IF(COUNTIFS('United Data'!$A$3:$A$3390,F$1,'United Data'!$C$3:$C$3390,$A1324,'United Data'!$B$3:$B$3390,"&lt;&gt;Off-street")&gt;0,1,0)</f>
        <v>0</v>
      </c>
      <c r="G1324">
        <f>IF(COUNTIFS('United Data'!$A$3:$A$3390,G$1,'United Data'!$C$3:$C$3390,$A1324,'United Data'!$B$3:$B$3390,"&lt;&gt;Off-street")&gt;0,1,0)</f>
        <v>0</v>
      </c>
      <c r="H1324">
        <f>IF(COUNTIFS('United Data'!$A$3:$A$3390,H$1,'United Data'!$C$3:$C$3390,$A1324,'United Data'!$B$3:$B$3390,"&lt;&gt;Off-street")&gt;0,1,0)</f>
        <v>0</v>
      </c>
      <c r="I1324">
        <f>IF(COUNTIFS('United Data'!$A$3:$A$3390,I$1,'United Data'!$C$3:$C$3390,$A1324,'United Data'!$B$3:$B$3390,"&lt;&gt;Off-street")&gt;0,1,0)</f>
        <v>0</v>
      </c>
      <c r="J1324">
        <f>IF(COUNTIFS('United Data'!$A$3:$A$3390,J$1,'United Data'!$C$3:$C$3390,$A1324,'United Data'!$B$3:$B$3390,"&lt;&gt;Off-street")&gt;0,1,0)</f>
        <v>0</v>
      </c>
      <c r="K1324">
        <f>IF(COUNTIFS('United Data'!$A$3:$A$3390,K$1,'United Data'!$C$3:$C$3390,$A1324,'United Data'!$B$3:$B$3390,"&lt;&gt;Off-street")&gt;0,1,0)</f>
        <v>0</v>
      </c>
      <c r="L1324">
        <f>IF(COUNTIFS('United Data'!$A$3:$A$3390,L$1,'United Data'!$C$3:$C$3390,$A1324,'United Data'!$B$3:$B$3390,"&lt;&gt;Off-street")&gt;0,1,0)</f>
        <v>0</v>
      </c>
      <c r="M1324">
        <f>IF(COUNTIFS('United Data'!$A$3:$A$3390,M$1,'United Data'!$C$3:$C$3390,$A1324,'United Data'!$B$3:$B$3390,"&lt;&gt;Off-street")&gt;0,1,0)</f>
        <v>0</v>
      </c>
      <c r="N1324">
        <f>IF(COUNTIFS('United Data'!$A$3:$A$3390,N$1,'United Data'!$C$3:$C$3390,$A1324,'United Data'!$B$3:$B$3390,"&lt;&gt;Off-street")&gt;0,1,0)</f>
        <v>0</v>
      </c>
      <c r="O1324">
        <f>IF(COUNTIFS('United Data'!$A$3:$A$3390,O$1,'United Data'!$C$3:$C$3390,$A1324,'United Data'!$B$3:$B$3390,"&lt;&gt;Off-street")&gt;0,1,0)</f>
        <v>0</v>
      </c>
      <c r="P1324">
        <f>IF(COUNTIFS('United Data'!$A$3:$A$3390,P$1,'United Data'!$C$3:$C$3390,$A1324,'United Data'!$B$3:$B$3390,"&lt;&gt;Off-street")&gt;0,1,0)</f>
        <v>0</v>
      </c>
      <c r="Q1324">
        <f>IF(COUNTIFS('United Data'!$A$3:$A$3390,Q$1,'United Data'!$C$3:$C$3390,$A1324,'United Data'!$B$3:$B$3390,"&lt;&gt;Off-street")&gt;0,1,0)</f>
        <v>0</v>
      </c>
      <c r="R1324">
        <f>IF(COUNTIFS('United Data'!$A$3:$A$3390,R$1,'United Data'!$C$3:$C$3390,$A1324,'United Data'!$B$3:$B$3390,"&lt;&gt;Off-street")&gt;0,1,0)</f>
        <v>0</v>
      </c>
      <c r="S1324">
        <f t="shared" si="40"/>
        <v>1</v>
      </c>
      <c r="T1324">
        <f t="shared" si="41"/>
        <v>1</v>
      </c>
    </row>
    <row r="1325" spans="1:20" x14ac:dyDescent="0.2">
      <c r="A1325" t="s">
        <v>1564</v>
      </c>
      <c r="B1325">
        <f>IF(COUNTIFS('United Data'!$A$3:$A$3390,B$1,'United Data'!$C$3:$C$3390,$A1325,'United Data'!$B$3:$B$3390,"&lt;&gt;Off-street")&gt;0,1,0)</f>
        <v>0</v>
      </c>
      <c r="C1325">
        <f>IF(COUNTIFS('United Data'!$A$3:$A$3390,C$1,'United Data'!$C$3:$C$3390,$A1325,'United Data'!$B$3:$B$3390,"&lt;&gt;Off-street")&gt;0,1,0)</f>
        <v>0</v>
      </c>
      <c r="D1325">
        <f>IF(COUNTIFS('United Data'!$A$3:$A$3390,D$1,'United Data'!$C$3:$C$3390,$A1325,'United Data'!$B$3:$B$3390,"&lt;&gt;Off-street")&gt;0,1,0)</f>
        <v>0</v>
      </c>
      <c r="E1325">
        <f>IF(COUNTIFS('United Data'!$A$3:$A$3390,E$1,'United Data'!$C$3:$C$3390,$A1325,'United Data'!$B$3:$B$3390,"&lt;&gt;Off-street")&gt;0,1,0)</f>
        <v>1</v>
      </c>
      <c r="F1325">
        <f>IF(COUNTIFS('United Data'!$A$3:$A$3390,F$1,'United Data'!$C$3:$C$3390,$A1325,'United Data'!$B$3:$B$3390,"&lt;&gt;Off-street")&gt;0,1,0)</f>
        <v>0</v>
      </c>
      <c r="G1325">
        <f>IF(COUNTIFS('United Data'!$A$3:$A$3390,G$1,'United Data'!$C$3:$C$3390,$A1325,'United Data'!$B$3:$B$3390,"&lt;&gt;Off-street")&gt;0,1,0)</f>
        <v>1</v>
      </c>
      <c r="H1325">
        <f>IF(COUNTIFS('United Data'!$A$3:$A$3390,H$1,'United Data'!$C$3:$C$3390,$A1325,'United Data'!$B$3:$B$3390,"&lt;&gt;Off-street")&gt;0,1,0)</f>
        <v>0</v>
      </c>
      <c r="I1325">
        <f>IF(COUNTIFS('United Data'!$A$3:$A$3390,I$1,'United Data'!$C$3:$C$3390,$A1325,'United Data'!$B$3:$B$3390,"&lt;&gt;Off-street")&gt;0,1,0)</f>
        <v>0</v>
      </c>
      <c r="J1325">
        <f>IF(COUNTIFS('United Data'!$A$3:$A$3390,J$1,'United Data'!$C$3:$C$3390,$A1325,'United Data'!$B$3:$B$3390,"&lt;&gt;Off-street")&gt;0,1,0)</f>
        <v>0</v>
      </c>
      <c r="K1325">
        <f>IF(COUNTIFS('United Data'!$A$3:$A$3390,K$1,'United Data'!$C$3:$C$3390,$A1325,'United Data'!$B$3:$B$3390,"&lt;&gt;Off-street")&gt;0,1,0)</f>
        <v>0</v>
      </c>
      <c r="L1325">
        <f>IF(COUNTIFS('United Data'!$A$3:$A$3390,L$1,'United Data'!$C$3:$C$3390,$A1325,'United Data'!$B$3:$B$3390,"&lt;&gt;Off-street")&gt;0,1,0)</f>
        <v>0</v>
      </c>
      <c r="M1325">
        <f>IF(COUNTIFS('United Data'!$A$3:$A$3390,M$1,'United Data'!$C$3:$C$3390,$A1325,'United Data'!$B$3:$B$3390,"&lt;&gt;Off-street")&gt;0,1,0)</f>
        <v>0</v>
      </c>
      <c r="N1325">
        <f>IF(COUNTIFS('United Data'!$A$3:$A$3390,N$1,'United Data'!$C$3:$C$3390,$A1325,'United Data'!$B$3:$B$3390,"&lt;&gt;Off-street")&gt;0,1,0)</f>
        <v>0</v>
      </c>
      <c r="O1325">
        <f>IF(COUNTIFS('United Data'!$A$3:$A$3390,O$1,'United Data'!$C$3:$C$3390,$A1325,'United Data'!$B$3:$B$3390,"&lt;&gt;Off-street")&gt;0,1,0)</f>
        <v>0</v>
      </c>
      <c r="P1325">
        <f>IF(COUNTIFS('United Data'!$A$3:$A$3390,P$1,'United Data'!$C$3:$C$3390,$A1325,'United Data'!$B$3:$B$3390,"&lt;&gt;Off-street")&gt;0,1,0)</f>
        <v>0</v>
      </c>
      <c r="Q1325">
        <f>IF(COUNTIFS('United Data'!$A$3:$A$3390,Q$1,'United Data'!$C$3:$C$3390,$A1325,'United Data'!$B$3:$B$3390,"&lt;&gt;Off-street")&gt;0,1,0)</f>
        <v>0</v>
      </c>
      <c r="R1325">
        <f>IF(COUNTIFS('United Data'!$A$3:$A$3390,R$1,'United Data'!$C$3:$C$3390,$A1325,'United Data'!$B$3:$B$3390,"&lt;&gt;Off-street")&gt;0,1,0)</f>
        <v>0</v>
      </c>
      <c r="S1325">
        <f t="shared" si="40"/>
        <v>2</v>
      </c>
      <c r="T1325">
        <f t="shared" si="41"/>
        <v>2</v>
      </c>
    </row>
    <row r="1326" spans="1:20" x14ac:dyDescent="0.2">
      <c r="A1326" t="s">
        <v>1565</v>
      </c>
      <c r="B1326">
        <f>IF(COUNTIFS('United Data'!$A$3:$A$3390,B$1,'United Data'!$C$3:$C$3390,$A1326,'United Data'!$B$3:$B$3390,"&lt;&gt;Off-street")&gt;0,1,0)</f>
        <v>0</v>
      </c>
      <c r="C1326">
        <f>IF(COUNTIFS('United Data'!$A$3:$A$3390,C$1,'United Data'!$C$3:$C$3390,$A1326,'United Data'!$B$3:$B$3390,"&lt;&gt;Off-street")&gt;0,1,0)</f>
        <v>0</v>
      </c>
      <c r="D1326">
        <f>IF(COUNTIFS('United Data'!$A$3:$A$3390,D$1,'United Data'!$C$3:$C$3390,$A1326,'United Data'!$B$3:$B$3390,"&lt;&gt;Off-street")&gt;0,1,0)</f>
        <v>0</v>
      </c>
      <c r="E1326">
        <f>IF(COUNTIFS('United Data'!$A$3:$A$3390,E$1,'United Data'!$C$3:$C$3390,$A1326,'United Data'!$B$3:$B$3390,"&lt;&gt;Off-street")&gt;0,1,0)</f>
        <v>1</v>
      </c>
      <c r="F1326">
        <f>IF(COUNTIFS('United Data'!$A$3:$A$3390,F$1,'United Data'!$C$3:$C$3390,$A1326,'United Data'!$B$3:$B$3390,"&lt;&gt;Off-street")&gt;0,1,0)</f>
        <v>0</v>
      </c>
      <c r="G1326">
        <f>IF(COUNTIFS('United Data'!$A$3:$A$3390,G$1,'United Data'!$C$3:$C$3390,$A1326,'United Data'!$B$3:$B$3390,"&lt;&gt;Off-street")&gt;0,1,0)</f>
        <v>0</v>
      </c>
      <c r="H1326">
        <f>IF(COUNTIFS('United Data'!$A$3:$A$3390,H$1,'United Data'!$C$3:$C$3390,$A1326,'United Data'!$B$3:$B$3390,"&lt;&gt;Off-street")&gt;0,1,0)</f>
        <v>0</v>
      </c>
      <c r="I1326">
        <f>IF(COUNTIFS('United Data'!$A$3:$A$3390,I$1,'United Data'!$C$3:$C$3390,$A1326,'United Data'!$B$3:$B$3390,"&lt;&gt;Off-street")&gt;0,1,0)</f>
        <v>0</v>
      </c>
      <c r="J1326">
        <f>IF(COUNTIFS('United Data'!$A$3:$A$3390,J$1,'United Data'!$C$3:$C$3390,$A1326,'United Data'!$B$3:$B$3390,"&lt;&gt;Off-street")&gt;0,1,0)</f>
        <v>0</v>
      </c>
      <c r="K1326">
        <f>IF(COUNTIFS('United Data'!$A$3:$A$3390,K$1,'United Data'!$C$3:$C$3390,$A1326,'United Data'!$B$3:$B$3390,"&lt;&gt;Off-street")&gt;0,1,0)</f>
        <v>0</v>
      </c>
      <c r="L1326">
        <f>IF(COUNTIFS('United Data'!$A$3:$A$3390,L$1,'United Data'!$C$3:$C$3390,$A1326,'United Data'!$B$3:$B$3390,"&lt;&gt;Off-street")&gt;0,1,0)</f>
        <v>0</v>
      </c>
      <c r="M1326">
        <f>IF(COUNTIFS('United Data'!$A$3:$A$3390,M$1,'United Data'!$C$3:$C$3390,$A1326,'United Data'!$B$3:$B$3390,"&lt;&gt;Off-street")&gt;0,1,0)</f>
        <v>0</v>
      </c>
      <c r="N1326">
        <f>IF(COUNTIFS('United Data'!$A$3:$A$3390,N$1,'United Data'!$C$3:$C$3390,$A1326,'United Data'!$B$3:$B$3390,"&lt;&gt;Off-street")&gt;0,1,0)</f>
        <v>0</v>
      </c>
      <c r="O1326">
        <f>IF(COUNTIFS('United Data'!$A$3:$A$3390,O$1,'United Data'!$C$3:$C$3390,$A1326,'United Data'!$B$3:$B$3390,"&lt;&gt;Off-street")&gt;0,1,0)</f>
        <v>0</v>
      </c>
      <c r="P1326">
        <f>IF(COUNTIFS('United Data'!$A$3:$A$3390,P$1,'United Data'!$C$3:$C$3390,$A1326,'United Data'!$B$3:$B$3390,"&lt;&gt;Off-street")&gt;0,1,0)</f>
        <v>0</v>
      </c>
      <c r="Q1326">
        <f>IF(COUNTIFS('United Data'!$A$3:$A$3390,Q$1,'United Data'!$C$3:$C$3390,$A1326,'United Data'!$B$3:$B$3390,"&lt;&gt;Off-street")&gt;0,1,0)</f>
        <v>0</v>
      </c>
      <c r="R1326">
        <f>IF(COUNTIFS('United Data'!$A$3:$A$3390,R$1,'United Data'!$C$3:$C$3390,$A1326,'United Data'!$B$3:$B$3390,"&lt;&gt;Off-street")&gt;0,1,0)</f>
        <v>0</v>
      </c>
      <c r="S1326">
        <f t="shared" si="40"/>
        <v>1</v>
      </c>
      <c r="T1326">
        <f t="shared" si="41"/>
        <v>1</v>
      </c>
    </row>
    <row r="1327" spans="1:20" x14ac:dyDescent="0.2">
      <c r="A1327" t="s">
        <v>1567</v>
      </c>
      <c r="B1327">
        <f>IF(COUNTIFS('United Data'!$A$3:$A$3390,B$1,'United Data'!$C$3:$C$3390,$A1327,'United Data'!$B$3:$B$3390,"&lt;&gt;Off-street")&gt;0,1,0)</f>
        <v>0</v>
      </c>
      <c r="C1327">
        <f>IF(COUNTIFS('United Data'!$A$3:$A$3390,C$1,'United Data'!$C$3:$C$3390,$A1327,'United Data'!$B$3:$B$3390,"&lt;&gt;Off-street")&gt;0,1,0)</f>
        <v>0</v>
      </c>
      <c r="D1327">
        <f>IF(COUNTIFS('United Data'!$A$3:$A$3390,D$1,'United Data'!$C$3:$C$3390,$A1327,'United Data'!$B$3:$B$3390,"&lt;&gt;Off-street")&gt;0,1,0)</f>
        <v>0</v>
      </c>
      <c r="E1327">
        <f>IF(COUNTIFS('United Data'!$A$3:$A$3390,E$1,'United Data'!$C$3:$C$3390,$A1327,'United Data'!$B$3:$B$3390,"&lt;&gt;Off-street")&gt;0,1,0)</f>
        <v>0</v>
      </c>
      <c r="F1327">
        <f>IF(COUNTIFS('United Data'!$A$3:$A$3390,F$1,'United Data'!$C$3:$C$3390,$A1327,'United Data'!$B$3:$B$3390,"&lt;&gt;Off-street")&gt;0,1,0)</f>
        <v>1</v>
      </c>
      <c r="G1327">
        <f>IF(COUNTIFS('United Data'!$A$3:$A$3390,G$1,'United Data'!$C$3:$C$3390,$A1327,'United Data'!$B$3:$B$3390,"&lt;&gt;Off-street")&gt;0,1,0)</f>
        <v>0</v>
      </c>
      <c r="H1327">
        <f>IF(COUNTIFS('United Data'!$A$3:$A$3390,H$1,'United Data'!$C$3:$C$3390,$A1327,'United Data'!$B$3:$B$3390,"&lt;&gt;Off-street")&gt;0,1,0)</f>
        <v>0</v>
      </c>
      <c r="I1327">
        <f>IF(COUNTIFS('United Data'!$A$3:$A$3390,I$1,'United Data'!$C$3:$C$3390,$A1327,'United Data'!$B$3:$B$3390,"&lt;&gt;Off-street")&gt;0,1,0)</f>
        <v>0</v>
      </c>
      <c r="J1327">
        <f>IF(COUNTIFS('United Data'!$A$3:$A$3390,J$1,'United Data'!$C$3:$C$3390,$A1327,'United Data'!$B$3:$B$3390,"&lt;&gt;Off-street")&gt;0,1,0)</f>
        <v>0</v>
      </c>
      <c r="K1327">
        <f>IF(COUNTIFS('United Data'!$A$3:$A$3390,K$1,'United Data'!$C$3:$C$3390,$A1327,'United Data'!$B$3:$B$3390,"&lt;&gt;Off-street")&gt;0,1,0)</f>
        <v>0</v>
      </c>
      <c r="L1327">
        <f>IF(COUNTIFS('United Data'!$A$3:$A$3390,L$1,'United Data'!$C$3:$C$3390,$A1327,'United Data'!$B$3:$B$3390,"&lt;&gt;Off-street")&gt;0,1,0)</f>
        <v>0</v>
      </c>
      <c r="M1327">
        <f>IF(COUNTIFS('United Data'!$A$3:$A$3390,M$1,'United Data'!$C$3:$C$3390,$A1327,'United Data'!$B$3:$B$3390,"&lt;&gt;Off-street")&gt;0,1,0)</f>
        <v>0</v>
      </c>
      <c r="N1327">
        <f>IF(COUNTIFS('United Data'!$A$3:$A$3390,N$1,'United Data'!$C$3:$C$3390,$A1327,'United Data'!$B$3:$B$3390,"&lt;&gt;Off-street")&gt;0,1,0)</f>
        <v>0</v>
      </c>
      <c r="O1327">
        <f>IF(COUNTIFS('United Data'!$A$3:$A$3390,O$1,'United Data'!$C$3:$C$3390,$A1327,'United Data'!$B$3:$B$3390,"&lt;&gt;Off-street")&gt;0,1,0)</f>
        <v>0</v>
      </c>
      <c r="P1327">
        <f>IF(COUNTIFS('United Data'!$A$3:$A$3390,P$1,'United Data'!$C$3:$C$3390,$A1327,'United Data'!$B$3:$B$3390,"&lt;&gt;Off-street")&gt;0,1,0)</f>
        <v>0</v>
      </c>
      <c r="Q1327">
        <f>IF(COUNTIFS('United Data'!$A$3:$A$3390,Q$1,'United Data'!$C$3:$C$3390,$A1327,'United Data'!$B$3:$B$3390,"&lt;&gt;Off-street")&gt;0,1,0)</f>
        <v>0</v>
      </c>
      <c r="R1327">
        <f>IF(COUNTIFS('United Data'!$A$3:$A$3390,R$1,'United Data'!$C$3:$C$3390,$A1327,'United Data'!$B$3:$B$3390,"&lt;&gt;Off-street")&gt;0,1,0)</f>
        <v>0</v>
      </c>
      <c r="S1327">
        <f t="shared" si="40"/>
        <v>1</v>
      </c>
      <c r="T1327">
        <f t="shared" si="41"/>
        <v>1</v>
      </c>
    </row>
    <row r="1328" spans="1:20" x14ac:dyDescent="0.2">
      <c r="A1328" t="s">
        <v>1568</v>
      </c>
      <c r="B1328">
        <f>IF(COUNTIFS('United Data'!$A$3:$A$3390,B$1,'United Data'!$C$3:$C$3390,$A1328,'United Data'!$B$3:$B$3390,"&lt;&gt;Off-street")&gt;0,1,0)</f>
        <v>0</v>
      </c>
      <c r="C1328">
        <f>IF(COUNTIFS('United Data'!$A$3:$A$3390,C$1,'United Data'!$C$3:$C$3390,$A1328,'United Data'!$B$3:$B$3390,"&lt;&gt;Off-street")&gt;0,1,0)</f>
        <v>0</v>
      </c>
      <c r="D1328">
        <f>IF(COUNTIFS('United Data'!$A$3:$A$3390,D$1,'United Data'!$C$3:$C$3390,$A1328,'United Data'!$B$3:$B$3390,"&lt;&gt;Off-street")&gt;0,1,0)</f>
        <v>0</v>
      </c>
      <c r="E1328">
        <f>IF(COUNTIFS('United Data'!$A$3:$A$3390,E$1,'United Data'!$C$3:$C$3390,$A1328,'United Data'!$B$3:$B$3390,"&lt;&gt;Off-street")&gt;0,1,0)</f>
        <v>0</v>
      </c>
      <c r="F1328">
        <f>IF(COUNTIFS('United Data'!$A$3:$A$3390,F$1,'United Data'!$C$3:$C$3390,$A1328,'United Data'!$B$3:$B$3390,"&lt;&gt;Off-street")&gt;0,1,0)</f>
        <v>1</v>
      </c>
      <c r="G1328">
        <f>IF(COUNTIFS('United Data'!$A$3:$A$3390,G$1,'United Data'!$C$3:$C$3390,$A1328,'United Data'!$B$3:$B$3390,"&lt;&gt;Off-street")&gt;0,1,0)</f>
        <v>0</v>
      </c>
      <c r="H1328">
        <f>IF(COUNTIFS('United Data'!$A$3:$A$3390,H$1,'United Data'!$C$3:$C$3390,$A1328,'United Data'!$B$3:$B$3390,"&lt;&gt;Off-street")&gt;0,1,0)</f>
        <v>0</v>
      </c>
      <c r="I1328">
        <f>IF(COUNTIFS('United Data'!$A$3:$A$3390,I$1,'United Data'!$C$3:$C$3390,$A1328,'United Data'!$B$3:$B$3390,"&lt;&gt;Off-street")&gt;0,1,0)</f>
        <v>0</v>
      </c>
      <c r="J1328">
        <f>IF(COUNTIFS('United Data'!$A$3:$A$3390,J$1,'United Data'!$C$3:$C$3390,$A1328,'United Data'!$B$3:$B$3390,"&lt;&gt;Off-street")&gt;0,1,0)</f>
        <v>0</v>
      </c>
      <c r="K1328">
        <f>IF(COUNTIFS('United Data'!$A$3:$A$3390,K$1,'United Data'!$C$3:$C$3390,$A1328,'United Data'!$B$3:$B$3390,"&lt;&gt;Off-street")&gt;0,1,0)</f>
        <v>0</v>
      </c>
      <c r="L1328">
        <f>IF(COUNTIFS('United Data'!$A$3:$A$3390,L$1,'United Data'!$C$3:$C$3390,$A1328,'United Data'!$B$3:$B$3390,"&lt;&gt;Off-street")&gt;0,1,0)</f>
        <v>0</v>
      </c>
      <c r="M1328">
        <f>IF(COUNTIFS('United Data'!$A$3:$A$3390,M$1,'United Data'!$C$3:$C$3390,$A1328,'United Data'!$B$3:$B$3390,"&lt;&gt;Off-street")&gt;0,1,0)</f>
        <v>0</v>
      </c>
      <c r="N1328">
        <f>IF(COUNTIFS('United Data'!$A$3:$A$3390,N$1,'United Data'!$C$3:$C$3390,$A1328,'United Data'!$B$3:$B$3390,"&lt;&gt;Off-street")&gt;0,1,0)</f>
        <v>0</v>
      </c>
      <c r="O1328">
        <f>IF(COUNTIFS('United Data'!$A$3:$A$3390,O$1,'United Data'!$C$3:$C$3390,$A1328,'United Data'!$B$3:$B$3390,"&lt;&gt;Off-street")&gt;0,1,0)</f>
        <v>0</v>
      </c>
      <c r="P1328">
        <f>IF(COUNTIFS('United Data'!$A$3:$A$3390,P$1,'United Data'!$C$3:$C$3390,$A1328,'United Data'!$B$3:$B$3390,"&lt;&gt;Off-street")&gt;0,1,0)</f>
        <v>0</v>
      </c>
      <c r="Q1328">
        <f>IF(COUNTIFS('United Data'!$A$3:$A$3390,Q$1,'United Data'!$C$3:$C$3390,$A1328,'United Data'!$B$3:$B$3390,"&lt;&gt;Off-street")&gt;0,1,0)</f>
        <v>0</v>
      </c>
      <c r="R1328">
        <f>IF(COUNTIFS('United Data'!$A$3:$A$3390,R$1,'United Data'!$C$3:$C$3390,$A1328,'United Data'!$B$3:$B$3390,"&lt;&gt;Off-street")&gt;0,1,0)</f>
        <v>0</v>
      </c>
      <c r="S1328">
        <f t="shared" si="40"/>
        <v>1</v>
      </c>
      <c r="T1328">
        <f t="shared" si="41"/>
        <v>1</v>
      </c>
    </row>
    <row r="1329" spans="1:20" x14ac:dyDescent="0.2">
      <c r="A1329" t="s">
        <v>1569</v>
      </c>
      <c r="B1329">
        <f>IF(COUNTIFS('United Data'!$A$3:$A$3390,B$1,'United Data'!$C$3:$C$3390,$A1329,'United Data'!$B$3:$B$3390,"&lt;&gt;Off-street")&gt;0,1,0)</f>
        <v>0</v>
      </c>
      <c r="C1329">
        <f>IF(COUNTIFS('United Data'!$A$3:$A$3390,C$1,'United Data'!$C$3:$C$3390,$A1329,'United Data'!$B$3:$B$3390,"&lt;&gt;Off-street")&gt;0,1,0)</f>
        <v>0</v>
      </c>
      <c r="D1329">
        <f>IF(COUNTIFS('United Data'!$A$3:$A$3390,D$1,'United Data'!$C$3:$C$3390,$A1329,'United Data'!$B$3:$B$3390,"&lt;&gt;Off-street")&gt;0,1,0)</f>
        <v>0</v>
      </c>
      <c r="E1329">
        <f>IF(COUNTIFS('United Data'!$A$3:$A$3390,E$1,'United Data'!$C$3:$C$3390,$A1329,'United Data'!$B$3:$B$3390,"&lt;&gt;Off-street")&gt;0,1,0)</f>
        <v>0</v>
      </c>
      <c r="F1329">
        <f>IF(COUNTIFS('United Data'!$A$3:$A$3390,F$1,'United Data'!$C$3:$C$3390,$A1329,'United Data'!$B$3:$B$3390,"&lt;&gt;Off-street")&gt;0,1,0)</f>
        <v>1</v>
      </c>
      <c r="G1329">
        <f>IF(COUNTIFS('United Data'!$A$3:$A$3390,G$1,'United Data'!$C$3:$C$3390,$A1329,'United Data'!$B$3:$B$3390,"&lt;&gt;Off-street")&gt;0,1,0)</f>
        <v>0</v>
      </c>
      <c r="H1329">
        <f>IF(COUNTIFS('United Data'!$A$3:$A$3390,H$1,'United Data'!$C$3:$C$3390,$A1329,'United Data'!$B$3:$B$3390,"&lt;&gt;Off-street")&gt;0,1,0)</f>
        <v>0</v>
      </c>
      <c r="I1329">
        <f>IF(COUNTIFS('United Data'!$A$3:$A$3390,I$1,'United Data'!$C$3:$C$3390,$A1329,'United Data'!$B$3:$B$3390,"&lt;&gt;Off-street")&gt;0,1,0)</f>
        <v>0</v>
      </c>
      <c r="J1329">
        <f>IF(COUNTIFS('United Data'!$A$3:$A$3390,J$1,'United Data'!$C$3:$C$3390,$A1329,'United Data'!$B$3:$B$3390,"&lt;&gt;Off-street")&gt;0,1,0)</f>
        <v>0</v>
      </c>
      <c r="K1329">
        <f>IF(COUNTIFS('United Data'!$A$3:$A$3390,K$1,'United Data'!$C$3:$C$3390,$A1329,'United Data'!$B$3:$B$3390,"&lt;&gt;Off-street")&gt;0,1,0)</f>
        <v>0</v>
      </c>
      <c r="L1329">
        <f>IF(COUNTIFS('United Data'!$A$3:$A$3390,L$1,'United Data'!$C$3:$C$3390,$A1329,'United Data'!$B$3:$B$3390,"&lt;&gt;Off-street")&gt;0,1,0)</f>
        <v>0</v>
      </c>
      <c r="M1329">
        <f>IF(COUNTIFS('United Data'!$A$3:$A$3390,M$1,'United Data'!$C$3:$C$3390,$A1329,'United Data'!$B$3:$B$3390,"&lt;&gt;Off-street")&gt;0,1,0)</f>
        <v>0</v>
      </c>
      <c r="N1329">
        <f>IF(COUNTIFS('United Data'!$A$3:$A$3390,N$1,'United Data'!$C$3:$C$3390,$A1329,'United Data'!$B$3:$B$3390,"&lt;&gt;Off-street")&gt;0,1,0)</f>
        <v>0</v>
      </c>
      <c r="O1329">
        <f>IF(COUNTIFS('United Data'!$A$3:$A$3390,O$1,'United Data'!$C$3:$C$3390,$A1329,'United Data'!$B$3:$B$3390,"&lt;&gt;Off-street")&gt;0,1,0)</f>
        <v>0</v>
      </c>
      <c r="P1329">
        <f>IF(COUNTIFS('United Data'!$A$3:$A$3390,P$1,'United Data'!$C$3:$C$3390,$A1329,'United Data'!$B$3:$B$3390,"&lt;&gt;Off-street")&gt;0,1,0)</f>
        <v>0</v>
      </c>
      <c r="Q1329">
        <f>IF(COUNTIFS('United Data'!$A$3:$A$3390,Q$1,'United Data'!$C$3:$C$3390,$A1329,'United Data'!$B$3:$B$3390,"&lt;&gt;Off-street")&gt;0,1,0)</f>
        <v>0</v>
      </c>
      <c r="R1329">
        <f>IF(COUNTIFS('United Data'!$A$3:$A$3390,R$1,'United Data'!$C$3:$C$3390,$A1329,'United Data'!$B$3:$B$3390,"&lt;&gt;Off-street")&gt;0,1,0)</f>
        <v>0</v>
      </c>
      <c r="S1329">
        <f t="shared" si="40"/>
        <v>1</v>
      </c>
      <c r="T1329">
        <f t="shared" si="41"/>
        <v>1</v>
      </c>
    </row>
    <row r="1330" spans="1:20" x14ac:dyDescent="0.2">
      <c r="A1330" t="s">
        <v>1570</v>
      </c>
      <c r="B1330">
        <f>IF(COUNTIFS('United Data'!$A$3:$A$3390,B$1,'United Data'!$C$3:$C$3390,$A1330,'United Data'!$B$3:$B$3390,"&lt;&gt;Off-street")&gt;0,1,0)</f>
        <v>0</v>
      </c>
      <c r="C1330">
        <f>IF(COUNTIFS('United Data'!$A$3:$A$3390,C$1,'United Data'!$C$3:$C$3390,$A1330,'United Data'!$B$3:$B$3390,"&lt;&gt;Off-street")&gt;0,1,0)</f>
        <v>0</v>
      </c>
      <c r="D1330">
        <f>IF(COUNTIFS('United Data'!$A$3:$A$3390,D$1,'United Data'!$C$3:$C$3390,$A1330,'United Data'!$B$3:$B$3390,"&lt;&gt;Off-street")&gt;0,1,0)</f>
        <v>0</v>
      </c>
      <c r="E1330">
        <f>IF(COUNTIFS('United Data'!$A$3:$A$3390,E$1,'United Data'!$C$3:$C$3390,$A1330,'United Data'!$B$3:$B$3390,"&lt;&gt;Off-street")&gt;0,1,0)</f>
        <v>0</v>
      </c>
      <c r="F1330">
        <f>IF(COUNTIFS('United Data'!$A$3:$A$3390,F$1,'United Data'!$C$3:$C$3390,$A1330,'United Data'!$B$3:$B$3390,"&lt;&gt;Off-street")&gt;0,1,0)</f>
        <v>1</v>
      </c>
      <c r="G1330">
        <f>IF(COUNTIFS('United Data'!$A$3:$A$3390,G$1,'United Data'!$C$3:$C$3390,$A1330,'United Data'!$B$3:$B$3390,"&lt;&gt;Off-street")&gt;0,1,0)</f>
        <v>1</v>
      </c>
      <c r="H1330">
        <f>IF(COUNTIFS('United Data'!$A$3:$A$3390,H$1,'United Data'!$C$3:$C$3390,$A1330,'United Data'!$B$3:$B$3390,"&lt;&gt;Off-street")&gt;0,1,0)</f>
        <v>0</v>
      </c>
      <c r="I1330">
        <f>IF(COUNTIFS('United Data'!$A$3:$A$3390,I$1,'United Data'!$C$3:$C$3390,$A1330,'United Data'!$B$3:$B$3390,"&lt;&gt;Off-street")&gt;0,1,0)</f>
        <v>0</v>
      </c>
      <c r="J1330">
        <f>IF(COUNTIFS('United Data'!$A$3:$A$3390,J$1,'United Data'!$C$3:$C$3390,$A1330,'United Data'!$B$3:$B$3390,"&lt;&gt;Off-street")&gt;0,1,0)</f>
        <v>0</v>
      </c>
      <c r="K1330">
        <f>IF(COUNTIFS('United Data'!$A$3:$A$3390,K$1,'United Data'!$C$3:$C$3390,$A1330,'United Data'!$B$3:$B$3390,"&lt;&gt;Off-street")&gt;0,1,0)</f>
        <v>0</v>
      </c>
      <c r="L1330">
        <f>IF(COUNTIFS('United Data'!$A$3:$A$3390,L$1,'United Data'!$C$3:$C$3390,$A1330,'United Data'!$B$3:$B$3390,"&lt;&gt;Off-street")&gt;0,1,0)</f>
        <v>0</v>
      </c>
      <c r="M1330">
        <f>IF(COUNTIFS('United Data'!$A$3:$A$3390,M$1,'United Data'!$C$3:$C$3390,$A1330,'United Data'!$B$3:$B$3390,"&lt;&gt;Off-street")&gt;0,1,0)</f>
        <v>0</v>
      </c>
      <c r="N1330">
        <f>IF(COUNTIFS('United Data'!$A$3:$A$3390,N$1,'United Data'!$C$3:$C$3390,$A1330,'United Data'!$B$3:$B$3390,"&lt;&gt;Off-street")&gt;0,1,0)</f>
        <v>0</v>
      </c>
      <c r="O1330">
        <f>IF(COUNTIFS('United Data'!$A$3:$A$3390,O$1,'United Data'!$C$3:$C$3390,$A1330,'United Data'!$B$3:$B$3390,"&lt;&gt;Off-street")&gt;0,1,0)</f>
        <v>0</v>
      </c>
      <c r="P1330">
        <f>IF(COUNTIFS('United Data'!$A$3:$A$3390,P$1,'United Data'!$C$3:$C$3390,$A1330,'United Data'!$B$3:$B$3390,"&lt;&gt;Off-street")&gt;0,1,0)</f>
        <v>0</v>
      </c>
      <c r="Q1330">
        <f>IF(COUNTIFS('United Data'!$A$3:$A$3390,Q$1,'United Data'!$C$3:$C$3390,$A1330,'United Data'!$B$3:$B$3390,"&lt;&gt;Off-street")&gt;0,1,0)</f>
        <v>0</v>
      </c>
      <c r="R1330">
        <f>IF(COUNTIFS('United Data'!$A$3:$A$3390,R$1,'United Data'!$C$3:$C$3390,$A1330,'United Data'!$B$3:$B$3390,"&lt;&gt;Off-street")&gt;0,1,0)</f>
        <v>0</v>
      </c>
      <c r="S1330">
        <f t="shared" si="40"/>
        <v>2</v>
      </c>
      <c r="T1330">
        <f t="shared" si="41"/>
        <v>1</v>
      </c>
    </row>
    <row r="1331" spans="1:20" x14ac:dyDescent="0.2">
      <c r="A1331" t="s">
        <v>1571</v>
      </c>
      <c r="B1331">
        <f>IF(COUNTIFS('United Data'!$A$3:$A$3390,B$1,'United Data'!$C$3:$C$3390,$A1331,'United Data'!$B$3:$B$3390,"&lt;&gt;Off-street")&gt;0,1,0)</f>
        <v>0</v>
      </c>
      <c r="C1331">
        <f>IF(COUNTIFS('United Data'!$A$3:$A$3390,C$1,'United Data'!$C$3:$C$3390,$A1331,'United Data'!$B$3:$B$3390,"&lt;&gt;Off-street")&gt;0,1,0)</f>
        <v>0</v>
      </c>
      <c r="D1331">
        <f>IF(COUNTIFS('United Data'!$A$3:$A$3390,D$1,'United Data'!$C$3:$C$3390,$A1331,'United Data'!$B$3:$B$3390,"&lt;&gt;Off-street")&gt;0,1,0)</f>
        <v>0</v>
      </c>
      <c r="E1331">
        <f>IF(COUNTIFS('United Data'!$A$3:$A$3390,E$1,'United Data'!$C$3:$C$3390,$A1331,'United Data'!$B$3:$B$3390,"&lt;&gt;Off-street")&gt;0,1,0)</f>
        <v>0</v>
      </c>
      <c r="F1331">
        <f>IF(COUNTIFS('United Data'!$A$3:$A$3390,F$1,'United Data'!$C$3:$C$3390,$A1331,'United Data'!$B$3:$B$3390,"&lt;&gt;Off-street")&gt;0,1,0)</f>
        <v>1</v>
      </c>
      <c r="G1331">
        <f>IF(COUNTIFS('United Data'!$A$3:$A$3390,G$1,'United Data'!$C$3:$C$3390,$A1331,'United Data'!$B$3:$B$3390,"&lt;&gt;Off-street")&gt;0,1,0)</f>
        <v>0</v>
      </c>
      <c r="H1331">
        <f>IF(COUNTIFS('United Data'!$A$3:$A$3390,H$1,'United Data'!$C$3:$C$3390,$A1331,'United Data'!$B$3:$B$3390,"&lt;&gt;Off-street")&gt;0,1,0)</f>
        <v>0</v>
      </c>
      <c r="I1331">
        <f>IF(COUNTIFS('United Data'!$A$3:$A$3390,I$1,'United Data'!$C$3:$C$3390,$A1331,'United Data'!$B$3:$B$3390,"&lt;&gt;Off-street")&gt;0,1,0)</f>
        <v>0</v>
      </c>
      <c r="J1331">
        <f>IF(COUNTIFS('United Data'!$A$3:$A$3390,J$1,'United Data'!$C$3:$C$3390,$A1331,'United Data'!$B$3:$B$3390,"&lt;&gt;Off-street")&gt;0,1,0)</f>
        <v>0</v>
      </c>
      <c r="K1331">
        <f>IF(COUNTIFS('United Data'!$A$3:$A$3390,K$1,'United Data'!$C$3:$C$3390,$A1331,'United Data'!$B$3:$B$3390,"&lt;&gt;Off-street")&gt;0,1,0)</f>
        <v>1</v>
      </c>
      <c r="L1331">
        <f>IF(COUNTIFS('United Data'!$A$3:$A$3390,L$1,'United Data'!$C$3:$C$3390,$A1331,'United Data'!$B$3:$B$3390,"&lt;&gt;Off-street")&gt;0,1,0)</f>
        <v>1</v>
      </c>
      <c r="M1331">
        <f>IF(COUNTIFS('United Data'!$A$3:$A$3390,M$1,'United Data'!$C$3:$C$3390,$A1331,'United Data'!$B$3:$B$3390,"&lt;&gt;Off-street")&gt;0,1,0)</f>
        <v>0</v>
      </c>
      <c r="N1331">
        <f>IF(COUNTIFS('United Data'!$A$3:$A$3390,N$1,'United Data'!$C$3:$C$3390,$A1331,'United Data'!$B$3:$B$3390,"&lt;&gt;Off-street")&gt;0,1,0)</f>
        <v>0</v>
      </c>
      <c r="O1331">
        <f>IF(COUNTIFS('United Data'!$A$3:$A$3390,O$1,'United Data'!$C$3:$C$3390,$A1331,'United Data'!$B$3:$B$3390,"&lt;&gt;Off-street")&gt;0,1,0)</f>
        <v>0</v>
      </c>
      <c r="P1331">
        <f>IF(COUNTIFS('United Data'!$A$3:$A$3390,P$1,'United Data'!$C$3:$C$3390,$A1331,'United Data'!$B$3:$B$3390,"&lt;&gt;Off-street")&gt;0,1,0)</f>
        <v>0</v>
      </c>
      <c r="Q1331">
        <f>IF(COUNTIFS('United Data'!$A$3:$A$3390,Q$1,'United Data'!$C$3:$C$3390,$A1331,'United Data'!$B$3:$B$3390,"&lt;&gt;Off-street")&gt;0,1,0)</f>
        <v>0</v>
      </c>
      <c r="R1331">
        <f>IF(COUNTIFS('United Data'!$A$3:$A$3390,R$1,'United Data'!$C$3:$C$3390,$A1331,'United Data'!$B$3:$B$3390,"&lt;&gt;Off-street")&gt;0,1,0)</f>
        <v>0</v>
      </c>
      <c r="S1331">
        <f t="shared" si="40"/>
        <v>3</v>
      </c>
      <c r="T1331">
        <f t="shared" si="41"/>
        <v>2</v>
      </c>
    </row>
    <row r="1332" spans="1:20" x14ac:dyDescent="0.2">
      <c r="A1332" t="s">
        <v>1572</v>
      </c>
      <c r="B1332">
        <f>IF(COUNTIFS('United Data'!$A$3:$A$3390,B$1,'United Data'!$C$3:$C$3390,$A1332,'United Data'!$B$3:$B$3390,"&lt;&gt;Off-street")&gt;0,1,0)</f>
        <v>0</v>
      </c>
      <c r="C1332">
        <f>IF(COUNTIFS('United Data'!$A$3:$A$3390,C$1,'United Data'!$C$3:$C$3390,$A1332,'United Data'!$B$3:$B$3390,"&lt;&gt;Off-street")&gt;0,1,0)</f>
        <v>0</v>
      </c>
      <c r="D1332">
        <f>IF(COUNTIFS('United Data'!$A$3:$A$3390,D$1,'United Data'!$C$3:$C$3390,$A1332,'United Data'!$B$3:$B$3390,"&lt;&gt;Off-street")&gt;0,1,0)</f>
        <v>0</v>
      </c>
      <c r="E1332">
        <f>IF(COUNTIFS('United Data'!$A$3:$A$3390,E$1,'United Data'!$C$3:$C$3390,$A1332,'United Data'!$B$3:$B$3390,"&lt;&gt;Off-street")&gt;0,1,0)</f>
        <v>0</v>
      </c>
      <c r="F1332">
        <f>IF(COUNTIFS('United Data'!$A$3:$A$3390,F$1,'United Data'!$C$3:$C$3390,$A1332,'United Data'!$B$3:$B$3390,"&lt;&gt;Off-street")&gt;0,1,0)</f>
        <v>0</v>
      </c>
      <c r="G1332">
        <f>IF(COUNTIFS('United Data'!$A$3:$A$3390,G$1,'United Data'!$C$3:$C$3390,$A1332,'United Data'!$B$3:$B$3390,"&lt;&gt;Off-street")&gt;0,1,0)</f>
        <v>1</v>
      </c>
      <c r="H1332">
        <f>IF(COUNTIFS('United Data'!$A$3:$A$3390,H$1,'United Data'!$C$3:$C$3390,$A1332,'United Data'!$B$3:$B$3390,"&lt;&gt;Off-street")&gt;0,1,0)</f>
        <v>0</v>
      </c>
      <c r="I1332">
        <f>IF(COUNTIFS('United Data'!$A$3:$A$3390,I$1,'United Data'!$C$3:$C$3390,$A1332,'United Data'!$B$3:$B$3390,"&lt;&gt;Off-street")&gt;0,1,0)</f>
        <v>0</v>
      </c>
      <c r="J1332">
        <f>IF(COUNTIFS('United Data'!$A$3:$A$3390,J$1,'United Data'!$C$3:$C$3390,$A1332,'United Data'!$B$3:$B$3390,"&lt;&gt;Off-street")&gt;0,1,0)</f>
        <v>0</v>
      </c>
      <c r="K1332">
        <f>IF(COUNTIFS('United Data'!$A$3:$A$3390,K$1,'United Data'!$C$3:$C$3390,$A1332,'United Data'!$B$3:$B$3390,"&lt;&gt;Off-street")&gt;0,1,0)</f>
        <v>0</v>
      </c>
      <c r="L1332">
        <f>IF(COUNTIFS('United Data'!$A$3:$A$3390,L$1,'United Data'!$C$3:$C$3390,$A1332,'United Data'!$B$3:$B$3390,"&lt;&gt;Off-street")&gt;0,1,0)</f>
        <v>0</v>
      </c>
      <c r="M1332">
        <f>IF(COUNTIFS('United Data'!$A$3:$A$3390,M$1,'United Data'!$C$3:$C$3390,$A1332,'United Data'!$B$3:$B$3390,"&lt;&gt;Off-street")&gt;0,1,0)</f>
        <v>0</v>
      </c>
      <c r="N1332">
        <f>IF(COUNTIFS('United Data'!$A$3:$A$3390,N$1,'United Data'!$C$3:$C$3390,$A1332,'United Data'!$B$3:$B$3390,"&lt;&gt;Off-street")&gt;0,1,0)</f>
        <v>0</v>
      </c>
      <c r="O1332">
        <f>IF(COUNTIFS('United Data'!$A$3:$A$3390,O$1,'United Data'!$C$3:$C$3390,$A1332,'United Data'!$B$3:$B$3390,"&lt;&gt;Off-street")&gt;0,1,0)</f>
        <v>0</v>
      </c>
      <c r="P1332">
        <f>IF(COUNTIFS('United Data'!$A$3:$A$3390,P$1,'United Data'!$C$3:$C$3390,$A1332,'United Data'!$B$3:$B$3390,"&lt;&gt;Off-street")&gt;0,1,0)</f>
        <v>0</v>
      </c>
      <c r="Q1332">
        <f>IF(COUNTIFS('United Data'!$A$3:$A$3390,Q$1,'United Data'!$C$3:$C$3390,$A1332,'United Data'!$B$3:$B$3390,"&lt;&gt;Off-street")&gt;0,1,0)</f>
        <v>0</v>
      </c>
      <c r="R1332">
        <f>IF(COUNTIFS('United Data'!$A$3:$A$3390,R$1,'United Data'!$C$3:$C$3390,$A1332,'United Data'!$B$3:$B$3390,"&lt;&gt;Off-street")&gt;0,1,0)</f>
        <v>0</v>
      </c>
      <c r="S1332">
        <f t="shared" si="40"/>
        <v>1</v>
      </c>
      <c r="T1332">
        <f t="shared" si="41"/>
        <v>1</v>
      </c>
    </row>
    <row r="1333" spans="1:20" x14ac:dyDescent="0.2">
      <c r="A1333" t="s">
        <v>1573</v>
      </c>
      <c r="B1333">
        <f>IF(COUNTIFS('United Data'!$A$3:$A$3390,B$1,'United Data'!$C$3:$C$3390,$A1333,'United Data'!$B$3:$B$3390,"&lt;&gt;Off-street")&gt;0,1,0)</f>
        <v>0</v>
      </c>
      <c r="C1333">
        <f>IF(COUNTIFS('United Data'!$A$3:$A$3390,C$1,'United Data'!$C$3:$C$3390,$A1333,'United Data'!$B$3:$B$3390,"&lt;&gt;Off-street")&gt;0,1,0)</f>
        <v>0</v>
      </c>
      <c r="D1333">
        <f>IF(COUNTIFS('United Data'!$A$3:$A$3390,D$1,'United Data'!$C$3:$C$3390,$A1333,'United Data'!$B$3:$B$3390,"&lt;&gt;Off-street")&gt;0,1,0)</f>
        <v>0</v>
      </c>
      <c r="E1333">
        <f>IF(COUNTIFS('United Data'!$A$3:$A$3390,E$1,'United Data'!$C$3:$C$3390,$A1333,'United Data'!$B$3:$B$3390,"&lt;&gt;Off-street")&gt;0,1,0)</f>
        <v>0</v>
      </c>
      <c r="F1333">
        <f>IF(COUNTIFS('United Data'!$A$3:$A$3390,F$1,'United Data'!$C$3:$C$3390,$A1333,'United Data'!$B$3:$B$3390,"&lt;&gt;Off-street")&gt;0,1,0)</f>
        <v>0</v>
      </c>
      <c r="G1333">
        <f>IF(COUNTIFS('United Data'!$A$3:$A$3390,G$1,'United Data'!$C$3:$C$3390,$A1333,'United Data'!$B$3:$B$3390,"&lt;&gt;Off-street")&gt;0,1,0)</f>
        <v>1</v>
      </c>
      <c r="H1333">
        <f>IF(COUNTIFS('United Data'!$A$3:$A$3390,H$1,'United Data'!$C$3:$C$3390,$A1333,'United Data'!$B$3:$B$3390,"&lt;&gt;Off-street")&gt;0,1,0)</f>
        <v>0</v>
      </c>
      <c r="I1333">
        <f>IF(COUNTIFS('United Data'!$A$3:$A$3390,I$1,'United Data'!$C$3:$C$3390,$A1333,'United Data'!$B$3:$B$3390,"&lt;&gt;Off-street")&gt;0,1,0)</f>
        <v>0</v>
      </c>
      <c r="J1333">
        <f>IF(COUNTIFS('United Data'!$A$3:$A$3390,J$1,'United Data'!$C$3:$C$3390,$A1333,'United Data'!$B$3:$B$3390,"&lt;&gt;Off-street")&gt;0,1,0)</f>
        <v>0</v>
      </c>
      <c r="K1333">
        <f>IF(COUNTIFS('United Data'!$A$3:$A$3390,K$1,'United Data'!$C$3:$C$3390,$A1333,'United Data'!$B$3:$B$3390,"&lt;&gt;Off-street")&gt;0,1,0)</f>
        <v>0</v>
      </c>
      <c r="L1333">
        <f>IF(COUNTIFS('United Data'!$A$3:$A$3390,L$1,'United Data'!$C$3:$C$3390,$A1333,'United Data'!$B$3:$B$3390,"&lt;&gt;Off-street")&gt;0,1,0)</f>
        <v>0</v>
      </c>
      <c r="M1333">
        <f>IF(COUNTIFS('United Data'!$A$3:$A$3390,M$1,'United Data'!$C$3:$C$3390,$A1333,'United Data'!$B$3:$B$3390,"&lt;&gt;Off-street")&gt;0,1,0)</f>
        <v>0</v>
      </c>
      <c r="N1333">
        <f>IF(COUNTIFS('United Data'!$A$3:$A$3390,N$1,'United Data'!$C$3:$C$3390,$A1333,'United Data'!$B$3:$B$3390,"&lt;&gt;Off-street")&gt;0,1,0)</f>
        <v>0</v>
      </c>
      <c r="O1333">
        <f>IF(COUNTIFS('United Data'!$A$3:$A$3390,O$1,'United Data'!$C$3:$C$3390,$A1333,'United Data'!$B$3:$B$3390,"&lt;&gt;Off-street")&gt;0,1,0)</f>
        <v>0</v>
      </c>
      <c r="P1333">
        <f>IF(COUNTIFS('United Data'!$A$3:$A$3390,P$1,'United Data'!$C$3:$C$3390,$A1333,'United Data'!$B$3:$B$3390,"&lt;&gt;Off-street")&gt;0,1,0)</f>
        <v>0</v>
      </c>
      <c r="Q1333">
        <f>IF(COUNTIFS('United Data'!$A$3:$A$3390,Q$1,'United Data'!$C$3:$C$3390,$A1333,'United Data'!$B$3:$B$3390,"&lt;&gt;Off-street")&gt;0,1,0)</f>
        <v>0</v>
      </c>
      <c r="R1333">
        <f>IF(COUNTIFS('United Data'!$A$3:$A$3390,R$1,'United Data'!$C$3:$C$3390,$A1333,'United Data'!$B$3:$B$3390,"&lt;&gt;Off-street")&gt;0,1,0)</f>
        <v>0</v>
      </c>
      <c r="S1333">
        <f t="shared" si="40"/>
        <v>1</v>
      </c>
      <c r="T1333">
        <f t="shared" si="41"/>
        <v>1</v>
      </c>
    </row>
    <row r="1334" spans="1:20" x14ac:dyDescent="0.2">
      <c r="A1334" t="s">
        <v>1574</v>
      </c>
      <c r="B1334">
        <f>IF(COUNTIFS('United Data'!$A$3:$A$3390,B$1,'United Data'!$C$3:$C$3390,$A1334,'United Data'!$B$3:$B$3390,"&lt;&gt;Off-street")&gt;0,1,0)</f>
        <v>0</v>
      </c>
      <c r="C1334">
        <f>IF(COUNTIFS('United Data'!$A$3:$A$3390,C$1,'United Data'!$C$3:$C$3390,$A1334,'United Data'!$B$3:$B$3390,"&lt;&gt;Off-street")&gt;0,1,0)</f>
        <v>0</v>
      </c>
      <c r="D1334">
        <f>IF(COUNTIFS('United Data'!$A$3:$A$3390,D$1,'United Data'!$C$3:$C$3390,$A1334,'United Data'!$B$3:$B$3390,"&lt;&gt;Off-street")&gt;0,1,0)</f>
        <v>0</v>
      </c>
      <c r="E1334">
        <f>IF(COUNTIFS('United Data'!$A$3:$A$3390,E$1,'United Data'!$C$3:$C$3390,$A1334,'United Data'!$B$3:$B$3390,"&lt;&gt;Off-street")&gt;0,1,0)</f>
        <v>0</v>
      </c>
      <c r="F1334">
        <f>IF(COUNTIFS('United Data'!$A$3:$A$3390,F$1,'United Data'!$C$3:$C$3390,$A1334,'United Data'!$B$3:$B$3390,"&lt;&gt;Off-street")&gt;0,1,0)</f>
        <v>0</v>
      </c>
      <c r="G1334">
        <f>IF(COUNTIFS('United Data'!$A$3:$A$3390,G$1,'United Data'!$C$3:$C$3390,$A1334,'United Data'!$B$3:$B$3390,"&lt;&gt;Off-street")&gt;0,1,0)</f>
        <v>0</v>
      </c>
      <c r="H1334">
        <f>IF(COUNTIFS('United Data'!$A$3:$A$3390,H$1,'United Data'!$C$3:$C$3390,$A1334,'United Data'!$B$3:$B$3390,"&lt;&gt;Off-street")&gt;0,1,0)</f>
        <v>1</v>
      </c>
      <c r="I1334">
        <f>IF(COUNTIFS('United Data'!$A$3:$A$3390,I$1,'United Data'!$C$3:$C$3390,$A1334,'United Data'!$B$3:$B$3390,"&lt;&gt;Off-street")&gt;0,1,0)</f>
        <v>0</v>
      </c>
      <c r="J1334">
        <f>IF(COUNTIFS('United Data'!$A$3:$A$3390,J$1,'United Data'!$C$3:$C$3390,$A1334,'United Data'!$B$3:$B$3390,"&lt;&gt;Off-street")&gt;0,1,0)</f>
        <v>0</v>
      </c>
      <c r="K1334">
        <f>IF(COUNTIFS('United Data'!$A$3:$A$3390,K$1,'United Data'!$C$3:$C$3390,$A1334,'United Data'!$B$3:$B$3390,"&lt;&gt;Off-street")&gt;0,1,0)</f>
        <v>0</v>
      </c>
      <c r="L1334">
        <f>IF(COUNTIFS('United Data'!$A$3:$A$3390,L$1,'United Data'!$C$3:$C$3390,$A1334,'United Data'!$B$3:$B$3390,"&lt;&gt;Off-street")&gt;0,1,0)</f>
        <v>1</v>
      </c>
      <c r="M1334">
        <f>IF(COUNTIFS('United Data'!$A$3:$A$3390,M$1,'United Data'!$C$3:$C$3390,$A1334,'United Data'!$B$3:$B$3390,"&lt;&gt;Off-street")&gt;0,1,0)</f>
        <v>0</v>
      </c>
      <c r="N1334">
        <f>IF(COUNTIFS('United Data'!$A$3:$A$3390,N$1,'United Data'!$C$3:$C$3390,$A1334,'United Data'!$B$3:$B$3390,"&lt;&gt;Off-street")&gt;0,1,0)</f>
        <v>0</v>
      </c>
      <c r="O1334">
        <f>IF(COUNTIFS('United Data'!$A$3:$A$3390,O$1,'United Data'!$C$3:$C$3390,$A1334,'United Data'!$B$3:$B$3390,"&lt;&gt;Off-street")&gt;0,1,0)</f>
        <v>0</v>
      </c>
      <c r="P1334">
        <f>IF(COUNTIFS('United Data'!$A$3:$A$3390,P$1,'United Data'!$C$3:$C$3390,$A1334,'United Data'!$B$3:$B$3390,"&lt;&gt;Off-street")&gt;0,1,0)</f>
        <v>0</v>
      </c>
      <c r="Q1334">
        <f>IF(COUNTIFS('United Data'!$A$3:$A$3390,Q$1,'United Data'!$C$3:$C$3390,$A1334,'United Data'!$B$3:$B$3390,"&lt;&gt;Off-street")&gt;0,1,0)</f>
        <v>0</v>
      </c>
      <c r="R1334">
        <f>IF(COUNTIFS('United Data'!$A$3:$A$3390,R$1,'United Data'!$C$3:$C$3390,$A1334,'United Data'!$B$3:$B$3390,"&lt;&gt;Off-street")&gt;0,1,0)</f>
        <v>0</v>
      </c>
      <c r="S1334">
        <f t="shared" si="40"/>
        <v>2</v>
      </c>
      <c r="T1334">
        <f t="shared" si="41"/>
        <v>2</v>
      </c>
    </row>
    <row r="1335" spans="1:20" x14ac:dyDescent="0.2">
      <c r="A1335" t="s">
        <v>1575</v>
      </c>
      <c r="B1335">
        <f>IF(COUNTIFS('United Data'!$A$3:$A$3390,B$1,'United Data'!$C$3:$C$3390,$A1335,'United Data'!$B$3:$B$3390,"&lt;&gt;Off-street")&gt;0,1,0)</f>
        <v>0</v>
      </c>
      <c r="C1335">
        <f>IF(COUNTIFS('United Data'!$A$3:$A$3390,C$1,'United Data'!$C$3:$C$3390,$A1335,'United Data'!$B$3:$B$3390,"&lt;&gt;Off-street")&gt;0,1,0)</f>
        <v>0</v>
      </c>
      <c r="D1335">
        <f>IF(COUNTIFS('United Data'!$A$3:$A$3390,D$1,'United Data'!$C$3:$C$3390,$A1335,'United Data'!$B$3:$B$3390,"&lt;&gt;Off-street")&gt;0,1,0)</f>
        <v>0</v>
      </c>
      <c r="E1335">
        <f>IF(COUNTIFS('United Data'!$A$3:$A$3390,E$1,'United Data'!$C$3:$C$3390,$A1335,'United Data'!$B$3:$B$3390,"&lt;&gt;Off-street")&gt;0,1,0)</f>
        <v>0</v>
      </c>
      <c r="F1335">
        <f>IF(COUNTIFS('United Data'!$A$3:$A$3390,F$1,'United Data'!$C$3:$C$3390,$A1335,'United Data'!$B$3:$B$3390,"&lt;&gt;Off-street")&gt;0,1,0)</f>
        <v>0</v>
      </c>
      <c r="G1335">
        <f>IF(COUNTIFS('United Data'!$A$3:$A$3390,G$1,'United Data'!$C$3:$C$3390,$A1335,'United Data'!$B$3:$B$3390,"&lt;&gt;Off-street")&gt;0,1,0)</f>
        <v>0</v>
      </c>
      <c r="H1335">
        <f>IF(COUNTIFS('United Data'!$A$3:$A$3390,H$1,'United Data'!$C$3:$C$3390,$A1335,'United Data'!$B$3:$B$3390,"&lt;&gt;Off-street")&gt;0,1,0)</f>
        <v>1</v>
      </c>
      <c r="I1335">
        <f>IF(COUNTIFS('United Data'!$A$3:$A$3390,I$1,'United Data'!$C$3:$C$3390,$A1335,'United Data'!$B$3:$B$3390,"&lt;&gt;Off-street")&gt;0,1,0)</f>
        <v>1</v>
      </c>
      <c r="J1335">
        <f>IF(COUNTIFS('United Data'!$A$3:$A$3390,J$1,'United Data'!$C$3:$C$3390,$A1335,'United Data'!$B$3:$B$3390,"&lt;&gt;Off-street")&gt;0,1,0)</f>
        <v>0</v>
      </c>
      <c r="K1335">
        <f>IF(COUNTIFS('United Data'!$A$3:$A$3390,K$1,'United Data'!$C$3:$C$3390,$A1335,'United Data'!$B$3:$B$3390,"&lt;&gt;Off-street")&gt;0,1,0)</f>
        <v>0</v>
      </c>
      <c r="L1335">
        <f>IF(COUNTIFS('United Data'!$A$3:$A$3390,L$1,'United Data'!$C$3:$C$3390,$A1335,'United Data'!$B$3:$B$3390,"&lt;&gt;Off-street")&gt;0,1,0)</f>
        <v>1</v>
      </c>
      <c r="M1335">
        <f>IF(COUNTIFS('United Data'!$A$3:$A$3390,M$1,'United Data'!$C$3:$C$3390,$A1335,'United Data'!$B$3:$B$3390,"&lt;&gt;Off-street")&gt;0,1,0)</f>
        <v>0</v>
      </c>
      <c r="N1335">
        <f>IF(COUNTIFS('United Data'!$A$3:$A$3390,N$1,'United Data'!$C$3:$C$3390,$A1335,'United Data'!$B$3:$B$3390,"&lt;&gt;Off-street")&gt;0,1,0)</f>
        <v>0</v>
      </c>
      <c r="O1335">
        <f>IF(COUNTIFS('United Data'!$A$3:$A$3390,O$1,'United Data'!$C$3:$C$3390,$A1335,'United Data'!$B$3:$B$3390,"&lt;&gt;Off-street")&gt;0,1,0)</f>
        <v>0</v>
      </c>
      <c r="P1335">
        <f>IF(COUNTIFS('United Data'!$A$3:$A$3390,P$1,'United Data'!$C$3:$C$3390,$A1335,'United Data'!$B$3:$B$3390,"&lt;&gt;Off-street")&gt;0,1,0)</f>
        <v>0</v>
      </c>
      <c r="Q1335">
        <f>IF(COUNTIFS('United Data'!$A$3:$A$3390,Q$1,'United Data'!$C$3:$C$3390,$A1335,'United Data'!$B$3:$B$3390,"&lt;&gt;Off-street")&gt;0,1,0)</f>
        <v>0</v>
      </c>
      <c r="R1335">
        <f>IF(COUNTIFS('United Data'!$A$3:$A$3390,R$1,'United Data'!$C$3:$C$3390,$A1335,'United Data'!$B$3:$B$3390,"&lt;&gt;Off-street")&gt;0,1,0)</f>
        <v>0</v>
      </c>
      <c r="S1335">
        <f t="shared" si="40"/>
        <v>3</v>
      </c>
      <c r="T1335">
        <f t="shared" si="41"/>
        <v>2</v>
      </c>
    </row>
    <row r="1336" spans="1:20" x14ac:dyDescent="0.2">
      <c r="A1336" t="s">
        <v>1576</v>
      </c>
      <c r="B1336">
        <f>IF(COUNTIFS('United Data'!$A$3:$A$3390,B$1,'United Data'!$C$3:$C$3390,$A1336,'United Data'!$B$3:$B$3390,"&lt;&gt;Off-street")&gt;0,1,0)</f>
        <v>0</v>
      </c>
      <c r="C1336">
        <f>IF(COUNTIFS('United Data'!$A$3:$A$3390,C$1,'United Data'!$C$3:$C$3390,$A1336,'United Data'!$B$3:$B$3390,"&lt;&gt;Off-street")&gt;0,1,0)</f>
        <v>0</v>
      </c>
      <c r="D1336">
        <f>IF(COUNTIFS('United Data'!$A$3:$A$3390,D$1,'United Data'!$C$3:$C$3390,$A1336,'United Data'!$B$3:$B$3390,"&lt;&gt;Off-street")&gt;0,1,0)</f>
        <v>0</v>
      </c>
      <c r="E1336">
        <f>IF(COUNTIFS('United Data'!$A$3:$A$3390,E$1,'United Data'!$C$3:$C$3390,$A1336,'United Data'!$B$3:$B$3390,"&lt;&gt;Off-street")&gt;0,1,0)</f>
        <v>0</v>
      </c>
      <c r="F1336">
        <f>IF(COUNTIFS('United Data'!$A$3:$A$3390,F$1,'United Data'!$C$3:$C$3390,$A1336,'United Data'!$B$3:$B$3390,"&lt;&gt;Off-street")&gt;0,1,0)</f>
        <v>0</v>
      </c>
      <c r="G1336">
        <f>IF(COUNTIFS('United Data'!$A$3:$A$3390,G$1,'United Data'!$C$3:$C$3390,$A1336,'United Data'!$B$3:$B$3390,"&lt;&gt;Off-street")&gt;0,1,0)</f>
        <v>0</v>
      </c>
      <c r="H1336">
        <f>IF(COUNTIFS('United Data'!$A$3:$A$3390,H$1,'United Data'!$C$3:$C$3390,$A1336,'United Data'!$B$3:$B$3390,"&lt;&gt;Off-street")&gt;0,1,0)</f>
        <v>1</v>
      </c>
      <c r="I1336">
        <f>IF(COUNTIFS('United Data'!$A$3:$A$3390,I$1,'United Data'!$C$3:$C$3390,$A1336,'United Data'!$B$3:$B$3390,"&lt;&gt;Off-street")&gt;0,1,0)</f>
        <v>0</v>
      </c>
      <c r="J1336">
        <f>IF(COUNTIFS('United Data'!$A$3:$A$3390,J$1,'United Data'!$C$3:$C$3390,$A1336,'United Data'!$B$3:$B$3390,"&lt;&gt;Off-street")&gt;0,1,0)</f>
        <v>0</v>
      </c>
      <c r="K1336">
        <f>IF(COUNTIFS('United Data'!$A$3:$A$3390,K$1,'United Data'!$C$3:$C$3390,$A1336,'United Data'!$B$3:$B$3390,"&lt;&gt;Off-street")&gt;0,1,0)</f>
        <v>0</v>
      </c>
      <c r="L1336">
        <f>IF(COUNTIFS('United Data'!$A$3:$A$3390,L$1,'United Data'!$C$3:$C$3390,$A1336,'United Data'!$B$3:$B$3390,"&lt;&gt;Off-street")&gt;0,1,0)</f>
        <v>0</v>
      </c>
      <c r="M1336">
        <f>IF(COUNTIFS('United Data'!$A$3:$A$3390,M$1,'United Data'!$C$3:$C$3390,$A1336,'United Data'!$B$3:$B$3390,"&lt;&gt;Off-street")&gt;0,1,0)</f>
        <v>0</v>
      </c>
      <c r="N1336">
        <f>IF(COUNTIFS('United Data'!$A$3:$A$3390,N$1,'United Data'!$C$3:$C$3390,$A1336,'United Data'!$B$3:$B$3390,"&lt;&gt;Off-street")&gt;0,1,0)</f>
        <v>0</v>
      </c>
      <c r="O1336">
        <f>IF(COUNTIFS('United Data'!$A$3:$A$3390,O$1,'United Data'!$C$3:$C$3390,$A1336,'United Data'!$B$3:$B$3390,"&lt;&gt;Off-street")&gt;0,1,0)</f>
        <v>0</v>
      </c>
      <c r="P1336">
        <f>IF(COUNTIFS('United Data'!$A$3:$A$3390,P$1,'United Data'!$C$3:$C$3390,$A1336,'United Data'!$B$3:$B$3390,"&lt;&gt;Off-street")&gt;0,1,0)</f>
        <v>0</v>
      </c>
      <c r="Q1336">
        <f>IF(COUNTIFS('United Data'!$A$3:$A$3390,Q$1,'United Data'!$C$3:$C$3390,$A1336,'United Data'!$B$3:$B$3390,"&lt;&gt;Off-street")&gt;0,1,0)</f>
        <v>0</v>
      </c>
      <c r="R1336">
        <f>IF(COUNTIFS('United Data'!$A$3:$A$3390,R$1,'United Data'!$C$3:$C$3390,$A1336,'United Data'!$B$3:$B$3390,"&lt;&gt;Off-street")&gt;0,1,0)</f>
        <v>0</v>
      </c>
      <c r="S1336">
        <f t="shared" si="40"/>
        <v>1</v>
      </c>
      <c r="T1336">
        <f t="shared" si="41"/>
        <v>1</v>
      </c>
    </row>
    <row r="1337" spans="1:20" x14ac:dyDescent="0.2">
      <c r="A1337" t="s">
        <v>1577</v>
      </c>
      <c r="B1337">
        <f>IF(COUNTIFS('United Data'!$A$3:$A$3390,B$1,'United Data'!$C$3:$C$3390,$A1337,'United Data'!$B$3:$B$3390,"&lt;&gt;Off-street")&gt;0,1,0)</f>
        <v>0</v>
      </c>
      <c r="C1337">
        <f>IF(COUNTIFS('United Data'!$A$3:$A$3390,C$1,'United Data'!$C$3:$C$3390,$A1337,'United Data'!$B$3:$B$3390,"&lt;&gt;Off-street")&gt;0,1,0)</f>
        <v>0</v>
      </c>
      <c r="D1337">
        <f>IF(COUNTIFS('United Data'!$A$3:$A$3390,D$1,'United Data'!$C$3:$C$3390,$A1337,'United Data'!$B$3:$B$3390,"&lt;&gt;Off-street")&gt;0,1,0)</f>
        <v>0</v>
      </c>
      <c r="E1337">
        <f>IF(COUNTIFS('United Data'!$A$3:$A$3390,E$1,'United Data'!$C$3:$C$3390,$A1337,'United Data'!$B$3:$B$3390,"&lt;&gt;Off-street")&gt;0,1,0)</f>
        <v>0</v>
      </c>
      <c r="F1337">
        <f>IF(COUNTIFS('United Data'!$A$3:$A$3390,F$1,'United Data'!$C$3:$C$3390,$A1337,'United Data'!$B$3:$B$3390,"&lt;&gt;Off-street")&gt;0,1,0)</f>
        <v>0</v>
      </c>
      <c r="G1337">
        <f>IF(COUNTIFS('United Data'!$A$3:$A$3390,G$1,'United Data'!$C$3:$C$3390,$A1337,'United Data'!$B$3:$B$3390,"&lt;&gt;Off-street")&gt;0,1,0)</f>
        <v>0</v>
      </c>
      <c r="H1337">
        <f>IF(COUNTIFS('United Data'!$A$3:$A$3390,H$1,'United Data'!$C$3:$C$3390,$A1337,'United Data'!$B$3:$B$3390,"&lt;&gt;Off-street")&gt;0,1,0)</f>
        <v>0</v>
      </c>
      <c r="I1337">
        <f>IF(COUNTIFS('United Data'!$A$3:$A$3390,I$1,'United Data'!$C$3:$C$3390,$A1337,'United Data'!$B$3:$B$3390,"&lt;&gt;Off-street")&gt;0,1,0)</f>
        <v>1</v>
      </c>
      <c r="J1337">
        <f>IF(COUNTIFS('United Data'!$A$3:$A$3390,J$1,'United Data'!$C$3:$C$3390,$A1337,'United Data'!$B$3:$B$3390,"&lt;&gt;Off-street")&gt;0,1,0)</f>
        <v>0</v>
      </c>
      <c r="K1337">
        <f>IF(COUNTIFS('United Data'!$A$3:$A$3390,K$1,'United Data'!$C$3:$C$3390,$A1337,'United Data'!$B$3:$B$3390,"&lt;&gt;Off-street")&gt;0,1,0)</f>
        <v>0</v>
      </c>
      <c r="L1337">
        <f>IF(COUNTIFS('United Data'!$A$3:$A$3390,L$1,'United Data'!$C$3:$C$3390,$A1337,'United Data'!$B$3:$B$3390,"&lt;&gt;Off-street")&gt;0,1,0)</f>
        <v>0</v>
      </c>
      <c r="M1337">
        <f>IF(COUNTIFS('United Data'!$A$3:$A$3390,M$1,'United Data'!$C$3:$C$3390,$A1337,'United Data'!$B$3:$B$3390,"&lt;&gt;Off-street")&gt;0,1,0)</f>
        <v>0</v>
      </c>
      <c r="N1337">
        <f>IF(COUNTIFS('United Data'!$A$3:$A$3390,N$1,'United Data'!$C$3:$C$3390,$A1337,'United Data'!$B$3:$B$3390,"&lt;&gt;Off-street")&gt;0,1,0)</f>
        <v>0</v>
      </c>
      <c r="O1337">
        <f>IF(COUNTIFS('United Data'!$A$3:$A$3390,O$1,'United Data'!$C$3:$C$3390,$A1337,'United Data'!$B$3:$B$3390,"&lt;&gt;Off-street")&gt;0,1,0)</f>
        <v>0</v>
      </c>
      <c r="P1337">
        <f>IF(COUNTIFS('United Data'!$A$3:$A$3390,P$1,'United Data'!$C$3:$C$3390,$A1337,'United Data'!$B$3:$B$3390,"&lt;&gt;Off-street")&gt;0,1,0)</f>
        <v>0</v>
      </c>
      <c r="Q1337">
        <f>IF(COUNTIFS('United Data'!$A$3:$A$3390,Q$1,'United Data'!$C$3:$C$3390,$A1337,'United Data'!$B$3:$B$3390,"&lt;&gt;Off-street")&gt;0,1,0)</f>
        <v>0</v>
      </c>
      <c r="R1337">
        <f>IF(COUNTIFS('United Data'!$A$3:$A$3390,R$1,'United Data'!$C$3:$C$3390,$A1337,'United Data'!$B$3:$B$3390,"&lt;&gt;Off-street")&gt;0,1,0)</f>
        <v>0</v>
      </c>
      <c r="S1337">
        <f t="shared" si="40"/>
        <v>1</v>
      </c>
      <c r="T1337">
        <f t="shared" si="41"/>
        <v>1</v>
      </c>
    </row>
    <row r="1338" spans="1:20" x14ac:dyDescent="0.2">
      <c r="A1338" t="s">
        <v>1578</v>
      </c>
      <c r="B1338">
        <f>IF(COUNTIFS('United Data'!$A$3:$A$3390,B$1,'United Data'!$C$3:$C$3390,$A1338,'United Data'!$B$3:$B$3390,"&lt;&gt;Off-street")&gt;0,1,0)</f>
        <v>0</v>
      </c>
      <c r="C1338">
        <f>IF(COUNTIFS('United Data'!$A$3:$A$3390,C$1,'United Data'!$C$3:$C$3390,$A1338,'United Data'!$B$3:$B$3390,"&lt;&gt;Off-street")&gt;0,1,0)</f>
        <v>0</v>
      </c>
      <c r="D1338">
        <f>IF(COUNTIFS('United Data'!$A$3:$A$3390,D$1,'United Data'!$C$3:$C$3390,$A1338,'United Data'!$B$3:$B$3390,"&lt;&gt;Off-street")&gt;0,1,0)</f>
        <v>0</v>
      </c>
      <c r="E1338">
        <f>IF(COUNTIFS('United Data'!$A$3:$A$3390,E$1,'United Data'!$C$3:$C$3390,$A1338,'United Data'!$B$3:$B$3390,"&lt;&gt;Off-street")&gt;0,1,0)</f>
        <v>0</v>
      </c>
      <c r="F1338">
        <f>IF(COUNTIFS('United Data'!$A$3:$A$3390,F$1,'United Data'!$C$3:$C$3390,$A1338,'United Data'!$B$3:$B$3390,"&lt;&gt;Off-street")&gt;0,1,0)</f>
        <v>0</v>
      </c>
      <c r="G1338">
        <f>IF(COUNTIFS('United Data'!$A$3:$A$3390,G$1,'United Data'!$C$3:$C$3390,$A1338,'United Data'!$B$3:$B$3390,"&lt;&gt;Off-street")&gt;0,1,0)</f>
        <v>0</v>
      </c>
      <c r="H1338">
        <f>IF(COUNTIFS('United Data'!$A$3:$A$3390,H$1,'United Data'!$C$3:$C$3390,$A1338,'United Data'!$B$3:$B$3390,"&lt;&gt;Off-street")&gt;0,1,0)</f>
        <v>0</v>
      </c>
      <c r="I1338">
        <f>IF(COUNTIFS('United Data'!$A$3:$A$3390,I$1,'United Data'!$C$3:$C$3390,$A1338,'United Data'!$B$3:$B$3390,"&lt;&gt;Off-street")&gt;0,1,0)</f>
        <v>1</v>
      </c>
      <c r="J1338">
        <f>IF(COUNTIFS('United Data'!$A$3:$A$3390,J$1,'United Data'!$C$3:$C$3390,$A1338,'United Data'!$B$3:$B$3390,"&lt;&gt;Off-street")&gt;0,1,0)</f>
        <v>1</v>
      </c>
      <c r="K1338">
        <f>IF(COUNTIFS('United Data'!$A$3:$A$3390,K$1,'United Data'!$C$3:$C$3390,$A1338,'United Data'!$B$3:$B$3390,"&lt;&gt;Off-street")&gt;0,1,0)</f>
        <v>0</v>
      </c>
      <c r="L1338">
        <f>IF(COUNTIFS('United Data'!$A$3:$A$3390,L$1,'United Data'!$C$3:$C$3390,$A1338,'United Data'!$B$3:$B$3390,"&lt;&gt;Off-street")&gt;0,1,0)</f>
        <v>0</v>
      </c>
      <c r="M1338">
        <f>IF(COUNTIFS('United Data'!$A$3:$A$3390,M$1,'United Data'!$C$3:$C$3390,$A1338,'United Data'!$B$3:$B$3390,"&lt;&gt;Off-street")&gt;0,1,0)</f>
        <v>0</v>
      </c>
      <c r="N1338">
        <f>IF(COUNTIFS('United Data'!$A$3:$A$3390,N$1,'United Data'!$C$3:$C$3390,$A1338,'United Data'!$B$3:$B$3390,"&lt;&gt;Off-street")&gt;0,1,0)</f>
        <v>0</v>
      </c>
      <c r="O1338">
        <f>IF(COUNTIFS('United Data'!$A$3:$A$3390,O$1,'United Data'!$C$3:$C$3390,$A1338,'United Data'!$B$3:$B$3390,"&lt;&gt;Off-street")&gt;0,1,0)</f>
        <v>0</v>
      </c>
      <c r="P1338">
        <f>IF(COUNTIFS('United Data'!$A$3:$A$3390,P$1,'United Data'!$C$3:$C$3390,$A1338,'United Data'!$B$3:$B$3390,"&lt;&gt;Off-street")&gt;0,1,0)</f>
        <v>0</v>
      </c>
      <c r="Q1338">
        <f>IF(COUNTIFS('United Data'!$A$3:$A$3390,Q$1,'United Data'!$C$3:$C$3390,$A1338,'United Data'!$B$3:$B$3390,"&lt;&gt;Off-street")&gt;0,1,0)</f>
        <v>0</v>
      </c>
      <c r="R1338">
        <f>IF(COUNTIFS('United Data'!$A$3:$A$3390,R$1,'United Data'!$C$3:$C$3390,$A1338,'United Data'!$B$3:$B$3390,"&lt;&gt;Off-street")&gt;0,1,0)</f>
        <v>0</v>
      </c>
      <c r="S1338">
        <f t="shared" si="40"/>
        <v>2</v>
      </c>
      <c r="T1338">
        <f t="shared" si="41"/>
        <v>1</v>
      </c>
    </row>
    <row r="1339" spans="1:20" x14ac:dyDescent="0.2">
      <c r="A1339" t="s">
        <v>1579</v>
      </c>
      <c r="B1339">
        <f>IF(COUNTIFS('United Data'!$A$3:$A$3390,B$1,'United Data'!$C$3:$C$3390,$A1339,'United Data'!$B$3:$B$3390,"&lt;&gt;Off-street")&gt;0,1,0)</f>
        <v>0</v>
      </c>
      <c r="C1339">
        <f>IF(COUNTIFS('United Data'!$A$3:$A$3390,C$1,'United Data'!$C$3:$C$3390,$A1339,'United Data'!$B$3:$B$3390,"&lt;&gt;Off-street")&gt;0,1,0)</f>
        <v>0</v>
      </c>
      <c r="D1339">
        <f>IF(COUNTIFS('United Data'!$A$3:$A$3390,D$1,'United Data'!$C$3:$C$3390,$A1339,'United Data'!$B$3:$B$3390,"&lt;&gt;Off-street")&gt;0,1,0)</f>
        <v>0</v>
      </c>
      <c r="E1339">
        <f>IF(COUNTIFS('United Data'!$A$3:$A$3390,E$1,'United Data'!$C$3:$C$3390,$A1339,'United Data'!$B$3:$B$3390,"&lt;&gt;Off-street")&gt;0,1,0)</f>
        <v>0</v>
      </c>
      <c r="F1339">
        <f>IF(COUNTIFS('United Data'!$A$3:$A$3390,F$1,'United Data'!$C$3:$C$3390,$A1339,'United Data'!$B$3:$B$3390,"&lt;&gt;Off-street")&gt;0,1,0)</f>
        <v>0</v>
      </c>
      <c r="G1339">
        <f>IF(COUNTIFS('United Data'!$A$3:$A$3390,G$1,'United Data'!$C$3:$C$3390,$A1339,'United Data'!$B$3:$B$3390,"&lt;&gt;Off-street")&gt;0,1,0)</f>
        <v>0</v>
      </c>
      <c r="H1339">
        <f>IF(COUNTIFS('United Data'!$A$3:$A$3390,H$1,'United Data'!$C$3:$C$3390,$A1339,'United Data'!$B$3:$B$3390,"&lt;&gt;Off-street")&gt;0,1,0)</f>
        <v>0</v>
      </c>
      <c r="I1339">
        <f>IF(COUNTIFS('United Data'!$A$3:$A$3390,I$1,'United Data'!$C$3:$C$3390,$A1339,'United Data'!$B$3:$B$3390,"&lt;&gt;Off-street")&gt;0,1,0)</f>
        <v>1</v>
      </c>
      <c r="J1339">
        <f>IF(COUNTIFS('United Data'!$A$3:$A$3390,J$1,'United Data'!$C$3:$C$3390,$A1339,'United Data'!$B$3:$B$3390,"&lt;&gt;Off-street")&gt;0,1,0)</f>
        <v>1</v>
      </c>
      <c r="K1339">
        <f>IF(COUNTIFS('United Data'!$A$3:$A$3390,K$1,'United Data'!$C$3:$C$3390,$A1339,'United Data'!$B$3:$B$3390,"&lt;&gt;Off-street")&gt;0,1,0)</f>
        <v>1</v>
      </c>
      <c r="L1339">
        <f>IF(COUNTIFS('United Data'!$A$3:$A$3390,L$1,'United Data'!$C$3:$C$3390,$A1339,'United Data'!$B$3:$B$3390,"&lt;&gt;Off-street")&gt;0,1,0)</f>
        <v>0</v>
      </c>
      <c r="M1339">
        <f>IF(COUNTIFS('United Data'!$A$3:$A$3390,M$1,'United Data'!$C$3:$C$3390,$A1339,'United Data'!$B$3:$B$3390,"&lt;&gt;Off-street")&gt;0,1,0)</f>
        <v>0</v>
      </c>
      <c r="N1339">
        <f>IF(COUNTIFS('United Data'!$A$3:$A$3390,N$1,'United Data'!$C$3:$C$3390,$A1339,'United Data'!$B$3:$B$3390,"&lt;&gt;Off-street")&gt;0,1,0)</f>
        <v>0</v>
      </c>
      <c r="O1339">
        <f>IF(COUNTIFS('United Data'!$A$3:$A$3390,O$1,'United Data'!$C$3:$C$3390,$A1339,'United Data'!$B$3:$B$3390,"&lt;&gt;Off-street")&gt;0,1,0)</f>
        <v>0</v>
      </c>
      <c r="P1339">
        <f>IF(COUNTIFS('United Data'!$A$3:$A$3390,P$1,'United Data'!$C$3:$C$3390,$A1339,'United Data'!$B$3:$B$3390,"&lt;&gt;Off-street")&gt;0,1,0)</f>
        <v>0</v>
      </c>
      <c r="Q1339">
        <f>IF(COUNTIFS('United Data'!$A$3:$A$3390,Q$1,'United Data'!$C$3:$C$3390,$A1339,'United Data'!$B$3:$B$3390,"&lt;&gt;Off-street")&gt;0,1,0)</f>
        <v>0</v>
      </c>
      <c r="R1339">
        <f>IF(COUNTIFS('United Data'!$A$3:$A$3390,R$1,'United Data'!$C$3:$C$3390,$A1339,'United Data'!$B$3:$B$3390,"&lt;&gt;Off-street")&gt;0,1,0)</f>
        <v>0</v>
      </c>
      <c r="S1339">
        <f t="shared" si="40"/>
        <v>3</v>
      </c>
      <c r="T1339">
        <f t="shared" si="41"/>
        <v>1</v>
      </c>
    </row>
    <row r="1340" spans="1:20" x14ac:dyDescent="0.2">
      <c r="A1340" t="s">
        <v>1581</v>
      </c>
      <c r="B1340">
        <f>IF(COUNTIFS('United Data'!$A$3:$A$3390,B$1,'United Data'!$C$3:$C$3390,$A1340,'United Data'!$B$3:$B$3390,"&lt;&gt;Off-street")&gt;0,1,0)</f>
        <v>0</v>
      </c>
      <c r="C1340">
        <f>IF(COUNTIFS('United Data'!$A$3:$A$3390,C$1,'United Data'!$C$3:$C$3390,$A1340,'United Data'!$B$3:$B$3390,"&lt;&gt;Off-street")&gt;0,1,0)</f>
        <v>0</v>
      </c>
      <c r="D1340">
        <f>IF(COUNTIFS('United Data'!$A$3:$A$3390,D$1,'United Data'!$C$3:$C$3390,$A1340,'United Data'!$B$3:$B$3390,"&lt;&gt;Off-street")&gt;0,1,0)</f>
        <v>0</v>
      </c>
      <c r="E1340">
        <f>IF(COUNTIFS('United Data'!$A$3:$A$3390,E$1,'United Data'!$C$3:$C$3390,$A1340,'United Data'!$B$3:$B$3390,"&lt;&gt;Off-street")&gt;0,1,0)</f>
        <v>0</v>
      </c>
      <c r="F1340">
        <f>IF(COUNTIFS('United Data'!$A$3:$A$3390,F$1,'United Data'!$C$3:$C$3390,$A1340,'United Data'!$B$3:$B$3390,"&lt;&gt;Off-street")&gt;0,1,0)</f>
        <v>0</v>
      </c>
      <c r="G1340">
        <f>IF(COUNTIFS('United Data'!$A$3:$A$3390,G$1,'United Data'!$C$3:$C$3390,$A1340,'United Data'!$B$3:$B$3390,"&lt;&gt;Off-street")&gt;0,1,0)</f>
        <v>0</v>
      </c>
      <c r="H1340">
        <f>IF(COUNTIFS('United Data'!$A$3:$A$3390,H$1,'United Data'!$C$3:$C$3390,$A1340,'United Data'!$B$3:$B$3390,"&lt;&gt;Off-street")&gt;0,1,0)</f>
        <v>0</v>
      </c>
      <c r="I1340">
        <f>IF(COUNTIFS('United Data'!$A$3:$A$3390,I$1,'United Data'!$C$3:$C$3390,$A1340,'United Data'!$B$3:$B$3390,"&lt;&gt;Off-street")&gt;0,1,0)</f>
        <v>0</v>
      </c>
      <c r="J1340">
        <f>IF(COUNTIFS('United Data'!$A$3:$A$3390,J$1,'United Data'!$C$3:$C$3390,$A1340,'United Data'!$B$3:$B$3390,"&lt;&gt;Off-street")&gt;0,1,0)</f>
        <v>1</v>
      </c>
      <c r="K1340">
        <f>IF(COUNTIFS('United Data'!$A$3:$A$3390,K$1,'United Data'!$C$3:$C$3390,$A1340,'United Data'!$B$3:$B$3390,"&lt;&gt;Off-street")&gt;0,1,0)</f>
        <v>0</v>
      </c>
      <c r="L1340">
        <f>IF(COUNTIFS('United Data'!$A$3:$A$3390,L$1,'United Data'!$C$3:$C$3390,$A1340,'United Data'!$B$3:$B$3390,"&lt;&gt;Off-street")&gt;0,1,0)</f>
        <v>0</v>
      </c>
      <c r="M1340">
        <f>IF(COUNTIFS('United Data'!$A$3:$A$3390,M$1,'United Data'!$C$3:$C$3390,$A1340,'United Data'!$B$3:$B$3390,"&lt;&gt;Off-street")&gt;0,1,0)</f>
        <v>0</v>
      </c>
      <c r="N1340">
        <f>IF(COUNTIFS('United Data'!$A$3:$A$3390,N$1,'United Data'!$C$3:$C$3390,$A1340,'United Data'!$B$3:$B$3390,"&lt;&gt;Off-street")&gt;0,1,0)</f>
        <v>0</v>
      </c>
      <c r="O1340">
        <f>IF(COUNTIFS('United Data'!$A$3:$A$3390,O$1,'United Data'!$C$3:$C$3390,$A1340,'United Data'!$B$3:$B$3390,"&lt;&gt;Off-street")&gt;0,1,0)</f>
        <v>0</v>
      </c>
      <c r="P1340">
        <f>IF(COUNTIFS('United Data'!$A$3:$A$3390,P$1,'United Data'!$C$3:$C$3390,$A1340,'United Data'!$B$3:$B$3390,"&lt;&gt;Off-street")&gt;0,1,0)</f>
        <v>0</v>
      </c>
      <c r="Q1340">
        <f>IF(COUNTIFS('United Data'!$A$3:$A$3390,Q$1,'United Data'!$C$3:$C$3390,$A1340,'United Data'!$B$3:$B$3390,"&lt;&gt;Off-street")&gt;0,1,0)</f>
        <v>0</v>
      </c>
      <c r="R1340">
        <f>IF(COUNTIFS('United Data'!$A$3:$A$3390,R$1,'United Data'!$C$3:$C$3390,$A1340,'United Data'!$B$3:$B$3390,"&lt;&gt;Off-street")&gt;0,1,0)</f>
        <v>0</v>
      </c>
      <c r="S1340">
        <f t="shared" si="40"/>
        <v>1</v>
      </c>
      <c r="T1340">
        <f t="shared" si="41"/>
        <v>1</v>
      </c>
    </row>
    <row r="1341" spans="1:20" x14ac:dyDescent="0.2">
      <c r="A1341" t="s">
        <v>1582</v>
      </c>
      <c r="B1341">
        <f>IF(COUNTIFS('United Data'!$A$3:$A$3390,B$1,'United Data'!$C$3:$C$3390,$A1341,'United Data'!$B$3:$B$3390,"&lt;&gt;Off-street")&gt;0,1,0)</f>
        <v>0</v>
      </c>
      <c r="C1341">
        <f>IF(COUNTIFS('United Data'!$A$3:$A$3390,C$1,'United Data'!$C$3:$C$3390,$A1341,'United Data'!$B$3:$B$3390,"&lt;&gt;Off-street")&gt;0,1,0)</f>
        <v>0</v>
      </c>
      <c r="D1341">
        <f>IF(COUNTIFS('United Data'!$A$3:$A$3390,D$1,'United Data'!$C$3:$C$3390,$A1341,'United Data'!$B$3:$B$3390,"&lt;&gt;Off-street")&gt;0,1,0)</f>
        <v>0</v>
      </c>
      <c r="E1341">
        <f>IF(COUNTIFS('United Data'!$A$3:$A$3390,E$1,'United Data'!$C$3:$C$3390,$A1341,'United Data'!$B$3:$B$3390,"&lt;&gt;Off-street")&gt;0,1,0)</f>
        <v>0</v>
      </c>
      <c r="F1341">
        <f>IF(COUNTIFS('United Data'!$A$3:$A$3390,F$1,'United Data'!$C$3:$C$3390,$A1341,'United Data'!$B$3:$B$3390,"&lt;&gt;Off-street")&gt;0,1,0)</f>
        <v>0</v>
      </c>
      <c r="G1341">
        <f>IF(COUNTIFS('United Data'!$A$3:$A$3390,G$1,'United Data'!$C$3:$C$3390,$A1341,'United Data'!$B$3:$B$3390,"&lt;&gt;Off-street")&gt;0,1,0)</f>
        <v>0</v>
      </c>
      <c r="H1341">
        <f>IF(COUNTIFS('United Data'!$A$3:$A$3390,H$1,'United Data'!$C$3:$C$3390,$A1341,'United Data'!$B$3:$B$3390,"&lt;&gt;Off-street")&gt;0,1,0)</f>
        <v>0</v>
      </c>
      <c r="I1341">
        <f>IF(COUNTIFS('United Data'!$A$3:$A$3390,I$1,'United Data'!$C$3:$C$3390,$A1341,'United Data'!$B$3:$B$3390,"&lt;&gt;Off-street")&gt;0,1,0)</f>
        <v>0</v>
      </c>
      <c r="J1341">
        <f>IF(COUNTIFS('United Data'!$A$3:$A$3390,J$1,'United Data'!$C$3:$C$3390,$A1341,'United Data'!$B$3:$B$3390,"&lt;&gt;Off-street")&gt;0,1,0)</f>
        <v>1</v>
      </c>
      <c r="K1341">
        <f>IF(COUNTIFS('United Data'!$A$3:$A$3390,K$1,'United Data'!$C$3:$C$3390,$A1341,'United Data'!$B$3:$B$3390,"&lt;&gt;Off-street")&gt;0,1,0)</f>
        <v>1</v>
      </c>
      <c r="L1341">
        <f>IF(COUNTIFS('United Data'!$A$3:$A$3390,L$1,'United Data'!$C$3:$C$3390,$A1341,'United Data'!$B$3:$B$3390,"&lt;&gt;Off-street")&gt;0,1,0)</f>
        <v>0</v>
      </c>
      <c r="M1341">
        <f>IF(COUNTIFS('United Data'!$A$3:$A$3390,M$1,'United Data'!$C$3:$C$3390,$A1341,'United Data'!$B$3:$B$3390,"&lt;&gt;Off-street")&gt;0,1,0)</f>
        <v>0</v>
      </c>
      <c r="N1341">
        <f>IF(COUNTIFS('United Data'!$A$3:$A$3390,N$1,'United Data'!$C$3:$C$3390,$A1341,'United Data'!$B$3:$B$3390,"&lt;&gt;Off-street")&gt;0,1,0)</f>
        <v>0</v>
      </c>
      <c r="O1341">
        <f>IF(COUNTIFS('United Data'!$A$3:$A$3390,O$1,'United Data'!$C$3:$C$3390,$A1341,'United Data'!$B$3:$B$3390,"&lt;&gt;Off-street")&gt;0,1,0)</f>
        <v>1</v>
      </c>
      <c r="P1341">
        <f>IF(COUNTIFS('United Data'!$A$3:$A$3390,P$1,'United Data'!$C$3:$C$3390,$A1341,'United Data'!$B$3:$B$3390,"&lt;&gt;Off-street")&gt;0,1,0)</f>
        <v>1</v>
      </c>
      <c r="Q1341">
        <f>IF(COUNTIFS('United Data'!$A$3:$A$3390,Q$1,'United Data'!$C$3:$C$3390,$A1341,'United Data'!$B$3:$B$3390,"&lt;&gt;Off-street")&gt;0,1,0)</f>
        <v>0</v>
      </c>
      <c r="R1341">
        <f>IF(COUNTIFS('United Data'!$A$3:$A$3390,R$1,'United Data'!$C$3:$C$3390,$A1341,'United Data'!$B$3:$B$3390,"&lt;&gt;Off-street")&gt;0,1,0)</f>
        <v>0</v>
      </c>
      <c r="S1341">
        <f t="shared" si="40"/>
        <v>4</v>
      </c>
      <c r="T1341">
        <f t="shared" si="41"/>
        <v>2</v>
      </c>
    </row>
    <row r="1342" spans="1:20" x14ac:dyDescent="0.2">
      <c r="A1342" t="s">
        <v>1583</v>
      </c>
      <c r="B1342">
        <f>IF(COUNTIFS('United Data'!$A$3:$A$3390,B$1,'United Data'!$C$3:$C$3390,$A1342,'United Data'!$B$3:$B$3390,"&lt;&gt;Off-street")&gt;0,1,0)</f>
        <v>0</v>
      </c>
      <c r="C1342">
        <f>IF(COUNTIFS('United Data'!$A$3:$A$3390,C$1,'United Data'!$C$3:$C$3390,$A1342,'United Data'!$B$3:$B$3390,"&lt;&gt;Off-street")&gt;0,1,0)</f>
        <v>0</v>
      </c>
      <c r="D1342">
        <f>IF(COUNTIFS('United Data'!$A$3:$A$3390,D$1,'United Data'!$C$3:$C$3390,$A1342,'United Data'!$B$3:$B$3390,"&lt;&gt;Off-street")&gt;0,1,0)</f>
        <v>0</v>
      </c>
      <c r="E1342">
        <f>IF(COUNTIFS('United Data'!$A$3:$A$3390,E$1,'United Data'!$C$3:$C$3390,$A1342,'United Data'!$B$3:$B$3390,"&lt;&gt;Off-street")&gt;0,1,0)</f>
        <v>0</v>
      </c>
      <c r="F1342">
        <f>IF(COUNTIFS('United Data'!$A$3:$A$3390,F$1,'United Data'!$C$3:$C$3390,$A1342,'United Data'!$B$3:$B$3390,"&lt;&gt;Off-street")&gt;0,1,0)</f>
        <v>0</v>
      </c>
      <c r="G1342">
        <f>IF(COUNTIFS('United Data'!$A$3:$A$3390,G$1,'United Data'!$C$3:$C$3390,$A1342,'United Data'!$B$3:$B$3390,"&lt;&gt;Off-street")&gt;0,1,0)</f>
        <v>0</v>
      </c>
      <c r="H1342">
        <f>IF(COUNTIFS('United Data'!$A$3:$A$3390,H$1,'United Data'!$C$3:$C$3390,$A1342,'United Data'!$B$3:$B$3390,"&lt;&gt;Off-street")&gt;0,1,0)</f>
        <v>0</v>
      </c>
      <c r="I1342">
        <f>IF(COUNTIFS('United Data'!$A$3:$A$3390,I$1,'United Data'!$C$3:$C$3390,$A1342,'United Data'!$B$3:$B$3390,"&lt;&gt;Off-street")&gt;0,1,0)</f>
        <v>0</v>
      </c>
      <c r="J1342">
        <f>IF(COUNTIFS('United Data'!$A$3:$A$3390,J$1,'United Data'!$C$3:$C$3390,$A1342,'United Data'!$B$3:$B$3390,"&lt;&gt;Off-street")&gt;0,1,0)</f>
        <v>0</v>
      </c>
      <c r="K1342">
        <f>IF(COUNTIFS('United Data'!$A$3:$A$3390,K$1,'United Data'!$C$3:$C$3390,$A1342,'United Data'!$B$3:$B$3390,"&lt;&gt;Off-street")&gt;0,1,0)</f>
        <v>1</v>
      </c>
      <c r="L1342">
        <f>IF(COUNTIFS('United Data'!$A$3:$A$3390,L$1,'United Data'!$C$3:$C$3390,$A1342,'United Data'!$B$3:$B$3390,"&lt;&gt;Off-street")&gt;0,1,0)</f>
        <v>0</v>
      </c>
      <c r="M1342">
        <f>IF(COUNTIFS('United Data'!$A$3:$A$3390,M$1,'United Data'!$C$3:$C$3390,$A1342,'United Data'!$B$3:$B$3390,"&lt;&gt;Off-street")&gt;0,1,0)</f>
        <v>0</v>
      </c>
      <c r="N1342">
        <f>IF(COUNTIFS('United Data'!$A$3:$A$3390,N$1,'United Data'!$C$3:$C$3390,$A1342,'United Data'!$B$3:$B$3390,"&lt;&gt;Off-street")&gt;0,1,0)</f>
        <v>0</v>
      </c>
      <c r="O1342">
        <f>IF(COUNTIFS('United Data'!$A$3:$A$3390,O$1,'United Data'!$C$3:$C$3390,$A1342,'United Data'!$B$3:$B$3390,"&lt;&gt;Off-street")&gt;0,1,0)</f>
        <v>0</v>
      </c>
      <c r="P1342">
        <f>IF(COUNTIFS('United Data'!$A$3:$A$3390,P$1,'United Data'!$C$3:$C$3390,$A1342,'United Data'!$B$3:$B$3390,"&lt;&gt;Off-street")&gt;0,1,0)</f>
        <v>0</v>
      </c>
      <c r="Q1342">
        <f>IF(COUNTIFS('United Data'!$A$3:$A$3390,Q$1,'United Data'!$C$3:$C$3390,$A1342,'United Data'!$B$3:$B$3390,"&lt;&gt;Off-street")&gt;0,1,0)</f>
        <v>0</v>
      </c>
      <c r="R1342">
        <f>IF(COUNTIFS('United Data'!$A$3:$A$3390,R$1,'United Data'!$C$3:$C$3390,$A1342,'United Data'!$B$3:$B$3390,"&lt;&gt;Off-street")&gt;0,1,0)</f>
        <v>0</v>
      </c>
      <c r="S1342">
        <f t="shared" si="40"/>
        <v>1</v>
      </c>
      <c r="T1342">
        <f t="shared" si="41"/>
        <v>1</v>
      </c>
    </row>
    <row r="1343" spans="1:20" x14ac:dyDescent="0.2">
      <c r="A1343" t="s">
        <v>1584</v>
      </c>
      <c r="B1343">
        <f>IF(COUNTIFS('United Data'!$A$3:$A$3390,B$1,'United Data'!$C$3:$C$3390,$A1343,'United Data'!$B$3:$B$3390,"&lt;&gt;Off-street")&gt;0,1,0)</f>
        <v>0</v>
      </c>
      <c r="C1343">
        <f>IF(COUNTIFS('United Data'!$A$3:$A$3390,C$1,'United Data'!$C$3:$C$3390,$A1343,'United Data'!$B$3:$B$3390,"&lt;&gt;Off-street")&gt;0,1,0)</f>
        <v>0</v>
      </c>
      <c r="D1343">
        <f>IF(COUNTIFS('United Data'!$A$3:$A$3390,D$1,'United Data'!$C$3:$C$3390,$A1343,'United Data'!$B$3:$B$3390,"&lt;&gt;Off-street")&gt;0,1,0)</f>
        <v>1</v>
      </c>
      <c r="E1343">
        <f>IF(COUNTIFS('United Data'!$A$3:$A$3390,E$1,'United Data'!$C$3:$C$3390,$A1343,'United Data'!$B$3:$B$3390,"&lt;&gt;Off-street")&gt;0,1,0)</f>
        <v>0</v>
      </c>
      <c r="F1343">
        <f>IF(COUNTIFS('United Data'!$A$3:$A$3390,F$1,'United Data'!$C$3:$C$3390,$A1343,'United Data'!$B$3:$B$3390,"&lt;&gt;Off-street")&gt;0,1,0)</f>
        <v>0</v>
      </c>
      <c r="G1343">
        <f>IF(COUNTIFS('United Data'!$A$3:$A$3390,G$1,'United Data'!$C$3:$C$3390,$A1343,'United Data'!$B$3:$B$3390,"&lt;&gt;Off-street")&gt;0,1,0)</f>
        <v>1</v>
      </c>
      <c r="H1343">
        <f>IF(COUNTIFS('United Data'!$A$3:$A$3390,H$1,'United Data'!$C$3:$C$3390,$A1343,'United Data'!$B$3:$B$3390,"&lt;&gt;Off-street")&gt;0,1,0)</f>
        <v>0</v>
      </c>
      <c r="I1343">
        <f>IF(COUNTIFS('United Data'!$A$3:$A$3390,I$1,'United Data'!$C$3:$C$3390,$A1343,'United Data'!$B$3:$B$3390,"&lt;&gt;Off-street")&gt;0,1,0)</f>
        <v>0</v>
      </c>
      <c r="J1343">
        <f>IF(COUNTIFS('United Data'!$A$3:$A$3390,J$1,'United Data'!$C$3:$C$3390,$A1343,'United Data'!$B$3:$B$3390,"&lt;&gt;Off-street")&gt;0,1,0)</f>
        <v>0</v>
      </c>
      <c r="K1343">
        <f>IF(COUNTIFS('United Data'!$A$3:$A$3390,K$1,'United Data'!$C$3:$C$3390,$A1343,'United Data'!$B$3:$B$3390,"&lt;&gt;Off-street")&gt;0,1,0)</f>
        <v>1</v>
      </c>
      <c r="L1343">
        <f>IF(COUNTIFS('United Data'!$A$3:$A$3390,L$1,'United Data'!$C$3:$C$3390,$A1343,'United Data'!$B$3:$B$3390,"&lt;&gt;Off-street")&gt;0,1,0)</f>
        <v>0</v>
      </c>
      <c r="M1343">
        <f>IF(COUNTIFS('United Data'!$A$3:$A$3390,M$1,'United Data'!$C$3:$C$3390,$A1343,'United Data'!$B$3:$B$3390,"&lt;&gt;Off-street")&gt;0,1,0)</f>
        <v>0</v>
      </c>
      <c r="N1343">
        <f>IF(COUNTIFS('United Data'!$A$3:$A$3390,N$1,'United Data'!$C$3:$C$3390,$A1343,'United Data'!$B$3:$B$3390,"&lt;&gt;Off-street")&gt;0,1,0)</f>
        <v>0</v>
      </c>
      <c r="O1343">
        <f>IF(COUNTIFS('United Data'!$A$3:$A$3390,O$1,'United Data'!$C$3:$C$3390,$A1343,'United Data'!$B$3:$B$3390,"&lt;&gt;Off-street")&gt;0,1,0)</f>
        <v>0</v>
      </c>
      <c r="P1343">
        <f>IF(COUNTIFS('United Data'!$A$3:$A$3390,P$1,'United Data'!$C$3:$C$3390,$A1343,'United Data'!$B$3:$B$3390,"&lt;&gt;Off-street")&gt;0,1,0)</f>
        <v>0</v>
      </c>
      <c r="Q1343">
        <f>IF(COUNTIFS('United Data'!$A$3:$A$3390,Q$1,'United Data'!$C$3:$C$3390,$A1343,'United Data'!$B$3:$B$3390,"&lt;&gt;Off-street")&gt;0,1,0)</f>
        <v>0</v>
      </c>
      <c r="R1343">
        <f>IF(COUNTIFS('United Data'!$A$3:$A$3390,R$1,'United Data'!$C$3:$C$3390,$A1343,'United Data'!$B$3:$B$3390,"&lt;&gt;Off-street")&gt;0,1,0)</f>
        <v>0</v>
      </c>
      <c r="S1343">
        <f t="shared" si="40"/>
        <v>3</v>
      </c>
      <c r="T1343">
        <f t="shared" si="41"/>
        <v>3</v>
      </c>
    </row>
    <row r="1344" spans="1:20" x14ac:dyDescent="0.2">
      <c r="A1344" t="s">
        <v>1585</v>
      </c>
      <c r="B1344">
        <f>IF(COUNTIFS('United Data'!$A$3:$A$3390,B$1,'United Data'!$C$3:$C$3390,$A1344,'United Data'!$B$3:$B$3390,"&lt;&gt;Off-street")&gt;0,1,0)</f>
        <v>0</v>
      </c>
      <c r="C1344">
        <f>IF(COUNTIFS('United Data'!$A$3:$A$3390,C$1,'United Data'!$C$3:$C$3390,$A1344,'United Data'!$B$3:$B$3390,"&lt;&gt;Off-street")&gt;0,1,0)</f>
        <v>0</v>
      </c>
      <c r="D1344">
        <f>IF(COUNTIFS('United Data'!$A$3:$A$3390,D$1,'United Data'!$C$3:$C$3390,$A1344,'United Data'!$B$3:$B$3390,"&lt;&gt;Off-street")&gt;0,1,0)</f>
        <v>1</v>
      </c>
      <c r="E1344">
        <f>IF(COUNTIFS('United Data'!$A$3:$A$3390,E$1,'United Data'!$C$3:$C$3390,$A1344,'United Data'!$B$3:$B$3390,"&lt;&gt;Off-street")&gt;0,1,0)</f>
        <v>0</v>
      </c>
      <c r="F1344">
        <f>IF(COUNTIFS('United Data'!$A$3:$A$3390,F$1,'United Data'!$C$3:$C$3390,$A1344,'United Data'!$B$3:$B$3390,"&lt;&gt;Off-street")&gt;0,1,0)</f>
        <v>0</v>
      </c>
      <c r="G1344">
        <f>IF(COUNTIFS('United Data'!$A$3:$A$3390,G$1,'United Data'!$C$3:$C$3390,$A1344,'United Data'!$B$3:$B$3390,"&lt;&gt;Off-street")&gt;0,1,0)</f>
        <v>0</v>
      </c>
      <c r="H1344">
        <f>IF(COUNTIFS('United Data'!$A$3:$A$3390,H$1,'United Data'!$C$3:$C$3390,$A1344,'United Data'!$B$3:$B$3390,"&lt;&gt;Off-street")&gt;0,1,0)</f>
        <v>0</v>
      </c>
      <c r="I1344">
        <f>IF(COUNTIFS('United Data'!$A$3:$A$3390,I$1,'United Data'!$C$3:$C$3390,$A1344,'United Data'!$B$3:$B$3390,"&lt;&gt;Off-street")&gt;0,1,0)</f>
        <v>0</v>
      </c>
      <c r="J1344">
        <f>IF(COUNTIFS('United Data'!$A$3:$A$3390,J$1,'United Data'!$C$3:$C$3390,$A1344,'United Data'!$B$3:$B$3390,"&lt;&gt;Off-street")&gt;0,1,0)</f>
        <v>0</v>
      </c>
      <c r="K1344">
        <f>IF(COUNTIFS('United Data'!$A$3:$A$3390,K$1,'United Data'!$C$3:$C$3390,$A1344,'United Data'!$B$3:$B$3390,"&lt;&gt;Off-street")&gt;0,1,0)</f>
        <v>1</v>
      </c>
      <c r="L1344">
        <f>IF(COUNTIFS('United Data'!$A$3:$A$3390,L$1,'United Data'!$C$3:$C$3390,$A1344,'United Data'!$B$3:$B$3390,"&lt;&gt;Off-street")&gt;0,1,0)</f>
        <v>0</v>
      </c>
      <c r="M1344">
        <f>IF(COUNTIFS('United Data'!$A$3:$A$3390,M$1,'United Data'!$C$3:$C$3390,$A1344,'United Data'!$B$3:$B$3390,"&lt;&gt;Off-street")&gt;0,1,0)</f>
        <v>0</v>
      </c>
      <c r="N1344">
        <f>IF(COUNTIFS('United Data'!$A$3:$A$3390,N$1,'United Data'!$C$3:$C$3390,$A1344,'United Data'!$B$3:$B$3390,"&lt;&gt;Off-street")&gt;0,1,0)</f>
        <v>0</v>
      </c>
      <c r="O1344">
        <f>IF(COUNTIFS('United Data'!$A$3:$A$3390,O$1,'United Data'!$C$3:$C$3390,$A1344,'United Data'!$B$3:$B$3390,"&lt;&gt;Off-street")&gt;0,1,0)</f>
        <v>0</v>
      </c>
      <c r="P1344">
        <f>IF(COUNTIFS('United Data'!$A$3:$A$3390,P$1,'United Data'!$C$3:$C$3390,$A1344,'United Data'!$B$3:$B$3390,"&lt;&gt;Off-street")&gt;0,1,0)</f>
        <v>0</v>
      </c>
      <c r="Q1344">
        <f>IF(COUNTIFS('United Data'!$A$3:$A$3390,Q$1,'United Data'!$C$3:$C$3390,$A1344,'United Data'!$B$3:$B$3390,"&lt;&gt;Off-street")&gt;0,1,0)</f>
        <v>0</v>
      </c>
      <c r="R1344">
        <f>IF(COUNTIFS('United Data'!$A$3:$A$3390,R$1,'United Data'!$C$3:$C$3390,$A1344,'United Data'!$B$3:$B$3390,"&lt;&gt;Off-street")&gt;0,1,0)</f>
        <v>0</v>
      </c>
      <c r="S1344">
        <f t="shared" si="40"/>
        <v>2</v>
      </c>
      <c r="T1344">
        <f t="shared" si="41"/>
        <v>2</v>
      </c>
    </row>
    <row r="1345" spans="1:20" x14ac:dyDescent="0.2">
      <c r="A1345" t="s">
        <v>1586</v>
      </c>
      <c r="B1345">
        <f>IF(COUNTIFS('United Data'!$A$3:$A$3390,B$1,'United Data'!$C$3:$C$3390,$A1345,'United Data'!$B$3:$B$3390,"&lt;&gt;Off-street")&gt;0,1,0)</f>
        <v>0</v>
      </c>
      <c r="C1345">
        <f>IF(COUNTIFS('United Data'!$A$3:$A$3390,C$1,'United Data'!$C$3:$C$3390,$A1345,'United Data'!$B$3:$B$3390,"&lt;&gt;Off-street")&gt;0,1,0)</f>
        <v>0</v>
      </c>
      <c r="D1345">
        <f>IF(COUNTIFS('United Data'!$A$3:$A$3390,D$1,'United Data'!$C$3:$C$3390,$A1345,'United Data'!$B$3:$B$3390,"&lt;&gt;Off-street")&gt;0,1,0)</f>
        <v>0</v>
      </c>
      <c r="E1345">
        <f>IF(COUNTIFS('United Data'!$A$3:$A$3390,E$1,'United Data'!$C$3:$C$3390,$A1345,'United Data'!$B$3:$B$3390,"&lt;&gt;Off-street")&gt;0,1,0)</f>
        <v>0</v>
      </c>
      <c r="F1345">
        <f>IF(COUNTIFS('United Data'!$A$3:$A$3390,F$1,'United Data'!$C$3:$C$3390,$A1345,'United Data'!$B$3:$B$3390,"&lt;&gt;Off-street")&gt;0,1,0)</f>
        <v>0</v>
      </c>
      <c r="G1345">
        <f>IF(COUNTIFS('United Data'!$A$3:$A$3390,G$1,'United Data'!$C$3:$C$3390,$A1345,'United Data'!$B$3:$B$3390,"&lt;&gt;Off-street")&gt;0,1,0)</f>
        <v>0</v>
      </c>
      <c r="H1345">
        <f>IF(COUNTIFS('United Data'!$A$3:$A$3390,H$1,'United Data'!$C$3:$C$3390,$A1345,'United Data'!$B$3:$B$3390,"&lt;&gt;Off-street")&gt;0,1,0)</f>
        <v>0</v>
      </c>
      <c r="I1345">
        <f>IF(COUNTIFS('United Data'!$A$3:$A$3390,I$1,'United Data'!$C$3:$C$3390,$A1345,'United Data'!$B$3:$B$3390,"&lt;&gt;Off-street")&gt;0,1,0)</f>
        <v>0</v>
      </c>
      <c r="J1345">
        <f>IF(COUNTIFS('United Data'!$A$3:$A$3390,J$1,'United Data'!$C$3:$C$3390,$A1345,'United Data'!$B$3:$B$3390,"&lt;&gt;Off-street")&gt;0,1,0)</f>
        <v>0</v>
      </c>
      <c r="K1345">
        <f>IF(COUNTIFS('United Data'!$A$3:$A$3390,K$1,'United Data'!$C$3:$C$3390,$A1345,'United Data'!$B$3:$B$3390,"&lt;&gt;Off-street")&gt;0,1,0)</f>
        <v>1</v>
      </c>
      <c r="L1345">
        <f>IF(COUNTIFS('United Data'!$A$3:$A$3390,L$1,'United Data'!$C$3:$C$3390,$A1345,'United Data'!$B$3:$B$3390,"&lt;&gt;Off-street")&gt;0,1,0)</f>
        <v>0</v>
      </c>
      <c r="M1345">
        <f>IF(COUNTIFS('United Data'!$A$3:$A$3390,M$1,'United Data'!$C$3:$C$3390,$A1345,'United Data'!$B$3:$B$3390,"&lt;&gt;Off-street")&gt;0,1,0)</f>
        <v>0</v>
      </c>
      <c r="N1345">
        <f>IF(COUNTIFS('United Data'!$A$3:$A$3390,N$1,'United Data'!$C$3:$C$3390,$A1345,'United Data'!$B$3:$B$3390,"&lt;&gt;Off-street")&gt;0,1,0)</f>
        <v>0</v>
      </c>
      <c r="O1345">
        <f>IF(COUNTIFS('United Data'!$A$3:$A$3390,O$1,'United Data'!$C$3:$C$3390,$A1345,'United Data'!$B$3:$B$3390,"&lt;&gt;Off-street")&gt;0,1,0)</f>
        <v>0</v>
      </c>
      <c r="P1345">
        <f>IF(COUNTIFS('United Data'!$A$3:$A$3390,P$1,'United Data'!$C$3:$C$3390,$A1345,'United Data'!$B$3:$B$3390,"&lt;&gt;Off-street")&gt;0,1,0)</f>
        <v>1</v>
      </c>
      <c r="Q1345">
        <f>IF(COUNTIFS('United Data'!$A$3:$A$3390,Q$1,'United Data'!$C$3:$C$3390,$A1345,'United Data'!$B$3:$B$3390,"&lt;&gt;Off-street")&gt;0,1,0)</f>
        <v>0</v>
      </c>
      <c r="R1345">
        <f>IF(COUNTIFS('United Data'!$A$3:$A$3390,R$1,'United Data'!$C$3:$C$3390,$A1345,'United Data'!$B$3:$B$3390,"&lt;&gt;Off-street")&gt;0,1,0)</f>
        <v>0</v>
      </c>
      <c r="S1345">
        <f t="shared" si="40"/>
        <v>2</v>
      </c>
      <c r="T1345">
        <f t="shared" si="41"/>
        <v>2</v>
      </c>
    </row>
    <row r="1346" spans="1:20" x14ac:dyDescent="0.2">
      <c r="A1346" t="s">
        <v>1587</v>
      </c>
      <c r="B1346">
        <f>IF(COUNTIFS('United Data'!$A$3:$A$3390,B$1,'United Data'!$C$3:$C$3390,$A1346,'United Data'!$B$3:$B$3390,"&lt;&gt;Off-street")&gt;0,1,0)</f>
        <v>0</v>
      </c>
      <c r="C1346">
        <f>IF(COUNTIFS('United Data'!$A$3:$A$3390,C$1,'United Data'!$C$3:$C$3390,$A1346,'United Data'!$B$3:$B$3390,"&lt;&gt;Off-street")&gt;0,1,0)</f>
        <v>0</v>
      </c>
      <c r="D1346">
        <f>IF(COUNTIFS('United Data'!$A$3:$A$3390,D$1,'United Data'!$C$3:$C$3390,$A1346,'United Data'!$B$3:$B$3390,"&lt;&gt;Off-street")&gt;0,1,0)</f>
        <v>0</v>
      </c>
      <c r="E1346">
        <f>IF(COUNTIFS('United Data'!$A$3:$A$3390,E$1,'United Data'!$C$3:$C$3390,$A1346,'United Data'!$B$3:$B$3390,"&lt;&gt;Off-street")&gt;0,1,0)</f>
        <v>0</v>
      </c>
      <c r="F1346">
        <f>IF(COUNTIFS('United Data'!$A$3:$A$3390,F$1,'United Data'!$C$3:$C$3390,$A1346,'United Data'!$B$3:$B$3390,"&lt;&gt;Off-street")&gt;0,1,0)</f>
        <v>0</v>
      </c>
      <c r="G1346">
        <f>IF(COUNTIFS('United Data'!$A$3:$A$3390,G$1,'United Data'!$C$3:$C$3390,$A1346,'United Data'!$B$3:$B$3390,"&lt;&gt;Off-street")&gt;0,1,0)</f>
        <v>0</v>
      </c>
      <c r="H1346">
        <f>IF(COUNTIFS('United Data'!$A$3:$A$3390,H$1,'United Data'!$C$3:$C$3390,$A1346,'United Data'!$B$3:$B$3390,"&lt;&gt;Off-street")&gt;0,1,0)</f>
        <v>0</v>
      </c>
      <c r="I1346">
        <f>IF(COUNTIFS('United Data'!$A$3:$A$3390,I$1,'United Data'!$C$3:$C$3390,$A1346,'United Data'!$B$3:$B$3390,"&lt;&gt;Off-street")&gt;0,1,0)</f>
        <v>0</v>
      </c>
      <c r="J1346">
        <f>IF(COUNTIFS('United Data'!$A$3:$A$3390,J$1,'United Data'!$C$3:$C$3390,$A1346,'United Data'!$B$3:$B$3390,"&lt;&gt;Off-street")&gt;0,1,0)</f>
        <v>0</v>
      </c>
      <c r="K1346">
        <f>IF(COUNTIFS('United Data'!$A$3:$A$3390,K$1,'United Data'!$C$3:$C$3390,$A1346,'United Data'!$B$3:$B$3390,"&lt;&gt;Off-street")&gt;0,1,0)</f>
        <v>1</v>
      </c>
      <c r="L1346">
        <f>IF(COUNTIFS('United Data'!$A$3:$A$3390,L$1,'United Data'!$C$3:$C$3390,$A1346,'United Data'!$B$3:$B$3390,"&lt;&gt;Off-street")&gt;0,1,0)</f>
        <v>0</v>
      </c>
      <c r="M1346">
        <f>IF(COUNTIFS('United Data'!$A$3:$A$3390,M$1,'United Data'!$C$3:$C$3390,$A1346,'United Data'!$B$3:$B$3390,"&lt;&gt;Off-street")&gt;0,1,0)</f>
        <v>0</v>
      </c>
      <c r="N1346">
        <f>IF(COUNTIFS('United Data'!$A$3:$A$3390,N$1,'United Data'!$C$3:$C$3390,$A1346,'United Data'!$B$3:$B$3390,"&lt;&gt;Off-street")&gt;0,1,0)</f>
        <v>0</v>
      </c>
      <c r="O1346">
        <f>IF(COUNTIFS('United Data'!$A$3:$A$3390,O$1,'United Data'!$C$3:$C$3390,$A1346,'United Data'!$B$3:$B$3390,"&lt;&gt;Off-street")&gt;0,1,0)</f>
        <v>0</v>
      </c>
      <c r="P1346">
        <f>IF(COUNTIFS('United Data'!$A$3:$A$3390,P$1,'United Data'!$C$3:$C$3390,$A1346,'United Data'!$B$3:$B$3390,"&lt;&gt;Off-street")&gt;0,1,0)</f>
        <v>0</v>
      </c>
      <c r="Q1346">
        <f>IF(COUNTIFS('United Data'!$A$3:$A$3390,Q$1,'United Data'!$C$3:$C$3390,$A1346,'United Data'!$B$3:$B$3390,"&lt;&gt;Off-street")&gt;0,1,0)</f>
        <v>0</v>
      </c>
      <c r="R1346">
        <f>IF(COUNTIFS('United Data'!$A$3:$A$3390,R$1,'United Data'!$C$3:$C$3390,$A1346,'United Data'!$B$3:$B$3390,"&lt;&gt;Off-street")&gt;0,1,0)</f>
        <v>0</v>
      </c>
      <c r="S1346">
        <f t="shared" ref="S1346:S1409" si="42">SUM(B1346:R1346)</f>
        <v>1</v>
      </c>
      <c r="T1346">
        <f t="shared" ref="T1346:T1409" si="43">B1346+SUMPRODUCT(--(C1346:R1346&gt;B1346:Q1346))</f>
        <v>1</v>
      </c>
    </row>
    <row r="1347" spans="1:20" x14ac:dyDescent="0.2">
      <c r="A1347" t="s">
        <v>1588</v>
      </c>
      <c r="B1347">
        <f>IF(COUNTIFS('United Data'!$A$3:$A$3390,B$1,'United Data'!$C$3:$C$3390,$A1347,'United Data'!$B$3:$B$3390,"&lt;&gt;Off-street")&gt;0,1,0)</f>
        <v>0</v>
      </c>
      <c r="C1347">
        <f>IF(COUNTIFS('United Data'!$A$3:$A$3390,C$1,'United Data'!$C$3:$C$3390,$A1347,'United Data'!$B$3:$B$3390,"&lt;&gt;Off-street")&gt;0,1,0)</f>
        <v>0</v>
      </c>
      <c r="D1347">
        <f>IF(COUNTIFS('United Data'!$A$3:$A$3390,D$1,'United Data'!$C$3:$C$3390,$A1347,'United Data'!$B$3:$B$3390,"&lt;&gt;Off-street")&gt;0,1,0)</f>
        <v>0</v>
      </c>
      <c r="E1347">
        <f>IF(COUNTIFS('United Data'!$A$3:$A$3390,E$1,'United Data'!$C$3:$C$3390,$A1347,'United Data'!$B$3:$B$3390,"&lt;&gt;Off-street")&gt;0,1,0)</f>
        <v>0</v>
      </c>
      <c r="F1347">
        <f>IF(COUNTIFS('United Data'!$A$3:$A$3390,F$1,'United Data'!$C$3:$C$3390,$A1347,'United Data'!$B$3:$B$3390,"&lt;&gt;Off-street")&gt;0,1,0)</f>
        <v>0</v>
      </c>
      <c r="G1347">
        <f>IF(COUNTIFS('United Data'!$A$3:$A$3390,G$1,'United Data'!$C$3:$C$3390,$A1347,'United Data'!$B$3:$B$3390,"&lt;&gt;Off-street")&gt;0,1,0)</f>
        <v>0</v>
      </c>
      <c r="H1347">
        <f>IF(COUNTIFS('United Data'!$A$3:$A$3390,H$1,'United Data'!$C$3:$C$3390,$A1347,'United Data'!$B$3:$B$3390,"&lt;&gt;Off-street")&gt;0,1,0)</f>
        <v>0</v>
      </c>
      <c r="I1347">
        <f>IF(COUNTIFS('United Data'!$A$3:$A$3390,I$1,'United Data'!$C$3:$C$3390,$A1347,'United Data'!$B$3:$B$3390,"&lt;&gt;Off-street")&gt;0,1,0)</f>
        <v>0</v>
      </c>
      <c r="J1347">
        <f>IF(COUNTIFS('United Data'!$A$3:$A$3390,J$1,'United Data'!$C$3:$C$3390,$A1347,'United Data'!$B$3:$B$3390,"&lt;&gt;Off-street")&gt;0,1,0)</f>
        <v>0</v>
      </c>
      <c r="K1347">
        <f>IF(COUNTIFS('United Data'!$A$3:$A$3390,K$1,'United Data'!$C$3:$C$3390,$A1347,'United Data'!$B$3:$B$3390,"&lt;&gt;Off-street")&gt;0,1,0)</f>
        <v>1</v>
      </c>
      <c r="L1347">
        <f>IF(COUNTIFS('United Data'!$A$3:$A$3390,L$1,'United Data'!$C$3:$C$3390,$A1347,'United Data'!$B$3:$B$3390,"&lt;&gt;Off-street")&gt;0,1,0)</f>
        <v>0</v>
      </c>
      <c r="M1347">
        <f>IF(COUNTIFS('United Data'!$A$3:$A$3390,M$1,'United Data'!$C$3:$C$3390,$A1347,'United Data'!$B$3:$B$3390,"&lt;&gt;Off-street")&gt;0,1,0)</f>
        <v>0</v>
      </c>
      <c r="N1347">
        <f>IF(COUNTIFS('United Data'!$A$3:$A$3390,N$1,'United Data'!$C$3:$C$3390,$A1347,'United Data'!$B$3:$B$3390,"&lt;&gt;Off-street")&gt;0,1,0)</f>
        <v>0</v>
      </c>
      <c r="O1347">
        <f>IF(COUNTIFS('United Data'!$A$3:$A$3390,O$1,'United Data'!$C$3:$C$3390,$A1347,'United Data'!$B$3:$B$3390,"&lt;&gt;Off-street")&gt;0,1,0)</f>
        <v>0</v>
      </c>
      <c r="P1347">
        <f>IF(COUNTIFS('United Data'!$A$3:$A$3390,P$1,'United Data'!$C$3:$C$3390,$A1347,'United Data'!$B$3:$B$3390,"&lt;&gt;Off-street")&gt;0,1,0)</f>
        <v>0</v>
      </c>
      <c r="Q1347">
        <f>IF(COUNTIFS('United Data'!$A$3:$A$3390,Q$1,'United Data'!$C$3:$C$3390,$A1347,'United Data'!$B$3:$B$3390,"&lt;&gt;Off-street")&gt;0,1,0)</f>
        <v>0</v>
      </c>
      <c r="R1347">
        <f>IF(COUNTIFS('United Data'!$A$3:$A$3390,R$1,'United Data'!$C$3:$C$3390,$A1347,'United Data'!$B$3:$B$3390,"&lt;&gt;Off-street")&gt;0,1,0)</f>
        <v>0</v>
      </c>
      <c r="S1347">
        <f t="shared" si="42"/>
        <v>1</v>
      </c>
      <c r="T1347">
        <f t="shared" si="43"/>
        <v>1</v>
      </c>
    </row>
    <row r="1348" spans="1:20" x14ac:dyDescent="0.2">
      <c r="A1348" t="s">
        <v>1589</v>
      </c>
      <c r="B1348">
        <f>IF(COUNTIFS('United Data'!$A$3:$A$3390,B$1,'United Data'!$C$3:$C$3390,$A1348,'United Data'!$B$3:$B$3390,"&lt;&gt;Off-street")&gt;0,1,0)</f>
        <v>0</v>
      </c>
      <c r="C1348">
        <f>IF(COUNTIFS('United Data'!$A$3:$A$3390,C$1,'United Data'!$C$3:$C$3390,$A1348,'United Data'!$B$3:$B$3390,"&lt;&gt;Off-street")&gt;0,1,0)</f>
        <v>0</v>
      </c>
      <c r="D1348">
        <f>IF(COUNTIFS('United Data'!$A$3:$A$3390,D$1,'United Data'!$C$3:$C$3390,$A1348,'United Data'!$B$3:$B$3390,"&lt;&gt;Off-street")&gt;0,1,0)</f>
        <v>0</v>
      </c>
      <c r="E1348">
        <f>IF(COUNTIFS('United Data'!$A$3:$A$3390,E$1,'United Data'!$C$3:$C$3390,$A1348,'United Data'!$B$3:$B$3390,"&lt;&gt;Off-street")&gt;0,1,0)</f>
        <v>0</v>
      </c>
      <c r="F1348">
        <f>IF(COUNTIFS('United Data'!$A$3:$A$3390,F$1,'United Data'!$C$3:$C$3390,$A1348,'United Data'!$B$3:$B$3390,"&lt;&gt;Off-street")&gt;0,1,0)</f>
        <v>0</v>
      </c>
      <c r="G1348">
        <f>IF(COUNTIFS('United Data'!$A$3:$A$3390,G$1,'United Data'!$C$3:$C$3390,$A1348,'United Data'!$B$3:$B$3390,"&lt;&gt;Off-street")&gt;0,1,0)</f>
        <v>0</v>
      </c>
      <c r="H1348">
        <f>IF(COUNTIFS('United Data'!$A$3:$A$3390,H$1,'United Data'!$C$3:$C$3390,$A1348,'United Data'!$B$3:$B$3390,"&lt;&gt;Off-street")&gt;0,1,0)</f>
        <v>0</v>
      </c>
      <c r="I1348">
        <f>IF(COUNTIFS('United Data'!$A$3:$A$3390,I$1,'United Data'!$C$3:$C$3390,$A1348,'United Data'!$B$3:$B$3390,"&lt;&gt;Off-street")&gt;0,1,0)</f>
        <v>0</v>
      </c>
      <c r="J1348">
        <f>IF(COUNTIFS('United Data'!$A$3:$A$3390,J$1,'United Data'!$C$3:$C$3390,$A1348,'United Data'!$B$3:$B$3390,"&lt;&gt;Off-street")&gt;0,1,0)</f>
        <v>0</v>
      </c>
      <c r="K1348">
        <f>IF(COUNTIFS('United Data'!$A$3:$A$3390,K$1,'United Data'!$C$3:$C$3390,$A1348,'United Data'!$B$3:$B$3390,"&lt;&gt;Off-street")&gt;0,1,0)</f>
        <v>0</v>
      </c>
      <c r="L1348">
        <f>IF(COUNTIFS('United Data'!$A$3:$A$3390,L$1,'United Data'!$C$3:$C$3390,$A1348,'United Data'!$B$3:$B$3390,"&lt;&gt;Off-street")&gt;0,1,0)</f>
        <v>1</v>
      </c>
      <c r="M1348">
        <f>IF(COUNTIFS('United Data'!$A$3:$A$3390,M$1,'United Data'!$C$3:$C$3390,$A1348,'United Data'!$B$3:$B$3390,"&lt;&gt;Off-street")&gt;0,1,0)</f>
        <v>0</v>
      </c>
      <c r="N1348">
        <f>IF(COUNTIFS('United Data'!$A$3:$A$3390,N$1,'United Data'!$C$3:$C$3390,$A1348,'United Data'!$B$3:$B$3390,"&lt;&gt;Off-street")&gt;0,1,0)</f>
        <v>0</v>
      </c>
      <c r="O1348">
        <f>IF(COUNTIFS('United Data'!$A$3:$A$3390,O$1,'United Data'!$C$3:$C$3390,$A1348,'United Data'!$B$3:$B$3390,"&lt;&gt;Off-street")&gt;0,1,0)</f>
        <v>0</v>
      </c>
      <c r="P1348">
        <f>IF(COUNTIFS('United Data'!$A$3:$A$3390,P$1,'United Data'!$C$3:$C$3390,$A1348,'United Data'!$B$3:$B$3390,"&lt;&gt;Off-street")&gt;0,1,0)</f>
        <v>0</v>
      </c>
      <c r="Q1348">
        <f>IF(COUNTIFS('United Data'!$A$3:$A$3390,Q$1,'United Data'!$C$3:$C$3390,$A1348,'United Data'!$B$3:$B$3390,"&lt;&gt;Off-street")&gt;0,1,0)</f>
        <v>0</v>
      </c>
      <c r="R1348">
        <f>IF(COUNTIFS('United Data'!$A$3:$A$3390,R$1,'United Data'!$C$3:$C$3390,$A1348,'United Data'!$B$3:$B$3390,"&lt;&gt;Off-street")&gt;0,1,0)</f>
        <v>0</v>
      </c>
      <c r="S1348">
        <f t="shared" si="42"/>
        <v>1</v>
      </c>
      <c r="T1348">
        <f t="shared" si="43"/>
        <v>1</v>
      </c>
    </row>
    <row r="1349" spans="1:20" x14ac:dyDescent="0.2">
      <c r="A1349" t="s">
        <v>1592</v>
      </c>
      <c r="B1349">
        <f>IF(COUNTIFS('United Data'!$A$3:$A$3390,B$1,'United Data'!$C$3:$C$3390,$A1349,'United Data'!$B$3:$B$3390,"&lt;&gt;Off-street")&gt;0,1,0)</f>
        <v>0</v>
      </c>
      <c r="C1349">
        <f>IF(COUNTIFS('United Data'!$A$3:$A$3390,C$1,'United Data'!$C$3:$C$3390,$A1349,'United Data'!$B$3:$B$3390,"&lt;&gt;Off-street")&gt;0,1,0)</f>
        <v>0</v>
      </c>
      <c r="D1349">
        <f>IF(COUNTIFS('United Data'!$A$3:$A$3390,D$1,'United Data'!$C$3:$C$3390,$A1349,'United Data'!$B$3:$B$3390,"&lt;&gt;Off-street")&gt;0,1,0)</f>
        <v>0</v>
      </c>
      <c r="E1349">
        <f>IF(COUNTIFS('United Data'!$A$3:$A$3390,E$1,'United Data'!$C$3:$C$3390,$A1349,'United Data'!$B$3:$B$3390,"&lt;&gt;Off-street")&gt;0,1,0)</f>
        <v>0</v>
      </c>
      <c r="F1349">
        <f>IF(COUNTIFS('United Data'!$A$3:$A$3390,F$1,'United Data'!$C$3:$C$3390,$A1349,'United Data'!$B$3:$B$3390,"&lt;&gt;Off-street")&gt;0,1,0)</f>
        <v>0</v>
      </c>
      <c r="G1349">
        <f>IF(COUNTIFS('United Data'!$A$3:$A$3390,G$1,'United Data'!$C$3:$C$3390,$A1349,'United Data'!$B$3:$B$3390,"&lt;&gt;Off-street")&gt;0,1,0)</f>
        <v>0</v>
      </c>
      <c r="H1349">
        <f>IF(COUNTIFS('United Data'!$A$3:$A$3390,H$1,'United Data'!$C$3:$C$3390,$A1349,'United Data'!$B$3:$B$3390,"&lt;&gt;Off-street")&gt;0,1,0)</f>
        <v>0</v>
      </c>
      <c r="I1349">
        <f>IF(COUNTIFS('United Data'!$A$3:$A$3390,I$1,'United Data'!$C$3:$C$3390,$A1349,'United Data'!$B$3:$B$3390,"&lt;&gt;Off-street")&gt;0,1,0)</f>
        <v>0</v>
      </c>
      <c r="J1349">
        <f>IF(COUNTIFS('United Data'!$A$3:$A$3390,J$1,'United Data'!$C$3:$C$3390,$A1349,'United Data'!$B$3:$B$3390,"&lt;&gt;Off-street")&gt;0,1,0)</f>
        <v>0</v>
      </c>
      <c r="K1349">
        <f>IF(COUNTIFS('United Data'!$A$3:$A$3390,K$1,'United Data'!$C$3:$C$3390,$A1349,'United Data'!$B$3:$B$3390,"&lt;&gt;Off-street")&gt;0,1,0)</f>
        <v>0</v>
      </c>
      <c r="L1349">
        <f>IF(COUNTIFS('United Data'!$A$3:$A$3390,L$1,'United Data'!$C$3:$C$3390,$A1349,'United Data'!$B$3:$B$3390,"&lt;&gt;Off-street")&gt;0,1,0)</f>
        <v>0</v>
      </c>
      <c r="M1349">
        <f>IF(COUNTIFS('United Data'!$A$3:$A$3390,M$1,'United Data'!$C$3:$C$3390,$A1349,'United Data'!$B$3:$B$3390,"&lt;&gt;Off-street")&gt;0,1,0)</f>
        <v>1</v>
      </c>
      <c r="N1349">
        <f>IF(COUNTIFS('United Data'!$A$3:$A$3390,N$1,'United Data'!$C$3:$C$3390,$A1349,'United Data'!$B$3:$B$3390,"&lt;&gt;Off-street")&gt;0,1,0)</f>
        <v>1</v>
      </c>
      <c r="O1349">
        <f>IF(COUNTIFS('United Data'!$A$3:$A$3390,O$1,'United Data'!$C$3:$C$3390,$A1349,'United Data'!$B$3:$B$3390,"&lt;&gt;Off-street")&gt;0,1,0)</f>
        <v>1</v>
      </c>
      <c r="P1349">
        <f>IF(COUNTIFS('United Data'!$A$3:$A$3390,P$1,'United Data'!$C$3:$C$3390,$A1349,'United Data'!$B$3:$B$3390,"&lt;&gt;Off-street")&gt;0,1,0)</f>
        <v>0</v>
      </c>
      <c r="Q1349">
        <f>IF(COUNTIFS('United Data'!$A$3:$A$3390,Q$1,'United Data'!$C$3:$C$3390,$A1349,'United Data'!$B$3:$B$3390,"&lt;&gt;Off-street")&gt;0,1,0)</f>
        <v>0</v>
      </c>
      <c r="R1349">
        <f>IF(COUNTIFS('United Data'!$A$3:$A$3390,R$1,'United Data'!$C$3:$C$3390,$A1349,'United Data'!$B$3:$B$3390,"&lt;&gt;Off-street")&gt;0,1,0)</f>
        <v>0</v>
      </c>
      <c r="S1349">
        <f t="shared" si="42"/>
        <v>3</v>
      </c>
      <c r="T1349">
        <f t="shared" si="43"/>
        <v>1</v>
      </c>
    </row>
    <row r="1350" spans="1:20" x14ac:dyDescent="0.2">
      <c r="A1350" t="s">
        <v>1593</v>
      </c>
      <c r="B1350">
        <f>IF(COUNTIFS('United Data'!$A$3:$A$3390,B$1,'United Data'!$C$3:$C$3390,$A1350,'United Data'!$B$3:$B$3390,"&lt;&gt;Off-street")&gt;0,1,0)</f>
        <v>0</v>
      </c>
      <c r="C1350">
        <f>IF(COUNTIFS('United Data'!$A$3:$A$3390,C$1,'United Data'!$C$3:$C$3390,$A1350,'United Data'!$B$3:$B$3390,"&lt;&gt;Off-street")&gt;0,1,0)</f>
        <v>0</v>
      </c>
      <c r="D1350">
        <f>IF(COUNTIFS('United Data'!$A$3:$A$3390,D$1,'United Data'!$C$3:$C$3390,$A1350,'United Data'!$B$3:$B$3390,"&lt;&gt;Off-street")&gt;0,1,0)</f>
        <v>0</v>
      </c>
      <c r="E1350">
        <f>IF(COUNTIFS('United Data'!$A$3:$A$3390,E$1,'United Data'!$C$3:$C$3390,$A1350,'United Data'!$B$3:$B$3390,"&lt;&gt;Off-street")&gt;0,1,0)</f>
        <v>0</v>
      </c>
      <c r="F1350">
        <f>IF(COUNTIFS('United Data'!$A$3:$A$3390,F$1,'United Data'!$C$3:$C$3390,$A1350,'United Data'!$B$3:$B$3390,"&lt;&gt;Off-street")&gt;0,1,0)</f>
        <v>0</v>
      </c>
      <c r="G1350">
        <f>IF(COUNTIFS('United Data'!$A$3:$A$3390,G$1,'United Data'!$C$3:$C$3390,$A1350,'United Data'!$B$3:$B$3390,"&lt;&gt;Off-street")&gt;0,1,0)</f>
        <v>0</v>
      </c>
      <c r="H1350">
        <f>IF(COUNTIFS('United Data'!$A$3:$A$3390,H$1,'United Data'!$C$3:$C$3390,$A1350,'United Data'!$B$3:$B$3390,"&lt;&gt;Off-street")&gt;0,1,0)</f>
        <v>0</v>
      </c>
      <c r="I1350">
        <f>IF(COUNTIFS('United Data'!$A$3:$A$3390,I$1,'United Data'!$C$3:$C$3390,$A1350,'United Data'!$B$3:$B$3390,"&lt;&gt;Off-street")&gt;0,1,0)</f>
        <v>0</v>
      </c>
      <c r="J1350">
        <f>IF(COUNTIFS('United Data'!$A$3:$A$3390,J$1,'United Data'!$C$3:$C$3390,$A1350,'United Data'!$B$3:$B$3390,"&lt;&gt;Off-street")&gt;0,1,0)</f>
        <v>0</v>
      </c>
      <c r="K1350">
        <f>IF(COUNTIFS('United Data'!$A$3:$A$3390,K$1,'United Data'!$C$3:$C$3390,$A1350,'United Data'!$B$3:$B$3390,"&lt;&gt;Off-street")&gt;0,1,0)</f>
        <v>0</v>
      </c>
      <c r="L1350">
        <f>IF(COUNTIFS('United Data'!$A$3:$A$3390,L$1,'United Data'!$C$3:$C$3390,$A1350,'United Data'!$B$3:$B$3390,"&lt;&gt;Off-street")&gt;0,1,0)</f>
        <v>0</v>
      </c>
      <c r="M1350">
        <f>IF(COUNTIFS('United Data'!$A$3:$A$3390,M$1,'United Data'!$C$3:$C$3390,$A1350,'United Data'!$B$3:$B$3390,"&lt;&gt;Off-street")&gt;0,1,0)</f>
        <v>1</v>
      </c>
      <c r="N1350">
        <f>IF(COUNTIFS('United Data'!$A$3:$A$3390,N$1,'United Data'!$C$3:$C$3390,$A1350,'United Data'!$B$3:$B$3390,"&lt;&gt;Off-street")&gt;0,1,0)</f>
        <v>0</v>
      </c>
      <c r="O1350">
        <f>IF(COUNTIFS('United Data'!$A$3:$A$3390,O$1,'United Data'!$C$3:$C$3390,$A1350,'United Data'!$B$3:$B$3390,"&lt;&gt;Off-street")&gt;0,1,0)</f>
        <v>0</v>
      </c>
      <c r="P1350">
        <f>IF(COUNTIFS('United Data'!$A$3:$A$3390,P$1,'United Data'!$C$3:$C$3390,$A1350,'United Data'!$B$3:$B$3390,"&lt;&gt;Off-street")&gt;0,1,0)</f>
        <v>0</v>
      </c>
      <c r="Q1350">
        <f>IF(COUNTIFS('United Data'!$A$3:$A$3390,Q$1,'United Data'!$C$3:$C$3390,$A1350,'United Data'!$B$3:$B$3390,"&lt;&gt;Off-street")&gt;0,1,0)</f>
        <v>0</v>
      </c>
      <c r="R1350">
        <f>IF(COUNTIFS('United Data'!$A$3:$A$3390,R$1,'United Data'!$C$3:$C$3390,$A1350,'United Data'!$B$3:$B$3390,"&lt;&gt;Off-street")&gt;0,1,0)</f>
        <v>0</v>
      </c>
      <c r="S1350">
        <f t="shared" si="42"/>
        <v>1</v>
      </c>
      <c r="T1350">
        <f t="shared" si="43"/>
        <v>1</v>
      </c>
    </row>
    <row r="1351" spans="1:20" x14ac:dyDescent="0.2">
      <c r="A1351" t="s">
        <v>1594</v>
      </c>
      <c r="B1351">
        <f>IF(COUNTIFS('United Data'!$A$3:$A$3390,B$1,'United Data'!$C$3:$C$3390,$A1351,'United Data'!$B$3:$B$3390,"&lt;&gt;Off-street")&gt;0,1,0)</f>
        <v>0</v>
      </c>
      <c r="C1351">
        <f>IF(COUNTIFS('United Data'!$A$3:$A$3390,C$1,'United Data'!$C$3:$C$3390,$A1351,'United Data'!$B$3:$B$3390,"&lt;&gt;Off-street")&gt;0,1,0)</f>
        <v>0</v>
      </c>
      <c r="D1351">
        <f>IF(COUNTIFS('United Data'!$A$3:$A$3390,D$1,'United Data'!$C$3:$C$3390,$A1351,'United Data'!$B$3:$B$3390,"&lt;&gt;Off-street")&gt;0,1,0)</f>
        <v>0</v>
      </c>
      <c r="E1351">
        <f>IF(COUNTIFS('United Data'!$A$3:$A$3390,E$1,'United Data'!$C$3:$C$3390,$A1351,'United Data'!$B$3:$B$3390,"&lt;&gt;Off-street")&gt;0,1,0)</f>
        <v>0</v>
      </c>
      <c r="F1351">
        <f>IF(COUNTIFS('United Data'!$A$3:$A$3390,F$1,'United Data'!$C$3:$C$3390,$A1351,'United Data'!$B$3:$B$3390,"&lt;&gt;Off-street")&gt;0,1,0)</f>
        <v>0</v>
      </c>
      <c r="G1351">
        <f>IF(COUNTIFS('United Data'!$A$3:$A$3390,G$1,'United Data'!$C$3:$C$3390,$A1351,'United Data'!$B$3:$B$3390,"&lt;&gt;Off-street")&gt;0,1,0)</f>
        <v>0</v>
      </c>
      <c r="H1351">
        <f>IF(COUNTIFS('United Data'!$A$3:$A$3390,H$1,'United Data'!$C$3:$C$3390,$A1351,'United Data'!$B$3:$B$3390,"&lt;&gt;Off-street")&gt;0,1,0)</f>
        <v>0</v>
      </c>
      <c r="I1351">
        <f>IF(COUNTIFS('United Data'!$A$3:$A$3390,I$1,'United Data'!$C$3:$C$3390,$A1351,'United Data'!$B$3:$B$3390,"&lt;&gt;Off-street")&gt;0,1,0)</f>
        <v>0</v>
      </c>
      <c r="J1351">
        <f>IF(COUNTIFS('United Data'!$A$3:$A$3390,J$1,'United Data'!$C$3:$C$3390,$A1351,'United Data'!$B$3:$B$3390,"&lt;&gt;Off-street")&gt;0,1,0)</f>
        <v>0</v>
      </c>
      <c r="K1351">
        <f>IF(COUNTIFS('United Data'!$A$3:$A$3390,K$1,'United Data'!$C$3:$C$3390,$A1351,'United Data'!$B$3:$B$3390,"&lt;&gt;Off-street")&gt;0,1,0)</f>
        <v>0</v>
      </c>
      <c r="L1351">
        <f>IF(COUNTIFS('United Data'!$A$3:$A$3390,L$1,'United Data'!$C$3:$C$3390,$A1351,'United Data'!$B$3:$B$3390,"&lt;&gt;Off-street")&gt;0,1,0)</f>
        <v>0</v>
      </c>
      <c r="M1351">
        <f>IF(COUNTIFS('United Data'!$A$3:$A$3390,M$1,'United Data'!$C$3:$C$3390,$A1351,'United Data'!$B$3:$B$3390,"&lt;&gt;Off-street")&gt;0,1,0)</f>
        <v>1</v>
      </c>
      <c r="N1351">
        <f>IF(COUNTIFS('United Data'!$A$3:$A$3390,N$1,'United Data'!$C$3:$C$3390,$A1351,'United Data'!$B$3:$B$3390,"&lt;&gt;Off-street")&gt;0,1,0)</f>
        <v>1</v>
      </c>
      <c r="O1351">
        <f>IF(COUNTIFS('United Data'!$A$3:$A$3390,O$1,'United Data'!$C$3:$C$3390,$A1351,'United Data'!$B$3:$B$3390,"&lt;&gt;Off-street")&gt;0,1,0)</f>
        <v>1</v>
      </c>
      <c r="P1351">
        <f>IF(COUNTIFS('United Data'!$A$3:$A$3390,P$1,'United Data'!$C$3:$C$3390,$A1351,'United Data'!$B$3:$B$3390,"&lt;&gt;Off-street")&gt;0,1,0)</f>
        <v>0</v>
      </c>
      <c r="Q1351">
        <f>IF(COUNTIFS('United Data'!$A$3:$A$3390,Q$1,'United Data'!$C$3:$C$3390,$A1351,'United Data'!$B$3:$B$3390,"&lt;&gt;Off-street")&gt;0,1,0)</f>
        <v>0</v>
      </c>
      <c r="R1351">
        <f>IF(COUNTIFS('United Data'!$A$3:$A$3390,R$1,'United Data'!$C$3:$C$3390,$A1351,'United Data'!$B$3:$B$3390,"&lt;&gt;Off-street")&gt;0,1,0)</f>
        <v>0</v>
      </c>
      <c r="S1351">
        <f t="shared" si="42"/>
        <v>3</v>
      </c>
      <c r="T1351">
        <f t="shared" si="43"/>
        <v>1</v>
      </c>
    </row>
    <row r="1352" spans="1:20" x14ac:dyDescent="0.2">
      <c r="A1352" t="s">
        <v>1595</v>
      </c>
      <c r="B1352">
        <f>IF(COUNTIFS('United Data'!$A$3:$A$3390,B$1,'United Data'!$C$3:$C$3390,$A1352,'United Data'!$B$3:$B$3390,"&lt;&gt;Off-street")&gt;0,1,0)</f>
        <v>0</v>
      </c>
      <c r="C1352">
        <f>IF(COUNTIFS('United Data'!$A$3:$A$3390,C$1,'United Data'!$C$3:$C$3390,$A1352,'United Data'!$B$3:$B$3390,"&lt;&gt;Off-street")&gt;0,1,0)</f>
        <v>0</v>
      </c>
      <c r="D1352">
        <f>IF(COUNTIFS('United Data'!$A$3:$A$3390,D$1,'United Data'!$C$3:$C$3390,$A1352,'United Data'!$B$3:$B$3390,"&lt;&gt;Off-street")&gt;0,1,0)</f>
        <v>0</v>
      </c>
      <c r="E1352">
        <f>IF(COUNTIFS('United Data'!$A$3:$A$3390,E$1,'United Data'!$C$3:$C$3390,$A1352,'United Data'!$B$3:$B$3390,"&lt;&gt;Off-street")&gt;0,1,0)</f>
        <v>0</v>
      </c>
      <c r="F1352">
        <f>IF(COUNTIFS('United Data'!$A$3:$A$3390,F$1,'United Data'!$C$3:$C$3390,$A1352,'United Data'!$B$3:$B$3390,"&lt;&gt;Off-street")&gt;0,1,0)</f>
        <v>0</v>
      </c>
      <c r="G1352">
        <f>IF(COUNTIFS('United Data'!$A$3:$A$3390,G$1,'United Data'!$C$3:$C$3390,$A1352,'United Data'!$B$3:$B$3390,"&lt;&gt;Off-street")&gt;0,1,0)</f>
        <v>0</v>
      </c>
      <c r="H1352">
        <f>IF(COUNTIFS('United Data'!$A$3:$A$3390,H$1,'United Data'!$C$3:$C$3390,$A1352,'United Data'!$B$3:$B$3390,"&lt;&gt;Off-street")&gt;0,1,0)</f>
        <v>0</v>
      </c>
      <c r="I1352">
        <f>IF(COUNTIFS('United Data'!$A$3:$A$3390,I$1,'United Data'!$C$3:$C$3390,$A1352,'United Data'!$B$3:$B$3390,"&lt;&gt;Off-street")&gt;0,1,0)</f>
        <v>0</v>
      </c>
      <c r="J1352">
        <f>IF(COUNTIFS('United Data'!$A$3:$A$3390,J$1,'United Data'!$C$3:$C$3390,$A1352,'United Data'!$B$3:$B$3390,"&lt;&gt;Off-street")&gt;0,1,0)</f>
        <v>0</v>
      </c>
      <c r="K1352">
        <f>IF(COUNTIFS('United Data'!$A$3:$A$3390,K$1,'United Data'!$C$3:$C$3390,$A1352,'United Data'!$B$3:$B$3390,"&lt;&gt;Off-street")&gt;0,1,0)</f>
        <v>0</v>
      </c>
      <c r="L1352">
        <f>IF(COUNTIFS('United Data'!$A$3:$A$3390,L$1,'United Data'!$C$3:$C$3390,$A1352,'United Data'!$B$3:$B$3390,"&lt;&gt;Off-street")&gt;0,1,0)</f>
        <v>0</v>
      </c>
      <c r="M1352">
        <f>IF(COUNTIFS('United Data'!$A$3:$A$3390,M$1,'United Data'!$C$3:$C$3390,$A1352,'United Data'!$B$3:$B$3390,"&lt;&gt;Off-street")&gt;0,1,0)</f>
        <v>0</v>
      </c>
      <c r="N1352">
        <f>IF(COUNTIFS('United Data'!$A$3:$A$3390,N$1,'United Data'!$C$3:$C$3390,$A1352,'United Data'!$B$3:$B$3390,"&lt;&gt;Off-street")&gt;0,1,0)</f>
        <v>1</v>
      </c>
      <c r="O1352">
        <f>IF(COUNTIFS('United Data'!$A$3:$A$3390,O$1,'United Data'!$C$3:$C$3390,$A1352,'United Data'!$B$3:$B$3390,"&lt;&gt;Off-street")&gt;0,1,0)</f>
        <v>0</v>
      </c>
      <c r="P1352">
        <f>IF(COUNTIFS('United Data'!$A$3:$A$3390,P$1,'United Data'!$C$3:$C$3390,$A1352,'United Data'!$B$3:$B$3390,"&lt;&gt;Off-street")&gt;0,1,0)</f>
        <v>0</v>
      </c>
      <c r="Q1352">
        <f>IF(COUNTIFS('United Data'!$A$3:$A$3390,Q$1,'United Data'!$C$3:$C$3390,$A1352,'United Data'!$B$3:$B$3390,"&lt;&gt;Off-street")&gt;0,1,0)</f>
        <v>0</v>
      </c>
      <c r="R1352">
        <f>IF(COUNTIFS('United Data'!$A$3:$A$3390,R$1,'United Data'!$C$3:$C$3390,$A1352,'United Data'!$B$3:$B$3390,"&lt;&gt;Off-street")&gt;0,1,0)</f>
        <v>0</v>
      </c>
      <c r="S1352">
        <f t="shared" si="42"/>
        <v>1</v>
      </c>
      <c r="T1352">
        <f t="shared" si="43"/>
        <v>1</v>
      </c>
    </row>
    <row r="1353" spans="1:20" x14ac:dyDescent="0.2">
      <c r="A1353" t="s">
        <v>1596</v>
      </c>
      <c r="B1353">
        <f>IF(COUNTIFS('United Data'!$A$3:$A$3390,B$1,'United Data'!$C$3:$C$3390,$A1353,'United Data'!$B$3:$B$3390,"&lt;&gt;Off-street")&gt;0,1,0)</f>
        <v>0</v>
      </c>
      <c r="C1353">
        <f>IF(COUNTIFS('United Data'!$A$3:$A$3390,C$1,'United Data'!$C$3:$C$3390,$A1353,'United Data'!$B$3:$B$3390,"&lt;&gt;Off-street")&gt;0,1,0)</f>
        <v>0</v>
      </c>
      <c r="D1353">
        <f>IF(COUNTIFS('United Data'!$A$3:$A$3390,D$1,'United Data'!$C$3:$C$3390,$A1353,'United Data'!$B$3:$B$3390,"&lt;&gt;Off-street")&gt;0,1,0)</f>
        <v>0</v>
      </c>
      <c r="E1353">
        <f>IF(COUNTIFS('United Data'!$A$3:$A$3390,E$1,'United Data'!$C$3:$C$3390,$A1353,'United Data'!$B$3:$B$3390,"&lt;&gt;Off-street")&gt;0,1,0)</f>
        <v>0</v>
      </c>
      <c r="F1353">
        <f>IF(COUNTIFS('United Data'!$A$3:$A$3390,F$1,'United Data'!$C$3:$C$3390,$A1353,'United Data'!$B$3:$B$3390,"&lt;&gt;Off-street")&gt;0,1,0)</f>
        <v>0</v>
      </c>
      <c r="G1353">
        <f>IF(COUNTIFS('United Data'!$A$3:$A$3390,G$1,'United Data'!$C$3:$C$3390,$A1353,'United Data'!$B$3:$B$3390,"&lt;&gt;Off-street")&gt;0,1,0)</f>
        <v>0</v>
      </c>
      <c r="H1353">
        <f>IF(COUNTIFS('United Data'!$A$3:$A$3390,H$1,'United Data'!$C$3:$C$3390,$A1353,'United Data'!$B$3:$B$3390,"&lt;&gt;Off-street")&gt;0,1,0)</f>
        <v>0</v>
      </c>
      <c r="I1353">
        <f>IF(COUNTIFS('United Data'!$A$3:$A$3390,I$1,'United Data'!$C$3:$C$3390,$A1353,'United Data'!$B$3:$B$3390,"&lt;&gt;Off-street")&gt;0,1,0)</f>
        <v>0</v>
      </c>
      <c r="J1353">
        <f>IF(COUNTIFS('United Data'!$A$3:$A$3390,J$1,'United Data'!$C$3:$C$3390,$A1353,'United Data'!$B$3:$B$3390,"&lt;&gt;Off-street")&gt;0,1,0)</f>
        <v>0</v>
      </c>
      <c r="K1353">
        <f>IF(COUNTIFS('United Data'!$A$3:$A$3390,K$1,'United Data'!$C$3:$C$3390,$A1353,'United Data'!$B$3:$B$3390,"&lt;&gt;Off-street")&gt;0,1,0)</f>
        <v>0</v>
      </c>
      <c r="L1353">
        <f>IF(COUNTIFS('United Data'!$A$3:$A$3390,L$1,'United Data'!$C$3:$C$3390,$A1353,'United Data'!$B$3:$B$3390,"&lt;&gt;Off-street")&gt;0,1,0)</f>
        <v>0</v>
      </c>
      <c r="M1353">
        <f>IF(COUNTIFS('United Data'!$A$3:$A$3390,M$1,'United Data'!$C$3:$C$3390,$A1353,'United Data'!$B$3:$B$3390,"&lt;&gt;Off-street")&gt;0,1,0)</f>
        <v>0</v>
      </c>
      <c r="N1353">
        <f>IF(COUNTIFS('United Data'!$A$3:$A$3390,N$1,'United Data'!$C$3:$C$3390,$A1353,'United Data'!$B$3:$B$3390,"&lt;&gt;Off-street")&gt;0,1,0)</f>
        <v>1</v>
      </c>
      <c r="O1353">
        <f>IF(COUNTIFS('United Data'!$A$3:$A$3390,O$1,'United Data'!$C$3:$C$3390,$A1353,'United Data'!$B$3:$B$3390,"&lt;&gt;Off-street")&gt;0,1,0)</f>
        <v>1</v>
      </c>
      <c r="P1353">
        <f>IF(COUNTIFS('United Data'!$A$3:$A$3390,P$1,'United Data'!$C$3:$C$3390,$A1353,'United Data'!$B$3:$B$3390,"&lt;&gt;Off-street")&gt;0,1,0)</f>
        <v>1</v>
      </c>
      <c r="Q1353">
        <f>IF(COUNTIFS('United Data'!$A$3:$A$3390,Q$1,'United Data'!$C$3:$C$3390,$A1353,'United Data'!$B$3:$B$3390,"&lt;&gt;Off-street")&gt;0,1,0)</f>
        <v>0</v>
      </c>
      <c r="R1353">
        <f>IF(COUNTIFS('United Data'!$A$3:$A$3390,R$1,'United Data'!$C$3:$C$3390,$A1353,'United Data'!$B$3:$B$3390,"&lt;&gt;Off-street")&gt;0,1,0)</f>
        <v>0</v>
      </c>
      <c r="S1353">
        <f t="shared" si="42"/>
        <v>3</v>
      </c>
      <c r="T1353">
        <f t="shared" si="43"/>
        <v>1</v>
      </c>
    </row>
    <row r="1354" spans="1:20" x14ac:dyDescent="0.2">
      <c r="A1354" t="s">
        <v>1597</v>
      </c>
      <c r="B1354">
        <f>IF(COUNTIFS('United Data'!$A$3:$A$3390,B$1,'United Data'!$C$3:$C$3390,$A1354,'United Data'!$B$3:$B$3390,"&lt;&gt;Off-street")&gt;0,1,0)</f>
        <v>0</v>
      </c>
      <c r="C1354">
        <f>IF(COUNTIFS('United Data'!$A$3:$A$3390,C$1,'United Data'!$C$3:$C$3390,$A1354,'United Data'!$B$3:$B$3390,"&lt;&gt;Off-street")&gt;0,1,0)</f>
        <v>0</v>
      </c>
      <c r="D1354">
        <f>IF(COUNTIFS('United Data'!$A$3:$A$3390,D$1,'United Data'!$C$3:$C$3390,$A1354,'United Data'!$B$3:$B$3390,"&lt;&gt;Off-street")&gt;0,1,0)</f>
        <v>0</v>
      </c>
      <c r="E1354">
        <f>IF(COUNTIFS('United Data'!$A$3:$A$3390,E$1,'United Data'!$C$3:$C$3390,$A1354,'United Data'!$B$3:$B$3390,"&lt;&gt;Off-street")&gt;0,1,0)</f>
        <v>0</v>
      </c>
      <c r="F1354">
        <f>IF(COUNTIFS('United Data'!$A$3:$A$3390,F$1,'United Data'!$C$3:$C$3390,$A1354,'United Data'!$B$3:$B$3390,"&lt;&gt;Off-street")&gt;0,1,0)</f>
        <v>0</v>
      </c>
      <c r="G1354">
        <f>IF(COUNTIFS('United Data'!$A$3:$A$3390,G$1,'United Data'!$C$3:$C$3390,$A1354,'United Data'!$B$3:$B$3390,"&lt;&gt;Off-street")&gt;0,1,0)</f>
        <v>0</v>
      </c>
      <c r="H1354">
        <f>IF(COUNTIFS('United Data'!$A$3:$A$3390,H$1,'United Data'!$C$3:$C$3390,$A1354,'United Data'!$B$3:$B$3390,"&lt;&gt;Off-street")&gt;0,1,0)</f>
        <v>0</v>
      </c>
      <c r="I1354">
        <f>IF(COUNTIFS('United Data'!$A$3:$A$3390,I$1,'United Data'!$C$3:$C$3390,$A1354,'United Data'!$B$3:$B$3390,"&lt;&gt;Off-street")&gt;0,1,0)</f>
        <v>0</v>
      </c>
      <c r="J1354">
        <f>IF(COUNTIFS('United Data'!$A$3:$A$3390,J$1,'United Data'!$C$3:$C$3390,$A1354,'United Data'!$B$3:$B$3390,"&lt;&gt;Off-street")&gt;0,1,0)</f>
        <v>0</v>
      </c>
      <c r="K1354">
        <f>IF(COUNTIFS('United Data'!$A$3:$A$3390,K$1,'United Data'!$C$3:$C$3390,$A1354,'United Data'!$B$3:$B$3390,"&lt;&gt;Off-street")&gt;0,1,0)</f>
        <v>0</v>
      </c>
      <c r="L1354">
        <f>IF(COUNTIFS('United Data'!$A$3:$A$3390,L$1,'United Data'!$C$3:$C$3390,$A1354,'United Data'!$B$3:$B$3390,"&lt;&gt;Off-street")&gt;0,1,0)</f>
        <v>0</v>
      </c>
      <c r="M1354">
        <f>IF(COUNTIFS('United Data'!$A$3:$A$3390,M$1,'United Data'!$C$3:$C$3390,$A1354,'United Data'!$B$3:$B$3390,"&lt;&gt;Off-street")&gt;0,1,0)</f>
        <v>0</v>
      </c>
      <c r="N1354">
        <f>IF(COUNTIFS('United Data'!$A$3:$A$3390,N$1,'United Data'!$C$3:$C$3390,$A1354,'United Data'!$B$3:$B$3390,"&lt;&gt;Off-street")&gt;0,1,0)</f>
        <v>0</v>
      </c>
      <c r="O1354">
        <f>IF(COUNTIFS('United Data'!$A$3:$A$3390,O$1,'United Data'!$C$3:$C$3390,$A1354,'United Data'!$B$3:$B$3390,"&lt;&gt;Off-street")&gt;0,1,0)</f>
        <v>1</v>
      </c>
      <c r="P1354">
        <f>IF(COUNTIFS('United Data'!$A$3:$A$3390,P$1,'United Data'!$C$3:$C$3390,$A1354,'United Data'!$B$3:$B$3390,"&lt;&gt;Off-street")&gt;0,1,0)</f>
        <v>0</v>
      </c>
      <c r="Q1354">
        <f>IF(COUNTIFS('United Data'!$A$3:$A$3390,Q$1,'United Data'!$C$3:$C$3390,$A1354,'United Data'!$B$3:$B$3390,"&lt;&gt;Off-street")&gt;0,1,0)</f>
        <v>0</v>
      </c>
      <c r="R1354">
        <f>IF(COUNTIFS('United Data'!$A$3:$A$3390,R$1,'United Data'!$C$3:$C$3390,$A1354,'United Data'!$B$3:$B$3390,"&lt;&gt;Off-street")&gt;0,1,0)</f>
        <v>0</v>
      </c>
      <c r="S1354">
        <f t="shared" si="42"/>
        <v>1</v>
      </c>
      <c r="T1354">
        <f t="shared" si="43"/>
        <v>1</v>
      </c>
    </row>
    <row r="1355" spans="1:20" x14ac:dyDescent="0.2">
      <c r="A1355" t="s">
        <v>1598</v>
      </c>
      <c r="B1355">
        <f>IF(COUNTIFS('United Data'!$A$3:$A$3390,B$1,'United Data'!$C$3:$C$3390,$A1355,'United Data'!$B$3:$B$3390,"&lt;&gt;Off-street")&gt;0,1,0)</f>
        <v>0</v>
      </c>
      <c r="C1355">
        <f>IF(COUNTIFS('United Data'!$A$3:$A$3390,C$1,'United Data'!$C$3:$C$3390,$A1355,'United Data'!$B$3:$B$3390,"&lt;&gt;Off-street")&gt;0,1,0)</f>
        <v>0</v>
      </c>
      <c r="D1355">
        <f>IF(COUNTIFS('United Data'!$A$3:$A$3390,D$1,'United Data'!$C$3:$C$3390,$A1355,'United Data'!$B$3:$B$3390,"&lt;&gt;Off-street")&gt;0,1,0)</f>
        <v>0</v>
      </c>
      <c r="E1355">
        <f>IF(COUNTIFS('United Data'!$A$3:$A$3390,E$1,'United Data'!$C$3:$C$3390,$A1355,'United Data'!$B$3:$B$3390,"&lt;&gt;Off-street")&gt;0,1,0)</f>
        <v>0</v>
      </c>
      <c r="F1355">
        <f>IF(COUNTIFS('United Data'!$A$3:$A$3390,F$1,'United Data'!$C$3:$C$3390,$A1355,'United Data'!$B$3:$B$3390,"&lt;&gt;Off-street")&gt;0,1,0)</f>
        <v>0</v>
      </c>
      <c r="G1355">
        <f>IF(COUNTIFS('United Data'!$A$3:$A$3390,G$1,'United Data'!$C$3:$C$3390,$A1355,'United Data'!$B$3:$B$3390,"&lt;&gt;Off-street")&gt;0,1,0)</f>
        <v>0</v>
      </c>
      <c r="H1355">
        <f>IF(COUNTIFS('United Data'!$A$3:$A$3390,H$1,'United Data'!$C$3:$C$3390,$A1355,'United Data'!$B$3:$B$3390,"&lt;&gt;Off-street")&gt;0,1,0)</f>
        <v>0</v>
      </c>
      <c r="I1355">
        <f>IF(COUNTIFS('United Data'!$A$3:$A$3390,I$1,'United Data'!$C$3:$C$3390,$A1355,'United Data'!$B$3:$B$3390,"&lt;&gt;Off-street")&gt;0,1,0)</f>
        <v>0</v>
      </c>
      <c r="J1355">
        <f>IF(COUNTIFS('United Data'!$A$3:$A$3390,J$1,'United Data'!$C$3:$C$3390,$A1355,'United Data'!$B$3:$B$3390,"&lt;&gt;Off-street")&gt;0,1,0)</f>
        <v>0</v>
      </c>
      <c r="K1355">
        <f>IF(COUNTIFS('United Data'!$A$3:$A$3390,K$1,'United Data'!$C$3:$C$3390,$A1355,'United Data'!$B$3:$B$3390,"&lt;&gt;Off-street")&gt;0,1,0)</f>
        <v>0</v>
      </c>
      <c r="L1355">
        <f>IF(COUNTIFS('United Data'!$A$3:$A$3390,L$1,'United Data'!$C$3:$C$3390,$A1355,'United Data'!$B$3:$B$3390,"&lt;&gt;Off-street")&gt;0,1,0)</f>
        <v>0</v>
      </c>
      <c r="M1355">
        <f>IF(COUNTIFS('United Data'!$A$3:$A$3390,M$1,'United Data'!$C$3:$C$3390,$A1355,'United Data'!$B$3:$B$3390,"&lt;&gt;Off-street")&gt;0,1,0)</f>
        <v>0</v>
      </c>
      <c r="N1355">
        <f>IF(COUNTIFS('United Data'!$A$3:$A$3390,N$1,'United Data'!$C$3:$C$3390,$A1355,'United Data'!$B$3:$B$3390,"&lt;&gt;Off-street")&gt;0,1,0)</f>
        <v>0</v>
      </c>
      <c r="O1355">
        <f>IF(COUNTIFS('United Data'!$A$3:$A$3390,O$1,'United Data'!$C$3:$C$3390,$A1355,'United Data'!$B$3:$B$3390,"&lt;&gt;Off-street")&gt;0,1,0)</f>
        <v>1</v>
      </c>
      <c r="P1355">
        <f>IF(COUNTIFS('United Data'!$A$3:$A$3390,P$1,'United Data'!$C$3:$C$3390,$A1355,'United Data'!$B$3:$B$3390,"&lt;&gt;Off-street")&gt;0,1,0)</f>
        <v>1</v>
      </c>
      <c r="Q1355">
        <f>IF(COUNTIFS('United Data'!$A$3:$A$3390,Q$1,'United Data'!$C$3:$C$3390,$A1355,'United Data'!$B$3:$B$3390,"&lt;&gt;Off-street")&gt;0,1,0)</f>
        <v>0</v>
      </c>
      <c r="R1355">
        <f>IF(COUNTIFS('United Data'!$A$3:$A$3390,R$1,'United Data'!$C$3:$C$3390,$A1355,'United Data'!$B$3:$B$3390,"&lt;&gt;Off-street")&gt;0,1,0)</f>
        <v>0</v>
      </c>
      <c r="S1355">
        <f t="shared" si="42"/>
        <v>2</v>
      </c>
      <c r="T1355">
        <f t="shared" si="43"/>
        <v>1</v>
      </c>
    </row>
    <row r="1356" spans="1:20" x14ac:dyDescent="0.2">
      <c r="A1356" t="s">
        <v>1599</v>
      </c>
      <c r="B1356">
        <f>IF(COUNTIFS('United Data'!$A$3:$A$3390,B$1,'United Data'!$C$3:$C$3390,$A1356,'United Data'!$B$3:$B$3390,"&lt;&gt;Off-street")&gt;0,1,0)</f>
        <v>0</v>
      </c>
      <c r="C1356">
        <f>IF(COUNTIFS('United Data'!$A$3:$A$3390,C$1,'United Data'!$C$3:$C$3390,$A1356,'United Data'!$B$3:$B$3390,"&lt;&gt;Off-street")&gt;0,1,0)</f>
        <v>0</v>
      </c>
      <c r="D1356">
        <f>IF(COUNTIFS('United Data'!$A$3:$A$3390,D$1,'United Data'!$C$3:$C$3390,$A1356,'United Data'!$B$3:$B$3390,"&lt;&gt;Off-street")&gt;0,1,0)</f>
        <v>0</v>
      </c>
      <c r="E1356">
        <f>IF(COUNTIFS('United Data'!$A$3:$A$3390,E$1,'United Data'!$C$3:$C$3390,$A1356,'United Data'!$B$3:$B$3390,"&lt;&gt;Off-street")&gt;0,1,0)</f>
        <v>0</v>
      </c>
      <c r="F1356">
        <f>IF(COUNTIFS('United Data'!$A$3:$A$3390,F$1,'United Data'!$C$3:$C$3390,$A1356,'United Data'!$B$3:$B$3390,"&lt;&gt;Off-street")&gt;0,1,0)</f>
        <v>0</v>
      </c>
      <c r="G1356">
        <f>IF(COUNTIFS('United Data'!$A$3:$A$3390,G$1,'United Data'!$C$3:$C$3390,$A1356,'United Data'!$B$3:$B$3390,"&lt;&gt;Off-street")&gt;0,1,0)</f>
        <v>0</v>
      </c>
      <c r="H1356">
        <f>IF(COUNTIFS('United Data'!$A$3:$A$3390,H$1,'United Data'!$C$3:$C$3390,$A1356,'United Data'!$B$3:$B$3390,"&lt;&gt;Off-street")&gt;0,1,0)</f>
        <v>0</v>
      </c>
      <c r="I1356">
        <f>IF(COUNTIFS('United Data'!$A$3:$A$3390,I$1,'United Data'!$C$3:$C$3390,$A1356,'United Data'!$B$3:$B$3390,"&lt;&gt;Off-street")&gt;0,1,0)</f>
        <v>0</v>
      </c>
      <c r="J1356">
        <f>IF(COUNTIFS('United Data'!$A$3:$A$3390,J$1,'United Data'!$C$3:$C$3390,$A1356,'United Data'!$B$3:$B$3390,"&lt;&gt;Off-street")&gt;0,1,0)</f>
        <v>0</v>
      </c>
      <c r="K1356">
        <f>IF(COUNTIFS('United Data'!$A$3:$A$3390,K$1,'United Data'!$C$3:$C$3390,$A1356,'United Data'!$B$3:$B$3390,"&lt;&gt;Off-street")&gt;0,1,0)</f>
        <v>0</v>
      </c>
      <c r="L1356">
        <f>IF(COUNTIFS('United Data'!$A$3:$A$3390,L$1,'United Data'!$C$3:$C$3390,$A1356,'United Data'!$B$3:$B$3390,"&lt;&gt;Off-street")&gt;0,1,0)</f>
        <v>0</v>
      </c>
      <c r="M1356">
        <f>IF(COUNTIFS('United Data'!$A$3:$A$3390,M$1,'United Data'!$C$3:$C$3390,$A1356,'United Data'!$B$3:$B$3390,"&lt;&gt;Off-street")&gt;0,1,0)</f>
        <v>0</v>
      </c>
      <c r="N1356">
        <f>IF(COUNTIFS('United Data'!$A$3:$A$3390,N$1,'United Data'!$C$3:$C$3390,$A1356,'United Data'!$B$3:$B$3390,"&lt;&gt;Off-street")&gt;0,1,0)</f>
        <v>0</v>
      </c>
      <c r="O1356">
        <f>IF(COUNTIFS('United Data'!$A$3:$A$3390,O$1,'United Data'!$C$3:$C$3390,$A1356,'United Data'!$B$3:$B$3390,"&lt;&gt;Off-street")&gt;0,1,0)</f>
        <v>1</v>
      </c>
      <c r="P1356">
        <f>IF(COUNTIFS('United Data'!$A$3:$A$3390,P$1,'United Data'!$C$3:$C$3390,$A1356,'United Data'!$B$3:$B$3390,"&lt;&gt;Off-street")&gt;0,1,0)</f>
        <v>0</v>
      </c>
      <c r="Q1356">
        <f>IF(COUNTIFS('United Data'!$A$3:$A$3390,Q$1,'United Data'!$C$3:$C$3390,$A1356,'United Data'!$B$3:$B$3390,"&lt;&gt;Off-street")&gt;0,1,0)</f>
        <v>0</v>
      </c>
      <c r="R1356">
        <f>IF(COUNTIFS('United Data'!$A$3:$A$3390,R$1,'United Data'!$C$3:$C$3390,$A1356,'United Data'!$B$3:$B$3390,"&lt;&gt;Off-street")&gt;0,1,0)</f>
        <v>0</v>
      </c>
      <c r="S1356">
        <f t="shared" si="42"/>
        <v>1</v>
      </c>
      <c r="T1356">
        <f t="shared" si="43"/>
        <v>1</v>
      </c>
    </row>
    <row r="1357" spans="1:20" x14ac:dyDescent="0.2">
      <c r="A1357" t="s">
        <v>1601</v>
      </c>
      <c r="B1357">
        <f>IF(COUNTIFS('United Data'!$A$3:$A$3390,B$1,'United Data'!$C$3:$C$3390,$A1357,'United Data'!$B$3:$B$3390,"&lt;&gt;Off-street")&gt;0,1,0)</f>
        <v>0</v>
      </c>
      <c r="C1357">
        <f>IF(COUNTIFS('United Data'!$A$3:$A$3390,C$1,'United Data'!$C$3:$C$3390,$A1357,'United Data'!$B$3:$B$3390,"&lt;&gt;Off-street")&gt;0,1,0)</f>
        <v>0</v>
      </c>
      <c r="D1357">
        <f>IF(COUNTIFS('United Data'!$A$3:$A$3390,D$1,'United Data'!$C$3:$C$3390,$A1357,'United Data'!$B$3:$B$3390,"&lt;&gt;Off-street")&gt;0,1,0)</f>
        <v>0</v>
      </c>
      <c r="E1357">
        <f>IF(COUNTIFS('United Data'!$A$3:$A$3390,E$1,'United Data'!$C$3:$C$3390,$A1357,'United Data'!$B$3:$B$3390,"&lt;&gt;Off-street")&gt;0,1,0)</f>
        <v>0</v>
      </c>
      <c r="F1357">
        <f>IF(COUNTIFS('United Data'!$A$3:$A$3390,F$1,'United Data'!$C$3:$C$3390,$A1357,'United Data'!$B$3:$B$3390,"&lt;&gt;Off-street")&gt;0,1,0)</f>
        <v>0</v>
      </c>
      <c r="G1357">
        <f>IF(COUNTIFS('United Data'!$A$3:$A$3390,G$1,'United Data'!$C$3:$C$3390,$A1357,'United Data'!$B$3:$B$3390,"&lt;&gt;Off-street")&gt;0,1,0)</f>
        <v>0</v>
      </c>
      <c r="H1357">
        <f>IF(COUNTIFS('United Data'!$A$3:$A$3390,H$1,'United Data'!$C$3:$C$3390,$A1357,'United Data'!$B$3:$B$3390,"&lt;&gt;Off-street")&gt;0,1,0)</f>
        <v>0</v>
      </c>
      <c r="I1357">
        <f>IF(COUNTIFS('United Data'!$A$3:$A$3390,I$1,'United Data'!$C$3:$C$3390,$A1357,'United Data'!$B$3:$B$3390,"&lt;&gt;Off-street")&gt;0,1,0)</f>
        <v>0</v>
      </c>
      <c r="J1357">
        <f>IF(COUNTIFS('United Data'!$A$3:$A$3390,J$1,'United Data'!$C$3:$C$3390,$A1357,'United Data'!$B$3:$B$3390,"&lt;&gt;Off-street")&gt;0,1,0)</f>
        <v>0</v>
      </c>
      <c r="K1357">
        <f>IF(COUNTIFS('United Data'!$A$3:$A$3390,K$1,'United Data'!$C$3:$C$3390,$A1357,'United Data'!$B$3:$B$3390,"&lt;&gt;Off-street")&gt;0,1,0)</f>
        <v>0</v>
      </c>
      <c r="L1357">
        <f>IF(COUNTIFS('United Data'!$A$3:$A$3390,L$1,'United Data'!$C$3:$C$3390,$A1357,'United Data'!$B$3:$B$3390,"&lt;&gt;Off-street")&gt;0,1,0)</f>
        <v>0</v>
      </c>
      <c r="M1357">
        <f>IF(COUNTIFS('United Data'!$A$3:$A$3390,M$1,'United Data'!$C$3:$C$3390,$A1357,'United Data'!$B$3:$B$3390,"&lt;&gt;Off-street")&gt;0,1,0)</f>
        <v>0</v>
      </c>
      <c r="N1357">
        <f>IF(COUNTIFS('United Data'!$A$3:$A$3390,N$1,'United Data'!$C$3:$C$3390,$A1357,'United Data'!$B$3:$B$3390,"&lt;&gt;Off-street")&gt;0,1,0)</f>
        <v>0</v>
      </c>
      <c r="O1357">
        <f>IF(COUNTIFS('United Data'!$A$3:$A$3390,O$1,'United Data'!$C$3:$C$3390,$A1357,'United Data'!$B$3:$B$3390,"&lt;&gt;Off-street")&gt;0,1,0)</f>
        <v>1</v>
      </c>
      <c r="P1357">
        <f>IF(COUNTIFS('United Data'!$A$3:$A$3390,P$1,'United Data'!$C$3:$C$3390,$A1357,'United Data'!$B$3:$B$3390,"&lt;&gt;Off-street")&gt;0,1,0)</f>
        <v>0</v>
      </c>
      <c r="Q1357">
        <f>IF(COUNTIFS('United Data'!$A$3:$A$3390,Q$1,'United Data'!$C$3:$C$3390,$A1357,'United Data'!$B$3:$B$3390,"&lt;&gt;Off-street")&gt;0,1,0)</f>
        <v>0</v>
      </c>
      <c r="R1357">
        <f>IF(COUNTIFS('United Data'!$A$3:$A$3390,R$1,'United Data'!$C$3:$C$3390,$A1357,'United Data'!$B$3:$B$3390,"&lt;&gt;Off-street")&gt;0,1,0)</f>
        <v>0</v>
      </c>
      <c r="S1357">
        <f t="shared" si="42"/>
        <v>1</v>
      </c>
      <c r="T1357">
        <f t="shared" si="43"/>
        <v>1</v>
      </c>
    </row>
    <row r="1358" spans="1:20" x14ac:dyDescent="0.2">
      <c r="A1358" t="s">
        <v>1602</v>
      </c>
      <c r="B1358">
        <f>IF(COUNTIFS('United Data'!$A$3:$A$3390,B$1,'United Data'!$C$3:$C$3390,$A1358,'United Data'!$B$3:$B$3390,"&lt;&gt;Off-street")&gt;0,1,0)</f>
        <v>0</v>
      </c>
      <c r="C1358">
        <f>IF(COUNTIFS('United Data'!$A$3:$A$3390,C$1,'United Data'!$C$3:$C$3390,$A1358,'United Data'!$B$3:$B$3390,"&lt;&gt;Off-street")&gt;0,1,0)</f>
        <v>0</v>
      </c>
      <c r="D1358">
        <f>IF(COUNTIFS('United Data'!$A$3:$A$3390,D$1,'United Data'!$C$3:$C$3390,$A1358,'United Data'!$B$3:$B$3390,"&lt;&gt;Off-street")&gt;0,1,0)</f>
        <v>0</v>
      </c>
      <c r="E1358">
        <f>IF(COUNTIFS('United Data'!$A$3:$A$3390,E$1,'United Data'!$C$3:$C$3390,$A1358,'United Data'!$B$3:$B$3390,"&lt;&gt;Off-street")&gt;0,1,0)</f>
        <v>0</v>
      </c>
      <c r="F1358">
        <f>IF(COUNTIFS('United Data'!$A$3:$A$3390,F$1,'United Data'!$C$3:$C$3390,$A1358,'United Data'!$B$3:$B$3390,"&lt;&gt;Off-street")&gt;0,1,0)</f>
        <v>0</v>
      </c>
      <c r="G1358">
        <f>IF(COUNTIFS('United Data'!$A$3:$A$3390,G$1,'United Data'!$C$3:$C$3390,$A1358,'United Data'!$B$3:$B$3390,"&lt;&gt;Off-street")&gt;0,1,0)</f>
        <v>0</v>
      </c>
      <c r="H1358">
        <f>IF(COUNTIFS('United Data'!$A$3:$A$3390,H$1,'United Data'!$C$3:$C$3390,$A1358,'United Data'!$B$3:$B$3390,"&lt;&gt;Off-street")&gt;0,1,0)</f>
        <v>0</v>
      </c>
      <c r="I1358">
        <f>IF(COUNTIFS('United Data'!$A$3:$A$3390,I$1,'United Data'!$C$3:$C$3390,$A1358,'United Data'!$B$3:$B$3390,"&lt;&gt;Off-street")&gt;0,1,0)</f>
        <v>0</v>
      </c>
      <c r="J1358">
        <f>IF(COUNTIFS('United Data'!$A$3:$A$3390,J$1,'United Data'!$C$3:$C$3390,$A1358,'United Data'!$B$3:$B$3390,"&lt;&gt;Off-street")&gt;0,1,0)</f>
        <v>0</v>
      </c>
      <c r="K1358">
        <f>IF(COUNTIFS('United Data'!$A$3:$A$3390,K$1,'United Data'!$C$3:$C$3390,$A1358,'United Data'!$B$3:$B$3390,"&lt;&gt;Off-street")&gt;0,1,0)</f>
        <v>0</v>
      </c>
      <c r="L1358">
        <f>IF(COUNTIFS('United Data'!$A$3:$A$3390,L$1,'United Data'!$C$3:$C$3390,$A1358,'United Data'!$B$3:$B$3390,"&lt;&gt;Off-street")&gt;0,1,0)</f>
        <v>0</v>
      </c>
      <c r="M1358">
        <f>IF(COUNTIFS('United Data'!$A$3:$A$3390,M$1,'United Data'!$C$3:$C$3390,$A1358,'United Data'!$B$3:$B$3390,"&lt;&gt;Off-street")&gt;0,1,0)</f>
        <v>0</v>
      </c>
      <c r="N1358">
        <f>IF(COUNTIFS('United Data'!$A$3:$A$3390,N$1,'United Data'!$C$3:$C$3390,$A1358,'United Data'!$B$3:$B$3390,"&lt;&gt;Off-street")&gt;0,1,0)</f>
        <v>0</v>
      </c>
      <c r="O1358">
        <f>IF(COUNTIFS('United Data'!$A$3:$A$3390,O$1,'United Data'!$C$3:$C$3390,$A1358,'United Data'!$B$3:$B$3390,"&lt;&gt;Off-street")&gt;0,1,0)</f>
        <v>0</v>
      </c>
      <c r="P1358">
        <f>IF(COUNTIFS('United Data'!$A$3:$A$3390,P$1,'United Data'!$C$3:$C$3390,$A1358,'United Data'!$B$3:$B$3390,"&lt;&gt;Off-street")&gt;0,1,0)</f>
        <v>1</v>
      </c>
      <c r="Q1358">
        <f>IF(COUNTIFS('United Data'!$A$3:$A$3390,Q$1,'United Data'!$C$3:$C$3390,$A1358,'United Data'!$B$3:$B$3390,"&lt;&gt;Off-street")&gt;0,1,0)</f>
        <v>0</v>
      </c>
      <c r="R1358">
        <f>IF(COUNTIFS('United Data'!$A$3:$A$3390,R$1,'United Data'!$C$3:$C$3390,$A1358,'United Data'!$B$3:$B$3390,"&lt;&gt;Off-street")&gt;0,1,0)</f>
        <v>0</v>
      </c>
      <c r="S1358">
        <f t="shared" si="42"/>
        <v>1</v>
      </c>
      <c r="T1358">
        <f t="shared" si="43"/>
        <v>1</v>
      </c>
    </row>
    <row r="1359" spans="1:20" x14ac:dyDescent="0.2">
      <c r="A1359" t="s">
        <v>1603</v>
      </c>
      <c r="B1359">
        <f>IF(COUNTIFS('United Data'!$A$3:$A$3390,B$1,'United Data'!$C$3:$C$3390,$A1359,'United Data'!$B$3:$B$3390,"&lt;&gt;Off-street")&gt;0,1,0)</f>
        <v>0</v>
      </c>
      <c r="C1359">
        <f>IF(COUNTIFS('United Data'!$A$3:$A$3390,C$1,'United Data'!$C$3:$C$3390,$A1359,'United Data'!$B$3:$B$3390,"&lt;&gt;Off-street")&gt;0,1,0)</f>
        <v>0</v>
      </c>
      <c r="D1359">
        <f>IF(COUNTIFS('United Data'!$A$3:$A$3390,D$1,'United Data'!$C$3:$C$3390,$A1359,'United Data'!$B$3:$B$3390,"&lt;&gt;Off-street")&gt;0,1,0)</f>
        <v>0</v>
      </c>
      <c r="E1359">
        <f>IF(COUNTIFS('United Data'!$A$3:$A$3390,E$1,'United Data'!$C$3:$C$3390,$A1359,'United Data'!$B$3:$B$3390,"&lt;&gt;Off-street")&gt;0,1,0)</f>
        <v>0</v>
      </c>
      <c r="F1359">
        <f>IF(COUNTIFS('United Data'!$A$3:$A$3390,F$1,'United Data'!$C$3:$C$3390,$A1359,'United Data'!$B$3:$B$3390,"&lt;&gt;Off-street")&gt;0,1,0)</f>
        <v>0</v>
      </c>
      <c r="G1359">
        <f>IF(COUNTIFS('United Data'!$A$3:$A$3390,G$1,'United Data'!$C$3:$C$3390,$A1359,'United Data'!$B$3:$B$3390,"&lt;&gt;Off-street")&gt;0,1,0)</f>
        <v>0</v>
      </c>
      <c r="H1359">
        <f>IF(COUNTIFS('United Data'!$A$3:$A$3390,H$1,'United Data'!$C$3:$C$3390,$A1359,'United Data'!$B$3:$B$3390,"&lt;&gt;Off-street")&gt;0,1,0)</f>
        <v>0</v>
      </c>
      <c r="I1359">
        <f>IF(COUNTIFS('United Data'!$A$3:$A$3390,I$1,'United Data'!$C$3:$C$3390,$A1359,'United Data'!$B$3:$B$3390,"&lt;&gt;Off-street")&gt;0,1,0)</f>
        <v>0</v>
      </c>
      <c r="J1359">
        <f>IF(COUNTIFS('United Data'!$A$3:$A$3390,J$1,'United Data'!$C$3:$C$3390,$A1359,'United Data'!$B$3:$B$3390,"&lt;&gt;Off-street")&gt;0,1,0)</f>
        <v>0</v>
      </c>
      <c r="K1359">
        <f>IF(COUNTIFS('United Data'!$A$3:$A$3390,K$1,'United Data'!$C$3:$C$3390,$A1359,'United Data'!$B$3:$B$3390,"&lt;&gt;Off-street")&gt;0,1,0)</f>
        <v>0</v>
      </c>
      <c r="L1359">
        <f>IF(COUNTIFS('United Data'!$A$3:$A$3390,L$1,'United Data'!$C$3:$C$3390,$A1359,'United Data'!$B$3:$B$3390,"&lt;&gt;Off-street")&gt;0,1,0)</f>
        <v>0</v>
      </c>
      <c r="M1359">
        <f>IF(COUNTIFS('United Data'!$A$3:$A$3390,M$1,'United Data'!$C$3:$C$3390,$A1359,'United Data'!$B$3:$B$3390,"&lt;&gt;Off-street")&gt;0,1,0)</f>
        <v>0</v>
      </c>
      <c r="N1359">
        <f>IF(COUNTIFS('United Data'!$A$3:$A$3390,N$1,'United Data'!$C$3:$C$3390,$A1359,'United Data'!$B$3:$B$3390,"&lt;&gt;Off-street")&gt;0,1,0)</f>
        <v>0</v>
      </c>
      <c r="O1359">
        <f>IF(COUNTIFS('United Data'!$A$3:$A$3390,O$1,'United Data'!$C$3:$C$3390,$A1359,'United Data'!$B$3:$B$3390,"&lt;&gt;Off-street")&gt;0,1,0)</f>
        <v>0</v>
      </c>
      <c r="P1359">
        <f>IF(COUNTIFS('United Data'!$A$3:$A$3390,P$1,'United Data'!$C$3:$C$3390,$A1359,'United Data'!$B$3:$B$3390,"&lt;&gt;Off-street")&gt;0,1,0)</f>
        <v>1</v>
      </c>
      <c r="Q1359">
        <f>IF(COUNTIFS('United Data'!$A$3:$A$3390,Q$1,'United Data'!$C$3:$C$3390,$A1359,'United Data'!$B$3:$B$3390,"&lt;&gt;Off-street")&gt;0,1,0)</f>
        <v>0</v>
      </c>
      <c r="R1359">
        <f>IF(COUNTIFS('United Data'!$A$3:$A$3390,R$1,'United Data'!$C$3:$C$3390,$A1359,'United Data'!$B$3:$B$3390,"&lt;&gt;Off-street")&gt;0,1,0)</f>
        <v>0</v>
      </c>
      <c r="S1359">
        <f t="shared" si="42"/>
        <v>1</v>
      </c>
      <c r="T1359">
        <f t="shared" si="43"/>
        <v>1</v>
      </c>
    </row>
    <row r="1360" spans="1:20" x14ac:dyDescent="0.2">
      <c r="A1360" t="s">
        <v>1604</v>
      </c>
      <c r="B1360">
        <f>IF(COUNTIFS('United Data'!$A$3:$A$3390,B$1,'United Data'!$C$3:$C$3390,$A1360,'United Data'!$B$3:$B$3390,"&lt;&gt;Off-street")&gt;0,1,0)</f>
        <v>0</v>
      </c>
      <c r="C1360">
        <f>IF(COUNTIFS('United Data'!$A$3:$A$3390,C$1,'United Data'!$C$3:$C$3390,$A1360,'United Data'!$B$3:$B$3390,"&lt;&gt;Off-street")&gt;0,1,0)</f>
        <v>0</v>
      </c>
      <c r="D1360">
        <f>IF(COUNTIFS('United Data'!$A$3:$A$3390,D$1,'United Data'!$C$3:$C$3390,$A1360,'United Data'!$B$3:$B$3390,"&lt;&gt;Off-street")&gt;0,1,0)</f>
        <v>0</v>
      </c>
      <c r="E1360">
        <f>IF(COUNTIFS('United Data'!$A$3:$A$3390,E$1,'United Data'!$C$3:$C$3390,$A1360,'United Data'!$B$3:$B$3390,"&lt;&gt;Off-street")&gt;0,1,0)</f>
        <v>0</v>
      </c>
      <c r="F1360">
        <f>IF(COUNTIFS('United Data'!$A$3:$A$3390,F$1,'United Data'!$C$3:$C$3390,$A1360,'United Data'!$B$3:$B$3390,"&lt;&gt;Off-street")&gt;0,1,0)</f>
        <v>0</v>
      </c>
      <c r="G1360">
        <f>IF(COUNTIFS('United Data'!$A$3:$A$3390,G$1,'United Data'!$C$3:$C$3390,$A1360,'United Data'!$B$3:$B$3390,"&lt;&gt;Off-street")&gt;0,1,0)</f>
        <v>0</v>
      </c>
      <c r="H1360">
        <f>IF(COUNTIFS('United Data'!$A$3:$A$3390,H$1,'United Data'!$C$3:$C$3390,$A1360,'United Data'!$B$3:$B$3390,"&lt;&gt;Off-street")&gt;0,1,0)</f>
        <v>0</v>
      </c>
      <c r="I1360">
        <f>IF(COUNTIFS('United Data'!$A$3:$A$3390,I$1,'United Data'!$C$3:$C$3390,$A1360,'United Data'!$B$3:$B$3390,"&lt;&gt;Off-street")&gt;0,1,0)</f>
        <v>0</v>
      </c>
      <c r="J1360">
        <f>IF(COUNTIFS('United Data'!$A$3:$A$3390,J$1,'United Data'!$C$3:$C$3390,$A1360,'United Data'!$B$3:$B$3390,"&lt;&gt;Off-street")&gt;0,1,0)</f>
        <v>0</v>
      </c>
      <c r="K1360">
        <f>IF(COUNTIFS('United Data'!$A$3:$A$3390,K$1,'United Data'!$C$3:$C$3390,$A1360,'United Data'!$B$3:$B$3390,"&lt;&gt;Off-street")&gt;0,1,0)</f>
        <v>0</v>
      </c>
      <c r="L1360">
        <f>IF(COUNTIFS('United Data'!$A$3:$A$3390,L$1,'United Data'!$C$3:$C$3390,$A1360,'United Data'!$B$3:$B$3390,"&lt;&gt;Off-street")&gt;0,1,0)</f>
        <v>0</v>
      </c>
      <c r="M1360">
        <f>IF(COUNTIFS('United Data'!$A$3:$A$3390,M$1,'United Data'!$C$3:$C$3390,$A1360,'United Data'!$B$3:$B$3390,"&lt;&gt;Off-street")&gt;0,1,0)</f>
        <v>0</v>
      </c>
      <c r="N1360">
        <f>IF(COUNTIFS('United Data'!$A$3:$A$3390,N$1,'United Data'!$C$3:$C$3390,$A1360,'United Data'!$B$3:$B$3390,"&lt;&gt;Off-street")&gt;0,1,0)</f>
        <v>0</v>
      </c>
      <c r="O1360">
        <f>IF(COUNTIFS('United Data'!$A$3:$A$3390,O$1,'United Data'!$C$3:$C$3390,$A1360,'United Data'!$B$3:$B$3390,"&lt;&gt;Off-street")&gt;0,1,0)</f>
        <v>0</v>
      </c>
      <c r="P1360">
        <f>IF(COUNTIFS('United Data'!$A$3:$A$3390,P$1,'United Data'!$C$3:$C$3390,$A1360,'United Data'!$B$3:$B$3390,"&lt;&gt;Off-street")&gt;0,1,0)</f>
        <v>1</v>
      </c>
      <c r="Q1360">
        <f>IF(COUNTIFS('United Data'!$A$3:$A$3390,Q$1,'United Data'!$C$3:$C$3390,$A1360,'United Data'!$B$3:$B$3390,"&lt;&gt;Off-street")&gt;0,1,0)</f>
        <v>0</v>
      </c>
      <c r="R1360">
        <f>IF(COUNTIFS('United Data'!$A$3:$A$3390,R$1,'United Data'!$C$3:$C$3390,$A1360,'United Data'!$B$3:$B$3390,"&lt;&gt;Off-street")&gt;0,1,0)</f>
        <v>0</v>
      </c>
      <c r="S1360">
        <f t="shared" si="42"/>
        <v>1</v>
      </c>
      <c r="T1360">
        <f t="shared" si="43"/>
        <v>1</v>
      </c>
    </row>
    <row r="1361" spans="1:20" x14ac:dyDescent="0.2">
      <c r="A1361" t="s">
        <v>1605</v>
      </c>
      <c r="B1361">
        <f>IF(COUNTIFS('United Data'!$A$3:$A$3390,B$1,'United Data'!$C$3:$C$3390,$A1361,'United Data'!$B$3:$B$3390,"&lt;&gt;Off-street")&gt;0,1,0)</f>
        <v>0</v>
      </c>
      <c r="C1361">
        <f>IF(COUNTIFS('United Data'!$A$3:$A$3390,C$1,'United Data'!$C$3:$C$3390,$A1361,'United Data'!$B$3:$B$3390,"&lt;&gt;Off-street")&gt;0,1,0)</f>
        <v>0</v>
      </c>
      <c r="D1361">
        <f>IF(COUNTIFS('United Data'!$A$3:$A$3390,D$1,'United Data'!$C$3:$C$3390,$A1361,'United Data'!$B$3:$B$3390,"&lt;&gt;Off-street")&gt;0,1,0)</f>
        <v>0</v>
      </c>
      <c r="E1361">
        <f>IF(COUNTIFS('United Data'!$A$3:$A$3390,E$1,'United Data'!$C$3:$C$3390,$A1361,'United Data'!$B$3:$B$3390,"&lt;&gt;Off-street")&gt;0,1,0)</f>
        <v>0</v>
      </c>
      <c r="F1361">
        <f>IF(COUNTIFS('United Data'!$A$3:$A$3390,F$1,'United Data'!$C$3:$C$3390,$A1361,'United Data'!$B$3:$B$3390,"&lt;&gt;Off-street")&gt;0,1,0)</f>
        <v>0</v>
      </c>
      <c r="G1361">
        <f>IF(COUNTIFS('United Data'!$A$3:$A$3390,G$1,'United Data'!$C$3:$C$3390,$A1361,'United Data'!$B$3:$B$3390,"&lt;&gt;Off-street")&gt;0,1,0)</f>
        <v>0</v>
      </c>
      <c r="H1361">
        <f>IF(COUNTIFS('United Data'!$A$3:$A$3390,H$1,'United Data'!$C$3:$C$3390,$A1361,'United Data'!$B$3:$B$3390,"&lt;&gt;Off-street")&gt;0,1,0)</f>
        <v>0</v>
      </c>
      <c r="I1361">
        <f>IF(COUNTIFS('United Data'!$A$3:$A$3390,I$1,'United Data'!$C$3:$C$3390,$A1361,'United Data'!$B$3:$B$3390,"&lt;&gt;Off-street")&gt;0,1,0)</f>
        <v>0</v>
      </c>
      <c r="J1361">
        <f>IF(COUNTIFS('United Data'!$A$3:$A$3390,J$1,'United Data'!$C$3:$C$3390,$A1361,'United Data'!$B$3:$B$3390,"&lt;&gt;Off-street")&gt;0,1,0)</f>
        <v>0</v>
      </c>
      <c r="K1361">
        <f>IF(COUNTIFS('United Data'!$A$3:$A$3390,K$1,'United Data'!$C$3:$C$3390,$A1361,'United Data'!$B$3:$B$3390,"&lt;&gt;Off-street")&gt;0,1,0)</f>
        <v>0</v>
      </c>
      <c r="L1361">
        <f>IF(COUNTIFS('United Data'!$A$3:$A$3390,L$1,'United Data'!$C$3:$C$3390,$A1361,'United Data'!$B$3:$B$3390,"&lt;&gt;Off-street")&gt;0,1,0)</f>
        <v>0</v>
      </c>
      <c r="M1361">
        <f>IF(COUNTIFS('United Data'!$A$3:$A$3390,M$1,'United Data'!$C$3:$C$3390,$A1361,'United Data'!$B$3:$B$3390,"&lt;&gt;Off-street")&gt;0,1,0)</f>
        <v>0</v>
      </c>
      <c r="N1361">
        <f>IF(COUNTIFS('United Data'!$A$3:$A$3390,N$1,'United Data'!$C$3:$C$3390,$A1361,'United Data'!$B$3:$B$3390,"&lt;&gt;Off-street")&gt;0,1,0)</f>
        <v>0</v>
      </c>
      <c r="O1361">
        <f>IF(COUNTIFS('United Data'!$A$3:$A$3390,O$1,'United Data'!$C$3:$C$3390,$A1361,'United Data'!$B$3:$B$3390,"&lt;&gt;Off-street")&gt;0,1,0)</f>
        <v>0</v>
      </c>
      <c r="P1361">
        <f>IF(COUNTIFS('United Data'!$A$3:$A$3390,P$1,'United Data'!$C$3:$C$3390,$A1361,'United Data'!$B$3:$B$3390,"&lt;&gt;Off-street")&gt;0,1,0)</f>
        <v>1</v>
      </c>
      <c r="Q1361">
        <f>IF(COUNTIFS('United Data'!$A$3:$A$3390,Q$1,'United Data'!$C$3:$C$3390,$A1361,'United Data'!$B$3:$B$3390,"&lt;&gt;Off-street")&gt;0,1,0)</f>
        <v>0</v>
      </c>
      <c r="R1361">
        <f>IF(COUNTIFS('United Data'!$A$3:$A$3390,R$1,'United Data'!$C$3:$C$3390,$A1361,'United Data'!$B$3:$B$3390,"&lt;&gt;Off-street")&gt;0,1,0)</f>
        <v>0</v>
      </c>
      <c r="S1361">
        <f t="shared" si="42"/>
        <v>1</v>
      </c>
      <c r="T1361">
        <f t="shared" si="43"/>
        <v>1</v>
      </c>
    </row>
    <row r="1362" spans="1:20" x14ac:dyDescent="0.2">
      <c r="A1362" t="s">
        <v>1606</v>
      </c>
      <c r="B1362">
        <f>IF(COUNTIFS('United Data'!$A$3:$A$3390,B$1,'United Data'!$C$3:$C$3390,$A1362,'United Data'!$B$3:$B$3390,"&lt;&gt;Off-street")&gt;0,1,0)</f>
        <v>0</v>
      </c>
      <c r="C1362">
        <f>IF(COUNTIFS('United Data'!$A$3:$A$3390,C$1,'United Data'!$C$3:$C$3390,$A1362,'United Data'!$B$3:$B$3390,"&lt;&gt;Off-street")&gt;0,1,0)</f>
        <v>0</v>
      </c>
      <c r="D1362">
        <f>IF(COUNTIFS('United Data'!$A$3:$A$3390,D$1,'United Data'!$C$3:$C$3390,$A1362,'United Data'!$B$3:$B$3390,"&lt;&gt;Off-street")&gt;0,1,0)</f>
        <v>0</v>
      </c>
      <c r="E1362">
        <f>IF(COUNTIFS('United Data'!$A$3:$A$3390,E$1,'United Data'!$C$3:$C$3390,$A1362,'United Data'!$B$3:$B$3390,"&lt;&gt;Off-street")&gt;0,1,0)</f>
        <v>0</v>
      </c>
      <c r="F1362">
        <f>IF(COUNTIFS('United Data'!$A$3:$A$3390,F$1,'United Data'!$C$3:$C$3390,$A1362,'United Data'!$B$3:$B$3390,"&lt;&gt;Off-street")&gt;0,1,0)</f>
        <v>0</v>
      </c>
      <c r="G1362">
        <f>IF(COUNTIFS('United Data'!$A$3:$A$3390,G$1,'United Data'!$C$3:$C$3390,$A1362,'United Data'!$B$3:$B$3390,"&lt;&gt;Off-street")&gt;0,1,0)</f>
        <v>0</v>
      </c>
      <c r="H1362">
        <f>IF(COUNTIFS('United Data'!$A$3:$A$3390,H$1,'United Data'!$C$3:$C$3390,$A1362,'United Data'!$B$3:$B$3390,"&lt;&gt;Off-street")&gt;0,1,0)</f>
        <v>0</v>
      </c>
      <c r="I1362">
        <f>IF(COUNTIFS('United Data'!$A$3:$A$3390,I$1,'United Data'!$C$3:$C$3390,$A1362,'United Data'!$B$3:$B$3390,"&lt;&gt;Off-street")&gt;0,1,0)</f>
        <v>0</v>
      </c>
      <c r="J1362">
        <f>IF(COUNTIFS('United Data'!$A$3:$A$3390,J$1,'United Data'!$C$3:$C$3390,$A1362,'United Data'!$B$3:$B$3390,"&lt;&gt;Off-street")&gt;0,1,0)</f>
        <v>0</v>
      </c>
      <c r="K1362">
        <f>IF(COUNTIFS('United Data'!$A$3:$A$3390,K$1,'United Data'!$C$3:$C$3390,$A1362,'United Data'!$B$3:$B$3390,"&lt;&gt;Off-street")&gt;0,1,0)</f>
        <v>0</v>
      </c>
      <c r="L1362">
        <f>IF(COUNTIFS('United Data'!$A$3:$A$3390,L$1,'United Data'!$C$3:$C$3390,$A1362,'United Data'!$B$3:$B$3390,"&lt;&gt;Off-street")&gt;0,1,0)</f>
        <v>0</v>
      </c>
      <c r="M1362">
        <f>IF(COUNTIFS('United Data'!$A$3:$A$3390,M$1,'United Data'!$C$3:$C$3390,$A1362,'United Data'!$B$3:$B$3390,"&lt;&gt;Off-street")&gt;0,1,0)</f>
        <v>0</v>
      </c>
      <c r="N1362">
        <f>IF(COUNTIFS('United Data'!$A$3:$A$3390,N$1,'United Data'!$C$3:$C$3390,$A1362,'United Data'!$B$3:$B$3390,"&lt;&gt;Off-street")&gt;0,1,0)</f>
        <v>0</v>
      </c>
      <c r="O1362">
        <f>IF(COUNTIFS('United Data'!$A$3:$A$3390,O$1,'United Data'!$C$3:$C$3390,$A1362,'United Data'!$B$3:$B$3390,"&lt;&gt;Off-street")&gt;0,1,0)</f>
        <v>0</v>
      </c>
      <c r="P1362">
        <f>IF(COUNTIFS('United Data'!$A$3:$A$3390,P$1,'United Data'!$C$3:$C$3390,$A1362,'United Data'!$B$3:$B$3390,"&lt;&gt;Off-street")&gt;0,1,0)</f>
        <v>0</v>
      </c>
      <c r="Q1362">
        <f>IF(COUNTIFS('United Data'!$A$3:$A$3390,Q$1,'United Data'!$C$3:$C$3390,$A1362,'United Data'!$B$3:$B$3390,"&lt;&gt;Off-street")&gt;0,1,0)</f>
        <v>1</v>
      </c>
      <c r="R1362">
        <f>IF(COUNTIFS('United Data'!$A$3:$A$3390,R$1,'United Data'!$C$3:$C$3390,$A1362,'United Data'!$B$3:$B$3390,"&lt;&gt;Off-street")&gt;0,1,0)</f>
        <v>0</v>
      </c>
      <c r="S1362">
        <f t="shared" si="42"/>
        <v>1</v>
      </c>
      <c r="T1362">
        <f t="shared" si="43"/>
        <v>1</v>
      </c>
    </row>
    <row r="1363" spans="1:20" x14ac:dyDescent="0.2">
      <c r="A1363" t="s">
        <v>1607</v>
      </c>
      <c r="B1363">
        <f>IF(COUNTIFS('United Data'!$A$3:$A$3390,B$1,'United Data'!$C$3:$C$3390,$A1363,'United Data'!$B$3:$B$3390,"&lt;&gt;Off-street")&gt;0,1,0)</f>
        <v>0</v>
      </c>
      <c r="C1363">
        <f>IF(COUNTIFS('United Data'!$A$3:$A$3390,C$1,'United Data'!$C$3:$C$3390,$A1363,'United Data'!$B$3:$B$3390,"&lt;&gt;Off-street")&gt;0,1,0)</f>
        <v>0</v>
      </c>
      <c r="D1363">
        <f>IF(COUNTIFS('United Data'!$A$3:$A$3390,D$1,'United Data'!$C$3:$C$3390,$A1363,'United Data'!$B$3:$B$3390,"&lt;&gt;Off-street")&gt;0,1,0)</f>
        <v>0</v>
      </c>
      <c r="E1363">
        <f>IF(COUNTIFS('United Data'!$A$3:$A$3390,E$1,'United Data'!$C$3:$C$3390,$A1363,'United Data'!$B$3:$B$3390,"&lt;&gt;Off-street")&gt;0,1,0)</f>
        <v>0</v>
      </c>
      <c r="F1363">
        <f>IF(COUNTIFS('United Data'!$A$3:$A$3390,F$1,'United Data'!$C$3:$C$3390,$A1363,'United Data'!$B$3:$B$3390,"&lt;&gt;Off-street")&gt;0,1,0)</f>
        <v>0</v>
      </c>
      <c r="G1363">
        <f>IF(COUNTIFS('United Data'!$A$3:$A$3390,G$1,'United Data'!$C$3:$C$3390,$A1363,'United Data'!$B$3:$B$3390,"&lt;&gt;Off-street")&gt;0,1,0)</f>
        <v>0</v>
      </c>
      <c r="H1363">
        <f>IF(COUNTIFS('United Data'!$A$3:$A$3390,H$1,'United Data'!$C$3:$C$3390,$A1363,'United Data'!$B$3:$B$3390,"&lt;&gt;Off-street")&gt;0,1,0)</f>
        <v>0</v>
      </c>
      <c r="I1363">
        <f>IF(COUNTIFS('United Data'!$A$3:$A$3390,I$1,'United Data'!$C$3:$C$3390,$A1363,'United Data'!$B$3:$B$3390,"&lt;&gt;Off-street")&gt;0,1,0)</f>
        <v>0</v>
      </c>
      <c r="J1363">
        <f>IF(COUNTIFS('United Data'!$A$3:$A$3390,J$1,'United Data'!$C$3:$C$3390,$A1363,'United Data'!$B$3:$B$3390,"&lt;&gt;Off-street")&gt;0,1,0)</f>
        <v>0</v>
      </c>
      <c r="K1363">
        <f>IF(COUNTIFS('United Data'!$A$3:$A$3390,K$1,'United Data'!$C$3:$C$3390,$A1363,'United Data'!$B$3:$B$3390,"&lt;&gt;Off-street")&gt;0,1,0)</f>
        <v>1</v>
      </c>
      <c r="L1363">
        <f>IF(COUNTIFS('United Data'!$A$3:$A$3390,L$1,'United Data'!$C$3:$C$3390,$A1363,'United Data'!$B$3:$B$3390,"&lt;&gt;Off-street")&gt;0,1,0)</f>
        <v>0</v>
      </c>
      <c r="M1363">
        <f>IF(COUNTIFS('United Data'!$A$3:$A$3390,M$1,'United Data'!$C$3:$C$3390,$A1363,'United Data'!$B$3:$B$3390,"&lt;&gt;Off-street")&gt;0,1,0)</f>
        <v>0</v>
      </c>
      <c r="N1363">
        <f>IF(COUNTIFS('United Data'!$A$3:$A$3390,N$1,'United Data'!$C$3:$C$3390,$A1363,'United Data'!$B$3:$B$3390,"&lt;&gt;Off-street")&gt;0,1,0)</f>
        <v>1</v>
      </c>
      <c r="O1363">
        <f>IF(COUNTIFS('United Data'!$A$3:$A$3390,O$1,'United Data'!$C$3:$C$3390,$A1363,'United Data'!$B$3:$B$3390,"&lt;&gt;Off-street")&gt;0,1,0)</f>
        <v>0</v>
      </c>
      <c r="P1363">
        <f>IF(COUNTIFS('United Data'!$A$3:$A$3390,P$1,'United Data'!$C$3:$C$3390,$A1363,'United Data'!$B$3:$B$3390,"&lt;&gt;Off-street")&gt;0,1,0)</f>
        <v>1</v>
      </c>
      <c r="Q1363">
        <f>IF(COUNTIFS('United Data'!$A$3:$A$3390,Q$1,'United Data'!$C$3:$C$3390,$A1363,'United Data'!$B$3:$B$3390,"&lt;&gt;Off-street")&gt;0,1,0)</f>
        <v>1</v>
      </c>
      <c r="R1363">
        <f>IF(COUNTIFS('United Data'!$A$3:$A$3390,R$1,'United Data'!$C$3:$C$3390,$A1363,'United Data'!$B$3:$B$3390,"&lt;&gt;Off-street")&gt;0,1,0)</f>
        <v>0</v>
      </c>
      <c r="S1363">
        <f t="shared" si="42"/>
        <v>4</v>
      </c>
      <c r="T1363">
        <f t="shared" si="43"/>
        <v>3</v>
      </c>
    </row>
    <row r="1364" spans="1:20" x14ac:dyDescent="0.2">
      <c r="A1364" t="s">
        <v>1608</v>
      </c>
      <c r="B1364">
        <f>IF(COUNTIFS('United Data'!$A$3:$A$3390,B$1,'United Data'!$C$3:$C$3390,$A1364,'United Data'!$B$3:$B$3390,"&lt;&gt;Off-street")&gt;0,1,0)</f>
        <v>0</v>
      </c>
      <c r="C1364">
        <f>IF(COUNTIFS('United Data'!$A$3:$A$3390,C$1,'United Data'!$C$3:$C$3390,$A1364,'United Data'!$B$3:$B$3390,"&lt;&gt;Off-street")&gt;0,1,0)</f>
        <v>0</v>
      </c>
      <c r="D1364">
        <f>IF(COUNTIFS('United Data'!$A$3:$A$3390,D$1,'United Data'!$C$3:$C$3390,$A1364,'United Data'!$B$3:$B$3390,"&lt;&gt;Off-street")&gt;0,1,0)</f>
        <v>0</v>
      </c>
      <c r="E1364">
        <f>IF(COUNTIFS('United Data'!$A$3:$A$3390,E$1,'United Data'!$C$3:$C$3390,$A1364,'United Data'!$B$3:$B$3390,"&lt;&gt;Off-street")&gt;0,1,0)</f>
        <v>0</v>
      </c>
      <c r="F1364">
        <f>IF(COUNTIFS('United Data'!$A$3:$A$3390,F$1,'United Data'!$C$3:$C$3390,$A1364,'United Data'!$B$3:$B$3390,"&lt;&gt;Off-street")&gt;0,1,0)</f>
        <v>0</v>
      </c>
      <c r="G1364">
        <f>IF(COUNTIFS('United Data'!$A$3:$A$3390,G$1,'United Data'!$C$3:$C$3390,$A1364,'United Data'!$B$3:$B$3390,"&lt;&gt;Off-street")&gt;0,1,0)</f>
        <v>0</v>
      </c>
      <c r="H1364">
        <f>IF(COUNTIFS('United Data'!$A$3:$A$3390,H$1,'United Data'!$C$3:$C$3390,$A1364,'United Data'!$B$3:$B$3390,"&lt;&gt;Off-street")&gt;0,1,0)</f>
        <v>0</v>
      </c>
      <c r="I1364">
        <f>IF(COUNTIFS('United Data'!$A$3:$A$3390,I$1,'United Data'!$C$3:$C$3390,$A1364,'United Data'!$B$3:$B$3390,"&lt;&gt;Off-street")&gt;0,1,0)</f>
        <v>0</v>
      </c>
      <c r="J1364">
        <f>IF(COUNTIFS('United Data'!$A$3:$A$3390,J$1,'United Data'!$C$3:$C$3390,$A1364,'United Data'!$B$3:$B$3390,"&lt;&gt;Off-street")&gt;0,1,0)</f>
        <v>0</v>
      </c>
      <c r="K1364">
        <f>IF(COUNTIFS('United Data'!$A$3:$A$3390,K$1,'United Data'!$C$3:$C$3390,$A1364,'United Data'!$B$3:$B$3390,"&lt;&gt;Off-street")&gt;0,1,0)</f>
        <v>0</v>
      </c>
      <c r="L1364">
        <f>IF(COUNTIFS('United Data'!$A$3:$A$3390,L$1,'United Data'!$C$3:$C$3390,$A1364,'United Data'!$B$3:$B$3390,"&lt;&gt;Off-street")&gt;0,1,0)</f>
        <v>0</v>
      </c>
      <c r="M1364">
        <f>IF(COUNTIFS('United Data'!$A$3:$A$3390,M$1,'United Data'!$C$3:$C$3390,$A1364,'United Data'!$B$3:$B$3390,"&lt;&gt;Off-street")&gt;0,1,0)</f>
        <v>0</v>
      </c>
      <c r="N1364">
        <f>IF(COUNTIFS('United Data'!$A$3:$A$3390,N$1,'United Data'!$C$3:$C$3390,$A1364,'United Data'!$B$3:$B$3390,"&lt;&gt;Off-street")&gt;0,1,0)</f>
        <v>0</v>
      </c>
      <c r="O1364">
        <f>IF(COUNTIFS('United Data'!$A$3:$A$3390,O$1,'United Data'!$C$3:$C$3390,$A1364,'United Data'!$B$3:$B$3390,"&lt;&gt;Off-street")&gt;0,1,0)</f>
        <v>0</v>
      </c>
      <c r="P1364">
        <f>IF(COUNTIFS('United Data'!$A$3:$A$3390,P$1,'United Data'!$C$3:$C$3390,$A1364,'United Data'!$B$3:$B$3390,"&lt;&gt;Off-street")&gt;0,1,0)</f>
        <v>0</v>
      </c>
      <c r="Q1364">
        <f>IF(COUNTIFS('United Data'!$A$3:$A$3390,Q$1,'United Data'!$C$3:$C$3390,$A1364,'United Data'!$B$3:$B$3390,"&lt;&gt;Off-street")&gt;0,1,0)</f>
        <v>0</v>
      </c>
      <c r="R1364">
        <f>IF(COUNTIFS('United Data'!$A$3:$A$3390,R$1,'United Data'!$C$3:$C$3390,$A1364,'United Data'!$B$3:$B$3390,"&lt;&gt;Off-street")&gt;0,1,0)</f>
        <v>1</v>
      </c>
      <c r="S1364">
        <f t="shared" si="42"/>
        <v>1</v>
      </c>
      <c r="T1364">
        <f t="shared" si="43"/>
        <v>1</v>
      </c>
    </row>
    <row r="1365" spans="1:20" x14ac:dyDescent="0.2">
      <c r="A1365" t="s">
        <v>1609</v>
      </c>
      <c r="B1365">
        <f>IF(COUNTIFS('United Data'!$A$3:$A$3390,B$1,'United Data'!$C$3:$C$3390,$A1365,'United Data'!$B$3:$B$3390,"&lt;&gt;Off-street")&gt;0,1,0)</f>
        <v>1</v>
      </c>
      <c r="C1365">
        <f>IF(COUNTIFS('United Data'!$A$3:$A$3390,C$1,'United Data'!$C$3:$C$3390,$A1365,'United Data'!$B$3:$B$3390,"&lt;&gt;Off-street")&gt;0,1,0)</f>
        <v>0</v>
      </c>
      <c r="D1365">
        <f>IF(COUNTIFS('United Data'!$A$3:$A$3390,D$1,'United Data'!$C$3:$C$3390,$A1365,'United Data'!$B$3:$B$3390,"&lt;&gt;Off-street")&gt;0,1,0)</f>
        <v>0</v>
      </c>
      <c r="E1365">
        <f>IF(COUNTIFS('United Data'!$A$3:$A$3390,E$1,'United Data'!$C$3:$C$3390,$A1365,'United Data'!$B$3:$B$3390,"&lt;&gt;Off-street")&gt;0,1,0)</f>
        <v>0</v>
      </c>
      <c r="F1365">
        <f>IF(COUNTIFS('United Data'!$A$3:$A$3390,F$1,'United Data'!$C$3:$C$3390,$A1365,'United Data'!$B$3:$B$3390,"&lt;&gt;Off-street")&gt;0,1,0)</f>
        <v>0</v>
      </c>
      <c r="G1365">
        <f>IF(COUNTIFS('United Data'!$A$3:$A$3390,G$1,'United Data'!$C$3:$C$3390,$A1365,'United Data'!$B$3:$B$3390,"&lt;&gt;Off-street")&gt;0,1,0)</f>
        <v>0</v>
      </c>
      <c r="H1365">
        <f>IF(COUNTIFS('United Data'!$A$3:$A$3390,H$1,'United Data'!$C$3:$C$3390,$A1365,'United Data'!$B$3:$B$3390,"&lt;&gt;Off-street")&gt;0,1,0)</f>
        <v>0</v>
      </c>
      <c r="I1365">
        <f>IF(COUNTIFS('United Data'!$A$3:$A$3390,I$1,'United Data'!$C$3:$C$3390,$A1365,'United Data'!$B$3:$B$3390,"&lt;&gt;Off-street")&gt;0,1,0)</f>
        <v>0</v>
      </c>
      <c r="J1365">
        <f>IF(COUNTIFS('United Data'!$A$3:$A$3390,J$1,'United Data'!$C$3:$C$3390,$A1365,'United Data'!$B$3:$B$3390,"&lt;&gt;Off-street")&gt;0,1,0)</f>
        <v>0</v>
      </c>
      <c r="K1365">
        <f>IF(COUNTIFS('United Data'!$A$3:$A$3390,K$1,'United Data'!$C$3:$C$3390,$A1365,'United Data'!$B$3:$B$3390,"&lt;&gt;Off-street")&gt;0,1,0)</f>
        <v>0</v>
      </c>
      <c r="L1365">
        <f>IF(COUNTIFS('United Data'!$A$3:$A$3390,L$1,'United Data'!$C$3:$C$3390,$A1365,'United Data'!$B$3:$B$3390,"&lt;&gt;Off-street")&gt;0,1,0)</f>
        <v>0</v>
      </c>
      <c r="M1365">
        <f>IF(COUNTIFS('United Data'!$A$3:$A$3390,M$1,'United Data'!$C$3:$C$3390,$A1365,'United Data'!$B$3:$B$3390,"&lt;&gt;Off-street")&gt;0,1,0)</f>
        <v>0</v>
      </c>
      <c r="N1365">
        <f>IF(COUNTIFS('United Data'!$A$3:$A$3390,N$1,'United Data'!$C$3:$C$3390,$A1365,'United Data'!$B$3:$B$3390,"&lt;&gt;Off-street")&gt;0,1,0)</f>
        <v>0</v>
      </c>
      <c r="O1365">
        <f>IF(COUNTIFS('United Data'!$A$3:$A$3390,O$1,'United Data'!$C$3:$C$3390,$A1365,'United Data'!$B$3:$B$3390,"&lt;&gt;Off-street")&gt;0,1,0)</f>
        <v>0</v>
      </c>
      <c r="P1365">
        <f>IF(COUNTIFS('United Data'!$A$3:$A$3390,P$1,'United Data'!$C$3:$C$3390,$A1365,'United Data'!$B$3:$B$3390,"&lt;&gt;Off-street")&gt;0,1,0)</f>
        <v>1</v>
      </c>
      <c r="Q1365">
        <f>IF(COUNTIFS('United Data'!$A$3:$A$3390,Q$1,'United Data'!$C$3:$C$3390,$A1365,'United Data'!$B$3:$B$3390,"&lt;&gt;Off-street")&gt;0,1,0)</f>
        <v>0</v>
      </c>
      <c r="R1365">
        <f>IF(COUNTIFS('United Data'!$A$3:$A$3390,R$1,'United Data'!$C$3:$C$3390,$A1365,'United Data'!$B$3:$B$3390,"&lt;&gt;Off-street")&gt;0,1,0)</f>
        <v>0</v>
      </c>
      <c r="S1365">
        <f t="shared" si="42"/>
        <v>2</v>
      </c>
      <c r="T1365">
        <f t="shared" si="43"/>
        <v>2</v>
      </c>
    </row>
    <row r="1366" spans="1:20" x14ac:dyDescent="0.2">
      <c r="A1366" t="s">
        <v>1610</v>
      </c>
      <c r="B1366">
        <f>IF(COUNTIFS('United Data'!$A$3:$A$3390,B$1,'United Data'!$C$3:$C$3390,$A1366,'United Data'!$B$3:$B$3390,"&lt;&gt;Off-street")&gt;0,1,0)</f>
        <v>1</v>
      </c>
      <c r="C1366">
        <f>IF(COUNTIFS('United Data'!$A$3:$A$3390,C$1,'United Data'!$C$3:$C$3390,$A1366,'United Data'!$B$3:$B$3390,"&lt;&gt;Off-street")&gt;0,1,0)</f>
        <v>1</v>
      </c>
      <c r="D1366">
        <f>IF(COUNTIFS('United Data'!$A$3:$A$3390,D$1,'United Data'!$C$3:$C$3390,$A1366,'United Data'!$B$3:$B$3390,"&lt;&gt;Off-street")&gt;0,1,0)</f>
        <v>0</v>
      </c>
      <c r="E1366">
        <f>IF(COUNTIFS('United Data'!$A$3:$A$3390,E$1,'United Data'!$C$3:$C$3390,$A1366,'United Data'!$B$3:$B$3390,"&lt;&gt;Off-street")&gt;0,1,0)</f>
        <v>0</v>
      </c>
      <c r="F1366">
        <f>IF(COUNTIFS('United Data'!$A$3:$A$3390,F$1,'United Data'!$C$3:$C$3390,$A1366,'United Data'!$B$3:$B$3390,"&lt;&gt;Off-street")&gt;0,1,0)</f>
        <v>0</v>
      </c>
      <c r="G1366">
        <f>IF(COUNTIFS('United Data'!$A$3:$A$3390,G$1,'United Data'!$C$3:$C$3390,$A1366,'United Data'!$B$3:$B$3390,"&lt;&gt;Off-street")&gt;0,1,0)</f>
        <v>0</v>
      </c>
      <c r="H1366">
        <f>IF(COUNTIFS('United Data'!$A$3:$A$3390,H$1,'United Data'!$C$3:$C$3390,$A1366,'United Data'!$B$3:$B$3390,"&lt;&gt;Off-street")&gt;0,1,0)</f>
        <v>0</v>
      </c>
      <c r="I1366">
        <f>IF(COUNTIFS('United Data'!$A$3:$A$3390,I$1,'United Data'!$C$3:$C$3390,$A1366,'United Data'!$B$3:$B$3390,"&lt;&gt;Off-street")&gt;0,1,0)</f>
        <v>0</v>
      </c>
      <c r="J1366">
        <f>IF(COUNTIFS('United Data'!$A$3:$A$3390,J$1,'United Data'!$C$3:$C$3390,$A1366,'United Data'!$B$3:$B$3390,"&lt;&gt;Off-street")&gt;0,1,0)</f>
        <v>0</v>
      </c>
      <c r="K1366">
        <f>IF(COUNTIFS('United Data'!$A$3:$A$3390,K$1,'United Data'!$C$3:$C$3390,$A1366,'United Data'!$B$3:$B$3390,"&lt;&gt;Off-street")&gt;0,1,0)</f>
        <v>0</v>
      </c>
      <c r="L1366">
        <f>IF(COUNTIFS('United Data'!$A$3:$A$3390,L$1,'United Data'!$C$3:$C$3390,$A1366,'United Data'!$B$3:$B$3390,"&lt;&gt;Off-street")&gt;0,1,0)</f>
        <v>0</v>
      </c>
      <c r="M1366">
        <f>IF(COUNTIFS('United Data'!$A$3:$A$3390,M$1,'United Data'!$C$3:$C$3390,$A1366,'United Data'!$B$3:$B$3390,"&lt;&gt;Off-street")&gt;0,1,0)</f>
        <v>0</v>
      </c>
      <c r="N1366">
        <f>IF(COUNTIFS('United Data'!$A$3:$A$3390,N$1,'United Data'!$C$3:$C$3390,$A1366,'United Data'!$B$3:$B$3390,"&lt;&gt;Off-street")&gt;0,1,0)</f>
        <v>0</v>
      </c>
      <c r="O1366">
        <f>IF(COUNTIFS('United Data'!$A$3:$A$3390,O$1,'United Data'!$C$3:$C$3390,$A1366,'United Data'!$B$3:$B$3390,"&lt;&gt;Off-street")&gt;0,1,0)</f>
        <v>0</v>
      </c>
      <c r="P1366">
        <f>IF(COUNTIFS('United Data'!$A$3:$A$3390,P$1,'United Data'!$C$3:$C$3390,$A1366,'United Data'!$B$3:$B$3390,"&lt;&gt;Off-street")&gt;0,1,0)</f>
        <v>0</v>
      </c>
      <c r="Q1366">
        <f>IF(COUNTIFS('United Data'!$A$3:$A$3390,Q$1,'United Data'!$C$3:$C$3390,$A1366,'United Data'!$B$3:$B$3390,"&lt;&gt;Off-street")&gt;0,1,0)</f>
        <v>0</v>
      </c>
      <c r="R1366">
        <f>IF(COUNTIFS('United Data'!$A$3:$A$3390,R$1,'United Data'!$C$3:$C$3390,$A1366,'United Data'!$B$3:$B$3390,"&lt;&gt;Off-street")&gt;0,1,0)</f>
        <v>0</v>
      </c>
      <c r="S1366">
        <f t="shared" si="42"/>
        <v>2</v>
      </c>
      <c r="T1366">
        <f t="shared" si="43"/>
        <v>1</v>
      </c>
    </row>
    <row r="1367" spans="1:20" x14ac:dyDescent="0.2">
      <c r="A1367" t="s">
        <v>1611</v>
      </c>
      <c r="B1367">
        <f>IF(COUNTIFS('United Data'!$A$3:$A$3390,B$1,'United Data'!$C$3:$C$3390,$A1367,'United Data'!$B$3:$B$3390,"&lt;&gt;Off-street")&gt;0,1,0)</f>
        <v>1</v>
      </c>
      <c r="C1367">
        <f>IF(COUNTIFS('United Data'!$A$3:$A$3390,C$1,'United Data'!$C$3:$C$3390,$A1367,'United Data'!$B$3:$B$3390,"&lt;&gt;Off-street")&gt;0,1,0)</f>
        <v>0</v>
      </c>
      <c r="D1367">
        <f>IF(COUNTIFS('United Data'!$A$3:$A$3390,D$1,'United Data'!$C$3:$C$3390,$A1367,'United Data'!$B$3:$B$3390,"&lt;&gt;Off-street")&gt;0,1,0)</f>
        <v>0</v>
      </c>
      <c r="E1367">
        <f>IF(COUNTIFS('United Data'!$A$3:$A$3390,E$1,'United Data'!$C$3:$C$3390,$A1367,'United Data'!$B$3:$B$3390,"&lt;&gt;Off-street")&gt;0,1,0)</f>
        <v>0</v>
      </c>
      <c r="F1367">
        <f>IF(COUNTIFS('United Data'!$A$3:$A$3390,F$1,'United Data'!$C$3:$C$3390,$A1367,'United Data'!$B$3:$B$3390,"&lt;&gt;Off-street")&gt;0,1,0)</f>
        <v>0</v>
      </c>
      <c r="G1367">
        <f>IF(COUNTIFS('United Data'!$A$3:$A$3390,G$1,'United Data'!$C$3:$C$3390,$A1367,'United Data'!$B$3:$B$3390,"&lt;&gt;Off-street")&gt;0,1,0)</f>
        <v>0</v>
      </c>
      <c r="H1367">
        <f>IF(COUNTIFS('United Data'!$A$3:$A$3390,H$1,'United Data'!$C$3:$C$3390,$A1367,'United Data'!$B$3:$B$3390,"&lt;&gt;Off-street")&gt;0,1,0)</f>
        <v>0</v>
      </c>
      <c r="I1367">
        <f>IF(COUNTIFS('United Data'!$A$3:$A$3390,I$1,'United Data'!$C$3:$C$3390,$A1367,'United Data'!$B$3:$B$3390,"&lt;&gt;Off-street")&gt;0,1,0)</f>
        <v>0</v>
      </c>
      <c r="J1367">
        <f>IF(COUNTIFS('United Data'!$A$3:$A$3390,J$1,'United Data'!$C$3:$C$3390,$A1367,'United Data'!$B$3:$B$3390,"&lt;&gt;Off-street")&gt;0,1,0)</f>
        <v>0</v>
      </c>
      <c r="K1367">
        <f>IF(COUNTIFS('United Data'!$A$3:$A$3390,K$1,'United Data'!$C$3:$C$3390,$A1367,'United Data'!$B$3:$B$3390,"&lt;&gt;Off-street")&gt;0,1,0)</f>
        <v>0</v>
      </c>
      <c r="L1367">
        <f>IF(COUNTIFS('United Data'!$A$3:$A$3390,L$1,'United Data'!$C$3:$C$3390,$A1367,'United Data'!$B$3:$B$3390,"&lt;&gt;Off-street")&gt;0,1,0)</f>
        <v>0</v>
      </c>
      <c r="M1367">
        <f>IF(COUNTIFS('United Data'!$A$3:$A$3390,M$1,'United Data'!$C$3:$C$3390,$A1367,'United Data'!$B$3:$B$3390,"&lt;&gt;Off-street")&gt;0,1,0)</f>
        <v>0</v>
      </c>
      <c r="N1367">
        <f>IF(COUNTIFS('United Data'!$A$3:$A$3390,N$1,'United Data'!$C$3:$C$3390,$A1367,'United Data'!$B$3:$B$3390,"&lt;&gt;Off-street")&gt;0,1,0)</f>
        <v>0</v>
      </c>
      <c r="O1367">
        <f>IF(COUNTIFS('United Data'!$A$3:$A$3390,O$1,'United Data'!$C$3:$C$3390,$A1367,'United Data'!$B$3:$B$3390,"&lt;&gt;Off-street")&gt;0,1,0)</f>
        <v>0</v>
      </c>
      <c r="P1367">
        <f>IF(COUNTIFS('United Data'!$A$3:$A$3390,P$1,'United Data'!$C$3:$C$3390,$A1367,'United Data'!$B$3:$B$3390,"&lt;&gt;Off-street")&gt;0,1,0)</f>
        <v>0</v>
      </c>
      <c r="Q1367">
        <f>IF(COUNTIFS('United Data'!$A$3:$A$3390,Q$1,'United Data'!$C$3:$C$3390,$A1367,'United Data'!$B$3:$B$3390,"&lt;&gt;Off-street")&gt;0,1,0)</f>
        <v>0</v>
      </c>
      <c r="R1367">
        <f>IF(COUNTIFS('United Data'!$A$3:$A$3390,R$1,'United Data'!$C$3:$C$3390,$A1367,'United Data'!$B$3:$B$3390,"&lt;&gt;Off-street")&gt;0,1,0)</f>
        <v>0</v>
      </c>
      <c r="S1367">
        <f t="shared" si="42"/>
        <v>1</v>
      </c>
      <c r="T1367">
        <f t="shared" si="43"/>
        <v>1</v>
      </c>
    </row>
    <row r="1368" spans="1:20" x14ac:dyDescent="0.2">
      <c r="A1368" t="s">
        <v>1612</v>
      </c>
      <c r="B1368">
        <f>IF(COUNTIFS('United Data'!$A$3:$A$3390,B$1,'United Data'!$C$3:$C$3390,$A1368,'United Data'!$B$3:$B$3390,"&lt;&gt;Off-street")&gt;0,1,0)</f>
        <v>1</v>
      </c>
      <c r="C1368">
        <f>IF(COUNTIFS('United Data'!$A$3:$A$3390,C$1,'United Data'!$C$3:$C$3390,$A1368,'United Data'!$B$3:$B$3390,"&lt;&gt;Off-street")&gt;0,1,0)</f>
        <v>0</v>
      </c>
      <c r="D1368">
        <f>IF(COUNTIFS('United Data'!$A$3:$A$3390,D$1,'United Data'!$C$3:$C$3390,$A1368,'United Data'!$B$3:$B$3390,"&lt;&gt;Off-street")&gt;0,1,0)</f>
        <v>0</v>
      </c>
      <c r="E1368">
        <f>IF(COUNTIFS('United Data'!$A$3:$A$3390,E$1,'United Data'!$C$3:$C$3390,$A1368,'United Data'!$B$3:$B$3390,"&lt;&gt;Off-street")&gt;0,1,0)</f>
        <v>0</v>
      </c>
      <c r="F1368">
        <f>IF(COUNTIFS('United Data'!$A$3:$A$3390,F$1,'United Data'!$C$3:$C$3390,$A1368,'United Data'!$B$3:$B$3390,"&lt;&gt;Off-street")&gt;0,1,0)</f>
        <v>0</v>
      </c>
      <c r="G1368">
        <f>IF(COUNTIFS('United Data'!$A$3:$A$3390,G$1,'United Data'!$C$3:$C$3390,$A1368,'United Data'!$B$3:$B$3390,"&lt;&gt;Off-street")&gt;0,1,0)</f>
        <v>0</v>
      </c>
      <c r="H1368">
        <f>IF(COUNTIFS('United Data'!$A$3:$A$3390,H$1,'United Data'!$C$3:$C$3390,$A1368,'United Data'!$B$3:$B$3390,"&lt;&gt;Off-street")&gt;0,1,0)</f>
        <v>0</v>
      </c>
      <c r="I1368">
        <f>IF(COUNTIFS('United Data'!$A$3:$A$3390,I$1,'United Data'!$C$3:$C$3390,$A1368,'United Data'!$B$3:$B$3390,"&lt;&gt;Off-street")&gt;0,1,0)</f>
        <v>0</v>
      </c>
      <c r="J1368">
        <f>IF(COUNTIFS('United Data'!$A$3:$A$3390,J$1,'United Data'!$C$3:$C$3390,$A1368,'United Data'!$B$3:$B$3390,"&lt;&gt;Off-street")&gt;0,1,0)</f>
        <v>0</v>
      </c>
      <c r="K1368">
        <f>IF(COUNTIFS('United Data'!$A$3:$A$3390,K$1,'United Data'!$C$3:$C$3390,$A1368,'United Data'!$B$3:$B$3390,"&lt;&gt;Off-street")&gt;0,1,0)</f>
        <v>1</v>
      </c>
      <c r="L1368">
        <f>IF(COUNTIFS('United Data'!$A$3:$A$3390,L$1,'United Data'!$C$3:$C$3390,$A1368,'United Data'!$B$3:$B$3390,"&lt;&gt;Off-street")&gt;0,1,0)</f>
        <v>0</v>
      </c>
      <c r="M1368">
        <f>IF(COUNTIFS('United Data'!$A$3:$A$3390,M$1,'United Data'!$C$3:$C$3390,$A1368,'United Data'!$B$3:$B$3390,"&lt;&gt;Off-street")&gt;0,1,0)</f>
        <v>0</v>
      </c>
      <c r="N1368">
        <f>IF(COUNTIFS('United Data'!$A$3:$A$3390,N$1,'United Data'!$C$3:$C$3390,$A1368,'United Data'!$B$3:$B$3390,"&lt;&gt;Off-street")&gt;0,1,0)</f>
        <v>0</v>
      </c>
      <c r="O1368">
        <f>IF(COUNTIFS('United Data'!$A$3:$A$3390,O$1,'United Data'!$C$3:$C$3390,$A1368,'United Data'!$B$3:$B$3390,"&lt;&gt;Off-street")&gt;0,1,0)</f>
        <v>0</v>
      </c>
      <c r="P1368">
        <f>IF(COUNTIFS('United Data'!$A$3:$A$3390,P$1,'United Data'!$C$3:$C$3390,$A1368,'United Data'!$B$3:$B$3390,"&lt;&gt;Off-street")&gt;0,1,0)</f>
        <v>0</v>
      </c>
      <c r="Q1368">
        <f>IF(COUNTIFS('United Data'!$A$3:$A$3390,Q$1,'United Data'!$C$3:$C$3390,$A1368,'United Data'!$B$3:$B$3390,"&lt;&gt;Off-street")&gt;0,1,0)</f>
        <v>1</v>
      </c>
      <c r="R1368">
        <f>IF(COUNTIFS('United Data'!$A$3:$A$3390,R$1,'United Data'!$C$3:$C$3390,$A1368,'United Data'!$B$3:$B$3390,"&lt;&gt;Off-street")&gt;0,1,0)</f>
        <v>0</v>
      </c>
      <c r="S1368">
        <f t="shared" si="42"/>
        <v>3</v>
      </c>
      <c r="T1368">
        <f t="shared" si="43"/>
        <v>3</v>
      </c>
    </row>
    <row r="1369" spans="1:20" x14ac:dyDescent="0.2">
      <c r="A1369" t="s">
        <v>1616</v>
      </c>
      <c r="B1369">
        <f>IF(COUNTIFS('United Data'!$A$3:$A$3390,B$1,'United Data'!$C$3:$C$3390,$A1369,'United Data'!$B$3:$B$3390,"&lt;&gt;Off-street")&gt;0,1,0)</f>
        <v>1</v>
      </c>
      <c r="C1369">
        <f>IF(COUNTIFS('United Data'!$A$3:$A$3390,C$1,'United Data'!$C$3:$C$3390,$A1369,'United Data'!$B$3:$B$3390,"&lt;&gt;Off-street")&gt;0,1,0)</f>
        <v>0</v>
      </c>
      <c r="D1369">
        <f>IF(COUNTIFS('United Data'!$A$3:$A$3390,D$1,'United Data'!$C$3:$C$3390,$A1369,'United Data'!$B$3:$B$3390,"&lt;&gt;Off-street")&gt;0,1,0)</f>
        <v>0</v>
      </c>
      <c r="E1369">
        <f>IF(COUNTIFS('United Data'!$A$3:$A$3390,E$1,'United Data'!$C$3:$C$3390,$A1369,'United Data'!$B$3:$B$3390,"&lt;&gt;Off-street")&gt;0,1,0)</f>
        <v>0</v>
      </c>
      <c r="F1369">
        <f>IF(COUNTIFS('United Data'!$A$3:$A$3390,F$1,'United Data'!$C$3:$C$3390,$A1369,'United Data'!$B$3:$B$3390,"&lt;&gt;Off-street")&gt;0,1,0)</f>
        <v>0</v>
      </c>
      <c r="G1369">
        <f>IF(COUNTIFS('United Data'!$A$3:$A$3390,G$1,'United Data'!$C$3:$C$3390,$A1369,'United Data'!$B$3:$B$3390,"&lt;&gt;Off-street")&gt;0,1,0)</f>
        <v>0</v>
      </c>
      <c r="H1369">
        <f>IF(COUNTIFS('United Data'!$A$3:$A$3390,H$1,'United Data'!$C$3:$C$3390,$A1369,'United Data'!$B$3:$B$3390,"&lt;&gt;Off-street")&gt;0,1,0)</f>
        <v>0</v>
      </c>
      <c r="I1369">
        <f>IF(COUNTIFS('United Data'!$A$3:$A$3390,I$1,'United Data'!$C$3:$C$3390,$A1369,'United Data'!$B$3:$B$3390,"&lt;&gt;Off-street")&gt;0,1,0)</f>
        <v>0</v>
      </c>
      <c r="J1369">
        <f>IF(COUNTIFS('United Data'!$A$3:$A$3390,J$1,'United Data'!$C$3:$C$3390,$A1369,'United Data'!$B$3:$B$3390,"&lt;&gt;Off-street")&gt;0,1,0)</f>
        <v>0</v>
      </c>
      <c r="K1369">
        <f>IF(COUNTIFS('United Data'!$A$3:$A$3390,K$1,'United Data'!$C$3:$C$3390,$A1369,'United Data'!$B$3:$B$3390,"&lt;&gt;Off-street")&gt;0,1,0)</f>
        <v>0</v>
      </c>
      <c r="L1369">
        <f>IF(COUNTIFS('United Data'!$A$3:$A$3390,L$1,'United Data'!$C$3:$C$3390,$A1369,'United Data'!$B$3:$B$3390,"&lt;&gt;Off-street")&gt;0,1,0)</f>
        <v>0</v>
      </c>
      <c r="M1369">
        <f>IF(COUNTIFS('United Data'!$A$3:$A$3390,M$1,'United Data'!$C$3:$C$3390,$A1369,'United Data'!$B$3:$B$3390,"&lt;&gt;Off-street")&gt;0,1,0)</f>
        <v>0</v>
      </c>
      <c r="N1369">
        <f>IF(COUNTIFS('United Data'!$A$3:$A$3390,N$1,'United Data'!$C$3:$C$3390,$A1369,'United Data'!$B$3:$B$3390,"&lt;&gt;Off-street")&gt;0,1,0)</f>
        <v>0</v>
      </c>
      <c r="O1369">
        <f>IF(COUNTIFS('United Data'!$A$3:$A$3390,O$1,'United Data'!$C$3:$C$3390,$A1369,'United Data'!$B$3:$B$3390,"&lt;&gt;Off-street")&gt;0,1,0)</f>
        <v>0</v>
      </c>
      <c r="P1369">
        <f>IF(COUNTIFS('United Data'!$A$3:$A$3390,P$1,'United Data'!$C$3:$C$3390,$A1369,'United Data'!$B$3:$B$3390,"&lt;&gt;Off-street")&gt;0,1,0)</f>
        <v>0</v>
      </c>
      <c r="Q1369">
        <f>IF(COUNTIFS('United Data'!$A$3:$A$3390,Q$1,'United Data'!$C$3:$C$3390,$A1369,'United Data'!$B$3:$B$3390,"&lt;&gt;Off-street")&gt;0,1,0)</f>
        <v>0</v>
      </c>
      <c r="R1369">
        <f>IF(COUNTIFS('United Data'!$A$3:$A$3390,R$1,'United Data'!$C$3:$C$3390,$A1369,'United Data'!$B$3:$B$3390,"&lt;&gt;Off-street")&gt;0,1,0)</f>
        <v>0</v>
      </c>
      <c r="S1369">
        <f t="shared" si="42"/>
        <v>1</v>
      </c>
      <c r="T1369">
        <f t="shared" si="43"/>
        <v>1</v>
      </c>
    </row>
    <row r="1370" spans="1:20" x14ac:dyDescent="0.2">
      <c r="A1370" t="s">
        <v>1619</v>
      </c>
      <c r="B1370">
        <f>IF(COUNTIFS('United Data'!$A$3:$A$3390,B$1,'United Data'!$C$3:$C$3390,$A1370,'United Data'!$B$3:$B$3390,"&lt;&gt;Off-street")&gt;0,1,0)</f>
        <v>0</v>
      </c>
      <c r="C1370">
        <f>IF(COUNTIFS('United Data'!$A$3:$A$3390,C$1,'United Data'!$C$3:$C$3390,$A1370,'United Data'!$B$3:$B$3390,"&lt;&gt;Off-street")&gt;0,1,0)</f>
        <v>1</v>
      </c>
      <c r="D1370">
        <f>IF(COUNTIFS('United Data'!$A$3:$A$3390,D$1,'United Data'!$C$3:$C$3390,$A1370,'United Data'!$B$3:$B$3390,"&lt;&gt;Off-street")&gt;0,1,0)</f>
        <v>1</v>
      </c>
      <c r="E1370">
        <f>IF(COUNTIFS('United Data'!$A$3:$A$3390,E$1,'United Data'!$C$3:$C$3390,$A1370,'United Data'!$B$3:$B$3390,"&lt;&gt;Off-street")&gt;0,1,0)</f>
        <v>0</v>
      </c>
      <c r="F1370">
        <f>IF(COUNTIFS('United Data'!$A$3:$A$3390,F$1,'United Data'!$C$3:$C$3390,$A1370,'United Data'!$B$3:$B$3390,"&lt;&gt;Off-street")&gt;0,1,0)</f>
        <v>0</v>
      </c>
      <c r="G1370">
        <f>IF(COUNTIFS('United Data'!$A$3:$A$3390,G$1,'United Data'!$C$3:$C$3390,$A1370,'United Data'!$B$3:$B$3390,"&lt;&gt;Off-street")&gt;0,1,0)</f>
        <v>0</v>
      </c>
      <c r="H1370">
        <f>IF(COUNTIFS('United Data'!$A$3:$A$3390,H$1,'United Data'!$C$3:$C$3390,$A1370,'United Data'!$B$3:$B$3390,"&lt;&gt;Off-street")&gt;0,1,0)</f>
        <v>0</v>
      </c>
      <c r="I1370">
        <f>IF(COUNTIFS('United Data'!$A$3:$A$3390,I$1,'United Data'!$C$3:$C$3390,$A1370,'United Data'!$B$3:$B$3390,"&lt;&gt;Off-street")&gt;0,1,0)</f>
        <v>0</v>
      </c>
      <c r="J1370">
        <f>IF(COUNTIFS('United Data'!$A$3:$A$3390,J$1,'United Data'!$C$3:$C$3390,$A1370,'United Data'!$B$3:$B$3390,"&lt;&gt;Off-street")&gt;0,1,0)</f>
        <v>0</v>
      </c>
      <c r="K1370">
        <f>IF(COUNTIFS('United Data'!$A$3:$A$3390,K$1,'United Data'!$C$3:$C$3390,$A1370,'United Data'!$B$3:$B$3390,"&lt;&gt;Off-street")&gt;0,1,0)</f>
        <v>0</v>
      </c>
      <c r="L1370">
        <f>IF(COUNTIFS('United Data'!$A$3:$A$3390,L$1,'United Data'!$C$3:$C$3390,$A1370,'United Data'!$B$3:$B$3390,"&lt;&gt;Off-street")&gt;0,1,0)</f>
        <v>0</v>
      </c>
      <c r="M1370">
        <f>IF(COUNTIFS('United Data'!$A$3:$A$3390,M$1,'United Data'!$C$3:$C$3390,$A1370,'United Data'!$B$3:$B$3390,"&lt;&gt;Off-street")&gt;0,1,0)</f>
        <v>0</v>
      </c>
      <c r="N1370">
        <f>IF(COUNTIFS('United Data'!$A$3:$A$3390,N$1,'United Data'!$C$3:$C$3390,$A1370,'United Data'!$B$3:$B$3390,"&lt;&gt;Off-street")&gt;0,1,0)</f>
        <v>0</v>
      </c>
      <c r="O1370">
        <f>IF(COUNTIFS('United Data'!$A$3:$A$3390,O$1,'United Data'!$C$3:$C$3390,$A1370,'United Data'!$B$3:$B$3390,"&lt;&gt;Off-street")&gt;0,1,0)</f>
        <v>0</v>
      </c>
      <c r="P1370">
        <f>IF(COUNTIFS('United Data'!$A$3:$A$3390,P$1,'United Data'!$C$3:$C$3390,$A1370,'United Data'!$B$3:$B$3390,"&lt;&gt;Off-street")&gt;0,1,0)</f>
        <v>0</v>
      </c>
      <c r="Q1370">
        <f>IF(COUNTIFS('United Data'!$A$3:$A$3390,Q$1,'United Data'!$C$3:$C$3390,$A1370,'United Data'!$B$3:$B$3390,"&lt;&gt;Off-street")&gt;0,1,0)</f>
        <v>0</v>
      </c>
      <c r="R1370">
        <f>IF(COUNTIFS('United Data'!$A$3:$A$3390,R$1,'United Data'!$C$3:$C$3390,$A1370,'United Data'!$B$3:$B$3390,"&lt;&gt;Off-street")&gt;0,1,0)</f>
        <v>0</v>
      </c>
      <c r="S1370">
        <f t="shared" si="42"/>
        <v>2</v>
      </c>
      <c r="T1370">
        <f t="shared" si="43"/>
        <v>1</v>
      </c>
    </row>
    <row r="1371" spans="1:20" x14ac:dyDescent="0.2">
      <c r="A1371" t="s">
        <v>1620</v>
      </c>
      <c r="B1371">
        <f>IF(COUNTIFS('United Data'!$A$3:$A$3390,B$1,'United Data'!$C$3:$C$3390,$A1371,'United Data'!$B$3:$B$3390,"&lt;&gt;Off-street")&gt;0,1,0)</f>
        <v>0</v>
      </c>
      <c r="C1371">
        <f>IF(COUNTIFS('United Data'!$A$3:$A$3390,C$1,'United Data'!$C$3:$C$3390,$A1371,'United Data'!$B$3:$B$3390,"&lt;&gt;Off-street")&gt;0,1,0)</f>
        <v>0</v>
      </c>
      <c r="D1371">
        <f>IF(COUNTIFS('United Data'!$A$3:$A$3390,D$1,'United Data'!$C$3:$C$3390,$A1371,'United Data'!$B$3:$B$3390,"&lt;&gt;Off-street")&gt;0,1,0)</f>
        <v>1</v>
      </c>
      <c r="E1371">
        <f>IF(COUNTIFS('United Data'!$A$3:$A$3390,E$1,'United Data'!$C$3:$C$3390,$A1371,'United Data'!$B$3:$B$3390,"&lt;&gt;Off-street")&gt;0,1,0)</f>
        <v>0</v>
      </c>
      <c r="F1371">
        <f>IF(COUNTIFS('United Data'!$A$3:$A$3390,F$1,'United Data'!$C$3:$C$3390,$A1371,'United Data'!$B$3:$B$3390,"&lt;&gt;Off-street")&gt;0,1,0)</f>
        <v>0</v>
      </c>
      <c r="G1371">
        <f>IF(COUNTIFS('United Data'!$A$3:$A$3390,G$1,'United Data'!$C$3:$C$3390,$A1371,'United Data'!$B$3:$B$3390,"&lt;&gt;Off-street")&gt;0,1,0)</f>
        <v>0</v>
      </c>
      <c r="H1371">
        <f>IF(COUNTIFS('United Data'!$A$3:$A$3390,H$1,'United Data'!$C$3:$C$3390,$A1371,'United Data'!$B$3:$B$3390,"&lt;&gt;Off-street")&gt;0,1,0)</f>
        <v>0</v>
      </c>
      <c r="I1371">
        <f>IF(COUNTIFS('United Data'!$A$3:$A$3390,I$1,'United Data'!$C$3:$C$3390,$A1371,'United Data'!$B$3:$B$3390,"&lt;&gt;Off-street")&gt;0,1,0)</f>
        <v>0</v>
      </c>
      <c r="J1371">
        <f>IF(COUNTIFS('United Data'!$A$3:$A$3390,J$1,'United Data'!$C$3:$C$3390,$A1371,'United Data'!$B$3:$B$3390,"&lt;&gt;Off-street")&gt;0,1,0)</f>
        <v>0</v>
      </c>
      <c r="K1371">
        <f>IF(COUNTIFS('United Data'!$A$3:$A$3390,K$1,'United Data'!$C$3:$C$3390,$A1371,'United Data'!$B$3:$B$3390,"&lt;&gt;Off-street")&gt;0,1,0)</f>
        <v>0</v>
      </c>
      <c r="L1371">
        <f>IF(COUNTIFS('United Data'!$A$3:$A$3390,L$1,'United Data'!$C$3:$C$3390,$A1371,'United Data'!$B$3:$B$3390,"&lt;&gt;Off-street")&gt;0,1,0)</f>
        <v>0</v>
      </c>
      <c r="M1371">
        <f>IF(COUNTIFS('United Data'!$A$3:$A$3390,M$1,'United Data'!$C$3:$C$3390,$A1371,'United Data'!$B$3:$B$3390,"&lt;&gt;Off-street")&gt;0,1,0)</f>
        <v>0</v>
      </c>
      <c r="N1371">
        <f>IF(COUNTIFS('United Data'!$A$3:$A$3390,N$1,'United Data'!$C$3:$C$3390,$A1371,'United Data'!$B$3:$B$3390,"&lt;&gt;Off-street")&gt;0,1,0)</f>
        <v>0</v>
      </c>
      <c r="O1371">
        <f>IF(COUNTIFS('United Data'!$A$3:$A$3390,O$1,'United Data'!$C$3:$C$3390,$A1371,'United Data'!$B$3:$B$3390,"&lt;&gt;Off-street")&gt;0,1,0)</f>
        <v>0</v>
      </c>
      <c r="P1371">
        <f>IF(COUNTIFS('United Data'!$A$3:$A$3390,P$1,'United Data'!$C$3:$C$3390,$A1371,'United Data'!$B$3:$B$3390,"&lt;&gt;Off-street")&gt;0,1,0)</f>
        <v>0</v>
      </c>
      <c r="Q1371">
        <f>IF(COUNTIFS('United Data'!$A$3:$A$3390,Q$1,'United Data'!$C$3:$C$3390,$A1371,'United Data'!$B$3:$B$3390,"&lt;&gt;Off-street")&gt;0,1,0)</f>
        <v>0</v>
      </c>
      <c r="R1371">
        <f>IF(COUNTIFS('United Data'!$A$3:$A$3390,R$1,'United Data'!$C$3:$C$3390,$A1371,'United Data'!$B$3:$B$3390,"&lt;&gt;Off-street")&gt;0,1,0)</f>
        <v>0</v>
      </c>
      <c r="S1371">
        <f t="shared" si="42"/>
        <v>1</v>
      </c>
      <c r="T1371">
        <f t="shared" si="43"/>
        <v>1</v>
      </c>
    </row>
    <row r="1372" spans="1:20" x14ac:dyDescent="0.2">
      <c r="A1372" t="s">
        <v>1621</v>
      </c>
      <c r="B1372">
        <f>IF(COUNTIFS('United Data'!$A$3:$A$3390,B$1,'United Data'!$C$3:$C$3390,$A1372,'United Data'!$B$3:$B$3390,"&lt;&gt;Off-street")&gt;0,1,0)</f>
        <v>0</v>
      </c>
      <c r="C1372">
        <f>IF(COUNTIFS('United Data'!$A$3:$A$3390,C$1,'United Data'!$C$3:$C$3390,$A1372,'United Data'!$B$3:$B$3390,"&lt;&gt;Off-street")&gt;0,1,0)</f>
        <v>0</v>
      </c>
      <c r="D1372">
        <f>IF(COUNTIFS('United Data'!$A$3:$A$3390,D$1,'United Data'!$C$3:$C$3390,$A1372,'United Data'!$B$3:$B$3390,"&lt;&gt;Off-street")&gt;0,1,0)</f>
        <v>1</v>
      </c>
      <c r="E1372">
        <f>IF(COUNTIFS('United Data'!$A$3:$A$3390,E$1,'United Data'!$C$3:$C$3390,$A1372,'United Data'!$B$3:$B$3390,"&lt;&gt;Off-street")&gt;0,1,0)</f>
        <v>1</v>
      </c>
      <c r="F1372">
        <f>IF(COUNTIFS('United Data'!$A$3:$A$3390,F$1,'United Data'!$C$3:$C$3390,$A1372,'United Data'!$B$3:$B$3390,"&lt;&gt;Off-street")&gt;0,1,0)</f>
        <v>0</v>
      </c>
      <c r="G1372">
        <f>IF(COUNTIFS('United Data'!$A$3:$A$3390,G$1,'United Data'!$C$3:$C$3390,$A1372,'United Data'!$B$3:$B$3390,"&lt;&gt;Off-street")&gt;0,1,0)</f>
        <v>0</v>
      </c>
      <c r="H1372">
        <f>IF(COUNTIFS('United Data'!$A$3:$A$3390,H$1,'United Data'!$C$3:$C$3390,$A1372,'United Data'!$B$3:$B$3390,"&lt;&gt;Off-street")&gt;0,1,0)</f>
        <v>1</v>
      </c>
      <c r="I1372">
        <f>IF(COUNTIFS('United Data'!$A$3:$A$3390,I$1,'United Data'!$C$3:$C$3390,$A1372,'United Data'!$B$3:$B$3390,"&lt;&gt;Off-street")&gt;0,1,0)</f>
        <v>0</v>
      </c>
      <c r="J1372">
        <f>IF(COUNTIFS('United Data'!$A$3:$A$3390,J$1,'United Data'!$C$3:$C$3390,$A1372,'United Data'!$B$3:$B$3390,"&lt;&gt;Off-street")&gt;0,1,0)</f>
        <v>0</v>
      </c>
      <c r="K1372">
        <f>IF(COUNTIFS('United Data'!$A$3:$A$3390,K$1,'United Data'!$C$3:$C$3390,$A1372,'United Data'!$B$3:$B$3390,"&lt;&gt;Off-street")&gt;0,1,0)</f>
        <v>0</v>
      </c>
      <c r="L1372">
        <f>IF(COUNTIFS('United Data'!$A$3:$A$3390,L$1,'United Data'!$C$3:$C$3390,$A1372,'United Data'!$B$3:$B$3390,"&lt;&gt;Off-street")&gt;0,1,0)</f>
        <v>1</v>
      </c>
      <c r="M1372">
        <f>IF(COUNTIFS('United Data'!$A$3:$A$3390,M$1,'United Data'!$C$3:$C$3390,$A1372,'United Data'!$B$3:$B$3390,"&lt;&gt;Off-street")&gt;0,1,0)</f>
        <v>0</v>
      </c>
      <c r="N1372">
        <f>IF(COUNTIFS('United Data'!$A$3:$A$3390,N$1,'United Data'!$C$3:$C$3390,$A1372,'United Data'!$B$3:$B$3390,"&lt;&gt;Off-street")&gt;0,1,0)</f>
        <v>0</v>
      </c>
      <c r="O1372">
        <f>IF(COUNTIFS('United Data'!$A$3:$A$3390,O$1,'United Data'!$C$3:$C$3390,$A1372,'United Data'!$B$3:$B$3390,"&lt;&gt;Off-street")&gt;0,1,0)</f>
        <v>0</v>
      </c>
      <c r="P1372">
        <f>IF(COUNTIFS('United Data'!$A$3:$A$3390,P$1,'United Data'!$C$3:$C$3390,$A1372,'United Data'!$B$3:$B$3390,"&lt;&gt;Off-street")&gt;0,1,0)</f>
        <v>0</v>
      </c>
      <c r="Q1372">
        <f>IF(COUNTIFS('United Data'!$A$3:$A$3390,Q$1,'United Data'!$C$3:$C$3390,$A1372,'United Data'!$B$3:$B$3390,"&lt;&gt;Off-street")&gt;0,1,0)</f>
        <v>0</v>
      </c>
      <c r="R1372">
        <f>IF(COUNTIFS('United Data'!$A$3:$A$3390,R$1,'United Data'!$C$3:$C$3390,$A1372,'United Data'!$B$3:$B$3390,"&lt;&gt;Off-street")&gt;0,1,0)</f>
        <v>0</v>
      </c>
      <c r="S1372">
        <f t="shared" si="42"/>
        <v>4</v>
      </c>
      <c r="T1372">
        <f t="shared" si="43"/>
        <v>3</v>
      </c>
    </row>
    <row r="1373" spans="1:20" x14ac:dyDescent="0.2">
      <c r="A1373" t="s">
        <v>1625</v>
      </c>
      <c r="B1373">
        <f>IF(COUNTIFS('United Data'!$A$3:$A$3390,B$1,'United Data'!$C$3:$C$3390,$A1373,'United Data'!$B$3:$B$3390,"&lt;&gt;Off-street")&gt;0,1,0)</f>
        <v>0</v>
      </c>
      <c r="C1373">
        <f>IF(COUNTIFS('United Data'!$A$3:$A$3390,C$1,'United Data'!$C$3:$C$3390,$A1373,'United Data'!$B$3:$B$3390,"&lt;&gt;Off-street")&gt;0,1,0)</f>
        <v>0</v>
      </c>
      <c r="D1373">
        <f>IF(COUNTIFS('United Data'!$A$3:$A$3390,D$1,'United Data'!$C$3:$C$3390,$A1373,'United Data'!$B$3:$B$3390,"&lt;&gt;Off-street")&gt;0,1,0)</f>
        <v>1</v>
      </c>
      <c r="E1373">
        <f>IF(COUNTIFS('United Data'!$A$3:$A$3390,E$1,'United Data'!$C$3:$C$3390,$A1373,'United Data'!$B$3:$B$3390,"&lt;&gt;Off-street")&gt;0,1,0)</f>
        <v>1</v>
      </c>
      <c r="F1373">
        <f>IF(COUNTIFS('United Data'!$A$3:$A$3390,F$1,'United Data'!$C$3:$C$3390,$A1373,'United Data'!$B$3:$B$3390,"&lt;&gt;Off-street")&gt;0,1,0)</f>
        <v>0</v>
      </c>
      <c r="G1373">
        <f>IF(COUNTIFS('United Data'!$A$3:$A$3390,G$1,'United Data'!$C$3:$C$3390,$A1373,'United Data'!$B$3:$B$3390,"&lt;&gt;Off-street")&gt;0,1,0)</f>
        <v>0</v>
      </c>
      <c r="H1373">
        <f>IF(COUNTIFS('United Data'!$A$3:$A$3390,H$1,'United Data'!$C$3:$C$3390,$A1373,'United Data'!$B$3:$B$3390,"&lt;&gt;Off-street")&gt;0,1,0)</f>
        <v>0</v>
      </c>
      <c r="I1373">
        <f>IF(COUNTIFS('United Data'!$A$3:$A$3390,I$1,'United Data'!$C$3:$C$3390,$A1373,'United Data'!$B$3:$B$3390,"&lt;&gt;Off-street")&gt;0,1,0)</f>
        <v>0</v>
      </c>
      <c r="J1373">
        <f>IF(COUNTIFS('United Data'!$A$3:$A$3390,J$1,'United Data'!$C$3:$C$3390,$A1373,'United Data'!$B$3:$B$3390,"&lt;&gt;Off-street")&gt;0,1,0)</f>
        <v>0</v>
      </c>
      <c r="K1373">
        <f>IF(COUNTIFS('United Data'!$A$3:$A$3390,K$1,'United Data'!$C$3:$C$3390,$A1373,'United Data'!$B$3:$B$3390,"&lt;&gt;Off-street")&gt;0,1,0)</f>
        <v>0</v>
      </c>
      <c r="L1373">
        <f>IF(COUNTIFS('United Data'!$A$3:$A$3390,L$1,'United Data'!$C$3:$C$3390,$A1373,'United Data'!$B$3:$B$3390,"&lt;&gt;Off-street")&gt;0,1,0)</f>
        <v>0</v>
      </c>
      <c r="M1373">
        <f>IF(COUNTIFS('United Data'!$A$3:$A$3390,M$1,'United Data'!$C$3:$C$3390,$A1373,'United Data'!$B$3:$B$3390,"&lt;&gt;Off-street")&gt;0,1,0)</f>
        <v>0</v>
      </c>
      <c r="N1373">
        <f>IF(COUNTIFS('United Data'!$A$3:$A$3390,N$1,'United Data'!$C$3:$C$3390,$A1373,'United Data'!$B$3:$B$3390,"&lt;&gt;Off-street")&gt;0,1,0)</f>
        <v>0</v>
      </c>
      <c r="O1373">
        <f>IF(COUNTIFS('United Data'!$A$3:$A$3390,O$1,'United Data'!$C$3:$C$3390,$A1373,'United Data'!$B$3:$B$3390,"&lt;&gt;Off-street")&gt;0,1,0)</f>
        <v>0</v>
      </c>
      <c r="P1373">
        <f>IF(COUNTIFS('United Data'!$A$3:$A$3390,P$1,'United Data'!$C$3:$C$3390,$A1373,'United Data'!$B$3:$B$3390,"&lt;&gt;Off-street")&gt;0,1,0)</f>
        <v>0</v>
      </c>
      <c r="Q1373">
        <f>IF(COUNTIFS('United Data'!$A$3:$A$3390,Q$1,'United Data'!$C$3:$C$3390,$A1373,'United Data'!$B$3:$B$3390,"&lt;&gt;Off-street")&gt;0,1,0)</f>
        <v>0</v>
      </c>
      <c r="R1373">
        <f>IF(COUNTIFS('United Data'!$A$3:$A$3390,R$1,'United Data'!$C$3:$C$3390,$A1373,'United Data'!$B$3:$B$3390,"&lt;&gt;Off-street")&gt;0,1,0)</f>
        <v>0</v>
      </c>
      <c r="S1373">
        <f t="shared" si="42"/>
        <v>2</v>
      </c>
      <c r="T1373">
        <f t="shared" si="43"/>
        <v>1</v>
      </c>
    </row>
    <row r="1374" spans="1:20" x14ac:dyDescent="0.2">
      <c r="A1374" t="s">
        <v>1628</v>
      </c>
      <c r="B1374">
        <f>IF(COUNTIFS('United Data'!$A$3:$A$3390,B$1,'United Data'!$C$3:$C$3390,$A1374,'United Data'!$B$3:$B$3390,"&lt;&gt;Off-street")&gt;0,1,0)</f>
        <v>0</v>
      </c>
      <c r="C1374">
        <f>IF(COUNTIFS('United Data'!$A$3:$A$3390,C$1,'United Data'!$C$3:$C$3390,$A1374,'United Data'!$B$3:$B$3390,"&lt;&gt;Off-street")&gt;0,1,0)</f>
        <v>0</v>
      </c>
      <c r="D1374">
        <f>IF(COUNTIFS('United Data'!$A$3:$A$3390,D$1,'United Data'!$C$3:$C$3390,$A1374,'United Data'!$B$3:$B$3390,"&lt;&gt;Off-street")&gt;0,1,0)</f>
        <v>0</v>
      </c>
      <c r="E1374">
        <f>IF(COUNTIFS('United Data'!$A$3:$A$3390,E$1,'United Data'!$C$3:$C$3390,$A1374,'United Data'!$B$3:$B$3390,"&lt;&gt;Off-street")&gt;0,1,0)</f>
        <v>1</v>
      </c>
      <c r="F1374">
        <f>IF(COUNTIFS('United Data'!$A$3:$A$3390,F$1,'United Data'!$C$3:$C$3390,$A1374,'United Data'!$B$3:$B$3390,"&lt;&gt;Off-street")&gt;0,1,0)</f>
        <v>0</v>
      </c>
      <c r="G1374">
        <f>IF(COUNTIFS('United Data'!$A$3:$A$3390,G$1,'United Data'!$C$3:$C$3390,$A1374,'United Data'!$B$3:$B$3390,"&lt;&gt;Off-street")&gt;0,1,0)</f>
        <v>0</v>
      </c>
      <c r="H1374">
        <f>IF(COUNTIFS('United Data'!$A$3:$A$3390,H$1,'United Data'!$C$3:$C$3390,$A1374,'United Data'!$B$3:$B$3390,"&lt;&gt;Off-street")&gt;0,1,0)</f>
        <v>0</v>
      </c>
      <c r="I1374">
        <f>IF(COUNTIFS('United Data'!$A$3:$A$3390,I$1,'United Data'!$C$3:$C$3390,$A1374,'United Data'!$B$3:$B$3390,"&lt;&gt;Off-street")&gt;0,1,0)</f>
        <v>0</v>
      </c>
      <c r="J1374">
        <f>IF(COUNTIFS('United Data'!$A$3:$A$3390,J$1,'United Data'!$C$3:$C$3390,$A1374,'United Data'!$B$3:$B$3390,"&lt;&gt;Off-street")&gt;0,1,0)</f>
        <v>0</v>
      </c>
      <c r="K1374">
        <f>IF(COUNTIFS('United Data'!$A$3:$A$3390,K$1,'United Data'!$C$3:$C$3390,$A1374,'United Data'!$B$3:$B$3390,"&lt;&gt;Off-street")&gt;0,1,0)</f>
        <v>0</v>
      </c>
      <c r="L1374">
        <f>IF(COUNTIFS('United Data'!$A$3:$A$3390,L$1,'United Data'!$C$3:$C$3390,$A1374,'United Data'!$B$3:$B$3390,"&lt;&gt;Off-street")&gt;0,1,0)</f>
        <v>0</v>
      </c>
      <c r="M1374">
        <f>IF(COUNTIFS('United Data'!$A$3:$A$3390,M$1,'United Data'!$C$3:$C$3390,$A1374,'United Data'!$B$3:$B$3390,"&lt;&gt;Off-street")&gt;0,1,0)</f>
        <v>0</v>
      </c>
      <c r="N1374">
        <f>IF(COUNTIFS('United Data'!$A$3:$A$3390,N$1,'United Data'!$C$3:$C$3390,$A1374,'United Data'!$B$3:$B$3390,"&lt;&gt;Off-street")&gt;0,1,0)</f>
        <v>0</v>
      </c>
      <c r="O1374">
        <f>IF(COUNTIFS('United Data'!$A$3:$A$3390,O$1,'United Data'!$C$3:$C$3390,$A1374,'United Data'!$B$3:$B$3390,"&lt;&gt;Off-street")&gt;0,1,0)</f>
        <v>0</v>
      </c>
      <c r="P1374">
        <f>IF(COUNTIFS('United Data'!$A$3:$A$3390,P$1,'United Data'!$C$3:$C$3390,$A1374,'United Data'!$B$3:$B$3390,"&lt;&gt;Off-street")&gt;0,1,0)</f>
        <v>0</v>
      </c>
      <c r="Q1374">
        <f>IF(COUNTIFS('United Data'!$A$3:$A$3390,Q$1,'United Data'!$C$3:$C$3390,$A1374,'United Data'!$B$3:$B$3390,"&lt;&gt;Off-street")&gt;0,1,0)</f>
        <v>0</v>
      </c>
      <c r="R1374">
        <f>IF(COUNTIFS('United Data'!$A$3:$A$3390,R$1,'United Data'!$C$3:$C$3390,$A1374,'United Data'!$B$3:$B$3390,"&lt;&gt;Off-street")&gt;0,1,0)</f>
        <v>0</v>
      </c>
      <c r="S1374">
        <f t="shared" si="42"/>
        <v>1</v>
      </c>
      <c r="T1374">
        <f t="shared" si="43"/>
        <v>1</v>
      </c>
    </row>
    <row r="1375" spans="1:20" x14ac:dyDescent="0.2">
      <c r="A1375" t="s">
        <v>1629</v>
      </c>
      <c r="B1375">
        <f>IF(COUNTIFS('United Data'!$A$3:$A$3390,B$1,'United Data'!$C$3:$C$3390,$A1375,'United Data'!$B$3:$B$3390,"&lt;&gt;Off-street")&gt;0,1,0)</f>
        <v>0</v>
      </c>
      <c r="C1375">
        <f>IF(COUNTIFS('United Data'!$A$3:$A$3390,C$1,'United Data'!$C$3:$C$3390,$A1375,'United Data'!$B$3:$B$3390,"&lt;&gt;Off-street")&gt;0,1,0)</f>
        <v>0</v>
      </c>
      <c r="D1375">
        <f>IF(COUNTIFS('United Data'!$A$3:$A$3390,D$1,'United Data'!$C$3:$C$3390,$A1375,'United Data'!$B$3:$B$3390,"&lt;&gt;Off-street")&gt;0,1,0)</f>
        <v>0</v>
      </c>
      <c r="E1375">
        <f>IF(COUNTIFS('United Data'!$A$3:$A$3390,E$1,'United Data'!$C$3:$C$3390,$A1375,'United Data'!$B$3:$B$3390,"&lt;&gt;Off-street")&gt;0,1,0)</f>
        <v>1</v>
      </c>
      <c r="F1375">
        <f>IF(COUNTIFS('United Data'!$A$3:$A$3390,F$1,'United Data'!$C$3:$C$3390,$A1375,'United Data'!$B$3:$B$3390,"&lt;&gt;Off-street")&gt;0,1,0)</f>
        <v>0</v>
      </c>
      <c r="G1375">
        <f>IF(COUNTIFS('United Data'!$A$3:$A$3390,G$1,'United Data'!$C$3:$C$3390,$A1375,'United Data'!$B$3:$B$3390,"&lt;&gt;Off-street")&gt;0,1,0)</f>
        <v>0</v>
      </c>
      <c r="H1375">
        <f>IF(COUNTIFS('United Data'!$A$3:$A$3390,H$1,'United Data'!$C$3:$C$3390,$A1375,'United Data'!$B$3:$B$3390,"&lt;&gt;Off-street")&gt;0,1,0)</f>
        <v>0</v>
      </c>
      <c r="I1375">
        <f>IF(COUNTIFS('United Data'!$A$3:$A$3390,I$1,'United Data'!$C$3:$C$3390,$A1375,'United Data'!$B$3:$B$3390,"&lt;&gt;Off-street")&gt;0,1,0)</f>
        <v>0</v>
      </c>
      <c r="J1375">
        <f>IF(COUNTIFS('United Data'!$A$3:$A$3390,J$1,'United Data'!$C$3:$C$3390,$A1375,'United Data'!$B$3:$B$3390,"&lt;&gt;Off-street")&gt;0,1,0)</f>
        <v>0</v>
      </c>
      <c r="K1375">
        <f>IF(COUNTIFS('United Data'!$A$3:$A$3390,K$1,'United Data'!$C$3:$C$3390,$A1375,'United Data'!$B$3:$B$3390,"&lt;&gt;Off-street")&gt;0,1,0)</f>
        <v>0</v>
      </c>
      <c r="L1375">
        <f>IF(COUNTIFS('United Data'!$A$3:$A$3390,L$1,'United Data'!$C$3:$C$3390,$A1375,'United Data'!$B$3:$B$3390,"&lt;&gt;Off-street")&gt;0,1,0)</f>
        <v>0</v>
      </c>
      <c r="M1375">
        <f>IF(COUNTIFS('United Data'!$A$3:$A$3390,M$1,'United Data'!$C$3:$C$3390,$A1375,'United Data'!$B$3:$B$3390,"&lt;&gt;Off-street")&gt;0,1,0)</f>
        <v>0</v>
      </c>
      <c r="N1375">
        <f>IF(COUNTIFS('United Data'!$A$3:$A$3390,N$1,'United Data'!$C$3:$C$3390,$A1375,'United Data'!$B$3:$B$3390,"&lt;&gt;Off-street")&gt;0,1,0)</f>
        <v>0</v>
      </c>
      <c r="O1375">
        <f>IF(COUNTIFS('United Data'!$A$3:$A$3390,O$1,'United Data'!$C$3:$C$3390,$A1375,'United Data'!$B$3:$B$3390,"&lt;&gt;Off-street")&gt;0,1,0)</f>
        <v>0</v>
      </c>
      <c r="P1375">
        <f>IF(COUNTIFS('United Data'!$A$3:$A$3390,P$1,'United Data'!$C$3:$C$3390,$A1375,'United Data'!$B$3:$B$3390,"&lt;&gt;Off-street")&gt;0,1,0)</f>
        <v>0</v>
      </c>
      <c r="Q1375">
        <f>IF(COUNTIFS('United Data'!$A$3:$A$3390,Q$1,'United Data'!$C$3:$C$3390,$A1375,'United Data'!$B$3:$B$3390,"&lt;&gt;Off-street")&gt;0,1,0)</f>
        <v>0</v>
      </c>
      <c r="R1375">
        <f>IF(COUNTIFS('United Data'!$A$3:$A$3390,R$1,'United Data'!$C$3:$C$3390,$A1375,'United Data'!$B$3:$B$3390,"&lt;&gt;Off-street")&gt;0,1,0)</f>
        <v>0</v>
      </c>
      <c r="S1375">
        <f t="shared" si="42"/>
        <v>1</v>
      </c>
      <c r="T1375">
        <f t="shared" si="43"/>
        <v>1</v>
      </c>
    </row>
    <row r="1376" spans="1:20" x14ac:dyDescent="0.2">
      <c r="A1376" t="s">
        <v>1631</v>
      </c>
      <c r="B1376">
        <f>IF(COUNTIFS('United Data'!$A$3:$A$3390,B$1,'United Data'!$C$3:$C$3390,$A1376,'United Data'!$B$3:$B$3390,"&lt;&gt;Off-street")&gt;0,1,0)</f>
        <v>0</v>
      </c>
      <c r="C1376">
        <f>IF(COUNTIFS('United Data'!$A$3:$A$3390,C$1,'United Data'!$C$3:$C$3390,$A1376,'United Data'!$B$3:$B$3390,"&lt;&gt;Off-street")&gt;0,1,0)</f>
        <v>0</v>
      </c>
      <c r="D1376">
        <f>IF(COUNTIFS('United Data'!$A$3:$A$3390,D$1,'United Data'!$C$3:$C$3390,$A1376,'United Data'!$B$3:$B$3390,"&lt;&gt;Off-street")&gt;0,1,0)</f>
        <v>0</v>
      </c>
      <c r="E1376">
        <f>IF(COUNTIFS('United Data'!$A$3:$A$3390,E$1,'United Data'!$C$3:$C$3390,$A1376,'United Data'!$B$3:$B$3390,"&lt;&gt;Off-street")&gt;0,1,0)</f>
        <v>1</v>
      </c>
      <c r="F1376">
        <f>IF(COUNTIFS('United Data'!$A$3:$A$3390,F$1,'United Data'!$C$3:$C$3390,$A1376,'United Data'!$B$3:$B$3390,"&lt;&gt;Off-street")&gt;0,1,0)</f>
        <v>1</v>
      </c>
      <c r="G1376">
        <f>IF(COUNTIFS('United Data'!$A$3:$A$3390,G$1,'United Data'!$C$3:$C$3390,$A1376,'United Data'!$B$3:$B$3390,"&lt;&gt;Off-street")&gt;0,1,0)</f>
        <v>1</v>
      </c>
      <c r="H1376">
        <f>IF(COUNTIFS('United Data'!$A$3:$A$3390,H$1,'United Data'!$C$3:$C$3390,$A1376,'United Data'!$B$3:$B$3390,"&lt;&gt;Off-street")&gt;0,1,0)</f>
        <v>0</v>
      </c>
      <c r="I1376">
        <f>IF(COUNTIFS('United Data'!$A$3:$A$3390,I$1,'United Data'!$C$3:$C$3390,$A1376,'United Data'!$B$3:$B$3390,"&lt;&gt;Off-street")&gt;0,1,0)</f>
        <v>0</v>
      </c>
      <c r="J1376">
        <f>IF(COUNTIFS('United Data'!$A$3:$A$3390,J$1,'United Data'!$C$3:$C$3390,$A1376,'United Data'!$B$3:$B$3390,"&lt;&gt;Off-street")&gt;0,1,0)</f>
        <v>0</v>
      </c>
      <c r="K1376">
        <f>IF(COUNTIFS('United Data'!$A$3:$A$3390,K$1,'United Data'!$C$3:$C$3390,$A1376,'United Data'!$B$3:$B$3390,"&lt;&gt;Off-street")&gt;0,1,0)</f>
        <v>0</v>
      </c>
      <c r="L1376">
        <f>IF(COUNTIFS('United Data'!$A$3:$A$3390,L$1,'United Data'!$C$3:$C$3390,$A1376,'United Data'!$B$3:$B$3390,"&lt;&gt;Off-street")&gt;0,1,0)</f>
        <v>0</v>
      </c>
      <c r="M1376">
        <f>IF(COUNTIFS('United Data'!$A$3:$A$3390,M$1,'United Data'!$C$3:$C$3390,$A1376,'United Data'!$B$3:$B$3390,"&lt;&gt;Off-street")&gt;0,1,0)</f>
        <v>0</v>
      </c>
      <c r="N1376">
        <f>IF(COUNTIFS('United Data'!$A$3:$A$3390,N$1,'United Data'!$C$3:$C$3390,$A1376,'United Data'!$B$3:$B$3390,"&lt;&gt;Off-street")&gt;0,1,0)</f>
        <v>0</v>
      </c>
      <c r="O1376">
        <f>IF(COUNTIFS('United Data'!$A$3:$A$3390,O$1,'United Data'!$C$3:$C$3390,$A1376,'United Data'!$B$3:$B$3390,"&lt;&gt;Off-street")&gt;0,1,0)</f>
        <v>0</v>
      </c>
      <c r="P1376">
        <f>IF(COUNTIFS('United Data'!$A$3:$A$3390,P$1,'United Data'!$C$3:$C$3390,$A1376,'United Data'!$B$3:$B$3390,"&lt;&gt;Off-street")&gt;0,1,0)</f>
        <v>0</v>
      </c>
      <c r="Q1376">
        <f>IF(COUNTIFS('United Data'!$A$3:$A$3390,Q$1,'United Data'!$C$3:$C$3390,$A1376,'United Data'!$B$3:$B$3390,"&lt;&gt;Off-street")&gt;0,1,0)</f>
        <v>0</v>
      </c>
      <c r="R1376">
        <f>IF(COUNTIFS('United Data'!$A$3:$A$3390,R$1,'United Data'!$C$3:$C$3390,$A1376,'United Data'!$B$3:$B$3390,"&lt;&gt;Off-street")&gt;0,1,0)</f>
        <v>0</v>
      </c>
      <c r="S1376">
        <f t="shared" si="42"/>
        <v>3</v>
      </c>
      <c r="T1376">
        <f t="shared" si="43"/>
        <v>1</v>
      </c>
    </row>
    <row r="1377" spans="1:20" x14ac:dyDescent="0.2">
      <c r="A1377" t="s">
        <v>1633</v>
      </c>
      <c r="B1377">
        <f>IF(COUNTIFS('United Data'!$A$3:$A$3390,B$1,'United Data'!$C$3:$C$3390,$A1377,'United Data'!$B$3:$B$3390,"&lt;&gt;Off-street")&gt;0,1,0)</f>
        <v>0</v>
      </c>
      <c r="C1377">
        <f>IF(COUNTIFS('United Data'!$A$3:$A$3390,C$1,'United Data'!$C$3:$C$3390,$A1377,'United Data'!$B$3:$B$3390,"&lt;&gt;Off-street")&gt;0,1,0)</f>
        <v>0</v>
      </c>
      <c r="D1377">
        <f>IF(COUNTIFS('United Data'!$A$3:$A$3390,D$1,'United Data'!$C$3:$C$3390,$A1377,'United Data'!$B$3:$B$3390,"&lt;&gt;Off-street")&gt;0,1,0)</f>
        <v>0</v>
      </c>
      <c r="E1377">
        <f>IF(COUNTIFS('United Data'!$A$3:$A$3390,E$1,'United Data'!$C$3:$C$3390,$A1377,'United Data'!$B$3:$B$3390,"&lt;&gt;Off-street")&gt;0,1,0)</f>
        <v>1</v>
      </c>
      <c r="F1377">
        <f>IF(COUNTIFS('United Data'!$A$3:$A$3390,F$1,'United Data'!$C$3:$C$3390,$A1377,'United Data'!$B$3:$B$3390,"&lt;&gt;Off-street")&gt;0,1,0)</f>
        <v>1</v>
      </c>
      <c r="G1377">
        <f>IF(COUNTIFS('United Data'!$A$3:$A$3390,G$1,'United Data'!$C$3:$C$3390,$A1377,'United Data'!$B$3:$B$3390,"&lt;&gt;Off-street")&gt;0,1,0)</f>
        <v>0</v>
      </c>
      <c r="H1377">
        <f>IF(COUNTIFS('United Data'!$A$3:$A$3390,H$1,'United Data'!$C$3:$C$3390,$A1377,'United Data'!$B$3:$B$3390,"&lt;&gt;Off-street")&gt;0,1,0)</f>
        <v>0</v>
      </c>
      <c r="I1377">
        <f>IF(COUNTIFS('United Data'!$A$3:$A$3390,I$1,'United Data'!$C$3:$C$3390,$A1377,'United Data'!$B$3:$B$3390,"&lt;&gt;Off-street")&gt;0,1,0)</f>
        <v>0</v>
      </c>
      <c r="J1377">
        <f>IF(COUNTIFS('United Data'!$A$3:$A$3390,J$1,'United Data'!$C$3:$C$3390,$A1377,'United Data'!$B$3:$B$3390,"&lt;&gt;Off-street")&gt;0,1,0)</f>
        <v>0</v>
      </c>
      <c r="K1377">
        <f>IF(COUNTIFS('United Data'!$A$3:$A$3390,K$1,'United Data'!$C$3:$C$3390,$A1377,'United Data'!$B$3:$B$3390,"&lt;&gt;Off-street")&gt;0,1,0)</f>
        <v>0</v>
      </c>
      <c r="L1377">
        <f>IF(COUNTIFS('United Data'!$A$3:$A$3390,L$1,'United Data'!$C$3:$C$3390,$A1377,'United Data'!$B$3:$B$3390,"&lt;&gt;Off-street")&gt;0,1,0)</f>
        <v>0</v>
      </c>
      <c r="M1377">
        <f>IF(COUNTIFS('United Data'!$A$3:$A$3390,M$1,'United Data'!$C$3:$C$3390,$A1377,'United Data'!$B$3:$B$3390,"&lt;&gt;Off-street")&gt;0,1,0)</f>
        <v>0</v>
      </c>
      <c r="N1377">
        <f>IF(COUNTIFS('United Data'!$A$3:$A$3390,N$1,'United Data'!$C$3:$C$3390,$A1377,'United Data'!$B$3:$B$3390,"&lt;&gt;Off-street")&gt;0,1,0)</f>
        <v>0</v>
      </c>
      <c r="O1377">
        <f>IF(COUNTIFS('United Data'!$A$3:$A$3390,O$1,'United Data'!$C$3:$C$3390,$A1377,'United Data'!$B$3:$B$3390,"&lt;&gt;Off-street")&gt;0,1,0)</f>
        <v>0</v>
      </c>
      <c r="P1377">
        <f>IF(COUNTIFS('United Data'!$A$3:$A$3390,P$1,'United Data'!$C$3:$C$3390,$A1377,'United Data'!$B$3:$B$3390,"&lt;&gt;Off-street")&gt;0,1,0)</f>
        <v>0</v>
      </c>
      <c r="Q1377">
        <f>IF(COUNTIFS('United Data'!$A$3:$A$3390,Q$1,'United Data'!$C$3:$C$3390,$A1377,'United Data'!$B$3:$B$3390,"&lt;&gt;Off-street")&gt;0,1,0)</f>
        <v>0</v>
      </c>
      <c r="R1377">
        <f>IF(COUNTIFS('United Data'!$A$3:$A$3390,R$1,'United Data'!$C$3:$C$3390,$A1377,'United Data'!$B$3:$B$3390,"&lt;&gt;Off-street")&gt;0,1,0)</f>
        <v>0</v>
      </c>
      <c r="S1377">
        <f t="shared" si="42"/>
        <v>2</v>
      </c>
      <c r="T1377">
        <f t="shared" si="43"/>
        <v>1</v>
      </c>
    </row>
    <row r="1378" spans="1:20" x14ac:dyDescent="0.2">
      <c r="A1378" t="s">
        <v>1634</v>
      </c>
      <c r="B1378">
        <f>IF(COUNTIFS('United Data'!$A$3:$A$3390,B$1,'United Data'!$C$3:$C$3390,$A1378,'United Data'!$B$3:$B$3390,"&lt;&gt;Off-street")&gt;0,1,0)</f>
        <v>0</v>
      </c>
      <c r="C1378">
        <f>IF(COUNTIFS('United Data'!$A$3:$A$3390,C$1,'United Data'!$C$3:$C$3390,$A1378,'United Data'!$B$3:$B$3390,"&lt;&gt;Off-street")&gt;0,1,0)</f>
        <v>0</v>
      </c>
      <c r="D1378">
        <f>IF(COUNTIFS('United Data'!$A$3:$A$3390,D$1,'United Data'!$C$3:$C$3390,$A1378,'United Data'!$B$3:$B$3390,"&lt;&gt;Off-street")&gt;0,1,0)</f>
        <v>0</v>
      </c>
      <c r="E1378">
        <f>IF(COUNTIFS('United Data'!$A$3:$A$3390,E$1,'United Data'!$C$3:$C$3390,$A1378,'United Data'!$B$3:$B$3390,"&lt;&gt;Off-street")&gt;0,1,0)</f>
        <v>1</v>
      </c>
      <c r="F1378">
        <f>IF(COUNTIFS('United Data'!$A$3:$A$3390,F$1,'United Data'!$C$3:$C$3390,$A1378,'United Data'!$B$3:$B$3390,"&lt;&gt;Off-street")&gt;0,1,0)</f>
        <v>1</v>
      </c>
      <c r="G1378">
        <f>IF(COUNTIFS('United Data'!$A$3:$A$3390,G$1,'United Data'!$C$3:$C$3390,$A1378,'United Data'!$B$3:$B$3390,"&lt;&gt;Off-street")&gt;0,1,0)</f>
        <v>0</v>
      </c>
      <c r="H1378">
        <f>IF(COUNTIFS('United Data'!$A$3:$A$3390,H$1,'United Data'!$C$3:$C$3390,$A1378,'United Data'!$B$3:$B$3390,"&lt;&gt;Off-street")&gt;0,1,0)</f>
        <v>1</v>
      </c>
      <c r="I1378">
        <f>IF(COUNTIFS('United Data'!$A$3:$A$3390,I$1,'United Data'!$C$3:$C$3390,$A1378,'United Data'!$B$3:$B$3390,"&lt;&gt;Off-street")&gt;0,1,0)</f>
        <v>1</v>
      </c>
      <c r="J1378">
        <f>IF(COUNTIFS('United Data'!$A$3:$A$3390,J$1,'United Data'!$C$3:$C$3390,$A1378,'United Data'!$B$3:$B$3390,"&lt;&gt;Off-street")&gt;0,1,0)</f>
        <v>1</v>
      </c>
      <c r="K1378">
        <f>IF(COUNTIFS('United Data'!$A$3:$A$3390,K$1,'United Data'!$C$3:$C$3390,$A1378,'United Data'!$B$3:$B$3390,"&lt;&gt;Off-street")&gt;0,1,0)</f>
        <v>1</v>
      </c>
      <c r="L1378">
        <f>IF(COUNTIFS('United Data'!$A$3:$A$3390,L$1,'United Data'!$C$3:$C$3390,$A1378,'United Data'!$B$3:$B$3390,"&lt;&gt;Off-street")&gt;0,1,0)</f>
        <v>1</v>
      </c>
      <c r="M1378">
        <f>IF(COUNTIFS('United Data'!$A$3:$A$3390,M$1,'United Data'!$C$3:$C$3390,$A1378,'United Data'!$B$3:$B$3390,"&lt;&gt;Off-street")&gt;0,1,0)</f>
        <v>0</v>
      </c>
      <c r="N1378">
        <f>IF(COUNTIFS('United Data'!$A$3:$A$3390,N$1,'United Data'!$C$3:$C$3390,$A1378,'United Data'!$B$3:$B$3390,"&lt;&gt;Off-street")&gt;0,1,0)</f>
        <v>0</v>
      </c>
      <c r="O1378">
        <f>IF(COUNTIFS('United Data'!$A$3:$A$3390,O$1,'United Data'!$C$3:$C$3390,$A1378,'United Data'!$B$3:$B$3390,"&lt;&gt;Off-street")&gt;0,1,0)</f>
        <v>0</v>
      </c>
      <c r="P1378">
        <f>IF(COUNTIFS('United Data'!$A$3:$A$3390,P$1,'United Data'!$C$3:$C$3390,$A1378,'United Data'!$B$3:$B$3390,"&lt;&gt;Off-street")&gt;0,1,0)</f>
        <v>0</v>
      </c>
      <c r="Q1378">
        <f>IF(COUNTIFS('United Data'!$A$3:$A$3390,Q$1,'United Data'!$C$3:$C$3390,$A1378,'United Data'!$B$3:$B$3390,"&lt;&gt;Off-street")&gt;0,1,0)</f>
        <v>0</v>
      </c>
      <c r="R1378">
        <f>IF(COUNTIFS('United Data'!$A$3:$A$3390,R$1,'United Data'!$C$3:$C$3390,$A1378,'United Data'!$B$3:$B$3390,"&lt;&gt;Off-street")&gt;0,1,0)</f>
        <v>0</v>
      </c>
      <c r="S1378">
        <f t="shared" si="42"/>
        <v>7</v>
      </c>
      <c r="T1378">
        <f t="shared" si="43"/>
        <v>2</v>
      </c>
    </row>
    <row r="1379" spans="1:20" x14ac:dyDescent="0.2">
      <c r="A1379" t="s">
        <v>1635</v>
      </c>
      <c r="B1379">
        <f>IF(COUNTIFS('United Data'!$A$3:$A$3390,B$1,'United Data'!$C$3:$C$3390,$A1379,'United Data'!$B$3:$B$3390,"&lt;&gt;Off-street")&gt;0,1,0)</f>
        <v>0</v>
      </c>
      <c r="C1379">
        <f>IF(COUNTIFS('United Data'!$A$3:$A$3390,C$1,'United Data'!$C$3:$C$3390,$A1379,'United Data'!$B$3:$B$3390,"&lt;&gt;Off-street")&gt;0,1,0)</f>
        <v>0</v>
      </c>
      <c r="D1379">
        <f>IF(COUNTIFS('United Data'!$A$3:$A$3390,D$1,'United Data'!$C$3:$C$3390,$A1379,'United Data'!$B$3:$B$3390,"&lt;&gt;Off-street")&gt;0,1,0)</f>
        <v>0</v>
      </c>
      <c r="E1379">
        <f>IF(COUNTIFS('United Data'!$A$3:$A$3390,E$1,'United Data'!$C$3:$C$3390,$A1379,'United Data'!$B$3:$B$3390,"&lt;&gt;Off-street")&gt;0,1,0)</f>
        <v>1</v>
      </c>
      <c r="F1379">
        <f>IF(COUNTIFS('United Data'!$A$3:$A$3390,F$1,'United Data'!$C$3:$C$3390,$A1379,'United Data'!$B$3:$B$3390,"&lt;&gt;Off-street")&gt;0,1,0)</f>
        <v>1</v>
      </c>
      <c r="G1379">
        <f>IF(COUNTIFS('United Data'!$A$3:$A$3390,G$1,'United Data'!$C$3:$C$3390,$A1379,'United Data'!$B$3:$B$3390,"&lt;&gt;Off-street")&gt;0,1,0)</f>
        <v>0</v>
      </c>
      <c r="H1379">
        <f>IF(COUNTIFS('United Data'!$A$3:$A$3390,H$1,'United Data'!$C$3:$C$3390,$A1379,'United Data'!$B$3:$B$3390,"&lt;&gt;Off-street")&gt;0,1,0)</f>
        <v>0</v>
      </c>
      <c r="I1379">
        <f>IF(COUNTIFS('United Data'!$A$3:$A$3390,I$1,'United Data'!$C$3:$C$3390,$A1379,'United Data'!$B$3:$B$3390,"&lt;&gt;Off-street")&gt;0,1,0)</f>
        <v>0</v>
      </c>
      <c r="J1379">
        <f>IF(COUNTIFS('United Data'!$A$3:$A$3390,J$1,'United Data'!$C$3:$C$3390,$A1379,'United Data'!$B$3:$B$3390,"&lt;&gt;Off-street")&gt;0,1,0)</f>
        <v>0</v>
      </c>
      <c r="K1379">
        <f>IF(COUNTIFS('United Data'!$A$3:$A$3390,K$1,'United Data'!$C$3:$C$3390,$A1379,'United Data'!$B$3:$B$3390,"&lt;&gt;Off-street")&gt;0,1,0)</f>
        <v>0</v>
      </c>
      <c r="L1379">
        <f>IF(COUNTIFS('United Data'!$A$3:$A$3390,L$1,'United Data'!$C$3:$C$3390,$A1379,'United Data'!$B$3:$B$3390,"&lt;&gt;Off-street")&gt;0,1,0)</f>
        <v>0</v>
      </c>
      <c r="M1379">
        <f>IF(COUNTIFS('United Data'!$A$3:$A$3390,M$1,'United Data'!$C$3:$C$3390,$A1379,'United Data'!$B$3:$B$3390,"&lt;&gt;Off-street")&gt;0,1,0)</f>
        <v>0</v>
      </c>
      <c r="N1379">
        <f>IF(COUNTIFS('United Data'!$A$3:$A$3390,N$1,'United Data'!$C$3:$C$3390,$A1379,'United Data'!$B$3:$B$3390,"&lt;&gt;Off-street")&gt;0,1,0)</f>
        <v>0</v>
      </c>
      <c r="O1379">
        <f>IF(COUNTIFS('United Data'!$A$3:$A$3390,O$1,'United Data'!$C$3:$C$3390,$A1379,'United Data'!$B$3:$B$3390,"&lt;&gt;Off-street")&gt;0,1,0)</f>
        <v>0</v>
      </c>
      <c r="P1379">
        <f>IF(COUNTIFS('United Data'!$A$3:$A$3390,P$1,'United Data'!$C$3:$C$3390,$A1379,'United Data'!$B$3:$B$3390,"&lt;&gt;Off-street")&gt;0,1,0)</f>
        <v>0</v>
      </c>
      <c r="Q1379">
        <f>IF(COUNTIFS('United Data'!$A$3:$A$3390,Q$1,'United Data'!$C$3:$C$3390,$A1379,'United Data'!$B$3:$B$3390,"&lt;&gt;Off-street")&gt;0,1,0)</f>
        <v>0</v>
      </c>
      <c r="R1379">
        <f>IF(COUNTIFS('United Data'!$A$3:$A$3390,R$1,'United Data'!$C$3:$C$3390,$A1379,'United Data'!$B$3:$B$3390,"&lt;&gt;Off-street")&gt;0,1,0)</f>
        <v>0</v>
      </c>
      <c r="S1379">
        <f t="shared" si="42"/>
        <v>2</v>
      </c>
      <c r="T1379">
        <f t="shared" si="43"/>
        <v>1</v>
      </c>
    </row>
    <row r="1380" spans="1:20" x14ac:dyDescent="0.2">
      <c r="A1380" t="s">
        <v>1636</v>
      </c>
      <c r="B1380">
        <f>IF(COUNTIFS('United Data'!$A$3:$A$3390,B$1,'United Data'!$C$3:$C$3390,$A1380,'United Data'!$B$3:$B$3390,"&lt;&gt;Off-street")&gt;0,1,0)</f>
        <v>0</v>
      </c>
      <c r="C1380">
        <f>IF(COUNTIFS('United Data'!$A$3:$A$3390,C$1,'United Data'!$C$3:$C$3390,$A1380,'United Data'!$B$3:$B$3390,"&lt;&gt;Off-street")&gt;0,1,0)</f>
        <v>0</v>
      </c>
      <c r="D1380">
        <f>IF(COUNTIFS('United Data'!$A$3:$A$3390,D$1,'United Data'!$C$3:$C$3390,$A1380,'United Data'!$B$3:$B$3390,"&lt;&gt;Off-street")&gt;0,1,0)</f>
        <v>0</v>
      </c>
      <c r="E1380">
        <f>IF(COUNTIFS('United Data'!$A$3:$A$3390,E$1,'United Data'!$C$3:$C$3390,$A1380,'United Data'!$B$3:$B$3390,"&lt;&gt;Off-street")&gt;0,1,0)</f>
        <v>1</v>
      </c>
      <c r="F1380">
        <f>IF(COUNTIFS('United Data'!$A$3:$A$3390,F$1,'United Data'!$C$3:$C$3390,$A1380,'United Data'!$B$3:$B$3390,"&lt;&gt;Off-street")&gt;0,1,0)</f>
        <v>1</v>
      </c>
      <c r="G1380">
        <f>IF(COUNTIFS('United Data'!$A$3:$A$3390,G$1,'United Data'!$C$3:$C$3390,$A1380,'United Data'!$B$3:$B$3390,"&lt;&gt;Off-street")&gt;0,1,0)</f>
        <v>1</v>
      </c>
      <c r="H1380">
        <f>IF(COUNTIFS('United Data'!$A$3:$A$3390,H$1,'United Data'!$C$3:$C$3390,$A1380,'United Data'!$B$3:$B$3390,"&lt;&gt;Off-street")&gt;0,1,0)</f>
        <v>1</v>
      </c>
      <c r="I1380">
        <f>IF(COUNTIFS('United Data'!$A$3:$A$3390,I$1,'United Data'!$C$3:$C$3390,$A1380,'United Data'!$B$3:$B$3390,"&lt;&gt;Off-street")&gt;0,1,0)</f>
        <v>0</v>
      </c>
      <c r="J1380">
        <f>IF(COUNTIFS('United Data'!$A$3:$A$3390,J$1,'United Data'!$C$3:$C$3390,$A1380,'United Data'!$B$3:$B$3390,"&lt;&gt;Off-street")&gt;0,1,0)</f>
        <v>0</v>
      </c>
      <c r="K1380">
        <f>IF(COUNTIFS('United Data'!$A$3:$A$3390,K$1,'United Data'!$C$3:$C$3390,$A1380,'United Data'!$B$3:$B$3390,"&lt;&gt;Off-street")&gt;0,1,0)</f>
        <v>1</v>
      </c>
      <c r="L1380">
        <f>IF(COUNTIFS('United Data'!$A$3:$A$3390,L$1,'United Data'!$C$3:$C$3390,$A1380,'United Data'!$B$3:$B$3390,"&lt;&gt;Off-street")&gt;0,1,0)</f>
        <v>1</v>
      </c>
      <c r="M1380">
        <f>IF(COUNTIFS('United Data'!$A$3:$A$3390,M$1,'United Data'!$C$3:$C$3390,$A1380,'United Data'!$B$3:$B$3390,"&lt;&gt;Off-street")&gt;0,1,0)</f>
        <v>0</v>
      </c>
      <c r="N1380">
        <f>IF(COUNTIFS('United Data'!$A$3:$A$3390,N$1,'United Data'!$C$3:$C$3390,$A1380,'United Data'!$B$3:$B$3390,"&lt;&gt;Off-street")&gt;0,1,0)</f>
        <v>0</v>
      </c>
      <c r="O1380">
        <f>IF(COUNTIFS('United Data'!$A$3:$A$3390,O$1,'United Data'!$C$3:$C$3390,$A1380,'United Data'!$B$3:$B$3390,"&lt;&gt;Off-street")&gt;0,1,0)</f>
        <v>0</v>
      </c>
      <c r="P1380">
        <f>IF(COUNTIFS('United Data'!$A$3:$A$3390,P$1,'United Data'!$C$3:$C$3390,$A1380,'United Data'!$B$3:$B$3390,"&lt;&gt;Off-street")&gt;0,1,0)</f>
        <v>0</v>
      </c>
      <c r="Q1380">
        <f>IF(COUNTIFS('United Data'!$A$3:$A$3390,Q$1,'United Data'!$C$3:$C$3390,$A1380,'United Data'!$B$3:$B$3390,"&lt;&gt;Off-street")&gt;0,1,0)</f>
        <v>0</v>
      </c>
      <c r="R1380">
        <f>IF(COUNTIFS('United Data'!$A$3:$A$3390,R$1,'United Data'!$C$3:$C$3390,$A1380,'United Data'!$B$3:$B$3390,"&lt;&gt;Off-street")&gt;0,1,0)</f>
        <v>0</v>
      </c>
      <c r="S1380">
        <f t="shared" si="42"/>
        <v>6</v>
      </c>
      <c r="T1380">
        <f t="shared" si="43"/>
        <v>2</v>
      </c>
    </row>
    <row r="1381" spans="1:20" x14ac:dyDescent="0.2">
      <c r="A1381" t="s">
        <v>1638</v>
      </c>
      <c r="B1381">
        <f>IF(COUNTIFS('United Data'!$A$3:$A$3390,B$1,'United Data'!$C$3:$C$3390,$A1381,'United Data'!$B$3:$B$3390,"&lt;&gt;Off-street")&gt;0,1,0)</f>
        <v>0</v>
      </c>
      <c r="C1381">
        <f>IF(COUNTIFS('United Data'!$A$3:$A$3390,C$1,'United Data'!$C$3:$C$3390,$A1381,'United Data'!$B$3:$B$3390,"&lt;&gt;Off-street")&gt;0,1,0)</f>
        <v>0</v>
      </c>
      <c r="D1381">
        <f>IF(COUNTIFS('United Data'!$A$3:$A$3390,D$1,'United Data'!$C$3:$C$3390,$A1381,'United Data'!$B$3:$B$3390,"&lt;&gt;Off-street")&gt;0,1,0)</f>
        <v>0</v>
      </c>
      <c r="E1381">
        <f>IF(COUNTIFS('United Data'!$A$3:$A$3390,E$1,'United Data'!$C$3:$C$3390,$A1381,'United Data'!$B$3:$B$3390,"&lt;&gt;Off-street")&gt;0,1,0)</f>
        <v>0</v>
      </c>
      <c r="F1381">
        <f>IF(COUNTIFS('United Data'!$A$3:$A$3390,F$1,'United Data'!$C$3:$C$3390,$A1381,'United Data'!$B$3:$B$3390,"&lt;&gt;Off-street")&gt;0,1,0)</f>
        <v>1</v>
      </c>
      <c r="G1381">
        <f>IF(COUNTIFS('United Data'!$A$3:$A$3390,G$1,'United Data'!$C$3:$C$3390,$A1381,'United Data'!$B$3:$B$3390,"&lt;&gt;Off-street")&gt;0,1,0)</f>
        <v>0</v>
      </c>
      <c r="H1381">
        <f>IF(COUNTIFS('United Data'!$A$3:$A$3390,H$1,'United Data'!$C$3:$C$3390,$A1381,'United Data'!$B$3:$B$3390,"&lt;&gt;Off-street")&gt;0,1,0)</f>
        <v>0</v>
      </c>
      <c r="I1381">
        <f>IF(COUNTIFS('United Data'!$A$3:$A$3390,I$1,'United Data'!$C$3:$C$3390,$A1381,'United Data'!$B$3:$B$3390,"&lt;&gt;Off-street")&gt;0,1,0)</f>
        <v>0</v>
      </c>
      <c r="J1381">
        <f>IF(COUNTIFS('United Data'!$A$3:$A$3390,J$1,'United Data'!$C$3:$C$3390,$A1381,'United Data'!$B$3:$B$3390,"&lt;&gt;Off-street")&gt;0,1,0)</f>
        <v>0</v>
      </c>
      <c r="K1381">
        <f>IF(COUNTIFS('United Data'!$A$3:$A$3390,K$1,'United Data'!$C$3:$C$3390,$A1381,'United Data'!$B$3:$B$3390,"&lt;&gt;Off-street")&gt;0,1,0)</f>
        <v>0</v>
      </c>
      <c r="L1381">
        <f>IF(COUNTIFS('United Data'!$A$3:$A$3390,L$1,'United Data'!$C$3:$C$3390,$A1381,'United Data'!$B$3:$B$3390,"&lt;&gt;Off-street")&gt;0,1,0)</f>
        <v>0</v>
      </c>
      <c r="M1381">
        <f>IF(COUNTIFS('United Data'!$A$3:$A$3390,M$1,'United Data'!$C$3:$C$3390,$A1381,'United Data'!$B$3:$B$3390,"&lt;&gt;Off-street")&gt;0,1,0)</f>
        <v>0</v>
      </c>
      <c r="N1381">
        <f>IF(COUNTIFS('United Data'!$A$3:$A$3390,N$1,'United Data'!$C$3:$C$3390,$A1381,'United Data'!$B$3:$B$3390,"&lt;&gt;Off-street")&gt;0,1,0)</f>
        <v>0</v>
      </c>
      <c r="O1381">
        <f>IF(COUNTIFS('United Data'!$A$3:$A$3390,O$1,'United Data'!$C$3:$C$3390,$A1381,'United Data'!$B$3:$B$3390,"&lt;&gt;Off-street")&gt;0,1,0)</f>
        <v>0</v>
      </c>
      <c r="P1381">
        <f>IF(COUNTIFS('United Data'!$A$3:$A$3390,P$1,'United Data'!$C$3:$C$3390,$A1381,'United Data'!$B$3:$B$3390,"&lt;&gt;Off-street")&gt;0,1,0)</f>
        <v>0</v>
      </c>
      <c r="Q1381">
        <f>IF(COUNTIFS('United Data'!$A$3:$A$3390,Q$1,'United Data'!$C$3:$C$3390,$A1381,'United Data'!$B$3:$B$3390,"&lt;&gt;Off-street")&gt;0,1,0)</f>
        <v>0</v>
      </c>
      <c r="R1381">
        <f>IF(COUNTIFS('United Data'!$A$3:$A$3390,R$1,'United Data'!$C$3:$C$3390,$A1381,'United Data'!$B$3:$B$3390,"&lt;&gt;Off-street")&gt;0,1,0)</f>
        <v>0</v>
      </c>
      <c r="S1381">
        <f t="shared" si="42"/>
        <v>1</v>
      </c>
      <c r="T1381">
        <f t="shared" si="43"/>
        <v>1</v>
      </c>
    </row>
    <row r="1382" spans="1:20" x14ac:dyDescent="0.2">
      <c r="A1382" t="s">
        <v>1639</v>
      </c>
      <c r="B1382">
        <f>IF(COUNTIFS('United Data'!$A$3:$A$3390,B$1,'United Data'!$C$3:$C$3390,$A1382,'United Data'!$B$3:$B$3390,"&lt;&gt;Off-street")&gt;0,1,0)</f>
        <v>0</v>
      </c>
      <c r="C1382">
        <f>IF(COUNTIFS('United Data'!$A$3:$A$3390,C$1,'United Data'!$C$3:$C$3390,$A1382,'United Data'!$B$3:$B$3390,"&lt;&gt;Off-street")&gt;0,1,0)</f>
        <v>0</v>
      </c>
      <c r="D1382">
        <f>IF(COUNTIFS('United Data'!$A$3:$A$3390,D$1,'United Data'!$C$3:$C$3390,$A1382,'United Data'!$B$3:$B$3390,"&lt;&gt;Off-street")&gt;0,1,0)</f>
        <v>0</v>
      </c>
      <c r="E1382">
        <f>IF(COUNTIFS('United Data'!$A$3:$A$3390,E$1,'United Data'!$C$3:$C$3390,$A1382,'United Data'!$B$3:$B$3390,"&lt;&gt;Off-street")&gt;0,1,0)</f>
        <v>0</v>
      </c>
      <c r="F1382">
        <f>IF(COUNTIFS('United Data'!$A$3:$A$3390,F$1,'United Data'!$C$3:$C$3390,$A1382,'United Data'!$B$3:$B$3390,"&lt;&gt;Off-street")&gt;0,1,0)</f>
        <v>1</v>
      </c>
      <c r="G1382">
        <f>IF(COUNTIFS('United Data'!$A$3:$A$3390,G$1,'United Data'!$C$3:$C$3390,$A1382,'United Data'!$B$3:$B$3390,"&lt;&gt;Off-street")&gt;0,1,0)</f>
        <v>0</v>
      </c>
      <c r="H1382">
        <f>IF(COUNTIFS('United Data'!$A$3:$A$3390,H$1,'United Data'!$C$3:$C$3390,$A1382,'United Data'!$B$3:$B$3390,"&lt;&gt;Off-street")&gt;0,1,0)</f>
        <v>0</v>
      </c>
      <c r="I1382">
        <f>IF(COUNTIFS('United Data'!$A$3:$A$3390,I$1,'United Data'!$C$3:$C$3390,$A1382,'United Data'!$B$3:$B$3390,"&lt;&gt;Off-street")&gt;0,1,0)</f>
        <v>0</v>
      </c>
      <c r="J1382">
        <f>IF(COUNTIFS('United Data'!$A$3:$A$3390,J$1,'United Data'!$C$3:$C$3390,$A1382,'United Data'!$B$3:$B$3390,"&lt;&gt;Off-street")&gt;0,1,0)</f>
        <v>0</v>
      </c>
      <c r="K1382">
        <f>IF(COUNTIFS('United Data'!$A$3:$A$3390,K$1,'United Data'!$C$3:$C$3390,$A1382,'United Data'!$B$3:$B$3390,"&lt;&gt;Off-street")&gt;0,1,0)</f>
        <v>0</v>
      </c>
      <c r="L1382">
        <f>IF(COUNTIFS('United Data'!$A$3:$A$3390,L$1,'United Data'!$C$3:$C$3390,$A1382,'United Data'!$B$3:$B$3390,"&lt;&gt;Off-street")&gt;0,1,0)</f>
        <v>0</v>
      </c>
      <c r="M1382">
        <f>IF(COUNTIFS('United Data'!$A$3:$A$3390,M$1,'United Data'!$C$3:$C$3390,$A1382,'United Data'!$B$3:$B$3390,"&lt;&gt;Off-street")&gt;0,1,0)</f>
        <v>0</v>
      </c>
      <c r="N1382">
        <f>IF(COUNTIFS('United Data'!$A$3:$A$3390,N$1,'United Data'!$C$3:$C$3390,$A1382,'United Data'!$B$3:$B$3390,"&lt;&gt;Off-street")&gt;0,1,0)</f>
        <v>0</v>
      </c>
      <c r="O1382">
        <f>IF(COUNTIFS('United Data'!$A$3:$A$3390,O$1,'United Data'!$C$3:$C$3390,$A1382,'United Data'!$B$3:$B$3390,"&lt;&gt;Off-street")&gt;0,1,0)</f>
        <v>0</v>
      </c>
      <c r="P1382">
        <f>IF(COUNTIFS('United Data'!$A$3:$A$3390,P$1,'United Data'!$C$3:$C$3390,$A1382,'United Data'!$B$3:$B$3390,"&lt;&gt;Off-street")&gt;0,1,0)</f>
        <v>0</v>
      </c>
      <c r="Q1382">
        <f>IF(COUNTIFS('United Data'!$A$3:$A$3390,Q$1,'United Data'!$C$3:$C$3390,$A1382,'United Data'!$B$3:$B$3390,"&lt;&gt;Off-street")&gt;0,1,0)</f>
        <v>0</v>
      </c>
      <c r="R1382">
        <f>IF(COUNTIFS('United Data'!$A$3:$A$3390,R$1,'United Data'!$C$3:$C$3390,$A1382,'United Data'!$B$3:$B$3390,"&lt;&gt;Off-street")&gt;0,1,0)</f>
        <v>0</v>
      </c>
      <c r="S1382">
        <f t="shared" si="42"/>
        <v>1</v>
      </c>
      <c r="T1382">
        <f t="shared" si="43"/>
        <v>1</v>
      </c>
    </row>
    <row r="1383" spans="1:20" x14ac:dyDescent="0.2">
      <c r="A1383" t="s">
        <v>1640</v>
      </c>
      <c r="B1383">
        <f>IF(COUNTIFS('United Data'!$A$3:$A$3390,B$1,'United Data'!$C$3:$C$3390,$A1383,'United Data'!$B$3:$B$3390,"&lt;&gt;Off-street")&gt;0,1,0)</f>
        <v>0</v>
      </c>
      <c r="C1383">
        <f>IF(COUNTIFS('United Data'!$A$3:$A$3390,C$1,'United Data'!$C$3:$C$3390,$A1383,'United Data'!$B$3:$B$3390,"&lt;&gt;Off-street")&gt;0,1,0)</f>
        <v>0</v>
      </c>
      <c r="D1383">
        <f>IF(COUNTIFS('United Data'!$A$3:$A$3390,D$1,'United Data'!$C$3:$C$3390,$A1383,'United Data'!$B$3:$B$3390,"&lt;&gt;Off-street")&gt;0,1,0)</f>
        <v>0</v>
      </c>
      <c r="E1383">
        <f>IF(COUNTIFS('United Data'!$A$3:$A$3390,E$1,'United Data'!$C$3:$C$3390,$A1383,'United Data'!$B$3:$B$3390,"&lt;&gt;Off-street")&gt;0,1,0)</f>
        <v>0</v>
      </c>
      <c r="F1383">
        <f>IF(COUNTIFS('United Data'!$A$3:$A$3390,F$1,'United Data'!$C$3:$C$3390,$A1383,'United Data'!$B$3:$B$3390,"&lt;&gt;Off-street")&gt;0,1,0)</f>
        <v>0</v>
      </c>
      <c r="G1383">
        <f>IF(COUNTIFS('United Data'!$A$3:$A$3390,G$1,'United Data'!$C$3:$C$3390,$A1383,'United Data'!$B$3:$B$3390,"&lt;&gt;Off-street")&gt;0,1,0)</f>
        <v>1</v>
      </c>
      <c r="H1383">
        <f>IF(COUNTIFS('United Data'!$A$3:$A$3390,H$1,'United Data'!$C$3:$C$3390,$A1383,'United Data'!$B$3:$B$3390,"&lt;&gt;Off-street")&gt;0,1,0)</f>
        <v>0</v>
      </c>
      <c r="I1383">
        <f>IF(COUNTIFS('United Data'!$A$3:$A$3390,I$1,'United Data'!$C$3:$C$3390,$A1383,'United Data'!$B$3:$B$3390,"&lt;&gt;Off-street")&gt;0,1,0)</f>
        <v>0</v>
      </c>
      <c r="J1383">
        <f>IF(COUNTIFS('United Data'!$A$3:$A$3390,J$1,'United Data'!$C$3:$C$3390,$A1383,'United Data'!$B$3:$B$3390,"&lt;&gt;Off-street")&gt;0,1,0)</f>
        <v>0</v>
      </c>
      <c r="K1383">
        <f>IF(COUNTIFS('United Data'!$A$3:$A$3390,K$1,'United Data'!$C$3:$C$3390,$A1383,'United Data'!$B$3:$B$3390,"&lt;&gt;Off-street")&gt;0,1,0)</f>
        <v>0</v>
      </c>
      <c r="L1383">
        <f>IF(COUNTIFS('United Data'!$A$3:$A$3390,L$1,'United Data'!$C$3:$C$3390,$A1383,'United Data'!$B$3:$B$3390,"&lt;&gt;Off-street")&gt;0,1,0)</f>
        <v>0</v>
      </c>
      <c r="M1383">
        <f>IF(COUNTIFS('United Data'!$A$3:$A$3390,M$1,'United Data'!$C$3:$C$3390,$A1383,'United Data'!$B$3:$B$3390,"&lt;&gt;Off-street")&gt;0,1,0)</f>
        <v>0</v>
      </c>
      <c r="N1383">
        <f>IF(COUNTIFS('United Data'!$A$3:$A$3390,N$1,'United Data'!$C$3:$C$3390,$A1383,'United Data'!$B$3:$B$3390,"&lt;&gt;Off-street")&gt;0,1,0)</f>
        <v>0</v>
      </c>
      <c r="O1383">
        <f>IF(COUNTIFS('United Data'!$A$3:$A$3390,O$1,'United Data'!$C$3:$C$3390,$A1383,'United Data'!$B$3:$B$3390,"&lt;&gt;Off-street")&gt;0,1,0)</f>
        <v>0</v>
      </c>
      <c r="P1383">
        <f>IF(COUNTIFS('United Data'!$A$3:$A$3390,P$1,'United Data'!$C$3:$C$3390,$A1383,'United Data'!$B$3:$B$3390,"&lt;&gt;Off-street")&gt;0,1,0)</f>
        <v>0</v>
      </c>
      <c r="Q1383">
        <f>IF(COUNTIFS('United Data'!$A$3:$A$3390,Q$1,'United Data'!$C$3:$C$3390,$A1383,'United Data'!$B$3:$B$3390,"&lt;&gt;Off-street")&gt;0,1,0)</f>
        <v>0</v>
      </c>
      <c r="R1383">
        <f>IF(COUNTIFS('United Data'!$A$3:$A$3390,R$1,'United Data'!$C$3:$C$3390,$A1383,'United Data'!$B$3:$B$3390,"&lt;&gt;Off-street")&gt;0,1,0)</f>
        <v>0</v>
      </c>
      <c r="S1383">
        <f t="shared" si="42"/>
        <v>1</v>
      </c>
      <c r="T1383">
        <f t="shared" si="43"/>
        <v>1</v>
      </c>
    </row>
    <row r="1384" spans="1:20" x14ac:dyDescent="0.2">
      <c r="A1384" t="s">
        <v>1641</v>
      </c>
      <c r="B1384">
        <f>IF(COUNTIFS('United Data'!$A$3:$A$3390,B$1,'United Data'!$C$3:$C$3390,$A1384,'United Data'!$B$3:$B$3390,"&lt;&gt;Off-street")&gt;0,1,0)</f>
        <v>0</v>
      </c>
      <c r="C1384">
        <f>IF(COUNTIFS('United Data'!$A$3:$A$3390,C$1,'United Data'!$C$3:$C$3390,$A1384,'United Data'!$B$3:$B$3390,"&lt;&gt;Off-street")&gt;0,1,0)</f>
        <v>0</v>
      </c>
      <c r="D1384">
        <f>IF(COUNTIFS('United Data'!$A$3:$A$3390,D$1,'United Data'!$C$3:$C$3390,$A1384,'United Data'!$B$3:$B$3390,"&lt;&gt;Off-street")&gt;0,1,0)</f>
        <v>0</v>
      </c>
      <c r="E1384">
        <f>IF(COUNTIFS('United Data'!$A$3:$A$3390,E$1,'United Data'!$C$3:$C$3390,$A1384,'United Data'!$B$3:$B$3390,"&lt;&gt;Off-street")&gt;0,1,0)</f>
        <v>0</v>
      </c>
      <c r="F1384">
        <f>IF(COUNTIFS('United Data'!$A$3:$A$3390,F$1,'United Data'!$C$3:$C$3390,$A1384,'United Data'!$B$3:$B$3390,"&lt;&gt;Off-street")&gt;0,1,0)</f>
        <v>0</v>
      </c>
      <c r="G1384">
        <f>IF(COUNTIFS('United Data'!$A$3:$A$3390,G$1,'United Data'!$C$3:$C$3390,$A1384,'United Data'!$B$3:$B$3390,"&lt;&gt;Off-street")&gt;0,1,0)</f>
        <v>0</v>
      </c>
      <c r="H1384">
        <f>IF(COUNTIFS('United Data'!$A$3:$A$3390,H$1,'United Data'!$C$3:$C$3390,$A1384,'United Data'!$B$3:$B$3390,"&lt;&gt;Off-street")&gt;0,1,0)</f>
        <v>1</v>
      </c>
      <c r="I1384">
        <f>IF(COUNTIFS('United Data'!$A$3:$A$3390,I$1,'United Data'!$C$3:$C$3390,$A1384,'United Data'!$B$3:$B$3390,"&lt;&gt;Off-street")&gt;0,1,0)</f>
        <v>0</v>
      </c>
      <c r="J1384">
        <f>IF(COUNTIFS('United Data'!$A$3:$A$3390,J$1,'United Data'!$C$3:$C$3390,$A1384,'United Data'!$B$3:$B$3390,"&lt;&gt;Off-street")&gt;0,1,0)</f>
        <v>0</v>
      </c>
      <c r="K1384">
        <f>IF(COUNTIFS('United Data'!$A$3:$A$3390,K$1,'United Data'!$C$3:$C$3390,$A1384,'United Data'!$B$3:$B$3390,"&lt;&gt;Off-street")&gt;0,1,0)</f>
        <v>0</v>
      </c>
      <c r="L1384">
        <f>IF(COUNTIFS('United Data'!$A$3:$A$3390,L$1,'United Data'!$C$3:$C$3390,$A1384,'United Data'!$B$3:$B$3390,"&lt;&gt;Off-street")&gt;0,1,0)</f>
        <v>0</v>
      </c>
      <c r="M1384">
        <f>IF(COUNTIFS('United Data'!$A$3:$A$3390,M$1,'United Data'!$C$3:$C$3390,$A1384,'United Data'!$B$3:$B$3390,"&lt;&gt;Off-street")&gt;0,1,0)</f>
        <v>0</v>
      </c>
      <c r="N1384">
        <f>IF(COUNTIFS('United Data'!$A$3:$A$3390,N$1,'United Data'!$C$3:$C$3390,$A1384,'United Data'!$B$3:$B$3390,"&lt;&gt;Off-street")&gt;0,1,0)</f>
        <v>0</v>
      </c>
      <c r="O1384">
        <f>IF(COUNTIFS('United Data'!$A$3:$A$3390,O$1,'United Data'!$C$3:$C$3390,$A1384,'United Data'!$B$3:$B$3390,"&lt;&gt;Off-street")&gt;0,1,0)</f>
        <v>0</v>
      </c>
      <c r="P1384">
        <f>IF(COUNTIFS('United Data'!$A$3:$A$3390,P$1,'United Data'!$C$3:$C$3390,$A1384,'United Data'!$B$3:$B$3390,"&lt;&gt;Off-street")&gt;0,1,0)</f>
        <v>0</v>
      </c>
      <c r="Q1384">
        <f>IF(COUNTIFS('United Data'!$A$3:$A$3390,Q$1,'United Data'!$C$3:$C$3390,$A1384,'United Data'!$B$3:$B$3390,"&lt;&gt;Off-street")&gt;0,1,0)</f>
        <v>0</v>
      </c>
      <c r="R1384">
        <f>IF(COUNTIFS('United Data'!$A$3:$A$3390,R$1,'United Data'!$C$3:$C$3390,$A1384,'United Data'!$B$3:$B$3390,"&lt;&gt;Off-street")&gt;0,1,0)</f>
        <v>0</v>
      </c>
      <c r="S1384">
        <f t="shared" si="42"/>
        <v>1</v>
      </c>
      <c r="T1384">
        <f t="shared" si="43"/>
        <v>1</v>
      </c>
    </row>
    <row r="1385" spans="1:20" x14ac:dyDescent="0.2">
      <c r="A1385" t="s">
        <v>1642</v>
      </c>
      <c r="B1385">
        <f>IF(COUNTIFS('United Data'!$A$3:$A$3390,B$1,'United Data'!$C$3:$C$3390,$A1385,'United Data'!$B$3:$B$3390,"&lt;&gt;Off-street")&gt;0,1,0)</f>
        <v>0</v>
      </c>
      <c r="C1385">
        <f>IF(COUNTIFS('United Data'!$A$3:$A$3390,C$1,'United Data'!$C$3:$C$3390,$A1385,'United Data'!$B$3:$B$3390,"&lt;&gt;Off-street")&gt;0,1,0)</f>
        <v>0</v>
      </c>
      <c r="D1385">
        <f>IF(COUNTIFS('United Data'!$A$3:$A$3390,D$1,'United Data'!$C$3:$C$3390,$A1385,'United Data'!$B$3:$B$3390,"&lt;&gt;Off-street")&gt;0,1,0)</f>
        <v>0</v>
      </c>
      <c r="E1385">
        <f>IF(COUNTIFS('United Data'!$A$3:$A$3390,E$1,'United Data'!$C$3:$C$3390,$A1385,'United Data'!$B$3:$B$3390,"&lt;&gt;Off-street")&gt;0,1,0)</f>
        <v>0</v>
      </c>
      <c r="F1385">
        <f>IF(COUNTIFS('United Data'!$A$3:$A$3390,F$1,'United Data'!$C$3:$C$3390,$A1385,'United Data'!$B$3:$B$3390,"&lt;&gt;Off-street")&gt;0,1,0)</f>
        <v>0</v>
      </c>
      <c r="G1385">
        <f>IF(COUNTIFS('United Data'!$A$3:$A$3390,G$1,'United Data'!$C$3:$C$3390,$A1385,'United Data'!$B$3:$B$3390,"&lt;&gt;Off-street")&gt;0,1,0)</f>
        <v>0</v>
      </c>
      <c r="H1385">
        <f>IF(COUNTIFS('United Data'!$A$3:$A$3390,H$1,'United Data'!$C$3:$C$3390,$A1385,'United Data'!$B$3:$B$3390,"&lt;&gt;Off-street")&gt;0,1,0)</f>
        <v>1</v>
      </c>
      <c r="I1385">
        <f>IF(COUNTIFS('United Data'!$A$3:$A$3390,I$1,'United Data'!$C$3:$C$3390,$A1385,'United Data'!$B$3:$B$3390,"&lt;&gt;Off-street")&gt;0,1,0)</f>
        <v>0</v>
      </c>
      <c r="J1385">
        <f>IF(COUNTIFS('United Data'!$A$3:$A$3390,J$1,'United Data'!$C$3:$C$3390,$A1385,'United Data'!$B$3:$B$3390,"&lt;&gt;Off-street")&gt;0,1,0)</f>
        <v>0</v>
      </c>
      <c r="K1385">
        <f>IF(COUNTIFS('United Data'!$A$3:$A$3390,K$1,'United Data'!$C$3:$C$3390,$A1385,'United Data'!$B$3:$B$3390,"&lt;&gt;Off-street")&gt;0,1,0)</f>
        <v>0</v>
      </c>
      <c r="L1385">
        <f>IF(COUNTIFS('United Data'!$A$3:$A$3390,L$1,'United Data'!$C$3:$C$3390,$A1385,'United Data'!$B$3:$B$3390,"&lt;&gt;Off-street")&gt;0,1,0)</f>
        <v>0</v>
      </c>
      <c r="M1385">
        <f>IF(COUNTIFS('United Data'!$A$3:$A$3390,M$1,'United Data'!$C$3:$C$3390,$A1385,'United Data'!$B$3:$B$3390,"&lt;&gt;Off-street")&gt;0,1,0)</f>
        <v>0</v>
      </c>
      <c r="N1385">
        <f>IF(COUNTIFS('United Data'!$A$3:$A$3390,N$1,'United Data'!$C$3:$C$3390,$A1385,'United Data'!$B$3:$B$3390,"&lt;&gt;Off-street")&gt;0,1,0)</f>
        <v>0</v>
      </c>
      <c r="O1385">
        <f>IF(COUNTIFS('United Data'!$A$3:$A$3390,O$1,'United Data'!$C$3:$C$3390,$A1385,'United Data'!$B$3:$B$3390,"&lt;&gt;Off-street")&gt;0,1,0)</f>
        <v>0</v>
      </c>
      <c r="P1385">
        <f>IF(COUNTIFS('United Data'!$A$3:$A$3390,P$1,'United Data'!$C$3:$C$3390,$A1385,'United Data'!$B$3:$B$3390,"&lt;&gt;Off-street")&gt;0,1,0)</f>
        <v>0</v>
      </c>
      <c r="Q1385">
        <f>IF(COUNTIFS('United Data'!$A$3:$A$3390,Q$1,'United Data'!$C$3:$C$3390,$A1385,'United Data'!$B$3:$B$3390,"&lt;&gt;Off-street")&gt;0,1,0)</f>
        <v>0</v>
      </c>
      <c r="R1385">
        <f>IF(COUNTIFS('United Data'!$A$3:$A$3390,R$1,'United Data'!$C$3:$C$3390,$A1385,'United Data'!$B$3:$B$3390,"&lt;&gt;Off-street")&gt;0,1,0)</f>
        <v>0</v>
      </c>
      <c r="S1385">
        <f t="shared" si="42"/>
        <v>1</v>
      </c>
      <c r="T1385">
        <f t="shared" si="43"/>
        <v>1</v>
      </c>
    </row>
    <row r="1386" spans="1:20" x14ac:dyDescent="0.2">
      <c r="A1386" t="s">
        <v>1643</v>
      </c>
      <c r="B1386">
        <f>IF(COUNTIFS('United Data'!$A$3:$A$3390,B$1,'United Data'!$C$3:$C$3390,$A1386,'United Data'!$B$3:$B$3390,"&lt;&gt;Off-street")&gt;0,1,0)</f>
        <v>0</v>
      </c>
      <c r="C1386">
        <f>IF(COUNTIFS('United Data'!$A$3:$A$3390,C$1,'United Data'!$C$3:$C$3390,$A1386,'United Data'!$B$3:$B$3390,"&lt;&gt;Off-street")&gt;0,1,0)</f>
        <v>0</v>
      </c>
      <c r="D1386">
        <f>IF(COUNTIFS('United Data'!$A$3:$A$3390,D$1,'United Data'!$C$3:$C$3390,$A1386,'United Data'!$B$3:$B$3390,"&lt;&gt;Off-street")&gt;0,1,0)</f>
        <v>0</v>
      </c>
      <c r="E1386">
        <f>IF(COUNTIFS('United Data'!$A$3:$A$3390,E$1,'United Data'!$C$3:$C$3390,$A1386,'United Data'!$B$3:$B$3390,"&lt;&gt;Off-street")&gt;0,1,0)</f>
        <v>0</v>
      </c>
      <c r="F1386">
        <f>IF(COUNTIFS('United Data'!$A$3:$A$3390,F$1,'United Data'!$C$3:$C$3390,$A1386,'United Data'!$B$3:$B$3390,"&lt;&gt;Off-street")&gt;0,1,0)</f>
        <v>0</v>
      </c>
      <c r="G1386">
        <f>IF(COUNTIFS('United Data'!$A$3:$A$3390,G$1,'United Data'!$C$3:$C$3390,$A1386,'United Data'!$B$3:$B$3390,"&lt;&gt;Off-street")&gt;0,1,0)</f>
        <v>0</v>
      </c>
      <c r="H1386">
        <f>IF(COUNTIFS('United Data'!$A$3:$A$3390,H$1,'United Data'!$C$3:$C$3390,$A1386,'United Data'!$B$3:$B$3390,"&lt;&gt;Off-street")&gt;0,1,0)</f>
        <v>0</v>
      </c>
      <c r="I1386">
        <f>IF(COUNTIFS('United Data'!$A$3:$A$3390,I$1,'United Data'!$C$3:$C$3390,$A1386,'United Data'!$B$3:$B$3390,"&lt;&gt;Off-street")&gt;0,1,0)</f>
        <v>1</v>
      </c>
      <c r="J1386">
        <f>IF(COUNTIFS('United Data'!$A$3:$A$3390,J$1,'United Data'!$C$3:$C$3390,$A1386,'United Data'!$B$3:$B$3390,"&lt;&gt;Off-street")&gt;0,1,0)</f>
        <v>0</v>
      </c>
      <c r="K1386">
        <f>IF(COUNTIFS('United Data'!$A$3:$A$3390,K$1,'United Data'!$C$3:$C$3390,$A1386,'United Data'!$B$3:$B$3390,"&lt;&gt;Off-street")&gt;0,1,0)</f>
        <v>0</v>
      </c>
      <c r="L1386">
        <f>IF(COUNTIFS('United Data'!$A$3:$A$3390,L$1,'United Data'!$C$3:$C$3390,$A1386,'United Data'!$B$3:$B$3390,"&lt;&gt;Off-street")&gt;0,1,0)</f>
        <v>0</v>
      </c>
      <c r="M1386">
        <f>IF(COUNTIFS('United Data'!$A$3:$A$3390,M$1,'United Data'!$C$3:$C$3390,$A1386,'United Data'!$B$3:$B$3390,"&lt;&gt;Off-street")&gt;0,1,0)</f>
        <v>0</v>
      </c>
      <c r="N1386">
        <f>IF(COUNTIFS('United Data'!$A$3:$A$3390,N$1,'United Data'!$C$3:$C$3390,$A1386,'United Data'!$B$3:$B$3390,"&lt;&gt;Off-street")&gt;0,1,0)</f>
        <v>0</v>
      </c>
      <c r="O1386">
        <f>IF(COUNTIFS('United Data'!$A$3:$A$3390,O$1,'United Data'!$C$3:$C$3390,$A1386,'United Data'!$B$3:$B$3390,"&lt;&gt;Off-street")&gt;0,1,0)</f>
        <v>0</v>
      </c>
      <c r="P1386">
        <f>IF(COUNTIFS('United Data'!$A$3:$A$3390,P$1,'United Data'!$C$3:$C$3390,$A1386,'United Data'!$B$3:$B$3390,"&lt;&gt;Off-street")&gt;0,1,0)</f>
        <v>0</v>
      </c>
      <c r="Q1386">
        <f>IF(COUNTIFS('United Data'!$A$3:$A$3390,Q$1,'United Data'!$C$3:$C$3390,$A1386,'United Data'!$B$3:$B$3390,"&lt;&gt;Off-street")&gt;0,1,0)</f>
        <v>0</v>
      </c>
      <c r="R1386">
        <f>IF(COUNTIFS('United Data'!$A$3:$A$3390,R$1,'United Data'!$C$3:$C$3390,$A1386,'United Data'!$B$3:$B$3390,"&lt;&gt;Off-street")&gt;0,1,0)</f>
        <v>0</v>
      </c>
      <c r="S1386">
        <f t="shared" si="42"/>
        <v>1</v>
      </c>
      <c r="T1386">
        <f t="shared" si="43"/>
        <v>1</v>
      </c>
    </row>
    <row r="1387" spans="1:20" x14ac:dyDescent="0.2">
      <c r="A1387" t="s">
        <v>1644</v>
      </c>
      <c r="B1387">
        <f>IF(COUNTIFS('United Data'!$A$3:$A$3390,B$1,'United Data'!$C$3:$C$3390,$A1387,'United Data'!$B$3:$B$3390,"&lt;&gt;Off-street")&gt;0,1,0)</f>
        <v>0</v>
      </c>
      <c r="C1387">
        <f>IF(COUNTIFS('United Data'!$A$3:$A$3390,C$1,'United Data'!$C$3:$C$3390,$A1387,'United Data'!$B$3:$B$3390,"&lt;&gt;Off-street")&gt;0,1,0)</f>
        <v>0</v>
      </c>
      <c r="D1387">
        <f>IF(COUNTIFS('United Data'!$A$3:$A$3390,D$1,'United Data'!$C$3:$C$3390,$A1387,'United Data'!$B$3:$B$3390,"&lt;&gt;Off-street")&gt;0,1,0)</f>
        <v>0</v>
      </c>
      <c r="E1387">
        <f>IF(COUNTIFS('United Data'!$A$3:$A$3390,E$1,'United Data'!$C$3:$C$3390,$A1387,'United Data'!$B$3:$B$3390,"&lt;&gt;Off-street")&gt;0,1,0)</f>
        <v>0</v>
      </c>
      <c r="F1387">
        <f>IF(COUNTIFS('United Data'!$A$3:$A$3390,F$1,'United Data'!$C$3:$C$3390,$A1387,'United Data'!$B$3:$B$3390,"&lt;&gt;Off-street")&gt;0,1,0)</f>
        <v>0</v>
      </c>
      <c r="G1387">
        <f>IF(COUNTIFS('United Data'!$A$3:$A$3390,G$1,'United Data'!$C$3:$C$3390,$A1387,'United Data'!$B$3:$B$3390,"&lt;&gt;Off-street")&gt;0,1,0)</f>
        <v>0</v>
      </c>
      <c r="H1387">
        <f>IF(COUNTIFS('United Data'!$A$3:$A$3390,H$1,'United Data'!$C$3:$C$3390,$A1387,'United Data'!$B$3:$B$3390,"&lt;&gt;Off-street")&gt;0,1,0)</f>
        <v>0</v>
      </c>
      <c r="I1387">
        <f>IF(COUNTIFS('United Data'!$A$3:$A$3390,I$1,'United Data'!$C$3:$C$3390,$A1387,'United Data'!$B$3:$B$3390,"&lt;&gt;Off-street")&gt;0,1,0)</f>
        <v>0</v>
      </c>
      <c r="J1387">
        <f>IF(COUNTIFS('United Data'!$A$3:$A$3390,J$1,'United Data'!$C$3:$C$3390,$A1387,'United Data'!$B$3:$B$3390,"&lt;&gt;Off-street")&gt;0,1,0)</f>
        <v>1</v>
      </c>
      <c r="K1387">
        <f>IF(COUNTIFS('United Data'!$A$3:$A$3390,K$1,'United Data'!$C$3:$C$3390,$A1387,'United Data'!$B$3:$B$3390,"&lt;&gt;Off-street")&gt;0,1,0)</f>
        <v>1</v>
      </c>
      <c r="L1387">
        <f>IF(COUNTIFS('United Data'!$A$3:$A$3390,L$1,'United Data'!$C$3:$C$3390,$A1387,'United Data'!$B$3:$B$3390,"&lt;&gt;Off-street")&gt;0,1,0)</f>
        <v>1</v>
      </c>
      <c r="M1387">
        <f>IF(COUNTIFS('United Data'!$A$3:$A$3390,M$1,'United Data'!$C$3:$C$3390,$A1387,'United Data'!$B$3:$B$3390,"&lt;&gt;Off-street")&gt;0,1,0)</f>
        <v>0</v>
      </c>
      <c r="N1387">
        <f>IF(COUNTIFS('United Data'!$A$3:$A$3390,N$1,'United Data'!$C$3:$C$3390,$A1387,'United Data'!$B$3:$B$3390,"&lt;&gt;Off-street")&gt;0,1,0)</f>
        <v>0</v>
      </c>
      <c r="O1387">
        <f>IF(COUNTIFS('United Data'!$A$3:$A$3390,O$1,'United Data'!$C$3:$C$3390,$A1387,'United Data'!$B$3:$B$3390,"&lt;&gt;Off-street")&gt;0,1,0)</f>
        <v>0</v>
      </c>
      <c r="P1387">
        <f>IF(COUNTIFS('United Data'!$A$3:$A$3390,P$1,'United Data'!$C$3:$C$3390,$A1387,'United Data'!$B$3:$B$3390,"&lt;&gt;Off-street")&gt;0,1,0)</f>
        <v>0</v>
      </c>
      <c r="Q1387">
        <f>IF(COUNTIFS('United Data'!$A$3:$A$3390,Q$1,'United Data'!$C$3:$C$3390,$A1387,'United Data'!$B$3:$B$3390,"&lt;&gt;Off-street")&gt;0,1,0)</f>
        <v>0</v>
      </c>
      <c r="R1387">
        <f>IF(COUNTIFS('United Data'!$A$3:$A$3390,R$1,'United Data'!$C$3:$C$3390,$A1387,'United Data'!$B$3:$B$3390,"&lt;&gt;Off-street")&gt;0,1,0)</f>
        <v>0</v>
      </c>
      <c r="S1387">
        <f t="shared" si="42"/>
        <v>3</v>
      </c>
      <c r="T1387">
        <f t="shared" si="43"/>
        <v>1</v>
      </c>
    </row>
    <row r="1388" spans="1:20" x14ac:dyDescent="0.2">
      <c r="A1388" t="s">
        <v>1645</v>
      </c>
      <c r="B1388">
        <f>IF(COUNTIFS('United Data'!$A$3:$A$3390,B$1,'United Data'!$C$3:$C$3390,$A1388,'United Data'!$B$3:$B$3390,"&lt;&gt;Off-street")&gt;0,1,0)</f>
        <v>0</v>
      </c>
      <c r="C1388">
        <f>IF(COUNTIFS('United Data'!$A$3:$A$3390,C$1,'United Data'!$C$3:$C$3390,$A1388,'United Data'!$B$3:$B$3390,"&lt;&gt;Off-street")&gt;0,1,0)</f>
        <v>0</v>
      </c>
      <c r="D1388">
        <f>IF(COUNTIFS('United Data'!$A$3:$A$3390,D$1,'United Data'!$C$3:$C$3390,$A1388,'United Data'!$B$3:$B$3390,"&lt;&gt;Off-street")&gt;0,1,0)</f>
        <v>0</v>
      </c>
      <c r="E1388">
        <f>IF(COUNTIFS('United Data'!$A$3:$A$3390,E$1,'United Data'!$C$3:$C$3390,$A1388,'United Data'!$B$3:$B$3390,"&lt;&gt;Off-street")&gt;0,1,0)</f>
        <v>0</v>
      </c>
      <c r="F1388">
        <f>IF(COUNTIFS('United Data'!$A$3:$A$3390,F$1,'United Data'!$C$3:$C$3390,$A1388,'United Data'!$B$3:$B$3390,"&lt;&gt;Off-street")&gt;0,1,0)</f>
        <v>0</v>
      </c>
      <c r="G1388">
        <f>IF(COUNTIFS('United Data'!$A$3:$A$3390,G$1,'United Data'!$C$3:$C$3390,$A1388,'United Data'!$B$3:$B$3390,"&lt;&gt;Off-street")&gt;0,1,0)</f>
        <v>0</v>
      </c>
      <c r="H1388">
        <f>IF(COUNTIFS('United Data'!$A$3:$A$3390,H$1,'United Data'!$C$3:$C$3390,$A1388,'United Data'!$B$3:$B$3390,"&lt;&gt;Off-street")&gt;0,1,0)</f>
        <v>0</v>
      </c>
      <c r="I1388">
        <f>IF(COUNTIFS('United Data'!$A$3:$A$3390,I$1,'United Data'!$C$3:$C$3390,$A1388,'United Data'!$B$3:$B$3390,"&lt;&gt;Off-street")&gt;0,1,0)</f>
        <v>0</v>
      </c>
      <c r="J1388">
        <f>IF(COUNTIFS('United Data'!$A$3:$A$3390,J$1,'United Data'!$C$3:$C$3390,$A1388,'United Data'!$B$3:$B$3390,"&lt;&gt;Off-street")&gt;0,1,0)</f>
        <v>1</v>
      </c>
      <c r="K1388">
        <f>IF(COUNTIFS('United Data'!$A$3:$A$3390,K$1,'United Data'!$C$3:$C$3390,$A1388,'United Data'!$B$3:$B$3390,"&lt;&gt;Off-street")&gt;0,1,0)</f>
        <v>0</v>
      </c>
      <c r="L1388">
        <f>IF(COUNTIFS('United Data'!$A$3:$A$3390,L$1,'United Data'!$C$3:$C$3390,$A1388,'United Data'!$B$3:$B$3390,"&lt;&gt;Off-street")&gt;0,1,0)</f>
        <v>0</v>
      </c>
      <c r="M1388">
        <f>IF(COUNTIFS('United Data'!$A$3:$A$3390,M$1,'United Data'!$C$3:$C$3390,$A1388,'United Data'!$B$3:$B$3390,"&lt;&gt;Off-street")&gt;0,1,0)</f>
        <v>0</v>
      </c>
      <c r="N1388">
        <f>IF(COUNTIFS('United Data'!$A$3:$A$3390,N$1,'United Data'!$C$3:$C$3390,$A1388,'United Data'!$B$3:$B$3390,"&lt;&gt;Off-street")&gt;0,1,0)</f>
        <v>0</v>
      </c>
      <c r="O1388">
        <f>IF(COUNTIFS('United Data'!$A$3:$A$3390,O$1,'United Data'!$C$3:$C$3390,$A1388,'United Data'!$B$3:$B$3390,"&lt;&gt;Off-street")&gt;0,1,0)</f>
        <v>0</v>
      </c>
      <c r="P1388">
        <f>IF(COUNTIFS('United Data'!$A$3:$A$3390,P$1,'United Data'!$C$3:$C$3390,$A1388,'United Data'!$B$3:$B$3390,"&lt;&gt;Off-street")&gt;0,1,0)</f>
        <v>0</v>
      </c>
      <c r="Q1388">
        <f>IF(COUNTIFS('United Data'!$A$3:$A$3390,Q$1,'United Data'!$C$3:$C$3390,$A1388,'United Data'!$B$3:$B$3390,"&lt;&gt;Off-street")&gt;0,1,0)</f>
        <v>0</v>
      </c>
      <c r="R1388">
        <f>IF(COUNTIFS('United Data'!$A$3:$A$3390,R$1,'United Data'!$C$3:$C$3390,$A1388,'United Data'!$B$3:$B$3390,"&lt;&gt;Off-street")&gt;0,1,0)</f>
        <v>0</v>
      </c>
      <c r="S1388">
        <f t="shared" si="42"/>
        <v>1</v>
      </c>
      <c r="T1388">
        <f t="shared" si="43"/>
        <v>1</v>
      </c>
    </row>
    <row r="1389" spans="1:20" x14ac:dyDescent="0.2">
      <c r="A1389" t="s">
        <v>1646</v>
      </c>
      <c r="B1389">
        <f>IF(COUNTIFS('United Data'!$A$3:$A$3390,B$1,'United Data'!$C$3:$C$3390,$A1389,'United Data'!$B$3:$B$3390,"&lt;&gt;Off-street")&gt;0,1,0)</f>
        <v>0</v>
      </c>
      <c r="C1389">
        <f>IF(COUNTIFS('United Data'!$A$3:$A$3390,C$1,'United Data'!$C$3:$C$3390,$A1389,'United Data'!$B$3:$B$3390,"&lt;&gt;Off-street")&gt;0,1,0)</f>
        <v>0</v>
      </c>
      <c r="D1389">
        <f>IF(COUNTIFS('United Data'!$A$3:$A$3390,D$1,'United Data'!$C$3:$C$3390,$A1389,'United Data'!$B$3:$B$3390,"&lt;&gt;Off-street")&gt;0,1,0)</f>
        <v>0</v>
      </c>
      <c r="E1389">
        <f>IF(COUNTIFS('United Data'!$A$3:$A$3390,E$1,'United Data'!$C$3:$C$3390,$A1389,'United Data'!$B$3:$B$3390,"&lt;&gt;Off-street")&gt;0,1,0)</f>
        <v>0</v>
      </c>
      <c r="F1389">
        <f>IF(COUNTIFS('United Data'!$A$3:$A$3390,F$1,'United Data'!$C$3:$C$3390,$A1389,'United Data'!$B$3:$B$3390,"&lt;&gt;Off-street")&gt;0,1,0)</f>
        <v>0</v>
      </c>
      <c r="G1389">
        <f>IF(COUNTIFS('United Data'!$A$3:$A$3390,G$1,'United Data'!$C$3:$C$3390,$A1389,'United Data'!$B$3:$B$3390,"&lt;&gt;Off-street")&gt;0,1,0)</f>
        <v>0</v>
      </c>
      <c r="H1389">
        <f>IF(COUNTIFS('United Data'!$A$3:$A$3390,H$1,'United Data'!$C$3:$C$3390,$A1389,'United Data'!$B$3:$B$3390,"&lt;&gt;Off-street")&gt;0,1,0)</f>
        <v>0</v>
      </c>
      <c r="I1389">
        <f>IF(COUNTIFS('United Data'!$A$3:$A$3390,I$1,'United Data'!$C$3:$C$3390,$A1389,'United Data'!$B$3:$B$3390,"&lt;&gt;Off-street")&gt;0,1,0)</f>
        <v>0</v>
      </c>
      <c r="J1389">
        <f>IF(COUNTIFS('United Data'!$A$3:$A$3390,J$1,'United Data'!$C$3:$C$3390,$A1389,'United Data'!$B$3:$B$3390,"&lt;&gt;Off-street")&gt;0,1,0)</f>
        <v>1</v>
      </c>
      <c r="K1389">
        <f>IF(COUNTIFS('United Data'!$A$3:$A$3390,K$1,'United Data'!$C$3:$C$3390,$A1389,'United Data'!$B$3:$B$3390,"&lt;&gt;Off-street")&gt;0,1,0)</f>
        <v>0</v>
      </c>
      <c r="L1389">
        <f>IF(COUNTIFS('United Data'!$A$3:$A$3390,L$1,'United Data'!$C$3:$C$3390,$A1389,'United Data'!$B$3:$B$3390,"&lt;&gt;Off-street")&gt;0,1,0)</f>
        <v>0</v>
      </c>
      <c r="M1389">
        <f>IF(COUNTIFS('United Data'!$A$3:$A$3390,M$1,'United Data'!$C$3:$C$3390,$A1389,'United Data'!$B$3:$B$3390,"&lt;&gt;Off-street")&gt;0,1,0)</f>
        <v>0</v>
      </c>
      <c r="N1389">
        <f>IF(COUNTIFS('United Data'!$A$3:$A$3390,N$1,'United Data'!$C$3:$C$3390,$A1389,'United Data'!$B$3:$B$3390,"&lt;&gt;Off-street")&gt;0,1,0)</f>
        <v>0</v>
      </c>
      <c r="O1389">
        <f>IF(COUNTIFS('United Data'!$A$3:$A$3390,O$1,'United Data'!$C$3:$C$3390,$A1389,'United Data'!$B$3:$B$3390,"&lt;&gt;Off-street")&gt;0,1,0)</f>
        <v>0</v>
      </c>
      <c r="P1389">
        <f>IF(COUNTIFS('United Data'!$A$3:$A$3390,P$1,'United Data'!$C$3:$C$3390,$A1389,'United Data'!$B$3:$B$3390,"&lt;&gt;Off-street")&gt;0,1,0)</f>
        <v>0</v>
      </c>
      <c r="Q1389">
        <f>IF(COUNTIFS('United Data'!$A$3:$A$3390,Q$1,'United Data'!$C$3:$C$3390,$A1389,'United Data'!$B$3:$B$3390,"&lt;&gt;Off-street")&gt;0,1,0)</f>
        <v>0</v>
      </c>
      <c r="R1389">
        <f>IF(COUNTIFS('United Data'!$A$3:$A$3390,R$1,'United Data'!$C$3:$C$3390,$A1389,'United Data'!$B$3:$B$3390,"&lt;&gt;Off-street")&gt;0,1,0)</f>
        <v>0</v>
      </c>
      <c r="S1389">
        <f t="shared" si="42"/>
        <v>1</v>
      </c>
      <c r="T1389">
        <f t="shared" si="43"/>
        <v>1</v>
      </c>
    </row>
    <row r="1390" spans="1:20" x14ac:dyDescent="0.2">
      <c r="A1390" t="s">
        <v>1647</v>
      </c>
      <c r="B1390">
        <f>IF(COUNTIFS('United Data'!$A$3:$A$3390,B$1,'United Data'!$C$3:$C$3390,$A1390,'United Data'!$B$3:$B$3390,"&lt;&gt;Off-street")&gt;0,1,0)</f>
        <v>0</v>
      </c>
      <c r="C1390">
        <f>IF(COUNTIFS('United Data'!$A$3:$A$3390,C$1,'United Data'!$C$3:$C$3390,$A1390,'United Data'!$B$3:$B$3390,"&lt;&gt;Off-street")&gt;0,1,0)</f>
        <v>0</v>
      </c>
      <c r="D1390">
        <f>IF(COUNTIFS('United Data'!$A$3:$A$3390,D$1,'United Data'!$C$3:$C$3390,$A1390,'United Data'!$B$3:$B$3390,"&lt;&gt;Off-street")&gt;0,1,0)</f>
        <v>0</v>
      </c>
      <c r="E1390">
        <f>IF(COUNTIFS('United Data'!$A$3:$A$3390,E$1,'United Data'!$C$3:$C$3390,$A1390,'United Data'!$B$3:$B$3390,"&lt;&gt;Off-street")&gt;0,1,0)</f>
        <v>0</v>
      </c>
      <c r="F1390">
        <f>IF(COUNTIFS('United Data'!$A$3:$A$3390,F$1,'United Data'!$C$3:$C$3390,$A1390,'United Data'!$B$3:$B$3390,"&lt;&gt;Off-street")&gt;0,1,0)</f>
        <v>0</v>
      </c>
      <c r="G1390">
        <f>IF(COUNTIFS('United Data'!$A$3:$A$3390,G$1,'United Data'!$C$3:$C$3390,$A1390,'United Data'!$B$3:$B$3390,"&lt;&gt;Off-street")&gt;0,1,0)</f>
        <v>0</v>
      </c>
      <c r="H1390">
        <f>IF(COUNTIFS('United Data'!$A$3:$A$3390,H$1,'United Data'!$C$3:$C$3390,$A1390,'United Data'!$B$3:$B$3390,"&lt;&gt;Off-street")&gt;0,1,0)</f>
        <v>0</v>
      </c>
      <c r="I1390">
        <f>IF(COUNTIFS('United Data'!$A$3:$A$3390,I$1,'United Data'!$C$3:$C$3390,$A1390,'United Data'!$B$3:$B$3390,"&lt;&gt;Off-street")&gt;0,1,0)</f>
        <v>0</v>
      </c>
      <c r="J1390">
        <f>IF(COUNTIFS('United Data'!$A$3:$A$3390,J$1,'United Data'!$C$3:$C$3390,$A1390,'United Data'!$B$3:$B$3390,"&lt;&gt;Off-street")&gt;0,1,0)</f>
        <v>1</v>
      </c>
      <c r="K1390">
        <f>IF(COUNTIFS('United Data'!$A$3:$A$3390,K$1,'United Data'!$C$3:$C$3390,$A1390,'United Data'!$B$3:$B$3390,"&lt;&gt;Off-street")&gt;0,1,0)</f>
        <v>0</v>
      </c>
      <c r="L1390">
        <f>IF(COUNTIFS('United Data'!$A$3:$A$3390,L$1,'United Data'!$C$3:$C$3390,$A1390,'United Data'!$B$3:$B$3390,"&lt;&gt;Off-street")&gt;0,1,0)</f>
        <v>0</v>
      </c>
      <c r="M1390">
        <f>IF(COUNTIFS('United Data'!$A$3:$A$3390,M$1,'United Data'!$C$3:$C$3390,$A1390,'United Data'!$B$3:$B$3390,"&lt;&gt;Off-street")&gt;0,1,0)</f>
        <v>0</v>
      </c>
      <c r="N1390">
        <f>IF(COUNTIFS('United Data'!$A$3:$A$3390,N$1,'United Data'!$C$3:$C$3390,$A1390,'United Data'!$B$3:$B$3390,"&lt;&gt;Off-street")&gt;0,1,0)</f>
        <v>1</v>
      </c>
      <c r="O1390">
        <f>IF(COUNTIFS('United Data'!$A$3:$A$3390,O$1,'United Data'!$C$3:$C$3390,$A1390,'United Data'!$B$3:$B$3390,"&lt;&gt;Off-street")&gt;0,1,0)</f>
        <v>0</v>
      </c>
      <c r="P1390">
        <f>IF(COUNTIFS('United Data'!$A$3:$A$3390,P$1,'United Data'!$C$3:$C$3390,$A1390,'United Data'!$B$3:$B$3390,"&lt;&gt;Off-street")&gt;0,1,0)</f>
        <v>1</v>
      </c>
      <c r="Q1390">
        <f>IF(COUNTIFS('United Data'!$A$3:$A$3390,Q$1,'United Data'!$C$3:$C$3390,$A1390,'United Data'!$B$3:$B$3390,"&lt;&gt;Off-street")&gt;0,1,0)</f>
        <v>1</v>
      </c>
      <c r="R1390">
        <f>IF(COUNTIFS('United Data'!$A$3:$A$3390,R$1,'United Data'!$C$3:$C$3390,$A1390,'United Data'!$B$3:$B$3390,"&lt;&gt;Off-street")&gt;0,1,0)</f>
        <v>0</v>
      </c>
      <c r="S1390">
        <f t="shared" si="42"/>
        <v>4</v>
      </c>
      <c r="T1390">
        <f t="shared" si="43"/>
        <v>3</v>
      </c>
    </row>
    <row r="1391" spans="1:20" x14ac:dyDescent="0.2">
      <c r="A1391" t="s">
        <v>1648</v>
      </c>
      <c r="B1391">
        <f>IF(COUNTIFS('United Data'!$A$3:$A$3390,B$1,'United Data'!$C$3:$C$3390,$A1391,'United Data'!$B$3:$B$3390,"&lt;&gt;Off-street")&gt;0,1,0)</f>
        <v>0</v>
      </c>
      <c r="C1391">
        <f>IF(COUNTIFS('United Data'!$A$3:$A$3390,C$1,'United Data'!$C$3:$C$3390,$A1391,'United Data'!$B$3:$B$3390,"&lt;&gt;Off-street")&gt;0,1,0)</f>
        <v>0</v>
      </c>
      <c r="D1391">
        <f>IF(COUNTIFS('United Data'!$A$3:$A$3390,D$1,'United Data'!$C$3:$C$3390,$A1391,'United Data'!$B$3:$B$3390,"&lt;&gt;Off-street")&gt;0,1,0)</f>
        <v>0</v>
      </c>
      <c r="E1391">
        <f>IF(COUNTIFS('United Data'!$A$3:$A$3390,E$1,'United Data'!$C$3:$C$3390,$A1391,'United Data'!$B$3:$B$3390,"&lt;&gt;Off-street")&gt;0,1,0)</f>
        <v>0</v>
      </c>
      <c r="F1391">
        <f>IF(COUNTIFS('United Data'!$A$3:$A$3390,F$1,'United Data'!$C$3:$C$3390,$A1391,'United Data'!$B$3:$B$3390,"&lt;&gt;Off-street")&gt;0,1,0)</f>
        <v>0</v>
      </c>
      <c r="G1391">
        <f>IF(COUNTIFS('United Data'!$A$3:$A$3390,G$1,'United Data'!$C$3:$C$3390,$A1391,'United Data'!$B$3:$B$3390,"&lt;&gt;Off-street")&gt;0,1,0)</f>
        <v>0</v>
      </c>
      <c r="H1391">
        <f>IF(COUNTIFS('United Data'!$A$3:$A$3390,H$1,'United Data'!$C$3:$C$3390,$A1391,'United Data'!$B$3:$B$3390,"&lt;&gt;Off-street")&gt;0,1,0)</f>
        <v>0</v>
      </c>
      <c r="I1391">
        <f>IF(COUNTIFS('United Data'!$A$3:$A$3390,I$1,'United Data'!$C$3:$C$3390,$A1391,'United Data'!$B$3:$B$3390,"&lt;&gt;Off-street")&gt;0,1,0)</f>
        <v>0</v>
      </c>
      <c r="J1391">
        <f>IF(COUNTIFS('United Data'!$A$3:$A$3390,J$1,'United Data'!$C$3:$C$3390,$A1391,'United Data'!$B$3:$B$3390,"&lt;&gt;Off-street")&gt;0,1,0)</f>
        <v>0</v>
      </c>
      <c r="K1391">
        <f>IF(COUNTIFS('United Data'!$A$3:$A$3390,K$1,'United Data'!$C$3:$C$3390,$A1391,'United Data'!$B$3:$B$3390,"&lt;&gt;Off-street")&gt;0,1,0)</f>
        <v>1</v>
      </c>
      <c r="L1391">
        <f>IF(COUNTIFS('United Data'!$A$3:$A$3390,L$1,'United Data'!$C$3:$C$3390,$A1391,'United Data'!$B$3:$B$3390,"&lt;&gt;Off-street")&gt;0,1,0)</f>
        <v>0</v>
      </c>
      <c r="M1391">
        <f>IF(COUNTIFS('United Data'!$A$3:$A$3390,M$1,'United Data'!$C$3:$C$3390,$A1391,'United Data'!$B$3:$B$3390,"&lt;&gt;Off-street")&gt;0,1,0)</f>
        <v>0</v>
      </c>
      <c r="N1391">
        <f>IF(COUNTIFS('United Data'!$A$3:$A$3390,N$1,'United Data'!$C$3:$C$3390,$A1391,'United Data'!$B$3:$B$3390,"&lt;&gt;Off-street")&gt;0,1,0)</f>
        <v>0</v>
      </c>
      <c r="O1391">
        <f>IF(COUNTIFS('United Data'!$A$3:$A$3390,O$1,'United Data'!$C$3:$C$3390,$A1391,'United Data'!$B$3:$B$3390,"&lt;&gt;Off-street")&gt;0,1,0)</f>
        <v>0</v>
      </c>
      <c r="P1391">
        <f>IF(COUNTIFS('United Data'!$A$3:$A$3390,P$1,'United Data'!$C$3:$C$3390,$A1391,'United Data'!$B$3:$B$3390,"&lt;&gt;Off-street")&gt;0,1,0)</f>
        <v>0</v>
      </c>
      <c r="Q1391">
        <f>IF(COUNTIFS('United Data'!$A$3:$A$3390,Q$1,'United Data'!$C$3:$C$3390,$A1391,'United Data'!$B$3:$B$3390,"&lt;&gt;Off-street")&gt;0,1,0)</f>
        <v>0</v>
      </c>
      <c r="R1391">
        <f>IF(COUNTIFS('United Data'!$A$3:$A$3390,R$1,'United Data'!$C$3:$C$3390,$A1391,'United Data'!$B$3:$B$3390,"&lt;&gt;Off-street")&gt;0,1,0)</f>
        <v>0</v>
      </c>
      <c r="S1391">
        <f t="shared" si="42"/>
        <v>1</v>
      </c>
      <c r="T1391">
        <f t="shared" si="43"/>
        <v>1</v>
      </c>
    </row>
    <row r="1392" spans="1:20" x14ac:dyDescent="0.2">
      <c r="A1392" t="s">
        <v>1649</v>
      </c>
      <c r="B1392">
        <f>IF(COUNTIFS('United Data'!$A$3:$A$3390,B$1,'United Data'!$C$3:$C$3390,$A1392,'United Data'!$B$3:$B$3390,"&lt;&gt;Off-street")&gt;0,1,0)</f>
        <v>0</v>
      </c>
      <c r="C1392">
        <f>IF(COUNTIFS('United Data'!$A$3:$A$3390,C$1,'United Data'!$C$3:$C$3390,$A1392,'United Data'!$B$3:$B$3390,"&lt;&gt;Off-street")&gt;0,1,0)</f>
        <v>0</v>
      </c>
      <c r="D1392">
        <f>IF(COUNTIFS('United Data'!$A$3:$A$3390,D$1,'United Data'!$C$3:$C$3390,$A1392,'United Data'!$B$3:$B$3390,"&lt;&gt;Off-street")&gt;0,1,0)</f>
        <v>0</v>
      </c>
      <c r="E1392">
        <f>IF(COUNTIFS('United Data'!$A$3:$A$3390,E$1,'United Data'!$C$3:$C$3390,$A1392,'United Data'!$B$3:$B$3390,"&lt;&gt;Off-street")&gt;0,1,0)</f>
        <v>0</v>
      </c>
      <c r="F1392">
        <f>IF(COUNTIFS('United Data'!$A$3:$A$3390,F$1,'United Data'!$C$3:$C$3390,$A1392,'United Data'!$B$3:$B$3390,"&lt;&gt;Off-street")&gt;0,1,0)</f>
        <v>0</v>
      </c>
      <c r="G1392">
        <f>IF(COUNTIFS('United Data'!$A$3:$A$3390,G$1,'United Data'!$C$3:$C$3390,$A1392,'United Data'!$B$3:$B$3390,"&lt;&gt;Off-street")&gt;0,1,0)</f>
        <v>0</v>
      </c>
      <c r="H1392">
        <f>IF(COUNTIFS('United Data'!$A$3:$A$3390,H$1,'United Data'!$C$3:$C$3390,$A1392,'United Data'!$B$3:$B$3390,"&lt;&gt;Off-street")&gt;0,1,0)</f>
        <v>0</v>
      </c>
      <c r="I1392">
        <f>IF(COUNTIFS('United Data'!$A$3:$A$3390,I$1,'United Data'!$C$3:$C$3390,$A1392,'United Data'!$B$3:$B$3390,"&lt;&gt;Off-street")&gt;0,1,0)</f>
        <v>0</v>
      </c>
      <c r="J1392">
        <f>IF(COUNTIFS('United Data'!$A$3:$A$3390,J$1,'United Data'!$C$3:$C$3390,$A1392,'United Data'!$B$3:$B$3390,"&lt;&gt;Off-street")&gt;0,1,0)</f>
        <v>0</v>
      </c>
      <c r="K1392">
        <f>IF(COUNTIFS('United Data'!$A$3:$A$3390,K$1,'United Data'!$C$3:$C$3390,$A1392,'United Data'!$B$3:$B$3390,"&lt;&gt;Off-street")&gt;0,1,0)</f>
        <v>1</v>
      </c>
      <c r="L1392">
        <f>IF(COUNTIFS('United Data'!$A$3:$A$3390,L$1,'United Data'!$C$3:$C$3390,$A1392,'United Data'!$B$3:$B$3390,"&lt;&gt;Off-street")&gt;0,1,0)</f>
        <v>0</v>
      </c>
      <c r="M1392">
        <f>IF(COUNTIFS('United Data'!$A$3:$A$3390,M$1,'United Data'!$C$3:$C$3390,$A1392,'United Data'!$B$3:$B$3390,"&lt;&gt;Off-street")&gt;0,1,0)</f>
        <v>0</v>
      </c>
      <c r="N1392">
        <f>IF(COUNTIFS('United Data'!$A$3:$A$3390,N$1,'United Data'!$C$3:$C$3390,$A1392,'United Data'!$B$3:$B$3390,"&lt;&gt;Off-street")&gt;0,1,0)</f>
        <v>0</v>
      </c>
      <c r="O1392">
        <f>IF(COUNTIFS('United Data'!$A$3:$A$3390,O$1,'United Data'!$C$3:$C$3390,$A1392,'United Data'!$B$3:$B$3390,"&lt;&gt;Off-street")&gt;0,1,0)</f>
        <v>0</v>
      </c>
      <c r="P1392">
        <f>IF(COUNTIFS('United Data'!$A$3:$A$3390,P$1,'United Data'!$C$3:$C$3390,$A1392,'United Data'!$B$3:$B$3390,"&lt;&gt;Off-street")&gt;0,1,0)</f>
        <v>0</v>
      </c>
      <c r="Q1392">
        <f>IF(COUNTIFS('United Data'!$A$3:$A$3390,Q$1,'United Data'!$C$3:$C$3390,$A1392,'United Data'!$B$3:$B$3390,"&lt;&gt;Off-street")&gt;0,1,0)</f>
        <v>0</v>
      </c>
      <c r="R1392">
        <f>IF(COUNTIFS('United Data'!$A$3:$A$3390,R$1,'United Data'!$C$3:$C$3390,$A1392,'United Data'!$B$3:$B$3390,"&lt;&gt;Off-street")&gt;0,1,0)</f>
        <v>0</v>
      </c>
      <c r="S1392">
        <f t="shared" si="42"/>
        <v>1</v>
      </c>
      <c r="T1392">
        <f t="shared" si="43"/>
        <v>1</v>
      </c>
    </row>
    <row r="1393" spans="1:20" x14ac:dyDescent="0.2">
      <c r="A1393" t="s">
        <v>1650</v>
      </c>
      <c r="B1393">
        <f>IF(COUNTIFS('United Data'!$A$3:$A$3390,B$1,'United Data'!$C$3:$C$3390,$A1393,'United Data'!$B$3:$B$3390,"&lt;&gt;Off-street")&gt;0,1,0)</f>
        <v>0</v>
      </c>
      <c r="C1393">
        <f>IF(COUNTIFS('United Data'!$A$3:$A$3390,C$1,'United Data'!$C$3:$C$3390,$A1393,'United Data'!$B$3:$B$3390,"&lt;&gt;Off-street")&gt;0,1,0)</f>
        <v>0</v>
      </c>
      <c r="D1393">
        <f>IF(COUNTIFS('United Data'!$A$3:$A$3390,D$1,'United Data'!$C$3:$C$3390,$A1393,'United Data'!$B$3:$B$3390,"&lt;&gt;Off-street")&gt;0,1,0)</f>
        <v>0</v>
      </c>
      <c r="E1393">
        <f>IF(COUNTIFS('United Data'!$A$3:$A$3390,E$1,'United Data'!$C$3:$C$3390,$A1393,'United Data'!$B$3:$B$3390,"&lt;&gt;Off-street")&gt;0,1,0)</f>
        <v>0</v>
      </c>
      <c r="F1393">
        <f>IF(COUNTIFS('United Data'!$A$3:$A$3390,F$1,'United Data'!$C$3:$C$3390,$A1393,'United Data'!$B$3:$B$3390,"&lt;&gt;Off-street")&gt;0,1,0)</f>
        <v>0</v>
      </c>
      <c r="G1393">
        <f>IF(COUNTIFS('United Data'!$A$3:$A$3390,G$1,'United Data'!$C$3:$C$3390,$A1393,'United Data'!$B$3:$B$3390,"&lt;&gt;Off-street")&gt;0,1,0)</f>
        <v>0</v>
      </c>
      <c r="H1393">
        <f>IF(COUNTIFS('United Data'!$A$3:$A$3390,H$1,'United Data'!$C$3:$C$3390,$A1393,'United Data'!$B$3:$B$3390,"&lt;&gt;Off-street")&gt;0,1,0)</f>
        <v>0</v>
      </c>
      <c r="I1393">
        <f>IF(COUNTIFS('United Data'!$A$3:$A$3390,I$1,'United Data'!$C$3:$C$3390,$A1393,'United Data'!$B$3:$B$3390,"&lt;&gt;Off-street")&gt;0,1,0)</f>
        <v>0</v>
      </c>
      <c r="J1393">
        <f>IF(COUNTIFS('United Data'!$A$3:$A$3390,J$1,'United Data'!$C$3:$C$3390,$A1393,'United Data'!$B$3:$B$3390,"&lt;&gt;Off-street")&gt;0,1,0)</f>
        <v>0</v>
      </c>
      <c r="K1393">
        <f>IF(COUNTIFS('United Data'!$A$3:$A$3390,K$1,'United Data'!$C$3:$C$3390,$A1393,'United Data'!$B$3:$B$3390,"&lt;&gt;Off-street")&gt;0,1,0)</f>
        <v>1</v>
      </c>
      <c r="L1393">
        <f>IF(COUNTIFS('United Data'!$A$3:$A$3390,L$1,'United Data'!$C$3:$C$3390,$A1393,'United Data'!$B$3:$B$3390,"&lt;&gt;Off-street")&gt;0,1,0)</f>
        <v>0</v>
      </c>
      <c r="M1393">
        <f>IF(COUNTIFS('United Data'!$A$3:$A$3390,M$1,'United Data'!$C$3:$C$3390,$A1393,'United Data'!$B$3:$B$3390,"&lt;&gt;Off-street")&gt;0,1,0)</f>
        <v>0</v>
      </c>
      <c r="N1393">
        <f>IF(COUNTIFS('United Data'!$A$3:$A$3390,N$1,'United Data'!$C$3:$C$3390,$A1393,'United Data'!$B$3:$B$3390,"&lt;&gt;Off-street")&gt;0,1,0)</f>
        <v>0</v>
      </c>
      <c r="O1393">
        <f>IF(COUNTIFS('United Data'!$A$3:$A$3390,O$1,'United Data'!$C$3:$C$3390,$A1393,'United Data'!$B$3:$B$3390,"&lt;&gt;Off-street")&gt;0,1,0)</f>
        <v>0</v>
      </c>
      <c r="P1393">
        <f>IF(COUNTIFS('United Data'!$A$3:$A$3390,P$1,'United Data'!$C$3:$C$3390,$A1393,'United Data'!$B$3:$B$3390,"&lt;&gt;Off-street")&gt;0,1,0)</f>
        <v>0</v>
      </c>
      <c r="Q1393">
        <f>IF(COUNTIFS('United Data'!$A$3:$A$3390,Q$1,'United Data'!$C$3:$C$3390,$A1393,'United Data'!$B$3:$B$3390,"&lt;&gt;Off-street")&gt;0,1,0)</f>
        <v>0</v>
      </c>
      <c r="R1393">
        <f>IF(COUNTIFS('United Data'!$A$3:$A$3390,R$1,'United Data'!$C$3:$C$3390,$A1393,'United Data'!$B$3:$B$3390,"&lt;&gt;Off-street")&gt;0,1,0)</f>
        <v>0</v>
      </c>
      <c r="S1393">
        <f t="shared" si="42"/>
        <v>1</v>
      </c>
      <c r="T1393">
        <f t="shared" si="43"/>
        <v>1</v>
      </c>
    </row>
    <row r="1394" spans="1:20" x14ac:dyDescent="0.2">
      <c r="A1394" t="s">
        <v>1651</v>
      </c>
      <c r="B1394">
        <f>IF(COUNTIFS('United Data'!$A$3:$A$3390,B$1,'United Data'!$C$3:$C$3390,$A1394,'United Data'!$B$3:$B$3390,"&lt;&gt;Off-street")&gt;0,1,0)</f>
        <v>0</v>
      </c>
      <c r="C1394">
        <f>IF(COUNTIFS('United Data'!$A$3:$A$3390,C$1,'United Data'!$C$3:$C$3390,$A1394,'United Data'!$B$3:$B$3390,"&lt;&gt;Off-street")&gt;0,1,0)</f>
        <v>0</v>
      </c>
      <c r="D1394">
        <f>IF(COUNTIFS('United Data'!$A$3:$A$3390,D$1,'United Data'!$C$3:$C$3390,$A1394,'United Data'!$B$3:$B$3390,"&lt;&gt;Off-street")&gt;0,1,0)</f>
        <v>0</v>
      </c>
      <c r="E1394">
        <f>IF(COUNTIFS('United Data'!$A$3:$A$3390,E$1,'United Data'!$C$3:$C$3390,$A1394,'United Data'!$B$3:$B$3390,"&lt;&gt;Off-street")&gt;0,1,0)</f>
        <v>0</v>
      </c>
      <c r="F1394">
        <f>IF(COUNTIFS('United Data'!$A$3:$A$3390,F$1,'United Data'!$C$3:$C$3390,$A1394,'United Data'!$B$3:$B$3390,"&lt;&gt;Off-street")&gt;0,1,0)</f>
        <v>0</v>
      </c>
      <c r="G1394">
        <f>IF(COUNTIFS('United Data'!$A$3:$A$3390,G$1,'United Data'!$C$3:$C$3390,$A1394,'United Data'!$B$3:$B$3390,"&lt;&gt;Off-street")&gt;0,1,0)</f>
        <v>0</v>
      </c>
      <c r="H1394">
        <f>IF(COUNTIFS('United Data'!$A$3:$A$3390,H$1,'United Data'!$C$3:$C$3390,$A1394,'United Data'!$B$3:$B$3390,"&lt;&gt;Off-street")&gt;0,1,0)</f>
        <v>0</v>
      </c>
      <c r="I1394">
        <f>IF(COUNTIFS('United Data'!$A$3:$A$3390,I$1,'United Data'!$C$3:$C$3390,$A1394,'United Data'!$B$3:$B$3390,"&lt;&gt;Off-street")&gt;0,1,0)</f>
        <v>0</v>
      </c>
      <c r="J1394">
        <f>IF(COUNTIFS('United Data'!$A$3:$A$3390,J$1,'United Data'!$C$3:$C$3390,$A1394,'United Data'!$B$3:$B$3390,"&lt;&gt;Off-street")&gt;0,1,0)</f>
        <v>0</v>
      </c>
      <c r="K1394">
        <f>IF(COUNTIFS('United Data'!$A$3:$A$3390,K$1,'United Data'!$C$3:$C$3390,$A1394,'United Data'!$B$3:$B$3390,"&lt;&gt;Off-street")&gt;0,1,0)</f>
        <v>1</v>
      </c>
      <c r="L1394">
        <f>IF(COUNTIFS('United Data'!$A$3:$A$3390,L$1,'United Data'!$C$3:$C$3390,$A1394,'United Data'!$B$3:$B$3390,"&lt;&gt;Off-street")&gt;0,1,0)</f>
        <v>0</v>
      </c>
      <c r="M1394">
        <f>IF(COUNTIFS('United Data'!$A$3:$A$3390,M$1,'United Data'!$C$3:$C$3390,$A1394,'United Data'!$B$3:$B$3390,"&lt;&gt;Off-street")&gt;0,1,0)</f>
        <v>0</v>
      </c>
      <c r="N1394">
        <f>IF(COUNTIFS('United Data'!$A$3:$A$3390,N$1,'United Data'!$C$3:$C$3390,$A1394,'United Data'!$B$3:$B$3390,"&lt;&gt;Off-street")&gt;0,1,0)</f>
        <v>0</v>
      </c>
      <c r="O1394">
        <f>IF(COUNTIFS('United Data'!$A$3:$A$3390,O$1,'United Data'!$C$3:$C$3390,$A1394,'United Data'!$B$3:$B$3390,"&lt;&gt;Off-street")&gt;0,1,0)</f>
        <v>0</v>
      </c>
      <c r="P1394">
        <f>IF(COUNTIFS('United Data'!$A$3:$A$3390,P$1,'United Data'!$C$3:$C$3390,$A1394,'United Data'!$B$3:$B$3390,"&lt;&gt;Off-street")&gt;0,1,0)</f>
        <v>0</v>
      </c>
      <c r="Q1394">
        <f>IF(COUNTIFS('United Data'!$A$3:$A$3390,Q$1,'United Data'!$C$3:$C$3390,$A1394,'United Data'!$B$3:$B$3390,"&lt;&gt;Off-street")&gt;0,1,0)</f>
        <v>0</v>
      </c>
      <c r="R1394">
        <f>IF(COUNTIFS('United Data'!$A$3:$A$3390,R$1,'United Data'!$C$3:$C$3390,$A1394,'United Data'!$B$3:$B$3390,"&lt;&gt;Off-street")&gt;0,1,0)</f>
        <v>0</v>
      </c>
      <c r="S1394">
        <f t="shared" si="42"/>
        <v>1</v>
      </c>
      <c r="T1394">
        <f t="shared" si="43"/>
        <v>1</v>
      </c>
    </row>
    <row r="1395" spans="1:20" x14ac:dyDescent="0.2">
      <c r="A1395" t="s">
        <v>1652</v>
      </c>
      <c r="B1395">
        <f>IF(COUNTIFS('United Data'!$A$3:$A$3390,B$1,'United Data'!$C$3:$C$3390,$A1395,'United Data'!$B$3:$B$3390,"&lt;&gt;Off-street")&gt;0,1,0)</f>
        <v>0</v>
      </c>
      <c r="C1395">
        <f>IF(COUNTIFS('United Data'!$A$3:$A$3390,C$1,'United Data'!$C$3:$C$3390,$A1395,'United Data'!$B$3:$B$3390,"&lt;&gt;Off-street")&gt;0,1,0)</f>
        <v>0</v>
      </c>
      <c r="D1395">
        <f>IF(COUNTIFS('United Data'!$A$3:$A$3390,D$1,'United Data'!$C$3:$C$3390,$A1395,'United Data'!$B$3:$B$3390,"&lt;&gt;Off-street")&gt;0,1,0)</f>
        <v>0</v>
      </c>
      <c r="E1395">
        <f>IF(COUNTIFS('United Data'!$A$3:$A$3390,E$1,'United Data'!$C$3:$C$3390,$A1395,'United Data'!$B$3:$B$3390,"&lt;&gt;Off-street")&gt;0,1,0)</f>
        <v>0</v>
      </c>
      <c r="F1395">
        <f>IF(COUNTIFS('United Data'!$A$3:$A$3390,F$1,'United Data'!$C$3:$C$3390,$A1395,'United Data'!$B$3:$B$3390,"&lt;&gt;Off-street")&gt;0,1,0)</f>
        <v>0</v>
      </c>
      <c r="G1395">
        <f>IF(COUNTIFS('United Data'!$A$3:$A$3390,G$1,'United Data'!$C$3:$C$3390,$A1395,'United Data'!$B$3:$B$3390,"&lt;&gt;Off-street")&gt;0,1,0)</f>
        <v>0</v>
      </c>
      <c r="H1395">
        <f>IF(COUNTIFS('United Data'!$A$3:$A$3390,H$1,'United Data'!$C$3:$C$3390,$A1395,'United Data'!$B$3:$B$3390,"&lt;&gt;Off-street")&gt;0,1,0)</f>
        <v>0</v>
      </c>
      <c r="I1395">
        <f>IF(COUNTIFS('United Data'!$A$3:$A$3390,I$1,'United Data'!$C$3:$C$3390,$A1395,'United Data'!$B$3:$B$3390,"&lt;&gt;Off-street")&gt;0,1,0)</f>
        <v>0</v>
      </c>
      <c r="J1395">
        <f>IF(COUNTIFS('United Data'!$A$3:$A$3390,J$1,'United Data'!$C$3:$C$3390,$A1395,'United Data'!$B$3:$B$3390,"&lt;&gt;Off-street")&gt;0,1,0)</f>
        <v>0</v>
      </c>
      <c r="K1395">
        <f>IF(COUNTIFS('United Data'!$A$3:$A$3390,K$1,'United Data'!$C$3:$C$3390,$A1395,'United Data'!$B$3:$B$3390,"&lt;&gt;Off-street")&gt;0,1,0)</f>
        <v>1</v>
      </c>
      <c r="L1395">
        <f>IF(COUNTIFS('United Data'!$A$3:$A$3390,L$1,'United Data'!$C$3:$C$3390,$A1395,'United Data'!$B$3:$B$3390,"&lt;&gt;Off-street")&gt;0,1,0)</f>
        <v>0</v>
      </c>
      <c r="M1395">
        <f>IF(COUNTIFS('United Data'!$A$3:$A$3390,M$1,'United Data'!$C$3:$C$3390,$A1395,'United Data'!$B$3:$B$3390,"&lt;&gt;Off-street")&gt;0,1,0)</f>
        <v>0</v>
      </c>
      <c r="N1395">
        <f>IF(COUNTIFS('United Data'!$A$3:$A$3390,N$1,'United Data'!$C$3:$C$3390,$A1395,'United Data'!$B$3:$B$3390,"&lt;&gt;Off-street")&gt;0,1,0)</f>
        <v>0</v>
      </c>
      <c r="O1395">
        <f>IF(COUNTIFS('United Data'!$A$3:$A$3390,O$1,'United Data'!$C$3:$C$3390,$A1395,'United Data'!$B$3:$B$3390,"&lt;&gt;Off-street")&gt;0,1,0)</f>
        <v>0</v>
      </c>
      <c r="P1395">
        <f>IF(COUNTIFS('United Data'!$A$3:$A$3390,P$1,'United Data'!$C$3:$C$3390,$A1395,'United Data'!$B$3:$B$3390,"&lt;&gt;Off-street")&gt;0,1,0)</f>
        <v>0</v>
      </c>
      <c r="Q1395">
        <f>IF(COUNTIFS('United Data'!$A$3:$A$3390,Q$1,'United Data'!$C$3:$C$3390,$A1395,'United Data'!$B$3:$B$3390,"&lt;&gt;Off-street")&gt;0,1,0)</f>
        <v>0</v>
      </c>
      <c r="R1395">
        <f>IF(COUNTIFS('United Data'!$A$3:$A$3390,R$1,'United Data'!$C$3:$C$3390,$A1395,'United Data'!$B$3:$B$3390,"&lt;&gt;Off-street")&gt;0,1,0)</f>
        <v>0</v>
      </c>
      <c r="S1395">
        <f t="shared" si="42"/>
        <v>1</v>
      </c>
      <c r="T1395">
        <f t="shared" si="43"/>
        <v>1</v>
      </c>
    </row>
    <row r="1396" spans="1:20" x14ac:dyDescent="0.2">
      <c r="A1396" t="s">
        <v>1653</v>
      </c>
      <c r="B1396">
        <f>IF(COUNTIFS('United Data'!$A$3:$A$3390,B$1,'United Data'!$C$3:$C$3390,$A1396,'United Data'!$B$3:$B$3390,"&lt;&gt;Off-street")&gt;0,1,0)</f>
        <v>0</v>
      </c>
      <c r="C1396">
        <f>IF(COUNTIFS('United Data'!$A$3:$A$3390,C$1,'United Data'!$C$3:$C$3390,$A1396,'United Data'!$B$3:$B$3390,"&lt;&gt;Off-street")&gt;0,1,0)</f>
        <v>0</v>
      </c>
      <c r="D1396">
        <f>IF(COUNTIFS('United Data'!$A$3:$A$3390,D$1,'United Data'!$C$3:$C$3390,$A1396,'United Data'!$B$3:$B$3390,"&lt;&gt;Off-street")&gt;0,1,0)</f>
        <v>0</v>
      </c>
      <c r="E1396">
        <f>IF(COUNTIFS('United Data'!$A$3:$A$3390,E$1,'United Data'!$C$3:$C$3390,$A1396,'United Data'!$B$3:$B$3390,"&lt;&gt;Off-street")&gt;0,1,0)</f>
        <v>0</v>
      </c>
      <c r="F1396">
        <f>IF(COUNTIFS('United Data'!$A$3:$A$3390,F$1,'United Data'!$C$3:$C$3390,$A1396,'United Data'!$B$3:$B$3390,"&lt;&gt;Off-street")&gt;0,1,0)</f>
        <v>0</v>
      </c>
      <c r="G1396">
        <f>IF(COUNTIFS('United Data'!$A$3:$A$3390,G$1,'United Data'!$C$3:$C$3390,$A1396,'United Data'!$B$3:$B$3390,"&lt;&gt;Off-street")&gt;0,1,0)</f>
        <v>0</v>
      </c>
      <c r="H1396">
        <f>IF(COUNTIFS('United Data'!$A$3:$A$3390,H$1,'United Data'!$C$3:$C$3390,$A1396,'United Data'!$B$3:$B$3390,"&lt;&gt;Off-street")&gt;0,1,0)</f>
        <v>0</v>
      </c>
      <c r="I1396">
        <f>IF(COUNTIFS('United Data'!$A$3:$A$3390,I$1,'United Data'!$C$3:$C$3390,$A1396,'United Data'!$B$3:$B$3390,"&lt;&gt;Off-street")&gt;0,1,0)</f>
        <v>0</v>
      </c>
      <c r="J1396">
        <f>IF(COUNTIFS('United Data'!$A$3:$A$3390,J$1,'United Data'!$C$3:$C$3390,$A1396,'United Data'!$B$3:$B$3390,"&lt;&gt;Off-street")&gt;0,1,0)</f>
        <v>0</v>
      </c>
      <c r="K1396">
        <f>IF(COUNTIFS('United Data'!$A$3:$A$3390,K$1,'United Data'!$C$3:$C$3390,$A1396,'United Data'!$B$3:$B$3390,"&lt;&gt;Off-street")&gt;0,1,0)</f>
        <v>1</v>
      </c>
      <c r="L1396">
        <f>IF(COUNTIFS('United Data'!$A$3:$A$3390,L$1,'United Data'!$C$3:$C$3390,$A1396,'United Data'!$B$3:$B$3390,"&lt;&gt;Off-street")&gt;0,1,0)</f>
        <v>0</v>
      </c>
      <c r="M1396">
        <f>IF(COUNTIFS('United Data'!$A$3:$A$3390,M$1,'United Data'!$C$3:$C$3390,$A1396,'United Data'!$B$3:$B$3390,"&lt;&gt;Off-street")&gt;0,1,0)</f>
        <v>0</v>
      </c>
      <c r="N1396">
        <f>IF(COUNTIFS('United Data'!$A$3:$A$3390,N$1,'United Data'!$C$3:$C$3390,$A1396,'United Data'!$B$3:$B$3390,"&lt;&gt;Off-street")&gt;0,1,0)</f>
        <v>0</v>
      </c>
      <c r="O1396">
        <f>IF(COUNTIFS('United Data'!$A$3:$A$3390,O$1,'United Data'!$C$3:$C$3390,$A1396,'United Data'!$B$3:$B$3390,"&lt;&gt;Off-street")&gt;0,1,0)</f>
        <v>0</v>
      </c>
      <c r="P1396">
        <f>IF(COUNTIFS('United Data'!$A$3:$A$3390,P$1,'United Data'!$C$3:$C$3390,$A1396,'United Data'!$B$3:$B$3390,"&lt;&gt;Off-street")&gt;0,1,0)</f>
        <v>0</v>
      </c>
      <c r="Q1396">
        <f>IF(COUNTIFS('United Data'!$A$3:$A$3390,Q$1,'United Data'!$C$3:$C$3390,$A1396,'United Data'!$B$3:$B$3390,"&lt;&gt;Off-street")&gt;0,1,0)</f>
        <v>0</v>
      </c>
      <c r="R1396">
        <f>IF(COUNTIFS('United Data'!$A$3:$A$3390,R$1,'United Data'!$C$3:$C$3390,$A1396,'United Data'!$B$3:$B$3390,"&lt;&gt;Off-street")&gt;0,1,0)</f>
        <v>0</v>
      </c>
      <c r="S1396">
        <f t="shared" si="42"/>
        <v>1</v>
      </c>
      <c r="T1396">
        <f t="shared" si="43"/>
        <v>1</v>
      </c>
    </row>
    <row r="1397" spans="1:20" x14ac:dyDescent="0.2">
      <c r="A1397" t="s">
        <v>1654</v>
      </c>
      <c r="B1397">
        <f>IF(COUNTIFS('United Data'!$A$3:$A$3390,B$1,'United Data'!$C$3:$C$3390,$A1397,'United Data'!$B$3:$B$3390,"&lt;&gt;Off-street")&gt;0,1,0)</f>
        <v>0</v>
      </c>
      <c r="C1397">
        <f>IF(COUNTIFS('United Data'!$A$3:$A$3390,C$1,'United Data'!$C$3:$C$3390,$A1397,'United Data'!$B$3:$B$3390,"&lt;&gt;Off-street")&gt;0,1,0)</f>
        <v>0</v>
      </c>
      <c r="D1397">
        <f>IF(COUNTIFS('United Data'!$A$3:$A$3390,D$1,'United Data'!$C$3:$C$3390,$A1397,'United Data'!$B$3:$B$3390,"&lt;&gt;Off-street")&gt;0,1,0)</f>
        <v>0</v>
      </c>
      <c r="E1397">
        <f>IF(COUNTIFS('United Data'!$A$3:$A$3390,E$1,'United Data'!$C$3:$C$3390,$A1397,'United Data'!$B$3:$B$3390,"&lt;&gt;Off-street")&gt;0,1,0)</f>
        <v>0</v>
      </c>
      <c r="F1397">
        <f>IF(COUNTIFS('United Data'!$A$3:$A$3390,F$1,'United Data'!$C$3:$C$3390,$A1397,'United Data'!$B$3:$B$3390,"&lt;&gt;Off-street")&gt;0,1,0)</f>
        <v>0</v>
      </c>
      <c r="G1397">
        <f>IF(COUNTIFS('United Data'!$A$3:$A$3390,G$1,'United Data'!$C$3:$C$3390,$A1397,'United Data'!$B$3:$B$3390,"&lt;&gt;Off-street")&gt;0,1,0)</f>
        <v>0</v>
      </c>
      <c r="H1397">
        <f>IF(COUNTIFS('United Data'!$A$3:$A$3390,H$1,'United Data'!$C$3:$C$3390,$A1397,'United Data'!$B$3:$B$3390,"&lt;&gt;Off-street")&gt;0,1,0)</f>
        <v>0</v>
      </c>
      <c r="I1397">
        <f>IF(COUNTIFS('United Data'!$A$3:$A$3390,I$1,'United Data'!$C$3:$C$3390,$A1397,'United Data'!$B$3:$B$3390,"&lt;&gt;Off-street")&gt;0,1,0)</f>
        <v>0</v>
      </c>
      <c r="J1397">
        <f>IF(COUNTIFS('United Data'!$A$3:$A$3390,J$1,'United Data'!$C$3:$C$3390,$A1397,'United Data'!$B$3:$B$3390,"&lt;&gt;Off-street")&gt;0,1,0)</f>
        <v>0</v>
      </c>
      <c r="K1397">
        <f>IF(COUNTIFS('United Data'!$A$3:$A$3390,K$1,'United Data'!$C$3:$C$3390,$A1397,'United Data'!$B$3:$B$3390,"&lt;&gt;Off-street")&gt;0,1,0)</f>
        <v>0</v>
      </c>
      <c r="L1397">
        <f>IF(COUNTIFS('United Data'!$A$3:$A$3390,L$1,'United Data'!$C$3:$C$3390,$A1397,'United Data'!$B$3:$B$3390,"&lt;&gt;Off-street")&gt;0,1,0)</f>
        <v>1</v>
      </c>
      <c r="M1397">
        <f>IF(COUNTIFS('United Data'!$A$3:$A$3390,M$1,'United Data'!$C$3:$C$3390,$A1397,'United Data'!$B$3:$B$3390,"&lt;&gt;Off-street")&gt;0,1,0)</f>
        <v>0</v>
      </c>
      <c r="N1397">
        <f>IF(COUNTIFS('United Data'!$A$3:$A$3390,N$1,'United Data'!$C$3:$C$3390,$A1397,'United Data'!$B$3:$B$3390,"&lt;&gt;Off-street")&gt;0,1,0)</f>
        <v>0</v>
      </c>
      <c r="O1397">
        <f>IF(COUNTIFS('United Data'!$A$3:$A$3390,O$1,'United Data'!$C$3:$C$3390,$A1397,'United Data'!$B$3:$B$3390,"&lt;&gt;Off-street")&gt;0,1,0)</f>
        <v>0</v>
      </c>
      <c r="P1397">
        <f>IF(COUNTIFS('United Data'!$A$3:$A$3390,P$1,'United Data'!$C$3:$C$3390,$A1397,'United Data'!$B$3:$B$3390,"&lt;&gt;Off-street")&gt;0,1,0)</f>
        <v>0</v>
      </c>
      <c r="Q1397">
        <f>IF(COUNTIFS('United Data'!$A$3:$A$3390,Q$1,'United Data'!$C$3:$C$3390,$A1397,'United Data'!$B$3:$B$3390,"&lt;&gt;Off-street")&gt;0,1,0)</f>
        <v>0</v>
      </c>
      <c r="R1397">
        <f>IF(COUNTIFS('United Data'!$A$3:$A$3390,R$1,'United Data'!$C$3:$C$3390,$A1397,'United Data'!$B$3:$B$3390,"&lt;&gt;Off-street")&gt;0,1,0)</f>
        <v>0</v>
      </c>
      <c r="S1397">
        <f t="shared" si="42"/>
        <v>1</v>
      </c>
      <c r="T1397">
        <f t="shared" si="43"/>
        <v>1</v>
      </c>
    </row>
    <row r="1398" spans="1:20" x14ac:dyDescent="0.2">
      <c r="A1398" t="s">
        <v>1655</v>
      </c>
      <c r="B1398">
        <f>IF(COUNTIFS('United Data'!$A$3:$A$3390,B$1,'United Data'!$C$3:$C$3390,$A1398,'United Data'!$B$3:$B$3390,"&lt;&gt;Off-street")&gt;0,1,0)</f>
        <v>0</v>
      </c>
      <c r="C1398">
        <f>IF(COUNTIFS('United Data'!$A$3:$A$3390,C$1,'United Data'!$C$3:$C$3390,$A1398,'United Data'!$B$3:$B$3390,"&lt;&gt;Off-street")&gt;0,1,0)</f>
        <v>0</v>
      </c>
      <c r="D1398">
        <f>IF(COUNTIFS('United Data'!$A$3:$A$3390,D$1,'United Data'!$C$3:$C$3390,$A1398,'United Data'!$B$3:$B$3390,"&lt;&gt;Off-street")&gt;0,1,0)</f>
        <v>0</v>
      </c>
      <c r="E1398">
        <f>IF(COUNTIFS('United Data'!$A$3:$A$3390,E$1,'United Data'!$C$3:$C$3390,$A1398,'United Data'!$B$3:$B$3390,"&lt;&gt;Off-street")&gt;0,1,0)</f>
        <v>0</v>
      </c>
      <c r="F1398">
        <f>IF(COUNTIFS('United Data'!$A$3:$A$3390,F$1,'United Data'!$C$3:$C$3390,$A1398,'United Data'!$B$3:$B$3390,"&lt;&gt;Off-street")&gt;0,1,0)</f>
        <v>0</v>
      </c>
      <c r="G1398">
        <f>IF(COUNTIFS('United Data'!$A$3:$A$3390,G$1,'United Data'!$C$3:$C$3390,$A1398,'United Data'!$B$3:$B$3390,"&lt;&gt;Off-street")&gt;0,1,0)</f>
        <v>0</v>
      </c>
      <c r="H1398">
        <f>IF(COUNTIFS('United Data'!$A$3:$A$3390,H$1,'United Data'!$C$3:$C$3390,$A1398,'United Data'!$B$3:$B$3390,"&lt;&gt;Off-street")&gt;0,1,0)</f>
        <v>0</v>
      </c>
      <c r="I1398">
        <f>IF(COUNTIFS('United Data'!$A$3:$A$3390,I$1,'United Data'!$C$3:$C$3390,$A1398,'United Data'!$B$3:$B$3390,"&lt;&gt;Off-street")&gt;0,1,0)</f>
        <v>0</v>
      </c>
      <c r="J1398">
        <f>IF(COUNTIFS('United Data'!$A$3:$A$3390,J$1,'United Data'!$C$3:$C$3390,$A1398,'United Data'!$B$3:$B$3390,"&lt;&gt;Off-street")&gt;0,1,0)</f>
        <v>0</v>
      </c>
      <c r="K1398">
        <f>IF(COUNTIFS('United Data'!$A$3:$A$3390,K$1,'United Data'!$C$3:$C$3390,$A1398,'United Data'!$B$3:$B$3390,"&lt;&gt;Off-street")&gt;0,1,0)</f>
        <v>0</v>
      </c>
      <c r="L1398">
        <f>IF(COUNTIFS('United Data'!$A$3:$A$3390,L$1,'United Data'!$C$3:$C$3390,$A1398,'United Data'!$B$3:$B$3390,"&lt;&gt;Off-street")&gt;0,1,0)</f>
        <v>1</v>
      </c>
      <c r="M1398">
        <f>IF(COUNTIFS('United Data'!$A$3:$A$3390,M$1,'United Data'!$C$3:$C$3390,$A1398,'United Data'!$B$3:$B$3390,"&lt;&gt;Off-street")&gt;0,1,0)</f>
        <v>0</v>
      </c>
      <c r="N1398">
        <f>IF(COUNTIFS('United Data'!$A$3:$A$3390,N$1,'United Data'!$C$3:$C$3390,$A1398,'United Data'!$B$3:$B$3390,"&lt;&gt;Off-street")&gt;0,1,0)</f>
        <v>0</v>
      </c>
      <c r="O1398">
        <f>IF(COUNTIFS('United Data'!$A$3:$A$3390,O$1,'United Data'!$C$3:$C$3390,$A1398,'United Data'!$B$3:$B$3390,"&lt;&gt;Off-street")&gt;0,1,0)</f>
        <v>0</v>
      </c>
      <c r="P1398">
        <f>IF(COUNTIFS('United Data'!$A$3:$A$3390,P$1,'United Data'!$C$3:$C$3390,$A1398,'United Data'!$B$3:$B$3390,"&lt;&gt;Off-street")&gt;0,1,0)</f>
        <v>0</v>
      </c>
      <c r="Q1398">
        <f>IF(COUNTIFS('United Data'!$A$3:$A$3390,Q$1,'United Data'!$C$3:$C$3390,$A1398,'United Data'!$B$3:$B$3390,"&lt;&gt;Off-street")&gt;0,1,0)</f>
        <v>0</v>
      </c>
      <c r="R1398">
        <f>IF(COUNTIFS('United Data'!$A$3:$A$3390,R$1,'United Data'!$C$3:$C$3390,$A1398,'United Data'!$B$3:$B$3390,"&lt;&gt;Off-street")&gt;0,1,0)</f>
        <v>0</v>
      </c>
      <c r="S1398">
        <f t="shared" si="42"/>
        <v>1</v>
      </c>
      <c r="T1398">
        <f t="shared" si="43"/>
        <v>1</v>
      </c>
    </row>
    <row r="1399" spans="1:20" x14ac:dyDescent="0.2">
      <c r="A1399" t="s">
        <v>1656</v>
      </c>
      <c r="B1399">
        <f>IF(COUNTIFS('United Data'!$A$3:$A$3390,B$1,'United Data'!$C$3:$C$3390,$A1399,'United Data'!$B$3:$B$3390,"&lt;&gt;Off-street")&gt;0,1,0)</f>
        <v>0</v>
      </c>
      <c r="C1399">
        <f>IF(COUNTIFS('United Data'!$A$3:$A$3390,C$1,'United Data'!$C$3:$C$3390,$A1399,'United Data'!$B$3:$B$3390,"&lt;&gt;Off-street")&gt;0,1,0)</f>
        <v>0</v>
      </c>
      <c r="D1399">
        <f>IF(COUNTIFS('United Data'!$A$3:$A$3390,D$1,'United Data'!$C$3:$C$3390,$A1399,'United Data'!$B$3:$B$3390,"&lt;&gt;Off-street")&gt;0,1,0)</f>
        <v>0</v>
      </c>
      <c r="E1399">
        <f>IF(COUNTIFS('United Data'!$A$3:$A$3390,E$1,'United Data'!$C$3:$C$3390,$A1399,'United Data'!$B$3:$B$3390,"&lt;&gt;Off-street")&gt;0,1,0)</f>
        <v>0</v>
      </c>
      <c r="F1399">
        <f>IF(COUNTIFS('United Data'!$A$3:$A$3390,F$1,'United Data'!$C$3:$C$3390,$A1399,'United Data'!$B$3:$B$3390,"&lt;&gt;Off-street")&gt;0,1,0)</f>
        <v>0</v>
      </c>
      <c r="G1399">
        <f>IF(COUNTIFS('United Data'!$A$3:$A$3390,G$1,'United Data'!$C$3:$C$3390,$A1399,'United Data'!$B$3:$B$3390,"&lt;&gt;Off-street")&gt;0,1,0)</f>
        <v>0</v>
      </c>
      <c r="H1399">
        <f>IF(COUNTIFS('United Data'!$A$3:$A$3390,H$1,'United Data'!$C$3:$C$3390,$A1399,'United Data'!$B$3:$B$3390,"&lt;&gt;Off-street")&gt;0,1,0)</f>
        <v>0</v>
      </c>
      <c r="I1399">
        <f>IF(COUNTIFS('United Data'!$A$3:$A$3390,I$1,'United Data'!$C$3:$C$3390,$A1399,'United Data'!$B$3:$B$3390,"&lt;&gt;Off-street")&gt;0,1,0)</f>
        <v>0</v>
      </c>
      <c r="J1399">
        <f>IF(COUNTIFS('United Data'!$A$3:$A$3390,J$1,'United Data'!$C$3:$C$3390,$A1399,'United Data'!$B$3:$B$3390,"&lt;&gt;Off-street")&gt;0,1,0)</f>
        <v>0</v>
      </c>
      <c r="K1399">
        <f>IF(COUNTIFS('United Data'!$A$3:$A$3390,K$1,'United Data'!$C$3:$C$3390,$A1399,'United Data'!$B$3:$B$3390,"&lt;&gt;Off-street")&gt;0,1,0)</f>
        <v>0</v>
      </c>
      <c r="L1399">
        <f>IF(COUNTIFS('United Data'!$A$3:$A$3390,L$1,'United Data'!$C$3:$C$3390,$A1399,'United Data'!$B$3:$B$3390,"&lt;&gt;Off-street")&gt;0,1,0)</f>
        <v>0</v>
      </c>
      <c r="M1399">
        <f>IF(COUNTIFS('United Data'!$A$3:$A$3390,M$1,'United Data'!$C$3:$C$3390,$A1399,'United Data'!$B$3:$B$3390,"&lt;&gt;Off-street")&gt;0,1,0)</f>
        <v>1</v>
      </c>
      <c r="N1399">
        <f>IF(COUNTIFS('United Data'!$A$3:$A$3390,N$1,'United Data'!$C$3:$C$3390,$A1399,'United Data'!$B$3:$B$3390,"&lt;&gt;Off-street")&gt;0,1,0)</f>
        <v>1</v>
      </c>
      <c r="O1399">
        <f>IF(COUNTIFS('United Data'!$A$3:$A$3390,O$1,'United Data'!$C$3:$C$3390,$A1399,'United Data'!$B$3:$B$3390,"&lt;&gt;Off-street")&gt;0,1,0)</f>
        <v>0</v>
      </c>
      <c r="P1399">
        <f>IF(COUNTIFS('United Data'!$A$3:$A$3390,P$1,'United Data'!$C$3:$C$3390,$A1399,'United Data'!$B$3:$B$3390,"&lt;&gt;Off-street")&gt;0,1,0)</f>
        <v>0</v>
      </c>
      <c r="Q1399">
        <f>IF(COUNTIFS('United Data'!$A$3:$A$3390,Q$1,'United Data'!$C$3:$C$3390,$A1399,'United Data'!$B$3:$B$3390,"&lt;&gt;Off-street")&gt;0,1,0)</f>
        <v>0</v>
      </c>
      <c r="R1399">
        <f>IF(COUNTIFS('United Data'!$A$3:$A$3390,R$1,'United Data'!$C$3:$C$3390,$A1399,'United Data'!$B$3:$B$3390,"&lt;&gt;Off-street")&gt;0,1,0)</f>
        <v>0</v>
      </c>
      <c r="S1399">
        <f t="shared" si="42"/>
        <v>2</v>
      </c>
      <c r="T1399">
        <f t="shared" si="43"/>
        <v>1</v>
      </c>
    </row>
    <row r="1400" spans="1:20" x14ac:dyDescent="0.2">
      <c r="A1400" t="s">
        <v>1657</v>
      </c>
      <c r="B1400">
        <f>IF(COUNTIFS('United Data'!$A$3:$A$3390,B$1,'United Data'!$C$3:$C$3390,$A1400,'United Data'!$B$3:$B$3390,"&lt;&gt;Off-street")&gt;0,1,0)</f>
        <v>0</v>
      </c>
      <c r="C1400">
        <f>IF(COUNTIFS('United Data'!$A$3:$A$3390,C$1,'United Data'!$C$3:$C$3390,$A1400,'United Data'!$B$3:$B$3390,"&lt;&gt;Off-street")&gt;0,1,0)</f>
        <v>0</v>
      </c>
      <c r="D1400">
        <f>IF(COUNTIFS('United Data'!$A$3:$A$3390,D$1,'United Data'!$C$3:$C$3390,$A1400,'United Data'!$B$3:$B$3390,"&lt;&gt;Off-street")&gt;0,1,0)</f>
        <v>0</v>
      </c>
      <c r="E1400">
        <f>IF(COUNTIFS('United Data'!$A$3:$A$3390,E$1,'United Data'!$C$3:$C$3390,$A1400,'United Data'!$B$3:$B$3390,"&lt;&gt;Off-street")&gt;0,1,0)</f>
        <v>0</v>
      </c>
      <c r="F1400">
        <f>IF(COUNTIFS('United Data'!$A$3:$A$3390,F$1,'United Data'!$C$3:$C$3390,$A1400,'United Data'!$B$3:$B$3390,"&lt;&gt;Off-street")&gt;0,1,0)</f>
        <v>0</v>
      </c>
      <c r="G1400">
        <f>IF(COUNTIFS('United Data'!$A$3:$A$3390,G$1,'United Data'!$C$3:$C$3390,$A1400,'United Data'!$B$3:$B$3390,"&lt;&gt;Off-street")&gt;0,1,0)</f>
        <v>0</v>
      </c>
      <c r="H1400">
        <f>IF(COUNTIFS('United Data'!$A$3:$A$3390,H$1,'United Data'!$C$3:$C$3390,$A1400,'United Data'!$B$3:$B$3390,"&lt;&gt;Off-street")&gt;0,1,0)</f>
        <v>0</v>
      </c>
      <c r="I1400">
        <f>IF(COUNTIFS('United Data'!$A$3:$A$3390,I$1,'United Data'!$C$3:$C$3390,$A1400,'United Data'!$B$3:$B$3390,"&lt;&gt;Off-street")&gt;0,1,0)</f>
        <v>0</v>
      </c>
      <c r="J1400">
        <f>IF(COUNTIFS('United Data'!$A$3:$A$3390,J$1,'United Data'!$C$3:$C$3390,$A1400,'United Data'!$B$3:$B$3390,"&lt;&gt;Off-street")&gt;0,1,0)</f>
        <v>0</v>
      </c>
      <c r="K1400">
        <f>IF(COUNTIFS('United Data'!$A$3:$A$3390,K$1,'United Data'!$C$3:$C$3390,$A1400,'United Data'!$B$3:$B$3390,"&lt;&gt;Off-street")&gt;0,1,0)</f>
        <v>0</v>
      </c>
      <c r="L1400">
        <f>IF(COUNTIFS('United Data'!$A$3:$A$3390,L$1,'United Data'!$C$3:$C$3390,$A1400,'United Data'!$B$3:$B$3390,"&lt;&gt;Off-street")&gt;0,1,0)</f>
        <v>0</v>
      </c>
      <c r="M1400">
        <f>IF(COUNTIFS('United Data'!$A$3:$A$3390,M$1,'United Data'!$C$3:$C$3390,$A1400,'United Data'!$B$3:$B$3390,"&lt;&gt;Off-street")&gt;0,1,0)</f>
        <v>1</v>
      </c>
      <c r="N1400">
        <f>IF(COUNTIFS('United Data'!$A$3:$A$3390,N$1,'United Data'!$C$3:$C$3390,$A1400,'United Data'!$B$3:$B$3390,"&lt;&gt;Off-street")&gt;0,1,0)</f>
        <v>1</v>
      </c>
      <c r="O1400">
        <f>IF(COUNTIFS('United Data'!$A$3:$A$3390,O$1,'United Data'!$C$3:$C$3390,$A1400,'United Data'!$B$3:$B$3390,"&lt;&gt;Off-street")&gt;0,1,0)</f>
        <v>1</v>
      </c>
      <c r="P1400">
        <f>IF(COUNTIFS('United Data'!$A$3:$A$3390,P$1,'United Data'!$C$3:$C$3390,$A1400,'United Data'!$B$3:$B$3390,"&lt;&gt;Off-street")&gt;0,1,0)</f>
        <v>1</v>
      </c>
      <c r="Q1400">
        <f>IF(COUNTIFS('United Data'!$A$3:$A$3390,Q$1,'United Data'!$C$3:$C$3390,$A1400,'United Data'!$B$3:$B$3390,"&lt;&gt;Off-street")&gt;0,1,0)</f>
        <v>0</v>
      </c>
      <c r="R1400">
        <f>IF(COUNTIFS('United Data'!$A$3:$A$3390,R$1,'United Data'!$C$3:$C$3390,$A1400,'United Data'!$B$3:$B$3390,"&lt;&gt;Off-street")&gt;0,1,0)</f>
        <v>0</v>
      </c>
      <c r="S1400">
        <f t="shared" si="42"/>
        <v>4</v>
      </c>
      <c r="T1400">
        <f t="shared" si="43"/>
        <v>1</v>
      </c>
    </row>
    <row r="1401" spans="1:20" x14ac:dyDescent="0.2">
      <c r="A1401" t="s">
        <v>1658</v>
      </c>
      <c r="B1401">
        <f>IF(COUNTIFS('United Data'!$A$3:$A$3390,B$1,'United Data'!$C$3:$C$3390,$A1401,'United Data'!$B$3:$B$3390,"&lt;&gt;Off-street")&gt;0,1,0)</f>
        <v>0</v>
      </c>
      <c r="C1401">
        <f>IF(COUNTIFS('United Data'!$A$3:$A$3390,C$1,'United Data'!$C$3:$C$3390,$A1401,'United Data'!$B$3:$B$3390,"&lt;&gt;Off-street")&gt;0,1,0)</f>
        <v>0</v>
      </c>
      <c r="D1401">
        <f>IF(COUNTIFS('United Data'!$A$3:$A$3390,D$1,'United Data'!$C$3:$C$3390,$A1401,'United Data'!$B$3:$B$3390,"&lt;&gt;Off-street")&gt;0,1,0)</f>
        <v>0</v>
      </c>
      <c r="E1401">
        <f>IF(COUNTIFS('United Data'!$A$3:$A$3390,E$1,'United Data'!$C$3:$C$3390,$A1401,'United Data'!$B$3:$B$3390,"&lt;&gt;Off-street")&gt;0,1,0)</f>
        <v>0</v>
      </c>
      <c r="F1401">
        <f>IF(COUNTIFS('United Data'!$A$3:$A$3390,F$1,'United Data'!$C$3:$C$3390,$A1401,'United Data'!$B$3:$B$3390,"&lt;&gt;Off-street")&gt;0,1,0)</f>
        <v>0</v>
      </c>
      <c r="G1401">
        <f>IF(COUNTIFS('United Data'!$A$3:$A$3390,G$1,'United Data'!$C$3:$C$3390,$A1401,'United Data'!$B$3:$B$3390,"&lt;&gt;Off-street")&gt;0,1,0)</f>
        <v>0</v>
      </c>
      <c r="H1401">
        <f>IF(COUNTIFS('United Data'!$A$3:$A$3390,H$1,'United Data'!$C$3:$C$3390,$A1401,'United Data'!$B$3:$B$3390,"&lt;&gt;Off-street")&gt;0,1,0)</f>
        <v>0</v>
      </c>
      <c r="I1401">
        <f>IF(COUNTIFS('United Data'!$A$3:$A$3390,I$1,'United Data'!$C$3:$C$3390,$A1401,'United Data'!$B$3:$B$3390,"&lt;&gt;Off-street")&gt;0,1,0)</f>
        <v>0</v>
      </c>
      <c r="J1401">
        <f>IF(COUNTIFS('United Data'!$A$3:$A$3390,J$1,'United Data'!$C$3:$C$3390,$A1401,'United Data'!$B$3:$B$3390,"&lt;&gt;Off-street")&gt;0,1,0)</f>
        <v>0</v>
      </c>
      <c r="K1401">
        <f>IF(COUNTIFS('United Data'!$A$3:$A$3390,K$1,'United Data'!$C$3:$C$3390,$A1401,'United Data'!$B$3:$B$3390,"&lt;&gt;Off-street")&gt;0,1,0)</f>
        <v>0</v>
      </c>
      <c r="L1401">
        <f>IF(COUNTIFS('United Data'!$A$3:$A$3390,L$1,'United Data'!$C$3:$C$3390,$A1401,'United Data'!$B$3:$B$3390,"&lt;&gt;Off-street")&gt;0,1,0)</f>
        <v>0</v>
      </c>
      <c r="M1401">
        <f>IF(COUNTIFS('United Data'!$A$3:$A$3390,M$1,'United Data'!$C$3:$C$3390,$A1401,'United Data'!$B$3:$B$3390,"&lt;&gt;Off-street")&gt;0,1,0)</f>
        <v>0</v>
      </c>
      <c r="N1401">
        <f>IF(COUNTIFS('United Data'!$A$3:$A$3390,N$1,'United Data'!$C$3:$C$3390,$A1401,'United Data'!$B$3:$B$3390,"&lt;&gt;Off-street")&gt;0,1,0)</f>
        <v>1</v>
      </c>
      <c r="O1401">
        <f>IF(COUNTIFS('United Data'!$A$3:$A$3390,O$1,'United Data'!$C$3:$C$3390,$A1401,'United Data'!$B$3:$B$3390,"&lt;&gt;Off-street")&gt;0,1,0)</f>
        <v>0</v>
      </c>
      <c r="P1401">
        <f>IF(COUNTIFS('United Data'!$A$3:$A$3390,P$1,'United Data'!$C$3:$C$3390,$A1401,'United Data'!$B$3:$B$3390,"&lt;&gt;Off-street")&gt;0,1,0)</f>
        <v>0</v>
      </c>
      <c r="Q1401">
        <f>IF(COUNTIFS('United Data'!$A$3:$A$3390,Q$1,'United Data'!$C$3:$C$3390,$A1401,'United Data'!$B$3:$B$3390,"&lt;&gt;Off-street")&gt;0,1,0)</f>
        <v>0</v>
      </c>
      <c r="R1401">
        <f>IF(COUNTIFS('United Data'!$A$3:$A$3390,R$1,'United Data'!$C$3:$C$3390,$A1401,'United Data'!$B$3:$B$3390,"&lt;&gt;Off-street")&gt;0,1,0)</f>
        <v>0</v>
      </c>
      <c r="S1401">
        <f t="shared" si="42"/>
        <v>1</v>
      </c>
      <c r="T1401">
        <f t="shared" si="43"/>
        <v>1</v>
      </c>
    </row>
    <row r="1402" spans="1:20" x14ac:dyDescent="0.2">
      <c r="A1402" t="s">
        <v>1659</v>
      </c>
      <c r="B1402">
        <f>IF(COUNTIFS('United Data'!$A$3:$A$3390,B$1,'United Data'!$C$3:$C$3390,$A1402,'United Data'!$B$3:$B$3390,"&lt;&gt;Off-street")&gt;0,1,0)</f>
        <v>0</v>
      </c>
      <c r="C1402">
        <f>IF(COUNTIFS('United Data'!$A$3:$A$3390,C$1,'United Data'!$C$3:$C$3390,$A1402,'United Data'!$B$3:$B$3390,"&lt;&gt;Off-street")&gt;0,1,0)</f>
        <v>0</v>
      </c>
      <c r="D1402">
        <f>IF(COUNTIFS('United Data'!$A$3:$A$3390,D$1,'United Data'!$C$3:$C$3390,$A1402,'United Data'!$B$3:$B$3390,"&lt;&gt;Off-street")&gt;0,1,0)</f>
        <v>0</v>
      </c>
      <c r="E1402">
        <f>IF(COUNTIFS('United Data'!$A$3:$A$3390,E$1,'United Data'!$C$3:$C$3390,$A1402,'United Data'!$B$3:$B$3390,"&lt;&gt;Off-street")&gt;0,1,0)</f>
        <v>0</v>
      </c>
      <c r="F1402">
        <f>IF(COUNTIFS('United Data'!$A$3:$A$3390,F$1,'United Data'!$C$3:$C$3390,$A1402,'United Data'!$B$3:$B$3390,"&lt;&gt;Off-street")&gt;0,1,0)</f>
        <v>0</v>
      </c>
      <c r="G1402">
        <f>IF(COUNTIFS('United Data'!$A$3:$A$3390,G$1,'United Data'!$C$3:$C$3390,$A1402,'United Data'!$B$3:$B$3390,"&lt;&gt;Off-street")&gt;0,1,0)</f>
        <v>0</v>
      </c>
      <c r="H1402">
        <f>IF(COUNTIFS('United Data'!$A$3:$A$3390,H$1,'United Data'!$C$3:$C$3390,$A1402,'United Data'!$B$3:$B$3390,"&lt;&gt;Off-street")&gt;0,1,0)</f>
        <v>0</v>
      </c>
      <c r="I1402">
        <f>IF(COUNTIFS('United Data'!$A$3:$A$3390,I$1,'United Data'!$C$3:$C$3390,$A1402,'United Data'!$B$3:$B$3390,"&lt;&gt;Off-street")&gt;0,1,0)</f>
        <v>0</v>
      </c>
      <c r="J1402">
        <f>IF(COUNTIFS('United Data'!$A$3:$A$3390,J$1,'United Data'!$C$3:$C$3390,$A1402,'United Data'!$B$3:$B$3390,"&lt;&gt;Off-street")&gt;0,1,0)</f>
        <v>0</v>
      </c>
      <c r="K1402">
        <f>IF(COUNTIFS('United Data'!$A$3:$A$3390,K$1,'United Data'!$C$3:$C$3390,$A1402,'United Data'!$B$3:$B$3390,"&lt;&gt;Off-street")&gt;0,1,0)</f>
        <v>0</v>
      </c>
      <c r="L1402">
        <f>IF(COUNTIFS('United Data'!$A$3:$A$3390,L$1,'United Data'!$C$3:$C$3390,$A1402,'United Data'!$B$3:$B$3390,"&lt;&gt;Off-street")&gt;0,1,0)</f>
        <v>0</v>
      </c>
      <c r="M1402">
        <f>IF(COUNTIFS('United Data'!$A$3:$A$3390,M$1,'United Data'!$C$3:$C$3390,$A1402,'United Data'!$B$3:$B$3390,"&lt;&gt;Off-street")&gt;0,1,0)</f>
        <v>0</v>
      </c>
      <c r="N1402">
        <f>IF(COUNTIFS('United Data'!$A$3:$A$3390,N$1,'United Data'!$C$3:$C$3390,$A1402,'United Data'!$B$3:$B$3390,"&lt;&gt;Off-street")&gt;0,1,0)</f>
        <v>1</v>
      </c>
      <c r="O1402">
        <f>IF(COUNTIFS('United Data'!$A$3:$A$3390,O$1,'United Data'!$C$3:$C$3390,$A1402,'United Data'!$B$3:$B$3390,"&lt;&gt;Off-street")&gt;0,1,0)</f>
        <v>1</v>
      </c>
      <c r="P1402">
        <f>IF(COUNTIFS('United Data'!$A$3:$A$3390,P$1,'United Data'!$C$3:$C$3390,$A1402,'United Data'!$B$3:$B$3390,"&lt;&gt;Off-street")&gt;0,1,0)</f>
        <v>0</v>
      </c>
      <c r="Q1402">
        <f>IF(COUNTIFS('United Data'!$A$3:$A$3390,Q$1,'United Data'!$C$3:$C$3390,$A1402,'United Data'!$B$3:$B$3390,"&lt;&gt;Off-street")&gt;0,1,0)</f>
        <v>0</v>
      </c>
      <c r="R1402">
        <f>IF(COUNTIFS('United Data'!$A$3:$A$3390,R$1,'United Data'!$C$3:$C$3390,$A1402,'United Data'!$B$3:$B$3390,"&lt;&gt;Off-street")&gt;0,1,0)</f>
        <v>0</v>
      </c>
      <c r="S1402">
        <f t="shared" si="42"/>
        <v>2</v>
      </c>
      <c r="T1402">
        <f t="shared" si="43"/>
        <v>1</v>
      </c>
    </row>
    <row r="1403" spans="1:20" x14ac:dyDescent="0.2">
      <c r="A1403" t="s">
        <v>1660</v>
      </c>
      <c r="B1403">
        <f>IF(COUNTIFS('United Data'!$A$3:$A$3390,B$1,'United Data'!$C$3:$C$3390,$A1403,'United Data'!$B$3:$B$3390,"&lt;&gt;Off-street")&gt;0,1,0)</f>
        <v>0</v>
      </c>
      <c r="C1403">
        <f>IF(COUNTIFS('United Data'!$A$3:$A$3390,C$1,'United Data'!$C$3:$C$3390,$A1403,'United Data'!$B$3:$B$3390,"&lt;&gt;Off-street")&gt;0,1,0)</f>
        <v>0</v>
      </c>
      <c r="D1403">
        <f>IF(COUNTIFS('United Data'!$A$3:$A$3390,D$1,'United Data'!$C$3:$C$3390,$A1403,'United Data'!$B$3:$B$3390,"&lt;&gt;Off-street")&gt;0,1,0)</f>
        <v>0</v>
      </c>
      <c r="E1403">
        <f>IF(COUNTIFS('United Data'!$A$3:$A$3390,E$1,'United Data'!$C$3:$C$3390,$A1403,'United Data'!$B$3:$B$3390,"&lt;&gt;Off-street")&gt;0,1,0)</f>
        <v>0</v>
      </c>
      <c r="F1403">
        <f>IF(COUNTIFS('United Data'!$A$3:$A$3390,F$1,'United Data'!$C$3:$C$3390,$A1403,'United Data'!$B$3:$B$3390,"&lt;&gt;Off-street")&gt;0,1,0)</f>
        <v>0</v>
      </c>
      <c r="G1403">
        <f>IF(COUNTIFS('United Data'!$A$3:$A$3390,G$1,'United Data'!$C$3:$C$3390,$A1403,'United Data'!$B$3:$B$3390,"&lt;&gt;Off-street")&gt;0,1,0)</f>
        <v>0</v>
      </c>
      <c r="H1403">
        <f>IF(COUNTIFS('United Data'!$A$3:$A$3390,H$1,'United Data'!$C$3:$C$3390,$A1403,'United Data'!$B$3:$B$3390,"&lt;&gt;Off-street")&gt;0,1,0)</f>
        <v>0</v>
      </c>
      <c r="I1403">
        <f>IF(COUNTIFS('United Data'!$A$3:$A$3390,I$1,'United Data'!$C$3:$C$3390,$A1403,'United Data'!$B$3:$B$3390,"&lt;&gt;Off-street")&gt;0,1,0)</f>
        <v>0</v>
      </c>
      <c r="J1403">
        <f>IF(COUNTIFS('United Data'!$A$3:$A$3390,J$1,'United Data'!$C$3:$C$3390,$A1403,'United Data'!$B$3:$B$3390,"&lt;&gt;Off-street")&gt;0,1,0)</f>
        <v>0</v>
      </c>
      <c r="K1403">
        <f>IF(COUNTIFS('United Data'!$A$3:$A$3390,K$1,'United Data'!$C$3:$C$3390,$A1403,'United Data'!$B$3:$B$3390,"&lt;&gt;Off-street")&gt;0,1,0)</f>
        <v>0</v>
      </c>
      <c r="L1403">
        <f>IF(COUNTIFS('United Data'!$A$3:$A$3390,L$1,'United Data'!$C$3:$C$3390,$A1403,'United Data'!$B$3:$B$3390,"&lt;&gt;Off-street")&gt;0,1,0)</f>
        <v>0</v>
      </c>
      <c r="M1403">
        <f>IF(COUNTIFS('United Data'!$A$3:$A$3390,M$1,'United Data'!$C$3:$C$3390,$A1403,'United Data'!$B$3:$B$3390,"&lt;&gt;Off-street")&gt;0,1,0)</f>
        <v>0</v>
      </c>
      <c r="N1403">
        <f>IF(COUNTIFS('United Data'!$A$3:$A$3390,N$1,'United Data'!$C$3:$C$3390,$A1403,'United Data'!$B$3:$B$3390,"&lt;&gt;Off-street")&gt;0,1,0)</f>
        <v>0</v>
      </c>
      <c r="O1403">
        <f>IF(COUNTIFS('United Data'!$A$3:$A$3390,O$1,'United Data'!$C$3:$C$3390,$A1403,'United Data'!$B$3:$B$3390,"&lt;&gt;Off-street")&gt;0,1,0)</f>
        <v>0</v>
      </c>
      <c r="P1403">
        <f>IF(COUNTIFS('United Data'!$A$3:$A$3390,P$1,'United Data'!$C$3:$C$3390,$A1403,'United Data'!$B$3:$B$3390,"&lt;&gt;Off-street")&gt;0,1,0)</f>
        <v>1</v>
      </c>
      <c r="Q1403">
        <f>IF(COUNTIFS('United Data'!$A$3:$A$3390,Q$1,'United Data'!$C$3:$C$3390,$A1403,'United Data'!$B$3:$B$3390,"&lt;&gt;Off-street")&gt;0,1,0)</f>
        <v>0</v>
      </c>
      <c r="R1403">
        <f>IF(COUNTIFS('United Data'!$A$3:$A$3390,R$1,'United Data'!$C$3:$C$3390,$A1403,'United Data'!$B$3:$B$3390,"&lt;&gt;Off-street")&gt;0,1,0)</f>
        <v>0</v>
      </c>
      <c r="S1403">
        <f t="shared" si="42"/>
        <v>1</v>
      </c>
      <c r="T1403">
        <f t="shared" si="43"/>
        <v>1</v>
      </c>
    </row>
    <row r="1404" spans="1:20" x14ac:dyDescent="0.2">
      <c r="A1404" t="s">
        <v>1661</v>
      </c>
      <c r="B1404">
        <f>IF(COUNTIFS('United Data'!$A$3:$A$3390,B$1,'United Data'!$C$3:$C$3390,$A1404,'United Data'!$B$3:$B$3390,"&lt;&gt;Off-street")&gt;0,1,0)</f>
        <v>0</v>
      </c>
      <c r="C1404">
        <f>IF(COUNTIFS('United Data'!$A$3:$A$3390,C$1,'United Data'!$C$3:$C$3390,$A1404,'United Data'!$B$3:$B$3390,"&lt;&gt;Off-street")&gt;0,1,0)</f>
        <v>0</v>
      </c>
      <c r="D1404">
        <f>IF(COUNTIFS('United Data'!$A$3:$A$3390,D$1,'United Data'!$C$3:$C$3390,$A1404,'United Data'!$B$3:$B$3390,"&lt;&gt;Off-street")&gt;0,1,0)</f>
        <v>0</v>
      </c>
      <c r="E1404">
        <f>IF(COUNTIFS('United Data'!$A$3:$A$3390,E$1,'United Data'!$C$3:$C$3390,$A1404,'United Data'!$B$3:$B$3390,"&lt;&gt;Off-street")&gt;0,1,0)</f>
        <v>0</v>
      </c>
      <c r="F1404">
        <f>IF(COUNTIFS('United Data'!$A$3:$A$3390,F$1,'United Data'!$C$3:$C$3390,$A1404,'United Data'!$B$3:$B$3390,"&lt;&gt;Off-street")&gt;0,1,0)</f>
        <v>0</v>
      </c>
      <c r="G1404">
        <f>IF(COUNTIFS('United Data'!$A$3:$A$3390,G$1,'United Data'!$C$3:$C$3390,$A1404,'United Data'!$B$3:$B$3390,"&lt;&gt;Off-street")&gt;0,1,0)</f>
        <v>0</v>
      </c>
      <c r="H1404">
        <f>IF(COUNTIFS('United Data'!$A$3:$A$3390,H$1,'United Data'!$C$3:$C$3390,$A1404,'United Data'!$B$3:$B$3390,"&lt;&gt;Off-street")&gt;0,1,0)</f>
        <v>0</v>
      </c>
      <c r="I1404">
        <f>IF(COUNTIFS('United Data'!$A$3:$A$3390,I$1,'United Data'!$C$3:$C$3390,$A1404,'United Data'!$B$3:$B$3390,"&lt;&gt;Off-street")&gt;0,1,0)</f>
        <v>0</v>
      </c>
      <c r="J1404">
        <f>IF(COUNTIFS('United Data'!$A$3:$A$3390,J$1,'United Data'!$C$3:$C$3390,$A1404,'United Data'!$B$3:$B$3390,"&lt;&gt;Off-street")&gt;0,1,0)</f>
        <v>0</v>
      </c>
      <c r="K1404">
        <f>IF(COUNTIFS('United Data'!$A$3:$A$3390,K$1,'United Data'!$C$3:$C$3390,$A1404,'United Data'!$B$3:$B$3390,"&lt;&gt;Off-street")&gt;0,1,0)</f>
        <v>0</v>
      </c>
      <c r="L1404">
        <f>IF(COUNTIFS('United Data'!$A$3:$A$3390,L$1,'United Data'!$C$3:$C$3390,$A1404,'United Data'!$B$3:$B$3390,"&lt;&gt;Off-street")&gt;0,1,0)</f>
        <v>0</v>
      </c>
      <c r="M1404">
        <f>IF(COUNTIFS('United Data'!$A$3:$A$3390,M$1,'United Data'!$C$3:$C$3390,$A1404,'United Data'!$B$3:$B$3390,"&lt;&gt;Off-street")&gt;0,1,0)</f>
        <v>0</v>
      </c>
      <c r="N1404">
        <f>IF(COUNTIFS('United Data'!$A$3:$A$3390,N$1,'United Data'!$C$3:$C$3390,$A1404,'United Data'!$B$3:$B$3390,"&lt;&gt;Off-street")&gt;0,1,0)</f>
        <v>0</v>
      </c>
      <c r="O1404">
        <f>IF(COUNTIFS('United Data'!$A$3:$A$3390,O$1,'United Data'!$C$3:$C$3390,$A1404,'United Data'!$B$3:$B$3390,"&lt;&gt;Off-street")&gt;0,1,0)</f>
        <v>0</v>
      </c>
      <c r="P1404">
        <f>IF(COUNTIFS('United Data'!$A$3:$A$3390,P$1,'United Data'!$C$3:$C$3390,$A1404,'United Data'!$B$3:$B$3390,"&lt;&gt;Off-street")&gt;0,1,0)</f>
        <v>1</v>
      </c>
      <c r="Q1404">
        <f>IF(COUNTIFS('United Data'!$A$3:$A$3390,Q$1,'United Data'!$C$3:$C$3390,$A1404,'United Data'!$B$3:$B$3390,"&lt;&gt;Off-street")&gt;0,1,0)</f>
        <v>1</v>
      </c>
      <c r="R1404">
        <f>IF(COUNTIFS('United Data'!$A$3:$A$3390,R$1,'United Data'!$C$3:$C$3390,$A1404,'United Data'!$B$3:$B$3390,"&lt;&gt;Off-street")&gt;0,1,0)</f>
        <v>0</v>
      </c>
      <c r="S1404">
        <f t="shared" si="42"/>
        <v>2</v>
      </c>
      <c r="T1404">
        <f t="shared" si="43"/>
        <v>1</v>
      </c>
    </row>
    <row r="1405" spans="1:20" x14ac:dyDescent="0.2">
      <c r="A1405" t="s">
        <v>1662</v>
      </c>
      <c r="B1405">
        <f>IF(COUNTIFS('United Data'!$A$3:$A$3390,B$1,'United Data'!$C$3:$C$3390,$A1405,'United Data'!$B$3:$B$3390,"&lt;&gt;Off-street")&gt;0,1,0)</f>
        <v>0</v>
      </c>
      <c r="C1405">
        <f>IF(COUNTIFS('United Data'!$A$3:$A$3390,C$1,'United Data'!$C$3:$C$3390,$A1405,'United Data'!$B$3:$B$3390,"&lt;&gt;Off-street")&gt;0,1,0)</f>
        <v>0</v>
      </c>
      <c r="D1405">
        <f>IF(COUNTIFS('United Data'!$A$3:$A$3390,D$1,'United Data'!$C$3:$C$3390,$A1405,'United Data'!$B$3:$B$3390,"&lt;&gt;Off-street")&gt;0,1,0)</f>
        <v>0</v>
      </c>
      <c r="E1405">
        <f>IF(COUNTIFS('United Data'!$A$3:$A$3390,E$1,'United Data'!$C$3:$C$3390,$A1405,'United Data'!$B$3:$B$3390,"&lt;&gt;Off-street")&gt;0,1,0)</f>
        <v>0</v>
      </c>
      <c r="F1405">
        <f>IF(COUNTIFS('United Data'!$A$3:$A$3390,F$1,'United Data'!$C$3:$C$3390,$A1405,'United Data'!$B$3:$B$3390,"&lt;&gt;Off-street")&gt;0,1,0)</f>
        <v>0</v>
      </c>
      <c r="G1405">
        <f>IF(COUNTIFS('United Data'!$A$3:$A$3390,G$1,'United Data'!$C$3:$C$3390,$A1405,'United Data'!$B$3:$B$3390,"&lt;&gt;Off-street")&gt;0,1,0)</f>
        <v>0</v>
      </c>
      <c r="H1405">
        <f>IF(COUNTIFS('United Data'!$A$3:$A$3390,H$1,'United Data'!$C$3:$C$3390,$A1405,'United Data'!$B$3:$B$3390,"&lt;&gt;Off-street")&gt;0,1,0)</f>
        <v>0</v>
      </c>
      <c r="I1405">
        <f>IF(COUNTIFS('United Data'!$A$3:$A$3390,I$1,'United Data'!$C$3:$C$3390,$A1405,'United Data'!$B$3:$B$3390,"&lt;&gt;Off-street")&gt;0,1,0)</f>
        <v>0</v>
      </c>
      <c r="J1405">
        <f>IF(COUNTIFS('United Data'!$A$3:$A$3390,J$1,'United Data'!$C$3:$C$3390,$A1405,'United Data'!$B$3:$B$3390,"&lt;&gt;Off-street")&gt;0,1,0)</f>
        <v>0</v>
      </c>
      <c r="K1405">
        <f>IF(COUNTIFS('United Data'!$A$3:$A$3390,K$1,'United Data'!$C$3:$C$3390,$A1405,'United Data'!$B$3:$B$3390,"&lt;&gt;Off-street")&gt;0,1,0)</f>
        <v>0</v>
      </c>
      <c r="L1405">
        <f>IF(COUNTIFS('United Data'!$A$3:$A$3390,L$1,'United Data'!$C$3:$C$3390,$A1405,'United Data'!$B$3:$B$3390,"&lt;&gt;Off-street")&gt;0,1,0)</f>
        <v>0</v>
      </c>
      <c r="M1405">
        <f>IF(COUNTIFS('United Data'!$A$3:$A$3390,M$1,'United Data'!$C$3:$C$3390,$A1405,'United Data'!$B$3:$B$3390,"&lt;&gt;Off-street")&gt;0,1,0)</f>
        <v>0</v>
      </c>
      <c r="N1405">
        <f>IF(COUNTIFS('United Data'!$A$3:$A$3390,N$1,'United Data'!$C$3:$C$3390,$A1405,'United Data'!$B$3:$B$3390,"&lt;&gt;Off-street")&gt;0,1,0)</f>
        <v>0</v>
      </c>
      <c r="O1405">
        <f>IF(COUNTIFS('United Data'!$A$3:$A$3390,O$1,'United Data'!$C$3:$C$3390,$A1405,'United Data'!$B$3:$B$3390,"&lt;&gt;Off-street")&gt;0,1,0)</f>
        <v>0</v>
      </c>
      <c r="P1405">
        <f>IF(COUNTIFS('United Data'!$A$3:$A$3390,P$1,'United Data'!$C$3:$C$3390,$A1405,'United Data'!$B$3:$B$3390,"&lt;&gt;Off-street")&gt;0,1,0)</f>
        <v>1</v>
      </c>
      <c r="Q1405">
        <f>IF(COUNTIFS('United Data'!$A$3:$A$3390,Q$1,'United Data'!$C$3:$C$3390,$A1405,'United Data'!$B$3:$B$3390,"&lt;&gt;Off-street")&gt;0,1,0)</f>
        <v>0</v>
      </c>
      <c r="R1405">
        <f>IF(COUNTIFS('United Data'!$A$3:$A$3390,R$1,'United Data'!$C$3:$C$3390,$A1405,'United Data'!$B$3:$B$3390,"&lt;&gt;Off-street")&gt;0,1,0)</f>
        <v>0</v>
      </c>
      <c r="S1405">
        <f t="shared" si="42"/>
        <v>1</v>
      </c>
      <c r="T1405">
        <f t="shared" si="43"/>
        <v>1</v>
      </c>
    </row>
    <row r="1406" spans="1:20" x14ac:dyDescent="0.2">
      <c r="A1406" t="s">
        <v>1667</v>
      </c>
      <c r="B1406">
        <f>IF(COUNTIFS('United Data'!$A$3:$A$3390,B$1,'United Data'!$C$3:$C$3390,$A1406,'United Data'!$B$3:$B$3390,"&lt;&gt;Off-street")&gt;0,1,0)</f>
        <v>1</v>
      </c>
      <c r="C1406">
        <f>IF(COUNTIFS('United Data'!$A$3:$A$3390,C$1,'United Data'!$C$3:$C$3390,$A1406,'United Data'!$B$3:$B$3390,"&lt;&gt;Off-street")&gt;0,1,0)</f>
        <v>0</v>
      </c>
      <c r="D1406">
        <f>IF(COUNTIFS('United Data'!$A$3:$A$3390,D$1,'United Data'!$C$3:$C$3390,$A1406,'United Data'!$B$3:$B$3390,"&lt;&gt;Off-street")&gt;0,1,0)</f>
        <v>0</v>
      </c>
      <c r="E1406">
        <f>IF(COUNTIFS('United Data'!$A$3:$A$3390,E$1,'United Data'!$C$3:$C$3390,$A1406,'United Data'!$B$3:$B$3390,"&lt;&gt;Off-street")&gt;0,1,0)</f>
        <v>0</v>
      </c>
      <c r="F1406">
        <f>IF(COUNTIFS('United Data'!$A$3:$A$3390,F$1,'United Data'!$C$3:$C$3390,$A1406,'United Data'!$B$3:$B$3390,"&lt;&gt;Off-street")&gt;0,1,0)</f>
        <v>0</v>
      </c>
      <c r="G1406">
        <f>IF(COUNTIFS('United Data'!$A$3:$A$3390,G$1,'United Data'!$C$3:$C$3390,$A1406,'United Data'!$B$3:$B$3390,"&lt;&gt;Off-street")&gt;0,1,0)</f>
        <v>0</v>
      </c>
      <c r="H1406">
        <f>IF(COUNTIFS('United Data'!$A$3:$A$3390,H$1,'United Data'!$C$3:$C$3390,$A1406,'United Data'!$B$3:$B$3390,"&lt;&gt;Off-street")&gt;0,1,0)</f>
        <v>0</v>
      </c>
      <c r="I1406">
        <f>IF(COUNTIFS('United Data'!$A$3:$A$3390,I$1,'United Data'!$C$3:$C$3390,$A1406,'United Data'!$B$3:$B$3390,"&lt;&gt;Off-street")&gt;0,1,0)</f>
        <v>0</v>
      </c>
      <c r="J1406">
        <f>IF(COUNTIFS('United Data'!$A$3:$A$3390,J$1,'United Data'!$C$3:$C$3390,$A1406,'United Data'!$B$3:$B$3390,"&lt;&gt;Off-street")&gt;0,1,0)</f>
        <v>0</v>
      </c>
      <c r="K1406">
        <f>IF(COUNTIFS('United Data'!$A$3:$A$3390,K$1,'United Data'!$C$3:$C$3390,$A1406,'United Data'!$B$3:$B$3390,"&lt;&gt;Off-street")&gt;0,1,0)</f>
        <v>0</v>
      </c>
      <c r="L1406">
        <f>IF(COUNTIFS('United Data'!$A$3:$A$3390,L$1,'United Data'!$C$3:$C$3390,$A1406,'United Data'!$B$3:$B$3390,"&lt;&gt;Off-street")&gt;0,1,0)</f>
        <v>0</v>
      </c>
      <c r="M1406">
        <f>IF(COUNTIFS('United Data'!$A$3:$A$3390,M$1,'United Data'!$C$3:$C$3390,$A1406,'United Data'!$B$3:$B$3390,"&lt;&gt;Off-street")&gt;0,1,0)</f>
        <v>0</v>
      </c>
      <c r="N1406">
        <f>IF(COUNTIFS('United Data'!$A$3:$A$3390,N$1,'United Data'!$C$3:$C$3390,$A1406,'United Data'!$B$3:$B$3390,"&lt;&gt;Off-street")&gt;0,1,0)</f>
        <v>0</v>
      </c>
      <c r="O1406">
        <f>IF(COUNTIFS('United Data'!$A$3:$A$3390,O$1,'United Data'!$C$3:$C$3390,$A1406,'United Data'!$B$3:$B$3390,"&lt;&gt;Off-street")&gt;0,1,0)</f>
        <v>0</v>
      </c>
      <c r="P1406">
        <f>IF(COUNTIFS('United Data'!$A$3:$A$3390,P$1,'United Data'!$C$3:$C$3390,$A1406,'United Data'!$B$3:$B$3390,"&lt;&gt;Off-street")&gt;0,1,0)</f>
        <v>0</v>
      </c>
      <c r="Q1406">
        <f>IF(COUNTIFS('United Data'!$A$3:$A$3390,Q$1,'United Data'!$C$3:$C$3390,$A1406,'United Data'!$B$3:$B$3390,"&lt;&gt;Off-street")&gt;0,1,0)</f>
        <v>0</v>
      </c>
      <c r="R1406">
        <f>IF(COUNTIFS('United Data'!$A$3:$A$3390,R$1,'United Data'!$C$3:$C$3390,$A1406,'United Data'!$B$3:$B$3390,"&lt;&gt;Off-street")&gt;0,1,0)</f>
        <v>0</v>
      </c>
      <c r="S1406">
        <f t="shared" si="42"/>
        <v>1</v>
      </c>
      <c r="T1406">
        <f t="shared" si="43"/>
        <v>1</v>
      </c>
    </row>
    <row r="1407" spans="1:20" x14ac:dyDescent="0.2">
      <c r="A1407" t="s">
        <v>1670</v>
      </c>
      <c r="B1407">
        <f>IF(COUNTIFS('United Data'!$A$3:$A$3390,B$1,'United Data'!$C$3:$C$3390,$A1407,'United Data'!$B$3:$B$3390,"&lt;&gt;Off-street")&gt;0,1,0)</f>
        <v>1</v>
      </c>
      <c r="C1407">
        <f>IF(COUNTIFS('United Data'!$A$3:$A$3390,C$1,'United Data'!$C$3:$C$3390,$A1407,'United Data'!$B$3:$B$3390,"&lt;&gt;Off-street")&gt;0,1,0)</f>
        <v>0</v>
      </c>
      <c r="D1407">
        <f>IF(COUNTIFS('United Data'!$A$3:$A$3390,D$1,'United Data'!$C$3:$C$3390,$A1407,'United Data'!$B$3:$B$3390,"&lt;&gt;Off-street")&gt;0,1,0)</f>
        <v>0</v>
      </c>
      <c r="E1407">
        <f>IF(COUNTIFS('United Data'!$A$3:$A$3390,E$1,'United Data'!$C$3:$C$3390,$A1407,'United Data'!$B$3:$B$3390,"&lt;&gt;Off-street")&gt;0,1,0)</f>
        <v>1</v>
      </c>
      <c r="F1407">
        <f>IF(COUNTIFS('United Data'!$A$3:$A$3390,F$1,'United Data'!$C$3:$C$3390,$A1407,'United Data'!$B$3:$B$3390,"&lt;&gt;Off-street")&gt;0,1,0)</f>
        <v>0</v>
      </c>
      <c r="G1407">
        <f>IF(COUNTIFS('United Data'!$A$3:$A$3390,G$1,'United Data'!$C$3:$C$3390,$A1407,'United Data'!$B$3:$B$3390,"&lt;&gt;Off-street")&gt;0,1,0)</f>
        <v>0</v>
      </c>
      <c r="H1407">
        <f>IF(COUNTIFS('United Data'!$A$3:$A$3390,H$1,'United Data'!$C$3:$C$3390,$A1407,'United Data'!$B$3:$B$3390,"&lt;&gt;Off-street")&gt;0,1,0)</f>
        <v>0</v>
      </c>
      <c r="I1407">
        <f>IF(COUNTIFS('United Data'!$A$3:$A$3390,I$1,'United Data'!$C$3:$C$3390,$A1407,'United Data'!$B$3:$B$3390,"&lt;&gt;Off-street")&gt;0,1,0)</f>
        <v>0</v>
      </c>
      <c r="J1407">
        <f>IF(COUNTIFS('United Data'!$A$3:$A$3390,J$1,'United Data'!$C$3:$C$3390,$A1407,'United Data'!$B$3:$B$3390,"&lt;&gt;Off-street")&gt;0,1,0)</f>
        <v>0</v>
      </c>
      <c r="K1407">
        <f>IF(COUNTIFS('United Data'!$A$3:$A$3390,K$1,'United Data'!$C$3:$C$3390,$A1407,'United Data'!$B$3:$B$3390,"&lt;&gt;Off-street")&gt;0,1,0)</f>
        <v>0</v>
      </c>
      <c r="L1407">
        <f>IF(COUNTIFS('United Data'!$A$3:$A$3390,L$1,'United Data'!$C$3:$C$3390,$A1407,'United Data'!$B$3:$B$3390,"&lt;&gt;Off-street")&gt;0,1,0)</f>
        <v>0</v>
      </c>
      <c r="M1407">
        <f>IF(COUNTIFS('United Data'!$A$3:$A$3390,M$1,'United Data'!$C$3:$C$3390,$A1407,'United Data'!$B$3:$B$3390,"&lt;&gt;Off-street")&gt;0,1,0)</f>
        <v>0</v>
      </c>
      <c r="N1407">
        <f>IF(COUNTIFS('United Data'!$A$3:$A$3390,N$1,'United Data'!$C$3:$C$3390,$A1407,'United Data'!$B$3:$B$3390,"&lt;&gt;Off-street")&gt;0,1,0)</f>
        <v>0</v>
      </c>
      <c r="O1407">
        <f>IF(COUNTIFS('United Data'!$A$3:$A$3390,O$1,'United Data'!$C$3:$C$3390,$A1407,'United Data'!$B$3:$B$3390,"&lt;&gt;Off-street")&gt;0,1,0)</f>
        <v>0</v>
      </c>
      <c r="P1407">
        <f>IF(COUNTIFS('United Data'!$A$3:$A$3390,P$1,'United Data'!$C$3:$C$3390,$A1407,'United Data'!$B$3:$B$3390,"&lt;&gt;Off-street")&gt;0,1,0)</f>
        <v>0</v>
      </c>
      <c r="Q1407">
        <f>IF(COUNTIFS('United Data'!$A$3:$A$3390,Q$1,'United Data'!$C$3:$C$3390,$A1407,'United Data'!$B$3:$B$3390,"&lt;&gt;Off-street")&gt;0,1,0)</f>
        <v>0</v>
      </c>
      <c r="R1407">
        <f>IF(COUNTIFS('United Data'!$A$3:$A$3390,R$1,'United Data'!$C$3:$C$3390,$A1407,'United Data'!$B$3:$B$3390,"&lt;&gt;Off-street")&gt;0,1,0)</f>
        <v>0</v>
      </c>
      <c r="S1407">
        <f t="shared" si="42"/>
        <v>2</v>
      </c>
      <c r="T1407">
        <f t="shared" si="43"/>
        <v>2</v>
      </c>
    </row>
    <row r="1408" spans="1:20" x14ac:dyDescent="0.2">
      <c r="A1408" t="s">
        <v>1672</v>
      </c>
      <c r="B1408">
        <f>IF(COUNTIFS('United Data'!$A$3:$A$3390,B$1,'United Data'!$C$3:$C$3390,$A1408,'United Data'!$B$3:$B$3390,"&lt;&gt;Off-street")&gt;0,1,0)</f>
        <v>1</v>
      </c>
      <c r="C1408">
        <f>IF(COUNTIFS('United Data'!$A$3:$A$3390,C$1,'United Data'!$C$3:$C$3390,$A1408,'United Data'!$B$3:$B$3390,"&lt;&gt;Off-street")&gt;0,1,0)</f>
        <v>0</v>
      </c>
      <c r="D1408">
        <f>IF(COUNTIFS('United Data'!$A$3:$A$3390,D$1,'United Data'!$C$3:$C$3390,$A1408,'United Data'!$B$3:$B$3390,"&lt;&gt;Off-street")&gt;0,1,0)</f>
        <v>0</v>
      </c>
      <c r="E1408">
        <f>IF(COUNTIFS('United Data'!$A$3:$A$3390,E$1,'United Data'!$C$3:$C$3390,$A1408,'United Data'!$B$3:$B$3390,"&lt;&gt;Off-street")&gt;0,1,0)</f>
        <v>0</v>
      </c>
      <c r="F1408">
        <f>IF(COUNTIFS('United Data'!$A$3:$A$3390,F$1,'United Data'!$C$3:$C$3390,$A1408,'United Data'!$B$3:$B$3390,"&lt;&gt;Off-street")&gt;0,1,0)</f>
        <v>0</v>
      </c>
      <c r="G1408">
        <f>IF(COUNTIFS('United Data'!$A$3:$A$3390,G$1,'United Data'!$C$3:$C$3390,$A1408,'United Data'!$B$3:$B$3390,"&lt;&gt;Off-street")&gt;0,1,0)</f>
        <v>0</v>
      </c>
      <c r="H1408">
        <f>IF(COUNTIFS('United Data'!$A$3:$A$3390,H$1,'United Data'!$C$3:$C$3390,$A1408,'United Data'!$B$3:$B$3390,"&lt;&gt;Off-street")&gt;0,1,0)</f>
        <v>0</v>
      </c>
      <c r="I1408">
        <f>IF(COUNTIFS('United Data'!$A$3:$A$3390,I$1,'United Data'!$C$3:$C$3390,$A1408,'United Data'!$B$3:$B$3390,"&lt;&gt;Off-street")&gt;0,1,0)</f>
        <v>0</v>
      </c>
      <c r="J1408">
        <f>IF(COUNTIFS('United Data'!$A$3:$A$3390,J$1,'United Data'!$C$3:$C$3390,$A1408,'United Data'!$B$3:$B$3390,"&lt;&gt;Off-street")&gt;0,1,0)</f>
        <v>0</v>
      </c>
      <c r="K1408">
        <f>IF(COUNTIFS('United Data'!$A$3:$A$3390,K$1,'United Data'!$C$3:$C$3390,$A1408,'United Data'!$B$3:$B$3390,"&lt;&gt;Off-street")&gt;0,1,0)</f>
        <v>0</v>
      </c>
      <c r="L1408">
        <f>IF(COUNTIFS('United Data'!$A$3:$A$3390,L$1,'United Data'!$C$3:$C$3390,$A1408,'United Data'!$B$3:$B$3390,"&lt;&gt;Off-street")&gt;0,1,0)</f>
        <v>0</v>
      </c>
      <c r="M1408">
        <f>IF(COUNTIFS('United Data'!$A$3:$A$3390,M$1,'United Data'!$C$3:$C$3390,$A1408,'United Data'!$B$3:$B$3390,"&lt;&gt;Off-street")&gt;0,1,0)</f>
        <v>0</v>
      </c>
      <c r="N1408">
        <f>IF(COUNTIFS('United Data'!$A$3:$A$3390,N$1,'United Data'!$C$3:$C$3390,$A1408,'United Data'!$B$3:$B$3390,"&lt;&gt;Off-street")&gt;0,1,0)</f>
        <v>0</v>
      </c>
      <c r="O1408">
        <f>IF(COUNTIFS('United Data'!$A$3:$A$3390,O$1,'United Data'!$C$3:$C$3390,$A1408,'United Data'!$B$3:$B$3390,"&lt;&gt;Off-street")&gt;0,1,0)</f>
        <v>0</v>
      </c>
      <c r="P1408">
        <f>IF(COUNTIFS('United Data'!$A$3:$A$3390,P$1,'United Data'!$C$3:$C$3390,$A1408,'United Data'!$B$3:$B$3390,"&lt;&gt;Off-street")&gt;0,1,0)</f>
        <v>0</v>
      </c>
      <c r="Q1408">
        <f>IF(COUNTIFS('United Data'!$A$3:$A$3390,Q$1,'United Data'!$C$3:$C$3390,$A1408,'United Data'!$B$3:$B$3390,"&lt;&gt;Off-street")&gt;0,1,0)</f>
        <v>0</v>
      </c>
      <c r="R1408">
        <f>IF(COUNTIFS('United Data'!$A$3:$A$3390,R$1,'United Data'!$C$3:$C$3390,$A1408,'United Data'!$B$3:$B$3390,"&lt;&gt;Off-street")&gt;0,1,0)</f>
        <v>0</v>
      </c>
      <c r="S1408">
        <f t="shared" si="42"/>
        <v>1</v>
      </c>
      <c r="T1408">
        <f t="shared" si="43"/>
        <v>1</v>
      </c>
    </row>
    <row r="1409" spans="1:20" x14ac:dyDescent="0.2">
      <c r="A1409" t="s">
        <v>1673</v>
      </c>
      <c r="B1409">
        <f>IF(COUNTIFS('United Data'!$A$3:$A$3390,B$1,'United Data'!$C$3:$C$3390,$A1409,'United Data'!$B$3:$B$3390,"&lt;&gt;Off-street")&gt;0,1,0)</f>
        <v>1</v>
      </c>
      <c r="C1409">
        <f>IF(COUNTIFS('United Data'!$A$3:$A$3390,C$1,'United Data'!$C$3:$C$3390,$A1409,'United Data'!$B$3:$B$3390,"&lt;&gt;Off-street")&gt;0,1,0)</f>
        <v>0</v>
      </c>
      <c r="D1409">
        <f>IF(COUNTIFS('United Data'!$A$3:$A$3390,D$1,'United Data'!$C$3:$C$3390,$A1409,'United Data'!$B$3:$B$3390,"&lt;&gt;Off-street")&gt;0,1,0)</f>
        <v>0</v>
      </c>
      <c r="E1409">
        <f>IF(COUNTIFS('United Data'!$A$3:$A$3390,E$1,'United Data'!$C$3:$C$3390,$A1409,'United Data'!$B$3:$B$3390,"&lt;&gt;Off-street")&gt;0,1,0)</f>
        <v>0</v>
      </c>
      <c r="F1409">
        <f>IF(COUNTIFS('United Data'!$A$3:$A$3390,F$1,'United Data'!$C$3:$C$3390,$A1409,'United Data'!$B$3:$B$3390,"&lt;&gt;Off-street")&gt;0,1,0)</f>
        <v>0</v>
      </c>
      <c r="G1409">
        <f>IF(COUNTIFS('United Data'!$A$3:$A$3390,G$1,'United Data'!$C$3:$C$3390,$A1409,'United Data'!$B$3:$B$3390,"&lt;&gt;Off-street")&gt;0,1,0)</f>
        <v>0</v>
      </c>
      <c r="H1409">
        <f>IF(COUNTIFS('United Data'!$A$3:$A$3390,H$1,'United Data'!$C$3:$C$3390,$A1409,'United Data'!$B$3:$B$3390,"&lt;&gt;Off-street")&gt;0,1,0)</f>
        <v>0</v>
      </c>
      <c r="I1409">
        <f>IF(COUNTIFS('United Data'!$A$3:$A$3390,I$1,'United Data'!$C$3:$C$3390,$A1409,'United Data'!$B$3:$B$3390,"&lt;&gt;Off-street")&gt;0,1,0)</f>
        <v>0</v>
      </c>
      <c r="J1409">
        <f>IF(COUNTIFS('United Data'!$A$3:$A$3390,J$1,'United Data'!$C$3:$C$3390,$A1409,'United Data'!$B$3:$B$3390,"&lt;&gt;Off-street")&gt;0,1,0)</f>
        <v>0</v>
      </c>
      <c r="K1409">
        <f>IF(COUNTIFS('United Data'!$A$3:$A$3390,K$1,'United Data'!$C$3:$C$3390,$A1409,'United Data'!$B$3:$B$3390,"&lt;&gt;Off-street")&gt;0,1,0)</f>
        <v>0</v>
      </c>
      <c r="L1409">
        <f>IF(COUNTIFS('United Data'!$A$3:$A$3390,L$1,'United Data'!$C$3:$C$3390,$A1409,'United Data'!$B$3:$B$3390,"&lt;&gt;Off-street")&gt;0,1,0)</f>
        <v>0</v>
      </c>
      <c r="M1409">
        <f>IF(COUNTIFS('United Data'!$A$3:$A$3390,M$1,'United Data'!$C$3:$C$3390,$A1409,'United Data'!$B$3:$B$3390,"&lt;&gt;Off-street")&gt;0,1,0)</f>
        <v>0</v>
      </c>
      <c r="N1409">
        <f>IF(COUNTIFS('United Data'!$A$3:$A$3390,N$1,'United Data'!$C$3:$C$3390,$A1409,'United Data'!$B$3:$B$3390,"&lt;&gt;Off-street")&gt;0,1,0)</f>
        <v>0</v>
      </c>
      <c r="O1409">
        <f>IF(COUNTIFS('United Data'!$A$3:$A$3390,O$1,'United Data'!$C$3:$C$3390,$A1409,'United Data'!$B$3:$B$3390,"&lt;&gt;Off-street")&gt;0,1,0)</f>
        <v>0</v>
      </c>
      <c r="P1409">
        <f>IF(COUNTIFS('United Data'!$A$3:$A$3390,P$1,'United Data'!$C$3:$C$3390,$A1409,'United Data'!$B$3:$B$3390,"&lt;&gt;Off-street")&gt;0,1,0)</f>
        <v>0</v>
      </c>
      <c r="Q1409">
        <f>IF(COUNTIFS('United Data'!$A$3:$A$3390,Q$1,'United Data'!$C$3:$C$3390,$A1409,'United Data'!$B$3:$B$3390,"&lt;&gt;Off-street")&gt;0,1,0)</f>
        <v>0</v>
      </c>
      <c r="R1409">
        <f>IF(COUNTIFS('United Data'!$A$3:$A$3390,R$1,'United Data'!$C$3:$C$3390,$A1409,'United Data'!$B$3:$B$3390,"&lt;&gt;Off-street")&gt;0,1,0)</f>
        <v>0</v>
      </c>
      <c r="S1409">
        <f t="shared" si="42"/>
        <v>1</v>
      </c>
      <c r="T1409">
        <f t="shared" si="43"/>
        <v>1</v>
      </c>
    </row>
    <row r="1410" spans="1:20" x14ac:dyDescent="0.2">
      <c r="A1410" t="s">
        <v>1674</v>
      </c>
      <c r="B1410">
        <f>IF(COUNTIFS('United Data'!$A$3:$A$3390,B$1,'United Data'!$C$3:$C$3390,$A1410,'United Data'!$B$3:$B$3390,"&lt;&gt;Off-street")&gt;0,1,0)</f>
        <v>1</v>
      </c>
      <c r="C1410">
        <f>IF(COUNTIFS('United Data'!$A$3:$A$3390,C$1,'United Data'!$C$3:$C$3390,$A1410,'United Data'!$B$3:$B$3390,"&lt;&gt;Off-street")&gt;0,1,0)</f>
        <v>1</v>
      </c>
      <c r="D1410">
        <f>IF(COUNTIFS('United Data'!$A$3:$A$3390,D$1,'United Data'!$C$3:$C$3390,$A1410,'United Data'!$B$3:$B$3390,"&lt;&gt;Off-street")&gt;0,1,0)</f>
        <v>1</v>
      </c>
      <c r="E1410">
        <f>IF(COUNTIFS('United Data'!$A$3:$A$3390,E$1,'United Data'!$C$3:$C$3390,$A1410,'United Data'!$B$3:$B$3390,"&lt;&gt;Off-street")&gt;0,1,0)</f>
        <v>1</v>
      </c>
      <c r="F1410">
        <f>IF(COUNTIFS('United Data'!$A$3:$A$3390,F$1,'United Data'!$C$3:$C$3390,$A1410,'United Data'!$B$3:$B$3390,"&lt;&gt;Off-street")&gt;0,1,0)</f>
        <v>1</v>
      </c>
      <c r="G1410">
        <f>IF(COUNTIFS('United Data'!$A$3:$A$3390,G$1,'United Data'!$C$3:$C$3390,$A1410,'United Data'!$B$3:$B$3390,"&lt;&gt;Off-street")&gt;0,1,0)</f>
        <v>0</v>
      </c>
      <c r="H1410">
        <f>IF(COUNTIFS('United Data'!$A$3:$A$3390,H$1,'United Data'!$C$3:$C$3390,$A1410,'United Data'!$B$3:$B$3390,"&lt;&gt;Off-street")&gt;0,1,0)</f>
        <v>0</v>
      </c>
      <c r="I1410">
        <f>IF(COUNTIFS('United Data'!$A$3:$A$3390,I$1,'United Data'!$C$3:$C$3390,$A1410,'United Data'!$B$3:$B$3390,"&lt;&gt;Off-street")&gt;0,1,0)</f>
        <v>0</v>
      </c>
      <c r="J1410">
        <f>IF(COUNTIFS('United Data'!$A$3:$A$3390,J$1,'United Data'!$C$3:$C$3390,$A1410,'United Data'!$B$3:$B$3390,"&lt;&gt;Off-street")&gt;0,1,0)</f>
        <v>0</v>
      </c>
      <c r="K1410">
        <f>IF(COUNTIFS('United Data'!$A$3:$A$3390,K$1,'United Data'!$C$3:$C$3390,$A1410,'United Data'!$B$3:$B$3390,"&lt;&gt;Off-street")&gt;0,1,0)</f>
        <v>0</v>
      </c>
      <c r="L1410">
        <f>IF(COUNTIFS('United Data'!$A$3:$A$3390,L$1,'United Data'!$C$3:$C$3390,$A1410,'United Data'!$B$3:$B$3390,"&lt;&gt;Off-street")&gt;0,1,0)</f>
        <v>0</v>
      </c>
      <c r="M1410">
        <f>IF(COUNTIFS('United Data'!$A$3:$A$3390,M$1,'United Data'!$C$3:$C$3390,$A1410,'United Data'!$B$3:$B$3390,"&lt;&gt;Off-street")&gt;0,1,0)</f>
        <v>0</v>
      </c>
      <c r="N1410">
        <f>IF(COUNTIFS('United Data'!$A$3:$A$3390,N$1,'United Data'!$C$3:$C$3390,$A1410,'United Data'!$B$3:$B$3390,"&lt;&gt;Off-street")&gt;0,1,0)</f>
        <v>0</v>
      </c>
      <c r="O1410">
        <f>IF(COUNTIFS('United Data'!$A$3:$A$3390,O$1,'United Data'!$C$3:$C$3390,$A1410,'United Data'!$B$3:$B$3390,"&lt;&gt;Off-street")&gt;0,1,0)</f>
        <v>0</v>
      </c>
      <c r="P1410">
        <f>IF(COUNTIFS('United Data'!$A$3:$A$3390,P$1,'United Data'!$C$3:$C$3390,$A1410,'United Data'!$B$3:$B$3390,"&lt;&gt;Off-street")&gt;0,1,0)</f>
        <v>1</v>
      </c>
      <c r="Q1410">
        <f>IF(COUNTIFS('United Data'!$A$3:$A$3390,Q$1,'United Data'!$C$3:$C$3390,$A1410,'United Data'!$B$3:$B$3390,"&lt;&gt;Off-street")&gt;0,1,0)</f>
        <v>0</v>
      </c>
      <c r="R1410">
        <f>IF(COUNTIFS('United Data'!$A$3:$A$3390,R$1,'United Data'!$C$3:$C$3390,$A1410,'United Data'!$B$3:$B$3390,"&lt;&gt;Off-street")&gt;0,1,0)</f>
        <v>0</v>
      </c>
      <c r="S1410">
        <f t="shared" ref="S1410:S1473" si="44">SUM(B1410:R1410)</f>
        <v>6</v>
      </c>
      <c r="T1410">
        <f t="shared" ref="T1410:T1473" si="45">B1410+SUMPRODUCT(--(C1410:R1410&gt;B1410:Q1410))</f>
        <v>2</v>
      </c>
    </row>
    <row r="1411" spans="1:20" x14ac:dyDescent="0.2">
      <c r="A1411" t="s">
        <v>1675</v>
      </c>
      <c r="B1411">
        <f>IF(COUNTIFS('United Data'!$A$3:$A$3390,B$1,'United Data'!$C$3:$C$3390,$A1411,'United Data'!$B$3:$B$3390,"&lt;&gt;Off-street")&gt;0,1,0)</f>
        <v>1</v>
      </c>
      <c r="C1411">
        <f>IF(COUNTIFS('United Data'!$A$3:$A$3390,C$1,'United Data'!$C$3:$C$3390,$A1411,'United Data'!$B$3:$B$3390,"&lt;&gt;Off-street")&gt;0,1,0)</f>
        <v>1</v>
      </c>
      <c r="D1411">
        <f>IF(COUNTIFS('United Data'!$A$3:$A$3390,D$1,'United Data'!$C$3:$C$3390,$A1411,'United Data'!$B$3:$B$3390,"&lt;&gt;Off-street")&gt;0,1,0)</f>
        <v>1</v>
      </c>
      <c r="E1411">
        <f>IF(COUNTIFS('United Data'!$A$3:$A$3390,E$1,'United Data'!$C$3:$C$3390,$A1411,'United Data'!$B$3:$B$3390,"&lt;&gt;Off-street")&gt;0,1,0)</f>
        <v>0</v>
      </c>
      <c r="F1411">
        <f>IF(COUNTIFS('United Data'!$A$3:$A$3390,F$1,'United Data'!$C$3:$C$3390,$A1411,'United Data'!$B$3:$B$3390,"&lt;&gt;Off-street")&gt;0,1,0)</f>
        <v>0</v>
      </c>
      <c r="G1411">
        <f>IF(COUNTIFS('United Data'!$A$3:$A$3390,G$1,'United Data'!$C$3:$C$3390,$A1411,'United Data'!$B$3:$B$3390,"&lt;&gt;Off-street")&gt;0,1,0)</f>
        <v>0</v>
      </c>
      <c r="H1411">
        <f>IF(COUNTIFS('United Data'!$A$3:$A$3390,H$1,'United Data'!$C$3:$C$3390,$A1411,'United Data'!$B$3:$B$3390,"&lt;&gt;Off-street")&gt;0,1,0)</f>
        <v>0</v>
      </c>
      <c r="I1411">
        <f>IF(COUNTIFS('United Data'!$A$3:$A$3390,I$1,'United Data'!$C$3:$C$3390,$A1411,'United Data'!$B$3:$B$3390,"&lt;&gt;Off-street")&gt;0,1,0)</f>
        <v>0</v>
      </c>
      <c r="J1411">
        <f>IF(COUNTIFS('United Data'!$A$3:$A$3390,J$1,'United Data'!$C$3:$C$3390,$A1411,'United Data'!$B$3:$B$3390,"&lt;&gt;Off-street")&gt;0,1,0)</f>
        <v>0</v>
      </c>
      <c r="K1411">
        <f>IF(COUNTIFS('United Data'!$A$3:$A$3390,K$1,'United Data'!$C$3:$C$3390,$A1411,'United Data'!$B$3:$B$3390,"&lt;&gt;Off-street")&gt;0,1,0)</f>
        <v>0</v>
      </c>
      <c r="L1411">
        <f>IF(COUNTIFS('United Data'!$A$3:$A$3390,L$1,'United Data'!$C$3:$C$3390,$A1411,'United Data'!$B$3:$B$3390,"&lt;&gt;Off-street")&gt;0,1,0)</f>
        <v>0</v>
      </c>
      <c r="M1411">
        <f>IF(COUNTIFS('United Data'!$A$3:$A$3390,M$1,'United Data'!$C$3:$C$3390,$A1411,'United Data'!$B$3:$B$3390,"&lt;&gt;Off-street")&gt;0,1,0)</f>
        <v>0</v>
      </c>
      <c r="N1411">
        <f>IF(COUNTIFS('United Data'!$A$3:$A$3390,N$1,'United Data'!$C$3:$C$3390,$A1411,'United Data'!$B$3:$B$3390,"&lt;&gt;Off-street")&gt;0,1,0)</f>
        <v>0</v>
      </c>
      <c r="O1411">
        <f>IF(COUNTIFS('United Data'!$A$3:$A$3390,O$1,'United Data'!$C$3:$C$3390,$A1411,'United Data'!$B$3:$B$3390,"&lt;&gt;Off-street")&gt;0,1,0)</f>
        <v>0</v>
      </c>
      <c r="P1411">
        <f>IF(COUNTIFS('United Data'!$A$3:$A$3390,P$1,'United Data'!$C$3:$C$3390,$A1411,'United Data'!$B$3:$B$3390,"&lt;&gt;Off-street")&gt;0,1,0)</f>
        <v>0</v>
      </c>
      <c r="Q1411">
        <f>IF(COUNTIFS('United Data'!$A$3:$A$3390,Q$1,'United Data'!$C$3:$C$3390,$A1411,'United Data'!$B$3:$B$3390,"&lt;&gt;Off-street")&gt;0,1,0)</f>
        <v>0</v>
      </c>
      <c r="R1411">
        <f>IF(COUNTIFS('United Data'!$A$3:$A$3390,R$1,'United Data'!$C$3:$C$3390,$A1411,'United Data'!$B$3:$B$3390,"&lt;&gt;Off-street")&gt;0,1,0)</f>
        <v>0</v>
      </c>
      <c r="S1411">
        <f t="shared" si="44"/>
        <v>3</v>
      </c>
      <c r="T1411">
        <f t="shared" si="45"/>
        <v>1</v>
      </c>
    </row>
    <row r="1412" spans="1:20" x14ac:dyDescent="0.2">
      <c r="A1412" t="s">
        <v>1676</v>
      </c>
      <c r="B1412">
        <f>IF(COUNTIFS('United Data'!$A$3:$A$3390,B$1,'United Data'!$C$3:$C$3390,$A1412,'United Data'!$B$3:$B$3390,"&lt;&gt;Off-street")&gt;0,1,0)</f>
        <v>1</v>
      </c>
      <c r="C1412">
        <f>IF(COUNTIFS('United Data'!$A$3:$A$3390,C$1,'United Data'!$C$3:$C$3390,$A1412,'United Data'!$B$3:$B$3390,"&lt;&gt;Off-street")&gt;0,1,0)</f>
        <v>0</v>
      </c>
      <c r="D1412">
        <f>IF(COUNTIFS('United Data'!$A$3:$A$3390,D$1,'United Data'!$C$3:$C$3390,$A1412,'United Data'!$B$3:$B$3390,"&lt;&gt;Off-street")&gt;0,1,0)</f>
        <v>0</v>
      </c>
      <c r="E1412">
        <f>IF(COUNTIFS('United Data'!$A$3:$A$3390,E$1,'United Data'!$C$3:$C$3390,$A1412,'United Data'!$B$3:$B$3390,"&lt;&gt;Off-street")&gt;0,1,0)</f>
        <v>1</v>
      </c>
      <c r="F1412">
        <f>IF(COUNTIFS('United Data'!$A$3:$A$3390,F$1,'United Data'!$C$3:$C$3390,$A1412,'United Data'!$B$3:$B$3390,"&lt;&gt;Off-street")&gt;0,1,0)</f>
        <v>1</v>
      </c>
      <c r="G1412">
        <f>IF(COUNTIFS('United Data'!$A$3:$A$3390,G$1,'United Data'!$C$3:$C$3390,$A1412,'United Data'!$B$3:$B$3390,"&lt;&gt;Off-street")&gt;0,1,0)</f>
        <v>1</v>
      </c>
      <c r="H1412">
        <f>IF(COUNTIFS('United Data'!$A$3:$A$3390,H$1,'United Data'!$C$3:$C$3390,$A1412,'United Data'!$B$3:$B$3390,"&lt;&gt;Off-street")&gt;0,1,0)</f>
        <v>0</v>
      </c>
      <c r="I1412">
        <f>IF(COUNTIFS('United Data'!$A$3:$A$3390,I$1,'United Data'!$C$3:$C$3390,$A1412,'United Data'!$B$3:$B$3390,"&lt;&gt;Off-street")&gt;0,1,0)</f>
        <v>0</v>
      </c>
      <c r="J1412">
        <f>IF(COUNTIFS('United Data'!$A$3:$A$3390,J$1,'United Data'!$C$3:$C$3390,$A1412,'United Data'!$B$3:$B$3390,"&lt;&gt;Off-street")&gt;0,1,0)</f>
        <v>0</v>
      </c>
      <c r="K1412">
        <f>IF(COUNTIFS('United Data'!$A$3:$A$3390,K$1,'United Data'!$C$3:$C$3390,$A1412,'United Data'!$B$3:$B$3390,"&lt;&gt;Off-street")&gt;0,1,0)</f>
        <v>0</v>
      </c>
      <c r="L1412">
        <f>IF(COUNTIFS('United Data'!$A$3:$A$3390,L$1,'United Data'!$C$3:$C$3390,$A1412,'United Data'!$B$3:$B$3390,"&lt;&gt;Off-street")&gt;0,1,0)</f>
        <v>0</v>
      </c>
      <c r="M1412">
        <f>IF(COUNTIFS('United Data'!$A$3:$A$3390,M$1,'United Data'!$C$3:$C$3390,$A1412,'United Data'!$B$3:$B$3390,"&lt;&gt;Off-street")&gt;0,1,0)</f>
        <v>0</v>
      </c>
      <c r="N1412">
        <f>IF(COUNTIFS('United Data'!$A$3:$A$3390,N$1,'United Data'!$C$3:$C$3390,$A1412,'United Data'!$B$3:$B$3390,"&lt;&gt;Off-street")&gt;0,1,0)</f>
        <v>0</v>
      </c>
      <c r="O1412">
        <f>IF(COUNTIFS('United Data'!$A$3:$A$3390,O$1,'United Data'!$C$3:$C$3390,$A1412,'United Data'!$B$3:$B$3390,"&lt;&gt;Off-street")&gt;0,1,0)</f>
        <v>0</v>
      </c>
      <c r="P1412">
        <f>IF(COUNTIFS('United Data'!$A$3:$A$3390,P$1,'United Data'!$C$3:$C$3390,$A1412,'United Data'!$B$3:$B$3390,"&lt;&gt;Off-street")&gt;0,1,0)</f>
        <v>0</v>
      </c>
      <c r="Q1412">
        <f>IF(COUNTIFS('United Data'!$A$3:$A$3390,Q$1,'United Data'!$C$3:$C$3390,$A1412,'United Data'!$B$3:$B$3390,"&lt;&gt;Off-street")&gt;0,1,0)</f>
        <v>0</v>
      </c>
      <c r="R1412">
        <f>IF(COUNTIFS('United Data'!$A$3:$A$3390,R$1,'United Data'!$C$3:$C$3390,$A1412,'United Data'!$B$3:$B$3390,"&lt;&gt;Off-street")&gt;0,1,0)</f>
        <v>0</v>
      </c>
      <c r="S1412">
        <f t="shared" si="44"/>
        <v>4</v>
      </c>
      <c r="T1412">
        <f t="shared" si="45"/>
        <v>2</v>
      </c>
    </row>
    <row r="1413" spans="1:20" x14ac:dyDescent="0.2">
      <c r="A1413" t="s">
        <v>1677</v>
      </c>
      <c r="B1413">
        <f>IF(COUNTIFS('United Data'!$A$3:$A$3390,B$1,'United Data'!$C$3:$C$3390,$A1413,'United Data'!$B$3:$B$3390,"&lt;&gt;Off-street")&gt;0,1,0)</f>
        <v>1</v>
      </c>
      <c r="C1413">
        <f>IF(COUNTIFS('United Data'!$A$3:$A$3390,C$1,'United Data'!$C$3:$C$3390,$A1413,'United Data'!$B$3:$B$3390,"&lt;&gt;Off-street")&gt;0,1,0)</f>
        <v>0</v>
      </c>
      <c r="D1413">
        <f>IF(COUNTIFS('United Data'!$A$3:$A$3390,D$1,'United Data'!$C$3:$C$3390,$A1413,'United Data'!$B$3:$B$3390,"&lt;&gt;Off-street")&gt;0,1,0)</f>
        <v>0</v>
      </c>
      <c r="E1413">
        <f>IF(COUNTIFS('United Data'!$A$3:$A$3390,E$1,'United Data'!$C$3:$C$3390,$A1413,'United Data'!$B$3:$B$3390,"&lt;&gt;Off-street")&gt;0,1,0)</f>
        <v>0</v>
      </c>
      <c r="F1413">
        <f>IF(COUNTIFS('United Data'!$A$3:$A$3390,F$1,'United Data'!$C$3:$C$3390,$A1413,'United Data'!$B$3:$B$3390,"&lt;&gt;Off-street")&gt;0,1,0)</f>
        <v>0</v>
      </c>
      <c r="G1413">
        <f>IF(COUNTIFS('United Data'!$A$3:$A$3390,G$1,'United Data'!$C$3:$C$3390,$A1413,'United Data'!$B$3:$B$3390,"&lt;&gt;Off-street")&gt;0,1,0)</f>
        <v>0</v>
      </c>
      <c r="H1413">
        <f>IF(COUNTIFS('United Data'!$A$3:$A$3390,H$1,'United Data'!$C$3:$C$3390,$A1413,'United Data'!$B$3:$B$3390,"&lt;&gt;Off-street")&gt;0,1,0)</f>
        <v>0</v>
      </c>
      <c r="I1413">
        <f>IF(COUNTIFS('United Data'!$A$3:$A$3390,I$1,'United Data'!$C$3:$C$3390,$A1413,'United Data'!$B$3:$B$3390,"&lt;&gt;Off-street")&gt;0,1,0)</f>
        <v>0</v>
      </c>
      <c r="J1413">
        <f>IF(COUNTIFS('United Data'!$A$3:$A$3390,J$1,'United Data'!$C$3:$C$3390,$A1413,'United Data'!$B$3:$B$3390,"&lt;&gt;Off-street")&gt;0,1,0)</f>
        <v>0</v>
      </c>
      <c r="K1413">
        <f>IF(COUNTIFS('United Data'!$A$3:$A$3390,K$1,'United Data'!$C$3:$C$3390,$A1413,'United Data'!$B$3:$B$3390,"&lt;&gt;Off-street")&gt;0,1,0)</f>
        <v>0</v>
      </c>
      <c r="L1413">
        <f>IF(COUNTIFS('United Data'!$A$3:$A$3390,L$1,'United Data'!$C$3:$C$3390,$A1413,'United Data'!$B$3:$B$3390,"&lt;&gt;Off-street")&gt;0,1,0)</f>
        <v>0</v>
      </c>
      <c r="M1413">
        <f>IF(COUNTIFS('United Data'!$A$3:$A$3390,M$1,'United Data'!$C$3:$C$3390,$A1413,'United Data'!$B$3:$B$3390,"&lt;&gt;Off-street")&gt;0,1,0)</f>
        <v>0</v>
      </c>
      <c r="N1413">
        <f>IF(COUNTIFS('United Data'!$A$3:$A$3390,N$1,'United Data'!$C$3:$C$3390,$A1413,'United Data'!$B$3:$B$3390,"&lt;&gt;Off-street")&gt;0,1,0)</f>
        <v>0</v>
      </c>
      <c r="O1413">
        <f>IF(COUNTIFS('United Data'!$A$3:$A$3390,O$1,'United Data'!$C$3:$C$3390,$A1413,'United Data'!$B$3:$B$3390,"&lt;&gt;Off-street")&gt;0,1,0)</f>
        <v>0</v>
      </c>
      <c r="P1413">
        <f>IF(COUNTIFS('United Data'!$A$3:$A$3390,P$1,'United Data'!$C$3:$C$3390,$A1413,'United Data'!$B$3:$B$3390,"&lt;&gt;Off-street")&gt;0,1,0)</f>
        <v>0</v>
      </c>
      <c r="Q1413">
        <f>IF(COUNTIFS('United Data'!$A$3:$A$3390,Q$1,'United Data'!$C$3:$C$3390,$A1413,'United Data'!$B$3:$B$3390,"&lt;&gt;Off-street")&gt;0,1,0)</f>
        <v>0</v>
      </c>
      <c r="R1413">
        <f>IF(COUNTIFS('United Data'!$A$3:$A$3390,R$1,'United Data'!$C$3:$C$3390,$A1413,'United Data'!$B$3:$B$3390,"&lt;&gt;Off-street")&gt;0,1,0)</f>
        <v>0</v>
      </c>
      <c r="S1413">
        <f t="shared" si="44"/>
        <v>1</v>
      </c>
      <c r="T1413">
        <f t="shared" si="45"/>
        <v>1</v>
      </c>
    </row>
    <row r="1414" spans="1:20" x14ac:dyDescent="0.2">
      <c r="A1414" t="s">
        <v>1678</v>
      </c>
      <c r="B1414">
        <f>IF(COUNTIFS('United Data'!$A$3:$A$3390,B$1,'United Data'!$C$3:$C$3390,$A1414,'United Data'!$B$3:$B$3390,"&lt;&gt;Off-street")&gt;0,1,0)</f>
        <v>1</v>
      </c>
      <c r="C1414">
        <f>IF(COUNTIFS('United Data'!$A$3:$A$3390,C$1,'United Data'!$C$3:$C$3390,$A1414,'United Data'!$B$3:$B$3390,"&lt;&gt;Off-street")&gt;0,1,0)</f>
        <v>0</v>
      </c>
      <c r="D1414">
        <f>IF(COUNTIFS('United Data'!$A$3:$A$3390,D$1,'United Data'!$C$3:$C$3390,$A1414,'United Data'!$B$3:$B$3390,"&lt;&gt;Off-street")&gt;0,1,0)</f>
        <v>0</v>
      </c>
      <c r="E1414">
        <f>IF(COUNTIFS('United Data'!$A$3:$A$3390,E$1,'United Data'!$C$3:$C$3390,$A1414,'United Data'!$B$3:$B$3390,"&lt;&gt;Off-street")&gt;0,1,0)</f>
        <v>1</v>
      </c>
      <c r="F1414">
        <f>IF(COUNTIFS('United Data'!$A$3:$A$3390,F$1,'United Data'!$C$3:$C$3390,$A1414,'United Data'!$B$3:$B$3390,"&lt;&gt;Off-street")&gt;0,1,0)</f>
        <v>0</v>
      </c>
      <c r="G1414">
        <f>IF(COUNTIFS('United Data'!$A$3:$A$3390,G$1,'United Data'!$C$3:$C$3390,$A1414,'United Data'!$B$3:$B$3390,"&lt;&gt;Off-street")&gt;0,1,0)</f>
        <v>0</v>
      </c>
      <c r="H1414">
        <f>IF(COUNTIFS('United Data'!$A$3:$A$3390,H$1,'United Data'!$C$3:$C$3390,$A1414,'United Data'!$B$3:$B$3390,"&lt;&gt;Off-street")&gt;0,1,0)</f>
        <v>0</v>
      </c>
      <c r="I1414">
        <f>IF(COUNTIFS('United Data'!$A$3:$A$3390,I$1,'United Data'!$C$3:$C$3390,$A1414,'United Data'!$B$3:$B$3390,"&lt;&gt;Off-street")&gt;0,1,0)</f>
        <v>0</v>
      </c>
      <c r="J1414">
        <f>IF(COUNTIFS('United Data'!$A$3:$A$3390,J$1,'United Data'!$C$3:$C$3390,$A1414,'United Data'!$B$3:$B$3390,"&lt;&gt;Off-street")&gt;0,1,0)</f>
        <v>0</v>
      </c>
      <c r="K1414">
        <f>IF(COUNTIFS('United Data'!$A$3:$A$3390,K$1,'United Data'!$C$3:$C$3390,$A1414,'United Data'!$B$3:$B$3390,"&lt;&gt;Off-street")&gt;0,1,0)</f>
        <v>0</v>
      </c>
      <c r="L1414">
        <f>IF(COUNTIFS('United Data'!$A$3:$A$3390,L$1,'United Data'!$C$3:$C$3390,$A1414,'United Data'!$B$3:$B$3390,"&lt;&gt;Off-street")&gt;0,1,0)</f>
        <v>0</v>
      </c>
      <c r="M1414">
        <f>IF(COUNTIFS('United Data'!$A$3:$A$3390,M$1,'United Data'!$C$3:$C$3390,$A1414,'United Data'!$B$3:$B$3390,"&lt;&gt;Off-street")&gt;0,1,0)</f>
        <v>0</v>
      </c>
      <c r="N1414">
        <f>IF(COUNTIFS('United Data'!$A$3:$A$3390,N$1,'United Data'!$C$3:$C$3390,$A1414,'United Data'!$B$3:$B$3390,"&lt;&gt;Off-street")&gt;0,1,0)</f>
        <v>0</v>
      </c>
      <c r="O1414">
        <f>IF(COUNTIFS('United Data'!$A$3:$A$3390,O$1,'United Data'!$C$3:$C$3390,$A1414,'United Data'!$B$3:$B$3390,"&lt;&gt;Off-street")&gt;0,1,0)</f>
        <v>0</v>
      </c>
      <c r="P1414">
        <f>IF(COUNTIFS('United Data'!$A$3:$A$3390,P$1,'United Data'!$C$3:$C$3390,$A1414,'United Data'!$B$3:$B$3390,"&lt;&gt;Off-street")&gt;0,1,0)</f>
        <v>0</v>
      </c>
      <c r="Q1414">
        <f>IF(COUNTIFS('United Data'!$A$3:$A$3390,Q$1,'United Data'!$C$3:$C$3390,$A1414,'United Data'!$B$3:$B$3390,"&lt;&gt;Off-street")&gt;0,1,0)</f>
        <v>0</v>
      </c>
      <c r="R1414">
        <f>IF(COUNTIFS('United Data'!$A$3:$A$3390,R$1,'United Data'!$C$3:$C$3390,$A1414,'United Data'!$B$3:$B$3390,"&lt;&gt;Off-street")&gt;0,1,0)</f>
        <v>0</v>
      </c>
      <c r="S1414">
        <f t="shared" si="44"/>
        <v>2</v>
      </c>
      <c r="T1414">
        <f t="shared" si="45"/>
        <v>2</v>
      </c>
    </row>
    <row r="1415" spans="1:20" x14ac:dyDescent="0.2">
      <c r="A1415" t="s">
        <v>1679</v>
      </c>
      <c r="B1415">
        <f>IF(COUNTIFS('United Data'!$A$3:$A$3390,B$1,'United Data'!$C$3:$C$3390,$A1415,'United Data'!$B$3:$B$3390,"&lt;&gt;Off-street")&gt;0,1,0)</f>
        <v>1</v>
      </c>
      <c r="C1415">
        <f>IF(COUNTIFS('United Data'!$A$3:$A$3390,C$1,'United Data'!$C$3:$C$3390,$A1415,'United Data'!$B$3:$B$3390,"&lt;&gt;Off-street")&gt;0,1,0)</f>
        <v>1</v>
      </c>
      <c r="D1415">
        <f>IF(COUNTIFS('United Data'!$A$3:$A$3390,D$1,'United Data'!$C$3:$C$3390,$A1415,'United Data'!$B$3:$B$3390,"&lt;&gt;Off-street")&gt;0,1,0)</f>
        <v>1</v>
      </c>
      <c r="E1415">
        <f>IF(COUNTIFS('United Data'!$A$3:$A$3390,E$1,'United Data'!$C$3:$C$3390,$A1415,'United Data'!$B$3:$B$3390,"&lt;&gt;Off-street")&gt;0,1,0)</f>
        <v>0</v>
      </c>
      <c r="F1415">
        <f>IF(COUNTIFS('United Data'!$A$3:$A$3390,F$1,'United Data'!$C$3:$C$3390,$A1415,'United Data'!$B$3:$B$3390,"&lt;&gt;Off-street")&gt;0,1,0)</f>
        <v>0</v>
      </c>
      <c r="G1415">
        <f>IF(COUNTIFS('United Data'!$A$3:$A$3390,G$1,'United Data'!$C$3:$C$3390,$A1415,'United Data'!$B$3:$B$3390,"&lt;&gt;Off-street")&gt;0,1,0)</f>
        <v>0</v>
      </c>
      <c r="H1415">
        <f>IF(COUNTIFS('United Data'!$A$3:$A$3390,H$1,'United Data'!$C$3:$C$3390,$A1415,'United Data'!$B$3:$B$3390,"&lt;&gt;Off-street")&gt;0,1,0)</f>
        <v>0</v>
      </c>
      <c r="I1415">
        <f>IF(COUNTIFS('United Data'!$A$3:$A$3390,I$1,'United Data'!$C$3:$C$3390,$A1415,'United Data'!$B$3:$B$3390,"&lt;&gt;Off-street")&gt;0,1,0)</f>
        <v>0</v>
      </c>
      <c r="J1415">
        <f>IF(COUNTIFS('United Data'!$A$3:$A$3390,J$1,'United Data'!$C$3:$C$3390,$A1415,'United Data'!$B$3:$B$3390,"&lt;&gt;Off-street")&gt;0,1,0)</f>
        <v>0</v>
      </c>
      <c r="K1415">
        <f>IF(COUNTIFS('United Data'!$A$3:$A$3390,K$1,'United Data'!$C$3:$C$3390,$A1415,'United Data'!$B$3:$B$3390,"&lt;&gt;Off-street")&gt;0,1,0)</f>
        <v>0</v>
      </c>
      <c r="L1415">
        <f>IF(COUNTIFS('United Data'!$A$3:$A$3390,L$1,'United Data'!$C$3:$C$3390,$A1415,'United Data'!$B$3:$B$3390,"&lt;&gt;Off-street")&gt;0,1,0)</f>
        <v>0</v>
      </c>
      <c r="M1415">
        <f>IF(COUNTIFS('United Data'!$A$3:$A$3390,M$1,'United Data'!$C$3:$C$3390,$A1415,'United Data'!$B$3:$B$3390,"&lt;&gt;Off-street")&gt;0,1,0)</f>
        <v>0</v>
      </c>
      <c r="N1415">
        <f>IF(COUNTIFS('United Data'!$A$3:$A$3390,N$1,'United Data'!$C$3:$C$3390,$A1415,'United Data'!$B$3:$B$3390,"&lt;&gt;Off-street")&gt;0,1,0)</f>
        <v>0</v>
      </c>
      <c r="O1415">
        <f>IF(COUNTIFS('United Data'!$A$3:$A$3390,O$1,'United Data'!$C$3:$C$3390,$A1415,'United Data'!$B$3:$B$3390,"&lt;&gt;Off-street")&gt;0,1,0)</f>
        <v>0</v>
      </c>
      <c r="P1415">
        <f>IF(COUNTIFS('United Data'!$A$3:$A$3390,P$1,'United Data'!$C$3:$C$3390,$A1415,'United Data'!$B$3:$B$3390,"&lt;&gt;Off-street")&gt;0,1,0)</f>
        <v>0</v>
      </c>
      <c r="Q1415">
        <f>IF(COUNTIFS('United Data'!$A$3:$A$3390,Q$1,'United Data'!$C$3:$C$3390,$A1415,'United Data'!$B$3:$B$3390,"&lt;&gt;Off-street")&gt;0,1,0)</f>
        <v>0</v>
      </c>
      <c r="R1415">
        <f>IF(COUNTIFS('United Data'!$A$3:$A$3390,R$1,'United Data'!$C$3:$C$3390,$A1415,'United Data'!$B$3:$B$3390,"&lt;&gt;Off-street")&gt;0,1,0)</f>
        <v>0</v>
      </c>
      <c r="S1415">
        <f t="shared" si="44"/>
        <v>3</v>
      </c>
      <c r="T1415">
        <f t="shared" si="45"/>
        <v>1</v>
      </c>
    </row>
    <row r="1416" spans="1:20" x14ac:dyDescent="0.2">
      <c r="A1416" t="s">
        <v>1680</v>
      </c>
      <c r="B1416">
        <f>IF(COUNTIFS('United Data'!$A$3:$A$3390,B$1,'United Data'!$C$3:$C$3390,$A1416,'United Data'!$B$3:$B$3390,"&lt;&gt;Off-street")&gt;0,1,0)</f>
        <v>0</v>
      </c>
      <c r="C1416">
        <f>IF(COUNTIFS('United Data'!$A$3:$A$3390,C$1,'United Data'!$C$3:$C$3390,$A1416,'United Data'!$B$3:$B$3390,"&lt;&gt;Off-street")&gt;0,1,0)</f>
        <v>0</v>
      </c>
      <c r="D1416">
        <f>IF(COUNTIFS('United Data'!$A$3:$A$3390,D$1,'United Data'!$C$3:$C$3390,$A1416,'United Data'!$B$3:$B$3390,"&lt;&gt;Off-street")&gt;0,1,0)</f>
        <v>1</v>
      </c>
      <c r="E1416">
        <f>IF(COUNTIFS('United Data'!$A$3:$A$3390,E$1,'United Data'!$C$3:$C$3390,$A1416,'United Data'!$B$3:$B$3390,"&lt;&gt;Off-street")&gt;0,1,0)</f>
        <v>0</v>
      </c>
      <c r="F1416">
        <f>IF(COUNTIFS('United Data'!$A$3:$A$3390,F$1,'United Data'!$C$3:$C$3390,$A1416,'United Data'!$B$3:$B$3390,"&lt;&gt;Off-street")&gt;0,1,0)</f>
        <v>0</v>
      </c>
      <c r="G1416">
        <f>IF(COUNTIFS('United Data'!$A$3:$A$3390,G$1,'United Data'!$C$3:$C$3390,$A1416,'United Data'!$B$3:$B$3390,"&lt;&gt;Off-street")&gt;0,1,0)</f>
        <v>0</v>
      </c>
      <c r="H1416">
        <f>IF(COUNTIFS('United Data'!$A$3:$A$3390,H$1,'United Data'!$C$3:$C$3390,$A1416,'United Data'!$B$3:$B$3390,"&lt;&gt;Off-street")&gt;0,1,0)</f>
        <v>0</v>
      </c>
      <c r="I1416">
        <f>IF(COUNTIFS('United Data'!$A$3:$A$3390,I$1,'United Data'!$C$3:$C$3390,$A1416,'United Data'!$B$3:$B$3390,"&lt;&gt;Off-street")&gt;0,1,0)</f>
        <v>0</v>
      </c>
      <c r="J1416">
        <f>IF(COUNTIFS('United Data'!$A$3:$A$3390,J$1,'United Data'!$C$3:$C$3390,$A1416,'United Data'!$B$3:$B$3390,"&lt;&gt;Off-street")&gt;0,1,0)</f>
        <v>0</v>
      </c>
      <c r="K1416">
        <f>IF(COUNTIFS('United Data'!$A$3:$A$3390,K$1,'United Data'!$C$3:$C$3390,$A1416,'United Data'!$B$3:$B$3390,"&lt;&gt;Off-street")&gt;0,1,0)</f>
        <v>0</v>
      </c>
      <c r="L1416">
        <f>IF(COUNTIFS('United Data'!$A$3:$A$3390,L$1,'United Data'!$C$3:$C$3390,$A1416,'United Data'!$B$3:$B$3390,"&lt;&gt;Off-street")&gt;0,1,0)</f>
        <v>0</v>
      </c>
      <c r="M1416">
        <f>IF(COUNTIFS('United Data'!$A$3:$A$3390,M$1,'United Data'!$C$3:$C$3390,$A1416,'United Data'!$B$3:$B$3390,"&lt;&gt;Off-street")&gt;0,1,0)</f>
        <v>0</v>
      </c>
      <c r="N1416">
        <f>IF(COUNTIFS('United Data'!$A$3:$A$3390,N$1,'United Data'!$C$3:$C$3390,$A1416,'United Data'!$B$3:$B$3390,"&lt;&gt;Off-street")&gt;0,1,0)</f>
        <v>0</v>
      </c>
      <c r="O1416">
        <f>IF(COUNTIFS('United Data'!$A$3:$A$3390,O$1,'United Data'!$C$3:$C$3390,$A1416,'United Data'!$B$3:$B$3390,"&lt;&gt;Off-street")&gt;0,1,0)</f>
        <v>0</v>
      </c>
      <c r="P1416">
        <f>IF(COUNTIFS('United Data'!$A$3:$A$3390,P$1,'United Data'!$C$3:$C$3390,$A1416,'United Data'!$B$3:$B$3390,"&lt;&gt;Off-street")&gt;0,1,0)</f>
        <v>0</v>
      </c>
      <c r="Q1416">
        <f>IF(COUNTIFS('United Data'!$A$3:$A$3390,Q$1,'United Data'!$C$3:$C$3390,$A1416,'United Data'!$B$3:$B$3390,"&lt;&gt;Off-street")&gt;0,1,0)</f>
        <v>0</v>
      </c>
      <c r="R1416">
        <f>IF(COUNTIFS('United Data'!$A$3:$A$3390,R$1,'United Data'!$C$3:$C$3390,$A1416,'United Data'!$B$3:$B$3390,"&lt;&gt;Off-street")&gt;0,1,0)</f>
        <v>0</v>
      </c>
      <c r="S1416">
        <f t="shared" si="44"/>
        <v>1</v>
      </c>
      <c r="T1416">
        <f t="shared" si="45"/>
        <v>1</v>
      </c>
    </row>
    <row r="1417" spans="1:20" x14ac:dyDescent="0.2">
      <c r="A1417" t="s">
        <v>1681</v>
      </c>
      <c r="B1417">
        <f>IF(COUNTIFS('United Data'!$A$3:$A$3390,B$1,'United Data'!$C$3:$C$3390,$A1417,'United Data'!$B$3:$B$3390,"&lt;&gt;Off-street")&gt;0,1,0)</f>
        <v>0</v>
      </c>
      <c r="C1417">
        <f>IF(COUNTIFS('United Data'!$A$3:$A$3390,C$1,'United Data'!$C$3:$C$3390,$A1417,'United Data'!$B$3:$B$3390,"&lt;&gt;Off-street")&gt;0,1,0)</f>
        <v>0</v>
      </c>
      <c r="D1417">
        <f>IF(COUNTIFS('United Data'!$A$3:$A$3390,D$1,'United Data'!$C$3:$C$3390,$A1417,'United Data'!$B$3:$B$3390,"&lt;&gt;Off-street")&gt;0,1,0)</f>
        <v>1</v>
      </c>
      <c r="E1417">
        <f>IF(COUNTIFS('United Data'!$A$3:$A$3390,E$1,'United Data'!$C$3:$C$3390,$A1417,'United Data'!$B$3:$B$3390,"&lt;&gt;Off-street")&gt;0,1,0)</f>
        <v>1</v>
      </c>
      <c r="F1417">
        <f>IF(COUNTIFS('United Data'!$A$3:$A$3390,F$1,'United Data'!$C$3:$C$3390,$A1417,'United Data'!$B$3:$B$3390,"&lt;&gt;Off-street")&gt;0,1,0)</f>
        <v>1</v>
      </c>
      <c r="G1417">
        <f>IF(COUNTIFS('United Data'!$A$3:$A$3390,G$1,'United Data'!$C$3:$C$3390,$A1417,'United Data'!$B$3:$B$3390,"&lt;&gt;Off-street")&gt;0,1,0)</f>
        <v>1</v>
      </c>
      <c r="H1417">
        <f>IF(COUNTIFS('United Data'!$A$3:$A$3390,H$1,'United Data'!$C$3:$C$3390,$A1417,'United Data'!$B$3:$B$3390,"&lt;&gt;Off-street")&gt;0,1,0)</f>
        <v>0</v>
      </c>
      <c r="I1417">
        <f>IF(COUNTIFS('United Data'!$A$3:$A$3390,I$1,'United Data'!$C$3:$C$3390,$A1417,'United Data'!$B$3:$B$3390,"&lt;&gt;Off-street")&gt;0,1,0)</f>
        <v>0</v>
      </c>
      <c r="J1417">
        <f>IF(COUNTIFS('United Data'!$A$3:$A$3390,J$1,'United Data'!$C$3:$C$3390,$A1417,'United Data'!$B$3:$B$3390,"&lt;&gt;Off-street")&gt;0,1,0)</f>
        <v>0</v>
      </c>
      <c r="K1417">
        <f>IF(COUNTIFS('United Data'!$A$3:$A$3390,K$1,'United Data'!$C$3:$C$3390,$A1417,'United Data'!$B$3:$B$3390,"&lt;&gt;Off-street")&gt;0,1,0)</f>
        <v>0</v>
      </c>
      <c r="L1417">
        <f>IF(COUNTIFS('United Data'!$A$3:$A$3390,L$1,'United Data'!$C$3:$C$3390,$A1417,'United Data'!$B$3:$B$3390,"&lt;&gt;Off-street")&gt;0,1,0)</f>
        <v>0</v>
      </c>
      <c r="M1417">
        <f>IF(COUNTIFS('United Data'!$A$3:$A$3390,M$1,'United Data'!$C$3:$C$3390,$A1417,'United Data'!$B$3:$B$3390,"&lt;&gt;Off-street")&gt;0,1,0)</f>
        <v>0</v>
      </c>
      <c r="N1417">
        <f>IF(COUNTIFS('United Data'!$A$3:$A$3390,N$1,'United Data'!$C$3:$C$3390,$A1417,'United Data'!$B$3:$B$3390,"&lt;&gt;Off-street")&gt;0,1,0)</f>
        <v>0</v>
      </c>
      <c r="O1417">
        <f>IF(COUNTIFS('United Data'!$A$3:$A$3390,O$1,'United Data'!$C$3:$C$3390,$A1417,'United Data'!$B$3:$B$3390,"&lt;&gt;Off-street")&gt;0,1,0)</f>
        <v>0</v>
      </c>
      <c r="P1417">
        <f>IF(COUNTIFS('United Data'!$A$3:$A$3390,P$1,'United Data'!$C$3:$C$3390,$A1417,'United Data'!$B$3:$B$3390,"&lt;&gt;Off-street")&gt;0,1,0)</f>
        <v>0</v>
      </c>
      <c r="Q1417">
        <f>IF(COUNTIFS('United Data'!$A$3:$A$3390,Q$1,'United Data'!$C$3:$C$3390,$A1417,'United Data'!$B$3:$B$3390,"&lt;&gt;Off-street")&gt;0,1,0)</f>
        <v>0</v>
      </c>
      <c r="R1417">
        <f>IF(COUNTIFS('United Data'!$A$3:$A$3390,R$1,'United Data'!$C$3:$C$3390,$A1417,'United Data'!$B$3:$B$3390,"&lt;&gt;Off-street")&gt;0,1,0)</f>
        <v>0</v>
      </c>
      <c r="S1417">
        <f t="shared" si="44"/>
        <v>4</v>
      </c>
      <c r="T1417">
        <f t="shared" si="45"/>
        <v>1</v>
      </c>
    </row>
    <row r="1418" spans="1:20" x14ac:dyDescent="0.2">
      <c r="A1418" t="s">
        <v>1685</v>
      </c>
      <c r="B1418">
        <f>IF(COUNTIFS('United Data'!$A$3:$A$3390,B$1,'United Data'!$C$3:$C$3390,$A1418,'United Data'!$B$3:$B$3390,"&lt;&gt;Off-street")&gt;0,1,0)</f>
        <v>0</v>
      </c>
      <c r="C1418">
        <f>IF(COUNTIFS('United Data'!$A$3:$A$3390,C$1,'United Data'!$C$3:$C$3390,$A1418,'United Data'!$B$3:$B$3390,"&lt;&gt;Off-street")&gt;0,1,0)</f>
        <v>0</v>
      </c>
      <c r="D1418">
        <f>IF(COUNTIFS('United Data'!$A$3:$A$3390,D$1,'United Data'!$C$3:$C$3390,$A1418,'United Data'!$B$3:$B$3390,"&lt;&gt;Off-street")&gt;0,1,0)</f>
        <v>1</v>
      </c>
      <c r="E1418">
        <f>IF(COUNTIFS('United Data'!$A$3:$A$3390,E$1,'United Data'!$C$3:$C$3390,$A1418,'United Data'!$B$3:$B$3390,"&lt;&gt;Off-street")&gt;0,1,0)</f>
        <v>0</v>
      </c>
      <c r="F1418">
        <f>IF(COUNTIFS('United Data'!$A$3:$A$3390,F$1,'United Data'!$C$3:$C$3390,$A1418,'United Data'!$B$3:$B$3390,"&lt;&gt;Off-street")&gt;0,1,0)</f>
        <v>0</v>
      </c>
      <c r="G1418">
        <f>IF(COUNTIFS('United Data'!$A$3:$A$3390,G$1,'United Data'!$C$3:$C$3390,$A1418,'United Data'!$B$3:$B$3390,"&lt;&gt;Off-street")&gt;0,1,0)</f>
        <v>0</v>
      </c>
      <c r="H1418">
        <f>IF(COUNTIFS('United Data'!$A$3:$A$3390,H$1,'United Data'!$C$3:$C$3390,$A1418,'United Data'!$B$3:$B$3390,"&lt;&gt;Off-street")&gt;0,1,0)</f>
        <v>0</v>
      </c>
      <c r="I1418">
        <f>IF(COUNTIFS('United Data'!$A$3:$A$3390,I$1,'United Data'!$C$3:$C$3390,$A1418,'United Data'!$B$3:$B$3390,"&lt;&gt;Off-street")&gt;0,1,0)</f>
        <v>0</v>
      </c>
      <c r="J1418">
        <f>IF(COUNTIFS('United Data'!$A$3:$A$3390,J$1,'United Data'!$C$3:$C$3390,$A1418,'United Data'!$B$3:$B$3390,"&lt;&gt;Off-street")&gt;0,1,0)</f>
        <v>0</v>
      </c>
      <c r="K1418">
        <f>IF(COUNTIFS('United Data'!$A$3:$A$3390,K$1,'United Data'!$C$3:$C$3390,$A1418,'United Data'!$B$3:$B$3390,"&lt;&gt;Off-street")&gt;0,1,0)</f>
        <v>0</v>
      </c>
      <c r="L1418">
        <f>IF(COUNTIFS('United Data'!$A$3:$A$3390,L$1,'United Data'!$C$3:$C$3390,$A1418,'United Data'!$B$3:$B$3390,"&lt;&gt;Off-street")&gt;0,1,0)</f>
        <v>0</v>
      </c>
      <c r="M1418">
        <f>IF(COUNTIFS('United Data'!$A$3:$A$3390,M$1,'United Data'!$C$3:$C$3390,$A1418,'United Data'!$B$3:$B$3390,"&lt;&gt;Off-street")&gt;0,1,0)</f>
        <v>0</v>
      </c>
      <c r="N1418">
        <f>IF(COUNTIFS('United Data'!$A$3:$A$3390,N$1,'United Data'!$C$3:$C$3390,$A1418,'United Data'!$B$3:$B$3390,"&lt;&gt;Off-street")&gt;0,1,0)</f>
        <v>0</v>
      </c>
      <c r="O1418">
        <f>IF(COUNTIFS('United Data'!$A$3:$A$3390,O$1,'United Data'!$C$3:$C$3390,$A1418,'United Data'!$B$3:$B$3390,"&lt;&gt;Off-street")&gt;0,1,0)</f>
        <v>0</v>
      </c>
      <c r="P1418">
        <f>IF(COUNTIFS('United Data'!$A$3:$A$3390,P$1,'United Data'!$C$3:$C$3390,$A1418,'United Data'!$B$3:$B$3390,"&lt;&gt;Off-street")&gt;0,1,0)</f>
        <v>0</v>
      </c>
      <c r="Q1418">
        <f>IF(COUNTIFS('United Data'!$A$3:$A$3390,Q$1,'United Data'!$C$3:$C$3390,$A1418,'United Data'!$B$3:$B$3390,"&lt;&gt;Off-street")&gt;0,1,0)</f>
        <v>0</v>
      </c>
      <c r="R1418">
        <f>IF(COUNTIFS('United Data'!$A$3:$A$3390,R$1,'United Data'!$C$3:$C$3390,$A1418,'United Data'!$B$3:$B$3390,"&lt;&gt;Off-street")&gt;0,1,0)</f>
        <v>0</v>
      </c>
      <c r="S1418">
        <f t="shared" si="44"/>
        <v>1</v>
      </c>
      <c r="T1418">
        <f t="shared" si="45"/>
        <v>1</v>
      </c>
    </row>
    <row r="1419" spans="1:20" x14ac:dyDescent="0.2">
      <c r="A1419" t="s">
        <v>1686</v>
      </c>
      <c r="B1419">
        <f>IF(COUNTIFS('United Data'!$A$3:$A$3390,B$1,'United Data'!$C$3:$C$3390,$A1419,'United Data'!$B$3:$B$3390,"&lt;&gt;Off-street")&gt;0,1,0)</f>
        <v>0</v>
      </c>
      <c r="C1419">
        <f>IF(COUNTIFS('United Data'!$A$3:$A$3390,C$1,'United Data'!$C$3:$C$3390,$A1419,'United Data'!$B$3:$B$3390,"&lt;&gt;Off-street")&gt;0,1,0)</f>
        <v>0</v>
      </c>
      <c r="D1419">
        <f>IF(COUNTIFS('United Data'!$A$3:$A$3390,D$1,'United Data'!$C$3:$C$3390,$A1419,'United Data'!$B$3:$B$3390,"&lt;&gt;Off-street")&gt;0,1,0)</f>
        <v>0</v>
      </c>
      <c r="E1419">
        <f>IF(COUNTIFS('United Data'!$A$3:$A$3390,E$1,'United Data'!$C$3:$C$3390,$A1419,'United Data'!$B$3:$B$3390,"&lt;&gt;Off-street")&gt;0,1,0)</f>
        <v>1</v>
      </c>
      <c r="F1419">
        <f>IF(COUNTIFS('United Data'!$A$3:$A$3390,F$1,'United Data'!$C$3:$C$3390,$A1419,'United Data'!$B$3:$B$3390,"&lt;&gt;Off-street")&gt;0,1,0)</f>
        <v>0</v>
      </c>
      <c r="G1419">
        <f>IF(COUNTIFS('United Data'!$A$3:$A$3390,G$1,'United Data'!$C$3:$C$3390,$A1419,'United Data'!$B$3:$B$3390,"&lt;&gt;Off-street")&gt;0,1,0)</f>
        <v>0</v>
      </c>
      <c r="H1419">
        <f>IF(COUNTIFS('United Data'!$A$3:$A$3390,H$1,'United Data'!$C$3:$C$3390,$A1419,'United Data'!$B$3:$B$3390,"&lt;&gt;Off-street")&gt;0,1,0)</f>
        <v>0</v>
      </c>
      <c r="I1419">
        <f>IF(COUNTIFS('United Data'!$A$3:$A$3390,I$1,'United Data'!$C$3:$C$3390,$A1419,'United Data'!$B$3:$B$3390,"&lt;&gt;Off-street")&gt;0,1,0)</f>
        <v>0</v>
      </c>
      <c r="J1419">
        <f>IF(COUNTIFS('United Data'!$A$3:$A$3390,J$1,'United Data'!$C$3:$C$3390,$A1419,'United Data'!$B$3:$B$3390,"&lt;&gt;Off-street")&gt;0,1,0)</f>
        <v>0</v>
      </c>
      <c r="K1419">
        <f>IF(COUNTIFS('United Data'!$A$3:$A$3390,K$1,'United Data'!$C$3:$C$3390,$A1419,'United Data'!$B$3:$B$3390,"&lt;&gt;Off-street")&gt;0,1,0)</f>
        <v>0</v>
      </c>
      <c r="L1419">
        <f>IF(COUNTIFS('United Data'!$A$3:$A$3390,L$1,'United Data'!$C$3:$C$3390,$A1419,'United Data'!$B$3:$B$3390,"&lt;&gt;Off-street")&gt;0,1,0)</f>
        <v>0</v>
      </c>
      <c r="M1419">
        <f>IF(COUNTIFS('United Data'!$A$3:$A$3390,M$1,'United Data'!$C$3:$C$3390,$A1419,'United Data'!$B$3:$B$3390,"&lt;&gt;Off-street")&gt;0,1,0)</f>
        <v>0</v>
      </c>
      <c r="N1419">
        <f>IF(COUNTIFS('United Data'!$A$3:$A$3390,N$1,'United Data'!$C$3:$C$3390,$A1419,'United Data'!$B$3:$B$3390,"&lt;&gt;Off-street")&gt;0,1,0)</f>
        <v>0</v>
      </c>
      <c r="O1419">
        <f>IF(COUNTIFS('United Data'!$A$3:$A$3390,O$1,'United Data'!$C$3:$C$3390,$A1419,'United Data'!$B$3:$B$3390,"&lt;&gt;Off-street")&gt;0,1,0)</f>
        <v>0</v>
      </c>
      <c r="P1419">
        <f>IF(COUNTIFS('United Data'!$A$3:$A$3390,P$1,'United Data'!$C$3:$C$3390,$A1419,'United Data'!$B$3:$B$3390,"&lt;&gt;Off-street")&gt;0,1,0)</f>
        <v>0</v>
      </c>
      <c r="Q1419">
        <f>IF(COUNTIFS('United Data'!$A$3:$A$3390,Q$1,'United Data'!$C$3:$C$3390,$A1419,'United Data'!$B$3:$B$3390,"&lt;&gt;Off-street")&gt;0,1,0)</f>
        <v>0</v>
      </c>
      <c r="R1419">
        <f>IF(COUNTIFS('United Data'!$A$3:$A$3390,R$1,'United Data'!$C$3:$C$3390,$A1419,'United Data'!$B$3:$B$3390,"&lt;&gt;Off-street")&gt;0,1,0)</f>
        <v>0</v>
      </c>
      <c r="S1419">
        <f t="shared" si="44"/>
        <v>1</v>
      </c>
      <c r="T1419">
        <f t="shared" si="45"/>
        <v>1</v>
      </c>
    </row>
    <row r="1420" spans="1:20" x14ac:dyDescent="0.2">
      <c r="A1420" t="s">
        <v>1687</v>
      </c>
      <c r="B1420">
        <f>IF(COUNTIFS('United Data'!$A$3:$A$3390,B$1,'United Data'!$C$3:$C$3390,$A1420,'United Data'!$B$3:$B$3390,"&lt;&gt;Off-street")&gt;0,1,0)</f>
        <v>0</v>
      </c>
      <c r="C1420">
        <f>IF(COUNTIFS('United Data'!$A$3:$A$3390,C$1,'United Data'!$C$3:$C$3390,$A1420,'United Data'!$B$3:$B$3390,"&lt;&gt;Off-street")&gt;0,1,0)</f>
        <v>0</v>
      </c>
      <c r="D1420">
        <f>IF(COUNTIFS('United Data'!$A$3:$A$3390,D$1,'United Data'!$C$3:$C$3390,$A1420,'United Data'!$B$3:$B$3390,"&lt;&gt;Off-street")&gt;0,1,0)</f>
        <v>0</v>
      </c>
      <c r="E1420">
        <f>IF(COUNTIFS('United Data'!$A$3:$A$3390,E$1,'United Data'!$C$3:$C$3390,$A1420,'United Data'!$B$3:$B$3390,"&lt;&gt;Off-street")&gt;0,1,0)</f>
        <v>1</v>
      </c>
      <c r="F1420">
        <f>IF(COUNTIFS('United Data'!$A$3:$A$3390,F$1,'United Data'!$C$3:$C$3390,$A1420,'United Data'!$B$3:$B$3390,"&lt;&gt;Off-street")&gt;0,1,0)</f>
        <v>0</v>
      </c>
      <c r="G1420">
        <f>IF(COUNTIFS('United Data'!$A$3:$A$3390,G$1,'United Data'!$C$3:$C$3390,$A1420,'United Data'!$B$3:$B$3390,"&lt;&gt;Off-street")&gt;0,1,0)</f>
        <v>0</v>
      </c>
      <c r="H1420">
        <f>IF(COUNTIFS('United Data'!$A$3:$A$3390,H$1,'United Data'!$C$3:$C$3390,$A1420,'United Data'!$B$3:$B$3390,"&lt;&gt;Off-street")&gt;0,1,0)</f>
        <v>0</v>
      </c>
      <c r="I1420">
        <f>IF(COUNTIFS('United Data'!$A$3:$A$3390,I$1,'United Data'!$C$3:$C$3390,$A1420,'United Data'!$B$3:$B$3390,"&lt;&gt;Off-street")&gt;0,1,0)</f>
        <v>0</v>
      </c>
      <c r="J1420">
        <f>IF(COUNTIFS('United Data'!$A$3:$A$3390,J$1,'United Data'!$C$3:$C$3390,$A1420,'United Data'!$B$3:$B$3390,"&lt;&gt;Off-street")&gt;0,1,0)</f>
        <v>0</v>
      </c>
      <c r="K1420">
        <f>IF(COUNTIFS('United Data'!$A$3:$A$3390,K$1,'United Data'!$C$3:$C$3390,$A1420,'United Data'!$B$3:$B$3390,"&lt;&gt;Off-street")&gt;0,1,0)</f>
        <v>0</v>
      </c>
      <c r="L1420">
        <f>IF(COUNTIFS('United Data'!$A$3:$A$3390,L$1,'United Data'!$C$3:$C$3390,$A1420,'United Data'!$B$3:$B$3390,"&lt;&gt;Off-street")&gt;0,1,0)</f>
        <v>0</v>
      </c>
      <c r="M1420">
        <f>IF(COUNTIFS('United Data'!$A$3:$A$3390,M$1,'United Data'!$C$3:$C$3390,$A1420,'United Data'!$B$3:$B$3390,"&lt;&gt;Off-street")&gt;0,1,0)</f>
        <v>0</v>
      </c>
      <c r="N1420">
        <f>IF(COUNTIFS('United Data'!$A$3:$A$3390,N$1,'United Data'!$C$3:$C$3390,$A1420,'United Data'!$B$3:$B$3390,"&lt;&gt;Off-street")&gt;0,1,0)</f>
        <v>0</v>
      </c>
      <c r="O1420">
        <f>IF(COUNTIFS('United Data'!$A$3:$A$3390,O$1,'United Data'!$C$3:$C$3390,$A1420,'United Data'!$B$3:$B$3390,"&lt;&gt;Off-street")&gt;0,1,0)</f>
        <v>0</v>
      </c>
      <c r="P1420">
        <f>IF(COUNTIFS('United Data'!$A$3:$A$3390,P$1,'United Data'!$C$3:$C$3390,$A1420,'United Data'!$B$3:$B$3390,"&lt;&gt;Off-street")&gt;0,1,0)</f>
        <v>0</v>
      </c>
      <c r="Q1420">
        <f>IF(COUNTIFS('United Data'!$A$3:$A$3390,Q$1,'United Data'!$C$3:$C$3390,$A1420,'United Data'!$B$3:$B$3390,"&lt;&gt;Off-street")&gt;0,1,0)</f>
        <v>0</v>
      </c>
      <c r="R1420">
        <f>IF(COUNTIFS('United Data'!$A$3:$A$3390,R$1,'United Data'!$C$3:$C$3390,$A1420,'United Data'!$B$3:$B$3390,"&lt;&gt;Off-street")&gt;0,1,0)</f>
        <v>0</v>
      </c>
      <c r="S1420">
        <f t="shared" si="44"/>
        <v>1</v>
      </c>
      <c r="T1420">
        <f t="shared" si="45"/>
        <v>1</v>
      </c>
    </row>
    <row r="1421" spans="1:20" x14ac:dyDescent="0.2">
      <c r="A1421" t="s">
        <v>1688</v>
      </c>
      <c r="B1421">
        <f>IF(COUNTIFS('United Data'!$A$3:$A$3390,B$1,'United Data'!$C$3:$C$3390,$A1421,'United Data'!$B$3:$B$3390,"&lt;&gt;Off-street")&gt;0,1,0)</f>
        <v>0</v>
      </c>
      <c r="C1421">
        <f>IF(COUNTIFS('United Data'!$A$3:$A$3390,C$1,'United Data'!$C$3:$C$3390,$A1421,'United Data'!$B$3:$B$3390,"&lt;&gt;Off-street")&gt;0,1,0)</f>
        <v>0</v>
      </c>
      <c r="D1421">
        <f>IF(COUNTIFS('United Data'!$A$3:$A$3390,D$1,'United Data'!$C$3:$C$3390,$A1421,'United Data'!$B$3:$B$3390,"&lt;&gt;Off-street")&gt;0,1,0)</f>
        <v>0</v>
      </c>
      <c r="E1421">
        <f>IF(COUNTIFS('United Data'!$A$3:$A$3390,E$1,'United Data'!$C$3:$C$3390,$A1421,'United Data'!$B$3:$B$3390,"&lt;&gt;Off-street")&gt;0,1,0)</f>
        <v>1</v>
      </c>
      <c r="F1421">
        <f>IF(COUNTIFS('United Data'!$A$3:$A$3390,F$1,'United Data'!$C$3:$C$3390,$A1421,'United Data'!$B$3:$B$3390,"&lt;&gt;Off-street")&gt;0,1,0)</f>
        <v>0</v>
      </c>
      <c r="G1421">
        <f>IF(COUNTIFS('United Data'!$A$3:$A$3390,G$1,'United Data'!$C$3:$C$3390,$A1421,'United Data'!$B$3:$B$3390,"&lt;&gt;Off-street")&gt;0,1,0)</f>
        <v>0</v>
      </c>
      <c r="H1421">
        <f>IF(COUNTIFS('United Data'!$A$3:$A$3390,H$1,'United Data'!$C$3:$C$3390,$A1421,'United Data'!$B$3:$B$3390,"&lt;&gt;Off-street")&gt;0,1,0)</f>
        <v>0</v>
      </c>
      <c r="I1421">
        <f>IF(COUNTIFS('United Data'!$A$3:$A$3390,I$1,'United Data'!$C$3:$C$3390,$A1421,'United Data'!$B$3:$B$3390,"&lt;&gt;Off-street")&gt;0,1,0)</f>
        <v>0</v>
      </c>
      <c r="J1421">
        <f>IF(COUNTIFS('United Data'!$A$3:$A$3390,J$1,'United Data'!$C$3:$C$3390,$A1421,'United Data'!$B$3:$B$3390,"&lt;&gt;Off-street")&gt;0,1,0)</f>
        <v>0</v>
      </c>
      <c r="K1421">
        <f>IF(COUNTIFS('United Data'!$A$3:$A$3390,K$1,'United Data'!$C$3:$C$3390,$A1421,'United Data'!$B$3:$B$3390,"&lt;&gt;Off-street")&gt;0,1,0)</f>
        <v>0</v>
      </c>
      <c r="L1421">
        <f>IF(COUNTIFS('United Data'!$A$3:$A$3390,L$1,'United Data'!$C$3:$C$3390,$A1421,'United Data'!$B$3:$B$3390,"&lt;&gt;Off-street")&gt;0,1,0)</f>
        <v>0</v>
      </c>
      <c r="M1421">
        <f>IF(COUNTIFS('United Data'!$A$3:$A$3390,M$1,'United Data'!$C$3:$C$3390,$A1421,'United Data'!$B$3:$B$3390,"&lt;&gt;Off-street")&gt;0,1,0)</f>
        <v>0</v>
      </c>
      <c r="N1421">
        <f>IF(COUNTIFS('United Data'!$A$3:$A$3390,N$1,'United Data'!$C$3:$C$3390,$A1421,'United Data'!$B$3:$B$3390,"&lt;&gt;Off-street")&gt;0,1,0)</f>
        <v>0</v>
      </c>
      <c r="O1421">
        <f>IF(COUNTIFS('United Data'!$A$3:$A$3390,O$1,'United Data'!$C$3:$C$3390,$A1421,'United Data'!$B$3:$B$3390,"&lt;&gt;Off-street")&gt;0,1,0)</f>
        <v>0</v>
      </c>
      <c r="P1421">
        <f>IF(COUNTIFS('United Data'!$A$3:$A$3390,P$1,'United Data'!$C$3:$C$3390,$A1421,'United Data'!$B$3:$B$3390,"&lt;&gt;Off-street")&gt;0,1,0)</f>
        <v>0</v>
      </c>
      <c r="Q1421">
        <f>IF(COUNTIFS('United Data'!$A$3:$A$3390,Q$1,'United Data'!$C$3:$C$3390,$A1421,'United Data'!$B$3:$B$3390,"&lt;&gt;Off-street")&gt;0,1,0)</f>
        <v>0</v>
      </c>
      <c r="R1421">
        <f>IF(COUNTIFS('United Data'!$A$3:$A$3390,R$1,'United Data'!$C$3:$C$3390,$A1421,'United Data'!$B$3:$B$3390,"&lt;&gt;Off-street")&gt;0,1,0)</f>
        <v>0</v>
      </c>
      <c r="S1421">
        <f t="shared" si="44"/>
        <v>1</v>
      </c>
      <c r="T1421">
        <f t="shared" si="45"/>
        <v>1</v>
      </c>
    </row>
    <row r="1422" spans="1:20" x14ac:dyDescent="0.2">
      <c r="A1422" t="s">
        <v>1690</v>
      </c>
      <c r="B1422">
        <f>IF(COUNTIFS('United Data'!$A$3:$A$3390,B$1,'United Data'!$C$3:$C$3390,$A1422,'United Data'!$B$3:$B$3390,"&lt;&gt;Off-street")&gt;0,1,0)</f>
        <v>0</v>
      </c>
      <c r="C1422">
        <f>IF(COUNTIFS('United Data'!$A$3:$A$3390,C$1,'United Data'!$C$3:$C$3390,$A1422,'United Data'!$B$3:$B$3390,"&lt;&gt;Off-street")&gt;0,1,0)</f>
        <v>0</v>
      </c>
      <c r="D1422">
        <f>IF(COUNTIFS('United Data'!$A$3:$A$3390,D$1,'United Data'!$C$3:$C$3390,$A1422,'United Data'!$B$3:$B$3390,"&lt;&gt;Off-street")&gt;0,1,0)</f>
        <v>0</v>
      </c>
      <c r="E1422">
        <f>IF(COUNTIFS('United Data'!$A$3:$A$3390,E$1,'United Data'!$C$3:$C$3390,$A1422,'United Data'!$B$3:$B$3390,"&lt;&gt;Off-street")&gt;0,1,0)</f>
        <v>1</v>
      </c>
      <c r="F1422">
        <f>IF(COUNTIFS('United Data'!$A$3:$A$3390,F$1,'United Data'!$C$3:$C$3390,$A1422,'United Data'!$B$3:$B$3390,"&lt;&gt;Off-street")&gt;0,1,0)</f>
        <v>0</v>
      </c>
      <c r="G1422">
        <f>IF(COUNTIFS('United Data'!$A$3:$A$3390,G$1,'United Data'!$C$3:$C$3390,$A1422,'United Data'!$B$3:$B$3390,"&lt;&gt;Off-street")&gt;0,1,0)</f>
        <v>0</v>
      </c>
      <c r="H1422">
        <f>IF(COUNTIFS('United Data'!$A$3:$A$3390,H$1,'United Data'!$C$3:$C$3390,$A1422,'United Data'!$B$3:$B$3390,"&lt;&gt;Off-street")&gt;0,1,0)</f>
        <v>0</v>
      </c>
      <c r="I1422">
        <f>IF(COUNTIFS('United Data'!$A$3:$A$3390,I$1,'United Data'!$C$3:$C$3390,$A1422,'United Data'!$B$3:$B$3390,"&lt;&gt;Off-street")&gt;0,1,0)</f>
        <v>0</v>
      </c>
      <c r="J1422">
        <f>IF(COUNTIFS('United Data'!$A$3:$A$3390,J$1,'United Data'!$C$3:$C$3390,$A1422,'United Data'!$B$3:$B$3390,"&lt;&gt;Off-street")&gt;0,1,0)</f>
        <v>0</v>
      </c>
      <c r="K1422">
        <f>IF(COUNTIFS('United Data'!$A$3:$A$3390,K$1,'United Data'!$C$3:$C$3390,$A1422,'United Data'!$B$3:$B$3390,"&lt;&gt;Off-street")&gt;0,1,0)</f>
        <v>0</v>
      </c>
      <c r="L1422">
        <f>IF(COUNTIFS('United Data'!$A$3:$A$3390,L$1,'United Data'!$C$3:$C$3390,$A1422,'United Data'!$B$3:$B$3390,"&lt;&gt;Off-street")&gt;0,1,0)</f>
        <v>0</v>
      </c>
      <c r="M1422">
        <f>IF(COUNTIFS('United Data'!$A$3:$A$3390,M$1,'United Data'!$C$3:$C$3390,$A1422,'United Data'!$B$3:$B$3390,"&lt;&gt;Off-street")&gt;0,1,0)</f>
        <v>0</v>
      </c>
      <c r="N1422">
        <f>IF(COUNTIFS('United Data'!$A$3:$A$3390,N$1,'United Data'!$C$3:$C$3390,$A1422,'United Data'!$B$3:$B$3390,"&lt;&gt;Off-street")&gt;0,1,0)</f>
        <v>0</v>
      </c>
      <c r="O1422">
        <f>IF(COUNTIFS('United Data'!$A$3:$A$3390,O$1,'United Data'!$C$3:$C$3390,$A1422,'United Data'!$B$3:$B$3390,"&lt;&gt;Off-street")&gt;0,1,0)</f>
        <v>0</v>
      </c>
      <c r="P1422">
        <f>IF(COUNTIFS('United Data'!$A$3:$A$3390,P$1,'United Data'!$C$3:$C$3390,$A1422,'United Data'!$B$3:$B$3390,"&lt;&gt;Off-street")&gt;0,1,0)</f>
        <v>0</v>
      </c>
      <c r="Q1422">
        <f>IF(COUNTIFS('United Data'!$A$3:$A$3390,Q$1,'United Data'!$C$3:$C$3390,$A1422,'United Data'!$B$3:$B$3390,"&lt;&gt;Off-street")&gt;0,1,0)</f>
        <v>0</v>
      </c>
      <c r="R1422">
        <f>IF(COUNTIFS('United Data'!$A$3:$A$3390,R$1,'United Data'!$C$3:$C$3390,$A1422,'United Data'!$B$3:$B$3390,"&lt;&gt;Off-street")&gt;0,1,0)</f>
        <v>0</v>
      </c>
      <c r="S1422">
        <f t="shared" si="44"/>
        <v>1</v>
      </c>
      <c r="T1422">
        <f t="shared" si="45"/>
        <v>1</v>
      </c>
    </row>
    <row r="1423" spans="1:20" x14ac:dyDescent="0.2">
      <c r="A1423" t="s">
        <v>1691</v>
      </c>
      <c r="B1423">
        <f>IF(COUNTIFS('United Data'!$A$3:$A$3390,B$1,'United Data'!$C$3:$C$3390,$A1423,'United Data'!$B$3:$B$3390,"&lt;&gt;Off-street")&gt;0,1,0)</f>
        <v>0</v>
      </c>
      <c r="C1423">
        <f>IF(COUNTIFS('United Data'!$A$3:$A$3390,C$1,'United Data'!$C$3:$C$3390,$A1423,'United Data'!$B$3:$B$3390,"&lt;&gt;Off-street")&gt;0,1,0)</f>
        <v>0</v>
      </c>
      <c r="D1423">
        <f>IF(COUNTIFS('United Data'!$A$3:$A$3390,D$1,'United Data'!$C$3:$C$3390,$A1423,'United Data'!$B$3:$B$3390,"&lt;&gt;Off-street")&gt;0,1,0)</f>
        <v>0</v>
      </c>
      <c r="E1423">
        <f>IF(COUNTIFS('United Data'!$A$3:$A$3390,E$1,'United Data'!$C$3:$C$3390,$A1423,'United Data'!$B$3:$B$3390,"&lt;&gt;Off-street")&gt;0,1,0)</f>
        <v>1</v>
      </c>
      <c r="F1423">
        <f>IF(COUNTIFS('United Data'!$A$3:$A$3390,F$1,'United Data'!$C$3:$C$3390,$A1423,'United Data'!$B$3:$B$3390,"&lt;&gt;Off-street")&gt;0,1,0)</f>
        <v>1</v>
      </c>
      <c r="G1423">
        <f>IF(COUNTIFS('United Data'!$A$3:$A$3390,G$1,'United Data'!$C$3:$C$3390,$A1423,'United Data'!$B$3:$B$3390,"&lt;&gt;Off-street")&gt;0,1,0)</f>
        <v>0</v>
      </c>
      <c r="H1423">
        <f>IF(COUNTIFS('United Data'!$A$3:$A$3390,H$1,'United Data'!$C$3:$C$3390,$A1423,'United Data'!$B$3:$B$3390,"&lt;&gt;Off-street")&gt;0,1,0)</f>
        <v>0</v>
      </c>
      <c r="I1423">
        <f>IF(COUNTIFS('United Data'!$A$3:$A$3390,I$1,'United Data'!$C$3:$C$3390,$A1423,'United Data'!$B$3:$B$3390,"&lt;&gt;Off-street")&gt;0,1,0)</f>
        <v>0</v>
      </c>
      <c r="J1423">
        <f>IF(COUNTIFS('United Data'!$A$3:$A$3390,J$1,'United Data'!$C$3:$C$3390,$A1423,'United Data'!$B$3:$B$3390,"&lt;&gt;Off-street")&gt;0,1,0)</f>
        <v>0</v>
      </c>
      <c r="K1423">
        <f>IF(COUNTIFS('United Data'!$A$3:$A$3390,K$1,'United Data'!$C$3:$C$3390,$A1423,'United Data'!$B$3:$B$3390,"&lt;&gt;Off-street")&gt;0,1,0)</f>
        <v>1</v>
      </c>
      <c r="L1423">
        <f>IF(COUNTIFS('United Data'!$A$3:$A$3390,L$1,'United Data'!$C$3:$C$3390,$A1423,'United Data'!$B$3:$B$3390,"&lt;&gt;Off-street")&gt;0,1,0)</f>
        <v>0</v>
      </c>
      <c r="M1423">
        <f>IF(COUNTIFS('United Data'!$A$3:$A$3390,M$1,'United Data'!$C$3:$C$3390,$A1423,'United Data'!$B$3:$B$3390,"&lt;&gt;Off-street")&gt;0,1,0)</f>
        <v>0</v>
      </c>
      <c r="N1423">
        <f>IF(COUNTIFS('United Data'!$A$3:$A$3390,N$1,'United Data'!$C$3:$C$3390,$A1423,'United Data'!$B$3:$B$3390,"&lt;&gt;Off-street")&gt;0,1,0)</f>
        <v>0</v>
      </c>
      <c r="O1423">
        <f>IF(COUNTIFS('United Data'!$A$3:$A$3390,O$1,'United Data'!$C$3:$C$3390,$A1423,'United Data'!$B$3:$B$3390,"&lt;&gt;Off-street")&gt;0,1,0)</f>
        <v>0</v>
      </c>
      <c r="P1423">
        <f>IF(COUNTIFS('United Data'!$A$3:$A$3390,P$1,'United Data'!$C$3:$C$3390,$A1423,'United Data'!$B$3:$B$3390,"&lt;&gt;Off-street")&gt;0,1,0)</f>
        <v>1</v>
      </c>
      <c r="Q1423">
        <f>IF(COUNTIFS('United Data'!$A$3:$A$3390,Q$1,'United Data'!$C$3:$C$3390,$A1423,'United Data'!$B$3:$B$3390,"&lt;&gt;Off-street")&gt;0,1,0)</f>
        <v>0</v>
      </c>
      <c r="R1423">
        <f>IF(COUNTIFS('United Data'!$A$3:$A$3390,R$1,'United Data'!$C$3:$C$3390,$A1423,'United Data'!$B$3:$B$3390,"&lt;&gt;Off-street")&gt;0,1,0)</f>
        <v>0</v>
      </c>
      <c r="S1423">
        <f t="shared" si="44"/>
        <v>4</v>
      </c>
      <c r="T1423">
        <f t="shared" si="45"/>
        <v>3</v>
      </c>
    </row>
    <row r="1424" spans="1:20" x14ac:dyDescent="0.2">
      <c r="A1424" t="s">
        <v>1692</v>
      </c>
      <c r="B1424">
        <f>IF(COUNTIFS('United Data'!$A$3:$A$3390,B$1,'United Data'!$C$3:$C$3390,$A1424,'United Data'!$B$3:$B$3390,"&lt;&gt;Off-street")&gt;0,1,0)</f>
        <v>0</v>
      </c>
      <c r="C1424">
        <f>IF(COUNTIFS('United Data'!$A$3:$A$3390,C$1,'United Data'!$C$3:$C$3390,$A1424,'United Data'!$B$3:$B$3390,"&lt;&gt;Off-street")&gt;0,1,0)</f>
        <v>0</v>
      </c>
      <c r="D1424">
        <f>IF(COUNTIFS('United Data'!$A$3:$A$3390,D$1,'United Data'!$C$3:$C$3390,$A1424,'United Data'!$B$3:$B$3390,"&lt;&gt;Off-street")&gt;0,1,0)</f>
        <v>0</v>
      </c>
      <c r="E1424">
        <f>IF(COUNTIFS('United Data'!$A$3:$A$3390,E$1,'United Data'!$C$3:$C$3390,$A1424,'United Data'!$B$3:$B$3390,"&lt;&gt;Off-street")&gt;0,1,0)</f>
        <v>1</v>
      </c>
      <c r="F1424">
        <f>IF(COUNTIFS('United Data'!$A$3:$A$3390,F$1,'United Data'!$C$3:$C$3390,$A1424,'United Data'!$B$3:$B$3390,"&lt;&gt;Off-street")&gt;0,1,0)</f>
        <v>1</v>
      </c>
      <c r="G1424">
        <f>IF(COUNTIFS('United Data'!$A$3:$A$3390,G$1,'United Data'!$C$3:$C$3390,$A1424,'United Data'!$B$3:$B$3390,"&lt;&gt;Off-street")&gt;0,1,0)</f>
        <v>0</v>
      </c>
      <c r="H1424">
        <f>IF(COUNTIFS('United Data'!$A$3:$A$3390,H$1,'United Data'!$C$3:$C$3390,$A1424,'United Data'!$B$3:$B$3390,"&lt;&gt;Off-street")&gt;0,1,0)</f>
        <v>0</v>
      </c>
      <c r="I1424">
        <f>IF(COUNTIFS('United Data'!$A$3:$A$3390,I$1,'United Data'!$C$3:$C$3390,$A1424,'United Data'!$B$3:$B$3390,"&lt;&gt;Off-street")&gt;0,1,0)</f>
        <v>1</v>
      </c>
      <c r="J1424">
        <f>IF(COUNTIFS('United Data'!$A$3:$A$3390,J$1,'United Data'!$C$3:$C$3390,$A1424,'United Data'!$B$3:$B$3390,"&lt;&gt;Off-street")&gt;0,1,0)</f>
        <v>1</v>
      </c>
      <c r="K1424">
        <f>IF(COUNTIFS('United Data'!$A$3:$A$3390,K$1,'United Data'!$C$3:$C$3390,$A1424,'United Data'!$B$3:$B$3390,"&lt;&gt;Off-street")&gt;0,1,0)</f>
        <v>1</v>
      </c>
      <c r="L1424">
        <f>IF(COUNTIFS('United Data'!$A$3:$A$3390,L$1,'United Data'!$C$3:$C$3390,$A1424,'United Data'!$B$3:$B$3390,"&lt;&gt;Off-street")&gt;0,1,0)</f>
        <v>0</v>
      </c>
      <c r="M1424">
        <f>IF(COUNTIFS('United Data'!$A$3:$A$3390,M$1,'United Data'!$C$3:$C$3390,$A1424,'United Data'!$B$3:$B$3390,"&lt;&gt;Off-street")&gt;0,1,0)</f>
        <v>0</v>
      </c>
      <c r="N1424">
        <f>IF(COUNTIFS('United Data'!$A$3:$A$3390,N$1,'United Data'!$C$3:$C$3390,$A1424,'United Data'!$B$3:$B$3390,"&lt;&gt;Off-street")&gt;0,1,0)</f>
        <v>0</v>
      </c>
      <c r="O1424">
        <f>IF(COUNTIFS('United Data'!$A$3:$A$3390,O$1,'United Data'!$C$3:$C$3390,$A1424,'United Data'!$B$3:$B$3390,"&lt;&gt;Off-street")&gt;0,1,0)</f>
        <v>0</v>
      </c>
      <c r="P1424">
        <f>IF(COUNTIFS('United Data'!$A$3:$A$3390,P$1,'United Data'!$C$3:$C$3390,$A1424,'United Data'!$B$3:$B$3390,"&lt;&gt;Off-street")&gt;0,1,0)</f>
        <v>0</v>
      </c>
      <c r="Q1424">
        <f>IF(COUNTIFS('United Data'!$A$3:$A$3390,Q$1,'United Data'!$C$3:$C$3390,$A1424,'United Data'!$B$3:$B$3390,"&lt;&gt;Off-street")&gt;0,1,0)</f>
        <v>0</v>
      </c>
      <c r="R1424">
        <f>IF(COUNTIFS('United Data'!$A$3:$A$3390,R$1,'United Data'!$C$3:$C$3390,$A1424,'United Data'!$B$3:$B$3390,"&lt;&gt;Off-street")&gt;0,1,0)</f>
        <v>0</v>
      </c>
      <c r="S1424">
        <f t="shared" si="44"/>
        <v>5</v>
      </c>
      <c r="T1424">
        <f t="shared" si="45"/>
        <v>2</v>
      </c>
    </row>
    <row r="1425" spans="1:20" x14ac:dyDescent="0.2">
      <c r="A1425" t="s">
        <v>1693</v>
      </c>
      <c r="B1425">
        <f>IF(COUNTIFS('United Data'!$A$3:$A$3390,B$1,'United Data'!$C$3:$C$3390,$A1425,'United Data'!$B$3:$B$3390,"&lt;&gt;Off-street")&gt;0,1,0)</f>
        <v>0</v>
      </c>
      <c r="C1425">
        <f>IF(COUNTIFS('United Data'!$A$3:$A$3390,C$1,'United Data'!$C$3:$C$3390,$A1425,'United Data'!$B$3:$B$3390,"&lt;&gt;Off-street")&gt;0,1,0)</f>
        <v>0</v>
      </c>
      <c r="D1425">
        <f>IF(COUNTIFS('United Data'!$A$3:$A$3390,D$1,'United Data'!$C$3:$C$3390,$A1425,'United Data'!$B$3:$B$3390,"&lt;&gt;Off-street")&gt;0,1,0)</f>
        <v>0</v>
      </c>
      <c r="E1425">
        <f>IF(COUNTIFS('United Data'!$A$3:$A$3390,E$1,'United Data'!$C$3:$C$3390,$A1425,'United Data'!$B$3:$B$3390,"&lt;&gt;Off-street")&gt;0,1,0)</f>
        <v>1</v>
      </c>
      <c r="F1425">
        <f>IF(COUNTIFS('United Data'!$A$3:$A$3390,F$1,'United Data'!$C$3:$C$3390,$A1425,'United Data'!$B$3:$B$3390,"&lt;&gt;Off-street")&gt;0,1,0)</f>
        <v>0</v>
      </c>
      <c r="G1425">
        <f>IF(COUNTIFS('United Data'!$A$3:$A$3390,G$1,'United Data'!$C$3:$C$3390,$A1425,'United Data'!$B$3:$B$3390,"&lt;&gt;Off-street")&gt;0,1,0)</f>
        <v>0</v>
      </c>
      <c r="H1425">
        <f>IF(COUNTIFS('United Data'!$A$3:$A$3390,H$1,'United Data'!$C$3:$C$3390,$A1425,'United Data'!$B$3:$B$3390,"&lt;&gt;Off-street")&gt;0,1,0)</f>
        <v>0</v>
      </c>
      <c r="I1425">
        <f>IF(COUNTIFS('United Data'!$A$3:$A$3390,I$1,'United Data'!$C$3:$C$3390,$A1425,'United Data'!$B$3:$B$3390,"&lt;&gt;Off-street")&gt;0,1,0)</f>
        <v>0</v>
      </c>
      <c r="J1425">
        <f>IF(COUNTIFS('United Data'!$A$3:$A$3390,J$1,'United Data'!$C$3:$C$3390,$A1425,'United Data'!$B$3:$B$3390,"&lt;&gt;Off-street")&gt;0,1,0)</f>
        <v>0</v>
      </c>
      <c r="K1425">
        <f>IF(COUNTIFS('United Data'!$A$3:$A$3390,K$1,'United Data'!$C$3:$C$3390,$A1425,'United Data'!$B$3:$B$3390,"&lt;&gt;Off-street")&gt;0,1,0)</f>
        <v>0</v>
      </c>
      <c r="L1425">
        <f>IF(COUNTIFS('United Data'!$A$3:$A$3390,L$1,'United Data'!$C$3:$C$3390,$A1425,'United Data'!$B$3:$B$3390,"&lt;&gt;Off-street")&gt;0,1,0)</f>
        <v>0</v>
      </c>
      <c r="M1425">
        <f>IF(COUNTIFS('United Data'!$A$3:$A$3390,M$1,'United Data'!$C$3:$C$3390,$A1425,'United Data'!$B$3:$B$3390,"&lt;&gt;Off-street")&gt;0,1,0)</f>
        <v>0</v>
      </c>
      <c r="N1425">
        <f>IF(COUNTIFS('United Data'!$A$3:$A$3390,N$1,'United Data'!$C$3:$C$3390,$A1425,'United Data'!$B$3:$B$3390,"&lt;&gt;Off-street")&gt;0,1,0)</f>
        <v>0</v>
      </c>
      <c r="O1425">
        <f>IF(COUNTIFS('United Data'!$A$3:$A$3390,O$1,'United Data'!$C$3:$C$3390,$A1425,'United Data'!$B$3:$B$3390,"&lt;&gt;Off-street")&gt;0,1,0)</f>
        <v>0</v>
      </c>
      <c r="P1425">
        <f>IF(COUNTIFS('United Data'!$A$3:$A$3390,P$1,'United Data'!$C$3:$C$3390,$A1425,'United Data'!$B$3:$B$3390,"&lt;&gt;Off-street")&gt;0,1,0)</f>
        <v>0</v>
      </c>
      <c r="Q1425">
        <f>IF(COUNTIFS('United Data'!$A$3:$A$3390,Q$1,'United Data'!$C$3:$C$3390,$A1425,'United Data'!$B$3:$B$3390,"&lt;&gt;Off-street")&gt;0,1,0)</f>
        <v>0</v>
      </c>
      <c r="R1425">
        <f>IF(COUNTIFS('United Data'!$A$3:$A$3390,R$1,'United Data'!$C$3:$C$3390,$A1425,'United Data'!$B$3:$B$3390,"&lt;&gt;Off-street")&gt;0,1,0)</f>
        <v>0</v>
      </c>
      <c r="S1425">
        <f t="shared" si="44"/>
        <v>1</v>
      </c>
      <c r="T1425">
        <f t="shared" si="45"/>
        <v>1</v>
      </c>
    </row>
    <row r="1426" spans="1:20" x14ac:dyDescent="0.2">
      <c r="A1426" t="s">
        <v>1694</v>
      </c>
      <c r="B1426">
        <f>IF(COUNTIFS('United Data'!$A$3:$A$3390,B$1,'United Data'!$C$3:$C$3390,$A1426,'United Data'!$B$3:$B$3390,"&lt;&gt;Off-street")&gt;0,1,0)</f>
        <v>0</v>
      </c>
      <c r="C1426">
        <f>IF(COUNTIFS('United Data'!$A$3:$A$3390,C$1,'United Data'!$C$3:$C$3390,$A1426,'United Data'!$B$3:$B$3390,"&lt;&gt;Off-street")&gt;0,1,0)</f>
        <v>0</v>
      </c>
      <c r="D1426">
        <f>IF(COUNTIFS('United Data'!$A$3:$A$3390,D$1,'United Data'!$C$3:$C$3390,$A1426,'United Data'!$B$3:$B$3390,"&lt;&gt;Off-street")&gt;0,1,0)</f>
        <v>0</v>
      </c>
      <c r="E1426">
        <f>IF(COUNTIFS('United Data'!$A$3:$A$3390,E$1,'United Data'!$C$3:$C$3390,$A1426,'United Data'!$B$3:$B$3390,"&lt;&gt;Off-street")&gt;0,1,0)</f>
        <v>0</v>
      </c>
      <c r="F1426">
        <f>IF(COUNTIFS('United Data'!$A$3:$A$3390,F$1,'United Data'!$C$3:$C$3390,$A1426,'United Data'!$B$3:$B$3390,"&lt;&gt;Off-street")&gt;0,1,0)</f>
        <v>1</v>
      </c>
      <c r="G1426">
        <f>IF(COUNTIFS('United Data'!$A$3:$A$3390,G$1,'United Data'!$C$3:$C$3390,$A1426,'United Data'!$B$3:$B$3390,"&lt;&gt;Off-street")&gt;0,1,0)</f>
        <v>0</v>
      </c>
      <c r="H1426">
        <f>IF(COUNTIFS('United Data'!$A$3:$A$3390,H$1,'United Data'!$C$3:$C$3390,$A1426,'United Data'!$B$3:$B$3390,"&lt;&gt;Off-street")&gt;0,1,0)</f>
        <v>0</v>
      </c>
      <c r="I1426">
        <f>IF(COUNTIFS('United Data'!$A$3:$A$3390,I$1,'United Data'!$C$3:$C$3390,$A1426,'United Data'!$B$3:$B$3390,"&lt;&gt;Off-street")&gt;0,1,0)</f>
        <v>0</v>
      </c>
      <c r="J1426">
        <f>IF(COUNTIFS('United Data'!$A$3:$A$3390,J$1,'United Data'!$C$3:$C$3390,$A1426,'United Data'!$B$3:$B$3390,"&lt;&gt;Off-street")&gt;0,1,0)</f>
        <v>0</v>
      </c>
      <c r="K1426">
        <f>IF(COUNTIFS('United Data'!$A$3:$A$3390,K$1,'United Data'!$C$3:$C$3390,$A1426,'United Data'!$B$3:$B$3390,"&lt;&gt;Off-street")&gt;0,1,0)</f>
        <v>0</v>
      </c>
      <c r="L1426">
        <f>IF(COUNTIFS('United Data'!$A$3:$A$3390,L$1,'United Data'!$C$3:$C$3390,$A1426,'United Data'!$B$3:$B$3390,"&lt;&gt;Off-street")&gt;0,1,0)</f>
        <v>0</v>
      </c>
      <c r="M1426">
        <f>IF(COUNTIFS('United Data'!$A$3:$A$3390,M$1,'United Data'!$C$3:$C$3390,$A1426,'United Data'!$B$3:$B$3390,"&lt;&gt;Off-street")&gt;0,1,0)</f>
        <v>0</v>
      </c>
      <c r="N1426">
        <f>IF(COUNTIFS('United Data'!$A$3:$A$3390,N$1,'United Data'!$C$3:$C$3390,$A1426,'United Data'!$B$3:$B$3390,"&lt;&gt;Off-street")&gt;0,1,0)</f>
        <v>0</v>
      </c>
      <c r="O1426">
        <f>IF(COUNTIFS('United Data'!$A$3:$A$3390,O$1,'United Data'!$C$3:$C$3390,$A1426,'United Data'!$B$3:$B$3390,"&lt;&gt;Off-street")&gt;0,1,0)</f>
        <v>0</v>
      </c>
      <c r="P1426">
        <f>IF(COUNTIFS('United Data'!$A$3:$A$3390,P$1,'United Data'!$C$3:$C$3390,$A1426,'United Data'!$B$3:$B$3390,"&lt;&gt;Off-street")&gt;0,1,0)</f>
        <v>0</v>
      </c>
      <c r="Q1426">
        <f>IF(COUNTIFS('United Data'!$A$3:$A$3390,Q$1,'United Data'!$C$3:$C$3390,$A1426,'United Data'!$B$3:$B$3390,"&lt;&gt;Off-street")&gt;0,1,0)</f>
        <v>0</v>
      </c>
      <c r="R1426">
        <f>IF(COUNTIFS('United Data'!$A$3:$A$3390,R$1,'United Data'!$C$3:$C$3390,$A1426,'United Data'!$B$3:$B$3390,"&lt;&gt;Off-street")&gt;0,1,0)</f>
        <v>0</v>
      </c>
      <c r="S1426">
        <f t="shared" si="44"/>
        <v>1</v>
      </c>
      <c r="T1426">
        <f t="shared" si="45"/>
        <v>1</v>
      </c>
    </row>
    <row r="1427" spans="1:20" x14ac:dyDescent="0.2">
      <c r="A1427" t="s">
        <v>1695</v>
      </c>
      <c r="B1427">
        <f>IF(COUNTIFS('United Data'!$A$3:$A$3390,B$1,'United Data'!$C$3:$C$3390,$A1427,'United Data'!$B$3:$B$3390,"&lt;&gt;Off-street")&gt;0,1,0)</f>
        <v>0</v>
      </c>
      <c r="C1427">
        <f>IF(COUNTIFS('United Data'!$A$3:$A$3390,C$1,'United Data'!$C$3:$C$3390,$A1427,'United Data'!$B$3:$B$3390,"&lt;&gt;Off-street")&gt;0,1,0)</f>
        <v>0</v>
      </c>
      <c r="D1427">
        <f>IF(COUNTIFS('United Data'!$A$3:$A$3390,D$1,'United Data'!$C$3:$C$3390,$A1427,'United Data'!$B$3:$B$3390,"&lt;&gt;Off-street")&gt;0,1,0)</f>
        <v>0</v>
      </c>
      <c r="E1427">
        <f>IF(COUNTIFS('United Data'!$A$3:$A$3390,E$1,'United Data'!$C$3:$C$3390,$A1427,'United Data'!$B$3:$B$3390,"&lt;&gt;Off-street")&gt;0,1,0)</f>
        <v>0</v>
      </c>
      <c r="F1427">
        <f>IF(COUNTIFS('United Data'!$A$3:$A$3390,F$1,'United Data'!$C$3:$C$3390,$A1427,'United Data'!$B$3:$B$3390,"&lt;&gt;Off-street")&gt;0,1,0)</f>
        <v>1</v>
      </c>
      <c r="G1427">
        <f>IF(COUNTIFS('United Data'!$A$3:$A$3390,G$1,'United Data'!$C$3:$C$3390,$A1427,'United Data'!$B$3:$B$3390,"&lt;&gt;Off-street")&gt;0,1,0)</f>
        <v>1</v>
      </c>
      <c r="H1427">
        <f>IF(COUNTIFS('United Data'!$A$3:$A$3390,H$1,'United Data'!$C$3:$C$3390,$A1427,'United Data'!$B$3:$B$3390,"&lt;&gt;Off-street")&gt;0,1,0)</f>
        <v>0</v>
      </c>
      <c r="I1427">
        <f>IF(COUNTIFS('United Data'!$A$3:$A$3390,I$1,'United Data'!$C$3:$C$3390,$A1427,'United Data'!$B$3:$B$3390,"&lt;&gt;Off-street")&gt;0,1,0)</f>
        <v>0</v>
      </c>
      <c r="J1427">
        <f>IF(COUNTIFS('United Data'!$A$3:$A$3390,J$1,'United Data'!$C$3:$C$3390,$A1427,'United Data'!$B$3:$B$3390,"&lt;&gt;Off-street")&gt;0,1,0)</f>
        <v>0</v>
      </c>
      <c r="K1427">
        <f>IF(COUNTIFS('United Data'!$A$3:$A$3390,K$1,'United Data'!$C$3:$C$3390,$A1427,'United Data'!$B$3:$B$3390,"&lt;&gt;Off-street")&gt;0,1,0)</f>
        <v>0</v>
      </c>
      <c r="L1427">
        <f>IF(COUNTIFS('United Data'!$A$3:$A$3390,L$1,'United Data'!$C$3:$C$3390,$A1427,'United Data'!$B$3:$B$3390,"&lt;&gt;Off-street")&gt;0,1,0)</f>
        <v>0</v>
      </c>
      <c r="M1427">
        <f>IF(COUNTIFS('United Data'!$A$3:$A$3390,M$1,'United Data'!$C$3:$C$3390,$A1427,'United Data'!$B$3:$B$3390,"&lt;&gt;Off-street")&gt;0,1,0)</f>
        <v>0</v>
      </c>
      <c r="N1427">
        <f>IF(COUNTIFS('United Data'!$A$3:$A$3390,N$1,'United Data'!$C$3:$C$3390,$A1427,'United Data'!$B$3:$B$3390,"&lt;&gt;Off-street")&gt;0,1,0)</f>
        <v>0</v>
      </c>
      <c r="O1427">
        <f>IF(COUNTIFS('United Data'!$A$3:$A$3390,O$1,'United Data'!$C$3:$C$3390,$A1427,'United Data'!$B$3:$B$3390,"&lt;&gt;Off-street")&gt;0,1,0)</f>
        <v>0</v>
      </c>
      <c r="P1427">
        <f>IF(COUNTIFS('United Data'!$A$3:$A$3390,P$1,'United Data'!$C$3:$C$3390,$A1427,'United Data'!$B$3:$B$3390,"&lt;&gt;Off-street")&gt;0,1,0)</f>
        <v>0</v>
      </c>
      <c r="Q1427">
        <f>IF(COUNTIFS('United Data'!$A$3:$A$3390,Q$1,'United Data'!$C$3:$C$3390,$A1427,'United Data'!$B$3:$B$3390,"&lt;&gt;Off-street")&gt;0,1,0)</f>
        <v>0</v>
      </c>
      <c r="R1427">
        <f>IF(COUNTIFS('United Data'!$A$3:$A$3390,R$1,'United Data'!$C$3:$C$3390,$A1427,'United Data'!$B$3:$B$3390,"&lt;&gt;Off-street")&gt;0,1,0)</f>
        <v>0</v>
      </c>
      <c r="S1427">
        <f t="shared" si="44"/>
        <v>2</v>
      </c>
      <c r="T1427">
        <f t="shared" si="45"/>
        <v>1</v>
      </c>
    </row>
    <row r="1428" spans="1:20" x14ac:dyDescent="0.2">
      <c r="A1428" t="s">
        <v>1696</v>
      </c>
      <c r="B1428">
        <f>IF(COUNTIFS('United Data'!$A$3:$A$3390,B$1,'United Data'!$C$3:$C$3390,$A1428,'United Data'!$B$3:$B$3390,"&lt;&gt;Off-street")&gt;0,1,0)</f>
        <v>0</v>
      </c>
      <c r="C1428">
        <f>IF(COUNTIFS('United Data'!$A$3:$A$3390,C$1,'United Data'!$C$3:$C$3390,$A1428,'United Data'!$B$3:$B$3390,"&lt;&gt;Off-street")&gt;0,1,0)</f>
        <v>0</v>
      </c>
      <c r="D1428">
        <f>IF(COUNTIFS('United Data'!$A$3:$A$3390,D$1,'United Data'!$C$3:$C$3390,$A1428,'United Data'!$B$3:$B$3390,"&lt;&gt;Off-street")&gt;0,1,0)</f>
        <v>0</v>
      </c>
      <c r="E1428">
        <f>IF(COUNTIFS('United Data'!$A$3:$A$3390,E$1,'United Data'!$C$3:$C$3390,$A1428,'United Data'!$B$3:$B$3390,"&lt;&gt;Off-street")&gt;0,1,0)</f>
        <v>0</v>
      </c>
      <c r="F1428">
        <f>IF(COUNTIFS('United Data'!$A$3:$A$3390,F$1,'United Data'!$C$3:$C$3390,$A1428,'United Data'!$B$3:$B$3390,"&lt;&gt;Off-street")&gt;0,1,0)</f>
        <v>1</v>
      </c>
      <c r="G1428">
        <f>IF(COUNTIFS('United Data'!$A$3:$A$3390,G$1,'United Data'!$C$3:$C$3390,$A1428,'United Data'!$B$3:$B$3390,"&lt;&gt;Off-street")&gt;0,1,0)</f>
        <v>0</v>
      </c>
      <c r="H1428">
        <f>IF(COUNTIFS('United Data'!$A$3:$A$3390,H$1,'United Data'!$C$3:$C$3390,$A1428,'United Data'!$B$3:$B$3390,"&lt;&gt;Off-street")&gt;0,1,0)</f>
        <v>0</v>
      </c>
      <c r="I1428">
        <f>IF(COUNTIFS('United Data'!$A$3:$A$3390,I$1,'United Data'!$C$3:$C$3390,$A1428,'United Data'!$B$3:$B$3390,"&lt;&gt;Off-street")&gt;0,1,0)</f>
        <v>0</v>
      </c>
      <c r="J1428">
        <f>IF(COUNTIFS('United Data'!$A$3:$A$3390,J$1,'United Data'!$C$3:$C$3390,$A1428,'United Data'!$B$3:$B$3390,"&lt;&gt;Off-street")&gt;0,1,0)</f>
        <v>0</v>
      </c>
      <c r="K1428">
        <f>IF(COUNTIFS('United Data'!$A$3:$A$3390,K$1,'United Data'!$C$3:$C$3390,$A1428,'United Data'!$B$3:$B$3390,"&lt;&gt;Off-street")&gt;0,1,0)</f>
        <v>0</v>
      </c>
      <c r="L1428">
        <f>IF(COUNTIFS('United Data'!$A$3:$A$3390,L$1,'United Data'!$C$3:$C$3390,$A1428,'United Data'!$B$3:$B$3390,"&lt;&gt;Off-street")&gt;0,1,0)</f>
        <v>0</v>
      </c>
      <c r="M1428">
        <f>IF(COUNTIFS('United Data'!$A$3:$A$3390,M$1,'United Data'!$C$3:$C$3390,$A1428,'United Data'!$B$3:$B$3390,"&lt;&gt;Off-street")&gt;0,1,0)</f>
        <v>0</v>
      </c>
      <c r="N1428">
        <f>IF(COUNTIFS('United Data'!$A$3:$A$3390,N$1,'United Data'!$C$3:$C$3390,$A1428,'United Data'!$B$3:$B$3390,"&lt;&gt;Off-street")&gt;0,1,0)</f>
        <v>0</v>
      </c>
      <c r="O1428">
        <f>IF(COUNTIFS('United Data'!$A$3:$A$3390,O$1,'United Data'!$C$3:$C$3390,$A1428,'United Data'!$B$3:$B$3390,"&lt;&gt;Off-street")&gt;0,1,0)</f>
        <v>0</v>
      </c>
      <c r="P1428">
        <f>IF(COUNTIFS('United Data'!$A$3:$A$3390,P$1,'United Data'!$C$3:$C$3390,$A1428,'United Data'!$B$3:$B$3390,"&lt;&gt;Off-street")&gt;0,1,0)</f>
        <v>0</v>
      </c>
      <c r="Q1428">
        <f>IF(COUNTIFS('United Data'!$A$3:$A$3390,Q$1,'United Data'!$C$3:$C$3390,$A1428,'United Data'!$B$3:$B$3390,"&lt;&gt;Off-street")&gt;0,1,0)</f>
        <v>0</v>
      </c>
      <c r="R1428">
        <f>IF(COUNTIFS('United Data'!$A$3:$A$3390,R$1,'United Data'!$C$3:$C$3390,$A1428,'United Data'!$B$3:$B$3390,"&lt;&gt;Off-street")&gt;0,1,0)</f>
        <v>0</v>
      </c>
      <c r="S1428">
        <f t="shared" si="44"/>
        <v>1</v>
      </c>
      <c r="T1428">
        <f t="shared" si="45"/>
        <v>1</v>
      </c>
    </row>
    <row r="1429" spans="1:20" x14ac:dyDescent="0.2">
      <c r="A1429" t="s">
        <v>1697</v>
      </c>
      <c r="B1429">
        <f>IF(COUNTIFS('United Data'!$A$3:$A$3390,B$1,'United Data'!$C$3:$C$3390,$A1429,'United Data'!$B$3:$B$3390,"&lt;&gt;Off-street")&gt;0,1,0)</f>
        <v>0</v>
      </c>
      <c r="C1429">
        <f>IF(COUNTIFS('United Data'!$A$3:$A$3390,C$1,'United Data'!$C$3:$C$3390,$A1429,'United Data'!$B$3:$B$3390,"&lt;&gt;Off-street")&gt;0,1,0)</f>
        <v>0</v>
      </c>
      <c r="D1429">
        <f>IF(COUNTIFS('United Data'!$A$3:$A$3390,D$1,'United Data'!$C$3:$C$3390,$A1429,'United Data'!$B$3:$B$3390,"&lt;&gt;Off-street")&gt;0,1,0)</f>
        <v>0</v>
      </c>
      <c r="E1429">
        <f>IF(COUNTIFS('United Data'!$A$3:$A$3390,E$1,'United Data'!$C$3:$C$3390,$A1429,'United Data'!$B$3:$B$3390,"&lt;&gt;Off-street")&gt;0,1,0)</f>
        <v>0</v>
      </c>
      <c r="F1429">
        <f>IF(COUNTIFS('United Data'!$A$3:$A$3390,F$1,'United Data'!$C$3:$C$3390,$A1429,'United Data'!$B$3:$B$3390,"&lt;&gt;Off-street")&gt;0,1,0)</f>
        <v>1</v>
      </c>
      <c r="G1429">
        <f>IF(COUNTIFS('United Data'!$A$3:$A$3390,G$1,'United Data'!$C$3:$C$3390,$A1429,'United Data'!$B$3:$B$3390,"&lt;&gt;Off-street")&gt;0,1,0)</f>
        <v>1</v>
      </c>
      <c r="H1429">
        <f>IF(COUNTIFS('United Data'!$A$3:$A$3390,H$1,'United Data'!$C$3:$C$3390,$A1429,'United Data'!$B$3:$B$3390,"&lt;&gt;Off-street")&gt;0,1,0)</f>
        <v>0</v>
      </c>
      <c r="I1429">
        <f>IF(COUNTIFS('United Data'!$A$3:$A$3390,I$1,'United Data'!$C$3:$C$3390,$A1429,'United Data'!$B$3:$B$3390,"&lt;&gt;Off-street")&gt;0,1,0)</f>
        <v>0</v>
      </c>
      <c r="J1429">
        <f>IF(COUNTIFS('United Data'!$A$3:$A$3390,J$1,'United Data'!$C$3:$C$3390,$A1429,'United Data'!$B$3:$B$3390,"&lt;&gt;Off-street")&gt;0,1,0)</f>
        <v>0</v>
      </c>
      <c r="K1429">
        <f>IF(COUNTIFS('United Data'!$A$3:$A$3390,K$1,'United Data'!$C$3:$C$3390,$A1429,'United Data'!$B$3:$B$3390,"&lt;&gt;Off-street")&gt;0,1,0)</f>
        <v>0</v>
      </c>
      <c r="L1429">
        <f>IF(COUNTIFS('United Data'!$A$3:$A$3390,L$1,'United Data'!$C$3:$C$3390,$A1429,'United Data'!$B$3:$B$3390,"&lt;&gt;Off-street")&gt;0,1,0)</f>
        <v>0</v>
      </c>
      <c r="M1429">
        <f>IF(COUNTIFS('United Data'!$A$3:$A$3390,M$1,'United Data'!$C$3:$C$3390,$A1429,'United Data'!$B$3:$B$3390,"&lt;&gt;Off-street")&gt;0,1,0)</f>
        <v>0</v>
      </c>
      <c r="N1429">
        <f>IF(COUNTIFS('United Data'!$A$3:$A$3390,N$1,'United Data'!$C$3:$C$3390,$A1429,'United Data'!$B$3:$B$3390,"&lt;&gt;Off-street")&gt;0,1,0)</f>
        <v>0</v>
      </c>
      <c r="O1429">
        <f>IF(COUNTIFS('United Data'!$A$3:$A$3390,O$1,'United Data'!$C$3:$C$3390,$A1429,'United Data'!$B$3:$B$3390,"&lt;&gt;Off-street")&gt;0,1,0)</f>
        <v>0</v>
      </c>
      <c r="P1429">
        <f>IF(COUNTIFS('United Data'!$A$3:$A$3390,P$1,'United Data'!$C$3:$C$3390,$A1429,'United Data'!$B$3:$B$3390,"&lt;&gt;Off-street")&gt;0,1,0)</f>
        <v>0</v>
      </c>
      <c r="Q1429">
        <f>IF(COUNTIFS('United Data'!$A$3:$A$3390,Q$1,'United Data'!$C$3:$C$3390,$A1429,'United Data'!$B$3:$B$3390,"&lt;&gt;Off-street")&gt;0,1,0)</f>
        <v>0</v>
      </c>
      <c r="R1429">
        <f>IF(COUNTIFS('United Data'!$A$3:$A$3390,R$1,'United Data'!$C$3:$C$3390,$A1429,'United Data'!$B$3:$B$3390,"&lt;&gt;Off-street")&gt;0,1,0)</f>
        <v>0</v>
      </c>
      <c r="S1429">
        <f t="shared" si="44"/>
        <v>2</v>
      </c>
      <c r="T1429">
        <f t="shared" si="45"/>
        <v>1</v>
      </c>
    </row>
    <row r="1430" spans="1:20" x14ac:dyDescent="0.2">
      <c r="A1430" t="s">
        <v>1698</v>
      </c>
      <c r="B1430">
        <f>IF(COUNTIFS('United Data'!$A$3:$A$3390,B$1,'United Data'!$C$3:$C$3390,$A1430,'United Data'!$B$3:$B$3390,"&lt;&gt;Off-street")&gt;0,1,0)</f>
        <v>0</v>
      </c>
      <c r="C1430">
        <f>IF(COUNTIFS('United Data'!$A$3:$A$3390,C$1,'United Data'!$C$3:$C$3390,$A1430,'United Data'!$B$3:$B$3390,"&lt;&gt;Off-street")&gt;0,1,0)</f>
        <v>0</v>
      </c>
      <c r="D1430">
        <f>IF(COUNTIFS('United Data'!$A$3:$A$3390,D$1,'United Data'!$C$3:$C$3390,$A1430,'United Data'!$B$3:$B$3390,"&lt;&gt;Off-street")&gt;0,1,0)</f>
        <v>0</v>
      </c>
      <c r="E1430">
        <f>IF(COUNTIFS('United Data'!$A$3:$A$3390,E$1,'United Data'!$C$3:$C$3390,$A1430,'United Data'!$B$3:$B$3390,"&lt;&gt;Off-street")&gt;0,1,0)</f>
        <v>0</v>
      </c>
      <c r="F1430">
        <f>IF(COUNTIFS('United Data'!$A$3:$A$3390,F$1,'United Data'!$C$3:$C$3390,$A1430,'United Data'!$B$3:$B$3390,"&lt;&gt;Off-street")&gt;0,1,0)</f>
        <v>1</v>
      </c>
      <c r="G1430">
        <f>IF(COUNTIFS('United Data'!$A$3:$A$3390,G$1,'United Data'!$C$3:$C$3390,$A1430,'United Data'!$B$3:$B$3390,"&lt;&gt;Off-street")&gt;0,1,0)</f>
        <v>1</v>
      </c>
      <c r="H1430">
        <f>IF(COUNTIFS('United Data'!$A$3:$A$3390,H$1,'United Data'!$C$3:$C$3390,$A1430,'United Data'!$B$3:$B$3390,"&lt;&gt;Off-street")&gt;0,1,0)</f>
        <v>0</v>
      </c>
      <c r="I1430">
        <f>IF(COUNTIFS('United Data'!$A$3:$A$3390,I$1,'United Data'!$C$3:$C$3390,$A1430,'United Data'!$B$3:$B$3390,"&lt;&gt;Off-street")&gt;0,1,0)</f>
        <v>0</v>
      </c>
      <c r="J1430">
        <f>IF(COUNTIFS('United Data'!$A$3:$A$3390,J$1,'United Data'!$C$3:$C$3390,$A1430,'United Data'!$B$3:$B$3390,"&lt;&gt;Off-street")&gt;0,1,0)</f>
        <v>0</v>
      </c>
      <c r="K1430">
        <f>IF(COUNTIFS('United Data'!$A$3:$A$3390,K$1,'United Data'!$C$3:$C$3390,$A1430,'United Data'!$B$3:$B$3390,"&lt;&gt;Off-street")&gt;0,1,0)</f>
        <v>0</v>
      </c>
      <c r="L1430">
        <f>IF(COUNTIFS('United Data'!$A$3:$A$3390,L$1,'United Data'!$C$3:$C$3390,$A1430,'United Data'!$B$3:$B$3390,"&lt;&gt;Off-street")&gt;0,1,0)</f>
        <v>1</v>
      </c>
      <c r="M1430">
        <f>IF(COUNTIFS('United Data'!$A$3:$A$3390,M$1,'United Data'!$C$3:$C$3390,$A1430,'United Data'!$B$3:$B$3390,"&lt;&gt;Off-street")&gt;0,1,0)</f>
        <v>0</v>
      </c>
      <c r="N1430">
        <f>IF(COUNTIFS('United Data'!$A$3:$A$3390,N$1,'United Data'!$C$3:$C$3390,$A1430,'United Data'!$B$3:$B$3390,"&lt;&gt;Off-street")&gt;0,1,0)</f>
        <v>0</v>
      </c>
      <c r="O1430">
        <f>IF(COUNTIFS('United Data'!$A$3:$A$3390,O$1,'United Data'!$C$3:$C$3390,$A1430,'United Data'!$B$3:$B$3390,"&lt;&gt;Off-street")&gt;0,1,0)</f>
        <v>0</v>
      </c>
      <c r="P1430">
        <f>IF(COUNTIFS('United Data'!$A$3:$A$3390,P$1,'United Data'!$C$3:$C$3390,$A1430,'United Data'!$B$3:$B$3390,"&lt;&gt;Off-street")&gt;0,1,0)</f>
        <v>0</v>
      </c>
      <c r="Q1430">
        <f>IF(COUNTIFS('United Data'!$A$3:$A$3390,Q$1,'United Data'!$C$3:$C$3390,$A1430,'United Data'!$B$3:$B$3390,"&lt;&gt;Off-street")&gt;0,1,0)</f>
        <v>0</v>
      </c>
      <c r="R1430">
        <f>IF(COUNTIFS('United Data'!$A$3:$A$3390,R$1,'United Data'!$C$3:$C$3390,$A1430,'United Data'!$B$3:$B$3390,"&lt;&gt;Off-street")&gt;0,1,0)</f>
        <v>0</v>
      </c>
      <c r="S1430">
        <f t="shared" si="44"/>
        <v>3</v>
      </c>
      <c r="T1430">
        <f t="shared" si="45"/>
        <v>2</v>
      </c>
    </row>
    <row r="1431" spans="1:20" x14ac:dyDescent="0.2">
      <c r="A1431" t="s">
        <v>1699</v>
      </c>
      <c r="B1431">
        <f>IF(COUNTIFS('United Data'!$A$3:$A$3390,B$1,'United Data'!$C$3:$C$3390,$A1431,'United Data'!$B$3:$B$3390,"&lt;&gt;Off-street")&gt;0,1,0)</f>
        <v>0</v>
      </c>
      <c r="C1431">
        <f>IF(COUNTIFS('United Data'!$A$3:$A$3390,C$1,'United Data'!$C$3:$C$3390,$A1431,'United Data'!$B$3:$B$3390,"&lt;&gt;Off-street")&gt;0,1,0)</f>
        <v>0</v>
      </c>
      <c r="D1431">
        <f>IF(COUNTIFS('United Data'!$A$3:$A$3390,D$1,'United Data'!$C$3:$C$3390,$A1431,'United Data'!$B$3:$B$3390,"&lt;&gt;Off-street")&gt;0,1,0)</f>
        <v>0</v>
      </c>
      <c r="E1431">
        <f>IF(COUNTIFS('United Data'!$A$3:$A$3390,E$1,'United Data'!$C$3:$C$3390,$A1431,'United Data'!$B$3:$B$3390,"&lt;&gt;Off-street")&gt;0,1,0)</f>
        <v>0</v>
      </c>
      <c r="F1431">
        <f>IF(COUNTIFS('United Data'!$A$3:$A$3390,F$1,'United Data'!$C$3:$C$3390,$A1431,'United Data'!$B$3:$B$3390,"&lt;&gt;Off-street")&gt;0,1,0)</f>
        <v>1</v>
      </c>
      <c r="G1431">
        <f>IF(COUNTIFS('United Data'!$A$3:$A$3390,G$1,'United Data'!$C$3:$C$3390,$A1431,'United Data'!$B$3:$B$3390,"&lt;&gt;Off-street")&gt;0,1,0)</f>
        <v>1</v>
      </c>
      <c r="H1431">
        <f>IF(COUNTIFS('United Data'!$A$3:$A$3390,H$1,'United Data'!$C$3:$C$3390,$A1431,'United Data'!$B$3:$B$3390,"&lt;&gt;Off-street")&gt;0,1,0)</f>
        <v>1</v>
      </c>
      <c r="I1431">
        <f>IF(COUNTIFS('United Data'!$A$3:$A$3390,I$1,'United Data'!$C$3:$C$3390,$A1431,'United Data'!$B$3:$B$3390,"&lt;&gt;Off-street")&gt;0,1,0)</f>
        <v>1</v>
      </c>
      <c r="J1431">
        <f>IF(COUNTIFS('United Data'!$A$3:$A$3390,J$1,'United Data'!$C$3:$C$3390,$A1431,'United Data'!$B$3:$B$3390,"&lt;&gt;Off-street")&gt;0,1,0)</f>
        <v>1</v>
      </c>
      <c r="K1431">
        <f>IF(COUNTIFS('United Data'!$A$3:$A$3390,K$1,'United Data'!$C$3:$C$3390,$A1431,'United Data'!$B$3:$B$3390,"&lt;&gt;Off-street")&gt;0,1,0)</f>
        <v>1</v>
      </c>
      <c r="L1431">
        <f>IF(COUNTIFS('United Data'!$A$3:$A$3390,L$1,'United Data'!$C$3:$C$3390,$A1431,'United Data'!$B$3:$B$3390,"&lt;&gt;Off-street")&gt;0,1,0)</f>
        <v>0</v>
      </c>
      <c r="M1431">
        <f>IF(COUNTIFS('United Data'!$A$3:$A$3390,M$1,'United Data'!$C$3:$C$3390,$A1431,'United Data'!$B$3:$B$3390,"&lt;&gt;Off-street")&gt;0,1,0)</f>
        <v>0</v>
      </c>
      <c r="N1431">
        <f>IF(COUNTIFS('United Data'!$A$3:$A$3390,N$1,'United Data'!$C$3:$C$3390,$A1431,'United Data'!$B$3:$B$3390,"&lt;&gt;Off-street")&gt;0,1,0)</f>
        <v>0</v>
      </c>
      <c r="O1431">
        <f>IF(COUNTIFS('United Data'!$A$3:$A$3390,O$1,'United Data'!$C$3:$C$3390,$A1431,'United Data'!$B$3:$B$3390,"&lt;&gt;Off-street")&gt;0,1,0)</f>
        <v>0</v>
      </c>
      <c r="P1431">
        <f>IF(COUNTIFS('United Data'!$A$3:$A$3390,P$1,'United Data'!$C$3:$C$3390,$A1431,'United Data'!$B$3:$B$3390,"&lt;&gt;Off-street")&gt;0,1,0)</f>
        <v>0</v>
      </c>
      <c r="Q1431">
        <f>IF(COUNTIFS('United Data'!$A$3:$A$3390,Q$1,'United Data'!$C$3:$C$3390,$A1431,'United Data'!$B$3:$B$3390,"&lt;&gt;Off-street")&gt;0,1,0)</f>
        <v>0</v>
      </c>
      <c r="R1431">
        <f>IF(COUNTIFS('United Data'!$A$3:$A$3390,R$1,'United Data'!$C$3:$C$3390,$A1431,'United Data'!$B$3:$B$3390,"&lt;&gt;Off-street")&gt;0,1,0)</f>
        <v>0</v>
      </c>
      <c r="S1431">
        <f t="shared" si="44"/>
        <v>6</v>
      </c>
      <c r="T1431">
        <f t="shared" si="45"/>
        <v>1</v>
      </c>
    </row>
    <row r="1432" spans="1:20" x14ac:dyDescent="0.2">
      <c r="A1432" t="s">
        <v>1700</v>
      </c>
      <c r="B1432">
        <f>IF(COUNTIFS('United Data'!$A$3:$A$3390,B$1,'United Data'!$C$3:$C$3390,$A1432,'United Data'!$B$3:$B$3390,"&lt;&gt;Off-street")&gt;0,1,0)</f>
        <v>0</v>
      </c>
      <c r="C1432">
        <f>IF(COUNTIFS('United Data'!$A$3:$A$3390,C$1,'United Data'!$C$3:$C$3390,$A1432,'United Data'!$B$3:$B$3390,"&lt;&gt;Off-street")&gt;0,1,0)</f>
        <v>0</v>
      </c>
      <c r="D1432">
        <f>IF(COUNTIFS('United Data'!$A$3:$A$3390,D$1,'United Data'!$C$3:$C$3390,$A1432,'United Data'!$B$3:$B$3390,"&lt;&gt;Off-street")&gt;0,1,0)</f>
        <v>0</v>
      </c>
      <c r="E1432">
        <f>IF(COUNTIFS('United Data'!$A$3:$A$3390,E$1,'United Data'!$C$3:$C$3390,$A1432,'United Data'!$B$3:$B$3390,"&lt;&gt;Off-street")&gt;0,1,0)</f>
        <v>0</v>
      </c>
      <c r="F1432">
        <f>IF(COUNTIFS('United Data'!$A$3:$A$3390,F$1,'United Data'!$C$3:$C$3390,$A1432,'United Data'!$B$3:$B$3390,"&lt;&gt;Off-street")&gt;0,1,0)</f>
        <v>1</v>
      </c>
      <c r="G1432">
        <f>IF(COUNTIFS('United Data'!$A$3:$A$3390,G$1,'United Data'!$C$3:$C$3390,$A1432,'United Data'!$B$3:$B$3390,"&lt;&gt;Off-street")&gt;0,1,0)</f>
        <v>0</v>
      </c>
      <c r="H1432">
        <f>IF(COUNTIFS('United Data'!$A$3:$A$3390,H$1,'United Data'!$C$3:$C$3390,$A1432,'United Data'!$B$3:$B$3390,"&lt;&gt;Off-street")&gt;0,1,0)</f>
        <v>0</v>
      </c>
      <c r="I1432">
        <f>IF(COUNTIFS('United Data'!$A$3:$A$3390,I$1,'United Data'!$C$3:$C$3390,$A1432,'United Data'!$B$3:$B$3390,"&lt;&gt;Off-street")&gt;0,1,0)</f>
        <v>0</v>
      </c>
      <c r="J1432">
        <f>IF(COUNTIFS('United Data'!$A$3:$A$3390,J$1,'United Data'!$C$3:$C$3390,$A1432,'United Data'!$B$3:$B$3390,"&lt;&gt;Off-street")&gt;0,1,0)</f>
        <v>0</v>
      </c>
      <c r="K1432">
        <f>IF(COUNTIFS('United Data'!$A$3:$A$3390,K$1,'United Data'!$C$3:$C$3390,$A1432,'United Data'!$B$3:$B$3390,"&lt;&gt;Off-street")&gt;0,1,0)</f>
        <v>0</v>
      </c>
      <c r="L1432">
        <f>IF(COUNTIFS('United Data'!$A$3:$A$3390,L$1,'United Data'!$C$3:$C$3390,$A1432,'United Data'!$B$3:$B$3390,"&lt;&gt;Off-street")&gt;0,1,0)</f>
        <v>0</v>
      </c>
      <c r="M1432">
        <f>IF(COUNTIFS('United Data'!$A$3:$A$3390,M$1,'United Data'!$C$3:$C$3390,$A1432,'United Data'!$B$3:$B$3390,"&lt;&gt;Off-street")&gt;0,1,0)</f>
        <v>0</v>
      </c>
      <c r="N1432">
        <f>IF(COUNTIFS('United Data'!$A$3:$A$3390,N$1,'United Data'!$C$3:$C$3390,$A1432,'United Data'!$B$3:$B$3390,"&lt;&gt;Off-street")&gt;0,1,0)</f>
        <v>0</v>
      </c>
      <c r="O1432">
        <f>IF(COUNTIFS('United Data'!$A$3:$A$3390,O$1,'United Data'!$C$3:$C$3390,$A1432,'United Data'!$B$3:$B$3390,"&lt;&gt;Off-street")&gt;0,1,0)</f>
        <v>0</v>
      </c>
      <c r="P1432">
        <f>IF(COUNTIFS('United Data'!$A$3:$A$3390,P$1,'United Data'!$C$3:$C$3390,$A1432,'United Data'!$B$3:$B$3390,"&lt;&gt;Off-street")&gt;0,1,0)</f>
        <v>0</v>
      </c>
      <c r="Q1432">
        <f>IF(COUNTIFS('United Data'!$A$3:$A$3390,Q$1,'United Data'!$C$3:$C$3390,$A1432,'United Data'!$B$3:$B$3390,"&lt;&gt;Off-street")&gt;0,1,0)</f>
        <v>0</v>
      </c>
      <c r="R1432">
        <f>IF(COUNTIFS('United Data'!$A$3:$A$3390,R$1,'United Data'!$C$3:$C$3390,$A1432,'United Data'!$B$3:$B$3390,"&lt;&gt;Off-street")&gt;0,1,0)</f>
        <v>0</v>
      </c>
      <c r="S1432">
        <f t="shared" si="44"/>
        <v>1</v>
      </c>
      <c r="T1432">
        <f t="shared" si="45"/>
        <v>1</v>
      </c>
    </row>
    <row r="1433" spans="1:20" x14ac:dyDescent="0.2">
      <c r="A1433" t="s">
        <v>1701</v>
      </c>
      <c r="B1433">
        <f>IF(COUNTIFS('United Data'!$A$3:$A$3390,B$1,'United Data'!$C$3:$C$3390,$A1433,'United Data'!$B$3:$B$3390,"&lt;&gt;Off-street")&gt;0,1,0)</f>
        <v>0</v>
      </c>
      <c r="C1433">
        <f>IF(COUNTIFS('United Data'!$A$3:$A$3390,C$1,'United Data'!$C$3:$C$3390,$A1433,'United Data'!$B$3:$B$3390,"&lt;&gt;Off-street")&gt;0,1,0)</f>
        <v>0</v>
      </c>
      <c r="D1433">
        <f>IF(COUNTIFS('United Data'!$A$3:$A$3390,D$1,'United Data'!$C$3:$C$3390,$A1433,'United Data'!$B$3:$B$3390,"&lt;&gt;Off-street")&gt;0,1,0)</f>
        <v>0</v>
      </c>
      <c r="E1433">
        <f>IF(COUNTIFS('United Data'!$A$3:$A$3390,E$1,'United Data'!$C$3:$C$3390,$A1433,'United Data'!$B$3:$B$3390,"&lt;&gt;Off-street")&gt;0,1,0)</f>
        <v>0</v>
      </c>
      <c r="F1433">
        <f>IF(COUNTIFS('United Data'!$A$3:$A$3390,F$1,'United Data'!$C$3:$C$3390,$A1433,'United Data'!$B$3:$B$3390,"&lt;&gt;Off-street")&gt;0,1,0)</f>
        <v>1</v>
      </c>
      <c r="G1433">
        <f>IF(COUNTIFS('United Data'!$A$3:$A$3390,G$1,'United Data'!$C$3:$C$3390,$A1433,'United Data'!$B$3:$B$3390,"&lt;&gt;Off-street")&gt;0,1,0)</f>
        <v>1</v>
      </c>
      <c r="H1433">
        <f>IF(COUNTIFS('United Data'!$A$3:$A$3390,H$1,'United Data'!$C$3:$C$3390,$A1433,'United Data'!$B$3:$B$3390,"&lt;&gt;Off-street")&gt;0,1,0)</f>
        <v>0</v>
      </c>
      <c r="I1433">
        <f>IF(COUNTIFS('United Data'!$A$3:$A$3390,I$1,'United Data'!$C$3:$C$3390,$A1433,'United Data'!$B$3:$B$3390,"&lt;&gt;Off-street")&gt;0,1,0)</f>
        <v>0</v>
      </c>
      <c r="J1433">
        <f>IF(COUNTIFS('United Data'!$A$3:$A$3390,J$1,'United Data'!$C$3:$C$3390,$A1433,'United Data'!$B$3:$B$3390,"&lt;&gt;Off-street")&gt;0,1,0)</f>
        <v>0</v>
      </c>
      <c r="K1433">
        <f>IF(COUNTIFS('United Data'!$A$3:$A$3390,K$1,'United Data'!$C$3:$C$3390,$A1433,'United Data'!$B$3:$B$3390,"&lt;&gt;Off-street")&gt;0,1,0)</f>
        <v>0</v>
      </c>
      <c r="L1433">
        <f>IF(COUNTIFS('United Data'!$A$3:$A$3390,L$1,'United Data'!$C$3:$C$3390,$A1433,'United Data'!$B$3:$B$3390,"&lt;&gt;Off-street")&gt;0,1,0)</f>
        <v>0</v>
      </c>
      <c r="M1433">
        <f>IF(COUNTIFS('United Data'!$A$3:$A$3390,M$1,'United Data'!$C$3:$C$3390,$A1433,'United Data'!$B$3:$B$3390,"&lt;&gt;Off-street")&gt;0,1,0)</f>
        <v>0</v>
      </c>
      <c r="N1433">
        <f>IF(COUNTIFS('United Data'!$A$3:$A$3390,N$1,'United Data'!$C$3:$C$3390,$A1433,'United Data'!$B$3:$B$3390,"&lt;&gt;Off-street")&gt;0,1,0)</f>
        <v>0</v>
      </c>
      <c r="O1433">
        <f>IF(COUNTIFS('United Data'!$A$3:$A$3390,O$1,'United Data'!$C$3:$C$3390,$A1433,'United Data'!$B$3:$B$3390,"&lt;&gt;Off-street")&gt;0,1,0)</f>
        <v>0</v>
      </c>
      <c r="P1433">
        <f>IF(COUNTIFS('United Data'!$A$3:$A$3390,P$1,'United Data'!$C$3:$C$3390,$A1433,'United Data'!$B$3:$B$3390,"&lt;&gt;Off-street")&gt;0,1,0)</f>
        <v>0</v>
      </c>
      <c r="Q1433">
        <f>IF(COUNTIFS('United Data'!$A$3:$A$3390,Q$1,'United Data'!$C$3:$C$3390,$A1433,'United Data'!$B$3:$B$3390,"&lt;&gt;Off-street")&gt;0,1,0)</f>
        <v>0</v>
      </c>
      <c r="R1433">
        <f>IF(COUNTIFS('United Data'!$A$3:$A$3390,R$1,'United Data'!$C$3:$C$3390,$A1433,'United Data'!$B$3:$B$3390,"&lt;&gt;Off-street")&gt;0,1,0)</f>
        <v>0</v>
      </c>
      <c r="S1433">
        <f t="shared" si="44"/>
        <v>2</v>
      </c>
      <c r="T1433">
        <f t="shared" si="45"/>
        <v>1</v>
      </c>
    </row>
    <row r="1434" spans="1:20" x14ac:dyDescent="0.2">
      <c r="A1434" t="s">
        <v>1702</v>
      </c>
      <c r="B1434">
        <f>IF(COUNTIFS('United Data'!$A$3:$A$3390,B$1,'United Data'!$C$3:$C$3390,$A1434,'United Data'!$B$3:$B$3390,"&lt;&gt;Off-street")&gt;0,1,0)</f>
        <v>0</v>
      </c>
      <c r="C1434">
        <f>IF(COUNTIFS('United Data'!$A$3:$A$3390,C$1,'United Data'!$C$3:$C$3390,$A1434,'United Data'!$B$3:$B$3390,"&lt;&gt;Off-street")&gt;0,1,0)</f>
        <v>0</v>
      </c>
      <c r="D1434">
        <f>IF(COUNTIFS('United Data'!$A$3:$A$3390,D$1,'United Data'!$C$3:$C$3390,$A1434,'United Data'!$B$3:$B$3390,"&lt;&gt;Off-street")&gt;0,1,0)</f>
        <v>0</v>
      </c>
      <c r="E1434">
        <f>IF(COUNTIFS('United Data'!$A$3:$A$3390,E$1,'United Data'!$C$3:$C$3390,$A1434,'United Data'!$B$3:$B$3390,"&lt;&gt;Off-street")&gt;0,1,0)</f>
        <v>0</v>
      </c>
      <c r="F1434">
        <f>IF(COUNTIFS('United Data'!$A$3:$A$3390,F$1,'United Data'!$C$3:$C$3390,$A1434,'United Data'!$B$3:$B$3390,"&lt;&gt;Off-street")&gt;0,1,0)</f>
        <v>1</v>
      </c>
      <c r="G1434">
        <f>IF(COUNTIFS('United Data'!$A$3:$A$3390,G$1,'United Data'!$C$3:$C$3390,$A1434,'United Data'!$B$3:$B$3390,"&lt;&gt;Off-street")&gt;0,1,0)</f>
        <v>0</v>
      </c>
      <c r="H1434">
        <f>IF(COUNTIFS('United Data'!$A$3:$A$3390,H$1,'United Data'!$C$3:$C$3390,$A1434,'United Data'!$B$3:$B$3390,"&lt;&gt;Off-street")&gt;0,1,0)</f>
        <v>0</v>
      </c>
      <c r="I1434">
        <f>IF(COUNTIFS('United Data'!$A$3:$A$3390,I$1,'United Data'!$C$3:$C$3390,$A1434,'United Data'!$B$3:$B$3390,"&lt;&gt;Off-street")&gt;0,1,0)</f>
        <v>1</v>
      </c>
      <c r="J1434">
        <f>IF(COUNTIFS('United Data'!$A$3:$A$3390,J$1,'United Data'!$C$3:$C$3390,$A1434,'United Data'!$B$3:$B$3390,"&lt;&gt;Off-street")&gt;0,1,0)</f>
        <v>0</v>
      </c>
      <c r="K1434">
        <f>IF(COUNTIFS('United Data'!$A$3:$A$3390,K$1,'United Data'!$C$3:$C$3390,$A1434,'United Data'!$B$3:$B$3390,"&lt;&gt;Off-street")&gt;0,1,0)</f>
        <v>1</v>
      </c>
      <c r="L1434">
        <f>IF(COUNTIFS('United Data'!$A$3:$A$3390,L$1,'United Data'!$C$3:$C$3390,$A1434,'United Data'!$B$3:$B$3390,"&lt;&gt;Off-street")&gt;0,1,0)</f>
        <v>1</v>
      </c>
      <c r="M1434">
        <f>IF(COUNTIFS('United Data'!$A$3:$A$3390,M$1,'United Data'!$C$3:$C$3390,$A1434,'United Data'!$B$3:$B$3390,"&lt;&gt;Off-street")&gt;0,1,0)</f>
        <v>1</v>
      </c>
      <c r="N1434">
        <f>IF(COUNTIFS('United Data'!$A$3:$A$3390,N$1,'United Data'!$C$3:$C$3390,$A1434,'United Data'!$B$3:$B$3390,"&lt;&gt;Off-street")&gt;0,1,0)</f>
        <v>0</v>
      </c>
      <c r="O1434">
        <f>IF(COUNTIFS('United Data'!$A$3:$A$3390,O$1,'United Data'!$C$3:$C$3390,$A1434,'United Data'!$B$3:$B$3390,"&lt;&gt;Off-street")&gt;0,1,0)</f>
        <v>0</v>
      </c>
      <c r="P1434">
        <f>IF(COUNTIFS('United Data'!$A$3:$A$3390,P$1,'United Data'!$C$3:$C$3390,$A1434,'United Data'!$B$3:$B$3390,"&lt;&gt;Off-street")&gt;0,1,0)</f>
        <v>0</v>
      </c>
      <c r="Q1434">
        <f>IF(COUNTIFS('United Data'!$A$3:$A$3390,Q$1,'United Data'!$C$3:$C$3390,$A1434,'United Data'!$B$3:$B$3390,"&lt;&gt;Off-street")&gt;0,1,0)</f>
        <v>0</v>
      </c>
      <c r="R1434">
        <f>IF(COUNTIFS('United Data'!$A$3:$A$3390,R$1,'United Data'!$C$3:$C$3390,$A1434,'United Data'!$B$3:$B$3390,"&lt;&gt;Off-street")&gt;0,1,0)</f>
        <v>0</v>
      </c>
      <c r="S1434">
        <f t="shared" si="44"/>
        <v>5</v>
      </c>
      <c r="T1434">
        <f t="shared" si="45"/>
        <v>3</v>
      </c>
    </row>
    <row r="1435" spans="1:20" x14ac:dyDescent="0.2">
      <c r="A1435" t="s">
        <v>1703</v>
      </c>
      <c r="B1435">
        <f>IF(COUNTIFS('United Data'!$A$3:$A$3390,B$1,'United Data'!$C$3:$C$3390,$A1435,'United Data'!$B$3:$B$3390,"&lt;&gt;Off-street")&gt;0,1,0)</f>
        <v>0</v>
      </c>
      <c r="C1435">
        <f>IF(COUNTIFS('United Data'!$A$3:$A$3390,C$1,'United Data'!$C$3:$C$3390,$A1435,'United Data'!$B$3:$B$3390,"&lt;&gt;Off-street")&gt;0,1,0)</f>
        <v>0</v>
      </c>
      <c r="D1435">
        <f>IF(COUNTIFS('United Data'!$A$3:$A$3390,D$1,'United Data'!$C$3:$C$3390,$A1435,'United Data'!$B$3:$B$3390,"&lt;&gt;Off-street")&gt;0,1,0)</f>
        <v>0</v>
      </c>
      <c r="E1435">
        <f>IF(COUNTIFS('United Data'!$A$3:$A$3390,E$1,'United Data'!$C$3:$C$3390,$A1435,'United Data'!$B$3:$B$3390,"&lt;&gt;Off-street")&gt;0,1,0)</f>
        <v>0</v>
      </c>
      <c r="F1435">
        <f>IF(COUNTIFS('United Data'!$A$3:$A$3390,F$1,'United Data'!$C$3:$C$3390,$A1435,'United Data'!$B$3:$B$3390,"&lt;&gt;Off-street")&gt;0,1,0)</f>
        <v>1</v>
      </c>
      <c r="G1435">
        <f>IF(COUNTIFS('United Data'!$A$3:$A$3390,G$1,'United Data'!$C$3:$C$3390,$A1435,'United Data'!$B$3:$B$3390,"&lt;&gt;Off-street")&gt;0,1,0)</f>
        <v>0</v>
      </c>
      <c r="H1435">
        <f>IF(COUNTIFS('United Data'!$A$3:$A$3390,H$1,'United Data'!$C$3:$C$3390,$A1435,'United Data'!$B$3:$B$3390,"&lt;&gt;Off-street")&gt;0,1,0)</f>
        <v>0</v>
      </c>
      <c r="I1435">
        <f>IF(COUNTIFS('United Data'!$A$3:$A$3390,I$1,'United Data'!$C$3:$C$3390,$A1435,'United Data'!$B$3:$B$3390,"&lt;&gt;Off-street")&gt;0,1,0)</f>
        <v>0</v>
      </c>
      <c r="J1435">
        <f>IF(COUNTIFS('United Data'!$A$3:$A$3390,J$1,'United Data'!$C$3:$C$3390,$A1435,'United Data'!$B$3:$B$3390,"&lt;&gt;Off-street")&gt;0,1,0)</f>
        <v>0</v>
      </c>
      <c r="K1435">
        <f>IF(COUNTIFS('United Data'!$A$3:$A$3390,K$1,'United Data'!$C$3:$C$3390,$A1435,'United Data'!$B$3:$B$3390,"&lt;&gt;Off-street")&gt;0,1,0)</f>
        <v>0</v>
      </c>
      <c r="L1435">
        <f>IF(COUNTIFS('United Data'!$A$3:$A$3390,L$1,'United Data'!$C$3:$C$3390,$A1435,'United Data'!$B$3:$B$3390,"&lt;&gt;Off-street")&gt;0,1,0)</f>
        <v>0</v>
      </c>
      <c r="M1435">
        <f>IF(COUNTIFS('United Data'!$A$3:$A$3390,M$1,'United Data'!$C$3:$C$3390,$A1435,'United Data'!$B$3:$B$3390,"&lt;&gt;Off-street")&gt;0,1,0)</f>
        <v>0</v>
      </c>
      <c r="N1435">
        <f>IF(COUNTIFS('United Data'!$A$3:$A$3390,N$1,'United Data'!$C$3:$C$3390,$A1435,'United Data'!$B$3:$B$3390,"&lt;&gt;Off-street")&gt;0,1,0)</f>
        <v>0</v>
      </c>
      <c r="O1435">
        <f>IF(COUNTIFS('United Data'!$A$3:$A$3390,O$1,'United Data'!$C$3:$C$3390,$A1435,'United Data'!$B$3:$B$3390,"&lt;&gt;Off-street")&gt;0,1,0)</f>
        <v>0</v>
      </c>
      <c r="P1435">
        <f>IF(COUNTIFS('United Data'!$A$3:$A$3390,P$1,'United Data'!$C$3:$C$3390,$A1435,'United Data'!$B$3:$B$3390,"&lt;&gt;Off-street")&gt;0,1,0)</f>
        <v>0</v>
      </c>
      <c r="Q1435">
        <f>IF(COUNTIFS('United Data'!$A$3:$A$3390,Q$1,'United Data'!$C$3:$C$3390,$A1435,'United Data'!$B$3:$B$3390,"&lt;&gt;Off-street")&gt;0,1,0)</f>
        <v>0</v>
      </c>
      <c r="R1435">
        <f>IF(COUNTIFS('United Data'!$A$3:$A$3390,R$1,'United Data'!$C$3:$C$3390,$A1435,'United Data'!$B$3:$B$3390,"&lt;&gt;Off-street")&gt;0,1,0)</f>
        <v>0</v>
      </c>
      <c r="S1435">
        <f t="shared" si="44"/>
        <v>1</v>
      </c>
      <c r="T1435">
        <f t="shared" si="45"/>
        <v>1</v>
      </c>
    </row>
    <row r="1436" spans="1:20" x14ac:dyDescent="0.2">
      <c r="A1436" t="s">
        <v>1704</v>
      </c>
      <c r="B1436">
        <f>IF(COUNTIFS('United Data'!$A$3:$A$3390,B$1,'United Data'!$C$3:$C$3390,$A1436,'United Data'!$B$3:$B$3390,"&lt;&gt;Off-street")&gt;0,1,0)</f>
        <v>0</v>
      </c>
      <c r="C1436">
        <f>IF(COUNTIFS('United Data'!$A$3:$A$3390,C$1,'United Data'!$C$3:$C$3390,$A1436,'United Data'!$B$3:$B$3390,"&lt;&gt;Off-street")&gt;0,1,0)</f>
        <v>0</v>
      </c>
      <c r="D1436">
        <f>IF(COUNTIFS('United Data'!$A$3:$A$3390,D$1,'United Data'!$C$3:$C$3390,$A1436,'United Data'!$B$3:$B$3390,"&lt;&gt;Off-street")&gt;0,1,0)</f>
        <v>0</v>
      </c>
      <c r="E1436">
        <f>IF(COUNTIFS('United Data'!$A$3:$A$3390,E$1,'United Data'!$C$3:$C$3390,$A1436,'United Data'!$B$3:$B$3390,"&lt;&gt;Off-street")&gt;0,1,0)</f>
        <v>0</v>
      </c>
      <c r="F1436">
        <f>IF(COUNTIFS('United Data'!$A$3:$A$3390,F$1,'United Data'!$C$3:$C$3390,$A1436,'United Data'!$B$3:$B$3390,"&lt;&gt;Off-street")&gt;0,1,0)</f>
        <v>1</v>
      </c>
      <c r="G1436">
        <f>IF(COUNTIFS('United Data'!$A$3:$A$3390,G$1,'United Data'!$C$3:$C$3390,$A1436,'United Data'!$B$3:$B$3390,"&lt;&gt;Off-street")&gt;0,1,0)</f>
        <v>0</v>
      </c>
      <c r="H1436">
        <f>IF(COUNTIFS('United Data'!$A$3:$A$3390,H$1,'United Data'!$C$3:$C$3390,$A1436,'United Data'!$B$3:$B$3390,"&lt;&gt;Off-street")&gt;0,1,0)</f>
        <v>0</v>
      </c>
      <c r="I1436">
        <f>IF(COUNTIFS('United Data'!$A$3:$A$3390,I$1,'United Data'!$C$3:$C$3390,$A1436,'United Data'!$B$3:$B$3390,"&lt;&gt;Off-street")&gt;0,1,0)</f>
        <v>0</v>
      </c>
      <c r="J1436">
        <f>IF(COUNTIFS('United Data'!$A$3:$A$3390,J$1,'United Data'!$C$3:$C$3390,$A1436,'United Data'!$B$3:$B$3390,"&lt;&gt;Off-street")&gt;0,1,0)</f>
        <v>0</v>
      </c>
      <c r="K1436">
        <f>IF(COUNTIFS('United Data'!$A$3:$A$3390,K$1,'United Data'!$C$3:$C$3390,$A1436,'United Data'!$B$3:$B$3390,"&lt;&gt;Off-street")&gt;0,1,0)</f>
        <v>0</v>
      </c>
      <c r="L1436">
        <f>IF(COUNTIFS('United Data'!$A$3:$A$3390,L$1,'United Data'!$C$3:$C$3390,$A1436,'United Data'!$B$3:$B$3390,"&lt;&gt;Off-street")&gt;0,1,0)</f>
        <v>0</v>
      </c>
      <c r="M1436">
        <f>IF(COUNTIFS('United Data'!$A$3:$A$3390,M$1,'United Data'!$C$3:$C$3390,$A1436,'United Data'!$B$3:$B$3390,"&lt;&gt;Off-street")&gt;0,1,0)</f>
        <v>0</v>
      </c>
      <c r="N1436">
        <f>IF(COUNTIFS('United Data'!$A$3:$A$3390,N$1,'United Data'!$C$3:$C$3390,$A1436,'United Data'!$B$3:$B$3390,"&lt;&gt;Off-street")&gt;0,1,0)</f>
        <v>0</v>
      </c>
      <c r="O1436">
        <f>IF(COUNTIFS('United Data'!$A$3:$A$3390,O$1,'United Data'!$C$3:$C$3390,$A1436,'United Data'!$B$3:$B$3390,"&lt;&gt;Off-street")&gt;0,1,0)</f>
        <v>0</v>
      </c>
      <c r="P1436">
        <f>IF(COUNTIFS('United Data'!$A$3:$A$3390,P$1,'United Data'!$C$3:$C$3390,$A1436,'United Data'!$B$3:$B$3390,"&lt;&gt;Off-street")&gt;0,1,0)</f>
        <v>0</v>
      </c>
      <c r="Q1436">
        <f>IF(COUNTIFS('United Data'!$A$3:$A$3390,Q$1,'United Data'!$C$3:$C$3390,$A1436,'United Data'!$B$3:$B$3390,"&lt;&gt;Off-street")&gt;0,1,0)</f>
        <v>0</v>
      </c>
      <c r="R1436">
        <f>IF(COUNTIFS('United Data'!$A$3:$A$3390,R$1,'United Data'!$C$3:$C$3390,$A1436,'United Data'!$B$3:$B$3390,"&lt;&gt;Off-street")&gt;0,1,0)</f>
        <v>0</v>
      </c>
      <c r="S1436">
        <f t="shared" si="44"/>
        <v>1</v>
      </c>
      <c r="T1436">
        <f t="shared" si="45"/>
        <v>1</v>
      </c>
    </row>
    <row r="1437" spans="1:20" x14ac:dyDescent="0.2">
      <c r="A1437" t="s">
        <v>1705</v>
      </c>
      <c r="B1437">
        <f>IF(COUNTIFS('United Data'!$A$3:$A$3390,B$1,'United Data'!$C$3:$C$3390,$A1437,'United Data'!$B$3:$B$3390,"&lt;&gt;Off-street")&gt;0,1,0)</f>
        <v>0</v>
      </c>
      <c r="C1437">
        <f>IF(COUNTIFS('United Data'!$A$3:$A$3390,C$1,'United Data'!$C$3:$C$3390,$A1437,'United Data'!$B$3:$B$3390,"&lt;&gt;Off-street")&gt;0,1,0)</f>
        <v>0</v>
      </c>
      <c r="D1437">
        <f>IF(COUNTIFS('United Data'!$A$3:$A$3390,D$1,'United Data'!$C$3:$C$3390,$A1437,'United Data'!$B$3:$B$3390,"&lt;&gt;Off-street")&gt;0,1,0)</f>
        <v>0</v>
      </c>
      <c r="E1437">
        <f>IF(COUNTIFS('United Data'!$A$3:$A$3390,E$1,'United Data'!$C$3:$C$3390,$A1437,'United Data'!$B$3:$B$3390,"&lt;&gt;Off-street")&gt;0,1,0)</f>
        <v>0</v>
      </c>
      <c r="F1437">
        <f>IF(COUNTIFS('United Data'!$A$3:$A$3390,F$1,'United Data'!$C$3:$C$3390,$A1437,'United Data'!$B$3:$B$3390,"&lt;&gt;Off-street")&gt;0,1,0)</f>
        <v>1</v>
      </c>
      <c r="G1437">
        <f>IF(COUNTIFS('United Data'!$A$3:$A$3390,G$1,'United Data'!$C$3:$C$3390,$A1437,'United Data'!$B$3:$B$3390,"&lt;&gt;Off-street")&gt;0,1,0)</f>
        <v>0</v>
      </c>
      <c r="H1437">
        <f>IF(COUNTIFS('United Data'!$A$3:$A$3390,H$1,'United Data'!$C$3:$C$3390,$A1437,'United Data'!$B$3:$B$3390,"&lt;&gt;Off-street")&gt;0,1,0)</f>
        <v>0</v>
      </c>
      <c r="I1437">
        <f>IF(COUNTIFS('United Data'!$A$3:$A$3390,I$1,'United Data'!$C$3:$C$3390,$A1437,'United Data'!$B$3:$B$3390,"&lt;&gt;Off-street")&gt;0,1,0)</f>
        <v>0</v>
      </c>
      <c r="J1437">
        <f>IF(COUNTIFS('United Data'!$A$3:$A$3390,J$1,'United Data'!$C$3:$C$3390,$A1437,'United Data'!$B$3:$B$3390,"&lt;&gt;Off-street")&gt;0,1,0)</f>
        <v>0</v>
      </c>
      <c r="K1437">
        <f>IF(COUNTIFS('United Data'!$A$3:$A$3390,K$1,'United Data'!$C$3:$C$3390,$A1437,'United Data'!$B$3:$B$3390,"&lt;&gt;Off-street")&gt;0,1,0)</f>
        <v>0</v>
      </c>
      <c r="L1437">
        <f>IF(COUNTIFS('United Data'!$A$3:$A$3390,L$1,'United Data'!$C$3:$C$3390,$A1437,'United Data'!$B$3:$B$3390,"&lt;&gt;Off-street")&gt;0,1,0)</f>
        <v>0</v>
      </c>
      <c r="M1437">
        <f>IF(COUNTIFS('United Data'!$A$3:$A$3390,M$1,'United Data'!$C$3:$C$3390,$A1437,'United Data'!$B$3:$B$3390,"&lt;&gt;Off-street")&gt;0,1,0)</f>
        <v>0</v>
      </c>
      <c r="N1437">
        <f>IF(COUNTIFS('United Data'!$A$3:$A$3390,N$1,'United Data'!$C$3:$C$3390,$A1437,'United Data'!$B$3:$B$3390,"&lt;&gt;Off-street")&gt;0,1,0)</f>
        <v>0</v>
      </c>
      <c r="O1437">
        <f>IF(COUNTIFS('United Data'!$A$3:$A$3390,O$1,'United Data'!$C$3:$C$3390,$A1437,'United Data'!$B$3:$B$3390,"&lt;&gt;Off-street")&gt;0,1,0)</f>
        <v>0</v>
      </c>
      <c r="P1437">
        <f>IF(COUNTIFS('United Data'!$A$3:$A$3390,P$1,'United Data'!$C$3:$C$3390,$A1437,'United Data'!$B$3:$B$3390,"&lt;&gt;Off-street")&gt;0,1,0)</f>
        <v>0</v>
      </c>
      <c r="Q1437">
        <f>IF(COUNTIFS('United Data'!$A$3:$A$3390,Q$1,'United Data'!$C$3:$C$3390,$A1437,'United Data'!$B$3:$B$3390,"&lt;&gt;Off-street")&gt;0,1,0)</f>
        <v>0</v>
      </c>
      <c r="R1437">
        <f>IF(COUNTIFS('United Data'!$A$3:$A$3390,R$1,'United Data'!$C$3:$C$3390,$A1437,'United Data'!$B$3:$B$3390,"&lt;&gt;Off-street")&gt;0,1,0)</f>
        <v>0</v>
      </c>
      <c r="S1437">
        <f t="shared" si="44"/>
        <v>1</v>
      </c>
      <c r="T1437">
        <f t="shared" si="45"/>
        <v>1</v>
      </c>
    </row>
    <row r="1438" spans="1:20" x14ac:dyDescent="0.2">
      <c r="A1438" t="s">
        <v>1707</v>
      </c>
      <c r="B1438">
        <f>IF(COUNTIFS('United Data'!$A$3:$A$3390,B$1,'United Data'!$C$3:$C$3390,$A1438,'United Data'!$B$3:$B$3390,"&lt;&gt;Off-street")&gt;0,1,0)</f>
        <v>0</v>
      </c>
      <c r="C1438">
        <f>IF(COUNTIFS('United Data'!$A$3:$A$3390,C$1,'United Data'!$C$3:$C$3390,$A1438,'United Data'!$B$3:$B$3390,"&lt;&gt;Off-street")&gt;0,1,0)</f>
        <v>0</v>
      </c>
      <c r="D1438">
        <f>IF(COUNTIFS('United Data'!$A$3:$A$3390,D$1,'United Data'!$C$3:$C$3390,$A1438,'United Data'!$B$3:$B$3390,"&lt;&gt;Off-street")&gt;0,1,0)</f>
        <v>0</v>
      </c>
      <c r="E1438">
        <f>IF(COUNTIFS('United Data'!$A$3:$A$3390,E$1,'United Data'!$C$3:$C$3390,$A1438,'United Data'!$B$3:$B$3390,"&lt;&gt;Off-street")&gt;0,1,0)</f>
        <v>0</v>
      </c>
      <c r="F1438">
        <f>IF(COUNTIFS('United Data'!$A$3:$A$3390,F$1,'United Data'!$C$3:$C$3390,$A1438,'United Data'!$B$3:$B$3390,"&lt;&gt;Off-street")&gt;0,1,0)</f>
        <v>0</v>
      </c>
      <c r="G1438">
        <f>IF(COUNTIFS('United Data'!$A$3:$A$3390,G$1,'United Data'!$C$3:$C$3390,$A1438,'United Data'!$B$3:$B$3390,"&lt;&gt;Off-street")&gt;0,1,0)</f>
        <v>1</v>
      </c>
      <c r="H1438">
        <f>IF(COUNTIFS('United Data'!$A$3:$A$3390,H$1,'United Data'!$C$3:$C$3390,$A1438,'United Data'!$B$3:$B$3390,"&lt;&gt;Off-street")&gt;0,1,0)</f>
        <v>0</v>
      </c>
      <c r="I1438">
        <f>IF(COUNTIFS('United Data'!$A$3:$A$3390,I$1,'United Data'!$C$3:$C$3390,$A1438,'United Data'!$B$3:$B$3390,"&lt;&gt;Off-street")&gt;0,1,0)</f>
        <v>0</v>
      </c>
      <c r="J1438">
        <f>IF(COUNTIFS('United Data'!$A$3:$A$3390,J$1,'United Data'!$C$3:$C$3390,$A1438,'United Data'!$B$3:$B$3390,"&lt;&gt;Off-street")&gt;0,1,0)</f>
        <v>0</v>
      </c>
      <c r="K1438">
        <f>IF(COUNTIFS('United Data'!$A$3:$A$3390,K$1,'United Data'!$C$3:$C$3390,$A1438,'United Data'!$B$3:$B$3390,"&lt;&gt;Off-street")&gt;0,1,0)</f>
        <v>0</v>
      </c>
      <c r="L1438">
        <f>IF(COUNTIFS('United Data'!$A$3:$A$3390,L$1,'United Data'!$C$3:$C$3390,$A1438,'United Data'!$B$3:$B$3390,"&lt;&gt;Off-street")&gt;0,1,0)</f>
        <v>0</v>
      </c>
      <c r="M1438">
        <f>IF(COUNTIFS('United Data'!$A$3:$A$3390,M$1,'United Data'!$C$3:$C$3390,$A1438,'United Data'!$B$3:$B$3390,"&lt;&gt;Off-street")&gt;0,1,0)</f>
        <v>0</v>
      </c>
      <c r="N1438">
        <f>IF(COUNTIFS('United Data'!$A$3:$A$3390,N$1,'United Data'!$C$3:$C$3390,$A1438,'United Data'!$B$3:$B$3390,"&lt;&gt;Off-street")&gt;0,1,0)</f>
        <v>0</v>
      </c>
      <c r="O1438">
        <f>IF(COUNTIFS('United Data'!$A$3:$A$3390,O$1,'United Data'!$C$3:$C$3390,$A1438,'United Data'!$B$3:$B$3390,"&lt;&gt;Off-street")&gt;0,1,0)</f>
        <v>0</v>
      </c>
      <c r="P1438">
        <f>IF(COUNTIFS('United Data'!$A$3:$A$3390,P$1,'United Data'!$C$3:$C$3390,$A1438,'United Data'!$B$3:$B$3390,"&lt;&gt;Off-street")&gt;0,1,0)</f>
        <v>0</v>
      </c>
      <c r="Q1438">
        <f>IF(COUNTIFS('United Data'!$A$3:$A$3390,Q$1,'United Data'!$C$3:$C$3390,$A1438,'United Data'!$B$3:$B$3390,"&lt;&gt;Off-street")&gt;0,1,0)</f>
        <v>0</v>
      </c>
      <c r="R1438">
        <f>IF(COUNTIFS('United Data'!$A$3:$A$3390,R$1,'United Data'!$C$3:$C$3390,$A1438,'United Data'!$B$3:$B$3390,"&lt;&gt;Off-street")&gt;0,1,0)</f>
        <v>0</v>
      </c>
      <c r="S1438">
        <f t="shared" si="44"/>
        <v>1</v>
      </c>
      <c r="T1438">
        <f t="shared" si="45"/>
        <v>1</v>
      </c>
    </row>
    <row r="1439" spans="1:20" x14ac:dyDescent="0.2">
      <c r="A1439" t="s">
        <v>1708</v>
      </c>
      <c r="B1439">
        <f>IF(COUNTIFS('United Data'!$A$3:$A$3390,B$1,'United Data'!$C$3:$C$3390,$A1439,'United Data'!$B$3:$B$3390,"&lt;&gt;Off-street")&gt;0,1,0)</f>
        <v>0</v>
      </c>
      <c r="C1439">
        <f>IF(COUNTIFS('United Data'!$A$3:$A$3390,C$1,'United Data'!$C$3:$C$3390,$A1439,'United Data'!$B$3:$B$3390,"&lt;&gt;Off-street")&gt;0,1,0)</f>
        <v>0</v>
      </c>
      <c r="D1439">
        <f>IF(COUNTIFS('United Data'!$A$3:$A$3390,D$1,'United Data'!$C$3:$C$3390,$A1439,'United Data'!$B$3:$B$3390,"&lt;&gt;Off-street")&gt;0,1,0)</f>
        <v>0</v>
      </c>
      <c r="E1439">
        <f>IF(COUNTIFS('United Data'!$A$3:$A$3390,E$1,'United Data'!$C$3:$C$3390,$A1439,'United Data'!$B$3:$B$3390,"&lt;&gt;Off-street")&gt;0,1,0)</f>
        <v>0</v>
      </c>
      <c r="F1439">
        <f>IF(COUNTIFS('United Data'!$A$3:$A$3390,F$1,'United Data'!$C$3:$C$3390,$A1439,'United Data'!$B$3:$B$3390,"&lt;&gt;Off-street")&gt;0,1,0)</f>
        <v>0</v>
      </c>
      <c r="G1439">
        <f>IF(COUNTIFS('United Data'!$A$3:$A$3390,G$1,'United Data'!$C$3:$C$3390,$A1439,'United Data'!$B$3:$B$3390,"&lt;&gt;Off-street")&gt;0,1,0)</f>
        <v>1</v>
      </c>
      <c r="H1439">
        <f>IF(COUNTIFS('United Data'!$A$3:$A$3390,H$1,'United Data'!$C$3:$C$3390,$A1439,'United Data'!$B$3:$B$3390,"&lt;&gt;Off-street")&gt;0,1,0)</f>
        <v>0</v>
      </c>
      <c r="I1439">
        <f>IF(COUNTIFS('United Data'!$A$3:$A$3390,I$1,'United Data'!$C$3:$C$3390,$A1439,'United Data'!$B$3:$B$3390,"&lt;&gt;Off-street")&gt;0,1,0)</f>
        <v>0</v>
      </c>
      <c r="J1439">
        <f>IF(COUNTIFS('United Data'!$A$3:$A$3390,J$1,'United Data'!$C$3:$C$3390,$A1439,'United Data'!$B$3:$B$3390,"&lt;&gt;Off-street")&gt;0,1,0)</f>
        <v>0</v>
      </c>
      <c r="K1439">
        <f>IF(COUNTIFS('United Data'!$A$3:$A$3390,K$1,'United Data'!$C$3:$C$3390,$A1439,'United Data'!$B$3:$B$3390,"&lt;&gt;Off-street")&gt;0,1,0)</f>
        <v>0</v>
      </c>
      <c r="L1439">
        <f>IF(COUNTIFS('United Data'!$A$3:$A$3390,L$1,'United Data'!$C$3:$C$3390,$A1439,'United Data'!$B$3:$B$3390,"&lt;&gt;Off-street")&gt;0,1,0)</f>
        <v>0</v>
      </c>
      <c r="M1439">
        <f>IF(COUNTIFS('United Data'!$A$3:$A$3390,M$1,'United Data'!$C$3:$C$3390,$A1439,'United Data'!$B$3:$B$3390,"&lt;&gt;Off-street")&gt;0,1,0)</f>
        <v>0</v>
      </c>
      <c r="N1439">
        <f>IF(COUNTIFS('United Data'!$A$3:$A$3390,N$1,'United Data'!$C$3:$C$3390,$A1439,'United Data'!$B$3:$B$3390,"&lt;&gt;Off-street")&gt;0,1,0)</f>
        <v>0</v>
      </c>
      <c r="O1439">
        <f>IF(COUNTIFS('United Data'!$A$3:$A$3390,O$1,'United Data'!$C$3:$C$3390,$A1439,'United Data'!$B$3:$B$3390,"&lt;&gt;Off-street")&gt;0,1,0)</f>
        <v>0</v>
      </c>
      <c r="P1439">
        <f>IF(COUNTIFS('United Data'!$A$3:$A$3390,P$1,'United Data'!$C$3:$C$3390,$A1439,'United Data'!$B$3:$B$3390,"&lt;&gt;Off-street")&gt;0,1,0)</f>
        <v>0</v>
      </c>
      <c r="Q1439">
        <f>IF(COUNTIFS('United Data'!$A$3:$A$3390,Q$1,'United Data'!$C$3:$C$3390,$A1439,'United Data'!$B$3:$B$3390,"&lt;&gt;Off-street")&gt;0,1,0)</f>
        <v>0</v>
      </c>
      <c r="R1439">
        <f>IF(COUNTIFS('United Data'!$A$3:$A$3390,R$1,'United Data'!$C$3:$C$3390,$A1439,'United Data'!$B$3:$B$3390,"&lt;&gt;Off-street")&gt;0,1,0)</f>
        <v>0</v>
      </c>
      <c r="S1439">
        <f t="shared" si="44"/>
        <v>1</v>
      </c>
      <c r="T1439">
        <f t="shared" si="45"/>
        <v>1</v>
      </c>
    </row>
    <row r="1440" spans="1:20" x14ac:dyDescent="0.2">
      <c r="A1440" t="s">
        <v>1709</v>
      </c>
      <c r="B1440">
        <f>IF(COUNTIFS('United Data'!$A$3:$A$3390,B$1,'United Data'!$C$3:$C$3390,$A1440,'United Data'!$B$3:$B$3390,"&lt;&gt;Off-street")&gt;0,1,0)</f>
        <v>0</v>
      </c>
      <c r="C1440">
        <f>IF(COUNTIFS('United Data'!$A$3:$A$3390,C$1,'United Data'!$C$3:$C$3390,$A1440,'United Data'!$B$3:$B$3390,"&lt;&gt;Off-street")&gt;0,1,0)</f>
        <v>0</v>
      </c>
      <c r="D1440">
        <f>IF(COUNTIFS('United Data'!$A$3:$A$3390,D$1,'United Data'!$C$3:$C$3390,$A1440,'United Data'!$B$3:$B$3390,"&lt;&gt;Off-street")&gt;0,1,0)</f>
        <v>0</v>
      </c>
      <c r="E1440">
        <f>IF(COUNTIFS('United Data'!$A$3:$A$3390,E$1,'United Data'!$C$3:$C$3390,$A1440,'United Data'!$B$3:$B$3390,"&lt;&gt;Off-street")&gt;0,1,0)</f>
        <v>0</v>
      </c>
      <c r="F1440">
        <f>IF(COUNTIFS('United Data'!$A$3:$A$3390,F$1,'United Data'!$C$3:$C$3390,$A1440,'United Data'!$B$3:$B$3390,"&lt;&gt;Off-street")&gt;0,1,0)</f>
        <v>0</v>
      </c>
      <c r="G1440">
        <f>IF(COUNTIFS('United Data'!$A$3:$A$3390,G$1,'United Data'!$C$3:$C$3390,$A1440,'United Data'!$B$3:$B$3390,"&lt;&gt;Off-street")&gt;0,1,0)</f>
        <v>1</v>
      </c>
      <c r="H1440">
        <f>IF(COUNTIFS('United Data'!$A$3:$A$3390,H$1,'United Data'!$C$3:$C$3390,$A1440,'United Data'!$B$3:$B$3390,"&lt;&gt;Off-street")&gt;0,1,0)</f>
        <v>0</v>
      </c>
      <c r="I1440">
        <f>IF(COUNTIFS('United Data'!$A$3:$A$3390,I$1,'United Data'!$C$3:$C$3390,$A1440,'United Data'!$B$3:$B$3390,"&lt;&gt;Off-street")&gt;0,1,0)</f>
        <v>1</v>
      </c>
      <c r="J1440">
        <f>IF(COUNTIFS('United Data'!$A$3:$A$3390,J$1,'United Data'!$C$3:$C$3390,$A1440,'United Data'!$B$3:$B$3390,"&lt;&gt;Off-street")&gt;0,1,0)</f>
        <v>0</v>
      </c>
      <c r="K1440">
        <f>IF(COUNTIFS('United Data'!$A$3:$A$3390,K$1,'United Data'!$C$3:$C$3390,$A1440,'United Data'!$B$3:$B$3390,"&lt;&gt;Off-street")&gt;0,1,0)</f>
        <v>0</v>
      </c>
      <c r="L1440">
        <f>IF(COUNTIFS('United Data'!$A$3:$A$3390,L$1,'United Data'!$C$3:$C$3390,$A1440,'United Data'!$B$3:$B$3390,"&lt;&gt;Off-street")&gt;0,1,0)</f>
        <v>0</v>
      </c>
      <c r="M1440">
        <f>IF(COUNTIFS('United Data'!$A$3:$A$3390,M$1,'United Data'!$C$3:$C$3390,$A1440,'United Data'!$B$3:$B$3390,"&lt;&gt;Off-street")&gt;0,1,0)</f>
        <v>0</v>
      </c>
      <c r="N1440">
        <f>IF(COUNTIFS('United Data'!$A$3:$A$3390,N$1,'United Data'!$C$3:$C$3390,$A1440,'United Data'!$B$3:$B$3390,"&lt;&gt;Off-street")&gt;0,1,0)</f>
        <v>0</v>
      </c>
      <c r="O1440">
        <f>IF(COUNTIFS('United Data'!$A$3:$A$3390,O$1,'United Data'!$C$3:$C$3390,$A1440,'United Data'!$B$3:$B$3390,"&lt;&gt;Off-street")&gt;0,1,0)</f>
        <v>0</v>
      </c>
      <c r="P1440">
        <f>IF(COUNTIFS('United Data'!$A$3:$A$3390,P$1,'United Data'!$C$3:$C$3390,$A1440,'United Data'!$B$3:$B$3390,"&lt;&gt;Off-street")&gt;0,1,0)</f>
        <v>0</v>
      </c>
      <c r="Q1440">
        <f>IF(COUNTIFS('United Data'!$A$3:$A$3390,Q$1,'United Data'!$C$3:$C$3390,$A1440,'United Data'!$B$3:$B$3390,"&lt;&gt;Off-street")&gt;0,1,0)</f>
        <v>0</v>
      </c>
      <c r="R1440">
        <f>IF(COUNTIFS('United Data'!$A$3:$A$3390,R$1,'United Data'!$C$3:$C$3390,$A1440,'United Data'!$B$3:$B$3390,"&lt;&gt;Off-street")&gt;0,1,0)</f>
        <v>0</v>
      </c>
      <c r="S1440">
        <f t="shared" si="44"/>
        <v>2</v>
      </c>
      <c r="T1440">
        <f t="shared" si="45"/>
        <v>2</v>
      </c>
    </row>
    <row r="1441" spans="1:20" x14ac:dyDescent="0.2">
      <c r="A1441" t="s">
        <v>1710</v>
      </c>
      <c r="B1441">
        <f>IF(COUNTIFS('United Data'!$A$3:$A$3390,B$1,'United Data'!$C$3:$C$3390,$A1441,'United Data'!$B$3:$B$3390,"&lt;&gt;Off-street")&gt;0,1,0)</f>
        <v>0</v>
      </c>
      <c r="C1441">
        <f>IF(COUNTIFS('United Data'!$A$3:$A$3390,C$1,'United Data'!$C$3:$C$3390,$A1441,'United Data'!$B$3:$B$3390,"&lt;&gt;Off-street")&gt;0,1,0)</f>
        <v>0</v>
      </c>
      <c r="D1441">
        <f>IF(COUNTIFS('United Data'!$A$3:$A$3390,D$1,'United Data'!$C$3:$C$3390,$A1441,'United Data'!$B$3:$B$3390,"&lt;&gt;Off-street")&gt;0,1,0)</f>
        <v>0</v>
      </c>
      <c r="E1441">
        <f>IF(COUNTIFS('United Data'!$A$3:$A$3390,E$1,'United Data'!$C$3:$C$3390,$A1441,'United Data'!$B$3:$B$3390,"&lt;&gt;Off-street")&gt;0,1,0)</f>
        <v>0</v>
      </c>
      <c r="F1441">
        <f>IF(COUNTIFS('United Data'!$A$3:$A$3390,F$1,'United Data'!$C$3:$C$3390,$A1441,'United Data'!$B$3:$B$3390,"&lt;&gt;Off-street")&gt;0,1,0)</f>
        <v>0</v>
      </c>
      <c r="G1441">
        <f>IF(COUNTIFS('United Data'!$A$3:$A$3390,G$1,'United Data'!$C$3:$C$3390,$A1441,'United Data'!$B$3:$B$3390,"&lt;&gt;Off-street")&gt;0,1,0)</f>
        <v>1</v>
      </c>
      <c r="H1441">
        <f>IF(COUNTIFS('United Data'!$A$3:$A$3390,H$1,'United Data'!$C$3:$C$3390,$A1441,'United Data'!$B$3:$B$3390,"&lt;&gt;Off-street")&gt;0,1,0)</f>
        <v>0</v>
      </c>
      <c r="I1441">
        <f>IF(COUNTIFS('United Data'!$A$3:$A$3390,I$1,'United Data'!$C$3:$C$3390,$A1441,'United Data'!$B$3:$B$3390,"&lt;&gt;Off-street")&gt;0,1,0)</f>
        <v>0</v>
      </c>
      <c r="J1441">
        <f>IF(COUNTIFS('United Data'!$A$3:$A$3390,J$1,'United Data'!$C$3:$C$3390,$A1441,'United Data'!$B$3:$B$3390,"&lt;&gt;Off-street")&gt;0,1,0)</f>
        <v>0</v>
      </c>
      <c r="K1441">
        <f>IF(COUNTIFS('United Data'!$A$3:$A$3390,K$1,'United Data'!$C$3:$C$3390,$A1441,'United Data'!$B$3:$B$3390,"&lt;&gt;Off-street")&gt;0,1,0)</f>
        <v>0</v>
      </c>
      <c r="L1441">
        <f>IF(COUNTIFS('United Data'!$A$3:$A$3390,L$1,'United Data'!$C$3:$C$3390,$A1441,'United Data'!$B$3:$B$3390,"&lt;&gt;Off-street")&gt;0,1,0)</f>
        <v>0</v>
      </c>
      <c r="M1441">
        <f>IF(COUNTIFS('United Data'!$A$3:$A$3390,M$1,'United Data'!$C$3:$C$3390,$A1441,'United Data'!$B$3:$B$3390,"&lt;&gt;Off-street")&gt;0,1,0)</f>
        <v>0</v>
      </c>
      <c r="N1441">
        <f>IF(COUNTIFS('United Data'!$A$3:$A$3390,N$1,'United Data'!$C$3:$C$3390,$A1441,'United Data'!$B$3:$B$3390,"&lt;&gt;Off-street")&gt;0,1,0)</f>
        <v>0</v>
      </c>
      <c r="O1441">
        <f>IF(COUNTIFS('United Data'!$A$3:$A$3390,O$1,'United Data'!$C$3:$C$3390,$A1441,'United Data'!$B$3:$B$3390,"&lt;&gt;Off-street")&gt;0,1,0)</f>
        <v>0</v>
      </c>
      <c r="P1441">
        <f>IF(COUNTIFS('United Data'!$A$3:$A$3390,P$1,'United Data'!$C$3:$C$3390,$A1441,'United Data'!$B$3:$B$3390,"&lt;&gt;Off-street")&gt;0,1,0)</f>
        <v>0</v>
      </c>
      <c r="Q1441">
        <f>IF(COUNTIFS('United Data'!$A$3:$A$3390,Q$1,'United Data'!$C$3:$C$3390,$A1441,'United Data'!$B$3:$B$3390,"&lt;&gt;Off-street")&gt;0,1,0)</f>
        <v>0</v>
      </c>
      <c r="R1441">
        <f>IF(COUNTIFS('United Data'!$A$3:$A$3390,R$1,'United Data'!$C$3:$C$3390,$A1441,'United Data'!$B$3:$B$3390,"&lt;&gt;Off-street")&gt;0,1,0)</f>
        <v>0</v>
      </c>
      <c r="S1441">
        <f t="shared" si="44"/>
        <v>1</v>
      </c>
      <c r="T1441">
        <f t="shared" si="45"/>
        <v>1</v>
      </c>
    </row>
    <row r="1442" spans="1:20" x14ac:dyDescent="0.2">
      <c r="A1442" t="s">
        <v>1711</v>
      </c>
      <c r="B1442">
        <f>IF(COUNTIFS('United Data'!$A$3:$A$3390,B$1,'United Data'!$C$3:$C$3390,$A1442,'United Data'!$B$3:$B$3390,"&lt;&gt;Off-street")&gt;0,1,0)</f>
        <v>0</v>
      </c>
      <c r="C1442">
        <f>IF(COUNTIFS('United Data'!$A$3:$A$3390,C$1,'United Data'!$C$3:$C$3390,$A1442,'United Data'!$B$3:$B$3390,"&lt;&gt;Off-street")&gt;0,1,0)</f>
        <v>0</v>
      </c>
      <c r="D1442">
        <f>IF(COUNTIFS('United Data'!$A$3:$A$3390,D$1,'United Data'!$C$3:$C$3390,$A1442,'United Data'!$B$3:$B$3390,"&lt;&gt;Off-street")&gt;0,1,0)</f>
        <v>0</v>
      </c>
      <c r="E1442">
        <f>IF(COUNTIFS('United Data'!$A$3:$A$3390,E$1,'United Data'!$C$3:$C$3390,$A1442,'United Data'!$B$3:$B$3390,"&lt;&gt;Off-street")&gt;0,1,0)</f>
        <v>0</v>
      </c>
      <c r="F1442">
        <f>IF(COUNTIFS('United Data'!$A$3:$A$3390,F$1,'United Data'!$C$3:$C$3390,$A1442,'United Data'!$B$3:$B$3390,"&lt;&gt;Off-street")&gt;0,1,0)</f>
        <v>0</v>
      </c>
      <c r="G1442">
        <f>IF(COUNTIFS('United Data'!$A$3:$A$3390,G$1,'United Data'!$C$3:$C$3390,$A1442,'United Data'!$B$3:$B$3390,"&lt;&gt;Off-street")&gt;0,1,0)</f>
        <v>0</v>
      </c>
      <c r="H1442">
        <f>IF(COUNTIFS('United Data'!$A$3:$A$3390,H$1,'United Data'!$C$3:$C$3390,$A1442,'United Data'!$B$3:$B$3390,"&lt;&gt;Off-street")&gt;0,1,0)</f>
        <v>1</v>
      </c>
      <c r="I1442">
        <f>IF(COUNTIFS('United Data'!$A$3:$A$3390,I$1,'United Data'!$C$3:$C$3390,$A1442,'United Data'!$B$3:$B$3390,"&lt;&gt;Off-street")&gt;0,1,0)</f>
        <v>0</v>
      </c>
      <c r="J1442">
        <f>IF(COUNTIFS('United Data'!$A$3:$A$3390,J$1,'United Data'!$C$3:$C$3390,$A1442,'United Data'!$B$3:$B$3390,"&lt;&gt;Off-street")&gt;0,1,0)</f>
        <v>0</v>
      </c>
      <c r="K1442">
        <f>IF(COUNTIFS('United Data'!$A$3:$A$3390,K$1,'United Data'!$C$3:$C$3390,$A1442,'United Data'!$B$3:$B$3390,"&lt;&gt;Off-street")&gt;0,1,0)</f>
        <v>0</v>
      </c>
      <c r="L1442">
        <f>IF(COUNTIFS('United Data'!$A$3:$A$3390,L$1,'United Data'!$C$3:$C$3390,$A1442,'United Data'!$B$3:$B$3390,"&lt;&gt;Off-street")&gt;0,1,0)</f>
        <v>0</v>
      </c>
      <c r="M1442">
        <f>IF(COUNTIFS('United Data'!$A$3:$A$3390,M$1,'United Data'!$C$3:$C$3390,$A1442,'United Data'!$B$3:$B$3390,"&lt;&gt;Off-street")&gt;0,1,0)</f>
        <v>0</v>
      </c>
      <c r="N1442">
        <f>IF(COUNTIFS('United Data'!$A$3:$A$3390,N$1,'United Data'!$C$3:$C$3390,$A1442,'United Data'!$B$3:$B$3390,"&lt;&gt;Off-street")&gt;0,1,0)</f>
        <v>0</v>
      </c>
      <c r="O1442">
        <f>IF(COUNTIFS('United Data'!$A$3:$A$3390,O$1,'United Data'!$C$3:$C$3390,$A1442,'United Data'!$B$3:$B$3390,"&lt;&gt;Off-street")&gt;0,1,0)</f>
        <v>0</v>
      </c>
      <c r="P1442">
        <f>IF(COUNTIFS('United Data'!$A$3:$A$3390,P$1,'United Data'!$C$3:$C$3390,$A1442,'United Data'!$B$3:$B$3390,"&lt;&gt;Off-street")&gt;0,1,0)</f>
        <v>0</v>
      </c>
      <c r="Q1442">
        <f>IF(COUNTIFS('United Data'!$A$3:$A$3390,Q$1,'United Data'!$C$3:$C$3390,$A1442,'United Data'!$B$3:$B$3390,"&lt;&gt;Off-street")&gt;0,1,0)</f>
        <v>0</v>
      </c>
      <c r="R1442">
        <f>IF(COUNTIFS('United Data'!$A$3:$A$3390,R$1,'United Data'!$C$3:$C$3390,$A1442,'United Data'!$B$3:$B$3390,"&lt;&gt;Off-street")&gt;0,1,0)</f>
        <v>0</v>
      </c>
      <c r="S1442">
        <f t="shared" si="44"/>
        <v>1</v>
      </c>
      <c r="T1442">
        <f t="shared" si="45"/>
        <v>1</v>
      </c>
    </row>
    <row r="1443" spans="1:20" x14ac:dyDescent="0.2">
      <c r="A1443" t="s">
        <v>1712</v>
      </c>
      <c r="B1443">
        <f>IF(COUNTIFS('United Data'!$A$3:$A$3390,B$1,'United Data'!$C$3:$C$3390,$A1443,'United Data'!$B$3:$B$3390,"&lt;&gt;Off-street")&gt;0,1,0)</f>
        <v>0</v>
      </c>
      <c r="C1443">
        <f>IF(COUNTIFS('United Data'!$A$3:$A$3390,C$1,'United Data'!$C$3:$C$3390,$A1443,'United Data'!$B$3:$B$3390,"&lt;&gt;Off-street")&gt;0,1,0)</f>
        <v>0</v>
      </c>
      <c r="D1443">
        <f>IF(COUNTIFS('United Data'!$A$3:$A$3390,D$1,'United Data'!$C$3:$C$3390,$A1443,'United Data'!$B$3:$B$3390,"&lt;&gt;Off-street")&gt;0,1,0)</f>
        <v>0</v>
      </c>
      <c r="E1443">
        <f>IF(COUNTIFS('United Data'!$A$3:$A$3390,E$1,'United Data'!$C$3:$C$3390,$A1443,'United Data'!$B$3:$B$3390,"&lt;&gt;Off-street")&gt;0,1,0)</f>
        <v>0</v>
      </c>
      <c r="F1443">
        <f>IF(COUNTIFS('United Data'!$A$3:$A$3390,F$1,'United Data'!$C$3:$C$3390,$A1443,'United Data'!$B$3:$B$3390,"&lt;&gt;Off-street")&gt;0,1,0)</f>
        <v>0</v>
      </c>
      <c r="G1443">
        <f>IF(COUNTIFS('United Data'!$A$3:$A$3390,G$1,'United Data'!$C$3:$C$3390,$A1443,'United Data'!$B$3:$B$3390,"&lt;&gt;Off-street")&gt;0,1,0)</f>
        <v>0</v>
      </c>
      <c r="H1443">
        <f>IF(COUNTIFS('United Data'!$A$3:$A$3390,H$1,'United Data'!$C$3:$C$3390,$A1443,'United Data'!$B$3:$B$3390,"&lt;&gt;Off-street")&gt;0,1,0)</f>
        <v>1</v>
      </c>
      <c r="I1443">
        <f>IF(COUNTIFS('United Data'!$A$3:$A$3390,I$1,'United Data'!$C$3:$C$3390,$A1443,'United Data'!$B$3:$B$3390,"&lt;&gt;Off-street")&gt;0,1,0)</f>
        <v>0</v>
      </c>
      <c r="J1443">
        <f>IF(COUNTIFS('United Data'!$A$3:$A$3390,J$1,'United Data'!$C$3:$C$3390,$A1443,'United Data'!$B$3:$B$3390,"&lt;&gt;Off-street")&gt;0,1,0)</f>
        <v>0</v>
      </c>
      <c r="K1443">
        <f>IF(COUNTIFS('United Data'!$A$3:$A$3390,K$1,'United Data'!$C$3:$C$3390,$A1443,'United Data'!$B$3:$B$3390,"&lt;&gt;Off-street")&gt;0,1,0)</f>
        <v>0</v>
      </c>
      <c r="L1443">
        <f>IF(COUNTIFS('United Data'!$A$3:$A$3390,L$1,'United Data'!$C$3:$C$3390,$A1443,'United Data'!$B$3:$B$3390,"&lt;&gt;Off-street")&gt;0,1,0)</f>
        <v>0</v>
      </c>
      <c r="M1443">
        <f>IF(COUNTIFS('United Data'!$A$3:$A$3390,M$1,'United Data'!$C$3:$C$3390,$A1443,'United Data'!$B$3:$B$3390,"&lt;&gt;Off-street")&gt;0,1,0)</f>
        <v>0</v>
      </c>
      <c r="N1443">
        <f>IF(COUNTIFS('United Data'!$A$3:$A$3390,N$1,'United Data'!$C$3:$C$3390,$A1443,'United Data'!$B$3:$B$3390,"&lt;&gt;Off-street")&gt;0,1,0)</f>
        <v>0</v>
      </c>
      <c r="O1443">
        <f>IF(COUNTIFS('United Data'!$A$3:$A$3390,O$1,'United Data'!$C$3:$C$3390,$A1443,'United Data'!$B$3:$B$3390,"&lt;&gt;Off-street")&gt;0,1,0)</f>
        <v>0</v>
      </c>
      <c r="P1443">
        <f>IF(COUNTIFS('United Data'!$A$3:$A$3390,P$1,'United Data'!$C$3:$C$3390,$A1443,'United Data'!$B$3:$B$3390,"&lt;&gt;Off-street")&gt;0,1,0)</f>
        <v>0</v>
      </c>
      <c r="Q1443">
        <f>IF(COUNTIFS('United Data'!$A$3:$A$3390,Q$1,'United Data'!$C$3:$C$3390,$A1443,'United Data'!$B$3:$B$3390,"&lt;&gt;Off-street")&gt;0,1,0)</f>
        <v>0</v>
      </c>
      <c r="R1443">
        <f>IF(COUNTIFS('United Data'!$A$3:$A$3390,R$1,'United Data'!$C$3:$C$3390,$A1443,'United Data'!$B$3:$B$3390,"&lt;&gt;Off-street")&gt;0,1,0)</f>
        <v>0</v>
      </c>
      <c r="S1443">
        <f t="shared" si="44"/>
        <v>1</v>
      </c>
      <c r="T1443">
        <f t="shared" si="45"/>
        <v>1</v>
      </c>
    </row>
    <row r="1444" spans="1:20" x14ac:dyDescent="0.2">
      <c r="A1444" t="s">
        <v>1713</v>
      </c>
      <c r="B1444">
        <f>IF(COUNTIFS('United Data'!$A$3:$A$3390,B$1,'United Data'!$C$3:$C$3390,$A1444,'United Data'!$B$3:$B$3390,"&lt;&gt;Off-street")&gt;0,1,0)</f>
        <v>0</v>
      </c>
      <c r="C1444">
        <f>IF(COUNTIFS('United Data'!$A$3:$A$3390,C$1,'United Data'!$C$3:$C$3390,$A1444,'United Data'!$B$3:$B$3390,"&lt;&gt;Off-street")&gt;0,1,0)</f>
        <v>0</v>
      </c>
      <c r="D1444">
        <f>IF(COUNTIFS('United Data'!$A$3:$A$3390,D$1,'United Data'!$C$3:$C$3390,$A1444,'United Data'!$B$3:$B$3390,"&lt;&gt;Off-street")&gt;0,1,0)</f>
        <v>0</v>
      </c>
      <c r="E1444">
        <f>IF(COUNTIFS('United Data'!$A$3:$A$3390,E$1,'United Data'!$C$3:$C$3390,$A1444,'United Data'!$B$3:$B$3390,"&lt;&gt;Off-street")&gt;0,1,0)</f>
        <v>0</v>
      </c>
      <c r="F1444">
        <f>IF(COUNTIFS('United Data'!$A$3:$A$3390,F$1,'United Data'!$C$3:$C$3390,$A1444,'United Data'!$B$3:$B$3390,"&lt;&gt;Off-street")&gt;0,1,0)</f>
        <v>0</v>
      </c>
      <c r="G1444">
        <f>IF(COUNTIFS('United Data'!$A$3:$A$3390,G$1,'United Data'!$C$3:$C$3390,$A1444,'United Data'!$B$3:$B$3390,"&lt;&gt;Off-street")&gt;0,1,0)</f>
        <v>0</v>
      </c>
      <c r="H1444">
        <f>IF(COUNTIFS('United Data'!$A$3:$A$3390,H$1,'United Data'!$C$3:$C$3390,$A1444,'United Data'!$B$3:$B$3390,"&lt;&gt;Off-street")&gt;0,1,0)</f>
        <v>1</v>
      </c>
      <c r="I1444">
        <f>IF(COUNTIFS('United Data'!$A$3:$A$3390,I$1,'United Data'!$C$3:$C$3390,$A1444,'United Data'!$B$3:$B$3390,"&lt;&gt;Off-street")&gt;0,1,0)</f>
        <v>0</v>
      </c>
      <c r="J1444">
        <f>IF(COUNTIFS('United Data'!$A$3:$A$3390,J$1,'United Data'!$C$3:$C$3390,$A1444,'United Data'!$B$3:$B$3390,"&lt;&gt;Off-street")&gt;0,1,0)</f>
        <v>0</v>
      </c>
      <c r="K1444">
        <f>IF(COUNTIFS('United Data'!$A$3:$A$3390,K$1,'United Data'!$C$3:$C$3390,$A1444,'United Data'!$B$3:$B$3390,"&lt;&gt;Off-street")&gt;0,1,0)</f>
        <v>0</v>
      </c>
      <c r="L1444">
        <f>IF(COUNTIFS('United Data'!$A$3:$A$3390,L$1,'United Data'!$C$3:$C$3390,$A1444,'United Data'!$B$3:$B$3390,"&lt;&gt;Off-street")&gt;0,1,0)</f>
        <v>0</v>
      </c>
      <c r="M1444">
        <f>IF(COUNTIFS('United Data'!$A$3:$A$3390,M$1,'United Data'!$C$3:$C$3390,$A1444,'United Data'!$B$3:$B$3390,"&lt;&gt;Off-street")&gt;0,1,0)</f>
        <v>0</v>
      </c>
      <c r="N1444">
        <f>IF(COUNTIFS('United Data'!$A$3:$A$3390,N$1,'United Data'!$C$3:$C$3390,$A1444,'United Data'!$B$3:$B$3390,"&lt;&gt;Off-street")&gt;0,1,0)</f>
        <v>0</v>
      </c>
      <c r="O1444">
        <f>IF(COUNTIFS('United Data'!$A$3:$A$3390,O$1,'United Data'!$C$3:$C$3390,$A1444,'United Data'!$B$3:$B$3390,"&lt;&gt;Off-street")&gt;0,1,0)</f>
        <v>0</v>
      </c>
      <c r="P1444">
        <f>IF(COUNTIFS('United Data'!$A$3:$A$3390,P$1,'United Data'!$C$3:$C$3390,$A1444,'United Data'!$B$3:$B$3390,"&lt;&gt;Off-street")&gt;0,1,0)</f>
        <v>0</v>
      </c>
      <c r="Q1444">
        <f>IF(COUNTIFS('United Data'!$A$3:$A$3390,Q$1,'United Data'!$C$3:$C$3390,$A1444,'United Data'!$B$3:$B$3390,"&lt;&gt;Off-street")&gt;0,1,0)</f>
        <v>0</v>
      </c>
      <c r="R1444">
        <f>IF(COUNTIFS('United Data'!$A$3:$A$3390,R$1,'United Data'!$C$3:$C$3390,$A1444,'United Data'!$B$3:$B$3390,"&lt;&gt;Off-street")&gt;0,1,0)</f>
        <v>0</v>
      </c>
      <c r="S1444">
        <f t="shared" si="44"/>
        <v>1</v>
      </c>
      <c r="T1444">
        <f t="shared" si="45"/>
        <v>1</v>
      </c>
    </row>
    <row r="1445" spans="1:20" x14ac:dyDescent="0.2">
      <c r="A1445" t="s">
        <v>1714</v>
      </c>
      <c r="B1445">
        <f>IF(COUNTIFS('United Data'!$A$3:$A$3390,B$1,'United Data'!$C$3:$C$3390,$A1445,'United Data'!$B$3:$B$3390,"&lt;&gt;Off-street")&gt;0,1,0)</f>
        <v>0</v>
      </c>
      <c r="C1445">
        <f>IF(COUNTIFS('United Data'!$A$3:$A$3390,C$1,'United Data'!$C$3:$C$3390,$A1445,'United Data'!$B$3:$B$3390,"&lt;&gt;Off-street")&gt;0,1,0)</f>
        <v>0</v>
      </c>
      <c r="D1445">
        <f>IF(COUNTIFS('United Data'!$A$3:$A$3390,D$1,'United Data'!$C$3:$C$3390,$A1445,'United Data'!$B$3:$B$3390,"&lt;&gt;Off-street")&gt;0,1,0)</f>
        <v>0</v>
      </c>
      <c r="E1445">
        <f>IF(COUNTIFS('United Data'!$A$3:$A$3390,E$1,'United Data'!$C$3:$C$3390,$A1445,'United Data'!$B$3:$B$3390,"&lt;&gt;Off-street")&gt;0,1,0)</f>
        <v>0</v>
      </c>
      <c r="F1445">
        <f>IF(COUNTIFS('United Data'!$A$3:$A$3390,F$1,'United Data'!$C$3:$C$3390,$A1445,'United Data'!$B$3:$B$3390,"&lt;&gt;Off-street")&gt;0,1,0)</f>
        <v>0</v>
      </c>
      <c r="G1445">
        <f>IF(COUNTIFS('United Data'!$A$3:$A$3390,G$1,'United Data'!$C$3:$C$3390,$A1445,'United Data'!$B$3:$B$3390,"&lt;&gt;Off-street")&gt;0,1,0)</f>
        <v>0</v>
      </c>
      <c r="H1445">
        <f>IF(COUNTIFS('United Data'!$A$3:$A$3390,H$1,'United Data'!$C$3:$C$3390,$A1445,'United Data'!$B$3:$B$3390,"&lt;&gt;Off-street")&gt;0,1,0)</f>
        <v>1</v>
      </c>
      <c r="I1445">
        <f>IF(COUNTIFS('United Data'!$A$3:$A$3390,I$1,'United Data'!$C$3:$C$3390,$A1445,'United Data'!$B$3:$B$3390,"&lt;&gt;Off-street")&gt;0,1,0)</f>
        <v>0</v>
      </c>
      <c r="J1445">
        <f>IF(COUNTIFS('United Data'!$A$3:$A$3390,J$1,'United Data'!$C$3:$C$3390,$A1445,'United Data'!$B$3:$B$3390,"&lt;&gt;Off-street")&gt;0,1,0)</f>
        <v>0</v>
      </c>
      <c r="K1445">
        <f>IF(COUNTIFS('United Data'!$A$3:$A$3390,K$1,'United Data'!$C$3:$C$3390,$A1445,'United Data'!$B$3:$B$3390,"&lt;&gt;Off-street")&gt;0,1,0)</f>
        <v>0</v>
      </c>
      <c r="L1445">
        <f>IF(COUNTIFS('United Data'!$A$3:$A$3390,L$1,'United Data'!$C$3:$C$3390,$A1445,'United Data'!$B$3:$B$3390,"&lt;&gt;Off-street")&gt;0,1,0)</f>
        <v>0</v>
      </c>
      <c r="M1445">
        <f>IF(COUNTIFS('United Data'!$A$3:$A$3390,M$1,'United Data'!$C$3:$C$3390,$A1445,'United Data'!$B$3:$B$3390,"&lt;&gt;Off-street")&gt;0,1,0)</f>
        <v>0</v>
      </c>
      <c r="N1445">
        <f>IF(COUNTIFS('United Data'!$A$3:$A$3390,N$1,'United Data'!$C$3:$C$3390,$A1445,'United Data'!$B$3:$B$3390,"&lt;&gt;Off-street")&gt;0,1,0)</f>
        <v>0</v>
      </c>
      <c r="O1445">
        <f>IF(COUNTIFS('United Data'!$A$3:$A$3390,O$1,'United Data'!$C$3:$C$3390,$A1445,'United Data'!$B$3:$B$3390,"&lt;&gt;Off-street")&gt;0,1,0)</f>
        <v>0</v>
      </c>
      <c r="P1445">
        <f>IF(COUNTIFS('United Data'!$A$3:$A$3390,P$1,'United Data'!$C$3:$C$3390,$A1445,'United Data'!$B$3:$B$3390,"&lt;&gt;Off-street")&gt;0,1,0)</f>
        <v>0</v>
      </c>
      <c r="Q1445">
        <f>IF(COUNTIFS('United Data'!$A$3:$A$3390,Q$1,'United Data'!$C$3:$C$3390,$A1445,'United Data'!$B$3:$B$3390,"&lt;&gt;Off-street")&gt;0,1,0)</f>
        <v>0</v>
      </c>
      <c r="R1445">
        <f>IF(COUNTIFS('United Data'!$A$3:$A$3390,R$1,'United Data'!$C$3:$C$3390,$A1445,'United Data'!$B$3:$B$3390,"&lt;&gt;Off-street")&gt;0,1,0)</f>
        <v>0</v>
      </c>
      <c r="S1445">
        <f t="shared" si="44"/>
        <v>1</v>
      </c>
      <c r="T1445">
        <f t="shared" si="45"/>
        <v>1</v>
      </c>
    </row>
    <row r="1446" spans="1:20" x14ac:dyDescent="0.2">
      <c r="A1446" t="s">
        <v>1715</v>
      </c>
      <c r="B1446">
        <f>IF(COUNTIFS('United Data'!$A$3:$A$3390,B$1,'United Data'!$C$3:$C$3390,$A1446,'United Data'!$B$3:$B$3390,"&lt;&gt;Off-street")&gt;0,1,0)</f>
        <v>0</v>
      </c>
      <c r="C1446">
        <f>IF(COUNTIFS('United Data'!$A$3:$A$3390,C$1,'United Data'!$C$3:$C$3390,$A1446,'United Data'!$B$3:$B$3390,"&lt;&gt;Off-street")&gt;0,1,0)</f>
        <v>0</v>
      </c>
      <c r="D1446">
        <f>IF(COUNTIFS('United Data'!$A$3:$A$3390,D$1,'United Data'!$C$3:$C$3390,$A1446,'United Data'!$B$3:$B$3390,"&lt;&gt;Off-street")&gt;0,1,0)</f>
        <v>0</v>
      </c>
      <c r="E1446">
        <f>IF(COUNTIFS('United Data'!$A$3:$A$3390,E$1,'United Data'!$C$3:$C$3390,$A1446,'United Data'!$B$3:$B$3390,"&lt;&gt;Off-street")&gt;0,1,0)</f>
        <v>0</v>
      </c>
      <c r="F1446">
        <f>IF(COUNTIFS('United Data'!$A$3:$A$3390,F$1,'United Data'!$C$3:$C$3390,$A1446,'United Data'!$B$3:$B$3390,"&lt;&gt;Off-street")&gt;0,1,0)</f>
        <v>0</v>
      </c>
      <c r="G1446">
        <f>IF(COUNTIFS('United Data'!$A$3:$A$3390,G$1,'United Data'!$C$3:$C$3390,$A1446,'United Data'!$B$3:$B$3390,"&lt;&gt;Off-street")&gt;0,1,0)</f>
        <v>0</v>
      </c>
      <c r="H1446">
        <f>IF(COUNTIFS('United Data'!$A$3:$A$3390,H$1,'United Data'!$C$3:$C$3390,$A1446,'United Data'!$B$3:$B$3390,"&lt;&gt;Off-street")&gt;0,1,0)</f>
        <v>0</v>
      </c>
      <c r="I1446">
        <f>IF(COUNTIFS('United Data'!$A$3:$A$3390,I$1,'United Data'!$C$3:$C$3390,$A1446,'United Data'!$B$3:$B$3390,"&lt;&gt;Off-street")&gt;0,1,0)</f>
        <v>1</v>
      </c>
      <c r="J1446">
        <f>IF(COUNTIFS('United Data'!$A$3:$A$3390,J$1,'United Data'!$C$3:$C$3390,$A1446,'United Data'!$B$3:$B$3390,"&lt;&gt;Off-street")&gt;0,1,0)</f>
        <v>0</v>
      </c>
      <c r="K1446">
        <f>IF(COUNTIFS('United Data'!$A$3:$A$3390,K$1,'United Data'!$C$3:$C$3390,$A1446,'United Data'!$B$3:$B$3390,"&lt;&gt;Off-street")&gt;0,1,0)</f>
        <v>0</v>
      </c>
      <c r="L1446">
        <f>IF(COUNTIFS('United Data'!$A$3:$A$3390,L$1,'United Data'!$C$3:$C$3390,$A1446,'United Data'!$B$3:$B$3390,"&lt;&gt;Off-street")&gt;0,1,0)</f>
        <v>1</v>
      </c>
      <c r="M1446">
        <f>IF(COUNTIFS('United Data'!$A$3:$A$3390,M$1,'United Data'!$C$3:$C$3390,$A1446,'United Data'!$B$3:$B$3390,"&lt;&gt;Off-street")&gt;0,1,0)</f>
        <v>0</v>
      </c>
      <c r="N1446">
        <f>IF(COUNTIFS('United Data'!$A$3:$A$3390,N$1,'United Data'!$C$3:$C$3390,$A1446,'United Data'!$B$3:$B$3390,"&lt;&gt;Off-street")&gt;0,1,0)</f>
        <v>0</v>
      </c>
      <c r="O1446">
        <f>IF(COUNTIFS('United Data'!$A$3:$A$3390,O$1,'United Data'!$C$3:$C$3390,$A1446,'United Data'!$B$3:$B$3390,"&lt;&gt;Off-street")&gt;0,1,0)</f>
        <v>0</v>
      </c>
      <c r="P1446">
        <f>IF(COUNTIFS('United Data'!$A$3:$A$3390,P$1,'United Data'!$C$3:$C$3390,$A1446,'United Data'!$B$3:$B$3390,"&lt;&gt;Off-street")&gt;0,1,0)</f>
        <v>0</v>
      </c>
      <c r="Q1446">
        <f>IF(COUNTIFS('United Data'!$A$3:$A$3390,Q$1,'United Data'!$C$3:$C$3390,$A1446,'United Data'!$B$3:$B$3390,"&lt;&gt;Off-street")&gt;0,1,0)</f>
        <v>0</v>
      </c>
      <c r="R1446">
        <f>IF(COUNTIFS('United Data'!$A$3:$A$3390,R$1,'United Data'!$C$3:$C$3390,$A1446,'United Data'!$B$3:$B$3390,"&lt;&gt;Off-street")&gt;0,1,0)</f>
        <v>0</v>
      </c>
      <c r="S1446">
        <f t="shared" si="44"/>
        <v>2</v>
      </c>
      <c r="T1446">
        <f t="shared" si="45"/>
        <v>2</v>
      </c>
    </row>
    <row r="1447" spans="1:20" x14ac:dyDescent="0.2">
      <c r="A1447" t="s">
        <v>1716</v>
      </c>
      <c r="B1447">
        <f>IF(COUNTIFS('United Data'!$A$3:$A$3390,B$1,'United Data'!$C$3:$C$3390,$A1447,'United Data'!$B$3:$B$3390,"&lt;&gt;Off-street")&gt;0,1,0)</f>
        <v>0</v>
      </c>
      <c r="C1447">
        <f>IF(COUNTIFS('United Data'!$A$3:$A$3390,C$1,'United Data'!$C$3:$C$3390,$A1447,'United Data'!$B$3:$B$3390,"&lt;&gt;Off-street")&gt;0,1,0)</f>
        <v>0</v>
      </c>
      <c r="D1447">
        <f>IF(COUNTIFS('United Data'!$A$3:$A$3390,D$1,'United Data'!$C$3:$C$3390,$A1447,'United Data'!$B$3:$B$3390,"&lt;&gt;Off-street")&gt;0,1,0)</f>
        <v>0</v>
      </c>
      <c r="E1447">
        <f>IF(COUNTIFS('United Data'!$A$3:$A$3390,E$1,'United Data'!$C$3:$C$3390,$A1447,'United Data'!$B$3:$B$3390,"&lt;&gt;Off-street")&gt;0,1,0)</f>
        <v>0</v>
      </c>
      <c r="F1447">
        <f>IF(COUNTIFS('United Data'!$A$3:$A$3390,F$1,'United Data'!$C$3:$C$3390,$A1447,'United Data'!$B$3:$B$3390,"&lt;&gt;Off-street")&gt;0,1,0)</f>
        <v>0</v>
      </c>
      <c r="G1447">
        <f>IF(COUNTIFS('United Data'!$A$3:$A$3390,G$1,'United Data'!$C$3:$C$3390,$A1447,'United Data'!$B$3:$B$3390,"&lt;&gt;Off-street")&gt;0,1,0)</f>
        <v>0</v>
      </c>
      <c r="H1447">
        <f>IF(COUNTIFS('United Data'!$A$3:$A$3390,H$1,'United Data'!$C$3:$C$3390,$A1447,'United Data'!$B$3:$B$3390,"&lt;&gt;Off-street")&gt;0,1,0)</f>
        <v>0</v>
      </c>
      <c r="I1447">
        <f>IF(COUNTIFS('United Data'!$A$3:$A$3390,I$1,'United Data'!$C$3:$C$3390,$A1447,'United Data'!$B$3:$B$3390,"&lt;&gt;Off-street")&gt;0,1,0)</f>
        <v>1</v>
      </c>
      <c r="J1447">
        <f>IF(COUNTIFS('United Data'!$A$3:$A$3390,J$1,'United Data'!$C$3:$C$3390,$A1447,'United Data'!$B$3:$B$3390,"&lt;&gt;Off-street")&gt;0,1,0)</f>
        <v>0</v>
      </c>
      <c r="K1447">
        <f>IF(COUNTIFS('United Data'!$A$3:$A$3390,K$1,'United Data'!$C$3:$C$3390,$A1447,'United Data'!$B$3:$B$3390,"&lt;&gt;Off-street")&gt;0,1,0)</f>
        <v>0</v>
      </c>
      <c r="L1447">
        <f>IF(COUNTIFS('United Data'!$A$3:$A$3390,L$1,'United Data'!$C$3:$C$3390,$A1447,'United Data'!$B$3:$B$3390,"&lt;&gt;Off-street")&gt;0,1,0)</f>
        <v>1</v>
      </c>
      <c r="M1447">
        <f>IF(COUNTIFS('United Data'!$A$3:$A$3390,M$1,'United Data'!$C$3:$C$3390,$A1447,'United Data'!$B$3:$B$3390,"&lt;&gt;Off-street")&gt;0,1,0)</f>
        <v>0</v>
      </c>
      <c r="N1447">
        <f>IF(COUNTIFS('United Data'!$A$3:$A$3390,N$1,'United Data'!$C$3:$C$3390,$A1447,'United Data'!$B$3:$B$3390,"&lt;&gt;Off-street")&gt;0,1,0)</f>
        <v>0</v>
      </c>
      <c r="O1447">
        <f>IF(COUNTIFS('United Data'!$A$3:$A$3390,O$1,'United Data'!$C$3:$C$3390,$A1447,'United Data'!$B$3:$B$3390,"&lt;&gt;Off-street")&gt;0,1,0)</f>
        <v>0</v>
      </c>
      <c r="P1447">
        <f>IF(COUNTIFS('United Data'!$A$3:$A$3390,P$1,'United Data'!$C$3:$C$3390,$A1447,'United Data'!$B$3:$B$3390,"&lt;&gt;Off-street")&gt;0,1,0)</f>
        <v>0</v>
      </c>
      <c r="Q1447">
        <f>IF(COUNTIFS('United Data'!$A$3:$A$3390,Q$1,'United Data'!$C$3:$C$3390,$A1447,'United Data'!$B$3:$B$3390,"&lt;&gt;Off-street")&gt;0,1,0)</f>
        <v>0</v>
      </c>
      <c r="R1447">
        <f>IF(COUNTIFS('United Data'!$A$3:$A$3390,R$1,'United Data'!$C$3:$C$3390,$A1447,'United Data'!$B$3:$B$3390,"&lt;&gt;Off-street")&gt;0,1,0)</f>
        <v>0</v>
      </c>
      <c r="S1447">
        <f t="shared" si="44"/>
        <v>2</v>
      </c>
      <c r="T1447">
        <f t="shared" si="45"/>
        <v>2</v>
      </c>
    </row>
    <row r="1448" spans="1:20" x14ac:dyDescent="0.2">
      <c r="A1448" t="s">
        <v>1717</v>
      </c>
      <c r="B1448">
        <f>IF(COUNTIFS('United Data'!$A$3:$A$3390,B$1,'United Data'!$C$3:$C$3390,$A1448,'United Data'!$B$3:$B$3390,"&lt;&gt;Off-street")&gt;0,1,0)</f>
        <v>0</v>
      </c>
      <c r="C1448">
        <f>IF(COUNTIFS('United Data'!$A$3:$A$3390,C$1,'United Data'!$C$3:$C$3390,$A1448,'United Data'!$B$3:$B$3390,"&lt;&gt;Off-street")&gt;0,1,0)</f>
        <v>0</v>
      </c>
      <c r="D1448">
        <f>IF(COUNTIFS('United Data'!$A$3:$A$3390,D$1,'United Data'!$C$3:$C$3390,$A1448,'United Data'!$B$3:$B$3390,"&lt;&gt;Off-street")&gt;0,1,0)</f>
        <v>0</v>
      </c>
      <c r="E1448">
        <f>IF(COUNTIFS('United Data'!$A$3:$A$3390,E$1,'United Data'!$C$3:$C$3390,$A1448,'United Data'!$B$3:$B$3390,"&lt;&gt;Off-street")&gt;0,1,0)</f>
        <v>0</v>
      </c>
      <c r="F1448">
        <f>IF(COUNTIFS('United Data'!$A$3:$A$3390,F$1,'United Data'!$C$3:$C$3390,$A1448,'United Data'!$B$3:$B$3390,"&lt;&gt;Off-street")&gt;0,1,0)</f>
        <v>0</v>
      </c>
      <c r="G1448">
        <f>IF(COUNTIFS('United Data'!$A$3:$A$3390,G$1,'United Data'!$C$3:$C$3390,$A1448,'United Data'!$B$3:$B$3390,"&lt;&gt;Off-street")&gt;0,1,0)</f>
        <v>0</v>
      </c>
      <c r="H1448">
        <f>IF(COUNTIFS('United Data'!$A$3:$A$3390,H$1,'United Data'!$C$3:$C$3390,$A1448,'United Data'!$B$3:$B$3390,"&lt;&gt;Off-street")&gt;0,1,0)</f>
        <v>0</v>
      </c>
      <c r="I1448">
        <f>IF(COUNTIFS('United Data'!$A$3:$A$3390,I$1,'United Data'!$C$3:$C$3390,$A1448,'United Data'!$B$3:$B$3390,"&lt;&gt;Off-street")&gt;0,1,0)</f>
        <v>1</v>
      </c>
      <c r="J1448">
        <f>IF(COUNTIFS('United Data'!$A$3:$A$3390,J$1,'United Data'!$C$3:$C$3390,$A1448,'United Data'!$B$3:$B$3390,"&lt;&gt;Off-street")&gt;0,1,0)</f>
        <v>0</v>
      </c>
      <c r="K1448">
        <f>IF(COUNTIFS('United Data'!$A$3:$A$3390,K$1,'United Data'!$C$3:$C$3390,$A1448,'United Data'!$B$3:$B$3390,"&lt;&gt;Off-street")&gt;0,1,0)</f>
        <v>0</v>
      </c>
      <c r="L1448">
        <f>IF(COUNTIFS('United Data'!$A$3:$A$3390,L$1,'United Data'!$C$3:$C$3390,$A1448,'United Data'!$B$3:$B$3390,"&lt;&gt;Off-street")&gt;0,1,0)</f>
        <v>0</v>
      </c>
      <c r="M1448">
        <f>IF(COUNTIFS('United Data'!$A$3:$A$3390,M$1,'United Data'!$C$3:$C$3390,$A1448,'United Data'!$B$3:$B$3390,"&lt;&gt;Off-street")&gt;0,1,0)</f>
        <v>0</v>
      </c>
      <c r="N1448">
        <f>IF(COUNTIFS('United Data'!$A$3:$A$3390,N$1,'United Data'!$C$3:$C$3390,$A1448,'United Data'!$B$3:$B$3390,"&lt;&gt;Off-street")&gt;0,1,0)</f>
        <v>0</v>
      </c>
      <c r="O1448">
        <f>IF(COUNTIFS('United Data'!$A$3:$A$3390,O$1,'United Data'!$C$3:$C$3390,$A1448,'United Data'!$B$3:$B$3390,"&lt;&gt;Off-street")&gt;0,1,0)</f>
        <v>0</v>
      </c>
      <c r="P1448">
        <f>IF(COUNTIFS('United Data'!$A$3:$A$3390,P$1,'United Data'!$C$3:$C$3390,$A1448,'United Data'!$B$3:$B$3390,"&lt;&gt;Off-street")&gt;0,1,0)</f>
        <v>0</v>
      </c>
      <c r="Q1448">
        <f>IF(COUNTIFS('United Data'!$A$3:$A$3390,Q$1,'United Data'!$C$3:$C$3390,$A1448,'United Data'!$B$3:$B$3390,"&lt;&gt;Off-street")&gt;0,1,0)</f>
        <v>0</v>
      </c>
      <c r="R1448">
        <f>IF(COUNTIFS('United Data'!$A$3:$A$3390,R$1,'United Data'!$C$3:$C$3390,$A1448,'United Data'!$B$3:$B$3390,"&lt;&gt;Off-street")&gt;0,1,0)</f>
        <v>0</v>
      </c>
      <c r="S1448">
        <f t="shared" si="44"/>
        <v>1</v>
      </c>
      <c r="T1448">
        <f t="shared" si="45"/>
        <v>1</v>
      </c>
    </row>
    <row r="1449" spans="1:20" x14ac:dyDescent="0.2">
      <c r="A1449" t="s">
        <v>1718</v>
      </c>
      <c r="B1449">
        <f>IF(COUNTIFS('United Data'!$A$3:$A$3390,B$1,'United Data'!$C$3:$C$3390,$A1449,'United Data'!$B$3:$B$3390,"&lt;&gt;Off-street")&gt;0,1,0)</f>
        <v>0</v>
      </c>
      <c r="C1449">
        <f>IF(COUNTIFS('United Data'!$A$3:$A$3390,C$1,'United Data'!$C$3:$C$3390,$A1449,'United Data'!$B$3:$B$3390,"&lt;&gt;Off-street")&gt;0,1,0)</f>
        <v>0</v>
      </c>
      <c r="D1449">
        <f>IF(COUNTIFS('United Data'!$A$3:$A$3390,D$1,'United Data'!$C$3:$C$3390,$A1449,'United Data'!$B$3:$B$3390,"&lt;&gt;Off-street")&gt;0,1,0)</f>
        <v>0</v>
      </c>
      <c r="E1449">
        <f>IF(COUNTIFS('United Data'!$A$3:$A$3390,E$1,'United Data'!$C$3:$C$3390,$A1449,'United Data'!$B$3:$B$3390,"&lt;&gt;Off-street")&gt;0,1,0)</f>
        <v>0</v>
      </c>
      <c r="F1449">
        <f>IF(COUNTIFS('United Data'!$A$3:$A$3390,F$1,'United Data'!$C$3:$C$3390,$A1449,'United Data'!$B$3:$B$3390,"&lt;&gt;Off-street")&gt;0,1,0)</f>
        <v>0</v>
      </c>
      <c r="G1449">
        <f>IF(COUNTIFS('United Data'!$A$3:$A$3390,G$1,'United Data'!$C$3:$C$3390,$A1449,'United Data'!$B$3:$B$3390,"&lt;&gt;Off-street")&gt;0,1,0)</f>
        <v>0</v>
      </c>
      <c r="H1449">
        <f>IF(COUNTIFS('United Data'!$A$3:$A$3390,H$1,'United Data'!$C$3:$C$3390,$A1449,'United Data'!$B$3:$B$3390,"&lt;&gt;Off-street")&gt;0,1,0)</f>
        <v>0</v>
      </c>
      <c r="I1449">
        <f>IF(COUNTIFS('United Data'!$A$3:$A$3390,I$1,'United Data'!$C$3:$C$3390,$A1449,'United Data'!$B$3:$B$3390,"&lt;&gt;Off-street")&gt;0,1,0)</f>
        <v>1</v>
      </c>
      <c r="J1449">
        <f>IF(COUNTIFS('United Data'!$A$3:$A$3390,J$1,'United Data'!$C$3:$C$3390,$A1449,'United Data'!$B$3:$B$3390,"&lt;&gt;Off-street")&gt;0,1,0)</f>
        <v>0</v>
      </c>
      <c r="K1449">
        <f>IF(COUNTIFS('United Data'!$A$3:$A$3390,K$1,'United Data'!$C$3:$C$3390,$A1449,'United Data'!$B$3:$B$3390,"&lt;&gt;Off-street")&gt;0,1,0)</f>
        <v>0</v>
      </c>
      <c r="L1449">
        <f>IF(COUNTIFS('United Data'!$A$3:$A$3390,L$1,'United Data'!$C$3:$C$3390,$A1449,'United Data'!$B$3:$B$3390,"&lt;&gt;Off-street")&gt;0,1,0)</f>
        <v>0</v>
      </c>
      <c r="M1449">
        <f>IF(COUNTIFS('United Data'!$A$3:$A$3390,M$1,'United Data'!$C$3:$C$3390,$A1449,'United Data'!$B$3:$B$3390,"&lt;&gt;Off-street")&gt;0,1,0)</f>
        <v>0</v>
      </c>
      <c r="N1449">
        <f>IF(COUNTIFS('United Data'!$A$3:$A$3390,N$1,'United Data'!$C$3:$C$3390,$A1449,'United Data'!$B$3:$B$3390,"&lt;&gt;Off-street")&gt;0,1,0)</f>
        <v>0</v>
      </c>
      <c r="O1449">
        <f>IF(COUNTIFS('United Data'!$A$3:$A$3390,O$1,'United Data'!$C$3:$C$3390,$A1449,'United Data'!$B$3:$B$3390,"&lt;&gt;Off-street")&gt;0,1,0)</f>
        <v>0</v>
      </c>
      <c r="P1449">
        <f>IF(COUNTIFS('United Data'!$A$3:$A$3390,P$1,'United Data'!$C$3:$C$3390,$A1449,'United Data'!$B$3:$B$3390,"&lt;&gt;Off-street")&gt;0,1,0)</f>
        <v>0</v>
      </c>
      <c r="Q1449">
        <f>IF(COUNTIFS('United Data'!$A$3:$A$3390,Q$1,'United Data'!$C$3:$C$3390,$A1449,'United Data'!$B$3:$B$3390,"&lt;&gt;Off-street")&gt;0,1,0)</f>
        <v>0</v>
      </c>
      <c r="R1449">
        <f>IF(COUNTIFS('United Data'!$A$3:$A$3390,R$1,'United Data'!$C$3:$C$3390,$A1449,'United Data'!$B$3:$B$3390,"&lt;&gt;Off-street")&gt;0,1,0)</f>
        <v>0</v>
      </c>
      <c r="S1449">
        <f t="shared" si="44"/>
        <v>1</v>
      </c>
      <c r="T1449">
        <f t="shared" si="45"/>
        <v>1</v>
      </c>
    </row>
    <row r="1450" spans="1:20" x14ac:dyDescent="0.2">
      <c r="A1450" t="s">
        <v>1719</v>
      </c>
      <c r="B1450">
        <f>IF(COUNTIFS('United Data'!$A$3:$A$3390,B$1,'United Data'!$C$3:$C$3390,$A1450,'United Data'!$B$3:$B$3390,"&lt;&gt;Off-street")&gt;0,1,0)</f>
        <v>0</v>
      </c>
      <c r="C1450">
        <f>IF(COUNTIFS('United Data'!$A$3:$A$3390,C$1,'United Data'!$C$3:$C$3390,$A1450,'United Data'!$B$3:$B$3390,"&lt;&gt;Off-street")&gt;0,1,0)</f>
        <v>0</v>
      </c>
      <c r="D1450">
        <f>IF(COUNTIFS('United Data'!$A$3:$A$3390,D$1,'United Data'!$C$3:$C$3390,$A1450,'United Data'!$B$3:$B$3390,"&lt;&gt;Off-street")&gt;0,1,0)</f>
        <v>0</v>
      </c>
      <c r="E1450">
        <f>IF(COUNTIFS('United Data'!$A$3:$A$3390,E$1,'United Data'!$C$3:$C$3390,$A1450,'United Data'!$B$3:$B$3390,"&lt;&gt;Off-street")&gt;0,1,0)</f>
        <v>0</v>
      </c>
      <c r="F1450">
        <f>IF(COUNTIFS('United Data'!$A$3:$A$3390,F$1,'United Data'!$C$3:$C$3390,$A1450,'United Data'!$B$3:$B$3390,"&lt;&gt;Off-street")&gt;0,1,0)</f>
        <v>0</v>
      </c>
      <c r="G1450">
        <f>IF(COUNTIFS('United Data'!$A$3:$A$3390,G$1,'United Data'!$C$3:$C$3390,$A1450,'United Data'!$B$3:$B$3390,"&lt;&gt;Off-street")&gt;0,1,0)</f>
        <v>0</v>
      </c>
      <c r="H1450">
        <f>IF(COUNTIFS('United Data'!$A$3:$A$3390,H$1,'United Data'!$C$3:$C$3390,$A1450,'United Data'!$B$3:$B$3390,"&lt;&gt;Off-street")&gt;0,1,0)</f>
        <v>0</v>
      </c>
      <c r="I1450">
        <f>IF(COUNTIFS('United Data'!$A$3:$A$3390,I$1,'United Data'!$C$3:$C$3390,$A1450,'United Data'!$B$3:$B$3390,"&lt;&gt;Off-street")&gt;0,1,0)</f>
        <v>1</v>
      </c>
      <c r="J1450">
        <f>IF(COUNTIFS('United Data'!$A$3:$A$3390,J$1,'United Data'!$C$3:$C$3390,$A1450,'United Data'!$B$3:$B$3390,"&lt;&gt;Off-street")&gt;0,1,0)</f>
        <v>0</v>
      </c>
      <c r="K1450">
        <f>IF(COUNTIFS('United Data'!$A$3:$A$3390,K$1,'United Data'!$C$3:$C$3390,$A1450,'United Data'!$B$3:$B$3390,"&lt;&gt;Off-street")&gt;0,1,0)</f>
        <v>0</v>
      </c>
      <c r="L1450">
        <f>IF(COUNTIFS('United Data'!$A$3:$A$3390,L$1,'United Data'!$C$3:$C$3390,$A1450,'United Data'!$B$3:$B$3390,"&lt;&gt;Off-street")&gt;0,1,0)</f>
        <v>1</v>
      </c>
      <c r="M1450">
        <f>IF(COUNTIFS('United Data'!$A$3:$A$3390,M$1,'United Data'!$C$3:$C$3390,$A1450,'United Data'!$B$3:$B$3390,"&lt;&gt;Off-street")&gt;0,1,0)</f>
        <v>0</v>
      </c>
      <c r="N1450">
        <f>IF(COUNTIFS('United Data'!$A$3:$A$3390,N$1,'United Data'!$C$3:$C$3390,$A1450,'United Data'!$B$3:$B$3390,"&lt;&gt;Off-street")&gt;0,1,0)</f>
        <v>0</v>
      </c>
      <c r="O1450">
        <f>IF(COUNTIFS('United Data'!$A$3:$A$3390,O$1,'United Data'!$C$3:$C$3390,$A1450,'United Data'!$B$3:$B$3390,"&lt;&gt;Off-street")&gt;0,1,0)</f>
        <v>0</v>
      </c>
      <c r="P1450">
        <f>IF(COUNTIFS('United Data'!$A$3:$A$3390,P$1,'United Data'!$C$3:$C$3390,$A1450,'United Data'!$B$3:$B$3390,"&lt;&gt;Off-street")&gt;0,1,0)</f>
        <v>0</v>
      </c>
      <c r="Q1450">
        <f>IF(COUNTIFS('United Data'!$A$3:$A$3390,Q$1,'United Data'!$C$3:$C$3390,$A1450,'United Data'!$B$3:$B$3390,"&lt;&gt;Off-street")&gt;0,1,0)</f>
        <v>0</v>
      </c>
      <c r="R1450">
        <f>IF(COUNTIFS('United Data'!$A$3:$A$3390,R$1,'United Data'!$C$3:$C$3390,$A1450,'United Data'!$B$3:$B$3390,"&lt;&gt;Off-street")&gt;0,1,0)</f>
        <v>0</v>
      </c>
      <c r="S1450">
        <f t="shared" si="44"/>
        <v>2</v>
      </c>
      <c r="T1450">
        <f t="shared" si="45"/>
        <v>2</v>
      </c>
    </row>
    <row r="1451" spans="1:20" x14ac:dyDescent="0.2">
      <c r="A1451" t="s">
        <v>1720</v>
      </c>
      <c r="B1451">
        <f>IF(COUNTIFS('United Data'!$A$3:$A$3390,B$1,'United Data'!$C$3:$C$3390,$A1451,'United Data'!$B$3:$B$3390,"&lt;&gt;Off-street")&gt;0,1,0)</f>
        <v>0</v>
      </c>
      <c r="C1451">
        <f>IF(COUNTIFS('United Data'!$A$3:$A$3390,C$1,'United Data'!$C$3:$C$3390,$A1451,'United Data'!$B$3:$B$3390,"&lt;&gt;Off-street")&gt;0,1,0)</f>
        <v>0</v>
      </c>
      <c r="D1451">
        <f>IF(COUNTIFS('United Data'!$A$3:$A$3390,D$1,'United Data'!$C$3:$C$3390,$A1451,'United Data'!$B$3:$B$3390,"&lt;&gt;Off-street")&gt;0,1,0)</f>
        <v>0</v>
      </c>
      <c r="E1451">
        <f>IF(COUNTIFS('United Data'!$A$3:$A$3390,E$1,'United Data'!$C$3:$C$3390,$A1451,'United Data'!$B$3:$B$3390,"&lt;&gt;Off-street")&gt;0,1,0)</f>
        <v>0</v>
      </c>
      <c r="F1451">
        <f>IF(COUNTIFS('United Data'!$A$3:$A$3390,F$1,'United Data'!$C$3:$C$3390,$A1451,'United Data'!$B$3:$B$3390,"&lt;&gt;Off-street")&gt;0,1,0)</f>
        <v>0</v>
      </c>
      <c r="G1451">
        <f>IF(COUNTIFS('United Data'!$A$3:$A$3390,G$1,'United Data'!$C$3:$C$3390,$A1451,'United Data'!$B$3:$B$3390,"&lt;&gt;Off-street")&gt;0,1,0)</f>
        <v>0</v>
      </c>
      <c r="H1451">
        <f>IF(COUNTIFS('United Data'!$A$3:$A$3390,H$1,'United Data'!$C$3:$C$3390,$A1451,'United Data'!$B$3:$B$3390,"&lt;&gt;Off-street")&gt;0,1,0)</f>
        <v>0</v>
      </c>
      <c r="I1451">
        <f>IF(COUNTIFS('United Data'!$A$3:$A$3390,I$1,'United Data'!$C$3:$C$3390,$A1451,'United Data'!$B$3:$B$3390,"&lt;&gt;Off-street")&gt;0,1,0)</f>
        <v>1</v>
      </c>
      <c r="J1451">
        <f>IF(COUNTIFS('United Data'!$A$3:$A$3390,J$1,'United Data'!$C$3:$C$3390,$A1451,'United Data'!$B$3:$B$3390,"&lt;&gt;Off-street")&gt;0,1,0)</f>
        <v>0</v>
      </c>
      <c r="K1451">
        <f>IF(COUNTIFS('United Data'!$A$3:$A$3390,K$1,'United Data'!$C$3:$C$3390,$A1451,'United Data'!$B$3:$B$3390,"&lt;&gt;Off-street")&gt;0,1,0)</f>
        <v>0</v>
      </c>
      <c r="L1451">
        <f>IF(COUNTIFS('United Data'!$A$3:$A$3390,L$1,'United Data'!$C$3:$C$3390,$A1451,'United Data'!$B$3:$B$3390,"&lt;&gt;Off-street")&gt;0,1,0)</f>
        <v>1</v>
      </c>
      <c r="M1451">
        <f>IF(COUNTIFS('United Data'!$A$3:$A$3390,M$1,'United Data'!$C$3:$C$3390,$A1451,'United Data'!$B$3:$B$3390,"&lt;&gt;Off-street")&gt;0,1,0)</f>
        <v>0</v>
      </c>
      <c r="N1451">
        <f>IF(COUNTIFS('United Data'!$A$3:$A$3390,N$1,'United Data'!$C$3:$C$3390,$A1451,'United Data'!$B$3:$B$3390,"&lt;&gt;Off-street")&gt;0,1,0)</f>
        <v>0</v>
      </c>
      <c r="O1451">
        <f>IF(COUNTIFS('United Data'!$A$3:$A$3390,O$1,'United Data'!$C$3:$C$3390,$A1451,'United Data'!$B$3:$B$3390,"&lt;&gt;Off-street")&gt;0,1,0)</f>
        <v>0</v>
      </c>
      <c r="P1451">
        <f>IF(COUNTIFS('United Data'!$A$3:$A$3390,P$1,'United Data'!$C$3:$C$3390,$A1451,'United Data'!$B$3:$B$3390,"&lt;&gt;Off-street")&gt;0,1,0)</f>
        <v>0</v>
      </c>
      <c r="Q1451">
        <f>IF(COUNTIFS('United Data'!$A$3:$A$3390,Q$1,'United Data'!$C$3:$C$3390,$A1451,'United Data'!$B$3:$B$3390,"&lt;&gt;Off-street")&gt;0,1,0)</f>
        <v>0</v>
      </c>
      <c r="R1451">
        <f>IF(COUNTIFS('United Data'!$A$3:$A$3390,R$1,'United Data'!$C$3:$C$3390,$A1451,'United Data'!$B$3:$B$3390,"&lt;&gt;Off-street")&gt;0,1,0)</f>
        <v>0</v>
      </c>
      <c r="S1451">
        <f t="shared" si="44"/>
        <v>2</v>
      </c>
      <c r="T1451">
        <f t="shared" si="45"/>
        <v>2</v>
      </c>
    </row>
    <row r="1452" spans="1:20" x14ac:dyDescent="0.2">
      <c r="A1452" t="s">
        <v>1721</v>
      </c>
      <c r="B1452">
        <f>IF(COUNTIFS('United Data'!$A$3:$A$3390,B$1,'United Data'!$C$3:$C$3390,$A1452,'United Data'!$B$3:$B$3390,"&lt;&gt;Off-street")&gt;0,1,0)</f>
        <v>0</v>
      </c>
      <c r="C1452">
        <f>IF(COUNTIFS('United Data'!$A$3:$A$3390,C$1,'United Data'!$C$3:$C$3390,$A1452,'United Data'!$B$3:$B$3390,"&lt;&gt;Off-street")&gt;0,1,0)</f>
        <v>0</v>
      </c>
      <c r="D1452">
        <f>IF(COUNTIFS('United Data'!$A$3:$A$3390,D$1,'United Data'!$C$3:$C$3390,$A1452,'United Data'!$B$3:$B$3390,"&lt;&gt;Off-street")&gt;0,1,0)</f>
        <v>1</v>
      </c>
      <c r="E1452">
        <f>IF(COUNTIFS('United Data'!$A$3:$A$3390,E$1,'United Data'!$C$3:$C$3390,$A1452,'United Data'!$B$3:$B$3390,"&lt;&gt;Off-street")&gt;0,1,0)</f>
        <v>1</v>
      </c>
      <c r="F1452">
        <f>IF(COUNTIFS('United Data'!$A$3:$A$3390,F$1,'United Data'!$C$3:$C$3390,$A1452,'United Data'!$B$3:$B$3390,"&lt;&gt;Off-street")&gt;0,1,0)</f>
        <v>1</v>
      </c>
      <c r="G1452">
        <f>IF(COUNTIFS('United Data'!$A$3:$A$3390,G$1,'United Data'!$C$3:$C$3390,$A1452,'United Data'!$B$3:$B$3390,"&lt;&gt;Off-street")&gt;0,1,0)</f>
        <v>1</v>
      </c>
      <c r="H1452">
        <f>IF(COUNTIFS('United Data'!$A$3:$A$3390,H$1,'United Data'!$C$3:$C$3390,$A1452,'United Data'!$B$3:$B$3390,"&lt;&gt;Off-street")&gt;0,1,0)</f>
        <v>0</v>
      </c>
      <c r="I1452">
        <f>IF(COUNTIFS('United Data'!$A$3:$A$3390,I$1,'United Data'!$C$3:$C$3390,$A1452,'United Data'!$B$3:$B$3390,"&lt;&gt;Off-street")&gt;0,1,0)</f>
        <v>1</v>
      </c>
      <c r="J1452">
        <f>IF(COUNTIFS('United Data'!$A$3:$A$3390,J$1,'United Data'!$C$3:$C$3390,$A1452,'United Data'!$B$3:$B$3390,"&lt;&gt;Off-street")&gt;0,1,0)</f>
        <v>0</v>
      </c>
      <c r="K1452">
        <f>IF(COUNTIFS('United Data'!$A$3:$A$3390,K$1,'United Data'!$C$3:$C$3390,$A1452,'United Data'!$B$3:$B$3390,"&lt;&gt;Off-street")&gt;0,1,0)</f>
        <v>0</v>
      </c>
      <c r="L1452">
        <f>IF(COUNTIFS('United Data'!$A$3:$A$3390,L$1,'United Data'!$C$3:$C$3390,$A1452,'United Data'!$B$3:$B$3390,"&lt;&gt;Off-street")&gt;0,1,0)</f>
        <v>0</v>
      </c>
      <c r="M1452">
        <f>IF(COUNTIFS('United Data'!$A$3:$A$3390,M$1,'United Data'!$C$3:$C$3390,$A1452,'United Data'!$B$3:$B$3390,"&lt;&gt;Off-street")&gt;0,1,0)</f>
        <v>0</v>
      </c>
      <c r="N1452">
        <f>IF(COUNTIFS('United Data'!$A$3:$A$3390,N$1,'United Data'!$C$3:$C$3390,$A1452,'United Data'!$B$3:$B$3390,"&lt;&gt;Off-street")&gt;0,1,0)</f>
        <v>0</v>
      </c>
      <c r="O1452">
        <f>IF(COUNTIFS('United Data'!$A$3:$A$3390,O$1,'United Data'!$C$3:$C$3390,$A1452,'United Data'!$B$3:$B$3390,"&lt;&gt;Off-street")&gt;0,1,0)</f>
        <v>0</v>
      </c>
      <c r="P1452">
        <f>IF(COUNTIFS('United Data'!$A$3:$A$3390,P$1,'United Data'!$C$3:$C$3390,$A1452,'United Data'!$B$3:$B$3390,"&lt;&gt;Off-street")&gt;0,1,0)</f>
        <v>0</v>
      </c>
      <c r="Q1452">
        <f>IF(COUNTIFS('United Data'!$A$3:$A$3390,Q$1,'United Data'!$C$3:$C$3390,$A1452,'United Data'!$B$3:$B$3390,"&lt;&gt;Off-street")&gt;0,1,0)</f>
        <v>0</v>
      </c>
      <c r="R1452">
        <f>IF(COUNTIFS('United Data'!$A$3:$A$3390,R$1,'United Data'!$C$3:$C$3390,$A1452,'United Data'!$B$3:$B$3390,"&lt;&gt;Off-street")&gt;0,1,0)</f>
        <v>0</v>
      </c>
      <c r="S1452">
        <f t="shared" si="44"/>
        <v>5</v>
      </c>
      <c r="T1452">
        <f t="shared" si="45"/>
        <v>2</v>
      </c>
    </row>
    <row r="1453" spans="1:20" x14ac:dyDescent="0.2">
      <c r="A1453" t="s">
        <v>1722</v>
      </c>
      <c r="B1453">
        <f>IF(COUNTIFS('United Data'!$A$3:$A$3390,B$1,'United Data'!$C$3:$C$3390,$A1453,'United Data'!$B$3:$B$3390,"&lt;&gt;Off-street")&gt;0,1,0)</f>
        <v>0</v>
      </c>
      <c r="C1453">
        <f>IF(COUNTIFS('United Data'!$A$3:$A$3390,C$1,'United Data'!$C$3:$C$3390,$A1453,'United Data'!$B$3:$B$3390,"&lt;&gt;Off-street")&gt;0,1,0)</f>
        <v>0</v>
      </c>
      <c r="D1453">
        <f>IF(COUNTIFS('United Data'!$A$3:$A$3390,D$1,'United Data'!$C$3:$C$3390,$A1453,'United Data'!$B$3:$B$3390,"&lt;&gt;Off-street")&gt;0,1,0)</f>
        <v>0</v>
      </c>
      <c r="E1453">
        <f>IF(COUNTIFS('United Data'!$A$3:$A$3390,E$1,'United Data'!$C$3:$C$3390,$A1453,'United Data'!$B$3:$B$3390,"&lt;&gt;Off-street")&gt;0,1,0)</f>
        <v>0</v>
      </c>
      <c r="F1453">
        <f>IF(COUNTIFS('United Data'!$A$3:$A$3390,F$1,'United Data'!$C$3:$C$3390,$A1453,'United Data'!$B$3:$B$3390,"&lt;&gt;Off-street")&gt;0,1,0)</f>
        <v>0</v>
      </c>
      <c r="G1453">
        <f>IF(COUNTIFS('United Data'!$A$3:$A$3390,G$1,'United Data'!$C$3:$C$3390,$A1453,'United Data'!$B$3:$B$3390,"&lt;&gt;Off-street")&gt;0,1,0)</f>
        <v>0</v>
      </c>
      <c r="H1453">
        <f>IF(COUNTIFS('United Data'!$A$3:$A$3390,H$1,'United Data'!$C$3:$C$3390,$A1453,'United Data'!$B$3:$B$3390,"&lt;&gt;Off-street")&gt;0,1,0)</f>
        <v>0</v>
      </c>
      <c r="I1453">
        <f>IF(COUNTIFS('United Data'!$A$3:$A$3390,I$1,'United Data'!$C$3:$C$3390,$A1453,'United Data'!$B$3:$B$3390,"&lt;&gt;Off-street")&gt;0,1,0)</f>
        <v>0</v>
      </c>
      <c r="J1453">
        <f>IF(COUNTIFS('United Data'!$A$3:$A$3390,J$1,'United Data'!$C$3:$C$3390,$A1453,'United Data'!$B$3:$B$3390,"&lt;&gt;Off-street")&gt;0,1,0)</f>
        <v>1</v>
      </c>
      <c r="K1453">
        <f>IF(COUNTIFS('United Data'!$A$3:$A$3390,K$1,'United Data'!$C$3:$C$3390,$A1453,'United Data'!$B$3:$B$3390,"&lt;&gt;Off-street")&gt;0,1,0)</f>
        <v>1</v>
      </c>
      <c r="L1453">
        <f>IF(COUNTIFS('United Data'!$A$3:$A$3390,L$1,'United Data'!$C$3:$C$3390,$A1453,'United Data'!$B$3:$B$3390,"&lt;&gt;Off-street")&gt;0,1,0)</f>
        <v>0</v>
      </c>
      <c r="M1453">
        <f>IF(COUNTIFS('United Data'!$A$3:$A$3390,M$1,'United Data'!$C$3:$C$3390,$A1453,'United Data'!$B$3:$B$3390,"&lt;&gt;Off-street")&gt;0,1,0)</f>
        <v>0</v>
      </c>
      <c r="N1453">
        <f>IF(COUNTIFS('United Data'!$A$3:$A$3390,N$1,'United Data'!$C$3:$C$3390,$A1453,'United Data'!$B$3:$B$3390,"&lt;&gt;Off-street")&gt;0,1,0)</f>
        <v>0</v>
      </c>
      <c r="O1453">
        <f>IF(COUNTIFS('United Data'!$A$3:$A$3390,O$1,'United Data'!$C$3:$C$3390,$A1453,'United Data'!$B$3:$B$3390,"&lt;&gt;Off-street")&gt;0,1,0)</f>
        <v>0</v>
      </c>
      <c r="P1453">
        <f>IF(COUNTIFS('United Data'!$A$3:$A$3390,P$1,'United Data'!$C$3:$C$3390,$A1453,'United Data'!$B$3:$B$3390,"&lt;&gt;Off-street")&gt;0,1,0)</f>
        <v>1</v>
      </c>
      <c r="Q1453">
        <f>IF(COUNTIFS('United Data'!$A$3:$A$3390,Q$1,'United Data'!$C$3:$C$3390,$A1453,'United Data'!$B$3:$B$3390,"&lt;&gt;Off-street")&gt;0,1,0)</f>
        <v>0</v>
      </c>
      <c r="R1453">
        <f>IF(COUNTIFS('United Data'!$A$3:$A$3390,R$1,'United Data'!$C$3:$C$3390,$A1453,'United Data'!$B$3:$B$3390,"&lt;&gt;Off-street")&gt;0,1,0)</f>
        <v>0</v>
      </c>
      <c r="S1453">
        <f t="shared" si="44"/>
        <v>3</v>
      </c>
      <c r="T1453">
        <f t="shared" si="45"/>
        <v>2</v>
      </c>
    </row>
    <row r="1454" spans="1:20" x14ac:dyDescent="0.2">
      <c r="A1454" t="s">
        <v>1723</v>
      </c>
      <c r="B1454">
        <f>IF(COUNTIFS('United Data'!$A$3:$A$3390,B$1,'United Data'!$C$3:$C$3390,$A1454,'United Data'!$B$3:$B$3390,"&lt;&gt;Off-street")&gt;0,1,0)</f>
        <v>0</v>
      </c>
      <c r="C1454">
        <f>IF(COUNTIFS('United Data'!$A$3:$A$3390,C$1,'United Data'!$C$3:$C$3390,$A1454,'United Data'!$B$3:$B$3390,"&lt;&gt;Off-street")&gt;0,1,0)</f>
        <v>0</v>
      </c>
      <c r="D1454">
        <f>IF(COUNTIFS('United Data'!$A$3:$A$3390,D$1,'United Data'!$C$3:$C$3390,$A1454,'United Data'!$B$3:$B$3390,"&lt;&gt;Off-street")&gt;0,1,0)</f>
        <v>0</v>
      </c>
      <c r="E1454">
        <f>IF(COUNTIFS('United Data'!$A$3:$A$3390,E$1,'United Data'!$C$3:$C$3390,$A1454,'United Data'!$B$3:$B$3390,"&lt;&gt;Off-street")&gt;0,1,0)</f>
        <v>0</v>
      </c>
      <c r="F1454">
        <f>IF(COUNTIFS('United Data'!$A$3:$A$3390,F$1,'United Data'!$C$3:$C$3390,$A1454,'United Data'!$B$3:$B$3390,"&lt;&gt;Off-street")&gt;0,1,0)</f>
        <v>0</v>
      </c>
      <c r="G1454">
        <f>IF(COUNTIFS('United Data'!$A$3:$A$3390,G$1,'United Data'!$C$3:$C$3390,$A1454,'United Data'!$B$3:$B$3390,"&lt;&gt;Off-street")&gt;0,1,0)</f>
        <v>0</v>
      </c>
      <c r="H1454">
        <f>IF(COUNTIFS('United Data'!$A$3:$A$3390,H$1,'United Data'!$C$3:$C$3390,$A1454,'United Data'!$B$3:$B$3390,"&lt;&gt;Off-street")&gt;0,1,0)</f>
        <v>0</v>
      </c>
      <c r="I1454">
        <f>IF(COUNTIFS('United Data'!$A$3:$A$3390,I$1,'United Data'!$C$3:$C$3390,$A1454,'United Data'!$B$3:$B$3390,"&lt;&gt;Off-street")&gt;0,1,0)</f>
        <v>0</v>
      </c>
      <c r="J1454">
        <f>IF(COUNTIFS('United Data'!$A$3:$A$3390,J$1,'United Data'!$C$3:$C$3390,$A1454,'United Data'!$B$3:$B$3390,"&lt;&gt;Off-street")&gt;0,1,0)</f>
        <v>1</v>
      </c>
      <c r="K1454">
        <f>IF(COUNTIFS('United Data'!$A$3:$A$3390,K$1,'United Data'!$C$3:$C$3390,$A1454,'United Data'!$B$3:$B$3390,"&lt;&gt;Off-street")&gt;0,1,0)</f>
        <v>0</v>
      </c>
      <c r="L1454">
        <f>IF(COUNTIFS('United Data'!$A$3:$A$3390,L$1,'United Data'!$C$3:$C$3390,$A1454,'United Data'!$B$3:$B$3390,"&lt;&gt;Off-street")&gt;0,1,0)</f>
        <v>0</v>
      </c>
      <c r="M1454">
        <f>IF(COUNTIFS('United Data'!$A$3:$A$3390,M$1,'United Data'!$C$3:$C$3390,$A1454,'United Data'!$B$3:$B$3390,"&lt;&gt;Off-street")&gt;0,1,0)</f>
        <v>0</v>
      </c>
      <c r="N1454">
        <f>IF(COUNTIFS('United Data'!$A$3:$A$3390,N$1,'United Data'!$C$3:$C$3390,$A1454,'United Data'!$B$3:$B$3390,"&lt;&gt;Off-street")&gt;0,1,0)</f>
        <v>0</v>
      </c>
      <c r="O1454">
        <f>IF(COUNTIFS('United Data'!$A$3:$A$3390,O$1,'United Data'!$C$3:$C$3390,$A1454,'United Data'!$B$3:$B$3390,"&lt;&gt;Off-street")&gt;0,1,0)</f>
        <v>1</v>
      </c>
      <c r="P1454">
        <f>IF(COUNTIFS('United Data'!$A$3:$A$3390,P$1,'United Data'!$C$3:$C$3390,$A1454,'United Data'!$B$3:$B$3390,"&lt;&gt;Off-street")&gt;0,1,0)</f>
        <v>0</v>
      </c>
      <c r="Q1454">
        <f>IF(COUNTIFS('United Data'!$A$3:$A$3390,Q$1,'United Data'!$C$3:$C$3390,$A1454,'United Data'!$B$3:$B$3390,"&lt;&gt;Off-street")&gt;0,1,0)</f>
        <v>0</v>
      </c>
      <c r="R1454">
        <f>IF(COUNTIFS('United Data'!$A$3:$A$3390,R$1,'United Data'!$C$3:$C$3390,$A1454,'United Data'!$B$3:$B$3390,"&lt;&gt;Off-street")&gt;0,1,0)</f>
        <v>0</v>
      </c>
      <c r="S1454">
        <f t="shared" si="44"/>
        <v>2</v>
      </c>
      <c r="T1454">
        <f t="shared" si="45"/>
        <v>2</v>
      </c>
    </row>
    <row r="1455" spans="1:20" x14ac:dyDescent="0.2">
      <c r="A1455" t="s">
        <v>1724</v>
      </c>
      <c r="B1455">
        <f>IF(COUNTIFS('United Data'!$A$3:$A$3390,B$1,'United Data'!$C$3:$C$3390,$A1455,'United Data'!$B$3:$B$3390,"&lt;&gt;Off-street")&gt;0,1,0)</f>
        <v>0</v>
      </c>
      <c r="C1455">
        <f>IF(COUNTIFS('United Data'!$A$3:$A$3390,C$1,'United Data'!$C$3:$C$3390,$A1455,'United Data'!$B$3:$B$3390,"&lt;&gt;Off-street")&gt;0,1,0)</f>
        <v>0</v>
      </c>
      <c r="D1455">
        <f>IF(COUNTIFS('United Data'!$A$3:$A$3390,D$1,'United Data'!$C$3:$C$3390,$A1455,'United Data'!$B$3:$B$3390,"&lt;&gt;Off-street")&gt;0,1,0)</f>
        <v>0</v>
      </c>
      <c r="E1455">
        <f>IF(COUNTIFS('United Data'!$A$3:$A$3390,E$1,'United Data'!$C$3:$C$3390,$A1455,'United Data'!$B$3:$B$3390,"&lt;&gt;Off-street")&gt;0,1,0)</f>
        <v>0</v>
      </c>
      <c r="F1455">
        <f>IF(COUNTIFS('United Data'!$A$3:$A$3390,F$1,'United Data'!$C$3:$C$3390,$A1455,'United Data'!$B$3:$B$3390,"&lt;&gt;Off-street")&gt;0,1,0)</f>
        <v>0</v>
      </c>
      <c r="G1455">
        <f>IF(COUNTIFS('United Data'!$A$3:$A$3390,G$1,'United Data'!$C$3:$C$3390,$A1455,'United Data'!$B$3:$B$3390,"&lt;&gt;Off-street")&gt;0,1,0)</f>
        <v>0</v>
      </c>
      <c r="H1455">
        <f>IF(COUNTIFS('United Data'!$A$3:$A$3390,H$1,'United Data'!$C$3:$C$3390,$A1455,'United Data'!$B$3:$B$3390,"&lt;&gt;Off-street")&gt;0,1,0)</f>
        <v>0</v>
      </c>
      <c r="I1455">
        <f>IF(COUNTIFS('United Data'!$A$3:$A$3390,I$1,'United Data'!$C$3:$C$3390,$A1455,'United Data'!$B$3:$B$3390,"&lt;&gt;Off-street")&gt;0,1,0)</f>
        <v>0</v>
      </c>
      <c r="J1455">
        <f>IF(COUNTIFS('United Data'!$A$3:$A$3390,J$1,'United Data'!$C$3:$C$3390,$A1455,'United Data'!$B$3:$B$3390,"&lt;&gt;Off-street")&gt;0,1,0)</f>
        <v>0</v>
      </c>
      <c r="K1455">
        <f>IF(COUNTIFS('United Data'!$A$3:$A$3390,K$1,'United Data'!$C$3:$C$3390,$A1455,'United Data'!$B$3:$B$3390,"&lt;&gt;Off-street")&gt;0,1,0)</f>
        <v>1</v>
      </c>
      <c r="L1455">
        <f>IF(COUNTIFS('United Data'!$A$3:$A$3390,L$1,'United Data'!$C$3:$C$3390,$A1455,'United Data'!$B$3:$B$3390,"&lt;&gt;Off-street")&gt;0,1,0)</f>
        <v>0</v>
      </c>
      <c r="M1455">
        <f>IF(COUNTIFS('United Data'!$A$3:$A$3390,M$1,'United Data'!$C$3:$C$3390,$A1455,'United Data'!$B$3:$B$3390,"&lt;&gt;Off-street")&gt;0,1,0)</f>
        <v>0</v>
      </c>
      <c r="N1455">
        <f>IF(COUNTIFS('United Data'!$A$3:$A$3390,N$1,'United Data'!$C$3:$C$3390,$A1455,'United Data'!$B$3:$B$3390,"&lt;&gt;Off-street")&gt;0,1,0)</f>
        <v>0</v>
      </c>
      <c r="O1455">
        <f>IF(COUNTIFS('United Data'!$A$3:$A$3390,O$1,'United Data'!$C$3:$C$3390,$A1455,'United Data'!$B$3:$B$3390,"&lt;&gt;Off-street")&gt;0,1,0)</f>
        <v>0</v>
      </c>
      <c r="P1455">
        <f>IF(COUNTIFS('United Data'!$A$3:$A$3390,P$1,'United Data'!$C$3:$C$3390,$A1455,'United Data'!$B$3:$B$3390,"&lt;&gt;Off-street")&gt;0,1,0)</f>
        <v>0</v>
      </c>
      <c r="Q1455">
        <f>IF(COUNTIFS('United Data'!$A$3:$A$3390,Q$1,'United Data'!$C$3:$C$3390,$A1455,'United Data'!$B$3:$B$3390,"&lt;&gt;Off-street")&gt;0,1,0)</f>
        <v>0</v>
      </c>
      <c r="R1455">
        <f>IF(COUNTIFS('United Data'!$A$3:$A$3390,R$1,'United Data'!$C$3:$C$3390,$A1455,'United Data'!$B$3:$B$3390,"&lt;&gt;Off-street")&gt;0,1,0)</f>
        <v>0</v>
      </c>
      <c r="S1455">
        <f t="shared" si="44"/>
        <v>1</v>
      </c>
      <c r="T1455">
        <f t="shared" si="45"/>
        <v>1</v>
      </c>
    </row>
    <row r="1456" spans="1:20" x14ac:dyDescent="0.2">
      <c r="A1456" t="s">
        <v>1725</v>
      </c>
      <c r="B1456">
        <f>IF(COUNTIFS('United Data'!$A$3:$A$3390,B$1,'United Data'!$C$3:$C$3390,$A1456,'United Data'!$B$3:$B$3390,"&lt;&gt;Off-street")&gt;0,1,0)</f>
        <v>0</v>
      </c>
      <c r="C1456">
        <f>IF(COUNTIFS('United Data'!$A$3:$A$3390,C$1,'United Data'!$C$3:$C$3390,$A1456,'United Data'!$B$3:$B$3390,"&lt;&gt;Off-street")&gt;0,1,0)</f>
        <v>0</v>
      </c>
      <c r="D1456">
        <f>IF(COUNTIFS('United Data'!$A$3:$A$3390,D$1,'United Data'!$C$3:$C$3390,$A1456,'United Data'!$B$3:$B$3390,"&lt;&gt;Off-street")&gt;0,1,0)</f>
        <v>0</v>
      </c>
      <c r="E1456">
        <f>IF(COUNTIFS('United Data'!$A$3:$A$3390,E$1,'United Data'!$C$3:$C$3390,$A1456,'United Data'!$B$3:$B$3390,"&lt;&gt;Off-street")&gt;0,1,0)</f>
        <v>0</v>
      </c>
      <c r="F1456">
        <f>IF(COUNTIFS('United Data'!$A$3:$A$3390,F$1,'United Data'!$C$3:$C$3390,$A1456,'United Data'!$B$3:$B$3390,"&lt;&gt;Off-street")&gt;0,1,0)</f>
        <v>0</v>
      </c>
      <c r="G1456">
        <f>IF(COUNTIFS('United Data'!$A$3:$A$3390,G$1,'United Data'!$C$3:$C$3390,$A1456,'United Data'!$B$3:$B$3390,"&lt;&gt;Off-street")&gt;0,1,0)</f>
        <v>0</v>
      </c>
      <c r="H1456">
        <f>IF(COUNTIFS('United Data'!$A$3:$A$3390,H$1,'United Data'!$C$3:$C$3390,$A1456,'United Data'!$B$3:$B$3390,"&lt;&gt;Off-street")&gt;0,1,0)</f>
        <v>0</v>
      </c>
      <c r="I1456">
        <f>IF(COUNTIFS('United Data'!$A$3:$A$3390,I$1,'United Data'!$C$3:$C$3390,$A1456,'United Data'!$B$3:$B$3390,"&lt;&gt;Off-street")&gt;0,1,0)</f>
        <v>0</v>
      </c>
      <c r="J1456">
        <f>IF(COUNTIFS('United Data'!$A$3:$A$3390,J$1,'United Data'!$C$3:$C$3390,$A1456,'United Data'!$B$3:$B$3390,"&lt;&gt;Off-street")&gt;0,1,0)</f>
        <v>0</v>
      </c>
      <c r="K1456">
        <f>IF(COUNTIFS('United Data'!$A$3:$A$3390,K$1,'United Data'!$C$3:$C$3390,$A1456,'United Data'!$B$3:$B$3390,"&lt;&gt;Off-street")&gt;0,1,0)</f>
        <v>1</v>
      </c>
      <c r="L1456">
        <f>IF(COUNTIFS('United Data'!$A$3:$A$3390,L$1,'United Data'!$C$3:$C$3390,$A1456,'United Data'!$B$3:$B$3390,"&lt;&gt;Off-street")&gt;0,1,0)</f>
        <v>0</v>
      </c>
      <c r="M1456">
        <f>IF(COUNTIFS('United Data'!$A$3:$A$3390,M$1,'United Data'!$C$3:$C$3390,$A1456,'United Data'!$B$3:$B$3390,"&lt;&gt;Off-street")&gt;0,1,0)</f>
        <v>0</v>
      </c>
      <c r="N1456">
        <f>IF(COUNTIFS('United Data'!$A$3:$A$3390,N$1,'United Data'!$C$3:$C$3390,$A1456,'United Data'!$B$3:$B$3390,"&lt;&gt;Off-street")&gt;0,1,0)</f>
        <v>0</v>
      </c>
      <c r="O1456">
        <f>IF(COUNTIFS('United Data'!$A$3:$A$3390,O$1,'United Data'!$C$3:$C$3390,$A1456,'United Data'!$B$3:$B$3390,"&lt;&gt;Off-street")&gt;0,1,0)</f>
        <v>0</v>
      </c>
      <c r="P1456">
        <f>IF(COUNTIFS('United Data'!$A$3:$A$3390,P$1,'United Data'!$C$3:$C$3390,$A1456,'United Data'!$B$3:$B$3390,"&lt;&gt;Off-street")&gt;0,1,0)</f>
        <v>0</v>
      </c>
      <c r="Q1456">
        <f>IF(COUNTIFS('United Data'!$A$3:$A$3390,Q$1,'United Data'!$C$3:$C$3390,$A1456,'United Data'!$B$3:$B$3390,"&lt;&gt;Off-street")&gt;0,1,0)</f>
        <v>0</v>
      </c>
      <c r="R1456">
        <f>IF(COUNTIFS('United Data'!$A$3:$A$3390,R$1,'United Data'!$C$3:$C$3390,$A1456,'United Data'!$B$3:$B$3390,"&lt;&gt;Off-street")&gt;0,1,0)</f>
        <v>0</v>
      </c>
      <c r="S1456">
        <f t="shared" si="44"/>
        <v>1</v>
      </c>
      <c r="T1456">
        <f t="shared" si="45"/>
        <v>1</v>
      </c>
    </row>
    <row r="1457" spans="1:20" x14ac:dyDescent="0.2">
      <c r="A1457" t="s">
        <v>1726</v>
      </c>
      <c r="B1457">
        <f>IF(COUNTIFS('United Data'!$A$3:$A$3390,B$1,'United Data'!$C$3:$C$3390,$A1457,'United Data'!$B$3:$B$3390,"&lt;&gt;Off-street")&gt;0,1,0)</f>
        <v>0</v>
      </c>
      <c r="C1457">
        <f>IF(COUNTIFS('United Data'!$A$3:$A$3390,C$1,'United Data'!$C$3:$C$3390,$A1457,'United Data'!$B$3:$B$3390,"&lt;&gt;Off-street")&gt;0,1,0)</f>
        <v>0</v>
      </c>
      <c r="D1457">
        <f>IF(COUNTIFS('United Data'!$A$3:$A$3390,D$1,'United Data'!$C$3:$C$3390,$A1457,'United Data'!$B$3:$B$3390,"&lt;&gt;Off-street")&gt;0,1,0)</f>
        <v>0</v>
      </c>
      <c r="E1457">
        <f>IF(COUNTIFS('United Data'!$A$3:$A$3390,E$1,'United Data'!$C$3:$C$3390,$A1457,'United Data'!$B$3:$B$3390,"&lt;&gt;Off-street")&gt;0,1,0)</f>
        <v>0</v>
      </c>
      <c r="F1457">
        <f>IF(COUNTIFS('United Data'!$A$3:$A$3390,F$1,'United Data'!$C$3:$C$3390,$A1457,'United Data'!$B$3:$B$3390,"&lt;&gt;Off-street")&gt;0,1,0)</f>
        <v>0</v>
      </c>
      <c r="G1457">
        <f>IF(COUNTIFS('United Data'!$A$3:$A$3390,G$1,'United Data'!$C$3:$C$3390,$A1457,'United Data'!$B$3:$B$3390,"&lt;&gt;Off-street")&gt;0,1,0)</f>
        <v>0</v>
      </c>
      <c r="H1457">
        <f>IF(COUNTIFS('United Data'!$A$3:$A$3390,H$1,'United Data'!$C$3:$C$3390,$A1457,'United Data'!$B$3:$B$3390,"&lt;&gt;Off-street")&gt;0,1,0)</f>
        <v>0</v>
      </c>
      <c r="I1457">
        <f>IF(COUNTIFS('United Data'!$A$3:$A$3390,I$1,'United Data'!$C$3:$C$3390,$A1457,'United Data'!$B$3:$B$3390,"&lt;&gt;Off-street")&gt;0,1,0)</f>
        <v>0</v>
      </c>
      <c r="J1457">
        <f>IF(COUNTIFS('United Data'!$A$3:$A$3390,J$1,'United Data'!$C$3:$C$3390,$A1457,'United Data'!$B$3:$B$3390,"&lt;&gt;Off-street")&gt;0,1,0)</f>
        <v>0</v>
      </c>
      <c r="K1457">
        <f>IF(COUNTIFS('United Data'!$A$3:$A$3390,K$1,'United Data'!$C$3:$C$3390,$A1457,'United Data'!$B$3:$B$3390,"&lt;&gt;Off-street")&gt;0,1,0)</f>
        <v>1</v>
      </c>
      <c r="L1457">
        <f>IF(COUNTIFS('United Data'!$A$3:$A$3390,L$1,'United Data'!$C$3:$C$3390,$A1457,'United Data'!$B$3:$B$3390,"&lt;&gt;Off-street")&gt;0,1,0)</f>
        <v>0</v>
      </c>
      <c r="M1457">
        <f>IF(COUNTIFS('United Data'!$A$3:$A$3390,M$1,'United Data'!$C$3:$C$3390,$A1457,'United Data'!$B$3:$B$3390,"&lt;&gt;Off-street")&gt;0,1,0)</f>
        <v>0</v>
      </c>
      <c r="N1457">
        <f>IF(COUNTIFS('United Data'!$A$3:$A$3390,N$1,'United Data'!$C$3:$C$3390,$A1457,'United Data'!$B$3:$B$3390,"&lt;&gt;Off-street")&gt;0,1,0)</f>
        <v>0</v>
      </c>
      <c r="O1457">
        <f>IF(COUNTIFS('United Data'!$A$3:$A$3390,O$1,'United Data'!$C$3:$C$3390,$A1457,'United Data'!$B$3:$B$3390,"&lt;&gt;Off-street")&gt;0,1,0)</f>
        <v>0</v>
      </c>
      <c r="P1457">
        <f>IF(COUNTIFS('United Data'!$A$3:$A$3390,P$1,'United Data'!$C$3:$C$3390,$A1457,'United Data'!$B$3:$B$3390,"&lt;&gt;Off-street")&gt;0,1,0)</f>
        <v>0</v>
      </c>
      <c r="Q1457">
        <f>IF(COUNTIFS('United Data'!$A$3:$A$3390,Q$1,'United Data'!$C$3:$C$3390,$A1457,'United Data'!$B$3:$B$3390,"&lt;&gt;Off-street")&gt;0,1,0)</f>
        <v>0</v>
      </c>
      <c r="R1457">
        <f>IF(COUNTIFS('United Data'!$A$3:$A$3390,R$1,'United Data'!$C$3:$C$3390,$A1457,'United Data'!$B$3:$B$3390,"&lt;&gt;Off-street")&gt;0,1,0)</f>
        <v>0</v>
      </c>
      <c r="S1457">
        <f t="shared" si="44"/>
        <v>1</v>
      </c>
      <c r="T1457">
        <f t="shared" si="45"/>
        <v>1</v>
      </c>
    </row>
    <row r="1458" spans="1:20" x14ac:dyDescent="0.2">
      <c r="A1458" t="s">
        <v>1727</v>
      </c>
      <c r="B1458">
        <f>IF(COUNTIFS('United Data'!$A$3:$A$3390,B$1,'United Data'!$C$3:$C$3390,$A1458,'United Data'!$B$3:$B$3390,"&lt;&gt;Off-street")&gt;0,1,0)</f>
        <v>0</v>
      </c>
      <c r="C1458">
        <f>IF(COUNTIFS('United Data'!$A$3:$A$3390,C$1,'United Data'!$C$3:$C$3390,$A1458,'United Data'!$B$3:$B$3390,"&lt;&gt;Off-street")&gt;0,1,0)</f>
        <v>0</v>
      </c>
      <c r="D1458">
        <f>IF(COUNTIFS('United Data'!$A$3:$A$3390,D$1,'United Data'!$C$3:$C$3390,$A1458,'United Data'!$B$3:$B$3390,"&lt;&gt;Off-street")&gt;0,1,0)</f>
        <v>0</v>
      </c>
      <c r="E1458">
        <f>IF(COUNTIFS('United Data'!$A$3:$A$3390,E$1,'United Data'!$C$3:$C$3390,$A1458,'United Data'!$B$3:$B$3390,"&lt;&gt;Off-street")&gt;0,1,0)</f>
        <v>0</v>
      </c>
      <c r="F1458">
        <f>IF(COUNTIFS('United Data'!$A$3:$A$3390,F$1,'United Data'!$C$3:$C$3390,$A1458,'United Data'!$B$3:$B$3390,"&lt;&gt;Off-street")&gt;0,1,0)</f>
        <v>0</v>
      </c>
      <c r="G1458">
        <f>IF(COUNTIFS('United Data'!$A$3:$A$3390,G$1,'United Data'!$C$3:$C$3390,$A1458,'United Data'!$B$3:$B$3390,"&lt;&gt;Off-street")&gt;0,1,0)</f>
        <v>0</v>
      </c>
      <c r="H1458">
        <f>IF(COUNTIFS('United Data'!$A$3:$A$3390,H$1,'United Data'!$C$3:$C$3390,$A1458,'United Data'!$B$3:$B$3390,"&lt;&gt;Off-street")&gt;0,1,0)</f>
        <v>0</v>
      </c>
      <c r="I1458">
        <f>IF(COUNTIFS('United Data'!$A$3:$A$3390,I$1,'United Data'!$C$3:$C$3390,$A1458,'United Data'!$B$3:$B$3390,"&lt;&gt;Off-street")&gt;0,1,0)</f>
        <v>0</v>
      </c>
      <c r="J1458">
        <f>IF(COUNTIFS('United Data'!$A$3:$A$3390,J$1,'United Data'!$C$3:$C$3390,$A1458,'United Data'!$B$3:$B$3390,"&lt;&gt;Off-street")&gt;0,1,0)</f>
        <v>0</v>
      </c>
      <c r="K1458">
        <f>IF(COUNTIFS('United Data'!$A$3:$A$3390,K$1,'United Data'!$C$3:$C$3390,$A1458,'United Data'!$B$3:$B$3390,"&lt;&gt;Off-street")&gt;0,1,0)</f>
        <v>1</v>
      </c>
      <c r="L1458">
        <f>IF(COUNTIFS('United Data'!$A$3:$A$3390,L$1,'United Data'!$C$3:$C$3390,$A1458,'United Data'!$B$3:$B$3390,"&lt;&gt;Off-street")&gt;0,1,0)</f>
        <v>0</v>
      </c>
      <c r="M1458">
        <f>IF(COUNTIFS('United Data'!$A$3:$A$3390,M$1,'United Data'!$C$3:$C$3390,$A1458,'United Data'!$B$3:$B$3390,"&lt;&gt;Off-street")&gt;0,1,0)</f>
        <v>0</v>
      </c>
      <c r="N1458">
        <f>IF(COUNTIFS('United Data'!$A$3:$A$3390,N$1,'United Data'!$C$3:$C$3390,$A1458,'United Data'!$B$3:$B$3390,"&lt;&gt;Off-street")&gt;0,1,0)</f>
        <v>0</v>
      </c>
      <c r="O1458">
        <f>IF(COUNTIFS('United Data'!$A$3:$A$3390,O$1,'United Data'!$C$3:$C$3390,$A1458,'United Data'!$B$3:$B$3390,"&lt;&gt;Off-street")&gt;0,1,0)</f>
        <v>0</v>
      </c>
      <c r="P1458">
        <f>IF(COUNTIFS('United Data'!$A$3:$A$3390,P$1,'United Data'!$C$3:$C$3390,$A1458,'United Data'!$B$3:$B$3390,"&lt;&gt;Off-street")&gt;0,1,0)</f>
        <v>0</v>
      </c>
      <c r="Q1458">
        <f>IF(COUNTIFS('United Data'!$A$3:$A$3390,Q$1,'United Data'!$C$3:$C$3390,$A1458,'United Data'!$B$3:$B$3390,"&lt;&gt;Off-street")&gt;0,1,0)</f>
        <v>0</v>
      </c>
      <c r="R1458">
        <f>IF(COUNTIFS('United Data'!$A$3:$A$3390,R$1,'United Data'!$C$3:$C$3390,$A1458,'United Data'!$B$3:$B$3390,"&lt;&gt;Off-street")&gt;0,1,0)</f>
        <v>0</v>
      </c>
      <c r="S1458">
        <f t="shared" si="44"/>
        <v>1</v>
      </c>
      <c r="T1458">
        <f t="shared" si="45"/>
        <v>1</v>
      </c>
    </row>
    <row r="1459" spans="1:20" x14ac:dyDescent="0.2">
      <c r="A1459" t="s">
        <v>1728</v>
      </c>
      <c r="B1459">
        <f>IF(COUNTIFS('United Data'!$A$3:$A$3390,B$1,'United Data'!$C$3:$C$3390,$A1459,'United Data'!$B$3:$B$3390,"&lt;&gt;Off-street")&gt;0,1,0)</f>
        <v>0</v>
      </c>
      <c r="C1459">
        <f>IF(COUNTIFS('United Data'!$A$3:$A$3390,C$1,'United Data'!$C$3:$C$3390,$A1459,'United Data'!$B$3:$B$3390,"&lt;&gt;Off-street")&gt;0,1,0)</f>
        <v>0</v>
      </c>
      <c r="D1459">
        <f>IF(COUNTIFS('United Data'!$A$3:$A$3390,D$1,'United Data'!$C$3:$C$3390,$A1459,'United Data'!$B$3:$B$3390,"&lt;&gt;Off-street")&gt;0,1,0)</f>
        <v>0</v>
      </c>
      <c r="E1459">
        <f>IF(COUNTIFS('United Data'!$A$3:$A$3390,E$1,'United Data'!$C$3:$C$3390,$A1459,'United Data'!$B$3:$B$3390,"&lt;&gt;Off-street")&gt;0,1,0)</f>
        <v>0</v>
      </c>
      <c r="F1459">
        <f>IF(COUNTIFS('United Data'!$A$3:$A$3390,F$1,'United Data'!$C$3:$C$3390,$A1459,'United Data'!$B$3:$B$3390,"&lt;&gt;Off-street")&gt;0,1,0)</f>
        <v>0</v>
      </c>
      <c r="G1459">
        <f>IF(COUNTIFS('United Data'!$A$3:$A$3390,G$1,'United Data'!$C$3:$C$3390,$A1459,'United Data'!$B$3:$B$3390,"&lt;&gt;Off-street")&gt;0,1,0)</f>
        <v>0</v>
      </c>
      <c r="H1459">
        <f>IF(COUNTIFS('United Data'!$A$3:$A$3390,H$1,'United Data'!$C$3:$C$3390,$A1459,'United Data'!$B$3:$B$3390,"&lt;&gt;Off-street")&gt;0,1,0)</f>
        <v>0</v>
      </c>
      <c r="I1459">
        <f>IF(COUNTIFS('United Data'!$A$3:$A$3390,I$1,'United Data'!$C$3:$C$3390,$A1459,'United Data'!$B$3:$B$3390,"&lt;&gt;Off-street")&gt;0,1,0)</f>
        <v>0</v>
      </c>
      <c r="J1459">
        <f>IF(COUNTIFS('United Data'!$A$3:$A$3390,J$1,'United Data'!$C$3:$C$3390,$A1459,'United Data'!$B$3:$B$3390,"&lt;&gt;Off-street")&gt;0,1,0)</f>
        <v>0</v>
      </c>
      <c r="K1459">
        <f>IF(COUNTIFS('United Data'!$A$3:$A$3390,K$1,'United Data'!$C$3:$C$3390,$A1459,'United Data'!$B$3:$B$3390,"&lt;&gt;Off-street")&gt;0,1,0)</f>
        <v>1</v>
      </c>
      <c r="L1459">
        <f>IF(COUNTIFS('United Data'!$A$3:$A$3390,L$1,'United Data'!$C$3:$C$3390,$A1459,'United Data'!$B$3:$B$3390,"&lt;&gt;Off-street")&gt;0,1,0)</f>
        <v>0</v>
      </c>
      <c r="M1459">
        <f>IF(COUNTIFS('United Data'!$A$3:$A$3390,M$1,'United Data'!$C$3:$C$3390,$A1459,'United Data'!$B$3:$B$3390,"&lt;&gt;Off-street")&gt;0,1,0)</f>
        <v>0</v>
      </c>
      <c r="N1459">
        <f>IF(COUNTIFS('United Data'!$A$3:$A$3390,N$1,'United Data'!$C$3:$C$3390,$A1459,'United Data'!$B$3:$B$3390,"&lt;&gt;Off-street")&gt;0,1,0)</f>
        <v>0</v>
      </c>
      <c r="O1459">
        <f>IF(COUNTIFS('United Data'!$A$3:$A$3390,O$1,'United Data'!$C$3:$C$3390,$A1459,'United Data'!$B$3:$B$3390,"&lt;&gt;Off-street")&gt;0,1,0)</f>
        <v>0</v>
      </c>
      <c r="P1459">
        <f>IF(COUNTIFS('United Data'!$A$3:$A$3390,P$1,'United Data'!$C$3:$C$3390,$A1459,'United Data'!$B$3:$B$3390,"&lt;&gt;Off-street")&gt;0,1,0)</f>
        <v>0</v>
      </c>
      <c r="Q1459">
        <f>IF(COUNTIFS('United Data'!$A$3:$A$3390,Q$1,'United Data'!$C$3:$C$3390,$A1459,'United Data'!$B$3:$B$3390,"&lt;&gt;Off-street")&gt;0,1,0)</f>
        <v>0</v>
      </c>
      <c r="R1459">
        <f>IF(COUNTIFS('United Data'!$A$3:$A$3390,R$1,'United Data'!$C$3:$C$3390,$A1459,'United Data'!$B$3:$B$3390,"&lt;&gt;Off-street")&gt;0,1,0)</f>
        <v>0</v>
      </c>
      <c r="S1459">
        <f t="shared" si="44"/>
        <v>1</v>
      </c>
      <c r="T1459">
        <f t="shared" si="45"/>
        <v>1</v>
      </c>
    </row>
    <row r="1460" spans="1:20" x14ac:dyDescent="0.2">
      <c r="A1460" t="s">
        <v>1729</v>
      </c>
      <c r="B1460">
        <f>IF(COUNTIFS('United Data'!$A$3:$A$3390,B$1,'United Data'!$C$3:$C$3390,$A1460,'United Data'!$B$3:$B$3390,"&lt;&gt;Off-street")&gt;0,1,0)</f>
        <v>0</v>
      </c>
      <c r="C1460">
        <f>IF(COUNTIFS('United Data'!$A$3:$A$3390,C$1,'United Data'!$C$3:$C$3390,$A1460,'United Data'!$B$3:$B$3390,"&lt;&gt;Off-street")&gt;0,1,0)</f>
        <v>0</v>
      </c>
      <c r="D1460">
        <f>IF(COUNTIFS('United Data'!$A$3:$A$3390,D$1,'United Data'!$C$3:$C$3390,$A1460,'United Data'!$B$3:$B$3390,"&lt;&gt;Off-street")&gt;0,1,0)</f>
        <v>0</v>
      </c>
      <c r="E1460">
        <f>IF(COUNTIFS('United Data'!$A$3:$A$3390,E$1,'United Data'!$C$3:$C$3390,$A1460,'United Data'!$B$3:$B$3390,"&lt;&gt;Off-street")&gt;0,1,0)</f>
        <v>0</v>
      </c>
      <c r="F1460">
        <f>IF(COUNTIFS('United Data'!$A$3:$A$3390,F$1,'United Data'!$C$3:$C$3390,$A1460,'United Data'!$B$3:$B$3390,"&lt;&gt;Off-street")&gt;0,1,0)</f>
        <v>0</v>
      </c>
      <c r="G1460">
        <f>IF(COUNTIFS('United Data'!$A$3:$A$3390,G$1,'United Data'!$C$3:$C$3390,$A1460,'United Data'!$B$3:$B$3390,"&lt;&gt;Off-street")&gt;0,1,0)</f>
        <v>0</v>
      </c>
      <c r="H1460">
        <f>IF(COUNTIFS('United Data'!$A$3:$A$3390,H$1,'United Data'!$C$3:$C$3390,$A1460,'United Data'!$B$3:$B$3390,"&lt;&gt;Off-street")&gt;0,1,0)</f>
        <v>0</v>
      </c>
      <c r="I1460">
        <f>IF(COUNTIFS('United Data'!$A$3:$A$3390,I$1,'United Data'!$C$3:$C$3390,$A1460,'United Data'!$B$3:$B$3390,"&lt;&gt;Off-street")&gt;0,1,0)</f>
        <v>0</v>
      </c>
      <c r="J1460">
        <f>IF(COUNTIFS('United Data'!$A$3:$A$3390,J$1,'United Data'!$C$3:$C$3390,$A1460,'United Data'!$B$3:$B$3390,"&lt;&gt;Off-street")&gt;0,1,0)</f>
        <v>0</v>
      </c>
      <c r="K1460">
        <f>IF(COUNTIFS('United Data'!$A$3:$A$3390,K$1,'United Data'!$C$3:$C$3390,$A1460,'United Data'!$B$3:$B$3390,"&lt;&gt;Off-street")&gt;0,1,0)</f>
        <v>1</v>
      </c>
      <c r="L1460">
        <f>IF(COUNTIFS('United Data'!$A$3:$A$3390,L$1,'United Data'!$C$3:$C$3390,$A1460,'United Data'!$B$3:$B$3390,"&lt;&gt;Off-street")&gt;0,1,0)</f>
        <v>0</v>
      </c>
      <c r="M1460">
        <f>IF(COUNTIFS('United Data'!$A$3:$A$3390,M$1,'United Data'!$C$3:$C$3390,$A1460,'United Data'!$B$3:$B$3390,"&lt;&gt;Off-street")&gt;0,1,0)</f>
        <v>0</v>
      </c>
      <c r="N1460">
        <f>IF(COUNTIFS('United Data'!$A$3:$A$3390,N$1,'United Data'!$C$3:$C$3390,$A1460,'United Data'!$B$3:$B$3390,"&lt;&gt;Off-street")&gt;0,1,0)</f>
        <v>0</v>
      </c>
      <c r="O1460">
        <f>IF(COUNTIFS('United Data'!$A$3:$A$3390,O$1,'United Data'!$C$3:$C$3390,$A1460,'United Data'!$B$3:$B$3390,"&lt;&gt;Off-street")&gt;0,1,0)</f>
        <v>0</v>
      </c>
      <c r="P1460">
        <f>IF(COUNTIFS('United Data'!$A$3:$A$3390,P$1,'United Data'!$C$3:$C$3390,$A1460,'United Data'!$B$3:$B$3390,"&lt;&gt;Off-street")&gt;0,1,0)</f>
        <v>0</v>
      </c>
      <c r="Q1460">
        <f>IF(COUNTIFS('United Data'!$A$3:$A$3390,Q$1,'United Data'!$C$3:$C$3390,$A1460,'United Data'!$B$3:$B$3390,"&lt;&gt;Off-street")&gt;0,1,0)</f>
        <v>0</v>
      </c>
      <c r="R1460">
        <f>IF(COUNTIFS('United Data'!$A$3:$A$3390,R$1,'United Data'!$C$3:$C$3390,$A1460,'United Data'!$B$3:$B$3390,"&lt;&gt;Off-street")&gt;0,1,0)</f>
        <v>0</v>
      </c>
      <c r="S1460">
        <f t="shared" si="44"/>
        <v>1</v>
      </c>
      <c r="T1460">
        <f t="shared" si="45"/>
        <v>1</v>
      </c>
    </row>
    <row r="1461" spans="1:20" x14ac:dyDescent="0.2">
      <c r="A1461" t="s">
        <v>1730</v>
      </c>
      <c r="B1461">
        <f>IF(COUNTIFS('United Data'!$A$3:$A$3390,B$1,'United Data'!$C$3:$C$3390,$A1461,'United Data'!$B$3:$B$3390,"&lt;&gt;Off-street")&gt;0,1,0)</f>
        <v>0</v>
      </c>
      <c r="C1461">
        <f>IF(COUNTIFS('United Data'!$A$3:$A$3390,C$1,'United Data'!$C$3:$C$3390,$A1461,'United Data'!$B$3:$B$3390,"&lt;&gt;Off-street")&gt;0,1,0)</f>
        <v>0</v>
      </c>
      <c r="D1461">
        <f>IF(COUNTIFS('United Data'!$A$3:$A$3390,D$1,'United Data'!$C$3:$C$3390,$A1461,'United Data'!$B$3:$B$3390,"&lt;&gt;Off-street")&gt;0,1,0)</f>
        <v>0</v>
      </c>
      <c r="E1461">
        <f>IF(COUNTIFS('United Data'!$A$3:$A$3390,E$1,'United Data'!$C$3:$C$3390,$A1461,'United Data'!$B$3:$B$3390,"&lt;&gt;Off-street")&gt;0,1,0)</f>
        <v>0</v>
      </c>
      <c r="F1461">
        <f>IF(COUNTIFS('United Data'!$A$3:$A$3390,F$1,'United Data'!$C$3:$C$3390,$A1461,'United Data'!$B$3:$B$3390,"&lt;&gt;Off-street")&gt;0,1,0)</f>
        <v>0</v>
      </c>
      <c r="G1461">
        <f>IF(COUNTIFS('United Data'!$A$3:$A$3390,G$1,'United Data'!$C$3:$C$3390,$A1461,'United Data'!$B$3:$B$3390,"&lt;&gt;Off-street")&gt;0,1,0)</f>
        <v>0</v>
      </c>
      <c r="H1461">
        <f>IF(COUNTIFS('United Data'!$A$3:$A$3390,H$1,'United Data'!$C$3:$C$3390,$A1461,'United Data'!$B$3:$B$3390,"&lt;&gt;Off-street")&gt;0,1,0)</f>
        <v>0</v>
      </c>
      <c r="I1461">
        <f>IF(COUNTIFS('United Data'!$A$3:$A$3390,I$1,'United Data'!$C$3:$C$3390,$A1461,'United Data'!$B$3:$B$3390,"&lt;&gt;Off-street")&gt;0,1,0)</f>
        <v>0</v>
      </c>
      <c r="J1461">
        <f>IF(COUNTIFS('United Data'!$A$3:$A$3390,J$1,'United Data'!$C$3:$C$3390,$A1461,'United Data'!$B$3:$B$3390,"&lt;&gt;Off-street")&gt;0,1,0)</f>
        <v>0</v>
      </c>
      <c r="K1461">
        <f>IF(COUNTIFS('United Data'!$A$3:$A$3390,K$1,'United Data'!$C$3:$C$3390,$A1461,'United Data'!$B$3:$B$3390,"&lt;&gt;Off-street")&gt;0,1,0)</f>
        <v>1</v>
      </c>
      <c r="L1461">
        <f>IF(COUNTIFS('United Data'!$A$3:$A$3390,L$1,'United Data'!$C$3:$C$3390,$A1461,'United Data'!$B$3:$B$3390,"&lt;&gt;Off-street")&gt;0,1,0)</f>
        <v>0</v>
      </c>
      <c r="M1461">
        <f>IF(COUNTIFS('United Data'!$A$3:$A$3390,M$1,'United Data'!$C$3:$C$3390,$A1461,'United Data'!$B$3:$B$3390,"&lt;&gt;Off-street")&gt;0,1,0)</f>
        <v>0</v>
      </c>
      <c r="N1461">
        <f>IF(COUNTIFS('United Data'!$A$3:$A$3390,N$1,'United Data'!$C$3:$C$3390,$A1461,'United Data'!$B$3:$B$3390,"&lt;&gt;Off-street")&gt;0,1,0)</f>
        <v>0</v>
      </c>
      <c r="O1461">
        <f>IF(COUNTIFS('United Data'!$A$3:$A$3390,O$1,'United Data'!$C$3:$C$3390,$A1461,'United Data'!$B$3:$B$3390,"&lt;&gt;Off-street")&gt;0,1,0)</f>
        <v>0</v>
      </c>
      <c r="P1461">
        <f>IF(COUNTIFS('United Data'!$A$3:$A$3390,P$1,'United Data'!$C$3:$C$3390,$A1461,'United Data'!$B$3:$B$3390,"&lt;&gt;Off-street")&gt;0,1,0)</f>
        <v>0</v>
      </c>
      <c r="Q1461">
        <f>IF(COUNTIFS('United Data'!$A$3:$A$3390,Q$1,'United Data'!$C$3:$C$3390,$A1461,'United Data'!$B$3:$B$3390,"&lt;&gt;Off-street")&gt;0,1,0)</f>
        <v>0</v>
      </c>
      <c r="R1461">
        <f>IF(COUNTIFS('United Data'!$A$3:$A$3390,R$1,'United Data'!$C$3:$C$3390,$A1461,'United Data'!$B$3:$B$3390,"&lt;&gt;Off-street")&gt;0,1,0)</f>
        <v>0</v>
      </c>
      <c r="S1461">
        <f t="shared" si="44"/>
        <v>1</v>
      </c>
      <c r="T1461">
        <f t="shared" si="45"/>
        <v>1</v>
      </c>
    </row>
    <row r="1462" spans="1:20" x14ac:dyDescent="0.2">
      <c r="A1462" t="s">
        <v>1731</v>
      </c>
      <c r="B1462">
        <f>IF(COUNTIFS('United Data'!$A$3:$A$3390,B$1,'United Data'!$C$3:$C$3390,$A1462,'United Data'!$B$3:$B$3390,"&lt;&gt;Off-street")&gt;0,1,0)</f>
        <v>0</v>
      </c>
      <c r="C1462">
        <f>IF(COUNTIFS('United Data'!$A$3:$A$3390,C$1,'United Data'!$C$3:$C$3390,$A1462,'United Data'!$B$3:$B$3390,"&lt;&gt;Off-street")&gt;0,1,0)</f>
        <v>0</v>
      </c>
      <c r="D1462">
        <f>IF(COUNTIFS('United Data'!$A$3:$A$3390,D$1,'United Data'!$C$3:$C$3390,$A1462,'United Data'!$B$3:$B$3390,"&lt;&gt;Off-street")&gt;0,1,0)</f>
        <v>0</v>
      </c>
      <c r="E1462">
        <f>IF(COUNTIFS('United Data'!$A$3:$A$3390,E$1,'United Data'!$C$3:$C$3390,$A1462,'United Data'!$B$3:$B$3390,"&lt;&gt;Off-street")&gt;0,1,0)</f>
        <v>0</v>
      </c>
      <c r="F1462">
        <f>IF(COUNTIFS('United Data'!$A$3:$A$3390,F$1,'United Data'!$C$3:$C$3390,$A1462,'United Data'!$B$3:$B$3390,"&lt;&gt;Off-street")&gt;0,1,0)</f>
        <v>0</v>
      </c>
      <c r="G1462">
        <f>IF(COUNTIFS('United Data'!$A$3:$A$3390,G$1,'United Data'!$C$3:$C$3390,$A1462,'United Data'!$B$3:$B$3390,"&lt;&gt;Off-street")&gt;0,1,0)</f>
        <v>0</v>
      </c>
      <c r="H1462">
        <f>IF(COUNTIFS('United Data'!$A$3:$A$3390,H$1,'United Data'!$C$3:$C$3390,$A1462,'United Data'!$B$3:$B$3390,"&lt;&gt;Off-street")&gt;0,1,0)</f>
        <v>0</v>
      </c>
      <c r="I1462">
        <f>IF(COUNTIFS('United Data'!$A$3:$A$3390,I$1,'United Data'!$C$3:$C$3390,$A1462,'United Data'!$B$3:$B$3390,"&lt;&gt;Off-street")&gt;0,1,0)</f>
        <v>0</v>
      </c>
      <c r="J1462">
        <f>IF(COUNTIFS('United Data'!$A$3:$A$3390,J$1,'United Data'!$C$3:$C$3390,$A1462,'United Data'!$B$3:$B$3390,"&lt;&gt;Off-street")&gt;0,1,0)</f>
        <v>0</v>
      </c>
      <c r="K1462">
        <f>IF(COUNTIFS('United Data'!$A$3:$A$3390,K$1,'United Data'!$C$3:$C$3390,$A1462,'United Data'!$B$3:$B$3390,"&lt;&gt;Off-street")&gt;0,1,0)</f>
        <v>1</v>
      </c>
      <c r="L1462">
        <f>IF(COUNTIFS('United Data'!$A$3:$A$3390,L$1,'United Data'!$C$3:$C$3390,$A1462,'United Data'!$B$3:$B$3390,"&lt;&gt;Off-street")&gt;0,1,0)</f>
        <v>0</v>
      </c>
      <c r="M1462">
        <f>IF(COUNTIFS('United Data'!$A$3:$A$3390,M$1,'United Data'!$C$3:$C$3390,$A1462,'United Data'!$B$3:$B$3390,"&lt;&gt;Off-street")&gt;0,1,0)</f>
        <v>1</v>
      </c>
      <c r="N1462">
        <f>IF(COUNTIFS('United Data'!$A$3:$A$3390,N$1,'United Data'!$C$3:$C$3390,$A1462,'United Data'!$B$3:$B$3390,"&lt;&gt;Off-street")&gt;0,1,0)</f>
        <v>0</v>
      </c>
      <c r="O1462">
        <f>IF(COUNTIFS('United Data'!$A$3:$A$3390,O$1,'United Data'!$C$3:$C$3390,$A1462,'United Data'!$B$3:$B$3390,"&lt;&gt;Off-street")&gt;0,1,0)</f>
        <v>0</v>
      </c>
      <c r="P1462">
        <f>IF(COUNTIFS('United Data'!$A$3:$A$3390,P$1,'United Data'!$C$3:$C$3390,$A1462,'United Data'!$B$3:$B$3390,"&lt;&gt;Off-street")&gt;0,1,0)</f>
        <v>0</v>
      </c>
      <c r="Q1462">
        <f>IF(COUNTIFS('United Data'!$A$3:$A$3390,Q$1,'United Data'!$C$3:$C$3390,$A1462,'United Data'!$B$3:$B$3390,"&lt;&gt;Off-street")&gt;0,1,0)</f>
        <v>0</v>
      </c>
      <c r="R1462">
        <f>IF(COUNTIFS('United Data'!$A$3:$A$3390,R$1,'United Data'!$C$3:$C$3390,$A1462,'United Data'!$B$3:$B$3390,"&lt;&gt;Off-street")&gt;0,1,0)</f>
        <v>0</v>
      </c>
      <c r="S1462">
        <f t="shared" si="44"/>
        <v>2</v>
      </c>
      <c r="T1462">
        <f t="shared" si="45"/>
        <v>2</v>
      </c>
    </row>
    <row r="1463" spans="1:20" x14ac:dyDescent="0.2">
      <c r="A1463" t="s">
        <v>1732</v>
      </c>
      <c r="B1463">
        <f>IF(COUNTIFS('United Data'!$A$3:$A$3390,B$1,'United Data'!$C$3:$C$3390,$A1463,'United Data'!$B$3:$B$3390,"&lt;&gt;Off-street")&gt;0,1,0)</f>
        <v>0</v>
      </c>
      <c r="C1463">
        <f>IF(COUNTIFS('United Data'!$A$3:$A$3390,C$1,'United Data'!$C$3:$C$3390,$A1463,'United Data'!$B$3:$B$3390,"&lt;&gt;Off-street")&gt;0,1,0)</f>
        <v>0</v>
      </c>
      <c r="D1463">
        <f>IF(COUNTIFS('United Data'!$A$3:$A$3390,D$1,'United Data'!$C$3:$C$3390,$A1463,'United Data'!$B$3:$B$3390,"&lt;&gt;Off-street")&gt;0,1,0)</f>
        <v>0</v>
      </c>
      <c r="E1463">
        <f>IF(COUNTIFS('United Data'!$A$3:$A$3390,E$1,'United Data'!$C$3:$C$3390,$A1463,'United Data'!$B$3:$B$3390,"&lt;&gt;Off-street")&gt;0,1,0)</f>
        <v>0</v>
      </c>
      <c r="F1463">
        <f>IF(COUNTIFS('United Data'!$A$3:$A$3390,F$1,'United Data'!$C$3:$C$3390,$A1463,'United Data'!$B$3:$B$3390,"&lt;&gt;Off-street")&gt;0,1,0)</f>
        <v>0</v>
      </c>
      <c r="G1463">
        <f>IF(COUNTIFS('United Data'!$A$3:$A$3390,G$1,'United Data'!$C$3:$C$3390,$A1463,'United Data'!$B$3:$B$3390,"&lt;&gt;Off-street")&gt;0,1,0)</f>
        <v>0</v>
      </c>
      <c r="H1463">
        <f>IF(COUNTIFS('United Data'!$A$3:$A$3390,H$1,'United Data'!$C$3:$C$3390,$A1463,'United Data'!$B$3:$B$3390,"&lt;&gt;Off-street")&gt;0,1,0)</f>
        <v>0</v>
      </c>
      <c r="I1463">
        <f>IF(COUNTIFS('United Data'!$A$3:$A$3390,I$1,'United Data'!$C$3:$C$3390,$A1463,'United Data'!$B$3:$B$3390,"&lt;&gt;Off-street")&gt;0,1,0)</f>
        <v>0</v>
      </c>
      <c r="J1463">
        <f>IF(COUNTIFS('United Data'!$A$3:$A$3390,J$1,'United Data'!$C$3:$C$3390,$A1463,'United Data'!$B$3:$B$3390,"&lt;&gt;Off-street")&gt;0,1,0)</f>
        <v>0</v>
      </c>
      <c r="K1463">
        <f>IF(COUNTIFS('United Data'!$A$3:$A$3390,K$1,'United Data'!$C$3:$C$3390,$A1463,'United Data'!$B$3:$B$3390,"&lt;&gt;Off-street")&gt;0,1,0)</f>
        <v>1</v>
      </c>
      <c r="L1463">
        <f>IF(COUNTIFS('United Data'!$A$3:$A$3390,L$1,'United Data'!$C$3:$C$3390,$A1463,'United Data'!$B$3:$B$3390,"&lt;&gt;Off-street")&gt;0,1,0)</f>
        <v>0</v>
      </c>
      <c r="M1463">
        <f>IF(COUNTIFS('United Data'!$A$3:$A$3390,M$1,'United Data'!$C$3:$C$3390,$A1463,'United Data'!$B$3:$B$3390,"&lt;&gt;Off-street")&gt;0,1,0)</f>
        <v>0</v>
      </c>
      <c r="N1463">
        <f>IF(COUNTIFS('United Data'!$A$3:$A$3390,N$1,'United Data'!$C$3:$C$3390,$A1463,'United Data'!$B$3:$B$3390,"&lt;&gt;Off-street")&gt;0,1,0)</f>
        <v>0</v>
      </c>
      <c r="O1463">
        <f>IF(COUNTIFS('United Data'!$A$3:$A$3390,O$1,'United Data'!$C$3:$C$3390,$A1463,'United Data'!$B$3:$B$3390,"&lt;&gt;Off-street")&gt;0,1,0)</f>
        <v>0</v>
      </c>
      <c r="P1463">
        <f>IF(COUNTIFS('United Data'!$A$3:$A$3390,P$1,'United Data'!$C$3:$C$3390,$A1463,'United Data'!$B$3:$B$3390,"&lt;&gt;Off-street")&gt;0,1,0)</f>
        <v>0</v>
      </c>
      <c r="Q1463">
        <f>IF(COUNTIFS('United Data'!$A$3:$A$3390,Q$1,'United Data'!$C$3:$C$3390,$A1463,'United Data'!$B$3:$B$3390,"&lt;&gt;Off-street")&gt;0,1,0)</f>
        <v>0</v>
      </c>
      <c r="R1463">
        <f>IF(COUNTIFS('United Data'!$A$3:$A$3390,R$1,'United Data'!$C$3:$C$3390,$A1463,'United Data'!$B$3:$B$3390,"&lt;&gt;Off-street")&gt;0,1,0)</f>
        <v>0</v>
      </c>
      <c r="S1463">
        <f t="shared" si="44"/>
        <v>1</v>
      </c>
      <c r="T1463">
        <f t="shared" si="45"/>
        <v>1</v>
      </c>
    </row>
    <row r="1464" spans="1:20" x14ac:dyDescent="0.2">
      <c r="A1464" t="s">
        <v>1733</v>
      </c>
      <c r="B1464">
        <f>IF(COUNTIFS('United Data'!$A$3:$A$3390,B$1,'United Data'!$C$3:$C$3390,$A1464,'United Data'!$B$3:$B$3390,"&lt;&gt;Off-street")&gt;0,1,0)</f>
        <v>0</v>
      </c>
      <c r="C1464">
        <f>IF(COUNTIFS('United Data'!$A$3:$A$3390,C$1,'United Data'!$C$3:$C$3390,$A1464,'United Data'!$B$3:$B$3390,"&lt;&gt;Off-street")&gt;0,1,0)</f>
        <v>0</v>
      </c>
      <c r="D1464">
        <f>IF(COUNTIFS('United Data'!$A$3:$A$3390,D$1,'United Data'!$C$3:$C$3390,$A1464,'United Data'!$B$3:$B$3390,"&lt;&gt;Off-street")&gt;0,1,0)</f>
        <v>0</v>
      </c>
      <c r="E1464">
        <f>IF(COUNTIFS('United Data'!$A$3:$A$3390,E$1,'United Data'!$C$3:$C$3390,$A1464,'United Data'!$B$3:$B$3390,"&lt;&gt;Off-street")&gt;0,1,0)</f>
        <v>0</v>
      </c>
      <c r="F1464">
        <f>IF(COUNTIFS('United Data'!$A$3:$A$3390,F$1,'United Data'!$C$3:$C$3390,$A1464,'United Data'!$B$3:$B$3390,"&lt;&gt;Off-street")&gt;0,1,0)</f>
        <v>0</v>
      </c>
      <c r="G1464">
        <f>IF(COUNTIFS('United Data'!$A$3:$A$3390,G$1,'United Data'!$C$3:$C$3390,$A1464,'United Data'!$B$3:$B$3390,"&lt;&gt;Off-street")&gt;0,1,0)</f>
        <v>0</v>
      </c>
      <c r="H1464">
        <f>IF(COUNTIFS('United Data'!$A$3:$A$3390,H$1,'United Data'!$C$3:$C$3390,$A1464,'United Data'!$B$3:$B$3390,"&lt;&gt;Off-street")&gt;0,1,0)</f>
        <v>0</v>
      </c>
      <c r="I1464">
        <f>IF(COUNTIFS('United Data'!$A$3:$A$3390,I$1,'United Data'!$C$3:$C$3390,$A1464,'United Data'!$B$3:$B$3390,"&lt;&gt;Off-street")&gt;0,1,0)</f>
        <v>0</v>
      </c>
      <c r="J1464">
        <f>IF(COUNTIFS('United Data'!$A$3:$A$3390,J$1,'United Data'!$C$3:$C$3390,$A1464,'United Data'!$B$3:$B$3390,"&lt;&gt;Off-street")&gt;0,1,0)</f>
        <v>0</v>
      </c>
      <c r="K1464">
        <f>IF(COUNTIFS('United Data'!$A$3:$A$3390,K$1,'United Data'!$C$3:$C$3390,$A1464,'United Data'!$B$3:$B$3390,"&lt;&gt;Off-street")&gt;0,1,0)</f>
        <v>1</v>
      </c>
      <c r="L1464">
        <f>IF(COUNTIFS('United Data'!$A$3:$A$3390,L$1,'United Data'!$C$3:$C$3390,$A1464,'United Data'!$B$3:$B$3390,"&lt;&gt;Off-street")&gt;0,1,0)</f>
        <v>0</v>
      </c>
      <c r="M1464">
        <f>IF(COUNTIFS('United Data'!$A$3:$A$3390,M$1,'United Data'!$C$3:$C$3390,$A1464,'United Data'!$B$3:$B$3390,"&lt;&gt;Off-street")&gt;0,1,0)</f>
        <v>0</v>
      </c>
      <c r="N1464">
        <f>IF(COUNTIFS('United Data'!$A$3:$A$3390,N$1,'United Data'!$C$3:$C$3390,$A1464,'United Data'!$B$3:$B$3390,"&lt;&gt;Off-street")&gt;0,1,0)</f>
        <v>0</v>
      </c>
      <c r="O1464">
        <f>IF(COUNTIFS('United Data'!$A$3:$A$3390,O$1,'United Data'!$C$3:$C$3390,$A1464,'United Data'!$B$3:$B$3390,"&lt;&gt;Off-street")&gt;0,1,0)</f>
        <v>0</v>
      </c>
      <c r="P1464">
        <f>IF(COUNTIFS('United Data'!$A$3:$A$3390,P$1,'United Data'!$C$3:$C$3390,$A1464,'United Data'!$B$3:$B$3390,"&lt;&gt;Off-street")&gt;0,1,0)</f>
        <v>0</v>
      </c>
      <c r="Q1464">
        <f>IF(COUNTIFS('United Data'!$A$3:$A$3390,Q$1,'United Data'!$C$3:$C$3390,$A1464,'United Data'!$B$3:$B$3390,"&lt;&gt;Off-street")&gt;0,1,0)</f>
        <v>0</v>
      </c>
      <c r="R1464">
        <f>IF(COUNTIFS('United Data'!$A$3:$A$3390,R$1,'United Data'!$C$3:$C$3390,$A1464,'United Data'!$B$3:$B$3390,"&lt;&gt;Off-street")&gt;0,1,0)</f>
        <v>0</v>
      </c>
      <c r="S1464">
        <f t="shared" si="44"/>
        <v>1</v>
      </c>
      <c r="T1464">
        <f t="shared" si="45"/>
        <v>1</v>
      </c>
    </row>
    <row r="1465" spans="1:20" x14ac:dyDescent="0.2">
      <c r="A1465" t="s">
        <v>1734</v>
      </c>
      <c r="B1465">
        <f>IF(COUNTIFS('United Data'!$A$3:$A$3390,B$1,'United Data'!$C$3:$C$3390,$A1465,'United Data'!$B$3:$B$3390,"&lt;&gt;Off-street")&gt;0,1,0)</f>
        <v>0</v>
      </c>
      <c r="C1465">
        <f>IF(COUNTIFS('United Data'!$A$3:$A$3390,C$1,'United Data'!$C$3:$C$3390,$A1465,'United Data'!$B$3:$B$3390,"&lt;&gt;Off-street")&gt;0,1,0)</f>
        <v>0</v>
      </c>
      <c r="D1465">
        <f>IF(COUNTIFS('United Data'!$A$3:$A$3390,D$1,'United Data'!$C$3:$C$3390,$A1465,'United Data'!$B$3:$B$3390,"&lt;&gt;Off-street")&gt;0,1,0)</f>
        <v>0</v>
      </c>
      <c r="E1465">
        <f>IF(COUNTIFS('United Data'!$A$3:$A$3390,E$1,'United Data'!$C$3:$C$3390,$A1465,'United Data'!$B$3:$B$3390,"&lt;&gt;Off-street")&gt;0,1,0)</f>
        <v>0</v>
      </c>
      <c r="F1465">
        <f>IF(COUNTIFS('United Data'!$A$3:$A$3390,F$1,'United Data'!$C$3:$C$3390,$A1465,'United Data'!$B$3:$B$3390,"&lt;&gt;Off-street")&gt;0,1,0)</f>
        <v>0</v>
      </c>
      <c r="G1465">
        <f>IF(COUNTIFS('United Data'!$A$3:$A$3390,G$1,'United Data'!$C$3:$C$3390,$A1465,'United Data'!$B$3:$B$3390,"&lt;&gt;Off-street")&gt;0,1,0)</f>
        <v>0</v>
      </c>
      <c r="H1465">
        <f>IF(COUNTIFS('United Data'!$A$3:$A$3390,H$1,'United Data'!$C$3:$C$3390,$A1465,'United Data'!$B$3:$B$3390,"&lt;&gt;Off-street")&gt;0,1,0)</f>
        <v>0</v>
      </c>
      <c r="I1465">
        <f>IF(COUNTIFS('United Data'!$A$3:$A$3390,I$1,'United Data'!$C$3:$C$3390,$A1465,'United Data'!$B$3:$B$3390,"&lt;&gt;Off-street")&gt;0,1,0)</f>
        <v>0</v>
      </c>
      <c r="J1465">
        <f>IF(COUNTIFS('United Data'!$A$3:$A$3390,J$1,'United Data'!$C$3:$C$3390,$A1465,'United Data'!$B$3:$B$3390,"&lt;&gt;Off-street")&gt;0,1,0)</f>
        <v>0</v>
      </c>
      <c r="K1465">
        <f>IF(COUNTIFS('United Data'!$A$3:$A$3390,K$1,'United Data'!$C$3:$C$3390,$A1465,'United Data'!$B$3:$B$3390,"&lt;&gt;Off-street")&gt;0,1,0)</f>
        <v>1</v>
      </c>
      <c r="L1465">
        <f>IF(COUNTIFS('United Data'!$A$3:$A$3390,L$1,'United Data'!$C$3:$C$3390,$A1465,'United Data'!$B$3:$B$3390,"&lt;&gt;Off-street")&gt;0,1,0)</f>
        <v>0</v>
      </c>
      <c r="M1465">
        <f>IF(COUNTIFS('United Data'!$A$3:$A$3390,M$1,'United Data'!$C$3:$C$3390,$A1465,'United Data'!$B$3:$B$3390,"&lt;&gt;Off-street")&gt;0,1,0)</f>
        <v>0</v>
      </c>
      <c r="N1465">
        <f>IF(COUNTIFS('United Data'!$A$3:$A$3390,N$1,'United Data'!$C$3:$C$3390,$A1465,'United Data'!$B$3:$B$3390,"&lt;&gt;Off-street")&gt;0,1,0)</f>
        <v>1</v>
      </c>
      <c r="O1465">
        <f>IF(COUNTIFS('United Data'!$A$3:$A$3390,O$1,'United Data'!$C$3:$C$3390,$A1465,'United Data'!$B$3:$B$3390,"&lt;&gt;Off-street")&gt;0,1,0)</f>
        <v>1</v>
      </c>
      <c r="P1465">
        <f>IF(COUNTIFS('United Data'!$A$3:$A$3390,P$1,'United Data'!$C$3:$C$3390,$A1465,'United Data'!$B$3:$B$3390,"&lt;&gt;Off-street")&gt;0,1,0)</f>
        <v>1</v>
      </c>
      <c r="Q1465">
        <f>IF(COUNTIFS('United Data'!$A$3:$A$3390,Q$1,'United Data'!$C$3:$C$3390,$A1465,'United Data'!$B$3:$B$3390,"&lt;&gt;Off-street")&gt;0,1,0)</f>
        <v>0</v>
      </c>
      <c r="R1465">
        <f>IF(COUNTIFS('United Data'!$A$3:$A$3390,R$1,'United Data'!$C$3:$C$3390,$A1465,'United Data'!$B$3:$B$3390,"&lt;&gt;Off-street")&gt;0,1,0)</f>
        <v>0</v>
      </c>
      <c r="S1465">
        <f t="shared" si="44"/>
        <v>4</v>
      </c>
      <c r="T1465">
        <f t="shared" si="45"/>
        <v>2</v>
      </c>
    </row>
    <row r="1466" spans="1:20" x14ac:dyDescent="0.2">
      <c r="A1466" t="s">
        <v>1736</v>
      </c>
      <c r="B1466">
        <f>IF(COUNTIFS('United Data'!$A$3:$A$3390,B$1,'United Data'!$C$3:$C$3390,$A1466,'United Data'!$B$3:$B$3390,"&lt;&gt;Off-street")&gt;0,1,0)</f>
        <v>0</v>
      </c>
      <c r="C1466">
        <f>IF(COUNTIFS('United Data'!$A$3:$A$3390,C$1,'United Data'!$C$3:$C$3390,$A1466,'United Data'!$B$3:$B$3390,"&lt;&gt;Off-street")&gt;0,1,0)</f>
        <v>0</v>
      </c>
      <c r="D1466">
        <f>IF(COUNTIFS('United Data'!$A$3:$A$3390,D$1,'United Data'!$C$3:$C$3390,$A1466,'United Data'!$B$3:$B$3390,"&lt;&gt;Off-street")&gt;0,1,0)</f>
        <v>0</v>
      </c>
      <c r="E1466">
        <f>IF(COUNTIFS('United Data'!$A$3:$A$3390,E$1,'United Data'!$C$3:$C$3390,$A1466,'United Data'!$B$3:$B$3390,"&lt;&gt;Off-street")&gt;0,1,0)</f>
        <v>0</v>
      </c>
      <c r="F1466">
        <f>IF(COUNTIFS('United Data'!$A$3:$A$3390,F$1,'United Data'!$C$3:$C$3390,$A1466,'United Data'!$B$3:$B$3390,"&lt;&gt;Off-street")&gt;0,1,0)</f>
        <v>0</v>
      </c>
      <c r="G1466">
        <f>IF(COUNTIFS('United Data'!$A$3:$A$3390,G$1,'United Data'!$C$3:$C$3390,$A1466,'United Data'!$B$3:$B$3390,"&lt;&gt;Off-street")&gt;0,1,0)</f>
        <v>0</v>
      </c>
      <c r="H1466">
        <f>IF(COUNTIFS('United Data'!$A$3:$A$3390,H$1,'United Data'!$C$3:$C$3390,$A1466,'United Data'!$B$3:$B$3390,"&lt;&gt;Off-street")&gt;0,1,0)</f>
        <v>0</v>
      </c>
      <c r="I1466">
        <f>IF(COUNTIFS('United Data'!$A$3:$A$3390,I$1,'United Data'!$C$3:$C$3390,$A1466,'United Data'!$B$3:$B$3390,"&lt;&gt;Off-street")&gt;0,1,0)</f>
        <v>0</v>
      </c>
      <c r="J1466">
        <f>IF(COUNTIFS('United Data'!$A$3:$A$3390,J$1,'United Data'!$C$3:$C$3390,$A1466,'United Data'!$B$3:$B$3390,"&lt;&gt;Off-street")&gt;0,1,0)</f>
        <v>0</v>
      </c>
      <c r="K1466">
        <f>IF(COUNTIFS('United Data'!$A$3:$A$3390,K$1,'United Data'!$C$3:$C$3390,$A1466,'United Data'!$B$3:$B$3390,"&lt;&gt;Off-street")&gt;0,1,0)</f>
        <v>1</v>
      </c>
      <c r="L1466">
        <f>IF(COUNTIFS('United Data'!$A$3:$A$3390,L$1,'United Data'!$C$3:$C$3390,$A1466,'United Data'!$B$3:$B$3390,"&lt;&gt;Off-street")&gt;0,1,0)</f>
        <v>0</v>
      </c>
      <c r="M1466">
        <f>IF(COUNTIFS('United Data'!$A$3:$A$3390,M$1,'United Data'!$C$3:$C$3390,$A1466,'United Data'!$B$3:$B$3390,"&lt;&gt;Off-street")&gt;0,1,0)</f>
        <v>0</v>
      </c>
      <c r="N1466">
        <f>IF(COUNTIFS('United Data'!$A$3:$A$3390,N$1,'United Data'!$C$3:$C$3390,$A1466,'United Data'!$B$3:$B$3390,"&lt;&gt;Off-street")&gt;0,1,0)</f>
        <v>0</v>
      </c>
      <c r="O1466">
        <f>IF(COUNTIFS('United Data'!$A$3:$A$3390,O$1,'United Data'!$C$3:$C$3390,$A1466,'United Data'!$B$3:$B$3390,"&lt;&gt;Off-street")&gt;0,1,0)</f>
        <v>0</v>
      </c>
      <c r="P1466">
        <f>IF(COUNTIFS('United Data'!$A$3:$A$3390,P$1,'United Data'!$C$3:$C$3390,$A1466,'United Data'!$B$3:$B$3390,"&lt;&gt;Off-street")&gt;0,1,0)</f>
        <v>0</v>
      </c>
      <c r="Q1466">
        <f>IF(COUNTIFS('United Data'!$A$3:$A$3390,Q$1,'United Data'!$C$3:$C$3390,$A1466,'United Data'!$B$3:$B$3390,"&lt;&gt;Off-street")&gt;0,1,0)</f>
        <v>0</v>
      </c>
      <c r="R1466">
        <f>IF(COUNTIFS('United Data'!$A$3:$A$3390,R$1,'United Data'!$C$3:$C$3390,$A1466,'United Data'!$B$3:$B$3390,"&lt;&gt;Off-street")&gt;0,1,0)</f>
        <v>0</v>
      </c>
      <c r="S1466">
        <f t="shared" si="44"/>
        <v>1</v>
      </c>
      <c r="T1466">
        <f t="shared" si="45"/>
        <v>1</v>
      </c>
    </row>
    <row r="1467" spans="1:20" x14ac:dyDescent="0.2">
      <c r="A1467" t="s">
        <v>1737</v>
      </c>
      <c r="B1467">
        <f>IF(COUNTIFS('United Data'!$A$3:$A$3390,B$1,'United Data'!$C$3:$C$3390,$A1467,'United Data'!$B$3:$B$3390,"&lt;&gt;Off-street")&gt;0,1,0)</f>
        <v>0</v>
      </c>
      <c r="C1467">
        <f>IF(COUNTIFS('United Data'!$A$3:$A$3390,C$1,'United Data'!$C$3:$C$3390,$A1467,'United Data'!$B$3:$B$3390,"&lt;&gt;Off-street")&gt;0,1,0)</f>
        <v>0</v>
      </c>
      <c r="D1467">
        <f>IF(COUNTIFS('United Data'!$A$3:$A$3390,D$1,'United Data'!$C$3:$C$3390,$A1467,'United Data'!$B$3:$B$3390,"&lt;&gt;Off-street")&gt;0,1,0)</f>
        <v>0</v>
      </c>
      <c r="E1467">
        <f>IF(COUNTIFS('United Data'!$A$3:$A$3390,E$1,'United Data'!$C$3:$C$3390,$A1467,'United Data'!$B$3:$B$3390,"&lt;&gt;Off-street")&gt;0,1,0)</f>
        <v>0</v>
      </c>
      <c r="F1467">
        <f>IF(COUNTIFS('United Data'!$A$3:$A$3390,F$1,'United Data'!$C$3:$C$3390,$A1467,'United Data'!$B$3:$B$3390,"&lt;&gt;Off-street")&gt;0,1,0)</f>
        <v>0</v>
      </c>
      <c r="G1467">
        <f>IF(COUNTIFS('United Data'!$A$3:$A$3390,G$1,'United Data'!$C$3:$C$3390,$A1467,'United Data'!$B$3:$B$3390,"&lt;&gt;Off-street")&gt;0,1,0)</f>
        <v>0</v>
      </c>
      <c r="H1467">
        <f>IF(COUNTIFS('United Data'!$A$3:$A$3390,H$1,'United Data'!$C$3:$C$3390,$A1467,'United Data'!$B$3:$B$3390,"&lt;&gt;Off-street")&gt;0,1,0)</f>
        <v>0</v>
      </c>
      <c r="I1467">
        <f>IF(COUNTIFS('United Data'!$A$3:$A$3390,I$1,'United Data'!$C$3:$C$3390,$A1467,'United Data'!$B$3:$B$3390,"&lt;&gt;Off-street")&gt;0,1,0)</f>
        <v>0</v>
      </c>
      <c r="J1467">
        <f>IF(COUNTIFS('United Data'!$A$3:$A$3390,J$1,'United Data'!$C$3:$C$3390,$A1467,'United Data'!$B$3:$B$3390,"&lt;&gt;Off-street")&gt;0,1,0)</f>
        <v>0</v>
      </c>
      <c r="K1467">
        <f>IF(COUNTIFS('United Data'!$A$3:$A$3390,K$1,'United Data'!$C$3:$C$3390,$A1467,'United Data'!$B$3:$B$3390,"&lt;&gt;Off-street")&gt;0,1,0)</f>
        <v>0</v>
      </c>
      <c r="L1467">
        <f>IF(COUNTIFS('United Data'!$A$3:$A$3390,L$1,'United Data'!$C$3:$C$3390,$A1467,'United Data'!$B$3:$B$3390,"&lt;&gt;Off-street")&gt;0,1,0)</f>
        <v>1</v>
      </c>
      <c r="M1467">
        <f>IF(COUNTIFS('United Data'!$A$3:$A$3390,M$1,'United Data'!$C$3:$C$3390,$A1467,'United Data'!$B$3:$B$3390,"&lt;&gt;Off-street")&gt;0,1,0)</f>
        <v>0</v>
      </c>
      <c r="N1467">
        <f>IF(COUNTIFS('United Data'!$A$3:$A$3390,N$1,'United Data'!$C$3:$C$3390,$A1467,'United Data'!$B$3:$B$3390,"&lt;&gt;Off-street")&gt;0,1,0)</f>
        <v>0</v>
      </c>
      <c r="O1467">
        <f>IF(COUNTIFS('United Data'!$A$3:$A$3390,O$1,'United Data'!$C$3:$C$3390,$A1467,'United Data'!$B$3:$B$3390,"&lt;&gt;Off-street")&gt;0,1,0)</f>
        <v>0</v>
      </c>
      <c r="P1467">
        <f>IF(COUNTIFS('United Data'!$A$3:$A$3390,P$1,'United Data'!$C$3:$C$3390,$A1467,'United Data'!$B$3:$B$3390,"&lt;&gt;Off-street")&gt;0,1,0)</f>
        <v>0</v>
      </c>
      <c r="Q1467">
        <f>IF(COUNTIFS('United Data'!$A$3:$A$3390,Q$1,'United Data'!$C$3:$C$3390,$A1467,'United Data'!$B$3:$B$3390,"&lt;&gt;Off-street")&gt;0,1,0)</f>
        <v>0</v>
      </c>
      <c r="R1467">
        <f>IF(COUNTIFS('United Data'!$A$3:$A$3390,R$1,'United Data'!$C$3:$C$3390,$A1467,'United Data'!$B$3:$B$3390,"&lt;&gt;Off-street")&gt;0,1,0)</f>
        <v>0</v>
      </c>
      <c r="S1467">
        <f t="shared" si="44"/>
        <v>1</v>
      </c>
      <c r="T1467">
        <f t="shared" si="45"/>
        <v>1</v>
      </c>
    </row>
    <row r="1468" spans="1:20" x14ac:dyDescent="0.2">
      <c r="A1468" t="s">
        <v>1738</v>
      </c>
      <c r="B1468">
        <f>IF(COUNTIFS('United Data'!$A$3:$A$3390,B$1,'United Data'!$C$3:$C$3390,$A1468,'United Data'!$B$3:$B$3390,"&lt;&gt;Off-street")&gt;0,1,0)</f>
        <v>0</v>
      </c>
      <c r="C1468">
        <f>IF(COUNTIFS('United Data'!$A$3:$A$3390,C$1,'United Data'!$C$3:$C$3390,$A1468,'United Data'!$B$3:$B$3390,"&lt;&gt;Off-street")&gt;0,1,0)</f>
        <v>0</v>
      </c>
      <c r="D1468">
        <f>IF(COUNTIFS('United Data'!$A$3:$A$3390,D$1,'United Data'!$C$3:$C$3390,$A1468,'United Data'!$B$3:$B$3390,"&lt;&gt;Off-street")&gt;0,1,0)</f>
        <v>0</v>
      </c>
      <c r="E1468">
        <f>IF(COUNTIFS('United Data'!$A$3:$A$3390,E$1,'United Data'!$C$3:$C$3390,$A1468,'United Data'!$B$3:$B$3390,"&lt;&gt;Off-street")&gt;0,1,0)</f>
        <v>0</v>
      </c>
      <c r="F1468">
        <f>IF(COUNTIFS('United Data'!$A$3:$A$3390,F$1,'United Data'!$C$3:$C$3390,$A1468,'United Data'!$B$3:$B$3390,"&lt;&gt;Off-street")&gt;0,1,0)</f>
        <v>0</v>
      </c>
      <c r="G1468">
        <f>IF(COUNTIFS('United Data'!$A$3:$A$3390,G$1,'United Data'!$C$3:$C$3390,$A1468,'United Data'!$B$3:$B$3390,"&lt;&gt;Off-street")&gt;0,1,0)</f>
        <v>0</v>
      </c>
      <c r="H1468">
        <f>IF(COUNTIFS('United Data'!$A$3:$A$3390,H$1,'United Data'!$C$3:$C$3390,$A1468,'United Data'!$B$3:$B$3390,"&lt;&gt;Off-street")&gt;0,1,0)</f>
        <v>0</v>
      </c>
      <c r="I1468">
        <f>IF(COUNTIFS('United Data'!$A$3:$A$3390,I$1,'United Data'!$C$3:$C$3390,$A1468,'United Data'!$B$3:$B$3390,"&lt;&gt;Off-street")&gt;0,1,0)</f>
        <v>0</v>
      </c>
      <c r="J1468">
        <f>IF(COUNTIFS('United Data'!$A$3:$A$3390,J$1,'United Data'!$C$3:$C$3390,$A1468,'United Data'!$B$3:$B$3390,"&lt;&gt;Off-street")&gt;0,1,0)</f>
        <v>0</v>
      </c>
      <c r="K1468">
        <f>IF(COUNTIFS('United Data'!$A$3:$A$3390,K$1,'United Data'!$C$3:$C$3390,$A1468,'United Data'!$B$3:$B$3390,"&lt;&gt;Off-street")&gt;0,1,0)</f>
        <v>0</v>
      </c>
      <c r="L1468">
        <f>IF(COUNTIFS('United Data'!$A$3:$A$3390,L$1,'United Data'!$C$3:$C$3390,$A1468,'United Data'!$B$3:$B$3390,"&lt;&gt;Off-street")&gt;0,1,0)</f>
        <v>1</v>
      </c>
      <c r="M1468">
        <f>IF(COUNTIFS('United Data'!$A$3:$A$3390,M$1,'United Data'!$C$3:$C$3390,$A1468,'United Data'!$B$3:$B$3390,"&lt;&gt;Off-street")&gt;0,1,0)</f>
        <v>0</v>
      </c>
      <c r="N1468">
        <f>IF(COUNTIFS('United Data'!$A$3:$A$3390,N$1,'United Data'!$C$3:$C$3390,$A1468,'United Data'!$B$3:$B$3390,"&lt;&gt;Off-street")&gt;0,1,0)</f>
        <v>0</v>
      </c>
      <c r="O1468">
        <f>IF(COUNTIFS('United Data'!$A$3:$A$3390,O$1,'United Data'!$C$3:$C$3390,$A1468,'United Data'!$B$3:$B$3390,"&lt;&gt;Off-street")&gt;0,1,0)</f>
        <v>0</v>
      </c>
      <c r="P1468">
        <f>IF(COUNTIFS('United Data'!$A$3:$A$3390,P$1,'United Data'!$C$3:$C$3390,$A1468,'United Data'!$B$3:$B$3390,"&lt;&gt;Off-street")&gt;0,1,0)</f>
        <v>0</v>
      </c>
      <c r="Q1468">
        <f>IF(COUNTIFS('United Data'!$A$3:$A$3390,Q$1,'United Data'!$C$3:$C$3390,$A1468,'United Data'!$B$3:$B$3390,"&lt;&gt;Off-street")&gt;0,1,0)</f>
        <v>0</v>
      </c>
      <c r="R1468">
        <f>IF(COUNTIFS('United Data'!$A$3:$A$3390,R$1,'United Data'!$C$3:$C$3390,$A1468,'United Data'!$B$3:$B$3390,"&lt;&gt;Off-street")&gt;0,1,0)</f>
        <v>0</v>
      </c>
      <c r="S1468">
        <f t="shared" si="44"/>
        <v>1</v>
      </c>
      <c r="T1468">
        <f t="shared" si="45"/>
        <v>1</v>
      </c>
    </row>
    <row r="1469" spans="1:20" x14ac:dyDescent="0.2">
      <c r="A1469" t="s">
        <v>1739</v>
      </c>
      <c r="B1469">
        <f>IF(COUNTIFS('United Data'!$A$3:$A$3390,B$1,'United Data'!$C$3:$C$3390,$A1469,'United Data'!$B$3:$B$3390,"&lt;&gt;Off-street")&gt;0,1,0)</f>
        <v>0</v>
      </c>
      <c r="C1469">
        <f>IF(COUNTIFS('United Data'!$A$3:$A$3390,C$1,'United Data'!$C$3:$C$3390,$A1469,'United Data'!$B$3:$B$3390,"&lt;&gt;Off-street")&gt;0,1,0)</f>
        <v>0</v>
      </c>
      <c r="D1469">
        <f>IF(COUNTIFS('United Data'!$A$3:$A$3390,D$1,'United Data'!$C$3:$C$3390,$A1469,'United Data'!$B$3:$B$3390,"&lt;&gt;Off-street")&gt;0,1,0)</f>
        <v>0</v>
      </c>
      <c r="E1469">
        <f>IF(COUNTIFS('United Data'!$A$3:$A$3390,E$1,'United Data'!$C$3:$C$3390,$A1469,'United Data'!$B$3:$B$3390,"&lt;&gt;Off-street")&gt;0,1,0)</f>
        <v>0</v>
      </c>
      <c r="F1469">
        <f>IF(COUNTIFS('United Data'!$A$3:$A$3390,F$1,'United Data'!$C$3:$C$3390,$A1469,'United Data'!$B$3:$B$3390,"&lt;&gt;Off-street")&gt;0,1,0)</f>
        <v>0</v>
      </c>
      <c r="G1469">
        <f>IF(COUNTIFS('United Data'!$A$3:$A$3390,G$1,'United Data'!$C$3:$C$3390,$A1469,'United Data'!$B$3:$B$3390,"&lt;&gt;Off-street")&gt;0,1,0)</f>
        <v>0</v>
      </c>
      <c r="H1469">
        <f>IF(COUNTIFS('United Data'!$A$3:$A$3390,H$1,'United Data'!$C$3:$C$3390,$A1469,'United Data'!$B$3:$B$3390,"&lt;&gt;Off-street")&gt;0,1,0)</f>
        <v>0</v>
      </c>
      <c r="I1469">
        <f>IF(COUNTIFS('United Data'!$A$3:$A$3390,I$1,'United Data'!$C$3:$C$3390,$A1469,'United Data'!$B$3:$B$3390,"&lt;&gt;Off-street")&gt;0,1,0)</f>
        <v>0</v>
      </c>
      <c r="J1469">
        <f>IF(COUNTIFS('United Data'!$A$3:$A$3390,J$1,'United Data'!$C$3:$C$3390,$A1469,'United Data'!$B$3:$B$3390,"&lt;&gt;Off-street")&gt;0,1,0)</f>
        <v>0</v>
      </c>
      <c r="K1469">
        <f>IF(COUNTIFS('United Data'!$A$3:$A$3390,K$1,'United Data'!$C$3:$C$3390,$A1469,'United Data'!$B$3:$B$3390,"&lt;&gt;Off-street")&gt;0,1,0)</f>
        <v>0</v>
      </c>
      <c r="L1469">
        <f>IF(COUNTIFS('United Data'!$A$3:$A$3390,L$1,'United Data'!$C$3:$C$3390,$A1469,'United Data'!$B$3:$B$3390,"&lt;&gt;Off-street")&gt;0,1,0)</f>
        <v>0</v>
      </c>
      <c r="M1469">
        <f>IF(COUNTIFS('United Data'!$A$3:$A$3390,M$1,'United Data'!$C$3:$C$3390,$A1469,'United Data'!$B$3:$B$3390,"&lt;&gt;Off-street")&gt;0,1,0)</f>
        <v>1</v>
      </c>
      <c r="N1469">
        <f>IF(COUNTIFS('United Data'!$A$3:$A$3390,N$1,'United Data'!$C$3:$C$3390,$A1469,'United Data'!$B$3:$B$3390,"&lt;&gt;Off-street")&gt;0,1,0)</f>
        <v>0</v>
      </c>
      <c r="O1469">
        <f>IF(COUNTIFS('United Data'!$A$3:$A$3390,O$1,'United Data'!$C$3:$C$3390,$A1469,'United Data'!$B$3:$B$3390,"&lt;&gt;Off-street")&gt;0,1,0)</f>
        <v>1</v>
      </c>
      <c r="P1469">
        <f>IF(COUNTIFS('United Data'!$A$3:$A$3390,P$1,'United Data'!$C$3:$C$3390,$A1469,'United Data'!$B$3:$B$3390,"&lt;&gt;Off-street")&gt;0,1,0)</f>
        <v>0</v>
      </c>
      <c r="Q1469">
        <f>IF(COUNTIFS('United Data'!$A$3:$A$3390,Q$1,'United Data'!$C$3:$C$3390,$A1469,'United Data'!$B$3:$B$3390,"&lt;&gt;Off-street")&gt;0,1,0)</f>
        <v>0</v>
      </c>
      <c r="R1469">
        <f>IF(COUNTIFS('United Data'!$A$3:$A$3390,R$1,'United Data'!$C$3:$C$3390,$A1469,'United Data'!$B$3:$B$3390,"&lt;&gt;Off-street")&gt;0,1,0)</f>
        <v>0</v>
      </c>
      <c r="S1469">
        <f t="shared" si="44"/>
        <v>2</v>
      </c>
      <c r="T1469">
        <f t="shared" si="45"/>
        <v>2</v>
      </c>
    </row>
    <row r="1470" spans="1:20" x14ac:dyDescent="0.2">
      <c r="A1470" t="s">
        <v>1740</v>
      </c>
      <c r="B1470">
        <f>IF(COUNTIFS('United Data'!$A$3:$A$3390,B$1,'United Data'!$C$3:$C$3390,$A1470,'United Data'!$B$3:$B$3390,"&lt;&gt;Off-street")&gt;0,1,0)</f>
        <v>0</v>
      </c>
      <c r="C1470">
        <f>IF(COUNTIFS('United Data'!$A$3:$A$3390,C$1,'United Data'!$C$3:$C$3390,$A1470,'United Data'!$B$3:$B$3390,"&lt;&gt;Off-street")&gt;0,1,0)</f>
        <v>0</v>
      </c>
      <c r="D1470">
        <f>IF(COUNTIFS('United Data'!$A$3:$A$3390,D$1,'United Data'!$C$3:$C$3390,$A1470,'United Data'!$B$3:$B$3390,"&lt;&gt;Off-street")&gt;0,1,0)</f>
        <v>0</v>
      </c>
      <c r="E1470">
        <f>IF(COUNTIFS('United Data'!$A$3:$A$3390,E$1,'United Data'!$C$3:$C$3390,$A1470,'United Data'!$B$3:$B$3390,"&lt;&gt;Off-street")&gt;0,1,0)</f>
        <v>0</v>
      </c>
      <c r="F1470">
        <f>IF(COUNTIFS('United Data'!$A$3:$A$3390,F$1,'United Data'!$C$3:$C$3390,$A1470,'United Data'!$B$3:$B$3390,"&lt;&gt;Off-street")&gt;0,1,0)</f>
        <v>0</v>
      </c>
      <c r="G1470">
        <f>IF(COUNTIFS('United Data'!$A$3:$A$3390,G$1,'United Data'!$C$3:$C$3390,$A1470,'United Data'!$B$3:$B$3390,"&lt;&gt;Off-street")&gt;0,1,0)</f>
        <v>0</v>
      </c>
      <c r="H1470">
        <f>IF(COUNTIFS('United Data'!$A$3:$A$3390,H$1,'United Data'!$C$3:$C$3390,$A1470,'United Data'!$B$3:$B$3390,"&lt;&gt;Off-street")&gt;0,1,0)</f>
        <v>0</v>
      </c>
      <c r="I1470">
        <f>IF(COUNTIFS('United Data'!$A$3:$A$3390,I$1,'United Data'!$C$3:$C$3390,$A1470,'United Data'!$B$3:$B$3390,"&lt;&gt;Off-street")&gt;0,1,0)</f>
        <v>0</v>
      </c>
      <c r="J1470">
        <f>IF(COUNTIFS('United Data'!$A$3:$A$3390,J$1,'United Data'!$C$3:$C$3390,$A1470,'United Data'!$B$3:$B$3390,"&lt;&gt;Off-street")&gt;0,1,0)</f>
        <v>0</v>
      </c>
      <c r="K1470">
        <f>IF(COUNTIFS('United Data'!$A$3:$A$3390,K$1,'United Data'!$C$3:$C$3390,$A1470,'United Data'!$B$3:$B$3390,"&lt;&gt;Off-street")&gt;0,1,0)</f>
        <v>0</v>
      </c>
      <c r="L1470">
        <f>IF(COUNTIFS('United Data'!$A$3:$A$3390,L$1,'United Data'!$C$3:$C$3390,$A1470,'United Data'!$B$3:$B$3390,"&lt;&gt;Off-street")&gt;0,1,0)</f>
        <v>0</v>
      </c>
      <c r="M1470">
        <f>IF(COUNTIFS('United Data'!$A$3:$A$3390,M$1,'United Data'!$C$3:$C$3390,$A1470,'United Data'!$B$3:$B$3390,"&lt;&gt;Off-street")&gt;0,1,0)</f>
        <v>1</v>
      </c>
      <c r="N1470">
        <f>IF(COUNTIFS('United Data'!$A$3:$A$3390,N$1,'United Data'!$C$3:$C$3390,$A1470,'United Data'!$B$3:$B$3390,"&lt;&gt;Off-street")&gt;0,1,0)</f>
        <v>0</v>
      </c>
      <c r="O1470">
        <f>IF(COUNTIFS('United Data'!$A$3:$A$3390,O$1,'United Data'!$C$3:$C$3390,$A1470,'United Data'!$B$3:$B$3390,"&lt;&gt;Off-street")&gt;0,1,0)</f>
        <v>0</v>
      </c>
      <c r="P1470">
        <f>IF(COUNTIFS('United Data'!$A$3:$A$3390,P$1,'United Data'!$C$3:$C$3390,$A1470,'United Data'!$B$3:$B$3390,"&lt;&gt;Off-street")&gt;0,1,0)</f>
        <v>0</v>
      </c>
      <c r="Q1470">
        <f>IF(COUNTIFS('United Data'!$A$3:$A$3390,Q$1,'United Data'!$C$3:$C$3390,$A1470,'United Data'!$B$3:$B$3390,"&lt;&gt;Off-street")&gt;0,1,0)</f>
        <v>0</v>
      </c>
      <c r="R1470">
        <f>IF(COUNTIFS('United Data'!$A$3:$A$3390,R$1,'United Data'!$C$3:$C$3390,$A1470,'United Data'!$B$3:$B$3390,"&lt;&gt;Off-street")&gt;0,1,0)</f>
        <v>0</v>
      </c>
      <c r="S1470">
        <f t="shared" si="44"/>
        <v>1</v>
      </c>
      <c r="T1470">
        <f t="shared" si="45"/>
        <v>1</v>
      </c>
    </row>
    <row r="1471" spans="1:20" x14ac:dyDescent="0.2">
      <c r="A1471" t="s">
        <v>1741</v>
      </c>
      <c r="B1471">
        <f>IF(COUNTIFS('United Data'!$A$3:$A$3390,B$1,'United Data'!$C$3:$C$3390,$A1471,'United Data'!$B$3:$B$3390,"&lt;&gt;Off-street")&gt;0,1,0)</f>
        <v>0</v>
      </c>
      <c r="C1471">
        <f>IF(COUNTIFS('United Data'!$A$3:$A$3390,C$1,'United Data'!$C$3:$C$3390,$A1471,'United Data'!$B$3:$B$3390,"&lt;&gt;Off-street")&gt;0,1,0)</f>
        <v>0</v>
      </c>
      <c r="D1471">
        <f>IF(COUNTIFS('United Data'!$A$3:$A$3390,D$1,'United Data'!$C$3:$C$3390,$A1471,'United Data'!$B$3:$B$3390,"&lt;&gt;Off-street")&gt;0,1,0)</f>
        <v>0</v>
      </c>
      <c r="E1471">
        <f>IF(COUNTIFS('United Data'!$A$3:$A$3390,E$1,'United Data'!$C$3:$C$3390,$A1471,'United Data'!$B$3:$B$3390,"&lt;&gt;Off-street")&gt;0,1,0)</f>
        <v>0</v>
      </c>
      <c r="F1471">
        <f>IF(COUNTIFS('United Data'!$A$3:$A$3390,F$1,'United Data'!$C$3:$C$3390,$A1471,'United Data'!$B$3:$B$3390,"&lt;&gt;Off-street")&gt;0,1,0)</f>
        <v>0</v>
      </c>
      <c r="G1471">
        <f>IF(COUNTIFS('United Data'!$A$3:$A$3390,G$1,'United Data'!$C$3:$C$3390,$A1471,'United Data'!$B$3:$B$3390,"&lt;&gt;Off-street")&gt;0,1,0)</f>
        <v>0</v>
      </c>
      <c r="H1471">
        <f>IF(COUNTIFS('United Data'!$A$3:$A$3390,H$1,'United Data'!$C$3:$C$3390,$A1471,'United Data'!$B$3:$B$3390,"&lt;&gt;Off-street")&gt;0,1,0)</f>
        <v>0</v>
      </c>
      <c r="I1471">
        <f>IF(COUNTIFS('United Data'!$A$3:$A$3390,I$1,'United Data'!$C$3:$C$3390,$A1471,'United Data'!$B$3:$B$3390,"&lt;&gt;Off-street")&gt;0,1,0)</f>
        <v>0</v>
      </c>
      <c r="J1471">
        <f>IF(COUNTIFS('United Data'!$A$3:$A$3390,J$1,'United Data'!$C$3:$C$3390,$A1471,'United Data'!$B$3:$B$3390,"&lt;&gt;Off-street")&gt;0,1,0)</f>
        <v>0</v>
      </c>
      <c r="K1471">
        <f>IF(COUNTIFS('United Data'!$A$3:$A$3390,K$1,'United Data'!$C$3:$C$3390,$A1471,'United Data'!$B$3:$B$3390,"&lt;&gt;Off-street")&gt;0,1,0)</f>
        <v>0</v>
      </c>
      <c r="L1471">
        <f>IF(COUNTIFS('United Data'!$A$3:$A$3390,L$1,'United Data'!$C$3:$C$3390,$A1471,'United Data'!$B$3:$B$3390,"&lt;&gt;Off-street")&gt;0,1,0)</f>
        <v>0</v>
      </c>
      <c r="M1471">
        <f>IF(COUNTIFS('United Data'!$A$3:$A$3390,M$1,'United Data'!$C$3:$C$3390,$A1471,'United Data'!$B$3:$B$3390,"&lt;&gt;Off-street")&gt;0,1,0)</f>
        <v>1</v>
      </c>
      <c r="N1471">
        <f>IF(COUNTIFS('United Data'!$A$3:$A$3390,N$1,'United Data'!$C$3:$C$3390,$A1471,'United Data'!$B$3:$B$3390,"&lt;&gt;Off-street")&gt;0,1,0)</f>
        <v>0</v>
      </c>
      <c r="O1471">
        <f>IF(COUNTIFS('United Data'!$A$3:$A$3390,O$1,'United Data'!$C$3:$C$3390,$A1471,'United Data'!$B$3:$B$3390,"&lt;&gt;Off-street")&gt;0,1,0)</f>
        <v>0</v>
      </c>
      <c r="P1471">
        <f>IF(COUNTIFS('United Data'!$A$3:$A$3390,P$1,'United Data'!$C$3:$C$3390,$A1471,'United Data'!$B$3:$B$3390,"&lt;&gt;Off-street")&gt;0,1,0)</f>
        <v>0</v>
      </c>
      <c r="Q1471">
        <f>IF(COUNTIFS('United Data'!$A$3:$A$3390,Q$1,'United Data'!$C$3:$C$3390,$A1471,'United Data'!$B$3:$B$3390,"&lt;&gt;Off-street")&gt;0,1,0)</f>
        <v>0</v>
      </c>
      <c r="R1471">
        <f>IF(COUNTIFS('United Data'!$A$3:$A$3390,R$1,'United Data'!$C$3:$C$3390,$A1471,'United Data'!$B$3:$B$3390,"&lt;&gt;Off-street")&gt;0,1,0)</f>
        <v>0</v>
      </c>
      <c r="S1471">
        <f t="shared" si="44"/>
        <v>1</v>
      </c>
      <c r="T1471">
        <f t="shared" si="45"/>
        <v>1</v>
      </c>
    </row>
    <row r="1472" spans="1:20" x14ac:dyDescent="0.2">
      <c r="A1472" t="s">
        <v>1742</v>
      </c>
      <c r="B1472">
        <f>IF(COUNTIFS('United Data'!$A$3:$A$3390,B$1,'United Data'!$C$3:$C$3390,$A1472,'United Data'!$B$3:$B$3390,"&lt;&gt;Off-street")&gt;0,1,0)</f>
        <v>0</v>
      </c>
      <c r="C1472">
        <f>IF(COUNTIFS('United Data'!$A$3:$A$3390,C$1,'United Data'!$C$3:$C$3390,$A1472,'United Data'!$B$3:$B$3390,"&lt;&gt;Off-street")&gt;0,1,0)</f>
        <v>0</v>
      </c>
      <c r="D1472">
        <f>IF(COUNTIFS('United Data'!$A$3:$A$3390,D$1,'United Data'!$C$3:$C$3390,$A1472,'United Data'!$B$3:$B$3390,"&lt;&gt;Off-street")&gt;0,1,0)</f>
        <v>0</v>
      </c>
      <c r="E1472">
        <f>IF(COUNTIFS('United Data'!$A$3:$A$3390,E$1,'United Data'!$C$3:$C$3390,$A1472,'United Data'!$B$3:$B$3390,"&lt;&gt;Off-street")&gt;0,1,0)</f>
        <v>0</v>
      </c>
      <c r="F1472">
        <f>IF(COUNTIFS('United Data'!$A$3:$A$3390,F$1,'United Data'!$C$3:$C$3390,$A1472,'United Data'!$B$3:$B$3390,"&lt;&gt;Off-street")&gt;0,1,0)</f>
        <v>0</v>
      </c>
      <c r="G1472">
        <f>IF(COUNTIFS('United Data'!$A$3:$A$3390,G$1,'United Data'!$C$3:$C$3390,$A1472,'United Data'!$B$3:$B$3390,"&lt;&gt;Off-street")&gt;0,1,0)</f>
        <v>0</v>
      </c>
      <c r="H1472">
        <f>IF(COUNTIFS('United Data'!$A$3:$A$3390,H$1,'United Data'!$C$3:$C$3390,$A1472,'United Data'!$B$3:$B$3390,"&lt;&gt;Off-street")&gt;0,1,0)</f>
        <v>0</v>
      </c>
      <c r="I1472">
        <f>IF(COUNTIFS('United Data'!$A$3:$A$3390,I$1,'United Data'!$C$3:$C$3390,$A1472,'United Data'!$B$3:$B$3390,"&lt;&gt;Off-street")&gt;0,1,0)</f>
        <v>0</v>
      </c>
      <c r="J1472">
        <f>IF(COUNTIFS('United Data'!$A$3:$A$3390,J$1,'United Data'!$C$3:$C$3390,$A1472,'United Data'!$B$3:$B$3390,"&lt;&gt;Off-street")&gt;0,1,0)</f>
        <v>0</v>
      </c>
      <c r="K1472">
        <f>IF(COUNTIFS('United Data'!$A$3:$A$3390,K$1,'United Data'!$C$3:$C$3390,$A1472,'United Data'!$B$3:$B$3390,"&lt;&gt;Off-street")&gt;0,1,0)</f>
        <v>0</v>
      </c>
      <c r="L1472">
        <f>IF(COUNTIFS('United Data'!$A$3:$A$3390,L$1,'United Data'!$C$3:$C$3390,$A1472,'United Data'!$B$3:$B$3390,"&lt;&gt;Off-street")&gt;0,1,0)</f>
        <v>0</v>
      </c>
      <c r="M1472">
        <f>IF(COUNTIFS('United Data'!$A$3:$A$3390,M$1,'United Data'!$C$3:$C$3390,$A1472,'United Data'!$B$3:$B$3390,"&lt;&gt;Off-street")&gt;0,1,0)</f>
        <v>1</v>
      </c>
      <c r="N1472">
        <f>IF(COUNTIFS('United Data'!$A$3:$A$3390,N$1,'United Data'!$C$3:$C$3390,$A1472,'United Data'!$B$3:$B$3390,"&lt;&gt;Off-street")&gt;0,1,0)</f>
        <v>1</v>
      </c>
      <c r="O1472">
        <f>IF(COUNTIFS('United Data'!$A$3:$A$3390,O$1,'United Data'!$C$3:$C$3390,$A1472,'United Data'!$B$3:$B$3390,"&lt;&gt;Off-street")&gt;0,1,0)</f>
        <v>0</v>
      </c>
      <c r="P1472">
        <f>IF(COUNTIFS('United Data'!$A$3:$A$3390,P$1,'United Data'!$C$3:$C$3390,$A1472,'United Data'!$B$3:$B$3390,"&lt;&gt;Off-street")&gt;0,1,0)</f>
        <v>0</v>
      </c>
      <c r="Q1472">
        <f>IF(COUNTIFS('United Data'!$A$3:$A$3390,Q$1,'United Data'!$C$3:$C$3390,$A1472,'United Data'!$B$3:$B$3390,"&lt;&gt;Off-street")&gt;0,1,0)</f>
        <v>0</v>
      </c>
      <c r="R1472">
        <f>IF(COUNTIFS('United Data'!$A$3:$A$3390,R$1,'United Data'!$C$3:$C$3390,$A1472,'United Data'!$B$3:$B$3390,"&lt;&gt;Off-street")&gt;0,1,0)</f>
        <v>0</v>
      </c>
      <c r="S1472">
        <f t="shared" si="44"/>
        <v>2</v>
      </c>
      <c r="T1472">
        <f t="shared" si="45"/>
        <v>1</v>
      </c>
    </row>
    <row r="1473" spans="1:20" x14ac:dyDescent="0.2">
      <c r="A1473" t="s">
        <v>1743</v>
      </c>
      <c r="B1473">
        <f>IF(COUNTIFS('United Data'!$A$3:$A$3390,B$1,'United Data'!$C$3:$C$3390,$A1473,'United Data'!$B$3:$B$3390,"&lt;&gt;Off-street")&gt;0,1,0)</f>
        <v>0</v>
      </c>
      <c r="C1473">
        <f>IF(COUNTIFS('United Data'!$A$3:$A$3390,C$1,'United Data'!$C$3:$C$3390,$A1473,'United Data'!$B$3:$B$3390,"&lt;&gt;Off-street")&gt;0,1,0)</f>
        <v>0</v>
      </c>
      <c r="D1473">
        <f>IF(COUNTIFS('United Data'!$A$3:$A$3390,D$1,'United Data'!$C$3:$C$3390,$A1473,'United Data'!$B$3:$B$3390,"&lt;&gt;Off-street")&gt;0,1,0)</f>
        <v>0</v>
      </c>
      <c r="E1473">
        <f>IF(COUNTIFS('United Data'!$A$3:$A$3390,E$1,'United Data'!$C$3:$C$3390,$A1473,'United Data'!$B$3:$B$3390,"&lt;&gt;Off-street")&gt;0,1,0)</f>
        <v>0</v>
      </c>
      <c r="F1473">
        <f>IF(COUNTIFS('United Data'!$A$3:$A$3390,F$1,'United Data'!$C$3:$C$3390,$A1473,'United Data'!$B$3:$B$3390,"&lt;&gt;Off-street")&gt;0,1,0)</f>
        <v>0</v>
      </c>
      <c r="G1473">
        <f>IF(COUNTIFS('United Data'!$A$3:$A$3390,G$1,'United Data'!$C$3:$C$3390,$A1473,'United Data'!$B$3:$B$3390,"&lt;&gt;Off-street")&gt;0,1,0)</f>
        <v>0</v>
      </c>
      <c r="H1473">
        <f>IF(COUNTIFS('United Data'!$A$3:$A$3390,H$1,'United Data'!$C$3:$C$3390,$A1473,'United Data'!$B$3:$B$3390,"&lt;&gt;Off-street")&gt;0,1,0)</f>
        <v>0</v>
      </c>
      <c r="I1473">
        <f>IF(COUNTIFS('United Data'!$A$3:$A$3390,I$1,'United Data'!$C$3:$C$3390,$A1473,'United Data'!$B$3:$B$3390,"&lt;&gt;Off-street")&gt;0,1,0)</f>
        <v>0</v>
      </c>
      <c r="J1473">
        <f>IF(COUNTIFS('United Data'!$A$3:$A$3390,J$1,'United Data'!$C$3:$C$3390,$A1473,'United Data'!$B$3:$B$3390,"&lt;&gt;Off-street")&gt;0,1,0)</f>
        <v>0</v>
      </c>
      <c r="K1473">
        <f>IF(COUNTIFS('United Data'!$A$3:$A$3390,K$1,'United Data'!$C$3:$C$3390,$A1473,'United Data'!$B$3:$B$3390,"&lt;&gt;Off-street")&gt;0,1,0)</f>
        <v>0</v>
      </c>
      <c r="L1473">
        <f>IF(COUNTIFS('United Data'!$A$3:$A$3390,L$1,'United Data'!$C$3:$C$3390,$A1473,'United Data'!$B$3:$B$3390,"&lt;&gt;Off-street")&gt;0,1,0)</f>
        <v>0</v>
      </c>
      <c r="M1473">
        <f>IF(COUNTIFS('United Data'!$A$3:$A$3390,M$1,'United Data'!$C$3:$C$3390,$A1473,'United Data'!$B$3:$B$3390,"&lt;&gt;Off-street")&gt;0,1,0)</f>
        <v>1</v>
      </c>
      <c r="N1473">
        <f>IF(COUNTIFS('United Data'!$A$3:$A$3390,N$1,'United Data'!$C$3:$C$3390,$A1473,'United Data'!$B$3:$B$3390,"&lt;&gt;Off-street")&gt;0,1,0)</f>
        <v>0</v>
      </c>
      <c r="O1473">
        <f>IF(COUNTIFS('United Data'!$A$3:$A$3390,O$1,'United Data'!$C$3:$C$3390,$A1473,'United Data'!$B$3:$B$3390,"&lt;&gt;Off-street")&gt;0,1,0)</f>
        <v>0</v>
      </c>
      <c r="P1473">
        <f>IF(COUNTIFS('United Data'!$A$3:$A$3390,P$1,'United Data'!$C$3:$C$3390,$A1473,'United Data'!$B$3:$B$3390,"&lt;&gt;Off-street")&gt;0,1,0)</f>
        <v>0</v>
      </c>
      <c r="Q1473">
        <f>IF(COUNTIFS('United Data'!$A$3:$A$3390,Q$1,'United Data'!$C$3:$C$3390,$A1473,'United Data'!$B$3:$B$3390,"&lt;&gt;Off-street")&gt;0,1,0)</f>
        <v>0</v>
      </c>
      <c r="R1473">
        <f>IF(COUNTIFS('United Data'!$A$3:$A$3390,R$1,'United Data'!$C$3:$C$3390,$A1473,'United Data'!$B$3:$B$3390,"&lt;&gt;Off-street")&gt;0,1,0)</f>
        <v>0</v>
      </c>
      <c r="S1473">
        <f t="shared" si="44"/>
        <v>1</v>
      </c>
      <c r="T1473">
        <f t="shared" si="45"/>
        <v>1</v>
      </c>
    </row>
    <row r="1474" spans="1:20" x14ac:dyDescent="0.2">
      <c r="A1474" t="s">
        <v>1744</v>
      </c>
      <c r="B1474">
        <f>IF(COUNTIFS('United Data'!$A$3:$A$3390,B$1,'United Data'!$C$3:$C$3390,$A1474,'United Data'!$B$3:$B$3390,"&lt;&gt;Off-street")&gt;0,1,0)</f>
        <v>0</v>
      </c>
      <c r="C1474">
        <f>IF(COUNTIFS('United Data'!$A$3:$A$3390,C$1,'United Data'!$C$3:$C$3390,$A1474,'United Data'!$B$3:$B$3390,"&lt;&gt;Off-street")&gt;0,1,0)</f>
        <v>0</v>
      </c>
      <c r="D1474">
        <f>IF(COUNTIFS('United Data'!$A$3:$A$3390,D$1,'United Data'!$C$3:$C$3390,$A1474,'United Data'!$B$3:$B$3390,"&lt;&gt;Off-street")&gt;0,1,0)</f>
        <v>0</v>
      </c>
      <c r="E1474">
        <f>IF(COUNTIFS('United Data'!$A$3:$A$3390,E$1,'United Data'!$C$3:$C$3390,$A1474,'United Data'!$B$3:$B$3390,"&lt;&gt;Off-street")&gt;0,1,0)</f>
        <v>0</v>
      </c>
      <c r="F1474">
        <f>IF(COUNTIFS('United Data'!$A$3:$A$3390,F$1,'United Data'!$C$3:$C$3390,$A1474,'United Data'!$B$3:$B$3390,"&lt;&gt;Off-street")&gt;0,1,0)</f>
        <v>0</v>
      </c>
      <c r="G1474">
        <f>IF(COUNTIFS('United Data'!$A$3:$A$3390,G$1,'United Data'!$C$3:$C$3390,$A1474,'United Data'!$B$3:$B$3390,"&lt;&gt;Off-street")&gt;0,1,0)</f>
        <v>0</v>
      </c>
      <c r="H1474">
        <f>IF(COUNTIFS('United Data'!$A$3:$A$3390,H$1,'United Data'!$C$3:$C$3390,$A1474,'United Data'!$B$3:$B$3390,"&lt;&gt;Off-street")&gt;0,1,0)</f>
        <v>0</v>
      </c>
      <c r="I1474">
        <f>IF(COUNTIFS('United Data'!$A$3:$A$3390,I$1,'United Data'!$C$3:$C$3390,$A1474,'United Data'!$B$3:$B$3390,"&lt;&gt;Off-street")&gt;0,1,0)</f>
        <v>0</v>
      </c>
      <c r="J1474">
        <f>IF(COUNTIFS('United Data'!$A$3:$A$3390,J$1,'United Data'!$C$3:$C$3390,$A1474,'United Data'!$B$3:$B$3390,"&lt;&gt;Off-street")&gt;0,1,0)</f>
        <v>0</v>
      </c>
      <c r="K1474">
        <f>IF(COUNTIFS('United Data'!$A$3:$A$3390,K$1,'United Data'!$C$3:$C$3390,$A1474,'United Data'!$B$3:$B$3390,"&lt;&gt;Off-street")&gt;0,1,0)</f>
        <v>0</v>
      </c>
      <c r="L1474">
        <f>IF(COUNTIFS('United Data'!$A$3:$A$3390,L$1,'United Data'!$C$3:$C$3390,$A1474,'United Data'!$B$3:$B$3390,"&lt;&gt;Off-street")&gt;0,1,0)</f>
        <v>0</v>
      </c>
      <c r="M1474">
        <f>IF(COUNTIFS('United Data'!$A$3:$A$3390,M$1,'United Data'!$C$3:$C$3390,$A1474,'United Data'!$B$3:$B$3390,"&lt;&gt;Off-street")&gt;0,1,0)</f>
        <v>1</v>
      </c>
      <c r="N1474">
        <f>IF(COUNTIFS('United Data'!$A$3:$A$3390,N$1,'United Data'!$C$3:$C$3390,$A1474,'United Data'!$B$3:$B$3390,"&lt;&gt;Off-street")&gt;0,1,0)</f>
        <v>1</v>
      </c>
      <c r="O1474">
        <f>IF(COUNTIFS('United Data'!$A$3:$A$3390,O$1,'United Data'!$C$3:$C$3390,$A1474,'United Data'!$B$3:$B$3390,"&lt;&gt;Off-street")&gt;0,1,0)</f>
        <v>1</v>
      </c>
      <c r="P1474">
        <f>IF(COUNTIFS('United Data'!$A$3:$A$3390,P$1,'United Data'!$C$3:$C$3390,$A1474,'United Data'!$B$3:$B$3390,"&lt;&gt;Off-street")&gt;0,1,0)</f>
        <v>0</v>
      </c>
      <c r="Q1474">
        <f>IF(COUNTIFS('United Data'!$A$3:$A$3390,Q$1,'United Data'!$C$3:$C$3390,$A1474,'United Data'!$B$3:$B$3390,"&lt;&gt;Off-street")&gt;0,1,0)</f>
        <v>0</v>
      </c>
      <c r="R1474">
        <f>IF(COUNTIFS('United Data'!$A$3:$A$3390,R$1,'United Data'!$C$3:$C$3390,$A1474,'United Data'!$B$3:$B$3390,"&lt;&gt;Off-street")&gt;0,1,0)</f>
        <v>0</v>
      </c>
      <c r="S1474">
        <f t="shared" ref="S1474:S1537" si="46">SUM(B1474:R1474)</f>
        <v>3</v>
      </c>
      <c r="T1474">
        <f t="shared" ref="T1474:T1537" si="47">B1474+SUMPRODUCT(--(C1474:R1474&gt;B1474:Q1474))</f>
        <v>1</v>
      </c>
    </row>
    <row r="1475" spans="1:20" x14ac:dyDescent="0.2">
      <c r="A1475" t="s">
        <v>1745</v>
      </c>
      <c r="B1475">
        <f>IF(COUNTIFS('United Data'!$A$3:$A$3390,B$1,'United Data'!$C$3:$C$3390,$A1475,'United Data'!$B$3:$B$3390,"&lt;&gt;Off-street")&gt;0,1,0)</f>
        <v>0</v>
      </c>
      <c r="C1475">
        <f>IF(COUNTIFS('United Data'!$A$3:$A$3390,C$1,'United Data'!$C$3:$C$3390,$A1475,'United Data'!$B$3:$B$3390,"&lt;&gt;Off-street")&gt;0,1,0)</f>
        <v>0</v>
      </c>
      <c r="D1475">
        <f>IF(COUNTIFS('United Data'!$A$3:$A$3390,D$1,'United Data'!$C$3:$C$3390,$A1475,'United Data'!$B$3:$B$3390,"&lt;&gt;Off-street")&gt;0,1,0)</f>
        <v>0</v>
      </c>
      <c r="E1475">
        <f>IF(COUNTIFS('United Data'!$A$3:$A$3390,E$1,'United Data'!$C$3:$C$3390,$A1475,'United Data'!$B$3:$B$3390,"&lt;&gt;Off-street")&gt;0,1,0)</f>
        <v>0</v>
      </c>
      <c r="F1475">
        <f>IF(COUNTIFS('United Data'!$A$3:$A$3390,F$1,'United Data'!$C$3:$C$3390,$A1475,'United Data'!$B$3:$B$3390,"&lt;&gt;Off-street")&gt;0,1,0)</f>
        <v>0</v>
      </c>
      <c r="G1475">
        <f>IF(COUNTIFS('United Data'!$A$3:$A$3390,G$1,'United Data'!$C$3:$C$3390,$A1475,'United Data'!$B$3:$B$3390,"&lt;&gt;Off-street")&gt;0,1,0)</f>
        <v>0</v>
      </c>
      <c r="H1475">
        <f>IF(COUNTIFS('United Data'!$A$3:$A$3390,H$1,'United Data'!$C$3:$C$3390,$A1475,'United Data'!$B$3:$B$3390,"&lt;&gt;Off-street")&gt;0,1,0)</f>
        <v>0</v>
      </c>
      <c r="I1475">
        <f>IF(COUNTIFS('United Data'!$A$3:$A$3390,I$1,'United Data'!$C$3:$C$3390,$A1475,'United Data'!$B$3:$B$3390,"&lt;&gt;Off-street")&gt;0,1,0)</f>
        <v>0</v>
      </c>
      <c r="J1475">
        <f>IF(COUNTIFS('United Data'!$A$3:$A$3390,J$1,'United Data'!$C$3:$C$3390,$A1475,'United Data'!$B$3:$B$3390,"&lt;&gt;Off-street")&gt;0,1,0)</f>
        <v>0</v>
      </c>
      <c r="K1475">
        <f>IF(COUNTIFS('United Data'!$A$3:$A$3390,K$1,'United Data'!$C$3:$C$3390,$A1475,'United Data'!$B$3:$B$3390,"&lt;&gt;Off-street")&gt;0,1,0)</f>
        <v>0</v>
      </c>
      <c r="L1475">
        <f>IF(COUNTIFS('United Data'!$A$3:$A$3390,L$1,'United Data'!$C$3:$C$3390,$A1475,'United Data'!$B$3:$B$3390,"&lt;&gt;Off-street")&gt;0,1,0)</f>
        <v>0</v>
      </c>
      <c r="M1475">
        <f>IF(COUNTIFS('United Data'!$A$3:$A$3390,M$1,'United Data'!$C$3:$C$3390,$A1475,'United Data'!$B$3:$B$3390,"&lt;&gt;Off-street")&gt;0,1,0)</f>
        <v>1</v>
      </c>
      <c r="N1475">
        <f>IF(COUNTIFS('United Data'!$A$3:$A$3390,N$1,'United Data'!$C$3:$C$3390,$A1475,'United Data'!$B$3:$B$3390,"&lt;&gt;Off-street")&gt;0,1,0)</f>
        <v>0</v>
      </c>
      <c r="O1475">
        <f>IF(COUNTIFS('United Data'!$A$3:$A$3390,O$1,'United Data'!$C$3:$C$3390,$A1475,'United Data'!$B$3:$B$3390,"&lt;&gt;Off-street")&gt;0,1,0)</f>
        <v>0</v>
      </c>
      <c r="P1475">
        <f>IF(COUNTIFS('United Data'!$A$3:$A$3390,P$1,'United Data'!$C$3:$C$3390,$A1475,'United Data'!$B$3:$B$3390,"&lt;&gt;Off-street")&gt;0,1,0)</f>
        <v>0</v>
      </c>
      <c r="Q1475">
        <f>IF(COUNTIFS('United Data'!$A$3:$A$3390,Q$1,'United Data'!$C$3:$C$3390,$A1475,'United Data'!$B$3:$B$3390,"&lt;&gt;Off-street")&gt;0,1,0)</f>
        <v>0</v>
      </c>
      <c r="R1475">
        <f>IF(COUNTIFS('United Data'!$A$3:$A$3390,R$1,'United Data'!$C$3:$C$3390,$A1475,'United Data'!$B$3:$B$3390,"&lt;&gt;Off-street")&gt;0,1,0)</f>
        <v>0</v>
      </c>
      <c r="S1475">
        <f t="shared" si="46"/>
        <v>1</v>
      </c>
      <c r="T1475">
        <f t="shared" si="47"/>
        <v>1</v>
      </c>
    </row>
    <row r="1476" spans="1:20" x14ac:dyDescent="0.2">
      <c r="A1476" t="s">
        <v>1746</v>
      </c>
      <c r="B1476">
        <f>IF(COUNTIFS('United Data'!$A$3:$A$3390,B$1,'United Data'!$C$3:$C$3390,$A1476,'United Data'!$B$3:$B$3390,"&lt;&gt;Off-street")&gt;0,1,0)</f>
        <v>0</v>
      </c>
      <c r="C1476">
        <f>IF(COUNTIFS('United Data'!$A$3:$A$3390,C$1,'United Data'!$C$3:$C$3390,$A1476,'United Data'!$B$3:$B$3390,"&lt;&gt;Off-street")&gt;0,1,0)</f>
        <v>0</v>
      </c>
      <c r="D1476">
        <f>IF(COUNTIFS('United Data'!$A$3:$A$3390,D$1,'United Data'!$C$3:$C$3390,$A1476,'United Data'!$B$3:$B$3390,"&lt;&gt;Off-street")&gt;0,1,0)</f>
        <v>0</v>
      </c>
      <c r="E1476">
        <f>IF(COUNTIFS('United Data'!$A$3:$A$3390,E$1,'United Data'!$C$3:$C$3390,$A1476,'United Data'!$B$3:$B$3390,"&lt;&gt;Off-street")&gt;0,1,0)</f>
        <v>0</v>
      </c>
      <c r="F1476">
        <f>IF(COUNTIFS('United Data'!$A$3:$A$3390,F$1,'United Data'!$C$3:$C$3390,$A1476,'United Data'!$B$3:$B$3390,"&lt;&gt;Off-street")&gt;0,1,0)</f>
        <v>0</v>
      </c>
      <c r="G1476">
        <f>IF(COUNTIFS('United Data'!$A$3:$A$3390,G$1,'United Data'!$C$3:$C$3390,$A1476,'United Data'!$B$3:$B$3390,"&lt;&gt;Off-street")&gt;0,1,0)</f>
        <v>0</v>
      </c>
      <c r="H1476">
        <f>IF(COUNTIFS('United Data'!$A$3:$A$3390,H$1,'United Data'!$C$3:$C$3390,$A1476,'United Data'!$B$3:$B$3390,"&lt;&gt;Off-street")&gt;0,1,0)</f>
        <v>0</v>
      </c>
      <c r="I1476">
        <f>IF(COUNTIFS('United Data'!$A$3:$A$3390,I$1,'United Data'!$C$3:$C$3390,$A1476,'United Data'!$B$3:$B$3390,"&lt;&gt;Off-street")&gt;0,1,0)</f>
        <v>0</v>
      </c>
      <c r="J1476">
        <f>IF(COUNTIFS('United Data'!$A$3:$A$3390,J$1,'United Data'!$C$3:$C$3390,$A1476,'United Data'!$B$3:$B$3390,"&lt;&gt;Off-street")&gt;0,1,0)</f>
        <v>0</v>
      </c>
      <c r="K1476">
        <f>IF(COUNTIFS('United Data'!$A$3:$A$3390,K$1,'United Data'!$C$3:$C$3390,$A1476,'United Data'!$B$3:$B$3390,"&lt;&gt;Off-street")&gt;0,1,0)</f>
        <v>0</v>
      </c>
      <c r="L1476">
        <f>IF(COUNTIFS('United Data'!$A$3:$A$3390,L$1,'United Data'!$C$3:$C$3390,$A1476,'United Data'!$B$3:$B$3390,"&lt;&gt;Off-street")&gt;0,1,0)</f>
        <v>0</v>
      </c>
      <c r="M1476">
        <f>IF(COUNTIFS('United Data'!$A$3:$A$3390,M$1,'United Data'!$C$3:$C$3390,$A1476,'United Data'!$B$3:$B$3390,"&lt;&gt;Off-street")&gt;0,1,0)</f>
        <v>1</v>
      </c>
      <c r="N1476">
        <f>IF(COUNTIFS('United Data'!$A$3:$A$3390,N$1,'United Data'!$C$3:$C$3390,$A1476,'United Data'!$B$3:$B$3390,"&lt;&gt;Off-street")&gt;0,1,0)</f>
        <v>1</v>
      </c>
      <c r="O1476">
        <f>IF(COUNTIFS('United Data'!$A$3:$A$3390,O$1,'United Data'!$C$3:$C$3390,$A1476,'United Data'!$B$3:$B$3390,"&lt;&gt;Off-street")&gt;0,1,0)</f>
        <v>0</v>
      </c>
      <c r="P1476">
        <f>IF(COUNTIFS('United Data'!$A$3:$A$3390,P$1,'United Data'!$C$3:$C$3390,$A1476,'United Data'!$B$3:$B$3390,"&lt;&gt;Off-street")&gt;0,1,0)</f>
        <v>0</v>
      </c>
      <c r="Q1476">
        <f>IF(COUNTIFS('United Data'!$A$3:$A$3390,Q$1,'United Data'!$C$3:$C$3390,$A1476,'United Data'!$B$3:$B$3390,"&lt;&gt;Off-street")&gt;0,1,0)</f>
        <v>0</v>
      </c>
      <c r="R1476">
        <f>IF(COUNTIFS('United Data'!$A$3:$A$3390,R$1,'United Data'!$C$3:$C$3390,$A1476,'United Data'!$B$3:$B$3390,"&lt;&gt;Off-street")&gt;0,1,0)</f>
        <v>0</v>
      </c>
      <c r="S1476">
        <f t="shared" si="46"/>
        <v>2</v>
      </c>
      <c r="T1476">
        <f t="shared" si="47"/>
        <v>1</v>
      </c>
    </row>
    <row r="1477" spans="1:20" x14ac:dyDescent="0.2">
      <c r="A1477" t="s">
        <v>1747</v>
      </c>
      <c r="B1477">
        <f>IF(COUNTIFS('United Data'!$A$3:$A$3390,B$1,'United Data'!$C$3:$C$3390,$A1477,'United Data'!$B$3:$B$3390,"&lt;&gt;Off-street")&gt;0,1,0)</f>
        <v>0</v>
      </c>
      <c r="C1477">
        <f>IF(COUNTIFS('United Data'!$A$3:$A$3390,C$1,'United Data'!$C$3:$C$3390,$A1477,'United Data'!$B$3:$B$3390,"&lt;&gt;Off-street")&gt;0,1,0)</f>
        <v>0</v>
      </c>
      <c r="D1477">
        <f>IF(COUNTIFS('United Data'!$A$3:$A$3390,D$1,'United Data'!$C$3:$C$3390,$A1477,'United Data'!$B$3:$B$3390,"&lt;&gt;Off-street")&gt;0,1,0)</f>
        <v>0</v>
      </c>
      <c r="E1477">
        <f>IF(COUNTIFS('United Data'!$A$3:$A$3390,E$1,'United Data'!$C$3:$C$3390,$A1477,'United Data'!$B$3:$B$3390,"&lt;&gt;Off-street")&gt;0,1,0)</f>
        <v>0</v>
      </c>
      <c r="F1477">
        <f>IF(COUNTIFS('United Data'!$A$3:$A$3390,F$1,'United Data'!$C$3:$C$3390,$A1477,'United Data'!$B$3:$B$3390,"&lt;&gt;Off-street")&gt;0,1,0)</f>
        <v>0</v>
      </c>
      <c r="G1477">
        <f>IF(COUNTIFS('United Data'!$A$3:$A$3390,G$1,'United Data'!$C$3:$C$3390,$A1477,'United Data'!$B$3:$B$3390,"&lt;&gt;Off-street")&gt;0,1,0)</f>
        <v>0</v>
      </c>
      <c r="H1477">
        <f>IF(COUNTIFS('United Data'!$A$3:$A$3390,H$1,'United Data'!$C$3:$C$3390,$A1477,'United Data'!$B$3:$B$3390,"&lt;&gt;Off-street")&gt;0,1,0)</f>
        <v>0</v>
      </c>
      <c r="I1477">
        <f>IF(COUNTIFS('United Data'!$A$3:$A$3390,I$1,'United Data'!$C$3:$C$3390,$A1477,'United Data'!$B$3:$B$3390,"&lt;&gt;Off-street")&gt;0,1,0)</f>
        <v>0</v>
      </c>
      <c r="J1477">
        <f>IF(COUNTIFS('United Data'!$A$3:$A$3390,J$1,'United Data'!$C$3:$C$3390,$A1477,'United Data'!$B$3:$B$3390,"&lt;&gt;Off-street")&gt;0,1,0)</f>
        <v>0</v>
      </c>
      <c r="K1477">
        <f>IF(COUNTIFS('United Data'!$A$3:$A$3390,K$1,'United Data'!$C$3:$C$3390,$A1477,'United Data'!$B$3:$B$3390,"&lt;&gt;Off-street")&gt;0,1,0)</f>
        <v>0</v>
      </c>
      <c r="L1477">
        <f>IF(COUNTIFS('United Data'!$A$3:$A$3390,L$1,'United Data'!$C$3:$C$3390,$A1477,'United Data'!$B$3:$B$3390,"&lt;&gt;Off-street")&gt;0,1,0)</f>
        <v>0</v>
      </c>
      <c r="M1477">
        <f>IF(COUNTIFS('United Data'!$A$3:$A$3390,M$1,'United Data'!$C$3:$C$3390,$A1477,'United Data'!$B$3:$B$3390,"&lt;&gt;Off-street")&gt;0,1,0)</f>
        <v>0</v>
      </c>
      <c r="N1477">
        <f>IF(COUNTIFS('United Data'!$A$3:$A$3390,N$1,'United Data'!$C$3:$C$3390,$A1477,'United Data'!$B$3:$B$3390,"&lt;&gt;Off-street")&gt;0,1,0)</f>
        <v>1</v>
      </c>
      <c r="O1477">
        <f>IF(COUNTIFS('United Data'!$A$3:$A$3390,O$1,'United Data'!$C$3:$C$3390,$A1477,'United Data'!$B$3:$B$3390,"&lt;&gt;Off-street")&gt;0,1,0)</f>
        <v>0</v>
      </c>
      <c r="P1477">
        <f>IF(COUNTIFS('United Data'!$A$3:$A$3390,P$1,'United Data'!$C$3:$C$3390,$A1477,'United Data'!$B$3:$B$3390,"&lt;&gt;Off-street")&gt;0,1,0)</f>
        <v>0</v>
      </c>
      <c r="Q1477">
        <f>IF(COUNTIFS('United Data'!$A$3:$A$3390,Q$1,'United Data'!$C$3:$C$3390,$A1477,'United Data'!$B$3:$B$3390,"&lt;&gt;Off-street")&gt;0,1,0)</f>
        <v>0</v>
      </c>
      <c r="R1477">
        <f>IF(COUNTIFS('United Data'!$A$3:$A$3390,R$1,'United Data'!$C$3:$C$3390,$A1477,'United Data'!$B$3:$B$3390,"&lt;&gt;Off-street")&gt;0,1,0)</f>
        <v>0</v>
      </c>
      <c r="S1477">
        <f t="shared" si="46"/>
        <v>1</v>
      </c>
      <c r="T1477">
        <f t="shared" si="47"/>
        <v>1</v>
      </c>
    </row>
    <row r="1478" spans="1:20" x14ac:dyDescent="0.2">
      <c r="A1478" t="s">
        <v>1748</v>
      </c>
      <c r="B1478">
        <f>IF(COUNTIFS('United Data'!$A$3:$A$3390,B$1,'United Data'!$C$3:$C$3390,$A1478,'United Data'!$B$3:$B$3390,"&lt;&gt;Off-street")&gt;0,1,0)</f>
        <v>0</v>
      </c>
      <c r="C1478">
        <f>IF(COUNTIFS('United Data'!$A$3:$A$3390,C$1,'United Data'!$C$3:$C$3390,$A1478,'United Data'!$B$3:$B$3390,"&lt;&gt;Off-street")&gt;0,1,0)</f>
        <v>0</v>
      </c>
      <c r="D1478">
        <f>IF(COUNTIFS('United Data'!$A$3:$A$3390,D$1,'United Data'!$C$3:$C$3390,$A1478,'United Data'!$B$3:$B$3390,"&lt;&gt;Off-street")&gt;0,1,0)</f>
        <v>0</v>
      </c>
      <c r="E1478">
        <f>IF(COUNTIFS('United Data'!$A$3:$A$3390,E$1,'United Data'!$C$3:$C$3390,$A1478,'United Data'!$B$3:$B$3390,"&lt;&gt;Off-street")&gt;0,1,0)</f>
        <v>0</v>
      </c>
      <c r="F1478">
        <f>IF(COUNTIFS('United Data'!$A$3:$A$3390,F$1,'United Data'!$C$3:$C$3390,$A1478,'United Data'!$B$3:$B$3390,"&lt;&gt;Off-street")&gt;0,1,0)</f>
        <v>0</v>
      </c>
      <c r="G1478">
        <f>IF(COUNTIFS('United Data'!$A$3:$A$3390,G$1,'United Data'!$C$3:$C$3390,$A1478,'United Data'!$B$3:$B$3390,"&lt;&gt;Off-street")&gt;0,1,0)</f>
        <v>0</v>
      </c>
      <c r="H1478">
        <f>IF(COUNTIFS('United Data'!$A$3:$A$3390,H$1,'United Data'!$C$3:$C$3390,$A1478,'United Data'!$B$3:$B$3390,"&lt;&gt;Off-street")&gt;0,1,0)</f>
        <v>0</v>
      </c>
      <c r="I1478">
        <f>IF(COUNTIFS('United Data'!$A$3:$A$3390,I$1,'United Data'!$C$3:$C$3390,$A1478,'United Data'!$B$3:$B$3390,"&lt;&gt;Off-street")&gt;0,1,0)</f>
        <v>0</v>
      </c>
      <c r="J1478">
        <f>IF(COUNTIFS('United Data'!$A$3:$A$3390,J$1,'United Data'!$C$3:$C$3390,$A1478,'United Data'!$B$3:$B$3390,"&lt;&gt;Off-street")&gt;0,1,0)</f>
        <v>0</v>
      </c>
      <c r="K1478">
        <f>IF(COUNTIFS('United Data'!$A$3:$A$3390,K$1,'United Data'!$C$3:$C$3390,$A1478,'United Data'!$B$3:$B$3390,"&lt;&gt;Off-street")&gt;0,1,0)</f>
        <v>0</v>
      </c>
      <c r="L1478">
        <f>IF(COUNTIFS('United Data'!$A$3:$A$3390,L$1,'United Data'!$C$3:$C$3390,$A1478,'United Data'!$B$3:$B$3390,"&lt;&gt;Off-street")&gt;0,1,0)</f>
        <v>0</v>
      </c>
      <c r="M1478">
        <f>IF(COUNTIFS('United Data'!$A$3:$A$3390,M$1,'United Data'!$C$3:$C$3390,$A1478,'United Data'!$B$3:$B$3390,"&lt;&gt;Off-street")&gt;0,1,0)</f>
        <v>0</v>
      </c>
      <c r="N1478">
        <f>IF(COUNTIFS('United Data'!$A$3:$A$3390,N$1,'United Data'!$C$3:$C$3390,$A1478,'United Data'!$B$3:$B$3390,"&lt;&gt;Off-street")&gt;0,1,0)</f>
        <v>0</v>
      </c>
      <c r="O1478">
        <f>IF(COUNTIFS('United Data'!$A$3:$A$3390,O$1,'United Data'!$C$3:$C$3390,$A1478,'United Data'!$B$3:$B$3390,"&lt;&gt;Off-street")&gt;0,1,0)</f>
        <v>1</v>
      </c>
      <c r="P1478">
        <f>IF(COUNTIFS('United Data'!$A$3:$A$3390,P$1,'United Data'!$C$3:$C$3390,$A1478,'United Data'!$B$3:$B$3390,"&lt;&gt;Off-street")&gt;0,1,0)</f>
        <v>0</v>
      </c>
      <c r="Q1478">
        <f>IF(COUNTIFS('United Data'!$A$3:$A$3390,Q$1,'United Data'!$C$3:$C$3390,$A1478,'United Data'!$B$3:$B$3390,"&lt;&gt;Off-street")&gt;0,1,0)</f>
        <v>0</v>
      </c>
      <c r="R1478">
        <f>IF(COUNTIFS('United Data'!$A$3:$A$3390,R$1,'United Data'!$C$3:$C$3390,$A1478,'United Data'!$B$3:$B$3390,"&lt;&gt;Off-street")&gt;0,1,0)</f>
        <v>0</v>
      </c>
      <c r="S1478">
        <f t="shared" si="46"/>
        <v>1</v>
      </c>
      <c r="T1478">
        <f t="shared" si="47"/>
        <v>1</v>
      </c>
    </row>
    <row r="1479" spans="1:20" x14ac:dyDescent="0.2">
      <c r="A1479" t="s">
        <v>1749</v>
      </c>
      <c r="B1479">
        <f>IF(COUNTIFS('United Data'!$A$3:$A$3390,B$1,'United Data'!$C$3:$C$3390,$A1479,'United Data'!$B$3:$B$3390,"&lt;&gt;Off-street")&gt;0,1,0)</f>
        <v>0</v>
      </c>
      <c r="C1479">
        <f>IF(COUNTIFS('United Data'!$A$3:$A$3390,C$1,'United Data'!$C$3:$C$3390,$A1479,'United Data'!$B$3:$B$3390,"&lt;&gt;Off-street")&gt;0,1,0)</f>
        <v>0</v>
      </c>
      <c r="D1479">
        <f>IF(COUNTIFS('United Data'!$A$3:$A$3390,D$1,'United Data'!$C$3:$C$3390,$A1479,'United Data'!$B$3:$B$3390,"&lt;&gt;Off-street")&gt;0,1,0)</f>
        <v>0</v>
      </c>
      <c r="E1479">
        <f>IF(COUNTIFS('United Data'!$A$3:$A$3390,E$1,'United Data'!$C$3:$C$3390,$A1479,'United Data'!$B$3:$B$3390,"&lt;&gt;Off-street")&gt;0,1,0)</f>
        <v>0</v>
      </c>
      <c r="F1479">
        <f>IF(COUNTIFS('United Data'!$A$3:$A$3390,F$1,'United Data'!$C$3:$C$3390,$A1479,'United Data'!$B$3:$B$3390,"&lt;&gt;Off-street")&gt;0,1,0)</f>
        <v>0</v>
      </c>
      <c r="G1479">
        <f>IF(COUNTIFS('United Data'!$A$3:$A$3390,G$1,'United Data'!$C$3:$C$3390,$A1479,'United Data'!$B$3:$B$3390,"&lt;&gt;Off-street")&gt;0,1,0)</f>
        <v>0</v>
      </c>
      <c r="H1479">
        <f>IF(COUNTIFS('United Data'!$A$3:$A$3390,H$1,'United Data'!$C$3:$C$3390,$A1479,'United Data'!$B$3:$B$3390,"&lt;&gt;Off-street")&gt;0,1,0)</f>
        <v>0</v>
      </c>
      <c r="I1479">
        <f>IF(COUNTIFS('United Data'!$A$3:$A$3390,I$1,'United Data'!$C$3:$C$3390,$A1479,'United Data'!$B$3:$B$3390,"&lt;&gt;Off-street")&gt;0,1,0)</f>
        <v>0</v>
      </c>
      <c r="J1479">
        <f>IF(COUNTIFS('United Data'!$A$3:$A$3390,J$1,'United Data'!$C$3:$C$3390,$A1479,'United Data'!$B$3:$B$3390,"&lt;&gt;Off-street")&gt;0,1,0)</f>
        <v>0</v>
      </c>
      <c r="K1479">
        <f>IF(COUNTIFS('United Data'!$A$3:$A$3390,K$1,'United Data'!$C$3:$C$3390,$A1479,'United Data'!$B$3:$B$3390,"&lt;&gt;Off-street")&gt;0,1,0)</f>
        <v>0</v>
      </c>
      <c r="L1479">
        <f>IF(COUNTIFS('United Data'!$A$3:$A$3390,L$1,'United Data'!$C$3:$C$3390,$A1479,'United Data'!$B$3:$B$3390,"&lt;&gt;Off-street")&gt;0,1,0)</f>
        <v>0</v>
      </c>
      <c r="M1479">
        <f>IF(COUNTIFS('United Data'!$A$3:$A$3390,M$1,'United Data'!$C$3:$C$3390,$A1479,'United Data'!$B$3:$B$3390,"&lt;&gt;Off-street")&gt;0,1,0)</f>
        <v>0</v>
      </c>
      <c r="N1479">
        <f>IF(COUNTIFS('United Data'!$A$3:$A$3390,N$1,'United Data'!$C$3:$C$3390,$A1479,'United Data'!$B$3:$B$3390,"&lt;&gt;Off-street")&gt;0,1,0)</f>
        <v>0</v>
      </c>
      <c r="O1479">
        <f>IF(COUNTIFS('United Data'!$A$3:$A$3390,O$1,'United Data'!$C$3:$C$3390,$A1479,'United Data'!$B$3:$B$3390,"&lt;&gt;Off-street")&gt;0,1,0)</f>
        <v>1</v>
      </c>
      <c r="P1479">
        <f>IF(COUNTIFS('United Data'!$A$3:$A$3390,P$1,'United Data'!$C$3:$C$3390,$A1479,'United Data'!$B$3:$B$3390,"&lt;&gt;Off-street")&gt;0,1,0)</f>
        <v>0</v>
      </c>
      <c r="Q1479">
        <f>IF(COUNTIFS('United Data'!$A$3:$A$3390,Q$1,'United Data'!$C$3:$C$3390,$A1479,'United Data'!$B$3:$B$3390,"&lt;&gt;Off-street")&gt;0,1,0)</f>
        <v>0</v>
      </c>
      <c r="R1479">
        <f>IF(COUNTIFS('United Data'!$A$3:$A$3390,R$1,'United Data'!$C$3:$C$3390,$A1479,'United Data'!$B$3:$B$3390,"&lt;&gt;Off-street")&gt;0,1,0)</f>
        <v>0</v>
      </c>
      <c r="S1479">
        <f t="shared" si="46"/>
        <v>1</v>
      </c>
      <c r="T1479">
        <f t="shared" si="47"/>
        <v>1</v>
      </c>
    </row>
    <row r="1480" spans="1:20" x14ac:dyDescent="0.2">
      <c r="A1480" t="s">
        <v>1750</v>
      </c>
      <c r="B1480">
        <f>IF(COUNTIFS('United Data'!$A$3:$A$3390,B$1,'United Data'!$C$3:$C$3390,$A1480,'United Data'!$B$3:$B$3390,"&lt;&gt;Off-street")&gt;0,1,0)</f>
        <v>0</v>
      </c>
      <c r="C1480">
        <f>IF(COUNTIFS('United Data'!$A$3:$A$3390,C$1,'United Data'!$C$3:$C$3390,$A1480,'United Data'!$B$3:$B$3390,"&lt;&gt;Off-street")&gt;0,1,0)</f>
        <v>0</v>
      </c>
      <c r="D1480">
        <f>IF(COUNTIFS('United Data'!$A$3:$A$3390,D$1,'United Data'!$C$3:$C$3390,$A1480,'United Data'!$B$3:$B$3390,"&lt;&gt;Off-street")&gt;0,1,0)</f>
        <v>0</v>
      </c>
      <c r="E1480">
        <f>IF(COUNTIFS('United Data'!$A$3:$A$3390,E$1,'United Data'!$C$3:$C$3390,$A1480,'United Data'!$B$3:$B$3390,"&lt;&gt;Off-street")&gt;0,1,0)</f>
        <v>0</v>
      </c>
      <c r="F1480">
        <f>IF(COUNTIFS('United Data'!$A$3:$A$3390,F$1,'United Data'!$C$3:$C$3390,$A1480,'United Data'!$B$3:$B$3390,"&lt;&gt;Off-street")&gt;0,1,0)</f>
        <v>0</v>
      </c>
      <c r="G1480">
        <f>IF(COUNTIFS('United Data'!$A$3:$A$3390,G$1,'United Data'!$C$3:$C$3390,$A1480,'United Data'!$B$3:$B$3390,"&lt;&gt;Off-street")&gt;0,1,0)</f>
        <v>0</v>
      </c>
      <c r="H1480">
        <f>IF(COUNTIFS('United Data'!$A$3:$A$3390,H$1,'United Data'!$C$3:$C$3390,$A1480,'United Data'!$B$3:$B$3390,"&lt;&gt;Off-street")&gt;0,1,0)</f>
        <v>0</v>
      </c>
      <c r="I1480">
        <f>IF(COUNTIFS('United Data'!$A$3:$A$3390,I$1,'United Data'!$C$3:$C$3390,$A1480,'United Data'!$B$3:$B$3390,"&lt;&gt;Off-street")&gt;0,1,0)</f>
        <v>0</v>
      </c>
      <c r="J1480">
        <f>IF(COUNTIFS('United Data'!$A$3:$A$3390,J$1,'United Data'!$C$3:$C$3390,$A1480,'United Data'!$B$3:$B$3390,"&lt;&gt;Off-street")&gt;0,1,0)</f>
        <v>0</v>
      </c>
      <c r="K1480">
        <f>IF(COUNTIFS('United Data'!$A$3:$A$3390,K$1,'United Data'!$C$3:$C$3390,$A1480,'United Data'!$B$3:$B$3390,"&lt;&gt;Off-street")&gt;0,1,0)</f>
        <v>0</v>
      </c>
      <c r="L1480">
        <f>IF(COUNTIFS('United Data'!$A$3:$A$3390,L$1,'United Data'!$C$3:$C$3390,$A1480,'United Data'!$B$3:$B$3390,"&lt;&gt;Off-street")&gt;0,1,0)</f>
        <v>0</v>
      </c>
      <c r="M1480">
        <f>IF(COUNTIFS('United Data'!$A$3:$A$3390,M$1,'United Data'!$C$3:$C$3390,$A1480,'United Data'!$B$3:$B$3390,"&lt;&gt;Off-street")&gt;0,1,0)</f>
        <v>0</v>
      </c>
      <c r="N1480">
        <f>IF(COUNTIFS('United Data'!$A$3:$A$3390,N$1,'United Data'!$C$3:$C$3390,$A1480,'United Data'!$B$3:$B$3390,"&lt;&gt;Off-street")&gt;0,1,0)</f>
        <v>0</v>
      </c>
      <c r="O1480">
        <f>IF(COUNTIFS('United Data'!$A$3:$A$3390,O$1,'United Data'!$C$3:$C$3390,$A1480,'United Data'!$B$3:$B$3390,"&lt;&gt;Off-street")&gt;0,1,0)</f>
        <v>1</v>
      </c>
      <c r="P1480">
        <f>IF(COUNTIFS('United Data'!$A$3:$A$3390,P$1,'United Data'!$C$3:$C$3390,$A1480,'United Data'!$B$3:$B$3390,"&lt;&gt;Off-street")&gt;0,1,0)</f>
        <v>1</v>
      </c>
      <c r="Q1480">
        <f>IF(COUNTIFS('United Data'!$A$3:$A$3390,Q$1,'United Data'!$C$3:$C$3390,$A1480,'United Data'!$B$3:$B$3390,"&lt;&gt;Off-street")&gt;0,1,0)</f>
        <v>0</v>
      </c>
      <c r="R1480">
        <f>IF(COUNTIFS('United Data'!$A$3:$A$3390,R$1,'United Data'!$C$3:$C$3390,$A1480,'United Data'!$B$3:$B$3390,"&lt;&gt;Off-street")&gt;0,1,0)</f>
        <v>0</v>
      </c>
      <c r="S1480">
        <f t="shared" si="46"/>
        <v>2</v>
      </c>
      <c r="T1480">
        <f t="shared" si="47"/>
        <v>1</v>
      </c>
    </row>
    <row r="1481" spans="1:20" x14ac:dyDescent="0.2">
      <c r="A1481" t="s">
        <v>1751</v>
      </c>
      <c r="B1481">
        <f>IF(COUNTIFS('United Data'!$A$3:$A$3390,B$1,'United Data'!$C$3:$C$3390,$A1481,'United Data'!$B$3:$B$3390,"&lt;&gt;Off-street")&gt;0,1,0)</f>
        <v>0</v>
      </c>
      <c r="C1481">
        <f>IF(COUNTIFS('United Data'!$A$3:$A$3390,C$1,'United Data'!$C$3:$C$3390,$A1481,'United Data'!$B$3:$B$3390,"&lt;&gt;Off-street")&gt;0,1,0)</f>
        <v>0</v>
      </c>
      <c r="D1481">
        <f>IF(COUNTIFS('United Data'!$A$3:$A$3390,D$1,'United Data'!$C$3:$C$3390,$A1481,'United Data'!$B$3:$B$3390,"&lt;&gt;Off-street")&gt;0,1,0)</f>
        <v>0</v>
      </c>
      <c r="E1481">
        <f>IF(COUNTIFS('United Data'!$A$3:$A$3390,E$1,'United Data'!$C$3:$C$3390,$A1481,'United Data'!$B$3:$B$3390,"&lt;&gt;Off-street")&gt;0,1,0)</f>
        <v>0</v>
      </c>
      <c r="F1481">
        <f>IF(COUNTIFS('United Data'!$A$3:$A$3390,F$1,'United Data'!$C$3:$C$3390,$A1481,'United Data'!$B$3:$B$3390,"&lt;&gt;Off-street")&gt;0,1,0)</f>
        <v>0</v>
      </c>
      <c r="G1481">
        <f>IF(COUNTIFS('United Data'!$A$3:$A$3390,G$1,'United Data'!$C$3:$C$3390,$A1481,'United Data'!$B$3:$B$3390,"&lt;&gt;Off-street")&gt;0,1,0)</f>
        <v>0</v>
      </c>
      <c r="H1481">
        <f>IF(COUNTIFS('United Data'!$A$3:$A$3390,H$1,'United Data'!$C$3:$C$3390,$A1481,'United Data'!$B$3:$B$3390,"&lt;&gt;Off-street")&gt;0,1,0)</f>
        <v>0</v>
      </c>
      <c r="I1481">
        <f>IF(COUNTIFS('United Data'!$A$3:$A$3390,I$1,'United Data'!$C$3:$C$3390,$A1481,'United Data'!$B$3:$B$3390,"&lt;&gt;Off-street")&gt;0,1,0)</f>
        <v>0</v>
      </c>
      <c r="J1481">
        <f>IF(COUNTIFS('United Data'!$A$3:$A$3390,J$1,'United Data'!$C$3:$C$3390,$A1481,'United Data'!$B$3:$B$3390,"&lt;&gt;Off-street")&gt;0,1,0)</f>
        <v>0</v>
      </c>
      <c r="K1481">
        <f>IF(COUNTIFS('United Data'!$A$3:$A$3390,K$1,'United Data'!$C$3:$C$3390,$A1481,'United Data'!$B$3:$B$3390,"&lt;&gt;Off-street")&gt;0,1,0)</f>
        <v>0</v>
      </c>
      <c r="L1481">
        <f>IF(COUNTIFS('United Data'!$A$3:$A$3390,L$1,'United Data'!$C$3:$C$3390,$A1481,'United Data'!$B$3:$B$3390,"&lt;&gt;Off-street")&gt;0,1,0)</f>
        <v>0</v>
      </c>
      <c r="M1481">
        <f>IF(COUNTIFS('United Data'!$A$3:$A$3390,M$1,'United Data'!$C$3:$C$3390,$A1481,'United Data'!$B$3:$B$3390,"&lt;&gt;Off-street")&gt;0,1,0)</f>
        <v>0</v>
      </c>
      <c r="N1481">
        <f>IF(COUNTIFS('United Data'!$A$3:$A$3390,N$1,'United Data'!$C$3:$C$3390,$A1481,'United Data'!$B$3:$B$3390,"&lt;&gt;Off-street")&gt;0,1,0)</f>
        <v>0</v>
      </c>
      <c r="O1481">
        <f>IF(COUNTIFS('United Data'!$A$3:$A$3390,O$1,'United Data'!$C$3:$C$3390,$A1481,'United Data'!$B$3:$B$3390,"&lt;&gt;Off-street")&gt;0,1,0)</f>
        <v>1</v>
      </c>
      <c r="P1481">
        <f>IF(COUNTIFS('United Data'!$A$3:$A$3390,P$1,'United Data'!$C$3:$C$3390,$A1481,'United Data'!$B$3:$B$3390,"&lt;&gt;Off-street")&gt;0,1,0)</f>
        <v>0</v>
      </c>
      <c r="Q1481">
        <f>IF(COUNTIFS('United Data'!$A$3:$A$3390,Q$1,'United Data'!$C$3:$C$3390,$A1481,'United Data'!$B$3:$B$3390,"&lt;&gt;Off-street")&gt;0,1,0)</f>
        <v>0</v>
      </c>
      <c r="R1481">
        <f>IF(COUNTIFS('United Data'!$A$3:$A$3390,R$1,'United Data'!$C$3:$C$3390,$A1481,'United Data'!$B$3:$B$3390,"&lt;&gt;Off-street")&gt;0,1,0)</f>
        <v>0</v>
      </c>
      <c r="S1481">
        <f t="shared" si="46"/>
        <v>1</v>
      </c>
      <c r="T1481">
        <f t="shared" si="47"/>
        <v>1</v>
      </c>
    </row>
    <row r="1482" spans="1:20" x14ac:dyDescent="0.2">
      <c r="A1482" t="s">
        <v>1753</v>
      </c>
      <c r="B1482">
        <f>IF(COUNTIFS('United Data'!$A$3:$A$3390,B$1,'United Data'!$C$3:$C$3390,$A1482,'United Data'!$B$3:$B$3390,"&lt;&gt;Off-street")&gt;0,1,0)</f>
        <v>0</v>
      </c>
      <c r="C1482">
        <f>IF(COUNTIFS('United Data'!$A$3:$A$3390,C$1,'United Data'!$C$3:$C$3390,$A1482,'United Data'!$B$3:$B$3390,"&lt;&gt;Off-street")&gt;0,1,0)</f>
        <v>0</v>
      </c>
      <c r="D1482">
        <f>IF(COUNTIFS('United Data'!$A$3:$A$3390,D$1,'United Data'!$C$3:$C$3390,$A1482,'United Data'!$B$3:$B$3390,"&lt;&gt;Off-street")&gt;0,1,0)</f>
        <v>0</v>
      </c>
      <c r="E1482">
        <f>IF(COUNTIFS('United Data'!$A$3:$A$3390,E$1,'United Data'!$C$3:$C$3390,$A1482,'United Data'!$B$3:$B$3390,"&lt;&gt;Off-street")&gt;0,1,0)</f>
        <v>0</v>
      </c>
      <c r="F1482">
        <f>IF(COUNTIFS('United Data'!$A$3:$A$3390,F$1,'United Data'!$C$3:$C$3390,$A1482,'United Data'!$B$3:$B$3390,"&lt;&gt;Off-street")&gt;0,1,0)</f>
        <v>0</v>
      </c>
      <c r="G1482">
        <f>IF(COUNTIFS('United Data'!$A$3:$A$3390,G$1,'United Data'!$C$3:$C$3390,$A1482,'United Data'!$B$3:$B$3390,"&lt;&gt;Off-street")&gt;0,1,0)</f>
        <v>0</v>
      </c>
      <c r="H1482">
        <f>IF(COUNTIFS('United Data'!$A$3:$A$3390,H$1,'United Data'!$C$3:$C$3390,$A1482,'United Data'!$B$3:$B$3390,"&lt;&gt;Off-street")&gt;0,1,0)</f>
        <v>0</v>
      </c>
      <c r="I1482">
        <f>IF(COUNTIFS('United Data'!$A$3:$A$3390,I$1,'United Data'!$C$3:$C$3390,$A1482,'United Data'!$B$3:$B$3390,"&lt;&gt;Off-street")&gt;0,1,0)</f>
        <v>0</v>
      </c>
      <c r="J1482">
        <f>IF(COUNTIFS('United Data'!$A$3:$A$3390,J$1,'United Data'!$C$3:$C$3390,$A1482,'United Data'!$B$3:$B$3390,"&lt;&gt;Off-street")&gt;0,1,0)</f>
        <v>0</v>
      </c>
      <c r="K1482">
        <f>IF(COUNTIFS('United Data'!$A$3:$A$3390,K$1,'United Data'!$C$3:$C$3390,$A1482,'United Data'!$B$3:$B$3390,"&lt;&gt;Off-street")&gt;0,1,0)</f>
        <v>0</v>
      </c>
      <c r="L1482">
        <f>IF(COUNTIFS('United Data'!$A$3:$A$3390,L$1,'United Data'!$C$3:$C$3390,$A1482,'United Data'!$B$3:$B$3390,"&lt;&gt;Off-street")&gt;0,1,0)</f>
        <v>0</v>
      </c>
      <c r="M1482">
        <f>IF(COUNTIFS('United Data'!$A$3:$A$3390,M$1,'United Data'!$C$3:$C$3390,$A1482,'United Data'!$B$3:$B$3390,"&lt;&gt;Off-street")&gt;0,1,0)</f>
        <v>0</v>
      </c>
      <c r="N1482">
        <f>IF(COUNTIFS('United Data'!$A$3:$A$3390,N$1,'United Data'!$C$3:$C$3390,$A1482,'United Data'!$B$3:$B$3390,"&lt;&gt;Off-street")&gt;0,1,0)</f>
        <v>0</v>
      </c>
      <c r="O1482">
        <f>IF(COUNTIFS('United Data'!$A$3:$A$3390,O$1,'United Data'!$C$3:$C$3390,$A1482,'United Data'!$B$3:$B$3390,"&lt;&gt;Off-street")&gt;0,1,0)</f>
        <v>1</v>
      </c>
      <c r="P1482">
        <f>IF(COUNTIFS('United Data'!$A$3:$A$3390,P$1,'United Data'!$C$3:$C$3390,$A1482,'United Data'!$B$3:$B$3390,"&lt;&gt;Off-street")&gt;0,1,0)</f>
        <v>0</v>
      </c>
      <c r="Q1482">
        <f>IF(COUNTIFS('United Data'!$A$3:$A$3390,Q$1,'United Data'!$C$3:$C$3390,$A1482,'United Data'!$B$3:$B$3390,"&lt;&gt;Off-street")&gt;0,1,0)</f>
        <v>0</v>
      </c>
      <c r="R1482">
        <f>IF(COUNTIFS('United Data'!$A$3:$A$3390,R$1,'United Data'!$C$3:$C$3390,$A1482,'United Data'!$B$3:$B$3390,"&lt;&gt;Off-street")&gt;0,1,0)</f>
        <v>0</v>
      </c>
      <c r="S1482">
        <f t="shared" si="46"/>
        <v>1</v>
      </c>
      <c r="T1482">
        <f t="shared" si="47"/>
        <v>1</v>
      </c>
    </row>
    <row r="1483" spans="1:20" x14ac:dyDescent="0.2">
      <c r="A1483" t="s">
        <v>1754</v>
      </c>
      <c r="B1483">
        <f>IF(COUNTIFS('United Data'!$A$3:$A$3390,B$1,'United Data'!$C$3:$C$3390,$A1483,'United Data'!$B$3:$B$3390,"&lt;&gt;Off-street")&gt;0,1,0)</f>
        <v>0</v>
      </c>
      <c r="C1483">
        <f>IF(COUNTIFS('United Data'!$A$3:$A$3390,C$1,'United Data'!$C$3:$C$3390,$A1483,'United Data'!$B$3:$B$3390,"&lt;&gt;Off-street")&gt;0,1,0)</f>
        <v>0</v>
      </c>
      <c r="D1483">
        <f>IF(COUNTIFS('United Data'!$A$3:$A$3390,D$1,'United Data'!$C$3:$C$3390,$A1483,'United Data'!$B$3:$B$3390,"&lt;&gt;Off-street")&gt;0,1,0)</f>
        <v>0</v>
      </c>
      <c r="E1483">
        <f>IF(COUNTIFS('United Data'!$A$3:$A$3390,E$1,'United Data'!$C$3:$C$3390,$A1483,'United Data'!$B$3:$B$3390,"&lt;&gt;Off-street")&gt;0,1,0)</f>
        <v>0</v>
      </c>
      <c r="F1483">
        <f>IF(COUNTIFS('United Data'!$A$3:$A$3390,F$1,'United Data'!$C$3:$C$3390,$A1483,'United Data'!$B$3:$B$3390,"&lt;&gt;Off-street")&gt;0,1,0)</f>
        <v>0</v>
      </c>
      <c r="G1483">
        <f>IF(COUNTIFS('United Data'!$A$3:$A$3390,G$1,'United Data'!$C$3:$C$3390,$A1483,'United Data'!$B$3:$B$3390,"&lt;&gt;Off-street")&gt;0,1,0)</f>
        <v>0</v>
      </c>
      <c r="H1483">
        <f>IF(COUNTIFS('United Data'!$A$3:$A$3390,H$1,'United Data'!$C$3:$C$3390,$A1483,'United Data'!$B$3:$B$3390,"&lt;&gt;Off-street")&gt;0,1,0)</f>
        <v>0</v>
      </c>
      <c r="I1483">
        <f>IF(COUNTIFS('United Data'!$A$3:$A$3390,I$1,'United Data'!$C$3:$C$3390,$A1483,'United Data'!$B$3:$B$3390,"&lt;&gt;Off-street")&gt;0,1,0)</f>
        <v>0</v>
      </c>
      <c r="J1483">
        <f>IF(COUNTIFS('United Data'!$A$3:$A$3390,J$1,'United Data'!$C$3:$C$3390,$A1483,'United Data'!$B$3:$B$3390,"&lt;&gt;Off-street")&gt;0,1,0)</f>
        <v>0</v>
      </c>
      <c r="K1483">
        <f>IF(COUNTIFS('United Data'!$A$3:$A$3390,K$1,'United Data'!$C$3:$C$3390,$A1483,'United Data'!$B$3:$B$3390,"&lt;&gt;Off-street")&gt;0,1,0)</f>
        <v>0</v>
      </c>
      <c r="L1483">
        <f>IF(COUNTIFS('United Data'!$A$3:$A$3390,L$1,'United Data'!$C$3:$C$3390,$A1483,'United Data'!$B$3:$B$3390,"&lt;&gt;Off-street")&gt;0,1,0)</f>
        <v>0</v>
      </c>
      <c r="M1483">
        <f>IF(COUNTIFS('United Data'!$A$3:$A$3390,M$1,'United Data'!$C$3:$C$3390,$A1483,'United Data'!$B$3:$B$3390,"&lt;&gt;Off-street")&gt;0,1,0)</f>
        <v>0</v>
      </c>
      <c r="N1483">
        <f>IF(COUNTIFS('United Data'!$A$3:$A$3390,N$1,'United Data'!$C$3:$C$3390,$A1483,'United Data'!$B$3:$B$3390,"&lt;&gt;Off-street")&gt;0,1,0)</f>
        <v>0</v>
      </c>
      <c r="O1483">
        <f>IF(COUNTIFS('United Data'!$A$3:$A$3390,O$1,'United Data'!$C$3:$C$3390,$A1483,'United Data'!$B$3:$B$3390,"&lt;&gt;Off-street")&gt;0,1,0)</f>
        <v>1</v>
      </c>
      <c r="P1483">
        <f>IF(COUNTIFS('United Data'!$A$3:$A$3390,P$1,'United Data'!$C$3:$C$3390,$A1483,'United Data'!$B$3:$B$3390,"&lt;&gt;Off-street")&gt;0,1,0)</f>
        <v>0</v>
      </c>
      <c r="Q1483">
        <f>IF(COUNTIFS('United Data'!$A$3:$A$3390,Q$1,'United Data'!$C$3:$C$3390,$A1483,'United Data'!$B$3:$B$3390,"&lt;&gt;Off-street")&gt;0,1,0)</f>
        <v>0</v>
      </c>
      <c r="R1483">
        <f>IF(COUNTIFS('United Data'!$A$3:$A$3390,R$1,'United Data'!$C$3:$C$3390,$A1483,'United Data'!$B$3:$B$3390,"&lt;&gt;Off-street")&gt;0,1,0)</f>
        <v>0</v>
      </c>
      <c r="S1483">
        <f t="shared" si="46"/>
        <v>1</v>
      </c>
      <c r="T1483">
        <f t="shared" si="47"/>
        <v>1</v>
      </c>
    </row>
    <row r="1484" spans="1:20" x14ac:dyDescent="0.2">
      <c r="A1484" t="s">
        <v>1755</v>
      </c>
      <c r="B1484">
        <f>IF(COUNTIFS('United Data'!$A$3:$A$3390,B$1,'United Data'!$C$3:$C$3390,$A1484,'United Data'!$B$3:$B$3390,"&lt;&gt;Off-street")&gt;0,1,0)</f>
        <v>0</v>
      </c>
      <c r="C1484">
        <f>IF(COUNTIFS('United Data'!$A$3:$A$3390,C$1,'United Data'!$C$3:$C$3390,$A1484,'United Data'!$B$3:$B$3390,"&lt;&gt;Off-street")&gt;0,1,0)</f>
        <v>0</v>
      </c>
      <c r="D1484">
        <f>IF(COUNTIFS('United Data'!$A$3:$A$3390,D$1,'United Data'!$C$3:$C$3390,$A1484,'United Data'!$B$3:$B$3390,"&lt;&gt;Off-street")&gt;0,1,0)</f>
        <v>0</v>
      </c>
      <c r="E1484">
        <f>IF(COUNTIFS('United Data'!$A$3:$A$3390,E$1,'United Data'!$C$3:$C$3390,$A1484,'United Data'!$B$3:$B$3390,"&lt;&gt;Off-street")&gt;0,1,0)</f>
        <v>0</v>
      </c>
      <c r="F1484">
        <f>IF(COUNTIFS('United Data'!$A$3:$A$3390,F$1,'United Data'!$C$3:$C$3390,$A1484,'United Data'!$B$3:$B$3390,"&lt;&gt;Off-street")&gt;0,1,0)</f>
        <v>0</v>
      </c>
      <c r="G1484">
        <f>IF(COUNTIFS('United Data'!$A$3:$A$3390,G$1,'United Data'!$C$3:$C$3390,$A1484,'United Data'!$B$3:$B$3390,"&lt;&gt;Off-street")&gt;0,1,0)</f>
        <v>0</v>
      </c>
      <c r="H1484">
        <f>IF(COUNTIFS('United Data'!$A$3:$A$3390,H$1,'United Data'!$C$3:$C$3390,$A1484,'United Data'!$B$3:$B$3390,"&lt;&gt;Off-street")&gt;0,1,0)</f>
        <v>0</v>
      </c>
      <c r="I1484">
        <f>IF(COUNTIFS('United Data'!$A$3:$A$3390,I$1,'United Data'!$C$3:$C$3390,$A1484,'United Data'!$B$3:$B$3390,"&lt;&gt;Off-street")&gt;0,1,0)</f>
        <v>0</v>
      </c>
      <c r="J1484">
        <f>IF(COUNTIFS('United Data'!$A$3:$A$3390,J$1,'United Data'!$C$3:$C$3390,$A1484,'United Data'!$B$3:$B$3390,"&lt;&gt;Off-street")&gt;0,1,0)</f>
        <v>0</v>
      </c>
      <c r="K1484">
        <f>IF(COUNTIFS('United Data'!$A$3:$A$3390,K$1,'United Data'!$C$3:$C$3390,$A1484,'United Data'!$B$3:$B$3390,"&lt;&gt;Off-street")&gt;0,1,0)</f>
        <v>0</v>
      </c>
      <c r="L1484">
        <f>IF(COUNTIFS('United Data'!$A$3:$A$3390,L$1,'United Data'!$C$3:$C$3390,$A1484,'United Data'!$B$3:$B$3390,"&lt;&gt;Off-street")&gt;0,1,0)</f>
        <v>0</v>
      </c>
      <c r="M1484">
        <f>IF(COUNTIFS('United Data'!$A$3:$A$3390,M$1,'United Data'!$C$3:$C$3390,$A1484,'United Data'!$B$3:$B$3390,"&lt;&gt;Off-street")&gt;0,1,0)</f>
        <v>0</v>
      </c>
      <c r="N1484">
        <f>IF(COUNTIFS('United Data'!$A$3:$A$3390,N$1,'United Data'!$C$3:$C$3390,$A1484,'United Data'!$B$3:$B$3390,"&lt;&gt;Off-street")&gt;0,1,0)</f>
        <v>0</v>
      </c>
      <c r="O1484">
        <f>IF(COUNTIFS('United Data'!$A$3:$A$3390,O$1,'United Data'!$C$3:$C$3390,$A1484,'United Data'!$B$3:$B$3390,"&lt;&gt;Off-street")&gt;0,1,0)</f>
        <v>1</v>
      </c>
      <c r="P1484">
        <f>IF(COUNTIFS('United Data'!$A$3:$A$3390,P$1,'United Data'!$C$3:$C$3390,$A1484,'United Data'!$B$3:$B$3390,"&lt;&gt;Off-street")&gt;0,1,0)</f>
        <v>0</v>
      </c>
      <c r="Q1484">
        <f>IF(COUNTIFS('United Data'!$A$3:$A$3390,Q$1,'United Data'!$C$3:$C$3390,$A1484,'United Data'!$B$3:$B$3390,"&lt;&gt;Off-street")&gt;0,1,0)</f>
        <v>0</v>
      </c>
      <c r="R1484">
        <f>IF(COUNTIFS('United Data'!$A$3:$A$3390,R$1,'United Data'!$C$3:$C$3390,$A1484,'United Data'!$B$3:$B$3390,"&lt;&gt;Off-street")&gt;0,1,0)</f>
        <v>0</v>
      </c>
      <c r="S1484">
        <f t="shared" si="46"/>
        <v>1</v>
      </c>
      <c r="T1484">
        <f t="shared" si="47"/>
        <v>1</v>
      </c>
    </row>
    <row r="1485" spans="1:20" x14ac:dyDescent="0.2">
      <c r="A1485" t="s">
        <v>1756</v>
      </c>
      <c r="B1485">
        <f>IF(COUNTIFS('United Data'!$A$3:$A$3390,B$1,'United Data'!$C$3:$C$3390,$A1485,'United Data'!$B$3:$B$3390,"&lt;&gt;Off-street")&gt;0,1,0)</f>
        <v>0</v>
      </c>
      <c r="C1485">
        <f>IF(COUNTIFS('United Data'!$A$3:$A$3390,C$1,'United Data'!$C$3:$C$3390,$A1485,'United Data'!$B$3:$B$3390,"&lt;&gt;Off-street")&gt;0,1,0)</f>
        <v>0</v>
      </c>
      <c r="D1485">
        <f>IF(COUNTIFS('United Data'!$A$3:$A$3390,D$1,'United Data'!$C$3:$C$3390,$A1485,'United Data'!$B$3:$B$3390,"&lt;&gt;Off-street")&gt;0,1,0)</f>
        <v>0</v>
      </c>
      <c r="E1485">
        <f>IF(COUNTIFS('United Data'!$A$3:$A$3390,E$1,'United Data'!$C$3:$C$3390,$A1485,'United Data'!$B$3:$B$3390,"&lt;&gt;Off-street")&gt;0,1,0)</f>
        <v>0</v>
      </c>
      <c r="F1485">
        <f>IF(COUNTIFS('United Data'!$A$3:$A$3390,F$1,'United Data'!$C$3:$C$3390,$A1485,'United Data'!$B$3:$B$3390,"&lt;&gt;Off-street")&gt;0,1,0)</f>
        <v>0</v>
      </c>
      <c r="G1485">
        <f>IF(COUNTIFS('United Data'!$A$3:$A$3390,G$1,'United Data'!$C$3:$C$3390,$A1485,'United Data'!$B$3:$B$3390,"&lt;&gt;Off-street")&gt;0,1,0)</f>
        <v>0</v>
      </c>
      <c r="H1485">
        <f>IF(COUNTIFS('United Data'!$A$3:$A$3390,H$1,'United Data'!$C$3:$C$3390,$A1485,'United Data'!$B$3:$B$3390,"&lt;&gt;Off-street")&gt;0,1,0)</f>
        <v>0</v>
      </c>
      <c r="I1485">
        <f>IF(COUNTIFS('United Data'!$A$3:$A$3390,I$1,'United Data'!$C$3:$C$3390,$A1485,'United Data'!$B$3:$B$3390,"&lt;&gt;Off-street")&gt;0,1,0)</f>
        <v>0</v>
      </c>
      <c r="J1485">
        <f>IF(COUNTIFS('United Data'!$A$3:$A$3390,J$1,'United Data'!$C$3:$C$3390,$A1485,'United Data'!$B$3:$B$3390,"&lt;&gt;Off-street")&gt;0,1,0)</f>
        <v>0</v>
      </c>
      <c r="K1485">
        <f>IF(COUNTIFS('United Data'!$A$3:$A$3390,K$1,'United Data'!$C$3:$C$3390,$A1485,'United Data'!$B$3:$B$3390,"&lt;&gt;Off-street")&gt;0,1,0)</f>
        <v>0</v>
      </c>
      <c r="L1485">
        <f>IF(COUNTIFS('United Data'!$A$3:$A$3390,L$1,'United Data'!$C$3:$C$3390,$A1485,'United Data'!$B$3:$B$3390,"&lt;&gt;Off-street")&gt;0,1,0)</f>
        <v>0</v>
      </c>
      <c r="M1485">
        <f>IF(COUNTIFS('United Data'!$A$3:$A$3390,M$1,'United Data'!$C$3:$C$3390,$A1485,'United Data'!$B$3:$B$3390,"&lt;&gt;Off-street")&gt;0,1,0)</f>
        <v>0</v>
      </c>
      <c r="N1485">
        <f>IF(COUNTIFS('United Data'!$A$3:$A$3390,N$1,'United Data'!$C$3:$C$3390,$A1485,'United Data'!$B$3:$B$3390,"&lt;&gt;Off-street")&gt;0,1,0)</f>
        <v>0</v>
      </c>
      <c r="O1485">
        <f>IF(COUNTIFS('United Data'!$A$3:$A$3390,O$1,'United Data'!$C$3:$C$3390,$A1485,'United Data'!$B$3:$B$3390,"&lt;&gt;Off-street")&gt;0,1,0)</f>
        <v>1</v>
      </c>
      <c r="P1485">
        <f>IF(COUNTIFS('United Data'!$A$3:$A$3390,P$1,'United Data'!$C$3:$C$3390,$A1485,'United Data'!$B$3:$B$3390,"&lt;&gt;Off-street")&gt;0,1,0)</f>
        <v>0</v>
      </c>
      <c r="Q1485">
        <f>IF(COUNTIFS('United Data'!$A$3:$A$3390,Q$1,'United Data'!$C$3:$C$3390,$A1485,'United Data'!$B$3:$B$3390,"&lt;&gt;Off-street")&gt;0,1,0)</f>
        <v>0</v>
      </c>
      <c r="R1485">
        <f>IF(COUNTIFS('United Data'!$A$3:$A$3390,R$1,'United Data'!$C$3:$C$3390,$A1485,'United Data'!$B$3:$B$3390,"&lt;&gt;Off-street")&gt;0,1,0)</f>
        <v>0</v>
      </c>
      <c r="S1485">
        <f t="shared" si="46"/>
        <v>1</v>
      </c>
      <c r="T1485">
        <f t="shared" si="47"/>
        <v>1</v>
      </c>
    </row>
    <row r="1486" spans="1:20" x14ac:dyDescent="0.2">
      <c r="A1486" t="s">
        <v>1757</v>
      </c>
      <c r="B1486">
        <f>IF(COUNTIFS('United Data'!$A$3:$A$3390,B$1,'United Data'!$C$3:$C$3390,$A1486,'United Data'!$B$3:$B$3390,"&lt;&gt;Off-street")&gt;0,1,0)</f>
        <v>0</v>
      </c>
      <c r="C1486">
        <f>IF(COUNTIFS('United Data'!$A$3:$A$3390,C$1,'United Data'!$C$3:$C$3390,$A1486,'United Data'!$B$3:$B$3390,"&lt;&gt;Off-street")&gt;0,1,0)</f>
        <v>0</v>
      </c>
      <c r="D1486">
        <f>IF(COUNTIFS('United Data'!$A$3:$A$3390,D$1,'United Data'!$C$3:$C$3390,$A1486,'United Data'!$B$3:$B$3390,"&lt;&gt;Off-street")&gt;0,1,0)</f>
        <v>0</v>
      </c>
      <c r="E1486">
        <f>IF(COUNTIFS('United Data'!$A$3:$A$3390,E$1,'United Data'!$C$3:$C$3390,$A1486,'United Data'!$B$3:$B$3390,"&lt;&gt;Off-street")&gt;0,1,0)</f>
        <v>0</v>
      </c>
      <c r="F1486">
        <f>IF(COUNTIFS('United Data'!$A$3:$A$3390,F$1,'United Data'!$C$3:$C$3390,$A1486,'United Data'!$B$3:$B$3390,"&lt;&gt;Off-street")&gt;0,1,0)</f>
        <v>0</v>
      </c>
      <c r="G1486">
        <f>IF(COUNTIFS('United Data'!$A$3:$A$3390,G$1,'United Data'!$C$3:$C$3390,$A1486,'United Data'!$B$3:$B$3390,"&lt;&gt;Off-street")&gt;0,1,0)</f>
        <v>0</v>
      </c>
      <c r="H1486">
        <f>IF(COUNTIFS('United Data'!$A$3:$A$3390,H$1,'United Data'!$C$3:$C$3390,$A1486,'United Data'!$B$3:$B$3390,"&lt;&gt;Off-street")&gt;0,1,0)</f>
        <v>0</v>
      </c>
      <c r="I1486">
        <f>IF(COUNTIFS('United Data'!$A$3:$A$3390,I$1,'United Data'!$C$3:$C$3390,$A1486,'United Data'!$B$3:$B$3390,"&lt;&gt;Off-street")&gt;0,1,0)</f>
        <v>0</v>
      </c>
      <c r="J1486">
        <f>IF(COUNTIFS('United Data'!$A$3:$A$3390,J$1,'United Data'!$C$3:$C$3390,$A1486,'United Data'!$B$3:$B$3390,"&lt;&gt;Off-street")&gt;0,1,0)</f>
        <v>0</v>
      </c>
      <c r="K1486">
        <f>IF(COUNTIFS('United Data'!$A$3:$A$3390,K$1,'United Data'!$C$3:$C$3390,$A1486,'United Data'!$B$3:$B$3390,"&lt;&gt;Off-street")&gt;0,1,0)</f>
        <v>0</v>
      </c>
      <c r="L1486">
        <f>IF(COUNTIFS('United Data'!$A$3:$A$3390,L$1,'United Data'!$C$3:$C$3390,$A1486,'United Data'!$B$3:$B$3390,"&lt;&gt;Off-street")&gt;0,1,0)</f>
        <v>0</v>
      </c>
      <c r="M1486">
        <f>IF(COUNTIFS('United Data'!$A$3:$A$3390,M$1,'United Data'!$C$3:$C$3390,$A1486,'United Data'!$B$3:$B$3390,"&lt;&gt;Off-street")&gt;0,1,0)</f>
        <v>0</v>
      </c>
      <c r="N1486">
        <f>IF(COUNTIFS('United Data'!$A$3:$A$3390,N$1,'United Data'!$C$3:$C$3390,$A1486,'United Data'!$B$3:$B$3390,"&lt;&gt;Off-street")&gt;0,1,0)</f>
        <v>0</v>
      </c>
      <c r="O1486">
        <f>IF(COUNTIFS('United Data'!$A$3:$A$3390,O$1,'United Data'!$C$3:$C$3390,$A1486,'United Data'!$B$3:$B$3390,"&lt;&gt;Off-street")&gt;0,1,0)</f>
        <v>1</v>
      </c>
      <c r="P1486">
        <f>IF(COUNTIFS('United Data'!$A$3:$A$3390,P$1,'United Data'!$C$3:$C$3390,$A1486,'United Data'!$B$3:$B$3390,"&lt;&gt;Off-street")&gt;0,1,0)</f>
        <v>0</v>
      </c>
      <c r="Q1486">
        <f>IF(COUNTIFS('United Data'!$A$3:$A$3390,Q$1,'United Data'!$C$3:$C$3390,$A1486,'United Data'!$B$3:$B$3390,"&lt;&gt;Off-street")&gt;0,1,0)</f>
        <v>0</v>
      </c>
      <c r="R1486">
        <f>IF(COUNTIFS('United Data'!$A$3:$A$3390,R$1,'United Data'!$C$3:$C$3390,$A1486,'United Data'!$B$3:$B$3390,"&lt;&gt;Off-street")&gt;0,1,0)</f>
        <v>0</v>
      </c>
      <c r="S1486">
        <f t="shared" si="46"/>
        <v>1</v>
      </c>
      <c r="T1486">
        <f t="shared" si="47"/>
        <v>1</v>
      </c>
    </row>
    <row r="1487" spans="1:20" x14ac:dyDescent="0.2">
      <c r="A1487" t="s">
        <v>1758</v>
      </c>
      <c r="B1487">
        <f>IF(COUNTIFS('United Data'!$A$3:$A$3390,B$1,'United Data'!$C$3:$C$3390,$A1487,'United Data'!$B$3:$B$3390,"&lt;&gt;Off-street")&gt;0,1,0)</f>
        <v>0</v>
      </c>
      <c r="C1487">
        <f>IF(COUNTIFS('United Data'!$A$3:$A$3390,C$1,'United Data'!$C$3:$C$3390,$A1487,'United Data'!$B$3:$B$3390,"&lt;&gt;Off-street")&gt;0,1,0)</f>
        <v>0</v>
      </c>
      <c r="D1487">
        <f>IF(COUNTIFS('United Data'!$A$3:$A$3390,D$1,'United Data'!$C$3:$C$3390,$A1487,'United Data'!$B$3:$B$3390,"&lt;&gt;Off-street")&gt;0,1,0)</f>
        <v>0</v>
      </c>
      <c r="E1487">
        <f>IF(COUNTIFS('United Data'!$A$3:$A$3390,E$1,'United Data'!$C$3:$C$3390,$A1487,'United Data'!$B$3:$B$3390,"&lt;&gt;Off-street")&gt;0,1,0)</f>
        <v>0</v>
      </c>
      <c r="F1487">
        <f>IF(COUNTIFS('United Data'!$A$3:$A$3390,F$1,'United Data'!$C$3:$C$3390,$A1487,'United Data'!$B$3:$B$3390,"&lt;&gt;Off-street")&gt;0,1,0)</f>
        <v>0</v>
      </c>
      <c r="G1487">
        <f>IF(COUNTIFS('United Data'!$A$3:$A$3390,G$1,'United Data'!$C$3:$C$3390,$A1487,'United Data'!$B$3:$B$3390,"&lt;&gt;Off-street")&gt;0,1,0)</f>
        <v>0</v>
      </c>
      <c r="H1487">
        <f>IF(COUNTIFS('United Data'!$A$3:$A$3390,H$1,'United Data'!$C$3:$C$3390,$A1487,'United Data'!$B$3:$B$3390,"&lt;&gt;Off-street")&gt;0,1,0)</f>
        <v>0</v>
      </c>
      <c r="I1487">
        <f>IF(COUNTIFS('United Data'!$A$3:$A$3390,I$1,'United Data'!$C$3:$C$3390,$A1487,'United Data'!$B$3:$B$3390,"&lt;&gt;Off-street")&gt;0,1,0)</f>
        <v>0</v>
      </c>
      <c r="J1487">
        <f>IF(COUNTIFS('United Data'!$A$3:$A$3390,J$1,'United Data'!$C$3:$C$3390,$A1487,'United Data'!$B$3:$B$3390,"&lt;&gt;Off-street")&gt;0,1,0)</f>
        <v>0</v>
      </c>
      <c r="K1487">
        <f>IF(COUNTIFS('United Data'!$A$3:$A$3390,K$1,'United Data'!$C$3:$C$3390,$A1487,'United Data'!$B$3:$B$3390,"&lt;&gt;Off-street")&gt;0,1,0)</f>
        <v>0</v>
      </c>
      <c r="L1487">
        <f>IF(COUNTIFS('United Data'!$A$3:$A$3390,L$1,'United Data'!$C$3:$C$3390,$A1487,'United Data'!$B$3:$B$3390,"&lt;&gt;Off-street")&gt;0,1,0)</f>
        <v>0</v>
      </c>
      <c r="M1487">
        <f>IF(COUNTIFS('United Data'!$A$3:$A$3390,M$1,'United Data'!$C$3:$C$3390,$A1487,'United Data'!$B$3:$B$3390,"&lt;&gt;Off-street")&gt;0,1,0)</f>
        <v>0</v>
      </c>
      <c r="N1487">
        <f>IF(COUNTIFS('United Data'!$A$3:$A$3390,N$1,'United Data'!$C$3:$C$3390,$A1487,'United Data'!$B$3:$B$3390,"&lt;&gt;Off-street")&gt;0,1,0)</f>
        <v>0</v>
      </c>
      <c r="O1487">
        <f>IF(COUNTIFS('United Data'!$A$3:$A$3390,O$1,'United Data'!$C$3:$C$3390,$A1487,'United Data'!$B$3:$B$3390,"&lt;&gt;Off-street")&gt;0,1,0)</f>
        <v>1</v>
      </c>
      <c r="P1487">
        <f>IF(COUNTIFS('United Data'!$A$3:$A$3390,P$1,'United Data'!$C$3:$C$3390,$A1487,'United Data'!$B$3:$B$3390,"&lt;&gt;Off-street")&gt;0,1,0)</f>
        <v>1</v>
      </c>
      <c r="Q1487">
        <f>IF(COUNTIFS('United Data'!$A$3:$A$3390,Q$1,'United Data'!$C$3:$C$3390,$A1487,'United Data'!$B$3:$B$3390,"&lt;&gt;Off-street")&gt;0,1,0)</f>
        <v>0</v>
      </c>
      <c r="R1487">
        <f>IF(COUNTIFS('United Data'!$A$3:$A$3390,R$1,'United Data'!$C$3:$C$3390,$A1487,'United Data'!$B$3:$B$3390,"&lt;&gt;Off-street")&gt;0,1,0)</f>
        <v>0</v>
      </c>
      <c r="S1487">
        <f t="shared" si="46"/>
        <v>2</v>
      </c>
      <c r="T1487">
        <f t="shared" si="47"/>
        <v>1</v>
      </c>
    </row>
    <row r="1488" spans="1:20" x14ac:dyDescent="0.2">
      <c r="A1488" t="s">
        <v>1759</v>
      </c>
      <c r="B1488">
        <f>IF(COUNTIFS('United Data'!$A$3:$A$3390,B$1,'United Data'!$C$3:$C$3390,$A1488,'United Data'!$B$3:$B$3390,"&lt;&gt;Off-street")&gt;0,1,0)</f>
        <v>0</v>
      </c>
      <c r="C1488">
        <f>IF(COUNTIFS('United Data'!$A$3:$A$3390,C$1,'United Data'!$C$3:$C$3390,$A1488,'United Data'!$B$3:$B$3390,"&lt;&gt;Off-street")&gt;0,1,0)</f>
        <v>0</v>
      </c>
      <c r="D1488">
        <f>IF(COUNTIFS('United Data'!$A$3:$A$3390,D$1,'United Data'!$C$3:$C$3390,$A1488,'United Data'!$B$3:$B$3390,"&lt;&gt;Off-street")&gt;0,1,0)</f>
        <v>0</v>
      </c>
      <c r="E1488">
        <f>IF(COUNTIFS('United Data'!$A$3:$A$3390,E$1,'United Data'!$C$3:$C$3390,$A1488,'United Data'!$B$3:$B$3390,"&lt;&gt;Off-street")&gt;0,1,0)</f>
        <v>0</v>
      </c>
      <c r="F1488">
        <f>IF(COUNTIFS('United Data'!$A$3:$A$3390,F$1,'United Data'!$C$3:$C$3390,$A1488,'United Data'!$B$3:$B$3390,"&lt;&gt;Off-street")&gt;0,1,0)</f>
        <v>0</v>
      </c>
      <c r="G1488">
        <f>IF(COUNTIFS('United Data'!$A$3:$A$3390,G$1,'United Data'!$C$3:$C$3390,$A1488,'United Data'!$B$3:$B$3390,"&lt;&gt;Off-street")&gt;0,1,0)</f>
        <v>0</v>
      </c>
      <c r="H1488">
        <f>IF(COUNTIFS('United Data'!$A$3:$A$3390,H$1,'United Data'!$C$3:$C$3390,$A1488,'United Data'!$B$3:$B$3390,"&lt;&gt;Off-street")&gt;0,1,0)</f>
        <v>0</v>
      </c>
      <c r="I1488">
        <f>IF(COUNTIFS('United Data'!$A$3:$A$3390,I$1,'United Data'!$C$3:$C$3390,$A1488,'United Data'!$B$3:$B$3390,"&lt;&gt;Off-street")&gt;0,1,0)</f>
        <v>0</v>
      </c>
      <c r="J1488">
        <f>IF(COUNTIFS('United Data'!$A$3:$A$3390,J$1,'United Data'!$C$3:$C$3390,$A1488,'United Data'!$B$3:$B$3390,"&lt;&gt;Off-street")&gt;0,1,0)</f>
        <v>0</v>
      </c>
      <c r="K1488">
        <f>IF(COUNTIFS('United Data'!$A$3:$A$3390,K$1,'United Data'!$C$3:$C$3390,$A1488,'United Data'!$B$3:$B$3390,"&lt;&gt;Off-street")&gt;0,1,0)</f>
        <v>0</v>
      </c>
      <c r="L1488">
        <f>IF(COUNTIFS('United Data'!$A$3:$A$3390,L$1,'United Data'!$C$3:$C$3390,$A1488,'United Data'!$B$3:$B$3390,"&lt;&gt;Off-street")&gt;0,1,0)</f>
        <v>0</v>
      </c>
      <c r="M1488">
        <f>IF(COUNTIFS('United Data'!$A$3:$A$3390,M$1,'United Data'!$C$3:$C$3390,$A1488,'United Data'!$B$3:$B$3390,"&lt;&gt;Off-street")&gt;0,1,0)</f>
        <v>0</v>
      </c>
      <c r="N1488">
        <f>IF(COUNTIFS('United Data'!$A$3:$A$3390,N$1,'United Data'!$C$3:$C$3390,$A1488,'United Data'!$B$3:$B$3390,"&lt;&gt;Off-street")&gt;0,1,0)</f>
        <v>0</v>
      </c>
      <c r="O1488">
        <f>IF(COUNTIFS('United Data'!$A$3:$A$3390,O$1,'United Data'!$C$3:$C$3390,$A1488,'United Data'!$B$3:$B$3390,"&lt;&gt;Off-street")&gt;0,1,0)</f>
        <v>1</v>
      </c>
      <c r="P1488">
        <f>IF(COUNTIFS('United Data'!$A$3:$A$3390,P$1,'United Data'!$C$3:$C$3390,$A1488,'United Data'!$B$3:$B$3390,"&lt;&gt;Off-street")&gt;0,1,0)</f>
        <v>0</v>
      </c>
      <c r="Q1488">
        <f>IF(COUNTIFS('United Data'!$A$3:$A$3390,Q$1,'United Data'!$C$3:$C$3390,$A1488,'United Data'!$B$3:$B$3390,"&lt;&gt;Off-street")&gt;0,1,0)</f>
        <v>0</v>
      </c>
      <c r="R1488">
        <f>IF(COUNTIFS('United Data'!$A$3:$A$3390,R$1,'United Data'!$C$3:$C$3390,$A1488,'United Data'!$B$3:$B$3390,"&lt;&gt;Off-street")&gt;0,1,0)</f>
        <v>0</v>
      </c>
      <c r="S1488">
        <f t="shared" si="46"/>
        <v>1</v>
      </c>
      <c r="T1488">
        <f t="shared" si="47"/>
        <v>1</v>
      </c>
    </row>
    <row r="1489" spans="1:20" x14ac:dyDescent="0.2">
      <c r="A1489" t="s">
        <v>1760</v>
      </c>
      <c r="B1489">
        <f>IF(COUNTIFS('United Data'!$A$3:$A$3390,B$1,'United Data'!$C$3:$C$3390,$A1489,'United Data'!$B$3:$B$3390,"&lt;&gt;Off-street")&gt;0,1,0)</f>
        <v>0</v>
      </c>
      <c r="C1489">
        <f>IF(COUNTIFS('United Data'!$A$3:$A$3390,C$1,'United Data'!$C$3:$C$3390,$A1489,'United Data'!$B$3:$B$3390,"&lt;&gt;Off-street")&gt;0,1,0)</f>
        <v>0</v>
      </c>
      <c r="D1489">
        <f>IF(COUNTIFS('United Data'!$A$3:$A$3390,D$1,'United Data'!$C$3:$C$3390,$A1489,'United Data'!$B$3:$B$3390,"&lt;&gt;Off-street")&gt;0,1,0)</f>
        <v>0</v>
      </c>
      <c r="E1489">
        <f>IF(COUNTIFS('United Data'!$A$3:$A$3390,E$1,'United Data'!$C$3:$C$3390,$A1489,'United Data'!$B$3:$B$3390,"&lt;&gt;Off-street")&gt;0,1,0)</f>
        <v>0</v>
      </c>
      <c r="F1489">
        <f>IF(COUNTIFS('United Data'!$A$3:$A$3390,F$1,'United Data'!$C$3:$C$3390,$A1489,'United Data'!$B$3:$B$3390,"&lt;&gt;Off-street")&gt;0,1,0)</f>
        <v>0</v>
      </c>
      <c r="G1489">
        <f>IF(COUNTIFS('United Data'!$A$3:$A$3390,G$1,'United Data'!$C$3:$C$3390,$A1489,'United Data'!$B$3:$B$3390,"&lt;&gt;Off-street")&gt;0,1,0)</f>
        <v>0</v>
      </c>
      <c r="H1489">
        <f>IF(COUNTIFS('United Data'!$A$3:$A$3390,H$1,'United Data'!$C$3:$C$3390,$A1489,'United Data'!$B$3:$B$3390,"&lt;&gt;Off-street")&gt;0,1,0)</f>
        <v>0</v>
      </c>
      <c r="I1489">
        <f>IF(COUNTIFS('United Data'!$A$3:$A$3390,I$1,'United Data'!$C$3:$C$3390,$A1489,'United Data'!$B$3:$B$3390,"&lt;&gt;Off-street")&gt;0,1,0)</f>
        <v>0</v>
      </c>
      <c r="J1489">
        <f>IF(COUNTIFS('United Data'!$A$3:$A$3390,J$1,'United Data'!$C$3:$C$3390,$A1489,'United Data'!$B$3:$B$3390,"&lt;&gt;Off-street")&gt;0,1,0)</f>
        <v>0</v>
      </c>
      <c r="K1489">
        <f>IF(COUNTIFS('United Data'!$A$3:$A$3390,K$1,'United Data'!$C$3:$C$3390,$A1489,'United Data'!$B$3:$B$3390,"&lt;&gt;Off-street")&gt;0,1,0)</f>
        <v>0</v>
      </c>
      <c r="L1489">
        <f>IF(COUNTIFS('United Data'!$A$3:$A$3390,L$1,'United Data'!$C$3:$C$3390,$A1489,'United Data'!$B$3:$B$3390,"&lt;&gt;Off-street")&gt;0,1,0)</f>
        <v>0</v>
      </c>
      <c r="M1489">
        <f>IF(COUNTIFS('United Data'!$A$3:$A$3390,M$1,'United Data'!$C$3:$C$3390,$A1489,'United Data'!$B$3:$B$3390,"&lt;&gt;Off-street")&gt;0,1,0)</f>
        <v>0</v>
      </c>
      <c r="N1489">
        <f>IF(COUNTIFS('United Data'!$A$3:$A$3390,N$1,'United Data'!$C$3:$C$3390,$A1489,'United Data'!$B$3:$B$3390,"&lt;&gt;Off-street")&gt;0,1,0)</f>
        <v>0</v>
      </c>
      <c r="O1489">
        <f>IF(COUNTIFS('United Data'!$A$3:$A$3390,O$1,'United Data'!$C$3:$C$3390,$A1489,'United Data'!$B$3:$B$3390,"&lt;&gt;Off-street")&gt;0,1,0)</f>
        <v>0</v>
      </c>
      <c r="P1489">
        <f>IF(COUNTIFS('United Data'!$A$3:$A$3390,P$1,'United Data'!$C$3:$C$3390,$A1489,'United Data'!$B$3:$B$3390,"&lt;&gt;Off-street")&gt;0,1,0)</f>
        <v>1</v>
      </c>
      <c r="Q1489">
        <f>IF(COUNTIFS('United Data'!$A$3:$A$3390,Q$1,'United Data'!$C$3:$C$3390,$A1489,'United Data'!$B$3:$B$3390,"&lt;&gt;Off-street")&gt;0,1,0)</f>
        <v>0</v>
      </c>
      <c r="R1489">
        <f>IF(COUNTIFS('United Data'!$A$3:$A$3390,R$1,'United Data'!$C$3:$C$3390,$A1489,'United Data'!$B$3:$B$3390,"&lt;&gt;Off-street")&gt;0,1,0)</f>
        <v>0</v>
      </c>
      <c r="S1489">
        <f t="shared" si="46"/>
        <v>1</v>
      </c>
      <c r="T1489">
        <f t="shared" si="47"/>
        <v>1</v>
      </c>
    </row>
    <row r="1490" spans="1:20" x14ac:dyDescent="0.2">
      <c r="A1490" t="s">
        <v>1762</v>
      </c>
      <c r="B1490">
        <f>IF(COUNTIFS('United Data'!$A$3:$A$3390,B$1,'United Data'!$C$3:$C$3390,$A1490,'United Data'!$B$3:$B$3390,"&lt;&gt;Off-street")&gt;0,1,0)</f>
        <v>0</v>
      </c>
      <c r="C1490">
        <f>IF(COUNTIFS('United Data'!$A$3:$A$3390,C$1,'United Data'!$C$3:$C$3390,$A1490,'United Data'!$B$3:$B$3390,"&lt;&gt;Off-street")&gt;0,1,0)</f>
        <v>0</v>
      </c>
      <c r="D1490">
        <f>IF(COUNTIFS('United Data'!$A$3:$A$3390,D$1,'United Data'!$C$3:$C$3390,$A1490,'United Data'!$B$3:$B$3390,"&lt;&gt;Off-street")&gt;0,1,0)</f>
        <v>0</v>
      </c>
      <c r="E1490">
        <f>IF(COUNTIFS('United Data'!$A$3:$A$3390,E$1,'United Data'!$C$3:$C$3390,$A1490,'United Data'!$B$3:$B$3390,"&lt;&gt;Off-street")&gt;0,1,0)</f>
        <v>0</v>
      </c>
      <c r="F1490">
        <f>IF(COUNTIFS('United Data'!$A$3:$A$3390,F$1,'United Data'!$C$3:$C$3390,$A1490,'United Data'!$B$3:$B$3390,"&lt;&gt;Off-street")&gt;0,1,0)</f>
        <v>0</v>
      </c>
      <c r="G1490">
        <f>IF(COUNTIFS('United Data'!$A$3:$A$3390,G$1,'United Data'!$C$3:$C$3390,$A1490,'United Data'!$B$3:$B$3390,"&lt;&gt;Off-street")&gt;0,1,0)</f>
        <v>0</v>
      </c>
      <c r="H1490">
        <f>IF(COUNTIFS('United Data'!$A$3:$A$3390,H$1,'United Data'!$C$3:$C$3390,$A1490,'United Data'!$B$3:$B$3390,"&lt;&gt;Off-street")&gt;0,1,0)</f>
        <v>0</v>
      </c>
      <c r="I1490">
        <f>IF(COUNTIFS('United Data'!$A$3:$A$3390,I$1,'United Data'!$C$3:$C$3390,$A1490,'United Data'!$B$3:$B$3390,"&lt;&gt;Off-street")&gt;0,1,0)</f>
        <v>0</v>
      </c>
      <c r="J1490">
        <f>IF(COUNTIFS('United Data'!$A$3:$A$3390,J$1,'United Data'!$C$3:$C$3390,$A1490,'United Data'!$B$3:$B$3390,"&lt;&gt;Off-street")&gt;0,1,0)</f>
        <v>0</v>
      </c>
      <c r="K1490">
        <f>IF(COUNTIFS('United Data'!$A$3:$A$3390,K$1,'United Data'!$C$3:$C$3390,$A1490,'United Data'!$B$3:$B$3390,"&lt;&gt;Off-street")&gt;0,1,0)</f>
        <v>0</v>
      </c>
      <c r="L1490">
        <f>IF(COUNTIFS('United Data'!$A$3:$A$3390,L$1,'United Data'!$C$3:$C$3390,$A1490,'United Data'!$B$3:$B$3390,"&lt;&gt;Off-street")&gt;0,1,0)</f>
        <v>0</v>
      </c>
      <c r="M1490">
        <f>IF(COUNTIFS('United Data'!$A$3:$A$3390,M$1,'United Data'!$C$3:$C$3390,$A1490,'United Data'!$B$3:$B$3390,"&lt;&gt;Off-street")&gt;0,1,0)</f>
        <v>0</v>
      </c>
      <c r="N1490">
        <f>IF(COUNTIFS('United Data'!$A$3:$A$3390,N$1,'United Data'!$C$3:$C$3390,$A1490,'United Data'!$B$3:$B$3390,"&lt;&gt;Off-street")&gt;0,1,0)</f>
        <v>0</v>
      </c>
      <c r="O1490">
        <f>IF(COUNTIFS('United Data'!$A$3:$A$3390,O$1,'United Data'!$C$3:$C$3390,$A1490,'United Data'!$B$3:$B$3390,"&lt;&gt;Off-street")&gt;0,1,0)</f>
        <v>0</v>
      </c>
      <c r="P1490">
        <f>IF(COUNTIFS('United Data'!$A$3:$A$3390,P$1,'United Data'!$C$3:$C$3390,$A1490,'United Data'!$B$3:$B$3390,"&lt;&gt;Off-street")&gt;0,1,0)</f>
        <v>1</v>
      </c>
      <c r="Q1490">
        <f>IF(COUNTIFS('United Data'!$A$3:$A$3390,Q$1,'United Data'!$C$3:$C$3390,$A1490,'United Data'!$B$3:$B$3390,"&lt;&gt;Off-street")&gt;0,1,0)</f>
        <v>0</v>
      </c>
      <c r="R1490">
        <f>IF(COUNTIFS('United Data'!$A$3:$A$3390,R$1,'United Data'!$C$3:$C$3390,$A1490,'United Data'!$B$3:$B$3390,"&lt;&gt;Off-street")&gt;0,1,0)</f>
        <v>0</v>
      </c>
      <c r="S1490">
        <f t="shared" si="46"/>
        <v>1</v>
      </c>
      <c r="T1490">
        <f t="shared" si="47"/>
        <v>1</v>
      </c>
    </row>
    <row r="1491" spans="1:20" x14ac:dyDescent="0.2">
      <c r="A1491" t="s">
        <v>1763</v>
      </c>
      <c r="B1491">
        <f>IF(COUNTIFS('United Data'!$A$3:$A$3390,B$1,'United Data'!$C$3:$C$3390,$A1491,'United Data'!$B$3:$B$3390,"&lt;&gt;Off-street")&gt;0,1,0)</f>
        <v>0</v>
      </c>
      <c r="C1491">
        <f>IF(COUNTIFS('United Data'!$A$3:$A$3390,C$1,'United Data'!$C$3:$C$3390,$A1491,'United Data'!$B$3:$B$3390,"&lt;&gt;Off-street")&gt;0,1,0)</f>
        <v>0</v>
      </c>
      <c r="D1491">
        <f>IF(COUNTIFS('United Data'!$A$3:$A$3390,D$1,'United Data'!$C$3:$C$3390,$A1491,'United Data'!$B$3:$B$3390,"&lt;&gt;Off-street")&gt;0,1,0)</f>
        <v>0</v>
      </c>
      <c r="E1491">
        <f>IF(COUNTIFS('United Data'!$A$3:$A$3390,E$1,'United Data'!$C$3:$C$3390,$A1491,'United Data'!$B$3:$B$3390,"&lt;&gt;Off-street")&gt;0,1,0)</f>
        <v>0</v>
      </c>
      <c r="F1491">
        <f>IF(COUNTIFS('United Data'!$A$3:$A$3390,F$1,'United Data'!$C$3:$C$3390,$A1491,'United Data'!$B$3:$B$3390,"&lt;&gt;Off-street")&gt;0,1,0)</f>
        <v>0</v>
      </c>
      <c r="G1491">
        <f>IF(COUNTIFS('United Data'!$A$3:$A$3390,G$1,'United Data'!$C$3:$C$3390,$A1491,'United Data'!$B$3:$B$3390,"&lt;&gt;Off-street")&gt;0,1,0)</f>
        <v>0</v>
      </c>
      <c r="H1491">
        <f>IF(COUNTIFS('United Data'!$A$3:$A$3390,H$1,'United Data'!$C$3:$C$3390,$A1491,'United Data'!$B$3:$B$3390,"&lt;&gt;Off-street")&gt;0,1,0)</f>
        <v>0</v>
      </c>
      <c r="I1491">
        <f>IF(COUNTIFS('United Data'!$A$3:$A$3390,I$1,'United Data'!$C$3:$C$3390,$A1491,'United Data'!$B$3:$B$3390,"&lt;&gt;Off-street")&gt;0,1,0)</f>
        <v>0</v>
      </c>
      <c r="J1491">
        <f>IF(COUNTIFS('United Data'!$A$3:$A$3390,J$1,'United Data'!$C$3:$C$3390,$A1491,'United Data'!$B$3:$B$3390,"&lt;&gt;Off-street")&gt;0,1,0)</f>
        <v>0</v>
      </c>
      <c r="K1491">
        <f>IF(COUNTIFS('United Data'!$A$3:$A$3390,K$1,'United Data'!$C$3:$C$3390,$A1491,'United Data'!$B$3:$B$3390,"&lt;&gt;Off-street")&gt;0,1,0)</f>
        <v>0</v>
      </c>
      <c r="L1491">
        <f>IF(COUNTIFS('United Data'!$A$3:$A$3390,L$1,'United Data'!$C$3:$C$3390,$A1491,'United Data'!$B$3:$B$3390,"&lt;&gt;Off-street")&gt;0,1,0)</f>
        <v>0</v>
      </c>
      <c r="M1491">
        <f>IF(COUNTIFS('United Data'!$A$3:$A$3390,M$1,'United Data'!$C$3:$C$3390,$A1491,'United Data'!$B$3:$B$3390,"&lt;&gt;Off-street")&gt;0,1,0)</f>
        <v>0</v>
      </c>
      <c r="N1491">
        <f>IF(COUNTIFS('United Data'!$A$3:$A$3390,N$1,'United Data'!$C$3:$C$3390,$A1491,'United Data'!$B$3:$B$3390,"&lt;&gt;Off-street")&gt;0,1,0)</f>
        <v>0</v>
      </c>
      <c r="O1491">
        <f>IF(COUNTIFS('United Data'!$A$3:$A$3390,O$1,'United Data'!$C$3:$C$3390,$A1491,'United Data'!$B$3:$B$3390,"&lt;&gt;Off-street")&gt;0,1,0)</f>
        <v>0</v>
      </c>
      <c r="P1491">
        <f>IF(COUNTIFS('United Data'!$A$3:$A$3390,P$1,'United Data'!$C$3:$C$3390,$A1491,'United Data'!$B$3:$B$3390,"&lt;&gt;Off-street")&gt;0,1,0)</f>
        <v>0</v>
      </c>
      <c r="Q1491">
        <f>IF(COUNTIFS('United Data'!$A$3:$A$3390,Q$1,'United Data'!$C$3:$C$3390,$A1491,'United Data'!$B$3:$B$3390,"&lt;&gt;Off-street")&gt;0,1,0)</f>
        <v>1</v>
      </c>
      <c r="R1491">
        <f>IF(COUNTIFS('United Data'!$A$3:$A$3390,R$1,'United Data'!$C$3:$C$3390,$A1491,'United Data'!$B$3:$B$3390,"&lt;&gt;Off-street")&gt;0,1,0)</f>
        <v>1</v>
      </c>
      <c r="S1491">
        <f t="shared" si="46"/>
        <v>2</v>
      </c>
      <c r="T1491">
        <f t="shared" si="47"/>
        <v>1</v>
      </c>
    </row>
    <row r="1492" spans="1:20" x14ac:dyDescent="0.2">
      <c r="A1492" t="s">
        <v>1764</v>
      </c>
      <c r="B1492">
        <f>IF(COUNTIFS('United Data'!$A$3:$A$3390,B$1,'United Data'!$C$3:$C$3390,$A1492,'United Data'!$B$3:$B$3390,"&lt;&gt;Off-street")&gt;0,1,0)</f>
        <v>0</v>
      </c>
      <c r="C1492">
        <f>IF(COUNTIFS('United Data'!$A$3:$A$3390,C$1,'United Data'!$C$3:$C$3390,$A1492,'United Data'!$B$3:$B$3390,"&lt;&gt;Off-street")&gt;0,1,0)</f>
        <v>0</v>
      </c>
      <c r="D1492">
        <f>IF(COUNTIFS('United Data'!$A$3:$A$3390,D$1,'United Data'!$C$3:$C$3390,$A1492,'United Data'!$B$3:$B$3390,"&lt;&gt;Off-street")&gt;0,1,0)</f>
        <v>0</v>
      </c>
      <c r="E1492">
        <f>IF(COUNTIFS('United Data'!$A$3:$A$3390,E$1,'United Data'!$C$3:$C$3390,$A1492,'United Data'!$B$3:$B$3390,"&lt;&gt;Off-street")&gt;0,1,0)</f>
        <v>0</v>
      </c>
      <c r="F1492">
        <f>IF(COUNTIFS('United Data'!$A$3:$A$3390,F$1,'United Data'!$C$3:$C$3390,$A1492,'United Data'!$B$3:$B$3390,"&lt;&gt;Off-street")&gt;0,1,0)</f>
        <v>0</v>
      </c>
      <c r="G1492">
        <f>IF(COUNTIFS('United Data'!$A$3:$A$3390,G$1,'United Data'!$C$3:$C$3390,$A1492,'United Data'!$B$3:$B$3390,"&lt;&gt;Off-street")&gt;0,1,0)</f>
        <v>0</v>
      </c>
      <c r="H1492">
        <f>IF(COUNTIFS('United Data'!$A$3:$A$3390,H$1,'United Data'!$C$3:$C$3390,$A1492,'United Data'!$B$3:$B$3390,"&lt;&gt;Off-street")&gt;0,1,0)</f>
        <v>0</v>
      </c>
      <c r="I1492">
        <f>IF(COUNTIFS('United Data'!$A$3:$A$3390,I$1,'United Data'!$C$3:$C$3390,$A1492,'United Data'!$B$3:$B$3390,"&lt;&gt;Off-street")&gt;0,1,0)</f>
        <v>0</v>
      </c>
      <c r="J1492">
        <f>IF(COUNTIFS('United Data'!$A$3:$A$3390,J$1,'United Data'!$C$3:$C$3390,$A1492,'United Data'!$B$3:$B$3390,"&lt;&gt;Off-street")&gt;0,1,0)</f>
        <v>0</v>
      </c>
      <c r="K1492">
        <f>IF(COUNTIFS('United Data'!$A$3:$A$3390,K$1,'United Data'!$C$3:$C$3390,$A1492,'United Data'!$B$3:$B$3390,"&lt;&gt;Off-street")&gt;0,1,0)</f>
        <v>0</v>
      </c>
      <c r="L1492">
        <f>IF(COUNTIFS('United Data'!$A$3:$A$3390,L$1,'United Data'!$C$3:$C$3390,$A1492,'United Data'!$B$3:$B$3390,"&lt;&gt;Off-street")&gt;0,1,0)</f>
        <v>0</v>
      </c>
      <c r="M1492">
        <f>IF(COUNTIFS('United Data'!$A$3:$A$3390,M$1,'United Data'!$C$3:$C$3390,$A1492,'United Data'!$B$3:$B$3390,"&lt;&gt;Off-street")&gt;0,1,0)</f>
        <v>0</v>
      </c>
      <c r="N1492">
        <f>IF(COUNTIFS('United Data'!$A$3:$A$3390,N$1,'United Data'!$C$3:$C$3390,$A1492,'United Data'!$B$3:$B$3390,"&lt;&gt;Off-street")&gt;0,1,0)</f>
        <v>0</v>
      </c>
      <c r="O1492">
        <f>IF(COUNTIFS('United Data'!$A$3:$A$3390,O$1,'United Data'!$C$3:$C$3390,$A1492,'United Data'!$B$3:$B$3390,"&lt;&gt;Off-street")&gt;0,1,0)</f>
        <v>0</v>
      </c>
      <c r="P1492">
        <f>IF(COUNTIFS('United Data'!$A$3:$A$3390,P$1,'United Data'!$C$3:$C$3390,$A1492,'United Data'!$B$3:$B$3390,"&lt;&gt;Off-street")&gt;0,1,0)</f>
        <v>0</v>
      </c>
      <c r="Q1492">
        <f>IF(COUNTIFS('United Data'!$A$3:$A$3390,Q$1,'United Data'!$C$3:$C$3390,$A1492,'United Data'!$B$3:$B$3390,"&lt;&gt;Off-street")&gt;0,1,0)</f>
        <v>1</v>
      </c>
      <c r="R1492">
        <f>IF(COUNTIFS('United Data'!$A$3:$A$3390,R$1,'United Data'!$C$3:$C$3390,$A1492,'United Data'!$B$3:$B$3390,"&lt;&gt;Off-street")&gt;0,1,0)</f>
        <v>1</v>
      </c>
      <c r="S1492">
        <f t="shared" si="46"/>
        <v>2</v>
      </c>
      <c r="T1492">
        <f t="shared" si="47"/>
        <v>1</v>
      </c>
    </row>
    <row r="1493" spans="1:20" x14ac:dyDescent="0.2">
      <c r="A1493" t="s">
        <v>1765</v>
      </c>
      <c r="B1493">
        <f>IF(COUNTIFS('United Data'!$A$3:$A$3390,B$1,'United Data'!$C$3:$C$3390,$A1493,'United Data'!$B$3:$B$3390,"&lt;&gt;Off-street")&gt;0,1,0)</f>
        <v>0</v>
      </c>
      <c r="C1493">
        <f>IF(COUNTIFS('United Data'!$A$3:$A$3390,C$1,'United Data'!$C$3:$C$3390,$A1493,'United Data'!$B$3:$B$3390,"&lt;&gt;Off-street")&gt;0,1,0)</f>
        <v>0</v>
      </c>
      <c r="D1493">
        <f>IF(COUNTIFS('United Data'!$A$3:$A$3390,D$1,'United Data'!$C$3:$C$3390,$A1493,'United Data'!$B$3:$B$3390,"&lt;&gt;Off-street")&gt;0,1,0)</f>
        <v>0</v>
      </c>
      <c r="E1493">
        <f>IF(COUNTIFS('United Data'!$A$3:$A$3390,E$1,'United Data'!$C$3:$C$3390,$A1493,'United Data'!$B$3:$B$3390,"&lt;&gt;Off-street")&gt;0,1,0)</f>
        <v>0</v>
      </c>
      <c r="F1493">
        <f>IF(COUNTIFS('United Data'!$A$3:$A$3390,F$1,'United Data'!$C$3:$C$3390,$A1493,'United Data'!$B$3:$B$3390,"&lt;&gt;Off-street")&gt;0,1,0)</f>
        <v>0</v>
      </c>
      <c r="G1493">
        <f>IF(COUNTIFS('United Data'!$A$3:$A$3390,G$1,'United Data'!$C$3:$C$3390,$A1493,'United Data'!$B$3:$B$3390,"&lt;&gt;Off-street")&gt;0,1,0)</f>
        <v>0</v>
      </c>
      <c r="H1493">
        <f>IF(COUNTIFS('United Data'!$A$3:$A$3390,H$1,'United Data'!$C$3:$C$3390,$A1493,'United Data'!$B$3:$B$3390,"&lt;&gt;Off-street")&gt;0,1,0)</f>
        <v>0</v>
      </c>
      <c r="I1493">
        <f>IF(COUNTIFS('United Data'!$A$3:$A$3390,I$1,'United Data'!$C$3:$C$3390,$A1493,'United Data'!$B$3:$B$3390,"&lt;&gt;Off-street")&gt;0,1,0)</f>
        <v>0</v>
      </c>
      <c r="J1493">
        <f>IF(COUNTIFS('United Data'!$A$3:$A$3390,J$1,'United Data'!$C$3:$C$3390,$A1493,'United Data'!$B$3:$B$3390,"&lt;&gt;Off-street")&gt;0,1,0)</f>
        <v>0</v>
      </c>
      <c r="K1493">
        <f>IF(COUNTIFS('United Data'!$A$3:$A$3390,K$1,'United Data'!$C$3:$C$3390,$A1493,'United Data'!$B$3:$B$3390,"&lt;&gt;Off-street")&gt;0,1,0)</f>
        <v>0</v>
      </c>
      <c r="L1493">
        <f>IF(COUNTIFS('United Data'!$A$3:$A$3390,L$1,'United Data'!$C$3:$C$3390,$A1493,'United Data'!$B$3:$B$3390,"&lt;&gt;Off-street")&gt;0,1,0)</f>
        <v>0</v>
      </c>
      <c r="M1493">
        <f>IF(COUNTIFS('United Data'!$A$3:$A$3390,M$1,'United Data'!$C$3:$C$3390,$A1493,'United Data'!$B$3:$B$3390,"&lt;&gt;Off-street")&gt;0,1,0)</f>
        <v>0</v>
      </c>
      <c r="N1493">
        <f>IF(COUNTIFS('United Data'!$A$3:$A$3390,N$1,'United Data'!$C$3:$C$3390,$A1493,'United Data'!$B$3:$B$3390,"&lt;&gt;Off-street")&gt;0,1,0)</f>
        <v>0</v>
      </c>
      <c r="O1493">
        <f>IF(COUNTIFS('United Data'!$A$3:$A$3390,O$1,'United Data'!$C$3:$C$3390,$A1493,'United Data'!$B$3:$B$3390,"&lt;&gt;Off-street")&gt;0,1,0)</f>
        <v>0</v>
      </c>
      <c r="P1493">
        <f>IF(COUNTIFS('United Data'!$A$3:$A$3390,P$1,'United Data'!$C$3:$C$3390,$A1493,'United Data'!$B$3:$B$3390,"&lt;&gt;Off-street")&gt;0,1,0)</f>
        <v>0</v>
      </c>
      <c r="Q1493">
        <f>IF(COUNTIFS('United Data'!$A$3:$A$3390,Q$1,'United Data'!$C$3:$C$3390,$A1493,'United Data'!$B$3:$B$3390,"&lt;&gt;Off-street")&gt;0,1,0)</f>
        <v>1</v>
      </c>
      <c r="R1493">
        <f>IF(COUNTIFS('United Data'!$A$3:$A$3390,R$1,'United Data'!$C$3:$C$3390,$A1493,'United Data'!$B$3:$B$3390,"&lt;&gt;Off-street")&gt;0,1,0)</f>
        <v>0</v>
      </c>
      <c r="S1493">
        <f t="shared" si="46"/>
        <v>1</v>
      </c>
      <c r="T1493">
        <f t="shared" si="47"/>
        <v>1</v>
      </c>
    </row>
    <row r="1494" spans="1:20" x14ac:dyDescent="0.2">
      <c r="A1494" t="s">
        <v>1766</v>
      </c>
      <c r="B1494">
        <f>IF(COUNTIFS('United Data'!$A$3:$A$3390,B$1,'United Data'!$C$3:$C$3390,$A1494,'United Data'!$B$3:$B$3390,"&lt;&gt;Off-street")&gt;0,1,0)</f>
        <v>0</v>
      </c>
      <c r="C1494">
        <f>IF(COUNTIFS('United Data'!$A$3:$A$3390,C$1,'United Data'!$C$3:$C$3390,$A1494,'United Data'!$B$3:$B$3390,"&lt;&gt;Off-street")&gt;0,1,0)</f>
        <v>0</v>
      </c>
      <c r="D1494">
        <f>IF(COUNTIFS('United Data'!$A$3:$A$3390,D$1,'United Data'!$C$3:$C$3390,$A1494,'United Data'!$B$3:$B$3390,"&lt;&gt;Off-street")&gt;0,1,0)</f>
        <v>0</v>
      </c>
      <c r="E1494">
        <f>IF(COUNTIFS('United Data'!$A$3:$A$3390,E$1,'United Data'!$C$3:$C$3390,$A1494,'United Data'!$B$3:$B$3390,"&lt;&gt;Off-street")&gt;0,1,0)</f>
        <v>0</v>
      </c>
      <c r="F1494">
        <f>IF(COUNTIFS('United Data'!$A$3:$A$3390,F$1,'United Data'!$C$3:$C$3390,$A1494,'United Data'!$B$3:$B$3390,"&lt;&gt;Off-street")&gt;0,1,0)</f>
        <v>0</v>
      </c>
      <c r="G1494">
        <f>IF(COUNTIFS('United Data'!$A$3:$A$3390,G$1,'United Data'!$C$3:$C$3390,$A1494,'United Data'!$B$3:$B$3390,"&lt;&gt;Off-street")&gt;0,1,0)</f>
        <v>0</v>
      </c>
      <c r="H1494">
        <f>IF(COUNTIFS('United Data'!$A$3:$A$3390,H$1,'United Data'!$C$3:$C$3390,$A1494,'United Data'!$B$3:$B$3390,"&lt;&gt;Off-street")&gt;0,1,0)</f>
        <v>0</v>
      </c>
      <c r="I1494">
        <f>IF(COUNTIFS('United Data'!$A$3:$A$3390,I$1,'United Data'!$C$3:$C$3390,$A1494,'United Data'!$B$3:$B$3390,"&lt;&gt;Off-street")&gt;0,1,0)</f>
        <v>0</v>
      </c>
      <c r="J1494">
        <f>IF(COUNTIFS('United Data'!$A$3:$A$3390,J$1,'United Data'!$C$3:$C$3390,$A1494,'United Data'!$B$3:$B$3390,"&lt;&gt;Off-street")&gt;0,1,0)</f>
        <v>0</v>
      </c>
      <c r="K1494">
        <f>IF(COUNTIFS('United Data'!$A$3:$A$3390,K$1,'United Data'!$C$3:$C$3390,$A1494,'United Data'!$B$3:$B$3390,"&lt;&gt;Off-street")&gt;0,1,0)</f>
        <v>0</v>
      </c>
      <c r="L1494">
        <f>IF(COUNTIFS('United Data'!$A$3:$A$3390,L$1,'United Data'!$C$3:$C$3390,$A1494,'United Data'!$B$3:$B$3390,"&lt;&gt;Off-street")&gt;0,1,0)</f>
        <v>0</v>
      </c>
      <c r="M1494">
        <f>IF(COUNTIFS('United Data'!$A$3:$A$3390,M$1,'United Data'!$C$3:$C$3390,$A1494,'United Data'!$B$3:$B$3390,"&lt;&gt;Off-street")&gt;0,1,0)</f>
        <v>0</v>
      </c>
      <c r="N1494">
        <f>IF(COUNTIFS('United Data'!$A$3:$A$3390,N$1,'United Data'!$C$3:$C$3390,$A1494,'United Data'!$B$3:$B$3390,"&lt;&gt;Off-street")&gt;0,1,0)</f>
        <v>0</v>
      </c>
      <c r="O1494">
        <f>IF(COUNTIFS('United Data'!$A$3:$A$3390,O$1,'United Data'!$C$3:$C$3390,$A1494,'United Data'!$B$3:$B$3390,"&lt;&gt;Off-street")&gt;0,1,0)</f>
        <v>0</v>
      </c>
      <c r="P1494">
        <f>IF(COUNTIFS('United Data'!$A$3:$A$3390,P$1,'United Data'!$C$3:$C$3390,$A1494,'United Data'!$B$3:$B$3390,"&lt;&gt;Off-street")&gt;0,1,0)</f>
        <v>0</v>
      </c>
      <c r="Q1494">
        <f>IF(COUNTIFS('United Data'!$A$3:$A$3390,Q$1,'United Data'!$C$3:$C$3390,$A1494,'United Data'!$B$3:$B$3390,"&lt;&gt;Off-street")&gt;0,1,0)</f>
        <v>0</v>
      </c>
      <c r="R1494">
        <f>IF(COUNTIFS('United Data'!$A$3:$A$3390,R$1,'United Data'!$C$3:$C$3390,$A1494,'United Data'!$B$3:$B$3390,"&lt;&gt;Off-street")&gt;0,1,0)</f>
        <v>1</v>
      </c>
      <c r="S1494">
        <f t="shared" si="46"/>
        <v>1</v>
      </c>
      <c r="T1494">
        <f t="shared" si="47"/>
        <v>1</v>
      </c>
    </row>
    <row r="1495" spans="1:20" x14ac:dyDescent="0.2">
      <c r="A1495" t="s">
        <v>1767</v>
      </c>
      <c r="B1495">
        <f>IF(COUNTIFS('United Data'!$A$3:$A$3390,B$1,'United Data'!$C$3:$C$3390,$A1495,'United Data'!$B$3:$B$3390,"&lt;&gt;Off-street")&gt;0,1,0)</f>
        <v>0</v>
      </c>
      <c r="C1495">
        <f>IF(COUNTIFS('United Data'!$A$3:$A$3390,C$1,'United Data'!$C$3:$C$3390,$A1495,'United Data'!$B$3:$B$3390,"&lt;&gt;Off-street")&gt;0,1,0)</f>
        <v>0</v>
      </c>
      <c r="D1495">
        <f>IF(COUNTIFS('United Data'!$A$3:$A$3390,D$1,'United Data'!$C$3:$C$3390,$A1495,'United Data'!$B$3:$B$3390,"&lt;&gt;Off-street")&gt;0,1,0)</f>
        <v>0</v>
      </c>
      <c r="E1495">
        <f>IF(COUNTIFS('United Data'!$A$3:$A$3390,E$1,'United Data'!$C$3:$C$3390,$A1495,'United Data'!$B$3:$B$3390,"&lt;&gt;Off-street")&gt;0,1,0)</f>
        <v>0</v>
      </c>
      <c r="F1495">
        <f>IF(COUNTIFS('United Data'!$A$3:$A$3390,F$1,'United Data'!$C$3:$C$3390,$A1495,'United Data'!$B$3:$B$3390,"&lt;&gt;Off-street")&gt;0,1,0)</f>
        <v>0</v>
      </c>
      <c r="G1495">
        <f>IF(COUNTIFS('United Data'!$A$3:$A$3390,G$1,'United Data'!$C$3:$C$3390,$A1495,'United Data'!$B$3:$B$3390,"&lt;&gt;Off-street")&gt;0,1,0)</f>
        <v>0</v>
      </c>
      <c r="H1495">
        <f>IF(COUNTIFS('United Data'!$A$3:$A$3390,H$1,'United Data'!$C$3:$C$3390,$A1495,'United Data'!$B$3:$B$3390,"&lt;&gt;Off-street")&gt;0,1,0)</f>
        <v>0</v>
      </c>
      <c r="I1495">
        <f>IF(COUNTIFS('United Data'!$A$3:$A$3390,I$1,'United Data'!$C$3:$C$3390,$A1495,'United Data'!$B$3:$B$3390,"&lt;&gt;Off-street")&gt;0,1,0)</f>
        <v>0</v>
      </c>
      <c r="J1495">
        <f>IF(COUNTIFS('United Data'!$A$3:$A$3390,J$1,'United Data'!$C$3:$C$3390,$A1495,'United Data'!$B$3:$B$3390,"&lt;&gt;Off-street")&gt;0,1,0)</f>
        <v>0</v>
      </c>
      <c r="K1495">
        <f>IF(COUNTIFS('United Data'!$A$3:$A$3390,K$1,'United Data'!$C$3:$C$3390,$A1495,'United Data'!$B$3:$B$3390,"&lt;&gt;Off-street")&gt;0,1,0)</f>
        <v>0</v>
      </c>
      <c r="L1495">
        <f>IF(COUNTIFS('United Data'!$A$3:$A$3390,L$1,'United Data'!$C$3:$C$3390,$A1495,'United Data'!$B$3:$B$3390,"&lt;&gt;Off-street")&gt;0,1,0)</f>
        <v>0</v>
      </c>
      <c r="M1495">
        <f>IF(COUNTIFS('United Data'!$A$3:$A$3390,M$1,'United Data'!$C$3:$C$3390,$A1495,'United Data'!$B$3:$B$3390,"&lt;&gt;Off-street")&gt;0,1,0)</f>
        <v>0</v>
      </c>
      <c r="N1495">
        <f>IF(COUNTIFS('United Data'!$A$3:$A$3390,N$1,'United Data'!$C$3:$C$3390,$A1495,'United Data'!$B$3:$B$3390,"&lt;&gt;Off-street")&gt;0,1,0)</f>
        <v>0</v>
      </c>
      <c r="O1495">
        <f>IF(COUNTIFS('United Data'!$A$3:$A$3390,O$1,'United Data'!$C$3:$C$3390,$A1495,'United Data'!$B$3:$B$3390,"&lt;&gt;Off-street")&gt;0,1,0)</f>
        <v>0</v>
      </c>
      <c r="P1495">
        <f>IF(COUNTIFS('United Data'!$A$3:$A$3390,P$1,'United Data'!$C$3:$C$3390,$A1495,'United Data'!$B$3:$B$3390,"&lt;&gt;Off-street")&gt;0,1,0)</f>
        <v>0</v>
      </c>
      <c r="Q1495">
        <f>IF(COUNTIFS('United Data'!$A$3:$A$3390,Q$1,'United Data'!$C$3:$C$3390,$A1495,'United Data'!$B$3:$B$3390,"&lt;&gt;Off-street")&gt;0,1,0)</f>
        <v>0</v>
      </c>
      <c r="R1495">
        <f>IF(COUNTIFS('United Data'!$A$3:$A$3390,R$1,'United Data'!$C$3:$C$3390,$A1495,'United Data'!$B$3:$B$3390,"&lt;&gt;Off-street")&gt;0,1,0)</f>
        <v>1</v>
      </c>
      <c r="S1495">
        <f t="shared" si="46"/>
        <v>1</v>
      </c>
      <c r="T1495">
        <f t="shared" si="47"/>
        <v>1</v>
      </c>
    </row>
    <row r="1496" spans="1:20" x14ac:dyDescent="0.2">
      <c r="A1496" t="s">
        <v>1769</v>
      </c>
      <c r="B1496">
        <f>IF(COUNTIFS('United Data'!$A$3:$A$3390,B$1,'United Data'!$C$3:$C$3390,$A1496,'United Data'!$B$3:$B$3390,"&lt;&gt;Off-street")&gt;0,1,0)</f>
        <v>0</v>
      </c>
      <c r="C1496">
        <f>IF(COUNTIFS('United Data'!$A$3:$A$3390,C$1,'United Data'!$C$3:$C$3390,$A1496,'United Data'!$B$3:$B$3390,"&lt;&gt;Off-street")&gt;0,1,0)</f>
        <v>0</v>
      </c>
      <c r="D1496">
        <f>IF(COUNTIFS('United Data'!$A$3:$A$3390,D$1,'United Data'!$C$3:$C$3390,$A1496,'United Data'!$B$3:$B$3390,"&lt;&gt;Off-street")&gt;0,1,0)</f>
        <v>0</v>
      </c>
      <c r="E1496">
        <f>IF(COUNTIFS('United Data'!$A$3:$A$3390,E$1,'United Data'!$C$3:$C$3390,$A1496,'United Data'!$B$3:$B$3390,"&lt;&gt;Off-street")&gt;0,1,0)</f>
        <v>0</v>
      </c>
      <c r="F1496">
        <f>IF(COUNTIFS('United Data'!$A$3:$A$3390,F$1,'United Data'!$C$3:$C$3390,$A1496,'United Data'!$B$3:$B$3390,"&lt;&gt;Off-street")&gt;0,1,0)</f>
        <v>0</v>
      </c>
      <c r="G1496">
        <f>IF(COUNTIFS('United Data'!$A$3:$A$3390,G$1,'United Data'!$C$3:$C$3390,$A1496,'United Data'!$B$3:$B$3390,"&lt;&gt;Off-street")&gt;0,1,0)</f>
        <v>0</v>
      </c>
      <c r="H1496">
        <f>IF(COUNTIFS('United Data'!$A$3:$A$3390,H$1,'United Data'!$C$3:$C$3390,$A1496,'United Data'!$B$3:$B$3390,"&lt;&gt;Off-street")&gt;0,1,0)</f>
        <v>0</v>
      </c>
      <c r="I1496">
        <f>IF(COUNTIFS('United Data'!$A$3:$A$3390,I$1,'United Data'!$C$3:$C$3390,$A1496,'United Data'!$B$3:$B$3390,"&lt;&gt;Off-street")&gt;0,1,0)</f>
        <v>0</v>
      </c>
      <c r="J1496">
        <f>IF(COUNTIFS('United Data'!$A$3:$A$3390,J$1,'United Data'!$C$3:$C$3390,$A1496,'United Data'!$B$3:$B$3390,"&lt;&gt;Off-street")&gt;0,1,0)</f>
        <v>0</v>
      </c>
      <c r="K1496">
        <f>IF(COUNTIFS('United Data'!$A$3:$A$3390,K$1,'United Data'!$C$3:$C$3390,$A1496,'United Data'!$B$3:$B$3390,"&lt;&gt;Off-street")&gt;0,1,0)</f>
        <v>0</v>
      </c>
      <c r="L1496">
        <f>IF(COUNTIFS('United Data'!$A$3:$A$3390,L$1,'United Data'!$C$3:$C$3390,$A1496,'United Data'!$B$3:$B$3390,"&lt;&gt;Off-street")&gt;0,1,0)</f>
        <v>0</v>
      </c>
      <c r="M1496">
        <f>IF(COUNTIFS('United Data'!$A$3:$A$3390,M$1,'United Data'!$C$3:$C$3390,$A1496,'United Data'!$B$3:$B$3390,"&lt;&gt;Off-street")&gt;0,1,0)</f>
        <v>0</v>
      </c>
      <c r="N1496">
        <f>IF(COUNTIFS('United Data'!$A$3:$A$3390,N$1,'United Data'!$C$3:$C$3390,$A1496,'United Data'!$B$3:$B$3390,"&lt;&gt;Off-street")&gt;0,1,0)</f>
        <v>0</v>
      </c>
      <c r="O1496">
        <f>IF(COUNTIFS('United Data'!$A$3:$A$3390,O$1,'United Data'!$C$3:$C$3390,$A1496,'United Data'!$B$3:$B$3390,"&lt;&gt;Off-street")&gt;0,1,0)</f>
        <v>0</v>
      </c>
      <c r="P1496">
        <f>IF(COUNTIFS('United Data'!$A$3:$A$3390,P$1,'United Data'!$C$3:$C$3390,$A1496,'United Data'!$B$3:$B$3390,"&lt;&gt;Off-street")&gt;0,1,0)</f>
        <v>0</v>
      </c>
      <c r="Q1496">
        <f>IF(COUNTIFS('United Data'!$A$3:$A$3390,Q$1,'United Data'!$C$3:$C$3390,$A1496,'United Data'!$B$3:$B$3390,"&lt;&gt;Off-street")&gt;0,1,0)</f>
        <v>0</v>
      </c>
      <c r="R1496">
        <f>IF(COUNTIFS('United Data'!$A$3:$A$3390,R$1,'United Data'!$C$3:$C$3390,$A1496,'United Data'!$B$3:$B$3390,"&lt;&gt;Off-street")&gt;0,1,0)</f>
        <v>1</v>
      </c>
      <c r="S1496">
        <f t="shared" si="46"/>
        <v>1</v>
      </c>
      <c r="T1496">
        <f t="shared" si="47"/>
        <v>1</v>
      </c>
    </row>
    <row r="1497" spans="1:20" x14ac:dyDescent="0.2">
      <c r="A1497" t="s">
        <v>1770</v>
      </c>
      <c r="B1497">
        <f>IF(COUNTIFS('United Data'!$A$3:$A$3390,B$1,'United Data'!$C$3:$C$3390,$A1497,'United Data'!$B$3:$B$3390,"&lt;&gt;Off-street")&gt;0,1,0)</f>
        <v>1</v>
      </c>
      <c r="C1497">
        <f>IF(COUNTIFS('United Data'!$A$3:$A$3390,C$1,'United Data'!$C$3:$C$3390,$A1497,'United Data'!$B$3:$B$3390,"&lt;&gt;Off-street")&gt;0,1,0)</f>
        <v>0</v>
      </c>
      <c r="D1497">
        <f>IF(COUNTIFS('United Data'!$A$3:$A$3390,D$1,'United Data'!$C$3:$C$3390,$A1497,'United Data'!$B$3:$B$3390,"&lt;&gt;Off-street")&gt;0,1,0)</f>
        <v>0</v>
      </c>
      <c r="E1497">
        <f>IF(COUNTIFS('United Data'!$A$3:$A$3390,E$1,'United Data'!$C$3:$C$3390,$A1497,'United Data'!$B$3:$B$3390,"&lt;&gt;Off-street")&gt;0,1,0)</f>
        <v>0</v>
      </c>
      <c r="F1497">
        <f>IF(COUNTIFS('United Data'!$A$3:$A$3390,F$1,'United Data'!$C$3:$C$3390,$A1497,'United Data'!$B$3:$B$3390,"&lt;&gt;Off-street")&gt;0,1,0)</f>
        <v>0</v>
      </c>
      <c r="G1497">
        <f>IF(COUNTIFS('United Data'!$A$3:$A$3390,G$1,'United Data'!$C$3:$C$3390,$A1497,'United Data'!$B$3:$B$3390,"&lt;&gt;Off-street")&gt;0,1,0)</f>
        <v>0</v>
      </c>
      <c r="H1497">
        <f>IF(COUNTIFS('United Data'!$A$3:$A$3390,H$1,'United Data'!$C$3:$C$3390,$A1497,'United Data'!$B$3:$B$3390,"&lt;&gt;Off-street")&gt;0,1,0)</f>
        <v>0</v>
      </c>
      <c r="I1497">
        <f>IF(COUNTIFS('United Data'!$A$3:$A$3390,I$1,'United Data'!$C$3:$C$3390,$A1497,'United Data'!$B$3:$B$3390,"&lt;&gt;Off-street")&gt;0,1,0)</f>
        <v>0</v>
      </c>
      <c r="J1497">
        <f>IF(COUNTIFS('United Data'!$A$3:$A$3390,J$1,'United Data'!$C$3:$C$3390,$A1497,'United Data'!$B$3:$B$3390,"&lt;&gt;Off-street")&gt;0,1,0)</f>
        <v>0</v>
      </c>
      <c r="K1497">
        <f>IF(COUNTIFS('United Data'!$A$3:$A$3390,K$1,'United Data'!$C$3:$C$3390,$A1497,'United Data'!$B$3:$B$3390,"&lt;&gt;Off-street")&gt;0,1,0)</f>
        <v>0</v>
      </c>
      <c r="L1497">
        <f>IF(COUNTIFS('United Data'!$A$3:$A$3390,L$1,'United Data'!$C$3:$C$3390,$A1497,'United Data'!$B$3:$B$3390,"&lt;&gt;Off-street")&gt;0,1,0)</f>
        <v>0</v>
      </c>
      <c r="M1497">
        <f>IF(COUNTIFS('United Data'!$A$3:$A$3390,M$1,'United Data'!$C$3:$C$3390,$A1497,'United Data'!$B$3:$B$3390,"&lt;&gt;Off-street")&gt;0,1,0)</f>
        <v>0</v>
      </c>
      <c r="N1497">
        <f>IF(COUNTIFS('United Data'!$A$3:$A$3390,N$1,'United Data'!$C$3:$C$3390,$A1497,'United Data'!$B$3:$B$3390,"&lt;&gt;Off-street")&gt;0,1,0)</f>
        <v>0</v>
      </c>
      <c r="O1497">
        <f>IF(COUNTIFS('United Data'!$A$3:$A$3390,O$1,'United Data'!$C$3:$C$3390,$A1497,'United Data'!$B$3:$B$3390,"&lt;&gt;Off-street")&gt;0,1,0)</f>
        <v>0</v>
      </c>
      <c r="P1497">
        <f>IF(COUNTIFS('United Data'!$A$3:$A$3390,P$1,'United Data'!$C$3:$C$3390,$A1497,'United Data'!$B$3:$B$3390,"&lt;&gt;Off-street")&gt;0,1,0)</f>
        <v>1</v>
      </c>
      <c r="Q1497">
        <f>IF(COUNTIFS('United Data'!$A$3:$A$3390,Q$1,'United Data'!$C$3:$C$3390,$A1497,'United Data'!$B$3:$B$3390,"&lt;&gt;Off-street")&gt;0,1,0)</f>
        <v>1</v>
      </c>
      <c r="R1497">
        <f>IF(COUNTIFS('United Data'!$A$3:$A$3390,R$1,'United Data'!$C$3:$C$3390,$A1497,'United Data'!$B$3:$B$3390,"&lt;&gt;Off-street")&gt;0,1,0)</f>
        <v>0</v>
      </c>
      <c r="S1497">
        <f t="shared" si="46"/>
        <v>3</v>
      </c>
      <c r="T1497">
        <f t="shared" si="47"/>
        <v>2</v>
      </c>
    </row>
    <row r="1498" spans="1:20" x14ac:dyDescent="0.2">
      <c r="A1498" t="s">
        <v>1771</v>
      </c>
      <c r="B1498">
        <f>IF(COUNTIFS('United Data'!$A$3:$A$3390,B$1,'United Data'!$C$3:$C$3390,$A1498,'United Data'!$B$3:$B$3390,"&lt;&gt;Off-street")&gt;0,1,0)</f>
        <v>1</v>
      </c>
      <c r="C1498">
        <f>IF(COUNTIFS('United Data'!$A$3:$A$3390,C$1,'United Data'!$C$3:$C$3390,$A1498,'United Data'!$B$3:$B$3390,"&lt;&gt;Off-street")&gt;0,1,0)</f>
        <v>1</v>
      </c>
      <c r="D1498">
        <f>IF(COUNTIFS('United Data'!$A$3:$A$3390,D$1,'United Data'!$C$3:$C$3390,$A1498,'United Data'!$B$3:$B$3390,"&lt;&gt;Off-street")&gt;0,1,0)</f>
        <v>1</v>
      </c>
      <c r="E1498">
        <f>IF(COUNTIFS('United Data'!$A$3:$A$3390,E$1,'United Data'!$C$3:$C$3390,$A1498,'United Data'!$B$3:$B$3390,"&lt;&gt;Off-street")&gt;0,1,0)</f>
        <v>1</v>
      </c>
      <c r="F1498">
        <f>IF(COUNTIFS('United Data'!$A$3:$A$3390,F$1,'United Data'!$C$3:$C$3390,$A1498,'United Data'!$B$3:$B$3390,"&lt;&gt;Off-street")&gt;0,1,0)</f>
        <v>1</v>
      </c>
      <c r="G1498">
        <f>IF(COUNTIFS('United Data'!$A$3:$A$3390,G$1,'United Data'!$C$3:$C$3390,$A1498,'United Data'!$B$3:$B$3390,"&lt;&gt;Off-street")&gt;0,1,0)</f>
        <v>1</v>
      </c>
      <c r="H1498">
        <f>IF(COUNTIFS('United Data'!$A$3:$A$3390,H$1,'United Data'!$C$3:$C$3390,$A1498,'United Data'!$B$3:$B$3390,"&lt;&gt;Off-street")&gt;0,1,0)</f>
        <v>0</v>
      </c>
      <c r="I1498">
        <f>IF(COUNTIFS('United Data'!$A$3:$A$3390,I$1,'United Data'!$C$3:$C$3390,$A1498,'United Data'!$B$3:$B$3390,"&lt;&gt;Off-street")&gt;0,1,0)</f>
        <v>0</v>
      </c>
      <c r="J1498">
        <f>IF(COUNTIFS('United Data'!$A$3:$A$3390,J$1,'United Data'!$C$3:$C$3390,$A1498,'United Data'!$B$3:$B$3390,"&lt;&gt;Off-street")&gt;0,1,0)</f>
        <v>0</v>
      </c>
      <c r="K1498">
        <f>IF(COUNTIFS('United Data'!$A$3:$A$3390,K$1,'United Data'!$C$3:$C$3390,$A1498,'United Data'!$B$3:$B$3390,"&lt;&gt;Off-street")&gt;0,1,0)</f>
        <v>1</v>
      </c>
      <c r="L1498">
        <f>IF(COUNTIFS('United Data'!$A$3:$A$3390,L$1,'United Data'!$C$3:$C$3390,$A1498,'United Data'!$B$3:$B$3390,"&lt;&gt;Off-street")&gt;0,1,0)</f>
        <v>0</v>
      </c>
      <c r="M1498">
        <f>IF(COUNTIFS('United Data'!$A$3:$A$3390,M$1,'United Data'!$C$3:$C$3390,$A1498,'United Data'!$B$3:$B$3390,"&lt;&gt;Off-street")&gt;0,1,0)</f>
        <v>0</v>
      </c>
      <c r="N1498">
        <f>IF(COUNTIFS('United Data'!$A$3:$A$3390,N$1,'United Data'!$C$3:$C$3390,$A1498,'United Data'!$B$3:$B$3390,"&lt;&gt;Off-street")&gt;0,1,0)</f>
        <v>0</v>
      </c>
      <c r="O1498">
        <f>IF(COUNTIFS('United Data'!$A$3:$A$3390,O$1,'United Data'!$C$3:$C$3390,$A1498,'United Data'!$B$3:$B$3390,"&lt;&gt;Off-street")&gt;0,1,0)</f>
        <v>1</v>
      </c>
      <c r="P1498">
        <f>IF(COUNTIFS('United Data'!$A$3:$A$3390,P$1,'United Data'!$C$3:$C$3390,$A1498,'United Data'!$B$3:$B$3390,"&lt;&gt;Off-street")&gt;0,1,0)</f>
        <v>1</v>
      </c>
      <c r="Q1498">
        <f>IF(COUNTIFS('United Data'!$A$3:$A$3390,Q$1,'United Data'!$C$3:$C$3390,$A1498,'United Data'!$B$3:$B$3390,"&lt;&gt;Off-street")&gt;0,1,0)</f>
        <v>0</v>
      </c>
      <c r="R1498">
        <f>IF(COUNTIFS('United Data'!$A$3:$A$3390,R$1,'United Data'!$C$3:$C$3390,$A1498,'United Data'!$B$3:$B$3390,"&lt;&gt;Off-street")&gt;0,1,0)</f>
        <v>1</v>
      </c>
      <c r="S1498">
        <f t="shared" si="46"/>
        <v>10</v>
      </c>
      <c r="T1498">
        <f t="shared" si="47"/>
        <v>4</v>
      </c>
    </row>
    <row r="1499" spans="1:20" x14ac:dyDescent="0.2">
      <c r="A1499" t="s">
        <v>1772</v>
      </c>
      <c r="B1499">
        <f>IF(COUNTIFS('United Data'!$A$3:$A$3390,B$1,'United Data'!$C$3:$C$3390,$A1499,'United Data'!$B$3:$B$3390,"&lt;&gt;Off-street")&gt;0,1,0)</f>
        <v>1</v>
      </c>
      <c r="C1499">
        <f>IF(COUNTIFS('United Data'!$A$3:$A$3390,C$1,'United Data'!$C$3:$C$3390,$A1499,'United Data'!$B$3:$B$3390,"&lt;&gt;Off-street")&gt;0,1,0)</f>
        <v>1</v>
      </c>
      <c r="D1499">
        <f>IF(COUNTIFS('United Data'!$A$3:$A$3390,D$1,'United Data'!$C$3:$C$3390,$A1499,'United Data'!$B$3:$B$3390,"&lt;&gt;Off-street")&gt;0,1,0)</f>
        <v>1</v>
      </c>
      <c r="E1499">
        <f>IF(COUNTIFS('United Data'!$A$3:$A$3390,E$1,'United Data'!$C$3:$C$3390,$A1499,'United Data'!$B$3:$B$3390,"&lt;&gt;Off-street")&gt;0,1,0)</f>
        <v>0</v>
      </c>
      <c r="F1499">
        <f>IF(COUNTIFS('United Data'!$A$3:$A$3390,F$1,'United Data'!$C$3:$C$3390,$A1499,'United Data'!$B$3:$B$3390,"&lt;&gt;Off-street")&gt;0,1,0)</f>
        <v>1</v>
      </c>
      <c r="G1499">
        <f>IF(COUNTIFS('United Data'!$A$3:$A$3390,G$1,'United Data'!$C$3:$C$3390,$A1499,'United Data'!$B$3:$B$3390,"&lt;&gt;Off-street")&gt;0,1,0)</f>
        <v>0</v>
      </c>
      <c r="H1499">
        <f>IF(COUNTIFS('United Data'!$A$3:$A$3390,H$1,'United Data'!$C$3:$C$3390,$A1499,'United Data'!$B$3:$B$3390,"&lt;&gt;Off-street")&gt;0,1,0)</f>
        <v>0</v>
      </c>
      <c r="I1499">
        <f>IF(COUNTIFS('United Data'!$A$3:$A$3390,I$1,'United Data'!$C$3:$C$3390,$A1499,'United Data'!$B$3:$B$3390,"&lt;&gt;Off-street")&gt;0,1,0)</f>
        <v>0</v>
      </c>
      <c r="J1499">
        <f>IF(COUNTIFS('United Data'!$A$3:$A$3390,J$1,'United Data'!$C$3:$C$3390,$A1499,'United Data'!$B$3:$B$3390,"&lt;&gt;Off-street")&gt;0,1,0)</f>
        <v>0</v>
      </c>
      <c r="K1499">
        <f>IF(COUNTIFS('United Data'!$A$3:$A$3390,K$1,'United Data'!$C$3:$C$3390,$A1499,'United Data'!$B$3:$B$3390,"&lt;&gt;Off-street")&gt;0,1,0)</f>
        <v>1</v>
      </c>
      <c r="L1499">
        <f>IF(COUNTIFS('United Data'!$A$3:$A$3390,L$1,'United Data'!$C$3:$C$3390,$A1499,'United Data'!$B$3:$B$3390,"&lt;&gt;Off-street")&gt;0,1,0)</f>
        <v>1</v>
      </c>
      <c r="M1499">
        <f>IF(COUNTIFS('United Data'!$A$3:$A$3390,M$1,'United Data'!$C$3:$C$3390,$A1499,'United Data'!$B$3:$B$3390,"&lt;&gt;Off-street")&gt;0,1,0)</f>
        <v>1</v>
      </c>
      <c r="N1499">
        <f>IF(COUNTIFS('United Data'!$A$3:$A$3390,N$1,'United Data'!$C$3:$C$3390,$A1499,'United Data'!$B$3:$B$3390,"&lt;&gt;Off-street")&gt;0,1,0)</f>
        <v>1</v>
      </c>
      <c r="O1499">
        <f>IF(COUNTIFS('United Data'!$A$3:$A$3390,O$1,'United Data'!$C$3:$C$3390,$A1499,'United Data'!$B$3:$B$3390,"&lt;&gt;Off-street")&gt;0,1,0)</f>
        <v>0</v>
      </c>
      <c r="P1499">
        <f>IF(COUNTIFS('United Data'!$A$3:$A$3390,P$1,'United Data'!$C$3:$C$3390,$A1499,'United Data'!$B$3:$B$3390,"&lt;&gt;Off-street")&gt;0,1,0)</f>
        <v>1</v>
      </c>
      <c r="Q1499">
        <f>IF(COUNTIFS('United Data'!$A$3:$A$3390,Q$1,'United Data'!$C$3:$C$3390,$A1499,'United Data'!$B$3:$B$3390,"&lt;&gt;Off-street")&gt;0,1,0)</f>
        <v>1</v>
      </c>
      <c r="R1499">
        <f>IF(COUNTIFS('United Data'!$A$3:$A$3390,R$1,'United Data'!$C$3:$C$3390,$A1499,'United Data'!$B$3:$B$3390,"&lt;&gt;Off-street")&gt;0,1,0)</f>
        <v>0</v>
      </c>
      <c r="S1499">
        <f t="shared" si="46"/>
        <v>10</v>
      </c>
      <c r="T1499">
        <f t="shared" si="47"/>
        <v>4</v>
      </c>
    </row>
    <row r="1500" spans="1:20" x14ac:dyDescent="0.2">
      <c r="A1500" t="s">
        <v>1773</v>
      </c>
      <c r="B1500">
        <f>IF(COUNTIFS('United Data'!$A$3:$A$3390,B$1,'United Data'!$C$3:$C$3390,$A1500,'United Data'!$B$3:$B$3390,"&lt;&gt;Off-street")&gt;0,1,0)</f>
        <v>1</v>
      </c>
      <c r="C1500">
        <f>IF(COUNTIFS('United Data'!$A$3:$A$3390,C$1,'United Data'!$C$3:$C$3390,$A1500,'United Data'!$B$3:$B$3390,"&lt;&gt;Off-street")&gt;0,1,0)</f>
        <v>0</v>
      </c>
      <c r="D1500">
        <f>IF(COUNTIFS('United Data'!$A$3:$A$3390,D$1,'United Data'!$C$3:$C$3390,$A1500,'United Data'!$B$3:$B$3390,"&lt;&gt;Off-street")&gt;0,1,0)</f>
        <v>0</v>
      </c>
      <c r="E1500">
        <f>IF(COUNTIFS('United Data'!$A$3:$A$3390,E$1,'United Data'!$C$3:$C$3390,$A1500,'United Data'!$B$3:$B$3390,"&lt;&gt;Off-street")&gt;0,1,0)</f>
        <v>0</v>
      </c>
      <c r="F1500">
        <f>IF(COUNTIFS('United Data'!$A$3:$A$3390,F$1,'United Data'!$C$3:$C$3390,$A1500,'United Data'!$B$3:$B$3390,"&lt;&gt;Off-street")&gt;0,1,0)</f>
        <v>0</v>
      </c>
      <c r="G1500">
        <f>IF(COUNTIFS('United Data'!$A$3:$A$3390,G$1,'United Data'!$C$3:$C$3390,$A1500,'United Data'!$B$3:$B$3390,"&lt;&gt;Off-street")&gt;0,1,0)</f>
        <v>0</v>
      </c>
      <c r="H1500">
        <f>IF(COUNTIFS('United Data'!$A$3:$A$3390,H$1,'United Data'!$C$3:$C$3390,$A1500,'United Data'!$B$3:$B$3390,"&lt;&gt;Off-street")&gt;0,1,0)</f>
        <v>0</v>
      </c>
      <c r="I1500">
        <f>IF(COUNTIFS('United Data'!$A$3:$A$3390,I$1,'United Data'!$C$3:$C$3390,$A1500,'United Data'!$B$3:$B$3390,"&lt;&gt;Off-street")&gt;0,1,0)</f>
        <v>0</v>
      </c>
      <c r="J1500">
        <f>IF(COUNTIFS('United Data'!$A$3:$A$3390,J$1,'United Data'!$C$3:$C$3390,$A1500,'United Data'!$B$3:$B$3390,"&lt;&gt;Off-street")&gt;0,1,0)</f>
        <v>0</v>
      </c>
      <c r="K1500">
        <f>IF(COUNTIFS('United Data'!$A$3:$A$3390,K$1,'United Data'!$C$3:$C$3390,$A1500,'United Data'!$B$3:$B$3390,"&lt;&gt;Off-street")&gt;0,1,0)</f>
        <v>0</v>
      </c>
      <c r="L1500">
        <f>IF(COUNTIFS('United Data'!$A$3:$A$3390,L$1,'United Data'!$C$3:$C$3390,$A1500,'United Data'!$B$3:$B$3390,"&lt;&gt;Off-street")&gt;0,1,0)</f>
        <v>0</v>
      </c>
      <c r="M1500">
        <f>IF(COUNTIFS('United Data'!$A$3:$A$3390,M$1,'United Data'!$C$3:$C$3390,$A1500,'United Data'!$B$3:$B$3390,"&lt;&gt;Off-street")&gt;0,1,0)</f>
        <v>0</v>
      </c>
      <c r="N1500">
        <f>IF(COUNTIFS('United Data'!$A$3:$A$3390,N$1,'United Data'!$C$3:$C$3390,$A1500,'United Data'!$B$3:$B$3390,"&lt;&gt;Off-street")&gt;0,1,0)</f>
        <v>0</v>
      </c>
      <c r="O1500">
        <f>IF(COUNTIFS('United Data'!$A$3:$A$3390,O$1,'United Data'!$C$3:$C$3390,$A1500,'United Data'!$B$3:$B$3390,"&lt;&gt;Off-street")&gt;0,1,0)</f>
        <v>0</v>
      </c>
      <c r="P1500">
        <f>IF(COUNTIFS('United Data'!$A$3:$A$3390,P$1,'United Data'!$C$3:$C$3390,$A1500,'United Data'!$B$3:$B$3390,"&lt;&gt;Off-street")&gt;0,1,0)</f>
        <v>0</v>
      </c>
      <c r="Q1500">
        <f>IF(COUNTIFS('United Data'!$A$3:$A$3390,Q$1,'United Data'!$C$3:$C$3390,$A1500,'United Data'!$B$3:$B$3390,"&lt;&gt;Off-street")&gt;0,1,0)</f>
        <v>0</v>
      </c>
      <c r="R1500">
        <f>IF(COUNTIFS('United Data'!$A$3:$A$3390,R$1,'United Data'!$C$3:$C$3390,$A1500,'United Data'!$B$3:$B$3390,"&lt;&gt;Off-street")&gt;0,1,0)</f>
        <v>0</v>
      </c>
      <c r="S1500">
        <f t="shared" si="46"/>
        <v>1</v>
      </c>
      <c r="T1500">
        <f t="shared" si="47"/>
        <v>1</v>
      </c>
    </row>
    <row r="1501" spans="1:20" x14ac:dyDescent="0.2">
      <c r="A1501" t="s">
        <v>1774</v>
      </c>
      <c r="B1501">
        <f>IF(COUNTIFS('United Data'!$A$3:$A$3390,B$1,'United Data'!$C$3:$C$3390,$A1501,'United Data'!$B$3:$B$3390,"&lt;&gt;Off-street")&gt;0,1,0)</f>
        <v>1</v>
      </c>
      <c r="C1501">
        <f>IF(COUNTIFS('United Data'!$A$3:$A$3390,C$1,'United Data'!$C$3:$C$3390,$A1501,'United Data'!$B$3:$B$3390,"&lt;&gt;Off-street")&gt;0,1,0)</f>
        <v>1</v>
      </c>
      <c r="D1501">
        <f>IF(COUNTIFS('United Data'!$A$3:$A$3390,D$1,'United Data'!$C$3:$C$3390,$A1501,'United Data'!$B$3:$B$3390,"&lt;&gt;Off-street")&gt;0,1,0)</f>
        <v>0</v>
      </c>
      <c r="E1501">
        <f>IF(COUNTIFS('United Data'!$A$3:$A$3390,E$1,'United Data'!$C$3:$C$3390,$A1501,'United Data'!$B$3:$B$3390,"&lt;&gt;Off-street")&gt;0,1,0)</f>
        <v>1</v>
      </c>
      <c r="F1501">
        <f>IF(COUNTIFS('United Data'!$A$3:$A$3390,F$1,'United Data'!$C$3:$C$3390,$A1501,'United Data'!$B$3:$B$3390,"&lt;&gt;Off-street")&gt;0,1,0)</f>
        <v>1</v>
      </c>
      <c r="G1501">
        <f>IF(COUNTIFS('United Data'!$A$3:$A$3390,G$1,'United Data'!$C$3:$C$3390,$A1501,'United Data'!$B$3:$B$3390,"&lt;&gt;Off-street")&gt;0,1,0)</f>
        <v>1</v>
      </c>
      <c r="H1501">
        <f>IF(COUNTIFS('United Data'!$A$3:$A$3390,H$1,'United Data'!$C$3:$C$3390,$A1501,'United Data'!$B$3:$B$3390,"&lt;&gt;Off-street")&gt;0,1,0)</f>
        <v>0</v>
      </c>
      <c r="I1501">
        <f>IF(COUNTIFS('United Data'!$A$3:$A$3390,I$1,'United Data'!$C$3:$C$3390,$A1501,'United Data'!$B$3:$B$3390,"&lt;&gt;Off-street")&gt;0,1,0)</f>
        <v>0</v>
      </c>
      <c r="J1501">
        <f>IF(COUNTIFS('United Data'!$A$3:$A$3390,J$1,'United Data'!$C$3:$C$3390,$A1501,'United Data'!$B$3:$B$3390,"&lt;&gt;Off-street")&gt;0,1,0)</f>
        <v>0</v>
      </c>
      <c r="K1501">
        <f>IF(COUNTIFS('United Data'!$A$3:$A$3390,K$1,'United Data'!$C$3:$C$3390,$A1501,'United Data'!$B$3:$B$3390,"&lt;&gt;Off-street")&gt;0,1,0)</f>
        <v>1</v>
      </c>
      <c r="L1501">
        <f>IF(COUNTIFS('United Data'!$A$3:$A$3390,L$1,'United Data'!$C$3:$C$3390,$A1501,'United Data'!$B$3:$B$3390,"&lt;&gt;Off-street")&gt;0,1,0)</f>
        <v>0</v>
      </c>
      <c r="M1501">
        <f>IF(COUNTIFS('United Data'!$A$3:$A$3390,M$1,'United Data'!$C$3:$C$3390,$A1501,'United Data'!$B$3:$B$3390,"&lt;&gt;Off-street")&gt;0,1,0)</f>
        <v>0</v>
      </c>
      <c r="N1501">
        <f>IF(COUNTIFS('United Data'!$A$3:$A$3390,N$1,'United Data'!$C$3:$C$3390,$A1501,'United Data'!$B$3:$B$3390,"&lt;&gt;Off-street")&gt;0,1,0)</f>
        <v>1</v>
      </c>
      <c r="O1501">
        <f>IF(COUNTIFS('United Data'!$A$3:$A$3390,O$1,'United Data'!$C$3:$C$3390,$A1501,'United Data'!$B$3:$B$3390,"&lt;&gt;Off-street")&gt;0,1,0)</f>
        <v>1</v>
      </c>
      <c r="P1501">
        <f>IF(COUNTIFS('United Data'!$A$3:$A$3390,P$1,'United Data'!$C$3:$C$3390,$A1501,'United Data'!$B$3:$B$3390,"&lt;&gt;Off-street")&gt;0,1,0)</f>
        <v>1</v>
      </c>
      <c r="Q1501">
        <f>IF(COUNTIFS('United Data'!$A$3:$A$3390,Q$1,'United Data'!$C$3:$C$3390,$A1501,'United Data'!$B$3:$B$3390,"&lt;&gt;Off-street")&gt;0,1,0)</f>
        <v>0</v>
      </c>
      <c r="R1501">
        <f>IF(COUNTIFS('United Data'!$A$3:$A$3390,R$1,'United Data'!$C$3:$C$3390,$A1501,'United Data'!$B$3:$B$3390,"&lt;&gt;Off-street")&gt;0,1,0)</f>
        <v>1</v>
      </c>
      <c r="S1501">
        <f t="shared" si="46"/>
        <v>10</v>
      </c>
      <c r="T1501">
        <f t="shared" si="47"/>
        <v>5</v>
      </c>
    </row>
    <row r="1502" spans="1:20" x14ac:dyDescent="0.2">
      <c r="A1502" t="s">
        <v>1775</v>
      </c>
      <c r="B1502">
        <f>IF(COUNTIFS('United Data'!$A$3:$A$3390,B$1,'United Data'!$C$3:$C$3390,$A1502,'United Data'!$B$3:$B$3390,"&lt;&gt;Off-street")&gt;0,1,0)</f>
        <v>0</v>
      </c>
      <c r="C1502">
        <f>IF(COUNTIFS('United Data'!$A$3:$A$3390,C$1,'United Data'!$C$3:$C$3390,$A1502,'United Data'!$B$3:$B$3390,"&lt;&gt;Off-street")&gt;0,1,0)</f>
        <v>0</v>
      </c>
      <c r="D1502">
        <f>IF(COUNTIFS('United Data'!$A$3:$A$3390,D$1,'United Data'!$C$3:$C$3390,$A1502,'United Data'!$B$3:$B$3390,"&lt;&gt;Off-street")&gt;0,1,0)</f>
        <v>1</v>
      </c>
      <c r="E1502">
        <f>IF(COUNTIFS('United Data'!$A$3:$A$3390,E$1,'United Data'!$C$3:$C$3390,$A1502,'United Data'!$B$3:$B$3390,"&lt;&gt;Off-street")&gt;0,1,0)</f>
        <v>0</v>
      </c>
      <c r="F1502">
        <f>IF(COUNTIFS('United Data'!$A$3:$A$3390,F$1,'United Data'!$C$3:$C$3390,$A1502,'United Data'!$B$3:$B$3390,"&lt;&gt;Off-street")&gt;0,1,0)</f>
        <v>0</v>
      </c>
      <c r="G1502">
        <f>IF(COUNTIFS('United Data'!$A$3:$A$3390,G$1,'United Data'!$C$3:$C$3390,$A1502,'United Data'!$B$3:$B$3390,"&lt;&gt;Off-street")&gt;0,1,0)</f>
        <v>0</v>
      </c>
      <c r="H1502">
        <f>IF(COUNTIFS('United Data'!$A$3:$A$3390,H$1,'United Data'!$C$3:$C$3390,$A1502,'United Data'!$B$3:$B$3390,"&lt;&gt;Off-street")&gt;0,1,0)</f>
        <v>0</v>
      </c>
      <c r="I1502">
        <f>IF(COUNTIFS('United Data'!$A$3:$A$3390,I$1,'United Data'!$C$3:$C$3390,$A1502,'United Data'!$B$3:$B$3390,"&lt;&gt;Off-street")&gt;0,1,0)</f>
        <v>0</v>
      </c>
      <c r="J1502">
        <f>IF(COUNTIFS('United Data'!$A$3:$A$3390,J$1,'United Data'!$C$3:$C$3390,$A1502,'United Data'!$B$3:$B$3390,"&lt;&gt;Off-street")&gt;0,1,0)</f>
        <v>0</v>
      </c>
      <c r="K1502">
        <f>IF(COUNTIFS('United Data'!$A$3:$A$3390,K$1,'United Data'!$C$3:$C$3390,$A1502,'United Data'!$B$3:$B$3390,"&lt;&gt;Off-street")&gt;0,1,0)</f>
        <v>0</v>
      </c>
      <c r="L1502">
        <f>IF(COUNTIFS('United Data'!$A$3:$A$3390,L$1,'United Data'!$C$3:$C$3390,$A1502,'United Data'!$B$3:$B$3390,"&lt;&gt;Off-street")&gt;0,1,0)</f>
        <v>0</v>
      </c>
      <c r="M1502">
        <f>IF(COUNTIFS('United Data'!$A$3:$A$3390,M$1,'United Data'!$C$3:$C$3390,$A1502,'United Data'!$B$3:$B$3390,"&lt;&gt;Off-street")&gt;0,1,0)</f>
        <v>0</v>
      </c>
      <c r="N1502">
        <f>IF(COUNTIFS('United Data'!$A$3:$A$3390,N$1,'United Data'!$C$3:$C$3390,$A1502,'United Data'!$B$3:$B$3390,"&lt;&gt;Off-street")&gt;0,1,0)</f>
        <v>0</v>
      </c>
      <c r="O1502">
        <f>IF(COUNTIFS('United Data'!$A$3:$A$3390,O$1,'United Data'!$C$3:$C$3390,$A1502,'United Data'!$B$3:$B$3390,"&lt;&gt;Off-street")&gt;0,1,0)</f>
        <v>0</v>
      </c>
      <c r="P1502">
        <f>IF(COUNTIFS('United Data'!$A$3:$A$3390,P$1,'United Data'!$C$3:$C$3390,$A1502,'United Data'!$B$3:$B$3390,"&lt;&gt;Off-street")&gt;0,1,0)</f>
        <v>0</v>
      </c>
      <c r="Q1502">
        <f>IF(COUNTIFS('United Data'!$A$3:$A$3390,Q$1,'United Data'!$C$3:$C$3390,$A1502,'United Data'!$B$3:$B$3390,"&lt;&gt;Off-street")&gt;0,1,0)</f>
        <v>0</v>
      </c>
      <c r="R1502">
        <f>IF(COUNTIFS('United Data'!$A$3:$A$3390,R$1,'United Data'!$C$3:$C$3390,$A1502,'United Data'!$B$3:$B$3390,"&lt;&gt;Off-street")&gt;0,1,0)</f>
        <v>0</v>
      </c>
      <c r="S1502">
        <f t="shared" si="46"/>
        <v>1</v>
      </c>
      <c r="T1502">
        <f t="shared" si="47"/>
        <v>1</v>
      </c>
    </row>
    <row r="1503" spans="1:20" x14ac:dyDescent="0.2">
      <c r="A1503" t="s">
        <v>1776</v>
      </c>
      <c r="B1503">
        <f>IF(COUNTIFS('United Data'!$A$3:$A$3390,B$1,'United Data'!$C$3:$C$3390,$A1503,'United Data'!$B$3:$B$3390,"&lt;&gt;Off-street")&gt;0,1,0)</f>
        <v>0</v>
      </c>
      <c r="C1503">
        <f>IF(COUNTIFS('United Data'!$A$3:$A$3390,C$1,'United Data'!$C$3:$C$3390,$A1503,'United Data'!$B$3:$B$3390,"&lt;&gt;Off-street")&gt;0,1,0)</f>
        <v>0</v>
      </c>
      <c r="D1503">
        <f>IF(COUNTIFS('United Data'!$A$3:$A$3390,D$1,'United Data'!$C$3:$C$3390,$A1503,'United Data'!$B$3:$B$3390,"&lt;&gt;Off-street")&gt;0,1,0)</f>
        <v>1</v>
      </c>
      <c r="E1503">
        <f>IF(COUNTIFS('United Data'!$A$3:$A$3390,E$1,'United Data'!$C$3:$C$3390,$A1503,'United Data'!$B$3:$B$3390,"&lt;&gt;Off-street")&gt;0,1,0)</f>
        <v>1</v>
      </c>
      <c r="F1503">
        <f>IF(COUNTIFS('United Data'!$A$3:$A$3390,F$1,'United Data'!$C$3:$C$3390,$A1503,'United Data'!$B$3:$B$3390,"&lt;&gt;Off-street")&gt;0,1,0)</f>
        <v>0</v>
      </c>
      <c r="G1503">
        <f>IF(COUNTIFS('United Data'!$A$3:$A$3390,G$1,'United Data'!$C$3:$C$3390,$A1503,'United Data'!$B$3:$B$3390,"&lt;&gt;Off-street")&gt;0,1,0)</f>
        <v>0</v>
      </c>
      <c r="H1503">
        <f>IF(COUNTIFS('United Data'!$A$3:$A$3390,H$1,'United Data'!$C$3:$C$3390,$A1503,'United Data'!$B$3:$B$3390,"&lt;&gt;Off-street")&gt;0,1,0)</f>
        <v>0</v>
      </c>
      <c r="I1503">
        <f>IF(COUNTIFS('United Data'!$A$3:$A$3390,I$1,'United Data'!$C$3:$C$3390,$A1503,'United Data'!$B$3:$B$3390,"&lt;&gt;Off-street")&gt;0,1,0)</f>
        <v>0</v>
      </c>
      <c r="J1503">
        <f>IF(COUNTIFS('United Data'!$A$3:$A$3390,J$1,'United Data'!$C$3:$C$3390,$A1503,'United Data'!$B$3:$B$3390,"&lt;&gt;Off-street")&gt;0,1,0)</f>
        <v>0</v>
      </c>
      <c r="K1503">
        <f>IF(COUNTIFS('United Data'!$A$3:$A$3390,K$1,'United Data'!$C$3:$C$3390,$A1503,'United Data'!$B$3:$B$3390,"&lt;&gt;Off-street")&gt;0,1,0)</f>
        <v>0</v>
      </c>
      <c r="L1503">
        <f>IF(COUNTIFS('United Data'!$A$3:$A$3390,L$1,'United Data'!$C$3:$C$3390,$A1503,'United Data'!$B$3:$B$3390,"&lt;&gt;Off-street")&gt;0,1,0)</f>
        <v>0</v>
      </c>
      <c r="M1503">
        <f>IF(COUNTIFS('United Data'!$A$3:$A$3390,M$1,'United Data'!$C$3:$C$3390,$A1503,'United Data'!$B$3:$B$3390,"&lt;&gt;Off-street")&gt;0,1,0)</f>
        <v>0</v>
      </c>
      <c r="N1503">
        <f>IF(COUNTIFS('United Data'!$A$3:$A$3390,N$1,'United Data'!$C$3:$C$3390,$A1503,'United Data'!$B$3:$B$3390,"&lt;&gt;Off-street")&gt;0,1,0)</f>
        <v>0</v>
      </c>
      <c r="O1503">
        <f>IF(COUNTIFS('United Data'!$A$3:$A$3390,O$1,'United Data'!$C$3:$C$3390,$A1503,'United Data'!$B$3:$B$3390,"&lt;&gt;Off-street")&gt;0,1,0)</f>
        <v>0</v>
      </c>
      <c r="P1503">
        <f>IF(COUNTIFS('United Data'!$A$3:$A$3390,P$1,'United Data'!$C$3:$C$3390,$A1503,'United Data'!$B$3:$B$3390,"&lt;&gt;Off-street")&gt;0,1,0)</f>
        <v>0</v>
      </c>
      <c r="Q1503">
        <f>IF(COUNTIFS('United Data'!$A$3:$A$3390,Q$1,'United Data'!$C$3:$C$3390,$A1503,'United Data'!$B$3:$B$3390,"&lt;&gt;Off-street")&gt;0,1,0)</f>
        <v>0</v>
      </c>
      <c r="R1503">
        <f>IF(COUNTIFS('United Data'!$A$3:$A$3390,R$1,'United Data'!$C$3:$C$3390,$A1503,'United Data'!$B$3:$B$3390,"&lt;&gt;Off-street")&gt;0,1,0)</f>
        <v>0</v>
      </c>
      <c r="S1503">
        <f t="shared" si="46"/>
        <v>2</v>
      </c>
      <c r="T1503">
        <f t="shared" si="47"/>
        <v>1</v>
      </c>
    </row>
    <row r="1504" spans="1:20" x14ac:dyDescent="0.2">
      <c r="A1504" t="s">
        <v>1778</v>
      </c>
      <c r="B1504">
        <f>IF(COUNTIFS('United Data'!$A$3:$A$3390,B$1,'United Data'!$C$3:$C$3390,$A1504,'United Data'!$B$3:$B$3390,"&lt;&gt;Off-street")&gt;0,1,0)</f>
        <v>0</v>
      </c>
      <c r="C1504">
        <f>IF(COUNTIFS('United Data'!$A$3:$A$3390,C$1,'United Data'!$C$3:$C$3390,$A1504,'United Data'!$B$3:$B$3390,"&lt;&gt;Off-street")&gt;0,1,0)</f>
        <v>0</v>
      </c>
      <c r="D1504">
        <f>IF(COUNTIFS('United Data'!$A$3:$A$3390,D$1,'United Data'!$C$3:$C$3390,$A1504,'United Data'!$B$3:$B$3390,"&lt;&gt;Off-street")&gt;0,1,0)</f>
        <v>1</v>
      </c>
      <c r="E1504">
        <f>IF(COUNTIFS('United Data'!$A$3:$A$3390,E$1,'United Data'!$C$3:$C$3390,$A1504,'United Data'!$B$3:$B$3390,"&lt;&gt;Off-street")&gt;0,1,0)</f>
        <v>0</v>
      </c>
      <c r="F1504">
        <f>IF(COUNTIFS('United Data'!$A$3:$A$3390,F$1,'United Data'!$C$3:$C$3390,$A1504,'United Data'!$B$3:$B$3390,"&lt;&gt;Off-street")&gt;0,1,0)</f>
        <v>0</v>
      </c>
      <c r="G1504">
        <f>IF(COUNTIFS('United Data'!$A$3:$A$3390,G$1,'United Data'!$C$3:$C$3390,$A1504,'United Data'!$B$3:$B$3390,"&lt;&gt;Off-street")&gt;0,1,0)</f>
        <v>0</v>
      </c>
      <c r="H1504">
        <f>IF(COUNTIFS('United Data'!$A$3:$A$3390,H$1,'United Data'!$C$3:$C$3390,$A1504,'United Data'!$B$3:$B$3390,"&lt;&gt;Off-street")&gt;0,1,0)</f>
        <v>0</v>
      </c>
      <c r="I1504">
        <f>IF(COUNTIFS('United Data'!$A$3:$A$3390,I$1,'United Data'!$C$3:$C$3390,$A1504,'United Data'!$B$3:$B$3390,"&lt;&gt;Off-street")&gt;0,1,0)</f>
        <v>0</v>
      </c>
      <c r="J1504">
        <f>IF(COUNTIFS('United Data'!$A$3:$A$3390,J$1,'United Data'!$C$3:$C$3390,$A1504,'United Data'!$B$3:$B$3390,"&lt;&gt;Off-street")&gt;0,1,0)</f>
        <v>0</v>
      </c>
      <c r="K1504">
        <f>IF(COUNTIFS('United Data'!$A$3:$A$3390,K$1,'United Data'!$C$3:$C$3390,$A1504,'United Data'!$B$3:$B$3390,"&lt;&gt;Off-street")&gt;0,1,0)</f>
        <v>0</v>
      </c>
      <c r="L1504">
        <f>IF(COUNTIFS('United Data'!$A$3:$A$3390,L$1,'United Data'!$C$3:$C$3390,$A1504,'United Data'!$B$3:$B$3390,"&lt;&gt;Off-street")&gt;0,1,0)</f>
        <v>0</v>
      </c>
      <c r="M1504">
        <f>IF(COUNTIFS('United Data'!$A$3:$A$3390,M$1,'United Data'!$C$3:$C$3390,$A1504,'United Data'!$B$3:$B$3390,"&lt;&gt;Off-street")&gt;0,1,0)</f>
        <v>0</v>
      </c>
      <c r="N1504">
        <f>IF(COUNTIFS('United Data'!$A$3:$A$3390,N$1,'United Data'!$C$3:$C$3390,$A1504,'United Data'!$B$3:$B$3390,"&lt;&gt;Off-street")&gt;0,1,0)</f>
        <v>0</v>
      </c>
      <c r="O1504">
        <f>IF(COUNTIFS('United Data'!$A$3:$A$3390,O$1,'United Data'!$C$3:$C$3390,$A1504,'United Data'!$B$3:$B$3390,"&lt;&gt;Off-street")&gt;0,1,0)</f>
        <v>0</v>
      </c>
      <c r="P1504">
        <f>IF(COUNTIFS('United Data'!$A$3:$A$3390,P$1,'United Data'!$C$3:$C$3390,$A1504,'United Data'!$B$3:$B$3390,"&lt;&gt;Off-street")&gt;0,1,0)</f>
        <v>0</v>
      </c>
      <c r="Q1504">
        <f>IF(COUNTIFS('United Data'!$A$3:$A$3390,Q$1,'United Data'!$C$3:$C$3390,$A1504,'United Data'!$B$3:$B$3390,"&lt;&gt;Off-street")&gt;0,1,0)</f>
        <v>0</v>
      </c>
      <c r="R1504">
        <f>IF(COUNTIFS('United Data'!$A$3:$A$3390,R$1,'United Data'!$C$3:$C$3390,$A1504,'United Data'!$B$3:$B$3390,"&lt;&gt;Off-street")&gt;0,1,0)</f>
        <v>0</v>
      </c>
      <c r="S1504">
        <f t="shared" si="46"/>
        <v>1</v>
      </c>
      <c r="T1504">
        <f t="shared" si="47"/>
        <v>1</v>
      </c>
    </row>
    <row r="1505" spans="1:20" x14ac:dyDescent="0.2">
      <c r="A1505" t="s">
        <v>1779</v>
      </c>
      <c r="B1505">
        <f>IF(COUNTIFS('United Data'!$A$3:$A$3390,B$1,'United Data'!$C$3:$C$3390,$A1505,'United Data'!$B$3:$B$3390,"&lt;&gt;Off-street")&gt;0,1,0)</f>
        <v>0</v>
      </c>
      <c r="C1505">
        <f>IF(COUNTIFS('United Data'!$A$3:$A$3390,C$1,'United Data'!$C$3:$C$3390,$A1505,'United Data'!$B$3:$B$3390,"&lt;&gt;Off-street")&gt;0,1,0)</f>
        <v>0</v>
      </c>
      <c r="D1505">
        <f>IF(COUNTIFS('United Data'!$A$3:$A$3390,D$1,'United Data'!$C$3:$C$3390,$A1505,'United Data'!$B$3:$B$3390,"&lt;&gt;Off-street")&gt;0,1,0)</f>
        <v>1</v>
      </c>
      <c r="E1505">
        <f>IF(COUNTIFS('United Data'!$A$3:$A$3390,E$1,'United Data'!$C$3:$C$3390,$A1505,'United Data'!$B$3:$B$3390,"&lt;&gt;Off-street")&gt;0,1,0)</f>
        <v>0</v>
      </c>
      <c r="F1505">
        <f>IF(COUNTIFS('United Data'!$A$3:$A$3390,F$1,'United Data'!$C$3:$C$3390,$A1505,'United Data'!$B$3:$B$3390,"&lt;&gt;Off-street")&gt;0,1,0)</f>
        <v>1</v>
      </c>
      <c r="G1505">
        <f>IF(COUNTIFS('United Data'!$A$3:$A$3390,G$1,'United Data'!$C$3:$C$3390,$A1505,'United Data'!$B$3:$B$3390,"&lt;&gt;Off-street")&gt;0,1,0)</f>
        <v>0</v>
      </c>
      <c r="H1505">
        <f>IF(COUNTIFS('United Data'!$A$3:$A$3390,H$1,'United Data'!$C$3:$C$3390,$A1505,'United Data'!$B$3:$B$3390,"&lt;&gt;Off-street")&gt;0,1,0)</f>
        <v>0</v>
      </c>
      <c r="I1505">
        <f>IF(COUNTIFS('United Data'!$A$3:$A$3390,I$1,'United Data'!$C$3:$C$3390,$A1505,'United Data'!$B$3:$B$3390,"&lt;&gt;Off-street")&gt;0,1,0)</f>
        <v>0</v>
      </c>
      <c r="J1505">
        <f>IF(COUNTIFS('United Data'!$A$3:$A$3390,J$1,'United Data'!$C$3:$C$3390,$A1505,'United Data'!$B$3:$B$3390,"&lt;&gt;Off-street")&gt;0,1,0)</f>
        <v>0</v>
      </c>
      <c r="K1505">
        <f>IF(COUNTIFS('United Data'!$A$3:$A$3390,K$1,'United Data'!$C$3:$C$3390,$A1505,'United Data'!$B$3:$B$3390,"&lt;&gt;Off-street")&gt;0,1,0)</f>
        <v>1</v>
      </c>
      <c r="L1505">
        <f>IF(COUNTIFS('United Data'!$A$3:$A$3390,L$1,'United Data'!$C$3:$C$3390,$A1505,'United Data'!$B$3:$B$3390,"&lt;&gt;Off-street")&gt;0,1,0)</f>
        <v>0</v>
      </c>
      <c r="M1505">
        <f>IF(COUNTIFS('United Data'!$A$3:$A$3390,M$1,'United Data'!$C$3:$C$3390,$A1505,'United Data'!$B$3:$B$3390,"&lt;&gt;Off-street")&gt;0,1,0)</f>
        <v>1</v>
      </c>
      <c r="N1505">
        <f>IF(COUNTIFS('United Data'!$A$3:$A$3390,N$1,'United Data'!$C$3:$C$3390,$A1505,'United Data'!$B$3:$B$3390,"&lt;&gt;Off-street")&gt;0,1,0)</f>
        <v>1</v>
      </c>
      <c r="O1505">
        <f>IF(COUNTIFS('United Data'!$A$3:$A$3390,O$1,'United Data'!$C$3:$C$3390,$A1505,'United Data'!$B$3:$B$3390,"&lt;&gt;Off-street")&gt;0,1,0)</f>
        <v>1</v>
      </c>
      <c r="P1505">
        <f>IF(COUNTIFS('United Data'!$A$3:$A$3390,P$1,'United Data'!$C$3:$C$3390,$A1505,'United Data'!$B$3:$B$3390,"&lt;&gt;Off-street")&gt;0,1,0)</f>
        <v>1</v>
      </c>
      <c r="Q1505">
        <f>IF(COUNTIFS('United Data'!$A$3:$A$3390,Q$1,'United Data'!$C$3:$C$3390,$A1505,'United Data'!$B$3:$B$3390,"&lt;&gt;Off-street")&gt;0,1,0)</f>
        <v>0</v>
      </c>
      <c r="R1505">
        <f>IF(COUNTIFS('United Data'!$A$3:$A$3390,R$1,'United Data'!$C$3:$C$3390,$A1505,'United Data'!$B$3:$B$3390,"&lt;&gt;Off-street")&gt;0,1,0)</f>
        <v>0</v>
      </c>
      <c r="S1505">
        <f t="shared" si="46"/>
        <v>7</v>
      </c>
      <c r="T1505">
        <f t="shared" si="47"/>
        <v>4</v>
      </c>
    </row>
    <row r="1506" spans="1:20" x14ac:dyDescent="0.2">
      <c r="A1506" t="s">
        <v>1780</v>
      </c>
      <c r="B1506">
        <f>IF(COUNTIFS('United Data'!$A$3:$A$3390,B$1,'United Data'!$C$3:$C$3390,$A1506,'United Data'!$B$3:$B$3390,"&lt;&gt;Off-street")&gt;0,1,0)</f>
        <v>0</v>
      </c>
      <c r="C1506">
        <f>IF(COUNTIFS('United Data'!$A$3:$A$3390,C$1,'United Data'!$C$3:$C$3390,$A1506,'United Data'!$B$3:$B$3390,"&lt;&gt;Off-street")&gt;0,1,0)</f>
        <v>0</v>
      </c>
      <c r="D1506">
        <f>IF(COUNTIFS('United Data'!$A$3:$A$3390,D$1,'United Data'!$C$3:$C$3390,$A1506,'United Data'!$B$3:$B$3390,"&lt;&gt;Off-street")&gt;0,1,0)</f>
        <v>1</v>
      </c>
      <c r="E1506">
        <f>IF(COUNTIFS('United Data'!$A$3:$A$3390,E$1,'United Data'!$C$3:$C$3390,$A1506,'United Data'!$B$3:$B$3390,"&lt;&gt;Off-street")&gt;0,1,0)</f>
        <v>1</v>
      </c>
      <c r="F1506">
        <f>IF(COUNTIFS('United Data'!$A$3:$A$3390,F$1,'United Data'!$C$3:$C$3390,$A1506,'United Data'!$B$3:$B$3390,"&lt;&gt;Off-street")&gt;0,1,0)</f>
        <v>1</v>
      </c>
      <c r="G1506">
        <f>IF(COUNTIFS('United Data'!$A$3:$A$3390,G$1,'United Data'!$C$3:$C$3390,$A1506,'United Data'!$B$3:$B$3390,"&lt;&gt;Off-street")&gt;0,1,0)</f>
        <v>1</v>
      </c>
      <c r="H1506">
        <f>IF(COUNTIFS('United Data'!$A$3:$A$3390,H$1,'United Data'!$C$3:$C$3390,$A1506,'United Data'!$B$3:$B$3390,"&lt;&gt;Off-street")&gt;0,1,0)</f>
        <v>0</v>
      </c>
      <c r="I1506">
        <f>IF(COUNTIFS('United Data'!$A$3:$A$3390,I$1,'United Data'!$C$3:$C$3390,$A1506,'United Data'!$B$3:$B$3390,"&lt;&gt;Off-street")&gt;0,1,0)</f>
        <v>0</v>
      </c>
      <c r="J1506">
        <f>IF(COUNTIFS('United Data'!$A$3:$A$3390,J$1,'United Data'!$C$3:$C$3390,$A1506,'United Data'!$B$3:$B$3390,"&lt;&gt;Off-street")&gt;0,1,0)</f>
        <v>0</v>
      </c>
      <c r="K1506">
        <f>IF(COUNTIFS('United Data'!$A$3:$A$3390,K$1,'United Data'!$C$3:$C$3390,$A1506,'United Data'!$B$3:$B$3390,"&lt;&gt;Off-street")&gt;0,1,0)</f>
        <v>0</v>
      </c>
      <c r="L1506">
        <f>IF(COUNTIFS('United Data'!$A$3:$A$3390,L$1,'United Data'!$C$3:$C$3390,$A1506,'United Data'!$B$3:$B$3390,"&lt;&gt;Off-street")&gt;0,1,0)</f>
        <v>0</v>
      </c>
      <c r="M1506">
        <f>IF(COUNTIFS('United Data'!$A$3:$A$3390,M$1,'United Data'!$C$3:$C$3390,$A1506,'United Data'!$B$3:$B$3390,"&lt;&gt;Off-street")&gt;0,1,0)</f>
        <v>0</v>
      </c>
      <c r="N1506">
        <f>IF(COUNTIFS('United Data'!$A$3:$A$3390,N$1,'United Data'!$C$3:$C$3390,$A1506,'United Data'!$B$3:$B$3390,"&lt;&gt;Off-street")&gt;0,1,0)</f>
        <v>0</v>
      </c>
      <c r="O1506">
        <f>IF(COUNTIFS('United Data'!$A$3:$A$3390,O$1,'United Data'!$C$3:$C$3390,$A1506,'United Data'!$B$3:$B$3390,"&lt;&gt;Off-street")&gt;0,1,0)</f>
        <v>0</v>
      </c>
      <c r="P1506">
        <f>IF(COUNTIFS('United Data'!$A$3:$A$3390,P$1,'United Data'!$C$3:$C$3390,$A1506,'United Data'!$B$3:$B$3390,"&lt;&gt;Off-street")&gt;0,1,0)</f>
        <v>0</v>
      </c>
      <c r="Q1506">
        <f>IF(COUNTIFS('United Data'!$A$3:$A$3390,Q$1,'United Data'!$C$3:$C$3390,$A1506,'United Data'!$B$3:$B$3390,"&lt;&gt;Off-street")&gt;0,1,0)</f>
        <v>0</v>
      </c>
      <c r="R1506">
        <f>IF(COUNTIFS('United Data'!$A$3:$A$3390,R$1,'United Data'!$C$3:$C$3390,$A1506,'United Data'!$B$3:$B$3390,"&lt;&gt;Off-street")&gt;0,1,0)</f>
        <v>0</v>
      </c>
      <c r="S1506">
        <f t="shared" si="46"/>
        <v>4</v>
      </c>
      <c r="T1506">
        <f t="shared" si="47"/>
        <v>1</v>
      </c>
    </row>
    <row r="1507" spans="1:20" x14ac:dyDescent="0.2">
      <c r="A1507" t="s">
        <v>1783</v>
      </c>
      <c r="B1507">
        <f>IF(COUNTIFS('United Data'!$A$3:$A$3390,B$1,'United Data'!$C$3:$C$3390,$A1507,'United Data'!$B$3:$B$3390,"&lt;&gt;Off-street")&gt;0,1,0)</f>
        <v>0</v>
      </c>
      <c r="C1507">
        <f>IF(COUNTIFS('United Data'!$A$3:$A$3390,C$1,'United Data'!$C$3:$C$3390,$A1507,'United Data'!$B$3:$B$3390,"&lt;&gt;Off-street")&gt;0,1,0)</f>
        <v>0</v>
      </c>
      <c r="D1507">
        <f>IF(COUNTIFS('United Data'!$A$3:$A$3390,D$1,'United Data'!$C$3:$C$3390,$A1507,'United Data'!$B$3:$B$3390,"&lt;&gt;Off-street")&gt;0,1,0)</f>
        <v>1</v>
      </c>
      <c r="E1507">
        <f>IF(COUNTIFS('United Data'!$A$3:$A$3390,E$1,'United Data'!$C$3:$C$3390,$A1507,'United Data'!$B$3:$B$3390,"&lt;&gt;Off-street")&gt;0,1,0)</f>
        <v>0</v>
      </c>
      <c r="F1507">
        <f>IF(COUNTIFS('United Data'!$A$3:$A$3390,F$1,'United Data'!$C$3:$C$3390,$A1507,'United Data'!$B$3:$B$3390,"&lt;&gt;Off-street")&gt;0,1,0)</f>
        <v>0</v>
      </c>
      <c r="G1507">
        <f>IF(COUNTIFS('United Data'!$A$3:$A$3390,G$1,'United Data'!$C$3:$C$3390,$A1507,'United Data'!$B$3:$B$3390,"&lt;&gt;Off-street")&gt;0,1,0)</f>
        <v>0</v>
      </c>
      <c r="H1507">
        <f>IF(COUNTIFS('United Data'!$A$3:$A$3390,H$1,'United Data'!$C$3:$C$3390,$A1507,'United Data'!$B$3:$B$3390,"&lt;&gt;Off-street")&gt;0,1,0)</f>
        <v>0</v>
      </c>
      <c r="I1507">
        <f>IF(COUNTIFS('United Data'!$A$3:$A$3390,I$1,'United Data'!$C$3:$C$3390,$A1507,'United Data'!$B$3:$B$3390,"&lt;&gt;Off-street")&gt;0,1,0)</f>
        <v>0</v>
      </c>
      <c r="J1507">
        <f>IF(COUNTIFS('United Data'!$A$3:$A$3390,J$1,'United Data'!$C$3:$C$3390,$A1507,'United Data'!$B$3:$B$3390,"&lt;&gt;Off-street")&gt;0,1,0)</f>
        <v>0</v>
      </c>
      <c r="K1507">
        <f>IF(COUNTIFS('United Data'!$A$3:$A$3390,K$1,'United Data'!$C$3:$C$3390,$A1507,'United Data'!$B$3:$B$3390,"&lt;&gt;Off-street")&gt;0,1,0)</f>
        <v>0</v>
      </c>
      <c r="L1507">
        <f>IF(COUNTIFS('United Data'!$A$3:$A$3390,L$1,'United Data'!$C$3:$C$3390,$A1507,'United Data'!$B$3:$B$3390,"&lt;&gt;Off-street")&gt;0,1,0)</f>
        <v>0</v>
      </c>
      <c r="M1507">
        <f>IF(COUNTIFS('United Data'!$A$3:$A$3390,M$1,'United Data'!$C$3:$C$3390,$A1507,'United Data'!$B$3:$B$3390,"&lt;&gt;Off-street")&gt;0,1,0)</f>
        <v>0</v>
      </c>
      <c r="N1507">
        <f>IF(COUNTIFS('United Data'!$A$3:$A$3390,N$1,'United Data'!$C$3:$C$3390,$A1507,'United Data'!$B$3:$B$3390,"&lt;&gt;Off-street")&gt;0,1,0)</f>
        <v>0</v>
      </c>
      <c r="O1507">
        <f>IF(COUNTIFS('United Data'!$A$3:$A$3390,O$1,'United Data'!$C$3:$C$3390,$A1507,'United Data'!$B$3:$B$3390,"&lt;&gt;Off-street")&gt;0,1,0)</f>
        <v>0</v>
      </c>
      <c r="P1507">
        <f>IF(COUNTIFS('United Data'!$A$3:$A$3390,P$1,'United Data'!$C$3:$C$3390,$A1507,'United Data'!$B$3:$B$3390,"&lt;&gt;Off-street")&gt;0,1,0)</f>
        <v>0</v>
      </c>
      <c r="Q1507">
        <f>IF(COUNTIFS('United Data'!$A$3:$A$3390,Q$1,'United Data'!$C$3:$C$3390,$A1507,'United Data'!$B$3:$B$3390,"&lt;&gt;Off-street")&gt;0,1,0)</f>
        <v>0</v>
      </c>
      <c r="R1507">
        <f>IF(COUNTIFS('United Data'!$A$3:$A$3390,R$1,'United Data'!$C$3:$C$3390,$A1507,'United Data'!$B$3:$B$3390,"&lt;&gt;Off-street")&gt;0,1,0)</f>
        <v>0</v>
      </c>
      <c r="S1507">
        <f t="shared" si="46"/>
        <v>1</v>
      </c>
      <c r="T1507">
        <f t="shared" si="47"/>
        <v>1</v>
      </c>
    </row>
    <row r="1508" spans="1:20" x14ac:dyDescent="0.2">
      <c r="A1508" t="s">
        <v>1784</v>
      </c>
      <c r="B1508">
        <f>IF(COUNTIFS('United Data'!$A$3:$A$3390,B$1,'United Data'!$C$3:$C$3390,$A1508,'United Data'!$B$3:$B$3390,"&lt;&gt;Off-street")&gt;0,1,0)</f>
        <v>0</v>
      </c>
      <c r="C1508">
        <f>IF(COUNTIFS('United Data'!$A$3:$A$3390,C$1,'United Data'!$C$3:$C$3390,$A1508,'United Data'!$B$3:$B$3390,"&lt;&gt;Off-street")&gt;0,1,0)</f>
        <v>0</v>
      </c>
      <c r="D1508">
        <f>IF(COUNTIFS('United Data'!$A$3:$A$3390,D$1,'United Data'!$C$3:$C$3390,$A1508,'United Data'!$B$3:$B$3390,"&lt;&gt;Off-street")&gt;0,1,0)</f>
        <v>1</v>
      </c>
      <c r="E1508">
        <f>IF(COUNTIFS('United Data'!$A$3:$A$3390,E$1,'United Data'!$C$3:$C$3390,$A1508,'United Data'!$B$3:$B$3390,"&lt;&gt;Off-street")&gt;0,1,0)</f>
        <v>0</v>
      </c>
      <c r="F1508">
        <f>IF(COUNTIFS('United Data'!$A$3:$A$3390,F$1,'United Data'!$C$3:$C$3390,$A1508,'United Data'!$B$3:$B$3390,"&lt;&gt;Off-street")&gt;0,1,0)</f>
        <v>0</v>
      </c>
      <c r="G1508">
        <f>IF(COUNTIFS('United Data'!$A$3:$A$3390,G$1,'United Data'!$C$3:$C$3390,$A1508,'United Data'!$B$3:$B$3390,"&lt;&gt;Off-street")&gt;0,1,0)</f>
        <v>0</v>
      </c>
      <c r="H1508">
        <f>IF(COUNTIFS('United Data'!$A$3:$A$3390,H$1,'United Data'!$C$3:$C$3390,$A1508,'United Data'!$B$3:$B$3390,"&lt;&gt;Off-street")&gt;0,1,0)</f>
        <v>0</v>
      </c>
      <c r="I1508">
        <f>IF(COUNTIFS('United Data'!$A$3:$A$3390,I$1,'United Data'!$C$3:$C$3390,$A1508,'United Data'!$B$3:$B$3390,"&lt;&gt;Off-street")&gt;0,1,0)</f>
        <v>0</v>
      </c>
      <c r="J1508">
        <f>IF(COUNTIFS('United Data'!$A$3:$A$3390,J$1,'United Data'!$C$3:$C$3390,$A1508,'United Data'!$B$3:$B$3390,"&lt;&gt;Off-street")&gt;0,1,0)</f>
        <v>0</v>
      </c>
      <c r="K1508">
        <f>IF(COUNTIFS('United Data'!$A$3:$A$3390,K$1,'United Data'!$C$3:$C$3390,$A1508,'United Data'!$B$3:$B$3390,"&lt;&gt;Off-street")&gt;0,1,0)</f>
        <v>0</v>
      </c>
      <c r="L1508">
        <f>IF(COUNTIFS('United Data'!$A$3:$A$3390,L$1,'United Data'!$C$3:$C$3390,$A1508,'United Data'!$B$3:$B$3390,"&lt;&gt;Off-street")&gt;0,1,0)</f>
        <v>0</v>
      </c>
      <c r="M1508">
        <f>IF(COUNTIFS('United Data'!$A$3:$A$3390,M$1,'United Data'!$C$3:$C$3390,$A1508,'United Data'!$B$3:$B$3390,"&lt;&gt;Off-street")&gt;0,1,0)</f>
        <v>0</v>
      </c>
      <c r="N1508">
        <f>IF(COUNTIFS('United Data'!$A$3:$A$3390,N$1,'United Data'!$C$3:$C$3390,$A1508,'United Data'!$B$3:$B$3390,"&lt;&gt;Off-street")&gt;0,1,0)</f>
        <v>0</v>
      </c>
      <c r="O1508">
        <f>IF(COUNTIFS('United Data'!$A$3:$A$3390,O$1,'United Data'!$C$3:$C$3390,$A1508,'United Data'!$B$3:$B$3390,"&lt;&gt;Off-street")&gt;0,1,0)</f>
        <v>0</v>
      </c>
      <c r="P1508">
        <f>IF(COUNTIFS('United Data'!$A$3:$A$3390,P$1,'United Data'!$C$3:$C$3390,$A1508,'United Data'!$B$3:$B$3390,"&lt;&gt;Off-street")&gt;0,1,0)</f>
        <v>0</v>
      </c>
      <c r="Q1508">
        <f>IF(COUNTIFS('United Data'!$A$3:$A$3390,Q$1,'United Data'!$C$3:$C$3390,$A1508,'United Data'!$B$3:$B$3390,"&lt;&gt;Off-street")&gt;0,1,0)</f>
        <v>0</v>
      </c>
      <c r="R1508">
        <f>IF(COUNTIFS('United Data'!$A$3:$A$3390,R$1,'United Data'!$C$3:$C$3390,$A1508,'United Data'!$B$3:$B$3390,"&lt;&gt;Off-street")&gt;0,1,0)</f>
        <v>0</v>
      </c>
      <c r="S1508">
        <f t="shared" si="46"/>
        <v>1</v>
      </c>
      <c r="T1508">
        <f t="shared" si="47"/>
        <v>1</v>
      </c>
    </row>
    <row r="1509" spans="1:20" x14ac:dyDescent="0.2">
      <c r="A1509" t="s">
        <v>1785</v>
      </c>
      <c r="B1509">
        <f>IF(COUNTIFS('United Data'!$A$3:$A$3390,B$1,'United Data'!$C$3:$C$3390,$A1509,'United Data'!$B$3:$B$3390,"&lt;&gt;Off-street")&gt;0,1,0)</f>
        <v>0</v>
      </c>
      <c r="C1509">
        <f>IF(COUNTIFS('United Data'!$A$3:$A$3390,C$1,'United Data'!$C$3:$C$3390,$A1509,'United Data'!$B$3:$B$3390,"&lt;&gt;Off-street")&gt;0,1,0)</f>
        <v>0</v>
      </c>
      <c r="D1509">
        <f>IF(COUNTIFS('United Data'!$A$3:$A$3390,D$1,'United Data'!$C$3:$C$3390,$A1509,'United Data'!$B$3:$B$3390,"&lt;&gt;Off-street")&gt;0,1,0)</f>
        <v>1</v>
      </c>
      <c r="E1509">
        <f>IF(COUNTIFS('United Data'!$A$3:$A$3390,E$1,'United Data'!$C$3:$C$3390,$A1509,'United Data'!$B$3:$B$3390,"&lt;&gt;Off-street")&gt;0,1,0)</f>
        <v>0</v>
      </c>
      <c r="F1509">
        <f>IF(COUNTIFS('United Data'!$A$3:$A$3390,F$1,'United Data'!$C$3:$C$3390,$A1509,'United Data'!$B$3:$B$3390,"&lt;&gt;Off-street")&gt;0,1,0)</f>
        <v>0</v>
      </c>
      <c r="G1509">
        <f>IF(COUNTIFS('United Data'!$A$3:$A$3390,G$1,'United Data'!$C$3:$C$3390,$A1509,'United Data'!$B$3:$B$3390,"&lt;&gt;Off-street")&gt;0,1,0)</f>
        <v>0</v>
      </c>
      <c r="H1509">
        <f>IF(COUNTIFS('United Data'!$A$3:$A$3390,H$1,'United Data'!$C$3:$C$3390,$A1509,'United Data'!$B$3:$B$3390,"&lt;&gt;Off-street")&gt;0,1,0)</f>
        <v>0</v>
      </c>
      <c r="I1509">
        <f>IF(COUNTIFS('United Data'!$A$3:$A$3390,I$1,'United Data'!$C$3:$C$3390,$A1509,'United Data'!$B$3:$B$3390,"&lt;&gt;Off-street")&gt;0,1,0)</f>
        <v>0</v>
      </c>
      <c r="J1509">
        <f>IF(COUNTIFS('United Data'!$A$3:$A$3390,J$1,'United Data'!$C$3:$C$3390,$A1509,'United Data'!$B$3:$B$3390,"&lt;&gt;Off-street")&gt;0,1,0)</f>
        <v>0</v>
      </c>
      <c r="K1509">
        <f>IF(COUNTIFS('United Data'!$A$3:$A$3390,K$1,'United Data'!$C$3:$C$3390,$A1509,'United Data'!$B$3:$B$3390,"&lt;&gt;Off-street")&gt;0,1,0)</f>
        <v>0</v>
      </c>
      <c r="L1509">
        <f>IF(COUNTIFS('United Data'!$A$3:$A$3390,L$1,'United Data'!$C$3:$C$3390,$A1509,'United Data'!$B$3:$B$3390,"&lt;&gt;Off-street")&gt;0,1,0)</f>
        <v>0</v>
      </c>
      <c r="M1509">
        <f>IF(COUNTIFS('United Data'!$A$3:$A$3390,M$1,'United Data'!$C$3:$C$3390,$A1509,'United Data'!$B$3:$B$3390,"&lt;&gt;Off-street")&gt;0,1,0)</f>
        <v>0</v>
      </c>
      <c r="N1509">
        <f>IF(COUNTIFS('United Data'!$A$3:$A$3390,N$1,'United Data'!$C$3:$C$3390,$A1509,'United Data'!$B$3:$B$3390,"&lt;&gt;Off-street")&gt;0,1,0)</f>
        <v>0</v>
      </c>
      <c r="O1509">
        <f>IF(COUNTIFS('United Data'!$A$3:$A$3390,O$1,'United Data'!$C$3:$C$3390,$A1509,'United Data'!$B$3:$B$3390,"&lt;&gt;Off-street")&gt;0,1,0)</f>
        <v>0</v>
      </c>
      <c r="P1509">
        <f>IF(COUNTIFS('United Data'!$A$3:$A$3390,P$1,'United Data'!$C$3:$C$3390,$A1509,'United Data'!$B$3:$B$3390,"&lt;&gt;Off-street")&gt;0,1,0)</f>
        <v>0</v>
      </c>
      <c r="Q1509">
        <f>IF(COUNTIFS('United Data'!$A$3:$A$3390,Q$1,'United Data'!$C$3:$C$3390,$A1509,'United Data'!$B$3:$B$3390,"&lt;&gt;Off-street")&gt;0,1,0)</f>
        <v>0</v>
      </c>
      <c r="R1509">
        <f>IF(COUNTIFS('United Data'!$A$3:$A$3390,R$1,'United Data'!$C$3:$C$3390,$A1509,'United Data'!$B$3:$B$3390,"&lt;&gt;Off-street")&gt;0,1,0)</f>
        <v>0</v>
      </c>
      <c r="S1509">
        <f t="shared" si="46"/>
        <v>1</v>
      </c>
      <c r="T1509">
        <f t="shared" si="47"/>
        <v>1</v>
      </c>
    </row>
    <row r="1510" spans="1:20" x14ac:dyDescent="0.2">
      <c r="A1510" t="s">
        <v>1786</v>
      </c>
      <c r="B1510">
        <f>IF(COUNTIFS('United Data'!$A$3:$A$3390,B$1,'United Data'!$C$3:$C$3390,$A1510,'United Data'!$B$3:$B$3390,"&lt;&gt;Off-street")&gt;0,1,0)</f>
        <v>0</v>
      </c>
      <c r="C1510">
        <f>IF(COUNTIFS('United Data'!$A$3:$A$3390,C$1,'United Data'!$C$3:$C$3390,$A1510,'United Data'!$B$3:$B$3390,"&lt;&gt;Off-street")&gt;0,1,0)</f>
        <v>0</v>
      </c>
      <c r="D1510">
        <f>IF(COUNTIFS('United Data'!$A$3:$A$3390,D$1,'United Data'!$C$3:$C$3390,$A1510,'United Data'!$B$3:$B$3390,"&lt;&gt;Off-street")&gt;0,1,0)</f>
        <v>1</v>
      </c>
      <c r="E1510">
        <f>IF(COUNTIFS('United Data'!$A$3:$A$3390,E$1,'United Data'!$C$3:$C$3390,$A1510,'United Data'!$B$3:$B$3390,"&lt;&gt;Off-street")&gt;0,1,0)</f>
        <v>0</v>
      </c>
      <c r="F1510">
        <f>IF(COUNTIFS('United Data'!$A$3:$A$3390,F$1,'United Data'!$C$3:$C$3390,$A1510,'United Data'!$B$3:$B$3390,"&lt;&gt;Off-street")&gt;0,1,0)</f>
        <v>0</v>
      </c>
      <c r="G1510">
        <f>IF(COUNTIFS('United Data'!$A$3:$A$3390,G$1,'United Data'!$C$3:$C$3390,$A1510,'United Data'!$B$3:$B$3390,"&lt;&gt;Off-street")&gt;0,1,0)</f>
        <v>0</v>
      </c>
      <c r="H1510">
        <f>IF(COUNTIFS('United Data'!$A$3:$A$3390,H$1,'United Data'!$C$3:$C$3390,$A1510,'United Data'!$B$3:$B$3390,"&lt;&gt;Off-street")&gt;0,1,0)</f>
        <v>0</v>
      </c>
      <c r="I1510">
        <f>IF(COUNTIFS('United Data'!$A$3:$A$3390,I$1,'United Data'!$C$3:$C$3390,$A1510,'United Data'!$B$3:$B$3390,"&lt;&gt;Off-street")&gt;0,1,0)</f>
        <v>0</v>
      </c>
      <c r="J1510">
        <f>IF(COUNTIFS('United Data'!$A$3:$A$3390,J$1,'United Data'!$C$3:$C$3390,$A1510,'United Data'!$B$3:$B$3390,"&lt;&gt;Off-street")&gt;0,1,0)</f>
        <v>0</v>
      </c>
      <c r="K1510">
        <f>IF(COUNTIFS('United Data'!$A$3:$A$3390,K$1,'United Data'!$C$3:$C$3390,$A1510,'United Data'!$B$3:$B$3390,"&lt;&gt;Off-street")&gt;0,1,0)</f>
        <v>0</v>
      </c>
      <c r="L1510">
        <f>IF(COUNTIFS('United Data'!$A$3:$A$3390,L$1,'United Data'!$C$3:$C$3390,$A1510,'United Data'!$B$3:$B$3390,"&lt;&gt;Off-street")&gt;0,1,0)</f>
        <v>0</v>
      </c>
      <c r="M1510">
        <f>IF(COUNTIFS('United Data'!$A$3:$A$3390,M$1,'United Data'!$C$3:$C$3390,$A1510,'United Data'!$B$3:$B$3390,"&lt;&gt;Off-street")&gt;0,1,0)</f>
        <v>0</v>
      </c>
      <c r="N1510">
        <f>IF(COUNTIFS('United Data'!$A$3:$A$3390,N$1,'United Data'!$C$3:$C$3390,$A1510,'United Data'!$B$3:$B$3390,"&lt;&gt;Off-street")&gt;0,1,0)</f>
        <v>0</v>
      </c>
      <c r="O1510">
        <f>IF(COUNTIFS('United Data'!$A$3:$A$3390,O$1,'United Data'!$C$3:$C$3390,$A1510,'United Data'!$B$3:$B$3390,"&lt;&gt;Off-street")&gt;0,1,0)</f>
        <v>0</v>
      </c>
      <c r="P1510">
        <f>IF(COUNTIFS('United Data'!$A$3:$A$3390,P$1,'United Data'!$C$3:$C$3390,$A1510,'United Data'!$B$3:$B$3390,"&lt;&gt;Off-street")&gt;0,1,0)</f>
        <v>0</v>
      </c>
      <c r="Q1510">
        <f>IF(COUNTIFS('United Data'!$A$3:$A$3390,Q$1,'United Data'!$C$3:$C$3390,$A1510,'United Data'!$B$3:$B$3390,"&lt;&gt;Off-street")&gt;0,1,0)</f>
        <v>0</v>
      </c>
      <c r="R1510">
        <f>IF(COUNTIFS('United Data'!$A$3:$A$3390,R$1,'United Data'!$C$3:$C$3390,$A1510,'United Data'!$B$3:$B$3390,"&lt;&gt;Off-street")&gt;0,1,0)</f>
        <v>0</v>
      </c>
      <c r="S1510">
        <f t="shared" si="46"/>
        <v>1</v>
      </c>
      <c r="T1510">
        <f t="shared" si="47"/>
        <v>1</v>
      </c>
    </row>
    <row r="1511" spans="1:20" x14ac:dyDescent="0.2">
      <c r="A1511" t="s">
        <v>1788</v>
      </c>
      <c r="B1511">
        <f>IF(COUNTIFS('United Data'!$A$3:$A$3390,B$1,'United Data'!$C$3:$C$3390,$A1511,'United Data'!$B$3:$B$3390,"&lt;&gt;Off-street")&gt;0,1,0)</f>
        <v>0</v>
      </c>
      <c r="C1511">
        <f>IF(COUNTIFS('United Data'!$A$3:$A$3390,C$1,'United Data'!$C$3:$C$3390,$A1511,'United Data'!$B$3:$B$3390,"&lt;&gt;Off-street")&gt;0,1,0)</f>
        <v>0</v>
      </c>
      <c r="D1511">
        <f>IF(COUNTIFS('United Data'!$A$3:$A$3390,D$1,'United Data'!$C$3:$C$3390,$A1511,'United Data'!$B$3:$B$3390,"&lt;&gt;Off-street")&gt;0,1,0)</f>
        <v>0</v>
      </c>
      <c r="E1511">
        <f>IF(COUNTIFS('United Data'!$A$3:$A$3390,E$1,'United Data'!$C$3:$C$3390,$A1511,'United Data'!$B$3:$B$3390,"&lt;&gt;Off-street")&gt;0,1,0)</f>
        <v>1</v>
      </c>
      <c r="F1511">
        <f>IF(COUNTIFS('United Data'!$A$3:$A$3390,F$1,'United Data'!$C$3:$C$3390,$A1511,'United Data'!$B$3:$B$3390,"&lt;&gt;Off-street")&gt;0,1,0)</f>
        <v>0</v>
      </c>
      <c r="G1511">
        <f>IF(COUNTIFS('United Data'!$A$3:$A$3390,G$1,'United Data'!$C$3:$C$3390,$A1511,'United Data'!$B$3:$B$3390,"&lt;&gt;Off-street")&gt;0,1,0)</f>
        <v>0</v>
      </c>
      <c r="H1511">
        <f>IF(COUNTIFS('United Data'!$A$3:$A$3390,H$1,'United Data'!$C$3:$C$3390,$A1511,'United Data'!$B$3:$B$3390,"&lt;&gt;Off-street")&gt;0,1,0)</f>
        <v>0</v>
      </c>
      <c r="I1511">
        <f>IF(COUNTIFS('United Data'!$A$3:$A$3390,I$1,'United Data'!$C$3:$C$3390,$A1511,'United Data'!$B$3:$B$3390,"&lt;&gt;Off-street")&gt;0,1,0)</f>
        <v>0</v>
      </c>
      <c r="J1511">
        <f>IF(COUNTIFS('United Data'!$A$3:$A$3390,J$1,'United Data'!$C$3:$C$3390,$A1511,'United Data'!$B$3:$B$3390,"&lt;&gt;Off-street")&gt;0,1,0)</f>
        <v>0</v>
      </c>
      <c r="K1511">
        <f>IF(COUNTIFS('United Data'!$A$3:$A$3390,K$1,'United Data'!$C$3:$C$3390,$A1511,'United Data'!$B$3:$B$3390,"&lt;&gt;Off-street")&gt;0,1,0)</f>
        <v>0</v>
      </c>
      <c r="L1511">
        <f>IF(COUNTIFS('United Data'!$A$3:$A$3390,L$1,'United Data'!$C$3:$C$3390,$A1511,'United Data'!$B$3:$B$3390,"&lt;&gt;Off-street")&gt;0,1,0)</f>
        <v>0</v>
      </c>
      <c r="M1511">
        <f>IF(COUNTIFS('United Data'!$A$3:$A$3390,M$1,'United Data'!$C$3:$C$3390,$A1511,'United Data'!$B$3:$B$3390,"&lt;&gt;Off-street")&gt;0,1,0)</f>
        <v>0</v>
      </c>
      <c r="N1511">
        <f>IF(COUNTIFS('United Data'!$A$3:$A$3390,N$1,'United Data'!$C$3:$C$3390,$A1511,'United Data'!$B$3:$B$3390,"&lt;&gt;Off-street")&gt;0,1,0)</f>
        <v>0</v>
      </c>
      <c r="O1511">
        <f>IF(COUNTIFS('United Data'!$A$3:$A$3390,O$1,'United Data'!$C$3:$C$3390,$A1511,'United Data'!$B$3:$B$3390,"&lt;&gt;Off-street")&gt;0,1,0)</f>
        <v>0</v>
      </c>
      <c r="P1511">
        <f>IF(COUNTIFS('United Data'!$A$3:$A$3390,P$1,'United Data'!$C$3:$C$3390,$A1511,'United Data'!$B$3:$B$3390,"&lt;&gt;Off-street")&gt;0,1,0)</f>
        <v>0</v>
      </c>
      <c r="Q1511">
        <f>IF(COUNTIFS('United Data'!$A$3:$A$3390,Q$1,'United Data'!$C$3:$C$3390,$A1511,'United Data'!$B$3:$B$3390,"&lt;&gt;Off-street")&gt;0,1,0)</f>
        <v>0</v>
      </c>
      <c r="R1511">
        <f>IF(COUNTIFS('United Data'!$A$3:$A$3390,R$1,'United Data'!$C$3:$C$3390,$A1511,'United Data'!$B$3:$B$3390,"&lt;&gt;Off-street")&gt;0,1,0)</f>
        <v>0</v>
      </c>
      <c r="S1511">
        <f t="shared" si="46"/>
        <v>1</v>
      </c>
      <c r="T1511">
        <f t="shared" si="47"/>
        <v>1</v>
      </c>
    </row>
    <row r="1512" spans="1:20" x14ac:dyDescent="0.2">
      <c r="A1512" t="s">
        <v>1789</v>
      </c>
      <c r="B1512">
        <f>IF(COUNTIFS('United Data'!$A$3:$A$3390,B$1,'United Data'!$C$3:$C$3390,$A1512,'United Data'!$B$3:$B$3390,"&lt;&gt;Off-street")&gt;0,1,0)</f>
        <v>0</v>
      </c>
      <c r="C1512">
        <f>IF(COUNTIFS('United Data'!$A$3:$A$3390,C$1,'United Data'!$C$3:$C$3390,$A1512,'United Data'!$B$3:$B$3390,"&lt;&gt;Off-street")&gt;0,1,0)</f>
        <v>0</v>
      </c>
      <c r="D1512">
        <f>IF(COUNTIFS('United Data'!$A$3:$A$3390,D$1,'United Data'!$C$3:$C$3390,$A1512,'United Data'!$B$3:$B$3390,"&lt;&gt;Off-street")&gt;0,1,0)</f>
        <v>0</v>
      </c>
      <c r="E1512">
        <f>IF(COUNTIFS('United Data'!$A$3:$A$3390,E$1,'United Data'!$C$3:$C$3390,$A1512,'United Data'!$B$3:$B$3390,"&lt;&gt;Off-street")&gt;0,1,0)</f>
        <v>1</v>
      </c>
      <c r="F1512">
        <f>IF(COUNTIFS('United Data'!$A$3:$A$3390,F$1,'United Data'!$C$3:$C$3390,$A1512,'United Data'!$B$3:$B$3390,"&lt;&gt;Off-street")&gt;0,1,0)</f>
        <v>0</v>
      </c>
      <c r="G1512">
        <f>IF(COUNTIFS('United Data'!$A$3:$A$3390,G$1,'United Data'!$C$3:$C$3390,$A1512,'United Data'!$B$3:$B$3390,"&lt;&gt;Off-street")&gt;0,1,0)</f>
        <v>0</v>
      </c>
      <c r="H1512">
        <f>IF(COUNTIFS('United Data'!$A$3:$A$3390,H$1,'United Data'!$C$3:$C$3390,$A1512,'United Data'!$B$3:$B$3390,"&lt;&gt;Off-street")&gt;0,1,0)</f>
        <v>0</v>
      </c>
      <c r="I1512">
        <f>IF(COUNTIFS('United Data'!$A$3:$A$3390,I$1,'United Data'!$C$3:$C$3390,$A1512,'United Data'!$B$3:$B$3390,"&lt;&gt;Off-street")&gt;0,1,0)</f>
        <v>0</v>
      </c>
      <c r="J1512">
        <f>IF(COUNTIFS('United Data'!$A$3:$A$3390,J$1,'United Data'!$C$3:$C$3390,$A1512,'United Data'!$B$3:$B$3390,"&lt;&gt;Off-street")&gt;0,1,0)</f>
        <v>0</v>
      </c>
      <c r="K1512">
        <f>IF(COUNTIFS('United Data'!$A$3:$A$3390,K$1,'United Data'!$C$3:$C$3390,$A1512,'United Data'!$B$3:$B$3390,"&lt;&gt;Off-street")&gt;0,1,0)</f>
        <v>0</v>
      </c>
      <c r="L1512">
        <f>IF(COUNTIFS('United Data'!$A$3:$A$3390,L$1,'United Data'!$C$3:$C$3390,$A1512,'United Data'!$B$3:$B$3390,"&lt;&gt;Off-street")&gt;0,1,0)</f>
        <v>0</v>
      </c>
      <c r="M1512">
        <f>IF(COUNTIFS('United Data'!$A$3:$A$3390,M$1,'United Data'!$C$3:$C$3390,$A1512,'United Data'!$B$3:$B$3390,"&lt;&gt;Off-street")&gt;0,1,0)</f>
        <v>0</v>
      </c>
      <c r="N1512">
        <f>IF(COUNTIFS('United Data'!$A$3:$A$3390,N$1,'United Data'!$C$3:$C$3390,$A1512,'United Data'!$B$3:$B$3390,"&lt;&gt;Off-street")&gt;0,1,0)</f>
        <v>0</v>
      </c>
      <c r="O1512">
        <f>IF(COUNTIFS('United Data'!$A$3:$A$3390,O$1,'United Data'!$C$3:$C$3390,$A1512,'United Data'!$B$3:$B$3390,"&lt;&gt;Off-street")&gt;0,1,0)</f>
        <v>0</v>
      </c>
      <c r="P1512">
        <f>IF(COUNTIFS('United Data'!$A$3:$A$3390,P$1,'United Data'!$C$3:$C$3390,$A1512,'United Data'!$B$3:$B$3390,"&lt;&gt;Off-street")&gt;0,1,0)</f>
        <v>0</v>
      </c>
      <c r="Q1512">
        <f>IF(COUNTIFS('United Data'!$A$3:$A$3390,Q$1,'United Data'!$C$3:$C$3390,$A1512,'United Data'!$B$3:$B$3390,"&lt;&gt;Off-street")&gt;0,1,0)</f>
        <v>0</v>
      </c>
      <c r="R1512">
        <f>IF(COUNTIFS('United Data'!$A$3:$A$3390,R$1,'United Data'!$C$3:$C$3390,$A1512,'United Data'!$B$3:$B$3390,"&lt;&gt;Off-street")&gt;0,1,0)</f>
        <v>0</v>
      </c>
      <c r="S1512">
        <f t="shared" si="46"/>
        <v>1</v>
      </c>
      <c r="T1512">
        <f t="shared" si="47"/>
        <v>1</v>
      </c>
    </row>
    <row r="1513" spans="1:20" x14ac:dyDescent="0.2">
      <c r="A1513" t="s">
        <v>1791</v>
      </c>
      <c r="B1513">
        <f>IF(COUNTIFS('United Data'!$A$3:$A$3390,B$1,'United Data'!$C$3:$C$3390,$A1513,'United Data'!$B$3:$B$3390,"&lt;&gt;Off-street")&gt;0,1,0)</f>
        <v>0</v>
      </c>
      <c r="C1513">
        <f>IF(COUNTIFS('United Data'!$A$3:$A$3390,C$1,'United Data'!$C$3:$C$3390,$A1513,'United Data'!$B$3:$B$3390,"&lt;&gt;Off-street")&gt;0,1,0)</f>
        <v>0</v>
      </c>
      <c r="D1513">
        <f>IF(COUNTIFS('United Data'!$A$3:$A$3390,D$1,'United Data'!$C$3:$C$3390,$A1513,'United Data'!$B$3:$B$3390,"&lt;&gt;Off-street")&gt;0,1,0)</f>
        <v>0</v>
      </c>
      <c r="E1513">
        <f>IF(COUNTIFS('United Data'!$A$3:$A$3390,E$1,'United Data'!$C$3:$C$3390,$A1513,'United Data'!$B$3:$B$3390,"&lt;&gt;Off-street")&gt;0,1,0)</f>
        <v>1</v>
      </c>
      <c r="F1513">
        <f>IF(COUNTIFS('United Data'!$A$3:$A$3390,F$1,'United Data'!$C$3:$C$3390,$A1513,'United Data'!$B$3:$B$3390,"&lt;&gt;Off-street")&gt;0,1,0)</f>
        <v>0</v>
      </c>
      <c r="G1513">
        <f>IF(COUNTIFS('United Data'!$A$3:$A$3390,G$1,'United Data'!$C$3:$C$3390,$A1513,'United Data'!$B$3:$B$3390,"&lt;&gt;Off-street")&gt;0,1,0)</f>
        <v>0</v>
      </c>
      <c r="H1513">
        <f>IF(COUNTIFS('United Data'!$A$3:$A$3390,H$1,'United Data'!$C$3:$C$3390,$A1513,'United Data'!$B$3:$B$3390,"&lt;&gt;Off-street")&gt;0,1,0)</f>
        <v>0</v>
      </c>
      <c r="I1513">
        <f>IF(COUNTIFS('United Data'!$A$3:$A$3390,I$1,'United Data'!$C$3:$C$3390,$A1513,'United Data'!$B$3:$B$3390,"&lt;&gt;Off-street")&gt;0,1,0)</f>
        <v>0</v>
      </c>
      <c r="J1513">
        <f>IF(COUNTIFS('United Data'!$A$3:$A$3390,J$1,'United Data'!$C$3:$C$3390,$A1513,'United Data'!$B$3:$B$3390,"&lt;&gt;Off-street")&gt;0,1,0)</f>
        <v>0</v>
      </c>
      <c r="K1513">
        <f>IF(COUNTIFS('United Data'!$A$3:$A$3390,K$1,'United Data'!$C$3:$C$3390,$A1513,'United Data'!$B$3:$B$3390,"&lt;&gt;Off-street")&gt;0,1,0)</f>
        <v>0</v>
      </c>
      <c r="L1513">
        <f>IF(COUNTIFS('United Data'!$A$3:$A$3390,L$1,'United Data'!$C$3:$C$3390,$A1513,'United Data'!$B$3:$B$3390,"&lt;&gt;Off-street")&gt;0,1,0)</f>
        <v>0</v>
      </c>
      <c r="M1513">
        <f>IF(COUNTIFS('United Data'!$A$3:$A$3390,M$1,'United Data'!$C$3:$C$3390,$A1513,'United Data'!$B$3:$B$3390,"&lt;&gt;Off-street")&gt;0,1,0)</f>
        <v>0</v>
      </c>
      <c r="N1513">
        <f>IF(COUNTIFS('United Data'!$A$3:$A$3390,N$1,'United Data'!$C$3:$C$3390,$A1513,'United Data'!$B$3:$B$3390,"&lt;&gt;Off-street")&gt;0,1,0)</f>
        <v>0</v>
      </c>
      <c r="O1513">
        <f>IF(COUNTIFS('United Data'!$A$3:$A$3390,O$1,'United Data'!$C$3:$C$3390,$A1513,'United Data'!$B$3:$B$3390,"&lt;&gt;Off-street")&gt;0,1,0)</f>
        <v>0</v>
      </c>
      <c r="P1513">
        <f>IF(COUNTIFS('United Data'!$A$3:$A$3390,P$1,'United Data'!$C$3:$C$3390,$A1513,'United Data'!$B$3:$B$3390,"&lt;&gt;Off-street")&gt;0,1,0)</f>
        <v>0</v>
      </c>
      <c r="Q1513">
        <f>IF(COUNTIFS('United Data'!$A$3:$A$3390,Q$1,'United Data'!$C$3:$C$3390,$A1513,'United Data'!$B$3:$B$3390,"&lt;&gt;Off-street")&gt;0,1,0)</f>
        <v>0</v>
      </c>
      <c r="R1513">
        <f>IF(COUNTIFS('United Data'!$A$3:$A$3390,R$1,'United Data'!$C$3:$C$3390,$A1513,'United Data'!$B$3:$B$3390,"&lt;&gt;Off-street")&gt;0,1,0)</f>
        <v>0</v>
      </c>
      <c r="S1513">
        <f t="shared" si="46"/>
        <v>1</v>
      </c>
      <c r="T1513">
        <f t="shared" si="47"/>
        <v>1</v>
      </c>
    </row>
    <row r="1514" spans="1:20" x14ac:dyDescent="0.2">
      <c r="A1514" t="s">
        <v>1792</v>
      </c>
      <c r="B1514">
        <f>IF(COUNTIFS('United Data'!$A$3:$A$3390,B$1,'United Data'!$C$3:$C$3390,$A1514,'United Data'!$B$3:$B$3390,"&lt;&gt;Off-street")&gt;0,1,0)</f>
        <v>0</v>
      </c>
      <c r="C1514">
        <f>IF(COUNTIFS('United Data'!$A$3:$A$3390,C$1,'United Data'!$C$3:$C$3390,$A1514,'United Data'!$B$3:$B$3390,"&lt;&gt;Off-street")&gt;0,1,0)</f>
        <v>0</v>
      </c>
      <c r="D1514">
        <f>IF(COUNTIFS('United Data'!$A$3:$A$3390,D$1,'United Data'!$C$3:$C$3390,$A1514,'United Data'!$B$3:$B$3390,"&lt;&gt;Off-street")&gt;0,1,0)</f>
        <v>0</v>
      </c>
      <c r="E1514">
        <f>IF(COUNTIFS('United Data'!$A$3:$A$3390,E$1,'United Data'!$C$3:$C$3390,$A1514,'United Data'!$B$3:$B$3390,"&lt;&gt;Off-street")&gt;0,1,0)</f>
        <v>1</v>
      </c>
      <c r="F1514">
        <f>IF(COUNTIFS('United Data'!$A$3:$A$3390,F$1,'United Data'!$C$3:$C$3390,$A1514,'United Data'!$B$3:$B$3390,"&lt;&gt;Off-street")&gt;0,1,0)</f>
        <v>0</v>
      </c>
      <c r="G1514">
        <f>IF(COUNTIFS('United Data'!$A$3:$A$3390,G$1,'United Data'!$C$3:$C$3390,$A1514,'United Data'!$B$3:$B$3390,"&lt;&gt;Off-street")&gt;0,1,0)</f>
        <v>0</v>
      </c>
      <c r="H1514">
        <f>IF(COUNTIFS('United Data'!$A$3:$A$3390,H$1,'United Data'!$C$3:$C$3390,$A1514,'United Data'!$B$3:$B$3390,"&lt;&gt;Off-street")&gt;0,1,0)</f>
        <v>0</v>
      </c>
      <c r="I1514">
        <f>IF(COUNTIFS('United Data'!$A$3:$A$3390,I$1,'United Data'!$C$3:$C$3390,$A1514,'United Data'!$B$3:$B$3390,"&lt;&gt;Off-street")&gt;0,1,0)</f>
        <v>0</v>
      </c>
      <c r="J1514">
        <f>IF(COUNTIFS('United Data'!$A$3:$A$3390,J$1,'United Data'!$C$3:$C$3390,$A1514,'United Data'!$B$3:$B$3390,"&lt;&gt;Off-street")&gt;0,1,0)</f>
        <v>0</v>
      </c>
      <c r="K1514">
        <f>IF(COUNTIFS('United Data'!$A$3:$A$3390,K$1,'United Data'!$C$3:$C$3390,$A1514,'United Data'!$B$3:$B$3390,"&lt;&gt;Off-street")&gt;0,1,0)</f>
        <v>0</v>
      </c>
      <c r="L1514">
        <f>IF(COUNTIFS('United Data'!$A$3:$A$3390,L$1,'United Data'!$C$3:$C$3390,$A1514,'United Data'!$B$3:$B$3390,"&lt;&gt;Off-street")&gt;0,1,0)</f>
        <v>0</v>
      </c>
      <c r="M1514">
        <f>IF(COUNTIFS('United Data'!$A$3:$A$3390,M$1,'United Data'!$C$3:$C$3390,$A1514,'United Data'!$B$3:$B$3390,"&lt;&gt;Off-street")&gt;0,1,0)</f>
        <v>0</v>
      </c>
      <c r="N1514">
        <f>IF(COUNTIFS('United Data'!$A$3:$A$3390,N$1,'United Data'!$C$3:$C$3390,$A1514,'United Data'!$B$3:$B$3390,"&lt;&gt;Off-street")&gt;0,1,0)</f>
        <v>0</v>
      </c>
      <c r="O1514">
        <f>IF(COUNTIFS('United Data'!$A$3:$A$3390,O$1,'United Data'!$C$3:$C$3390,$A1514,'United Data'!$B$3:$B$3390,"&lt;&gt;Off-street")&gt;0,1,0)</f>
        <v>0</v>
      </c>
      <c r="P1514">
        <f>IF(COUNTIFS('United Data'!$A$3:$A$3390,P$1,'United Data'!$C$3:$C$3390,$A1514,'United Data'!$B$3:$B$3390,"&lt;&gt;Off-street")&gt;0,1,0)</f>
        <v>0</v>
      </c>
      <c r="Q1514">
        <f>IF(COUNTIFS('United Data'!$A$3:$A$3390,Q$1,'United Data'!$C$3:$C$3390,$A1514,'United Data'!$B$3:$B$3390,"&lt;&gt;Off-street")&gt;0,1,0)</f>
        <v>0</v>
      </c>
      <c r="R1514">
        <f>IF(COUNTIFS('United Data'!$A$3:$A$3390,R$1,'United Data'!$C$3:$C$3390,$A1514,'United Data'!$B$3:$B$3390,"&lt;&gt;Off-street")&gt;0,1,0)</f>
        <v>0</v>
      </c>
      <c r="S1514">
        <f t="shared" si="46"/>
        <v>1</v>
      </c>
      <c r="T1514">
        <f t="shared" si="47"/>
        <v>1</v>
      </c>
    </row>
    <row r="1515" spans="1:20" x14ac:dyDescent="0.2">
      <c r="A1515" t="s">
        <v>1793</v>
      </c>
      <c r="B1515">
        <f>IF(COUNTIFS('United Data'!$A$3:$A$3390,B$1,'United Data'!$C$3:$C$3390,$A1515,'United Data'!$B$3:$B$3390,"&lt;&gt;Off-street")&gt;0,1,0)</f>
        <v>0</v>
      </c>
      <c r="C1515">
        <f>IF(COUNTIFS('United Data'!$A$3:$A$3390,C$1,'United Data'!$C$3:$C$3390,$A1515,'United Data'!$B$3:$B$3390,"&lt;&gt;Off-street")&gt;0,1,0)</f>
        <v>0</v>
      </c>
      <c r="D1515">
        <f>IF(COUNTIFS('United Data'!$A$3:$A$3390,D$1,'United Data'!$C$3:$C$3390,$A1515,'United Data'!$B$3:$B$3390,"&lt;&gt;Off-street")&gt;0,1,0)</f>
        <v>0</v>
      </c>
      <c r="E1515">
        <f>IF(COUNTIFS('United Data'!$A$3:$A$3390,E$1,'United Data'!$C$3:$C$3390,$A1515,'United Data'!$B$3:$B$3390,"&lt;&gt;Off-street")&gt;0,1,0)</f>
        <v>1</v>
      </c>
      <c r="F1515">
        <f>IF(COUNTIFS('United Data'!$A$3:$A$3390,F$1,'United Data'!$C$3:$C$3390,$A1515,'United Data'!$B$3:$B$3390,"&lt;&gt;Off-street")&gt;0,1,0)</f>
        <v>0</v>
      </c>
      <c r="G1515">
        <f>IF(COUNTIFS('United Data'!$A$3:$A$3390,G$1,'United Data'!$C$3:$C$3390,$A1515,'United Data'!$B$3:$B$3390,"&lt;&gt;Off-street")&gt;0,1,0)</f>
        <v>0</v>
      </c>
      <c r="H1515">
        <f>IF(COUNTIFS('United Data'!$A$3:$A$3390,H$1,'United Data'!$C$3:$C$3390,$A1515,'United Data'!$B$3:$B$3390,"&lt;&gt;Off-street")&gt;0,1,0)</f>
        <v>0</v>
      </c>
      <c r="I1515">
        <f>IF(COUNTIFS('United Data'!$A$3:$A$3390,I$1,'United Data'!$C$3:$C$3390,$A1515,'United Data'!$B$3:$B$3390,"&lt;&gt;Off-street")&gt;0,1,0)</f>
        <v>0</v>
      </c>
      <c r="J1515">
        <f>IF(COUNTIFS('United Data'!$A$3:$A$3390,J$1,'United Data'!$C$3:$C$3390,$A1515,'United Data'!$B$3:$B$3390,"&lt;&gt;Off-street")&gt;0,1,0)</f>
        <v>0</v>
      </c>
      <c r="K1515">
        <f>IF(COUNTIFS('United Data'!$A$3:$A$3390,K$1,'United Data'!$C$3:$C$3390,$A1515,'United Data'!$B$3:$B$3390,"&lt;&gt;Off-street")&gt;0,1,0)</f>
        <v>0</v>
      </c>
      <c r="L1515">
        <f>IF(COUNTIFS('United Data'!$A$3:$A$3390,L$1,'United Data'!$C$3:$C$3390,$A1515,'United Data'!$B$3:$B$3390,"&lt;&gt;Off-street")&gt;0,1,0)</f>
        <v>0</v>
      </c>
      <c r="M1515">
        <f>IF(COUNTIFS('United Data'!$A$3:$A$3390,M$1,'United Data'!$C$3:$C$3390,$A1515,'United Data'!$B$3:$B$3390,"&lt;&gt;Off-street")&gt;0,1,0)</f>
        <v>0</v>
      </c>
      <c r="N1515">
        <f>IF(COUNTIFS('United Data'!$A$3:$A$3390,N$1,'United Data'!$C$3:$C$3390,$A1515,'United Data'!$B$3:$B$3390,"&lt;&gt;Off-street")&gt;0,1,0)</f>
        <v>0</v>
      </c>
      <c r="O1515">
        <f>IF(COUNTIFS('United Data'!$A$3:$A$3390,O$1,'United Data'!$C$3:$C$3390,$A1515,'United Data'!$B$3:$B$3390,"&lt;&gt;Off-street")&gt;0,1,0)</f>
        <v>0</v>
      </c>
      <c r="P1515">
        <f>IF(COUNTIFS('United Data'!$A$3:$A$3390,P$1,'United Data'!$C$3:$C$3390,$A1515,'United Data'!$B$3:$B$3390,"&lt;&gt;Off-street")&gt;0,1,0)</f>
        <v>0</v>
      </c>
      <c r="Q1515">
        <f>IF(COUNTIFS('United Data'!$A$3:$A$3390,Q$1,'United Data'!$C$3:$C$3390,$A1515,'United Data'!$B$3:$B$3390,"&lt;&gt;Off-street")&gt;0,1,0)</f>
        <v>0</v>
      </c>
      <c r="R1515">
        <f>IF(COUNTIFS('United Data'!$A$3:$A$3390,R$1,'United Data'!$C$3:$C$3390,$A1515,'United Data'!$B$3:$B$3390,"&lt;&gt;Off-street")&gt;0,1,0)</f>
        <v>0</v>
      </c>
      <c r="S1515">
        <f t="shared" si="46"/>
        <v>1</v>
      </c>
      <c r="T1515">
        <f t="shared" si="47"/>
        <v>1</v>
      </c>
    </row>
    <row r="1516" spans="1:20" x14ac:dyDescent="0.2">
      <c r="A1516" t="s">
        <v>1794</v>
      </c>
      <c r="B1516">
        <f>IF(COUNTIFS('United Data'!$A$3:$A$3390,B$1,'United Data'!$C$3:$C$3390,$A1516,'United Data'!$B$3:$B$3390,"&lt;&gt;Off-street")&gt;0,1,0)</f>
        <v>0</v>
      </c>
      <c r="C1516">
        <f>IF(COUNTIFS('United Data'!$A$3:$A$3390,C$1,'United Data'!$C$3:$C$3390,$A1516,'United Data'!$B$3:$B$3390,"&lt;&gt;Off-street")&gt;0,1,0)</f>
        <v>0</v>
      </c>
      <c r="D1516">
        <f>IF(COUNTIFS('United Data'!$A$3:$A$3390,D$1,'United Data'!$C$3:$C$3390,$A1516,'United Data'!$B$3:$B$3390,"&lt;&gt;Off-street")&gt;0,1,0)</f>
        <v>0</v>
      </c>
      <c r="E1516">
        <f>IF(COUNTIFS('United Data'!$A$3:$A$3390,E$1,'United Data'!$C$3:$C$3390,$A1516,'United Data'!$B$3:$B$3390,"&lt;&gt;Off-street")&gt;0,1,0)</f>
        <v>1</v>
      </c>
      <c r="F1516">
        <f>IF(COUNTIFS('United Data'!$A$3:$A$3390,F$1,'United Data'!$C$3:$C$3390,$A1516,'United Data'!$B$3:$B$3390,"&lt;&gt;Off-street")&gt;0,1,0)</f>
        <v>0</v>
      </c>
      <c r="G1516">
        <f>IF(COUNTIFS('United Data'!$A$3:$A$3390,G$1,'United Data'!$C$3:$C$3390,$A1516,'United Data'!$B$3:$B$3390,"&lt;&gt;Off-street")&gt;0,1,0)</f>
        <v>0</v>
      </c>
      <c r="H1516">
        <f>IF(COUNTIFS('United Data'!$A$3:$A$3390,H$1,'United Data'!$C$3:$C$3390,$A1516,'United Data'!$B$3:$B$3390,"&lt;&gt;Off-street")&gt;0,1,0)</f>
        <v>0</v>
      </c>
      <c r="I1516">
        <f>IF(COUNTIFS('United Data'!$A$3:$A$3390,I$1,'United Data'!$C$3:$C$3390,$A1516,'United Data'!$B$3:$B$3390,"&lt;&gt;Off-street")&gt;0,1,0)</f>
        <v>0</v>
      </c>
      <c r="J1516">
        <f>IF(COUNTIFS('United Data'!$A$3:$A$3390,J$1,'United Data'!$C$3:$C$3390,$A1516,'United Data'!$B$3:$B$3390,"&lt;&gt;Off-street")&gt;0,1,0)</f>
        <v>0</v>
      </c>
      <c r="K1516">
        <f>IF(COUNTIFS('United Data'!$A$3:$A$3390,K$1,'United Data'!$C$3:$C$3390,$A1516,'United Data'!$B$3:$B$3390,"&lt;&gt;Off-street")&gt;0,1,0)</f>
        <v>0</v>
      </c>
      <c r="L1516">
        <f>IF(COUNTIFS('United Data'!$A$3:$A$3390,L$1,'United Data'!$C$3:$C$3390,$A1516,'United Data'!$B$3:$B$3390,"&lt;&gt;Off-street")&gt;0,1,0)</f>
        <v>0</v>
      </c>
      <c r="M1516">
        <f>IF(COUNTIFS('United Data'!$A$3:$A$3390,M$1,'United Data'!$C$3:$C$3390,$A1516,'United Data'!$B$3:$B$3390,"&lt;&gt;Off-street")&gt;0,1,0)</f>
        <v>0</v>
      </c>
      <c r="N1516">
        <f>IF(COUNTIFS('United Data'!$A$3:$A$3390,N$1,'United Data'!$C$3:$C$3390,$A1516,'United Data'!$B$3:$B$3390,"&lt;&gt;Off-street")&gt;0,1,0)</f>
        <v>0</v>
      </c>
      <c r="O1516">
        <f>IF(COUNTIFS('United Data'!$A$3:$A$3390,O$1,'United Data'!$C$3:$C$3390,$A1516,'United Data'!$B$3:$B$3390,"&lt;&gt;Off-street")&gt;0,1,0)</f>
        <v>0</v>
      </c>
      <c r="P1516">
        <f>IF(COUNTIFS('United Data'!$A$3:$A$3390,P$1,'United Data'!$C$3:$C$3390,$A1516,'United Data'!$B$3:$B$3390,"&lt;&gt;Off-street")&gt;0,1,0)</f>
        <v>0</v>
      </c>
      <c r="Q1516">
        <f>IF(COUNTIFS('United Data'!$A$3:$A$3390,Q$1,'United Data'!$C$3:$C$3390,$A1516,'United Data'!$B$3:$B$3390,"&lt;&gt;Off-street")&gt;0,1,0)</f>
        <v>0</v>
      </c>
      <c r="R1516">
        <f>IF(COUNTIFS('United Data'!$A$3:$A$3390,R$1,'United Data'!$C$3:$C$3390,$A1516,'United Data'!$B$3:$B$3390,"&lt;&gt;Off-street")&gt;0,1,0)</f>
        <v>0</v>
      </c>
      <c r="S1516">
        <f t="shared" si="46"/>
        <v>1</v>
      </c>
      <c r="T1516">
        <f t="shared" si="47"/>
        <v>1</v>
      </c>
    </row>
    <row r="1517" spans="1:20" x14ac:dyDescent="0.2">
      <c r="A1517" t="s">
        <v>1795</v>
      </c>
      <c r="B1517">
        <f>IF(COUNTIFS('United Data'!$A$3:$A$3390,B$1,'United Data'!$C$3:$C$3390,$A1517,'United Data'!$B$3:$B$3390,"&lt;&gt;Off-street")&gt;0,1,0)</f>
        <v>0</v>
      </c>
      <c r="C1517">
        <f>IF(COUNTIFS('United Data'!$A$3:$A$3390,C$1,'United Data'!$C$3:$C$3390,$A1517,'United Data'!$B$3:$B$3390,"&lt;&gt;Off-street")&gt;0,1,0)</f>
        <v>0</v>
      </c>
      <c r="D1517">
        <f>IF(COUNTIFS('United Data'!$A$3:$A$3390,D$1,'United Data'!$C$3:$C$3390,$A1517,'United Data'!$B$3:$B$3390,"&lt;&gt;Off-street")&gt;0,1,0)</f>
        <v>0</v>
      </c>
      <c r="E1517">
        <f>IF(COUNTIFS('United Data'!$A$3:$A$3390,E$1,'United Data'!$C$3:$C$3390,$A1517,'United Data'!$B$3:$B$3390,"&lt;&gt;Off-street")&gt;0,1,0)</f>
        <v>1</v>
      </c>
      <c r="F1517">
        <f>IF(COUNTIFS('United Data'!$A$3:$A$3390,F$1,'United Data'!$C$3:$C$3390,$A1517,'United Data'!$B$3:$B$3390,"&lt;&gt;Off-street")&gt;0,1,0)</f>
        <v>0</v>
      </c>
      <c r="G1517">
        <f>IF(COUNTIFS('United Data'!$A$3:$A$3390,G$1,'United Data'!$C$3:$C$3390,$A1517,'United Data'!$B$3:$B$3390,"&lt;&gt;Off-street")&gt;0,1,0)</f>
        <v>0</v>
      </c>
      <c r="H1517">
        <f>IF(COUNTIFS('United Data'!$A$3:$A$3390,H$1,'United Data'!$C$3:$C$3390,$A1517,'United Data'!$B$3:$B$3390,"&lt;&gt;Off-street")&gt;0,1,0)</f>
        <v>0</v>
      </c>
      <c r="I1517">
        <f>IF(COUNTIFS('United Data'!$A$3:$A$3390,I$1,'United Data'!$C$3:$C$3390,$A1517,'United Data'!$B$3:$B$3390,"&lt;&gt;Off-street")&gt;0,1,0)</f>
        <v>0</v>
      </c>
      <c r="J1517">
        <f>IF(COUNTIFS('United Data'!$A$3:$A$3390,J$1,'United Data'!$C$3:$C$3390,$A1517,'United Data'!$B$3:$B$3390,"&lt;&gt;Off-street")&gt;0,1,0)</f>
        <v>0</v>
      </c>
      <c r="K1517">
        <f>IF(COUNTIFS('United Data'!$A$3:$A$3390,K$1,'United Data'!$C$3:$C$3390,$A1517,'United Data'!$B$3:$B$3390,"&lt;&gt;Off-street")&gt;0,1,0)</f>
        <v>0</v>
      </c>
      <c r="L1517">
        <f>IF(COUNTIFS('United Data'!$A$3:$A$3390,L$1,'United Data'!$C$3:$C$3390,$A1517,'United Data'!$B$3:$B$3390,"&lt;&gt;Off-street")&gt;0,1,0)</f>
        <v>0</v>
      </c>
      <c r="M1517">
        <f>IF(COUNTIFS('United Data'!$A$3:$A$3390,M$1,'United Data'!$C$3:$C$3390,$A1517,'United Data'!$B$3:$B$3390,"&lt;&gt;Off-street")&gt;0,1,0)</f>
        <v>0</v>
      </c>
      <c r="N1517">
        <f>IF(COUNTIFS('United Data'!$A$3:$A$3390,N$1,'United Data'!$C$3:$C$3390,$A1517,'United Data'!$B$3:$B$3390,"&lt;&gt;Off-street")&gt;0,1,0)</f>
        <v>0</v>
      </c>
      <c r="O1517">
        <f>IF(COUNTIFS('United Data'!$A$3:$A$3390,O$1,'United Data'!$C$3:$C$3390,$A1517,'United Data'!$B$3:$B$3390,"&lt;&gt;Off-street")&gt;0,1,0)</f>
        <v>0</v>
      </c>
      <c r="P1517">
        <f>IF(COUNTIFS('United Data'!$A$3:$A$3390,P$1,'United Data'!$C$3:$C$3390,$A1517,'United Data'!$B$3:$B$3390,"&lt;&gt;Off-street")&gt;0,1,0)</f>
        <v>0</v>
      </c>
      <c r="Q1517">
        <f>IF(COUNTIFS('United Data'!$A$3:$A$3390,Q$1,'United Data'!$C$3:$C$3390,$A1517,'United Data'!$B$3:$B$3390,"&lt;&gt;Off-street")&gt;0,1,0)</f>
        <v>0</v>
      </c>
      <c r="R1517">
        <f>IF(COUNTIFS('United Data'!$A$3:$A$3390,R$1,'United Data'!$C$3:$C$3390,$A1517,'United Data'!$B$3:$B$3390,"&lt;&gt;Off-street")&gt;0,1,0)</f>
        <v>0</v>
      </c>
      <c r="S1517">
        <f t="shared" si="46"/>
        <v>1</v>
      </c>
      <c r="T1517">
        <f t="shared" si="47"/>
        <v>1</v>
      </c>
    </row>
    <row r="1518" spans="1:20" x14ac:dyDescent="0.2">
      <c r="A1518" t="s">
        <v>2088</v>
      </c>
      <c r="B1518">
        <f>IF(COUNTIFS('United Data'!$A$3:$A$3390,B$1,'United Data'!$C$3:$C$3390,$A1518,'United Data'!$B$3:$B$3390,"&lt;&gt;Off-street")&gt;0,1,0)</f>
        <v>0</v>
      </c>
      <c r="C1518">
        <f>IF(COUNTIFS('United Data'!$A$3:$A$3390,C$1,'United Data'!$C$3:$C$3390,$A1518,'United Data'!$B$3:$B$3390,"&lt;&gt;Off-street")&gt;0,1,0)</f>
        <v>0</v>
      </c>
      <c r="D1518">
        <f>IF(COUNTIFS('United Data'!$A$3:$A$3390,D$1,'United Data'!$C$3:$C$3390,$A1518,'United Data'!$B$3:$B$3390,"&lt;&gt;Off-street")&gt;0,1,0)</f>
        <v>0</v>
      </c>
      <c r="E1518">
        <f>IF(COUNTIFS('United Data'!$A$3:$A$3390,E$1,'United Data'!$C$3:$C$3390,$A1518,'United Data'!$B$3:$B$3390,"&lt;&gt;Off-street")&gt;0,1,0)</f>
        <v>1</v>
      </c>
      <c r="F1518">
        <f>IF(COUNTIFS('United Data'!$A$3:$A$3390,F$1,'United Data'!$C$3:$C$3390,$A1518,'United Data'!$B$3:$B$3390,"&lt;&gt;Off-street")&gt;0,1,0)</f>
        <v>0</v>
      </c>
      <c r="G1518">
        <f>IF(COUNTIFS('United Data'!$A$3:$A$3390,G$1,'United Data'!$C$3:$C$3390,$A1518,'United Data'!$B$3:$B$3390,"&lt;&gt;Off-street")&gt;0,1,0)</f>
        <v>0</v>
      </c>
      <c r="H1518">
        <f>IF(COUNTIFS('United Data'!$A$3:$A$3390,H$1,'United Data'!$C$3:$C$3390,$A1518,'United Data'!$B$3:$B$3390,"&lt;&gt;Off-street")&gt;0,1,0)</f>
        <v>0</v>
      </c>
      <c r="I1518">
        <f>IF(COUNTIFS('United Data'!$A$3:$A$3390,I$1,'United Data'!$C$3:$C$3390,$A1518,'United Data'!$B$3:$B$3390,"&lt;&gt;Off-street")&gt;0,1,0)</f>
        <v>0</v>
      </c>
      <c r="J1518">
        <f>IF(COUNTIFS('United Data'!$A$3:$A$3390,J$1,'United Data'!$C$3:$C$3390,$A1518,'United Data'!$B$3:$B$3390,"&lt;&gt;Off-street")&gt;0,1,0)</f>
        <v>0</v>
      </c>
      <c r="K1518">
        <f>IF(COUNTIFS('United Data'!$A$3:$A$3390,K$1,'United Data'!$C$3:$C$3390,$A1518,'United Data'!$B$3:$B$3390,"&lt;&gt;Off-street")&gt;0,1,0)</f>
        <v>0</v>
      </c>
      <c r="L1518">
        <f>IF(COUNTIFS('United Data'!$A$3:$A$3390,L$1,'United Data'!$C$3:$C$3390,$A1518,'United Data'!$B$3:$B$3390,"&lt;&gt;Off-street")&gt;0,1,0)</f>
        <v>0</v>
      </c>
      <c r="M1518">
        <f>IF(COUNTIFS('United Data'!$A$3:$A$3390,M$1,'United Data'!$C$3:$C$3390,$A1518,'United Data'!$B$3:$B$3390,"&lt;&gt;Off-street")&gt;0,1,0)</f>
        <v>0</v>
      </c>
      <c r="N1518">
        <f>IF(COUNTIFS('United Data'!$A$3:$A$3390,N$1,'United Data'!$C$3:$C$3390,$A1518,'United Data'!$B$3:$B$3390,"&lt;&gt;Off-street")&gt;0,1,0)</f>
        <v>0</v>
      </c>
      <c r="O1518">
        <f>IF(COUNTIFS('United Data'!$A$3:$A$3390,O$1,'United Data'!$C$3:$C$3390,$A1518,'United Data'!$B$3:$B$3390,"&lt;&gt;Off-street")&gt;0,1,0)</f>
        <v>0</v>
      </c>
      <c r="P1518">
        <f>IF(COUNTIFS('United Data'!$A$3:$A$3390,P$1,'United Data'!$C$3:$C$3390,$A1518,'United Data'!$B$3:$B$3390,"&lt;&gt;Off-street")&gt;0,1,0)</f>
        <v>0</v>
      </c>
      <c r="Q1518">
        <f>IF(COUNTIFS('United Data'!$A$3:$A$3390,Q$1,'United Data'!$C$3:$C$3390,$A1518,'United Data'!$B$3:$B$3390,"&lt;&gt;Off-street")&gt;0,1,0)</f>
        <v>0</v>
      </c>
      <c r="R1518">
        <f>IF(COUNTIFS('United Data'!$A$3:$A$3390,R$1,'United Data'!$C$3:$C$3390,$A1518,'United Data'!$B$3:$B$3390,"&lt;&gt;Off-street")&gt;0,1,0)</f>
        <v>0</v>
      </c>
      <c r="S1518">
        <f t="shared" si="46"/>
        <v>1</v>
      </c>
      <c r="T1518">
        <f t="shared" si="47"/>
        <v>1</v>
      </c>
    </row>
    <row r="1519" spans="1:20" x14ac:dyDescent="0.2">
      <c r="A1519" t="s">
        <v>1796</v>
      </c>
      <c r="B1519">
        <f>IF(COUNTIFS('United Data'!$A$3:$A$3390,B$1,'United Data'!$C$3:$C$3390,$A1519,'United Data'!$B$3:$B$3390,"&lt;&gt;Off-street")&gt;0,1,0)</f>
        <v>0</v>
      </c>
      <c r="C1519">
        <f>IF(COUNTIFS('United Data'!$A$3:$A$3390,C$1,'United Data'!$C$3:$C$3390,$A1519,'United Data'!$B$3:$B$3390,"&lt;&gt;Off-street")&gt;0,1,0)</f>
        <v>0</v>
      </c>
      <c r="D1519">
        <f>IF(COUNTIFS('United Data'!$A$3:$A$3390,D$1,'United Data'!$C$3:$C$3390,$A1519,'United Data'!$B$3:$B$3390,"&lt;&gt;Off-street")&gt;0,1,0)</f>
        <v>0</v>
      </c>
      <c r="E1519">
        <f>IF(COUNTIFS('United Data'!$A$3:$A$3390,E$1,'United Data'!$C$3:$C$3390,$A1519,'United Data'!$B$3:$B$3390,"&lt;&gt;Off-street")&gt;0,1,0)</f>
        <v>1</v>
      </c>
      <c r="F1519">
        <f>IF(COUNTIFS('United Data'!$A$3:$A$3390,F$1,'United Data'!$C$3:$C$3390,$A1519,'United Data'!$B$3:$B$3390,"&lt;&gt;Off-street")&gt;0,1,0)</f>
        <v>1</v>
      </c>
      <c r="G1519">
        <f>IF(COUNTIFS('United Data'!$A$3:$A$3390,G$1,'United Data'!$C$3:$C$3390,$A1519,'United Data'!$B$3:$B$3390,"&lt;&gt;Off-street")&gt;0,1,0)</f>
        <v>1</v>
      </c>
      <c r="H1519">
        <f>IF(COUNTIFS('United Data'!$A$3:$A$3390,H$1,'United Data'!$C$3:$C$3390,$A1519,'United Data'!$B$3:$B$3390,"&lt;&gt;Off-street")&gt;0,1,0)</f>
        <v>0</v>
      </c>
      <c r="I1519">
        <f>IF(COUNTIFS('United Data'!$A$3:$A$3390,I$1,'United Data'!$C$3:$C$3390,$A1519,'United Data'!$B$3:$B$3390,"&lt;&gt;Off-street")&gt;0,1,0)</f>
        <v>1</v>
      </c>
      <c r="J1519">
        <f>IF(COUNTIFS('United Data'!$A$3:$A$3390,J$1,'United Data'!$C$3:$C$3390,$A1519,'United Data'!$B$3:$B$3390,"&lt;&gt;Off-street")&gt;0,1,0)</f>
        <v>1</v>
      </c>
      <c r="K1519">
        <f>IF(COUNTIFS('United Data'!$A$3:$A$3390,K$1,'United Data'!$C$3:$C$3390,$A1519,'United Data'!$B$3:$B$3390,"&lt;&gt;Off-street")&gt;0,1,0)</f>
        <v>1</v>
      </c>
      <c r="L1519">
        <f>IF(COUNTIFS('United Data'!$A$3:$A$3390,L$1,'United Data'!$C$3:$C$3390,$A1519,'United Data'!$B$3:$B$3390,"&lt;&gt;Off-street")&gt;0,1,0)</f>
        <v>1</v>
      </c>
      <c r="M1519">
        <f>IF(COUNTIFS('United Data'!$A$3:$A$3390,M$1,'United Data'!$C$3:$C$3390,$A1519,'United Data'!$B$3:$B$3390,"&lt;&gt;Off-street")&gt;0,1,0)</f>
        <v>0</v>
      </c>
      <c r="N1519">
        <f>IF(COUNTIFS('United Data'!$A$3:$A$3390,N$1,'United Data'!$C$3:$C$3390,$A1519,'United Data'!$B$3:$B$3390,"&lt;&gt;Off-street")&gt;0,1,0)</f>
        <v>0</v>
      </c>
      <c r="O1519">
        <f>IF(COUNTIFS('United Data'!$A$3:$A$3390,O$1,'United Data'!$C$3:$C$3390,$A1519,'United Data'!$B$3:$B$3390,"&lt;&gt;Off-street")&gt;0,1,0)</f>
        <v>0</v>
      </c>
      <c r="P1519">
        <f>IF(COUNTIFS('United Data'!$A$3:$A$3390,P$1,'United Data'!$C$3:$C$3390,$A1519,'United Data'!$B$3:$B$3390,"&lt;&gt;Off-street")&gt;0,1,0)</f>
        <v>0</v>
      </c>
      <c r="Q1519">
        <f>IF(COUNTIFS('United Data'!$A$3:$A$3390,Q$1,'United Data'!$C$3:$C$3390,$A1519,'United Data'!$B$3:$B$3390,"&lt;&gt;Off-street")&gt;0,1,0)</f>
        <v>0</v>
      </c>
      <c r="R1519">
        <f>IF(COUNTIFS('United Data'!$A$3:$A$3390,R$1,'United Data'!$C$3:$C$3390,$A1519,'United Data'!$B$3:$B$3390,"&lt;&gt;Off-street")&gt;0,1,0)</f>
        <v>0</v>
      </c>
      <c r="S1519">
        <f t="shared" si="46"/>
        <v>7</v>
      </c>
      <c r="T1519">
        <f t="shared" si="47"/>
        <v>2</v>
      </c>
    </row>
    <row r="1520" spans="1:20" x14ac:dyDescent="0.2">
      <c r="A1520" t="s">
        <v>1797</v>
      </c>
      <c r="B1520">
        <f>IF(COUNTIFS('United Data'!$A$3:$A$3390,B$1,'United Data'!$C$3:$C$3390,$A1520,'United Data'!$B$3:$B$3390,"&lt;&gt;Off-street")&gt;0,1,0)</f>
        <v>0</v>
      </c>
      <c r="C1520">
        <f>IF(COUNTIFS('United Data'!$A$3:$A$3390,C$1,'United Data'!$C$3:$C$3390,$A1520,'United Data'!$B$3:$B$3390,"&lt;&gt;Off-street")&gt;0,1,0)</f>
        <v>0</v>
      </c>
      <c r="D1520">
        <f>IF(COUNTIFS('United Data'!$A$3:$A$3390,D$1,'United Data'!$C$3:$C$3390,$A1520,'United Data'!$B$3:$B$3390,"&lt;&gt;Off-street")&gt;0,1,0)</f>
        <v>0</v>
      </c>
      <c r="E1520">
        <f>IF(COUNTIFS('United Data'!$A$3:$A$3390,E$1,'United Data'!$C$3:$C$3390,$A1520,'United Data'!$B$3:$B$3390,"&lt;&gt;Off-street")&gt;0,1,0)</f>
        <v>1</v>
      </c>
      <c r="F1520">
        <f>IF(COUNTIFS('United Data'!$A$3:$A$3390,F$1,'United Data'!$C$3:$C$3390,$A1520,'United Data'!$B$3:$B$3390,"&lt;&gt;Off-street")&gt;0,1,0)</f>
        <v>0</v>
      </c>
      <c r="G1520">
        <f>IF(COUNTIFS('United Data'!$A$3:$A$3390,G$1,'United Data'!$C$3:$C$3390,$A1520,'United Data'!$B$3:$B$3390,"&lt;&gt;Off-street")&gt;0,1,0)</f>
        <v>0</v>
      </c>
      <c r="H1520">
        <f>IF(COUNTIFS('United Data'!$A$3:$A$3390,H$1,'United Data'!$C$3:$C$3390,$A1520,'United Data'!$B$3:$B$3390,"&lt;&gt;Off-street")&gt;0,1,0)</f>
        <v>0</v>
      </c>
      <c r="I1520">
        <f>IF(COUNTIFS('United Data'!$A$3:$A$3390,I$1,'United Data'!$C$3:$C$3390,$A1520,'United Data'!$B$3:$B$3390,"&lt;&gt;Off-street")&gt;0,1,0)</f>
        <v>0</v>
      </c>
      <c r="J1520">
        <f>IF(COUNTIFS('United Data'!$A$3:$A$3390,J$1,'United Data'!$C$3:$C$3390,$A1520,'United Data'!$B$3:$B$3390,"&lt;&gt;Off-street")&gt;0,1,0)</f>
        <v>0</v>
      </c>
      <c r="K1520">
        <f>IF(COUNTIFS('United Data'!$A$3:$A$3390,K$1,'United Data'!$C$3:$C$3390,$A1520,'United Data'!$B$3:$B$3390,"&lt;&gt;Off-street")&gt;0,1,0)</f>
        <v>0</v>
      </c>
      <c r="L1520">
        <f>IF(COUNTIFS('United Data'!$A$3:$A$3390,L$1,'United Data'!$C$3:$C$3390,$A1520,'United Data'!$B$3:$B$3390,"&lt;&gt;Off-street")&gt;0,1,0)</f>
        <v>0</v>
      </c>
      <c r="M1520">
        <f>IF(COUNTIFS('United Data'!$A$3:$A$3390,M$1,'United Data'!$C$3:$C$3390,$A1520,'United Data'!$B$3:$B$3390,"&lt;&gt;Off-street")&gt;0,1,0)</f>
        <v>0</v>
      </c>
      <c r="N1520">
        <f>IF(COUNTIFS('United Data'!$A$3:$A$3390,N$1,'United Data'!$C$3:$C$3390,$A1520,'United Data'!$B$3:$B$3390,"&lt;&gt;Off-street")&gt;0,1,0)</f>
        <v>0</v>
      </c>
      <c r="O1520">
        <f>IF(COUNTIFS('United Data'!$A$3:$A$3390,O$1,'United Data'!$C$3:$C$3390,$A1520,'United Data'!$B$3:$B$3390,"&lt;&gt;Off-street")&gt;0,1,0)</f>
        <v>0</v>
      </c>
      <c r="P1520">
        <f>IF(COUNTIFS('United Data'!$A$3:$A$3390,P$1,'United Data'!$C$3:$C$3390,$A1520,'United Data'!$B$3:$B$3390,"&lt;&gt;Off-street")&gt;0,1,0)</f>
        <v>0</v>
      </c>
      <c r="Q1520">
        <f>IF(COUNTIFS('United Data'!$A$3:$A$3390,Q$1,'United Data'!$C$3:$C$3390,$A1520,'United Data'!$B$3:$B$3390,"&lt;&gt;Off-street")&gt;0,1,0)</f>
        <v>0</v>
      </c>
      <c r="R1520">
        <f>IF(COUNTIFS('United Data'!$A$3:$A$3390,R$1,'United Data'!$C$3:$C$3390,$A1520,'United Data'!$B$3:$B$3390,"&lt;&gt;Off-street")&gt;0,1,0)</f>
        <v>0</v>
      </c>
      <c r="S1520">
        <f t="shared" si="46"/>
        <v>1</v>
      </c>
      <c r="T1520">
        <f t="shared" si="47"/>
        <v>1</v>
      </c>
    </row>
    <row r="1521" spans="1:20" x14ac:dyDescent="0.2">
      <c r="A1521" t="s">
        <v>1798</v>
      </c>
      <c r="B1521">
        <f>IF(COUNTIFS('United Data'!$A$3:$A$3390,B$1,'United Data'!$C$3:$C$3390,$A1521,'United Data'!$B$3:$B$3390,"&lt;&gt;Off-street")&gt;0,1,0)</f>
        <v>0</v>
      </c>
      <c r="C1521">
        <f>IF(COUNTIFS('United Data'!$A$3:$A$3390,C$1,'United Data'!$C$3:$C$3390,$A1521,'United Data'!$B$3:$B$3390,"&lt;&gt;Off-street")&gt;0,1,0)</f>
        <v>0</v>
      </c>
      <c r="D1521">
        <f>IF(COUNTIFS('United Data'!$A$3:$A$3390,D$1,'United Data'!$C$3:$C$3390,$A1521,'United Data'!$B$3:$B$3390,"&lt;&gt;Off-street")&gt;0,1,0)</f>
        <v>0</v>
      </c>
      <c r="E1521">
        <f>IF(COUNTIFS('United Data'!$A$3:$A$3390,E$1,'United Data'!$C$3:$C$3390,$A1521,'United Data'!$B$3:$B$3390,"&lt;&gt;Off-street")&gt;0,1,0)</f>
        <v>0</v>
      </c>
      <c r="F1521">
        <f>IF(COUNTIFS('United Data'!$A$3:$A$3390,F$1,'United Data'!$C$3:$C$3390,$A1521,'United Data'!$B$3:$B$3390,"&lt;&gt;Off-street")&gt;0,1,0)</f>
        <v>1</v>
      </c>
      <c r="G1521">
        <f>IF(COUNTIFS('United Data'!$A$3:$A$3390,G$1,'United Data'!$C$3:$C$3390,$A1521,'United Data'!$B$3:$B$3390,"&lt;&gt;Off-street")&gt;0,1,0)</f>
        <v>0</v>
      </c>
      <c r="H1521">
        <f>IF(COUNTIFS('United Data'!$A$3:$A$3390,H$1,'United Data'!$C$3:$C$3390,$A1521,'United Data'!$B$3:$B$3390,"&lt;&gt;Off-street")&gt;0,1,0)</f>
        <v>0</v>
      </c>
      <c r="I1521">
        <f>IF(COUNTIFS('United Data'!$A$3:$A$3390,I$1,'United Data'!$C$3:$C$3390,$A1521,'United Data'!$B$3:$B$3390,"&lt;&gt;Off-street")&gt;0,1,0)</f>
        <v>1</v>
      </c>
      <c r="J1521">
        <f>IF(COUNTIFS('United Data'!$A$3:$A$3390,J$1,'United Data'!$C$3:$C$3390,$A1521,'United Data'!$B$3:$B$3390,"&lt;&gt;Off-street")&gt;0,1,0)</f>
        <v>0</v>
      </c>
      <c r="K1521">
        <f>IF(COUNTIFS('United Data'!$A$3:$A$3390,K$1,'United Data'!$C$3:$C$3390,$A1521,'United Data'!$B$3:$B$3390,"&lt;&gt;Off-street")&gt;0,1,0)</f>
        <v>0</v>
      </c>
      <c r="L1521">
        <f>IF(COUNTIFS('United Data'!$A$3:$A$3390,L$1,'United Data'!$C$3:$C$3390,$A1521,'United Data'!$B$3:$B$3390,"&lt;&gt;Off-street")&gt;0,1,0)</f>
        <v>0</v>
      </c>
      <c r="M1521">
        <f>IF(COUNTIFS('United Data'!$A$3:$A$3390,M$1,'United Data'!$C$3:$C$3390,$A1521,'United Data'!$B$3:$B$3390,"&lt;&gt;Off-street")&gt;0,1,0)</f>
        <v>0</v>
      </c>
      <c r="N1521">
        <f>IF(COUNTIFS('United Data'!$A$3:$A$3390,N$1,'United Data'!$C$3:$C$3390,$A1521,'United Data'!$B$3:$B$3390,"&lt;&gt;Off-street")&gt;0,1,0)</f>
        <v>0</v>
      </c>
      <c r="O1521">
        <f>IF(COUNTIFS('United Data'!$A$3:$A$3390,O$1,'United Data'!$C$3:$C$3390,$A1521,'United Data'!$B$3:$B$3390,"&lt;&gt;Off-street")&gt;0,1,0)</f>
        <v>0</v>
      </c>
      <c r="P1521">
        <f>IF(COUNTIFS('United Data'!$A$3:$A$3390,P$1,'United Data'!$C$3:$C$3390,$A1521,'United Data'!$B$3:$B$3390,"&lt;&gt;Off-street")&gt;0,1,0)</f>
        <v>0</v>
      </c>
      <c r="Q1521">
        <f>IF(COUNTIFS('United Data'!$A$3:$A$3390,Q$1,'United Data'!$C$3:$C$3390,$A1521,'United Data'!$B$3:$B$3390,"&lt;&gt;Off-street")&gt;0,1,0)</f>
        <v>0</v>
      </c>
      <c r="R1521">
        <f>IF(COUNTIFS('United Data'!$A$3:$A$3390,R$1,'United Data'!$C$3:$C$3390,$A1521,'United Data'!$B$3:$B$3390,"&lt;&gt;Off-street")&gt;0,1,0)</f>
        <v>0</v>
      </c>
      <c r="S1521">
        <f t="shared" si="46"/>
        <v>2</v>
      </c>
      <c r="T1521">
        <f t="shared" si="47"/>
        <v>2</v>
      </c>
    </row>
    <row r="1522" spans="1:20" x14ac:dyDescent="0.2">
      <c r="A1522" t="s">
        <v>1799</v>
      </c>
      <c r="B1522">
        <f>IF(COUNTIFS('United Data'!$A$3:$A$3390,B$1,'United Data'!$C$3:$C$3390,$A1522,'United Data'!$B$3:$B$3390,"&lt;&gt;Off-street")&gt;0,1,0)</f>
        <v>0</v>
      </c>
      <c r="C1522">
        <f>IF(COUNTIFS('United Data'!$A$3:$A$3390,C$1,'United Data'!$C$3:$C$3390,$A1522,'United Data'!$B$3:$B$3390,"&lt;&gt;Off-street")&gt;0,1,0)</f>
        <v>0</v>
      </c>
      <c r="D1522">
        <f>IF(COUNTIFS('United Data'!$A$3:$A$3390,D$1,'United Data'!$C$3:$C$3390,$A1522,'United Data'!$B$3:$B$3390,"&lt;&gt;Off-street")&gt;0,1,0)</f>
        <v>0</v>
      </c>
      <c r="E1522">
        <f>IF(COUNTIFS('United Data'!$A$3:$A$3390,E$1,'United Data'!$C$3:$C$3390,$A1522,'United Data'!$B$3:$B$3390,"&lt;&gt;Off-street")&gt;0,1,0)</f>
        <v>0</v>
      </c>
      <c r="F1522">
        <f>IF(COUNTIFS('United Data'!$A$3:$A$3390,F$1,'United Data'!$C$3:$C$3390,$A1522,'United Data'!$B$3:$B$3390,"&lt;&gt;Off-street")&gt;0,1,0)</f>
        <v>1</v>
      </c>
      <c r="G1522">
        <f>IF(COUNTIFS('United Data'!$A$3:$A$3390,G$1,'United Data'!$C$3:$C$3390,$A1522,'United Data'!$B$3:$B$3390,"&lt;&gt;Off-street")&gt;0,1,0)</f>
        <v>0</v>
      </c>
      <c r="H1522">
        <f>IF(COUNTIFS('United Data'!$A$3:$A$3390,H$1,'United Data'!$C$3:$C$3390,$A1522,'United Data'!$B$3:$B$3390,"&lt;&gt;Off-street")&gt;0,1,0)</f>
        <v>1</v>
      </c>
      <c r="I1522">
        <f>IF(COUNTIFS('United Data'!$A$3:$A$3390,I$1,'United Data'!$C$3:$C$3390,$A1522,'United Data'!$B$3:$B$3390,"&lt;&gt;Off-street")&gt;0,1,0)</f>
        <v>1</v>
      </c>
      <c r="J1522">
        <f>IF(COUNTIFS('United Data'!$A$3:$A$3390,J$1,'United Data'!$C$3:$C$3390,$A1522,'United Data'!$B$3:$B$3390,"&lt;&gt;Off-street")&gt;0,1,0)</f>
        <v>1</v>
      </c>
      <c r="K1522">
        <f>IF(COUNTIFS('United Data'!$A$3:$A$3390,K$1,'United Data'!$C$3:$C$3390,$A1522,'United Data'!$B$3:$B$3390,"&lt;&gt;Off-street")&gt;0,1,0)</f>
        <v>1</v>
      </c>
      <c r="L1522">
        <f>IF(COUNTIFS('United Data'!$A$3:$A$3390,L$1,'United Data'!$C$3:$C$3390,$A1522,'United Data'!$B$3:$B$3390,"&lt;&gt;Off-street")&gt;0,1,0)</f>
        <v>1</v>
      </c>
      <c r="M1522">
        <f>IF(COUNTIFS('United Data'!$A$3:$A$3390,M$1,'United Data'!$C$3:$C$3390,$A1522,'United Data'!$B$3:$B$3390,"&lt;&gt;Off-street")&gt;0,1,0)</f>
        <v>1</v>
      </c>
      <c r="N1522">
        <f>IF(COUNTIFS('United Data'!$A$3:$A$3390,N$1,'United Data'!$C$3:$C$3390,$A1522,'United Data'!$B$3:$B$3390,"&lt;&gt;Off-street")&gt;0,1,0)</f>
        <v>1</v>
      </c>
      <c r="O1522">
        <f>IF(COUNTIFS('United Data'!$A$3:$A$3390,O$1,'United Data'!$C$3:$C$3390,$A1522,'United Data'!$B$3:$B$3390,"&lt;&gt;Off-street")&gt;0,1,0)</f>
        <v>1</v>
      </c>
      <c r="P1522">
        <f>IF(COUNTIFS('United Data'!$A$3:$A$3390,P$1,'United Data'!$C$3:$C$3390,$A1522,'United Data'!$B$3:$B$3390,"&lt;&gt;Off-street")&gt;0,1,0)</f>
        <v>1</v>
      </c>
      <c r="Q1522">
        <f>IF(COUNTIFS('United Data'!$A$3:$A$3390,Q$1,'United Data'!$C$3:$C$3390,$A1522,'United Data'!$B$3:$B$3390,"&lt;&gt;Off-street")&gt;0,1,0)</f>
        <v>1</v>
      </c>
      <c r="R1522">
        <f>IF(COUNTIFS('United Data'!$A$3:$A$3390,R$1,'United Data'!$C$3:$C$3390,$A1522,'United Data'!$B$3:$B$3390,"&lt;&gt;Off-street")&gt;0,1,0)</f>
        <v>0</v>
      </c>
      <c r="S1522">
        <f t="shared" si="46"/>
        <v>11</v>
      </c>
      <c r="T1522">
        <f t="shared" si="47"/>
        <v>2</v>
      </c>
    </row>
    <row r="1523" spans="1:20" x14ac:dyDescent="0.2">
      <c r="A1523" t="s">
        <v>1800</v>
      </c>
      <c r="B1523">
        <f>IF(COUNTIFS('United Data'!$A$3:$A$3390,B$1,'United Data'!$C$3:$C$3390,$A1523,'United Data'!$B$3:$B$3390,"&lt;&gt;Off-street")&gt;0,1,0)</f>
        <v>0</v>
      </c>
      <c r="C1523">
        <f>IF(COUNTIFS('United Data'!$A$3:$A$3390,C$1,'United Data'!$C$3:$C$3390,$A1523,'United Data'!$B$3:$B$3390,"&lt;&gt;Off-street")&gt;0,1,0)</f>
        <v>0</v>
      </c>
      <c r="D1523">
        <f>IF(COUNTIFS('United Data'!$A$3:$A$3390,D$1,'United Data'!$C$3:$C$3390,$A1523,'United Data'!$B$3:$B$3390,"&lt;&gt;Off-street")&gt;0,1,0)</f>
        <v>0</v>
      </c>
      <c r="E1523">
        <f>IF(COUNTIFS('United Data'!$A$3:$A$3390,E$1,'United Data'!$C$3:$C$3390,$A1523,'United Data'!$B$3:$B$3390,"&lt;&gt;Off-street")&gt;0,1,0)</f>
        <v>0</v>
      </c>
      <c r="F1523">
        <f>IF(COUNTIFS('United Data'!$A$3:$A$3390,F$1,'United Data'!$C$3:$C$3390,$A1523,'United Data'!$B$3:$B$3390,"&lt;&gt;Off-street")&gt;0,1,0)</f>
        <v>1</v>
      </c>
      <c r="G1523">
        <f>IF(COUNTIFS('United Data'!$A$3:$A$3390,G$1,'United Data'!$C$3:$C$3390,$A1523,'United Data'!$B$3:$B$3390,"&lt;&gt;Off-street")&gt;0,1,0)</f>
        <v>0</v>
      </c>
      <c r="H1523">
        <f>IF(COUNTIFS('United Data'!$A$3:$A$3390,H$1,'United Data'!$C$3:$C$3390,$A1523,'United Data'!$B$3:$B$3390,"&lt;&gt;Off-street")&gt;0,1,0)</f>
        <v>0</v>
      </c>
      <c r="I1523">
        <f>IF(COUNTIFS('United Data'!$A$3:$A$3390,I$1,'United Data'!$C$3:$C$3390,$A1523,'United Data'!$B$3:$B$3390,"&lt;&gt;Off-street")&gt;0,1,0)</f>
        <v>0</v>
      </c>
      <c r="J1523">
        <f>IF(COUNTIFS('United Data'!$A$3:$A$3390,J$1,'United Data'!$C$3:$C$3390,$A1523,'United Data'!$B$3:$B$3390,"&lt;&gt;Off-street")&gt;0,1,0)</f>
        <v>0</v>
      </c>
      <c r="K1523">
        <f>IF(COUNTIFS('United Data'!$A$3:$A$3390,K$1,'United Data'!$C$3:$C$3390,$A1523,'United Data'!$B$3:$B$3390,"&lt;&gt;Off-street")&gt;0,1,0)</f>
        <v>0</v>
      </c>
      <c r="L1523">
        <f>IF(COUNTIFS('United Data'!$A$3:$A$3390,L$1,'United Data'!$C$3:$C$3390,$A1523,'United Data'!$B$3:$B$3390,"&lt;&gt;Off-street")&gt;0,1,0)</f>
        <v>0</v>
      </c>
      <c r="M1523">
        <f>IF(COUNTIFS('United Data'!$A$3:$A$3390,M$1,'United Data'!$C$3:$C$3390,$A1523,'United Data'!$B$3:$B$3390,"&lt;&gt;Off-street")&gt;0,1,0)</f>
        <v>0</v>
      </c>
      <c r="N1523">
        <f>IF(COUNTIFS('United Data'!$A$3:$A$3390,N$1,'United Data'!$C$3:$C$3390,$A1523,'United Data'!$B$3:$B$3390,"&lt;&gt;Off-street")&gt;0,1,0)</f>
        <v>0</v>
      </c>
      <c r="O1523">
        <f>IF(COUNTIFS('United Data'!$A$3:$A$3390,O$1,'United Data'!$C$3:$C$3390,$A1523,'United Data'!$B$3:$B$3390,"&lt;&gt;Off-street")&gt;0,1,0)</f>
        <v>0</v>
      </c>
      <c r="P1523">
        <f>IF(COUNTIFS('United Data'!$A$3:$A$3390,P$1,'United Data'!$C$3:$C$3390,$A1523,'United Data'!$B$3:$B$3390,"&lt;&gt;Off-street")&gt;0,1,0)</f>
        <v>0</v>
      </c>
      <c r="Q1523">
        <f>IF(COUNTIFS('United Data'!$A$3:$A$3390,Q$1,'United Data'!$C$3:$C$3390,$A1523,'United Data'!$B$3:$B$3390,"&lt;&gt;Off-street")&gt;0,1,0)</f>
        <v>0</v>
      </c>
      <c r="R1523">
        <f>IF(COUNTIFS('United Data'!$A$3:$A$3390,R$1,'United Data'!$C$3:$C$3390,$A1523,'United Data'!$B$3:$B$3390,"&lt;&gt;Off-street")&gt;0,1,0)</f>
        <v>0</v>
      </c>
      <c r="S1523">
        <f t="shared" si="46"/>
        <v>1</v>
      </c>
      <c r="T1523">
        <f t="shared" si="47"/>
        <v>1</v>
      </c>
    </row>
    <row r="1524" spans="1:20" x14ac:dyDescent="0.2">
      <c r="A1524" t="s">
        <v>1801</v>
      </c>
      <c r="B1524">
        <f>IF(COUNTIFS('United Data'!$A$3:$A$3390,B$1,'United Data'!$C$3:$C$3390,$A1524,'United Data'!$B$3:$B$3390,"&lt;&gt;Off-street")&gt;0,1,0)</f>
        <v>0</v>
      </c>
      <c r="C1524">
        <f>IF(COUNTIFS('United Data'!$A$3:$A$3390,C$1,'United Data'!$C$3:$C$3390,$A1524,'United Data'!$B$3:$B$3390,"&lt;&gt;Off-street")&gt;0,1,0)</f>
        <v>0</v>
      </c>
      <c r="D1524">
        <f>IF(COUNTIFS('United Data'!$A$3:$A$3390,D$1,'United Data'!$C$3:$C$3390,$A1524,'United Data'!$B$3:$B$3390,"&lt;&gt;Off-street")&gt;0,1,0)</f>
        <v>0</v>
      </c>
      <c r="E1524">
        <f>IF(COUNTIFS('United Data'!$A$3:$A$3390,E$1,'United Data'!$C$3:$C$3390,$A1524,'United Data'!$B$3:$B$3390,"&lt;&gt;Off-street")&gt;0,1,0)</f>
        <v>0</v>
      </c>
      <c r="F1524">
        <f>IF(COUNTIFS('United Data'!$A$3:$A$3390,F$1,'United Data'!$C$3:$C$3390,$A1524,'United Data'!$B$3:$B$3390,"&lt;&gt;Off-street")&gt;0,1,0)</f>
        <v>1</v>
      </c>
      <c r="G1524">
        <f>IF(COUNTIFS('United Data'!$A$3:$A$3390,G$1,'United Data'!$C$3:$C$3390,$A1524,'United Data'!$B$3:$B$3390,"&lt;&gt;Off-street")&gt;0,1,0)</f>
        <v>0</v>
      </c>
      <c r="H1524">
        <f>IF(COUNTIFS('United Data'!$A$3:$A$3390,H$1,'United Data'!$C$3:$C$3390,$A1524,'United Data'!$B$3:$B$3390,"&lt;&gt;Off-street")&gt;0,1,0)</f>
        <v>0</v>
      </c>
      <c r="I1524">
        <f>IF(COUNTIFS('United Data'!$A$3:$A$3390,I$1,'United Data'!$C$3:$C$3390,$A1524,'United Data'!$B$3:$B$3390,"&lt;&gt;Off-street")&gt;0,1,0)</f>
        <v>0</v>
      </c>
      <c r="J1524">
        <f>IF(COUNTIFS('United Data'!$A$3:$A$3390,J$1,'United Data'!$C$3:$C$3390,$A1524,'United Data'!$B$3:$B$3390,"&lt;&gt;Off-street")&gt;0,1,0)</f>
        <v>0</v>
      </c>
      <c r="K1524">
        <f>IF(COUNTIFS('United Data'!$A$3:$A$3390,K$1,'United Data'!$C$3:$C$3390,$A1524,'United Data'!$B$3:$B$3390,"&lt;&gt;Off-street")&gt;0,1,0)</f>
        <v>0</v>
      </c>
      <c r="L1524">
        <f>IF(COUNTIFS('United Data'!$A$3:$A$3390,L$1,'United Data'!$C$3:$C$3390,$A1524,'United Data'!$B$3:$B$3390,"&lt;&gt;Off-street")&gt;0,1,0)</f>
        <v>0</v>
      </c>
      <c r="M1524">
        <f>IF(COUNTIFS('United Data'!$A$3:$A$3390,M$1,'United Data'!$C$3:$C$3390,$A1524,'United Data'!$B$3:$B$3390,"&lt;&gt;Off-street")&gt;0,1,0)</f>
        <v>0</v>
      </c>
      <c r="N1524">
        <f>IF(COUNTIFS('United Data'!$A$3:$A$3390,N$1,'United Data'!$C$3:$C$3390,$A1524,'United Data'!$B$3:$B$3390,"&lt;&gt;Off-street")&gt;0,1,0)</f>
        <v>0</v>
      </c>
      <c r="O1524">
        <f>IF(COUNTIFS('United Data'!$A$3:$A$3390,O$1,'United Data'!$C$3:$C$3390,$A1524,'United Data'!$B$3:$B$3390,"&lt;&gt;Off-street")&gt;0,1,0)</f>
        <v>0</v>
      </c>
      <c r="P1524">
        <f>IF(COUNTIFS('United Data'!$A$3:$A$3390,P$1,'United Data'!$C$3:$C$3390,$A1524,'United Data'!$B$3:$B$3390,"&lt;&gt;Off-street")&gt;0,1,0)</f>
        <v>0</v>
      </c>
      <c r="Q1524">
        <f>IF(COUNTIFS('United Data'!$A$3:$A$3390,Q$1,'United Data'!$C$3:$C$3390,$A1524,'United Data'!$B$3:$B$3390,"&lt;&gt;Off-street")&gt;0,1,0)</f>
        <v>0</v>
      </c>
      <c r="R1524">
        <f>IF(COUNTIFS('United Data'!$A$3:$A$3390,R$1,'United Data'!$C$3:$C$3390,$A1524,'United Data'!$B$3:$B$3390,"&lt;&gt;Off-street")&gt;0,1,0)</f>
        <v>0</v>
      </c>
      <c r="S1524">
        <f t="shared" si="46"/>
        <v>1</v>
      </c>
      <c r="T1524">
        <f t="shared" si="47"/>
        <v>1</v>
      </c>
    </row>
    <row r="1525" spans="1:20" x14ac:dyDescent="0.2">
      <c r="A1525" t="s">
        <v>1802</v>
      </c>
      <c r="B1525">
        <f>IF(COUNTIFS('United Data'!$A$3:$A$3390,B$1,'United Data'!$C$3:$C$3390,$A1525,'United Data'!$B$3:$B$3390,"&lt;&gt;Off-street")&gt;0,1,0)</f>
        <v>0</v>
      </c>
      <c r="C1525">
        <f>IF(COUNTIFS('United Data'!$A$3:$A$3390,C$1,'United Data'!$C$3:$C$3390,$A1525,'United Data'!$B$3:$B$3390,"&lt;&gt;Off-street")&gt;0,1,0)</f>
        <v>0</v>
      </c>
      <c r="D1525">
        <f>IF(COUNTIFS('United Data'!$A$3:$A$3390,D$1,'United Data'!$C$3:$C$3390,$A1525,'United Data'!$B$3:$B$3390,"&lt;&gt;Off-street")&gt;0,1,0)</f>
        <v>0</v>
      </c>
      <c r="E1525">
        <f>IF(COUNTIFS('United Data'!$A$3:$A$3390,E$1,'United Data'!$C$3:$C$3390,$A1525,'United Data'!$B$3:$B$3390,"&lt;&gt;Off-street")&gt;0,1,0)</f>
        <v>0</v>
      </c>
      <c r="F1525">
        <f>IF(COUNTIFS('United Data'!$A$3:$A$3390,F$1,'United Data'!$C$3:$C$3390,$A1525,'United Data'!$B$3:$B$3390,"&lt;&gt;Off-street")&gt;0,1,0)</f>
        <v>1</v>
      </c>
      <c r="G1525">
        <f>IF(COUNTIFS('United Data'!$A$3:$A$3390,G$1,'United Data'!$C$3:$C$3390,$A1525,'United Data'!$B$3:$B$3390,"&lt;&gt;Off-street")&gt;0,1,0)</f>
        <v>1</v>
      </c>
      <c r="H1525">
        <f>IF(COUNTIFS('United Data'!$A$3:$A$3390,H$1,'United Data'!$C$3:$C$3390,$A1525,'United Data'!$B$3:$B$3390,"&lt;&gt;Off-street")&gt;0,1,0)</f>
        <v>0</v>
      </c>
      <c r="I1525">
        <f>IF(COUNTIFS('United Data'!$A$3:$A$3390,I$1,'United Data'!$C$3:$C$3390,$A1525,'United Data'!$B$3:$B$3390,"&lt;&gt;Off-street")&gt;0,1,0)</f>
        <v>1</v>
      </c>
      <c r="J1525">
        <f>IF(COUNTIFS('United Data'!$A$3:$A$3390,J$1,'United Data'!$C$3:$C$3390,$A1525,'United Data'!$B$3:$B$3390,"&lt;&gt;Off-street")&gt;0,1,0)</f>
        <v>0</v>
      </c>
      <c r="K1525">
        <f>IF(COUNTIFS('United Data'!$A$3:$A$3390,K$1,'United Data'!$C$3:$C$3390,$A1525,'United Data'!$B$3:$B$3390,"&lt;&gt;Off-street")&gt;0,1,0)</f>
        <v>0</v>
      </c>
      <c r="L1525">
        <f>IF(COUNTIFS('United Data'!$A$3:$A$3390,L$1,'United Data'!$C$3:$C$3390,$A1525,'United Data'!$B$3:$B$3390,"&lt;&gt;Off-street")&gt;0,1,0)</f>
        <v>0</v>
      </c>
      <c r="M1525">
        <f>IF(COUNTIFS('United Data'!$A$3:$A$3390,M$1,'United Data'!$C$3:$C$3390,$A1525,'United Data'!$B$3:$B$3390,"&lt;&gt;Off-street")&gt;0,1,0)</f>
        <v>0</v>
      </c>
      <c r="N1525">
        <f>IF(COUNTIFS('United Data'!$A$3:$A$3390,N$1,'United Data'!$C$3:$C$3390,$A1525,'United Data'!$B$3:$B$3390,"&lt;&gt;Off-street")&gt;0,1,0)</f>
        <v>0</v>
      </c>
      <c r="O1525">
        <f>IF(COUNTIFS('United Data'!$A$3:$A$3390,O$1,'United Data'!$C$3:$C$3390,$A1525,'United Data'!$B$3:$B$3390,"&lt;&gt;Off-street")&gt;0,1,0)</f>
        <v>0</v>
      </c>
      <c r="P1525">
        <f>IF(COUNTIFS('United Data'!$A$3:$A$3390,P$1,'United Data'!$C$3:$C$3390,$A1525,'United Data'!$B$3:$B$3390,"&lt;&gt;Off-street")&gt;0,1,0)</f>
        <v>0</v>
      </c>
      <c r="Q1525">
        <f>IF(COUNTIFS('United Data'!$A$3:$A$3390,Q$1,'United Data'!$C$3:$C$3390,$A1525,'United Data'!$B$3:$B$3390,"&lt;&gt;Off-street")&gt;0,1,0)</f>
        <v>0</v>
      </c>
      <c r="R1525">
        <f>IF(COUNTIFS('United Data'!$A$3:$A$3390,R$1,'United Data'!$C$3:$C$3390,$A1525,'United Data'!$B$3:$B$3390,"&lt;&gt;Off-street")&gt;0,1,0)</f>
        <v>0</v>
      </c>
      <c r="S1525">
        <f t="shared" si="46"/>
        <v>3</v>
      </c>
      <c r="T1525">
        <f t="shared" si="47"/>
        <v>2</v>
      </c>
    </row>
    <row r="1526" spans="1:20" x14ac:dyDescent="0.2">
      <c r="A1526" t="s">
        <v>1804</v>
      </c>
      <c r="B1526">
        <f>IF(COUNTIFS('United Data'!$A$3:$A$3390,B$1,'United Data'!$C$3:$C$3390,$A1526,'United Data'!$B$3:$B$3390,"&lt;&gt;Off-street")&gt;0,1,0)</f>
        <v>0</v>
      </c>
      <c r="C1526">
        <f>IF(COUNTIFS('United Data'!$A$3:$A$3390,C$1,'United Data'!$C$3:$C$3390,$A1526,'United Data'!$B$3:$B$3390,"&lt;&gt;Off-street")&gt;0,1,0)</f>
        <v>0</v>
      </c>
      <c r="D1526">
        <f>IF(COUNTIFS('United Data'!$A$3:$A$3390,D$1,'United Data'!$C$3:$C$3390,$A1526,'United Data'!$B$3:$B$3390,"&lt;&gt;Off-street")&gt;0,1,0)</f>
        <v>0</v>
      </c>
      <c r="E1526">
        <f>IF(COUNTIFS('United Data'!$A$3:$A$3390,E$1,'United Data'!$C$3:$C$3390,$A1526,'United Data'!$B$3:$B$3390,"&lt;&gt;Off-street")&gt;0,1,0)</f>
        <v>0</v>
      </c>
      <c r="F1526">
        <f>IF(COUNTIFS('United Data'!$A$3:$A$3390,F$1,'United Data'!$C$3:$C$3390,$A1526,'United Data'!$B$3:$B$3390,"&lt;&gt;Off-street")&gt;0,1,0)</f>
        <v>1</v>
      </c>
      <c r="G1526">
        <f>IF(COUNTIFS('United Data'!$A$3:$A$3390,G$1,'United Data'!$C$3:$C$3390,$A1526,'United Data'!$B$3:$B$3390,"&lt;&gt;Off-street")&gt;0,1,0)</f>
        <v>0</v>
      </c>
      <c r="H1526">
        <f>IF(COUNTIFS('United Data'!$A$3:$A$3390,H$1,'United Data'!$C$3:$C$3390,$A1526,'United Data'!$B$3:$B$3390,"&lt;&gt;Off-street")&gt;0,1,0)</f>
        <v>0</v>
      </c>
      <c r="I1526">
        <f>IF(COUNTIFS('United Data'!$A$3:$A$3390,I$1,'United Data'!$C$3:$C$3390,$A1526,'United Data'!$B$3:$B$3390,"&lt;&gt;Off-street")&gt;0,1,0)</f>
        <v>0</v>
      </c>
      <c r="J1526">
        <f>IF(COUNTIFS('United Data'!$A$3:$A$3390,J$1,'United Data'!$C$3:$C$3390,$A1526,'United Data'!$B$3:$B$3390,"&lt;&gt;Off-street")&gt;0,1,0)</f>
        <v>0</v>
      </c>
      <c r="K1526">
        <f>IF(COUNTIFS('United Data'!$A$3:$A$3390,K$1,'United Data'!$C$3:$C$3390,$A1526,'United Data'!$B$3:$B$3390,"&lt;&gt;Off-street")&gt;0,1,0)</f>
        <v>0</v>
      </c>
      <c r="L1526">
        <f>IF(COUNTIFS('United Data'!$A$3:$A$3390,L$1,'United Data'!$C$3:$C$3390,$A1526,'United Data'!$B$3:$B$3390,"&lt;&gt;Off-street")&gt;0,1,0)</f>
        <v>0</v>
      </c>
      <c r="M1526">
        <f>IF(COUNTIFS('United Data'!$A$3:$A$3390,M$1,'United Data'!$C$3:$C$3390,$A1526,'United Data'!$B$3:$B$3390,"&lt;&gt;Off-street")&gt;0,1,0)</f>
        <v>0</v>
      </c>
      <c r="N1526">
        <f>IF(COUNTIFS('United Data'!$A$3:$A$3390,N$1,'United Data'!$C$3:$C$3390,$A1526,'United Data'!$B$3:$B$3390,"&lt;&gt;Off-street")&gt;0,1,0)</f>
        <v>0</v>
      </c>
      <c r="O1526">
        <f>IF(COUNTIFS('United Data'!$A$3:$A$3390,O$1,'United Data'!$C$3:$C$3390,$A1526,'United Data'!$B$3:$B$3390,"&lt;&gt;Off-street")&gt;0,1,0)</f>
        <v>0</v>
      </c>
      <c r="P1526">
        <f>IF(COUNTIFS('United Data'!$A$3:$A$3390,P$1,'United Data'!$C$3:$C$3390,$A1526,'United Data'!$B$3:$B$3390,"&lt;&gt;Off-street")&gt;0,1,0)</f>
        <v>0</v>
      </c>
      <c r="Q1526">
        <f>IF(COUNTIFS('United Data'!$A$3:$A$3390,Q$1,'United Data'!$C$3:$C$3390,$A1526,'United Data'!$B$3:$B$3390,"&lt;&gt;Off-street")&gt;0,1,0)</f>
        <v>0</v>
      </c>
      <c r="R1526">
        <f>IF(COUNTIFS('United Data'!$A$3:$A$3390,R$1,'United Data'!$C$3:$C$3390,$A1526,'United Data'!$B$3:$B$3390,"&lt;&gt;Off-street")&gt;0,1,0)</f>
        <v>0</v>
      </c>
      <c r="S1526">
        <f t="shared" si="46"/>
        <v>1</v>
      </c>
      <c r="T1526">
        <f t="shared" si="47"/>
        <v>1</v>
      </c>
    </row>
    <row r="1527" spans="1:20" x14ac:dyDescent="0.2">
      <c r="A1527" t="s">
        <v>1805</v>
      </c>
      <c r="B1527">
        <f>IF(COUNTIFS('United Data'!$A$3:$A$3390,B$1,'United Data'!$C$3:$C$3390,$A1527,'United Data'!$B$3:$B$3390,"&lt;&gt;Off-street")&gt;0,1,0)</f>
        <v>0</v>
      </c>
      <c r="C1527">
        <f>IF(COUNTIFS('United Data'!$A$3:$A$3390,C$1,'United Data'!$C$3:$C$3390,$A1527,'United Data'!$B$3:$B$3390,"&lt;&gt;Off-street")&gt;0,1,0)</f>
        <v>0</v>
      </c>
      <c r="D1527">
        <f>IF(COUNTIFS('United Data'!$A$3:$A$3390,D$1,'United Data'!$C$3:$C$3390,$A1527,'United Data'!$B$3:$B$3390,"&lt;&gt;Off-street")&gt;0,1,0)</f>
        <v>0</v>
      </c>
      <c r="E1527">
        <f>IF(COUNTIFS('United Data'!$A$3:$A$3390,E$1,'United Data'!$C$3:$C$3390,$A1527,'United Data'!$B$3:$B$3390,"&lt;&gt;Off-street")&gt;0,1,0)</f>
        <v>0</v>
      </c>
      <c r="F1527">
        <f>IF(COUNTIFS('United Data'!$A$3:$A$3390,F$1,'United Data'!$C$3:$C$3390,$A1527,'United Data'!$B$3:$B$3390,"&lt;&gt;Off-street")&gt;0,1,0)</f>
        <v>1</v>
      </c>
      <c r="G1527">
        <f>IF(COUNTIFS('United Data'!$A$3:$A$3390,G$1,'United Data'!$C$3:$C$3390,$A1527,'United Data'!$B$3:$B$3390,"&lt;&gt;Off-street")&gt;0,1,0)</f>
        <v>0</v>
      </c>
      <c r="H1527">
        <f>IF(COUNTIFS('United Data'!$A$3:$A$3390,H$1,'United Data'!$C$3:$C$3390,$A1527,'United Data'!$B$3:$B$3390,"&lt;&gt;Off-street")&gt;0,1,0)</f>
        <v>0</v>
      </c>
      <c r="I1527">
        <f>IF(COUNTIFS('United Data'!$A$3:$A$3390,I$1,'United Data'!$C$3:$C$3390,$A1527,'United Data'!$B$3:$B$3390,"&lt;&gt;Off-street")&gt;0,1,0)</f>
        <v>0</v>
      </c>
      <c r="J1527">
        <f>IF(COUNTIFS('United Data'!$A$3:$A$3390,J$1,'United Data'!$C$3:$C$3390,$A1527,'United Data'!$B$3:$B$3390,"&lt;&gt;Off-street")&gt;0,1,0)</f>
        <v>0</v>
      </c>
      <c r="K1527">
        <f>IF(COUNTIFS('United Data'!$A$3:$A$3390,K$1,'United Data'!$C$3:$C$3390,$A1527,'United Data'!$B$3:$B$3390,"&lt;&gt;Off-street")&gt;0,1,0)</f>
        <v>1</v>
      </c>
      <c r="L1527">
        <f>IF(COUNTIFS('United Data'!$A$3:$A$3390,L$1,'United Data'!$C$3:$C$3390,$A1527,'United Data'!$B$3:$B$3390,"&lt;&gt;Off-street")&gt;0,1,0)</f>
        <v>1</v>
      </c>
      <c r="M1527">
        <f>IF(COUNTIFS('United Data'!$A$3:$A$3390,M$1,'United Data'!$C$3:$C$3390,$A1527,'United Data'!$B$3:$B$3390,"&lt;&gt;Off-street")&gt;0,1,0)</f>
        <v>0</v>
      </c>
      <c r="N1527">
        <f>IF(COUNTIFS('United Data'!$A$3:$A$3390,N$1,'United Data'!$C$3:$C$3390,$A1527,'United Data'!$B$3:$B$3390,"&lt;&gt;Off-street")&gt;0,1,0)</f>
        <v>1</v>
      </c>
      <c r="O1527">
        <f>IF(COUNTIFS('United Data'!$A$3:$A$3390,O$1,'United Data'!$C$3:$C$3390,$A1527,'United Data'!$B$3:$B$3390,"&lt;&gt;Off-street")&gt;0,1,0)</f>
        <v>0</v>
      </c>
      <c r="P1527">
        <f>IF(COUNTIFS('United Data'!$A$3:$A$3390,P$1,'United Data'!$C$3:$C$3390,$A1527,'United Data'!$B$3:$B$3390,"&lt;&gt;Off-street")&gt;0,1,0)</f>
        <v>0</v>
      </c>
      <c r="Q1527">
        <f>IF(COUNTIFS('United Data'!$A$3:$A$3390,Q$1,'United Data'!$C$3:$C$3390,$A1527,'United Data'!$B$3:$B$3390,"&lt;&gt;Off-street")&gt;0,1,0)</f>
        <v>0</v>
      </c>
      <c r="R1527">
        <f>IF(COUNTIFS('United Data'!$A$3:$A$3390,R$1,'United Data'!$C$3:$C$3390,$A1527,'United Data'!$B$3:$B$3390,"&lt;&gt;Off-street")&gt;0,1,0)</f>
        <v>0</v>
      </c>
      <c r="S1527">
        <f t="shared" si="46"/>
        <v>4</v>
      </c>
      <c r="T1527">
        <f t="shared" si="47"/>
        <v>3</v>
      </c>
    </row>
    <row r="1528" spans="1:20" x14ac:dyDescent="0.2">
      <c r="A1528" t="s">
        <v>1806</v>
      </c>
      <c r="B1528">
        <f>IF(COUNTIFS('United Data'!$A$3:$A$3390,B$1,'United Data'!$C$3:$C$3390,$A1528,'United Data'!$B$3:$B$3390,"&lt;&gt;Off-street")&gt;0,1,0)</f>
        <v>0</v>
      </c>
      <c r="C1528">
        <f>IF(COUNTIFS('United Data'!$A$3:$A$3390,C$1,'United Data'!$C$3:$C$3390,$A1528,'United Data'!$B$3:$B$3390,"&lt;&gt;Off-street")&gt;0,1,0)</f>
        <v>0</v>
      </c>
      <c r="D1528">
        <f>IF(COUNTIFS('United Data'!$A$3:$A$3390,D$1,'United Data'!$C$3:$C$3390,$A1528,'United Data'!$B$3:$B$3390,"&lt;&gt;Off-street")&gt;0,1,0)</f>
        <v>0</v>
      </c>
      <c r="E1528">
        <f>IF(COUNTIFS('United Data'!$A$3:$A$3390,E$1,'United Data'!$C$3:$C$3390,$A1528,'United Data'!$B$3:$B$3390,"&lt;&gt;Off-street")&gt;0,1,0)</f>
        <v>0</v>
      </c>
      <c r="F1528">
        <f>IF(COUNTIFS('United Data'!$A$3:$A$3390,F$1,'United Data'!$C$3:$C$3390,$A1528,'United Data'!$B$3:$B$3390,"&lt;&gt;Off-street")&gt;0,1,0)</f>
        <v>1</v>
      </c>
      <c r="G1528">
        <f>IF(COUNTIFS('United Data'!$A$3:$A$3390,G$1,'United Data'!$C$3:$C$3390,$A1528,'United Data'!$B$3:$B$3390,"&lt;&gt;Off-street")&gt;0,1,0)</f>
        <v>0</v>
      </c>
      <c r="H1528">
        <f>IF(COUNTIFS('United Data'!$A$3:$A$3390,H$1,'United Data'!$C$3:$C$3390,$A1528,'United Data'!$B$3:$B$3390,"&lt;&gt;Off-street")&gt;0,1,0)</f>
        <v>0</v>
      </c>
      <c r="I1528">
        <f>IF(COUNTIFS('United Data'!$A$3:$A$3390,I$1,'United Data'!$C$3:$C$3390,$A1528,'United Data'!$B$3:$B$3390,"&lt;&gt;Off-street")&gt;0,1,0)</f>
        <v>0</v>
      </c>
      <c r="J1528">
        <f>IF(COUNTIFS('United Data'!$A$3:$A$3390,J$1,'United Data'!$C$3:$C$3390,$A1528,'United Data'!$B$3:$B$3390,"&lt;&gt;Off-street")&gt;0,1,0)</f>
        <v>0</v>
      </c>
      <c r="K1528">
        <f>IF(COUNTIFS('United Data'!$A$3:$A$3390,K$1,'United Data'!$C$3:$C$3390,$A1528,'United Data'!$B$3:$B$3390,"&lt;&gt;Off-street")&gt;0,1,0)</f>
        <v>0</v>
      </c>
      <c r="L1528">
        <f>IF(COUNTIFS('United Data'!$A$3:$A$3390,L$1,'United Data'!$C$3:$C$3390,$A1528,'United Data'!$B$3:$B$3390,"&lt;&gt;Off-street")&gt;0,1,0)</f>
        <v>0</v>
      </c>
      <c r="M1528">
        <f>IF(COUNTIFS('United Data'!$A$3:$A$3390,M$1,'United Data'!$C$3:$C$3390,$A1528,'United Data'!$B$3:$B$3390,"&lt;&gt;Off-street")&gt;0,1,0)</f>
        <v>0</v>
      </c>
      <c r="N1528">
        <f>IF(COUNTIFS('United Data'!$A$3:$A$3390,N$1,'United Data'!$C$3:$C$3390,$A1528,'United Data'!$B$3:$B$3390,"&lt;&gt;Off-street")&gt;0,1,0)</f>
        <v>0</v>
      </c>
      <c r="O1528">
        <f>IF(COUNTIFS('United Data'!$A$3:$A$3390,O$1,'United Data'!$C$3:$C$3390,$A1528,'United Data'!$B$3:$B$3390,"&lt;&gt;Off-street")&gt;0,1,0)</f>
        <v>0</v>
      </c>
      <c r="P1528">
        <f>IF(COUNTIFS('United Data'!$A$3:$A$3390,P$1,'United Data'!$C$3:$C$3390,$A1528,'United Data'!$B$3:$B$3390,"&lt;&gt;Off-street")&gt;0,1,0)</f>
        <v>0</v>
      </c>
      <c r="Q1528">
        <f>IF(COUNTIFS('United Data'!$A$3:$A$3390,Q$1,'United Data'!$C$3:$C$3390,$A1528,'United Data'!$B$3:$B$3390,"&lt;&gt;Off-street")&gt;0,1,0)</f>
        <v>0</v>
      </c>
      <c r="R1528">
        <f>IF(COUNTIFS('United Data'!$A$3:$A$3390,R$1,'United Data'!$C$3:$C$3390,$A1528,'United Data'!$B$3:$B$3390,"&lt;&gt;Off-street")&gt;0,1,0)</f>
        <v>0</v>
      </c>
      <c r="S1528">
        <f t="shared" si="46"/>
        <v>1</v>
      </c>
      <c r="T1528">
        <f t="shared" si="47"/>
        <v>1</v>
      </c>
    </row>
    <row r="1529" spans="1:20" x14ac:dyDescent="0.2">
      <c r="A1529" t="s">
        <v>1807</v>
      </c>
      <c r="B1529">
        <f>IF(COUNTIFS('United Data'!$A$3:$A$3390,B$1,'United Data'!$C$3:$C$3390,$A1529,'United Data'!$B$3:$B$3390,"&lt;&gt;Off-street")&gt;0,1,0)</f>
        <v>0</v>
      </c>
      <c r="C1529">
        <f>IF(COUNTIFS('United Data'!$A$3:$A$3390,C$1,'United Data'!$C$3:$C$3390,$A1529,'United Data'!$B$3:$B$3390,"&lt;&gt;Off-street")&gt;0,1,0)</f>
        <v>0</v>
      </c>
      <c r="D1529">
        <f>IF(COUNTIFS('United Data'!$A$3:$A$3390,D$1,'United Data'!$C$3:$C$3390,$A1529,'United Data'!$B$3:$B$3390,"&lt;&gt;Off-street")&gt;0,1,0)</f>
        <v>0</v>
      </c>
      <c r="E1529">
        <f>IF(COUNTIFS('United Data'!$A$3:$A$3390,E$1,'United Data'!$C$3:$C$3390,$A1529,'United Data'!$B$3:$B$3390,"&lt;&gt;Off-street")&gt;0,1,0)</f>
        <v>0</v>
      </c>
      <c r="F1529">
        <f>IF(COUNTIFS('United Data'!$A$3:$A$3390,F$1,'United Data'!$C$3:$C$3390,$A1529,'United Data'!$B$3:$B$3390,"&lt;&gt;Off-street")&gt;0,1,0)</f>
        <v>1</v>
      </c>
      <c r="G1529">
        <f>IF(COUNTIFS('United Data'!$A$3:$A$3390,G$1,'United Data'!$C$3:$C$3390,$A1529,'United Data'!$B$3:$B$3390,"&lt;&gt;Off-street")&gt;0,1,0)</f>
        <v>1</v>
      </c>
      <c r="H1529">
        <f>IF(COUNTIFS('United Data'!$A$3:$A$3390,H$1,'United Data'!$C$3:$C$3390,$A1529,'United Data'!$B$3:$B$3390,"&lt;&gt;Off-street")&gt;0,1,0)</f>
        <v>0</v>
      </c>
      <c r="I1529">
        <f>IF(COUNTIFS('United Data'!$A$3:$A$3390,I$1,'United Data'!$C$3:$C$3390,$A1529,'United Data'!$B$3:$B$3390,"&lt;&gt;Off-street")&gt;0,1,0)</f>
        <v>0</v>
      </c>
      <c r="J1529">
        <f>IF(COUNTIFS('United Data'!$A$3:$A$3390,J$1,'United Data'!$C$3:$C$3390,$A1529,'United Data'!$B$3:$B$3390,"&lt;&gt;Off-street")&gt;0,1,0)</f>
        <v>0</v>
      </c>
      <c r="K1529">
        <f>IF(COUNTIFS('United Data'!$A$3:$A$3390,K$1,'United Data'!$C$3:$C$3390,$A1529,'United Data'!$B$3:$B$3390,"&lt;&gt;Off-street")&gt;0,1,0)</f>
        <v>0</v>
      </c>
      <c r="L1529">
        <f>IF(COUNTIFS('United Data'!$A$3:$A$3390,L$1,'United Data'!$C$3:$C$3390,$A1529,'United Data'!$B$3:$B$3390,"&lt;&gt;Off-street")&gt;0,1,0)</f>
        <v>0</v>
      </c>
      <c r="M1529">
        <f>IF(COUNTIFS('United Data'!$A$3:$A$3390,M$1,'United Data'!$C$3:$C$3390,$A1529,'United Data'!$B$3:$B$3390,"&lt;&gt;Off-street")&gt;0,1,0)</f>
        <v>0</v>
      </c>
      <c r="N1529">
        <f>IF(COUNTIFS('United Data'!$A$3:$A$3390,N$1,'United Data'!$C$3:$C$3390,$A1529,'United Data'!$B$3:$B$3390,"&lt;&gt;Off-street")&gt;0,1,0)</f>
        <v>0</v>
      </c>
      <c r="O1529">
        <f>IF(COUNTIFS('United Data'!$A$3:$A$3390,O$1,'United Data'!$C$3:$C$3390,$A1529,'United Data'!$B$3:$B$3390,"&lt;&gt;Off-street")&gt;0,1,0)</f>
        <v>0</v>
      </c>
      <c r="P1529">
        <f>IF(COUNTIFS('United Data'!$A$3:$A$3390,P$1,'United Data'!$C$3:$C$3390,$A1529,'United Data'!$B$3:$B$3390,"&lt;&gt;Off-street")&gt;0,1,0)</f>
        <v>0</v>
      </c>
      <c r="Q1529">
        <f>IF(COUNTIFS('United Data'!$A$3:$A$3390,Q$1,'United Data'!$C$3:$C$3390,$A1529,'United Data'!$B$3:$B$3390,"&lt;&gt;Off-street")&gt;0,1,0)</f>
        <v>0</v>
      </c>
      <c r="R1529">
        <f>IF(COUNTIFS('United Data'!$A$3:$A$3390,R$1,'United Data'!$C$3:$C$3390,$A1529,'United Data'!$B$3:$B$3390,"&lt;&gt;Off-street")&gt;0,1,0)</f>
        <v>0</v>
      </c>
      <c r="S1529">
        <f t="shared" si="46"/>
        <v>2</v>
      </c>
      <c r="T1529">
        <f t="shared" si="47"/>
        <v>1</v>
      </c>
    </row>
    <row r="1530" spans="1:20" x14ac:dyDescent="0.2">
      <c r="A1530" t="s">
        <v>1808</v>
      </c>
      <c r="B1530">
        <f>IF(COUNTIFS('United Data'!$A$3:$A$3390,B$1,'United Data'!$C$3:$C$3390,$A1530,'United Data'!$B$3:$B$3390,"&lt;&gt;Off-street")&gt;0,1,0)</f>
        <v>0</v>
      </c>
      <c r="C1530">
        <f>IF(COUNTIFS('United Data'!$A$3:$A$3390,C$1,'United Data'!$C$3:$C$3390,$A1530,'United Data'!$B$3:$B$3390,"&lt;&gt;Off-street")&gt;0,1,0)</f>
        <v>0</v>
      </c>
      <c r="D1530">
        <f>IF(COUNTIFS('United Data'!$A$3:$A$3390,D$1,'United Data'!$C$3:$C$3390,$A1530,'United Data'!$B$3:$B$3390,"&lt;&gt;Off-street")&gt;0,1,0)</f>
        <v>0</v>
      </c>
      <c r="E1530">
        <f>IF(COUNTIFS('United Data'!$A$3:$A$3390,E$1,'United Data'!$C$3:$C$3390,$A1530,'United Data'!$B$3:$B$3390,"&lt;&gt;Off-street")&gt;0,1,0)</f>
        <v>0</v>
      </c>
      <c r="F1530">
        <f>IF(COUNTIFS('United Data'!$A$3:$A$3390,F$1,'United Data'!$C$3:$C$3390,$A1530,'United Data'!$B$3:$B$3390,"&lt;&gt;Off-street")&gt;0,1,0)</f>
        <v>1</v>
      </c>
      <c r="G1530">
        <f>IF(COUNTIFS('United Data'!$A$3:$A$3390,G$1,'United Data'!$C$3:$C$3390,$A1530,'United Data'!$B$3:$B$3390,"&lt;&gt;Off-street")&gt;0,1,0)</f>
        <v>0</v>
      </c>
      <c r="H1530">
        <f>IF(COUNTIFS('United Data'!$A$3:$A$3390,H$1,'United Data'!$C$3:$C$3390,$A1530,'United Data'!$B$3:$B$3390,"&lt;&gt;Off-street")&gt;0,1,0)</f>
        <v>0</v>
      </c>
      <c r="I1530">
        <f>IF(COUNTIFS('United Data'!$A$3:$A$3390,I$1,'United Data'!$C$3:$C$3390,$A1530,'United Data'!$B$3:$B$3390,"&lt;&gt;Off-street")&gt;0,1,0)</f>
        <v>0</v>
      </c>
      <c r="J1530">
        <f>IF(COUNTIFS('United Data'!$A$3:$A$3390,J$1,'United Data'!$C$3:$C$3390,$A1530,'United Data'!$B$3:$B$3390,"&lt;&gt;Off-street")&gt;0,1,0)</f>
        <v>0</v>
      </c>
      <c r="K1530">
        <f>IF(COUNTIFS('United Data'!$A$3:$A$3390,K$1,'United Data'!$C$3:$C$3390,$A1530,'United Data'!$B$3:$B$3390,"&lt;&gt;Off-street")&gt;0,1,0)</f>
        <v>0</v>
      </c>
      <c r="L1530">
        <f>IF(COUNTIFS('United Data'!$A$3:$A$3390,L$1,'United Data'!$C$3:$C$3390,$A1530,'United Data'!$B$3:$B$3390,"&lt;&gt;Off-street")&gt;0,1,0)</f>
        <v>0</v>
      </c>
      <c r="M1530">
        <f>IF(COUNTIFS('United Data'!$A$3:$A$3390,M$1,'United Data'!$C$3:$C$3390,$A1530,'United Data'!$B$3:$B$3390,"&lt;&gt;Off-street")&gt;0,1,0)</f>
        <v>0</v>
      </c>
      <c r="N1530">
        <f>IF(COUNTIFS('United Data'!$A$3:$A$3390,N$1,'United Data'!$C$3:$C$3390,$A1530,'United Data'!$B$3:$B$3390,"&lt;&gt;Off-street")&gt;0,1,0)</f>
        <v>0</v>
      </c>
      <c r="O1530">
        <f>IF(COUNTIFS('United Data'!$A$3:$A$3390,O$1,'United Data'!$C$3:$C$3390,$A1530,'United Data'!$B$3:$B$3390,"&lt;&gt;Off-street")&gt;0,1,0)</f>
        <v>0</v>
      </c>
      <c r="P1530">
        <f>IF(COUNTIFS('United Data'!$A$3:$A$3390,P$1,'United Data'!$C$3:$C$3390,$A1530,'United Data'!$B$3:$B$3390,"&lt;&gt;Off-street")&gt;0,1,0)</f>
        <v>0</v>
      </c>
      <c r="Q1530">
        <f>IF(COUNTIFS('United Data'!$A$3:$A$3390,Q$1,'United Data'!$C$3:$C$3390,$A1530,'United Data'!$B$3:$B$3390,"&lt;&gt;Off-street")&gt;0,1,0)</f>
        <v>0</v>
      </c>
      <c r="R1530">
        <f>IF(COUNTIFS('United Data'!$A$3:$A$3390,R$1,'United Data'!$C$3:$C$3390,$A1530,'United Data'!$B$3:$B$3390,"&lt;&gt;Off-street")&gt;0,1,0)</f>
        <v>0</v>
      </c>
      <c r="S1530">
        <f t="shared" si="46"/>
        <v>1</v>
      </c>
      <c r="T1530">
        <f t="shared" si="47"/>
        <v>1</v>
      </c>
    </row>
    <row r="1531" spans="1:20" x14ac:dyDescent="0.2">
      <c r="A1531" t="s">
        <v>1809</v>
      </c>
      <c r="B1531">
        <f>IF(COUNTIFS('United Data'!$A$3:$A$3390,B$1,'United Data'!$C$3:$C$3390,$A1531,'United Data'!$B$3:$B$3390,"&lt;&gt;Off-street")&gt;0,1,0)</f>
        <v>0</v>
      </c>
      <c r="C1531">
        <f>IF(COUNTIFS('United Data'!$A$3:$A$3390,C$1,'United Data'!$C$3:$C$3390,$A1531,'United Data'!$B$3:$B$3390,"&lt;&gt;Off-street")&gt;0,1,0)</f>
        <v>0</v>
      </c>
      <c r="D1531">
        <f>IF(COUNTIFS('United Data'!$A$3:$A$3390,D$1,'United Data'!$C$3:$C$3390,$A1531,'United Data'!$B$3:$B$3390,"&lt;&gt;Off-street")&gt;0,1,0)</f>
        <v>0</v>
      </c>
      <c r="E1531">
        <f>IF(COUNTIFS('United Data'!$A$3:$A$3390,E$1,'United Data'!$C$3:$C$3390,$A1531,'United Data'!$B$3:$B$3390,"&lt;&gt;Off-street")&gt;0,1,0)</f>
        <v>0</v>
      </c>
      <c r="F1531">
        <f>IF(COUNTIFS('United Data'!$A$3:$A$3390,F$1,'United Data'!$C$3:$C$3390,$A1531,'United Data'!$B$3:$B$3390,"&lt;&gt;Off-street")&gt;0,1,0)</f>
        <v>1</v>
      </c>
      <c r="G1531">
        <f>IF(COUNTIFS('United Data'!$A$3:$A$3390,G$1,'United Data'!$C$3:$C$3390,$A1531,'United Data'!$B$3:$B$3390,"&lt;&gt;Off-street")&gt;0,1,0)</f>
        <v>0</v>
      </c>
      <c r="H1531">
        <f>IF(COUNTIFS('United Data'!$A$3:$A$3390,H$1,'United Data'!$C$3:$C$3390,$A1531,'United Data'!$B$3:$B$3390,"&lt;&gt;Off-street")&gt;0,1,0)</f>
        <v>0</v>
      </c>
      <c r="I1531">
        <f>IF(COUNTIFS('United Data'!$A$3:$A$3390,I$1,'United Data'!$C$3:$C$3390,$A1531,'United Data'!$B$3:$B$3390,"&lt;&gt;Off-street")&gt;0,1,0)</f>
        <v>0</v>
      </c>
      <c r="J1531">
        <f>IF(COUNTIFS('United Data'!$A$3:$A$3390,J$1,'United Data'!$C$3:$C$3390,$A1531,'United Data'!$B$3:$B$3390,"&lt;&gt;Off-street")&gt;0,1,0)</f>
        <v>0</v>
      </c>
      <c r="K1531">
        <f>IF(COUNTIFS('United Data'!$A$3:$A$3390,K$1,'United Data'!$C$3:$C$3390,$A1531,'United Data'!$B$3:$B$3390,"&lt;&gt;Off-street")&gt;0,1,0)</f>
        <v>0</v>
      </c>
      <c r="L1531">
        <f>IF(COUNTIFS('United Data'!$A$3:$A$3390,L$1,'United Data'!$C$3:$C$3390,$A1531,'United Data'!$B$3:$B$3390,"&lt;&gt;Off-street")&gt;0,1,0)</f>
        <v>0</v>
      </c>
      <c r="M1531">
        <f>IF(COUNTIFS('United Data'!$A$3:$A$3390,M$1,'United Data'!$C$3:$C$3390,$A1531,'United Data'!$B$3:$B$3390,"&lt;&gt;Off-street")&gt;0,1,0)</f>
        <v>0</v>
      </c>
      <c r="N1531">
        <f>IF(COUNTIFS('United Data'!$A$3:$A$3390,N$1,'United Data'!$C$3:$C$3390,$A1531,'United Data'!$B$3:$B$3390,"&lt;&gt;Off-street")&gt;0,1,0)</f>
        <v>0</v>
      </c>
      <c r="O1531">
        <f>IF(COUNTIFS('United Data'!$A$3:$A$3390,O$1,'United Data'!$C$3:$C$3390,$A1531,'United Data'!$B$3:$B$3390,"&lt;&gt;Off-street")&gt;0,1,0)</f>
        <v>0</v>
      </c>
      <c r="P1531">
        <f>IF(COUNTIFS('United Data'!$A$3:$A$3390,P$1,'United Data'!$C$3:$C$3390,$A1531,'United Data'!$B$3:$B$3390,"&lt;&gt;Off-street")&gt;0,1,0)</f>
        <v>0</v>
      </c>
      <c r="Q1531">
        <f>IF(COUNTIFS('United Data'!$A$3:$A$3390,Q$1,'United Data'!$C$3:$C$3390,$A1531,'United Data'!$B$3:$B$3390,"&lt;&gt;Off-street")&gt;0,1,0)</f>
        <v>0</v>
      </c>
      <c r="R1531">
        <f>IF(COUNTIFS('United Data'!$A$3:$A$3390,R$1,'United Data'!$C$3:$C$3390,$A1531,'United Data'!$B$3:$B$3390,"&lt;&gt;Off-street")&gt;0,1,0)</f>
        <v>0</v>
      </c>
      <c r="S1531">
        <f t="shared" si="46"/>
        <v>1</v>
      </c>
      <c r="T1531">
        <f t="shared" si="47"/>
        <v>1</v>
      </c>
    </row>
    <row r="1532" spans="1:20" x14ac:dyDescent="0.2">
      <c r="A1532" t="s">
        <v>1810</v>
      </c>
      <c r="B1532">
        <f>IF(COUNTIFS('United Data'!$A$3:$A$3390,B$1,'United Data'!$C$3:$C$3390,$A1532,'United Data'!$B$3:$B$3390,"&lt;&gt;Off-street")&gt;0,1,0)</f>
        <v>0</v>
      </c>
      <c r="C1532">
        <f>IF(COUNTIFS('United Data'!$A$3:$A$3390,C$1,'United Data'!$C$3:$C$3390,$A1532,'United Data'!$B$3:$B$3390,"&lt;&gt;Off-street")&gt;0,1,0)</f>
        <v>0</v>
      </c>
      <c r="D1532">
        <f>IF(COUNTIFS('United Data'!$A$3:$A$3390,D$1,'United Data'!$C$3:$C$3390,$A1532,'United Data'!$B$3:$B$3390,"&lt;&gt;Off-street")&gt;0,1,0)</f>
        <v>0</v>
      </c>
      <c r="E1532">
        <f>IF(COUNTIFS('United Data'!$A$3:$A$3390,E$1,'United Data'!$C$3:$C$3390,$A1532,'United Data'!$B$3:$B$3390,"&lt;&gt;Off-street")&gt;0,1,0)</f>
        <v>0</v>
      </c>
      <c r="F1532">
        <f>IF(COUNTIFS('United Data'!$A$3:$A$3390,F$1,'United Data'!$C$3:$C$3390,$A1532,'United Data'!$B$3:$B$3390,"&lt;&gt;Off-street")&gt;0,1,0)</f>
        <v>1</v>
      </c>
      <c r="G1532">
        <f>IF(COUNTIFS('United Data'!$A$3:$A$3390,G$1,'United Data'!$C$3:$C$3390,$A1532,'United Data'!$B$3:$B$3390,"&lt;&gt;Off-street")&gt;0,1,0)</f>
        <v>1</v>
      </c>
      <c r="H1532">
        <f>IF(COUNTIFS('United Data'!$A$3:$A$3390,H$1,'United Data'!$C$3:$C$3390,$A1532,'United Data'!$B$3:$B$3390,"&lt;&gt;Off-street")&gt;0,1,0)</f>
        <v>0</v>
      </c>
      <c r="I1532">
        <f>IF(COUNTIFS('United Data'!$A$3:$A$3390,I$1,'United Data'!$C$3:$C$3390,$A1532,'United Data'!$B$3:$B$3390,"&lt;&gt;Off-street")&gt;0,1,0)</f>
        <v>0</v>
      </c>
      <c r="J1532">
        <f>IF(COUNTIFS('United Data'!$A$3:$A$3390,J$1,'United Data'!$C$3:$C$3390,$A1532,'United Data'!$B$3:$B$3390,"&lt;&gt;Off-street")&gt;0,1,0)</f>
        <v>0</v>
      </c>
      <c r="K1532">
        <f>IF(COUNTIFS('United Data'!$A$3:$A$3390,K$1,'United Data'!$C$3:$C$3390,$A1532,'United Data'!$B$3:$B$3390,"&lt;&gt;Off-street")&gt;0,1,0)</f>
        <v>0</v>
      </c>
      <c r="L1532">
        <f>IF(COUNTIFS('United Data'!$A$3:$A$3390,L$1,'United Data'!$C$3:$C$3390,$A1532,'United Data'!$B$3:$B$3390,"&lt;&gt;Off-street")&gt;0,1,0)</f>
        <v>0</v>
      </c>
      <c r="M1532">
        <f>IF(COUNTIFS('United Data'!$A$3:$A$3390,M$1,'United Data'!$C$3:$C$3390,$A1532,'United Data'!$B$3:$B$3390,"&lt;&gt;Off-street")&gt;0,1,0)</f>
        <v>0</v>
      </c>
      <c r="N1532">
        <f>IF(COUNTIFS('United Data'!$A$3:$A$3390,N$1,'United Data'!$C$3:$C$3390,$A1532,'United Data'!$B$3:$B$3390,"&lt;&gt;Off-street")&gt;0,1,0)</f>
        <v>0</v>
      </c>
      <c r="O1532">
        <f>IF(COUNTIFS('United Data'!$A$3:$A$3390,O$1,'United Data'!$C$3:$C$3390,$A1532,'United Data'!$B$3:$B$3390,"&lt;&gt;Off-street")&gt;0,1,0)</f>
        <v>0</v>
      </c>
      <c r="P1532">
        <f>IF(COUNTIFS('United Data'!$A$3:$A$3390,P$1,'United Data'!$C$3:$C$3390,$A1532,'United Data'!$B$3:$B$3390,"&lt;&gt;Off-street")&gt;0,1,0)</f>
        <v>0</v>
      </c>
      <c r="Q1532">
        <f>IF(COUNTIFS('United Data'!$A$3:$A$3390,Q$1,'United Data'!$C$3:$C$3390,$A1532,'United Data'!$B$3:$B$3390,"&lt;&gt;Off-street")&gt;0,1,0)</f>
        <v>0</v>
      </c>
      <c r="R1532">
        <f>IF(COUNTIFS('United Data'!$A$3:$A$3390,R$1,'United Data'!$C$3:$C$3390,$A1532,'United Data'!$B$3:$B$3390,"&lt;&gt;Off-street")&gt;0,1,0)</f>
        <v>0</v>
      </c>
      <c r="S1532">
        <f t="shared" si="46"/>
        <v>2</v>
      </c>
      <c r="T1532">
        <f t="shared" si="47"/>
        <v>1</v>
      </c>
    </row>
    <row r="1533" spans="1:20" x14ac:dyDescent="0.2">
      <c r="A1533" t="s">
        <v>1811</v>
      </c>
      <c r="B1533">
        <f>IF(COUNTIFS('United Data'!$A$3:$A$3390,B$1,'United Data'!$C$3:$C$3390,$A1533,'United Data'!$B$3:$B$3390,"&lt;&gt;Off-street")&gt;0,1,0)</f>
        <v>0</v>
      </c>
      <c r="C1533">
        <f>IF(COUNTIFS('United Data'!$A$3:$A$3390,C$1,'United Data'!$C$3:$C$3390,$A1533,'United Data'!$B$3:$B$3390,"&lt;&gt;Off-street")&gt;0,1,0)</f>
        <v>0</v>
      </c>
      <c r="D1533">
        <f>IF(COUNTIFS('United Data'!$A$3:$A$3390,D$1,'United Data'!$C$3:$C$3390,$A1533,'United Data'!$B$3:$B$3390,"&lt;&gt;Off-street")&gt;0,1,0)</f>
        <v>0</v>
      </c>
      <c r="E1533">
        <f>IF(COUNTIFS('United Data'!$A$3:$A$3390,E$1,'United Data'!$C$3:$C$3390,$A1533,'United Data'!$B$3:$B$3390,"&lt;&gt;Off-street")&gt;0,1,0)</f>
        <v>0</v>
      </c>
      <c r="F1533">
        <f>IF(COUNTIFS('United Data'!$A$3:$A$3390,F$1,'United Data'!$C$3:$C$3390,$A1533,'United Data'!$B$3:$B$3390,"&lt;&gt;Off-street")&gt;0,1,0)</f>
        <v>1</v>
      </c>
      <c r="G1533">
        <f>IF(COUNTIFS('United Data'!$A$3:$A$3390,G$1,'United Data'!$C$3:$C$3390,$A1533,'United Data'!$B$3:$B$3390,"&lt;&gt;Off-street")&gt;0,1,0)</f>
        <v>0</v>
      </c>
      <c r="H1533">
        <f>IF(COUNTIFS('United Data'!$A$3:$A$3390,H$1,'United Data'!$C$3:$C$3390,$A1533,'United Data'!$B$3:$B$3390,"&lt;&gt;Off-street")&gt;0,1,0)</f>
        <v>0</v>
      </c>
      <c r="I1533">
        <f>IF(COUNTIFS('United Data'!$A$3:$A$3390,I$1,'United Data'!$C$3:$C$3390,$A1533,'United Data'!$B$3:$B$3390,"&lt;&gt;Off-street")&gt;0,1,0)</f>
        <v>0</v>
      </c>
      <c r="J1533">
        <f>IF(COUNTIFS('United Data'!$A$3:$A$3390,J$1,'United Data'!$C$3:$C$3390,$A1533,'United Data'!$B$3:$B$3390,"&lt;&gt;Off-street")&gt;0,1,0)</f>
        <v>0</v>
      </c>
      <c r="K1533">
        <f>IF(COUNTIFS('United Data'!$A$3:$A$3390,K$1,'United Data'!$C$3:$C$3390,$A1533,'United Data'!$B$3:$B$3390,"&lt;&gt;Off-street")&gt;0,1,0)</f>
        <v>0</v>
      </c>
      <c r="L1533">
        <f>IF(COUNTIFS('United Data'!$A$3:$A$3390,L$1,'United Data'!$C$3:$C$3390,$A1533,'United Data'!$B$3:$B$3390,"&lt;&gt;Off-street")&gt;0,1,0)</f>
        <v>0</v>
      </c>
      <c r="M1533">
        <f>IF(COUNTIFS('United Data'!$A$3:$A$3390,M$1,'United Data'!$C$3:$C$3390,$A1533,'United Data'!$B$3:$B$3390,"&lt;&gt;Off-street")&gt;0,1,0)</f>
        <v>0</v>
      </c>
      <c r="N1533">
        <f>IF(COUNTIFS('United Data'!$A$3:$A$3390,N$1,'United Data'!$C$3:$C$3390,$A1533,'United Data'!$B$3:$B$3390,"&lt;&gt;Off-street")&gt;0,1,0)</f>
        <v>0</v>
      </c>
      <c r="O1533">
        <f>IF(COUNTIFS('United Data'!$A$3:$A$3390,O$1,'United Data'!$C$3:$C$3390,$A1533,'United Data'!$B$3:$B$3390,"&lt;&gt;Off-street")&gt;0,1,0)</f>
        <v>0</v>
      </c>
      <c r="P1533">
        <f>IF(COUNTIFS('United Data'!$A$3:$A$3390,P$1,'United Data'!$C$3:$C$3390,$A1533,'United Data'!$B$3:$B$3390,"&lt;&gt;Off-street")&gt;0,1,0)</f>
        <v>0</v>
      </c>
      <c r="Q1533">
        <f>IF(COUNTIFS('United Data'!$A$3:$A$3390,Q$1,'United Data'!$C$3:$C$3390,$A1533,'United Data'!$B$3:$B$3390,"&lt;&gt;Off-street")&gt;0,1,0)</f>
        <v>0</v>
      </c>
      <c r="R1533">
        <f>IF(COUNTIFS('United Data'!$A$3:$A$3390,R$1,'United Data'!$C$3:$C$3390,$A1533,'United Data'!$B$3:$B$3390,"&lt;&gt;Off-street")&gt;0,1,0)</f>
        <v>0</v>
      </c>
      <c r="S1533">
        <f t="shared" si="46"/>
        <v>1</v>
      </c>
      <c r="T1533">
        <f t="shared" si="47"/>
        <v>1</v>
      </c>
    </row>
    <row r="1534" spans="1:20" x14ac:dyDescent="0.2">
      <c r="A1534" t="s">
        <v>1812</v>
      </c>
      <c r="B1534">
        <f>IF(COUNTIFS('United Data'!$A$3:$A$3390,B$1,'United Data'!$C$3:$C$3390,$A1534,'United Data'!$B$3:$B$3390,"&lt;&gt;Off-street")&gt;0,1,0)</f>
        <v>0</v>
      </c>
      <c r="C1534">
        <f>IF(COUNTIFS('United Data'!$A$3:$A$3390,C$1,'United Data'!$C$3:$C$3390,$A1534,'United Data'!$B$3:$B$3390,"&lt;&gt;Off-street")&gt;0,1,0)</f>
        <v>0</v>
      </c>
      <c r="D1534">
        <f>IF(COUNTIFS('United Data'!$A$3:$A$3390,D$1,'United Data'!$C$3:$C$3390,$A1534,'United Data'!$B$3:$B$3390,"&lt;&gt;Off-street")&gt;0,1,0)</f>
        <v>0</v>
      </c>
      <c r="E1534">
        <f>IF(COUNTIFS('United Data'!$A$3:$A$3390,E$1,'United Data'!$C$3:$C$3390,$A1534,'United Data'!$B$3:$B$3390,"&lt;&gt;Off-street")&gt;0,1,0)</f>
        <v>0</v>
      </c>
      <c r="F1534">
        <f>IF(COUNTIFS('United Data'!$A$3:$A$3390,F$1,'United Data'!$C$3:$C$3390,$A1534,'United Data'!$B$3:$B$3390,"&lt;&gt;Off-street")&gt;0,1,0)</f>
        <v>1</v>
      </c>
      <c r="G1534">
        <f>IF(COUNTIFS('United Data'!$A$3:$A$3390,G$1,'United Data'!$C$3:$C$3390,$A1534,'United Data'!$B$3:$B$3390,"&lt;&gt;Off-street")&gt;0,1,0)</f>
        <v>1</v>
      </c>
      <c r="H1534">
        <f>IF(COUNTIFS('United Data'!$A$3:$A$3390,H$1,'United Data'!$C$3:$C$3390,$A1534,'United Data'!$B$3:$B$3390,"&lt;&gt;Off-street")&gt;0,1,0)</f>
        <v>0</v>
      </c>
      <c r="I1534">
        <f>IF(COUNTIFS('United Data'!$A$3:$A$3390,I$1,'United Data'!$C$3:$C$3390,$A1534,'United Data'!$B$3:$B$3390,"&lt;&gt;Off-street")&gt;0,1,0)</f>
        <v>0</v>
      </c>
      <c r="J1534">
        <f>IF(COUNTIFS('United Data'!$A$3:$A$3390,J$1,'United Data'!$C$3:$C$3390,$A1534,'United Data'!$B$3:$B$3390,"&lt;&gt;Off-street")&gt;0,1,0)</f>
        <v>0</v>
      </c>
      <c r="K1534">
        <f>IF(COUNTIFS('United Data'!$A$3:$A$3390,K$1,'United Data'!$C$3:$C$3390,$A1534,'United Data'!$B$3:$B$3390,"&lt;&gt;Off-street")&gt;0,1,0)</f>
        <v>0</v>
      </c>
      <c r="L1534">
        <f>IF(COUNTIFS('United Data'!$A$3:$A$3390,L$1,'United Data'!$C$3:$C$3390,$A1534,'United Data'!$B$3:$B$3390,"&lt;&gt;Off-street")&gt;0,1,0)</f>
        <v>0</v>
      </c>
      <c r="M1534">
        <f>IF(COUNTIFS('United Data'!$A$3:$A$3390,M$1,'United Data'!$C$3:$C$3390,$A1534,'United Data'!$B$3:$B$3390,"&lt;&gt;Off-street")&gt;0,1,0)</f>
        <v>0</v>
      </c>
      <c r="N1534">
        <f>IF(COUNTIFS('United Data'!$A$3:$A$3390,N$1,'United Data'!$C$3:$C$3390,$A1534,'United Data'!$B$3:$B$3390,"&lt;&gt;Off-street")&gt;0,1,0)</f>
        <v>0</v>
      </c>
      <c r="O1534">
        <f>IF(COUNTIFS('United Data'!$A$3:$A$3390,O$1,'United Data'!$C$3:$C$3390,$A1534,'United Data'!$B$3:$B$3390,"&lt;&gt;Off-street")&gt;0,1,0)</f>
        <v>0</v>
      </c>
      <c r="P1534">
        <f>IF(COUNTIFS('United Data'!$A$3:$A$3390,P$1,'United Data'!$C$3:$C$3390,$A1534,'United Data'!$B$3:$B$3390,"&lt;&gt;Off-street")&gt;0,1,0)</f>
        <v>0</v>
      </c>
      <c r="Q1534">
        <f>IF(COUNTIFS('United Data'!$A$3:$A$3390,Q$1,'United Data'!$C$3:$C$3390,$A1534,'United Data'!$B$3:$B$3390,"&lt;&gt;Off-street")&gt;0,1,0)</f>
        <v>0</v>
      </c>
      <c r="R1534">
        <f>IF(COUNTIFS('United Data'!$A$3:$A$3390,R$1,'United Data'!$C$3:$C$3390,$A1534,'United Data'!$B$3:$B$3390,"&lt;&gt;Off-street")&gt;0,1,0)</f>
        <v>0</v>
      </c>
      <c r="S1534">
        <f t="shared" si="46"/>
        <v>2</v>
      </c>
      <c r="T1534">
        <f t="shared" si="47"/>
        <v>1</v>
      </c>
    </row>
    <row r="1535" spans="1:20" x14ac:dyDescent="0.2">
      <c r="A1535" t="s">
        <v>1813</v>
      </c>
      <c r="B1535">
        <f>IF(COUNTIFS('United Data'!$A$3:$A$3390,B$1,'United Data'!$C$3:$C$3390,$A1535,'United Data'!$B$3:$B$3390,"&lt;&gt;Off-street")&gt;0,1,0)</f>
        <v>0</v>
      </c>
      <c r="C1535">
        <f>IF(COUNTIFS('United Data'!$A$3:$A$3390,C$1,'United Data'!$C$3:$C$3390,$A1535,'United Data'!$B$3:$B$3390,"&lt;&gt;Off-street")&gt;0,1,0)</f>
        <v>0</v>
      </c>
      <c r="D1535">
        <f>IF(COUNTIFS('United Data'!$A$3:$A$3390,D$1,'United Data'!$C$3:$C$3390,$A1535,'United Data'!$B$3:$B$3390,"&lt;&gt;Off-street")&gt;0,1,0)</f>
        <v>0</v>
      </c>
      <c r="E1535">
        <f>IF(COUNTIFS('United Data'!$A$3:$A$3390,E$1,'United Data'!$C$3:$C$3390,$A1535,'United Data'!$B$3:$B$3390,"&lt;&gt;Off-street")&gt;0,1,0)</f>
        <v>0</v>
      </c>
      <c r="F1535">
        <f>IF(COUNTIFS('United Data'!$A$3:$A$3390,F$1,'United Data'!$C$3:$C$3390,$A1535,'United Data'!$B$3:$B$3390,"&lt;&gt;Off-street")&gt;0,1,0)</f>
        <v>1</v>
      </c>
      <c r="G1535">
        <f>IF(COUNTIFS('United Data'!$A$3:$A$3390,G$1,'United Data'!$C$3:$C$3390,$A1535,'United Data'!$B$3:$B$3390,"&lt;&gt;Off-street")&gt;0,1,0)</f>
        <v>0</v>
      </c>
      <c r="H1535">
        <f>IF(COUNTIFS('United Data'!$A$3:$A$3390,H$1,'United Data'!$C$3:$C$3390,$A1535,'United Data'!$B$3:$B$3390,"&lt;&gt;Off-street")&gt;0,1,0)</f>
        <v>0</v>
      </c>
      <c r="I1535">
        <f>IF(COUNTIFS('United Data'!$A$3:$A$3390,I$1,'United Data'!$C$3:$C$3390,$A1535,'United Data'!$B$3:$B$3390,"&lt;&gt;Off-street")&gt;0,1,0)</f>
        <v>0</v>
      </c>
      <c r="J1535">
        <f>IF(COUNTIFS('United Data'!$A$3:$A$3390,J$1,'United Data'!$C$3:$C$3390,$A1535,'United Data'!$B$3:$B$3390,"&lt;&gt;Off-street")&gt;0,1,0)</f>
        <v>0</v>
      </c>
      <c r="K1535">
        <f>IF(COUNTIFS('United Data'!$A$3:$A$3390,K$1,'United Data'!$C$3:$C$3390,$A1535,'United Data'!$B$3:$B$3390,"&lt;&gt;Off-street")&gt;0,1,0)</f>
        <v>0</v>
      </c>
      <c r="L1535">
        <f>IF(COUNTIFS('United Data'!$A$3:$A$3390,L$1,'United Data'!$C$3:$C$3390,$A1535,'United Data'!$B$3:$B$3390,"&lt;&gt;Off-street")&gt;0,1,0)</f>
        <v>0</v>
      </c>
      <c r="M1535">
        <f>IF(COUNTIFS('United Data'!$A$3:$A$3390,M$1,'United Data'!$C$3:$C$3390,$A1535,'United Data'!$B$3:$B$3390,"&lt;&gt;Off-street")&gt;0,1,0)</f>
        <v>0</v>
      </c>
      <c r="N1535">
        <f>IF(COUNTIFS('United Data'!$A$3:$A$3390,N$1,'United Data'!$C$3:$C$3390,$A1535,'United Data'!$B$3:$B$3390,"&lt;&gt;Off-street")&gt;0,1,0)</f>
        <v>0</v>
      </c>
      <c r="O1535">
        <f>IF(COUNTIFS('United Data'!$A$3:$A$3390,O$1,'United Data'!$C$3:$C$3390,$A1535,'United Data'!$B$3:$B$3390,"&lt;&gt;Off-street")&gt;0,1,0)</f>
        <v>0</v>
      </c>
      <c r="P1535">
        <f>IF(COUNTIFS('United Data'!$A$3:$A$3390,P$1,'United Data'!$C$3:$C$3390,$A1535,'United Data'!$B$3:$B$3390,"&lt;&gt;Off-street")&gt;0,1,0)</f>
        <v>0</v>
      </c>
      <c r="Q1535">
        <f>IF(COUNTIFS('United Data'!$A$3:$A$3390,Q$1,'United Data'!$C$3:$C$3390,$A1535,'United Data'!$B$3:$B$3390,"&lt;&gt;Off-street")&gt;0,1,0)</f>
        <v>0</v>
      </c>
      <c r="R1535">
        <f>IF(COUNTIFS('United Data'!$A$3:$A$3390,R$1,'United Data'!$C$3:$C$3390,$A1535,'United Data'!$B$3:$B$3390,"&lt;&gt;Off-street")&gt;0,1,0)</f>
        <v>0</v>
      </c>
      <c r="S1535">
        <f t="shared" si="46"/>
        <v>1</v>
      </c>
      <c r="T1535">
        <f t="shared" si="47"/>
        <v>1</v>
      </c>
    </row>
    <row r="1536" spans="1:20" x14ac:dyDescent="0.2">
      <c r="A1536" t="s">
        <v>1814</v>
      </c>
      <c r="B1536">
        <f>IF(COUNTIFS('United Data'!$A$3:$A$3390,B$1,'United Data'!$C$3:$C$3390,$A1536,'United Data'!$B$3:$B$3390,"&lt;&gt;Off-street")&gt;0,1,0)</f>
        <v>0</v>
      </c>
      <c r="C1536">
        <f>IF(COUNTIFS('United Data'!$A$3:$A$3390,C$1,'United Data'!$C$3:$C$3390,$A1536,'United Data'!$B$3:$B$3390,"&lt;&gt;Off-street")&gt;0,1,0)</f>
        <v>0</v>
      </c>
      <c r="D1536">
        <f>IF(COUNTIFS('United Data'!$A$3:$A$3390,D$1,'United Data'!$C$3:$C$3390,$A1536,'United Data'!$B$3:$B$3390,"&lt;&gt;Off-street")&gt;0,1,0)</f>
        <v>0</v>
      </c>
      <c r="E1536">
        <f>IF(COUNTIFS('United Data'!$A$3:$A$3390,E$1,'United Data'!$C$3:$C$3390,$A1536,'United Data'!$B$3:$B$3390,"&lt;&gt;Off-street")&gt;0,1,0)</f>
        <v>0</v>
      </c>
      <c r="F1536">
        <f>IF(COUNTIFS('United Data'!$A$3:$A$3390,F$1,'United Data'!$C$3:$C$3390,$A1536,'United Data'!$B$3:$B$3390,"&lt;&gt;Off-street")&gt;0,1,0)</f>
        <v>1</v>
      </c>
      <c r="G1536">
        <f>IF(COUNTIFS('United Data'!$A$3:$A$3390,G$1,'United Data'!$C$3:$C$3390,$A1536,'United Data'!$B$3:$B$3390,"&lt;&gt;Off-street")&gt;0,1,0)</f>
        <v>0</v>
      </c>
      <c r="H1536">
        <f>IF(COUNTIFS('United Data'!$A$3:$A$3390,H$1,'United Data'!$C$3:$C$3390,$A1536,'United Data'!$B$3:$B$3390,"&lt;&gt;Off-street")&gt;0,1,0)</f>
        <v>0</v>
      </c>
      <c r="I1536">
        <f>IF(COUNTIFS('United Data'!$A$3:$A$3390,I$1,'United Data'!$C$3:$C$3390,$A1536,'United Data'!$B$3:$B$3390,"&lt;&gt;Off-street")&gt;0,1,0)</f>
        <v>0</v>
      </c>
      <c r="J1536">
        <f>IF(COUNTIFS('United Data'!$A$3:$A$3390,J$1,'United Data'!$C$3:$C$3390,$A1536,'United Data'!$B$3:$B$3390,"&lt;&gt;Off-street")&gt;0,1,0)</f>
        <v>0</v>
      </c>
      <c r="K1536">
        <f>IF(COUNTIFS('United Data'!$A$3:$A$3390,K$1,'United Data'!$C$3:$C$3390,$A1536,'United Data'!$B$3:$B$3390,"&lt;&gt;Off-street")&gt;0,1,0)</f>
        <v>0</v>
      </c>
      <c r="L1536">
        <f>IF(COUNTIFS('United Data'!$A$3:$A$3390,L$1,'United Data'!$C$3:$C$3390,$A1536,'United Data'!$B$3:$B$3390,"&lt;&gt;Off-street")&gt;0,1,0)</f>
        <v>0</v>
      </c>
      <c r="M1536">
        <f>IF(COUNTIFS('United Data'!$A$3:$A$3390,M$1,'United Data'!$C$3:$C$3390,$A1536,'United Data'!$B$3:$B$3390,"&lt;&gt;Off-street")&gt;0,1,0)</f>
        <v>0</v>
      </c>
      <c r="N1536">
        <f>IF(COUNTIFS('United Data'!$A$3:$A$3390,N$1,'United Data'!$C$3:$C$3390,$A1536,'United Data'!$B$3:$B$3390,"&lt;&gt;Off-street")&gt;0,1,0)</f>
        <v>0</v>
      </c>
      <c r="O1536">
        <f>IF(COUNTIFS('United Data'!$A$3:$A$3390,O$1,'United Data'!$C$3:$C$3390,$A1536,'United Data'!$B$3:$B$3390,"&lt;&gt;Off-street")&gt;0,1,0)</f>
        <v>0</v>
      </c>
      <c r="P1536">
        <f>IF(COUNTIFS('United Data'!$A$3:$A$3390,P$1,'United Data'!$C$3:$C$3390,$A1536,'United Data'!$B$3:$B$3390,"&lt;&gt;Off-street")&gt;0,1,0)</f>
        <v>0</v>
      </c>
      <c r="Q1536">
        <f>IF(COUNTIFS('United Data'!$A$3:$A$3390,Q$1,'United Data'!$C$3:$C$3390,$A1536,'United Data'!$B$3:$B$3390,"&lt;&gt;Off-street")&gt;0,1,0)</f>
        <v>0</v>
      </c>
      <c r="R1536">
        <f>IF(COUNTIFS('United Data'!$A$3:$A$3390,R$1,'United Data'!$C$3:$C$3390,$A1536,'United Data'!$B$3:$B$3390,"&lt;&gt;Off-street")&gt;0,1,0)</f>
        <v>0</v>
      </c>
      <c r="S1536">
        <f t="shared" si="46"/>
        <v>1</v>
      </c>
      <c r="T1536">
        <f t="shared" si="47"/>
        <v>1</v>
      </c>
    </row>
    <row r="1537" spans="1:20" x14ac:dyDescent="0.2">
      <c r="A1537" t="s">
        <v>1815</v>
      </c>
      <c r="B1537">
        <f>IF(COUNTIFS('United Data'!$A$3:$A$3390,B$1,'United Data'!$C$3:$C$3390,$A1537,'United Data'!$B$3:$B$3390,"&lt;&gt;Off-street")&gt;0,1,0)</f>
        <v>0</v>
      </c>
      <c r="C1537">
        <f>IF(COUNTIFS('United Data'!$A$3:$A$3390,C$1,'United Data'!$C$3:$C$3390,$A1537,'United Data'!$B$3:$B$3390,"&lt;&gt;Off-street")&gt;0,1,0)</f>
        <v>0</v>
      </c>
      <c r="D1537">
        <f>IF(COUNTIFS('United Data'!$A$3:$A$3390,D$1,'United Data'!$C$3:$C$3390,$A1537,'United Data'!$B$3:$B$3390,"&lt;&gt;Off-street")&gt;0,1,0)</f>
        <v>0</v>
      </c>
      <c r="E1537">
        <f>IF(COUNTIFS('United Data'!$A$3:$A$3390,E$1,'United Data'!$C$3:$C$3390,$A1537,'United Data'!$B$3:$B$3390,"&lt;&gt;Off-street")&gt;0,1,0)</f>
        <v>0</v>
      </c>
      <c r="F1537">
        <f>IF(COUNTIFS('United Data'!$A$3:$A$3390,F$1,'United Data'!$C$3:$C$3390,$A1537,'United Data'!$B$3:$B$3390,"&lt;&gt;Off-street")&gt;0,1,0)</f>
        <v>1</v>
      </c>
      <c r="G1537">
        <f>IF(COUNTIFS('United Data'!$A$3:$A$3390,G$1,'United Data'!$C$3:$C$3390,$A1537,'United Data'!$B$3:$B$3390,"&lt;&gt;Off-street")&gt;0,1,0)</f>
        <v>0</v>
      </c>
      <c r="H1537">
        <f>IF(COUNTIFS('United Data'!$A$3:$A$3390,H$1,'United Data'!$C$3:$C$3390,$A1537,'United Data'!$B$3:$B$3390,"&lt;&gt;Off-street")&gt;0,1,0)</f>
        <v>0</v>
      </c>
      <c r="I1537">
        <f>IF(COUNTIFS('United Data'!$A$3:$A$3390,I$1,'United Data'!$C$3:$C$3390,$A1537,'United Data'!$B$3:$B$3390,"&lt;&gt;Off-street")&gt;0,1,0)</f>
        <v>0</v>
      </c>
      <c r="J1537">
        <f>IF(COUNTIFS('United Data'!$A$3:$A$3390,J$1,'United Data'!$C$3:$C$3390,$A1537,'United Data'!$B$3:$B$3390,"&lt;&gt;Off-street")&gt;0,1,0)</f>
        <v>0</v>
      </c>
      <c r="K1537">
        <f>IF(COUNTIFS('United Data'!$A$3:$A$3390,K$1,'United Data'!$C$3:$C$3390,$A1537,'United Data'!$B$3:$B$3390,"&lt;&gt;Off-street")&gt;0,1,0)</f>
        <v>0</v>
      </c>
      <c r="L1537">
        <f>IF(COUNTIFS('United Data'!$A$3:$A$3390,L$1,'United Data'!$C$3:$C$3390,$A1537,'United Data'!$B$3:$B$3390,"&lt;&gt;Off-street")&gt;0,1,0)</f>
        <v>0</v>
      </c>
      <c r="M1537">
        <f>IF(COUNTIFS('United Data'!$A$3:$A$3390,M$1,'United Data'!$C$3:$C$3390,$A1537,'United Data'!$B$3:$B$3390,"&lt;&gt;Off-street")&gt;0,1,0)</f>
        <v>0</v>
      </c>
      <c r="N1537">
        <f>IF(COUNTIFS('United Data'!$A$3:$A$3390,N$1,'United Data'!$C$3:$C$3390,$A1537,'United Data'!$B$3:$B$3390,"&lt;&gt;Off-street")&gt;0,1,0)</f>
        <v>0</v>
      </c>
      <c r="O1537">
        <f>IF(COUNTIFS('United Data'!$A$3:$A$3390,O$1,'United Data'!$C$3:$C$3390,$A1537,'United Data'!$B$3:$B$3390,"&lt;&gt;Off-street")&gt;0,1,0)</f>
        <v>0</v>
      </c>
      <c r="P1537">
        <f>IF(COUNTIFS('United Data'!$A$3:$A$3390,P$1,'United Data'!$C$3:$C$3390,$A1537,'United Data'!$B$3:$B$3390,"&lt;&gt;Off-street")&gt;0,1,0)</f>
        <v>0</v>
      </c>
      <c r="Q1537">
        <f>IF(COUNTIFS('United Data'!$A$3:$A$3390,Q$1,'United Data'!$C$3:$C$3390,$A1537,'United Data'!$B$3:$B$3390,"&lt;&gt;Off-street")&gt;0,1,0)</f>
        <v>0</v>
      </c>
      <c r="R1537">
        <f>IF(COUNTIFS('United Data'!$A$3:$A$3390,R$1,'United Data'!$C$3:$C$3390,$A1537,'United Data'!$B$3:$B$3390,"&lt;&gt;Off-street")&gt;0,1,0)</f>
        <v>0</v>
      </c>
      <c r="S1537">
        <f t="shared" si="46"/>
        <v>1</v>
      </c>
      <c r="T1537">
        <f t="shared" si="47"/>
        <v>1</v>
      </c>
    </row>
    <row r="1538" spans="1:20" x14ac:dyDescent="0.2">
      <c r="A1538" t="s">
        <v>1816</v>
      </c>
      <c r="B1538">
        <f>IF(COUNTIFS('United Data'!$A$3:$A$3390,B$1,'United Data'!$C$3:$C$3390,$A1538,'United Data'!$B$3:$B$3390,"&lt;&gt;Off-street")&gt;0,1,0)</f>
        <v>0</v>
      </c>
      <c r="C1538">
        <f>IF(COUNTIFS('United Data'!$A$3:$A$3390,C$1,'United Data'!$C$3:$C$3390,$A1538,'United Data'!$B$3:$B$3390,"&lt;&gt;Off-street")&gt;0,1,0)</f>
        <v>0</v>
      </c>
      <c r="D1538">
        <f>IF(COUNTIFS('United Data'!$A$3:$A$3390,D$1,'United Data'!$C$3:$C$3390,$A1538,'United Data'!$B$3:$B$3390,"&lt;&gt;Off-street")&gt;0,1,0)</f>
        <v>0</v>
      </c>
      <c r="E1538">
        <f>IF(COUNTIFS('United Data'!$A$3:$A$3390,E$1,'United Data'!$C$3:$C$3390,$A1538,'United Data'!$B$3:$B$3390,"&lt;&gt;Off-street")&gt;0,1,0)</f>
        <v>0</v>
      </c>
      <c r="F1538">
        <f>IF(COUNTIFS('United Data'!$A$3:$A$3390,F$1,'United Data'!$C$3:$C$3390,$A1538,'United Data'!$B$3:$B$3390,"&lt;&gt;Off-street")&gt;0,1,0)</f>
        <v>1</v>
      </c>
      <c r="G1538">
        <f>IF(COUNTIFS('United Data'!$A$3:$A$3390,G$1,'United Data'!$C$3:$C$3390,$A1538,'United Data'!$B$3:$B$3390,"&lt;&gt;Off-street")&gt;0,1,0)</f>
        <v>0</v>
      </c>
      <c r="H1538">
        <f>IF(COUNTIFS('United Data'!$A$3:$A$3390,H$1,'United Data'!$C$3:$C$3390,$A1538,'United Data'!$B$3:$B$3390,"&lt;&gt;Off-street")&gt;0,1,0)</f>
        <v>0</v>
      </c>
      <c r="I1538">
        <f>IF(COUNTIFS('United Data'!$A$3:$A$3390,I$1,'United Data'!$C$3:$C$3390,$A1538,'United Data'!$B$3:$B$3390,"&lt;&gt;Off-street")&gt;0,1,0)</f>
        <v>0</v>
      </c>
      <c r="J1538">
        <f>IF(COUNTIFS('United Data'!$A$3:$A$3390,J$1,'United Data'!$C$3:$C$3390,$A1538,'United Data'!$B$3:$B$3390,"&lt;&gt;Off-street")&gt;0,1,0)</f>
        <v>0</v>
      </c>
      <c r="K1538">
        <f>IF(COUNTIFS('United Data'!$A$3:$A$3390,K$1,'United Data'!$C$3:$C$3390,$A1538,'United Data'!$B$3:$B$3390,"&lt;&gt;Off-street")&gt;0,1,0)</f>
        <v>0</v>
      </c>
      <c r="L1538">
        <f>IF(COUNTIFS('United Data'!$A$3:$A$3390,L$1,'United Data'!$C$3:$C$3390,$A1538,'United Data'!$B$3:$B$3390,"&lt;&gt;Off-street")&gt;0,1,0)</f>
        <v>0</v>
      </c>
      <c r="M1538">
        <f>IF(COUNTIFS('United Data'!$A$3:$A$3390,M$1,'United Data'!$C$3:$C$3390,$A1538,'United Data'!$B$3:$B$3390,"&lt;&gt;Off-street")&gt;0,1,0)</f>
        <v>0</v>
      </c>
      <c r="N1538">
        <f>IF(COUNTIFS('United Data'!$A$3:$A$3390,N$1,'United Data'!$C$3:$C$3390,$A1538,'United Data'!$B$3:$B$3390,"&lt;&gt;Off-street")&gt;0,1,0)</f>
        <v>0</v>
      </c>
      <c r="O1538">
        <f>IF(COUNTIFS('United Data'!$A$3:$A$3390,O$1,'United Data'!$C$3:$C$3390,$A1538,'United Data'!$B$3:$B$3390,"&lt;&gt;Off-street")&gt;0,1,0)</f>
        <v>0</v>
      </c>
      <c r="P1538">
        <f>IF(COUNTIFS('United Data'!$A$3:$A$3390,P$1,'United Data'!$C$3:$C$3390,$A1538,'United Data'!$B$3:$B$3390,"&lt;&gt;Off-street")&gt;0,1,0)</f>
        <v>0</v>
      </c>
      <c r="Q1538">
        <f>IF(COUNTIFS('United Data'!$A$3:$A$3390,Q$1,'United Data'!$C$3:$C$3390,$A1538,'United Data'!$B$3:$B$3390,"&lt;&gt;Off-street")&gt;0,1,0)</f>
        <v>0</v>
      </c>
      <c r="R1538">
        <f>IF(COUNTIFS('United Data'!$A$3:$A$3390,R$1,'United Data'!$C$3:$C$3390,$A1538,'United Data'!$B$3:$B$3390,"&lt;&gt;Off-street")&gt;0,1,0)</f>
        <v>0</v>
      </c>
      <c r="S1538">
        <f t="shared" ref="S1538:S1601" si="48">SUM(B1538:R1538)</f>
        <v>1</v>
      </c>
      <c r="T1538">
        <f t="shared" ref="T1538:T1601" si="49">B1538+SUMPRODUCT(--(C1538:R1538&gt;B1538:Q1538))</f>
        <v>1</v>
      </c>
    </row>
    <row r="1539" spans="1:20" x14ac:dyDescent="0.2">
      <c r="A1539" t="s">
        <v>1817</v>
      </c>
      <c r="B1539">
        <f>IF(COUNTIFS('United Data'!$A$3:$A$3390,B$1,'United Data'!$C$3:$C$3390,$A1539,'United Data'!$B$3:$B$3390,"&lt;&gt;Off-street")&gt;0,1,0)</f>
        <v>0</v>
      </c>
      <c r="C1539">
        <f>IF(COUNTIFS('United Data'!$A$3:$A$3390,C$1,'United Data'!$C$3:$C$3390,$A1539,'United Data'!$B$3:$B$3390,"&lt;&gt;Off-street")&gt;0,1,0)</f>
        <v>0</v>
      </c>
      <c r="D1539">
        <f>IF(COUNTIFS('United Data'!$A$3:$A$3390,D$1,'United Data'!$C$3:$C$3390,$A1539,'United Data'!$B$3:$B$3390,"&lt;&gt;Off-street")&gt;0,1,0)</f>
        <v>0</v>
      </c>
      <c r="E1539">
        <f>IF(COUNTIFS('United Data'!$A$3:$A$3390,E$1,'United Data'!$C$3:$C$3390,$A1539,'United Data'!$B$3:$B$3390,"&lt;&gt;Off-street")&gt;0,1,0)</f>
        <v>0</v>
      </c>
      <c r="F1539">
        <f>IF(COUNTIFS('United Data'!$A$3:$A$3390,F$1,'United Data'!$C$3:$C$3390,$A1539,'United Data'!$B$3:$B$3390,"&lt;&gt;Off-street")&gt;0,1,0)</f>
        <v>0</v>
      </c>
      <c r="G1539">
        <f>IF(COUNTIFS('United Data'!$A$3:$A$3390,G$1,'United Data'!$C$3:$C$3390,$A1539,'United Data'!$B$3:$B$3390,"&lt;&gt;Off-street")&gt;0,1,0)</f>
        <v>1</v>
      </c>
      <c r="H1539">
        <f>IF(COUNTIFS('United Data'!$A$3:$A$3390,H$1,'United Data'!$C$3:$C$3390,$A1539,'United Data'!$B$3:$B$3390,"&lt;&gt;Off-street")&gt;0,1,0)</f>
        <v>0</v>
      </c>
      <c r="I1539">
        <f>IF(COUNTIFS('United Data'!$A$3:$A$3390,I$1,'United Data'!$C$3:$C$3390,$A1539,'United Data'!$B$3:$B$3390,"&lt;&gt;Off-street")&gt;0,1,0)</f>
        <v>0</v>
      </c>
      <c r="J1539">
        <f>IF(COUNTIFS('United Data'!$A$3:$A$3390,J$1,'United Data'!$C$3:$C$3390,$A1539,'United Data'!$B$3:$B$3390,"&lt;&gt;Off-street")&gt;0,1,0)</f>
        <v>0</v>
      </c>
      <c r="K1539">
        <f>IF(COUNTIFS('United Data'!$A$3:$A$3390,K$1,'United Data'!$C$3:$C$3390,$A1539,'United Data'!$B$3:$B$3390,"&lt;&gt;Off-street")&gt;0,1,0)</f>
        <v>0</v>
      </c>
      <c r="L1539">
        <f>IF(COUNTIFS('United Data'!$A$3:$A$3390,L$1,'United Data'!$C$3:$C$3390,$A1539,'United Data'!$B$3:$B$3390,"&lt;&gt;Off-street")&gt;0,1,0)</f>
        <v>0</v>
      </c>
      <c r="M1539">
        <f>IF(COUNTIFS('United Data'!$A$3:$A$3390,M$1,'United Data'!$C$3:$C$3390,$A1539,'United Data'!$B$3:$B$3390,"&lt;&gt;Off-street")&gt;0,1,0)</f>
        <v>0</v>
      </c>
      <c r="N1539">
        <f>IF(COUNTIFS('United Data'!$A$3:$A$3390,N$1,'United Data'!$C$3:$C$3390,$A1539,'United Data'!$B$3:$B$3390,"&lt;&gt;Off-street")&gt;0,1,0)</f>
        <v>0</v>
      </c>
      <c r="O1539">
        <f>IF(COUNTIFS('United Data'!$A$3:$A$3390,O$1,'United Data'!$C$3:$C$3390,$A1539,'United Data'!$B$3:$B$3390,"&lt;&gt;Off-street")&gt;0,1,0)</f>
        <v>0</v>
      </c>
      <c r="P1539">
        <f>IF(COUNTIFS('United Data'!$A$3:$A$3390,P$1,'United Data'!$C$3:$C$3390,$A1539,'United Data'!$B$3:$B$3390,"&lt;&gt;Off-street")&gt;0,1,0)</f>
        <v>0</v>
      </c>
      <c r="Q1539">
        <f>IF(COUNTIFS('United Data'!$A$3:$A$3390,Q$1,'United Data'!$C$3:$C$3390,$A1539,'United Data'!$B$3:$B$3390,"&lt;&gt;Off-street")&gt;0,1,0)</f>
        <v>0</v>
      </c>
      <c r="R1539">
        <f>IF(COUNTIFS('United Data'!$A$3:$A$3390,R$1,'United Data'!$C$3:$C$3390,$A1539,'United Data'!$B$3:$B$3390,"&lt;&gt;Off-street")&gt;0,1,0)</f>
        <v>0</v>
      </c>
      <c r="S1539">
        <f t="shared" si="48"/>
        <v>1</v>
      </c>
      <c r="T1539">
        <f t="shared" si="49"/>
        <v>1</v>
      </c>
    </row>
    <row r="1540" spans="1:20" x14ac:dyDescent="0.2">
      <c r="A1540" t="s">
        <v>1818</v>
      </c>
      <c r="B1540">
        <f>IF(COUNTIFS('United Data'!$A$3:$A$3390,B$1,'United Data'!$C$3:$C$3390,$A1540,'United Data'!$B$3:$B$3390,"&lt;&gt;Off-street")&gt;0,1,0)</f>
        <v>0</v>
      </c>
      <c r="C1540">
        <f>IF(COUNTIFS('United Data'!$A$3:$A$3390,C$1,'United Data'!$C$3:$C$3390,$A1540,'United Data'!$B$3:$B$3390,"&lt;&gt;Off-street")&gt;0,1,0)</f>
        <v>0</v>
      </c>
      <c r="D1540">
        <f>IF(COUNTIFS('United Data'!$A$3:$A$3390,D$1,'United Data'!$C$3:$C$3390,$A1540,'United Data'!$B$3:$B$3390,"&lt;&gt;Off-street")&gt;0,1,0)</f>
        <v>0</v>
      </c>
      <c r="E1540">
        <f>IF(COUNTIFS('United Data'!$A$3:$A$3390,E$1,'United Data'!$C$3:$C$3390,$A1540,'United Data'!$B$3:$B$3390,"&lt;&gt;Off-street")&gt;0,1,0)</f>
        <v>0</v>
      </c>
      <c r="F1540">
        <f>IF(COUNTIFS('United Data'!$A$3:$A$3390,F$1,'United Data'!$C$3:$C$3390,$A1540,'United Data'!$B$3:$B$3390,"&lt;&gt;Off-street")&gt;0,1,0)</f>
        <v>0</v>
      </c>
      <c r="G1540">
        <f>IF(COUNTIFS('United Data'!$A$3:$A$3390,G$1,'United Data'!$C$3:$C$3390,$A1540,'United Data'!$B$3:$B$3390,"&lt;&gt;Off-street")&gt;0,1,0)</f>
        <v>1</v>
      </c>
      <c r="H1540">
        <f>IF(COUNTIFS('United Data'!$A$3:$A$3390,H$1,'United Data'!$C$3:$C$3390,$A1540,'United Data'!$B$3:$B$3390,"&lt;&gt;Off-street")&gt;0,1,0)</f>
        <v>0</v>
      </c>
      <c r="I1540">
        <f>IF(COUNTIFS('United Data'!$A$3:$A$3390,I$1,'United Data'!$C$3:$C$3390,$A1540,'United Data'!$B$3:$B$3390,"&lt;&gt;Off-street")&gt;0,1,0)</f>
        <v>0</v>
      </c>
      <c r="J1540">
        <f>IF(COUNTIFS('United Data'!$A$3:$A$3390,J$1,'United Data'!$C$3:$C$3390,$A1540,'United Data'!$B$3:$B$3390,"&lt;&gt;Off-street")&gt;0,1,0)</f>
        <v>0</v>
      </c>
      <c r="K1540">
        <f>IF(COUNTIFS('United Data'!$A$3:$A$3390,K$1,'United Data'!$C$3:$C$3390,$A1540,'United Data'!$B$3:$B$3390,"&lt;&gt;Off-street")&gt;0,1,0)</f>
        <v>0</v>
      </c>
      <c r="L1540">
        <f>IF(COUNTIFS('United Data'!$A$3:$A$3390,L$1,'United Data'!$C$3:$C$3390,$A1540,'United Data'!$B$3:$B$3390,"&lt;&gt;Off-street")&gt;0,1,0)</f>
        <v>0</v>
      </c>
      <c r="M1540">
        <f>IF(COUNTIFS('United Data'!$A$3:$A$3390,M$1,'United Data'!$C$3:$C$3390,$A1540,'United Data'!$B$3:$B$3390,"&lt;&gt;Off-street")&gt;0,1,0)</f>
        <v>0</v>
      </c>
      <c r="N1540">
        <f>IF(COUNTIFS('United Data'!$A$3:$A$3390,N$1,'United Data'!$C$3:$C$3390,$A1540,'United Data'!$B$3:$B$3390,"&lt;&gt;Off-street")&gt;0,1,0)</f>
        <v>0</v>
      </c>
      <c r="O1540">
        <f>IF(COUNTIFS('United Data'!$A$3:$A$3390,O$1,'United Data'!$C$3:$C$3390,$A1540,'United Data'!$B$3:$B$3390,"&lt;&gt;Off-street")&gt;0,1,0)</f>
        <v>0</v>
      </c>
      <c r="P1540">
        <f>IF(COUNTIFS('United Data'!$A$3:$A$3390,P$1,'United Data'!$C$3:$C$3390,$A1540,'United Data'!$B$3:$B$3390,"&lt;&gt;Off-street")&gt;0,1,0)</f>
        <v>0</v>
      </c>
      <c r="Q1540">
        <f>IF(COUNTIFS('United Data'!$A$3:$A$3390,Q$1,'United Data'!$C$3:$C$3390,$A1540,'United Data'!$B$3:$B$3390,"&lt;&gt;Off-street")&gt;0,1,0)</f>
        <v>0</v>
      </c>
      <c r="R1540">
        <f>IF(COUNTIFS('United Data'!$A$3:$A$3390,R$1,'United Data'!$C$3:$C$3390,$A1540,'United Data'!$B$3:$B$3390,"&lt;&gt;Off-street")&gt;0,1,0)</f>
        <v>0</v>
      </c>
      <c r="S1540">
        <f t="shared" si="48"/>
        <v>1</v>
      </c>
      <c r="T1540">
        <f t="shared" si="49"/>
        <v>1</v>
      </c>
    </row>
    <row r="1541" spans="1:20" x14ac:dyDescent="0.2">
      <c r="A1541" t="s">
        <v>1819</v>
      </c>
      <c r="B1541">
        <f>IF(COUNTIFS('United Data'!$A$3:$A$3390,B$1,'United Data'!$C$3:$C$3390,$A1541,'United Data'!$B$3:$B$3390,"&lt;&gt;Off-street")&gt;0,1,0)</f>
        <v>0</v>
      </c>
      <c r="C1541">
        <f>IF(COUNTIFS('United Data'!$A$3:$A$3390,C$1,'United Data'!$C$3:$C$3390,$A1541,'United Data'!$B$3:$B$3390,"&lt;&gt;Off-street")&gt;0,1,0)</f>
        <v>0</v>
      </c>
      <c r="D1541">
        <f>IF(COUNTIFS('United Data'!$A$3:$A$3390,D$1,'United Data'!$C$3:$C$3390,$A1541,'United Data'!$B$3:$B$3390,"&lt;&gt;Off-street")&gt;0,1,0)</f>
        <v>0</v>
      </c>
      <c r="E1541">
        <f>IF(COUNTIFS('United Data'!$A$3:$A$3390,E$1,'United Data'!$C$3:$C$3390,$A1541,'United Data'!$B$3:$B$3390,"&lt;&gt;Off-street")&gt;0,1,0)</f>
        <v>0</v>
      </c>
      <c r="F1541">
        <f>IF(COUNTIFS('United Data'!$A$3:$A$3390,F$1,'United Data'!$C$3:$C$3390,$A1541,'United Data'!$B$3:$B$3390,"&lt;&gt;Off-street")&gt;0,1,0)</f>
        <v>0</v>
      </c>
      <c r="G1541">
        <f>IF(COUNTIFS('United Data'!$A$3:$A$3390,G$1,'United Data'!$C$3:$C$3390,$A1541,'United Data'!$B$3:$B$3390,"&lt;&gt;Off-street")&gt;0,1,0)</f>
        <v>1</v>
      </c>
      <c r="H1541">
        <f>IF(COUNTIFS('United Data'!$A$3:$A$3390,H$1,'United Data'!$C$3:$C$3390,$A1541,'United Data'!$B$3:$B$3390,"&lt;&gt;Off-street")&gt;0,1,0)</f>
        <v>0</v>
      </c>
      <c r="I1541">
        <f>IF(COUNTIFS('United Data'!$A$3:$A$3390,I$1,'United Data'!$C$3:$C$3390,$A1541,'United Data'!$B$3:$B$3390,"&lt;&gt;Off-street")&gt;0,1,0)</f>
        <v>0</v>
      </c>
      <c r="J1541">
        <f>IF(COUNTIFS('United Data'!$A$3:$A$3390,J$1,'United Data'!$C$3:$C$3390,$A1541,'United Data'!$B$3:$B$3390,"&lt;&gt;Off-street")&gt;0,1,0)</f>
        <v>0</v>
      </c>
      <c r="K1541">
        <f>IF(COUNTIFS('United Data'!$A$3:$A$3390,K$1,'United Data'!$C$3:$C$3390,$A1541,'United Data'!$B$3:$B$3390,"&lt;&gt;Off-street")&gt;0,1,0)</f>
        <v>0</v>
      </c>
      <c r="L1541">
        <f>IF(COUNTIFS('United Data'!$A$3:$A$3390,L$1,'United Data'!$C$3:$C$3390,$A1541,'United Data'!$B$3:$B$3390,"&lt;&gt;Off-street")&gt;0,1,0)</f>
        <v>0</v>
      </c>
      <c r="M1541">
        <f>IF(COUNTIFS('United Data'!$A$3:$A$3390,M$1,'United Data'!$C$3:$C$3390,$A1541,'United Data'!$B$3:$B$3390,"&lt;&gt;Off-street")&gt;0,1,0)</f>
        <v>0</v>
      </c>
      <c r="N1541">
        <f>IF(COUNTIFS('United Data'!$A$3:$A$3390,N$1,'United Data'!$C$3:$C$3390,$A1541,'United Data'!$B$3:$B$3390,"&lt;&gt;Off-street")&gt;0,1,0)</f>
        <v>0</v>
      </c>
      <c r="O1541">
        <f>IF(COUNTIFS('United Data'!$A$3:$A$3390,O$1,'United Data'!$C$3:$C$3390,$A1541,'United Data'!$B$3:$B$3390,"&lt;&gt;Off-street")&gt;0,1,0)</f>
        <v>0</v>
      </c>
      <c r="P1541">
        <f>IF(COUNTIFS('United Data'!$A$3:$A$3390,P$1,'United Data'!$C$3:$C$3390,$A1541,'United Data'!$B$3:$B$3390,"&lt;&gt;Off-street")&gt;0,1,0)</f>
        <v>0</v>
      </c>
      <c r="Q1541">
        <f>IF(COUNTIFS('United Data'!$A$3:$A$3390,Q$1,'United Data'!$C$3:$C$3390,$A1541,'United Data'!$B$3:$B$3390,"&lt;&gt;Off-street")&gt;0,1,0)</f>
        <v>0</v>
      </c>
      <c r="R1541">
        <f>IF(COUNTIFS('United Data'!$A$3:$A$3390,R$1,'United Data'!$C$3:$C$3390,$A1541,'United Data'!$B$3:$B$3390,"&lt;&gt;Off-street")&gt;0,1,0)</f>
        <v>0</v>
      </c>
      <c r="S1541">
        <f t="shared" si="48"/>
        <v>1</v>
      </c>
      <c r="T1541">
        <f t="shared" si="49"/>
        <v>1</v>
      </c>
    </row>
    <row r="1542" spans="1:20" x14ac:dyDescent="0.2">
      <c r="A1542" t="s">
        <v>1820</v>
      </c>
      <c r="B1542">
        <f>IF(COUNTIFS('United Data'!$A$3:$A$3390,B$1,'United Data'!$C$3:$C$3390,$A1542,'United Data'!$B$3:$B$3390,"&lt;&gt;Off-street")&gt;0,1,0)</f>
        <v>0</v>
      </c>
      <c r="C1542">
        <f>IF(COUNTIFS('United Data'!$A$3:$A$3390,C$1,'United Data'!$C$3:$C$3390,$A1542,'United Data'!$B$3:$B$3390,"&lt;&gt;Off-street")&gt;0,1,0)</f>
        <v>0</v>
      </c>
      <c r="D1542">
        <f>IF(COUNTIFS('United Data'!$A$3:$A$3390,D$1,'United Data'!$C$3:$C$3390,$A1542,'United Data'!$B$3:$B$3390,"&lt;&gt;Off-street")&gt;0,1,0)</f>
        <v>0</v>
      </c>
      <c r="E1542">
        <f>IF(COUNTIFS('United Data'!$A$3:$A$3390,E$1,'United Data'!$C$3:$C$3390,$A1542,'United Data'!$B$3:$B$3390,"&lt;&gt;Off-street")&gt;0,1,0)</f>
        <v>0</v>
      </c>
      <c r="F1542">
        <f>IF(COUNTIFS('United Data'!$A$3:$A$3390,F$1,'United Data'!$C$3:$C$3390,$A1542,'United Data'!$B$3:$B$3390,"&lt;&gt;Off-street")&gt;0,1,0)</f>
        <v>0</v>
      </c>
      <c r="G1542">
        <f>IF(COUNTIFS('United Data'!$A$3:$A$3390,G$1,'United Data'!$C$3:$C$3390,$A1542,'United Data'!$B$3:$B$3390,"&lt;&gt;Off-street")&gt;0,1,0)</f>
        <v>1</v>
      </c>
      <c r="H1542">
        <f>IF(COUNTIFS('United Data'!$A$3:$A$3390,H$1,'United Data'!$C$3:$C$3390,$A1542,'United Data'!$B$3:$B$3390,"&lt;&gt;Off-street")&gt;0,1,0)</f>
        <v>0</v>
      </c>
      <c r="I1542">
        <f>IF(COUNTIFS('United Data'!$A$3:$A$3390,I$1,'United Data'!$C$3:$C$3390,$A1542,'United Data'!$B$3:$B$3390,"&lt;&gt;Off-street")&gt;0,1,0)</f>
        <v>0</v>
      </c>
      <c r="J1542">
        <f>IF(COUNTIFS('United Data'!$A$3:$A$3390,J$1,'United Data'!$C$3:$C$3390,$A1542,'United Data'!$B$3:$B$3390,"&lt;&gt;Off-street")&gt;0,1,0)</f>
        <v>0</v>
      </c>
      <c r="K1542">
        <f>IF(COUNTIFS('United Data'!$A$3:$A$3390,K$1,'United Data'!$C$3:$C$3390,$A1542,'United Data'!$B$3:$B$3390,"&lt;&gt;Off-street")&gt;0,1,0)</f>
        <v>0</v>
      </c>
      <c r="L1542">
        <f>IF(COUNTIFS('United Data'!$A$3:$A$3390,L$1,'United Data'!$C$3:$C$3390,$A1542,'United Data'!$B$3:$B$3390,"&lt;&gt;Off-street")&gt;0,1,0)</f>
        <v>0</v>
      </c>
      <c r="M1542">
        <f>IF(COUNTIFS('United Data'!$A$3:$A$3390,M$1,'United Data'!$C$3:$C$3390,$A1542,'United Data'!$B$3:$B$3390,"&lt;&gt;Off-street")&gt;0,1,0)</f>
        <v>0</v>
      </c>
      <c r="N1542">
        <f>IF(COUNTIFS('United Data'!$A$3:$A$3390,N$1,'United Data'!$C$3:$C$3390,$A1542,'United Data'!$B$3:$B$3390,"&lt;&gt;Off-street")&gt;0,1,0)</f>
        <v>0</v>
      </c>
      <c r="O1542">
        <f>IF(COUNTIFS('United Data'!$A$3:$A$3390,O$1,'United Data'!$C$3:$C$3390,$A1542,'United Data'!$B$3:$B$3390,"&lt;&gt;Off-street")&gt;0,1,0)</f>
        <v>0</v>
      </c>
      <c r="P1542">
        <f>IF(COUNTIFS('United Data'!$A$3:$A$3390,P$1,'United Data'!$C$3:$C$3390,$A1542,'United Data'!$B$3:$B$3390,"&lt;&gt;Off-street")&gt;0,1,0)</f>
        <v>0</v>
      </c>
      <c r="Q1542">
        <f>IF(COUNTIFS('United Data'!$A$3:$A$3390,Q$1,'United Data'!$C$3:$C$3390,$A1542,'United Data'!$B$3:$B$3390,"&lt;&gt;Off-street")&gt;0,1,0)</f>
        <v>0</v>
      </c>
      <c r="R1542">
        <f>IF(COUNTIFS('United Data'!$A$3:$A$3390,R$1,'United Data'!$C$3:$C$3390,$A1542,'United Data'!$B$3:$B$3390,"&lt;&gt;Off-street")&gt;0,1,0)</f>
        <v>0</v>
      </c>
      <c r="S1542">
        <f t="shared" si="48"/>
        <v>1</v>
      </c>
      <c r="T1542">
        <f t="shared" si="49"/>
        <v>1</v>
      </c>
    </row>
    <row r="1543" spans="1:20" x14ac:dyDescent="0.2">
      <c r="A1543" t="s">
        <v>1821</v>
      </c>
      <c r="B1543">
        <f>IF(COUNTIFS('United Data'!$A$3:$A$3390,B$1,'United Data'!$C$3:$C$3390,$A1543,'United Data'!$B$3:$B$3390,"&lt;&gt;Off-street")&gt;0,1,0)</f>
        <v>0</v>
      </c>
      <c r="C1543">
        <f>IF(COUNTIFS('United Data'!$A$3:$A$3390,C$1,'United Data'!$C$3:$C$3390,$A1543,'United Data'!$B$3:$B$3390,"&lt;&gt;Off-street")&gt;0,1,0)</f>
        <v>0</v>
      </c>
      <c r="D1543">
        <f>IF(COUNTIFS('United Data'!$A$3:$A$3390,D$1,'United Data'!$C$3:$C$3390,$A1543,'United Data'!$B$3:$B$3390,"&lt;&gt;Off-street")&gt;0,1,0)</f>
        <v>0</v>
      </c>
      <c r="E1543">
        <f>IF(COUNTIFS('United Data'!$A$3:$A$3390,E$1,'United Data'!$C$3:$C$3390,$A1543,'United Data'!$B$3:$B$3390,"&lt;&gt;Off-street")&gt;0,1,0)</f>
        <v>0</v>
      </c>
      <c r="F1543">
        <f>IF(COUNTIFS('United Data'!$A$3:$A$3390,F$1,'United Data'!$C$3:$C$3390,$A1543,'United Data'!$B$3:$B$3390,"&lt;&gt;Off-street")&gt;0,1,0)</f>
        <v>0</v>
      </c>
      <c r="G1543">
        <f>IF(COUNTIFS('United Data'!$A$3:$A$3390,G$1,'United Data'!$C$3:$C$3390,$A1543,'United Data'!$B$3:$B$3390,"&lt;&gt;Off-street")&gt;0,1,0)</f>
        <v>1</v>
      </c>
      <c r="H1543">
        <f>IF(COUNTIFS('United Data'!$A$3:$A$3390,H$1,'United Data'!$C$3:$C$3390,$A1543,'United Data'!$B$3:$B$3390,"&lt;&gt;Off-street")&gt;0,1,0)</f>
        <v>0</v>
      </c>
      <c r="I1543">
        <f>IF(COUNTIFS('United Data'!$A$3:$A$3390,I$1,'United Data'!$C$3:$C$3390,$A1543,'United Data'!$B$3:$B$3390,"&lt;&gt;Off-street")&gt;0,1,0)</f>
        <v>0</v>
      </c>
      <c r="J1543">
        <f>IF(COUNTIFS('United Data'!$A$3:$A$3390,J$1,'United Data'!$C$3:$C$3390,$A1543,'United Data'!$B$3:$B$3390,"&lt;&gt;Off-street")&gt;0,1,0)</f>
        <v>0</v>
      </c>
      <c r="K1543">
        <f>IF(COUNTIFS('United Data'!$A$3:$A$3390,K$1,'United Data'!$C$3:$C$3390,$A1543,'United Data'!$B$3:$B$3390,"&lt;&gt;Off-street")&gt;0,1,0)</f>
        <v>1</v>
      </c>
      <c r="L1543">
        <f>IF(COUNTIFS('United Data'!$A$3:$A$3390,L$1,'United Data'!$C$3:$C$3390,$A1543,'United Data'!$B$3:$B$3390,"&lt;&gt;Off-street")&gt;0,1,0)</f>
        <v>1</v>
      </c>
      <c r="M1543">
        <f>IF(COUNTIFS('United Data'!$A$3:$A$3390,M$1,'United Data'!$C$3:$C$3390,$A1543,'United Data'!$B$3:$B$3390,"&lt;&gt;Off-street")&gt;0,1,0)</f>
        <v>1</v>
      </c>
      <c r="N1543">
        <f>IF(COUNTIFS('United Data'!$A$3:$A$3390,N$1,'United Data'!$C$3:$C$3390,$A1543,'United Data'!$B$3:$B$3390,"&lt;&gt;Off-street")&gt;0,1,0)</f>
        <v>0</v>
      </c>
      <c r="O1543">
        <f>IF(COUNTIFS('United Data'!$A$3:$A$3390,O$1,'United Data'!$C$3:$C$3390,$A1543,'United Data'!$B$3:$B$3390,"&lt;&gt;Off-street")&gt;0,1,0)</f>
        <v>0</v>
      </c>
      <c r="P1543">
        <f>IF(COUNTIFS('United Data'!$A$3:$A$3390,P$1,'United Data'!$C$3:$C$3390,$A1543,'United Data'!$B$3:$B$3390,"&lt;&gt;Off-street")&gt;0,1,0)</f>
        <v>0</v>
      </c>
      <c r="Q1543">
        <f>IF(COUNTIFS('United Data'!$A$3:$A$3390,Q$1,'United Data'!$C$3:$C$3390,$A1543,'United Data'!$B$3:$B$3390,"&lt;&gt;Off-street")&gt;0,1,0)</f>
        <v>0</v>
      </c>
      <c r="R1543">
        <f>IF(COUNTIFS('United Data'!$A$3:$A$3390,R$1,'United Data'!$C$3:$C$3390,$A1543,'United Data'!$B$3:$B$3390,"&lt;&gt;Off-street")&gt;0,1,0)</f>
        <v>0</v>
      </c>
      <c r="S1543">
        <f t="shared" si="48"/>
        <v>4</v>
      </c>
      <c r="T1543">
        <f t="shared" si="49"/>
        <v>2</v>
      </c>
    </row>
    <row r="1544" spans="1:20" x14ac:dyDescent="0.2">
      <c r="A1544" t="s">
        <v>1823</v>
      </c>
      <c r="B1544">
        <f>IF(COUNTIFS('United Data'!$A$3:$A$3390,B$1,'United Data'!$C$3:$C$3390,$A1544,'United Data'!$B$3:$B$3390,"&lt;&gt;Off-street")&gt;0,1,0)</f>
        <v>0</v>
      </c>
      <c r="C1544">
        <f>IF(COUNTIFS('United Data'!$A$3:$A$3390,C$1,'United Data'!$C$3:$C$3390,$A1544,'United Data'!$B$3:$B$3390,"&lt;&gt;Off-street")&gt;0,1,0)</f>
        <v>0</v>
      </c>
      <c r="D1544">
        <f>IF(COUNTIFS('United Data'!$A$3:$A$3390,D$1,'United Data'!$C$3:$C$3390,$A1544,'United Data'!$B$3:$B$3390,"&lt;&gt;Off-street")&gt;0,1,0)</f>
        <v>0</v>
      </c>
      <c r="E1544">
        <f>IF(COUNTIFS('United Data'!$A$3:$A$3390,E$1,'United Data'!$C$3:$C$3390,$A1544,'United Data'!$B$3:$B$3390,"&lt;&gt;Off-street")&gt;0,1,0)</f>
        <v>0</v>
      </c>
      <c r="F1544">
        <f>IF(COUNTIFS('United Data'!$A$3:$A$3390,F$1,'United Data'!$C$3:$C$3390,$A1544,'United Data'!$B$3:$B$3390,"&lt;&gt;Off-street")&gt;0,1,0)</f>
        <v>0</v>
      </c>
      <c r="G1544">
        <f>IF(COUNTIFS('United Data'!$A$3:$A$3390,G$1,'United Data'!$C$3:$C$3390,$A1544,'United Data'!$B$3:$B$3390,"&lt;&gt;Off-street")&gt;0,1,0)</f>
        <v>0</v>
      </c>
      <c r="H1544">
        <f>IF(COUNTIFS('United Data'!$A$3:$A$3390,H$1,'United Data'!$C$3:$C$3390,$A1544,'United Data'!$B$3:$B$3390,"&lt;&gt;Off-street")&gt;0,1,0)</f>
        <v>1</v>
      </c>
      <c r="I1544">
        <f>IF(COUNTIFS('United Data'!$A$3:$A$3390,I$1,'United Data'!$C$3:$C$3390,$A1544,'United Data'!$B$3:$B$3390,"&lt;&gt;Off-street")&gt;0,1,0)</f>
        <v>0</v>
      </c>
      <c r="J1544">
        <f>IF(COUNTIFS('United Data'!$A$3:$A$3390,J$1,'United Data'!$C$3:$C$3390,$A1544,'United Data'!$B$3:$B$3390,"&lt;&gt;Off-street")&gt;0,1,0)</f>
        <v>0</v>
      </c>
      <c r="K1544">
        <f>IF(COUNTIFS('United Data'!$A$3:$A$3390,K$1,'United Data'!$C$3:$C$3390,$A1544,'United Data'!$B$3:$B$3390,"&lt;&gt;Off-street")&gt;0,1,0)</f>
        <v>0</v>
      </c>
      <c r="L1544">
        <f>IF(COUNTIFS('United Data'!$A$3:$A$3390,L$1,'United Data'!$C$3:$C$3390,$A1544,'United Data'!$B$3:$B$3390,"&lt;&gt;Off-street")&gt;0,1,0)</f>
        <v>0</v>
      </c>
      <c r="M1544">
        <f>IF(COUNTIFS('United Data'!$A$3:$A$3390,M$1,'United Data'!$C$3:$C$3390,$A1544,'United Data'!$B$3:$B$3390,"&lt;&gt;Off-street")&gt;0,1,0)</f>
        <v>0</v>
      </c>
      <c r="N1544">
        <f>IF(COUNTIFS('United Data'!$A$3:$A$3390,N$1,'United Data'!$C$3:$C$3390,$A1544,'United Data'!$B$3:$B$3390,"&lt;&gt;Off-street")&gt;0,1,0)</f>
        <v>0</v>
      </c>
      <c r="O1544">
        <f>IF(COUNTIFS('United Data'!$A$3:$A$3390,O$1,'United Data'!$C$3:$C$3390,$A1544,'United Data'!$B$3:$B$3390,"&lt;&gt;Off-street")&gt;0,1,0)</f>
        <v>0</v>
      </c>
      <c r="P1544">
        <f>IF(COUNTIFS('United Data'!$A$3:$A$3390,P$1,'United Data'!$C$3:$C$3390,$A1544,'United Data'!$B$3:$B$3390,"&lt;&gt;Off-street")&gt;0,1,0)</f>
        <v>0</v>
      </c>
      <c r="Q1544">
        <f>IF(COUNTIFS('United Data'!$A$3:$A$3390,Q$1,'United Data'!$C$3:$C$3390,$A1544,'United Data'!$B$3:$B$3390,"&lt;&gt;Off-street")&gt;0,1,0)</f>
        <v>0</v>
      </c>
      <c r="R1544">
        <f>IF(COUNTIFS('United Data'!$A$3:$A$3390,R$1,'United Data'!$C$3:$C$3390,$A1544,'United Data'!$B$3:$B$3390,"&lt;&gt;Off-street")&gt;0,1,0)</f>
        <v>0</v>
      </c>
      <c r="S1544">
        <f t="shared" si="48"/>
        <v>1</v>
      </c>
      <c r="T1544">
        <f t="shared" si="49"/>
        <v>1</v>
      </c>
    </row>
    <row r="1545" spans="1:20" x14ac:dyDescent="0.2">
      <c r="A1545" t="s">
        <v>1824</v>
      </c>
      <c r="B1545">
        <f>IF(COUNTIFS('United Data'!$A$3:$A$3390,B$1,'United Data'!$C$3:$C$3390,$A1545,'United Data'!$B$3:$B$3390,"&lt;&gt;Off-street")&gt;0,1,0)</f>
        <v>0</v>
      </c>
      <c r="C1545">
        <f>IF(COUNTIFS('United Data'!$A$3:$A$3390,C$1,'United Data'!$C$3:$C$3390,$A1545,'United Data'!$B$3:$B$3390,"&lt;&gt;Off-street")&gt;0,1,0)</f>
        <v>0</v>
      </c>
      <c r="D1545">
        <f>IF(COUNTIFS('United Data'!$A$3:$A$3390,D$1,'United Data'!$C$3:$C$3390,$A1545,'United Data'!$B$3:$B$3390,"&lt;&gt;Off-street")&gt;0,1,0)</f>
        <v>0</v>
      </c>
      <c r="E1545">
        <f>IF(COUNTIFS('United Data'!$A$3:$A$3390,E$1,'United Data'!$C$3:$C$3390,$A1545,'United Data'!$B$3:$B$3390,"&lt;&gt;Off-street")&gt;0,1,0)</f>
        <v>0</v>
      </c>
      <c r="F1545">
        <f>IF(COUNTIFS('United Data'!$A$3:$A$3390,F$1,'United Data'!$C$3:$C$3390,$A1545,'United Data'!$B$3:$B$3390,"&lt;&gt;Off-street")&gt;0,1,0)</f>
        <v>0</v>
      </c>
      <c r="G1545">
        <f>IF(COUNTIFS('United Data'!$A$3:$A$3390,G$1,'United Data'!$C$3:$C$3390,$A1545,'United Data'!$B$3:$B$3390,"&lt;&gt;Off-street")&gt;0,1,0)</f>
        <v>0</v>
      </c>
      <c r="H1545">
        <f>IF(COUNTIFS('United Data'!$A$3:$A$3390,H$1,'United Data'!$C$3:$C$3390,$A1545,'United Data'!$B$3:$B$3390,"&lt;&gt;Off-street")&gt;0,1,0)</f>
        <v>1</v>
      </c>
      <c r="I1545">
        <f>IF(COUNTIFS('United Data'!$A$3:$A$3390,I$1,'United Data'!$C$3:$C$3390,$A1545,'United Data'!$B$3:$B$3390,"&lt;&gt;Off-street")&gt;0,1,0)</f>
        <v>0</v>
      </c>
      <c r="J1545">
        <f>IF(COUNTIFS('United Data'!$A$3:$A$3390,J$1,'United Data'!$C$3:$C$3390,$A1545,'United Data'!$B$3:$B$3390,"&lt;&gt;Off-street")&gt;0,1,0)</f>
        <v>0</v>
      </c>
      <c r="K1545">
        <f>IF(COUNTIFS('United Data'!$A$3:$A$3390,K$1,'United Data'!$C$3:$C$3390,$A1545,'United Data'!$B$3:$B$3390,"&lt;&gt;Off-street")&gt;0,1,0)</f>
        <v>0</v>
      </c>
      <c r="L1545">
        <f>IF(COUNTIFS('United Data'!$A$3:$A$3390,L$1,'United Data'!$C$3:$C$3390,$A1545,'United Data'!$B$3:$B$3390,"&lt;&gt;Off-street")&gt;0,1,0)</f>
        <v>0</v>
      </c>
      <c r="M1545">
        <f>IF(COUNTIFS('United Data'!$A$3:$A$3390,M$1,'United Data'!$C$3:$C$3390,$A1545,'United Data'!$B$3:$B$3390,"&lt;&gt;Off-street")&gt;0,1,0)</f>
        <v>0</v>
      </c>
      <c r="N1545">
        <f>IF(COUNTIFS('United Data'!$A$3:$A$3390,N$1,'United Data'!$C$3:$C$3390,$A1545,'United Data'!$B$3:$B$3390,"&lt;&gt;Off-street")&gt;0,1,0)</f>
        <v>0</v>
      </c>
      <c r="O1545">
        <f>IF(COUNTIFS('United Data'!$A$3:$A$3390,O$1,'United Data'!$C$3:$C$3390,$A1545,'United Data'!$B$3:$B$3390,"&lt;&gt;Off-street")&gt;0,1,0)</f>
        <v>0</v>
      </c>
      <c r="P1545">
        <f>IF(COUNTIFS('United Data'!$A$3:$A$3390,P$1,'United Data'!$C$3:$C$3390,$A1545,'United Data'!$B$3:$B$3390,"&lt;&gt;Off-street")&gt;0,1,0)</f>
        <v>0</v>
      </c>
      <c r="Q1545">
        <f>IF(COUNTIFS('United Data'!$A$3:$A$3390,Q$1,'United Data'!$C$3:$C$3390,$A1545,'United Data'!$B$3:$B$3390,"&lt;&gt;Off-street")&gt;0,1,0)</f>
        <v>0</v>
      </c>
      <c r="R1545">
        <f>IF(COUNTIFS('United Data'!$A$3:$A$3390,R$1,'United Data'!$C$3:$C$3390,$A1545,'United Data'!$B$3:$B$3390,"&lt;&gt;Off-street")&gt;0,1,0)</f>
        <v>0</v>
      </c>
      <c r="S1545">
        <f t="shared" si="48"/>
        <v>1</v>
      </c>
      <c r="T1545">
        <f t="shared" si="49"/>
        <v>1</v>
      </c>
    </row>
    <row r="1546" spans="1:20" x14ac:dyDescent="0.2">
      <c r="A1546" t="s">
        <v>1825</v>
      </c>
      <c r="B1546">
        <f>IF(COUNTIFS('United Data'!$A$3:$A$3390,B$1,'United Data'!$C$3:$C$3390,$A1546,'United Data'!$B$3:$B$3390,"&lt;&gt;Off-street")&gt;0,1,0)</f>
        <v>0</v>
      </c>
      <c r="C1546">
        <f>IF(COUNTIFS('United Data'!$A$3:$A$3390,C$1,'United Data'!$C$3:$C$3390,$A1546,'United Data'!$B$3:$B$3390,"&lt;&gt;Off-street")&gt;0,1,0)</f>
        <v>0</v>
      </c>
      <c r="D1546">
        <f>IF(COUNTIFS('United Data'!$A$3:$A$3390,D$1,'United Data'!$C$3:$C$3390,$A1546,'United Data'!$B$3:$B$3390,"&lt;&gt;Off-street")&gt;0,1,0)</f>
        <v>0</v>
      </c>
      <c r="E1546">
        <f>IF(COUNTIFS('United Data'!$A$3:$A$3390,E$1,'United Data'!$C$3:$C$3390,$A1546,'United Data'!$B$3:$B$3390,"&lt;&gt;Off-street")&gt;0,1,0)</f>
        <v>0</v>
      </c>
      <c r="F1546">
        <f>IF(COUNTIFS('United Data'!$A$3:$A$3390,F$1,'United Data'!$C$3:$C$3390,$A1546,'United Data'!$B$3:$B$3390,"&lt;&gt;Off-street")&gt;0,1,0)</f>
        <v>0</v>
      </c>
      <c r="G1546">
        <f>IF(COUNTIFS('United Data'!$A$3:$A$3390,G$1,'United Data'!$C$3:$C$3390,$A1546,'United Data'!$B$3:$B$3390,"&lt;&gt;Off-street")&gt;0,1,0)</f>
        <v>0</v>
      </c>
      <c r="H1546">
        <f>IF(COUNTIFS('United Data'!$A$3:$A$3390,H$1,'United Data'!$C$3:$C$3390,$A1546,'United Data'!$B$3:$B$3390,"&lt;&gt;Off-street")&gt;0,1,0)</f>
        <v>1</v>
      </c>
      <c r="I1546">
        <f>IF(COUNTIFS('United Data'!$A$3:$A$3390,I$1,'United Data'!$C$3:$C$3390,$A1546,'United Data'!$B$3:$B$3390,"&lt;&gt;Off-street")&gt;0,1,0)</f>
        <v>0</v>
      </c>
      <c r="J1546">
        <f>IF(COUNTIFS('United Data'!$A$3:$A$3390,J$1,'United Data'!$C$3:$C$3390,$A1546,'United Data'!$B$3:$B$3390,"&lt;&gt;Off-street")&gt;0,1,0)</f>
        <v>0</v>
      </c>
      <c r="K1546">
        <f>IF(COUNTIFS('United Data'!$A$3:$A$3390,K$1,'United Data'!$C$3:$C$3390,$A1546,'United Data'!$B$3:$B$3390,"&lt;&gt;Off-street")&gt;0,1,0)</f>
        <v>0</v>
      </c>
      <c r="L1546">
        <f>IF(COUNTIFS('United Data'!$A$3:$A$3390,L$1,'United Data'!$C$3:$C$3390,$A1546,'United Data'!$B$3:$B$3390,"&lt;&gt;Off-street")&gt;0,1,0)</f>
        <v>0</v>
      </c>
      <c r="M1546">
        <f>IF(COUNTIFS('United Data'!$A$3:$A$3390,M$1,'United Data'!$C$3:$C$3390,$A1546,'United Data'!$B$3:$B$3390,"&lt;&gt;Off-street")&gt;0,1,0)</f>
        <v>0</v>
      </c>
      <c r="N1546">
        <f>IF(COUNTIFS('United Data'!$A$3:$A$3390,N$1,'United Data'!$C$3:$C$3390,$A1546,'United Data'!$B$3:$B$3390,"&lt;&gt;Off-street")&gt;0,1,0)</f>
        <v>0</v>
      </c>
      <c r="O1546">
        <f>IF(COUNTIFS('United Data'!$A$3:$A$3390,O$1,'United Data'!$C$3:$C$3390,$A1546,'United Data'!$B$3:$B$3390,"&lt;&gt;Off-street")&gt;0,1,0)</f>
        <v>0</v>
      </c>
      <c r="P1546">
        <f>IF(COUNTIFS('United Data'!$A$3:$A$3390,P$1,'United Data'!$C$3:$C$3390,$A1546,'United Data'!$B$3:$B$3390,"&lt;&gt;Off-street")&gt;0,1,0)</f>
        <v>0</v>
      </c>
      <c r="Q1546">
        <f>IF(COUNTIFS('United Data'!$A$3:$A$3390,Q$1,'United Data'!$C$3:$C$3390,$A1546,'United Data'!$B$3:$B$3390,"&lt;&gt;Off-street")&gt;0,1,0)</f>
        <v>0</v>
      </c>
      <c r="R1546">
        <f>IF(COUNTIFS('United Data'!$A$3:$A$3390,R$1,'United Data'!$C$3:$C$3390,$A1546,'United Data'!$B$3:$B$3390,"&lt;&gt;Off-street")&gt;0,1,0)</f>
        <v>0</v>
      </c>
      <c r="S1546">
        <f t="shared" si="48"/>
        <v>1</v>
      </c>
      <c r="T1546">
        <f t="shared" si="49"/>
        <v>1</v>
      </c>
    </row>
    <row r="1547" spans="1:20" x14ac:dyDescent="0.2">
      <c r="A1547" t="s">
        <v>1826</v>
      </c>
      <c r="B1547">
        <f>IF(COUNTIFS('United Data'!$A$3:$A$3390,B$1,'United Data'!$C$3:$C$3390,$A1547,'United Data'!$B$3:$B$3390,"&lt;&gt;Off-street")&gt;0,1,0)</f>
        <v>0</v>
      </c>
      <c r="C1547">
        <f>IF(COUNTIFS('United Data'!$A$3:$A$3390,C$1,'United Data'!$C$3:$C$3390,$A1547,'United Data'!$B$3:$B$3390,"&lt;&gt;Off-street")&gt;0,1,0)</f>
        <v>0</v>
      </c>
      <c r="D1547">
        <f>IF(COUNTIFS('United Data'!$A$3:$A$3390,D$1,'United Data'!$C$3:$C$3390,$A1547,'United Data'!$B$3:$B$3390,"&lt;&gt;Off-street")&gt;0,1,0)</f>
        <v>0</v>
      </c>
      <c r="E1547">
        <f>IF(COUNTIFS('United Data'!$A$3:$A$3390,E$1,'United Data'!$C$3:$C$3390,$A1547,'United Data'!$B$3:$B$3390,"&lt;&gt;Off-street")&gt;0,1,0)</f>
        <v>0</v>
      </c>
      <c r="F1547">
        <f>IF(COUNTIFS('United Data'!$A$3:$A$3390,F$1,'United Data'!$C$3:$C$3390,$A1547,'United Data'!$B$3:$B$3390,"&lt;&gt;Off-street")&gt;0,1,0)</f>
        <v>0</v>
      </c>
      <c r="G1547">
        <f>IF(COUNTIFS('United Data'!$A$3:$A$3390,G$1,'United Data'!$C$3:$C$3390,$A1547,'United Data'!$B$3:$B$3390,"&lt;&gt;Off-street")&gt;0,1,0)</f>
        <v>0</v>
      </c>
      <c r="H1547">
        <f>IF(COUNTIFS('United Data'!$A$3:$A$3390,H$1,'United Data'!$C$3:$C$3390,$A1547,'United Data'!$B$3:$B$3390,"&lt;&gt;Off-street")&gt;0,1,0)</f>
        <v>0</v>
      </c>
      <c r="I1547">
        <f>IF(COUNTIFS('United Data'!$A$3:$A$3390,I$1,'United Data'!$C$3:$C$3390,$A1547,'United Data'!$B$3:$B$3390,"&lt;&gt;Off-street")&gt;0,1,0)</f>
        <v>1</v>
      </c>
      <c r="J1547">
        <f>IF(COUNTIFS('United Data'!$A$3:$A$3390,J$1,'United Data'!$C$3:$C$3390,$A1547,'United Data'!$B$3:$B$3390,"&lt;&gt;Off-street")&gt;0,1,0)</f>
        <v>0</v>
      </c>
      <c r="K1547">
        <f>IF(COUNTIFS('United Data'!$A$3:$A$3390,K$1,'United Data'!$C$3:$C$3390,$A1547,'United Data'!$B$3:$B$3390,"&lt;&gt;Off-street")&gt;0,1,0)</f>
        <v>0</v>
      </c>
      <c r="L1547">
        <f>IF(COUNTIFS('United Data'!$A$3:$A$3390,L$1,'United Data'!$C$3:$C$3390,$A1547,'United Data'!$B$3:$B$3390,"&lt;&gt;Off-street")&gt;0,1,0)</f>
        <v>1</v>
      </c>
      <c r="M1547">
        <f>IF(COUNTIFS('United Data'!$A$3:$A$3390,M$1,'United Data'!$C$3:$C$3390,$A1547,'United Data'!$B$3:$B$3390,"&lt;&gt;Off-street")&gt;0,1,0)</f>
        <v>0</v>
      </c>
      <c r="N1547">
        <f>IF(COUNTIFS('United Data'!$A$3:$A$3390,N$1,'United Data'!$C$3:$C$3390,$A1547,'United Data'!$B$3:$B$3390,"&lt;&gt;Off-street")&gt;0,1,0)</f>
        <v>0</v>
      </c>
      <c r="O1547">
        <f>IF(COUNTIFS('United Data'!$A$3:$A$3390,O$1,'United Data'!$C$3:$C$3390,$A1547,'United Data'!$B$3:$B$3390,"&lt;&gt;Off-street")&gt;0,1,0)</f>
        <v>0</v>
      </c>
      <c r="P1547">
        <f>IF(COUNTIFS('United Data'!$A$3:$A$3390,P$1,'United Data'!$C$3:$C$3390,$A1547,'United Data'!$B$3:$B$3390,"&lt;&gt;Off-street")&gt;0,1,0)</f>
        <v>0</v>
      </c>
      <c r="Q1547">
        <f>IF(COUNTIFS('United Data'!$A$3:$A$3390,Q$1,'United Data'!$C$3:$C$3390,$A1547,'United Data'!$B$3:$B$3390,"&lt;&gt;Off-street")&gt;0,1,0)</f>
        <v>0</v>
      </c>
      <c r="R1547">
        <f>IF(COUNTIFS('United Data'!$A$3:$A$3390,R$1,'United Data'!$C$3:$C$3390,$A1547,'United Data'!$B$3:$B$3390,"&lt;&gt;Off-street")&gt;0,1,0)</f>
        <v>0</v>
      </c>
      <c r="S1547">
        <f t="shared" si="48"/>
        <v>2</v>
      </c>
      <c r="T1547">
        <f t="shared" si="49"/>
        <v>2</v>
      </c>
    </row>
    <row r="1548" spans="1:20" x14ac:dyDescent="0.2">
      <c r="A1548" t="s">
        <v>1827</v>
      </c>
      <c r="B1548">
        <f>IF(COUNTIFS('United Data'!$A$3:$A$3390,B$1,'United Data'!$C$3:$C$3390,$A1548,'United Data'!$B$3:$B$3390,"&lt;&gt;Off-street")&gt;0,1,0)</f>
        <v>0</v>
      </c>
      <c r="C1548">
        <f>IF(COUNTIFS('United Data'!$A$3:$A$3390,C$1,'United Data'!$C$3:$C$3390,$A1548,'United Data'!$B$3:$B$3390,"&lt;&gt;Off-street")&gt;0,1,0)</f>
        <v>0</v>
      </c>
      <c r="D1548">
        <f>IF(COUNTIFS('United Data'!$A$3:$A$3390,D$1,'United Data'!$C$3:$C$3390,$A1548,'United Data'!$B$3:$B$3390,"&lt;&gt;Off-street")&gt;0,1,0)</f>
        <v>0</v>
      </c>
      <c r="E1548">
        <f>IF(COUNTIFS('United Data'!$A$3:$A$3390,E$1,'United Data'!$C$3:$C$3390,$A1548,'United Data'!$B$3:$B$3390,"&lt;&gt;Off-street")&gt;0,1,0)</f>
        <v>0</v>
      </c>
      <c r="F1548">
        <f>IF(COUNTIFS('United Data'!$A$3:$A$3390,F$1,'United Data'!$C$3:$C$3390,$A1548,'United Data'!$B$3:$B$3390,"&lt;&gt;Off-street")&gt;0,1,0)</f>
        <v>0</v>
      </c>
      <c r="G1548">
        <f>IF(COUNTIFS('United Data'!$A$3:$A$3390,G$1,'United Data'!$C$3:$C$3390,$A1548,'United Data'!$B$3:$B$3390,"&lt;&gt;Off-street")&gt;0,1,0)</f>
        <v>0</v>
      </c>
      <c r="H1548">
        <f>IF(COUNTIFS('United Data'!$A$3:$A$3390,H$1,'United Data'!$C$3:$C$3390,$A1548,'United Data'!$B$3:$B$3390,"&lt;&gt;Off-street")&gt;0,1,0)</f>
        <v>0</v>
      </c>
      <c r="I1548">
        <f>IF(COUNTIFS('United Data'!$A$3:$A$3390,I$1,'United Data'!$C$3:$C$3390,$A1548,'United Data'!$B$3:$B$3390,"&lt;&gt;Off-street")&gt;0,1,0)</f>
        <v>1</v>
      </c>
      <c r="J1548">
        <f>IF(COUNTIFS('United Data'!$A$3:$A$3390,J$1,'United Data'!$C$3:$C$3390,$A1548,'United Data'!$B$3:$B$3390,"&lt;&gt;Off-street")&gt;0,1,0)</f>
        <v>0</v>
      </c>
      <c r="K1548">
        <f>IF(COUNTIFS('United Data'!$A$3:$A$3390,K$1,'United Data'!$C$3:$C$3390,$A1548,'United Data'!$B$3:$B$3390,"&lt;&gt;Off-street")&gt;0,1,0)</f>
        <v>1</v>
      </c>
      <c r="L1548">
        <f>IF(COUNTIFS('United Data'!$A$3:$A$3390,L$1,'United Data'!$C$3:$C$3390,$A1548,'United Data'!$B$3:$B$3390,"&lt;&gt;Off-street")&gt;0,1,0)</f>
        <v>0</v>
      </c>
      <c r="M1548">
        <f>IF(COUNTIFS('United Data'!$A$3:$A$3390,M$1,'United Data'!$C$3:$C$3390,$A1548,'United Data'!$B$3:$B$3390,"&lt;&gt;Off-street")&gt;0,1,0)</f>
        <v>1</v>
      </c>
      <c r="N1548">
        <f>IF(COUNTIFS('United Data'!$A$3:$A$3390,N$1,'United Data'!$C$3:$C$3390,$A1548,'United Data'!$B$3:$B$3390,"&lt;&gt;Off-street")&gt;0,1,0)</f>
        <v>0</v>
      </c>
      <c r="O1548">
        <f>IF(COUNTIFS('United Data'!$A$3:$A$3390,O$1,'United Data'!$C$3:$C$3390,$A1548,'United Data'!$B$3:$B$3390,"&lt;&gt;Off-street")&gt;0,1,0)</f>
        <v>0</v>
      </c>
      <c r="P1548">
        <f>IF(COUNTIFS('United Data'!$A$3:$A$3390,P$1,'United Data'!$C$3:$C$3390,$A1548,'United Data'!$B$3:$B$3390,"&lt;&gt;Off-street")&gt;0,1,0)</f>
        <v>0</v>
      </c>
      <c r="Q1548">
        <f>IF(COUNTIFS('United Data'!$A$3:$A$3390,Q$1,'United Data'!$C$3:$C$3390,$A1548,'United Data'!$B$3:$B$3390,"&lt;&gt;Off-street")&gt;0,1,0)</f>
        <v>0</v>
      </c>
      <c r="R1548">
        <f>IF(COUNTIFS('United Data'!$A$3:$A$3390,R$1,'United Data'!$C$3:$C$3390,$A1548,'United Data'!$B$3:$B$3390,"&lt;&gt;Off-street")&gt;0,1,0)</f>
        <v>0</v>
      </c>
      <c r="S1548">
        <f t="shared" si="48"/>
        <v>3</v>
      </c>
      <c r="T1548">
        <f t="shared" si="49"/>
        <v>3</v>
      </c>
    </row>
    <row r="1549" spans="1:20" x14ac:dyDescent="0.2">
      <c r="A1549" t="s">
        <v>1828</v>
      </c>
      <c r="B1549">
        <f>IF(COUNTIFS('United Data'!$A$3:$A$3390,B$1,'United Data'!$C$3:$C$3390,$A1549,'United Data'!$B$3:$B$3390,"&lt;&gt;Off-street")&gt;0,1,0)</f>
        <v>0</v>
      </c>
      <c r="C1549">
        <f>IF(COUNTIFS('United Data'!$A$3:$A$3390,C$1,'United Data'!$C$3:$C$3390,$A1549,'United Data'!$B$3:$B$3390,"&lt;&gt;Off-street")&gt;0,1,0)</f>
        <v>0</v>
      </c>
      <c r="D1549">
        <f>IF(COUNTIFS('United Data'!$A$3:$A$3390,D$1,'United Data'!$C$3:$C$3390,$A1549,'United Data'!$B$3:$B$3390,"&lt;&gt;Off-street")&gt;0,1,0)</f>
        <v>0</v>
      </c>
      <c r="E1549">
        <f>IF(COUNTIFS('United Data'!$A$3:$A$3390,E$1,'United Data'!$C$3:$C$3390,$A1549,'United Data'!$B$3:$B$3390,"&lt;&gt;Off-street")&gt;0,1,0)</f>
        <v>0</v>
      </c>
      <c r="F1549">
        <f>IF(COUNTIFS('United Data'!$A$3:$A$3390,F$1,'United Data'!$C$3:$C$3390,$A1549,'United Data'!$B$3:$B$3390,"&lt;&gt;Off-street")&gt;0,1,0)</f>
        <v>0</v>
      </c>
      <c r="G1549">
        <f>IF(COUNTIFS('United Data'!$A$3:$A$3390,G$1,'United Data'!$C$3:$C$3390,$A1549,'United Data'!$B$3:$B$3390,"&lt;&gt;Off-street")&gt;0,1,0)</f>
        <v>0</v>
      </c>
      <c r="H1549">
        <f>IF(COUNTIFS('United Data'!$A$3:$A$3390,H$1,'United Data'!$C$3:$C$3390,$A1549,'United Data'!$B$3:$B$3390,"&lt;&gt;Off-street")&gt;0,1,0)</f>
        <v>0</v>
      </c>
      <c r="I1549">
        <f>IF(COUNTIFS('United Data'!$A$3:$A$3390,I$1,'United Data'!$C$3:$C$3390,$A1549,'United Data'!$B$3:$B$3390,"&lt;&gt;Off-street")&gt;0,1,0)</f>
        <v>0</v>
      </c>
      <c r="J1549">
        <f>IF(COUNTIFS('United Data'!$A$3:$A$3390,J$1,'United Data'!$C$3:$C$3390,$A1549,'United Data'!$B$3:$B$3390,"&lt;&gt;Off-street")&gt;0,1,0)</f>
        <v>1</v>
      </c>
      <c r="K1549">
        <f>IF(COUNTIFS('United Data'!$A$3:$A$3390,K$1,'United Data'!$C$3:$C$3390,$A1549,'United Data'!$B$3:$B$3390,"&lt;&gt;Off-street")&gt;0,1,0)</f>
        <v>0</v>
      </c>
      <c r="L1549">
        <f>IF(COUNTIFS('United Data'!$A$3:$A$3390,L$1,'United Data'!$C$3:$C$3390,$A1549,'United Data'!$B$3:$B$3390,"&lt;&gt;Off-street")&gt;0,1,0)</f>
        <v>0</v>
      </c>
      <c r="M1549">
        <f>IF(COUNTIFS('United Data'!$A$3:$A$3390,M$1,'United Data'!$C$3:$C$3390,$A1549,'United Data'!$B$3:$B$3390,"&lt;&gt;Off-street")&gt;0,1,0)</f>
        <v>0</v>
      </c>
      <c r="N1549">
        <f>IF(COUNTIFS('United Data'!$A$3:$A$3390,N$1,'United Data'!$C$3:$C$3390,$A1549,'United Data'!$B$3:$B$3390,"&lt;&gt;Off-street")&gt;0,1,0)</f>
        <v>0</v>
      </c>
      <c r="O1549">
        <f>IF(COUNTIFS('United Data'!$A$3:$A$3390,O$1,'United Data'!$C$3:$C$3390,$A1549,'United Data'!$B$3:$B$3390,"&lt;&gt;Off-street")&gt;0,1,0)</f>
        <v>0</v>
      </c>
      <c r="P1549">
        <f>IF(COUNTIFS('United Data'!$A$3:$A$3390,P$1,'United Data'!$C$3:$C$3390,$A1549,'United Data'!$B$3:$B$3390,"&lt;&gt;Off-street")&gt;0,1,0)</f>
        <v>0</v>
      </c>
      <c r="Q1549">
        <f>IF(COUNTIFS('United Data'!$A$3:$A$3390,Q$1,'United Data'!$C$3:$C$3390,$A1549,'United Data'!$B$3:$B$3390,"&lt;&gt;Off-street")&gt;0,1,0)</f>
        <v>0</v>
      </c>
      <c r="R1549">
        <f>IF(COUNTIFS('United Data'!$A$3:$A$3390,R$1,'United Data'!$C$3:$C$3390,$A1549,'United Data'!$B$3:$B$3390,"&lt;&gt;Off-street")&gt;0,1,0)</f>
        <v>0</v>
      </c>
      <c r="S1549">
        <f t="shared" si="48"/>
        <v>1</v>
      </c>
      <c r="T1549">
        <f t="shared" si="49"/>
        <v>1</v>
      </c>
    </row>
    <row r="1550" spans="1:20" x14ac:dyDescent="0.2">
      <c r="A1550" t="s">
        <v>1829</v>
      </c>
      <c r="B1550">
        <f>IF(COUNTIFS('United Data'!$A$3:$A$3390,B$1,'United Data'!$C$3:$C$3390,$A1550,'United Data'!$B$3:$B$3390,"&lt;&gt;Off-street")&gt;0,1,0)</f>
        <v>0</v>
      </c>
      <c r="C1550">
        <f>IF(COUNTIFS('United Data'!$A$3:$A$3390,C$1,'United Data'!$C$3:$C$3390,$A1550,'United Data'!$B$3:$B$3390,"&lt;&gt;Off-street")&gt;0,1,0)</f>
        <v>0</v>
      </c>
      <c r="D1550">
        <f>IF(COUNTIFS('United Data'!$A$3:$A$3390,D$1,'United Data'!$C$3:$C$3390,$A1550,'United Data'!$B$3:$B$3390,"&lt;&gt;Off-street")&gt;0,1,0)</f>
        <v>0</v>
      </c>
      <c r="E1550">
        <f>IF(COUNTIFS('United Data'!$A$3:$A$3390,E$1,'United Data'!$C$3:$C$3390,$A1550,'United Data'!$B$3:$B$3390,"&lt;&gt;Off-street")&gt;0,1,0)</f>
        <v>0</v>
      </c>
      <c r="F1550">
        <f>IF(COUNTIFS('United Data'!$A$3:$A$3390,F$1,'United Data'!$C$3:$C$3390,$A1550,'United Data'!$B$3:$B$3390,"&lt;&gt;Off-street")&gt;0,1,0)</f>
        <v>0</v>
      </c>
      <c r="G1550">
        <f>IF(COUNTIFS('United Data'!$A$3:$A$3390,G$1,'United Data'!$C$3:$C$3390,$A1550,'United Data'!$B$3:$B$3390,"&lt;&gt;Off-street")&gt;0,1,0)</f>
        <v>0</v>
      </c>
      <c r="H1550">
        <f>IF(COUNTIFS('United Data'!$A$3:$A$3390,H$1,'United Data'!$C$3:$C$3390,$A1550,'United Data'!$B$3:$B$3390,"&lt;&gt;Off-street")&gt;0,1,0)</f>
        <v>0</v>
      </c>
      <c r="I1550">
        <f>IF(COUNTIFS('United Data'!$A$3:$A$3390,I$1,'United Data'!$C$3:$C$3390,$A1550,'United Data'!$B$3:$B$3390,"&lt;&gt;Off-street")&gt;0,1,0)</f>
        <v>0</v>
      </c>
      <c r="J1550">
        <f>IF(COUNTIFS('United Data'!$A$3:$A$3390,J$1,'United Data'!$C$3:$C$3390,$A1550,'United Data'!$B$3:$B$3390,"&lt;&gt;Off-street")&gt;0,1,0)</f>
        <v>1</v>
      </c>
      <c r="K1550">
        <f>IF(COUNTIFS('United Data'!$A$3:$A$3390,K$1,'United Data'!$C$3:$C$3390,$A1550,'United Data'!$B$3:$B$3390,"&lt;&gt;Off-street")&gt;0,1,0)</f>
        <v>0</v>
      </c>
      <c r="L1550">
        <f>IF(COUNTIFS('United Data'!$A$3:$A$3390,L$1,'United Data'!$C$3:$C$3390,$A1550,'United Data'!$B$3:$B$3390,"&lt;&gt;Off-street")&gt;0,1,0)</f>
        <v>0</v>
      </c>
      <c r="M1550">
        <f>IF(COUNTIFS('United Data'!$A$3:$A$3390,M$1,'United Data'!$C$3:$C$3390,$A1550,'United Data'!$B$3:$B$3390,"&lt;&gt;Off-street")&gt;0,1,0)</f>
        <v>0</v>
      </c>
      <c r="N1550">
        <f>IF(COUNTIFS('United Data'!$A$3:$A$3390,N$1,'United Data'!$C$3:$C$3390,$A1550,'United Data'!$B$3:$B$3390,"&lt;&gt;Off-street")&gt;0,1,0)</f>
        <v>0</v>
      </c>
      <c r="O1550">
        <f>IF(COUNTIFS('United Data'!$A$3:$A$3390,O$1,'United Data'!$C$3:$C$3390,$A1550,'United Data'!$B$3:$B$3390,"&lt;&gt;Off-street")&gt;0,1,0)</f>
        <v>0</v>
      </c>
      <c r="P1550">
        <f>IF(COUNTIFS('United Data'!$A$3:$A$3390,P$1,'United Data'!$C$3:$C$3390,$A1550,'United Data'!$B$3:$B$3390,"&lt;&gt;Off-street")&gt;0,1,0)</f>
        <v>0</v>
      </c>
      <c r="Q1550">
        <f>IF(COUNTIFS('United Data'!$A$3:$A$3390,Q$1,'United Data'!$C$3:$C$3390,$A1550,'United Data'!$B$3:$B$3390,"&lt;&gt;Off-street")&gt;0,1,0)</f>
        <v>0</v>
      </c>
      <c r="R1550">
        <f>IF(COUNTIFS('United Data'!$A$3:$A$3390,R$1,'United Data'!$C$3:$C$3390,$A1550,'United Data'!$B$3:$B$3390,"&lt;&gt;Off-street")&gt;0,1,0)</f>
        <v>0</v>
      </c>
      <c r="S1550">
        <f t="shared" si="48"/>
        <v>1</v>
      </c>
      <c r="T1550">
        <f t="shared" si="49"/>
        <v>1</v>
      </c>
    </row>
    <row r="1551" spans="1:20" x14ac:dyDescent="0.2">
      <c r="A1551" t="s">
        <v>1830</v>
      </c>
      <c r="B1551">
        <f>IF(COUNTIFS('United Data'!$A$3:$A$3390,B$1,'United Data'!$C$3:$C$3390,$A1551,'United Data'!$B$3:$B$3390,"&lt;&gt;Off-street")&gt;0,1,0)</f>
        <v>0</v>
      </c>
      <c r="C1551">
        <f>IF(COUNTIFS('United Data'!$A$3:$A$3390,C$1,'United Data'!$C$3:$C$3390,$A1551,'United Data'!$B$3:$B$3390,"&lt;&gt;Off-street")&gt;0,1,0)</f>
        <v>0</v>
      </c>
      <c r="D1551">
        <f>IF(COUNTIFS('United Data'!$A$3:$A$3390,D$1,'United Data'!$C$3:$C$3390,$A1551,'United Data'!$B$3:$B$3390,"&lt;&gt;Off-street")&gt;0,1,0)</f>
        <v>0</v>
      </c>
      <c r="E1551">
        <f>IF(COUNTIFS('United Data'!$A$3:$A$3390,E$1,'United Data'!$C$3:$C$3390,$A1551,'United Data'!$B$3:$B$3390,"&lt;&gt;Off-street")&gt;0,1,0)</f>
        <v>0</v>
      </c>
      <c r="F1551">
        <f>IF(COUNTIFS('United Data'!$A$3:$A$3390,F$1,'United Data'!$C$3:$C$3390,$A1551,'United Data'!$B$3:$B$3390,"&lt;&gt;Off-street")&gt;0,1,0)</f>
        <v>0</v>
      </c>
      <c r="G1551">
        <f>IF(COUNTIFS('United Data'!$A$3:$A$3390,G$1,'United Data'!$C$3:$C$3390,$A1551,'United Data'!$B$3:$B$3390,"&lt;&gt;Off-street")&gt;0,1,0)</f>
        <v>0</v>
      </c>
      <c r="H1551">
        <f>IF(COUNTIFS('United Data'!$A$3:$A$3390,H$1,'United Data'!$C$3:$C$3390,$A1551,'United Data'!$B$3:$B$3390,"&lt;&gt;Off-street")&gt;0,1,0)</f>
        <v>0</v>
      </c>
      <c r="I1551">
        <f>IF(COUNTIFS('United Data'!$A$3:$A$3390,I$1,'United Data'!$C$3:$C$3390,$A1551,'United Data'!$B$3:$B$3390,"&lt;&gt;Off-street")&gt;0,1,0)</f>
        <v>0</v>
      </c>
      <c r="J1551">
        <f>IF(COUNTIFS('United Data'!$A$3:$A$3390,J$1,'United Data'!$C$3:$C$3390,$A1551,'United Data'!$B$3:$B$3390,"&lt;&gt;Off-street")&gt;0,1,0)</f>
        <v>1</v>
      </c>
      <c r="K1551">
        <f>IF(COUNTIFS('United Data'!$A$3:$A$3390,K$1,'United Data'!$C$3:$C$3390,$A1551,'United Data'!$B$3:$B$3390,"&lt;&gt;Off-street")&gt;0,1,0)</f>
        <v>0</v>
      </c>
      <c r="L1551">
        <f>IF(COUNTIFS('United Data'!$A$3:$A$3390,L$1,'United Data'!$C$3:$C$3390,$A1551,'United Data'!$B$3:$B$3390,"&lt;&gt;Off-street")&gt;0,1,0)</f>
        <v>0</v>
      </c>
      <c r="M1551">
        <f>IF(COUNTIFS('United Data'!$A$3:$A$3390,M$1,'United Data'!$C$3:$C$3390,$A1551,'United Data'!$B$3:$B$3390,"&lt;&gt;Off-street")&gt;0,1,0)</f>
        <v>1</v>
      </c>
      <c r="N1551">
        <f>IF(COUNTIFS('United Data'!$A$3:$A$3390,N$1,'United Data'!$C$3:$C$3390,$A1551,'United Data'!$B$3:$B$3390,"&lt;&gt;Off-street")&gt;0,1,0)</f>
        <v>1</v>
      </c>
      <c r="O1551">
        <f>IF(COUNTIFS('United Data'!$A$3:$A$3390,O$1,'United Data'!$C$3:$C$3390,$A1551,'United Data'!$B$3:$B$3390,"&lt;&gt;Off-street")&gt;0,1,0)</f>
        <v>0</v>
      </c>
      <c r="P1551">
        <f>IF(COUNTIFS('United Data'!$A$3:$A$3390,P$1,'United Data'!$C$3:$C$3390,$A1551,'United Data'!$B$3:$B$3390,"&lt;&gt;Off-street")&gt;0,1,0)</f>
        <v>0</v>
      </c>
      <c r="Q1551">
        <f>IF(COUNTIFS('United Data'!$A$3:$A$3390,Q$1,'United Data'!$C$3:$C$3390,$A1551,'United Data'!$B$3:$B$3390,"&lt;&gt;Off-street")&gt;0,1,0)</f>
        <v>0</v>
      </c>
      <c r="R1551">
        <f>IF(COUNTIFS('United Data'!$A$3:$A$3390,R$1,'United Data'!$C$3:$C$3390,$A1551,'United Data'!$B$3:$B$3390,"&lt;&gt;Off-street")&gt;0,1,0)</f>
        <v>0</v>
      </c>
      <c r="S1551">
        <f t="shared" si="48"/>
        <v>3</v>
      </c>
      <c r="T1551">
        <f t="shared" si="49"/>
        <v>2</v>
      </c>
    </row>
    <row r="1552" spans="1:20" x14ac:dyDescent="0.2">
      <c r="A1552" t="s">
        <v>1831</v>
      </c>
      <c r="B1552">
        <f>IF(COUNTIFS('United Data'!$A$3:$A$3390,B$1,'United Data'!$C$3:$C$3390,$A1552,'United Data'!$B$3:$B$3390,"&lt;&gt;Off-street")&gt;0,1,0)</f>
        <v>0</v>
      </c>
      <c r="C1552">
        <f>IF(COUNTIFS('United Data'!$A$3:$A$3390,C$1,'United Data'!$C$3:$C$3390,$A1552,'United Data'!$B$3:$B$3390,"&lt;&gt;Off-street")&gt;0,1,0)</f>
        <v>0</v>
      </c>
      <c r="D1552">
        <f>IF(COUNTIFS('United Data'!$A$3:$A$3390,D$1,'United Data'!$C$3:$C$3390,$A1552,'United Data'!$B$3:$B$3390,"&lt;&gt;Off-street")&gt;0,1,0)</f>
        <v>0</v>
      </c>
      <c r="E1552">
        <f>IF(COUNTIFS('United Data'!$A$3:$A$3390,E$1,'United Data'!$C$3:$C$3390,$A1552,'United Data'!$B$3:$B$3390,"&lt;&gt;Off-street")&gt;0,1,0)</f>
        <v>0</v>
      </c>
      <c r="F1552">
        <f>IF(COUNTIFS('United Data'!$A$3:$A$3390,F$1,'United Data'!$C$3:$C$3390,$A1552,'United Data'!$B$3:$B$3390,"&lt;&gt;Off-street")&gt;0,1,0)</f>
        <v>0</v>
      </c>
      <c r="G1552">
        <f>IF(COUNTIFS('United Data'!$A$3:$A$3390,G$1,'United Data'!$C$3:$C$3390,$A1552,'United Data'!$B$3:$B$3390,"&lt;&gt;Off-street")&gt;0,1,0)</f>
        <v>0</v>
      </c>
      <c r="H1552">
        <f>IF(COUNTIFS('United Data'!$A$3:$A$3390,H$1,'United Data'!$C$3:$C$3390,$A1552,'United Data'!$B$3:$B$3390,"&lt;&gt;Off-street")&gt;0,1,0)</f>
        <v>0</v>
      </c>
      <c r="I1552">
        <f>IF(COUNTIFS('United Data'!$A$3:$A$3390,I$1,'United Data'!$C$3:$C$3390,$A1552,'United Data'!$B$3:$B$3390,"&lt;&gt;Off-street")&gt;0,1,0)</f>
        <v>0</v>
      </c>
      <c r="J1552">
        <f>IF(COUNTIFS('United Data'!$A$3:$A$3390,J$1,'United Data'!$C$3:$C$3390,$A1552,'United Data'!$B$3:$B$3390,"&lt;&gt;Off-street")&gt;0,1,0)</f>
        <v>0</v>
      </c>
      <c r="K1552">
        <f>IF(COUNTIFS('United Data'!$A$3:$A$3390,K$1,'United Data'!$C$3:$C$3390,$A1552,'United Data'!$B$3:$B$3390,"&lt;&gt;Off-street")&gt;0,1,0)</f>
        <v>1</v>
      </c>
      <c r="L1552">
        <f>IF(COUNTIFS('United Data'!$A$3:$A$3390,L$1,'United Data'!$C$3:$C$3390,$A1552,'United Data'!$B$3:$B$3390,"&lt;&gt;Off-street")&gt;0,1,0)</f>
        <v>0</v>
      </c>
      <c r="M1552">
        <f>IF(COUNTIFS('United Data'!$A$3:$A$3390,M$1,'United Data'!$C$3:$C$3390,$A1552,'United Data'!$B$3:$B$3390,"&lt;&gt;Off-street")&gt;0,1,0)</f>
        <v>0</v>
      </c>
      <c r="N1552">
        <f>IF(COUNTIFS('United Data'!$A$3:$A$3390,N$1,'United Data'!$C$3:$C$3390,$A1552,'United Data'!$B$3:$B$3390,"&lt;&gt;Off-street")&gt;0,1,0)</f>
        <v>0</v>
      </c>
      <c r="O1552">
        <f>IF(COUNTIFS('United Data'!$A$3:$A$3390,O$1,'United Data'!$C$3:$C$3390,$A1552,'United Data'!$B$3:$B$3390,"&lt;&gt;Off-street")&gt;0,1,0)</f>
        <v>0</v>
      </c>
      <c r="P1552">
        <f>IF(COUNTIFS('United Data'!$A$3:$A$3390,P$1,'United Data'!$C$3:$C$3390,$A1552,'United Data'!$B$3:$B$3390,"&lt;&gt;Off-street")&gt;0,1,0)</f>
        <v>0</v>
      </c>
      <c r="Q1552">
        <f>IF(COUNTIFS('United Data'!$A$3:$A$3390,Q$1,'United Data'!$C$3:$C$3390,$A1552,'United Data'!$B$3:$B$3390,"&lt;&gt;Off-street")&gt;0,1,0)</f>
        <v>0</v>
      </c>
      <c r="R1552">
        <f>IF(COUNTIFS('United Data'!$A$3:$A$3390,R$1,'United Data'!$C$3:$C$3390,$A1552,'United Data'!$B$3:$B$3390,"&lt;&gt;Off-street")&gt;0,1,0)</f>
        <v>0</v>
      </c>
      <c r="S1552">
        <f t="shared" si="48"/>
        <v>1</v>
      </c>
      <c r="T1552">
        <f t="shared" si="49"/>
        <v>1</v>
      </c>
    </row>
    <row r="1553" spans="1:20" x14ac:dyDescent="0.2">
      <c r="A1553" t="s">
        <v>1832</v>
      </c>
      <c r="B1553">
        <f>IF(COUNTIFS('United Data'!$A$3:$A$3390,B$1,'United Data'!$C$3:$C$3390,$A1553,'United Data'!$B$3:$B$3390,"&lt;&gt;Off-street")&gt;0,1,0)</f>
        <v>0</v>
      </c>
      <c r="C1553">
        <f>IF(COUNTIFS('United Data'!$A$3:$A$3390,C$1,'United Data'!$C$3:$C$3390,$A1553,'United Data'!$B$3:$B$3390,"&lt;&gt;Off-street")&gt;0,1,0)</f>
        <v>0</v>
      </c>
      <c r="D1553">
        <f>IF(COUNTIFS('United Data'!$A$3:$A$3390,D$1,'United Data'!$C$3:$C$3390,$A1553,'United Data'!$B$3:$B$3390,"&lt;&gt;Off-street")&gt;0,1,0)</f>
        <v>0</v>
      </c>
      <c r="E1553">
        <f>IF(COUNTIFS('United Data'!$A$3:$A$3390,E$1,'United Data'!$C$3:$C$3390,$A1553,'United Data'!$B$3:$B$3390,"&lt;&gt;Off-street")&gt;0,1,0)</f>
        <v>0</v>
      </c>
      <c r="F1553">
        <f>IF(COUNTIFS('United Data'!$A$3:$A$3390,F$1,'United Data'!$C$3:$C$3390,$A1553,'United Data'!$B$3:$B$3390,"&lt;&gt;Off-street")&gt;0,1,0)</f>
        <v>0</v>
      </c>
      <c r="G1553">
        <f>IF(COUNTIFS('United Data'!$A$3:$A$3390,G$1,'United Data'!$C$3:$C$3390,$A1553,'United Data'!$B$3:$B$3390,"&lt;&gt;Off-street")&gt;0,1,0)</f>
        <v>0</v>
      </c>
      <c r="H1553">
        <f>IF(COUNTIFS('United Data'!$A$3:$A$3390,H$1,'United Data'!$C$3:$C$3390,$A1553,'United Data'!$B$3:$B$3390,"&lt;&gt;Off-street")&gt;0,1,0)</f>
        <v>0</v>
      </c>
      <c r="I1553">
        <f>IF(COUNTIFS('United Data'!$A$3:$A$3390,I$1,'United Data'!$C$3:$C$3390,$A1553,'United Data'!$B$3:$B$3390,"&lt;&gt;Off-street")&gt;0,1,0)</f>
        <v>0</v>
      </c>
      <c r="J1553">
        <f>IF(COUNTIFS('United Data'!$A$3:$A$3390,J$1,'United Data'!$C$3:$C$3390,$A1553,'United Data'!$B$3:$B$3390,"&lt;&gt;Off-street")&gt;0,1,0)</f>
        <v>0</v>
      </c>
      <c r="K1553">
        <f>IF(COUNTIFS('United Data'!$A$3:$A$3390,K$1,'United Data'!$C$3:$C$3390,$A1553,'United Data'!$B$3:$B$3390,"&lt;&gt;Off-street")&gt;0,1,0)</f>
        <v>1</v>
      </c>
      <c r="L1553">
        <f>IF(COUNTIFS('United Data'!$A$3:$A$3390,L$1,'United Data'!$C$3:$C$3390,$A1553,'United Data'!$B$3:$B$3390,"&lt;&gt;Off-street")&gt;0,1,0)</f>
        <v>0</v>
      </c>
      <c r="M1553">
        <f>IF(COUNTIFS('United Data'!$A$3:$A$3390,M$1,'United Data'!$C$3:$C$3390,$A1553,'United Data'!$B$3:$B$3390,"&lt;&gt;Off-street")&gt;0,1,0)</f>
        <v>1</v>
      </c>
      <c r="N1553">
        <f>IF(COUNTIFS('United Data'!$A$3:$A$3390,N$1,'United Data'!$C$3:$C$3390,$A1553,'United Data'!$B$3:$B$3390,"&lt;&gt;Off-street")&gt;0,1,0)</f>
        <v>0</v>
      </c>
      <c r="O1553">
        <f>IF(COUNTIFS('United Data'!$A$3:$A$3390,O$1,'United Data'!$C$3:$C$3390,$A1553,'United Data'!$B$3:$B$3390,"&lt;&gt;Off-street")&gt;0,1,0)</f>
        <v>0</v>
      </c>
      <c r="P1553">
        <f>IF(COUNTIFS('United Data'!$A$3:$A$3390,P$1,'United Data'!$C$3:$C$3390,$A1553,'United Data'!$B$3:$B$3390,"&lt;&gt;Off-street")&gt;0,1,0)</f>
        <v>0</v>
      </c>
      <c r="Q1553">
        <f>IF(COUNTIFS('United Data'!$A$3:$A$3390,Q$1,'United Data'!$C$3:$C$3390,$A1553,'United Data'!$B$3:$B$3390,"&lt;&gt;Off-street")&gt;0,1,0)</f>
        <v>0</v>
      </c>
      <c r="R1553">
        <f>IF(COUNTIFS('United Data'!$A$3:$A$3390,R$1,'United Data'!$C$3:$C$3390,$A1553,'United Data'!$B$3:$B$3390,"&lt;&gt;Off-street")&gt;0,1,0)</f>
        <v>0</v>
      </c>
      <c r="S1553">
        <f t="shared" si="48"/>
        <v>2</v>
      </c>
      <c r="T1553">
        <f t="shared" si="49"/>
        <v>2</v>
      </c>
    </row>
    <row r="1554" spans="1:20" x14ac:dyDescent="0.2">
      <c r="A1554" t="s">
        <v>1833</v>
      </c>
      <c r="B1554">
        <f>IF(COUNTIFS('United Data'!$A$3:$A$3390,B$1,'United Data'!$C$3:$C$3390,$A1554,'United Data'!$B$3:$B$3390,"&lt;&gt;Off-street")&gt;0,1,0)</f>
        <v>0</v>
      </c>
      <c r="C1554">
        <f>IF(COUNTIFS('United Data'!$A$3:$A$3390,C$1,'United Data'!$C$3:$C$3390,$A1554,'United Data'!$B$3:$B$3390,"&lt;&gt;Off-street")&gt;0,1,0)</f>
        <v>0</v>
      </c>
      <c r="D1554">
        <f>IF(COUNTIFS('United Data'!$A$3:$A$3390,D$1,'United Data'!$C$3:$C$3390,$A1554,'United Data'!$B$3:$B$3390,"&lt;&gt;Off-street")&gt;0,1,0)</f>
        <v>0</v>
      </c>
      <c r="E1554">
        <f>IF(COUNTIFS('United Data'!$A$3:$A$3390,E$1,'United Data'!$C$3:$C$3390,$A1554,'United Data'!$B$3:$B$3390,"&lt;&gt;Off-street")&gt;0,1,0)</f>
        <v>0</v>
      </c>
      <c r="F1554">
        <f>IF(COUNTIFS('United Data'!$A$3:$A$3390,F$1,'United Data'!$C$3:$C$3390,$A1554,'United Data'!$B$3:$B$3390,"&lt;&gt;Off-street")&gt;0,1,0)</f>
        <v>0</v>
      </c>
      <c r="G1554">
        <f>IF(COUNTIFS('United Data'!$A$3:$A$3390,G$1,'United Data'!$C$3:$C$3390,$A1554,'United Data'!$B$3:$B$3390,"&lt;&gt;Off-street")&gt;0,1,0)</f>
        <v>0</v>
      </c>
      <c r="H1554">
        <f>IF(COUNTIFS('United Data'!$A$3:$A$3390,H$1,'United Data'!$C$3:$C$3390,$A1554,'United Data'!$B$3:$B$3390,"&lt;&gt;Off-street")&gt;0,1,0)</f>
        <v>0</v>
      </c>
      <c r="I1554">
        <f>IF(COUNTIFS('United Data'!$A$3:$A$3390,I$1,'United Data'!$C$3:$C$3390,$A1554,'United Data'!$B$3:$B$3390,"&lt;&gt;Off-street")&gt;0,1,0)</f>
        <v>0</v>
      </c>
      <c r="J1554">
        <f>IF(COUNTIFS('United Data'!$A$3:$A$3390,J$1,'United Data'!$C$3:$C$3390,$A1554,'United Data'!$B$3:$B$3390,"&lt;&gt;Off-street")&gt;0,1,0)</f>
        <v>0</v>
      </c>
      <c r="K1554">
        <f>IF(COUNTIFS('United Data'!$A$3:$A$3390,K$1,'United Data'!$C$3:$C$3390,$A1554,'United Data'!$B$3:$B$3390,"&lt;&gt;Off-street")&gt;0,1,0)</f>
        <v>1</v>
      </c>
      <c r="L1554">
        <f>IF(COUNTIFS('United Data'!$A$3:$A$3390,L$1,'United Data'!$C$3:$C$3390,$A1554,'United Data'!$B$3:$B$3390,"&lt;&gt;Off-street")&gt;0,1,0)</f>
        <v>0</v>
      </c>
      <c r="M1554">
        <f>IF(COUNTIFS('United Data'!$A$3:$A$3390,M$1,'United Data'!$C$3:$C$3390,$A1554,'United Data'!$B$3:$B$3390,"&lt;&gt;Off-street")&gt;0,1,0)</f>
        <v>0</v>
      </c>
      <c r="N1554">
        <f>IF(COUNTIFS('United Data'!$A$3:$A$3390,N$1,'United Data'!$C$3:$C$3390,$A1554,'United Data'!$B$3:$B$3390,"&lt;&gt;Off-street")&gt;0,1,0)</f>
        <v>0</v>
      </c>
      <c r="O1554">
        <f>IF(COUNTIFS('United Data'!$A$3:$A$3390,O$1,'United Data'!$C$3:$C$3390,$A1554,'United Data'!$B$3:$B$3390,"&lt;&gt;Off-street")&gt;0,1,0)</f>
        <v>0</v>
      </c>
      <c r="P1554">
        <f>IF(COUNTIFS('United Data'!$A$3:$A$3390,P$1,'United Data'!$C$3:$C$3390,$A1554,'United Data'!$B$3:$B$3390,"&lt;&gt;Off-street")&gt;0,1,0)</f>
        <v>0</v>
      </c>
      <c r="Q1554">
        <f>IF(COUNTIFS('United Data'!$A$3:$A$3390,Q$1,'United Data'!$C$3:$C$3390,$A1554,'United Data'!$B$3:$B$3390,"&lt;&gt;Off-street")&gt;0,1,0)</f>
        <v>0</v>
      </c>
      <c r="R1554">
        <f>IF(COUNTIFS('United Data'!$A$3:$A$3390,R$1,'United Data'!$C$3:$C$3390,$A1554,'United Data'!$B$3:$B$3390,"&lt;&gt;Off-street")&gt;0,1,0)</f>
        <v>0</v>
      </c>
      <c r="S1554">
        <f t="shared" si="48"/>
        <v>1</v>
      </c>
      <c r="T1554">
        <f t="shared" si="49"/>
        <v>1</v>
      </c>
    </row>
    <row r="1555" spans="1:20" x14ac:dyDescent="0.2">
      <c r="A1555" t="s">
        <v>1834</v>
      </c>
      <c r="B1555">
        <f>IF(COUNTIFS('United Data'!$A$3:$A$3390,B$1,'United Data'!$C$3:$C$3390,$A1555,'United Data'!$B$3:$B$3390,"&lt;&gt;Off-street")&gt;0,1,0)</f>
        <v>0</v>
      </c>
      <c r="C1555">
        <f>IF(COUNTIFS('United Data'!$A$3:$A$3390,C$1,'United Data'!$C$3:$C$3390,$A1555,'United Data'!$B$3:$B$3390,"&lt;&gt;Off-street")&gt;0,1,0)</f>
        <v>0</v>
      </c>
      <c r="D1555">
        <f>IF(COUNTIFS('United Data'!$A$3:$A$3390,D$1,'United Data'!$C$3:$C$3390,$A1555,'United Data'!$B$3:$B$3390,"&lt;&gt;Off-street")&gt;0,1,0)</f>
        <v>0</v>
      </c>
      <c r="E1555">
        <f>IF(COUNTIFS('United Data'!$A$3:$A$3390,E$1,'United Data'!$C$3:$C$3390,$A1555,'United Data'!$B$3:$B$3390,"&lt;&gt;Off-street")&gt;0,1,0)</f>
        <v>0</v>
      </c>
      <c r="F1555">
        <f>IF(COUNTIFS('United Data'!$A$3:$A$3390,F$1,'United Data'!$C$3:$C$3390,$A1555,'United Data'!$B$3:$B$3390,"&lt;&gt;Off-street")&gt;0,1,0)</f>
        <v>0</v>
      </c>
      <c r="G1555">
        <f>IF(COUNTIFS('United Data'!$A$3:$A$3390,G$1,'United Data'!$C$3:$C$3390,$A1555,'United Data'!$B$3:$B$3390,"&lt;&gt;Off-street")&gt;0,1,0)</f>
        <v>0</v>
      </c>
      <c r="H1555">
        <f>IF(COUNTIFS('United Data'!$A$3:$A$3390,H$1,'United Data'!$C$3:$C$3390,$A1555,'United Data'!$B$3:$B$3390,"&lt;&gt;Off-street")&gt;0,1,0)</f>
        <v>0</v>
      </c>
      <c r="I1555">
        <f>IF(COUNTIFS('United Data'!$A$3:$A$3390,I$1,'United Data'!$C$3:$C$3390,$A1555,'United Data'!$B$3:$B$3390,"&lt;&gt;Off-street")&gt;0,1,0)</f>
        <v>0</v>
      </c>
      <c r="J1555">
        <f>IF(COUNTIFS('United Data'!$A$3:$A$3390,J$1,'United Data'!$C$3:$C$3390,$A1555,'United Data'!$B$3:$B$3390,"&lt;&gt;Off-street")&gt;0,1,0)</f>
        <v>0</v>
      </c>
      <c r="K1555">
        <f>IF(COUNTIFS('United Data'!$A$3:$A$3390,K$1,'United Data'!$C$3:$C$3390,$A1555,'United Data'!$B$3:$B$3390,"&lt;&gt;Off-street")&gt;0,1,0)</f>
        <v>1</v>
      </c>
      <c r="L1555">
        <f>IF(COUNTIFS('United Data'!$A$3:$A$3390,L$1,'United Data'!$C$3:$C$3390,$A1555,'United Data'!$B$3:$B$3390,"&lt;&gt;Off-street")&gt;0,1,0)</f>
        <v>0</v>
      </c>
      <c r="M1555">
        <f>IF(COUNTIFS('United Data'!$A$3:$A$3390,M$1,'United Data'!$C$3:$C$3390,$A1555,'United Data'!$B$3:$B$3390,"&lt;&gt;Off-street")&gt;0,1,0)</f>
        <v>0</v>
      </c>
      <c r="N1555">
        <f>IF(COUNTIFS('United Data'!$A$3:$A$3390,N$1,'United Data'!$C$3:$C$3390,$A1555,'United Data'!$B$3:$B$3390,"&lt;&gt;Off-street")&gt;0,1,0)</f>
        <v>0</v>
      </c>
      <c r="O1555">
        <f>IF(COUNTIFS('United Data'!$A$3:$A$3390,O$1,'United Data'!$C$3:$C$3390,$A1555,'United Data'!$B$3:$B$3390,"&lt;&gt;Off-street")&gt;0,1,0)</f>
        <v>0</v>
      </c>
      <c r="P1555">
        <f>IF(COUNTIFS('United Data'!$A$3:$A$3390,P$1,'United Data'!$C$3:$C$3390,$A1555,'United Data'!$B$3:$B$3390,"&lt;&gt;Off-street")&gt;0,1,0)</f>
        <v>0</v>
      </c>
      <c r="Q1555">
        <f>IF(COUNTIFS('United Data'!$A$3:$A$3390,Q$1,'United Data'!$C$3:$C$3390,$A1555,'United Data'!$B$3:$B$3390,"&lt;&gt;Off-street")&gt;0,1,0)</f>
        <v>0</v>
      </c>
      <c r="R1555">
        <f>IF(COUNTIFS('United Data'!$A$3:$A$3390,R$1,'United Data'!$C$3:$C$3390,$A1555,'United Data'!$B$3:$B$3390,"&lt;&gt;Off-street")&gt;0,1,0)</f>
        <v>0</v>
      </c>
      <c r="S1555">
        <f t="shared" si="48"/>
        <v>1</v>
      </c>
      <c r="T1555">
        <f t="shared" si="49"/>
        <v>1</v>
      </c>
    </row>
    <row r="1556" spans="1:20" x14ac:dyDescent="0.2">
      <c r="A1556" t="s">
        <v>1835</v>
      </c>
      <c r="B1556">
        <f>IF(COUNTIFS('United Data'!$A$3:$A$3390,B$1,'United Data'!$C$3:$C$3390,$A1556,'United Data'!$B$3:$B$3390,"&lt;&gt;Off-street")&gt;0,1,0)</f>
        <v>0</v>
      </c>
      <c r="C1556">
        <f>IF(COUNTIFS('United Data'!$A$3:$A$3390,C$1,'United Data'!$C$3:$C$3390,$A1556,'United Data'!$B$3:$B$3390,"&lt;&gt;Off-street")&gt;0,1,0)</f>
        <v>0</v>
      </c>
      <c r="D1556">
        <f>IF(COUNTIFS('United Data'!$A$3:$A$3390,D$1,'United Data'!$C$3:$C$3390,$A1556,'United Data'!$B$3:$B$3390,"&lt;&gt;Off-street")&gt;0,1,0)</f>
        <v>0</v>
      </c>
      <c r="E1556">
        <f>IF(COUNTIFS('United Data'!$A$3:$A$3390,E$1,'United Data'!$C$3:$C$3390,$A1556,'United Data'!$B$3:$B$3390,"&lt;&gt;Off-street")&gt;0,1,0)</f>
        <v>0</v>
      </c>
      <c r="F1556">
        <f>IF(COUNTIFS('United Data'!$A$3:$A$3390,F$1,'United Data'!$C$3:$C$3390,$A1556,'United Data'!$B$3:$B$3390,"&lt;&gt;Off-street")&gt;0,1,0)</f>
        <v>0</v>
      </c>
      <c r="G1556">
        <f>IF(COUNTIFS('United Data'!$A$3:$A$3390,G$1,'United Data'!$C$3:$C$3390,$A1556,'United Data'!$B$3:$B$3390,"&lt;&gt;Off-street")&gt;0,1,0)</f>
        <v>0</v>
      </c>
      <c r="H1556">
        <f>IF(COUNTIFS('United Data'!$A$3:$A$3390,H$1,'United Data'!$C$3:$C$3390,$A1556,'United Data'!$B$3:$B$3390,"&lt;&gt;Off-street")&gt;0,1,0)</f>
        <v>0</v>
      </c>
      <c r="I1556">
        <f>IF(COUNTIFS('United Data'!$A$3:$A$3390,I$1,'United Data'!$C$3:$C$3390,$A1556,'United Data'!$B$3:$B$3390,"&lt;&gt;Off-street")&gt;0,1,0)</f>
        <v>0</v>
      </c>
      <c r="J1556">
        <f>IF(COUNTIFS('United Data'!$A$3:$A$3390,J$1,'United Data'!$C$3:$C$3390,$A1556,'United Data'!$B$3:$B$3390,"&lt;&gt;Off-street")&gt;0,1,0)</f>
        <v>0</v>
      </c>
      <c r="K1556">
        <f>IF(COUNTIFS('United Data'!$A$3:$A$3390,K$1,'United Data'!$C$3:$C$3390,$A1556,'United Data'!$B$3:$B$3390,"&lt;&gt;Off-street")&gt;0,1,0)</f>
        <v>1</v>
      </c>
      <c r="L1556">
        <f>IF(COUNTIFS('United Data'!$A$3:$A$3390,L$1,'United Data'!$C$3:$C$3390,$A1556,'United Data'!$B$3:$B$3390,"&lt;&gt;Off-street")&gt;0,1,0)</f>
        <v>0</v>
      </c>
      <c r="M1556">
        <f>IF(COUNTIFS('United Data'!$A$3:$A$3390,M$1,'United Data'!$C$3:$C$3390,$A1556,'United Data'!$B$3:$B$3390,"&lt;&gt;Off-street")&gt;0,1,0)</f>
        <v>0</v>
      </c>
      <c r="N1556">
        <f>IF(COUNTIFS('United Data'!$A$3:$A$3390,N$1,'United Data'!$C$3:$C$3390,$A1556,'United Data'!$B$3:$B$3390,"&lt;&gt;Off-street")&gt;0,1,0)</f>
        <v>0</v>
      </c>
      <c r="O1556">
        <f>IF(COUNTIFS('United Data'!$A$3:$A$3390,O$1,'United Data'!$C$3:$C$3390,$A1556,'United Data'!$B$3:$B$3390,"&lt;&gt;Off-street")&gt;0,1,0)</f>
        <v>0</v>
      </c>
      <c r="P1556">
        <f>IF(COUNTIFS('United Data'!$A$3:$A$3390,P$1,'United Data'!$C$3:$C$3390,$A1556,'United Data'!$B$3:$B$3390,"&lt;&gt;Off-street")&gt;0,1,0)</f>
        <v>0</v>
      </c>
      <c r="Q1556">
        <f>IF(COUNTIFS('United Data'!$A$3:$A$3390,Q$1,'United Data'!$C$3:$C$3390,$A1556,'United Data'!$B$3:$B$3390,"&lt;&gt;Off-street")&gt;0,1,0)</f>
        <v>0</v>
      </c>
      <c r="R1556">
        <f>IF(COUNTIFS('United Data'!$A$3:$A$3390,R$1,'United Data'!$C$3:$C$3390,$A1556,'United Data'!$B$3:$B$3390,"&lt;&gt;Off-street")&gt;0,1,0)</f>
        <v>0</v>
      </c>
      <c r="S1556">
        <f t="shared" si="48"/>
        <v>1</v>
      </c>
      <c r="T1556">
        <f t="shared" si="49"/>
        <v>1</v>
      </c>
    </row>
    <row r="1557" spans="1:20" x14ac:dyDescent="0.2">
      <c r="A1557" t="s">
        <v>1836</v>
      </c>
      <c r="B1557">
        <f>IF(COUNTIFS('United Data'!$A$3:$A$3390,B$1,'United Data'!$C$3:$C$3390,$A1557,'United Data'!$B$3:$B$3390,"&lt;&gt;Off-street")&gt;0,1,0)</f>
        <v>0</v>
      </c>
      <c r="C1557">
        <f>IF(COUNTIFS('United Data'!$A$3:$A$3390,C$1,'United Data'!$C$3:$C$3390,$A1557,'United Data'!$B$3:$B$3390,"&lt;&gt;Off-street")&gt;0,1,0)</f>
        <v>0</v>
      </c>
      <c r="D1557">
        <f>IF(COUNTIFS('United Data'!$A$3:$A$3390,D$1,'United Data'!$C$3:$C$3390,$A1557,'United Data'!$B$3:$B$3390,"&lt;&gt;Off-street")&gt;0,1,0)</f>
        <v>0</v>
      </c>
      <c r="E1557">
        <f>IF(COUNTIFS('United Data'!$A$3:$A$3390,E$1,'United Data'!$C$3:$C$3390,$A1557,'United Data'!$B$3:$B$3390,"&lt;&gt;Off-street")&gt;0,1,0)</f>
        <v>0</v>
      </c>
      <c r="F1557">
        <f>IF(COUNTIFS('United Data'!$A$3:$A$3390,F$1,'United Data'!$C$3:$C$3390,$A1557,'United Data'!$B$3:$B$3390,"&lt;&gt;Off-street")&gt;0,1,0)</f>
        <v>0</v>
      </c>
      <c r="G1557">
        <f>IF(COUNTIFS('United Data'!$A$3:$A$3390,G$1,'United Data'!$C$3:$C$3390,$A1557,'United Data'!$B$3:$B$3390,"&lt;&gt;Off-street")&gt;0,1,0)</f>
        <v>0</v>
      </c>
      <c r="H1557">
        <f>IF(COUNTIFS('United Data'!$A$3:$A$3390,H$1,'United Data'!$C$3:$C$3390,$A1557,'United Data'!$B$3:$B$3390,"&lt;&gt;Off-street")&gt;0,1,0)</f>
        <v>0</v>
      </c>
      <c r="I1557">
        <f>IF(COUNTIFS('United Data'!$A$3:$A$3390,I$1,'United Data'!$C$3:$C$3390,$A1557,'United Data'!$B$3:$B$3390,"&lt;&gt;Off-street")&gt;0,1,0)</f>
        <v>0</v>
      </c>
      <c r="J1557">
        <f>IF(COUNTIFS('United Data'!$A$3:$A$3390,J$1,'United Data'!$C$3:$C$3390,$A1557,'United Data'!$B$3:$B$3390,"&lt;&gt;Off-street")&gt;0,1,0)</f>
        <v>0</v>
      </c>
      <c r="K1557">
        <f>IF(COUNTIFS('United Data'!$A$3:$A$3390,K$1,'United Data'!$C$3:$C$3390,$A1557,'United Data'!$B$3:$B$3390,"&lt;&gt;Off-street")&gt;0,1,0)</f>
        <v>1</v>
      </c>
      <c r="L1557">
        <f>IF(COUNTIFS('United Data'!$A$3:$A$3390,L$1,'United Data'!$C$3:$C$3390,$A1557,'United Data'!$B$3:$B$3390,"&lt;&gt;Off-street")&gt;0,1,0)</f>
        <v>0</v>
      </c>
      <c r="M1557">
        <f>IF(COUNTIFS('United Data'!$A$3:$A$3390,M$1,'United Data'!$C$3:$C$3390,$A1557,'United Data'!$B$3:$B$3390,"&lt;&gt;Off-street")&gt;0,1,0)</f>
        <v>0</v>
      </c>
      <c r="N1557">
        <f>IF(COUNTIFS('United Data'!$A$3:$A$3390,N$1,'United Data'!$C$3:$C$3390,$A1557,'United Data'!$B$3:$B$3390,"&lt;&gt;Off-street")&gt;0,1,0)</f>
        <v>0</v>
      </c>
      <c r="O1557">
        <f>IF(COUNTIFS('United Data'!$A$3:$A$3390,O$1,'United Data'!$C$3:$C$3390,$A1557,'United Data'!$B$3:$B$3390,"&lt;&gt;Off-street")&gt;0,1,0)</f>
        <v>0</v>
      </c>
      <c r="P1557">
        <f>IF(COUNTIFS('United Data'!$A$3:$A$3390,P$1,'United Data'!$C$3:$C$3390,$A1557,'United Data'!$B$3:$B$3390,"&lt;&gt;Off-street")&gt;0,1,0)</f>
        <v>0</v>
      </c>
      <c r="Q1557">
        <f>IF(COUNTIFS('United Data'!$A$3:$A$3390,Q$1,'United Data'!$C$3:$C$3390,$A1557,'United Data'!$B$3:$B$3390,"&lt;&gt;Off-street")&gt;0,1,0)</f>
        <v>0</v>
      </c>
      <c r="R1557">
        <f>IF(COUNTIFS('United Data'!$A$3:$A$3390,R$1,'United Data'!$C$3:$C$3390,$A1557,'United Data'!$B$3:$B$3390,"&lt;&gt;Off-street")&gt;0,1,0)</f>
        <v>0</v>
      </c>
      <c r="S1557">
        <f t="shared" si="48"/>
        <v>1</v>
      </c>
      <c r="T1557">
        <f t="shared" si="49"/>
        <v>1</v>
      </c>
    </row>
    <row r="1558" spans="1:20" x14ac:dyDescent="0.2">
      <c r="A1558" t="s">
        <v>1837</v>
      </c>
      <c r="B1558">
        <f>IF(COUNTIFS('United Data'!$A$3:$A$3390,B$1,'United Data'!$C$3:$C$3390,$A1558,'United Data'!$B$3:$B$3390,"&lt;&gt;Off-street")&gt;0,1,0)</f>
        <v>0</v>
      </c>
      <c r="C1558">
        <f>IF(COUNTIFS('United Data'!$A$3:$A$3390,C$1,'United Data'!$C$3:$C$3390,$A1558,'United Data'!$B$3:$B$3390,"&lt;&gt;Off-street")&gt;0,1,0)</f>
        <v>0</v>
      </c>
      <c r="D1558">
        <f>IF(COUNTIFS('United Data'!$A$3:$A$3390,D$1,'United Data'!$C$3:$C$3390,$A1558,'United Data'!$B$3:$B$3390,"&lt;&gt;Off-street")&gt;0,1,0)</f>
        <v>0</v>
      </c>
      <c r="E1558">
        <f>IF(COUNTIFS('United Data'!$A$3:$A$3390,E$1,'United Data'!$C$3:$C$3390,$A1558,'United Data'!$B$3:$B$3390,"&lt;&gt;Off-street")&gt;0,1,0)</f>
        <v>0</v>
      </c>
      <c r="F1558">
        <f>IF(COUNTIFS('United Data'!$A$3:$A$3390,F$1,'United Data'!$C$3:$C$3390,$A1558,'United Data'!$B$3:$B$3390,"&lt;&gt;Off-street")&gt;0,1,0)</f>
        <v>0</v>
      </c>
      <c r="G1558">
        <f>IF(COUNTIFS('United Data'!$A$3:$A$3390,G$1,'United Data'!$C$3:$C$3390,$A1558,'United Data'!$B$3:$B$3390,"&lt;&gt;Off-street")&gt;0,1,0)</f>
        <v>0</v>
      </c>
      <c r="H1558">
        <f>IF(COUNTIFS('United Data'!$A$3:$A$3390,H$1,'United Data'!$C$3:$C$3390,$A1558,'United Data'!$B$3:$B$3390,"&lt;&gt;Off-street")&gt;0,1,0)</f>
        <v>0</v>
      </c>
      <c r="I1558">
        <f>IF(COUNTIFS('United Data'!$A$3:$A$3390,I$1,'United Data'!$C$3:$C$3390,$A1558,'United Data'!$B$3:$B$3390,"&lt;&gt;Off-street")&gt;0,1,0)</f>
        <v>0</v>
      </c>
      <c r="J1558">
        <f>IF(COUNTIFS('United Data'!$A$3:$A$3390,J$1,'United Data'!$C$3:$C$3390,$A1558,'United Data'!$B$3:$B$3390,"&lt;&gt;Off-street")&gt;0,1,0)</f>
        <v>0</v>
      </c>
      <c r="K1558">
        <f>IF(COUNTIFS('United Data'!$A$3:$A$3390,K$1,'United Data'!$C$3:$C$3390,$A1558,'United Data'!$B$3:$B$3390,"&lt;&gt;Off-street")&gt;0,1,0)</f>
        <v>0</v>
      </c>
      <c r="L1558">
        <f>IF(COUNTIFS('United Data'!$A$3:$A$3390,L$1,'United Data'!$C$3:$C$3390,$A1558,'United Data'!$B$3:$B$3390,"&lt;&gt;Off-street")&gt;0,1,0)</f>
        <v>1</v>
      </c>
      <c r="M1558">
        <f>IF(COUNTIFS('United Data'!$A$3:$A$3390,M$1,'United Data'!$C$3:$C$3390,$A1558,'United Data'!$B$3:$B$3390,"&lt;&gt;Off-street")&gt;0,1,0)</f>
        <v>0</v>
      </c>
      <c r="N1558">
        <f>IF(COUNTIFS('United Data'!$A$3:$A$3390,N$1,'United Data'!$C$3:$C$3390,$A1558,'United Data'!$B$3:$B$3390,"&lt;&gt;Off-street")&gt;0,1,0)</f>
        <v>0</v>
      </c>
      <c r="O1558">
        <f>IF(COUNTIFS('United Data'!$A$3:$A$3390,O$1,'United Data'!$C$3:$C$3390,$A1558,'United Data'!$B$3:$B$3390,"&lt;&gt;Off-street")&gt;0,1,0)</f>
        <v>0</v>
      </c>
      <c r="P1558">
        <f>IF(COUNTIFS('United Data'!$A$3:$A$3390,P$1,'United Data'!$C$3:$C$3390,$A1558,'United Data'!$B$3:$B$3390,"&lt;&gt;Off-street")&gt;0,1,0)</f>
        <v>0</v>
      </c>
      <c r="Q1558">
        <f>IF(COUNTIFS('United Data'!$A$3:$A$3390,Q$1,'United Data'!$C$3:$C$3390,$A1558,'United Data'!$B$3:$B$3390,"&lt;&gt;Off-street")&gt;0,1,0)</f>
        <v>0</v>
      </c>
      <c r="R1558">
        <f>IF(COUNTIFS('United Data'!$A$3:$A$3390,R$1,'United Data'!$C$3:$C$3390,$A1558,'United Data'!$B$3:$B$3390,"&lt;&gt;Off-street")&gt;0,1,0)</f>
        <v>0</v>
      </c>
      <c r="S1558">
        <f t="shared" si="48"/>
        <v>1</v>
      </c>
      <c r="T1558">
        <f t="shared" si="49"/>
        <v>1</v>
      </c>
    </row>
    <row r="1559" spans="1:20" x14ac:dyDescent="0.2">
      <c r="A1559" t="s">
        <v>1838</v>
      </c>
      <c r="B1559">
        <f>IF(COUNTIFS('United Data'!$A$3:$A$3390,B$1,'United Data'!$C$3:$C$3390,$A1559,'United Data'!$B$3:$B$3390,"&lt;&gt;Off-street")&gt;0,1,0)</f>
        <v>0</v>
      </c>
      <c r="C1559">
        <f>IF(COUNTIFS('United Data'!$A$3:$A$3390,C$1,'United Data'!$C$3:$C$3390,$A1559,'United Data'!$B$3:$B$3390,"&lt;&gt;Off-street")&gt;0,1,0)</f>
        <v>0</v>
      </c>
      <c r="D1559">
        <f>IF(COUNTIFS('United Data'!$A$3:$A$3390,D$1,'United Data'!$C$3:$C$3390,$A1559,'United Data'!$B$3:$B$3390,"&lt;&gt;Off-street")&gt;0,1,0)</f>
        <v>0</v>
      </c>
      <c r="E1559">
        <f>IF(COUNTIFS('United Data'!$A$3:$A$3390,E$1,'United Data'!$C$3:$C$3390,$A1559,'United Data'!$B$3:$B$3390,"&lt;&gt;Off-street")&gt;0,1,0)</f>
        <v>0</v>
      </c>
      <c r="F1559">
        <f>IF(COUNTIFS('United Data'!$A$3:$A$3390,F$1,'United Data'!$C$3:$C$3390,$A1559,'United Data'!$B$3:$B$3390,"&lt;&gt;Off-street")&gt;0,1,0)</f>
        <v>0</v>
      </c>
      <c r="G1559">
        <f>IF(COUNTIFS('United Data'!$A$3:$A$3390,G$1,'United Data'!$C$3:$C$3390,$A1559,'United Data'!$B$3:$B$3390,"&lt;&gt;Off-street")&gt;0,1,0)</f>
        <v>0</v>
      </c>
      <c r="H1559">
        <f>IF(COUNTIFS('United Data'!$A$3:$A$3390,H$1,'United Data'!$C$3:$C$3390,$A1559,'United Data'!$B$3:$B$3390,"&lt;&gt;Off-street")&gt;0,1,0)</f>
        <v>0</v>
      </c>
      <c r="I1559">
        <f>IF(COUNTIFS('United Data'!$A$3:$A$3390,I$1,'United Data'!$C$3:$C$3390,$A1559,'United Data'!$B$3:$B$3390,"&lt;&gt;Off-street")&gt;0,1,0)</f>
        <v>0</v>
      </c>
      <c r="J1559">
        <f>IF(COUNTIFS('United Data'!$A$3:$A$3390,J$1,'United Data'!$C$3:$C$3390,$A1559,'United Data'!$B$3:$B$3390,"&lt;&gt;Off-street")&gt;0,1,0)</f>
        <v>0</v>
      </c>
      <c r="K1559">
        <f>IF(COUNTIFS('United Data'!$A$3:$A$3390,K$1,'United Data'!$C$3:$C$3390,$A1559,'United Data'!$B$3:$B$3390,"&lt;&gt;Off-street")&gt;0,1,0)</f>
        <v>0</v>
      </c>
      <c r="L1559">
        <f>IF(COUNTIFS('United Data'!$A$3:$A$3390,L$1,'United Data'!$C$3:$C$3390,$A1559,'United Data'!$B$3:$B$3390,"&lt;&gt;Off-street")&gt;0,1,0)</f>
        <v>0</v>
      </c>
      <c r="M1559">
        <f>IF(COUNTIFS('United Data'!$A$3:$A$3390,M$1,'United Data'!$C$3:$C$3390,$A1559,'United Data'!$B$3:$B$3390,"&lt;&gt;Off-street")&gt;0,1,0)</f>
        <v>1</v>
      </c>
      <c r="N1559">
        <f>IF(COUNTIFS('United Data'!$A$3:$A$3390,N$1,'United Data'!$C$3:$C$3390,$A1559,'United Data'!$B$3:$B$3390,"&lt;&gt;Off-street")&gt;0,1,0)</f>
        <v>0</v>
      </c>
      <c r="O1559">
        <f>IF(COUNTIFS('United Data'!$A$3:$A$3390,O$1,'United Data'!$C$3:$C$3390,$A1559,'United Data'!$B$3:$B$3390,"&lt;&gt;Off-street")&gt;0,1,0)</f>
        <v>0</v>
      </c>
      <c r="P1559">
        <f>IF(COUNTIFS('United Data'!$A$3:$A$3390,P$1,'United Data'!$C$3:$C$3390,$A1559,'United Data'!$B$3:$B$3390,"&lt;&gt;Off-street")&gt;0,1,0)</f>
        <v>0</v>
      </c>
      <c r="Q1559">
        <f>IF(COUNTIFS('United Data'!$A$3:$A$3390,Q$1,'United Data'!$C$3:$C$3390,$A1559,'United Data'!$B$3:$B$3390,"&lt;&gt;Off-street")&gt;0,1,0)</f>
        <v>0</v>
      </c>
      <c r="R1559">
        <f>IF(COUNTIFS('United Data'!$A$3:$A$3390,R$1,'United Data'!$C$3:$C$3390,$A1559,'United Data'!$B$3:$B$3390,"&lt;&gt;Off-street")&gt;0,1,0)</f>
        <v>0</v>
      </c>
      <c r="S1559">
        <f t="shared" si="48"/>
        <v>1</v>
      </c>
      <c r="T1559">
        <f t="shared" si="49"/>
        <v>1</v>
      </c>
    </row>
    <row r="1560" spans="1:20" x14ac:dyDescent="0.2">
      <c r="A1560" t="s">
        <v>1839</v>
      </c>
      <c r="B1560">
        <f>IF(COUNTIFS('United Data'!$A$3:$A$3390,B$1,'United Data'!$C$3:$C$3390,$A1560,'United Data'!$B$3:$B$3390,"&lt;&gt;Off-street")&gt;0,1,0)</f>
        <v>0</v>
      </c>
      <c r="C1560">
        <f>IF(COUNTIFS('United Data'!$A$3:$A$3390,C$1,'United Data'!$C$3:$C$3390,$A1560,'United Data'!$B$3:$B$3390,"&lt;&gt;Off-street")&gt;0,1,0)</f>
        <v>0</v>
      </c>
      <c r="D1560">
        <f>IF(COUNTIFS('United Data'!$A$3:$A$3390,D$1,'United Data'!$C$3:$C$3390,$A1560,'United Data'!$B$3:$B$3390,"&lt;&gt;Off-street")&gt;0,1,0)</f>
        <v>0</v>
      </c>
      <c r="E1560">
        <f>IF(COUNTIFS('United Data'!$A$3:$A$3390,E$1,'United Data'!$C$3:$C$3390,$A1560,'United Data'!$B$3:$B$3390,"&lt;&gt;Off-street")&gt;0,1,0)</f>
        <v>0</v>
      </c>
      <c r="F1560">
        <f>IF(COUNTIFS('United Data'!$A$3:$A$3390,F$1,'United Data'!$C$3:$C$3390,$A1560,'United Data'!$B$3:$B$3390,"&lt;&gt;Off-street")&gt;0,1,0)</f>
        <v>0</v>
      </c>
      <c r="G1560">
        <f>IF(COUNTIFS('United Data'!$A$3:$A$3390,G$1,'United Data'!$C$3:$C$3390,$A1560,'United Data'!$B$3:$B$3390,"&lt;&gt;Off-street")&gt;0,1,0)</f>
        <v>0</v>
      </c>
      <c r="H1560">
        <f>IF(COUNTIFS('United Data'!$A$3:$A$3390,H$1,'United Data'!$C$3:$C$3390,$A1560,'United Data'!$B$3:$B$3390,"&lt;&gt;Off-street")&gt;0,1,0)</f>
        <v>0</v>
      </c>
      <c r="I1560">
        <f>IF(COUNTIFS('United Data'!$A$3:$A$3390,I$1,'United Data'!$C$3:$C$3390,$A1560,'United Data'!$B$3:$B$3390,"&lt;&gt;Off-street")&gt;0,1,0)</f>
        <v>0</v>
      </c>
      <c r="J1560">
        <f>IF(COUNTIFS('United Data'!$A$3:$A$3390,J$1,'United Data'!$C$3:$C$3390,$A1560,'United Data'!$B$3:$B$3390,"&lt;&gt;Off-street")&gt;0,1,0)</f>
        <v>0</v>
      </c>
      <c r="K1560">
        <f>IF(COUNTIFS('United Data'!$A$3:$A$3390,K$1,'United Data'!$C$3:$C$3390,$A1560,'United Data'!$B$3:$B$3390,"&lt;&gt;Off-street")&gt;0,1,0)</f>
        <v>0</v>
      </c>
      <c r="L1560">
        <f>IF(COUNTIFS('United Data'!$A$3:$A$3390,L$1,'United Data'!$C$3:$C$3390,$A1560,'United Data'!$B$3:$B$3390,"&lt;&gt;Off-street")&gt;0,1,0)</f>
        <v>0</v>
      </c>
      <c r="M1560">
        <f>IF(COUNTIFS('United Data'!$A$3:$A$3390,M$1,'United Data'!$C$3:$C$3390,$A1560,'United Data'!$B$3:$B$3390,"&lt;&gt;Off-street")&gt;0,1,0)</f>
        <v>1</v>
      </c>
      <c r="N1560">
        <f>IF(COUNTIFS('United Data'!$A$3:$A$3390,N$1,'United Data'!$C$3:$C$3390,$A1560,'United Data'!$B$3:$B$3390,"&lt;&gt;Off-street")&gt;0,1,0)</f>
        <v>1</v>
      </c>
      <c r="O1560">
        <f>IF(COUNTIFS('United Data'!$A$3:$A$3390,O$1,'United Data'!$C$3:$C$3390,$A1560,'United Data'!$B$3:$B$3390,"&lt;&gt;Off-street")&gt;0,1,0)</f>
        <v>0</v>
      </c>
      <c r="P1560">
        <f>IF(COUNTIFS('United Data'!$A$3:$A$3390,P$1,'United Data'!$C$3:$C$3390,$A1560,'United Data'!$B$3:$B$3390,"&lt;&gt;Off-street")&gt;0,1,0)</f>
        <v>0</v>
      </c>
      <c r="Q1560">
        <f>IF(COUNTIFS('United Data'!$A$3:$A$3390,Q$1,'United Data'!$C$3:$C$3390,$A1560,'United Data'!$B$3:$B$3390,"&lt;&gt;Off-street")&gt;0,1,0)</f>
        <v>0</v>
      </c>
      <c r="R1560">
        <f>IF(COUNTIFS('United Data'!$A$3:$A$3390,R$1,'United Data'!$C$3:$C$3390,$A1560,'United Data'!$B$3:$B$3390,"&lt;&gt;Off-street")&gt;0,1,0)</f>
        <v>0</v>
      </c>
      <c r="S1560">
        <f t="shared" si="48"/>
        <v>2</v>
      </c>
      <c r="T1560">
        <f t="shared" si="49"/>
        <v>1</v>
      </c>
    </row>
    <row r="1561" spans="1:20" x14ac:dyDescent="0.2">
      <c r="A1561" t="s">
        <v>1840</v>
      </c>
      <c r="B1561">
        <f>IF(COUNTIFS('United Data'!$A$3:$A$3390,B$1,'United Data'!$C$3:$C$3390,$A1561,'United Data'!$B$3:$B$3390,"&lt;&gt;Off-street")&gt;0,1,0)</f>
        <v>0</v>
      </c>
      <c r="C1561">
        <f>IF(COUNTIFS('United Data'!$A$3:$A$3390,C$1,'United Data'!$C$3:$C$3390,$A1561,'United Data'!$B$3:$B$3390,"&lt;&gt;Off-street")&gt;0,1,0)</f>
        <v>0</v>
      </c>
      <c r="D1561">
        <f>IF(COUNTIFS('United Data'!$A$3:$A$3390,D$1,'United Data'!$C$3:$C$3390,$A1561,'United Data'!$B$3:$B$3390,"&lt;&gt;Off-street")&gt;0,1,0)</f>
        <v>0</v>
      </c>
      <c r="E1561">
        <f>IF(COUNTIFS('United Data'!$A$3:$A$3390,E$1,'United Data'!$C$3:$C$3390,$A1561,'United Data'!$B$3:$B$3390,"&lt;&gt;Off-street")&gt;0,1,0)</f>
        <v>0</v>
      </c>
      <c r="F1561">
        <f>IF(COUNTIFS('United Data'!$A$3:$A$3390,F$1,'United Data'!$C$3:$C$3390,$A1561,'United Data'!$B$3:$B$3390,"&lt;&gt;Off-street")&gt;0,1,0)</f>
        <v>0</v>
      </c>
      <c r="G1561">
        <f>IF(COUNTIFS('United Data'!$A$3:$A$3390,G$1,'United Data'!$C$3:$C$3390,$A1561,'United Data'!$B$3:$B$3390,"&lt;&gt;Off-street")&gt;0,1,0)</f>
        <v>0</v>
      </c>
      <c r="H1561">
        <f>IF(COUNTIFS('United Data'!$A$3:$A$3390,H$1,'United Data'!$C$3:$C$3390,$A1561,'United Data'!$B$3:$B$3390,"&lt;&gt;Off-street")&gt;0,1,0)</f>
        <v>0</v>
      </c>
      <c r="I1561">
        <f>IF(COUNTIFS('United Data'!$A$3:$A$3390,I$1,'United Data'!$C$3:$C$3390,$A1561,'United Data'!$B$3:$B$3390,"&lt;&gt;Off-street")&gt;0,1,0)</f>
        <v>0</v>
      </c>
      <c r="J1561">
        <f>IF(COUNTIFS('United Data'!$A$3:$A$3390,J$1,'United Data'!$C$3:$C$3390,$A1561,'United Data'!$B$3:$B$3390,"&lt;&gt;Off-street")&gt;0,1,0)</f>
        <v>0</v>
      </c>
      <c r="K1561">
        <f>IF(COUNTIFS('United Data'!$A$3:$A$3390,K$1,'United Data'!$C$3:$C$3390,$A1561,'United Data'!$B$3:$B$3390,"&lt;&gt;Off-street")&gt;0,1,0)</f>
        <v>0</v>
      </c>
      <c r="L1561">
        <f>IF(COUNTIFS('United Data'!$A$3:$A$3390,L$1,'United Data'!$C$3:$C$3390,$A1561,'United Data'!$B$3:$B$3390,"&lt;&gt;Off-street")&gt;0,1,0)</f>
        <v>0</v>
      </c>
      <c r="M1561">
        <f>IF(COUNTIFS('United Data'!$A$3:$A$3390,M$1,'United Data'!$C$3:$C$3390,$A1561,'United Data'!$B$3:$B$3390,"&lt;&gt;Off-street")&gt;0,1,0)</f>
        <v>0</v>
      </c>
      <c r="N1561">
        <f>IF(COUNTIFS('United Data'!$A$3:$A$3390,N$1,'United Data'!$C$3:$C$3390,$A1561,'United Data'!$B$3:$B$3390,"&lt;&gt;Off-street")&gt;0,1,0)</f>
        <v>1</v>
      </c>
      <c r="O1561">
        <f>IF(COUNTIFS('United Data'!$A$3:$A$3390,O$1,'United Data'!$C$3:$C$3390,$A1561,'United Data'!$B$3:$B$3390,"&lt;&gt;Off-street")&gt;0,1,0)</f>
        <v>0</v>
      </c>
      <c r="P1561">
        <f>IF(COUNTIFS('United Data'!$A$3:$A$3390,P$1,'United Data'!$C$3:$C$3390,$A1561,'United Data'!$B$3:$B$3390,"&lt;&gt;Off-street")&gt;0,1,0)</f>
        <v>0</v>
      </c>
      <c r="Q1561">
        <f>IF(COUNTIFS('United Data'!$A$3:$A$3390,Q$1,'United Data'!$C$3:$C$3390,$A1561,'United Data'!$B$3:$B$3390,"&lt;&gt;Off-street")&gt;0,1,0)</f>
        <v>0</v>
      </c>
      <c r="R1561">
        <f>IF(COUNTIFS('United Data'!$A$3:$A$3390,R$1,'United Data'!$C$3:$C$3390,$A1561,'United Data'!$B$3:$B$3390,"&lt;&gt;Off-street")&gt;0,1,0)</f>
        <v>0</v>
      </c>
      <c r="S1561">
        <f t="shared" si="48"/>
        <v>1</v>
      </c>
      <c r="T1561">
        <f t="shared" si="49"/>
        <v>1</v>
      </c>
    </row>
    <row r="1562" spans="1:20" x14ac:dyDescent="0.2">
      <c r="A1562" t="s">
        <v>1841</v>
      </c>
      <c r="B1562">
        <f>IF(COUNTIFS('United Data'!$A$3:$A$3390,B$1,'United Data'!$C$3:$C$3390,$A1562,'United Data'!$B$3:$B$3390,"&lt;&gt;Off-street")&gt;0,1,0)</f>
        <v>0</v>
      </c>
      <c r="C1562">
        <f>IF(COUNTIFS('United Data'!$A$3:$A$3390,C$1,'United Data'!$C$3:$C$3390,$A1562,'United Data'!$B$3:$B$3390,"&lt;&gt;Off-street")&gt;0,1,0)</f>
        <v>0</v>
      </c>
      <c r="D1562">
        <f>IF(COUNTIFS('United Data'!$A$3:$A$3390,D$1,'United Data'!$C$3:$C$3390,$A1562,'United Data'!$B$3:$B$3390,"&lt;&gt;Off-street")&gt;0,1,0)</f>
        <v>0</v>
      </c>
      <c r="E1562">
        <f>IF(COUNTIFS('United Data'!$A$3:$A$3390,E$1,'United Data'!$C$3:$C$3390,$A1562,'United Data'!$B$3:$B$3390,"&lt;&gt;Off-street")&gt;0,1,0)</f>
        <v>0</v>
      </c>
      <c r="F1562">
        <f>IF(COUNTIFS('United Data'!$A$3:$A$3390,F$1,'United Data'!$C$3:$C$3390,$A1562,'United Data'!$B$3:$B$3390,"&lt;&gt;Off-street")&gt;0,1,0)</f>
        <v>0</v>
      </c>
      <c r="G1562">
        <f>IF(COUNTIFS('United Data'!$A$3:$A$3390,G$1,'United Data'!$C$3:$C$3390,$A1562,'United Data'!$B$3:$B$3390,"&lt;&gt;Off-street")&gt;0,1,0)</f>
        <v>0</v>
      </c>
      <c r="H1562">
        <f>IF(COUNTIFS('United Data'!$A$3:$A$3390,H$1,'United Data'!$C$3:$C$3390,$A1562,'United Data'!$B$3:$B$3390,"&lt;&gt;Off-street")&gt;0,1,0)</f>
        <v>0</v>
      </c>
      <c r="I1562">
        <f>IF(COUNTIFS('United Data'!$A$3:$A$3390,I$1,'United Data'!$C$3:$C$3390,$A1562,'United Data'!$B$3:$B$3390,"&lt;&gt;Off-street")&gt;0,1,0)</f>
        <v>0</v>
      </c>
      <c r="J1562">
        <f>IF(COUNTIFS('United Data'!$A$3:$A$3390,J$1,'United Data'!$C$3:$C$3390,$A1562,'United Data'!$B$3:$B$3390,"&lt;&gt;Off-street")&gt;0,1,0)</f>
        <v>0</v>
      </c>
      <c r="K1562">
        <f>IF(COUNTIFS('United Data'!$A$3:$A$3390,K$1,'United Data'!$C$3:$C$3390,$A1562,'United Data'!$B$3:$B$3390,"&lt;&gt;Off-street")&gt;0,1,0)</f>
        <v>0</v>
      </c>
      <c r="L1562">
        <f>IF(COUNTIFS('United Data'!$A$3:$A$3390,L$1,'United Data'!$C$3:$C$3390,$A1562,'United Data'!$B$3:$B$3390,"&lt;&gt;Off-street")&gt;0,1,0)</f>
        <v>0</v>
      </c>
      <c r="M1562">
        <f>IF(COUNTIFS('United Data'!$A$3:$A$3390,M$1,'United Data'!$C$3:$C$3390,$A1562,'United Data'!$B$3:$B$3390,"&lt;&gt;Off-street")&gt;0,1,0)</f>
        <v>0</v>
      </c>
      <c r="N1562">
        <f>IF(COUNTIFS('United Data'!$A$3:$A$3390,N$1,'United Data'!$C$3:$C$3390,$A1562,'United Data'!$B$3:$B$3390,"&lt;&gt;Off-street")&gt;0,1,0)</f>
        <v>0</v>
      </c>
      <c r="O1562">
        <f>IF(COUNTIFS('United Data'!$A$3:$A$3390,O$1,'United Data'!$C$3:$C$3390,$A1562,'United Data'!$B$3:$B$3390,"&lt;&gt;Off-street")&gt;0,1,0)</f>
        <v>1</v>
      </c>
      <c r="P1562">
        <f>IF(COUNTIFS('United Data'!$A$3:$A$3390,P$1,'United Data'!$C$3:$C$3390,$A1562,'United Data'!$B$3:$B$3390,"&lt;&gt;Off-street")&gt;0,1,0)</f>
        <v>0</v>
      </c>
      <c r="Q1562">
        <f>IF(COUNTIFS('United Data'!$A$3:$A$3390,Q$1,'United Data'!$C$3:$C$3390,$A1562,'United Data'!$B$3:$B$3390,"&lt;&gt;Off-street")&gt;0,1,0)</f>
        <v>0</v>
      </c>
      <c r="R1562">
        <f>IF(COUNTIFS('United Data'!$A$3:$A$3390,R$1,'United Data'!$C$3:$C$3390,$A1562,'United Data'!$B$3:$B$3390,"&lt;&gt;Off-street")&gt;0,1,0)</f>
        <v>0</v>
      </c>
      <c r="S1562">
        <f t="shared" si="48"/>
        <v>1</v>
      </c>
      <c r="T1562">
        <f t="shared" si="49"/>
        <v>1</v>
      </c>
    </row>
    <row r="1563" spans="1:20" x14ac:dyDescent="0.2">
      <c r="A1563" t="s">
        <v>1842</v>
      </c>
      <c r="B1563">
        <f>IF(COUNTIFS('United Data'!$A$3:$A$3390,B$1,'United Data'!$C$3:$C$3390,$A1563,'United Data'!$B$3:$B$3390,"&lt;&gt;Off-street")&gt;0,1,0)</f>
        <v>0</v>
      </c>
      <c r="C1563">
        <f>IF(COUNTIFS('United Data'!$A$3:$A$3390,C$1,'United Data'!$C$3:$C$3390,$A1563,'United Data'!$B$3:$B$3390,"&lt;&gt;Off-street")&gt;0,1,0)</f>
        <v>0</v>
      </c>
      <c r="D1563">
        <f>IF(COUNTIFS('United Data'!$A$3:$A$3390,D$1,'United Data'!$C$3:$C$3390,$A1563,'United Data'!$B$3:$B$3390,"&lt;&gt;Off-street")&gt;0,1,0)</f>
        <v>0</v>
      </c>
      <c r="E1563">
        <f>IF(COUNTIFS('United Data'!$A$3:$A$3390,E$1,'United Data'!$C$3:$C$3390,$A1563,'United Data'!$B$3:$B$3390,"&lt;&gt;Off-street")&gt;0,1,0)</f>
        <v>0</v>
      </c>
      <c r="F1563">
        <f>IF(COUNTIFS('United Data'!$A$3:$A$3390,F$1,'United Data'!$C$3:$C$3390,$A1563,'United Data'!$B$3:$B$3390,"&lt;&gt;Off-street")&gt;0,1,0)</f>
        <v>0</v>
      </c>
      <c r="G1563">
        <f>IF(COUNTIFS('United Data'!$A$3:$A$3390,G$1,'United Data'!$C$3:$C$3390,$A1563,'United Data'!$B$3:$B$3390,"&lt;&gt;Off-street")&gt;0,1,0)</f>
        <v>0</v>
      </c>
      <c r="H1563">
        <f>IF(COUNTIFS('United Data'!$A$3:$A$3390,H$1,'United Data'!$C$3:$C$3390,$A1563,'United Data'!$B$3:$B$3390,"&lt;&gt;Off-street")&gt;0,1,0)</f>
        <v>0</v>
      </c>
      <c r="I1563">
        <f>IF(COUNTIFS('United Data'!$A$3:$A$3390,I$1,'United Data'!$C$3:$C$3390,$A1563,'United Data'!$B$3:$B$3390,"&lt;&gt;Off-street")&gt;0,1,0)</f>
        <v>0</v>
      </c>
      <c r="J1563">
        <f>IF(COUNTIFS('United Data'!$A$3:$A$3390,J$1,'United Data'!$C$3:$C$3390,$A1563,'United Data'!$B$3:$B$3390,"&lt;&gt;Off-street")&gt;0,1,0)</f>
        <v>0</v>
      </c>
      <c r="K1563">
        <f>IF(COUNTIFS('United Data'!$A$3:$A$3390,K$1,'United Data'!$C$3:$C$3390,$A1563,'United Data'!$B$3:$B$3390,"&lt;&gt;Off-street")&gt;0,1,0)</f>
        <v>0</v>
      </c>
      <c r="L1563">
        <f>IF(COUNTIFS('United Data'!$A$3:$A$3390,L$1,'United Data'!$C$3:$C$3390,$A1563,'United Data'!$B$3:$B$3390,"&lt;&gt;Off-street")&gt;0,1,0)</f>
        <v>0</v>
      </c>
      <c r="M1563">
        <f>IF(COUNTIFS('United Data'!$A$3:$A$3390,M$1,'United Data'!$C$3:$C$3390,$A1563,'United Data'!$B$3:$B$3390,"&lt;&gt;Off-street")&gt;0,1,0)</f>
        <v>0</v>
      </c>
      <c r="N1563">
        <f>IF(COUNTIFS('United Data'!$A$3:$A$3390,N$1,'United Data'!$C$3:$C$3390,$A1563,'United Data'!$B$3:$B$3390,"&lt;&gt;Off-street")&gt;0,1,0)</f>
        <v>0</v>
      </c>
      <c r="O1563">
        <f>IF(COUNTIFS('United Data'!$A$3:$A$3390,O$1,'United Data'!$C$3:$C$3390,$A1563,'United Data'!$B$3:$B$3390,"&lt;&gt;Off-street")&gt;0,1,0)</f>
        <v>1</v>
      </c>
      <c r="P1563">
        <f>IF(COUNTIFS('United Data'!$A$3:$A$3390,P$1,'United Data'!$C$3:$C$3390,$A1563,'United Data'!$B$3:$B$3390,"&lt;&gt;Off-street")&gt;0,1,0)</f>
        <v>0</v>
      </c>
      <c r="Q1563">
        <f>IF(COUNTIFS('United Data'!$A$3:$A$3390,Q$1,'United Data'!$C$3:$C$3390,$A1563,'United Data'!$B$3:$B$3390,"&lt;&gt;Off-street")&gt;0,1,0)</f>
        <v>0</v>
      </c>
      <c r="R1563">
        <f>IF(COUNTIFS('United Data'!$A$3:$A$3390,R$1,'United Data'!$C$3:$C$3390,$A1563,'United Data'!$B$3:$B$3390,"&lt;&gt;Off-street")&gt;0,1,0)</f>
        <v>0</v>
      </c>
      <c r="S1563">
        <f t="shared" si="48"/>
        <v>1</v>
      </c>
      <c r="T1563">
        <f t="shared" si="49"/>
        <v>1</v>
      </c>
    </row>
    <row r="1564" spans="1:20" x14ac:dyDescent="0.2">
      <c r="A1564" t="s">
        <v>1843</v>
      </c>
      <c r="B1564">
        <f>IF(COUNTIFS('United Data'!$A$3:$A$3390,B$1,'United Data'!$C$3:$C$3390,$A1564,'United Data'!$B$3:$B$3390,"&lt;&gt;Off-street")&gt;0,1,0)</f>
        <v>0</v>
      </c>
      <c r="C1564">
        <f>IF(COUNTIFS('United Data'!$A$3:$A$3390,C$1,'United Data'!$C$3:$C$3390,$A1564,'United Data'!$B$3:$B$3390,"&lt;&gt;Off-street")&gt;0,1,0)</f>
        <v>0</v>
      </c>
      <c r="D1564">
        <f>IF(COUNTIFS('United Data'!$A$3:$A$3390,D$1,'United Data'!$C$3:$C$3390,$A1564,'United Data'!$B$3:$B$3390,"&lt;&gt;Off-street")&gt;0,1,0)</f>
        <v>0</v>
      </c>
      <c r="E1564">
        <f>IF(COUNTIFS('United Data'!$A$3:$A$3390,E$1,'United Data'!$C$3:$C$3390,$A1564,'United Data'!$B$3:$B$3390,"&lt;&gt;Off-street")&gt;0,1,0)</f>
        <v>0</v>
      </c>
      <c r="F1564">
        <f>IF(COUNTIFS('United Data'!$A$3:$A$3390,F$1,'United Data'!$C$3:$C$3390,$A1564,'United Data'!$B$3:$B$3390,"&lt;&gt;Off-street")&gt;0,1,0)</f>
        <v>0</v>
      </c>
      <c r="G1564">
        <f>IF(COUNTIFS('United Data'!$A$3:$A$3390,G$1,'United Data'!$C$3:$C$3390,$A1564,'United Data'!$B$3:$B$3390,"&lt;&gt;Off-street")&gt;0,1,0)</f>
        <v>0</v>
      </c>
      <c r="H1564">
        <f>IF(COUNTIFS('United Data'!$A$3:$A$3390,H$1,'United Data'!$C$3:$C$3390,$A1564,'United Data'!$B$3:$B$3390,"&lt;&gt;Off-street")&gt;0,1,0)</f>
        <v>0</v>
      </c>
      <c r="I1564">
        <f>IF(COUNTIFS('United Data'!$A$3:$A$3390,I$1,'United Data'!$C$3:$C$3390,$A1564,'United Data'!$B$3:$B$3390,"&lt;&gt;Off-street")&gt;0,1,0)</f>
        <v>0</v>
      </c>
      <c r="J1564">
        <f>IF(COUNTIFS('United Data'!$A$3:$A$3390,J$1,'United Data'!$C$3:$C$3390,$A1564,'United Data'!$B$3:$B$3390,"&lt;&gt;Off-street")&gt;0,1,0)</f>
        <v>0</v>
      </c>
      <c r="K1564">
        <f>IF(COUNTIFS('United Data'!$A$3:$A$3390,K$1,'United Data'!$C$3:$C$3390,$A1564,'United Data'!$B$3:$B$3390,"&lt;&gt;Off-street")&gt;0,1,0)</f>
        <v>0</v>
      </c>
      <c r="L1564">
        <f>IF(COUNTIFS('United Data'!$A$3:$A$3390,L$1,'United Data'!$C$3:$C$3390,$A1564,'United Data'!$B$3:$B$3390,"&lt;&gt;Off-street")&gt;0,1,0)</f>
        <v>0</v>
      </c>
      <c r="M1564">
        <f>IF(COUNTIFS('United Data'!$A$3:$A$3390,M$1,'United Data'!$C$3:$C$3390,$A1564,'United Data'!$B$3:$B$3390,"&lt;&gt;Off-street")&gt;0,1,0)</f>
        <v>0</v>
      </c>
      <c r="N1564">
        <f>IF(COUNTIFS('United Data'!$A$3:$A$3390,N$1,'United Data'!$C$3:$C$3390,$A1564,'United Data'!$B$3:$B$3390,"&lt;&gt;Off-street")&gt;0,1,0)</f>
        <v>0</v>
      </c>
      <c r="O1564">
        <f>IF(COUNTIFS('United Data'!$A$3:$A$3390,O$1,'United Data'!$C$3:$C$3390,$A1564,'United Data'!$B$3:$B$3390,"&lt;&gt;Off-street")&gt;0,1,0)</f>
        <v>1</v>
      </c>
      <c r="P1564">
        <f>IF(COUNTIFS('United Data'!$A$3:$A$3390,P$1,'United Data'!$C$3:$C$3390,$A1564,'United Data'!$B$3:$B$3390,"&lt;&gt;Off-street")&gt;0,1,0)</f>
        <v>0</v>
      </c>
      <c r="Q1564">
        <f>IF(COUNTIFS('United Data'!$A$3:$A$3390,Q$1,'United Data'!$C$3:$C$3390,$A1564,'United Data'!$B$3:$B$3390,"&lt;&gt;Off-street")&gt;0,1,0)</f>
        <v>0</v>
      </c>
      <c r="R1564">
        <f>IF(COUNTIFS('United Data'!$A$3:$A$3390,R$1,'United Data'!$C$3:$C$3390,$A1564,'United Data'!$B$3:$B$3390,"&lt;&gt;Off-street")&gt;0,1,0)</f>
        <v>0</v>
      </c>
      <c r="S1564">
        <f t="shared" si="48"/>
        <v>1</v>
      </c>
      <c r="T1564">
        <f t="shared" si="49"/>
        <v>1</v>
      </c>
    </row>
    <row r="1565" spans="1:20" x14ac:dyDescent="0.2">
      <c r="A1565" t="s">
        <v>1844</v>
      </c>
      <c r="B1565">
        <f>IF(COUNTIFS('United Data'!$A$3:$A$3390,B$1,'United Data'!$C$3:$C$3390,$A1565,'United Data'!$B$3:$B$3390,"&lt;&gt;Off-street")&gt;0,1,0)</f>
        <v>0</v>
      </c>
      <c r="C1565">
        <f>IF(COUNTIFS('United Data'!$A$3:$A$3390,C$1,'United Data'!$C$3:$C$3390,$A1565,'United Data'!$B$3:$B$3390,"&lt;&gt;Off-street")&gt;0,1,0)</f>
        <v>0</v>
      </c>
      <c r="D1565">
        <f>IF(COUNTIFS('United Data'!$A$3:$A$3390,D$1,'United Data'!$C$3:$C$3390,$A1565,'United Data'!$B$3:$B$3390,"&lt;&gt;Off-street")&gt;0,1,0)</f>
        <v>0</v>
      </c>
      <c r="E1565">
        <f>IF(COUNTIFS('United Data'!$A$3:$A$3390,E$1,'United Data'!$C$3:$C$3390,$A1565,'United Data'!$B$3:$B$3390,"&lt;&gt;Off-street")&gt;0,1,0)</f>
        <v>0</v>
      </c>
      <c r="F1565">
        <f>IF(COUNTIFS('United Data'!$A$3:$A$3390,F$1,'United Data'!$C$3:$C$3390,$A1565,'United Data'!$B$3:$B$3390,"&lt;&gt;Off-street")&gt;0,1,0)</f>
        <v>0</v>
      </c>
      <c r="G1565">
        <f>IF(COUNTIFS('United Data'!$A$3:$A$3390,G$1,'United Data'!$C$3:$C$3390,$A1565,'United Data'!$B$3:$B$3390,"&lt;&gt;Off-street")&gt;0,1,0)</f>
        <v>0</v>
      </c>
      <c r="H1565">
        <f>IF(COUNTIFS('United Data'!$A$3:$A$3390,H$1,'United Data'!$C$3:$C$3390,$A1565,'United Data'!$B$3:$B$3390,"&lt;&gt;Off-street")&gt;0,1,0)</f>
        <v>0</v>
      </c>
      <c r="I1565">
        <f>IF(COUNTIFS('United Data'!$A$3:$A$3390,I$1,'United Data'!$C$3:$C$3390,$A1565,'United Data'!$B$3:$B$3390,"&lt;&gt;Off-street")&gt;0,1,0)</f>
        <v>0</v>
      </c>
      <c r="J1565">
        <f>IF(COUNTIFS('United Data'!$A$3:$A$3390,J$1,'United Data'!$C$3:$C$3390,$A1565,'United Data'!$B$3:$B$3390,"&lt;&gt;Off-street")&gt;0,1,0)</f>
        <v>0</v>
      </c>
      <c r="K1565">
        <f>IF(COUNTIFS('United Data'!$A$3:$A$3390,K$1,'United Data'!$C$3:$C$3390,$A1565,'United Data'!$B$3:$B$3390,"&lt;&gt;Off-street")&gt;0,1,0)</f>
        <v>0</v>
      </c>
      <c r="L1565">
        <f>IF(COUNTIFS('United Data'!$A$3:$A$3390,L$1,'United Data'!$C$3:$C$3390,$A1565,'United Data'!$B$3:$B$3390,"&lt;&gt;Off-street")&gt;0,1,0)</f>
        <v>0</v>
      </c>
      <c r="M1565">
        <f>IF(COUNTIFS('United Data'!$A$3:$A$3390,M$1,'United Data'!$C$3:$C$3390,$A1565,'United Data'!$B$3:$B$3390,"&lt;&gt;Off-street")&gt;0,1,0)</f>
        <v>0</v>
      </c>
      <c r="N1565">
        <f>IF(COUNTIFS('United Data'!$A$3:$A$3390,N$1,'United Data'!$C$3:$C$3390,$A1565,'United Data'!$B$3:$B$3390,"&lt;&gt;Off-street")&gt;0,1,0)</f>
        <v>0</v>
      </c>
      <c r="O1565">
        <f>IF(COUNTIFS('United Data'!$A$3:$A$3390,O$1,'United Data'!$C$3:$C$3390,$A1565,'United Data'!$B$3:$B$3390,"&lt;&gt;Off-street")&gt;0,1,0)</f>
        <v>1</v>
      </c>
      <c r="P1565">
        <f>IF(COUNTIFS('United Data'!$A$3:$A$3390,P$1,'United Data'!$C$3:$C$3390,$A1565,'United Data'!$B$3:$B$3390,"&lt;&gt;Off-street")&gt;0,1,0)</f>
        <v>1</v>
      </c>
      <c r="Q1565">
        <f>IF(COUNTIFS('United Data'!$A$3:$A$3390,Q$1,'United Data'!$C$3:$C$3390,$A1565,'United Data'!$B$3:$B$3390,"&lt;&gt;Off-street")&gt;0,1,0)</f>
        <v>0</v>
      </c>
      <c r="R1565">
        <f>IF(COUNTIFS('United Data'!$A$3:$A$3390,R$1,'United Data'!$C$3:$C$3390,$A1565,'United Data'!$B$3:$B$3390,"&lt;&gt;Off-street")&gt;0,1,0)</f>
        <v>0</v>
      </c>
      <c r="S1565">
        <f t="shared" si="48"/>
        <v>2</v>
      </c>
      <c r="T1565">
        <f t="shared" si="49"/>
        <v>1</v>
      </c>
    </row>
    <row r="1566" spans="1:20" x14ac:dyDescent="0.2">
      <c r="A1566" t="s">
        <v>1845</v>
      </c>
      <c r="B1566">
        <f>IF(COUNTIFS('United Data'!$A$3:$A$3390,B$1,'United Data'!$C$3:$C$3390,$A1566,'United Data'!$B$3:$B$3390,"&lt;&gt;Off-street")&gt;0,1,0)</f>
        <v>0</v>
      </c>
      <c r="C1566">
        <f>IF(COUNTIFS('United Data'!$A$3:$A$3390,C$1,'United Data'!$C$3:$C$3390,$A1566,'United Data'!$B$3:$B$3390,"&lt;&gt;Off-street")&gt;0,1,0)</f>
        <v>0</v>
      </c>
      <c r="D1566">
        <f>IF(COUNTIFS('United Data'!$A$3:$A$3390,D$1,'United Data'!$C$3:$C$3390,$A1566,'United Data'!$B$3:$B$3390,"&lt;&gt;Off-street")&gt;0,1,0)</f>
        <v>0</v>
      </c>
      <c r="E1566">
        <f>IF(COUNTIFS('United Data'!$A$3:$A$3390,E$1,'United Data'!$C$3:$C$3390,$A1566,'United Data'!$B$3:$B$3390,"&lt;&gt;Off-street")&gt;0,1,0)</f>
        <v>0</v>
      </c>
      <c r="F1566">
        <f>IF(COUNTIFS('United Data'!$A$3:$A$3390,F$1,'United Data'!$C$3:$C$3390,$A1566,'United Data'!$B$3:$B$3390,"&lt;&gt;Off-street")&gt;0,1,0)</f>
        <v>0</v>
      </c>
      <c r="G1566">
        <f>IF(COUNTIFS('United Data'!$A$3:$A$3390,G$1,'United Data'!$C$3:$C$3390,$A1566,'United Data'!$B$3:$B$3390,"&lt;&gt;Off-street")&gt;0,1,0)</f>
        <v>0</v>
      </c>
      <c r="H1566">
        <f>IF(COUNTIFS('United Data'!$A$3:$A$3390,H$1,'United Data'!$C$3:$C$3390,$A1566,'United Data'!$B$3:$B$3390,"&lt;&gt;Off-street")&gt;0,1,0)</f>
        <v>0</v>
      </c>
      <c r="I1566">
        <f>IF(COUNTIFS('United Data'!$A$3:$A$3390,I$1,'United Data'!$C$3:$C$3390,$A1566,'United Data'!$B$3:$B$3390,"&lt;&gt;Off-street")&gt;0,1,0)</f>
        <v>0</v>
      </c>
      <c r="J1566">
        <f>IF(COUNTIFS('United Data'!$A$3:$A$3390,J$1,'United Data'!$C$3:$C$3390,$A1566,'United Data'!$B$3:$B$3390,"&lt;&gt;Off-street")&gt;0,1,0)</f>
        <v>0</v>
      </c>
      <c r="K1566">
        <f>IF(COUNTIFS('United Data'!$A$3:$A$3390,K$1,'United Data'!$C$3:$C$3390,$A1566,'United Data'!$B$3:$B$3390,"&lt;&gt;Off-street")&gt;0,1,0)</f>
        <v>0</v>
      </c>
      <c r="L1566">
        <f>IF(COUNTIFS('United Data'!$A$3:$A$3390,L$1,'United Data'!$C$3:$C$3390,$A1566,'United Data'!$B$3:$B$3390,"&lt;&gt;Off-street")&gt;0,1,0)</f>
        <v>0</v>
      </c>
      <c r="M1566">
        <f>IF(COUNTIFS('United Data'!$A$3:$A$3390,M$1,'United Data'!$C$3:$C$3390,$A1566,'United Data'!$B$3:$B$3390,"&lt;&gt;Off-street")&gt;0,1,0)</f>
        <v>0</v>
      </c>
      <c r="N1566">
        <f>IF(COUNTIFS('United Data'!$A$3:$A$3390,N$1,'United Data'!$C$3:$C$3390,$A1566,'United Data'!$B$3:$B$3390,"&lt;&gt;Off-street")&gt;0,1,0)</f>
        <v>0</v>
      </c>
      <c r="O1566">
        <f>IF(COUNTIFS('United Data'!$A$3:$A$3390,O$1,'United Data'!$C$3:$C$3390,$A1566,'United Data'!$B$3:$B$3390,"&lt;&gt;Off-street")&gt;0,1,0)</f>
        <v>1</v>
      </c>
      <c r="P1566">
        <f>IF(COUNTIFS('United Data'!$A$3:$A$3390,P$1,'United Data'!$C$3:$C$3390,$A1566,'United Data'!$B$3:$B$3390,"&lt;&gt;Off-street")&gt;0,1,0)</f>
        <v>0</v>
      </c>
      <c r="Q1566">
        <f>IF(COUNTIFS('United Data'!$A$3:$A$3390,Q$1,'United Data'!$C$3:$C$3390,$A1566,'United Data'!$B$3:$B$3390,"&lt;&gt;Off-street")&gt;0,1,0)</f>
        <v>0</v>
      </c>
      <c r="R1566">
        <f>IF(COUNTIFS('United Data'!$A$3:$A$3390,R$1,'United Data'!$C$3:$C$3390,$A1566,'United Data'!$B$3:$B$3390,"&lt;&gt;Off-street")&gt;0,1,0)</f>
        <v>0</v>
      </c>
      <c r="S1566">
        <f t="shared" si="48"/>
        <v>1</v>
      </c>
      <c r="T1566">
        <f t="shared" si="49"/>
        <v>1</v>
      </c>
    </row>
    <row r="1567" spans="1:20" x14ac:dyDescent="0.2">
      <c r="A1567" t="s">
        <v>1846</v>
      </c>
      <c r="B1567">
        <f>IF(COUNTIFS('United Data'!$A$3:$A$3390,B$1,'United Data'!$C$3:$C$3390,$A1567,'United Data'!$B$3:$B$3390,"&lt;&gt;Off-street")&gt;0,1,0)</f>
        <v>0</v>
      </c>
      <c r="C1567">
        <f>IF(COUNTIFS('United Data'!$A$3:$A$3390,C$1,'United Data'!$C$3:$C$3390,$A1567,'United Data'!$B$3:$B$3390,"&lt;&gt;Off-street")&gt;0,1,0)</f>
        <v>0</v>
      </c>
      <c r="D1567">
        <f>IF(COUNTIFS('United Data'!$A$3:$A$3390,D$1,'United Data'!$C$3:$C$3390,$A1567,'United Data'!$B$3:$B$3390,"&lt;&gt;Off-street")&gt;0,1,0)</f>
        <v>0</v>
      </c>
      <c r="E1567">
        <f>IF(COUNTIFS('United Data'!$A$3:$A$3390,E$1,'United Data'!$C$3:$C$3390,$A1567,'United Data'!$B$3:$B$3390,"&lt;&gt;Off-street")&gt;0,1,0)</f>
        <v>0</v>
      </c>
      <c r="F1567">
        <f>IF(COUNTIFS('United Data'!$A$3:$A$3390,F$1,'United Data'!$C$3:$C$3390,$A1567,'United Data'!$B$3:$B$3390,"&lt;&gt;Off-street")&gt;0,1,0)</f>
        <v>0</v>
      </c>
      <c r="G1567">
        <f>IF(COUNTIFS('United Data'!$A$3:$A$3390,G$1,'United Data'!$C$3:$C$3390,$A1567,'United Data'!$B$3:$B$3390,"&lt;&gt;Off-street")&gt;0,1,0)</f>
        <v>0</v>
      </c>
      <c r="H1567">
        <f>IF(COUNTIFS('United Data'!$A$3:$A$3390,H$1,'United Data'!$C$3:$C$3390,$A1567,'United Data'!$B$3:$B$3390,"&lt;&gt;Off-street")&gt;0,1,0)</f>
        <v>0</v>
      </c>
      <c r="I1567">
        <f>IF(COUNTIFS('United Data'!$A$3:$A$3390,I$1,'United Data'!$C$3:$C$3390,$A1567,'United Data'!$B$3:$B$3390,"&lt;&gt;Off-street")&gt;0,1,0)</f>
        <v>0</v>
      </c>
      <c r="J1567">
        <f>IF(COUNTIFS('United Data'!$A$3:$A$3390,J$1,'United Data'!$C$3:$C$3390,$A1567,'United Data'!$B$3:$B$3390,"&lt;&gt;Off-street")&gt;0,1,0)</f>
        <v>0</v>
      </c>
      <c r="K1567">
        <f>IF(COUNTIFS('United Data'!$A$3:$A$3390,K$1,'United Data'!$C$3:$C$3390,$A1567,'United Data'!$B$3:$B$3390,"&lt;&gt;Off-street")&gt;0,1,0)</f>
        <v>0</v>
      </c>
      <c r="L1567">
        <f>IF(COUNTIFS('United Data'!$A$3:$A$3390,L$1,'United Data'!$C$3:$C$3390,$A1567,'United Data'!$B$3:$B$3390,"&lt;&gt;Off-street")&gt;0,1,0)</f>
        <v>0</v>
      </c>
      <c r="M1567">
        <f>IF(COUNTIFS('United Data'!$A$3:$A$3390,M$1,'United Data'!$C$3:$C$3390,$A1567,'United Data'!$B$3:$B$3390,"&lt;&gt;Off-street")&gt;0,1,0)</f>
        <v>0</v>
      </c>
      <c r="N1567">
        <f>IF(COUNTIFS('United Data'!$A$3:$A$3390,N$1,'United Data'!$C$3:$C$3390,$A1567,'United Data'!$B$3:$B$3390,"&lt;&gt;Off-street")&gt;0,1,0)</f>
        <v>0</v>
      </c>
      <c r="O1567">
        <f>IF(COUNTIFS('United Data'!$A$3:$A$3390,O$1,'United Data'!$C$3:$C$3390,$A1567,'United Data'!$B$3:$B$3390,"&lt;&gt;Off-street")&gt;0,1,0)</f>
        <v>1</v>
      </c>
      <c r="P1567">
        <f>IF(COUNTIFS('United Data'!$A$3:$A$3390,P$1,'United Data'!$C$3:$C$3390,$A1567,'United Data'!$B$3:$B$3390,"&lt;&gt;Off-street")&gt;0,1,0)</f>
        <v>0</v>
      </c>
      <c r="Q1567">
        <f>IF(COUNTIFS('United Data'!$A$3:$A$3390,Q$1,'United Data'!$C$3:$C$3390,$A1567,'United Data'!$B$3:$B$3390,"&lt;&gt;Off-street")&gt;0,1,0)</f>
        <v>0</v>
      </c>
      <c r="R1567">
        <f>IF(COUNTIFS('United Data'!$A$3:$A$3390,R$1,'United Data'!$C$3:$C$3390,$A1567,'United Data'!$B$3:$B$3390,"&lt;&gt;Off-street")&gt;0,1,0)</f>
        <v>0</v>
      </c>
      <c r="S1567">
        <f t="shared" si="48"/>
        <v>1</v>
      </c>
      <c r="T1567">
        <f t="shared" si="49"/>
        <v>1</v>
      </c>
    </row>
    <row r="1568" spans="1:20" x14ac:dyDescent="0.2">
      <c r="A1568" t="s">
        <v>1847</v>
      </c>
      <c r="B1568">
        <f>IF(COUNTIFS('United Data'!$A$3:$A$3390,B$1,'United Data'!$C$3:$C$3390,$A1568,'United Data'!$B$3:$B$3390,"&lt;&gt;Off-street")&gt;0,1,0)</f>
        <v>0</v>
      </c>
      <c r="C1568">
        <f>IF(COUNTIFS('United Data'!$A$3:$A$3390,C$1,'United Data'!$C$3:$C$3390,$A1568,'United Data'!$B$3:$B$3390,"&lt;&gt;Off-street")&gt;0,1,0)</f>
        <v>0</v>
      </c>
      <c r="D1568">
        <f>IF(COUNTIFS('United Data'!$A$3:$A$3390,D$1,'United Data'!$C$3:$C$3390,$A1568,'United Data'!$B$3:$B$3390,"&lt;&gt;Off-street")&gt;0,1,0)</f>
        <v>0</v>
      </c>
      <c r="E1568">
        <f>IF(COUNTIFS('United Data'!$A$3:$A$3390,E$1,'United Data'!$C$3:$C$3390,$A1568,'United Data'!$B$3:$B$3390,"&lt;&gt;Off-street")&gt;0,1,0)</f>
        <v>0</v>
      </c>
      <c r="F1568">
        <f>IF(COUNTIFS('United Data'!$A$3:$A$3390,F$1,'United Data'!$C$3:$C$3390,$A1568,'United Data'!$B$3:$B$3390,"&lt;&gt;Off-street")&gt;0,1,0)</f>
        <v>0</v>
      </c>
      <c r="G1568">
        <f>IF(COUNTIFS('United Data'!$A$3:$A$3390,G$1,'United Data'!$C$3:$C$3390,$A1568,'United Data'!$B$3:$B$3390,"&lt;&gt;Off-street")&gt;0,1,0)</f>
        <v>0</v>
      </c>
      <c r="H1568">
        <f>IF(COUNTIFS('United Data'!$A$3:$A$3390,H$1,'United Data'!$C$3:$C$3390,$A1568,'United Data'!$B$3:$B$3390,"&lt;&gt;Off-street")&gt;0,1,0)</f>
        <v>0</v>
      </c>
      <c r="I1568">
        <f>IF(COUNTIFS('United Data'!$A$3:$A$3390,I$1,'United Data'!$C$3:$C$3390,$A1568,'United Data'!$B$3:$B$3390,"&lt;&gt;Off-street")&gt;0,1,0)</f>
        <v>0</v>
      </c>
      <c r="J1568">
        <f>IF(COUNTIFS('United Data'!$A$3:$A$3390,J$1,'United Data'!$C$3:$C$3390,$A1568,'United Data'!$B$3:$B$3390,"&lt;&gt;Off-street")&gt;0,1,0)</f>
        <v>0</v>
      </c>
      <c r="K1568">
        <f>IF(COUNTIFS('United Data'!$A$3:$A$3390,K$1,'United Data'!$C$3:$C$3390,$A1568,'United Data'!$B$3:$B$3390,"&lt;&gt;Off-street")&gt;0,1,0)</f>
        <v>0</v>
      </c>
      <c r="L1568">
        <f>IF(COUNTIFS('United Data'!$A$3:$A$3390,L$1,'United Data'!$C$3:$C$3390,$A1568,'United Data'!$B$3:$B$3390,"&lt;&gt;Off-street")&gt;0,1,0)</f>
        <v>0</v>
      </c>
      <c r="M1568">
        <f>IF(COUNTIFS('United Data'!$A$3:$A$3390,M$1,'United Data'!$C$3:$C$3390,$A1568,'United Data'!$B$3:$B$3390,"&lt;&gt;Off-street")&gt;0,1,0)</f>
        <v>0</v>
      </c>
      <c r="N1568">
        <f>IF(COUNTIFS('United Data'!$A$3:$A$3390,N$1,'United Data'!$C$3:$C$3390,$A1568,'United Data'!$B$3:$B$3390,"&lt;&gt;Off-street")&gt;0,1,0)</f>
        <v>0</v>
      </c>
      <c r="O1568">
        <f>IF(COUNTIFS('United Data'!$A$3:$A$3390,O$1,'United Data'!$C$3:$C$3390,$A1568,'United Data'!$B$3:$B$3390,"&lt;&gt;Off-street")&gt;0,1,0)</f>
        <v>1</v>
      </c>
      <c r="P1568">
        <f>IF(COUNTIFS('United Data'!$A$3:$A$3390,P$1,'United Data'!$C$3:$C$3390,$A1568,'United Data'!$B$3:$B$3390,"&lt;&gt;Off-street")&gt;0,1,0)</f>
        <v>1</v>
      </c>
      <c r="Q1568">
        <f>IF(COUNTIFS('United Data'!$A$3:$A$3390,Q$1,'United Data'!$C$3:$C$3390,$A1568,'United Data'!$B$3:$B$3390,"&lt;&gt;Off-street")&gt;0,1,0)</f>
        <v>0</v>
      </c>
      <c r="R1568">
        <f>IF(COUNTIFS('United Data'!$A$3:$A$3390,R$1,'United Data'!$C$3:$C$3390,$A1568,'United Data'!$B$3:$B$3390,"&lt;&gt;Off-street")&gt;0,1,0)</f>
        <v>0</v>
      </c>
      <c r="S1568">
        <f t="shared" si="48"/>
        <v>2</v>
      </c>
      <c r="T1568">
        <f t="shared" si="49"/>
        <v>1</v>
      </c>
    </row>
    <row r="1569" spans="1:20" x14ac:dyDescent="0.2">
      <c r="A1569" t="s">
        <v>1848</v>
      </c>
      <c r="B1569">
        <f>IF(COUNTIFS('United Data'!$A$3:$A$3390,B$1,'United Data'!$C$3:$C$3390,$A1569,'United Data'!$B$3:$B$3390,"&lt;&gt;Off-street")&gt;0,1,0)</f>
        <v>0</v>
      </c>
      <c r="C1569">
        <f>IF(COUNTIFS('United Data'!$A$3:$A$3390,C$1,'United Data'!$C$3:$C$3390,$A1569,'United Data'!$B$3:$B$3390,"&lt;&gt;Off-street")&gt;0,1,0)</f>
        <v>0</v>
      </c>
      <c r="D1569">
        <f>IF(COUNTIFS('United Data'!$A$3:$A$3390,D$1,'United Data'!$C$3:$C$3390,$A1569,'United Data'!$B$3:$B$3390,"&lt;&gt;Off-street")&gt;0,1,0)</f>
        <v>0</v>
      </c>
      <c r="E1569">
        <f>IF(COUNTIFS('United Data'!$A$3:$A$3390,E$1,'United Data'!$C$3:$C$3390,$A1569,'United Data'!$B$3:$B$3390,"&lt;&gt;Off-street")&gt;0,1,0)</f>
        <v>0</v>
      </c>
      <c r="F1569">
        <f>IF(COUNTIFS('United Data'!$A$3:$A$3390,F$1,'United Data'!$C$3:$C$3390,$A1569,'United Data'!$B$3:$B$3390,"&lt;&gt;Off-street")&gt;0,1,0)</f>
        <v>0</v>
      </c>
      <c r="G1569">
        <f>IF(COUNTIFS('United Data'!$A$3:$A$3390,G$1,'United Data'!$C$3:$C$3390,$A1569,'United Data'!$B$3:$B$3390,"&lt;&gt;Off-street")&gt;0,1,0)</f>
        <v>0</v>
      </c>
      <c r="H1569">
        <f>IF(COUNTIFS('United Data'!$A$3:$A$3390,H$1,'United Data'!$C$3:$C$3390,$A1569,'United Data'!$B$3:$B$3390,"&lt;&gt;Off-street")&gt;0,1,0)</f>
        <v>0</v>
      </c>
      <c r="I1569">
        <f>IF(COUNTIFS('United Data'!$A$3:$A$3390,I$1,'United Data'!$C$3:$C$3390,$A1569,'United Data'!$B$3:$B$3390,"&lt;&gt;Off-street")&gt;0,1,0)</f>
        <v>0</v>
      </c>
      <c r="J1569">
        <f>IF(COUNTIFS('United Data'!$A$3:$A$3390,J$1,'United Data'!$C$3:$C$3390,$A1569,'United Data'!$B$3:$B$3390,"&lt;&gt;Off-street")&gt;0,1,0)</f>
        <v>0</v>
      </c>
      <c r="K1569">
        <f>IF(COUNTIFS('United Data'!$A$3:$A$3390,K$1,'United Data'!$C$3:$C$3390,$A1569,'United Data'!$B$3:$B$3390,"&lt;&gt;Off-street")&gt;0,1,0)</f>
        <v>0</v>
      </c>
      <c r="L1569">
        <f>IF(COUNTIFS('United Data'!$A$3:$A$3390,L$1,'United Data'!$C$3:$C$3390,$A1569,'United Data'!$B$3:$B$3390,"&lt;&gt;Off-street")&gt;0,1,0)</f>
        <v>0</v>
      </c>
      <c r="M1569">
        <f>IF(COUNTIFS('United Data'!$A$3:$A$3390,M$1,'United Data'!$C$3:$C$3390,$A1569,'United Data'!$B$3:$B$3390,"&lt;&gt;Off-street")&gt;0,1,0)</f>
        <v>0</v>
      </c>
      <c r="N1569">
        <f>IF(COUNTIFS('United Data'!$A$3:$A$3390,N$1,'United Data'!$C$3:$C$3390,$A1569,'United Data'!$B$3:$B$3390,"&lt;&gt;Off-street")&gt;0,1,0)</f>
        <v>0</v>
      </c>
      <c r="O1569">
        <f>IF(COUNTIFS('United Data'!$A$3:$A$3390,O$1,'United Data'!$C$3:$C$3390,$A1569,'United Data'!$B$3:$B$3390,"&lt;&gt;Off-street")&gt;0,1,0)</f>
        <v>1</v>
      </c>
      <c r="P1569">
        <f>IF(COUNTIFS('United Data'!$A$3:$A$3390,P$1,'United Data'!$C$3:$C$3390,$A1569,'United Data'!$B$3:$B$3390,"&lt;&gt;Off-street")&gt;0,1,0)</f>
        <v>0</v>
      </c>
      <c r="Q1569">
        <f>IF(COUNTIFS('United Data'!$A$3:$A$3390,Q$1,'United Data'!$C$3:$C$3390,$A1569,'United Data'!$B$3:$B$3390,"&lt;&gt;Off-street")&gt;0,1,0)</f>
        <v>0</v>
      </c>
      <c r="R1569">
        <f>IF(COUNTIFS('United Data'!$A$3:$A$3390,R$1,'United Data'!$C$3:$C$3390,$A1569,'United Data'!$B$3:$B$3390,"&lt;&gt;Off-street")&gt;0,1,0)</f>
        <v>1</v>
      </c>
      <c r="S1569">
        <f t="shared" si="48"/>
        <v>2</v>
      </c>
      <c r="T1569">
        <f t="shared" si="49"/>
        <v>2</v>
      </c>
    </row>
    <row r="1570" spans="1:20" x14ac:dyDescent="0.2">
      <c r="A1570" t="s">
        <v>1849</v>
      </c>
      <c r="B1570">
        <f>IF(COUNTIFS('United Data'!$A$3:$A$3390,B$1,'United Data'!$C$3:$C$3390,$A1570,'United Data'!$B$3:$B$3390,"&lt;&gt;Off-street")&gt;0,1,0)</f>
        <v>0</v>
      </c>
      <c r="C1570">
        <f>IF(COUNTIFS('United Data'!$A$3:$A$3390,C$1,'United Data'!$C$3:$C$3390,$A1570,'United Data'!$B$3:$B$3390,"&lt;&gt;Off-street")&gt;0,1,0)</f>
        <v>0</v>
      </c>
      <c r="D1570">
        <f>IF(COUNTIFS('United Data'!$A$3:$A$3390,D$1,'United Data'!$C$3:$C$3390,$A1570,'United Data'!$B$3:$B$3390,"&lt;&gt;Off-street")&gt;0,1,0)</f>
        <v>0</v>
      </c>
      <c r="E1570">
        <f>IF(COUNTIFS('United Data'!$A$3:$A$3390,E$1,'United Data'!$C$3:$C$3390,$A1570,'United Data'!$B$3:$B$3390,"&lt;&gt;Off-street")&gt;0,1,0)</f>
        <v>0</v>
      </c>
      <c r="F1570">
        <f>IF(COUNTIFS('United Data'!$A$3:$A$3390,F$1,'United Data'!$C$3:$C$3390,$A1570,'United Data'!$B$3:$B$3390,"&lt;&gt;Off-street")&gt;0,1,0)</f>
        <v>0</v>
      </c>
      <c r="G1570">
        <f>IF(COUNTIFS('United Data'!$A$3:$A$3390,G$1,'United Data'!$C$3:$C$3390,$A1570,'United Data'!$B$3:$B$3390,"&lt;&gt;Off-street")&gt;0,1,0)</f>
        <v>0</v>
      </c>
      <c r="H1570">
        <f>IF(COUNTIFS('United Data'!$A$3:$A$3390,H$1,'United Data'!$C$3:$C$3390,$A1570,'United Data'!$B$3:$B$3390,"&lt;&gt;Off-street")&gt;0,1,0)</f>
        <v>0</v>
      </c>
      <c r="I1570">
        <f>IF(COUNTIFS('United Data'!$A$3:$A$3390,I$1,'United Data'!$C$3:$C$3390,$A1570,'United Data'!$B$3:$B$3390,"&lt;&gt;Off-street")&gt;0,1,0)</f>
        <v>0</v>
      </c>
      <c r="J1570">
        <f>IF(COUNTIFS('United Data'!$A$3:$A$3390,J$1,'United Data'!$C$3:$C$3390,$A1570,'United Data'!$B$3:$B$3390,"&lt;&gt;Off-street")&gt;0,1,0)</f>
        <v>0</v>
      </c>
      <c r="K1570">
        <f>IF(COUNTIFS('United Data'!$A$3:$A$3390,K$1,'United Data'!$C$3:$C$3390,$A1570,'United Data'!$B$3:$B$3390,"&lt;&gt;Off-street")&gt;0,1,0)</f>
        <v>0</v>
      </c>
      <c r="L1570">
        <f>IF(COUNTIFS('United Data'!$A$3:$A$3390,L$1,'United Data'!$C$3:$C$3390,$A1570,'United Data'!$B$3:$B$3390,"&lt;&gt;Off-street")&gt;0,1,0)</f>
        <v>0</v>
      </c>
      <c r="M1570">
        <f>IF(COUNTIFS('United Data'!$A$3:$A$3390,M$1,'United Data'!$C$3:$C$3390,$A1570,'United Data'!$B$3:$B$3390,"&lt;&gt;Off-street")&gt;0,1,0)</f>
        <v>0</v>
      </c>
      <c r="N1570">
        <f>IF(COUNTIFS('United Data'!$A$3:$A$3390,N$1,'United Data'!$C$3:$C$3390,$A1570,'United Data'!$B$3:$B$3390,"&lt;&gt;Off-street")&gt;0,1,0)</f>
        <v>0</v>
      </c>
      <c r="O1570">
        <f>IF(COUNTIFS('United Data'!$A$3:$A$3390,O$1,'United Data'!$C$3:$C$3390,$A1570,'United Data'!$B$3:$B$3390,"&lt;&gt;Off-street")&gt;0,1,0)</f>
        <v>0</v>
      </c>
      <c r="P1570">
        <f>IF(COUNTIFS('United Data'!$A$3:$A$3390,P$1,'United Data'!$C$3:$C$3390,$A1570,'United Data'!$B$3:$B$3390,"&lt;&gt;Off-street")&gt;0,1,0)</f>
        <v>1</v>
      </c>
      <c r="Q1570">
        <f>IF(COUNTIFS('United Data'!$A$3:$A$3390,Q$1,'United Data'!$C$3:$C$3390,$A1570,'United Data'!$B$3:$B$3390,"&lt;&gt;Off-street")&gt;0,1,0)</f>
        <v>0</v>
      </c>
      <c r="R1570">
        <f>IF(COUNTIFS('United Data'!$A$3:$A$3390,R$1,'United Data'!$C$3:$C$3390,$A1570,'United Data'!$B$3:$B$3390,"&lt;&gt;Off-street")&gt;0,1,0)</f>
        <v>0</v>
      </c>
      <c r="S1570">
        <f t="shared" si="48"/>
        <v>1</v>
      </c>
      <c r="T1570">
        <f t="shared" si="49"/>
        <v>1</v>
      </c>
    </row>
    <row r="1571" spans="1:20" x14ac:dyDescent="0.2">
      <c r="A1571" t="s">
        <v>1850</v>
      </c>
      <c r="B1571">
        <f>IF(COUNTIFS('United Data'!$A$3:$A$3390,B$1,'United Data'!$C$3:$C$3390,$A1571,'United Data'!$B$3:$B$3390,"&lt;&gt;Off-street")&gt;0,1,0)</f>
        <v>0</v>
      </c>
      <c r="C1571">
        <f>IF(COUNTIFS('United Data'!$A$3:$A$3390,C$1,'United Data'!$C$3:$C$3390,$A1571,'United Data'!$B$3:$B$3390,"&lt;&gt;Off-street")&gt;0,1,0)</f>
        <v>0</v>
      </c>
      <c r="D1571">
        <f>IF(COUNTIFS('United Data'!$A$3:$A$3390,D$1,'United Data'!$C$3:$C$3390,$A1571,'United Data'!$B$3:$B$3390,"&lt;&gt;Off-street")&gt;0,1,0)</f>
        <v>0</v>
      </c>
      <c r="E1571">
        <f>IF(COUNTIFS('United Data'!$A$3:$A$3390,E$1,'United Data'!$C$3:$C$3390,$A1571,'United Data'!$B$3:$B$3390,"&lt;&gt;Off-street")&gt;0,1,0)</f>
        <v>0</v>
      </c>
      <c r="F1571">
        <f>IF(COUNTIFS('United Data'!$A$3:$A$3390,F$1,'United Data'!$C$3:$C$3390,$A1571,'United Data'!$B$3:$B$3390,"&lt;&gt;Off-street")&gt;0,1,0)</f>
        <v>0</v>
      </c>
      <c r="G1571">
        <f>IF(COUNTIFS('United Data'!$A$3:$A$3390,G$1,'United Data'!$C$3:$C$3390,$A1571,'United Data'!$B$3:$B$3390,"&lt;&gt;Off-street")&gt;0,1,0)</f>
        <v>0</v>
      </c>
      <c r="H1571">
        <f>IF(COUNTIFS('United Data'!$A$3:$A$3390,H$1,'United Data'!$C$3:$C$3390,$A1571,'United Data'!$B$3:$B$3390,"&lt;&gt;Off-street")&gt;0,1,0)</f>
        <v>0</v>
      </c>
      <c r="I1571">
        <f>IF(COUNTIFS('United Data'!$A$3:$A$3390,I$1,'United Data'!$C$3:$C$3390,$A1571,'United Data'!$B$3:$B$3390,"&lt;&gt;Off-street")&gt;0,1,0)</f>
        <v>0</v>
      </c>
      <c r="J1571">
        <f>IF(COUNTIFS('United Data'!$A$3:$A$3390,J$1,'United Data'!$C$3:$C$3390,$A1571,'United Data'!$B$3:$B$3390,"&lt;&gt;Off-street")&gt;0,1,0)</f>
        <v>0</v>
      </c>
      <c r="K1571">
        <f>IF(COUNTIFS('United Data'!$A$3:$A$3390,K$1,'United Data'!$C$3:$C$3390,$A1571,'United Data'!$B$3:$B$3390,"&lt;&gt;Off-street")&gt;0,1,0)</f>
        <v>0</v>
      </c>
      <c r="L1571">
        <f>IF(COUNTIFS('United Data'!$A$3:$A$3390,L$1,'United Data'!$C$3:$C$3390,$A1571,'United Data'!$B$3:$B$3390,"&lt;&gt;Off-street")&gt;0,1,0)</f>
        <v>0</v>
      </c>
      <c r="M1571">
        <f>IF(COUNTIFS('United Data'!$A$3:$A$3390,M$1,'United Data'!$C$3:$C$3390,$A1571,'United Data'!$B$3:$B$3390,"&lt;&gt;Off-street")&gt;0,1,0)</f>
        <v>0</v>
      </c>
      <c r="N1571">
        <f>IF(COUNTIFS('United Data'!$A$3:$A$3390,N$1,'United Data'!$C$3:$C$3390,$A1571,'United Data'!$B$3:$B$3390,"&lt;&gt;Off-street")&gt;0,1,0)</f>
        <v>0</v>
      </c>
      <c r="O1571">
        <f>IF(COUNTIFS('United Data'!$A$3:$A$3390,O$1,'United Data'!$C$3:$C$3390,$A1571,'United Data'!$B$3:$B$3390,"&lt;&gt;Off-street")&gt;0,1,0)</f>
        <v>0</v>
      </c>
      <c r="P1571">
        <f>IF(COUNTIFS('United Data'!$A$3:$A$3390,P$1,'United Data'!$C$3:$C$3390,$A1571,'United Data'!$B$3:$B$3390,"&lt;&gt;Off-street")&gt;0,1,0)</f>
        <v>1</v>
      </c>
      <c r="Q1571">
        <f>IF(COUNTIFS('United Data'!$A$3:$A$3390,Q$1,'United Data'!$C$3:$C$3390,$A1571,'United Data'!$B$3:$B$3390,"&lt;&gt;Off-street")&gt;0,1,0)</f>
        <v>0</v>
      </c>
      <c r="R1571">
        <f>IF(COUNTIFS('United Data'!$A$3:$A$3390,R$1,'United Data'!$C$3:$C$3390,$A1571,'United Data'!$B$3:$B$3390,"&lt;&gt;Off-street")&gt;0,1,0)</f>
        <v>0</v>
      </c>
      <c r="S1571">
        <f t="shared" si="48"/>
        <v>1</v>
      </c>
      <c r="T1571">
        <f t="shared" si="49"/>
        <v>1</v>
      </c>
    </row>
    <row r="1572" spans="1:20" x14ac:dyDescent="0.2">
      <c r="A1572" t="s">
        <v>1851</v>
      </c>
      <c r="B1572">
        <f>IF(COUNTIFS('United Data'!$A$3:$A$3390,B$1,'United Data'!$C$3:$C$3390,$A1572,'United Data'!$B$3:$B$3390,"&lt;&gt;Off-street")&gt;0,1,0)</f>
        <v>0</v>
      </c>
      <c r="C1572">
        <f>IF(COUNTIFS('United Data'!$A$3:$A$3390,C$1,'United Data'!$C$3:$C$3390,$A1572,'United Data'!$B$3:$B$3390,"&lt;&gt;Off-street")&gt;0,1,0)</f>
        <v>0</v>
      </c>
      <c r="D1572">
        <f>IF(COUNTIFS('United Data'!$A$3:$A$3390,D$1,'United Data'!$C$3:$C$3390,$A1572,'United Data'!$B$3:$B$3390,"&lt;&gt;Off-street")&gt;0,1,0)</f>
        <v>0</v>
      </c>
      <c r="E1572">
        <f>IF(COUNTIFS('United Data'!$A$3:$A$3390,E$1,'United Data'!$C$3:$C$3390,$A1572,'United Data'!$B$3:$B$3390,"&lt;&gt;Off-street")&gt;0,1,0)</f>
        <v>0</v>
      </c>
      <c r="F1572">
        <f>IF(COUNTIFS('United Data'!$A$3:$A$3390,F$1,'United Data'!$C$3:$C$3390,$A1572,'United Data'!$B$3:$B$3390,"&lt;&gt;Off-street")&gt;0,1,0)</f>
        <v>0</v>
      </c>
      <c r="G1572">
        <f>IF(COUNTIFS('United Data'!$A$3:$A$3390,G$1,'United Data'!$C$3:$C$3390,$A1572,'United Data'!$B$3:$B$3390,"&lt;&gt;Off-street")&gt;0,1,0)</f>
        <v>0</v>
      </c>
      <c r="H1572">
        <f>IF(COUNTIFS('United Data'!$A$3:$A$3390,H$1,'United Data'!$C$3:$C$3390,$A1572,'United Data'!$B$3:$B$3390,"&lt;&gt;Off-street")&gt;0,1,0)</f>
        <v>0</v>
      </c>
      <c r="I1572">
        <f>IF(COUNTIFS('United Data'!$A$3:$A$3390,I$1,'United Data'!$C$3:$C$3390,$A1572,'United Data'!$B$3:$B$3390,"&lt;&gt;Off-street")&gt;0,1,0)</f>
        <v>0</v>
      </c>
      <c r="J1572">
        <f>IF(COUNTIFS('United Data'!$A$3:$A$3390,J$1,'United Data'!$C$3:$C$3390,$A1572,'United Data'!$B$3:$B$3390,"&lt;&gt;Off-street")&gt;0,1,0)</f>
        <v>0</v>
      </c>
      <c r="K1572">
        <f>IF(COUNTIFS('United Data'!$A$3:$A$3390,K$1,'United Data'!$C$3:$C$3390,$A1572,'United Data'!$B$3:$B$3390,"&lt;&gt;Off-street")&gt;0,1,0)</f>
        <v>0</v>
      </c>
      <c r="L1572">
        <f>IF(COUNTIFS('United Data'!$A$3:$A$3390,L$1,'United Data'!$C$3:$C$3390,$A1572,'United Data'!$B$3:$B$3390,"&lt;&gt;Off-street")&gt;0,1,0)</f>
        <v>0</v>
      </c>
      <c r="M1572">
        <f>IF(COUNTIFS('United Data'!$A$3:$A$3390,M$1,'United Data'!$C$3:$C$3390,$A1572,'United Data'!$B$3:$B$3390,"&lt;&gt;Off-street")&gt;0,1,0)</f>
        <v>0</v>
      </c>
      <c r="N1572">
        <f>IF(COUNTIFS('United Data'!$A$3:$A$3390,N$1,'United Data'!$C$3:$C$3390,$A1572,'United Data'!$B$3:$B$3390,"&lt;&gt;Off-street")&gt;0,1,0)</f>
        <v>0</v>
      </c>
      <c r="O1572">
        <f>IF(COUNTIFS('United Data'!$A$3:$A$3390,O$1,'United Data'!$C$3:$C$3390,$A1572,'United Data'!$B$3:$B$3390,"&lt;&gt;Off-street")&gt;0,1,0)</f>
        <v>0</v>
      </c>
      <c r="P1572">
        <f>IF(COUNTIFS('United Data'!$A$3:$A$3390,P$1,'United Data'!$C$3:$C$3390,$A1572,'United Data'!$B$3:$B$3390,"&lt;&gt;Off-street")&gt;0,1,0)</f>
        <v>1</v>
      </c>
      <c r="Q1572">
        <f>IF(COUNTIFS('United Data'!$A$3:$A$3390,Q$1,'United Data'!$C$3:$C$3390,$A1572,'United Data'!$B$3:$B$3390,"&lt;&gt;Off-street")&gt;0,1,0)</f>
        <v>0</v>
      </c>
      <c r="R1572">
        <f>IF(COUNTIFS('United Data'!$A$3:$A$3390,R$1,'United Data'!$C$3:$C$3390,$A1572,'United Data'!$B$3:$B$3390,"&lt;&gt;Off-street")&gt;0,1,0)</f>
        <v>0</v>
      </c>
      <c r="S1572">
        <f t="shared" si="48"/>
        <v>1</v>
      </c>
      <c r="T1572">
        <f t="shared" si="49"/>
        <v>1</v>
      </c>
    </row>
    <row r="1573" spans="1:20" x14ac:dyDescent="0.2">
      <c r="A1573" t="s">
        <v>1852</v>
      </c>
      <c r="B1573">
        <f>IF(COUNTIFS('United Data'!$A$3:$A$3390,B$1,'United Data'!$C$3:$C$3390,$A1573,'United Data'!$B$3:$B$3390,"&lt;&gt;Off-street")&gt;0,1,0)</f>
        <v>0</v>
      </c>
      <c r="C1573">
        <f>IF(COUNTIFS('United Data'!$A$3:$A$3390,C$1,'United Data'!$C$3:$C$3390,$A1573,'United Data'!$B$3:$B$3390,"&lt;&gt;Off-street")&gt;0,1,0)</f>
        <v>0</v>
      </c>
      <c r="D1573">
        <f>IF(COUNTIFS('United Data'!$A$3:$A$3390,D$1,'United Data'!$C$3:$C$3390,$A1573,'United Data'!$B$3:$B$3390,"&lt;&gt;Off-street")&gt;0,1,0)</f>
        <v>0</v>
      </c>
      <c r="E1573">
        <f>IF(COUNTIFS('United Data'!$A$3:$A$3390,E$1,'United Data'!$C$3:$C$3390,$A1573,'United Data'!$B$3:$B$3390,"&lt;&gt;Off-street")&gt;0,1,0)</f>
        <v>0</v>
      </c>
      <c r="F1573">
        <f>IF(COUNTIFS('United Data'!$A$3:$A$3390,F$1,'United Data'!$C$3:$C$3390,$A1573,'United Data'!$B$3:$B$3390,"&lt;&gt;Off-street")&gt;0,1,0)</f>
        <v>0</v>
      </c>
      <c r="G1573">
        <f>IF(COUNTIFS('United Data'!$A$3:$A$3390,G$1,'United Data'!$C$3:$C$3390,$A1573,'United Data'!$B$3:$B$3390,"&lt;&gt;Off-street")&gt;0,1,0)</f>
        <v>0</v>
      </c>
      <c r="H1573">
        <f>IF(COUNTIFS('United Data'!$A$3:$A$3390,H$1,'United Data'!$C$3:$C$3390,$A1573,'United Data'!$B$3:$B$3390,"&lt;&gt;Off-street")&gt;0,1,0)</f>
        <v>0</v>
      </c>
      <c r="I1573">
        <f>IF(COUNTIFS('United Data'!$A$3:$A$3390,I$1,'United Data'!$C$3:$C$3390,$A1573,'United Data'!$B$3:$B$3390,"&lt;&gt;Off-street")&gt;0,1,0)</f>
        <v>0</v>
      </c>
      <c r="J1573">
        <f>IF(COUNTIFS('United Data'!$A$3:$A$3390,J$1,'United Data'!$C$3:$C$3390,$A1573,'United Data'!$B$3:$B$3390,"&lt;&gt;Off-street")&gt;0,1,0)</f>
        <v>0</v>
      </c>
      <c r="K1573">
        <f>IF(COUNTIFS('United Data'!$A$3:$A$3390,K$1,'United Data'!$C$3:$C$3390,$A1573,'United Data'!$B$3:$B$3390,"&lt;&gt;Off-street")&gt;0,1,0)</f>
        <v>0</v>
      </c>
      <c r="L1573">
        <f>IF(COUNTIFS('United Data'!$A$3:$A$3390,L$1,'United Data'!$C$3:$C$3390,$A1573,'United Data'!$B$3:$B$3390,"&lt;&gt;Off-street")&gt;0,1,0)</f>
        <v>0</v>
      </c>
      <c r="M1573">
        <f>IF(COUNTIFS('United Data'!$A$3:$A$3390,M$1,'United Data'!$C$3:$C$3390,$A1573,'United Data'!$B$3:$B$3390,"&lt;&gt;Off-street")&gt;0,1,0)</f>
        <v>0</v>
      </c>
      <c r="N1573">
        <f>IF(COUNTIFS('United Data'!$A$3:$A$3390,N$1,'United Data'!$C$3:$C$3390,$A1573,'United Data'!$B$3:$B$3390,"&lt;&gt;Off-street")&gt;0,1,0)</f>
        <v>0</v>
      </c>
      <c r="O1573">
        <f>IF(COUNTIFS('United Data'!$A$3:$A$3390,O$1,'United Data'!$C$3:$C$3390,$A1573,'United Data'!$B$3:$B$3390,"&lt;&gt;Off-street")&gt;0,1,0)</f>
        <v>0</v>
      </c>
      <c r="P1573">
        <f>IF(COUNTIFS('United Data'!$A$3:$A$3390,P$1,'United Data'!$C$3:$C$3390,$A1573,'United Data'!$B$3:$B$3390,"&lt;&gt;Off-street")&gt;0,1,0)</f>
        <v>1</v>
      </c>
      <c r="Q1573">
        <f>IF(COUNTIFS('United Data'!$A$3:$A$3390,Q$1,'United Data'!$C$3:$C$3390,$A1573,'United Data'!$B$3:$B$3390,"&lt;&gt;Off-street")&gt;0,1,0)</f>
        <v>0</v>
      </c>
      <c r="R1573">
        <f>IF(COUNTIFS('United Data'!$A$3:$A$3390,R$1,'United Data'!$C$3:$C$3390,$A1573,'United Data'!$B$3:$B$3390,"&lt;&gt;Off-street")&gt;0,1,0)</f>
        <v>0</v>
      </c>
      <c r="S1573">
        <f t="shared" si="48"/>
        <v>1</v>
      </c>
      <c r="T1573">
        <f t="shared" si="49"/>
        <v>1</v>
      </c>
    </row>
    <row r="1574" spans="1:20" x14ac:dyDescent="0.2">
      <c r="A1574" t="s">
        <v>1853</v>
      </c>
      <c r="B1574">
        <f>IF(COUNTIFS('United Data'!$A$3:$A$3390,B$1,'United Data'!$C$3:$C$3390,$A1574,'United Data'!$B$3:$B$3390,"&lt;&gt;Off-street")&gt;0,1,0)</f>
        <v>0</v>
      </c>
      <c r="C1574">
        <f>IF(COUNTIFS('United Data'!$A$3:$A$3390,C$1,'United Data'!$C$3:$C$3390,$A1574,'United Data'!$B$3:$B$3390,"&lt;&gt;Off-street")&gt;0,1,0)</f>
        <v>0</v>
      </c>
      <c r="D1574">
        <f>IF(COUNTIFS('United Data'!$A$3:$A$3390,D$1,'United Data'!$C$3:$C$3390,$A1574,'United Data'!$B$3:$B$3390,"&lt;&gt;Off-street")&gt;0,1,0)</f>
        <v>0</v>
      </c>
      <c r="E1574">
        <f>IF(COUNTIFS('United Data'!$A$3:$A$3390,E$1,'United Data'!$C$3:$C$3390,$A1574,'United Data'!$B$3:$B$3390,"&lt;&gt;Off-street")&gt;0,1,0)</f>
        <v>0</v>
      </c>
      <c r="F1574">
        <f>IF(COUNTIFS('United Data'!$A$3:$A$3390,F$1,'United Data'!$C$3:$C$3390,$A1574,'United Data'!$B$3:$B$3390,"&lt;&gt;Off-street")&gt;0,1,0)</f>
        <v>0</v>
      </c>
      <c r="G1574">
        <f>IF(COUNTIFS('United Data'!$A$3:$A$3390,G$1,'United Data'!$C$3:$C$3390,$A1574,'United Data'!$B$3:$B$3390,"&lt;&gt;Off-street")&gt;0,1,0)</f>
        <v>0</v>
      </c>
      <c r="H1574">
        <f>IF(COUNTIFS('United Data'!$A$3:$A$3390,H$1,'United Data'!$C$3:$C$3390,$A1574,'United Data'!$B$3:$B$3390,"&lt;&gt;Off-street")&gt;0,1,0)</f>
        <v>0</v>
      </c>
      <c r="I1574">
        <f>IF(COUNTIFS('United Data'!$A$3:$A$3390,I$1,'United Data'!$C$3:$C$3390,$A1574,'United Data'!$B$3:$B$3390,"&lt;&gt;Off-street")&gt;0,1,0)</f>
        <v>0</v>
      </c>
      <c r="J1574">
        <f>IF(COUNTIFS('United Data'!$A$3:$A$3390,J$1,'United Data'!$C$3:$C$3390,$A1574,'United Data'!$B$3:$B$3390,"&lt;&gt;Off-street")&gt;0,1,0)</f>
        <v>0</v>
      </c>
      <c r="K1574">
        <f>IF(COUNTIFS('United Data'!$A$3:$A$3390,K$1,'United Data'!$C$3:$C$3390,$A1574,'United Data'!$B$3:$B$3390,"&lt;&gt;Off-street")&gt;0,1,0)</f>
        <v>0</v>
      </c>
      <c r="L1574">
        <f>IF(COUNTIFS('United Data'!$A$3:$A$3390,L$1,'United Data'!$C$3:$C$3390,$A1574,'United Data'!$B$3:$B$3390,"&lt;&gt;Off-street")&gt;0,1,0)</f>
        <v>0</v>
      </c>
      <c r="M1574">
        <f>IF(COUNTIFS('United Data'!$A$3:$A$3390,M$1,'United Data'!$C$3:$C$3390,$A1574,'United Data'!$B$3:$B$3390,"&lt;&gt;Off-street")&gt;0,1,0)</f>
        <v>0</v>
      </c>
      <c r="N1574">
        <f>IF(COUNTIFS('United Data'!$A$3:$A$3390,N$1,'United Data'!$C$3:$C$3390,$A1574,'United Data'!$B$3:$B$3390,"&lt;&gt;Off-street")&gt;0,1,0)</f>
        <v>0</v>
      </c>
      <c r="O1574">
        <f>IF(COUNTIFS('United Data'!$A$3:$A$3390,O$1,'United Data'!$C$3:$C$3390,$A1574,'United Data'!$B$3:$B$3390,"&lt;&gt;Off-street")&gt;0,1,0)</f>
        <v>0</v>
      </c>
      <c r="P1574">
        <f>IF(COUNTIFS('United Data'!$A$3:$A$3390,P$1,'United Data'!$C$3:$C$3390,$A1574,'United Data'!$B$3:$B$3390,"&lt;&gt;Off-street")&gt;0,1,0)</f>
        <v>1</v>
      </c>
      <c r="Q1574">
        <f>IF(COUNTIFS('United Data'!$A$3:$A$3390,Q$1,'United Data'!$C$3:$C$3390,$A1574,'United Data'!$B$3:$B$3390,"&lt;&gt;Off-street")&gt;0,1,0)</f>
        <v>1</v>
      </c>
      <c r="R1574">
        <f>IF(COUNTIFS('United Data'!$A$3:$A$3390,R$1,'United Data'!$C$3:$C$3390,$A1574,'United Data'!$B$3:$B$3390,"&lt;&gt;Off-street")&gt;0,1,0)</f>
        <v>0</v>
      </c>
      <c r="S1574">
        <f t="shared" si="48"/>
        <v>2</v>
      </c>
      <c r="T1574">
        <f t="shared" si="49"/>
        <v>1</v>
      </c>
    </row>
    <row r="1575" spans="1:20" x14ac:dyDescent="0.2">
      <c r="A1575" t="s">
        <v>1854</v>
      </c>
      <c r="B1575">
        <f>IF(COUNTIFS('United Data'!$A$3:$A$3390,B$1,'United Data'!$C$3:$C$3390,$A1575,'United Data'!$B$3:$B$3390,"&lt;&gt;Off-street")&gt;0,1,0)</f>
        <v>0</v>
      </c>
      <c r="C1575">
        <f>IF(COUNTIFS('United Data'!$A$3:$A$3390,C$1,'United Data'!$C$3:$C$3390,$A1575,'United Data'!$B$3:$B$3390,"&lt;&gt;Off-street")&gt;0,1,0)</f>
        <v>0</v>
      </c>
      <c r="D1575">
        <f>IF(COUNTIFS('United Data'!$A$3:$A$3390,D$1,'United Data'!$C$3:$C$3390,$A1575,'United Data'!$B$3:$B$3390,"&lt;&gt;Off-street")&gt;0,1,0)</f>
        <v>0</v>
      </c>
      <c r="E1575">
        <f>IF(COUNTIFS('United Data'!$A$3:$A$3390,E$1,'United Data'!$C$3:$C$3390,$A1575,'United Data'!$B$3:$B$3390,"&lt;&gt;Off-street")&gt;0,1,0)</f>
        <v>0</v>
      </c>
      <c r="F1575">
        <f>IF(COUNTIFS('United Data'!$A$3:$A$3390,F$1,'United Data'!$C$3:$C$3390,$A1575,'United Data'!$B$3:$B$3390,"&lt;&gt;Off-street")&gt;0,1,0)</f>
        <v>0</v>
      </c>
      <c r="G1575">
        <f>IF(COUNTIFS('United Data'!$A$3:$A$3390,G$1,'United Data'!$C$3:$C$3390,$A1575,'United Data'!$B$3:$B$3390,"&lt;&gt;Off-street")&gt;0,1,0)</f>
        <v>0</v>
      </c>
      <c r="H1575">
        <f>IF(COUNTIFS('United Data'!$A$3:$A$3390,H$1,'United Data'!$C$3:$C$3390,$A1575,'United Data'!$B$3:$B$3390,"&lt;&gt;Off-street")&gt;0,1,0)</f>
        <v>0</v>
      </c>
      <c r="I1575">
        <f>IF(COUNTIFS('United Data'!$A$3:$A$3390,I$1,'United Data'!$C$3:$C$3390,$A1575,'United Data'!$B$3:$B$3390,"&lt;&gt;Off-street")&gt;0,1,0)</f>
        <v>0</v>
      </c>
      <c r="J1575">
        <f>IF(COUNTIFS('United Data'!$A$3:$A$3390,J$1,'United Data'!$C$3:$C$3390,$A1575,'United Data'!$B$3:$B$3390,"&lt;&gt;Off-street")&gt;0,1,0)</f>
        <v>0</v>
      </c>
      <c r="K1575">
        <f>IF(COUNTIFS('United Data'!$A$3:$A$3390,K$1,'United Data'!$C$3:$C$3390,$A1575,'United Data'!$B$3:$B$3390,"&lt;&gt;Off-street")&gt;0,1,0)</f>
        <v>0</v>
      </c>
      <c r="L1575">
        <f>IF(COUNTIFS('United Data'!$A$3:$A$3390,L$1,'United Data'!$C$3:$C$3390,$A1575,'United Data'!$B$3:$B$3390,"&lt;&gt;Off-street")&gt;0,1,0)</f>
        <v>0</v>
      </c>
      <c r="M1575">
        <f>IF(COUNTIFS('United Data'!$A$3:$A$3390,M$1,'United Data'!$C$3:$C$3390,$A1575,'United Data'!$B$3:$B$3390,"&lt;&gt;Off-street")&gt;0,1,0)</f>
        <v>0</v>
      </c>
      <c r="N1575">
        <f>IF(COUNTIFS('United Data'!$A$3:$A$3390,N$1,'United Data'!$C$3:$C$3390,$A1575,'United Data'!$B$3:$B$3390,"&lt;&gt;Off-street")&gt;0,1,0)</f>
        <v>0</v>
      </c>
      <c r="O1575">
        <f>IF(COUNTIFS('United Data'!$A$3:$A$3390,O$1,'United Data'!$C$3:$C$3390,$A1575,'United Data'!$B$3:$B$3390,"&lt;&gt;Off-street")&gt;0,1,0)</f>
        <v>0</v>
      </c>
      <c r="P1575">
        <f>IF(COUNTIFS('United Data'!$A$3:$A$3390,P$1,'United Data'!$C$3:$C$3390,$A1575,'United Data'!$B$3:$B$3390,"&lt;&gt;Off-street")&gt;0,1,0)</f>
        <v>1</v>
      </c>
      <c r="Q1575">
        <f>IF(COUNTIFS('United Data'!$A$3:$A$3390,Q$1,'United Data'!$C$3:$C$3390,$A1575,'United Data'!$B$3:$B$3390,"&lt;&gt;Off-street")&gt;0,1,0)</f>
        <v>0</v>
      </c>
      <c r="R1575">
        <f>IF(COUNTIFS('United Data'!$A$3:$A$3390,R$1,'United Data'!$C$3:$C$3390,$A1575,'United Data'!$B$3:$B$3390,"&lt;&gt;Off-street")&gt;0,1,0)</f>
        <v>0</v>
      </c>
      <c r="S1575">
        <f t="shared" si="48"/>
        <v>1</v>
      </c>
      <c r="T1575">
        <f t="shared" si="49"/>
        <v>1</v>
      </c>
    </row>
    <row r="1576" spans="1:20" x14ac:dyDescent="0.2">
      <c r="A1576" t="s">
        <v>1855</v>
      </c>
      <c r="B1576">
        <f>IF(COUNTIFS('United Data'!$A$3:$A$3390,B$1,'United Data'!$C$3:$C$3390,$A1576,'United Data'!$B$3:$B$3390,"&lt;&gt;Off-street")&gt;0,1,0)</f>
        <v>0</v>
      </c>
      <c r="C1576">
        <f>IF(COUNTIFS('United Data'!$A$3:$A$3390,C$1,'United Data'!$C$3:$C$3390,$A1576,'United Data'!$B$3:$B$3390,"&lt;&gt;Off-street")&gt;0,1,0)</f>
        <v>0</v>
      </c>
      <c r="D1576">
        <f>IF(COUNTIFS('United Data'!$A$3:$A$3390,D$1,'United Data'!$C$3:$C$3390,$A1576,'United Data'!$B$3:$B$3390,"&lt;&gt;Off-street")&gt;0,1,0)</f>
        <v>0</v>
      </c>
      <c r="E1576">
        <f>IF(COUNTIFS('United Data'!$A$3:$A$3390,E$1,'United Data'!$C$3:$C$3390,$A1576,'United Data'!$B$3:$B$3390,"&lt;&gt;Off-street")&gt;0,1,0)</f>
        <v>0</v>
      </c>
      <c r="F1576">
        <f>IF(COUNTIFS('United Data'!$A$3:$A$3390,F$1,'United Data'!$C$3:$C$3390,$A1576,'United Data'!$B$3:$B$3390,"&lt;&gt;Off-street")&gt;0,1,0)</f>
        <v>0</v>
      </c>
      <c r="G1576">
        <f>IF(COUNTIFS('United Data'!$A$3:$A$3390,G$1,'United Data'!$C$3:$C$3390,$A1576,'United Data'!$B$3:$B$3390,"&lt;&gt;Off-street")&gt;0,1,0)</f>
        <v>0</v>
      </c>
      <c r="H1576">
        <f>IF(COUNTIFS('United Data'!$A$3:$A$3390,H$1,'United Data'!$C$3:$C$3390,$A1576,'United Data'!$B$3:$B$3390,"&lt;&gt;Off-street")&gt;0,1,0)</f>
        <v>0</v>
      </c>
      <c r="I1576">
        <f>IF(COUNTIFS('United Data'!$A$3:$A$3390,I$1,'United Data'!$C$3:$C$3390,$A1576,'United Data'!$B$3:$B$3390,"&lt;&gt;Off-street")&gt;0,1,0)</f>
        <v>0</v>
      </c>
      <c r="J1576">
        <f>IF(COUNTIFS('United Data'!$A$3:$A$3390,J$1,'United Data'!$C$3:$C$3390,$A1576,'United Data'!$B$3:$B$3390,"&lt;&gt;Off-street")&gt;0,1,0)</f>
        <v>0</v>
      </c>
      <c r="K1576">
        <f>IF(COUNTIFS('United Data'!$A$3:$A$3390,K$1,'United Data'!$C$3:$C$3390,$A1576,'United Data'!$B$3:$B$3390,"&lt;&gt;Off-street")&gt;0,1,0)</f>
        <v>0</v>
      </c>
      <c r="L1576">
        <f>IF(COUNTIFS('United Data'!$A$3:$A$3390,L$1,'United Data'!$C$3:$C$3390,$A1576,'United Data'!$B$3:$B$3390,"&lt;&gt;Off-street")&gt;0,1,0)</f>
        <v>0</v>
      </c>
      <c r="M1576">
        <f>IF(COUNTIFS('United Data'!$A$3:$A$3390,M$1,'United Data'!$C$3:$C$3390,$A1576,'United Data'!$B$3:$B$3390,"&lt;&gt;Off-street")&gt;0,1,0)</f>
        <v>0</v>
      </c>
      <c r="N1576">
        <f>IF(COUNTIFS('United Data'!$A$3:$A$3390,N$1,'United Data'!$C$3:$C$3390,$A1576,'United Data'!$B$3:$B$3390,"&lt;&gt;Off-street")&gt;0,1,0)</f>
        <v>0</v>
      </c>
      <c r="O1576">
        <f>IF(COUNTIFS('United Data'!$A$3:$A$3390,O$1,'United Data'!$C$3:$C$3390,$A1576,'United Data'!$B$3:$B$3390,"&lt;&gt;Off-street")&gt;0,1,0)</f>
        <v>0</v>
      </c>
      <c r="P1576">
        <f>IF(COUNTIFS('United Data'!$A$3:$A$3390,P$1,'United Data'!$C$3:$C$3390,$A1576,'United Data'!$B$3:$B$3390,"&lt;&gt;Off-street")&gt;0,1,0)</f>
        <v>1</v>
      </c>
      <c r="Q1576">
        <f>IF(COUNTIFS('United Data'!$A$3:$A$3390,Q$1,'United Data'!$C$3:$C$3390,$A1576,'United Data'!$B$3:$B$3390,"&lt;&gt;Off-street")&gt;0,1,0)</f>
        <v>1</v>
      </c>
      <c r="R1576">
        <f>IF(COUNTIFS('United Data'!$A$3:$A$3390,R$1,'United Data'!$C$3:$C$3390,$A1576,'United Data'!$B$3:$B$3390,"&lt;&gt;Off-street")&gt;0,1,0)</f>
        <v>0</v>
      </c>
      <c r="S1576">
        <f t="shared" si="48"/>
        <v>2</v>
      </c>
      <c r="T1576">
        <f t="shared" si="49"/>
        <v>1</v>
      </c>
    </row>
    <row r="1577" spans="1:20" x14ac:dyDescent="0.2">
      <c r="A1577" t="s">
        <v>1856</v>
      </c>
      <c r="B1577">
        <f>IF(COUNTIFS('United Data'!$A$3:$A$3390,B$1,'United Data'!$C$3:$C$3390,$A1577,'United Data'!$B$3:$B$3390,"&lt;&gt;Off-street")&gt;0,1,0)</f>
        <v>0</v>
      </c>
      <c r="C1577">
        <f>IF(COUNTIFS('United Data'!$A$3:$A$3390,C$1,'United Data'!$C$3:$C$3390,$A1577,'United Data'!$B$3:$B$3390,"&lt;&gt;Off-street")&gt;0,1,0)</f>
        <v>0</v>
      </c>
      <c r="D1577">
        <f>IF(COUNTIFS('United Data'!$A$3:$A$3390,D$1,'United Data'!$C$3:$C$3390,$A1577,'United Data'!$B$3:$B$3390,"&lt;&gt;Off-street")&gt;0,1,0)</f>
        <v>0</v>
      </c>
      <c r="E1577">
        <f>IF(COUNTIFS('United Data'!$A$3:$A$3390,E$1,'United Data'!$C$3:$C$3390,$A1577,'United Data'!$B$3:$B$3390,"&lt;&gt;Off-street")&gt;0,1,0)</f>
        <v>0</v>
      </c>
      <c r="F1577">
        <f>IF(COUNTIFS('United Data'!$A$3:$A$3390,F$1,'United Data'!$C$3:$C$3390,$A1577,'United Data'!$B$3:$B$3390,"&lt;&gt;Off-street")&gt;0,1,0)</f>
        <v>0</v>
      </c>
      <c r="G1577">
        <f>IF(COUNTIFS('United Data'!$A$3:$A$3390,G$1,'United Data'!$C$3:$C$3390,$A1577,'United Data'!$B$3:$B$3390,"&lt;&gt;Off-street")&gt;0,1,0)</f>
        <v>0</v>
      </c>
      <c r="H1577">
        <f>IF(COUNTIFS('United Data'!$A$3:$A$3390,H$1,'United Data'!$C$3:$C$3390,$A1577,'United Data'!$B$3:$B$3390,"&lt;&gt;Off-street")&gt;0,1,0)</f>
        <v>0</v>
      </c>
      <c r="I1577">
        <f>IF(COUNTIFS('United Data'!$A$3:$A$3390,I$1,'United Data'!$C$3:$C$3390,$A1577,'United Data'!$B$3:$B$3390,"&lt;&gt;Off-street")&gt;0,1,0)</f>
        <v>0</v>
      </c>
      <c r="J1577">
        <f>IF(COUNTIFS('United Data'!$A$3:$A$3390,J$1,'United Data'!$C$3:$C$3390,$A1577,'United Data'!$B$3:$B$3390,"&lt;&gt;Off-street")&gt;0,1,0)</f>
        <v>0</v>
      </c>
      <c r="K1577">
        <f>IF(COUNTIFS('United Data'!$A$3:$A$3390,K$1,'United Data'!$C$3:$C$3390,$A1577,'United Data'!$B$3:$B$3390,"&lt;&gt;Off-street")&gt;0,1,0)</f>
        <v>0</v>
      </c>
      <c r="L1577">
        <f>IF(COUNTIFS('United Data'!$A$3:$A$3390,L$1,'United Data'!$C$3:$C$3390,$A1577,'United Data'!$B$3:$B$3390,"&lt;&gt;Off-street")&gt;0,1,0)</f>
        <v>0</v>
      </c>
      <c r="M1577">
        <f>IF(COUNTIFS('United Data'!$A$3:$A$3390,M$1,'United Data'!$C$3:$C$3390,$A1577,'United Data'!$B$3:$B$3390,"&lt;&gt;Off-street")&gt;0,1,0)</f>
        <v>0</v>
      </c>
      <c r="N1577">
        <f>IF(COUNTIFS('United Data'!$A$3:$A$3390,N$1,'United Data'!$C$3:$C$3390,$A1577,'United Data'!$B$3:$B$3390,"&lt;&gt;Off-street")&gt;0,1,0)</f>
        <v>0</v>
      </c>
      <c r="O1577">
        <f>IF(COUNTIFS('United Data'!$A$3:$A$3390,O$1,'United Data'!$C$3:$C$3390,$A1577,'United Data'!$B$3:$B$3390,"&lt;&gt;Off-street")&gt;0,1,0)</f>
        <v>0</v>
      </c>
      <c r="P1577">
        <f>IF(COUNTIFS('United Data'!$A$3:$A$3390,P$1,'United Data'!$C$3:$C$3390,$A1577,'United Data'!$B$3:$B$3390,"&lt;&gt;Off-street")&gt;0,1,0)</f>
        <v>1</v>
      </c>
      <c r="Q1577">
        <f>IF(COUNTIFS('United Data'!$A$3:$A$3390,Q$1,'United Data'!$C$3:$C$3390,$A1577,'United Data'!$B$3:$B$3390,"&lt;&gt;Off-street")&gt;0,1,0)</f>
        <v>0</v>
      </c>
      <c r="R1577">
        <f>IF(COUNTIFS('United Data'!$A$3:$A$3390,R$1,'United Data'!$C$3:$C$3390,$A1577,'United Data'!$B$3:$B$3390,"&lt;&gt;Off-street")&gt;0,1,0)</f>
        <v>0</v>
      </c>
      <c r="S1577">
        <f t="shared" si="48"/>
        <v>1</v>
      </c>
      <c r="T1577">
        <f t="shared" si="49"/>
        <v>1</v>
      </c>
    </row>
    <row r="1578" spans="1:20" x14ac:dyDescent="0.2">
      <c r="A1578" t="s">
        <v>1857</v>
      </c>
      <c r="B1578">
        <f>IF(COUNTIFS('United Data'!$A$3:$A$3390,B$1,'United Data'!$C$3:$C$3390,$A1578,'United Data'!$B$3:$B$3390,"&lt;&gt;Off-street")&gt;0,1,0)</f>
        <v>0</v>
      </c>
      <c r="C1578">
        <f>IF(COUNTIFS('United Data'!$A$3:$A$3390,C$1,'United Data'!$C$3:$C$3390,$A1578,'United Data'!$B$3:$B$3390,"&lt;&gt;Off-street")&gt;0,1,0)</f>
        <v>0</v>
      </c>
      <c r="D1578">
        <f>IF(COUNTIFS('United Data'!$A$3:$A$3390,D$1,'United Data'!$C$3:$C$3390,$A1578,'United Data'!$B$3:$B$3390,"&lt;&gt;Off-street")&gt;0,1,0)</f>
        <v>0</v>
      </c>
      <c r="E1578">
        <f>IF(COUNTIFS('United Data'!$A$3:$A$3390,E$1,'United Data'!$C$3:$C$3390,$A1578,'United Data'!$B$3:$B$3390,"&lt;&gt;Off-street")&gt;0,1,0)</f>
        <v>0</v>
      </c>
      <c r="F1578">
        <f>IF(COUNTIFS('United Data'!$A$3:$A$3390,F$1,'United Data'!$C$3:$C$3390,$A1578,'United Data'!$B$3:$B$3390,"&lt;&gt;Off-street")&gt;0,1,0)</f>
        <v>0</v>
      </c>
      <c r="G1578">
        <f>IF(COUNTIFS('United Data'!$A$3:$A$3390,G$1,'United Data'!$C$3:$C$3390,$A1578,'United Data'!$B$3:$B$3390,"&lt;&gt;Off-street")&gt;0,1,0)</f>
        <v>0</v>
      </c>
      <c r="H1578">
        <f>IF(COUNTIFS('United Data'!$A$3:$A$3390,H$1,'United Data'!$C$3:$C$3390,$A1578,'United Data'!$B$3:$B$3390,"&lt;&gt;Off-street")&gt;0,1,0)</f>
        <v>0</v>
      </c>
      <c r="I1578">
        <f>IF(COUNTIFS('United Data'!$A$3:$A$3390,I$1,'United Data'!$C$3:$C$3390,$A1578,'United Data'!$B$3:$B$3390,"&lt;&gt;Off-street")&gt;0,1,0)</f>
        <v>0</v>
      </c>
      <c r="J1578">
        <f>IF(COUNTIFS('United Data'!$A$3:$A$3390,J$1,'United Data'!$C$3:$C$3390,$A1578,'United Data'!$B$3:$B$3390,"&lt;&gt;Off-street")&gt;0,1,0)</f>
        <v>0</v>
      </c>
      <c r="K1578">
        <f>IF(COUNTIFS('United Data'!$A$3:$A$3390,K$1,'United Data'!$C$3:$C$3390,$A1578,'United Data'!$B$3:$B$3390,"&lt;&gt;Off-street")&gt;0,1,0)</f>
        <v>0</v>
      </c>
      <c r="L1578">
        <f>IF(COUNTIFS('United Data'!$A$3:$A$3390,L$1,'United Data'!$C$3:$C$3390,$A1578,'United Data'!$B$3:$B$3390,"&lt;&gt;Off-street")&gt;0,1,0)</f>
        <v>0</v>
      </c>
      <c r="M1578">
        <f>IF(COUNTIFS('United Data'!$A$3:$A$3390,M$1,'United Data'!$C$3:$C$3390,$A1578,'United Data'!$B$3:$B$3390,"&lt;&gt;Off-street")&gt;0,1,0)</f>
        <v>0</v>
      </c>
      <c r="N1578">
        <f>IF(COUNTIFS('United Data'!$A$3:$A$3390,N$1,'United Data'!$C$3:$C$3390,$A1578,'United Data'!$B$3:$B$3390,"&lt;&gt;Off-street")&gt;0,1,0)</f>
        <v>0</v>
      </c>
      <c r="O1578">
        <f>IF(COUNTIFS('United Data'!$A$3:$A$3390,O$1,'United Data'!$C$3:$C$3390,$A1578,'United Data'!$B$3:$B$3390,"&lt;&gt;Off-street")&gt;0,1,0)</f>
        <v>0</v>
      </c>
      <c r="P1578">
        <f>IF(COUNTIFS('United Data'!$A$3:$A$3390,P$1,'United Data'!$C$3:$C$3390,$A1578,'United Data'!$B$3:$B$3390,"&lt;&gt;Off-street")&gt;0,1,0)</f>
        <v>1</v>
      </c>
      <c r="Q1578">
        <f>IF(COUNTIFS('United Data'!$A$3:$A$3390,Q$1,'United Data'!$C$3:$C$3390,$A1578,'United Data'!$B$3:$B$3390,"&lt;&gt;Off-street")&gt;0,1,0)</f>
        <v>0</v>
      </c>
      <c r="R1578">
        <f>IF(COUNTIFS('United Data'!$A$3:$A$3390,R$1,'United Data'!$C$3:$C$3390,$A1578,'United Data'!$B$3:$B$3390,"&lt;&gt;Off-street")&gt;0,1,0)</f>
        <v>0</v>
      </c>
      <c r="S1578">
        <f t="shared" si="48"/>
        <v>1</v>
      </c>
      <c r="T1578">
        <f t="shared" si="49"/>
        <v>1</v>
      </c>
    </row>
    <row r="1579" spans="1:20" x14ac:dyDescent="0.2">
      <c r="A1579" t="s">
        <v>1858</v>
      </c>
      <c r="B1579">
        <f>IF(COUNTIFS('United Data'!$A$3:$A$3390,B$1,'United Data'!$C$3:$C$3390,$A1579,'United Data'!$B$3:$B$3390,"&lt;&gt;Off-street")&gt;0,1,0)</f>
        <v>0</v>
      </c>
      <c r="C1579">
        <f>IF(COUNTIFS('United Data'!$A$3:$A$3390,C$1,'United Data'!$C$3:$C$3390,$A1579,'United Data'!$B$3:$B$3390,"&lt;&gt;Off-street")&gt;0,1,0)</f>
        <v>0</v>
      </c>
      <c r="D1579">
        <f>IF(COUNTIFS('United Data'!$A$3:$A$3390,D$1,'United Data'!$C$3:$C$3390,$A1579,'United Data'!$B$3:$B$3390,"&lt;&gt;Off-street")&gt;0,1,0)</f>
        <v>0</v>
      </c>
      <c r="E1579">
        <f>IF(COUNTIFS('United Data'!$A$3:$A$3390,E$1,'United Data'!$C$3:$C$3390,$A1579,'United Data'!$B$3:$B$3390,"&lt;&gt;Off-street")&gt;0,1,0)</f>
        <v>0</v>
      </c>
      <c r="F1579">
        <f>IF(COUNTIFS('United Data'!$A$3:$A$3390,F$1,'United Data'!$C$3:$C$3390,$A1579,'United Data'!$B$3:$B$3390,"&lt;&gt;Off-street")&gt;0,1,0)</f>
        <v>0</v>
      </c>
      <c r="G1579">
        <f>IF(COUNTIFS('United Data'!$A$3:$A$3390,G$1,'United Data'!$C$3:$C$3390,$A1579,'United Data'!$B$3:$B$3390,"&lt;&gt;Off-street")&gt;0,1,0)</f>
        <v>0</v>
      </c>
      <c r="H1579">
        <f>IF(COUNTIFS('United Data'!$A$3:$A$3390,H$1,'United Data'!$C$3:$C$3390,$A1579,'United Data'!$B$3:$B$3390,"&lt;&gt;Off-street")&gt;0,1,0)</f>
        <v>0</v>
      </c>
      <c r="I1579">
        <f>IF(COUNTIFS('United Data'!$A$3:$A$3390,I$1,'United Data'!$C$3:$C$3390,$A1579,'United Data'!$B$3:$B$3390,"&lt;&gt;Off-street")&gt;0,1,0)</f>
        <v>0</v>
      </c>
      <c r="J1579">
        <f>IF(COUNTIFS('United Data'!$A$3:$A$3390,J$1,'United Data'!$C$3:$C$3390,$A1579,'United Data'!$B$3:$B$3390,"&lt;&gt;Off-street")&gt;0,1,0)</f>
        <v>0</v>
      </c>
      <c r="K1579">
        <f>IF(COUNTIFS('United Data'!$A$3:$A$3390,K$1,'United Data'!$C$3:$C$3390,$A1579,'United Data'!$B$3:$B$3390,"&lt;&gt;Off-street")&gt;0,1,0)</f>
        <v>0</v>
      </c>
      <c r="L1579">
        <f>IF(COUNTIFS('United Data'!$A$3:$A$3390,L$1,'United Data'!$C$3:$C$3390,$A1579,'United Data'!$B$3:$B$3390,"&lt;&gt;Off-street")&gt;0,1,0)</f>
        <v>0</v>
      </c>
      <c r="M1579">
        <f>IF(COUNTIFS('United Data'!$A$3:$A$3390,M$1,'United Data'!$C$3:$C$3390,$A1579,'United Data'!$B$3:$B$3390,"&lt;&gt;Off-street")&gt;0,1,0)</f>
        <v>0</v>
      </c>
      <c r="N1579">
        <f>IF(COUNTIFS('United Data'!$A$3:$A$3390,N$1,'United Data'!$C$3:$C$3390,$A1579,'United Data'!$B$3:$B$3390,"&lt;&gt;Off-street")&gt;0,1,0)</f>
        <v>0</v>
      </c>
      <c r="O1579">
        <f>IF(COUNTIFS('United Data'!$A$3:$A$3390,O$1,'United Data'!$C$3:$C$3390,$A1579,'United Data'!$B$3:$B$3390,"&lt;&gt;Off-street")&gt;0,1,0)</f>
        <v>0</v>
      </c>
      <c r="P1579">
        <f>IF(COUNTIFS('United Data'!$A$3:$A$3390,P$1,'United Data'!$C$3:$C$3390,$A1579,'United Data'!$B$3:$B$3390,"&lt;&gt;Off-street")&gt;0,1,0)</f>
        <v>1</v>
      </c>
      <c r="Q1579">
        <f>IF(COUNTIFS('United Data'!$A$3:$A$3390,Q$1,'United Data'!$C$3:$C$3390,$A1579,'United Data'!$B$3:$B$3390,"&lt;&gt;Off-street")&gt;0,1,0)</f>
        <v>0</v>
      </c>
      <c r="R1579">
        <f>IF(COUNTIFS('United Data'!$A$3:$A$3390,R$1,'United Data'!$C$3:$C$3390,$A1579,'United Data'!$B$3:$B$3390,"&lt;&gt;Off-street")&gt;0,1,0)</f>
        <v>0</v>
      </c>
      <c r="S1579">
        <f t="shared" si="48"/>
        <v>1</v>
      </c>
      <c r="T1579">
        <f t="shared" si="49"/>
        <v>1</v>
      </c>
    </row>
    <row r="1580" spans="1:20" x14ac:dyDescent="0.2">
      <c r="A1580" t="s">
        <v>1859</v>
      </c>
      <c r="B1580">
        <f>IF(COUNTIFS('United Data'!$A$3:$A$3390,B$1,'United Data'!$C$3:$C$3390,$A1580,'United Data'!$B$3:$B$3390,"&lt;&gt;Off-street")&gt;0,1,0)</f>
        <v>0</v>
      </c>
      <c r="C1580">
        <f>IF(COUNTIFS('United Data'!$A$3:$A$3390,C$1,'United Data'!$C$3:$C$3390,$A1580,'United Data'!$B$3:$B$3390,"&lt;&gt;Off-street")&gt;0,1,0)</f>
        <v>0</v>
      </c>
      <c r="D1580">
        <f>IF(COUNTIFS('United Data'!$A$3:$A$3390,D$1,'United Data'!$C$3:$C$3390,$A1580,'United Data'!$B$3:$B$3390,"&lt;&gt;Off-street")&gt;0,1,0)</f>
        <v>0</v>
      </c>
      <c r="E1580">
        <f>IF(COUNTIFS('United Data'!$A$3:$A$3390,E$1,'United Data'!$C$3:$C$3390,$A1580,'United Data'!$B$3:$B$3390,"&lt;&gt;Off-street")&gt;0,1,0)</f>
        <v>0</v>
      </c>
      <c r="F1580">
        <f>IF(COUNTIFS('United Data'!$A$3:$A$3390,F$1,'United Data'!$C$3:$C$3390,$A1580,'United Data'!$B$3:$B$3390,"&lt;&gt;Off-street")&gt;0,1,0)</f>
        <v>0</v>
      </c>
      <c r="G1580">
        <f>IF(COUNTIFS('United Data'!$A$3:$A$3390,G$1,'United Data'!$C$3:$C$3390,$A1580,'United Data'!$B$3:$B$3390,"&lt;&gt;Off-street")&gt;0,1,0)</f>
        <v>0</v>
      </c>
      <c r="H1580">
        <f>IF(COUNTIFS('United Data'!$A$3:$A$3390,H$1,'United Data'!$C$3:$C$3390,$A1580,'United Data'!$B$3:$B$3390,"&lt;&gt;Off-street")&gt;0,1,0)</f>
        <v>0</v>
      </c>
      <c r="I1580">
        <f>IF(COUNTIFS('United Data'!$A$3:$A$3390,I$1,'United Data'!$C$3:$C$3390,$A1580,'United Data'!$B$3:$B$3390,"&lt;&gt;Off-street")&gt;0,1,0)</f>
        <v>0</v>
      </c>
      <c r="J1580">
        <f>IF(COUNTIFS('United Data'!$A$3:$A$3390,J$1,'United Data'!$C$3:$C$3390,$A1580,'United Data'!$B$3:$B$3390,"&lt;&gt;Off-street")&gt;0,1,0)</f>
        <v>0</v>
      </c>
      <c r="K1580">
        <f>IF(COUNTIFS('United Data'!$A$3:$A$3390,K$1,'United Data'!$C$3:$C$3390,$A1580,'United Data'!$B$3:$B$3390,"&lt;&gt;Off-street")&gt;0,1,0)</f>
        <v>0</v>
      </c>
      <c r="L1580">
        <f>IF(COUNTIFS('United Data'!$A$3:$A$3390,L$1,'United Data'!$C$3:$C$3390,$A1580,'United Data'!$B$3:$B$3390,"&lt;&gt;Off-street")&gt;0,1,0)</f>
        <v>0</v>
      </c>
      <c r="M1580">
        <f>IF(COUNTIFS('United Data'!$A$3:$A$3390,M$1,'United Data'!$C$3:$C$3390,$A1580,'United Data'!$B$3:$B$3390,"&lt;&gt;Off-street")&gt;0,1,0)</f>
        <v>0</v>
      </c>
      <c r="N1580">
        <f>IF(COUNTIFS('United Data'!$A$3:$A$3390,N$1,'United Data'!$C$3:$C$3390,$A1580,'United Data'!$B$3:$B$3390,"&lt;&gt;Off-street")&gt;0,1,0)</f>
        <v>0</v>
      </c>
      <c r="O1580">
        <f>IF(COUNTIFS('United Data'!$A$3:$A$3390,O$1,'United Data'!$C$3:$C$3390,$A1580,'United Data'!$B$3:$B$3390,"&lt;&gt;Off-street")&gt;0,1,0)</f>
        <v>0</v>
      </c>
      <c r="P1580">
        <f>IF(COUNTIFS('United Data'!$A$3:$A$3390,P$1,'United Data'!$C$3:$C$3390,$A1580,'United Data'!$B$3:$B$3390,"&lt;&gt;Off-street")&gt;0,1,0)</f>
        <v>1</v>
      </c>
      <c r="Q1580">
        <f>IF(COUNTIFS('United Data'!$A$3:$A$3390,Q$1,'United Data'!$C$3:$C$3390,$A1580,'United Data'!$B$3:$B$3390,"&lt;&gt;Off-street")&gt;0,1,0)</f>
        <v>0</v>
      </c>
      <c r="R1580">
        <f>IF(COUNTIFS('United Data'!$A$3:$A$3390,R$1,'United Data'!$C$3:$C$3390,$A1580,'United Data'!$B$3:$B$3390,"&lt;&gt;Off-street")&gt;0,1,0)</f>
        <v>1</v>
      </c>
      <c r="S1580">
        <f t="shared" si="48"/>
        <v>2</v>
      </c>
      <c r="T1580">
        <f t="shared" si="49"/>
        <v>2</v>
      </c>
    </row>
    <row r="1581" spans="1:20" x14ac:dyDescent="0.2">
      <c r="A1581" t="s">
        <v>1860</v>
      </c>
      <c r="B1581">
        <f>IF(COUNTIFS('United Data'!$A$3:$A$3390,B$1,'United Data'!$C$3:$C$3390,$A1581,'United Data'!$B$3:$B$3390,"&lt;&gt;Off-street")&gt;0,1,0)</f>
        <v>0</v>
      </c>
      <c r="C1581">
        <f>IF(COUNTIFS('United Data'!$A$3:$A$3390,C$1,'United Data'!$C$3:$C$3390,$A1581,'United Data'!$B$3:$B$3390,"&lt;&gt;Off-street")&gt;0,1,0)</f>
        <v>0</v>
      </c>
      <c r="D1581">
        <f>IF(COUNTIFS('United Data'!$A$3:$A$3390,D$1,'United Data'!$C$3:$C$3390,$A1581,'United Data'!$B$3:$B$3390,"&lt;&gt;Off-street")&gt;0,1,0)</f>
        <v>0</v>
      </c>
      <c r="E1581">
        <f>IF(COUNTIFS('United Data'!$A$3:$A$3390,E$1,'United Data'!$C$3:$C$3390,$A1581,'United Data'!$B$3:$B$3390,"&lt;&gt;Off-street")&gt;0,1,0)</f>
        <v>0</v>
      </c>
      <c r="F1581">
        <f>IF(COUNTIFS('United Data'!$A$3:$A$3390,F$1,'United Data'!$C$3:$C$3390,$A1581,'United Data'!$B$3:$B$3390,"&lt;&gt;Off-street")&gt;0,1,0)</f>
        <v>0</v>
      </c>
      <c r="G1581">
        <f>IF(COUNTIFS('United Data'!$A$3:$A$3390,G$1,'United Data'!$C$3:$C$3390,$A1581,'United Data'!$B$3:$B$3390,"&lt;&gt;Off-street")&gt;0,1,0)</f>
        <v>0</v>
      </c>
      <c r="H1581">
        <f>IF(COUNTIFS('United Data'!$A$3:$A$3390,H$1,'United Data'!$C$3:$C$3390,$A1581,'United Data'!$B$3:$B$3390,"&lt;&gt;Off-street")&gt;0,1,0)</f>
        <v>0</v>
      </c>
      <c r="I1581">
        <f>IF(COUNTIFS('United Data'!$A$3:$A$3390,I$1,'United Data'!$C$3:$C$3390,$A1581,'United Data'!$B$3:$B$3390,"&lt;&gt;Off-street")&gt;0,1,0)</f>
        <v>0</v>
      </c>
      <c r="J1581">
        <f>IF(COUNTIFS('United Data'!$A$3:$A$3390,J$1,'United Data'!$C$3:$C$3390,$A1581,'United Data'!$B$3:$B$3390,"&lt;&gt;Off-street")&gt;0,1,0)</f>
        <v>0</v>
      </c>
      <c r="K1581">
        <f>IF(COUNTIFS('United Data'!$A$3:$A$3390,K$1,'United Data'!$C$3:$C$3390,$A1581,'United Data'!$B$3:$B$3390,"&lt;&gt;Off-street")&gt;0,1,0)</f>
        <v>0</v>
      </c>
      <c r="L1581">
        <f>IF(COUNTIFS('United Data'!$A$3:$A$3390,L$1,'United Data'!$C$3:$C$3390,$A1581,'United Data'!$B$3:$B$3390,"&lt;&gt;Off-street")&gt;0,1,0)</f>
        <v>0</v>
      </c>
      <c r="M1581">
        <f>IF(COUNTIFS('United Data'!$A$3:$A$3390,M$1,'United Data'!$C$3:$C$3390,$A1581,'United Data'!$B$3:$B$3390,"&lt;&gt;Off-street")&gt;0,1,0)</f>
        <v>0</v>
      </c>
      <c r="N1581">
        <f>IF(COUNTIFS('United Data'!$A$3:$A$3390,N$1,'United Data'!$C$3:$C$3390,$A1581,'United Data'!$B$3:$B$3390,"&lt;&gt;Off-street")&gt;0,1,0)</f>
        <v>0</v>
      </c>
      <c r="O1581">
        <f>IF(COUNTIFS('United Data'!$A$3:$A$3390,O$1,'United Data'!$C$3:$C$3390,$A1581,'United Data'!$B$3:$B$3390,"&lt;&gt;Off-street")&gt;0,1,0)</f>
        <v>0</v>
      </c>
      <c r="P1581">
        <f>IF(COUNTIFS('United Data'!$A$3:$A$3390,P$1,'United Data'!$C$3:$C$3390,$A1581,'United Data'!$B$3:$B$3390,"&lt;&gt;Off-street")&gt;0,1,0)</f>
        <v>0</v>
      </c>
      <c r="Q1581">
        <f>IF(COUNTIFS('United Data'!$A$3:$A$3390,Q$1,'United Data'!$C$3:$C$3390,$A1581,'United Data'!$B$3:$B$3390,"&lt;&gt;Off-street")&gt;0,1,0)</f>
        <v>1</v>
      </c>
      <c r="R1581">
        <f>IF(COUNTIFS('United Data'!$A$3:$A$3390,R$1,'United Data'!$C$3:$C$3390,$A1581,'United Data'!$B$3:$B$3390,"&lt;&gt;Off-street")&gt;0,1,0)</f>
        <v>0</v>
      </c>
      <c r="S1581">
        <f t="shared" si="48"/>
        <v>1</v>
      </c>
      <c r="T1581">
        <f t="shared" si="49"/>
        <v>1</v>
      </c>
    </row>
    <row r="1582" spans="1:20" x14ac:dyDescent="0.2">
      <c r="A1582" t="s">
        <v>1861</v>
      </c>
      <c r="B1582">
        <f>IF(COUNTIFS('United Data'!$A$3:$A$3390,B$1,'United Data'!$C$3:$C$3390,$A1582,'United Data'!$B$3:$B$3390,"&lt;&gt;Off-street")&gt;0,1,0)</f>
        <v>0</v>
      </c>
      <c r="C1582">
        <f>IF(COUNTIFS('United Data'!$A$3:$A$3390,C$1,'United Data'!$C$3:$C$3390,$A1582,'United Data'!$B$3:$B$3390,"&lt;&gt;Off-street")&gt;0,1,0)</f>
        <v>0</v>
      </c>
      <c r="D1582">
        <f>IF(COUNTIFS('United Data'!$A$3:$A$3390,D$1,'United Data'!$C$3:$C$3390,$A1582,'United Data'!$B$3:$B$3390,"&lt;&gt;Off-street")&gt;0,1,0)</f>
        <v>0</v>
      </c>
      <c r="E1582">
        <f>IF(COUNTIFS('United Data'!$A$3:$A$3390,E$1,'United Data'!$C$3:$C$3390,$A1582,'United Data'!$B$3:$B$3390,"&lt;&gt;Off-street")&gt;0,1,0)</f>
        <v>0</v>
      </c>
      <c r="F1582">
        <f>IF(COUNTIFS('United Data'!$A$3:$A$3390,F$1,'United Data'!$C$3:$C$3390,$A1582,'United Data'!$B$3:$B$3390,"&lt;&gt;Off-street")&gt;0,1,0)</f>
        <v>0</v>
      </c>
      <c r="G1582">
        <f>IF(COUNTIFS('United Data'!$A$3:$A$3390,G$1,'United Data'!$C$3:$C$3390,$A1582,'United Data'!$B$3:$B$3390,"&lt;&gt;Off-street")&gt;0,1,0)</f>
        <v>0</v>
      </c>
      <c r="H1582">
        <f>IF(COUNTIFS('United Data'!$A$3:$A$3390,H$1,'United Data'!$C$3:$C$3390,$A1582,'United Data'!$B$3:$B$3390,"&lt;&gt;Off-street")&gt;0,1,0)</f>
        <v>0</v>
      </c>
      <c r="I1582">
        <f>IF(COUNTIFS('United Data'!$A$3:$A$3390,I$1,'United Data'!$C$3:$C$3390,$A1582,'United Data'!$B$3:$B$3390,"&lt;&gt;Off-street")&gt;0,1,0)</f>
        <v>0</v>
      </c>
      <c r="J1582">
        <f>IF(COUNTIFS('United Data'!$A$3:$A$3390,J$1,'United Data'!$C$3:$C$3390,$A1582,'United Data'!$B$3:$B$3390,"&lt;&gt;Off-street")&gt;0,1,0)</f>
        <v>0</v>
      </c>
      <c r="K1582">
        <f>IF(COUNTIFS('United Data'!$A$3:$A$3390,K$1,'United Data'!$C$3:$C$3390,$A1582,'United Data'!$B$3:$B$3390,"&lt;&gt;Off-street")&gt;0,1,0)</f>
        <v>0</v>
      </c>
      <c r="L1582">
        <f>IF(COUNTIFS('United Data'!$A$3:$A$3390,L$1,'United Data'!$C$3:$C$3390,$A1582,'United Data'!$B$3:$B$3390,"&lt;&gt;Off-street")&gt;0,1,0)</f>
        <v>0</v>
      </c>
      <c r="M1582">
        <f>IF(COUNTIFS('United Data'!$A$3:$A$3390,M$1,'United Data'!$C$3:$C$3390,$A1582,'United Data'!$B$3:$B$3390,"&lt;&gt;Off-street")&gt;0,1,0)</f>
        <v>0</v>
      </c>
      <c r="N1582">
        <f>IF(COUNTIFS('United Data'!$A$3:$A$3390,N$1,'United Data'!$C$3:$C$3390,$A1582,'United Data'!$B$3:$B$3390,"&lt;&gt;Off-street")&gt;0,1,0)</f>
        <v>0</v>
      </c>
      <c r="O1582">
        <f>IF(COUNTIFS('United Data'!$A$3:$A$3390,O$1,'United Data'!$C$3:$C$3390,$A1582,'United Data'!$B$3:$B$3390,"&lt;&gt;Off-street")&gt;0,1,0)</f>
        <v>0</v>
      </c>
      <c r="P1582">
        <f>IF(COUNTIFS('United Data'!$A$3:$A$3390,P$1,'United Data'!$C$3:$C$3390,$A1582,'United Data'!$B$3:$B$3390,"&lt;&gt;Off-street")&gt;0,1,0)</f>
        <v>0</v>
      </c>
      <c r="Q1582">
        <f>IF(COUNTIFS('United Data'!$A$3:$A$3390,Q$1,'United Data'!$C$3:$C$3390,$A1582,'United Data'!$B$3:$B$3390,"&lt;&gt;Off-street")&gt;0,1,0)</f>
        <v>1</v>
      </c>
      <c r="R1582">
        <f>IF(COUNTIFS('United Data'!$A$3:$A$3390,R$1,'United Data'!$C$3:$C$3390,$A1582,'United Data'!$B$3:$B$3390,"&lt;&gt;Off-street")&gt;0,1,0)</f>
        <v>0</v>
      </c>
      <c r="S1582">
        <f t="shared" si="48"/>
        <v>1</v>
      </c>
      <c r="T1582">
        <f t="shared" si="49"/>
        <v>1</v>
      </c>
    </row>
    <row r="1583" spans="1:20" x14ac:dyDescent="0.2">
      <c r="A1583" t="s">
        <v>1862</v>
      </c>
      <c r="B1583">
        <f>IF(COUNTIFS('United Data'!$A$3:$A$3390,B$1,'United Data'!$C$3:$C$3390,$A1583,'United Data'!$B$3:$B$3390,"&lt;&gt;Off-street")&gt;0,1,0)</f>
        <v>0</v>
      </c>
      <c r="C1583">
        <f>IF(COUNTIFS('United Data'!$A$3:$A$3390,C$1,'United Data'!$C$3:$C$3390,$A1583,'United Data'!$B$3:$B$3390,"&lt;&gt;Off-street")&gt;0,1,0)</f>
        <v>0</v>
      </c>
      <c r="D1583">
        <f>IF(COUNTIFS('United Data'!$A$3:$A$3390,D$1,'United Data'!$C$3:$C$3390,$A1583,'United Data'!$B$3:$B$3390,"&lt;&gt;Off-street")&gt;0,1,0)</f>
        <v>0</v>
      </c>
      <c r="E1583">
        <f>IF(COUNTIFS('United Data'!$A$3:$A$3390,E$1,'United Data'!$C$3:$C$3390,$A1583,'United Data'!$B$3:$B$3390,"&lt;&gt;Off-street")&gt;0,1,0)</f>
        <v>0</v>
      </c>
      <c r="F1583">
        <f>IF(COUNTIFS('United Data'!$A$3:$A$3390,F$1,'United Data'!$C$3:$C$3390,$A1583,'United Data'!$B$3:$B$3390,"&lt;&gt;Off-street")&gt;0,1,0)</f>
        <v>0</v>
      </c>
      <c r="G1583">
        <f>IF(COUNTIFS('United Data'!$A$3:$A$3390,G$1,'United Data'!$C$3:$C$3390,$A1583,'United Data'!$B$3:$B$3390,"&lt;&gt;Off-street")&gt;0,1,0)</f>
        <v>0</v>
      </c>
      <c r="H1583">
        <f>IF(COUNTIFS('United Data'!$A$3:$A$3390,H$1,'United Data'!$C$3:$C$3390,$A1583,'United Data'!$B$3:$B$3390,"&lt;&gt;Off-street")&gt;0,1,0)</f>
        <v>0</v>
      </c>
      <c r="I1583">
        <f>IF(COUNTIFS('United Data'!$A$3:$A$3390,I$1,'United Data'!$C$3:$C$3390,$A1583,'United Data'!$B$3:$B$3390,"&lt;&gt;Off-street")&gt;0,1,0)</f>
        <v>0</v>
      </c>
      <c r="J1583">
        <f>IF(COUNTIFS('United Data'!$A$3:$A$3390,J$1,'United Data'!$C$3:$C$3390,$A1583,'United Data'!$B$3:$B$3390,"&lt;&gt;Off-street")&gt;0,1,0)</f>
        <v>0</v>
      </c>
      <c r="K1583">
        <f>IF(COUNTIFS('United Data'!$A$3:$A$3390,K$1,'United Data'!$C$3:$C$3390,$A1583,'United Data'!$B$3:$B$3390,"&lt;&gt;Off-street")&gt;0,1,0)</f>
        <v>0</v>
      </c>
      <c r="L1583">
        <f>IF(COUNTIFS('United Data'!$A$3:$A$3390,L$1,'United Data'!$C$3:$C$3390,$A1583,'United Data'!$B$3:$B$3390,"&lt;&gt;Off-street")&gt;0,1,0)</f>
        <v>0</v>
      </c>
      <c r="M1583">
        <f>IF(COUNTIFS('United Data'!$A$3:$A$3390,M$1,'United Data'!$C$3:$C$3390,$A1583,'United Data'!$B$3:$B$3390,"&lt;&gt;Off-street")&gt;0,1,0)</f>
        <v>0</v>
      </c>
      <c r="N1583">
        <f>IF(COUNTIFS('United Data'!$A$3:$A$3390,N$1,'United Data'!$C$3:$C$3390,$A1583,'United Data'!$B$3:$B$3390,"&lt;&gt;Off-street")&gt;0,1,0)</f>
        <v>0</v>
      </c>
      <c r="O1583">
        <f>IF(COUNTIFS('United Data'!$A$3:$A$3390,O$1,'United Data'!$C$3:$C$3390,$A1583,'United Data'!$B$3:$B$3390,"&lt;&gt;Off-street")&gt;0,1,0)</f>
        <v>0</v>
      </c>
      <c r="P1583">
        <f>IF(COUNTIFS('United Data'!$A$3:$A$3390,P$1,'United Data'!$C$3:$C$3390,$A1583,'United Data'!$B$3:$B$3390,"&lt;&gt;Off-street")&gt;0,1,0)</f>
        <v>0</v>
      </c>
      <c r="Q1583">
        <f>IF(COUNTIFS('United Data'!$A$3:$A$3390,Q$1,'United Data'!$C$3:$C$3390,$A1583,'United Data'!$B$3:$B$3390,"&lt;&gt;Off-street")&gt;0,1,0)</f>
        <v>1</v>
      </c>
      <c r="R1583">
        <f>IF(COUNTIFS('United Data'!$A$3:$A$3390,R$1,'United Data'!$C$3:$C$3390,$A1583,'United Data'!$B$3:$B$3390,"&lt;&gt;Off-street")&gt;0,1,0)</f>
        <v>0</v>
      </c>
      <c r="S1583">
        <f t="shared" si="48"/>
        <v>1</v>
      </c>
      <c r="T1583">
        <f t="shared" si="49"/>
        <v>1</v>
      </c>
    </row>
    <row r="1584" spans="1:20" x14ac:dyDescent="0.2">
      <c r="A1584" t="s">
        <v>1863</v>
      </c>
      <c r="B1584">
        <f>IF(COUNTIFS('United Data'!$A$3:$A$3390,B$1,'United Data'!$C$3:$C$3390,$A1584,'United Data'!$B$3:$B$3390,"&lt;&gt;Off-street")&gt;0,1,0)</f>
        <v>0</v>
      </c>
      <c r="C1584">
        <f>IF(COUNTIFS('United Data'!$A$3:$A$3390,C$1,'United Data'!$C$3:$C$3390,$A1584,'United Data'!$B$3:$B$3390,"&lt;&gt;Off-street")&gt;0,1,0)</f>
        <v>0</v>
      </c>
      <c r="D1584">
        <f>IF(COUNTIFS('United Data'!$A$3:$A$3390,D$1,'United Data'!$C$3:$C$3390,$A1584,'United Data'!$B$3:$B$3390,"&lt;&gt;Off-street")&gt;0,1,0)</f>
        <v>0</v>
      </c>
      <c r="E1584">
        <f>IF(COUNTIFS('United Data'!$A$3:$A$3390,E$1,'United Data'!$C$3:$C$3390,$A1584,'United Data'!$B$3:$B$3390,"&lt;&gt;Off-street")&gt;0,1,0)</f>
        <v>0</v>
      </c>
      <c r="F1584">
        <f>IF(COUNTIFS('United Data'!$A$3:$A$3390,F$1,'United Data'!$C$3:$C$3390,$A1584,'United Data'!$B$3:$B$3390,"&lt;&gt;Off-street")&gt;0,1,0)</f>
        <v>0</v>
      </c>
      <c r="G1584">
        <f>IF(COUNTIFS('United Data'!$A$3:$A$3390,G$1,'United Data'!$C$3:$C$3390,$A1584,'United Data'!$B$3:$B$3390,"&lt;&gt;Off-street")&gt;0,1,0)</f>
        <v>0</v>
      </c>
      <c r="H1584">
        <f>IF(COUNTIFS('United Data'!$A$3:$A$3390,H$1,'United Data'!$C$3:$C$3390,$A1584,'United Data'!$B$3:$B$3390,"&lt;&gt;Off-street")&gt;0,1,0)</f>
        <v>0</v>
      </c>
      <c r="I1584">
        <f>IF(COUNTIFS('United Data'!$A$3:$A$3390,I$1,'United Data'!$C$3:$C$3390,$A1584,'United Data'!$B$3:$B$3390,"&lt;&gt;Off-street")&gt;0,1,0)</f>
        <v>0</v>
      </c>
      <c r="J1584">
        <f>IF(COUNTIFS('United Data'!$A$3:$A$3390,J$1,'United Data'!$C$3:$C$3390,$A1584,'United Data'!$B$3:$B$3390,"&lt;&gt;Off-street")&gt;0,1,0)</f>
        <v>0</v>
      </c>
      <c r="K1584">
        <f>IF(COUNTIFS('United Data'!$A$3:$A$3390,K$1,'United Data'!$C$3:$C$3390,$A1584,'United Data'!$B$3:$B$3390,"&lt;&gt;Off-street")&gt;0,1,0)</f>
        <v>0</v>
      </c>
      <c r="L1584">
        <f>IF(COUNTIFS('United Data'!$A$3:$A$3390,L$1,'United Data'!$C$3:$C$3390,$A1584,'United Data'!$B$3:$B$3390,"&lt;&gt;Off-street")&gt;0,1,0)</f>
        <v>0</v>
      </c>
      <c r="M1584">
        <f>IF(COUNTIFS('United Data'!$A$3:$A$3390,M$1,'United Data'!$C$3:$C$3390,$A1584,'United Data'!$B$3:$B$3390,"&lt;&gt;Off-street")&gt;0,1,0)</f>
        <v>0</v>
      </c>
      <c r="N1584">
        <f>IF(COUNTIFS('United Data'!$A$3:$A$3390,N$1,'United Data'!$C$3:$C$3390,$A1584,'United Data'!$B$3:$B$3390,"&lt;&gt;Off-street")&gt;0,1,0)</f>
        <v>0</v>
      </c>
      <c r="O1584">
        <f>IF(COUNTIFS('United Data'!$A$3:$A$3390,O$1,'United Data'!$C$3:$C$3390,$A1584,'United Data'!$B$3:$B$3390,"&lt;&gt;Off-street")&gt;0,1,0)</f>
        <v>0</v>
      </c>
      <c r="P1584">
        <f>IF(COUNTIFS('United Data'!$A$3:$A$3390,P$1,'United Data'!$C$3:$C$3390,$A1584,'United Data'!$B$3:$B$3390,"&lt;&gt;Off-street")&gt;0,1,0)</f>
        <v>0</v>
      </c>
      <c r="Q1584">
        <f>IF(COUNTIFS('United Data'!$A$3:$A$3390,Q$1,'United Data'!$C$3:$C$3390,$A1584,'United Data'!$B$3:$B$3390,"&lt;&gt;Off-street")&gt;0,1,0)</f>
        <v>1</v>
      </c>
      <c r="R1584">
        <f>IF(COUNTIFS('United Data'!$A$3:$A$3390,R$1,'United Data'!$C$3:$C$3390,$A1584,'United Data'!$B$3:$B$3390,"&lt;&gt;Off-street")&gt;0,1,0)</f>
        <v>0</v>
      </c>
      <c r="S1584">
        <f t="shared" si="48"/>
        <v>1</v>
      </c>
      <c r="T1584">
        <f t="shared" si="49"/>
        <v>1</v>
      </c>
    </row>
    <row r="1585" spans="1:20" x14ac:dyDescent="0.2">
      <c r="A1585" t="s">
        <v>1864</v>
      </c>
      <c r="B1585">
        <f>IF(COUNTIFS('United Data'!$A$3:$A$3390,B$1,'United Data'!$C$3:$C$3390,$A1585,'United Data'!$B$3:$B$3390,"&lt;&gt;Off-street")&gt;0,1,0)</f>
        <v>0</v>
      </c>
      <c r="C1585">
        <f>IF(COUNTIFS('United Data'!$A$3:$A$3390,C$1,'United Data'!$C$3:$C$3390,$A1585,'United Data'!$B$3:$B$3390,"&lt;&gt;Off-street")&gt;0,1,0)</f>
        <v>0</v>
      </c>
      <c r="D1585">
        <f>IF(COUNTIFS('United Data'!$A$3:$A$3390,D$1,'United Data'!$C$3:$C$3390,$A1585,'United Data'!$B$3:$B$3390,"&lt;&gt;Off-street")&gt;0,1,0)</f>
        <v>0</v>
      </c>
      <c r="E1585">
        <f>IF(COUNTIFS('United Data'!$A$3:$A$3390,E$1,'United Data'!$C$3:$C$3390,$A1585,'United Data'!$B$3:$B$3390,"&lt;&gt;Off-street")&gt;0,1,0)</f>
        <v>0</v>
      </c>
      <c r="F1585">
        <f>IF(COUNTIFS('United Data'!$A$3:$A$3390,F$1,'United Data'!$C$3:$C$3390,$A1585,'United Data'!$B$3:$B$3390,"&lt;&gt;Off-street")&gt;0,1,0)</f>
        <v>0</v>
      </c>
      <c r="G1585">
        <f>IF(COUNTIFS('United Data'!$A$3:$A$3390,G$1,'United Data'!$C$3:$C$3390,$A1585,'United Data'!$B$3:$B$3390,"&lt;&gt;Off-street")&gt;0,1,0)</f>
        <v>0</v>
      </c>
      <c r="H1585">
        <f>IF(COUNTIFS('United Data'!$A$3:$A$3390,H$1,'United Data'!$C$3:$C$3390,$A1585,'United Data'!$B$3:$B$3390,"&lt;&gt;Off-street")&gt;0,1,0)</f>
        <v>0</v>
      </c>
      <c r="I1585">
        <f>IF(COUNTIFS('United Data'!$A$3:$A$3390,I$1,'United Data'!$C$3:$C$3390,$A1585,'United Data'!$B$3:$B$3390,"&lt;&gt;Off-street")&gt;0,1,0)</f>
        <v>0</v>
      </c>
      <c r="J1585">
        <f>IF(COUNTIFS('United Data'!$A$3:$A$3390,J$1,'United Data'!$C$3:$C$3390,$A1585,'United Data'!$B$3:$B$3390,"&lt;&gt;Off-street")&gt;0,1,0)</f>
        <v>0</v>
      </c>
      <c r="K1585">
        <f>IF(COUNTIFS('United Data'!$A$3:$A$3390,K$1,'United Data'!$C$3:$C$3390,$A1585,'United Data'!$B$3:$B$3390,"&lt;&gt;Off-street")&gt;0,1,0)</f>
        <v>0</v>
      </c>
      <c r="L1585">
        <f>IF(COUNTIFS('United Data'!$A$3:$A$3390,L$1,'United Data'!$C$3:$C$3390,$A1585,'United Data'!$B$3:$B$3390,"&lt;&gt;Off-street")&gt;0,1,0)</f>
        <v>0</v>
      </c>
      <c r="M1585">
        <f>IF(COUNTIFS('United Data'!$A$3:$A$3390,M$1,'United Data'!$C$3:$C$3390,$A1585,'United Data'!$B$3:$B$3390,"&lt;&gt;Off-street")&gt;0,1,0)</f>
        <v>0</v>
      </c>
      <c r="N1585">
        <f>IF(COUNTIFS('United Data'!$A$3:$A$3390,N$1,'United Data'!$C$3:$C$3390,$A1585,'United Data'!$B$3:$B$3390,"&lt;&gt;Off-street")&gt;0,1,0)</f>
        <v>0</v>
      </c>
      <c r="O1585">
        <f>IF(COUNTIFS('United Data'!$A$3:$A$3390,O$1,'United Data'!$C$3:$C$3390,$A1585,'United Data'!$B$3:$B$3390,"&lt;&gt;Off-street")&gt;0,1,0)</f>
        <v>0</v>
      </c>
      <c r="P1585">
        <f>IF(COUNTIFS('United Data'!$A$3:$A$3390,P$1,'United Data'!$C$3:$C$3390,$A1585,'United Data'!$B$3:$B$3390,"&lt;&gt;Off-street")&gt;0,1,0)</f>
        <v>0</v>
      </c>
      <c r="Q1585">
        <f>IF(COUNTIFS('United Data'!$A$3:$A$3390,Q$1,'United Data'!$C$3:$C$3390,$A1585,'United Data'!$B$3:$B$3390,"&lt;&gt;Off-street")&gt;0,1,0)</f>
        <v>0</v>
      </c>
      <c r="R1585">
        <f>IF(COUNTIFS('United Data'!$A$3:$A$3390,R$1,'United Data'!$C$3:$C$3390,$A1585,'United Data'!$B$3:$B$3390,"&lt;&gt;Off-street")&gt;0,1,0)</f>
        <v>1</v>
      </c>
      <c r="S1585">
        <f t="shared" si="48"/>
        <v>1</v>
      </c>
      <c r="T1585">
        <f t="shared" si="49"/>
        <v>1</v>
      </c>
    </row>
    <row r="1586" spans="1:20" x14ac:dyDescent="0.2">
      <c r="A1586" t="s">
        <v>2055</v>
      </c>
      <c r="B1586">
        <f>IF(COUNTIFS('United Data'!$A$3:$A$3390,B$1,'United Data'!$C$3:$C$3390,$A1586,'United Data'!$B$3:$B$3390,"&lt;&gt;Off-street")&gt;0,1,0)</f>
        <v>0</v>
      </c>
      <c r="C1586">
        <f>IF(COUNTIFS('United Data'!$A$3:$A$3390,C$1,'United Data'!$C$3:$C$3390,$A1586,'United Data'!$B$3:$B$3390,"&lt;&gt;Off-street")&gt;0,1,0)</f>
        <v>0</v>
      </c>
      <c r="D1586">
        <f>IF(COUNTIFS('United Data'!$A$3:$A$3390,D$1,'United Data'!$C$3:$C$3390,$A1586,'United Data'!$B$3:$B$3390,"&lt;&gt;Off-street")&gt;0,1,0)</f>
        <v>1</v>
      </c>
      <c r="E1586">
        <f>IF(COUNTIFS('United Data'!$A$3:$A$3390,E$1,'United Data'!$C$3:$C$3390,$A1586,'United Data'!$B$3:$B$3390,"&lt;&gt;Off-street")&gt;0,1,0)</f>
        <v>0</v>
      </c>
      <c r="F1586">
        <f>IF(COUNTIFS('United Data'!$A$3:$A$3390,F$1,'United Data'!$C$3:$C$3390,$A1586,'United Data'!$B$3:$B$3390,"&lt;&gt;Off-street")&gt;0,1,0)</f>
        <v>0</v>
      </c>
      <c r="G1586">
        <f>IF(COUNTIFS('United Data'!$A$3:$A$3390,G$1,'United Data'!$C$3:$C$3390,$A1586,'United Data'!$B$3:$B$3390,"&lt;&gt;Off-street")&gt;0,1,0)</f>
        <v>0</v>
      </c>
      <c r="H1586">
        <f>IF(COUNTIFS('United Data'!$A$3:$A$3390,H$1,'United Data'!$C$3:$C$3390,$A1586,'United Data'!$B$3:$B$3390,"&lt;&gt;Off-street")&gt;0,1,0)</f>
        <v>0</v>
      </c>
      <c r="I1586">
        <f>IF(COUNTIFS('United Data'!$A$3:$A$3390,I$1,'United Data'!$C$3:$C$3390,$A1586,'United Data'!$B$3:$B$3390,"&lt;&gt;Off-street")&gt;0,1,0)</f>
        <v>0</v>
      </c>
      <c r="J1586">
        <f>IF(COUNTIFS('United Data'!$A$3:$A$3390,J$1,'United Data'!$C$3:$C$3390,$A1586,'United Data'!$B$3:$B$3390,"&lt;&gt;Off-street")&gt;0,1,0)</f>
        <v>0</v>
      </c>
      <c r="K1586">
        <f>IF(COUNTIFS('United Data'!$A$3:$A$3390,K$1,'United Data'!$C$3:$C$3390,$A1586,'United Data'!$B$3:$B$3390,"&lt;&gt;Off-street")&gt;0,1,0)</f>
        <v>0</v>
      </c>
      <c r="L1586">
        <f>IF(COUNTIFS('United Data'!$A$3:$A$3390,L$1,'United Data'!$C$3:$C$3390,$A1586,'United Data'!$B$3:$B$3390,"&lt;&gt;Off-street")&gt;0,1,0)</f>
        <v>0</v>
      </c>
      <c r="M1586">
        <f>IF(COUNTIFS('United Data'!$A$3:$A$3390,M$1,'United Data'!$C$3:$C$3390,$A1586,'United Data'!$B$3:$B$3390,"&lt;&gt;Off-street")&gt;0,1,0)</f>
        <v>0</v>
      </c>
      <c r="N1586">
        <f>IF(COUNTIFS('United Data'!$A$3:$A$3390,N$1,'United Data'!$C$3:$C$3390,$A1586,'United Data'!$B$3:$B$3390,"&lt;&gt;Off-street")&gt;0,1,0)</f>
        <v>0</v>
      </c>
      <c r="O1586">
        <f>IF(COUNTIFS('United Data'!$A$3:$A$3390,O$1,'United Data'!$C$3:$C$3390,$A1586,'United Data'!$B$3:$B$3390,"&lt;&gt;Off-street")&gt;0,1,0)</f>
        <v>0</v>
      </c>
      <c r="P1586">
        <f>IF(COUNTIFS('United Data'!$A$3:$A$3390,P$1,'United Data'!$C$3:$C$3390,$A1586,'United Data'!$B$3:$B$3390,"&lt;&gt;Off-street")&gt;0,1,0)</f>
        <v>0</v>
      </c>
      <c r="Q1586">
        <f>IF(COUNTIFS('United Data'!$A$3:$A$3390,Q$1,'United Data'!$C$3:$C$3390,$A1586,'United Data'!$B$3:$B$3390,"&lt;&gt;Off-street")&gt;0,1,0)</f>
        <v>0</v>
      </c>
      <c r="R1586">
        <f>IF(COUNTIFS('United Data'!$A$3:$A$3390,R$1,'United Data'!$C$3:$C$3390,$A1586,'United Data'!$B$3:$B$3390,"&lt;&gt;Off-street")&gt;0,1,0)</f>
        <v>0</v>
      </c>
      <c r="S1586">
        <f t="shared" si="48"/>
        <v>1</v>
      </c>
      <c r="T1586">
        <f t="shared" si="49"/>
        <v>1</v>
      </c>
    </row>
    <row r="1587" spans="1:20" x14ac:dyDescent="0.2">
      <c r="A1587" t="s">
        <v>1865</v>
      </c>
      <c r="B1587">
        <f>IF(COUNTIFS('United Data'!$A$3:$A$3390,B$1,'United Data'!$C$3:$C$3390,$A1587,'United Data'!$B$3:$B$3390,"&lt;&gt;Off-street")&gt;0,1,0)</f>
        <v>0</v>
      </c>
      <c r="C1587">
        <f>IF(COUNTIFS('United Data'!$A$3:$A$3390,C$1,'United Data'!$C$3:$C$3390,$A1587,'United Data'!$B$3:$B$3390,"&lt;&gt;Off-street")&gt;0,1,0)</f>
        <v>0</v>
      </c>
      <c r="D1587">
        <f>IF(COUNTIFS('United Data'!$A$3:$A$3390,D$1,'United Data'!$C$3:$C$3390,$A1587,'United Data'!$B$3:$B$3390,"&lt;&gt;Off-street")&gt;0,1,0)</f>
        <v>1</v>
      </c>
      <c r="E1587">
        <f>IF(COUNTIFS('United Data'!$A$3:$A$3390,E$1,'United Data'!$C$3:$C$3390,$A1587,'United Data'!$B$3:$B$3390,"&lt;&gt;Off-street")&gt;0,1,0)</f>
        <v>0</v>
      </c>
      <c r="F1587">
        <f>IF(COUNTIFS('United Data'!$A$3:$A$3390,F$1,'United Data'!$C$3:$C$3390,$A1587,'United Data'!$B$3:$B$3390,"&lt;&gt;Off-street")&gt;0,1,0)</f>
        <v>0</v>
      </c>
      <c r="G1587">
        <f>IF(COUNTIFS('United Data'!$A$3:$A$3390,G$1,'United Data'!$C$3:$C$3390,$A1587,'United Data'!$B$3:$B$3390,"&lt;&gt;Off-street")&gt;0,1,0)</f>
        <v>0</v>
      </c>
      <c r="H1587">
        <f>IF(COUNTIFS('United Data'!$A$3:$A$3390,H$1,'United Data'!$C$3:$C$3390,$A1587,'United Data'!$B$3:$B$3390,"&lt;&gt;Off-street")&gt;0,1,0)</f>
        <v>0</v>
      </c>
      <c r="I1587">
        <f>IF(COUNTIFS('United Data'!$A$3:$A$3390,I$1,'United Data'!$C$3:$C$3390,$A1587,'United Data'!$B$3:$B$3390,"&lt;&gt;Off-street")&gt;0,1,0)</f>
        <v>0</v>
      </c>
      <c r="J1587">
        <f>IF(COUNTIFS('United Data'!$A$3:$A$3390,J$1,'United Data'!$C$3:$C$3390,$A1587,'United Data'!$B$3:$B$3390,"&lt;&gt;Off-street")&gt;0,1,0)</f>
        <v>0</v>
      </c>
      <c r="K1587">
        <f>IF(COUNTIFS('United Data'!$A$3:$A$3390,K$1,'United Data'!$C$3:$C$3390,$A1587,'United Data'!$B$3:$B$3390,"&lt;&gt;Off-street")&gt;0,1,0)</f>
        <v>0</v>
      </c>
      <c r="L1587">
        <f>IF(COUNTIFS('United Data'!$A$3:$A$3390,L$1,'United Data'!$C$3:$C$3390,$A1587,'United Data'!$B$3:$B$3390,"&lt;&gt;Off-street")&gt;0,1,0)</f>
        <v>0</v>
      </c>
      <c r="M1587">
        <f>IF(COUNTIFS('United Data'!$A$3:$A$3390,M$1,'United Data'!$C$3:$C$3390,$A1587,'United Data'!$B$3:$B$3390,"&lt;&gt;Off-street")&gt;0,1,0)</f>
        <v>0</v>
      </c>
      <c r="N1587">
        <f>IF(COUNTIFS('United Data'!$A$3:$A$3390,N$1,'United Data'!$C$3:$C$3390,$A1587,'United Data'!$B$3:$B$3390,"&lt;&gt;Off-street")&gt;0,1,0)</f>
        <v>0</v>
      </c>
      <c r="O1587">
        <f>IF(COUNTIFS('United Data'!$A$3:$A$3390,O$1,'United Data'!$C$3:$C$3390,$A1587,'United Data'!$B$3:$B$3390,"&lt;&gt;Off-street")&gt;0,1,0)</f>
        <v>0</v>
      </c>
      <c r="P1587">
        <f>IF(COUNTIFS('United Data'!$A$3:$A$3390,P$1,'United Data'!$C$3:$C$3390,$A1587,'United Data'!$B$3:$B$3390,"&lt;&gt;Off-street")&gt;0,1,0)</f>
        <v>0</v>
      </c>
      <c r="Q1587">
        <f>IF(COUNTIFS('United Data'!$A$3:$A$3390,Q$1,'United Data'!$C$3:$C$3390,$A1587,'United Data'!$B$3:$B$3390,"&lt;&gt;Off-street")&gt;0,1,0)</f>
        <v>0</v>
      </c>
      <c r="R1587">
        <f>IF(COUNTIFS('United Data'!$A$3:$A$3390,R$1,'United Data'!$C$3:$C$3390,$A1587,'United Data'!$B$3:$B$3390,"&lt;&gt;Off-street")&gt;0,1,0)</f>
        <v>0</v>
      </c>
      <c r="S1587">
        <f t="shared" si="48"/>
        <v>1</v>
      </c>
      <c r="T1587">
        <f t="shared" si="49"/>
        <v>1</v>
      </c>
    </row>
    <row r="1588" spans="1:20" x14ac:dyDescent="0.2">
      <c r="A1588" t="s">
        <v>1866</v>
      </c>
      <c r="B1588">
        <f>IF(COUNTIFS('United Data'!$A$3:$A$3390,B$1,'United Data'!$C$3:$C$3390,$A1588,'United Data'!$B$3:$B$3390,"&lt;&gt;Off-street")&gt;0,1,0)</f>
        <v>0</v>
      </c>
      <c r="C1588">
        <f>IF(COUNTIFS('United Data'!$A$3:$A$3390,C$1,'United Data'!$C$3:$C$3390,$A1588,'United Data'!$B$3:$B$3390,"&lt;&gt;Off-street")&gt;0,1,0)</f>
        <v>0</v>
      </c>
      <c r="D1588">
        <f>IF(COUNTIFS('United Data'!$A$3:$A$3390,D$1,'United Data'!$C$3:$C$3390,$A1588,'United Data'!$B$3:$B$3390,"&lt;&gt;Off-street")&gt;0,1,0)</f>
        <v>1</v>
      </c>
      <c r="E1588">
        <f>IF(COUNTIFS('United Data'!$A$3:$A$3390,E$1,'United Data'!$C$3:$C$3390,$A1588,'United Data'!$B$3:$B$3390,"&lt;&gt;Off-street")&gt;0,1,0)</f>
        <v>0</v>
      </c>
      <c r="F1588">
        <f>IF(COUNTIFS('United Data'!$A$3:$A$3390,F$1,'United Data'!$C$3:$C$3390,$A1588,'United Data'!$B$3:$B$3390,"&lt;&gt;Off-street")&gt;0,1,0)</f>
        <v>0</v>
      </c>
      <c r="G1588">
        <f>IF(COUNTIFS('United Data'!$A$3:$A$3390,G$1,'United Data'!$C$3:$C$3390,$A1588,'United Data'!$B$3:$B$3390,"&lt;&gt;Off-street")&gt;0,1,0)</f>
        <v>0</v>
      </c>
      <c r="H1588">
        <f>IF(COUNTIFS('United Data'!$A$3:$A$3390,H$1,'United Data'!$C$3:$C$3390,$A1588,'United Data'!$B$3:$B$3390,"&lt;&gt;Off-street")&gt;0,1,0)</f>
        <v>0</v>
      </c>
      <c r="I1588">
        <f>IF(COUNTIFS('United Data'!$A$3:$A$3390,I$1,'United Data'!$C$3:$C$3390,$A1588,'United Data'!$B$3:$B$3390,"&lt;&gt;Off-street")&gt;0,1,0)</f>
        <v>0</v>
      </c>
      <c r="J1588">
        <f>IF(COUNTIFS('United Data'!$A$3:$A$3390,J$1,'United Data'!$C$3:$C$3390,$A1588,'United Data'!$B$3:$B$3390,"&lt;&gt;Off-street")&gt;0,1,0)</f>
        <v>0</v>
      </c>
      <c r="K1588">
        <f>IF(COUNTIFS('United Data'!$A$3:$A$3390,K$1,'United Data'!$C$3:$C$3390,$A1588,'United Data'!$B$3:$B$3390,"&lt;&gt;Off-street")&gt;0,1,0)</f>
        <v>1</v>
      </c>
      <c r="L1588">
        <f>IF(COUNTIFS('United Data'!$A$3:$A$3390,L$1,'United Data'!$C$3:$C$3390,$A1588,'United Data'!$B$3:$B$3390,"&lt;&gt;Off-street")&gt;0,1,0)</f>
        <v>0</v>
      </c>
      <c r="M1588">
        <f>IF(COUNTIFS('United Data'!$A$3:$A$3390,M$1,'United Data'!$C$3:$C$3390,$A1588,'United Data'!$B$3:$B$3390,"&lt;&gt;Off-street")&gt;0,1,0)</f>
        <v>0</v>
      </c>
      <c r="N1588">
        <f>IF(COUNTIFS('United Data'!$A$3:$A$3390,N$1,'United Data'!$C$3:$C$3390,$A1588,'United Data'!$B$3:$B$3390,"&lt;&gt;Off-street")&gt;0,1,0)</f>
        <v>0</v>
      </c>
      <c r="O1588">
        <f>IF(COUNTIFS('United Data'!$A$3:$A$3390,O$1,'United Data'!$C$3:$C$3390,$A1588,'United Data'!$B$3:$B$3390,"&lt;&gt;Off-street")&gt;0,1,0)</f>
        <v>1</v>
      </c>
      <c r="P1588">
        <f>IF(COUNTIFS('United Data'!$A$3:$A$3390,P$1,'United Data'!$C$3:$C$3390,$A1588,'United Data'!$B$3:$B$3390,"&lt;&gt;Off-street")&gt;0,1,0)</f>
        <v>0</v>
      </c>
      <c r="Q1588">
        <f>IF(COUNTIFS('United Data'!$A$3:$A$3390,Q$1,'United Data'!$C$3:$C$3390,$A1588,'United Data'!$B$3:$B$3390,"&lt;&gt;Off-street")&gt;0,1,0)</f>
        <v>0</v>
      </c>
      <c r="R1588">
        <f>IF(COUNTIFS('United Data'!$A$3:$A$3390,R$1,'United Data'!$C$3:$C$3390,$A1588,'United Data'!$B$3:$B$3390,"&lt;&gt;Off-street")&gt;0,1,0)</f>
        <v>0</v>
      </c>
      <c r="S1588">
        <f t="shared" si="48"/>
        <v>3</v>
      </c>
      <c r="T1588">
        <f t="shared" si="49"/>
        <v>3</v>
      </c>
    </row>
    <row r="1589" spans="1:20" x14ac:dyDescent="0.2">
      <c r="A1589" t="s">
        <v>2056</v>
      </c>
      <c r="B1589">
        <f>IF(COUNTIFS('United Data'!$A$3:$A$3390,B$1,'United Data'!$C$3:$C$3390,$A1589,'United Data'!$B$3:$B$3390,"&lt;&gt;Off-street")&gt;0,1,0)</f>
        <v>0</v>
      </c>
      <c r="C1589">
        <f>IF(COUNTIFS('United Data'!$A$3:$A$3390,C$1,'United Data'!$C$3:$C$3390,$A1589,'United Data'!$B$3:$B$3390,"&lt;&gt;Off-street")&gt;0,1,0)</f>
        <v>0</v>
      </c>
      <c r="D1589">
        <f>IF(COUNTIFS('United Data'!$A$3:$A$3390,D$1,'United Data'!$C$3:$C$3390,$A1589,'United Data'!$B$3:$B$3390,"&lt;&gt;Off-street")&gt;0,1,0)</f>
        <v>0</v>
      </c>
      <c r="E1589">
        <f>IF(COUNTIFS('United Data'!$A$3:$A$3390,E$1,'United Data'!$C$3:$C$3390,$A1589,'United Data'!$B$3:$B$3390,"&lt;&gt;Off-street")&gt;0,1,0)</f>
        <v>0</v>
      </c>
      <c r="F1589">
        <f>IF(COUNTIFS('United Data'!$A$3:$A$3390,F$1,'United Data'!$C$3:$C$3390,$A1589,'United Data'!$B$3:$B$3390,"&lt;&gt;Off-street")&gt;0,1,0)</f>
        <v>0</v>
      </c>
      <c r="G1589">
        <f>IF(COUNTIFS('United Data'!$A$3:$A$3390,G$1,'United Data'!$C$3:$C$3390,$A1589,'United Data'!$B$3:$B$3390,"&lt;&gt;Off-street")&gt;0,1,0)</f>
        <v>1</v>
      </c>
      <c r="H1589">
        <f>IF(COUNTIFS('United Data'!$A$3:$A$3390,H$1,'United Data'!$C$3:$C$3390,$A1589,'United Data'!$B$3:$B$3390,"&lt;&gt;Off-street")&gt;0,1,0)</f>
        <v>0</v>
      </c>
      <c r="I1589">
        <f>IF(COUNTIFS('United Data'!$A$3:$A$3390,I$1,'United Data'!$C$3:$C$3390,$A1589,'United Data'!$B$3:$B$3390,"&lt;&gt;Off-street")&gt;0,1,0)</f>
        <v>0</v>
      </c>
      <c r="J1589">
        <f>IF(COUNTIFS('United Data'!$A$3:$A$3390,J$1,'United Data'!$C$3:$C$3390,$A1589,'United Data'!$B$3:$B$3390,"&lt;&gt;Off-street")&gt;0,1,0)</f>
        <v>0</v>
      </c>
      <c r="K1589">
        <f>IF(COUNTIFS('United Data'!$A$3:$A$3390,K$1,'United Data'!$C$3:$C$3390,$A1589,'United Data'!$B$3:$B$3390,"&lt;&gt;Off-street")&gt;0,1,0)</f>
        <v>0</v>
      </c>
      <c r="L1589">
        <f>IF(COUNTIFS('United Data'!$A$3:$A$3390,L$1,'United Data'!$C$3:$C$3390,$A1589,'United Data'!$B$3:$B$3390,"&lt;&gt;Off-street")&gt;0,1,0)</f>
        <v>0</v>
      </c>
      <c r="M1589">
        <f>IF(COUNTIFS('United Data'!$A$3:$A$3390,M$1,'United Data'!$C$3:$C$3390,$A1589,'United Data'!$B$3:$B$3390,"&lt;&gt;Off-street")&gt;0,1,0)</f>
        <v>0</v>
      </c>
      <c r="N1589">
        <f>IF(COUNTIFS('United Data'!$A$3:$A$3390,N$1,'United Data'!$C$3:$C$3390,$A1589,'United Data'!$B$3:$B$3390,"&lt;&gt;Off-street")&gt;0,1,0)</f>
        <v>0</v>
      </c>
      <c r="O1589">
        <f>IF(COUNTIFS('United Data'!$A$3:$A$3390,O$1,'United Data'!$C$3:$C$3390,$A1589,'United Data'!$B$3:$B$3390,"&lt;&gt;Off-street")&gt;0,1,0)</f>
        <v>0</v>
      </c>
      <c r="P1589">
        <f>IF(COUNTIFS('United Data'!$A$3:$A$3390,P$1,'United Data'!$C$3:$C$3390,$A1589,'United Data'!$B$3:$B$3390,"&lt;&gt;Off-street")&gt;0,1,0)</f>
        <v>0</v>
      </c>
      <c r="Q1589">
        <f>IF(COUNTIFS('United Data'!$A$3:$A$3390,Q$1,'United Data'!$C$3:$C$3390,$A1589,'United Data'!$B$3:$B$3390,"&lt;&gt;Off-street")&gt;0,1,0)</f>
        <v>0</v>
      </c>
      <c r="R1589">
        <f>IF(COUNTIFS('United Data'!$A$3:$A$3390,R$1,'United Data'!$C$3:$C$3390,$A1589,'United Data'!$B$3:$B$3390,"&lt;&gt;Off-street")&gt;0,1,0)</f>
        <v>0</v>
      </c>
      <c r="S1589">
        <f t="shared" si="48"/>
        <v>1</v>
      </c>
      <c r="T1589">
        <f t="shared" si="49"/>
        <v>1</v>
      </c>
    </row>
    <row r="1590" spans="1:20" x14ac:dyDescent="0.2">
      <c r="A1590" t="s">
        <v>2057</v>
      </c>
      <c r="B1590">
        <f>IF(COUNTIFS('United Data'!$A$3:$A$3390,B$1,'United Data'!$C$3:$C$3390,$A1590,'United Data'!$B$3:$B$3390,"&lt;&gt;Off-street")&gt;0,1,0)</f>
        <v>0</v>
      </c>
      <c r="C1590">
        <f>IF(COUNTIFS('United Data'!$A$3:$A$3390,C$1,'United Data'!$C$3:$C$3390,$A1590,'United Data'!$B$3:$B$3390,"&lt;&gt;Off-street")&gt;0,1,0)</f>
        <v>0</v>
      </c>
      <c r="D1590">
        <f>IF(COUNTIFS('United Data'!$A$3:$A$3390,D$1,'United Data'!$C$3:$C$3390,$A1590,'United Data'!$B$3:$B$3390,"&lt;&gt;Off-street")&gt;0,1,0)</f>
        <v>0</v>
      </c>
      <c r="E1590">
        <f>IF(COUNTIFS('United Data'!$A$3:$A$3390,E$1,'United Data'!$C$3:$C$3390,$A1590,'United Data'!$B$3:$B$3390,"&lt;&gt;Off-street")&gt;0,1,0)</f>
        <v>0</v>
      </c>
      <c r="F1590">
        <f>IF(COUNTIFS('United Data'!$A$3:$A$3390,F$1,'United Data'!$C$3:$C$3390,$A1590,'United Data'!$B$3:$B$3390,"&lt;&gt;Off-street")&gt;0,1,0)</f>
        <v>0</v>
      </c>
      <c r="G1590">
        <f>IF(COUNTIFS('United Data'!$A$3:$A$3390,G$1,'United Data'!$C$3:$C$3390,$A1590,'United Data'!$B$3:$B$3390,"&lt;&gt;Off-street")&gt;0,1,0)</f>
        <v>0</v>
      </c>
      <c r="H1590">
        <f>IF(COUNTIFS('United Data'!$A$3:$A$3390,H$1,'United Data'!$C$3:$C$3390,$A1590,'United Data'!$B$3:$B$3390,"&lt;&gt;Off-street")&gt;0,1,0)</f>
        <v>0</v>
      </c>
      <c r="I1590">
        <f>IF(COUNTIFS('United Data'!$A$3:$A$3390,I$1,'United Data'!$C$3:$C$3390,$A1590,'United Data'!$B$3:$B$3390,"&lt;&gt;Off-street")&gt;0,1,0)</f>
        <v>1</v>
      </c>
      <c r="J1590">
        <f>IF(COUNTIFS('United Data'!$A$3:$A$3390,J$1,'United Data'!$C$3:$C$3390,$A1590,'United Data'!$B$3:$B$3390,"&lt;&gt;Off-street")&gt;0,1,0)</f>
        <v>0</v>
      </c>
      <c r="K1590">
        <f>IF(COUNTIFS('United Data'!$A$3:$A$3390,K$1,'United Data'!$C$3:$C$3390,$A1590,'United Data'!$B$3:$B$3390,"&lt;&gt;Off-street")&gt;0,1,0)</f>
        <v>0</v>
      </c>
      <c r="L1590">
        <f>IF(COUNTIFS('United Data'!$A$3:$A$3390,L$1,'United Data'!$C$3:$C$3390,$A1590,'United Data'!$B$3:$B$3390,"&lt;&gt;Off-street")&gt;0,1,0)</f>
        <v>0</v>
      </c>
      <c r="M1590">
        <f>IF(COUNTIFS('United Data'!$A$3:$A$3390,M$1,'United Data'!$C$3:$C$3390,$A1590,'United Data'!$B$3:$B$3390,"&lt;&gt;Off-street")&gt;0,1,0)</f>
        <v>0</v>
      </c>
      <c r="N1590">
        <f>IF(COUNTIFS('United Data'!$A$3:$A$3390,N$1,'United Data'!$C$3:$C$3390,$A1590,'United Data'!$B$3:$B$3390,"&lt;&gt;Off-street")&gt;0,1,0)</f>
        <v>0</v>
      </c>
      <c r="O1590">
        <f>IF(COUNTIFS('United Data'!$A$3:$A$3390,O$1,'United Data'!$C$3:$C$3390,$A1590,'United Data'!$B$3:$B$3390,"&lt;&gt;Off-street")&gt;0,1,0)</f>
        <v>0</v>
      </c>
      <c r="P1590">
        <f>IF(COUNTIFS('United Data'!$A$3:$A$3390,P$1,'United Data'!$C$3:$C$3390,$A1590,'United Data'!$B$3:$B$3390,"&lt;&gt;Off-street")&gt;0,1,0)</f>
        <v>0</v>
      </c>
      <c r="Q1590">
        <f>IF(COUNTIFS('United Data'!$A$3:$A$3390,Q$1,'United Data'!$C$3:$C$3390,$A1590,'United Data'!$B$3:$B$3390,"&lt;&gt;Off-street")&gt;0,1,0)</f>
        <v>0</v>
      </c>
      <c r="R1590">
        <f>IF(COUNTIFS('United Data'!$A$3:$A$3390,R$1,'United Data'!$C$3:$C$3390,$A1590,'United Data'!$B$3:$B$3390,"&lt;&gt;Off-street")&gt;0,1,0)</f>
        <v>0</v>
      </c>
      <c r="S1590">
        <f t="shared" si="48"/>
        <v>1</v>
      </c>
      <c r="T1590">
        <f t="shared" si="49"/>
        <v>1</v>
      </c>
    </row>
    <row r="1591" spans="1:20" x14ac:dyDescent="0.2">
      <c r="A1591" t="s">
        <v>1867</v>
      </c>
      <c r="B1591">
        <f>IF(COUNTIFS('United Data'!$A$3:$A$3390,B$1,'United Data'!$C$3:$C$3390,$A1591,'United Data'!$B$3:$B$3390,"&lt;&gt;Off-street")&gt;0,1,0)</f>
        <v>0</v>
      </c>
      <c r="C1591">
        <f>IF(COUNTIFS('United Data'!$A$3:$A$3390,C$1,'United Data'!$C$3:$C$3390,$A1591,'United Data'!$B$3:$B$3390,"&lt;&gt;Off-street")&gt;0,1,0)</f>
        <v>0</v>
      </c>
      <c r="D1591">
        <f>IF(COUNTIFS('United Data'!$A$3:$A$3390,D$1,'United Data'!$C$3:$C$3390,$A1591,'United Data'!$B$3:$B$3390,"&lt;&gt;Off-street")&gt;0,1,0)</f>
        <v>0</v>
      </c>
      <c r="E1591">
        <f>IF(COUNTIFS('United Data'!$A$3:$A$3390,E$1,'United Data'!$C$3:$C$3390,$A1591,'United Data'!$B$3:$B$3390,"&lt;&gt;Off-street")&gt;0,1,0)</f>
        <v>0</v>
      </c>
      <c r="F1591">
        <f>IF(COUNTIFS('United Data'!$A$3:$A$3390,F$1,'United Data'!$C$3:$C$3390,$A1591,'United Data'!$B$3:$B$3390,"&lt;&gt;Off-street")&gt;0,1,0)</f>
        <v>0</v>
      </c>
      <c r="G1591">
        <f>IF(COUNTIFS('United Data'!$A$3:$A$3390,G$1,'United Data'!$C$3:$C$3390,$A1591,'United Data'!$B$3:$B$3390,"&lt;&gt;Off-street")&gt;0,1,0)</f>
        <v>0</v>
      </c>
      <c r="H1591">
        <f>IF(COUNTIFS('United Data'!$A$3:$A$3390,H$1,'United Data'!$C$3:$C$3390,$A1591,'United Data'!$B$3:$B$3390,"&lt;&gt;Off-street")&gt;0,1,0)</f>
        <v>0</v>
      </c>
      <c r="I1591">
        <f>IF(COUNTIFS('United Data'!$A$3:$A$3390,I$1,'United Data'!$C$3:$C$3390,$A1591,'United Data'!$B$3:$B$3390,"&lt;&gt;Off-street")&gt;0,1,0)</f>
        <v>0</v>
      </c>
      <c r="J1591">
        <f>IF(COUNTIFS('United Data'!$A$3:$A$3390,J$1,'United Data'!$C$3:$C$3390,$A1591,'United Data'!$B$3:$B$3390,"&lt;&gt;Off-street")&gt;0,1,0)</f>
        <v>0</v>
      </c>
      <c r="K1591">
        <f>IF(COUNTIFS('United Data'!$A$3:$A$3390,K$1,'United Data'!$C$3:$C$3390,$A1591,'United Data'!$B$3:$B$3390,"&lt;&gt;Off-street")&gt;0,1,0)</f>
        <v>1</v>
      </c>
      <c r="L1591">
        <f>IF(COUNTIFS('United Data'!$A$3:$A$3390,L$1,'United Data'!$C$3:$C$3390,$A1591,'United Data'!$B$3:$B$3390,"&lt;&gt;Off-street")&gt;0,1,0)</f>
        <v>0</v>
      </c>
      <c r="M1591">
        <f>IF(COUNTIFS('United Data'!$A$3:$A$3390,M$1,'United Data'!$C$3:$C$3390,$A1591,'United Data'!$B$3:$B$3390,"&lt;&gt;Off-street")&gt;0,1,0)</f>
        <v>0</v>
      </c>
      <c r="N1591">
        <f>IF(COUNTIFS('United Data'!$A$3:$A$3390,N$1,'United Data'!$C$3:$C$3390,$A1591,'United Data'!$B$3:$B$3390,"&lt;&gt;Off-street")&gt;0,1,0)</f>
        <v>0</v>
      </c>
      <c r="O1591">
        <f>IF(COUNTIFS('United Data'!$A$3:$A$3390,O$1,'United Data'!$C$3:$C$3390,$A1591,'United Data'!$B$3:$B$3390,"&lt;&gt;Off-street")&gt;0,1,0)</f>
        <v>0</v>
      </c>
      <c r="P1591">
        <f>IF(COUNTIFS('United Data'!$A$3:$A$3390,P$1,'United Data'!$C$3:$C$3390,$A1591,'United Data'!$B$3:$B$3390,"&lt;&gt;Off-street")&gt;0,1,0)</f>
        <v>0</v>
      </c>
      <c r="Q1591">
        <f>IF(COUNTIFS('United Data'!$A$3:$A$3390,Q$1,'United Data'!$C$3:$C$3390,$A1591,'United Data'!$B$3:$B$3390,"&lt;&gt;Off-street")&gt;0,1,0)</f>
        <v>0</v>
      </c>
      <c r="R1591">
        <f>IF(COUNTIFS('United Data'!$A$3:$A$3390,R$1,'United Data'!$C$3:$C$3390,$A1591,'United Data'!$B$3:$B$3390,"&lt;&gt;Off-street")&gt;0,1,0)</f>
        <v>0</v>
      </c>
      <c r="S1591">
        <f t="shared" si="48"/>
        <v>1</v>
      </c>
      <c r="T1591">
        <f t="shared" si="49"/>
        <v>1</v>
      </c>
    </row>
    <row r="1592" spans="1:20" x14ac:dyDescent="0.2">
      <c r="A1592" t="s">
        <v>1869</v>
      </c>
      <c r="B1592">
        <f>IF(COUNTIFS('United Data'!$A$3:$A$3390,B$1,'United Data'!$C$3:$C$3390,$A1592,'United Data'!$B$3:$B$3390,"&lt;&gt;Off-street")&gt;0,1,0)</f>
        <v>0</v>
      </c>
      <c r="C1592">
        <f>IF(COUNTIFS('United Data'!$A$3:$A$3390,C$1,'United Data'!$C$3:$C$3390,$A1592,'United Data'!$B$3:$B$3390,"&lt;&gt;Off-street")&gt;0,1,0)</f>
        <v>0</v>
      </c>
      <c r="D1592">
        <f>IF(COUNTIFS('United Data'!$A$3:$A$3390,D$1,'United Data'!$C$3:$C$3390,$A1592,'United Data'!$B$3:$B$3390,"&lt;&gt;Off-street")&gt;0,1,0)</f>
        <v>0</v>
      </c>
      <c r="E1592">
        <f>IF(COUNTIFS('United Data'!$A$3:$A$3390,E$1,'United Data'!$C$3:$C$3390,$A1592,'United Data'!$B$3:$B$3390,"&lt;&gt;Off-street")&gt;0,1,0)</f>
        <v>0</v>
      </c>
      <c r="F1592">
        <f>IF(COUNTIFS('United Data'!$A$3:$A$3390,F$1,'United Data'!$C$3:$C$3390,$A1592,'United Data'!$B$3:$B$3390,"&lt;&gt;Off-street")&gt;0,1,0)</f>
        <v>0</v>
      </c>
      <c r="G1592">
        <f>IF(COUNTIFS('United Data'!$A$3:$A$3390,G$1,'United Data'!$C$3:$C$3390,$A1592,'United Data'!$B$3:$B$3390,"&lt;&gt;Off-street")&gt;0,1,0)</f>
        <v>0</v>
      </c>
      <c r="H1592">
        <f>IF(COUNTIFS('United Data'!$A$3:$A$3390,H$1,'United Data'!$C$3:$C$3390,$A1592,'United Data'!$B$3:$B$3390,"&lt;&gt;Off-street")&gt;0,1,0)</f>
        <v>0</v>
      </c>
      <c r="I1592">
        <f>IF(COUNTIFS('United Data'!$A$3:$A$3390,I$1,'United Data'!$C$3:$C$3390,$A1592,'United Data'!$B$3:$B$3390,"&lt;&gt;Off-street")&gt;0,1,0)</f>
        <v>0</v>
      </c>
      <c r="J1592">
        <f>IF(COUNTIFS('United Data'!$A$3:$A$3390,J$1,'United Data'!$C$3:$C$3390,$A1592,'United Data'!$B$3:$B$3390,"&lt;&gt;Off-street")&gt;0,1,0)</f>
        <v>0</v>
      </c>
      <c r="K1592">
        <f>IF(COUNTIFS('United Data'!$A$3:$A$3390,K$1,'United Data'!$C$3:$C$3390,$A1592,'United Data'!$B$3:$B$3390,"&lt;&gt;Off-street")&gt;0,1,0)</f>
        <v>1</v>
      </c>
      <c r="L1592">
        <f>IF(COUNTIFS('United Data'!$A$3:$A$3390,L$1,'United Data'!$C$3:$C$3390,$A1592,'United Data'!$B$3:$B$3390,"&lt;&gt;Off-street")&gt;0,1,0)</f>
        <v>0</v>
      </c>
      <c r="M1592">
        <f>IF(COUNTIFS('United Data'!$A$3:$A$3390,M$1,'United Data'!$C$3:$C$3390,$A1592,'United Data'!$B$3:$B$3390,"&lt;&gt;Off-street")&gt;0,1,0)</f>
        <v>0</v>
      </c>
      <c r="N1592">
        <f>IF(COUNTIFS('United Data'!$A$3:$A$3390,N$1,'United Data'!$C$3:$C$3390,$A1592,'United Data'!$B$3:$B$3390,"&lt;&gt;Off-street")&gt;0,1,0)</f>
        <v>0</v>
      </c>
      <c r="O1592">
        <f>IF(COUNTIFS('United Data'!$A$3:$A$3390,O$1,'United Data'!$C$3:$C$3390,$A1592,'United Data'!$B$3:$B$3390,"&lt;&gt;Off-street")&gt;0,1,0)</f>
        <v>0</v>
      </c>
      <c r="P1592">
        <f>IF(COUNTIFS('United Data'!$A$3:$A$3390,P$1,'United Data'!$C$3:$C$3390,$A1592,'United Data'!$B$3:$B$3390,"&lt;&gt;Off-street")&gt;0,1,0)</f>
        <v>0</v>
      </c>
      <c r="Q1592">
        <f>IF(COUNTIFS('United Data'!$A$3:$A$3390,Q$1,'United Data'!$C$3:$C$3390,$A1592,'United Data'!$B$3:$B$3390,"&lt;&gt;Off-street")&gt;0,1,0)</f>
        <v>0</v>
      </c>
      <c r="R1592">
        <f>IF(COUNTIFS('United Data'!$A$3:$A$3390,R$1,'United Data'!$C$3:$C$3390,$A1592,'United Data'!$B$3:$B$3390,"&lt;&gt;Off-street")&gt;0,1,0)</f>
        <v>0</v>
      </c>
      <c r="S1592">
        <f t="shared" si="48"/>
        <v>1</v>
      </c>
      <c r="T1592">
        <f t="shared" si="49"/>
        <v>1</v>
      </c>
    </row>
    <row r="1593" spans="1:20" x14ac:dyDescent="0.2">
      <c r="A1593" t="s">
        <v>1870</v>
      </c>
      <c r="B1593">
        <f>IF(COUNTIFS('United Data'!$A$3:$A$3390,B$1,'United Data'!$C$3:$C$3390,$A1593,'United Data'!$B$3:$B$3390,"&lt;&gt;Off-street")&gt;0,1,0)</f>
        <v>0</v>
      </c>
      <c r="C1593">
        <f>IF(COUNTIFS('United Data'!$A$3:$A$3390,C$1,'United Data'!$C$3:$C$3390,$A1593,'United Data'!$B$3:$B$3390,"&lt;&gt;Off-street")&gt;0,1,0)</f>
        <v>0</v>
      </c>
      <c r="D1593">
        <f>IF(COUNTIFS('United Data'!$A$3:$A$3390,D$1,'United Data'!$C$3:$C$3390,$A1593,'United Data'!$B$3:$B$3390,"&lt;&gt;Off-street")&gt;0,1,0)</f>
        <v>0</v>
      </c>
      <c r="E1593">
        <f>IF(COUNTIFS('United Data'!$A$3:$A$3390,E$1,'United Data'!$C$3:$C$3390,$A1593,'United Data'!$B$3:$B$3390,"&lt;&gt;Off-street")&gt;0,1,0)</f>
        <v>0</v>
      </c>
      <c r="F1593">
        <f>IF(COUNTIFS('United Data'!$A$3:$A$3390,F$1,'United Data'!$C$3:$C$3390,$A1593,'United Data'!$B$3:$B$3390,"&lt;&gt;Off-street")&gt;0,1,0)</f>
        <v>0</v>
      </c>
      <c r="G1593">
        <f>IF(COUNTIFS('United Data'!$A$3:$A$3390,G$1,'United Data'!$C$3:$C$3390,$A1593,'United Data'!$B$3:$B$3390,"&lt;&gt;Off-street")&gt;0,1,0)</f>
        <v>0</v>
      </c>
      <c r="H1593">
        <f>IF(COUNTIFS('United Data'!$A$3:$A$3390,H$1,'United Data'!$C$3:$C$3390,$A1593,'United Data'!$B$3:$B$3390,"&lt;&gt;Off-street")&gt;0,1,0)</f>
        <v>0</v>
      </c>
      <c r="I1593">
        <f>IF(COUNTIFS('United Data'!$A$3:$A$3390,I$1,'United Data'!$C$3:$C$3390,$A1593,'United Data'!$B$3:$B$3390,"&lt;&gt;Off-street")&gt;0,1,0)</f>
        <v>0</v>
      </c>
      <c r="J1593">
        <f>IF(COUNTIFS('United Data'!$A$3:$A$3390,J$1,'United Data'!$C$3:$C$3390,$A1593,'United Data'!$B$3:$B$3390,"&lt;&gt;Off-street")&gt;0,1,0)</f>
        <v>0</v>
      </c>
      <c r="K1593">
        <f>IF(COUNTIFS('United Data'!$A$3:$A$3390,K$1,'United Data'!$C$3:$C$3390,$A1593,'United Data'!$B$3:$B$3390,"&lt;&gt;Off-street")&gt;0,1,0)</f>
        <v>0</v>
      </c>
      <c r="L1593">
        <f>IF(COUNTIFS('United Data'!$A$3:$A$3390,L$1,'United Data'!$C$3:$C$3390,$A1593,'United Data'!$B$3:$B$3390,"&lt;&gt;Off-street")&gt;0,1,0)</f>
        <v>1</v>
      </c>
      <c r="M1593">
        <f>IF(COUNTIFS('United Data'!$A$3:$A$3390,M$1,'United Data'!$C$3:$C$3390,$A1593,'United Data'!$B$3:$B$3390,"&lt;&gt;Off-street")&gt;0,1,0)</f>
        <v>0</v>
      </c>
      <c r="N1593">
        <f>IF(COUNTIFS('United Data'!$A$3:$A$3390,N$1,'United Data'!$C$3:$C$3390,$A1593,'United Data'!$B$3:$B$3390,"&lt;&gt;Off-street")&gt;0,1,0)</f>
        <v>0</v>
      </c>
      <c r="O1593">
        <f>IF(COUNTIFS('United Data'!$A$3:$A$3390,O$1,'United Data'!$C$3:$C$3390,$A1593,'United Data'!$B$3:$B$3390,"&lt;&gt;Off-street")&gt;0,1,0)</f>
        <v>0</v>
      </c>
      <c r="P1593">
        <f>IF(COUNTIFS('United Data'!$A$3:$A$3390,P$1,'United Data'!$C$3:$C$3390,$A1593,'United Data'!$B$3:$B$3390,"&lt;&gt;Off-street")&gt;0,1,0)</f>
        <v>0</v>
      </c>
      <c r="Q1593">
        <f>IF(COUNTIFS('United Data'!$A$3:$A$3390,Q$1,'United Data'!$C$3:$C$3390,$A1593,'United Data'!$B$3:$B$3390,"&lt;&gt;Off-street")&gt;0,1,0)</f>
        <v>0</v>
      </c>
      <c r="R1593">
        <f>IF(COUNTIFS('United Data'!$A$3:$A$3390,R$1,'United Data'!$C$3:$C$3390,$A1593,'United Data'!$B$3:$B$3390,"&lt;&gt;Off-street")&gt;0,1,0)</f>
        <v>0</v>
      </c>
      <c r="S1593">
        <f t="shared" si="48"/>
        <v>1</v>
      </c>
      <c r="T1593">
        <f t="shared" si="49"/>
        <v>1</v>
      </c>
    </row>
    <row r="1594" spans="1:20" x14ac:dyDescent="0.2">
      <c r="A1594" t="s">
        <v>1871</v>
      </c>
      <c r="B1594">
        <f>IF(COUNTIFS('United Data'!$A$3:$A$3390,B$1,'United Data'!$C$3:$C$3390,$A1594,'United Data'!$B$3:$B$3390,"&lt;&gt;Off-street")&gt;0,1,0)</f>
        <v>1</v>
      </c>
      <c r="C1594">
        <f>IF(COUNTIFS('United Data'!$A$3:$A$3390,C$1,'United Data'!$C$3:$C$3390,$A1594,'United Data'!$B$3:$B$3390,"&lt;&gt;Off-street")&gt;0,1,0)</f>
        <v>1</v>
      </c>
      <c r="D1594">
        <f>IF(COUNTIFS('United Data'!$A$3:$A$3390,D$1,'United Data'!$C$3:$C$3390,$A1594,'United Data'!$B$3:$B$3390,"&lt;&gt;Off-street")&gt;0,1,0)</f>
        <v>1</v>
      </c>
      <c r="E1594">
        <f>IF(COUNTIFS('United Data'!$A$3:$A$3390,E$1,'United Data'!$C$3:$C$3390,$A1594,'United Data'!$B$3:$B$3390,"&lt;&gt;Off-street")&gt;0,1,0)</f>
        <v>1</v>
      </c>
      <c r="F1594">
        <f>IF(COUNTIFS('United Data'!$A$3:$A$3390,F$1,'United Data'!$C$3:$C$3390,$A1594,'United Data'!$B$3:$B$3390,"&lt;&gt;Off-street")&gt;0,1,0)</f>
        <v>1</v>
      </c>
      <c r="G1594">
        <f>IF(COUNTIFS('United Data'!$A$3:$A$3390,G$1,'United Data'!$C$3:$C$3390,$A1594,'United Data'!$B$3:$B$3390,"&lt;&gt;Off-street")&gt;0,1,0)</f>
        <v>1</v>
      </c>
      <c r="H1594">
        <f>IF(COUNTIFS('United Data'!$A$3:$A$3390,H$1,'United Data'!$C$3:$C$3390,$A1594,'United Data'!$B$3:$B$3390,"&lt;&gt;Off-street")&gt;0,1,0)</f>
        <v>0</v>
      </c>
      <c r="I1594">
        <f>IF(COUNTIFS('United Data'!$A$3:$A$3390,I$1,'United Data'!$C$3:$C$3390,$A1594,'United Data'!$B$3:$B$3390,"&lt;&gt;Off-street")&gt;0,1,0)</f>
        <v>0</v>
      </c>
      <c r="J1594">
        <f>IF(COUNTIFS('United Data'!$A$3:$A$3390,J$1,'United Data'!$C$3:$C$3390,$A1594,'United Data'!$B$3:$B$3390,"&lt;&gt;Off-street")&gt;0,1,0)</f>
        <v>0</v>
      </c>
      <c r="K1594">
        <f>IF(COUNTIFS('United Data'!$A$3:$A$3390,K$1,'United Data'!$C$3:$C$3390,$A1594,'United Data'!$B$3:$B$3390,"&lt;&gt;Off-street")&gt;0,1,0)</f>
        <v>0</v>
      </c>
      <c r="L1594">
        <f>IF(COUNTIFS('United Data'!$A$3:$A$3390,L$1,'United Data'!$C$3:$C$3390,$A1594,'United Data'!$B$3:$B$3390,"&lt;&gt;Off-street")&gt;0,1,0)</f>
        <v>0</v>
      </c>
      <c r="M1594">
        <f>IF(COUNTIFS('United Data'!$A$3:$A$3390,M$1,'United Data'!$C$3:$C$3390,$A1594,'United Data'!$B$3:$B$3390,"&lt;&gt;Off-street")&gt;0,1,0)</f>
        <v>1</v>
      </c>
      <c r="N1594">
        <f>IF(COUNTIFS('United Data'!$A$3:$A$3390,N$1,'United Data'!$C$3:$C$3390,$A1594,'United Data'!$B$3:$B$3390,"&lt;&gt;Off-street")&gt;0,1,0)</f>
        <v>0</v>
      </c>
      <c r="O1594">
        <f>IF(COUNTIFS('United Data'!$A$3:$A$3390,O$1,'United Data'!$C$3:$C$3390,$A1594,'United Data'!$B$3:$B$3390,"&lt;&gt;Off-street")&gt;0,1,0)</f>
        <v>1</v>
      </c>
      <c r="P1594">
        <f>IF(COUNTIFS('United Data'!$A$3:$A$3390,P$1,'United Data'!$C$3:$C$3390,$A1594,'United Data'!$B$3:$B$3390,"&lt;&gt;Off-street")&gt;0,1,0)</f>
        <v>1</v>
      </c>
      <c r="Q1594">
        <f>IF(COUNTIFS('United Data'!$A$3:$A$3390,Q$1,'United Data'!$C$3:$C$3390,$A1594,'United Data'!$B$3:$B$3390,"&lt;&gt;Off-street")&gt;0,1,0)</f>
        <v>0</v>
      </c>
      <c r="R1594">
        <f>IF(COUNTIFS('United Data'!$A$3:$A$3390,R$1,'United Data'!$C$3:$C$3390,$A1594,'United Data'!$B$3:$B$3390,"&lt;&gt;Off-street")&gt;0,1,0)</f>
        <v>1</v>
      </c>
      <c r="S1594">
        <f t="shared" si="48"/>
        <v>10</v>
      </c>
      <c r="T1594">
        <f t="shared" si="49"/>
        <v>4</v>
      </c>
    </row>
    <row r="1595" spans="1:20" x14ac:dyDescent="0.2">
      <c r="A1595" t="s">
        <v>2058</v>
      </c>
      <c r="B1595">
        <f>IF(COUNTIFS('United Data'!$A$3:$A$3390,B$1,'United Data'!$C$3:$C$3390,$A1595,'United Data'!$B$3:$B$3390,"&lt;&gt;Off-street")&gt;0,1,0)</f>
        <v>0</v>
      </c>
      <c r="C1595">
        <f>IF(COUNTIFS('United Data'!$A$3:$A$3390,C$1,'United Data'!$C$3:$C$3390,$A1595,'United Data'!$B$3:$B$3390,"&lt;&gt;Off-street")&gt;0,1,0)</f>
        <v>0</v>
      </c>
      <c r="D1595">
        <f>IF(COUNTIFS('United Data'!$A$3:$A$3390,D$1,'United Data'!$C$3:$C$3390,$A1595,'United Data'!$B$3:$B$3390,"&lt;&gt;Off-street")&gt;0,1,0)</f>
        <v>0</v>
      </c>
      <c r="E1595">
        <f>IF(COUNTIFS('United Data'!$A$3:$A$3390,E$1,'United Data'!$C$3:$C$3390,$A1595,'United Data'!$B$3:$B$3390,"&lt;&gt;Off-street")&gt;0,1,0)</f>
        <v>0</v>
      </c>
      <c r="F1595">
        <f>IF(COUNTIFS('United Data'!$A$3:$A$3390,F$1,'United Data'!$C$3:$C$3390,$A1595,'United Data'!$B$3:$B$3390,"&lt;&gt;Off-street")&gt;0,1,0)</f>
        <v>0</v>
      </c>
      <c r="G1595">
        <f>IF(COUNTIFS('United Data'!$A$3:$A$3390,G$1,'United Data'!$C$3:$C$3390,$A1595,'United Data'!$B$3:$B$3390,"&lt;&gt;Off-street")&gt;0,1,0)</f>
        <v>0</v>
      </c>
      <c r="H1595">
        <f>IF(COUNTIFS('United Data'!$A$3:$A$3390,H$1,'United Data'!$C$3:$C$3390,$A1595,'United Data'!$B$3:$B$3390,"&lt;&gt;Off-street")&gt;0,1,0)</f>
        <v>0</v>
      </c>
      <c r="I1595">
        <f>IF(COUNTIFS('United Data'!$A$3:$A$3390,I$1,'United Data'!$C$3:$C$3390,$A1595,'United Data'!$B$3:$B$3390,"&lt;&gt;Off-street")&gt;0,1,0)</f>
        <v>0</v>
      </c>
      <c r="J1595">
        <f>IF(COUNTIFS('United Data'!$A$3:$A$3390,J$1,'United Data'!$C$3:$C$3390,$A1595,'United Data'!$B$3:$B$3390,"&lt;&gt;Off-street")&gt;0,1,0)</f>
        <v>0</v>
      </c>
      <c r="K1595">
        <f>IF(COUNTIFS('United Data'!$A$3:$A$3390,K$1,'United Data'!$C$3:$C$3390,$A1595,'United Data'!$B$3:$B$3390,"&lt;&gt;Off-street")&gt;0,1,0)</f>
        <v>0</v>
      </c>
      <c r="L1595">
        <f>IF(COUNTIFS('United Data'!$A$3:$A$3390,L$1,'United Data'!$C$3:$C$3390,$A1595,'United Data'!$B$3:$B$3390,"&lt;&gt;Off-street")&gt;0,1,0)</f>
        <v>0</v>
      </c>
      <c r="M1595">
        <f>IF(COUNTIFS('United Data'!$A$3:$A$3390,M$1,'United Data'!$C$3:$C$3390,$A1595,'United Data'!$B$3:$B$3390,"&lt;&gt;Off-street")&gt;0,1,0)</f>
        <v>0</v>
      </c>
      <c r="N1595">
        <f>IF(COUNTIFS('United Data'!$A$3:$A$3390,N$1,'United Data'!$C$3:$C$3390,$A1595,'United Data'!$B$3:$B$3390,"&lt;&gt;Off-street")&gt;0,1,0)</f>
        <v>0</v>
      </c>
      <c r="O1595">
        <f>IF(COUNTIFS('United Data'!$A$3:$A$3390,O$1,'United Data'!$C$3:$C$3390,$A1595,'United Data'!$B$3:$B$3390,"&lt;&gt;Off-street")&gt;0,1,0)</f>
        <v>0</v>
      </c>
      <c r="P1595">
        <f>IF(COUNTIFS('United Data'!$A$3:$A$3390,P$1,'United Data'!$C$3:$C$3390,$A1595,'United Data'!$B$3:$B$3390,"&lt;&gt;Off-street")&gt;0,1,0)</f>
        <v>0</v>
      </c>
      <c r="Q1595">
        <f>IF(COUNTIFS('United Data'!$A$3:$A$3390,Q$1,'United Data'!$C$3:$C$3390,$A1595,'United Data'!$B$3:$B$3390,"&lt;&gt;Off-street")&gt;0,1,0)</f>
        <v>0</v>
      </c>
      <c r="R1595">
        <f>IF(COUNTIFS('United Data'!$A$3:$A$3390,R$1,'United Data'!$C$3:$C$3390,$A1595,'United Data'!$B$3:$B$3390,"&lt;&gt;Off-street")&gt;0,1,0)</f>
        <v>1</v>
      </c>
      <c r="S1595">
        <f t="shared" si="48"/>
        <v>1</v>
      </c>
      <c r="T1595">
        <f t="shared" si="49"/>
        <v>1</v>
      </c>
    </row>
    <row r="1596" spans="1:20" x14ac:dyDescent="0.2">
      <c r="A1596" t="s">
        <v>1873</v>
      </c>
      <c r="B1596">
        <f>IF(COUNTIFS('United Data'!$A$3:$A$3390,B$1,'United Data'!$C$3:$C$3390,$A1596,'United Data'!$B$3:$B$3390,"&lt;&gt;Off-street")&gt;0,1,0)</f>
        <v>1</v>
      </c>
      <c r="C1596">
        <f>IF(COUNTIFS('United Data'!$A$3:$A$3390,C$1,'United Data'!$C$3:$C$3390,$A1596,'United Data'!$B$3:$B$3390,"&lt;&gt;Off-street")&gt;0,1,0)</f>
        <v>0</v>
      </c>
      <c r="D1596">
        <f>IF(COUNTIFS('United Data'!$A$3:$A$3390,D$1,'United Data'!$C$3:$C$3390,$A1596,'United Data'!$B$3:$B$3390,"&lt;&gt;Off-street")&gt;0,1,0)</f>
        <v>0</v>
      </c>
      <c r="E1596">
        <f>IF(COUNTIFS('United Data'!$A$3:$A$3390,E$1,'United Data'!$C$3:$C$3390,$A1596,'United Data'!$B$3:$B$3390,"&lt;&gt;Off-street")&gt;0,1,0)</f>
        <v>0</v>
      </c>
      <c r="F1596">
        <f>IF(COUNTIFS('United Data'!$A$3:$A$3390,F$1,'United Data'!$C$3:$C$3390,$A1596,'United Data'!$B$3:$B$3390,"&lt;&gt;Off-street")&gt;0,1,0)</f>
        <v>0</v>
      </c>
      <c r="G1596">
        <f>IF(COUNTIFS('United Data'!$A$3:$A$3390,G$1,'United Data'!$C$3:$C$3390,$A1596,'United Data'!$B$3:$B$3390,"&lt;&gt;Off-street")&gt;0,1,0)</f>
        <v>0</v>
      </c>
      <c r="H1596">
        <f>IF(COUNTIFS('United Data'!$A$3:$A$3390,H$1,'United Data'!$C$3:$C$3390,$A1596,'United Data'!$B$3:$B$3390,"&lt;&gt;Off-street")&gt;0,1,0)</f>
        <v>0</v>
      </c>
      <c r="I1596">
        <f>IF(COUNTIFS('United Data'!$A$3:$A$3390,I$1,'United Data'!$C$3:$C$3390,$A1596,'United Data'!$B$3:$B$3390,"&lt;&gt;Off-street")&gt;0,1,0)</f>
        <v>0</v>
      </c>
      <c r="J1596">
        <f>IF(COUNTIFS('United Data'!$A$3:$A$3390,J$1,'United Data'!$C$3:$C$3390,$A1596,'United Data'!$B$3:$B$3390,"&lt;&gt;Off-street")&gt;0,1,0)</f>
        <v>0</v>
      </c>
      <c r="K1596">
        <f>IF(COUNTIFS('United Data'!$A$3:$A$3390,K$1,'United Data'!$C$3:$C$3390,$A1596,'United Data'!$B$3:$B$3390,"&lt;&gt;Off-street")&gt;0,1,0)</f>
        <v>0</v>
      </c>
      <c r="L1596">
        <f>IF(COUNTIFS('United Data'!$A$3:$A$3390,L$1,'United Data'!$C$3:$C$3390,$A1596,'United Data'!$B$3:$B$3390,"&lt;&gt;Off-street")&gt;0,1,0)</f>
        <v>0</v>
      </c>
      <c r="M1596">
        <f>IF(COUNTIFS('United Data'!$A$3:$A$3390,M$1,'United Data'!$C$3:$C$3390,$A1596,'United Data'!$B$3:$B$3390,"&lt;&gt;Off-street")&gt;0,1,0)</f>
        <v>0</v>
      </c>
      <c r="N1596">
        <f>IF(COUNTIFS('United Data'!$A$3:$A$3390,N$1,'United Data'!$C$3:$C$3390,$A1596,'United Data'!$B$3:$B$3390,"&lt;&gt;Off-street")&gt;0,1,0)</f>
        <v>0</v>
      </c>
      <c r="O1596">
        <f>IF(COUNTIFS('United Data'!$A$3:$A$3390,O$1,'United Data'!$C$3:$C$3390,$A1596,'United Data'!$B$3:$B$3390,"&lt;&gt;Off-street")&gt;0,1,0)</f>
        <v>0</v>
      </c>
      <c r="P1596">
        <f>IF(COUNTIFS('United Data'!$A$3:$A$3390,P$1,'United Data'!$C$3:$C$3390,$A1596,'United Data'!$B$3:$B$3390,"&lt;&gt;Off-street")&gt;0,1,0)</f>
        <v>1</v>
      </c>
      <c r="Q1596">
        <f>IF(COUNTIFS('United Data'!$A$3:$A$3390,Q$1,'United Data'!$C$3:$C$3390,$A1596,'United Data'!$B$3:$B$3390,"&lt;&gt;Off-street")&gt;0,1,0)</f>
        <v>0</v>
      </c>
      <c r="R1596">
        <f>IF(COUNTIFS('United Data'!$A$3:$A$3390,R$1,'United Data'!$C$3:$C$3390,$A1596,'United Data'!$B$3:$B$3390,"&lt;&gt;Off-street")&gt;0,1,0)</f>
        <v>0</v>
      </c>
      <c r="S1596">
        <f t="shared" si="48"/>
        <v>2</v>
      </c>
      <c r="T1596">
        <f t="shared" si="49"/>
        <v>2</v>
      </c>
    </row>
    <row r="1597" spans="1:20" x14ac:dyDescent="0.2">
      <c r="A1597" t="s">
        <v>1874</v>
      </c>
      <c r="B1597">
        <f>IF(COUNTIFS('United Data'!$A$3:$A$3390,B$1,'United Data'!$C$3:$C$3390,$A1597,'United Data'!$B$3:$B$3390,"&lt;&gt;Off-street")&gt;0,1,0)</f>
        <v>1</v>
      </c>
      <c r="C1597">
        <f>IF(COUNTIFS('United Data'!$A$3:$A$3390,C$1,'United Data'!$C$3:$C$3390,$A1597,'United Data'!$B$3:$B$3390,"&lt;&gt;Off-street")&gt;0,1,0)</f>
        <v>1</v>
      </c>
      <c r="D1597">
        <f>IF(COUNTIFS('United Data'!$A$3:$A$3390,D$1,'United Data'!$C$3:$C$3390,$A1597,'United Data'!$B$3:$B$3390,"&lt;&gt;Off-street")&gt;0,1,0)</f>
        <v>1</v>
      </c>
      <c r="E1597">
        <f>IF(COUNTIFS('United Data'!$A$3:$A$3390,E$1,'United Data'!$C$3:$C$3390,$A1597,'United Data'!$B$3:$B$3390,"&lt;&gt;Off-street")&gt;0,1,0)</f>
        <v>1</v>
      </c>
      <c r="F1597">
        <f>IF(COUNTIFS('United Data'!$A$3:$A$3390,F$1,'United Data'!$C$3:$C$3390,$A1597,'United Data'!$B$3:$B$3390,"&lt;&gt;Off-street")&gt;0,1,0)</f>
        <v>0</v>
      </c>
      <c r="G1597">
        <f>IF(COUNTIFS('United Data'!$A$3:$A$3390,G$1,'United Data'!$C$3:$C$3390,$A1597,'United Data'!$B$3:$B$3390,"&lt;&gt;Off-street")&gt;0,1,0)</f>
        <v>0</v>
      </c>
      <c r="H1597">
        <f>IF(COUNTIFS('United Data'!$A$3:$A$3390,H$1,'United Data'!$C$3:$C$3390,$A1597,'United Data'!$B$3:$B$3390,"&lt;&gt;Off-street")&gt;0,1,0)</f>
        <v>0</v>
      </c>
      <c r="I1597">
        <f>IF(COUNTIFS('United Data'!$A$3:$A$3390,I$1,'United Data'!$C$3:$C$3390,$A1597,'United Data'!$B$3:$B$3390,"&lt;&gt;Off-street")&gt;0,1,0)</f>
        <v>0</v>
      </c>
      <c r="J1597">
        <f>IF(COUNTIFS('United Data'!$A$3:$A$3390,J$1,'United Data'!$C$3:$C$3390,$A1597,'United Data'!$B$3:$B$3390,"&lt;&gt;Off-street")&gt;0,1,0)</f>
        <v>0</v>
      </c>
      <c r="K1597">
        <f>IF(COUNTIFS('United Data'!$A$3:$A$3390,K$1,'United Data'!$C$3:$C$3390,$A1597,'United Data'!$B$3:$B$3390,"&lt;&gt;Off-street")&gt;0,1,0)</f>
        <v>0</v>
      </c>
      <c r="L1597">
        <f>IF(COUNTIFS('United Data'!$A$3:$A$3390,L$1,'United Data'!$C$3:$C$3390,$A1597,'United Data'!$B$3:$B$3390,"&lt;&gt;Off-street")&gt;0,1,0)</f>
        <v>0</v>
      </c>
      <c r="M1597">
        <f>IF(COUNTIFS('United Data'!$A$3:$A$3390,M$1,'United Data'!$C$3:$C$3390,$A1597,'United Data'!$B$3:$B$3390,"&lt;&gt;Off-street")&gt;0,1,0)</f>
        <v>0</v>
      </c>
      <c r="N1597">
        <f>IF(COUNTIFS('United Data'!$A$3:$A$3390,N$1,'United Data'!$C$3:$C$3390,$A1597,'United Data'!$B$3:$B$3390,"&lt;&gt;Off-street")&gt;0,1,0)</f>
        <v>0</v>
      </c>
      <c r="O1597">
        <f>IF(COUNTIFS('United Data'!$A$3:$A$3390,O$1,'United Data'!$C$3:$C$3390,$A1597,'United Data'!$B$3:$B$3390,"&lt;&gt;Off-street")&gt;0,1,0)</f>
        <v>1</v>
      </c>
      <c r="P1597">
        <f>IF(COUNTIFS('United Data'!$A$3:$A$3390,P$1,'United Data'!$C$3:$C$3390,$A1597,'United Data'!$B$3:$B$3390,"&lt;&gt;Off-street")&gt;0,1,0)</f>
        <v>0</v>
      </c>
      <c r="Q1597">
        <f>IF(COUNTIFS('United Data'!$A$3:$A$3390,Q$1,'United Data'!$C$3:$C$3390,$A1597,'United Data'!$B$3:$B$3390,"&lt;&gt;Off-street")&gt;0,1,0)</f>
        <v>0</v>
      </c>
      <c r="R1597">
        <f>IF(COUNTIFS('United Data'!$A$3:$A$3390,R$1,'United Data'!$C$3:$C$3390,$A1597,'United Data'!$B$3:$B$3390,"&lt;&gt;Off-street")&gt;0,1,0)</f>
        <v>0</v>
      </c>
      <c r="S1597">
        <f t="shared" si="48"/>
        <v>5</v>
      </c>
      <c r="T1597">
        <f t="shared" si="49"/>
        <v>2</v>
      </c>
    </row>
    <row r="1598" spans="1:20" x14ac:dyDescent="0.2">
      <c r="A1598" t="s">
        <v>1875</v>
      </c>
      <c r="B1598">
        <f>IF(COUNTIFS('United Data'!$A$3:$A$3390,B$1,'United Data'!$C$3:$C$3390,$A1598,'United Data'!$B$3:$B$3390,"&lt;&gt;Off-street")&gt;0,1,0)</f>
        <v>1</v>
      </c>
      <c r="C1598">
        <f>IF(COUNTIFS('United Data'!$A$3:$A$3390,C$1,'United Data'!$C$3:$C$3390,$A1598,'United Data'!$B$3:$B$3390,"&lt;&gt;Off-street")&gt;0,1,0)</f>
        <v>1</v>
      </c>
      <c r="D1598">
        <f>IF(COUNTIFS('United Data'!$A$3:$A$3390,D$1,'United Data'!$C$3:$C$3390,$A1598,'United Data'!$B$3:$B$3390,"&lt;&gt;Off-street")&gt;0,1,0)</f>
        <v>1</v>
      </c>
      <c r="E1598">
        <f>IF(COUNTIFS('United Data'!$A$3:$A$3390,E$1,'United Data'!$C$3:$C$3390,$A1598,'United Data'!$B$3:$B$3390,"&lt;&gt;Off-street")&gt;0,1,0)</f>
        <v>1</v>
      </c>
      <c r="F1598">
        <f>IF(COUNTIFS('United Data'!$A$3:$A$3390,F$1,'United Data'!$C$3:$C$3390,$A1598,'United Data'!$B$3:$B$3390,"&lt;&gt;Off-street")&gt;0,1,0)</f>
        <v>1</v>
      </c>
      <c r="G1598">
        <f>IF(COUNTIFS('United Data'!$A$3:$A$3390,G$1,'United Data'!$C$3:$C$3390,$A1598,'United Data'!$B$3:$B$3390,"&lt;&gt;Off-street")&gt;0,1,0)</f>
        <v>1</v>
      </c>
      <c r="H1598">
        <f>IF(COUNTIFS('United Data'!$A$3:$A$3390,H$1,'United Data'!$C$3:$C$3390,$A1598,'United Data'!$B$3:$B$3390,"&lt;&gt;Off-street")&gt;0,1,0)</f>
        <v>0</v>
      </c>
      <c r="I1598">
        <f>IF(COUNTIFS('United Data'!$A$3:$A$3390,I$1,'United Data'!$C$3:$C$3390,$A1598,'United Data'!$B$3:$B$3390,"&lt;&gt;Off-street")&gt;0,1,0)</f>
        <v>0</v>
      </c>
      <c r="J1598">
        <f>IF(COUNTIFS('United Data'!$A$3:$A$3390,J$1,'United Data'!$C$3:$C$3390,$A1598,'United Data'!$B$3:$B$3390,"&lt;&gt;Off-street")&gt;0,1,0)</f>
        <v>0</v>
      </c>
      <c r="K1598">
        <f>IF(COUNTIFS('United Data'!$A$3:$A$3390,K$1,'United Data'!$C$3:$C$3390,$A1598,'United Data'!$B$3:$B$3390,"&lt;&gt;Off-street")&gt;0,1,0)</f>
        <v>0</v>
      </c>
      <c r="L1598">
        <f>IF(COUNTIFS('United Data'!$A$3:$A$3390,L$1,'United Data'!$C$3:$C$3390,$A1598,'United Data'!$B$3:$B$3390,"&lt;&gt;Off-street")&gt;0,1,0)</f>
        <v>0</v>
      </c>
      <c r="M1598">
        <f>IF(COUNTIFS('United Data'!$A$3:$A$3390,M$1,'United Data'!$C$3:$C$3390,$A1598,'United Data'!$B$3:$B$3390,"&lt;&gt;Off-street")&gt;0,1,0)</f>
        <v>0</v>
      </c>
      <c r="N1598">
        <f>IF(COUNTIFS('United Data'!$A$3:$A$3390,N$1,'United Data'!$C$3:$C$3390,$A1598,'United Data'!$B$3:$B$3390,"&lt;&gt;Off-street")&gt;0,1,0)</f>
        <v>0</v>
      </c>
      <c r="O1598">
        <f>IF(COUNTIFS('United Data'!$A$3:$A$3390,O$1,'United Data'!$C$3:$C$3390,$A1598,'United Data'!$B$3:$B$3390,"&lt;&gt;Off-street")&gt;0,1,0)</f>
        <v>1</v>
      </c>
      <c r="P1598">
        <f>IF(COUNTIFS('United Data'!$A$3:$A$3390,P$1,'United Data'!$C$3:$C$3390,$A1598,'United Data'!$B$3:$B$3390,"&lt;&gt;Off-street")&gt;0,1,0)</f>
        <v>1</v>
      </c>
      <c r="Q1598">
        <f>IF(COUNTIFS('United Data'!$A$3:$A$3390,Q$1,'United Data'!$C$3:$C$3390,$A1598,'United Data'!$B$3:$B$3390,"&lt;&gt;Off-street")&gt;0,1,0)</f>
        <v>0</v>
      </c>
      <c r="R1598">
        <f>IF(COUNTIFS('United Data'!$A$3:$A$3390,R$1,'United Data'!$C$3:$C$3390,$A1598,'United Data'!$B$3:$B$3390,"&lt;&gt;Off-street")&gt;0,1,0)</f>
        <v>1</v>
      </c>
      <c r="S1598">
        <f t="shared" si="48"/>
        <v>9</v>
      </c>
      <c r="T1598">
        <f t="shared" si="49"/>
        <v>3</v>
      </c>
    </row>
    <row r="1599" spans="1:20" x14ac:dyDescent="0.2">
      <c r="A1599" t="s">
        <v>1876</v>
      </c>
      <c r="B1599">
        <f>IF(COUNTIFS('United Data'!$A$3:$A$3390,B$1,'United Data'!$C$3:$C$3390,$A1599,'United Data'!$B$3:$B$3390,"&lt;&gt;Off-street")&gt;0,1,0)</f>
        <v>0</v>
      </c>
      <c r="C1599">
        <f>IF(COUNTIFS('United Data'!$A$3:$A$3390,C$1,'United Data'!$C$3:$C$3390,$A1599,'United Data'!$B$3:$B$3390,"&lt;&gt;Off-street")&gt;0,1,0)</f>
        <v>1</v>
      </c>
      <c r="D1599">
        <f>IF(COUNTIFS('United Data'!$A$3:$A$3390,D$1,'United Data'!$C$3:$C$3390,$A1599,'United Data'!$B$3:$B$3390,"&lt;&gt;Off-street")&gt;0,1,0)</f>
        <v>0</v>
      </c>
      <c r="E1599">
        <f>IF(COUNTIFS('United Data'!$A$3:$A$3390,E$1,'United Data'!$C$3:$C$3390,$A1599,'United Data'!$B$3:$B$3390,"&lt;&gt;Off-street")&gt;0,1,0)</f>
        <v>0</v>
      </c>
      <c r="F1599">
        <f>IF(COUNTIFS('United Data'!$A$3:$A$3390,F$1,'United Data'!$C$3:$C$3390,$A1599,'United Data'!$B$3:$B$3390,"&lt;&gt;Off-street")&gt;0,1,0)</f>
        <v>0</v>
      </c>
      <c r="G1599">
        <f>IF(COUNTIFS('United Data'!$A$3:$A$3390,G$1,'United Data'!$C$3:$C$3390,$A1599,'United Data'!$B$3:$B$3390,"&lt;&gt;Off-street")&gt;0,1,0)</f>
        <v>0</v>
      </c>
      <c r="H1599">
        <f>IF(COUNTIFS('United Data'!$A$3:$A$3390,H$1,'United Data'!$C$3:$C$3390,$A1599,'United Data'!$B$3:$B$3390,"&lt;&gt;Off-street")&gt;0,1,0)</f>
        <v>1</v>
      </c>
      <c r="I1599">
        <f>IF(COUNTIFS('United Data'!$A$3:$A$3390,I$1,'United Data'!$C$3:$C$3390,$A1599,'United Data'!$B$3:$B$3390,"&lt;&gt;Off-street")&gt;0,1,0)</f>
        <v>0</v>
      </c>
      <c r="J1599">
        <f>IF(COUNTIFS('United Data'!$A$3:$A$3390,J$1,'United Data'!$C$3:$C$3390,$A1599,'United Data'!$B$3:$B$3390,"&lt;&gt;Off-street")&gt;0,1,0)</f>
        <v>0</v>
      </c>
      <c r="K1599">
        <f>IF(COUNTIFS('United Data'!$A$3:$A$3390,K$1,'United Data'!$C$3:$C$3390,$A1599,'United Data'!$B$3:$B$3390,"&lt;&gt;Off-street")&gt;0,1,0)</f>
        <v>0</v>
      </c>
      <c r="L1599">
        <f>IF(COUNTIFS('United Data'!$A$3:$A$3390,L$1,'United Data'!$C$3:$C$3390,$A1599,'United Data'!$B$3:$B$3390,"&lt;&gt;Off-street")&gt;0,1,0)</f>
        <v>0</v>
      </c>
      <c r="M1599">
        <f>IF(COUNTIFS('United Data'!$A$3:$A$3390,M$1,'United Data'!$C$3:$C$3390,$A1599,'United Data'!$B$3:$B$3390,"&lt;&gt;Off-street")&gt;0,1,0)</f>
        <v>0</v>
      </c>
      <c r="N1599">
        <f>IF(COUNTIFS('United Data'!$A$3:$A$3390,N$1,'United Data'!$C$3:$C$3390,$A1599,'United Data'!$B$3:$B$3390,"&lt;&gt;Off-street")&gt;0,1,0)</f>
        <v>0</v>
      </c>
      <c r="O1599">
        <f>IF(COUNTIFS('United Data'!$A$3:$A$3390,O$1,'United Data'!$C$3:$C$3390,$A1599,'United Data'!$B$3:$B$3390,"&lt;&gt;Off-street")&gt;0,1,0)</f>
        <v>0</v>
      </c>
      <c r="P1599">
        <f>IF(COUNTIFS('United Data'!$A$3:$A$3390,P$1,'United Data'!$C$3:$C$3390,$A1599,'United Data'!$B$3:$B$3390,"&lt;&gt;Off-street")&gt;0,1,0)</f>
        <v>0</v>
      </c>
      <c r="Q1599">
        <f>IF(COUNTIFS('United Data'!$A$3:$A$3390,Q$1,'United Data'!$C$3:$C$3390,$A1599,'United Data'!$B$3:$B$3390,"&lt;&gt;Off-street")&gt;0,1,0)</f>
        <v>0</v>
      </c>
      <c r="R1599">
        <f>IF(COUNTIFS('United Data'!$A$3:$A$3390,R$1,'United Data'!$C$3:$C$3390,$A1599,'United Data'!$B$3:$B$3390,"&lt;&gt;Off-street")&gt;0,1,0)</f>
        <v>0</v>
      </c>
      <c r="S1599">
        <f t="shared" si="48"/>
        <v>2</v>
      </c>
      <c r="T1599">
        <f t="shared" si="49"/>
        <v>2</v>
      </c>
    </row>
    <row r="1600" spans="1:20" x14ac:dyDescent="0.2">
      <c r="A1600" t="s">
        <v>1877</v>
      </c>
      <c r="B1600">
        <f>IF(COUNTIFS('United Data'!$A$3:$A$3390,B$1,'United Data'!$C$3:$C$3390,$A1600,'United Data'!$B$3:$B$3390,"&lt;&gt;Off-street")&gt;0,1,0)</f>
        <v>0</v>
      </c>
      <c r="C1600">
        <f>IF(COUNTIFS('United Data'!$A$3:$A$3390,C$1,'United Data'!$C$3:$C$3390,$A1600,'United Data'!$B$3:$B$3390,"&lt;&gt;Off-street")&gt;0,1,0)</f>
        <v>0</v>
      </c>
      <c r="D1600">
        <f>IF(COUNTIFS('United Data'!$A$3:$A$3390,D$1,'United Data'!$C$3:$C$3390,$A1600,'United Data'!$B$3:$B$3390,"&lt;&gt;Off-street")&gt;0,1,0)</f>
        <v>1</v>
      </c>
      <c r="E1600">
        <f>IF(COUNTIFS('United Data'!$A$3:$A$3390,E$1,'United Data'!$C$3:$C$3390,$A1600,'United Data'!$B$3:$B$3390,"&lt;&gt;Off-street")&gt;0,1,0)</f>
        <v>0</v>
      </c>
      <c r="F1600">
        <f>IF(COUNTIFS('United Data'!$A$3:$A$3390,F$1,'United Data'!$C$3:$C$3390,$A1600,'United Data'!$B$3:$B$3390,"&lt;&gt;Off-street")&gt;0,1,0)</f>
        <v>0</v>
      </c>
      <c r="G1600">
        <f>IF(COUNTIFS('United Data'!$A$3:$A$3390,G$1,'United Data'!$C$3:$C$3390,$A1600,'United Data'!$B$3:$B$3390,"&lt;&gt;Off-street")&gt;0,1,0)</f>
        <v>0</v>
      </c>
      <c r="H1600">
        <f>IF(COUNTIFS('United Data'!$A$3:$A$3390,H$1,'United Data'!$C$3:$C$3390,$A1600,'United Data'!$B$3:$B$3390,"&lt;&gt;Off-street")&gt;0,1,0)</f>
        <v>0</v>
      </c>
      <c r="I1600">
        <f>IF(COUNTIFS('United Data'!$A$3:$A$3390,I$1,'United Data'!$C$3:$C$3390,$A1600,'United Data'!$B$3:$B$3390,"&lt;&gt;Off-street")&gt;0,1,0)</f>
        <v>0</v>
      </c>
      <c r="J1600">
        <f>IF(COUNTIFS('United Data'!$A$3:$A$3390,J$1,'United Data'!$C$3:$C$3390,$A1600,'United Data'!$B$3:$B$3390,"&lt;&gt;Off-street")&gt;0,1,0)</f>
        <v>0</v>
      </c>
      <c r="K1600">
        <f>IF(COUNTIFS('United Data'!$A$3:$A$3390,K$1,'United Data'!$C$3:$C$3390,$A1600,'United Data'!$B$3:$B$3390,"&lt;&gt;Off-street")&gt;0,1,0)</f>
        <v>0</v>
      </c>
      <c r="L1600">
        <f>IF(COUNTIFS('United Data'!$A$3:$A$3390,L$1,'United Data'!$C$3:$C$3390,$A1600,'United Data'!$B$3:$B$3390,"&lt;&gt;Off-street")&gt;0,1,0)</f>
        <v>0</v>
      </c>
      <c r="M1600">
        <f>IF(COUNTIFS('United Data'!$A$3:$A$3390,M$1,'United Data'!$C$3:$C$3390,$A1600,'United Data'!$B$3:$B$3390,"&lt;&gt;Off-street")&gt;0,1,0)</f>
        <v>0</v>
      </c>
      <c r="N1600">
        <f>IF(COUNTIFS('United Data'!$A$3:$A$3390,N$1,'United Data'!$C$3:$C$3390,$A1600,'United Data'!$B$3:$B$3390,"&lt;&gt;Off-street")&gt;0,1,0)</f>
        <v>0</v>
      </c>
      <c r="O1600">
        <f>IF(COUNTIFS('United Data'!$A$3:$A$3390,O$1,'United Data'!$C$3:$C$3390,$A1600,'United Data'!$B$3:$B$3390,"&lt;&gt;Off-street")&gt;0,1,0)</f>
        <v>0</v>
      </c>
      <c r="P1600">
        <f>IF(COUNTIFS('United Data'!$A$3:$A$3390,P$1,'United Data'!$C$3:$C$3390,$A1600,'United Data'!$B$3:$B$3390,"&lt;&gt;Off-street")&gt;0,1,0)</f>
        <v>0</v>
      </c>
      <c r="Q1600">
        <f>IF(COUNTIFS('United Data'!$A$3:$A$3390,Q$1,'United Data'!$C$3:$C$3390,$A1600,'United Data'!$B$3:$B$3390,"&lt;&gt;Off-street")&gt;0,1,0)</f>
        <v>0</v>
      </c>
      <c r="R1600">
        <f>IF(COUNTIFS('United Data'!$A$3:$A$3390,R$1,'United Data'!$C$3:$C$3390,$A1600,'United Data'!$B$3:$B$3390,"&lt;&gt;Off-street")&gt;0,1,0)</f>
        <v>0</v>
      </c>
      <c r="S1600">
        <f t="shared" si="48"/>
        <v>1</v>
      </c>
      <c r="T1600">
        <f t="shared" si="49"/>
        <v>1</v>
      </c>
    </row>
    <row r="1601" spans="1:20" x14ac:dyDescent="0.2">
      <c r="A1601" t="s">
        <v>1880</v>
      </c>
      <c r="B1601">
        <f>IF(COUNTIFS('United Data'!$A$3:$A$3390,B$1,'United Data'!$C$3:$C$3390,$A1601,'United Data'!$B$3:$B$3390,"&lt;&gt;Off-street")&gt;0,1,0)</f>
        <v>0</v>
      </c>
      <c r="C1601">
        <f>IF(COUNTIFS('United Data'!$A$3:$A$3390,C$1,'United Data'!$C$3:$C$3390,$A1601,'United Data'!$B$3:$B$3390,"&lt;&gt;Off-street")&gt;0,1,0)</f>
        <v>0</v>
      </c>
      <c r="D1601">
        <f>IF(COUNTIFS('United Data'!$A$3:$A$3390,D$1,'United Data'!$C$3:$C$3390,$A1601,'United Data'!$B$3:$B$3390,"&lt;&gt;Off-street")&gt;0,1,0)</f>
        <v>1</v>
      </c>
      <c r="E1601">
        <f>IF(COUNTIFS('United Data'!$A$3:$A$3390,E$1,'United Data'!$C$3:$C$3390,$A1601,'United Data'!$B$3:$B$3390,"&lt;&gt;Off-street")&gt;0,1,0)</f>
        <v>0</v>
      </c>
      <c r="F1601">
        <f>IF(COUNTIFS('United Data'!$A$3:$A$3390,F$1,'United Data'!$C$3:$C$3390,$A1601,'United Data'!$B$3:$B$3390,"&lt;&gt;Off-street")&gt;0,1,0)</f>
        <v>0</v>
      </c>
      <c r="G1601">
        <f>IF(COUNTIFS('United Data'!$A$3:$A$3390,G$1,'United Data'!$C$3:$C$3390,$A1601,'United Data'!$B$3:$B$3390,"&lt;&gt;Off-street")&gt;0,1,0)</f>
        <v>0</v>
      </c>
      <c r="H1601">
        <f>IF(COUNTIFS('United Data'!$A$3:$A$3390,H$1,'United Data'!$C$3:$C$3390,$A1601,'United Data'!$B$3:$B$3390,"&lt;&gt;Off-street")&gt;0,1,0)</f>
        <v>0</v>
      </c>
      <c r="I1601">
        <f>IF(COUNTIFS('United Data'!$A$3:$A$3390,I$1,'United Data'!$C$3:$C$3390,$A1601,'United Data'!$B$3:$B$3390,"&lt;&gt;Off-street")&gt;0,1,0)</f>
        <v>0</v>
      </c>
      <c r="J1601">
        <f>IF(COUNTIFS('United Data'!$A$3:$A$3390,J$1,'United Data'!$C$3:$C$3390,$A1601,'United Data'!$B$3:$B$3390,"&lt;&gt;Off-street")&gt;0,1,0)</f>
        <v>0</v>
      </c>
      <c r="K1601">
        <f>IF(COUNTIFS('United Data'!$A$3:$A$3390,K$1,'United Data'!$C$3:$C$3390,$A1601,'United Data'!$B$3:$B$3390,"&lt;&gt;Off-street")&gt;0,1,0)</f>
        <v>0</v>
      </c>
      <c r="L1601">
        <f>IF(COUNTIFS('United Data'!$A$3:$A$3390,L$1,'United Data'!$C$3:$C$3390,$A1601,'United Data'!$B$3:$B$3390,"&lt;&gt;Off-street")&gt;0,1,0)</f>
        <v>0</v>
      </c>
      <c r="M1601">
        <f>IF(COUNTIFS('United Data'!$A$3:$A$3390,M$1,'United Data'!$C$3:$C$3390,$A1601,'United Data'!$B$3:$B$3390,"&lt;&gt;Off-street")&gt;0,1,0)</f>
        <v>0</v>
      </c>
      <c r="N1601">
        <f>IF(COUNTIFS('United Data'!$A$3:$A$3390,N$1,'United Data'!$C$3:$C$3390,$A1601,'United Data'!$B$3:$B$3390,"&lt;&gt;Off-street")&gt;0,1,0)</f>
        <v>0</v>
      </c>
      <c r="O1601">
        <f>IF(COUNTIFS('United Data'!$A$3:$A$3390,O$1,'United Data'!$C$3:$C$3390,$A1601,'United Data'!$B$3:$B$3390,"&lt;&gt;Off-street")&gt;0,1,0)</f>
        <v>0</v>
      </c>
      <c r="P1601">
        <f>IF(COUNTIFS('United Data'!$A$3:$A$3390,P$1,'United Data'!$C$3:$C$3390,$A1601,'United Data'!$B$3:$B$3390,"&lt;&gt;Off-street")&gt;0,1,0)</f>
        <v>0</v>
      </c>
      <c r="Q1601">
        <f>IF(COUNTIFS('United Data'!$A$3:$A$3390,Q$1,'United Data'!$C$3:$C$3390,$A1601,'United Data'!$B$3:$B$3390,"&lt;&gt;Off-street")&gt;0,1,0)</f>
        <v>0</v>
      </c>
      <c r="R1601">
        <f>IF(COUNTIFS('United Data'!$A$3:$A$3390,R$1,'United Data'!$C$3:$C$3390,$A1601,'United Data'!$B$3:$B$3390,"&lt;&gt;Off-street")&gt;0,1,0)</f>
        <v>0</v>
      </c>
      <c r="S1601">
        <f t="shared" si="48"/>
        <v>1</v>
      </c>
      <c r="T1601">
        <f t="shared" si="49"/>
        <v>1</v>
      </c>
    </row>
    <row r="1602" spans="1:20" x14ac:dyDescent="0.2">
      <c r="A1602" t="s">
        <v>1882</v>
      </c>
      <c r="B1602">
        <f>IF(COUNTIFS('United Data'!$A$3:$A$3390,B$1,'United Data'!$C$3:$C$3390,$A1602,'United Data'!$B$3:$B$3390,"&lt;&gt;Off-street")&gt;0,1,0)</f>
        <v>0</v>
      </c>
      <c r="C1602">
        <f>IF(COUNTIFS('United Data'!$A$3:$A$3390,C$1,'United Data'!$C$3:$C$3390,$A1602,'United Data'!$B$3:$B$3390,"&lt;&gt;Off-street")&gt;0,1,0)</f>
        <v>0</v>
      </c>
      <c r="D1602">
        <f>IF(COUNTIFS('United Data'!$A$3:$A$3390,D$1,'United Data'!$C$3:$C$3390,$A1602,'United Data'!$B$3:$B$3390,"&lt;&gt;Off-street")&gt;0,1,0)</f>
        <v>1</v>
      </c>
      <c r="E1602">
        <f>IF(COUNTIFS('United Data'!$A$3:$A$3390,E$1,'United Data'!$C$3:$C$3390,$A1602,'United Data'!$B$3:$B$3390,"&lt;&gt;Off-street")&gt;0,1,0)</f>
        <v>0</v>
      </c>
      <c r="F1602">
        <f>IF(COUNTIFS('United Data'!$A$3:$A$3390,F$1,'United Data'!$C$3:$C$3390,$A1602,'United Data'!$B$3:$B$3390,"&lt;&gt;Off-street")&gt;0,1,0)</f>
        <v>1</v>
      </c>
      <c r="G1602">
        <f>IF(COUNTIFS('United Data'!$A$3:$A$3390,G$1,'United Data'!$C$3:$C$3390,$A1602,'United Data'!$B$3:$B$3390,"&lt;&gt;Off-street")&gt;0,1,0)</f>
        <v>0</v>
      </c>
      <c r="H1602">
        <f>IF(COUNTIFS('United Data'!$A$3:$A$3390,H$1,'United Data'!$C$3:$C$3390,$A1602,'United Data'!$B$3:$B$3390,"&lt;&gt;Off-street")&gt;0,1,0)</f>
        <v>0</v>
      </c>
      <c r="I1602">
        <f>IF(COUNTIFS('United Data'!$A$3:$A$3390,I$1,'United Data'!$C$3:$C$3390,$A1602,'United Data'!$B$3:$B$3390,"&lt;&gt;Off-street")&gt;0,1,0)</f>
        <v>0</v>
      </c>
      <c r="J1602">
        <f>IF(COUNTIFS('United Data'!$A$3:$A$3390,J$1,'United Data'!$C$3:$C$3390,$A1602,'United Data'!$B$3:$B$3390,"&lt;&gt;Off-street")&gt;0,1,0)</f>
        <v>0</v>
      </c>
      <c r="K1602">
        <f>IF(COUNTIFS('United Data'!$A$3:$A$3390,K$1,'United Data'!$C$3:$C$3390,$A1602,'United Data'!$B$3:$B$3390,"&lt;&gt;Off-street")&gt;0,1,0)</f>
        <v>0</v>
      </c>
      <c r="L1602">
        <f>IF(COUNTIFS('United Data'!$A$3:$A$3390,L$1,'United Data'!$C$3:$C$3390,$A1602,'United Data'!$B$3:$B$3390,"&lt;&gt;Off-street")&gt;0,1,0)</f>
        <v>0</v>
      </c>
      <c r="M1602">
        <f>IF(COUNTIFS('United Data'!$A$3:$A$3390,M$1,'United Data'!$C$3:$C$3390,$A1602,'United Data'!$B$3:$B$3390,"&lt;&gt;Off-street")&gt;0,1,0)</f>
        <v>0</v>
      </c>
      <c r="N1602">
        <f>IF(COUNTIFS('United Data'!$A$3:$A$3390,N$1,'United Data'!$C$3:$C$3390,$A1602,'United Data'!$B$3:$B$3390,"&lt;&gt;Off-street")&gt;0,1,0)</f>
        <v>0</v>
      </c>
      <c r="O1602">
        <f>IF(COUNTIFS('United Data'!$A$3:$A$3390,O$1,'United Data'!$C$3:$C$3390,$A1602,'United Data'!$B$3:$B$3390,"&lt;&gt;Off-street")&gt;0,1,0)</f>
        <v>1</v>
      </c>
      <c r="P1602">
        <f>IF(COUNTIFS('United Data'!$A$3:$A$3390,P$1,'United Data'!$C$3:$C$3390,$A1602,'United Data'!$B$3:$B$3390,"&lt;&gt;Off-street")&gt;0,1,0)</f>
        <v>1</v>
      </c>
      <c r="Q1602">
        <f>IF(COUNTIFS('United Data'!$A$3:$A$3390,Q$1,'United Data'!$C$3:$C$3390,$A1602,'United Data'!$B$3:$B$3390,"&lt;&gt;Off-street")&gt;0,1,0)</f>
        <v>0</v>
      </c>
      <c r="R1602">
        <f>IF(COUNTIFS('United Data'!$A$3:$A$3390,R$1,'United Data'!$C$3:$C$3390,$A1602,'United Data'!$B$3:$B$3390,"&lt;&gt;Off-street")&gt;0,1,0)</f>
        <v>0</v>
      </c>
      <c r="S1602">
        <f t="shared" ref="S1602:S1665" si="50">SUM(B1602:R1602)</f>
        <v>4</v>
      </c>
      <c r="T1602">
        <f t="shared" ref="T1602:T1665" si="51">B1602+SUMPRODUCT(--(C1602:R1602&gt;B1602:Q1602))</f>
        <v>3</v>
      </c>
    </row>
    <row r="1603" spans="1:20" x14ac:dyDescent="0.2">
      <c r="A1603" t="s">
        <v>1883</v>
      </c>
      <c r="B1603">
        <f>IF(COUNTIFS('United Data'!$A$3:$A$3390,B$1,'United Data'!$C$3:$C$3390,$A1603,'United Data'!$B$3:$B$3390,"&lt;&gt;Off-street")&gt;0,1,0)</f>
        <v>0</v>
      </c>
      <c r="C1603">
        <f>IF(COUNTIFS('United Data'!$A$3:$A$3390,C$1,'United Data'!$C$3:$C$3390,$A1603,'United Data'!$B$3:$B$3390,"&lt;&gt;Off-street")&gt;0,1,0)</f>
        <v>0</v>
      </c>
      <c r="D1603">
        <f>IF(COUNTIFS('United Data'!$A$3:$A$3390,D$1,'United Data'!$C$3:$C$3390,$A1603,'United Data'!$B$3:$B$3390,"&lt;&gt;Off-street")&gt;0,1,0)</f>
        <v>0</v>
      </c>
      <c r="E1603">
        <f>IF(COUNTIFS('United Data'!$A$3:$A$3390,E$1,'United Data'!$C$3:$C$3390,$A1603,'United Data'!$B$3:$B$3390,"&lt;&gt;Off-street")&gt;0,1,0)</f>
        <v>1</v>
      </c>
      <c r="F1603">
        <f>IF(COUNTIFS('United Data'!$A$3:$A$3390,F$1,'United Data'!$C$3:$C$3390,$A1603,'United Data'!$B$3:$B$3390,"&lt;&gt;Off-street")&gt;0,1,0)</f>
        <v>0</v>
      </c>
      <c r="G1603">
        <f>IF(COUNTIFS('United Data'!$A$3:$A$3390,G$1,'United Data'!$C$3:$C$3390,$A1603,'United Data'!$B$3:$B$3390,"&lt;&gt;Off-street")&gt;0,1,0)</f>
        <v>0</v>
      </c>
      <c r="H1603">
        <f>IF(COUNTIFS('United Data'!$A$3:$A$3390,H$1,'United Data'!$C$3:$C$3390,$A1603,'United Data'!$B$3:$B$3390,"&lt;&gt;Off-street")&gt;0,1,0)</f>
        <v>0</v>
      </c>
      <c r="I1603">
        <f>IF(COUNTIFS('United Data'!$A$3:$A$3390,I$1,'United Data'!$C$3:$C$3390,$A1603,'United Data'!$B$3:$B$3390,"&lt;&gt;Off-street")&gt;0,1,0)</f>
        <v>0</v>
      </c>
      <c r="J1603">
        <f>IF(COUNTIFS('United Data'!$A$3:$A$3390,J$1,'United Data'!$C$3:$C$3390,$A1603,'United Data'!$B$3:$B$3390,"&lt;&gt;Off-street")&gt;0,1,0)</f>
        <v>0</v>
      </c>
      <c r="K1603">
        <f>IF(COUNTIFS('United Data'!$A$3:$A$3390,K$1,'United Data'!$C$3:$C$3390,$A1603,'United Data'!$B$3:$B$3390,"&lt;&gt;Off-street")&gt;0,1,0)</f>
        <v>0</v>
      </c>
      <c r="L1603">
        <f>IF(COUNTIFS('United Data'!$A$3:$A$3390,L$1,'United Data'!$C$3:$C$3390,$A1603,'United Data'!$B$3:$B$3390,"&lt;&gt;Off-street")&gt;0,1,0)</f>
        <v>0</v>
      </c>
      <c r="M1603">
        <f>IF(COUNTIFS('United Data'!$A$3:$A$3390,M$1,'United Data'!$C$3:$C$3390,$A1603,'United Data'!$B$3:$B$3390,"&lt;&gt;Off-street")&gt;0,1,0)</f>
        <v>0</v>
      </c>
      <c r="N1603">
        <f>IF(COUNTIFS('United Data'!$A$3:$A$3390,N$1,'United Data'!$C$3:$C$3390,$A1603,'United Data'!$B$3:$B$3390,"&lt;&gt;Off-street")&gt;0,1,0)</f>
        <v>0</v>
      </c>
      <c r="O1603">
        <f>IF(COUNTIFS('United Data'!$A$3:$A$3390,O$1,'United Data'!$C$3:$C$3390,$A1603,'United Data'!$B$3:$B$3390,"&lt;&gt;Off-street")&gt;0,1,0)</f>
        <v>0</v>
      </c>
      <c r="P1603">
        <f>IF(COUNTIFS('United Data'!$A$3:$A$3390,P$1,'United Data'!$C$3:$C$3390,$A1603,'United Data'!$B$3:$B$3390,"&lt;&gt;Off-street")&gt;0,1,0)</f>
        <v>0</v>
      </c>
      <c r="Q1603">
        <f>IF(COUNTIFS('United Data'!$A$3:$A$3390,Q$1,'United Data'!$C$3:$C$3390,$A1603,'United Data'!$B$3:$B$3390,"&lt;&gt;Off-street")&gt;0,1,0)</f>
        <v>0</v>
      </c>
      <c r="R1603">
        <f>IF(COUNTIFS('United Data'!$A$3:$A$3390,R$1,'United Data'!$C$3:$C$3390,$A1603,'United Data'!$B$3:$B$3390,"&lt;&gt;Off-street")&gt;0,1,0)</f>
        <v>0</v>
      </c>
      <c r="S1603">
        <f t="shared" si="50"/>
        <v>1</v>
      </c>
      <c r="T1603">
        <f t="shared" si="51"/>
        <v>1</v>
      </c>
    </row>
    <row r="1604" spans="1:20" x14ac:dyDescent="0.2">
      <c r="A1604" t="s">
        <v>1885</v>
      </c>
      <c r="B1604">
        <f>IF(COUNTIFS('United Data'!$A$3:$A$3390,B$1,'United Data'!$C$3:$C$3390,$A1604,'United Data'!$B$3:$B$3390,"&lt;&gt;Off-street")&gt;0,1,0)</f>
        <v>0</v>
      </c>
      <c r="C1604">
        <f>IF(COUNTIFS('United Data'!$A$3:$A$3390,C$1,'United Data'!$C$3:$C$3390,$A1604,'United Data'!$B$3:$B$3390,"&lt;&gt;Off-street")&gt;0,1,0)</f>
        <v>0</v>
      </c>
      <c r="D1604">
        <f>IF(COUNTIFS('United Data'!$A$3:$A$3390,D$1,'United Data'!$C$3:$C$3390,$A1604,'United Data'!$B$3:$B$3390,"&lt;&gt;Off-street")&gt;0,1,0)</f>
        <v>0</v>
      </c>
      <c r="E1604">
        <f>IF(COUNTIFS('United Data'!$A$3:$A$3390,E$1,'United Data'!$C$3:$C$3390,$A1604,'United Data'!$B$3:$B$3390,"&lt;&gt;Off-street")&gt;0,1,0)</f>
        <v>0</v>
      </c>
      <c r="F1604">
        <f>IF(COUNTIFS('United Data'!$A$3:$A$3390,F$1,'United Data'!$C$3:$C$3390,$A1604,'United Data'!$B$3:$B$3390,"&lt;&gt;Off-street")&gt;0,1,0)</f>
        <v>1</v>
      </c>
      <c r="G1604">
        <f>IF(COUNTIFS('United Data'!$A$3:$A$3390,G$1,'United Data'!$C$3:$C$3390,$A1604,'United Data'!$B$3:$B$3390,"&lt;&gt;Off-street")&gt;0,1,0)</f>
        <v>0</v>
      </c>
      <c r="H1604">
        <f>IF(COUNTIFS('United Data'!$A$3:$A$3390,H$1,'United Data'!$C$3:$C$3390,$A1604,'United Data'!$B$3:$B$3390,"&lt;&gt;Off-street")&gt;0,1,0)</f>
        <v>0</v>
      </c>
      <c r="I1604">
        <f>IF(COUNTIFS('United Data'!$A$3:$A$3390,I$1,'United Data'!$C$3:$C$3390,$A1604,'United Data'!$B$3:$B$3390,"&lt;&gt;Off-street")&gt;0,1,0)</f>
        <v>0</v>
      </c>
      <c r="J1604">
        <f>IF(COUNTIFS('United Data'!$A$3:$A$3390,J$1,'United Data'!$C$3:$C$3390,$A1604,'United Data'!$B$3:$B$3390,"&lt;&gt;Off-street")&gt;0,1,0)</f>
        <v>0</v>
      </c>
      <c r="K1604">
        <f>IF(COUNTIFS('United Data'!$A$3:$A$3390,K$1,'United Data'!$C$3:$C$3390,$A1604,'United Data'!$B$3:$B$3390,"&lt;&gt;Off-street")&gt;0,1,0)</f>
        <v>0</v>
      </c>
      <c r="L1604">
        <f>IF(COUNTIFS('United Data'!$A$3:$A$3390,L$1,'United Data'!$C$3:$C$3390,$A1604,'United Data'!$B$3:$B$3390,"&lt;&gt;Off-street")&gt;0,1,0)</f>
        <v>0</v>
      </c>
      <c r="M1604">
        <f>IF(COUNTIFS('United Data'!$A$3:$A$3390,M$1,'United Data'!$C$3:$C$3390,$A1604,'United Data'!$B$3:$B$3390,"&lt;&gt;Off-street")&gt;0,1,0)</f>
        <v>0</v>
      </c>
      <c r="N1604">
        <f>IF(COUNTIFS('United Data'!$A$3:$A$3390,N$1,'United Data'!$C$3:$C$3390,$A1604,'United Data'!$B$3:$B$3390,"&lt;&gt;Off-street")&gt;0,1,0)</f>
        <v>0</v>
      </c>
      <c r="O1604">
        <f>IF(COUNTIFS('United Data'!$A$3:$A$3390,O$1,'United Data'!$C$3:$C$3390,$A1604,'United Data'!$B$3:$B$3390,"&lt;&gt;Off-street")&gt;0,1,0)</f>
        <v>0</v>
      </c>
      <c r="P1604">
        <f>IF(COUNTIFS('United Data'!$A$3:$A$3390,P$1,'United Data'!$C$3:$C$3390,$A1604,'United Data'!$B$3:$B$3390,"&lt;&gt;Off-street")&gt;0,1,0)</f>
        <v>0</v>
      </c>
      <c r="Q1604">
        <f>IF(COUNTIFS('United Data'!$A$3:$A$3390,Q$1,'United Data'!$C$3:$C$3390,$A1604,'United Data'!$B$3:$B$3390,"&lt;&gt;Off-street")&gt;0,1,0)</f>
        <v>0</v>
      </c>
      <c r="R1604">
        <f>IF(COUNTIFS('United Data'!$A$3:$A$3390,R$1,'United Data'!$C$3:$C$3390,$A1604,'United Data'!$B$3:$B$3390,"&lt;&gt;Off-street")&gt;0,1,0)</f>
        <v>0</v>
      </c>
      <c r="S1604">
        <f t="shared" si="50"/>
        <v>1</v>
      </c>
      <c r="T1604">
        <f t="shared" si="51"/>
        <v>1</v>
      </c>
    </row>
    <row r="1605" spans="1:20" x14ac:dyDescent="0.2">
      <c r="A1605" t="s">
        <v>1886</v>
      </c>
      <c r="B1605">
        <f>IF(COUNTIFS('United Data'!$A$3:$A$3390,B$1,'United Data'!$C$3:$C$3390,$A1605,'United Data'!$B$3:$B$3390,"&lt;&gt;Off-street")&gt;0,1,0)</f>
        <v>0</v>
      </c>
      <c r="C1605">
        <f>IF(COUNTIFS('United Data'!$A$3:$A$3390,C$1,'United Data'!$C$3:$C$3390,$A1605,'United Data'!$B$3:$B$3390,"&lt;&gt;Off-street")&gt;0,1,0)</f>
        <v>0</v>
      </c>
      <c r="D1605">
        <f>IF(COUNTIFS('United Data'!$A$3:$A$3390,D$1,'United Data'!$C$3:$C$3390,$A1605,'United Data'!$B$3:$B$3390,"&lt;&gt;Off-street")&gt;0,1,0)</f>
        <v>0</v>
      </c>
      <c r="E1605">
        <f>IF(COUNTIFS('United Data'!$A$3:$A$3390,E$1,'United Data'!$C$3:$C$3390,$A1605,'United Data'!$B$3:$B$3390,"&lt;&gt;Off-street")&gt;0,1,0)</f>
        <v>0</v>
      </c>
      <c r="F1605">
        <f>IF(COUNTIFS('United Data'!$A$3:$A$3390,F$1,'United Data'!$C$3:$C$3390,$A1605,'United Data'!$B$3:$B$3390,"&lt;&gt;Off-street")&gt;0,1,0)</f>
        <v>1</v>
      </c>
      <c r="G1605">
        <f>IF(COUNTIFS('United Data'!$A$3:$A$3390,G$1,'United Data'!$C$3:$C$3390,$A1605,'United Data'!$B$3:$B$3390,"&lt;&gt;Off-street")&gt;0,1,0)</f>
        <v>0</v>
      </c>
      <c r="H1605">
        <f>IF(COUNTIFS('United Data'!$A$3:$A$3390,H$1,'United Data'!$C$3:$C$3390,$A1605,'United Data'!$B$3:$B$3390,"&lt;&gt;Off-street")&gt;0,1,0)</f>
        <v>0</v>
      </c>
      <c r="I1605">
        <f>IF(COUNTIFS('United Data'!$A$3:$A$3390,I$1,'United Data'!$C$3:$C$3390,$A1605,'United Data'!$B$3:$B$3390,"&lt;&gt;Off-street")&gt;0,1,0)</f>
        <v>0</v>
      </c>
      <c r="J1605">
        <f>IF(COUNTIFS('United Data'!$A$3:$A$3390,J$1,'United Data'!$C$3:$C$3390,$A1605,'United Data'!$B$3:$B$3390,"&lt;&gt;Off-street")&gt;0,1,0)</f>
        <v>0</v>
      </c>
      <c r="K1605">
        <f>IF(COUNTIFS('United Data'!$A$3:$A$3390,K$1,'United Data'!$C$3:$C$3390,$A1605,'United Data'!$B$3:$B$3390,"&lt;&gt;Off-street")&gt;0,1,0)</f>
        <v>0</v>
      </c>
      <c r="L1605">
        <f>IF(COUNTIFS('United Data'!$A$3:$A$3390,L$1,'United Data'!$C$3:$C$3390,$A1605,'United Data'!$B$3:$B$3390,"&lt;&gt;Off-street")&gt;0,1,0)</f>
        <v>0</v>
      </c>
      <c r="M1605">
        <f>IF(COUNTIFS('United Data'!$A$3:$A$3390,M$1,'United Data'!$C$3:$C$3390,$A1605,'United Data'!$B$3:$B$3390,"&lt;&gt;Off-street")&gt;0,1,0)</f>
        <v>0</v>
      </c>
      <c r="N1605">
        <f>IF(COUNTIFS('United Data'!$A$3:$A$3390,N$1,'United Data'!$C$3:$C$3390,$A1605,'United Data'!$B$3:$B$3390,"&lt;&gt;Off-street")&gt;0,1,0)</f>
        <v>0</v>
      </c>
      <c r="O1605">
        <f>IF(COUNTIFS('United Data'!$A$3:$A$3390,O$1,'United Data'!$C$3:$C$3390,$A1605,'United Data'!$B$3:$B$3390,"&lt;&gt;Off-street")&gt;0,1,0)</f>
        <v>0</v>
      </c>
      <c r="P1605">
        <f>IF(COUNTIFS('United Data'!$A$3:$A$3390,P$1,'United Data'!$C$3:$C$3390,$A1605,'United Data'!$B$3:$B$3390,"&lt;&gt;Off-street")&gt;0,1,0)</f>
        <v>0</v>
      </c>
      <c r="Q1605">
        <f>IF(COUNTIFS('United Data'!$A$3:$A$3390,Q$1,'United Data'!$C$3:$C$3390,$A1605,'United Data'!$B$3:$B$3390,"&lt;&gt;Off-street")&gt;0,1,0)</f>
        <v>0</v>
      </c>
      <c r="R1605">
        <f>IF(COUNTIFS('United Data'!$A$3:$A$3390,R$1,'United Data'!$C$3:$C$3390,$A1605,'United Data'!$B$3:$B$3390,"&lt;&gt;Off-street")&gt;0,1,0)</f>
        <v>0</v>
      </c>
      <c r="S1605">
        <f t="shared" si="50"/>
        <v>1</v>
      </c>
      <c r="T1605">
        <f t="shared" si="51"/>
        <v>1</v>
      </c>
    </row>
    <row r="1606" spans="1:20" x14ac:dyDescent="0.2">
      <c r="A1606" t="s">
        <v>1888</v>
      </c>
      <c r="B1606">
        <f>IF(COUNTIFS('United Data'!$A$3:$A$3390,B$1,'United Data'!$C$3:$C$3390,$A1606,'United Data'!$B$3:$B$3390,"&lt;&gt;Off-street")&gt;0,1,0)</f>
        <v>0</v>
      </c>
      <c r="C1606">
        <f>IF(COUNTIFS('United Data'!$A$3:$A$3390,C$1,'United Data'!$C$3:$C$3390,$A1606,'United Data'!$B$3:$B$3390,"&lt;&gt;Off-street")&gt;0,1,0)</f>
        <v>0</v>
      </c>
      <c r="D1606">
        <f>IF(COUNTIFS('United Data'!$A$3:$A$3390,D$1,'United Data'!$C$3:$C$3390,$A1606,'United Data'!$B$3:$B$3390,"&lt;&gt;Off-street")&gt;0,1,0)</f>
        <v>0</v>
      </c>
      <c r="E1606">
        <f>IF(COUNTIFS('United Data'!$A$3:$A$3390,E$1,'United Data'!$C$3:$C$3390,$A1606,'United Data'!$B$3:$B$3390,"&lt;&gt;Off-street")&gt;0,1,0)</f>
        <v>0</v>
      </c>
      <c r="F1606">
        <f>IF(COUNTIFS('United Data'!$A$3:$A$3390,F$1,'United Data'!$C$3:$C$3390,$A1606,'United Data'!$B$3:$B$3390,"&lt;&gt;Off-street")&gt;0,1,0)</f>
        <v>1</v>
      </c>
      <c r="G1606">
        <f>IF(COUNTIFS('United Data'!$A$3:$A$3390,G$1,'United Data'!$C$3:$C$3390,$A1606,'United Data'!$B$3:$B$3390,"&lt;&gt;Off-street")&gt;0,1,0)</f>
        <v>1</v>
      </c>
      <c r="H1606">
        <f>IF(COUNTIFS('United Data'!$A$3:$A$3390,H$1,'United Data'!$C$3:$C$3390,$A1606,'United Data'!$B$3:$B$3390,"&lt;&gt;Off-street")&gt;0,1,0)</f>
        <v>0</v>
      </c>
      <c r="I1606">
        <f>IF(COUNTIFS('United Data'!$A$3:$A$3390,I$1,'United Data'!$C$3:$C$3390,$A1606,'United Data'!$B$3:$B$3390,"&lt;&gt;Off-street")&gt;0,1,0)</f>
        <v>1</v>
      </c>
      <c r="J1606">
        <f>IF(COUNTIFS('United Data'!$A$3:$A$3390,J$1,'United Data'!$C$3:$C$3390,$A1606,'United Data'!$B$3:$B$3390,"&lt;&gt;Off-street")&gt;0,1,0)</f>
        <v>0</v>
      </c>
      <c r="K1606">
        <f>IF(COUNTIFS('United Data'!$A$3:$A$3390,K$1,'United Data'!$C$3:$C$3390,$A1606,'United Data'!$B$3:$B$3390,"&lt;&gt;Off-street")&gt;0,1,0)</f>
        <v>0</v>
      </c>
      <c r="L1606">
        <f>IF(COUNTIFS('United Data'!$A$3:$A$3390,L$1,'United Data'!$C$3:$C$3390,$A1606,'United Data'!$B$3:$B$3390,"&lt;&gt;Off-street")&gt;0,1,0)</f>
        <v>1</v>
      </c>
      <c r="M1606">
        <f>IF(COUNTIFS('United Data'!$A$3:$A$3390,M$1,'United Data'!$C$3:$C$3390,$A1606,'United Data'!$B$3:$B$3390,"&lt;&gt;Off-street")&gt;0,1,0)</f>
        <v>0</v>
      </c>
      <c r="N1606">
        <f>IF(COUNTIFS('United Data'!$A$3:$A$3390,N$1,'United Data'!$C$3:$C$3390,$A1606,'United Data'!$B$3:$B$3390,"&lt;&gt;Off-street")&gt;0,1,0)</f>
        <v>0</v>
      </c>
      <c r="O1606">
        <f>IF(COUNTIFS('United Data'!$A$3:$A$3390,O$1,'United Data'!$C$3:$C$3390,$A1606,'United Data'!$B$3:$B$3390,"&lt;&gt;Off-street")&gt;0,1,0)</f>
        <v>0</v>
      </c>
      <c r="P1606">
        <f>IF(COUNTIFS('United Data'!$A$3:$A$3390,P$1,'United Data'!$C$3:$C$3390,$A1606,'United Data'!$B$3:$B$3390,"&lt;&gt;Off-street")&gt;0,1,0)</f>
        <v>0</v>
      </c>
      <c r="Q1606">
        <f>IF(COUNTIFS('United Data'!$A$3:$A$3390,Q$1,'United Data'!$C$3:$C$3390,$A1606,'United Data'!$B$3:$B$3390,"&lt;&gt;Off-street")&gt;0,1,0)</f>
        <v>0</v>
      </c>
      <c r="R1606">
        <f>IF(COUNTIFS('United Data'!$A$3:$A$3390,R$1,'United Data'!$C$3:$C$3390,$A1606,'United Data'!$B$3:$B$3390,"&lt;&gt;Off-street")&gt;0,1,0)</f>
        <v>1</v>
      </c>
      <c r="S1606">
        <f t="shared" si="50"/>
        <v>5</v>
      </c>
      <c r="T1606">
        <f t="shared" si="51"/>
        <v>4</v>
      </c>
    </row>
    <row r="1607" spans="1:20" x14ac:dyDescent="0.2">
      <c r="A1607" t="s">
        <v>1889</v>
      </c>
      <c r="B1607">
        <f>IF(COUNTIFS('United Data'!$A$3:$A$3390,B$1,'United Data'!$C$3:$C$3390,$A1607,'United Data'!$B$3:$B$3390,"&lt;&gt;Off-street")&gt;0,1,0)</f>
        <v>0</v>
      </c>
      <c r="C1607">
        <f>IF(COUNTIFS('United Data'!$A$3:$A$3390,C$1,'United Data'!$C$3:$C$3390,$A1607,'United Data'!$B$3:$B$3390,"&lt;&gt;Off-street")&gt;0,1,0)</f>
        <v>0</v>
      </c>
      <c r="D1607">
        <f>IF(COUNTIFS('United Data'!$A$3:$A$3390,D$1,'United Data'!$C$3:$C$3390,$A1607,'United Data'!$B$3:$B$3390,"&lt;&gt;Off-street")&gt;0,1,0)</f>
        <v>0</v>
      </c>
      <c r="E1607">
        <f>IF(COUNTIFS('United Data'!$A$3:$A$3390,E$1,'United Data'!$C$3:$C$3390,$A1607,'United Data'!$B$3:$B$3390,"&lt;&gt;Off-street")&gt;0,1,0)</f>
        <v>0</v>
      </c>
      <c r="F1607">
        <f>IF(COUNTIFS('United Data'!$A$3:$A$3390,F$1,'United Data'!$C$3:$C$3390,$A1607,'United Data'!$B$3:$B$3390,"&lt;&gt;Off-street")&gt;0,1,0)</f>
        <v>0</v>
      </c>
      <c r="G1607">
        <f>IF(COUNTIFS('United Data'!$A$3:$A$3390,G$1,'United Data'!$C$3:$C$3390,$A1607,'United Data'!$B$3:$B$3390,"&lt;&gt;Off-street")&gt;0,1,0)</f>
        <v>0</v>
      </c>
      <c r="H1607">
        <f>IF(COUNTIFS('United Data'!$A$3:$A$3390,H$1,'United Data'!$C$3:$C$3390,$A1607,'United Data'!$B$3:$B$3390,"&lt;&gt;Off-street")&gt;0,1,0)</f>
        <v>0</v>
      </c>
      <c r="I1607">
        <f>IF(COUNTIFS('United Data'!$A$3:$A$3390,I$1,'United Data'!$C$3:$C$3390,$A1607,'United Data'!$B$3:$B$3390,"&lt;&gt;Off-street")&gt;0,1,0)</f>
        <v>1</v>
      </c>
      <c r="J1607">
        <f>IF(COUNTIFS('United Data'!$A$3:$A$3390,J$1,'United Data'!$C$3:$C$3390,$A1607,'United Data'!$B$3:$B$3390,"&lt;&gt;Off-street")&gt;0,1,0)</f>
        <v>0</v>
      </c>
      <c r="K1607">
        <f>IF(COUNTIFS('United Data'!$A$3:$A$3390,K$1,'United Data'!$C$3:$C$3390,$A1607,'United Data'!$B$3:$B$3390,"&lt;&gt;Off-street")&gt;0,1,0)</f>
        <v>0</v>
      </c>
      <c r="L1607">
        <f>IF(COUNTIFS('United Data'!$A$3:$A$3390,L$1,'United Data'!$C$3:$C$3390,$A1607,'United Data'!$B$3:$B$3390,"&lt;&gt;Off-street")&gt;0,1,0)</f>
        <v>0</v>
      </c>
      <c r="M1607">
        <f>IF(COUNTIFS('United Data'!$A$3:$A$3390,M$1,'United Data'!$C$3:$C$3390,$A1607,'United Data'!$B$3:$B$3390,"&lt;&gt;Off-street")&gt;0,1,0)</f>
        <v>0</v>
      </c>
      <c r="N1607">
        <f>IF(COUNTIFS('United Data'!$A$3:$A$3390,N$1,'United Data'!$C$3:$C$3390,$A1607,'United Data'!$B$3:$B$3390,"&lt;&gt;Off-street")&gt;0,1,0)</f>
        <v>0</v>
      </c>
      <c r="O1607">
        <f>IF(COUNTIFS('United Data'!$A$3:$A$3390,O$1,'United Data'!$C$3:$C$3390,$A1607,'United Data'!$B$3:$B$3390,"&lt;&gt;Off-street")&gt;0,1,0)</f>
        <v>0</v>
      </c>
      <c r="P1607">
        <f>IF(COUNTIFS('United Data'!$A$3:$A$3390,P$1,'United Data'!$C$3:$C$3390,$A1607,'United Data'!$B$3:$B$3390,"&lt;&gt;Off-street")&gt;0,1,0)</f>
        <v>0</v>
      </c>
      <c r="Q1607">
        <f>IF(COUNTIFS('United Data'!$A$3:$A$3390,Q$1,'United Data'!$C$3:$C$3390,$A1607,'United Data'!$B$3:$B$3390,"&lt;&gt;Off-street")&gt;0,1,0)</f>
        <v>0</v>
      </c>
      <c r="R1607">
        <f>IF(COUNTIFS('United Data'!$A$3:$A$3390,R$1,'United Data'!$C$3:$C$3390,$A1607,'United Data'!$B$3:$B$3390,"&lt;&gt;Off-street")&gt;0,1,0)</f>
        <v>0</v>
      </c>
      <c r="S1607">
        <f t="shared" si="50"/>
        <v>1</v>
      </c>
      <c r="T1607">
        <f t="shared" si="51"/>
        <v>1</v>
      </c>
    </row>
    <row r="1608" spans="1:20" x14ac:dyDescent="0.2">
      <c r="A1608" t="s">
        <v>1890</v>
      </c>
      <c r="B1608">
        <f>IF(COUNTIFS('United Data'!$A$3:$A$3390,B$1,'United Data'!$C$3:$C$3390,$A1608,'United Data'!$B$3:$B$3390,"&lt;&gt;Off-street")&gt;0,1,0)</f>
        <v>0</v>
      </c>
      <c r="C1608">
        <f>IF(COUNTIFS('United Data'!$A$3:$A$3390,C$1,'United Data'!$C$3:$C$3390,$A1608,'United Data'!$B$3:$B$3390,"&lt;&gt;Off-street")&gt;0,1,0)</f>
        <v>0</v>
      </c>
      <c r="D1608">
        <f>IF(COUNTIFS('United Data'!$A$3:$A$3390,D$1,'United Data'!$C$3:$C$3390,$A1608,'United Data'!$B$3:$B$3390,"&lt;&gt;Off-street")&gt;0,1,0)</f>
        <v>0</v>
      </c>
      <c r="E1608">
        <f>IF(COUNTIFS('United Data'!$A$3:$A$3390,E$1,'United Data'!$C$3:$C$3390,$A1608,'United Data'!$B$3:$B$3390,"&lt;&gt;Off-street")&gt;0,1,0)</f>
        <v>0</v>
      </c>
      <c r="F1608">
        <f>IF(COUNTIFS('United Data'!$A$3:$A$3390,F$1,'United Data'!$C$3:$C$3390,$A1608,'United Data'!$B$3:$B$3390,"&lt;&gt;Off-street")&gt;0,1,0)</f>
        <v>0</v>
      </c>
      <c r="G1608">
        <f>IF(COUNTIFS('United Data'!$A$3:$A$3390,G$1,'United Data'!$C$3:$C$3390,$A1608,'United Data'!$B$3:$B$3390,"&lt;&gt;Off-street")&gt;0,1,0)</f>
        <v>0</v>
      </c>
      <c r="H1608">
        <f>IF(COUNTIFS('United Data'!$A$3:$A$3390,H$1,'United Data'!$C$3:$C$3390,$A1608,'United Data'!$B$3:$B$3390,"&lt;&gt;Off-street")&gt;0,1,0)</f>
        <v>0</v>
      </c>
      <c r="I1608">
        <f>IF(COUNTIFS('United Data'!$A$3:$A$3390,I$1,'United Data'!$C$3:$C$3390,$A1608,'United Data'!$B$3:$B$3390,"&lt;&gt;Off-street")&gt;0,1,0)</f>
        <v>0</v>
      </c>
      <c r="J1608">
        <f>IF(COUNTIFS('United Data'!$A$3:$A$3390,J$1,'United Data'!$C$3:$C$3390,$A1608,'United Data'!$B$3:$B$3390,"&lt;&gt;Off-street")&gt;0,1,0)</f>
        <v>1</v>
      </c>
      <c r="K1608">
        <f>IF(COUNTIFS('United Data'!$A$3:$A$3390,K$1,'United Data'!$C$3:$C$3390,$A1608,'United Data'!$B$3:$B$3390,"&lt;&gt;Off-street")&gt;0,1,0)</f>
        <v>0</v>
      </c>
      <c r="L1608">
        <f>IF(COUNTIFS('United Data'!$A$3:$A$3390,L$1,'United Data'!$C$3:$C$3390,$A1608,'United Data'!$B$3:$B$3390,"&lt;&gt;Off-street")&gt;0,1,0)</f>
        <v>0</v>
      </c>
      <c r="M1608">
        <f>IF(COUNTIFS('United Data'!$A$3:$A$3390,M$1,'United Data'!$C$3:$C$3390,$A1608,'United Data'!$B$3:$B$3390,"&lt;&gt;Off-street")&gt;0,1,0)</f>
        <v>0</v>
      </c>
      <c r="N1608">
        <f>IF(COUNTIFS('United Data'!$A$3:$A$3390,N$1,'United Data'!$C$3:$C$3390,$A1608,'United Data'!$B$3:$B$3390,"&lt;&gt;Off-street")&gt;0,1,0)</f>
        <v>0</v>
      </c>
      <c r="O1608">
        <f>IF(COUNTIFS('United Data'!$A$3:$A$3390,O$1,'United Data'!$C$3:$C$3390,$A1608,'United Data'!$B$3:$B$3390,"&lt;&gt;Off-street")&gt;0,1,0)</f>
        <v>0</v>
      </c>
      <c r="P1608">
        <f>IF(COUNTIFS('United Data'!$A$3:$A$3390,P$1,'United Data'!$C$3:$C$3390,$A1608,'United Data'!$B$3:$B$3390,"&lt;&gt;Off-street")&gt;0,1,0)</f>
        <v>0</v>
      </c>
      <c r="Q1608">
        <f>IF(COUNTIFS('United Data'!$A$3:$A$3390,Q$1,'United Data'!$C$3:$C$3390,$A1608,'United Data'!$B$3:$B$3390,"&lt;&gt;Off-street")&gt;0,1,0)</f>
        <v>0</v>
      </c>
      <c r="R1608">
        <f>IF(COUNTIFS('United Data'!$A$3:$A$3390,R$1,'United Data'!$C$3:$C$3390,$A1608,'United Data'!$B$3:$B$3390,"&lt;&gt;Off-street")&gt;0,1,0)</f>
        <v>0</v>
      </c>
      <c r="S1608">
        <f t="shared" si="50"/>
        <v>1</v>
      </c>
      <c r="T1608">
        <f t="shared" si="51"/>
        <v>1</v>
      </c>
    </row>
    <row r="1609" spans="1:20" x14ac:dyDescent="0.2">
      <c r="A1609" t="s">
        <v>1891</v>
      </c>
      <c r="B1609">
        <f>IF(COUNTIFS('United Data'!$A$3:$A$3390,B$1,'United Data'!$C$3:$C$3390,$A1609,'United Data'!$B$3:$B$3390,"&lt;&gt;Off-street")&gt;0,1,0)</f>
        <v>0</v>
      </c>
      <c r="C1609">
        <f>IF(COUNTIFS('United Data'!$A$3:$A$3390,C$1,'United Data'!$C$3:$C$3390,$A1609,'United Data'!$B$3:$B$3390,"&lt;&gt;Off-street")&gt;0,1,0)</f>
        <v>0</v>
      </c>
      <c r="D1609">
        <f>IF(COUNTIFS('United Data'!$A$3:$A$3390,D$1,'United Data'!$C$3:$C$3390,$A1609,'United Data'!$B$3:$B$3390,"&lt;&gt;Off-street")&gt;0,1,0)</f>
        <v>0</v>
      </c>
      <c r="E1609">
        <f>IF(COUNTIFS('United Data'!$A$3:$A$3390,E$1,'United Data'!$C$3:$C$3390,$A1609,'United Data'!$B$3:$B$3390,"&lt;&gt;Off-street")&gt;0,1,0)</f>
        <v>0</v>
      </c>
      <c r="F1609">
        <f>IF(COUNTIFS('United Data'!$A$3:$A$3390,F$1,'United Data'!$C$3:$C$3390,$A1609,'United Data'!$B$3:$B$3390,"&lt;&gt;Off-street")&gt;0,1,0)</f>
        <v>0</v>
      </c>
      <c r="G1609">
        <f>IF(COUNTIFS('United Data'!$A$3:$A$3390,G$1,'United Data'!$C$3:$C$3390,$A1609,'United Data'!$B$3:$B$3390,"&lt;&gt;Off-street")&gt;0,1,0)</f>
        <v>0</v>
      </c>
      <c r="H1609">
        <f>IF(COUNTIFS('United Data'!$A$3:$A$3390,H$1,'United Data'!$C$3:$C$3390,$A1609,'United Data'!$B$3:$B$3390,"&lt;&gt;Off-street")&gt;0,1,0)</f>
        <v>0</v>
      </c>
      <c r="I1609">
        <f>IF(COUNTIFS('United Data'!$A$3:$A$3390,I$1,'United Data'!$C$3:$C$3390,$A1609,'United Data'!$B$3:$B$3390,"&lt;&gt;Off-street")&gt;0,1,0)</f>
        <v>0</v>
      </c>
      <c r="J1609">
        <f>IF(COUNTIFS('United Data'!$A$3:$A$3390,J$1,'United Data'!$C$3:$C$3390,$A1609,'United Data'!$B$3:$B$3390,"&lt;&gt;Off-street")&gt;0,1,0)</f>
        <v>1</v>
      </c>
      <c r="K1609">
        <f>IF(COUNTIFS('United Data'!$A$3:$A$3390,K$1,'United Data'!$C$3:$C$3390,$A1609,'United Data'!$B$3:$B$3390,"&lt;&gt;Off-street")&gt;0,1,0)</f>
        <v>0</v>
      </c>
      <c r="L1609">
        <f>IF(COUNTIFS('United Data'!$A$3:$A$3390,L$1,'United Data'!$C$3:$C$3390,$A1609,'United Data'!$B$3:$B$3390,"&lt;&gt;Off-street")&gt;0,1,0)</f>
        <v>0</v>
      </c>
      <c r="M1609">
        <f>IF(COUNTIFS('United Data'!$A$3:$A$3390,M$1,'United Data'!$C$3:$C$3390,$A1609,'United Data'!$B$3:$B$3390,"&lt;&gt;Off-street")&gt;0,1,0)</f>
        <v>0</v>
      </c>
      <c r="N1609">
        <f>IF(COUNTIFS('United Data'!$A$3:$A$3390,N$1,'United Data'!$C$3:$C$3390,$A1609,'United Data'!$B$3:$B$3390,"&lt;&gt;Off-street")&gt;0,1,0)</f>
        <v>0</v>
      </c>
      <c r="O1609">
        <f>IF(COUNTIFS('United Data'!$A$3:$A$3390,O$1,'United Data'!$C$3:$C$3390,$A1609,'United Data'!$B$3:$B$3390,"&lt;&gt;Off-street")&gt;0,1,0)</f>
        <v>0</v>
      </c>
      <c r="P1609">
        <f>IF(COUNTIFS('United Data'!$A$3:$A$3390,P$1,'United Data'!$C$3:$C$3390,$A1609,'United Data'!$B$3:$B$3390,"&lt;&gt;Off-street")&gt;0,1,0)</f>
        <v>0</v>
      </c>
      <c r="Q1609">
        <f>IF(COUNTIFS('United Data'!$A$3:$A$3390,Q$1,'United Data'!$C$3:$C$3390,$A1609,'United Data'!$B$3:$B$3390,"&lt;&gt;Off-street")&gt;0,1,0)</f>
        <v>0</v>
      </c>
      <c r="R1609">
        <f>IF(COUNTIFS('United Data'!$A$3:$A$3390,R$1,'United Data'!$C$3:$C$3390,$A1609,'United Data'!$B$3:$B$3390,"&lt;&gt;Off-street")&gt;0,1,0)</f>
        <v>0</v>
      </c>
      <c r="S1609">
        <f t="shared" si="50"/>
        <v>1</v>
      </c>
      <c r="T1609">
        <f t="shared" si="51"/>
        <v>1</v>
      </c>
    </row>
    <row r="1610" spans="1:20" x14ac:dyDescent="0.2">
      <c r="A1610" t="s">
        <v>1892</v>
      </c>
      <c r="B1610">
        <f>IF(COUNTIFS('United Data'!$A$3:$A$3390,B$1,'United Data'!$C$3:$C$3390,$A1610,'United Data'!$B$3:$B$3390,"&lt;&gt;Off-street")&gt;0,1,0)</f>
        <v>0</v>
      </c>
      <c r="C1610">
        <f>IF(COUNTIFS('United Data'!$A$3:$A$3390,C$1,'United Data'!$C$3:$C$3390,$A1610,'United Data'!$B$3:$B$3390,"&lt;&gt;Off-street")&gt;0,1,0)</f>
        <v>0</v>
      </c>
      <c r="D1610">
        <f>IF(COUNTIFS('United Data'!$A$3:$A$3390,D$1,'United Data'!$C$3:$C$3390,$A1610,'United Data'!$B$3:$B$3390,"&lt;&gt;Off-street")&gt;0,1,0)</f>
        <v>0</v>
      </c>
      <c r="E1610">
        <f>IF(COUNTIFS('United Data'!$A$3:$A$3390,E$1,'United Data'!$C$3:$C$3390,$A1610,'United Data'!$B$3:$B$3390,"&lt;&gt;Off-street")&gt;0,1,0)</f>
        <v>0</v>
      </c>
      <c r="F1610">
        <f>IF(COUNTIFS('United Data'!$A$3:$A$3390,F$1,'United Data'!$C$3:$C$3390,$A1610,'United Data'!$B$3:$B$3390,"&lt;&gt;Off-street")&gt;0,1,0)</f>
        <v>0</v>
      </c>
      <c r="G1610">
        <f>IF(COUNTIFS('United Data'!$A$3:$A$3390,G$1,'United Data'!$C$3:$C$3390,$A1610,'United Data'!$B$3:$B$3390,"&lt;&gt;Off-street")&gt;0,1,0)</f>
        <v>0</v>
      </c>
      <c r="H1610">
        <f>IF(COUNTIFS('United Data'!$A$3:$A$3390,H$1,'United Data'!$C$3:$C$3390,$A1610,'United Data'!$B$3:$B$3390,"&lt;&gt;Off-street")&gt;0,1,0)</f>
        <v>0</v>
      </c>
      <c r="I1610">
        <f>IF(COUNTIFS('United Data'!$A$3:$A$3390,I$1,'United Data'!$C$3:$C$3390,$A1610,'United Data'!$B$3:$B$3390,"&lt;&gt;Off-street")&gt;0,1,0)</f>
        <v>0</v>
      </c>
      <c r="J1610">
        <f>IF(COUNTIFS('United Data'!$A$3:$A$3390,J$1,'United Data'!$C$3:$C$3390,$A1610,'United Data'!$B$3:$B$3390,"&lt;&gt;Off-street")&gt;0,1,0)</f>
        <v>0</v>
      </c>
      <c r="K1610">
        <f>IF(COUNTIFS('United Data'!$A$3:$A$3390,K$1,'United Data'!$C$3:$C$3390,$A1610,'United Data'!$B$3:$B$3390,"&lt;&gt;Off-street")&gt;0,1,0)</f>
        <v>1</v>
      </c>
      <c r="L1610">
        <f>IF(COUNTIFS('United Data'!$A$3:$A$3390,L$1,'United Data'!$C$3:$C$3390,$A1610,'United Data'!$B$3:$B$3390,"&lt;&gt;Off-street")&gt;0,1,0)</f>
        <v>0</v>
      </c>
      <c r="M1610">
        <f>IF(COUNTIFS('United Data'!$A$3:$A$3390,M$1,'United Data'!$C$3:$C$3390,$A1610,'United Data'!$B$3:$B$3390,"&lt;&gt;Off-street")&gt;0,1,0)</f>
        <v>0</v>
      </c>
      <c r="N1610">
        <f>IF(COUNTIFS('United Data'!$A$3:$A$3390,N$1,'United Data'!$C$3:$C$3390,$A1610,'United Data'!$B$3:$B$3390,"&lt;&gt;Off-street")&gt;0,1,0)</f>
        <v>0</v>
      </c>
      <c r="O1610">
        <f>IF(COUNTIFS('United Data'!$A$3:$A$3390,O$1,'United Data'!$C$3:$C$3390,$A1610,'United Data'!$B$3:$B$3390,"&lt;&gt;Off-street")&gt;0,1,0)</f>
        <v>0</v>
      </c>
      <c r="P1610">
        <f>IF(COUNTIFS('United Data'!$A$3:$A$3390,P$1,'United Data'!$C$3:$C$3390,$A1610,'United Data'!$B$3:$B$3390,"&lt;&gt;Off-street")&gt;0,1,0)</f>
        <v>0</v>
      </c>
      <c r="Q1610">
        <f>IF(COUNTIFS('United Data'!$A$3:$A$3390,Q$1,'United Data'!$C$3:$C$3390,$A1610,'United Data'!$B$3:$B$3390,"&lt;&gt;Off-street")&gt;0,1,0)</f>
        <v>0</v>
      </c>
      <c r="R1610">
        <f>IF(COUNTIFS('United Data'!$A$3:$A$3390,R$1,'United Data'!$C$3:$C$3390,$A1610,'United Data'!$B$3:$B$3390,"&lt;&gt;Off-street")&gt;0,1,0)</f>
        <v>0</v>
      </c>
      <c r="S1610">
        <f t="shared" si="50"/>
        <v>1</v>
      </c>
      <c r="T1610">
        <f t="shared" si="51"/>
        <v>1</v>
      </c>
    </row>
    <row r="1611" spans="1:20" x14ac:dyDescent="0.2">
      <c r="A1611" t="s">
        <v>1893</v>
      </c>
      <c r="B1611">
        <f>IF(COUNTIFS('United Data'!$A$3:$A$3390,B$1,'United Data'!$C$3:$C$3390,$A1611,'United Data'!$B$3:$B$3390,"&lt;&gt;Off-street")&gt;0,1,0)</f>
        <v>0</v>
      </c>
      <c r="C1611">
        <f>IF(COUNTIFS('United Data'!$A$3:$A$3390,C$1,'United Data'!$C$3:$C$3390,$A1611,'United Data'!$B$3:$B$3390,"&lt;&gt;Off-street")&gt;0,1,0)</f>
        <v>0</v>
      </c>
      <c r="D1611">
        <f>IF(COUNTIFS('United Data'!$A$3:$A$3390,D$1,'United Data'!$C$3:$C$3390,$A1611,'United Data'!$B$3:$B$3390,"&lt;&gt;Off-street")&gt;0,1,0)</f>
        <v>0</v>
      </c>
      <c r="E1611">
        <f>IF(COUNTIFS('United Data'!$A$3:$A$3390,E$1,'United Data'!$C$3:$C$3390,$A1611,'United Data'!$B$3:$B$3390,"&lt;&gt;Off-street")&gt;0,1,0)</f>
        <v>0</v>
      </c>
      <c r="F1611">
        <f>IF(COUNTIFS('United Data'!$A$3:$A$3390,F$1,'United Data'!$C$3:$C$3390,$A1611,'United Data'!$B$3:$B$3390,"&lt;&gt;Off-street")&gt;0,1,0)</f>
        <v>0</v>
      </c>
      <c r="G1611">
        <f>IF(COUNTIFS('United Data'!$A$3:$A$3390,G$1,'United Data'!$C$3:$C$3390,$A1611,'United Data'!$B$3:$B$3390,"&lt;&gt;Off-street")&gt;0,1,0)</f>
        <v>0</v>
      </c>
      <c r="H1611">
        <f>IF(COUNTIFS('United Data'!$A$3:$A$3390,H$1,'United Data'!$C$3:$C$3390,$A1611,'United Data'!$B$3:$B$3390,"&lt;&gt;Off-street")&gt;0,1,0)</f>
        <v>0</v>
      </c>
      <c r="I1611">
        <f>IF(COUNTIFS('United Data'!$A$3:$A$3390,I$1,'United Data'!$C$3:$C$3390,$A1611,'United Data'!$B$3:$B$3390,"&lt;&gt;Off-street")&gt;0,1,0)</f>
        <v>0</v>
      </c>
      <c r="J1611">
        <f>IF(COUNTIFS('United Data'!$A$3:$A$3390,J$1,'United Data'!$C$3:$C$3390,$A1611,'United Data'!$B$3:$B$3390,"&lt;&gt;Off-street")&gt;0,1,0)</f>
        <v>0</v>
      </c>
      <c r="K1611">
        <f>IF(COUNTIFS('United Data'!$A$3:$A$3390,K$1,'United Data'!$C$3:$C$3390,$A1611,'United Data'!$B$3:$B$3390,"&lt;&gt;Off-street")&gt;0,1,0)</f>
        <v>1</v>
      </c>
      <c r="L1611">
        <f>IF(COUNTIFS('United Data'!$A$3:$A$3390,L$1,'United Data'!$C$3:$C$3390,$A1611,'United Data'!$B$3:$B$3390,"&lt;&gt;Off-street")&gt;0,1,0)</f>
        <v>0</v>
      </c>
      <c r="M1611">
        <f>IF(COUNTIFS('United Data'!$A$3:$A$3390,M$1,'United Data'!$C$3:$C$3390,$A1611,'United Data'!$B$3:$B$3390,"&lt;&gt;Off-street")&gt;0,1,0)</f>
        <v>0</v>
      </c>
      <c r="N1611">
        <f>IF(COUNTIFS('United Data'!$A$3:$A$3390,N$1,'United Data'!$C$3:$C$3390,$A1611,'United Data'!$B$3:$B$3390,"&lt;&gt;Off-street")&gt;0,1,0)</f>
        <v>0</v>
      </c>
      <c r="O1611">
        <f>IF(COUNTIFS('United Data'!$A$3:$A$3390,O$1,'United Data'!$C$3:$C$3390,$A1611,'United Data'!$B$3:$B$3390,"&lt;&gt;Off-street")&gt;0,1,0)</f>
        <v>0</v>
      </c>
      <c r="P1611">
        <f>IF(COUNTIFS('United Data'!$A$3:$A$3390,P$1,'United Data'!$C$3:$C$3390,$A1611,'United Data'!$B$3:$B$3390,"&lt;&gt;Off-street")&gt;0,1,0)</f>
        <v>0</v>
      </c>
      <c r="Q1611">
        <f>IF(COUNTIFS('United Data'!$A$3:$A$3390,Q$1,'United Data'!$C$3:$C$3390,$A1611,'United Data'!$B$3:$B$3390,"&lt;&gt;Off-street")&gt;0,1,0)</f>
        <v>1</v>
      </c>
      <c r="R1611">
        <f>IF(COUNTIFS('United Data'!$A$3:$A$3390,R$1,'United Data'!$C$3:$C$3390,$A1611,'United Data'!$B$3:$B$3390,"&lt;&gt;Off-street")&gt;0,1,0)</f>
        <v>0</v>
      </c>
      <c r="S1611">
        <f t="shared" si="50"/>
        <v>2</v>
      </c>
      <c r="T1611">
        <f t="shared" si="51"/>
        <v>2</v>
      </c>
    </row>
    <row r="1612" spans="1:20" x14ac:dyDescent="0.2">
      <c r="A1612" t="s">
        <v>1894</v>
      </c>
      <c r="B1612">
        <f>IF(COUNTIFS('United Data'!$A$3:$A$3390,B$1,'United Data'!$C$3:$C$3390,$A1612,'United Data'!$B$3:$B$3390,"&lt;&gt;Off-street")&gt;0,1,0)</f>
        <v>0</v>
      </c>
      <c r="C1612">
        <f>IF(COUNTIFS('United Data'!$A$3:$A$3390,C$1,'United Data'!$C$3:$C$3390,$A1612,'United Data'!$B$3:$B$3390,"&lt;&gt;Off-street")&gt;0,1,0)</f>
        <v>0</v>
      </c>
      <c r="D1612">
        <f>IF(COUNTIFS('United Data'!$A$3:$A$3390,D$1,'United Data'!$C$3:$C$3390,$A1612,'United Data'!$B$3:$B$3390,"&lt;&gt;Off-street")&gt;0,1,0)</f>
        <v>0</v>
      </c>
      <c r="E1612">
        <f>IF(COUNTIFS('United Data'!$A$3:$A$3390,E$1,'United Data'!$C$3:$C$3390,$A1612,'United Data'!$B$3:$B$3390,"&lt;&gt;Off-street")&gt;0,1,0)</f>
        <v>0</v>
      </c>
      <c r="F1612">
        <f>IF(COUNTIFS('United Data'!$A$3:$A$3390,F$1,'United Data'!$C$3:$C$3390,$A1612,'United Data'!$B$3:$B$3390,"&lt;&gt;Off-street")&gt;0,1,0)</f>
        <v>0</v>
      </c>
      <c r="G1612">
        <f>IF(COUNTIFS('United Data'!$A$3:$A$3390,G$1,'United Data'!$C$3:$C$3390,$A1612,'United Data'!$B$3:$B$3390,"&lt;&gt;Off-street")&gt;0,1,0)</f>
        <v>0</v>
      </c>
      <c r="H1612">
        <f>IF(COUNTIFS('United Data'!$A$3:$A$3390,H$1,'United Data'!$C$3:$C$3390,$A1612,'United Data'!$B$3:$B$3390,"&lt;&gt;Off-street")&gt;0,1,0)</f>
        <v>0</v>
      </c>
      <c r="I1612">
        <f>IF(COUNTIFS('United Data'!$A$3:$A$3390,I$1,'United Data'!$C$3:$C$3390,$A1612,'United Data'!$B$3:$B$3390,"&lt;&gt;Off-street")&gt;0,1,0)</f>
        <v>0</v>
      </c>
      <c r="J1612">
        <f>IF(COUNTIFS('United Data'!$A$3:$A$3390,J$1,'United Data'!$C$3:$C$3390,$A1612,'United Data'!$B$3:$B$3390,"&lt;&gt;Off-street")&gt;0,1,0)</f>
        <v>0</v>
      </c>
      <c r="K1612">
        <f>IF(COUNTIFS('United Data'!$A$3:$A$3390,K$1,'United Data'!$C$3:$C$3390,$A1612,'United Data'!$B$3:$B$3390,"&lt;&gt;Off-street")&gt;0,1,0)</f>
        <v>0</v>
      </c>
      <c r="L1612">
        <f>IF(COUNTIFS('United Data'!$A$3:$A$3390,L$1,'United Data'!$C$3:$C$3390,$A1612,'United Data'!$B$3:$B$3390,"&lt;&gt;Off-street")&gt;0,1,0)</f>
        <v>1</v>
      </c>
      <c r="M1612">
        <f>IF(COUNTIFS('United Data'!$A$3:$A$3390,M$1,'United Data'!$C$3:$C$3390,$A1612,'United Data'!$B$3:$B$3390,"&lt;&gt;Off-street")&gt;0,1,0)</f>
        <v>0</v>
      </c>
      <c r="N1612">
        <f>IF(COUNTIFS('United Data'!$A$3:$A$3390,N$1,'United Data'!$C$3:$C$3390,$A1612,'United Data'!$B$3:$B$3390,"&lt;&gt;Off-street")&gt;0,1,0)</f>
        <v>0</v>
      </c>
      <c r="O1612">
        <f>IF(COUNTIFS('United Data'!$A$3:$A$3390,O$1,'United Data'!$C$3:$C$3390,$A1612,'United Data'!$B$3:$B$3390,"&lt;&gt;Off-street")&gt;0,1,0)</f>
        <v>0</v>
      </c>
      <c r="P1612">
        <f>IF(COUNTIFS('United Data'!$A$3:$A$3390,P$1,'United Data'!$C$3:$C$3390,$A1612,'United Data'!$B$3:$B$3390,"&lt;&gt;Off-street")&gt;0,1,0)</f>
        <v>0</v>
      </c>
      <c r="Q1612">
        <f>IF(COUNTIFS('United Data'!$A$3:$A$3390,Q$1,'United Data'!$C$3:$C$3390,$A1612,'United Data'!$B$3:$B$3390,"&lt;&gt;Off-street")&gt;0,1,0)</f>
        <v>0</v>
      </c>
      <c r="R1612">
        <f>IF(COUNTIFS('United Data'!$A$3:$A$3390,R$1,'United Data'!$C$3:$C$3390,$A1612,'United Data'!$B$3:$B$3390,"&lt;&gt;Off-street")&gt;0,1,0)</f>
        <v>0</v>
      </c>
      <c r="S1612">
        <f t="shared" si="50"/>
        <v>1</v>
      </c>
      <c r="T1612">
        <f t="shared" si="51"/>
        <v>1</v>
      </c>
    </row>
    <row r="1613" spans="1:20" x14ac:dyDescent="0.2">
      <c r="A1613" t="s">
        <v>1895</v>
      </c>
      <c r="B1613">
        <f>IF(COUNTIFS('United Data'!$A$3:$A$3390,B$1,'United Data'!$C$3:$C$3390,$A1613,'United Data'!$B$3:$B$3390,"&lt;&gt;Off-street")&gt;0,1,0)</f>
        <v>0</v>
      </c>
      <c r="C1613">
        <f>IF(COUNTIFS('United Data'!$A$3:$A$3390,C$1,'United Data'!$C$3:$C$3390,$A1613,'United Data'!$B$3:$B$3390,"&lt;&gt;Off-street")&gt;0,1,0)</f>
        <v>0</v>
      </c>
      <c r="D1613">
        <f>IF(COUNTIFS('United Data'!$A$3:$A$3390,D$1,'United Data'!$C$3:$C$3390,$A1613,'United Data'!$B$3:$B$3390,"&lt;&gt;Off-street")&gt;0,1,0)</f>
        <v>0</v>
      </c>
      <c r="E1613">
        <f>IF(COUNTIFS('United Data'!$A$3:$A$3390,E$1,'United Data'!$C$3:$C$3390,$A1613,'United Data'!$B$3:$B$3390,"&lt;&gt;Off-street")&gt;0,1,0)</f>
        <v>0</v>
      </c>
      <c r="F1613">
        <f>IF(COUNTIFS('United Data'!$A$3:$A$3390,F$1,'United Data'!$C$3:$C$3390,$A1613,'United Data'!$B$3:$B$3390,"&lt;&gt;Off-street")&gt;0,1,0)</f>
        <v>0</v>
      </c>
      <c r="G1613">
        <f>IF(COUNTIFS('United Data'!$A$3:$A$3390,G$1,'United Data'!$C$3:$C$3390,$A1613,'United Data'!$B$3:$B$3390,"&lt;&gt;Off-street")&gt;0,1,0)</f>
        <v>0</v>
      </c>
      <c r="H1613">
        <f>IF(COUNTIFS('United Data'!$A$3:$A$3390,H$1,'United Data'!$C$3:$C$3390,$A1613,'United Data'!$B$3:$B$3390,"&lt;&gt;Off-street")&gt;0,1,0)</f>
        <v>0</v>
      </c>
      <c r="I1613">
        <f>IF(COUNTIFS('United Data'!$A$3:$A$3390,I$1,'United Data'!$C$3:$C$3390,$A1613,'United Data'!$B$3:$B$3390,"&lt;&gt;Off-street")&gt;0,1,0)</f>
        <v>0</v>
      </c>
      <c r="J1613">
        <f>IF(COUNTIFS('United Data'!$A$3:$A$3390,J$1,'United Data'!$C$3:$C$3390,$A1613,'United Data'!$B$3:$B$3390,"&lt;&gt;Off-street")&gt;0,1,0)</f>
        <v>0</v>
      </c>
      <c r="K1613">
        <f>IF(COUNTIFS('United Data'!$A$3:$A$3390,K$1,'United Data'!$C$3:$C$3390,$A1613,'United Data'!$B$3:$B$3390,"&lt;&gt;Off-street")&gt;0,1,0)</f>
        <v>0</v>
      </c>
      <c r="L1613">
        <f>IF(COUNTIFS('United Data'!$A$3:$A$3390,L$1,'United Data'!$C$3:$C$3390,$A1613,'United Data'!$B$3:$B$3390,"&lt;&gt;Off-street")&gt;0,1,0)</f>
        <v>0</v>
      </c>
      <c r="M1613">
        <f>IF(COUNTIFS('United Data'!$A$3:$A$3390,M$1,'United Data'!$C$3:$C$3390,$A1613,'United Data'!$B$3:$B$3390,"&lt;&gt;Off-street")&gt;0,1,0)</f>
        <v>1</v>
      </c>
      <c r="N1613">
        <f>IF(COUNTIFS('United Data'!$A$3:$A$3390,N$1,'United Data'!$C$3:$C$3390,$A1613,'United Data'!$B$3:$B$3390,"&lt;&gt;Off-street")&gt;0,1,0)</f>
        <v>0</v>
      </c>
      <c r="O1613">
        <f>IF(COUNTIFS('United Data'!$A$3:$A$3390,O$1,'United Data'!$C$3:$C$3390,$A1613,'United Data'!$B$3:$B$3390,"&lt;&gt;Off-street")&gt;0,1,0)</f>
        <v>0</v>
      </c>
      <c r="P1613">
        <f>IF(COUNTIFS('United Data'!$A$3:$A$3390,P$1,'United Data'!$C$3:$C$3390,$A1613,'United Data'!$B$3:$B$3390,"&lt;&gt;Off-street")&gt;0,1,0)</f>
        <v>0</v>
      </c>
      <c r="Q1613">
        <f>IF(COUNTIFS('United Data'!$A$3:$A$3390,Q$1,'United Data'!$C$3:$C$3390,$A1613,'United Data'!$B$3:$B$3390,"&lt;&gt;Off-street")&gt;0,1,0)</f>
        <v>0</v>
      </c>
      <c r="R1613">
        <f>IF(COUNTIFS('United Data'!$A$3:$A$3390,R$1,'United Data'!$C$3:$C$3390,$A1613,'United Data'!$B$3:$B$3390,"&lt;&gt;Off-street")&gt;0,1,0)</f>
        <v>0</v>
      </c>
      <c r="S1613">
        <f t="shared" si="50"/>
        <v>1</v>
      </c>
      <c r="T1613">
        <f t="shared" si="51"/>
        <v>1</v>
      </c>
    </row>
    <row r="1614" spans="1:20" x14ac:dyDescent="0.2">
      <c r="A1614" t="s">
        <v>1896</v>
      </c>
      <c r="B1614">
        <f>IF(COUNTIFS('United Data'!$A$3:$A$3390,B$1,'United Data'!$C$3:$C$3390,$A1614,'United Data'!$B$3:$B$3390,"&lt;&gt;Off-street")&gt;0,1,0)</f>
        <v>0</v>
      </c>
      <c r="C1614">
        <f>IF(COUNTIFS('United Data'!$A$3:$A$3390,C$1,'United Data'!$C$3:$C$3390,$A1614,'United Data'!$B$3:$B$3390,"&lt;&gt;Off-street")&gt;0,1,0)</f>
        <v>0</v>
      </c>
      <c r="D1614">
        <f>IF(COUNTIFS('United Data'!$A$3:$A$3390,D$1,'United Data'!$C$3:$C$3390,$A1614,'United Data'!$B$3:$B$3390,"&lt;&gt;Off-street")&gt;0,1,0)</f>
        <v>0</v>
      </c>
      <c r="E1614">
        <f>IF(COUNTIFS('United Data'!$A$3:$A$3390,E$1,'United Data'!$C$3:$C$3390,$A1614,'United Data'!$B$3:$B$3390,"&lt;&gt;Off-street")&gt;0,1,0)</f>
        <v>0</v>
      </c>
      <c r="F1614">
        <f>IF(COUNTIFS('United Data'!$A$3:$A$3390,F$1,'United Data'!$C$3:$C$3390,$A1614,'United Data'!$B$3:$B$3390,"&lt;&gt;Off-street")&gt;0,1,0)</f>
        <v>0</v>
      </c>
      <c r="G1614">
        <f>IF(COUNTIFS('United Data'!$A$3:$A$3390,G$1,'United Data'!$C$3:$C$3390,$A1614,'United Data'!$B$3:$B$3390,"&lt;&gt;Off-street")&gt;0,1,0)</f>
        <v>0</v>
      </c>
      <c r="H1614">
        <f>IF(COUNTIFS('United Data'!$A$3:$A$3390,H$1,'United Data'!$C$3:$C$3390,$A1614,'United Data'!$B$3:$B$3390,"&lt;&gt;Off-street")&gt;0,1,0)</f>
        <v>0</v>
      </c>
      <c r="I1614">
        <f>IF(COUNTIFS('United Data'!$A$3:$A$3390,I$1,'United Data'!$C$3:$C$3390,$A1614,'United Data'!$B$3:$B$3390,"&lt;&gt;Off-street")&gt;0,1,0)</f>
        <v>0</v>
      </c>
      <c r="J1614">
        <f>IF(COUNTIFS('United Data'!$A$3:$A$3390,J$1,'United Data'!$C$3:$C$3390,$A1614,'United Data'!$B$3:$B$3390,"&lt;&gt;Off-street")&gt;0,1,0)</f>
        <v>0</v>
      </c>
      <c r="K1614">
        <f>IF(COUNTIFS('United Data'!$A$3:$A$3390,K$1,'United Data'!$C$3:$C$3390,$A1614,'United Data'!$B$3:$B$3390,"&lt;&gt;Off-street")&gt;0,1,0)</f>
        <v>0</v>
      </c>
      <c r="L1614">
        <f>IF(COUNTIFS('United Data'!$A$3:$A$3390,L$1,'United Data'!$C$3:$C$3390,$A1614,'United Data'!$B$3:$B$3390,"&lt;&gt;Off-street")&gt;0,1,0)</f>
        <v>0</v>
      </c>
      <c r="M1614">
        <f>IF(COUNTIFS('United Data'!$A$3:$A$3390,M$1,'United Data'!$C$3:$C$3390,$A1614,'United Data'!$B$3:$B$3390,"&lt;&gt;Off-street")&gt;0,1,0)</f>
        <v>1</v>
      </c>
      <c r="N1614">
        <f>IF(COUNTIFS('United Data'!$A$3:$A$3390,N$1,'United Data'!$C$3:$C$3390,$A1614,'United Data'!$B$3:$B$3390,"&lt;&gt;Off-street")&gt;0,1,0)</f>
        <v>0</v>
      </c>
      <c r="O1614">
        <f>IF(COUNTIFS('United Data'!$A$3:$A$3390,O$1,'United Data'!$C$3:$C$3390,$A1614,'United Data'!$B$3:$B$3390,"&lt;&gt;Off-street")&gt;0,1,0)</f>
        <v>0</v>
      </c>
      <c r="P1614">
        <f>IF(COUNTIFS('United Data'!$A$3:$A$3390,P$1,'United Data'!$C$3:$C$3390,$A1614,'United Data'!$B$3:$B$3390,"&lt;&gt;Off-street")&gt;0,1,0)</f>
        <v>0</v>
      </c>
      <c r="Q1614">
        <f>IF(COUNTIFS('United Data'!$A$3:$A$3390,Q$1,'United Data'!$C$3:$C$3390,$A1614,'United Data'!$B$3:$B$3390,"&lt;&gt;Off-street")&gt;0,1,0)</f>
        <v>0</v>
      </c>
      <c r="R1614">
        <f>IF(COUNTIFS('United Data'!$A$3:$A$3390,R$1,'United Data'!$C$3:$C$3390,$A1614,'United Data'!$B$3:$B$3390,"&lt;&gt;Off-street")&gt;0,1,0)</f>
        <v>0</v>
      </c>
      <c r="S1614">
        <f t="shared" si="50"/>
        <v>1</v>
      </c>
      <c r="T1614">
        <f t="shared" si="51"/>
        <v>1</v>
      </c>
    </row>
    <row r="1615" spans="1:20" x14ac:dyDescent="0.2">
      <c r="A1615" t="s">
        <v>1897</v>
      </c>
      <c r="B1615">
        <f>IF(COUNTIFS('United Data'!$A$3:$A$3390,B$1,'United Data'!$C$3:$C$3390,$A1615,'United Data'!$B$3:$B$3390,"&lt;&gt;Off-street")&gt;0,1,0)</f>
        <v>0</v>
      </c>
      <c r="C1615">
        <f>IF(COUNTIFS('United Data'!$A$3:$A$3390,C$1,'United Data'!$C$3:$C$3390,$A1615,'United Data'!$B$3:$B$3390,"&lt;&gt;Off-street")&gt;0,1,0)</f>
        <v>0</v>
      </c>
      <c r="D1615">
        <f>IF(COUNTIFS('United Data'!$A$3:$A$3390,D$1,'United Data'!$C$3:$C$3390,$A1615,'United Data'!$B$3:$B$3390,"&lt;&gt;Off-street")&gt;0,1,0)</f>
        <v>0</v>
      </c>
      <c r="E1615">
        <f>IF(COUNTIFS('United Data'!$A$3:$A$3390,E$1,'United Data'!$C$3:$C$3390,$A1615,'United Data'!$B$3:$B$3390,"&lt;&gt;Off-street")&gt;0,1,0)</f>
        <v>0</v>
      </c>
      <c r="F1615">
        <f>IF(COUNTIFS('United Data'!$A$3:$A$3390,F$1,'United Data'!$C$3:$C$3390,$A1615,'United Data'!$B$3:$B$3390,"&lt;&gt;Off-street")&gt;0,1,0)</f>
        <v>0</v>
      </c>
      <c r="G1615">
        <f>IF(COUNTIFS('United Data'!$A$3:$A$3390,G$1,'United Data'!$C$3:$C$3390,$A1615,'United Data'!$B$3:$B$3390,"&lt;&gt;Off-street")&gt;0,1,0)</f>
        <v>0</v>
      </c>
      <c r="H1615">
        <f>IF(COUNTIFS('United Data'!$A$3:$A$3390,H$1,'United Data'!$C$3:$C$3390,$A1615,'United Data'!$B$3:$B$3390,"&lt;&gt;Off-street")&gt;0,1,0)</f>
        <v>0</v>
      </c>
      <c r="I1615">
        <f>IF(COUNTIFS('United Data'!$A$3:$A$3390,I$1,'United Data'!$C$3:$C$3390,$A1615,'United Data'!$B$3:$B$3390,"&lt;&gt;Off-street")&gt;0,1,0)</f>
        <v>0</v>
      </c>
      <c r="J1615">
        <f>IF(COUNTIFS('United Data'!$A$3:$A$3390,J$1,'United Data'!$C$3:$C$3390,$A1615,'United Data'!$B$3:$B$3390,"&lt;&gt;Off-street")&gt;0,1,0)</f>
        <v>0</v>
      </c>
      <c r="K1615">
        <f>IF(COUNTIFS('United Data'!$A$3:$A$3390,K$1,'United Data'!$C$3:$C$3390,$A1615,'United Data'!$B$3:$B$3390,"&lt;&gt;Off-street")&gt;0,1,0)</f>
        <v>0</v>
      </c>
      <c r="L1615">
        <f>IF(COUNTIFS('United Data'!$A$3:$A$3390,L$1,'United Data'!$C$3:$C$3390,$A1615,'United Data'!$B$3:$B$3390,"&lt;&gt;Off-street")&gt;0,1,0)</f>
        <v>0</v>
      </c>
      <c r="M1615">
        <f>IF(COUNTIFS('United Data'!$A$3:$A$3390,M$1,'United Data'!$C$3:$C$3390,$A1615,'United Data'!$B$3:$B$3390,"&lt;&gt;Off-street")&gt;0,1,0)</f>
        <v>1</v>
      </c>
      <c r="N1615">
        <f>IF(COUNTIFS('United Data'!$A$3:$A$3390,N$1,'United Data'!$C$3:$C$3390,$A1615,'United Data'!$B$3:$B$3390,"&lt;&gt;Off-street")&gt;0,1,0)</f>
        <v>0</v>
      </c>
      <c r="O1615">
        <f>IF(COUNTIFS('United Data'!$A$3:$A$3390,O$1,'United Data'!$C$3:$C$3390,$A1615,'United Data'!$B$3:$B$3390,"&lt;&gt;Off-street")&gt;0,1,0)</f>
        <v>0</v>
      </c>
      <c r="P1615">
        <f>IF(COUNTIFS('United Data'!$A$3:$A$3390,P$1,'United Data'!$C$3:$C$3390,$A1615,'United Data'!$B$3:$B$3390,"&lt;&gt;Off-street")&gt;0,1,0)</f>
        <v>0</v>
      </c>
      <c r="Q1615">
        <f>IF(COUNTIFS('United Data'!$A$3:$A$3390,Q$1,'United Data'!$C$3:$C$3390,$A1615,'United Data'!$B$3:$B$3390,"&lt;&gt;Off-street")&gt;0,1,0)</f>
        <v>0</v>
      </c>
      <c r="R1615">
        <f>IF(COUNTIFS('United Data'!$A$3:$A$3390,R$1,'United Data'!$C$3:$C$3390,$A1615,'United Data'!$B$3:$B$3390,"&lt;&gt;Off-street")&gt;0,1,0)</f>
        <v>0</v>
      </c>
      <c r="S1615">
        <f t="shared" si="50"/>
        <v>1</v>
      </c>
      <c r="T1615">
        <f t="shared" si="51"/>
        <v>1</v>
      </c>
    </row>
    <row r="1616" spans="1:20" x14ac:dyDescent="0.2">
      <c r="A1616" t="s">
        <v>1898</v>
      </c>
      <c r="B1616">
        <f>IF(COUNTIFS('United Data'!$A$3:$A$3390,B$1,'United Data'!$C$3:$C$3390,$A1616,'United Data'!$B$3:$B$3390,"&lt;&gt;Off-street")&gt;0,1,0)</f>
        <v>0</v>
      </c>
      <c r="C1616">
        <f>IF(COUNTIFS('United Data'!$A$3:$A$3390,C$1,'United Data'!$C$3:$C$3390,$A1616,'United Data'!$B$3:$B$3390,"&lt;&gt;Off-street")&gt;0,1,0)</f>
        <v>0</v>
      </c>
      <c r="D1616">
        <f>IF(COUNTIFS('United Data'!$A$3:$A$3390,D$1,'United Data'!$C$3:$C$3390,$A1616,'United Data'!$B$3:$B$3390,"&lt;&gt;Off-street")&gt;0,1,0)</f>
        <v>0</v>
      </c>
      <c r="E1616">
        <f>IF(COUNTIFS('United Data'!$A$3:$A$3390,E$1,'United Data'!$C$3:$C$3390,$A1616,'United Data'!$B$3:$B$3390,"&lt;&gt;Off-street")&gt;0,1,0)</f>
        <v>0</v>
      </c>
      <c r="F1616">
        <f>IF(COUNTIFS('United Data'!$A$3:$A$3390,F$1,'United Data'!$C$3:$C$3390,$A1616,'United Data'!$B$3:$B$3390,"&lt;&gt;Off-street")&gt;0,1,0)</f>
        <v>0</v>
      </c>
      <c r="G1616">
        <f>IF(COUNTIFS('United Data'!$A$3:$A$3390,G$1,'United Data'!$C$3:$C$3390,$A1616,'United Data'!$B$3:$B$3390,"&lt;&gt;Off-street")&gt;0,1,0)</f>
        <v>0</v>
      </c>
      <c r="H1616">
        <f>IF(COUNTIFS('United Data'!$A$3:$A$3390,H$1,'United Data'!$C$3:$C$3390,$A1616,'United Data'!$B$3:$B$3390,"&lt;&gt;Off-street")&gt;0,1,0)</f>
        <v>0</v>
      </c>
      <c r="I1616">
        <f>IF(COUNTIFS('United Data'!$A$3:$A$3390,I$1,'United Data'!$C$3:$C$3390,$A1616,'United Data'!$B$3:$B$3390,"&lt;&gt;Off-street")&gt;0,1,0)</f>
        <v>0</v>
      </c>
      <c r="J1616">
        <f>IF(COUNTIFS('United Data'!$A$3:$A$3390,J$1,'United Data'!$C$3:$C$3390,$A1616,'United Data'!$B$3:$B$3390,"&lt;&gt;Off-street")&gt;0,1,0)</f>
        <v>0</v>
      </c>
      <c r="K1616">
        <f>IF(COUNTIFS('United Data'!$A$3:$A$3390,K$1,'United Data'!$C$3:$C$3390,$A1616,'United Data'!$B$3:$B$3390,"&lt;&gt;Off-street")&gt;0,1,0)</f>
        <v>0</v>
      </c>
      <c r="L1616">
        <f>IF(COUNTIFS('United Data'!$A$3:$A$3390,L$1,'United Data'!$C$3:$C$3390,$A1616,'United Data'!$B$3:$B$3390,"&lt;&gt;Off-street")&gt;0,1,0)</f>
        <v>0</v>
      </c>
      <c r="M1616">
        <f>IF(COUNTIFS('United Data'!$A$3:$A$3390,M$1,'United Data'!$C$3:$C$3390,$A1616,'United Data'!$B$3:$B$3390,"&lt;&gt;Off-street")&gt;0,1,0)</f>
        <v>0</v>
      </c>
      <c r="N1616">
        <f>IF(COUNTIFS('United Data'!$A$3:$A$3390,N$1,'United Data'!$C$3:$C$3390,$A1616,'United Data'!$B$3:$B$3390,"&lt;&gt;Off-street")&gt;0,1,0)</f>
        <v>1</v>
      </c>
      <c r="O1616">
        <f>IF(COUNTIFS('United Data'!$A$3:$A$3390,O$1,'United Data'!$C$3:$C$3390,$A1616,'United Data'!$B$3:$B$3390,"&lt;&gt;Off-street")&gt;0,1,0)</f>
        <v>0</v>
      </c>
      <c r="P1616">
        <f>IF(COUNTIFS('United Data'!$A$3:$A$3390,P$1,'United Data'!$C$3:$C$3390,$A1616,'United Data'!$B$3:$B$3390,"&lt;&gt;Off-street")&gt;0,1,0)</f>
        <v>0</v>
      </c>
      <c r="Q1616">
        <f>IF(COUNTIFS('United Data'!$A$3:$A$3390,Q$1,'United Data'!$C$3:$C$3390,$A1616,'United Data'!$B$3:$B$3390,"&lt;&gt;Off-street")&gt;0,1,0)</f>
        <v>1</v>
      </c>
      <c r="R1616">
        <f>IF(COUNTIFS('United Data'!$A$3:$A$3390,R$1,'United Data'!$C$3:$C$3390,$A1616,'United Data'!$B$3:$B$3390,"&lt;&gt;Off-street")&gt;0,1,0)</f>
        <v>0</v>
      </c>
      <c r="S1616">
        <f t="shared" si="50"/>
        <v>2</v>
      </c>
      <c r="T1616">
        <f t="shared" si="51"/>
        <v>2</v>
      </c>
    </row>
    <row r="1617" spans="1:20" x14ac:dyDescent="0.2">
      <c r="A1617" t="s">
        <v>1899</v>
      </c>
      <c r="B1617">
        <f>IF(COUNTIFS('United Data'!$A$3:$A$3390,B$1,'United Data'!$C$3:$C$3390,$A1617,'United Data'!$B$3:$B$3390,"&lt;&gt;Off-street")&gt;0,1,0)</f>
        <v>0</v>
      </c>
      <c r="C1617">
        <f>IF(COUNTIFS('United Data'!$A$3:$A$3390,C$1,'United Data'!$C$3:$C$3390,$A1617,'United Data'!$B$3:$B$3390,"&lt;&gt;Off-street")&gt;0,1,0)</f>
        <v>0</v>
      </c>
      <c r="D1617">
        <f>IF(COUNTIFS('United Data'!$A$3:$A$3390,D$1,'United Data'!$C$3:$C$3390,$A1617,'United Data'!$B$3:$B$3390,"&lt;&gt;Off-street")&gt;0,1,0)</f>
        <v>0</v>
      </c>
      <c r="E1617">
        <f>IF(COUNTIFS('United Data'!$A$3:$A$3390,E$1,'United Data'!$C$3:$C$3390,$A1617,'United Data'!$B$3:$B$3390,"&lt;&gt;Off-street")&gt;0,1,0)</f>
        <v>0</v>
      </c>
      <c r="F1617">
        <f>IF(COUNTIFS('United Data'!$A$3:$A$3390,F$1,'United Data'!$C$3:$C$3390,$A1617,'United Data'!$B$3:$B$3390,"&lt;&gt;Off-street")&gt;0,1,0)</f>
        <v>0</v>
      </c>
      <c r="G1617">
        <f>IF(COUNTIFS('United Data'!$A$3:$A$3390,G$1,'United Data'!$C$3:$C$3390,$A1617,'United Data'!$B$3:$B$3390,"&lt;&gt;Off-street")&gt;0,1,0)</f>
        <v>0</v>
      </c>
      <c r="H1617">
        <f>IF(COUNTIFS('United Data'!$A$3:$A$3390,H$1,'United Data'!$C$3:$C$3390,$A1617,'United Data'!$B$3:$B$3390,"&lt;&gt;Off-street")&gt;0,1,0)</f>
        <v>0</v>
      </c>
      <c r="I1617">
        <f>IF(COUNTIFS('United Data'!$A$3:$A$3390,I$1,'United Data'!$C$3:$C$3390,$A1617,'United Data'!$B$3:$B$3390,"&lt;&gt;Off-street")&gt;0,1,0)</f>
        <v>0</v>
      </c>
      <c r="J1617">
        <f>IF(COUNTIFS('United Data'!$A$3:$A$3390,J$1,'United Data'!$C$3:$C$3390,$A1617,'United Data'!$B$3:$B$3390,"&lt;&gt;Off-street")&gt;0,1,0)</f>
        <v>0</v>
      </c>
      <c r="K1617">
        <f>IF(COUNTIFS('United Data'!$A$3:$A$3390,K$1,'United Data'!$C$3:$C$3390,$A1617,'United Data'!$B$3:$B$3390,"&lt;&gt;Off-street")&gt;0,1,0)</f>
        <v>0</v>
      </c>
      <c r="L1617">
        <f>IF(COUNTIFS('United Data'!$A$3:$A$3390,L$1,'United Data'!$C$3:$C$3390,$A1617,'United Data'!$B$3:$B$3390,"&lt;&gt;Off-street")&gt;0,1,0)</f>
        <v>0</v>
      </c>
      <c r="M1617">
        <f>IF(COUNTIFS('United Data'!$A$3:$A$3390,M$1,'United Data'!$C$3:$C$3390,$A1617,'United Data'!$B$3:$B$3390,"&lt;&gt;Off-street")&gt;0,1,0)</f>
        <v>0</v>
      </c>
      <c r="N1617">
        <f>IF(COUNTIFS('United Data'!$A$3:$A$3390,N$1,'United Data'!$C$3:$C$3390,$A1617,'United Data'!$B$3:$B$3390,"&lt;&gt;Off-street")&gt;0,1,0)</f>
        <v>1</v>
      </c>
      <c r="O1617">
        <f>IF(COUNTIFS('United Data'!$A$3:$A$3390,O$1,'United Data'!$C$3:$C$3390,$A1617,'United Data'!$B$3:$B$3390,"&lt;&gt;Off-street")&gt;0,1,0)</f>
        <v>0</v>
      </c>
      <c r="P1617">
        <f>IF(COUNTIFS('United Data'!$A$3:$A$3390,P$1,'United Data'!$C$3:$C$3390,$A1617,'United Data'!$B$3:$B$3390,"&lt;&gt;Off-street")&gt;0,1,0)</f>
        <v>0</v>
      </c>
      <c r="Q1617">
        <f>IF(COUNTIFS('United Data'!$A$3:$A$3390,Q$1,'United Data'!$C$3:$C$3390,$A1617,'United Data'!$B$3:$B$3390,"&lt;&gt;Off-street")&gt;0,1,0)</f>
        <v>0</v>
      </c>
      <c r="R1617">
        <f>IF(COUNTIFS('United Data'!$A$3:$A$3390,R$1,'United Data'!$C$3:$C$3390,$A1617,'United Data'!$B$3:$B$3390,"&lt;&gt;Off-street")&gt;0,1,0)</f>
        <v>0</v>
      </c>
      <c r="S1617">
        <f t="shared" si="50"/>
        <v>1</v>
      </c>
      <c r="T1617">
        <f t="shared" si="51"/>
        <v>1</v>
      </c>
    </row>
    <row r="1618" spans="1:20" x14ac:dyDescent="0.2">
      <c r="A1618" t="s">
        <v>1900</v>
      </c>
      <c r="B1618">
        <f>IF(COUNTIFS('United Data'!$A$3:$A$3390,B$1,'United Data'!$C$3:$C$3390,$A1618,'United Data'!$B$3:$B$3390,"&lt;&gt;Off-street")&gt;0,1,0)</f>
        <v>0</v>
      </c>
      <c r="C1618">
        <f>IF(COUNTIFS('United Data'!$A$3:$A$3390,C$1,'United Data'!$C$3:$C$3390,$A1618,'United Data'!$B$3:$B$3390,"&lt;&gt;Off-street")&gt;0,1,0)</f>
        <v>0</v>
      </c>
      <c r="D1618">
        <f>IF(COUNTIFS('United Data'!$A$3:$A$3390,D$1,'United Data'!$C$3:$C$3390,$A1618,'United Data'!$B$3:$B$3390,"&lt;&gt;Off-street")&gt;0,1,0)</f>
        <v>0</v>
      </c>
      <c r="E1618">
        <f>IF(COUNTIFS('United Data'!$A$3:$A$3390,E$1,'United Data'!$C$3:$C$3390,$A1618,'United Data'!$B$3:$B$3390,"&lt;&gt;Off-street")&gt;0,1,0)</f>
        <v>0</v>
      </c>
      <c r="F1618">
        <f>IF(COUNTIFS('United Data'!$A$3:$A$3390,F$1,'United Data'!$C$3:$C$3390,$A1618,'United Data'!$B$3:$B$3390,"&lt;&gt;Off-street")&gt;0,1,0)</f>
        <v>0</v>
      </c>
      <c r="G1618">
        <f>IF(COUNTIFS('United Data'!$A$3:$A$3390,G$1,'United Data'!$C$3:$C$3390,$A1618,'United Data'!$B$3:$B$3390,"&lt;&gt;Off-street")&gt;0,1,0)</f>
        <v>0</v>
      </c>
      <c r="H1618">
        <f>IF(COUNTIFS('United Data'!$A$3:$A$3390,H$1,'United Data'!$C$3:$C$3390,$A1618,'United Data'!$B$3:$B$3390,"&lt;&gt;Off-street")&gt;0,1,0)</f>
        <v>0</v>
      </c>
      <c r="I1618">
        <f>IF(COUNTIFS('United Data'!$A$3:$A$3390,I$1,'United Data'!$C$3:$C$3390,$A1618,'United Data'!$B$3:$B$3390,"&lt;&gt;Off-street")&gt;0,1,0)</f>
        <v>0</v>
      </c>
      <c r="J1618">
        <f>IF(COUNTIFS('United Data'!$A$3:$A$3390,J$1,'United Data'!$C$3:$C$3390,$A1618,'United Data'!$B$3:$B$3390,"&lt;&gt;Off-street")&gt;0,1,0)</f>
        <v>0</v>
      </c>
      <c r="K1618">
        <f>IF(COUNTIFS('United Data'!$A$3:$A$3390,K$1,'United Data'!$C$3:$C$3390,$A1618,'United Data'!$B$3:$B$3390,"&lt;&gt;Off-street")&gt;0,1,0)</f>
        <v>0</v>
      </c>
      <c r="L1618">
        <f>IF(COUNTIFS('United Data'!$A$3:$A$3390,L$1,'United Data'!$C$3:$C$3390,$A1618,'United Data'!$B$3:$B$3390,"&lt;&gt;Off-street")&gt;0,1,0)</f>
        <v>0</v>
      </c>
      <c r="M1618">
        <f>IF(COUNTIFS('United Data'!$A$3:$A$3390,M$1,'United Data'!$C$3:$C$3390,$A1618,'United Data'!$B$3:$B$3390,"&lt;&gt;Off-street")&gt;0,1,0)</f>
        <v>0</v>
      </c>
      <c r="N1618">
        <f>IF(COUNTIFS('United Data'!$A$3:$A$3390,N$1,'United Data'!$C$3:$C$3390,$A1618,'United Data'!$B$3:$B$3390,"&lt;&gt;Off-street")&gt;0,1,0)</f>
        <v>1</v>
      </c>
      <c r="O1618">
        <f>IF(COUNTIFS('United Data'!$A$3:$A$3390,O$1,'United Data'!$C$3:$C$3390,$A1618,'United Data'!$B$3:$B$3390,"&lt;&gt;Off-street")&gt;0,1,0)</f>
        <v>0</v>
      </c>
      <c r="P1618">
        <f>IF(COUNTIFS('United Data'!$A$3:$A$3390,P$1,'United Data'!$C$3:$C$3390,$A1618,'United Data'!$B$3:$B$3390,"&lt;&gt;Off-street")&gt;0,1,0)</f>
        <v>0</v>
      </c>
      <c r="Q1618">
        <f>IF(COUNTIFS('United Data'!$A$3:$A$3390,Q$1,'United Data'!$C$3:$C$3390,$A1618,'United Data'!$B$3:$B$3390,"&lt;&gt;Off-street")&gt;0,1,0)</f>
        <v>0</v>
      </c>
      <c r="R1618">
        <f>IF(COUNTIFS('United Data'!$A$3:$A$3390,R$1,'United Data'!$C$3:$C$3390,$A1618,'United Data'!$B$3:$B$3390,"&lt;&gt;Off-street")&gt;0,1,0)</f>
        <v>0</v>
      </c>
      <c r="S1618">
        <f t="shared" si="50"/>
        <v>1</v>
      </c>
      <c r="T1618">
        <f t="shared" si="51"/>
        <v>1</v>
      </c>
    </row>
    <row r="1619" spans="1:20" x14ac:dyDescent="0.2">
      <c r="A1619" t="s">
        <v>1901</v>
      </c>
      <c r="B1619">
        <f>IF(COUNTIFS('United Data'!$A$3:$A$3390,B$1,'United Data'!$C$3:$C$3390,$A1619,'United Data'!$B$3:$B$3390,"&lt;&gt;Off-street")&gt;0,1,0)</f>
        <v>0</v>
      </c>
      <c r="C1619">
        <f>IF(COUNTIFS('United Data'!$A$3:$A$3390,C$1,'United Data'!$C$3:$C$3390,$A1619,'United Data'!$B$3:$B$3390,"&lt;&gt;Off-street")&gt;0,1,0)</f>
        <v>0</v>
      </c>
      <c r="D1619">
        <f>IF(COUNTIFS('United Data'!$A$3:$A$3390,D$1,'United Data'!$C$3:$C$3390,$A1619,'United Data'!$B$3:$B$3390,"&lt;&gt;Off-street")&gt;0,1,0)</f>
        <v>0</v>
      </c>
      <c r="E1619">
        <f>IF(COUNTIFS('United Data'!$A$3:$A$3390,E$1,'United Data'!$C$3:$C$3390,$A1619,'United Data'!$B$3:$B$3390,"&lt;&gt;Off-street")&gt;0,1,0)</f>
        <v>0</v>
      </c>
      <c r="F1619">
        <f>IF(COUNTIFS('United Data'!$A$3:$A$3390,F$1,'United Data'!$C$3:$C$3390,$A1619,'United Data'!$B$3:$B$3390,"&lt;&gt;Off-street")&gt;0,1,0)</f>
        <v>0</v>
      </c>
      <c r="G1619">
        <f>IF(COUNTIFS('United Data'!$A$3:$A$3390,G$1,'United Data'!$C$3:$C$3390,$A1619,'United Data'!$B$3:$B$3390,"&lt;&gt;Off-street")&gt;0,1,0)</f>
        <v>0</v>
      </c>
      <c r="H1619">
        <f>IF(COUNTIFS('United Data'!$A$3:$A$3390,H$1,'United Data'!$C$3:$C$3390,$A1619,'United Data'!$B$3:$B$3390,"&lt;&gt;Off-street")&gt;0,1,0)</f>
        <v>0</v>
      </c>
      <c r="I1619">
        <f>IF(COUNTIFS('United Data'!$A$3:$A$3390,I$1,'United Data'!$C$3:$C$3390,$A1619,'United Data'!$B$3:$B$3390,"&lt;&gt;Off-street")&gt;0,1,0)</f>
        <v>0</v>
      </c>
      <c r="J1619">
        <f>IF(COUNTIFS('United Data'!$A$3:$A$3390,J$1,'United Data'!$C$3:$C$3390,$A1619,'United Data'!$B$3:$B$3390,"&lt;&gt;Off-street")&gt;0,1,0)</f>
        <v>0</v>
      </c>
      <c r="K1619">
        <f>IF(COUNTIFS('United Data'!$A$3:$A$3390,K$1,'United Data'!$C$3:$C$3390,$A1619,'United Data'!$B$3:$B$3390,"&lt;&gt;Off-street")&gt;0,1,0)</f>
        <v>0</v>
      </c>
      <c r="L1619">
        <f>IF(COUNTIFS('United Data'!$A$3:$A$3390,L$1,'United Data'!$C$3:$C$3390,$A1619,'United Data'!$B$3:$B$3390,"&lt;&gt;Off-street")&gt;0,1,0)</f>
        <v>0</v>
      </c>
      <c r="M1619">
        <f>IF(COUNTIFS('United Data'!$A$3:$A$3390,M$1,'United Data'!$C$3:$C$3390,$A1619,'United Data'!$B$3:$B$3390,"&lt;&gt;Off-street")&gt;0,1,0)</f>
        <v>0</v>
      </c>
      <c r="N1619">
        <f>IF(COUNTIFS('United Data'!$A$3:$A$3390,N$1,'United Data'!$C$3:$C$3390,$A1619,'United Data'!$B$3:$B$3390,"&lt;&gt;Off-street")&gt;0,1,0)</f>
        <v>0</v>
      </c>
      <c r="O1619">
        <f>IF(COUNTIFS('United Data'!$A$3:$A$3390,O$1,'United Data'!$C$3:$C$3390,$A1619,'United Data'!$B$3:$B$3390,"&lt;&gt;Off-street")&gt;0,1,0)</f>
        <v>1</v>
      </c>
      <c r="P1619">
        <f>IF(COUNTIFS('United Data'!$A$3:$A$3390,P$1,'United Data'!$C$3:$C$3390,$A1619,'United Data'!$B$3:$B$3390,"&lt;&gt;Off-street")&gt;0,1,0)</f>
        <v>0</v>
      </c>
      <c r="Q1619">
        <f>IF(COUNTIFS('United Data'!$A$3:$A$3390,Q$1,'United Data'!$C$3:$C$3390,$A1619,'United Data'!$B$3:$B$3390,"&lt;&gt;Off-street")&gt;0,1,0)</f>
        <v>0</v>
      </c>
      <c r="R1619">
        <f>IF(COUNTIFS('United Data'!$A$3:$A$3390,R$1,'United Data'!$C$3:$C$3390,$A1619,'United Data'!$B$3:$B$3390,"&lt;&gt;Off-street")&gt;0,1,0)</f>
        <v>0</v>
      </c>
      <c r="S1619">
        <f t="shared" si="50"/>
        <v>1</v>
      </c>
      <c r="T1619">
        <f t="shared" si="51"/>
        <v>1</v>
      </c>
    </row>
    <row r="1620" spans="1:20" x14ac:dyDescent="0.2">
      <c r="A1620" t="s">
        <v>1902</v>
      </c>
      <c r="B1620">
        <f>IF(COUNTIFS('United Data'!$A$3:$A$3390,B$1,'United Data'!$C$3:$C$3390,$A1620,'United Data'!$B$3:$B$3390,"&lt;&gt;Off-street")&gt;0,1,0)</f>
        <v>0</v>
      </c>
      <c r="C1620">
        <f>IF(COUNTIFS('United Data'!$A$3:$A$3390,C$1,'United Data'!$C$3:$C$3390,$A1620,'United Data'!$B$3:$B$3390,"&lt;&gt;Off-street")&gt;0,1,0)</f>
        <v>0</v>
      </c>
      <c r="D1620">
        <f>IF(COUNTIFS('United Data'!$A$3:$A$3390,D$1,'United Data'!$C$3:$C$3390,$A1620,'United Data'!$B$3:$B$3390,"&lt;&gt;Off-street")&gt;0,1,0)</f>
        <v>0</v>
      </c>
      <c r="E1620">
        <f>IF(COUNTIFS('United Data'!$A$3:$A$3390,E$1,'United Data'!$C$3:$C$3390,$A1620,'United Data'!$B$3:$B$3390,"&lt;&gt;Off-street")&gt;0,1,0)</f>
        <v>0</v>
      </c>
      <c r="F1620">
        <f>IF(COUNTIFS('United Data'!$A$3:$A$3390,F$1,'United Data'!$C$3:$C$3390,$A1620,'United Data'!$B$3:$B$3390,"&lt;&gt;Off-street")&gt;0,1,0)</f>
        <v>0</v>
      </c>
      <c r="G1620">
        <f>IF(COUNTIFS('United Data'!$A$3:$A$3390,G$1,'United Data'!$C$3:$C$3390,$A1620,'United Data'!$B$3:$B$3390,"&lt;&gt;Off-street")&gt;0,1,0)</f>
        <v>0</v>
      </c>
      <c r="H1620">
        <f>IF(COUNTIFS('United Data'!$A$3:$A$3390,H$1,'United Data'!$C$3:$C$3390,$A1620,'United Data'!$B$3:$B$3390,"&lt;&gt;Off-street")&gt;0,1,0)</f>
        <v>0</v>
      </c>
      <c r="I1620">
        <f>IF(COUNTIFS('United Data'!$A$3:$A$3390,I$1,'United Data'!$C$3:$C$3390,$A1620,'United Data'!$B$3:$B$3390,"&lt;&gt;Off-street")&gt;0,1,0)</f>
        <v>0</v>
      </c>
      <c r="J1620">
        <f>IF(COUNTIFS('United Data'!$A$3:$A$3390,J$1,'United Data'!$C$3:$C$3390,$A1620,'United Data'!$B$3:$B$3390,"&lt;&gt;Off-street")&gt;0,1,0)</f>
        <v>0</v>
      </c>
      <c r="K1620">
        <f>IF(COUNTIFS('United Data'!$A$3:$A$3390,K$1,'United Data'!$C$3:$C$3390,$A1620,'United Data'!$B$3:$B$3390,"&lt;&gt;Off-street")&gt;0,1,0)</f>
        <v>0</v>
      </c>
      <c r="L1620">
        <f>IF(COUNTIFS('United Data'!$A$3:$A$3390,L$1,'United Data'!$C$3:$C$3390,$A1620,'United Data'!$B$3:$B$3390,"&lt;&gt;Off-street")&gt;0,1,0)</f>
        <v>0</v>
      </c>
      <c r="M1620">
        <f>IF(COUNTIFS('United Data'!$A$3:$A$3390,M$1,'United Data'!$C$3:$C$3390,$A1620,'United Data'!$B$3:$B$3390,"&lt;&gt;Off-street")&gt;0,1,0)</f>
        <v>0</v>
      </c>
      <c r="N1620">
        <f>IF(COUNTIFS('United Data'!$A$3:$A$3390,N$1,'United Data'!$C$3:$C$3390,$A1620,'United Data'!$B$3:$B$3390,"&lt;&gt;Off-street")&gt;0,1,0)</f>
        <v>0</v>
      </c>
      <c r="O1620">
        <f>IF(COUNTIFS('United Data'!$A$3:$A$3390,O$1,'United Data'!$C$3:$C$3390,$A1620,'United Data'!$B$3:$B$3390,"&lt;&gt;Off-street")&gt;0,1,0)</f>
        <v>0</v>
      </c>
      <c r="P1620">
        <f>IF(COUNTIFS('United Data'!$A$3:$A$3390,P$1,'United Data'!$C$3:$C$3390,$A1620,'United Data'!$B$3:$B$3390,"&lt;&gt;Off-street")&gt;0,1,0)</f>
        <v>1</v>
      </c>
      <c r="Q1620">
        <f>IF(COUNTIFS('United Data'!$A$3:$A$3390,Q$1,'United Data'!$C$3:$C$3390,$A1620,'United Data'!$B$3:$B$3390,"&lt;&gt;Off-street")&gt;0,1,0)</f>
        <v>0</v>
      </c>
      <c r="R1620">
        <f>IF(COUNTIFS('United Data'!$A$3:$A$3390,R$1,'United Data'!$C$3:$C$3390,$A1620,'United Data'!$B$3:$B$3390,"&lt;&gt;Off-street")&gt;0,1,0)</f>
        <v>0</v>
      </c>
      <c r="S1620">
        <f t="shared" si="50"/>
        <v>1</v>
      </c>
      <c r="T1620">
        <f t="shared" si="51"/>
        <v>1</v>
      </c>
    </row>
    <row r="1621" spans="1:20" x14ac:dyDescent="0.2">
      <c r="A1621" t="s">
        <v>1903</v>
      </c>
      <c r="B1621">
        <f>IF(COUNTIFS('United Data'!$A$3:$A$3390,B$1,'United Data'!$C$3:$C$3390,$A1621,'United Data'!$B$3:$B$3390,"&lt;&gt;Off-street")&gt;0,1,0)</f>
        <v>0</v>
      </c>
      <c r="C1621">
        <f>IF(COUNTIFS('United Data'!$A$3:$A$3390,C$1,'United Data'!$C$3:$C$3390,$A1621,'United Data'!$B$3:$B$3390,"&lt;&gt;Off-street")&gt;0,1,0)</f>
        <v>0</v>
      </c>
      <c r="D1621">
        <f>IF(COUNTIFS('United Data'!$A$3:$A$3390,D$1,'United Data'!$C$3:$C$3390,$A1621,'United Data'!$B$3:$B$3390,"&lt;&gt;Off-street")&gt;0,1,0)</f>
        <v>0</v>
      </c>
      <c r="E1621">
        <f>IF(COUNTIFS('United Data'!$A$3:$A$3390,E$1,'United Data'!$C$3:$C$3390,$A1621,'United Data'!$B$3:$B$3390,"&lt;&gt;Off-street")&gt;0,1,0)</f>
        <v>0</v>
      </c>
      <c r="F1621">
        <f>IF(COUNTIFS('United Data'!$A$3:$A$3390,F$1,'United Data'!$C$3:$C$3390,$A1621,'United Data'!$B$3:$B$3390,"&lt;&gt;Off-street")&gt;0,1,0)</f>
        <v>0</v>
      </c>
      <c r="G1621">
        <f>IF(COUNTIFS('United Data'!$A$3:$A$3390,G$1,'United Data'!$C$3:$C$3390,$A1621,'United Data'!$B$3:$B$3390,"&lt;&gt;Off-street")&gt;0,1,0)</f>
        <v>0</v>
      </c>
      <c r="H1621">
        <f>IF(COUNTIFS('United Data'!$A$3:$A$3390,H$1,'United Data'!$C$3:$C$3390,$A1621,'United Data'!$B$3:$B$3390,"&lt;&gt;Off-street")&gt;0,1,0)</f>
        <v>0</v>
      </c>
      <c r="I1621">
        <f>IF(COUNTIFS('United Data'!$A$3:$A$3390,I$1,'United Data'!$C$3:$C$3390,$A1621,'United Data'!$B$3:$B$3390,"&lt;&gt;Off-street")&gt;0,1,0)</f>
        <v>0</v>
      </c>
      <c r="J1621">
        <f>IF(COUNTIFS('United Data'!$A$3:$A$3390,J$1,'United Data'!$C$3:$C$3390,$A1621,'United Data'!$B$3:$B$3390,"&lt;&gt;Off-street")&gt;0,1,0)</f>
        <v>0</v>
      </c>
      <c r="K1621">
        <f>IF(COUNTIFS('United Data'!$A$3:$A$3390,K$1,'United Data'!$C$3:$C$3390,$A1621,'United Data'!$B$3:$B$3390,"&lt;&gt;Off-street")&gt;0,1,0)</f>
        <v>0</v>
      </c>
      <c r="L1621">
        <f>IF(COUNTIFS('United Data'!$A$3:$A$3390,L$1,'United Data'!$C$3:$C$3390,$A1621,'United Data'!$B$3:$B$3390,"&lt;&gt;Off-street")&gt;0,1,0)</f>
        <v>0</v>
      </c>
      <c r="M1621">
        <f>IF(COUNTIFS('United Data'!$A$3:$A$3390,M$1,'United Data'!$C$3:$C$3390,$A1621,'United Data'!$B$3:$B$3390,"&lt;&gt;Off-street")&gt;0,1,0)</f>
        <v>0</v>
      </c>
      <c r="N1621">
        <f>IF(COUNTIFS('United Data'!$A$3:$A$3390,N$1,'United Data'!$C$3:$C$3390,$A1621,'United Data'!$B$3:$B$3390,"&lt;&gt;Off-street")&gt;0,1,0)</f>
        <v>0</v>
      </c>
      <c r="O1621">
        <f>IF(COUNTIFS('United Data'!$A$3:$A$3390,O$1,'United Data'!$C$3:$C$3390,$A1621,'United Data'!$B$3:$B$3390,"&lt;&gt;Off-street")&gt;0,1,0)</f>
        <v>0</v>
      </c>
      <c r="P1621">
        <f>IF(COUNTIFS('United Data'!$A$3:$A$3390,P$1,'United Data'!$C$3:$C$3390,$A1621,'United Data'!$B$3:$B$3390,"&lt;&gt;Off-street")&gt;0,1,0)</f>
        <v>1</v>
      </c>
      <c r="Q1621">
        <f>IF(COUNTIFS('United Data'!$A$3:$A$3390,Q$1,'United Data'!$C$3:$C$3390,$A1621,'United Data'!$B$3:$B$3390,"&lt;&gt;Off-street")&gt;0,1,0)</f>
        <v>0</v>
      </c>
      <c r="R1621">
        <f>IF(COUNTIFS('United Data'!$A$3:$A$3390,R$1,'United Data'!$C$3:$C$3390,$A1621,'United Data'!$B$3:$B$3390,"&lt;&gt;Off-street")&gt;0,1,0)</f>
        <v>0</v>
      </c>
      <c r="S1621">
        <f t="shared" si="50"/>
        <v>1</v>
      </c>
      <c r="T1621">
        <f t="shared" si="51"/>
        <v>1</v>
      </c>
    </row>
    <row r="1622" spans="1:20" x14ac:dyDescent="0.2">
      <c r="A1622" t="s">
        <v>1904</v>
      </c>
      <c r="B1622">
        <f>IF(COUNTIFS('United Data'!$A$3:$A$3390,B$1,'United Data'!$C$3:$C$3390,$A1622,'United Data'!$B$3:$B$3390,"&lt;&gt;Off-street")&gt;0,1,0)</f>
        <v>0</v>
      </c>
      <c r="C1622">
        <f>IF(COUNTIFS('United Data'!$A$3:$A$3390,C$1,'United Data'!$C$3:$C$3390,$A1622,'United Data'!$B$3:$B$3390,"&lt;&gt;Off-street")&gt;0,1,0)</f>
        <v>0</v>
      </c>
      <c r="D1622">
        <f>IF(COUNTIFS('United Data'!$A$3:$A$3390,D$1,'United Data'!$C$3:$C$3390,$A1622,'United Data'!$B$3:$B$3390,"&lt;&gt;Off-street")&gt;0,1,0)</f>
        <v>0</v>
      </c>
      <c r="E1622">
        <f>IF(COUNTIFS('United Data'!$A$3:$A$3390,E$1,'United Data'!$C$3:$C$3390,$A1622,'United Data'!$B$3:$B$3390,"&lt;&gt;Off-street")&gt;0,1,0)</f>
        <v>0</v>
      </c>
      <c r="F1622">
        <f>IF(COUNTIFS('United Data'!$A$3:$A$3390,F$1,'United Data'!$C$3:$C$3390,$A1622,'United Data'!$B$3:$B$3390,"&lt;&gt;Off-street")&gt;0,1,0)</f>
        <v>0</v>
      </c>
      <c r="G1622">
        <f>IF(COUNTIFS('United Data'!$A$3:$A$3390,G$1,'United Data'!$C$3:$C$3390,$A1622,'United Data'!$B$3:$B$3390,"&lt;&gt;Off-street")&gt;0,1,0)</f>
        <v>0</v>
      </c>
      <c r="H1622">
        <f>IF(COUNTIFS('United Data'!$A$3:$A$3390,H$1,'United Data'!$C$3:$C$3390,$A1622,'United Data'!$B$3:$B$3390,"&lt;&gt;Off-street")&gt;0,1,0)</f>
        <v>0</v>
      </c>
      <c r="I1622">
        <f>IF(COUNTIFS('United Data'!$A$3:$A$3390,I$1,'United Data'!$C$3:$C$3390,$A1622,'United Data'!$B$3:$B$3390,"&lt;&gt;Off-street")&gt;0,1,0)</f>
        <v>0</v>
      </c>
      <c r="J1622">
        <f>IF(COUNTIFS('United Data'!$A$3:$A$3390,J$1,'United Data'!$C$3:$C$3390,$A1622,'United Data'!$B$3:$B$3390,"&lt;&gt;Off-street")&gt;0,1,0)</f>
        <v>0</v>
      </c>
      <c r="K1622">
        <f>IF(COUNTIFS('United Data'!$A$3:$A$3390,K$1,'United Data'!$C$3:$C$3390,$A1622,'United Data'!$B$3:$B$3390,"&lt;&gt;Off-street")&gt;0,1,0)</f>
        <v>0</v>
      </c>
      <c r="L1622">
        <f>IF(COUNTIFS('United Data'!$A$3:$A$3390,L$1,'United Data'!$C$3:$C$3390,$A1622,'United Data'!$B$3:$B$3390,"&lt;&gt;Off-street")&gt;0,1,0)</f>
        <v>0</v>
      </c>
      <c r="M1622">
        <f>IF(COUNTIFS('United Data'!$A$3:$A$3390,M$1,'United Data'!$C$3:$C$3390,$A1622,'United Data'!$B$3:$B$3390,"&lt;&gt;Off-street")&gt;0,1,0)</f>
        <v>0</v>
      </c>
      <c r="N1622">
        <f>IF(COUNTIFS('United Data'!$A$3:$A$3390,N$1,'United Data'!$C$3:$C$3390,$A1622,'United Data'!$B$3:$B$3390,"&lt;&gt;Off-street")&gt;0,1,0)</f>
        <v>0</v>
      </c>
      <c r="O1622">
        <f>IF(COUNTIFS('United Data'!$A$3:$A$3390,O$1,'United Data'!$C$3:$C$3390,$A1622,'United Data'!$B$3:$B$3390,"&lt;&gt;Off-street")&gt;0,1,0)</f>
        <v>0</v>
      </c>
      <c r="P1622">
        <f>IF(COUNTIFS('United Data'!$A$3:$A$3390,P$1,'United Data'!$C$3:$C$3390,$A1622,'United Data'!$B$3:$B$3390,"&lt;&gt;Off-street")&gt;0,1,0)</f>
        <v>1</v>
      </c>
      <c r="Q1622">
        <f>IF(COUNTIFS('United Data'!$A$3:$A$3390,Q$1,'United Data'!$C$3:$C$3390,$A1622,'United Data'!$B$3:$B$3390,"&lt;&gt;Off-street")&gt;0,1,0)</f>
        <v>0</v>
      </c>
      <c r="R1622">
        <f>IF(COUNTIFS('United Data'!$A$3:$A$3390,R$1,'United Data'!$C$3:$C$3390,$A1622,'United Data'!$B$3:$B$3390,"&lt;&gt;Off-street")&gt;0,1,0)</f>
        <v>0</v>
      </c>
      <c r="S1622">
        <f t="shared" si="50"/>
        <v>1</v>
      </c>
      <c r="T1622">
        <f t="shared" si="51"/>
        <v>1</v>
      </c>
    </row>
    <row r="1623" spans="1:20" x14ac:dyDescent="0.2">
      <c r="A1623" t="s">
        <v>1905</v>
      </c>
      <c r="B1623">
        <f>IF(COUNTIFS('United Data'!$A$3:$A$3390,B$1,'United Data'!$C$3:$C$3390,$A1623,'United Data'!$B$3:$B$3390,"&lt;&gt;Off-street")&gt;0,1,0)</f>
        <v>1</v>
      </c>
      <c r="C1623">
        <f>IF(COUNTIFS('United Data'!$A$3:$A$3390,C$1,'United Data'!$C$3:$C$3390,$A1623,'United Data'!$B$3:$B$3390,"&lt;&gt;Off-street")&gt;0,1,0)</f>
        <v>0</v>
      </c>
      <c r="D1623">
        <f>IF(COUNTIFS('United Data'!$A$3:$A$3390,D$1,'United Data'!$C$3:$C$3390,$A1623,'United Data'!$B$3:$B$3390,"&lt;&gt;Off-street")&gt;0,1,0)</f>
        <v>0</v>
      </c>
      <c r="E1623">
        <f>IF(COUNTIFS('United Data'!$A$3:$A$3390,E$1,'United Data'!$C$3:$C$3390,$A1623,'United Data'!$B$3:$B$3390,"&lt;&gt;Off-street")&gt;0,1,0)</f>
        <v>0</v>
      </c>
      <c r="F1623">
        <f>IF(COUNTIFS('United Data'!$A$3:$A$3390,F$1,'United Data'!$C$3:$C$3390,$A1623,'United Data'!$B$3:$B$3390,"&lt;&gt;Off-street")&gt;0,1,0)</f>
        <v>0</v>
      </c>
      <c r="G1623">
        <f>IF(COUNTIFS('United Data'!$A$3:$A$3390,G$1,'United Data'!$C$3:$C$3390,$A1623,'United Data'!$B$3:$B$3390,"&lt;&gt;Off-street")&gt;0,1,0)</f>
        <v>0</v>
      </c>
      <c r="H1623">
        <f>IF(COUNTIFS('United Data'!$A$3:$A$3390,H$1,'United Data'!$C$3:$C$3390,$A1623,'United Data'!$B$3:$B$3390,"&lt;&gt;Off-street")&gt;0,1,0)</f>
        <v>0</v>
      </c>
      <c r="I1623">
        <f>IF(COUNTIFS('United Data'!$A$3:$A$3390,I$1,'United Data'!$C$3:$C$3390,$A1623,'United Data'!$B$3:$B$3390,"&lt;&gt;Off-street")&gt;0,1,0)</f>
        <v>0</v>
      </c>
      <c r="J1623">
        <f>IF(COUNTIFS('United Data'!$A$3:$A$3390,J$1,'United Data'!$C$3:$C$3390,$A1623,'United Data'!$B$3:$B$3390,"&lt;&gt;Off-street")&gt;0,1,0)</f>
        <v>0</v>
      </c>
      <c r="K1623">
        <f>IF(COUNTIFS('United Data'!$A$3:$A$3390,K$1,'United Data'!$C$3:$C$3390,$A1623,'United Data'!$B$3:$B$3390,"&lt;&gt;Off-street")&gt;0,1,0)</f>
        <v>0</v>
      </c>
      <c r="L1623">
        <f>IF(COUNTIFS('United Data'!$A$3:$A$3390,L$1,'United Data'!$C$3:$C$3390,$A1623,'United Data'!$B$3:$B$3390,"&lt;&gt;Off-street")&gt;0,1,0)</f>
        <v>0</v>
      </c>
      <c r="M1623">
        <f>IF(COUNTIFS('United Data'!$A$3:$A$3390,M$1,'United Data'!$C$3:$C$3390,$A1623,'United Data'!$B$3:$B$3390,"&lt;&gt;Off-street")&gt;0,1,0)</f>
        <v>0</v>
      </c>
      <c r="N1623">
        <f>IF(COUNTIFS('United Data'!$A$3:$A$3390,N$1,'United Data'!$C$3:$C$3390,$A1623,'United Data'!$B$3:$B$3390,"&lt;&gt;Off-street")&gt;0,1,0)</f>
        <v>0</v>
      </c>
      <c r="O1623">
        <f>IF(COUNTIFS('United Data'!$A$3:$A$3390,O$1,'United Data'!$C$3:$C$3390,$A1623,'United Data'!$B$3:$B$3390,"&lt;&gt;Off-street")&gt;0,1,0)</f>
        <v>1</v>
      </c>
      <c r="P1623">
        <f>IF(COUNTIFS('United Data'!$A$3:$A$3390,P$1,'United Data'!$C$3:$C$3390,$A1623,'United Data'!$B$3:$B$3390,"&lt;&gt;Off-street")&gt;0,1,0)</f>
        <v>1</v>
      </c>
      <c r="Q1623">
        <f>IF(COUNTIFS('United Data'!$A$3:$A$3390,Q$1,'United Data'!$C$3:$C$3390,$A1623,'United Data'!$B$3:$B$3390,"&lt;&gt;Off-street")&gt;0,1,0)</f>
        <v>1</v>
      </c>
      <c r="R1623">
        <f>IF(COUNTIFS('United Data'!$A$3:$A$3390,R$1,'United Data'!$C$3:$C$3390,$A1623,'United Data'!$B$3:$B$3390,"&lt;&gt;Off-street")&gt;0,1,0)</f>
        <v>0</v>
      </c>
      <c r="S1623">
        <f t="shared" si="50"/>
        <v>4</v>
      </c>
      <c r="T1623">
        <f t="shared" si="51"/>
        <v>2</v>
      </c>
    </row>
    <row r="1624" spans="1:20" x14ac:dyDescent="0.2">
      <c r="A1624" t="s">
        <v>1907</v>
      </c>
      <c r="B1624">
        <f>IF(COUNTIFS('United Data'!$A$3:$A$3390,B$1,'United Data'!$C$3:$C$3390,$A1624,'United Data'!$B$3:$B$3390,"&lt;&gt;Off-street")&gt;0,1,0)</f>
        <v>0</v>
      </c>
      <c r="C1624">
        <f>IF(COUNTIFS('United Data'!$A$3:$A$3390,C$1,'United Data'!$C$3:$C$3390,$A1624,'United Data'!$B$3:$B$3390,"&lt;&gt;Off-street")&gt;0,1,0)</f>
        <v>0</v>
      </c>
      <c r="D1624">
        <f>IF(COUNTIFS('United Data'!$A$3:$A$3390,D$1,'United Data'!$C$3:$C$3390,$A1624,'United Data'!$B$3:$B$3390,"&lt;&gt;Off-street")&gt;0,1,0)</f>
        <v>1</v>
      </c>
      <c r="E1624">
        <f>IF(COUNTIFS('United Data'!$A$3:$A$3390,E$1,'United Data'!$C$3:$C$3390,$A1624,'United Data'!$B$3:$B$3390,"&lt;&gt;Off-street")&gt;0,1,0)</f>
        <v>0</v>
      </c>
      <c r="F1624">
        <f>IF(COUNTIFS('United Data'!$A$3:$A$3390,F$1,'United Data'!$C$3:$C$3390,$A1624,'United Data'!$B$3:$B$3390,"&lt;&gt;Off-street")&gt;0,1,0)</f>
        <v>0</v>
      </c>
      <c r="G1624">
        <f>IF(COUNTIFS('United Data'!$A$3:$A$3390,G$1,'United Data'!$C$3:$C$3390,$A1624,'United Data'!$B$3:$B$3390,"&lt;&gt;Off-street")&gt;0,1,0)</f>
        <v>0</v>
      </c>
      <c r="H1624">
        <f>IF(COUNTIFS('United Data'!$A$3:$A$3390,H$1,'United Data'!$C$3:$C$3390,$A1624,'United Data'!$B$3:$B$3390,"&lt;&gt;Off-street")&gt;0,1,0)</f>
        <v>0</v>
      </c>
      <c r="I1624">
        <f>IF(COUNTIFS('United Data'!$A$3:$A$3390,I$1,'United Data'!$C$3:$C$3390,$A1624,'United Data'!$B$3:$B$3390,"&lt;&gt;Off-street")&gt;0,1,0)</f>
        <v>0</v>
      </c>
      <c r="J1624">
        <f>IF(COUNTIFS('United Data'!$A$3:$A$3390,J$1,'United Data'!$C$3:$C$3390,$A1624,'United Data'!$B$3:$B$3390,"&lt;&gt;Off-street")&gt;0,1,0)</f>
        <v>0</v>
      </c>
      <c r="K1624">
        <f>IF(COUNTIFS('United Data'!$A$3:$A$3390,K$1,'United Data'!$C$3:$C$3390,$A1624,'United Data'!$B$3:$B$3390,"&lt;&gt;Off-street")&gt;0,1,0)</f>
        <v>0</v>
      </c>
      <c r="L1624">
        <f>IF(COUNTIFS('United Data'!$A$3:$A$3390,L$1,'United Data'!$C$3:$C$3390,$A1624,'United Data'!$B$3:$B$3390,"&lt;&gt;Off-street")&gt;0,1,0)</f>
        <v>0</v>
      </c>
      <c r="M1624">
        <f>IF(COUNTIFS('United Data'!$A$3:$A$3390,M$1,'United Data'!$C$3:$C$3390,$A1624,'United Data'!$B$3:$B$3390,"&lt;&gt;Off-street")&gt;0,1,0)</f>
        <v>0</v>
      </c>
      <c r="N1624">
        <f>IF(COUNTIFS('United Data'!$A$3:$A$3390,N$1,'United Data'!$C$3:$C$3390,$A1624,'United Data'!$B$3:$B$3390,"&lt;&gt;Off-street")&gt;0,1,0)</f>
        <v>0</v>
      </c>
      <c r="O1624">
        <f>IF(COUNTIFS('United Data'!$A$3:$A$3390,O$1,'United Data'!$C$3:$C$3390,$A1624,'United Data'!$B$3:$B$3390,"&lt;&gt;Off-street")&gt;0,1,0)</f>
        <v>0</v>
      </c>
      <c r="P1624">
        <f>IF(COUNTIFS('United Data'!$A$3:$A$3390,P$1,'United Data'!$C$3:$C$3390,$A1624,'United Data'!$B$3:$B$3390,"&lt;&gt;Off-street")&gt;0,1,0)</f>
        <v>0</v>
      </c>
      <c r="Q1624">
        <f>IF(COUNTIFS('United Data'!$A$3:$A$3390,Q$1,'United Data'!$C$3:$C$3390,$A1624,'United Data'!$B$3:$B$3390,"&lt;&gt;Off-street")&gt;0,1,0)</f>
        <v>0</v>
      </c>
      <c r="R1624">
        <f>IF(COUNTIFS('United Data'!$A$3:$A$3390,R$1,'United Data'!$C$3:$C$3390,$A1624,'United Data'!$B$3:$B$3390,"&lt;&gt;Off-street")&gt;0,1,0)</f>
        <v>0</v>
      </c>
      <c r="S1624">
        <f t="shared" si="50"/>
        <v>1</v>
      </c>
      <c r="T1624">
        <f t="shared" si="51"/>
        <v>1</v>
      </c>
    </row>
    <row r="1625" spans="1:20" x14ac:dyDescent="0.2">
      <c r="A1625" t="s">
        <v>1908</v>
      </c>
      <c r="B1625">
        <f>IF(COUNTIFS('United Data'!$A$3:$A$3390,B$1,'United Data'!$C$3:$C$3390,$A1625,'United Data'!$B$3:$B$3390,"&lt;&gt;Off-street")&gt;0,1,0)</f>
        <v>0</v>
      </c>
      <c r="C1625">
        <f>IF(COUNTIFS('United Data'!$A$3:$A$3390,C$1,'United Data'!$C$3:$C$3390,$A1625,'United Data'!$B$3:$B$3390,"&lt;&gt;Off-street")&gt;0,1,0)</f>
        <v>0</v>
      </c>
      <c r="D1625">
        <f>IF(COUNTIFS('United Data'!$A$3:$A$3390,D$1,'United Data'!$C$3:$C$3390,$A1625,'United Data'!$B$3:$B$3390,"&lt;&gt;Off-street")&gt;0,1,0)</f>
        <v>1</v>
      </c>
      <c r="E1625">
        <f>IF(COUNTIFS('United Data'!$A$3:$A$3390,E$1,'United Data'!$C$3:$C$3390,$A1625,'United Data'!$B$3:$B$3390,"&lt;&gt;Off-street")&gt;0,1,0)</f>
        <v>1</v>
      </c>
      <c r="F1625">
        <f>IF(COUNTIFS('United Data'!$A$3:$A$3390,F$1,'United Data'!$C$3:$C$3390,$A1625,'United Data'!$B$3:$B$3390,"&lt;&gt;Off-street")&gt;0,1,0)</f>
        <v>0</v>
      </c>
      <c r="G1625">
        <f>IF(COUNTIFS('United Data'!$A$3:$A$3390,G$1,'United Data'!$C$3:$C$3390,$A1625,'United Data'!$B$3:$B$3390,"&lt;&gt;Off-street")&gt;0,1,0)</f>
        <v>1</v>
      </c>
      <c r="H1625">
        <f>IF(COUNTIFS('United Data'!$A$3:$A$3390,H$1,'United Data'!$C$3:$C$3390,$A1625,'United Data'!$B$3:$B$3390,"&lt;&gt;Off-street")&gt;0,1,0)</f>
        <v>0</v>
      </c>
      <c r="I1625">
        <f>IF(COUNTIFS('United Data'!$A$3:$A$3390,I$1,'United Data'!$C$3:$C$3390,$A1625,'United Data'!$B$3:$B$3390,"&lt;&gt;Off-street")&gt;0,1,0)</f>
        <v>0</v>
      </c>
      <c r="J1625">
        <f>IF(COUNTIFS('United Data'!$A$3:$A$3390,J$1,'United Data'!$C$3:$C$3390,$A1625,'United Data'!$B$3:$B$3390,"&lt;&gt;Off-street")&gt;0,1,0)</f>
        <v>0</v>
      </c>
      <c r="K1625">
        <f>IF(COUNTIFS('United Data'!$A$3:$A$3390,K$1,'United Data'!$C$3:$C$3390,$A1625,'United Data'!$B$3:$B$3390,"&lt;&gt;Off-street")&gt;0,1,0)</f>
        <v>0</v>
      </c>
      <c r="L1625">
        <f>IF(COUNTIFS('United Data'!$A$3:$A$3390,L$1,'United Data'!$C$3:$C$3390,$A1625,'United Data'!$B$3:$B$3390,"&lt;&gt;Off-street")&gt;0,1,0)</f>
        <v>0</v>
      </c>
      <c r="M1625">
        <f>IF(COUNTIFS('United Data'!$A$3:$A$3390,M$1,'United Data'!$C$3:$C$3390,$A1625,'United Data'!$B$3:$B$3390,"&lt;&gt;Off-street")&gt;0,1,0)</f>
        <v>0</v>
      </c>
      <c r="N1625">
        <f>IF(COUNTIFS('United Data'!$A$3:$A$3390,N$1,'United Data'!$C$3:$C$3390,$A1625,'United Data'!$B$3:$B$3390,"&lt;&gt;Off-street")&gt;0,1,0)</f>
        <v>0</v>
      </c>
      <c r="O1625">
        <f>IF(COUNTIFS('United Data'!$A$3:$A$3390,O$1,'United Data'!$C$3:$C$3390,$A1625,'United Data'!$B$3:$B$3390,"&lt;&gt;Off-street")&gt;0,1,0)</f>
        <v>1</v>
      </c>
      <c r="P1625">
        <f>IF(COUNTIFS('United Data'!$A$3:$A$3390,P$1,'United Data'!$C$3:$C$3390,$A1625,'United Data'!$B$3:$B$3390,"&lt;&gt;Off-street")&gt;0,1,0)</f>
        <v>0</v>
      </c>
      <c r="Q1625">
        <f>IF(COUNTIFS('United Data'!$A$3:$A$3390,Q$1,'United Data'!$C$3:$C$3390,$A1625,'United Data'!$B$3:$B$3390,"&lt;&gt;Off-street")&gt;0,1,0)</f>
        <v>0</v>
      </c>
      <c r="R1625">
        <f>IF(COUNTIFS('United Data'!$A$3:$A$3390,R$1,'United Data'!$C$3:$C$3390,$A1625,'United Data'!$B$3:$B$3390,"&lt;&gt;Off-street")&gt;0,1,0)</f>
        <v>1</v>
      </c>
      <c r="S1625">
        <f t="shared" si="50"/>
        <v>5</v>
      </c>
      <c r="T1625">
        <f t="shared" si="51"/>
        <v>4</v>
      </c>
    </row>
    <row r="1626" spans="1:20" x14ac:dyDescent="0.2">
      <c r="A1626" t="s">
        <v>1909</v>
      </c>
      <c r="B1626">
        <f>IF(COUNTIFS('United Data'!$A$3:$A$3390,B$1,'United Data'!$C$3:$C$3390,$A1626,'United Data'!$B$3:$B$3390,"&lt;&gt;Off-street")&gt;0,1,0)</f>
        <v>0</v>
      </c>
      <c r="C1626">
        <f>IF(COUNTIFS('United Data'!$A$3:$A$3390,C$1,'United Data'!$C$3:$C$3390,$A1626,'United Data'!$B$3:$B$3390,"&lt;&gt;Off-street")&gt;0,1,0)</f>
        <v>0</v>
      </c>
      <c r="D1626">
        <f>IF(COUNTIFS('United Data'!$A$3:$A$3390,D$1,'United Data'!$C$3:$C$3390,$A1626,'United Data'!$B$3:$B$3390,"&lt;&gt;Off-street")&gt;0,1,0)</f>
        <v>1</v>
      </c>
      <c r="E1626">
        <f>IF(COUNTIFS('United Data'!$A$3:$A$3390,E$1,'United Data'!$C$3:$C$3390,$A1626,'United Data'!$B$3:$B$3390,"&lt;&gt;Off-street")&gt;0,1,0)</f>
        <v>0</v>
      </c>
      <c r="F1626">
        <f>IF(COUNTIFS('United Data'!$A$3:$A$3390,F$1,'United Data'!$C$3:$C$3390,$A1626,'United Data'!$B$3:$B$3390,"&lt;&gt;Off-street")&gt;0,1,0)</f>
        <v>0</v>
      </c>
      <c r="G1626">
        <f>IF(COUNTIFS('United Data'!$A$3:$A$3390,G$1,'United Data'!$C$3:$C$3390,$A1626,'United Data'!$B$3:$B$3390,"&lt;&gt;Off-street")&gt;0,1,0)</f>
        <v>0</v>
      </c>
      <c r="H1626">
        <f>IF(COUNTIFS('United Data'!$A$3:$A$3390,H$1,'United Data'!$C$3:$C$3390,$A1626,'United Data'!$B$3:$B$3390,"&lt;&gt;Off-street")&gt;0,1,0)</f>
        <v>0</v>
      </c>
      <c r="I1626">
        <f>IF(COUNTIFS('United Data'!$A$3:$A$3390,I$1,'United Data'!$C$3:$C$3390,$A1626,'United Data'!$B$3:$B$3390,"&lt;&gt;Off-street")&gt;0,1,0)</f>
        <v>0</v>
      </c>
      <c r="J1626">
        <f>IF(COUNTIFS('United Data'!$A$3:$A$3390,J$1,'United Data'!$C$3:$C$3390,$A1626,'United Data'!$B$3:$B$3390,"&lt;&gt;Off-street")&gt;0,1,0)</f>
        <v>0</v>
      </c>
      <c r="K1626">
        <f>IF(COUNTIFS('United Data'!$A$3:$A$3390,K$1,'United Data'!$C$3:$C$3390,$A1626,'United Data'!$B$3:$B$3390,"&lt;&gt;Off-street")&gt;0,1,0)</f>
        <v>0</v>
      </c>
      <c r="L1626">
        <f>IF(COUNTIFS('United Data'!$A$3:$A$3390,L$1,'United Data'!$C$3:$C$3390,$A1626,'United Data'!$B$3:$B$3390,"&lt;&gt;Off-street")&gt;0,1,0)</f>
        <v>0</v>
      </c>
      <c r="M1626">
        <f>IF(COUNTIFS('United Data'!$A$3:$A$3390,M$1,'United Data'!$C$3:$C$3390,$A1626,'United Data'!$B$3:$B$3390,"&lt;&gt;Off-street")&gt;0,1,0)</f>
        <v>0</v>
      </c>
      <c r="N1626">
        <f>IF(COUNTIFS('United Data'!$A$3:$A$3390,N$1,'United Data'!$C$3:$C$3390,$A1626,'United Data'!$B$3:$B$3390,"&lt;&gt;Off-street")&gt;0,1,0)</f>
        <v>0</v>
      </c>
      <c r="O1626">
        <f>IF(COUNTIFS('United Data'!$A$3:$A$3390,O$1,'United Data'!$C$3:$C$3390,$A1626,'United Data'!$B$3:$B$3390,"&lt;&gt;Off-street")&gt;0,1,0)</f>
        <v>0</v>
      </c>
      <c r="P1626">
        <f>IF(COUNTIFS('United Data'!$A$3:$A$3390,P$1,'United Data'!$C$3:$C$3390,$A1626,'United Data'!$B$3:$B$3390,"&lt;&gt;Off-street")&gt;0,1,0)</f>
        <v>0</v>
      </c>
      <c r="Q1626">
        <f>IF(COUNTIFS('United Data'!$A$3:$A$3390,Q$1,'United Data'!$C$3:$C$3390,$A1626,'United Data'!$B$3:$B$3390,"&lt;&gt;Off-street")&gt;0,1,0)</f>
        <v>0</v>
      </c>
      <c r="R1626">
        <f>IF(COUNTIFS('United Data'!$A$3:$A$3390,R$1,'United Data'!$C$3:$C$3390,$A1626,'United Data'!$B$3:$B$3390,"&lt;&gt;Off-street")&gt;0,1,0)</f>
        <v>0</v>
      </c>
      <c r="S1626">
        <f t="shared" si="50"/>
        <v>1</v>
      </c>
      <c r="T1626">
        <f t="shared" si="51"/>
        <v>1</v>
      </c>
    </row>
    <row r="1627" spans="1:20" x14ac:dyDescent="0.2">
      <c r="A1627" t="s">
        <v>1910</v>
      </c>
      <c r="B1627">
        <f>IF(COUNTIFS('United Data'!$A$3:$A$3390,B$1,'United Data'!$C$3:$C$3390,$A1627,'United Data'!$B$3:$B$3390,"&lt;&gt;Off-street")&gt;0,1,0)</f>
        <v>0</v>
      </c>
      <c r="C1627">
        <f>IF(COUNTIFS('United Data'!$A$3:$A$3390,C$1,'United Data'!$C$3:$C$3390,$A1627,'United Data'!$B$3:$B$3390,"&lt;&gt;Off-street")&gt;0,1,0)</f>
        <v>0</v>
      </c>
      <c r="D1627">
        <f>IF(COUNTIFS('United Data'!$A$3:$A$3390,D$1,'United Data'!$C$3:$C$3390,$A1627,'United Data'!$B$3:$B$3390,"&lt;&gt;Off-street")&gt;0,1,0)</f>
        <v>0</v>
      </c>
      <c r="E1627">
        <f>IF(COUNTIFS('United Data'!$A$3:$A$3390,E$1,'United Data'!$C$3:$C$3390,$A1627,'United Data'!$B$3:$B$3390,"&lt;&gt;Off-street")&gt;0,1,0)</f>
        <v>1</v>
      </c>
      <c r="F1627">
        <f>IF(COUNTIFS('United Data'!$A$3:$A$3390,F$1,'United Data'!$C$3:$C$3390,$A1627,'United Data'!$B$3:$B$3390,"&lt;&gt;Off-street")&gt;0,1,0)</f>
        <v>0</v>
      </c>
      <c r="G1627">
        <f>IF(COUNTIFS('United Data'!$A$3:$A$3390,G$1,'United Data'!$C$3:$C$3390,$A1627,'United Data'!$B$3:$B$3390,"&lt;&gt;Off-street")&gt;0,1,0)</f>
        <v>0</v>
      </c>
      <c r="H1627">
        <f>IF(COUNTIFS('United Data'!$A$3:$A$3390,H$1,'United Data'!$C$3:$C$3390,$A1627,'United Data'!$B$3:$B$3390,"&lt;&gt;Off-street")&gt;0,1,0)</f>
        <v>0</v>
      </c>
      <c r="I1627">
        <f>IF(COUNTIFS('United Data'!$A$3:$A$3390,I$1,'United Data'!$C$3:$C$3390,$A1627,'United Data'!$B$3:$B$3390,"&lt;&gt;Off-street")&gt;0,1,0)</f>
        <v>0</v>
      </c>
      <c r="J1627">
        <f>IF(COUNTIFS('United Data'!$A$3:$A$3390,J$1,'United Data'!$C$3:$C$3390,$A1627,'United Data'!$B$3:$B$3390,"&lt;&gt;Off-street")&gt;0,1,0)</f>
        <v>0</v>
      </c>
      <c r="K1627">
        <f>IF(COUNTIFS('United Data'!$A$3:$A$3390,K$1,'United Data'!$C$3:$C$3390,$A1627,'United Data'!$B$3:$B$3390,"&lt;&gt;Off-street")&gt;0,1,0)</f>
        <v>0</v>
      </c>
      <c r="L1627">
        <f>IF(COUNTIFS('United Data'!$A$3:$A$3390,L$1,'United Data'!$C$3:$C$3390,$A1627,'United Data'!$B$3:$B$3390,"&lt;&gt;Off-street")&gt;0,1,0)</f>
        <v>0</v>
      </c>
      <c r="M1627">
        <f>IF(COUNTIFS('United Data'!$A$3:$A$3390,M$1,'United Data'!$C$3:$C$3390,$A1627,'United Data'!$B$3:$B$3390,"&lt;&gt;Off-street")&gt;0,1,0)</f>
        <v>0</v>
      </c>
      <c r="N1627">
        <f>IF(COUNTIFS('United Data'!$A$3:$A$3390,N$1,'United Data'!$C$3:$C$3390,$A1627,'United Data'!$B$3:$B$3390,"&lt;&gt;Off-street")&gt;0,1,0)</f>
        <v>0</v>
      </c>
      <c r="O1627">
        <f>IF(COUNTIFS('United Data'!$A$3:$A$3390,O$1,'United Data'!$C$3:$C$3390,$A1627,'United Data'!$B$3:$B$3390,"&lt;&gt;Off-street")&gt;0,1,0)</f>
        <v>0</v>
      </c>
      <c r="P1627">
        <f>IF(COUNTIFS('United Data'!$A$3:$A$3390,P$1,'United Data'!$C$3:$C$3390,$A1627,'United Data'!$B$3:$B$3390,"&lt;&gt;Off-street")&gt;0,1,0)</f>
        <v>0</v>
      </c>
      <c r="Q1627">
        <f>IF(COUNTIFS('United Data'!$A$3:$A$3390,Q$1,'United Data'!$C$3:$C$3390,$A1627,'United Data'!$B$3:$B$3390,"&lt;&gt;Off-street")&gt;0,1,0)</f>
        <v>0</v>
      </c>
      <c r="R1627">
        <f>IF(COUNTIFS('United Data'!$A$3:$A$3390,R$1,'United Data'!$C$3:$C$3390,$A1627,'United Data'!$B$3:$B$3390,"&lt;&gt;Off-street")&gt;0,1,0)</f>
        <v>0</v>
      </c>
      <c r="S1627">
        <f t="shared" si="50"/>
        <v>1</v>
      </c>
      <c r="T1627">
        <f t="shared" si="51"/>
        <v>1</v>
      </c>
    </row>
    <row r="1628" spans="1:20" x14ac:dyDescent="0.2">
      <c r="A1628" t="s">
        <v>1912</v>
      </c>
      <c r="B1628">
        <f>IF(COUNTIFS('United Data'!$A$3:$A$3390,B$1,'United Data'!$C$3:$C$3390,$A1628,'United Data'!$B$3:$B$3390,"&lt;&gt;Off-street")&gt;0,1,0)</f>
        <v>0</v>
      </c>
      <c r="C1628">
        <f>IF(COUNTIFS('United Data'!$A$3:$A$3390,C$1,'United Data'!$C$3:$C$3390,$A1628,'United Data'!$B$3:$B$3390,"&lt;&gt;Off-street")&gt;0,1,0)</f>
        <v>0</v>
      </c>
      <c r="D1628">
        <f>IF(COUNTIFS('United Data'!$A$3:$A$3390,D$1,'United Data'!$C$3:$C$3390,$A1628,'United Data'!$B$3:$B$3390,"&lt;&gt;Off-street")&gt;0,1,0)</f>
        <v>0</v>
      </c>
      <c r="E1628">
        <f>IF(COUNTIFS('United Data'!$A$3:$A$3390,E$1,'United Data'!$C$3:$C$3390,$A1628,'United Data'!$B$3:$B$3390,"&lt;&gt;Off-street")&gt;0,1,0)</f>
        <v>0</v>
      </c>
      <c r="F1628">
        <f>IF(COUNTIFS('United Data'!$A$3:$A$3390,F$1,'United Data'!$C$3:$C$3390,$A1628,'United Data'!$B$3:$B$3390,"&lt;&gt;Off-street")&gt;0,1,0)</f>
        <v>1</v>
      </c>
      <c r="G1628">
        <f>IF(COUNTIFS('United Data'!$A$3:$A$3390,G$1,'United Data'!$C$3:$C$3390,$A1628,'United Data'!$B$3:$B$3390,"&lt;&gt;Off-street")&gt;0,1,0)</f>
        <v>0</v>
      </c>
      <c r="H1628">
        <f>IF(COUNTIFS('United Data'!$A$3:$A$3390,H$1,'United Data'!$C$3:$C$3390,$A1628,'United Data'!$B$3:$B$3390,"&lt;&gt;Off-street")&gt;0,1,0)</f>
        <v>0</v>
      </c>
      <c r="I1628">
        <f>IF(COUNTIFS('United Data'!$A$3:$A$3390,I$1,'United Data'!$C$3:$C$3390,$A1628,'United Data'!$B$3:$B$3390,"&lt;&gt;Off-street")&gt;0,1,0)</f>
        <v>0</v>
      </c>
      <c r="J1628">
        <f>IF(COUNTIFS('United Data'!$A$3:$A$3390,J$1,'United Data'!$C$3:$C$3390,$A1628,'United Data'!$B$3:$B$3390,"&lt;&gt;Off-street")&gt;0,1,0)</f>
        <v>0</v>
      </c>
      <c r="K1628">
        <f>IF(COUNTIFS('United Data'!$A$3:$A$3390,K$1,'United Data'!$C$3:$C$3390,$A1628,'United Data'!$B$3:$B$3390,"&lt;&gt;Off-street")&gt;0,1,0)</f>
        <v>0</v>
      </c>
      <c r="L1628">
        <f>IF(COUNTIFS('United Data'!$A$3:$A$3390,L$1,'United Data'!$C$3:$C$3390,$A1628,'United Data'!$B$3:$B$3390,"&lt;&gt;Off-street")&gt;0,1,0)</f>
        <v>0</v>
      </c>
      <c r="M1628">
        <f>IF(COUNTIFS('United Data'!$A$3:$A$3390,M$1,'United Data'!$C$3:$C$3390,$A1628,'United Data'!$B$3:$B$3390,"&lt;&gt;Off-street")&gt;0,1,0)</f>
        <v>0</v>
      </c>
      <c r="N1628">
        <f>IF(COUNTIFS('United Data'!$A$3:$A$3390,N$1,'United Data'!$C$3:$C$3390,$A1628,'United Data'!$B$3:$B$3390,"&lt;&gt;Off-street")&gt;0,1,0)</f>
        <v>1</v>
      </c>
      <c r="O1628">
        <f>IF(COUNTIFS('United Data'!$A$3:$A$3390,O$1,'United Data'!$C$3:$C$3390,$A1628,'United Data'!$B$3:$B$3390,"&lt;&gt;Off-street")&gt;0,1,0)</f>
        <v>0</v>
      </c>
      <c r="P1628">
        <f>IF(COUNTIFS('United Data'!$A$3:$A$3390,P$1,'United Data'!$C$3:$C$3390,$A1628,'United Data'!$B$3:$B$3390,"&lt;&gt;Off-street")&gt;0,1,0)</f>
        <v>0</v>
      </c>
      <c r="Q1628">
        <f>IF(COUNTIFS('United Data'!$A$3:$A$3390,Q$1,'United Data'!$C$3:$C$3390,$A1628,'United Data'!$B$3:$B$3390,"&lt;&gt;Off-street")&gt;0,1,0)</f>
        <v>1</v>
      </c>
      <c r="R1628">
        <f>IF(COUNTIFS('United Data'!$A$3:$A$3390,R$1,'United Data'!$C$3:$C$3390,$A1628,'United Data'!$B$3:$B$3390,"&lt;&gt;Off-street")&gt;0,1,0)</f>
        <v>0</v>
      </c>
      <c r="S1628">
        <f t="shared" si="50"/>
        <v>3</v>
      </c>
      <c r="T1628">
        <f t="shared" si="51"/>
        <v>3</v>
      </c>
    </row>
    <row r="1629" spans="1:20" x14ac:dyDescent="0.2">
      <c r="A1629" t="s">
        <v>1913</v>
      </c>
      <c r="B1629">
        <f>IF(COUNTIFS('United Data'!$A$3:$A$3390,B$1,'United Data'!$C$3:$C$3390,$A1629,'United Data'!$B$3:$B$3390,"&lt;&gt;Off-street")&gt;0,1,0)</f>
        <v>0</v>
      </c>
      <c r="C1629">
        <f>IF(COUNTIFS('United Data'!$A$3:$A$3390,C$1,'United Data'!$C$3:$C$3390,$A1629,'United Data'!$B$3:$B$3390,"&lt;&gt;Off-street")&gt;0,1,0)</f>
        <v>0</v>
      </c>
      <c r="D1629">
        <f>IF(COUNTIFS('United Data'!$A$3:$A$3390,D$1,'United Data'!$C$3:$C$3390,$A1629,'United Data'!$B$3:$B$3390,"&lt;&gt;Off-street")&gt;0,1,0)</f>
        <v>0</v>
      </c>
      <c r="E1629">
        <f>IF(COUNTIFS('United Data'!$A$3:$A$3390,E$1,'United Data'!$C$3:$C$3390,$A1629,'United Data'!$B$3:$B$3390,"&lt;&gt;Off-street")&gt;0,1,0)</f>
        <v>0</v>
      </c>
      <c r="F1629">
        <f>IF(COUNTIFS('United Data'!$A$3:$A$3390,F$1,'United Data'!$C$3:$C$3390,$A1629,'United Data'!$B$3:$B$3390,"&lt;&gt;Off-street")&gt;0,1,0)</f>
        <v>1</v>
      </c>
      <c r="G1629">
        <f>IF(COUNTIFS('United Data'!$A$3:$A$3390,G$1,'United Data'!$C$3:$C$3390,$A1629,'United Data'!$B$3:$B$3390,"&lt;&gt;Off-street")&gt;0,1,0)</f>
        <v>0</v>
      </c>
      <c r="H1629">
        <f>IF(COUNTIFS('United Data'!$A$3:$A$3390,H$1,'United Data'!$C$3:$C$3390,$A1629,'United Data'!$B$3:$B$3390,"&lt;&gt;Off-street")&gt;0,1,0)</f>
        <v>0</v>
      </c>
      <c r="I1629">
        <f>IF(COUNTIFS('United Data'!$A$3:$A$3390,I$1,'United Data'!$C$3:$C$3390,$A1629,'United Data'!$B$3:$B$3390,"&lt;&gt;Off-street")&gt;0,1,0)</f>
        <v>0</v>
      </c>
      <c r="J1629">
        <f>IF(COUNTIFS('United Data'!$A$3:$A$3390,J$1,'United Data'!$C$3:$C$3390,$A1629,'United Data'!$B$3:$B$3390,"&lt;&gt;Off-street")&gt;0,1,0)</f>
        <v>0</v>
      </c>
      <c r="K1629">
        <f>IF(COUNTIFS('United Data'!$A$3:$A$3390,K$1,'United Data'!$C$3:$C$3390,$A1629,'United Data'!$B$3:$B$3390,"&lt;&gt;Off-street")&gt;0,1,0)</f>
        <v>0</v>
      </c>
      <c r="L1629">
        <f>IF(COUNTIFS('United Data'!$A$3:$A$3390,L$1,'United Data'!$C$3:$C$3390,$A1629,'United Data'!$B$3:$B$3390,"&lt;&gt;Off-street")&gt;0,1,0)</f>
        <v>0</v>
      </c>
      <c r="M1629">
        <f>IF(COUNTIFS('United Data'!$A$3:$A$3390,M$1,'United Data'!$C$3:$C$3390,$A1629,'United Data'!$B$3:$B$3390,"&lt;&gt;Off-street")&gt;0,1,0)</f>
        <v>0</v>
      </c>
      <c r="N1629">
        <f>IF(COUNTIFS('United Data'!$A$3:$A$3390,N$1,'United Data'!$C$3:$C$3390,$A1629,'United Data'!$B$3:$B$3390,"&lt;&gt;Off-street")&gt;0,1,0)</f>
        <v>1</v>
      </c>
      <c r="O1629">
        <f>IF(COUNTIFS('United Data'!$A$3:$A$3390,O$1,'United Data'!$C$3:$C$3390,$A1629,'United Data'!$B$3:$B$3390,"&lt;&gt;Off-street")&gt;0,1,0)</f>
        <v>0</v>
      </c>
      <c r="P1629">
        <f>IF(COUNTIFS('United Data'!$A$3:$A$3390,P$1,'United Data'!$C$3:$C$3390,$A1629,'United Data'!$B$3:$B$3390,"&lt;&gt;Off-street")&gt;0,1,0)</f>
        <v>0</v>
      </c>
      <c r="Q1629">
        <f>IF(COUNTIFS('United Data'!$A$3:$A$3390,Q$1,'United Data'!$C$3:$C$3390,$A1629,'United Data'!$B$3:$B$3390,"&lt;&gt;Off-street")&gt;0,1,0)</f>
        <v>1</v>
      </c>
      <c r="R1629">
        <f>IF(COUNTIFS('United Data'!$A$3:$A$3390,R$1,'United Data'!$C$3:$C$3390,$A1629,'United Data'!$B$3:$B$3390,"&lt;&gt;Off-street")&gt;0,1,0)</f>
        <v>0</v>
      </c>
      <c r="S1629">
        <f t="shared" si="50"/>
        <v>3</v>
      </c>
      <c r="T1629">
        <f t="shared" si="51"/>
        <v>3</v>
      </c>
    </row>
    <row r="1630" spans="1:20" x14ac:dyDescent="0.2">
      <c r="A1630" t="s">
        <v>1914</v>
      </c>
      <c r="B1630">
        <f>IF(COUNTIFS('United Data'!$A$3:$A$3390,B$1,'United Data'!$C$3:$C$3390,$A1630,'United Data'!$B$3:$B$3390,"&lt;&gt;Off-street")&gt;0,1,0)</f>
        <v>0</v>
      </c>
      <c r="C1630">
        <f>IF(COUNTIFS('United Data'!$A$3:$A$3390,C$1,'United Data'!$C$3:$C$3390,$A1630,'United Data'!$B$3:$B$3390,"&lt;&gt;Off-street")&gt;0,1,0)</f>
        <v>0</v>
      </c>
      <c r="D1630">
        <f>IF(COUNTIFS('United Data'!$A$3:$A$3390,D$1,'United Data'!$C$3:$C$3390,$A1630,'United Data'!$B$3:$B$3390,"&lt;&gt;Off-street")&gt;0,1,0)</f>
        <v>0</v>
      </c>
      <c r="E1630">
        <f>IF(COUNTIFS('United Data'!$A$3:$A$3390,E$1,'United Data'!$C$3:$C$3390,$A1630,'United Data'!$B$3:$B$3390,"&lt;&gt;Off-street")&gt;0,1,0)</f>
        <v>0</v>
      </c>
      <c r="F1630">
        <f>IF(COUNTIFS('United Data'!$A$3:$A$3390,F$1,'United Data'!$C$3:$C$3390,$A1630,'United Data'!$B$3:$B$3390,"&lt;&gt;Off-street")&gt;0,1,0)</f>
        <v>0</v>
      </c>
      <c r="G1630">
        <f>IF(COUNTIFS('United Data'!$A$3:$A$3390,G$1,'United Data'!$C$3:$C$3390,$A1630,'United Data'!$B$3:$B$3390,"&lt;&gt;Off-street")&gt;0,1,0)</f>
        <v>1</v>
      </c>
      <c r="H1630">
        <f>IF(COUNTIFS('United Data'!$A$3:$A$3390,H$1,'United Data'!$C$3:$C$3390,$A1630,'United Data'!$B$3:$B$3390,"&lt;&gt;Off-street")&gt;0,1,0)</f>
        <v>0</v>
      </c>
      <c r="I1630">
        <f>IF(COUNTIFS('United Data'!$A$3:$A$3390,I$1,'United Data'!$C$3:$C$3390,$A1630,'United Data'!$B$3:$B$3390,"&lt;&gt;Off-street")&gt;0,1,0)</f>
        <v>0</v>
      </c>
      <c r="J1630">
        <f>IF(COUNTIFS('United Data'!$A$3:$A$3390,J$1,'United Data'!$C$3:$C$3390,$A1630,'United Data'!$B$3:$B$3390,"&lt;&gt;Off-street")&gt;0,1,0)</f>
        <v>0</v>
      </c>
      <c r="K1630">
        <f>IF(COUNTIFS('United Data'!$A$3:$A$3390,K$1,'United Data'!$C$3:$C$3390,$A1630,'United Data'!$B$3:$B$3390,"&lt;&gt;Off-street")&gt;0,1,0)</f>
        <v>0</v>
      </c>
      <c r="L1630">
        <f>IF(COUNTIFS('United Data'!$A$3:$A$3390,L$1,'United Data'!$C$3:$C$3390,$A1630,'United Data'!$B$3:$B$3390,"&lt;&gt;Off-street")&gt;0,1,0)</f>
        <v>0</v>
      </c>
      <c r="M1630">
        <f>IF(COUNTIFS('United Data'!$A$3:$A$3390,M$1,'United Data'!$C$3:$C$3390,$A1630,'United Data'!$B$3:$B$3390,"&lt;&gt;Off-street")&gt;0,1,0)</f>
        <v>0</v>
      </c>
      <c r="N1630">
        <f>IF(COUNTIFS('United Data'!$A$3:$A$3390,N$1,'United Data'!$C$3:$C$3390,$A1630,'United Data'!$B$3:$B$3390,"&lt;&gt;Off-street")&gt;0,1,0)</f>
        <v>0</v>
      </c>
      <c r="O1630">
        <f>IF(COUNTIFS('United Data'!$A$3:$A$3390,O$1,'United Data'!$C$3:$C$3390,$A1630,'United Data'!$B$3:$B$3390,"&lt;&gt;Off-street")&gt;0,1,0)</f>
        <v>0</v>
      </c>
      <c r="P1630">
        <f>IF(COUNTIFS('United Data'!$A$3:$A$3390,P$1,'United Data'!$C$3:$C$3390,$A1630,'United Data'!$B$3:$B$3390,"&lt;&gt;Off-street")&gt;0,1,0)</f>
        <v>0</v>
      </c>
      <c r="Q1630">
        <f>IF(COUNTIFS('United Data'!$A$3:$A$3390,Q$1,'United Data'!$C$3:$C$3390,$A1630,'United Data'!$B$3:$B$3390,"&lt;&gt;Off-street")&gt;0,1,0)</f>
        <v>0</v>
      </c>
      <c r="R1630">
        <f>IF(COUNTIFS('United Data'!$A$3:$A$3390,R$1,'United Data'!$C$3:$C$3390,$A1630,'United Data'!$B$3:$B$3390,"&lt;&gt;Off-street")&gt;0,1,0)</f>
        <v>1</v>
      </c>
      <c r="S1630">
        <f t="shared" si="50"/>
        <v>2</v>
      </c>
      <c r="T1630">
        <f t="shared" si="51"/>
        <v>2</v>
      </c>
    </row>
    <row r="1631" spans="1:20" x14ac:dyDescent="0.2">
      <c r="A1631" t="s">
        <v>1915</v>
      </c>
      <c r="B1631">
        <f>IF(COUNTIFS('United Data'!$A$3:$A$3390,B$1,'United Data'!$C$3:$C$3390,$A1631,'United Data'!$B$3:$B$3390,"&lt;&gt;Off-street")&gt;0,1,0)</f>
        <v>0</v>
      </c>
      <c r="C1631">
        <f>IF(COUNTIFS('United Data'!$A$3:$A$3390,C$1,'United Data'!$C$3:$C$3390,$A1631,'United Data'!$B$3:$B$3390,"&lt;&gt;Off-street")&gt;0,1,0)</f>
        <v>0</v>
      </c>
      <c r="D1631">
        <f>IF(COUNTIFS('United Data'!$A$3:$A$3390,D$1,'United Data'!$C$3:$C$3390,$A1631,'United Data'!$B$3:$B$3390,"&lt;&gt;Off-street")&gt;0,1,0)</f>
        <v>0</v>
      </c>
      <c r="E1631">
        <f>IF(COUNTIFS('United Data'!$A$3:$A$3390,E$1,'United Data'!$C$3:$C$3390,$A1631,'United Data'!$B$3:$B$3390,"&lt;&gt;Off-street")&gt;0,1,0)</f>
        <v>0</v>
      </c>
      <c r="F1631">
        <f>IF(COUNTIFS('United Data'!$A$3:$A$3390,F$1,'United Data'!$C$3:$C$3390,$A1631,'United Data'!$B$3:$B$3390,"&lt;&gt;Off-street")&gt;0,1,0)</f>
        <v>0</v>
      </c>
      <c r="G1631">
        <f>IF(COUNTIFS('United Data'!$A$3:$A$3390,G$1,'United Data'!$C$3:$C$3390,$A1631,'United Data'!$B$3:$B$3390,"&lt;&gt;Off-street")&gt;0,1,0)</f>
        <v>0</v>
      </c>
      <c r="H1631">
        <f>IF(COUNTIFS('United Data'!$A$3:$A$3390,H$1,'United Data'!$C$3:$C$3390,$A1631,'United Data'!$B$3:$B$3390,"&lt;&gt;Off-street")&gt;0,1,0)</f>
        <v>0</v>
      </c>
      <c r="I1631">
        <f>IF(COUNTIFS('United Data'!$A$3:$A$3390,I$1,'United Data'!$C$3:$C$3390,$A1631,'United Data'!$B$3:$B$3390,"&lt;&gt;Off-street")&gt;0,1,0)</f>
        <v>0</v>
      </c>
      <c r="J1631">
        <f>IF(COUNTIFS('United Data'!$A$3:$A$3390,J$1,'United Data'!$C$3:$C$3390,$A1631,'United Data'!$B$3:$B$3390,"&lt;&gt;Off-street")&gt;0,1,0)</f>
        <v>0</v>
      </c>
      <c r="K1631">
        <f>IF(COUNTIFS('United Data'!$A$3:$A$3390,K$1,'United Data'!$C$3:$C$3390,$A1631,'United Data'!$B$3:$B$3390,"&lt;&gt;Off-street")&gt;0,1,0)</f>
        <v>1</v>
      </c>
      <c r="L1631">
        <f>IF(COUNTIFS('United Data'!$A$3:$A$3390,L$1,'United Data'!$C$3:$C$3390,$A1631,'United Data'!$B$3:$B$3390,"&lt;&gt;Off-street")&gt;0,1,0)</f>
        <v>0</v>
      </c>
      <c r="M1631">
        <f>IF(COUNTIFS('United Data'!$A$3:$A$3390,M$1,'United Data'!$C$3:$C$3390,$A1631,'United Data'!$B$3:$B$3390,"&lt;&gt;Off-street")&gt;0,1,0)</f>
        <v>0</v>
      </c>
      <c r="N1631">
        <f>IF(COUNTIFS('United Data'!$A$3:$A$3390,N$1,'United Data'!$C$3:$C$3390,$A1631,'United Data'!$B$3:$B$3390,"&lt;&gt;Off-street")&gt;0,1,0)</f>
        <v>0</v>
      </c>
      <c r="O1631">
        <f>IF(COUNTIFS('United Data'!$A$3:$A$3390,O$1,'United Data'!$C$3:$C$3390,$A1631,'United Data'!$B$3:$B$3390,"&lt;&gt;Off-street")&gt;0,1,0)</f>
        <v>0</v>
      </c>
      <c r="P1631">
        <f>IF(COUNTIFS('United Data'!$A$3:$A$3390,P$1,'United Data'!$C$3:$C$3390,$A1631,'United Data'!$B$3:$B$3390,"&lt;&gt;Off-street")&gt;0,1,0)</f>
        <v>0</v>
      </c>
      <c r="Q1631">
        <f>IF(COUNTIFS('United Data'!$A$3:$A$3390,Q$1,'United Data'!$C$3:$C$3390,$A1631,'United Data'!$B$3:$B$3390,"&lt;&gt;Off-street")&gt;0,1,0)</f>
        <v>0</v>
      </c>
      <c r="R1631">
        <f>IF(COUNTIFS('United Data'!$A$3:$A$3390,R$1,'United Data'!$C$3:$C$3390,$A1631,'United Data'!$B$3:$B$3390,"&lt;&gt;Off-street")&gt;0,1,0)</f>
        <v>0</v>
      </c>
      <c r="S1631">
        <f t="shared" si="50"/>
        <v>1</v>
      </c>
      <c r="T1631">
        <f t="shared" si="51"/>
        <v>1</v>
      </c>
    </row>
    <row r="1632" spans="1:20" x14ac:dyDescent="0.2">
      <c r="A1632" t="s">
        <v>1916</v>
      </c>
      <c r="B1632">
        <f>IF(COUNTIFS('United Data'!$A$3:$A$3390,B$1,'United Data'!$C$3:$C$3390,$A1632,'United Data'!$B$3:$B$3390,"&lt;&gt;Off-street")&gt;0,1,0)</f>
        <v>0</v>
      </c>
      <c r="C1632">
        <f>IF(COUNTIFS('United Data'!$A$3:$A$3390,C$1,'United Data'!$C$3:$C$3390,$A1632,'United Data'!$B$3:$B$3390,"&lt;&gt;Off-street")&gt;0,1,0)</f>
        <v>0</v>
      </c>
      <c r="D1632">
        <f>IF(COUNTIFS('United Data'!$A$3:$A$3390,D$1,'United Data'!$C$3:$C$3390,$A1632,'United Data'!$B$3:$B$3390,"&lt;&gt;Off-street")&gt;0,1,0)</f>
        <v>0</v>
      </c>
      <c r="E1632">
        <f>IF(COUNTIFS('United Data'!$A$3:$A$3390,E$1,'United Data'!$C$3:$C$3390,$A1632,'United Data'!$B$3:$B$3390,"&lt;&gt;Off-street")&gt;0,1,0)</f>
        <v>0</v>
      </c>
      <c r="F1632">
        <f>IF(COUNTIFS('United Data'!$A$3:$A$3390,F$1,'United Data'!$C$3:$C$3390,$A1632,'United Data'!$B$3:$B$3390,"&lt;&gt;Off-street")&gt;0,1,0)</f>
        <v>0</v>
      </c>
      <c r="G1632">
        <f>IF(COUNTIFS('United Data'!$A$3:$A$3390,G$1,'United Data'!$C$3:$C$3390,$A1632,'United Data'!$B$3:$B$3390,"&lt;&gt;Off-street")&gt;0,1,0)</f>
        <v>0</v>
      </c>
      <c r="H1632">
        <f>IF(COUNTIFS('United Data'!$A$3:$A$3390,H$1,'United Data'!$C$3:$C$3390,$A1632,'United Data'!$B$3:$B$3390,"&lt;&gt;Off-street")&gt;0,1,0)</f>
        <v>0</v>
      </c>
      <c r="I1632">
        <f>IF(COUNTIFS('United Data'!$A$3:$A$3390,I$1,'United Data'!$C$3:$C$3390,$A1632,'United Data'!$B$3:$B$3390,"&lt;&gt;Off-street")&gt;0,1,0)</f>
        <v>0</v>
      </c>
      <c r="J1632">
        <f>IF(COUNTIFS('United Data'!$A$3:$A$3390,J$1,'United Data'!$C$3:$C$3390,$A1632,'United Data'!$B$3:$B$3390,"&lt;&gt;Off-street")&gt;0,1,0)</f>
        <v>0</v>
      </c>
      <c r="K1632">
        <f>IF(COUNTIFS('United Data'!$A$3:$A$3390,K$1,'United Data'!$C$3:$C$3390,$A1632,'United Data'!$B$3:$B$3390,"&lt;&gt;Off-street")&gt;0,1,0)</f>
        <v>1</v>
      </c>
      <c r="L1632">
        <f>IF(COUNTIFS('United Data'!$A$3:$A$3390,L$1,'United Data'!$C$3:$C$3390,$A1632,'United Data'!$B$3:$B$3390,"&lt;&gt;Off-street")&gt;0,1,0)</f>
        <v>0</v>
      </c>
      <c r="M1632">
        <f>IF(COUNTIFS('United Data'!$A$3:$A$3390,M$1,'United Data'!$C$3:$C$3390,$A1632,'United Data'!$B$3:$B$3390,"&lt;&gt;Off-street")&gt;0,1,0)</f>
        <v>0</v>
      </c>
      <c r="N1632">
        <f>IF(COUNTIFS('United Data'!$A$3:$A$3390,N$1,'United Data'!$C$3:$C$3390,$A1632,'United Data'!$B$3:$B$3390,"&lt;&gt;Off-street")&gt;0,1,0)</f>
        <v>0</v>
      </c>
      <c r="O1632">
        <f>IF(COUNTIFS('United Data'!$A$3:$A$3390,O$1,'United Data'!$C$3:$C$3390,$A1632,'United Data'!$B$3:$B$3390,"&lt;&gt;Off-street")&gt;0,1,0)</f>
        <v>0</v>
      </c>
      <c r="P1632">
        <f>IF(COUNTIFS('United Data'!$A$3:$A$3390,P$1,'United Data'!$C$3:$C$3390,$A1632,'United Data'!$B$3:$B$3390,"&lt;&gt;Off-street")&gt;0,1,0)</f>
        <v>0</v>
      </c>
      <c r="Q1632">
        <f>IF(COUNTIFS('United Data'!$A$3:$A$3390,Q$1,'United Data'!$C$3:$C$3390,$A1632,'United Data'!$B$3:$B$3390,"&lt;&gt;Off-street")&gt;0,1,0)</f>
        <v>0</v>
      </c>
      <c r="R1632">
        <f>IF(COUNTIFS('United Data'!$A$3:$A$3390,R$1,'United Data'!$C$3:$C$3390,$A1632,'United Data'!$B$3:$B$3390,"&lt;&gt;Off-street")&gt;0,1,0)</f>
        <v>0</v>
      </c>
      <c r="S1632">
        <f t="shared" si="50"/>
        <v>1</v>
      </c>
      <c r="T1632">
        <f t="shared" si="51"/>
        <v>1</v>
      </c>
    </row>
    <row r="1633" spans="1:20" x14ac:dyDescent="0.2">
      <c r="A1633" t="s">
        <v>1917</v>
      </c>
      <c r="B1633">
        <f>IF(COUNTIFS('United Data'!$A$3:$A$3390,B$1,'United Data'!$C$3:$C$3390,$A1633,'United Data'!$B$3:$B$3390,"&lt;&gt;Off-street")&gt;0,1,0)</f>
        <v>0</v>
      </c>
      <c r="C1633">
        <f>IF(COUNTIFS('United Data'!$A$3:$A$3390,C$1,'United Data'!$C$3:$C$3390,$A1633,'United Data'!$B$3:$B$3390,"&lt;&gt;Off-street")&gt;0,1,0)</f>
        <v>0</v>
      </c>
      <c r="D1633">
        <f>IF(COUNTIFS('United Data'!$A$3:$A$3390,D$1,'United Data'!$C$3:$C$3390,$A1633,'United Data'!$B$3:$B$3390,"&lt;&gt;Off-street")&gt;0,1,0)</f>
        <v>0</v>
      </c>
      <c r="E1633">
        <f>IF(COUNTIFS('United Data'!$A$3:$A$3390,E$1,'United Data'!$C$3:$C$3390,$A1633,'United Data'!$B$3:$B$3390,"&lt;&gt;Off-street")&gt;0,1,0)</f>
        <v>0</v>
      </c>
      <c r="F1633">
        <f>IF(COUNTIFS('United Data'!$A$3:$A$3390,F$1,'United Data'!$C$3:$C$3390,$A1633,'United Data'!$B$3:$B$3390,"&lt;&gt;Off-street")&gt;0,1,0)</f>
        <v>0</v>
      </c>
      <c r="G1633">
        <f>IF(COUNTIFS('United Data'!$A$3:$A$3390,G$1,'United Data'!$C$3:$C$3390,$A1633,'United Data'!$B$3:$B$3390,"&lt;&gt;Off-street")&gt;0,1,0)</f>
        <v>0</v>
      </c>
      <c r="H1633">
        <f>IF(COUNTIFS('United Data'!$A$3:$A$3390,H$1,'United Data'!$C$3:$C$3390,$A1633,'United Data'!$B$3:$B$3390,"&lt;&gt;Off-street")&gt;0,1,0)</f>
        <v>0</v>
      </c>
      <c r="I1633">
        <f>IF(COUNTIFS('United Data'!$A$3:$A$3390,I$1,'United Data'!$C$3:$C$3390,$A1633,'United Data'!$B$3:$B$3390,"&lt;&gt;Off-street")&gt;0,1,0)</f>
        <v>0</v>
      </c>
      <c r="J1633">
        <f>IF(COUNTIFS('United Data'!$A$3:$A$3390,J$1,'United Data'!$C$3:$C$3390,$A1633,'United Data'!$B$3:$B$3390,"&lt;&gt;Off-street")&gt;0,1,0)</f>
        <v>0</v>
      </c>
      <c r="K1633">
        <f>IF(COUNTIFS('United Data'!$A$3:$A$3390,K$1,'United Data'!$C$3:$C$3390,$A1633,'United Data'!$B$3:$B$3390,"&lt;&gt;Off-street")&gt;0,1,0)</f>
        <v>1</v>
      </c>
      <c r="L1633">
        <f>IF(COUNTIFS('United Data'!$A$3:$A$3390,L$1,'United Data'!$C$3:$C$3390,$A1633,'United Data'!$B$3:$B$3390,"&lt;&gt;Off-street")&gt;0,1,0)</f>
        <v>0</v>
      </c>
      <c r="M1633">
        <f>IF(COUNTIFS('United Data'!$A$3:$A$3390,M$1,'United Data'!$C$3:$C$3390,$A1633,'United Data'!$B$3:$B$3390,"&lt;&gt;Off-street")&gt;0,1,0)</f>
        <v>0</v>
      </c>
      <c r="N1633">
        <f>IF(COUNTIFS('United Data'!$A$3:$A$3390,N$1,'United Data'!$C$3:$C$3390,$A1633,'United Data'!$B$3:$B$3390,"&lt;&gt;Off-street")&gt;0,1,0)</f>
        <v>1</v>
      </c>
      <c r="O1633">
        <f>IF(COUNTIFS('United Data'!$A$3:$A$3390,O$1,'United Data'!$C$3:$C$3390,$A1633,'United Data'!$B$3:$B$3390,"&lt;&gt;Off-street")&gt;0,1,0)</f>
        <v>0</v>
      </c>
      <c r="P1633">
        <f>IF(COUNTIFS('United Data'!$A$3:$A$3390,P$1,'United Data'!$C$3:$C$3390,$A1633,'United Data'!$B$3:$B$3390,"&lt;&gt;Off-street")&gt;0,1,0)</f>
        <v>0</v>
      </c>
      <c r="Q1633">
        <f>IF(COUNTIFS('United Data'!$A$3:$A$3390,Q$1,'United Data'!$C$3:$C$3390,$A1633,'United Data'!$B$3:$B$3390,"&lt;&gt;Off-street")&gt;0,1,0)</f>
        <v>1</v>
      </c>
      <c r="R1633">
        <f>IF(COUNTIFS('United Data'!$A$3:$A$3390,R$1,'United Data'!$C$3:$C$3390,$A1633,'United Data'!$B$3:$B$3390,"&lt;&gt;Off-street")&gt;0,1,0)</f>
        <v>0</v>
      </c>
      <c r="S1633">
        <f t="shared" si="50"/>
        <v>3</v>
      </c>
      <c r="T1633">
        <f t="shared" si="51"/>
        <v>3</v>
      </c>
    </row>
    <row r="1634" spans="1:20" x14ac:dyDescent="0.2">
      <c r="A1634" t="s">
        <v>1918</v>
      </c>
      <c r="B1634">
        <f>IF(COUNTIFS('United Data'!$A$3:$A$3390,B$1,'United Data'!$C$3:$C$3390,$A1634,'United Data'!$B$3:$B$3390,"&lt;&gt;Off-street")&gt;0,1,0)</f>
        <v>0</v>
      </c>
      <c r="C1634">
        <f>IF(COUNTIFS('United Data'!$A$3:$A$3390,C$1,'United Data'!$C$3:$C$3390,$A1634,'United Data'!$B$3:$B$3390,"&lt;&gt;Off-street")&gt;0,1,0)</f>
        <v>0</v>
      </c>
      <c r="D1634">
        <f>IF(COUNTIFS('United Data'!$A$3:$A$3390,D$1,'United Data'!$C$3:$C$3390,$A1634,'United Data'!$B$3:$B$3390,"&lt;&gt;Off-street")&gt;0,1,0)</f>
        <v>0</v>
      </c>
      <c r="E1634">
        <f>IF(COUNTIFS('United Data'!$A$3:$A$3390,E$1,'United Data'!$C$3:$C$3390,$A1634,'United Data'!$B$3:$B$3390,"&lt;&gt;Off-street")&gt;0,1,0)</f>
        <v>0</v>
      </c>
      <c r="F1634">
        <f>IF(COUNTIFS('United Data'!$A$3:$A$3390,F$1,'United Data'!$C$3:$C$3390,$A1634,'United Data'!$B$3:$B$3390,"&lt;&gt;Off-street")&gt;0,1,0)</f>
        <v>0</v>
      </c>
      <c r="G1634">
        <f>IF(COUNTIFS('United Data'!$A$3:$A$3390,G$1,'United Data'!$C$3:$C$3390,$A1634,'United Data'!$B$3:$B$3390,"&lt;&gt;Off-street")&gt;0,1,0)</f>
        <v>0</v>
      </c>
      <c r="H1634">
        <f>IF(COUNTIFS('United Data'!$A$3:$A$3390,H$1,'United Data'!$C$3:$C$3390,$A1634,'United Data'!$B$3:$B$3390,"&lt;&gt;Off-street")&gt;0,1,0)</f>
        <v>0</v>
      </c>
      <c r="I1634">
        <f>IF(COUNTIFS('United Data'!$A$3:$A$3390,I$1,'United Data'!$C$3:$C$3390,$A1634,'United Data'!$B$3:$B$3390,"&lt;&gt;Off-street")&gt;0,1,0)</f>
        <v>0</v>
      </c>
      <c r="J1634">
        <f>IF(COUNTIFS('United Data'!$A$3:$A$3390,J$1,'United Data'!$C$3:$C$3390,$A1634,'United Data'!$B$3:$B$3390,"&lt;&gt;Off-street")&gt;0,1,0)</f>
        <v>0</v>
      </c>
      <c r="K1634">
        <f>IF(COUNTIFS('United Data'!$A$3:$A$3390,K$1,'United Data'!$C$3:$C$3390,$A1634,'United Data'!$B$3:$B$3390,"&lt;&gt;Off-street")&gt;0,1,0)</f>
        <v>1</v>
      </c>
      <c r="L1634">
        <f>IF(COUNTIFS('United Data'!$A$3:$A$3390,L$1,'United Data'!$C$3:$C$3390,$A1634,'United Data'!$B$3:$B$3390,"&lt;&gt;Off-street")&gt;0,1,0)</f>
        <v>0</v>
      </c>
      <c r="M1634">
        <f>IF(COUNTIFS('United Data'!$A$3:$A$3390,M$1,'United Data'!$C$3:$C$3390,$A1634,'United Data'!$B$3:$B$3390,"&lt;&gt;Off-street")&gt;0,1,0)</f>
        <v>0</v>
      </c>
      <c r="N1634">
        <f>IF(COUNTIFS('United Data'!$A$3:$A$3390,N$1,'United Data'!$C$3:$C$3390,$A1634,'United Data'!$B$3:$B$3390,"&lt;&gt;Off-street")&gt;0,1,0)</f>
        <v>0</v>
      </c>
      <c r="O1634">
        <f>IF(COUNTIFS('United Data'!$A$3:$A$3390,O$1,'United Data'!$C$3:$C$3390,$A1634,'United Data'!$B$3:$B$3390,"&lt;&gt;Off-street")&gt;0,1,0)</f>
        <v>0</v>
      </c>
      <c r="P1634">
        <f>IF(COUNTIFS('United Data'!$A$3:$A$3390,P$1,'United Data'!$C$3:$C$3390,$A1634,'United Data'!$B$3:$B$3390,"&lt;&gt;Off-street")&gt;0,1,0)</f>
        <v>0</v>
      </c>
      <c r="Q1634">
        <f>IF(COUNTIFS('United Data'!$A$3:$A$3390,Q$1,'United Data'!$C$3:$C$3390,$A1634,'United Data'!$B$3:$B$3390,"&lt;&gt;Off-street")&gt;0,1,0)</f>
        <v>0</v>
      </c>
      <c r="R1634">
        <f>IF(COUNTIFS('United Data'!$A$3:$A$3390,R$1,'United Data'!$C$3:$C$3390,$A1634,'United Data'!$B$3:$B$3390,"&lt;&gt;Off-street")&gt;0,1,0)</f>
        <v>0</v>
      </c>
      <c r="S1634">
        <f t="shared" si="50"/>
        <v>1</v>
      </c>
      <c r="T1634">
        <f t="shared" si="51"/>
        <v>1</v>
      </c>
    </row>
    <row r="1635" spans="1:20" x14ac:dyDescent="0.2">
      <c r="A1635" t="s">
        <v>1919</v>
      </c>
      <c r="B1635">
        <f>IF(COUNTIFS('United Data'!$A$3:$A$3390,B$1,'United Data'!$C$3:$C$3390,$A1635,'United Data'!$B$3:$B$3390,"&lt;&gt;Off-street")&gt;0,1,0)</f>
        <v>0</v>
      </c>
      <c r="C1635">
        <f>IF(COUNTIFS('United Data'!$A$3:$A$3390,C$1,'United Data'!$C$3:$C$3390,$A1635,'United Data'!$B$3:$B$3390,"&lt;&gt;Off-street")&gt;0,1,0)</f>
        <v>0</v>
      </c>
      <c r="D1635">
        <f>IF(COUNTIFS('United Data'!$A$3:$A$3390,D$1,'United Data'!$C$3:$C$3390,$A1635,'United Data'!$B$3:$B$3390,"&lt;&gt;Off-street")&gt;0,1,0)</f>
        <v>0</v>
      </c>
      <c r="E1635">
        <f>IF(COUNTIFS('United Data'!$A$3:$A$3390,E$1,'United Data'!$C$3:$C$3390,$A1635,'United Data'!$B$3:$B$3390,"&lt;&gt;Off-street")&gt;0,1,0)</f>
        <v>0</v>
      </c>
      <c r="F1635">
        <f>IF(COUNTIFS('United Data'!$A$3:$A$3390,F$1,'United Data'!$C$3:$C$3390,$A1635,'United Data'!$B$3:$B$3390,"&lt;&gt;Off-street")&gt;0,1,0)</f>
        <v>0</v>
      </c>
      <c r="G1635">
        <f>IF(COUNTIFS('United Data'!$A$3:$A$3390,G$1,'United Data'!$C$3:$C$3390,$A1635,'United Data'!$B$3:$B$3390,"&lt;&gt;Off-street")&gt;0,1,0)</f>
        <v>0</v>
      </c>
      <c r="H1635">
        <f>IF(COUNTIFS('United Data'!$A$3:$A$3390,H$1,'United Data'!$C$3:$C$3390,$A1635,'United Data'!$B$3:$B$3390,"&lt;&gt;Off-street")&gt;0,1,0)</f>
        <v>0</v>
      </c>
      <c r="I1635">
        <f>IF(COUNTIFS('United Data'!$A$3:$A$3390,I$1,'United Data'!$C$3:$C$3390,$A1635,'United Data'!$B$3:$B$3390,"&lt;&gt;Off-street")&gt;0,1,0)</f>
        <v>0</v>
      </c>
      <c r="J1635">
        <f>IF(COUNTIFS('United Data'!$A$3:$A$3390,J$1,'United Data'!$C$3:$C$3390,$A1635,'United Data'!$B$3:$B$3390,"&lt;&gt;Off-street")&gt;0,1,0)</f>
        <v>0</v>
      </c>
      <c r="K1635">
        <f>IF(COUNTIFS('United Data'!$A$3:$A$3390,K$1,'United Data'!$C$3:$C$3390,$A1635,'United Data'!$B$3:$B$3390,"&lt;&gt;Off-street")&gt;0,1,0)</f>
        <v>0</v>
      </c>
      <c r="L1635">
        <f>IF(COUNTIFS('United Data'!$A$3:$A$3390,L$1,'United Data'!$C$3:$C$3390,$A1635,'United Data'!$B$3:$B$3390,"&lt;&gt;Off-street")&gt;0,1,0)</f>
        <v>0</v>
      </c>
      <c r="M1635">
        <f>IF(COUNTIFS('United Data'!$A$3:$A$3390,M$1,'United Data'!$C$3:$C$3390,$A1635,'United Data'!$B$3:$B$3390,"&lt;&gt;Off-street")&gt;0,1,0)</f>
        <v>1</v>
      </c>
      <c r="N1635">
        <f>IF(COUNTIFS('United Data'!$A$3:$A$3390,N$1,'United Data'!$C$3:$C$3390,$A1635,'United Data'!$B$3:$B$3390,"&lt;&gt;Off-street")&gt;0,1,0)</f>
        <v>1</v>
      </c>
      <c r="O1635">
        <f>IF(COUNTIFS('United Data'!$A$3:$A$3390,O$1,'United Data'!$C$3:$C$3390,$A1635,'United Data'!$B$3:$B$3390,"&lt;&gt;Off-street")&gt;0,1,0)</f>
        <v>1</v>
      </c>
      <c r="P1635">
        <f>IF(COUNTIFS('United Data'!$A$3:$A$3390,P$1,'United Data'!$C$3:$C$3390,$A1635,'United Data'!$B$3:$B$3390,"&lt;&gt;Off-street")&gt;0,1,0)</f>
        <v>0</v>
      </c>
      <c r="Q1635">
        <f>IF(COUNTIFS('United Data'!$A$3:$A$3390,Q$1,'United Data'!$C$3:$C$3390,$A1635,'United Data'!$B$3:$B$3390,"&lt;&gt;Off-street")&gt;0,1,0)</f>
        <v>0</v>
      </c>
      <c r="R1635">
        <f>IF(COUNTIFS('United Data'!$A$3:$A$3390,R$1,'United Data'!$C$3:$C$3390,$A1635,'United Data'!$B$3:$B$3390,"&lt;&gt;Off-street")&gt;0,1,0)</f>
        <v>0</v>
      </c>
      <c r="S1635">
        <f t="shared" si="50"/>
        <v>3</v>
      </c>
      <c r="T1635">
        <f t="shared" si="51"/>
        <v>1</v>
      </c>
    </row>
    <row r="1636" spans="1:20" x14ac:dyDescent="0.2">
      <c r="A1636" t="s">
        <v>1920</v>
      </c>
      <c r="B1636">
        <f>IF(COUNTIFS('United Data'!$A$3:$A$3390,B$1,'United Data'!$C$3:$C$3390,$A1636,'United Data'!$B$3:$B$3390,"&lt;&gt;Off-street")&gt;0,1,0)</f>
        <v>1</v>
      </c>
      <c r="C1636">
        <f>IF(COUNTIFS('United Data'!$A$3:$A$3390,C$1,'United Data'!$C$3:$C$3390,$A1636,'United Data'!$B$3:$B$3390,"&lt;&gt;Off-street")&gt;0,1,0)</f>
        <v>1</v>
      </c>
      <c r="D1636">
        <f>IF(COUNTIFS('United Data'!$A$3:$A$3390,D$1,'United Data'!$C$3:$C$3390,$A1636,'United Data'!$B$3:$B$3390,"&lt;&gt;Off-street")&gt;0,1,0)</f>
        <v>0</v>
      </c>
      <c r="E1636">
        <f>IF(COUNTIFS('United Data'!$A$3:$A$3390,E$1,'United Data'!$C$3:$C$3390,$A1636,'United Data'!$B$3:$B$3390,"&lt;&gt;Off-street")&gt;0,1,0)</f>
        <v>1</v>
      </c>
      <c r="F1636">
        <f>IF(COUNTIFS('United Data'!$A$3:$A$3390,F$1,'United Data'!$C$3:$C$3390,$A1636,'United Data'!$B$3:$B$3390,"&lt;&gt;Off-street")&gt;0,1,0)</f>
        <v>1</v>
      </c>
      <c r="G1636">
        <f>IF(COUNTIFS('United Data'!$A$3:$A$3390,G$1,'United Data'!$C$3:$C$3390,$A1636,'United Data'!$B$3:$B$3390,"&lt;&gt;Off-street")&gt;0,1,0)</f>
        <v>1</v>
      </c>
      <c r="H1636">
        <f>IF(COUNTIFS('United Data'!$A$3:$A$3390,H$1,'United Data'!$C$3:$C$3390,$A1636,'United Data'!$B$3:$B$3390,"&lt;&gt;Off-street")&gt;0,1,0)</f>
        <v>1</v>
      </c>
      <c r="I1636">
        <f>IF(COUNTIFS('United Data'!$A$3:$A$3390,I$1,'United Data'!$C$3:$C$3390,$A1636,'United Data'!$B$3:$B$3390,"&lt;&gt;Off-street")&gt;0,1,0)</f>
        <v>0</v>
      </c>
      <c r="J1636">
        <f>IF(COUNTIFS('United Data'!$A$3:$A$3390,J$1,'United Data'!$C$3:$C$3390,$A1636,'United Data'!$B$3:$B$3390,"&lt;&gt;Off-street")&gt;0,1,0)</f>
        <v>1</v>
      </c>
      <c r="K1636">
        <f>IF(COUNTIFS('United Data'!$A$3:$A$3390,K$1,'United Data'!$C$3:$C$3390,$A1636,'United Data'!$B$3:$B$3390,"&lt;&gt;Off-street")&gt;0,1,0)</f>
        <v>1</v>
      </c>
      <c r="L1636">
        <f>IF(COUNTIFS('United Data'!$A$3:$A$3390,L$1,'United Data'!$C$3:$C$3390,$A1636,'United Data'!$B$3:$B$3390,"&lt;&gt;Off-street")&gt;0,1,0)</f>
        <v>0</v>
      </c>
      <c r="M1636">
        <f>IF(COUNTIFS('United Data'!$A$3:$A$3390,M$1,'United Data'!$C$3:$C$3390,$A1636,'United Data'!$B$3:$B$3390,"&lt;&gt;Off-street")&gt;0,1,0)</f>
        <v>0</v>
      </c>
      <c r="N1636">
        <f>IF(COUNTIFS('United Data'!$A$3:$A$3390,N$1,'United Data'!$C$3:$C$3390,$A1636,'United Data'!$B$3:$B$3390,"&lt;&gt;Off-street")&gt;0,1,0)</f>
        <v>0</v>
      </c>
      <c r="O1636">
        <f>IF(COUNTIFS('United Data'!$A$3:$A$3390,O$1,'United Data'!$C$3:$C$3390,$A1636,'United Data'!$B$3:$B$3390,"&lt;&gt;Off-street")&gt;0,1,0)</f>
        <v>0</v>
      </c>
      <c r="P1636">
        <f>IF(COUNTIFS('United Data'!$A$3:$A$3390,P$1,'United Data'!$C$3:$C$3390,$A1636,'United Data'!$B$3:$B$3390,"&lt;&gt;Off-street")&gt;0,1,0)</f>
        <v>1</v>
      </c>
      <c r="Q1636">
        <f>IF(COUNTIFS('United Data'!$A$3:$A$3390,Q$1,'United Data'!$C$3:$C$3390,$A1636,'United Data'!$B$3:$B$3390,"&lt;&gt;Off-street")&gt;0,1,0)</f>
        <v>1</v>
      </c>
      <c r="R1636">
        <f>IF(COUNTIFS('United Data'!$A$3:$A$3390,R$1,'United Data'!$C$3:$C$3390,$A1636,'United Data'!$B$3:$B$3390,"&lt;&gt;Off-street")&gt;0,1,0)</f>
        <v>1</v>
      </c>
      <c r="S1636">
        <f t="shared" si="50"/>
        <v>11</v>
      </c>
      <c r="T1636">
        <f t="shared" si="51"/>
        <v>4</v>
      </c>
    </row>
    <row r="1637" spans="1:20" x14ac:dyDescent="0.2">
      <c r="A1637" t="s">
        <v>1921</v>
      </c>
      <c r="B1637">
        <f>IF(COUNTIFS('United Data'!$A$3:$A$3390,B$1,'United Data'!$C$3:$C$3390,$A1637,'United Data'!$B$3:$B$3390,"&lt;&gt;Off-street")&gt;0,1,0)</f>
        <v>1</v>
      </c>
      <c r="C1637">
        <f>IF(COUNTIFS('United Data'!$A$3:$A$3390,C$1,'United Data'!$C$3:$C$3390,$A1637,'United Data'!$B$3:$B$3390,"&lt;&gt;Off-street")&gt;0,1,0)</f>
        <v>1</v>
      </c>
      <c r="D1637">
        <f>IF(COUNTIFS('United Data'!$A$3:$A$3390,D$1,'United Data'!$C$3:$C$3390,$A1637,'United Data'!$B$3:$B$3390,"&lt;&gt;Off-street")&gt;0,1,0)</f>
        <v>1</v>
      </c>
      <c r="E1637">
        <f>IF(COUNTIFS('United Data'!$A$3:$A$3390,E$1,'United Data'!$C$3:$C$3390,$A1637,'United Data'!$B$3:$B$3390,"&lt;&gt;Off-street")&gt;0,1,0)</f>
        <v>1</v>
      </c>
      <c r="F1637">
        <f>IF(COUNTIFS('United Data'!$A$3:$A$3390,F$1,'United Data'!$C$3:$C$3390,$A1637,'United Data'!$B$3:$B$3390,"&lt;&gt;Off-street")&gt;0,1,0)</f>
        <v>1</v>
      </c>
      <c r="G1637">
        <f>IF(COUNTIFS('United Data'!$A$3:$A$3390,G$1,'United Data'!$C$3:$C$3390,$A1637,'United Data'!$B$3:$B$3390,"&lt;&gt;Off-street")&gt;0,1,0)</f>
        <v>0</v>
      </c>
      <c r="H1637">
        <f>IF(COUNTIFS('United Data'!$A$3:$A$3390,H$1,'United Data'!$C$3:$C$3390,$A1637,'United Data'!$B$3:$B$3390,"&lt;&gt;Off-street")&gt;0,1,0)</f>
        <v>0</v>
      </c>
      <c r="I1637">
        <f>IF(COUNTIFS('United Data'!$A$3:$A$3390,I$1,'United Data'!$C$3:$C$3390,$A1637,'United Data'!$B$3:$B$3390,"&lt;&gt;Off-street")&gt;0,1,0)</f>
        <v>0</v>
      </c>
      <c r="J1637">
        <f>IF(COUNTIFS('United Data'!$A$3:$A$3390,J$1,'United Data'!$C$3:$C$3390,$A1637,'United Data'!$B$3:$B$3390,"&lt;&gt;Off-street")&gt;0,1,0)</f>
        <v>0</v>
      </c>
      <c r="K1637">
        <f>IF(COUNTIFS('United Data'!$A$3:$A$3390,K$1,'United Data'!$C$3:$C$3390,$A1637,'United Data'!$B$3:$B$3390,"&lt;&gt;Off-street")&gt;0,1,0)</f>
        <v>0</v>
      </c>
      <c r="L1637">
        <f>IF(COUNTIFS('United Data'!$A$3:$A$3390,L$1,'United Data'!$C$3:$C$3390,$A1637,'United Data'!$B$3:$B$3390,"&lt;&gt;Off-street")&gt;0,1,0)</f>
        <v>0</v>
      </c>
      <c r="M1637">
        <f>IF(COUNTIFS('United Data'!$A$3:$A$3390,M$1,'United Data'!$C$3:$C$3390,$A1637,'United Data'!$B$3:$B$3390,"&lt;&gt;Off-street")&gt;0,1,0)</f>
        <v>1</v>
      </c>
      <c r="N1637">
        <f>IF(COUNTIFS('United Data'!$A$3:$A$3390,N$1,'United Data'!$C$3:$C$3390,$A1637,'United Data'!$B$3:$B$3390,"&lt;&gt;Off-street")&gt;0,1,0)</f>
        <v>0</v>
      </c>
      <c r="O1637">
        <f>IF(COUNTIFS('United Data'!$A$3:$A$3390,O$1,'United Data'!$C$3:$C$3390,$A1637,'United Data'!$B$3:$B$3390,"&lt;&gt;Off-street")&gt;0,1,0)</f>
        <v>0</v>
      </c>
      <c r="P1637">
        <f>IF(COUNTIFS('United Data'!$A$3:$A$3390,P$1,'United Data'!$C$3:$C$3390,$A1637,'United Data'!$B$3:$B$3390,"&lt;&gt;Off-street")&gt;0,1,0)</f>
        <v>0</v>
      </c>
      <c r="Q1637">
        <f>IF(COUNTIFS('United Data'!$A$3:$A$3390,Q$1,'United Data'!$C$3:$C$3390,$A1637,'United Data'!$B$3:$B$3390,"&lt;&gt;Off-street")&gt;0,1,0)</f>
        <v>0</v>
      </c>
      <c r="R1637">
        <f>IF(COUNTIFS('United Data'!$A$3:$A$3390,R$1,'United Data'!$C$3:$C$3390,$A1637,'United Data'!$B$3:$B$3390,"&lt;&gt;Off-street")&gt;0,1,0)</f>
        <v>0</v>
      </c>
      <c r="S1637">
        <f t="shared" si="50"/>
        <v>6</v>
      </c>
      <c r="T1637">
        <f t="shared" si="51"/>
        <v>2</v>
      </c>
    </row>
    <row r="1638" spans="1:20" x14ac:dyDescent="0.2">
      <c r="A1638" t="s">
        <v>1922</v>
      </c>
      <c r="B1638">
        <f>IF(COUNTIFS('United Data'!$A$3:$A$3390,B$1,'United Data'!$C$3:$C$3390,$A1638,'United Data'!$B$3:$B$3390,"&lt;&gt;Off-street")&gt;0,1,0)</f>
        <v>1</v>
      </c>
      <c r="C1638">
        <f>IF(COUNTIFS('United Data'!$A$3:$A$3390,C$1,'United Data'!$C$3:$C$3390,$A1638,'United Data'!$B$3:$B$3390,"&lt;&gt;Off-street")&gt;0,1,0)</f>
        <v>0</v>
      </c>
      <c r="D1638">
        <f>IF(COUNTIFS('United Data'!$A$3:$A$3390,D$1,'United Data'!$C$3:$C$3390,$A1638,'United Data'!$B$3:$B$3390,"&lt;&gt;Off-street")&gt;0,1,0)</f>
        <v>0</v>
      </c>
      <c r="E1638">
        <f>IF(COUNTIFS('United Data'!$A$3:$A$3390,E$1,'United Data'!$C$3:$C$3390,$A1638,'United Data'!$B$3:$B$3390,"&lt;&gt;Off-street")&gt;0,1,0)</f>
        <v>1</v>
      </c>
      <c r="F1638">
        <f>IF(COUNTIFS('United Data'!$A$3:$A$3390,F$1,'United Data'!$C$3:$C$3390,$A1638,'United Data'!$B$3:$B$3390,"&lt;&gt;Off-street")&gt;0,1,0)</f>
        <v>1</v>
      </c>
      <c r="G1638">
        <f>IF(COUNTIFS('United Data'!$A$3:$A$3390,G$1,'United Data'!$C$3:$C$3390,$A1638,'United Data'!$B$3:$B$3390,"&lt;&gt;Off-street")&gt;0,1,0)</f>
        <v>0</v>
      </c>
      <c r="H1638">
        <f>IF(COUNTIFS('United Data'!$A$3:$A$3390,H$1,'United Data'!$C$3:$C$3390,$A1638,'United Data'!$B$3:$B$3390,"&lt;&gt;Off-street")&gt;0,1,0)</f>
        <v>0</v>
      </c>
      <c r="I1638">
        <f>IF(COUNTIFS('United Data'!$A$3:$A$3390,I$1,'United Data'!$C$3:$C$3390,$A1638,'United Data'!$B$3:$B$3390,"&lt;&gt;Off-street")&gt;0,1,0)</f>
        <v>0</v>
      </c>
      <c r="J1638">
        <f>IF(COUNTIFS('United Data'!$A$3:$A$3390,J$1,'United Data'!$C$3:$C$3390,$A1638,'United Data'!$B$3:$B$3390,"&lt;&gt;Off-street")&gt;0,1,0)</f>
        <v>0</v>
      </c>
      <c r="K1638">
        <f>IF(COUNTIFS('United Data'!$A$3:$A$3390,K$1,'United Data'!$C$3:$C$3390,$A1638,'United Data'!$B$3:$B$3390,"&lt;&gt;Off-street")&gt;0,1,0)</f>
        <v>0</v>
      </c>
      <c r="L1638">
        <f>IF(COUNTIFS('United Data'!$A$3:$A$3390,L$1,'United Data'!$C$3:$C$3390,$A1638,'United Data'!$B$3:$B$3390,"&lt;&gt;Off-street")&gt;0,1,0)</f>
        <v>0</v>
      </c>
      <c r="M1638">
        <f>IF(COUNTIFS('United Data'!$A$3:$A$3390,M$1,'United Data'!$C$3:$C$3390,$A1638,'United Data'!$B$3:$B$3390,"&lt;&gt;Off-street")&gt;0,1,0)</f>
        <v>0</v>
      </c>
      <c r="N1638">
        <f>IF(COUNTIFS('United Data'!$A$3:$A$3390,N$1,'United Data'!$C$3:$C$3390,$A1638,'United Data'!$B$3:$B$3390,"&lt;&gt;Off-street")&gt;0,1,0)</f>
        <v>0</v>
      </c>
      <c r="O1638">
        <f>IF(COUNTIFS('United Data'!$A$3:$A$3390,O$1,'United Data'!$C$3:$C$3390,$A1638,'United Data'!$B$3:$B$3390,"&lt;&gt;Off-street")&gt;0,1,0)</f>
        <v>0</v>
      </c>
      <c r="P1638">
        <f>IF(COUNTIFS('United Data'!$A$3:$A$3390,P$1,'United Data'!$C$3:$C$3390,$A1638,'United Data'!$B$3:$B$3390,"&lt;&gt;Off-street")&gt;0,1,0)</f>
        <v>0</v>
      </c>
      <c r="Q1638">
        <f>IF(COUNTIFS('United Data'!$A$3:$A$3390,Q$1,'United Data'!$C$3:$C$3390,$A1638,'United Data'!$B$3:$B$3390,"&lt;&gt;Off-street")&gt;0,1,0)</f>
        <v>0</v>
      </c>
      <c r="R1638">
        <f>IF(COUNTIFS('United Data'!$A$3:$A$3390,R$1,'United Data'!$C$3:$C$3390,$A1638,'United Data'!$B$3:$B$3390,"&lt;&gt;Off-street")&gt;0,1,0)</f>
        <v>0</v>
      </c>
      <c r="S1638">
        <f t="shared" si="50"/>
        <v>3</v>
      </c>
      <c r="T1638">
        <f t="shared" si="51"/>
        <v>2</v>
      </c>
    </row>
    <row r="1639" spans="1:20" x14ac:dyDescent="0.2">
      <c r="A1639" t="s">
        <v>1923</v>
      </c>
      <c r="B1639">
        <f>IF(COUNTIFS('United Data'!$A$3:$A$3390,B$1,'United Data'!$C$3:$C$3390,$A1639,'United Data'!$B$3:$B$3390,"&lt;&gt;Off-street")&gt;0,1,0)</f>
        <v>1</v>
      </c>
      <c r="C1639">
        <f>IF(COUNTIFS('United Data'!$A$3:$A$3390,C$1,'United Data'!$C$3:$C$3390,$A1639,'United Data'!$B$3:$B$3390,"&lt;&gt;Off-street")&gt;0,1,0)</f>
        <v>1</v>
      </c>
      <c r="D1639">
        <f>IF(COUNTIFS('United Data'!$A$3:$A$3390,D$1,'United Data'!$C$3:$C$3390,$A1639,'United Data'!$B$3:$B$3390,"&lt;&gt;Off-street")&gt;0,1,0)</f>
        <v>0</v>
      </c>
      <c r="E1639">
        <f>IF(COUNTIFS('United Data'!$A$3:$A$3390,E$1,'United Data'!$C$3:$C$3390,$A1639,'United Data'!$B$3:$B$3390,"&lt;&gt;Off-street")&gt;0,1,0)</f>
        <v>0</v>
      </c>
      <c r="F1639">
        <f>IF(COUNTIFS('United Data'!$A$3:$A$3390,F$1,'United Data'!$C$3:$C$3390,$A1639,'United Data'!$B$3:$B$3390,"&lt;&gt;Off-street")&gt;0,1,0)</f>
        <v>0</v>
      </c>
      <c r="G1639">
        <f>IF(COUNTIFS('United Data'!$A$3:$A$3390,G$1,'United Data'!$C$3:$C$3390,$A1639,'United Data'!$B$3:$B$3390,"&lt;&gt;Off-street")&gt;0,1,0)</f>
        <v>0</v>
      </c>
      <c r="H1639">
        <f>IF(COUNTIFS('United Data'!$A$3:$A$3390,H$1,'United Data'!$C$3:$C$3390,$A1639,'United Data'!$B$3:$B$3390,"&lt;&gt;Off-street")&gt;0,1,0)</f>
        <v>0</v>
      </c>
      <c r="I1639">
        <f>IF(COUNTIFS('United Data'!$A$3:$A$3390,I$1,'United Data'!$C$3:$C$3390,$A1639,'United Data'!$B$3:$B$3390,"&lt;&gt;Off-street")&gt;0,1,0)</f>
        <v>0</v>
      </c>
      <c r="J1639">
        <f>IF(COUNTIFS('United Data'!$A$3:$A$3390,J$1,'United Data'!$C$3:$C$3390,$A1639,'United Data'!$B$3:$B$3390,"&lt;&gt;Off-street")&gt;0,1,0)</f>
        <v>0</v>
      </c>
      <c r="K1639">
        <f>IF(COUNTIFS('United Data'!$A$3:$A$3390,K$1,'United Data'!$C$3:$C$3390,$A1639,'United Data'!$B$3:$B$3390,"&lt;&gt;Off-street")&gt;0,1,0)</f>
        <v>0</v>
      </c>
      <c r="L1639">
        <f>IF(COUNTIFS('United Data'!$A$3:$A$3390,L$1,'United Data'!$C$3:$C$3390,$A1639,'United Data'!$B$3:$B$3390,"&lt;&gt;Off-street")&gt;0,1,0)</f>
        <v>0</v>
      </c>
      <c r="M1639">
        <f>IF(COUNTIFS('United Data'!$A$3:$A$3390,M$1,'United Data'!$C$3:$C$3390,$A1639,'United Data'!$B$3:$B$3390,"&lt;&gt;Off-street")&gt;0,1,0)</f>
        <v>0</v>
      </c>
      <c r="N1639">
        <f>IF(COUNTIFS('United Data'!$A$3:$A$3390,N$1,'United Data'!$C$3:$C$3390,$A1639,'United Data'!$B$3:$B$3390,"&lt;&gt;Off-street")&gt;0,1,0)</f>
        <v>0</v>
      </c>
      <c r="O1639">
        <f>IF(COUNTIFS('United Data'!$A$3:$A$3390,O$1,'United Data'!$C$3:$C$3390,$A1639,'United Data'!$B$3:$B$3390,"&lt;&gt;Off-street")&gt;0,1,0)</f>
        <v>0</v>
      </c>
      <c r="P1639">
        <f>IF(COUNTIFS('United Data'!$A$3:$A$3390,P$1,'United Data'!$C$3:$C$3390,$A1639,'United Data'!$B$3:$B$3390,"&lt;&gt;Off-street")&gt;0,1,0)</f>
        <v>0</v>
      </c>
      <c r="Q1639">
        <f>IF(COUNTIFS('United Data'!$A$3:$A$3390,Q$1,'United Data'!$C$3:$C$3390,$A1639,'United Data'!$B$3:$B$3390,"&lt;&gt;Off-street")&gt;0,1,0)</f>
        <v>0</v>
      </c>
      <c r="R1639">
        <f>IF(COUNTIFS('United Data'!$A$3:$A$3390,R$1,'United Data'!$C$3:$C$3390,$A1639,'United Data'!$B$3:$B$3390,"&lt;&gt;Off-street")&gt;0,1,0)</f>
        <v>0</v>
      </c>
      <c r="S1639">
        <f t="shared" si="50"/>
        <v>2</v>
      </c>
      <c r="T1639">
        <f t="shared" si="51"/>
        <v>1</v>
      </c>
    </row>
    <row r="1640" spans="1:20" x14ac:dyDescent="0.2">
      <c r="A1640" t="s">
        <v>1924</v>
      </c>
      <c r="B1640">
        <f>IF(COUNTIFS('United Data'!$A$3:$A$3390,B$1,'United Data'!$C$3:$C$3390,$A1640,'United Data'!$B$3:$B$3390,"&lt;&gt;Off-street")&gt;0,1,0)</f>
        <v>1</v>
      </c>
      <c r="C1640">
        <f>IF(COUNTIFS('United Data'!$A$3:$A$3390,C$1,'United Data'!$C$3:$C$3390,$A1640,'United Data'!$B$3:$B$3390,"&lt;&gt;Off-street")&gt;0,1,0)</f>
        <v>1</v>
      </c>
      <c r="D1640">
        <f>IF(COUNTIFS('United Data'!$A$3:$A$3390,D$1,'United Data'!$C$3:$C$3390,$A1640,'United Data'!$B$3:$B$3390,"&lt;&gt;Off-street")&gt;0,1,0)</f>
        <v>1</v>
      </c>
      <c r="E1640">
        <f>IF(COUNTIFS('United Data'!$A$3:$A$3390,E$1,'United Data'!$C$3:$C$3390,$A1640,'United Data'!$B$3:$B$3390,"&lt;&gt;Off-street")&gt;0,1,0)</f>
        <v>0</v>
      </c>
      <c r="F1640">
        <f>IF(COUNTIFS('United Data'!$A$3:$A$3390,F$1,'United Data'!$C$3:$C$3390,$A1640,'United Data'!$B$3:$B$3390,"&lt;&gt;Off-street")&gt;0,1,0)</f>
        <v>0</v>
      </c>
      <c r="G1640">
        <f>IF(COUNTIFS('United Data'!$A$3:$A$3390,G$1,'United Data'!$C$3:$C$3390,$A1640,'United Data'!$B$3:$B$3390,"&lt;&gt;Off-street")&gt;0,1,0)</f>
        <v>0</v>
      </c>
      <c r="H1640">
        <f>IF(COUNTIFS('United Data'!$A$3:$A$3390,H$1,'United Data'!$C$3:$C$3390,$A1640,'United Data'!$B$3:$B$3390,"&lt;&gt;Off-street")&gt;0,1,0)</f>
        <v>0</v>
      </c>
      <c r="I1640">
        <f>IF(COUNTIFS('United Data'!$A$3:$A$3390,I$1,'United Data'!$C$3:$C$3390,$A1640,'United Data'!$B$3:$B$3390,"&lt;&gt;Off-street")&gt;0,1,0)</f>
        <v>0</v>
      </c>
      <c r="J1640">
        <f>IF(COUNTIFS('United Data'!$A$3:$A$3390,J$1,'United Data'!$C$3:$C$3390,$A1640,'United Data'!$B$3:$B$3390,"&lt;&gt;Off-street")&gt;0,1,0)</f>
        <v>0</v>
      </c>
      <c r="K1640">
        <f>IF(COUNTIFS('United Data'!$A$3:$A$3390,K$1,'United Data'!$C$3:$C$3390,$A1640,'United Data'!$B$3:$B$3390,"&lt;&gt;Off-street")&gt;0,1,0)</f>
        <v>0</v>
      </c>
      <c r="L1640">
        <f>IF(COUNTIFS('United Data'!$A$3:$A$3390,L$1,'United Data'!$C$3:$C$3390,$A1640,'United Data'!$B$3:$B$3390,"&lt;&gt;Off-street")&gt;0,1,0)</f>
        <v>0</v>
      </c>
      <c r="M1640">
        <f>IF(COUNTIFS('United Data'!$A$3:$A$3390,M$1,'United Data'!$C$3:$C$3390,$A1640,'United Data'!$B$3:$B$3390,"&lt;&gt;Off-street")&gt;0,1,0)</f>
        <v>0</v>
      </c>
      <c r="N1640">
        <f>IF(COUNTIFS('United Data'!$A$3:$A$3390,N$1,'United Data'!$C$3:$C$3390,$A1640,'United Data'!$B$3:$B$3390,"&lt;&gt;Off-street")&gt;0,1,0)</f>
        <v>0</v>
      </c>
      <c r="O1640">
        <f>IF(COUNTIFS('United Data'!$A$3:$A$3390,O$1,'United Data'!$C$3:$C$3390,$A1640,'United Data'!$B$3:$B$3390,"&lt;&gt;Off-street")&gt;0,1,0)</f>
        <v>0</v>
      </c>
      <c r="P1640">
        <f>IF(COUNTIFS('United Data'!$A$3:$A$3390,P$1,'United Data'!$C$3:$C$3390,$A1640,'United Data'!$B$3:$B$3390,"&lt;&gt;Off-street")&gt;0,1,0)</f>
        <v>0</v>
      </c>
      <c r="Q1640">
        <f>IF(COUNTIFS('United Data'!$A$3:$A$3390,Q$1,'United Data'!$C$3:$C$3390,$A1640,'United Data'!$B$3:$B$3390,"&lt;&gt;Off-street")&gt;0,1,0)</f>
        <v>0</v>
      </c>
      <c r="R1640">
        <f>IF(COUNTIFS('United Data'!$A$3:$A$3390,R$1,'United Data'!$C$3:$C$3390,$A1640,'United Data'!$B$3:$B$3390,"&lt;&gt;Off-street")&gt;0,1,0)</f>
        <v>0</v>
      </c>
      <c r="S1640">
        <f t="shared" si="50"/>
        <v>3</v>
      </c>
      <c r="T1640">
        <f t="shared" si="51"/>
        <v>1</v>
      </c>
    </row>
    <row r="1641" spans="1:20" x14ac:dyDescent="0.2">
      <c r="A1641" t="s">
        <v>1926</v>
      </c>
      <c r="B1641">
        <f>IF(COUNTIFS('United Data'!$A$3:$A$3390,B$1,'United Data'!$C$3:$C$3390,$A1641,'United Data'!$B$3:$B$3390,"&lt;&gt;Off-street")&gt;0,1,0)</f>
        <v>0</v>
      </c>
      <c r="C1641">
        <f>IF(COUNTIFS('United Data'!$A$3:$A$3390,C$1,'United Data'!$C$3:$C$3390,$A1641,'United Data'!$B$3:$B$3390,"&lt;&gt;Off-street")&gt;0,1,0)</f>
        <v>0</v>
      </c>
      <c r="D1641">
        <f>IF(COUNTIFS('United Data'!$A$3:$A$3390,D$1,'United Data'!$C$3:$C$3390,$A1641,'United Data'!$B$3:$B$3390,"&lt;&gt;Off-street")&gt;0,1,0)</f>
        <v>1</v>
      </c>
      <c r="E1641">
        <f>IF(COUNTIFS('United Data'!$A$3:$A$3390,E$1,'United Data'!$C$3:$C$3390,$A1641,'United Data'!$B$3:$B$3390,"&lt;&gt;Off-street")&gt;0,1,0)</f>
        <v>0</v>
      </c>
      <c r="F1641">
        <f>IF(COUNTIFS('United Data'!$A$3:$A$3390,F$1,'United Data'!$C$3:$C$3390,$A1641,'United Data'!$B$3:$B$3390,"&lt;&gt;Off-street")&gt;0,1,0)</f>
        <v>0</v>
      </c>
      <c r="G1641">
        <f>IF(COUNTIFS('United Data'!$A$3:$A$3390,G$1,'United Data'!$C$3:$C$3390,$A1641,'United Data'!$B$3:$B$3390,"&lt;&gt;Off-street")&gt;0,1,0)</f>
        <v>0</v>
      </c>
      <c r="H1641">
        <f>IF(COUNTIFS('United Data'!$A$3:$A$3390,H$1,'United Data'!$C$3:$C$3390,$A1641,'United Data'!$B$3:$B$3390,"&lt;&gt;Off-street")&gt;0,1,0)</f>
        <v>0</v>
      </c>
      <c r="I1641">
        <f>IF(COUNTIFS('United Data'!$A$3:$A$3390,I$1,'United Data'!$C$3:$C$3390,$A1641,'United Data'!$B$3:$B$3390,"&lt;&gt;Off-street")&gt;0,1,0)</f>
        <v>0</v>
      </c>
      <c r="J1641">
        <f>IF(COUNTIFS('United Data'!$A$3:$A$3390,J$1,'United Data'!$C$3:$C$3390,$A1641,'United Data'!$B$3:$B$3390,"&lt;&gt;Off-street")&gt;0,1,0)</f>
        <v>0</v>
      </c>
      <c r="K1641">
        <f>IF(COUNTIFS('United Data'!$A$3:$A$3390,K$1,'United Data'!$C$3:$C$3390,$A1641,'United Data'!$B$3:$B$3390,"&lt;&gt;Off-street")&gt;0,1,0)</f>
        <v>0</v>
      </c>
      <c r="L1641">
        <f>IF(COUNTIFS('United Data'!$A$3:$A$3390,L$1,'United Data'!$C$3:$C$3390,$A1641,'United Data'!$B$3:$B$3390,"&lt;&gt;Off-street")&gt;0,1,0)</f>
        <v>0</v>
      </c>
      <c r="M1641">
        <f>IF(COUNTIFS('United Data'!$A$3:$A$3390,M$1,'United Data'!$C$3:$C$3390,$A1641,'United Data'!$B$3:$B$3390,"&lt;&gt;Off-street")&gt;0,1,0)</f>
        <v>0</v>
      </c>
      <c r="N1641">
        <f>IF(COUNTIFS('United Data'!$A$3:$A$3390,N$1,'United Data'!$C$3:$C$3390,$A1641,'United Data'!$B$3:$B$3390,"&lt;&gt;Off-street")&gt;0,1,0)</f>
        <v>0</v>
      </c>
      <c r="O1641">
        <f>IF(COUNTIFS('United Data'!$A$3:$A$3390,O$1,'United Data'!$C$3:$C$3390,$A1641,'United Data'!$B$3:$B$3390,"&lt;&gt;Off-street")&gt;0,1,0)</f>
        <v>0</v>
      </c>
      <c r="P1641">
        <f>IF(COUNTIFS('United Data'!$A$3:$A$3390,P$1,'United Data'!$C$3:$C$3390,$A1641,'United Data'!$B$3:$B$3390,"&lt;&gt;Off-street")&gt;0,1,0)</f>
        <v>1</v>
      </c>
      <c r="Q1641">
        <f>IF(COUNTIFS('United Data'!$A$3:$A$3390,Q$1,'United Data'!$C$3:$C$3390,$A1641,'United Data'!$B$3:$B$3390,"&lt;&gt;Off-street")&gt;0,1,0)</f>
        <v>1</v>
      </c>
      <c r="R1641">
        <f>IF(COUNTIFS('United Data'!$A$3:$A$3390,R$1,'United Data'!$C$3:$C$3390,$A1641,'United Data'!$B$3:$B$3390,"&lt;&gt;Off-street")&gt;0,1,0)</f>
        <v>0</v>
      </c>
      <c r="S1641">
        <f t="shared" si="50"/>
        <v>3</v>
      </c>
      <c r="T1641">
        <f t="shared" si="51"/>
        <v>2</v>
      </c>
    </row>
    <row r="1642" spans="1:20" x14ac:dyDescent="0.2">
      <c r="A1642" t="s">
        <v>1927</v>
      </c>
      <c r="B1642">
        <f>IF(COUNTIFS('United Data'!$A$3:$A$3390,B$1,'United Data'!$C$3:$C$3390,$A1642,'United Data'!$B$3:$B$3390,"&lt;&gt;Off-street")&gt;0,1,0)</f>
        <v>0</v>
      </c>
      <c r="C1642">
        <f>IF(COUNTIFS('United Data'!$A$3:$A$3390,C$1,'United Data'!$C$3:$C$3390,$A1642,'United Data'!$B$3:$B$3390,"&lt;&gt;Off-street")&gt;0,1,0)</f>
        <v>0</v>
      </c>
      <c r="D1642">
        <f>IF(COUNTIFS('United Data'!$A$3:$A$3390,D$1,'United Data'!$C$3:$C$3390,$A1642,'United Data'!$B$3:$B$3390,"&lt;&gt;Off-street")&gt;0,1,0)</f>
        <v>1</v>
      </c>
      <c r="E1642">
        <f>IF(COUNTIFS('United Data'!$A$3:$A$3390,E$1,'United Data'!$C$3:$C$3390,$A1642,'United Data'!$B$3:$B$3390,"&lt;&gt;Off-street")&gt;0,1,0)</f>
        <v>0</v>
      </c>
      <c r="F1642">
        <f>IF(COUNTIFS('United Data'!$A$3:$A$3390,F$1,'United Data'!$C$3:$C$3390,$A1642,'United Data'!$B$3:$B$3390,"&lt;&gt;Off-street")&gt;0,1,0)</f>
        <v>0</v>
      </c>
      <c r="G1642">
        <f>IF(COUNTIFS('United Data'!$A$3:$A$3390,G$1,'United Data'!$C$3:$C$3390,$A1642,'United Data'!$B$3:$B$3390,"&lt;&gt;Off-street")&gt;0,1,0)</f>
        <v>0</v>
      </c>
      <c r="H1642">
        <f>IF(COUNTIFS('United Data'!$A$3:$A$3390,H$1,'United Data'!$C$3:$C$3390,$A1642,'United Data'!$B$3:$B$3390,"&lt;&gt;Off-street")&gt;0,1,0)</f>
        <v>0</v>
      </c>
      <c r="I1642">
        <f>IF(COUNTIFS('United Data'!$A$3:$A$3390,I$1,'United Data'!$C$3:$C$3390,$A1642,'United Data'!$B$3:$B$3390,"&lt;&gt;Off-street")&gt;0,1,0)</f>
        <v>0</v>
      </c>
      <c r="J1642">
        <f>IF(COUNTIFS('United Data'!$A$3:$A$3390,J$1,'United Data'!$C$3:$C$3390,$A1642,'United Data'!$B$3:$B$3390,"&lt;&gt;Off-street")&gt;0,1,0)</f>
        <v>0</v>
      </c>
      <c r="K1642">
        <f>IF(COUNTIFS('United Data'!$A$3:$A$3390,K$1,'United Data'!$C$3:$C$3390,$A1642,'United Data'!$B$3:$B$3390,"&lt;&gt;Off-street")&gt;0,1,0)</f>
        <v>0</v>
      </c>
      <c r="L1642">
        <f>IF(COUNTIFS('United Data'!$A$3:$A$3390,L$1,'United Data'!$C$3:$C$3390,$A1642,'United Data'!$B$3:$B$3390,"&lt;&gt;Off-street")&gt;0,1,0)</f>
        <v>0</v>
      </c>
      <c r="M1642">
        <f>IF(COUNTIFS('United Data'!$A$3:$A$3390,M$1,'United Data'!$C$3:$C$3390,$A1642,'United Data'!$B$3:$B$3390,"&lt;&gt;Off-street")&gt;0,1,0)</f>
        <v>0</v>
      </c>
      <c r="N1642">
        <f>IF(COUNTIFS('United Data'!$A$3:$A$3390,N$1,'United Data'!$C$3:$C$3390,$A1642,'United Data'!$B$3:$B$3390,"&lt;&gt;Off-street")&gt;0,1,0)</f>
        <v>0</v>
      </c>
      <c r="O1642">
        <f>IF(COUNTIFS('United Data'!$A$3:$A$3390,O$1,'United Data'!$C$3:$C$3390,$A1642,'United Data'!$B$3:$B$3390,"&lt;&gt;Off-street")&gt;0,1,0)</f>
        <v>0</v>
      </c>
      <c r="P1642">
        <f>IF(COUNTIFS('United Data'!$A$3:$A$3390,P$1,'United Data'!$C$3:$C$3390,$A1642,'United Data'!$B$3:$B$3390,"&lt;&gt;Off-street")&gt;0,1,0)</f>
        <v>0</v>
      </c>
      <c r="Q1642">
        <f>IF(COUNTIFS('United Data'!$A$3:$A$3390,Q$1,'United Data'!$C$3:$C$3390,$A1642,'United Data'!$B$3:$B$3390,"&lt;&gt;Off-street")&gt;0,1,0)</f>
        <v>0</v>
      </c>
      <c r="R1642">
        <f>IF(COUNTIFS('United Data'!$A$3:$A$3390,R$1,'United Data'!$C$3:$C$3390,$A1642,'United Data'!$B$3:$B$3390,"&lt;&gt;Off-street")&gt;0,1,0)</f>
        <v>0</v>
      </c>
      <c r="S1642">
        <f t="shared" si="50"/>
        <v>1</v>
      </c>
      <c r="T1642">
        <f t="shared" si="51"/>
        <v>1</v>
      </c>
    </row>
    <row r="1643" spans="1:20" x14ac:dyDescent="0.2">
      <c r="A1643" t="s">
        <v>1929</v>
      </c>
      <c r="B1643">
        <f>IF(COUNTIFS('United Data'!$A$3:$A$3390,B$1,'United Data'!$C$3:$C$3390,$A1643,'United Data'!$B$3:$B$3390,"&lt;&gt;Off-street")&gt;0,1,0)</f>
        <v>0</v>
      </c>
      <c r="C1643">
        <f>IF(COUNTIFS('United Data'!$A$3:$A$3390,C$1,'United Data'!$C$3:$C$3390,$A1643,'United Data'!$B$3:$B$3390,"&lt;&gt;Off-street")&gt;0,1,0)</f>
        <v>0</v>
      </c>
      <c r="D1643">
        <f>IF(COUNTIFS('United Data'!$A$3:$A$3390,D$1,'United Data'!$C$3:$C$3390,$A1643,'United Data'!$B$3:$B$3390,"&lt;&gt;Off-street")&gt;0,1,0)</f>
        <v>1</v>
      </c>
      <c r="E1643">
        <f>IF(COUNTIFS('United Data'!$A$3:$A$3390,E$1,'United Data'!$C$3:$C$3390,$A1643,'United Data'!$B$3:$B$3390,"&lt;&gt;Off-street")&gt;0,1,0)</f>
        <v>0</v>
      </c>
      <c r="F1643">
        <f>IF(COUNTIFS('United Data'!$A$3:$A$3390,F$1,'United Data'!$C$3:$C$3390,$A1643,'United Data'!$B$3:$B$3390,"&lt;&gt;Off-street")&gt;0,1,0)</f>
        <v>0</v>
      </c>
      <c r="G1643">
        <f>IF(COUNTIFS('United Data'!$A$3:$A$3390,G$1,'United Data'!$C$3:$C$3390,$A1643,'United Data'!$B$3:$B$3390,"&lt;&gt;Off-street")&gt;0,1,0)</f>
        <v>0</v>
      </c>
      <c r="H1643">
        <f>IF(COUNTIFS('United Data'!$A$3:$A$3390,H$1,'United Data'!$C$3:$C$3390,$A1643,'United Data'!$B$3:$B$3390,"&lt;&gt;Off-street")&gt;0,1,0)</f>
        <v>0</v>
      </c>
      <c r="I1643">
        <f>IF(COUNTIFS('United Data'!$A$3:$A$3390,I$1,'United Data'!$C$3:$C$3390,$A1643,'United Data'!$B$3:$B$3390,"&lt;&gt;Off-street")&gt;0,1,0)</f>
        <v>0</v>
      </c>
      <c r="J1643">
        <f>IF(COUNTIFS('United Data'!$A$3:$A$3390,J$1,'United Data'!$C$3:$C$3390,$A1643,'United Data'!$B$3:$B$3390,"&lt;&gt;Off-street")&gt;0,1,0)</f>
        <v>0</v>
      </c>
      <c r="K1643">
        <f>IF(COUNTIFS('United Data'!$A$3:$A$3390,K$1,'United Data'!$C$3:$C$3390,$A1643,'United Data'!$B$3:$B$3390,"&lt;&gt;Off-street")&gt;0,1,0)</f>
        <v>0</v>
      </c>
      <c r="L1643">
        <f>IF(COUNTIFS('United Data'!$A$3:$A$3390,L$1,'United Data'!$C$3:$C$3390,$A1643,'United Data'!$B$3:$B$3390,"&lt;&gt;Off-street")&gt;0,1,0)</f>
        <v>0</v>
      </c>
      <c r="M1643">
        <f>IF(COUNTIFS('United Data'!$A$3:$A$3390,M$1,'United Data'!$C$3:$C$3390,$A1643,'United Data'!$B$3:$B$3390,"&lt;&gt;Off-street")&gt;0,1,0)</f>
        <v>0</v>
      </c>
      <c r="N1643">
        <f>IF(COUNTIFS('United Data'!$A$3:$A$3390,N$1,'United Data'!$C$3:$C$3390,$A1643,'United Data'!$B$3:$B$3390,"&lt;&gt;Off-street")&gt;0,1,0)</f>
        <v>0</v>
      </c>
      <c r="O1643">
        <f>IF(COUNTIFS('United Data'!$A$3:$A$3390,O$1,'United Data'!$C$3:$C$3390,$A1643,'United Data'!$B$3:$B$3390,"&lt;&gt;Off-street")&gt;0,1,0)</f>
        <v>0</v>
      </c>
      <c r="P1643">
        <f>IF(COUNTIFS('United Data'!$A$3:$A$3390,P$1,'United Data'!$C$3:$C$3390,$A1643,'United Data'!$B$3:$B$3390,"&lt;&gt;Off-street")&gt;0,1,0)</f>
        <v>0</v>
      </c>
      <c r="Q1643">
        <f>IF(COUNTIFS('United Data'!$A$3:$A$3390,Q$1,'United Data'!$C$3:$C$3390,$A1643,'United Data'!$B$3:$B$3390,"&lt;&gt;Off-street")&gt;0,1,0)</f>
        <v>0</v>
      </c>
      <c r="R1643">
        <f>IF(COUNTIFS('United Data'!$A$3:$A$3390,R$1,'United Data'!$C$3:$C$3390,$A1643,'United Data'!$B$3:$B$3390,"&lt;&gt;Off-street")&gt;0,1,0)</f>
        <v>0</v>
      </c>
      <c r="S1643">
        <f t="shared" si="50"/>
        <v>1</v>
      </c>
      <c r="T1643">
        <f t="shared" si="51"/>
        <v>1</v>
      </c>
    </row>
    <row r="1644" spans="1:20" x14ac:dyDescent="0.2">
      <c r="A1644" t="s">
        <v>1931</v>
      </c>
      <c r="B1644">
        <f>IF(COUNTIFS('United Data'!$A$3:$A$3390,B$1,'United Data'!$C$3:$C$3390,$A1644,'United Data'!$B$3:$B$3390,"&lt;&gt;Off-street")&gt;0,1,0)</f>
        <v>0</v>
      </c>
      <c r="C1644">
        <f>IF(COUNTIFS('United Data'!$A$3:$A$3390,C$1,'United Data'!$C$3:$C$3390,$A1644,'United Data'!$B$3:$B$3390,"&lt;&gt;Off-street")&gt;0,1,0)</f>
        <v>0</v>
      </c>
      <c r="D1644">
        <f>IF(COUNTIFS('United Data'!$A$3:$A$3390,D$1,'United Data'!$C$3:$C$3390,$A1644,'United Data'!$B$3:$B$3390,"&lt;&gt;Off-street")&gt;0,1,0)</f>
        <v>0</v>
      </c>
      <c r="E1644">
        <f>IF(COUNTIFS('United Data'!$A$3:$A$3390,E$1,'United Data'!$C$3:$C$3390,$A1644,'United Data'!$B$3:$B$3390,"&lt;&gt;Off-street")&gt;0,1,0)</f>
        <v>1</v>
      </c>
      <c r="F1644">
        <f>IF(COUNTIFS('United Data'!$A$3:$A$3390,F$1,'United Data'!$C$3:$C$3390,$A1644,'United Data'!$B$3:$B$3390,"&lt;&gt;Off-street")&gt;0,1,0)</f>
        <v>0</v>
      </c>
      <c r="G1644">
        <f>IF(COUNTIFS('United Data'!$A$3:$A$3390,G$1,'United Data'!$C$3:$C$3390,$A1644,'United Data'!$B$3:$B$3390,"&lt;&gt;Off-street")&gt;0,1,0)</f>
        <v>0</v>
      </c>
      <c r="H1644">
        <f>IF(COUNTIFS('United Data'!$A$3:$A$3390,H$1,'United Data'!$C$3:$C$3390,$A1644,'United Data'!$B$3:$B$3390,"&lt;&gt;Off-street")&gt;0,1,0)</f>
        <v>0</v>
      </c>
      <c r="I1644">
        <f>IF(COUNTIFS('United Data'!$A$3:$A$3390,I$1,'United Data'!$C$3:$C$3390,$A1644,'United Data'!$B$3:$B$3390,"&lt;&gt;Off-street")&gt;0,1,0)</f>
        <v>0</v>
      </c>
      <c r="J1644">
        <f>IF(COUNTIFS('United Data'!$A$3:$A$3390,J$1,'United Data'!$C$3:$C$3390,$A1644,'United Data'!$B$3:$B$3390,"&lt;&gt;Off-street")&gt;0,1,0)</f>
        <v>0</v>
      </c>
      <c r="K1644">
        <f>IF(COUNTIFS('United Data'!$A$3:$A$3390,K$1,'United Data'!$C$3:$C$3390,$A1644,'United Data'!$B$3:$B$3390,"&lt;&gt;Off-street")&gt;0,1,0)</f>
        <v>0</v>
      </c>
      <c r="L1644">
        <f>IF(COUNTIFS('United Data'!$A$3:$A$3390,L$1,'United Data'!$C$3:$C$3390,$A1644,'United Data'!$B$3:$B$3390,"&lt;&gt;Off-street")&gt;0,1,0)</f>
        <v>0</v>
      </c>
      <c r="M1644">
        <f>IF(COUNTIFS('United Data'!$A$3:$A$3390,M$1,'United Data'!$C$3:$C$3390,$A1644,'United Data'!$B$3:$B$3390,"&lt;&gt;Off-street")&gt;0,1,0)</f>
        <v>0</v>
      </c>
      <c r="N1644">
        <f>IF(COUNTIFS('United Data'!$A$3:$A$3390,N$1,'United Data'!$C$3:$C$3390,$A1644,'United Data'!$B$3:$B$3390,"&lt;&gt;Off-street")&gt;0,1,0)</f>
        <v>0</v>
      </c>
      <c r="O1644">
        <f>IF(COUNTIFS('United Data'!$A$3:$A$3390,O$1,'United Data'!$C$3:$C$3390,$A1644,'United Data'!$B$3:$B$3390,"&lt;&gt;Off-street")&gt;0,1,0)</f>
        <v>0</v>
      </c>
      <c r="P1644">
        <f>IF(COUNTIFS('United Data'!$A$3:$A$3390,P$1,'United Data'!$C$3:$C$3390,$A1644,'United Data'!$B$3:$B$3390,"&lt;&gt;Off-street")&gt;0,1,0)</f>
        <v>0</v>
      </c>
      <c r="Q1644">
        <f>IF(COUNTIFS('United Data'!$A$3:$A$3390,Q$1,'United Data'!$C$3:$C$3390,$A1644,'United Data'!$B$3:$B$3390,"&lt;&gt;Off-street")&gt;0,1,0)</f>
        <v>0</v>
      </c>
      <c r="R1644">
        <f>IF(COUNTIFS('United Data'!$A$3:$A$3390,R$1,'United Data'!$C$3:$C$3390,$A1644,'United Data'!$B$3:$B$3390,"&lt;&gt;Off-street")&gt;0,1,0)</f>
        <v>0</v>
      </c>
      <c r="S1644">
        <f t="shared" si="50"/>
        <v>1</v>
      </c>
      <c r="T1644">
        <f t="shared" si="51"/>
        <v>1</v>
      </c>
    </row>
    <row r="1645" spans="1:20" x14ac:dyDescent="0.2">
      <c r="A1645" t="s">
        <v>1932</v>
      </c>
      <c r="B1645">
        <f>IF(COUNTIFS('United Data'!$A$3:$A$3390,B$1,'United Data'!$C$3:$C$3390,$A1645,'United Data'!$B$3:$B$3390,"&lt;&gt;Off-street")&gt;0,1,0)</f>
        <v>0</v>
      </c>
      <c r="C1645">
        <f>IF(COUNTIFS('United Data'!$A$3:$A$3390,C$1,'United Data'!$C$3:$C$3390,$A1645,'United Data'!$B$3:$B$3390,"&lt;&gt;Off-street")&gt;0,1,0)</f>
        <v>0</v>
      </c>
      <c r="D1645">
        <f>IF(COUNTIFS('United Data'!$A$3:$A$3390,D$1,'United Data'!$C$3:$C$3390,$A1645,'United Data'!$B$3:$B$3390,"&lt;&gt;Off-street")&gt;0,1,0)</f>
        <v>0</v>
      </c>
      <c r="E1645">
        <f>IF(COUNTIFS('United Data'!$A$3:$A$3390,E$1,'United Data'!$C$3:$C$3390,$A1645,'United Data'!$B$3:$B$3390,"&lt;&gt;Off-street")&gt;0,1,0)</f>
        <v>1</v>
      </c>
      <c r="F1645">
        <f>IF(COUNTIFS('United Data'!$A$3:$A$3390,F$1,'United Data'!$C$3:$C$3390,$A1645,'United Data'!$B$3:$B$3390,"&lt;&gt;Off-street")&gt;0,1,0)</f>
        <v>1</v>
      </c>
      <c r="G1645">
        <f>IF(COUNTIFS('United Data'!$A$3:$A$3390,G$1,'United Data'!$C$3:$C$3390,$A1645,'United Data'!$B$3:$B$3390,"&lt;&gt;Off-street")&gt;0,1,0)</f>
        <v>1</v>
      </c>
      <c r="H1645">
        <f>IF(COUNTIFS('United Data'!$A$3:$A$3390,H$1,'United Data'!$C$3:$C$3390,$A1645,'United Data'!$B$3:$B$3390,"&lt;&gt;Off-street")&gt;0,1,0)</f>
        <v>0</v>
      </c>
      <c r="I1645">
        <f>IF(COUNTIFS('United Data'!$A$3:$A$3390,I$1,'United Data'!$C$3:$C$3390,$A1645,'United Data'!$B$3:$B$3390,"&lt;&gt;Off-street")&gt;0,1,0)</f>
        <v>0</v>
      </c>
      <c r="J1645">
        <f>IF(COUNTIFS('United Data'!$A$3:$A$3390,J$1,'United Data'!$C$3:$C$3390,$A1645,'United Data'!$B$3:$B$3390,"&lt;&gt;Off-street")&gt;0,1,0)</f>
        <v>0</v>
      </c>
      <c r="K1645">
        <f>IF(COUNTIFS('United Data'!$A$3:$A$3390,K$1,'United Data'!$C$3:$C$3390,$A1645,'United Data'!$B$3:$B$3390,"&lt;&gt;Off-street")&gt;0,1,0)</f>
        <v>0</v>
      </c>
      <c r="L1645">
        <f>IF(COUNTIFS('United Data'!$A$3:$A$3390,L$1,'United Data'!$C$3:$C$3390,$A1645,'United Data'!$B$3:$B$3390,"&lt;&gt;Off-street")&gt;0,1,0)</f>
        <v>0</v>
      </c>
      <c r="M1645">
        <f>IF(COUNTIFS('United Data'!$A$3:$A$3390,M$1,'United Data'!$C$3:$C$3390,$A1645,'United Data'!$B$3:$B$3390,"&lt;&gt;Off-street")&gt;0,1,0)</f>
        <v>0</v>
      </c>
      <c r="N1645">
        <f>IF(COUNTIFS('United Data'!$A$3:$A$3390,N$1,'United Data'!$C$3:$C$3390,$A1645,'United Data'!$B$3:$B$3390,"&lt;&gt;Off-street")&gt;0,1,0)</f>
        <v>0</v>
      </c>
      <c r="O1645">
        <f>IF(COUNTIFS('United Data'!$A$3:$A$3390,O$1,'United Data'!$C$3:$C$3390,$A1645,'United Data'!$B$3:$B$3390,"&lt;&gt;Off-street")&gt;0,1,0)</f>
        <v>0</v>
      </c>
      <c r="P1645">
        <f>IF(COUNTIFS('United Data'!$A$3:$A$3390,P$1,'United Data'!$C$3:$C$3390,$A1645,'United Data'!$B$3:$B$3390,"&lt;&gt;Off-street")&gt;0,1,0)</f>
        <v>0</v>
      </c>
      <c r="Q1645">
        <f>IF(COUNTIFS('United Data'!$A$3:$A$3390,Q$1,'United Data'!$C$3:$C$3390,$A1645,'United Data'!$B$3:$B$3390,"&lt;&gt;Off-street")&gt;0,1,0)</f>
        <v>0</v>
      </c>
      <c r="R1645">
        <f>IF(COUNTIFS('United Data'!$A$3:$A$3390,R$1,'United Data'!$C$3:$C$3390,$A1645,'United Data'!$B$3:$B$3390,"&lt;&gt;Off-street")&gt;0,1,0)</f>
        <v>1</v>
      </c>
      <c r="S1645">
        <f t="shared" si="50"/>
        <v>4</v>
      </c>
      <c r="T1645">
        <f t="shared" si="51"/>
        <v>2</v>
      </c>
    </row>
    <row r="1646" spans="1:20" x14ac:dyDescent="0.2">
      <c r="A1646" t="s">
        <v>1933</v>
      </c>
      <c r="B1646">
        <f>IF(COUNTIFS('United Data'!$A$3:$A$3390,B$1,'United Data'!$C$3:$C$3390,$A1646,'United Data'!$B$3:$B$3390,"&lt;&gt;Off-street")&gt;0,1,0)</f>
        <v>0</v>
      </c>
      <c r="C1646">
        <f>IF(COUNTIFS('United Data'!$A$3:$A$3390,C$1,'United Data'!$C$3:$C$3390,$A1646,'United Data'!$B$3:$B$3390,"&lt;&gt;Off-street")&gt;0,1,0)</f>
        <v>0</v>
      </c>
      <c r="D1646">
        <f>IF(COUNTIFS('United Data'!$A$3:$A$3390,D$1,'United Data'!$C$3:$C$3390,$A1646,'United Data'!$B$3:$B$3390,"&lt;&gt;Off-street")&gt;0,1,0)</f>
        <v>0</v>
      </c>
      <c r="E1646">
        <f>IF(COUNTIFS('United Data'!$A$3:$A$3390,E$1,'United Data'!$C$3:$C$3390,$A1646,'United Data'!$B$3:$B$3390,"&lt;&gt;Off-street")&gt;0,1,0)</f>
        <v>1</v>
      </c>
      <c r="F1646">
        <f>IF(COUNTIFS('United Data'!$A$3:$A$3390,F$1,'United Data'!$C$3:$C$3390,$A1646,'United Data'!$B$3:$B$3390,"&lt;&gt;Off-street")&gt;0,1,0)</f>
        <v>0</v>
      </c>
      <c r="G1646">
        <f>IF(COUNTIFS('United Data'!$A$3:$A$3390,G$1,'United Data'!$C$3:$C$3390,$A1646,'United Data'!$B$3:$B$3390,"&lt;&gt;Off-street")&gt;0,1,0)</f>
        <v>0</v>
      </c>
      <c r="H1646">
        <f>IF(COUNTIFS('United Data'!$A$3:$A$3390,H$1,'United Data'!$C$3:$C$3390,$A1646,'United Data'!$B$3:$B$3390,"&lt;&gt;Off-street")&gt;0,1,0)</f>
        <v>0</v>
      </c>
      <c r="I1646">
        <f>IF(COUNTIFS('United Data'!$A$3:$A$3390,I$1,'United Data'!$C$3:$C$3390,$A1646,'United Data'!$B$3:$B$3390,"&lt;&gt;Off-street")&gt;0,1,0)</f>
        <v>0</v>
      </c>
      <c r="J1646">
        <f>IF(COUNTIFS('United Data'!$A$3:$A$3390,J$1,'United Data'!$C$3:$C$3390,$A1646,'United Data'!$B$3:$B$3390,"&lt;&gt;Off-street")&gt;0,1,0)</f>
        <v>0</v>
      </c>
      <c r="K1646">
        <f>IF(COUNTIFS('United Data'!$A$3:$A$3390,K$1,'United Data'!$C$3:$C$3390,$A1646,'United Data'!$B$3:$B$3390,"&lt;&gt;Off-street")&gt;0,1,0)</f>
        <v>0</v>
      </c>
      <c r="L1646">
        <f>IF(COUNTIFS('United Data'!$A$3:$A$3390,L$1,'United Data'!$C$3:$C$3390,$A1646,'United Data'!$B$3:$B$3390,"&lt;&gt;Off-street")&gt;0,1,0)</f>
        <v>0</v>
      </c>
      <c r="M1646">
        <f>IF(COUNTIFS('United Data'!$A$3:$A$3390,M$1,'United Data'!$C$3:$C$3390,$A1646,'United Data'!$B$3:$B$3390,"&lt;&gt;Off-street")&gt;0,1,0)</f>
        <v>0</v>
      </c>
      <c r="N1646">
        <f>IF(COUNTIFS('United Data'!$A$3:$A$3390,N$1,'United Data'!$C$3:$C$3390,$A1646,'United Data'!$B$3:$B$3390,"&lt;&gt;Off-street")&gt;0,1,0)</f>
        <v>0</v>
      </c>
      <c r="O1646">
        <f>IF(COUNTIFS('United Data'!$A$3:$A$3390,O$1,'United Data'!$C$3:$C$3390,$A1646,'United Data'!$B$3:$B$3390,"&lt;&gt;Off-street")&gt;0,1,0)</f>
        <v>0</v>
      </c>
      <c r="P1646">
        <f>IF(COUNTIFS('United Data'!$A$3:$A$3390,P$1,'United Data'!$C$3:$C$3390,$A1646,'United Data'!$B$3:$B$3390,"&lt;&gt;Off-street")&gt;0,1,0)</f>
        <v>0</v>
      </c>
      <c r="Q1646">
        <f>IF(COUNTIFS('United Data'!$A$3:$A$3390,Q$1,'United Data'!$C$3:$C$3390,$A1646,'United Data'!$B$3:$B$3390,"&lt;&gt;Off-street")&gt;0,1,0)</f>
        <v>0</v>
      </c>
      <c r="R1646">
        <f>IF(COUNTIFS('United Data'!$A$3:$A$3390,R$1,'United Data'!$C$3:$C$3390,$A1646,'United Data'!$B$3:$B$3390,"&lt;&gt;Off-street")&gt;0,1,0)</f>
        <v>0</v>
      </c>
      <c r="S1646">
        <f t="shared" si="50"/>
        <v>1</v>
      </c>
      <c r="T1646">
        <f t="shared" si="51"/>
        <v>1</v>
      </c>
    </row>
    <row r="1647" spans="1:20" x14ac:dyDescent="0.2">
      <c r="A1647" t="s">
        <v>1934</v>
      </c>
      <c r="B1647">
        <f>IF(COUNTIFS('United Data'!$A$3:$A$3390,B$1,'United Data'!$C$3:$C$3390,$A1647,'United Data'!$B$3:$B$3390,"&lt;&gt;Off-street")&gt;0,1,0)</f>
        <v>0</v>
      </c>
      <c r="C1647">
        <f>IF(COUNTIFS('United Data'!$A$3:$A$3390,C$1,'United Data'!$C$3:$C$3390,$A1647,'United Data'!$B$3:$B$3390,"&lt;&gt;Off-street")&gt;0,1,0)</f>
        <v>0</v>
      </c>
      <c r="D1647">
        <f>IF(COUNTIFS('United Data'!$A$3:$A$3390,D$1,'United Data'!$C$3:$C$3390,$A1647,'United Data'!$B$3:$B$3390,"&lt;&gt;Off-street")&gt;0,1,0)</f>
        <v>0</v>
      </c>
      <c r="E1647">
        <f>IF(COUNTIFS('United Data'!$A$3:$A$3390,E$1,'United Data'!$C$3:$C$3390,$A1647,'United Data'!$B$3:$B$3390,"&lt;&gt;Off-street")&gt;0,1,0)</f>
        <v>1</v>
      </c>
      <c r="F1647">
        <f>IF(COUNTIFS('United Data'!$A$3:$A$3390,F$1,'United Data'!$C$3:$C$3390,$A1647,'United Data'!$B$3:$B$3390,"&lt;&gt;Off-street")&gt;0,1,0)</f>
        <v>1</v>
      </c>
      <c r="G1647">
        <f>IF(COUNTIFS('United Data'!$A$3:$A$3390,G$1,'United Data'!$C$3:$C$3390,$A1647,'United Data'!$B$3:$B$3390,"&lt;&gt;Off-street")&gt;0,1,0)</f>
        <v>0</v>
      </c>
      <c r="H1647">
        <f>IF(COUNTIFS('United Data'!$A$3:$A$3390,H$1,'United Data'!$C$3:$C$3390,$A1647,'United Data'!$B$3:$B$3390,"&lt;&gt;Off-street")&gt;0,1,0)</f>
        <v>0</v>
      </c>
      <c r="I1647">
        <f>IF(COUNTIFS('United Data'!$A$3:$A$3390,I$1,'United Data'!$C$3:$C$3390,$A1647,'United Data'!$B$3:$B$3390,"&lt;&gt;Off-street")&gt;0,1,0)</f>
        <v>0</v>
      </c>
      <c r="J1647">
        <f>IF(COUNTIFS('United Data'!$A$3:$A$3390,J$1,'United Data'!$C$3:$C$3390,$A1647,'United Data'!$B$3:$B$3390,"&lt;&gt;Off-street")&gt;0,1,0)</f>
        <v>0</v>
      </c>
      <c r="K1647">
        <f>IF(COUNTIFS('United Data'!$A$3:$A$3390,K$1,'United Data'!$C$3:$C$3390,$A1647,'United Data'!$B$3:$B$3390,"&lt;&gt;Off-street")&gt;0,1,0)</f>
        <v>0</v>
      </c>
      <c r="L1647">
        <f>IF(COUNTIFS('United Data'!$A$3:$A$3390,L$1,'United Data'!$C$3:$C$3390,$A1647,'United Data'!$B$3:$B$3390,"&lt;&gt;Off-street")&gt;0,1,0)</f>
        <v>0</v>
      </c>
      <c r="M1647">
        <f>IF(COUNTIFS('United Data'!$A$3:$A$3390,M$1,'United Data'!$C$3:$C$3390,$A1647,'United Data'!$B$3:$B$3390,"&lt;&gt;Off-street")&gt;0,1,0)</f>
        <v>0</v>
      </c>
      <c r="N1647">
        <f>IF(COUNTIFS('United Data'!$A$3:$A$3390,N$1,'United Data'!$C$3:$C$3390,$A1647,'United Data'!$B$3:$B$3390,"&lt;&gt;Off-street")&gt;0,1,0)</f>
        <v>0</v>
      </c>
      <c r="O1647">
        <f>IF(COUNTIFS('United Data'!$A$3:$A$3390,O$1,'United Data'!$C$3:$C$3390,$A1647,'United Data'!$B$3:$B$3390,"&lt;&gt;Off-street")&gt;0,1,0)</f>
        <v>0</v>
      </c>
      <c r="P1647">
        <f>IF(COUNTIFS('United Data'!$A$3:$A$3390,P$1,'United Data'!$C$3:$C$3390,$A1647,'United Data'!$B$3:$B$3390,"&lt;&gt;Off-street")&gt;0,1,0)</f>
        <v>0</v>
      </c>
      <c r="Q1647">
        <f>IF(COUNTIFS('United Data'!$A$3:$A$3390,Q$1,'United Data'!$C$3:$C$3390,$A1647,'United Data'!$B$3:$B$3390,"&lt;&gt;Off-street")&gt;0,1,0)</f>
        <v>0</v>
      </c>
      <c r="R1647">
        <f>IF(COUNTIFS('United Data'!$A$3:$A$3390,R$1,'United Data'!$C$3:$C$3390,$A1647,'United Data'!$B$3:$B$3390,"&lt;&gt;Off-street")&gt;0,1,0)</f>
        <v>0</v>
      </c>
      <c r="S1647">
        <f t="shared" si="50"/>
        <v>2</v>
      </c>
      <c r="T1647">
        <f t="shared" si="51"/>
        <v>1</v>
      </c>
    </row>
    <row r="1648" spans="1:20" x14ac:dyDescent="0.2">
      <c r="A1648" t="s">
        <v>1935</v>
      </c>
      <c r="B1648">
        <f>IF(COUNTIFS('United Data'!$A$3:$A$3390,B$1,'United Data'!$C$3:$C$3390,$A1648,'United Data'!$B$3:$B$3390,"&lt;&gt;Off-street")&gt;0,1,0)</f>
        <v>0</v>
      </c>
      <c r="C1648">
        <f>IF(COUNTIFS('United Data'!$A$3:$A$3390,C$1,'United Data'!$C$3:$C$3390,$A1648,'United Data'!$B$3:$B$3390,"&lt;&gt;Off-street")&gt;0,1,0)</f>
        <v>0</v>
      </c>
      <c r="D1648">
        <f>IF(COUNTIFS('United Data'!$A$3:$A$3390,D$1,'United Data'!$C$3:$C$3390,$A1648,'United Data'!$B$3:$B$3390,"&lt;&gt;Off-street")&gt;0,1,0)</f>
        <v>0</v>
      </c>
      <c r="E1648">
        <f>IF(COUNTIFS('United Data'!$A$3:$A$3390,E$1,'United Data'!$C$3:$C$3390,$A1648,'United Data'!$B$3:$B$3390,"&lt;&gt;Off-street")&gt;0,1,0)</f>
        <v>1</v>
      </c>
      <c r="F1648">
        <f>IF(COUNTIFS('United Data'!$A$3:$A$3390,F$1,'United Data'!$C$3:$C$3390,$A1648,'United Data'!$B$3:$B$3390,"&lt;&gt;Off-street")&gt;0,1,0)</f>
        <v>0</v>
      </c>
      <c r="G1648">
        <f>IF(COUNTIFS('United Data'!$A$3:$A$3390,G$1,'United Data'!$C$3:$C$3390,$A1648,'United Data'!$B$3:$B$3390,"&lt;&gt;Off-street")&gt;0,1,0)</f>
        <v>0</v>
      </c>
      <c r="H1648">
        <f>IF(COUNTIFS('United Data'!$A$3:$A$3390,H$1,'United Data'!$C$3:$C$3390,$A1648,'United Data'!$B$3:$B$3390,"&lt;&gt;Off-street")&gt;0,1,0)</f>
        <v>0</v>
      </c>
      <c r="I1648">
        <f>IF(COUNTIFS('United Data'!$A$3:$A$3390,I$1,'United Data'!$C$3:$C$3390,$A1648,'United Data'!$B$3:$B$3390,"&lt;&gt;Off-street")&gt;0,1,0)</f>
        <v>0</v>
      </c>
      <c r="J1648">
        <f>IF(COUNTIFS('United Data'!$A$3:$A$3390,J$1,'United Data'!$C$3:$C$3390,$A1648,'United Data'!$B$3:$B$3390,"&lt;&gt;Off-street")&gt;0,1,0)</f>
        <v>0</v>
      </c>
      <c r="K1648">
        <f>IF(COUNTIFS('United Data'!$A$3:$A$3390,K$1,'United Data'!$C$3:$C$3390,$A1648,'United Data'!$B$3:$B$3390,"&lt;&gt;Off-street")&gt;0,1,0)</f>
        <v>0</v>
      </c>
      <c r="L1648">
        <f>IF(COUNTIFS('United Data'!$A$3:$A$3390,L$1,'United Data'!$C$3:$C$3390,$A1648,'United Data'!$B$3:$B$3390,"&lt;&gt;Off-street")&gt;0,1,0)</f>
        <v>0</v>
      </c>
      <c r="M1648">
        <f>IF(COUNTIFS('United Data'!$A$3:$A$3390,M$1,'United Data'!$C$3:$C$3390,$A1648,'United Data'!$B$3:$B$3390,"&lt;&gt;Off-street")&gt;0,1,0)</f>
        <v>0</v>
      </c>
      <c r="N1648">
        <f>IF(COUNTIFS('United Data'!$A$3:$A$3390,N$1,'United Data'!$C$3:$C$3390,$A1648,'United Data'!$B$3:$B$3390,"&lt;&gt;Off-street")&gt;0,1,0)</f>
        <v>0</v>
      </c>
      <c r="O1648">
        <f>IF(COUNTIFS('United Data'!$A$3:$A$3390,O$1,'United Data'!$C$3:$C$3390,$A1648,'United Data'!$B$3:$B$3390,"&lt;&gt;Off-street")&gt;0,1,0)</f>
        <v>0</v>
      </c>
      <c r="P1648">
        <f>IF(COUNTIFS('United Data'!$A$3:$A$3390,P$1,'United Data'!$C$3:$C$3390,$A1648,'United Data'!$B$3:$B$3390,"&lt;&gt;Off-street")&gt;0,1,0)</f>
        <v>0</v>
      </c>
      <c r="Q1648">
        <f>IF(COUNTIFS('United Data'!$A$3:$A$3390,Q$1,'United Data'!$C$3:$C$3390,$A1648,'United Data'!$B$3:$B$3390,"&lt;&gt;Off-street")&gt;0,1,0)</f>
        <v>0</v>
      </c>
      <c r="R1648">
        <f>IF(COUNTIFS('United Data'!$A$3:$A$3390,R$1,'United Data'!$C$3:$C$3390,$A1648,'United Data'!$B$3:$B$3390,"&lt;&gt;Off-street")&gt;0,1,0)</f>
        <v>0</v>
      </c>
      <c r="S1648">
        <f t="shared" si="50"/>
        <v>1</v>
      </c>
      <c r="T1648">
        <f t="shared" si="51"/>
        <v>1</v>
      </c>
    </row>
    <row r="1649" spans="1:20" x14ac:dyDescent="0.2">
      <c r="A1649" t="s">
        <v>1936</v>
      </c>
      <c r="B1649">
        <f>IF(COUNTIFS('United Data'!$A$3:$A$3390,B$1,'United Data'!$C$3:$C$3390,$A1649,'United Data'!$B$3:$B$3390,"&lt;&gt;Off-street")&gt;0,1,0)</f>
        <v>0</v>
      </c>
      <c r="C1649">
        <f>IF(COUNTIFS('United Data'!$A$3:$A$3390,C$1,'United Data'!$C$3:$C$3390,$A1649,'United Data'!$B$3:$B$3390,"&lt;&gt;Off-street")&gt;0,1,0)</f>
        <v>0</v>
      </c>
      <c r="D1649">
        <f>IF(COUNTIFS('United Data'!$A$3:$A$3390,D$1,'United Data'!$C$3:$C$3390,$A1649,'United Data'!$B$3:$B$3390,"&lt;&gt;Off-street")&gt;0,1,0)</f>
        <v>0</v>
      </c>
      <c r="E1649">
        <f>IF(COUNTIFS('United Data'!$A$3:$A$3390,E$1,'United Data'!$C$3:$C$3390,$A1649,'United Data'!$B$3:$B$3390,"&lt;&gt;Off-street")&gt;0,1,0)</f>
        <v>1</v>
      </c>
      <c r="F1649">
        <f>IF(COUNTIFS('United Data'!$A$3:$A$3390,F$1,'United Data'!$C$3:$C$3390,$A1649,'United Data'!$B$3:$B$3390,"&lt;&gt;Off-street")&gt;0,1,0)</f>
        <v>1</v>
      </c>
      <c r="G1649">
        <f>IF(COUNTIFS('United Data'!$A$3:$A$3390,G$1,'United Data'!$C$3:$C$3390,$A1649,'United Data'!$B$3:$B$3390,"&lt;&gt;Off-street")&gt;0,1,0)</f>
        <v>1</v>
      </c>
      <c r="H1649">
        <f>IF(COUNTIFS('United Data'!$A$3:$A$3390,H$1,'United Data'!$C$3:$C$3390,$A1649,'United Data'!$B$3:$B$3390,"&lt;&gt;Off-street")&gt;0,1,0)</f>
        <v>0</v>
      </c>
      <c r="I1649">
        <f>IF(COUNTIFS('United Data'!$A$3:$A$3390,I$1,'United Data'!$C$3:$C$3390,$A1649,'United Data'!$B$3:$B$3390,"&lt;&gt;Off-street")&gt;0,1,0)</f>
        <v>0</v>
      </c>
      <c r="J1649">
        <f>IF(COUNTIFS('United Data'!$A$3:$A$3390,J$1,'United Data'!$C$3:$C$3390,$A1649,'United Data'!$B$3:$B$3390,"&lt;&gt;Off-street")&gt;0,1,0)</f>
        <v>0</v>
      </c>
      <c r="K1649">
        <f>IF(COUNTIFS('United Data'!$A$3:$A$3390,K$1,'United Data'!$C$3:$C$3390,$A1649,'United Data'!$B$3:$B$3390,"&lt;&gt;Off-street")&gt;0,1,0)</f>
        <v>0</v>
      </c>
      <c r="L1649">
        <f>IF(COUNTIFS('United Data'!$A$3:$A$3390,L$1,'United Data'!$C$3:$C$3390,$A1649,'United Data'!$B$3:$B$3390,"&lt;&gt;Off-street")&gt;0,1,0)</f>
        <v>0</v>
      </c>
      <c r="M1649">
        <f>IF(COUNTIFS('United Data'!$A$3:$A$3390,M$1,'United Data'!$C$3:$C$3390,$A1649,'United Data'!$B$3:$B$3390,"&lt;&gt;Off-street")&gt;0,1,0)</f>
        <v>0</v>
      </c>
      <c r="N1649">
        <f>IF(COUNTIFS('United Data'!$A$3:$A$3390,N$1,'United Data'!$C$3:$C$3390,$A1649,'United Data'!$B$3:$B$3390,"&lt;&gt;Off-street")&gt;0,1,0)</f>
        <v>0</v>
      </c>
      <c r="O1649">
        <f>IF(COUNTIFS('United Data'!$A$3:$A$3390,O$1,'United Data'!$C$3:$C$3390,$A1649,'United Data'!$B$3:$B$3390,"&lt;&gt;Off-street")&gt;0,1,0)</f>
        <v>0</v>
      </c>
      <c r="P1649">
        <f>IF(COUNTIFS('United Data'!$A$3:$A$3390,P$1,'United Data'!$C$3:$C$3390,$A1649,'United Data'!$B$3:$B$3390,"&lt;&gt;Off-street")&gt;0,1,0)</f>
        <v>0</v>
      </c>
      <c r="Q1649">
        <f>IF(COUNTIFS('United Data'!$A$3:$A$3390,Q$1,'United Data'!$C$3:$C$3390,$A1649,'United Data'!$B$3:$B$3390,"&lt;&gt;Off-street")&gt;0,1,0)</f>
        <v>0</v>
      </c>
      <c r="R1649">
        <f>IF(COUNTIFS('United Data'!$A$3:$A$3390,R$1,'United Data'!$C$3:$C$3390,$A1649,'United Data'!$B$3:$B$3390,"&lt;&gt;Off-street")&gt;0,1,0)</f>
        <v>0</v>
      </c>
      <c r="S1649">
        <f t="shared" si="50"/>
        <v>3</v>
      </c>
      <c r="T1649">
        <f t="shared" si="51"/>
        <v>1</v>
      </c>
    </row>
    <row r="1650" spans="1:20" x14ac:dyDescent="0.2">
      <c r="A1650" t="s">
        <v>1937</v>
      </c>
      <c r="B1650">
        <f>IF(COUNTIFS('United Data'!$A$3:$A$3390,B$1,'United Data'!$C$3:$C$3390,$A1650,'United Data'!$B$3:$B$3390,"&lt;&gt;Off-street")&gt;0,1,0)</f>
        <v>0</v>
      </c>
      <c r="C1650">
        <f>IF(COUNTIFS('United Data'!$A$3:$A$3390,C$1,'United Data'!$C$3:$C$3390,$A1650,'United Data'!$B$3:$B$3390,"&lt;&gt;Off-street")&gt;0,1,0)</f>
        <v>0</v>
      </c>
      <c r="D1650">
        <f>IF(COUNTIFS('United Data'!$A$3:$A$3390,D$1,'United Data'!$C$3:$C$3390,$A1650,'United Data'!$B$3:$B$3390,"&lt;&gt;Off-street")&gt;0,1,0)</f>
        <v>0</v>
      </c>
      <c r="E1650">
        <f>IF(COUNTIFS('United Data'!$A$3:$A$3390,E$1,'United Data'!$C$3:$C$3390,$A1650,'United Data'!$B$3:$B$3390,"&lt;&gt;Off-street")&gt;0,1,0)</f>
        <v>1</v>
      </c>
      <c r="F1650">
        <f>IF(COUNTIFS('United Data'!$A$3:$A$3390,F$1,'United Data'!$C$3:$C$3390,$A1650,'United Data'!$B$3:$B$3390,"&lt;&gt;Off-street")&gt;0,1,0)</f>
        <v>0</v>
      </c>
      <c r="G1650">
        <f>IF(COUNTIFS('United Data'!$A$3:$A$3390,G$1,'United Data'!$C$3:$C$3390,$A1650,'United Data'!$B$3:$B$3390,"&lt;&gt;Off-street")&gt;0,1,0)</f>
        <v>0</v>
      </c>
      <c r="H1650">
        <f>IF(COUNTIFS('United Data'!$A$3:$A$3390,H$1,'United Data'!$C$3:$C$3390,$A1650,'United Data'!$B$3:$B$3390,"&lt;&gt;Off-street")&gt;0,1,0)</f>
        <v>0</v>
      </c>
      <c r="I1650">
        <f>IF(COUNTIFS('United Data'!$A$3:$A$3390,I$1,'United Data'!$C$3:$C$3390,$A1650,'United Data'!$B$3:$B$3390,"&lt;&gt;Off-street")&gt;0,1,0)</f>
        <v>0</v>
      </c>
      <c r="J1650">
        <f>IF(COUNTIFS('United Data'!$A$3:$A$3390,J$1,'United Data'!$C$3:$C$3390,$A1650,'United Data'!$B$3:$B$3390,"&lt;&gt;Off-street")&gt;0,1,0)</f>
        <v>0</v>
      </c>
      <c r="K1650">
        <f>IF(COUNTIFS('United Data'!$A$3:$A$3390,K$1,'United Data'!$C$3:$C$3390,$A1650,'United Data'!$B$3:$B$3390,"&lt;&gt;Off-street")&gt;0,1,0)</f>
        <v>0</v>
      </c>
      <c r="L1650">
        <f>IF(COUNTIFS('United Data'!$A$3:$A$3390,L$1,'United Data'!$C$3:$C$3390,$A1650,'United Data'!$B$3:$B$3390,"&lt;&gt;Off-street")&gt;0,1,0)</f>
        <v>0</v>
      </c>
      <c r="M1650">
        <f>IF(COUNTIFS('United Data'!$A$3:$A$3390,M$1,'United Data'!$C$3:$C$3390,$A1650,'United Data'!$B$3:$B$3390,"&lt;&gt;Off-street")&gt;0,1,0)</f>
        <v>0</v>
      </c>
      <c r="N1650">
        <f>IF(COUNTIFS('United Data'!$A$3:$A$3390,N$1,'United Data'!$C$3:$C$3390,$A1650,'United Data'!$B$3:$B$3390,"&lt;&gt;Off-street")&gt;0,1,0)</f>
        <v>0</v>
      </c>
      <c r="O1650">
        <f>IF(COUNTIFS('United Data'!$A$3:$A$3390,O$1,'United Data'!$C$3:$C$3390,$A1650,'United Data'!$B$3:$B$3390,"&lt;&gt;Off-street")&gt;0,1,0)</f>
        <v>0</v>
      </c>
      <c r="P1650">
        <f>IF(COUNTIFS('United Data'!$A$3:$A$3390,P$1,'United Data'!$C$3:$C$3390,$A1650,'United Data'!$B$3:$B$3390,"&lt;&gt;Off-street")&gt;0,1,0)</f>
        <v>0</v>
      </c>
      <c r="Q1650">
        <f>IF(COUNTIFS('United Data'!$A$3:$A$3390,Q$1,'United Data'!$C$3:$C$3390,$A1650,'United Data'!$B$3:$B$3390,"&lt;&gt;Off-street")&gt;0,1,0)</f>
        <v>0</v>
      </c>
      <c r="R1650">
        <f>IF(COUNTIFS('United Data'!$A$3:$A$3390,R$1,'United Data'!$C$3:$C$3390,$A1650,'United Data'!$B$3:$B$3390,"&lt;&gt;Off-street")&gt;0,1,0)</f>
        <v>0</v>
      </c>
      <c r="S1650">
        <f t="shared" si="50"/>
        <v>1</v>
      </c>
      <c r="T1650">
        <f t="shared" si="51"/>
        <v>1</v>
      </c>
    </row>
    <row r="1651" spans="1:20" x14ac:dyDescent="0.2">
      <c r="A1651" t="s">
        <v>1938</v>
      </c>
      <c r="B1651">
        <f>IF(COUNTIFS('United Data'!$A$3:$A$3390,B$1,'United Data'!$C$3:$C$3390,$A1651,'United Data'!$B$3:$B$3390,"&lt;&gt;Off-street")&gt;0,1,0)</f>
        <v>0</v>
      </c>
      <c r="C1651">
        <f>IF(COUNTIFS('United Data'!$A$3:$A$3390,C$1,'United Data'!$C$3:$C$3390,$A1651,'United Data'!$B$3:$B$3390,"&lt;&gt;Off-street")&gt;0,1,0)</f>
        <v>0</v>
      </c>
      <c r="D1651">
        <f>IF(COUNTIFS('United Data'!$A$3:$A$3390,D$1,'United Data'!$C$3:$C$3390,$A1651,'United Data'!$B$3:$B$3390,"&lt;&gt;Off-street")&gt;0,1,0)</f>
        <v>0</v>
      </c>
      <c r="E1651">
        <f>IF(COUNTIFS('United Data'!$A$3:$A$3390,E$1,'United Data'!$C$3:$C$3390,$A1651,'United Data'!$B$3:$B$3390,"&lt;&gt;Off-street")&gt;0,1,0)</f>
        <v>0</v>
      </c>
      <c r="F1651">
        <f>IF(COUNTIFS('United Data'!$A$3:$A$3390,F$1,'United Data'!$C$3:$C$3390,$A1651,'United Data'!$B$3:$B$3390,"&lt;&gt;Off-street")&gt;0,1,0)</f>
        <v>1</v>
      </c>
      <c r="G1651">
        <f>IF(COUNTIFS('United Data'!$A$3:$A$3390,G$1,'United Data'!$C$3:$C$3390,$A1651,'United Data'!$B$3:$B$3390,"&lt;&gt;Off-street")&gt;0,1,0)</f>
        <v>1</v>
      </c>
      <c r="H1651">
        <f>IF(COUNTIFS('United Data'!$A$3:$A$3390,H$1,'United Data'!$C$3:$C$3390,$A1651,'United Data'!$B$3:$B$3390,"&lt;&gt;Off-street")&gt;0,1,0)</f>
        <v>0</v>
      </c>
      <c r="I1651">
        <f>IF(COUNTIFS('United Data'!$A$3:$A$3390,I$1,'United Data'!$C$3:$C$3390,$A1651,'United Data'!$B$3:$B$3390,"&lt;&gt;Off-street")&gt;0,1,0)</f>
        <v>0</v>
      </c>
      <c r="J1651">
        <f>IF(COUNTIFS('United Data'!$A$3:$A$3390,J$1,'United Data'!$C$3:$C$3390,$A1651,'United Data'!$B$3:$B$3390,"&lt;&gt;Off-street")&gt;0,1,0)</f>
        <v>0</v>
      </c>
      <c r="K1651">
        <f>IF(COUNTIFS('United Data'!$A$3:$A$3390,K$1,'United Data'!$C$3:$C$3390,$A1651,'United Data'!$B$3:$B$3390,"&lt;&gt;Off-street")&gt;0,1,0)</f>
        <v>0</v>
      </c>
      <c r="L1651">
        <f>IF(COUNTIFS('United Data'!$A$3:$A$3390,L$1,'United Data'!$C$3:$C$3390,$A1651,'United Data'!$B$3:$B$3390,"&lt;&gt;Off-street")&gt;0,1,0)</f>
        <v>0</v>
      </c>
      <c r="M1651">
        <f>IF(COUNTIFS('United Data'!$A$3:$A$3390,M$1,'United Data'!$C$3:$C$3390,$A1651,'United Data'!$B$3:$B$3390,"&lt;&gt;Off-street")&gt;0,1,0)</f>
        <v>0</v>
      </c>
      <c r="N1651">
        <f>IF(COUNTIFS('United Data'!$A$3:$A$3390,N$1,'United Data'!$C$3:$C$3390,$A1651,'United Data'!$B$3:$B$3390,"&lt;&gt;Off-street")&gt;0,1,0)</f>
        <v>0</v>
      </c>
      <c r="O1651">
        <f>IF(COUNTIFS('United Data'!$A$3:$A$3390,O$1,'United Data'!$C$3:$C$3390,$A1651,'United Data'!$B$3:$B$3390,"&lt;&gt;Off-street")&gt;0,1,0)</f>
        <v>0</v>
      </c>
      <c r="P1651">
        <f>IF(COUNTIFS('United Data'!$A$3:$A$3390,P$1,'United Data'!$C$3:$C$3390,$A1651,'United Data'!$B$3:$B$3390,"&lt;&gt;Off-street")&gt;0,1,0)</f>
        <v>0</v>
      </c>
      <c r="Q1651">
        <f>IF(COUNTIFS('United Data'!$A$3:$A$3390,Q$1,'United Data'!$C$3:$C$3390,$A1651,'United Data'!$B$3:$B$3390,"&lt;&gt;Off-street")&gt;0,1,0)</f>
        <v>0</v>
      </c>
      <c r="R1651">
        <f>IF(COUNTIFS('United Data'!$A$3:$A$3390,R$1,'United Data'!$C$3:$C$3390,$A1651,'United Data'!$B$3:$B$3390,"&lt;&gt;Off-street")&gt;0,1,0)</f>
        <v>1</v>
      </c>
      <c r="S1651">
        <f t="shared" si="50"/>
        <v>3</v>
      </c>
      <c r="T1651">
        <f t="shared" si="51"/>
        <v>2</v>
      </c>
    </row>
    <row r="1652" spans="1:20" x14ac:dyDescent="0.2">
      <c r="A1652" t="s">
        <v>1939</v>
      </c>
      <c r="B1652">
        <f>IF(COUNTIFS('United Data'!$A$3:$A$3390,B$1,'United Data'!$C$3:$C$3390,$A1652,'United Data'!$B$3:$B$3390,"&lt;&gt;Off-street")&gt;0,1,0)</f>
        <v>0</v>
      </c>
      <c r="C1652">
        <f>IF(COUNTIFS('United Data'!$A$3:$A$3390,C$1,'United Data'!$C$3:$C$3390,$A1652,'United Data'!$B$3:$B$3390,"&lt;&gt;Off-street")&gt;0,1,0)</f>
        <v>0</v>
      </c>
      <c r="D1652">
        <f>IF(COUNTIFS('United Data'!$A$3:$A$3390,D$1,'United Data'!$C$3:$C$3390,$A1652,'United Data'!$B$3:$B$3390,"&lt;&gt;Off-street")&gt;0,1,0)</f>
        <v>0</v>
      </c>
      <c r="E1652">
        <f>IF(COUNTIFS('United Data'!$A$3:$A$3390,E$1,'United Data'!$C$3:$C$3390,$A1652,'United Data'!$B$3:$B$3390,"&lt;&gt;Off-street")&gt;0,1,0)</f>
        <v>0</v>
      </c>
      <c r="F1652">
        <f>IF(COUNTIFS('United Data'!$A$3:$A$3390,F$1,'United Data'!$C$3:$C$3390,$A1652,'United Data'!$B$3:$B$3390,"&lt;&gt;Off-street")&gt;0,1,0)</f>
        <v>1</v>
      </c>
      <c r="G1652">
        <f>IF(COUNTIFS('United Data'!$A$3:$A$3390,G$1,'United Data'!$C$3:$C$3390,$A1652,'United Data'!$B$3:$B$3390,"&lt;&gt;Off-street")&gt;0,1,0)</f>
        <v>0</v>
      </c>
      <c r="H1652">
        <f>IF(COUNTIFS('United Data'!$A$3:$A$3390,H$1,'United Data'!$C$3:$C$3390,$A1652,'United Data'!$B$3:$B$3390,"&lt;&gt;Off-street")&gt;0,1,0)</f>
        <v>0</v>
      </c>
      <c r="I1652">
        <f>IF(COUNTIFS('United Data'!$A$3:$A$3390,I$1,'United Data'!$C$3:$C$3390,$A1652,'United Data'!$B$3:$B$3390,"&lt;&gt;Off-street")&gt;0,1,0)</f>
        <v>0</v>
      </c>
      <c r="J1652">
        <f>IF(COUNTIFS('United Data'!$A$3:$A$3390,J$1,'United Data'!$C$3:$C$3390,$A1652,'United Data'!$B$3:$B$3390,"&lt;&gt;Off-street")&gt;0,1,0)</f>
        <v>0</v>
      </c>
      <c r="K1652">
        <f>IF(COUNTIFS('United Data'!$A$3:$A$3390,K$1,'United Data'!$C$3:$C$3390,$A1652,'United Data'!$B$3:$B$3390,"&lt;&gt;Off-street")&gt;0,1,0)</f>
        <v>0</v>
      </c>
      <c r="L1652">
        <f>IF(COUNTIFS('United Data'!$A$3:$A$3390,L$1,'United Data'!$C$3:$C$3390,$A1652,'United Data'!$B$3:$B$3390,"&lt;&gt;Off-street")&gt;0,1,0)</f>
        <v>0</v>
      </c>
      <c r="M1652">
        <f>IF(COUNTIFS('United Data'!$A$3:$A$3390,M$1,'United Data'!$C$3:$C$3390,$A1652,'United Data'!$B$3:$B$3390,"&lt;&gt;Off-street")&gt;0,1,0)</f>
        <v>0</v>
      </c>
      <c r="N1652">
        <f>IF(COUNTIFS('United Data'!$A$3:$A$3390,N$1,'United Data'!$C$3:$C$3390,$A1652,'United Data'!$B$3:$B$3390,"&lt;&gt;Off-street")&gt;0,1,0)</f>
        <v>0</v>
      </c>
      <c r="O1652">
        <f>IF(COUNTIFS('United Data'!$A$3:$A$3390,O$1,'United Data'!$C$3:$C$3390,$A1652,'United Data'!$B$3:$B$3390,"&lt;&gt;Off-street")&gt;0,1,0)</f>
        <v>0</v>
      </c>
      <c r="P1652">
        <f>IF(COUNTIFS('United Data'!$A$3:$A$3390,P$1,'United Data'!$C$3:$C$3390,$A1652,'United Data'!$B$3:$B$3390,"&lt;&gt;Off-street")&gt;0,1,0)</f>
        <v>0</v>
      </c>
      <c r="Q1652">
        <f>IF(COUNTIFS('United Data'!$A$3:$A$3390,Q$1,'United Data'!$C$3:$C$3390,$A1652,'United Data'!$B$3:$B$3390,"&lt;&gt;Off-street")&gt;0,1,0)</f>
        <v>0</v>
      </c>
      <c r="R1652">
        <f>IF(COUNTIFS('United Data'!$A$3:$A$3390,R$1,'United Data'!$C$3:$C$3390,$A1652,'United Data'!$B$3:$B$3390,"&lt;&gt;Off-street")&gt;0,1,0)</f>
        <v>0</v>
      </c>
      <c r="S1652">
        <f t="shared" si="50"/>
        <v>1</v>
      </c>
      <c r="T1652">
        <f t="shared" si="51"/>
        <v>1</v>
      </c>
    </row>
    <row r="1653" spans="1:20" x14ac:dyDescent="0.2">
      <c r="A1653" t="s">
        <v>1940</v>
      </c>
      <c r="B1653">
        <f>IF(COUNTIFS('United Data'!$A$3:$A$3390,B$1,'United Data'!$C$3:$C$3390,$A1653,'United Data'!$B$3:$B$3390,"&lt;&gt;Off-street")&gt;0,1,0)</f>
        <v>0</v>
      </c>
      <c r="C1653">
        <f>IF(COUNTIFS('United Data'!$A$3:$A$3390,C$1,'United Data'!$C$3:$C$3390,$A1653,'United Data'!$B$3:$B$3390,"&lt;&gt;Off-street")&gt;0,1,0)</f>
        <v>0</v>
      </c>
      <c r="D1653">
        <f>IF(COUNTIFS('United Data'!$A$3:$A$3390,D$1,'United Data'!$C$3:$C$3390,$A1653,'United Data'!$B$3:$B$3390,"&lt;&gt;Off-street")&gt;0,1,0)</f>
        <v>0</v>
      </c>
      <c r="E1653">
        <f>IF(COUNTIFS('United Data'!$A$3:$A$3390,E$1,'United Data'!$C$3:$C$3390,$A1653,'United Data'!$B$3:$B$3390,"&lt;&gt;Off-street")&gt;0,1,0)</f>
        <v>0</v>
      </c>
      <c r="F1653">
        <f>IF(COUNTIFS('United Data'!$A$3:$A$3390,F$1,'United Data'!$C$3:$C$3390,$A1653,'United Data'!$B$3:$B$3390,"&lt;&gt;Off-street")&gt;0,1,0)</f>
        <v>1</v>
      </c>
      <c r="G1653">
        <f>IF(COUNTIFS('United Data'!$A$3:$A$3390,G$1,'United Data'!$C$3:$C$3390,$A1653,'United Data'!$B$3:$B$3390,"&lt;&gt;Off-street")&gt;0,1,0)</f>
        <v>1</v>
      </c>
      <c r="H1653">
        <f>IF(COUNTIFS('United Data'!$A$3:$A$3390,H$1,'United Data'!$C$3:$C$3390,$A1653,'United Data'!$B$3:$B$3390,"&lt;&gt;Off-street")&gt;0,1,0)</f>
        <v>0</v>
      </c>
      <c r="I1653">
        <f>IF(COUNTIFS('United Data'!$A$3:$A$3390,I$1,'United Data'!$C$3:$C$3390,$A1653,'United Data'!$B$3:$B$3390,"&lt;&gt;Off-street")&gt;0,1,0)</f>
        <v>0</v>
      </c>
      <c r="J1653">
        <f>IF(COUNTIFS('United Data'!$A$3:$A$3390,J$1,'United Data'!$C$3:$C$3390,$A1653,'United Data'!$B$3:$B$3390,"&lt;&gt;Off-street")&gt;0,1,0)</f>
        <v>0</v>
      </c>
      <c r="K1653">
        <f>IF(COUNTIFS('United Data'!$A$3:$A$3390,K$1,'United Data'!$C$3:$C$3390,$A1653,'United Data'!$B$3:$B$3390,"&lt;&gt;Off-street")&gt;0,1,0)</f>
        <v>0</v>
      </c>
      <c r="L1653">
        <f>IF(COUNTIFS('United Data'!$A$3:$A$3390,L$1,'United Data'!$C$3:$C$3390,$A1653,'United Data'!$B$3:$B$3390,"&lt;&gt;Off-street")&gt;0,1,0)</f>
        <v>0</v>
      </c>
      <c r="M1653">
        <f>IF(COUNTIFS('United Data'!$A$3:$A$3390,M$1,'United Data'!$C$3:$C$3390,$A1653,'United Data'!$B$3:$B$3390,"&lt;&gt;Off-street")&gt;0,1,0)</f>
        <v>0</v>
      </c>
      <c r="N1653">
        <f>IF(COUNTIFS('United Data'!$A$3:$A$3390,N$1,'United Data'!$C$3:$C$3390,$A1653,'United Data'!$B$3:$B$3390,"&lt;&gt;Off-street")&gt;0,1,0)</f>
        <v>0</v>
      </c>
      <c r="O1653">
        <f>IF(COUNTIFS('United Data'!$A$3:$A$3390,O$1,'United Data'!$C$3:$C$3390,$A1653,'United Data'!$B$3:$B$3390,"&lt;&gt;Off-street")&gt;0,1,0)</f>
        <v>0</v>
      </c>
      <c r="P1653">
        <f>IF(COUNTIFS('United Data'!$A$3:$A$3390,P$1,'United Data'!$C$3:$C$3390,$A1653,'United Data'!$B$3:$B$3390,"&lt;&gt;Off-street")&gt;0,1,0)</f>
        <v>0</v>
      </c>
      <c r="Q1653">
        <f>IF(COUNTIFS('United Data'!$A$3:$A$3390,Q$1,'United Data'!$C$3:$C$3390,$A1653,'United Data'!$B$3:$B$3390,"&lt;&gt;Off-street")&gt;0,1,0)</f>
        <v>0</v>
      </c>
      <c r="R1653">
        <f>IF(COUNTIFS('United Data'!$A$3:$A$3390,R$1,'United Data'!$C$3:$C$3390,$A1653,'United Data'!$B$3:$B$3390,"&lt;&gt;Off-street")&gt;0,1,0)</f>
        <v>0</v>
      </c>
      <c r="S1653">
        <f t="shared" si="50"/>
        <v>2</v>
      </c>
      <c r="T1653">
        <f t="shared" si="51"/>
        <v>1</v>
      </c>
    </row>
    <row r="1654" spans="1:20" x14ac:dyDescent="0.2">
      <c r="A1654" t="s">
        <v>1941</v>
      </c>
      <c r="B1654">
        <f>IF(COUNTIFS('United Data'!$A$3:$A$3390,B$1,'United Data'!$C$3:$C$3390,$A1654,'United Data'!$B$3:$B$3390,"&lt;&gt;Off-street")&gt;0,1,0)</f>
        <v>0</v>
      </c>
      <c r="C1654">
        <f>IF(COUNTIFS('United Data'!$A$3:$A$3390,C$1,'United Data'!$C$3:$C$3390,$A1654,'United Data'!$B$3:$B$3390,"&lt;&gt;Off-street")&gt;0,1,0)</f>
        <v>0</v>
      </c>
      <c r="D1654">
        <f>IF(COUNTIFS('United Data'!$A$3:$A$3390,D$1,'United Data'!$C$3:$C$3390,$A1654,'United Data'!$B$3:$B$3390,"&lt;&gt;Off-street")&gt;0,1,0)</f>
        <v>0</v>
      </c>
      <c r="E1654">
        <f>IF(COUNTIFS('United Data'!$A$3:$A$3390,E$1,'United Data'!$C$3:$C$3390,$A1654,'United Data'!$B$3:$B$3390,"&lt;&gt;Off-street")&gt;0,1,0)</f>
        <v>0</v>
      </c>
      <c r="F1654">
        <f>IF(COUNTIFS('United Data'!$A$3:$A$3390,F$1,'United Data'!$C$3:$C$3390,$A1654,'United Data'!$B$3:$B$3390,"&lt;&gt;Off-street")&gt;0,1,0)</f>
        <v>1</v>
      </c>
      <c r="G1654">
        <f>IF(COUNTIFS('United Data'!$A$3:$A$3390,G$1,'United Data'!$C$3:$C$3390,$A1654,'United Data'!$B$3:$B$3390,"&lt;&gt;Off-street")&gt;0,1,0)</f>
        <v>0</v>
      </c>
      <c r="H1654">
        <f>IF(COUNTIFS('United Data'!$A$3:$A$3390,H$1,'United Data'!$C$3:$C$3390,$A1654,'United Data'!$B$3:$B$3390,"&lt;&gt;Off-street")&gt;0,1,0)</f>
        <v>0</v>
      </c>
      <c r="I1654">
        <f>IF(COUNTIFS('United Data'!$A$3:$A$3390,I$1,'United Data'!$C$3:$C$3390,$A1654,'United Data'!$B$3:$B$3390,"&lt;&gt;Off-street")&gt;0,1,0)</f>
        <v>0</v>
      </c>
      <c r="J1654">
        <f>IF(COUNTIFS('United Data'!$A$3:$A$3390,J$1,'United Data'!$C$3:$C$3390,$A1654,'United Data'!$B$3:$B$3390,"&lt;&gt;Off-street")&gt;0,1,0)</f>
        <v>0</v>
      </c>
      <c r="K1654">
        <f>IF(COUNTIFS('United Data'!$A$3:$A$3390,K$1,'United Data'!$C$3:$C$3390,$A1654,'United Data'!$B$3:$B$3390,"&lt;&gt;Off-street")&gt;0,1,0)</f>
        <v>0</v>
      </c>
      <c r="L1654">
        <f>IF(COUNTIFS('United Data'!$A$3:$A$3390,L$1,'United Data'!$C$3:$C$3390,$A1654,'United Data'!$B$3:$B$3390,"&lt;&gt;Off-street")&gt;0,1,0)</f>
        <v>0</v>
      </c>
      <c r="M1654">
        <f>IF(COUNTIFS('United Data'!$A$3:$A$3390,M$1,'United Data'!$C$3:$C$3390,$A1654,'United Data'!$B$3:$B$3390,"&lt;&gt;Off-street")&gt;0,1,0)</f>
        <v>0</v>
      </c>
      <c r="N1654">
        <f>IF(COUNTIFS('United Data'!$A$3:$A$3390,N$1,'United Data'!$C$3:$C$3390,$A1654,'United Data'!$B$3:$B$3390,"&lt;&gt;Off-street")&gt;0,1,0)</f>
        <v>0</v>
      </c>
      <c r="O1654">
        <f>IF(COUNTIFS('United Data'!$A$3:$A$3390,O$1,'United Data'!$C$3:$C$3390,$A1654,'United Data'!$B$3:$B$3390,"&lt;&gt;Off-street")&gt;0,1,0)</f>
        <v>0</v>
      </c>
      <c r="P1654">
        <f>IF(COUNTIFS('United Data'!$A$3:$A$3390,P$1,'United Data'!$C$3:$C$3390,$A1654,'United Data'!$B$3:$B$3390,"&lt;&gt;Off-street")&gt;0,1,0)</f>
        <v>0</v>
      </c>
      <c r="Q1654">
        <f>IF(COUNTIFS('United Data'!$A$3:$A$3390,Q$1,'United Data'!$C$3:$C$3390,$A1654,'United Data'!$B$3:$B$3390,"&lt;&gt;Off-street")&gt;0,1,0)</f>
        <v>0</v>
      </c>
      <c r="R1654">
        <f>IF(COUNTIFS('United Data'!$A$3:$A$3390,R$1,'United Data'!$C$3:$C$3390,$A1654,'United Data'!$B$3:$B$3390,"&lt;&gt;Off-street")&gt;0,1,0)</f>
        <v>0</v>
      </c>
      <c r="S1654">
        <f t="shared" si="50"/>
        <v>1</v>
      </c>
      <c r="T1654">
        <f t="shared" si="51"/>
        <v>1</v>
      </c>
    </row>
    <row r="1655" spans="1:20" x14ac:dyDescent="0.2">
      <c r="A1655" t="s">
        <v>1942</v>
      </c>
      <c r="B1655">
        <f>IF(COUNTIFS('United Data'!$A$3:$A$3390,B$1,'United Data'!$C$3:$C$3390,$A1655,'United Data'!$B$3:$B$3390,"&lt;&gt;Off-street")&gt;0,1,0)</f>
        <v>0</v>
      </c>
      <c r="C1655">
        <f>IF(COUNTIFS('United Data'!$A$3:$A$3390,C$1,'United Data'!$C$3:$C$3390,$A1655,'United Data'!$B$3:$B$3390,"&lt;&gt;Off-street")&gt;0,1,0)</f>
        <v>0</v>
      </c>
      <c r="D1655">
        <f>IF(COUNTIFS('United Data'!$A$3:$A$3390,D$1,'United Data'!$C$3:$C$3390,$A1655,'United Data'!$B$3:$B$3390,"&lt;&gt;Off-street")&gt;0,1,0)</f>
        <v>0</v>
      </c>
      <c r="E1655">
        <f>IF(COUNTIFS('United Data'!$A$3:$A$3390,E$1,'United Data'!$C$3:$C$3390,$A1655,'United Data'!$B$3:$B$3390,"&lt;&gt;Off-street")&gt;0,1,0)</f>
        <v>0</v>
      </c>
      <c r="F1655">
        <f>IF(COUNTIFS('United Data'!$A$3:$A$3390,F$1,'United Data'!$C$3:$C$3390,$A1655,'United Data'!$B$3:$B$3390,"&lt;&gt;Off-street")&gt;0,1,0)</f>
        <v>1</v>
      </c>
      <c r="G1655">
        <f>IF(COUNTIFS('United Data'!$A$3:$A$3390,G$1,'United Data'!$C$3:$C$3390,$A1655,'United Data'!$B$3:$B$3390,"&lt;&gt;Off-street")&gt;0,1,0)</f>
        <v>0</v>
      </c>
      <c r="H1655">
        <f>IF(COUNTIFS('United Data'!$A$3:$A$3390,H$1,'United Data'!$C$3:$C$3390,$A1655,'United Data'!$B$3:$B$3390,"&lt;&gt;Off-street")&gt;0,1,0)</f>
        <v>0</v>
      </c>
      <c r="I1655">
        <f>IF(COUNTIFS('United Data'!$A$3:$A$3390,I$1,'United Data'!$C$3:$C$3390,$A1655,'United Data'!$B$3:$B$3390,"&lt;&gt;Off-street")&gt;0,1,0)</f>
        <v>0</v>
      </c>
      <c r="J1655">
        <f>IF(COUNTIFS('United Data'!$A$3:$A$3390,J$1,'United Data'!$C$3:$C$3390,$A1655,'United Data'!$B$3:$B$3390,"&lt;&gt;Off-street")&gt;0,1,0)</f>
        <v>0</v>
      </c>
      <c r="K1655">
        <f>IF(COUNTIFS('United Data'!$A$3:$A$3390,K$1,'United Data'!$C$3:$C$3390,$A1655,'United Data'!$B$3:$B$3390,"&lt;&gt;Off-street")&gt;0,1,0)</f>
        <v>1</v>
      </c>
      <c r="L1655">
        <f>IF(COUNTIFS('United Data'!$A$3:$A$3390,L$1,'United Data'!$C$3:$C$3390,$A1655,'United Data'!$B$3:$B$3390,"&lt;&gt;Off-street")&gt;0,1,0)</f>
        <v>0</v>
      </c>
      <c r="M1655">
        <f>IF(COUNTIFS('United Data'!$A$3:$A$3390,M$1,'United Data'!$C$3:$C$3390,$A1655,'United Data'!$B$3:$B$3390,"&lt;&gt;Off-street")&gt;0,1,0)</f>
        <v>0</v>
      </c>
      <c r="N1655">
        <f>IF(COUNTIFS('United Data'!$A$3:$A$3390,N$1,'United Data'!$C$3:$C$3390,$A1655,'United Data'!$B$3:$B$3390,"&lt;&gt;Off-street")&gt;0,1,0)</f>
        <v>0</v>
      </c>
      <c r="O1655">
        <f>IF(COUNTIFS('United Data'!$A$3:$A$3390,O$1,'United Data'!$C$3:$C$3390,$A1655,'United Data'!$B$3:$B$3390,"&lt;&gt;Off-street")&gt;0,1,0)</f>
        <v>0</v>
      </c>
      <c r="P1655">
        <f>IF(COUNTIFS('United Data'!$A$3:$A$3390,P$1,'United Data'!$C$3:$C$3390,$A1655,'United Data'!$B$3:$B$3390,"&lt;&gt;Off-street")&gt;0,1,0)</f>
        <v>0</v>
      </c>
      <c r="Q1655">
        <f>IF(COUNTIFS('United Data'!$A$3:$A$3390,Q$1,'United Data'!$C$3:$C$3390,$A1655,'United Data'!$B$3:$B$3390,"&lt;&gt;Off-street")&gt;0,1,0)</f>
        <v>0</v>
      </c>
      <c r="R1655">
        <f>IF(COUNTIFS('United Data'!$A$3:$A$3390,R$1,'United Data'!$C$3:$C$3390,$A1655,'United Data'!$B$3:$B$3390,"&lt;&gt;Off-street")&gt;0,1,0)</f>
        <v>0</v>
      </c>
      <c r="S1655">
        <f t="shared" si="50"/>
        <v>2</v>
      </c>
      <c r="T1655">
        <f t="shared" si="51"/>
        <v>2</v>
      </c>
    </row>
    <row r="1656" spans="1:20" x14ac:dyDescent="0.2">
      <c r="A1656" t="s">
        <v>1943</v>
      </c>
      <c r="B1656">
        <f>IF(COUNTIFS('United Data'!$A$3:$A$3390,B$1,'United Data'!$C$3:$C$3390,$A1656,'United Data'!$B$3:$B$3390,"&lt;&gt;Off-street")&gt;0,1,0)</f>
        <v>0</v>
      </c>
      <c r="C1656">
        <f>IF(COUNTIFS('United Data'!$A$3:$A$3390,C$1,'United Data'!$C$3:$C$3390,$A1656,'United Data'!$B$3:$B$3390,"&lt;&gt;Off-street")&gt;0,1,0)</f>
        <v>0</v>
      </c>
      <c r="D1656">
        <f>IF(COUNTIFS('United Data'!$A$3:$A$3390,D$1,'United Data'!$C$3:$C$3390,$A1656,'United Data'!$B$3:$B$3390,"&lt;&gt;Off-street")&gt;0,1,0)</f>
        <v>0</v>
      </c>
      <c r="E1656">
        <f>IF(COUNTIFS('United Data'!$A$3:$A$3390,E$1,'United Data'!$C$3:$C$3390,$A1656,'United Data'!$B$3:$B$3390,"&lt;&gt;Off-street")&gt;0,1,0)</f>
        <v>0</v>
      </c>
      <c r="F1656">
        <f>IF(COUNTIFS('United Data'!$A$3:$A$3390,F$1,'United Data'!$C$3:$C$3390,$A1656,'United Data'!$B$3:$B$3390,"&lt;&gt;Off-street")&gt;0,1,0)</f>
        <v>0</v>
      </c>
      <c r="G1656">
        <f>IF(COUNTIFS('United Data'!$A$3:$A$3390,G$1,'United Data'!$C$3:$C$3390,$A1656,'United Data'!$B$3:$B$3390,"&lt;&gt;Off-street")&gt;0,1,0)</f>
        <v>1</v>
      </c>
      <c r="H1656">
        <f>IF(COUNTIFS('United Data'!$A$3:$A$3390,H$1,'United Data'!$C$3:$C$3390,$A1656,'United Data'!$B$3:$B$3390,"&lt;&gt;Off-street")&gt;0,1,0)</f>
        <v>0</v>
      </c>
      <c r="I1656">
        <f>IF(COUNTIFS('United Data'!$A$3:$A$3390,I$1,'United Data'!$C$3:$C$3390,$A1656,'United Data'!$B$3:$B$3390,"&lt;&gt;Off-street")&gt;0,1,0)</f>
        <v>0</v>
      </c>
      <c r="J1656">
        <f>IF(COUNTIFS('United Data'!$A$3:$A$3390,J$1,'United Data'!$C$3:$C$3390,$A1656,'United Data'!$B$3:$B$3390,"&lt;&gt;Off-street")&gt;0,1,0)</f>
        <v>0</v>
      </c>
      <c r="K1656">
        <f>IF(COUNTIFS('United Data'!$A$3:$A$3390,K$1,'United Data'!$C$3:$C$3390,$A1656,'United Data'!$B$3:$B$3390,"&lt;&gt;Off-street")&gt;0,1,0)</f>
        <v>0</v>
      </c>
      <c r="L1656">
        <f>IF(COUNTIFS('United Data'!$A$3:$A$3390,L$1,'United Data'!$C$3:$C$3390,$A1656,'United Data'!$B$3:$B$3390,"&lt;&gt;Off-street")&gt;0,1,0)</f>
        <v>0</v>
      </c>
      <c r="M1656">
        <f>IF(COUNTIFS('United Data'!$A$3:$A$3390,M$1,'United Data'!$C$3:$C$3390,$A1656,'United Data'!$B$3:$B$3390,"&lt;&gt;Off-street")&gt;0,1,0)</f>
        <v>0</v>
      </c>
      <c r="N1656">
        <f>IF(COUNTIFS('United Data'!$A$3:$A$3390,N$1,'United Data'!$C$3:$C$3390,$A1656,'United Data'!$B$3:$B$3390,"&lt;&gt;Off-street")&gt;0,1,0)</f>
        <v>0</v>
      </c>
      <c r="O1656">
        <f>IF(COUNTIFS('United Data'!$A$3:$A$3390,O$1,'United Data'!$C$3:$C$3390,$A1656,'United Data'!$B$3:$B$3390,"&lt;&gt;Off-street")&gt;0,1,0)</f>
        <v>0</v>
      </c>
      <c r="P1656">
        <f>IF(COUNTIFS('United Data'!$A$3:$A$3390,P$1,'United Data'!$C$3:$C$3390,$A1656,'United Data'!$B$3:$B$3390,"&lt;&gt;Off-street")&gt;0,1,0)</f>
        <v>0</v>
      </c>
      <c r="Q1656">
        <f>IF(COUNTIFS('United Data'!$A$3:$A$3390,Q$1,'United Data'!$C$3:$C$3390,$A1656,'United Data'!$B$3:$B$3390,"&lt;&gt;Off-street")&gt;0,1,0)</f>
        <v>0</v>
      </c>
      <c r="R1656">
        <f>IF(COUNTIFS('United Data'!$A$3:$A$3390,R$1,'United Data'!$C$3:$C$3390,$A1656,'United Data'!$B$3:$B$3390,"&lt;&gt;Off-street")&gt;0,1,0)</f>
        <v>0</v>
      </c>
      <c r="S1656">
        <f t="shared" si="50"/>
        <v>1</v>
      </c>
      <c r="T1656">
        <f t="shared" si="51"/>
        <v>1</v>
      </c>
    </row>
    <row r="1657" spans="1:20" x14ac:dyDescent="0.2">
      <c r="A1657" t="s">
        <v>1944</v>
      </c>
      <c r="B1657">
        <f>IF(COUNTIFS('United Data'!$A$3:$A$3390,B$1,'United Data'!$C$3:$C$3390,$A1657,'United Data'!$B$3:$B$3390,"&lt;&gt;Off-street")&gt;0,1,0)</f>
        <v>0</v>
      </c>
      <c r="C1657">
        <f>IF(COUNTIFS('United Data'!$A$3:$A$3390,C$1,'United Data'!$C$3:$C$3390,$A1657,'United Data'!$B$3:$B$3390,"&lt;&gt;Off-street")&gt;0,1,0)</f>
        <v>0</v>
      </c>
      <c r="D1657">
        <f>IF(COUNTIFS('United Data'!$A$3:$A$3390,D$1,'United Data'!$C$3:$C$3390,$A1657,'United Data'!$B$3:$B$3390,"&lt;&gt;Off-street")&gt;0,1,0)</f>
        <v>0</v>
      </c>
      <c r="E1657">
        <f>IF(COUNTIFS('United Data'!$A$3:$A$3390,E$1,'United Data'!$C$3:$C$3390,$A1657,'United Data'!$B$3:$B$3390,"&lt;&gt;Off-street")&gt;0,1,0)</f>
        <v>0</v>
      </c>
      <c r="F1657">
        <f>IF(COUNTIFS('United Data'!$A$3:$A$3390,F$1,'United Data'!$C$3:$C$3390,$A1657,'United Data'!$B$3:$B$3390,"&lt;&gt;Off-street")&gt;0,1,0)</f>
        <v>0</v>
      </c>
      <c r="G1657">
        <f>IF(COUNTIFS('United Data'!$A$3:$A$3390,G$1,'United Data'!$C$3:$C$3390,$A1657,'United Data'!$B$3:$B$3390,"&lt;&gt;Off-street")&gt;0,1,0)</f>
        <v>1</v>
      </c>
      <c r="H1657">
        <f>IF(COUNTIFS('United Data'!$A$3:$A$3390,H$1,'United Data'!$C$3:$C$3390,$A1657,'United Data'!$B$3:$B$3390,"&lt;&gt;Off-street")&gt;0,1,0)</f>
        <v>1</v>
      </c>
      <c r="I1657">
        <f>IF(COUNTIFS('United Data'!$A$3:$A$3390,I$1,'United Data'!$C$3:$C$3390,$A1657,'United Data'!$B$3:$B$3390,"&lt;&gt;Off-street")&gt;0,1,0)</f>
        <v>0</v>
      </c>
      <c r="J1657">
        <f>IF(COUNTIFS('United Data'!$A$3:$A$3390,J$1,'United Data'!$C$3:$C$3390,$A1657,'United Data'!$B$3:$B$3390,"&lt;&gt;Off-street")&gt;0,1,0)</f>
        <v>0</v>
      </c>
      <c r="K1657">
        <f>IF(COUNTIFS('United Data'!$A$3:$A$3390,K$1,'United Data'!$C$3:$C$3390,$A1657,'United Data'!$B$3:$B$3390,"&lt;&gt;Off-street")&gt;0,1,0)</f>
        <v>0</v>
      </c>
      <c r="L1657">
        <f>IF(COUNTIFS('United Data'!$A$3:$A$3390,L$1,'United Data'!$C$3:$C$3390,$A1657,'United Data'!$B$3:$B$3390,"&lt;&gt;Off-street")&gt;0,1,0)</f>
        <v>0</v>
      </c>
      <c r="M1657">
        <f>IF(COUNTIFS('United Data'!$A$3:$A$3390,M$1,'United Data'!$C$3:$C$3390,$A1657,'United Data'!$B$3:$B$3390,"&lt;&gt;Off-street")&gt;0,1,0)</f>
        <v>0</v>
      </c>
      <c r="N1657">
        <f>IF(COUNTIFS('United Data'!$A$3:$A$3390,N$1,'United Data'!$C$3:$C$3390,$A1657,'United Data'!$B$3:$B$3390,"&lt;&gt;Off-street")&gt;0,1,0)</f>
        <v>0</v>
      </c>
      <c r="O1657">
        <f>IF(COUNTIFS('United Data'!$A$3:$A$3390,O$1,'United Data'!$C$3:$C$3390,$A1657,'United Data'!$B$3:$B$3390,"&lt;&gt;Off-street")&gt;0,1,0)</f>
        <v>0</v>
      </c>
      <c r="P1657">
        <f>IF(COUNTIFS('United Data'!$A$3:$A$3390,P$1,'United Data'!$C$3:$C$3390,$A1657,'United Data'!$B$3:$B$3390,"&lt;&gt;Off-street")&gt;0,1,0)</f>
        <v>0</v>
      </c>
      <c r="Q1657">
        <f>IF(COUNTIFS('United Data'!$A$3:$A$3390,Q$1,'United Data'!$C$3:$C$3390,$A1657,'United Data'!$B$3:$B$3390,"&lt;&gt;Off-street")&gt;0,1,0)</f>
        <v>0</v>
      </c>
      <c r="R1657">
        <f>IF(COUNTIFS('United Data'!$A$3:$A$3390,R$1,'United Data'!$C$3:$C$3390,$A1657,'United Data'!$B$3:$B$3390,"&lt;&gt;Off-street")&gt;0,1,0)</f>
        <v>1</v>
      </c>
      <c r="S1657">
        <f t="shared" si="50"/>
        <v>3</v>
      </c>
      <c r="T1657">
        <f t="shared" si="51"/>
        <v>2</v>
      </c>
    </row>
    <row r="1658" spans="1:20" x14ac:dyDescent="0.2">
      <c r="A1658" t="s">
        <v>1945</v>
      </c>
      <c r="B1658">
        <f>IF(COUNTIFS('United Data'!$A$3:$A$3390,B$1,'United Data'!$C$3:$C$3390,$A1658,'United Data'!$B$3:$B$3390,"&lt;&gt;Off-street")&gt;0,1,0)</f>
        <v>0</v>
      </c>
      <c r="C1658">
        <f>IF(COUNTIFS('United Data'!$A$3:$A$3390,C$1,'United Data'!$C$3:$C$3390,$A1658,'United Data'!$B$3:$B$3390,"&lt;&gt;Off-street")&gt;0,1,0)</f>
        <v>0</v>
      </c>
      <c r="D1658">
        <f>IF(COUNTIFS('United Data'!$A$3:$A$3390,D$1,'United Data'!$C$3:$C$3390,$A1658,'United Data'!$B$3:$B$3390,"&lt;&gt;Off-street")&gt;0,1,0)</f>
        <v>0</v>
      </c>
      <c r="E1658">
        <f>IF(COUNTIFS('United Data'!$A$3:$A$3390,E$1,'United Data'!$C$3:$C$3390,$A1658,'United Data'!$B$3:$B$3390,"&lt;&gt;Off-street")&gt;0,1,0)</f>
        <v>0</v>
      </c>
      <c r="F1658">
        <f>IF(COUNTIFS('United Data'!$A$3:$A$3390,F$1,'United Data'!$C$3:$C$3390,$A1658,'United Data'!$B$3:$B$3390,"&lt;&gt;Off-street")&gt;0,1,0)</f>
        <v>0</v>
      </c>
      <c r="G1658">
        <f>IF(COUNTIFS('United Data'!$A$3:$A$3390,G$1,'United Data'!$C$3:$C$3390,$A1658,'United Data'!$B$3:$B$3390,"&lt;&gt;Off-street")&gt;0,1,0)</f>
        <v>0</v>
      </c>
      <c r="H1658">
        <f>IF(COUNTIFS('United Data'!$A$3:$A$3390,H$1,'United Data'!$C$3:$C$3390,$A1658,'United Data'!$B$3:$B$3390,"&lt;&gt;Off-street")&gt;0,1,0)</f>
        <v>0</v>
      </c>
      <c r="I1658">
        <f>IF(COUNTIFS('United Data'!$A$3:$A$3390,I$1,'United Data'!$C$3:$C$3390,$A1658,'United Data'!$B$3:$B$3390,"&lt;&gt;Off-street")&gt;0,1,0)</f>
        <v>1</v>
      </c>
      <c r="J1658">
        <f>IF(COUNTIFS('United Data'!$A$3:$A$3390,J$1,'United Data'!$C$3:$C$3390,$A1658,'United Data'!$B$3:$B$3390,"&lt;&gt;Off-street")&gt;0,1,0)</f>
        <v>1</v>
      </c>
      <c r="K1658">
        <f>IF(COUNTIFS('United Data'!$A$3:$A$3390,K$1,'United Data'!$C$3:$C$3390,$A1658,'United Data'!$B$3:$B$3390,"&lt;&gt;Off-street")&gt;0,1,0)</f>
        <v>0</v>
      </c>
      <c r="L1658">
        <f>IF(COUNTIFS('United Data'!$A$3:$A$3390,L$1,'United Data'!$C$3:$C$3390,$A1658,'United Data'!$B$3:$B$3390,"&lt;&gt;Off-street")&gt;0,1,0)</f>
        <v>1</v>
      </c>
      <c r="M1658">
        <f>IF(COUNTIFS('United Data'!$A$3:$A$3390,M$1,'United Data'!$C$3:$C$3390,$A1658,'United Data'!$B$3:$B$3390,"&lt;&gt;Off-street")&gt;0,1,0)</f>
        <v>0</v>
      </c>
      <c r="N1658">
        <f>IF(COUNTIFS('United Data'!$A$3:$A$3390,N$1,'United Data'!$C$3:$C$3390,$A1658,'United Data'!$B$3:$B$3390,"&lt;&gt;Off-street")&gt;0,1,0)</f>
        <v>0</v>
      </c>
      <c r="O1658">
        <f>IF(COUNTIFS('United Data'!$A$3:$A$3390,O$1,'United Data'!$C$3:$C$3390,$A1658,'United Data'!$B$3:$B$3390,"&lt;&gt;Off-street")&gt;0,1,0)</f>
        <v>0</v>
      </c>
      <c r="P1658">
        <f>IF(COUNTIFS('United Data'!$A$3:$A$3390,P$1,'United Data'!$C$3:$C$3390,$A1658,'United Data'!$B$3:$B$3390,"&lt;&gt;Off-street")&gt;0,1,0)</f>
        <v>0</v>
      </c>
      <c r="Q1658">
        <f>IF(COUNTIFS('United Data'!$A$3:$A$3390,Q$1,'United Data'!$C$3:$C$3390,$A1658,'United Data'!$B$3:$B$3390,"&lt;&gt;Off-street")&gt;0,1,0)</f>
        <v>0</v>
      </c>
      <c r="R1658">
        <f>IF(COUNTIFS('United Data'!$A$3:$A$3390,R$1,'United Data'!$C$3:$C$3390,$A1658,'United Data'!$B$3:$B$3390,"&lt;&gt;Off-street")&gt;0,1,0)</f>
        <v>0</v>
      </c>
      <c r="S1658">
        <f t="shared" si="50"/>
        <v>3</v>
      </c>
      <c r="T1658">
        <f t="shared" si="51"/>
        <v>2</v>
      </c>
    </row>
    <row r="1659" spans="1:20" x14ac:dyDescent="0.2">
      <c r="A1659" t="s">
        <v>1946</v>
      </c>
      <c r="B1659">
        <f>IF(COUNTIFS('United Data'!$A$3:$A$3390,B$1,'United Data'!$C$3:$C$3390,$A1659,'United Data'!$B$3:$B$3390,"&lt;&gt;Off-street")&gt;0,1,0)</f>
        <v>0</v>
      </c>
      <c r="C1659">
        <f>IF(COUNTIFS('United Data'!$A$3:$A$3390,C$1,'United Data'!$C$3:$C$3390,$A1659,'United Data'!$B$3:$B$3390,"&lt;&gt;Off-street")&gt;0,1,0)</f>
        <v>0</v>
      </c>
      <c r="D1659">
        <f>IF(COUNTIFS('United Data'!$A$3:$A$3390,D$1,'United Data'!$C$3:$C$3390,$A1659,'United Data'!$B$3:$B$3390,"&lt;&gt;Off-street")&gt;0,1,0)</f>
        <v>0</v>
      </c>
      <c r="E1659">
        <f>IF(COUNTIFS('United Data'!$A$3:$A$3390,E$1,'United Data'!$C$3:$C$3390,$A1659,'United Data'!$B$3:$B$3390,"&lt;&gt;Off-street")&gt;0,1,0)</f>
        <v>0</v>
      </c>
      <c r="F1659">
        <f>IF(COUNTIFS('United Data'!$A$3:$A$3390,F$1,'United Data'!$C$3:$C$3390,$A1659,'United Data'!$B$3:$B$3390,"&lt;&gt;Off-street")&gt;0,1,0)</f>
        <v>0</v>
      </c>
      <c r="G1659">
        <f>IF(COUNTIFS('United Data'!$A$3:$A$3390,G$1,'United Data'!$C$3:$C$3390,$A1659,'United Data'!$B$3:$B$3390,"&lt;&gt;Off-street")&gt;0,1,0)</f>
        <v>0</v>
      </c>
      <c r="H1659">
        <f>IF(COUNTIFS('United Data'!$A$3:$A$3390,H$1,'United Data'!$C$3:$C$3390,$A1659,'United Data'!$B$3:$B$3390,"&lt;&gt;Off-street")&gt;0,1,0)</f>
        <v>0</v>
      </c>
      <c r="I1659">
        <f>IF(COUNTIFS('United Data'!$A$3:$A$3390,I$1,'United Data'!$C$3:$C$3390,$A1659,'United Data'!$B$3:$B$3390,"&lt;&gt;Off-street")&gt;0,1,0)</f>
        <v>1</v>
      </c>
      <c r="J1659">
        <f>IF(COUNTIFS('United Data'!$A$3:$A$3390,J$1,'United Data'!$C$3:$C$3390,$A1659,'United Data'!$B$3:$B$3390,"&lt;&gt;Off-street")&gt;0,1,0)</f>
        <v>0</v>
      </c>
      <c r="K1659">
        <f>IF(COUNTIFS('United Data'!$A$3:$A$3390,K$1,'United Data'!$C$3:$C$3390,$A1659,'United Data'!$B$3:$B$3390,"&lt;&gt;Off-street")&gt;0,1,0)</f>
        <v>0</v>
      </c>
      <c r="L1659">
        <f>IF(COUNTIFS('United Data'!$A$3:$A$3390,L$1,'United Data'!$C$3:$C$3390,$A1659,'United Data'!$B$3:$B$3390,"&lt;&gt;Off-street")&gt;0,1,0)</f>
        <v>0</v>
      </c>
      <c r="M1659">
        <f>IF(COUNTIFS('United Data'!$A$3:$A$3390,M$1,'United Data'!$C$3:$C$3390,$A1659,'United Data'!$B$3:$B$3390,"&lt;&gt;Off-street")&gt;0,1,0)</f>
        <v>0</v>
      </c>
      <c r="N1659">
        <f>IF(COUNTIFS('United Data'!$A$3:$A$3390,N$1,'United Data'!$C$3:$C$3390,$A1659,'United Data'!$B$3:$B$3390,"&lt;&gt;Off-street")&gt;0,1,0)</f>
        <v>0</v>
      </c>
      <c r="O1659">
        <f>IF(COUNTIFS('United Data'!$A$3:$A$3390,O$1,'United Data'!$C$3:$C$3390,$A1659,'United Data'!$B$3:$B$3390,"&lt;&gt;Off-street")&gt;0,1,0)</f>
        <v>0</v>
      </c>
      <c r="P1659">
        <f>IF(COUNTIFS('United Data'!$A$3:$A$3390,P$1,'United Data'!$C$3:$C$3390,$A1659,'United Data'!$B$3:$B$3390,"&lt;&gt;Off-street")&gt;0,1,0)</f>
        <v>0</v>
      </c>
      <c r="Q1659">
        <f>IF(COUNTIFS('United Data'!$A$3:$A$3390,Q$1,'United Data'!$C$3:$C$3390,$A1659,'United Data'!$B$3:$B$3390,"&lt;&gt;Off-street")&gt;0,1,0)</f>
        <v>0</v>
      </c>
      <c r="R1659">
        <f>IF(COUNTIFS('United Data'!$A$3:$A$3390,R$1,'United Data'!$C$3:$C$3390,$A1659,'United Data'!$B$3:$B$3390,"&lt;&gt;Off-street")&gt;0,1,0)</f>
        <v>0</v>
      </c>
      <c r="S1659">
        <f t="shared" si="50"/>
        <v>1</v>
      </c>
      <c r="T1659">
        <f t="shared" si="51"/>
        <v>1</v>
      </c>
    </row>
    <row r="1660" spans="1:20" x14ac:dyDescent="0.2">
      <c r="A1660" t="s">
        <v>1947</v>
      </c>
      <c r="B1660">
        <f>IF(COUNTIFS('United Data'!$A$3:$A$3390,B$1,'United Data'!$C$3:$C$3390,$A1660,'United Data'!$B$3:$B$3390,"&lt;&gt;Off-street")&gt;0,1,0)</f>
        <v>0</v>
      </c>
      <c r="C1660">
        <f>IF(COUNTIFS('United Data'!$A$3:$A$3390,C$1,'United Data'!$C$3:$C$3390,$A1660,'United Data'!$B$3:$B$3390,"&lt;&gt;Off-street")&gt;0,1,0)</f>
        <v>0</v>
      </c>
      <c r="D1660">
        <f>IF(COUNTIFS('United Data'!$A$3:$A$3390,D$1,'United Data'!$C$3:$C$3390,$A1660,'United Data'!$B$3:$B$3390,"&lt;&gt;Off-street")&gt;0,1,0)</f>
        <v>0</v>
      </c>
      <c r="E1660">
        <f>IF(COUNTIFS('United Data'!$A$3:$A$3390,E$1,'United Data'!$C$3:$C$3390,$A1660,'United Data'!$B$3:$B$3390,"&lt;&gt;Off-street")&gt;0,1,0)</f>
        <v>0</v>
      </c>
      <c r="F1660">
        <f>IF(COUNTIFS('United Data'!$A$3:$A$3390,F$1,'United Data'!$C$3:$C$3390,$A1660,'United Data'!$B$3:$B$3390,"&lt;&gt;Off-street")&gt;0,1,0)</f>
        <v>0</v>
      </c>
      <c r="G1660">
        <f>IF(COUNTIFS('United Data'!$A$3:$A$3390,G$1,'United Data'!$C$3:$C$3390,$A1660,'United Data'!$B$3:$B$3390,"&lt;&gt;Off-street")&gt;0,1,0)</f>
        <v>0</v>
      </c>
      <c r="H1660">
        <f>IF(COUNTIFS('United Data'!$A$3:$A$3390,H$1,'United Data'!$C$3:$C$3390,$A1660,'United Data'!$B$3:$B$3390,"&lt;&gt;Off-street")&gt;0,1,0)</f>
        <v>0</v>
      </c>
      <c r="I1660">
        <f>IF(COUNTIFS('United Data'!$A$3:$A$3390,I$1,'United Data'!$C$3:$C$3390,$A1660,'United Data'!$B$3:$B$3390,"&lt;&gt;Off-street")&gt;0,1,0)</f>
        <v>0</v>
      </c>
      <c r="J1660">
        <f>IF(COUNTIFS('United Data'!$A$3:$A$3390,J$1,'United Data'!$C$3:$C$3390,$A1660,'United Data'!$B$3:$B$3390,"&lt;&gt;Off-street")&gt;0,1,0)</f>
        <v>0</v>
      </c>
      <c r="K1660">
        <f>IF(COUNTIFS('United Data'!$A$3:$A$3390,K$1,'United Data'!$C$3:$C$3390,$A1660,'United Data'!$B$3:$B$3390,"&lt;&gt;Off-street")&gt;0,1,0)</f>
        <v>1</v>
      </c>
      <c r="L1660">
        <f>IF(COUNTIFS('United Data'!$A$3:$A$3390,L$1,'United Data'!$C$3:$C$3390,$A1660,'United Data'!$B$3:$B$3390,"&lt;&gt;Off-street")&gt;0,1,0)</f>
        <v>0</v>
      </c>
      <c r="M1660">
        <f>IF(COUNTIFS('United Data'!$A$3:$A$3390,M$1,'United Data'!$C$3:$C$3390,$A1660,'United Data'!$B$3:$B$3390,"&lt;&gt;Off-street")&gt;0,1,0)</f>
        <v>0</v>
      </c>
      <c r="N1660">
        <f>IF(COUNTIFS('United Data'!$A$3:$A$3390,N$1,'United Data'!$C$3:$C$3390,$A1660,'United Data'!$B$3:$B$3390,"&lt;&gt;Off-street")&gt;0,1,0)</f>
        <v>0</v>
      </c>
      <c r="O1660">
        <f>IF(COUNTIFS('United Data'!$A$3:$A$3390,O$1,'United Data'!$C$3:$C$3390,$A1660,'United Data'!$B$3:$B$3390,"&lt;&gt;Off-street")&gt;0,1,0)</f>
        <v>0</v>
      </c>
      <c r="P1660">
        <f>IF(COUNTIFS('United Data'!$A$3:$A$3390,P$1,'United Data'!$C$3:$C$3390,$A1660,'United Data'!$B$3:$B$3390,"&lt;&gt;Off-street")&gt;0,1,0)</f>
        <v>0</v>
      </c>
      <c r="Q1660">
        <f>IF(COUNTIFS('United Data'!$A$3:$A$3390,Q$1,'United Data'!$C$3:$C$3390,$A1660,'United Data'!$B$3:$B$3390,"&lt;&gt;Off-street")&gt;0,1,0)</f>
        <v>0</v>
      </c>
      <c r="R1660">
        <f>IF(COUNTIFS('United Data'!$A$3:$A$3390,R$1,'United Data'!$C$3:$C$3390,$A1660,'United Data'!$B$3:$B$3390,"&lt;&gt;Off-street")&gt;0,1,0)</f>
        <v>0</v>
      </c>
      <c r="S1660">
        <f t="shared" si="50"/>
        <v>1</v>
      </c>
      <c r="T1660">
        <f t="shared" si="51"/>
        <v>1</v>
      </c>
    </row>
    <row r="1661" spans="1:20" x14ac:dyDescent="0.2">
      <c r="A1661" t="s">
        <v>1948</v>
      </c>
      <c r="B1661">
        <f>IF(COUNTIFS('United Data'!$A$3:$A$3390,B$1,'United Data'!$C$3:$C$3390,$A1661,'United Data'!$B$3:$B$3390,"&lt;&gt;Off-street")&gt;0,1,0)</f>
        <v>0</v>
      </c>
      <c r="C1661">
        <f>IF(COUNTIFS('United Data'!$A$3:$A$3390,C$1,'United Data'!$C$3:$C$3390,$A1661,'United Data'!$B$3:$B$3390,"&lt;&gt;Off-street")&gt;0,1,0)</f>
        <v>0</v>
      </c>
      <c r="D1661">
        <f>IF(COUNTIFS('United Data'!$A$3:$A$3390,D$1,'United Data'!$C$3:$C$3390,$A1661,'United Data'!$B$3:$B$3390,"&lt;&gt;Off-street")&gt;0,1,0)</f>
        <v>0</v>
      </c>
      <c r="E1661">
        <f>IF(COUNTIFS('United Data'!$A$3:$A$3390,E$1,'United Data'!$C$3:$C$3390,$A1661,'United Data'!$B$3:$B$3390,"&lt;&gt;Off-street")&gt;0,1,0)</f>
        <v>0</v>
      </c>
      <c r="F1661">
        <f>IF(COUNTIFS('United Data'!$A$3:$A$3390,F$1,'United Data'!$C$3:$C$3390,$A1661,'United Data'!$B$3:$B$3390,"&lt;&gt;Off-street")&gt;0,1,0)</f>
        <v>0</v>
      </c>
      <c r="G1661">
        <f>IF(COUNTIFS('United Data'!$A$3:$A$3390,G$1,'United Data'!$C$3:$C$3390,$A1661,'United Data'!$B$3:$B$3390,"&lt;&gt;Off-street")&gt;0,1,0)</f>
        <v>0</v>
      </c>
      <c r="H1661">
        <f>IF(COUNTIFS('United Data'!$A$3:$A$3390,H$1,'United Data'!$C$3:$C$3390,$A1661,'United Data'!$B$3:$B$3390,"&lt;&gt;Off-street")&gt;0,1,0)</f>
        <v>0</v>
      </c>
      <c r="I1661">
        <f>IF(COUNTIFS('United Data'!$A$3:$A$3390,I$1,'United Data'!$C$3:$C$3390,$A1661,'United Data'!$B$3:$B$3390,"&lt;&gt;Off-street")&gt;0,1,0)</f>
        <v>0</v>
      </c>
      <c r="J1661">
        <f>IF(COUNTIFS('United Data'!$A$3:$A$3390,J$1,'United Data'!$C$3:$C$3390,$A1661,'United Data'!$B$3:$B$3390,"&lt;&gt;Off-street")&gt;0,1,0)</f>
        <v>0</v>
      </c>
      <c r="K1661">
        <f>IF(COUNTIFS('United Data'!$A$3:$A$3390,K$1,'United Data'!$C$3:$C$3390,$A1661,'United Data'!$B$3:$B$3390,"&lt;&gt;Off-street")&gt;0,1,0)</f>
        <v>1</v>
      </c>
      <c r="L1661">
        <f>IF(COUNTIFS('United Data'!$A$3:$A$3390,L$1,'United Data'!$C$3:$C$3390,$A1661,'United Data'!$B$3:$B$3390,"&lt;&gt;Off-street")&gt;0,1,0)</f>
        <v>0</v>
      </c>
      <c r="M1661">
        <f>IF(COUNTIFS('United Data'!$A$3:$A$3390,M$1,'United Data'!$C$3:$C$3390,$A1661,'United Data'!$B$3:$B$3390,"&lt;&gt;Off-street")&gt;0,1,0)</f>
        <v>0</v>
      </c>
      <c r="N1661">
        <f>IF(COUNTIFS('United Data'!$A$3:$A$3390,N$1,'United Data'!$C$3:$C$3390,$A1661,'United Data'!$B$3:$B$3390,"&lt;&gt;Off-street")&gt;0,1,0)</f>
        <v>0</v>
      </c>
      <c r="O1661">
        <f>IF(COUNTIFS('United Data'!$A$3:$A$3390,O$1,'United Data'!$C$3:$C$3390,$A1661,'United Data'!$B$3:$B$3390,"&lt;&gt;Off-street")&gt;0,1,0)</f>
        <v>0</v>
      </c>
      <c r="P1661">
        <f>IF(COUNTIFS('United Data'!$A$3:$A$3390,P$1,'United Data'!$C$3:$C$3390,$A1661,'United Data'!$B$3:$B$3390,"&lt;&gt;Off-street")&gt;0,1,0)</f>
        <v>0</v>
      </c>
      <c r="Q1661">
        <f>IF(COUNTIFS('United Data'!$A$3:$A$3390,Q$1,'United Data'!$C$3:$C$3390,$A1661,'United Data'!$B$3:$B$3390,"&lt;&gt;Off-street")&gt;0,1,0)</f>
        <v>0</v>
      </c>
      <c r="R1661">
        <f>IF(COUNTIFS('United Data'!$A$3:$A$3390,R$1,'United Data'!$C$3:$C$3390,$A1661,'United Data'!$B$3:$B$3390,"&lt;&gt;Off-street")&gt;0,1,0)</f>
        <v>0</v>
      </c>
      <c r="S1661">
        <f t="shared" si="50"/>
        <v>1</v>
      </c>
      <c r="T1661">
        <f t="shared" si="51"/>
        <v>1</v>
      </c>
    </row>
    <row r="1662" spans="1:20" x14ac:dyDescent="0.2">
      <c r="A1662" t="s">
        <v>1949</v>
      </c>
      <c r="B1662">
        <f>IF(COUNTIFS('United Data'!$A$3:$A$3390,B$1,'United Data'!$C$3:$C$3390,$A1662,'United Data'!$B$3:$B$3390,"&lt;&gt;Off-street")&gt;0,1,0)</f>
        <v>0</v>
      </c>
      <c r="C1662">
        <f>IF(COUNTIFS('United Data'!$A$3:$A$3390,C$1,'United Data'!$C$3:$C$3390,$A1662,'United Data'!$B$3:$B$3390,"&lt;&gt;Off-street")&gt;0,1,0)</f>
        <v>0</v>
      </c>
      <c r="D1662">
        <f>IF(COUNTIFS('United Data'!$A$3:$A$3390,D$1,'United Data'!$C$3:$C$3390,$A1662,'United Data'!$B$3:$B$3390,"&lt;&gt;Off-street")&gt;0,1,0)</f>
        <v>0</v>
      </c>
      <c r="E1662">
        <f>IF(COUNTIFS('United Data'!$A$3:$A$3390,E$1,'United Data'!$C$3:$C$3390,$A1662,'United Data'!$B$3:$B$3390,"&lt;&gt;Off-street")&gt;0,1,0)</f>
        <v>0</v>
      </c>
      <c r="F1662">
        <f>IF(COUNTIFS('United Data'!$A$3:$A$3390,F$1,'United Data'!$C$3:$C$3390,$A1662,'United Data'!$B$3:$B$3390,"&lt;&gt;Off-street")&gt;0,1,0)</f>
        <v>0</v>
      </c>
      <c r="G1662">
        <f>IF(COUNTIFS('United Data'!$A$3:$A$3390,G$1,'United Data'!$C$3:$C$3390,$A1662,'United Data'!$B$3:$B$3390,"&lt;&gt;Off-street")&gt;0,1,0)</f>
        <v>0</v>
      </c>
      <c r="H1662">
        <f>IF(COUNTIFS('United Data'!$A$3:$A$3390,H$1,'United Data'!$C$3:$C$3390,$A1662,'United Data'!$B$3:$B$3390,"&lt;&gt;Off-street")&gt;0,1,0)</f>
        <v>0</v>
      </c>
      <c r="I1662">
        <f>IF(COUNTIFS('United Data'!$A$3:$A$3390,I$1,'United Data'!$C$3:$C$3390,$A1662,'United Data'!$B$3:$B$3390,"&lt;&gt;Off-street")&gt;0,1,0)</f>
        <v>0</v>
      </c>
      <c r="J1662">
        <f>IF(COUNTIFS('United Data'!$A$3:$A$3390,J$1,'United Data'!$C$3:$C$3390,$A1662,'United Data'!$B$3:$B$3390,"&lt;&gt;Off-street")&gt;0,1,0)</f>
        <v>0</v>
      </c>
      <c r="K1662">
        <f>IF(COUNTIFS('United Data'!$A$3:$A$3390,K$1,'United Data'!$C$3:$C$3390,$A1662,'United Data'!$B$3:$B$3390,"&lt;&gt;Off-street")&gt;0,1,0)</f>
        <v>1</v>
      </c>
      <c r="L1662">
        <f>IF(COUNTIFS('United Data'!$A$3:$A$3390,L$1,'United Data'!$C$3:$C$3390,$A1662,'United Data'!$B$3:$B$3390,"&lt;&gt;Off-street")&gt;0,1,0)</f>
        <v>0</v>
      </c>
      <c r="M1662">
        <f>IF(COUNTIFS('United Data'!$A$3:$A$3390,M$1,'United Data'!$C$3:$C$3390,$A1662,'United Data'!$B$3:$B$3390,"&lt;&gt;Off-street")&gt;0,1,0)</f>
        <v>0</v>
      </c>
      <c r="N1662">
        <f>IF(COUNTIFS('United Data'!$A$3:$A$3390,N$1,'United Data'!$C$3:$C$3390,$A1662,'United Data'!$B$3:$B$3390,"&lt;&gt;Off-street")&gt;0,1,0)</f>
        <v>0</v>
      </c>
      <c r="O1662">
        <f>IF(COUNTIFS('United Data'!$A$3:$A$3390,O$1,'United Data'!$C$3:$C$3390,$A1662,'United Data'!$B$3:$B$3390,"&lt;&gt;Off-street")&gt;0,1,0)</f>
        <v>0</v>
      </c>
      <c r="P1662">
        <f>IF(COUNTIFS('United Data'!$A$3:$A$3390,P$1,'United Data'!$C$3:$C$3390,$A1662,'United Data'!$B$3:$B$3390,"&lt;&gt;Off-street")&gt;0,1,0)</f>
        <v>0</v>
      </c>
      <c r="Q1662">
        <f>IF(COUNTIFS('United Data'!$A$3:$A$3390,Q$1,'United Data'!$C$3:$C$3390,$A1662,'United Data'!$B$3:$B$3390,"&lt;&gt;Off-street")&gt;0,1,0)</f>
        <v>0</v>
      </c>
      <c r="R1662">
        <f>IF(COUNTIFS('United Data'!$A$3:$A$3390,R$1,'United Data'!$C$3:$C$3390,$A1662,'United Data'!$B$3:$B$3390,"&lt;&gt;Off-street")&gt;0,1,0)</f>
        <v>0</v>
      </c>
      <c r="S1662">
        <f t="shared" si="50"/>
        <v>1</v>
      </c>
      <c r="T1662">
        <f t="shared" si="51"/>
        <v>1</v>
      </c>
    </row>
    <row r="1663" spans="1:20" x14ac:dyDescent="0.2">
      <c r="A1663" t="s">
        <v>1950</v>
      </c>
      <c r="B1663">
        <f>IF(COUNTIFS('United Data'!$A$3:$A$3390,B$1,'United Data'!$C$3:$C$3390,$A1663,'United Data'!$B$3:$B$3390,"&lt;&gt;Off-street")&gt;0,1,0)</f>
        <v>0</v>
      </c>
      <c r="C1663">
        <f>IF(COUNTIFS('United Data'!$A$3:$A$3390,C$1,'United Data'!$C$3:$C$3390,$A1663,'United Data'!$B$3:$B$3390,"&lt;&gt;Off-street")&gt;0,1,0)</f>
        <v>0</v>
      </c>
      <c r="D1663">
        <f>IF(COUNTIFS('United Data'!$A$3:$A$3390,D$1,'United Data'!$C$3:$C$3390,$A1663,'United Data'!$B$3:$B$3390,"&lt;&gt;Off-street")&gt;0,1,0)</f>
        <v>0</v>
      </c>
      <c r="E1663">
        <f>IF(COUNTIFS('United Data'!$A$3:$A$3390,E$1,'United Data'!$C$3:$C$3390,$A1663,'United Data'!$B$3:$B$3390,"&lt;&gt;Off-street")&gt;0,1,0)</f>
        <v>0</v>
      </c>
      <c r="F1663">
        <f>IF(COUNTIFS('United Data'!$A$3:$A$3390,F$1,'United Data'!$C$3:$C$3390,$A1663,'United Data'!$B$3:$B$3390,"&lt;&gt;Off-street")&gt;0,1,0)</f>
        <v>0</v>
      </c>
      <c r="G1663">
        <f>IF(COUNTIFS('United Data'!$A$3:$A$3390,G$1,'United Data'!$C$3:$C$3390,$A1663,'United Data'!$B$3:$B$3390,"&lt;&gt;Off-street")&gt;0,1,0)</f>
        <v>0</v>
      </c>
      <c r="H1663">
        <f>IF(COUNTIFS('United Data'!$A$3:$A$3390,H$1,'United Data'!$C$3:$C$3390,$A1663,'United Data'!$B$3:$B$3390,"&lt;&gt;Off-street")&gt;0,1,0)</f>
        <v>0</v>
      </c>
      <c r="I1663">
        <f>IF(COUNTIFS('United Data'!$A$3:$A$3390,I$1,'United Data'!$C$3:$C$3390,$A1663,'United Data'!$B$3:$B$3390,"&lt;&gt;Off-street")&gt;0,1,0)</f>
        <v>0</v>
      </c>
      <c r="J1663">
        <f>IF(COUNTIFS('United Data'!$A$3:$A$3390,J$1,'United Data'!$C$3:$C$3390,$A1663,'United Data'!$B$3:$B$3390,"&lt;&gt;Off-street")&gt;0,1,0)</f>
        <v>0</v>
      </c>
      <c r="K1663">
        <f>IF(COUNTIFS('United Data'!$A$3:$A$3390,K$1,'United Data'!$C$3:$C$3390,$A1663,'United Data'!$B$3:$B$3390,"&lt;&gt;Off-street")&gt;0,1,0)</f>
        <v>0</v>
      </c>
      <c r="L1663">
        <f>IF(COUNTIFS('United Data'!$A$3:$A$3390,L$1,'United Data'!$C$3:$C$3390,$A1663,'United Data'!$B$3:$B$3390,"&lt;&gt;Off-street")&gt;0,1,0)</f>
        <v>0</v>
      </c>
      <c r="M1663">
        <f>IF(COUNTIFS('United Data'!$A$3:$A$3390,M$1,'United Data'!$C$3:$C$3390,$A1663,'United Data'!$B$3:$B$3390,"&lt;&gt;Off-street")&gt;0,1,0)</f>
        <v>0</v>
      </c>
      <c r="N1663">
        <f>IF(COUNTIFS('United Data'!$A$3:$A$3390,N$1,'United Data'!$C$3:$C$3390,$A1663,'United Data'!$B$3:$B$3390,"&lt;&gt;Off-street")&gt;0,1,0)</f>
        <v>1</v>
      </c>
      <c r="O1663">
        <f>IF(COUNTIFS('United Data'!$A$3:$A$3390,O$1,'United Data'!$C$3:$C$3390,$A1663,'United Data'!$B$3:$B$3390,"&lt;&gt;Off-street")&gt;0,1,0)</f>
        <v>1</v>
      </c>
      <c r="P1663">
        <f>IF(COUNTIFS('United Data'!$A$3:$A$3390,P$1,'United Data'!$C$3:$C$3390,$A1663,'United Data'!$B$3:$B$3390,"&lt;&gt;Off-street")&gt;0,1,0)</f>
        <v>0</v>
      </c>
      <c r="Q1663">
        <f>IF(COUNTIFS('United Data'!$A$3:$A$3390,Q$1,'United Data'!$C$3:$C$3390,$A1663,'United Data'!$B$3:$B$3390,"&lt;&gt;Off-street")&gt;0,1,0)</f>
        <v>0</v>
      </c>
      <c r="R1663">
        <f>IF(COUNTIFS('United Data'!$A$3:$A$3390,R$1,'United Data'!$C$3:$C$3390,$A1663,'United Data'!$B$3:$B$3390,"&lt;&gt;Off-street")&gt;0,1,0)</f>
        <v>0</v>
      </c>
      <c r="S1663">
        <f t="shared" si="50"/>
        <v>2</v>
      </c>
      <c r="T1663">
        <f t="shared" si="51"/>
        <v>1</v>
      </c>
    </row>
    <row r="1664" spans="1:20" x14ac:dyDescent="0.2">
      <c r="A1664" t="s">
        <v>1951</v>
      </c>
      <c r="B1664">
        <f>IF(COUNTIFS('United Data'!$A$3:$A$3390,B$1,'United Data'!$C$3:$C$3390,$A1664,'United Data'!$B$3:$B$3390,"&lt;&gt;Off-street")&gt;0,1,0)</f>
        <v>0</v>
      </c>
      <c r="C1664">
        <f>IF(COUNTIFS('United Data'!$A$3:$A$3390,C$1,'United Data'!$C$3:$C$3390,$A1664,'United Data'!$B$3:$B$3390,"&lt;&gt;Off-street")&gt;0,1,0)</f>
        <v>0</v>
      </c>
      <c r="D1664">
        <f>IF(COUNTIFS('United Data'!$A$3:$A$3390,D$1,'United Data'!$C$3:$C$3390,$A1664,'United Data'!$B$3:$B$3390,"&lt;&gt;Off-street")&gt;0,1,0)</f>
        <v>0</v>
      </c>
      <c r="E1664">
        <f>IF(COUNTIFS('United Data'!$A$3:$A$3390,E$1,'United Data'!$C$3:$C$3390,$A1664,'United Data'!$B$3:$B$3390,"&lt;&gt;Off-street")&gt;0,1,0)</f>
        <v>0</v>
      </c>
      <c r="F1664">
        <f>IF(COUNTIFS('United Data'!$A$3:$A$3390,F$1,'United Data'!$C$3:$C$3390,$A1664,'United Data'!$B$3:$B$3390,"&lt;&gt;Off-street")&gt;0,1,0)</f>
        <v>0</v>
      </c>
      <c r="G1664">
        <f>IF(COUNTIFS('United Data'!$A$3:$A$3390,G$1,'United Data'!$C$3:$C$3390,$A1664,'United Data'!$B$3:$B$3390,"&lt;&gt;Off-street")&gt;0,1,0)</f>
        <v>0</v>
      </c>
      <c r="H1664">
        <f>IF(COUNTIFS('United Data'!$A$3:$A$3390,H$1,'United Data'!$C$3:$C$3390,$A1664,'United Data'!$B$3:$B$3390,"&lt;&gt;Off-street")&gt;0,1,0)</f>
        <v>0</v>
      </c>
      <c r="I1664">
        <f>IF(COUNTIFS('United Data'!$A$3:$A$3390,I$1,'United Data'!$C$3:$C$3390,$A1664,'United Data'!$B$3:$B$3390,"&lt;&gt;Off-street")&gt;0,1,0)</f>
        <v>0</v>
      </c>
      <c r="J1664">
        <f>IF(COUNTIFS('United Data'!$A$3:$A$3390,J$1,'United Data'!$C$3:$C$3390,$A1664,'United Data'!$B$3:$B$3390,"&lt;&gt;Off-street")&gt;0,1,0)</f>
        <v>0</v>
      </c>
      <c r="K1664">
        <f>IF(COUNTIFS('United Data'!$A$3:$A$3390,K$1,'United Data'!$C$3:$C$3390,$A1664,'United Data'!$B$3:$B$3390,"&lt;&gt;Off-street")&gt;0,1,0)</f>
        <v>0</v>
      </c>
      <c r="L1664">
        <f>IF(COUNTIFS('United Data'!$A$3:$A$3390,L$1,'United Data'!$C$3:$C$3390,$A1664,'United Data'!$B$3:$B$3390,"&lt;&gt;Off-street")&gt;0,1,0)</f>
        <v>0</v>
      </c>
      <c r="M1664">
        <f>IF(COUNTIFS('United Data'!$A$3:$A$3390,M$1,'United Data'!$C$3:$C$3390,$A1664,'United Data'!$B$3:$B$3390,"&lt;&gt;Off-street")&gt;0,1,0)</f>
        <v>0</v>
      </c>
      <c r="N1664">
        <f>IF(COUNTIFS('United Data'!$A$3:$A$3390,N$1,'United Data'!$C$3:$C$3390,$A1664,'United Data'!$B$3:$B$3390,"&lt;&gt;Off-street")&gt;0,1,0)</f>
        <v>1</v>
      </c>
      <c r="O1664">
        <f>IF(COUNTIFS('United Data'!$A$3:$A$3390,O$1,'United Data'!$C$3:$C$3390,$A1664,'United Data'!$B$3:$B$3390,"&lt;&gt;Off-street")&gt;0,1,0)</f>
        <v>0</v>
      </c>
      <c r="P1664">
        <f>IF(COUNTIFS('United Data'!$A$3:$A$3390,P$1,'United Data'!$C$3:$C$3390,$A1664,'United Data'!$B$3:$B$3390,"&lt;&gt;Off-street")&gt;0,1,0)</f>
        <v>0</v>
      </c>
      <c r="Q1664">
        <f>IF(COUNTIFS('United Data'!$A$3:$A$3390,Q$1,'United Data'!$C$3:$C$3390,$A1664,'United Data'!$B$3:$B$3390,"&lt;&gt;Off-street")&gt;0,1,0)</f>
        <v>0</v>
      </c>
      <c r="R1664">
        <f>IF(COUNTIFS('United Data'!$A$3:$A$3390,R$1,'United Data'!$C$3:$C$3390,$A1664,'United Data'!$B$3:$B$3390,"&lt;&gt;Off-street")&gt;0,1,0)</f>
        <v>0</v>
      </c>
      <c r="S1664">
        <f t="shared" si="50"/>
        <v>1</v>
      </c>
      <c r="T1664">
        <f t="shared" si="51"/>
        <v>1</v>
      </c>
    </row>
    <row r="1665" spans="1:20" x14ac:dyDescent="0.2">
      <c r="A1665" t="s">
        <v>1952</v>
      </c>
      <c r="B1665">
        <f>IF(COUNTIFS('United Data'!$A$3:$A$3390,B$1,'United Data'!$C$3:$C$3390,$A1665,'United Data'!$B$3:$B$3390,"&lt;&gt;Off-street")&gt;0,1,0)</f>
        <v>0</v>
      </c>
      <c r="C1665">
        <f>IF(COUNTIFS('United Data'!$A$3:$A$3390,C$1,'United Data'!$C$3:$C$3390,$A1665,'United Data'!$B$3:$B$3390,"&lt;&gt;Off-street")&gt;0,1,0)</f>
        <v>0</v>
      </c>
      <c r="D1665">
        <f>IF(COUNTIFS('United Data'!$A$3:$A$3390,D$1,'United Data'!$C$3:$C$3390,$A1665,'United Data'!$B$3:$B$3390,"&lt;&gt;Off-street")&gt;0,1,0)</f>
        <v>0</v>
      </c>
      <c r="E1665">
        <f>IF(COUNTIFS('United Data'!$A$3:$A$3390,E$1,'United Data'!$C$3:$C$3390,$A1665,'United Data'!$B$3:$B$3390,"&lt;&gt;Off-street")&gt;0,1,0)</f>
        <v>0</v>
      </c>
      <c r="F1665">
        <f>IF(COUNTIFS('United Data'!$A$3:$A$3390,F$1,'United Data'!$C$3:$C$3390,$A1665,'United Data'!$B$3:$B$3390,"&lt;&gt;Off-street")&gt;0,1,0)</f>
        <v>0</v>
      </c>
      <c r="G1665">
        <f>IF(COUNTIFS('United Data'!$A$3:$A$3390,G$1,'United Data'!$C$3:$C$3390,$A1665,'United Data'!$B$3:$B$3390,"&lt;&gt;Off-street")&gt;0,1,0)</f>
        <v>0</v>
      </c>
      <c r="H1665">
        <f>IF(COUNTIFS('United Data'!$A$3:$A$3390,H$1,'United Data'!$C$3:$C$3390,$A1665,'United Data'!$B$3:$B$3390,"&lt;&gt;Off-street")&gt;0,1,0)</f>
        <v>0</v>
      </c>
      <c r="I1665">
        <f>IF(COUNTIFS('United Data'!$A$3:$A$3390,I$1,'United Data'!$C$3:$C$3390,$A1665,'United Data'!$B$3:$B$3390,"&lt;&gt;Off-street")&gt;0,1,0)</f>
        <v>0</v>
      </c>
      <c r="J1665">
        <f>IF(COUNTIFS('United Data'!$A$3:$A$3390,J$1,'United Data'!$C$3:$C$3390,$A1665,'United Data'!$B$3:$B$3390,"&lt;&gt;Off-street")&gt;0,1,0)</f>
        <v>0</v>
      </c>
      <c r="K1665">
        <f>IF(COUNTIFS('United Data'!$A$3:$A$3390,K$1,'United Data'!$C$3:$C$3390,$A1665,'United Data'!$B$3:$B$3390,"&lt;&gt;Off-street")&gt;0,1,0)</f>
        <v>0</v>
      </c>
      <c r="L1665">
        <f>IF(COUNTIFS('United Data'!$A$3:$A$3390,L$1,'United Data'!$C$3:$C$3390,$A1665,'United Data'!$B$3:$B$3390,"&lt;&gt;Off-street")&gt;0,1,0)</f>
        <v>0</v>
      </c>
      <c r="M1665">
        <f>IF(COUNTIFS('United Data'!$A$3:$A$3390,M$1,'United Data'!$C$3:$C$3390,$A1665,'United Data'!$B$3:$B$3390,"&lt;&gt;Off-street")&gt;0,1,0)</f>
        <v>0</v>
      </c>
      <c r="N1665">
        <f>IF(COUNTIFS('United Data'!$A$3:$A$3390,N$1,'United Data'!$C$3:$C$3390,$A1665,'United Data'!$B$3:$B$3390,"&lt;&gt;Off-street")&gt;0,1,0)</f>
        <v>0</v>
      </c>
      <c r="O1665">
        <f>IF(COUNTIFS('United Data'!$A$3:$A$3390,O$1,'United Data'!$C$3:$C$3390,$A1665,'United Data'!$B$3:$B$3390,"&lt;&gt;Off-street")&gt;0,1,0)</f>
        <v>1</v>
      </c>
      <c r="P1665">
        <f>IF(COUNTIFS('United Data'!$A$3:$A$3390,P$1,'United Data'!$C$3:$C$3390,$A1665,'United Data'!$B$3:$B$3390,"&lt;&gt;Off-street")&gt;0,1,0)</f>
        <v>0</v>
      </c>
      <c r="Q1665">
        <f>IF(COUNTIFS('United Data'!$A$3:$A$3390,Q$1,'United Data'!$C$3:$C$3390,$A1665,'United Data'!$B$3:$B$3390,"&lt;&gt;Off-street")&gt;0,1,0)</f>
        <v>0</v>
      </c>
      <c r="R1665">
        <f>IF(COUNTIFS('United Data'!$A$3:$A$3390,R$1,'United Data'!$C$3:$C$3390,$A1665,'United Data'!$B$3:$B$3390,"&lt;&gt;Off-street")&gt;0,1,0)</f>
        <v>0</v>
      </c>
      <c r="S1665">
        <f t="shared" si="50"/>
        <v>1</v>
      </c>
      <c r="T1665">
        <f t="shared" si="51"/>
        <v>1</v>
      </c>
    </row>
    <row r="1666" spans="1:20" x14ac:dyDescent="0.2">
      <c r="A1666" t="s">
        <v>1953</v>
      </c>
      <c r="B1666">
        <f>IF(COUNTIFS('United Data'!$A$3:$A$3390,B$1,'United Data'!$C$3:$C$3390,$A1666,'United Data'!$B$3:$B$3390,"&lt;&gt;Off-street")&gt;0,1,0)</f>
        <v>0</v>
      </c>
      <c r="C1666">
        <f>IF(COUNTIFS('United Data'!$A$3:$A$3390,C$1,'United Data'!$C$3:$C$3390,$A1666,'United Data'!$B$3:$B$3390,"&lt;&gt;Off-street")&gt;0,1,0)</f>
        <v>0</v>
      </c>
      <c r="D1666">
        <f>IF(COUNTIFS('United Data'!$A$3:$A$3390,D$1,'United Data'!$C$3:$C$3390,$A1666,'United Data'!$B$3:$B$3390,"&lt;&gt;Off-street")&gt;0,1,0)</f>
        <v>0</v>
      </c>
      <c r="E1666">
        <f>IF(COUNTIFS('United Data'!$A$3:$A$3390,E$1,'United Data'!$C$3:$C$3390,$A1666,'United Data'!$B$3:$B$3390,"&lt;&gt;Off-street")&gt;0,1,0)</f>
        <v>0</v>
      </c>
      <c r="F1666">
        <f>IF(COUNTIFS('United Data'!$A$3:$A$3390,F$1,'United Data'!$C$3:$C$3390,$A1666,'United Data'!$B$3:$B$3390,"&lt;&gt;Off-street")&gt;0,1,0)</f>
        <v>0</v>
      </c>
      <c r="G1666">
        <f>IF(COUNTIFS('United Data'!$A$3:$A$3390,G$1,'United Data'!$C$3:$C$3390,$A1666,'United Data'!$B$3:$B$3390,"&lt;&gt;Off-street")&gt;0,1,0)</f>
        <v>0</v>
      </c>
      <c r="H1666">
        <f>IF(COUNTIFS('United Data'!$A$3:$A$3390,H$1,'United Data'!$C$3:$C$3390,$A1666,'United Data'!$B$3:$B$3390,"&lt;&gt;Off-street")&gt;0,1,0)</f>
        <v>0</v>
      </c>
      <c r="I1666">
        <f>IF(COUNTIFS('United Data'!$A$3:$A$3390,I$1,'United Data'!$C$3:$C$3390,$A1666,'United Data'!$B$3:$B$3390,"&lt;&gt;Off-street")&gt;0,1,0)</f>
        <v>0</v>
      </c>
      <c r="J1666">
        <f>IF(COUNTIFS('United Data'!$A$3:$A$3390,J$1,'United Data'!$C$3:$C$3390,$A1666,'United Data'!$B$3:$B$3390,"&lt;&gt;Off-street")&gt;0,1,0)</f>
        <v>0</v>
      </c>
      <c r="K1666">
        <f>IF(COUNTIFS('United Data'!$A$3:$A$3390,K$1,'United Data'!$C$3:$C$3390,$A1666,'United Data'!$B$3:$B$3390,"&lt;&gt;Off-street")&gt;0,1,0)</f>
        <v>0</v>
      </c>
      <c r="L1666">
        <f>IF(COUNTIFS('United Data'!$A$3:$A$3390,L$1,'United Data'!$C$3:$C$3390,$A1666,'United Data'!$B$3:$B$3390,"&lt;&gt;Off-street")&gt;0,1,0)</f>
        <v>0</v>
      </c>
      <c r="M1666">
        <f>IF(COUNTIFS('United Data'!$A$3:$A$3390,M$1,'United Data'!$C$3:$C$3390,$A1666,'United Data'!$B$3:$B$3390,"&lt;&gt;Off-street")&gt;0,1,0)</f>
        <v>0</v>
      </c>
      <c r="N1666">
        <f>IF(COUNTIFS('United Data'!$A$3:$A$3390,N$1,'United Data'!$C$3:$C$3390,$A1666,'United Data'!$B$3:$B$3390,"&lt;&gt;Off-street")&gt;0,1,0)</f>
        <v>0</v>
      </c>
      <c r="O1666">
        <f>IF(COUNTIFS('United Data'!$A$3:$A$3390,O$1,'United Data'!$C$3:$C$3390,$A1666,'United Data'!$B$3:$B$3390,"&lt;&gt;Off-street")&gt;0,1,0)</f>
        <v>1</v>
      </c>
      <c r="P1666">
        <f>IF(COUNTIFS('United Data'!$A$3:$A$3390,P$1,'United Data'!$C$3:$C$3390,$A1666,'United Data'!$B$3:$B$3390,"&lt;&gt;Off-street")&gt;0,1,0)</f>
        <v>0</v>
      </c>
      <c r="Q1666">
        <f>IF(COUNTIFS('United Data'!$A$3:$A$3390,Q$1,'United Data'!$C$3:$C$3390,$A1666,'United Data'!$B$3:$B$3390,"&lt;&gt;Off-street")&gt;0,1,0)</f>
        <v>0</v>
      </c>
      <c r="R1666">
        <f>IF(COUNTIFS('United Data'!$A$3:$A$3390,R$1,'United Data'!$C$3:$C$3390,$A1666,'United Data'!$B$3:$B$3390,"&lt;&gt;Off-street")&gt;0,1,0)</f>
        <v>0</v>
      </c>
      <c r="S1666">
        <f t="shared" ref="S1666:S1729" si="52">SUM(B1666:R1666)</f>
        <v>1</v>
      </c>
      <c r="T1666">
        <f t="shared" ref="T1666:T1675" si="53">B1666+SUMPRODUCT(--(C1666:R1666&gt;B1666:Q1666))</f>
        <v>1</v>
      </c>
    </row>
    <row r="1667" spans="1:20" x14ac:dyDescent="0.2">
      <c r="A1667" t="s">
        <v>1954</v>
      </c>
      <c r="B1667">
        <f>IF(COUNTIFS('United Data'!$A$3:$A$3390,B$1,'United Data'!$C$3:$C$3390,$A1667,'United Data'!$B$3:$B$3390,"&lt;&gt;Off-street")&gt;0,1,0)</f>
        <v>0</v>
      </c>
      <c r="C1667">
        <f>IF(COUNTIFS('United Data'!$A$3:$A$3390,C$1,'United Data'!$C$3:$C$3390,$A1667,'United Data'!$B$3:$B$3390,"&lt;&gt;Off-street")&gt;0,1,0)</f>
        <v>0</v>
      </c>
      <c r="D1667">
        <f>IF(COUNTIFS('United Data'!$A$3:$A$3390,D$1,'United Data'!$C$3:$C$3390,$A1667,'United Data'!$B$3:$B$3390,"&lt;&gt;Off-street")&gt;0,1,0)</f>
        <v>0</v>
      </c>
      <c r="E1667">
        <f>IF(COUNTIFS('United Data'!$A$3:$A$3390,E$1,'United Data'!$C$3:$C$3390,$A1667,'United Data'!$B$3:$B$3390,"&lt;&gt;Off-street")&gt;0,1,0)</f>
        <v>0</v>
      </c>
      <c r="F1667">
        <f>IF(COUNTIFS('United Data'!$A$3:$A$3390,F$1,'United Data'!$C$3:$C$3390,$A1667,'United Data'!$B$3:$B$3390,"&lt;&gt;Off-street")&gt;0,1,0)</f>
        <v>0</v>
      </c>
      <c r="G1667">
        <f>IF(COUNTIFS('United Data'!$A$3:$A$3390,G$1,'United Data'!$C$3:$C$3390,$A1667,'United Data'!$B$3:$B$3390,"&lt;&gt;Off-street")&gt;0,1,0)</f>
        <v>0</v>
      </c>
      <c r="H1667">
        <f>IF(COUNTIFS('United Data'!$A$3:$A$3390,H$1,'United Data'!$C$3:$C$3390,$A1667,'United Data'!$B$3:$B$3390,"&lt;&gt;Off-street")&gt;0,1,0)</f>
        <v>0</v>
      </c>
      <c r="I1667">
        <f>IF(COUNTIFS('United Data'!$A$3:$A$3390,I$1,'United Data'!$C$3:$C$3390,$A1667,'United Data'!$B$3:$B$3390,"&lt;&gt;Off-street")&gt;0,1,0)</f>
        <v>0</v>
      </c>
      <c r="J1667">
        <f>IF(COUNTIFS('United Data'!$A$3:$A$3390,J$1,'United Data'!$C$3:$C$3390,$A1667,'United Data'!$B$3:$B$3390,"&lt;&gt;Off-street")&gt;0,1,0)</f>
        <v>0</v>
      </c>
      <c r="K1667">
        <f>IF(COUNTIFS('United Data'!$A$3:$A$3390,K$1,'United Data'!$C$3:$C$3390,$A1667,'United Data'!$B$3:$B$3390,"&lt;&gt;Off-street")&gt;0,1,0)</f>
        <v>0</v>
      </c>
      <c r="L1667">
        <f>IF(COUNTIFS('United Data'!$A$3:$A$3390,L$1,'United Data'!$C$3:$C$3390,$A1667,'United Data'!$B$3:$B$3390,"&lt;&gt;Off-street")&gt;0,1,0)</f>
        <v>0</v>
      </c>
      <c r="M1667">
        <f>IF(COUNTIFS('United Data'!$A$3:$A$3390,M$1,'United Data'!$C$3:$C$3390,$A1667,'United Data'!$B$3:$B$3390,"&lt;&gt;Off-street")&gt;0,1,0)</f>
        <v>0</v>
      </c>
      <c r="N1667">
        <f>IF(COUNTIFS('United Data'!$A$3:$A$3390,N$1,'United Data'!$C$3:$C$3390,$A1667,'United Data'!$B$3:$B$3390,"&lt;&gt;Off-street")&gt;0,1,0)</f>
        <v>0</v>
      </c>
      <c r="O1667">
        <f>IF(COUNTIFS('United Data'!$A$3:$A$3390,O$1,'United Data'!$C$3:$C$3390,$A1667,'United Data'!$B$3:$B$3390,"&lt;&gt;Off-street")&gt;0,1,0)</f>
        <v>1</v>
      </c>
      <c r="P1667">
        <f>IF(COUNTIFS('United Data'!$A$3:$A$3390,P$1,'United Data'!$C$3:$C$3390,$A1667,'United Data'!$B$3:$B$3390,"&lt;&gt;Off-street")&gt;0,1,0)</f>
        <v>0</v>
      </c>
      <c r="Q1667">
        <f>IF(COUNTIFS('United Data'!$A$3:$A$3390,Q$1,'United Data'!$C$3:$C$3390,$A1667,'United Data'!$B$3:$B$3390,"&lt;&gt;Off-street")&gt;0,1,0)</f>
        <v>0</v>
      </c>
      <c r="R1667">
        <f>IF(COUNTIFS('United Data'!$A$3:$A$3390,R$1,'United Data'!$C$3:$C$3390,$A1667,'United Data'!$B$3:$B$3390,"&lt;&gt;Off-street")&gt;0,1,0)</f>
        <v>0</v>
      </c>
      <c r="S1667">
        <f t="shared" si="52"/>
        <v>1</v>
      </c>
      <c r="T1667">
        <f t="shared" si="53"/>
        <v>1</v>
      </c>
    </row>
    <row r="1668" spans="1:20" x14ac:dyDescent="0.2">
      <c r="A1668" t="s">
        <v>1955</v>
      </c>
      <c r="B1668">
        <f>IF(COUNTIFS('United Data'!$A$3:$A$3390,B$1,'United Data'!$C$3:$C$3390,$A1668,'United Data'!$B$3:$B$3390,"&lt;&gt;Off-street")&gt;0,1,0)</f>
        <v>0</v>
      </c>
      <c r="C1668">
        <f>IF(COUNTIFS('United Data'!$A$3:$A$3390,C$1,'United Data'!$C$3:$C$3390,$A1668,'United Data'!$B$3:$B$3390,"&lt;&gt;Off-street")&gt;0,1,0)</f>
        <v>0</v>
      </c>
      <c r="D1668">
        <f>IF(COUNTIFS('United Data'!$A$3:$A$3390,D$1,'United Data'!$C$3:$C$3390,$A1668,'United Data'!$B$3:$B$3390,"&lt;&gt;Off-street")&gt;0,1,0)</f>
        <v>0</v>
      </c>
      <c r="E1668">
        <f>IF(COUNTIFS('United Data'!$A$3:$A$3390,E$1,'United Data'!$C$3:$C$3390,$A1668,'United Data'!$B$3:$B$3390,"&lt;&gt;Off-street")&gt;0,1,0)</f>
        <v>0</v>
      </c>
      <c r="F1668">
        <f>IF(COUNTIFS('United Data'!$A$3:$A$3390,F$1,'United Data'!$C$3:$C$3390,$A1668,'United Data'!$B$3:$B$3390,"&lt;&gt;Off-street")&gt;0,1,0)</f>
        <v>0</v>
      </c>
      <c r="G1668">
        <f>IF(COUNTIFS('United Data'!$A$3:$A$3390,G$1,'United Data'!$C$3:$C$3390,$A1668,'United Data'!$B$3:$B$3390,"&lt;&gt;Off-street")&gt;0,1,0)</f>
        <v>0</v>
      </c>
      <c r="H1668">
        <f>IF(COUNTIFS('United Data'!$A$3:$A$3390,H$1,'United Data'!$C$3:$C$3390,$A1668,'United Data'!$B$3:$B$3390,"&lt;&gt;Off-street")&gt;0,1,0)</f>
        <v>0</v>
      </c>
      <c r="I1668">
        <f>IF(COUNTIFS('United Data'!$A$3:$A$3390,I$1,'United Data'!$C$3:$C$3390,$A1668,'United Data'!$B$3:$B$3390,"&lt;&gt;Off-street")&gt;0,1,0)</f>
        <v>0</v>
      </c>
      <c r="J1668">
        <f>IF(COUNTIFS('United Data'!$A$3:$A$3390,J$1,'United Data'!$C$3:$C$3390,$A1668,'United Data'!$B$3:$B$3390,"&lt;&gt;Off-street")&gt;0,1,0)</f>
        <v>0</v>
      </c>
      <c r="K1668">
        <f>IF(COUNTIFS('United Data'!$A$3:$A$3390,K$1,'United Data'!$C$3:$C$3390,$A1668,'United Data'!$B$3:$B$3390,"&lt;&gt;Off-street")&gt;0,1,0)</f>
        <v>0</v>
      </c>
      <c r="L1668">
        <f>IF(COUNTIFS('United Data'!$A$3:$A$3390,L$1,'United Data'!$C$3:$C$3390,$A1668,'United Data'!$B$3:$B$3390,"&lt;&gt;Off-street")&gt;0,1,0)</f>
        <v>0</v>
      </c>
      <c r="M1668">
        <f>IF(COUNTIFS('United Data'!$A$3:$A$3390,M$1,'United Data'!$C$3:$C$3390,$A1668,'United Data'!$B$3:$B$3390,"&lt;&gt;Off-street")&gt;0,1,0)</f>
        <v>0</v>
      </c>
      <c r="N1668">
        <f>IF(COUNTIFS('United Data'!$A$3:$A$3390,N$1,'United Data'!$C$3:$C$3390,$A1668,'United Data'!$B$3:$B$3390,"&lt;&gt;Off-street")&gt;0,1,0)</f>
        <v>0</v>
      </c>
      <c r="O1668">
        <f>IF(COUNTIFS('United Data'!$A$3:$A$3390,O$1,'United Data'!$C$3:$C$3390,$A1668,'United Data'!$B$3:$B$3390,"&lt;&gt;Off-street")&gt;0,1,0)</f>
        <v>1</v>
      </c>
      <c r="P1668">
        <f>IF(COUNTIFS('United Data'!$A$3:$A$3390,P$1,'United Data'!$C$3:$C$3390,$A1668,'United Data'!$B$3:$B$3390,"&lt;&gt;Off-street")&gt;0,1,0)</f>
        <v>0</v>
      </c>
      <c r="Q1668">
        <f>IF(COUNTIFS('United Data'!$A$3:$A$3390,Q$1,'United Data'!$C$3:$C$3390,$A1668,'United Data'!$B$3:$B$3390,"&lt;&gt;Off-street")&gt;0,1,0)</f>
        <v>1</v>
      </c>
      <c r="R1668">
        <f>IF(COUNTIFS('United Data'!$A$3:$A$3390,R$1,'United Data'!$C$3:$C$3390,$A1668,'United Data'!$B$3:$B$3390,"&lt;&gt;Off-street")&gt;0,1,0)</f>
        <v>0</v>
      </c>
      <c r="S1668">
        <f t="shared" si="52"/>
        <v>2</v>
      </c>
      <c r="T1668">
        <f t="shared" si="53"/>
        <v>2</v>
      </c>
    </row>
    <row r="1669" spans="1:20" x14ac:dyDescent="0.2">
      <c r="A1669" t="s">
        <v>1956</v>
      </c>
      <c r="B1669">
        <f>IF(COUNTIFS('United Data'!$A$3:$A$3390,B$1,'United Data'!$C$3:$C$3390,$A1669,'United Data'!$B$3:$B$3390,"&lt;&gt;Off-street")&gt;0,1,0)</f>
        <v>0</v>
      </c>
      <c r="C1669">
        <f>IF(COUNTIFS('United Data'!$A$3:$A$3390,C$1,'United Data'!$C$3:$C$3390,$A1669,'United Data'!$B$3:$B$3390,"&lt;&gt;Off-street")&gt;0,1,0)</f>
        <v>0</v>
      </c>
      <c r="D1669">
        <f>IF(COUNTIFS('United Data'!$A$3:$A$3390,D$1,'United Data'!$C$3:$C$3390,$A1669,'United Data'!$B$3:$B$3390,"&lt;&gt;Off-street")&gt;0,1,0)</f>
        <v>0</v>
      </c>
      <c r="E1669">
        <f>IF(COUNTIFS('United Data'!$A$3:$A$3390,E$1,'United Data'!$C$3:$C$3390,$A1669,'United Data'!$B$3:$B$3390,"&lt;&gt;Off-street")&gt;0,1,0)</f>
        <v>0</v>
      </c>
      <c r="F1669">
        <f>IF(COUNTIFS('United Data'!$A$3:$A$3390,F$1,'United Data'!$C$3:$C$3390,$A1669,'United Data'!$B$3:$B$3390,"&lt;&gt;Off-street")&gt;0,1,0)</f>
        <v>0</v>
      </c>
      <c r="G1669">
        <f>IF(COUNTIFS('United Data'!$A$3:$A$3390,G$1,'United Data'!$C$3:$C$3390,$A1669,'United Data'!$B$3:$B$3390,"&lt;&gt;Off-street")&gt;0,1,0)</f>
        <v>0</v>
      </c>
      <c r="H1669">
        <f>IF(COUNTIFS('United Data'!$A$3:$A$3390,H$1,'United Data'!$C$3:$C$3390,$A1669,'United Data'!$B$3:$B$3390,"&lt;&gt;Off-street")&gt;0,1,0)</f>
        <v>0</v>
      </c>
      <c r="I1669">
        <f>IF(COUNTIFS('United Data'!$A$3:$A$3390,I$1,'United Data'!$C$3:$C$3390,$A1669,'United Data'!$B$3:$B$3390,"&lt;&gt;Off-street")&gt;0,1,0)</f>
        <v>0</v>
      </c>
      <c r="J1669">
        <f>IF(COUNTIFS('United Data'!$A$3:$A$3390,J$1,'United Data'!$C$3:$C$3390,$A1669,'United Data'!$B$3:$B$3390,"&lt;&gt;Off-street")&gt;0,1,0)</f>
        <v>0</v>
      </c>
      <c r="K1669">
        <f>IF(COUNTIFS('United Data'!$A$3:$A$3390,K$1,'United Data'!$C$3:$C$3390,$A1669,'United Data'!$B$3:$B$3390,"&lt;&gt;Off-street")&gt;0,1,0)</f>
        <v>0</v>
      </c>
      <c r="L1669">
        <f>IF(COUNTIFS('United Data'!$A$3:$A$3390,L$1,'United Data'!$C$3:$C$3390,$A1669,'United Data'!$B$3:$B$3390,"&lt;&gt;Off-street")&gt;0,1,0)</f>
        <v>0</v>
      </c>
      <c r="M1669">
        <f>IF(COUNTIFS('United Data'!$A$3:$A$3390,M$1,'United Data'!$C$3:$C$3390,$A1669,'United Data'!$B$3:$B$3390,"&lt;&gt;Off-street")&gt;0,1,0)</f>
        <v>0</v>
      </c>
      <c r="N1669">
        <f>IF(COUNTIFS('United Data'!$A$3:$A$3390,N$1,'United Data'!$C$3:$C$3390,$A1669,'United Data'!$B$3:$B$3390,"&lt;&gt;Off-street")&gt;0,1,0)</f>
        <v>0</v>
      </c>
      <c r="O1669">
        <f>IF(COUNTIFS('United Data'!$A$3:$A$3390,O$1,'United Data'!$C$3:$C$3390,$A1669,'United Data'!$B$3:$B$3390,"&lt;&gt;Off-street")&gt;0,1,0)</f>
        <v>1</v>
      </c>
      <c r="P1669">
        <f>IF(COUNTIFS('United Data'!$A$3:$A$3390,P$1,'United Data'!$C$3:$C$3390,$A1669,'United Data'!$B$3:$B$3390,"&lt;&gt;Off-street")&gt;0,1,0)</f>
        <v>0</v>
      </c>
      <c r="Q1669">
        <f>IF(COUNTIFS('United Data'!$A$3:$A$3390,Q$1,'United Data'!$C$3:$C$3390,$A1669,'United Data'!$B$3:$B$3390,"&lt;&gt;Off-street")&gt;0,1,0)</f>
        <v>0</v>
      </c>
      <c r="R1669">
        <f>IF(COUNTIFS('United Data'!$A$3:$A$3390,R$1,'United Data'!$C$3:$C$3390,$A1669,'United Data'!$B$3:$B$3390,"&lt;&gt;Off-street")&gt;0,1,0)</f>
        <v>0</v>
      </c>
      <c r="S1669">
        <f t="shared" si="52"/>
        <v>1</v>
      </c>
      <c r="T1669">
        <f t="shared" si="53"/>
        <v>1</v>
      </c>
    </row>
    <row r="1670" spans="1:20" x14ac:dyDescent="0.2">
      <c r="A1670" t="s">
        <v>1957</v>
      </c>
      <c r="B1670">
        <f>IF(COUNTIFS('United Data'!$A$3:$A$3390,B$1,'United Data'!$C$3:$C$3390,$A1670,'United Data'!$B$3:$B$3390,"&lt;&gt;Off-street")&gt;0,1,0)</f>
        <v>0</v>
      </c>
      <c r="C1670">
        <f>IF(COUNTIFS('United Data'!$A$3:$A$3390,C$1,'United Data'!$C$3:$C$3390,$A1670,'United Data'!$B$3:$B$3390,"&lt;&gt;Off-street")&gt;0,1,0)</f>
        <v>0</v>
      </c>
      <c r="D1670">
        <f>IF(COUNTIFS('United Data'!$A$3:$A$3390,D$1,'United Data'!$C$3:$C$3390,$A1670,'United Data'!$B$3:$B$3390,"&lt;&gt;Off-street")&gt;0,1,0)</f>
        <v>0</v>
      </c>
      <c r="E1670">
        <f>IF(COUNTIFS('United Data'!$A$3:$A$3390,E$1,'United Data'!$C$3:$C$3390,$A1670,'United Data'!$B$3:$B$3390,"&lt;&gt;Off-street")&gt;0,1,0)</f>
        <v>0</v>
      </c>
      <c r="F1670">
        <f>IF(COUNTIFS('United Data'!$A$3:$A$3390,F$1,'United Data'!$C$3:$C$3390,$A1670,'United Data'!$B$3:$B$3390,"&lt;&gt;Off-street")&gt;0,1,0)</f>
        <v>0</v>
      </c>
      <c r="G1670">
        <f>IF(COUNTIFS('United Data'!$A$3:$A$3390,G$1,'United Data'!$C$3:$C$3390,$A1670,'United Data'!$B$3:$B$3390,"&lt;&gt;Off-street")&gt;0,1,0)</f>
        <v>0</v>
      </c>
      <c r="H1670">
        <f>IF(COUNTIFS('United Data'!$A$3:$A$3390,H$1,'United Data'!$C$3:$C$3390,$A1670,'United Data'!$B$3:$B$3390,"&lt;&gt;Off-street")&gt;0,1,0)</f>
        <v>0</v>
      </c>
      <c r="I1670">
        <f>IF(COUNTIFS('United Data'!$A$3:$A$3390,I$1,'United Data'!$C$3:$C$3390,$A1670,'United Data'!$B$3:$B$3390,"&lt;&gt;Off-street")&gt;0,1,0)</f>
        <v>0</v>
      </c>
      <c r="J1670">
        <f>IF(COUNTIFS('United Data'!$A$3:$A$3390,J$1,'United Data'!$C$3:$C$3390,$A1670,'United Data'!$B$3:$B$3390,"&lt;&gt;Off-street")&gt;0,1,0)</f>
        <v>0</v>
      </c>
      <c r="K1670">
        <f>IF(COUNTIFS('United Data'!$A$3:$A$3390,K$1,'United Data'!$C$3:$C$3390,$A1670,'United Data'!$B$3:$B$3390,"&lt;&gt;Off-street")&gt;0,1,0)</f>
        <v>0</v>
      </c>
      <c r="L1670">
        <f>IF(COUNTIFS('United Data'!$A$3:$A$3390,L$1,'United Data'!$C$3:$C$3390,$A1670,'United Data'!$B$3:$B$3390,"&lt;&gt;Off-street")&gt;0,1,0)</f>
        <v>0</v>
      </c>
      <c r="M1670">
        <f>IF(COUNTIFS('United Data'!$A$3:$A$3390,M$1,'United Data'!$C$3:$C$3390,$A1670,'United Data'!$B$3:$B$3390,"&lt;&gt;Off-street")&gt;0,1,0)</f>
        <v>0</v>
      </c>
      <c r="N1670">
        <f>IF(COUNTIFS('United Data'!$A$3:$A$3390,N$1,'United Data'!$C$3:$C$3390,$A1670,'United Data'!$B$3:$B$3390,"&lt;&gt;Off-street")&gt;0,1,0)</f>
        <v>0</v>
      </c>
      <c r="O1670">
        <f>IF(COUNTIFS('United Data'!$A$3:$A$3390,O$1,'United Data'!$C$3:$C$3390,$A1670,'United Data'!$B$3:$B$3390,"&lt;&gt;Off-street")&gt;0,1,0)</f>
        <v>1</v>
      </c>
      <c r="P1670">
        <f>IF(COUNTIFS('United Data'!$A$3:$A$3390,P$1,'United Data'!$C$3:$C$3390,$A1670,'United Data'!$B$3:$B$3390,"&lt;&gt;Off-street")&gt;0,1,0)</f>
        <v>1</v>
      </c>
      <c r="Q1670">
        <f>IF(COUNTIFS('United Data'!$A$3:$A$3390,Q$1,'United Data'!$C$3:$C$3390,$A1670,'United Data'!$B$3:$B$3390,"&lt;&gt;Off-street")&gt;0,1,0)</f>
        <v>0</v>
      </c>
      <c r="R1670">
        <f>IF(COUNTIFS('United Data'!$A$3:$A$3390,R$1,'United Data'!$C$3:$C$3390,$A1670,'United Data'!$B$3:$B$3390,"&lt;&gt;Off-street")&gt;0,1,0)</f>
        <v>0</v>
      </c>
      <c r="S1670">
        <f t="shared" si="52"/>
        <v>2</v>
      </c>
      <c r="T1670">
        <f t="shared" si="53"/>
        <v>1</v>
      </c>
    </row>
    <row r="1671" spans="1:20" x14ac:dyDescent="0.2">
      <c r="A1671" t="s">
        <v>1958</v>
      </c>
      <c r="B1671">
        <f>IF(COUNTIFS('United Data'!$A$3:$A$3390,B$1,'United Data'!$C$3:$C$3390,$A1671,'United Data'!$B$3:$B$3390,"&lt;&gt;Off-street")&gt;0,1,0)</f>
        <v>0</v>
      </c>
      <c r="C1671">
        <f>IF(COUNTIFS('United Data'!$A$3:$A$3390,C$1,'United Data'!$C$3:$C$3390,$A1671,'United Data'!$B$3:$B$3390,"&lt;&gt;Off-street")&gt;0,1,0)</f>
        <v>0</v>
      </c>
      <c r="D1671">
        <f>IF(COUNTIFS('United Data'!$A$3:$A$3390,D$1,'United Data'!$C$3:$C$3390,$A1671,'United Data'!$B$3:$B$3390,"&lt;&gt;Off-street")&gt;0,1,0)</f>
        <v>0</v>
      </c>
      <c r="E1671">
        <f>IF(COUNTIFS('United Data'!$A$3:$A$3390,E$1,'United Data'!$C$3:$C$3390,$A1671,'United Data'!$B$3:$B$3390,"&lt;&gt;Off-street")&gt;0,1,0)</f>
        <v>0</v>
      </c>
      <c r="F1671">
        <f>IF(COUNTIFS('United Data'!$A$3:$A$3390,F$1,'United Data'!$C$3:$C$3390,$A1671,'United Data'!$B$3:$B$3390,"&lt;&gt;Off-street")&gt;0,1,0)</f>
        <v>0</v>
      </c>
      <c r="G1671">
        <f>IF(COUNTIFS('United Data'!$A$3:$A$3390,G$1,'United Data'!$C$3:$C$3390,$A1671,'United Data'!$B$3:$B$3390,"&lt;&gt;Off-street")&gt;0,1,0)</f>
        <v>0</v>
      </c>
      <c r="H1671">
        <f>IF(COUNTIFS('United Data'!$A$3:$A$3390,H$1,'United Data'!$C$3:$C$3390,$A1671,'United Data'!$B$3:$B$3390,"&lt;&gt;Off-street")&gt;0,1,0)</f>
        <v>0</v>
      </c>
      <c r="I1671">
        <f>IF(COUNTIFS('United Data'!$A$3:$A$3390,I$1,'United Data'!$C$3:$C$3390,$A1671,'United Data'!$B$3:$B$3390,"&lt;&gt;Off-street")&gt;0,1,0)</f>
        <v>0</v>
      </c>
      <c r="J1671">
        <f>IF(COUNTIFS('United Data'!$A$3:$A$3390,J$1,'United Data'!$C$3:$C$3390,$A1671,'United Data'!$B$3:$B$3390,"&lt;&gt;Off-street")&gt;0,1,0)</f>
        <v>0</v>
      </c>
      <c r="K1671">
        <f>IF(COUNTIFS('United Data'!$A$3:$A$3390,K$1,'United Data'!$C$3:$C$3390,$A1671,'United Data'!$B$3:$B$3390,"&lt;&gt;Off-street")&gt;0,1,0)</f>
        <v>0</v>
      </c>
      <c r="L1671">
        <f>IF(COUNTIFS('United Data'!$A$3:$A$3390,L$1,'United Data'!$C$3:$C$3390,$A1671,'United Data'!$B$3:$B$3390,"&lt;&gt;Off-street")&gt;0,1,0)</f>
        <v>0</v>
      </c>
      <c r="M1671">
        <f>IF(COUNTIFS('United Data'!$A$3:$A$3390,M$1,'United Data'!$C$3:$C$3390,$A1671,'United Data'!$B$3:$B$3390,"&lt;&gt;Off-street")&gt;0,1,0)</f>
        <v>0</v>
      </c>
      <c r="N1671">
        <f>IF(COUNTIFS('United Data'!$A$3:$A$3390,N$1,'United Data'!$C$3:$C$3390,$A1671,'United Data'!$B$3:$B$3390,"&lt;&gt;Off-street")&gt;0,1,0)</f>
        <v>0</v>
      </c>
      <c r="O1671">
        <f>IF(COUNTIFS('United Data'!$A$3:$A$3390,O$1,'United Data'!$C$3:$C$3390,$A1671,'United Data'!$B$3:$B$3390,"&lt;&gt;Off-street")&gt;0,1,0)</f>
        <v>0</v>
      </c>
      <c r="P1671">
        <f>IF(COUNTIFS('United Data'!$A$3:$A$3390,P$1,'United Data'!$C$3:$C$3390,$A1671,'United Data'!$B$3:$B$3390,"&lt;&gt;Off-street")&gt;0,1,0)</f>
        <v>1</v>
      </c>
      <c r="Q1671">
        <f>IF(COUNTIFS('United Data'!$A$3:$A$3390,Q$1,'United Data'!$C$3:$C$3390,$A1671,'United Data'!$B$3:$B$3390,"&lt;&gt;Off-street")&gt;0,1,0)</f>
        <v>0</v>
      </c>
      <c r="R1671">
        <f>IF(COUNTIFS('United Data'!$A$3:$A$3390,R$1,'United Data'!$C$3:$C$3390,$A1671,'United Data'!$B$3:$B$3390,"&lt;&gt;Off-street")&gt;0,1,0)</f>
        <v>0</v>
      </c>
      <c r="S1671">
        <f t="shared" si="52"/>
        <v>1</v>
      </c>
      <c r="T1671">
        <f t="shared" si="53"/>
        <v>1</v>
      </c>
    </row>
    <row r="1672" spans="1:20" x14ac:dyDescent="0.2">
      <c r="A1672" t="s">
        <v>1960</v>
      </c>
      <c r="B1672">
        <f>IF(COUNTIFS('United Data'!$A$3:$A$3390,B$1,'United Data'!$C$3:$C$3390,$A1672,'United Data'!$B$3:$B$3390,"&lt;&gt;Off-street")&gt;0,1,0)</f>
        <v>0</v>
      </c>
      <c r="C1672">
        <f>IF(COUNTIFS('United Data'!$A$3:$A$3390,C$1,'United Data'!$C$3:$C$3390,$A1672,'United Data'!$B$3:$B$3390,"&lt;&gt;Off-street")&gt;0,1,0)</f>
        <v>0</v>
      </c>
      <c r="D1672">
        <f>IF(COUNTIFS('United Data'!$A$3:$A$3390,D$1,'United Data'!$C$3:$C$3390,$A1672,'United Data'!$B$3:$B$3390,"&lt;&gt;Off-street")&gt;0,1,0)</f>
        <v>0</v>
      </c>
      <c r="E1672">
        <f>IF(COUNTIFS('United Data'!$A$3:$A$3390,E$1,'United Data'!$C$3:$C$3390,$A1672,'United Data'!$B$3:$B$3390,"&lt;&gt;Off-street")&gt;0,1,0)</f>
        <v>0</v>
      </c>
      <c r="F1672">
        <f>IF(COUNTIFS('United Data'!$A$3:$A$3390,F$1,'United Data'!$C$3:$C$3390,$A1672,'United Data'!$B$3:$B$3390,"&lt;&gt;Off-street")&gt;0,1,0)</f>
        <v>0</v>
      </c>
      <c r="G1672">
        <f>IF(COUNTIFS('United Data'!$A$3:$A$3390,G$1,'United Data'!$C$3:$C$3390,$A1672,'United Data'!$B$3:$B$3390,"&lt;&gt;Off-street")&gt;0,1,0)</f>
        <v>0</v>
      </c>
      <c r="H1672">
        <f>IF(COUNTIFS('United Data'!$A$3:$A$3390,H$1,'United Data'!$C$3:$C$3390,$A1672,'United Data'!$B$3:$B$3390,"&lt;&gt;Off-street")&gt;0,1,0)</f>
        <v>0</v>
      </c>
      <c r="I1672">
        <f>IF(COUNTIFS('United Data'!$A$3:$A$3390,I$1,'United Data'!$C$3:$C$3390,$A1672,'United Data'!$B$3:$B$3390,"&lt;&gt;Off-street")&gt;0,1,0)</f>
        <v>0</v>
      </c>
      <c r="J1672">
        <f>IF(COUNTIFS('United Data'!$A$3:$A$3390,J$1,'United Data'!$C$3:$C$3390,$A1672,'United Data'!$B$3:$B$3390,"&lt;&gt;Off-street")&gt;0,1,0)</f>
        <v>0</v>
      </c>
      <c r="K1672">
        <f>IF(COUNTIFS('United Data'!$A$3:$A$3390,K$1,'United Data'!$C$3:$C$3390,$A1672,'United Data'!$B$3:$B$3390,"&lt;&gt;Off-street")&gt;0,1,0)</f>
        <v>0</v>
      </c>
      <c r="L1672">
        <f>IF(COUNTIFS('United Data'!$A$3:$A$3390,L$1,'United Data'!$C$3:$C$3390,$A1672,'United Data'!$B$3:$B$3390,"&lt;&gt;Off-street")&gt;0,1,0)</f>
        <v>0</v>
      </c>
      <c r="M1672">
        <f>IF(COUNTIFS('United Data'!$A$3:$A$3390,M$1,'United Data'!$C$3:$C$3390,$A1672,'United Data'!$B$3:$B$3390,"&lt;&gt;Off-street")&gt;0,1,0)</f>
        <v>0</v>
      </c>
      <c r="N1672">
        <f>IF(COUNTIFS('United Data'!$A$3:$A$3390,N$1,'United Data'!$C$3:$C$3390,$A1672,'United Data'!$B$3:$B$3390,"&lt;&gt;Off-street")&gt;0,1,0)</f>
        <v>0</v>
      </c>
      <c r="O1672">
        <f>IF(COUNTIFS('United Data'!$A$3:$A$3390,O$1,'United Data'!$C$3:$C$3390,$A1672,'United Data'!$B$3:$B$3390,"&lt;&gt;Off-street")&gt;0,1,0)</f>
        <v>0</v>
      </c>
      <c r="P1672">
        <f>IF(COUNTIFS('United Data'!$A$3:$A$3390,P$1,'United Data'!$C$3:$C$3390,$A1672,'United Data'!$B$3:$B$3390,"&lt;&gt;Off-street")&gt;0,1,0)</f>
        <v>1</v>
      </c>
      <c r="Q1672">
        <f>IF(COUNTIFS('United Data'!$A$3:$A$3390,Q$1,'United Data'!$C$3:$C$3390,$A1672,'United Data'!$B$3:$B$3390,"&lt;&gt;Off-street")&gt;0,1,0)</f>
        <v>0</v>
      </c>
      <c r="R1672">
        <f>IF(COUNTIFS('United Data'!$A$3:$A$3390,R$1,'United Data'!$C$3:$C$3390,$A1672,'United Data'!$B$3:$B$3390,"&lt;&gt;Off-street")&gt;0,1,0)</f>
        <v>0</v>
      </c>
      <c r="S1672">
        <f t="shared" si="52"/>
        <v>1</v>
      </c>
      <c r="T1672">
        <f t="shared" si="53"/>
        <v>1</v>
      </c>
    </row>
    <row r="1673" spans="1:20" x14ac:dyDescent="0.2">
      <c r="A1673" t="s">
        <v>1961</v>
      </c>
      <c r="B1673">
        <f>IF(COUNTIFS('United Data'!$A$3:$A$3390,B$1,'United Data'!$C$3:$C$3390,$A1673,'United Data'!$B$3:$B$3390,"&lt;&gt;Off-street")&gt;0,1,0)</f>
        <v>0</v>
      </c>
      <c r="C1673">
        <f>IF(COUNTIFS('United Data'!$A$3:$A$3390,C$1,'United Data'!$C$3:$C$3390,$A1673,'United Data'!$B$3:$B$3390,"&lt;&gt;Off-street")&gt;0,1,0)</f>
        <v>0</v>
      </c>
      <c r="D1673">
        <f>IF(COUNTIFS('United Data'!$A$3:$A$3390,D$1,'United Data'!$C$3:$C$3390,$A1673,'United Data'!$B$3:$B$3390,"&lt;&gt;Off-street")&gt;0,1,0)</f>
        <v>0</v>
      </c>
      <c r="E1673">
        <f>IF(COUNTIFS('United Data'!$A$3:$A$3390,E$1,'United Data'!$C$3:$C$3390,$A1673,'United Data'!$B$3:$B$3390,"&lt;&gt;Off-street")&gt;0,1,0)</f>
        <v>0</v>
      </c>
      <c r="F1673">
        <f>IF(COUNTIFS('United Data'!$A$3:$A$3390,F$1,'United Data'!$C$3:$C$3390,$A1673,'United Data'!$B$3:$B$3390,"&lt;&gt;Off-street")&gt;0,1,0)</f>
        <v>0</v>
      </c>
      <c r="G1673">
        <f>IF(COUNTIFS('United Data'!$A$3:$A$3390,G$1,'United Data'!$C$3:$C$3390,$A1673,'United Data'!$B$3:$B$3390,"&lt;&gt;Off-street")&gt;0,1,0)</f>
        <v>0</v>
      </c>
      <c r="H1673">
        <f>IF(COUNTIFS('United Data'!$A$3:$A$3390,H$1,'United Data'!$C$3:$C$3390,$A1673,'United Data'!$B$3:$B$3390,"&lt;&gt;Off-street")&gt;0,1,0)</f>
        <v>0</v>
      </c>
      <c r="I1673">
        <f>IF(COUNTIFS('United Data'!$A$3:$A$3390,I$1,'United Data'!$C$3:$C$3390,$A1673,'United Data'!$B$3:$B$3390,"&lt;&gt;Off-street")&gt;0,1,0)</f>
        <v>0</v>
      </c>
      <c r="J1673">
        <f>IF(COUNTIFS('United Data'!$A$3:$A$3390,J$1,'United Data'!$C$3:$C$3390,$A1673,'United Data'!$B$3:$B$3390,"&lt;&gt;Off-street")&gt;0,1,0)</f>
        <v>0</v>
      </c>
      <c r="K1673">
        <f>IF(COUNTIFS('United Data'!$A$3:$A$3390,K$1,'United Data'!$C$3:$C$3390,$A1673,'United Data'!$B$3:$B$3390,"&lt;&gt;Off-street")&gt;0,1,0)</f>
        <v>0</v>
      </c>
      <c r="L1673">
        <f>IF(COUNTIFS('United Data'!$A$3:$A$3390,L$1,'United Data'!$C$3:$C$3390,$A1673,'United Data'!$B$3:$B$3390,"&lt;&gt;Off-street")&gt;0,1,0)</f>
        <v>0</v>
      </c>
      <c r="M1673">
        <f>IF(COUNTIFS('United Data'!$A$3:$A$3390,M$1,'United Data'!$C$3:$C$3390,$A1673,'United Data'!$B$3:$B$3390,"&lt;&gt;Off-street")&gt;0,1,0)</f>
        <v>0</v>
      </c>
      <c r="N1673">
        <f>IF(COUNTIFS('United Data'!$A$3:$A$3390,N$1,'United Data'!$C$3:$C$3390,$A1673,'United Data'!$B$3:$B$3390,"&lt;&gt;Off-street")&gt;0,1,0)</f>
        <v>0</v>
      </c>
      <c r="O1673">
        <f>IF(COUNTIFS('United Data'!$A$3:$A$3390,O$1,'United Data'!$C$3:$C$3390,$A1673,'United Data'!$B$3:$B$3390,"&lt;&gt;Off-street")&gt;0,1,0)</f>
        <v>0</v>
      </c>
      <c r="P1673">
        <f>IF(COUNTIFS('United Data'!$A$3:$A$3390,P$1,'United Data'!$C$3:$C$3390,$A1673,'United Data'!$B$3:$B$3390,"&lt;&gt;Off-street")&gt;0,1,0)</f>
        <v>0</v>
      </c>
      <c r="Q1673">
        <f>IF(COUNTIFS('United Data'!$A$3:$A$3390,Q$1,'United Data'!$C$3:$C$3390,$A1673,'United Data'!$B$3:$B$3390,"&lt;&gt;Off-street")&gt;0,1,0)</f>
        <v>1</v>
      </c>
      <c r="R1673">
        <f>IF(COUNTIFS('United Data'!$A$3:$A$3390,R$1,'United Data'!$C$3:$C$3390,$A1673,'United Data'!$B$3:$B$3390,"&lt;&gt;Off-street")&gt;0,1,0)</f>
        <v>0</v>
      </c>
      <c r="S1673">
        <f t="shared" si="52"/>
        <v>1</v>
      </c>
      <c r="T1673">
        <f t="shared" si="53"/>
        <v>1</v>
      </c>
    </row>
    <row r="1674" spans="1:20" x14ac:dyDescent="0.2">
      <c r="A1674" t="s">
        <v>1962</v>
      </c>
      <c r="B1674">
        <f>IF(COUNTIFS('United Data'!$A$3:$A$3390,B$1,'United Data'!$C$3:$C$3390,$A1674,'United Data'!$B$3:$B$3390,"&lt;&gt;Off-street")&gt;0,1,0)</f>
        <v>0</v>
      </c>
      <c r="C1674">
        <f>IF(COUNTIFS('United Data'!$A$3:$A$3390,C$1,'United Data'!$C$3:$C$3390,$A1674,'United Data'!$B$3:$B$3390,"&lt;&gt;Off-street")&gt;0,1,0)</f>
        <v>0</v>
      </c>
      <c r="D1674">
        <f>IF(COUNTIFS('United Data'!$A$3:$A$3390,D$1,'United Data'!$C$3:$C$3390,$A1674,'United Data'!$B$3:$B$3390,"&lt;&gt;Off-street")&gt;0,1,0)</f>
        <v>0</v>
      </c>
      <c r="E1674">
        <f>IF(COUNTIFS('United Data'!$A$3:$A$3390,E$1,'United Data'!$C$3:$C$3390,$A1674,'United Data'!$B$3:$B$3390,"&lt;&gt;Off-street")&gt;0,1,0)</f>
        <v>0</v>
      </c>
      <c r="F1674">
        <f>IF(COUNTIFS('United Data'!$A$3:$A$3390,F$1,'United Data'!$C$3:$C$3390,$A1674,'United Data'!$B$3:$B$3390,"&lt;&gt;Off-street")&gt;0,1,0)</f>
        <v>0</v>
      </c>
      <c r="G1674">
        <f>IF(COUNTIFS('United Data'!$A$3:$A$3390,G$1,'United Data'!$C$3:$C$3390,$A1674,'United Data'!$B$3:$B$3390,"&lt;&gt;Off-street")&gt;0,1,0)</f>
        <v>0</v>
      </c>
      <c r="H1674">
        <f>IF(COUNTIFS('United Data'!$A$3:$A$3390,H$1,'United Data'!$C$3:$C$3390,$A1674,'United Data'!$B$3:$B$3390,"&lt;&gt;Off-street")&gt;0,1,0)</f>
        <v>0</v>
      </c>
      <c r="I1674">
        <f>IF(COUNTIFS('United Data'!$A$3:$A$3390,I$1,'United Data'!$C$3:$C$3390,$A1674,'United Data'!$B$3:$B$3390,"&lt;&gt;Off-street")&gt;0,1,0)</f>
        <v>0</v>
      </c>
      <c r="J1674">
        <f>IF(COUNTIFS('United Data'!$A$3:$A$3390,J$1,'United Data'!$C$3:$C$3390,$A1674,'United Data'!$B$3:$B$3390,"&lt;&gt;Off-street")&gt;0,1,0)</f>
        <v>0</v>
      </c>
      <c r="K1674">
        <f>IF(COUNTIFS('United Data'!$A$3:$A$3390,K$1,'United Data'!$C$3:$C$3390,$A1674,'United Data'!$B$3:$B$3390,"&lt;&gt;Off-street")&gt;0,1,0)</f>
        <v>0</v>
      </c>
      <c r="L1674">
        <f>IF(COUNTIFS('United Data'!$A$3:$A$3390,L$1,'United Data'!$C$3:$C$3390,$A1674,'United Data'!$B$3:$B$3390,"&lt;&gt;Off-street")&gt;0,1,0)</f>
        <v>0</v>
      </c>
      <c r="M1674">
        <f>IF(COUNTIFS('United Data'!$A$3:$A$3390,M$1,'United Data'!$C$3:$C$3390,$A1674,'United Data'!$B$3:$B$3390,"&lt;&gt;Off-street")&gt;0,1,0)</f>
        <v>0</v>
      </c>
      <c r="N1674">
        <f>IF(COUNTIFS('United Data'!$A$3:$A$3390,N$1,'United Data'!$C$3:$C$3390,$A1674,'United Data'!$B$3:$B$3390,"&lt;&gt;Off-street")&gt;0,1,0)</f>
        <v>0</v>
      </c>
      <c r="O1674">
        <f>IF(COUNTIFS('United Data'!$A$3:$A$3390,O$1,'United Data'!$C$3:$C$3390,$A1674,'United Data'!$B$3:$B$3390,"&lt;&gt;Off-street")&gt;0,1,0)</f>
        <v>0</v>
      </c>
      <c r="P1674">
        <f>IF(COUNTIFS('United Data'!$A$3:$A$3390,P$1,'United Data'!$C$3:$C$3390,$A1674,'United Data'!$B$3:$B$3390,"&lt;&gt;Off-street")&gt;0,1,0)</f>
        <v>0</v>
      </c>
      <c r="Q1674">
        <f>IF(COUNTIFS('United Data'!$A$3:$A$3390,Q$1,'United Data'!$C$3:$C$3390,$A1674,'United Data'!$B$3:$B$3390,"&lt;&gt;Off-street")&gt;0,1,0)</f>
        <v>1</v>
      </c>
      <c r="R1674">
        <f>IF(COUNTIFS('United Data'!$A$3:$A$3390,R$1,'United Data'!$C$3:$C$3390,$A1674,'United Data'!$B$3:$B$3390,"&lt;&gt;Off-street")&gt;0,1,0)</f>
        <v>0</v>
      </c>
      <c r="S1674">
        <f t="shared" si="52"/>
        <v>1</v>
      </c>
      <c r="T1674">
        <f t="shared" si="53"/>
        <v>1</v>
      </c>
    </row>
    <row r="1675" spans="1:20" x14ac:dyDescent="0.2">
      <c r="A1675" t="s">
        <v>1963</v>
      </c>
      <c r="B1675">
        <f>IF(COUNTIFS('United Data'!$A$3:$A$3390,B$1,'United Data'!$C$3:$C$3390,$A1675,'United Data'!$B$3:$B$3390,"&lt;&gt;Off-street")&gt;0,1,0)</f>
        <v>0</v>
      </c>
      <c r="C1675">
        <f>IF(COUNTIFS('United Data'!$A$3:$A$3390,C$1,'United Data'!$C$3:$C$3390,$A1675,'United Data'!$B$3:$B$3390,"&lt;&gt;Off-street")&gt;0,1,0)</f>
        <v>0</v>
      </c>
      <c r="D1675">
        <f>IF(COUNTIFS('United Data'!$A$3:$A$3390,D$1,'United Data'!$C$3:$C$3390,$A1675,'United Data'!$B$3:$B$3390,"&lt;&gt;Off-street")&gt;0,1,0)</f>
        <v>0</v>
      </c>
      <c r="E1675">
        <f>IF(COUNTIFS('United Data'!$A$3:$A$3390,E$1,'United Data'!$C$3:$C$3390,$A1675,'United Data'!$B$3:$B$3390,"&lt;&gt;Off-street")&gt;0,1,0)</f>
        <v>0</v>
      </c>
      <c r="F1675">
        <f>IF(COUNTIFS('United Data'!$A$3:$A$3390,F$1,'United Data'!$C$3:$C$3390,$A1675,'United Data'!$B$3:$B$3390,"&lt;&gt;Off-street")&gt;0,1,0)</f>
        <v>0</v>
      </c>
      <c r="G1675">
        <f>IF(COUNTIFS('United Data'!$A$3:$A$3390,G$1,'United Data'!$C$3:$C$3390,$A1675,'United Data'!$B$3:$B$3390,"&lt;&gt;Off-street")&gt;0,1,0)</f>
        <v>0</v>
      </c>
      <c r="H1675">
        <f>IF(COUNTIFS('United Data'!$A$3:$A$3390,H$1,'United Data'!$C$3:$C$3390,$A1675,'United Data'!$B$3:$B$3390,"&lt;&gt;Off-street")&gt;0,1,0)</f>
        <v>0</v>
      </c>
      <c r="I1675">
        <f>IF(COUNTIFS('United Data'!$A$3:$A$3390,I$1,'United Data'!$C$3:$C$3390,$A1675,'United Data'!$B$3:$B$3390,"&lt;&gt;Off-street")&gt;0,1,0)</f>
        <v>0</v>
      </c>
      <c r="J1675">
        <f>IF(COUNTIFS('United Data'!$A$3:$A$3390,J$1,'United Data'!$C$3:$C$3390,$A1675,'United Data'!$B$3:$B$3390,"&lt;&gt;Off-street")&gt;0,1,0)</f>
        <v>0</v>
      </c>
      <c r="K1675">
        <f>IF(COUNTIFS('United Data'!$A$3:$A$3390,K$1,'United Data'!$C$3:$C$3390,$A1675,'United Data'!$B$3:$B$3390,"&lt;&gt;Off-street")&gt;0,1,0)</f>
        <v>0</v>
      </c>
      <c r="L1675">
        <f>IF(COUNTIFS('United Data'!$A$3:$A$3390,L$1,'United Data'!$C$3:$C$3390,$A1675,'United Data'!$B$3:$B$3390,"&lt;&gt;Off-street")&gt;0,1,0)</f>
        <v>0</v>
      </c>
      <c r="M1675">
        <f>IF(COUNTIFS('United Data'!$A$3:$A$3390,M$1,'United Data'!$C$3:$C$3390,$A1675,'United Data'!$B$3:$B$3390,"&lt;&gt;Off-street")&gt;0,1,0)</f>
        <v>0</v>
      </c>
      <c r="N1675">
        <f>IF(COUNTIFS('United Data'!$A$3:$A$3390,N$1,'United Data'!$C$3:$C$3390,$A1675,'United Data'!$B$3:$B$3390,"&lt;&gt;Off-street")&gt;0,1,0)</f>
        <v>0</v>
      </c>
      <c r="O1675">
        <f>IF(COUNTIFS('United Data'!$A$3:$A$3390,O$1,'United Data'!$C$3:$C$3390,$A1675,'United Data'!$B$3:$B$3390,"&lt;&gt;Off-street")&gt;0,1,0)</f>
        <v>0</v>
      </c>
      <c r="P1675">
        <f>IF(COUNTIFS('United Data'!$A$3:$A$3390,P$1,'United Data'!$C$3:$C$3390,$A1675,'United Data'!$B$3:$B$3390,"&lt;&gt;Off-street")&gt;0,1,0)</f>
        <v>0</v>
      </c>
      <c r="Q1675">
        <f>IF(COUNTIFS('United Data'!$A$3:$A$3390,Q$1,'United Data'!$C$3:$C$3390,$A1675,'United Data'!$B$3:$B$3390,"&lt;&gt;Off-street")&gt;0,1,0)</f>
        <v>0</v>
      </c>
      <c r="R1675">
        <f>IF(COUNTIFS('United Data'!$A$3:$A$3390,R$1,'United Data'!$C$3:$C$3390,$A1675,'United Data'!$B$3:$B$3390,"&lt;&gt;Off-street")&gt;0,1,0)</f>
        <v>1</v>
      </c>
      <c r="S1675">
        <f t="shared" si="52"/>
        <v>1</v>
      </c>
      <c r="T1675">
        <f t="shared" si="53"/>
        <v>1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T71"/>
  <sheetViews>
    <sheetView workbookViewId="0"/>
  </sheetViews>
  <sheetFormatPr defaultRowHeight="12.75" x14ac:dyDescent="0.2"/>
  <sheetData>
    <row r="1" spans="1:20" ht="15" x14ac:dyDescent="0.25">
      <c r="A1" s="42" t="s">
        <v>8</v>
      </c>
      <c r="B1" s="42">
        <v>7</v>
      </c>
      <c r="C1" s="42">
        <v>8</v>
      </c>
      <c r="D1" s="42">
        <v>9</v>
      </c>
      <c r="E1" s="42">
        <v>10</v>
      </c>
      <c r="F1" s="42">
        <v>11</v>
      </c>
      <c r="G1" s="42">
        <v>12</v>
      </c>
      <c r="H1" s="42">
        <v>13</v>
      </c>
      <c r="I1" s="42">
        <v>14</v>
      </c>
      <c r="J1" s="42">
        <v>15</v>
      </c>
      <c r="K1" s="42">
        <v>16</v>
      </c>
      <c r="L1" s="42">
        <v>17</v>
      </c>
      <c r="M1" s="42">
        <v>18</v>
      </c>
      <c r="N1" s="42">
        <v>19</v>
      </c>
      <c r="O1" s="42">
        <v>20</v>
      </c>
      <c r="P1" s="42">
        <v>21</v>
      </c>
      <c r="Q1" s="42">
        <v>22</v>
      </c>
      <c r="R1" s="42">
        <v>23</v>
      </c>
      <c r="S1" s="42" t="s">
        <v>2082</v>
      </c>
      <c r="T1" s="42" t="s">
        <v>2071</v>
      </c>
    </row>
    <row r="2" spans="1:20" x14ac:dyDescent="0.2">
      <c r="A2" t="s">
        <v>1965</v>
      </c>
      <c r="B2">
        <f>IF(COUNTIFS('United Data'!$A$3:$A$3390,B$1,'United Data'!$C$3:$C$3390,$A2,'United Data'!$B$3:$B$3390,"Off-street")&gt;0,1,0)</f>
        <v>1</v>
      </c>
      <c r="C2">
        <f>IF(COUNTIFS('United Data'!$A$3:$A$3390,C$1,'United Data'!$C$3:$C$3390,$A2,'United Data'!$B$3:$B$3390,"Off-street")&gt;0,1,0)</f>
        <v>1</v>
      </c>
      <c r="D2">
        <f>IF(COUNTIFS('United Data'!$A$3:$A$3390,D$1,'United Data'!$C$3:$C$3390,$A2,'United Data'!$B$3:$B$3390,"Off-street")&gt;0,1,0)</f>
        <v>0</v>
      </c>
      <c r="E2">
        <f>IF(COUNTIFS('United Data'!$A$3:$A$3390,E$1,'United Data'!$C$3:$C$3390,$A2,'United Data'!$B$3:$B$3390,"Off-street")&gt;0,1,0)</f>
        <v>0</v>
      </c>
      <c r="F2">
        <f>IF(COUNTIFS('United Data'!$A$3:$A$3390,F$1,'United Data'!$C$3:$C$3390,$A2,'United Data'!$B$3:$B$3390,"Off-street")&gt;0,1,0)</f>
        <v>0</v>
      </c>
      <c r="G2">
        <f>IF(COUNTIFS('United Data'!$A$3:$A$3390,G$1,'United Data'!$C$3:$C$3390,$A2,'United Data'!$B$3:$B$3390,"Off-street")&gt;0,1,0)</f>
        <v>0</v>
      </c>
      <c r="H2">
        <f>IF(COUNTIFS('United Data'!$A$3:$A$3390,H$1,'United Data'!$C$3:$C$3390,$A2,'United Data'!$B$3:$B$3390,"Off-street")&gt;0,1,0)</f>
        <v>0</v>
      </c>
      <c r="I2">
        <f>IF(COUNTIFS('United Data'!$A$3:$A$3390,I$1,'United Data'!$C$3:$C$3390,$A2,'United Data'!$B$3:$B$3390,"Off-street")&gt;0,1,0)</f>
        <v>0</v>
      </c>
      <c r="J2">
        <f>IF(COUNTIFS('United Data'!$A$3:$A$3390,J$1,'United Data'!$C$3:$C$3390,$A2,'United Data'!$B$3:$B$3390,"Off-street")&gt;0,1,0)</f>
        <v>0</v>
      </c>
      <c r="K2">
        <f>IF(COUNTIFS('United Data'!$A$3:$A$3390,K$1,'United Data'!$C$3:$C$3390,$A2,'United Data'!$B$3:$B$3390,"Off-street")&gt;0,1,0)</f>
        <v>1</v>
      </c>
      <c r="L2">
        <f>IF(COUNTIFS('United Data'!$A$3:$A$3390,L$1,'United Data'!$C$3:$C$3390,$A2,'United Data'!$B$3:$B$3390,"Off-street")&gt;0,1,0)</f>
        <v>0</v>
      </c>
      <c r="M2">
        <f>IF(COUNTIFS('United Data'!$A$3:$A$3390,M$1,'United Data'!$C$3:$C$3390,$A2,'United Data'!$B$3:$B$3390,"Off-street")&gt;0,1,0)</f>
        <v>0</v>
      </c>
      <c r="N2">
        <f>IF(COUNTIFS('United Data'!$A$3:$A$3390,N$1,'United Data'!$C$3:$C$3390,$A2,'United Data'!$B$3:$B$3390,"Off-street")&gt;0,1,0)</f>
        <v>1</v>
      </c>
      <c r="O2">
        <f>IF(COUNTIFS('United Data'!$A$3:$A$3390,O$1,'United Data'!$C$3:$C$3390,$A2,'United Data'!$B$3:$B$3390,"Off-street")&gt;0,1,0)</f>
        <v>1</v>
      </c>
      <c r="P2">
        <f>IF(COUNTIFS('United Data'!$A$3:$A$3390,P$1,'United Data'!$C$3:$C$3390,$A2,'United Data'!$B$3:$B$3390,"Off-street")&gt;0,1,0)</f>
        <v>1</v>
      </c>
      <c r="Q2">
        <f>IF(COUNTIFS('United Data'!$A$3:$A$3390,Q$1,'United Data'!$C$3:$C$3390,$A2,'United Data'!$B$3:$B$3390,"Off-street")&gt;0,1,0)</f>
        <v>1</v>
      </c>
      <c r="R2">
        <f>IF(COUNTIFS('United Data'!$A$3:$A$3390,R$1,'United Data'!$C$3:$C$3390,$A2,'United Data'!$B$3:$B$3390,"Off-street")&gt;0,1,0)</f>
        <v>1</v>
      </c>
      <c r="S2">
        <f t="shared" ref="S2:S33" si="0">SUM(B2:R2)</f>
        <v>8</v>
      </c>
      <c r="T2">
        <f t="shared" ref="T2:T33" si="1">B2+SUMPRODUCT(--(C2:R2&gt;B2:Q2))</f>
        <v>3</v>
      </c>
    </row>
    <row r="3" spans="1:20" x14ac:dyDescent="0.2">
      <c r="A3" t="s">
        <v>1966</v>
      </c>
      <c r="B3">
        <f>IF(COUNTIFS('United Data'!$A$3:$A$3390,B$1,'United Data'!$C$3:$C$3390,$A3,'United Data'!$B$3:$B$3390,"Off-street")&gt;0,1,0)</f>
        <v>1</v>
      </c>
      <c r="C3">
        <f>IF(COUNTIFS('United Data'!$A$3:$A$3390,C$1,'United Data'!$C$3:$C$3390,$A3,'United Data'!$B$3:$B$3390,"Off-street")&gt;0,1,0)</f>
        <v>1</v>
      </c>
      <c r="D3">
        <f>IF(COUNTIFS('United Data'!$A$3:$A$3390,D$1,'United Data'!$C$3:$C$3390,$A3,'United Data'!$B$3:$B$3390,"Off-street")&gt;0,1,0)</f>
        <v>0</v>
      </c>
      <c r="E3">
        <f>IF(COUNTIFS('United Data'!$A$3:$A$3390,E$1,'United Data'!$C$3:$C$3390,$A3,'United Data'!$B$3:$B$3390,"Off-street")&gt;0,1,0)</f>
        <v>0</v>
      </c>
      <c r="F3">
        <f>IF(COUNTIFS('United Data'!$A$3:$A$3390,F$1,'United Data'!$C$3:$C$3390,$A3,'United Data'!$B$3:$B$3390,"Off-street")&gt;0,1,0)</f>
        <v>0</v>
      </c>
      <c r="G3">
        <f>IF(COUNTIFS('United Data'!$A$3:$A$3390,G$1,'United Data'!$C$3:$C$3390,$A3,'United Data'!$B$3:$B$3390,"Off-street")&gt;0,1,0)</f>
        <v>0</v>
      </c>
      <c r="H3">
        <f>IF(COUNTIFS('United Data'!$A$3:$A$3390,H$1,'United Data'!$C$3:$C$3390,$A3,'United Data'!$B$3:$B$3390,"Off-street")&gt;0,1,0)</f>
        <v>0</v>
      </c>
      <c r="I3">
        <f>IF(COUNTIFS('United Data'!$A$3:$A$3390,I$1,'United Data'!$C$3:$C$3390,$A3,'United Data'!$B$3:$B$3390,"Off-street")&gt;0,1,0)</f>
        <v>0</v>
      </c>
      <c r="J3">
        <f>IF(COUNTIFS('United Data'!$A$3:$A$3390,J$1,'United Data'!$C$3:$C$3390,$A3,'United Data'!$B$3:$B$3390,"Off-street")&gt;0,1,0)</f>
        <v>0</v>
      </c>
      <c r="K3">
        <f>IF(COUNTIFS('United Data'!$A$3:$A$3390,K$1,'United Data'!$C$3:$C$3390,$A3,'United Data'!$B$3:$B$3390,"Off-street")&gt;0,1,0)</f>
        <v>0</v>
      </c>
      <c r="L3">
        <f>IF(COUNTIFS('United Data'!$A$3:$A$3390,L$1,'United Data'!$C$3:$C$3390,$A3,'United Data'!$B$3:$B$3390,"Off-street")&gt;0,1,0)</f>
        <v>0</v>
      </c>
      <c r="M3">
        <f>IF(COUNTIFS('United Data'!$A$3:$A$3390,M$1,'United Data'!$C$3:$C$3390,$A3,'United Data'!$B$3:$B$3390,"Off-street")&gt;0,1,0)</f>
        <v>0</v>
      </c>
      <c r="N3">
        <f>IF(COUNTIFS('United Data'!$A$3:$A$3390,N$1,'United Data'!$C$3:$C$3390,$A3,'United Data'!$B$3:$B$3390,"Off-street")&gt;0,1,0)</f>
        <v>0</v>
      </c>
      <c r="O3">
        <f>IF(COUNTIFS('United Data'!$A$3:$A$3390,O$1,'United Data'!$C$3:$C$3390,$A3,'United Data'!$B$3:$B$3390,"Off-street")&gt;0,1,0)</f>
        <v>0</v>
      </c>
      <c r="P3">
        <f>IF(COUNTIFS('United Data'!$A$3:$A$3390,P$1,'United Data'!$C$3:$C$3390,$A3,'United Data'!$B$3:$B$3390,"Off-street")&gt;0,1,0)</f>
        <v>0</v>
      </c>
      <c r="Q3">
        <f>IF(COUNTIFS('United Data'!$A$3:$A$3390,Q$1,'United Data'!$C$3:$C$3390,$A3,'United Data'!$B$3:$B$3390,"Off-street")&gt;0,1,0)</f>
        <v>1</v>
      </c>
      <c r="R3">
        <f>IF(COUNTIFS('United Data'!$A$3:$A$3390,R$1,'United Data'!$C$3:$C$3390,$A3,'United Data'!$B$3:$B$3390,"Off-street")&gt;0,1,0)</f>
        <v>1</v>
      </c>
      <c r="S3">
        <f t="shared" si="0"/>
        <v>4</v>
      </c>
      <c r="T3">
        <f t="shared" si="1"/>
        <v>2</v>
      </c>
    </row>
    <row r="4" spans="1:20" x14ac:dyDescent="0.2">
      <c r="A4" t="s">
        <v>1967</v>
      </c>
      <c r="B4">
        <f>IF(COUNTIFS('United Data'!$A$3:$A$3390,B$1,'United Data'!$C$3:$C$3390,$A4,'United Data'!$B$3:$B$3390,"Off-street")&gt;0,1,0)</f>
        <v>1</v>
      </c>
      <c r="C4">
        <f>IF(COUNTIFS('United Data'!$A$3:$A$3390,C$1,'United Data'!$C$3:$C$3390,$A4,'United Data'!$B$3:$B$3390,"Off-street")&gt;0,1,0)</f>
        <v>1</v>
      </c>
      <c r="D4">
        <f>IF(COUNTIFS('United Data'!$A$3:$A$3390,D$1,'United Data'!$C$3:$C$3390,$A4,'United Data'!$B$3:$B$3390,"Off-street")&gt;0,1,0)</f>
        <v>1</v>
      </c>
      <c r="E4">
        <f>IF(COUNTIFS('United Data'!$A$3:$A$3390,E$1,'United Data'!$C$3:$C$3390,$A4,'United Data'!$B$3:$B$3390,"Off-street")&gt;0,1,0)</f>
        <v>0</v>
      </c>
      <c r="F4">
        <f>IF(COUNTIFS('United Data'!$A$3:$A$3390,F$1,'United Data'!$C$3:$C$3390,$A4,'United Data'!$B$3:$B$3390,"Off-street")&gt;0,1,0)</f>
        <v>0</v>
      </c>
      <c r="G4">
        <f>IF(COUNTIFS('United Data'!$A$3:$A$3390,G$1,'United Data'!$C$3:$C$3390,$A4,'United Data'!$B$3:$B$3390,"Off-street")&gt;0,1,0)</f>
        <v>1</v>
      </c>
      <c r="H4">
        <f>IF(COUNTIFS('United Data'!$A$3:$A$3390,H$1,'United Data'!$C$3:$C$3390,$A4,'United Data'!$B$3:$B$3390,"Off-street")&gt;0,1,0)</f>
        <v>1</v>
      </c>
      <c r="I4">
        <f>IF(COUNTIFS('United Data'!$A$3:$A$3390,I$1,'United Data'!$C$3:$C$3390,$A4,'United Data'!$B$3:$B$3390,"Off-street")&gt;0,1,0)</f>
        <v>0</v>
      </c>
      <c r="J4">
        <f>IF(COUNTIFS('United Data'!$A$3:$A$3390,J$1,'United Data'!$C$3:$C$3390,$A4,'United Data'!$B$3:$B$3390,"Off-street")&gt;0,1,0)</f>
        <v>0</v>
      </c>
      <c r="K4">
        <f>IF(COUNTIFS('United Data'!$A$3:$A$3390,K$1,'United Data'!$C$3:$C$3390,$A4,'United Data'!$B$3:$B$3390,"Off-street")&gt;0,1,0)</f>
        <v>0</v>
      </c>
      <c r="L4">
        <f>IF(COUNTIFS('United Data'!$A$3:$A$3390,L$1,'United Data'!$C$3:$C$3390,$A4,'United Data'!$B$3:$B$3390,"Off-street")&gt;0,1,0)</f>
        <v>1</v>
      </c>
      <c r="M4">
        <f>IF(COUNTIFS('United Data'!$A$3:$A$3390,M$1,'United Data'!$C$3:$C$3390,$A4,'United Data'!$B$3:$B$3390,"Off-street")&gt;0,1,0)</f>
        <v>0</v>
      </c>
      <c r="N4">
        <f>IF(COUNTIFS('United Data'!$A$3:$A$3390,N$1,'United Data'!$C$3:$C$3390,$A4,'United Data'!$B$3:$B$3390,"Off-street")&gt;0,1,0)</f>
        <v>0</v>
      </c>
      <c r="O4">
        <f>IF(COUNTIFS('United Data'!$A$3:$A$3390,O$1,'United Data'!$C$3:$C$3390,$A4,'United Data'!$B$3:$B$3390,"Off-street")&gt;0,1,0)</f>
        <v>0</v>
      </c>
      <c r="P4">
        <f>IF(COUNTIFS('United Data'!$A$3:$A$3390,P$1,'United Data'!$C$3:$C$3390,$A4,'United Data'!$B$3:$B$3390,"Off-street")&gt;0,1,0)</f>
        <v>0</v>
      </c>
      <c r="Q4">
        <f>IF(COUNTIFS('United Data'!$A$3:$A$3390,Q$1,'United Data'!$C$3:$C$3390,$A4,'United Data'!$B$3:$B$3390,"Off-street")&gt;0,1,0)</f>
        <v>0</v>
      </c>
      <c r="R4">
        <f>IF(COUNTIFS('United Data'!$A$3:$A$3390,R$1,'United Data'!$C$3:$C$3390,$A4,'United Data'!$B$3:$B$3390,"Off-street")&gt;0,1,0)</f>
        <v>1</v>
      </c>
      <c r="S4">
        <f t="shared" si="0"/>
        <v>7</v>
      </c>
      <c r="T4">
        <f t="shared" si="1"/>
        <v>4</v>
      </c>
    </row>
    <row r="5" spans="1:20" x14ac:dyDescent="0.2">
      <c r="A5" t="s">
        <v>1968</v>
      </c>
      <c r="B5">
        <f>IF(COUNTIFS('United Data'!$A$3:$A$3390,B$1,'United Data'!$C$3:$C$3390,$A5,'United Data'!$B$3:$B$3390,"Off-street")&gt;0,1,0)</f>
        <v>1</v>
      </c>
      <c r="C5">
        <f>IF(COUNTIFS('United Data'!$A$3:$A$3390,C$1,'United Data'!$C$3:$C$3390,$A5,'United Data'!$B$3:$B$3390,"Off-street")&gt;0,1,0)</f>
        <v>1</v>
      </c>
      <c r="D5">
        <f>IF(COUNTIFS('United Data'!$A$3:$A$3390,D$1,'United Data'!$C$3:$C$3390,$A5,'United Data'!$B$3:$B$3390,"Off-street")&gt;0,1,0)</f>
        <v>1</v>
      </c>
      <c r="E5">
        <f>IF(COUNTIFS('United Data'!$A$3:$A$3390,E$1,'United Data'!$C$3:$C$3390,$A5,'United Data'!$B$3:$B$3390,"Off-street")&gt;0,1,0)</f>
        <v>0</v>
      </c>
      <c r="F5">
        <f>IF(COUNTIFS('United Data'!$A$3:$A$3390,F$1,'United Data'!$C$3:$C$3390,$A5,'United Data'!$B$3:$B$3390,"Off-street")&gt;0,1,0)</f>
        <v>1</v>
      </c>
      <c r="G5">
        <f>IF(COUNTIFS('United Data'!$A$3:$A$3390,G$1,'United Data'!$C$3:$C$3390,$A5,'United Data'!$B$3:$B$3390,"Off-street")&gt;0,1,0)</f>
        <v>0</v>
      </c>
      <c r="H5">
        <f>IF(COUNTIFS('United Data'!$A$3:$A$3390,H$1,'United Data'!$C$3:$C$3390,$A5,'United Data'!$B$3:$B$3390,"Off-street")&gt;0,1,0)</f>
        <v>0</v>
      </c>
      <c r="I5">
        <f>IF(COUNTIFS('United Data'!$A$3:$A$3390,I$1,'United Data'!$C$3:$C$3390,$A5,'United Data'!$B$3:$B$3390,"Off-street")&gt;0,1,0)</f>
        <v>0</v>
      </c>
      <c r="J5">
        <f>IF(COUNTIFS('United Data'!$A$3:$A$3390,J$1,'United Data'!$C$3:$C$3390,$A5,'United Data'!$B$3:$B$3390,"Off-street")&gt;0,1,0)</f>
        <v>1</v>
      </c>
      <c r="K5">
        <f>IF(COUNTIFS('United Data'!$A$3:$A$3390,K$1,'United Data'!$C$3:$C$3390,$A5,'United Data'!$B$3:$B$3390,"Off-street")&gt;0,1,0)</f>
        <v>0</v>
      </c>
      <c r="L5">
        <f>IF(COUNTIFS('United Data'!$A$3:$A$3390,L$1,'United Data'!$C$3:$C$3390,$A5,'United Data'!$B$3:$B$3390,"Off-street")&gt;0,1,0)</f>
        <v>1</v>
      </c>
      <c r="M5">
        <f>IF(COUNTIFS('United Data'!$A$3:$A$3390,M$1,'United Data'!$C$3:$C$3390,$A5,'United Data'!$B$3:$B$3390,"Off-street")&gt;0,1,0)</f>
        <v>0</v>
      </c>
      <c r="N5">
        <f>IF(COUNTIFS('United Data'!$A$3:$A$3390,N$1,'United Data'!$C$3:$C$3390,$A5,'United Data'!$B$3:$B$3390,"Off-street")&gt;0,1,0)</f>
        <v>1</v>
      </c>
      <c r="O5">
        <f>IF(COUNTIFS('United Data'!$A$3:$A$3390,O$1,'United Data'!$C$3:$C$3390,$A5,'United Data'!$B$3:$B$3390,"Off-street")&gt;0,1,0)</f>
        <v>1</v>
      </c>
      <c r="P5">
        <f>IF(COUNTIFS('United Data'!$A$3:$A$3390,P$1,'United Data'!$C$3:$C$3390,$A5,'United Data'!$B$3:$B$3390,"Off-street")&gt;0,1,0)</f>
        <v>0</v>
      </c>
      <c r="Q5">
        <f>IF(COUNTIFS('United Data'!$A$3:$A$3390,Q$1,'United Data'!$C$3:$C$3390,$A5,'United Data'!$B$3:$B$3390,"Off-street")&gt;0,1,0)</f>
        <v>0</v>
      </c>
      <c r="R5">
        <f>IF(COUNTIFS('United Data'!$A$3:$A$3390,R$1,'United Data'!$C$3:$C$3390,$A5,'United Data'!$B$3:$B$3390,"Off-street")&gt;0,1,0)</f>
        <v>1</v>
      </c>
      <c r="S5">
        <f t="shared" si="0"/>
        <v>9</v>
      </c>
      <c r="T5">
        <f t="shared" si="1"/>
        <v>6</v>
      </c>
    </row>
    <row r="6" spans="1:20" x14ac:dyDescent="0.2">
      <c r="A6" t="s">
        <v>1969</v>
      </c>
      <c r="B6">
        <f>IF(COUNTIFS('United Data'!$A$3:$A$3390,B$1,'United Data'!$C$3:$C$3390,$A6,'United Data'!$B$3:$B$3390,"Off-street")&gt;0,1,0)</f>
        <v>0</v>
      </c>
      <c r="C6">
        <f>IF(COUNTIFS('United Data'!$A$3:$A$3390,C$1,'United Data'!$C$3:$C$3390,$A6,'United Data'!$B$3:$B$3390,"Off-street")&gt;0,1,0)</f>
        <v>1</v>
      </c>
      <c r="D6">
        <f>IF(COUNTIFS('United Data'!$A$3:$A$3390,D$1,'United Data'!$C$3:$C$3390,$A6,'United Data'!$B$3:$B$3390,"Off-street")&gt;0,1,0)</f>
        <v>0</v>
      </c>
      <c r="E6">
        <f>IF(COUNTIFS('United Data'!$A$3:$A$3390,E$1,'United Data'!$C$3:$C$3390,$A6,'United Data'!$B$3:$B$3390,"Off-street")&gt;0,1,0)</f>
        <v>0</v>
      </c>
      <c r="F6">
        <f>IF(COUNTIFS('United Data'!$A$3:$A$3390,F$1,'United Data'!$C$3:$C$3390,$A6,'United Data'!$B$3:$B$3390,"Off-street")&gt;0,1,0)</f>
        <v>0</v>
      </c>
      <c r="G6">
        <f>IF(COUNTIFS('United Data'!$A$3:$A$3390,G$1,'United Data'!$C$3:$C$3390,$A6,'United Data'!$B$3:$B$3390,"Off-street")&gt;0,1,0)</f>
        <v>0</v>
      </c>
      <c r="H6">
        <f>IF(COUNTIFS('United Data'!$A$3:$A$3390,H$1,'United Data'!$C$3:$C$3390,$A6,'United Data'!$B$3:$B$3390,"Off-street")&gt;0,1,0)</f>
        <v>0</v>
      </c>
      <c r="I6">
        <f>IF(COUNTIFS('United Data'!$A$3:$A$3390,I$1,'United Data'!$C$3:$C$3390,$A6,'United Data'!$B$3:$B$3390,"Off-street")&gt;0,1,0)</f>
        <v>0</v>
      </c>
      <c r="J6">
        <f>IF(COUNTIFS('United Data'!$A$3:$A$3390,J$1,'United Data'!$C$3:$C$3390,$A6,'United Data'!$B$3:$B$3390,"Off-street")&gt;0,1,0)</f>
        <v>0</v>
      </c>
      <c r="K6">
        <f>IF(COUNTIFS('United Data'!$A$3:$A$3390,K$1,'United Data'!$C$3:$C$3390,$A6,'United Data'!$B$3:$B$3390,"Off-street")&gt;0,1,0)</f>
        <v>0</v>
      </c>
      <c r="L6">
        <f>IF(COUNTIFS('United Data'!$A$3:$A$3390,L$1,'United Data'!$C$3:$C$3390,$A6,'United Data'!$B$3:$B$3390,"Off-street")&gt;0,1,0)</f>
        <v>0</v>
      </c>
      <c r="M6">
        <f>IF(COUNTIFS('United Data'!$A$3:$A$3390,M$1,'United Data'!$C$3:$C$3390,$A6,'United Data'!$B$3:$B$3390,"Off-street")&gt;0,1,0)</f>
        <v>0</v>
      </c>
      <c r="N6">
        <f>IF(COUNTIFS('United Data'!$A$3:$A$3390,N$1,'United Data'!$C$3:$C$3390,$A6,'United Data'!$B$3:$B$3390,"Off-street")&gt;0,1,0)</f>
        <v>1</v>
      </c>
      <c r="O6">
        <f>IF(COUNTIFS('United Data'!$A$3:$A$3390,O$1,'United Data'!$C$3:$C$3390,$A6,'United Data'!$B$3:$B$3390,"Off-street")&gt;0,1,0)</f>
        <v>0</v>
      </c>
      <c r="P6">
        <f>IF(COUNTIFS('United Data'!$A$3:$A$3390,P$1,'United Data'!$C$3:$C$3390,$A6,'United Data'!$B$3:$B$3390,"Off-street")&gt;0,1,0)</f>
        <v>1</v>
      </c>
      <c r="Q6">
        <f>IF(COUNTIFS('United Data'!$A$3:$A$3390,Q$1,'United Data'!$C$3:$C$3390,$A6,'United Data'!$B$3:$B$3390,"Off-street")&gt;0,1,0)</f>
        <v>1</v>
      </c>
      <c r="R6">
        <f>IF(COUNTIFS('United Data'!$A$3:$A$3390,R$1,'United Data'!$C$3:$C$3390,$A6,'United Data'!$B$3:$B$3390,"Off-street")&gt;0,1,0)</f>
        <v>1</v>
      </c>
      <c r="S6">
        <f t="shared" si="0"/>
        <v>5</v>
      </c>
      <c r="T6">
        <f t="shared" si="1"/>
        <v>3</v>
      </c>
    </row>
    <row r="7" spans="1:20" x14ac:dyDescent="0.2">
      <c r="A7" t="s">
        <v>1970</v>
      </c>
      <c r="B7">
        <f>IF(COUNTIFS('United Data'!$A$3:$A$3390,B$1,'United Data'!$C$3:$C$3390,$A7,'United Data'!$B$3:$B$3390,"Off-street")&gt;0,1,0)</f>
        <v>0</v>
      </c>
      <c r="C7">
        <f>IF(COUNTIFS('United Data'!$A$3:$A$3390,C$1,'United Data'!$C$3:$C$3390,$A7,'United Data'!$B$3:$B$3390,"Off-street")&gt;0,1,0)</f>
        <v>1</v>
      </c>
      <c r="D7">
        <f>IF(COUNTIFS('United Data'!$A$3:$A$3390,D$1,'United Data'!$C$3:$C$3390,$A7,'United Data'!$B$3:$B$3390,"Off-street")&gt;0,1,0)</f>
        <v>1</v>
      </c>
      <c r="E7">
        <f>IF(COUNTIFS('United Data'!$A$3:$A$3390,E$1,'United Data'!$C$3:$C$3390,$A7,'United Data'!$B$3:$B$3390,"Off-street")&gt;0,1,0)</f>
        <v>0</v>
      </c>
      <c r="F7">
        <f>IF(COUNTIFS('United Data'!$A$3:$A$3390,F$1,'United Data'!$C$3:$C$3390,$A7,'United Data'!$B$3:$B$3390,"Off-street")&gt;0,1,0)</f>
        <v>0</v>
      </c>
      <c r="G7">
        <f>IF(COUNTIFS('United Data'!$A$3:$A$3390,G$1,'United Data'!$C$3:$C$3390,$A7,'United Data'!$B$3:$B$3390,"Off-street")&gt;0,1,0)</f>
        <v>0</v>
      </c>
      <c r="H7">
        <f>IF(COUNTIFS('United Data'!$A$3:$A$3390,H$1,'United Data'!$C$3:$C$3390,$A7,'United Data'!$B$3:$B$3390,"Off-street")&gt;0,1,0)</f>
        <v>0</v>
      </c>
      <c r="I7">
        <f>IF(COUNTIFS('United Data'!$A$3:$A$3390,I$1,'United Data'!$C$3:$C$3390,$A7,'United Data'!$B$3:$B$3390,"Off-street")&gt;0,1,0)</f>
        <v>0</v>
      </c>
      <c r="J7">
        <f>IF(COUNTIFS('United Data'!$A$3:$A$3390,J$1,'United Data'!$C$3:$C$3390,$A7,'United Data'!$B$3:$B$3390,"Off-street")&gt;0,1,0)</f>
        <v>0</v>
      </c>
      <c r="K7">
        <f>IF(COUNTIFS('United Data'!$A$3:$A$3390,K$1,'United Data'!$C$3:$C$3390,$A7,'United Data'!$B$3:$B$3390,"Off-street")&gt;0,1,0)</f>
        <v>1</v>
      </c>
      <c r="L7">
        <f>IF(COUNTIFS('United Data'!$A$3:$A$3390,L$1,'United Data'!$C$3:$C$3390,$A7,'United Data'!$B$3:$B$3390,"Off-street")&gt;0,1,0)</f>
        <v>0</v>
      </c>
      <c r="M7">
        <f>IF(COUNTIFS('United Data'!$A$3:$A$3390,M$1,'United Data'!$C$3:$C$3390,$A7,'United Data'!$B$3:$B$3390,"Off-street")&gt;0,1,0)</f>
        <v>1</v>
      </c>
      <c r="N7">
        <f>IF(COUNTIFS('United Data'!$A$3:$A$3390,N$1,'United Data'!$C$3:$C$3390,$A7,'United Data'!$B$3:$B$3390,"Off-street")&gt;0,1,0)</f>
        <v>1</v>
      </c>
      <c r="O7">
        <f>IF(COUNTIFS('United Data'!$A$3:$A$3390,O$1,'United Data'!$C$3:$C$3390,$A7,'United Data'!$B$3:$B$3390,"Off-street")&gt;0,1,0)</f>
        <v>1</v>
      </c>
      <c r="P7">
        <f>IF(COUNTIFS('United Data'!$A$3:$A$3390,P$1,'United Data'!$C$3:$C$3390,$A7,'United Data'!$B$3:$B$3390,"Off-street")&gt;0,1,0)</f>
        <v>1</v>
      </c>
      <c r="Q7">
        <f>IF(COUNTIFS('United Data'!$A$3:$A$3390,Q$1,'United Data'!$C$3:$C$3390,$A7,'United Data'!$B$3:$B$3390,"Off-street")&gt;0,1,0)</f>
        <v>1</v>
      </c>
      <c r="R7">
        <f>IF(COUNTIFS('United Data'!$A$3:$A$3390,R$1,'United Data'!$C$3:$C$3390,$A7,'United Data'!$B$3:$B$3390,"Off-street")&gt;0,1,0)</f>
        <v>1</v>
      </c>
      <c r="S7">
        <f t="shared" si="0"/>
        <v>9</v>
      </c>
      <c r="T7">
        <f t="shared" si="1"/>
        <v>3</v>
      </c>
    </row>
    <row r="8" spans="1:20" x14ac:dyDescent="0.2">
      <c r="A8" t="s">
        <v>1971</v>
      </c>
      <c r="B8">
        <f>IF(COUNTIFS('United Data'!$A$3:$A$3390,B$1,'United Data'!$C$3:$C$3390,$A8,'United Data'!$B$3:$B$3390,"Off-street")&gt;0,1,0)</f>
        <v>0</v>
      </c>
      <c r="C8">
        <f>IF(COUNTIFS('United Data'!$A$3:$A$3390,C$1,'United Data'!$C$3:$C$3390,$A8,'United Data'!$B$3:$B$3390,"Off-street")&gt;0,1,0)</f>
        <v>1</v>
      </c>
      <c r="D8">
        <f>IF(COUNTIFS('United Data'!$A$3:$A$3390,D$1,'United Data'!$C$3:$C$3390,$A8,'United Data'!$B$3:$B$3390,"Off-street")&gt;0,1,0)</f>
        <v>0</v>
      </c>
      <c r="E8">
        <f>IF(COUNTIFS('United Data'!$A$3:$A$3390,E$1,'United Data'!$C$3:$C$3390,$A8,'United Data'!$B$3:$B$3390,"Off-street")&gt;0,1,0)</f>
        <v>0</v>
      </c>
      <c r="F8">
        <f>IF(COUNTIFS('United Data'!$A$3:$A$3390,F$1,'United Data'!$C$3:$C$3390,$A8,'United Data'!$B$3:$B$3390,"Off-street")&gt;0,1,0)</f>
        <v>0</v>
      </c>
      <c r="G8">
        <f>IF(COUNTIFS('United Data'!$A$3:$A$3390,G$1,'United Data'!$C$3:$C$3390,$A8,'United Data'!$B$3:$B$3390,"Off-street")&gt;0,1,0)</f>
        <v>0</v>
      </c>
      <c r="H8">
        <f>IF(COUNTIFS('United Data'!$A$3:$A$3390,H$1,'United Data'!$C$3:$C$3390,$A8,'United Data'!$B$3:$B$3390,"Off-street")&gt;0,1,0)</f>
        <v>0</v>
      </c>
      <c r="I8">
        <f>IF(COUNTIFS('United Data'!$A$3:$A$3390,I$1,'United Data'!$C$3:$C$3390,$A8,'United Data'!$B$3:$B$3390,"Off-street")&gt;0,1,0)</f>
        <v>0</v>
      </c>
      <c r="J8">
        <f>IF(COUNTIFS('United Data'!$A$3:$A$3390,J$1,'United Data'!$C$3:$C$3390,$A8,'United Data'!$B$3:$B$3390,"Off-street")&gt;0,1,0)</f>
        <v>0</v>
      </c>
      <c r="K8">
        <f>IF(COUNTIFS('United Data'!$A$3:$A$3390,K$1,'United Data'!$C$3:$C$3390,$A8,'United Data'!$B$3:$B$3390,"Off-street")&gt;0,1,0)</f>
        <v>0</v>
      </c>
      <c r="L8">
        <f>IF(COUNTIFS('United Data'!$A$3:$A$3390,L$1,'United Data'!$C$3:$C$3390,$A8,'United Data'!$B$3:$B$3390,"Off-street")&gt;0,1,0)</f>
        <v>0</v>
      </c>
      <c r="M8">
        <f>IF(COUNTIFS('United Data'!$A$3:$A$3390,M$1,'United Data'!$C$3:$C$3390,$A8,'United Data'!$B$3:$B$3390,"Off-street")&gt;0,1,0)</f>
        <v>0</v>
      </c>
      <c r="N8">
        <f>IF(COUNTIFS('United Data'!$A$3:$A$3390,N$1,'United Data'!$C$3:$C$3390,$A8,'United Data'!$B$3:$B$3390,"Off-street")&gt;0,1,0)</f>
        <v>0</v>
      </c>
      <c r="O8">
        <f>IF(COUNTIFS('United Data'!$A$3:$A$3390,O$1,'United Data'!$C$3:$C$3390,$A8,'United Data'!$B$3:$B$3390,"Off-street")&gt;0,1,0)</f>
        <v>0</v>
      </c>
      <c r="P8">
        <f>IF(COUNTIFS('United Data'!$A$3:$A$3390,P$1,'United Data'!$C$3:$C$3390,$A8,'United Data'!$B$3:$B$3390,"Off-street")&gt;0,1,0)</f>
        <v>0</v>
      </c>
      <c r="Q8">
        <f>IF(COUNTIFS('United Data'!$A$3:$A$3390,Q$1,'United Data'!$C$3:$C$3390,$A8,'United Data'!$B$3:$B$3390,"Off-street")&gt;0,1,0)</f>
        <v>0</v>
      </c>
      <c r="R8">
        <f>IF(COUNTIFS('United Data'!$A$3:$A$3390,R$1,'United Data'!$C$3:$C$3390,$A8,'United Data'!$B$3:$B$3390,"Off-street")&gt;0,1,0)</f>
        <v>0</v>
      </c>
      <c r="S8">
        <f t="shared" si="0"/>
        <v>1</v>
      </c>
      <c r="T8">
        <f t="shared" si="1"/>
        <v>1</v>
      </c>
    </row>
    <row r="9" spans="1:20" x14ac:dyDescent="0.2">
      <c r="A9" t="s">
        <v>1972</v>
      </c>
      <c r="B9">
        <f>IF(COUNTIFS('United Data'!$A$3:$A$3390,B$1,'United Data'!$C$3:$C$3390,$A9,'United Data'!$B$3:$B$3390,"Off-street")&gt;0,1,0)</f>
        <v>0</v>
      </c>
      <c r="C9">
        <f>IF(COUNTIFS('United Data'!$A$3:$A$3390,C$1,'United Data'!$C$3:$C$3390,$A9,'United Data'!$B$3:$B$3390,"Off-street")&gt;0,1,0)</f>
        <v>1</v>
      </c>
      <c r="D9">
        <f>IF(COUNTIFS('United Data'!$A$3:$A$3390,D$1,'United Data'!$C$3:$C$3390,$A9,'United Data'!$B$3:$B$3390,"Off-street")&gt;0,1,0)</f>
        <v>0</v>
      </c>
      <c r="E9">
        <f>IF(COUNTIFS('United Data'!$A$3:$A$3390,E$1,'United Data'!$C$3:$C$3390,$A9,'United Data'!$B$3:$B$3390,"Off-street")&gt;0,1,0)</f>
        <v>1</v>
      </c>
      <c r="F9">
        <f>IF(COUNTIFS('United Data'!$A$3:$A$3390,F$1,'United Data'!$C$3:$C$3390,$A9,'United Data'!$B$3:$B$3390,"Off-street")&gt;0,1,0)</f>
        <v>0</v>
      </c>
      <c r="G9">
        <f>IF(COUNTIFS('United Data'!$A$3:$A$3390,G$1,'United Data'!$C$3:$C$3390,$A9,'United Data'!$B$3:$B$3390,"Off-street")&gt;0,1,0)</f>
        <v>0</v>
      </c>
      <c r="H9">
        <f>IF(COUNTIFS('United Data'!$A$3:$A$3390,H$1,'United Data'!$C$3:$C$3390,$A9,'United Data'!$B$3:$B$3390,"Off-street")&gt;0,1,0)</f>
        <v>0</v>
      </c>
      <c r="I9">
        <f>IF(COUNTIFS('United Data'!$A$3:$A$3390,I$1,'United Data'!$C$3:$C$3390,$A9,'United Data'!$B$3:$B$3390,"Off-street")&gt;0,1,0)</f>
        <v>0</v>
      </c>
      <c r="J9">
        <f>IF(COUNTIFS('United Data'!$A$3:$A$3390,J$1,'United Data'!$C$3:$C$3390,$A9,'United Data'!$B$3:$B$3390,"Off-street")&gt;0,1,0)</f>
        <v>0</v>
      </c>
      <c r="K9">
        <f>IF(COUNTIFS('United Data'!$A$3:$A$3390,K$1,'United Data'!$C$3:$C$3390,$A9,'United Data'!$B$3:$B$3390,"Off-street")&gt;0,1,0)</f>
        <v>0</v>
      </c>
      <c r="L9">
        <f>IF(COUNTIFS('United Data'!$A$3:$A$3390,L$1,'United Data'!$C$3:$C$3390,$A9,'United Data'!$B$3:$B$3390,"Off-street")&gt;0,1,0)</f>
        <v>0</v>
      </c>
      <c r="M9">
        <f>IF(COUNTIFS('United Data'!$A$3:$A$3390,M$1,'United Data'!$C$3:$C$3390,$A9,'United Data'!$B$3:$B$3390,"Off-street")&gt;0,1,0)</f>
        <v>0</v>
      </c>
      <c r="N9">
        <f>IF(COUNTIFS('United Data'!$A$3:$A$3390,N$1,'United Data'!$C$3:$C$3390,$A9,'United Data'!$B$3:$B$3390,"Off-street")&gt;0,1,0)</f>
        <v>0</v>
      </c>
      <c r="O9">
        <f>IF(COUNTIFS('United Data'!$A$3:$A$3390,O$1,'United Data'!$C$3:$C$3390,$A9,'United Data'!$B$3:$B$3390,"Off-street")&gt;0,1,0)</f>
        <v>0</v>
      </c>
      <c r="P9">
        <f>IF(COUNTIFS('United Data'!$A$3:$A$3390,P$1,'United Data'!$C$3:$C$3390,$A9,'United Data'!$B$3:$B$3390,"Off-street")&gt;0,1,0)</f>
        <v>0</v>
      </c>
      <c r="Q9">
        <f>IF(COUNTIFS('United Data'!$A$3:$A$3390,Q$1,'United Data'!$C$3:$C$3390,$A9,'United Data'!$B$3:$B$3390,"Off-street")&gt;0,1,0)</f>
        <v>0</v>
      </c>
      <c r="R9">
        <f>IF(COUNTIFS('United Data'!$A$3:$A$3390,R$1,'United Data'!$C$3:$C$3390,$A9,'United Data'!$B$3:$B$3390,"Off-street")&gt;0,1,0)</f>
        <v>0</v>
      </c>
      <c r="S9">
        <f t="shared" si="0"/>
        <v>2</v>
      </c>
      <c r="T9">
        <f t="shared" si="1"/>
        <v>2</v>
      </c>
    </row>
    <row r="10" spans="1:20" x14ac:dyDescent="0.2">
      <c r="A10" t="s">
        <v>1973</v>
      </c>
      <c r="B10">
        <f>IF(COUNTIFS('United Data'!$A$3:$A$3390,B$1,'United Data'!$C$3:$C$3390,$A10,'United Data'!$B$3:$B$3390,"Off-street")&gt;0,1,0)</f>
        <v>0</v>
      </c>
      <c r="C10">
        <f>IF(COUNTIFS('United Data'!$A$3:$A$3390,C$1,'United Data'!$C$3:$C$3390,$A10,'United Data'!$B$3:$B$3390,"Off-street")&gt;0,1,0)</f>
        <v>1</v>
      </c>
      <c r="D10">
        <f>IF(COUNTIFS('United Data'!$A$3:$A$3390,D$1,'United Data'!$C$3:$C$3390,$A10,'United Data'!$B$3:$B$3390,"Off-street")&gt;0,1,0)</f>
        <v>0</v>
      </c>
      <c r="E10">
        <f>IF(COUNTIFS('United Data'!$A$3:$A$3390,E$1,'United Data'!$C$3:$C$3390,$A10,'United Data'!$B$3:$B$3390,"Off-street")&gt;0,1,0)</f>
        <v>1</v>
      </c>
      <c r="F10">
        <f>IF(COUNTIFS('United Data'!$A$3:$A$3390,F$1,'United Data'!$C$3:$C$3390,$A10,'United Data'!$B$3:$B$3390,"Off-street")&gt;0,1,0)</f>
        <v>0</v>
      </c>
      <c r="G10">
        <f>IF(COUNTIFS('United Data'!$A$3:$A$3390,G$1,'United Data'!$C$3:$C$3390,$A10,'United Data'!$B$3:$B$3390,"Off-street")&gt;0,1,0)</f>
        <v>0</v>
      </c>
      <c r="H10">
        <f>IF(COUNTIFS('United Data'!$A$3:$A$3390,H$1,'United Data'!$C$3:$C$3390,$A10,'United Data'!$B$3:$B$3390,"Off-street")&gt;0,1,0)</f>
        <v>0</v>
      </c>
      <c r="I10">
        <f>IF(COUNTIFS('United Data'!$A$3:$A$3390,I$1,'United Data'!$C$3:$C$3390,$A10,'United Data'!$B$3:$B$3390,"Off-street")&gt;0,1,0)</f>
        <v>0</v>
      </c>
      <c r="J10">
        <f>IF(COUNTIFS('United Data'!$A$3:$A$3390,J$1,'United Data'!$C$3:$C$3390,$A10,'United Data'!$B$3:$B$3390,"Off-street")&gt;0,1,0)</f>
        <v>0</v>
      </c>
      <c r="K10">
        <f>IF(COUNTIFS('United Data'!$A$3:$A$3390,K$1,'United Data'!$C$3:$C$3390,$A10,'United Data'!$B$3:$B$3390,"Off-street")&gt;0,1,0)</f>
        <v>0</v>
      </c>
      <c r="L10">
        <f>IF(COUNTIFS('United Data'!$A$3:$A$3390,L$1,'United Data'!$C$3:$C$3390,$A10,'United Data'!$B$3:$B$3390,"Off-street")&gt;0,1,0)</f>
        <v>0</v>
      </c>
      <c r="M10">
        <f>IF(COUNTIFS('United Data'!$A$3:$A$3390,M$1,'United Data'!$C$3:$C$3390,$A10,'United Data'!$B$3:$B$3390,"Off-street")&gt;0,1,0)</f>
        <v>0</v>
      </c>
      <c r="N10">
        <f>IF(COUNTIFS('United Data'!$A$3:$A$3390,N$1,'United Data'!$C$3:$C$3390,$A10,'United Data'!$B$3:$B$3390,"Off-street")&gt;0,1,0)</f>
        <v>0</v>
      </c>
      <c r="O10">
        <f>IF(COUNTIFS('United Data'!$A$3:$A$3390,O$1,'United Data'!$C$3:$C$3390,$A10,'United Data'!$B$3:$B$3390,"Off-street")&gt;0,1,0)</f>
        <v>0</v>
      </c>
      <c r="P10">
        <f>IF(COUNTIFS('United Data'!$A$3:$A$3390,P$1,'United Data'!$C$3:$C$3390,$A10,'United Data'!$B$3:$B$3390,"Off-street")&gt;0,1,0)</f>
        <v>0</v>
      </c>
      <c r="Q10">
        <f>IF(COUNTIFS('United Data'!$A$3:$A$3390,Q$1,'United Data'!$C$3:$C$3390,$A10,'United Data'!$B$3:$B$3390,"Off-street")&gt;0,1,0)</f>
        <v>0</v>
      </c>
      <c r="R10">
        <f>IF(COUNTIFS('United Data'!$A$3:$A$3390,R$1,'United Data'!$C$3:$C$3390,$A10,'United Data'!$B$3:$B$3390,"Off-street")&gt;0,1,0)</f>
        <v>0</v>
      </c>
      <c r="S10">
        <f t="shared" si="0"/>
        <v>2</v>
      </c>
      <c r="T10">
        <f t="shared" si="1"/>
        <v>2</v>
      </c>
    </row>
    <row r="11" spans="1:20" x14ac:dyDescent="0.2">
      <c r="A11" t="s">
        <v>1974</v>
      </c>
      <c r="B11">
        <f>IF(COUNTIFS('United Data'!$A$3:$A$3390,B$1,'United Data'!$C$3:$C$3390,$A11,'United Data'!$B$3:$B$3390,"Off-street")&gt;0,1,0)</f>
        <v>0</v>
      </c>
      <c r="C11">
        <f>IF(COUNTIFS('United Data'!$A$3:$A$3390,C$1,'United Data'!$C$3:$C$3390,$A11,'United Data'!$B$3:$B$3390,"Off-street")&gt;0,1,0)</f>
        <v>1</v>
      </c>
      <c r="D11">
        <f>IF(COUNTIFS('United Data'!$A$3:$A$3390,D$1,'United Data'!$C$3:$C$3390,$A11,'United Data'!$B$3:$B$3390,"Off-street")&gt;0,1,0)</f>
        <v>0</v>
      </c>
      <c r="E11">
        <f>IF(COUNTIFS('United Data'!$A$3:$A$3390,E$1,'United Data'!$C$3:$C$3390,$A11,'United Data'!$B$3:$B$3390,"Off-street")&gt;0,1,0)</f>
        <v>1</v>
      </c>
      <c r="F11">
        <f>IF(COUNTIFS('United Data'!$A$3:$A$3390,F$1,'United Data'!$C$3:$C$3390,$A11,'United Data'!$B$3:$B$3390,"Off-street")&gt;0,1,0)</f>
        <v>1</v>
      </c>
      <c r="G11">
        <f>IF(COUNTIFS('United Data'!$A$3:$A$3390,G$1,'United Data'!$C$3:$C$3390,$A11,'United Data'!$B$3:$B$3390,"Off-street")&gt;0,1,0)</f>
        <v>0</v>
      </c>
      <c r="H11">
        <f>IF(COUNTIFS('United Data'!$A$3:$A$3390,H$1,'United Data'!$C$3:$C$3390,$A11,'United Data'!$B$3:$B$3390,"Off-street")&gt;0,1,0)</f>
        <v>1</v>
      </c>
      <c r="I11">
        <f>IF(COUNTIFS('United Data'!$A$3:$A$3390,I$1,'United Data'!$C$3:$C$3390,$A11,'United Data'!$B$3:$B$3390,"Off-street")&gt;0,1,0)</f>
        <v>0</v>
      </c>
      <c r="J11">
        <f>IF(COUNTIFS('United Data'!$A$3:$A$3390,J$1,'United Data'!$C$3:$C$3390,$A11,'United Data'!$B$3:$B$3390,"Off-street")&gt;0,1,0)</f>
        <v>0</v>
      </c>
      <c r="K11">
        <f>IF(COUNTIFS('United Data'!$A$3:$A$3390,K$1,'United Data'!$C$3:$C$3390,$A11,'United Data'!$B$3:$B$3390,"Off-street")&gt;0,1,0)</f>
        <v>0</v>
      </c>
      <c r="L11">
        <f>IF(COUNTIFS('United Data'!$A$3:$A$3390,L$1,'United Data'!$C$3:$C$3390,$A11,'United Data'!$B$3:$B$3390,"Off-street")&gt;0,1,0)</f>
        <v>0</v>
      </c>
      <c r="M11">
        <f>IF(COUNTIFS('United Data'!$A$3:$A$3390,M$1,'United Data'!$C$3:$C$3390,$A11,'United Data'!$B$3:$B$3390,"Off-street")&gt;0,1,0)</f>
        <v>0</v>
      </c>
      <c r="N11">
        <f>IF(COUNTIFS('United Data'!$A$3:$A$3390,N$1,'United Data'!$C$3:$C$3390,$A11,'United Data'!$B$3:$B$3390,"Off-street")&gt;0,1,0)</f>
        <v>0</v>
      </c>
      <c r="O11">
        <f>IF(COUNTIFS('United Data'!$A$3:$A$3390,O$1,'United Data'!$C$3:$C$3390,$A11,'United Data'!$B$3:$B$3390,"Off-street")&gt;0,1,0)</f>
        <v>0</v>
      </c>
      <c r="P11">
        <f>IF(COUNTIFS('United Data'!$A$3:$A$3390,P$1,'United Data'!$C$3:$C$3390,$A11,'United Data'!$B$3:$B$3390,"Off-street")&gt;0,1,0)</f>
        <v>0</v>
      </c>
      <c r="Q11">
        <f>IF(COUNTIFS('United Data'!$A$3:$A$3390,Q$1,'United Data'!$C$3:$C$3390,$A11,'United Data'!$B$3:$B$3390,"Off-street")&gt;0,1,0)</f>
        <v>1</v>
      </c>
      <c r="R11">
        <f>IF(COUNTIFS('United Data'!$A$3:$A$3390,R$1,'United Data'!$C$3:$C$3390,$A11,'United Data'!$B$3:$B$3390,"Off-street")&gt;0,1,0)</f>
        <v>0</v>
      </c>
      <c r="S11">
        <f t="shared" si="0"/>
        <v>5</v>
      </c>
      <c r="T11">
        <f t="shared" si="1"/>
        <v>4</v>
      </c>
    </row>
    <row r="12" spans="1:20" x14ac:dyDescent="0.2">
      <c r="A12" t="s">
        <v>1975</v>
      </c>
      <c r="B12">
        <f>IF(COUNTIFS('United Data'!$A$3:$A$3390,B$1,'United Data'!$C$3:$C$3390,$A12,'United Data'!$B$3:$B$3390,"Off-street")&gt;0,1,0)</f>
        <v>0</v>
      </c>
      <c r="C12">
        <f>IF(COUNTIFS('United Data'!$A$3:$A$3390,C$1,'United Data'!$C$3:$C$3390,$A12,'United Data'!$B$3:$B$3390,"Off-street")&gt;0,1,0)</f>
        <v>1</v>
      </c>
      <c r="D12">
        <f>IF(COUNTIFS('United Data'!$A$3:$A$3390,D$1,'United Data'!$C$3:$C$3390,$A12,'United Data'!$B$3:$B$3390,"Off-street")&gt;0,1,0)</f>
        <v>0</v>
      </c>
      <c r="E12">
        <f>IF(COUNTIFS('United Data'!$A$3:$A$3390,E$1,'United Data'!$C$3:$C$3390,$A12,'United Data'!$B$3:$B$3390,"Off-street")&gt;0,1,0)</f>
        <v>1</v>
      </c>
      <c r="F12">
        <f>IF(COUNTIFS('United Data'!$A$3:$A$3390,F$1,'United Data'!$C$3:$C$3390,$A12,'United Data'!$B$3:$B$3390,"Off-street")&gt;0,1,0)</f>
        <v>0</v>
      </c>
      <c r="G12">
        <f>IF(COUNTIFS('United Data'!$A$3:$A$3390,G$1,'United Data'!$C$3:$C$3390,$A12,'United Data'!$B$3:$B$3390,"Off-street")&gt;0,1,0)</f>
        <v>0</v>
      </c>
      <c r="H12">
        <f>IF(COUNTIFS('United Data'!$A$3:$A$3390,H$1,'United Data'!$C$3:$C$3390,$A12,'United Data'!$B$3:$B$3390,"Off-street")&gt;0,1,0)</f>
        <v>1</v>
      </c>
      <c r="I12">
        <f>IF(COUNTIFS('United Data'!$A$3:$A$3390,I$1,'United Data'!$C$3:$C$3390,$A12,'United Data'!$B$3:$B$3390,"Off-street")&gt;0,1,0)</f>
        <v>0</v>
      </c>
      <c r="J12">
        <f>IF(COUNTIFS('United Data'!$A$3:$A$3390,J$1,'United Data'!$C$3:$C$3390,$A12,'United Data'!$B$3:$B$3390,"Off-street")&gt;0,1,0)</f>
        <v>0</v>
      </c>
      <c r="K12">
        <f>IF(COUNTIFS('United Data'!$A$3:$A$3390,K$1,'United Data'!$C$3:$C$3390,$A12,'United Data'!$B$3:$B$3390,"Off-street")&gt;0,1,0)</f>
        <v>0</v>
      </c>
      <c r="L12">
        <f>IF(COUNTIFS('United Data'!$A$3:$A$3390,L$1,'United Data'!$C$3:$C$3390,$A12,'United Data'!$B$3:$B$3390,"Off-street")&gt;0,1,0)</f>
        <v>0</v>
      </c>
      <c r="M12">
        <f>IF(COUNTIFS('United Data'!$A$3:$A$3390,M$1,'United Data'!$C$3:$C$3390,$A12,'United Data'!$B$3:$B$3390,"Off-street")&gt;0,1,0)</f>
        <v>0</v>
      </c>
      <c r="N12">
        <f>IF(COUNTIFS('United Data'!$A$3:$A$3390,N$1,'United Data'!$C$3:$C$3390,$A12,'United Data'!$B$3:$B$3390,"Off-street")&gt;0,1,0)</f>
        <v>1</v>
      </c>
      <c r="O12">
        <f>IF(COUNTIFS('United Data'!$A$3:$A$3390,O$1,'United Data'!$C$3:$C$3390,$A12,'United Data'!$B$3:$B$3390,"Off-street")&gt;0,1,0)</f>
        <v>0</v>
      </c>
      <c r="P12">
        <f>IF(COUNTIFS('United Data'!$A$3:$A$3390,P$1,'United Data'!$C$3:$C$3390,$A12,'United Data'!$B$3:$B$3390,"Off-street")&gt;0,1,0)</f>
        <v>0</v>
      </c>
      <c r="Q12">
        <f>IF(COUNTIFS('United Data'!$A$3:$A$3390,Q$1,'United Data'!$C$3:$C$3390,$A12,'United Data'!$B$3:$B$3390,"Off-street")&gt;0,1,0)</f>
        <v>1</v>
      </c>
      <c r="R12">
        <f>IF(COUNTIFS('United Data'!$A$3:$A$3390,R$1,'United Data'!$C$3:$C$3390,$A12,'United Data'!$B$3:$B$3390,"Off-street")&gt;0,1,0)</f>
        <v>0</v>
      </c>
      <c r="S12">
        <f t="shared" si="0"/>
        <v>5</v>
      </c>
      <c r="T12">
        <f t="shared" si="1"/>
        <v>5</v>
      </c>
    </row>
    <row r="13" spans="1:20" x14ac:dyDescent="0.2">
      <c r="A13" t="s">
        <v>1976</v>
      </c>
      <c r="B13">
        <f>IF(COUNTIFS('United Data'!$A$3:$A$3390,B$1,'United Data'!$C$3:$C$3390,$A13,'United Data'!$B$3:$B$3390,"Off-street")&gt;0,1,0)</f>
        <v>0</v>
      </c>
      <c r="C13">
        <f>IF(COUNTIFS('United Data'!$A$3:$A$3390,C$1,'United Data'!$C$3:$C$3390,$A13,'United Data'!$B$3:$B$3390,"Off-street")&gt;0,1,0)</f>
        <v>1</v>
      </c>
      <c r="D13">
        <f>IF(COUNTIFS('United Data'!$A$3:$A$3390,D$1,'United Data'!$C$3:$C$3390,$A13,'United Data'!$B$3:$B$3390,"Off-street")&gt;0,1,0)</f>
        <v>0</v>
      </c>
      <c r="E13">
        <f>IF(COUNTIFS('United Data'!$A$3:$A$3390,E$1,'United Data'!$C$3:$C$3390,$A13,'United Data'!$B$3:$B$3390,"Off-street")&gt;0,1,0)</f>
        <v>0</v>
      </c>
      <c r="F13">
        <f>IF(COUNTIFS('United Data'!$A$3:$A$3390,F$1,'United Data'!$C$3:$C$3390,$A13,'United Data'!$B$3:$B$3390,"Off-street")&gt;0,1,0)</f>
        <v>0</v>
      </c>
      <c r="G13">
        <f>IF(COUNTIFS('United Data'!$A$3:$A$3390,G$1,'United Data'!$C$3:$C$3390,$A13,'United Data'!$B$3:$B$3390,"Off-street")&gt;0,1,0)</f>
        <v>0</v>
      </c>
      <c r="H13">
        <f>IF(COUNTIFS('United Data'!$A$3:$A$3390,H$1,'United Data'!$C$3:$C$3390,$A13,'United Data'!$B$3:$B$3390,"Off-street")&gt;0,1,0)</f>
        <v>0</v>
      </c>
      <c r="I13">
        <f>IF(COUNTIFS('United Data'!$A$3:$A$3390,I$1,'United Data'!$C$3:$C$3390,$A13,'United Data'!$B$3:$B$3390,"Off-street")&gt;0,1,0)</f>
        <v>0</v>
      </c>
      <c r="J13">
        <f>IF(COUNTIFS('United Data'!$A$3:$A$3390,J$1,'United Data'!$C$3:$C$3390,$A13,'United Data'!$B$3:$B$3390,"Off-street")&gt;0,1,0)</f>
        <v>0</v>
      </c>
      <c r="K13">
        <f>IF(COUNTIFS('United Data'!$A$3:$A$3390,K$1,'United Data'!$C$3:$C$3390,$A13,'United Data'!$B$3:$B$3390,"Off-street")&gt;0,1,0)</f>
        <v>0</v>
      </c>
      <c r="L13">
        <f>IF(COUNTIFS('United Data'!$A$3:$A$3390,L$1,'United Data'!$C$3:$C$3390,$A13,'United Data'!$B$3:$B$3390,"Off-street")&gt;0,1,0)</f>
        <v>0</v>
      </c>
      <c r="M13">
        <f>IF(COUNTIFS('United Data'!$A$3:$A$3390,M$1,'United Data'!$C$3:$C$3390,$A13,'United Data'!$B$3:$B$3390,"Off-street")&gt;0,1,0)</f>
        <v>0</v>
      </c>
      <c r="N13">
        <f>IF(COUNTIFS('United Data'!$A$3:$A$3390,N$1,'United Data'!$C$3:$C$3390,$A13,'United Data'!$B$3:$B$3390,"Off-street")&gt;0,1,0)</f>
        <v>0</v>
      </c>
      <c r="O13">
        <f>IF(COUNTIFS('United Data'!$A$3:$A$3390,O$1,'United Data'!$C$3:$C$3390,$A13,'United Data'!$B$3:$B$3390,"Off-street")&gt;0,1,0)</f>
        <v>0</v>
      </c>
      <c r="P13">
        <f>IF(COUNTIFS('United Data'!$A$3:$A$3390,P$1,'United Data'!$C$3:$C$3390,$A13,'United Data'!$B$3:$B$3390,"Off-street")&gt;0,1,0)</f>
        <v>0</v>
      </c>
      <c r="Q13">
        <f>IF(COUNTIFS('United Data'!$A$3:$A$3390,Q$1,'United Data'!$C$3:$C$3390,$A13,'United Data'!$B$3:$B$3390,"Off-street")&gt;0,1,0)</f>
        <v>0</v>
      </c>
      <c r="R13">
        <f>IF(COUNTIFS('United Data'!$A$3:$A$3390,R$1,'United Data'!$C$3:$C$3390,$A13,'United Data'!$B$3:$B$3390,"Off-street")&gt;0,1,0)</f>
        <v>0</v>
      </c>
      <c r="S13">
        <f t="shared" si="0"/>
        <v>1</v>
      </c>
      <c r="T13">
        <f t="shared" si="1"/>
        <v>1</v>
      </c>
    </row>
    <row r="14" spans="1:20" x14ac:dyDescent="0.2">
      <c r="A14" t="s">
        <v>1977</v>
      </c>
      <c r="B14">
        <f>IF(COUNTIFS('United Data'!$A$3:$A$3390,B$1,'United Data'!$C$3:$C$3390,$A14,'United Data'!$B$3:$B$3390,"Off-street")&gt;0,1,0)</f>
        <v>0</v>
      </c>
      <c r="C14">
        <f>IF(COUNTIFS('United Data'!$A$3:$A$3390,C$1,'United Data'!$C$3:$C$3390,$A14,'United Data'!$B$3:$B$3390,"Off-street")&gt;0,1,0)</f>
        <v>1</v>
      </c>
      <c r="D14">
        <f>IF(COUNTIFS('United Data'!$A$3:$A$3390,D$1,'United Data'!$C$3:$C$3390,$A14,'United Data'!$B$3:$B$3390,"Off-street")&gt;0,1,0)</f>
        <v>0</v>
      </c>
      <c r="E14">
        <f>IF(COUNTIFS('United Data'!$A$3:$A$3390,E$1,'United Data'!$C$3:$C$3390,$A14,'United Data'!$B$3:$B$3390,"Off-street")&gt;0,1,0)</f>
        <v>0</v>
      </c>
      <c r="F14">
        <f>IF(COUNTIFS('United Data'!$A$3:$A$3390,F$1,'United Data'!$C$3:$C$3390,$A14,'United Data'!$B$3:$B$3390,"Off-street")&gt;0,1,0)</f>
        <v>0</v>
      </c>
      <c r="G14">
        <f>IF(COUNTIFS('United Data'!$A$3:$A$3390,G$1,'United Data'!$C$3:$C$3390,$A14,'United Data'!$B$3:$B$3390,"Off-street")&gt;0,1,0)</f>
        <v>0</v>
      </c>
      <c r="H14">
        <f>IF(COUNTIFS('United Data'!$A$3:$A$3390,H$1,'United Data'!$C$3:$C$3390,$A14,'United Data'!$B$3:$B$3390,"Off-street")&gt;0,1,0)</f>
        <v>0</v>
      </c>
      <c r="I14">
        <f>IF(COUNTIFS('United Data'!$A$3:$A$3390,I$1,'United Data'!$C$3:$C$3390,$A14,'United Data'!$B$3:$B$3390,"Off-street")&gt;0,1,0)</f>
        <v>0</v>
      </c>
      <c r="J14">
        <f>IF(COUNTIFS('United Data'!$A$3:$A$3390,J$1,'United Data'!$C$3:$C$3390,$A14,'United Data'!$B$3:$B$3390,"Off-street")&gt;0,1,0)</f>
        <v>0</v>
      </c>
      <c r="K14">
        <f>IF(COUNTIFS('United Data'!$A$3:$A$3390,K$1,'United Data'!$C$3:$C$3390,$A14,'United Data'!$B$3:$B$3390,"Off-street")&gt;0,1,0)</f>
        <v>0</v>
      </c>
      <c r="L14">
        <f>IF(COUNTIFS('United Data'!$A$3:$A$3390,L$1,'United Data'!$C$3:$C$3390,$A14,'United Data'!$B$3:$B$3390,"Off-street")&gt;0,1,0)</f>
        <v>0</v>
      </c>
      <c r="M14">
        <f>IF(COUNTIFS('United Data'!$A$3:$A$3390,M$1,'United Data'!$C$3:$C$3390,$A14,'United Data'!$B$3:$B$3390,"Off-street")&gt;0,1,0)</f>
        <v>0</v>
      </c>
      <c r="N14">
        <f>IF(COUNTIFS('United Data'!$A$3:$A$3390,N$1,'United Data'!$C$3:$C$3390,$A14,'United Data'!$B$3:$B$3390,"Off-street")&gt;0,1,0)</f>
        <v>0</v>
      </c>
      <c r="O14">
        <f>IF(COUNTIFS('United Data'!$A$3:$A$3390,O$1,'United Data'!$C$3:$C$3390,$A14,'United Data'!$B$3:$B$3390,"Off-street")&gt;0,1,0)</f>
        <v>0</v>
      </c>
      <c r="P14">
        <f>IF(COUNTIFS('United Data'!$A$3:$A$3390,P$1,'United Data'!$C$3:$C$3390,$A14,'United Data'!$B$3:$B$3390,"Off-street")&gt;0,1,0)</f>
        <v>0</v>
      </c>
      <c r="Q14">
        <f>IF(COUNTIFS('United Data'!$A$3:$A$3390,Q$1,'United Data'!$C$3:$C$3390,$A14,'United Data'!$B$3:$B$3390,"Off-street")&gt;0,1,0)</f>
        <v>0</v>
      </c>
      <c r="R14">
        <f>IF(COUNTIFS('United Data'!$A$3:$A$3390,R$1,'United Data'!$C$3:$C$3390,$A14,'United Data'!$B$3:$B$3390,"Off-street")&gt;0,1,0)</f>
        <v>0</v>
      </c>
      <c r="S14">
        <f t="shared" si="0"/>
        <v>1</v>
      </c>
      <c r="T14">
        <f t="shared" si="1"/>
        <v>1</v>
      </c>
    </row>
    <row r="15" spans="1:20" x14ac:dyDescent="0.2">
      <c r="A15" t="s">
        <v>1978</v>
      </c>
      <c r="B15">
        <f>IF(COUNTIFS('United Data'!$A$3:$A$3390,B$1,'United Data'!$C$3:$C$3390,$A15,'United Data'!$B$3:$B$3390,"Off-street")&gt;0,1,0)</f>
        <v>0</v>
      </c>
      <c r="C15">
        <f>IF(COUNTIFS('United Data'!$A$3:$A$3390,C$1,'United Data'!$C$3:$C$3390,$A15,'United Data'!$B$3:$B$3390,"Off-street")&gt;0,1,0)</f>
        <v>1</v>
      </c>
      <c r="D15">
        <f>IF(COUNTIFS('United Data'!$A$3:$A$3390,D$1,'United Data'!$C$3:$C$3390,$A15,'United Data'!$B$3:$B$3390,"Off-street")&gt;0,1,0)</f>
        <v>0</v>
      </c>
      <c r="E15">
        <f>IF(COUNTIFS('United Data'!$A$3:$A$3390,E$1,'United Data'!$C$3:$C$3390,$A15,'United Data'!$B$3:$B$3390,"Off-street")&gt;0,1,0)</f>
        <v>1</v>
      </c>
      <c r="F15">
        <f>IF(COUNTIFS('United Data'!$A$3:$A$3390,F$1,'United Data'!$C$3:$C$3390,$A15,'United Data'!$B$3:$B$3390,"Off-street")&gt;0,1,0)</f>
        <v>1</v>
      </c>
      <c r="G15">
        <f>IF(COUNTIFS('United Data'!$A$3:$A$3390,G$1,'United Data'!$C$3:$C$3390,$A15,'United Data'!$B$3:$B$3390,"Off-street")&gt;0,1,0)</f>
        <v>0</v>
      </c>
      <c r="H15">
        <f>IF(COUNTIFS('United Data'!$A$3:$A$3390,H$1,'United Data'!$C$3:$C$3390,$A15,'United Data'!$B$3:$B$3390,"Off-street")&gt;0,1,0)</f>
        <v>0</v>
      </c>
      <c r="I15">
        <f>IF(COUNTIFS('United Data'!$A$3:$A$3390,I$1,'United Data'!$C$3:$C$3390,$A15,'United Data'!$B$3:$B$3390,"Off-street")&gt;0,1,0)</f>
        <v>0</v>
      </c>
      <c r="J15">
        <f>IF(COUNTIFS('United Data'!$A$3:$A$3390,J$1,'United Data'!$C$3:$C$3390,$A15,'United Data'!$B$3:$B$3390,"Off-street")&gt;0,1,0)</f>
        <v>0</v>
      </c>
      <c r="K15">
        <f>IF(COUNTIFS('United Data'!$A$3:$A$3390,K$1,'United Data'!$C$3:$C$3390,$A15,'United Data'!$B$3:$B$3390,"Off-street")&gt;0,1,0)</f>
        <v>0</v>
      </c>
      <c r="L15">
        <f>IF(COUNTIFS('United Data'!$A$3:$A$3390,L$1,'United Data'!$C$3:$C$3390,$A15,'United Data'!$B$3:$B$3390,"Off-street")&gt;0,1,0)</f>
        <v>0</v>
      </c>
      <c r="M15">
        <f>IF(COUNTIFS('United Data'!$A$3:$A$3390,M$1,'United Data'!$C$3:$C$3390,$A15,'United Data'!$B$3:$B$3390,"Off-street")&gt;0,1,0)</f>
        <v>0</v>
      </c>
      <c r="N15">
        <f>IF(COUNTIFS('United Data'!$A$3:$A$3390,N$1,'United Data'!$C$3:$C$3390,$A15,'United Data'!$B$3:$B$3390,"Off-street")&gt;0,1,0)</f>
        <v>1</v>
      </c>
      <c r="O15">
        <f>IF(COUNTIFS('United Data'!$A$3:$A$3390,O$1,'United Data'!$C$3:$C$3390,$A15,'United Data'!$B$3:$B$3390,"Off-street")&gt;0,1,0)</f>
        <v>0</v>
      </c>
      <c r="P15">
        <f>IF(COUNTIFS('United Data'!$A$3:$A$3390,P$1,'United Data'!$C$3:$C$3390,$A15,'United Data'!$B$3:$B$3390,"Off-street")&gt;0,1,0)</f>
        <v>0</v>
      </c>
      <c r="Q15">
        <f>IF(COUNTIFS('United Data'!$A$3:$A$3390,Q$1,'United Data'!$C$3:$C$3390,$A15,'United Data'!$B$3:$B$3390,"Off-street")&gt;0,1,0)</f>
        <v>1</v>
      </c>
      <c r="R15">
        <f>IF(COUNTIFS('United Data'!$A$3:$A$3390,R$1,'United Data'!$C$3:$C$3390,$A15,'United Data'!$B$3:$B$3390,"Off-street")&gt;0,1,0)</f>
        <v>0</v>
      </c>
      <c r="S15">
        <f t="shared" si="0"/>
        <v>5</v>
      </c>
      <c r="T15">
        <f t="shared" si="1"/>
        <v>4</v>
      </c>
    </row>
    <row r="16" spans="1:20" x14ac:dyDescent="0.2">
      <c r="A16" t="s">
        <v>1979</v>
      </c>
      <c r="B16">
        <f>IF(COUNTIFS('United Data'!$A$3:$A$3390,B$1,'United Data'!$C$3:$C$3390,$A16,'United Data'!$B$3:$B$3390,"Off-street")&gt;0,1,0)</f>
        <v>0</v>
      </c>
      <c r="C16">
        <f>IF(COUNTIFS('United Data'!$A$3:$A$3390,C$1,'United Data'!$C$3:$C$3390,$A16,'United Data'!$B$3:$B$3390,"Off-street")&gt;0,1,0)</f>
        <v>0</v>
      </c>
      <c r="D16">
        <f>IF(COUNTIFS('United Data'!$A$3:$A$3390,D$1,'United Data'!$C$3:$C$3390,$A16,'United Data'!$B$3:$B$3390,"Off-street")&gt;0,1,0)</f>
        <v>1</v>
      </c>
      <c r="E16">
        <f>IF(COUNTIFS('United Data'!$A$3:$A$3390,E$1,'United Data'!$C$3:$C$3390,$A16,'United Data'!$B$3:$B$3390,"Off-street")&gt;0,1,0)</f>
        <v>0</v>
      </c>
      <c r="F16">
        <f>IF(COUNTIFS('United Data'!$A$3:$A$3390,F$1,'United Data'!$C$3:$C$3390,$A16,'United Data'!$B$3:$B$3390,"Off-street")&gt;0,1,0)</f>
        <v>0</v>
      </c>
      <c r="G16">
        <f>IF(COUNTIFS('United Data'!$A$3:$A$3390,G$1,'United Data'!$C$3:$C$3390,$A16,'United Data'!$B$3:$B$3390,"Off-street")&gt;0,1,0)</f>
        <v>0</v>
      </c>
      <c r="H16">
        <f>IF(COUNTIFS('United Data'!$A$3:$A$3390,H$1,'United Data'!$C$3:$C$3390,$A16,'United Data'!$B$3:$B$3390,"Off-street")&gt;0,1,0)</f>
        <v>0</v>
      </c>
      <c r="I16">
        <f>IF(COUNTIFS('United Data'!$A$3:$A$3390,I$1,'United Data'!$C$3:$C$3390,$A16,'United Data'!$B$3:$B$3390,"Off-street")&gt;0,1,0)</f>
        <v>0</v>
      </c>
      <c r="J16">
        <f>IF(COUNTIFS('United Data'!$A$3:$A$3390,J$1,'United Data'!$C$3:$C$3390,$A16,'United Data'!$B$3:$B$3390,"Off-street")&gt;0,1,0)</f>
        <v>0</v>
      </c>
      <c r="K16">
        <f>IF(COUNTIFS('United Data'!$A$3:$A$3390,K$1,'United Data'!$C$3:$C$3390,$A16,'United Data'!$B$3:$B$3390,"Off-street")&gt;0,1,0)</f>
        <v>0</v>
      </c>
      <c r="L16">
        <f>IF(COUNTIFS('United Data'!$A$3:$A$3390,L$1,'United Data'!$C$3:$C$3390,$A16,'United Data'!$B$3:$B$3390,"Off-street")&gt;0,1,0)</f>
        <v>0</v>
      </c>
      <c r="M16">
        <f>IF(COUNTIFS('United Data'!$A$3:$A$3390,M$1,'United Data'!$C$3:$C$3390,$A16,'United Data'!$B$3:$B$3390,"Off-street")&gt;0,1,0)</f>
        <v>0</v>
      </c>
      <c r="N16">
        <f>IF(COUNTIFS('United Data'!$A$3:$A$3390,N$1,'United Data'!$C$3:$C$3390,$A16,'United Data'!$B$3:$B$3390,"Off-street")&gt;0,1,0)</f>
        <v>0</v>
      </c>
      <c r="O16">
        <f>IF(COUNTIFS('United Data'!$A$3:$A$3390,O$1,'United Data'!$C$3:$C$3390,$A16,'United Data'!$B$3:$B$3390,"Off-street")&gt;0,1,0)</f>
        <v>0</v>
      </c>
      <c r="P16">
        <f>IF(COUNTIFS('United Data'!$A$3:$A$3390,P$1,'United Data'!$C$3:$C$3390,$A16,'United Data'!$B$3:$B$3390,"Off-street")&gt;0,1,0)</f>
        <v>0</v>
      </c>
      <c r="Q16">
        <f>IF(COUNTIFS('United Data'!$A$3:$A$3390,Q$1,'United Data'!$C$3:$C$3390,$A16,'United Data'!$B$3:$B$3390,"Off-street")&gt;0,1,0)</f>
        <v>0</v>
      </c>
      <c r="R16">
        <f>IF(COUNTIFS('United Data'!$A$3:$A$3390,R$1,'United Data'!$C$3:$C$3390,$A16,'United Data'!$B$3:$B$3390,"Off-street")&gt;0,1,0)</f>
        <v>0</v>
      </c>
      <c r="S16">
        <f t="shared" si="0"/>
        <v>1</v>
      </c>
      <c r="T16">
        <f t="shared" si="1"/>
        <v>1</v>
      </c>
    </row>
    <row r="17" spans="1:20" x14ac:dyDescent="0.2">
      <c r="A17" t="s">
        <v>1981</v>
      </c>
      <c r="B17">
        <f>IF(COUNTIFS('United Data'!$A$3:$A$3390,B$1,'United Data'!$C$3:$C$3390,$A17,'United Data'!$B$3:$B$3390,"Off-street")&gt;0,1,0)</f>
        <v>0</v>
      </c>
      <c r="C17">
        <f>IF(COUNTIFS('United Data'!$A$3:$A$3390,C$1,'United Data'!$C$3:$C$3390,$A17,'United Data'!$B$3:$B$3390,"Off-street")&gt;0,1,0)</f>
        <v>0</v>
      </c>
      <c r="D17">
        <f>IF(COUNTIFS('United Data'!$A$3:$A$3390,D$1,'United Data'!$C$3:$C$3390,$A17,'United Data'!$B$3:$B$3390,"Off-street")&gt;0,1,0)</f>
        <v>1</v>
      </c>
      <c r="E17">
        <f>IF(COUNTIFS('United Data'!$A$3:$A$3390,E$1,'United Data'!$C$3:$C$3390,$A17,'United Data'!$B$3:$B$3390,"Off-street")&gt;0,1,0)</f>
        <v>1</v>
      </c>
      <c r="F17">
        <f>IF(COUNTIFS('United Data'!$A$3:$A$3390,F$1,'United Data'!$C$3:$C$3390,$A17,'United Data'!$B$3:$B$3390,"Off-street")&gt;0,1,0)</f>
        <v>1</v>
      </c>
      <c r="G17">
        <f>IF(COUNTIFS('United Data'!$A$3:$A$3390,G$1,'United Data'!$C$3:$C$3390,$A17,'United Data'!$B$3:$B$3390,"Off-street")&gt;0,1,0)</f>
        <v>0</v>
      </c>
      <c r="H17">
        <f>IF(COUNTIFS('United Data'!$A$3:$A$3390,H$1,'United Data'!$C$3:$C$3390,$A17,'United Data'!$B$3:$B$3390,"Off-street")&gt;0,1,0)</f>
        <v>0</v>
      </c>
      <c r="I17">
        <f>IF(COUNTIFS('United Data'!$A$3:$A$3390,I$1,'United Data'!$C$3:$C$3390,$A17,'United Data'!$B$3:$B$3390,"Off-street")&gt;0,1,0)</f>
        <v>0</v>
      </c>
      <c r="J17">
        <f>IF(COUNTIFS('United Data'!$A$3:$A$3390,J$1,'United Data'!$C$3:$C$3390,$A17,'United Data'!$B$3:$B$3390,"Off-street")&gt;0,1,0)</f>
        <v>1</v>
      </c>
      <c r="K17">
        <f>IF(COUNTIFS('United Data'!$A$3:$A$3390,K$1,'United Data'!$C$3:$C$3390,$A17,'United Data'!$B$3:$B$3390,"Off-street")&gt;0,1,0)</f>
        <v>0</v>
      </c>
      <c r="L17">
        <f>IF(COUNTIFS('United Data'!$A$3:$A$3390,L$1,'United Data'!$C$3:$C$3390,$A17,'United Data'!$B$3:$B$3390,"Off-street")&gt;0,1,0)</f>
        <v>0</v>
      </c>
      <c r="M17">
        <f>IF(COUNTIFS('United Data'!$A$3:$A$3390,M$1,'United Data'!$C$3:$C$3390,$A17,'United Data'!$B$3:$B$3390,"Off-street")&gt;0,1,0)</f>
        <v>0</v>
      </c>
      <c r="N17">
        <f>IF(COUNTIFS('United Data'!$A$3:$A$3390,N$1,'United Data'!$C$3:$C$3390,$A17,'United Data'!$B$3:$B$3390,"Off-street")&gt;0,1,0)</f>
        <v>0</v>
      </c>
      <c r="O17">
        <f>IF(COUNTIFS('United Data'!$A$3:$A$3390,O$1,'United Data'!$C$3:$C$3390,$A17,'United Data'!$B$3:$B$3390,"Off-street")&gt;0,1,0)</f>
        <v>0</v>
      </c>
      <c r="P17">
        <f>IF(COUNTIFS('United Data'!$A$3:$A$3390,P$1,'United Data'!$C$3:$C$3390,$A17,'United Data'!$B$3:$B$3390,"Off-street")&gt;0,1,0)</f>
        <v>0</v>
      </c>
      <c r="Q17">
        <f>IF(COUNTIFS('United Data'!$A$3:$A$3390,Q$1,'United Data'!$C$3:$C$3390,$A17,'United Data'!$B$3:$B$3390,"Off-street")&gt;0,1,0)</f>
        <v>0</v>
      </c>
      <c r="R17">
        <f>IF(COUNTIFS('United Data'!$A$3:$A$3390,R$1,'United Data'!$C$3:$C$3390,$A17,'United Data'!$B$3:$B$3390,"Off-street")&gt;0,1,0)</f>
        <v>0</v>
      </c>
      <c r="S17">
        <f t="shared" si="0"/>
        <v>4</v>
      </c>
      <c r="T17">
        <f t="shared" si="1"/>
        <v>2</v>
      </c>
    </row>
    <row r="18" spans="1:20" x14ac:dyDescent="0.2">
      <c r="A18" t="s">
        <v>1983</v>
      </c>
      <c r="B18">
        <f>IF(COUNTIFS('United Data'!$A$3:$A$3390,B$1,'United Data'!$C$3:$C$3390,$A18,'United Data'!$B$3:$B$3390,"Off-street")&gt;0,1,0)</f>
        <v>0</v>
      </c>
      <c r="C18">
        <f>IF(COUNTIFS('United Data'!$A$3:$A$3390,C$1,'United Data'!$C$3:$C$3390,$A18,'United Data'!$B$3:$B$3390,"Off-street")&gt;0,1,0)</f>
        <v>0</v>
      </c>
      <c r="D18">
        <f>IF(COUNTIFS('United Data'!$A$3:$A$3390,D$1,'United Data'!$C$3:$C$3390,$A18,'United Data'!$B$3:$B$3390,"Off-street")&gt;0,1,0)</f>
        <v>1</v>
      </c>
      <c r="E18">
        <f>IF(COUNTIFS('United Data'!$A$3:$A$3390,E$1,'United Data'!$C$3:$C$3390,$A18,'United Data'!$B$3:$B$3390,"Off-street")&gt;0,1,0)</f>
        <v>1</v>
      </c>
      <c r="F18">
        <f>IF(COUNTIFS('United Data'!$A$3:$A$3390,F$1,'United Data'!$C$3:$C$3390,$A18,'United Data'!$B$3:$B$3390,"Off-street")&gt;0,1,0)</f>
        <v>1</v>
      </c>
      <c r="G18">
        <f>IF(COUNTIFS('United Data'!$A$3:$A$3390,G$1,'United Data'!$C$3:$C$3390,$A18,'United Data'!$B$3:$B$3390,"Off-street")&gt;0,1,0)</f>
        <v>0</v>
      </c>
      <c r="H18">
        <f>IF(COUNTIFS('United Data'!$A$3:$A$3390,H$1,'United Data'!$C$3:$C$3390,$A18,'United Data'!$B$3:$B$3390,"Off-street")&gt;0,1,0)</f>
        <v>0</v>
      </c>
      <c r="I18">
        <f>IF(COUNTIFS('United Data'!$A$3:$A$3390,I$1,'United Data'!$C$3:$C$3390,$A18,'United Data'!$B$3:$B$3390,"Off-street")&gt;0,1,0)</f>
        <v>0</v>
      </c>
      <c r="J18">
        <f>IF(COUNTIFS('United Data'!$A$3:$A$3390,J$1,'United Data'!$C$3:$C$3390,$A18,'United Data'!$B$3:$B$3390,"Off-street")&gt;0,1,0)</f>
        <v>1</v>
      </c>
      <c r="K18">
        <f>IF(COUNTIFS('United Data'!$A$3:$A$3390,K$1,'United Data'!$C$3:$C$3390,$A18,'United Data'!$B$3:$B$3390,"Off-street")&gt;0,1,0)</f>
        <v>0</v>
      </c>
      <c r="L18">
        <f>IF(COUNTIFS('United Data'!$A$3:$A$3390,L$1,'United Data'!$C$3:$C$3390,$A18,'United Data'!$B$3:$B$3390,"Off-street")&gt;0,1,0)</f>
        <v>0</v>
      </c>
      <c r="M18">
        <f>IF(COUNTIFS('United Data'!$A$3:$A$3390,M$1,'United Data'!$C$3:$C$3390,$A18,'United Data'!$B$3:$B$3390,"Off-street")&gt;0,1,0)</f>
        <v>1</v>
      </c>
      <c r="N18">
        <f>IF(COUNTIFS('United Data'!$A$3:$A$3390,N$1,'United Data'!$C$3:$C$3390,$A18,'United Data'!$B$3:$B$3390,"Off-street")&gt;0,1,0)</f>
        <v>0</v>
      </c>
      <c r="O18">
        <f>IF(COUNTIFS('United Data'!$A$3:$A$3390,O$1,'United Data'!$C$3:$C$3390,$A18,'United Data'!$B$3:$B$3390,"Off-street")&gt;0,1,0)</f>
        <v>0</v>
      </c>
      <c r="P18">
        <f>IF(COUNTIFS('United Data'!$A$3:$A$3390,P$1,'United Data'!$C$3:$C$3390,$A18,'United Data'!$B$3:$B$3390,"Off-street")&gt;0,1,0)</f>
        <v>0</v>
      </c>
      <c r="Q18">
        <f>IF(COUNTIFS('United Data'!$A$3:$A$3390,Q$1,'United Data'!$C$3:$C$3390,$A18,'United Data'!$B$3:$B$3390,"Off-street")&gt;0,1,0)</f>
        <v>0</v>
      </c>
      <c r="R18">
        <f>IF(COUNTIFS('United Data'!$A$3:$A$3390,R$1,'United Data'!$C$3:$C$3390,$A18,'United Data'!$B$3:$B$3390,"Off-street")&gt;0,1,0)</f>
        <v>1</v>
      </c>
      <c r="S18">
        <f t="shared" si="0"/>
        <v>6</v>
      </c>
      <c r="T18">
        <f t="shared" si="1"/>
        <v>4</v>
      </c>
    </row>
    <row r="19" spans="1:20" x14ac:dyDescent="0.2">
      <c r="A19" t="s">
        <v>1985</v>
      </c>
      <c r="B19">
        <f>IF(COUNTIFS('United Data'!$A$3:$A$3390,B$1,'United Data'!$C$3:$C$3390,$A19,'United Data'!$B$3:$B$3390,"Off-street")&gt;0,1,0)</f>
        <v>0</v>
      </c>
      <c r="C19">
        <f>IF(COUNTIFS('United Data'!$A$3:$A$3390,C$1,'United Data'!$C$3:$C$3390,$A19,'United Data'!$B$3:$B$3390,"Off-street")&gt;0,1,0)</f>
        <v>0</v>
      </c>
      <c r="D19">
        <f>IF(COUNTIFS('United Data'!$A$3:$A$3390,D$1,'United Data'!$C$3:$C$3390,$A19,'United Data'!$B$3:$B$3390,"Off-street")&gt;0,1,0)</f>
        <v>1</v>
      </c>
      <c r="E19">
        <f>IF(COUNTIFS('United Data'!$A$3:$A$3390,E$1,'United Data'!$C$3:$C$3390,$A19,'United Data'!$B$3:$B$3390,"Off-street")&gt;0,1,0)</f>
        <v>0</v>
      </c>
      <c r="F19">
        <f>IF(COUNTIFS('United Data'!$A$3:$A$3390,F$1,'United Data'!$C$3:$C$3390,$A19,'United Data'!$B$3:$B$3390,"Off-street")&gt;0,1,0)</f>
        <v>0</v>
      </c>
      <c r="G19">
        <f>IF(COUNTIFS('United Data'!$A$3:$A$3390,G$1,'United Data'!$C$3:$C$3390,$A19,'United Data'!$B$3:$B$3390,"Off-street")&gt;0,1,0)</f>
        <v>0</v>
      </c>
      <c r="H19">
        <f>IF(COUNTIFS('United Data'!$A$3:$A$3390,H$1,'United Data'!$C$3:$C$3390,$A19,'United Data'!$B$3:$B$3390,"Off-street")&gt;0,1,0)</f>
        <v>0</v>
      </c>
      <c r="I19">
        <f>IF(COUNTIFS('United Data'!$A$3:$A$3390,I$1,'United Data'!$C$3:$C$3390,$A19,'United Data'!$B$3:$B$3390,"Off-street")&gt;0,1,0)</f>
        <v>0</v>
      </c>
      <c r="J19">
        <f>IF(COUNTIFS('United Data'!$A$3:$A$3390,J$1,'United Data'!$C$3:$C$3390,$A19,'United Data'!$B$3:$B$3390,"Off-street")&gt;0,1,0)</f>
        <v>0</v>
      </c>
      <c r="K19">
        <f>IF(COUNTIFS('United Data'!$A$3:$A$3390,K$1,'United Data'!$C$3:$C$3390,$A19,'United Data'!$B$3:$B$3390,"Off-street")&gt;0,1,0)</f>
        <v>0</v>
      </c>
      <c r="L19">
        <f>IF(COUNTIFS('United Data'!$A$3:$A$3390,L$1,'United Data'!$C$3:$C$3390,$A19,'United Data'!$B$3:$B$3390,"Off-street")&gt;0,1,0)</f>
        <v>0</v>
      </c>
      <c r="M19">
        <f>IF(COUNTIFS('United Data'!$A$3:$A$3390,M$1,'United Data'!$C$3:$C$3390,$A19,'United Data'!$B$3:$B$3390,"Off-street")&gt;0,1,0)</f>
        <v>0</v>
      </c>
      <c r="N19">
        <f>IF(COUNTIFS('United Data'!$A$3:$A$3390,N$1,'United Data'!$C$3:$C$3390,$A19,'United Data'!$B$3:$B$3390,"Off-street")&gt;0,1,0)</f>
        <v>0</v>
      </c>
      <c r="O19">
        <f>IF(COUNTIFS('United Data'!$A$3:$A$3390,O$1,'United Data'!$C$3:$C$3390,$A19,'United Data'!$B$3:$B$3390,"Off-street")&gt;0,1,0)</f>
        <v>0</v>
      </c>
      <c r="P19">
        <f>IF(COUNTIFS('United Data'!$A$3:$A$3390,P$1,'United Data'!$C$3:$C$3390,$A19,'United Data'!$B$3:$B$3390,"Off-street")&gt;0,1,0)</f>
        <v>0</v>
      </c>
      <c r="Q19">
        <f>IF(COUNTIFS('United Data'!$A$3:$A$3390,Q$1,'United Data'!$C$3:$C$3390,$A19,'United Data'!$B$3:$B$3390,"Off-street")&gt;0,1,0)</f>
        <v>0</v>
      </c>
      <c r="R19">
        <f>IF(COUNTIFS('United Data'!$A$3:$A$3390,R$1,'United Data'!$C$3:$C$3390,$A19,'United Data'!$B$3:$B$3390,"Off-street")&gt;0,1,0)</f>
        <v>0</v>
      </c>
      <c r="S19">
        <f t="shared" si="0"/>
        <v>1</v>
      </c>
      <c r="T19">
        <f t="shared" si="1"/>
        <v>1</v>
      </c>
    </row>
    <row r="20" spans="1:20" x14ac:dyDescent="0.2">
      <c r="A20" t="s">
        <v>1986</v>
      </c>
      <c r="B20">
        <f>IF(COUNTIFS('United Data'!$A$3:$A$3390,B$1,'United Data'!$C$3:$C$3390,$A20,'United Data'!$B$3:$B$3390,"Off-street")&gt;0,1,0)</f>
        <v>0</v>
      </c>
      <c r="C20">
        <f>IF(COUNTIFS('United Data'!$A$3:$A$3390,C$1,'United Data'!$C$3:$C$3390,$A20,'United Data'!$B$3:$B$3390,"Off-street")&gt;0,1,0)</f>
        <v>0</v>
      </c>
      <c r="D20">
        <f>IF(COUNTIFS('United Data'!$A$3:$A$3390,D$1,'United Data'!$C$3:$C$3390,$A20,'United Data'!$B$3:$B$3390,"Off-street")&gt;0,1,0)</f>
        <v>1</v>
      </c>
      <c r="E20">
        <f>IF(COUNTIFS('United Data'!$A$3:$A$3390,E$1,'United Data'!$C$3:$C$3390,$A20,'United Data'!$B$3:$B$3390,"Off-street")&gt;0,1,0)</f>
        <v>0</v>
      </c>
      <c r="F20">
        <f>IF(COUNTIFS('United Data'!$A$3:$A$3390,F$1,'United Data'!$C$3:$C$3390,$A20,'United Data'!$B$3:$B$3390,"Off-street")&gt;0,1,0)</f>
        <v>0</v>
      </c>
      <c r="G20">
        <f>IF(COUNTIFS('United Data'!$A$3:$A$3390,G$1,'United Data'!$C$3:$C$3390,$A20,'United Data'!$B$3:$B$3390,"Off-street")&gt;0,1,0)</f>
        <v>0</v>
      </c>
      <c r="H20">
        <f>IF(COUNTIFS('United Data'!$A$3:$A$3390,H$1,'United Data'!$C$3:$C$3390,$A20,'United Data'!$B$3:$B$3390,"Off-street")&gt;0,1,0)</f>
        <v>0</v>
      </c>
      <c r="I20">
        <f>IF(COUNTIFS('United Data'!$A$3:$A$3390,I$1,'United Data'!$C$3:$C$3390,$A20,'United Data'!$B$3:$B$3390,"Off-street")&gt;0,1,0)</f>
        <v>0</v>
      </c>
      <c r="J20">
        <f>IF(COUNTIFS('United Data'!$A$3:$A$3390,J$1,'United Data'!$C$3:$C$3390,$A20,'United Data'!$B$3:$B$3390,"Off-street")&gt;0,1,0)</f>
        <v>0</v>
      </c>
      <c r="K20">
        <f>IF(COUNTIFS('United Data'!$A$3:$A$3390,K$1,'United Data'!$C$3:$C$3390,$A20,'United Data'!$B$3:$B$3390,"Off-street")&gt;0,1,0)</f>
        <v>0</v>
      </c>
      <c r="L20">
        <f>IF(COUNTIFS('United Data'!$A$3:$A$3390,L$1,'United Data'!$C$3:$C$3390,$A20,'United Data'!$B$3:$B$3390,"Off-street")&gt;0,1,0)</f>
        <v>0</v>
      </c>
      <c r="M20">
        <f>IF(COUNTIFS('United Data'!$A$3:$A$3390,M$1,'United Data'!$C$3:$C$3390,$A20,'United Data'!$B$3:$B$3390,"Off-street")&gt;0,1,0)</f>
        <v>0</v>
      </c>
      <c r="N20">
        <f>IF(COUNTIFS('United Data'!$A$3:$A$3390,N$1,'United Data'!$C$3:$C$3390,$A20,'United Data'!$B$3:$B$3390,"Off-street")&gt;0,1,0)</f>
        <v>0</v>
      </c>
      <c r="O20">
        <f>IF(COUNTIFS('United Data'!$A$3:$A$3390,O$1,'United Data'!$C$3:$C$3390,$A20,'United Data'!$B$3:$B$3390,"Off-street")&gt;0,1,0)</f>
        <v>0</v>
      </c>
      <c r="P20">
        <f>IF(COUNTIFS('United Data'!$A$3:$A$3390,P$1,'United Data'!$C$3:$C$3390,$A20,'United Data'!$B$3:$B$3390,"Off-street")&gt;0,1,0)</f>
        <v>0</v>
      </c>
      <c r="Q20">
        <f>IF(COUNTIFS('United Data'!$A$3:$A$3390,Q$1,'United Data'!$C$3:$C$3390,$A20,'United Data'!$B$3:$B$3390,"Off-street")&gt;0,1,0)</f>
        <v>0</v>
      </c>
      <c r="R20">
        <f>IF(COUNTIFS('United Data'!$A$3:$A$3390,R$1,'United Data'!$C$3:$C$3390,$A20,'United Data'!$B$3:$B$3390,"Off-street")&gt;0,1,0)</f>
        <v>0</v>
      </c>
      <c r="S20">
        <f t="shared" si="0"/>
        <v>1</v>
      </c>
      <c r="T20">
        <f t="shared" si="1"/>
        <v>1</v>
      </c>
    </row>
    <row r="21" spans="1:20" x14ac:dyDescent="0.2">
      <c r="A21" t="s">
        <v>1988</v>
      </c>
      <c r="B21">
        <f>IF(COUNTIFS('United Data'!$A$3:$A$3390,B$1,'United Data'!$C$3:$C$3390,$A21,'United Data'!$B$3:$B$3390,"Off-street")&gt;0,1,0)</f>
        <v>0</v>
      </c>
      <c r="C21">
        <f>IF(COUNTIFS('United Data'!$A$3:$A$3390,C$1,'United Data'!$C$3:$C$3390,$A21,'United Data'!$B$3:$B$3390,"Off-street")&gt;0,1,0)</f>
        <v>0</v>
      </c>
      <c r="D21">
        <f>IF(COUNTIFS('United Data'!$A$3:$A$3390,D$1,'United Data'!$C$3:$C$3390,$A21,'United Data'!$B$3:$B$3390,"Off-street")&gt;0,1,0)</f>
        <v>0</v>
      </c>
      <c r="E21">
        <f>IF(COUNTIFS('United Data'!$A$3:$A$3390,E$1,'United Data'!$C$3:$C$3390,$A21,'United Data'!$B$3:$B$3390,"Off-street")&gt;0,1,0)</f>
        <v>1</v>
      </c>
      <c r="F21">
        <f>IF(COUNTIFS('United Data'!$A$3:$A$3390,F$1,'United Data'!$C$3:$C$3390,$A21,'United Data'!$B$3:$B$3390,"Off-street")&gt;0,1,0)</f>
        <v>0</v>
      </c>
      <c r="G21">
        <f>IF(COUNTIFS('United Data'!$A$3:$A$3390,G$1,'United Data'!$C$3:$C$3390,$A21,'United Data'!$B$3:$B$3390,"Off-street")&gt;0,1,0)</f>
        <v>0</v>
      </c>
      <c r="H21">
        <f>IF(COUNTIFS('United Data'!$A$3:$A$3390,H$1,'United Data'!$C$3:$C$3390,$A21,'United Data'!$B$3:$B$3390,"Off-street")&gt;0,1,0)</f>
        <v>0</v>
      </c>
      <c r="I21">
        <f>IF(COUNTIFS('United Data'!$A$3:$A$3390,I$1,'United Data'!$C$3:$C$3390,$A21,'United Data'!$B$3:$B$3390,"Off-street")&gt;0,1,0)</f>
        <v>0</v>
      </c>
      <c r="J21">
        <f>IF(COUNTIFS('United Data'!$A$3:$A$3390,J$1,'United Data'!$C$3:$C$3390,$A21,'United Data'!$B$3:$B$3390,"Off-street")&gt;0,1,0)</f>
        <v>0</v>
      </c>
      <c r="K21">
        <f>IF(COUNTIFS('United Data'!$A$3:$A$3390,K$1,'United Data'!$C$3:$C$3390,$A21,'United Data'!$B$3:$B$3390,"Off-street")&gt;0,1,0)</f>
        <v>0</v>
      </c>
      <c r="L21">
        <f>IF(COUNTIFS('United Data'!$A$3:$A$3390,L$1,'United Data'!$C$3:$C$3390,$A21,'United Data'!$B$3:$B$3390,"Off-street")&gt;0,1,0)</f>
        <v>0</v>
      </c>
      <c r="M21">
        <f>IF(COUNTIFS('United Data'!$A$3:$A$3390,M$1,'United Data'!$C$3:$C$3390,$A21,'United Data'!$B$3:$B$3390,"Off-street")&gt;0,1,0)</f>
        <v>0</v>
      </c>
      <c r="N21">
        <f>IF(COUNTIFS('United Data'!$A$3:$A$3390,N$1,'United Data'!$C$3:$C$3390,$A21,'United Data'!$B$3:$B$3390,"Off-street")&gt;0,1,0)</f>
        <v>0</v>
      </c>
      <c r="O21">
        <f>IF(COUNTIFS('United Data'!$A$3:$A$3390,O$1,'United Data'!$C$3:$C$3390,$A21,'United Data'!$B$3:$B$3390,"Off-street")&gt;0,1,0)</f>
        <v>0</v>
      </c>
      <c r="P21">
        <f>IF(COUNTIFS('United Data'!$A$3:$A$3390,P$1,'United Data'!$C$3:$C$3390,$A21,'United Data'!$B$3:$B$3390,"Off-street")&gt;0,1,0)</f>
        <v>0</v>
      </c>
      <c r="Q21">
        <f>IF(COUNTIFS('United Data'!$A$3:$A$3390,Q$1,'United Data'!$C$3:$C$3390,$A21,'United Data'!$B$3:$B$3390,"Off-street")&gt;0,1,0)</f>
        <v>0</v>
      </c>
      <c r="R21">
        <f>IF(COUNTIFS('United Data'!$A$3:$A$3390,R$1,'United Data'!$C$3:$C$3390,$A21,'United Data'!$B$3:$B$3390,"Off-street")&gt;0,1,0)</f>
        <v>0</v>
      </c>
      <c r="S21">
        <f t="shared" si="0"/>
        <v>1</v>
      </c>
      <c r="T21">
        <f t="shared" si="1"/>
        <v>1</v>
      </c>
    </row>
    <row r="22" spans="1:20" x14ac:dyDescent="0.2">
      <c r="A22" t="s">
        <v>1989</v>
      </c>
      <c r="B22">
        <f>IF(COUNTIFS('United Data'!$A$3:$A$3390,B$1,'United Data'!$C$3:$C$3390,$A22,'United Data'!$B$3:$B$3390,"Off-street")&gt;0,1,0)</f>
        <v>0</v>
      </c>
      <c r="C22">
        <f>IF(COUNTIFS('United Data'!$A$3:$A$3390,C$1,'United Data'!$C$3:$C$3390,$A22,'United Data'!$B$3:$B$3390,"Off-street")&gt;0,1,0)</f>
        <v>0</v>
      </c>
      <c r="D22">
        <f>IF(COUNTIFS('United Data'!$A$3:$A$3390,D$1,'United Data'!$C$3:$C$3390,$A22,'United Data'!$B$3:$B$3390,"Off-street")&gt;0,1,0)</f>
        <v>0</v>
      </c>
      <c r="E22">
        <f>IF(COUNTIFS('United Data'!$A$3:$A$3390,E$1,'United Data'!$C$3:$C$3390,$A22,'United Data'!$B$3:$B$3390,"Off-street")&gt;0,1,0)</f>
        <v>1</v>
      </c>
      <c r="F22">
        <f>IF(COUNTIFS('United Data'!$A$3:$A$3390,F$1,'United Data'!$C$3:$C$3390,$A22,'United Data'!$B$3:$B$3390,"Off-street")&gt;0,1,0)</f>
        <v>0</v>
      </c>
      <c r="G22">
        <f>IF(COUNTIFS('United Data'!$A$3:$A$3390,G$1,'United Data'!$C$3:$C$3390,$A22,'United Data'!$B$3:$B$3390,"Off-street")&gt;0,1,0)</f>
        <v>0</v>
      </c>
      <c r="H22">
        <f>IF(COUNTIFS('United Data'!$A$3:$A$3390,H$1,'United Data'!$C$3:$C$3390,$A22,'United Data'!$B$3:$B$3390,"Off-street")&gt;0,1,0)</f>
        <v>0</v>
      </c>
      <c r="I22">
        <f>IF(COUNTIFS('United Data'!$A$3:$A$3390,I$1,'United Data'!$C$3:$C$3390,$A22,'United Data'!$B$3:$B$3390,"Off-street")&gt;0,1,0)</f>
        <v>0</v>
      </c>
      <c r="J22">
        <f>IF(COUNTIFS('United Data'!$A$3:$A$3390,J$1,'United Data'!$C$3:$C$3390,$A22,'United Data'!$B$3:$B$3390,"Off-street")&gt;0,1,0)</f>
        <v>0</v>
      </c>
      <c r="K22">
        <f>IF(COUNTIFS('United Data'!$A$3:$A$3390,K$1,'United Data'!$C$3:$C$3390,$A22,'United Data'!$B$3:$B$3390,"Off-street")&gt;0,1,0)</f>
        <v>0</v>
      </c>
      <c r="L22">
        <f>IF(COUNTIFS('United Data'!$A$3:$A$3390,L$1,'United Data'!$C$3:$C$3390,$A22,'United Data'!$B$3:$B$3390,"Off-street")&gt;0,1,0)</f>
        <v>0</v>
      </c>
      <c r="M22">
        <f>IF(COUNTIFS('United Data'!$A$3:$A$3390,M$1,'United Data'!$C$3:$C$3390,$A22,'United Data'!$B$3:$B$3390,"Off-street")&gt;0,1,0)</f>
        <v>0</v>
      </c>
      <c r="N22">
        <f>IF(COUNTIFS('United Data'!$A$3:$A$3390,N$1,'United Data'!$C$3:$C$3390,$A22,'United Data'!$B$3:$B$3390,"Off-street")&gt;0,1,0)</f>
        <v>0</v>
      </c>
      <c r="O22">
        <f>IF(COUNTIFS('United Data'!$A$3:$A$3390,O$1,'United Data'!$C$3:$C$3390,$A22,'United Data'!$B$3:$B$3390,"Off-street")&gt;0,1,0)</f>
        <v>0</v>
      </c>
      <c r="P22">
        <f>IF(COUNTIFS('United Data'!$A$3:$A$3390,P$1,'United Data'!$C$3:$C$3390,$A22,'United Data'!$B$3:$B$3390,"Off-street")&gt;0,1,0)</f>
        <v>0</v>
      </c>
      <c r="Q22">
        <f>IF(COUNTIFS('United Data'!$A$3:$A$3390,Q$1,'United Data'!$C$3:$C$3390,$A22,'United Data'!$B$3:$B$3390,"Off-street")&gt;0,1,0)</f>
        <v>0</v>
      </c>
      <c r="R22">
        <f>IF(COUNTIFS('United Data'!$A$3:$A$3390,R$1,'United Data'!$C$3:$C$3390,$A22,'United Data'!$B$3:$B$3390,"Off-street")&gt;0,1,0)</f>
        <v>0</v>
      </c>
      <c r="S22">
        <f t="shared" si="0"/>
        <v>1</v>
      </c>
      <c r="T22">
        <f t="shared" si="1"/>
        <v>1</v>
      </c>
    </row>
    <row r="23" spans="1:20" x14ac:dyDescent="0.2">
      <c r="A23" t="s">
        <v>1993</v>
      </c>
      <c r="B23">
        <f>IF(COUNTIFS('United Data'!$A$3:$A$3390,B$1,'United Data'!$C$3:$C$3390,$A23,'United Data'!$B$3:$B$3390,"Off-street")&gt;0,1,0)</f>
        <v>0</v>
      </c>
      <c r="C23">
        <f>IF(COUNTIFS('United Data'!$A$3:$A$3390,C$1,'United Data'!$C$3:$C$3390,$A23,'United Data'!$B$3:$B$3390,"Off-street")&gt;0,1,0)</f>
        <v>0</v>
      </c>
      <c r="D23">
        <f>IF(COUNTIFS('United Data'!$A$3:$A$3390,D$1,'United Data'!$C$3:$C$3390,$A23,'United Data'!$B$3:$B$3390,"Off-street")&gt;0,1,0)</f>
        <v>0</v>
      </c>
      <c r="E23">
        <f>IF(COUNTIFS('United Data'!$A$3:$A$3390,E$1,'United Data'!$C$3:$C$3390,$A23,'United Data'!$B$3:$B$3390,"Off-street")&gt;0,1,0)</f>
        <v>1</v>
      </c>
      <c r="F23">
        <f>IF(COUNTIFS('United Data'!$A$3:$A$3390,F$1,'United Data'!$C$3:$C$3390,$A23,'United Data'!$B$3:$B$3390,"Off-street")&gt;0,1,0)</f>
        <v>1</v>
      </c>
      <c r="G23">
        <f>IF(COUNTIFS('United Data'!$A$3:$A$3390,G$1,'United Data'!$C$3:$C$3390,$A23,'United Data'!$B$3:$B$3390,"Off-street")&gt;0,1,0)</f>
        <v>0</v>
      </c>
      <c r="H23">
        <f>IF(COUNTIFS('United Data'!$A$3:$A$3390,H$1,'United Data'!$C$3:$C$3390,$A23,'United Data'!$B$3:$B$3390,"Off-street")&gt;0,1,0)</f>
        <v>0</v>
      </c>
      <c r="I23">
        <f>IF(COUNTIFS('United Data'!$A$3:$A$3390,I$1,'United Data'!$C$3:$C$3390,$A23,'United Data'!$B$3:$B$3390,"Off-street")&gt;0,1,0)</f>
        <v>0</v>
      </c>
      <c r="J23">
        <f>IF(COUNTIFS('United Data'!$A$3:$A$3390,J$1,'United Data'!$C$3:$C$3390,$A23,'United Data'!$B$3:$B$3390,"Off-street")&gt;0,1,0)</f>
        <v>0</v>
      </c>
      <c r="K23">
        <f>IF(COUNTIFS('United Data'!$A$3:$A$3390,K$1,'United Data'!$C$3:$C$3390,$A23,'United Data'!$B$3:$B$3390,"Off-street")&gt;0,1,0)</f>
        <v>0</v>
      </c>
      <c r="L23">
        <f>IF(COUNTIFS('United Data'!$A$3:$A$3390,L$1,'United Data'!$C$3:$C$3390,$A23,'United Data'!$B$3:$B$3390,"Off-street")&gt;0,1,0)</f>
        <v>0</v>
      </c>
      <c r="M23">
        <f>IF(COUNTIFS('United Data'!$A$3:$A$3390,M$1,'United Data'!$C$3:$C$3390,$A23,'United Data'!$B$3:$B$3390,"Off-street")&gt;0,1,0)</f>
        <v>0</v>
      </c>
      <c r="N23">
        <f>IF(COUNTIFS('United Data'!$A$3:$A$3390,N$1,'United Data'!$C$3:$C$3390,$A23,'United Data'!$B$3:$B$3390,"Off-street")&gt;0,1,0)</f>
        <v>1</v>
      </c>
      <c r="O23">
        <f>IF(COUNTIFS('United Data'!$A$3:$A$3390,O$1,'United Data'!$C$3:$C$3390,$A23,'United Data'!$B$3:$B$3390,"Off-street")&gt;0,1,0)</f>
        <v>0</v>
      </c>
      <c r="P23">
        <f>IF(COUNTIFS('United Data'!$A$3:$A$3390,P$1,'United Data'!$C$3:$C$3390,$A23,'United Data'!$B$3:$B$3390,"Off-street")&gt;0,1,0)</f>
        <v>0</v>
      </c>
      <c r="Q23">
        <f>IF(COUNTIFS('United Data'!$A$3:$A$3390,Q$1,'United Data'!$C$3:$C$3390,$A23,'United Data'!$B$3:$B$3390,"Off-street")&gt;0,1,0)</f>
        <v>0</v>
      </c>
      <c r="R23">
        <f>IF(COUNTIFS('United Data'!$A$3:$A$3390,R$1,'United Data'!$C$3:$C$3390,$A23,'United Data'!$B$3:$B$3390,"Off-street")&gt;0,1,0)</f>
        <v>0</v>
      </c>
      <c r="S23">
        <f t="shared" si="0"/>
        <v>3</v>
      </c>
      <c r="T23">
        <f t="shared" si="1"/>
        <v>2</v>
      </c>
    </row>
    <row r="24" spans="1:20" x14ac:dyDescent="0.2">
      <c r="A24" t="s">
        <v>1994</v>
      </c>
      <c r="B24">
        <f>IF(COUNTIFS('United Data'!$A$3:$A$3390,B$1,'United Data'!$C$3:$C$3390,$A24,'United Data'!$B$3:$B$3390,"Off-street")&gt;0,1,0)</f>
        <v>0</v>
      </c>
      <c r="C24">
        <f>IF(COUNTIFS('United Data'!$A$3:$A$3390,C$1,'United Data'!$C$3:$C$3390,$A24,'United Data'!$B$3:$B$3390,"Off-street")&gt;0,1,0)</f>
        <v>0</v>
      </c>
      <c r="D24">
        <f>IF(COUNTIFS('United Data'!$A$3:$A$3390,D$1,'United Data'!$C$3:$C$3390,$A24,'United Data'!$B$3:$B$3390,"Off-street")&gt;0,1,0)</f>
        <v>0</v>
      </c>
      <c r="E24">
        <f>IF(COUNTIFS('United Data'!$A$3:$A$3390,E$1,'United Data'!$C$3:$C$3390,$A24,'United Data'!$B$3:$B$3390,"Off-street")&gt;0,1,0)</f>
        <v>1</v>
      </c>
      <c r="F24">
        <f>IF(COUNTIFS('United Data'!$A$3:$A$3390,F$1,'United Data'!$C$3:$C$3390,$A24,'United Data'!$B$3:$B$3390,"Off-street")&gt;0,1,0)</f>
        <v>0</v>
      </c>
      <c r="G24">
        <f>IF(COUNTIFS('United Data'!$A$3:$A$3390,G$1,'United Data'!$C$3:$C$3390,$A24,'United Data'!$B$3:$B$3390,"Off-street")&gt;0,1,0)</f>
        <v>0</v>
      </c>
      <c r="H24">
        <f>IF(COUNTIFS('United Data'!$A$3:$A$3390,H$1,'United Data'!$C$3:$C$3390,$A24,'United Data'!$B$3:$B$3390,"Off-street")&gt;0,1,0)</f>
        <v>0</v>
      </c>
      <c r="I24">
        <f>IF(COUNTIFS('United Data'!$A$3:$A$3390,I$1,'United Data'!$C$3:$C$3390,$A24,'United Data'!$B$3:$B$3390,"Off-street")&gt;0,1,0)</f>
        <v>0</v>
      </c>
      <c r="J24">
        <f>IF(COUNTIFS('United Data'!$A$3:$A$3390,J$1,'United Data'!$C$3:$C$3390,$A24,'United Data'!$B$3:$B$3390,"Off-street")&gt;0,1,0)</f>
        <v>0</v>
      </c>
      <c r="K24">
        <f>IF(COUNTIFS('United Data'!$A$3:$A$3390,K$1,'United Data'!$C$3:$C$3390,$A24,'United Data'!$B$3:$B$3390,"Off-street")&gt;0,1,0)</f>
        <v>0</v>
      </c>
      <c r="L24">
        <f>IF(COUNTIFS('United Data'!$A$3:$A$3390,L$1,'United Data'!$C$3:$C$3390,$A24,'United Data'!$B$3:$B$3390,"Off-street")&gt;0,1,0)</f>
        <v>0</v>
      </c>
      <c r="M24">
        <f>IF(COUNTIFS('United Data'!$A$3:$A$3390,M$1,'United Data'!$C$3:$C$3390,$A24,'United Data'!$B$3:$B$3390,"Off-street")&gt;0,1,0)</f>
        <v>0</v>
      </c>
      <c r="N24">
        <f>IF(COUNTIFS('United Data'!$A$3:$A$3390,N$1,'United Data'!$C$3:$C$3390,$A24,'United Data'!$B$3:$B$3390,"Off-street")&gt;0,1,0)</f>
        <v>0</v>
      </c>
      <c r="O24">
        <f>IF(COUNTIFS('United Data'!$A$3:$A$3390,O$1,'United Data'!$C$3:$C$3390,$A24,'United Data'!$B$3:$B$3390,"Off-street")&gt;0,1,0)</f>
        <v>0</v>
      </c>
      <c r="P24">
        <f>IF(COUNTIFS('United Data'!$A$3:$A$3390,P$1,'United Data'!$C$3:$C$3390,$A24,'United Data'!$B$3:$B$3390,"Off-street")&gt;0,1,0)</f>
        <v>0</v>
      </c>
      <c r="Q24">
        <f>IF(COUNTIFS('United Data'!$A$3:$A$3390,Q$1,'United Data'!$C$3:$C$3390,$A24,'United Data'!$B$3:$B$3390,"Off-street")&gt;0,1,0)</f>
        <v>0</v>
      </c>
      <c r="R24">
        <f>IF(COUNTIFS('United Data'!$A$3:$A$3390,R$1,'United Data'!$C$3:$C$3390,$A24,'United Data'!$B$3:$B$3390,"Off-street")&gt;0,1,0)</f>
        <v>0</v>
      </c>
      <c r="S24">
        <f t="shared" si="0"/>
        <v>1</v>
      </c>
      <c r="T24">
        <f t="shared" si="1"/>
        <v>1</v>
      </c>
    </row>
    <row r="25" spans="1:20" x14ac:dyDescent="0.2">
      <c r="A25" t="s">
        <v>1996</v>
      </c>
      <c r="B25">
        <f>IF(COUNTIFS('United Data'!$A$3:$A$3390,B$1,'United Data'!$C$3:$C$3390,$A25,'United Data'!$B$3:$B$3390,"Off-street")&gt;0,1,0)</f>
        <v>0</v>
      </c>
      <c r="C25">
        <f>IF(COUNTIFS('United Data'!$A$3:$A$3390,C$1,'United Data'!$C$3:$C$3390,$A25,'United Data'!$B$3:$B$3390,"Off-street")&gt;0,1,0)</f>
        <v>0</v>
      </c>
      <c r="D25">
        <f>IF(COUNTIFS('United Data'!$A$3:$A$3390,D$1,'United Data'!$C$3:$C$3390,$A25,'United Data'!$B$3:$B$3390,"Off-street")&gt;0,1,0)</f>
        <v>0</v>
      </c>
      <c r="E25">
        <f>IF(COUNTIFS('United Data'!$A$3:$A$3390,E$1,'United Data'!$C$3:$C$3390,$A25,'United Data'!$B$3:$B$3390,"Off-street")&gt;0,1,0)</f>
        <v>1</v>
      </c>
      <c r="F25">
        <f>IF(COUNTIFS('United Data'!$A$3:$A$3390,F$1,'United Data'!$C$3:$C$3390,$A25,'United Data'!$B$3:$B$3390,"Off-street")&gt;0,1,0)</f>
        <v>0</v>
      </c>
      <c r="G25">
        <f>IF(COUNTIFS('United Data'!$A$3:$A$3390,G$1,'United Data'!$C$3:$C$3390,$A25,'United Data'!$B$3:$B$3390,"Off-street")&gt;0,1,0)</f>
        <v>0</v>
      </c>
      <c r="H25">
        <f>IF(COUNTIFS('United Data'!$A$3:$A$3390,H$1,'United Data'!$C$3:$C$3390,$A25,'United Data'!$B$3:$B$3390,"Off-street")&gt;0,1,0)</f>
        <v>0</v>
      </c>
      <c r="I25">
        <f>IF(COUNTIFS('United Data'!$A$3:$A$3390,I$1,'United Data'!$C$3:$C$3390,$A25,'United Data'!$B$3:$B$3390,"Off-street")&gt;0,1,0)</f>
        <v>0</v>
      </c>
      <c r="J25">
        <f>IF(COUNTIFS('United Data'!$A$3:$A$3390,J$1,'United Data'!$C$3:$C$3390,$A25,'United Data'!$B$3:$B$3390,"Off-street")&gt;0,1,0)</f>
        <v>0</v>
      </c>
      <c r="K25">
        <f>IF(COUNTIFS('United Data'!$A$3:$A$3390,K$1,'United Data'!$C$3:$C$3390,$A25,'United Data'!$B$3:$B$3390,"Off-street")&gt;0,1,0)</f>
        <v>0</v>
      </c>
      <c r="L25">
        <f>IF(COUNTIFS('United Data'!$A$3:$A$3390,L$1,'United Data'!$C$3:$C$3390,$A25,'United Data'!$B$3:$B$3390,"Off-street")&gt;0,1,0)</f>
        <v>0</v>
      </c>
      <c r="M25">
        <f>IF(COUNTIFS('United Data'!$A$3:$A$3390,M$1,'United Data'!$C$3:$C$3390,$A25,'United Data'!$B$3:$B$3390,"Off-street")&gt;0,1,0)</f>
        <v>0</v>
      </c>
      <c r="N25">
        <f>IF(COUNTIFS('United Data'!$A$3:$A$3390,N$1,'United Data'!$C$3:$C$3390,$A25,'United Data'!$B$3:$B$3390,"Off-street")&gt;0,1,0)</f>
        <v>0</v>
      </c>
      <c r="O25">
        <f>IF(COUNTIFS('United Data'!$A$3:$A$3390,O$1,'United Data'!$C$3:$C$3390,$A25,'United Data'!$B$3:$B$3390,"Off-street")&gt;0,1,0)</f>
        <v>0</v>
      </c>
      <c r="P25">
        <f>IF(COUNTIFS('United Data'!$A$3:$A$3390,P$1,'United Data'!$C$3:$C$3390,$A25,'United Data'!$B$3:$B$3390,"Off-street")&gt;0,1,0)</f>
        <v>0</v>
      </c>
      <c r="Q25">
        <f>IF(COUNTIFS('United Data'!$A$3:$A$3390,Q$1,'United Data'!$C$3:$C$3390,$A25,'United Data'!$B$3:$B$3390,"Off-street")&gt;0,1,0)</f>
        <v>0</v>
      </c>
      <c r="R25">
        <f>IF(COUNTIFS('United Data'!$A$3:$A$3390,R$1,'United Data'!$C$3:$C$3390,$A25,'United Data'!$B$3:$B$3390,"Off-street")&gt;0,1,0)</f>
        <v>0</v>
      </c>
      <c r="S25">
        <f t="shared" si="0"/>
        <v>1</v>
      </c>
      <c r="T25">
        <f t="shared" si="1"/>
        <v>1</v>
      </c>
    </row>
    <row r="26" spans="1:20" x14ac:dyDescent="0.2">
      <c r="A26" t="s">
        <v>1997</v>
      </c>
      <c r="B26">
        <f>IF(COUNTIFS('United Data'!$A$3:$A$3390,B$1,'United Data'!$C$3:$C$3390,$A26,'United Data'!$B$3:$B$3390,"Off-street")&gt;0,1,0)</f>
        <v>0</v>
      </c>
      <c r="C26">
        <f>IF(COUNTIFS('United Data'!$A$3:$A$3390,C$1,'United Data'!$C$3:$C$3390,$A26,'United Data'!$B$3:$B$3390,"Off-street")&gt;0,1,0)</f>
        <v>0</v>
      </c>
      <c r="D26">
        <f>IF(COUNTIFS('United Data'!$A$3:$A$3390,D$1,'United Data'!$C$3:$C$3390,$A26,'United Data'!$B$3:$B$3390,"Off-street")&gt;0,1,0)</f>
        <v>0</v>
      </c>
      <c r="E26">
        <f>IF(COUNTIFS('United Data'!$A$3:$A$3390,E$1,'United Data'!$C$3:$C$3390,$A26,'United Data'!$B$3:$B$3390,"Off-street")&gt;0,1,0)</f>
        <v>0</v>
      </c>
      <c r="F26">
        <f>IF(COUNTIFS('United Data'!$A$3:$A$3390,F$1,'United Data'!$C$3:$C$3390,$A26,'United Data'!$B$3:$B$3390,"Off-street")&gt;0,1,0)</f>
        <v>1</v>
      </c>
      <c r="G26">
        <f>IF(COUNTIFS('United Data'!$A$3:$A$3390,G$1,'United Data'!$C$3:$C$3390,$A26,'United Data'!$B$3:$B$3390,"Off-street")&gt;0,1,0)</f>
        <v>0</v>
      </c>
      <c r="H26">
        <f>IF(COUNTIFS('United Data'!$A$3:$A$3390,H$1,'United Data'!$C$3:$C$3390,$A26,'United Data'!$B$3:$B$3390,"Off-street")&gt;0,1,0)</f>
        <v>0</v>
      </c>
      <c r="I26">
        <f>IF(COUNTIFS('United Data'!$A$3:$A$3390,I$1,'United Data'!$C$3:$C$3390,$A26,'United Data'!$B$3:$B$3390,"Off-street")&gt;0,1,0)</f>
        <v>0</v>
      </c>
      <c r="J26">
        <f>IF(COUNTIFS('United Data'!$A$3:$A$3390,J$1,'United Data'!$C$3:$C$3390,$A26,'United Data'!$B$3:$B$3390,"Off-street")&gt;0,1,0)</f>
        <v>0</v>
      </c>
      <c r="K26">
        <f>IF(COUNTIFS('United Data'!$A$3:$A$3390,K$1,'United Data'!$C$3:$C$3390,$A26,'United Data'!$B$3:$B$3390,"Off-street")&gt;0,1,0)</f>
        <v>0</v>
      </c>
      <c r="L26">
        <f>IF(COUNTIFS('United Data'!$A$3:$A$3390,L$1,'United Data'!$C$3:$C$3390,$A26,'United Data'!$B$3:$B$3390,"Off-street")&gt;0,1,0)</f>
        <v>0</v>
      </c>
      <c r="M26">
        <f>IF(COUNTIFS('United Data'!$A$3:$A$3390,M$1,'United Data'!$C$3:$C$3390,$A26,'United Data'!$B$3:$B$3390,"Off-street")&gt;0,1,0)</f>
        <v>0</v>
      </c>
      <c r="N26">
        <f>IF(COUNTIFS('United Data'!$A$3:$A$3390,N$1,'United Data'!$C$3:$C$3390,$A26,'United Data'!$B$3:$B$3390,"Off-street")&gt;0,1,0)</f>
        <v>0</v>
      </c>
      <c r="O26">
        <f>IF(COUNTIFS('United Data'!$A$3:$A$3390,O$1,'United Data'!$C$3:$C$3390,$A26,'United Data'!$B$3:$B$3390,"Off-street")&gt;0,1,0)</f>
        <v>0</v>
      </c>
      <c r="P26">
        <f>IF(COUNTIFS('United Data'!$A$3:$A$3390,P$1,'United Data'!$C$3:$C$3390,$A26,'United Data'!$B$3:$B$3390,"Off-street")&gt;0,1,0)</f>
        <v>0</v>
      </c>
      <c r="Q26">
        <f>IF(COUNTIFS('United Data'!$A$3:$A$3390,Q$1,'United Data'!$C$3:$C$3390,$A26,'United Data'!$B$3:$B$3390,"Off-street")&gt;0,1,0)</f>
        <v>0</v>
      </c>
      <c r="R26">
        <f>IF(COUNTIFS('United Data'!$A$3:$A$3390,R$1,'United Data'!$C$3:$C$3390,$A26,'United Data'!$B$3:$B$3390,"Off-street")&gt;0,1,0)</f>
        <v>0</v>
      </c>
      <c r="S26">
        <f t="shared" si="0"/>
        <v>1</v>
      </c>
      <c r="T26">
        <f t="shared" si="1"/>
        <v>1</v>
      </c>
    </row>
    <row r="27" spans="1:20" x14ac:dyDescent="0.2">
      <c r="A27" t="s">
        <v>1998</v>
      </c>
      <c r="B27">
        <f>IF(COUNTIFS('United Data'!$A$3:$A$3390,B$1,'United Data'!$C$3:$C$3390,$A27,'United Data'!$B$3:$B$3390,"Off-street")&gt;0,1,0)</f>
        <v>0</v>
      </c>
      <c r="C27">
        <f>IF(COUNTIFS('United Data'!$A$3:$A$3390,C$1,'United Data'!$C$3:$C$3390,$A27,'United Data'!$B$3:$B$3390,"Off-street")&gt;0,1,0)</f>
        <v>0</v>
      </c>
      <c r="D27">
        <f>IF(COUNTIFS('United Data'!$A$3:$A$3390,D$1,'United Data'!$C$3:$C$3390,$A27,'United Data'!$B$3:$B$3390,"Off-street")&gt;0,1,0)</f>
        <v>0</v>
      </c>
      <c r="E27">
        <f>IF(COUNTIFS('United Data'!$A$3:$A$3390,E$1,'United Data'!$C$3:$C$3390,$A27,'United Data'!$B$3:$B$3390,"Off-street")&gt;0,1,0)</f>
        <v>0</v>
      </c>
      <c r="F27">
        <f>IF(COUNTIFS('United Data'!$A$3:$A$3390,F$1,'United Data'!$C$3:$C$3390,$A27,'United Data'!$B$3:$B$3390,"Off-street")&gt;0,1,0)</f>
        <v>1</v>
      </c>
      <c r="G27">
        <f>IF(COUNTIFS('United Data'!$A$3:$A$3390,G$1,'United Data'!$C$3:$C$3390,$A27,'United Data'!$B$3:$B$3390,"Off-street")&gt;0,1,0)</f>
        <v>0</v>
      </c>
      <c r="H27">
        <f>IF(COUNTIFS('United Data'!$A$3:$A$3390,H$1,'United Data'!$C$3:$C$3390,$A27,'United Data'!$B$3:$B$3390,"Off-street")&gt;0,1,0)</f>
        <v>0</v>
      </c>
      <c r="I27">
        <f>IF(COUNTIFS('United Data'!$A$3:$A$3390,I$1,'United Data'!$C$3:$C$3390,$A27,'United Data'!$B$3:$B$3390,"Off-street")&gt;0,1,0)</f>
        <v>0</v>
      </c>
      <c r="J27">
        <f>IF(COUNTIFS('United Data'!$A$3:$A$3390,J$1,'United Data'!$C$3:$C$3390,$A27,'United Data'!$B$3:$B$3390,"Off-street")&gt;0,1,0)</f>
        <v>0</v>
      </c>
      <c r="K27">
        <f>IF(COUNTIFS('United Data'!$A$3:$A$3390,K$1,'United Data'!$C$3:$C$3390,$A27,'United Data'!$B$3:$B$3390,"Off-street")&gt;0,1,0)</f>
        <v>0</v>
      </c>
      <c r="L27">
        <f>IF(COUNTIFS('United Data'!$A$3:$A$3390,L$1,'United Data'!$C$3:$C$3390,$A27,'United Data'!$B$3:$B$3390,"Off-street")&gt;0,1,0)</f>
        <v>0</v>
      </c>
      <c r="M27">
        <f>IF(COUNTIFS('United Data'!$A$3:$A$3390,M$1,'United Data'!$C$3:$C$3390,$A27,'United Data'!$B$3:$B$3390,"Off-street")&gt;0,1,0)</f>
        <v>0</v>
      </c>
      <c r="N27">
        <f>IF(COUNTIFS('United Data'!$A$3:$A$3390,N$1,'United Data'!$C$3:$C$3390,$A27,'United Data'!$B$3:$B$3390,"Off-street")&gt;0,1,0)</f>
        <v>0</v>
      </c>
      <c r="O27">
        <f>IF(COUNTIFS('United Data'!$A$3:$A$3390,O$1,'United Data'!$C$3:$C$3390,$A27,'United Data'!$B$3:$B$3390,"Off-street")&gt;0,1,0)</f>
        <v>0</v>
      </c>
      <c r="P27">
        <f>IF(COUNTIFS('United Data'!$A$3:$A$3390,P$1,'United Data'!$C$3:$C$3390,$A27,'United Data'!$B$3:$B$3390,"Off-street")&gt;0,1,0)</f>
        <v>0</v>
      </c>
      <c r="Q27">
        <f>IF(COUNTIFS('United Data'!$A$3:$A$3390,Q$1,'United Data'!$C$3:$C$3390,$A27,'United Data'!$B$3:$B$3390,"Off-street")&gt;0,1,0)</f>
        <v>0</v>
      </c>
      <c r="R27">
        <f>IF(COUNTIFS('United Data'!$A$3:$A$3390,R$1,'United Data'!$C$3:$C$3390,$A27,'United Data'!$B$3:$B$3390,"Off-street")&gt;0,1,0)</f>
        <v>0</v>
      </c>
      <c r="S27">
        <f t="shared" si="0"/>
        <v>1</v>
      </c>
      <c r="T27">
        <f t="shared" si="1"/>
        <v>1</v>
      </c>
    </row>
    <row r="28" spans="1:20" x14ac:dyDescent="0.2">
      <c r="A28" t="s">
        <v>1999</v>
      </c>
      <c r="B28">
        <f>IF(COUNTIFS('United Data'!$A$3:$A$3390,B$1,'United Data'!$C$3:$C$3390,$A28,'United Data'!$B$3:$B$3390,"Off-street")&gt;0,1,0)</f>
        <v>0</v>
      </c>
      <c r="C28">
        <f>IF(COUNTIFS('United Data'!$A$3:$A$3390,C$1,'United Data'!$C$3:$C$3390,$A28,'United Data'!$B$3:$B$3390,"Off-street")&gt;0,1,0)</f>
        <v>0</v>
      </c>
      <c r="D28">
        <f>IF(COUNTIFS('United Data'!$A$3:$A$3390,D$1,'United Data'!$C$3:$C$3390,$A28,'United Data'!$B$3:$B$3390,"Off-street")&gt;0,1,0)</f>
        <v>0</v>
      </c>
      <c r="E28">
        <f>IF(COUNTIFS('United Data'!$A$3:$A$3390,E$1,'United Data'!$C$3:$C$3390,$A28,'United Data'!$B$3:$B$3390,"Off-street")&gt;0,1,0)</f>
        <v>0</v>
      </c>
      <c r="F28">
        <f>IF(COUNTIFS('United Data'!$A$3:$A$3390,F$1,'United Data'!$C$3:$C$3390,$A28,'United Data'!$B$3:$B$3390,"Off-street")&gt;0,1,0)</f>
        <v>1</v>
      </c>
      <c r="G28">
        <f>IF(COUNTIFS('United Data'!$A$3:$A$3390,G$1,'United Data'!$C$3:$C$3390,$A28,'United Data'!$B$3:$B$3390,"Off-street")&gt;0,1,0)</f>
        <v>0</v>
      </c>
      <c r="H28">
        <f>IF(COUNTIFS('United Data'!$A$3:$A$3390,H$1,'United Data'!$C$3:$C$3390,$A28,'United Data'!$B$3:$B$3390,"Off-street")&gt;0,1,0)</f>
        <v>0</v>
      </c>
      <c r="I28">
        <f>IF(COUNTIFS('United Data'!$A$3:$A$3390,I$1,'United Data'!$C$3:$C$3390,$A28,'United Data'!$B$3:$B$3390,"Off-street")&gt;0,1,0)</f>
        <v>0</v>
      </c>
      <c r="J28">
        <f>IF(COUNTIFS('United Data'!$A$3:$A$3390,J$1,'United Data'!$C$3:$C$3390,$A28,'United Data'!$B$3:$B$3390,"Off-street")&gt;0,1,0)</f>
        <v>0</v>
      </c>
      <c r="K28">
        <f>IF(COUNTIFS('United Data'!$A$3:$A$3390,K$1,'United Data'!$C$3:$C$3390,$A28,'United Data'!$B$3:$B$3390,"Off-street")&gt;0,1,0)</f>
        <v>0</v>
      </c>
      <c r="L28">
        <f>IF(COUNTIFS('United Data'!$A$3:$A$3390,L$1,'United Data'!$C$3:$C$3390,$A28,'United Data'!$B$3:$B$3390,"Off-street")&gt;0,1,0)</f>
        <v>0</v>
      </c>
      <c r="M28">
        <f>IF(COUNTIFS('United Data'!$A$3:$A$3390,M$1,'United Data'!$C$3:$C$3390,$A28,'United Data'!$B$3:$B$3390,"Off-street")&gt;0,1,0)</f>
        <v>0</v>
      </c>
      <c r="N28">
        <f>IF(COUNTIFS('United Data'!$A$3:$A$3390,N$1,'United Data'!$C$3:$C$3390,$A28,'United Data'!$B$3:$B$3390,"Off-street")&gt;0,1,0)</f>
        <v>0</v>
      </c>
      <c r="O28">
        <f>IF(COUNTIFS('United Data'!$A$3:$A$3390,O$1,'United Data'!$C$3:$C$3390,$A28,'United Data'!$B$3:$B$3390,"Off-street")&gt;0,1,0)</f>
        <v>0</v>
      </c>
      <c r="P28">
        <f>IF(COUNTIFS('United Data'!$A$3:$A$3390,P$1,'United Data'!$C$3:$C$3390,$A28,'United Data'!$B$3:$B$3390,"Off-street")&gt;0,1,0)</f>
        <v>0</v>
      </c>
      <c r="Q28">
        <f>IF(COUNTIFS('United Data'!$A$3:$A$3390,Q$1,'United Data'!$C$3:$C$3390,$A28,'United Data'!$B$3:$B$3390,"Off-street")&gt;0,1,0)</f>
        <v>0</v>
      </c>
      <c r="R28">
        <f>IF(COUNTIFS('United Data'!$A$3:$A$3390,R$1,'United Data'!$C$3:$C$3390,$A28,'United Data'!$B$3:$B$3390,"Off-street")&gt;0,1,0)</f>
        <v>0</v>
      </c>
      <c r="S28">
        <f t="shared" si="0"/>
        <v>1</v>
      </c>
      <c r="T28">
        <f t="shared" si="1"/>
        <v>1</v>
      </c>
    </row>
    <row r="29" spans="1:20" x14ac:dyDescent="0.2">
      <c r="A29" t="s">
        <v>2001</v>
      </c>
      <c r="B29">
        <f>IF(COUNTIFS('United Data'!$A$3:$A$3390,B$1,'United Data'!$C$3:$C$3390,$A29,'United Data'!$B$3:$B$3390,"Off-street")&gt;0,1,0)</f>
        <v>0</v>
      </c>
      <c r="C29">
        <f>IF(COUNTIFS('United Data'!$A$3:$A$3390,C$1,'United Data'!$C$3:$C$3390,$A29,'United Data'!$B$3:$B$3390,"Off-street")&gt;0,1,0)</f>
        <v>0</v>
      </c>
      <c r="D29">
        <f>IF(COUNTIFS('United Data'!$A$3:$A$3390,D$1,'United Data'!$C$3:$C$3390,$A29,'United Data'!$B$3:$B$3390,"Off-street")&gt;0,1,0)</f>
        <v>0</v>
      </c>
      <c r="E29">
        <f>IF(COUNTIFS('United Data'!$A$3:$A$3390,E$1,'United Data'!$C$3:$C$3390,$A29,'United Data'!$B$3:$B$3390,"Off-street")&gt;0,1,0)</f>
        <v>0</v>
      </c>
      <c r="F29">
        <f>IF(COUNTIFS('United Data'!$A$3:$A$3390,F$1,'United Data'!$C$3:$C$3390,$A29,'United Data'!$B$3:$B$3390,"Off-street")&gt;0,1,0)</f>
        <v>1</v>
      </c>
      <c r="G29">
        <f>IF(COUNTIFS('United Data'!$A$3:$A$3390,G$1,'United Data'!$C$3:$C$3390,$A29,'United Data'!$B$3:$B$3390,"Off-street")&gt;0,1,0)</f>
        <v>0</v>
      </c>
      <c r="H29">
        <f>IF(COUNTIFS('United Data'!$A$3:$A$3390,H$1,'United Data'!$C$3:$C$3390,$A29,'United Data'!$B$3:$B$3390,"Off-street")&gt;0,1,0)</f>
        <v>0</v>
      </c>
      <c r="I29">
        <f>IF(COUNTIFS('United Data'!$A$3:$A$3390,I$1,'United Data'!$C$3:$C$3390,$A29,'United Data'!$B$3:$B$3390,"Off-street")&gt;0,1,0)</f>
        <v>0</v>
      </c>
      <c r="J29">
        <f>IF(COUNTIFS('United Data'!$A$3:$A$3390,J$1,'United Data'!$C$3:$C$3390,$A29,'United Data'!$B$3:$B$3390,"Off-street")&gt;0,1,0)</f>
        <v>0</v>
      </c>
      <c r="K29">
        <f>IF(COUNTIFS('United Data'!$A$3:$A$3390,K$1,'United Data'!$C$3:$C$3390,$A29,'United Data'!$B$3:$B$3390,"Off-street")&gt;0,1,0)</f>
        <v>0</v>
      </c>
      <c r="L29">
        <f>IF(COUNTIFS('United Data'!$A$3:$A$3390,L$1,'United Data'!$C$3:$C$3390,$A29,'United Data'!$B$3:$B$3390,"Off-street")&gt;0,1,0)</f>
        <v>0</v>
      </c>
      <c r="M29">
        <f>IF(COUNTIFS('United Data'!$A$3:$A$3390,M$1,'United Data'!$C$3:$C$3390,$A29,'United Data'!$B$3:$B$3390,"Off-street")&gt;0,1,0)</f>
        <v>0</v>
      </c>
      <c r="N29">
        <f>IF(COUNTIFS('United Data'!$A$3:$A$3390,N$1,'United Data'!$C$3:$C$3390,$A29,'United Data'!$B$3:$B$3390,"Off-street")&gt;0,1,0)</f>
        <v>0</v>
      </c>
      <c r="O29">
        <f>IF(COUNTIFS('United Data'!$A$3:$A$3390,O$1,'United Data'!$C$3:$C$3390,$A29,'United Data'!$B$3:$B$3390,"Off-street")&gt;0,1,0)</f>
        <v>0</v>
      </c>
      <c r="P29">
        <f>IF(COUNTIFS('United Data'!$A$3:$A$3390,P$1,'United Data'!$C$3:$C$3390,$A29,'United Data'!$B$3:$B$3390,"Off-street")&gt;0,1,0)</f>
        <v>0</v>
      </c>
      <c r="Q29">
        <f>IF(COUNTIFS('United Data'!$A$3:$A$3390,Q$1,'United Data'!$C$3:$C$3390,$A29,'United Data'!$B$3:$B$3390,"Off-street")&gt;0,1,0)</f>
        <v>0</v>
      </c>
      <c r="R29">
        <f>IF(COUNTIFS('United Data'!$A$3:$A$3390,R$1,'United Data'!$C$3:$C$3390,$A29,'United Data'!$B$3:$B$3390,"Off-street")&gt;0,1,0)</f>
        <v>0</v>
      </c>
      <c r="S29">
        <f t="shared" si="0"/>
        <v>1</v>
      </c>
      <c r="T29">
        <f t="shared" si="1"/>
        <v>1</v>
      </c>
    </row>
    <row r="30" spans="1:20" x14ac:dyDescent="0.2">
      <c r="A30" t="s">
        <v>2002</v>
      </c>
      <c r="B30">
        <f>IF(COUNTIFS('United Data'!$A$3:$A$3390,B$1,'United Data'!$C$3:$C$3390,$A30,'United Data'!$B$3:$B$3390,"Off-street")&gt;0,1,0)</f>
        <v>0</v>
      </c>
      <c r="C30">
        <f>IF(COUNTIFS('United Data'!$A$3:$A$3390,C$1,'United Data'!$C$3:$C$3390,$A30,'United Data'!$B$3:$B$3390,"Off-street")&gt;0,1,0)</f>
        <v>0</v>
      </c>
      <c r="D30">
        <f>IF(COUNTIFS('United Data'!$A$3:$A$3390,D$1,'United Data'!$C$3:$C$3390,$A30,'United Data'!$B$3:$B$3390,"Off-street")&gt;0,1,0)</f>
        <v>0</v>
      </c>
      <c r="E30">
        <f>IF(COUNTIFS('United Data'!$A$3:$A$3390,E$1,'United Data'!$C$3:$C$3390,$A30,'United Data'!$B$3:$B$3390,"Off-street")&gt;0,1,0)</f>
        <v>0</v>
      </c>
      <c r="F30">
        <f>IF(COUNTIFS('United Data'!$A$3:$A$3390,F$1,'United Data'!$C$3:$C$3390,$A30,'United Data'!$B$3:$B$3390,"Off-street")&gt;0,1,0)</f>
        <v>1</v>
      </c>
      <c r="G30">
        <f>IF(COUNTIFS('United Data'!$A$3:$A$3390,G$1,'United Data'!$C$3:$C$3390,$A30,'United Data'!$B$3:$B$3390,"Off-street")&gt;0,1,0)</f>
        <v>0</v>
      </c>
      <c r="H30">
        <f>IF(COUNTIFS('United Data'!$A$3:$A$3390,H$1,'United Data'!$C$3:$C$3390,$A30,'United Data'!$B$3:$B$3390,"Off-street")&gt;0,1,0)</f>
        <v>0</v>
      </c>
      <c r="I30">
        <f>IF(COUNTIFS('United Data'!$A$3:$A$3390,I$1,'United Data'!$C$3:$C$3390,$A30,'United Data'!$B$3:$B$3390,"Off-street")&gt;0,1,0)</f>
        <v>0</v>
      </c>
      <c r="J30">
        <f>IF(COUNTIFS('United Data'!$A$3:$A$3390,J$1,'United Data'!$C$3:$C$3390,$A30,'United Data'!$B$3:$B$3390,"Off-street")&gt;0,1,0)</f>
        <v>0</v>
      </c>
      <c r="K30">
        <f>IF(COUNTIFS('United Data'!$A$3:$A$3390,K$1,'United Data'!$C$3:$C$3390,$A30,'United Data'!$B$3:$B$3390,"Off-street")&gt;0,1,0)</f>
        <v>0</v>
      </c>
      <c r="L30">
        <f>IF(COUNTIFS('United Data'!$A$3:$A$3390,L$1,'United Data'!$C$3:$C$3390,$A30,'United Data'!$B$3:$B$3390,"Off-street")&gt;0,1,0)</f>
        <v>0</v>
      </c>
      <c r="M30">
        <f>IF(COUNTIFS('United Data'!$A$3:$A$3390,M$1,'United Data'!$C$3:$C$3390,$A30,'United Data'!$B$3:$B$3390,"Off-street")&gt;0,1,0)</f>
        <v>0</v>
      </c>
      <c r="N30">
        <f>IF(COUNTIFS('United Data'!$A$3:$A$3390,N$1,'United Data'!$C$3:$C$3390,$A30,'United Data'!$B$3:$B$3390,"Off-street")&gt;0,1,0)</f>
        <v>0</v>
      </c>
      <c r="O30">
        <f>IF(COUNTIFS('United Data'!$A$3:$A$3390,O$1,'United Data'!$C$3:$C$3390,$A30,'United Data'!$B$3:$B$3390,"Off-street")&gt;0,1,0)</f>
        <v>0</v>
      </c>
      <c r="P30">
        <f>IF(COUNTIFS('United Data'!$A$3:$A$3390,P$1,'United Data'!$C$3:$C$3390,$A30,'United Data'!$B$3:$B$3390,"Off-street")&gt;0,1,0)</f>
        <v>0</v>
      </c>
      <c r="Q30">
        <f>IF(COUNTIFS('United Data'!$A$3:$A$3390,Q$1,'United Data'!$C$3:$C$3390,$A30,'United Data'!$B$3:$B$3390,"Off-street")&gt;0,1,0)</f>
        <v>0</v>
      </c>
      <c r="R30">
        <f>IF(COUNTIFS('United Data'!$A$3:$A$3390,R$1,'United Data'!$C$3:$C$3390,$A30,'United Data'!$B$3:$B$3390,"Off-street")&gt;0,1,0)</f>
        <v>0</v>
      </c>
      <c r="S30">
        <f t="shared" si="0"/>
        <v>1</v>
      </c>
      <c r="T30">
        <f t="shared" si="1"/>
        <v>1</v>
      </c>
    </row>
    <row r="31" spans="1:20" x14ac:dyDescent="0.2">
      <c r="A31" t="s">
        <v>2003</v>
      </c>
      <c r="B31">
        <f>IF(COUNTIFS('United Data'!$A$3:$A$3390,B$1,'United Data'!$C$3:$C$3390,$A31,'United Data'!$B$3:$B$3390,"Off-street")&gt;0,1,0)</f>
        <v>0</v>
      </c>
      <c r="C31">
        <f>IF(COUNTIFS('United Data'!$A$3:$A$3390,C$1,'United Data'!$C$3:$C$3390,$A31,'United Data'!$B$3:$B$3390,"Off-street")&gt;0,1,0)</f>
        <v>0</v>
      </c>
      <c r="D31">
        <f>IF(COUNTIFS('United Data'!$A$3:$A$3390,D$1,'United Data'!$C$3:$C$3390,$A31,'United Data'!$B$3:$B$3390,"Off-street")&gt;0,1,0)</f>
        <v>0</v>
      </c>
      <c r="E31">
        <f>IF(COUNTIFS('United Data'!$A$3:$A$3390,E$1,'United Data'!$C$3:$C$3390,$A31,'United Data'!$B$3:$B$3390,"Off-street")&gt;0,1,0)</f>
        <v>0</v>
      </c>
      <c r="F31">
        <f>IF(COUNTIFS('United Data'!$A$3:$A$3390,F$1,'United Data'!$C$3:$C$3390,$A31,'United Data'!$B$3:$B$3390,"Off-street")&gt;0,1,0)</f>
        <v>1</v>
      </c>
      <c r="G31">
        <f>IF(COUNTIFS('United Data'!$A$3:$A$3390,G$1,'United Data'!$C$3:$C$3390,$A31,'United Data'!$B$3:$B$3390,"Off-street")&gt;0,1,0)</f>
        <v>0</v>
      </c>
      <c r="H31">
        <f>IF(COUNTIFS('United Data'!$A$3:$A$3390,H$1,'United Data'!$C$3:$C$3390,$A31,'United Data'!$B$3:$B$3390,"Off-street")&gt;0,1,0)</f>
        <v>0</v>
      </c>
      <c r="I31">
        <f>IF(COUNTIFS('United Data'!$A$3:$A$3390,I$1,'United Data'!$C$3:$C$3390,$A31,'United Data'!$B$3:$B$3390,"Off-street")&gt;0,1,0)</f>
        <v>0</v>
      </c>
      <c r="J31">
        <f>IF(COUNTIFS('United Data'!$A$3:$A$3390,J$1,'United Data'!$C$3:$C$3390,$A31,'United Data'!$B$3:$B$3390,"Off-street")&gt;0,1,0)</f>
        <v>1</v>
      </c>
      <c r="K31">
        <f>IF(COUNTIFS('United Data'!$A$3:$A$3390,K$1,'United Data'!$C$3:$C$3390,$A31,'United Data'!$B$3:$B$3390,"Off-street")&gt;0,1,0)</f>
        <v>0</v>
      </c>
      <c r="L31">
        <f>IF(COUNTIFS('United Data'!$A$3:$A$3390,L$1,'United Data'!$C$3:$C$3390,$A31,'United Data'!$B$3:$B$3390,"Off-street")&gt;0,1,0)</f>
        <v>0</v>
      </c>
      <c r="M31">
        <f>IF(COUNTIFS('United Data'!$A$3:$A$3390,M$1,'United Data'!$C$3:$C$3390,$A31,'United Data'!$B$3:$B$3390,"Off-street")&gt;0,1,0)</f>
        <v>0</v>
      </c>
      <c r="N31">
        <f>IF(COUNTIFS('United Data'!$A$3:$A$3390,N$1,'United Data'!$C$3:$C$3390,$A31,'United Data'!$B$3:$B$3390,"Off-street")&gt;0,1,0)</f>
        <v>0</v>
      </c>
      <c r="O31">
        <f>IF(COUNTIFS('United Data'!$A$3:$A$3390,O$1,'United Data'!$C$3:$C$3390,$A31,'United Data'!$B$3:$B$3390,"Off-street")&gt;0,1,0)</f>
        <v>0</v>
      </c>
      <c r="P31">
        <f>IF(COUNTIFS('United Data'!$A$3:$A$3390,P$1,'United Data'!$C$3:$C$3390,$A31,'United Data'!$B$3:$B$3390,"Off-street")&gt;0,1,0)</f>
        <v>0</v>
      </c>
      <c r="Q31">
        <f>IF(COUNTIFS('United Data'!$A$3:$A$3390,Q$1,'United Data'!$C$3:$C$3390,$A31,'United Data'!$B$3:$B$3390,"Off-street")&gt;0,1,0)</f>
        <v>0</v>
      </c>
      <c r="R31">
        <f>IF(COUNTIFS('United Data'!$A$3:$A$3390,R$1,'United Data'!$C$3:$C$3390,$A31,'United Data'!$B$3:$B$3390,"Off-street")&gt;0,1,0)</f>
        <v>0</v>
      </c>
      <c r="S31">
        <f t="shared" si="0"/>
        <v>2</v>
      </c>
      <c r="T31">
        <f t="shared" si="1"/>
        <v>2</v>
      </c>
    </row>
    <row r="32" spans="1:20" x14ac:dyDescent="0.2">
      <c r="A32" t="s">
        <v>2004</v>
      </c>
      <c r="B32">
        <f>IF(COUNTIFS('United Data'!$A$3:$A$3390,B$1,'United Data'!$C$3:$C$3390,$A32,'United Data'!$B$3:$B$3390,"Off-street")&gt;0,1,0)</f>
        <v>0</v>
      </c>
      <c r="C32">
        <f>IF(COUNTIFS('United Data'!$A$3:$A$3390,C$1,'United Data'!$C$3:$C$3390,$A32,'United Data'!$B$3:$B$3390,"Off-street")&gt;0,1,0)</f>
        <v>0</v>
      </c>
      <c r="D32">
        <f>IF(COUNTIFS('United Data'!$A$3:$A$3390,D$1,'United Data'!$C$3:$C$3390,$A32,'United Data'!$B$3:$B$3390,"Off-street")&gt;0,1,0)</f>
        <v>0</v>
      </c>
      <c r="E32">
        <f>IF(COUNTIFS('United Data'!$A$3:$A$3390,E$1,'United Data'!$C$3:$C$3390,$A32,'United Data'!$B$3:$B$3390,"Off-street")&gt;0,1,0)</f>
        <v>0</v>
      </c>
      <c r="F32">
        <f>IF(COUNTIFS('United Data'!$A$3:$A$3390,F$1,'United Data'!$C$3:$C$3390,$A32,'United Data'!$B$3:$B$3390,"Off-street")&gt;0,1,0)</f>
        <v>1</v>
      </c>
      <c r="G32">
        <f>IF(COUNTIFS('United Data'!$A$3:$A$3390,G$1,'United Data'!$C$3:$C$3390,$A32,'United Data'!$B$3:$B$3390,"Off-street")&gt;0,1,0)</f>
        <v>0</v>
      </c>
      <c r="H32">
        <f>IF(COUNTIFS('United Data'!$A$3:$A$3390,H$1,'United Data'!$C$3:$C$3390,$A32,'United Data'!$B$3:$B$3390,"Off-street")&gt;0,1,0)</f>
        <v>0</v>
      </c>
      <c r="I32">
        <f>IF(COUNTIFS('United Data'!$A$3:$A$3390,I$1,'United Data'!$C$3:$C$3390,$A32,'United Data'!$B$3:$B$3390,"Off-street")&gt;0,1,0)</f>
        <v>0</v>
      </c>
      <c r="J32">
        <f>IF(COUNTIFS('United Data'!$A$3:$A$3390,J$1,'United Data'!$C$3:$C$3390,$A32,'United Data'!$B$3:$B$3390,"Off-street")&gt;0,1,0)</f>
        <v>1</v>
      </c>
      <c r="K32">
        <f>IF(COUNTIFS('United Data'!$A$3:$A$3390,K$1,'United Data'!$C$3:$C$3390,$A32,'United Data'!$B$3:$B$3390,"Off-street")&gt;0,1,0)</f>
        <v>0</v>
      </c>
      <c r="L32">
        <f>IF(COUNTIFS('United Data'!$A$3:$A$3390,L$1,'United Data'!$C$3:$C$3390,$A32,'United Data'!$B$3:$B$3390,"Off-street")&gt;0,1,0)</f>
        <v>0</v>
      </c>
      <c r="M32">
        <f>IF(COUNTIFS('United Data'!$A$3:$A$3390,M$1,'United Data'!$C$3:$C$3390,$A32,'United Data'!$B$3:$B$3390,"Off-street")&gt;0,1,0)</f>
        <v>0</v>
      </c>
      <c r="N32">
        <f>IF(COUNTIFS('United Data'!$A$3:$A$3390,N$1,'United Data'!$C$3:$C$3390,$A32,'United Data'!$B$3:$B$3390,"Off-street")&gt;0,1,0)</f>
        <v>0</v>
      </c>
      <c r="O32">
        <f>IF(COUNTIFS('United Data'!$A$3:$A$3390,O$1,'United Data'!$C$3:$C$3390,$A32,'United Data'!$B$3:$B$3390,"Off-street")&gt;0,1,0)</f>
        <v>0</v>
      </c>
      <c r="P32">
        <f>IF(COUNTIFS('United Data'!$A$3:$A$3390,P$1,'United Data'!$C$3:$C$3390,$A32,'United Data'!$B$3:$B$3390,"Off-street")&gt;0,1,0)</f>
        <v>0</v>
      </c>
      <c r="Q32">
        <f>IF(COUNTIFS('United Data'!$A$3:$A$3390,Q$1,'United Data'!$C$3:$C$3390,$A32,'United Data'!$B$3:$B$3390,"Off-street")&gt;0,1,0)</f>
        <v>0</v>
      </c>
      <c r="R32">
        <f>IF(COUNTIFS('United Data'!$A$3:$A$3390,R$1,'United Data'!$C$3:$C$3390,$A32,'United Data'!$B$3:$B$3390,"Off-street")&gt;0,1,0)</f>
        <v>0</v>
      </c>
      <c r="S32">
        <f t="shared" si="0"/>
        <v>2</v>
      </c>
      <c r="T32">
        <f t="shared" si="1"/>
        <v>2</v>
      </c>
    </row>
    <row r="33" spans="1:20" x14ac:dyDescent="0.2">
      <c r="A33" t="s">
        <v>2005</v>
      </c>
      <c r="B33">
        <f>IF(COUNTIFS('United Data'!$A$3:$A$3390,B$1,'United Data'!$C$3:$C$3390,$A33,'United Data'!$B$3:$B$3390,"Off-street")&gt;0,1,0)</f>
        <v>0</v>
      </c>
      <c r="C33">
        <f>IF(COUNTIFS('United Data'!$A$3:$A$3390,C$1,'United Data'!$C$3:$C$3390,$A33,'United Data'!$B$3:$B$3390,"Off-street")&gt;0,1,0)</f>
        <v>0</v>
      </c>
      <c r="D33">
        <f>IF(COUNTIFS('United Data'!$A$3:$A$3390,D$1,'United Data'!$C$3:$C$3390,$A33,'United Data'!$B$3:$B$3390,"Off-street")&gt;0,1,0)</f>
        <v>0</v>
      </c>
      <c r="E33">
        <f>IF(COUNTIFS('United Data'!$A$3:$A$3390,E$1,'United Data'!$C$3:$C$3390,$A33,'United Data'!$B$3:$B$3390,"Off-street")&gt;0,1,0)</f>
        <v>0</v>
      </c>
      <c r="F33">
        <f>IF(COUNTIFS('United Data'!$A$3:$A$3390,F$1,'United Data'!$C$3:$C$3390,$A33,'United Data'!$B$3:$B$3390,"Off-street")&gt;0,1,0)</f>
        <v>1</v>
      </c>
      <c r="G33">
        <f>IF(COUNTIFS('United Data'!$A$3:$A$3390,G$1,'United Data'!$C$3:$C$3390,$A33,'United Data'!$B$3:$B$3390,"Off-street")&gt;0,1,0)</f>
        <v>0</v>
      </c>
      <c r="H33">
        <f>IF(COUNTIFS('United Data'!$A$3:$A$3390,H$1,'United Data'!$C$3:$C$3390,$A33,'United Data'!$B$3:$B$3390,"Off-street")&gt;0,1,0)</f>
        <v>0</v>
      </c>
      <c r="I33">
        <f>IF(COUNTIFS('United Data'!$A$3:$A$3390,I$1,'United Data'!$C$3:$C$3390,$A33,'United Data'!$B$3:$B$3390,"Off-street")&gt;0,1,0)</f>
        <v>0</v>
      </c>
      <c r="J33">
        <f>IF(COUNTIFS('United Data'!$A$3:$A$3390,J$1,'United Data'!$C$3:$C$3390,$A33,'United Data'!$B$3:$B$3390,"Off-street")&gt;0,1,0)</f>
        <v>0</v>
      </c>
      <c r="K33">
        <f>IF(COUNTIFS('United Data'!$A$3:$A$3390,K$1,'United Data'!$C$3:$C$3390,$A33,'United Data'!$B$3:$B$3390,"Off-street")&gt;0,1,0)</f>
        <v>0</v>
      </c>
      <c r="L33">
        <f>IF(COUNTIFS('United Data'!$A$3:$A$3390,L$1,'United Data'!$C$3:$C$3390,$A33,'United Data'!$B$3:$B$3390,"Off-street")&gt;0,1,0)</f>
        <v>0</v>
      </c>
      <c r="M33">
        <f>IF(COUNTIFS('United Data'!$A$3:$A$3390,M$1,'United Data'!$C$3:$C$3390,$A33,'United Data'!$B$3:$B$3390,"Off-street")&gt;0,1,0)</f>
        <v>0</v>
      </c>
      <c r="N33">
        <f>IF(COUNTIFS('United Data'!$A$3:$A$3390,N$1,'United Data'!$C$3:$C$3390,$A33,'United Data'!$B$3:$B$3390,"Off-street")&gt;0,1,0)</f>
        <v>0</v>
      </c>
      <c r="O33">
        <f>IF(COUNTIFS('United Data'!$A$3:$A$3390,O$1,'United Data'!$C$3:$C$3390,$A33,'United Data'!$B$3:$B$3390,"Off-street")&gt;0,1,0)</f>
        <v>0</v>
      </c>
      <c r="P33">
        <f>IF(COUNTIFS('United Data'!$A$3:$A$3390,P$1,'United Data'!$C$3:$C$3390,$A33,'United Data'!$B$3:$B$3390,"Off-street")&gt;0,1,0)</f>
        <v>0</v>
      </c>
      <c r="Q33">
        <f>IF(COUNTIFS('United Data'!$A$3:$A$3390,Q$1,'United Data'!$C$3:$C$3390,$A33,'United Data'!$B$3:$B$3390,"Off-street")&gt;0,1,0)</f>
        <v>0</v>
      </c>
      <c r="R33">
        <f>IF(COUNTIFS('United Data'!$A$3:$A$3390,R$1,'United Data'!$C$3:$C$3390,$A33,'United Data'!$B$3:$B$3390,"Off-street")&gt;0,1,0)</f>
        <v>0</v>
      </c>
      <c r="S33">
        <f t="shared" si="0"/>
        <v>1</v>
      </c>
      <c r="T33">
        <f t="shared" si="1"/>
        <v>1</v>
      </c>
    </row>
    <row r="34" spans="1:20" x14ac:dyDescent="0.2">
      <c r="A34" t="s">
        <v>2006</v>
      </c>
      <c r="B34">
        <f>IF(COUNTIFS('United Data'!$A$3:$A$3390,B$1,'United Data'!$C$3:$C$3390,$A34,'United Data'!$B$3:$B$3390,"Off-street")&gt;0,1,0)</f>
        <v>0</v>
      </c>
      <c r="C34">
        <f>IF(COUNTIFS('United Data'!$A$3:$A$3390,C$1,'United Data'!$C$3:$C$3390,$A34,'United Data'!$B$3:$B$3390,"Off-street")&gt;0,1,0)</f>
        <v>0</v>
      </c>
      <c r="D34">
        <f>IF(COUNTIFS('United Data'!$A$3:$A$3390,D$1,'United Data'!$C$3:$C$3390,$A34,'United Data'!$B$3:$B$3390,"Off-street")&gt;0,1,0)</f>
        <v>0</v>
      </c>
      <c r="E34">
        <f>IF(COUNTIFS('United Data'!$A$3:$A$3390,E$1,'United Data'!$C$3:$C$3390,$A34,'United Data'!$B$3:$B$3390,"Off-street")&gt;0,1,0)</f>
        <v>0</v>
      </c>
      <c r="F34">
        <f>IF(COUNTIFS('United Data'!$A$3:$A$3390,F$1,'United Data'!$C$3:$C$3390,$A34,'United Data'!$B$3:$B$3390,"Off-street")&gt;0,1,0)</f>
        <v>1</v>
      </c>
      <c r="G34">
        <f>IF(COUNTIFS('United Data'!$A$3:$A$3390,G$1,'United Data'!$C$3:$C$3390,$A34,'United Data'!$B$3:$B$3390,"Off-street")&gt;0,1,0)</f>
        <v>0</v>
      </c>
      <c r="H34">
        <f>IF(COUNTIFS('United Data'!$A$3:$A$3390,H$1,'United Data'!$C$3:$C$3390,$A34,'United Data'!$B$3:$B$3390,"Off-street")&gt;0,1,0)</f>
        <v>0</v>
      </c>
      <c r="I34">
        <f>IF(COUNTIFS('United Data'!$A$3:$A$3390,I$1,'United Data'!$C$3:$C$3390,$A34,'United Data'!$B$3:$B$3390,"Off-street")&gt;0,1,0)</f>
        <v>0</v>
      </c>
      <c r="J34">
        <f>IF(COUNTIFS('United Data'!$A$3:$A$3390,J$1,'United Data'!$C$3:$C$3390,$A34,'United Data'!$B$3:$B$3390,"Off-street")&gt;0,1,0)</f>
        <v>0</v>
      </c>
      <c r="K34">
        <f>IF(COUNTIFS('United Data'!$A$3:$A$3390,K$1,'United Data'!$C$3:$C$3390,$A34,'United Data'!$B$3:$B$3390,"Off-street")&gt;0,1,0)</f>
        <v>0</v>
      </c>
      <c r="L34">
        <f>IF(COUNTIFS('United Data'!$A$3:$A$3390,L$1,'United Data'!$C$3:$C$3390,$A34,'United Data'!$B$3:$B$3390,"Off-street")&gt;0,1,0)</f>
        <v>0</v>
      </c>
      <c r="M34">
        <f>IF(COUNTIFS('United Data'!$A$3:$A$3390,M$1,'United Data'!$C$3:$C$3390,$A34,'United Data'!$B$3:$B$3390,"Off-street")&gt;0,1,0)</f>
        <v>0</v>
      </c>
      <c r="N34">
        <f>IF(COUNTIFS('United Data'!$A$3:$A$3390,N$1,'United Data'!$C$3:$C$3390,$A34,'United Data'!$B$3:$B$3390,"Off-street")&gt;0,1,0)</f>
        <v>0</v>
      </c>
      <c r="O34">
        <f>IF(COUNTIFS('United Data'!$A$3:$A$3390,O$1,'United Data'!$C$3:$C$3390,$A34,'United Data'!$B$3:$B$3390,"Off-street")&gt;0,1,0)</f>
        <v>0</v>
      </c>
      <c r="P34">
        <f>IF(COUNTIFS('United Data'!$A$3:$A$3390,P$1,'United Data'!$C$3:$C$3390,$A34,'United Data'!$B$3:$B$3390,"Off-street")&gt;0,1,0)</f>
        <v>0</v>
      </c>
      <c r="Q34">
        <f>IF(COUNTIFS('United Data'!$A$3:$A$3390,Q$1,'United Data'!$C$3:$C$3390,$A34,'United Data'!$B$3:$B$3390,"Off-street")&gt;0,1,0)</f>
        <v>0</v>
      </c>
      <c r="R34">
        <f>IF(COUNTIFS('United Data'!$A$3:$A$3390,R$1,'United Data'!$C$3:$C$3390,$A34,'United Data'!$B$3:$B$3390,"Off-street")&gt;0,1,0)</f>
        <v>0</v>
      </c>
      <c r="S34">
        <f t="shared" ref="S34:S65" si="2">SUM(B34:R34)</f>
        <v>1</v>
      </c>
      <c r="T34">
        <f t="shared" ref="T34:T65" si="3">B34+SUMPRODUCT(--(C34:R34&gt;B34:Q34))</f>
        <v>1</v>
      </c>
    </row>
    <row r="35" spans="1:20" x14ac:dyDescent="0.2">
      <c r="A35" t="s">
        <v>2007</v>
      </c>
      <c r="B35">
        <f>IF(COUNTIFS('United Data'!$A$3:$A$3390,B$1,'United Data'!$C$3:$C$3390,$A35,'United Data'!$B$3:$B$3390,"Off-street")&gt;0,1,0)</f>
        <v>0</v>
      </c>
      <c r="C35">
        <f>IF(COUNTIFS('United Data'!$A$3:$A$3390,C$1,'United Data'!$C$3:$C$3390,$A35,'United Data'!$B$3:$B$3390,"Off-street")&gt;0,1,0)</f>
        <v>0</v>
      </c>
      <c r="D35">
        <f>IF(COUNTIFS('United Data'!$A$3:$A$3390,D$1,'United Data'!$C$3:$C$3390,$A35,'United Data'!$B$3:$B$3390,"Off-street")&gt;0,1,0)</f>
        <v>0</v>
      </c>
      <c r="E35">
        <f>IF(COUNTIFS('United Data'!$A$3:$A$3390,E$1,'United Data'!$C$3:$C$3390,$A35,'United Data'!$B$3:$B$3390,"Off-street")&gt;0,1,0)</f>
        <v>0</v>
      </c>
      <c r="F35">
        <f>IF(COUNTIFS('United Data'!$A$3:$A$3390,F$1,'United Data'!$C$3:$C$3390,$A35,'United Data'!$B$3:$B$3390,"Off-street")&gt;0,1,0)</f>
        <v>0</v>
      </c>
      <c r="G35">
        <f>IF(COUNTIFS('United Data'!$A$3:$A$3390,G$1,'United Data'!$C$3:$C$3390,$A35,'United Data'!$B$3:$B$3390,"Off-street")&gt;0,1,0)</f>
        <v>1</v>
      </c>
      <c r="H35">
        <f>IF(COUNTIFS('United Data'!$A$3:$A$3390,H$1,'United Data'!$C$3:$C$3390,$A35,'United Data'!$B$3:$B$3390,"Off-street")&gt;0,1,0)</f>
        <v>0</v>
      </c>
      <c r="I35">
        <f>IF(COUNTIFS('United Data'!$A$3:$A$3390,I$1,'United Data'!$C$3:$C$3390,$A35,'United Data'!$B$3:$B$3390,"Off-street")&gt;0,1,0)</f>
        <v>0</v>
      </c>
      <c r="J35">
        <f>IF(COUNTIFS('United Data'!$A$3:$A$3390,J$1,'United Data'!$C$3:$C$3390,$A35,'United Data'!$B$3:$B$3390,"Off-street")&gt;0,1,0)</f>
        <v>0</v>
      </c>
      <c r="K35">
        <f>IF(COUNTIFS('United Data'!$A$3:$A$3390,K$1,'United Data'!$C$3:$C$3390,$A35,'United Data'!$B$3:$B$3390,"Off-street")&gt;0,1,0)</f>
        <v>0</v>
      </c>
      <c r="L35">
        <f>IF(COUNTIFS('United Data'!$A$3:$A$3390,L$1,'United Data'!$C$3:$C$3390,$A35,'United Data'!$B$3:$B$3390,"Off-street")&gt;0,1,0)</f>
        <v>0</v>
      </c>
      <c r="M35">
        <f>IF(COUNTIFS('United Data'!$A$3:$A$3390,M$1,'United Data'!$C$3:$C$3390,$A35,'United Data'!$B$3:$B$3390,"Off-street")&gt;0,1,0)</f>
        <v>0</v>
      </c>
      <c r="N35">
        <f>IF(COUNTIFS('United Data'!$A$3:$A$3390,N$1,'United Data'!$C$3:$C$3390,$A35,'United Data'!$B$3:$B$3390,"Off-street")&gt;0,1,0)</f>
        <v>0</v>
      </c>
      <c r="O35">
        <f>IF(COUNTIFS('United Data'!$A$3:$A$3390,O$1,'United Data'!$C$3:$C$3390,$A35,'United Data'!$B$3:$B$3390,"Off-street")&gt;0,1,0)</f>
        <v>0</v>
      </c>
      <c r="P35">
        <f>IF(COUNTIFS('United Data'!$A$3:$A$3390,P$1,'United Data'!$C$3:$C$3390,$A35,'United Data'!$B$3:$B$3390,"Off-street")&gt;0,1,0)</f>
        <v>0</v>
      </c>
      <c r="Q35">
        <f>IF(COUNTIFS('United Data'!$A$3:$A$3390,Q$1,'United Data'!$C$3:$C$3390,$A35,'United Data'!$B$3:$B$3390,"Off-street")&gt;0,1,0)</f>
        <v>0</v>
      </c>
      <c r="R35">
        <f>IF(COUNTIFS('United Data'!$A$3:$A$3390,R$1,'United Data'!$C$3:$C$3390,$A35,'United Data'!$B$3:$B$3390,"Off-street")&gt;0,1,0)</f>
        <v>0</v>
      </c>
      <c r="S35">
        <f t="shared" si="2"/>
        <v>1</v>
      </c>
      <c r="T35">
        <f t="shared" si="3"/>
        <v>1</v>
      </c>
    </row>
    <row r="36" spans="1:20" x14ac:dyDescent="0.2">
      <c r="A36" t="s">
        <v>2008</v>
      </c>
      <c r="B36">
        <f>IF(COUNTIFS('United Data'!$A$3:$A$3390,B$1,'United Data'!$C$3:$C$3390,$A36,'United Data'!$B$3:$B$3390,"Off-street")&gt;0,1,0)</f>
        <v>0</v>
      </c>
      <c r="C36">
        <f>IF(COUNTIFS('United Data'!$A$3:$A$3390,C$1,'United Data'!$C$3:$C$3390,$A36,'United Data'!$B$3:$B$3390,"Off-street")&gt;0,1,0)</f>
        <v>0</v>
      </c>
      <c r="D36">
        <f>IF(COUNTIFS('United Data'!$A$3:$A$3390,D$1,'United Data'!$C$3:$C$3390,$A36,'United Data'!$B$3:$B$3390,"Off-street")&gt;0,1,0)</f>
        <v>0</v>
      </c>
      <c r="E36">
        <f>IF(COUNTIFS('United Data'!$A$3:$A$3390,E$1,'United Data'!$C$3:$C$3390,$A36,'United Data'!$B$3:$B$3390,"Off-street")&gt;0,1,0)</f>
        <v>0</v>
      </c>
      <c r="F36">
        <f>IF(COUNTIFS('United Data'!$A$3:$A$3390,F$1,'United Data'!$C$3:$C$3390,$A36,'United Data'!$B$3:$B$3390,"Off-street")&gt;0,1,0)</f>
        <v>0</v>
      </c>
      <c r="G36">
        <f>IF(COUNTIFS('United Data'!$A$3:$A$3390,G$1,'United Data'!$C$3:$C$3390,$A36,'United Data'!$B$3:$B$3390,"Off-street")&gt;0,1,0)</f>
        <v>1</v>
      </c>
      <c r="H36">
        <f>IF(COUNTIFS('United Data'!$A$3:$A$3390,H$1,'United Data'!$C$3:$C$3390,$A36,'United Data'!$B$3:$B$3390,"Off-street")&gt;0,1,0)</f>
        <v>0</v>
      </c>
      <c r="I36">
        <f>IF(COUNTIFS('United Data'!$A$3:$A$3390,I$1,'United Data'!$C$3:$C$3390,$A36,'United Data'!$B$3:$B$3390,"Off-street")&gt;0,1,0)</f>
        <v>0</v>
      </c>
      <c r="J36">
        <f>IF(COUNTIFS('United Data'!$A$3:$A$3390,J$1,'United Data'!$C$3:$C$3390,$A36,'United Data'!$B$3:$B$3390,"Off-street")&gt;0,1,0)</f>
        <v>0</v>
      </c>
      <c r="K36">
        <f>IF(COUNTIFS('United Data'!$A$3:$A$3390,K$1,'United Data'!$C$3:$C$3390,$A36,'United Data'!$B$3:$B$3390,"Off-street")&gt;0,1,0)</f>
        <v>0</v>
      </c>
      <c r="L36">
        <f>IF(COUNTIFS('United Data'!$A$3:$A$3390,L$1,'United Data'!$C$3:$C$3390,$A36,'United Data'!$B$3:$B$3390,"Off-street")&gt;0,1,0)</f>
        <v>0</v>
      </c>
      <c r="M36">
        <f>IF(COUNTIFS('United Data'!$A$3:$A$3390,M$1,'United Data'!$C$3:$C$3390,$A36,'United Data'!$B$3:$B$3390,"Off-street")&gt;0,1,0)</f>
        <v>0</v>
      </c>
      <c r="N36">
        <f>IF(COUNTIFS('United Data'!$A$3:$A$3390,N$1,'United Data'!$C$3:$C$3390,$A36,'United Data'!$B$3:$B$3390,"Off-street")&gt;0,1,0)</f>
        <v>0</v>
      </c>
      <c r="O36">
        <f>IF(COUNTIFS('United Data'!$A$3:$A$3390,O$1,'United Data'!$C$3:$C$3390,$A36,'United Data'!$B$3:$B$3390,"Off-street")&gt;0,1,0)</f>
        <v>0</v>
      </c>
      <c r="P36">
        <f>IF(COUNTIFS('United Data'!$A$3:$A$3390,P$1,'United Data'!$C$3:$C$3390,$A36,'United Data'!$B$3:$B$3390,"Off-street")&gt;0,1,0)</f>
        <v>0</v>
      </c>
      <c r="Q36">
        <f>IF(COUNTIFS('United Data'!$A$3:$A$3390,Q$1,'United Data'!$C$3:$C$3390,$A36,'United Data'!$B$3:$B$3390,"Off-street")&gt;0,1,0)</f>
        <v>0</v>
      </c>
      <c r="R36">
        <f>IF(COUNTIFS('United Data'!$A$3:$A$3390,R$1,'United Data'!$C$3:$C$3390,$A36,'United Data'!$B$3:$B$3390,"Off-street")&gt;0,1,0)</f>
        <v>0</v>
      </c>
      <c r="S36">
        <f t="shared" si="2"/>
        <v>1</v>
      </c>
      <c r="T36">
        <f t="shared" si="3"/>
        <v>1</v>
      </c>
    </row>
    <row r="37" spans="1:20" x14ac:dyDescent="0.2">
      <c r="A37" t="s">
        <v>2009</v>
      </c>
      <c r="B37">
        <f>IF(COUNTIFS('United Data'!$A$3:$A$3390,B$1,'United Data'!$C$3:$C$3390,$A37,'United Data'!$B$3:$B$3390,"Off-street")&gt;0,1,0)</f>
        <v>0</v>
      </c>
      <c r="C37">
        <f>IF(COUNTIFS('United Data'!$A$3:$A$3390,C$1,'United Data'!$C$3:$C$3390,$A37,'United Data'!$B$3:$B$3390,"Off-street")&gt;0,1,0)</f>
        <v>0</v>
      </c>
      <c r="D37">
        <f>IF(COUNTIFS('United Data'!$A$3:$A$3390,D$1,'United Data'!$C$3:$C$3390,$A37,'United Data'!$B$3:$B$3390,"Off-street")&gt;0,1,0)</f>
        <v>0</v>
      </c>
      <c r="E37">
        <f>IF(COUNTIFS('United Data'!$A$3:$A$3390,E$1,'United Data'!$C$3:$C$3390,$A37,'United Data'!$B$3:$B$3390,"Off-street")&gt;0,1,0)</f>
        <v>0</v>
      </c>
      <c r="F37">
        <f>IF(COUNTIFS('United Data'!$A$3:$A$3390,F$1,'United Data'!$C$3:$C$3390,$A37,'United Data'!$B$3:$B$3390,"Off-street")&gt;0,1,0)</f>
        <v>0</v>
      </c>
      <c r="G37">
        <f>IF(COUNTIFS('United Data'!$A$3:$A$3390,G$1,'United Data'!$C$3:$C$3390,$A37,'United Data'!$B$3:$B$3390,"Off-street")&gt;0,1,0)</f>
        <v>1</v>
      </c>
      <c r="H37">
        <f>IF(COUNTIFS('United Data'!$A$3:$A$3390,H$1,'United Data'!$C$3:$C$3390,$A37,'United Data'!$B$3:$B$3390,"Off-street")&gt;0,1,0)</f>
        <v>0</v>
      </c>
      <c r="I37">
        <f>IF(COUNTIFS('United Data'!$A$3:$A$3390,I$1,'United Data'!$C$3:$C$3390,$A37,'United Data'!$B$3:$B$3390,"Off-street")&gt;0,1,0)</f>
        <v>0</v>
      </c>
      <c r="J37">
        <f>IF(COUNTIFS('United Data'!$A$3:$A$3390,J$1,'United Data'!$C$3:$C$3390,$A37,'United Data'!$B$3:$B$3390,"Off-street")&gt;0,1,0)</f>
        <v>0</v>
      </c>
      <c r="K37">
        <f>IF(COUNTIFS('United Data'!$A$3:$A$3390,K$1,'United Data'!$C$3:$C$3390,$A37,'United Data'!$B$3:$B$3390,"Off-street")&gt;0,1,0)</f>
        <v>0</v>
      </c>
      <c r="L37">
        <f>IF(COUNTIFS('United Data'!$A$3:$A$3390,L$1,'United Data'!$C$3:$C$3390,$A37,'United Data'!$B$3:$B$3390,"Off-street")&gt;0,1,0)</f>
        <v>0</v>
      </c>
      <c r="M37">
        <f>IF(COUNTIFS('United Data'!$A$3:$A$3390,M$1,'United Data'!$C$3:$C$3390,$A37,'United Data'!$B$3:$B$3390,"Off-street")&gt;0,1,0)</f>
        <v>0</v>
      </c>
      <c r="N37">
        <f>IF(COUNTIFS('United Data'!$A$3:$A$3390,N$1,'United Data'!$C$3:$C$3390,$A37,'United Data'!$B$3:$B$3390,"Off-street")&gt;0,1,0)</f>
        <v>0</v>
      </c>
      <c r="O37">
        <f>IF(COUNTIFS('United Data'!$A$3:$A$3390,O$1,'United Data'!$C$3:$C$3390,$A37,'United Data'!$B$3:$B$3390,"Off-street")&gt;0,1,0)</f>
        <v>0</v>
      </c>
      <c r="P37">
        <f>IF(COUNTIFS('United Data'!$A$3:$A$3390,P$1,'United Data'!$C$3:$C$3390,$A37,'United Data'!$B$3:$B$3390,"Off-street")&gt;0,1,0)</f>
        <v>0</v>
      </c>
      <c r="Q37">
        <f>IF(COUNTIFS('United Data'!$A$3:$A$3390,Q$1,'United Data'!$C$3:$C$3390,$A37,'United Data'!$B$3:$B$3390,"Off-street")&gt;0,1,0)</f>
        <v>0</v>
      </c>
      <c r="R37">
        <f>IF(COUNTIFS('United Data'!$A$3:$A$3390,R$1,'United Data'!$C$3:$C$3390,$A37,'United Data'!$B$3:$B$3390,"Off-street")&gt;0,1,0)</f>
        <v>0</v>
      </c>
      <c r="S37">
        <f t="shared" si="2"/>
        <v>1</v>
      </c>
      <c r="T37">
        <f t="shared" si="3"/>
        <v>1</v>
      </c>
    </row>
    <row r="38" spans="1:20" x14ac:dyDescent="0.2">
      <c r="A38" t="s">
        <v>2010</v>
      </c>
      <c r="B38">
        <f>IF(COUNTIFS('United Data'!$A$3:$A$3390,B$1,'United Data'!$C$3:$C$3390,$A38,'United Data'!$B$3:$B$3390,"Off-street")&gt;0,1,0)</f>
        <v>0</v>
      </c>
      <c r="C38">
        <f>IF(COUNTIFS('United Data'!$A$3:$A$3390,C$1,'United Data'!$C$3:$C$3390,$A38,'United Data'!$B$3:$B$3390,"Off-street")&gt;0,1,0)</f>
        <v>0</v>
      </c>
      <c r="D38">
        <f>IF(COUNTIFS('United Data'!$A$3:$A$3390,D$1,'United Data'!$C$3:$C$3390,$A38,'United Data'!$B$3:$B$3390,"Off-street")&gt;0,1,0)</f>
        <v>0</v>
      </c>
      <c r="E38">
        <f>IF(COUNTIFS('United Data'!$A$3:$A$3390,E$1,'United Data'!$C$3:$C$3390,$A38,'United Data'!$B$3:$B$3390,"Off-street")&gt;0,1,0)</f>
        <v>0</v>
      </c>
      <c r="F38">
        <f>IF(COUNTIFS('United Data'!$A$3:$A$3390,F$1,'United Data'!$C$3:$C$3390,$A38,'United Data'!$B$3:$B$3390,"Off-street")&gt;0,1,0)</f>
        <v>0</v>
      </c>
      <c r="G38">
        <f>IF(COUNTIFS('United Data'!$A$3:$A$3390,G$1,'United Data'!$C$3:$C$3390,$A38,'United Data'!$B$3:$B$3390,"Off-street")&gt;0,1,0)</f>
        <v>1</v>
      </c>
      <c r="H38">
        <f>IF(COUNTIFS('United Data'!$A$3:$A$3390,H$1,'United Data'!$C$3:$C$3390,$A38,'United Data'!$B$3:$B$3390,"Off-street")&gt;0,1,0)</f>
        <v>0</v>
      </c>
      <c r="I38">
        <f>IF(COUNTIFS('United Data'!$A$3:$A$3390,I$1,'United Data'!$C$3:$C$3390,$A38,'United Data'!$B$3:$B$3390,"Off-street")&gt;0,1,0)</f>
        <v>0</v>
      </c>
      <c r="J38">
        <f>IF(COUNTIFS('United Data'!$A$3:$A$3390,J$1,'United Data'!$C$3:$C$3390,$A38,'United Data'!$B$3:$B$3390,"Off-street")&gt;0,1,0)</f>
        <v>0</v>
      </c>
      <c r="K38">
        <f>IF(COUNTIFS('United Data'!$A$3:$A$3390,K$1,'United Data'!$C$3:$C$3390,$A38,'United Data'!$B$3:$B$3390,"Off-street")&gt;0,1,0)</f>
        <v>0</v>
      </c>
      <c r="L38">
        <f>IF(COUNTIFS('United Data'!$A$3:$A$3390,L$1,'United Data'!$C$3:$C$3390,$A38,'United Data'!$B$3:$B$3390,"Off-street")&gt;0,1,0)</f>
        <v>0</v>
      </c>
      <c r="M38">
        <f>IF(COUNTIFS('United Data'!$A$3:$A$3390,M$1,'United Data'!$C$3:$C$3390,$A38,'United Data'!$B$3:$B$3390,"Off-street")&gt;0,1,0)</f>
        <v>0</v>
      </c>
      <c r="N38">
        <f>IF(COUNTIFS('United Data'!$A$3:$A$3390,N$1,'United Data'!$C$3:$C$3390,$A38,'United Data'!$B$3:$B$3390,"Off-street")&gt;0,1,0)</f>
        <v>0</v>
      </c>
      <c r="O38">
        <f>IF(COUNTIFS('United Data'!$A$3:$A$3390,O$1,'United Data'!$C$3:$C$3390,$A38,'United Data'!$B$3:$B$3390,"Off-street")&gt;0,1,0)</f>
        <v>0</v>
      </c>
      <c r="P38">
        <f>IF(COUNTIFS('United Data'!$A$3:$A$3390,P$1,'United Data'!$C$3:$C$3390,$A38,'United Data'!$B$3:$B$3390,"Off-street")&gt;0,1,0)</f>
        <v>0</v>
      </c>
      <c r="Q38">
        <f>IF(COUNTIFS('United Data'!$A$3:$A$3390,Q$1,'United Data'!$C$3:$C$3390,$A38,'United Data'!$B$3:$B$3390,"Off-street")&gt;0,1,0)</f>
        <v>0</v>
      </c>
      <c r="R38">
        <f>IF(COUNTIFS('United Data'!$A$3:$A$3390,R$1,'United Data'!$C$3:$C$3390,$A38,'United Data'!$B$3:$B$3390,"Off-street")&gt;0,1,0)</f>
        <v>0</v>
      </c>
      <c r="S38">
        <f t="shared" si="2"/>
        <v>1</v>
      </c>
      <c r="T38">
        <f t="shared" si="3"/>
        <v>1</v>
      </c>
    </row>
    <row r="39" spans="1:20" x14ac:dyDescent="0.2">
      <c r="A39" t="s">
        <v>2011</v>
      </c>
      <c r="B39">
        <f>IF(COUNTIFS('United Data'!$A$3:$A$3390,B$1,'United Data'!$C$3:$C$3390,$A39,'United Data'!$B$3:$B$3390,"Off-street")&gt;0,1,0)</f>
        <v>0</v>
      </c>
      <c r="C39">
        <f>IF(COUNTIFS('United Data'!$A$3:$A$3390,C$1,'United Data'!$C$3:$C$3390,$A39,'United Data'!$B$3:$B$3390,"Off-street")&gt;0,1,0)</f>
        <v>0</v>
      </c>
      <c r="D39">
        <f>IF(COUNTIFS('United Data'!$A$3:$A$3390,D$1,'United Data'!$C$3:$C$3390,$A39,'United Data'!$B$3:$B$3390,"Off-street")&gt;0,1,0)</f>
        <v>0</v>
      </c>
      <c r="E39">
        <f>IF(COUNTIFS('United Data'!$A$3:$A$3390,E$1,'United Data'!$C$3:$C$3390,$A39,'United Data'!$B$3:$B$3390,"Off-street")&gt;0,1,0)</f>
        <v>0</v>
      </c>
      <c r="F39">
        <f>IF(COUNTIFS('United Data'!$A$3:$A$3390,F$1,'United Data'!$C$3:$C$3390,$A39,'United Data'!$B$3:$B$3390,"Off-street")&gt;0,1,0)</f>
        <v>0</v>
      </c>
      <c r="G39">
        <f>IF(COUNTIFS('United Data'!$A$3:$A$3390,G$1,'United Data'!$C$3:$C$3390,$A39,'United Data'!$B$3:$B$3390,"Off-street")&gt;0,1,0)</f>
        <v>0</v>
      </c>
      <c r="H39">
        <f>IF(COUNTIFS('United Data'!$A$3:$A$3390,H$1,'United Data'!$C$3:$C$3390,$A39,'United Data'!$B$3:$B$3390,"Off-street")&gt;0,1,0)</f>
        <v>1</v>
      </c>
      <c r="I39">
        <f>IF(COUNTIFS('United Data'!$A$3:$A$3390,I$1,'United Data'!$C$3:$C$3390,$A39,'United Data'!$B$3:$B$3390,"Off-street")&gt;0,1,0)</f>
        <v>0</v>
      </c>
      <c r="J39">
        <f>IF(COUNTIFS('United Data'!$A$3:$A$3390,J$1,'United Data'!$C$3:$C$3390,$A39,'United Data'!$B$3:$B$3390,"Off-street")&gt;0,1,0)</f>
        <v>0</v>
      </c>
      <c r="K39">
        <f>IF(COUNTIFS('United Data'!$A$3:$A$3390,K$1,'United Data'!$C$3:$C$3390,$A39,'United Data'!$B$3:$B$3390,"Off-street")&gt;0,1,0)</f>
        <v>0</v>
      </c>
      <c r="L39">
        <f>IF(COUNTIFS('United Data'!$A$3:$A$3390,L$1,'United Data'!$C$3:$C$3390,$A39,'United Data'!$B$3:$B$3390,"Off-street")&gt;0,1,0)</f>
        <v>0</v>
      </c>
      <c r="M39">
        <f>IF(COUNTIFS('United Data'!$A$3:$A$3390,M$1,'United Data'!$C$3:$C$3390,$A39,'United Data'!$B$3:$B$3390,"Off-street")&gt;0,1,0)</f>
        <v>0</v>
      </c>
      <c r="N39">
        <f>IF(COUNTIFS('United Data'!$A$3:$A$3390,N$1,'United Data'!$C$3:$C$3390,$A39,'United Data'!$B$3:$B$3390,"Off-street")&gt;0,1,0)</f>
        <v>0</v>
      </c>
      <c r="O39">
        <f>IF(COUNTIFS('United Data'!$A$3:$A$3390,O$1,'United Data'!$C$3:$C$3390,$A39,'United Data'!$B$3:$B$3390,"Off-street")&gt;0,1,0)</f>
        <v>0</v>
      </c>
      <c r="P39">
        <f>IF(COUNTIFS('United Data'!$A$3:$A$3390,P$1,'United Data'!$C$3:$C$3390,$A39,'United Data'!$B$3:$B$3390,"Off-street")&gt;0,1,0)</f>
        <v>0</v>
      </c>
      <c r="Q39">
        <f>IF(COUNTIFS('United Data'!$A$3:$A$3390,Q$1,'United Data'!$C$3:$C$3390,$A39,'United Data'!$B$3:$B$3390,"Off-street")&gt;0,1,0)</f>
        <v>0</v>
      </c>
      <c r="R39">
        <f>IF(COUNTIFS('United Data'!$A$3:$A$3390,R$1,'United Data'!$C$3:$C$3390,$A39,'United Data'!$B$3:$B$3390,"Off-street")&gt;0,1,0)</f>
        <v>0</v>
      </c>
      <c r="S39">
        <f t="shared" si="2"/>
        <v>1</v>
      </c>
      <c r="T39">
        <f t="shared" si="3"/>
        <v>1</v>
      </c>
    </row>
    <row r="40" spans="1:20" x14ac:dyDescent="0.2">
      <c r="A40" t="s">
        <v>2012</v>
      </c>
      <c r="B40">
        <f>IF(COUNTIFS('United Data'!$A$3:$A$3390,B$1,'United Data'!$C$3:$C$3390,$A40,'United Data'!$B$3:$B$3390,"Off-street")&gt;0,1,0)</f>
        <v>0</v>
      </c>
      <c r="C40">
        <f>IF(COUNTIFS('United Data'!$A$3:$A$3390,C$1,'United Data'!$C$3:$C$3390,$A40,'United Data'!$B$3:$B$3390,"Off-street")&gt;0,1,0)</f>
        <v>0</v>
      </c>
      <c r="D40">
        <f>IF(COUNTIFS('United Data'!$A$3:$A$3390,D$1,'United Data'!$C$3:$C$3390,$A40,'United Data'!$B$3:$B$3390,"Off-street")&gt;0,1,0)</f>
        <v>0</v>
      </c>
      <c r="E40">
        <f>IF(COUNTIFS('United Data'!$A$3:$A$3390,E$1,'United Data'!$C$3:$C$3390,$A40,'United Data'!$B$3:$B$3390,"Off-street")&gt;0,1,0)</f>
        <v>0</v>
      </c>
      <c r="F40">
        <f>IF(COUNTIFS('United Data'!$A$3:$A$3390,F$1,'United Data'!$C$3:$C$3390,$A40,'United Data'!$B$3:$B$3390,"Off-street")&gt;0,1,0)</f>
        <v>0</v>
      </c>
      <c r="G40">
        <f>IF(COUNTIFS('United Data'!$A$3:$A$3390,G$1,'United Data'!$C$3:$C$3390,$A40,'United Data'!$B$3:$B$3390,"Off-street")&gt;0,1,0)</f>
        <v>0</v>
      </c>
      <c r="H40">
        <f>IF(COUNTIFS('United Data'!$A$3:$A$3390,H$1,'United Data'!$C$3:$C$3390,$A40,'United Data'!$B$3:$B$3390,"Off-street")&gt;0,1,0)</f>
        <v>1</v>
      </c>
      <c r="I40">
        <f>IF(COUNTIFS('United Data'!$A$3:$A$3390,I$1,'United Data'!$C$3:$C$3390,$A40,'United Data'!$B$3:$B$3390,"Off-street")&gt;0,1,0)</f>
        <v>0</v>
      </c>
      <c r="J40">
        <f>IF(COUNTIFS('United Data'!$A$3:$A$3390,J$1,'United Data'!$C$3:$C$3390,$A40,'United Data'!$B$3:$B$3390,"Off-street")&gt;0,1,0)</f>
        <v>0</v>
      </c>
      <c r="K40">
        <f>IF(COUNTIFS('United Data'!$A$3:$A$3390,K$1,'United Data'!$C$3:$C$3390,$A40,'United Data'!$B$3:$B$3390,"Off-street")&gt;0,1,0)</f>
        <v>0</v>
      </c>
      <c r="L40">
        <f>IF(COUNTIFS('United Data'!$A$3:$A$3390,L$1,'United Data'!$C$3:$C$3390,$A40,'United Data'!$B$3:$B$3390,"Off-street")&gt;0,1,0)</f>
        <v>0</v>
      </c>
      <c r="M40">
        <f>IF(COUNTIFS('United Data'!$A$3:$A$3390,M$1,'United Data'!$C$3:$C$3390,$A40,'United Data'!$B$3:$B$3390,"Off-street")&gt;0,1,0)</f>
        <v>0</v>
      </c>
      <c r="N40">
        <f>IF(COUNTIFS('United Data'!$A$3:$A$3390,N$1,'United Data'!$C$3:$C$3390,$A40,'United Data'!$B$3:$B$3390,"Off-street")&gt;0,1,0)</f>
        <v>0</v>
      </c>
      <c r="O40">
        <f>IF(COUNTIFS('United Data'!$A$3:$A$3390,O$1,'United Data'!$C$3:$C$3390,$A40,'United Data'!$B$3:$B$3390,"Off-street")&gt;0,1,0)</f>
        <v>0</v>
      </c>
      <c r="P40">
        <f>IF(COUNTIFS('United Data'!$A$3:$A$3390,P$1,'United Data'!$C$3:$C$3390,$A40,'United Data'!$B$3:$B$3390,"Off-street")&gt;0,1,0)</f>
        <v>0</v>
      </c>
      <c r="Q40">
        <f>IF(COUNTIFS('United Data'!$A$3:$A$3390,Q$1,'United Data'!$C$3:$C$3390,$A40,'United Data'!$B$3:$B$3390,"Off-street")&gt;0,1,0)</f>
        <v>0</v>
      </c>
      <c r="R40">
        <f>IF(COUNTIFS('United Data'!$A$3:$A$3390,R$1,'United Data'!$C$3:$C$3390,$A40,'United Data'!$B$3:$B$3390,"Off-street")&gt;0,1,0)</f>
        <v>0</v>
      </c>
      <c r="S40">
        <f t="shared" si="2"/>
        <v>1</v>
      </c>
      <c r="T40">
        <f t="shared" si="3"/>
        <v>1</v>
      </c>
    </row>
    <row r="41" spans="1:20" x14ac:dyDescent="0.2">
      <c r="A41" t="s">
        <v>2013</v>
      </c>
      <c r="B41">
        <f>IF(COUNTIFS('United Data'!$A$3:$A$3390,B$1,'United Data'!$C$3:$C$3390,$A41,'United Data'!$B$3:$B$3390,"Off-street")&gt;0,1,0)</f>
        <v>0</v>
      </c>
      <c r="C41">
        <f>IF(COUNTIFS('United Data'!$A$3:$A$3390,C$1,'United Data'!$C$3:$C$3390,$A41,'United Data'!$B$3:$B$3390,"Off-street")&gt;0,1,0)</f>
        <v>0</v>
      </c>
      <c r="D41">
        <f>IF(COUNTIFS('United Data'!$A$3:$A$3390,D$1,'United Data'!$C$3:$C$3390,$A41,'United Data'!$B$3:$B$3390,"Off-street")&gt;0,1,0)</f>
        <v>0</v>
      </c>
      <c r="E41">
        <f>IF(COUNTIFS('United Data'!$A$3:$A$3390,E$1,'United Data'!$C$3:$C$3390,$A41,'United Data'!$B$3:$B$3390,"Off-street")&gt;0,1,0)</f>
        <v>0</v>
      </c>
      <c r="F41">
        <f>IF(COUNTIFS('United Data'!$A$3:$A$3390,F$1,'United Data'!$C$3:$C$3390,$A41,'United Data'!$B$3:$B$3390,"Off-street")&gt;0,1,0)</f>
        <v>0</v>
      </c>
      <c r="G41">
        <f>IF(COUNTIFS('United Data'!$A$3:$A$3390,G$1,'United Data'!$C$3:$C$3390,$A41,'United Data'!$B$3:$B$3390,"Off-street")&gt;0,1,0)</f>
        <v>0</v>
      </c>
      <c r="H41">
        <f>IF(COUNTIFS('United Data'!$A$3:$A$3390,H$1,'United Data'!$C$3:$C$3390,$A41,'United Data'!$B$3:$B$3390,"Off-street")&gt;0,1,0)</f>
        <v>1</v>
      </c>
      <c r="I41">
        <f>IF(COUNTIFS('United Data'!$A$3:$A$3390,I$1,'United Data'!$C$3:$C$3390,$A41,'United Data'!$B$3:$B$3390,"Off-street")&gt;0,1,0)</f>
        <v>0</v>
      </c>
      <c r="J41">
        <f>IF(COUNTIFS('United Data'!$A$3:$A$3390,J$1,'United Data'!$C$3:$C$3390,$A41,'United Data'!$B$3:$B$3390,"Off-street")&gt;0,1,0)</f>
        <v>0</v>
      </c>
      <c r="K41">
        <f>IF(COUNTIFS('United Data'!$A$3:$A$3390,K$1,'United Data'!$C$3:$C$3390,$A41,'United Data'!$B$3:$B$3390,"Off-street")&gt;0,1,0)</f>
        <v>0</v>
      </c>
      <c r="L41">
        <f>IF(COUNTIFS('United Data'!$A$3:$A$3390,L$1,'United Data'!$C$3:$C$3390,$A41,'United Data'!$B$3:$B$3390,"Off-street")&gt;0,1,0)</f>
        <v>0</v>
      </c>
      <c r="M41">
        <f>IF(COUNTIFS('United Data'!$A$3:$A$3390,M$1,'United Data'!$C$3:$C$3390,$A41,'United Data'!$B$3:$B$3390,"Off-street")&gt;0,1,0)</f>
        <v>0</v>
      </c>
      <c r="N41">
        <f>IF(COUNTIFS('United Data'!$A$3:$A$3390,N$1,'United Data'!$C$3:$C$3390,$A41,'United Data'!$B$3:$B$3390,"Off-street")&gt;0,1,0)</f>
        <v>0</v>
      </c>
      <c r="O41">
        <f>IF(COUNTIFS('United Data'!$A$3:$A$3390,O$1,'United Data'!$C$3:$C$3390,$A41,'United Data'!$B$3:$B$3390,"Off-street")&gt;0,1,0)</f>
        <v>0</v>
      </c>
      <c r="P41">
        <f>IF(COUNTIFS('United Data'!$A$3:$A$3390,P$1,'United Data'!$C$3:$C$3390,$A41,'United Data'!$B$3:$B$3390,"Off-street")&gt;0,1,0)</f>
        <v>0</v>
      </c>
      <c r="Q41">
        <f>IF(COUNTIFS('United Data'!$A$3:$A$3390,Q$1,'United Data'!$C$3:$C$3390,$A41,'United Data'!$B$3:$B$3390,"Off-street")&gt;0,1,0)</f>
        <v>0</v>
      </c>
      <c r="R41">
        <f>IF(COUNTIFS('United Data'!$A$3:$A$3390,R$1,'United Data'!$C$3:$C$3390,$A41,'United Data'!$B$3:$B$3390,"Off-street")&gt;0,1,0)</f>
        <v>0</v>
      </c>
      <c r="S41">
        <f t="shared" si="2"/>
        <v>1</v>
      </c>
      <c r="T41">
        <f t="shared" si="3"/>
        <v>1</v>
      </c>
    </row>
    <row r="42" spans="1:20" x14ac:dyDescent="0.2">
      <c r="A42" t="s">
        <v>2014</v>
      </c>
      <c r="B42">
        <f>IF(COUNTIFS('United Data'!$A$3:$A$3390,B$1,'United Data'!$C$3:$C$3390,$A42,'United Data'!$B$3:$B$3390,"Off-street")&gt;0,1,0)</f>
        <v>0</v>
      </c>
      <c r="C42">
        <f>IF(COUNTIFS('United Data'!$A$3:$A$3390,C$1,'United Data'!$C$3:$C$3390,$A42,'United Data'!$B$3:$B$3390,"Off-street")&gt;0,1,0)</f>
        <v>0</v>
      </c>
      <c r="D42">
        <f>IF(COUNTIFS('United Data'!$A$3:$A$3390,D$1,'United Data'!$C$3:$C$3390,$A42,'United Data'!$B$3:$B$3390,"Off-street")&gt;0,1,0)</f>
        <v>0</v>
      </c>
      <c r="E42">
        <f>IF(COUNTIFS('United Data'!$A$3:$A$3390,E$1,'United Data'!$C$3:$C$3390,$A42,'United Data'!$B$3:$B$3390,"Off-street")&gt;0,1,0)</f>
        <v>0</v>
      </c>
      <c r="F42">
        <f>IF(COUNTIFS('United Data'!$A$3:$A$3390,F$1,'United Data'!$C$3:$C$3390,$A42,'United Data'!$B$3:$B$3390,"Off-street")&gt;0,1,0)</f>
        <v>0</v>
      </c>
      <c r="G42">
        <f>IF(COUNTIFS('United Data'!$A$3:$A$3390,G$1,'United Data'!$C$3:$C$3390,$A42,'United Data'!$B$3:$B$3390,"Off-street")&gt;0,1,0)</f>
        <v>0</v>
      </c>
      <c r="H42">
        <f>IF(COUNTIFS('United Data'!$A$3:$A$3390,H$1,'United Data'!$C$3:$C$3390,$A42,'United Data'!$B$3:$B$3390,"Off-street")&gt;0,1,0)</f>
        <v>0</v>
      </c>
      <c r="I42">
        <f>IF(COUNTIFS('United Data'!$A$3:$A$3390,I$1,'United Data'!$C$3:$C$3390,$A42,'United Data'!$B$3:$B$3390,"Off-street")&gt;0,1,0)</f>
        <v>1</v>
      </c>
      <c r="J42">
        <f>IF(COUNTIFS('United Data'!$A$3:$A$3390,J$1,'United Data'!$C$3:$C$3390,$A42,'United Data'!$B$3:$B$3390,"Off-street")&gt;0,1,0)</f>
        <v>0</v>
      </c>
      <c r="K42">
        <f>IF(COUNTIFS('United Data'!$A$3:$A$3390,K$1,'United Data'!$C$3:$C$3390,$A42,'United Data'!$B$3:$B$3390,"Off-street")&gt;0,1,0)</f>
        <v>0</v>
      </c>
      <c r="L42">
        <f>IF(COUNTIFS('United Data'!$A$3:$A$3390,L$1,'United Data'!$C$3:$C$3390,$A42,'United Data'!$B$3:$B$3390,"Off-street")&gt;0,1,0)</f>
        <v>0</v>
      </c>
      <c r="M42">
        <f>IF(COUNTIFS('United Data'!$A$3:$A$3390,M$1,'United Data'!$C$3:$C$3390,$A42,'United Data'!$B$3:$B$3390,"Off-street")&gt;0,1,0)</f>
        <v>0</v>
      </c>
      <c r="N42">
        <f>IF(COUNTIFS('United Data'!$A$3:$A$3390,N$1,'United Data'!$C$3:$C$3390,$A42,'United Data'!$B$3:$B$3390,"Off-street")&gt;0,1,0)</f>
        <v>0</v>
      </c>
      <c r="O42">
        <f>IF(COUNTIFS('United Data'!$A$3:$A$3390,O$1,'United Data'!$C$3:$C$3390,$A42,'United Data'!$B$3:$B$3390,"Off-street")&gt;0,1,0)</f>
        <v>0</v>
      </c>
      <c r="P42">
        <f>IF(COUNTIFS('United Data'!$A$3:$A$3390,P$1,'United Data'!$C$3:$C$3390,$A42,'United Data'!$B$3:$B$3390,"Off-street")&gt;0,1,0)</f>
        <v>0</v>
      </c>
      <c r="Q42">
        <f>IF(COUNTIFS('United Data'!$A$3:$A$3390,Q$1,'United Data'!$C$3:$C$3390,$A42,'United Data'!$B$3:$B$3390,"Off-street")&gt;0,1,0)</f>
        <v>0</v>
      </c>
      <c r="R42">
        <f>IF(COUNTIFS('United Data'!$A$3:$A$3390,R$1,'United Data'!$C$3:$C$3390,$A42,'United Data'!$B$3:$B$3390,"Off-street")&gt;0,1,0)</f>
        <v>0</v>
      </c>
      <c r="S42">
        <f t="shared" si="2"/>
        <v>1</v>
      </c>
      <c r="T42">
        <f t="shared" si="3"/>
        <v>1</v>
      </c>
    </row>
    <row r="43" spans="1:20" x14ac:dyDescent="0.2">
      <c r="A43" t="s">
        <v>2015</v>
      </c>
      <c r="B43">
        <f>IF(COUNTIFS('United Data'!$A$3:$A$3390,B$1,'United Data'!$C$3:$C$3390,$A43,'United Data'!$B$3:$B$3390,"Off-street")&gt;0,1,0)</f>
        <v>0</v>
      </c>
      <c r="C43">
        <f>IF(COUNTIFS('United Data'!$A$3:$A$3390,C$1,'United Data'!$C$3:$C$3390,$A43,'United Data'!$B$3:$B$3390,"Off-street")&gt;0,1,0)</f>
        <v>0</v>
      </c>
      <c r="D43">
        <f>IF(COUNTIFS('United Data'!$A$3:$A$3390,D$1,'United Data'!$C$3:$C$3390,$A43,'United Data'!$B$3:$B$3390,"Off-street")&gt;0,1,0)</f>
        <v>0</v>
      </c>
      <c r="E43">
        <f>IF(COUNTIFS('United Data'!$A$3:$A$3390,E$1,'United Data'!$C$3:$C$3390,$A43,'United Data'!$B$3:$B$3390,"Off-street")&gt;0,1,0)</f>
        <v>0</v>
      </c>
      <c r="F43">
        <f>IF(COUNTIFS('United Data'!$A$3:$A$3390,F$1,'United Data'!$C$3:$C$3390,$A43,'United Data'!$B$3:$B$3390,"Off-street")&gt;0,1,0)</f>
        <v>0</v>
      </c>
      <c r="G43">
        <f>IF(COUNTIFS('United Data'!$A$3:$A$3390,G$1,'United Data'!$C$3:$C$3390,$A43,'United Data'!$B$3:$B$3390,"Off-street")&gt;0,1,0)</f>
        <v>0</v>
      </c>
      <c r="H43">
        <f>IF(COUNTIFS('United Data'!$A$3:$A$3390,H$1,'United Data'!$C$3:$C$3390,$A43,'United Data'!$B$3:$B$3390,"Off-street")&gt;0,1,0)</f>
        <v>0</v>
      </c>
      <c r="I43">
        <f>IF(COUNTIFS('United Data'!$A$3:$A$3390,I$1,'United Data'!$C$3:$C$3390,$A43,'United Data'!$B$3:$B$3390,"Off-street")&gt;0,1,0)</f>
        <v>1</v>
      </c>
      <c r="J43">
        <f>IF(COUNTIFS('United Data'!$A$3:$A$3390,J$1,'United Data'!$C$3:$C$3390,$A43,'United Data'!$B$3:$B$3390,"Off-street")&gt;0,1,0)</f>
        <v>0</v>
      </c>
      <c r="K43">
        <f>IF(COUNTIFS('United Data'!$A$3:$A$3390,K$1,'United Data'!$C$3:$C$3390,$A43,'United Data'!$B$3:$B$3390,"Off-street")&gt;0,1,0)</f>
        <v>0</v>
      </c>
      <c r="L43">
        <f>IF(COUNTIFS('United Data'!$A$3:$A$3390,L$1,'United Data'!$C$3:$C$3390,$A43,'United Data'!$B$3:$B$3390,"Off-street")&gt;0,1,0)</f>
        <v>0</v>
      </c>
      <c r="M43">
        <f>IF(COUNTIFS('United Data'!$A$3:$A$3390,M$1,'United Data'!$C$3:$C$3390,$A43,'United Data'!$B$3:$B$3390,"Off-street")&gt;0,1,0)</f>
        <v>0</v>
      </c>
      <c r="N43">
        <f>IF(COUNTIFS('United Data'!$A$3:$A$3390,N$1,'United Data'!$C$3:$C$3390,$A43,'United Data'!$B$3:$B$3390,"Off-street")&gt;0,1,0)</f>
        <v>0</v>
      </c>
      <c r="O43">
        <f>IF(COUNTIFS('United Data'!$A$3:$A$3390,O$1,'United Data'!$C$3:$C$3390,$A43,'United Data'!$B$3:$B$3390,"Off-street")&gt;0,1,0)</f>
        <v>1</v>
      </c>
      <c r="P43">
        <f>IF(COUNTIFS('United Data'!$A$3:$A$3390,P$1,'United Data'!$C$3:$C$3390,$A43,'United Data'!$B$3:$B$3390,"Off-street")&gt;0,1,0)</f>
        <v>0</v>
      </c>
      <c r="Q43">
        <f>IF(COUNTIFS('United Data'!$A$3:$A$3390,Q$1,'United Data'!$C$3:$C$3390,$A43,'United Data'!$B$3:$B$3390,"Off-street")&gt;0,1,0)</f>
        <v>0</v>
      </c>
      <c r="R43">
        <f>IF(COUNTIFS('United Data'!$A$3:$A$3390,R$1,'United Data'!$C$3:$C$3390,$A43,'United Data'!$B$3:$B$3390,"Off-street")&gt;0,1,0)</f>
        <v>0</v>
      </c>
      <c r="S43">
        <f t="shared" si="2"/>
        <v>2</v>
      </c>
      <c r="T43">
        <f t="shared" si="3"/>
        <v>2</v>
      </c>
    </row>
    <row r="44" spans="1:20" x14ac:dyDescent="0.2">
      <c r="A44" t="s">
        <v>2016</v>
      </c>
      <c r="B44">
        <f>IF(COUNTIFS('United Data'!$A$3:$A$3390,B$1,'United Data'!$C$3:$C$3390,$A44,'United Data'!$B$3:$B$3390,"Off-street")&gt;0,1,0)</f>
        <v>0</v>
      </c>
      <c r="C44">
        <f>IF(COUNTIFS('United Data'!$A$3:$A$3390,C$1,'United Data'!$C$3:$C$3390,$A44,'United Data'!$B$3:$B$3390,"Off-street")&gt;0,1,0)</f>
        <v>0</v>
      </c>
      <c r="D44">
        <f>IF(COUNTIFS('United Data'!$A$3:$A$3390,D$1,'United Data'!$C$3:$C$3390,$A44,'United Data'!$B$3:$B$3390,"Off-street")&gt;0,1,0)</f>
        <v>0</v>
      </c>
      <c r="E44">
        <f>IF(COUNTIFS('United Data'!$A$3:$A$3390,E$1,'United Data'!$C$3:$C$3390,$A44,'United Data'!$B$3:$B$3390,"Off-street")&gt;0,1,0)</f>
        <v>0</v>
      </c>
      <c r="F44">
        <f>IF(COUNTIFS('United Data'!$A$3:$A$3390,F$1,'United Data'!$C$3:$C$3390,$A44,'United Data'!$B$3:$B$3390,"Off-street")&gt;0,1,0)</f>
        <v>0</v>
      </c>
      <c r="G44">
        <f>IF(COUNTIFS('United Data'!$A$3:$A$3390,G$1,'United Data'!$C$3:$C$3390,$A44,'United Data'!$B$3:$B$3390,"Off-street")&gt;0,1,0)</f>
        <v>0</v>
      </c>
      <c r="H44">
        <f>IF(COUNTIFS('United Data'!$A$3:$A$3390,H$1,'United Data'!$C$3:$C$3390,$A44,'United Data'!$B$3:$B$3390,"Off-street")&gt;0,1,0)</f>
        <v>0</v>
      </c>
      <c r="I44">
        <f>IF(COUNTIFS('United Data'!$A$3:$A$3390,I$1,'United Data'!$C$3:$C$3390,$A44,'United Data'!$B$3:$B$3390,"Off-street")&gt;0,1,0)</f>
        <v>1</v>
      </c>
      <c r="J44">
        <f>IF(COUNTIFS('United Data'!$A$3:$A$3390,J$1,'United Data'!$C$3:$C$3390,$A44,'United Data'!$B$3:$B$3390,"Off-street")&gt;0,1,0)</f>
        <v>0</v>
      </c>
      <c r="K44">
        <f>IF(COUNTIFS('United Data'!$A$3:$A$3390,K$1,'United Data'!$C$3:$C$3390,$A44,'United Data'!$B$3:$B$3390,"Off-street")&gt;0,1,0)</f>
        <v>0</v>
      </c>
      <c r="L44">
        <f>IF(COUNTIFS('United Data'!$A$3:$A$3390,L$1,'United Data'!$C$3:$C$3390,$A44,'United Data'!$B$3:$B$3390,"Off-street")&gt;0,1,0)</f>
        <v>0</v>
      </c>
      <c r="M44">
        <f>IF(COUNTIFS('United Data'!$A$3:$A$3390,M$1,'United Data'!$C$3:$C$3390,$A44,'United Data'!$B$3:$B$3390,"Off-street")&gt;0,1,0)</f>
        <v>0</v>
      </c>
      <c r="N44">
        <f>IF(COUNTIFS('United Data'!$A$3:$A$3390,N$1,'United Data'!$C$3:$C$3390,$A44,'United Data'!$B$3:$B$3390,"Off-street")&gt;0,1,0)</f>
        <v>0</v>
      </c>
      <c r="O44">
        <f>IF(COUNTIFS('United Data'!$A$3:$A$3390,O$1,'United Data'!$C$3:$C$3390,$A44,'United Data'!$B$3:$B$3390,"Off-street")&gt;0,1,0)</f>
        <v>0</v>
      </c>
      <c r="P44">
        <f>IF(COUNTIFS('United Data'!$A$3:$A$3390,P$1,'United Data'!$C$3:$C$3390,$A44,'United Data'!$B$3:$B$3390,"Off-street")&gt;0,1,0)</f>
        <v>0</v>
      </c>
      <c r="Q44">
        <f>IF(COUNTIFS('United Data'!$A$3:$A$3390,Q$1,'United Data'!$C$3:$C$3390,$A44,'United Data'!$B$3:$B$3390,"Off-street")&gt;0,1,0)</f>
        <v>0</v>
      </c>
      <c r="R44">
        <f>IF(COUNTIFS('United Data'!$A$3:$A$3390,R$1,'United Data'!$C$3:$C$3390,$A44,'United Data'!$B$3:$B$3390,"Off-street")&gt;0,1,0)</f>
        <v>0</v>
      </c>
      <c r="S44">
        <f t="shared" si="2"/>
        <v>1</v>
      </c>
      <c r="T44">
        <f t="shared" si="3"/>
        <v>1</v>
      </c>
    </row>
    <row r="45" spans="1:20" x14ac:dyDescent="0.2">
      <c r="A45" t="s">
        <v>2017</v>
      </c>
      <c r="B45">
        <f>IF(COUNTIFS('United Data'!$A$3:$A$3390,B$1,'United Data'!$C$3:$C$3390,$A45,'United Data'!$B$3:$B$3390,"Off-street")&gt;0,1,0)</f>
        <v>0</v>
      </c>
      <c r="C45">
        <f>IF(COUNTIFS('United Data'!$A$3:$A$3390,C$1,'United Data'!$C$3:$C$3390,$A45,'United Data'!$B$3:$B$3390,"Off-street")&gt;0,1,0)</f>
        <v>0</v>
      </c>
      <c r="D45">
        <f>IF(COUNTIFS('United Data'!$A$3:$A$3390,D$1,'United Data'!$C$3:$C$3390,$A45,'United Data'!$B$3:$B$3390,"Off-street")&gt;0,1,0)</f>
        <v>0</v>
      </c>
      <c r="E45">
        <f>IF(COUNTIFS('United Data'!$A$3:$A$3390,E$1,'United Data'!$C$3:$C$3390,$A45,'United Data'!$B$3:$B$3390,"Off-street")&gt;0,1,0)</f>
        <v>0</v>
      </c>
      <c r="F45">
        <f>IF(COUNTIFS('United Data'!$A$3:$A$3390,F$1,'United Data'!$C$3:$C$3390,$A45,'United Data'!$B$3:$B$3390,"Off-street")&gt;0,1,0)</f>
        <v>0</v>
      </c>
      <c r="G45">
        <f>IF(COUNTIFS('United Data'!$A$3:$A$3390,G$1,'United Data'!$C$3:$C$3390,$A45,'United Data'!$B$3:$B$3390,"Off-street")&gt;0,1,0)</f>
        <v>0</v>
      </c>
      <c r="H45">
        <f>IF(COUNTIFS('United Data'!$A$3:$A$3390,H$1,'United Data'!$C$3:$C$3390,$A45,'United Data'!$B$3:$B$3390,"Off-street")&gt;0,1,0)</f>
        <v>0</v>
      </c>
      <c r="I45">
        <f>IF(COUNTIFS('United Data'!$A$3:$A$3390,I$1,'United Data'!$C$3:$C$3390,$A45,'United Data'!$B$3:$B$3390,"Off-street")&gt;0,1,0)</f>
        <v>1</v>
      </c>
      <c r="J45">
        <f>IF(COUNTIFS('United Data'!$A$3:$A$3390,J$1,'United Data'!$C$3:$C$3390,$A45,'United Data'!$B$3:$B$3390,"Off-street")&gt;0,1,0)</f>
        <v>0</v>
      </c>
      <c r="K45">
        <f>IF(COUNTIFS('United Data'!$A$3:$A$3390,K$1,'United Data'!$C$3:$C$3390,$A45,'United Data'!$B$3:$B$3390,"Off-street")&gt;0,1,0)</f>
        <v>0</v>
      </c>
      <c r="L45">
        <f>IF(COUNTIFS('United Data'!$A$3:$A$3390,L$1,'United Data'!$C$3:$C$3390,$A45,'United Data'!$B$3:$B$3390,"Off-street")&gt;0,1,0)</f>
        <v>0</v>
      </c>
      <c r="M45">
        <f>IF(COUNTIFS('United Data'!$A$3:$A$3390,M$1,'United Data'!$C$3:$C$3390,$A45,'United Data'!$B$3:$B$3390,"Off-street")&gt;0,1,0)</f>
        <v>0</v>
      </c>
      <c r="N45">
        <f>IF(COUNTIFS('United Data'!$A$3:$A$3390,N$1,'United Data'!$C$3:$C$3390,$A45,'United Data'!$B$3:$B$3390,"Off-street")&gt;0,1,0)</f>
        <v>0</v>
      </c>
      <c r="O45">
        <f>IF(COUNTIFS('United Data'!$A$3:$A$3390,O$1,'United Data'!$C$3:$C$3390,$A45,'United Data'!$B$3:$B$3390,"Off-street")&gt;0,1,0)</f>
        <v>1</v>
      </c>
      <c r="P45">
        <f>IF(COUNTIFS('United Data'!$A$3:$A$3390,P$1,'United Data'!$C$3:$C$3390,$A45,'United Data'!$B$3:$B$3390,"Off-street")&gt;0,1,0)</f>
        <v>0</v>
      </c>
      <c r="Q45">
        <f>IF(COUNTIFS('United Data'!$A$3:$A$3390,Q$1,'United Data'!$C$3:$C$3390,$A45,'United Data'!$B$3:$B$3390,"Off-street")&gt;0,1,0)</f>
        <v>0</v>
      </c>
      <c r="R45">
        <f>IF(COUNTIFS('United Data'!$A$3:$A$3390,R$1,'United Data'!$C$3:$C$3390,$A45,'United Data'!$B$3:$B$3390,"Off-street")&gt;0,1,0)</f>
        <v>0</v>
      </c>
      <c r="S45">
        <f t="shared" si="2"/>
        <v>2</v>
      </c>
      <c r="T45">
        <f t="shared" si="3"/>
        <v>2</v>
      </c>
    </row>
    <row r="46" spans="1:20" x14ac:dyDescent="0.2">
      <c r="A46" t="s">
        <v>2018</v>
      </c>
      <c r="B46">
        <f>IF(COUNTIFS('United Data'!$A$3:$A$3390,B$1,'United Data'!$C$3:$C$3390,$A46,'United Data'!$B$3:$B$3390,"Off-street")&gt;0,1,0)</f>
        <v>0</v>
      </c>
      <c r="C46">
        <f>IF(COUNTIFS('United Data'!$A$3:$A$3390,C$1,'United Data'!$C$3:$C$3390,$A46,'United Data'!$B$3:$B$3390,"Off-street")&gt;0,1,0)</f>
        <v>0</v>
      </c>
      <c r="D46">
        <f>IF(COUNTIFS('United Data'!$A$3:$A$3390,D$1,'United Data'!$C$3:$C$3390,$A46,'United Data'!$B$3:$B$3390,"Off-street")&gt;0,1,0)</f>
        <v>0</v>
      </c>
      <c r="E46">
        <f>IF(COUNTIFS('United Data'!$A$3:$A$3390,E$1,'United Data'!$C$3:$C$3390,$A46,'United Data'!$B$3:$B$3390,"Off-street")&gt;0,1,0)</f>
        <v>0</v>
      </c>
      <c r="F46">
        <f>IF(COUNTIFS('United Data'!$A$3:$A$3390,F$1,'United Data'!$C$3:$C$3390,$A46,'United Data'!$B$3:$B$3390,"Off-street")&gt;0,1,0)</f>
        <v>0</v>
      </c>
      <c r="G46">
        <f>IF(COUNTIFS('United Data'!$A$3:$A$3390,G$1,'United Data'!$C$3:$C$3390,$A46,'United Data'!$B$3:$B$3390,"Off-street")&gt;0,1,0)</f>
        <v>0</v>
      </c>
      <c r="H46">
        <f>IF(COUNTIFS('United Data'!$A$3:$A$3390,H$1,'United Data'!$C$3:$C$3390,$A46,'United Data'!$B$3:$B$3390,"Off-street")&gt;0,1,0)</f>
        <v>0</v>
      </c>
      <c r="I46">
        <f>IF(COUNTIFS('United Data'!$A$3:$A$3390,I$1,'United Data'!$C$3:$C$3390,$A46,'United Data'!$B$3:$B$3390,"Off-street")&gt;0,1,0)</f>
        <v>0</v>
      </c>
      <c r="J46">
        <f>IF(COUNTIFS('United Data'!$A$3:$A$3390,J$1,'United Data'!$C$3:$C$3390,$A46,'United Data'!$B$3:$B$3390,"Off-street")&gt;0,1,0)</f>
        <v>1</v>
      </c>
      <c r="K46">
        <f>IF(COUNTIFS('United Data'!$A$3:$A$3390,K$1,'United Data'!$C$3:$C$3390,$A46,'United Data'!$B$3:$B$3390,"Off-street")&gt;0,1,0)</f>
        <v>0</v>
      </c>
      <c r="L46">
        <f>IF(COUNTIFS('United Data'!$A$3:$A$3390,L$1,'United Data'!$C$3:$C$3390,$A46,'United Data'!$B$3:$B$3390,"Off-street")&gt;0,1,0)</f>
        <v>0</v>
      </c>
      <c r="M46">
        <f>IF(COUNTIFS('United Data'!$A$3:$A$3390,M$1,'United Data'!$C$3:$C$3390,$A46,'United Data'!$B$3:$B$3390,"Off-street")&gt;0,1,0)</f>
        <v>0</v>
      </c>
      <c r="N46">
        <f>IF(COUNTIFS('United Data'!$A$3:$A$3390,N$1,'United Data'!$C$3:$C$3390,$A46,'United Data'!$B$3:$B$3390,"Off-street")&gt;0,1,0)</f>
        <v>0</v>
      </c>
      <c r="O46">
        <f>IF(COUNTIFS('United Data'!$A$3:$A$3390,O$1,'United Data'!$C$3:$C$3390,$A46,'United Data'!$B$3:$B$3390,"Off-street")&gt;0,1,0)</f>
        <v>0</v>
      </c>
      <c r="P46">
        <f>IF(COUNTIFS('United Data'!$A$3:$A$3390,P$1,'United Data'!$C$3:$C$3390,$A46,'United Data'!$B$3:$B$3390,"Off-street")&gt;0,1,0)</f>
        <v>0</v>
      </c>
      <c r="Q46">
        <f>IF(COUNTIFS('United Data'!$A$3:$A$3390,Q$1,'United Data'!$C$3:$C$3390,$A46,'United Data'!$B$3:$B$3390,"Off-street")&gt;0,1,0)</f>
        <v>0</v>
      </c>
      <c r="R46">
        <f>IF(COUNTIFS('United Data'!$A$3:$A$3390,R$1,'United Data'!$C$3:$C$3390,$A46,'United Data'!$B$3:$B$3390,"Off-street")&gt;0,1,0)</f>
        <v>0</v>
      </c>
      <c r="S46">
        <f t="shared" si="2"/>
        <v>1</v>
      </c>
      <c r="T46">
        <f t="shared" si="3"/>
        <v>1</v>
      </c>
    </row>
    <row r="47" spans="1:20" x14ac:dyDescent="0.2">
      <c r="A47" t="s">
        <v>2019</v>
      </c>
      <c r="B47">
        <f>IF(COUNTIFS('United Data'!$A$3:$A$3390,B$1,'United Data'!$C$3:$C$3390,$A47,'United Data'!$B$3:$B$3390,"Off-street")&gt;0,1,0)</f>
        <v>0</v>
      </c>
      <c r="C47">
        <f>IF(COUNTIFS('United Data'!$A$3:$A$3390,C$1,'United Data'!$C$3:$C$3390,$A47,'United Data'!$B$3:$B$3390,"Off-street")&gt;0,1,0)</f>
        <v>0</v>
      </c>
      <c r="D47">
        <f>IF(COUNTIFS('United Data'!$A$3:$A$3390,D$1,'United Data'!$C$3:$C$3390,$A47,'United Data'!$B$3:$B$3390,"Off-street")&gt;0,1,0)</f>
        <v>0</v>
      </c>
      <c r="E47">
        <f>IF(COUNTIFS('United Data'!$A$3:$A$3390,E$1,'United Data'!$C$3:$C$3390,$A47,'United Data'!$B$3:$B$3390,"Off-street")&gt;0,1,0)</f>
        <v>0</v>
      </c>
      <c r="F47">
        <f>IF(COUNTIFS('United Data'!$A$3:$A$3390,F$1,'United Data'!$C$3:$C$3390,$A47,'United Data'!$B$3:$B$3390,"Off-street")&gt;0,1,0)</f>
        <v>0</v>
      </c>
      <c r="G47">
        <f>IF(COUNTIFS('United Data'!$A$3:$A$3390,G$1,'United Data'!$C$3:$C$3390,$A47,'United Data'!$B$3:$B$3390,"Off-street")&gt;0,1,0)</f>
        <v>0</v>
      </c>
      <c r="H47">
        <f>IF(COUNTIFS('United Data'!$A$3:$A$3390,H$1,'United Data'!$C$3:$C$3390,$A47,'United Data'!$B$3:$B$3390,"Off-street")&gt;0,1,0)</f>
        <v>0</v>
      </c>
      <c r="I47">
        <f>IF(COUNTIFS('United Data'!$A$3:$A$3390,I$1,'United Data'!$C$3:$C$3390,$A47,'United Data'!$B$3:$B$3390,"Off-street")&gt;0,1,0)</f>
        <v>0</v>
      </c>
      <c r="J47">
        <f>IF(COUNTIFS('United Data'!$A$3:$A$3390,J$1,'United Data'!$C$3:$C$3390,$A47,'United Data'!$B$3:$B$3390,"Off-street")&gt;0,1,0)</f>
        <v>1</v>
      </c>
      <c r="K47">
        <f>IF(COUNTIFS('United Data'!$A$3:$A$3390,K$1,'United Data'!$C$3:$C$3390,$A47,'United Data'!$B$3:$B$3390,"Off-street")&gt;0,1,0)</f>
        <v>0</v>
      </c>
      <c r="L47">
        <f>IF(COUNTIFS('United Data'!$A$3:$A$3390,L$1,'United Data'!$C$3:$C$3390,$A47,'United Data'!$B$3:$B$3390,"Off-street")&gt;0,1,0)</f>
        <v>1</v>
      </c>
      <c r="M47">
        <f>IF(COUNTIFS('United Data'!$A$3:$A$3390,M$1,'United Data'!$C$3:$C$3390,$A47,'United Data'!$B$3:$B$3390,"Off-street")&gt;0,1,0)</f>
        <v>1</v>
      </c>
      <c r="N47">
        <f>IF(COUNTIFS('United Data'!$A$3:$A$3390,N$1,'United Data'!$C$3:$C$3390,$A47,'United Data'!$B$3:$B$3390,"Off-street")&gt;0,1,0)</f>
        <v>0</v>
      </c>
      <c r="O47">
        <f>IF(COUNTIFS('United Data'!$A$3:$A$3390,O$1,'United Data'!$C$3:$C$3390,$A47,'United Data'!$B$3:$B$3390,"Off-street")&gt;0,1,0)</f>
        <v>1</v>
      </c>
      <c r="P47">
        <f>IF(COUNTIFS('United Data'!$A$3:$A$3390,P$1,'United Data'!$C$3:$C$3390,$A47,'United Data'!$B$3:$B$3390,"Off-street")&gt;0,1,0)</f>
        <v>0</v>
      </c>
      <c r="Q47">
        <f>IF(COUNTIFS('United Data'!$A$3:$A$3390,Q$1,'United Data'!$C$3:$C$3390,$A47,'United Data'!$B$3:$B$3390,"Off-street")&gt;0,1,0)</f>
        <v>0</v>
      </c>
      <c r="R47">
        <f>IF(COUNTIFS('United Data'!$A$3:$A$3390,R$1,'United Data'!$C$3:$C$3390,$A47,'United Data'!$B$3:$B$3390,"Off-street")&gt;0,1,0)</f>
        <v>1</v>
      </c>
      <c r="S47">
        <f t="shared" si="2"/>
        <v>5</v>
      </c>
      <c r="T47">
        <f t="shared" si="3"/>
        <v>4</v>
      </c>
    </row>
    <row r="48" spans="1:20" x14ac:dyDescent="0.2">
      <c r="A48" t="s">
        <v>2020</v>
      </c>
      <c r="B48">
        <f>IF(COUNTIFS('United Data'!$A$3:$A$3390,B$1,'United Data'!$C$3:$C$3390,$A48,'United Data'!$B$3:$B$3390,"Off-street")&gt;0,1,0)</f>
        <v>0</v>
      </c>
      <c r="C48">
        <f>IF(COUNTIFS('United Data'!$A$3:$A$3390,C$1,'United Data'!$C$3:$C$3390,$A48,'United Data'!$B$3:$B$3390,"Off-street")&gt;0,1,0)</f>
        <v>0</v>
      </c>
      <c r="D48">
        <f>IF(COUNTIFS('United Data'!$A$3:$A$3390,D$1,'United Data'!$C$3:$C$3390,$A48,'United Data'!$B$3:$B$3390,"Off-street")&gt;0,1,0)</f>
        <v>0</v>
      </c>
      <c r="E48">
        <f>IF(COUNTIFS('United Data'!$A$3:$A$3390,E$1,'United Data'!$C$3:$C$3390,$A48,'United Data'!$B$3:$B$3390,"Off-street")&gt;0,1,0)</f>
        <v>0</v>
      </c>
      <c r="F48">
        <f>IF(COUNTIFS('United Data'!$A$3:$A$3390,F$1,'United Data'!$C$3:$C$3390,$A48,'United Data'!$B$3:$B$3390,"Off-street")&gt;0,1,0)</f>
        <v>0</v>
      </c>
      <c r="G48">
        <f>IF(COUNTIFS('United Data'!$A$3:$A$3390,G$1,'United Data'!$C$3:$C$3390,$A48,'United Data'!$B$3:$B$3390,"Off-street")&gt;0,1,0)</f>
        <v>0</v>
      </c>
      <c r="H48">
        <f>IF(COUNTIFS('United Data'!$A$3:$A$3390,H$1,'United Data'!$C$3:$C$3390,$A48,'United Data'!$B$3:$B$3390,"Off-street")&gt;0,1,0)</f>
        <v>0</v>
      </c>
      <c r="I48">
        <f>IF(COUNTIFS('United Data'!$A$3:$A$3390,I$1,'United Data'!$C$3:$C$3390,$A48,'United Data'!$B$3:$B$3390,"Off-street")&gt;0,1,0)</f>
        <v>0</v>
      </c>
      <c r="J48">
        <f>IF(COUNTIFS('United Data'!$A$3:$A$3390,J$1,'United Data'!$C$3:$C$3390,$A48,'United Data'!$B$3:$B$3390,"Off-street")&gt;0,1,0)</f>
        <v>1</v>
      </c>
      <c r="K48">
        <f>IF(COUNTIFS('United Data'!$A$3:$A$3390,K$1,'United Data'!$C$3:$C$3390,$A48,'United Data'!$B$3:$B$3390,"Off-street")&gt;0,1,0)</f>
        <v>0</v>
      </c>
      <c r="L48">
        <f>IF(COUNTIFS('United Data'!$A$3:$A$3390,L$1,'United Data'!$C$3:$C$3390,$A48,'United Data'!$B$3:$B$3390,"Off-street")&gt;0,1,0)</f>
        <v>0</v>
      </c>
      <c r="M48">
        <f>IF(COUNTIFS('United Data'!$A$3:$A$3390,M$1,'United Data'!$C$3:$C$3390,$A48,'United Data'!$B$3:$B$3390,"Off-street")&gt;0,1,0)</f>
        <v>0</v>
      </c>
      <c r="N48">
        <f>IF(COUNTIFS('United Data'!$A$3:$A$3390,N$1,'United Data'!$C$3:$C$3390,$A48,'United Data'!$B$3:$B$3390,"Off-street")&gt;0,1,0)</f>
        <v>0</v>
      </c>
      <c r="O48">
        <f>IF(COUNTIFS('United Data'!$A$3:$A$3390,O$1,'United Data'!$C$3:$C$3390,$A48,'United Data'!$B$3:$B$3390,"Off-street")&gt;0,1,0)</f>
        <v>0</v>
      </c>
      <c r="P48">
        <f>IF(COUNTIFS('United Data'!$A$3:$A$3390,P$1,'United Data'!$C$3:$C$3390,$A48,'United Data'!$B$3:$B$3390,"Off-street")&gt;0,1,0)</f>
        <v>0</v>
      </c>
      <c r="Q48">
        <f>IF(COUNTIFS('United Data'!$A$3:$A$3390,Q$1,'United Data'!$C$3:$C$3390,$A48,'United Data'!$B$3:$B$3390,"Off-street")&gt;0,1,0)</f>
        <v>0</v>
      </c>
      <c r="R48">
        <f>IF(COUNTIFS('United Data'!$A$3:$A$3390,R$1,'United Data'!$C$3:$C$3390,$A48,'United Data'!$B$3:$B$3390,"Off-street")&gt;0,1,0)</f>
        <v>0</v>
      </c>
      <c r="S48">
        <f t="shared" si="2"/>
        <v>1</v>
      </c>
      <c r="T48">
        <f t="shared" si="3"/>
        <v>1</v>
      </c>
    </row>
    <row r="49" spans="1:20" x14ac:dyDescent="0.2">
      <c r="A49" t="s">
        <v>2021</v>
      </c>
      <c r="B49">
        <f>IF(COUNTIFS('United Data'!$A$3:$A$3390,B$1,'United Data'!$C$3:$C$3390,$A49,'United Data'!$B$3:$B$3390,"Off-street")&gt;0,1,0)</f>
        <v>0</v>
      </c>
      <c r="C49">
        <f>IF(COUNTIFS('United Data'!$A$3:$A$3390,C$1,'United Data'!$C$3:$C$3390,$A49,'United Data'!$B$3:$B$3390,"Off-street")&gt;0,1,0)</f>
        <v>0</v>
      </c>
      <c r="D49">
        <f>IF(COUNTIFS('United Data'!$A$3:$A$3390,D$1,'United Data'!$C$3:$C$3390,$A49,'United Data'!$B$3:$B$3390,"Off-street")&gt;0,1,0)</f>
        <v>0</v>
      </c>
      <c r="E49">
        <f>IF(COUNTIFS('United Data'!$A$3:$A$3390,E$1,'United Data'!$C$3:$C$3390,$A49,'United Data'!$B$3:$B$3390,"Off-street")&gt;0,1,0)</f>
        <v>0</v>
      </c>
      <c r="F49">
        <f>IF(COUNTIFS('United Data'!$A$3:$A$3390,F$1,'United Data'!$C$3:$C$3390,$A49,'United Data'!$B$3:$B$3390,"Off-street")&gt;0,1,0)</f>
        <v>0</v>
      </c>
      <c r="G49">
        <f>IF(COUNTIFS('United Data'!$A$3:$A$3390,G$1,'United Data'!$C$3:$C$3390,$A49,'United Data'!$B$3:$B$3390,"Off-street")&gt;0,1,0)</f>
        <v>0</v>
      </c>
      <c r="H49">
        <f>IF(COUNTIFS('United Data'!$A$3:$A$3390,H$1,'United Data'!$C$3:$C$3390,$A49,'United Data'!$B$3:$B$3390,"Off-street")&gt;0,1,0)</f>
        <v>0</v>
      </c>
      <c r="I49">
        <f>IF(COUNTIFS('United Data'!$A$3:$A$3390,I$1,'United Data'!$C$3:$C$3390,$A49,'United Data'!$B$3:$B$3390,"Off-street")&gt;0,1,0)</f>
        <v>0</v>
      </c>
      <c r="J49">
        <f>IF(COUNTIFS('United Data'!$A$3:$A$3390,J$1,'United Data'!$C$3:$C$3390,$A49,'United Data'!$B$3:$B$3390,"Off-street")&gt;0,1,0)</f>
        <v>1</v>
      </c>
      <c r="K49">
        <f>IF(COUNTIFS('United Data'!$A$3:$A$3390,K$1,'United Data'!$C$3:$C$3390,$A49,'United Data'!$B$3:$B$3390,"Off-street")&gt;0,1,0)</f>
        <v>0</v>
      </c>
      <c r="L49">
        <f>IF(COUNTIFS('United Data'!$A$3:$A$3390,L$1,'United Data'!$C$3:$C$3390,$A49,'United Data'!$B$3:$B$3390,"Off-street")&gt;0,1,0)</f>
        <v>0</v>
      </c>
      <c r="M49">
        <f>IF(COUNTIFS('United Data'!$A$3:$A$3390,M$1,'United Data'!$C$3:$C$3390,$A49,'United Data'!$B$3:$B$3390,"Off-street")&gt;0,1,0)</f>
        <v>0</v>
      </c>
      <c r="N49">
        <f>IF(COUNTIFS('United Data'!$A$3:$A$3390,N$1,'United Data'!$C$3:$C$3390,$A49,'United Data'!$B$3:$B$3390,"Off-street")&gt;0,1,0)</f>
        <v>0</v>
      </c>
      <c r="O49">
        <f>IF(COUNTIFS('United Data'!$A$3:$A$3390,O$1,'United Data'!$C$3:$C$3390,$A49,'United Data'!$B$3:$B$3390,"Off-street")&gt;0,1,0)</f>
        <v>0</v>
      </c>
      <c r="P49">
        <f>IF(COUNTIFS('United Data'!$A$3:$A$3390,P$1,'United Data'!$C$3:$C$3390,$A49,'United Data'!$B$3:$B$3390,"Off-street")&gt;0,1,0)</f>
        <v>0</v>
      </c>
      <c r="Q49">
        <f>IF(COUNTIFS('United Data'!$A$3:$A$3390,Q$1,'United Data'!$C$3:$C$3390,$A49,'United Data'!$B$3:$B$3390,"Off-street")&gt;0,1,0)</f>
        <v>0</v>
      </c>
      <c r="R49">
        <f>IF(COUNTIFS('United Data'!$A$3:$A$3390,R$1,'United Data'!$C$3:$C$3390,$A49,'United Data'!$B$3:$B$3390,"Off-street")&gt;0,1,0)</f>
        <v>0</v>
      </c>
      <c r="S49">
        <f t="shared" si="2"/>
        <v>1</v>
      </c>
      <c r="T49">
        <f t="shared" si="3"/>
        <v>1</v>
      </c>
    </row>
    <row r="50" spans="1:20" x14ac:dyDescent="0.2">
      <c r="A50" t="s">
        <v>2022</v>
      </c>
      <c r="B50">
        <f>IF(COUNTIFS('United Data'!$A$3:$A$3390,B$1,'United Data'!$C$3:$C$3390,$A50,'United Data'!$B$3:$B$3390,"Off-street")&gt;0,1,0)</f>
        <v>0</v>
      </c>
      <c r="C50">
        <f>IF(COUNTIFS('United Data'!$A$3:$A$3390,C$1,'United Data'!$C$3:$C$3390,$A50,'United Data'!$B$3:$B$3390,"Off-street")&gt;0,1,0)</f>
        <v>0</v>
      </c>
      <c r="D50">
        <f>IF(COUNTIFS('United Data'!$A$3:$A$3390,D$1,'United Data'!$C$3:$C$3390,$A50,'United Data'!$B$3:$B$3390,"Off-street")&gt;0,1,0)</f>
        <v>0</v>
      </c>
      <c r="E50">
        <f>IF(COUNTIFS('United Data'!$A$3:$A$3390,E$1,'United Data'!$C$3:$C$3390,$A50,'United Data'!$B$3:$B$3390,"Off-street")&gt;0,1,0)</f>
        <v>0</v>
      </c>
      <c r="F50">
        <f>IF(COUNTIFS('United Data'!$A$3:$A$3390,F$1,'United Data'!$C$3:$C$3390,$A50,'United Data'!$B$3:$B$3390,"Off-street")&gt;0,1,0)</f>
        <v>0</v>
      </c>
      <c r="G50">
        <f>IF(COUNTIFS('United Data'!$A$3:$A$3390,G$1,'United Data'!$C$3:$C$3390,$A50,'United Data'!$B$3:$B$3390,"Off-street")&gt;0,1,0)</f>
        <v>0</v>
      </c>
      <c r="H50">
        <f>IF(COUNTIFS('United Data'!$A$3:$A$3390,H$1,'United Data'!$C$3:$C$3390,$A50,'United Data'!$B$3:$B$3390,"Off-street")&gt;0,1,0)</f>
        <v>0</v>
      </c>
      <c r="I50">
        <f>IF(COUNTIFS('United Data'!$A$3:$A$3390,I$1,'United Data'!$C$3:$C$3390,$A50,'United Data'!$B$3:$B$3390,"Off-street")&gt;0,1,0)</f>
        <v>0</v>
      </c>
      <c r="J50">
        <f>IF(COUNTIFS('United Data'!$A$3:$A$3390,J$1,'United Data'!$C$3:$C$3390,$A50,'United Data'!$B$3:$B$3390,"Off-street")&gt;0,1,0)</f>
        <v>1</v>
      </c>
      <c r="K50">
        <f>IF(COUNTIFS('United Data'!$A$3:$A$3390,K$1,'United Data'!$C$3:$C$3390,$A50,'United Data'!$B$3:$B$3390,"Off-street")&gt;0,1,0)</f>
        <v>0</v>
      </c>
      <c r="L50">
        <f>IF(COUNTIFS('United Data'!$A$3:$A$3390,L$1,'United Data'!$C$3:$C$3390,$A50,'United Data'!$B$3:$B$3390,"Off-street")&gt;0,1,0)</f>
        <v>0</v>
      </c>
      <c r="M50">
        <f>IF(COUNTIFS('United Data'!$A$3:$A$3390,M$1,'United Data'!$C$3:$C$3390,$A50,'United Data'!$B$3:$B$3390,"Off-street")&gt;0,1,0)</f>
        <v>0</v>
      </c>
      <c r="N50">
        <f>IF(COUNTIFS('United Data'!$A$3:$A$3390,N$1,'United Data'!$C$3:$C$3390,$A50,'United Data'!$B$3:$B$3390,"Off-street")&gt;0,1,0)</f>
        <v>0</v>
      </c>
      <c r="O50">
        <f>IF(COUNTIFS('United Data'!$A$3:$A$3390,O$1,'United Data'!$C$3:$C$3390,$A50,'United Data'!$B$3:$B$3390,"Off-street")&gt;0,1,0)</f>
        <v>0</v>
      </c>
      <c r="P50">
        <f>IF(COUNTIFS('United Data'!$A$3:$A$3390,P$1,'United Data'!$C$3:$C$3390,$A50,'United Data'!$B$3:$B$3390,"Off-street")&gt;0,1,0)</f>
        <v>0</v>
      </c>
      <c r="Q50">
        <f>IF(COUNTIFS('United Data'!$A$3:$A$3390,Q$1,'United Data'!$C$3:$C$3390,$A50,'United Data'!$B$3:$B$3390,"Off-street")&gt;0,1,0)</f>
        <v>0</v>
      </c>
      <c r="R50">
        <f>IF(COUNTIFS('United Data'!$A$3:$A$3390,R$1,'United Data'!$C$3:$C$3390,$A50,'United Data'!$B$3:$B$3390,"Off-street")&gt;0,1,0)</f>
        <v>0</v>
      </c>
      <c r="S50">
        <f t="shared" si="2"/>
        <v>1</v>
      </c>
      <c r="T50">
        <f t="shared" si="3"/>
        <v>1</v>
      </c>
    </row>
    <row r="51" spans="1:20" x14ac:dyDescent="0.2">
      <c r="A51" t="s">
        <v>2023</v>
      </c>
      <c r="B51">
        <f>IF(COUNTIFS('United Data'!$A$3:$A$3390,B$1,'United Data'!$C$3:$C$3390,$A51,'United Data'!$B$3:$B$3390,"Off-street")&gt;0,1,0)</f>
        <v>0</v>
      </c>
      <c r="C51">
        <f>IF(COUNTIFS('United Data'!$A$3:$A$3390,C$1,'United Data'!$C$3:$C$3390,$A51,'United Data'!$B$3:$B$3390,"Off-street")&gt;0,1,0)</f>
        <v>0</v>
      </c>
      <c r="D51">
        <f>IF(COUNTIFS('United Data'!$A$3:$A$3390,D$1,'United Data'!$C$3:$C$3390,$A51,'United Data'!$B$3:$B$3390,"Off-street")&gt;0,1,0)</f>
        <v>0</v>
      </c>
      <c r="E51">
        <f>IF(COUNTIFS('United Data'!$A$3:$A$3390,E$1,'United Data'!$C$3:$C$3390,$A51,'United Data'!$B$3:$B$3390,"Off-street")&gt;0,1,0)</f>
        <v>0</v>
      </c>
      <c r="F51">
        <f>IF(COUNTIFS('United Data'!$A$3:$A$3390,F$1,'United Data'!$C$3:$C$3390,$A51,'United Data'!$B$3:$B$3390,"Off-street")&gt;0,1,0)</f>
        <v>0</v>
      </c>
      <c r="G51">
        <f>IF(COUNTIFS('United Data'!$A$3:$A$3390,G$1,'United Data'!$C$3:$C$3390,$A51,'United Data'!$B$3:$B$3390,"Off-street")&gt;0,1,0)</f>
        <v>0</v>
      </c>
      <c r="H51">
        <f>IF(COUNTIFS('United Data'!$A$3:$A$3390,H$1,'United Data'!$C$3:$C$3390,$A51,'United Data'!$B$3:$B$3390,"Off-street")&gt;0,1,0)</f>
        <v>0</v>
      </c>
      <c r="I51">
        <f>IF(COUNTIFS('United Data'!$A$3:$A$3390,I$1,'United Data'!$C$3:$C$3390,$A51,'United Data'!$B$3:$B$3390,"Off-street")&gt;0,1,0)</f>
        <v>0</v>
      </c>
      <c r="J51">
        <f>IF(COUNTIFS('United Data'!$A$3:$A$3390,J$1,'United Data'!$C$3:$C$3390,$A51,'United Data'!$B$3:$B$3390,"Off-street")&gt;0,1,0)</f>
        <v>1</v>
      </c>
      <c r="K51">
        <f>IF(COUNTIFS('United Data'!$A$3:$A$3390,K$1,'United Data'!$C$3:$C$3390,$A51,'United Data'!$B$3:$B$3390,"Off-street")&gt;0,1,0)</f>
        <v>0</v>
      </c>
      <c r="L51">
        <f>IF(COUNTIFS('United Data'!$A$3:$A$3390,L$1,'United Data'!$C$3:$C$3390,$A51,'United Data'!$B$3:$B$3390,"Off-street")&gt;0,1,0)</f>
        <v>0</v>
      </c>
      <c r="M51">
        <f>IF(COUNTIFS('United Data'!$A$3:$A$3390,M$1,'United Data'!$C$3:$C$3390,$A51,'United Data'!$B$3:$B$3390,"Off-street")&gt;0,1,0)</f>
        <v>0</v>
      </c>
      <c r="N51">
        <f>IF(COUNTIFS('United Data'!$A$3:$A$3390,N$1,'United Data'!$C$3:$C$3390,$A51,'United Data'!$B$3:$B$3390,"Off-street")&gt;0,1,0)</f>
        <v>0</v>
      </c>
      <c r="O51">
        <f>IF(COUNTIFS('United Data'!$A$3:$A$3390,O$1,'United Data'!$C$3:$C$3390,$A51,'United Data'!$B$3:$B$3390,"Off-street")&gt;0,1,0)</f>
        <v>0</v>
      </c>
      <c r="P51">
        <f>IF(COUNTIFS('United Data'!$A$3:$A$3390,P$1,'United Data'!$C$3:$C$3390,$A51,'United Data'!$B$3:$B$3390,"Off-street")&gt;0,1,0)</f>
        <v>0</v>
      </c>
      <c r="Q51">
        <f>IF(COUNTIFS('United Data'!$A$3:$A$3390,Q$1,'United Data'!$C$3:$C$3390,$A51,'United Data'!$B$3:$B$3390,"Off-street")&gt;0,1,0)</f>
        <v>0</v>
      </c>
      <c r="R51">
        <f>IF(COUNTIFS('United Data'!$A$3:$A$3390,R$1,'United Data'!$C$3:$C$3390,$A51,'United Data'!$B$3:$B$3390,"Off-street")&gt;0,1,0)</f>
        <v>0</v>
      </c>
      <c r="S51">
        <f t="shared" si="2"/>
        <v>1</v>
      </c>
      <c r="T51">
        <f t="shared" si="3"/>
        <v>1</v>
      </c>
    </row>
    <row r="52" spans="1:20" x14ac:dyDescent="0.2">
      <c r="A52" t="s">
        <v>2024</v>
      </c>
      <c r="B52">
        <f>IF(COUNTIFS('United Data'!$A$3:$A$3390,B$1,'United Data'!$C$3:$C$3390,$A52,'United Data'!$B$3:$B$3390,"Off-street")&gt;0,1,0)</f>
        <v>0</v>
      </c>
      <c r="C52">
        <f>IF(COUNTIFS('United Data'!$A$3:$A$3390,C$1,'United Data'!$C$3:$C$3390,$A52,'United Data'!$B$3:$B$3390,"Off-street")&gt;0,1,0)</f>
        <v>0</v>
      </c>
      <c r="D52">
        <f>IF(COUNTIFS('United Data'!$A$3:$A$3390,D$1,'United Data'!$C$3:$C$3390,$A52,'United Data'!$B$3:$B$3390,"Off-street")&gt;0,1,0)</f>
        <v>0</v>
      </c>
      <c r="E52">
        <f>IF(COUNTIFS('United Data'!$A$3:$A$3390,E$1,'United Data'!$C$3:$C$3390,$A52,'United Data'!$B$3:$B$3390,"Off-street")&gt;0,1,0)</f>
        <v>0</v>
      </c>
      <c r="F52">
        <f>IF(COUNTIFS('United Data'!$A$3:$A$3390,F$1,'United Data'!$C$3:$C$3390,$A52,'United Data'!$B$3:$B$3390,"Off-street")&gt;0,1,0)</f>
        <v>0</v>
      </c>
      <c r="G52">
        <f>IF(COUNTIFS('United Data'!$A$3:$A$3390,G$1,'United Data'!$C$3:$C$3390,$A52,'United Data'!$B$3:$B$3390,"Off-street")&gt;0,1,0)</f>
        <v>0</v>
      </c>
      <c r="H52">
        <f>IF(COUNTIFS('United Data'!$A$3:$A$3390,H$1,'United Data'!$C$3:$C$3390,$A52,'United Data'!$B$3:$B$3390,"Off-street")&gt;0,1,0)</f>
        <v>0</v>
      </c>
      <c r="I52">
        <f>IF(COUNTIFS('United Data'!$A$3:$A$3390,I$1,'United Data'!$C$3:$C$3390,$A52,'United Data'!$B$3:$B$3390,"Off-street")&gt;0,1,0)</f>
        <v>0</v>
      </c>
      <c r="J52">
        <f>IF(COUNTIFS('United Data'!$A$3:$A$3390,J$1,'United Data'!$C$3:$C$3390,$A52,'United Data'!$B$3:$B$3390,"Off-street")&gt;0,1,0)</f>
        <v>0</v>
      </c>
      <c r="K52">
        <f>IF(COUNTIFS('United Data'!$A$3:$A$3390,K$1,'United Data'!$C$3:$C$3390,$A52,'United Data'!$B$3:$B$3390,"Off-street")&gt;0,1,0)</f>
        <v>1</v>
      </c>
      <c r="L52">
        <f>IF(COUNTIFS('United Data'!$A$3:$A$3390,L$1,'United Data'!$C$3:$C$3390,$A52,'United Data'!$B$3:$B$3390,"Off-street")&gt;0,1,0)</f>
        <v>0</v>
      </c>
      <c r="M52">
        <f>IF(COUNTIFS('United Data'!$A$3:$A$3390,M$1,'United Data'!$C$3:$C$3390,$A52,'United Data'!$B$3:$B$3390,"Off-street")&gt;0,1,0)</f>
        <v>0</v>
      </c>
      <c r="N52">
        <f>IF(COUNTIFS('United Data'!$A$3:$A$3390,N$1,'United Data'!$C$3:$C$3390,$A52,'United Data'!$B$3:$B$3390,"Off-street")&gt;0,1,0)</f>
        <v>0</v>
      </c>
      <c r="O52">
        <f>IF(COUNTIFS('United Data'!$A$3:$A$3390,O$1,'United Data'!$C$3:$C$3390,$A52,'United Data'!$B$3:$B$3390,"Off-street")&gt;0,1,0)</f>
        <v>0</v>
      </c>
      <c r="P52">
        <f>IF(COUNTIFS('United Data'!$A$3:$A$3390,P$1,'United Data'!$C$3:$C$3390,$A52,'United Data'!$B$3:$B$3390,"Off-street")&gt;0,1,0)</f>
        <v>0</v>
      </c>
      <c r="Q52">
        <f>IF(COUNTIFS('United Data'!$A$3:$A$3390,Q$1,'United Data'!$C$3:$C$3390,$A52,'United Data'!$B$3:$B$3390,"Off-street")&gt;0,1,0)</f>
        <v>0</v>
      </c>
      <c r="R52">
        <f>IF(COUNTIFS('United Data'!$A$3:$A$3390,R$1,'United Data'!$C$3:$C$3390,$A52,'United Data'!$B$3:$B$3390,"Off-street")&gt;0,1,0)</f>
        <v>0</v>
      </c>
      <c r="S52">
        <f t="shared" si="2"/>
        <v>1</v>
      </c>
      <c r="T52">
        <f t="shared" si="3"/>
        <v>1</v>
      </c>
    </row>
    <row r="53" spans="1:20" x14ac:dyDescent="0.2">
      <c r="A53" t="s">
        <v>2025</v>
      </c>
      <c r="B53">
        <f>IF(COUNTIFS('United Data'!$A$3:$A$3390,B$1,'United Data'!$C$3:$C$3390,$A53,'United Data'!$B$3:$B$3390,"Off-street")&gt;0,1,0)</f>
        <v>0</v>
      </c>
      <c r="C53">
        <f>IF(COUNTIFS('United Data'!$A$3:$A$3390,C$1,'United Data'!$C$3:$C$3390,$A53,'United Data'!$B$3:$B$3390,"Off-street")&gt;0,1,0)</f>
        <v>0</v>
      </c>
      <c r="D53">
        <f>IF(COUNTIFS('United Data'!$A$3:$A$3390,D$1,'United Data'!$C$3:$C$3390,$A53,'United Data'!$B$3:$B$3390,"Off-street")&gt;0,1,0)</f>
        <v>0</v>
      </c>
      <c r="E53">
        <f>IF(COUNTIFS('United Data'!$A$3:$A$3390,E$1,'United Data'!$C$3:$C$3390,$A53,'United Data'!$B$3:$B$3390,"Off-street")&gt;0,1,0)</f>
        <v>0</v>
      </c>
      <c r="F53">
        <f>IF(COUNTIFS('United Data'!$A$3:$A$3390,F$1,'United Data'!$C$3:$C$3390,$A53,'United Data'!$B$3:$B$3390,"Off-street")&gt;0,1,0)</f>
        <v>0</v>
      </c>
      <c r="G53">
        <f>IF(COUNTIFS('United Data'!$A$3:$A$3390,G$1,'United Data'!$C$3:$C$3390,$A53,'United Data'!$B$3:$B$3390,"Off-street")&gt;0,1,0)</f>
        <v>0</v>
      </c>
      <c r="H53">
        <f>IF(COUNTIFS('United Data'!$A$3:$A$3390,H$1,'United Data'!$C$3:$C$3390,$A53,'United Data'!$B$3:$B$3390,"Off-street")&gt;0,1,0)</f>
        <v>0</v>
      </c>
      <c r="I53">
        <f>IF(COUNTIFS('United Data'!$A$3:$A$3390,I$1,'United Data'!$C$3:$C$3390,$A53,'United Data'!$B$3:$B$3390,"Off-street")&gt;0,1,0)</f>
        <v>0</v>
      </c>
      <c r="J53">
        <f>IF(COUNTIFS('United Data'!$A$3:$A$3390,J$1,'United Data'!$C$3:$C$3390,$A53,'United Data'!$B$3:$B$3390,"Off-street")&gt;0,1,0)</f>
        <v>0</v>
      </c>
      <c r="K53">
        <f>IF(COUNTIFS('United Data'!$A$3:$A$3390,K$1,'United Data'!$C$3:$C$3390,$A53,'United Data'!$B$3:$B$3390,"Off-street")&gt;0,1,0)</f>
        <v>1</v>
      </c>
      <c r="L53">
        <f>IF(COUNTIFS('United Data'!$A$3:$A$3390,L$1,'United Data'!$C$3:$C$3390,$A53,'United Data'!$B$3:$B$3390,"Off-street")&gt;0,1,0)</f>
        <v>0</v>
      </c>
      <c r="M53">
        <f>IF(COUNTIFS('United Data'!$A$3:$A$3390,M$1,'United Data'!$C$3:$C$3390,$A53,'United Data'!$B$3:$B$3390,"Off-street")&gt;0,1,0)</f>
        <v>0</v>
      </c>
      <c r="N53">
        <f>IF(COUNTIFS('United Data'!$A$3:$A$3390,N$1,'United Data'!$C$3:$C$3390,$A53,'United Data'!$B$3:$B$3390,"Off-street")&gt;0,1,0)</f>
        <v>0</v>
      </c>
      <c r="O53">
        <f>IF(COUNTIFS('United Data'!$A$3:$A$3390,O$1,'United Data'!$C$3:$C$3390,$A53,'United Data'!$B$3:$B$3390,"Off-street")&gt;0,1,0)</f>
        <v>0</v>
      </c>
      <c r="P53">
        <f>IF(COUNTIFS('United Data'!$A$3:$A$3390,P$1,'United Data'!$C$3:$C$3390,$A53,'United Data'!$B$3:$B$3390,"Off-street")&gt;0,1,0)</f>
        <v>0</v>
      </c>
      <c r="Q53">
        <f>IF(COUNTIFS('United Data'!$A$3:$A$3390,Q$1,'United Data'!$C$3:$C$3390,$A53,'United Data'!$B$3:$B$3390,"Off-street")&gt;0,1,0)</f>
        <v>0</v>
      </c>
      <c r="R53">
        <f>IF(COUNTIFS('United Data'!$A$3:$A$3390,R$1,'United Data'!$C$3:$C$3390,$A53,'United Data'!$B$3:$B$3390,"Off-street")&gt;0,1,0)</f>
        <v>0</v>
      </c>
      <c r="S53">
        <f t="shared" si="2"/>
        <v>1</v>
      </c>
      <c r="T53">
        <f t="shared" si="3"/>
        <v>1</v>
      </c>
    </row>
    <row r="54" spans="1:20" x14ac:dyDescent="0.2">
      <c r="A54" t="s">
        <v>2026</v>
      </c>
      <c r="B54">
        <f>IF(COUNTIFS('United Data'!$A$3:$A$3390,B$1,'United Data'!$C$3:$C$3390,$A54,'United Data'!$B$3:$B$3390,"Off-street")&gt;0,1,0)</f>
        <v>0</v>
      </c>
      <c r="C54">
        <f>IF(COUNTIFS('United Data'!$A$3:$A$3390,C$1,'United Data'!$C$3:$C$3390,$A54,'United Data'!$B$3:$B$3390,"Off-street")&gt;0,1,0)</f>
        <v>0</v>
      </c>
      <c r="D54">
        <f>IF(COUNTIFS('United Data'!$A$3:$A$3390,D$1,'United Data'!$C$3:$C$3390,$A54,'United Data'!$B$3:$B$3390,"Off-street")&gt;0,1,0)</f>
        <v>0</v>
      </c>
      <c r="E54">
        <f>IF(COUNTIFS('United Data'!$A$3:$A$3390,E$1,'United Data'!$C$3:$C$3390,$A54,'United Data'!$B$3:$B$3390,"Off-street")&gt;0,1,0)</f>
        <v>0</v>
      </c>
      <c r="F54">
        <f>IF(COUNTIFS('United Data'!$A$3:$A$3390,F$1,'United Data'!$C$3:$C$3390,$A54,'United Data'!$B$3:$B$3390,"Off-street")&gt;0,1,0)</f>
        <v>0</v>
      </c>
      <c r="G54">
        <f>IF(COUNTIFS('United Data'!$A$3:$A$3390,G$1,'United Data'!$C$3:$C$3390,$A54,'United Data'!$B$3:$B$3390,"Off-street")&gt;0,1,0)</f>
        <v>0</v>
      </c>
      <c r="H54">
        <f>IF(COUNTIFS('United Data'!$A$3:$A$3390,H$1,'United Data'!$C$3:$C$3390,$A54,'United Data'!$B$3:$B$3390,"Off-street")&gt;0,1,0)</f>
        <v>0</v>
      </c>
      <c r="I54">
        <f>IF(COUNTIFS('United Data'!$A$3:$A$3390,I$1,'United Data'!$C$3:$C$3390,$A54,'United Data'!$B$3:$B$3390,"Off-street")&gt;0,1,0)</f>
        <v>0</v>
      </c>
      <c r="J54">
        <f>IF(COUNTIFS('United Data'!$A$3:$A$3390,J$1,'United Data'!$C$3:$C$3390,$A54,'United Data'!$B$3:$B$3390,"Off-street")&gt;0,1,0)</f>
        <v>0</v>
      </c>
      <c r="K54">
        <f>IF(COUNTIFS('United Data'!$A$3:$A$3390,K$1,'United Data'!$C$3:$C$3390,$A54,'United Data'!$B$3:$B$3390,"Off-street")&gt;0,1,0)</f>
        <v>1</v>
      </c>
      <c r="L54">
        <f>IF(COUNTIFS('United Data'!$A$3:$A$3390,L$1,'United Data'!$C$3:$C$3390,$A54,'United Data'!$B$3:$B$3390,"Off-street")&gt;0,1,0)</f>
        <v>1</v>
      </c>
      <c r="M54">
        <f>IF(COUNTIFS('United Data'!$A$3:$A$3390,M$1,'United Data'!$C$3:$C$3390,$A54,'United Data'!$B$3:$B$3390,"Off-street")&gt;0,1,0)</f>
        <v>1</v>
      </c>
      <c r="N54">
        <f>IF(COUNTIFS('United Data'!$A$3:$A$3390,N$1,'United Data'!$C$3:$C$3390,$A54,'United Data'!$B$3:$B$3390,"Off-street")&gt;0,1,0)</f>
        <v>1</v>
      </c>
      <c r="O54">
        <f>IF(COUNTIFS('United Data'!$A$3:$A$3390,O$1,'United Data'!$C$3:$C$3390,$A54,'United Data'!$B$3:$B$3390,"Off-street")&gt;0,1,0)</f>
        <v>0</v>
      </c>
      <c r="P54">
        <f>IF(COUNTIFS('United Data'!$A$3:$A$3390,P$1,'United Data'!$C$3:$C$3390,$A54,'United Data'!$B$3:$B$3390,"Off-street")&gt;0,1,0)</f>
        <v>0</v>
      </c>
      <c r="Q54">
        <f>IF(COUNTIFS('United Data'!$A$3:$A$3390,Q$1,'United Data'!$C$3:$C$3390,$A54,'United Data'!$B$3:$B$3390,"Off-street")&gt;0,1,0)</f>
        <v>0</v>
      </c>
      <c r="R54">
        <f>IF(COUNTIFS('United Data'!$A$3:$A$3390,R$1,'United Data'!$C$3:$C$3390,$A54,'United Data'!$B$3:$B$3390,"Off-street")&gt;0,1,0)</f>
        <v>0</v>
      </c>
      <c r="S54">
        <f t="shared" si="2"/>
        <v>4</v>
      </c>
      <c r="T54">
        <f t="shared" si="3"/>
        <v>1</v>
      </c>
    </row>
    <row r="55" spans="1:20" x14ac:dyDescent="0.2">
      <c r="A55" t="s">
        <v>2028</v>
      </c>
      <c r="B55">
        <f>IF(COUNTIFS('United Data'!$A$3:$A$3390,B$1,'United Data'!$C$3:$C$3390,$A55,'United Data'!$B$3:$B$3390,"Off-street")&gt;0,1,0)</f>
        <v>0</v>
      </c>
      <c r="C55">
        <f>IF(COUNTIFS('United Data'!$A$3:$A$3390,C$1,'United Data'!$C$3:$C$3390,$A55,'United Data'!$B$3:$B$3390,"Off-street")&gt;0,1,0)</f>
        <v>0</v>
      </c>
      <c r="D55">
        <f>IF(COUNTIFS('United Data'!$A$3:$A$3390,D$1,'United Data'!$C$3:$C$3390,$A55,'United Data'!$B$3:$B$3390,"Off-street")&gt;0,1,0)</f>
        <v>0</v>
      </c>
      <c r="E55">
        <f>IF(COUNTIFS('United Data'!$A$3:$A$3390,E$1,'United Data'!$C$3:$C$3390,$A55,'United Data'!$B$3:$B$3390,"Off-street")&gt;0,1,0)</f>
        <v>0</v>
      </c>
      <c r="F55">
        <f>IF(COUNTIFS('United Data'!$A$3:$A$3390,F$1,'United Data'!$C$3:$C$3390,$A55,'United Data'!$B$3:$B$3390,"Off-street")&gt;0,1,0)</f>
        <v>0</v>
      </c>
      <c r="G55">
        <f>IF(COUNTIFS('United Data'!$A$3:$A$3390,G$1,'United Data'!$C$3:$C$3390,$A55,'United Data'!$B$3:$B$3390,"Off-street")&gt;0,1,0)</f>
        <v>0</v>
      </c>
      <c r="H55">
        <f>IF(COUNTIFS('United Data'!$A$3:$A$3390,H$1,'United Data'!$C$3:$C$3390,$A55,'United Data'!$B$3:$B$3390,"Off-street")&gt;0,1,0)</f>
        <v>0</v>
      </c>
      <c r="I55">
        <f>IF(COUNTIFS('United Data'!$A$3:$A$3390,I$1,'United Data'!$C$3:$C$3390,$A55,'United Data'!$B$3:$B$3390,"Off-street")&gt;0,1,0)</f>
        <v>0</v>
      </c>
      <c r="J55">
        <f>IF(COUNTIFS('United Data'!$A$3:$A$3390,J$1,'United Data'!$C$3:$C$3390,$A55,'United Data'!$B$3:$B$3390,"Off-street")&gt;0,1,0)</f>
        <v>0</v>
      </c>
      <c r="K55">
        <f>IF(COUNTIFS('United Data'!$A$3:$A$3390,K$1,'United Data'!$C$3:$C$3390,$A55,'United Data'!$B$3:$B$3390,"Off-street")&gt;0,1,0)</f>
        <v>0</v>
      </c>
      <c r="L55">
        <f>IF(COUNTIFS('United Data'!$A$3:$A$3390,L$1,'United Data'!$C$3:$C$3390,$A55,'United Data'!$B$3:$B$3390,"Off-street")&gt;0,1,0)</f>
        <v>1</v>
      </c>
      <c r="M55">
        <f>IF(COUNTIFS('United Data'!$A$3:$A$3390,M$1,'United Data'!$C$3:$C$3390,$A55,'United Data'!$B$3:$B$3390,"Off-street")&gt;0,1,0)</f>
        <v>1</v>
      </c>
      <c r="N55">
        <f>IF(COUNTIFS('United Data'!$A$3:$A$3390,N$1,'United Data'!$C$3:$C$3390,$A55,'United Data'!$B$3:$B$3390,"Off-street")&gt;0,1,0)</f>
        <v>1</v>
      </c>
      <c r="O55">
        <f>IF(COUNTIFS('United Data'!$A$3:$A$3390,O$1,'United Data'!$C$3:$C$3390,$A55,'United Data'!$B$3:$B$3390,"Off-street")&gt;0,1,0)</f>
        <v>0</v>
      </c>
      <c r="P55">
        <f>IF(COUNTIFS('United Data'!$A$3:$A$3390,P$1,'United Data'!$C$3:$C$3390,$A55,'United Data'!$B$3:$B$3390,"Off-street")&gt;0,1,0)</f>
        <v>1</v>
      </c>
      <c r="Q55">
        <f>IF(COUNTIFS('United Data'!$A$3:$A$3390,Q$1,'United Data'!$C$3:$C$3390,$A55,'United Data'!$B$3:$B$3390,"Off-street")&gt;0,1,0)</f>
        <v>0</v>
      </c>
      <c r="R55">
        <f>IF(COUNTIFS('United Data'!$A$3:$A$3390,R$1,'United Data'!$C$3:$C$3390,$A55,'United Data'!$B$3:$B$3390,"Off-street")&gt;0,1,0)</f>
        <v>1</v>
      </c>
      <c r="S55">
        <f t="shared" si="2"/>
        <v>5</v>
      </c>
      <c r="T55">
        <f t="shared" si="3"/>
        <v>3</v>
      </c>
    </row>
    <row r="56" spans="1:20" x14ac:dyDescent="0.2">
      <c r="A56" t="s">
        <v>2029</v>
      </c>
      <c r="B56">
        <f>IF(COUNTIFS('United Data'!$A$3:$A$3390,B$1,'United Data'!$C$3:$C$3390,$A56,'United Data'!$B$3:$B$3390,"Off-street")&gt;0,1,0)</f>
        <v>0</v>
      </c>
      <c r="C56">
        <f>IF(COUNTIFS('United Data'!$A$3:$A$3390,C$1,'United Data'!$C$3:$C$3390,$A56,'United Data'!$B$3:$B$3390,"Off-street")&gt;0,1,0)</f>
        <v>0</v>
      </c>
      <c r="D56">
        <f>IF(COUNTIFS('United Data'!$A$3:$A$3390,D$1,'United Data'!$C$3:$C$3390,$A56,'United Data'!$B$3:$B$3390,"Off-street")&gt;0,1,0)</f>
        <v>0</v>
      </c>
      <c r="E56">
        <f>IF(COUNTIFS('United Data'!$A$3:$A$3390,E$1,'United Data'!$C$3:$C$3390,$A56,'United Data'!$B$3:$B$3390,"Off-street")&gt;0,1,0)</f>
        <v>0</v>
      </c>
      <c r="F56">
        <f>IF(COUNTIFS('United Data'!$A$3:$A$3390,F$1,'United Data'!$C$3:$C$3390,$A56,'United Data'!$B$3:$B$3390,"Off-street")&gt;0,1,0)</f>
        <v>0</v>
      </c>
      <c r="G56">
        <f>IF(COUNTIFS('United Data'!$A$3:$A$3390,G$1,'United Data'!$C$3:$C$3390,$A56,'United Data'!$B$3:$B$3390,"Off-street")&gt;0,1,0)</f>
        <v>0</v>
      </c>
      <c r="H56">
        <f>IF(COUNTIFS('United Data'!$A$3:$A$3390,H$1,'United Data'!$C$3:$C$3390,$A56,'United Data'!$B$3:$B$3390,"Off-street")&gt;0,1,0)</f>
        <v>0</v>
      </c>
      <c r="I56">
        <f>IF(COUNTIFS('United Data'!$A$3:$A$3390,I$1,'United Data'!$C$3:$C$3390,$A56,'United Data'!$B$3:$B$3390,"Off-street")&gt;0,1,0)</f>
        <v>0</v>
      </c>
      <c r="J56">
        <f>IF(COUNTIFS('United Data'!$A$3:$A$3390,J$1,'United Data'!$C$3:$C$3390,$A56,'United Data'!$B$3:$B$3390,"Off-street")&gt;0,1,0)</f>
        <v>0</v>
      </c>
      <c r="K56">
        <f>IF(COUNTIFS('United Data'!$A$3:$A$3390,K$1,'United Data'!$C$3:$C$3390,$A56,'United Data'!$B$3:$B$3390,"Off-street")&gt;0,1,0)</f>
        <v>0</v>
      </c>
      <c r="L56">
        <f>IF(COUNTIFS('United Data'!$A$3:$A$3390,L$1,'United Data'!$C$3:$C$3390,$A56,'United Data'!$B$3:$B$3390,"Off-street")&gt;0,1,0)</f>
        <v>1</v>
      </c>
      <c r="M56">
        <f>IF(COUNTIFS('United Data'!$A$3:$A$3390,M$1,'United Data'!$C$3:$C$3390,$A56,'United Data'!$B$3:$B$3390,"Off-street")&gt;0,1,0)</f>
        <v>0</v>
      </c>
      <c r="N56">
        <f>IF(COUNTIFS('United Data'!$A$3:$A$3390,N$1,'United Data'!$C$3:$C$3390,$A56,'United Data'!$B$3:$B$3390,"Off-street")&gt;0,1,0)</f>
        <v>0</v>
      </c>
      <c r="O56">
        <f>IF(COUNTIFS('United Data'!$A$3:$A$3390,O$1,'United Data'!$C$3:$C$3390,$A56,'United Data'!$B$3:$B$3390,"Off-street")&gt;0,1,0)</f>
        <v>0</v>
      </c>
      <c r="P56">
        <f>IF(COUNTIFS('United Data'!$A$3:$A$3390,P$1,'United Data'!$C$3:$C$3390,$A56,'United Data'!$B$3:$B$3390,"Off-street")&gt;0,1,0)</f>
        <v>0</v>
      </c>
      <c r="Q56">
        <f>IF(COUNTIFS('United Data'!$A$3:$A$3390,Q$1,'United Data'!$C$3:$C$3390,$A56,'United Data'!$B$3:$B$3390,"Off-street")&gt;0,1,0)</f>
        <v>0</v>
      </c>
      <c r="R56">
        <f>IF(COUNTIFS('United Data'!$A$3:$A$3390,R$1,'United Data'!$C$3:$C$3390,$A56,'United Data'!$B$3:$B$3390,"Off-street")&gt;0,1,0)</f>
        <v>0</v>
      </c>
      <c r="S56">
        <f t="shared" si="2"/>
        <v>1</v>
      </c>
      <c r="T56">
        <f t="shared" si="3"/>
        <v>1</v>
      </c>
    </row>
    <row r="57" spans="1:20" x14ac:dyDescent="0.2">
      <c r="A57" t="s">
        <v>1504</v>
      </c>
      <c r="B57">
        <f>IF(COUNTIFS('United Data'!$A$3:$A$3390,B$1,'United Data'!$C$3:$C$3390,$A57,'United Data'!$B$3:$B$3390,"Off-street")&gt;0,1,0)</f>
        <v>0</v>
      </c>
      <c r="C57">
        <f>IF(COUNTIFS('United Data'!$A$3:$A$3390,C$1,'United Data'!$C$3:$C$3390,$A57,'United Data'!$B$3:$B$3390,"Off-street")&gt;0,1,0)</f>
        <v>0</v>
      </c>
      <c r="D57">
        <f>IF(COUNTIFS('United Data'!$A$3:$A$3390,D$1,'United Data'!$C$3:$C$3390,$A57,'United Data'!$B$3:$B$3390,"Off-street")&gt;0,1,0)</f>
        <v>0</v>
      </c>
      <c r="E57">
        <f>IF(COUNTIFS('United Data'!$A$3:$A$3390,E$1,'United Data'!$C$3:$C$3390,$A57,'United Data'!$B$3:$B$3390,"Off-street")&gt;0,1,0)</f>
        <v>0</v>
      </c>
      <c r="F57">
        <f>IF(COUNTIFS('United Data'!$A$3:$A$3390,F$1,'United Data'!$C$3:$C$3390,$A57,'United Data'!$B$3:$B$3390,"Off-street")&gt;0,1,0)</f>
        <v>0</v>
      </c>
      <c r="G57">
        <f>IF(COUNTIFS('United Data'!$A$3:$A$3390,G$1,'United Data'!$C$3:$C$3390,$A57,'United Data'!$B$3:$B$3390,"Off-street")&gt;0,1,0)</f>
        <v>0</v>
      </c>
      <c r="H57">
        <f>IF(COUNTIFS('United Data'!$A$3:$A$3390,H$1,'United Data'!$C$3:$C$3390,$A57,'United Data'!$B$3:$B$3390,"Off-street")&gt;0,1,0)</f>
        <v>0</v>
      </c>
      <c r="I57">
        <f>IF(COUNTIFS('United Data'!$A$3:$A$3390,I$1,'United Data'!$C$3:$C$3390,$A57,'United Data'!$B$3:$B$3390,"Off-street")&gt;0,1,0)</f>
        <v>0</v>
      </c>
      <c r="J57">
        <f>IF(COUNTIFS('United Data'!$A$3:$A$3390,J$1,'United Data'!$C$3:$C$3390,$A57,'United Data'!$B$3:$B$3390,"Off-street")&gt;0,1,0)</f>
        <v>0</v>
      </c>
      <c r="K57">
        <f>IF(COUNTIFS('United Data'!$A$3:$A$3390,K$1,'United Data'!$C$3:$C$3390,$A57,'United Data'!$B$3:$B$3390,"Off-street")&gt;0,1,0)</f>
        <v>0</v>
      </c>
      <c r="L57">
        <f>IF(COUNTIFS('United Data'!$A$3:$A$3390,L$1,'United Data'!$C$3:$C$3390,$A57,'United Data'!$B$3:$B$3390,"Off-street")&gt;0,1,0)</f>
        <v>0</v>
      </c>
      <c r="M57">
        <f>IF(COUNTIFS('United Data'!$A$3:$A$3390,M$1,'United Data'!$C$3:$C$3390,$A57,'United Data'!$B$3:$B$3390,"Off-street")&gt;0,1,0)</f>
        <v>1</v>
      </c>
      <c r="N57">
        <f>IF(COUNTIFS('United Data'!$A$3:$A$3390,N$1,'United Data'!$C$3:$C$3390,$A57,'United Data'!$B$3:$B$3390,"Off-street")&gt;0,1,0)</f>
        <v>1</v>
      </c>
      <c r="O57">
        <f>IF(COUNTIFS('United Data'!$A$3:$A$3390,O$1,'United Data'!$C$3:$C$3390,$A57,'United Data'!$B$3:$B$3390,"Off-street")&gt;0,1,0)</f>
        <v>1</v>
      </c>
      <c r="P57">
        <f>IF(COUNTIFS('United Data'!$A$3:$A$3390,P$1,'United Data'!$C$3:$C$3390,$A57,'United Data'!$B$3:$B$3390,"Off-street")&gt;0,1,0)</f>
        <v>0</v>
      </c>
      <c r="Q57">
        <f>IF(COUNTIFS('United Data'!$A$3:$A$3390,Q$1,'United Data'!$C$3:$C$3390,$A57,'United Data'!$B$3:$B$3390,"Off-street")&gt;0,1,0)</f>
        <v>0</v>
      </c>
      <c r="R57">
        <f>IF(COUNTIFS('United Data'!$A$3:$A$3390,R$1,'United Data'!$C$3:$C$3390,$A57,'United Data'!$B$3:$B$3390,"Off-street")&gt;0,1,0)</f>
        <v>0</v>
      </c>
      <c r="S57">
        <f t="shared" si="2"/>
        <v>3</v>
      </c>
      <c r="T57">
        <f t="shared" si="3"/>
        <v>1</v>
      </c>
    </row>
    <row r="58" spans="1:20" x14ac:dyDescent="0.2">
      <c r="A58" t="s">
        <v>1485</v>
      </c>
      <c r="B58">
        <f>IF(COUNTIFS('United Data'!$A$3:$A$3390,B$1,'United Data'!$C$3:$C$3390,$A58,'United Data'!$B$3:$B$3390,"Off-street")&gt;0,1,0)</f>
        <v>0</v>
      </c>
      <c r="C58">
        <f>IF(COUNTIFS('United Data'!$A$3:$A$3390,C$1,'United Data'!$C$3:$C$3390,$A58,'United Data'!$B$3:$B$3390,"Off-street")&gt;0,1,0)</f>
        <v>0</v>
      </c>
      <c r="D58">
        <f>IF(COUNTIFS('United Data'!$A$3:$A$3390,D$1,'United Data'!$C$3:$C$3390,$A58,'United Data'!$B$3:$B$3390,"Off-street")&gt;0,1,0)</f>
        <v>0</v>
      </c>
      <c r="E58">
        <f>IF(COUNTIFS('United Data'!$A$3:$A$3390,E$1,'United Data'!$C$3:$C$3390,$A58,'United Data'!$B$3:$B$3390,"Off-street")&gt;0,1,0)</f>
        <v>0</v>
      </c>
      <c r="F58">
        <f>IF(COUNTIFS('United Data'!$A$3:$A$3390,F$1,'United Data'!$C$3:$C$3390,$A58,'United Data'!$B$3:$B$3390,"Off-street")&gt;0,1,0)</f>
        <v>0</v>
      </c>
      <c r="G58">
        <f>IF(COUNTIFS('United Data'!$A$3:$A$3390,G$1,'United Data'!$C$3:$C$3390,$A58,'United Data'!$B$3:$B$3390,"Off-street")&gt;0,1,0)</f>
        <v>0</v>
      </c>
      <c r="H58">
        <f>IF(COUNTIFS('United Data'!$A$3:$A$3390,H$1,'United Data'!$C$3:$C$3390,$A58,'United Data'!$B$3:$B$3390,"Off-street")&gt;0,1,0)</f>
        <v>0</v>
      </c>
      <c r="I58">
        <f>IF(COUNTIFS('United Data'!$A$3:$A$3390,I$1,'United Data'!$C$3:$C$3390,$A58,'United Data'!$B$3:$B$3390,"Off-street")&gt;0,1,0)</f>
        <v>0</v>
      </c>
      <c r="J58">
        <f>IF(COUNTIFS('United Data'!$A$3:$A$3390,J$1,'United Data'!$C$3:$C$3390,$A58,'United Data'!$B$3:$B$3390,"Off-street")&gt;0,1,0)</f>
        <v>0</v>
      </c>
      <c r="K58">
        <f>IF(COUNTIFS('United Data'!$A$3:$A$3390,K$1,'United Data'!$C$3:$C$3390,$A58,'United Data'!$B$3:$B$3390,"Off-street")&gt;0,1,0)</f>
        <v>0</v>
      </c>
      <c r="L58">
        <f>IF(COUNTIFS('United Data'!$A$3:$A$3390,L$1,'United Data'!$C$3:$C$3390,$A58,'United Data'!$B$3:$B$3390,"Off-street")&gt;0,1,0)</f>
        <v>0</v>
      </c>
      <c r="M58">
        <f>IF(COUNTIFS('United Data'!$A$3:$A$3390,M$1,'United Data'!$C$3:$C$3390,$A58,'United Data'!$B$3:$B$3390,"Off-street")&gt;0,1,0)</f>
        <v>0</v>
      </c>
      <c r="N58">
        <f>IF(COUNTIFS('United Data'!$A$3:$A$3390,N$1,'United Data'!$C$3:$C$3390,$A58,'United Data'!$B$3:$B$3390,"Off-street")&gt;0,1,0)</f>
        <v>1</v>
      </c>
      <c r="O58">
        <f>IF(COUNTIFS('United Data'!$A$3:$A$3390,O$1,'United Data'!$C$3:$C$3390,$A58,'United Data'!$B$3:$B$3390,"Off-street")&gt;0,1,0)</f>
        <v>0</v>
      </c>
      <c r="P58">
        <f>IF(COUNTIFS('United Data'!$A$3:$A$3390,P$1,'United Data'!$C$3:$C$3390,$A58,'United Data'!$B$3:$B$3390,"Off-street")&gt;0,1,0)</f>
        <v>0</v>
      </c>
      <c r="Q58">
        <f>IF(COUNTIFS('United Data'!$A$3:$A$3390,Q$1,'United Data'!$C$3:$C$3390,$A58,'United Data'!$B$3:$B$3390,"Off-street")&gt;0,1,0)</f>
        <v>0</v>
      </c>
      <c r="R58">
        <f>IF(COUNTIFS('United Data'!$A$3:$A$3390,R$1,'United Data'!$C$3:$C$3390,$A58,'United Data'!$B$3:$B$3390,"Off-street")&gt;0,1,0)</f>
        <v>0</v>
      </c>
      <c r="S58">
        <f t="shared" si="2"/>
        <v>1</v>
      </c>
      <c r="T58">
        <f t="shared" si="3"/>
        <v>1</v>
      </c>
    </row>
    <row r="59" spans="1:20" x14ac:dyDescent="0.2">
      <c r="A59" t="s">
        <v>2030</v>
      </c>
      <c r="B59">
        <f>IF(COUNTIFS('United Data'!$A$3:$A$3390,B$1,'United Data'!$C$3:$C$3390,$A59,'United Data'!$B$3:$B$3390,"Off-street")&gt;0,1,0)</f>
        <v>0</v>
      </c>
      <c r="C59">
        <f>IF(COUNTIFS('United Data'!$A$3:$A$3390,C$1,'United Data'!$C$3:$C$3390,$A59,'United Data'!$B$3:$B$3390,"Off-street")&gt;0,1,0)</f>
        <v>0</v>
      </c>
      <c r="D59">
        <f>IF(COUNTIFS('United Data'!$A$3:$A$3390,D$1,'United Data'!$C$3:$C$3390,$A59,'United Data'!$B$3:$B$3390,"Off-street")&gt;0,1,0)</f>
        <v>0</v>
      </c>
      <c r="E59">
        <f>IF(COUNTIFS('United Data'!$A$3:$A$3390,E$1,'United Data'!$C$3:$C$3390,$A59,'United Data'!$B$3:$B$3390,"Off-street")&gt;0,1,0)</f>
        <v>0</v>
      </c>
      <c r="F59">
        <f>IF(COUNTIFS('United Data'!$A$3:$A$3390,F$1,'United Data'!$C$3:$C$3390,$A59,'United Data'!$B$3:$B$3390,"Off-street")&gt;0,1,0)</f>
        <v>0</v>
      </c>
      <c r="G59">
        <f>IF(COUNTIFS('United Data'!$A$3:$A$3390,G$1,'United Data'!$C$3:$C$3390,$A59,'United Data'!$B$3:$B$3390,"Off-street")&gt;0,1,0)</f>
        <v>0</v>
      </c>
      <c r="H59">
        <f>IF(COUNTIFS('United Data'!$A$3:$A$3390,H$1,'United Data'!$C$3:$C$3390,$A59,'United Data'!$B$3:$B$3390,"Off-street")&gt;0,1,0)</f>
        <v>0</v>
      </c>
      <c r="I59">
        <f>IF(COUNTIFS('United Data'!$A$3:$A$3390,I$1,'United Data'!$C$3:$C$3390,$A59,'United Data'!$B$3:$B$3390,"Off-street")&gt;0,1,0)</f>
        <v>0</v>
      </c>
      <c r="J59">
        <f>IF(COUNTIFS('United Data'!$A$3:$A$3390,J$1,'United Data'!$C$3:$C$3390,$A59,'United Data'!$B$3:$B$3390,"Off-street")&gt;0,1,0)</f>
        <v>0</v>
      </c>
      <c r="K59">
        <f>IF(COUNTIFS('United Data'!$A$3:$A$3390,K$1,'United Data'!$C$3:$C$3390,$A59,'United Data'!$B$3:$B$3390,"Off-street")&gt;0,1,0)</f>
        <v>0</v>
      </c>
      <c r="L59">
        <f>IF(COUNTIFS('United Data'!$A$3:$A$3390,L$1,'United Data'!$C$3:$C$3390,$A59,'United Data'!$B$3:$B$3390,"Off-street")&gt;0,1,0)</f>
        <v>0</v>
      </c>
      <c r="M59">
        <f>IF(COUNTIFS('United Data'!$A$3:$A$3390,M$1,'United Data'!$C$3:$C$3390,$A59,'United Data'!$B$3:$B$3390,"Off-street")&gt;0,1,0)</f>
        <v>0</v>
      </c>
      <c r="N59">
        <f>IF(COUNTIFS('United Data'!$A$3:$A$3390,N$1,'United Data'!$C$3:$C$3390,$A59,'United Data'!$B$3:$B$3390,"Off-street")&gt;0,1,0)</f>
        <v>1</v>
      </c>
      <c r="O59">
        <f>IF(COUNTIFS('United Data'!$A$3:$A$3390,O$1,'United Data'!$C$3:$C$3390,$A59,'United Data'!$B$3:$B$3390,"Off-street")&gt;0,1,0)</f>
        <v>0</v>
      </c>
      <c r="P59">
        <f>IF(COUNTIFS('United Data'!$A$3:$A$3390,P$1,'United Data'!$C$3:$C$3390,$A59,'United Data'!$B$3:$B$3390,"Off-street")&gt;0,1,0)</f>
        <v>0</v>
      </c>
      <c r="Q59">
        <f>IF(COUNTIFS('United Data'!$A$3:$A$3390,Q$1,'United Data'!$C$3:$C$3390,$A59,'United Data'!$B$3:$B$3390,"Off-street")&gt;0,1,0)</f>
        <v>1</v>
      </c>
      <c r="R59">
        <f>IF(COUNTIFS('United Data'!$A$3:$A$3390,R$1,'United Data'!$C$3:$C$3390,$A59,'United Data'!$B$3:$B$3390,"Off-street")&gt;0,1,0)</f>
        <v>0</v>
      </c>
      <c r="S59">
        <f t="shared" si="2"/>
        <v>2</v>
      </c>
      <c r="T59">
        <f t="shared" si="3"/>
        <v>2</v>
      </c>
    </row>
    <row r="60" spans="1:20" x14ac:dyDescent="0.2">
      <c r="A60" t="s">
        <v>2031</v>
      </c>
      <c r="B60">
        <f>IF(COUNTIFS('United Data'!$A$3:$A$3390,B$1,'United Data'!$C$3:$C$3390,$A60,'United Data'!$B$3:$B$3390,"Off-street")&gt;0,1,0)</f>
        <v>0</v>
      </c>
      <c r="C60">
        <f>IF(COUNTIFS('United Data'!$A$3:$A$3390,C$1,'United Data'!$C$3:$C$3390,$A60,'United Data'!$B$3:$B$3390,"Off-street")&gt;0,1,0)</f>
        <v>0</v>
      </c>
      <c r="D60">
        <f>IF(COUNTIFS('United Data'!$A$3:$A$3390,D$1,'United Data'!$C$3:$C$3390,$A60,'United Data'!$B$3:$B$3390,"Off-street")&gt;0,1,0)</f>
        <v>0</v>
      </c>
      <c r="E60">
        <f>IF(COUNTIFS('United Data'!$A$3:$A$3390,E$1,'United Data'!$C$3:$C$3390,$A60,'United Data'!$B$3:$B$3390,"Off-street")&gt;0,1,0)</f>
        <v>0</v>
      </c>
      <c r="F60">
        <f>IF(COUNTIFS('United Data'!$A$3:$A$3390,F$1,'United Data'!$C$3:$C$3390,$A60,'United Data'!$B$3:$B$3390,"Off-street")&gt;0,1,0)</f>
        <v>0</v>
      </c>
      <c r="G60">
        <f>IF(COUNTIFS('United Data'!$A$3:$A$3390,G$1,'United Data'!$C$3:$C$3390,$A60,'United Data'!$B$3:$B$3390,"Off-street")&gt;0,1,0)</f>
        <v>0</v>
      </c>
      <c r="H60">
        <f>IF(COUNTIFS('United Data'!$A$3:$A$3390,H$1,'United Data'!$C$3:$C$3390,$A60,'United Data'!$B$3:$B$3390,"Off-street")&gt;0,1,0)</f>
        <v>0</v>
      </c>
      <c r="I60">
        <f>IF(COUNTIFS('United Data'!$A$3:$A$3390,I$1,'United Data'!$C$3:$C$3390,$A60,'United Data'!$B$3:$B$3390,"Off-street")&gt;0,1,0)</f>
        <v>0</v>
      </c>
      <c r="J60">
        <f>IF(COUNTIFS('United Data'!$A$3:$A$3390,J$1,'United Data'!$C$3:$C$3390,$A60,'United Data'!$B$3:$B$3390,"Off-street")&gt;0,1,0)</f>
        <v>0</v>
      </c>
      <c r="K60">
        <f>IF(COUNTIFS('United Data'!$A$3:$A$3390,K$1,'United Data'!$C$3:$C$3390,$A60,'United Data'!$B$3:$B$3390,"Off-street")&gt;0,1,0)</f>
        <v>0</v>
      </c>
      <c r="L60">
        <f>IF(COUNTIFS('United Data'!$A$3:$A$3390,L$1,'United Data'!$C$3:$C$3390,$A60,'United Data'!$B$3:$B$3390,"Off-street")&gt;0,1,0)</f>
        <v>0</v>
      </c>
      <c r="M60">
        <f>IF(COUNTIFS('United Data'!$A$3:$A$3390,M$1,'United Data'!$C$3:$C$3390,$A60,'United Data'!$B$3:$B$3390,"Off-street")&gt;0,1,0)</f>
        <v>0</v>
      </c>
      <c r="N60">
        <f>IF(COUNTIFS('United Data'!$A$3:$A$3390,N$1,'United Data'!$C$3:$C$3390,$A60,'United Data'!$B$3:$B$3390,"Off-street")&gt;0,1,0)</f>
        <v>1</v>
      </c>
      <c r="O60">
        <f>IF(COUNTIFS('United Data'!$A$3:$A$3390,O$1,'United Data'!$C$3:$C$3390,$A60,'United Data'!$B$3:$B$3390,"Off-street")&gt;0,1,0)</f>
        <v>0</v>
      </c>
      <c r="P60">
        <f>IF(COUNTIFS('United Data'!$A$3:$A$3390,P$1,'United Data'!$C$3:$C$3390,$A60,'United Data'!$B$3:$B$3390,"Off-street")&gt;0,1,0)</f>
        <v>0</v>
      </c>
      <c r="Q60">
        <f>IF(COUNTIFS('United Data'!$A$3:$A$3390,Q$1,'United Data'!$C$3:$C$3390,$A60,'United Data'!$B$3:$B$3390,"Off-street")&gt;0,1,0)</f>
        <v>0</v>
      </c>
      <c r="R60">
        <f>IF(COUNTIFS('United Data'!$A$3:$A$3390,R$1,'United Data'!$C$3:$C$3390,$A60,'United Data'!$B$3:$B$3390,"Off-street")&gt;0,1,0)</f>
        <v>0</v>
      </c>
      <c r="S60">
        <f t="shared" si="2"/>
        <v>1</v>
      </c>
      <c r="T60">
        <f t="shared" si="3"/>
        <v>1</v>
      </c>
    </row>
    <row r="61" spans="1:20" x14ac:dyDescent="0.2">
      <c r="A61" t="s">
        <v>2032</v>
      </c>
      <c r="B61">
        <f>IF(COUNTIFS('United Data'!$A$3:$A$3390,B$1,'United Data'!$C$3:$C$3390,$A61,'United Data'!$B$3:$B$3390,"Off-street")&gt;0,1,0)</f>
        <v>0</v>
      </c>
      <c r="C61">
        <f>IF(COUNTIFS('United Data'!$A$3:$A$3390,C$1,'United Data'!$C$3:$C$3390,$A61,'United Data'!$B$3:$B$3390,"Off-street")&gt;0,1,0)</f>
        <v>0</v>
      </c>
      <c r="D61">
        <f>IF(COUNTIFS('United Data'!$A$3:$A$3390,D$1,'United Data'!$C$3:$C$3390,$A61,'United Data'!$B$3:$B$3390,"Off-street")&gt;0,1,0)</f>
        <v>0</v>
      </c>
      <c r="E61">
        <f>IF(COUNTIFS('United Data'!$A$3:$A$3390,E$1,'United Data'!$C$3:$C$3390,$A61,'United Data'!$B$3:$B$3390,"Off-street")&gt;0,1,0)</f>
        <v>0</v>
      </c>
      <c r="F61">
        <f>IF(COUNTIFS('United Data'!$A$3:$A$3390,F$1,'United Data'!$C$3:$C$3390,$A61,'United Data'!$B$3:$B$3390,"Off-street")&gt;0,1,0)</f>
        <v>0</v>
      </c>
      <c r="G61">
        <f>IF(COUNTIFS('United Data'!$A$3:$A$3390,G$1,'United Data'!$C$3:$C$3390,$A61,'United Data'!$B$3:$B$3390,"Off-street")&gt;0,1,0)</f>
        <v>0</v>
      </c>
      <c r="H61">
        <f>IF(COUNTIFS('United Data'!$A$3:$A$3390,H$1,'United Data'!$C$3:$C$3390,$A61,'United Data'!$B$3:$B$3390,"Off-street")&gt;0,1,0)</f>
        <v>0</v>
      </c>
      <c r="I61">
        <f>IF(COUNTIFS('United Data'!$A$3:$A$3390,I$1,'United Data'!$C$3:$C$3390,$A61,'United Data'!$B$3:$B$3390,"Off-street")&gt;0,1,0)</f>
        <v>0</v>
      </c>
      <c r="J61">
        <f>IF(COUNTIFS('United Data'!$A$3:$A$3390,J$1,'United Data'!$C$3:$C$3390,$A61,'United Data'!$B$3:$B$3390,"Off-street")&gt;0,1,0)</f>
        <v>0</v>
      </c>
      <c r="K61">
        <f>IF(COUNTIFS('United Data'!$A$3:$A$3390,K$1,'United Data'!$C$3:$C$3390,$A61,'United Data'!$B$3:$B$3390,"Off-street")&gt;0,1,0)</f>
        <v>0</v>
      </c>
      <c r="L61">
        <f>IF(COUNTIFS('United Data'!$A$3:$A$3390,L$1,'United Data'!$C$3:$C$3390,$A61,'United Data'!$B$3:$B$3390,"Off-street")&gt;0,1,0)</f>
        <v>0</v>
      </c>
      <c r="M61">
        <f>IF(COUNTIFS('United Data'!$A$3:$A$3390,M$1,'United Data'!$C$3:$C$3390,$A61,'United Data'!$B$3:$B$3390,"Off-street")&gt;0,1,0)</f>
        <v>0</v>
      </c>
      <c r="N61">
        <f>IF(COUNTIFS('United Data'!$A$3:$A$3390,N$1,'United Data'!$C$3:$C$3390,$A61,'United Data'!$B$3:$B$3390,"Off-street")&gt;0,1,0)</f>
        <v>1</v>
      </c>
      <c r="O61">
        <f>IF(COUNTIFS('United Data'!$A$3:$A$3390,O$1,'United Data'!$C$3:$C$3390,$A61,'United Data'!$B$3:$B$3390,"Off-street")&gt;0,1,0)</f>
        <v>0</v>
      </c>
      <c r="P61">
        <f>IF(COUNTIFS('United Data'!$A$3:$A$3390,P$1,'United Data'!$C$3:$C$3390,$A61,'United Data'!$B$3:$B$3390,"Off-street")&gt;0,1,0)</f>
        <v>0</v>
      </c>
      <c r="Q61">
        <f>IF(COUNTIFS('United Data'!$A$3:$A$3390,Q$1,'United Data'!$C$3:$C$3390,$A61,'United Data'!$B$3:$B$3390,"Off-street")&gt;0,1,0)</f>
        <v>0</v>
      </c>
      <c r="R61">
        <f>IF(COUNTIFS('United Data'!$A$3:$A$3390,R$1,'United Data'!$C$3:$C$3390,$A61,'United Data'!$B$3:$B$3390,"Off-street")&gt;0,1,0)</f>
        <v>0</v>
      </c>
      <c r="S61">
        <f t="shared" si="2"/>
        <v>1</v>
      </c>
      <c r="T61">
        <f t="shared" si="3"/>
        <v>1</v>
      </c>
    </row>
    <row r="62" spans="1:20" x14ac:dyDescent="0.2">
      <c r="A62" t="s">
        <v>2033</v>
      </c>
      <c r="B62">
        <f>IF(COUNTIFS('United Data'!$A$3:$A$3390,B$1,'United Data'!$C$3:$C$3390,$A62,'United Data'!$B$3:$B$3390,"Off-street")&gt;0,1,0)</f>
        <v>0</v>
      </c>
      <c r="C62">
        <f>IF(COUNTIFS('United Data'!$A$3:$A$3390,C$1,'United Data'!$C$3:$C$3390,$A62,'United Data'!$B$3:$B$3390,"Off-street")&gt;0,1,0)</f>
        <v>0</v>
      </c>
      <c r="D62">
        <f>IF(COUNTIFS('United Data'!$A$3:$A$3390,D$1,'United Data'!$C$3:$C$3390,$A62,'United Data'!$B$3:$B$3390,"Off-street")&gt;0,1,0)</f>
        <v>0</v>
      </c>
      <c r="E62">
        <f>IF(COUNTIFS('United Data'!$A$3:$A$3390,E$1,'United Data'!$C$3:$C$3390,$A62,'United Data'!$B$3:$B$3390,"Off-street")&gt;0,1,0)</f>
        <v>0</v>
      </c>
      <c r="F62">
        <f>IF(COUNTIFS('United Data'!$A$3:$A$3390,F$1,'United Data'!$C$3:$C$3390,$A62,'United Data'!$B$3:$B$3390,"Off-street")&gt;0,1,0)</f>
        <v>0</v>
      </c>
      <c r="G62">
        <f>IF(COUNTIFS('United Data'!$A$3:$A$3390,G$1,'United Data'!$C$3:$C$3390,$A62,'United Data'!$B$3:$B$3390,"Off-street")&gt;0,1,0)</f>
        <v>0</v>
      </c>
      <c r="H62">
        <f>IF(COUNTIFS('United Data'!$A$3:$A$3390,H$1,'United Data'!$C$3:$C$3390,$A62,'United Data'!$B$3:$B$3390,"Off-street")&gt;0,1,0)</f>
        <v>0</v>
      </c>
      <c r="I62">
        <f>IF(COUNTIFS('United Data'!$A$3:$A$3390,I$1,'United Data'!$C$3:$C$3390,$A62,'United Data'!$B$3:$B$3390,"Off-street")&gt;0,1,0)</f>
        <v>0</v>
      </c>
      <c r="J62">
        <f>IF(COUNTIFS('United Data'!$A$3:$A$3390,J$1,'United Data'!$C$3:$C$3390,$A62,'United Data'!$B$3:$B$3390,"Off-street")&gt;0,1,0)</f>
        <v>0</v>
      </c>
      <c r="K62">
        <f>IF(COUNTIFS('United Data'!$A$3:$A$3390,K$1,'United Data'!$C$3:$C$3390,$A62,'United Data'!$B$3:$B$3390,"Off-street")&gt;0,1,0)</f>
        <v>0</v>
      </c>
      <c r="L62">
        <f>IF(COUNTIFS('United Data'!$A$3:$A$3390,L$1,'United Data'!$C$3:$C$3390,$A62,'United Data'!$B$3:$B$3390,"Off-street")&gt;0,1,0)</f>
        <v>0</v>
      </c>
      <c r="M62">
        <f>IF(COUNTIFS('United Data'!$A$3:$A$3390,M$1,'United Data'!$C$3:$C$3390,$A62,'United Data'!$B$3:$B$3390,"Off-street")&gt;0,1,0)</f>
        <v>0</v>
      </c>
      <c r="N62">
        <f>IF(COUNTIFS('United Data'!$A$3:$A$3390,N$1,'United Data'!$C$3:$C$3390,$A62,'United Data'!$B$3:$B$3390,"Off-street")&gt;0,1,0)</f>
        <v>1</v>
      </c>
      <c r="O62">
        <f>IF(COUNTIFS('United Data'!$A$3:$A$3390,O$1,'United Data'!$C$3:$C$3390,$A62,'United Data'!$B$3:$B$3390,"Off-street")&gt;0,1,0)</f>
        <v>0</v>
      </c>
      <c r="P62">
        <f>IF(COUNTIFS('United Data'!$A$3:$A$3390,P$1,'United Data'!$C$3:$C$3390,$A62,'United Data'!$B$3:$B$3390,"Off-street")&gt;0,1,0)</f>
        <v>0</v>
      </c>
      <c r="Q62">
        <f>IF(COUNTIFS('United Data'!$A$3:$A$3390,Q$1,'United Data'!$C$3:$C$3390,$A62,'United Data'!$B$3:$B$3390,"Off-street")&gt;0,1,0)</f>
        <v>0</v>
      </c>
      <c r="R62">
        <f>IF(COUNTIFS('United Data'!$A$3:$A$3390,R$1,'United Data'!$C$3:$C$3390,$A62,'United Data'!$B$3:$B$3390,"Off-street")&gt;0,1,0)</f>
        <v>0</v>
      </c>
      <c r="S62">
        <f t="shared" si="2"/>
        <v>1</v>
      </c>
      <c r="T62">
        <f t="shared" si="3"/>
        <v>1</v>
      </c>
    </row>
    <row r="63" spans="1:20" x14ac:dyDescent="0.2">
      <c r="A63" t="s">
        <v>2036</v>
      </c>
      <c r="B63">
        <f>IF(COUNTIFS('United Data'!$A$3:$A$3390,B$1,'United Data'!$C$3:$C$3390,$A63,'United Data'!$B$3:$B$3390,"Off-street")&gt;0,1,0)</f>
        <v>0</v>
      </c>
      <c r="C63">
        <f>IF(COUNTIFS('United Data'!$A$3:$A$3390,C$1,'United Data'!$C$3:$C$3390,$A63,'United Data'!$B$3:$B$3390,"Off-street")&gt;0,1,0)</f>
        <v>0</v>
      </c>
      <c r="D63">
        <f>IF(COUNTIFS('United Data'!$A$3:$A$3390,D$1,'United Data'!$C$3:$C$3390,$A63,'United Data'!$B$3:$B$3390,"Off-street")&gt;0,1,0)</f>
        <v>0</v>
      </c>
      <c r="E63">
        <f>IF(COUNTIFS('United Data'!$A$3:$A$3390,E$1,'United Data'!$C$3:$C$3390,$A63,'United Data'!$B$3:$B$3390,"Off-street")&gt;0,1,0)</f>
        <v>0</v>
      </c>
      <c r="F63">
        <f>IF(COUNTIFS('United Data'!$A$3:$A$3390,F$1,'United Data'!$C$3:$C$3390,$A63,'United Data'!$B$3:$B$3390,"Off-street")&gt;0,1,0)</f>
        <v>0</v>
      </c>
      <c r="G63">
        <f>IF(COUNTIFS('United Data'!$A$3:$A$3390,G$1,'United Data'!$C$3:$C$3390,$A63,'United Data'!$B$3:$B$3390,"Off-street")&gt;0,1,0)</f>
        <v>0</v>
      </c>
      <c r="H63">
        <f>IF(COUNTIFS('United Data'!$A$3:$A$3390,H$1,'United Data'!$C$3:$C$3390,$A63,'United Data'!$B$3:$B$3390,"Off-street")&gt;0,1,0)</f>
        <v>0</v>
      </c>
      <c r="I63">
        <f>IF(COUNTIFS('United Data'!$A$3:$A$3390,I$1,'United Data'!$C$3:$C$3390,$A63,'United Data'!$B$3:$B$3390,"Off-street")&gt;0,1,0)</f>
        <v>0</v>
      </c>
      <c r="J63">
        <f>IF(COUNTIFS('United Data'!$A$3:$A$3390,J$1,'United Data'!$C$3:$C$3390,$A63,'United Data'!$B$3:$B$3390,"Off-street")&gt;0,1,0)</f>
        <v>0</v>
      </c>
      <c r="K63">
        <f>IF(COUNTIFS('United Data'!$A$3:$A$3390,K$1,'United Data'!$C$3:$C$3390,$A63,'United Data'!$B$3:$B$3390,"Off-street")&gt;0,1,0)</f>
        <v>0</v>
      </c>
      <c r="L63">
        <f>IF(COUNTIFS('United Data'!$A$3:$A$3390,L$1,'United Data'!$C$3:$C$3390,$A63,'United Data'!$B$3:$B$3390,"Off-street")&gt;0,1,0)</f>
        <v>0</v>
      </c>
      <c r="M63">
        <f>IF(COUNTIFS('United Data'!$A$3:$A$3390,M$1,'United Data'!$C$3:$C$3390,$A63,'United Data'!$B$3:$B$3390,"Off-street")&gt;0,1,0)</f>
        <v>0</v>
      </c>
      <c r="N63">
        <f>IF(COUNTIFS('United Data'!$A$3:$A$3390,N$1,'United Data'!$C$3:$C$3390,$A63,'United Data'!$B$3:$B$3390,"Off-street")&gt;0,1,0)</f>
        <v>1</v>
      </c>
      <c r="O63">
        <f>IF(COUNTIFS('United Data'!$A$3:$A$3390,O$1,'United Data'!$C$3:$C$3390,$A63,'United Data'!$B$3:$B$3390,"Off-street")&gt;0,1,0)</f>
        <v>0</v>
      </c>
      <c r="P63">
        <f>IF(COUNTIFS('United Data'!$A$3:$A$3390,P$1,'United Data'!$C$3:$C$3390,$A63,'United Data'!$B$3:$B$3390,"Off-street")&gt;0,1,0)</f>
        <v>0</v>
      </c>
      <c r="Q63">
        <f>IF(COUNTIFS('United Data'!$A$3:$A$3390,Q$1,'United Data'!$C$3:$C$3390,$A63,'United Data'!$B$3:$B$3390,"Off-street")&gt;0,1,0)</f>
        <v>0</v>
      </c>
      <c r="R63">
        <f>IF(COUNTIFS('United Data'!$A$3:$A$3390,R$1,'United Data'!$C$3:$C$3390,$A63,'United Data'!$B$3:$B$3390,"Off-street")&gt;0,1,0)</f>
        <v>0</v>
      </c>
      <c r="S63">
        <f t="shared" si="2"/>
        <v>1</v>
      </c>
      <c r="T63">
        <f t="shared" si="3"/>
        <v>1</v>
      </c>
    </row>
    <row r="64" spans="1:20" x14ac:dyDescent="0.2">
      <c r="A64" t="s">
        <v>2037</v>
      </c>
      <c r="B64">
        <f>IF(COUNTIFS('United Data'!$A$3:$A$3390,B$1,'United Data'!$C$3:$C$3390,$A64,'United Data'!$B$3:$B$3390,"Off-street")&gt;0,1,0)</f>
        <v>0</v>
      </c>
      <c r="C64">
        <f>IF(COUNTIFS('United Data'!$A$3:$A$3390,C$1,'United Data'!$C$3:$C$3390,$A64,'United Data'!$B$3:$B$3390,"Off-street")&gt;0,1,0)</f>
        <v>0</v>
      </c>
      <c r="D64">
        <f>IF(COUNTIFS('United Data'!$A$3:$A$3390,D$1,'United Data'!$C$3:$C$3390,$A64,'United Data'!$B$3:$B$3390,"Off-street")&gt;0,1,0)</f>
        <v>0</v>
      </c>
      <c r="E64">
        <f>IF(COUNTIFS('United Data'!$A$3:$A$3390,E$1,'United Data'!$C$3:$C$3390,$A64,'United Data'!$B$3:$B$3390,"Off-street")&gt;0,1,0)</f>
        <v>0</v>
      </c>
      <c r="F64">
        <f>IF(COUNTIFS('United Data'!$A$3:$A$3390,F$1,'United Data'!$C$3:$C$3390,$A64,'United Data'!$B$3:$B$3390,"Off-street")&gt;0,1,0)</f>
        <v>0</v>
      </c>
      <c r="G64">
        <f>IF(COUNTIFS('United Data'!$A$3:$A$3390,G$1,'United Data'!$C$3:$C$3390,$A64,'United Data'!$B$3:$B$3390,"Off-street")&gt;0,1,0)</f>
        <v>0</v>
      </c>
      <c r="H64">
        <f>IF(COUNTIFS('United Data'!$A$3:$A$3390,H$1,'United Data'!$C$3:$C$3390,$A64,'United Data'!$B$3:$B$3390,"Off-street")&gt;0,1,0)</f>
        <v>0</v>
      </c>
      <c r="I64">
        <f>IF(COUNTIFS('United Data'!$A$3:$A$3390,I$1,'United Data'!$C$3:$C$3390,$A64,'United Data'!$B$3:$B$3390,"Off-street")&gt;0,1,0)</f>
        <v>0</v>
      </c>
      <c r="J64">
        <f>IF(COUNTIFS('United Data'!$A$3:$A$3390,J$1,'United Data'!$C$3:$C$3390,$A64,'United Data'!$B$3:$B$3390,"Off-street")&gt;0,1,0)</f>
        <v>0</v>
      </c>
      <c r="K64">
        <f>IF(COUNTIFS('United Data'!$A$3:$A$3390,K$1,'United Data'!$C$3:$C$3390,$A64,'United Data'!$B$3:$B$3390,"Off-street")&gt;0,1,0)</f>
        <v>0</v>
      </c>
      <c r="L64">
        <f>IF(COUNTIFS('United Data'!$A$3:$A$3390,L$1,'United Data'!$C$3:$C$3390,$A64,'United Data'!$B$3:$B$3390,"Off-street")&gt;0,1,0)</f>
        <v>0</v>
      </c>
      <c r="M64">
        <f>IF(COUNTIFS('United Data'!$A$3:$A$3390,M$1,'United Data'!$C$3:$C$3390,$A64,'United Data'!$B$3:$B$3390,"Off-street")&gt;0,1,0)</f>
        <v>0</v>
      </c>
      <c r="N64">
        <f>IF(COUNTIFS('United Data'!$A$3:$A$3390,N$1,'United Data'!$C$3:$C$3390,$A64,'United Data'!$B$3:$B$3390,"Off-street")&gt;0,1,0)</f>
        <v>1</v>
      </c>
      <c r="O64">
        <f>IF(COUNTIFS('United Data'!$A$3:$A$3390,O$1,'United Data'!$C$3:$C$3390,$A64,'United Data'!$B$3:$B$3390,"Off-street")&gt;0,1,0)</f>
        <v>0</v>
      </c>
      <c r="P64">
        <f>IF(COUNTIFS('United Data'!$A$3:$A$3390,P$1,'United Data'!$C$3:$C$3390,$A64,'United Data'!$B$3:$B$3390,"Off-street")&gt;0,1,0)</f>
        <v>0</v>
      </c>
      <c r="Q64">
        <f>IF(COUNTIFS('United Data'!$A$3:$A$3390,Q$1,'United Data'!$C$3:$C$3390,$A64,'United Data'!$B$3:$B$3390,"Off-street")&gt;0,1,0)</f>
        <v>0</v>
      </c>
      <c r="R64">
        <f>IF(COUNTIFS('United Data'!$A$3:$A$3390,R$1,'United Data'!$C$3:$C$3390,$A64,'United Data'!$B$3:$B$3390,"Off-street")&gt;0,1,0)</f>
        <v>0</v>
      </c>
      <c r="S64">
        <f t="shared" si="2"/>
        <v>1</v>
      </c>
      <c r="T64">
        <f t="shared" si="3"/>
        <v>1</v>
      </c>
    </row>
    <row r="65" spans="1:20" x14ac:dyDescent="0.2">
      <c r="A65" t="s">
        <v>2038</v>
      </c>
      <c r="B65">
        <f>IF(COUNTIFS('United Data'!$A$3:$A$3390,B$1,'United Data'!$C$3:$C$3390,$A65,'United Data'!$B$3:$B$3390,"Off-street")&gt;0,1,0)</f>
        <v>0</v>
      </c>
      <c r="C65">
        <f>IF(COUNTIFS('United Data'!$A$3:$A$3390,C$1,'United Data'!$C$3:$C$3390,$A65,'United Data'!$B$3:$B$3390,"Off-street")&gt;0,1,0)</f>
        <v>0</v>
      </c>
      <c r="D65">
        <f>IF(COUNTIFS('United Data'!$A$3:$A$3390,D$1,'United Data'!$C$3:$C$3390,$A65,'United Data'!$B$3:$B$3390,"Off-street")&gt;0,1,0)</f>
        <v>0</v>
      </c>
      <c r="E65">
        <f>IF(COUNTIFS('United Data'!$A$3:$A$3390,E$1,'United Data'!$C$3:$C$3390,$A65,'United Data'!$B$3:$B$3390,"Off-street")&gt;0,1,0)</f>
        <v>0</v>
      </c>
      <c r="F65">
        <f>IF(COUNTIFS('United Data'!$A$3:$A$3390,F$1,'United Data'!$C$3:$C$3390,$A65,'United Data'!$B$3:$B$3390,"Off-street")&gt;0,1,0)</f>
        <v>0</v>
      </c>
      <c r="G65">
        <f>IF(COUNTIFS('United Data'!$A$3:$A$3390,G$1,'United Data'!$C$3:$C$3390,$A65,'United Data'!$B$3:$B$3390,"Off-street")&gt;0,1,0)</f>
        <v>0</v>
      </c>
      <c r="H65">
        <f>IF(COUNTIFS('United Data'!$A$3:$A$3390,H$1,'United Data'!$C$3:$C$3390,$A65,'United Data'!$B$3:$B$3390,"Off-street")&gt;0,1,0)</f>
        <v>0</v>
      </c>
      <c r="I65">
        <f>IF(COUNTIFS('United Data'!$A$3:$A$3390,I$1,'United Data'!$C$3:$C$3390,$A65,'United Data'!$B$3:$B$3390,"Off-street")&gt;0,1,0)</f>
        <v>0</v>
      </c>
      <c r="J65">
        <f>IF(COUNTIFS('United Data'!$A$3:$A$3390,J$1,'United Data'!$C$3:$C$3390,$A65,'United Data'!$B$3:$B$3390,"Off-street")&gt;0,1,0)</f>
        <v>0</v>
      </c>
      <c r="K65">
        <f>IF(COUNTIFS('United Data'!$A$3:$A$3390,K$1,'United Data'!$C$3:$C$3390,$A65,'United Data'!$B$3:$B$3390,"Off-street")&gt;0,1,0)</f>
        <v>0</v>
      </c>
      <c r="L65">
        <f>IF(COUNTIFS('United Data'!$A$3:$A$3390,L$1,'United Data'!$C$3:$C$3390,$A65,'United Data'!$B$3:$B$3390,"Off-street")&gt;0,1,0)</f>
        <v>0</v>
      </c>
      <c r="M65">
        <f>IF(COUNTIFS('United Data'!$A$3:$A$3390,M$1,'United Data'!$C$3:$C$3390,$A65,'United Data'!$B$3:$B$3390,"Off-street")&gt;0,1,0)</f>
        <v>0</v>
      </c>
      <c r="N65">
        <f>IF(COUNTIFS('United Data'!$A$3:$A$3390,N$1,'United Data'!$C$3:$C$3390,$A65,'United Data'!$B$3:$B$3390,"Off-street")&gt;0,1,0)</f>
        <v>1</v>
      </c>
      <c r="O65">
        <f>IF(COUNTIFS('United Data'!$A$3:$A$3390,O$1,'United Data'!$C$3:$C$3390,$A65,'United Data'!$B$3:$B$3390,"Off-street")&gt;0,1,0)</f>
        <v>0</v>
      </c>
      <c r="P65">
        <f>IF(COUNTIFS('United Data'!$A$3:$A$3390,P$1,'United Data'!$C$3:$C$3390,$A65,'United Data'!$B$3:$B$3390,"Off-street")&gt;0,1,0)</f>
        <v>0</v>
      </c>
      <c r="Q65">
        <f>IF(COUNTIFS('United Data'!$A$3:$A$3390,Q$1,'United Data'!$C$3:$C$3390,$A65,'United Data'!$B$3:$B$3390,"Off-street")&gt;0,1,0)</f>
        <v>0</v>
      </c>
      <c r="R65">
        <f>IF(COUNTIFS('United Data'!$A$3:$A$3390,R$1,'United Data'!$C$3:$C$3390,$A65,'United Data'!$B$3:$B$3390,"Off-street")&gt;0,1,0)</f>
        <v>0</v>
      </c>
      <c r="S65">
        <f t="shared" si="2"/>
        <v>1</v>
      </c>
      <c r="T65">
        <f t="shared" si="3"/>
        <v>1</v>
      </c>
    </row>
    <row r="66" spans="1:20" x14ac:dyDescent="0.2">
      <c r="A66" t="s">
        <v>2039</v>
      </c>
      <c r="B66">
        <f>IF(COUNTIFS('United Data'!$A$3:$A$3390,B$1,'United Data'!$C$3:$C$3390,$A66,'United Data'!$B$3:$B$3390,"Off-street")&gt;0,1,0)</f>
        <v>0</v>
      </c>
      <c r="C66">
        <f>IF(COUNTIFS('United Data'!$A$3:$A$3390,C$1,'United Data'!$C$3:$C$3390,$A66,'United Data'!$B$3:$B$3390,"Off-street")&gt;0,1,0)</f>
        <v>0</v>
      </c>
      <c r="D66">
        <f>IF(COUNTIFS('United Data'!$A$3:$A$3390,D$1,'United Data'!$C$3:$C$3390,$A66,'United Data'!$B$3:$B$3390,"Off-street")&gt;0,1,0)</f>
        <v>0</v>
      </c>
      <c r="E66">
        <f>IF(COUNTIFS('United Data'!$A$3:$A$3390,E$1,'United Data'!$C$3:$C$3390,$A66,'United Data'!$B$3:$B$3390,"Off-street")&gt;0,1,0)</f>
        <v>0</v>
      </c>
      <c r="F66">
        <f>IF(COUNTIFS('United Data'!$A$3:$A$3390,F$1,'United Data'!$C$3:$C$3390,$A66,'United Data'!$B$3:$B$3390,"Off-street")&gt;0,1,0)</f>
        <v>0</v>
      </c>
      <c r="G66">
        <f>IF(COUNTIFS('United Data'!$A$3:$A$3390,G$1,'United Data'!$C$3:$C$3390,$A66,'United Data'!$B$3:$B$3390,"Off-street")&gt;0,1,0)</f>
        <v>0</v>
      </c>
      <c r="H66">
        <f>IF(COUNTIFS('United Data'!$A$3:$A$3390,H$1,'United Data'!$C$3:$C$3390,$A66,'United Data'!$B$3:$B$3390,"Off-street")&gt;0,1,0)</f>
        <v>0</v>
      </c>
      <c r="I66">
        <f>IF(COUNTIFS('United Data'!$A$3:$A$3390,I$1,'United Data'!$C$3:$C$3390,$A66,'United Data'!$B$3:$B$3390,"Off-street")&gt;0,1,0)</f>
        <v>0</v>
      </c>
      <c r="J66">
        <f>IF(COUNTIFS('United Data'!$A$3:$A$3390,J$1,'United Data'!$C$3:$C$3390,$A66,'United Data'!$B$3:$B$3390,"Off-street")&gt;0,1,0)</f>
        <v>0</v>
      </c>
      <c r="K66">
        <f>IF(COUNTIFS('United Data'!$A$3:$A$3390,K$1,'United Data'!$C$3:$C$3390,$A66,'United Data'!$B$3:$B$3390,"Off-street")&gt;0,1,0)</f>
        <v>0</v>
      </c>
      <c r="L66">
        <f>IF(COUNTIFS('United Data'!$A$3:$A$3390,L$1,'United Data'!$C$3:$C$3390,$A66,'United Data'!$B$3:$B$3390,"Off-street")&gt;0,1,0)</f>
        <v>0</v>
      </c>
      <c r="M66">
        <f>IF(COUNTIFS('United Data'!$A$3:$A$3390,M$1,'United Data'!$C$3:$C$3390,$A66,'United Data'!$B$3:$B$3390,"Off-street")&gt;0,1,0)</f>
        <v>0</v>
      </c>
      <c r="N66">
        <f>IF(COUNTIFS('United Data'!$A$3:$A$3390,N$1,'United Data'!$C$3:$C$3390,$A66,'United Data'!$B$3:$B$3390,"Off-street")&gt;0,1,0)</f>
        <v>0</v>
      </c>
      <c r="O66">
        <f>IF(COUNTIFS('United Data'!$A$3:$A$3390,O$1,'United Data'!$C$3:$C$3390,$A66,'United Data'!$B$3:$B$3390,"Off-street")&gt;0,1,0)</f>
        <v>1</v>
      </c>
      <c r="P66">
        <f>IF(COUNTIFS('United Data'!$A$3:$A$3390,P$1,'United Data'!$C$3:$C$3390,$A66,'United Data'!$B$3:$B$3390,"Off-street")&gt;0,1,0)</f>
        <v>0</v>
      </c>
      <c r="Q66">
        <f>IF(COUNTIFS('United Data'!$A$3:$A$3390,Q$1,'United Data'!$C$3:$C$3390,$A66,'United Data'!$B$3:$B$3390,"Off-street")&gt;0,1,0)</f>
        <v>0</v>
      </c>
      <c r="R66">
        <f>IF(COUNTIFS('United Data'!$A$3:$A$3390,R$1,'United Data'!$C$3:$C$3390,$A66,'United Data'!$B$3:$B$3390,"Off-street")&gt;0,1,0)</f>
        <v>0</v>
      </c>
      <c r="S66">
        <f t="shared" ref="S66:S97" si="4">SUM(B66:R66)</f>
        <v>1</v>
      </c>
      <c r="T66">
        <f t="shared" ref="T66:T71" si="5">B66+SUMPRODUCT(--(C66:R66&gt;B66:Q66))</f>
        <v>1</v>
      </c>
    </row>
    <row r="67" spans="1:20" x14ac:dyDescent="0.2">
      <c r="A67" t="s">
        <v>2040</v>
      </c>
      <c r="B67">
        <f>IF(COUNTIFS('United Data'!$A$3:$A$3390,B$1,'United Data'!$C$3:$C$3390,$A67,'United Data'!$B$3:$B$3390,"Off-street")&gt;0,1,0)</f>
        <v>0</v>
      </c>
      <c r="C67">
        <f>IF(COUNTIFS('United Data'!$A$3:$A$3390,C$1,'United Data'!$C$3:$C$3390,$A67,'United Data'!$B$3:$B$3390,"Off-street")&gt;0,1,0)</f>
        <v>0</v>
      </c>
      <c r="D67">
        <f>IF(COUNTIFS('United Data'!$A$3:$A$3390,D$1,'United Data'!$C$3:$C$3390,$A67,'United Data'!$B$3:$B$3390,"Off-street")&gt;0,1,0)</f>
        <v>0</v>
      </c>
      <c r="E67">
        <f>IF(COUNTIFS('United Data'!$A$3:$A$3390,E$1,'United Data'!$C$3:$C$3390,$A67,'United Data'!$B$3:$B$3390,"Off-street")&gt;0,1,0)</f>
        <v>0</v>
      </c>
      <c r="F67">
        <f>IF(COUNTIFS('United Data'!$A$3:$A$3390,F$1,'United Data'!$C$3:$C$3390,$A67,'United Data'!$B$3:$B$3390,"Off-street")&gt;0,1,0)</f>
        <v>0</v>
      </c>
      <c r="G67">
        <f>IF(COUNTIFS('United Data'!$A$3:$A$3390,G$1,'United Data'!$C$3:$C$3390,$A67,'United Data'!$B$3:$B$3390,"Off-street")&gt;0,1,0)</f>
        <v>0</v>
      </c>
      <c r="H67">
        <f>IF(COUNTIFS('United Data'!$A$3:$A$3390,H$1,'United Data'!$C$3:$C$3390,$A67,'United Data'!$B$3:$B$3390,"Off-street")&gt;0,1,0)</f>
        <v>0</v>
      </c>
      <c r="I67">
        <f>IF(COUNTIFS('United Data'!$A$3:$A$3390,I$1,'United Data'!$C$3:$C$3390,$A67,'United Data'!$B$3:$B$3390,"Off-street")&gt;0,1,0)</f>
        <v>0</v>
      </c>
      <c r="J67">
        <f>IF(COUNTIFS('United Data'!$A$3:$A$3390,J$1,'United Data'!$C$3:$C$3390,$A67,'United Data'!$B$3:$B$3390,"Off-street")&gt;0,1,0)</f>
        <v>0</v>
      </c>
      <c r="K67">
        <f>IF(COUNTIFS('United Data'!$A$3:$A$3390,K$1,'United Data'!$C$3:$C$3390,$A67,'United Data'!$B$3:$B$3390,"Off-street")&gt;0,1,0)</f>
        <v>0</v>
      </c>
      <c r="L67">
        <f>IF(COUNTIFS('United Data'!$A$3:$A$3390,L$1,'United Data'!$C$3:$C$3390,$A67,'United Data'!$B$3:$B$3390,"Off-street")&gt;0,1,0)</f>
        <v>0</v>
      </c>
      <c r="M67">
        <f>IF(COUNTIFS('United Data'!$A$3:$A$3390,M$1,'United Data'!$C$3:$C$3390,$A67,'United Data'!$B$3:$B$3390,"Off-street")&gt;0,1,0)</f>
        <v>0</v>
      </c>
      <c r="N67">
        <f>IF(COUNTIFS('United Data'!$A$3:$A$3390,N$1,'United Data'!$C$3:$C$3390,$A67,'United Data'!$B$3:$B$3390,"Off-street")&gt;0,1,0)</f>
        <v>0</v>
      </c>
      <c r="O67">
        <f>IF(COUNTIFS('United Data'!$A$3:$A$3390,O$1,'United Data'!$C$3:$C$3390,$A67,'United Data'!$B$3:$B$3390,"Off-street")&gt;0,1,0)</f>
        <v>1</v>
      </c>
      <c r="P67">
        <f>IF(COUNTIFS('United Data'!$A$3:$A$3390,P$1,'United Data'!$C$3:$C$3390,$A67,'United Data'!$B$3:$B$3390,"Off-street")&gt;0,1,0)</f>
        <v>0</v>
      </c>
      <c r="Q67">
        <f>IF(COUNTIFS('United Data'!$A$3:$A$3390,Q$1,'United Data'!$C$3:$C$3390,$A67,'United Data'!$B$3:$B$3390,"Off-street")&gt;0,1,0)</f>
        <v>0</v>
      </c>
      <c r="R67">
        <f>IF(COUNTIFS('United Data'!$A$3:$A$3390,R$1,'United Data'!$C$3:$C$3390,$A67,'United Data'!$B$3:$B$3390,"Off-street")&gt;0,1,0)</f>
        <v>0</v>
      </c>
      <c r="S67">
        <f t="shared" si="4"/>
        <v>1</v>
      </c>
      <c r="T67">
        <f t="shared" si="5"/>
        <v>1</v>
      </c>
    </row>
    <row r="68" spans="1:20" x14ac:dyDescent="0.2">
      <c r="A68" t="s">
        <v>2041</v>
      </c>
      <c r="B68">
        <f>IF(COUNTIFS('United Data'!$A$3:$A$3390,B$1,'United Data'!$C$3:$C$3390,$A68,'United Data'!$B$3:$B$3390,"Off-street")&gt;0,1,0)</f>
        <v>0</v>
      </c>
      <c r="C68">
        <f>IF(COUNTIFS('United Data'!$A$3:$A$3390,C$1,'United Data'!$C$3:$C$3390,$A68,'United Data'!$B$3:$B$3390,"Off-street")&gt;0,1,0)</f>
        <v>0</v>
      </c>
      <c r="D68">
        <f>IF(COUNTIFS('United Data'!$A$3:$A$3390,D$1,'United Data'!$C$3:$C$3390,$A68,'United Data'!$B$3:$B$3390,"Off-street")&gt;0,1,0)</f>
        <v>0</v>
      </c>
      <c r="E68">
        <f>IF(COUNTIFS('United Data'!$A$3:$A$3390,E$1,'United Data'!$C$3:$C$3390,$A68,'United Data'!$B$3:$B$3390,"Off-street")&gt;0,1,0)</f>
        <v>0</v>
      </c>
      <c r="F68">
        <f>IF(COUNTIFS('United Data'!$A$3:$A$3390,F$1,'United Data'!$C$3:$C$3390,$A68,'United Data'!$B$3:$B$3390,"Off-street")&gt;0,1,0)</f>
        <v>0</v>
      </c>
      <c r="G68">
        <f>IF(COUNTIFS('United Data'!$A$3:$A$3390,G$1,'United Data'!$C$3:$C$3390,$A68,'United Data'!$B$3:$B$3390,"Off-street")&gt;0,1,0)</f>
        <v>0</v>
      </c>
      <c r="H68">
        <f>IF(COUNTIFS('United Data'!$A$3:$A$3390,H$1,'United Data'!$C$3:$C$3390,$A68,'United Data'!$B$3:$B$3390,"Off-street")&gt;0,1,0)</f>
        <v>0</v>
      </c>
      <c r="I68">
        <f>IF(COUNTIFS('United Data'!$A$3:$A$3390,I$1,'United Data'!$C$3:$C$3390,$A68,'United Data'!$B$3:$B$3390,"Off-street")&gt;0,1,0)</f>
        <v>0</v>
      </c>
      <c r="J68">
        <f>IF(COUNTIFS('United Data'!$A$3:$A$3390,J$1,'United Data'!$C$3:$C$3390,$A68,'United Data'!$B$3:$B$3390,"Off-street")&gt;0,1,0)</f>
        <v>0</v>
      </c>
      <c r="K68">
        <f>IF(COUNTIFS('United Data'!$A$3:$A$3390,K$1,'United Data'!$C$3:$C$3390,$A68,'United Data'!$B$3:$B$3390,"Off-street")&gt;0,1,0)</f>
        <v>0</v>
      </c>
      <c r="L68">
        <f>IF(COUNTIFS('United Data'!$A$3:$A$3390,L$1,'United Data'!$C$3:$C$3390,$A68,'United Data'!$B$3:$B$3390,"Off-street")&gt;0,1,0)</f>
        <v>0</v>
      </c>
      <c r="M68">
        <f>IF(COUNTIFS('United Data'!$A$3:$A$3390,M$1,'United Data'!$C$3:$C$3390,$A68,'United Data'!$B$3:$B$3390,"Off-street")&gt;0,1,0)</f>
        <v>0</v>
      </c>
      <c r="N68">
        <f>IF(COUNTIFS('United Data'!$A$3:$A$3390,N$1,'United Data'!$C$3:$C$3390,$A68,'United Data'!$B$3:$B$3390,"Off-street")&gt;0,1,0)</f>
        <v>0</v>
      </c>
      <c r="O68">
        <f>IF(COUNTIFS('United Data'!$A$3:$A$3390,O$1,'United Data'!$C$3:$C$3390,$A68,'United Data'!$B$3:$B$3390,"Off-street")&gt;0,1,0)</f>
        <v>1</v>
      </c>
      <c r="P68">
        <f>IF(COUNTIFS('United Data'!$A$3:$A$3390,P$1,'United Data'!$C$3:$C$3390,$A68,'United Data'!$B$3:$B$3390,"Off-street")&gt;0,1,0)</f>
        <v>0</v>
      </c>
      <c r="Q68">
        <f>IF(COUNTIFS('United Data'!$A$3:$A$3390,Q$1,'United Data'!$C$3:$C$3390,$A68,'United Data'!$B$3:$B$3390,"Off-street")&gt;0,1,0)</f>
        <v>0</v>
      </c>
      <c r="R68">
        <f>IF(COUNTIFS('United Data'!$A$3:$A$3390,R$1,'United Data'!$C$3:$C$3390,$A68,'United Data'!$B$3:$B$3390,"Off-street")&gt;0,1,0)</f>
        <v>0</v>
      </c>
      <c r="S68">
        <f t="shared" si="4"/>
        <v>1</v>
      </c>
      <c r="T68">
        <f t="shared" si="5"/>
        <v>1</v>
      </c>
    </row>
    <row r="69" spans="1:20" x14ac:dyDescent="0.2">
      <c r="A69" t="s">
        <v>2042</v>
      </c>
      <c r="B69">
        <f>IF(COUNTIFS('United Data'!$A$3:$A$3390,B$1,'United Data'!$C$3:$C$3390,$A69,'United Data'!$B$3:$B$3390,"Off-street")&gt;0,1,0)</f>
        <v>0</v>
      </c>
      <c r="C69">
        <f>IF(COUNTIFS('United Data'!$A$3:$A$3390,C$1,'United Data'!$C$3:$C$3390,$A69,'United Data'!$B$3:$B$3390,"Off-street")&gt;0,1,0)</f>
        <v>0</v>
      </c>
      <c r="D69">
        <f>IF(COUNTIFS('United Data'!$A$3:$A$3390,D$1,'United Data'!$C$3:$C$3390,$A69,'United Data'!$B$3:$B$3390,"Off-street")&gt;0,1,0)</f>
        <v>0</v>
      </c>
      <c r="E69">
        <f>IF(COUNTIFS('United Data'!$A$3:$A$3390,E$1,'United Data'!$C$3:$C$3390,$A69,'United Data'!$B$3:$B$3390,"Off-street")&gt;0,1,0)</f>
        <v>0</v>
      </c>
      <c r="F69">
        <f>IF(COUNTIFS('United Data'!$A$3:$A$3390,F$1,'United Data'!$C$3:$C$3390,$A69,'United Data'!$B$3:$B$3390,"Off-street")&gt;0,1,0)</f>
        <v>0</v>
      </c>
      <c r="G69">
        <f>IF(COUNTIFS('United Data'!$A$3:$A$3390,G$1,'United Data'!$C$3:$C$3390,$A69,'United Data'!$B$3:$B$3390,"Off-street")&gt;0,1,0)</f>
        <v>0</v>
      </c>
      <c r="H69">
        <f>IF(COUNTIFS('United Data'!$A$3:$A$3390,H$1,'United Data'!$C$3:$C$3390,$A69,'United Data'!$B$3:$B$3390,"Off-street")&gt;0,1,0)</f>
        <v>0</v>
      </c>
      <c r="I69">
        <f>IF(COUNTIFS('United Data'!$A$3:$A$3390,I$1,'United Data'!$C$3:$C$3390,$A69,'United Data'!$B$3:$B$3390,"Off-street")&gt;0,1,0)</f>
        <v>0</v>
      </c>
      <c r="J69">
        <f>IF(COUNTIFS('United Data'!$A$3:$A$3390,J$1,'United Data'!$C$3:$C$3390,$A69,'United Data'!$B$3:$B$3390,"Off-street")&gt;0,1,0)</f>
        <v>0</v>
      </c>
      <c r="K69">
        <f>IF(COUNTIFS('United Data'!$A$3:$A$3390,K$1,'United Data'!$C$3:$C$3390,$A69,'United Data'!$B$3:$B$3390,"Off-street")&gt;0,1,0)</f>
        <v>0</v>
      </c>
      <c r="L69">
        <f>IF(COUNTIFS('United Data'!$A$3:$A$3390,L$1,'United Data'!$C$3:$C$3390,$A69,'United Data'!$B$3:$B$3390,"Off-street")&gt;0,1,0)</f>
        <v>0</v>
      </c>
      <c r="M69">
        <f>IF(COUNTIFS('United Data'!$A$3:$A$3390,M$1,'United Data'!$C$3:$C$3390,$A69,'United Data'!$B$3:$B$3390,"Off-street")&gt;0,1,0)</f>
        <v>0</v>
      </c>
      <c r="N69">
        <f>IF(COUNTIFS('United Data'!$A$3:$A$3390,N$1,'United Data'!$C$3:$C$3390,$A69,'United Data'!$B$3:$B$3390,"Off-street")&gt;0,1,0)</f>
        <v>0</v>
      </c>
      <c r="O69">
        <f>IF(COUNTIFS('United Data'!$A$3:$A$3390,O$1,'United Data'!$C$3:$C$3390,$A69,'United Data'!$B$3:$B$3390,"Off-street")&gt;0,1,0)</f>
        <v>1</v>
      </c>
      <c r="P69">
        <f>IF(COUNTIFS('United Data'!$A$3:$A$3390,P$1,'United Data'!$C$3:$C$3390,$A69,'United Data'!$B$3:$B$3390,"Off-street")&gt;0,1,0)</f>
        <v>0</v>
      </c>
      <c r="Q69">
        <f>IF(COUNTIFS('United Data'!$A$3:$A$3390,Q$1,'United Data'!$C$3:$C$3390,$A69,'United Data'!$B$3:$B$3390,"Off-street")&gt;0,1,0)</f>
        <v>0</v>
      </c>
      <c r="R69">
        <f>IF(COUNTIFS('United Data'!$A$3:$A$3390,R$1,'United Data'!$C$3:$C$3390,$A69,'United Data'!$B$3:$B$3390,"Off-street")&gt;0,1,0)</f>
        <v>0</v>
      </c>
      <c r="S69">
        <f t="shared" si="4"/>
        <v>1</v>
      </c>
      <c r="T69">
        <f t="shared" si="5"/>
        <v>1</v>
      </c>
    </row>
    <row r="70" spans="1:20" x14ac:dyDescent="0.2">
      <c r="A70" t="s">
        <v>2046</v>
      </c>
      <c r="B70">
        <f>IF(COUNTIFS('United Data'!$A$3:$A$3390,B$1,'United Data'!$C$3:$C$3390,$A70,'United Data'!$B$3:$B$3390,"Off-street")&gt;0,1,0)</f>
        <v>0</v>
      </c>
      <c r="C70">
        <f>IF(COUNTIFS('United Data'!$A$3:$A$3390,C$1,'United Data'!$C$3:$C$3390,$A70,'United Data'!$B$3:$B$3390,"Off-street")&gt;0,1,0)</f>
        <v>0</v>
      </c>
      <c r="D70">
        <f>IF(COUNTIFS('United Data'!$A$3:$A$3390,D$1,'United Data'!$C$3:$C$3390,$A70,'United Data'!$B$3:$B$3390,"Off-street")&gt;0,1,0)</f>
        <v>0</v>
      </c>
      <c r="E70">
        <f>IF(COUNTIFS('United Data'!$A$3:$A$3390,E$1,'United Data'!$C$3:$C$3390,$A70,'United Data'!$B$3:$B$3390,"Off-street")&gt;0,1,0)</f>
        <v>0</v>
      </c>
      <c r="F70">
        <f>IF(COUNTIFS('United Data'!$A$3:$A$3390,F$1,'United Data'!$C$3:$C$3390,$A70,'United Data'!$B$3:$B$3390,"Off-street")&gt;0,1,0)</f>
        <v>0</v>
      </c>
      <c r="G70">
        <f>IF(COUNTIFS('United Data'!$A$3:$A$3390,G$1,'United Data'!$C$3:$C$3390,$A70,'United Data'!$B$3:$B$3390,"Off-street")&gt;0,1,0)</f>
        <v>0</v>
      </c>
      <c r="H70">
        <f>IF(COUNTIFS('United Data'!$A$3:$A$3390,H$1,'United Data'!$C$3:$C$3390,$A70,'United Data'!$B$3:$B$3390,"Off-street")&gt;0,1,0)</f>
        <v>0</v>
      </c>
      <c r="I70">
        <f>IF(COUNTIFS('United Data'!$A$3:$A$3390,I$1,'United Data'!$C$3:$C$3390,$A70,'United Data'!$B$3:$B$3390,"Off-street")&gt;0,1,0)</f>
        <v>0</v>
      </c>
      <c r="J70">
        <f>IF(COUNTIFS('United Data'!$A$3:$A$3390,J$1,'United Data'!$C$3:$C$3390,$A70,'United Data'!$B$3:$B$3390,"Off-street")&gt;0,1,0)</f>
        <v>0</v>
      </c>
      <c r="K70">
        <f>IF(COUNTIFS('United Data'!$A$3:$A$3390,K$1,'United Data'!$C$3:$C$3390,$A70,'United Data'!$B$3:$B$3390,"Off-street")&gt;0,1,0)</f>
        <v>0</v>
      </c>
      <c r="L70">
        <f>IF(COUNTIFS('United Data'!$A$3:$A$3390,L$1,'United Data'!$C$3:$C$3390,$A70,'United Data'!$B$3:$B$3390,"Off-street")&gt;0,1,0)</f>
        <v>0</v>
      </c>
      <c r="M70">
        <f>IF(COUNTIFS('United Data'!$A$3:$A$3390,M$1,'United Data'!$C$3:$C$3390,$A70,'United Data'!$B$3:$B$3390,"Off-street")&gt;0,1,0)</f>
        <v>0</v>
      </c>
      <c r="N70">
        <f>IF(COUNTIFS('United Data'!$A$3:$A$3390,N$1,'United Data'!$C$3:$C$3390,$A70,'United Data'!$B$3:$B$3390,"Off-street")&gt;0,1,0)</f>
        <v>0</v>
      </c>
      <c r="O70">
        <f>IF(COUNTIFS('United Data'!$A$3:$A$3390,O$1,'United Data'!$C$3:$C$3390,$A70,'United Data'!$B$3:$B$3390,"Off-street")&gt;0,1,0)</f>
        <v>0</v>
      </c>
      <c r="P70">
        <f>IF(COUNTIFS('United Data'!$A$3:$A$3390,P$1,'United Data'!$C$3:$C$3390,$A70,'United Data'!$B$3:$B$3390,"Off-street")&gt;0,1,0)</f>
        <v>0</v>
      </c>
      <c r="Q70">
        <f>IF(COUNTIFS('United Data'!$A$3:$A$3390,Q$1,'United Data'!$C$3:$C$3390,$A70,'United Data'!$B$3:$B$3390,"Off-street")&gt;0,1,0)</f>
        <v>0</v>
      </c>
      <c r="R70">
        <f>IF(COUNTIFS('United Data'!$A$3:$A$3390,R$1,'United Data'!$C$3:$C$3390,$A70,'United Data'!$B$3:$B$3390,"Off-street")&gt;0,1,0)</f>
        <v>1</v>
      </c>
      <c r="S70">
        <f t="shared" si="4"/>
        <v>1</v>
      </c>
      <c r="T70">
        <f t="shared" si="5"/>
        <v>1</v>
      </c>
    </row>
    <row r="71" spans="1:20" x14ac:dyDescent="0.2">
      <c r="A71" t="s">
        <v>2048</v>
      </c>
      <c r="B71">
        <f>IF(COUNTIFS('United Data'!$A$3:$A$3390,B$1,'United Data'!$C$3:$C$3390,$A71,'United Data'!$B$3:$B$3390,"Off-street")&gt;0,1,0)</f>
        <v>0</v>
      </c>
      <c r="C71">
        <f>IF(COUNTIFS('United Data'!$A$3:$A$3390,C$1,'United Data'!$C$3:$C$3390,$A71,'United Data'!$B$3:$B$3390,"Off-street")&gt;0,1,0)</f>
        <v>0</v>
      </c>
      <c r="D71">
        <f>IF(COUNTIFS('United Data'!$A$3:$A$3390,D$1,'United Data'!$C$3:$C$3390,$A71,'United Data'!$B$3:$B$3390,"Off-street")&gt;0,1,0)</f>
        <v>0</v>
      </c>
      <c r="E71">
        <f>IF(COUNTIFS('United Data'!$A$3:$A$3390,E$1,'United Data'!$C$3:$C$3390,$A71,'United Data'!$B$3:$B$3390,"Off-street")&gt;0,1,0)</f>
        <v>0</v>
      </c>
      <c r="F71">
        <f>IF(COUNTIFS('United Data'!$A$3:$A$3390,F$1,'United Data'!$C$3:$C$3390,$A71,'United Data'!$B$3:$B$3390,"Off-street")&gt;0,1,0)</f>
        <v>0</v>
      </c>
      <c r="G71">
        <f>IF(COUNTIFS('United Data'!$A$3:$A$3390,G$1,'United Data'!$C$3:$C$3390,$A71,'United Data'!$B$3:$B$3390,"Off-street")&gt;0,1,0)</f>
        <v>0</v>
      </c>
      <c r="H71">
        <f>IF(COUNTIFS('United Data'!$A$3:$A$3390,H$1,'United Data'!$C$3:$C$3390,$A71,'United Data'!$B$3:$B$3390,"Off-street")&gt;0,1,0)</f>
        <v>0</v>
      </c>
      <c r="I71">
        <f>IF(COUNTIFS('United Data'!$A$3:$A$3390,I$1,'United Data'!$C$3:$C$3390,$A71,'United Data'!$B$3:$B$3390,"Off-street")&gt;0,1,0)</f>
        <v>0</v>
      </c>
      <c r="J71">
        <f>IF(COUNTIFS('United Data'!$A$3:$A$3390,J$1,'United Data'!$C$3:$C$3390,$A71,'United Data'!$B$3:$B$3390,"Off-street")&gt;0,1,0)</f>
        <v>0</v>
      </c>
      <c r="K71">
        <f>IF(COUNTIFS('United Data'!$A$3:$A$3390,K$1,'United Data'!$C$3:$C$3390,$A71,'United Data'!$B$3:$B$3390,"Off-street")&gt;0,1,0)</f>
        <v>0</v>
      </c>
      <c r="L71">
        <f>IF(COUNTIFS('United Data'!$A$3:$A$3390,L$1,'United Data'!$C$3:$C$3390,$A71,'United Data'!$B$3:$B$3390,"Off-street")&gt;0,1,0)</f>
        <v>0</v>
      </c>
      <c r="M71">
        <f>IF(COUNTIFS('United Data'!$A$3:$A$3390,M$1,'United Data'!$C$3:$C$3390,$A71,'United Data'!$B$3:$B$3390,"Off-street")&gt;0,1,0)</f>
        <v>0</v>
      </c>
      <c r="N71">
        <f>IF(COUNTIFS('United Data'!$A$3:$A$3390,N$1,'United Data'!$C$3:$C$3390,$A71,'United Data'!$B$3:$B$3390,"Off-street")&gt;0,1,0)</f>
        <v>0</v>
      </c>
      <c r="O71">
        <f>IF(COUNTIFS('United Data'!$A$3:$A$3390,O$1,'United Data'!$C$3:$C$3390,$A71,'United Data'!$B$3:$B$3390,"Off-street")&gt;0,1,0)</f>
        <v>0</v>
      </c>
      <c r="P71">
        <f>IF(COUNTIFS('United Data'!$A$3:$A$3390,P$1,'United Data'!$C$3:$C$3390,$A71,'United Data'!$B$3:$B$3390,"Off-street")&gt;0,1,0)</f>
        <v>0</v>
      </c>
      <c r="Q71">
        <f>IF(COUNTIFS('United Data'!$A$3:$A$3390,Q$1,'United Data'!$C$3:$C$3390,$A71,'United Data'!$B$3:$B$3390,"Off-street")&gt;0,1,0)</f>
        <v>0</v>
      </c>
      <c r="R71">
        <f>IF(COUNTIFS('United Data'!$A$3:$A$3390,R$1,'United Data'!$C$3:$C$3390,$A71,'United Data'!$B$3:$B$3390,"Off-street")&gt;0,1,0)</f>
        <v>1</v>
      </c>
      <c r="S71">
        <f t="shared" si="4"/>
        <v>1</v>
      </c>
      <c r="T71">
        <f t="shared" si="5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25</vt:lpstr>
      <vt:lpstr>26</vt:lpstr>
      <vt:lpstr>27</vt:lpstr>
      <vt:lpstr>28</vt:lpstr>
      <vt:lpstr>29</vt:lpstr>
      <vt:lpstr>30</vt:lpstr>
      <vt:lpstr>31</vt:lpstr>
      <vt:lpstr>32</vt:lpstr>
      <vt:lpstr>33</vt:lpstr>
      <vt:lpstr>34</vt:lpstr>
      <vt:lpstr>35</vt:lpstr>
      <vt:lpstr>36</vt:lpstr>
      <vt:lpstr>37</vt:lpstr>
      <vt:lpstr>38</vt:lpstr>
      <vt:lpstr>39</vt:lpstr>
      <vt:lpstr>40</vt:lpstr>
      <vt:lpstr>41</vt:lpstr>
      <vt:lpstr>42</vt:lpstr>
      <vt:lpstr>43</vt:lpstr>
      <vt:lpstr>44</vt:lpstr>
      <vt:lpstr>45</vt:lpstr>
      <vt:lpstr>46</vt:lpstr>
      <vt:lpstr>47</vt:lpstr>
      <vt:lpstr>48</vt:lpstr>
      <vt:lpstr>49</vt:lpstr>
      <vt:lpstr>50</vt:lpstr>
      <vt:lpstr>51</vt:lpstr>
      <vt:lpstr>52</vt:lpstr>
      <vt:lpstr>53</vt:lpstr>
      <vt:lpstr>54</vt:lpstr>
      <vt:lpstr>55</vt:lpstr>
      <vt:lpstr>56</vt:lpstr>
      <vt:lpstr>OFF</vt:lpstr>
      <vt:lpstr>United Data</vt:lpstr>
      <vt:lpstr>ANALYSIS</vt:lpstr>
      <vt:lpstr>CALC Combined</vt:lpstr>
      <vt:lpstr>CALC On-Street</vt:lpstr>
      <vt:lpstr>CALC Off-Street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Nikoloz Archvadze</cp:lastModifiedBy>
  <dcterms:modified xsi:type="dcterms:W3CDTF">2026-06-08T07:36:36Z</dcterms:modified>
</cp:coreProperties>
</file>